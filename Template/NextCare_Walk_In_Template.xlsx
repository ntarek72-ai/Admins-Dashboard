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er Line" sheetId="4" state="visible" r:id="rId4"/>
    <sheet xmlns:r="http://schemas.openxmlformats.org/officeDocument/2006/relationships" name="Per Invoice" sheetId="5" state="visible" r:id="rId5"/>
    <sheet xmlns:r="http://schemas.openxmlformats.org/officeDocument/2006/relationships" name="Orient" sheetId="6" state="visible" r:id="rId6"/>
    <sheet xmlns:r="http://schemas.openxmlformats.org/officeDocument/2006/relationships" name="Allianz" sheetId="7" state="visible" r:id="rId7"/>
    <sheet xmlns:r="http://schemas.openxmlformats.org/officeDocument/2006/relationships" name="3 &amp; 12(60)" sheetId="8" state="visible" r:id="rId8"/>
    <sheet xmlns:r="http://schemas.openxmlformats.org/officeDocument/2006/relationships" name="9 &amp; 16(20)" sheetId="9" state="visible" r:id="rId9"/>
    <sheet xmlns:r="http://schemas.openxmlformats.org/officeDocument/2006/relationships" name="Extra 1" sheetId="10" state="visible" r:id="rId10"/>
    <sheet xmlns:r="http://schemas.openxmlformats.org/officeDocument/2006/relationships" name="Extra 2" sheetId="11" state="visible" r:id="rId11"/>
    <sheet xmlns:r="http://schemas.openxmlformats.org/officeDocument/2006/relationships" name="Extra 3" sheetId="12" state="visible" r:id="rId12"/>
  </sheets>
  <definedNames>
    <definedName name="_xlnm._FilterDatabase" localSheetId="3" hidden="1">'Per Line'!$A$1:$AC$3001</definedName>
    <definedName name="_xlnm._FilterDatabase" localSheetId="4" hidden="1">'Per Invoice'!$A$1:$X$801</definedName>
    <definedName name="_xlnm._FilterDatabase" localSheetId="5" hidden="1">'Orient'!$A$1:$W$301</definedName>
    <definedName name="_xlnm._FilterDatabase" localSheetId="6" hidden="1">'Allianz'!$A$1:$W$301</definedName>
    <definedName name="_xlnm._FilterDatabase" localSheetId="7" hidden="1">'3 &amp; 12(60)'!$A$1:$W$301</definedName>
    <definedName name="_xlnm._FilterDatabase" localSheetId="8" hidden="1">'9 &amp; 16(20)'!$A$1:$W$301</definedName>
    <definedName name="_xlnm._FilterDatabase" localSheetId="9" hidden="1">'Extra 1'!$A$1:$W$301</definedName>
    <definedName name="_xlnm._FilterDatabase" localSheetId="10" hidden="1">'Extra 2'!$A$1:$W$301</definedName>
    <definedName name="_xlnm._FilterDatabase" localSheetId="11" hidden="1">'Extra 3'!$A$1:$W$301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0" borderId="0" pivotButton="0" quotePrefix="0" xfId="0"/>
    <xf numFmtId="166" fontId="0" fillId="5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 wrapText="1"/>
    </xf>
    <xf numFmtId="164" fontId="1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NEXT CARE (Walk In)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B-I, K-O, S-Y (same order as the system export).</t>
        </is>
      </c>
    </row>
    <row r="6">
      <c r="A6" s="3" t="inlineStr">
        <is>
          <t>3. Green columns (A, J, P, Q, R) and the grey helper columns (Z-AC)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The tabs, the Arabic 'Template ...' sheets and 'Summary' fill themselves from 'Per Invoice'. Column '##' decides which tab each invoice goes to (rule and limit are in Settings).</t>
        </is>
      </c>
    </row>
    <row r="10">
      <c r="A10" s="3" t="inlineStr">
        <is>
          <t>7. Open 'Settings' and check STATUS says OK (Per Line = Per Invoice, and every invoice has a payer that is listed in Settings).</t>
        </is>
      </c>
    </row>
    <row r="12">
      <c r="A12" s="2" t="inlineStr">
        <is>
          <t>Colour legend</t>
        </is>
      </c>
    </row>
    <row r="13">
      <c r="A13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5">
      <c r="A15" s="2" t="inlineStr">
        <is>
          <t>Calculation rules (taken from the September 2026 sheet)</t>
        </is>
      </c>
    </row>
    <row r="16">
      <c r="A16" s="3" t="inlineStr">
        <is>
          <t>Co val = Order Co Payment x Subtotal / 100.   Discount = Total x Rebates / 100.   Subtotal = Total - Discount.   Net = Subtotal - Co val.   (Total = 'Total Delivered')</t>
        </is>
      </c>
    </row>
    <row r="17">
      <c r="A17" s="3" t="inlineStr">
        <is>
          <t>Rebates per line = Local rate (16%) if Local is TRUE, otherwise Imported rate (9%). Rates are set in 'Settings'.</t>
        </is>
      </c>
    </row>
    <row r="19">
      <c r="A19" s="3" t="inlineStr">
        <is>
          <t>Per Invoice: IMP = sum of Total of non-local lines; Local = sum of Total of local lines. Grand Total = IMP + Local. Discount = IMP val + Local val. Subtotal = Grand Total - Discount. Co val = Co Payment x Subtotal / 100. Net = Subtotal - Co val.</t>
        </is>
      </c>
    </row>
    <row r="21">
      <c r="A21" s="3" t="inlineStr">
        <is>
          <t>Capacity: up to 3,000 lines and 800 invoices per month. A line with an empty Order # is ignored.</t>
        </is>
      </c>
    </row>
    <row r="22">
      <c r="A22" s="3" t="inlineStr">
        <is>
          <t>Works with both exports: if the 'Is Local' column (last blue column of 'Per Line') is filled with TRUE / FALSE it is used; if it is empty, a line is Local or Imported according to its typed Rebates % (16 / 12 = Local, 9 / 3 = Imported).</t>
        </is>
      </c>
    </row>
    <row r="23">
      <c r="A23" s="3" t="inlineStr">
        <is>
          <t>'Payer' and 'Payment term' come with every line. The tab of each invoice is the Payer when it is Orient / Allianz, otherwise the Payment term (3 &amp; 12(60) or 9 &amp; 16(20)). Rates: 'Settings' C6 / C7 for 9 &amp; 16, G6 / G7 for 3 &amp; 12.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4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  <col width="40" customWidth="1" min="6" max="6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NEXT CARE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Next Care (all corporates)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Walk In</t>
        </is>
      </c>
      <c r="D5" t="inlineStr">
        <is>
          <t>Informational only</t>
        </is>
      </c>
      <c r="F5" s="5" t="inlineStr">
        <is>
          <t>Rates when Payment Term contains 3&amp;12</t>
        </is>
      </c>
    </row>
    <row r="6">
      <c r="B6" t="inlineStr">
        <is>
          <t>Local products rebate %</t>
        </is>
      </c>
      <c r="C6" s="6" t="n">
        <v>0.16</v>
      </c>
      <c r="D6" t="inlineStr">
        <is>
          <t>Source: Next Care sheet (Rebates typed on every line: 16 / 12 for Local, 9 / 3 for Imported).</t>
        </is>
      </c>
      <c r="F6" t="inlineStr">
        <is>
          <t>Local products rebate % (3&amp;12)</t>
        </is>
      </c>
      <c r="G6" s="6" t="n">
        <v>0.12</v>
      </c>
      <c r="H6" t="inlineStr">
        <is>
          <t>All other Payment Terms use the rates in C6 / C7.</t>
        </is>
      </c>
    </row>
    <row r="7">
      <c r="B7" t="inlineStr">
        <is>
          <t>Imported (IMP) products rebate %</t>
        </is>
      </c>
      <c r="C7" s="6" t="n">
        <v>0.09</v>
      </c>
      <c r="D7" t="inlineStr">
        <is>
          <t>Source: Next Care sheet.</t>
        </is>
      </c>
      <c r="F7" t="inlineStr">
        <is>
          <t>Imported (IMP) products rebate % (3&amp;12)</t>
        </is>
      </c>
      <c r="G7" s="6" t="n">
        <v>0.03</v>
      </c>
    </row>
    <row r="9">
      <c r="B9" s="5" t="inlineStr">
        <is>
          <t>Month totals / reconciliation</t>
        </is>
      </c>
    </row>
    <row r="10">
      <c r="B10" t="inlineStr">
        <is>
          <t>Lines loaded</t>
        </is>
      </c>
      <c r="C10">
        <f>COUNTA('Per Line'!$B$2:$B$3001)</f>
        <v/>
      </c>
    </row>
    <row r="11">
      <c r="B11" t="inlineStr">
        <is>
          <t>Invoices (unique Order #)</t>
        </is>
      </c>
      <c r="C11">
        <f>MAX('Per Line'!$AA$2:$AA$3001)</f>
        <v/>
      </c>
    </row>
    <row r="12">
      <c r="B12" t="inlineStr">
        <is>
          <t>Invoices shown in Per Invoice</t>
        </is>
      </c>
      <c r="C12">
        <f>SUMPRODUCT(--('Per Invoice'!$B$2:$B$801&lt;&gt;""))</f>
        <v/>
      </c>
    </row>
    <row r="13">
      <c r="B13" t="inlineStr">
        <is>
          <t>Grand Total - Per Line (Product Total)</t>
        </is>
      </c>
      <c r="C13" s="7">
        <f>SUM('Per Line'!$O$2:$O$3001)</f>
        <v/>
      </c>
    </row>
    <row r="14">
      <c r="B14" t="inlineStr">
        <is>
          <t>Grand Total - Per Invoice</t>
        </is>
      </c>
      <c r="C14" s="7">
        <f>SUM('Per Invoice'!$V$2:$V$801)</f>
        <v/>
      </c>
    </row>
    <row r="15">
      <c r="B15" t="inlineStr">
        <is>
          <t>Discount - Per Line</t>
        </is>
      </c>
      <c r="C15" s="7">
        <f>SUM('Per Line'!$P$2:$P$3001)</f>
        <v/>
      </c>
    </row>
    <row r="16">
      <c r="B16" t="inlineStr">
        <is>
          <t>Discount - Per Invoice</t>
        </is>
      </c>
      <c r="C16" s="7">
        <f>SUM('Per Invoice'!$S$2:$S$801)</f>
        <v/>
      </c>
    </row>
    <row r="17">
      <c r="B17" t="inlineStr">
        <is>
          <t>Co val - Per Line</t>
        </is>
      </c>
      <c r="C17" s="7">
        <f>SUM('Per Line'!$J$2:$J$3001)</f>
        <v/>
      </c>
    </row>
    <row r="18">
      <c r="B18" t="inlineStr">
        <is>
          <t>Co val - Per Invoice</t>
        </is>
      </c>
      <c r="C18" s="7">
        <f>SUM('Per Invoice'!$K$2:$K$801)</f>
        <v/>
      </c>
    </row>
    <row r="19">
      <c r="B19" t="inlineStr">
        <is>
          <t>Net - Per Line</t>
        </is>
      </c>
      <c r="C19" s="7">
        <f>SUM('Per Line'!$R$2:$R$3001)</f>
        <v/>
      </c>
    </row>
    <row r="20">
      <c r="B20" t="inlineStr">
        <is>
          <t>Net - Per Invoice</t>
        </is>
      </c>
      <c r="C20" s="7">
        <f>SUM('Per Invoice'!$U$2:$U$801)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5" t="inlineStr">
        <is>
          <t>STATUS</t>
        </is>
      </c>
      <c r="C23" s="5">
        <f>IF(C10=0,"No data loaded",IF(COUNTA('Per Line'!$B:$B)-1&gt;3000,"TOO MANY LINES - extend template",IF(C11&gt;800,"TOO MANY INVOICES - extend template",IF(AND(ROUND(C13-C14,2)=0,ROUND(C15-C16,2)=0,ROUND(C17+C21-C18,2)=0,ROUND(C19-C21-C20,2)=0,C11=C12,C34=0,MAX(D26:D32)&lt;=300),"OK","CHECK - Per Line and Per Invoice do not match"))))</f>
        <v/>
      </c>
      <c r="D23" t="inlineStr">
        <is>
          <t>Must say OK after you paste the month data.</t>
        </is>
      </c>
    </row>
    <row r="25">
      <c r="B25" s="5" t="inlineStr">
        <is>
          <t>Site tabs</t>
        </is>
      </c>
      <c r="C25" s="5" t="inlineStr">
        <is>
          <t>Site name exactly as in the ## column</t>
        </is>
      </c>
      <c r="D25" s="5" t="inlineStr">
        <is>
          <t>Invoices (formula)</t>
        </is>
      </c>
    </row>
    <row r="26">
      <c r="B26" t="inlineStr">
        <is>
          <t>Orient</t>
        </is>
      </c>
      <c r="C26" s="8" t="inlineStr">
        <is>
          <t>Orient Insurance Company</t>
        </is>
      </c>
      <c r="D26" s="9">
        <f>IF(C26="",0,COUNTIF('Per Invoice'!$D$2:$D$801,C26))</f>
        <v/>
      </c>
    </row>
    <row r="27">
      <c r="B27" t="inlineStr">
        <is>
          <t>Allianz</t>
        </is>
      </c>
      <c r="C27" s="8" t="inlineStr">
        <is>
          <t>Allianz</t>
        </is>
      </c>
      <c r="D27" s="9">
        <f>IF(C27="",0,COUNTIF('Per Invoice'!$D$2:$D$801,C27))</f>
        <v/>
      </c>
    </row>
    <row r="28">
      <c r="B28" t="inlineStr">
        <is>
          <t>3 &amp; 12(60)</t>
        </is>
      </c>
      <c r="C28" s="8" t="inlineStr">
        <is>
          <t>3 &amp; 12(60)</t>
        </is>
      </c>
      <c r="D28" s="9">
        <f>IF(C28="",0,COUNTIF('Per Invoice'!$D$2:$D$801,C28))</f>
        <v/>
      </c>
    </row>
    <row r="29">
      <c r="B29" t="inlineStr">
        <is>
          <t>9 &amp; 16(20)</t>
        </is>
      </c>
      <c r="C29" s="8" t="inlineStr">
        <is>
          <t>9 &amp; 16(20)</t>
        </is>
      </c>
      <c r="D29" s="9">
        <f>IF(C29="",0,COUNTIF('Per Invoice'!$D$2:$D$801,C29))</f>
        <v/>
      </c>
    </row>
    <row r="30">
      <c r="B30" t="inlineStr">
        <is>
          <t>Extra 1</t>
        </is>
      </c>
      <c r="C30" s="8" t="n"/>
      <c r="D30" s="9">
        <f>IF(C30="",0,COUNTIF('Per Invoice'!$D$2:$D$801,C30))</f>
        <v/>
      </c>
    </row>
    <row r="31">
      <c r="B31" t="inlineStr">
        <is>
          <t>Extra 2</t>
        </is>
      </c>
      <c r="C31" s="8" t="n"/>
      <c r="D31" s="9">
        <f>IF(C31="",0,COUNTIF('Per Invoice'!$D$2:$D$801,C31))</f>
        <v/>
      </c>
    </row>
    <row r="32">
      <c r="B32" t="inlineStr">
        <is>
          <t>Extra 3</t>
        </is>
      </c>
      <c r="C32" s="8" t="n"/>
      <c r="D32" s="9">
        <f>IF(C32="",0,COUNTIF('Per Invoice'!$D$2:$D$801,C32))</f>
        <v/>
      </c>
    </row>
    <row r="34">
      <c r="B34" t="inlineStr">
        <is>
          <t>Invoices not in any site tab (must be 0)</t>
        </is>
      </c>
      <c r="C34">
        <f>C11-SUM(D26:D32)</f>
        <v/>
      </c>
      <c r="D34" t="inlineStr">
        <is>
          <t>If not 0: a new site appeared. Type its exact name in one of the empty yellow cells above (Extra 1 ... Extra n); the tab Extra n then shows it. Each tab holds up to 300 invoices.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0" t="inlineStr">
        <is>
          <t>##</t>
        </is>
      </c>
      <c r="B1" s="10" t="inlineStr">
        <is>
          <t>No_Invoice</t>
        </is>
      </c>
      <c r="C1" s="10" t="inlineStr">
        <is>
          <t>Copayment</t>
        </is>
      </c>
      <c r="D1" s="10" t="inlineStr">
        <is>
          <t>Subtotal</t>
        </is>
      </c>
      <c r="E1" s="10" t="inlineStr">
        <is>
          <t>Net</t>
        </is>
      </c>
    </row>
    <row r="2">
      <c r="A2">
        <f>IF(Settings!$C$26="","",Settings!$C$26)</f>
        <v/>
      </c>
      <c r="B2">
        <f>IF($A2="","",COUNTIF('Per Invoice'!$D$2:$D$801,$A2))</f>
        <v/>
      </c>
      <c r="C2" s="7">
        <f>IF($A2="","",SUMIFS('Per Invoice'!$K$2:$K$801,'Per Invoice'!$D$2:$D$801,$A2))</f>
        <v/>
      </c>
      <c r="D2" s="7">
        <f>IF($A2="","",SUMIFS('Per Invoice'!$T$2:$T$801,'Per Invoice'!$D$2:$D$801,$A2))</f>
        <v/>
      </c>
      <c r="E2" s="7">
        <f>IF($A2="","",SUMIFS('Per Invoice'!$U$2:$U$801,'Per Invoice'!$D$2:$D$801,$A2))</f>
        <v/>
      </c>
    </row>
    <row r="3">
      <c r="A3">
        <f>IF(Settings!$C$27="","",Settings!$C$27)</f>
        <v/>
      </c>
      <c r="B3">
        <f>IF($A3="","",COUNTIF('Per Invoice'!$D$2:$D$801,$A3))</f>
        <v/>
      </c>
      <c r="C3" s="7">
        <f>IF($A3="","",SUMIFS('Per Invoice'!$K$2:$K$801,'Per Invoice'!$D$2:$D$801,$A3))</f>
        <v/>
      </c>
      <c r="D3" s="7">
        <f>IF($A3="","",SUMIFS('Per Invoice'!$T$2:$T$801,'Per Invoice'!$D$2:$D$801,$A3))</f>
        <v/>
      </c>
      <c r="E3" s="7">
        <f>IF($A3="","",SUMIFS('Per Invoice'!$U$2:$U$801,'Per Invoice'!$D$2:$D$801,$A3))</f>
        <v/>
      </c>
    </row>
    <row r="4">
      <c r="A4">
        <f>IF(Settings!$C$28="","",Settings!$C$28)</f>
        <v/>
      </c>
      <c r="B4">
        <f>IF($A4="","",COUNTIF('Per Invoice'!$D$2:$D$801,$A4))</f>
        <v/>
      </c>
      <c r="C4" s="7">
        <f>IF($A4="","",SUMIFS('Per Invoice'!$K$2:$K$801,'Per Invoice'!$D$2:$D$801,$A4))</f>
        <v/>
      </c>
      <c r="D4" s="7">
        <f>IF($A4="","",SUMIFS('Per Invoice'!$T$2:$T$801,'Per Invoice'!$D$2:$D$801,$A4))</f>
        <v/>
      </c>
      <c r="E4" s="7">
        <f>IF($A4="","",SUMIFS('Per Invoice'!$U$2:$U$801,'Per Invoice'!$D$2:$D$801,$A4))</f>
        <v/>
      </c>
    </row>
    <row r="5">
      <c r="A5">
        <f>IF(Settings!$C$29="","",Settings!$C$29)</f>
        <v/>
      </c>
      <c r="B5">
        <f>IF($A5="","",COUNTIF('Per Invoice'!$D$2:$D$801,$A5))</f>
        <v/>
      </c>
      <c r="C5" s="7">
        <f>IF($A5="","",SUMIFS('Per Invoice'!$K$2:$K$801,'Per Invoice'!$D$2:$D$801,$A5))</f>
        <v/>
      </c>
      <c r="D5" s="7">
        <f>IF($A5="","",SUMIFS('Per Invoice'!$T$2:$T$801,'Per Invoice'!$D$2:$D$801,$A5))</f>
        <v/>
      </c>
      <c r="E5" s="7">
        <f>IF($A5="","",SUMIFS('Per Invoice'!$U$2:$U$801,'Per Invoice'!$D$2:$D$801,$A5))</f>
        <v/>
      </c>
    </row>
    <row r="6">
      <c r="A6">
        <f>IF(Settings!$C$30="","",Settings!$C$30)</f>
        <v/>
      </c>
      <c r="B6">
        <f>IF($A6="","",COUNTIF('Per Invoice'!$D$2:$D$801,$A6))</f>
        <v/>
      </c>
      <c r="C6" s="7">
        <f>IF($A6="","",SUMIFS('Per Invoice'!$K$2:$K$801,'Per Invoice'!$D$2:$D$801,$A6))</f>
        <v/>
      </c>
      <c r="D6" s="7">
        <f>IF($A6="","",SUMIFS('Per Invoice'!$T$2:$T$801,'Per Invoice'!$D$2:$D$801,$A6))</f>
        <v/>
      </c>
      <c r="E6" s="7">
        <f>IF($A6="","",SUMIFS('Per Invoice'!$U$2:$U$801,'Per Invoice'!$D$2:$D$801,$A6))</f>
        <v/>
      </c>
    </row>
    <row r="7">
      <c r="A7">
        <f>IF(Settings!$C$31="","",Settings!$C$31)</f>
        <v/>
      </c>
      <c r="B7">
        <f>IF($A7="","",COUNTIF('Per Invoice'!$D$2:$D$801,$A7))</f>
        <v/>
      </c>
      <c r="C7" s="7">
        <f>IF($A7="","",SUMIFS('Per Invoice'!$K$2:$K$801,'Per Invoice'!$D$2:$D$801,$A7))</f>
        <v/>
      </c>
      <c r="D7" s="7">
        <f>IF($A7="","",SUMIFS('Per Invoice'!$T$2:$T$801,'Per Invoice'!$D$2:$D$801,$A7))</f>
        <v/>
      </c>
      <c r="E7" s="7">
        <f>IF($A7="","",SUMIFS('Per Invoice'!$U$2:$U$801,'Per Invoice'!$D$2:$D$801,$A7))</f>
        <v/>
      </c>
    </row>
    <row r="8">
      <c r="A8">
        <f>IF(Settings!$C$32="","",Settings!$C$32)</f>
        <v/>
      </c>
      <c r="B8">
        <f>IF($A8="","",COUNTIF('Per Invoice'!$D$2:$D$801,$A8))</f>
        <v/>
      </c>
      <c r="C8" s="7">
        <f>IF($A8="","",SUMIFS('Per Invoice'!$K$2:$K$801,'Per Invoice'!$D$2:$D$801,$A8))</f>
        <v/>
      </c>
      <c r="D8" s="7">
        <f>IF($A8="","",SUMIFS('Per Invoice'!$T$2:$T$801,'Per Invoice'!$D$2:$D$801,$A8))</f>
        <v/>
      </c>
      <c r="E8" s="7">
        <f>IF($A8="","",SUMIFS('Per Invoice'!$U$2:$U$801,'Per Invoice'!$D$2:$D$801,$A8))</f>
        <v/>
      </c>
    </row>
    <row r="9">
      <c r="A9" s="5" t="inlineStr">
        <is>
          <t>Grand Total</t>
        </is>
      </c>
      <c r="B9" s="5">
        <f>SUM(B2:B8)</f>
        <v/>
      </c>
      <c r="C9" s="11">
        <f>SUM(C2:C8)</f>
        <v/>
      </c>
      <c r="D9" s="11">
        <f>SUM(D2:D8)</f>
        <v/>
      </c>
      <c r="E9" s="11">
        <f>SUM(E2:E8)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30" customWidth="1" min="5" max="5"/>
    <col width="18" customWidth="1" min="6" max="6"/>
    <col width="26" customWidth="1" min="7" max="7"/>
    <col width="13" customWidth="1" min="8" max="8"/>
    <col width="12" customWidth="1" min="9" max="9"/>
    <col width="11" customWidth="1" min="10" max="10"/>
    <col width="12" customWidth="1" min="11" max="11"/>
    <col width="40" customWidth="1" min="12" max="12"/>
    <col width="12" customWidth="1" min="13" max="13"/>
    <col width="12" customWidth="1" min="14" max="14"/>
    <col width="12" customWidth="1" min="15" max="15"/>
    <col width="11" customWidth="1" min="16" max="16"/>
    <col width="11" customWidth="1" min="17" max="17"/>
    <col width="11" customWidth="1" min="18" max="18"/>
    <col width="12" customWidth="1" min="19" max="19"/>
    <col width="12" customWidth="1" min="20" max="20"/>
    <col width="13" customWidth="1" min="21" max="21"/>
    <col width="17" customWidth="1" min="22" max="22"/>
    <col width="28" customWidth="1" min="23" max="23"/>
    <col width="12" customWidth="1" min="24" max="24"/>
    <col width="12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 ht="32" customHeight="1">
      <c r="A1" s="10" t="inlineStr">
        <is>
          <t>Invoice</t>
        </is>
      </c>
      <c r="B1" s="12" t="inlineStr">
        <is>
          <t>Pos Reference</t>
        </is>
      </c>
      <c r="C1" s="12" t="inlineStr">
        <is>
          <t>Approval</t>
        </is>
      </c>
      <c r="D1" s="12" t="inlineStr">
        <is>
          <t>payment term</t>
        </is>
      </c>
      <c r="E1" s="12" t="inlineStr">
        <is>
          <t>Payer</t>
        </is>
      </c>
      <c r="F1" s="12" t="inlineStr">
        <is>
          <t>Insurance Company</t>
        </is>
      </c>
      <c r="G1" s="12" t="inlineStr">
        <is>
          <t>Name</t>
        </is>
      </c>
      <c r="H1" s="12" t="inlineStr">
        <is>
          <t>Card Number</t>
        </is>
      </c>
      <c r="I1" s="12" t="inlineStr">
        <is>
          <t>Co Payment %</t>
        </is>
      </c>
      <c r="J1" s="10" t="inlineStr">
        <is>
          <t>Co val</t>
        </is>
      </c>
      <c r="K1" s="12" t="inlineStr">
        <is>
          <t>Heisenberg id</t>
        </is>
      </c>
      <c r="L1" s="12" t="inlineStr">
        <is>
          <t>Product</t>
        </is>
      </c>
      <c r="M1" s="12" t="inlineStr">
        <is>
          <t>Delivered Qty</t>
        </is>
      </c>
      <c r="N1" s="12" t="inlineStr">
        <is>
          <t>Delivered Price</t>
        </is>
      </c>
      <c r="O1" s="12" t="inlineStr">
        <is>
          <t>Total Delivered</t>
        </is>
      </c>
      <c r="P1" s="10" t="inlineStr">
        <is>
          <t>Discount</t>
        </is>
      </c>
      <c r="Q1" s="10" t="inlineStr">
        <is>
          <t>Subtotal</t>
        </is>
      </c>
      <c r="R1" s="10" t="inlineStr">
        <is>
          <t>Net</t>
        </is>
      </c>
      <c r="S1" s="12" t="inlineStr">
        <is>
          <t>Order Amount Total</t>
        </is>
      </c>
      <c r="T1" s="12" t="inlineStr">
        <is>
          <t>Payment Amount</t>
        </is>
      </c>
      <c r="U1" s="12" t="inlineStr">
        <is>
          <t>Payment Type</t>
        </is>
      </c>
      <c r="V1" s="12" t="inlineStr">
        <is>
          <t>Create Date</t>
        </is>
      </c>
      <c r="W1" s="12" t="inlineStr">
        <is>
          <t>Order Reference</t>
        </is>
      </c>
      <c r="X1" s="12" t="inlineStr">
        <is>
          <t>Rebates</t>
        </is>
      </c>
      <c r="Y1" s="12" t="inlineStr">
        <is>
          <t>Product Template - Product Tmpl → Is Local</t>
        </is>
      </c>
      <c r="Z1" s="13" t="inlineStr">
        <is>
          <t>Order 1st Row (helper)</t>
        </is>
      </c>
      <c r="AA1" s="13" t="inlineStr">
        <is>
          <t>Invoice # (helper)</t>
        </is>
      </c>
      <c r="AB1" s="13" t="inlineStr">
        <is>
          <t>Is Local (helper)</t>
        </is>
      </c>
      <c r="AC1" s="13" t="inlineStr">
        <is>
          <t>Sort Key (helper)</t>
        </is>
      </c>
    </row>
    <row r="2">
      <c r="A2">
        <f>IF($B2="","",IFERROR(IF(INDEX('Per Invoice'!$A$2:$A$801,MATCH($B2,'Per Invoice'!$B$2:$B$801,0))=0,"",INDEX('Per Invoice'!$A$2:$A$801,MATCH($B2,'Per Invoice'!$B$2:$B$801,0))),""))</f>
        <v/>
      </c>
      <c r="J2" s="7">
        <f>IF($B2="","",I2*Q2/100)</f>
        <v/>
      </c>
      <c r="N2" s="7" t="n"/>
      <c r="O2" s="7" t="n"/>
      <c r="P2" s="7">
        <f>IF($B2="","",O2*X2/100)</f>
        <v/>
      </c>
      <c r="Q2" s="7">
        <f>IF($B2="","",O2-P2)</f>
        <v/>
      </c>
      <c r="R2" s="7">
        <f>IF($B2="","",Q2-J2)</f>
        <v/>
      </c>
      <c r="S2" s="7" t="n"/>
      <c r="T2" s="7" t="n"/>
      <c r="V2" s="14" t="n"/>
      <c r="Z2">
        <f>IF($B2="","",IF(COUNTIF($B$2:$B2,$B2)=1,1,0))</f>
        <v/>
      </c>
      <c r="AA2">
        <f>IF($Z2=1,SUMPRODUCT(--($AC$2:$AC$3001&lt;$AC2))+1,"")</f>
        <v/>
      </c>
      <c r="AB2">
        <f>IF($B2="","",IF(OR($Y2=TRUE(),$Y2="TRUE"),1,IF(AND($Y2&lt;&gt;"",OR($Y2=FALSE(),$Y2="FALSE")),0,IF(MIN(ABS($X2/100-Settings!$C$6),ABS($X2/100-Settings!$G$6))&lt;=MIN(ABS($X2/100-Settings!$C$7),ABS($X2/100-Settings!$G$7)),1,0))))</f>
        <v/>
      </c>
      <c r="AC2">
        <f>IF($Z2=1,IFERROR(IF(VALUE($B2)&lt;100000000,VALUE($B2),1000000000),IFERROR(IF(VALUE(MID($B2,2,20))&lt;100000000,VALUE(MID($B2,2,20)),1000000000),1000000000))+ROW()/100000,"")</f>
        <v/>
      </c>
    </row>
    <row r="3">
      <c r="A3">
        <f>IF($B3="","",IFERROR(IF(INDEX('Per Invoice'!$A$2:$A$801,MATCH($B3,'Per Invoice'!$B$2:$B$801,0))=0,"",INDEX('Per Invoice'!$A$2:$A$801,MATCH($B3,'Per Invoice'!$B$2:$B$801,0))),""))</f>
        <v/>
      </c>
      <c r="J3" s="7">
        <f>IF($B3="","",I3*Q3/100)</f>
        <v/>
      </c>
      <c r="N3" s="7" t="n"/>
      <c r="O3" s="7" t="n"/>
      <c r="P3" s="7">
        <f>IF($B3="","",O3*X3/100)</f>
        <v/>
      </c>
      <c r="Q3" s="7">
        <f>IF($B3="","",O3-P3)</f>
        <v/>
      </c>
      <c r="R3" s="7">
        <f>IF($B3="","",Q3-J3)</f>
        <v/>
      </c>
      <c r="S3" s="7" t="n"/>
      <c r="T3" s="7" t="n"/>
      <c r="V3" s="14" t="n"/>
      <c r="Z3">
        <f>IF($B3="","",IF(COUNTIF($B$2:$B3,$B3)=1,1,0))</f>
        <v/>
      </c>
      <c r="AA3">
        <f>IF($Z3=1,SUMPRODUCT(--($AC$2:$AC$3001&lt;$AC3))+1,"")</f>
        <v/>
      </c>
      <c r="AB3">
        <f>IF($B3="","",IF(OR($Y3=TRUE(),$Y3="TRUE"),1,IF(AND($Y3&lt;&gt;"",OR($Y3=FALSE(),$Y3="FALSE")),0,IF(MIN(ABS($X3/100-Settings!$C$6),ABS($X3/100-Settings!$G$6))&lt;=MIN(ABS($X3/100-Settings!$C$7),ABS($X3/100-Settings!$G$7)),1,0))))</f>
        <v/>
      </c>
      <c r="AC3">
        <f>IF($Z3=1,IFERROR(IF(VALUE($B3)&lt;100000000,VALUE($B3),1000000000),IFERROR(IF(VALUE(MID($B3,2,20))&lt;100000000,VALUE(MID($B3,2,20)),1000000000),1000000000))+ROW()/100000,"")</f>
        <v/>
      </c>
    </row>
    <row r="4">
      <c r="A4">
        <f>IF($B4="","",IFERROR(IF(INDEX('Per Invoice'!$A$2:$A$801,MATCH($B4,'Per Invoice'!$B$2:$B$801,0))=0,"",INDEX('Per Invoice'!$A$2:$A$801,MATCH($B4,'Per Invoice'!$B$2:$B$801,0))),""))</f>
        <v/>
      </c>
      <c r="J4" s="7">
        <f>IF($B4="","",I4*Q4/100)</f>
        <v/>
      </c>
      <c r="N4" s="7" t="n"/>
      <c r="O4" s="7" t="n"/>
      <c r="P4" s="7">
        <f>IF($B4="","",O4*X4/100)</f>
        <v/>
      </c>
      <c r="Q4" s="7">
        <f>IF($B4="","",O4-P4)</f>
        <v/>
      </c>
      <c r="R4" s="7">
        <f>IF($B4="","",Q4-J4)</f>
        <v/>
      </c>
      <c r="S4" s="7" t="n"/>
      <c r="T4" s="7" t="n"/>
      <c r="V4" s="14" t="n"/>
      <c r="Z4">
        <f>IF($B4="","",IF(COUNTIF($B$2:$B4,$B4)=1,1,0))</f>
        <v/>
      </c>
      <c r="AA4">
        <f>IF($Z4=1,SUMPRODUCT(--($AC$2:$AC$3001&lt;$AC4))+1,"")</f>
        <v/>
      </c>
      <c r="AB4">
        <f>IF($B4="","",IF(OR($Y4=TRUE(),$Y4="TRUE"),1,IF(AND($Y4&lt;&gt;"",OR($Y4=FALSE(),$Y4="FALSE")),0,IF(MIN(ABS($X4/100-Settings!$C$6),ABS($X4/100-Settings!$G$6))&lt;=MIN(ABS($X4/100-Settings!$C$7),ABS($X4/100-Settings!$G$7)),1,0))))</f>
        <v/>
      </c>
      <c r="AC4">
        <f>IF($Z4=1,IFERROR(IF(VALUE($B4)&lt;100000000,VALUE($B4),1000000000),IFERROR(IF(VALUE(MID($B4,2,20))&lt;100000000,VALUE(MID($B4,2,20)),1000000000),1000000000))+ROW()/100000,"")</f>
        <v/>
      </c>
    </row>
    <row r="5">
      <c r="A5">
        <f>IF($B5="","",IFERROR(IF(INDEX('Per Invoice'!$A$2:$A$801,MATCH($B5,'Per Invoice'!$B$2:$B$801,0))=0,"",INDEX('Per Invoice'!$A$2:$A$801,MATCH($B5,'Per Invoice'!$B$2:$B$801,0))),""))</f>
        <v/>
      </c>
      <c r="J5" s="7">
        <f>IF($B5="","",I5*Q5/100)</f>
        <v/>
      </c>
      <c r="N5" s="7" t="n"/>
      <c r="O5" s="7" t="n"/>
      <c r="P5" s="7">
        <f>IF($B5="","",O5*X5/100)</f>
        <v/>
      </c>
      <c r="Q5" s="7">
        <f>IF($B5="","",O5-P5)</f>
        <v/>
      </c>
      <c r="R5" s="7">
        <f>IF($B5="","",Q5-J5)</f>
        <v/>
      </c>
      <c r="S5" s="7" t="n"/>
      <c r="T5" s="7" t="n"/>
      <c r="V5" s="14" t="n"/>
      <c r="Z5">
        <f>IF($B5="","",IF(COUNTIF($B$2:$B5,$B5)=1,1,0))</f>
        <v/>
      </c>
      <c r="AA5">
        <f>IF($Z5=1,SUMPRODUCT(--($AC$2:$AC$3001&lt;$AC5))+1,"")</f>
        <v/>
      </c>
      <c r="AB5">
        <f>IF($B5="","",IF(OR($Y5=TRUE(),$Y5="TRUE"),1,IF(AND($Y5&lt;&gt;"",OR($Y5=FALSE(),$Y5="FALSE")),0,IF(MIN(ABS($X5/100-Settings!$C$6),ABS($X5/100-Settings!$G$6))&lt;=MIN(ABS($X5/100-Settings!$C$7),ABS($X5/100-Settings!$G$7)),1,0))))</f>
        <v/>
      </c>
      <c r="AC5">
        <f>IF($Z5=1,IFERROR(IF(VALUE($B5)&lt;100000000,VALUE($B5),1000000000),IFERROR(IF(VALUE(MID($B5,2,20))&lt;100000000,VALUE(MID($B5,2,20)),1000000000),1000000000))+ROW()/100000,"")</f>
        <v/>
      </c>
    </row>
    <row r="6">
      <c r="A6">
        <f>IF($B6="","",IFERROR(IF(INDEX('Per Invoice'!$A$2:$A$801,MATCH($B6,'Per Invoice'!$B$2:$B$801,0))=0,"",INDEX('Per Invoice'!$A$2:$A$801,MATCH($B6,'Per Invoice'!$B$2:$B$801,0))),""))</f>
        <v/>
      </c>
      <c r="J6" s="7">
        <f>IF($B6="","",I6*Q6/100)</f>
        <v/>
      </c>
      <c r="N6" s="7" t="n"/>
      <c r="O6" s="7" t="n"/>
      <c r="P6" s="7">
        <f>IF($B6="","",O6*X6/100)</f>
        <v/>
      </c>
      <c r="Q6" s="7">
        <f>IF($B6="","",O6-P6)</f>
        <v/>
      </c>
      <c r="R6" s="7">
        <f>IF($B6="","",Q6-J6)</f>
        <v/>
      </c>
      <c r="S6" s="7" t="n"/>
      <c r="T6" s="7" t="n"/>
      <c r="V6" s="14" t="n"/>
      <c r="Z6">
        <f>IF($B6="","",IF(COUNTIF($B$2:$B6,$B6)=1,1,0))</f>
        <v/>
      </c>
      <c r="AA6">
        <f>IF($Z6=1,SUMPRODUCT(--($AC$2:$AC$3001&lt;$AC6))+1,"")</f>
        <v/>
      </c>
      <c r="AB6">
        <f>IF($B6="","",IF(OR($Y6=TRUE(),$Y6="TRUE"),1,IF(AND($Y6&lt;&gt;"",OR($Y6=FALSE(),$Y6="FALSE")),0,IF(MIN(ABS($X6/100-Settings!$C$6),ABS($X6/100-Settings!$G$6))&lt;=MIN(ABS($X6/100-Settings!$C$7),ABS($X6/100-Settings!$G$7)),1,0))))</f>
        <v/>
      </c>
      <c r="AC6">
        <f>IF($Z6=1,IFERROR(IF(VALUE($B6)&lt;100000000,VALUE($B6),1000000000),IFERROR(IF(VALUE(MID($B6,2,20))&lt;100000000,VALUE(MID($B6,2,20)),1000000000),1000000000))+ROW()/100000,"")</f>
        <v/>
      </c>
    </row>
    <row r="7">
      <c r="A7">
        <f>IF($B7="","",IFERROR(IF(INDEX('Per Invoice'!$A$2:$A$801,MATCH($B7,'Per Invoice'!$B$2:$B$801,0))=0,"",INDEX('Per Invoice'!$A$2:$A$801,MATCH($B7,'Per Invoice'!$B$2:$B$801,0))),""))</f>
        <v/>
      </c>
      <c r="J7" s="7">
        <f>IF($B7="","",I7*Q7/100)</f>
        <v/>
      </c>
      <c r="N7" s="7" t="n"/>
      <c r="O7" s="7" t="n"/>
      <c r="P7" s="7">
        <f>IF($B7="","",O7*X7/100)</f>
        <v/>
      </c>
      <c r="Q7" s="7">
        <f>IF($B7="","",O7-P7)</f>
        <v/>
      </c>
      <c r="R7" s="7">
        <f>IF($B7="","",Q7-J7)</f>
        <v/>
      </c>
      <c r="S7" s="7" t="n"/>
      <c r="T7" s="7" t="n"/>
      <c r="V7" s="14" t="n"/>
      <c r="Z7">
        <f>IF($B7="","",IF(COUNTIF($B$2:$B7,$B7)=1,1,0))</f>
        <v/>
      </c>
      <c r="AA7">
        <f>IF($Z7=1,SUMPRODUCT(--($AC$2:$AC$3001&lt;$AC7))+1,"")</f>
        <v/>
      </c>
      <c r="AB7">
        <f>IF($B7="","",IF(OR($Y7=TRUE(),$Y7="TRUE"),1,IF(AND($Y7&lt;&gt;"",OR($Y7=FALSE(),$Y7="FALSE")),0,IF(MIN(ABS($X7/100-Settings!$C$6),ABS($X7/100-Settings!$G$6))&lt;=MIN(ABS($X7/100-Settings!$C$7),ABS($X7/100-Settings!$G$7)),1,0))))</f>
        <v/>
      </c>
      <c r="AC7">
        <f>IF($Z7=1,IFERROR(IF(VALUE($B7)&lt;100000000,VALUE($B7),1000000000),IFERROR(IF(VALUE(MID($B7,2,20))&lt;100000000,VALUE(MID($B7,2,20)),1000000000),1000000000))+ROW()/100000,"")</f>
        <v/>
      </c>
    </row>
    <row r="8">
      <c r="A8">
        <f>IF($B8="","",IFERROR(IF(INDEX('Per Invoice'!$A$2:$A$801,MATCH($B8,'Per Invoice'!$B$2:$B$801,0))=0,"",INDEX('Per Invoice'!$A$2:$A$801,MATCH($B8,'Per Invoice'!$B$2:$B$801,0))),""))</f>
        <v/>
      </c>
      <c r="J8" s="7">
        <f>IF($B8="","",I8*Q8/100)</f>
        <v/>
      </c>
      <c r="N8" s="7" t="n"/>
      <c r="O8" s="7" t="n"/>
      <c r="P8" s="7">
        <f>IF($B8="","",O8*X8/100)</f>
        <v/>
      </c>
      <c r="Q8" s="7">
        <f>IF($B8="","",O8-P8)</f>
        <v/>
      </c>
      <c r="R8" s="7">
        <f>IF($B8="","",Q8-J8)</f>
        <v/>
      </c>
      <c r="S8" s="7" t="n"/>
      <c r="T8" s="7" t="n"/>
      <c r="V8" s="14" t="n"/>
      <c r="Z8">
        <f>IF($B8="","",IF(COUNTIF($B$2:$B8,$B8)=1,1,0))</f>
        <v/>
      </c>
      <c r="AA8">
        <f>IF($Z8=1,SUMPRODUCT(--($AC$2:$AC$3001&lt;$AC8))+1,"")</f>
        <v/>
      </c>
      <c r="AB8">
        <f>IF($B8="","",IF(OR($Y8=TRUE(),$Y8="TRUE"),1,IF(AND($Y8&lt;&gt;"",OR($Y8=FALSE(),$Y8="FALSE")),0,IF(MIN(ABS($X8/100-Settings!$C$6),ABS($X8/100-Settings!$G$6))&lt;=MIN(ABS($X8/100-Settings!$C$7),ABS($X8/100-Settings!$G$7)),1,0))))</f>
        <v/>
      </c>
      <c r="AC8">
        <f>IF($Z8=1,IFERROR(IF(VALUE($B8)&lt;100000000,VALUE($B8),1000000000),IFERROR(IF(VALUE(MID($B8,2,20))&lt;100000000,VALUE(MID($B8,2,20)),1000000000),1000000000))+ROW()/100000,"")</f>
        <v/>
      </c>
    </row>
    <row r="9">
      <c r="A9">
        <f>IF($B9="","",IFERROR(IF(INDEX('Per Invoice'!$A$2:$A$801,MATCH($B9,'Per Invoice'!$B$2:$B$801,0))=0,"",INDEX('Per Invoice'!$A$2:$A$801,MATCH($B9,'Per Invoice'!$B$2:$B$801,0))),""))</f>
        <v/>
      </c>
      <c r="J9" s="7">
        <f>IF($B9="","",I9*Q9/100)</f>
        <v/>
      </c>
      <c r="N9" s="7" t="n"/>
      <c r="O9" s="7" t="n"/>
      <c r="P9" s="7">
        <f>IF($B9="","",O9*X9/100)</f>
        <v/>
      </c>
      <c r="Q9" s="7">
        <f>IF($B9="","",O9-P9)</f>
        <v/>
      </c>
      <c r="R9" s="7">
        <f>IF($B9="","",Q9-J9)</f>
        <v/>
      </c>
      <c r="S9" s="7" t="n"/>
      <c r="T9" s="7" t="n"/>
      <c r="V9" s="14" t="n"/>
      <c r="Z9">
        <f>IF($B9="","",IF(COUNTIF($B$2:$B9,$B9)=1,1,0))</f>
        <v/>
      </c>
      <c r="AA9">
        <f>IF($Z9=1,SUMPRODUCT(--($AC$2:$AC$3001&lt;$AC9))+1,"")</f>
        <v/>
      </c>
      <c r="AB9">
        <f>IF($B9="","",IF(OR($Y9=TRUE(),$Y9="TRUE"),1,IF(AND($Y9&lt;&gt;"",OR($Y9=FALSE(),$Y9="FALSE")),0,IF(MIN(ABS($X9/100-Settings!$C$6),ABS($X9/100-Settings!$G$6))&lt;=MIN(ABS($X9/100-Settings!$C$7),ABS($X9/100-Settings!$G$7)),1,0))))</f>
        <v/>
      </c>
      <c r="AC9">
        <f>IF($Z9=1,IFERROR(IF(VALUE($B9)&lt;100000000,VALUE($B9),1000000000),IFERROR(IF(VALUE(MID($B9,2,20))&lt;100000000,VALUE(MID($B9,2,20)),1000000000),1000000000))+ROW()/100000,"")</f>
        <v/>
      </c>
    </row>
    <row r="10">
      <c r="A10">
        <f>IF($B10="","",IFERROR(IF(INDEX('Per Invoice'!$A$2:$A$801,MATCH($B10,'Per Invoice'!$B$2:$B$801,0))=0,"",INDEX('Per Invoice'!$A$2:$A$801,MATCH($B10,'Per Invoice'!$B$2:$B$801,0))),""))</f>
        <v/>
      </c>
      <c r="J10" s="7">
        <f>IF($B10="","",I10*Q10/100)</f>
        <v/>
      </c>
      <c r="N10" s="7" t="n"/>
      <c r="O10" s="7" t="n"/>
      <c r="P10" s="7">
        <f>IF($B10="","",O10*X10/100)</f>
        <v/>
      </c>
      <c r="Q10" s="7">
        <f>IF($B10="","",O10-P10)</f>
        <v/>
      </c>
      <c r="R10" s="7">
        <f>IF($B10="","",Q10-J10)</f>
        <v/>
      </c>
      <c r="S10" s="7" t="n"/>
      <c r="T10" s="7" t="n"/>
      <c r="V10" s="14" t="n"/>
      <c r="Z10">
        <f>IF($B10="","",IF(COUNTIF($B$2:$B10,$B10)=1,1,0))</f>
        <v/>
      </c>
      <c r="AA10">
        <f>IF($Z10=1,SUMPRODUCT(--($AC$2:$AC$3001&lt;$AC10))+1,"")</f>
        <v/>
      </c>
      <c r="AB10">
        <f>IF($B10="","",IF(OR($Y10=TRUE(),$Y10="TRUE"),1,IF(AND($Y10&lt;&gt;"",OR($Y10=FALSE(),$Y10="FALSE")),0,IF(MIN(ABS($X10/100-Settings!$C$6),ABS($X10/100-Settings!$G$6))&lt;=MIN(ABS($X10/100-Settings!$C$7),ABS($X10/100-Settings!$G$7)),1,0))))</f>
        <v/>
      </c>
      <c r="AC10">
        <f>IF($Z10=1,IFERROR(IF(VALUE($B10)&lt;100000000,VALUE($B10),1000000000),IFERROR(IF(VALUE(MID($B10,2,20))&lt;100000000,VALUE(MID($B10,2,20)),1000000000),1000000000))+ROW()/100000,"")</f>
        <v/>
      </c>
    </row>
    <row r="11">
      <c r="A11">
        <f>IF($B11="","",IFERROR(IF(INDEX('Per Invoice'!$A$2:$A$801,MATCH($B11,'Per Invoice'!$B$2:$B$801,0))=0,"",INDEX('Per Invoice'!$A$2:$A$801,MATCH($B11,'Per Invoice'!$B$2:$B$801,0))),""))</f>
        <v/>
      </c>
      <c r="J11" s="7">
        <f>IF($B11="","",I11*Q11/100)</f>
        <v/>
      </c>
      <c r="N11" s="7" t="n"/>
      <c r="O11" s="7" t="n"/>
      <c r="P11" s="7">
        <f>IF($B11="","",O11*X11/100)</f>
        <v/>
      </c>
      <c r="Q11" s="7">
        <f>IF($B11="","",O11-P11)</f>
        <v/>
      </c>
      <c r="R11" s="7">
        <f>IF($B11="","",Q11-J11)</f>
        <v/>
      </c>
      <c r="S11" s="7" t="n"/>
      <c r="T11" s="7" t="n"/>
      <c r="V11" s="14" t="n"/>
      <c r="Z11">
        <f>IF($B11="","",IF(COUNTIF($B$2:$B11,$B11)=1,1,0))</f>
        <v/>
      </c>
      <c r="AA11">
        <f>IF($Z11=1,SUMPRODUCT(--($AC$2:$AC$3001&lt;$AC11))+1,"")</f>
        <v/>
      </c>
      <c r="AB11">
        <f>IF($B11="","",IF(OR($Y11=TRUE(),$Y11="TRUE"),1,IF(AND($Y11&lt;&gt;"",OR($Y11=FALSE(),$Y11="FALSE")),0,IF(MIN(ABS($X11/100-Settings!$C$6),ABS($X11/100-Settings!$G$6))&lt;=MIN(ABS($X11/100-Settings!$C$7),ABS($X11/100-Settings!$G$7)),1,0))))</f>
        <v/>
      </c>
      <c r="AC11">
        <f>IF($Z11=1,IFERROR(IF(VALUE($B11)&lt;100000000,VALUE($B11),1000000000),IFERROR(IF(VALUE(MID($B11,2,20))&lt;100000000,VALUE(MID($B11,2,20)),1000000000),1000000000))+ROW()/100000,"")</f>
        <v/>
      </c>
    </row>
    <row r="12">
      <c r="A12">
        <f>IF($B12="","",IFERROR(IF(INDEX('Per Invoice'!$A$2:$A$801,MATCH($B12,'Per Invoice'!$B$2:$B$801,0))=0,"",INDEX('Per Invoice'!$A$2:$A$801,MATCH($B12,'Per Invoice'!$B$2:$B$801,0))),""))</f>
        <v/>
      </c>
      <c r="J12" s="7">
        <f>IF($B12="","",I12*Q12/100)</f>
        <v/>
      </c>
      <c r="N12" s="7" t="n"/>
      <c r="O12" s="7" t="n"/>
      <c r="P12" s="7">
        <f>IF($B12="","",O12*X12/100)</f>
        <v/>
      </c>
      <c r="Q12" s="7">
        <f>IF($B12="","",O12-P12)</f>
        <v/>
      </c>
      <c r="R12" s="7">
        <f>IF($B12="","",Q12-J12)</f>
        <v/>
      </c>
      <c r="S12" s="7" t="n"/>
      <c r="T12" s="7" t="n"/>
      <c r="V12" s="14" t="n"/>
      <c r="Z12">
        <f>IF($B12="","",IF(COUNTIF($B$2:$B12,$B12)=1,1,0))</f>
        <v/>
      </c>
      <c r="AA12">
        <f>IF($Z12=1,SUMPRODUCT(--($AC$2:$AC$3001&lt;$AC12))+1,"")</f>
        <v/>
      </c>
      <c r="AB12">
        <f>IF($B12="","",IF(OR($Y12=TRUE(),$Y12="TRUE"),1,IF(AND($Y12&lt;&gt;"",OR($Y12=FALSE(),$Y12="FALSE")),0,IF(MIN(ABS($X12/100-Settings!$C$6),ABS($X12/100-Settings!$G$6))&lt;=MIN(ABS($X12/100-Settings!$C$7),ABS($X12/100-Settings!$G$7)),1,0))))</f>
        <v/>
      </c>
      <c r="AC12">
        <f>IF($Z12=1,IFERROR(IF(VALUE($B12)&lt;100000000,VALUE($B12),1000000000),IFERROR(IF(VALUE(MID($B12,2,20))&lt;100000000,VALUE(MID($B12,2,20)),1000000000),1000000000))+ROW()/100000,"")</f>
        <v/>
      </c>
    </row>
    <row r="13">
      <c r="A13">
        <f>IF($B13="","",IFERROR(IF(INDEX('Per Invoice'!$A$2:$A$801,MATCH($B13,'Per Invoice'!$B$2:$B$801,0))=0,"",INDEX('Per Invoice'!$A$2:$A$801,MATCH($B13,'Per Invoice'!$B$2:$B$801,0))),""))</f>
        <v/>
      </c>
      <c r="J13" s="7">
        <f>IF($B13="","",I13*Q13/100)</f>
        <v/>
      </c>
      <c r="N13" s="7" t="n"/>
      <c r="O13" s="7" t="n"/>
      <c r="P13" s="7">
        <f>IF($B13="","",O13*X13/100)</f>
        <v/>
      </c>
      <c r="Q13" s="7">
        <f>IF($B13="","",O13-P13)</f>
        <v/>
      </c>
      <c r="R13" s="7">
        <f>IF($B13="","",Q13-J13)</f>
        <v/>
      </c>
      <c r="S13" s="7" t="n"/>
      <c r="T13" s="7" t="n"/>
      <c r="V13" s="14" t="n"/>
      <c r="Z13">
        <f>IF($B13="","",IF(COUNTIF($B$2:$B13,$B13)=1,1,0))</f>
        <v/>
      </c>
      <c r="AA13">
        <f>IF($Z13=1,SUMPRODUCT(--($AC$2:$AC$3001&lt;$AC13))+1,"")</f>
        <v/>
      </c>
      <c r="AB13">
        <f>IF($B13="","",IF(OR($Y13=TRUE(),$Y13="TRUE"),1,IF(AND($Y13&lt;&gt;"",OR($Y13=FALSE(),$Y13="FALSE")),0,IF(MIN(ABS($X13/100-Settings!$C$6),ABS($X13/100-Settings!$G$6))&lt;=MIN(ABS($X13/100-Settings!$C$7),ABS($X13/100-Settings!$G$7)),1,0))))</f>
        <v/>
      </c>
      <c r="AC13">
        <f>IF($Z13=1,IFERROR(IF(VALUE($B13)&lt;100000000,VALUE($B13),1000000000),IFERROR(IF(VALUE(MID($B13,2,20))&lt;100000000,VALUE(MID($B13,2,20)),1000000000),1000000000))+ROW()/100000,"")</f>
        <v/>
      </c>
    </row>
    <row r="14">
      <c r="A14">
        <f>IF($B14="","",IFERROR(IF(INDEX('Per Invoice'!$A$2:$A$801,MATCH($B14,'Per Invoice'!$B$2:$B$801,0))=0,"",INDEX('Per Invoice'!$A$2:$A$801,MATCH($B14,'Per Invoice'!$B$2:$B$801,0))),""))</f>
        <v/>
      </c>
      <c r="J14" s="7">
        <f>IF($B14="","",I14*Q14/100)</f>
        <v/>
      </c>
      <c r="N14" s="7" t="n"/>
      <c r="O14" s="7" t="n"/>
      <c r="P14" s="7">
        <f>IF($B14="","",O14*X14/100)</f>
        <v/>
      </c>
      <c r="Q14" s="7">
        <f>IF($B14="","",O14-P14)</f>
        <v/>
      </c>
      <c r="R14" s="7">
        <f>IF($B14="","",Q14-J14)</f>
        <v/>
      </c>
      <c r="S14" s="7" t="n"/>
      <c r="T14" s="7" t="n"/>
      <c r="V14" s="14" t="n"/>
      <c r="Z14">
        <f>IF($B14="","",IF(COUNTIF($B$2:$B14,$B14)=1,1,0))</f>
        <v/>
      </c>
      <c r="AA14">
        <f>IF($Z14=1,SUMPRODUCT(--($AC$2:$AC$3001&lt;$AC14))+1,"")</f>
        <v/>
      </c>
      <c r="AB14">
        <f>IF($B14="","",IF(OR($Y14=TRUE(),$Y14="TRUE"),1,IF(AND($Y14&lt;&gt;"",OR($Y14=FALSE(),$Y14="FALSE")),0,IF(MIN(ABS($X14/100-Settings!$C$6),ABS($X14/100-Settings!$G$6))&lt;=MIN(ABS($X14/100-Settings!$C$7),ABS($X14/100-Settings!$G$7)),1,0))))</f>
        <v/>
      </c>
      <c r="AC14">
        <f>IF($Z14=1,IFERROR(IF(VALUE($B14)&lt;100000000,VALUE($B14),1000000000),IFERROR(IF(VALUE(MID($B14,2,20))&lt;100000000,VALUE(MID($B14,2,20)),1000000000),1000000000))+ROW()/100000,"")</f>
        <v/>
      </c>
    </row>
    <row r="15">
      <c r="A15">
        <f>IF($B15="","",IFERROR(IF(INDEX('Per Invoice'!$A$2:$A$801,MATCH($B15,'Per Invoice'!$B$2:$B$801,0))=0,"",INDEX('Per Invoice'!$A$2:$A$801,MATCH($B15,'Per Invoice'!$B$2:$B$801,0))),""))</f>
        <v/>
      </c>
      <c r="J15" s="7">
        <f>IF($B15="","",I15*Q15/100)</f>
        <v/>
      </c>
      <c r="N15" s="7" t="n"/>
      <c r="O15" s="7" t="n"/>
      <c r="P15" s="7">
        <f>IF($B15="","",O15*X15/100)</f>
        <v/>
      </c>
      <c r="Q15" s="7">
        <f>IF($B15="","",O15-P15)</f>
        <v/>
      </c>
      <c r="R15" s="7">
        <f>IF($B15="","",Q15-J15)</f>
        <v/>
      </c>
      <c r="S15" s="7" t="n"/>
      <c r="T15" s="7" t="n"/>
      <c r="V15" s="14" t="n"/>
      <c r="Z15">
        <f>IF($B15="","",IF(COUNTIF($B$2:$B15,$B15)=1,1,0))</f>
        <v/>
      </c>
      <c r="AA15">
        <f>IF($Z15=1,SUMPRODUCT(--($AC$2:$AC$3001&lt;$AC15))+1,"")</f>
        <v/>
      </c>
      <c r="AB15">
        <f>IF($B15="","",IF(OR($Y15=TRUE(),$Y15="TRUE"),1,IF(AND($Y15&lt;&gt;"",OR($Y15=FALSE(),$Y15="FALSE")),0,IF(MIN(ABS($X15/100-Settings!$C$6),ABS($X15/100-Settings!$G$6))&lt;=MIN(ABS($X15/100-Settings!$C$7),ABS($X15/100-Settings!$G$7)),1,0))))</f>
        <v/>
      </c>
      <c r="AC15">
        <f>IF($Z15=1,IFERROR(IF(VALUE($B15)&lt;100000000,VALUE($B15),1000000000),IFERROR(IF(VALUE(MID($B15,2,20))&lt;100000000,VALUE(MID($B15,2,20)),1000000000),1000000000))+ROW()/100000,"")</f>
        <v/>
      </c>
    </row>
    <row r="16">
      <c r="A16">
        <f>IF($B16="","",IFERROR(IF(INDEX('Per Invoice'!$A$2:$A$801,MATCH($B16,'Per Invoice'!$B$2:$B$801,0))=0,"",INDEX('Per Invoice'!$A$2:$A$801,MATCH($B16,'Per Invoice'!$B$2:$B$801,0))),""))</f>
        <v/>
      </c>
      <c r="J16" s="7">
        <f>IF($B16="","",I16*Q16/100)</f>
        <v/>
      </c>
      <c r="N16" s="7" t="n"/>
      <c r="O16" s="7" t="n"/>
      <c r="P16" s="7">
        <f>IF($B16="","",O16*X16/100)</f>
        <v/>
      </c>
      <c r="Q16" s="7">
        <f>IF($B16="","",O16-P16)</f>
        <v/>
      </c>
      <c r="R16" s="7">
        <f>IF($B16="","",Q16-J16)</f>
        <v/>
      </c>
      <c r="S16" s="7" t="n"/>
      <c r="T16" s="7" t="n"/>
      <c r="V16" s="14" t="n"/>
      <c r="Z16">
        <f>IF($B16="","",IF(COUNTIF($B$2:$B16,$B16)=1,1,0))</f>
        <v/>
      </c>
      <c r="AA16">
        <f>IF($Z16=1,SUMPRODUCT(--($AC$2:$AC$3001&lt;$AC16))+1,"")</f>
        <v/>
      </c>
      <c r="AB16">
        <f>IF($B16="","",IF(OR($Y16=TRUE(),$Y16="TRUE"),1,IF(AND($Y16&lt;&gt;"",OR($Y16=FALSE(),$Y16="FALSE")),0,IF(MIN(ABS($X16/100-Settings!$C$6),ABS($X16/100-Settings!$G$6))&lt;=MIN(ABS($X16/100-Settings!$C$7),ABS($X16/100-Settings!$G$7)),1,0))))</f>
        <v/>
      </c>
      <c r="AC16">
        <f>IF($Z16=1,IFERROR(IF(VALUE($B16)&lt;100000000,VALUE($B16),1000000000),IFERROR(IF(VALUE(MID($B16,2,20))&lt;100000000,VALUE(MID($B16,2,20)),1000000000),1000000000))+ROW()/100000,"")</f>
        <v/>
      </c>
    </row>
    <row r="17">
      <c r="A17">
        <f>IF($B17="","",IFERROR(IF(INDEX('Per Invoice'!$A$2:$A$801,MATCH($B17,'Per Invoice'!$B$2:$B$801,0))=0,"",INDEX('Per Invoice'!$A$2:$A$801,MATCH($B17,'Per Invoice'!$B$2:$B$801,0))),""))</f>
        <v/>
      </c>
      <c r="J17" s="7">
        <f>IF($B17="","",I17*Q17/100)</f>
        <v/>
      </c>
      <c r="N17" s="7" t="n"/>
      <c r="O17" s="7" t="n"/>
      <c r="P17" s="7">
        <f>IF($B17="","",O17*X17/100)</f>
        <v/>
      </c>
      <c r="Q17" s="7">
        <f>IF($B17="","",O17-P17)</f>
        <v/>
      </c>
      <c r="R17" s="7">
        <f>IF($B17="","",Q17-J17)</f>
        <v/>
      </c>
      <c r="S17" s="7" t="n"/>
      <c r="T17" s="7" t="n"/>
      <c r="V17" s="14" t="n"/>
      <c r="Z17">
        <f>IF($B17="","",IF(COUNTIF($B$2:$B17,$B17)=1,1,0))</f>
        <v/>
      </c>
      <c r="AA17">
        <f>IF($Z17=1,SUMPRODUCT(--($AC$2:$AC$3001&lt;$AC17))+1,"")</f>
        <v/>
      </c>
      <c r="AB17">
        <f>IF($B17="","",IF(OR($Y17=TRUE(),$Y17="TRUE"),1,IF(AND($Y17&lt;&gt;"",OR($Y17=FALSE(),$Y17="FALSE")),0,IF(MIN(ABS($X17/100-Settings!$C$6),ABS($X17/100-Settings!$G$6))&lt;=MIN(ABS($X17/100-Settings!$C$7),ABS($X17/100-Settings!$G$7)),1,0))))</f>
        <v/>
      </c>
      <c r="AC17">
        <f>IF($Z17=1,IFERROR(IF(VALUE($B17)&lt;100000000,VALUE($B17),1000000000),IFERROR(IF(VALUE(MID($B17,2,20))&lt;100000000,VALUE(MID($B17,2,20)),1000000000),1000000000))+ROW()/100000,"")</f>
        <v/>
      </c>
    </row>
    <row r="18">
      <c r="A18">
        <f>IF($B18="","",IFERROR(IF(INDEX('Per Invoice'!$A$2:$A$801,MATCH($B18,'Per Invoice'!$B$2:$B$801,0))=0,"",INDEX('Per Invoice'!$A$2:$A$801,MATCH($B18,'Per Invoice'!$B$2:$B$801,0))),""))</f>
        <v/>
      </c>
      <c r="J18" s="7">
        <f>IF($B18="","",I18*Q18/100)</f>
        <v/>
      </c>
      <c r="N18" s="7" t="n"/>
      <c r="O18" s="7" t="n"/>
      <c r="P18" s="7">
        <f>IF($B18="","",O18*X18/100)</f>
        <v/>
      </c>
      <c r="Q18" s="7">
        <f>IF($B18="","",O18-P18)</f>
        <v/>
      </c>
      <c r="R18" s="7">
        <f>IF($B18="","",Q18-J18)</f>
        <v/>
      </c>
      <c r="S18" s="7" t="n"/>
      <c r="T18" s="7" t="n"/>
      <c r="V18" s="14" t="n"/>
      <c r="Z18">
        <f>IF($B18="","",IF(COUNTIF($B$2:$B18,$B18)=1,1,0))</f>
        <v/>
      </c>
      <c r="AA18">
        <f>IF($Z18=1,SUMPRODUCT(--($AC$2:$AC$3001&lt;$AC18))+1,"")</f>
        <v/>
      </c>
      <c r="AB18">
        <f>IF($B18="","",IF(OR($Y18=TRUE(),$Y18="TRUE"),1,IF(AND($Y18&lt;&gt;"",OR($Y18=FALSE(),$Y18="FALSE")),0,IF(MIN(ABS($X18/100-Settings!$C$6),ABS($X18/100-Settings!$G$6))&lt;=MIN(ABS($X18/100-Settings!$C$7),ABS($X18/100-Settings!$G$7)),1,0))))</f>
        <v/>
      </c>
      <c r="AC18">
        <f>IF($Z18=1,IFERROR(IF(VALUE($B18)&lt;100000000,VALUE($B18),1000000000),IFERROR(IF(VALUE(MID($B18,2,20))&lt;100000000,VALUE(MID($B18,2,20)),1000000000),1000000000))+ROW()/100000,"")</f>
        <v/>
      </c>
    </row>
    <row r="19">
      <c r="A19">
        <f>IF($B19="","",IFERROR(IF(INDEX('Per Invoice'!$A$2:$A$801,MATCH($B19,'Per Invoice'!$B$2:$B$801,0))=0,"",INDEX('Per Invoice'!$A$2:$A$801,MATCH($B19,'Per Invoice'!$B$2:$B$801,0))),""))</f>
        <v/>
      </c>
      <c r="J19" s="7">
        <f>IF($B19="","",I19*Q19/100)</f>
        <v/>
      </c>
      <c r="N19" s="7" t="n"/>
      <c r="O19" s="7" t="n"/>
      <c r="P19" s="7">
        <f>IF($B19="","",O19*X19/100)</f>
        <v/>
      </c>
      <c r="Q19" s="7">
        <f>IF($B19="","",O19-P19)</f>
        <v/>
      </c>
      <c r="R19" s="7">
        <f>IF($B19="","",Q19-J19)</f>
        <v/>
      </c>
      <c r="S19" s="7" t="n"/>
      <c r="T19" s="7" t="n"/>
      <c r="V19" s="14" t="n"/>
      <c r="Z19">
        <f>IF($B19="","",IF(COUNTIF($B$2:$B19,$B19)=1,1,0))</f>
        <v/>
      </c>
      <c r="AA19">
        <f>IF($Z19=1,SUMPRODUCT(--($AC$2:$AC$3001&lt;$AC19))+1,"")</f>
        <v/>
      </c>
      <c r="AB19">
        <f>IF($B19="","",IF(OR($Y19=TRUE(),$Y19="TRUE"),1,IF(AND($Y19&lt;&gt;"",OR($Y19=FALSE(),$Y19="FALSE")),0,IF(MIN(ABS($X19/100-Settings!$C$6),ABS($X19/100-Settings!$G$6))&lt;=MIN(ABS($X19/100-Settings!$C$7),ABS($X19/100-Settings!$G$7)),1,0))))</f>
        <v/>
      </c>
      <c r="AC19">
        <f>IF($Z19=1,IFERROR(IF(VALUE($B19)&lt;100000000,VALUE($B19),1000000000),IFERROR(IF(VALUE(MID($B19,2,20))&lt;100000000,VALUE(MID($B19,2,20)),1000000000),1000000000))+ROW()/100000,"")</f>
        <v/>
      </c>
    </row>
    <row r="20">
      <c r="A20">
        <f>IF($B20="","",IFERROR(IF(INDEX('Per Invoice'!$A$2:$A$801,MATCH($B20,'Per Invoice'!$B$2:$B$801,0))=0,"",INDEX('Per Invoice'!$A$2:$A$801,MATCH($B20,'Per Invoice'!$B$2:$B$801,0))),""))</f>
        <v/>
      </c>
      <c r="J20" s="7">
        <f>IF($B20="","",I20*Q20/100)</f>
        <v/>
      </c>
      <c r="N20" s="7" t="n"/>
      <c r="O20" s="7" t="n"/>
      <c r="P20" s="7">
        <f>IF($B20="","",O20*X20/100)</f>
        <v/>
      </c>
      <c r="Q20" s="7">
        <f>IF($B20="","",O20-P20)</f>
        <v/>
      </c>
      <c r="R20" s="7">
        <f>IF($B20="","",Q20-J20)</f>
        <v/>
      </c>
      <c r="S20" s="7" t="n"/>
      <c r="T20" s="7" t="n"/>
      <c r="V20" s="14" t="n"/>
      <c r="Z20">
        <f>IF($B20="","",IF(COUNTIF($B$2:$B20,$B20)=1,1,0))</f>
        <v/>
      </c>
      <c r="AA20">
        <f>IF($Z20=1,SUMPRODUCT(--($AC$2:$AC$3001&lt;$AC20))+1,"")</f>
        <v/>
      </c>
      <c r="AB20">
        <f>IF($B20="","",IF(OR($Y20=TRUE(),$Y20="TRUE"),1,IF(AND($Y20&lt;&gt;"",OR($Y20=FALSE(),$Y20="FALSE")),0,IF(MIN(ABS($X20/100-Settings!$C$6),ABS($X20/100-Settings!$G$6))&lt;=MIN(ABS($X20/100-Settings!$C$7),ABS($X20/100-Settings!$G$7)),1,0))))</f>
        <v/>
      </c>
      <c r="AC20">
        <f>IF($Z20=1,IFERROR(IF(VALUE($B20)&lt;100000000,VALUE($B20),1000000000),IFERROR(IF(VALUE(MID($B20,2,20))&lt;100000000,VALUE(MID($B20,2,20)),1000000000),1000000000))+ROW()/100000,"")</f>
        <v/>
      </c>
    </row>
    <row r="21">
      <c r="A21">
        <f>IF($B21="","",IFERROR(IF(INDEX('Per Invoice'!$A$2:$A$801,MATCH($B21,'Per Invoice'!$B$2:$B$801,0))=0,"",INDEX('Per Invoice'!$A$2:$A$801,MATCH($B21,'Per Invoice'!$B$2:$B$801,0))),""))</f>
        <v/>
      </c>
      <c r="J21" s="7">
        <f>IF($B21="","",I21*Q21/100)</f>
        <v/>
      </c>
      <c r="N21" s="7" t="n"/>
      <c r="O21" s="7" t="n"/>
      <c r="P21" s="7">
        <f>IF($B21="","",O21*X21/100)</f>
        <v/>
      </c>
      <c r="Q21" s="7">
        <f>IF($B21="","",O21-P21)</f>
        <v/>
      </c>
      <c r="R21" s="7">
        <f>IF($B21="","",Q21-J21)</f>
        <v/>
      </c>
      <c r="S21" s="7" t="n"/>
      <c r="T21" s="7" t="n"/>
      <c r="V21" s="14" t="n"/>
      <c r="Z21">
        <f>IF($B21="","",IF(COUNTIF($B$2:$B21,$B21)=1,1,0))</f>
        <v/>
      </c>
      <c r="AA21">
        <f>IF($Z21=1,SUMPRODUCT(--($AC$2:$AC$3001&lt;$AC21))+1,"")</f>
        <v/>
      </c>
      <c r="AB21">
        <f>IF($B21="","",IF(OR($Y21=TRUE(),$Y21="TRUE"),1,IF(AND($Y21&lt;&gt;"",OR($Y21=FALSE(),$Y21="FALSE")),0,IF(MIN(ABS($X21/100-Settings!$C$6),ABS($X21/100-Settings!$G$6))&lt;=MIN(ABS($X21/100-Settings!$C$7),ABS($X21/100-Settings!$G$7)),1,0))))</f>
        <v/>
      </c>
      <c r="AC21">
        <f>IF($Z21=1,IFERROR(IF(VALUE($B21)&lt;100000000,VALUE($B21),1000000000),IFERROR(IF(VALUE(MID($B21,2,20))&lt;100000000,VALUE(MID($B21,2,20)),1000000000),1000000000))+ROW()/100000,"")</f>
        <v/>
      </c>
    </row>
    <row r="22">
      <c r="A22">
        <f>IF($B22="","",IFERROR(IF(INDEX('Per Invoice'!$A$2:$A$801,MATCH($B22,'Per Invoice'!$B$2:$B$801,0))=0,"",INDEX('Per Invoice'!$A$2:$A$801,MATCH($B22,'Per Invoice'!$B$2:$B$801,0))),""))</f>
        <v/>
      </c>
      <c r="J22" s="7">
        <f>IF($B22="","",I22*Q22/100)</f>
        <v/>
      </c>
      <c r="N22" s="7" t="n"/>
      <c r="O22" s="7" t="n"/>
      <c r="P22" s="7">
        <f>IF($B22="","",O22*X22/100)</f>
        <v/>
      </c>
      <c r="Q22" s="7">
        <f>IF($B22="","",O22-P22)</f>
        <v/>
      </c>
      <c r="R22" s="7">
        <f>IF($B22="","",Q22-J22)</f>
        <v/>
      </c>
      <c r="S22" s="7" t="n"/>
      <c r="T22" s="7" t="n"/>
      <c r="V22" s="14" t="n"/>
      <c r="Z22">
        <f>IF($B22="","",IF(COUNTIF($B$2:$B22,$B22)=1,1,0))</f>
        <v/>
      </c>
      <c r="AA22">
        <f>IF($Z22=1,SUMPRODUCT(--($AC$2:$AC$3001&lt;$AC22))+1,"")</f>
        <v/>
      </c>
      <c r="AB22">
        <f>IF($B22="","",IF(OR($Y22=TRUE(),$Y22="TRUE"),1,IF(AND($Y22&lt;&gt;"",OR($Y22=FALSE(),$Y22="FALSE")),0,IF(MIN(ABS($X22/100-Settings!$C$6),ABS($X22/100-Settings!$G$6))&lt;=MIN(ABS($X22/100-Settings!$C$7),ABS($X22/100-Settings!$G$7)),1,0))))</f>
        <v/>
      </c>
      <c r="AC22">
        <f>IF($Z22=1,IFERROR(IF(VALUE($B22)&lt;100000000,VALUE($B22),1000000000),IFERROR(IF(VALUE(MID($B22,2,20))&lt;100000000,VALUE(MID($B22,2,20)),1000000000),1000000000))+ROW()/100000,"")</f>
        <v/>
      </c>
    </row>
    <row r="23">
      <c r="A23">
        <f>IF($B23="","",IFERROR(IF(INDEX('Per Invoice'!$A$2:$A$801,MATCH($B23,'Per Invoice'!$B$2:$B$801,0))=0,"",INDEX('Per Invoice'!$A$2:$A$801,MATCH($B23,'Per Invoice'!$B$2:$B$801,0))),""))</f>
        <v/>
      </c>
      <c r="J23" s="7">
        <f>IF($B23="","",I23*Q23/100)</f>
        <v/>
      </c>
      <c r="N23" s="7" t="n"/>
      <c r="O23" s="7" t="n"/>
      <c r="P23" s="7">
        <f>IF($B23="","",O23*X23/100)</f>
        <v/>
      </c>
      <c r="Q23" s="7">
        <f>IF($B23="","",O23-P23)</f>
        <v/>
      </c>
      <c r="R23" s="7">
        <f>IF($B23="","",Q23-J23)</f>
        <v/>
      </c>
      <c r="S23" s="7" t="n"/>
      <c r="T23" s="7" t="n"/>
      <c r="V23" s="14" t="n"/>
      <c r="Z23">
        <f>IF($B23="","",IF(COUNTIF($B$2:$B23,$B23)=1,1,0))</f>
        <v/>
      </c>
      <c r="AA23">
        <f>IF($Z23=1,SUMPRODUCT(--($AC$2:$AC$3001&lt;$AC23))+1,"")</f>
        <v/>
      </c>
      <c r="AB23">
        <f>IF($B23="","",IF(OR($Y23=TRUE(),$Y23="TRUE"),1,IF(AND($Y23&lt;&gt;"",OR($Y23=FALSE(),$Y23="FALSE")),0,IF(MIN(ABS($X23/100-Settings!$C$6),ABS($X23/100-Settings!$G$6))&lt;=MIN(ABS($X23/100-Settings!$C$7),ABS($X23/100-Settings!$G$7)),1,0))))</f>
        <v/>
      </c>
      <c r="AC23">
        <f>IF($Z23=1,IFERROR(IF(VALUE($B23)&lt;100000000,VALUE($B23),1000000000),IFERROR(IF(VALUE(MID($B23,2,20))&lt;100000000,VALUE(MID($B23,2,20)),1000000000),1000000000))+ROW()/100000,"")</f>
        <v/>
      </c>
    </row>
    <row r="24">
      <c r="A24">
        <f>IF($B24="","",IFERROR(IF(INDEX('Per Invoice'!$A$2:$A$801,MATCH($B24,'Per Invoice'!$B$2:$B$801,0))=0,"",INDEX('Per Invoice'!$A$2:$A$801,MATCH($B24,'Per Invoice'!$B$2:$B$801,0))),""))</f>
        <v/>
      </c>
      <c r="J24" s="7">
        <f>IF($B24="","",I24*Q24/100)</f>
        <v/>
      </c>
      <c r="N24" s="7" t="n"/>
      <c r="O24" s="7" t="n"/>
      <c r="P24" s="7">
        <f>IF($B24="","",O24*X24/100)</f>
        <v/>
      </c>
      <c r="Q24" s="7">
        <f>IF($B24="","",O24-P24)</f>
        <v/>
      </c>
      <c r="R24" s="7">
        <f>IF($B24="","",Q24-J24)</f>
        <v/>
      </c>
      <c r="S24" s="7" t="n"/>
      <c r="T24" s="7" t="n"/>
      <c r="V24" s="14" t="n"/>
      <c r="Z24">
        <f>IF($B24="","",IF(COUNTIF($B$2:$B24,$B24)=1,1,0))</f>
        <v/>
      </c>
      <c r="AA24">
        <f>IF($Z24=1,SUMPRODUCT(--($AC$2:$AC$3001&lt;$AC24))+1,"")</f>
        <v/>
      </c>
      <c r="AB24">
        <f>IF($B24="","",IF(OR($Y24=TRUE(),$Y24="TRUE"),1,IF(AND($Y24&lt;&gt;"",OR($Y24=FALSE(),$Y24="FALSE")),0,IF(MIN(ABS($X24/100-Settings!$C$6),ABS($X24/100-Settings!$G$6))&lt;=MIN(ABS($X24/100-Settings!$C$7),ABS($X24/100-Settings!$G$7)),1,0))))</f>
        <v/>
      </c>
      <c r="AC24">
        <f>IF($Z24=1,IFERROR(IF(VALUE($B24)&lt;100000000,VALUE($B24),1000000000),IFERROR(IF(VALUE(MID($B24,2,20))&lt;100000000,VALUE(MID($B24,2,20)),1000000000),1000000000))+ROW()/100000,"")</f>
        <v/>
      </c>
    </row>
    <row r="25">
      <c r="A25">
        <f>IF($B25="","",IFERROR(IF(INDEX('Per Invoice'!$A$2:$A$801,MATCH($B25,'Per Invoice'!$B$2:$B$801,0))=0,"",INDEX('Per Invoice'!$A$2:$A$801,MATCH($B25,'Per Invoice'!$B$2:$B$801,0))),""))</f>
        <v/>
      </c>
      <c r="J25" s="7">
        <f>IF($B25="","",I25*Q25/100)</f>
        <v/>
      </c>
      <c r="N25" s="7" t="n"/>
      <c r="O25" s="7" t="n"/>
      <c r="P25" s="7">
        <f>IF($B25="","",O25*X25/100)</f>
        <v/>
      </c>
      <c r="Q25" s="7">
        <f>IF($B25="","",O25-P25)</f>
        <v/>
      </c>
      <c r="R25" s="7">
        <f>IF($B25="","",Q25-J25)</f>
        <v/>
      </c>
      <c r="S25" s="7" t="n"/>
      <c r="T25" s="7" t="n"/>
      <c r="V25" s="14" t="n"/>
      <c r="Z25">
        <f>IF($B25="","",IF(COUNTIF($B$2:$B25,$B25)=1,1,0))</f>
        <v/>
      </c>
      <c r="AA25">
        <f>IF($Z25=1,SUMPRODUCT(--($AC$2:$AC$3001&lt;$AC25))+1,"")</f>
        <v/>
      </c>
      <c r="AB25">
        <f>IF($B25="","",IF(OR($Y25=TRUE(),$Y25="TRUE"),1,IF(AND($Y25&lt;&gt;"",OR($Y25=FALSE(),$Y25="FALSE")),0,IF(MIN(ABS($X25/100-Settings!$C$6),ABS($X25/100-Settings!$G$6))&lt;=MIN(ABS($X25/100-Settings!$C$7),ABS($X25/100-Settings!$G$7)),1,0))))</f>
        <v/>
      </c>
      <c r="AC25">
        <f>IF($Z25=1,IFERROR(IF(VALUE($B25)&lt;100000000,VALUE($B25),1000000000),IFERROR(IF(VALUE(MID($B25,2,20))&lt;100000000,VALUE(MID($B25,2,20)),1000000000),1000000000))+ROW()/100000,"")</f>
        <v/>
      </c>
    </row>
    <row r="26">
      <c r="A26">
        <f>IF($B26="","",IFERROR(IF(INDEX('Per Invoice'!$A$2:$A$801,MATCH($B26,'Per Invoice'!$B$2:$B$801,0))=0,"",INDEX('Per Invoice'!$A$2:$A$801,MATCH($B26,'Per Invoice'!$B$2:$B$801,0))),""))</f>
        <v/>
      </c>
      <c r="J26" s="7">
        <f>IF($B26="","",I26*Q26/100)</f>
        <v/>
      </c>
      <c r="N26" s="7" t="n"/>
      <c r="O26" s="7" t="n"/>
      <c r="P26" s="7">
        <f>IF($B26="","",O26*X26/100)</f>
        <v/>
      </c>
      <c r="Q26" s="7">
        <f>IF($B26="","",O26-P26)</f>
        <v/>
      </c>
      <c r="R26" s="7">
        <f>IF($B26="","",Q26-J26)</f>
        <v/>
      </c>
      <c r="S26" s="7" t="n"/>
      <c r="T26" s="7" t="n"/>
      <c r="V26" s="14" t="n"/>
      <c r="Z26">
        <f>IF($B26="","",IF(COUNTIF($B$2:$B26,$B26)=1,1,0))</f>
        <v/>
      </c>
      <c r="AA26">
        <f>IF($Z26=1,SUMPRODUCT(--($AC$2:$AC$3001&lt;$AC26))+1,"")</f>
        <v/>
      </c>
      <c r="AB26">
        <f>IF($B26="","",IF(OR($Y26=TRUE(),$Y26="TRUE"),1,IF(AND($Y26&lt;&gt;"",OR($Y26=FALSE(),$Y26="FALSE")),0,IF(MIN(ABS($X26/100-Settings!$C$6),ABS($X26/100-Settings!$G$6))&lt;=MIN(ABS($X26/100-Settings!$C$7),ABS($X26/100-Settings!$G$7)),1,0))))</f>
        <v/>
      </c>
      <c r="AC26">
        <f>IF($Z26=1,IFERROR(IF(VALUE($B26)&lt;100000000,VALUE($B26),1000000000),IFERROR(IF(VALUE(MID($B26,2,20))&lt;100000000,VALUE(MID($B26,2,20)),1000000000),1000000000))+ROW()/100000,"")</f>
        <v/>
      </c>
    </row>
    <row r="27">
      <c r="A27">
        <f>IF($B27="","",IFERROR(IF(INDEX('Per Invoice'!$A$2:$A$801,MATCH($B27,'Per Invoice'!$B$2:$B$801,0))=0,"",INDEX('Per Invoice'!$A$2:$A$801,MATCH($B27,'Per Invoice'!$B$2:$B$801,0))),""))</f>
        <v/>
      </c>
      <c r="J27" s="7">
        <f>IF($B27="","",I27*Q27/100)</f>
        <v/>
      </c>
      <c r="N27" s="7" t="n"/>
      <c r="O27" s="7" t="n"/>
      <c r="P27" s="7">
        <f>IF($B27="","",O27*X27/100)</f>
        <v/>
      </c>
      <c r="Q27" s="7">
        <f>IF($B27="","",O27-P27)</f>
        <v/>
      </c>
      <c r="R27" s="7">
        <f>IF($B27="","",Q27-J27)</f>
        <v/>
      </c>
      <c r="S27" s="7" t="n"/>
      <c r="T27" s="7" t="n"/>
      <c r="V27" s="14" t="n"/>
      <c r="Z27">
        <f>IF($B27="","",IF(COUNTIF($B$2:$B27,$B27)=1,1,0))</f>
        <v/>
      </c>
      <c r="AA27">
        <f>IF($Z27=1,SUMPRODUCT(--($AC$2:$AC$3001&lt;$AC27))+1,"")</f>
        <v/>
      </c>
      <c r="AB27">
        <f>IF($B27="","",IF(OR($Y27=TRUE(),$Y27="TRUE"),1,IF(AND($Y27&lt;&gt;"",OR($Y27=FALSE(),$Y27="FALSE")),0,IF(MIN(ABS($X27/100-Settings!$C$6),ABS($X27/100-Settings!$G$6))&lt;=MIN(ABS($X27/100-Settings!$C$7),ABS($X27/100-Settings!$G$7)),1,0))))</f>
        <v/>
      </c>
      <c r="AC27">
        <f>IF($Z27=1,IFERROR(IF(VALUE($B27)&lt;100000000,VALUE($B27),1000000000),IFERROR(IF(VALUE(MID($B27,2,20))&lt;100000000,VALUE(MID($B27,2,20)),1000000000),1000000000))+ROW()/100000,"")</f>
        <v/>
      </c>
    </row>
    <row r="28">
      <c r="A28">
        <f>IF($B28="","",IFERROR(IF(INDEX('Per Invoice'!$A$2:$A$801,MATCH($B28,'Per Invoice'!$B$2:$B$801,0))=0,"",INDEX('Per Invoice'!$A$2:$A$801,MATCH($B28,'Per Invoice'!$B$2:$B$801,0))),""))</f>
        <v/>
      </c>
      <c r="J28" s="7">
        <f>IF($B28="","",I28*Q28/100)</f>
        <v/>
      </c>
      <c r="N28" s="7" t="n"/>
      <c r="O28" s="7" t="n"/>
      <c r="P28" s="7">
        <f>IF($B28="","",O28*X28/100)</f>
        <v/>
      </c>
      <c r="Q28" s="7">
        <f>IF($B28="","",O28-P28)</f>
        <v/>
      </c>
      <c r="R28" s="7">
        <f>IF($B28="","",Q28-J28)</f>
        <v/>
      </c>
      <c r="S28" s="7" t="n"/>
      <c r="T28" s="7" t="n"/>
      <c r="V28" s="14" t="n"/>
      <c r="Z28">
        <f>IF($B28="","",IF(COUNTIF($B$2:$B28,$B28)=1,1,0))</f>
        <v/>
      </c>
      <c r="AA28">
        <f>IF($Z28=1,SUMPRODUCT(--($AC$2:$AC$3001&lt;$AC28))+1,"")</f>
        <v/>
      </c>
      <c r="AB28">
        <f>IF($B28="","",IF(OR($Y28=TRUE(),$Y28="TRUE"),1,IF(AND($Y28&lt;&gt;"",OR($Y28=FALSE(),$Y28="FALSE")),0,IF(MIN(ABS($X28/100-Settings!$C$6),ABS($X28/100-Settings!$G$6))&lt;=MIN(ABS($X28/100-Settings!$C$7),ABS($X28/100-Settings!$G$7)),1,0))))</f>
        <v/>
      </c>
      <c r="AC28">
        <f>IF($Z28=1,IFERROR(IF(VALUE($B28)&lt;100000000,VALUE($B28),1000000000),IFERROR(IF(VALUE(MID($B28,2,20))&lt;100000000,VALUE(MID($B28,2,20)),1000000000),1000000000))+ROW()/100000,"")</f>
        <v/>
      </c>
    </row>
    <row r="29">
      <c r="A29">
        <f>IF($B29="","",IFERROR(IF(INDEX('Per Invoice'!$A$2:$A$801,MATCH($B29,'Per Invoice'!$B$2:$B$801,0))=0,"",INDEX('Per Invoice'!$A$2:$A$801,MATCH($B29,'Per Invoice'!$B$2:$B$801,0))),""))</f>
        <v/>
      </c>
      <c r="J29" s="7">
        <f>IF($B29="","",I29*Q29/100)</f>
        <v/>
      </c>
      <c r="N29" s="7" t="n"/>
      <c r="O29" s="7" t="n"/>
      <c r="P29" s="7">
        <f>IF($B29="","",O29*X29/100)</f>
        <v/>
      </c>
      <c r="Q29" s="7">
        <f>IF($B29="","",O29-P29)</f>
        <v/>
      </c>
      <c r="R29" s="7">
        <f>IF($B29="","",Q29-J29)</f>
        <v/>
      </c>
      <c r="S29" s="7" t="n"/>
      <c r="T29" s="7" t="n"/>
      <c r="V29" s="14" t="n"/>
      <c r="Z29">
        <f>IF($B29="","",IF(COUNTIF($B$2:$B29,$B29)=1,1,0))</f>
        <v/>
      </c>
      <c r="AA29">
        <f>IF($Z29=1,SUMPRODUCT(--($AC$2:$AC$3001&lt;$AC29))+1,"")</f>
        <v/>
      </c>
      <c r="AB29">
        <f>IF($B29="","",IF(OR($Y29=TRUE(),$Y29="TRUE"),1,IF(AND($Y29&lt;&gt;"",OR($Y29=FALSE(),$Y29="FALSE")),0,IF(MIN(ABS($X29/100-Settings!$C$6),ABS($X29/100-Settings!$G$6))&lt;=MIN(ABS($X29/100-Settings!$C$7),ABS($X29/100-Settings!$G$7)),1,0))))</f>
        <v/>
      </c>
      <c r="AC29">
        <f>IF($Z29=1,IFERROR(IF(VALUE($B29)&lt;100000000,VALUE($B29),1000000000),IFERROR(IF(VALUE(MID($B29,2,20))&lt;100000000,VALUE(MID($B29,2,20)),1000000000),1000000000))+ROW()/100000,"")</f>
        <v/>
      </c>
    </row>
    <row r="30">
      <c r="A30">
        <f>IF($B30="","",IFERROR(IF(INDEX('Per Invoice'!$A$2:$A$801,MATCH($B30,'Per Invoice'!$B$2:$B$801,0))=0,"",INDEX('Per Invoice'!$A$2:$A$801,MATCH($B30,'Per Invoice'!$B$2:$B$801,0))),""))</f>
        <v/>
      </c>
      <c r="J30" s="7">
        <f>IF($B30="","",I30*Q30/100)</f>
        <v/>
      </c>
      <c r="N30" s="7" t="n"/>
      <c r="O30" s="7" t="n"/>
      <c r="P30" s="7">
        <f>IF($B30="","",O30*X30/100)</f>
        <v/>
      </c>
      <c r="Q30" s="7">
        <f>IF($B30="","",O30-P30)</f>
        <v/>
      </c>
      <c r="R30" s="7">
        <f>IF($B30="","",Q30-J30)</f>
        <v/>
      </c>
      <c r="S30" s="7" t="n"/>
      <c r="T30" s="7" t="n"/>
      <c r="V30" s="14" t="n"/>
      <c r="Z30">
        <f>IF($B30="","",IF(COUNTIF($B$2:$B30,$B30)=1,1,0))</f>
        <v/>
      </c>
      <c r="AA30">
        <f>IF($Z30=1,SUMPRODUCT(--($AC$2:$AC$3001&lt;$AC30))+1,"")</f>
        <v/>
      </c>
      <c r="AB30">
        <f>IF($B30="","",IF(OR($Y30=TRUE(),$Y30="TRUE"),1,IF(AND($Y30&lt;&gt;"",OR($Y30=FALSE(),$Y30="FALSE")),0,IF(MIN(ABS($X30/100-Settings!$C$6),ABS($X30/100-Settings!$G$6))&lt;=MIN(ABS($X30/100-Settings!$C$7),ABS($X30/100-Settings!$G$7)),1,0))))</f>
        <v/>
      </c>
      <c r="AC30">
        <f>IF($Z30=1,IFERROR(IF(VALUE($B30)&lt;100000000,VALUE($B30),1000000000),IFERROR(IF(VALUE(MID($B30,2,20))&lt;100000000,VALUE(MID($B30,2,20)),1000000000),1000000000))+ROW()/100000,"")</f>
        <v/>
      </c>
    </row>
    <row r="31">
      <c r="A31">
        <f>IF($B31="","",IFERROR(IF(INDEX('Per Invoice'!$A$2:$A$801,MATCH($B31,'Per Invoice'!$B$2:$B$801,0))=0,"",INDEX('Per Invoice'!$A$2:$A$801,MATCH($B31,'Per Invoice'!$B$2:$B$801,0))),""))</f>
        <v/>
      </c>
      <c r="J31" s="7">
        <f>IF($B31="","",I31*Q31/100)</f>
        <v/>
      </c>
      <c r="N31" s="7" t="n"/>
      <c r="O31" s="7" t="n"/>
      <c r="P31" s="7">
        <f>IF($B31="","",O31*X31/100)</f>
        <v/>
      </c>
      <c r="Q31" s="7">
        <f>IF($B31="","",O31-P31)</f>
        <v/>
      </c>
      <c r="R31" s="7">
        <f>IF($B31="","",Q31-J31)</f>
        <v/>
      </c>
      <c r="S31" s="7" t="n"/>
      <c r="T31" s="7" t="n"/>
      <c r="V31" s="14" t="n"/>
      <c r="Z31">
        <f>IF($B31="","",IF(COUNTIF($B$2:$B31,$B31)=1,1,0))</f>
        <v/>
      </c>
      <c r="AA31">
        <f>IF($Z31=1,SUMPRODUCT(--($AC$2:$AC$3001&lt;$AC31))+1,"")</f>
        <v/>
      </c>
      <c r="AB31">
        <f>IF($B31="","",IF(OR($Y31=TRUE(),$Y31="TRUE"),1,IF(AND($Y31&lt;&gt;"",OR($Y31=FALSE(),$Y31="FALSE")),0,IF(MIN(ABS($X31/100-Settings!$C$6),ABS($X31/100-Settings!$G$6))&lt;=MIN(ABS($X31/100-Settings!$C$7),ABS($X31/100-Settings!$G$7)),1,0))))</f>
        <v/>
      </c>
      <c r="AC31">
        <f>IF($Z31=1,IFERROR(IF(VALUE($B31)&lt;100000000,VALUE($B31),1000000000),IFERROR(IF(VALUE(MID($B31,2,20))&lt;100000000,VALUE(MID($B31,2,20)),1000000000),1000000000))+ROW()/100000,"")</f>
        <v/>
      </c>
    </row>
    <row r="32">
      <c r="A32">
        <f>IF($B32="","",IFERROR(IF(INDEX('Per Invoice'!$A$2:$A$801,MATCH($B32,'Per Invoice'!$B$2:$B$801,0))=0,"",INDEX('Per Invoice'!$A$2:$A$801,MATCH($B32,'Per Invoice'!$B$2:$B$801,0))),""))</f>
        <v/>
      </c>
      <c r="J32" s="7">
        <f>IF($B32="","",I32*Q32/100)</f>
        <v/>
      </c>
      <c r="N32" s="7" t="n"/>
      <c r="O32" s="7" t="n"/>
      <c r="P32" s="7">
        <f>IF($B32="","",O32*X32/100)</f>
        <v/>
      </c>
      <c r="Q32" s="7">
        <f>IF($B32="","",O32-P32)</f>
        <v/>
      </c>
      <c r="R32" s="7">
        <f>IF($B32="","",Q32-J32)</f>
        <v/>
      </c>
      <c r="S32" s="7" t="n"/>
      <c r="T32" s="7" t="n"/>
      <c r="V32" s="14" t="n"/>
      <c r="Z32">
        <f>IF($B32="","",IF(COUNTIF($B$2:$B32,$B32)=1,1,0))</f>
        <v/>
      </c>
      <c r="AA32">
        <f>IF($Z32=1,SUMPRODUCT(--($AC$2:$AC$3001&lt;$AC32))+1,"")</f>
        <v/>
      </c>
      <c r="AB32">
        <f>IF($B32="","",IF(OR($Y32=TRUE(),$Y32="TRUE"),1,IF(AND($Y32&lt;&gt;"",OR($Y32=FALSE(),$Y32="FALSE")),0,IF(MIN(ABS($X32/100-Settings!$C$6),ABS($X32/100-Settings!$G$6))&lt;=MIN(ABS($X32/100-Settings!$C$7),ABS($X32/100-Settings!$G$7)),1,0))))</f>
        <v/>
      </c>
      <c r="AC32">
        <f>IF($Z32=1,IFERROR(IF(VALUE($B32)&lt;100000000,VALUE($B32),1000000000),IFERROR(IF(VALUE(MID($B32,2,20))&lt;100000000,VALUE(MID($B32,2,20)),1000000000),1000000000))+ROW()/100000,"")</f>
        <v/>
      </c>
    </row>
    <row r="33">
      <c r="A33">
        <f>IF($B33="","",IFERROR(IF(INDEX('Per Invoice'!$A$2:$A$801,MATCH($B33,'Per Invoice'!$B$2:$B$801,0))=0,"",INDEX('Per Invoice'!$A$2:$A$801,MATCH($B33,'Per Invoice'!$B$2:$B$801,0))),""))</f>
        <v/>
      </c>
      <c r="J33" s="7">
        <f>IF($B33="","",I33*Q33/100)</f>
        <v/>
      </c>
      <c r="N33" s="7" t="n"/>
      <c r="O33" s="7" t="n"/>
      <c r="P33" s="7">
        <f>IF($B33="","",O33*X33/100)</f>
        <v/>
      </c>
      <c r="Q33" s="7">
        <f>IF($B33="","",O33-P33)</f>
        <v/>
      </c>
      <c r="R33" s="7">
        <f>IF($B33="","",Q33-J33)</f>
        <v/>
      </c>
      <c r="S33" s="7" t="n"/>
      <c r="T33" s="7" t="n"/>
      <c r="V33" s="14" t="n"/>
      <c r="Z33">
        <f>IF($B33="","",IF(COUNTIF($B$2:$B33,$B33)=1,1,0))</f>
        <v/>
      </c>
      <c r="AA33">
        <f>IF($Z33=1,SUMPRODUCT(--($AC$2:$AC$3001&lt;$AC33))+1,"")</f>
        <v/>
      </c>
      <c r="AB33">
        <f>IF($B33="","",IF(OR($Y33=TRUE(),$Y33="TRUE"),1,IF(AND($Y33&lt;&gt;"",OR($Y33=FALSE(),$Y33="FALSE")),0,IF(MIN(ABS($X33/100-Settings!$C$6),ABS($X33/100-Settings!$G$6))&lt;=MIN(ABS($X33/100-Settings!$C$7),ABS($X33/100-Settings!$G$7)),1,0))))</f>
        <v/>
      </c>
      <c r="AC33">
        <f>IF($Z33=1,IFERROR(IF(VALUE($B33)&lt;100000000,VALUE($B33),1000000000),IFERROR(IF(VALUE(MID($B33,2,20))&lt;100000000,VALUE(MID($B33,2,20)),1000000000),1000000000))+ROW()/100000,"")</f>
        <v/>
      </c>
    </row>
    <row r="34">
      <c r="A34">
        <f>IF($B34="","",IFERROR(IF(INDEX('Per Invoice'!$A$2:$A$801,MATCH($B34,'Per Invoice'!$B$2:$B$801,0))=0,"",INDEX('Per Invoice'!$A$2:$A$801,MATCH($B34,'Per Invoice'!$B$2:$B$801,0))),""))</f>
        <v/>
      </c>
      <c r="J34" s="7">
        <f>IF($B34="","",I34*Q34/100)</f>
        <v/>
      </c>
      <c r="N34" s="7" t="n"/>
      <c r="O34" s="7" t="n"/>
      <c r="P34" s="7">
        <f>IF($B34="","",O34*X34/100)</f>
        <v/>
      </c>
      <c r="Q34" s="7">
        <f>IF($B34="","",O34-P34)</f>
        <v/>
      </c>
      <c r="R34" s="7">
        <f>IF($B34="","",Q34-J34)</f>
        <v/>
      </c>
      <c r="S34" s="7" t="n"/>
      <c r="T34" s="7" t="n"/>
      <c r="V34" s="14" t="n"/>
      <c r="Z34">
        <f>IF($B34="","",IF(COUNTIF($B$2:$B34,$B34)=1,1,0))</f>
        <v/>
      </c>
      <c r="AA34">
        <f>IF($Z34=1,SUMPRODUCT(--($AC$2:$AC$3001&lt;$AC34))+1,"")</f>
        <v/>
      </c>
      <c r="AB34">
        <f>IF($B34="","",IF(OR($Y34=TRUE(),$Y34="TRUE"),1,IF(AND($Y34&lt;&gt;"",OR($Y34=FALSE(),$Y34="FALSE")),0,IF(MIN(ABS($X34/100-Settings!$C$6),ABS($X34/100-Settings!$G$6))&lt;=MIN(ABS($X34/100-Settings!$C$7),ABS($X34/100-Settings!$G$7)),1,0))))</f>
        <v/>
      </c>
      <c r="AC34">
        <f>IF($Z34=1,IFERROR(IF(VALUE($B34)&lt;100000000,VALUE($B34),1000000000),IFERROR(IF(VALUE(MID($B34,2,20))&lt;100000000,VALUE(MID($B34,2,20)),1000000000),1000000000))+ROW()/100000,"")</f>
        <v/>
      </c>
    </row>
    <row r="35">
      <c r="A35">
        <f>IF($B35="","",IFERROR(IF(INDEX('Per Invoice'!$A$2:$A$801,MATCH($B35,'Per Invoice'!$B$2:$B$801,0))=0,"",INDEX('Per Invoice'!$A$2:$A$801,MATCH($B35,'Per Invoice'!$B$2:$B$801,0))),""))</f>
        <v/>
      </c>
      <c r="J35" s="7">
        <f>IF($B35="","",I35*Q35/100)</f>
        <v/>
      </c>
      <c r="N35" s="7" t="n"/>
      <c r="O35" s="7" t="n"/>
      <c r="P35" s="7">
        <f>IF($B35="","",O35*X35/100)</f>
        <v/>
      </c>
      <c r="Q35" s="7">
        <f>IF($B35="","",O35-P35)</f>
        <v/>
      </c>
      <c r="R35" s="7">
        <f>IF($B35="","",Q35-J35)</f>
        <v/>
      </c>
      <c r="S35" s="7" t="n"/>
      <c r="T35" s="7" t="n"/>
      <c r="V35" s="14" t="n"/>
      <c r="Z35">
        <f>IF($B35="","",IF(COUNTIF($B$2:$B35,$B35)=1,1,0))</f>
        <v/>
      </c>
      <c r="AA35">
        <f>IF($Z35=1,SUMPRODUCT(--($AC$2:$AC$3001&lt;$AC35))+1,"")</f>
        <v/>
      </c>
      <c r="AB35">
        <f>IF($B35="","",IF(OR($Y35=TRUE(),$Y35="TRUE"),1,IF(AND($Y35&lt;&gt;"",OR($Y35=FALSE(),$Y35="FALSE")),0,IF(MIN(ABS($X35/100-Settings!$C$6),ABS($X35/100-Settings!$G$6))&lt;=MIN(ABS($X35/100-Settings!$C$7),ABS($X35/100-Settings!$G$7)),1,0))))</f>
        <v/>
      </c>
      <c r="AC35">
        <f>IF($Z35=1,IFERROR(IF(VALUE($B35)&lt;100000000,VALUE($B35),1000000000),IFERROR(IF(VALUE(MID($B35,2,20))&lt;100000000,VALUE(MID($B35,2,20)),1000000000),1000000000))+ROW()/100000,"")</f>
        <v/>
      </c>
    </row>
    <row r="36">
      <c r="A36">
        <f>IF($B36="","",IFERROR(IF(INDEX('Per Invoice'!$A$2:$A$801,MATCH($B36,'Per Invoice'!$B$2:$B$801,0))=0,"",INDEX('Per Invoice'!$A$2:$A$801,MATCH($B36,'Per Invoice'!$B$2:$B$801,0))),""))</f>
        <v/>
      </c>
      <c r="J36" s="7">
        <f>IF($B36="","",I36*Q36/100)</f>
        <v/>
      </c>
      <c r="N36" s="7" t="n"/>
      <c r="O36" s="7" t="n"/>
      <c r="P36" s="7">
        <f>IF($B36="","",O36*X36/100)</f>
        <v/>
      </c>
      <c r="Q36" s="7">
        <f>IF($B36="","",O36-P36)</f>
        <v/>
      </c>
      <c r="R36" s="7">
        <f>IF($B36="","",Q36-J36)</f>
        <v/>
      </c>
      <c r="S36" s="7" t="n"/>
      <c r="T36" s="7" t="n"/>
      <c r="V36" s="14" t="n"/>
      <c r="Z36">
        <f>IF($B36="","",IF(COUNTIF($B$2:$B36,$B36)=1,1,0))</f>
        <v/>
      </c>
      <c r="AA36">
        <f>IF($Z36=1,SUMPRODUCT(--($AC$2:$AC$3001&lt;$AC36))+1,"")</f>
        <v/>
      </c>
      <c r="AB36">
        <f>IF($B36="","",IF(OR($Y36=TRUE(),$Y36="TRUE"),1,IF(AND($Y36&lt;&gt;"",OR($Y36=FALSE(),$Y36="FALSE")),0,IF(MIN(ABS($X36/100-Settings!$C$6),ABS($X36/100-Settings!$G$6))&lt;=MIN(ABS($X36/100-Settings!$C$7),ABS($X36/100-Settings!$G$7)),1,0))))</f>
        <v/>
      </c>
      <c r="AC36">
        <f>IF($Z36=1,IFERROR(IF(VALUE($B36)&lt;100000000,VALUE($B36),1000000000),IFERROR(IF(VALUE(MID($B36,2,20))&lt;100000000,VALUE(MID($B36,2,20)),1000000000),1000000000))+ROW()/100000,"")</f>
        <v/>
      </c>
    </row>
    <row r="37">
      <c r="A37">
        <f>IF($B37="","",IFERROR(IF(INDEX('Per Invoice'!$A$2:$A$801,MATCH($B37,'Per Invoice'!$B$2:$B$801,0))=0,"",INDEX('Per Invoice'!$A$2:$A$801,MATCH($B37,'Per Invoice'!$B$2:$B$801,0))),""))</f>
        <v/>
      </c>
      <c r="J37" s="7">
        <f>IF($B37="","",I37*Q37/100)</f>
        <v/>
      </c>
      <c r="N37" s="7" t="n"/>
      <c r="O37" s="7" t="n"/>
      <c r="P37" s="7">
        <f>IF($B37="","",O37*X37/100)</f>
        <v/>
      </c>
      <c r="Q37" s="7">
        <f>IF($B37="","",O37-P37)</f>
        <v/>
      </c>
      <c r="R37" s="7">
        <f>IF($B37="","",Q37-J37)</f>
        <v/>
      </c>
      <c r="S37" s="7" t="n"/>
      <c r="T37" s="7" t="n"/>
      <c r="V37" s="14" t="n"/>
      <c r="Z37">
        <f>IF($B37="","",IF(COUNTIF($B$2:$B37,$B37)=1,1,0))</f>
        <v/>
      </c>
      <c r="AA37">
        <f>IF($Z37=1,SUMPRODUCT(--($AC$2:$AC$3001&lt;$AC37))+1,"")</f>
        <v/>
      </c>
      <c r="AB37">
        <f>IF($B37="","",IF(OR($Y37=TRUE(),$Y37="TRUE"),1,IF(AND($Y37&lt;&gt;"",OR($Y37=FALSE(),$Y37="FALSE")),0,IF(MIN(ABS($X37/100-Settings!$C$6),ABS($X37/100-Settings!$G$6))&lt;=MIN(ABS($X37/100-Settings!$C$7),ABS($X37/100-Settings!$G$7)),1,0))))</f>
        <v/>
      </c>
      <c r="AC37">
        <f>IF($Z37=1,IFERROR(IF(VALUE($B37)&lt;100000000,VALUE($B37),1000000000),IFERROR(IF(VALUE(MID($B37,2,20))&lt;100000000,VALUE(MID($B37,2,20)),1000000000),1000000000))+ROW()/100000,"")</f>
        <v/>
      </c>
    </row>
    <row r="38">
      <c r="A38">
        <f>IF($B38="","",IFERROR(IF(INDEX('Per Invoice'!$A$2:$A$801,MATCH($B38,'Per Invoice'!$B$2:$B$801,0))=0,"",INDEX('Per Invoice'!$A$2:$A$801,MATCH($B38,'Per Invoice'!$B$2:$B$801,0))),""))</f>
        <v/>
      </c>
      <c r="J38" s="7">
        <f>IF($B38="","",I38*Q38/100)</f>
        <v/>
      </c>
      <c r="N38" s="7" t="n"/>
      <c r="O38" s="7" t="n"/>
      <c r="P38" s="7">
        <f>IF($B38="","",O38*X38/100)</f>
        <v/>
      </c>
      <c r="Q38" s="7">
        <f>IF($B38="","",O38-P38)</f>
        <v/>
      </c>
      <c r="R38" s="7">
        <f>IF($B38="","",Q38-J38)</f>
        <v/>
      </c>
      <c r="S38" s="7" t="n"/>
      <c r="T38" s="7" t="n"/>
      <c r="V38" s="14" t="n"/>
      <c r="Z38">
        <f>IF($B38="","",IF(COUNTIF($B$2:$B38,$B38)=1,1,0))</f>
        <v/>
      </c>
      <c r="AA38">
        <f>IF($Z38=1,SUMPRODUCT(--($AC$2:$AC$3001&lt;$AC38))+1,"")</f>
        <v/>
      </c>
      <c r="AB38">
        <f>IF($B38="","",IF(OR($Y38=TRUE(),$Y38="TRUE"),1,IF(AND($Y38&lt;&gt;"",OR($Y38=FALSE(),$Y38="FALSE")),0,IF(MIN(ABS($X38/100-Settings!$C$6),ABS($X38/100-Settings!$G$6))&lt;=MIN(ABS($X38/100-Settings!$C$7),ABS($X38/100-Settings!$G$7)),1,0))))</f>
        <v/>
      </c>
      <c r="AC38">
        <f>IF($Z38=1,IFERROR(IF(VALUE($B38)&lt;100000000,VALUE($B38),1000000000),IFERROR(IF(VALUE(MID($B38,2,20))&lt;100000000,VALUE(MID($B38,2,20)),1000000000),1000000000))+ROW()/100000,"")</f>
        <v/>
      </c>
    </row>
    <row r="39">
      <c r="A39">
        <f>IF($B39="","",IFERROR(IF(INDEX('Per Invoice'!$A$2:$A$801,MATCH($B39,'Per Invoice'!$B$2:$B$801,0))=0,"",INDEX('Per Invoice'!$A$2:$A$801,MATCH($B39,'Per Invoice'!$B$2:$B$801,0))),""))</f>
        <v/>
      </c>
      <c r="J39" s="7">
        <f>IF($B39="","",I39*Q39/100)</f>
        <v/>
      </c>
      <c r="N39" s="7" t="n"/>
      <c r="O39" s="7" t="n"/>
      <c r="P39" s="7">
        <f>IF($B39="","",O39*X39/100)</f>
        <v/>
      </c>
      <c r="Q39" s="7">
        <f>IF($B39="","",O39-P39)</f>
        <v/>
      </c>
      <c r="R39" s="7">
        <f>IF($B39="","",Q39-J39)</f>
        <v/>
      </c>
      <c r="S39" s="7" t="n"/>
      <c r="T39" s="7" t="n"/>
      <c r="V39" s="14" t="n"/>
      <c r="Z39">
        <f>IF($B39="","",IF(COUNTIF($B$2:$B39,$B39)=1,1,0))</f>
        <v/>
      </c>
      <c r="AA39">
        <f>IF($Z39=1,SUMPRODUCT(--($AC$2:$AC$3001&lt;$AC39))+1,"")</f>
        <v/>
      </c>
      <c r="AB39">
        <f>IF($B39="","",IF(OR($Y39=TRUE(),$Y39="TRUE"),1,IF(AND($Y39&lt;&gt;"",OR($Y39=FALSE(),$Y39="FALSE")),0,IF(MIN(ABS($X39/100-Settings!$C$6),ABS($X39/100-Settings!$G$6))&lt;=MIN(ABS($X39/100-Settings!$C$7),ABS($X39/100-Settings!$G$7)),1,0))))</f>
        <v/>
      </c>
      <c r="AC39">
        <f>IF($Z39=1,IFERROR(IF(VALUE($B39)&lt;100000000,VALUE($B39),1000000000),IFERROR(IF(VALUE(MID($B39,2,20))&lt;100000000,VALUE(MID($B39,2,20)),1000000000),1000000000))+ROW()/100000,"")</f>
        <v/>
      </c>
    </row>
    <row r="40">
      <c r="A40">
        <f>IF($B40="","",IFERROR(IF(INDEX('Per Invoice'!$A$2:$A$801,MATCH($B40,'Per Invoice'!$B$2:$B$801,0))=0,"",INDEX('Per Invoice'!$A$2:$A$801,MATCH($B40,'Per Invoice'!$B$2:$B$801,0))),""))</f>
        <v/>
      </c>
      <c r="J40" s="7">
        <f>IF($B40="","",I40*Q40/100)</f>
        <v/>
      </c>
      <c r="N40" s="7" t="n"/>
      <c r="O40" s="7" t="n"/>
      <c r="P40" s="7">
        <f>IF($B40="","",O40*X40/100)</f>
        <v/>
      </c>
      <c r="Q40" s="7">
        <f>IF($B40="","",O40-P40)</f>
        <v/>
      </c>
      <c r="R40" s="7">
        <f>IF($B40="","",Q40-J40)</f>
        <v/>
      </c>
      <c r="S40" s="7" t="n"/>
      <c r="T40" s="7" t="n"/>
      <c r="V40" s="14" t="n"/>
      <c r="Z40">
        <f>IF($B40="","",IF(COUNTIF($B$2:$B40,$B40)=1,1,0))</f>
        <v/>
      </c>
      <c r="AA40">
        <f>IF($Z40=1,SUMPRODUCT(--($AC$2:$AC$3001&lt;$AC40))+1,"")</f>
        <v/>
      </c>
      <c r="AB40">
        <f>IF($B40="","",IF(OR($Y40=TRUE(),$Y40="TRUE"),1,IF(AND($Y40&lt;&gt;"",OR($Y40=FALSE(),$Y40="FALSE")),0,IF(MIN(ABS($X40/100-Settings!$C$6),ABS($X40/100-Settings!$G$6))&lt;=MIN(ABS($X40/100-Settings!$C$7),ABS($X40/100-Settings!$G$7)),1,0))))</f>
        <v/>
      </c>
      <c r="AC40">
        <f>IF($Z40=1,IFERROR(IF(VALUE($B40)&lt;100000000,VALUE($B40),1000000000),IFERROR(IF(VALUE(MID($B40,2,20))&lt;100000000,VALUE(MID($B40,2,20)),1000000000),1000000000))+ROW()/100000,"")</f>
        <v/>
      </c>
    </row>
    <row r="41">
      <c r="A41">
        <f>IF($B41="","",IFERROR(IF(INDEX('Per Invoice'!$A$2:$A$801,MATCH($B41,'Per Invoice'!$B$2:$B$801,0))=0,"",INDEX('Per Invoice'!$A$2:$A$801,MATCH($B41,'Per Invoice'!$B$2:$B$801,0))),""))</f>
        <v/>
      </c>
      <c r="J41" s="7">
        <f>IF($B41="","",I41*Q41/100)</f>
        <v/>
      </c>
      <c r="N41" s="7" t="n"/>
      <c r="O41" s="7" t="n"/>
      <c r="P41" s="7">
        <f>IF($B41="","",O41*X41/100)</f>
        <v/>
      </c>
      <c r="Q41" s="7">
        <f>IF($B41="","",O41-P41)</f>
        <v/>
      </c>
      <c r="R41" s="7">
        <f>IF($B41="","",Q41-J41)</f>
        <v/>
      </c>
      <c r="S41" s="7" t="n"/>
      <c r="T41" s="7" t="n"/>
      <c r="V41" s="14" t="n"/>
      <c r="Z41">
        <f>IF($B41="","",IF(COUNTIF($B$2:$B41,$B41)=1,1,0))</f>
        <v/>
      </c>
      <c r="AA41">
        <f>IF($Z41=1,SUMPRODUCT(--($AC$2:$AC$3001&lt;$AC41))+1,"")</f>
        <v/>
      </c>
      <c r="AB41">
        <f>IF($B41="","",IF(OR($Y41=TRUE(),$Y41="TRUE"),1,IF(AND($Y41&lt;&gt;"",OR($Y41=FALSE(),$Y41="FALSE")),0,IF(MIN(ABS($X41/100-Settings!$C$6),ABS($X41/100-Settings!$G$6))&lt;=MIN(ABS($X41/100-Settings!$C$7),ABS($X41/100-Settings!$G$7)),1,0))))</f>
        <v/>
      </c>
      <c r="AC41">
        <f>IF($Z41=1,IFERROR(IF(VALUE($B41)&lt;100000000,VALUE($B41),1000000000),IFERROR(IF(VALUE(MID($B41,2,20))&lt;100000000,VALUE(MID($B41,2,20)),1000000000),1000000000))+ROW()/100000,"")</f>
        <v/>
      </c>
    </row>
    <row r="42">
      <c r="A42">
        <f>IF($B42="","",IFERROR(IF(INDEX('Per Invoice'!$A$2:$A$801,MATCH($B42,'Per Invoice'!$B$2:$B$801,0))=0,"",INDEX('Per Invoice'!$A$2:$A$801,MATCH($B42,'Per Invoice'!$B$2:$B$801,0))),""))</f>
        <v/>
      </c>
      <c r="J42" s="7">
        <f>IF($B42="","",I42*Q42/100)</f>
        <v/>
      </c>
      <c r="N42" s="7" t="n"/>
      <c r="O42" s="7" t="n"/>
      <c r="P42" s="7">
        <f>IF($B42="","",O42*X42/100)</f>
        <v/>
      </c>
      <c r="Q42" s="7">
        <f>IF($B42="","",O42-P42)</f>
        <v/>
      </c>
      <c r="R42" s="7">
        <f>IF($B42="","",Q42-J42)</f>
        <v/>
      </c>
      <c r="S42" s="7" t="n"/>
      <c r="T42" s="7" t="n"/>
      <c r="V42" s="14" t="n"/>
      <c r="Z42">
        <f>IF($B42="","",IF(COUNTIF($B$2:$B42,$B42)=1,1,0))</f>
        <v/>
      </c>
      <c r="AA42">
        <f>IF($Z42=1,SUMPRODUCT(--($AC$2:$AC$3001&lt;$AC42))+1,"")</f>
        <v/>
      </c>
      <c r="AB42">
        <f>IF($B42="","",IF(OR($Y42=TRUE(),$Y42="TRUE"),1,IF(AND($Y42&lt;&gt;"",OR($Y42=FALSE(),$Y42="FALSE")),0,IF(MIN(ABS($X42/100-Settings!$C$6),ABS($X42/100-Settings!$G$6))&lt;=MIN(ABS($X42/100-Settings!$C$7),ABS($X42/100-Settings!$G$7)),1,0))))</f>
        <v/>
      </c>
      <c r="AC42">
        <f>IF($Z42=1,IFERROR(IF(VALUE($B42)&lt;100000000,VALUE($B42),1000000000),IFERROR(IF(VALUE(MID($B42,2,20))&lt;100000000,VALUE(MID($B42,2,20)),1000000000),1000000000))+ROW()/100000,"")</f>
        <v/>
      </c>
    </row>
    <row r="43">
      <c r="A43">
        <f>IF($B43="","",IFERROR(IF(INDEX('Per Invoice'!$A$2:$A$801,MATCH($B43,'Per Invoice'!$B$2:$B$801,0))=0,"",INDEX('Per Invoice'!$A$2:$A$801,MATCH($B43,'Per Invoice'!$B$2:$B$801,0))),""))</f>
        <v/>
      </c>
      <c r="J43" s="7">
        <f>IF($B43="","",I43*Q43/100)</f>
        <v/>
      </c>
      <c r="N43" s="7" t="n"/>
      <c r="O43" s="7" t="n"/>
      <c r="P43" s="7">
        <f>IF($B43="","",O43*X43/100)</f>
        <v/>
      </c>
      <c r="Q43" s="7">
        <f>IF($B43="","",O43-P43)</f>
        <v/>
      </c>
      <c r="R43" s="7">
        <f>IF($B43="","",Q43-J43)</f>
        <v/>
      </c>
      <c r="S43" s="7" t="n"/>
      <c r="T43" s="7" t="n"/>
      <c r="V43" s="14" t="n"/>
      <c r="Z43">
        <f>IF($B43="","",IF(COUNTIF($B$2:$B43,$B43)=1,1,0))</f>
        <v/>
      </c>
      <c r="AA43">
        <f>IF($Z43=1,SUMPRODUCT(--($AC$2:$AC$3001&lt;$AC43))+1,"")</f>
        <v/>
      </c>
      <c r="AB43">
        <f>IF($B43="","",IF(OR($Y43=TRUE(),$Y43="TRUE"),1,IF(AND($Y43&lt;&gt;"",OR($Y43=FALSE(),$Y43="FALSE")),0,IF(MIN(ABS($X43/100-Settings!$C$6),ABS($X43/100-Settings!$G$6))&lt;=MIN(ABS($X43/100-Settings!$C$7),ABS($X43/100-Settings!$G$7)),1,0))))</f>
        <v/>
      </c>
      <c r="AC43">
        <f>IF($Z43=1,IFERROR(IF(VALUE($B43)&lt;100000000,VALUE($B43),1000000000),IFERROR(IF(VALUE(MID($B43,2,20))&lt;100000000,VALUE(MID($B43,2,20)),1000000000),1000000000))+ROW()/100000,"")</f>
        <v/>
      </c>
    </row>
    <row r="44">
      <c r="A44">
        <f>IF($B44="","",IFERROR(IF(INDEX('Per Invoice'!$A$2:$A$801,MATCH($B44,'Per Invoice'!$B$2:$B$801,0))=0,"",INDEX('Per Invoice'!$A$2:$A$801,MATCH($B44,'Per Invoice'!$B$2:$B$801,0))),""))</f>
        <v/>
      </c>
      <c r="J44" s="7">
        <f>IF($B44="","",I44*Q44/100)</f>
        <v/>
      </c>
      <c r="N44" s="7" t="n"/>
      <c r="O44" s="7" t="n"/>
      <c r="P44" s="7">
        <f>IF($B44="","",O44*X44/100)</f>
        <v/>
      </c>
      <c r="Q44" s="7">
        <f>IF($B44="","",O44-P44)</f>
        <v/>
      </c>
      <c r="R44" s="7">
        <f>IF($B44="","",Q44-J44)</f>
        <v/>
      </c>
      <c r="S44" s="7" t="n"/>
      <c r="T44" s="7" t="n"/>
      <c r="V44" s="14" t="n"/>
      <c r="Z44">
        <f>IF($B44="","",IF(COUNTIF($B$2:$B44,$B44)=1,1,0))</f>
        <v/>
      </c>
      <c r="AA44">
        <f>IF($Z44=1,SUMPRODUCT(--($AC$2:$AC$3001&lt;$AC44))+1,"")</f>
        <v/>
      </c>
      <c r="AB44">
        <f>IF($B44="","",IF(OR($Y44=TRUE(),$Y44="TRUE"),1,IF(AND($Y44&lt;&gt;"",OR($Y44=FALSE(),$Y44="FALSE")),0,IF(MIN(ABS($X44/100-Settings!$C$6),ABS($X44/100-Settings!$G$6))&lt;=MIN(ABS($X44/100-Settings!$C$7),ABS($X44/100-Settings!$G$7)),1,0))))</f>
        <v/>
      </c>
      <c r="AC44">
        <f>IF($Z44=1,IFERROR(IF(VALUE($B44)&lt;100000000,VALUE($B44),1000000000),IFERROR(IF(VALUE(MID($B44,2,20))&lt;100000000,VALUE(MID($B44,2,20)),1000000000),1000000000))+ROW()/100000,"")</f>
        <v/>
      </c>
    </row>
    <row r="45">
      <c r="A45">
        <f>IF($B45="","",IFERROR(IF(INDEX('Per Invoice'!$A$2:$A$801,MATCH($B45,'Per Invoice'!$B$2:$B$801,0))=0,"",INDEX('Per Invoice'!$A$2:$A$801,MATCH($B45,'Per Invoice'!$B$2:$B$801,0))),""))</f>
        <v/>
      </c>
      <c r="J45" s="7">
        <f>IF($B45="","",I45*Q45/100)</f>
        <v/>
      </c>
      <c r="N45" s="7" t="n"/>
      <c r="O45" s="7" t="n"/>
      <c r="P45" s="7">
        <f>IF($B45="","",O45*X45/100)</f>
        <v/>
      </c>
      <c r="Q45" s="7">
        <f>IF($B45="","",O45-P45)</f>
        <v/>
      </c>
      <c r="R45" s="7">
        <f>IF($B45="","",Q45-J45)</f>
        <v/>
      </c>
      <c r="S45" s="7" t="n"/>
      <c r="T45" s="7" t="n"/>
      <c r="V45" s="14" t="n"/>
      <c r="Z45">
        <f>IF($B45="","",IF(COUNTIF($B$2:$B45,$B45)=1,1,0))</f>
        <v/>
      </c>
      <c r="AA45">
        <f>IF($Z45=1,SUMPRODUCT(--($AC$2:$AC$3001&lt;$AC45))+1,"")</f>
        <v/>
      </c>
      <c r="AB45">
        <f>IF($B45="","",IF(OR($Y45=TRUE(),$Y45="TRUE"),1,IF(AND($Y45&lt;&gt;"",OR($Y45=FALSE(),$Y45="FALSE")),0,IF(MIN(ABS($X45/100-Settings!$C$6),ABS($X45/100-Settings!$G$6))&lt;=MIN(ABS($X45/100-Settings!$C$7),ABS($X45/100-Settings!$G$7)),1,0))))</f>
        <v/>
      </c>
      <c r="AC45">
        <f>IF($Z45=1,IFERROR(IF(VALUE($B45)&lt;100000000,VALUE($B45),1000000000),IFERROR(IF(VALUE(MID($B45,2,20))&lt;100000000,VALUE(MID($B45,2,20)),1000000000),1000000000))+ROW()/100000,"")</f>
        <v/>
      </c>
    </row>
    <row r="46">
      <c r="A46">
        <f>IF($B46="","",IFERROR(IF(INDEX('Per Invoice'!$A$2:$A$801,MATCH($B46,'Per Invoice'!$B$2:$B$801,0))=0,"",INDEX('Per Invoice'!$A$2:$A$801,MATCH($B46,'Per Invoice'!$B$2:$B$801,0))),""))</f>
        <v/>
      </c>
      <c r="J46" s="7">
        <f>IF($B46="","",I46*Q46/100)</f>
        <v/>
      </c>
      <c r="N46" s="7" t="n"/>
      <c r="O46" s="7" t="n"/>
      <c r="P46" s="7">
        <f>IF($B46="","",O46*X46/100)</f>
        <v/>
      </c>
      <c r="Q46" s="7">
        <f>IF($B46="","",O46-P46)</f>
        <v/>
      </c>
      <c r="R46" s="7">
        <f>IF($B46="","",Q46-J46)</f>
        <v/>
      </c>
      <c r="S46" s="7" t="n"/>
      <c r="T46" s="7" t="n"/>
      <c r="V46" s="14" t="n"/>
      <c r="Z46">
        <f>IF($B46="","",IF(COUNTIF($B$2:$B46,$B46)=1,1,0))</f>
        <v/>
      </c>
      <c r="AA46">
        <f>IF($Z46=1,SUMPRODUCT(--($AC$2:$AC$3001&lt;$AC46))+1,"")</f>
        <v/>
      </c>
      <c r="AB46">
        <f>IF($B46="","",IF(OR($Y46=TRUE(),$Y46="TRUE"),1,IF(AND($Y46&lt;&gt;"",OR($Y46=FALSE(),$Y46="FALSE")),0,IF(MIN(ABS($X46/100-Settings!$C$6),ABS($X46/100-Settings!$G$6))&lt;=MIN(ABS($X46/100-Settings!$C$7),ABS($X46/100-Settings!$G$7)),1,0))))</f>
        <v/>
      </c>
      <c r="AC46">
        <f>IF($Z46=1,IFERROR(IF(VALUE($B46)&lt;100000000,VALUE($B46),1000000000),IFERROR(IF(VALUE(MID($B46,2,20))&lt;100000000,VALUE(MID($B46,2,20)),1000000000),1000000000))+ROW()/100000,"")</f>
        <v/>
      </c>
    </row>
    <row r="47">
      <c r="A47">
        <f>IF($B47="","",IFERROR(IF(INDEX('Per Invoice'!$A$2:$A$801,MATCH($B47,'Per Invoice'!$B$2:$B$801,0))=0,"",INDEX('Per Invoice'!$A$2:$A$801,MATCH($B47,'Per Invoice'!$B$2:$B$801,0))),""))</f>
        <v/>
      </c>
      <c r="J47" s="7">
        <f>IF($B47="","",I47*Q47/100)</f>
        <v/>
      </c>
      <c r="N47" s="7" t="n"/>
      <c r="O47" s="7" t="n"/>
      <c r="P47" s="7">
        <f>IF($B47="","",O47*X47/100)</f>
        <v/>
      </c>
      <c r="Q47" s="7">
        <f>IF($B47="","",O47-P47)</f>
        <v/>
      </c>
      <c r="R47" s="7">
        <f>IF($B47="","",Q47-J47)</f>
        <v/>
      </c>
      <c r="S47" s="7" t="n"/>
      <c r="T47" s="7" t="n"/>
      <c r="V47" s="14" t="n"/>
      <c r="Z47">
        <f>IF($B47="","",IF(COUNTIF($B$2:$B47,$B47)=1,1,0))</f>
        <v/>
      </c>
      <c r="AA47">
        <f>IF($Z47=1,SUMPRODUCT(--($AC$2:$AC$3001&lt;$AC47))+1,"")</f>
        <v/>
      </c>
      <c r="AB47">
        <f>IF($B47="","",IF(OR($Y47=TRUE(),$Y47="TRUE"),1,IF(AND($Y47&lt;&gt;"",OR($Y47=FALSE(),$Y47="FALSE")),0,IF(MIN(ABS($X47/100-Settings!$C$6),ABS($X47/100-Settings!$G$6))&lt;=MIN(ABS($X47/100-Settings!$C$7),ABS($X47/100-Settings!$G$7)),1,0))))</f>
        <v/>
      </c>
      <c r="AC47">
        <f>IF($Z47=1,IFERROR(IF(VALUE($B47)&lt;100000000,VALUE($B47),1000000000),IFERROR(IF(VALUE(MID($B47,2,20))&lt;100000000,VALUE(MID($B47,2,20)),1000000000),1000000000))+ROW()/100000,"")</f>
        <v/>
      </c>
    </row>
    <row r="48">
      <c r="A48">
        <f>IF($B48="","",IFERROR(IF(INDEX('Per Invoice'!$A$2:$A$801,MATCH($B48,'Per Invoice'!$B$2:$B$801,0))=0,"",INDEX('Per Invoice'!$A$2:$A$801,MATCH($B48,'Per Invoice'!$B$2:$B$801,0))),""))</f>
        <v/>
      </c>
      <c r="J48" s="7">
        <f>IF($B48="","",I48*Q48/100)</f>
        <v/>
      </c>
      <c r="N48" s="7" t="n"/>
      <c r="O48" s="7" t="n"/>
      <c r="P48" s="7">
        <f>IF($B48="","",O48*X48/100)</f>
        <v/>
      </c>
      <c r="Q48" s="7">
        <f>IF($B48="","",O48-P48)</f>
        <v/>
      </c>
      <c r="R48" s="7">
        <f>IF($B48="","",Q48-J48)</f>
        <v/>
      </c>
      <c r="S48" s="7" t="n"/>
      <c r="T48" s="7" t="n"/>
      <c r="V48" s="14" t="n"/>
      <c r="Z48">
        <f>IF($B48="","",IF(COUNTIF($B$2:$B48,$B48)=1,1,0))</f>
        <v/>
      </c>
      <c r="AA48">
        <f>IF($Z48=1,SUMPRODUCT(--($AC$2:$AC$3001&lt;$AC48))+1,"")</f>
        <v/>
      </c>
      <c r="AB48">
        <f>IF($B48="","",IF(OR($Y48=TRUE(),$Y48="TRUE"),1,IF(AND($Y48&lt;&gt;"",OR($Y48=FALSE(),$Y48="FALSE")),0,IF(MIN(ABS($X48/100-Settings!$C$6),ABS($X48/100-Settings!$G$6))&lt;=MIN(ABS($X48/100-Settings!$C$7),ABS($X48/100-Settings!$G$7)),1,0))))</f>
        <v/>
      </c>
      <c r="AC48">
        <f>IF($Z48=1,IFERROR(IF(VALUE($B48)&lt;100000000,VALUE($B48),1000000000),IFERROR(IF(VALUE(MID($B48,2,20))&lt;100000000,VALUE(MID($B48,2,20)),1000000000),1000000000))+ROW()/100000,"")</f>
        <v/>
      </c>
    </row>
    <row r="49">
      <c r="A49">
        <f>IF($B49="","",IFERROR(IF(INDEX('Per Invoice'!$A$2:$A$801,MATCH($B49,'Per Invoice'!$B$2:$B$801,0))=0,"",INDEX('Per Invoice'!$A$2:$A$801,MATCH($B49,'Per Invoice'!$B$2:$B$801,0))),""))</f>
        <v/>
      </c>
      <c r="J49" s="7">
        <f>IF($B49="","",I49*Q49/100)</f>
        <v/>
      </c>
      <c r="N49" s="7" t="n"/>
      <c r="O49" s="7" t="n"/>
      <c r="P49" s="7">
        <f>IF($B49="","",O49*X49/100)</f>
        <v/>
      </c>
      <c r="Q49" s="7">
        <f>IF($B49="","",O49-P49)</f>
        <v/>
      </c>
      <c r="R49" s="7">
        <f>IF($B49="","",Q49-J49)</f>
        <v/>
      </c>
      <c r="S49" s="7" t="n"/>
      <c r="T49" s="7" t="n"/>
      <c r="V49" s="14" t="n"/>
      <c r="Z49">
        <f>IF($B49="","",IF(COUNTIF($B$2:$B49,$B49)=1,1,0))</f>
        <v/>
      </c>
      <c r="AA49">
        <f>IF($Z49=1,SUMPRODUCT(--($AC$2:$AC$3001&lt;$AC49))+1,"")</f>
        <v/>
      </c>
      <c r="AB49">
        <f>IF($B49="","",IF(OR($Y49=TRUE(),$Y49="TRUE"),1,IF(AND($Y49&lt;&gt;"",OR($Y49=FALSE(),$Y49="FALSE")),0,IF(MIN(ABS($X49/100-Settings!$C$6),ABS($X49/100-Settings!$G$6))&lt;=MIN(ABS($X49/100-Settings!$C$7),ABS($X49/100-Settings!$G$7)),1,0))))</f>
        <v/>
      </c>
      <c r="AC49">
        <f>IF($Z49=1,IFERROR(IF(VALUE($B49)&lt;100000000,VALUE($B49),1000000000),IFERROR(IF(VALUE(MID($B49,2,20))&lt;100000000,VALUE(MID($B49,2,20)),1000000000),1000000000))+ROW()/100000,"")</f>
        <v/>
      </c>
    </row>
    <row r="50">
      <c r="A50">
        <f>IF($B50="","",IFERROR(IF(INDEX('Per Invoice'!$A$2:$A$801,MATCH($B50,'Per Invoice'!$B$2:$B$801,0))=0,"",INDEX('Per Invoice'!$A$2:$A$801,MATCH($B50,'Per Invoice'!$B$2:$B$801,0))),""))</f>
        <v/>
      </c>
      <c r="J50" s="7">
        <f>IF($B50="","",I50*Q50/100)</f>
        <v/>
      </c>
      <c r="N50" s="7" t="n"/>
      <c r="O50" s="7" t="n"/>
      <c r="P50" s="7">
        <f>IF($B50="","",O50*X50/100)</f>
        <v/>
      </c>
      <c r="Q50" s="7">
        <f>IF($B50="","",O50-P50)</f>
        <v/>
      </c>
      <c r="R50" s="7">
        <f>IF($B50="","",Q50-J50)</f>
        <v/>
      </c>
      <c r="S50" s="7" t="n"/>
      <c r="T50" s="7" t="n"/>
      <c r="V50" s="14" t="n"/>
      <c r="Z50">
        <f>IF($B50="","",IF(COUNTIF($B$2:$B50,$B50)=1,1,0))</f>
        <v/>
      </c>
      <c r="AA50">
        <f>IF($Z50=1,SUMPRODUCT(--($AC$2:$AC$3001&lt;$AC50))+1,"")</f>
        <v/>
      </c>
      <c r="AB50">
        <f>IF($B50="","",IF(OR($Y50=TRUE(),$Y50="TRUE"),1,IF(AND($Y50&lt;&gt;"",OR($Y50=FALSE(),$Y50="FALSE")),0,IF(MIN(ABS($X50/100-Settings!$C$6),ABS($X50/100-Settings!$G$6))&lt;=MIN(ABS($X50/100-Settings!$C$7),ABS($X50/100-Settings!$G$7)),1,0))))</f>
        <v/>
      </c>
      <c r="AC50">
        <f>IF($Z50=1,IFERROR(IF(VALUE($B50)&lt;100000000,VALUE($B50),1000000000),IFERROR(IF(VALUE(MID($B50,2,20))&lt;100000000,VALUE(MID($B50,2,20)),1000000000),1000000000))+ROW()/100000,"")</f>
        <v/>
      </c>
    </row>
    <row r="51">
      <c r="A51">
        <f>IF($B51="","",IFERROR(IF(INDEX('Per Invoice'!$A$2:$A$801,MATCH($B51,'Per Invoice'!$B$2:$B$801,0))=0,"",INDEX('Per Invoice'!$A$2:$A$801,MATCH($B51,'Per Invoice'!$B$2:$B$801,0))),""))</f>
        <v/>
      </c>
      <c r="J51" s="7">
        <f>IF($B51="","",I51*Q51/100)</f>
        <v/>
      </c>
      <c r="N51" s="7" t="n"/>
      <c r="O51" s="7" t="n"/>
      <c r="P51" s="7">
        <f>IF($B51="","",O51*X51/100)</f>
        <v/>
      </c>
      <c r="Q51" s="7">
        <f>IF($B51="","",O51-P51)</f>
        <v/>
      </c>
      <c r="R51" s="7">
        <f>IF($B51="","",Q51-J51)</f>
        <v/>
      </c>
      <c r="S51" s="7" t="n"/>
      <c r="T51" s="7" t="n"/>
      <c r="V51" s="14" t="n"/>
      <c r="Z51">
        <f>IF($B51="","",IF(COUNTIF($B$2:$B51,$B51)=1,1,0))</f>
        <v/>
      </c>
      <c r="AA51">
        <f>IF($Z51=1,SUMPRODUCT(--($AC$2:$AC$3001&lt;$AC51))+1,"")</f>
        <v/>
      </c>
      <c r="AB51">
        <f>IF($B51="","",IF(OR($Y51=TRUE(),$Y51="TRUE"),1,IF(AND($Y51&lt;&gt;"",OR($Y51=FALSE(),$Y51="FALSE")),0,IF(MIN(ABS($X51/100-Settings!$C$6),ABS($X51/100-Settings!$G$6))&lt;=MIN(ABS($X51/100-Settings!$C$7),ABS($X51/100-Settings!$G$7)),1,0))))</f>
        <v/>
      </c>
      <c r="AC51">
        <f>IF($Z51=1,IFERROR(IF(VALUE($B51)&lt;100000000,VALUE($B51),1000000000),IFERROR(IF(VALUE(MID($B51,2,20))&lt;100000000,VALUE(MID($B51,2,20)),1000000000),1000000000))+ROW()/100000,"")</f>
        <v/>
      </c>
    </row>
    <row r="52">
      <c r="A52">
        <f>IF($B52="","",IFERROR(IF(INDEX('Per Invoice'!$A$2:$A$801,MATCH($B52,'Per Invoice'!$B$2:$B$801,0))=0,"",INDEX('Per Invoice'!$A$2:$A$801,MATCH($B52,'Per Invoice'!$B$2:$B$801,0))),""))</f>
        <v/>
      </c>
      <c r="J52" s="7">
        <f>IF($B52="","",I52*Q52/100)</f>
        <v/>
      </c>
      <c r="N52" s="7" t="n"/>
      <c r="O52" s="7" t="n"/>
      <c r="P52" s="7">
        <f>IF($B52="","",O52*X52/100)</f>
        <v/>
      </c>
      <c r="Q52" s="7">
        <f>IF($B52="","",O52-P52)</f>
        <v/>
      </c>
      <c r="R52" s="7">
        <f>IF($B52="","",Q52-J52)</f>
        <v/>
      </c>
      <c r="S52" s="7" t="n"/>
      <c r="T52" s="7" t="n"/>
      <c r="V52" s="14" t="n"/>
      <c r="Z52">
        <f>IF($B52="","",IF(COUNTIF($B$2:$B52,$B52)=1,1,0))</f>
        <v/>
      </c>
      <c r="AA52">
        <f>IF($Z52=1,SUMPRODUCT(--($AC$2:$AC$3001&lt;$AC52))+1,"")</f>
        <v/>
      </c>
      <c r="AB52">
        <f>IF($B52="","",IF(OR($Y52=TRUE(),$Y52="TRUE"),1,IF(AND($Y52&lt;&gt;"",OR($Y52=FALSE(),$Y52="FALSE")),0,IF(MIN(ABS($X52/100-Settings!$C$6),ABS($X52/100-Settings!$G$6))&lt;=MIN(ABS($X52/100-Settings!$C$7),ABS($X52/100-Settings!$G$7)),1,0))))</f>
        <v/>
      </c>
      <c r="AC52">
        <f>IF($Z52=1,IFERROR(IF(VALUE($B52)&lt;100000000,VALUE($B52),1000000000),IFERROR(IF(VALUE(MID($B52,2,20))&lt;100000000,VALUE(MID($B52,2,20)),1000000000),1000000000))+ROW()/100000,"")</f>
        <v/>
      </c>
    </row>
    <row r="53">
      <c r="A53">
        <f>IF($B53="","",IFERROR(IF(INDEX('Per Invoice'!$A$2:$A$801,MATCH($B53,'Per Invoice'!$B$2:$B$801,0))=0,"",INDEX('Per Invoice'!$A$2:$A$801,MATCH($B53,'Per Invoice'!$B$2:$B$801,0))),""))</f>
        <v/>
      </c>
      <c r="J53" s="7">
        <f>IF($B53="","",I53*Q53/100)</f>
        <v/>
      </c>
      <c r="N53" s="7" t="n"/>
      <c r="O53" s="7" t="n"/>
      <c r="P53" s="7">
        <f>IF($B53="","",O53*X53/100)</f>
        <v/>
      </c>
      <c r="Q53" s="7">
        <f>IF($B53="","",O53-P53)</f>
        <v/>
      </c>
      <c r="R53" s="7">
        <f>IF($B53="","",Q53-J53)</f>
        <v/>
      </c>
      <c r="S53" s="7" t="n"/>
      <c r="T53" s="7" t="n"/>
      <c r="V53" s="14" t="n"/>
      <c r="Z53">
        <f>IF($B53="","",IF(COUNTIF($B$2:$B53,$B53)=1,1,0))</f>
        <v/>
      </c>
      <c r="AA53">
        <f>IF($Z53=1,SUMPRODUCT(--($AC$2:$AC$3001&lt;$AC53))+1,"")</f>
        <v/>
      </c>
      <c r="AB53">
        <f>IF($B53="","",IF(OR($Y53=TRUE(),$Y53="TRUE"),1,IF(AND($Y53&lt;&gt;"",OR($Y53=FALSE(),$Y53="FALSE")),0,IF(MIN(ABS($X53/100-Settings!$C$6),ABS($X53/100-Settings!$G$6))&lt;=MIN(ABS($X53/100-Settings!$C$7),ABS($X53/100-Settings!$G$7)),1,0))))</f>
        <v/>
      </c>
      <c r="AC53">
        <f>IF($Z53=1,IFERROR(IF(VALUE($B53)&lt;100000000,VALUE($B53),1000000000),IFERROR(IF(VALUE(MID($B53,2,20))&lt;100000000,VALUE(MID($B53,2,20)),1000000000),1000000000))+ROW()/100000,"")</f>
        <v/>
      </c>
    </row>
    <row r="54">
      <c r="A54">
        <f>IF($B54="","",IFERROR(IF(INDEX('Per Invoice'!$A$2:$A$801,MATCH($B54,'Per Invoice'!$B$2:$B$801,0))=0,"",INDEX('Per Invoice'!$A$2:$A$801,MATCH($B54,'Per Invoice'!$B$2:$B$801,0))),""))</f>
        <v/>
      </c>
      <c r="J54" s="7">
        <f>IF($B54="","",I54*Q54/100)</f>
        <v/>
      </c>
      <c r="N54" s="7" t="n"/>
      <c r="O54" s="7" t="n"/>
      <c r="P54" s="7">
        <f>IF($B54="","",O54*X54/100)</f>
        <v/>
      </c>
      <c r="Q54" s="7">
        <f>IF($B54="","",O54-P54)</f>
        <v/>
      </c>
      <c r="R54" s="7">
        <f>IF($B54="","",Q54-J54)</f>
        <v/>
      </c>
      <c r="S54" s="7" t="n"/>
      <c r="T54" s="7" t="n"/>
      <c r="V54" s="14" t="n"/>
      <c r="Z54">
        <f>IF($B54="","",IF(COUNTIF($B$2:$B54,$B54)=1,1,0))</f>
        <v/>
      </c>
      <c r="AA54">
        <f>IF($Z54=1,SUMPRODUCT(--($AC$2:$AC$3001&lt;$AC54))+1,"")</f>
        <v/>
      </c>
      <c r="AB54">
        <f>IF($B54="","",IF(OR($Y54=TRUE(),$Y54="TRUE"),1,IF(AND($Y54&lt;&gt;"",OR($Y54=FALSE(),$Y54="FALSE")),0,IF(MIN(ABS($X54/100-Settings!$C$6),ABS($X54/100-Settings!$G$6))&lt;=MIN(ABS($X54/100-Settings!$C$7),ABS($X54/100-Settings!$G$7)),1,0))))</f>
        <v/>
      </c>
      <c r="AC54">
        <f>IF($Z54=1,IFERROR(IF(VALUE($B54)&lt;100000000,VALUE($B54),1000000000),IFERROR(IF(VALUE(MID($B54,2,20))&lt;100000000,VALUE(MID($B54,2,20)),1000000000),1000000000))+ROW()/100000,"")</f>
        <v/>
      </c>
    </row>
    <row r="55">
      <c r="A55">
        <f>IF($B55="","",IFERROR(IF(INDEX('Per Invoice'!$A$2:$A$801,MATCH($B55,'Per Invoice'!$B$2:$B$801,0))=0,"",INDEX('Per Invoice'!$A$2:$A$801,MATCH($B55,'Per Invoice'!$B$2:$B$801,0))),""))</f>
        <v/>
      </c>
      <c r="J55" s="7">
        <f>IF($B55="","",I55*Q55/100)</f>
        <v/>
      </c>
      <c r="N55" s="7" t="n"/>
      <c r="O55" s="7" t="n"/>
      <c r="P55" s="7">
        <f>IF($B55="","",O55*X55/100)</f>
        <v/>
      </c>
      <c r="Q55" s="7">
        <f>IF($B55="","",O55-P55)</f>
        <v/>
      </c>
      <c r="R55" s="7">
        <f>IF($B55="","",Q55-J55)</f>
        <v/>
      </c>
      <c r="S55" s="7" t="n"/>
      <c r="T55" s="7" t="n"/>
      <c r="V55" s="14" t="n"/>
      <c r="Z55">
        <f>IF($B55="","",IF(COUNTIF($B$2:$B55,$B55)=1,1,0))</f>
        <v/>
      </c>
      <c r="AA55">
        <f>IF($Z55=1,SUMPRODUCT(--($AC$2:$AC$3001&lt;$AC55))+1,"")</f>
        <v/>
      </c>
      <c r="AB55">
        <f>IF($B55="","",IF(OR($Y55=TRUE(),$Y55="TRUE"),1,IF(AND($Y55&lt;&gt;"",OR($Y55=FALSE(),$Y55="FALSE")),0,IF(MIN(ABS($X55/100-Settings!$C$6),ABS($X55/100-Settings!$G$6))&lt;=MIN(ABS($X55/100-Settings!$C$7),ABS($X55/100-Settings!$G$7)),1,0))))</f>
        <v/>
      </c>
      <c r="AC55">
        <f>IF($Z55=1,IFERROR(IF(VALUE($B55)&lt;100000000,VALUE($B55),1000000000),IFERROR(IF(VALUE(MID($B55,2,20))&lt;100000000,VALUE(MID($B55,2,20)),1000000000),1000000000))+ROW()/100000,"")</f>
        <v/>
      </c>
    </row>
    <row r="56">
      <c r="A56">
        <f>IF($B56="","",IFERROR(IF(INDEX('Per Invoice'!$A$2:$A$801,MATCH($B56,'Per Invoice'!$B$2:$B$801,0))=0,"",INDEX('Per Invoice'!$A$2:$A$801,MATCH($B56,'Per Invoice'!$B$2:$B$801,0))),""))</f>
        <v/>
      </c>
      <c r="J56" s="7">
        <f>IF($B56="","",I56*Q56/100)</f>
        <v/>
      </c>
      <c r="N56" s="7" t="n"/>
      <c r="O56" s="7" t="n"/>
      <c r="P56" s="7">
        <f>IF($B56="","",O56*X56/100)</f>
        <v/>
      </c>
      <c r="Q56" s="7">
        <f>IF($B56="","",O56-P56)</f>
        <v/>
      </c>
      <c r="R56" s="7">
        <f>IF($B56="","",Q56-J56)</f>
        <v/>
      </c>
      <c r="S56" s="7" t="n"/>
      <c r="T56" s="7" t="n"/>
      <c r="V56" s="14" t="n"/>
      <c r="Z56">
        <f>IF($B56="","",IF(COUNTIF($B$2:$B56,$B56)=1,1,0))</f>
        <v/>
      </c>
      <c r="AA56">
        <f>IF($Z56=1,SUMPRODUCT(--($AC$2:$AC$3001&lt;$AC56))+1,"")</f>
        <v/>
      </c>
      <c r="AB56">
        <f>IF($B56="","",IF(OR($Y56=TRUE(),$Y56="TRUE"),1,IF(AND($Y56&lt;&gt;"",OR($Y56=FALSE(),$Y56="FALSE")),0,IF(MIN(ABS($X56/100-Settings!$C$6),ABS($X56/100-Settings!$G$6))&lt;=MIN(ABS($X56/100-Settings!$C$7),ABS($X56/100-Settings!$G$7)),1,0))))</f>
        <v/>
      </c>
      <c r="AC56">
        <f>IF($Z56=1,IFERROR(IF(VALUE($B56)&lt;100000000,VALUE($B56),1000000000),IFERROR(IF(VALUE(MID($B56,2,20))&lt;100000000,VALUE(MID($B56,2,20)),1000000000),1000000000))+ROW()/100000,"")</f>
        <v/>
      </c>
    </row>
    <row r="57">
      <c r="A57">
        <f>IF($B57="","",IFERROR(IF(INDEX('Per Invoice'!$A$2:$A$801,MATCH($B57,'Per Invoice'!$B$2:$B$801,0))=0,"",INDEX('Per Invoice'!$A$2:$A$801,MATCH($B57,'Per Invoice'!$B$2:$B$801,0))),""))</f>
        <v/>
      </c>
      <c r="J57" s="7">
        <f>IF($B57="","",I57*Q57/100)</f>
        <v/>
      </c>
      <c r="N57" s="7" t="n"/>
      <c r="O57" s="7" t="n"/>
      <c r="P57" s="7">
        <f>IF($B57="","",O57*X57/100)</f>
        <v/>
      </c>
      <c r="Q57" s="7">
        <f>IF($B57="","",O57-P57)</f>
        <v/>
      </c>
      <c r="R57" s="7">
        <f>IF($B57="","",Q57-J57)</f>
        <v/>
      </c>
      <c r="S57" s="7" t="n"/>
      <c r="T57" s="7" t="n"/>
      <c r="V57" s="14" t="n"/>
      <c r="Z57">
        <f>IF($B57="","",IF(COUNTIF($B$2:$B57,$B57)=1,1,0))</f>
        <v/>
      </c>
      <c r="AA57">
        <f>IF($Z57=1,SUMPRODUCT(--($AC$2:$AC$3001&lt;$AC57))+1,"")</f>
        <v/>
      </c>
      <c r="AB57">
        <f>IF($B57="","",IF(OR($Y57=TRUE(),$Y57="TRUE"),1,IF(AND($Y57&lt;&gt;"",OR($Y57=FALSE(),$Y57="FALSE")),0,IF(MIN(ABS($X57/100-Settings!$C$6),ABS($X57/100-Settings!$G$6))&lt;=MIN(ABS($X57/100-Settings!$C$7),ABS($X57/100-Settings!$G$7)),1,0))))</f>
        <v/>
      </c>
      <c r="AC57">
        <f>IF($Z57=1,IFERROR(IF(VALUE($B57)&lt;100000000,VALUE($B57),1000000000),IFERROR(IF(VALUE(MID($B57,2,20))&lt;100000000,VALUE(MID($B57,2,20)),1000000000),1000000000))+ROW()/100000,"")</f>
        <v/>
      </c>
    </row>
    <row r="58">
      <c r="A58">
        <f>IF($B58="","",IFERROR(IF(INDEX('Per Invoice'!$A$2:$A$801,MATCH($B58,'Per Invoice'!$B$2:$B$801,0))=0,"",INDEX('Per Invoice'!$A$2:$A$801,MATCH($B58,'Per Invoice'!$B$2:$B$801,0))),""))</f>
        <v/>
      </c>
      <c r="J58" s="7">
        <f>IF($B58="","",I58*Q58/100)</f>
        <v/>
      </c>
      <c r="N58" s="7" t="n"/>
      <c r="O58" s="7" t="n"/>
      <c r="P58" s="7">
        <f>IF($B58="","",O58*X58/100)</f>
        <v/>
      </c>
      <c r="Q58" s="7">
        <f>IF($B58="","",O58-P58)</f>
        <v/>
      </c>
      <c r="R58" s="7">
        <f>IF($B58="","",Q58-J58)</f>
        <v/>
      </c>
      <c r="S58" s="7" t="n"/>
      <c r="T58" s="7" t="n"/>
      <c r="V58" s="14" t="n"/>
      <c r="Z58">
        <f>IF($B58="","",IF(COUNTIF($B$2:$B58,$B58)=1,1,0))</f>
        <v/>
      </c>
      <c r="AA58">
        <f>IF($Z58=1,SUMPRODUCT(--($AC$2:$AC$3001&lt;$AC58))+1,"")</f>
        <v/>
      </c>
      <c r="AB58">
        <f>IF($B58="","",IF(OR($Y58=TRUE(),$Y58="TRUE"),1,IF(AND($Y58&lt;&gt;"",OR($Y58=FALSE(),$Y58="FALSE")),0,IF(MIN(ABS($X58/100-Settings!$C$6),ABS($X58/100-Settings!$G$6))&lt;=MIN(ABS($X58/100-Settings!$C$7),ABS($X58/100-Settings!$G$7)),1,0))))</f>
        <v/>
      </c>
      <c r="AC58">
        <f>IF($Z58=1,IFERROR(IF(VALUE($B58)&lt;100000000,VALUE($B58),1000000000),IFERROR(IF(VALUE(MID($B58,2,20))&lt;100000000,VALUE(MID($B58,2,20)),1000000000),1000000000))+ROW()/100000,"")</f>
        <v/>
      </c>
    </row>
    <row r="59">
      <c r="A59">
        <f>IF($B59="","",IFERROR(IF(INDEX('Per Invoice'!$A$2:$A$801,MATCH($B59,'Per Invoice'!$B$2:$B$801,0))=0,"",INDEX('Per Invoice'!$A$2:$A$801,MATCH($B59,'Per Invoice'!$B$2:$B$801,0))),""))</f>
        <v/>
      </c>
      <c r="J59" s="7">
        <f>IF($B59="","",I59*Q59/100)</f>
        <v/>
      </c>
      <c r="N59" s="7" t="n"/>
      <c r="O59" s="7" t="n"/>
      <c r="P59" s="7">
        <f>IF($B59="","",O59*X59/100)</f>
        <v/>
      </c>
      <c r="Q59" s="7">
        <f>IF($B59="","",O59-P59)</f>
        <v/>
      </c>
      <c r="R59" s="7">
        <f>IF($B59="","",Q59-J59)</f>
        <v/>
      </c>
      <c r="S59" s="7" t="n"/>
      <c r="T59" s="7" t="n"/>
      <c r="V59" s="14" t="n"/>
      <c r="Z59">
        <f>IF($B59="","",IF(COUNTIF($B$2:$B59,$B59)=1,1,0))</f>
        <v/>
      </c>
      <c r="AA59">
        <f>IF($Z59=1,SUMPRODUCT(--($AC$2:$AC$3001&lt;$AC59))+1,"")</f>
        <v/>
      </c>
      <c r="AB59">
        <f>IF($B59="","",IF(OR($Y59=TRUE(),$Y59="TRUE"),1,IF(AND($Y59&lt;&gt;"",OR($Y59=FALSE(),$Y59="FALSE")),0,IF(MIN(ABS($X59/100-Settings!$C$6),ABS($X59/100-Settings!$G$6))&lt;=MIN(ABS($X59/100-Settings!$C$7),ABS($X59/100-Settings!$G$7)),1,0))))</f>
        <v/>
      </c>
      <c r="AC59">
        <f>IF($Z59=1,IFERROR(IF(VALUE($B59)&lt;100000000,VALUE($B59),1000000000),IFERROR(IF(VALUE(MID($B59,2,20))&lt;100000000,VALUE(MID($B59,2,20)),1000000000),1000000000))+ROW()/100000,"")</f>
        <v/>
      </c>
    </row>
    <row r="60">
      <c r="A60">
        <f>IF($B60="","",IFERROR(IF(INDEX('Per Invoice'!$A$2:$A$801,MATCH($B60,'Per Invoice'!$B$2:$B$801,0))=0,"",INDEX('Per Invoice'!$A$2:$A$801,MATCH($B60,'Per Invoice'!$B$2:$B$801,0))),""))</f>
        <v/>
      </c>
      <c r="J60" s="7">
        <f>IF($B60="","",I60*Q60/100)</f>
        <v/>
      </c>
      <c r="N60" s="7" t="n"/>
      <c r="O60" s="7" t="n"/>
      <c r="P60" s="7">
        <f>IF($B60="","",O60*X60/100)</f>
        <v/>
      </c>
      <c r="Q60" s="7">
        <f>IF($B60="","",O60-P60)</f>
        <v/>
      </c>
      <c r="R60" s="7">
        <f>IF($B60="","",Q60-J60)</f>
        <v/>
      </c>
      <c r="S60" s="7" t="n"/>
      <c r="T60" s="7" t="n"/>
      <c r="V60" s="14" t="n"/>
      <c r="Z60">
        <f>IF($B60="","",IF(COUNTIF($B$2:$B60,$B60)=1,1,0))</f>
        <v/>
      </c>
      <c r="AA60">
        <f>IF($Z60=1,SUMPRODUCT(--($AC$2:$AC$3001&lt;$AC60))+1,"")</f>
        <v/>
      </c>
      <c r="AB60">
        <f>IF($B60="","",IF(OR($Y60=TRUE(),$Y60="TRUE"),1,IF(AND($Y60&lt;&gt;"",OR($Y60=FALSE(),$Y60="FALSE")),0,IF(MIN(ABS($X60/100-Settings!$C$6),ABS($X60/100-Settings!$G$6))&lt;=MIN(ABS($X60/100-Settings!$C$7),ABS($X60/100-Settings!$G$7)),1,0))))</f>
        <v/>
      </c>
      <c r="AC60">
        <f>IF($Z60=1,IFERROR(IF(VALUE($B60)&lt;100000000,VALUE($B60),1000000000),IFERROR(IF(VALUE(MID($B60,2,20))&lt;100000000,VALUE(MID($B60,2,20)),1000000000),1000000000))+ROW()/100000,"")</f>
        <v/>
      </c>
    </row>
    <row r="61">
      <c r="A61">
        <f>IF($B61="","",IFERROR(IF(INDEX('Per Invoice'!$A$2:$A$801,MATCH($B61,'Per Invoice'!$B$2:$B$801,0))=0,"",INDEX('Per Invoice'!$A$2:$A$801,MATCH($B61,'Per Invoice'!$B$2:$B$801,0))),""))</f>
        <v/>
      </c>
      <c r="J61" s="7">
        <f>IF($B61="","",I61*Q61/100)</f>
        <v/>
      </c>
      <c r="N61" s="7" t="n"/>
      <c r="O61" s="7" t="n"/>
      <c r="P61" s="7">
        <f>IF($B61="","",O61*X61/100)</f>
        <v/>
      </c>
      <c r="Q61" s="7">
        <f>IF($B61="","",O61-P61)</f>
        <v/>
      </c>
      <c r="R61" s="7">
        <f>IF($B61="","",Q61-J61)</f>
        <v/>
      </c>
      <c r="S61" s="7" t="n"/>
      <c r="T61" s="7" t="n"/>
      <c r="V61" s="14" t="n"/>
      <c r="Z61">
        <f>IF($B61="","",IF(COUNTIF($B$2:$B61,$B61)=1,1,0))</f>
        <v/>
      </c>
      <c r="AA61">
        <f>IF($Z61=1,SUMPRODUCT(--($AC$2:$AC$3001&lt;$AC61))+1,"")</f>
        <v/>
      </c>
      <c r="AB61">
        <f>IF($B61="","",IF(OR($Y61=TRUE(),$Y61="TRUE"),1,IF(AND($Y61&lt;&gt;"",OR($Y61=FALSE(),$Y61="FALSE")),0,IF(MIN(ABS($X61/100-Settings!$C$6),ABS($X61/100-Settings!$G$6))&lt;=MIN(ABS($X61/100-Settings!$C$7),ABS($X61/100-Settings!$G$7)),1,0))))</f>
        <v/>
      </c>
      <c r="AC61">
        <f>IF($Z61=1,IFERROR(IF(VALUE($B61)&lt;100000000,VALUE($B61),1000000000),IFERROR(IF(VALUE(MID($B61,2,20))&lt;100000000,VALUE(MID($B61,2,20)),1000000000),1000000000))+ROW()/100000,"")</f>
        <v/>
      </c>
    </row>
    <row r="62">
      <c r="A62">
        <f>IF($B62="","",IFERROR(IF(INDEX('Per Invoice'!$A$2:$A$801,MATCH($B62,'Per Invoice'!$B$2:$B$801,0))=0,"",INDEX('Per Invoice'!$A$2:$A$801,MATCH($B62,'Per Invoice'!$B$2:$B$801,0))),""))</f>
        <v/>
      </c>
      <c r="J62" s="7">
        <f>IF($B62="","",I62*Q62/100)</f>
        <v/>
      </c>
      <c r="N62" s="7" t="n"/>
      <c r="O62" s="7" t="n"/>
      <c r="P62" s="7">
        <f>IF($B62="","",O62*X62/100)</f>
        <v/>
      </c>
      <c r="Q62" s="7">
        <f>IF($B62="","",O62-P62)</f>
        <v/>
      </c>
      <c r="R62" s="7">
        <f>IF($B62="","",Q62-J62)</f>
        <v/>
      </c>
      <c r="S62" s="7" t="n"/>
      <c r="T62" s="7" t="n"/>
      <c r="V62" s="14" t="n"/>
      <c r="Z62">
        <f>IF($B62="","",IF(COUNTIF($B$2:$B62,$B62)=1,1,0))</f>
        <v/>
      </c>
      <c r="AA62">
        <f>IF($Z62=1,SUMPRODUCT(--($AC$2:$AC$3001&lt;$AC62))+1,"")</f>
        <v/>
      </c>
      <c r="AB62">
        <f>IF($B62="","",IF(OR($Y62=TRUE(),$Y62="TRUE"),1,IF(AND($Y62&lt;&gt;"",OR($Y62=FALSE(),$Y62="FALSE")),0,IF(MIN(ABS($X62/100-Settings!$C$6),ABS($X62/100-Settings!$G$6))&lt;=MIN(ABS($X62/100-Settings!$C$7),ABS($X62/100-Settings!$G$7)),1,0))))</f>
        <v/>
      </c>
      <c r="AC62">
        <f>IF($Z62=1,IFERROR(IF(VALUE($B62)&lt;100000000,VALUE($B62),1000000000),IFERROR(IF(VALUE(MID($B62,2,20))&lt;100000000,VALUE(MID($B62,2,20)),1000000000),1000000000))+ROW()/100000,"")</f>
        <v/>
      </c>
    </row>
    <row r="63">
      <c r="A63">
        <f>IF($B63="","",IFERROR(IF(INDEX('Per Invoice'!$A$2:$A$801,MATCH($B63,'Per Invoice'!$B$2:$B$801,0))=0,"",INDEX('Per Invoice'!$A$2:$A$801,MATCH($B63,'Per Invoice'!$B$2:$B$801,0))),""))</f>
        <v/>
      </c>
      <c r="J63" s="7">
        <f>IF($B63="","",I63*Q63/100)</f>
        <v/>
      </c>
      <c r="N63" s="7" t="n"/>
      <c r="O63" s="7" t="n"/>
      <c r="P63" s="7">
        <f>IF($B63="","",O63*X63/100)</f>
        <v/>
      </c>
      <c r="Q63" s="7">
        <f>IF($B63="","",O63-P63)</f>
        <v/>
      </c>
      <c r="R63" s="7">
        <f>IF($B63="","",Q63-J63)</f>
        <v/>
      </c>
      <c r="S63" s="7" t="n"/>
      <c r="T63" s="7" t="n"/>
      <c r="V63" s="14" t="n"/>
      <c r="Z63">
        <f>IF($B63="","",IF(COUNTIF($B$2:$B63,$B63)=1,1,0))</f>
        <v/>
      </c>
      <c r="AA63">
        <f>IF($Z63=1,SUMPRODUCT(--($AC$2:$AC$3001&lt;$AC63))+1,"")</f>
        <v/>
      </c>
      <c r="AB63">
        <f>IF($B63="","",IF(OR($Y63=TRUE(),$Y63="TRUE"),1,IF(AND($Y63&lt;&gt;"",OR($Y63=FALSE(),$Y63="FALSE")),0,IF(MIN(ABS($X63/100-Settings!$C$6),ABS($X63/100-Settings!$G$6))&lt;=MIN(ABS($X63/100-Settings!$C$7),ABS($X63/100-Settings!$G$7)),1,0))))</f>
        <v/>
      </c>
      <c r="AC63">
        <f>IF($Z63=1,IFERROR(IF(VALUE($B63)&lt;100000000,VALUE($B63),1000000000),IFERROR(IF(VALUE(MID($B63,2,20))&lt;100000000,VALUE(MID($B63,2,20)),1000000000),1000000000))+ROW()/100000,"")</f>
        <v/>
      </c>
    </row>
    <row r="64">
      <c r="A64">
        <f>IF($B64="","",IFERROR(IF(INDEX('Per Invoice'!$A$2:$A$801,MATCH($B64,'Per Invoice'!$B$2:$B$801,0))=0,"",INDEX('Per Invoice'!$A$2:$A$801,MATCH($B64,'Per Invoice'!$B$2:$B$801,0))),""))</f>
        <v/>
      </c>
      <c r="J64" s="7">
        <f>IF($B64="","",I64*Q64/100)</f>
        <v/>
      </c>
      <c r="N64" s="7" t="n"/>
      <c r="O64" s="7" t="n"/>
      <c r="P64" s="7">
        <f>IF($B64="","",O64*X64/100)</f>
        <v/>
      </c>
      <c r="Q64" s="7">
        <f>IF($B64="","",O64-P64)</f>
        <v/>
      </c>
      <c r="R64" s="7">
        <f>IF($B64="","",Q64-J64)</f>
        <v/>
      </c>
      <c r="S64" s="7" t="n"/>
      <c r="T64" s="7" t="n"/>
      <c r="V64" s="14" t="n"/>
      <c r="Z64">
        <f>IF($B64="","",IF(COUNTIF($B$2:$B64,$B64)=1,1,0))</f>
        <v/>
      </c>
      <c r="AA64">
        <f>IF($Z64=1,SUMPRODUCT(--($AC$2:$AC$3001&lt;$AC64))+1,"")</f>
        <v/>
      </c>
      <c r="AB64">
        <f>IF($B64="","",IF(OR($Y64=TRUE(),$Y64="TRUE"),1,IF(AND($Y64&lt;&gt;"",OR($Y64=FALSE(),$Y64="FALSE")),0,IF(MIN(ABS($X64/100-Settings!$C$6),ABS($X64/100-Settings!$G$6))&lt;=MIN(ABS($X64/100-Settings!$C$7),ABS($X64/100-Settings!$G$7)),1,0))))</f>
        <v/>
      </c>
      <c r="AC64">
        <f>IF($Z64=1,IFERROR(IF(VALUE($B64)&lt;100000000,VALUE($B64),1000000000),IFERROR(IF(VALUE(MID($B64,2,20))&lt;100000000,VALUE(MID($B64,2,20)),1000000000),1000000000))+ROW()/100000,"")</f>
        <v/>
      </c>
    </row>
    <row r="65">
      <c r="A65">
        <f>IF($B65="","",IFERROR(IF(INDEX('Per Invoice'!$A$2:$A$801,MATCH($B65,'Per Invoice'!$B$2:$B$801,0))=0,"",INDEX('Per Invoice'!$A$2:$A$801,MATCH($B65,'Per Invoice'!$B$2:$B$801,0))),""))</f>
        <v/>
      </c>
      <c r="J65" s="7">
        <f>IF($B65="","",I65*Q65/100)</f>
        <v/>
      </c>
      <c r="N65" s="7" t="n"/>
      <c r="O65" s="7" t="n"/>
      <c r="P65" s="7">
        <f>IF($B65="","",O65*X65/100)</f>
        <v/>
      </c>
      <c r="Q65" s="7">
        <f>IF($B65="","",O65-P65)</f>
        <v/>
      </c>
      <c r="R65" s="7">
        <f>IF($B65="","",Q65-J65)</f>
        <v/>
      </c>
      <c r="S65" s="7" t="n"/>
      <c r="T65" s="7" t="n"/>
      <c r="V65" s="14" t="n"/>
      <c r="Z65">
        <f>IF($B65="","",IF(COUNTIF($B$2:$B65,$B65)=1,1,0))</f>
        <v/>
      </c>
      <c r="AA65">
        <f>IF($Z65=1,SUMPRODUCT(--($AC$2:$AC$3001&lt;$AC65))+1,"")</f>
        <v/>
      </c>
      <c r="AB65">
        <f>IF($B65="","",IF(OR($Y65=TRUE(),$Y65="TRUE"),1,IF(AND($Y65&lt;&gt;"",OR($Y65=FALSE(),$Y65="FALSE")),0,IF(MIN(ABS($X65/100-Settings!$C$6),ABS($X65/100-Settings!$G$6))&lt;=MIN(ABS($X65/100-Settings!$C$7),ABS($X65/100-Settings!$G$7)),1,0))))</f>
        <v/>
      </c>
      <c r="AC65">
        <f>IF($Z65=1,IFERROR(IF(VALUE($B65)&lt;100000000,VALUE($B65),1000000000),IFERROR(IF(VALUE(MID($B65,2,20))&lt;100000000,VALUE(MID($B65,2,20)),1000000000),1000000000))+ROW()/100000,"")</f>
        <v/>
      </c>
    </row>
    <row r="66">
      <c r="A66">
        <f>IF($B66="","",IFERROR(IF(INDEX('Per Invoice'!$A$2:$A$801,MATCH($B66,'Per Invoice'!$B$2:$B$801,0))=0,"",INDEX('Per Invoice'!$A$2:$A$801,MATCH($B66,'Per Invoice'!$B$2:$B$801,0))),""))</f>
        <v/>
      </c>
      <c r="J66" s="7">
        <f>IF($B66="","",I66*Q66/100)</f>
        <v/>
      </c>
      <c r="N66" s="7" t="n"/>
      <c r="O66" s="7" t="n"/>
      <c r="P66" s="7">
        <f>IF($B66="","",O66*X66/100)</f>
        <v/>
      </c>
      <c r="Q66" s="7">
        <f>IF($B66="","",O66-P66)</f>
        <v/>
      </c>
      <c r="R66" s="7">
        <f>IF($B66="","",Q66-J66)</f>
        <v/>
      </c>
      <c r="S66" s="7" t="n"/>
      <c r="T66" s="7" t="n"/>
      <c r="V66" s="14" t="n"/>
      <c r="Z66">
        <f>IF($B66="","",IF(COUNTIF($B$2:$B66,$B66)=1,1,0))</f>
        <v/>
      </c>
      <c r="AA66">
        <f>IF($Z66=1,SUMPRODUCT(--($AC$2:$AC$3001&lt;$AC66))+1,"")</f>
        <v/>
      </c>
      <c r="AB66">
        <f>IF($B66="","",IF(OR($Y66=TRUE(),$Y66="TRUE"),1,IF(AND($Y66&lt;&gt;"",OR($Y66=FALSE(),$Y66="FALSE")),0,IF(MIN(ABS($X66/100-Settings!$C$6),ABS($X66/100-Settings!$G$6))&lt;=MIN(ABS($X66/100-Settings!$C$7),ABS($X66/100-Settings!$G$7)),1,0))))</f>
        <v/>
      </c>
      <c r="AC66">
        <f>IF($Z66=1,IFERROR(IF(VALUE($B66)&lt;100000000,VALUE($B66),1000000000),IFERROR(IF(VALUE(MID($B66,2,20))&lt;100000000,VALUE(MID($B66,2,20)),1000000000),1000000000))+ROW()/100000,"")</f>
        <v/>
      </c>
    </row>
    <row r="67">
      <c r="A67">
        <f>IF($B67="","",IFERROR(IF(INDEX('Per Invoice'!$A$2:$A$801,MATCH($B67,'Per Invoice'!$B$2:$B$801,0))=0,"",INDEX('Per Invoice'!$A$2:$A$801,MATCH($B67,'Per Invoice'!$B$2:$B$801,0))),""))</f>
        <v/>
      </c>
      <c r="J67" s="7">
        <f>IF($B67="","",I67*Q67/100)</f>
        <v/>
      </c>
      <c r="N67" s="7" t="n"/>
      <c r="O67" s="7" t="n"/>
      <c r="P67" s="7">
        <f>IF($B67="","",O67*X67/100)</f>
        <v/>
      </c>
      <c r="Q67" s="7">
        <f>IF($B67="","",O67-P67)</f>
        <v/>
      </c>
      <c r="R67" s="7">
        <f>IF($B67="","",Q67-J67)</f>
        <v/>
      </c>
      <c r="S67" s="7" t="n"/>
      <c r="T67" s="7" t="n"/>
      <c r="V67" s="14" t="n"/>
      <c r="Z67">
        <f>IF($B67="","",IF(COUNTIF($B$2:$B67,$B67)=1,1,0))</f>
        <v/>
      </c>
      <c r="AA67">
        <f>IF($Z67=1,SUMPRODUCT(--($AC$2:$AC$3001&lt;$AC67))+1,"")</f>
        <v/>
      </c>
      <c r="AB67">
        <f>IF($B67="","",IF(OR($Y67=TRUE(),$Y67="TRUE"),1,IF(AND($Y67&lt;&gt;"",OR($Y67=FALSE(),$Y67="FALSE")),0,IF(MIN(ABS($X67/100-Settings!$C$6),ABS($X67/100-Settings!$G$6))&lt;=MIN(ABS($X67/100-Settings!$C$7),ABS($X67/100-Settings!$G$7)),1,0))))</f>
        <v/>
      </c>
      <c r="AC67">
        <f>IF($Z67=1,IFERROR(IF(VALUE($B67)&lt;100000000,VALUE($B67),1000000000),IFERROR(IF(VALUE(MID($B67,2,20))&lt;100000000,VALUE(MID($B67,2,20)),1000000000),1000000000))+ROW()/100000,"")</f>
        <v/>
      </c>
    </row>
    <row r="68">
      <c r="A68">
        <f>IF($B68="","",IFERROR(IF(INDEX('Per Invoice'!$A$2:$A$801,MATCH($B68,'Per Invoice'!$B$2:$B$801,0))=0,"",INDEX('Per Invoice'!$A$2:$A$801,MATCH($B68,'Per Invoice'!$B$2:$B$801,0))),""))</f>
        <v/>
      </c>
      <c r="J68" s="7">
        <f>IF($B68="","",I68*Q68/100)</f>
        <v/>
      </c>
      <c r="N68" s="7" t="n"/>
      <c r="O68" s="7" t="n"/>
      <c r="P68" s="7">
        <f>IF($B68="","",O68*X68/100)</f>
        <v/>
      </c>
      <c r="Q68" s="7">
        <f>IF($B68="","",O68-P68)</f>
        <v/>
      </c>
      <c r="R68" s="7">
        <f>IF($B68="","",Q68-J68)</f>
        <v/>
      </c>
      <c r="S68" s="7" t="n"/>
      <c r="T68" s="7" t="n"/>
      <c r="V68" s="14" t="n"/>
      <c r="Z68">
        <f>IF($B68="","",IF(COUNTIF($B$2:$B68,$B68)=1,1,0))</f>
        <v/>
      </c>
      <c r="AA68">
        <f>IF($Z68=1,SUMPRODUCT(--($AC$2:$AC$3001&lt;$AC68))+1,"")</f>
        <v/>
      </c>
      <c r="AB68">
        <f>IF($B68="","",IF(OR($Y68=TRUE(),$Y68="TRUE"),1,IF(AND($Y68&lt;&gt;"",OR($Y68=FALSE(),$Y68="FALSE")),0,IF(MIN(ABS($X68/100-Settings!$C$6),ABS($X68/100-Settings!$G$6))&lt;=MIN(ABS($X68/100-Settings!$C$7),ABS($X68/100-Settings!$G$7)),1,0))))</f>
        <v/>
      </c>
      <c r="AC68">
        <f>IF($Z68=1,IFERROR(IF(VALUE($B68)&lt;100000000,VALUE($B68),1000000000),IFERROR(IF(VALUE(MID($B68,2,20))&lt;100000000,VALUE(MID($B68,2,20)),1000000000),1000000000))+ROW()/100000,"")</f>
        <v/>
      </c>
    </row>
    <row r="69">
      <c r="A69">
        <f>IF($B69="","",IFERROR(IF(INDEX('Per Invoice'!$A$2:$A$801,MATCH($B69,'Per Invoice'!$B$2:$B$801,0))=0,"",INDEX('Per Invoice'!$A$2:$A$801,MATCH($B69,'Per Invoice'!$B$2:$B$801,0))),""))</f>
        <v/>
      </c>
      <c r="J69" s="7">
        <f>IF($B69="","",I69*Q69/100)</f>
        <v/>
      </c>
      <c r="N69" s="7" t="n"/>
      <c r="O69" s="7" t="n"/>
      <c r="P69" s="7">
        <f>IF($B69="","",O69*X69/100)</f>
        <v/>
      </c>
      <c r="Q69" s="7">
        <f>IF($B69="","",O69-P69)</f>
        <v/>
      </c>
      <c r="R69" s="7">
        <f>IF($B69="","",Q69-J69)</f>
        <v/>
      </c>
      <c r="S69" s="7" t="n"/>
      <c r="T69" s="7" t="n"/>
      <c r="V69" s="14" t="n"/>
      <c r="Z69">
        <f>IF($B69="","",IF(COUNTIF($B$2:$B69,$B69)=1,1,0))</f>
        <v/>
      </c>
      <c r="AA69">
        <f>IF($Z69=1,SUMPRODUCT(--($AC$2:$AC$3001&lt;$AC69))+1,"")</f>
        <v/>
      </c>
      <c r="AB69">
        <f>IF($B69="","",IF(OR($Y69=TRUE(),$Y69="TRUE"),1,IF(AND($Y69&lt;&gt;"",OR($Y69=FALSE(),$Y69="FALSE")),0,IF(MIN(ABS($X69/100-Settings!$C$6),ABS($X69/100-Settings!$G$6))&lt;=MIN(ABS($X69/100-Settings!$C$7),ABS($X69/100-Settings!$G$7)),1,0))))</f>
        <v/>
      </c>
      <c r="AC69">
        <f>IF($Z69=1,IFERROR(IF(VALUE($B69)&lt;100000000,VALUE($B69),1000000000),IFERROR(IF(VALUE(MID($B69,2,20))&lt;100000000,VALUE(MID($B69,2,20)),1000000000),1000000000))+ROW()/100000,"")</f>
        <v/>
      </c>
    </row>
    <row r="70">
      <c r="A70">
        <f>IF($B70="","",IFERROR(IF(INDEX('Per Invoice'!$A$2:$A$801,MATCH($B70,'Per Invoice'!$B$2:$B$801,0))=0,"",INDEX('Per Invoice'!$A$2:$A$801,MATCH($B70,'Per Invoice'!$B$2:$B$801,0))),""))</f>
        <v/>
      </c>
      <c r="J70" s="7">
        <f>IF($B70="","",I70*Q70/100)</f>
        <v/>
      </c>
      <c r="N70" s="7" t="n"/>
      <c r="O70" s="7" t="n"/>
      <c r="P70" s="7">
        <f>IF($B70="","",O70*X70/100)</f>
        <v/>
      </c>
      <c r="Q70" s="7">
        <f>IF($B70="","",O70-P70)</f>
        <v/>
      </c>
      <c r="R70" s="7">
        <f>IF($B70="","",Q70-J70)</f>
        <v/>
      </c>
      <c r="S70" s="7" t="n"/>
      <c r="T70" s="7" t="n"/>
      <c r="V70" s="14" t="n"/>
      <c r="Z70">
        <f>IF($B70="","",IF(COUNTIF($B$2:$B70,$B70)=1,1,0))</f>
        <v/>
      </c>
      <c r="AA70">
        <f>IF($Z70=1,SUMPRODUCT(--($AC$2:$AC$3001&lt;$AC70))+1,"")</f>
        <v/>
      </c>
      <c r="AB70">
        <f>IF($B70="","",IF(OR($Y70=TRUE(),$Y70="TRUE"),1,IF(AND($Y70&lt;&gt;"",OR($Y70=FALSE(),$Y70="FALSE")),0,IF(MIN(ABS($X70/100-Settings!$C$6),ABS($X70/100-Settings!$G$6))&lt;=MIN(ABS($X70/100-Settings!$C$7),ABS($X70/100-Settings!$G$7)),1,0))))</f>
        <v/>
      </c>
      <c r="AC70">
        <f>IF($Z70=1,IFERROR(IF(VALUE($B70)&lt;100000000,VALUE($B70),1000000000),IFERROR(IF(VALUE(MID($B70,2,20))&lt;100000000,VALUE(MID($B70,2,20)),1000000000),1000000000))+ROW()/100000,"")</f>
        <v/>
      </c>
    </row>
    <row r="71">
      <c r="A71">
        <f>IF($B71="","",IFERROR(IF(INDEX('Per Invoice'!$A$2:$A$801,MATCH($B71,'Per Invoice'!$B$2:$B$801,0))=0,"",INDEX('Per Invoice'!$A$2:$A$801,MATCH($B71,'Per Invoice'!$B$2:$B$801,0))),""))</f>
        <v/>
      </c>
      <c r="J71" s="7">
        <f>IF($B71="","",I71*Q71/100)</f>
        <v/>
      </c>
      <c r="N71" s="7" t="n"/>
      <c r="O71" s="7" t="n"/>
      <c r="P71" s="7">
        <f>IF($B71="","",O71*X71/100)</f>
        <v/>
      </c>
      <c r="Q71" s="7">
        <f>IF($B71="","",O71-P71)</f>
        <v/>
      </c>
      <c r="R71" s="7">
        <f>IF($B71="","",Q71-J71)</f>
        <v/>
      </c>
      <c r="S71" s="7" t="n"/>
      <c r="T71" s="7" t="n"/>
      <c r="V71" s="14" t="n"/>
      <c r="Z71">
        <f>IF($B71="","",IF(COUNTIF($B$2:$B71,$B71)=1,1,0))</f>
        <v/>
      </c>
      <c r="AA71">
        <f>IF($Z71=1,SUMPRODUCT(--($AC$2:$AC$3001&lt;$AC71))+1,"")</f>
        <v/>
      </c>
      <c r="AB71">
        <f>IF($B71="","",IF(OR($Y71=TRUE(),$Y71="TRUE"),1,IF(AND($Y71&lt;&gt;"",OR($Y71=FALSE(),$Y71="FALSE")),0,IF(MIN(ABS($X71/100-Settings!$C$6),ABS($X71/100-Settings!$G$6))&lt;=MIN(ABS($X71/100-Settings!$C$7),ABS($X71/100-Settings!$G$7)),1,0))))</f>
        <v/>
      </c>
      <c r="AC71">
        <f>IF($Z71=1,IFERROR(IF(VALUE($B71)&lt;100000000,VALUE($B71),1000000000),IFERROR(IF(VALUE(MID($B71,2,20))&lt;100000000,VALUE(MID($B71,2,20)),1000000000),1000000000))+ROW()/100000,"")</f>
        <v/>
      </c>
    </row>
    <row r="72">
      <c r="A72">
        <f>IF($B72="","",IFERROR(IF(INDEX('Per Invoice'!$A$2:$A$801,MATCH($B72,'Per Invoice'!$B$2:$B$801,0))=0,"",INDEX('Per Invoice'!$A$2:$A$801,MATCH($B72,'Per Invoice'!$B$2:$B$801,0))),""))</f>
        <v/>
      </c>
      <c r="J72" s="7">
        <f>IF($B72="","",I72*Q72/100)</f>
        <v/>
      </c>
      <c r="N72" s="7" t="n"/>
      <c r="O72" s="7" t="n"/>
      <c r="P72" s="7">
        <f>IF($B72="","",O72*X72/100)</f>
        <v/>
      </c>
      <c r="Q72" s="7">
        <f>IF($B72="","",O72-P72)</f>
        <v/>
      </c>
      <c r="R72" s="7">
        <f>IF($B72="","",Q72-J72)</f>
        <v/>
      </c>
      <c r="S72" s="7" t="n"/>
      <c r="T72" s="7" t="n"/>
      <c r="V72" s="14" t="n"/>
      <c r="Z72">
        <f>IF($B72="","",IF(COUNTIF($B$2:$B72,$B72)=1,1,0))</f>
        <v/>
      </c>
      <c r="AA72">
        <f>IF($Z72=1,SUMPRODUCT(--($AC$2:$AC$3001&lt;$AC72))+1,"")</f>
        <v/>
      </c>
      <c r="AB72">
        <f>IF($B72="","",IF(OR($Y72=TRUE(),$Y72="TRUE"),1,IF(AND($Y72&lt;&gt;"",OR($Y72=FALSE(),$Y72="FALSE")),0,IF(MIN(ABS($X72/100-Settings!$C$6),ABS($X72/100-Settings!$G$6))&lt;=MIN(ABS($X72/100-Settings!$C$7),ABS($X72/100-Settings!$G$7)),1,0))))</f>
        <v/>
      </c>
      <c r="AC72">
        <f>IF($Z72=1,IFERROR(IF(VALUE($B72)&lt;100000000,VALUE($B72),1000000000),IFERROR(IF(VALUE(MID($B72,2,20))&lt;100000000,VALUE(MID($B72,2,20)),1000000000),1000000000))+ROW()/100000,"")</f>
        <v/>
      </c>
    </row>
    <row r="73">
      <c r="A73">
        <f>IF($B73="","",IFERROR(IF(INDEX('Per Invoice'!$A$2:$A$801,MATCH($B73,'Per Invoice'!$B$2:$B$801,0))=0,"",INDEX('Per Invoice'!$A$2:$A$801,MATCH($B73,'Per Invoice'!$B$2:$B$801,0))),""))</f>
        <v/>
      </c>
      <c r="J73" s="7">
        <f>IF($B73="","",I73*Q73/100)</f>
        <v/>
      </c>
      <c r="N73" s="7" t="n"/>
      <c r="O73" s="7" t="n"/>
      <c r="P73" s="7">
        <f>IF($B73="","",O73*X73/100)</f>
        <v/>
      </c>
      <c r="Q73" s="7">
        <f>IF($B73="","",O73-P73)</f>
        <v/>
      </c>
      <c r="R73" s="7">
        <f>IF($B73="","",Q73-J73)</f>
        <v/>
      </c>
      <c r="S73" s="7" t="n"/>
      <c r="T73" s="7" t="n"/>
      <c r="V73" s="14" t="n"/>
      <c r="Z73">
        <f>IF($B73="","",IF(COUNTIF($B$2:$B73,$B73)=1,1,0))</f>
        <v/>
      </c>
      <c r="AA73">
        <f>IF($Z73=1,SUMPRODUCT(--($AC$2:$AC$3001&lt;$AC73))+1,"")</f>
        <v/>
      </c>
      <c r="AB73">
        <f>IF($B73="","",IF(OR($Y73=TRUE(),$Y73="TRUE"),1,IF(AND($Y73&lt;&gt;"",OR($Y73=FALSE(),$Y73="FALSE")),0,IF(MIN(ABS($X73/100-Settings!$C$6),ABS($X73/100-Settings!$G$6))&lt;=MIN(ABS($X73/100-Settings!$C$7),ABS($X73/100-Settings!$G$7)),1,0))))</f>
        <v/>
      </c>
      <c r="AC73">
        <f>IF($Z73=1,IFERROR(IF(VALUE($B73)&lt;100000000,VALUE($B73),1000000000),IFERROR(IF(VALUE(MID($B73,2,20))&lt;100000000,VALUE(MID($B73,2,20)),1000000000),1000000000))+ROW()/100000,"")</f>
        <v/>
      </c>
    </row>
    <row r="74">
      <c r="A74">
        <f>IF($B74="","",IFERROR(IF(INDEX('Per Invoice'!$A$2:$A$801,MATCH($B74,'Per Invoice'!$B$2:$B$801,0))=0,"",INDEX('Per Invoice'!$A$2:$A$801,MATCH($B74,'Per Invoice'!$B$2:$B$801,0))),""))</f>
        <v/>
      </c>
      <c r="J74" s="7">
        <f>IF($B74="","",I74*Q74/100)</f>
        <v/>
      </c>
      <c r="N74" s="7" t="n"/>
      <c r="O74" s="7" t="n"/>
      <c r="P74" s="7">
        <f>IF($B74="","",O74*X74/100)</f>
        <v/>
      </c>
      <c r="Q74" s="7">
        <f>IF($B74="","",O74-P74)</f>
        <v/>
      </c>
      <c r="R74" s="7">
        <f>IF($B74="","",Q74-J74)</f>
        <v/>
      </c>
      <c r="S74" s="7" t="n"/>
      <c r="T74" s="7" t="n"/>
      <c r="V74" s="14" t="n"/>
      <c r="Z74">
        <f>IF($B74="","",IF(COUNTIF($B$2:$B74,$B74)=1,1,0))</f>
        <v/>
      </c>
      <c r="AA74">
        <f>IF($Z74=1,SUMPRODUCT(--($AC$2:$AC$3001&lt;$AC74))+1,"")</f>
        <v/>
      </c>
      <c r="AB74">
        <f>IF($B74="","",IF(OR($Y74=TRUE(),$Y74="TRUE"),1,IF(AND($Y74&lt;&gt;"",OR($Y74=FALSE(),$Y74="FALSE")),0,IF(MIN(ABS($X74/100-Settings!$C$6),ABS($X74/100-Settings!$G$6))&lt;=MIN(ABS($X74/100-Settings!$C$7),ABS($X74/100-Settings!$G$7)),1,0))))</f>
        <v/>
      </c>
      <c r="AC74">
        <f>IF($Z74=1,IFERROR(IF(VALUE($B74)&lt;100000000,VALUE($B74),1000000000),IFERROR(IF(VALUE(MID($B74,2,20))&lt;100000000,VALUE(MID($B74,2,20)),1000000000),1000000000))+ROW()/100000,"")</f>
        <v/>
      </c>
    </row>
    <row r="75">
      <c r="A75">
        <f>IF($B75="","",IFERROR(IF(INDEX('Per Invoice'!$A$2:$A$801,MATCH($B75,'Per Invoice'!$B$2:$B$801,0))=0,"",INDEX('Per Invoice'!$A$2:$A$801,MATCH($B75,'Per Invoice'!$B$2:$B$801,0))),""))</f>
        <v/>
      </c>
      <c r="J75" s="7">
        <f>IF($B75="","",I75*Q75/100)</f>
        <v/>
      </c>
      <c r="N75" s="7" t="n"/>
      <c r="O75" s="7" t="n"/>
      <c r="P75" s="7">
        <f>IF($B75="","",O75*X75/100)</f>
        <v/>
      </c>
      <c r="Q75" s="7">
        <f>IF($B75="","",O75-P75)</f>
        <v/>
      </c>
      <c r="R75" s="7">
        <f>IF($B75="","",Q75-J75)</f>
        <v/>
      </c>
      <c r="S75" s="7" t="n"/>
      <c r="T75" s="7" t="n"/>
      <c r="V75" s="14" t="n"/>
      <c r="Z75">
        <f>IF($B75="","",IF(COUNTIF($B$2:$B75,$B75)=1,1,0))</f>
        <v/>
      </c>
      <c r="AA75">
        <f>IF($Z75=1,SUMPRODUCT(--($AC$2:$AC$3001&lt;$AC75))+1,"")</f>
        <v/>
      </c>
      <c r="AB75">
        <f>IF($B75="","",IF(OR($Y75=TRUE(),$Y75="TRUE"),1,IF(AND($Y75&lt;&gt;"",OR($Y75=FALSE(),$Y75="FALSE")),0,IF(MIN(ABS($X75/100-Settings!$C$6),ABS($X75/100-Settings!$G$6))&lt;=MIN(ABS($X75/100-Settings!$C$7),ABS($X75/100-Settings!$G$7)),1,0))))</f>
        <v/>
      </c>
      <c r="AC75">
        <f>IF($Z75=1,IFERROR(IF(VALUE($B75)&lt;100000000,VALUE($B75),1000000000),IFERROR(IF(VALUE(MID($B75,2,20))&lt;100000000,VALUE(MID($B75,2,20)),1000000000),1000000000))+ROW()/100000,"")</f>
        <v/>
      </c>
    </row>
    <row r="76">
      <c r="A76">
        <f>IF($B76="","",IFERROR(IF(INDEX('Per Invoice'!$A$2:$A$801,MATCH($B76,'Per Invoice'!$B$2:$B$801,0))=0,"",INDEX('Per Invoice'!$A$2:$A$801,MATCH($B76,'Per Invoice'!$B$2:$B$801,0))),""))</f>
        <v/>
      </c>
      <c r="J76" s="7">
        <f>IF($B76="","",I76*Q76/100)</f>
        <v/>
      </c>
      <c r="N76" s="7" t="n"/>
      <c r="O76" s="7" t="n"/>
      <c r="P76" s="7">
        <f>IF($B76="","",O76*X76/100)</f>
        <v/>
      </c>
      <c r="Q76" s="7">
        <f>IF($B76="","",O76-P76)</f>
        <v/>
      </c>
      <c r="R76" s="7">
        <f>IF($B76="","",Q76-J76)</f>
        <v/>
      </c>
      <c r="S76" s="7" t="n"/>
      <c r="T76" s="7" t="n"/>
      <c r="V76" s="14" t="n"/>
      <c r="Z76">
        <f>IF($B76="","",IF(COUNTIF($B$2:$B76,$B76)=1,1,0))</f>
        <v/>
      </c>
      <c r="AA76">
        <f>IF($Z76=1,SUMPRODUCT(--($AC$2:$AC$3001&lt;$AC76))+1,"")</f>
        <v/>
      </c>
      <c r="AB76">
        <f>IF($B76="","",IF(OR($Y76=TRUE(),$Y76="TRUE"),1,IF(AND($Y76&lt;&gt;"",OR($Y76=FALSE(),$Y76="FALSE")),0,IF(MIN(ABS($X76/100-Settings!$C$6),ABS($X76/100-Settings!$G$6))&lt;=MIN(ABS($X76/100-Settings!$C$7),ABS($X76/100-Settings!$G$7)),1,0))))</f>
        <v/>
      </c>
      <c r="AC76">
        <f>IF($Z76=1,IFERROR(IF(VALUE($B76)&lt;100000000,VALUE($B76),1000000000),IFERROR(IF(VALUE(MID($B76,2,20))&lt;100000000,VALUE(MID($B76,2,20)),1000000000),1000000000))+ROW()/100000,"")</f>
        <v/>
      </c>
    </row>
    <row r="77">
      <c r="A77">
        <f>IF($B77="","",IFERROR(IF(INDEX('Per Invoice'!$A$2:$A$801,MATCH($B77,'Per Invoice'!$B$2:$B$801,0))=0,"",INDEX('Per Invoice'!$A$2:$A$801,MATCH($B77,'Per Invoice'!$B$2:$B$801,0))),""))</f>
        <v/>
      </c>
      <c r="J77" s="7">
        <f>IF($B77="","",I77*Q77/100)</f>
        <v/>
      </c>
      <c r="N77" s="7" t="n"/>
      <c r="O77" s="7" t="n"/>
      <c r="P77" s="7">
        <f>IF($B77="","",O77*X77/100)</f>
        <v/>
      </c>
      <c r="Q77" s="7">
        <f>IF($B77="","",O77-P77)</f>
        <v/>
      </c>
      <c r="R77" s="7">
        <f>IF($B77="","",Q77-J77)</f>
        <v/>
      </c>
      <c r="S77" s="7" t="n"/>
      <c r="T77" s="7" t="n"/>
      <c r="V77" s="14" t="n"/>
      <c r="Z77">
        <f>IF($B77="","",IF(COUNTIF($B$2:$B77,$B77)=1,1,0))</f>
        <v/>
      </c>
      <c r="AA77">
        <f>IF($Z77=1,SUMPRODUCT(--($AC$2:$AC$3001&lt;$AC77))+1,"")</f>
        <v/>
      </c>
      <c r="AB77">
        <f>IF($B77="","",IF(OR($Y77=TRUE(),$Y77="TRUE"),1,IF(AND($Y77&lt;&gt;"",OR($Y77=FALSE(),$Y77="FALSE")),0,IF(MIN(ABS($X77/100-Settings!$C$6),ABS($X77/100-Settings!$G$6))&lt;=MIN(ABS($X77/100-Settings!$C$7),ABS($X77/100-Settings!$G$7)),1,0))))</f>
        <v/>
      </c>
      <c r="AC77">
        <f>IF($Z77=1,IFERROR(IF(VALUE($B77)&lt;100000000,VALUE($B77),1000000000),IFERROR(IF(VALUE(MID($B77,2,20))&lt;100000000,VALUE(MID($B77,2,20)),1000000000),1000000000))+ROW()/100000,"")</f>
        <v/>
      </c>
    </row>
    <row r="78">
      <c r="A78">
        <f>IF($B78="","",IFERROR(IF(INDEX('Per Invoice'!$A$2:$A$801,MATCH($B78,'Per Invoice'!$B$2:$B$801,0))=0,"",INDEX('Per Invoice'!$A$2:$A$801,MATCH($B78,'Per Invoice'!$B$2:$B$801,0))),""))</f>
        <v/>
      </c>
      <c r="J78" s="7">
        <f>IF($B78="","",I78*Q78/100)</f>
        <v/>
      </c>
      <c r="N78" s="7" t="n"/>
      <c r="O78" s="7" t="n"/>
      <c r="P78" s="7">
        <f>IF($B78="","",O78*X78/100)</f>
        <v/>
      </c>
      <c r="Q78" s="7">
        <f>IF($B78="","",O78-P78)</f>
        <v/>
      </c>
      <c r="R78" s="7">
        <f>IF($B78="","",Q78-J78)</f>
        <v/>
      </c>
      <c r="S78" s="7" t="n"/>
      <c r="T78" s="7" t="n"/>
      <c r="V78" s="14" t="n"/>
      <c r="Z78">
        <f>IF($B78="","",IF(COUNTIF($B$2:$B78,$B78)=1,1,0))</f>
        <v/>
      </c>
      <c r="AA78">
        <f>IF($Z78=1,SUMPRODUCT(--($AC$2:$AC$3001&lt;$AC78))+1,"")</f>
        <v/>
      </c>
      <c r="AB78">
        <f>IF($B78="","",IF(OR($Y78=TRUE(),$Y78="TRUE"),1,IF(AND($Y78&lt;&gt;"",OR($Y78=FALSE(),$Y78="FALSE")),0,IF(MIN(ABS($X78/100-Settings!$C$6),ABS($X78/100-Settings!$G$6))&lt;=MIN(ABS($X78/100-Settings!$C$7),ABS($X78/100-Settings!$G$7)),1,0))))</f>
        <v/>
      </c>
      <c r="AC78">
        <f>IF($Z78=1,IFERROR(IF(VALUE($B78)&lt;100000000,VALUE($B78),1000000000),IFERROR(IF(VALUE(MID($B78,2,20))&lt;100000000,VALUE(MID($B78,2,20)),1000000000),1000000000))+ROW()/100000,"")</f>
        <v/>
      </c>
    </row>
    <row r="79">
      <c r="A79">
        <f>IF($B79="","",IFERROR(IF(INDEX('Per Invoice'!$A$2:$A$801,MATCH($B79,'Per Invoice'!$B$2:$B$801,0))=0,"",INDEX('Per Invoice'!$A$2:$A$801,MATCH($B79,'Per Invoice'!$B$2:$B$801,0))),""))</f>
        <v/>
      </c>
      <c r="J79" s="7">
        <f>IF($B79="","",I79*Q79/100)</f>
        <v/>
      </c>
      <c r="N79" s="7" t="n"/>
      <c r="O79" s="7" t="n"/>
      <c r="P79" s="7">
        <f>IF($B79="","",O79*X79/100)</f>
        <v/>
      </c>
      <c r="Q79" s="7">
        <f>IF($B79="","",O79-P79)</f>
        <v/>
      </c>
      <c r="R79" s="7">
        <f>IF($B79="","",Q79-J79)</f>
        <v/>
      </c>
      <c r="S79" s="7" t="n"/>
      <c r="T79" s="7" t="n"/>
      <c r="V79" s="14" t="n"/>
      <c r="Z79">
        <f>IF($B79="","",IF(COUNTIF($B$2:$B79,$B79)=1,1,0))</f>
        <v/>
      </c>
      <c r="AA79">
        <f>IF($Z79=1,SUMPRODUCT(--($AC$2:$AC$3001&lt;$AC79))+1,"")</f>
        <v/>
      </c>
      <c r="AB79">
        <f>IF($B79="","",IF(OR($Y79=TRUE(),$Y79="TRUE"),1,IF(AND($Y79&lt;&gt;"",OR($Y79=FALSE(),$Y79="FALSE")),0,IF(MIN(ABS($X79/100-Settings!$C$6),ABS($X79/100-Settings!$G$6))&lt;=MIN(ABS($X79/100-Settings!$C$7),ABS($X79/100-Settings!$G$7)),1,0))))</f>
        <v/>
      </c>
      <c r="AC79">
        <f>IF($Z79=1,IFERROR(IF(VALUE($B79)&lt;100000000,VALUE($B79),1000000000),IFERROR(IF(VALUE(MID($B79,2,20))&lt;100000000,VALUE(MID($B79,2,20)),1000000000),1000000000))+ROW()/100000,"")</f>
        <v/>
      </c>
    </row>
    <row r="80">
      <c r="A80">
        <f>IF($B80="","",IFERROR(IF(INDEX('Per Invoice'!$A$2:$A$801,MATCH($B80,'Per Invoice'!$B$2:$B$801,0))=0,"",INDEX('Per Invoice'!$A$2:$A$801,MATCH($B80,'Per Invoice'!$B$2:$B$801,0))),""))</f>
        <v/>
      </c>
      <c r="J80" s="7">
        <f>IF($B80="","",I80*Q80/100)</f>
        <v/>
      </c>
      <c r="N80" s="7" t="n"/>
      <c r="O80" s="7" t="n"/>
      <c r="P80" s="7">
        <f>IF($B80="","",O80*X80/100)</f>
        <v/>
      </c>
      <c r="Q80" s="7">
        <f>IF($B80="","",O80-P80)</f>
        <v/>
      </c>
      <c r="R80" s="7">
        <f>IF($B80="","",Q80-J80)</f>
        <v/>
      </c>
      <c r="S80" s="7" t="n"/>
      <c r="T80" s="7" t="n"/>
      <c r="V80" s="14" t="n"/>
      <c r="Z80">
        <f>IF($B80="","",IF(COUNTIF($B$2:$B80,$B80)=1,1,0))</f>
        <v/>
      </c>
      <c r="AA80">
        <f>IF($Z80=1,SUMPRODUCT(--($AC$2:$AC$3001&lt;$AC80))+1,"")</f>
        <v/>
      </c>
      <c r="AB80">
        <f>IF($B80="","",IF(OR($Y80=TRUE(),$Y80="TRUE"),1,IF(AND($Y80&lt;&gt;"",OR($Y80=FALSE(),$Y80="FALSE")),0,IF(MIN(ABS($X80/100-Settings!$C$6),ABS($X80/100-Settings!$G$6))&lt;=MIN(ABS($X80/100-Settings!$C$7),ABS($X80/100-Settings!$G$7)),1,0))))</f>
        <v/>
      </c>
      <c r="AC80">
        <f>IF($Z80=1,IFERROR(IF(VALUE($B80)&lt;100000000,VALUE($B80),1000000000),IFERROR(IF(VALUE(MID($B80,2,20))&lt;100000000,VALUE(MID($B80,2,20)),1000000000),1000000000))+ROW()/100000,"")</f>
        <v/>
      </c>
    </row>
    <row r="81">
      <c r="A81">
        <f>IF($B81="","",IFERROR(IF(INDEX('Per Invoice'!$A$2:$A$801,MATCH($B81,'Per Invoice'!$B$2:$B$801,0))=0,"",INDEX('Per Invoice'!$A$2:$A$801,MATCH($B81,'Per Invoice'!$B$2:$B$801,0))),""))</f>
        <v/>
      </c>
      <c r="J81" s="7">
        <f>IF($B81="","",I81*Q81/100)</f>
        <v/>
      </c>
      <c r="N81" s="7" t="n"/>
      <c r="O81" s="7" t="n"/>
      <c r="P81" s="7">
        <f>IF($B81="","",O81*X81/100)</f>
        <v/>
      </c>
      <c r="Q81" s="7">
        <f>IF($B81="","",O81-P81)</f>
        <v/>
      </c>
      <c r="R81" s="7">
        <f>IF($B81="","",Q81-J81)</f>
        <v/>
      </c>
      <c r="S81" s="7" t="n"/>
      <c r="T81" s="7" t="n"/>
      <c r="V81" s="14" t="n"/>
      <c r="Z81">
        <f>IF($B81="","",IF(COUNTIF($B$2:$B81,$B81)=1,1,0))</f>
        <v/>
      </c>
      <c r="AA81">
        <f>IF($Z81=1,SUMPRODUCT(--($AC$2:$AC$3001&lt;$AC81))+1,"")</f>
        <v/>
      </c>
      <c r="AB81">
        <f>IF($B81="","",IF(OR($Y81=TRUE(),$Y81="TRUE"),1,IF(AND($Y81&lt;&gt;"",OR($Y81=FALSE(),$Y81="FALSE")),0,IF(MIN(ABS($X81/100-Settings!$C$6),ABS($X81/100-Settings!$G$6))&lt;=MIN(ABS($X81/100-Settings!$C$7),ABS($X81/100-Settings!$G$7)),1,0))))</f>
        <v/>
      </c>
      <c r="AC81">
        <f>IF($Z81=1,IFERROR(IF(VALUE($B81)&lt;100000000,VALUE($B81),1000000000),IFERROR(IF(VALUE(MID($B81,2,20))&lt;100000000,VALUE(MID($B81,2,20)),1000000000),1000000000))+ROW()/100000,"")</f>
        <v/>
      </c>
    </row>
    <row r="82">
      <c r="A82">
        <f>IF($B82="","",IFERROR(IF(INDEX('Per Invoice'!$A$2:$A$801,MATCH($B82,'Per Invoice'!$B$2:$B$801,0))=0,"",INDEX('Per Invoice'!$A$2:$A$801,MATCH($B82,'Per Invoice'!$B$2:$B$801,0))),""))</f>
        <v/>
      </c>
      <c r="J82" s="7">
        <f>IF($B82="","",I82*Q82/100)</f>
        <v/>
      </c>
      <c r="N82" s="7" t="n"/>
      <c r="O82" s="7" t="n"/>
      <c r="P82" s="7">
        <f>IF($B82="","",O82*X82/100)</f>
        <v/>
      </c>
      <c r="Q82" s="7">
        <f>IF($B82="","",O82-P82)</f>
        <v/>
      </c>
      <c r="R82" s="7">
        <f>IF($B82="","",Q82-J82)</f>
        <v/>
      </c>
      <c r="S82" s="7" t="n"/>
      <c r="T82" s="7" t="n"/>
      <c r="V82" s="14" t="n"/>
      <c r="Z82">
        <f>IF($B82="","",IF(COUNTIF($B$2:$B82,$B82)=1,1,0))</f>
        <v/>
      </c>
      <c r="AA82">
        <f>IF($Z82=1,SUMPRODUCT(--($AC$2:$AC$3001&lt;$AC82))+1,"")</f>
        <v/>
      </c>
      <c r="AB82">
        <f>IF($B82="","",IF(OR($Y82=TRUE(),$Y82="TRUE"),1,IF(AND($Y82&lt;&gt;"",OR($Y82=FALSE(),$Y82="FALSE")),0,IF(MIN(ABS($X82/100-Settings!$C$6),ABS($X82/100-Settings!$G$6))&lt;=MIN(ABS($X82/100-Settings!$C$7),ABS($X82/100-Settings!$G$7)),1,0))))</f>
        <v/>
      </c>
      <c r="AC82">
        <f>IF($Z82=1,IFERROR(IF(VALUE($B82)&lt;100000000,VALUE($B82),1000000000),IFERROR(IF(VALUE(MID($B82,2,20))&lt;100000000,VALUE(MID($B82,2,20)),1000000000),1000000000))+ROW()/100000,"")</f>
        <v/>
      </c>
    </row>
    <row r="83">
      <c r="A83">
        <f>IF($B83="","",IFERROR(IF(INDEX('Per Invoice'!$A$2:$A$801,MATCH($B83,'Per Invoice'!$B$2:$B$801,0))=0,"",INDEX('Per Invoice'!$A$2:$A$801,MATCH($B83,'Per Invoice'!$B$2:$B$801,0))),""))</f>
        <v/>
      </c>
      <c r="J83" s="7">
        <f>IF($B83="","",I83*Q83/100)</f>
        <v/>
      </c>
      <c r="N83" s="7" t="n"/>
      <c r="O83" s="7" t="n"/>
      <c r="P83" s="7">
        <f>IF($B83="","",O83*X83/100)</f>
        <v/>
      </c>
      <c r="Q83" s="7">
        <f>IF($B83="","",O83-P83)</f>
        <v/>
      </c>
      <c r="R83" s="7">
        <f>IF($B83="","",Q83-J83)</f>
        <v/>
      </c>
      <c r="S83" s="7" t="n"/>
      <c r="T83" s="7" t="n"/>
      <c r="V83" s="14" t="n"/>
      <c r="Z83">
        <f>IF($B83="","",IF(COUNTIF($B$2:$B83,$B83)=1,1,0))</f>
        <v/>
      </c>
      <c r="AA83">
        <f>IF($Z83=1,SUMPRODUCT(--($AC$2:$AC$3001&lt;$AC83))+1,"")</f>
        <v/>
      </c>
      <c r="AB83">
        <f>IF($B83="","",IF(OR($Y83=TRUE(),$Y83="TRUE"),1,IF(AND($Y83&lt;&gt;"",OR($Y83=FALSE(),$Y83="FALSE")),0,IF(MIN(ABS($X83/100-Settings!$C$6),ABS($X83/100-Settings!$G$6))&lt;=MIN(ABS($X83/100-Settings!$C$7),ABS($X83/100-Settings!$G$7)),1,0))))</f>
        <v/>
      </c>
      <c r="AC83">
        <f>IF($Z83=1,IFERROR(IF(VALUE($B83)&lt;100000000,VALUE($B83),1000000000),IFERROR(IF(VALUE(MID($B83,2,20))&lt;100000000,VALUE(MID($B83,2,20)),1000000000),1000000000))+ROW()/100000,"")</f>
        <v/>
      </c>
    </row>
    <row r="84">
      <c r="A84">
        <f>IF($B84="","",IFERROR(IF(INDEX('Per Invoice'!$A$2:$A$801,MATCH($B84,'Per Invoice'!$B$2:$B$801,0))=0,"",INDEX('Per Invoice'!$A$2:$A$801,MATCH($B84,'Per Invoice'!$B$2:$B$801,0))),""))</f>
        <v/>
      </c>
      <c r="J84" s="7">
        <f>IF($B84="","",I84*Q84/100)</f>
        <v/>
      </c>
      <c r="N84" s="7" t="n"/>
      <c r="O84" s="7" t="n"/>
      <c r="P84" s="7">
        <f>IF($B84="","",O84*X84/100)</f>
        <v/>
      </c>
      <c r="Q84" s="7">
        <f>IF($B84="","",O84-P84)</f>
        <v/>
      </c>
      <c r="R84" s="7">
        <f>IF($B84="","",Q84-J84)</f>
        <v/>
      </c>
      <c r="S84" s="7" t="n"/>
      <c r="T84" s="7" t="n"/>
      <c r="V84" s="14" t="n"/>
      <c r="Z84">
        <f>IF($B84="","",IF(COUNTIF($B$2:$B84,$B84)=1,1,0))</f>
        <v/>
      </c>
      <c r="AA84">
        <f>IF($Z84=1,SUMPRODUCT(--($AC$2:$AC$3001&lt;$AC84))+1,"")</f>
        <v/>
      </c>
      <c r="AB84">
        <f>IF($B84="","",IF(OR($Y84=TRUE(),$Y84="TRUE"),1,IF(AND($Y84&lt;&gt;"",OR($Y84=FALSE(),$Y84="FALSE")),0,IF(MIN(ABS($X84/100-Settings!$C$6),ABS($X84/100-Settings!$G$6))&lt;=MIN(ABS($X84/100-Settings!$C$7),ABS($X84/100-Settings!$G$7)),1,0))))</f>
        <v/>
      </c>
      <c r="AC84">
        <f>IF($Z84=1,IFERROR(IF(VALUE($B84)&lt;100000000,VALUE($B84),1000000000),IFERROR(IF(VALUE(MID($B84,2,20))&lt;100000000,VALUE(MID($B84,2,20)),1000000000),1000000000))+ROW()/100000,"")</f>
        <v/>
      </c>
    </row>
    <row r="85">
      <c r="A85">
        <f>IF($B85="","",IFERROR(IF(INDEX('Per Invoice'!$A$2:$A$801,MATCH($B85,'Per Invoice'!$B$2:$B$801,0))=0,"",INDEX('Per Invoice'!$A$2:$A$801,MATCH($B85,'Per Invoice'!$B$2:$B$801,0))),""))</f>
        <v/>
      </c>
      <c r="J85" s="7">
        <f>IF($B85="","",I85*Q85/100)</f>
        <v/>
      </c>
      <c r="N85" s="7" t="n"/>
      <c r="O85" s="7" t="n"/>
      <c r="P85" s="7">
        <f>IF($B85="","",O85*X85/100)</f>
        <v/>
      </c>
      <c r="Q85" s="7">
        <f>IF($B85="","",O85-P85)</f>
        <v/>
      </c>
      <c r="R85" s="7">
        <f>IF($B85="","",Q85-J85)</f>
        <v/>
      </c>
      <c r="S85" s="7" t="n"/>
      <c r="T85" s="7" t="n"/>
      <c r="V85" s="14" t="n"/>
      <c r="Z85">
        <f>IF($B85="","",IF(COUNTIF($B$2:$B85,$B85)=1,1,0))</f>
        <v/>
      </c>
      <c r="AA85">
        <f>IF($Z85=1,SUMPRODUCT(--($AC$2:$AC$3001&lt;$AC85))+1,"")</f>
        <v/>
      </c>
      <c r="AB85">
        <f>IF($B85="","",IF(OR($Y85=TRUE(),$Y85="TRUE"),1,IF(AND($Y85&lt;&gt;"",OR($Y85=FALSE(),$Y85="FALSE")),0,IF(MIN(ABS($X85/100-Settings!$C$6),ABS($X85/100-Settings!$G$6))&lt;=MIN(ABS($X85/100-Settings!$C$7),ABS($X85/100-Settings!$G$7)),1,0))))</f>
        <v/>
      </c>
      <c r="AC85">
        <f>IF($Z85=1,IFERROR(IF(VALUE($B85)&lt;100000000,VALUE($B85),1000000000),IFERROR(IF(VALUE(MID($B85,2,20))&lt;100000000,VALUE(MID($B85,2,20)),1000000000),1000000000))+ROW()/100000,"")</f>
        <v/>
      </c>
    </row>
    <row r="86">
      <c r="A86">
        <f>IF($B86="","",IFERROR(IF(INDEX('Per Invoice'!$A$2:$A$801,MATCH($B86,'Per Invoice'!$B$2:$B$801,0))=0,"",INDEX('Per Invoice'!$A$2:$A$801,MATCH($B86,'Per Invoice'!$B$2:$B$801,0))),""))</f>
        <v/>
      </c>
      <c r="J86" s="7">
        <f>IF($B86="","",I86*Q86/100)</f>
        <v/>
      </c>
      <c r="N86" s="7" t="n"/>
      <c r="O86" s="7" t="n"/>
      <c r="P86" s="7">
        <f>IF($B86="","",O86*X86/100)</f>
        <v/>
      </c>
      <c r="Q86" s="7">
        <f>IF($B86="","",O86-P86)</f>
        <v/>
      </c>
      <c r="R86" s="7">
        <f>IF($B86="","",Q86-J86)</f>
        <v/>
      </c>
      <c r="S86" s="7" t="n"/>
      <c r="T86" s="7" t="n"/>
      <c r="V86" s="14" t="n"/>
      <c r="Z86">
        <f>IF($B86="","",IF(COUNTIF($B$2:$B86,$B86)=1,1,0))</f>
        <v/>
      </c>
      <c r="AA86">
        <f>IF($Z86=1,SUMPRODUCT(--($AC$2:$AC$3001&lt;$AC86))+1,"")</f>
        <v/>
      </c>
      <c r="AB86">
        <f>IF($B86="","",IF(OR($Y86=TRUE(),$Y86="TRUE"),1,IF(AND($Y86&lt;&gt;"",OR($Y86=FALSE(),$Y86="FALSE")),0,IF(MIN(ABS($X86/100-Settings!$C$6),ABS($X86/100-Settings!$G$6))&lt;=MIN(ABS($X86/100-Settings!$C$7),ABS($X86/100-Settings!$G$7)),1,0))))</f>
        <v/>
      </c>
      <c r="AC86">
        <f>IF($Z86=1,IFERROR(IF(VALUE($B86)&lt;100000000,VALUE($B86),1000000000),IFERROR(IF(VALUE(MID($B86,2,20))&lt;100000000,VALUE(MID($B86,2,20)),1000000000),1000000000))+ROW()/100000,"")</f>
        <v/>
      </c>
    </row>
    <row r="87">
      <c r="A87">
        <f>IF($B87="","",IFERROR(IF(INDEX('Per Invoice'!$A$2:$A$801,MATCH($B87,'Per Invoice'!$B$2:$B$801,0))=0,"",INDEX('Per Invoice'!$A$2:$A$801,MATCH($B87,'Per Invoice'!$B$2:$B$801,0))),""))</f>
        <v/>
      </c>
      <c r="J87" s="7">
        <f>IF($B87="","",I87*Q87/100)</f>
        <v/>
      </c>
      <c r="N87" s="7" t="n"/>
      <c r="O87" s="7" t="n"/>
      <c r="P87" s="7">
        <f>IF($B87="","",O87*X87/100)</f>
        <v/>
      </c>
      <c r="Q87" s="7">
        <f>IF($B87="","",O87-P87)</f>
        <v/>
      </c>
      <c r="R87" s="7">
        <f>IF($B87="","",Q87-J87)</f>
        <v/>
      </c>
      <c r="S87" s="7" t="n"/>
      <c r="T87" s="7" t="n"/>
      <c r="V87" s="14" t="n"/>
      <c r="Z87">
        <f>IF($B87="","",IF(COUNTIF($B$2:$B87,$B87)=1,1,0))</f>
        <v/>
      </c>
      <c r="AA87">
        <f>IF($Z87=1,SUMPRODUCT(--($AC$2:$AC$3001&lt;$AC87))+1,"")</f>
        <v/>
      </c>
      <c r="AB87">
        <f>IF($B87="","",IF(OR($Y87=TRUE(),$Y87="TRUE"),1,IF(AND($Y87&lt;&gt;"",OR($Y87=FALSE(),$Y87="FALSE")),0,IF(MIN(ABS($X87/100-Settings!$C$6),ABS($X87/100-Settings!$G$6))&lt;=MIN(ABS($X87/100-Settings!$C$7),ABS($X87/100-Settings!$G$7)),1,0))))</f>
        <v/>
      </c>
      <c r="AC87">
        <f>IF($Z87=1,IFERROR(IF(VALUE($B87)&lt;100000000,VALUE($B87),1000000000),IFERROR(IF(VALUE(MID($B87,2,20))&lt;100000000,VALUE(MID($B87,2,20)),1000000000),1000000000))+ROW()/100000,"")</f>
        <v/>
      </c>
    </row>
    <row r="88">
      <c r="A88">
        <f>IF($B88="","",IFERROR(IF(INDEX('Per Invoice'!$A$2:$A$801,MATCH($B88,'Per Invoice'!$B$2:$B$801,0))=0,"",INDEX('Per Invoice'!$A$2:$A$801,MATCH($B88,'Per Invoice'!$B$2:$B$801,0))),""))</f>
        <v/>
      </c>
      <c r="J88" s="7">
        <f>IF($B88="","",I88*Q88/100)</f>
        <v/>
      </c>
      <c r="N88" s="7" t="n"/>
      <c r="O88" s="7" t="n"/>
      <c r="P88" s="7">
        <f>IF($B88="","",O88*X88/100)</f>
        <v/>
      </c>
      <c r="Q88" s="7">
        <f>IF($B88="","",O88-P88)</f>
        <v/>
      </c>
      <c r="R88" s="7">
        <f>IF($B88="","",Q88-J88)</f>
        <v/>
      </c>
      <c r="S88" s="7" t="n"/>
      <c r="T88" s="7" t="n"/>
      <c r="V88" s="14" t="n"/>
      <c r="Z88">
        <f>IF($B88="","",IF(COUNTIF($B$2:$B88,$B88)=1,1,0))</f>
        <v/>
      </c>
      <c r="AA88">
        <f>IF($Z88=1,SUMPRODUCT(--($AC$2:$AC$3001&lt;$AC88))+1,"")</f>
        <v/>
      </c>
      <c r="AB88">
        <f>IF($B88="","",IF(OR($Y88=TRUE(),$Y88="TRUE"),1,IF(AND($Y88&lt;&gt;"",OR($Y88=FALSE(),$Y88="FALSE")),0,IF(MIN(ABS($X88/100-Settings!$C$6),ABS($X88/100-Settings!$G$6))&lt;=MIN(ABS($X88/100-Settings!$C$7),ABS($X88/100-Settings!$G$7)),1,0))))</f>
        <v/>
      </c>
      <c r="AC88">
        <f>IF($Z88=1,IFERROR(IF(VALUE($B88)&lt;100000000,VALUE($B88),1000000000),IFERROR(IF(VALUE(MID($B88,2,20))&lt;100000000,VALUE(MID($B88,2,20)),1000000000),1000000000))+ROW()/100000,"")</f>
        <v/>
      </c>
    </row>
    <row r="89">
      <c r="A89">
        <f>IF($B89="","",IFERROR(IF(INDEX('Per Invoice'!$A$2:$A$801,MATCH($B89,'Per Invoice'!$B$2:$B$801,0))=0,"",INDEX('Per Invoice'!$A$2:$A$801,MATCH($B89,'Per Invoice'!$B$2:$B$801,0))),""))</f>
        <v/>
      </c>
      <c r="J89" s="7">
        <f>IF($B89="","",I89*Q89/100)</f>
        <v/>
      </c>
      <c r="N89" s="7" t="n"/>
      <c r="O89" s="7" t="n"/>
      <c r="P89" s="7">
        <f>IF($B89="","",O89*X89/100)</f>
        <v/>
      </c>
      <c r="Q89" s="7">
        <f>IF($B89="","",O89-P89)</f>
        <v/>
      </c>
      <c r="R89" s="7">
        <f>IF($B89="","",Q89-J89)</f>
        <v/>
      </c>
      <c r="S89" s="7" t="n"/>
      <c r="T89" s="7" t="n"/>
      <c r="V89" s="14" t="n"/>
      <c r="Z89">
        <f>IF($B89="","",IF(COUNTIF($B$2:$B89,$B89)=1,1,0))</f>
        <v/>
      </c>
      <c r="AA89">
        <f>IF($Z89=1,SUMPRODUCT(--($AC$2:$AC$3001&lt;$AC89))+1,"")</f>
        <v/>
      </c>
      <c r="AB89">
        <f>IF($B89="","",IF(OR($Y89=TRUE(),$Y89="TRUE"),1,IF(AND($Y89&lt;&gt;"",OR($Y89=FALSE(),$Y89="FALSE")),0,IF(MIN(ABS($X89/100-Settings!$C$6),ABS($X89/100-Settings!$G$6))&lt;=MIN(ABS($X89/100-Settings!$C$7),ABS($X89/100-Settings!$G$7)),1,0))))</f>
        <v/>
      </c>
      <c r="AC89">
        <f>IF($Z89=1,IFERROR(IF(VALUE($B89)&lt;100000000,VALUE($B89),1000000000),IFERROR(IF(VALUE(MID($B89,2,20))&lt;100000000,VALUE(MID($B89,2,20)),1000000000),1000000000))+ROW()/100000,"")</f>
        <v/>
      </c>
    </row>
    <row r="90">
      <c r="A90">
        <f>IF($B90="","",IFERROR(IF(INDEX('Per Invoice'!$A$2:$A$801,MATCH($B90,'Per Invoice'!$B$2:$B$801,0))=0,"",INDEX('Per Invoice'!$A$2:$A$801,MATCH($B90,'Per Invoice'!$B$2:$B$801,0))),""))</f>
        <v/>
      </c>
      <c r="J90" s="7">
        <f>IF($B90="","",I90*Q90/100)</f>
        <v/>
      </c>
      <c r="N90" s="7" t="n"/>
      <c r="O90" s="7" t="n"/>
      <c r="P90" s="7">
        <f>IF($B90="","",O90*X90/100)</f>
        <v/>
      </c>
      <c r="Q90" s="7">
        <f>IF($B90="","",O90-P90)</f>
        <v/>
      </c>
      <c r="R90" s="7">
        <f>IF($B90="","",Q90-J90)</f>
        <v/>
      </c>
      <c r="S90" s="7" t="n"/>
      <c r="T90" s="7" t="n"/>
      <c r="V90" s="14" t="n"/>
      <c r="Z90">
        <f>IF($B90="","",IF(COUNTIF($B$2:$B90,$B90)=1,1,0))</f>
        <v/>
      </c>
      <c r="AA90">
        <f>IF($Z90=1,SUMPRODUCT(--($AC$2:$AC$3001&lt;$AC90))+1,"")</f>
        <v/>
      </c>
      <c r="AB90">
        <f>IF($B90="","",IF(OR($Y90=TRUE(),$Y90="TRUE"),1,IF(AND($Y90&lt;&gt;"",OR($Y90=FALSE(),$Y90="FALSE")),0,IF(MIN(ABS($X90/100-Settings!$C$6),ABS($X90/100-Settings!$G$6))&lt;=MIN(ABS($X90/100-Settings!$C$7),ABS($X90/100-Settings!$G$7)),1,0))))</f>
        <v/>
      </c>
      <c r="AC90">
        <f>IF($Z90=1,IFERROR(IF(VALUE($B90)&lt;100000000,VALUE($B90),1000000000),IFERROR(IF(VALUE(MID($B90,2,20))&lt;100000000,VALUE(MID($B90,2,20)),1000000000),1000000000))+ROW()/100000,"")</f>
        <v/>
      </c>
    </row>
    <row r="91">
      <c r="A91">
        <f>IF($B91="","",IFERROR(IF(INDEX('Per Invoice'!$A$2:$A$801,MATCH($B91,'Per Invoice'!$B$2:$B$801,0))=0,"",INDEX('Per Invoice'!$A$2:$A$801,MATCH($B91,'Per Invoice'!$B$2:$B$801,0))),""))</f>
        <v/>
      </c>
      <c r="J91" s="7">
        <f>IF($B91="","",I91*Q91/100)</f>
        <v/>
      </c>
      <c r="N91" s="7" t="n"/>
      <c r="O91" s="7" t="n"/>
      <c r="P91" s="7">
        <f>IF($B91="","",O91*X91/100)</f>
        <v/>
      </c>
      <c r="Q91" s="7">
        <f>IF($B91="","",O91-P91)</f>
        <v/>
      </c>
      <c r="R91" s="7">
        <f>IF($B91="","",Q91-J91)</f>
        <v/>
      </c>
      <c r="S91" s="7" t="n"/>
      <c r="T91" s="7" t="n"/>
      <c r="V91" s="14" t="n"/>
      <c r="Z91">
        <f>IF($B91="","",IF(COUNTIF($B$2:$B91,$B91)=1,1,0))</f>
        <v/>
      </c>
      <c r="AA91">
        <f>IF($Z91=1,SUMPRODUCT(--($AC$2:$AC$3001&lt;$AC91))+1,"")</f>
        <v/>
      </c>
      <c r="AB91">
        <f>IF($B91="","",IF(OR($Y91=TRUE(),$Y91="TRUE"),1,IF(AND($Y91&lt;&gt;"",OR($Y91=FALSE(),$Y91="FALSE")),0,IF(MIN(ABS($X91/100-Settings!$C$6),ABS($X91/100-Settings!$G$6))&lt;=MIN(ABS($X91/100-Settings!$C$7),ABS($X91/100-Settings!$G$7)),1,0))))</f>
        <v/>
      </c>
      <c r="AC91">
        <f>IF($Z91=1,IFERROR(IF(VALUE($B91)&lt;100000000,VALUE($B91),1000000000),IFERROR(IF(VALUE(MID($B91,2,20))&lt;100000000,VALUE(MID($B91,2,20)),1000000000),1000000000))+ROW()/100000,"")</f>
        <v/>
      </c>
    </row>
    <row r="92">
      <c r="A92">
        <f>IF($B92="","",IFERROR(IF(INDEX('Per Invoice'!$A$2:$A$801,MATCH($B92,'Per Invoice'!$B$2:$B$801,0))=0,"",INDEX('Per Invoice'!$A$2:$A$801,MATCH($B92,'Per Invoice'!$B$2:$B$801,0))),""))</f>
        <v/>
      </c>
      <c r="J92" s="7">
        <f>IF($B92="","",I92*Q92/100)</f>
        <v/>
      </c>
      <c r="N92" s="7" t="n"/>
      <c r="O92" s="7" t="n"/>
      <c r="P92" s="7">
        <f>IF($B92="","",O92*X92/100)</f>
        <v/>
      </c>
      <c r="Q92" s="7">
        <f>IF($B92="","",O92-P92)</f>
        <v/>
      </c>
      <c r="R92" s="7">
        <f>IF($B92="","",Q92-J92)</f>
        <v/>
      </c>
      <c r="S92" s="7" t="n"/>
      <c r="T92" s="7" t="n"/>
      <c r="V92" s="14" t="n"/>
      <c r="Z92">
        <f>IF($B92="","",IF(COUNTIF($B$2:$B92,$B92)=1,1,0))</f>
        <v/>
      </c>
      <c r="AA92">
        <f>IF($Z92=1,SUMPRODUCT(--($AC$2:$AC$3001&lt;$AC92))+1,"")</f>
        <v/>
      </c>
      <c r="AB92">
        <f>IF($B92="","",IF(OR($Y92=TRUE(),$Y92="TRUE"),1,IF(AND($Y92&lt;&gt;"",OR($Y92=FALSE(),$Y92="FALSE")),0,IF(MIN(ABS($X92/100-Settings!$C$6),ABS($X92/100-Settings!$G$6))&lt;=MIN(ABS($X92/100-Settings!$C$7),ABS($X92/100-Settings!$G$7)),1,0))))</f>
        <v/>
      </c>
      <c r="AC92">
        <f>IF($Z92=1,IFERROR(IF(VALUE($B92)&lt;100000000,VALUE($B92),1000000000),IFERROR(IF(VALUE(MID($B92,2,20))&lt;100000000,VALUE(MID($B92,2,20)),1000000000),1000000000))+ROW()/100000,"")</f>
        <v/>
      </c>
    </row>
    <row r="93">
      <c r="A93">
        <f>IF($B93="","",IFERROR(IF(INDEX('Per Invoice'!$A$2:$A$801,MATCH($B93,'Per Invoice'!$B$2:$B$801,0))=0,"",INDEX('Per Invoice'!$A$2:$A$801,MATCH($B93,'Per Invoice'!$B$2:$B$801,0))),""))</f>
        <v/>
      </c>
      <c r="J93" s="7">
        <f>IF($B93="","",I93*Q93/100)</f>
        <v/>
      </c>
      <c r="N93" s="7" t="n"/>
      <c r="O93" s="7" t="n"/>
      <c r="P93" s="7">
        <f>IF($B93="","",O93*X93/100)</f>
        <v/>
      </c>
      <c r="Q93" s="7">
        <f>IF($B93="","",O93-P93)</f>
        <v/>
      </c>
      <c r="R93" s="7">
        <f>IF($B93="","",Q93-J93)</f>
        <v/>
      </c>
      <c r="S93" s="7" t="n"/>
      <c r="T93" s="7" t="n"/>
      <c r="V93" s="14" t="n"/>
      <c r="Z93">
        <f>IF($B93="","",IF(COUNTIF($B$2:$B93,$B93)=1,1,0))</f>
        <v/>
      </c>
      <c r="AA93">
        <f>IF($Z93=1,SUMPRODUCT(--($AC$2:$AC$3001&lt;$AC93))+1,"")</f>
        <v/>
      </c>
      <c r="AB93">
        <f>IF($B93="","",IF(OR($Y93=TRUE(),$Y93="TRUE"),1,IF(AND($Y93&lt;&gt;"",OR($Y93=FALSE(),$Y93="FALSE")),0,IF(MIN(ABS($X93/100-Settings!$C$6),ABS($X93/100-Settings!$G$6))&lt;=MIN(ABS($X93/100-Settings!$C$7),ABS($X93/100-Settings!$G$7)),1,0))))</f>
        <v/>
      </c>
      <c r="AC93">
        <f>IF($Z93=1,IFERROR(IF(VALUE($B93)&lt;100000000,VALUE($B93),1000000000),IFERROR(IF(VALUE(MID($B93,2,20))&lt;100000000,VALUE(MID($B93,2,20)),1000000000),1000000000))+ROW()/100000,"")</f>
        <v/>
      </c>
    </row>
    <row r="94">
      <c r="A94">
        <f>IF($B94="","",IFERROR(IF(INDEX('Per Invoice'!$A$2:$A$801,MATCH($B94,'Per Invoice'!$B$2:$B$801,0))=0,"",INDEX('Per Invoice'!$A$2:$A$801,MATCH($B94,'Per Invoice'!$B$2:$B$801,0))),""))</f>
        <v/>
      </c>
      <c r="J94" s="7">
        <f>IF($B94="","",I94*Q94/100)</f>
        <v/>
      </c>
      <c r="N94" s="7" t="n"/>
      <c r="O94" s="7" t="n"/>
      <c r="P94" s="7">
        <f>IF($B94="","",O94*X94/100)</f>
        <v/>
      </c>
      <c r="Q94" s="7">
        <f>IF($B94="","",O94-P94)</f>
        <v/>
      </c>
      <c r="R94" s="7">
        <f>IF($B94="","",Q94-J94)</f>
        <v/>
      </c>
      <c r="S94" s="7" t="n"/>
      <c r="T94" s="7" t="n"/>
      <c r="V94" s="14" t="n"/>
      <c r="Z94">
        <f>IF($B94="","",IF(COUNTIF($B$2:$B94,$B94)=1,1,0))</f>
        <v/>
      </c>
      <c r="AA94">
        <f>IF($Z94=1,SUMPRODUCT(--($AC$2:$AC$3001&lt;$AC94))+1,"")</f>
        <v/>
      </c>
      <c r="AB94">
        <f>IF($B94="","",IF(OR($Y94=TRUE(),$Y94="TRUE"),1,IF(AND($Y94&lt;&gt;"",OR($Y94=FALSE(),$Y94="FALSE")),0,IF(MIN(ABS($X94/100-Settings!$C$6),ABS($X94/100-Settings!$G$6))&lt;=MIN(ABS($X94/100-Settings!$C$7),ABS($X94/100-Settings!$G$7)),1,0))))</f>
        <v/>
      </c>
      <c r="AC94">
        <f>IF($Z94=1,IFERROR(IF(VALUE($B94)&lt;100000000,VALUE($B94),1000000000),IFERROR(IF(VALUE(MID($B94,2,20))&lt;100000000,VALUE(MID($B94,2,20)),1000000000),1000000000))+ROW()/100000,"")</f>
        <v/>
      </c>
    </row>
    <row r="95">
      <c r="A95">
        <f>IF($B95="","",IFERROR(IF(INDEX('Per Invoice'!$A$2:$A$801,MATCH($B95,'Per Invoice'!$B$2:$B$801,0))=0,"",INDEX('Per Invoice'!$A$2:$A$801,MATCH($B95,'Per Invoice'!$B$2:$B$801,0))),""))</f>
        <v/>
      </c>
      <c r="J95" s="7">
        <f>IF($B95="","",I95*Q95/100)</f>
        <v/>
      </c>
      <c r="N95" s="7" t="n"/>
      <c r="O95" s="7" t="n"/>
      <c r="P95" s="7">
        <f>IF($B95="","",O95*X95/100)</f>
        <v/>
      </c>
      <c r="Q95" s="7">
        <f>IF($B95="","",O95-P95)</f>
        <v/>
      </c>
      <c r="R95" s="7">
        <f>IF($B95="","",Q95-J95)</f>
        <v/>
      </c>
      <c r="S95" s="7" t="n"/>
      <c r="T95" s="7" t="n"/>
      <c r="V95" s="14" t="n"/>
      <c r="Z95">
        <f>IF($B95="","",IF(COUNTIF($B$2:$B95,$B95)=1,1,0))</f>
        <v/>
      </c>
      <c r="AA95">
        <f>IF($Z95=1,SUMPRODUCT(--($AC$2:$AC$3001&lt;$AC95))+1,"")</f>
        <v/>
      </c>
      <c r="AB95">
        <f>IF($B95="","",IF(OR($Y95=TRUE(),$Y95="TRUE"),1,IF(AND($Y95&lt;&gt;"",OR($Y95=FALSE(),$Y95="FALSE")),0,IF(MIN(ABS($X95/100-Settings!$C$6),ABS($X95/100-Settings!$G$6))&lt;=MIN(ABS($X95/100-Settings!$C$7),ABS($X95/100-Settings!$G$7)),1,0))))</f>
        <v/>
      </c>
      <c r="AC95">
        <f>IF($Z95=1,IFERROR(IF(VALUE($B95)&lt;100000000,VALUE($B95),1000000000),IFERROR(IF(VALUE(MID($B95,2,20))&lt;100000000,VALUE(MID($B95,2,20)),1000000000),1000000000))+ROW()/100000,"")</f>
        <v/>
      </c>
    </row>
    <row r="96">
      <c r="A96">
        <f>IF($B96="","",IFERROR(IF(INDEX('Per Invoice'!$A$2:$A$801,MATCH($B96,'Per Invoice'!$B$2:$B$801,0))=0,"",INDEX('Per Invoice'!$A$2:$A$801,MATCH($B96,'Per Invoice'!$B$2:$B$801,0))),""))</f>
        <v/>
      </c>
      <c r="J96" s="7">
        <f>IF($B96="","",I96*Q96/100)</f>
        <v/>
      </c>
      <c r="N96" s="7" t="n"/>
      <c r="O96" s="7" t="n"/>
      <c r="P96" s="7">
        <f>IF($B96="","",O96*X96/100)</f>
        <v/>
      </c>
      <c r="Q96" s="7">
        <f>IF($B96="","",O96-P96)</f>
        <v/>
      </c>
      <c r="R96" s="7">
        <f>IF($B96="","",Q96-J96)</f>
        <v/>
      </c>
      <c r="S96" s="7" t="n"/>
      <c r="T96" s="7" t="n"/>
      <c r="V96" s="14" t="n"/>
      <c r="Z96">
        <f>IF($B96="","",IF(COUNTIF($B$2:$B96,$B96)=1,1,0))</f>
        <v/>
      </c>
      <c r="AA96">
        <f>IF($Z96=1,SUMPRODUCT(--($AC$2:$AC$3001&lt;$AC96))+1,"")</f>
        <v/>
      </c>
      <c r="AB96">
        <f>IF($B96="","",IF(OR($Y96=TRUE(),$Y96="TRUE"),1,IF(AND($Y96&lt;&gt;"",OR($Y96=FALSE(),$Y96="FALSE")),0,IF(MIN(ABS($X96/100-Settings!$C$6),ABS($X96/100-Settings!$G$6))&lt;=MIN(ABS($X96/100-Settings!$C$7),ABS($X96/100-Settings!$G$7)),1,0))))</f>
        <v/>
      </c>
      <c r="AC96">
        <f>IF($Z96=1,IFERROR(IF(VALUE($B96)&lt;100000000,VALUE($B96),1000000000),IFERROR(IF(VALUE(MID($B96,2,20))&lt;100000000,VALUE(MID($B96,2,20)),1000000000),1000000000))+ROW()/100000,"")</f>
        <v/>
      </c>
    </row>
    <row r="97">
      <c r="A97">
        <f>IF($B97="","",IFERROR(IF(INDEX('Per Invoice'!$A$2:$A$801,MATCH($B97,'Per Invoice'!$B$2:$B$801,0))=0,"",INDEX('Per Invoice'!$A$2:$A$801,MATCH($B97,'Per Invoice'!$B$2:$B$801,0))),""))</f>
        <v/>
      </c>
      <c r="J97" s="7">
        <f>IF($B97="","",I97*Q97/100)</f>
        <v/>
      </c>
      <c r="N97" s="7" t="n"/>
      <c r="O97" s="7" t="n"/>
      <c r="P97" s="7">
        <f>IF($B97="","",O97*X97/100)</f>
        <v/>
      </c>
      <c r="Q97" s="7">
        <f>IF($B97="","",O97-P97)</f>
        <v/>
      </c>
      <c r="R97" s="7">
        <f>IF($B97="","",Q97-J97)</f>
        <v/>
      </c>
      <c r="S97" s="7" t="n"/>
      <c r="T97" s="7" t="n"/>
      <c r="V97" s="14" t="n"/>
      <c r="Z97">
        <f>IF($B97="","",IF(COUNTIF($B$2:$B97,$B97)=1,1,0))</f>
        <v/>
      </c>
      <c r="AA97">
        <f>IF($Z97=1,SUMPRODUCT(--($AC$2:$AC$3001&lt;$AC97))+1,"")</f>
        <v/>
      </c>
      <c r="AB97">
        <f>IF($B97="","",IF(OR($Y97=TRUE(),$Y97="TRUE"),1,IF(AND($Y97&lt;&gt;"",OR($Y97=FALSE(),$Y97="FALSE")),0,IF(MIN(ABS($X97/100-Settings!$C$6),ABS($X97/100-Settings!$G$6))&lt;=MIN(ABS($X97/100-Settings!$C$7),ABS($X97/100-Settings!$G$7)),1,0))))</f>
        <v/>
      </c>
      <c r="AC97">
        <f>IF($Z97=1,IFERROR(IF(VALUE($B97)&lt;100000000,VALUE($B97),1000000000),IFERROR(IF(VALUE(MID($B97,2,20))&lt;100000000,VALUE(MID($B97,2,20)),1000000000),1000000000))+ROW()/100000,"")</f>
        <v/>
      </c>
    </row>
    <row r="98">
      <c r="A98">
        <f>IF($B98="","",IFERROR(IF(INDEX('Per Invoice'!$A$2:$A$801,MATCH($B98,'Per Invoice'!$B$2:$B$801,0))=0,"",INDEX('Per Invoice'!$A$2:$A$801,MATCH($B98,'Per Invoice'!$B$2:$B$801,0))),""))</f>
        <v/>
      </c>
      <c r="J98" s="7">
        <f>IF($B98="","",I98*Q98/100)</f>
        <v/>
      </c>
      <c r="N98" s="7" t="n"/>
      <c r="O98" s="7" t="n"/>
      <c r="P98" s="7">
        <f>IF($B98="","",O98*X98/100)</f>
        <v/>
      </c>
      <c r="Q98" s="7">
        <f>IF($B98="","",O98-P98)</f>
        <v/>
      </c>
      <c r="R98" s="7">
        <f>IF($B98="","",Q98-J98)</f>
        <v/>
      </c>
      <c r="S98" s="7" t="n"/>
      <c r="T98" s="7" t="n"/>
      <c r="V98" s="14" t="n"/>
      <c r="Z98">
        <f>IF($B98="","",IF(COUNTIF($B$2:$B98,$B98)=1,1,0))</f>
        <v/>
      </c>
      <c r="AA98">
        <f>IF($Z98=1,SUMPRODUCT(--($AC$2:$AC$3001&lt;$AC98))+1,"")</f>
        <v/>
      </c>
      <c r="AB98">
        <f>IF($B98="","",IF(OR($Y98=TRUE(),$Y98="TRUE"),1,IF(AND($Y98&lt;&gt;"",OR($Y98=FALSE(),$Y98="FALSE")),0,IF(MIN(ABS($X98/100-Settings!$C$6),ABS($X98/100-Settings!$G$6))&lt;=MIN(ABS($X98/100-Settings!$C$7),ABS($X98/100-Settings!$G$7)),1,0))))</f>
        <v/>
      </c>
      <c r="AC98">
        <f>IF($Z98=1,IFERROR(IF(VALUE($B98)&lt;100000000,VALUE($B98),1000000000),IFERROR(IF(VALUE(MID($B98,2,20))&lt;100000000,VALUE(MID($B98,2,20)),1000000000),1000000000))+ROW()/100000,"")</f>
        <v/>
      </c>
    </row>
    <row r="99">
      <c r="A99">
        <f>IF($B99="","",IFERROR(IF(INDEX('Per Invoice'!$A$2:$A$801,MATCH($B99,'Per Invoice'!$B$2:$B$801,0))=0,"",INDEX('Per Invoice'!$A$2:$A$801,MATCH($B99,'Per Invoice'!$B$2:$B$801,0))),""))</f>
        <v/>
      </c>
      <c r="J99" s="7">
        <f>IF($B99="","",I99*Q99/100)</f>
        <v/>
      </c>
      <c r="N99" s="7" t="n"/>
      <c r="O99" s="7" t="n"/>
      <c r="P99" s="7">
        <f>IF($B99="","",O99*X99/100)</f>
        <v/>
      </c>
      <c r="Q99" s="7">
        <f>IF($B99="","",O99-P99)</f>
        <v/>
      </c>
      <c r="R99" s="7">
        <f>IF($B99="","",Q99-J99)</f>
        <v/>
      </c>
      <c r="S99" s="7" t="n"/>
      <c r="T99" s="7" t="n"/>
      <c r="V99" s="14" t="n"/>
      <c r="Z99">
        <f>IF($B99="","",IF(COUNTIF($B$2:$B99,$B99)=1,1,0))</f>
        <v/>
      </c>
      <c r="AA99">
        <f>IF($Z99=1,SUMPRODUCT(--($AC$2:$AC$3001&lt;$AC99))+1,"")</f>
        <v/>
      </c>
      <c r="AB99">
        <f>IF($B99="","",IF(OR($Y99=TRUE(),$Y99="TRUE"),1,IF(AND($Y99&lt;&gt;"",OR($Y99=FALSE(),$Y99="FALSE")),0,IF(MIN(ABS($X99/100-Settings!$C$6),ABS($X99/100-Settings!$G$6))&lt;=MIN(ABS($X99/100-Settings!$C$7),ABS($X99/100-Settings!$G$7)),1,0))))</f>
        <v/>
      </c>
      <c r="AC99">
        <f>IF($Z99=1,IFERROR(IF(VALUE($B99)&lt;100000000,VALUE($B99),1000000000),IFERROR(IF(VALUE(MID($B99,2,20))&lt;100000000,VALUE(MID($B99,2,20)),1000000000),1000000000))+ROW()/100000,"")</f>
        <v/>
      </c>
    </row>
    <row r="100">
      <c r="A100">
        <f>IF($B100="","",IFERROR(IF(INDEX('Per Invoice'!$A$2:$A$801,MATCH($B100,'Per Invoice'!$B$2:$B$801,0))=0,"",INDEX('Per Invoice'!$A$2:$A$801,MATCH($B100,'Per Invoice'!$B$2:$B$801,0))),""))</f>
        <v/>
      </c>
      <c r="J100" s="7">
        <f>IF($B100="","",I100*Q100/100)</f>
        <v/>
      </c>
      <c r="N100" s="7" t="n"/>
      <c r="O100" s="7" t="n"/>
      <c r="P100" s="7">
        <f>IF($B100="","",O100*X100/100)</f>
        <v/>
      </c>
      <c r="Q100" s="7">
        <f>IF($B100="","",O100-P100)</f>
        <v/>
      </c>
      <c r="R100" s="7">
        <f>IF($B100="","",Q100-J100)</f>
        <v/>
      </c>
      <c r="S100" s="7" t="n"/>
      <c r="T100" s="7" t="n"/>
      <c r="V100" s="14" t="n"/>
      <c r="Z100">
        <f>IF($B100="","",IF(COUNTIF($B$2:$B100,$B100)=1,1,0))</f>
        <v/>
      </c>
      <c r="AA100">
        <f>IF($Z100=1,SUMPRODUCT(--($AC$2:$AC$3001&lt;$AC100))+1,"")</f>
        <v/>
      </c>
      <c r="AB100">
        <f>IF($B100="","",IF(OR($Y100=TRUE(),$Y100="TRUE"),1,IF(AND($Y100&lt;&gt;"",OR($Y100=FALSE(),$Y100="FALSE")),0,IF(MIN(ABS($X100/100-Settings!$C$6),ABS($X100/100-Settings!$G$6))&lt;=MIN(ABS($X100/100-Settings!$C$7),ABS($X100/100-Settings!$G$7)),1,0))))</f>
        <v/>
      </c>
      <c r="AC100">
        <f>IF($Z100=1,IFERROR(IF(VALUE($B100)&lt;100000000,VALUE($B100),1000000000),IFERROR(IF(VALUE(MID($B100,2,20))&lt;100000000,VALUE(MID($B100,2,20)),1000000000),1000000000))+ROW()/100000,"")</f>
        <v/>
      </c>
    </row>
    <row r="101">
      <c r="A101">
        <f>IF($B101="","",IFERROR(IF(INDEX('Per Invoice'!$A$2:$A$801,MATCH($B101,'Per Invoice'!$B$2:$B$801,0))=0,"",INDEX('Per Invoice'!$A$2:$A$801,MATCH($B101,'Per Invoice'!$B$2:$B$801,0))),""))</f>
        <v/>
      </c>
      <c r="J101" s="7">
        <f>IF($B101="","",I101*Q101/100)</f>
        <v/>
      </c>
      <c r="N101" s="7" t="n"/>
      <c r="O101" s="7" t="n"/>
      <c r="P101" s="7">
        <f>IF($B101="","",O101*X101/100)</f>
        <v/>
      </c>
      <c r="Q101" s="7">
        <f>IF($B101="","",O101-P101)</f>
        <v/>
      </c>
      <c r="R101" s="7">
        <f>IF($B101="","",Q101-J101)</f>
        <v/>
      </c>
      <c r="S101" s="7" t="n"/>
      <c r="T101" s="7" t="n"/>
      <c r="V101" s="14" t="n"/>
      <c r="Z101">
        <f>IF($B101="","",IF(COUNTIF($B$2:$B101,$B101)=1,1,0))</f>
        <v/>
      </c>
      <c r="AA101">
        <f>IF($Z101=1,SUMPRODUCT(--($AC$2:$AC$3001&lt;$AC101))+1,"")</f>
        <v/>
      </c>
      <c r="AB101">
        <f>IF($B101="","",IF(OR($Y101=TRUE(),$Y101="TRUE"),1,IF(AND($Y101&lt;&gt;"",OR($Y101=FALSE(),$Y101="FALSE")),0,IF(MIN(ABS($X101/100-Settings!$C$6),ABS($X101/100-Settings!$G$6))&lt;=MIN(ABS($X101/100-Settings!$C$7),ABS($X101/100-Settings!$G$7)),1,0))))</f>
        <v/>
      </c>
      <c r="AC101">
        <f>IF($Z101=1,IFERROR(IF(VALUE($B101)&lt;100000000,VALUE($B101),1000000000),IFERROR(IF(VALUE(MID($B101,2,20))&lt;100000000,VALUE(MID($B101,2,20)),1000000000),1000000000))+ROW()/100000,"")</f>
        <v/>
      </c>
    </row>
    <row r="102">
      <c r="A102">
        <f>IF($B102="","",IFERROR(IF(INDEX('Per Invoice'!$A$2:$A$801,MATCH($B102,'Per Invoice'!$B$2:$B$801,0))=0,"",INDEX('Per Invoice'!$A$2:$A$801,MATCH($B102,'Per Invoice'!$B$2:$B$801,0))),""))</f>
        <v/>
      </c>
      <c r="J102" s="7">
        <f>IF($B102="","",I102*Q102/100)</f>
        <v/>
      </c>
      <c r="N102" s="7" t="n"/>
      <c r="O102" s="7" t="n"/>
      <c r="P102" s="7">
        <f>IF($B102="","",O102*X102/100)</f>
        <v/>
      </c>
      <c r="Q102" s="7">
        <f>IF($B102="","",O102-P102)</f>
        <v/>
      </c>
      <c r="R102" s="7">
        <f>IF($B102="","",Q102-J102)</f>
        <v/>
      </c>
      <c r="S102" s="7" t="n"/>
      <c r="T102" s="7" t="n"/>
      <c r="V102" s="14" t="n"/>
      <c r="Z102">
        <f>IF($B102="","",IF(COUNTIF($B$2:$B102,$B102)=1,1,0))</f>
        <v/>
      </c>
      <c r="AA102">
        <f>IF($Z102=1,SUMPRODUCT(--($AC$2:$AC$3001&lt;$AC102))+1,"")</f>
        <v/>
      </c>
      <c r="AB102">
        <f>IF($B102="","",IF(OR($Y102=TRUE(),$Y102="TRUE"),1,IF(AND($Y102&lt;&gt;"",OR($Y102=FALSE(),$Y102="FALSE")),0,IF(MIN(ABS($X102/100-Settings!$C$6),ABS($X102/100-Settings!$G$6))&lt;=MIN(ABS($X102/100-Settings!$C$7),ABS($X102/100-Settings!$G$7)),1,0))))</f>
        <v/>
      </c>
      <c r="AC102">
        <f>IF($Z102=1,IFERROR(IF(VALUE($B102)&lt;100000000,VALUE($B102),1000000000),IFERROR(IF(VALUE(MID($B102,2,20))&lt;100000000,VALUE(MID($B102,2,20)),1000000000),1000000000))+ROW()/100000,"")</f>
        <v/>
      </c>
    </row>
    <row r="103">
      <c r="A103">
        <f>IF($B103="","",IFERROR(IF(INDEX('Per Invoice'!$A$2:$A$801,MATCH($B103,'Per Invoice'!$B$2:$B$801,0))=0,"",INDEX('Per Invoice'!$A$2:$A$801,MATCH($B103,'Per Invoice'!$B$2:$B$801,0))),""))</f>
        <v/>
      </c>
      <c r="J103" s="7">
        <f>IF($B103="","",I103*Q103/100)</f>
        <v/>
      </c>
      <c r="N103" s="7" t="n"/>
      <c r="O103" s="7" t="n"/>
      <c r="P103" s="7">
        <f>IF($B103="","",O103*X103/100)</f>
        <v/>
      </c>
      <c r="Q103" s="7">
        <f>IF($B103="","",O103-P103)</f>
        <v/>
      </c>
      <c r="R103" s="7">
        <f>IF($B103="","",Q103-J103)</f>
        <v/>
      </c>
      <c r="S103" s="7" t="n"/>
      <c r="T103" s="7" t="n"/>
      <c r="V103" s="14" t="n"/>
      <c r="Z103">
        <f>IF($B103="","",IF(COUNTIF($B$2:$B103,$B103)=1,1,0))</f>
        <v/>
      </c>
      <c r="AA103">
        <f>IF($Z103=1,SUMPRODUCT(--($AC$2:$AC$3001&lt;$AC103))+1,"")</f>
        <v/>
      </c>
      <c r="AB103">
        <f>IF($B103="","",IF(OR($Y103=TRUE(),$Y103="TRUE"),1,IF(AND($Y103&lt;&gt;"",OR($Y103=FALSE(),$Y103="FALSE")),0,IF(MIN(ABS($X103/100-Settings!$C$6),ABS($X103/100-Settings!$G$6))&lt;=MIN(ABS($X103/100-Settings!$C$7),ABS($X103/100-Settings!$G$7)),1,0))))</f>
        <v/>
      </c>
      <c r="AC103">
        <f>IF($Z103=1,IFERROR(IF(VALUE($B103)&lt;100000000,VALUE($B103),1000000000),IFERROR(IF(VALUE(MID($B103,2,20))&lt;100000000,VALUE(MID($B103,2,20)),1000000000),1000000000))+ROW()/100000,"")</f>
        <v/>
      </c>
    </row>
    <row r="104">
      <c r="A104">
        <f>IF($B104="","",IFERROR(IF(INDEX('Per Invoice'!$A$2:$A$801,MATCH($B104,'Per Invoice'!$B$2:$B$801,0))=0,"",INDEX('Per Invoice'!$A$2:$A$801,MATCH($B104,'Per Invoice'!$B$2:$B$801,0))),""))</f>
        <v/>
      </c>
      <c r="J104" s="7">
        <f>IF($B104="","",I104*Q104/100)</f>
        <v/>
      </c>
      <c r="N104" s="7" t="n"/>
      <c r="O104" s="7" t="n"/>
      <c r="P104" s="7">
        <f>IF($B104="","",O104*X104/100)</f>
        <v/>
      </c>
      <c r="Q104" s="7">
        <f>IF($B104="","",O104-P104)</f>
        <v/>
      </c>
      <c r="R104" s="7">
        <f>IF($B104="","",Q104-J104)</f>
        <v/>
      </c>
      <c r="S104" s="7" t="n"/>
      <c r="T104" s="7" t="n"/>
      <c r="V104" s="14" t="n"/>
      <c r="Z104">
        <f>IF($B104="","",IF(COUNTIF($B$2:$B104,$B104)=1,1,0))</f>
        <v/>
      </c>
      <c r="AA104">
        <f>IF($Z104=1,SUMPRODUCT(--($AC$2:$AC$3001&lt;$AC104))+1,"")</f>
        <v/>
      </c>
      <c r="AB104">
        <f>IF($B104="","",IF(OR($Y104=TRUE(),$Y104="TRUE"),1,IF(AND($Y104&lt;&gt;"",OR($Y104=FALSE(),$Y104="FALSE")),0,IF(MIN(ABS($X104/100-Settings!$C$6),ABS($X104/100-Settings!$G$6))&lt;=MIN(ABS($X104/100-Settings!$C$7),ABS($X104/100-Settings!$G$7)),1,0))))</f>
        <v/>
      </c>
      <c r="AC104">
        <f>IF($Z104=1,IFERROR(IF(VALUE($B104)&lt;100000000,VALUE($B104),1000000000),IFERROR(IF(VALUE(MID($B104,2,20))&lt;100000000,VALUE(MID($B104,2,20)),1000000000),1000000000))+ROW()/100000,"")</f>
        <v/>
      </c>
    </row>
    <row r="105">
      <c r="A105">
        <f>IF($B105="","",IFERROR(IF(INDEX('Per Invoice'!$A$2:$A$801,MATCH($B105,'Per Invoice'!$B$2:$B$801,0))=0,"",INDEX('Per Invoice'!$A$2:$A$801,MATCH($B105,'Per Invoice'!$B$2:$B$801,0))),""))</f>
        <v/>
      </c>
      <c r="J105" s="7">
        <f>IF($B105="","",I105*Q105/100)</f>
        <v/>
      </c>
      <c r="N105" s="7" t="n"/>
      <c r="O105" s="7" t="n"/>
      <c r="P105" s="7">
        <f>IF($B105="","",O105*X105/100)</f>
        <v/>
      </c>
      <c r="Q105" s="7">
        <f>IF($B105="","",O105-P105)</f>
        <v/>
      </c>
      <c r="R105" s="7">
        <f>IF($B105="","",Q105-J105)</f>
        <v/>
      </c>
      <c r="S105" s="7" t="n"/>
      <c r="T105" s="7" t="n"/>
      <c r="V105" s="14" t="n"/>
      <c r="Z105">
        <f>IF($B105="","",IF(COUNTIF($B$2:$B105,$B105)=1,1,0))</f>
        <v/>
      </c>
      <c r="AA105">
        <f>IF($Z105=1,SUMPRODUCT(--($AC$2:$AC$3001&lt;$AC105))+1,"")</f>
        <v/>
      </c>
      <c r="AB105">
        <f>IF($B105="","",IF(OR($Y105=TRUE(),$Y105="TRUE"),1,IF(AND($Y105&lt;&gt;"",OR($Y105=FALSE(),$Y105="FALSE")),0,IF(MIN(ABS($X105/100-Settings!$C$6),ABS($X105/100-Settings!$G$6))&lt;=MIN(ABS($X105/100-Settings!$C$7),ABS($X105/100-Settings!$G$7)),1,0))))</f>
        <v/>
      </c>
      <c r="AC105">
        <f>IF($Z105=1,IFERROR(IF(VALUE($B105)&lt;100000000,VALUE($B105),1000000000),IFERROR(IF(VALUE(MID($B105,2,20))&lt;100000000,VALUE(MID($B105,2,20)),1000000000),1000000000))+ROW()/100000,"")</f>
        <v/>
      </c>
    </row>
    <row r="106">
      <c r="A106">
        <f>IF($B106="","",IFERROR(IF(INDEX('Per Invoice'!$A$2:$A$801,MATCH($B106,'Per Invoice'!$B$2:$B$801,0))=0,"",INDEX('Per Invoice'!$A$2:$A$801,MATCH($B106,'Per Invoice'!$B$2:$B$801,0))),""))</f>
        <v/>
      </c>
      <c r="J106" s="7">
        <f>IF($B106="","",I106*Q106/100)</f>
        <v/>
      </c>
      <c r="N106" s="7" t="n"/>
      <c r="O106" s="7" t="n"/>
      <c r="P106" s="7">
        <f>IF($B106="","",O106*X106/100)</f>
        <v/>
      </c>
      <c r="Q106" s="7">
        <f>IF($B106="","",O106-P106)</f>
        <v/>
      </c>
      <c r="R106" s="7">
        <f>IF($B106="","",Q106-J106)</f>
        <v/>
      </c>
      <c r="S106" s="7" t="n"/>
      <c r="T106" s="7" t="n"/>
      <c r="V106" s="14" t="n"/>
      <c r="Z106">
        <f>IF($B106="","",IF(COUNTIF($B$2:$B106,$B106)=1,1,0))</f>
        <v/>
      </c>
      <c r="AA106">
        <f>IF($Z106=1,SUMPRODUCT(--($AC$2:$AC$3001&lt;$AC106))+1,"")</f>
        <v/>
      </c>
      <c r="AB106">
        <f>IF($B106="","",IF(OR($Y106=TRUE(),$Y106="TRUE"),1,IF(AND($Y106&lt;&gt;"",OR($Y106=FALSE(),$Y106="FALSE")),0,IF(MIN(ABS($X106/100-Settings!$C$6),ABS($X106/100-Settings!$G$6))&lt;=MIN(ABS($X106/100-Settings!$C$7),ABS($X106/100-Settings!$G$7)),1,0))))</f>
        <v/>
      </c>
      <c r="AC106">
        <f>IF($Z106=1,IFERROR(IF(VALUE($B106)&lt;100000000,VALUE($B106),1000000000),IFERROR(IF(VALUE(MID($B106,2,20))&lt;100000000,VALUE(MID($B106,2,20)),1000000000),1000000000))+ROW()/100000,"")</f>
        <v/>
      </c>
    </row>
    <row r="107">
      <c r="A107">
        <f>IF($B107="","",IFERROR(IF(INDEX('Per Invoice'!$A$2:$A$801,MATCH($B107,'Per Invoice'!$B$2:$B$801,0))=0,"",INDEX('Per Invoice'!$A$2:$A$801,MATCH($B107,'Per Invoice'!$B$2:$B$801,0))),""))</f>
        <v/>
      </c>
      <c r="J107" s="7">
        <f>IF($B107="","",I107*Q107/100)</f>
        <v/>
      </c>
      <c r="N107" s="7" t="n"/>
      <c r="O107" s="7" t="n"/>
      <c r="P107" s="7">
        <f>IF($B107="","",O107*X107/100)</f>
        <v/>
      </c>
      <c r="Q107" s="7">
        <f>IF($B107="","",O107-P107)</f>
        <v/>
      </c>
      <c r="R107" s="7">
        <f>IF($B107="","",Q107-J107)</f>
        <v/>
      </c>
      <c r="S107" s="7" t="n"/>
      <c r="T107" s="7" t="n"/>
      <c r="V107" s="14" t="n"/>
      <c r="Z107">
        <f>IF($B107="","",IF(COUNTIF($B$2:$B107,$B107)=1,1,0))</f>
        <v/>
      </c>
      <c r="AA107">
        <f>IF($Z107=1,SUMPRODUCT(--($AC$2:$AC$3001&lt;$AC107))+1,"")</f>
        <v/>
      </c>
      <c r="AB107">
        <f>IF($B107="","",IF(OR($Y107=TRUE(),$Y107="TRUE"),1,IF(AND($Y107&lt;&gt;"",OR($Y107=FALSE(),$Y107="FALSE")),0,IF(MIN(ABS($X107/100-Settings!$C$6),ABS($X107/100-Settings!$G$6))&lt;=MIN(ABS($X107/100-Settings!$C$7),ABS($X107/100-Settings!$G$7)),1,0))))</f>
        <v/>
      </c>
      <c r="AC107">
        <f>IF($Z107=1,IFERROR(IF(VALUE($B107)&lt;100000000,VALUE($B107),1000000000),IFERROR(IF(VALUE(MID($B107,2,20))&lt;100000000,VALUE(MID($B107,2,20)),1000000000),1000000000))+ROW()/100000,"")</f>
        <v/>
      </c>
    </row>
    <row r="108">
      <c r="A108">
        <f>IF($B108="","",IFERROR(IF(INDEX('Per Invoice'!$A$2:$A$801,MATCH($B108,'Per Invoice'!$B$2:$B$801,0))=0,"",INDEX('Per Invoice'!$A$2:$A$801,MATCH($B108,'Per Invoice'!$B$2:$B$801,0))),""))</f>
        <v/>
      </c>
      <c r="J108" s="7">
        <f>IF($B108="","",I108*Q108/100)</f>
        <v/>
      </c>
      <c r="N108" s="7" t="n"/>
      <c r="O108" s="7" t="n"/>
      <c r="P108" s="7">
        <f>IF($B108="","",O108*X108/100)</f>
        <v/>
      </c>
      <c r="Q108" s="7">
        <f>IF($B108="","",O108-P108)</f>
        <v/>
      </c>
      <c r="R108" s="7">
        <f>IF($B108="","",Q108-J108)</f>
        <v/>
      </c>
      <c r="S108" s="7" t="n"/>
      <c r="T108" s="7" t="n"/>
      <c r="V108" s="14" t="n"/>
      <c r="Z108">
        <f>IF($B108="","",IF(COUNTIF($B$2:$B108,$B108)=1,1,0))</f>
        <v/>
      </c>
      <c r="AA108">
        <f>IF($Z108=1,SUMPRODUCT(--($AC$2:$AC$3001&lt;$AC108))+1,"")</f>
        <v/>
      </c>
      <c r="AB108">
        <f>IF($B108="","",IF(OR($Y108=TRUE(),$Y108="TRUE"),1,IF(AND($Y108&lt;&gt;"",OR($Y108=FALSE(),$Y108="FALSE")),0,IF(MIN(ABS($X108/100-Settings!$C$6),ABS($X108/100-Settings!$G$6))&lt;=MIN(ABS($X108/100-Settings!$C$7),ABS($X108/100-Settings!$G$7)),1,0))))</f>
        <v/>
      </c>
      <c r="AC108">
        <f>IF($Z108=1,IFERROR(IF(VALUE($B108)&lt;100000000,VALUE($B108),1000000000),IFERROR(IF(VALUE(MID($B108,2,20))&lt;100000000,VALUE(MID($B108,2,20)),1000000000),1000000000))+ROW()/100000,"")</f>
        <v/>
      </c>
    </row>
    <row r="109">
      <c r="A109">
        <f>IF($B109="","",IFERROR(IF(INDEX('Per Invoice'!$A$2:$A$801,MATCH($B109,'Per Invoice'!$B$2:$B$801,0))=0,"",INDEX('Per Invoice'!$A$2:$A$801,MATCH($B109,'Per Invoice'!$B$2:$B$801,0))),""))</f>
        <v/>
      </c>
      <c r="J109" s="7">
        <f>IF($B109="","",I109*Q109/100)</f>
        <v/>
      </c>
      <c r="N109" s="7" t="n"/>
      <c r="O109" s="7" t="n"/>
      <c r="P109" s="7">
        <f>IF($B109="","",O109*X109/100)</f>
        <v/>
      </c>
      <c r="Q109" s="7">
        <f>IF($B109="","",O109-P109)</f>
        <v/>
      </c>
      <c r="R109" s="7">
        <f>IF($B109="","",Q109-J109)</f>
        <v/>
      </c>
      <c r="S109" s="7" t="n"/>
      <c r="T109" s="7" t="n"/>
      <c r="V109" s="14" t="n"/>
      <c r="Z109">
        <f>IF($B109="","",IF(COUNTIF($B$2:$B109,$B109)=1,1,0))</f>
        <v/>
      </c>
      <c r="AA109">
        <f>IF($Z109=1,SUMPRODUCT(--($AC$2:$AC$3001&lt;$AC109))+1,"")</f>
        <v/>
      </c>
      <c r="AB109">
        <f>IF($B109="","",IF(OR($Y109=TRUE(),$Y109="TRUE"),1,IF(AND($Y109&lt;&gt;"",OR($Y109=FALSE(),$Y109="FALSE")),0,IF(MIN(ABS($X109/100-Settings!$C$6),ABS($X109/100-Settings!$G$6))&lt;=MIN(ABS($X109/100-Settings!$C$7),ABS($X109/100-Settings!$G$7)),1,0))))</f>
        <v/>
      </c>
      <c r="AC109">
        <f>IF($Z109=1,IFERROR(IF(VALUE($B109)&lt;100000000,VALUE($B109),1000000000),IFERROR(IF(VALUE(MID($B109,2,20))&lt;100000000,VALUE(MID($B109,2,20)),1000000000),1000000000))+ROW()/100000,"")</f>
        <v/>
      </c>
    </row>
    <row r="110">
      <c r="A110">
        <f>IF($B110="","",IFERROR(IF(INDEX('Per Invoice'!$A$2:$A$801,MATCH($B110,'Per Invoice'!$B$2:$B$801,0))=0,"",INDEX('Per Invoice'!$A$2:$A$801,MATCH($B110,'Per Invoice'!$B$2:$B$801,0))),""))</f>
        <v/>
      </c>
      <c r="J110" s="7">
        <f>IF($B110="","",I110*Q110/100)</f>
        <v/>
      </c>
      <c r="N110" s="7" t="n"/>
      <c r="O110" s="7" t="n"/>
      <c r="P110" s="7">
        <f>IF($B110="","",O110*X110/100)</f>
        <v/>
      </c>
      <c r="Q110" s="7">
        <f>IF($B110="","",O110-P110)</f>
        <v/>
      </c>
      <c r="R110" s="7">
        <f>IF($B110="","",Q110-J110)</f>
        <v/>
      </c>
      <c r="S110" s="7" t="n"/>
      <c r="T110" s="7" t="n"/>
      <c r="V110" s="14" t="n"/>
      <c r="Z110">
        <f>IF($B110="","",IF(COUNTIF($B$2:$B110,$B110)=1,1,0))</f>
        <v/>
      </c>
      <c r="AA110">
        <f>IF($Z110=1,SUMPRODUCT(--($AC$2:$AC$3001&lt;$AC110))+1,"")</f>
        <v/>
      </c>
      <c r="AB110">
        <f>IF($B110="","",IF(OR($Y110=TRUE(),$Y110="TRUE"),1,IF(AND($Y110&lt;&gt;"",OR($Y110=FALSE(),$Y110="FALSE")),0,IF(MIN(ABS($X110/100-Settings!$C$6),ABS($X110/100-Settings!$G$6))&lt;=MIN(ABS($X110/100-Settings!$C$7),ABS($X110/100-Settings!$G$7)),1,0))))</f>
        <v/>
      </c>
      <c r="AC110">
        <f>IF($Z110=1,IFERROR(IF(VALUE($B110)&lt;100000000,VALUE($B110),1000000000),IFERROR(IF(VALUE(MID($B110,2,20))&lt;100000000,VALUE(MID($B110,2,20)),1000000000),1000000000))+ROW()/100000,"")</f>
        <v/>
      </c>
    </row>
    <row r="111">
      <c r="A111">
        <f>IF($B111="","",IFERROR(IF(INDEX('Per Invoice'!$A$2:$A$801,MATCH($B111,'Per Invoice'!$B$2:$B$801,0))=0,"",INDEX('Per Invoice'!$A$2:$A$801,MATCH($B111,'Per Invoice'!$B$2:$B$801,0))),""))</f>
        <v/>
      </c>
      <c r="J111" s="7">
        <f>IF($B111="","",I111*Q111/100)</f>
        <v/>
      </c>
      <c r="N111" s="7" t="n"/>
      <c r="O111" s="7" t="n"/>
      <c r="P111" s="7">
        <f>IF($B111="","",O111*X111/100)</f>
        <v/>
      </c>
      <c r="Q111" s="7">
        <f>IF($B111="","",O111-P111)</f>
        <v/>
      </c>
      <c r="R111" s="7">
        <f>IF($B111="","",Q111-J111)</f>
        <v/>
      </c>
      <c r="S111" s="7" t="n"/>
      <c r="T111" s="7" t="n"/>
      <c r="V111" s="14" t="n"/>
      <c r="Z111">
        <f>IF($B111="","",IF(COUNTIF($B$2:$B111,$B111)=1,1,0))</f>
        <v/>
      </c>
      <c r="AA111">
        <f>IF($Z111=1,SUMPRODUCT(--($AC$2:$AC$3001&lt;$AC111))+1,"")</f>
        <v/>
      </c>
      <c r="AB111">
        <f>IF($B111="","",IF(OR($Y111=TRUE(),$Y111="TRUE"),1,IF(AND($Y111&lt;&gt;"",OR($Y111=FALSE(),$Y111="FALSE")),0,IF(MIN(ABS($X111/100-Settings!$C$6),ABS($X111/100-Settings!$G$6))&lt;=MIN(ABS($X111/100-Settings!$C$7),ABS($X111/100-Settings!$G$7)),1,0))))</f>
        <v/>
      </c>
      <c r="AC111">
        <f>IF($Z111=1,IFERROR(IF(VALUE($B111)&lt;100000000,VALUE($B111),1000000000),IFERROR(IF(VALUE(MID($B111,2,20))&lt;100000000,VALUE(MID($B111,2,20)),1000000000),1000000000))+ROW()/100000,"")</f>
        <v/>
      </c>
    </row>
    <row r="112">
      <c r="A112">
        <f>IF($B112="","",IFERROR(IF(INDEX('Per Invoice'!$A$2:$A$801,MATCH($B112,'Per Invoice'!$B$2:$B$801,0))=0,"",INDEX('Per Invoice'!$A$2:$A$801,MATCH($B112,'Per Invoice'!$B$2:$B$801,0))),""))</f>
        <v/>
      </c>
      <c r="J112" s="7">
        <f>IF($B112="","",I112*Q112/100)</f>
        <v/>
      </c>
      <c r="N112" s="7" t="n"/>
      <c r="O112" s="7" t="n"/>
      <c r="P112" s="7">
        <f>IF($B112="","",O112*X112/100)</f>
        <v/>
      </c>
      <c r="Q112" s="7">
        <f>IF($B112="","",O112-P112)</f>
        <v/>
      </c>
      <c r="R112" s="7">
        <f>IF($B112="","",Q112-J112)</f>
        <v/>
      </c>
      <c r="S112" s="7" t="n"/>
      <c r="T112" s="7" t="n"/>
      <c r="V112" s="14" t="n"/>
      <c r="Z112">
        <f>IF($B112="","",IF(COUNTIF($B$2:$B112,$B112)=1,1,0))</f>
        <v/>
      </c>
      <c r="AA112">
        <f>IF($Z112=1,SUMPRODUCT(--($AC$2:$AC$3001&lt;$AC112))+1,"")</f>
        <v/>
      </c>
      <c r="AB112">
        <f>IF($B112="","",IF(OR($Y112=TRUE(),$Y112="TRUE"),1,IF(AND($Y112&lt;&gt;"",OR($Y112=FALSE(),$Y112="FALSE")),0,IF(MIN(ABS($X112/100-Settings!$C$6),ABS($X112/100-Settings!$G$6))&lt;=MIN(ABS($X112/100-Settings!$C$7),ABS($X112/100-Settings!$G$7)),1,0))))</f>
        <v/>
      </c>
      <c r="AC112">
        <f>IF($Z112=1,IFERROR(IF(VALUE($B112)&lt;100000000,VALUE($B112),1000000000),IFERROR(IF(VALUE(MID($B112,2,20))&lt;100000000,VALUE(MID($B112,2,20)),1000000000),1000000000))+ROW()/100000,"")</f>
        <v/>
      </c>
    </row>
    <row r="113">
      <c r="A113">
        <f>IF($B113="","",IFERROR(IF(INDEX('Per Invoice'!$A$2:$A$801,MATCH($B113,'Per Invoice'!$B$2:$B$801,0))=0,"",INDEX('Per Invoice'!$A$2:$A$801,MATCH($B113,'Per Invoice'!$B$2:$B$801,0))),""))</f>
        <v/>
      </c>
      <c r="J113" s="7">
        <f>IF($B113="","",I113*Q113/100)</f>
        <v/>
      </c>
      <c r="N113" s="7" t="n"/>
      <c r="O113" s="7" t="n"/>
      <c r="P113" s="7">
        <f>IF($B113="","",O113*X113/100)</f>
        <v/>
      </c>
      <c r="Q113" s="7">
        <f>IF($B113="","",O113-P113)</f>
        <v/>
      </c>
      <c r="R113" s="7">
        <f>IF($B113="","",Q113-J113)</f>
        <v/>
      </c>
      <c r="S113" s="7" t="n"/>
      <c r="T113" s="7" t="n"/>
      <c r="V113" s="14" t="n"/>
      <c r="Z113">
        <f>IF($B113="","",IF(COUNTIF($B$2:$B113,$B113)=1,1,0))</f>
        <v/>
      </c>
      <c r="AA113">
        <f>IF($Z113=1,SUMPRODUCT(--($AC$2:$AC$3001&lt;$AC113))+1,"")</f>
        <v/>
      </c>
      <c r="AB113">
        <f>IF($B113="","",IF(OR($Y113=TRUE(),$Y113="TRUE"),1,IF(AND($Y113&lt;&gt;"",OR($Y113=FALSE(),$Y113="FALSE")),0,IF(MIN(ABS($X113/100-Settings!$C$6),ABS($X113/100-Settings!$G$6))&lt;=MIN(ABS($X113/100-Settings!$C$7),ABS($X113/100-Settings!$G$7)),1,0))))</f>
        <v/>
      </c>
      <c r="AC113">
        <f>IF($Z113=1,IFERROR(IF(VALUE($B113)&lt;100000000,VALUE($B113),1000000000),IFERROR(IF(VALUE(MID($B113,2,20))&lt;100000000,VALUE(MID($B113,2,20)),1000000000),1000000000))+ROW()/100000,"")</f>
        <v/>
      </c>
    </row>
    <row r="114">
      <c r="A114">
        <f>IF($B114="","",IFERROR(IF(INDEX('Per Invoice'!$A$2:$A$801,MATCH($B114,'Per Invoice'!$B$2:$B$801,0))=0,"",INDEX('Per Invoice'!$A$2:$A$801,MATCH($B114,'Per Invoice'!$B$2:$B$801,0))),""))</f>
        <v/>
      </c>
      <c r="J114" s="7">
        <f>IF($B114="","",I114*Q114/100)</f>
        <v/>
      </c>
      <c r="N114" s="7" t="n"/>
      <c r="O114" s="7" t="n"/>
      <c r="P114" s="7">
        <f>IF($B114="","",O114*X114/100)</f>
        <v/>
      </c>
      <c r="Q114" s="7">
        <f>IF($B114="","",O114-P114)</f>
        <v/>
      </c>
      <c r="R114" s="7">
        <f>IF($B114="","",Q114-J114)</f>
        <v/>
      </c>
      <c r="S114" s="7" t="n"/>
      <c r="T114" s="7" t="n"/>
      <c r="V114" s="14" t="n"/>
      <c r="Z114">
        <f>IF($B114="","",IF(COUNTIF($B$2:$B114,$B114)=1,1,0))</f>
        <v/>
      </c>
      <c r="AA114">
        <f>IF($Z114=1,SUMPRODUCT(--($AC$2:$AC$3001&lt;$AC114))+1,"")</f>
        <v/>
      </c>
      <c r="AB114">
        <f>IF($B114="","",IF(OR($Y114=TRUE(),$Y114="TRUE"),1,IF(AND($Y114&lt;&gt;"",OR($Y114=FALSE(),$Y114="FALSE")),0,IF(MIN(ABS($X114/100-Settings!$C$6),ABS($X114/100-Settings!$G$6))&lt;=MIN(ABS($X114/100-Settings!$C$7),ABS($X114/100-Settings!$G$7)),1,0))))</f>
        <v/>
      </c>
      <c r="AC114">
        <f>IF($Z114=1,IFERROR(IF(VALUE($B114)&lt;100000000,VALUE($B114),1000000000),IFERROR(IF(VALUE(MID($B114,2,20))&lt;100000000,VALUE(MID($B114,2,20)),1000000000),1000000000))+ROW()/100000,"")</f>
        <v/>
      </c>
    </row>
    <row r="115">
      <c r="A115">
        <f>IF($B115="","",IFERROR(IF(INDEX('Per Invoice'!$A$2:$A$801,MATCH($B115,'Per Invoice'!$B$2:$B$801,0))=0,"",INDEX('Per Invoice'!$A$2:$A$801,MATCH($B115,'Per Invoice'!$B$2:$B$801,0))),""))</f>
        <v/>
      </c>
      <c r="J115" s="7">
        <f>IF($B115="","",I115*Q115/100)</f>
        <v/>
      </c>
      <c r="N115" s="7" t="n"/>
      <c r="O115" s="7" t="n"/>
      <c r="P115" s="7">
        <f>IF($B115="","",O115*X115/100)</f>
        <v/>
      </c>
      <c r="Q115" s="7">
        <f>IF($B115="","",O115-P115)</f>
        <v/>
      </c>
      <c r="R115" s="7">
        <f>IF($B115="","",Q115-J115)</f>
        <v/>
      </c>
      <c r="S115" s="7" t="n"/>
      <c r="T115" s="7" t="n"/>
      <c r="V115" s="14" t="n"/>
      <c r="Z115">
        <f>IF($B115="","",IF(COUNTIF($B$2:$B115,$B115)=1,1,0))</f>
        <v/>
      </c>
      <c r="AA115">
        <f>IF($Z115=1,SUMPRODUCT(--($AC$2:$AC$3001&lt;$AC115))+1,"")</f>
        <v/>
      </c>
      <c r="AB115">
        <f>IF($B115="","",IF(OR($Y115=TRUE(),$Y115="TRUE"),1,IF(AND($Y115&lt;&gt;"",OR($Y115=FALSE(),$Y115="FALSE")),0,IF(MIN(ABS($X115/100-Settings!$C$6),ABS($X115/100-Settings!$G$6))&lt;=MIN(ABS($X115/100-Settings!$C$7),ABS($X115/100-Settings!$G$7)),1,0))))</f>
        <v/>
      </c>
      <c r="AC115">
        <f>IF($Z115=1,IFERROR(IF(VALUE($B115)&lt;100000000,VALUE($B115),1000000000),IFERROR(IF(VALUE(MID($B115,2,20))&lt;100000000,VALUE(MID($B115,2,20)),1000000000),1000000000))+ROW()/100000,"")</f>
        <v/>
      </c>
    </row>
    <row r="116">
      <c r="A116">
        <f>IF($B116="","",IFERROR(IF(INDEX('Per Invoice'!$A$2:$A$801,MATCH($B116,'Per Invoice'!$B$2:$B$801,0))=0,"",INDEX('Per Invoice'!$A$2:$A$801,MATCH($B116,'Per Invoice'!$B$2:$B$801,0))),""))</f>
        <v/>
      </c>
      <c r="J116" s="7">
        <f>IF($B116="","",I116*Q116/100)</f>
        <v/>
      </c>
      <c r="N116" s="7" t="n"/>
      <c r="O116" s="7" t="n"/>
      <c r="P116" s="7">
        <f>IF($B116="","",O116*X116/100)</f>
        <v/>
      </c>
      <c r="Q116" s="7">
        <f>IF($B116="","",O116-P116)</f>
        <v/>
      </c>
      <c r="R116" s="7">
        <f>IF($B116="","",Q116-J116)</f>
        <v/>
      </c>
      <c r="S116" s="7" t="n"/>
      <c r="T116" s="7" t="n"/>
      <c r="V116" s="14" t="n"/>
      <c r="Z116">
        <f>IF($B116="","",IF(COUNTIF($B$2:$B116,$B116)=1,1,0))</f>
        <v/>
      </c>
      <c r="AA116">
        <f>IF($Z116=1,SUMPRODUCT(--($AC$2:$AC$3001&lt;$AC116))+1,"")</f>
        <v/>
      </c>
      <c r="AB116">
        <f>IF($B116="","",IF(OR($Y116=TRUE(),$Y116="TRUE"),1,IF(AND($Y116&lt;&gt;"",OR($Y116=FALSE(),$Y116="FALSE")),0,IF(MIN(ABS($X116/100-Settings!$C$6),ABS($X116/100-Settings!$G$6))&lt;=MIN(ABS($X116/100-Settings!$C$7),ABS($X116/100-Settings!$G$7)),1,0))))</f>
        <v/>
      </c>
      <c r="AC116">
        <f>IF($Z116=1,IFERROR(IF(VALUE($B116)&lt;100000000,VALUE($B116),1000000000),IFERROR(IF(VALUE(MID($B116,2,20))&lt;100000000,VALUE(MID($B116,2,20)),1000000000),1000000000))+ROW()/100000,"")</f>
        <v/>
      </c>
    </row>
    <row r="117">
      <c r="A117">
        <f>IF($B117="","",IFERROR(IF(INDEX('Per Invoice'!$A$2:$A$801,MATCH($B117,'Per Invoice'!$B$2:$B$801,0))=0,"",INDEX('Per Invoice'!$A$2:$A$801,MATCH($B117,'Per Invoice'!$B$2:$B$801,0))),""))</f>
        <v/>
      </c>
      <c r="J117" s="7">
        <f>IF($B117="","",I117*Q117/100)</f>
        <v/>
      </c>
      <c r="N117" s="7" t="n"/>
      <c r="O117" s="7" t="n"/>
      <c r="P117" s="7">
        <f>IF($B117="","",O117*X117/100)</f>
        <v/>
      </c>
      <c r="Q117" s="7">
        <f>IF($B117="","",O117-P117)</f>
        <v/>
      </c>
      <c r="R117" s="7">
        <f>IF($B117="","",Q117-J117)</f>
        <v/>
      </c>
      <c r="S117" s="7" t="n"/>
      <c r="T117" s="7" t="n"/>
      <c r="V117" s="14" t="n"/>
      <c r="Z117">
        <f>IF($B117="","",IF(COUNTIF($B$2:$B117,$B117)=1,1,0))</f>
        <v/>
      </c>
      <c r="AA117">
        <f>IF($Z117=1,SUMPRODUCT(--($AC$2:$AC$3001&lt;$AC117))+1,"")</f>
        <v/>
      </c>
      <c r="AB117">
        <f>IF($B117="","",IF(OR($Y117=TRUE(),$Y117="TRUE"),1,IF(AND($Y117&lt;&gt;"",OR($Y117=FALSE(),$Y117="FALSE")),0,IF(MIN(ABS($X117/100-Settings!$C$6),ABS($X117/100-Settings!$G$6))&lt;=MIN(ABS($X117/100-Settings!$C$7),ABS($X117/100-Settings!$G$7)),1,0))))</f>
        <v/>
      </c>
      <c r="AC117">
        <f>IF($Z117=1,IFERROR(IF(VALUE($B117)&lt;100000000,VALUE($B117),1000000000),IFERROR(IF(VALUE(MID($B117,2,20))&lt;100000000,VALUE(MID($B117,2,20)),1000000000),1000000000))+ROW()/100000,"")</f>
        <v/>
      </c>
    </row>
    <row r="118">
      <c r="A118">
        <f>IF($B118="","",IFERROR(IF(INDEX('Per Invoice'!$A$2:$A$801,MATCH($B118,'Per Invoice'!$B$2:$B$801,0))=0,"",INDEX('Per Invoice'!$A$2:$A$801,MATCH($B118,'Per Invoice'!$B$2:$B$801,0))),""))</f>
        <v/>
      </c>
      <c r="J118" s="7">
        <f>IF($B118="","",I118*Q118/100)</f>
        <v/>
      </c>
      <c r="N118" s="7" t="n"/>
      <c r="O118" s="7" t="n"/>
      <c r="P118" s="7">
        <f>IF($B118="","",O118*X118/100)</f>
        <v/>
      </c>
      <c r="Q118" s="7">
        <f>IF($B118="","",O118-P118)</f>
        <v/>
      </c>
      <c r="R118" s="7">
        <f>IF($B118="","",Q118-J118)</f>
        <v/>
      </c>
      <c r="S118" s="7" t="n"/>
      <c r="T118" s="7" t="n"/>
      <c r="V118" s="14" t="n"/>
      <c r="Z118">
        <f>IF($B118="","",IF(COUNTIF($B$2:$B118,$B118)=1,1,0))</f>
        <v/>
      </c>
      <c r="AA118">
        <f>IF($Z118=1,SUMPRODUCT(--($AC$2:$AC$3001&lt;$AC118))+1,"")</f>
        <v/>
      </c>
      <c r="AB118">
        <f>IF($B118="","",IF(OR($Y118=TRUE(),$Y118="TRUE"),1,IF(AND($Y118&lt;&gt;"",OR($Y118=FALSE(),$Y118="FALSE")),0,IF(MIN(ABS($X118/100-Settings!$C$6),ABS($X118/100-Settings!$G$6))&lt;=MIN(ABS($X118/100-Settings!$C$7),ABS($X118/100-Settings!$G$7)),1,0))))</f>
        <v/>
      </c>
      <c r="AC118">
        <f>IF($Z118=1,IFERROR(IF(VALUE($B118)&lt;100000000,VALUE($B118),1000000000),IFERROR(IF(VALUE(MID($B118,2,20))&lt;100000000,VALUE(MID($B118,2,20)),1000000000),1000000000))+ROW()/100000,"")</f>
        <v/>
      </c>
    </row>
    <row r="119">
      <c r="A119">
        <f>IF($B119="","",IFERROR(IF(INDEX('Per Invoice'!$A$2:$A$801,MATCH($B119,'Per Invoice'!$B$2:$B$801,0))=0,"",INDEX('Per Invoice'!$A$2:$A$801,MATCH($B119,'Per Invoice'!$B$2:$B$801,0))),""))</f>
        <v/>
      </c>
      <c r="J119" s="7">
        <f>IF($B119="","",I119*Q119/100)</f>
        <v/>
      </c>
      <c r="N119" s="7" t="n"/>
      <c r="O119" s="7" t="n"/>
      <c r="P119" s="7">
        <f>IF($B119="","",O119*X119/100)</f>
        <v/>
      </c>
      <c r="Q119" s="7">
        <f>IF($B119="","",O119-P119)</f>
        <v/>
      </c>
      <c r="R119" s="7">
        <f>IF($B119="","",Q119-J119)</f>
        <v/>
      </c>
      <c r="S119" s="7" t="n"/>
      <c r="T119" s="7" t="n"/>
      <c r="V119" s="14" t="n"/>
      <c r="Z119">
        <f>IF($B119="","",IF(COUNTIF($B$2:$B119,$B119)=1,1,0))</f>
        <v/>
      </c>
      <c r="AA119">
        <f>IF($Z119=1,SUMPRODUCT(--($AC$2:$AC$3001&lt;$AC119))+1,"")</f>
        <v/>
      </c>
      <c r="AB119">
        <f>IF($B119="","",IF(OR($Y119=TRUE(),$Y119="TRUE"),1,IF(AND($Y119&lt;&gt;"",OR($Y119=FALSE(),$Y119="FALSE")),0,IF(MIN(ABS($X119/100-Settings!$C$6),ABS($X119/100-Settings!$G$6))&lt;=MIN(ABS($X119/100-Settings!$C$7),ABS($X119/100-Settings!$G$7)),1,0))))</f>
        <v/>
      </c>
      <c r="AC119">
        <f>IF($Z119=1,IFERROR(IF(VALUE($B119)&lt;100000000,VALUE($B119),1000000000),IFERROR(IF(VALUE(MID($B119,2,20))&lt;100000000,VALUE(MID($B119,2,20)),1000000000),1000000000))+ROW()/100000,"")</f>
        <v/>
      </c>
    </row>
    <row r="120">
      <c r="A120">
        <f>IF($B120="","",IFERROR(IF(INDEX('Per Invoice'!$A$2:$A$801,MATCH($B120,'Per Invoice'!$B$2:$B$801,0))=0,"",INDEX('Per Invoice'!$A$2:$A$801,MATCH($B120,'Per Invoice'!$B$2:$B$801,0))),""))</f>
        <v/>
      </c>
      <c r="J120" s="7">
        <f>IF($B120="","",I120*Q120/100)</f>
        <v/>
      </c>
      <c r="N120" s="7" t="n"/>
      <c r="O120" s="7" t="n"/>
      <c r="P120" s="7">
        <f>IF($B120="","",O120*X120/100)</f>
        <v/>
      </c>
      <c r="Q120" s="7">
        <f>IF($B120="","",O120-P120)</f>
        <v/>
      </c>
      <c r="R120" s="7">
        <f>IF($B120="","",Q120-J120)</f>
        <v/>
      </c>
      <c r="S120" s="7" t="n"/>
      <c r="T120" s="7" t="n"/>
      <c r="V120" s="14" t="n"/>
      <c r="Z120">
        <f>IF($B120="","",IF(COUNTIF($B$2:$B120,$B120)=1,1,0))</f>
        <v/>
      </c>
      <c r="AA120">
        <f>IF($Z120=1,SUMPRODUCT(--($AC$2:$AC$3001&lt;$AC120))+1,"")</f>
        <v/>
      </c>
      <c r="AB120">
        <f>IF($B120="","",IF(OR($Y120=TRUE(),$Y120="TRUE"),1,IF(AND($Y120&lt;&gt;"",OR($Y120=FALSE(),$Y120="FALSE")),0,IF(MIN(ABS($X120/100-Settings!$C$6),ABS($X120/100-Settings!$G$6))&lt;=MIN(ABS($X120/100-Settings!$C$7),ABS($X120/100-Settings!$G$7)),1,0))))</f>
        <v/>
      </c>
      <c r="AC120">
        <f>IF($Z120=1,IFERROR(IF(VALUE($B120)&lt;100000000,VALUE($B120),1000000000),IFERROR(IF(VALUE(MID($B120,2,20))&lt;100000000,VALUE(MID($B120,2,20)),1000000000),1000000000))+ROW()/100000,"")</f>
        <v/>
      </c>
    </row>
    <row r="121">
      <c r="A121">
        <f>IF($B121="","",IFERROR(IF(INDEX('Per Invoice'!$A$2:$A$801,MATCH($B121,'Per Invoice'!$B$2:$B$801,0))=0,"",INDEX('Per Invoice'!$A$2:$A$801,MATCH($B121,'Per Invoice'!$B$2:$B$801,0))),""))</f>
        <v/>
      </c>
      <c r="J121" s="7">
        <f>IF($B121="","",I121*Q121/100)</f>
        <v/>
      </c>
      <c r="N121" s="7" t="n"/>
      <c r="O121" s="7" t="n"/>
      <c r="P121" s="7">
        <f>IF($B121="","",O121*X121/100)</f>
        <v/>
      </c>
      <c r="Q121" s="7">
        <f>IF($B121="","",O121-P121)</f>
        <v/>
      </c>
      <c r="R121" s="7">
        <f>IF($B121="","",Q121-J121)</f>
        <v/>
      </c>
      <c r="S121" s="7" t="n"/>
      <c r="T121" s="7" t="n"/>
      <c r="V121" s="14" t="n"/>
      <c r="Z121">
        <f>IF($B121="","",IF(COUNTIF($B$2:$B121,$B121)=1,1,0))</f>
        <v/>
      </c>
      <c r="AA121">
        <f>IF($Z121=1,SUMPRODUCT(--($AC$2:$AC$3001&lt;$AC121))+1,"")</f>
        <v/>
      </c>
      <c r="AB121">
        <f>IF($B121="","",IF(OR($Y121=TRUE(),$Y121="TRUE"),1,IF(AND($Y121&lt;&gt;"",OR($Y121=FALSE(),$Y121="FALSE")),0,IF(MIN(ABS($X121/100-Settings!$C$6),ABS($X121/100-Settings!$G$6))&lt;=MIN(ABS($X121/100-Settings!$C$7),ABS($X121/100-Settings!$G$7)),1,0))))</f>
        <v/>
      </c>
      <c r="AC121">
        <f>IF($Z121=1,IFERROR(IF(VALUE($B121)&lt;100000000,VALUE($B121),1000000000),IFERROR(IF(VALUE(MID($B121,2,20))&lt;100000000,VALUE(MID($B121,2,20)),1000000000),1000000000))+ROW()/100000,"")</f>
        <v/>
      </c>
    </row>
    <row r="122">
      <c r="A122">
        <f>IF($B122="","",IFERROR(IF(INDEX('Per Invoice'!$A$2:$A$801,MATCH($B122,'Per Invoice'!$B$2:$B$801,0))=0,"",INDEX('Per Invoice'!$A$2:$A$801,MATCH($B122,'Per Invoice'!$B$2:$B$801,0))),""))</f>
        <v/>
      </c>
      <c r="J122" s="7">
        <f>IF($B122="","",I122*Q122/100)</f>
        <v/>
      </c>
      <c r="N122" s="7" t="n"/>
      <c r="O122" s="7" t="n"/>
      <c r="P122" s="7">
        <f>IF($B122="","",O122*X122/100)</f>
        <v/>
      </c>
      <c r="Q122" s="7">
        <f>IF($B122="","",O122-P122)</f>
        <v/>
      </c>
      <c r="R122" s="7">
        <f>IF($B122="","",Q122-J122)</f>
        <v/>
      </c>
      <c r="S122" s="7" t="n"/>
      <c r="T122" s="7" t="n"/>
      <c r="V122" s="14" t="n"/>
      <c r="Z122">
        <f>IF($B122="","",IF(COUNTIF($B$2:$B122,$B122)=1,1,0))</f>
        <v/>
      </c>
      <c r="AA122">
        <f>IF($Z122=1,SUMPRODUCT(--($AC$2:$AC$3001&lt;$AC122))+1,"")</f>
        <v/>
      </c>
      <c r="AB122">
        <f>IF($B122="","",IF(OR($Y122=TRUE(),$Y122="TRUE"),1,IF(AND($Y122&lt;&gt;"",OR($Y122=FALSE(),$Y122="FALSE")),0,IF(MIN(ABS($X122/100-Settings!$C$6),ABS($X122/100-Settings!$G$6))&lt;=MIN(ABS($X122/100-Settings!$C$7),ABS($X122/100-Settings!$G$7)),1,0))))</f>
        <v/>
      </c>
      <c r="AC122">
        <f>IF($Z122=1,IFERROR(IF(VALUE($B122)&lt;100000000,VALUE($B122),1000000000),IFERROR(IF(VALUE(MID($B122,2,20))&lt;100000000,VALUE(MID($B122,2,20)),1000000000),1000000000))+ROW()/100000,"")</f>
        <v/>
      </c>
    </row>
    <row r="123">
      <c r="A123">
        <f>IF($B123="","",IFERROR(IF(INDEX('Per Invoice'!$A$2:$A$801,MATCH($B123,'Per Invoice'!$B$2:$B$801,0))=0,"",INDEX('Per Invoice'!$A$2:$A$801,MATCH($B123,'Per Invoice'!$B$2:$B$801,0))),""))</f>
        <v/>
      </c>
      <c r="J123" s="7">
        <f>IF($B123="","",I123*Q123/100)</f>
        <v/>
      </c>
      <c r="N123" s="7" t="n"/>
      <c r="O123" s="7" t="n"/>
      <c r="P123" s="7">
        <f>IF($B123="","",O123*X123/100)</f>
        <v/>
      </c>
      <c r="Q123" s="7">
        <f>IF($B123="","",O123-P123)</f>
        <v/>
      </c>
      <c r="R123" s="7">
        <f>IF($B123="","",Q123-J123)</f>
        <v/>
      </c>
      <c r="S123" s="7" t="n"/>
      <c r="T123" s="7" t="n"/>
      <c r="V123" s="14" t="n"/>
      <c r="Z123">
        <f>IF($B123="","",IF(COUNTIF($B$2:$B123,$B123)=1,1,0))</f>
        <v/>
      </c>
      <c r="AA123">
        <f>IF($Z123=1,SUMPRODUCT(--($AC$2:$AC$3001&lt;$AC123))+1,"")</f>
        <v/>
      </c>
      <c r="AB123">
        <f>IF($B123="","",IF(OR($Y123=TRUE(),$Y123="TRUE"),1,IF(AND($Y123&lt;&gt;"",OR($Y123=FALSE(),$Y123="FALSE")),0,IF(MIN(ABS($X123/100-Settings!$C$6),ABS($X123/100-Settings!$G$6))&lt;=MIN(ABS($X123/100-Settings!$C$7),ABS($X123/100-Settings!$G$7)),1,0))))</f>
        <v/>
      </c>
      <c r="AC123">
        <f>IF($Z123=1,IFERROR(IF(VALUE($B123)&lt;100000000,VALUE($B123),1000000000),IFERROR(IF(VALUE(MID($B123,2,20))&lt;100000000,VALUE(MID($B123,2,20)),1000000000),1000000000))+ROW()/100000,"")</f>
        <v/>
      </c>
    </row>
    <row r="124">
      <c r="A124">
        <f>IF($B124="","",IFERROR(IF(INDEX('Per Invoice'!$A$2:$A$801,MATCH($B124,'Per Invoice'!$B$2:$B$801,0))=0,"",INDEX('Per Invoice'!$A$2:$A$801,MATCH($B124,'Per Invoice'!$B$2:$B$801,0))),""))</f>
        <v/>
      </c>
      <c r="J124" s="7">
        <f>IF($B124="","",I124*Q124/100)</f>
        <v/>
      </c>
      <c r="N124" s="7" t="n"/>
      <c r="O124" s="7" t="n"/>
      <c r="P124" s="7">
        <f>IF($B124="","",O124*X124/100)</f>
        <v/>
      </c>
      <c r="Q124" s="7">
        <f>IF($B124="","",O124-P124)</f>
        <v/>
      </c>
      <c r="R124" s="7">
        <f>IF($B124="","",Q124-J124)</f>
        <v/>
      </c>
      <c r="S124" s="7" t="n"/>
      <c r="T124" s="7" t="n"/>
      <c r="V124" s="14" t="n"/>
      <c r="Z124">
        <f>IF($B124="","",IF(COUNTIF($B$2:$B124,$B124)=1,1,0))</f>
        <v/>
      </c>
      <c r="AA124">
        <f>IF($Z124=1,SUMPRODUCT(--($AC$2:$AC$3001&lt;$AC124))+1,"")</f>
        <v/>
      </c>
      <c r="AB124">
        <f>IF($B124="","",IF(OR($Y124=TRUE(),$Y124="TRUE"),1,IF(AND($Y124&lt;&gt;"",OR($Y124=FALSE(),$Y124="FALSE")),0,IF(MIN(ABS($X124/100-Settings!$C$6),ABS($X124/100-Settings!$G$6))&lt;=MIN(ABS($X124/100-Settings!$C$7),ABS($X124/100-Settings!$G$7)),1,0))))</f>
        <v/>
      </c>
      <c r="AC124">
        <f>IF($Z124=1,IFERROR(IF(VALUE($B124)&lt;100000000,VALUE($B124),1000000000),IFERROR(IF(VALUE(MID($B124,2,20))&lt;100000000,VALUE(MID($B124,2,20)),1000000000),1000000000))+ROW()/100000,"")</f>
        <v/>
      </c>
    </row>
    <row r="125">
      <c r="A125">
        <f>IF($B125="","",IFERROR(IF(INDEX('Per Invoice'!$A$2:$A$801,MATCH($B125,'Per Invoice'!$B$2:$B$801,0))=0,"",INDEX('Per Invoice'!$A$2:$A$801,MATCH($B125,'Per Invoice'!$B$2:$B$801,0))),""))</f>
        <v/>
      </c>
      <c r="J125" s="7">
        <f>IF($B125="","",I125*Q125/100)</f>
        <v/>
      </c>
      <c r="N125" s="7" t="n"/>
      <c r="O125" s="7" t="n"/>
      <c r="P125" s="7">
        <f>IF($B125="","",O125*X125/100)</f>
        <v/>
      </c>
      <c r="Q125" s="7">
        <f>IF($B125="","",O125-P125)</f>
        <v/>
      </c>
      <c r="R125" s="7">
        <f>IF($B125="","",Q125-J125)</f>
        <v/>
      </c>
      <c r="S125" s="7" t="n"/>
      <c r="T125" s="7" t="n"/>
      <c r="V125" s="14" t="n"/>
      <c r="Z125">
        <f>IF($B125="","",IF(COUNTIF($B$2:$B125,$B125)=1,1,0))</f>
        <v/>
      </c>
      <c r="AA125">
        <f>IF($Z125=1,SUMPRODUCT(--($AC$2:$AC$3001&lt;$AC125))+1,"")</f>
        <v/>
      </c>
      <c r="AB125">
        <f>IF($B125="","",IF(OR($Y125=TRUE(),$Y125="TRUE"),1,IF(AND($Y125&lt;&gt;"",OR($Y125=FALSE(),$Y125="FALSE")),0,IF(MIN(ABS($X125/100-Settings!$C$6),ABS($X125/100-Settings!$G$6))&lt;=MIN(ABS($X125/100-Settings!$C$7),ABS($X125/100-Settings!$G$7)),1,0))))</f>
        <v/>
      </c>
      <c r="AC125">
        <f>IF($Z125=1,IFERROR(IF(VALUE($B125)&lt;100000000,VALUE($B125),1000000000),IFERROR(IF(VALUE(MID($B125,2,20))&lt;100000000,VALUE(MID($B125,2,20)),1000000000),1000000000))+ROW()/100000,"")</f>
        <v/>
      </c>
    </row>
    <row r="126">
      <c r="A126">
        <f>IF($B126="","",IFERROR(IF(INDEX('Per Invoice'!$A$2:$A$801,MATCH($B126,'Per Invoice'!$B$2:$B$801,0))=0,"",INDEX('Per Invoice'!$A$2:$A$801,MATCH($B126,'Per Invoice'!$B$2:$B$801,0))),""))</f>
        <v/>
      </c>
      <c r="J126" s="7">
        <f>IF($B126="","",I126*Q126/100)</f>
        <v/>
      </c>
      <c r="N126" s="7" t="n"/>
      <c r="O126" s="7" t="n"/>
      <c r="P126" s="7">
        <f>IF($B126="","",O126*X126/100)</f>
        <v/>
      </c>
      <c r="Q126" s="7">
        <f>IF($B126="","",O126-P126)</f>
        <v/>
      </c>
      <c r="R126" s="7">
        <f>IF($B126="","",Q126-J126)</f>
        <v/>
      </c>
      <c r="S126" s="7" t="n"/>
      <c r="T126" s="7" t="n"/>
      <c r="V126" s="14" t="n"/>
      <c r="Z126">
        <f>IF($B126="","",IF(COUNTIF($B$2:$B126,$B126)=1,1,0))</f>
        <v/>
      </c>
      <c r="AA126">
        <f>IF($Z126=1,SUMPRODUCT(--($AC$2:$AC$3001&lt;$AC126))+1,"")</f>
        <v/>
      </c>
      <c r="AB126">
        <f>IF($B126="","",IF(OR($Y126=TRUE(),$Y126="TRUE"),1,IF(AND($Y126&lt;&gt;"",OR($Y126=FALSE(),$Y126="FALSE")),0,IF(MIN(ABS($X126/100-Settings!$C$6),ABS($X126/100-Settings!$G$6))&lt;=MIN(ABS($X126/100-Settings!$C$7),ABS($X126/100-Settings!$G$7)),1,0))))</f>
        <v/>
      </c>
      <c r="AC126">
        <f>IF($Z126=1,IFERROR(IF(VALUE($B126)&lt;100000000,VALUE($B126),1000000000),IFERROR(IF(VALUE(MID($B126,2,20))&lt;100000000,VALUE(MID($B126,2,20)),1000000000),1000000000))+ROW()/100000,"")</f>
        <v/>
      </c>
    </row>
    <row r="127">
      <c r="A127">
        <f>IF($B127="","",IFERROR(IF(INDEX('Per Invoice'!$A$2:$A$801,MATCH($B127,'Per Invoice'!$B$2:$B$801,0))=0,"",INDEX('Per Invoice'!$A$2:$A$801,MATCH($B127,'Per Invoice'!$B$2:$B$801,0))),""))</f>
        <v/>
      </c>
      <c r="J127" s="7">
        <f>IF($B127="","",I127*Q127/100)</f>
        <v/>
      </c>
      <c r="N127" s="7" t="n"/>
      <c r="O127" s="7" t="n"/>
      <c r="P127" s="7">
        <f>IF($B127="","",O127*X127/100)</f>
        <v/>
      </c>
      <c r="Q127" s="7">
        <f>IF($B127="","",O127-P127)</f>
        <v/>
      </c>
      <c r="R127" s="7">
        <f>IF($B127="","",Q127-J127)</f>
        <v/>
      </c>
      <c r="S127" s="7" t="n"/>
      <c r="T127" s="7" t="n"/>
      <c r="V127" s="14" t="n"/>
      <c r="Z127">
        <f>IF($B127="","",IF(COUNTIF($B$2:$B127,$B127)=1,1,0))</f>
        <v/>
      </c>
      <c r="AA127">
        <f>IF($Z127=1,SUMPRODUCT(--($AC$2:$AC$3001&lt;$AC127))+1,"")</f>
        <v/>
      </c>
      <c r="AB127">
        <f>IF($B127="","",IF(OR($Y127=TRUE(),$Y127="TRUE"),1,IF(AND($Y127&lt;&gt;"",OR($Y127=FALSE(),$Y127="FALSE")),0,IF(MIN(ABS($X127/100-Settings!$C$6),ABS($X127/100-Settings!$G$6))&lt;=MIN(ABS($X127/100-Settings!$C$7),ABS($X127/100-Settings!$G$7)),1,0))))</f>
        <v/>
      </c>
      <c r="AC127">
        <f>IF($Z127=1,IFERROR(IF(VALUE($B127)&lt;100000000,VALUE($B127),1000000000),IFERROR(IF(VALUE(MID($B127,2,20))&lt;100000000,VALUE(MID($B127,2,20)),1000000000),1000000000))+ROW()/100000,"")</f>
        <v/>
      </c>
    </row>
    <row r="128">
      <c r="A128">
        <f>IF($B128="","",IFERROR(IF(INDEX('Per Invoice'!$A$2:$A$801,MATCH($B128,'Per Invoice'!$B$2:$B$801,0))=0,"",INDEX('Per Invoice'!$A$2:$A$801,MATCH($B128,'Per Invoice'!$B$2:$B$801,0))),""))</f>
        <v/>
      </c>
      <c r="J128" s="7">
        <f>IF($B128="","",I128*Q128/100)</f>
        <v/>
      </c>
      <c r="N128" s="7" t="n"/>
      <c r="O128" s="7" t="n"/>
      <c r="P128" s="7">
        <f>IF($B128="","",O128*X128/100)</f>
        <v/>
      </c>
      <c r="Q128" s="7">
        <f>IF($B128="","",O128-P128)</f>
        <v/>
      </c>
      <c r="R128" s="7">
        <f>IF($B128="","",Q128-J128)</f>
        <v/>
      </c>
      <c r="S128" s="7" t="n"/>
      <c r="T128" s="7" t="n"/>
      <c r="V128" s="14" t="n"/>
      <c r="Z128">
        <f>IF($B128="","",IF(COUNTIF($B$2:$B128,$B128)=1,1,0))</f>
        <v/>
      </c>
      <c r="AA128">
        <f>IF($Z128=1,SUMPRODUCT(--($AC$2:$AC$3001&lt;$AC128))+1,"")</f>
        <v/>
      </c>
      <c r="AB128">
        <f>IF($B128="","",IF(OR($Y128=TRUE(),$Y128="TRUE"),1,IF(AND($Y128&lt;&gt;"",OR($Y128=FALSE(),$Y128="FALSE")),0,IF(MIN(ABS($X128/100-Settings!$C$6),ABS($X128/100-Settings!$G$6))&lt;=MIN(ABS($X128/100-Settings!$C$7),ABS($X128/100-Settings!$G$7)),1,0))))</f>
        <v/>
      </c>
      <c r="AC128">
        <f>IF($Z128=1,IFERROR(IF(VALUE($B128)&lt;100000000,VALUE($B128),1000000000),IFERROR(IF(VALUE(MID($B128,2,20))&lt;100000000,VALUE(MID($B128,2,20)),1000000000),1000000000))+ROW()/100000,"")</f>
        <v/>
      </c>
    </row>
    <row r="129">
      <c r="A129">
        <f>IF($B129="","",IFERROR(IF(INDEX('Per Invoice'!$A$2:$A$801,MATCH($B129,'Per Invoice'!$B$2:$B$801,0))=0,"",INDEX('Per Invoice'!$A$2:$A$801,MATCH($B129,'Per Invoice'!$B$2:$B$801,0))),""))</f>
        <v/>
      </c>
      <c r="J129" s="7">
        <f>IF($B129="","",I129*Q129/100)</f>
        <v/>
      </c>
      <c r="N129" s="7" t="n"/>
      <c r="O129" s="7" t="n"/>
      <c r="P129" s="7">
        <f>IF($B129="","",O129*X129/100)</f>
        <v/>
      </c>
      <c r="Q129" s="7">
        <f>IF($B129="","",O129-P129)</f>
        <v/>
      </c>
      <c r="R129" s="7">
        <f>IF($B129="","",Q129-J129)</f>
        <v/>
      </c>
      <c r="S129" s="7" t="n"/>
      <c r="T129" s="7" t="n"/>
      <c r="V129" s="14" t="n"/>
      <c r="Z129">
        <f>IF($B129="","",IF(COUNTIF($B$2:$B129,$B129)=1,1,0))</f>
        <v/>
      </c>
      <c r="AA129">
        <f>IF($Z129=1,SUMPRODUCT(--($AC$2:$AC$3001&lt;$AC129))+1,"")</f>
        <v/>
      </c>
      <c r="AB129">
        <f>IF($B129="","",IF(OR($Y129=TRUE(),$Y129="TRUE"),1,IF(AND($Y129&lt;&gt;"",OR($Y129=FALSE(),$Y129="FALSE")),0,IF(MIN(ABS($X129/100-Settings!$C$6),ABS($X129/100-Settings!$G$6))&lt;=MIN(ABS($X129/100-Settings!$C$7),ABS($X129/100-Settings!$G$7)),1,0))))</f>
        <v/>
      </c>
      <c r="AC129">
        <f>IF($Z129=1,IFERROR(IF(VALUE($B129)&lt;100000000,VALUE($B129),1000000000),IFERROR(IF(VALUE(MID($B129,2,20))&lt;100000000,VALUE(MID($B129,2,20)),1000000000),1000000000))+ROW()/100000,"")</f>
        <v/>
      </c>
    </row>
    <row r="130">
      <c r="A130">
        <f>IF($B130="","",IFERROR(IF(INDEX('Per Invoice'!$A$2:$A$801,MATCH($B130,'Per Invoice'!$B$2:$B$801,0))=0,"",INDEX('Per Invoice'!$A$2:$A$801,MATCH($B130,'Per Invoice'!$B$2:$B$801,0))),""))</f>
        <v/>
      </c>
      <c r="J130" s="7">
        <f>IF($B130="","",I130*Q130/100)</f>
        <v/>
      </c>
      <c r="N130" s="7" t="n"/>
      <c r="O130" s="7" t="n"/>
      <c r="P130" s="7">
        <f>IF($B130="","",O130*X130/100)</f>
        <v/>
      </c>
      <c r="Q130" s="7">
        <f>IF($B130="","",O130-P130)</f>
        <v/>
      </c>
      <c r="R130" s="7">
        <f>IF($B130="","",Q130-J130)</f>
        <v/>
      </c>
      <c r="S130" s="7" t="n"/>
      <c r="T130" s="7" t="n"/>
      <c r="V130" s="14" t="n"/>
      <c r="Z130">
        <f>IF($B130="","",IF(COUNTIF($B$2:$B130,$B130)=1,1,0))</f>
        <v/>
      </c>
      <c r="AA130">
        <f>IF($Z130=1,SUMPRODUCT(--($AC$2:$AC$3001&lt;$AC130))+1,"")</f>
        <v/>
      </c>
      <c r="AB130">
        <f>IF($B130="","",IF(OR($Y130=TRUE(),$Y130="TRUE"),1,IF(AND($Y130&lt;&gt;"",OR($Y130=FALSE(),$Y130="FALSE")),0,IF(MIN(ABS($X130/100-Settings!$C$6),ABS($X130/100-Settings!$G$6))&lt;=MIN(ABS($X130/100-Settings!$C$7),ABS($X130/100-Settings!$G$7)),1,0))))</f>
        <v/>
      </c>
      <c r="AC130">
        <f>IF($Z130=1,IFERROR(IF(VALUE($B130)&lt;100000000,VALUE($B130),1000000000),IFERROR(IF(VALUE(MID($B130,2,20))&lt;100000000,VALUE(MID($B130,2,20)),1000000000),1000000000))+ROW()/100000,"")</f>
        <v/>
      </c>
    </row>
    <row r="131">
      <c r="A131">
        <f>IF($B131="","",IFERROR(IF(INDEX('Per Invoice'!$A$2:$A$801,MATCH($B131,'Per Invoice'!$B$2:$B$801,0))=0,"",INDEX('Per Invoice'!$A$2:$A$801,MATCH($B131,'Per Invoice'!$B$2:$B$801,0))),""))</f>
        <v/>
      </c>
      <c r="J131" s="7">
        <f>IF($B131="","",I131*Q131/100)</f>
        <v/>
      </c>
      <c r="N131" s="7" t="n"/>
      <c r="O131" s="7" t="n"/>
      <c r="P131" s="7">
        <f>IF($B131="","",O131*X131/100)</f>
        <v/>
      </c>
      <c r="Q131" s="7">
        <f>IF($B131="","",O131-P131)</f>
        <v/>
      </c>
      <c r="R131" s="7">
        <f>IF($B131="","",Q131-J131)</f>
        <v/>
      </c>
      <c r="S131" s="7" t="n"/>
      <c r="T131" s="7" t="n"/>
      <c r="V131" s="14" t="n"/>
      <c r="Z131">
        <f>IF($B131="","",IF(COUNTIF($B$2:$B131,$B131)=1,1,0))</f>
        <v/>
      </c>
      <c r="AA131">
        <f>IF($Z131=1,SUMPRODUCT(--($AC$2:$AC$3001&lt;$AC131))+1,"")</f>
        <v/>
      </c>
      <c r="AB131">
        <f>IF($B131="","",IF(OR($Y131=TRUE(),$Y131="TRUE"),1,IF(AND($Y131&lt;&gt;"",OR($Y131=FALSE(),$Y131="FALSE")),0,IF(MIN(ABS($X131/100-Settings!$C$6),ABS($X131/100-Settings!$G$6))&lt;=MIN(ABS($X131/100-Settings!$C$7),ABS($X131/100-Settings!$G$7)),1,0))))</f>
        <v/>
      </c>
      <c r="AC131">
        <f>IF($Z131=1,IFERROR(IF(VALUE($B131)&lt;100000000,VALUE($B131),1000000000),IFERROR(IF(VALUE(MID($B131,2,20))&lt;100000000,VALUE(MID($B131,2,20)),1000000000),1000000000))+ROW()/100000,"")</f>
        <v/>
      </c>
    </row>
    <row r="132">
      <c r="A132">
        <f>IF($B132="","",IFERROR(IF(INDEX('Per Invoice'!$A$2:$A$801,MATCH($B132,'Per Invoice'!$B$2:$B$801,0))=0,"",INDEX('Per Invoice'!$A$2:$A$801,MATCH($B132,'Per Invoice'!$B$2:$B$801,0))),""))</f>
        <v/>
      </c>
      <c r="J132" s="7">
        <f>IF($B132="","",I132*Q132/100)</f>
        <v/>
      </c>
      <c r="N132" s="7" t="n"/>
      <c r="O132" s="7" t="n"/>
      <c r="P132" s="7">
        <f>IF($B132="","",O132*X132/100)</f>
        <v/>
      </c>
      <c r="Q132" s="7">
        <f>IF($B132="","",O132-P132)</f>
        <v/>
      </c>
      <c r="R132" s="7">
        <f>IF($B132="","",Q132-J132)</f>
        <v/>
      </c>
      <c r="S132" s="7" t="n"/>
      <c r="T132" s="7" t="n"/>
      <c r="V132" s="14" t="n"/>
      <c r="Z132">
        <f>IF($B132="","",IF(COUNTIF($B$2:$B132,$B132)=1,1,0))</f>
        <v/>
      </c>
      <c r="AA132">
        <f>IF($Z132=1,SUMPRODUCT(--($AC$2:$AC$3001&lt;$AC132))+1,"")</f>
        <v/>
      </c>
      <c r="AB132">
        <f>IF($B132="","",IF(OR($Y132=TRUE(),$Y132="TRUE"),1,IF(AND($Y132&lt;&gt;"",OR($Y132=FALSE(),$Y132="FALSE")),0,IF(MIN(ABS($X132/100-Settings!$C$6),ABS($X132/100-Settings!$G$6))&lt;=MIN(ABS($X132/100-Settings!$C$7),ABS($X132/100-Settings!$G$7)),1,0))))</f>
        <v/>
      </c>
      <c r="AC132">
        <f>IF($Z132=1,IFERROR(IF(VALUE($B132)&lt;100000000,VALUE($B132),1000000000),IFERROR(IF(VALUE(MID($B132,2,20))&lt;100000000,VALUE(MID($B132,2,20)),1000000000),1000000000))+ROW()/100000,"")</f>
        <v/>
      </c>
    </row>
    <row r="133">
      <c r="A133">
        <f>IF($B133="","",IFERROR(IF(INDEX('Per Invoice'!$A$2:$A$801,MATCH($B133,'Per Invoice'!$B$2:$B$801,0))=0,"",INDEX('Per Invoice'!$A$2:$A$801,MATCH($B133,'Per Invoice'!$B$2:$B$801,0))),""))</f>
        <v/>
      </c>
      <c r="J133" s="7">
        <f>IF($B133="","",I133*Q133/100)</f>
        <v/>
      </c>
      <c r="N133" s="7" t="n"/>
      <c r="O133" s="7" t="n"/>
      <c r="P133" s="7">
        <f>IF($B133="","",O133*X133/100)</f>
        <v/>
      </c>
      <c r="Q133" s="7">
        <f>IF($B133="","",O133-P133)</f>
        <v/>
      </c>
      <c r="R133" s="7">
        <f>IF($B133="","",Q133-J133)</f>
        <v/>
      </c>
      <c r="S133" s="7" t="n"/>
      <c r="T133" s="7" t="n"/>
      <c r="V133" s="14" t="n"/>
      <c r="Z133">
        <f>IF($B133="","",IF(COUNTIF($B$2:$B133,$B133)=1,1,0))</f>
        <v/>
      </c>
      <c r="AA133">
        <f>IF($Z133=1,SUMPRODUCT(--($AC$2:$AC$3001&lt;$AC133))+1,"")</f>
        <v/>
      </c>
      <c r="AB133">
        <f>IF($B133="","",IF(OR($Y133=TRUE(),$Y133="TRUE"),1,IF(AND($Y133&lt;&gt;"",OR($Y133=FALSE(),$Y133="FALSE")),0,IF(MIN(ABS($X133/100-Settings!$C$6),ABS($X133/100-Settings!$G$6))&lt;=MIN(ABS($X133/100-Settings!$C$7),ABS($X133/100-Settings!$G$7)),1,0))))</f>
        <v/>
      </c>
      <c r="AC133">
        <f>IF($Z133=1,IFERROR(IF(VALUE($B133)&lt;100000000,VALUE($B133),1000000000),IFERROR(IF(VALUE(MID($B133,2,20))&lt;100000000,VALUE(MID($B133,2,20)),1000000000),1000000000))+ROW()/100000,"")</f>
        <v/>
      </c>
    </row>
    <row r="134">
      <c r="A134">
        <f>IF($B134="","",IFERROR(IF(INDEX('Per Invoice'!$A$2:$A$801,MATCH($B134,'Per Invoice'!$B$2:$B$801,0))=0,"",INDEX('Per Invoice'!$A$2:$A$801,MATCH($B134,'Per Invoice'!$B$2:$B$801,0))),""))</f>
        <v/>
      </c>
      <c r="J134" s="7">
        <f>IF($B134="","",I134*Q134/100)</f>
        <v/>
      </c>
      <c r="N134" s="7" t="n"/>
      <c r="O134" s="7" t="n"/>
      <c r="P134" s="7">
        <f>IF($B134="","",O134*X134/100)</f>
        <v/>
      </c>
      <c r="Q134" s="7">
        <f>IF($B134="","",O134-P134)</f>
        <v/>
      </c>
      <c r="R134" s="7">
        <f>IF($B134="","",Q134-J134)</f>
        <v/>
      </c>
      <c r="S134" s="7" t="n"/>
      <c r="T134" s="7" t="n"/>
      <c r="V134" s="14" t="n"/>
      <c r="Z134">
        <f>IF($B134="","",IF(COUNTIF($B$2:$B134,$B134)=1,1,0))</f>
        <v/>
      </c>
      <c r="AA134">
        <f>IF($Z134=1,SUMPRODUCT(--($AC$2:$AC$3001&lt;$AC134))+1,"")</f>
        <v/>
      </c>
      <c r="AB134">
        <f>IF($B134="","",IF(OR($Y134=TRUE(),$Y134="TRUE"),1,IF(AND($Y134&lt;&gt;"",OR($Y134=FALSE(),$Y134="FALSE")),0,IF(MIN(ABS($X134/100-Settings!$C$6),ABS($X134/100-Settings!$G$6))&lt;=MIN(ABS($X134/100-Settings!$C$7),ABS($X134/100-Settings!$G$7)),1,0))))</f>
        <v/>
      </c>
      <c r="AC134">
        <f>IF($Z134=1,IFERROR(IF(VALUE($B134)&lt;100000000,VALUE($B134),1000000000),IFERROR(IF(VALUE(MID($B134,2,20))&lt;100000000,VALUE(MID($B134,2,20)),1000000000),1000000000))+ROW()/100000,"")</f>
        <v/>
      </c>
    </row>
    <row r="135">
      <c r="A135">
        <f>IF($B135="","",IFERROR(IF(INDEX('Per Invoice'!$A$2:$A$801,MATCH($B135,'Per Invoice'!$B$2:$B$801,0))=0,"",INDEX('Per Invoice'!$A$2:$A$801,MATCH($B135,'Per Invoice'!$B$2:$B$801,0))),""))</f>
        <v/>
      </c>
      <c r="J135" s="7">
        <f>IF($B135="","",I135*Q135/100)</f>
        <v/>
      </c>
      <c r="N135" s="7" t="n"/>
      <c r="O135" s="7" t="n"/>
      <c r="P135" s="7">
        <f>IF($B135="","",O135*X135/100)</f>
        <v/>
      </c>
      <c r="Q135" s="7">
        <f>IF($B135="","",O135-P135)</f>
        <v/>
      </c>
      <c r="R135" s="7">
        <f>IF($B135="","",Q135-J135)</f>
        <v/>
      </c>
      <c r="S135" s="7" t="n"/>
      <c r="T135" s="7" t="n"/>
      <c r="V135" s="14" t="n"/>
      <c r="Z135">
        <f>IF($B135="","",IF(COUNTIF($B$2:$B135,$B135)=1,1,0))</f>
        <v/>
      </c>
      <c r="AA135">
        <f>IF($Z135=1,SUMPRODUCT(--($AC$2:$AC$3001&lt;$AC135))+1,"")</f>
        <v/>
      </c>
      <c r="AB135">
        <f>IF($B135="","",IF(OR($Y135=TRUE(),$Y135="TRUE"),1,IF(AND($Y135&lt;&gt;"",OR($Y135=FALSE(),$Y135="FALSE")),0,IF(MIN(ABS($X135/100-Settings!$C$6),ABS($X135/100-Settings!$G$6))&lt;=MIN(ABS($X135/100-Settings!$C$7),ABS($X135/100-Settings!$G$7)),1,0))))</f>
        <v/>
      </c>
      <c r="AC135">
        <f>IF($Z135=1,IFERROR(IF(VALUE($B135)&lt;100000000,VALUE($B135),1000000000),IFERROR(IF(VALUE(MID($B135,2,20))&lt;100000000,VALUE(MID($B135,2,20)),1000000000),1000000000))+ROW()/100000,"")</f>
        <v/>
      </c>
    </row>
    <row r="136">
      <c r="A136">
        <f>IF($B136="","",IFERROR(IF(INDEX('Per Invoice'!$A$2:$A$801,MATCH($B136,'Per Invoice'!$B$2:$B$801,0))=0,"",INDEX('Per Invoice'!$A$2:$A$801,MATCH($B136,'Per Invoice'!$B$2:$B$801,0))),""))</f>
        <v/>
      </c>
      <c r="J136" s="7">
        <f>IF($B136="","",I136*Q136/100)</f>
        <v/>
      </c>
      <c r="N136" s="7" t="n"/>
      <c r="O136" s="7" t="n"/>
      <c r="P136" s="7">
        <f>IF($B136="","",O136*X136/100)</f>
        <v/>
      </c>
      <c r="Q136" s="7">
        <f>IF($B136="","",O136-P136)</f>
        <v/>
      </c>
      <c r="R136" s="7">
        <f>IF($B136="","",Q136-J136)</f>
        <v/>
      </c>
      <c r="S136" s="7" t="n"/>
      <c r="T136" s="7" t="n"/>
      <c r="V136" s="14" t="n"/>
      <c r="Z136">
        <f>IF($B136="","",IF(COUNTIF($B$2:$B136,$B136)=1,1,0))</f>
        <v/>
      </c>
      <c r="AA136">
        <f>IF($Z136=1,SUMPRODUCT(--($AC$2:$AC$3001&lt;$AC136))+1,"")</f>
        <v/>
      </c>
      <c r="AB136">
        <f>IF($B136="","",IF(OR($Y136=TRUE(),$Y136="TRUE"),1,IF(AND($Y136&lt;&gt;"",OR($Y136=FALSE(),$Y136="FALSE")),0,IF(MIN(ABS($X136/100-Settings!$C$6),ABS($X136/100-Settings!$G$6))&lt;=MIN(ABS($X136/100-Settings!$C$7),ABS($X136/100-Settings!$G$7)),1,0))))</f>
        <v/>
      </c>
      <c r="AC136">
        <f>IF($Z136=1,IFERROR(IF(VALUE($B136)&lt;100000000,VALUE($B136),1000000000),IFERROR(IF(VALUE(MID($B136,2,20))&lt;100000000,VALUE(MID($B136,2,20)),1000000000),1000000000))+ROW()/100000,"")</f>
        <v/>
      </c>
    </row>
    <row r="137">
      <c r="A137">
        <f>IF($B137="","",IFERROR(IF(INDEX('Per Invoice'!$A$2:$A$801,MATCH($B137,'Per Invoice'!$B$2:$B$801,0))=0,"",INDEX('Per Invoice'!$A$2:$A$801,MATCH($B137,'Per Invoice'!$B$2:$B$801,0))),""))</f>
        <v/>
      </c>
      <c r="J137" s="7">
        <f>IF($B137="","",I137*Q137/100)</f>
        <v/>
      </c>
      <c r="N137" s="7" t="n"/>
      <c r="O137" s="7" t="n"/>
      <c r="P137" s="7">
        <f>IF($B137="","",O137*X137/100)</f>
        <v/>
      </c>
      <c r="Q137" s="7">
        <f>IF($B137="","",O137-P137)</f>
        <v/>
      </c>
      <c r="R137" s="7">
        <f>IF($B137="","",Q137-J137)</f>
        <v/>
      </c>
      <c r="S137" s="7" t="n"/>
      <c r="T137" s="7" t="n"/>
      <c r="V137" s="14" t="n"/>
      <c r="Z137">
        <f>IF($B137="","",IF(COUNTIF($B$2:$B137,$B137)=1,1,0))</f>
        <v/>
      </c>
      <c r="AA137">
        <f>IF($Z137=1,SUMPRODUCT(--($AC$2:$AC$3001&lt;$AC137))+1,"")</f>
        <v/>
      </c>
      <c r="AB137">
        <f>IF($B137="","",IF(OR($Y137=TRUE(),$Y137="TRUE"),1,IF(AND($Y137&lt;&gt;"",OR($Y137=FALSE(),$Y137="FALSE")),0,IF(MIN(ABS($X137/100-Settings!$C$6),ABS($X137/100-Settings!$G$6))&lt;=MIN(ABS($X137/100-Settings!$C$7),ABS($X137/100-Settings!$G$7)),1,0))))</f>
        <v/>
      </c>
      <c r="AC137">
        <f>IF($Z137=1,IFERROR(IF(VALUE($B137)&lt;100000000,VALUE($B137),1000000000),IFERROR(IF(VALUE(MID($B137,2,20))&lt;100000000,VALUE(MID($B137,2,20)),1000000000),1000000000))+ROW()/100000,"")</f>
        <v/>
      </c>
    </row>
    <row r="138">
      <c r="A138">
        <f>IF($B138="","",IFERROR(IF(INDEX('Per Invoice'!$A$2:$A$801,MATCH($B138,'Per Invoice'!$B$2:$B$801,0))=0,"",INDEX('Per Invoice'!$A$2:$A$801,MATCH($B138,'Per Invoice'!$B$2:$B$801,0))),""))</f>
        <v/>
      </c>
      <c r="J138" s="7">
        <f>IF($B138="","",I138*Q138/100)</f>
        <v/>
      </c>
      <c r="N138" s="7" t="n"/>
      <c r="O138" s="7" t="n"/>
      <c r="P138" s="7">
        <f>IF($B138="","",O138*X138/100)</f>
        <v/>
      </c>
      <c r="Q138" s="7">
        <f>IF($B138="","",O138-P138)</f>
        <v/>
      </c>
      <c r="R138" s="7">
        <f>IF($B138="","",Q138-J138)</f>
        <v/>
      </c>
      <c r="S138" s="7" t="n"/>
      <c r="T138" s="7" t="n"/>
      <c r="V138" s="14" t="n"/>
      <c r="Z138">
        <f>IF($B138="","",IF(COUNTIF($B$2:$B138,$B138)=1,1,0))</f>
        <v/>
      </c>
      <c r="AA138">
        <f>IF($Z138=1,SUMPRODUCT(--($AC$2:$AC$3001&lt;$AC138))+1,"")</f>
        <v/>
      </c>
      <c r="AB138">
        <f>IF($B138="","",IF(OR($Y138=TRUE(),$Y138="TRUE"),1,IF(AND($Y138&lt;&gt;"",OR($Y138=FALSE(),$Y138="FALSE")),0,IF(MIN(ABS($X138/100-Settings!$C$6),ABS($X138/100-Settings!$G$6))&lt;=MIN(ABS($X138/100-Settings!$C$7),ABS($X138/100-Settings!$G$7)),1,0))))</f>
        <v/>
      </c>
      <c r="AC138">
        <f>IF($Z138=1,IFERROR(IF(VALUE($B138)&lt;100000000,VALUE($B138),1000000000),IFERROR(IF(VALUE(MID($B138,2,20))&lt;100000000,VALUE(MID($B138,2,20)),1000000000),1000000000))+ROW()/100000,"")</f>
        <v/>
      </c>
    </row>
    <row r="139">
      <c r="A139">
        <f>IF($B139="","",IFERROR(IF(INDEX('Per Invoice'!$A$2:$A$801,MATCH($B139,'Per Invoice'!$B$2:$B$801,0))=0,"",INDEX('Per Invoice'!$A$2:$A$801,MATCH($B139,'Per Invoice'!$B$2:$B$801,0))),""))</f>
        <v/>
      </c>
      <c r="J139" s="7">
        <f>IF($B139="","",I139*Q139/100)</f>
        <v/>
      </c>
      <c r="N139" s="7" t="n"/>
      <c r="O139" s="7" t="n"/>
      <c r="P139" s="7">
        <f>IF($B139="","",O139*X139/100)</f>
        <v/>
      </c>
      <c r="Q139" s="7">
        <f>IF($B139="","",O139-P139)</f>
        <v/>
      </c>
      <c r="R139" s="7">
        <f>IF($B139="","",Q139-J139)</f>
        <v/>
      </c>
      <c r="S139" s="7" t="n"/>
      <c r="T139" s="7" t="n"/>
      <c r="V139" s="14" t="n"/>
      <c r="Z139">
        <f>IF($B139="","",IF(COUNTIF($B$2:$B139,$B139)=1,1,0))</f>
        <v/>
      </c>
      <c r="AA139">
        <f>IF($Z139=1,SUMPRODUCT(--($AC$2:$AC$3001&lt;$AC139))+1,"")</f>
        <v/>
      </c>
      <c r="AB139">
        <f>IF($B139="","",IF(OR($Y139=TRUE(),$Y139="TRUE"),1,IF(AND($Y139&lt;&gt;"",OR($Y139=FALSE(),$Y139="FALSE")),0,IF(MIN(ABS($X139/100-Settings!$C$6),ABS($X139/100-Settings!$G$6))&lt;=MIN(ABS($X139/100-Settings!$C$7),ABS($X139/100-Settings!$G$7)),1,0))))</f>
        <v/>
      </c>
      <c r="AC139">
        <f>IF($Z139=1,IFERROR(IF(VALUE($B139)&lt;100000000,VALUE($B139),1000000000),IFERROR(IF(VALUE(MID($B139,2,20))&lt;100000000,VALUE(MID($B139,2,20)),1000000000),1000000000))+ROW()/100000,"")</f>
        <v/>
      </c>
    </row>
    <row r="140">
      <c r="A140">
        <f>IF($B140="","",IFERROR(IF(INDEX('Per Invoice'!$A$2:$A$801,MATCH($B140,'Per Invoice'!$B$2:$B$801,0))=0,"",INDEX('Per Invoice'!$A$2:$A$801,MATCH($B140,'Per Invoice'!$B$2:$B$801,0))),""))</f>
        <v/>
      </c>
      <c r="J140" s="7">
        <f>IF($B140="","",I140*Q140/100)</f>
        <v/>
      </c>
      <c r="N140" s="7" t="n"/>
      <c r="O140" s="7" t="n"/>
      <c r="P140" s="7">
        <f>IF($B140="","",O140*X140/100)</f>
        <v/>
      </c>
      <c r="Q140" s="7">
        <f>IF($B140="","",O140-P140)</f>
        <v/>
      </c>
      <c r="R140" s="7">
        <f>IF($B140="","",Q140-J140)</f>
        <v/>
      </c>
      <c r="S140" s="7" t="n"/>
      <c r="T140" s="7" t="n"/>
      <c r="V140" s="14" t="n"/>
      <c r="Z140">
        <f>IF($B140="","",IF(COUNTIF($B$2:$B140,$B140)=1,1,0))</f>
        <v/>
      </c>
      <c r="AA140">
        <f>IF($Z140=1,SUMPRODUCT(--($AC$2:$AC$3001&lt;$AC140))+1,"")</f>
        <v/>
      </c>
      <c r="AB140">
        <f>IF($B140="","",IF(OR($Y140=TRUE(),$Y140="TRUE"),1,IF(AND($Y140&lt;&gt;"",OR($Y140=FALSE(),$Y140="FALSE")),0,IF(MIN(ABS($X140/100-Settings!$C$6),ABS($X140/100-Settings!$G$6))&lt;=MIN(ABS($X140/100-Settings!$C$7),ABS($X140/100-Settings!$G$7)),1,0))))</f>
        <v/>
      </c>
      <c r="AC140">
        <f>IF($Z140=1,IFERROR(IF(VALUE($B140)&lt;100000000,VALUE($B140),1000000000),IFERROR(IF(VALUE(MID($B140,2,20))&lt;100000000,VALUE(MID($B140,2,20)),1000000000),1000000000))+ROW()/100000,"")</f>
        <v/>
      </c>
    </row>
    <row r="141">
      <c r="A141">
        <f>IF($B141="","",IFERROR(IF(INDEX('Per Invoice'!$A$2:$A$801,MATCH($B141,'Per Invoice'!$B$2:$B$801,0))=0,"",INDEX('Per Invoice'!$A$2:$A$801,MATCH($B141,'Per Invoice'!$B$2:$B$801,0))),""))</f>
        <v/>
      </c>
      <c r="J141" s="7">
        <f>IF($B141="","",I141*Q141/100)</f>
        <v/>
      </c>
      <c r="N141" s="7" t="n"/>
      <c r="O141" s="7" t="n"/>
      <c r="P141" s="7">
        <f>IF($B141="","",O141*X141/100)</f>
        <v/>
      </c>
      <c r="Q141" s="7">
        <f>IF($B141="","",O141-P141)</f>
        <v/>
      </c>
      <c r="R141" s="7">
        <f>IF($B141="","",Q141-J141)</f>
        <v/>
      </c>
      <c r="S141" s="7" t="n"/>
      <c r="T141" s="7" t="n"/>
      <c r="V141" s="14" t="n"/>
      <c r="Z141">
        <f>IF($B141="","",IF(COUNTIF($B$2:$B141,$B141)=1,1,0))</f>
        <v/>
      </c>
      <c r="AA141">
        <f>IF($Z141=1,SUMPRODUCT(--($AC$2:$AC$3001&lt;$AC141))+1,"")</f>
        <v/>
      </c>
      <c r="AB141">
        <f>IF($B141="","",IF(OR($Y141=TRUE(),$Y141="TRUE"),1,IF(AND($Y141&lt;&gt;"",OR($Y141=FALSE(),$Y141="FALSE")),0,IF(MIN(ABS($X141/100-Settings!$C$6),ABS($X141/100-Settings!$G$6))&lt;=MIN(ABS($X141/100-Settings!$C$7),ABS($X141/100-Settings!$G$7)),1,0))))</f>
        <v/>
      </c>
      <c r="AC141">
        <f>IF($Z141=1,IFERROR(IF(VALUE($B141)&lt;100000000,VALUE($B141),1000000000),IFERROR(IF(VALUE(MID($B141,2,20))&lt;100000000,VALUE(MID($B141,2,20)),1000000000),1000000000))+ROW()/100000,"")</f>
        <v/>
      </c>
    </row>
    <row r="142">
      <c r="A142">
        <f>IF($B142="","",IFERROR(IF(INDEX('Per Invoice'!$A$2:$A$801,MATCH($B142,'Per Invoice'!$B$2:$B$801,0))=0,"",INDEX('Per Invoice'!$A$2:$A$801,MATCH($B142,'Per Invoice'!$B$2:$B$801,0))),""))</f>
        <v/>
      </c>
      <c r="J142" s="7">
        <f>IF($B142="","",I142*Q142/100)</f>
        <v/>
      </c>
      <c r="N142" s="7" t="n"/>
      <c r="O142" s="7" t="n"/>
      <c r="P142" s="7">
        <f>IF($B142="","",O142*X142/100)</f>
        <v/>
      </c>
      <c r="Q142" s="7">
        <f>IF($B142="","",O142-P142)</f>
        <v/>
      </c>
      <c r="R142" s="7">
        <f>IF($B142="","",Q142-J142)</f>
        <v/>
      </c>
      <c r="S142" s="7" t="n"/>
      <c r="T142" s="7" t="n"/>
      <c r="V142" s="14" t="n"/>
      <c r="Z142">
        <f>IF($B142="","",IF(COUNTIF($B$2:$B142,$B142)=1,1,0))</f>
        <v/>
      </c>
      <c r="AA142">
        <f>IF($Z142=1,SUMPRODUCT(--($AC$2:$AC$3001&lt;$AC142))+1,"")</f>
        <v/>
      </c>
      <c r="AB142">
        <f>IF($B142="","",IF(OR($Y142=TRUE(),$Y142="TRUE"),1,IF(AND($Y142&lt;&gt;"",OR($Y142=FALSE(),$Y142="FALSE")),0,IF(MIN(ABS($X142/100-Settings!$C$6),ABS($X142/100-Settings!$G$6))&lt;=MIN(ABS($X142/100-Settings!$C$7),ABS($X142/100-Settings!$G$7)),1,0))))</f>
        <v/>
      </c>
      <c r="AC142">
        <f>IF($Z142=1,IFERROR(IF(VALUE($B142)&lt;100000000,VALUE($B142),1000000000),IFERROR(IF(VALUE(MID($B142,2,20))&lt;100000000,VALUE(MID($B142,2,20)),1000000000),1000000000))+ROW()/100000,"")</f>
        <v/>
      </c>
    </row>
    <row r="143">
      <c r="A143">
        <f>IF($B143="","",IFERROR(IF(INDEX('Per Invoice'!$A$2:$A$801,MATCH($B143,'Per Invoice'!$B$2:$B$801,0))=0,"",INDEX('Per Invoice'!$A$2:$A$801,MATCH($B143,'Per Invoice'!$B$2:$B$801,0))),""))</f>
        <v/>
      </c>
      <c r="J143" s="7">
        <f>IF($B143="","",I143*Q143/100)</f>
        <v/>
      </c>
      <c r="N143" s="7" t="n"/>
      <c r="O143" s="7" t="n"/>
      <c r="P143" s="7">
        <f>IF($B143="","",O143*X143/100)</f>
        <v/>
      </c>
      <c r="Q143" s="7">
        <f>IF($B143="","",O143-P143)</f>
        <v/>
      </c>
      <c r="R143" s="7">
        <f>IF($B143="","",Q143-J143)</f>
        <v/>
      </c>
      <c r="S143" s="7" t="n"/>
      <c r="T143" s="7" t="n"/>
      <c r="V143" s="14" t="n"/>
      <c r="Z143">
        <f>IF($B143="","",IF(COUNTIF($B$2:$B143,$B143)=1,1,0))</f>
        <v/>
      </c>
      <c r="AA143">
        <f>IF($Z143=1,SUMPRODUCT(--($AC$2:$AC$3001&lt;$AC143))+1,"")</f>
        <v/>
      </c>
      <c r="AB143">
        <f>IF($B143="","",IF(OR($Y143=TRUE(),$Y143="TRUE"),1,IF(AND($Y143&lt;&gt;"",OR($Y143=FALSE(),$Y143="FALSE")),0,IF(MIN(ABS($X143/100-Settings!$C$6),ABS($X143/100-Settings!$G$6))&lt;=MIN(ABS($X143/100-Settings!$C$7),ABS($X143/100-Settings!$G$7)),1,0))))</f>
        <v/>
      </c>
      <c r="AC143">
        <f>IF($Z143=1,IFERROR(IF(VALUE($B143)&lt;100000000,VALUE($B143),1000000000),IFERROR(IF(VALUE(MID($B143,2,20))&lt;100000000,VALUE(MID($B143,2,20)),1000000000),1000000000))+ROW()/100000,"")</f>
        <v/>
      </c>
    </row>
    <row r="144">
      <c r="A144">
        <f>IF($B144="","",IFERROR(IF(INDEX('Per Invoice'!$A$2:$A$801,MATCH($B144,'Per Invoice'!$B$2:$B$801,0))=0,"",INDEX('Per Invoice'!$A$2:$A$801,MATCH($B144,'Per Invoice'!$B$2:$B$801,0))),""))</f>
        <v/>
      </c>
      <c r="J144" s="7">
        <f>IF($B144="","",I144*Q144/100)</f>
        <v/>
      </c>
      <c r="N144" s="7" t="n"/>
      <c r="O144" s="7" t="n"/>
      <c r="P144" s="7">
        <f>IF($B144="","",O144*X144/100)</f>
        <v/>
      </c>
      <c r="Q144" s="7">
        <f>IF($B144="","",O144-P144)</f>
        <v/>
      </c>
      <c r="R144" s="7">
        <f>IF($B144="","",Q144-J144)</f>
        <v/>
      </c>
      <c r="S144" s="7" t="n"/>
      <c r="T144" s="7" t="n"/>
      <c r="V144" s="14" t="n"/>
      <c r="Z144">
        <f>IF($B144="","",IF(COUNTIF($B$2:$B144,$B144)=1,1,0))</f>
        <v/>
      </c>
      <c r="AA144">
        <f>IF($Z144=1,SUMPRODUCT(--($AC$2:$AC$3001&lt;$AC144))+1,"")</f>
        <v/>
      </c>
      <c r="AB144">
        <f>IF($B144="","",IF(OR($Y144=TRUE(),$Y144="TRUE"),1,IF(AND($Y144&lt;&gt;"",OR($Y144=FALSE(),$Y144="FALSE")),0,IF(MIN(ABS($X144/100-Settings!$C$6),ABS($X144/100-Settings!$G$6))&lt;=MIN(ABS($X144/100-Settings!$C$7),ABS($X144/100-Settings!$G$7)),1,0))))</f>
        <v/>
      </c>
      <c r="AC144">
        <f>IF($Z144=1,IFERROR(IF(VALUE($B144)&lt;100000000,VALUE($B144),1000000000),IFERROR(IF(VALUE(MID($B144,2,20))&lt;100000000,VALUE(MID($B144,2,20)),1000000000),1000000000))+ROW()/100000,"")</f>
        <v/>
      </c>
    </row>
    <row r="145">
      <c r="A145">
        <f>IF($B145="","",IFERROR(IF(INDEX('Per Invoice'!$A$2:$A$801,MATCH($B145,'Per Invoice'!$B$2:$B$801,0))=0,"",INDEX('Per Invoice'!$A$2:$A$801,MATCH($B145,'Per Invoice'!$B$2:$B$801,0))),""))</f>
        <v/>
      </c>
      <c r="J145" s="7">
        <f>IF($B145="","",I145*Q145/100)</f>
        <v/>
      </c>
      <c r="N145" s="7" t="n"/>
      <c r="O145" s="7" t="n"/>
      <c r="P145" s="7">
        <f>IF($B145="","",O145*X145/100)</f>
        <v/>
      </c>
      <c r="Q145" s="7">
        <f>IF($B145="","",O145-P145)</f>
        <v/>
      </c>
      <c r="R145" s="7">
        <f>IF($B145="","",Q145-J145)</f>
        <v/>
      </c>
      <c r="S145" s="7" t="n"/>
      <c r="T145" s="7" t="n"/>
      <c r="V145" s="14" t="n"/>
      <c r="Z145">
        <f>IF($B145="","",IF(COUNTIF($B$2:$B145,$B145)=1,1,0))</f>
        <v/>
      </c>
      <c r="AA145">
        <f>IF($Z145=1,SUMPRODUCT(--($AC$2:$AC$3001&lt;$AC145))+1,"")</f>
        <v/>
      </c>
      <c r="AB145">
        <f>IF($B145="","",IF(OR($Y145=TRUE(),$Y145="TRUE"),1,IF(AND($Y145&lt;&gt;"",OR($Y145=FALSE(),$Y145="FALSE")),0,IF(MIN(ABS($X145/100-Settings!$C$6),ABS($X145/100-Settings!$G$6))&lt;=MIN(ABS($X145/100-Settings!$C$7),ABS($X145/100-Settings!$G$7)),1,0))))</f>
        <v/>
      </c>
      <c r="AC145">
        <f>IF($Z145=1,IFERROR(IF(VALUE($B145)&lt;100000000,VALUE($B145),1000000000),IFERROR(IF(VALUE(MID($B145,2,20))&lt;100000000,VALUE(MID($B145,2,20)),1000000000),1000000000))+ROW()/100000,"")</f>
        <v/>
      </c>
    </row>
    <row r="146">
      <c r="A146">
        <f>IF($B146="","",IFERROR(IF(INDEX('Per Invoice'!$A$2:$A$801,MATCH($B146,'Per Invoice'!$B$2:$B$801,0))=0,"",INDEX('Per Invoice'!$A$2:$A$801,MATCH($B146,'Per Invoice'!$B$2:$B$801,0))),""))</f>
        <v/>
      </c>
      <c r="J146" s="7">
        <f>IF($B146="","",I146*Q146/100)</f>
        <v/>
      </c>
      <c r="N146" s="7" t="n"/>
      <c r="O146" s="7" t="n"/>
      <c r="P146" s="7">
        <f>IF($B146="","",O146*X146/100)</f>
        <v/>
      </c>
      <c r="Q146" s="7">
        <f>IF($B146="","",O146-P146)</f>
        <v/>
      </c>
      <c r="R146" s="7">
        <f>IF($B146="","",Q146-J146)</f>
        <v/>
      </c>
      <c r="S146" s="7" t="n"/>
      <c r="T146" s="7" t="n"/>
      <c r="V146" s="14" t="n"/>
      <c r="Z146">
        <f>IF($B146="","",IF(COUNTIF($B$2:$B146,$B146)=1,1,0))</f>
        <v/>
      </c>
      <c r="AA146">
        <f>IF($Z146=1,SUMPRODUCT(--($AC$2:$AC$3001&lt;$AC146))+1,"")</f>
        <v/>
      </c>
      <c r="AB146">
        <f>IF($B146="","",IF(OR($Y146=TRUE(),$Y146="TRUE"),1,IF(AND($Y146&lt;&gt;"",OR($Y146=FALSE(),$Y146="FALSE")),0,IF(MIN(ABS($X146/100-Settings!$C$6),ABS($X146/100-Settings!$G$6))&lt;=MIN(ABS($X146/100-Settings!$C$7),ABS($X146/100-Settings!$G$7)),1,0))))</f>
        <v/>
      </c>
      <c r="AC146">
        <f>IF($Z146=1,IFERROR(IF(VALUE($B146)&lt;100000000,VALUE($B146),1000000000),IFERROR(IF(VALUE(MID($B146,2,20))&lt;100000000,VALUE(MID($B146,2,20)),1000000000),1000000000))+ROW()/100000,"")</f>
        <v/>
      </c>
    </row>
    <row r="147">
      <c r="A147">
        <f>IF($B147="","",IFERROR(IF(INDEX('Per Invoice'!$A$2:$A$801,MATCH($B147,'Per Invoice'!$B$2:$B$801,0))=0,"",INDEX('Per Invoice'!$A$2:$A$801,MATCH($B147,'Per Invoice'!$B$2:$B$801,0))),""))</f>
        <v/>
      </c>
      <c r="J147" s="7">
        <f>IF($B147="","",I147*Q147/100)</f>
        <v/>
      </c>
      <c r="N147" s="7" t="n"/>
      <c r="O147" s="7" t="n"/>
      <c r="P147" s="7">
        <f>IF($B147="","",O147*X147/100)</f>
        <v/>
      </c>
      <c r="Q147" s="7">
        <f>IF($B147="","",O147-P147)</f>
        <v/>
      </c>
      <c r="R147" s="7">
        <f>IF($B147="","",Q147-J147)</f>
        <v/>
      </c>
      <c r="S147" s="7" t="n"/>
      <c r="T147" s="7" t="n"/>
      <c r="V147" s="14" t="n"/>
      <c r="Z147">
        <f>IF($B147="","",IF(COUNTIF($B$2:$B147,$B147)=1,1,0))</f>
        <v/>
      </c>
      <c r="AA147">
        <f>IF($Z147=1,SUMPRODUCT(--($AC$2:$AC$3001&lt;$AC147))+1,"")</f>
        <v/>
      </c>
      <c r="AB147">
        <f>IF($B147="","",IF(OR($Y147=TRUE(),$Y147="TRUE"),1,IF(AND($Y147&lt;&gt;"",OR($Y147=FALSE(),$Y147="FALSE")),0,IF(MIN(ABS($X147/100-Settings!$C$6),ABS($X147/100-Settings!$G$6))&lt;=MIN(ABS($X147/100-Settings!$C$7),ABS($X147/100-Settings!$G$7)),1,0))))</f>
        <v/>
      </c>
      <c r="AC147">
        <f>IF($Z147=1,IFERROR(IF(VALUE($B147)&lt;100000000,VALUE($B147),1000000000),IFERROR(IF(VALUE(MID($B147,2,20))&lt;100000000,VALUE(MID($B147,2,20)),1000000000),1000000000))+ROW()/100000,"")</f>
        <v/>
      </c>
    </row>
    <row r="148">
      <c r="A148">
        <f>IF($B148="","",IFERROR(IF(INDEX('Per Invoice'!$A$2:$A$801,MATCH($B148,'Per Invoice'!$B$2:$B$801,0))=0,"",INDEX('Per Invoice'!$A$2:$A$801,MATCH($B148,'Per Invoice'!$B$2:$B$801,0))),""))</f>
        <v/>
      </c>
      <c r="J148" s="7">
        <f>IF($B148="","",I148*Q148/100)</f>
        <v/>
      </c>
      <c r="N148" s="7" t="n"/>
      <c r="O148" s="7" t="n"/>
      <c r="P148" s="7">
        <f>IF($B148="","",O148*X148/100)</f>
        <v/>
      </c>
      <c r="Q148" s="7">
        <f>IF($B148="","",O148-P148)</f>
        <v/>
      </c>
      <c r="R148" s="7">
        <f>IF($B148="","",Q148-J148)</f>
        <v/>
      </c>
      <c r="S148" s="7" t="n"/>
      <c r="T148" s="7" t="n"/>
      <c r="V148" s="14" t="n"/>
      <c r="Z148">
        <f>IF($B148="","",IF(COUNTIF($B$2:$B148,$B148)=1,1,0))</f>
        <v/>
      </c>
      <c r="AA148">
        <f>IF($Z148=1,SUMPRODUCT(--($AC$2:$AC$3001&lt;$AC148))+1,"")</f>
        <v/>
      </c>
      <c r="AB148">
        <f>IF($B148="","",IF(OR($Y148=TRUE(),$Y148="TRUE"),1,IF(AND($Y148&lt;&gt;"",OR($Y148=FALSE(),$Y148="FALSE")),0,IF(MIN(ABS($X148/100-Settings!$C$6),ABS($X148/100-Settings!$G$6))&lt;=MIN(ABS($X148/100-Settings!$C$7),ABS($X148/100-Settings!$G$7)),1,0))))</f>
        <v/>
      </c>
      <c r="AC148">
        <f>IF($Z148=1,IFERROR(IF(VALUE($B148)&lt;100000000,VALUE($B148),1000000000),IFERROR(IF(VALUE(MID($B148,2,20))&lt;100000000,VALUE(MID($B148,2,20)),1000000000),1000000000))+ROW()/100000,"")</f>
        <v/>
      </c>
    </row>
    <row r="149">
      <c r="A149">
        <f>IF($B149="","",IFERROR(IF(INDEX('Per Invoice'!$A$2:$A$801,MATCH($B149,'Per Invoice'!$B$2:$B$801,0))=0,"",INDEX('Per Invoice'!$A$2:$A$801,MATCH($B149,'Per Invoice'!$B$2:$B$801,0))),""))</f>
        <v/>
      </c>
      <c r="J149" s="7">
        <f>IF($B149="","",I149*Q149/100)</f>
        <v/>
      </c>
      <c r="N149" s="7" t="n"/>
      <c r="O149" s="7" t="n"/>
      <c r="P149" s="7">
        <f>IF($B149="","",O149*X149/100)</f>
        <v/>
      </c>
      <c r="Q149" s="7">
        <f>IF($B149="","",O149-P149)</f>
        <v/>
      </c>
      <c r="R149" s="7">
        <f>IF($B149="","",Q149-J149)</f>
        <v/>
      </c>
      <c r="S149" s="7" t="n"/>
      <c r="T149" s="7" t="n"/>
      <c r="V149" s="14" t="n"/>
      <c r="Z149">
        <f>IF($B149="","",IF(COUNTIF($B$2:$B149,$B149)=1,1,0))</f>
        <v/>
      </c>
      <c r="AA149">
        <f>IF($Z149=1,SUMPRODUCT(--($AC$2:$AC$3001&lt;$AC149))+1,"")</f>
        <v/>
      </c>
      <c r="AB149">
        <f>IF($B149="","",IF(OR($Y149=TRUE(),$Y149="TRUE"),1,IF(AND($Y149&lt;&gt;"",OR($Y149=FALSE(),$Y149="FALSE")),0,IF(MIN(ABS($X149/100-Settings!$C$6),ABS($X149/100-Settings!$G$6))&lt;=MIN(ABS($X149/100-Settings!$C$7),ABS($X149/100-Settings!$G$7)),1,0))))</f>
        <v/>
      </c>
      <c r="AC149">
        <f>IF($Z149=1,IFERROR(IF(VALUE($B149)&lt;100000000,VALUE($B149),1000000000),IFERROR(IF(VALUE(MID($B149,2,20))&lt;100000000,VALUE(MID($B149,2,20)),1000000000),1000000000))+ROW()/100000,"")</f>
        <v/>
      </c>
    </row>
    <row r="150">
      <c r="A150">
        <f>IF($B150="","",IFERROR(IF(INDEX('Per Invoice'!$A$2:$A$801,MATCH($B150,'Per Invoice'!$B$2:$B$801,0))=0,"",INDEX('Per Invoice'!$A$2:$A$801,MATCH($B150,'Per Invoice'!$B$2:$B$801,0))),""))</f>
        <v/>
      </c>
      <c r="J150" s="7">
        <f>IF($B150="","",I150*Q150/100)</f>
        <v/>
      </c>
      <c r="N150" s="7" t="n"/>
      <c r="O150" s="7" t="n"/>
      <c r="P150" s="7">
        <f>IF($B150="","",O150*X150/100)</f>
        <v/>
      </c>
      <c r="Q150" s="7">
        <f>IF($B150="","",O150-P150)</f>
        <v/>
      </c>
      <c r="R150" s="7">
        <f>IF($B150="","",Q150-J150)</f>
        <v/>
      </c>
      <c r="S150" s="7" t="n"/>
      <c r="T150" s="7" t="n"/>
      <c r="V150" s="14" t="n"/>
      <c r="Z150">
        <f>IF($B150="","",IF(COUNTIF($B$2:$B150,$B150)=1,1,0))</f>
        <v/>
      </c>
      <c r="AA150">
        <f>IF($Z150=1,SUMPRODUCT(--($AC$2:$AC$3001&lt;$AC150))+1,"")</f>
        <v/>
      </c>
      <c r="AB150">
        <f>IF($B150="","",IF(OR($Y150=TRUE(),$Y150="TRUE"),1,IF(AND($Y150&lt;&gt;"",OR($Y150=FALSE(),$Y150="FALSE")),0,IF(MIN(ABS($X150/100-Settings!$C$6),ABS($X150/100-Settings!$G$6))&lt;=MIN(ABS($X150/100-Settings!$C$7),ABS($X150/100-Settings!$G$7)),1,0))))</f>
        <v/>
      </c>
      <c r="AC150">
        <f>IF($Z150=1,IFERROR(IF(VALUE($B150)&lt;100000000,VALUE($B150),1000000000),IFERROR(IF(VALUE(MID($B150,2,20))&lt;100000000,VALUE(MID($B150,2,20)),1000000000),1000000000))+ROW()/100000,"")</f>
        <v/>
      </c>
    </row>
    <row r="151">
      <c r="A151">
        <f>IF($B151="","",IFERROR(IF(INDEX('Per Invoice'!$A$2:$A$801,MATCH($B151,'Per Invoice'!$B$2:$B$801,0))=0,"",INDEX('Per Invoice'!$A$2:$A$801,MATCH($B151,'Per Invoice'!$B$2:$B$801,0))),""))</f>
        <v/>
      </c>
      <c r="J151" s="7">
        <f>IF($B151="","",I151*Q151/100)</f>
        <v/>
      </c>
      <c r="N151" s="7" t="n"/>
      <c r="O151" s="7" t="n"/>
      <c r="P151" s="7">
        <f>IF($B151="","",O151*X151/100)</f>
        <v/>
      </c>
      <c r="Q151" s="7">
        <f>IF($B151="","",O151-P151)</f>
        <v/>
      </c>
      <c r="R151" s="7">
        <f>IF($B151="","",Q151-J151)</f>
        <v/>
      </c>
      <c r="S151" s="7" t="n"/>
      <c r="T151" s="7" t="n"/>
      <c r="V151" s="14" t="n"/>
      <c r="Z151">
        <f>IF($B151="","",IF(COUNTIF($B$2:$B151,$B151)=1,1,0))</f>
        <v/>
      </c>
      <c r="AA151">
        <f>IF($Z151=1,SUMPRODUCT(--($AC$2:$AC$3001&lt;$AC151))+1,"")</f>
        <v/>
      </c>
      <c r="AB151">
        <f>IF($B151="","",IF(OR($Y151=TRUE(),$Y151="TRUE"),1,IF(AND($Y151&lt;&gt;"",OR($Y151=FALSE(),$Y151="FALSE")),0,IF(MIN(ABS($X151/100-Settings!$C$6),ABS($X151/100-Settings!$G$6))&lt;=MIN(ABS($X151/100-Settings!$C$7),ABS($X151/100-Settings!$G$7)),1,0))))</f>
        <v/>
      </c>
      <c r="AC151">
        <f>IF($Z151=1,IFERROR(IF(VALUE($B151)&lt;100000000,VALUE($B151),1000000000),IFERROR(IF(VALUE(MID($B151,2,20))&lt;100000000,VALUE(MID($B151,2,20)),1000000000),1000000000))+ROW()/100000,"")</f>
        <v/>
      </c>
    </row>
    <row r="152">
      <c r="A152">
        <f>IF($B152="","",IFERROR(IF(INDEX('Per Invoice'!$A$2:$A$801,MATCH($B152,'Per Invoice'!$B$2:$B$801,0))=0,"",INDEX('Per Invoice'!$A$2:$A$801,MATCH($B152,'Per Invoice'!$B$2:$B$801,0))),""))</f>
        <v/>
      </c>
      <c r="J152" s="7">
        <f>IF($B152="","",I152*Q152/100)</f>
        <v/>
      </c>
      <c r="N152" s="7" t="n"/>
      <c r="O152" s="7" t="n"/>
      <c r="P152" s="7">
        <f>IF($B152="","",O152*X152/100)</f>
        <v/>
      </c>
      <c r="Q152" s="7">
        <f>IF($B152="","",O152-P152)</f>
        <v/>
      </c>
      <c r="R152" s="7">
        <f>IF($B152="","",Q152-J152)</f>
        <v/>
      </c>
      <c r="S152" s="7" t="n"/>
      <c r="T152" s="7" t="n"/>
      <c r="V152" s="14" t="n"/>
      <c r="Z152">
        <f>IF($B152="","",IF(COUNTIF($B$2:$B152,$B152)=1,1,0))</f>
        <v/>
      </c>
      <c r="AA152">
        <f>IF($Z152=1,SUMPRODUCT(--($AC$2:$AC$3001&lt;$AC152))+1,"")</f>
        <v/>
      </c>
      <c r="AB152">
        <f>IF($B152="","",IF(OR($Y152=TRUE(),$Y152="TRUE"),1,IF(AND($Y152&lt;&gt;"",OR($Y152=FALSE(),$Y152="FALSE")),0,IF(MIN(ABS($X152/100-Settings!$C$6),ABS($X152/100-Settings!$G$6))&lt;=MIN(ABS($X152/100-Settings!$C$7),ABS($X152/100-Settings!$G$7)),1,0))))</f>
        <v/>
      </c>
      <c r="AC152">
        <f>IF($Z152=1,IFERROR(IF(VALUE($B152)&lt;100000000,VALUE($B152),1000000000),IFERROR(IF(VALUE(MID($B152,2,20))&lt;100000000,VALUE(MID($B152,2,20)),1000000000),1000000000))+ROW()/100000,"")</f>
        <v/>
      </c>
    </row>
    <row r="153">
      <c r="A153">
        <f>IF($B153="","",IFERROR(IF(INDEX('Per Invoice'!$A$2:$A$801,MATCH($B153,'Per Invoice'!$B$2:$B$801,0))=0,"",INDEX('Per Invoice'!$A$2:$A$801,MATCH($B153,'Per Invoice'!$B$2:$B$801,0))),""))</f>
        <v/>
      </c>
      <c r="J153" s="7">
        <f>IF($B153="","",I153*Q153/100)</f>
        <v/>
      </c>
      <c r="N153" s="7" t="n"/>
      <c r="O153" s="7" t="n"/>
      <c r="P153" s="7">
        <f>IF($B153="","",O153*X153/100)</f>
        <v/>
      </c>
      <c r="Q153" s="7">
        <f>IF($B153="","",O153-P153)</f>
        <v/>
      </c>
      <c r="R153" s="7">
        <f>IF($B153="","",Q153-J153)</f>
        <v/>
      </c>
      <c r="S153" s="7" t="n"/>
      <c r="T153" s="7" t="n"/>
      <c r="V153" s="14" t="n"/>
      <c r="Z153">
        <f>IF($B153="","",IF(COUNTIF($B$2:$B153,$B153)=1,1,0))</f>
        <v/>
      </c>
      <c r="AA153">
        <f>IF($Z153=1,SUMPRODUCT(--($AC$2:$AC$3001&lt;$AC153))+1,"")</f>
        <v/>
      </c>
      <c r="AB153">
        <f>IF($B153="","",IF(OR($Y153=TRUE(),$Y153="TRUE"),1,IF(AND($Y153&lt;&gt;"",OR($Y153=FALSE(),$Y153="FALSE")),0,IF(MIN(ABS($X153/100-Settings!$C$6),ABS($X153/100-Settings!$G$6))&lt;=MIN(ABS($X153/100-Settings!$C$7),ABS($X153/100-Settings!$G$7)),1,0))))</f>
        <v/>
      </c>
      <c r="AC153">
        <f>IF($Z153=1,IFERROR(IF(VALUE($B153)&lt;100000000,VALUE($B153),1000000000),IFERROR(IF(VALUE(MID($B153,2,20))&lt;100000000,VALUE(MID($B153,2,20)),1000000000),1000000000))+ROW()/100000,"")</f>
        <v/>
      </c>
    </row>
    <row r="154">
      <c r="A154">
        <f>IF($B154="","",IFERROR(IF(INDEX('Per Invoice'!$A$2:$A$801,MATCH($B154,'Per Invoice'!$B$2:$B$801,0))=0,"",INDEX('Per Invoice'!$A$2:$A$801,MATCH($B154,'Per Invoice'!$B$2:$B$801,0))),""))</f>
        <v/>
      </c>
      <c r="J154" s="7">
        <f>IF($B154="","",I154*Q154/100)</f>
        <v/>
      </c>
      <c r="N154" s="7" t="n"/>
      <c r="O154" s="7" t="n"/>
      <c r="P154" s="7">
        <f>IF($B154="","",O154*X154/100)</f>
        <v/>
      </c>
      <c r="Q154" s="7">
        <f>IF($B154="","",O154-P154)</f>
        <v/>
      </c>
      <c r="R154" s="7">
        <f>IF($B154="","",Q154-J154)</f>
        <v/>
      </c>
      <c r="S154" s="7" t="n"/>
      <c r="T154" s="7" t="n"/>
      <c r="V154" s="14" t="n"/>
      <c r="Z154">
        <f>IF($B154="","",IF(COUNTIF($B$2:$B154,$B154)=1,1,0))</f>
        <v/>
      </c>
      <c r="AA154">
        <f>IF($Z154=1,SUMPRODUCT(--($AC$2:$AC$3001&lt;$AC154))+1,"")</f>
        <v/>
      </c>
      <c r="AB154">
        <f>IF($B154="","",IF(OR($Y154=TRUE(),$Y154="TRUE"),1,IF(AND($Y154&lt;&gt;"",OR($Y154=FALSE(),$Y154="FALSE")),0,IF(MIN(ABS($X154/100-Settings!$C$6),ABS($X154/100-Settings!$G$6))&lt;=MIN(ABS($X154/100-Settings!$C$7),ABS($X154/100-Settings!$G$7)),1,0))))</f>
        <v/>
      </c>
      <c r="AC154">
        <f>IF($Z154=1,IFERROR(IF(VALUE($B154)&lt;100000000,VALUE($B154),1000000000),IFERROR(IF(VALUE(MID($B154,2,20))&lt;100000000,VALUE(MID($B154,2,20)),1000000000),1000000000))+ROW()/100000,"")</f>
        <v/>
      </c>
    </row>
    <row r="155">
      <c r="A155">
        <f>IF($B155="","",IFERROR(IF(INDEX('Per Invoice'!$A$2:$A$801,MATCH($B155,'Per Invoice'!$B$2:$B$801,0))=0,"",INDEX('Per Invoice'!$A$2:$A$801,MATCH($B155,'Per Invoice'!$B$2:$B$801,0))),""))</f>
        <v/>
      </c>
      <c r="J155" s="7">
        <f>IF($B155="","",I155*Q155/100)</f>
        <v/>
      </c>
      <c r="N155" s="7" t="n"/>
      <c r="O155" s="7" t="n"/>
      <c r="P155" s="7">
        <f>IF($B155="","",O155*X155/100)</f>
        <v/>
      </c>
      <c r="Q155" s="7">
        <f>IF($B155="","",O155-P155)</f>
        <v/>
      </c>
      <c r="R155" s="7">
        <f>IF($B155="","",Q155-J155)</f>
        <v/>
      </c>
      <c r="S155" s="7" t="n"/>
      <c r="T155" s="7" t="n"/>
      <c r="V155" s="14" t="n"/>
      <c r="Z155">
        <f>IF($B155="","",IF(COUNTIF($B$2:$B155,$B155)=1,1,0))</f>
        <v/>
      </c>
      <c r="AA155">
        <f>IF($Z155=1,SUMPRODUCT(--($AC$2:$AC$3001&lt;$AC155))+1,"")</f>
        <v/>
      </c>
      <c r="AB155">
        <f>IF($B155="","",IF(OR($Y155=TRUE(),$Y155="TRUE"),1,IF(AND($Y155&lt;&gt;"",OR($Y155=FALSE(),$Y155="FALSE")),0,IF(MIN(ABS($X155/100-Settings!$C$6),ABS($X155/100-Settings!$G$6))&lt;=MIN(ABS($X155/100-Settings!$C$7),ABS($X155/100-Settings!$G$7)),1,0))))</f>
        <v/>
      </c>
      <c r="AC155">
        <f>IF($Z155=1,IFERROR(IF(VALUE($B155)&lt;100000000,VALUE($B155),1000000000),IFERROR(IF(VALUE(MID($B155,2,20))&lt;100000000,VALUE(MID($B155,2,20)),1000000000),1000000000))+ROW()/100000,"")</f>
        <v/>
      </c>
    </row>
    <row r="156">
      <c r="A156">
        <f>IF($B156="","",IFERROR(IF(INDEX('Per Invoice'!$A$2:$A$801,MATCH($B156,'Per Invoice'!$B$2:$B$801,0))=0,"",INDEX('Per Invoice'!$A$2:$A$801,MATCH($B156,'Per Invoice'!$B$2:$B$801,0))),""))</f>
        <v/>
      </c>
      <c r="J156" s="7">
        <f>IF($B156="","",I156*Q156/100)</f>
        <v/>
      </c>
      <c r="N156" s="7" t="n"/>
      <c r="O156" s="7" t="n"/>
      <c r="P156" s="7">
        <f>IF($B156="","",O156*X156/100)</f>
        <v/>
      </c>
      <c r="Q156" s="7">
        <f>IF($B156="","",O156-P156)</f>
        <v/>
      </c>
      <c r="R156" s="7">
        <f>IF($B156="","",Q156-J156)</f>
        <v/>
      </c>
      <c r="S156" s="7" t="n"/>
      <c r="T156" s="7" t="n"/>
      <c r="V156" s="14" t="n"/>
      <c r="Z156">
        <f>IF($B156="","",IF(COUNTIF($B$2:$B156,$B156)=1,1,0))</f>
        <v/>
      </c>
      <c r="AA156">
        <f>IF($Z156=1,SUMPRODUCT(--($AC$2:$AC$3001&lt;$AC156))+1,"")</f>
        <v/>
      </c>
      <c r="AB156">
        <f>IF($B156="","",IF(OR($Y156=TRUE(),$Y156="TRUE"),1,IF(AND($Y156&lt;&gt;"",OR($Y156=FALSE(),$Y156="FALSE")),0,IF(MIN(ABS($X156/100-Settings!$C$6),ABS($X156/100-Settings!$G$6))&lt;=MIN(ABS($X156/100-Settings!$C$7),ABS($X156/100-Settings!$G$7)),1,0))))</f>
        <v/>
      </c>
      <c r="AC156">
        <f>IF($Z156=1,IFERROR(IF(VALUE($B156)&lt;100000000,VALUE($B156),1000000000),IFERROR(IF(VALUE(MID($B156,2,20))&lt;100000000,VALUE(MID($B156,2,20)),1000000000),1000000000))+ROW()/100000,"")</f>
        <v/>
      </c>
    </row>
    <row r="157">
      <c r="A157">
        <f>IF($B157="","",IFERROR(IF(INDEX('Per Invoice'!$A$2:$A$801,MATCH($B157,'Per Invoice'!$B$2:$B$801,0))=0,"",INDEX('Per Invoice'!$A$2:$A$801,MATCH($B157,'Per Invoice'!$B$2:$B$801,0))),""))</f>
        <v/>
      </c>
      <c r="J157" s="7">
        <f>IF($B157="","",I157*Q157/100)</f>
        <v/>
      </c>
      <c r="N157" s="7" t="n"/>
      <c r="O157" s="7" t="n"/>
      <c r="P157" s="7">
        <f>IF($B157="","",O157*X157/100)</f>
        <v/>
      </c>
      <c r="Q157" s="7">
        <f>IF($B157="","",O157-P157)</f>
        <v/>
      </c>
      <c r="R157" s="7">
        <f>IF($B157="","",Q157-J157)</f>
        <v/>
      </c>
      <c r="S157" s="7" t="n"/>
      <c r="T157" s="7" t="n"/>
      <c r="V157" s="14" t="n"/>
      <c r="Z157">
        <f>IF($B157="","",IF(COUNTIF($B$2:$B157,$B157)=1,1,0))</f>
        <v/>
      </c>
      <c r="AA157">
        <f>IF($Z157=1,SUMPRODUCT(--($AC$2:$AC$3001&lt;$AC157))+1,"")</f>
        <v/>
      </c>
      <c r="AB157">
        <f>IF($B157="","",IF(OR($Y157=TRUE(),$Y157="TRUE"),1,IF(AND($Y157&lt;&gt;"",OR($Y157=FALSE(),$Y157="FALSE")),0,IF(MIN(ABS($X157/100-Settings!$C$6),ABS($X157/100-Settings!$G$6))&lt;=MIN(ABS($X157/100-Settings!$C$7),ABS($X157/100-Settings!$G$7)),1,0))))</f>
        <v/>
      </c>
      <c r="AC157">
        <f>IF($Z157=1,IFERROR(IF(VALUE($B157)&lt;100000000,VALUE($B157),1000000000),IFERROR(IF(VALUE(MID($B157,2,20))&lt;100000000,VALUE(MID($B157,2,20)),1000000000),1000000000))+ROW()/100000,"")</f>
        <v/>
      </c>
    </row>
    <row r="158">
      <c r="A158">
        <f>IF($B158="","",IFERROR(IF(INDEX('Per Invoice'!$A$2:$A$801,MATCH($B158,'Per Invoice'!$B$2:$B$801,0))=0,"",INDEX('Per Invoice'!$A$2:$A$801,MATCH($B158,'Per Invoice'!$B$2:$B$801,0))),""))</f>
        <v/>
      </c>
      <c r="J158" s="7">
        <f>IF($B158="","",I158*Q158/100)</f>
        <v/>
      </c>
      <c r="N158" s="7" t="n"/>
      <c r="O158" s="7" t="n"/>
      <c r="P158" s="7">
        <f>IF($B158="","",O158*X158/100)</f>
        <v/>
      </c>
      <c r="Q158" s="7">
        <f>IF($B158="","",O158-P158)</f>
        <v/>
      </c>
      <c r="R158" s="7">
        <f>IF($B158="","",Q158-J158)</f>
        <v/>
      </c>
      <c r="S158" s="7" t="n"/>
      <c r="T158" s="7" t="n"/>
      <c r="V158" s="14" t="n"/>
      <c r="Z158">
        <f>IF($B158="","",IF(COUNTIF($B$2:$B158,$B158)=1,1,0))</f>
        <v/>
      </c>
      <c r="AA158">
        <f>IF($Z158=1,SUMPRODUCT(--($AC$2:$AC$3001&lt;$AC158))+1,"")</f>
        <v/>
      </c>
      <c r="AB158">
        <f>IF($B158="","",IF(OR($Y158=TRUE(),$Y158="TRUE"),1,IF(AND($Y158&lt;&gt;"",OR($Y158=FALSE(),$Y158="FALSE")),0,IF(MIN(ABS($X158/100-Settings!$C$6),ABS($X158/100-Settings!$G$6))&lt;=MIN(ABS($X158/100-Settings!$C$7),ABS($X158/100-Settings!$G$7)),1,0))))</f>
        <v/>
      </c>
      <c r="AC158">
        <f>IF($Z158=1,IFERROR(IF(VALUE($B158)&lt;100000000,VALUE($B158),1000000000),IFERROR(IF(VALUE(MID($B158,2,20))&lt;100000000,VALUE(MID($B158,2,20)),1000000000),1000000000))+ROW()/100000,"")</f>
        <v/>
      </c>
    </row>
    <row r="159">
      <c r="A159">
        <f>IF($B159="","",IFERROR(IF(INDEX('Per Invoice'!$A$2:$A$801,MATCH($B159,'Per Invoice'!$B$2:$B$801,0))=0,"",INDEX('Per Invoice'!$A$2:$A$801,MATCH($B159,'Per Invoice'!$B$2:$B$801,0))),""))</f>
        <v/>
      </c>
      <c r="J159" s="7">
        <f>IF($B159="","",I159*Q159/100)</f>
        <v/>
      </c>
      <c r="N159" s="7" t="n"/>
      <c r="O159" s="7" t="n"/>
      <c r="P159" s="7">
        <f>IF($B159="","",O159*X159/100)</f>
        <v/>
      </c>
      <c r="Q159" s="7">
        <f>IF($B159="","",O159-P159)</f>
        <v/>
      </c>
      <c r="R159" s="7">
        <f>IF($B159="","",Q159-J159)</f>
        <v/>
      </c>
      <c r="S159" s="7" t="n"/>
      <c r="T159" s="7" t="n"/>
      <c r="V159" s="14" t="n"/>
      <c r="Z159">
        <f>IF($B159="","",IF(COUNTIF($B$2:$B159,$B159)=1,1,0))</f>
        <v/>
      </c>
      <c r="AA159">
        <f>IF($Z159=1,SUMPRODUCT(--($AC$2:$AC$3001&lt;$AC159))+1,"")</f>
        <v/>
      </c>
      <c r="AB159">
        <f>IF($B159="","",IF(OR($Y159=TRUE(),$Y159="TRUE"),1,IF(AND($Y159&lt;&gt;"",OR($Y159=FALSE(),$Y159="FALSE")),0,IF(MIN(ABS($X159/100-Settings!$C$6),ABS($X159/100-Settings!$G$6))&lt;=MIN(ABS($X159/100-Settings!$C$7),ABS($X159/100-Settings!$G$7)),1,0))))</f>
        <v/>
      </c>
      <c r="AC159">
        <f>IF($Z159=1,IFERROR(IF(VALUE($B159)&lt;100000000,VALUE($B159),1000000000),IFERROR(IF(VALUE(MID($B159,2,20))&lt;100000000,VALUE(MID($B159,2,20)),1000000000),1000000000))+ROW()/100000,"")</f>
        <v/>
      </c>
    </row>
    <row r="160">
      <c r="A160">
        <f>IF($B160="","",IFERROR(IF(INDEX('Per Invoice'!$A$2:$A$801,MATCH($B160,'Per Invoice'!$B$2:$B$801,0))=0,"",INDEX('Per Invoice'!$A$2:$A$801,MATCH($B160,'Per Invoice'!$B$2:$B$801,0))),""))</f>
        <v/>
      </c>
      <c r="J160" s="7">
        <f>IF($B160="","",I160*Q160/100)</f>
        <v/>
      </c>
      <c r="N160" s="7" t="n"/>
      <c r="O160" s="7" t="n"/>
      <c r="P160" s="7">
        <f>IF($B160="","",O160*X160/100)</f>
        <v/>
      </c>
      <c r="Q160" s="7">
        <f>IF($B160="","",O160-P160)</f>
        <v/>
      </c>
      <c r="R160" s="7">
        <f>IF($B160="","",Q160-J160)</f>
        <v/>
      </c>
      <c r="S160" s="7" t="n"/>
      <c r="T160" s="7" t="n"/>
      <c r="V160" s="14" t="n"/>
      <c r="Z160">
        <f>IF($B160="","",IF(COUNTIF($B$2:$B160,$B160)=1,1,0))</f>
        <v/>
      </c>
      <c r="AA160">
        <f>IF($Z160=1,SUMPRODUCT(--($AC$2:$AC$3001&lt;$AC160))+1,"")</f>
        <v/>
      </c>
      <c r="AB160">
        <f>IF($B160="","",IF(OR($Y160=TRUE(),$Y160="TRUE"),1,IF(AND($Y160&lt;&gt;"",OR($Y160=FALSE(),$Y160="FALSE")),0,IF(MIN(ABS($X160/100-Settings!$C$6),ABS($X160/100-Settings!$G$6))&lt;=MIN(ABS($X160/100-Settings!$C$7),ABS($X160/100-Settings!$G$7)),1,0))))</f>
        <v/>
      </c>
      <c r="AC160">
        <f>IF($Z160=1,IFERROR(IF(VALUE($B160)&lt;100000000,VALUE($B160),1000000000),IFERROR(IF(VALUE(MID($B160,2,20))&lt;100000000,VALUE(MID($B160,2,20)),1000000000),1000000000))+ROW()/100000,"")</f>
        <v/>
      </c>
    </row>
    <row r="161">
      <c r="A161">
        <f>IF($B161="","",IFERROR(IF(INDEX('Per Invoice'!$A$2:$A$801,MATCH($B161,'Per Invoice'!$B$2:$B$801,0))=0,"",INDEX('Per Invoice'!$A$2:$A$801,MATCH($B161,'Per Invoice'!$B$2:$B$801,0))),""))</f>
        <v/>
      </c>
      <c r="J161" s="7">
        <f>IF($B161="","",I161*Q161/100)</f>
        <v/>
      </c>
      <c r="N161" s="7" t="n"/>
      <c r="O161" s="7" t="n"/>
      <c r="P161" s="7">
        <f>IF($B161="","",O161*X161/100)</f>
        <v/>
      </c>
      <c r="Q161" s="7">
        <f>IF($B161="","",O161-P161)</f>
        <v/>
      </c>
      <c r="R161" s="7">
        <f>IF($B161="","",Q161-J161)</f>
        <v/>
      </c>
      <c r="S161" s="7" t="n"/>
      <c r="T161" s="7" t="n"/>
      <c r="V161" s="14" t="n"/>
      <c r="Z161">
        <f>IF($B161="","",IF(COUNTIF($B$2:$B161,$B161)=1,1,0))</f>
        <v/>
      </c>
      <c r="AA161">
        <f>IF($Z161=1,SUMPRODUCT(--($AC$2:$AC$3001&lt;$AC161))+1,"")</f>
        <v/>
      </c>
      <c r="AB161">
        <f>IF($B161="","",IF(OR($Y161=TRUE(),$Y161="TRUE"),1,IF(AND($Y161&lt;&gt;"",OR($Y161=FALSE(),$Y161="FALSE")),0,IF(MIN(ABS($X161/100-Settings!$C$6),ABS($X161/100-Settings!$G$6))&lt;=MIN(ABS($X161/100-Settings!$C$7),ABS($X161/100-Settings!$G$7)),1,0))))</f>
        <v/>
      </c>
      <c r="AC161">
        <f>IF($Z161=1,IFERROR(IF(VALUE($B161)&lt;100000000,VALUE($B161),1000000000),IFERROR(IF(VALUE(MID($B161,2,20))&lt;100000000,VALUE(MID($B161,2,20)),1000000000),1000000000))+ROW()/100000,"")</f>
        <v/>
      </c>
    </row>
    <row r="162">
      <c r="A162">
        <f>IF($B162="","",IFERROR(IF(INDEX('Per Invoice'!$A$2:$A$801,MATCH($B162,'Per Invoice'!$B$2:$B$801,0))=0,"",INDEX('Per Invoice'!$A$2:$A$801,MATCH($B162,'Per Invoice'!$B$2:$B$801,0))),""))</f>
        <v/>
      </c>
      <c r="J162" s="7">
        <f>IF($B162="","",I162*Q162/100)</f>
        <v/>
      </c>
      <c r="N162" s="7" t="n"/>
      <c r="O162" s="7" t="n"/>
      <c r="P162" s="7">
        <f>IF($B162="","",O162*X162/100)</f>
        <v/>
      </c>
      <c r="Q162" s="7">
        <f>IF($B162="","",O162-P162)</f>
        <v/>
      </c>
      <c r="R162" s="7">
        <f>IF($B162="","",Q162-J162)</f>
        <v/>
      </c>
      <c r="S162" s="7" t="n"/>
      <c r="T162" s="7" t="n"/>
      <c r="V162" s="14" t="n"/>
      <c r="Z162">
        <f>IF($B162="","",IF(COUNTIF($B$2:$B162,$B162)=1,1,0))</f>
        <v/>
      </c>
      <c r="AA162">
        <f>IF($Z162=1,SUMPRODUCT(--($AC$2:$AC$3001&lt;$AC162))+1,"")</f>
        <v/>
      </c>
      <c r="AB162">
        <f>IF($B162="","",IF(OR($Y162=TRUE(),$Y162="TRUE"),1,IF(AND($Y162&lt;&gt;"",OR($Y162=FALSE(),$Y162="FALSE")),0,IF(MIN(ABS($X162/100-Settings!$C$6),ABS($X162/100-Settings!$G$6))&lt;=MIN(ABS($X162/100-Settings!$C$7),ABS($X162/100-Settings!$G$7)),1,0))))</f>
        <v/>
      </c>
      <c r="AC162">
        <f>IF($Z162=1,IFERROR(IF(VALUE($B162)&lt;100000000,VALUE($B162),1000000000),IFERROR(IF(VALUE(MID($B162,2,20))&lt;100000000,VALUE(MID($B162,2,20)),1000000000),1000000000))+ROW()/100000,"")</f>
        <v/>
      </c>
    </row>
    <row r="163">
      <c r="A163">
        <f>IF($B163="","",IFERROR(IF(INDEX('Per Invoice'!$A$2:$A$801,MATCH($B163,'Per Invoice'!$B$2:$B$801,0))=0,"",INDEX('Per Invoice'!$A$2:$A$801,MATCH($B163,'Per Invoice'!$B$2:$B$801,0))),""))</f>
        <v/>
      </c>
      <c r="J163" s="7">
        <f>IF($B163="","",I163*Q163/100)</f>
        <v/>
      </c>
      <c r="N163" s="7" t="n"/>
      <c r="O163" s="7" t="n"/>
      <c r="P163" s="7">
        <f>IF($B163="","",O163*X163/100)</f>
        <v/>
      </c>
      <c r="Q163" s="7">
        <f>IF($B163="","",O163-P163)</f>
        <v/>
      </c>
      <c r="R163" s="7">
        <f>IF($B163="","",Q163-J163)</f>
        <v/>
      </c>
      <c r="S163" s="7" t="n"/>
      <c r="T163" s="7" t="n"/>
      <c r="V163" s="14" t="n"/>
      <c r="Z163">
        <f>IF($B163="","",IF(COUNTIF($B$2:$B163,$B163)=1,1,0))</f>
        <v/>
      </c>
      <c r="AA163">
        <f>IF($Z163=1,SUMPRODUCT(--($AC$2:$AC$3001&lt;$AC163))+1,"")</f>
        <v/>
      </c>
      <c r="AB163">
        <f>IF($B163="","",IF(OR($Y163=TRUE(),$Y163="TRUE"),1,IF(AND($Y163&lt;&gt;"",OR($Y163=FALSE(),$Y163="FALSE")),0,IF(MIN(ABS($X163/100-Settings!$C$6),ABS($X163/100-Settings!$G$6))&lt;=MIN(ABS($X163/100-Settings!$C$7),ABS($X163/100-Settings!$G$7)),1,0))))</f>
        <v/>
      </c>
      <c r="AC163">
        <f>IF($Z163=1,IFERROR(IF(VALUE($B163)&lt;100000000,VALUE($B163),1000000000),IFERROR(IF(VALUE(MID($B163,2,20))&lt;100000000,VALUE(MID($B163,2,20)),1000000000),1000000000))+ROW()/100000,"")</f>
        <v/>
      </c>
    </row>
    <row r="164">
      <c r="A164">
        <f>IF($B164="","",IFERROR(IF(INDEX('Per Invoice'!$A$2:$A$801,MATCH($B164,'Per Invoice'!$B$2:$B$801,0))=0,"",INDEX('Per Invoice'!$A$2:$A$801,MATCH($B164,'Per Invoice'!$B$2:$B$801,0))),""))</f>
        <v/>
      </c>
      <c r="J164" s="7">
        <f>IF($B164="","",I164*Q164/100)</f>
        <v/>
      </c>
      <c r="N164" s="7" t="n"/>
      <c r="O164" s="7" t="n"/>
      <c r="P164" s="7">
        <f>IF($B164="","",O164*X164/100)</f>
        <v/>
      </c>
      <c r="Q164" s="7">
        <f>IF($B164="","",O164-P164)</f>
        <v/>
      </c>
      <c r="R164" s="7">
        <f>IF($B164="","",Q164-J164)</f>
        <v/>
      </c>
      <c r="S164" s="7" t="n"/>
      <c r="T164" s="7" t="n"/>
      <c r="V164" s="14" t="n"/>
      <c r="Z164">
        <f>IF($B164="","",IF(COUNTIF($B$2:$B164,$B164)=1,1,0))</f>
        <v/>
      </c>
      <c r="AA164">
        <f>IF($Z164=1,SUMPRODUCT(--($AC$2:$AC$3001&lt;$AC164))+1,"")</f>
        <v/>
      </c>
      <c r="AB164">
        <f>IF($B164="","",IF(OR($Y164=TRUE(),$Y164="TRUE"),1,IF(AND($Y164&lt;&gt;"",OR($Y164=FALSE(),$Y164="FALSE")),0,IF(MIN(ABS($X164/100-Settings!$C$6),ABS($X164/100-Settings!$G$6))&lt;=MIN(ABS($X164/100-Settings!$C$7),ABS($X164/100-Settings!$G$7)),1,0))))</f>
        <v/>
      </c>
      <c r="AC164">
        <f>IF($Z164=1,IFERROR(IF(VALUE($B164)&lt;100000000,VALUE($B164),1000000000),IFERROR(IF(VALUE(MID($B164,2,20))&lt;100000000,VALUE(MID($B164,2,20)),1000000000),1000000000))+ROW()/100000,"")</f>
        <v/>
      </c>
    </row>
    <row r="165">
      <c r="A165">
        <f>IF($B165="","",IFERROR(IF(INDEX('Per Invoice'!$A$2:$A$801,MATCH($B165,'Per Invoice'!$B$2:$B$801,0))=0,"",INDEX('Per Invoice'!$A$2:$A$801,MATCH($B165,'Per Invoice'!$B$2:$B$801,0))),""))</f>
        <v/>
      </c>
      <c r="J165" s="7">
        <f>IF($B165="","",I165*Q165/100)</f>
        <v/>
      </c>
      <c r="N165" s="7" t="n"/>
      <c r="O165" s="7" t="n"/>
      <c r="P165" s="7">
        <f>IF($B165="","",O165*X165/100)</f>
        <v/>
      </c>
      <c r="Q165" s="7">
        <f>IF($B165="","",O165-P165)</f>
        <v/>
      </c>
      <c r="R165" s="7">
        <f>IF($B165="","",Q165-J165)</f>
        <v/>
      </c>
      <c r="S165" s="7" t="n"/>
      <c r="T165" s="7" t="n"/>
      <c r="V165" s="14" t="n"/>
      <c r="Z165">
        <f>IF($B165="","",IF(COUNTIF($B$2:$B165,$B165)=1,1,0))</f>
        <v/>
      </c>
      <c r="AA165">
        <f>IF($Z165=1,SUMPRODUCT(--($AC$2:$AC$3001&lt;$AC165))+1,"")</f>
        <v/>
      </c>
      <c r="AB165">
        <f>IF($B165="","",IF(OR($Y165=TRUE(),$Y165="TRUE"),1,IF(AND($Y165&lt;&gt;"",OR($Y165=FALSE(),$Y165="FALSE")),0,IF(MIN(ABS($X165/100-Settings!$C$6),ABS($X165/100-Settings!$G$6))&lt;=MIN(ABS($X165/100-Settings!$C$7),ABS($X165/100-Settings!$G$7)),1,0))))</f>
        <v/>
      </c>
      <c r="AC165">
        <f>IF($Z165=1,IFERROR(IF(VALUE($B165)&lt;100000000,VALUE($B165),1000000000),IFERROR(IF(VALUE(MID($B165,2,20))&lt;100000000,VALUE(MID($B165,2,20)),1000000000),1000000000))+ROW()/100000,"")</f>
        <v/>
      </c>
    </row>
    <row r="166">
      <c r="A166">
        <f>IF($B166="","",IFERROR(IF(INDEX('Per Invoice'!$A$2:$A$801,MATCH($B166,'Per Invoice'!$B$2:$B$801,0))=0,"",INDEX('Per Invoice'!$A$2:$A$801,MATCH($B166,'Per Invoice'!$B$2:$B$801,0))),""))</f>
        <v/>
      </c>
      <c r="J166" s="7">
        <f>IF($B166="","",I166*Q166/100)</f>
        <v/>
      </c>
      <c r="N166" s="7" t="n"/>
      <c r="O166" s="7" t="n"/>
      <c r="P166" s="7">
        <f>IF($B166="","",O166*X166/100)</f>
        <v/>
      </c>
      <c r="Q166" s="7">
        <f>IF($B166="","",O166-P166)</f>
        <v/>
      </c>
      <c r="R166" s="7">
        <f>IF($B166="","",Q166-J166)</f>
        <v/>
      </c>
      <c r="S166" s="7" t="n"/>
      <c r="T166" s="7" t="n"/>
      <c r="V166" s="14" t="n"/>
      <c r="Z166">
        <f>IF($B166="","",IF(COUNTIF($B$2:$B166,$B166)=1,1,0))</f>
        <v/>
      </c>
      <c r="AA166">
        <f>IF($Z166=1,SUMPRODUCT(--($AC$2:$AC$3001&lt;$AC166))+1,"")</f>
        <v/>
      </c>
      <c r="AB166">
        <f>IF($B166="","",IF(OR($Y166=TRUE(),$Y166="TRUE"),1,IF(AND($Y166&lt;&gt;"",OR($Y166=FALSE(),$Y166="FALSE")),0,IF(MIN(ABS($X166/100-Settings!$C$6),ABS($X166/100-Settings!$G$6))&lt;=MIN(ABS($X166/100-Settings!$C$7),ABS($X166/100-Settings!$G$7)),1,0))))</f>
        <v/>
      </c>
      <c r="AC166">
        <f>IF($Z166=1,IFERROR(IF(VALUE($B166)&lt;100000000,VALUE($B166),1000000000),IFERROR(IF(VALUE(MID($B166,2,20))&lt;100000000,VALUE(MID($B166,2,20)),1000000000),1000000000))+ROW()/100000,"")</f>
        <v/>
      </c>
    </row>
    <row r="167">
      <c r="A167">
        <f>IF($B167="","",IFERROR(IF(INDEX('Per Invoice'!$A$2:$A$801,MATCH($B167,'Per Invoice'!$B$2:$B$801,0))=0,"",INDEX('Per Invoice'!$A$2:$A$801,MATCH($B167,'Per Invoice'!$B$2:$B$801,0))),""))</f>
        <v/>
      </c>
      <c r="J167" s="7">
        <f>IF($B167="","",I167*Q167/100)</f>
        <v/>
      </c>
      <c r="N167" s="7" t="n"/>
      <c r="O167" s="7" t="n"/>
      <c r="P167" s="7">
        <f>IF($B167="","",O167*X167/100)</f>
        <v/>
      </c>
      <c r="Q167" s="7">
        <f>IF($B167="","",O167-P167)</f>
        <v/>
      </c>
      <c r="R167" s="7">
        <f>IF($B167="","",Q167-J167)</f>
        <v/>
      </c>
      <c r="S167" s="7" t="n"/>
      <c r="T167" s="7" t="n"/>
      <c r="V167" s="14" t="n"/>
      <c r="Z167">
        <f>IF($B167="","",IF(COUNTIF($B$2:$B167,$B167)=1,1,0))</f>
        <v/>
      </c>
      <c r="AA167">
        <f>IF($Z167=1,SUMPRODUCT(--($AC$2:$AC$3001&lt;$AC167))+1,"")</f>
        <v/>
      </c>
      <c r="AB167">
        <f>IF($B167="","",IF(OR($Y167=TRUE(),$Y167="TRUE"),1,IF(AND($Y167&lt;&gt;"",OR($Y167=FALSE(),$Y167="FALSE")),0,IF(MIN(ABS($X167/100-Settings!$C$6),ABS($X167/100-Settings!$G$6))&lt;=MIN(ABS($X167/100-Settings!$C$7),ABS($X167/100-Settings!$G$7)),1,0))))</f>
        <v/>
      </c>
      <c r="AC167">
        <f>IF($Z167=1,IFERROR(IF(VALUE($B167)&lt;100000000,VALUE($B167),1000000000),IFERROR(IF(VALUE(MID($B167,2,20))&lt;100000000,VALUE(MID($B167,2,20)),1000000000),1000000000))+ROW()/100000,"")</f>
        <v/>
      </c>
    </row>
    <row r="168">
      <c r="A168">
        <f>IF($B168="","",IFERROR(IF(INDEX('Per Invoice'!$A$2:$A$801,MATCH($B168,'Per Invoice'!$B$2:$B$801,0))=0,"",INDEX('Per Invoice'!$A$2:$A$801,MATCH($B168,'Per Invoice'!$B$2:$B$801,0))),""))</f>
        <v/>
      </c>
      <c r="J168" s="7">
        <f>IF($B168="","",I168*Q168/100)</f>
        <v/>
      </c>
      <c r="N168" s="7" t="n"/>
      <c r="O168" s="7" t="n"/>
      <c r="P168" s="7">
        <f>IF($B168="","",O168*X168/100)</f>
        <v/>
      </c>
      <c r="Q168" s="7">
        <f>IF($B168="","",O168-P168)</f>
        <v/>
      </c>
      <c r="R168" s="7">
        <f>IF($B168="","",Q168-J168)</f>
        <v/>
      </c>
      <c r="S168" s="7" t="n"/>
      <c r="T168" s="7" t="n"/>
      <c r="V168" s="14" t="n"/>
      <c r="Z168">
        <f>IF($B168="","",IF(COUNTIF($B$2:$B168,$B168)=1,1,0))</f>
        <v/>
      </c>
      <c r="AA168">
        <f>IF($Z168=1,SUMPRODUCT(--($AC$2:$AC$3001&lt;$AC168))+1,"")</f>
        <v/>
      </c>
      <c r="AB168">
        <f>IF($B168="","",IF(OR($Y168=TRUE(),$Y168="TRUE"),1,IF(AND($Y168&lt;&gt;"",OR($Y168=FALSE(),$Y168="FALSE")),0,IF(MIN(ABS($X168/100-Settings!$C$6),ABS($X168/100-Settings!$G$6))&lt;=MIN(ABS($X168/100-Settings!$C$7),ABS($X168/100-Settings!$G$7)),1,0))))</f>
        <v/>
      </c>
      <c r="AC168">
        <f>IF($Z168=1,IFERROR(IF(VALUE($B168)&lt;100000000,VALUE($B168),1000000000),IFERROR(IF(VALUE(MID($B168,2,20))&lt;100000000,VALUE(MID($B168,2,20)),1000000000),1000000000))+ROW()/100000,"")</f>
        <v/>
      </c>
    </row>
    <row r="169">
      <c r="A169">
        <f>IF($B169="","",IFERROR(IF(INDEX('Per Invoice'!$A$2:$A$801,MATCH($B169,'Per Invoice'!$B$2:$B$801,0))=0,"",INDEX('Per Invoice'!$A$2:$A$801,MATCH($B169,'Per Invoice'!$B$2:$B$801,0))),""))</f>
        <v/>
      </c>
      <c r="J169" s="7">
        <f>IF($B169="","",I169*Q169/100)</f>
        <v/>
      </c>
      <c r="N169" s="7" t="n"/>
      <c r="O169" s="7" t="n"/>
      <c r="P169" s="7">
        <f>IF($B169="","",O169*X169/100)</f>
        <v/>
      </c>
      <c r="Q169" s="7">
        <f>IF($B169="","",O169-P169)</f>
        <v/>
      </c>
      <c r="R169" s="7">
        <f>IF($B169="","",Q169-J169)</f>
        <v/>
      </c>
      <c r="S169" s="7" t="n"/>
      <c r="T169" s="7" t="n"/>
      <c r="V169" s="14" t="n"/>
      <c r="Z169">
        <f>IF($B169="","",IF(COUNTIF($B$2:$B169,$B169)=1,1,0))</f>
        <v/>
      </c>
      <c r="AA169">
        <f>IF($Z169=1,SUMPRODUCT(--($AC$2:$AC$3001&lt;$AC169))+1,"")</f>
        <v/>
      </c>
      <c r="AB169">
        <f>IF($B169="","",IF(OR($Y169=TRUE(),$Y169="TRUE"),1,IF(AND($Y169&lt;&gt;"",OR($Y169=FALSE(),$Y169="FALSE")),0,IF(MIN(ABS($X169/100-Settings!$C$6),ABS($X169/100-Settings!$G$6))&lt;=MIN(ABS($X169/100-Settings!$C$7),ABS($X169/100-Settings!$G$7)),1,0))))</f>
        <v/>
      </c>
      <c r="AC169">
        <f>IF($Z169=1,IFERROR(IF(VALUE($B169)&lt;100000000,VALUE($B169),1000000000),IFERROR(IF(VALUE(MID($B169,2,20))&lt;100000000,VALUE(MID($B169,2,20)),1000000000),1000000000))+ROW()/100000,"")</f>
        <v/>
      </c>
    </row>
    <row r="170">
      <c r="A170">
        <f>IF($B170="","",IFERROR(IF(INDEX('Per Invoice'!$A$2:$A$801,MATCH($B170,'Per Invoice'!$B$2:$B$801,0))=0,"",INDEX('Per Invoice'!$A$2:$A$801,MATCH($B170,'Per Invoice'!$B$2:$B$801,0))),""))</f>
        <v/>
      </c>
      <c r="J170" s="7">
        <f>IF($B170="","",I170*Q170/100)</f>
        <v/>
      </c>
      <c r="N170" s="7" t="n"/>
      <c r="O170" s="7" t="n"/>
      <c r="P170" s="7">
        <f>IF($B170="","",O170*X170/100)</f>
        <v/>
      </c>
      <c r="Q170" s="7">
        <f>IF($B170="","",O170-P170)</f>
        <v/>
      </c>
      <c r="R170" s="7">
        <f>IF($B170="","",Q170-J170)</f>
        <v/>
      </c>
      <c r="S170" s="7" t="n"/>
      <c r="T170" s="7" t="n"/>
      <c r="V170" s="14" t="n"/>
      <c r="Z170">
        <f>IF($B170="","",IF(COUNTIF($B$2:$B170,$B170)=1,1,0))</f>
        <v/>
      </c>
      <c r="AA170">
        <f>IF($Z170=1,SUMPRODUCT(--($AC$2:$AC$3001&lt;$AC170))+1,"")</f>
        <v/>
      </c>
      <c r="AB170">
        <f>IF($B170="","",IF(OR($Y170=TRUE(),$Y170="TRUE"),1,IF(AND($Y170&lt;&gt;"",OR($Y170=FALSE(),$Y170="FALSE")),0,IF(MIN(ABS($X170/100-Settings!$C$6),ABS($X170/100-Settings!$G$6))&lt;=MIN(ABS($X170/100-Settings!$C$7),ABS($X170/100-Settings!$G$7)),1,0))))</f>
        <v/>
      </c>
      <c r="AC170">
        <f>IF($Z170=1,IFERROR(IF(VALUE($B170)&lt;100000000,VALUE($B170),1000000000),IFERROR(IF(VALUE(MID($B170,2,20))&lt;100000000,VALUE(MID($B170,2,20)),1000000000),1000000000))+ROW()/100000,"")</f>
        <v/>
      </c>
    </row>
    <row r="171">
      <c r="A171">
        <f>IF($B171="","",IFERROR(IF(INDEX('Per Invoice'!$A$2:$A$801,MATCH($B171,'Per Invoice'!$B$2:$B$801,0))=0,"",INDEX('Per Invoice'!$A$2:$A$801,MATCH($B171,'Per Invoice'!$B$2:$B$801,0))),""))</f>
        <v/>
      </c>
      <c r="J171" s="7">
        <f>IF($B171="","",I171*Q171/100)</f>
        <v/>
      </c>
      <c r="N171" s="7" t="n"/>
      <c r="O171" s="7" t="n"/>
      <c r="P171" s="7">
        <f>IF($B171="","",O171*X171/100)</f>
        <v/>
      </c>
      <c r="Q171" s="7">
        <f>IF($B171="","",O171-P171)</f>
        <v/>
      </c>
      <c r="R171" s="7">
        <f>IF($B171="","",Q171-J171)</f>
        <v/>
      </c>
      <c r="S171" s="7" t="n"/>
      <c r="T171" s="7" t="n"/>
      <c r="V171" s="14" t="n"/>
      <c r="Z171">
        <f>IF($B171="","",IF(COUNTIF($B$2:$B171,$B171)=1,1,0))</f>
        <v/>
      </c>
      <c r="AA171">
        <f>IF($Z171=1,SUMPRODUCT(--($AC$2:$AC$3001&lt;$AC171))+1,"")</f>
        <v/>
      </c>
      <c r="AB171">
        <f>IF($B171="","",IF(OR($Y171=TRUE(),$Y171="TRUE"),1,IF(AND($Y171&lt;&gt;"",OR($Y171=FALSE(),$Y171="FALSE")),0,IF(MIN(ABS($X171/100-Settings!$C$6),ABS($X171/100-Settings!$G$6))&lt;=MIN(ABS($X171/100-Settings!$C$7),ABS($X171/100-Settings!$G$7)),1,0))))</f>
        <v/>
      </c>
      <c r="AC171">
        <f>IF($Z171=1,IFERROR(IF(VALUE($B171)&lt;100000000,VALUE($B171),1000000000),IFERROR(IF(VALUE(MID($B171,2,20))&lt;100000000,VALUE(MID($B171,2,20)),1000000000),1000000000))+ROW()/100000,"")</f>
        <v/>
      </c>
    </row>
    <row r="172">
      <c r="A172">
        <f>IF($B172="","",IFERROR(IF(INDEX('Per Invoice'!$A$2:$A$801,MATCH($B172,'Per Invoice'!$B$2:$B$801,0))=0,"",INDEX('Per Invoice'!$A$2:$A$801,MATCH($B172,'Per Invoice'!$B$2:$B$801,0))),""))</f>
        <v/>
      </c>
      <c r="J172" s="7">
        <f>IF($B172="","",I172*Q172/100)</f>
        <v/>
      </c>
      <c r="N172" s="7" t="n"/>
      <c r="O172" s="7" t="n"/>
      <c r="P172" s="7">
        <f>IF($B172="","",O172*X172/100)</f>
        <v/>
      </c>
      <c r="Q172" s="7">
        <f>IF($B172="","",O172-P172)</f>
        <v/>
      </c>
      <c r="R172" s="7">
        <f>IF($B172="","",Q172-J172)</f>
        <v/>
      </c>
      <c r="S172" s="7" t="n"/>
      <c r="T172" s="7" t="n"/>
      <c r="V172" s="14" t="n"/>
      <c r="Z172">
        <f>IF($B172="","",IF(COUNTIF($B$2:$B172,$B172)=1,1,0))</f>
        <v/>
      </c>
      <c r="AA172">
        <f>IF($Z172=1,SUMPRODUCT(--($AC$2:$AC$3001&lt;$AC172))+1,"")</f>
        <v/>
      </c>
      <c r="AB172">
        <f>IF($B172="","",IF(OR($Y172=TRUE(),$Y172="TRUE"),1,IF(AND($Y172&lt;&gt;"",OR($Y172=FALSE(),$Y172="FALSE")),0,IF(MIN(ABS($X172/100-Settings!$C$6),ABS($X172/100-Settings!$G$6))&lt;=MIN(ABS($X172/100-Settings!$C$7),ABS($X172/100-Settings!$G$7)),1,0))))</f>
        <v/>
      </c>
      <c r="AC172">
        <f>IF($Z172=1,IFERROR(IF(VALUE($B172)&lt;100000000,VALUE($B172),1000000000),IFERROR(IF(VALUE(MID($B172,2,20))&lt;100000000,VALUE(MID($B172,2,20)),1000000000),1000000000))+ROW()/100000,"")</f>
        <v/>
      </c>
    </row>
    <row r="173">
      <c r="A173">
        <f>IF($B173="","",IFERROR(IF(INDEX('Per Invoice'!$A$2:$A$801,MATCH($B173,'Per Invoice'!$B$2:$B$801,0))=0,"",INDEX('Per Invoice'!$A$2:$A$801,MATCH($B173,'Per Invoice'!$B$2:$B$801,0))),""))</f>
        <v/>
      </c>
      <c r="J173" s="7">
        <f>IF($B173="","",I173*Q173/100)</f>
        <v/>
      </c>
      <c r="N173" s="7" t="n"/>
      <c r="O173" s="7" t="n"/>
      <c r="P173" s="7">
        <f>IF($B173="","",O173*X173/100)</f>
        <v/>
      </c>
      <c r="Q173" s="7">
        <f>IF($B173="","",O173-P173)</f>
        <v/>
      </c>
      <c r="R173" s="7">
        <f>IF($B173="","",Q173-J173)</f>
        <v/>
      </c>
      <c r="S173" s="7" t="n"/>
      <c r="T173" s="7" t="n"/>
      <c r="V173" s="14" t="n"/>
      <c r="Z173">
        <f>IF($B173="","",IF(COUNTIF($B$2:$B173,$B173)=1,1,0))</f>
        <v/>
      </c>
      <c r="AA173">
        <f>IF($Z173=1,SUMPRODUCT(--($AC$2:$AC$3001&lt;$AC173))+1,"")</f>
        <v/>
      </c>
      <c r="AB173">
        <f>IF($B173="","",IF(OR($Y173=TRUE(),$Y173="TRUE"),1,IF(AND($Y173&lt;&gt;"",OR($Y173=FALSE(),$Y173="FALSE")),0,IF(MIN(ABS($X173/100-Settings!$C$6),ABS($X173/100-Settings!$G$6))&lt;=MIN(ABS($X173/100-Settings!$C$7),ABS($X173/100-Settings!$G$7)),1,0))))</f>
        <v/>
      </c>
      <c r="AC173">
        <f>IF($Z173=1,IFERROR(IF(VALUE($B173)&lt;100000000,VALUE($B173),1000000000),IFERROR(IF(VALUE(MID($B173,2,20))&lt;100000000,VALUE(MID($B173,2,20)),1000000000),1000000000))+ROW()/100000,"")</f>
        <v/>
      </c>
    </row>
    <row r="174">
      <c r="A174">
        <f>IF($B174="","",IFERROR(IF(INDEX('Per Invoice'!$A$2:$A$801,MATCH($B174,'Per Invoice'!$B$2:$B$801,0))=0,"",INDEX('Per Invoice'!$A$2:$A$801,MATCH($B174,'Per Invoice'!$B$2:$B$801,0))),""))</f>
        <v/>
      </c>
      <c r="J174" s="7">
        <f>IF($B174="","",I174*Q174/100)</f>
        <v/>
      </c>
      <c r="N174" s="7" t="n"/>
      <c r="O174" s="7" t="n"/>
      <c r="P174" s="7">
        <f>IF($B174="","",O174*X174/100)</f>
        <v/>
      </c>
      <c r="Q174" s="7">
        <f>IF($B174="","",O174-P174)</f>
        <v/>
      </c>
      <c r="R174" s="7">
        <f>IF($B174="","",Q174-J174)</f>
        <v/>
      </c>
      <c r="S174" s="7" t="n"/>
      <c r="T174" s="7" t="n"/>
      <c r="V174" s="14" t="n"/>
      <c r="Z174">
        <f>IF($B174="","",IF(COUNTIF($B$2:$B174,$B174)=1,1,0))</f>
        <v/>
      </c>
      <c r="AA174">
        <f>IF($Z174=1,SUMPRODUCT(--($AC$2:$AC$3001&lt;$AC174))+1,"")</f>
        <v/>
      </c>
      <c r="AB174">
        <f>IF($B174="","",IF(OR($Y174=TRUE(),$Y174="TRUE"),1,IF(AND($Y174&lt;&gt;"",OR($Y174=FALSE(),$Y174="FALSE")),0,IF(MIN(ABS($X174/100-Settings!$C$6),ABS($X174/100-Settings!$G$6))&lt;=MIN(ABS($X174/100-Settings!$C$7),ABS($X174/100-Settings!$G$7)),1,0))))</f>
        <v/>
      </c>
      <c r="AC174">
        <f>IF($Z174=1,IFERROR(IF(VALUE($B174)&lt;100000000,VALUE($B174),1000000000),IFERROR(IF(VALUE(MID($B174,2,20))&lt;100000000,VALUE(MID($B174,2,20)),1000000000),1000000000))+ROW()/100000,"")</f>
        <v/>
      </c>
    </row>
    <row r="175">
      <c r="A175">
        <f>IF($B175="","",IFERROR(IF(INDEX('Per Invoice'!$A$2:$A$801,MATCH($B175,'Per Invoice'!$B$2:$B$801,0))=0,"",INDEX('Per Invoice'!$A$2:$A$801,MATCH($B175,'Per Invoice'!$B$2:$B$801,0))),""))</f>
        <v/>
      </c>
      <c r="J175" s="7">
        <f>IF($B175="","",I175*Q175/100)</f>
        <v/>
      </c>
      <c r="N175" s="7" t="n"/>
      <c r="O175" s="7" t="n"/>
      <c r="P175" s="7">
        <f>IF($B175="","",O175*X175/100)</f>
        <v/>
      </c>
      <c r="Q175" s="7">
        <f>IF($B175="","",O175-P175)</f>
        <v/>
      </c>
      <c r="R175" s="7">
        <f>IF($B175="","",Q175-J175)</f>
        <v/>
      </c>
      <c r="S175" s="7" t="n"/>
      <c r="T175" s="7" t="n"/>
      <c r="V175" s="14" t="n"/>
      <c r="Z175">
        <f>IF($B175="","",IF(COUNTIF($B$2:$B175,$B175)=1,1,0))</f>
        <v/>
      </c>
      <c r="AA175">
        <f>IF($Z175=1,SUMPRODUCT(--($AC$2:$AC$3001&lt;$AC175))+1,"")</f>
        <v/>
      </c>
      <c r="AB175">
        <f>IF($B175="","",IF(OR($Y175=TRUE(),$Y175="TRUE"),1,IF(AND($Y175&lt;&gt;"",OR($Y175=FALSE(),$Y175="FALSE")),0,IF(MIN(ABS($X175/100-Settings!$C$6),ABS($X175/100-Settings!$G$6))&lt;=MIN(ABS($X175/100-Settings!$C$7),ABS($X175/100-Settings!$G$7)),1,0))))</f>
        <v/>
      </c>
      <c r="AC175">
        <f>IF($Z175=1,IFERROR(IF(VALUE($B175)&lt;100000000,VALUE($B175),1000000000),IFERROR(IF(VALUE(MID($B175,2,20))&lt;100000000,VALUE(MID($B175,2,20)),1000000000),1000000000))+ROW()/100000,"")</f>
        <v/>
      </c>
    </row>
    <row r="176">
      <c r="A176">
        <f>IF($B176="","",IFERROR(IF(INDEX('Per Invoice'!$A$2:$A$801,MATCH($B176,'Per Invoice'!$B$2:$B$801,0))=0,"",INDEX('Per Invoice'!$A$2:$A$801,MATCH($B176,'Per Invoice'!$B$2:$B$801,0))),""))</f>
        <v/>
      </c>
      <c r="J176" s="7">
        <f>IF($B176="","",I176*Q176/100)</f>
        <v/>
      </c>
      <c r="N176" s="7" t="n"/>
      <c r="O176" s="7" t="n"/>
      <c r="P176" s="7">
        <f>IF($B176="","",O176*X176/100)</f>
        <v/>
      </c>
      <c r="Q176" s="7">
        <f>IF($B176="","",O176-P176)</f>
        <v/>
      </c>
      <c r="R176" s="7">
        <f>IF($B176="","",Q176-J176)</f>
        <v/>
      </c>
      <c r="S176" s="7" t="n"/>
      <c r="T176" s="7" t="n"/>
      <c r="V176" s="14" t="n"/>
      <c r="Z176">
        <f>IF($B176="","",IF(COUNTIF($B$2:$B176,$B176)=1,1,0))</f>
        <v/>
      </c>
      <c r="AA176">
        <f>IF($Z176=1,SUMPRODUCT(--($AC$2:$AC$3001&lt;$AC176))+1,"")</f>
        <v/>
      </c>
      <c r="AB176">
        <f>IF($B176="","",IF(OR($Y176=TRUE(),$Y176="TRUE"),1,IF(AND($Y176&lt;&gt;"",OR($Y176=FALSE(),$Y176="FALSE")),0,IF(MIN(ABS($X176/100-Settings!$C$6),ABS($X176/100-Settings!$G$6))&lt;=MIN(ABS($X176/100-Settings!$C$7),ABS($X176/100-Settings!$G$7)),1,0))))</f>
        <v/>
      </c>
      <c r="AC176">
        <f>IF($Z176=1,IFERROR(IF(VALUE($B176)&lt;100000000,VALUE($B176),1000000000),IFERROR(IF(VALUE(MID($B176,2,20))&lt;100000000,VALUE(MID($B176,2,20)),1000000000),1000000000))+ROW()/100000,"")</f>
        <v/>
      </c>
    </row>
    <row r="177">
      <c r="A177">
        <f>IF($B177="","",IFERROR(IF(INDEX('Per Invoice'!$A$2:$A$801,MATCH($B177,'Per Invoice'!$B$2:$B$801,0))=0,"",INDEX('Per Invoice'!$A$2:$A$801,MATCH($B177,'Per Invoice'!$B$2:$B$801,0))),""))</f>
        <v/>
      </c>
      <c r="J177" s="7">
        <f>IF($B177="","",I177*Q177/100)</f>
        <v/>
      </c>
      <c r="N177" s="7" t="n"/>
      <c r="O177" s="7" t="n"/>
      <c r="P177" s="7">
        <f>IF($B177="","",O177*X177/100)</f>
        <v/>
      </c>
      <c r="Q177" s="7">
        <f>IF($B177="","",O177-P177)</f>
        <v/>
      </c>
      <c r="R177" s="7">
        <f>IF($B177="","",Q177-J177)</f>
        <v/>
      </c>
      <c r="S177" s="7" t="n"/>
      <c r="T177" s="7" t="n"/>
      <c r="V177" s="14" t="n"/>
      <c r="Z177">
        <f>IF($B177="","",IF(COUNTIF($B$2:$B177,$B177)=1,1,0))</f>
        <v/>
      </c>
      <c r="AA177">
        <f>IF($Z177=1,SUMPRODUCT(--($AC$2:$AC$3001&lt;$AC177))+1,"")</f>
        <v/>
      </c>
      <c r="AB177">
        <f>IF($B177="","",IF(OR($Y177=TRUE(),$Y177="TRUE"),1,IF(AND($Y177&lt;&gt;"",OR($Y177=FALSE(),$Y177="FALSE")),0,IF(MIN(ABS($X177/100-Settings!$C$6),ABS($X177/100-Settings!$G$6))&lt;=MIN(ABS($X177/100-Settings!$C$7),ABS($X177/100-Settings!$G$7)),1,0))))</f>
        <v/>
      </c>
      <c r="AC177">
        <f>IF($Z177=1,IFERROR(IF(VALUE($B177)&lt;100000000,VALUE($B177),1000000000),IFERROR(IF(VALUE(MID($B177,2,20))&lt;100000000,VALUE(MID($B177,2,20)),1000000000),1000000000))+ROW()/100000,"")</f>
        <v/>
      </c>
    </row>
    <row r="178">
      <c r="A178">
        <f>IF($B178="","",IFERROR(IF(INDEX('Per Invoice'!$A$2:$A$801,MATCH($B178,'Per Invoice'!$B$2:$B$801,0))=0,"",INDEX('Per Invoice'!$A$2:$A$801,MATCH($B178,'Per Invoice'!$B$2:$B$801,0))),""))</f>
        <v/>
      </c>
      <c r="J178" s="7">
        <f>IF($B178="","",I178*Q178/100)</f>
        <v/>
      </c>
      <c r="N178" s="7" t="n"/>
      <c r="O178" s="7" t="n"/>
      <c r="P178" s="7">
        <f>IF($B178="","",O178*X178/100)</f>
        <v/>
      </c>
      <c r="Q178" s="7">
        <f>IF($B178="","",O178-P178)</f>
        <v/>
      </c>
      <c r="R178" s="7">
        <f>IF($B178="","",Q178-J178)</f>
        <v/>
      </c>
      <c r="S178" s="7" t="n"/>
      <c r="T178" s="7" t="n"/>
      <c r="V178" s="14" t="n"/>
      <c r="Z178">
        <f>IF($B178="","",IF(COUNTIF($B$2:$B178,$B178)=1,1,0))</f>
        <v/>
      </c>
      <c r="AA178">
        <f>IF($Z178=1,SUMPRODUCT(--($AC$2:$AC$3001&lt;$AC178))+1,"")</f>
        <v/>
      </c>
      <c r="AB178">
        <f>IF($B178="","",IF(OR($Y178=TRUE(),$Y178="TRUE"),1,IF(AND($Y178&lt;&gt;"",OR($Y178=FALSE(),$Y178="FALSE")),0,IF(MIN(ABS($X178/100-Settings!$C$6),ABS($X178/100-Settings!$G$6))&lt;=MIN(ABS($X178/100-Settings!$C$7),ABS($X178/100-Settings!$G$7)),1,0))))</f>
        <v/>
      </c>
      <c r="AC178">
        <f>IF($Z178=1,IFERROR(IF(VALUE($B178)&lt;100000000,VALUE($B178),1000000000),IFERROR(IF(VALUE(MID($B178,2,20))&lt;100000000,VALUE(MID($B178,2,20)),1000000000),1000000000))+ROW()/100000,"")</f>
        <v/>
      </c>
    </row>
    <row r="179">
      <c r="A179">
        <f>IF($B179="","",IFERROR(IF(INDEX('Per Invoice'!$A$2:$A$801,MATCH($B179,'Per Invoice'!$B$2:$B$801,0))=0,"",INDEX('Per Invoice'!$A$2:$A$801,MATCH($B179,'Per Invoice'!$B$2:$B$801,0))),""))</f>
        <v/>
      </c>
      <c r="J179" s="7">
        <f>IF($B179="","",I179*Q179/100)</f>
        <v/>
      </c>
      <c r="N179" s="7" t="n"/>
      <c r="O179" s="7" t="n"/>
      <c r="P179" s="7">
        <f>IF($B179="","",O179*X179/100)</f>
        <v/>
      </c>
      <c r="Q179" s="7">
        <f>IF($B179="","",O179-P179)</f>
        <v/>
      </c>
      <c r="R179" s="7">
        <f>IF($B179="","",Q179-J179)</f>
        <v/>
      </c>
      <c r="S179" s="7" t="n"/>
      <c r="T179" s="7" t="n"/>
      <c r="V179" s="14" t="n"/>
      <c r="Z179">
        <f>IF($B179="","",IF(COUNTIF($B$2:$B179,$B179)=1,1,0))</f>
        <v/>
      </c>
      <c r="AA179">
        <f>IF($Z179=1,SUMPRODUCT(--($AC$2:$AC$3001&lt;$AC179))+1,"")</f>
        <v/>
      </c>
      <c r="AB179">
        <f>IF($B179="","",IF(OR($Y179=TRUE(),$Y179="TRUE"),1,IF(AND($Y179&lt;&gt;"",OR($Y179=FALSE(),$Y179="FALSE")),0,IF(MIN(ABS($X179/100-Settings!$C$6),ABS($X179/100-Settings!$G$6))&lt;=MIN(ABS($X179/100-Settings!$C$7),ABS($X179/100-Settings!$G$7)),1,0))))</f>
        <v/>
      </c>
      <c r="AC179">
        <f>IF($Z179=1,IFERROR(IF(VALUE($B179)&lt;100000000,VALUE($B179),1000000000),IFERROR(IF(VALUE(MID($B179,2,20))&lt;100000000,VALUE(MID($B179,2,20)),1000000000),1000000000))+ROW()/100000,"")</f>
        <v/>
      </c>
    </row>
    <row r="180">
      <c r="A180">
        <f>IF($B180="","",IFERROR(IF(INDEX('Per Invoice'!$A$2:$A$801,MATCH($B180,'Per Invoice'!$B$2:$B$801,0))=0,"",INDEX('Per Invoice'!$A$2:$A$801,MATCH($B180,'Per Invoice'!$B$2:$B$801,0))),""))</f>
        <v/>
      </c>
      <c r="J180" s="7">
        <f>IF($B180="","",I180*Q180/100)</f>
        <v/>
      </c>
      <c r="N180" s="7" t="n"/>
      <c r="O180" s="7" t="n"/>
      <c r="P180" s="7">
        <f>IF($B180="","",O180*X180/100)</f>
        <v/>
      </c>
      <c r="Q180" s="7">
        <f>IF($B180="","",O180-P180)</f>
        <v/>
      </c>
      <c r="R180" s="7">
        <f>IF($B180="","",Q180-J180)</f>
        <v/>
      </c>
      <c r="S180" s="7" t="n"/>
      <c r="T180" s="7" t="n"/>
      <c r="V180" s="14" t="n"/>
      <c r="Z180">
        <f>IF($B180="","",IF(COUNTIF($B$2:$B180,$B180)=1,1,0))</f>
        <v/>
      </c>
      <c r="AA180">
        <f>IF($Z180=1,SUMPRODUCT(--($AC$2:$AC$3001&lt;$AC180))+1,"")</f>
        <v/>
      </c>
      <c r="AB180">
        <f>IF($B180="","",IF(OR($Y180=TRUE(),$Y180="TRUE"),1,IF(AND($Y180&lt;&gt;"",OR($Y180=FALSE(),$Y180="FALSE")),0,IF(MIN(ABS($X180/100-Settings!$C$6),ABS($X180/100-Settings!$G$6))&lt;=MIN(ABS($X180/100-Settings!$C$7),ABS($X180/100-Settings!$G$7)),1,0))))</f>
        <v/>
      </c>
      <c r="AC180">
        <f>IF($Z180=1,IFERROR(IF(VALUE($B180)&lt;100000000,VALUE($B180),1000000000),IFERROR(IF(VALUE(MID($B180,2,20))&lt;100000000,VALUE(MID($B180,2,20)),1000000000),1000000000))+ROW()/100000,"")</f>
        <v/>
      </c>
    </row>
    <row r="181">
      <c r="A181">
        <f>IF($B181="","",IFERROR(IF(INDEX('Per Invoice'!$A$2:$A$801,MATCH($B181,'Per Invoice'!$B$2:$B$801,0))=0,"",INDEX('Per Invoice'!$A$2:$A$801,MATCH($B181,'Per Invoice'!$B$2:$B$801,0))),""))</f>
        <v/>
      </c>
      <c r="J181" s="7">
        <f>IF($B181="","",I181*Q181/100)</f>
        <v/>
      </c>
      <c r="N181" s="7" t="n"/>
      <c r="O181" s="7" t="n"/>
      <c r="P181" s="7">
        <f>IF($B181="","",O181*X181/100)</f>
        <v/>
      </c>
      <c r="Q181" s="7">
        <f>IF($B181="","",O181-P181)</f>
        <v/>
      </c>
      <c r="R181" s="7">
        <f>IF($B181="","",Q181-J181)</f>
        <v/>
      </c>
      <c r="S181" s="7" t="n"/>
      <c r="T181" s="7" t="n"/>
      <c r="V181" s="14" t="n"/>
      <c r="Z181">
        <f>IF($B181="","",IF(COUNTIF($B$2:$B181,$B181)=1,1,0))</f>
        <v/>
      </c>
      <c r="AA181">
        <f>IF($Z181=1,SUMPRODUCT(--($AC$2:$AC$3001&lt;$AC181))+1,"")</f>
        <v/>
      </c>
      <c r="AB181">
        <f>IF($B181="","",IF(OR($Y181=TRUE(),$Y181="TRUE"),1,IF(AND($Y181&lt;&gt;"",OR($Y181=FALSE(),$Y181="FALSE")),0,IF(MIN(ABS($X181/100-Settings!$C$6),ABS($X181/100-Settings!$G$6))&lt;=MIN(ABS($X181/100-Settings!$C$7),ABS($X181/100-Settings!$G$7)),1,0))))</f>
        <v/>
      </c>
      <c r="AC181">
        <f>IF($Z181=1,IFERROR(IF(VALUE($B181)&lt;100000000,VALUE($B181),1000000000),IFERROR(IF(VALUE(MID($B181,2,20))&lt;100000000,VALUE(MID($B181,2,20)),1000000000),1000000000))+ROW()/100000,"")</f>
        <v/>
      </c>
    </row>
    <row r="182">
      <c r="A182">
        <f>IF($B182="","",IFERROR(IF(INDEX('Per Invoice'!$A$2:$A$801,MATCH($B182,'Per Invoice'!$B$2:$B$801,0))=0,"",INDEX('Per Invoice'!$A$2:$A$801,MATCH($B182,'Per Invoice'!$B$2:$B$801,0))),""))</f>
        <v/>
      </c>
      <c r="J182" s="7">
        <f>IF($B182="","",I182*Q182/100)</f>
        <v/>
      </c>
      <c r="N182" s="7" t="n"/>
      <c r="O182" s="7" t="n"/>
      <c r="P182" s="7">
        <f>IF($B182="","",O182*X182/100)</f>
        <v/>
      </c>
      <c r="Q182" s="7">
        <f>IF($B182="","",O182-P182)</f>
        <v/>
      </c>
      <c r="R182" s="7">
        <f>IF($B182="","",Q182-J182)</f>
        <v/>
      </c>
      <c r="S182" s="7" t="n"/>
      <c r="T182" s="7" t="n"/>
      <c r="V182" s="14" t="n"/>
      <c r="Z182">
        <f>IF($B182="","",IF(COUNTIF($B$2:$B182,$B182)=1,1,0))</f>
        <v/>
      </c>
      <c r="AA182">
        <f>IF($Z182=1,SUMPRODUCT(--($AC$2:$AC$3001&lt;$AC182))+1,"")</f>
        <v/>
      </c>
      <c r="AB182">
        <f>IF($B182="","",IF(OR($Y182=TRUE(),$Y182="TRUE"),1,IF(AND($Y182&lt;&gt;"",OR($Y182=FALSE(),$Y182="FALSE")),0,IF(MIN(ABS($X182/100-Settings!$C$6),ABS($X182/100-Settings!$G$6))&lt;=MIN(ABS($X182/100-Settings!$C$7),ABS($X182/100-Settings!$G$7)),1,0))))</f>
        <v/>
      </c>
      <c r="AC182">
        <f>IF($Z182=1,IFERROR(IF(VALUE($B182)&lt;100000000,VALUE($B182),1000000000),IFERROR(IF(VALUE(MID($B182,2,20))&lt;100000000,VALUE(MID($B182,2,20)),1000000000),1000000000))+ROW()/100000,"")</f>
        <v/>
      </c>
    </row>
    <row r="183">
      <c r="A183">
        <f>IF($B183="","",IFERROR(IF(INDEX('Per Invoice'!$A$2:$A$801,MATCH($B183,'Per Invoice'!$B$2:$B$801,0))=0,"",INDEX('Per Invoice'!$A$2:$A$801,MATCH($B183,'Per Invoice'!$B$2:$B$801,0))),""))</f>
        <v/>
      </c>
      <c r="J183" s="7">
        <f>IF($B183="","",I183*Q183/100)</f>
        <v/>
      </c>
      <c r="N183" s="7" t="n"/>
      <c r="O183" s="7" t="n"/>
      <c r="P183" s="7">
        <f>IF($B183="","",O183*X183/100)</f>
        <v/>
      </c>
      <c r="Q183" s="7">
        <f>IF($B183="","",O183-P183)</f>
        <v/>
      </c>
      <c r="R183" s="7">
        <f>IF($B183="","",Q183-J183)</f>
        <v/>
      </c>
      <c r="S183" s="7" t="n"/>
      <c r="T183" s="7" t="n"/>
      <c r="V183" s="14" t="n"/>
      <c r="Z183">
        <f>IF($B183="","",IF(COUNTIF($B$2:$B183,$B183)=1,1,0))</f>
        <v/>
      </c>
      <c r="AA183">
        <f>IF($Z183=1,SUMPRODUCT(--($AC$2:$AC$3001&lt;$AC183))+1,"")</f>
        <v/>
      </c>
      <c r="AB183">
        <f>IF($B183="","",IF(OR($Y183=TRUE(),$Y183="TRUE"),1,IF(AND($Y183&lt;&gt;"",OR($Y183=FALSE(),$Y183="FALSE")),0,IF(MIN(ABS($X183/100-Settings!$C$6),ABS($X183/100-Settings!$G$6))&lt;=MIN(ABS($X183/100-Settings!$C$7),ABS($X183/100-Settings!$G$7)),1,0))))</f>
        <v/>
      </c>
      <c r="AC183">
        <f>IF($Z183=1,IFERROR(IF(VALUE($B183)&lt;100000000,VALUE($B183),1000000000),IFERROR(IF(VALUE(MID($B183,2,20))&lt;100000000,VALUE(MID($B183,2,20)),1000000000),1000000000))+ROW()/100000,"")</f>
        <v/>
      </c>
    </row>
    <row r="184">
      <c r="A184">
        <f>IF($B184="","",IFERROR(IF(INDEX('Per Invoice'!$A$2:$A$801,MATCH($B184,'Per Invoice'!$B$2:$B$801,0))=0,"",INDEX('Per Invoice'!$A$2:$A$801,MATCH($B184,'Per Invoice'!$B$2:$B$801,0))),""))</f>
        <v/>
      </c>
      <c r="J184" s="7">
        <f>IF($B184="","",I184*Q184/100)</f>
        <v/>
      </c>
      <c r="N184" s="7" t="n"/>
      <c r="O184" s="7" t="n"/>
      <c r="P184" s="7">
        <f>IF($B184="","",O184*X184/100)</f>
        <v/>
      </c>
      <c r="Q184" s="7">
        <f>IF($B184="","",O184-P184)</f>
        <v/>
      </c>
      <c r="R184" s="7">
        <f>IF($B184="","",Q184-J184)</f>
        <v/>
      </c>
      <c r="S184" s="7" t="n"/>
      <c r="T184" s="7" t="n"/>
      <c r="V184" s="14" t="n"/>
      <c r="Z184">
        <f>IF($B184="","",IF(COUNTIF($B$2:$B184,$B184)=1,1,0))</f>
        <v/>
      </c>
      <c r="AA184">
        <f>IF($Z184=1,SUMPRODUCT(--($AC$2:$AC$3001&lt;$AC184))+1,"")</f>
        <v/>
      </c>
      <c r="AB184">
        <f>IF($B184="","",IF(OR($Y184=TRUE(),$Y184="TRUE"),1,IF(AND($Y184&lt;&gt;"",OR($Y184=FALSE(),$Y184="FALSE")),0,IF(MIN(ABS($X184/100-Settings!$C$6),ABS($X184/100-Settings!$G$6))&lt;=MIN(ABS($X184/100-Settings!$C$7),ABS($X184/100-Settings!$G$7)),1,0))))</f>
        <v/>
      </c>
      <c r="AC184">
        <f>IF($Z184=1,IFERROR(IF(VALUE($B184)&lt;100000000,VALUE($B184),1000000000),IFERROR(IF(VALUE(MID($B184,2,20))&lt;100000000,VALUE(MID($B184,2,20)),1000000000),1000000000))+ROW()/100000,"")</f>
        <v/>
      </c>
    </row>
    <row r="185">
      <c r="A185">
        <f>IF($B185="","",IFERROR(IF(INDEX('Per Invoice'!$A$2:$A$801,MATCH($B185,'Per Invoice'!$B$2:$B$801,0))=0,"",INDEX('Per Invoice'!$A$2:$A$801,MATCH($B185,'Per Invoice'!$B$2:$B$801,0))),""))</f>
        <v/>
      </c>
      <c r="J185" s="7">
        <f>IF($B185="","",I185*Q185/100)</f>
        <v/>
      </c>
      <c r="N185" s="7" t="n"/>
      <c r="O185" s="7" t="n"/>
      <c r="P185" s="7">
        <f>IF($B185="","",O185*X185/100)</f>
        <v/>
      </c>
      <c r="Q185" s="7">
        <f>IF($B185="","",O185-P185)</f>
        <v/>
      </c>
      <c r="R185" s="7">
        <f>IF($B185="","",Q185-J185)</f>
        <v/>
      </c>
      <c r="S185" s="7" t="n"/>
      <c r="T185" s="7" t="n"/>
      <c r="V185" s="14" t="n"/>
      <c r="Z185">
        <f>IF($B185="","",IF(COUNTIF($B$2:$B185,$B185)=1,1,0))</f>
        <v/>
      </c>
      <c r="AA185">
        <f>IF($Z185=1,SUMPRODUCT(--($AC$2:$AC$3001&lt;$AC185))+1,"")</f>
        <v/>
      </c>
      <c r="AB185">
        <f>IF($B185="","",IF(OR($Y185=TRUE(),$Y185="TRUE"),1,IF(AND($Y185&lt;&gt;"",OR($Y185=FALSE(),$Y185="FALSE")),0,IF(MIN(ABS($X185/100-Settings!$C$6),ABS($X185/100-Settings!$G$6))&lt;=MIN(ABS($X185/100-Settings!$C$7),ABS($X185/100-Settings!$G$7)),1,0))))</f>
        <v/>
      </c>
      <c r="AC185">
        <f>IF($Z185=1,IFERROR(IF(VALUE($B185)&lt;100000000,VALUE($B185),1000000000),IFERROR(IF(VALUE(MID($B185,2,20))&lt;100000000,VALUE(MID($B185,2,20)),1000000000),1000000000))+ROW()/100000,"")</f>
        <v/>
      </c>
    </row>
    <row r="186">
      <c r="A186">
        <f>IF($B186="","",IFERROR(IF(INDEX('Per Invoice'!$A$2:$A$801,MATCH($B186,'Per Invoice'!$B$2:$B$801,0))=0,"",INDEX('Per Invoice'!$A$2:$A$801,MATCH($B186,'Per Invoice'!$B$2:$B$801,0))),""))</f>
        <v/>
      </c>
      <c r="J186" s="7">
        <f>IF($B186="","",I186*Q186/100)</f>
        <v/>
      </c>
      <c r="N186" s="7" t="n"/>
      <c r="O186" s="7" t="n"/>
      <c r="P186" s="7">
        <f>IF($B186="","",O186*X186/100)</f>
        <v/>
      </c>
      <c r="Q186" s="7">
        <f>IF($B186="","",O186-P186)</f>
        <v/>
      </c>
      <c r="R186" s="7">
        <f>IF($B186="","",Q186-J186)</f>
        <v/>
      </c>
      <c r="S186" s="7" t="n"/>
      <c r="T186" s="7" t="n"/>
      <c r="V186" s="14" t="n"/>
      <c r="Z186">
        <f>IF($B186="","",IF(COUNTIF($B$2:$B186,$B186)=1,1,0))</f>
        <v/>
      </c>
      <c r="AA186">
        <f>IF($Z186=1,SUMPRODUCT(--($AC$2:$AC$3001&lt;$AC186))+1,"")</f>
        <v/>
      </c>
      <c r="AB186">
        <f>IF($B186="","",IF(OR($Y186=TRUE(),$Y186="TRUE"),1,IF(AND($Y186&lt;&gt;"",OR($Y186=FALSE(),$Y186="FALSE")),0,IF(MIN(ABS($X186/100-Settings!$C$6),ABS($X186/100-Settings!$G$6))&lt;=MIN(ABS($X186/100-Settings!$C$7),ABS($X186/100-Settings!$G$7)),1,0))))</f>
        <v/>
      </c>
      <c r="AC186">
        <f>IF($Z186=1,IFERROR(IF(VALUE($B186)&lt;100000000,VALUE($B186),1000000000),IFERROR(IF(VALUE(MID($B186,2,20))&lt;100000000,VALUE(MID($B186,2,20)),1000000000),1000000000))+ROW()/100000,"")</f>
        <v/>
      </c>
    </row>
    <row r="187">
      <c r="A187">
        <f>IF($B187="","",IFERROR(IF(INDEX('Per Invoice'!$A$2:$A$801,MATCH($B187,'Per Invoice'!$B$2:$B$801,0))=0,"",INDEX('Per Invoice'!$A$2:$A$801,MATCH($B187,'Per Invoice'!$B$2:$B$801,0))),""))</f>
        <v/>
      </c>
      <c r="J187" s="7">
        <f>IF($B187="","",I187*Q187/100)</f>
        <v/>
      </c>
      <c r="N187" s="7" t="n"/>
      <c r="O187" s="7" t="n"/>
      <c r="P187" s="7">
        <f>IF($B187="","",O187*X187/100)</f>
        <v/>
      </c>
      <c r="Q187" s="7">
        <f>IF($B187="","",O187-P187)</f>
        <v/>
      </c>
      <c r="R187" s="7">
        <f>IF($B187="","",Q187-J187)</f>
        <v/>
      </c>
      <c r="S187" s="7" t="n"/>
      <c r="T187" s="7" t="n"/>
      <c r="V187" s="14" t="n"/>
      <c r="Z187">
        <f>IF($B187="","",IF(COUNTIF($B$2:$B187,$B187)=1,1,0))</f>
        <v/>
      </c>
      <c r="AA187">
        <f>IF($Z187=1,SUMPRODUCT(--($AC$2:$AC$3001&lt;$AC187))+1,"")</f>
        <v/>
      </c>
      <c r="AB187">
        <f>IF($B187="","",IF(OR($Y187=TRUE(),$Y187="TRUE"),1,IF(AND($Y187&lt;&gt;"",OR($Y187=FALSE(),$Y187="FALSE")),0,IF(MIN(ABS($X187/100-Settings!$C$6),ABS($X187/100-Settings!$G$6))&lt;=MIN(ABS($X187/100-Settings!$C$7),ABS($X187/100-Settings!$G$7)),1,0))))</f>
        <v/>
      </c>
      <c r="AC187">
        <f>IF($Z187=1,IFERROR(IF(VALUE($B187)&lt;100000000,VALUE($B187),1000000000),IFERROR(IF(VALUE(MID($B187,2,20))&lt;100000000,VALUE(MID($B187,2,20)),1000000000),1000000000))+ROW()/100000,"")</f>
        <v/>
      </c>
    </row>
    <row r="188">
      <c r="A188">
        <f>IF($B188="","",IFERROR(IF(INDEX('Per Invoice'!$A$2:$A$801,MATCH($B188,'Per Invoice'!$B$2:$B$801,0))=0,"",INDEX('Per Invoice'!$A$2:$A$801,MATCH($B188,'Per Invoice'!$B$2:$B$801,0))),""))</f>
        <v/>
      </c>
      <c r="J188" s="7">
        <f>IF($B188="","",I188*Q188/100)</f>
        <v/>
      </c>
      <c r="N188" s="7" t="n"/>
      <c r="O188" s="7" t="n"/>
      <c r="P188" s="7">
        <f>IF($B188="","",O188*X188/100)</f>
        <v/>
      </c>
      <c r="Q188" s="7">
        <f>IF($B188="","",O188-P188)</f>
        <v/>
      </c>
      <c r="R188" s="7">
        <f>IF($B188="","",Q188-J188)</f>
        <v/>
      </c>
      <c r="S188" s="7" t="n"/>
      <c r="T188" s="7" t="n"/>
      <c r="V188" s="14" t="n"/>
      <c r="Z188">
        <f>IF($B188="","",IF(COUNTIF($B$2:$B188,$B188)=1,1,0))</f>
        <v/>
      </c>
      <c r="AA188">
        <f>IF($Z188=1,SUMPRODUCT(--($AC$2:$AC$3001&lt;$AC188))+1,"")</f>
        <v/>
      </c>
      <c r="AB188">
        <f>IF($B188="","",IF(OR($Y188=TRUE(),$Y188="TRUE"),1,IF(AND($Y188&lt;&gt;"",OR($Y188=FALSE(),$Y188="FALSE")),0,IF(MIN(ABS($X188/100-Settings!$C$6),ABS($X188/100-Settings!$G$6))&lt;=MIN(ABS($X188/100-Settings!$C$7),ABS($X188/100-Settings!$G$7)),1,0))))</f>
        <v/>
      </c>
      <c r="AC188">
        <f>IF($Z188=1,IFERROR(IF(VALUE($B188)&lt;100000000,VALUE($B188),1000000000),IFERROR(IF(VALUE(MID($B188,2,20))&lt;100000000,VALUE(MID($B188,2,20)),1000000000),1000000000))+ROW()/100000,"")</f>
        <v/>
      </c>
    </row>
    <row r="189">
      <c r="A189">
        <f>IF($B189="","",IFERROR(IF(INDEX('Per Invoice'!$A$2:$A$801,MATCH($B189,'Per Invoice'!$B$2:$B$801,0))=0,"",INDEX('Per Invoice'!$A$2:$A$801,MATCH($B189,'Per Invoice'!$B$2:$B$801,0))),""))</f>
        <v/>
      </c>
      <c r="J189" s="7">
        <f>IF($B189="","",I189*Q189/100)</f>
        <v/>
      </c>
      <c r="N189" s="7" t="n"/>
      <c r="O189" s="7" t="n"/>
      <c r="P189" s="7">
        <f>IF($B189="","",O189*X189/100)</f>
        <v/>
      </c>
      <c r="Q189" s="7">
        <f>IF($B189="","",O189-P189)</f>
        <v/>
      </c>
      <c r="R189" s="7">
        <f>IF($B189="","",Q189-J189)</f>
        <v/>
      </c>
      <c r="S189" s="7" t="n"/>
      <c r="T189" s="7" t="n"/>
      <c r="V189" s="14" t="n"/>
      <c r="Z189">
        <f>IF($B189="","",IF(COUNTIF($B$2:$B189,$B189)=1,1,0))</f>
        <v/>
      </c>
      <c r="AA189">
        <f>IF($Z189=1,SUMPRODUCT(--($AC$2:$AC$3001&lt;$AC189))+1,"")</f>
        <v/>
      </c>
      <c r="AB189">
        <f>IF($B189="","",IF(OR($Y189=TRUE(),$Y189="TRUE"),1,IF(AND($Y189&lt;&gt;"",OR($Y189=FALSE(),$Y189="FALSE")),0,IF(MIN(ABS($X189/100-Settings!$C$6),ABS($X189/100-Settings!$G$6))&lt;=MIN(ABS($X189/100-Settings!$C$7),ABS($X189/100-Settings!$G$7)),1,0))))</f>
        <v/>
      </c>
      <c r="AC189">
        <f>IF($Z189=1,IFERROR(IF(VALUE($B189)&lt;100000000,VALUE($B189),1000000000),IFERROR(IF(VALUE(MID($B189,2,20))&lt;100000000,VALUE(MID($B189,2,20)),1000000000),1000000000))+ROW()/100000,"")</f>
        <v/>
      </c>
    </row>
    <row r="190">
      <c r="A190">
        <f>IF($B190="","",IFERROR(IF(INDEX('Per Invoice'!$A$2:$A$801,MATCH($B190,'Per Invoice'!$B$2:$B$801,0))=0,"",INDEX('Per Invoice'!$A$2:$A$801,MATCH($B190,'Per Invoice'!$B$2:$B$801,0))),""))</f>
        <v/>
      </c>
      <c r="J190" s="7">
        <f>IF($B190="","",I190*Q190/100)</f>
        <v/>
      </c>
      <c r="N190" s="7" t="n"/>
      <c r="O190" s="7" t="n"/>
      <c r="P190" s="7">
        <f>IF($B190="","",O190*X190/100)</f>
        <v/>
      </c>
      <c r="Q190" s="7">
        <f>IF($B190="","",O190-P190)</f>
        <v/>
      </c>
      <c r="R190" s="7">
        <f>IF($B190="","",Q190-J190)</f>
        <v/>
      </c>
      <c r="S190" s="7" t="n"/>
      <c r="T190" s="7" t="n"/>
      <c r="V190" s="14" t="n"/>
      <c r="Z190">
        <f>IF($B190="","",IF(COUNTIF($B$2:$B190,$B190)=1,1,0))</f>
        <v/>
      </c>
      <c r="AA190">
        <f>IF($Z190=1,SUMPRODUCT(--($AC$2:$AC$3001&lt;$AC190))+1,"")</f>
        <v/>
      </c>
      <c r="AB190">
        <f>IF($B190="","",IF(OR($Y190=TRUE(),$Y190="TRUE"),1,IF(AND($Y190&lt;&gt;"",OR($Y190=FALSE(),$Y190="FALSE")),0,IF(MIN(ABS($X190/100-Settings!$C$6),ABS($X190/100-Settings!$G$6))&lt;=MIN(ABS($X190/100-Settings!$C$7),ABS($X190/100-Settings!$G$7)),1,0))))</f>
        <v/>
      </c>
      <c r="AC190">
        <f>IF($Z190=1,IFERROR(IF(VALUE($B190)&lt;100000000,VALUE($B190),1000000000),IFERROR(IF(VALUE(MID($B190,2,20))&lt;100000000,VALUE(MID($B190,2,20)),1000000000),1000000000))+ROW()/100000,"")</f>
        <v/>
      </c>
    </row>
    <row r="191">
      <c r="A191">
        <f>IF($B191="","",IFERROR(IF(INDEX('Per Invoice'!$A$2:$A$801,MATCH($B191,'Per Invoice'!$B$2:$B$801,0))=0,"",INDEX('Per Invoice'!$A$2:$A$801,MATCH($B191,'Per Invoice'!$B$2:$B$801,0))),""))</f>
        <v/>
      </c>
      <c r="J191" s="7">
        <f>IF($B191="","",I191*Q191/100)</f>
        <v/>
      </c>
      <c r="N191" s="7" t="n"/>
      <c r="O191" s="7" t="n"/>
      <c r="P191" s="7">
        <f>IF($B191="","",O191*X191/100)</f>
        <v/>
      </c>
      <c r="Q191" s="7">
        <f>IF($B191="","",O191-P191)</f>
        <v/>
      </c>
      <c r="R191" s="7">
        <f>IF($B191="","",Q191-J191)</f>
        <v/>
      </c>
      <c r="S191" s="7" t="n"/>
      <c r="T191" s="7" t="n"/>
      <c r="V191" s="14" t="n"/>
      <c r="Z191">
        <f>IF($B191="","",IF(COUNTIF($B$2:$B191,$B191)=1,1,0))</f>
        <v/>
      </c>
      <c r="AA191">
        <f>IF($Z191=1,SUMPRODUCT(--($AC$2:$AC$3001&lt;$AC191))+1,"")</f>
        <v/>
      </c>
      <c r="AB191">
        <f>IF($B191="","",IF(OR($Y191=TRUE(),$Y191="TRUE"),1,IF(AND($Y191&lt;&gt;"",OR($Y191=FALSE(),$Y191="FALSE")),0,IF(MIN(ABS($X191/100-Settings!$C$6),ABS($X191/100-Settings!$G$6))&lt;=MIN(ABS($X191/100-Settings!$C$7),ABS($X191/100-Settings!$G$7)),1,0))))</f>
        <v/>
      </c>
      <c r="AC191">
        <f>IF($Z191=1,IFERROR(IF(VALUE($B191)&lt;100000000,VALUE($B191),1000000000),IFERROR(IF(VALUE(MID($B191,2,20))&lt;100000000,VALUE(MID($B191,2,20)),1000000000),1000000000))+ROW()/100000,"")</f>
        <v/>
      </c>
    </row>
    <row r="192">
      <c r="A192">
        <f>IF($B192="","",IFERROR(IF(INDEX('Per Invoice'!$A$2:$A$801,MATCH($B192,'Per Invoice'!$B$2:$B$801,0))=0,"",INDEX('Per Invoice'!$A$2:$A$801,MATCH($B192,'Per Invoice'!$B$2:$B$801,0))),""))</f>
        <v/>
      </c>
      <c r="J192" s="7">
        <f>IF($B192="","",I192*Q192/100)</f>
        <v/>
      </c>
      <c r="N192" s="7" t="n"/>
      <c r="O192" s="7" t="n"/>
      <c r="P192" s="7">
        <f>IF($B192="","",O192*X192/100)</f>
        <v/>
      </c>
      <c r="Q192" s="7">
        <f>IF($B192="","",O192-P192)</f>
        <v/>
      </c>
      <c r="R192" s="7">
        <f>IF($B192="","",Q192-J192)</f>
        <v/>
      </c>
      <c r="S192" s="7" t="n"/>
      <c r="T192" s="7" t="n"/>
      <c r="V192" s="14" t="n"/>
      <c r="Z192">
        <f>IF($B192="","",IF(COUNTIF($B$2:$B192,$B192)=1,1,0))</f>
        <v/>
      </c>
      <c r="AA192">
        <f>IF($Z192=1,SUMPRODUCT(--($AC$2:$AC$3001&lt;$AC192))+1,"")</f>
        <v/>
      </c>
      <c r="AB192">
        <f>IF($B192="","",IF(OR($Y192=TRUE(),$Y192="TRUE"),1,IF(AND($Y192&lt;&gt;"",OR($Y192=FALSE(),$Y192="FALSE")),0,IF(MIN(ABS($X192/100-Settings!$C$6),ABS($X192/100-Settings!$G$6))&lt;=MIN(ABS($X192/100-Settings!$C$7),ABS($X192/100-Settings!$G$7)),1,0))))</f>
        <v/>
      </c>
      <c r="AC192">
        <f>IF($Z192=1,IFERROR(IF(VALUE($B192)&lt;100000000,VALUE($B192),1000000000),IFERROR(IF(VALUE(MID($B192,2,20))&lt;100000000,VALUE(MID($B192,2,20)),1000000000),1000000000))+ROW()/100000,"")</f>
        <v/>
      </c>
    </row>
    <row r="193">
      <c r="A193">
        <f>IF($B193="","",IFERROR(IF(INDEX('Per Invoice'!$A$2:$A$801,MATCH($B193,'Per Invoice'!$B$2:$B$801,0))=0,"",INDEX('Per Invoice'!$A$2:$A$801,MATCH($B193,'Per Invoice'!$B$2:$B$801,0))),""))</f>
        <v/>
      </c>
      <c r="J193" s="7">
        <f>IF($B193="","",I193*Q193/100)</f>
        <v/>
      </c>
      <c r="N193" s="7" t="n"/>
      <c r="O193" s="7" t="n"/>
      <c r="P193" s="7">
        <f>IF($B193="","",O193*X193/100)</f>
        <v/>
      </c>
      <c r="Q193" s="7">
        <f>IF($B193="","",O193-P193)</f>
        <v/>
      </c>
      <c r="R193" s="7">
        <f>IF($B193="","",Q193-J193)</f>
        <v/>
      </c>
      <c r="S193" s="7" t="n"/>
      <c r="T193" s="7" t="n"/>
      <c r="V193" s="14" t="n"/>
      <c r="Z193">
        <f>IF($B193="","",IF(COUNTIF($B$2:$B193,$B193)=1,1,0))</f>
        <v/>
      </c>
      <c r="AA193">
        <f>IF($Z193=1,SUMPRODUCT(--($AC$2:$AC$3001&lt;$AC193))+1,"")</f>
        <v/>
      </c>
      <c r="AB193">
        <f>IF($B193="","",IF(OR($Y193=TRUE(),$Y193="TRUE"),1,IF(AND($Y193&lt;&gt;"",OR($Y193=FALSE(),$Y193="FALSE")),0,IF(MIN(ABS($X193/100-Settings!$C$6),ABS($X193/100-Settings!$G$6))&lt;=MIN(ABS($X193/100-Settings!$C$7),ABS($X193/100-Settings!$G$7)),1,0))))</f>
        <v/>
      </c>
      <c r="AC193">
        <f>IF($Z193=1,IFERROR(IF(VALUE($B193)&lt;100000000,VALUE($B193),1000000000),IFERROR(IF(VALUE(MID($B193,2,20))&lt;100000000,VALUE(MID($B193,2,20)),1000000000),1000000000))+ROW()/100000,"")</f>
        <v/>
      </c>
    </row>
    <row r="194">
      <c r="A194">
        <f>IF($B194="","",IFERROR(IF(INDEX('Per Invoice'!$A$2:$A$801,MATCH($B194,'Per Invoice'!$B$2:$B$801,0))=0,"",INDEX('Per Invoice'!$A$2:$A$801,MATCH($B194,'Per Invoice'!$B$2:$B$801,0))),""))</f>
        <v/>
      </c>
      <c r="J194" s="7">
        <f>IF($B194="","",I194*Q194/100)</f>
        <v/>
      </c>
      <c r="N194" s="7" t="n"/>
      <c r="O194" s="7" t="n"/>
      <c r="P194" s="7">
        <f>IF($B194="","",O194*X194/100)</f>
        <v/>
      </c>
      <c r="Q194" s="7">
        <f>IF($B194="","",O194-P194)</f>
        <v/>
      </c>
      <c r="R194" s="7">
        <f>IF($B194="","",Q194-J194)</f>
        <v/>
      </c>
      <c r="S194" s="7" t="n"/>
      <c r="T194" s="7" t="n"/>
      <c r="V194" s="14" t="n"/>
      <c r="Z194">
        <f>IF($B194="","",IF(COUNTIF($B$2:$B194,$B194)=1,1,0))</f>
        <v/>
      </c>
      <c r="AA194">
        <f>IF($Z194=1,SUMPRODUCT(--($AC$2:$AC$3001&lt;$AC194))+1,"")</f>
        <v/>
      </c>
      <c r="AB194">
        <f>IF($B194="","",IF(OR($Y194=TRUE(),$Y194="TRUE"),1,IF(AND($Y194&lt;&gt;"",OR($Y194=FALSE(),$Y194="FALSE")),0,IF(MIN(ABS($X194/100-Settings!$C$6),ABS($X194/100-Settings!$G$6))&lt;=MIN(ABS($X194/100-Settings!$C$7),ABS($X194/100-Settings!$G$7)),1,0))))</f>
        <v/>
      </c>
      <c r="AC194">
        <f>IF($Z194=1,IFERROR(IF(VALUE($B194)&lt;100000000,VALUE($B194),1000000000),IFERROR(IF(VALUE(MID($B194,2,20))&lt;100000000,VALUE(MID($B194,2,20)),1000000000),1000000000))+ROW()/100000,"")</f>
        <v/>
      </c>
    </row>
    <row r="195">
      <c r="A195">
        <f>IF($B195="","",IFERROR(IF(INDEX('Per Invoice'!$A$2:$A$801,MATCH($B195,'Per Invoice'!$B$2:$B$801,0))=0,"",INDEX('Per Invoice'!$A$2:$A$801,MATCH($B195,'Per Invoice'!$B$2:$B$801,0))),""))</f>
        <v/>
      </c>
      <c r="J195" s="7">
        <f>IF($B195="","",I195*Q195/100)</f>
        <v/>
      </c>
      <c r="N195" s="7" t="n"/>
      <c r="O195" s="7" t="n"/>
      <c r="P195" s="7">
        <f>IF($B195="","",O195*X195/100)</f>
        <v/>
      </c>
      <c r="Q195" s="7">
        <f>IF($B195="","",O195-P195)</f>
        <v/>
      </c>
      <c r="R195" s="7">
        <f>IF($B195="","",Q195-J195)</f>
        <v/>
      </c>
      <c r="S195" s="7" t="n"/>
      <c r="T195" s="7" t="n"/>
      <c r="V195" s="14" t="n"/>
      <c r="Z195">
        <f>IF($B195="","",IF(COUNTIF($B$2:$B195,$B195)=1,1,0))</f>
        <v/>
      </c>
      <c r="AA195">
        <f>IF($Z195=1,SUMPRODUCT(--($AC$2:$AC$3001&lt;$AC195))+1,"")</f>
        <v/>
      </c>
      <c r="AB195">
        <f>IF($B195="","",IF(OR($Y195=TRUE(),$Y195="TRUE"),1,IF(AND($Y195&lt;&gt;"",OR($Y195=FALSE(),$Y195="FALSE")),0,IF(MIN(ABS($X195/100-Settings!$C$6),ABS($X195/100-Settings!$G$6))&lt;=MIN(ABS($X195/100-Settings!$C$7),ABS($X195/100-Settings!$G$7)),1,0))))</f>
        <v/>
      </c>
      <c r="AC195">
        <f>IF($Z195=1,IFERROR(IF(VALUE($B195)&lt;100000000,VALUE($B195),1000000000),IFERROR(IF(VALUE(MID($B195,2,20))&lt;100000000,VALUE(MID($B195,2,20)),1000000000),1000000000))+ROW()/100000,"")</f>
        <v/>
      </c>
    </row>
    <row r="196">
      <c r="A196">
        <f>IF($B196="","",IFERROR(IF(INDEX('Per Invoice'!$A$2:$A$801,MATCH($B196,'Per Invoice'!$B$2:$B$801,0))=0,"",INDEX('Per Invoice'!$A$2:$A$801,MATCH($B196,'Per Invoice'!$B$2:$B$801,0))),""))</f>
        <v/>
      </c>
      <c r="J196" s="7">
        <f>IF($B196="","",I196*Q196/100)</f>
        <v/>
      </c>
      <c r="N196" s="7" t="n"/>
      <c r="O196" s="7" t="n"/>
      <c r="P196" s="7">
        <f>IF($B196="","",O196*X196/100)</f>
        <v/>
      </c>
      <c r="Q196" s="7">
        <f>IF($B196="","",O196-P196)</f>
        <v/>
      </c>
      <c r="R196" s="7">
        <f>IF($B196="","",Q196-J196)</f>
        <v/>
      </c>
      <c r="S196" s="7" t="n"/>
      <c r="T196" s="7" t="n"/>
      <c r="V196" s="14" t="n"/>
      <c r="Z196">
        <f>IF($B196="","",IF(COUNTIF($B$2:$B196,$B196)=1,1,0))</f>
        <v/>
      </c>
      <c r="AA196">
        <f>IF($Z196=1,SUMPRODUCT(--($AC$2:$AC$3001&lt;$AC196))+1,"")</f>
        <v/>
      </c>
      <c r="AB196">
        <f>IF($B196="","",IF(OR($Y196=TRUE(),$Y196="TRUE"),1,IF(AND($Y196&lt;&gt;"",OR($Y196=FALSE(),$Y196="FALSE")),0,IF(MIN(ABS($X196/100-Settings!$C$6),ABS($X196/100-Settings!$G$6))&lt;=MIN(ABS($X196/100-Settings!$C$7),ABS($X196/100-Settings!$G$7)),1,0))))</f>
        <v/>
      </c>
      <c r="AC196">
        <f>IF($Z196=1,IFERROR(IF(VALUE($B196)&lt;100000000,VALUE($B196),1000000000),IFERROR(IF(VALUE(MID($B196,2,20))&lt;100000000,VALUE(MID($B196,2,20)),1000000000),1000000000))+ROW()/100000,"")</f>
        <v/>
      </c>
    </row>
    <row r="197">
      <c r="A197">
        <f>IF($B197="","",IFERROR(IF(INDEX('Per Invoice'!$A$2:$A$801,MATCH($B197,'Per Invoice'!$B$2:$B$801,0))=0,"",INDEX('Per Invoice'!$A$2:$A$801,MATCH($B197,'Per Invoice'!$B$2:$B$801,0))),""))</f>
        <v/>
      </c>
      <c r="J197" s="7">
        <f>IF($B197="","",I197*Q197/100)</f>
        <v/>
      </c>
      <c r="N197" s="7" t="n"/>
      <c r="O197" s="7" t="n"/>
      <c r="P197" s="7">
        <f>IF($B197="","",O197*X197/100)</f>
        <v/>
      </c>
      <c r="Q197" s="7">
        <f>IF($B197="","",O197-P197)</f>
        <v/>
      </c>
      <c r="R197" s="7">
        <f>IF($B197="","",Q197-J197)</f>
        <v/>
      </c>
      <c r="S197" s="7" t="n"/>
      <c r="T197" s="7" t="n"/>
      <c r="V197" s="14" t="n"/>
      <c r="Z197">
        <f>IF($B197="","",IF(COUNTIF($B$2:$B197,$B197)=1,1,0))</f>
        <v/>
      </c>
      <c r="AA197">
        <f>IF($Z197=1,SUMPRODUCT(--($AC$2:$AC$3001&lt;$AC197))+1,"")</f>
        <v/>
      </c>
      <c r="AB197">
        <f>IF($B197="","",IF(OR($Y197=TRUE(),$Y197="TRUE"),1,IF(AND($Y197&lt;&gt;"",OR($Y197=FALSE(),$Y197="FALSE")),0,IF(MIN(ABS($X197/100-Settings!$C$6),ABS($X197/100-Settings!$G$6))&lt;=MIN(ABS($X197/100-Settings!$C$7),ABS($X197/100-Settings!$G$7)),1,0))))</f>
        <v/>
      </c>
      <c r="AC197">
        <f>IF($Z197=1,IFERROR(IF(VALUE($B197)&lt;100000000,VALUE($B197),1000000000),IFERROR(IF(VALUE(MID($B197,2,20))&lt;100000000,VALUE(MID($B197,2,20)),1000000000),1000000000))+ROW()/100000,"")</f>
        <v/>
      </c>
    </row>
    <row r="198">
      <c r="A198">
        <f>IF($B198="","",IFERROR(IF(INDEX('Per Invoice'!$A$2:$A$801,MATCH($B198,'Per Invoice'!$B$2:$B$801,0))=0,"",INDEX('Per Invoice'!$A$2:$A$801,MATCH($B198,'Per Invoice'!$B$2:$B$801,0))),""))</f>
        <v/>
      </c>
      <c r="J198" s="7">
        <f>IF($B198="","",I198*Q198/100)</f>
        <v/>
      </c>
      <c r="N198" s="7" t="n"/>
      <c r="O198" s="7" t="n"/>
      <c r="P198" s="7">
        <f>IF($B198="","",O198*X198/100)</f>
        <v/>
      </c>
      <c r="Q198" s="7">
        <f>IF($B198="","",O198-P198)</f>
        <v/>
      </c>
      <c r="R198" s="7">
        <f>IF($B198="","",Q198-J198)</f>
        <v/>
      </c>
      <c r="S198" s="7" t="n"/>
      <c r="T198" s="7" t="n"/>
      <c r="V198" s="14" t="n"/>
      <c r="Z198">
        <f>IF($B198="","",IF(COUNTIF($B$2:$B198,$B198)=1,1,0))</f>
        <v/>
      </c>
      <c r="AA198">
        <f>IF($Z198=1,SUMPRODUCT(--($AC$2:$AC$3001&lt;$AC198))+1,"")</f>
        <v/>
      </c>
      <c r="AB198">
        <f>IF($B198="","",IF(OR($Y198=TRUE(),$Y198="TRUE"),1,IF(AND($Y198&lt;&gt;"",OR($Y198=FALSE(),$Y198="FALSE")),0,IF(MIN(ABS($X198/100-Settings!$C$6),ABS($X198/100-Settings!$G$6))&lt;=MIN(ABS($X198/100-Settings!$C$7),ABS($X198/100-Settings!$G$7)),1,0))))</f>
        <v/>
      </c>
      <c r="AC198">
        <f>IF($Z198=1,IFERROR(IF(VALUE($B198)&lt;100000000,VALUE($B198),1000000000),IFERROR(IF(VALUE(MID($B198,2,20))&lt;100000000,VALUE(MID($B198,2,20)),1000000000),1000000000))+ROW()/100000,"")</f>
        <v/>
      </c>
    </row>
    <row r="199">
      <c r="A199">
        <f>IF($B199="","",IFERROR(IF(INDEX('Per Invoice'!$A$2:$A$801,MATCH($B199,'Per Invoice'!$B$2:$B$801,0))=0,"",INDEX('Per Invoice'!$A$2:$A$801,MATCH($B199,'Per Invoice'!$B$2:$B$801,0))),""))</f>
        <v/>
      </c>
      <c r="J199" s="7">
        <f>IF($B199="","",I199*Q199/100)</f>
        <v/>
      </c>
      <c r="N199" s="7" t="n"/>
      <c r="O199" s="7" t="n"/>
      <c r="P199" s="7">
        <f>IF($B199="","",O199*X199/100)</f>
        <v/>
      </c>
      <c r="Q199" s="7">
        <f>IF($B199="","",O199-P199)</f>
        <v/>
      </c>
      <c r="R199" s="7">
        <f>IF($B199="","",Q199-J199)</f>
        <v/>
      </c>
      <c r="S199" s="7" t="n"/>
      <c r="T199" s="7" t="n"/>
      <c r="V199" s="14" t="n"/>
      <c r="Z199">
        <f>IF($B199="","",IF(COUNTIF($B$2:$B199,$B199)=1,1,0))</f>
        <v/>
      </c>
      <c r="AA199">
        <f>IF($Z199=1,SUMPRODUCT(--($AC$2:$AC$3001&lt;$AC199))+1,"")</f>
        <v/>
      </c>
      <c r="AB199">
        <f>IF($B199="","",IF(OR($Y199=TRUE(),$Y199="TRUE"),1,IF(AND($Y199&lt;&gt;"",OR($Y199=FALSE(),$Y199="FALSE")),0,IF(MIN(ABS($X199/100-Settings!$C$6),ABS($X199/100-Settings!$G$6))&lt;=MIN(ABS($X199/100-Settings!$C$7),ABS($X199/100-Settings!$G$7)),1,0))))</f>
        <v/>
      </c>
      <c r="AC199">
        <f>IF($Z199=1,IFERROR(IF(VALUE($B199)&lt;100000000,VALUE($B199),1000000000),IFERROR(IF(VALUE(MID($B199,2,20))&lt;100000000,VALUE(MID($B199,2,20)),1000000000),1000000000))+ROW()/100000,"")</f>
        <v/>
      </c>
    </row>
    <row r="200">
      <c r="A200">
        <f>IF($B200="","",IFERROR(IF(INDEX('Per Invoice'!$A$2:$A$801,MATCH($B200,'Per Invoice'!$B$2:$B$801,0))=0,"",INDEX('Per Invoice'!$A$2:$A$801,MATCH($B200,'Per Invoice'!$B$2:$B$801,0))),""))</f>
        <v/>
      </c>
      <c r="J200" s="7">
        <f>IF($B200="","",I200*Q200/100)</f>
        <v/>
      </c>
      <c r="N200" s="7" t="n"/>
      <c r="O200" s="7" t="n"/>
      <c r="P200" s="7">
        <f>IF($B200="","",O200*X200/100)</f>
        <v/>
      </c>
      <c r="Q200" s="7">
        <f>IF($B200="","",O200-P200)</f>
        <v/>
      </c>
      <c r="R200" s="7">
        <f>IF($B200="","",Q200-J200)</f>
        <v/>
      </c>
      <c r="S200" s="7" t="n"/>
      <c r="T200" s="7" t="n"/>
      <c r="V200" s="14" t="n"/>
      <c r="Z200">
        <f>IF($B200="","",IF(COUNTIF($B$2:$B200,$B200)=1,1,0))</f>
        <v/>
      </c>
      <c r="AA200">
        <f>IF($Z200=1,SUMPRODUCT(--($AC$2:$AC$3001&lt;$AC200))+1,"")</f>
        <v/>
      </c>
      <c r="AB200">
        <f>IF($B200="","",IF(OR($Y200=TRUE(),$Y200="TRUE"),1,IF(AND($Y200&lt;&gt;"",OR($Y200=FALSE(),$Y200="FALSE")),0,IF(MIN(ABS($X200/100-Settings!$C$6),ABS($X200/100-Settings!$G$6))&lt;=MIN(ABS($X200/100-Settings!$C$7),ABS($X200/100-Settings!$G$7)),1,0))))</f>
        <v/>
      </c>
      <c r="AC200">
        <f>IF($Z200=1,IFERROR(IF(VALUE($B200)&lt;100000000,VALUE($B200),1000000000),IFERROR(IF(VALUE(MID($B200,2,20))&lt;100000000,VALUE(MID($B200,2,20)),1000000000),1000000000))+ROW()/100000,"")</f>
        <v/>
      </c>
    </row>
    <row r="201">
      <c r="A201">
        <f>IF($B201="","",IFERROR(IF(INDEX('Per Invoice'!$A$2:$A$801,MATCH($B201,'Per Invoice'!$B$2:$B$801,0))=0,"",INDEX('Per Invoice'!$A$2:$A$801,MATCH($B201,'Per Invoice'!$B$2:$B$801,0))),""))</f>
        <v/>
      </c>
      <c r="J201" s="7">
        <f>IF($B201="","",I201*Q201/100)</f>
        <v/>
      </c>
      <c r="N201" s="7" t="n"/>
      <c r="O201" s="7" t="n"/>
      <c r="P201" s="7">
        <f>IF($B201="","",O201*X201/100)</f>
        <v/>
      </c>
      <c r="Q201" s="7">
        <f>IF($B201="","",O201-P201)</f>
        <v/>
      </c>
      <c r="R201" s="7">
        <f>IF($B201="","",Q201-J201)</f>
        <v/>
      </c>
      <c r="S201" s="7" t="n"/>
      <c r="T201" s="7" t="n"/>
      <c r="V201" s="14" t="n"/>
      <c r="Z201">
        <f>IF($B201="","",IF(COUNTIF($B$2:$B201,$B201)=1,1,0))</f>
        <v/>
      </c>
      <c r="AA201">
        <f>IF($Z201=1,SUMPRODUCT(--($AC$2:$AC$3001&lt;$AC201))+1,"")</f>
        <v/>
      </c>
      <c r="AB201">
        <f>IF($B201="","",IF(OR($Y201=TRUE(),$Y201="TRUE"),1,IF(AND($Y201&lt;&gt;"",OR($Y201=FALSE(),$Y201="FALSE")),0,IF(MIN(ABS($X201/100-Settings!$C$6),ABS($X201/100-Settings!$G$6))&lt;=MIN(ABS($X201/100-Settings!$C$7),ABS($X201/100-Settings!$G$7)),1,0))))</f>
        <v/>
      </c>
      <c r="AC201">
        <f>IF($Z201=1,IFERROR(IF(VALUE($B201)&lt;100000000,VALUE($B201),1000000000),IFERROR(IF(VALUE(MID($B201,2,20))&lt;100000000,VALUE(MID($B201,2,20)),1000000000),1000000000))+ROW()/100000,"")</f>
        <v/>
      </c>
    </row>
    <row r="202">
      <c r="A202">
        <f>IF($B202="","",IFERROR(IF(INDEX('Per Invoice'!$A$2:$A$801,MATCH($B202,'Per Invoice'!$B$2:$B$801,0))=0,"",INDEX('Per Invoice'!$A$2:$A$801,MATCH($B202,'Per Invoice'!$B$2:$B$801,0))),""))</f>
        <v/>
      </c>
      <c r="J202" s="7">
        <f>IF($B202="","",I202*Q202/100)</f>
        <v/>
      </c>
      <c r="N202" s="7" t="n"/>
      <c r="O202" s="7" t="n"/>
      <c r="P202" s="7">
        <f>IF($B202="","",O202*X202/100)</f>
        <v/>
      </c>
      <c r="Q202" s="7">
        <f>IF($B202="","",O202-P202)</f>
        <v/>
      </c>
      <c r="R202" s="7">
        <f>IF($B202="","",Q202-J202)</f>
        <v/>
      </c>
      <c r="S202" s="7" t="n"/>
      <c r="T202" s="7" t="n"/>
      <c r="V202" s="14" t="n"/>
      <c r="Z202">
        <f>IF($B202="","",IF(COUNTIF($B$2:$B202,$B202)=1,1,0))</f>
        <v/>
      </c>
      <c r="AA202">
        <f>IF($Z202=1,SUMPRODUCT(--($AC$2:$AC$3001&lt;$AC202))+1,"")</f>
        <v/>
      </c>
      <c r="AB202">
        <f>IF($B202="","",IF(OR($Y202=TRUE(),$Y202="TRUE"),1,IF(AND($Y202&lt;&gt;"",OR($Y202=FALSE(),$Y202="FALSE")),0,IF(MIN(ABS($X202/100-Settings!$C$6),ABS($X202/100-Settings!$G$6))&lt;=MIN(ABS($X202/100-Settings!$C$7),ABS($X202/100-Settings!$G$7)),1,0))))</f>
        <v/>
      </c>
      <c r="AC202">
        <f>IF($Z202=1,IFERROR(IF(VALUE($B202)&lt;100000000,VALUE($B202),1000000000),IFERROR(IF(VALUE(MID($B202,2,20))&lt;100000000,VALUE(MID($B202,2,20)),1000000000),1000000000))+ROW()/100000,"")</f>
        <v/>
      </c>
    </row>
    <row r="203">
      <c r="A203">
        <f>IF($B203="","",IFERROR(IF(INDEX('Per Invoice'!$A$2:$A$801,MATCH($B203,'Per Invoice'!$B$2:$B$801,0))=0,"",INDEX('Per Invoice'!$A$2:$A$801,MATCH($B203,'Per Invoice'!$B$2:$B$801,0))),""))</f>
        <v/>
      </c>
      <c r="J203" s="7">
        <f>IF($B203="","",I203*Q203/100)</f>
        <v/>
      </c>
      <c r="N203" s="7" t="n"/>
      <c r="O203" s="7" t="n"/>
      <c r="P203" s="7">
        <f>IF($B203="","",O203*X203/100)</f>
        <v/>
      </c>
      <c r="Q203" s="7">
        <f>IF($B203="","",O203-P203)</f>
        <v/>
      </c>
      <c r="R203" s="7">
        <f>IF($B203="","",Q203-J203)</f>
        <v/>
      </c>
      <c r="S203" s="7" t="n"/>
      <c r="T203" s="7" t="n"/>
      <c r="V203" s="14" t="n"/>
      <c r="Z203">
        <f>IF($B203="","",IF(COUNTIF($B$2:$B203,$B203)=1,1,0))</f>
        <v/>
      </c>
      <c r="AA203">
        <f>IF($Z203=1,SUMPRODUCT(--($AC$2:$AC$3001&lt;$AC203))+1,"")</f>
        <v/>
      </c>
      <c r="AB203">
        <f>IF($B203="","",IF(OR($Y203=TRUE(),$Y203="TRUE"),1,IF(AND($Y203&lt;&gt;"",OR($Y203=FALSE(),$Y203="FALSE")),0,IF(MIN(ABS($X203/100-Settings!$C$6),ABS($X203/100-Settings!$G$6))&lt;=MIN(ABS($X203/100-Settings!$C$7),ABS($X203/100-Settings!$G$7)),1,0))))</f>
        <v/>
      </c>
      <c r="AC203">
        <f>IF($Z203=1,IFERROR(IF(VALUE($B203)&lt;100000000,VALUE($B203),1000000000),IFERROR(IF(VALUE(MID($B203,2,20))&lt;100000000,VALUE(MID($B203,2,20)),1000000000),1000000000))+ROW()/100000,"")</f>
        <v/>
      </c>
    </row>
    <row r="204">
      <c r="A204">
        <f>IF($B204="","",IFERROR(IF(INDEX('Per Invoice'!$A$2:$A$801,MATCH($B204,'Per Invoice'!$B$2:$B$801,0))=0,"",INDEX('Per Invoice'!$A$2:$A$801,MATCH($B204,'Per Invoice'!$B$2:$B$801,0))),""))</f>
        <v/>
      </c>
      <c r="J204" s="7">
        <f>IF($B204="","",I204*Q204/100)</f>
        <v/>
      </c>
      <c r="N204" s="7" t="n"/>
      <c r="O204" s="7" t="n"/>
      <c r="P204" s="7">
        <f>IF($B204="","",O204*X204/100)</f>
        <v/>
      </c>
      <c r="Q204" s="7">
        <f>IF($B204="","",O204-P204)</f>
        <v/>
      </c>
      <c r="R204" s="7">
        <f>IF($B204="","",Q204-J204)</f>
        <v/>
      </c>
      <c r="S204" s="7" t="n"/>
      <c r="T204" s="7" t="n"/>
      <c r="V204" s="14" t="n"/>
      <c r="Z204">
        <f>IF($B204="","",IF(COUNTIF($B$2:$B204,$B204)=1,1,0))</f>
        <v/>
      </c>
      <c r="AA204">
        <f>IF($Z204=1,SUMPRODUCT(--($AC$2:$AC$3001&lt;$AC204))+1,"")</f>
        <v/>
      </c>
      <c r="AB204">
        <f>IF($B204="","",IF(OR($Y204=TRUE(),$Y204="TRUE"),1,IF(AND($Y204&lt;&gt;"",OR($Y204=FALSE(),$Y204="FALSE")),0,IF(MIN(ABS($X204/100-Settings!$C$6),ABS($X204/100-Settings!$G$6))&lt;=MIN(ABS($X204/100-Settings!$C$7),ABS($X204/100-Settings!$G$7)),1,0))))</f>
        <v/>
      </c>
      <c r="AC204">
        <f>IF($Z204=1,IFERROR(IF(VALUE($B204)&lt;100000000,VALUE($B204),1000000000),IFERROR(IF(VALUE(MID($B204,2,20))&lt;100000000,VALUE(MID($B204,2,20)),1000000000),1000000000))+ROW()/100000,"")</f>
        <v/>
      </c>
    </row>
    <row r="205">
      <c r="A205">
        <f>IF($B205="","",IFERROR(IF(INDEX('Per Invoice'!$A$2:$A$801,MATCH($B205,'Per Invoice'!$B$2:$B$801,0))=0,"",INDEX('Per Invoice'!$A$2:$A$801,MATCH($B205,'Per Invoice'!$B$2:$B$801,0))),""))</f>
        <v/>
      </c>
      <c r="J205" s="7">
        <f>IF($B205="","",I205*Q205/100)</f>
        <v/>
      </c>
      <c r="N205" s="7" t="n"/>
      <c r="O205" s="7" t="n"/>
      <c r="P205" s="7">
        <f>IF($B205="","",O205*X205/100)</f>
        <v/>
      </c>
      <c r="Q205" s="7">
        <f>IF($B205="","",O205-P205)</f>
        <v/>
      </c>
      <c r="R205" s="7">
        <f>IF($B205="","",Q205-J205)</f>
        <v/>
      </c>
      <c r="S205" s="7" t="n"/>
      <c r="T205" s="7" t="n"/>
      <c r="V205" s="14" t="n"/>
      <c r="Z205">
        <f>IF($B205="","",IF(COUNTIF($B$2:$B205,$B205)=1,1,0))</f>
        <v/>
      </c>
      <c r="AA205">
        <f>IF($Z205=1,SUMPRODUCT(--($AC$2:$AC$3001&lt;$AC205))+1,"")</f>
        <v/>
      </c>
      <c r="AB205">
        <f>IF($B205="","",IF(OR($Y205=TRUE(),$Y205="TRUE"),1,IF(AND($Y205&lt;&gt;"",OR($Y205=FALSE(),$Y205="FALSE")),0,IF(MIN(ABS($X205/100-Settings!$C$6),ABS($X205/100-Settings!$G$6))&lt;=MIN(ABS($X205/100-Settings!$C$7),ABS($X205/100-Settings!$G$7)),1,0))))</f>
        <v/>
      </c>
      <c r="AC205">
        <f>IF($Z205=1,IFERROR(IF(VALUE($B205)&lt;100000000,VALUE($B205),1000000000),IFERROR(IF(VALUE(MID($B205,2,20))&lt;100000000,VALUE(MID($B205,2,20)),1000000000),1000000000))+ROW()/100000,"")</f>
        <v/>
      </c>
    </row>
    <row r="206">
      <c r="A206">
        <f>IF($B206="","",IFERROR(IF(INDEX('Per Invoice'!$A$2:$A$801,MATCH($B206,'Per Invoice'!$B$2:$B$801,0))=0,"",INDEX('Per Invoice'!$A$2:$A$801,MATCH($B206,'Per Invoice'!$B$2:$B$801,0))),""))</f>
        <v/>
      </c>
      <c r="J206" s="7">
        <f>IF($B206="","",I206*Q206/100)</f>
        <v/>
      </c>
      <c r="N206" s="7" t="n"/>
      <c r="O206" s="7" t="n"/>
      <c r="P206" s="7">
        <f>IF($B206="","",O206*X206/100)</f>
        <v/>
      </c>
      <c r="Q206" s="7">
        <f>IF($B206="","",O206-P206)</f>
        <v/>
      </c>
      <c r="R206" s="7">
        <f>IF($B206="","",Q206-J206)</f>
        <v/>
      </c>
      <c r="S206" s="7" t="n"/>
      <c r="T206" s="7" t="n"/>
      <c r="V206" s="14" t="n"/>
      <c r="Z206">
        <f>IF($B206="","",IF(COUNTIF($B$2:$B206,$B206)=1,1,0))</f>
        <v/>
      </c>
      <c r="AA206">
        <f>IF($Z206=1,SUMPRODUCT(--($AC$2:$AC$3001&lt;$AC206))+1,"")</f>
        <v/>
      </c>
      <c r="AB206">
        <f>IF($B206="","",IF(OR($Y206=TRUE(),$Y206="TRUE"),1,IF(AND($Y206&lt;&gt;"",OR($Y206=FALSE(),$Y206="FALSE")),0,IF(MIN(ABS($X206/100-Settings!$C$6),ABS($X206/100-Settings!$G$6))&lt;=MIN(ABS($X206/100-Settings!$C$7),ABS($X206/100-Settings!$G$7)),1,0))))</f>
        <v/>
      </c>
      <c r="AC206">
        <f>IF($Z206=1,IFERROR(IF(VALUE($B206)&lt;100000000,VALUE($B206),1000000000),IFERROR(IF(VALUE(MID($B206,2,20))&lt;100000000,VALUE(MID($B206,2,20)),1000000000),1000000000))+ROW()/100000,"")</f>
        <v/>
      </c>
    </row>
    <row r="207">
      <c r="A207">
        <f>IF($B207="","",IFERROR(IF(INDEX('Per Invoice'!$A$2:$A$801,MATCH($B207,'Per Invoice'!$B$2:$B$801,0))=0,"",INDEX('Per Invoice'!$A$2:$A$801,MATCH($B207,'Per Invoice'!$B$2:$B$801,0))),""))</f>
        <v/>
      </c>
      <c r="J207" s="7">
        <f>IF($B207="","",I207*Q207/100)</f>
        <v/>
      </c>
      <c r="N207" s="7" t="n"/>
      <c r="O207" s="7" t="n"/>
      <c r="P207" s="7">
        <f>IF($B207="","",O207*X207/100)</f>
        <v/>
      </c>
      <c r="Q207" s="7">
        <f>IF($B207="","",O207-P207)</f>
        <v/>
      </c>
      <c r="R207" s="7">
        <f>IF($B207="","",Q207-J207)</f>
        <v/>
      </c>
      <c r="S207" s="7" t="n"/>
      <c r="T207" s="7" t="n"/>
      <c r="V207" s="14" t="n"/>
      <c r="Z207">
        <f>IF($B207="","",IF(COUNTIF($B$2:$B207,$B207)=1,1,0))</f>
        <v/>
      </c>
      <c r="AA207">
        <f>IF($Z207=1,SUMPRODUCT(--($AC$2:$AC$3001&lt;$AC207))+1,"")</f>
        <v/>
      </c>
      <c r="AB207">
        <f>IF($B207="","",IF(OR($Y207=TRUE(),$Y207="TRUE"),1,IF(AND($Y207&lt;&gt;"",OR($Y207=FALSE(),$Y207="FALSE")),0,IF(MIN(ABS($X207/100-Settings!$C$6),ABS($X207/100-Settings!$G$6))&lt;=MIN(ABS($X207/100-Settings!$C$7),ABS($X207/100-Settings!$G$7)),1,0))))</f>
        <v/>
      </c>
      <c r="AC207">
        <f>IF($Z207=1,IFERROR(IF(VALUE($B207)&lt;100000000,VALUE($B207),1000000000),IFERROR(IF(VALUE(MID($B207,2,20))&lt;100000000,VALUE(MID($B207,2,20)),1000000000),1000000000))+ROW()/100000,"")</f>
        <v/>
      </c>
    </row>
    <row r="208">
      <c r="A208">
        <f>IF($B208="","",IFERROR(IF(INDEX('Per Invoice'!$A$2:$A$801,MATCH($B208,'Per Invoice'!$B$2:$B$801,0))=0,"",INDEX('Per Invoice'!$A$2:$A$801,MATCH($B208,'Per Invoice'!$B$2:$B$801,0))),""))</f>
        <v/>
      </c>
      <c r="J208" s="7">
        <f>IF($B208="","",I208*Q208/100)</f>
        <v/>
      </c>
      <c r="N208" s="7" t="n"/>
      <c r="O208" s="7" t="n"/>
      <c r="P208" s="7">
        <f>IF($B208="","",O208*X208/100)</f>
        <v/>
      </c>
      <c r="Q208" s="7">
        <f>IF($B208="","",O208-P208)</f>
        <v/>
      </c>
      <c r="R208" s="7">
        <f>IF($B208="","",Q208-J208)</f>
        <v/>
      </c>
      <c r="S208" s="7" t="n"/>
      <c r="T208" s="7" t="n"/>
      <c r="V208" s="14" t="n"/>
      <c r="Z208">
        <f>IF($B208="","",IF(COUNTIF($B$2:$B208,$B208)=1,1,0))</f>
        <v/>
      </c>
      <c r="AA208">
        <f>IF($Z208=1,SUMPRODUCT(--($AC$2:$AC$3001&lt;$AC208))+1,"")</f>
        <v/>
      </c>
      <c r="AB208">
        <f>IF($B208="","",IF(OR($Y208=TRUE(),$Y208="TRUE"),1,IF(AND($Y208&lt;&gt;"",OR($Y208=FALSE(),$Y208="FALSE")),0,IF(MIN(ABS($X208/100-Settings!$C$6),ABS($X208/100-Settings!$G$6))&lt;=MIN(ABS($X208/100-Settings!$C$7),ABS($X208/100-Settings!$G$7)),1,0))))</f>
        <v/>
      </c>
      <c r="AC208">
        <f>IF($Z208=1,IFERROR(IF(VALUE($B208)&lt;100000000,VALUE($B208),1000000000),IFERROR(IF(VALUE(MID($B208,2,20))&lt;100000000,VALUE(MID($B208,2,20)),1000000000),1000000000))+ROW()/100000,"")</f>
        <v/>
      </c>
    </row>
    <row r="209">
      <c r="A209">
        <f>IF($B209="","",IFERROR(IF(INDEX('Per Invoice'!$A$2:$A$801,MATCH($B209,'Per Invoice'!$B$2:$B$801,0))=0,"",INDEX('Per Invoice'!$A$2:$A$801,MATCH($B209,'Per Invoice'!$B$2:$B$801,0))),""))</f>
        <v/>
      </c>
      <c r="J209" s="7">
        <f>IF($B209="","",I209*Q209/100)</f>
        <v/>
      </c>
      <c r="N209" s="7" t="n"/>
      <c r="O209" s="7" t="n"/>
      <c r="P209" s="7">
        <f>IF($B209="","",O209*X209/100)</f>
        <v/>
      </c>
      <c r="Q209" s="7">
        <f>IF($B209="","",O209-P209)</f>
        <v/>
      </c>
      <c r="R209" s="7">
        <f>IF($B209="","",Q209-J209)</f>
        <v/>
      </c>
      <c r="S209" s="7" t="n"/>
      <c r="T209" s="7" t="n"/>
      <c r="V209" s="14" t="n"/>
      <c r="Z209">
        <f>IF($B209="","",IF(COUNTIF($B$2:$B209,$B209)=1,1,0))</f>
        <v/>
      </c>
      <c r="AA209">
        <f>IF($Z209=1,SUMPRODUCT(--($AC$2:$AC$3001&lt;$AC209))+1,"")</f>
        <v/>
      </c>
      <c r="AB209">
        <f>IF($B209="","",IF(OR($Y209=TRUE(),$Y209="TRUE"),1,IF(AND($Y209&lt;&gt;"",OR($Y209=FALSE(),$Y209="FALSE")),0,IF(MIN(ABS($X209/100-Settings!$C$6),ABS($X209/100-Settings!$G$6))&lt;=MIN(ABS($X209/100-Settings!$C$7),ABS($X209/100-Settings!$G$7)),1,0))))</f>
        <v/>
      </c>
      <c r="AC209">
        <f>IF($Z209=1,IFERROR(IF(VALUE($B209)&lt;100000000,VALUE($B209),1000000000),IFERROR(IF(VALUE(MID($B209,2,20))&lt;100000000,VALUE(MID($B209,2,20)),1000000000),1000000000))+ROW()/100000,"")</f>
        <v/>
      </c>
    </row>
    <row r="210">
      <c r="A210">
        <f>IF($B210="","",IFERROR(IF(INDEX('Per Invoice'!$A$2:$A$801,MATCH($B210,'Per Invoice'!$B$2:$B$801,0))=0,"",INDEX('Per Invoice'!$A$2:$A$801,MATCH($B210,'Per Invoice'!$B$2:$B$801,0))),""))</f>
        <v/>
      </c>
      <c r="J210" s="7">
        <f>IF($B210="","",I210*Q210/100)</f>
        <v/>
      </c>
      <c r="N210" s="7" t="n"/>
      <c r="O210" s="7" t="n"/>
      <c r="P210" s="7">
        <f>IF($B210="","",O210*X210/100)</f>
        <v/>
      </c>
      <c r="Q210" s="7">
        <f>IF($B210="","",O210-P210)</f>
        <v/>
      </c>
      <c r="R210" s="7">
        <f>IF($B210="","",Q210-J210)</f>
        <v/>
      </c>
      <c r="S210" s="7" t="n"/>
      <c r="T210" s="7" t="n"/>
      <c r="V210" s="14" t="n"/>
      <c r="Z210">
        <f>IF($B210="","",IF(COUNTIF($B$2:$B210,$B210)=1,1,0))</f>
        <v/>
      </c>
      <c r="AA210">
        <f>IF($Z210=1,SUMPRODUCT(--($AC$2:$AC$3001&lt;$AC210))+1,"")</f>
        <v/>
      </c>
      <c r="AB210">
        <f>IF($B210="","",IF(OR($Y210=TRUE(),$Y210="TRUE"),1,IF(AND($Y210&lt;&gt;"",OR($Y210=FALSE(),$Y210="FALSE")),0,IF(MIN(ABS($X210/100-Settings!$C$6),ABS($X210/100-Settings!$G$6))&lt;=MIN(ABS($X210/100-Settings!$C$7),ABS($X210/100-Settings!$G$7)),1,0))))</f>
        <v/>
      </c>
      <c r="AC210">
        <f>IF($Z210=1,IFERROR(IF(VALUE($B210)&lt;100000000,VALUE($B210),1000000000),IFERROR(IF(VALUE(MID($B210,2,20))&lt;100000000,VALUE(MID($B210,2,20)),1000000000),1000000000))+ROW()/100000,"")</f>
        <v/>
      </c>
    </row>
    <row r="211">
      <c r="A211">
        <f>IF($B211="","",IFERROR(IF(INDEX('Per Invoice'!$A$2:$A$801,MATCH($B211,'Per Invoice'!$B$2:$B$801,0))=0,"",INDEX('Per Invoice'!$A$2:$A$801,MATCH($B211,'Per Invoice'!$B$2:$B$801,0))),""))</f>
        <v/>
      </c>
      <c r="J211" s="7">
        <f>IF($B211="","",I211*Q211/100)</f>
        <v/>
      </c>
      <c r="N211" s="7" t="n"/>
      <c r="O211" s="7" t="n"/>
      <c r="P211" s="7">
        <f>IF($B211="","",O211*X211/100)</f>
        <v/>
      </c>
      <c r="Q211" s="7">
        <f>IF($B211="","",O211-P211)</f>
        <v/>
      </c>
      <c r="R211" s="7">
        <f>IF($B211="","",Q211-J211)</f>
        <v/>
      </c>
      <c r="S211" s="7" t="n"/>
      <c r="T211" s="7" t="n"/>
      <c r="V211" s="14" t="n"/>
      <c r="Z211">
        <f>IF($B211="","",IF(COUNTIF($B$2:$B211,$B211)=1,1,0))</f>
        <v/>
      </c>
      <c r="AA211">
        <f>IF($Z211=1,SUMPRODUCT(--($AC$2:$AC$3001&lt;$AC211))+1,"")</f>
        <v/>
      </c>
      <c r="AB211">
        <f>IF($B211="","",IF(OR($Y211=TRUE(),$Y211="TRUE"),1,IF(AND($Y211&lt;&gt;"",OR($Y211=FALSE(),$Y211="FALSE")),0,IF(MIN(ABS($X211/100-Settings!$C$6),ABS($X211/100-Settings!$G$6))&lt;=MIN(ABS($X211/100-Settings!$C$7),ABS($X211/100-Settings!$G$7)),1,0))))</f>
        <v/>
      </c>
      <c r="AC211">
        <f>IF($Z211=1,IFERROR(IF(VALUE($B211)&lt;100000000,VALUE($B211),1000000000),IFERROR(IF(VALUE(MID($B211,2,20))&lt;100000000,VALUE(MID($B211,2,20)),1000000000),1000000000))+ROW()/100000,"")</f>
        <v/>
      </c>
    </row>
    <row r="212">
      <c r="A212">
        <f>IF($B212="","",IFERROR(IF(INDEX('Per Invoice'!$A$2:$A$801,MATCH($B212,'Per Invoice'!$B$2:$B$801,0))=0,"",INDEX('Per Invoice'!$A$2:$A$801,MATCH($B212,'Per Invoice'!$B$2:$B$801,0))),""))</f>
        <v/>
      </c>
      <c r="J212" s="7">
        <f>IF($B212="","",I212*Q212/100)</f>
        <v/>
      </c>
      <c r="N212" s="7" t="n"/>
      <c r="O212" s="7" t="n"/>
      <c r="P212" s="7">
        <f>IF($B212="","",O212*X212/100)</f>
        <v/>
      </c>
      <c r="Q212" s="7">
        <f>IF($B212="","",O212-P212)</f>
        <v/>
      </c>
      <c r="R212" s="7">
        <f>IF($B212="","",Q212-J212)</f>
        <v/>
      </c>
      <c r="S212" s="7" t="n"/>
      <c r="T212" s="7" t="n"/>
      <c r="V212" s="14" t="n"/>
      <c r="Z212">
        <f>IF($B212="","",IF(COUNTIF($B$2:$B212,$B212)=1,1,0))</f>
        <v/>
      </c>
      <c r="AA212">
        <f>IF($Z212=1,SUMPRODUCT(--($AC$2:$AC$3001&lt;$AC212))+1,"")</f>
        <v/>
      </c>
      <c r="AB212">
        <f>IF($B212="","",IF(OR($Y212=TRUE(),$Y212="TRUE"),1,IF(AND($Y212&lt;&gt;"",OR($Y212=FALSE(),$Y212="FALSE")),0,IF(MIN(ABS($X212/100-Settings!$C$6),ABS($X212/100-Settings!$G$6))&lt;=MIN(ABS($X212/100-Settings!$C$7),ABS($X212/100-Settings!$G$7)),1,0))))</f>
        <v/>
      </c>
      <c r="AC212">
        <f>IF($Z212=1,IFERROR(IF(VALUE($B212)&lt;100000000,VALUE($B212),1000000000),IFERROR(IF(VALUE(MID($B212,2,20))&lt;100000000,VALUE(MID($B212,2,20)),1000000000),1000000000))+ROW()/100000,"")</f>
        <v/>
      </c>
    </row>
    <row r="213">
      <c r="A213">
        <f>IF($B213="","",IFERROR(IF(INDEX('Per Invoice'!$A$2:$A$801,MATCH($B213,'Per Invoice'!$B$2:$B$801,0))=0,"",INDEX('Per Invoice'!$A$2:$A$801,MATCH($B213,'Per Invoice'!$B$2:$B$801,0))),""))</f>
        <v/>
      </c>
      <c r="J213" s="7">
        <f>IF($B213="","",I213*Q213/100)</f>
        <v/>
      </c>
      <c r="N213" s="7" t="n"/>
      <c r="O213" s="7" t="n"/>
      <c r="P213" s="7">
        <f>IF($B213="","",O213*X213/100)</f>
        <v/>
      </c>
      <c r="Q213" s="7">
        <f>IF($B213="","",O213-P213)</f>
        <v/>
      </c>
      <c r="R213" s="7">
        <f>IF($B213="","",Q213-J213)</f>
        <v/>
      </c>
      <c r="S213" s="7" t="n"/>
      <c r="T213" s="7" t="n"/>
      <c r="V213" s="14" t="n"/>
      <c r="Z213">
        <f>IF($B213="","",IF(COUNTIF($B$2:$B213,$B213)=1,1,0))</f>
        <v/>
      </c>
      <c r="AA213">
        <f>IF($Z213=1,SUMPRODUCT(--($AC$2:$AC$3001&lt;$AC213))+1,"")</f>
        <v/>
      </c>
      <c r="AB213">
        <f>IF($B213="","",IF(OR($Y213=TRUE(),$Y213="TRUE"),1,IF(AND($Y213&lt;&gt;"",OR($Y213=FALSE(),$Y213="FALSE")),0,IF(MIN(ABS($X213/100-Settings!$C$6),ABS($X213/100-Settings!$G$6))&lt;=MIN(ABS($X213/100-Settings!$C$7),ABS($X213/100-Settings!$G$7)),1,0))))</f>
        <v/>
      </c>
      <c r="AC213">
        <f>IF($Z213=1,IFERROR(IF(VALUE($B213)&lt;100000000,VALUE($B213),1000000000),IFERROR(IF(VALUE(MID($B213,2,20))&lt;100000000,VALUE(MID($B213,2,20)),1000000000),1000000000))+ROW()/100000,"")</f>
        <v/>
      </c>
    </row>
    <row r="214">
      <c r="A214">
        <f>IF($B214="","",IFERROR(IF(INDEX('Per Invoice'!$A$2:$A$801,MATCH($B214,'Per Invoice'!$B$2:$B$801,0))=0,"",INDEX('Per Invoice'!$A$2:$A$801,MATCH($B214,'Per Invoice'!$B$2:$B$801,0))),""))</f>
        <v/>
      </c>
      <c r="J214" s="7">
        <f>IF($B214="","",I214*Q214/100)</f>
        <v/>
      </c>
      <c r="N214" s="7" t="n"/>
      <c r="O214" s="7" t="n"/>
      <c r="P214" s="7">
        <f>IF($B214="","",O214*X214/100)</f>
        <v/>
      </c>
      <c r="Q214" s="7">
        <f>IF($B214="","",O214-P214)</f>
        <v/>
      </c>
      <c r="R214" s="7">
        <f>IF($B214="","",Q214-J214)</f>
        <v/>
      </c>
      <c r="S214" s="7" t="n"/>
      <c r="T214" s="7" t="n"/>
      <c r="V214" s="14" t="n"/>
      <c r="Z214">
        <f>IF($B214="","",IF(COUNTIF($B$2:$B214,$B214)=1,1,0))</f>
        <v/>
      </c>
      <c r="AA214">
        <f>IF($Z214=1,SUMPRODUCT(--($AC$2:$AC$3001&lt;$AC214))+1,"")</f>
        <v/>
      </c>
      <c r="AB214">
        <f>IF($B214="","",IF(OR($Y214=TRUE(),$Y214="TRUE"),1,IF(AND($Y214&lt;&gt;"",OR($Y214=FALSE(),$Y214="FALSE")),0,IF(MIN(ABS($X214/100-Settings!$C$6),ABS($X214/100-Settings!$G$6))&lt;=MIN(ABS($X214/100-Settings!$C$7),ABS($X214/100-Settings!$G$7)),1,0))))</f>
        <v/>
      </c>
      <c r="AC214">
        <f>IF($Z214=1,IFERROR(IF(VALUE($B214)&lt;100000000,VALUE($B214),1000000000),IFERROR(IF(VALUE(MID($B214,2,20))&lt;100000000,VALUE(MID($B214,2,20)),1000000000),1000000000))+ROW()/100000,"")</f>
        <v/>
      </c>
    </row>
    <row r="215">
      <c r="A215">
        <f>IF($B215="","",IFERROR(IF(INDEX('Per Invoice'!$A$2:$A$801,MATCH($B215,'Per Invoice'!$B$2:$B$801,0))=0,"",INDEX('Per Invoice'!$A$2:$A$801,MATCH($B215,'Per Invoice'!$B$2:$B$801,0))),""))</f>
        <v/>
      </c>
      <c r="J215" s="7">
        <f>IF($B215="","",I215*Q215/100)</f>
        <v/>
      </c>
      <c r="N215" s="7" t="n"/>
      <c r="O215" s="7" t="n"/>
      <c r="P215" s="7">
        <f>IF($B215="","",O215*X215/100)</f>
        <v/>
      </c>
      <c r="Q215" s="7">
        <f>IF($B215="","",O215-P215)</f>
        <v/>
      </c>
      <c r="R215" s="7">
        <f>IF($B215="","",Q215-J215)</f>
        <v/>
      </c>
      <c r="S215" s="7" t="n"/>
      <c r="T215" s="7" t="n"/>
      <c r="V215" s="14" t="n"/>
      <c r="Z215">
        <f>IF($B215="","",IF(COUNTIF($B$2:$B215,$B215)=1,1,0))</f>
        <v/>
      </c>
      <c r="AA215">
        <f>IF($Z215=1,SUMPRODUCT(--($AC$2:$AC$3001&lt;$AC215))+1,"")</f>
        <v/>
      </c>
      <c r="AB215">
        <f>IF($B215="","",IF(OR($Y215=TRUE(),$Y215="TRUE"),1,IF(AND($Y215&lt;&gt;"",OR($Y215=FALSE(),$Y215="FALSE")),0,IF(MIN(ABS($X215/100-Settings!$C$6),ABS($X215/100-Settings!$G$6))&lt;=MIN(ABS($X215/100-Settings!$C$7),ABS($X215/100-Settings!$G$7)),1,0))))</f>
        <v/>
      </c>
      <c r="AC215">
        <f>IF($Z215=1,IFERROR(IF(VALUE($B215)&lt;100000000,VALUE($B215),1000000000),IFERROR(IF(VALUE(MID($B215,2,20))&lt;100000000,VALUE(MID($B215,2,20)),1000000000),1000000000))+ROW()/100000,"")</f>
        <v/>
      </c>
    </row>
    <row r="216">
      <c r="A216">
        <f>IF($B216="","",IFERROR(IF(INDEX('Per Invoice'!$A$2:$A$801,MATCH($B216,'Per Invoice'!$B$2:$B$801,0))=0,"",INDEX('Per Invoice'!$A$2:$A$801,MATCH($B216,'Per Invoice'!$B$2:$B$801,0))),""))</f>
        <v/>
      </c>
      <c r="J216" s="7">
        <f>IF($B216="","",I216*Q216/100)</f>
        <v/>
      </c>
      <c r="N216" s="7" t="n"/>
      <c r="O216" s="7" t="n"/>
      <c r="P216" s="7">
        <f>IF($B216="","",O216*X216/100)</f>
        <v/>
      </c>
      <c r="Q216" s="7">
        <f>IF($B216="","",O216-P216)</f>
        <v/>
      </c>
      <c r="R216" s="7">
        <f>IF($B216="","",Q216-J216)</f>
        <v/>
      </c>
      <c r="S216" s="7" t="n"/>
      <c r="T216" s="7" t="n"/>
      <c r="V216" s="14" t="n"/>
      <c r="Z216">
        <f>IF($B216="","",IF(COUNTIF($B$2:$B216,$B216)=1,1,0))</f>
        <v/>
      </c>
      <c r="AA216">
        <f>IF($Z216=1,SUMPRODUCT(--($AC$2:$AC$3001&lt;$AC216))+1,"")</f>
        <v/>
      </c>
      <c r="AB216">
        <f>IF($B216="","",IF(OR($Y216=TRUE(),$Y216="TRUE"),1,IF(AND($Y216&lt;&gt;"",OR($Y216=FALSE(),$Y216="FALSE")),0,IF(MIN(ABS($X216/100-Settings!$C$6),ABS($X216/100-Settings!$G$6))&lt;=MIN(ABS($X216/100-Settings!$C$7),ABS($X216/100-Settings!$G$7)),1,0))))</f>
        <v/>
      </c>
      <c r="AC216">
        <f>IF($Z216=1,IFERROR(IF(VALUE($B216)&lt;100000000,VALUE($B216),1000000000),IFERROR(IF(VALUE(MID($B216,2,20))&lt;100000000,VALUE(MID($B216,2,20)),1000000000),1000000000))+ROW()/100000,"")</f>
        <v/>
      </c>
    </row>
    <row r="217">
      <c r="A217">
        <f>IF($B217="","",IFERROR(IF(INDEX('Per Invoice'!$A$2:$A$801,MATCH($B217,'Per Invoice'!$B$2:$B$801,0))=0,"",INDEX('Per Invoice'!$A$2:$A$801,MATCH($B217,'Per Invoice'!$B$2:$B$801,0))),""))</f>
        <v/>
      </c>
      <c r="J217" s="7">
        <f>IF($B217="","",I217*Q217/100)</f>
        <v/>
      </c>
      <c r="N217" s="7" t="n"/>
      <c r="O217" s="7" t="n"/>
      <c r="P217" s="7">
        <f>IF($B217="","",O217*X217/100)</f>
        <v/>
      </c>
      <c r="Q217" s="7">
        <f>IF($B217="","",O217-P217)</f>
        <v/>
      </c>
      <c r="R217" s="7">
        <f>IF($B217="","",Q217-J217)</f>
        <v/>
      </c>
      <c r="S217" s="7" t="n"/>
      <c r="T217" s="7" t="n"/>
      <c r="V217" s="14" t="n"/>
      <c r="Z217">
        <f>IF($B217="","",IF(COUNTIF($B$2:$B217,$B217)=1,1,0))</f>
        <v/>
      </c>
      <c r="AA217">
        <f>IF($Z217=1,SUMPRODUCT(--($AC$2:$AC$3001&lt;$AC217))+1,"")</f>
        <v/>
      </c>
      <c r="AB217">
        <f>IF($B217="","",IF(OR($Y217=TRUE(),$Y217="TRUE"),1,IF(AND($Y217&lt;&gt;"",OR($Y217=FALSE(),$Y217="FALSE")),0,IF(MIN(ABS($X217/100-Settings!$C$6),ABS($X217/100-Settings!$G$6))&lt;=MIN(ABS($X217/100-Settings!$C$7),ABS($X217/100-Settings!$G$7)),1,0))))</f>
        <v/>
      </c>
      <c r="AC217">
        <f>IF($Z217=1,IFERROR(IF(VALUE($B217)&lt;100000000,VALUE($B217),1000000000),IFERROR(IF(VALUE(MID($B217,2,20))&lt;100000000,VALUE(MID($B217,2,20)),1000000000),1000000000))+ROW()/100000,"")</f>
        <v/>
      </c>
    </row>
    <row r="218">
      <c r="A218">
        <f>IF($B218="","",IFERROR(IF(INDEX('Per Invoice'!$A$2:$A$801,MATCH($B218,'Per Invoice'!$B$2:$B$801,0))=0,"",INDEX('Per Invoice'!$A$2:$A$801,MATCH($B218,'Per Invoice'!$B$2:$B$801,0))),""))</f>
        <v/>
      </c>
      <c r="J218" s="7">
        <f>IF($B218="","",I218*Q218/100)</f>
        <v/>
      </c>
      <c r="N218" s="7" t="n"/>
      <c r="O218" s="7" t="n"/>
      <c r="P218" s="7">
        <f>IF($B218="","",O218*X218/100)</f>
        <v/>
      </c>
      <c r="Q218" s="7">
        <f>IF($B218="","",O218-P218)</f>
        <v/>
      </c>
      <c r="R218" s="7">
        <f>IF($B218="","",Q218-J218)</f>
        <v/>
      </c>
      <c r="S218" s="7" t="n"/>
      <c r="T218" s="7" t="n"/>
      <c r="V218" s="14" t="n"/>
      <c r="Z218">
        <f>IF($B218="","",IF(COUNTIF($B$2:$B218,$B218)=1,1,0))</f>
        <v/>
      </c>
      <c r="AA218">
        <f>IF($Z218=1,SUMPRODUCT(--($AC$2:$AC$3001&lt;$AC218))+1,"")</f>
        <v/>
      </c>
      <c r="AB218">
        <f>IF($B218="","",IF(OR($Y218=TRUE(),$Y218="TRUE"),1,IF(AND($Y218&lt;&gt;"",OR($Y218=FALSE(),$Y218="FALSE")),0,IF(MIN(ABS($X218/100-Settings!$C$6),ABS($X218/100-Settings!$G$6))&lt;=MIN(ABS($X218/100-Settings!$C$7),ABS($X218/100-Settings!$G$7)),1,0))))</f>
        <v/>
      </c>
      <c r="AC218">
        <f>IF($Z218=1,IFERROR(IF(VALUE($B218)&lt;100000000,VALUE($B218),1000000000),IFERROR(IF(VALUE(MID($B218,2,20))&lt;100000000,VALUE(MID($B218,2,20)),1000000000),1000000000))+ROW()/100000,"")</f>
        <v/>
      </c>
    </row>
    <row r="219">
      <c r="A219">
        <f>IF($B219="","",IFERROR(IF(INDEX('Per Invoice'!$A$2:$A$801,MATCH($B219,'Per Invoice'!$B$2:$B$801,0))=0,"",INDEX('Per Invoice'!$A$2:$A$801,MATCH($B219,'Per Invoice'!$B$2:$B$801,0))),""))</f>
        <v/>
      </c>
      <c r="J219" s="7">
        <f>IF($B219="","",I219*Q219/100)</f>
        <v/>
      </c>
      <c r="N219" s="7" t="n"/>
      <c r="O219" s="7" t="n"/>
      <c r="P219" s="7">
        <f>IF($B219="","",O219*X219/100)</f>
        <v/>
      </c>
      <c r="Q219" s="7">
        <f>IF($B219="","",O219-P219)</f>
        <v/>
      </c>
      <c r="R219" s="7">
        <f>IF($B219="","",Q219-J219)</f>
        <v/>
      </c>
      <c r="S219" s="7" t="n"/>
      <c r="T219" s="7" t="n"/>
      <c r="V219" s="14" t="n"/>
      <c r="Z219">
        <f>IF($B219="","",IF(COUNTIF($B$2:$B219,$B219)=1,1,0))</f>
        <v/>
      </c>
      <c r="AA219">
        <f>IF($Z219=1,SUMPRODUCT(--($AC$2:$AC$3001&lt;$AC219))+1,"")</f>
        <v/>
      </c>
      <c r="AB219">
        <f>IF($B219="","",IF(OR($Y219=TRUE(),$Y219="TRUE"),1,IF(AND($Y219&lt;&gt;"",OR($Y219=FALSE(),$Y219="FALSE")),0,IF(MIN(ABS($X219/100-Settings!$C$6),ABS($X219/100-Settings!$G$6))&lt;=MIN(ABS($X219/100-Settings!$C$7),ABS($X219/100-Settings!$G$7)),1,0))))</f>
        <v/>
      </c>
      <c r="AC219">
        <f>IF($Z219=1,IFERROR(IF(VALUE($B219)&lt;100000000,VALUE($B219),1000000000),IFERROR(IF(VALUE(MID($B219,2,20))&lt;100000000,VALUE(MID($B219,2,20)),1000000000),1000000000))+ROW()/100000,"")</f>
        <v/>
      </c>
    </row>
    <row r="220">
      <c r="A220">
        <f>IF($B220="","",IFERROR(IF(INDEX('Per Invoice'!$A$2:$A$801,MATCH($B220,'Per Invoice'!$B$2:$B$801,0))=0,"",INDEX('Per Invoice'!$A$2:$A$801,MATCH($B220,'Per Invoice'!$B$2:$B$801,0))),""))</f>
        <v/>
      </c>
      <c r="J220" s="7">
        <f>IF($B220="","",I220*Q220/100)</f>
        <v/>
      </c>
      <c r="N220" s="7" t="n"/>
      <c r="O220" s="7" t="n"/>
      <c r="P220" s="7">
        <f>IF($B220="","",O220*X220/100)</f>
        <v/>
      </c>
      <c r="Q220" s="7">
        <f>IF($B220="","",O220-P220)</f>
        <v/>
      </c>
      <c r="R220" s="7">
        <f>IF($B220="","",Q220-J220)</f>
        <v/>
      </c>
      <c r="S220" s="7" t="n"/>
      <c r="T220" s="7" t="n"/>
      <c r="V220" s="14" t="n"/>
      <c r="Z220">
        <f>IF($B220="","",IF(COUNTIF($B$2:$B220,$B220)=1,1,0))</f>
        <v/>
      </c>
      <c r="AA220">
        <f>IF($Z220=1,SUMPRODUCT(--($AC$2:$AC$3001&lt;$AC220))+1,"")</f>
        <v/>
      </c>
      <c r="AB220">
        <f>IF($B220="","",IF(OR($Y220=TRUE(),$Y220="TRUE"),1,IF(AND($Y220&lt;&gt;"",OR($Y220=FALSE(),$Y220="FALSE")),0,IF(MIN(ABS($X220/100-Settings!$C$6),ABS($X220/100-Settings!$G$6))&lt;=MIN(ABS($X220/100-Settings!$C$7),ABS($X220/100-Settings!$G$7)),1,0))))</f>
        <v/>
      </c>
      <c r="AC220">
        <f>IF($Z220=1,IFERROR(IF(VALUE($B220)&lt;100000000,VALUE($B220),1000000000),IFERROR(IF(VALUE(MID($B220,2,20))&lt;100000000,VALUE(MID($B220,2,20)),1000000000),1000000000))+ROW()/100000,"")</f>
        <v/>
      </c>
    </row>
    <row r="221">
      <c r="A221">
        <f>IF($B221="","",IFERROR(IF(INDEX('Per Invoice'!$A$2:$A$801,MATCH($B221,'Per Invoice'!$B$2:$B$801,0))=0,"",INDEX('Per Invoice'!$A$2:$A$801,MATCH($B221,'Per Invoice'!$B$2:$B$801,0))),""))</f>
        <v/>
      </c>
      <c r="J221" s="7">
        <f>IF($B221="","",I221*Q221/100)</f>
        <v/>
      </c>
      <c r="N221" s="7" t="n"/>
      <c r="O221" s="7" t="n"/>
      <c r="P221" s="7">
        <f>IF($B221="","",O221*X221/100)</f>
        <v/>
      </c>
      <c r="Q221" s="7">
        <f>IF($B221="","",O221-P221)</f>
        <v/>
      </c>
      <c r="R221" s="7">
        <f>IF($B221="","",Q221-J221)</f>
        <v/>
      </c>
      <c r="S221" s="7" t="n"/>
      <c r="T221" s="7" t="n"/>
      <c r="V221" s="14" t="n"/>
      <c r="Z221">
        <f>IF($B221="","",IF(COUNTIF($B$2:$B221,$B221)=1,1,0))</f>
        <v/>
      </c>
      <c r="AA221">
        <f>IF($Z221=1,SUMPRODUCT(--($AC$2:$AC$3001&lt;$AC221))+1,"")</f>
        <v/>
      </c>
      <c r="AB221">
        <f>IF($B221="","",IF(OR($Y221=TRUE(),$Y221="TRUE"),1,IF(AND($Y221&lt;&gt;"",OR($Y221=FALSE(),$Y221="FALSE")),0,IF(MIN(ABS($X221/100-Settings!$C$6),ABS($X221/100-Settings!$G$6))&lt;=MIN(ABS($X221/100-Settings!$C$7),ABS($X221/100-Settings!$G$7)),1,0))))</f>
        <v/>
      </c>
      <c r="AC221">
        <f>IF($Z221=1,IFERROR(IF(VALUE($B221)&lt;100000000,VALUE($B221),1000000000),IFERROR(IF(VALUE(MID($B221,2,20))&lt;100000000,VALUE(MID($B221,2,20)),1000000000),1000000000))+ROW()/100000,"")</f>
        <v/>
      </c>
    </row>
    <row r="222">
      <c r="A222">
        <f>IF($B222="","",IFERROR(IF(INDEX('Per Invoice'!$A$2:$A$801,MATCH($B222,'Per Invoice'!$B$2:$B$801,0))=0,"",INDEX('Per Invoice'!$A$2:$A$801,MATCH($B222,'Per Invoice'!$B$2:$B$801,0))),""))</f>
        <v/>
      </c>
      <c r="J222" s="7">
        <f>IF($B222="","",I222*Q222/100)</f>
        <v/>
      </c>
      <c r="N222" s="7" t="n"/>
      <c r="O222" s="7" t="n"/>
      <c r="P222" s="7">
        <f>IF($B222="","",O222*X222/100)</f>
        <v/>
      </c>
      <c r="Q222" s="7">
        <f>IF($B222="","",O222-P222)</f>
        <v/>
      </c>
      <c r="R222" s="7">
        <f>IF($B222="","",Q222-J222)</f>
        <v/>
      </c>
      <c r="S222" s="7" t="n"/>
      <c r="T222" s="7" t="n"/>
      <c r="V222" s="14" t="n"/>
      <c r="Z222">
        <f>IF($B222="","",IF(COUNTIF($B$2:$B222,$B222)=1,1,0))</f>
        <v/>
      </c>
      <c r="AA222">
        <f>IF($Z222=1,SUMPRODUCT(--($AC$2:$AC$3001&lt;$AC222))+1,"")</f>
        <v/>
      </c>
      <c r="AB222">
        <f>IF($B222="","",IF(OR($Y222=TRUE(),$Y222="TRUE"),1,IF(AND($Y222&lt;&gt;"",OR($Y222=FALSE(),$Y222="FALSE")),0,IF(MIN(ABS($X222/100-Settings!$C$6),ABS($X222/100-Settings!$G$6))&lt;=MIN(ABS($X222/100-Settings!$C$7),ABS($X222/100-Settings!$G$7)),1,0))))</f>
        <v/>
      </c>
      <c r="AC222">
        <f>IF($Z222=1,IFERROR(IF(VALUE($B222)&lt;100000000,VALUE($B222),1000000000),IFERROR(IF(VALUE(MID($B222,2,20))&lt;100000000,VALUE(MID($B222,2,20)),1000000000),1000000000))+ROW()/100000,"")</f>
        <v/>
      </c>
    </row>
    <row r="223">
      <c r="A223">
        <f>IF($B223="","",IFERROR(IF(INDEX('Per Invoice'!$A$2:$A$801,MATCH($B223,'Per Invoice'!$B$2:$B$801,0))=0,"",INDEX('Per Invoice'!$A$2:$A$801,MATCH($B223,'Per Invoice'!$B$2:$B$801,0))),""))</f>
        <v/>
      </c>
      <c r="J223" s="7">
        <f>IF($B223="","",I223*Q223/100)</f>
        <v/>
      </c>
      <c r="N223" s="7" t="n"/>
      <c r="O223" s="7" t="n"/>
      <c r="P223" s="7">
        <f>IF($B223="","",O223*X223/100)</f>
        <v/>
      </c>
      <c r="Q223" s="7">
        <f>IF($B223="","",O223-P223)</f>
        <v/>
      </c>
      <c r="R223" s="7">
        <f>IF($B223="","",Q223-J223)</f>
        <v/>
      </c>
      <c r="S223" s="7" t="n"/>
      <c r="T223" s="7" t="n"/>
      <c r="V223" s="14" t="n"/>
      <c r="Z223">
        <f>IF($B223="","",IF(COUNTIF($B$2:$B223,$B223)=1,1,0))</f>
        <v/>
      </c>
      <c r="AA223">
        <f>IF($Z223=1,SUMPRODUCT(--($AC$2:$AC$3001&lt;$AC223))+1,"")</f>
        <v/>
      </c>
      <c r="AB223">
        <f>IF($B223="","",IF(OR($Y223=TRUE(),$Y223="TRUE"),1,IF(AND($Y223&lt;&gt;"",OR($Y223=FALSE(),$Y223="FALSE")),0,IF(MIN(ABS($X223/100-Settings!$C$6),ABS($X223/100-Settings!$G$6))&lt;=MIN(ABS($X223/100-Settings!$C$7),ABS($X223/100-Settings!$G$7)),1,0))))</f>
        <v/>
      </c>
      <c r="AC223">
        <f>IF($Z223=1,IFERROR(IF(VALUE($B223)&lt;100000000,VALUE($B223),1000000000),IFERROR(IF(VALUE(MID($B223,2,20))&lt;100000000,VALUE(MID($B223,2,20)),1000000000),1000000000))+ROW()/100000,"")</f>
        <v/>
      </c>
    </row>
    <row r="224">
      <c r="A224">
        <f>IF($B224="","",IFERROR(IF(INDEX('Per Invoice'!$A$2:$A$801,MATCH($B224,'Per Invoice'!$B$2:$B$801,0))=0,"",INDEX('Per Invoice'!$A$2:$A$801,MATCH($B224,'Per Invoice'!$B$2:$B$801,0))),""))</f>
        <v/>
      </c>
      <c r="J224" s="7">
        <f>IF($B224="","",I224*Q224/100)</f>
        <v/>
      </c>
      <c r="N224" s="7" t="n"/>
      <c r="O224" s="7" t="n"/>
      <c r="P224" s="7">
        <f>IF($B224="","",O224*X224/100)</f>
        <v/>
      </c>
      <c r="Q224" s="7">
        <f>IF($B224="","",O224-P224)</f>
        <v/>
      </c>
      <c r="R224" s="7">
        <f>IF($B224="","",Q224-J224)</f>
        <v/>
      </c>
      <c r="S224" s="7" t="n"/>
      <c r="T224" s="7" t="n"/>
      <c r="V224" s="14" t="n"/>
      <c r="Z224">
        <f>IF($B224="","",IF(COUNTIF($B$2:$B224,$B224)=1,1,0))</f>
        <v/>
      </c>
      <c r="AA224">
        <f>IF($Z224=1,SUMPRODUCT(--($AC$2:$AC$3001&lt;$AC224))+1,"")</f>
        <v/>
      </c>
      <c r="AB224">
        <f>IF($B224="","",IF(OR($Y224=TRUE(),$Y224="TRUE"),1,IF(AND($Y224&lt;&gt;"",OR($Y224=FALSE(),$Y224="FALSE")),0,IF(MIN(ABS($X224/100-Settings!$C$6),ABS($X224/100-Settings!$G$6))&lt;=MIN(ABS($X224/100-Settings!$C$7),ABS($X224/100-Settings!$G$7)),1,0))))</f>
        <v/>
      </c>
      <c r="AC224">
        <f>IF($Z224=1,IFERROR(IF(VALUE($B224)&lt;100000000,VALUE($B224),1000000000),IFERROR(IF(VALUE(MID($B224,2,20))&lt;100000000,VALUE(MID($B224,2,20)),1000000000),1000000000))+ROW()/100000,"")</f>
        <v/>
      </c>
    </row>
    <row r="225">
      <c r="A225">
        <f>IF($B225="","",IFERROR(IF(INDEX('Per Invoice'!$A$2:$A$801,MATCH($B225,'Per Invoice'!$B$2:$B$801,0))=0,"",INDEX('Per Invoice'!$A$2:$A$801,MATCH($B225,'Per Invoice'!$B$2:$B$801,0))),""))</f>
        <v/>
      </c>
      <c r="J225" s="7">
        <f>IF($B225="","",I225*Q225/100)</f>
        <v/>
      </c>
      <c r="N225" s="7" t="n"/>
      <c r="O225" s="7" t="n"/>
      <c r="P225" s="7">
        <f>IF($B225="","",O225*X225/100)</f>
        <v/>
      </c>
      <c r="Q225" s="7">
        <f>IF($B225="","",O225-P225)</f>
        <v/>
      </c>
      <c r="R225" s="7">
        <f>IF($B225="","",Q225-J225)</f>
        <v/>
      </c>
      <c r="S225" s="7" t="n"/>
      <c r="T225" s="7" t="n"/>
      <c r="V225" s="14" t="n"/>
      <c r="Z225">
        <f>IF($B225="","",IF(COUNTIF($B$2:$B225,$B225)=1,1,0))</f>
        <v/>
      </c>
      <c r="AA225">
        <f>IF($Z225=1,SUMPRODUCT(--($AC$2:$AC$3001&lt;$AC225))+1,"")</f>
        <v/>
      </c>
      <c r="AB225">
        <f>IF($B225="","",IF(OR($Y225=TRUE(),$Y225="TRUE"),1,IF(AND($Y225&lt;&gt;"",OR($Y225=FALSE(),$Y225="FALSE")),0,IF(MIN(ABS($X225/100-Settings!$C$6),ABS($X225/100-Settings!$G$6))&lt;=MIN(ABS($X225/100-Settings!$C$7),ABS($X225/100-Settings!$G$7)),1,0))))</f>
        <v/>
      </c>
      <c r="AC225">
        <f>IF($Z225=1,IFERROR(IF(VALUE($B225)&lt;100000000,VALUE($B225),1000000000),IFERROR(IF(VALUE(MID($B225,2,20))&lt;100000000,VALUE(MID($B225,2,20)),1000000000),1000000000))+ROW()/100000,"")</f>
        <v/>
      </c>
    </row>
    <row r="226">
      <c r="A226">
        <f>IF($B226="","",IFERROR(IF(INDEX('Per Invoice'!$A$2:$A$801,MATCH($B226,'Per Invoice'!$B$2:$B$801,0))=0,"",INDEX('Per Invoice'!$A$2:$A$801,MATCH($B226,'Per Invoice'!$B$2:$B$801,0))),""))</f>
        <v/>
      </c>
      <c r="J226" s="7">
        <f>IF($B226="","",I226*Q226/100)</f>
        <v/>
      </c>
      <c r="N226" s="7" t="n"/>
      <c r="O226" s="7" t="n"/>
      <c r="P226" s="7">
        <f>IF($B226="","",O226*X226/100)</f>
        <v/>
      </c>
      <c r="Q226" s="7">
        <f>IF($B226="","",O226-P226)</f>
        <v/>
      </c>
      <c r="R226" s="7">
        <f>IF($B226="","",Q226-J226)</f>
        <v/>
      </c>
      <c r="S226" s="7" t="n"/>
      <c r="T226" s="7" t="n"/>
      <c r="V226" s="14" t="n"/>
      <c r="Z226">
        <f>IF($B226="","",IF(COUNTIF($B$2:$B226,$B226)=1,1,0))</f>
        <v/>
      </c>
      <c r="AA226">
        <f>IF($Z226=1,SUMPRODUCT(--($AC$2:$AC$3001&lt;$AC226))+1,"")</f>
        <v/>
      </c>
      <c r="AB226">
        <f>IF($B226="","",IF(OR($Y226=TRUE(),$Y226="TRUE"),1,IF(AND($Y226&lt;&gt;"",OR($Y226=FALSE(),$Y226="FALSE")),0,IF(MIN(ABS($X226/100-Settings!$C$6),ABS($X226/100-Settings!$G$6))&lt;=MIN(ABS($X226/100-Settings!$C$7),ABS($X226/100-Settings!$G$7)),1,0))))</f>
        <v/>
      </c>
      <c r="AC226">
        <f>IF($Z226=1,IFERROR(IF(VALUE($B226)&lt;100000000,VALUE($B226),1000000000),IFERROR(IF(VALUE(MID($B226,2,20))&lt;100000000,VALUE(MID($B226,2,20)),1000000000),1000000000))+ROW()/100000,"")</f>
        <v/>
      </c>
    </row>
    <row r="227">
      <c r="A227">
        <f>IF($B227="","",IFERROR(IF(INDEX('Per Invoice'!$A$2:$A$801,MATCH($B227,'Per Invoice'!$B$2:$B$801,0))=0,"",INDEX('Per Invoice'!$A$2:$A$801,MATCH($B227,'Per Invoice'!$B$2:$B$801,0))),""))</f>
        <v/>
      </c>
      <c r="J227" s="7">
        <f>IF($B227="","",I227*Q227/100)</f>
        <v/>
      </c>
      <c r="N227" s="7" t="n"/>
      <c r="O227" s="7" t="n"/>
      <c r="P227" s="7">
        <f>IF($B227="","",O227*X227/100)</f>
        <v/>
      </c>
      <c r="Q227" s="7">
        <f>IF($B227="","",O227-P227)</f>
        <v/>
      </c>
      <c r="R227" s="7">
        <f>IF($B227="","",Q227-J227)</f>
        <v/>
      </c>
      <c r="S227" s="7" t="n"/>
      <c r="T227" s="7" t="n"/>
      <c r="V227" s="14" t="n"/>
      <c r="Z227">
        <f>IF($B227="","",IF(COUNTIF($B$2:$B227,$B227)=1,1,0))</f>
        <v/>
      </c>
      <c r="AA227">
        <f>IF($Z227=1,SUMPRODUCT(--($AC$2:$AC$3001&lt;$AC227))+1,"")</f>
        <v/>
      </c>
      <c r="AB227">
        <f>IF($B227="","",IF(OR($Y227=TRUE(),$Y227="TRUE"),1,IF(AND($Y227&lt;&gt;"",OR($Y227=FALSE(),$Y227="FALSE")),0,IF(MIN(ABS($X227/100-Settings!$C$6),ABS($X227/100-Settings!$G$6))&lt;=MIN(ABS($X227/100-Settings!$C$7),ABS($X227/100-Settings!$G$7)),1,0))))</f>
        <v/>
      </c>
      <c r="AC227">
        <f>IF($Z227=1,IFERROR(IF(VALUE($B227)&lt;100000000,VALUE($B227),1000000000),IFERROR(IF(VALUE(MID($B227,2,20))&lt;100000000,VALUE(MID($B227,2,20)),1000000000),1000000000))+ROW()/100000,"")</f>
        <v/>
      </c>
    </row>
    <row r="228">
      <c r="A228">
        <f>IF($B228="","",IFERROR(IF(INDEX('Per Invoice'!$A$2:$A$801,MATCH($B228,'Per Invoice'!$B$2:$B$801,0))=0,"",INDEX('Per Invoice'!$A$2:$A$801,MATCH($B228,'Per Invoice'!$B$2:$B$801,0))),""))</f>
        <v/>
      </c>
      <c r="J228" s="7">
        <f>IF($B228="","",I228*Q228/100)</f>
        <v/>
      </c>
      <c r="N228" s="7" t="n"/>
      <c r="O228" s="7" t="n"/>
      <c r="P228" s="7">
        <f>IF($B228="","",O228*X228/100)</f>
        <v/>
      </c>
      <c r="Q228" s="7">
        <f>IF($B228="","",O228-P228)</f>
        <v/>
      </c>
      <c r="R228" s="7">
        <f>IF($B228="","",Q228-J228)</f>
        <v/>
      </c>
      <c r="S228" s="7" t="n"/>
      <c r="T228" s="7" t="n"/>
      <c r="V228" s="14" t="n"/>
      <c r="Z228">
        <f>IF($B228="","",IF(COUNTIF($B$2:$B228,$B228)=1,1,0))</f>
        <v/>
      </c>
      <c r="AA228">
        <f>IF($Z228=1,SUMPRODUCT(--($AC$2:$AC$3001&lt;$AC228))+1,"")</f>
        <v/>
      </c>
      <c r="AB228">
        <f>IF($B228="","",IF(OR($Y228=TRUE(),$Y228="TRUE"),1,IF(AND($Y228&lt;&gt;"",OR($Y228=FALSE(),$Y228="FALSE")),0,IF(MIN(ABS($X228/100-Settings!$C$6),ABS($X228/100-Settings!$G$6))&lt;=MIN(ABS($X228/100-Settings!$C$7),ABS($X228/100-Settings!$G$7)),1,0))))</f>
        <v/>
      </c>
      <c r="AC228">
        <f>IF($Z228=1,IFERROR(IF(VALUE($B228)&lt;100000000,VALUE($B228),1000000000),IFERROR(IF(VALUE(MID($B228,2,20))&lt;100000000,VALUE(MID($B228,2,20)),1000000000),1000000000))+ROW()/100000,"")</f>
        <v/>
      </c>
    </row>
    <row r="229">
      <c r="A229">
        <f>IF($B229="","",IFERROR(IF(INDEX('Per Invoice'!$A$2:$A$801,MATCH($B229,'Per Invoice'!$B$2:$B$801,0))=0,"",INDEX('Per Invoice'!$A$2:$A$801,MATCH($B229,'Per Invoice'!$B$2:$B$801,0))),""))</f>
        <v/>
      </c>
      <c r="J229" s="7">
        <f>IF($B229="","",I229*Q229/100)</f>
        <v/>
      </c>
      <c r="N229" s="7" t="n"/>
      <c r="O229" s="7" t="n"/>
      <c r="P229" s="7">
        <f>IF($B229="","",O229*X229/100)</f>
        <v/>
      </c>
      <c r="Q229" s="7">
        <f>IF($B229="","",O229-P229)</f>
        <v/>
      </c>
      <c r="R229" s="7">
        <f>IF($B229="","",Q229-J229)</f>
        <v/>
      </c>
      <c r="S229" s="7" t="n"/>
      <c r="T229" s="7" t="n"/>
      <c r="V229" s="14" t="n"/>
      <c r="Z229">
        <f>IF($B229="","",IF(COUNTIF($B$2:$B229,$B229)=1,1,0))</f>
        <v/>
      </c>
      <c r="AA229">
        <f>IF($Z229=1,SUMPRODUCT(--($AC$2:$AC$3001&lt;$AC229))+1,"")</f>
        <v/>
      </c>
      <c r="AB229">
        <f>IF($B229="","",IF(OR($Y229=TRUE(),$Y229="TRUE"),1,IF(AND($Y229&lt;&gt;"",OR($Y229=FALSE(),$Y229="FALSE")),0,IF(MIN(ABS($X229/100-Settings!$C$6),ABS($X229/100-Settings!$G$6))&lt;=MIN(ABS($X229/100-Settings!$C$7),ABS($X229/100-Settings!$G$7)),1,0))))</f>
        <v/>
      </c>
      <c r="AC229">
        <f>IF($Z229=1,IFERROR(IF(VALUE($B229)&lt;100000000,VALUE($B229),1000000000),IFERROR(IF(VALUE(MID($B229,2,20))&lt;100000000,VALUE(MID($B229,2,20)),1000000000),1000000000))+ROW()/100000,"")</f>
        <v/>
      </c>
    </row>
    <row r="230">
      <c r="A230">
        <f>IF($B230="","",IFERROR(IF(INDEX('Per Invoice'!$A$2:$A$801,MATCH($B230,'Per Invoice'!$B$2:$B$801,0))=0,"",INDEX('Per Invoice'!$A$2:$A$801,MATCH($B230,'Per Invoice'!$B$2:$B$801,0))),""))</f>
        <v/>
      </c>
      <c r="J230" s="7">
        <f>IF($B230="","",I230*Q230/100)</f>
        <v/>
      </c>
      <c r="N230" s="7" t="n"/>
      <c r="O230" s="7" t="n"/>
      <c r="P230" s="7">
        <f>IF($B230="","",O230*X230/100)</f>
        <v/>
      </c>
      <c r="Q230" s="7">
        <f>IF($B230="","",O230-P230)</f>
        <v/>
      </c>
      <c r="R230" s="7">
        <f>IF($B230="","",Q230-J230)</f>
        <v/>
      </c>
      <c r="S230" s="7" t="n"/>
      <c r="T230" s="7" t="n"/>
      <c r="V230" s="14" t="n"/>
      <c r="Z230">
        <f>IF($B230="","",IF(COUNTIF($B$2:$B230,$B230)=1,1,0))</f>
        <v/>
      </c>
      <c r="AA230">
        <f>IF($Z230=1,SUMPRODUCT(--($AC$2:$AC$3001&lt;$AC230))+1,"")</f>
        <v/>
      </c>
      <c r="AB230">
        <f>IF($B230="","",IF(OR($Y230=TRUE(),$Y230="TRUE"),1,IF(AND($Y230&lt;&gt;"",OR($Y230=FALSE(),$Y230="FALSE")),0,IF(MIN(ABS($X230/100-Settings!$C$6),ABS($X230/100-Settings!$G$6))&lt;=MIN(ABS($X230/100-Settings!$C$7),ABS($X230/100-Settings!$G$7)),1,0))))</f>
        <v/>
      </c>
      <c r="AC230">
        <f>IF($Z230=1,IFERROR(IF(VALUE($B230)&lt;100000000,VALUE($B230),1000000000),IFERROR(IF(VALUE(MID($B230,2,20))&lt;100000000,VALUE(MID($B230,2,20)),1000000000),1000000000))+ROW()/100000,"")</f>
        <v/>
      </c>
    </row>
    <row r="231">
      <c r="A231">
        <f>IF($B231="","",IFERROR(IF(INDEX('Per Invoice'!$A$2:$A$801,MATCH($B231,'Per Invoice'!$B$2:$B$801,0))=0,"",INDEX('Per Invoice'!$A$2:$A$801,MATCH($B231,'Per Invoice'!$B$2:$B$801,0))),""))</f>
        <v/>
      </c>
      <c r="J231" s="7">
        <f>IF($B231="","",I231*Q231/100)</f>
        <v/>
      </c>
      <c r="N231" s="7" t="n"/>
      <c r="O231" s="7" t="n"/>
      <c r="P231" s="7">
        <f>IF($B231="","",O231*X231/100)</f>
        <v/>
      </c>
      <c r="Q231" s="7">
        <f>IF($B231="","",O231-P231)</f>
        <v/>
      </c>
      <c r="R231" s="7">
        <f>IF($B231="","",Q231-J231)</f>
        <v/>
      </c>
      <c r="S231" s="7" t="n"/>
      <c r="T231" s="7" t="n"/>
      <c r="V231" s="14" t="n"/>
      <c r="Z231">
        <f>IF($B231="","",IF(COUNTIF($B$2:$B231,$B231)=1,1,0))</f>
        <v/>
      </c>
      <c r="AA231">
        <f>IF($Z231=1,SUMPRODUCT(--($AC$2:$AC$3001&lt;$AC231))+1,"")</f>
        <v/>
      </c>
      <c r="AB231">
        <f>IF($B231="","",IF(OR($Y231=TRUE(),$Y231="TRUE"),1,IF(AND($Y231&lt;&gt;"",OR($Y231=FALSE(),$Y231="FALSE")),0,IF(MIN(ABS($X231/100-Settings!$C$6),ABS($X231/100-Settings!$G$6))&lt;=MIN(ABS($X231/100-Settings!$C$7),ABS($X231/100-Settings!$G$7)),1,0))))</f>
        <v/>
      </c>
      <c r="AC231">
        <f>IF($Z231=1,IFERROR(IF(VALUE($B231)&lt;100000000,VALUE($B231),1000000000),IFERROR(IF(VALUE(MID($B231,2,20))&lt;100000000,VALUE(MID($B231,2,20)),1000000000),1000000000))+ROW()/100000,"")</f>
        <v/>
      </c>
    </row>
    <row r="232">
      <c r="A232">
        <f>IF($B232="","",IFERROR(IF(INDEX('Per Invoice'!$A$2:$A$801,MATCH($B232,'Per Invoice'!$B$2:$B$801,0))=0,"",INDEX('Per Invoice'!$A$2:$A$801,MATCH($B232,'Per Invoice'!$B$2:$B$801,0))),""))</f>
        <v/>
      </c>
      <c r="J232" s="7">
        <f>IF($B232="","",I232*Q232/100)</f>
        <v/>
      </c>
      <c r="N232" s="7" t="n"/>
      <c r="O232" s="7" t="n"/>
      <c r="P232" s="7">
        <f>IF($B232="","",O232*X232/100)</f>
        <v/>
      </c>
      <c r="Q232" s="7">
        <f>IF($B232="","",O232-P232)</f>
        <v/>
      </c>
      <c r="R232" s="7">
        <f>IF($B232="","",Q232-J232)</f>
        <v/>
      </c>
      <c r="S232" s="7" t="n"/>
      <c r="T232" s="7" t="n"/>
      <c r="V232" s="14" t="n"/>
      <c r="Z232">
        <f>IF($B232="","",IF(COUNTIF($B$2:$B232,$B232)=1,1,0))</f>
        <v/>
      </c>
      <c r="AA232">
        <f>IF($Z232=1,SUMPRODUCT(--($AC$2:$AC$3001&lt;$AC232))+1,"")</f>
        <v/>
      </c>
      <c r="AB232">
        <f>IF($B232="","",IF(OR($Y232=TRUE(),$Y232="TRUE"),1,IF(AND($Y232&lt;&gt;"",OR($Y232=FALSE(),$Y232="FALSE")),0,IF(MIN(ABS($X232/100-Settings!$C$6),ABS($X232/100-Settings!$G$6))&lt;=MIN(ABS($X232/100-Settings!$C$7),ABS($X232/100-Settings!$G$7)),1,0))))</f>
        <v/>
      </c>
      <c r="AC232">
        <f>IF($Z232=1,IFERROR(IF(VALUE($B232)&lt;100000000,VALUE($B232),1000000000),IFERROR(IF(VALUE(MID($B232,2,20))&lt;100000000,VALUE(MID($B232,2,20)),1000000000),1000000000))+ROW()/100000,"")</f>
        <v/>
      </c>
    </row>
    <row r="233">
      <c r="A233">
        <f>IF($B233="","",IFERROR(IF(INDEX('Per Invoice'!$A$2:$A$801,MATCH($B233,'Per Invoice'!$B$2:$B$801,0))=0,"",INDEX('Per Invoice'!$A$2:$A$801,MATCH($B233,'Per Invoice'!$B$2:$B$801,0))),""))</f>
        <v/>
      </c>
      <c r="J233" s="7">
        <f>IF($B233="","",I233*Q233/100)</f>
        <v/>
      </c>
      <c r="N233" s="7" t="n"/>
      <c r="O233" s="7" t="n"/>
      <c r="P233" s="7">
        <f>IF($B233="","",O233*X233/100)</f>
        <v/>
      </c>
      <c r="Q233" s="7">
        <f>IF($B233="","",O233-P233)</f>
        <v/>
      </c>
      <c r="R233" s="7">
        <f>IF($B233="","",Q233-J233)</f>
        <v/>
      </c>
      <c r="S233" s="7" t="n"/>
      <c r="T233" s="7" t="n"/>
      <c r="V233" s="14" t="n"/>
      <c r="Z233">
        <f>IF($B233="","",IF(COUNTIF($B$2:$B233,$B233)=1,1,0))</f>
        <v/>
      </c>
      <c r="AA233">
        <f>IF($Z233=1,SUMPRODUCT(--($AC$2:$AC$3001&lt;$AC233))+1,"")</f>
        <v/>
      </c>
      <c r="AB233">
        <f>IF($B233="","",IF(OR($Y233=TRUE(),$Y233="TRUE"),1,IF(AND($Y233&lt;&gt;"",OR($Y233=FALSE(),$Y233="FALSE")),0,IF(MIN(ABS($X233/100-Settings!$C$6),ABS($X233/100-Settings!$G$6))&lt;=MIN(ABS($X233/100-Settings!$C$7),ABS($X233/100-Settings!$G$7)),1,0))))</f>
        <v/>
      </c>
      <c r="AC233">
        <f>IF($Z233=1,IFERROR(IF(VALUE($B233)&lt;100000000,VALUE($B233),1000000000),IFERROR(IF(VALUE(MID($B233,2,20))&lt;100000000,VALUE(MID($B233,2,20)),1000000000),1000000000))+ROW()/100000,"")</f>
        <v/>
      </c>
    </row>
    <row r="234">
      <c r="A234">
        <f>IF($B234="","",IFERROR(IF(INDEX('Per Invoice'!$A$2:$A$801,MATCH($B234,'Per Invoice'!$B$2:$B$801,0))=0,"",INDEX('Per Invoice'!$A$2:$A$801,MATCH($B234,'Per Invoice'!$B$2:$B$801,0))),""))</f>
        <v/>
      </c>
      <c r="J234" s="7">
        <f>IF($B234="","",I234*Q234/100)</f>
        <v/>
      </c>
      <c r="N234" s="7" t="n"/>
      <c r="O234" s="7" t="n"/>
      <c r="P234" s="7">
        <f>IF($B234="","",O234*X234/100)</f>
        <v/>
      </c>
      <c r="Q234" s="7">
        <f>IF($B234="","",O234-P234)</f>
        <v/>
      </c>
      <c r="R234" s="7">
        <f>IF($B234="","",Q234-J234)</f>
        <v/>
      </c>
      <c r="S234" s="7" t="n"/>
      <c r="T234" s="7" t="n"/>
      <c r="V234" s="14" t="n"/>
      <c r="Z234">
        <f>IF($B234="","",IF(COUNTIF($B$2:$B234,$B234)=1,1,0))</f>
        <v/>
      </c>
      <c r="AA234">
        <f>IF($Z234=1,SUMPRODUCT(--($AC$2:$AC$3001&lt;$AC234))+1,"")</f>
        <v/>
      </c>
      <c r="AB234">
        <f>IF($B234="","",IF(OR($Y234=TRUE(),$Y234="TRUE"),1,IF(AND($Y234&lt;&gt;"",OR($Y234=FALSE(),$Y234="FALSE")),0,IF(MIN(ABS($X234/100-Settings!$C$6),ABS($X234/100-Settings!$G$6))&lt;=MIN(ABS($X234/100-Settings!$C$7),ABS($X234/100-Settings!$G$7)),1,0))))</f>
        <v/>
      </c>
      <c r="AC234">
        <f>IF($Z234=1,IFERROR(IF(VALUE($B234)&lt;100000000,VALUE($B234),1000000000),IFERROR(IF(VALUE(MID($B234,2,20))&lt;100000000,VALUE(MID($B234,2,20)),1000000000),1000000000))+ROW()/100000,"")</f>
        <v/>
      </c>
    </row>
    <row r="235">
      <c r="A235">
        <f>IF($B235="","",IFERROR(IF(INDEX('Per Invoice'!$A$2:$A$801,MATCH($B235,'Per Invoice'!$B$2:$B$801,0))=0,"",INDEX('Per Invoice'!$A$2:$A$801,MATCH($B235,'Per Invoice'!$B$2:$B$801,0))),""))</f>
        <v/>
      </c>
      <c r="J235" s="7">
        <f>IF($B235="","",I235*Q235/100)</f>
        <v/>
      </c>
      <c r="N235" s="7" t="n"/>
      <c r="O235" s="7" t="n"/>
      <c r="P235" s="7">
        <f>IF($B235="","",O235*X235/100)</f>
        <v/>
      </c>
      <c r="Q235" s="7">
        <f>IF($B235="","",O235-P235)</f>
        <v/>
      </c>
      <c r="R235" s="7">
        <f>IF($B235="","",Q235-J235)</f>
        <v/>
      </c>
      <c r="S235" s="7" t="n"/>
      <c r="T235" s="7" t="n"/>
      <c r="V235" s="14" t="n"/>
      <c r="Z235">
        <f>IF($B235="","",IF(COUNTIF($B$2:$B235,$B235)=1,1,0))</f>
        <v/>
      </c>
      <c r="AA235">
        <f>IF($Z235=1,SUMPRODUCT(--($AC$2:$AC$3001&lt;$AC235))+1,"")</f>
        <v/>
      </c>
      <c r="AB235">
        <f>IF($B235="","",IF(OR($Y235=TRUE(),$Y235="TRUE"),1,IF(AND($Y235&lt;&gt;"",OR($Y235=FALSE(),$Y235="FALSE")),0,IF(MIN(ABS($X235/100-Settings!$C$6),ABS($X235/100-Settings!$G$6))&lt;=MIN(ABS($X235/100-Settings!$C$7),ABS($X235/100-Settings!$G$7)),1,0))))</f>
        <v/>
      </c>
      <c r="AC235">
        <f>IF($Z235=1,IFERROR(IF(VALUE($B235)&lt;100000000,VALUE($B235),1000000000),IFERROR(IF(VALUE(MID($B235,2,20))&lt;100000000,VALUE(MID($B235,2,20)),1000000000),1000000000))+ROW()/100000,"")</f>
        <v/>
      </c>
    </row>
    <row r="236">
      <c r="A236">
        <f>IF($B236="","",IFERROR(IF(INDEX('Per Invoice'!$A$2:$A$801,MATCH($B236,'Per Invoice'!$B$2:$B$801,0))=0,"",INDEX('Per Invoice'!$A$2:$A$801,MATCH($B236,'Per Invoice'!$B$2:$B$801,0))),""))</f>
        <v/>
      </c>
      <c r="J236" s="7">
        <f>IF($B236="","",I236*Q236/100)</f>
        <v/>
      </c>
      <c r="N236" s="7" t="n"/>
      <c r="O236" s="7" t="n"/>
      <c r="P236" s="7">
        <f>IF($B236="","",O236*X236/100)</f>
        <v/>
      </c>
      <c r="Q236" s="7">
        <f>IF($B236="","",O236-P236)</f>
        <v/>
      </c>
      <c r="R236" s="7">
        <f>IF($B236="","",Q236-J236)</f>
        <v/>
      </c>
      <c r="S236" s="7" t="n"/>
      <c r="T236" s="7" t="n"/>
      <c r="V236" s="14" t="n"/>
      <c r="Z236">
        <f>IF($B236="","",IF(COUNTIF($B$2:$B236,$B236)=1,1,0))</f>
        <v/>
      </c>
      <c r="AA236">
        <f>IF($Z236=1,SUMPRODUCT(--($AC$2:$AC$3001&lt;$AC236))+1,"")</f>
        <v/>
      </c>
      <c r="AB236">
        <f>IF($B236="","",IF(OR($Y236=TRUE(),$Y236="TRUE"),1,IF(AND($Y236&lt;&gt;"",OR($Y236=FALSE(),$Y236="FALSE")),0,IF(MIN(ABS($X236/100-Settings!$C$6),ABS($X236/100-Settings!$G$6))&lt;=MIN(ABS($X236/100-Settings!$C$7),ABS($X236/100-Settings!$G$7)),1,0))))</f>
        <v/>
      </c>
      <c r="AC236">
        <f>IF($Z236=1,IFERROR(IF(VALUE($B236)&lt;100000000,VALUE($B236),1000000000),IFERROR(IF(VALUE(MID($B236,2,20))&lt;100000000,VALUE(MID($B236,2,20)),1000000000),1000000000))+ROW()/100000,"")</f>
        <v/>
      </c>
    </row>
    <row r="237">
      <c r="A237">
        <f>IF($B237="","",IFERROR(IF(INDEX('Per Invoice'!$A$2:$A$801,MATCH($B237,'Per Invoice'!$B$2:$B$801,0))=0,"",INDEX('Per Invoice'!$A$2:$A$801,MATCH($B237,'Per Invoice'!$B$2:$B$801,0))),""))</f>
        <v/>
      </c>
      <c r="J237" s="7">
        <f>IF($B237="","",I237*Q237/100)</f>
        <v/>
      </c>
      <c r="N237" s="7" t="n"/>
      <c r="O237" s="7" t="n"/>
      <c r="P237" s="7">
        <f>IF($B237="","",O237*X237/100)</f>
        <v/>
      </c>
      <c r="Q237" s="7">
        <f>IF($B237="","",O237-P237)</f>
        <v/>
      </c>
      <c r="R237" s="7">
        <f>IF($B237="","",Q237-J237)</f>
        <v/>
      </c>
      <c r="S237" s="7" t="n"/>
      <c r="T237" s="7" t="n"/>
      <c r="V237" s="14" t="n"/>
      <c r="Z237">
        <f>IF($B237="","",IF(COUNTIF($B$2:$B237,$B237)=1,1,0))</f>
        <v/>
      </c>
      <c r="AA237">
        <f>IF($Z237=1,SUMPRODUCT(--($AC$2:$AC$3001&lt;$AC237))+1,"")</f>
        <v/>
      </c>
      <c r="AB237">
        <f>IF($B237="","",IF(OR($Y237=TRUE(),$Y237="TRUE"),1,IF(AND($Y237&lt;&gt;"",OR($Y237=FALSE(),$Y237="FALSE")),0,IF(MIN(ABS($X237/100-Settings!$C$6),ABS($X237/100-Settings!$G$6))&lt;=MIN(ABS($X237/100-Settings!$C$7),ABS($X237/100-Settings!$G$7)),1,0))))</f>
        <v/>
      </c>
      <c r="AC237">
        <f>IF($Z237=1,IFERROR(IF(VALUE($B237)&lt;100000000,VALUE($B237),1000000000),IFERROR(IF(VALUE(MID($B237,2,20))&lt;100000000,VALUE(MID($B237,2,20)),1000000000),1000000000))+ROW()/100000,"")</f>
        <v/>
      </c>
    </row>
    <row r="238">
      <c r="A238">
        <f>IF($B238="","",IFERROR(IF(INDEX('Per Invoice'!$A$2:$A$801,MATCH($B238,'Per Invoice'!$B$2:$B$801,0))=0,"",INDEX('Per Invoice'!$A$2:$A$801,MATCH($B238,'Per Invoice'!$B$2:$B$801,0))),""))</f>
        <v/>
      </c>
      <c r="J238" s="7">
        <f>IF($B238="","",I238*Q238/100)</f>
        <v/>
      </c>
      <c r="N238" s="7" t="n"/>
      <c r="O238" s="7" t="n"/>
      <c r="P238" s="7">
        <f>IF($B238="","",O238*X238/100)</f>
        <v/>
      </c>
      <c r="Q238" s="7">
        <f>IF($B238="","",O238-P238)</f>
        <v/>
      </c>
      <c r="R238" s="7">
        <f>IF($B238="","",Q238-J238)</f>
        <v/>
      </c>
      <c r="S238" s="7" t="n"/>
      <c r="T238" s="7" t="n"/>
      <c r="V238" s="14" t="n"/>
      <c r="Z238">
        <f>IF($B238="","",IF(COUNTIF($B$2:$B238,$B238)=1,1,0))</f>
        <v/>
      </c>
      <c r="AA238">
        <f>IF($Z238=1,SUMPRODUCT(--($AC$2:$AC$3001&lt;$AC238))+1,"")</f>
        <v/>
      </c>
      <c r="AB238">
        <f>IF($B238="","",IF(OR($Y238=TRUE(),$Y238="TRUE"),1,IF(AND($Y238&lt;&gt;"",OR($Y238=FALSE(),$Y238="FALSE")),0,IF(MIN(ABS($X238/100-Settings!$C$6),ABS($X238/100-Settings!$G$6))&lt;=MIN(ABS($X238/100-Settings!$C$7),ABS($X238/100-Settings!$G$7)),1,0))))</f>
        <v/>
      </c>
      <c r="AC238">
        <f>IF($Z238=1,IFERROR(IF(VALUE($B238)&lt;100000000,VALUE($B238),1000000000),IFERROR(IF(VALUE(MID($B238,2,20))&lt;100000000,VALUE(MID($B238,2,20)),1000000000),1000000000))+ROW()/100000,"")</f>
        <v/>
      </c>
    </row>
    <row r="239">
      <c r="A239">
        <f>IF($B239="","",IFERROR(IF(INDEX('Per Invoice'!$A$2:$A$801,MATCH($B239,'Per Invoice'!$B$2:$B$801,0))=0,"",INDEX('Per Invoice'!$A$2:$A$801,MATCH($B239,'Per Invoice'!$B$2:$B$801,0))),""))</f>
        <v/>
      </c>
      <c r="J239" s="7">
        <f>IF($B239="","",I239*Q239/100)</f>
        <v/>
      </c>
      <c r="N239" s="7" t="n"/>
      <c r="O239" s="7" t="n"/>
      <c r="P239" s="7">
        <f>IF($B239="","",O239*X239/100)</f>
        <v/>
      </c>
      <c r="Q239" s="7">
        <f>IF($B239="","",O239-P239)</f>
        <v/>
      </c>
      <c r="R239" s="7">
        <f>IF($B239="","",Q239-J239)</f>
        <v/>
      </c>
      <c r="S239" s="7" t="n"/>
      <c r="T239" s="7" t="n"/>
      <c r="V239" s="14" t="n"/>
      <c r="Z239">
        <f>IF($B239="","",IF(COUNTIF($B$2:$B239,$B239)=1,1,0))</f>
        <v/>
      </c>
      <c r="AA239">
        <f>IF($Z239=1,SUMPRODUCT(--($AC$2:$AC$3001&lt;$AC239))+1,"")</f>
        <v/>
      </c>
      <c r="AB239">
        <f>IF($B239="","",IF(OR($Y239=TRUE(),$Y239="TRUE"),1,IF(AND($Y239&lt;&gt;"",OR($Y239=FALSE(),$Y239="FALSE")),0,IF(MIN(ABS($X239/100-Settings!$C$6),ABS($X239/100-Settings!$G$6))&lt;=MIN(ABS($X239/100-Settings!$C$7),ABS($X239/100-Settings!$G$7)),1,0))))</f>
        <v/>
      </c>
      <c r="AC239">
        <f>IF($Z239=1,IFERROR(IF(VALUE($B239)&lt;100000000,VALUE($B239),1000000000),IFERROR(IF(VALUE(MID($B239,2,20))&lt;100000000,VALUE(MID($B239,2,20)),1000000000),1000000000))+ROW()/100000,"")</f>
        <v/>
      </c>
    </row>
    <row r="240">
      <c r="A240">
        <f>IF($B240="","",IFERROR(IF(INDEX('Per Invoice'!$A$2:$A$801,MATCH($B240,'Per Invoice'!$B$2:$B$801,0))=0,"",INDEX('Per Invoice'!$A$2:$A$801,MATCH($B240,'Per Invoice'!$B$2:$B$801,0))),""))</f>
        <v/>
      </c>
      <c r="J240" s="7">
        <f>IF($B240="","",I240*Q240/100)</f>
        <v/>
      </c>
      <c r="N240" s="7" t="n"/>
      <c r="O240" s="7" t="n"/>
      <c r="P240" s="7">
        <f>IF($B240="","",O240*X240/100)</f>
        <v/>
      </c>
      <c r="Q240" s="7">
        <f>IF($B240="","",O240-P240)</f>
        <v/>
      </c>
      <c r="R240" s="7">
        <f>IF($B240="","",Q240-J240)</f>
        <v/>
      </c>
      <c r="S240" s="7" t="n"/>
      <c r="T240" s="7" t="n"/>
      <c r="V240" s="14" t="n"/>
      <c r="Z240">
        <f>IF($B240="","",IF(COUNTIF($B$2:$B240,$B240)=1,1,0))</f>
        <v/>
      </c>
      <c r="AA240">
        <f>IF($Z240=1,SUMPRODUCT(--($AC$2:$AC$3001&lt;$AC240))+1,"")</f>
        <v/>
      </c>
      <c r="AB240">
        <f>IF($B240="","",IF(OR($Y240=TRUE(),$Y240="TRUE"),1,IF(AND($Y240&lt;&gt;"",OR($Y240=FALSE(),$Y240="FALSE")),0,IF(MIN(ABS($X240/100-Settings!$C$6),ABS($X240/100-Settings!$G$6))&lt;=MIN(ABS($X240/100-Settings!$C$7),ABS($X240/100-Settings!$G$7)),1,0))))</f>
        <v/>
      </c>
      <c r="AC240">
        <f>IF($Z240=1,IFERROR(IF(VALUE($B240)&lt;100000000,VALUE($B240),1000000000),IFERROR(IF(VALUE(MID($B240,2,20))&lt;100000000,VALUE(MID($B240,2,20)),1000000000),1000000000))+ROW()/100000,"")</f>
        <v/>
      </c>
    </row>
    <row r="241">
      <c r="A241">
        <f>IF($B241="","",IFERROR(IF(INDEX('Per Invoice'!$A$2:$A$801,MATCH($B241,'Per Invoice'!$B$2:$B$801,0))=0,"",INDEX('Per Invoice'!$A$2:$A$801,MATCH($B241,'Per Invoice'!$B$2:$B$801,0))),""))</f>
        <v/>
      </c>
      <c r="J241" s="7">
        <f>IF($B241="","",I241*Q241/100)</f>
        <v/>
      </c>
      <c r="N241" s="7" t="n"/>
      <c r="O241" s="7" t="n"/>
      <c r="P241" s="7">
        <f>IF($B241="","",O241*X241/100)</f>
        <v/>
      </c>
      <c r="Q241" s="7">
        <f>IF($B241="","",O241-P241)</f>
        <v/>
      </c>
      <c r="R241" s="7">
        <f>IF($B241="","",Q241-J241)</f>
        <v/>
      </c>
      <c r="S241" s="7" t="n"/>
      <c r="T241" s="7" t="n"/>
      <c r="V241" s="14" t="n"/>
      <c r="Z241">
        <f>IF($B241="","",IF(COUNTIF($B$2:$B241,$B241)=1,1,0))</f>
        <v/>
      </c>
      <c r="AA241">
        <f>IF($Z241=1,SUMPRODUCT(--($AC$2:$AC$3001&lt;$AC241))+1,"")</f>
        <v/>
      </c>
      <c r="AB241">
        <f>IF($B241="","",IF(OR($Y241=TRUE(),$Y241="TRUE"),1,IF(AND($Y241&lt;&gt;"",OR($Y241=FALSE(),$Y241="FALSE")),0,IF(MIN(ABS($X241/100-Settings!$C$6),ABS($X241/100-Settings!$G$6))&lt;=MIN(ABS($X241/100-Settings!$C$7),ABS($X241/100-Settings!$G$7)),1,0))))</f>
        <v/>
      </c>
      <c r="AC241">
        <f>IF($Z241=1,IFERROR(IF(VALUE($B241)&lt;100000000,VALUE($B241),1000000000),IFERROR(IF(VALUE(MID($B241,2,20))&lt;100000000,VALUE(MID($B241,2,20)),1000000000),1000000000))+ROW()/100000,"")</f>
        <v/>
      </c>
    </row>
    <row r="242">
      <c r="A242">
        <f>IF($B242="","",IFERROR(IF(INDEX('Per Invoice'!$A$2:$A$801,MATCH($B242,'Per Invoice'!$B$2:$B$801,0))=0,"",INDEX('Per Invoice'!$A$2:$A$801,MATCH($B242,'Per Invoice'!$B$2:$B$801,0))),""))</f>
        <v/>
      </c>
      <c r="J242" s="7">
        <f>IF($B242="","",I242*Q242/100)</f>
        <v/>
      </c>
      <c r="N242" s="7" t="n"/>
      <c r="O242" s="7" t="n"/>
      <c r="P242" s="7">
        <f>IF($B242="","",O242*X242/100)</f>
        <v/>
      </c>
      <c r="Q242" s="7">
        <f>IF($B242="","",O242-P242)</f>
        <v/>
      </c>
      <c r="R242" s="7">
        <f>IF($B242="","",Q242-J242)</f>
        <v/>
      </c>
      <c r="S242" s="7" t="n"/>
      <c r="T242" s="7" t="n"/>
      <c r="V242" s="14" t="n"/>
      <c r="Z242">
        <f>IF($B242="","",IF(COUNTIF($B$2:$B242,$B242)=1,1,0))</f>
        <v/>
      </c>
      <c r="AA242">
        <f>IF($Z242=1,SUMPRODUCT(--($AC$2:$AC$3001&lt;$AC242))+1,"")</f>
        <v/>
      </c>
      <c r="AB242">
        <f>IF($B242="","",IF(OR($Y242=TRUE(),$Y242="TRUE"),1,IF(AND($Y242&lt;&gt;"",OR($Y242=FALSE(),$Y242="FALSE")),0,IF(MIN(ABS($X242/100-Settings!$C$6),ABS($X242/100-Settings!$G$6))&lt;=MIN(ABS($X242/100-Settings!$C$7),ABS($X242/100-Settings!$G$7)),1,0))))</f>
        <v/>
      </c>
      <c r="AC242">
        <f>IF($Z242=1,IFERROR(IF(VALUE($B242)&lt;100000000,VALUE($B242),1000000000),IFERROR(IF(VALUE(MID($B242,2,20))&lt;100000000,VALUE(MID($B242,2,20)),1000000000),1000000000))+ROW()/100000,"")</f>
        <v/>
      </c>
    </row>
    <row r="243">
      <c r="A243">
        <f>IF($B243="","",IFERROR(IF(INDEX('Per Invoice'!$A$2:$A$801,MATCH($B243,'Per Invoice'!$B$2:$B$801,0))=0,"",INDEX('Per Invoice'!$A$2:$A$801,MATCH($B243,'Per Invoice'!$B$2:$B$801,0))),""))</f>
        <v/>
      </c>
      <c r="J243" s="7">
        <f>IF($B243="","",I243*Q243/100)</f>
        <v/>
      </c>
      <c r="N243" s="7" t="n"/>
      <c r="O243" s="7" t="n"/>
      <c r="P243" s="7">
        <f>IF($B243="","",O243*X243/100)</f>
        <v/>
      </c>
      <c r="Q243" s="7">
        <f>IF($B243="","",O243-P243)</f>
        <v/>
      </c>
      <c r="R243" s="7">
        <f>IF($B243="","",Q243-J243)</f>
        <v/>
      </c>
      <c r="S243" s="7" t="n"/>
      <c r="T243" s="7" t="n"/>
      <c r="V243" s="14" t="n"/>
      <c r="Z243">
        <f>IF($B243="","",IF(COUNTIF($B$2:$B243,$B243)=1,1,0))</f>
        <v/>
      </c>
      <c r="AA243">
        <f>IF($Z243=1,SUMPRODUCT(--($AC$2:$AC$3001&lt;$AC243))+1,"")</f>
        <v/>
      </c>
      <c r="AB243">
        <f>IF($B243="","",IF(OR($Y243=TRUE(),$Y243="TRUE"),1,IF(AND($Y243&lt;&gt;"",OR($Y243=FALSE(),$Y243="FALSE")),0,IF(MIN(ABS($X243/100-Settings!$C$6),ABS($X243/100-Settings!$G$6))&lt;=MIN(ABS($X243/100-Settings!$C$7),ABS($X243/100-Settings!$G$7)),1,0))))</f>
        <v/>
      </c>
      <c r="AC243">
        <f>IF($Z243=1,IFERROR(IF(VALUE($B243)&lt;100000000,VALUE($B243),1000000000),IFERROR(IF(VALUE(MID($B243,2,20))&lt;100000000,VALUE(MID($B243,2,20)),1000000000),1000000000))+ROW()/100000,"")</f>
        <v/>
      </c>
    </row>
    <row r="244">
      <c r="A244">
        <f>IF($B244="","",IFERROR(IF(INDEX('Per Invoice'!$A$2:$A$801,MATCH($B244,'Per Invoice'!$B$2:$B$801,0))=0,"",INDEX('Per Invoice'!$A$2:$A$801,MATCH($B244,'Per Invoice'!$B$2:$B$801,0))),""))</f>
        <v/>
      </c>
      <c r="J244" s="7">
        <f>IF($B244="","",I244*Q244/100)</f>
        <v/>
      </c>
      <c r="N244" s="7" t="n"/>
      <c r="O244" s="7" t="n"/>
      <c r="P244" s="7">
        <f>IF($B244="","",O244*X244/100)</f>
        <v/>
      </c>
      <c r="Q244" s="7">
        <f>IF($B244="","",O244-P244)</f>
        <v/>
      </c>
      <c r="R244" s="7">
        <f>IF($B244="","",Q244-J244)</f>
        <v/>
      </c>
      <c r="S244" s="7" t="n"/>
      <c r="T244" s="7" t="n"/>
      <c r="V244" s="14" t="n"/>
      <c r="Z244">
        <f>IF($B244="","",IF(COUNTIF($B$2:$B244,$B244)=1,1,0))</f>
        <v/>
      </c>
      <c r="AA244">
        <f>IF($Z244=1,SUMPRODUCT(--($AC$2:$AC$3001&lt;$AC244))+1,"")</f>
        <v/>
      </c>
      <c r="AB244">
        <f>IF($B244="","",IF(OR($Y244=TRUE(),$Y244="TRUE"),1,IF(AND($Y244&lt;&gt;"",OR($Y244=FALSE(),$Y244="FALSE")),0,IF(MIN(ABS($X244/100-Settings!$C$6),ABS($X244/100-Settings!$G$6))&lt;=MIN(ABS($X244/100-Settings!$C$7),ABS($X244/100-Settings!$G$7)),1,0))))</f>
        <v/>
      </c>
      <c r="AC244">
        <f>IF($Z244=1,IFERROR(IF(VALUE($B244)&lt;100000000,VALUE($B244),1000000000),IFERROR(IF(VALUE(MID($B244,2,20))&lt;100000000,VALUE(MID($B244,2,20)),1000000000),1000000000))+ROW()/100000,"")</f>
        <v/>
      </c>
    </row>
    <row r="245">
      <c r="A245">
        <f>IF($B245="","",IFERROR(IF(INDEX('Per Invoice'!$A$2:$A$801,MATCH($B245,'Per Invoice'!$B$2:$B$801,0))=0,"",INDEX('Per Invoice'!$A$2:$A$801,MATCH($B245,'Per Invoice'!$B$2:$B$801,0))),""))</f>
        <v/>
      </c>
      <c r="J245" s="7">
        <f>IF($B245="","",I245*Q245/100)</f>
        <v/>
      </c>
      <c r="N245" s="7" t="n"/>
      <c r="O245" s="7" t="n"/>
      <c r="P245" s="7">
        <f>IF($B245="","",O245*X245/100)</f>
        <v/>
      </c>
      <c r="Q245" s="7">
        <f>IF($B245="","",O245-P245)</f>
        <v/>
      </c>
      <c r="R245" s="7">
        <f>IF($B245="","",Q245-J245)</f>
        <v/>
      </c>
      <c r="S245" s="7" t="n"/>
      <c r="T245" s="7" t="n"/>
      <c r="V245" s="14" t="n"/>
      <c r="Z245">
        <f>IF($B245="","",IF(COUNTIF($B$2:$B245,$B245)=1,1,0))</f>
        <v/>
      </c>
      <c r="AA245">
        <f>IF($Z245=1,SUMPRODUCT(--($AC$2:$AC$3001&lt;$AC245))+1,"")</f>
        <v/>
      </c>
      <c r="AB245">
        <f>IF($B245="","",IF(OR($Y245=TRUE(),$Y245="TRUE"),1,IF(AND($Y245&lt;&gt;"",OR($Y245=FALSE(),$Y245="FALSE")),0,IF(MIN(ABS($X245/100-Settings!$C$6),ABS($X245/100-Settings!$G$6))&lt;=MIN(ABS($X245/100-Settings!$C$7),ABS($X245/100-Settings!$G$7)),1,0))))</f>
        <v/>
      </c>
      <c r="AC245">
        <f>IF($Z245=1,IFERROR(IF(VALUE($B245)&lt;100000000,VALUE($B245),1000000000),IFERROR(IF(VALUE(MID($B245,2,20))&lt;100000000,VALUE(MID($B245,2,20)),1000000000),1000000000))+ROW()/100000,"")</f>
        <v/>
      </c>
    </row>
    <row r="246">
      <c r="A246">
        <f>IF($B246="","",IFERROR(IF(INDEX('Per Invoice'!$A$2:$A$801,MATCH($B246,'Per Invoice'!$B$2:$B$801,0))=0,"",INDEX('Per Invoice'!$A$2:$A$801,MATCH($B246,'Per Invoice'!$B$2:$B$801,0))),""))</f>
        <v/>
      </c>
      <c r="J246" s="7">
        <f>IF($B246="","",I246*Q246/100)</f>
        <v/>
      </c>
      <c r="N246" s="7" t="n"/>
      <c r="O246" s="7" t="n"/>
      <c r="P246" s="7">
        <f>IF($B246="","",O246*X246/100)</f>
        <v/>
      </c>
      <c r="Q246" s="7">
        <f>IF($B246="","",O246-P246)</f>
        <v/>
      </c>
      <c r="R246" s="7">
        <f>IF($B246="","",Q246-J246)</f>
        <v/>
      </c>
      <c r="S246" s="7" t="n"/>
      <c r="T246" s="7" t="n"/>
      <c r="V246" s="14" t="n"/>
      <c r="Z246">
        <f>IF($B246="","",IF(COUNTIF($B$2:$B246,$B246)=1,1,0))</f>
        <v/>
      </c>
      <c r="AA246">
        <f>IF($Z246=1,SUMPRODUCT(--($AC$2:$AC$3001&lt;$AC246))+1,"")</f>
        <v/>
      </c>
      <c r="AB246">
        <f>IF($B246="","",IF(OR($Y246=TRUE(),$Y246="TRUE"),1,IF(AND($Y246&lt;&gt;"",OR($Y246=FALSE(),$Y246="FALSE")),0,IF(MIN(ABS($X246/100-Settings!$C$6),ABS($X246/100-Settings!$G$6))&lt;=MIN(ABS($X246/100-Settings!$C$7),ABS($X246/100-Settings!$G$7)),1,0))))</f>
        <v/>
      </c>
      <c r="AC246">
        <f>IF($Z246=1,IFERROR(IF(VALUE($B246)&lt;100000000,VALUE($B246),1000000000),IFERROR(IF(VALUE(MID($B246,2,20))&lt;100000000,VALUE(MID($B246,2,20)),1000000000),1000000000))+ROW()/100000,"")</f>
        <v/>
      </c>
    </row>
    <row r="247">
      <c r="A247">
        <f>IF($B247="","",IFERROR(IF(INDEX('Per Invoice'!$A$2:$A$801,MATCH($B247,'Per Invoice'!$B$2:$B$801,0))=0,"",INDEX('Per Invoice'!$A$2:$A$801,MATCH($B247,'Per Invoice'!$B$2:$B$801,0))),""))</f>
        <v/>
      </c>
      <c r="J247" s="7">
        <f>IF($B247="","",I247*Q247/100)</f>
        <v/>
      </c>
      <c r="N247" s="7" t="n"/>
      <c r="O247" s="7" t="n"/>
      <c r="P247" s="7">
        <f>IF($B247="","",O247*X247/100)</f>
        <v/>
      </c>
      <c r="Q247" s="7">
        <f>IF($B247="","",O247-P247)</f>
        <v/>
      </c>
      <c r="R247" s="7">
        <f>IF($B247="","",Q247-J247)</f>
        <v/>
      </c>
      <c r="S247" s="7" t="n"/>
      <c r="T247" s="7" t="n"/>
      <c r="V247" s="14" t="n"/>
      <c r="Z247">
        <f>IF($B247="","",IF(COUNTIF($B$2:$B247,$B247)=1,1,0))</f>
        <v/>
      </c>
      <c r="AA247">
        <f>IF($Z247=1,SUMPRODUCT(--($AC$2:$AC$3001&lt;$AC247))+1,"")</f>
        <v/>
      </c>
      <c r="AB247">
        <f>IF($B247="","",IF(OR($Y247=TRUE(),$Y247="TRUE"),1,IF(AND($Y247&lt;&gt;"",OR($Y247=FALSE(),$Y247="FALSE")),0,IF(MIN(ABS($X247/100-Settings!$C$6),ABS($X247/100-Settings!$G$6))&lt;=MIN(ABS($X247/100-Settings!$C$7),ABS($X247/100-Settings!$G$7)),1,0))))</f>
        <v/>
      </c>
      <c r="AC247">
        <f>IF($Z247=1,IFERROR(IF(VALUE($B247)&lt;100000000,VALUE($B247),1000000000),IFERROR(IF(VALUE(MID($B247,2,20))&lt;100000000,VALUE(MID($B247,2,20)),1000000000),1000000000))+ROW()/100000,"")</f>
        <v/>
      </c>
    </row>
    <row r="248">
      <c r="A248">
        <f>IF($B248="","",IFERROR(IF(INDEX('Per Invoice'!$A$2:$A$801,MATCH($B248,'Per Invoice'!$B$2:$B$801,0))=0,"",INDEX('Per Invoice'!$A$2:$A$801,MATCH($B248,'Per Invoice'!$B$2:$B$801,0))),""))</f>
        <v/>
      </c>
      <c r="J248" s="7">
        <f>IF($B248="","",I248*Q248/100)</f>
        <v/>
      </c>
      <c r="N248" s="7" t="n"/>
      <c r="O248" s="7" t="n"/>
      <c r="P248" s="7">
        <f>IF($B248="","",O248*X248/100)</f>
        <v/>
      </c>
      <c r="Q248" s="7">
        <f>IF($B248="","",O248-P248)</f>
        <v/>
      </c>
      <c r="R248" s="7">
        <f>IF($B248="","",Q248-J248)</f>
        <v/>
      </c>
      <c r="S248" s="7" t="n"/>
      <c r="T248" s="7" t="n"/>
      <c r="V248" s="14" t="n"/>
      <c r="Z248">
        <f>IF($B248="","",IF(COUNTIF($B$2:$B248,$B248)=1,1,0))</f>
        <v/>
      </c>
      <c r="AA248">
        <f>IF($Z248=1,SUMPRODUCT(--($AC$2:$AC$3001&lt;$AC248))+1,"")</f>
        <v/>
      </c>
      <c r="AB248">
        <f>IF($B248="","",IF(OR($Y248=TRUE(),$Y248="TRUE"),1,IF(AND($Y248&lt;&gt;"",OR($Y248=FALSE(),$Y248="FALSE")),0,IF(MIN(ABS($X248/100-Settings!$C$6),ABS($X248/100-Settings!$G$6))&lt;=MIN(ABS($X248/100-Settings!$C$7),ABS($X248/100-Settings!$G$7)),1,0))))</f>
        <v/>
      </c>
      <c r="AC248">
        <f>IF($Z248=1,IFERROR(IF(VALUE($B248)&lt;100000000,VALUE($B248),1000000000),IFERROR(IF(VALUE(MID($B248,2,20))&lt;100000000,VALUE(MID($B248,2,20)),1000000000),1000000000))+ROW()/100000,"")</f>
        <v/>
      </c>
    </row>
    <row r="249">
      <c r="A249">
        <f>IF($B249="","",IFERROR(IF(INDEX('Per Invoice'!$A$2:$A$801,MATCH($B249,'Per Invoice'!$B$2:$B$801,0))=0,"",INDEX('Per Invoice'!$A$2:$A$801,MATCH($B249,'Per Invoice'!$B$2:$B$801,0))),""))</f>
        <v/>
      </c>
      <c r="J249" s="7">
        <f>IF($B249="","",I249*Q249/100)</f>
        <v/>
      </c>
      <c r="N249" s="7" t="n"/>
      <c r="O249" s="7" t="n"/>
      <c r="P249" s="7">
        <f>IF($B249="","",O249*X249/100)</f>
        <v/>
      </c>
      <c r="Q249" s="7">
        <f>IF($B249="","",O249-P249)</f>
        <v/>
      </c>
      <c r="R249" s="7">
        <f>IF($B249="","",Q249-J249)</f>
        <v/>
      </c>
      <c r="S249" s="7" t="n"/>
      <c r="T249" s="7" t="n"/>
      <c r="V249" s="14" t="n"/>
      <c r="Z249">
        <f>IF($B249="","",IF(COUNTIF($B$2:$B249,$B249)=1,1,0))</f>
        <v/>
      </c>
      <c r="AA249">
        <f>IF($Z249=1,SUMPRODUCT(--($AC$2:$AC$3001&lt;$AC249))+1,"")</f>
        <v/>
      </c>
      <c r="AB249">
        <f>IF($B249="","",IF(OR($Y249=TRUE(),$Y249="TRUE"),1,IF(AND($Y249&lt;&gt;"",OR($Y249=FALSE(),$Y249="FALSE")),0,IF(MIN(ABS($X249/100-Settings!$C$6),ABS($X249/100-Settings!$G$6))&lt;=MIN(ABS($X249/100-Settings!$C$7),ABS($X249/100-Settings!$G$7)),1,0))))</f>
        <v/>
      </c>
      <c r="AC249">
        <f>IF($Z249=1,IFERROR(IF(VALUE($B249)&lt;100000000,VALUE($B249),1000000000),IFERROR(IF(VALUE(MID($B249,2,20))&lt;100000000,VALUE(MID($B249,2,20)),1000000000),1000000000))+ROW()/100000,"")</f>
        <v/>
      </c>
    </row>
    <row r="250">
      <c r="A250">
        <f>IF($B250="","",IFERROR(IF(INDEX('Per Invoice'!$A$2:$A$801,MATCH($B250,'Per Invoice'!$B$2:$B$801,0))=0,"",INDEX('Per Invoice'!$A$2:$A$801,MATCH($B250,'Per Invoice'!$B$2:$B$801,0))),""))</f>
        <v/>
      </c>
      <c r="J250" s="7">
        <f>IF($B250="","",I250*Q250/100)</f>
        <v/>
      </c>
      <c r="N250" s="7" t="n"/>
      <c r="O250" s="7" t="n"/>
      <c r="P250" s="7">
        <f>IF($B250="","",O250*X250/100)</f>
        <v/>
      </c>
      <c r="Q250" s="7">
        <f>IF($B250="","",O250-P250)</f>
        <v/>
      </c>
      <c r="R250" s="7">
        <f>IF($B250="","",Q250-J250)</f>
        <v/>
      </c>
      <c r="S250" s="7" t="n"/>
      <c r="T250" s="7" t="n"/>
      <c r="V250" s="14" t="n"/>
      <c r="Z250">
        <f>IF($B250="","",IF(COUNTIF($B$2:$B250,$B250)=1,1,0))</f>
        <v/>
      </c>
      <c r="AA250">
        <f>IF($Z250=1,SUMPRODUCT(--($AC$2:$AC$3001&lt;$AC250))+1,"")</f>
        <v/>
      </c>
      <c r="AB250">
        <f>IF($B250="","",IF(OR($Y250=TRUE(),$Y250="TRUE"),1,IF(AND($Y250&lt;&gt;"",OR($Y250=FALSE(),$Y250="FALSE")),0,IF(MIN(ABS($X250/100-Settings!$C$6),ABS($X250/100-Settings!$G$6))&lt;=MIN(ABS($X250/100-Settings!$C$7),ABS($X250/100-Settings!$G$7)),1,0))))</f>
        <v/>
      </c>
      <c r="AC250">
        <f>IF($Z250=1,IFERROR(IF(VALUE($B250)&lt;100000000,VALUE($B250),1000000000),IFERROR(IF(VALUE(MID($B250,2,20))&lt;100000000,VALUE(MID($B250,2,20)),1000000000),1000000000))+ROW()/100000,"")</f>
        <v/>
      </c>
    </row>
    <row r="251">
      <c r="A251">
        <f>IF($B251="","",IFERROR(IF(INDEX('Per Invoice'!$A$2:$A$801,MATCH($B251,'Per Invoice'!$B$2:$B$801,0))=0,"",INDEX('Per Invoice'!$A$2:$A$801,MATCH($B251,'Per Invoice'!$B$2:$B$801,0))),""))</f>
        <v/>
      </c>
      <c r="J251" s="7">
        <f>IF($B251="","",I251*Q251/100)</f>
        <v/>
      </c>
      <c r="N251" s="7" t="n"/>
      <c r="O251" s="7" t="n"/>
      <c r="P251" s="7">
        <f>IF($B251="","",O251*X251/100)</f>
        <v/>
      </c>
      <c r="Q251" s="7">
        <f>IF($B251="","",O251-P251)</f>
        <v/>
      </c>
      <c r="R251" s="7">
        <f>IF($B251="","",Q251-J251)</f>
        <v/>
      </c>
      <c r="S251" s="7" t="n"/>
      <c r="T251" s="7" t="n"/>
      <c r="V251" s="14" t="n"/>
      <c r="Z251">
        <f>IF($B251="","",IF(COUNTIF($B$2:$B251,$B251)=1,1,0))</f>
        <v/>
      </c>
      <c r="AA251">
        <f>IF($Z251=1,SUMPRODUCT(--($AC$2:$AC$3001&lt;$AC251))+1,"")</f>
        <v/>
      </c>
      <c r="AB251">
        <f>IF($B251="","",IF(OR($Y251=TRUE(),$Y251="TRUE"),1,IF(AND($Y251&lt;&gt;"",OR($Y251=FALSE(),$Y251="FALSE")),0,IF(MIN(ABS($X251/100-Settings!$C$6),ABS($X251/100-Settings!$G$6))&lt;=MIN(ABS($X251/100-Settings!$C$7),ABS($X251/100-Settings!$G$7)),1,0))))</f>
        <v/>
      </c>
      <c r="AC251">
        <f>IF($Z251=1,IFERROR(IF(VALUE($B251)&lt;100000000,VALUE($B251),1000000000),IFERROR(IF(VALUE(MID($B251,2,20))&lt;100000000,VALUE(MID($B251,2,20)),1000000000),1000000000))+ROW()/100000,"")</f>
        <v/>
      </c>
    </row>
    <row r="252">
      <c r="A252">
        <f>IF($B252="","",IFERROR(IF(INDEX('Per Invoice'!$A$2:$A$801,MATCH($B252,'Per Invoice'!$B$2:$B$801,0))=0,"",INDEX('Per Invoice'!$A$2:$A$801,MATCH($B252,'Per Invoice'!$B$2:$B$801,0))),""))</f>
        <v/>
      </c>
      <c r="J252" s="7">
        <f>IF($B252="","",I252*Q252/100)</f>
        <v/>
      </c>
      <c r="N252" s="7" t="n"/>
      <c r="O252" s="7" t="n"/>
      <c r="P252" s="7">
        <f>IF($B252="","",O252*X252/100)</f>
        <v/>
      </c>
      <c r="Q252" s="7">
        <f>IF($B252="","",O252-P252)</f>
        <v/>
      </c>
      <c r="R252" s="7">
        <f>IF($B252="","",Q252-J252)</f>
        <v/>
      </c>
      <c r="S252" s="7" t="n"/>
      <c r="T252" s="7" t="n"/>
      <c r="V252" s="14" t="n"/>
      <c r="Z252">
        <f>IF($B252="","",IF(COUNTIF($B$2:$B252,$B252)=1,1,0))</f>
        <v/>
      </c>
      <c r="AA252">
        <f>IF($Z252=1,SUMPRODUCT(--($AC$2:$AC$3001&lt;$AC252))+1,"")</f>
        <v/>
      </c>
      <c r="AB252">
        <f>IF($B252="","",IF(OR($Y252=TRUE(),$Y252="TRUE"),1,IF(AND($Y252&lt;&gt;"",OR($Y252=FALSE(),$Y252="FALSE")),0,IF(MIN(ABS($X252/100-Settings!$C$6),ABS($X252/100-Settings!$G$6))&lt;=MIN(ABS($X252/100-Settings!$C$7),ABS($X252/100-Settings!$G$7)),1,0))))</f>
        <v/>
      </c>
      <c r="AC252">
        <f>IF($Z252=1,IFERROR(IF(VALUE($B252)&lt;100000000,VALUE($B252),1000000000),IFERROR(IF(VALUE(MID($B252,2,20))&lt;100000000,VALUE(MID($B252,2,20)),1000000000),1000000000))+ROW()/100000,"")</f>
        <v/>
      </c>
    </row>
    <row r="253">
      <c r="A253">
        <f>IF($B253="","",IFERROR(IF(INDEX('Per Invoice'!$A$2:$A$801,MATCH($B253,'Per Invoice'!$B$2:$B$801,0))=0,"",INDEX('Per Invoice'!$A$2:$A$801,MATCH($B253,'Per Invoice'!$B$2:$B$801,0))),""))</f>
        <v/>
      </c>
      <c r="J253" s="7">
        <f>IF($B253="","",I253*Q253/100)</f>
        <v/>
      </c>
      <c r="N253" s="7" t="n"/>
      <c r="O253" s="7" t="n"/>
      <c r="P253" s="7">
        <f>IF($B253="","",O253*X253/100)</f>
        <v/>
      </c>
      <c r="Q253" s="7">
        <f>IF($B253="","",O253-P253)</f>
        <v/>
      </c>
      <c r="R253" s="7">
        <f>IF($B253="","",Q253-J253)</f>
        <v/>
      </c>
      <c r="S253" s="7" t="n"/>
      <c r="T253" s="7" t="n"/>
      <c r="V253" s="14" t="n"/>
      <c r="Z253">
        <f>IF($B253="","",IF(COUNTIF($B$2:$B253,$B253)=1,1,0))</f>
        <v/>
      </c>
      <c r="AA253">
        <f>IF($Z253=1,SUMPRODUCT(--($AC$2:$AC$3001&lt;$AC253))+1,"")</f>
        <v/>
      </c>
      <c r="AB253">
        <f>IF($B253="","",IF(OR($Y253=TRUE(),$Y253="TRUE"),1,IF(AND($Y253&lt;&gt;"",OR($Y253=FALSE(),$Y253="FALSE")),0,IF(MIN(ABS($X253/100-Settings!$C$6),ABS($X253/100-Settings!$G$6))&lt;=MIN(ABS($X253/100-Settings!$C$7),ABS($X253/100-Settings!$G$7)),1,0))))</f>
        <v/>
      </c>
      <c r="AC253">
        <f>IF($Z253=1,IFERROR(IF(VALUE($B253)&lt;100000000,VALUE($B253),1000000000),IFERROR(IF(VALUE(MID($B253,2,20))&lt;100000000,VALUE(MID($B253,2,20)),1000000000),1000000000))+ROW()/100000,"")</f>
        <v/>
      </c>
    </row>
    <row r="254">
      <c r="A254">
        <f>IF($B254="","",IFERROR(IF(INDEX('Per Invoice'!$A$2:$A$801,MATCH($B254,'Per Invoice'!$B$2:$B$801,0))=0,"",INDEX('Per Invoice'!$A$2:$A$801,MATCH($B254,'Per Invoice'!$B$2:$B$801,0))),""))</f>
        <v/>
      </c>
      <c r="J254" s="7">
        <f>IF($B254="","",I254*Q254/100)</f>
        <v/>
      </c>
      <c r="N254" s="7" t="n"/>
      <c r="O254" s="7" t="n"/>
      <c r="P254" s="7">
        <f>IF($B254="","",O254*X254/100)</f>
        <v/>
      </c>
      <c r="Q254" s="7">
        <f>IF($B254="","",O254-P254)</f>
        <v/>
      </c>
      <c r="R254" s="7">
        <f>IF($B254="","",Q254-J254)</f>
        <v/>
      </c>
      <c r="S254" s="7" t="n"/>
      <c r="T254" s="7" t="n"/>
      <c r="V254" s="14" t="n"/>
      <c r="Z254">
        <f>IF($B254="","",IF(COUNTIF($B$2:$B254,$B254)=1,1,0))</f>
        <v/>
      </c>
      <c r="AA254">
        <f>IF($Z254=1,SUMPRODUCT(--($AC$2:$AC$3001&lt;$AC254))+1,"")</f>
        <v/>
      </c>
      <c r="AB254">
        <f>IF($B254="","",IF(OR($Y254=TRUE(),$Y254="TRUE"),1,IF(AND($Y254&lt;&gt;"",OR($Y254=FALSE(),$Y254="FALSE")),0,IF(MIN(ABS($X254/100-Settings!$C$6),ABS($X254/100-Settings!$G$6))&lt;=MIN(ABS($X254/100-Settings!$C$7),ABS($X254/100-Settings!$G$7)),1,0))))</f>
        <v/>
      </c>
      <c r="AC254">
        <f>IF($Z254=1,IFERROR(IF(VALUE($B254)&lt;100000000,VALUE($B254),1000000000),IFERROR(IF(VALUE(MID($B254,2,20))&lt;100000000,VALUE(MID($B254,2,20)),1000000000),1000000000))+ROW()/100000,"")</f>
        <v/>
      </c>
    </row>
    <row r="255">
      <c r="A255">
        <f>IF($B255="","",IFERROR(IF(INDEX('Per Invoice'!$A$2:$A$801,MATCH($B255,'Per Invoice'!$B$2:$B$801,0))=0,"",INDEX('Per Invoice'!$A$2:$A$801,MATCH($B255,'Per Invoice'!$B$2:$B$801,0))),""))</f>
        <v/>
      </c>
      <c r="J255" s="7">
        <f>IF($B255="","",I255*Q255/100)</f>
        <v/>
      </c>
      <c r="N255" s="7" t="n"/>
      <c r="O255" s="7" t="n"/>
      <c r="P255" s="7">
        <f>IF($B255="","",O255*X255/100)</f>
        <v/>
      </c>
      <c r="Q255" s="7">
        <f>IF($B255="","",O255-P255)</f>
        <v/>
      </c>
      <c r="R255" s="7">
        <f>IF($B255="","",Q255-J255)</f>
        <v/>
      </c>
      <c r="S255" s="7" t="n"/>
      <c r="T255" s="7" t="n"/>
      <c r="V255" s="14" t="n"/>
      <c r="Z255">
        <f>IF($B255="","",IF(COUNTIF($B$2:$B255,$B255)=1,1,0))</f>
        <v/>
      </c>
      <c r="AA255">
        <f>IF($Z255=1,SUMPRODUCT(--($AC$2:$AC$3001&lt;$AC255))+1,"")</f>
        <v/>
      </c>
      <c r="AB255">
        <f>IF($B255="","",IF(OR($Y255=TRUE(),$Y255="TRUE"),1,IF(AND($Y255&lt;&gt;"",OR($Y255=FALSE(),$Y255="FALSE")),0,IF(MIN(ABS($X255/100-Settings!$C$6),ABS($X255/100-Settings!$G$6))&lt;=MIN(ABS($X255/100-Settings!$C$7),ABS($X255/100-Settings!$G$7)),1,0))))</f>
        <v/>
      </c>
      <c r="AC255">
        <f>IF($Z255=1,IFERROR(IF(VALUE($B255)&lt;100000000,VALUE($B255),1000000000),IFERROR(IF(VALUE(MID($B255,2,20))&lt;100000000,VALUE(MID($B255,2,20)),1000000000),1000000000))+ROW()/100000,"")</f>
        <v/>
      </c>
    </row>
    <row r="256">
      <c r="A256">
        <f>IF($B256="","",IFERROR(IF(INDEX('Per Invoice'!$A$2:$A$801,MATCH($B256,'Per Invoice'!$B$2:$B$801,0))=0,"",INDEX('Per Invoice'!$A$2:$A$801,MATCH($B256,'Per Invoice'!$B$2:$B$801,0))),""))</f>
        <v/>
      </c>
      <c r="J256" s="7">
        <f>IF($B256="","",I256*Q256/100)</f>
        <v/>
      </c>
      <c r="N256" s="7" t="n"/>
      <c r="O256" s="7" t="n"/>
      <c r="P256" s="7">
        <f>IF($B256="","",O256*X256/100)</f>
        <v/>
      </c>
      <c r="Q256" s="7">
        <f>IF($B256="","",O256-P256)</f>
        <v/>
      </c>
      <c r="R256" s="7">
        <f>IF($B256="","",Q256-J256)</f>
        <v/>
      </c>
      <c r="S256" s="7" t="n"/>
      <c r="T256" s="7" t="n"/>
      <c r="V256" s="14" t="n"/>
      <c r="Z256">
        <f>IF($B256="","",IF(COUNTIF($B$2:$B256,$B256)=1,1,0))</f>
        <v/>
      </c>
      <c r="AA256">
        <f>IF($Z256=1,SUMPRODUCT(--($AC$2:$AC$3001&lt;$AC256))+1,"")</f>
        <v/>
      </c>
      <c r="AB256">
        <f>IF($B256="","",IF(OR($Y256=TRUE(),$Y256="TRUE"),1,IF(AND($Y256&lt;&gt;"",OR($Y256=FALSE(),$Y256="FALSE")),0,IF(MIN(ABS($X256/100-Settings!$C$6),ABS($X256/100-Settings!$G$6))&lt;=MIN(ABS($X256/100-Settings!$C$7),ABS($X256/100-Settings!$G$7)),1,0))))</f>
        <v/>
      </c>
      <c r="AC256">
        <f>IF($Z256=1,IFERROR(IF(VALUE($B256)&lt;100000000,VALUE($B256),1000000000),IFERROR(IF(VALUE(MID($B256,2,20))&lt;100000000,VALUE(MID($B256,2,20)),1000000000),1000000000))+ROW()/100000,"")</f>
        <v/>
      </c>
    </row>
    <row r="257">
      <c r="A257">
        <f>IF($B257="","",IFERROR(IF(INDEX('Per Invoice'!$A$2:$A$801,MATCH($B257,'Per Invoice'!$B$2:$B$801,0))=0,"",INDEX('Per Invoice'!$A$2:$A$801,MATCH($B257,'Per Invoice'!$B$2:$B$801,0))),""))</f>
        <v/>
      </c>
      <c r="J257" s="7">
        <f>IF($B257="","",I257*Q257/100)</f>
        <v/>
      </c>
      <c r="N257" s="7" t="n"/>
      <c r="O257" s="7" t="n"/>
      <c r="P257" s="7">
        <f>IF($B257="","",O257*X257/100)</f>
        <v/>
      </c>
      <c r="Q257" s="7">
        <f>IF($B257="","",O257-P257)</f>
        <v/>
      </c>
      <c r="R257" s="7">
        <f>IF($B257="","",Q257-J257)</f>
        <v/>
      </c>
      <c r="S257" s="7" t="n"/>
      <c r="T257" s="7" t="n"/>
      <c r="V257" s="14" t="n"/>
      <c r="Z257">
        <f>IF($B257="","",IF(COUNTIF($B$2:$B257,$B257)=1,1,0))</f>
        <v/>
      </c>
      <c r="AA257">
        <f>IF($Z257=1,SUMPRODUCT(--($AC$2:$AC$3001&lt;$AC257))+1,"")</f>
        <v/>
      </c>
      <c r="AB257">
        <f>IF($B257="","",IF(OR($Y257=TRUE(),$Y257="TRUE"),1,IF(AND($Y257&lt;&gt;"",OR($Y257=FALSE(),$Y257="FALSE")),0,IF(MIN(ABS($X257/100-Settings!$C$6),ABS($X257/100-Settings!$G$6))&lt;=MIN(ABS($X257/100-Settings!$C$7),ABS($X257/100-Settings!$G$7)),1,0))))</f>
        <v/>
      </c>
      <c r="AC257">
        <f>IF($Z257=1,IFERROR(IF(VALUE($B257)&lt;100000000,VALUE($B257),1000000000),IFERROR(IF(VALUE(MID($B257,2,20))&lt;100000000,VALUE(MID($B257,2,20)),1000000000),1000000000))+ROW()/100000,"")</f>
        <v/>
      </c>
    </row>
    <row r="258">
      <c r="A258">
        <f>IF($B258="","",IFERROR(IF(INDEX('Per Invoice'!$A$2:$A$801,MATCH($B258,'Per Invoice'!$B$2:$B$801,0))=0,"",INDEX('Per Invoice'!$A$2:$A$801,MATCH($B258,'Per Invoice'!$B$2:$B$801,0))),""))</f>
        <v/>
      </c>
      <c r="J258" s="7">
        <f>IF($B258="","",I258*Q258/100)</f>
        <v/>
      </c>
      <c r="N258" s="7" t="n"/>
      <c r="O258" s="7" t="n"/>
      <c r="P258" s="7">
        <f>IF($B258="","",O258*X258/100)</f>
        <v/>
      </c>
      <c r="Q258" s="7">
        <f>IF($B258="","",O258-P258)</f>
        <v/>
      </c>
      <c r="R258" s="7">
        <f>IF($B258="","",Q258-J258)</f>
        <v/>
      </c>
      <c r="S258" s="7" t="n"/>
      <c r="T258" s="7" t="n"/>
      <c r="V258" s="14" t="n"/>
      <c r="Z258">
        <f>IF($B258="","",IF(COUNTIF($B$2:$B258,$B258)=1,1,0))</f>
        <v/>
      </c>
      <c r="AA258">
        <f>IF($Z258=1,SUMPRODUCT(--($AC$2:$AC$3001&lt;$AC258))+1,"")</f>
        <v/>
      </c>
      <c r="AB258">
        <f>IF($B258="","",IF(OR($Y258=TRUE(),$Y258="TRUE"),1,IF(AND($Y258&lt;&gt;"",OR($Y258=FALSE(),$Y258="FALSE")),0,IF(MIN(ABS($X258/100-Settings!$C$6),ABS($X258/100-Settings!$G$6))&lt;=MIN(ABS($X258/100-Settings!$C$7),ABS($X258/100-Settings!$G$7)),1,0))))</f>
        <v/>
      </c>
      <c r="AC258">
        <f>IF($Z258=1,IFERROR(IF(VALUE($B258)&lt;100000000,VALUE($B258),1000000000),IFERROR(IF(VALUE(MID($B258,2,20))&lt;100000000,VALUE(MID($B258,2,20)),1000000000),1000000000))+ROW()/100000,"")</f>
        <v/>
      </c>
    </row>
    <row r="259">
      <c r="A259">
        <f>IF($B259="","",IFERROR(IF(INDEX('Per Invoice'!$A$2:$A$801,MATCH($B259,'Per Invoice'!$B$2:$B$801,0))=0,"",INDEX('Per Invoice'!$A$2:$A$801,MATCH($B259,'Per Invoice'!$B$2:$B$801,0))),""))</f>
        <v/>
      </c>
      <c r="J259" s="7">
        <f>IF($B259="","",I259*Q259/100)</f>
        <v/>
      </c>
      <c r="N259" s="7" t="n"/>
      <c r="O259" s="7" t="n"/>
      <c r="P259" s="7">
        <f>IF($B259="","",O259*X259/100)</f>
        <v/>
      </c>
      <c r="Q259" s="7">
        <f>IF($B259="","",O259-P259)</f>
        <v/>
      </c>
      <c r="R259" s="7">
        <f>IF($B259="","",Q259-J259)</f>
        <v/>
      </c>
      <c r="S259" s="7" t="n"/>
      <c r="T259" s="7" t="n"/>
      <c r="V259" s="14" t="n"/>
      <c r="Z259">
        <f>IF($B259="","",IF(COUNTIF($B$2:$B259,$B259)=1,1,0))</f>
        <v/>
      </c>
      <c r="AA259">
        <f>IF($Z259=1,SUMPRODUCT(--($AC$2:$AC$3001&lt;$AC259))+1,"")</f>
        <v/>
      </c>
      <c r="AB259">
        <f>IF($B259="","",IF(OR($Y259=TRUE(),$Y259="TRUE"),1,IF(AND($Y259&lt;&gt;"",OR($Y259=FALSE(),$Y259="FALSE")),0,IF(MIN(ABS($X259/100-Settings!$C$6),ABS($X259/100-Settings!$G$6))&lt;=MIN(ABS($X259/100-Settings!$C$7),ABS($X259/100-Settings!$G$7)),1,0))))</f>
        <v/>
      </c>
      <c r="AC259">
        <f>IF($Z259=1,IFERROR(IF(VALUE($B259)&lt;100000000,VALUE($B259),1000000000),IFERROR(IF(VALUE(MID($B259,2,20))&lt;100000000,VALUE(MID($B259,2,20)),1000000000),1000000000))+ROW()/100000,"")</f>
        <v/>
      </c>
    </row>
    <row r="260">
      <c r="A260">
        <f>IF($B260="","",IFERROR(IF(INDEX('Per Invoice'!$A$2:$A$801,MATCH($B260,'Per Invoice'!$B$2:$B$801,0))=0,"",INDEX('Per Invoice'!$A$2:$A$801,MATCH($B260,'Per Invoice'!$B$2:$B$801,0))),""))</f>
        <v/>
      </c>
      <c r="J260" s="7">
        <f>IF($B260="","",I260*Q260/100)</f>
        <v/>
      </c>
      <c r="N260" s="7" t="n"/>
      <c r="O260" s="7" t="n"/>
      <c r="P260" s="7">
        <f>IF($B260="","",O260*X260/100)</f>
        <v/>
      </c>
      <c r="Q260" s="7">
        <f>IF($B260="","",O260-P260)</f>
        <v/>
      </c>
      <c r="R260" s="7">
        <f>IF($B260="","",Q260-J260)</f>
        <v/>
      </c>
      <c r="S260" s="7" t="n"/>
      <c r="T260" s="7" t="n"/>
      <c r="V260" s="14" t="n"/>
      <c r="Z260">
        <f>IF($B260="","",IF(COUNTIF($B$2:$B260,$B260)=1,1,0))</f>
        <v/>
      </c>
      <c r="AA260">
        <f>IF($Z260=1,SUMPRODUCT(--($AC$2:$AC$3001&lt;$AC260))+1,"")</f>
        <v/>
      </c>
      <c r="AB260">
        <f>IF($B260="","",IF(OR($Y260=TRUE(),$Y260="TRUE"),1,IF(AND($Y260&lt;&gt;"",OR($Y260=FALSE(),$Y260="FALSE")),0,IF(MIN(ABS($X260/100-Settings!$C$6),ABS($X260/100-Settings!$G$6))&lt;=MIN(ABS($X260/100-Settings!$C$7),ABS($X260/100-Settings!$G$7)),1,0))))</f>
        <v/>
      </c>
      <c r="AC260">
        <f>IF($Z260=1,IFERROR(IF(VALUE($B260)&lt;100000000,VALUE($B260),1000000000),IFERROR(IF(VALUE(MID($B260,2,20))&lt;100000000,VALUE(MID($B260,2,20)),1000000000),1000000000))+ROW()/100000,"")</f>
        <v/>
      </c>
    </row>
    <row r="261">
      <c r="A261">
        <f>IF($B261="","",IFERROR(IF(INDEX('Per Invoice'!$A$2:$A$801,MATCH($B261,'Per Invoice'!$B$2:$B$801,0))=0,"",INDEX('Per Invoice'!$A$2:$A$801,MATCH($B261,'Per Invoice'!$B$2:$B$801,0))),""))</f>
        <v/>
      </c>
      <c r="J261" s="7">
        <f>IF($B261="","",I261*Q261/100)</f>
        <v/>
      </c>
      <c r="N261" s="7" t="n"/>
      <c r="O261" s="7" t="n"/>
      <c r="P261" s="7">
        <f>IF($B261="","",O261*X261/100)</f>
        <v/>
      </c>
      <c r="Q261" s="7">
        <f>IF($B261="","",O261-P261)</f>
        <v/>
      </c>
      <c r="R261" s="7">
        <f>IF($B261="","",Q261-J261)</f>
        <v/>
      </c>
      <c r="S261" s="7" t="n"/>
      <c r="T261" s="7" t="n"/>
      <c r="V261" s="14" t="n"/>
      <c r="Z261">
        <f>IF($B261="","",IF(COUNTIF($B$2:$B261,$B261)=1,1,0))</f>
        <v/>
      </c>
      <c r="AA261">
        <f>IF($Z261=1,SUMPRODUCT(--($AC$2:$AC$3001&lt;$AC261))+1,"")</f>
        <v/>
      </c>
      <c r="AB261">
        <f>IF($B261="","",IF(OR($Y261=TRUE(),$Y261="TRUE"),1,IF(AND($Y261&lt;&gt;"",OR($Y261=FALSE(),$Y261="FALSE")),0,IF(MIN(ABS($X261/100-Settings!$C$6),ABS($X261/100-Settings!$G$6))&lt;=MIN(ABS($X261/100-Settings!$C$7),ABS($X261/100-Settings!$G$7)),1,0))))</f>
        <v/>
      </c>
      <c r="AC261">
        <f>IF($Z261=1,IFERROR(IF(VALUE($B261)&lt;100000000,VALUE($B261),1000000000),IFERROR(IF(VALUE(MID($B261,2,20))&lt;100000000,VALUE(MID($B261,2,20)),1000000000),1000000000))+ROW()/100000,"")</f>
        <v/>
      </c>
    </row>
    <row r="262">
      <c r="A262">
        <f>IF($B262="","",IFERROR(IF(INDEX('Per Invoice'!$A$2:$A$801,MATCH($B262,'Per Invoice'!$B$2:$B$801,0))=0,"",INDEX('Per Invoice'!$A$2:$A$801,MATCH($B262,'Per Invoice'!$B$2:$B$801,0))),""))</f>
        <v/>
      </c>
      <c r="J262" s="7">
        <f>IF($B262="","",I262*Q262/100)</f>
        <v/>
      </c>
      <c r="N262" s="7" t="n"/>
      <c r="O262" s="7" t="n"/>
      <c r="P262" s="7">
        <f>IF($B262="","",O262*X262/100)</f>
        <v/>
      </c>
      <c r="Q262" s="7">
        <f>IF($B262="","",O262-P262)</f>
        <v/>
      </c>
      <c r="R262" s="7">
        <f>IF($B262="","",Q262-J262)</f>
        <v/>
      </c>
      <c r="S262" s="7" t="n"/>
      <c r="T262" s="7" t="n"/>
      <c r="V262" s="14" t="n"/>
      <c r="Z262">
        <f>IF($B262="","",IF(COUNTIF($B$2:$B262,$B262)=1,1,0))</f>
        <v/>
      </c>
      <c r="AA262">
        <f>IF($Z262=1,SUMPRODUCT(--($AC$2:$AC$3001&lt;$AC262))+1,"")</f>
        <v/>
      </c>
      <c r="AB262">
        <f>IF($B262="","",IF(OR($Y262=TRUE(),$Y262="TRUE"),1,IF(AND($Y262&lt;&gt;"",OR($Y262=FALSE(),$Y262="FALSE")),0,IF(MIN(ABS($X262/100-Settings!$C$6),ABS($X262/100-Settings!$G$6))&lt;=MIN(ABS($X262/100-Settings!$C$7),ABS($X262/100-Settings!$G$7)),1,0))))</f>
        <v/>
      </c>
      <c r="AC262">
        <f>IF($Z262=1,IFERROR(IF(VALUE($B262)&lt;100000000,VALUE($B262),1000000000),IFERROR(IF(VALUE(MID($B262,2,20))&lt;100000000,VALUE(MID($B262,2,20)),1000000000),1000000000))+ROW()/100000,"")</f>
        <v/>
      </c>
    </row>
    <row r="263">
      <c r="A263">
        <f>IF($B263="","",IFERROR(IF(INDEX('Per Invoice'!$A$2:$A$801,MATCH($B263,'Per Invoice'!$B$2:$B$801,0))=0,"",INDEX('Per Invoice'!$A$2:$A$801,MATCH($B263,'Per Invoice'!$B$2:$B$801,0))),""))</f>
        <v/>
      </c>
      <c r="J263" s="7">
        <f>IF($B263="","",I263*Q263/100)</f>
        <v/>
      </c>
      <c r="N263" s="7" t="n"/>
      <c r="O263" s="7" t="n"/>
      <c r="P263" s="7">
        <f>IF($B263="","",O263*X263/100)</f>
        <v/>
      </c>
      <c r="Q263" s="7">
        <f>IF($B263="","",O263-P263)</f>
        <v/>
      </c>
      <c r="R263" s="7">
        <f>IF($B263="","",Q263-J263)</f>
        <v/>
      </c>
      <c r="S263" s="7" t="n"/>
      <c r="T263" s="7" t="n"/>
      <c r="V263" s="14" t="n"/>
      <c r="Z263">
        <f>IF($B263="","",IF(COUNTIF($B$2:$B263,$B263)=1,1,0))</f>
        <v/>
      </c>
      <c r="AA263">
        <f>IF($Z263=1,SUMPRODUCT(--($AC$2:$AC$3001&lt;$AC263))+1,"")</f>
        <v/>
      </c>
      <c r="AB263">
        <f>IF($B263="","",IF(OR($Y263=TRUE(),$Y263="TRUE"),1,IF(AND($Y263&lt;&gt;"",OR($Y263=FALSE(),$Y263="FALSE")),0,IF(MIN(ABS($X263/100-Settings!$C$6),ABS($X263/100-Settings!$G$6))&lt;=MIN(ABS($X263/100-Settings!$C$7),ABS($X263/100-Settings!$G$7)),1,0))))</f>
        <v/>
      </c>
      <c r="AC263">
        <f>IF($Z263=1,IFERROR(IF(VALUE($B263)&lt;100000000,VALUE($B263),1000000000),IFERROR(IF(VALUE(MID($B263,2,20))&lt;100000000,VALUE(MID($B263,2,20)),1000000000),1000000000))+ROW()/100000,"")</f>
        <v/>
      </c>
    </row>
    <row r="264">
      <c r="A264">
        <f>IF($B264="","",IFERROR(IF(INDEX('Per Invoice'!$A$2:$A$801,MATCH($B264,'Per Invoice'!$B$2:$B$801,0))=0,"",INDEX('Per Invoice'!$A$2:$A$801,MATCH($B264,'Per Invoice'!$B$2:$B$801,0))),""))</f>
        <v/>
      </c>
      <c r="J264" s="7">
        <f>IF($B264="","",I264*Q264/100)</f>
        <v/>
      </c>
      <c r="N264" s="7" t="n"/>
      <c r="O264" s="7" t="n"/>
      <c r="P264" s="7">
        <f>IF($B264="","",O264*X264/100)</f>
        <v/>
      </c>
      <c r="Q264" s="7">
        <f>IF($B264="","",O264-P264)</f>
        <v/>
      </c>
      <c r="R264" s="7">
        <f>IF($B264="","",Q264-J264)</f>
        <v/>
      </c>
      <c r="S264" s="7" t="n"/>
      <c r="T264" s="7" t="n"/>
      <c r="V264" s="14" t="n"/>
      <c r="Z264">
        <f>IF($B264="","",IF(COUNTIF($B$2:$B264,$B264)=1,1,0))</f>
        <v/>
      </c>
      <c r="AA264">
        <f>IF($Z264=1,SUMPRODUCT(--($AC$2:$AC$3001&lt;$AC264))+1,"")</f>
        <v/>
      </c>
      <c r="AB264">
        <f>IF($B264="","",IF(OR($Y264=TRUE(),$Y264="TRUE"),1,IF(AND($Y264&lt;&gt;"",OR($Y264=FALSE(),$Y264="FALSE")),0,IF(MIN(ABS($X264/100-Settings!$C$6),ABS($X264/100-Settings!$G$6))&lt;=MIN(ABS($X264/100-Settings!$C$7),ABS($X264/100-Settings!$G$7)),1,0))))</f>
        <v/>
      </c>
      <c r="AC264">
        <f>IF($Z264=1,IFERROR(IF(VALUE($B264)&lt;100000000,VALUE($B264),1000000000),IFERROR(IF(VALUE(MID($B264,2,20))&lt;100000000,VALUE(MID($B264,2,20)),1000000000),1000000000))+ROW()/100000,"")</f>
        <v/>
      </c>
    </row>
    <row r="265">
      <c r="A265">
        <f>IF($B265="","",IFERROR(IF(INDEX('Per Invoice'!$A$2:$A$801,MATCH($B265,'Per Invoice'!$B$2:$B$801,0))=0,"",INDEX('Per Invoice'!$A$2:$A$801,MATCH($B265,'Per Invoice'!$B$2:$B$801,0))),""))</f>
        <v/>
      </c>
      <c r="J265" s="7">
        <f>IF($B265="","",I265*Q265/100)</f>
        <v/>
      </c>
      <c r="N265" s="7" t="n"/>
      <c r="O265" s="7" t="n"/>
      <c r="P265" s="7">
        <f>IF($B265="","",O265*X265/100)</f>
        <v/>
      </c>
      <c r="Q265" s="7">
        <f>IF($B265="","",O265-P265)</f>
        <v/>
      </c>
      <c r="R265" s="7">
        <f>IF($B265="","",Q265-J265)</f>
        <v/>
      </c>
      <c r="S265" s="7" t="n"/>
      <c r="T265" s="7" t="n"/>
      <c r="V265" s="14" t="n"/>
      <c r="Z265">
        <f>IF($B265="","",IF(COUNTIF($B$2:$B265,$B265)=1,1,0))</f>
        <v/>
      </c>
      <c r="AA265">
        <f>IF($Z265=1,SUMPRODUCT(--($AC$2:$AC$3001&lt;$AC265))+1,"")</f>
        <v/>
      </c>
      <c r="AB265">
        <f>IF($B265="","",IF(OR($Y265=TRUE(),$Y265="TRUE"),1,IF(AND($Y265&lt;&gt;"",OR($Y265=FALSE(),$Y265="FALSE")),0,IF(MIN(ABS($X265/100-Settings!$C$6),ABS($X265/100-Settings!$G$6))&lt;=MIN(ABS($X265/100-Settings!$C$7),ABS($X265/100-Settings!$G$7)),1,0))))</f>
        <v/>
      </c>
      <c r="AC265">
        <f>IF($Z265=1,IFERROR(IF(VALUE($B265)&lt;100000000,VALUE($B265),1000000000),IFERROR(IF(VALUE(MID($B265,2,20))&lt;100000000,VALUE(MID($B265,2,20)),1000000000),1000000000))+ROW()/100000,"")</f>
        <v/>
      </c>
    </row>
    <row r="266">
      <c r="A266">
        <f>IF($B266="","",IFERROR(IF(INDEX('Per Invoice'!$A$2:$A$801,MATCH($B266,'Per Invoice'!$B$2:$B$801,0))=0,"",INDEX('Per Invoice'!$A$2:$A$801,MATCH($B266,'Per Invoice'!$B$2:$B$801,0))),""))</f>
        <v/>
      </c>
      <c r="J266" s="7">
        <f>IF($B266="","",I266*Q266/100)</f>
        <v/>
      </c>
      <c r="N266" s="7" t="n"/>
      <c r="O266" s="7" t="n"/>
      <c r="P266" s="7">
        <f>IF($B266="","",O266*X266/100)</f>
        <v/>
      </c>
      <c r="Q266" s="7">
        <f>IF($B266="","",O266-P266)</f>
        <v/>
      </c>
      <c r="R266" s="7">
        <f>IF($B266="","",Q266-J266)</f>
        <v/>
      </c>
      <c r="S266" s="7" t="n"/>
      <c r="T266" s="7" t="n"/>
      <c r="V266" s="14" t="n"/>
      <c r="Z266">
        <f>IF($B266="","",IF(COUNTIF($B$2:$B266,$B266)=1,1,0))</f>
        <v/>
      </c>
      <c r="AA266">
        <f>IF($Z266=1,SUMPRODUCT(--($AC$2:$AC$3001&lt;$AC266))+1,"")</f>
        <v/>
      </c>
      <c r="AB266">
        <f>IF($B266="","",IF(OR($Y266=TRUE(),$Y266="TRUE"),1,IF(AND($Y266&lt;&gt;"",OR($Y266=FALSE(),$Y266="FALSE")),0,IF(MIN(ABS($X266/100-Settings!$C$6),ABS($X266/100-Settings!$G$6))&lt;=MIN(ABS($X266/100-Settings!$C$7),ABS($X266/100-Settings!$G$7)),1,0))))</f>
        <v/>
      </c>
      <c r="AC266">
        <f>IF($Z266=1,IFERROR(IF(VALUE($B266)&lt;100000000,VALUE($B266),1000000000),IFERROR(IF(VALUE(MID($B266,2,20))&lt;100000000,VALUE(MID($B266,2,20)),1000000000),1000000000))+ROW()/100000,"")</f>
        <v/>
      </c>
    </row>
    <row r="267">
      <c r="A267">
        <f>IF($B267="","",IFERROR(IF(INDEX('Per Invoice'!$A$2:$A$801,MATCH($B267,'Per Invoice'!$B$2:$B$801,0))=0,"",INDEX('Per Invoice'!$A$2:$A$801,MATCH($B267,'Per Invoice'!$B$2:$B$801,0))),""))</f>
        <v/>
      </c>
      <c r="J267" s="7">
        <f>IF($B267="","",I267*Q267/100)</f>
        <v/>
      </c>
      <c r="N267" s="7" t="n"/>
      <c r="O267" s="7" t="n"/>
      <c r="P267" s="7">
        <f>IF($B267="","",O267*X267/100)</f>
        <v/>
      </c>
      <c r="Q267" s="7">
        <f>IF($B267="","",O267-P267)</f>
        <v/>
      </c>
      <c r="R267" s="7">
        <f>IF($B267="","",Q267-J267)</f>
        <v/>
      </c>
      <c r="S267" s="7" t="n"/>
      <c r="T267" s="7" t="n"/>
      <c r="V267" s="14" t="n"/>
      <c r="Z267">
        <f>IF($B267="","",IF(COUNTIF($B$2:$B267,$B267)=1,1,0))</f>
        <v/>
      </c>
      <c r="AA267">
        <f>IF($Z267=1,SUMPRODUCT(--($AC$2:$AC$3001&lt;$AC267))+1,"")</f>
        <v/>
      </c>
      <c r="AB267">
        <f>IF($B267="","",IF(OR($Y267=TRUE(),$Y267="TRUE"),1,IF(AND($Y267&lt;&gt;"",OR($Y267=FALSE(),$Y267="FALSE")),0,IF(MIN(ABS($X267/100-Settings!$C$6),ABS($X267/100-Settings!$G$6))&lt;=MIN(ABS($X267/100-Settings!$C$7),ABS($X267/100-Settings!$G$7)),1,0))))</f>
        <v/>
      </c>
      <c r="AC267">
        <f>IF($Z267=1,IFERROR(IF(VALUE($B267)&lt;100000000,VALUE($B267),1000000000),IFERROR(IF(VALUE(MID($B267,2,20))&lt;100000000,VALUE(MID($B267,2,20)),1000000000),1000000000))+ROW()/100000,"")</f>
        <v/>
      </c>
    </row>
    <row r="268">
      <c r="A268">
        <f>IF($B268="","",IFERROR(IF(INDEX('Per Invoice'!$A$2:$A$801,MATCH($B268,'Per Invoice'!$B$2:$B$801,0))=0,"",INDEX('Per Invoice'!$A$2:$A$801,MATCH($B268,'Per Invoice'!$B$2:$B$801,0))),""))</f>
        <v/>
      </c>
      <c r="J268" s="7">
        <f>IF($B268="","",I268*Q268/100)</f>
        <v/>
      </c>
      <c r="N268" s="7" t="n"/>
      <c r="O268" s="7" t="n"/>
      <c r="P268" s="7">
        <f>IF($B268="","",O268*X268/100)</f>
        <v/>
      </c>
      <c r="Q268" s="7">
        <f>IF($B268="","",O268-P268)</f>
        <v/>
      </c>
      <c r="R268" s="7">
        <f>IF($B268="","",Q268-J268)</f>
        <v/>
      </c>
      <c r="S268" s="7" t="n"/>
      <c r="T268" s="7" t="n"/>
      <c r="V268" s="14" t="n"/>
      <c r="Z268">
        <f>IF($B268="","",IF(COUNTIF($B$2:$B268,$B268)=1,1,0))</f>
        <v/>
      </c>
      <c r="AA268">
        <f>IF($Z268=1,SUMPRODUCT(--($AC$2:$AC$3001&lt;$AC268))+1,"")</f>
        <v/>
      </c>
      <c r="AB268">
        <f>IF($B268="","",IF(OR($Y268=TRUE(),$Y268="TRUE"),1,IF(AND($Y268&lt;&gt;"",OR($Y268=FALSE(),$Y268="FALSE")),0,IF(MIN(ABS($X268/100-Settings!$C$6),ABS($X268/100-Settings!$G$6))&lt;=MIN(ABS($X268/100-Settings!$C$7),ABS($X268/100-Settings!$G$7)),1,0))))</f>
        <v/>
      </c>
      <c r="AC268">
        <f>IF($Z268=1,IFERROR(IF(VALUE($B268)&lt;100000000,VALUE($B268),1000000000),IFERROR(IF(VALUE(MID($B268,2,20))&lt;100000000,VALUE(MID($B268,2,20)),1000000000),1000000000))+ROW()/100000,"")</f>
        <v/>
      </c>
    </row>
    <row r="269">
      <c r="A269">
        <f>IF($B269="","",IFERROR(IF(INDEX('Per Invoice'!$A$2:$A$801,MATCH($B269,'Per Invoice'!$B$2:$B$801,0))=0,"",INDEX('Per Invoice'!$A$2:$A$801,MATCH($B269,'Per Invoice'!$B$2:$B$801,0))),""))</f>
        <v/>
      </c>
      <c r="J269" s="7">
        <f>IF($B269="","",I269*Q269/100)</f>
        <v/>
      </c>
      <c r="N269" s="7" t="n"/>
      <c r="O269" s="7" t="n"/>
      <c r="P269" s="7">
        <f>IF($B269="","",O269*X269/100)</f>
        <v/>
      </c>
      <c r="Q269" s="7">
        <f>IF($B269="","",O269-P269)</f>
        <v/>
      </c>
      <c r="R269" s="7">
        <f>IF($B269="","",Q269-J269)</f>
        <v/>
      </c>
      <c r="S269" s="7" t="n"/>
      <c r="T269" s="7" t="n"/>
      <c r="V269" s="14" t="n"/>
      <c r="Z269">
        <f>IF($B269="","",IF(COUNTIF($B$2:$B269,$B269)=1,1,0))</f>
        <v/>
      </c>
      <c r="AA269">
        <f>IF($Z269=1,SUMPRODUCT(--($AC$2:$AC$3001&lt;$AC269))+1,"")</f>
        <v/>
      </c>
      <c r="AB269">
        <f>IF($B269="","",IF(OR($Y269=TRUE(),$Y269="TRUE"),1,IF(AND($Y269&lt;&gt;"",OR($Y269=FALSE(),$Y269="FALSE")),0,IF(MIN(ABS($X269/100-Settings!$C$6),ABS($X269/100-Settings!$G$6))&lt;=MIN(ABS($X269/100-Settings!$C$7),ABS($X269/100-Settings!$G$7)),1,0))))</f>
        <v/>
      </c>
      <c r="AC269">
        <f>IF($Z269=1,IFERROR(IF(VALUE($B269)&lt;100000000,VALUE($B269),1000000000),IFERROR(IF(VALUE(MID($B269,2,20))&lt;100000000,VALUE(MID($B269,2,20)),1000000000),1000000000))+ROW()/100000,"")</f>
        <v/>
      </c>
    </row>
    <row r="270">
      <c r="A270">
        <f>IF($B270="","",IFERROR(IF(INDEX('Per Invoice'!$A$2:$A$801,MATCH($B270,'Per Invoice'!$B$2:$B$801,0))=0,"",INDEX('Per Invoice'!$A$2:$A$801,MATCH($B270,'Per Invoice'!$B$2:$B$801,0))),""))</f>
        <v/>
      </c>
      <c r="J270" s="7">
        <f>IF($B270="","",I270*Q270/100)</f>
        <v/>
      </c>
      <c r="N270" s="7" t="n"/>
      <c r="O270" s="7" t="n"/>
      <c r="P270" s="7">
        <f>IF($B270="","",O270*X270/100)</f>
        <v/>
      </c>
      <c r="Q270" s="7">
        <f>IF($B270="","",O270-P270)</f>
        <v/>
      </c>
      <c r="R270" s="7">
        <f>IF($B270="","",Q270-J270)</f>
        <v/>
      </c>
      <c r="S270" s="7" t="n"/>
      <c r="T270" s="7" t="n"/>
      <c r="V270" s="14" t="n"/>
      <c r="Z270">
        <f>IF($B270="","",IF(COUNTIF($B$2:$B270,$B270)=1,1,0))</f>
        <v/>
      </c>
      <c r="AA270">
        <f>IF($Z270=1,SUMPRODUCT(--($AC$2:$AC$3001&lt;$AC270))+1,"")</f>
        <v/>
      </c>
      <c r="AB270">
        <f>IF($B270="","",IF(OR($Y270=TRUE(),$Y270="TRUE"),1,IF(AND($Y270&lt;&gt;"",OR($Y270=FALSE(),$Y270="FALSE")),0,IF(MIN(ABS($X270/100-Settings!$C$6),ABS($X270/100-Settings!$G$6))&lt;=MIN(ABS($X270/100-Settings!$C$7),ABS($X270/100-Settings!$G$7)),1,0))))</f>
        <v/>
      </c>
      <c r="AC270">
        <f>IF($Z270=1,IFERROR(IF(VALUE($B270)&lt;100000000,VALUE($B270),1000000000),IFERROR(IF(VALUE(MID($B270,2,20))&lt;100000000,VALUE(MID($B270,2,20)),1000000000),1000000000))+ROW()/100000,"")</f>
        <v/>
      </c>
    </row>
    <row r="271">
      <c r="A271">
        <f>IF($B271="","",IFERROR(IF(INDEX('Per Invoice'!$A$2:$A$801,MATCH($B271,'Per Invoice'!$B$2:$B$801,0))=0,"",INDEX('Per Invoice'!$A$2:$A$801,MATCH($B271,'Per Invoice'!$B$2:$B$801,0))),""))</f>
        <v/>
      </c>
      <c r="J271" s="7">
        <f>IF($B271="","",I271*Q271/100)</f>
        <v/>
      </c>
      <c r="N271" s="7" t="n"/>
      <c r="O271" s="7" t="n"/>
      <c r="P271" s="7">
        <f>IF($B271="","",O271*X271/100)</f>
        <v/>
      </c>
      <c r="Q271" s="7">
        <f>IF($B271="","",O271-P271)</f>
        <v/>
      </c>
      <c r="R271" s="7">
        <f>IF($B271="","",Q271-J271)</f>
        <v/>
      </c>
      <c r="S271" s="7" t="n"/>
      <c r="T271" s="7" t="n"/>
      <c r="V271" s="14" t="n"/>
      <c r="Z271">
        <f>IF($B271="","",IF(COUNTIF($B$2:$B271,$B271)=1,1,0))</f>
        <v/>
      </c>
      <c r="AA271">
        <f>IF($Z271=1,SUMPRODUCT(--($AC$2:$AC$3001&lt;$AC271))+1,"")</f>
        <v/>
      </c>
      <c r="AB271">
        <f>IF($B271="","",IF(OR($Y271=TRUE(),$Y271="TRUE"),1,IF(AND($Y271&lt;&gt;"",OR($Y271=FALSE(),$Y271="FALSE")),0,IF(MIN(ABS($X271/100-Settings!$C$6),ABS($X271/100-Settings!$G$6))&lt;=MIN(ABS($X271/100-Settings!$C$7),ABS($X271/100-Settings!$G$7)),1,0))))</f>
        <v/>
      </c>
      <c r="AC271">
        <f>IF($Z271=1,IFERROR(IF(VALUE($B271)&lt;100000000,VALUE($B271),1000000000),IFERROR(IF(VALUE(MID($B271,2,20))&lt;100000000,VALUE(MID($B271,2,20)),1000000000),1000000000))+ROW()/100000,"")</f>
        <v/>
      </c>
    </row>
    <row r="272">
      <c r="A272">
        <f>IF($B272="","",IFERROR(IF(INDEX('Per Invoice'!$A$2:$A$801,MATCH($B272,'Per Invoice'!$B$2:$B$801,0))=0,"",INDEX('Per Invoice'!$A$2:$A$801,MATCH($B272,'Per Invoice'!$B$2:$B$801,0))),""))</f>
        <v/>
      </c>
      <c r="J272" s="7">
        <f>IF($B272="","",I272*Q272/100)</f>
        <v/>
      </c>
      <c r="N272" s="7" t="n"/>
      <c r="O272" s="7" t="n"/>
      <c r="P272" s="7">
        <f>IF($B272="","",O272*X272/100)</f>
        <v/>
      </c>
      <c r="Q272" s="7">
        <f>IF($B272="","",O272-P272)</f>
        <v/>
      </c>
      <c r="R272" s="7">
        <f>IF($B272="","",Q272-J272)</f>
        <v/>
      </c>
      <c r="S272" s="7" t="n"/>
      <c r="T272" s="7" t="n"/>
      <c r="V272" s="14" t="n"/>
      <c r="Z272">
        <f>IF($B272="","",IF(COUNTIF($B$2:$B272,$B272)=1,1,0))</f>
        <v/>
      </c>
      <c r="AA272">
        <f>IF($Z272=1,SUMPRODUCT(--($AC$2:$AC$3001&lt;$AC272))+1,"")</f>
        <v/>
      </c>
      <c r="AB272">
        <f>IF($B272="","",IF(OR($Y272=TRUE(),$Y272="TRUE"),1,IF(AND($Y272&lt;&gt;"",OR($Y272=FALSE(),$Y272="FALSE")),0,IF(MIN(ABS($X272/100-Settings!$C$6),ABS($X272/100-Settings!$G$6))&lt;=MIN(ABS($X272/100-Settings!$C$7),ABS($X272/100-Settings!$G$7)),1,0))))</f>
        <v/>
      </c>
      <c r="AC272">
        <f>IF($Z272=1,IFERROR(IF(VALUE($B272)&lt;100000000,VALUE($B272),1000000000),IFERROR(IF(VALUE(MID($B272,2,20))&lt;100000000,VALUE(MID($B272,2,20)),1000000000),1000000000))+ROW()/100000,"")</f>
        <v/>
      </c>
    </row>
    <row r="273">
      <c r="A273">
        <f>IF($B273="","",IFERROR(IF(INDEX('Per Invoice'!$A$2:$A$801,MATCH($B273,'Per Invoice'!$B$2:$B$801,0))=0,"",INDEX('Per Invoice'!$A$2:$A$801,MATCH($B273,'Per Invoice'!$B$2:$B$801,0))),""))</f>
        <v/>
      </c>
      <c r="J273" s="7">
        <f>IF($B273="","",I273*Q273/100)</f>
        <v/>
      </c>
      <c r="N273" s="7" t="n"/>
      <c r="O273" s="7" t="n"/>
      <c r="P273" s="7">
        <f>IF($B273="","",O273*X273/100)</f>
        <v/>
      </c>
      <c r="Q273" s="7">
        <f>IF($B273="","",O273-P273)</f>
        <v/>
      </c>
      <c r="R273" s="7">
        <f>IF($B273="","",Q273-J273)</f>
        <v/>
      </c>
      <c r="S273" s="7" t="n"/>
      <c r="T273" s="7" t="n"/>
      <c r="V273" s="14" t="n"/>
      <c r="Z273">
        <f>IF($B273="","",IF(COUNTIF($B$2:$B273,$B273)=1,1,0))</f>
        <v/>
      </c>
      <c r="AA273">
        <f>IF($Z273=1,SUMPRODUCT(--($AC$2:$AC$3001&lt;$AC273))+1,"")</f>
        <v/>
      </c>
      <c r="AB273">
        <f>IF($B273="","",IF(OR($Y273=TRUE(),$Y273="TRUE"),1,IF(AND($Y273&lt;&gt;"",OR($Y273=FALSE(),$Y273="FALSE")),0,IF(MIN(ABS($X273/100-Settings!$C$6),ABS($X273/100-Settings!$G$6))&lt;=MIN(ABS($X273/100-Settings!$C$7),ABS($X273/100-Settings!$G$7)),1,0))))</f>
        <v/>
      </c>
      <c r="AC273">
        <f>IF($Z273=1,IFERROR(IF(VALUE($B273)&lt;100000000,VALUE($B273),1000000000),IFERROR(IF(VALUE(MID($B273,2,20))&lt;100000000,VALUE(MID($B273,2,20)),1000000000),1000000000))+ROW()/100000,"")</f>
        <v/>
      </c>
    </row>
    <row r="274">
      <c r="A274">
        <f>IF($B274="","",IFERROR(IF(INDEX('Per Invoice'!$A$2:$A$801,MATCH($B274,'Per Invoice'!$B$2:$B$801,0))=0,"",INDEX('Per Invoice'!$A$2:$A$801,MATCH($B274,'Per Invoice'!$B$2:$B$801,0))),""))</f>
        <v/>
      </c>
      <c r="J274" s="7">
        <f>IF($B274="","",I274*Q274/100)</f>
        <v/>
      </c>
      <c r="N274" s="7" t="n"/>
      <c r="O274" s="7" t="n"/>
      <c r="P274" s="7">
        <f>IF($B274="","",O274*X274/100)</f>
        <v/>
      </c>
      <c r="Q274" s="7">
        <f>IF($B274="","",O274-P274)</f>
        <v/>
      </c>
      <c r="R274" s="7">
        <f>IF($B274="","",Q274-J274)</f>
        <v/>
      </c>
      <c r="S274" s="7" t="n"/>
      <c r="T274" s="7" t="n"/>
      <c r="V274" s="14" t="n"/>
      <c r="Z274">
        <f>IF($B274="","",IF(COUNTIF($B$2:$B274,$B274)=1,1,0))</f>
        <v/>
      </c>
      <c r="AA274">
        <f>IF($Z274=1,SUMPRODUCT(--($AC$2:$AC$3001&lt;$AC274))+1,"")</f>
        <v/>
      </c>
      <c r="AB274">
        <f>IF($B274="","",IF(OR($Y274=TRUE(),$Y274="TRUE"),1,IF(AND($Y274&lt;&gt;"",OR($Y274=FALSE(),$Y274="FALSE")),0,IF(MIN(ABS($X274/100-Settings!$C$6),ABS($X274/100-Settings!$G$6))&lt;=MIN(ABS($X274/100-Settings!$C$7),ABS($X274/100-Settings!$G$7)),1,0))))</f>
        <v/>
      </c>
      <c r="AC274">
        <f>IF($Z274=1,IFERROR(IF(VALUE($B274)&lt;100000000,VALUE($B274),1000000000),IFERROR(IF(VALUE(MID($B274,2,20))&lt;100000000,VALUE(MID($B274,2,20)),1000000000),1000000000))+ROW()/100000,"")</f>
        <v/>
      </c>
    </row>
    <row r="275">
      <c r="A275">
        <f>IF($B275="","",IFERROR(IF(INDEX('Per Invoice'!$A$2:$A$801,MATCH($B275,'Per Invoice'!$B$2:$B$801,0))=0,"",INDEX('Per Invoice'!$A$2:$A$801,MATCH($B275,'Per Invoice'!$B$2:$B$801,0))),""))</f>
        <v/>
      </c>
      <c r="J275" s="7">
        <f>IF($B275="","",I275*Q275/100)</f>
        <v/>
      </c>
      <c r="N275" s="7" t="n"/>
      <c r="O275" s="7" t="n"/>
      <c r="P275" s="7">
        <f>IF($B275="","",O275*X275/100)</f>
        <v/>
      </c>
      <c r="Q275" s="7">
        <f>IF($B275="","",O275-P275)</f>
        <v/>
      </c>
      <c r="R275" s="7">
        <f>IF($B275="","",Q275-J275)</f>
        <v/>
      </c>
      <c r="S275" s="7" t="n"/>
      <c r="T275" s="7" t="n"/>
      <c r="V275" s="14" t="n"/>
      <c r="Z275">
        <f>IF($B275="","",IF(COUNTIF($B$2:$B275,$B275)=1,1,0))</f>
        <v/>
      </c>
      <c r="AA275">
        <f>IF($Z275=1,SUMPRODUCT(--($AC$2:$AC$3001&lt;$AC275))+1,"")</f>
        <v/>
      </c>
      <c r="AB275">
        <f>IF($B275="","",IF(OR($Y275=TRUE(),$Y275="TRUE"),1,IF(AND($Y275&lt;&gt;"",OR($Y275=FALSE(),$Y275="FALSE")),0,IF(MIN(ABS($X275/100-Settings!$C$6),ABS($X275/100-Settings!$G$6))&lt;=MIN(ABS($X275/100-Settings!$C$7),ABS($X275/100-Settings!$G$7)),1,0))))</f>
        <v/>
      </c>
      <c r="AC275">
        <f>IF($Z275=1,IFERROR(IF(VALUE($B275)&lt;100000000,VALUE($B275),1000000000),IFERROR(IF(VALUE(MID($B275,2,20))&lt;100000000,VALUE(MID($B275,2,20)),1000000000),1000000000))+ROW()/100000,"")</f>
        <v/>
      </c>
    </row>
    <row r="276">
      <c r="A276">
        <f>IF($B276="","",IFERROR(IF(INDEX('Per Invoice'!$A$2:$A$801,MATCH($B276,'Per Invoice'!$B$2:$B$801,0))=0,"",INDEX('Per Invoice'!$A$2:$A$801,MATCH($B276,'Per Invoice'!$B$2:$B$801,0))),""))</f>
        <v/>
      </c>
      <c r="J276" s="7">
        <f>IF($B276="","",I276*Q276/100)</f>
        <v/>
      </c>
      <c r="N276" s="7" t="n"/>
      <c r="O276" s="7" t="n"/>
      <c r="P276" s="7">
        <f>IF($B276="","",O276*X276/100)</f>
        <v/>
      </c>
      <c r="Q276" s="7">
        <f>IF($B276="","",O276-P276)</f>
        <v/>
      </c>
      <c r="R276" s="7">
        <f>IF($B276="","",Q276-J276)</f>
        <v/>
      </c>
      <c r="S276" s="7" t="n"/>
      <c r="T276" s="7" t="n"/>
      <c r="V276" s="14" t="n"/>
      <c r="Z276">
        <f>IF($B276="","",IF(COUNTIF($B$2:$B276,$B276)=1,1,0))</f>
        <v/>
      </c>
      <c r="AA276">
        <f>IF($Z276=1,SUMPRODUCT(--($AC$2:$AC$3001&lt;$AC276))+1,"")</f>
        <v/>
      </c>
      <c r="AB276">
        <f>IF($B276="","",IF(OR($Y276=TRUE(),$Y276="TRUE"),1,IF(AND($Y276&lt;&gt;"",OR($Y276=FALSE(),$Y276="FALSE")),0,IF(MIN(ABS($X276/100-Settings!$C$6),ABS($X276/100-Settings!$G$6))&lt;=MIN(ABS($X276/100-Settings!$C$7),ABS($X276/100-Settings!$G$7)),1,0))))</f>
        <v/>
      </c>
      <c r="AC276">
        <f>IF($Z276=1,IFERROR(IF(VALUE($B276)&lt;100000000,VALUE($B276),1000000000),IFERROR(IF(VALUE(MID($B276,2,20))&lt;100000000,VALUE(MID($B276,2,20)),1000000000),1000000000))+ROW()/100000,"")</f>
        <v/>
      </c>
    </row>
    <row r="277">
      <c r="A277">
        <f>IF($B277="","",IFERROR(IF(INDEX('Per Invoice'!$A$2:$A$801,MATCH($B277,'Per Invoice'!$B$2:$B$801,0))=0,"",INDEX('Per Invoice'!$A$2:$A$801,MATCH($B277,'Per Invoice'!$B$2:$B$801,0))),""))</f>
        <v/>
      </c>
      <c r="J277" s="7">
        <f>IF($B277="","",I277*Q277/100)</f>
        <v/>
      </c>
      <c r="N277" s="7" t="n"/>
      <c r="O277" s="7" t="n"/>
      <c r="P277" s="7">
        <f>IF($B277="","",O277*X277/100)</f>
        <v/>
      </c>
      <c r="Q277" s="7">
        <f>IF($B277="","",O277-P277)</f>
        <v/>
      </c>
      <c r="R277" s="7">
        <f>IF($B277="","",Q277-J277)</f>
        <v/>
      </c>
      <c r="S277" s="7" t="n"/>
      <c r="T277" s="7" t="n"/>
      <c r="V277" s="14" t="n"/>
      <c r="Z277">
        <f>IF($B277="","",IF(COUNTIF($B$2:$B277,$B277)=1,1,0))</f>
        <v/>
      </c>
      <c r="AA277">
        <f>IF($Z277=1,SUMPRODUCT(--($AC$2:$AC$3001&lt;$AC277))+1,"")</f>
        <v/>
      </c>
      <c r="AB277">
        <f>IF($B277="","",IF(OR($Y277=TRUE(),$Y277="TRUE"),1,IF(AND($Y277&lt;&gt;"",OR($Y277=FALSE(),$Y277="FALSE")),0,IF(MIN(ABS($X277/100-Settings!$C$6),ABS($X277/100-Settings!$G$6))&lt;=MIN(ABS($X277/100-Settings!$C$7),ABS($X277/100-Settings!$G$7)),1,0))))</f>
        <v/>
      </c>
      <c r="AC277">
        <f>IF($Z277=1,IFERROR(IF(VALUE($B277)&lt;100000000,VALUE($B277),1000000000),IFERROR(IF(VALUE(MID($B277,2,20))&lt;100000000,VALUE(MID($B277,2,20)),1000000000),1000000000))+ROW()/100000,"")</f>
        <v/>
      </c>
    </row>
    <row r="278">
      <c r="A278">
        <f>IF($B278="","",IFERROR(IF(INDEX('Per Invoice'!$A$2:$A$801,MATCH($B278,'Per Invoice'!$B$2:$B$801,0))=0,"",INDEX('Per Invoice'!$A$2:$A$801,MATCH($B278,'Per Invoice'!$B$2:$B$801,0))),""))</f>
        <v/>
      </c>
      <c r="J278" s="7">
        <f>IF($B278="","",I278*Q278/100)</f>
        <v/>
      </c>
      <c r="N278" s="7" t="n"/>
      <c r="O278" s="7" t="n"/>
      <c r="P278" s="7">
        <f>IF($B278="","",O278*X278/100)</f>
        <v/>
      </c>
      <c r="Q278" s="7">
        <f>IF($B278="","",O278-P278)</f>
        <v/>
      </c>
      <c r="R278" s="7">
        <f>IF($B278="","",Q278-J278)</f>
        <v/>
      </c>
      <c r="S278" s="7" t="n"/>
      <c r="T278" s="7" t="n"/>
      <c r="V278" s="14" t="n"/>
      <c r="Z278">
        <f>IF($B278="","",IF(COUNTIF($B$2:$B278,$B278)=1,1,0))</f>
        <v/>
      </c>
      <c r="AA278">
        <f>IF($Z278=1,SUMPRODUCT(--($AC$2:$AC$3001&lt;$AC278))+1,"")</f>
        <v/>
      </c>
      <c r="AB278">
        <f>IF($B278="","",IF(OR($Y278=TRUE(),$Y278="TRUE"),1,IF(AND($Y278&lt;&gt;"",OR($Y278=FALSE(),$Y278="FALSE")),0,IF(MIN(ABS($X278/100-Settings!$C$6),ABS($X278/100-Settings!$G$6))&lt;=MIN(ABS($X278/100-Settings!$C$7),ABS($X278/100-Settings!$G$7)),1,0))))</f>
        <v/>
      </c>
      <c r="AC278">
        <f>IF($Z278=1,IFERROR(IF(VALUE($B278)&lt;100000000,VALUE($B278),1000000000),IFERROR(IF(VALUE(MID($B278,2,20))&lt;100000000,VALUE(MID($B278,2,20)),1000000000),1000000000))+ROW()/100000,"")</f>
        <v/>
      </c>
    </row>
    <row r="279">
      <c r="A279">
        <f>IF($B279="","",IFERROR(IF(INDEX('Per Invoice'!$A$2:$A$801,MATCH($B279,'Per Invoice'!$B$2:$B$801,0))=0,"",INDEX('Per Invoice'!$A$2:$A$801,MATCH($B279,'Per Invoice'!$B$2:$B$801,0))),""))</f>
        <v/>
      </c>
      <c r="J279" s="7">
        <f>IF($B279="","",I279*Q279/100)</f>
        <v/>
      </c>
      <c r="N279" s="7" t="n"/>
      <c r="O279" s="7" t="n"/>
      <c r="P279" s="7">
        <f>IF($B279="","",O279*X279/100)</f>
        <v/>
      </c>
      <c r="Q279" s="7">
        <f>IF($B279="","",O279-P279)</f>
        <v/>
      </c>
      <c r="R279" s="7">
        <f>IF($B279="","",Q279-J279)</f>
        <v/>
      </c>
      <c r="S279" s="7" t="n"/>
      <c r="T279" s="7" t="n"/>
      <c r="V279" s="14" t="n"/>
      <c r="Z279">
        <f>IF($B279="","",IF(COUNTIF($B$2:$B279,$B279)=1,1,0))</f>
        <v/>
      </c>
      <c r="AA279">
        <f>IF($Z279=1,SUMPRODUCT(--($AC$2:$AC$3001&lt;$AC279))+1,"")</f>
        <v/>
      </c>
      <c r="AB279">
        <f>IF($B279="","",IF(OR($Y279=TRUE(),$Y279="TRUE"),1,IF(AND($Y279&lt;&gt;"",OR($Y279=FALSE(),$Y279="FALSE")),0,IF(MIN(ABS($X279/100-Settings!$C$6),ABS($X279/100-Settings!$G$6))&lt;=MIN(ABS($X279/100-Settings!$C$7),ABS($X279/100-Settings!$G$7)),1,0))))</f>
        <v/>
      </c>
      <c r="AC279">
        <f>IF($Z279=1,IFERROR(IF(VALUE($B279)&lt;100000000,VALUE($B279),1000000000),IFERROR(IF(VALUE(MID($B279,2,20))&lt;100000000,VALUE(MID($B279,2,20)),1000000000),1000000000))+ROW()/100000,"")</f>
        <v/>
      </c>
    </row>
    <row r="280">
      <c r="A280">
        <f>IF($B280="","",IFERROR(IF(INDEX('Per Invoice'!$A$2:$A$801,MATCH($B280,'Per Invoice'!$B$2:$B$801,0))=0,"",INDEX('Per Invoice'!$A$2:$A$801,MATCH($B280,'Per Invoice'!$B$2:$B$801,0))),""))</f>
        <v/>
      </c>
      <c r="J280" s="7">
        <f>IF($B280="","",I280*Q280/100)</f>
        <v/>
      </c>
      <c r="N280" s="7" t="n"/>
      <c r="O280" s="7" t="n"/>
      <c r="P280" s="7">
        <f>IF($B280="","",O280*X280/100)</f>
        <v/>
      </c>
      <c r="Q280" s="7">
        <f>IF($B280="","",O280-P280)</f>
        <v/>
      </c>
      <c r="R280" s="7">
        <f>IF($B280="","",Q280-J280)</f>
        <v/>
      </c>
      <c r="S280" s="7" t="n"/>
      <c r="T280" s="7" t="n"/>
      <c r="V280" s="14" t="n"/>
      <c r="Z280">
        <f>IF($B280="","",IF(COUNTIF($B$2:$B280,$B280)=1,1,0))</f>
        <v/>
      </c>
      <c r="AA280">
        <f>IF($Z280=1,SUMPRODUCT(--($AC$2:$AC$3001&lt;$AC280))+1,"")</f>
        <v/>
      </c>
      <c r="AB280">
        <f>IF($B280="","",IF(OR($Y280=TRUE(),$Y280="TRUE"),1,IF(AND($Y280&lt;&gt;"",OR($Y280=FALSE(),$Y280="FALSE")),0,IF(MIN(ABS($X280/100-Settings!$C$6),ABS($X280/100-Settings!$G$6))&lt;=MIN(ABS($X280/100-Settings!$C$7),ABS($X280/100-Settings!$G$7)),1,0))))</f>
        <v/>
      </c>
      <c r="AC280">
        <f>IF($Z280=1,IFERROR(IF(VALUE($B280)&lt;100000000,VALUE($B280),1000000000),IFERROR(IF(VALUE(MID($B280,2,20))&lt;100000000,VALUE(MID($B280,2,20)),1000000000),1000000000))+ROW()/100000,"")</f>
        <v/>
      </c>
    </row>
    <row r="281">
      <c r="A281">
        <f>IF($B281="","",IFERROR(IF(INDEX('Per Invoice'!$A$2:$A$801,MATCH($B281,'Per Invoice'!$B$2:$B$801,0))=0,"",INDEX('Per Invoice'!$A$2:$A$801,MATCH($B281,'Per Invoice'!$B$2:$B$801,0))),""))</f>
        <v/>
      </c>
      <c r="J281" s="7">
        <f>IF($B281="","",I281*Q281/100)</f>
        <v/>
      </c>
      <c r="N281" s="7" t="n"/>
      <c r="O281" s="7" t="n"/>
      <c r="P281" s="7">
        <f>IF($B281="","",O281*X281/100)</f>
        <v/>
      </c>
      <c r="Q281" s="7">
        <f>IF($B281="","",O281-P281)</f>
        <v/>
      </c>
      <c r="R281" s="7">
        <f>IF($B281="","",Q281-J281)</f>
        <v/>
      </c>
      <c r="S281" s="7" t="n"/>
      <c r="T281" s="7" t="n"/>
      <c r="V281" s="14" t="n"/>
      <c r="Z281">
        <f>IF($B281="","",IF(COUNTIF($B$2:$B281,$B281)=1,1,0))</f>
        <v/>
      </c>
      <c r="AA281">
        <f>IF($Z281=1,SUMPRODUCT(--($AC$2:$AC$3001&lt;$AC281))+1,"")</f>
        <v/>
      </c>
      <c r="AB281">
        <f>IF($B281="","",IF(OR($Y281=TRUE(),$Y281="TRUE"),1,IF(AND($Y281&lt;&gt;"",OR($Y281=FALSE(),$Y281="FALSE")),0,IF(MIN(ABS($X281/100-Settings!$C$6),ABS($X281/100-Settings!$G$6))&lt;=MIN(ABS($X281/100-Settings!$C$7),ABS($X281/100-Settings!$G$7)),1,0))))</f>
        <v/>
      </c>
      <c r="AC281">
        <f>IF($Z281=1,IFERROR(IF(VALUE($B281)&lt;100000000,VALUE($B281),1000000000),IFERROR(IF(VALUE(MID($B281,2,20))&lt;100000000,VALUE(MID($B281,2,20)),1000000000),1000000000))+ROW()/100000,"")</f>
        <v/>
      </c>
    </row>
    <row r="282">
      <c r="A282">
        <f>IF($B282="","",IFERROR(IF(INDEX('Per Invoice'!$A$2:$A$801,MATCH($B282,'Per Invoice'!$B$2:$B$801,0))=0,"",INDEX('Per Invoice'!$A$2:$A$801,MATCH($B282,'Per Invoice'!$B$2:$B$801,0))),""))</f>
        <v/>
      </c>
      <c r="J282" s="7">
        <f>IF($B282="","",I282*Q282/100)</f>
        <v/>
      </c>
      <c r="N282" s="7" t="n"/>
      <c r="O282" s="7" t="n"/>
      <c r="P282" s="7">
        <f>IF($B282="","",O282*X282/100)</f>
        <v/>
      </c>
      <c r="Q282" s="7">
        <f>IF($B282="","",O282-P282)</f>
        <v/>
      </c>
      <c r="R282" s="7">
        <f>IF($B282="","",Q282-J282)</f>
        <v/>
      </c>
      <c r="S282" s="7" t="n"/>
      <c r="T282" s="7" t="n"/>
      <c r="V282" s="14" t="n"/>
      <c r="Z282">
        <f>IF($B282="","",IF(COUNTIF($B$2:$B282,$B282)=1,1,0))</f>
        <v/>
      </c>
      <c r="AA282">
        <f>IF($Z282=1,SUMPRODUCT(--($AC$2:$AC$3001&lt;$AC282))+1,"")</f>
        <v/>
      </c>
      <c r="AB282">
        <f>IF($B282="","",IF(OR($Y282=TRUE(),$Y282="TRUE"),1,IF(AND($Y282&lt;&gt;"",OR($Y282=FALSE(),$Y282="FALSE")),0,IF(MIN(ABS($X282/100-Settings!$C$6),ABS($X282/100-Settings!$G$6))&lt;=MIN(ABS($X282/100-Settings!$C$7),ABS($X282/100-Settings!$G$7)),1,0))))</f>
        <v/>
      </c>
      <c r="AC282">
        <f>IF($Z282=1,IFERROR(IF(VALUE($B282)&lt;100000000,VALUE($B282),1000000000),IFERROR(IF(VALUE(MID($B282,2,20))&lt;100000000,VALUE(MID($B282,2,20)),1000000000),1000000000))+ROW()/100000,"")</f>
        <v/>
      </c>
    </row>
    <row r="283">
      <c r="A283">
        <f>IF($B283="","",IFERROR(IF(INDEX('Per Invoice'!$A$2:$A$801,MATCH($B283,'Per Invoice'!$B$2:$B$801,0))=0,"",INDEX('Per Invoice'!$A$2:$A$801,MATCH($B283,'Per Invoice'!$B$2:$B$801,0))),""))</f>
        <v/>
      </c>
      <c r="J283" s="7">
        <f>IF($B283="","",I283*Q283/100)</f>
        <v/>
      </c>
      <c r="N283" s="7" t="n"/>
      <c r="O283" s="7" t="n"/>
      <c r="P283" s="7">
        <f>IF($B283="","",O283*X283/100)</f>
        <v/>
      </c>
      <c r="Q283" s="7">
        <f>IF($B283="","",O283-P283)</f>
        <v/>
      </c>
      <c r="R283" s="7">
        <f>IF($B283="","",Q283-J283)</f>
        <v/>
      </c>
      <c r="S283" s="7" t="n"/>
      <c r="T283" s="7" t="n"/>
      <c r="V283" s="14" t="n"/>
      <c r="Z283">
        <f>IF($B283="","",IF(COUNTIF($B$2:$B283,$B283)=1,1,0))</f>
        <v/>
      </c>
      <c r="AA283">
        <f>IF($Z283=1,SUMPRODUCT(--($AC$2:$AC$3001&lt;$AC283))+1,"")</f>
        <v/>
      </c>
      <c r="AB283">
        <f>IF($B283="","",IF(OR($Y283=TRUE(),$Y283="TRUE"),1,IF(AND($Y283&lt;&gt;"",OR($Y283=FALSE(),$Y283="FALSE")),0,IF(MIN(ABS($X283/100-Settings!$C$6),ABS($X283/100-Settings!$G$6))&lt;=MIN(ABS($X283/100-Settings!$C$7),ABS($X283/100-Settings!$G$7)),1,0))))</f>
        <v/>
      </c>
      <c r="AC283">
        <f>IF($Z283=1,IFERROR(IF(VALUE($B283)&lt;100000000,VALUE($B283),1000000000),IFERROR(IF(VALUE(MID($B283,2,20))&lt;100000000,VALUE(MID($B283,2,20)),1000000000),1000000000))+ROW()/100000,"")</f>
        <v/>
      </c>
    </row>
    <row r="284">
      <c r="A284">
        <f>IF($B284="","",IFERROR(IF(INDEX('Per Invoice'!$A$2:$A$801,MATCH($B284,'Per Invoice'!$B$2:$B$801,0))=0,"",INDEX('Per Invoice'!$A$2:$A$801,MATCH($B284,'Per Invoice'!$B$2:$B$801,0))),""))</f>
        <v/>
      </c>
      <c r="J284" s="7">
        <f>IF($B284="","",I284*Q284/100)</f>
        <v/>
      </c>
      <c r="N284" s="7" t="n"/>
      <c r="O284" s="7" t="n"/>
      <c r="P284" s="7">
        <f>IF($B284="","",O284*X284/100)</f>
        <v/>
      </c>
      <c r="Q284" s="7">
        <f>IF($B284="","",O284-P284)</f>
        <v/>
      </c>
      <c r="R284" s="7">
        <f>IF($B284="","",Q284-J284)</f>
        <v/>
      </c>
      <c r="S284" s="7" t="n"/>
      <c r="T284" s="7" t="n"/>
      <c r="V284" s="14" t="n"/>
      <c r="Z284">
        <f>IF($B284="","",IF(COUNTIF($B$2:$B284,$B284)=1,1,0))</f>
        <v/>
      </c>
      <c r="AA284">
        <f>IF($Z284=1,SUMPRODUCT(--($AC$2:$AC$3001&lt;$AC284))+1,"")</f>
        <v/>
      </c>
      <c r="AB284">
        <f>IF($B284="","",IF(OR($Y284=TRUE(),$Y284="TRUE"),1,IF(AND($Y284&lt;&gt;"",OR($Y284=FALSE(),$Y284="FALSE")),0,IF(MIN(ABS($X284/100-Settings!$C$6),ABS($X284/100-Settings!$G$6))&lt;=MIN(ABS($X284/100-Settings!$C$7),ABS($X284/100-Settings!$G$7)),1,0))))</f>
        <v/>
      </c>
      <c r="AC284">
        <f>IF($Z284=1,IFERROR(IF(VALUE($B284)&lt;100000000,VALUE($B284),1000000000),IFERROR(IF(VALUE(MID($B284,2,20))&lt;100000000,VALUE(MID($B284,2,20)),1000000000),1000000000))+ROW()/100000,"")</f>
        <v/>
      </c>
    </row>
    <row r="285">
      <c r="A285">
        <f>IF($B285="","",IFERROR(IF(INDEX('Per Invoice'!$A$2:$A$801,MATCH($B285,'Per Invoice'!$B$2:$B$801,0))=0,"",INDEX('Per Invoice'!$A$2:$A$801,MATCH($B285,'Per Invoice'!$B$2:$B$801,0))),""))</f>
        <v/>
      </c>
      <c r="J285" s="7">
        <f>IF($B285="","",I285*Q285/100)</f>
        <v/>
      </c>
      <c r="N285" s="7" t="n"/>
      <c r="O285" s="7" t="n"/>
      <c r="P285" s="7">
        <f>IF($B285="","",O285*X285/100)</f>
        <v/>
      </c>
      <c r="Q285" s="7">
        <f>IF($B285="","",O285-P285)</f>
        <v/>
      </c>
      <c r="R285" s="7">
        <f>IF($B285="","",Q285-J285)</f>
        <v/>
      </c>
      <c r="S285" s="7" t="n"/>
      <c r="T285" s="7" t="n"/>
      <c r="V285" s="14" t="n"/>
      <c r="Z285">
        <f>IF($B285="","",IF(COUNTIF($B$2:$B285,$B285)=1,1,0))</f>
        <v/>
      </c>
      <c r="AA285">
        <f>IF($Z285=1,SUMPRODUCT(--($AC$2:$AC$3001&lt;$AC285))+1,"")</f>
        <v/>
      </c>
      <c r="AB285">
        <f>IF($B285="","",IF(OR($Y285=TRUE(),$Y285="TRUE"),1,IF(AND($Y285&lt;&gt;"",OR($Y285=FALSE(),$Y285="FALSE")),0,IF(MIN(ABS($X285/100-Settings!$C$6),ABS($X285/100-Settings!$G$6))&lt;=MIN(ABS($X285/100-Settings!$C$7),ABS($X285/100-Settings!$G$7)),1,0))))</f>
        <v/>
      </c>
      <c r="AC285">
        <f>IF($Z285=1,IFERROR(IF(VALUE($B285)&lt;100000000,VALUE($B285),1000000000),IFERROR(IF(VALUE(MID($B285,2,20))&lt;100000000,VALUE(MID($B285,2,20)),1000000000),1000000000))+ROW()/100000,"")</f>
        <v/>
      </c>
    </row>
    <row r="286">
      <c r="A286">
        <f>IF($B286="","",IFERROR(IF(INDEX('Per Invoice'!$A$2:$A$801,MATCH($B286,'Per Invoice'!$B$2:$B$801,0))=0,"",INDEX('Per Invoice'!$A$2:$A$801,MATCH($B286,'Per Invoice'!$B$2:$B$801,0))),""))</f>
        <v/>
      </c>
      <c r="J286" s="7">
        <f>IF($B286="","",I286*Q286/100)</f>
        <v/>
      </c>
      <c r="N286" s="7" t="n"/>
      <c r="O286" s="7" t="n"/>
      <c r="P286" s="7">
        <f>IF($B286="","",O286*X286/100)</f>
        <v/>
      </c>
      <c r="Q286" s="7">
        <f>IF($B286="","",O286-P286)</f>
        <v/>
      </c>
      <c r="R286" s="7">
        <f>IF($B286="","",Q286-J286)</f>
        <v/>
      </c>
      <c r="S286" s="7" t="n"/>
      <c r="T286" s="7" t="n"/>
      <c r="V286" s="14" t="n"/>
      <c r="Z286">
        <f>IF($B286="","",IF(COUNTIF($B$2:$B286,$B286)=1,1,0))</f>
        <v/>
      </c>
      <c r="AA286">
        <f>IF($Z286=1,SUMPRODUCT(--($AC$2:$AC$3001&lt;$AC286))+1,"")</f>
        <v/>
      </c>
      <c r="AB286">
        <f>IF($B286="","",IF(OR($Y286=TRUE(),$Y286="TRUE"),1,IF(AND($Y286&lt;&gt;"",OR($Y286=FALSE(),$Y286="FALSE")),0,IF(MIN(ABS($X286/100-Settings!$C$6),ABS($X286/100-Settings!$G$6))&lt;=MIN(ABS($X286/100-Settings!$C$7),ABS($X286/100-Settings!$G$7)),1,0))))</f>
        <v/>
      </c>
      <c r="AC286">
        <f>IF($Z286=1,IFERROR(IF(VALUE($B286)&lt;100000000,VALUE($B286),1000000000),IFERROR(IF(VALUE(MID($B286,2,20))&lt;100000000,VALUE(MID($B286,2,20)),1000000000),1000000000))+ROW()/100000,"")</f>
        <v/>
      </c>
    </row>
    <row r="287">
      <c r="A287">
        <f>IF($B287="","",IFERROR(IF(INDEX('Per Invoice'!$A$2:$A$801,MATCH($B287,'Per Invoice'!$B$2:$B$801,0))=0,"",INDEX('Per Invoice'!$A$2:$A$801,MATCH($B287,'Per Invoice'!$B$2:$B$801,0))),""))</f>
        <v/>
      </c>
      <c r="J287" s="7">
        <f>IF($B287="","",I287*Q287/100)</f>
        <v/>
      </c>
      <c r="N287" s="7" t="n"/>
      <c r="O287" s="7" t="n"/>
      <c r="P287" s="7">
        <f>IF($B287="","",O287*X287/100)</f>
        <v/>
      </c>
      <c r="Q287" s="7">
        <f>IF($B287="","",O287-P287)</f>
        <v/>
      </c>
      <c r="R287" s="7">
        <f>IF($B287="","",Q287-J287)</f>
        <v/>
      </c>
      <c r="S287" s="7" t="n"/>
      <c r="T287" s="7" t="n"/>
      <c r="V287" s="14" t="n"/>
      <c r="Z287">
        <f>IF($B287="","",IF(COUNTIF($B$2:$B287,$B287)=1,1,0))</f>
        <v/>
      </c>
      <c r="AA287">
        <f>IF($Z287=1,SUMPRODUCT(--($AC$2:$AC$3001&lt;$AC287))+1,"")</f>
        <v/>
      </c>
      <c r="AB287">
        <f>IF($B287="","",IF(OR($Y287=TRUE(),$Y287="TRUE"),1,IF(AND($Y287&lt;&gt;"",OR($Y287=FALSE(),$Y287="FALSE")),0,IF(MIN(ABS($X287/100-Settings!$C$6),ABS($X287/100-Settings!$G$6))&lt;=MIN(ABS($X287/100-Settings!$C$7),ABS($X287/100-Settings!$G$7)),1,0))))</f>
        <v/>
      </c>
      <c r="AC287">
        <f>IF($Z287=1,IFERROR(IF(VALUE($B287)&lt;100000000,VALUE($B287),1000000000),IFERROR(IF(VALUE(MID($B287,2,20))&lt;100000000,VALUE(MID($B287,2,20)),1000000000),1000000000))+ROW()/100000,"")</f>
        <v/>
      </c>
    </row>
    <row r="288">
      <c r="A288">
        <f>IF($B288="","",IFERROR(IF(INDEX('Per Invoice'!$A$2:$A$801,MATCH($B288,'Per Invoice'!$B$2:$B$801,0))=0,"",INDEX('Per Invoice'!$A$2:$A$801,MATCH($B288,'Per Invoice'!$B$2:$B$801,0))),""))</f>
        <v/>
      </c>
      <c r="J288" s="7">
        <f>IF($B288="","",I288*Q288/100)</f>
        <v/>
      </c>
      <c r="N288" s="7" t="n"/>
      <c r="O288" s="7" t="n"/>
      <c r="P288" s="7">
        <f>IF($B288="","",O288*X288/100)</f>
        <v/>
      </c>
      <c r="Q288" s="7">
        <f>IF($B288="","",O288-P288)</f>
        <v/>
      </c>
      <c r="R288" s="7">
        <f>IF($B288="","",Q288-J288)</f>
        <v/>
      </c>
      <c r="S288" s="7" t="n"/>
      <c r="T288" s="7" t="n"/>
      <c r="V288" s="14" t="n"/>
      <c r="Z288">
        <f>IF($B288="","",IF(COUNTIF($B$2:$B288,$B288)=1,1,0))</f>
        <v/>
      </c>
      <c r="AA288">
        <f>IF($Z288=1,SUMPRODUCT(--($AC$2:$AC$3001&lt;$AC288))+1,"")</f>
        <v/>
      </c>
      <c r="AB288">
        <f>IF($B288="","",IF(OR($Y288=TRUE(),$Y288="TRUE"),1,IF(AND($Y288&lt;&gt;"",OR($Y288=FALSE(),$Y288="FALSE")),0,IF(MIN(ABS($X288/100-Settings!$C$6),ABS($X288/100-Settings!$G$6))&lt;=MIN(ABS($X288/100-Settings!$C$7),ABS($X288/100-Settings!$G$7)),1,0))))</f>
        <v/>
      </c>
      <c r="AC288">
        <f>IF($Z288=1,IFERROR(IF(VALUE($B288)&lt;100000000,VALUE($B288),1000000000),IFERROR(IF(VALUE(MID($B288,2,20))&lt;100000000,VALUE(MID($B288,2,20)),1000000000),1000000000))+ROW()/100000,"")</f>
        <v/>
      </c>
    </row>
    <row r="289">
      <c r="A289">
        <f>IF($B289="","",IFERROR(IF(INDEX('Per Invoice'!$A$2:$A$801,MATCH($B289,'Per Invoice'!$B$2:$B$801,0))=0,"",INDEX('Per Invoice'!$A$2:$A$801,MATCH($B289,'Per Invoice'!$B$2:$B$801,0))),""))</f>
        <v/>
      </c>
      <c r="J289" s="7">
        <f>IF($B289="","",I289*Q289/100)</f>
        <v/>
      </c>
      <c r="N289" s="7" t="n"/>
      <c r="O289" s="7" t="n"/>
      <c r="P289" s="7">
        <f>IF($B289="","",O289*X289/100)</f>
        <v/>
      </c>
      <c r="Q289" s="7">
        <f>IF($B289="","",O289-P289)</f>
        <v/>
      </c>
      <c r="R289" s="7">
        <f>IF($B289="","",Q289-J289)</f>
        <v/>
      </c>
      <c r="S289" s="7" t="n"/>
      <c r="T289" s="7" t="n"/>
      <c r="V289" s="14" t="n"/>
      <c r="Z289">
        <f>IF($B289="","",IF(COUNTIF($B$2:$B289,$B289)=1,1,0))</f>
        <v/>
      </c>
      <c r="AA289">
        <f>IF($Z289=1,SUMPRODUCT(--($AC$2:$AC$3001&lt;$AC289))+1,"")</f>
        <v/>
      </c>
      <c r="AB289">
        <f>IF($B289="","",IF(OR($Y289=TRUE(),$Y289="TRUE"),1,IF(AND($Y289&lt;&gt;"",OR($Y289=FALSE(),$Y289="FALSE")),0,IF(MIN(ABS($X289/100-Settings!$C$6),ABS($X289/100-Settings!$G$6))&lt;=MIN(ABS($X289/100-Settings!$C$7),ABS($X289/100-Settings!$G$7)),1,0))))</f>
        <v/>
      </c>
      <c r="AC289">
        <f>IF($Z289=1,IFERROR(IF(VALUE($B289)&lt;100000000,VALUE($B289),1000000000),IFERROR(IF(VALUE(MID($B289,2,20))&lt;100000000,VALUE(MID($B289,2,20)),1000000000),1000000000))+ROW()/100000,"")</f>
        <v/>
      </c>
    </row>
    <row r="290">
      <c r="A290">
        <f>IF($B290="","",IFERROR(IF(INDEX('Per Invoice'!$A$2:$A$801,MATCH($B290,'Per Invoice'!$B$2:$B$801,0))=0,"",INDEX('Per Invoice'!$A$2:$A$801,MATCH($B290,'Per Invoice'!$B$2:$B$801,0))),""))</f>
        <v/>
      </c>
      <c r="J290" s="7">
        <f>IF($B290="","",I290*Q290/100)</f>
        <v/>
      </c>
      <c r="N290" s="7" t="n"/>
      <c r="O290" s="7" t="n"/>
      <c r="P290" s="7">
        <f>IF($B290="","",O290*X290/100)</f>
        <v/>
      </c>
      <c r="Q290" s="7">
        <f>IF($B290="","",O290-P290)</f>
        <v/>
      </c>
      <c r="R290" s="7">
        <f>IF($B290="","",Q290-J290)</f>
        <v/>
      </c>
      <c r="S290" s="7" t="n"/>
      <c r="T290" s="7" t="n"/>
      <c r="V290" s="14" t="n"/>
      <c r="Z290">
        <f>IF($B290="","",IF(COUNTIF($B$2:$B290,$B290)=1,1,0))</f>
        <v/>
      </c>
      <c r="AA290">
        <f>IF($Z290=1,SUMPRODUCT(--($AC$2:$AC$3001&lt;$AC290))+1,"")</f>
        <v/>
      </c>
      <c r="AB290">
        <f>IF($B290="","",IF(OR($Y290=TRUE(),$Y290="TRUE"),1,IF(AND($Y290&lt;&gt;"",OR($Y290=FALSE(),$Y290="FALSE")),0,IF(MIN(ABS($X290/100-Settings!$C$6),ABS($X290/100-Settings!$G$6))&lt;=MIN(ABS($X290/100-Settings!$C$7),ABS($X290/100-Settings!$G$7)),1,0))))</f>
        <v/>
      </c>
      <c r="AC290">
        <f>IF($Z290=1,IFERROR(IF(VALUE($B290)&lt;100000000,VALUE($B290),1000000000),IFERROR(IF(VALUE(MID($B290,2,20))&lt;100000000,VALUE(MID($B290,2,20)),1000000000),1000000000))+ROW()/100000,"")</f>
        <v/>
      </c>
    </row>
    <row r="291">
      <c r="A291">
        <f>IF($B291="","",IFERROR(IF(INDEX('Per Invoice'!$A$2:$A$801,MATCH($B291,'Per Invoice'!$B$2:$B$801,0))=0,"",INDEX('Per Invoice'!$A$2:$A$801,MATCH($B291,'Per Invoice'!$B$2:$B$801,0))),""))</f>
        <v/>
      </c>
      <c r="J291" s="7">
        <f>IF($B291="","",I291*Q291/100)</f>
        <v/>
      </c>
      <c r="N291" s="7" t="n"/>
      <c r="O291" s="7" t="n"/>
      <c r="P291" s="7">
        <f>IF($B291="","",O291*X291/100)</f>
        <v/>
      </c>
      <c r="Q291" s="7">
        <f>IF($B291="","",O291-P291)</f>
        <v/>
      </c>
      <c r="R291" s="7">
        <f>IF($B291="","",Q291-J291)</f>
        <v/>
      </c>
      <c r="S291" s="7" t="n"/>
      <c r="T291" s="7" t="n"/>
      <c r="V291" s="14" t="n"/>
      <c r="Z291">
        <f>IF($B291="","",IF(COUNTIF($B$2:$B291,$B291)=1,1,0))</f>
        <v/>
      </c>
      <c r="AA291">
        <f>IF($Z291=1,SUMPRODUCT(--($AC$2:$AC$3001&lt;$AC291))+1,"")</f>
        <v/>
      </c>
      <c r="AB291">
        <f>IF($B291="","",IF(OR($Y291=TRUE(),$Y291="TRUE"),1,IF(AND($Y291&lt;&gt;"",OR($Y291=FALSE(),$Y291="FALSE")),0,IF(MIN(ABS($X291/100-Settings!$C$6),ABS($X291/100-Settings!$G$6))&lt;=MIN(ABS($X291/100-Settings!$C$7),ABS($X291/100-Settings!$G$7)),1,0))))</f>
        <v/>
      </c>
      <c r="AC291">
        <f>IF($Z291=1,IFERROR(IF(VALUE($B291)&lt;100000000,VALUE($B291),1000000000),IFERROR(IF(VALUE(MID($B291,2,20))&lt;100000000,VALUE(MID($B291,2,20)),1000000000),1000000000))+ROW()/100000,"")</f>
        <v/>
      </c>
    </row>
    <row r="292">
      <c r="A292">
        <f>IF($B292="","",IFERROR(IF(INDEX('Per Invoice'!$A$2:$A$801,MATCH($B292,'Per Invoice'!$B$2:$B$801,0))=0,"",INDEX('Per Invoice'!$A$2:$A$801,MATCH($B292,'Per Invoice'!$B$2:$B$801,0))),""))</f>
        <v/>
      </c>
      <c r="J292" s="7">
        <f>IF($B292="","",I292*Q292/100)</f>
        <v/>
      </c>
      <c r="N292" s="7" t="n"/>
      <c r="O292" s="7" t="n"/>
      <c r="P292" s="7">
        <f>IF($B292="","",O292*X292/100)</f>
        <v/>
      </c>
      <c r="Q292" s="7">
        <f>IF($B292="","",O292-P292)</f>
        <v/>
      </c>
      <c r="R292" s="7">
        <f>IF($B292="","",Q292-J292)</f>
        <v/>
      </c>
      <c r="S292" s="7" t="n"/>
      <c r="T292" s="7" t="n"/>
      <c r="V292" s="14" t="n"/>
      <c r="Z292">
        <f>IF($B292="","",IF(COUNTIF($B$2:$B292,$B292)=1,1,0))</f>
        <v/>
      </c>
      <c r="AA292">
        <f>IF($Z292=1,SUMPRODUCT(--($AC$2:$AC$3001&lt;$AC292))+1,"")</f>
        <v/>
      </c>
      <c r="AB292">
        <f>IF($B292="","",IF(OR($Y292=TRUE(),$Y292="TRUE"),1,IF(AND($Y292&lt;&gt;"",OR($Y292=FALSE(),$Y292="FALSE")),0,IF(MIN(ABS($X292/100-Settings!$C$6),ABS($X292/100-Settings!$G$6))&lt;=MIN(ABS($X292/100-Settings!$C$7),ABS($X292/100-Settings!$G$7)),1,0))))</f>
        <v/>
      </c>
      <c r="AC292">
        <f>IF($Z292=1,IFERROR(IF(VALUE($B292)&lt;100000000,VALUE($B292),1000000000),IFERROR(IF(VALUE(MID($B292,2,20))&lt;100000000,VALUE(MID($B292,2,20)),1000000000),1000000000))+ROW()/100000,"")</f>
        <v/>
      </c>
    </row>
    <row r="293">
      <c r="A293">
        <f>IF($B293="","",IFERROR(IF(INDEX('Per Invoice'!$A$2:$A$801,MATCH($B293,'Per Invoice'!$B$2:$B$801,0))=0,"",INDEX('Per Invoice'!$A$2:$A$801,MATCH($B293,'Per Invoice'!$B$2:$B$801,0))),""))</f>
        <v/>
      </c>
      <c r="J293" s="7">
        <f>IF($B293="","",I293*Q293/100)</f>
        <v/>
      </c>
      <c r="N293" s="7" t="n"/>
      <c r="O293" s="7" t="n"/>
      <c r="P293" s="7">
        <f>IF($B293="","",O293*X293/100)</f>
        <v/>
      </c>
      <c r="Q293" s="7">
        <f>IF($B293="","",O293-P293)</f>
        <v/>
      </c>
      <c r="R293" s="7">
        <f>IF($B293="","",Q293-J293)</f>
        <v/>
      </c>
      <c r="S293" s="7" t="n"/>
      <c r="T293" s="7" t="n"/>
      <c r="V293" s="14" t="n"/>
      <c r="Z293">
        <f>IF($B293="","",IF(COUNTIF($B$2:$B293,$B293)=1,1,0))</f>
        <v/>
      </c>
      <c r="AA293">
        <f>IF($Z293=1,SUMPRODUCT(--($AC$2:$AC$3001&lt;$AC293))+1,"")</f>
        <v/>
      </c>
      <c r="AB293">
        <f>IF($B293="","",IF(OR($Y293=TRUE(),$Y293="TRUE"),1,IF(AND($Y293&lt;&gt;"",OR($Y293=FALSE(),$Y293="FALSE")),0,IF(MIN(ABS($X293/100-Settings!$C$6),ABS($X293/100-Settings!$G$6))&lt;=MIN(ABS($X293/100-Settings!$C$7),ABS($X293/100-Settings!$G$7)),1,0))))</f>
        <v/>
      </c>
      <c r="AC293">
        <f>IF($Z293=1,IFERROR(IF(VALUE($B293)&lt;100000000,VALUE($B293),1000000000),IFERROR(IF(VALUE(MID($B293,2,20))&lt;100000000,VALUE(MID($B293,2,20)),1000000000),1000000000))+ROW()/100000,"")</f>
        <v/>
      </c>
    </row>
    <row r="294">
      <c r="A294">
        <f>IF($B294="","",IFERROR(IF(INDEX('Per Invoice'!$A$2:$A$801,MATCH($B294,'Per Invoice'!$B$2:$B$801,0))=0,"",INDEX('Per Invoice'!$A$2:$A$801,MATCH($B294,'Per Invoice'!$B$2:$B$801,0))),""))</f>
        <v/>
      </c>
      <c r="J294" s="7">
        <f>IF($B294="","",I294*Q294/100)</f>
        <v/>
      </c>
      <c r="N294" s="7" t="n"/>
      <c r="O294" s="7" t="n"/>
      <c r="P294" s="7">
        <f>IF($B294="","",O294*X294/100)</f>
        <v/>
      </c>
      <c r="Q294" s="7">
        <f>IF($B294="","",O294-P294)</f>
        <v/>
      </c>
      <c r="R294" s="7">
        <f>IF($B294="","",Q294-J294)</f>
        <v/>
      </c>
      <c r="S294" s="7" t="n"/>
      <c r="T294" s="7" t="n"/>
      <c r="V294" s="14" t="n"/>
      <c r="Z294">
        <f>IF($B294="","",IF(COUNTIF($B$2:$B294,$B294)=1,1,0))</f>
        <v/>
      </c>
      <c r="AA294">
        <f>IF($Z294=1,SUMPRODUCT(--($AC$2:$AC$3001&lt;$AC294))+1,"")</f>
        <v/>
      </c>
      <c r="AB294">
        <f>IF($B294="","",IF(OR($Y294=TRUE(),$Y294="TRUE"),1,IF(AND($Y294&lt;&gt;"",OR($Y294=FALSE(),$Y294="FALSE")),0,IF(MIN(ABS($X294/100-Settings!$C$6),ABS($X294/100-Settings!$G$6))&lt;=MIN(ABS($X294/100-Settings!$C$7),ABS($X294/100-Settings!$G$7)),1,0))))</f>
        <v/>
      </c>
      <c r="AC294">
        <f>IF($Z294=1,IFERROR(IF(VALUE($B294)&lt;100000000,VALUE($B294),1000000000),IFERROR(IF(VALUE(MID($B294,2,20))&lt;100000000,VALUE(MID($B294,2,20)),1000000000),1000000000))+ROW()/100000,"")</f>
        <v/>
      </c>
    </row>
    <row r="295">
      <c r="A295">
        <f>IF($B295="","",IFERROR(IF(INDEX('Per Invoice'!$A$2:$A$801,MATCH($B295,'Per Invoice'!$B$2:$B$801,0))=0,"",INDEX('Per Invoice'!$A$2:$A$801,MATCH($B295,'Per Invoice'!$B$2:$B$801,0))),""))</f>
        <v/>
      </c>
      <c r="J295" s="7">
        <f>IF($B295="","",I295*Q295/100)</f>
        <v/>
      </c>
      <c r="N295" s="7" t="n"/>
      <c r="O295" s="7" t="n"/>
      <c r="P295" s="7">
        <f>IF($B295="","",O295*X295/100)</f>
        <v/>
      </c>
      <c r="Q295" s="7">
        <f>IF($B295="","",O295-P295)</f>
        <v/>
      </c>
      <c r="R295" s="7">
        <f>IF($B295="","",Q295-J295)</f>
        <v/>
      </c>
      <c r="S295" s="7" t="n"/>
      <c r="T295" s="7" t="n"/>
      <c r="V295" s="14" t="n"/>
      <c r="Z295">
        <f>IF($B295="","",IF(COUNTIF($B$2:$B295,$B295)=1,1,0))</f>
        <v/>
      </c>
      <c r="AA295">
        <f>IF($Z295=1,SUMPRODUCT(--($AC$2:$AC$3001&lt;$AC295))+1,"")</f>
        <v/>
      </c>
      <c r="AB295">
        <f>IF($B295="","",IF(OR($Y295=TRUE(),$Y295="TRUE"),1,IF(AND($Y295&lt;&gt;"",OR($Y295=FALSE(),$Y295="FALSE")),0,IF(MIN(ABS($X295/100-Settings!$C$6),ABS($X295/100-Settings!$G$6))&lt;=MIN(ABS($X295/100-Settings!$C$7),ABS($X295/100-Settings!$G$7)),1,0))))</f>
        <v/>
      </c>
      <c r="AC295">
        <f>IF($Z295=1,IFERROR(IF(VALUE($B295)&lt;100000000,VALUE($B295),1000000000),IFERROR(IF(VALUE(MID($B295,2,20))&lt;100000000,VALUE(MID($B295,2,20)),1000000000),1000000000))+ROW()/100000,"")</f>
        <v/>
      </c>
    </row>
    <row r="296">
      <c r="A296">
        <f>IF($B296="","",IFERROR(IF(INDEX('Per Invoice'!$A$2:$A$801,MATCH($B296,'Per Invoice'!$B$2:$B$801,0))=0,"",INDEX('Per Invoice'!$A$2:$A$801,MATCH($B296,'Per Invoice'!$B$2:$B$801,0))),""))</f>
        <v/>
      </c>
      <c r="J296" s="7">
        <f>IF($B296="","",I296*Q296/100)</f>
        <v/>
      </c>
      <c r="N296" s="7" t="n"/>
      <c r="O296" s="7" t="n"/>
      <c r="P296" s="7">
        <f>IF($B296="","",O296*X296/100)</f>
        <v/>
      </c>
      <c r="Q296" s="7">
        <f>IF($B296="","",O296-P296)</f>
        <v/>
      </c>
      <c r="R296" s="7">
        <f>IF($B296="","",Q296-J296)</f>
        <v/>
      </c>
      <c r="S296" s="7" t="n"/>
      <c r="T296" s="7" t="n"/>
      <c r="V296" s="14" t="n"/>
      <c r="Z296">
        <f>IF($B296="","",IF(COUNTIF($B$2:$B296,$B296)=1,1,0))</f>
        <v/>
      </c>
      <c r="AA296">
        <f>IF($Z296=1,SUMPRODUCT(--($AC$2:$AC$3001&lt;$AC296))+1,"")</f>
        <v/>
      </c>
      <c r="AB296">
        <f>IF($B296="","",IF(OR($Y296=TRUE(),$Y296="TRUE"),1,IF(AND($Y296&lt;&gt;"",OR($Y296=FALSE(),$Y296="FALSE")),0,IF(MIN(ABS($X296/100-Settings!$C$6),ABS($X296/100-Settings!$G$6))&lt;=MIN(ABS($X296/100-Settings!$C$7),ABS($X296/100-Settings!$G$7)),1,0))))</f>
        <v/>
      </c>
      <c r="AC296">
        <f>IF($Z296=1,IFERROR(IF(VALUE($B296)&lt;100000000,VALUE($B296),1000000000),IFERROR(IF(VALUE(MID($B296,2,20))&lt;100000000,VALUE(MID($B296,2,20)),1000000000),1000000000))+ROW()/100000,"")</f>
        <v/>
      </c>
    </row>
    <row r="297">
      <c r="A297">
        <f>IF($B297="","",IFERROR(IF(INDEX('Per Invoice'!$A$2:$A$801,MATCH($B297,'Per Invoice'!$B$2:$B$801,0))=0,"",INDEX('Per Invoice'!$A$2:$A$801,MATCH($B297,'Per Invoice'!$B$2:$B$801,0))),""))</f>
        <v/>
      </c>
      <c r="J297" s="7">
        <f>IF($B297="","",I297*Q297/100)</f>
        <v/>
      </c>
      <c r="N297" s="7" t="n"/>
      <c r="O297" s="7" t="n"/>
      <c r="P297" s="7">
        <f>IF($B297="","",O297*X297/100)</f>
        <v/>
      </c>
      <c r="Q297" s="7">
        <f>IF($B297="","",O297-P297)</f>
        <v/>
      </c>
      <c r="R297" s="7">
        <f>IF($B297="","",Q297-J297)</f>
        <v/>
      </c>
      <c r="S297" s="7" t="n"/>
      <c r="T297" s="7" t="n"/>
      <c r="V297" s="14" t="n"/>
      <c r="Z297">
        <f>IF($B297="","",IF(COUNTIF($B$2:$B297,$B297)=1,1,0))</f>
        <v/>
      </c>
      <c r="AA297">
        <f>IF($Z297=1,SUMPRODUCT(--($AC$2:$AC$3001&lt;$AC297))+1,"")</f>
        <v/>
      </c>
      <c r="AB297">
        <f>IF($B297="","",IF(OR($Y297=TRUE(),$Y297="TRUE"),1,IF(AND($Y297&lt;&gt;"",OR($Y297=FALSE(),$Y297="FALSE")),0,IF(MIN(ABS($X297/100-Settings!$C$6),ABS($X297/100-Settings!$G$6))&lt;=MIN(ABS($X297/100-Settings!$C$7),ABS($X297/100-Settings!$G$7)),1,0))))</f>
        <v/>
      </c>
      <c r="AC297">
        <f>IF($Z297=1,IFERROR(IF(VALUE($B297)&lt;100000000,VALUE($B297),1000000000),IFERROR(IF(VALUE(MID($B297,2,20))&lt;100000000,VALUE(MID($B297,2,20)),1000000000),1000000000))+ROW()/100000,"")</f>
        <v/>
      </c>
    </row>
    <row r="298">
      <c r="A298">
        <f>IF($B298="","",IFERROR(IF(INDEX('Per Invoice'!$A$2:$A$801,MATCH($B298,'Per Invoice'!$B$2:$B$801,0))=0,"",INDEX('Per Invoice'!$A$2:$A$801,MATCH($B298,'Per Invoice'!$B$2:$B$801,0))),""))</f>
        <v/>
      </c>
      <c r="J298" s="7">
        <f>IF($B298="","",I298*Q298/100)</f>
        <v/>
      </c>
      <c r="N298" s="7" t="n"/>
      <c r="O298" s="7" t="n"/>
      <c r="P298" s="7">
        <f>IF($B298="","",O298*X298/100)</f>
        <v/>
      </c>
      <c r="Q298" s="7">
        <f>IF($B298="","",O298-P298)</f>
        <v/>
      </c>
      <c r="R298" s="7">
        <f>IF($B298="","",Q298-J298)</f>
        <v/>
      </c>
      <c r="S298" s="7" t="n"/>
      <c r="T298" s="7" t="n"/>
      <c r="V298" s="14" t="n"/>
      <c r="Z298">
        <f>IF($B298="","",IF(COUNTIF($B$2:$B298,$B298)=1,1,0))</f>
        <v/>
      </c>
      <c r="AA298">
        <f>IF($Z298=1,SUMPRODUCT(--($AC$2:$AC$3001&lt;$AC298))+1,"")</f>
        <v/>
      </c>
      <c r="AB298">
        <f>IF($B298="","",IF(OR($Y298=TRUE(),$Y298="TRUE"),1,IF(AND($Y298&lt;&gt;"",OR($Y298=FALSE(),$Y298="FALSE")),0,IF(MIN(ABS($X298/100-Settings!$C$6),ABS($X298/100-Settings!$G$6))&lt;=MIN(ABS($X298/100-Settings!$C$7),ABS($X298/100-Settings!$G$7)),1,0))))</f>
        <v/>
      </c>
      <c r="AC298">
        <f>IF($Z298=1,IFERROR(IF(VALUE($B298)&lt;100000000,VALUE($B298),1000000000),IFERROR(IF(VALUE(MID($B298,2,20))&lt;100000000,VALUE(MID($B298,2,20)),1000000000),1000000000))+ROW()/100000,"")</f>
        <v/>
      </c>
    </row>
    <row r="299">
      <c r="A299">
        <f>IF($B299="","",IFERROR(IF(INDEX('Per Invoice'!$A$2:$A$801,MATCH($B299,'Per Invoice'!$B$2:$B$801,0))=0,"",INDEX('Per Invoice'!$A$2:$A$801,MATCH($B299,'Per Invoice'!$B$2:$B$801,0))),""))</f>
        <v/>
      </c>
      <c r="J299" s="7">
        <f>IF($B299="","",I299*Q299/100)</f>
        <v/>
      </c>
      <c r="N299" s="7" t="n"/>
      <c r="O299" s="7" t="n"/>
      <c r="P299" s="7">
        <f>IF($B299="","",O299*X299/100)</f>
        <v/>
      </c>
      <c r="Q299" s="7">
        <f>IF($B299="","",O299-P299)</f>
        <v/>
      </c>
      <c r="R299" s="7">
        <f>IF($B299="","",Q299-J299)</f>
        <v/>
      </c>
      <c r="S299" s="7" t="n"/>
      <c r="T299" s="7" t="n"/>
      <c r="V299" s="14" t="n"/>
      <c r="Z299">
        <f>IF($B299="","",IF(COUNTIF($B$2:$B299,$B299)=1,1,0))</f>
        <v/>
      </c>
      <c r="AA299">
        <f>IF($Z299=1,SUMPRODUCT(--($AC$2:$AC$3001&lt;$AC299))+1,"")</f>
        <v/>
      </c>
      <c r="AB299">
        <f>IF($B299="","",IF(OR($Y299=TRUE(),$Y299="TRUE"),1,IF(AND($Y299&lt;&gt;"",OR($Y299=FALSE(),$Y299="FALSE")),0,IF(MIN(ABS($X299/100-Settings!$C$6),ABS($X299/100-Settings!$G$6))&lt;=MIN(ABS($X299/100-Settings!$C$7),ABS($X299/100-Settings!$G$7)),1,0))))</f>
        <v/>
      </c>
      <c r="AC299">
        <f>IF($Z299=1,IFERROR(IF(VALUE($B299)&lt;100000000,VALUE($B299),1000000000),IFERROR(IF(VALUE(MID($B299,2,20))&lt;100000000,VALUE(MID($B299,2,20)),1000000000),1000000000))+ROW()/100000,"")</f>
        <v/>
      </c>
    </row>
    <row r="300">
      <c r="A300">
        <f>IF($B300="","",IFERROR(IF(INDEX('Per Invoice'!$A$2:$A$801,MATCH($B300,'Per Invoice'!$B$2:$B$801,0))=0,"",INDEX('Per Invoice'!$A$2:$A$801,MATCH($B300,'Per Invoice'!$B$2:$B$801,0))),""))</f>
        <v/>
      </c>
      <c r="J300" s="7">
        <f>IF($B300="","",I300*Q300/100)</f>
        <v/>
      </c>
      <c r="N300" s="7" t="n"/>
      <c r="O300" s="7" t="n"/>
      <c r="P300" s="7">
        <f>IF($B300="","",O300*X300/100)</f>
        <v/>
      </c>
      <c r="Q300" s="7">
        <f>IF($B300="","",O300-P300)</f>
        <v/>
      </c>
      <c r="R300" s="7">
        <f>IF($B300="","",Q300-J300)</f>
        <v/>
      </c>
      <c r="S300" s="7" t="n"/>
      <c r="T300" s="7" t="n"/>
      <c r="V300" s="14" t="n"/>
      <c r="Z300">
        <f>IF($B300="","",IF(COUNTIF($B$2:$B300,$B300)=1,1,0))</f>
        <v/>
      </c>
      <c r="AA300">
        <f>IF($Z300=1,SUMPRODUCT(--($AC$2:$AC$3001&lt;$AC300))+1,"")</f>
        <v/>
      </c>
      <c r="AB300">
        <f>IF($B300="","",IF(OR($Y300=TRUE(),$Y300="TRUE"),1,IF(AND($Y300&lt;&gt;"",OR($Y300=FALSE(),$Y300="FALSE")),0,IF(MIN(ABS($X300/100-Settings!$C$6),ABS($X300/100-Settings!$G$6))&lt;=MIN(ABS($X300/100-Settings!$C$7),ABS($X300/100-Settings!$G$7)),1,0))))</f>
        <v/>
      </c>
      <c r="AC300">
        <f>IF($Z300=1,IFERROR(IF(VALUE($B300)&lt;100000000,VALUE($B300),1000000000),IFERROR(IF(VALUE(MID($B300,2,20))&lt;100000000,VALUE(MID($B300,2,20)),1000000000),1000000000))+ROW()/100000,"")</f>
        <v/>
      </c>
    </row>
    <row r="301">
      <c r="A301">
        <f>IF($B301="","",IFERROR(IF(INDEX('Per Invoice'!$A$2:$A$801,MATCH($B301,'Per Invoice'!$B$2:$B$801,0))=0,"",INDEX('Per Invoice'!$A$2:$A$801,MATCH($B301,'Per Invoice'!$B$2:$B$801,0))),""))</f>
        <v/>
      </c>
      <c r="J301" s="7">
        <f>IF($B301="","",I301*Q301/100)</f>
        <v/>
      </c>
      <c r="N301" s="7" t="n"/>
      <c r="O301" s="7" t="n"/>
      <c r="P301" s="7">
        <f>IF($B301="","",O301*X301/100)</f>
        <v/>
      </c>
      <c r="Q301" s="7">
        <f>IF($B301="","",O301-P301)</f>
        <v/>
      </c>
      <c r="R301" s="7">
        <f>IF($B301="","",Q301-J301)</f>
        <v/>
      </c>
      <c r="S301" s="7" t="n"/>
      <c r="T301" s="7" t="n"/>
      <c r="V301" s="14" t="n"/>
      <c r="Z301">
        <f>IF($B301="","",IF(COUNTIF($B$2:$B301,$B301)=1,1,0))</f>
        <v/>
      </c>
      <c r="AA301">
        <f>IF($Z301=1,SUMPRODUCT(--($AC$2:$AC$3001&lt;$AC301))+1,"")</f>
        <v/>
      </c>
      <c r="AB301">
        <f>IF($B301="","",IF(OR($Y301=TRUE(),$Y301="TRUE"),1,IF(AND($Y301&lt;&gt;"",OR($Y301=FALSE(),$Y301="FALSE")),0,IF(MIN(ABS($X301/100-Settings!$C$6),ABS($X301/100-Settings!$G$6))&lt;=MIN(ABS($X301/100-Settings!$C$7),ABS($X301/100-Settings!$G$7)),1,0))))</f>
        <v/>
      </c>
      <c r="AC301">
        <f>IF($Z301=1,IFERROR(IF(VALUE($B301)&lt;100000000,VALUE($B301),1000000000),IFERROR(IF(VALUE(MID($B301,2,20))&lt;100000000,VALUE(MID($B301,2,20)),1000000000),1000000000))+ROW()/100000,"")</f>
        <v/>
      </c>
    </row>
    <row r="302">
      <c r="A302">
        <f>IF($B302="","",IFERROR(IF(INDEX('Per Invoice'!$A$2:$A$801,MATCH($B302,'Per Invoice'!$B$2:$B$801,0))=0,"",INDEX('Per Invoice'!$A$2:$A$801,MATCH($B302,'Per Invoice'!$B$2:$B$801,0))),""))</f>
        <v/>
      </c>
      <c r="J302" s="7">
        <f>IF($B302="","",I302*Q302/100)</f>
        <v/>
      </c>
      <c r="N302" s="7" t="n"/>
      <c r="O302" s="7" t="n"/>
      <c r="P302" s="7">
        <f>IF($B302="","",O302*X302/100)</f>
        <v/>
      </c>
      <c r="Q302" s="7">
        <f>IF($B302="","",O302-P302)</f>
        <v/>
      </c>
      <c r="R302" s="7">
        <f>IF($B302="","",Q302-J302)</f>
        <v/>
      </c>
      <c r="S302" s="7" t="n"/>
      <c r="T302" s="7" t="n"/>
      <c r="V302" s="14" t="n"/>
      <c r="Z302">
        <f>IF($B302="","",IF(COUNTIF($B$2:$B302,$B302)=1,1,0))</f>
        <v/>
      </c>
      <c r="AA302">
        <f>IF($Z302=1,SUMPRODUCT(--($AC$2:$AC$3001&lt;$AC302))+1,"")</f>
        <v/>
      </c>
      <c r="AB302">
        <f>IF($B302="","",IF(OR($Y302=TRUE(),$Y302="TRUE"),1,IF(AND($Y302&lt;&gt;"",OR($Y302=FALSE(),$Y302="FALSE")),0,IF(MIN(ABS($X302/100-Settings!$C$6),ABS($X302/100-Settings!$G$6))&lt;=MIN(ABS($X302/100-Settings!$C$7),ABS($X302/100-Settings!$G$7)),1,0))))</f>
        <v/>
      </c>
      <c r="AC302">
        <f>IF($Z302=1,IFERROR(IF(VALUE($B302)&lt;100000000,VALUE($B302),1000000000),IFERROR(IF(VALUE(MID($B302,2,20))&lt;100000000,VALUE(MID($B302,2,20)),1000000000),1000000000))+ROW()/100000,"")</f>
        <v/>
      </c>
    </row>
    <row r="303">
      <c r="A303">
        <f>IF($B303="","",IFERROR(IF(INDEX('Per Invoice'!$A$2:$A$801,MATCH($B303,'Per Invoice'!$B$2:$B$801,0))=0,"",INDEX('Per Invoice'!$A$2:$A$801,MATCH($B303,'Per Invoice'!$B$2:$B$801,0))),""))</f>
        <v/>
      </c>
      <c r="J303" s="7">
        <f>IF($B303="","",I303*Q303/100)</f>
        <v/>
      </c>
      <c r="N303" s="7" t="n"/>
      <c r="O303" s="7" t="n"/>
      <c r="P303" s="7">
        <f>IF($B303="","",O303*X303/100)</f>
        <v/>
      </c>
      <c r="Q303" s="7">
        <f>IF($B303="","",O303-P303)</f>
        <v/>
      </c>
      <c r="R303" s="7">
        <f>IF($B303="","",Q303-J303)</f>
        <v/>
      </c>
      <c r="S303" s="7" t="n"/>
      <c r="T303" s="7" t="n"/>
      <c r="V303" s="14" t="n"/>
      <c r="Z303">
        <f>IF($B303="","",IF(COUNTIF($B$2:$B303,$B303)=1,1,0))</f>
        <v/>
      </c>
      <c r="AA303">
        <f>IF($Z303=1,SUMPRODUCT(--($AC$2:$AC$3001&lt;$AC303))+1,"")</f>
        <v/>
      </c>
      <c r="AB303">
        <f>IF($B303="","",IF(OR($Y303=TRUE(),$Y303="TRUE"),1,IF(AND($Y303&lt;&gt;"",OR($Y303=FALSE(),$Y303="FALSE")),0,IF(MIN(ABS($X303/100-Settings!$C$6),ABS($X303/100-Settings!$G$6))&lt;=MIN(ABS($X303/100-Settings!$C$7),ABS($X303/100-Settings!$G$7)),1,0))))</f>
        <v/>
      </c>
      <c r="AC303">
        <f>IF($Z303=1,IFERROR(IF(VALUE($B303)&lt;100000000,VALUE($B303),1000000000),IFERROR(IF(VALUE(MID($B303,2,20))&lt;100000000,VALUE(MID($B303,2,20)),1000000000),1000000000))+ROW()/100000,"")</f>
        <v/>
      </c>
    </row>
    <row r="304">
      <c r="A304">
        <f>IF($B304="","",IFERROR(IF(INDEX('Per Invoice'!$A$2:$A$801,MATCH($B304,'Per Invoice'!$B$2:$B$801,0))=0,"",INDEX('Per Invoice'!$A$2:$A$801,MATCH($B304,'Per Invoice'!$B$2:$B$801,0))),""))</f>
        <v/>
      </c>
      <c r="J304" s="7">
        <f>IF($B304="","",I304*Q304/100)</f>
        <v/>
      </c>
      <c r="N304" s="7" t="n"/>
      <c r="O304" s="7" t="n"/>
      <c r="P304" s="7">
        <f>IF($B304="","",O304*X304/100)</f>
        <v/>
      </c>
      <c r="Q304" s="7">
        <f>IF($B304="","",O304-P304)</f>
        <v/>
      </c>
      <c r="R304" s="7">
        <f>IF($B304="","",Q304-J304)</f>
        <v/>
      </c>
      <c r="S304" s="7" t="n"/>
      <c r="T304" s="7" t="n"/>
      <c r="V304" s="14" t="n"/>
      <c r="Z304">
        <f>IF($B304="","",IF(COUNTIF($B$2:$B304,$B304)=1,1,0))</f>
        <v/>
      </c>
      <c r="AA304">
        <f>IF($Z304=1,SUMPRODUCT(--($AC$2:$AC$3001&lt;$AC304))+1,"")</f>
        <v/>
      </c>
      <c r="AB304">
        <f>IF($B304="","",IF(OR($Y304=TRUE(),$Y304="TRUE"),1,IF(AND($Y304&lt;&gt;"",OR($Y304=FALSE(),$Y304="FALSE")),0,IF(MIN(ABS($X304/100-Settings!$C$6),ABS($X304/100-Settings!$G$6))&lt;=MIN(ABS($X304/100-Settings!$C$7),ABS($X304/100-Settings!$G$7)),1,0))))</f>
        <v/>
      </c>
      <c r="AC304">
        <f>IF($Z304=1,IFERROR(IF(VALUE($B304)&lt;100000000,VALUE($B304),1000000000),IFERROR(IF(VALUE(MID($B304,2,20))&lt;100000000,VALUE(MID($B304,2,20)),1000000000),1000000000))+ROW()/100000,"")</f>
        <v/>
      </c>
    </row>
    <row r="305">
      <c r="A305">
        <f>IF($B305="","",IFERROR(IF(INDEX('Per Invoice'!$A$2:$A$801,MATCH($B305,'Per Invoice'!$B$2:$B$801,0))=0,"",INDEX('Per Invoice'!$A$2:$A$801,MATCH($B305,'Per Invoice'!$B$2:$B$801,0))),""))</f>
        <v/>
      </c>
      <c r="J305" s="7">
        <f>IF($B305="","",I305*Q305/100)</f>
        <v/>
      </c>
      <c r="N305" s="7" t="n"/>
      <c r="O305" s="7" t="n"/>
      <c r="P305" s="7">
        <f>IF($B305="","",O305*X305/100)</f>
        <v/>
      </c>
      <c r="Q305" s="7">
        <f>IF($B305="","",O305-P305)</f>
        <v/>
      </c>
      <c r="R305" s="7">
        <f>IF($B305="","",Q305-J305)</f>
        <v/>
      </c>
      <c r="S305" s="7" t="n"/>
      <c r="T305" s="7" t="n"/>
      <c r="V305" s="14" t="n"/>
      <c r="Z305">
        <f>IF($B305="","",IF(COUNTIF($B$2:$B305,$B305)=1,1,0))</f>
        <v/>
      </c>
      <c r="AA305">
        <f>IF($Z305=1,SUMPRODUCT(--($AC$2:$AC$3001&lt;$AC305))+1,"")</f>
        <v/>
      </c>
      <c r="AB305">
        <f>IF($B305="","",IF(OR($Y305=TRUE(),$Y305="TRUE"),1,IF(AND($Y305&lt;&gt;"",OR($Y305=FALSE(),$Y305="FALSE")),0,IF(MIN(ABS($X305/100-Settings!$C$6),ABS($X305/100-Settings!$G$6))&lt;=MIN(ABS($X305/100-Settings!$C$7),ABS($X305/100-Settings!$G$7)),1,0))))</f>
        <v/>
      </c>
      <c r="AC305">
        <f>IF($Z305=1,IFERROR(IF(VALUE($B305)&lt;100000000,VALUE($B305),1000000000),IFERROR(IF(VALUE(MID($B305,2,20))&lt;100000000,VALUE(MID($B305,2,20)),1000000000),1000000000))+ROW()/100000,"")</f>
        <v/>
      </c>
    </row>
    <row r="306">
      <c r="A306">
        <f>IF($B306="","",IFERROR(IF(INDEX('Per Invoice'!$A$2:$A$801,MATCH($B306,'Per Invoice'!$B$2:$B$801,0))=0,"",INDEX('Per Invoice'!$A$2:$A$801,MATCH($B306,'Per Invoice'!$B$2:$B$801,0))),""))</f>
        <v/>
      </c>
      <c r="J306" s="7">
        <f>IF($B306="","",I306*Q306/100)</f>
        <v/>
      </c>
      <c r="N306" s="7" t="n"/>
      <c r="O306" s="7" t="n"/>
      <c r="P306" s="7">
        <f>IF($B306="","",O306*X306/100)</f>
        <v/>
      </c>
      <c r="Q306" s="7">
        <f>IF($B306="","",O306-P306)</f>
        <v/>
      </c>
      <c r="R306" s="7">
        <f>IF($B306="","",Q306-J306)</f>
        <v/>
      </c>
      <c r="S306" s="7" t="n"/>
      <c r="T306" s="7" t="n"/>
      <c r="V306" s="14" t="n"/>
      <c r="Z306">
        <f>IF($B306="","",IF(COUNTIF($B$2:$B306,$B306)=1,1,0))</f>
        <v/>
      </c>
      <c r="AA306">
        <f>IF($Z306=1,SUMPRODUCT(--($AC$2:$AC$3001&lt;$AC306))+1,"")</f>
        <v/>
      </c>
      <c r="AB306">
        <f>IF($B306="","",IF(OR($Y306=TRUE(),$Y306="TRUE"),1,IF(AND($Y306&lt;&gt;"",OR($Y306=FALSE(),$Y306="FALSE")),0,IF(MIN(ABS($X306/100-Settings!$C$6),ABS($X306/100-Settings!$G$6))&lt;=MIN(ABS($X306/100-Settings!$C$7),ABS($X306/100-Settings!$G$7)),1,0))))</f>
        <v/>
      </c>
      <c r="AC306">
        <f>IF($Z306=1,IFERROR(IF(VALUE($B306)&lt;100000000,VALUE($B306),1000000000),IFERROR(IF(VALUE(MID($B306,2,20))&lt;100000000,VALUE(MID($B306,2,20)),1000000000),1000000000))+ROW()/100000,"")</f>
        <v/>
      </c>
    </row>
    <row r="307">
      <c r="A307">
        <f>IF($B307="","",IFERROR(IF(INDEX('Per Invoice'!$A$2:$A$801,MATCH($B307,'Per Invoice'!$B$2:$B$801,0))=0,"",INDEX('Per Invoice'!$A$2:$A$801,MATCH($B307,'Per Invoice'!$B$2:$B$801,0))),""))</f>
        <v/>
      </c>
      <c r="J307" s="7">
        <f>IF($B307="","",I307*Q307/100)</f>
        <v/>
      </c>
      <c r="N307" s="7" t="n"/>
      <c r="O307" s="7" t="n"/>
      <c r="P307" s="7">
        <f>IF($B307="","",O307*X307/100)</f>
        <v/>
      </c>
      <c r="Q307" s="7">
        <f>IF($B307="","",O307-P307)</f>
        <v/>
      </c>
      <c r="R307" s="7">
        <f>IF($B307="","",Q307-J307)</f>
        <v/>
      </c>
      <c r="S307" s="7" t="n"/>
      <c r="T307" s="7" t="n"/>
      <c r="V307" s="14" t="n"/>
      <c r="Z307">
        <f>IF($B307="","",IF(COUNTIF($B$2:$B307,$B307)=1,1,0))</f>
        <v/>
      </c>
      <c r="AA307">
        <f>IF($Z307=1,SUMPRODUCT(--($AC$2:$AC$3001&lt;$AC307))+1,"")</f>
        <v/>
      </c>
      <c r="AB307">
        <f>IF($B307="","",IF(OR($Y307=TRUE(),$Y307="TRUE"),1,IF(AND($Y307&lt;&gt;"",OR($Y307=FALSE(),$Y307="FALSE")),0,IF(MIN(ABS($X307/100-Settings!$C$6),ABS($X307/100-Settings!$G$6))&lt;=MIN(ABS($X307/100-Settings!$C$7),ABS($X307/100-Settings!$G$7)),1,0))))</f>
        <v/>
      </c>
      <c r="AC307">
        <f>IF($Z307=1,IFERROR(IF(VALUE($B307)&lt;100000000,VALUE($B307),1000000000),IFERROR(IF(VALUE(MID($B307,2,20))&lt;100000000,VALUE(MID($B307,2,20)),1000000000),1000000000))+ROW()/100000,"")</f>
        <v/>
      </c>
    </row>
    <row r="308">
      <c r="A308">
        <f>IF($B308="","",IFERROR(IF(INDEX('Per Invoice'!$A$2:$A$801,MATCH($B308,'Per Invoice'!$B$2:$B$801,0))=0,"",INDEX('Per Invoice'!$A$2:$A$801,MATCH($B308,'Per Invoice'!$B$2:$B$801,0))),""))</f>
        <v/>
      </c>
      <c r="J308" s="7">
        <f>IF($B308="","",I308*Q308/100)</f>
        <v/>
      </c>
      <c r="N308" s="7" t="n"/>
      <c r="O308" s="7" t="n"/>
      <c r="P308" s="7">
        <f>IF($B308="","",O308*X308/100)</f>
        <v/>
      </c>
      <c r="Q308" s="7">
        <f>IF($B308="","",O308-P308)</f>
        <v/>
      </c>
      <c r="R308" s="7">
        <f>IF($B308="","",Q308-J308)</f>
        <v/>
      </c>
      <c r="S308" s="7" t="n"/>
      <c r="T308" s="7" t="n"/>
      <c r="V308" s="14" t="n"/>
      <c r="Z308">
        <f>IF($B308="","",IF(COUNTIF($B$2:$B308,$B308)=1,1,0))</f>
        <v/>
      </c>
      <c r="AA308">
        <f>IF($Z308=1,SUMPRODUCT(--($AC$2:$AC$3001&lt;$AC308))+1,"")</f>
        <v/>
      </c>
      <c r="AB308">
        <f>IF($B308="","",IF(OR($Y308=TRUE(),$Y308="TRUE"),1,IF(AND($Y308&lt;&gt;"",OR($Y308=FALSE(),$Y308="FALSE")),0,IF(MIN(ABS($X308/100-Settings!$C$6),ABS($X308/100-Settings!$G$6))&lt;=MIN(ABS($X308/100-Settings!$C$7),ABS($X308/100-Settings!$G$7)),1,0))))</f>
        <v/>
      </c>
      <c r="AC308">
        <f>IF($Z308=1,IFERROR(IF(VALUE($B308)&lt;100000000,VALUE($B308),1000000000),IFERROR(IF(VALUE(MID($B308,2,20))&lt;100000000,VALUE(MID($B308,2,20)),1000000000),1000000000))+ROW()/100000,"")</f>
        <v/>
      </c>
    </row>
    <row r="309">
      <c r="A309">
        <f>IF($B309="","",IFERROR(IF(INDEX('Per Invoice'!$A$2:$A$801,MATCH($B309,'Per Invoice'!$B$2:$B$801,0))=0,"",INDEX('Per Invoice'!$A$2:$A$801,MATCH($B309,'Per Invoice'!$B$2:$B$801,0))),""))</f>
        <v/>
      </c>
      <c r="J309" s="7">
        <f>IF($B309="","",I309*Q309/100)</f>
        <v/>
      </c>
      <c r="N309" s="7" t="n"/>
      <c r="O309" s="7" t="n"/>
      <c r="P309" s="7">
        <f>IF($B309="","",O309*X309/100)</f>
        <v/>
      </c>
      <c r="Q309" s="7">
        <f>IF($B309="","",O309-P309)</f>
        <v/>
      </c>
      <c r="R309" s="7">
        <f>IF($B309="","",Q309-J309)</f>
        <v/>
      </c>
      <c r="S309" s="7" t="n"/>
      <c r="T309" s="7" t="n"/>
      <c r="V309" s="14" t="n"/>
      <c r="Z309">
        <f>IF($B309="","",IF(COUNTIF($B$2:$B309,$B309)=1,1,0))</f>
        <v/>
      </c>
      <c r="AA309">
        <f>IF($Z309=1,SUMPRODUCT(--($AC$2:$AC$3001&lt;$AC309))+1,"")</f>
        <v/>
      </c>
      <c r="AB309">
        <f>IF($B309="","",IF(OR($Y309=TRUE(),$Y309="TRUE"),1,IF(AND($Y309&lt;&gt;"",OR($Y309=FALSE(),$Y309="FALSE")),0,IF(MIN(ABS($X309/100-Settings!$C$6),ABS($X309/100-Settings!$G$6))&lt;=MIN(ABS($X309/100-Settings!$C$7),ABS($X309/100-Settings!$G$7)),1,0))))</f>
        <v/>
      </c>
      <c r="AC309">
        <f>IF($Z309=1,IFERROR(IF(VALUE($B309)&lt;100000000,VALUE($B309),1000000000),IFERROR(IF(VALUE(MID($B309,2,20))&lt;100000000,VALUE(MID($B309,2,20)),1000000000),1000000000))+ROW()/100000,"")</f>
        <v/>
      </c>
    </row>
    <row r="310">
      <c r="A310">
        <f>IF($B310="","",IFERROR(IF(INDEX('Per Invoice'!$A$2:$A$801,MATCH($B310,'Per Invoice'!$B$2:$B$801,0))=0,"",INDEX('Per Invoice'!$A$2:$A$801,MATCH($B310,'Per Invoice'!$B$2:$B$801,0))),""))</f>
        <v/>
      </c>
      <c r="J310" s="7">
        <f>IF($B310="","",I310*Q310/100)</f>
        <v/>
      </c>
      <c r="N310" s="7" t="n"/>
      <c r="O310" s="7" t="n"/>
      <c r="P310" s="7">
        <f>IF($B310="","",O310*X310/100)</f>
        <v/>
      </c>
      <c r="Q310" s="7">
        <f>IF($B310="","",O310-P310)</f>
        <v/>
      </c>
      <c r="R310" s="7">
        <f>IF($B310="","",Q310-J310)</f>
        <v/>
      </c>
      <c r="S310" s="7" t="n"/>
      <c r="T310" s="7" t="n"/>
      <c r="V310" s="14" t="n"/>
      <c r="Z310">
        <f>IF($B310="","",IF(COUNTIF($B$2:$B310,$B310)=1,1,0))</f>
        <v/>
      </c>
      <c r="AA310">
        <f>IF($Z310=1,SUMPRODUCT(--($AC$2:$AC$3001&lt;$AC310))+1,"")</f>
        <v/>
      </c>
      <c r="AB310">
        <f>IF($B310="","",IF(OR($Y310=TRUE(),$Y310="TRUE"),1,IF(AND($Y310&lt;&gt;"",OR($Y310=FALSE(),$Y310="FALSE")),0,IF(MIN(ABS($X310/100-Settings!$C$6),ABS($X310/100-Settings!$G$6))&lt;=MIN(ABS($X310/100-Settings!$C$7),ABS($X310/100-Settings!$G$7)),1,0))))</f>
        <v/>
      </c>
      <c r="AC310">
        <f>IF($Z310=1,IFERROR(IF(VALUE($B310)&lt;100000000,VALUE($B310),1000000000),IFERROR(IF(VALUE(MID($B310,2,20))&lt;100000000,VALUE(MID($B310,2,20)),1000000000),1000000000))+ROW()/100000,"")</f>
        <v/>
      </c>
    </row>
    <row r="311">
      <c r="A311">
        <f>IF($B311="","",IFERROR(IF(INDEX('Per Invoice'!$A$2:$A$801,MATCH($B311,'Per Invoice'!$B$2:$B$801,0))=0,"",INDEX('Per Invoice'!$A$2:$A$801,MATCH($B311,'Per Invoice'!$B$2:$B$801,0))),""))</f>
        <v/>
      </c>
      <c r="J311" s="7">
        <f>IF($B311="","",I311*Q311/100)</f>
        <v/>
      </c>
      <c r="N311" s="7" t="n"/>
      <c r="O311" s="7" t="n"/>
      <c r="P311" s="7">
        <f>IF($B311="","",O311*X311/100)</f>
        <v/>
      </c>
      <c r="Q311" s="7">
        <f>IF($B311="","",O311-P311)</f>
        <v/>
      </c>
      <c r="R311" s="7">
        <f>IF($B311="","",Q311-J311)</f>
        <v/>
      </c>
      <c r="S311" s="7" t="n"/>
      <c r="T311" s="7" t="n"/>
      <c r="V311" s="14" t="n"/>
      <c r="Z311">
        <f>IF($B311="","",IF(COUNTIF($B$2:$B311,$B311)=1,1,0))</f>
        <v/>
      </c>
      <c r="AA311">
        <f>IF($Z311=1,SUMPRODUCT(--($AC$2:$AC$3001&lt;$AC311))+1,"")</f>
        <v/>
      </c>
      <c r="AB311">
        <f>IF($B311="","",IF(OR($Y311=TRUE(),$Y311="TRUE"),1,IF(AND($Y311&lt;&gt;"",OR($Y311=FALSE(),$Y311="FALSE")),0,IF(MIN(ABS($X311/100-Settings!$C$6),ABS($X311/100-Settings!$G$6))&lt;=MIN(ABS($X311/100-Settings!$C$7),ABS($X311/100-Settings!$G$7)),1,0))))</f>
        <v/>
      </c>
      <c r="AC311">
        <f>IF($Z311=1,IFERROR(IF(VALUE($B311)&lt;100000000,VALUE($B311),1000000000),IFERROR(IF(VALUE(MID($B311,2,20))&lt;100000000,VALUE(MID($B311,2,20)),1000000000),1000000000))+ROW()/100000,"")</f>
        <v/>
      </c>
    </row>
    <row r="312">
      <c r="A312">
        <f>IF($B312="","",IFERROR(IF(INDEX('Per Invoice'!$A$2:$A$801,MATCH($B312,'Per Invoice'!$B$2:$B$801,0))=0,"",INDEX('Per Invoice'!$A$2:$A$801,MATCH($B312,'Per Invoice'!$B$2:$B$801,0))),""))</f>
        <v/>
      </c>
      <c r="J312" s="7">
        <f>IF($B312="","",I312*Q312/100)</f>
        <v/>
      </c>
      <c r="N312" s="7" t="n"/>
      <c r="O312" s="7" t="n"/>
      <c r="P312" s="7">
        <f>IF($B312="","",O312*X312/100)</f>
        <v/>
      </c>
      <c r="Q312" s="7">
        <f>IF($B312="","",O312-P312)</f>
        <v/>
      </c>
      <c r="R312" s="7">
        <f>IF($B312="","",Q312-J312)</f>
        <v/>
      </c>
      <c r="S312" s="7" t="n"/>
      <c r="T312" s="7" t="n"/>
      <c r="V312" s="14" t="n"/>
      <c r="Z312">
        <f>IF($B312="","",IF(COUNTIF($B$2:$B312,$B312)=1,1,0))</f>
        <v/>
      </c>
      <c r="AA312">
        <f>IF($Z312=1,SUMPRODUCT(--($AC$2:$AC$3001&lt;$AC312))+1,"")</f>
        <v/>
      </c>
      <c r="AB312">
        <f>IF($B312="","",IF(OR($Y312=TRUE(),$Y312="TRUE"),1,IF(AND($Y312&lt;&gt;"",OR($Y312=FALSE(),$Y312="FALSE")),0,IF(MIN(ABS($X312/100-Settings!$C$6),ABS($X312/100-Settings!$G$6))&lt;=MIN(ABS($X312/100-Settings!$C$7),ABS($X312/100-Settings!$G$7)),1,0))))</f>
        <v/>
      </c>
      <c r="AC312">
        <f>IF($Z312=1,IFERROR(IF(VALUE($B312)&lt;100000000,VALUE($B312),1000000000),IFERROR(IF(VALUE(MID($B312,2,20))&lt;100000000,VALUE(MID($B312,2,20)),1000000000),1000000000))+ROW()/100000,"")</f>
        <v/>
      </c>
    </row>
    <row r="313">
      <c r="A313">
        <f>IF($B313="","",IFERROR(IF(INDEX('Per Invoice'!$A$2:$A$801,MATCH($B313,'Per Invoice'!$B$2:$B$801,0))=0,"",INDEX('Per Invoice'!$A$2:$A$801,MATCH($B313,'Per Invoice'!$B$2:$B$801,0))),""))</f>
        <v/>
      </c>
      <c r="J313" s="7">
        <f>IF($B313="","",I313*Q313/100)</f>
        <v/>
      </c>
      <c r="N313" s="7" t="n"/>
      <c r="O313" s="7" t="n"/>
      <c r="P313" s="7">
        <f>IF($B313="","",O313*X313/100)</f>
        <v/>
      </c>
      <c r="Q313" s="7">
        <f>IF($B313="","",O313-P313)</f>
        <v/>
      </c>
      <c r="R313" s="7">
        <f>IF($B313="","",Q313-J313)</f>
        <v/>
      </c>
      <c r="S313" s="7" t="n"/>
      <c r="T313" s="7" t="n"/>
      <c r="V313" s="14" t="n"/>
      <c r="Z313">
        <f>IF($B313="","",IF(COUNTIF($B$2:$B313,$B313)=1,1,0))</f>
        <v/>
      </c>
      <c r="AA313">
        <f>IF($Z313=1,SUMPRODUCT(--($AC$2:$AC$3001&lt;$AC313))+1,"")</f>
        <v/>
      </c>
      <c r="AB313">
        <f>IF($B313="","",IF(OR($Y313=TRUE(),$Y313="TRUE"),1,IF(AND($Y313&lt;&gt;"",OR($Y313=FALSE(),$Y313="FALSE")),0,IF(MIN(ABS($X313/100-Settings!$C$6),ABS($X313/100-Settings!$G$6))&lt;=MIN(ABS($X313/100-Settings!$C$7),ABS($X313/100-Settings!$G$7)),1,0))))</f>
        <v/>
      </c>
      <c r="AC313">
        <f>IF($Z313=1,IFERROR(IF(VALUE($B313)&lt;100000000,VALUE($B313),1000000000),IFERROR(IF(VALUE(MID($B313,2,20))&lt;100000000,VALUE(MID($B313,2,20)),1000000000),1000000000))+ROW()/100000,"")</f>
        <v/>
      </c>
    </row>
    <row r="314">
      <c r="A314">
        <f>IF($B314="","",IFERROR(IF(INDEX('Per Invoice'!$A$2:$A$801,MATCH($B314,'Per Invoice'!$B$2:$B$801,0))=0,"",INDEX('Per Invoice'!$A$2:$A$801,MATCH($B314,'Per Invoice'!$B$2:$B$801,0))),""))</f>
        <v/>
      </c>
      <c r="J314" s="7">
        <f>IF($B314="","",I314*Q314/100)</f>
        <v/>
      </c>
      <c r="N314" s="7" t="n"/>
      <c r="O314" s="7" t="n"/>
      <c r="P314" s="7">
        <f>IF($B314="","",O314*X314/100)</f>
        <v/>
      </c>
      <c r="Q314" s="7">
        <f>IF($B314="","",O314-P314)</f>
        <v/>
      </c>
      <c r="R314" s="7">
        <f>IF($B314="","",Q314-J314)</f>
        <v/>
      </c>
      <c r="S314" s="7" t="n"/>
      <c r="T314" s="7" t="n"/>
      <c r="V314" s="14" t="n"/>
      <c r="Z314">
        <f>IF($B314="","",IF(COUNTIF($B$2:$B314,$B314)=1,1,0))</f>
        <v/>
      </c>
      <c r="AA314">
        <f>IF($Z314=1,SUMPRODUCT(--($AC$2:$AC$3001&lt;$AC314))+1,"")</f>
        <v/>
      </c>
      <c r="AB314">
        <f>IF($B314="","",IF(OR($Y314=TRUE(),$Y314="TRUE"),1,IF(AND($Y314&lt;&gt;"",OR($Y314=FALSE(),$Y314="FALSE")),0,IF(MIN(ABS($X314/100-Settings!$C$6),ABS($X314/100-Settings!$G$6))&lt;=MIN(ABS($X314/100-Settings!$C$7),ABS($X314/100-Settings!$G$7)),1,0))))</f>
        <v/>
      </c>
      <c r="AC314">
        <f>IF($Z314=1,IFERROR(IF(VALUE($B314)&lt;100000000,VALUE($B314),1000000000),IFERROR(IF(VALUE(MID($B314,2,20))&lt;100000000,VALUE(MID($B314,2,20)),1000000000),1000000000))+ROW()/100000,"")</f>
        <v/>
      </c>
    </row>
    <row r="315">
      <c r="A315">
        <f>IF($B315="","",IFERROR(IF(INDEX('Per Invoice'!$A$2:$A$801,MATCH($B315,'Per Invoice'!$B$2:$B$801,0))=0,"",INDEX('Per Invoice'!$A$2:$A$801,MATCH($B315,'Per Invoice'!$B$2:$B$801,0))),""))</f>
        <v/>
      </c>
      <c r="J315" s="7">
        <f>IF($B315="","",I315*Q315/100)</f>
        <v/>
      </c>
      <c r="N315" s="7" t="n"/>
      <c r="O315" s="7" t="n"/>
      <c r="P315" s="7">
        <f>IF($B315="","",O315*X315/100)</f>
        <v/>
      </c>
      <c r="Q315" s="7">
        <f>IF($B315="","",O315-P315)</f>
        <v/>
      </c>
      <c r="R315" s="7">
        <f>IF($B315="","",Q315-J315)</f>
        <v/>
      </c>
      <c r="S315" s="7" t="n"/>
      <c r="T315" s="7" t="n"/>
      <c r="V315" s="14" t="n"/>
      <c r="Z315">
        <f>IF($B315="","",IF(COUNTIF($B$2:$B315,$B315)=1,1,0))</f>
        <v/>
      </c>
      <c r="AA315">
        <f>IF($Z315=1,SUMPRODUCT(--($AC$2:$AC$3001&lt;$AC315))+1,"")</f>
        <v/>
      </c>
      <c r="AB315">
        <f>IF($B315="","",IF(OR($Y315=TRUE(),$Y315="TRUE"),1,IF(AND($Y315&lt;&gt;"",OR($Y315=FALSE(),$Y315="FALSE")),0,IF(MIN(ABS($X315/100-Settings!$C$6),ABS($X315/100-Settings!$G$6))&lt;=MIN(ABS($X315/100-Settings!$C$7),ABS($X315/100-Settings!$G$7)),1,0))))</f>
        <v/>
      </c>
      <c r="AC315">
        <f>IF($Z315=1,IFERROR(IF(VALUE($B315)&lt;100000000,VALUE($B315),1000000000),IFERROR(IF(VALUE(MID($B315,2,20))&lt;100000000,VALUE(MID($B315,2,20)),1000000000),1000000000))+ROW()/100000,"")</f>
        <v/>
      </c>
    </row>
    <row r="316">
      <c r="A316">
        <f>IF($B316="","",IFERROR(IF(INDEX('Per Invoice'!$A$2:$A$801,MATCH($B316,'Per Invoice'!$B$2:$B$801,0))=0,"",INDEX('Per Invoice'!$A$2:$A$801,MATCH($B316,'Per Invoice'!$B$2:$B$801,0))),""))</f>
        <v/>
      </c>
      <c r="J316" s="7">
        <f>IF($B316="","",I316*Q316/100)</f>
        <v/>
      </c>
      <c r="N316" s="7" t="n"/>
      <c r="O316" s="7" t="n"/>
      <c r="P316" s="7">
        <f>IF($B316="","",O316*X316/100)</f>
        <v/>
      </c>
      <c r="Q316" s="7">
        <f>IF($B316="","",O316-P316)</f>
        <v/>
      </c>
      <c r="R316" s="7">
        <f>IF($B316="","",Q316-J316)</f>
        <v/>
      </c>
      <c r="S316" s="7" t="n"/>
      <c r="T316" s="7" t="n"/>
      <c r="V316" s="14" t="n"/>
      <c r="Z316">
        <f>IF($B316="","",IF(COUNTIF($B$2:$B316,$B316)=1,1,0))</f>
        <v/>
      </c>
      <c r="AA316">
        <f>IF($Z316=1,SUMPRODUCT(--($AC$2:$AC$3001&lt;$AC316))+1,"")</f>
        <v/>
      </c>
      <c r="AB316">
        <f>IF($B316="","",IF(OR($Y316=TRUE(),$Y316="TRUE"),1,IF(AND($Y316&lt;&gt;"",OR($Y316=FALSE(),$Y316="FALSE")),0,IF(MIN(ABS($X316/100-Settings!$C$6),ABS($X316/100-Settings!$G$6))&lt;=MIN(ABS($X316/100-Settings!$C$7),ABS($X316/100-Settings!$G$7)),1,0))))</f>
        <v/>
      </c>
      <c r="AC316">
        <f>IF($Z316=1,IFERROR(IF(VALUE($B316)&lt;100000000,VALUE($B316),1000000000),IFERROR(IF(VALUE(MID($B316,2,20))&lt;100000000,VALUE(MID($B316,2,20)),1000000000),1000000000))+ROW()/100000,"")</f>
        <v/>
      </c>
    </row>
    <row r="317">
      <c r="A317">
        <f>IF($B317="","",IFERROR(IF(INDEX('Per Invoice'!$A$2:$A$801,MATCH($B317,'Per Invoice'!$B$2:$B$801,0))=0,"",INDEX('Per Invoice'!$A$2:$A$801,MATCH($B317,'Per Invoice'!$B$2:$B$801,0))),""))</f>
        <v/>
      </c>
      <c r="J317" s="7">
        <f>IF($B317="","",I317*Q317/100)</f>
        <v/>
      </c>
      <c r="N317" s="7" t="n"/>
      <c r="O317" s="7" t="n"/>
      <c r="P317" s="7">
        <f>IF($B317="","",O317*X317/100)</f>
        <v/>
      </c>
      <c r="Q317" s="7">
        <f>IF($B317="","",O317-P317)</f>
        <v/>
      </c>
      <c r="R317" s="7">
        <f>IF($B317="","",Q317-J317)</f>
        <v/>
      </c>
      <c r="S317" s="7" t="n"/>
      <c r="T317" s="7" t="n"/>
      <c r="V317" s="14" t="n"/>
      <c r="Z317">
        <f>IF($B317="","",IF(COUNTIF($B$2:$B317,$B317)=1,1,0))</f>
        <v/>
      </c>
      <c r="AA317">
        <f>IF($Z317=1,SUMPRODUCT(--($AC$2:$AC$3001&lt;$AC317))+1,"")</f>
        <v/>
      </c>
      <c r="AB317">
        <f>IF($B317="","",IF(OR($Y317=TRUE(),$Y317="TRUE"),1,IF(AND($Y317&lt;&gt;"",OR($Y317=FALSE(),$Y317="FALSE")),0,IF(MIN(ABS($X317/100-Settings!$C$6),ABS($X317/100-Settings!$G$6))&lt;=MIN(ABS($X317/100-Settings!$C$7),ABS($X317/100-Settings!$G$7)),1,0))))</f>
        <v/>
      </c>
      <c r="AC317">
        <f>IF($Z317=1,IFERROR(IF(VALUE($B317)&lt;100000000,VALUE($B317),1000000000),IFERROR(IF(VALUE(MID($B317,2,20))&lt;100000000,VALUE(MID($B317,2,20)),1000000000),1000000000))+ROW()/100000,"")</f>
        <v/>
      </c>
    </row>
    <row r="318">
      <c r="A318">
        <f>IF($B318="","",IFERROR(IF(INDEX('Per Invoice'!$A$2:$A$801,MATCH($B318,'Per Invoice'!$B$2:$B$801,0))=0,"",INDEX('Per Invoice'!$A$2:$A$801,MATCH($B318,'Per Invoice'!$B$2:$B$801,0))),""))</f>
        <v/>
      </c>
      <c r="J318" s="7">
        <f>IF($B318="","",I318*Q318/100)</f>
        <v/>
      </c>
      <c r="N318" s="7" t="n"/>
      <c r="O318" s="7" t="n"/>
      <c r="P318" s="7">
        <f>IF($B318="","",O318*X318/100)</f>
        <v/>
      </c>
      <c r="Q318" s="7">
        <f>IF($B318="","",O318-P318)</f>
        <v/>
      </c>
      <c r="R318" s="7">
        <f>IF($B318="","",Q318-J318)</f>
        <v/>
      </c>
      <c r="S318" s="7" t="n"/>
      <c r="T318" s="7" t="n"/>
      <c r="V318" s="14" t="n"/>
      <c r="Z318">
        <f>IF($B318="","",IF(COUNTIF($B$2:$B318,$B318)=1,1,0))</f>
        <v/>
      </c>
      <c r="AA318">
        <f>IF($Z318=1,SUMPRODUCT(--($AC$2:$AC$3001&lt;$AC318))+1,"")</f>
        <v/>
      </c>
      <c r="AB318">
        <f>IF($B318="","",IF(OR($Y318=TRUE(),$Y318="TRUE"),1,IF(AND($Y318&lt;&gt;"",OR($Y318=FALSE(),$Y318="FALSE")),0,IF(MIN(ABS($X318/100-Settings!$C$6),ABS($X318/100-Settings!$G$6))&lt;=MIN(ABS($X318/100-Settings!$C$7),ABS($X318/100-Settings!$G$7)),1,0))))</f>
        <v/>
      </c>
      <c r="AC318">
        <f>IF($Z318=1,IFERROR(IF(VALUE($B318)&lt;100000000,VALUE($B318),1000000000),IFERROR(IF(VALUE(MID($B318,2,20))&lt;100000000,VALUE(MID($B318,2,20)),1000000000),1000000000))+ROW()/100000,"")</f>
        <v/>
      </c>
    </row>
    <row r="319">
      <c r="A319">
        <f>IF($B319="","",IFERROR(IF(INDEX('Per Invoice'!$A$2:$A$801,MATCH($B319,'Per Invoice'!$B$2:$B$801,0))=0,"",INDEX('Per Invoice'!$A$2:$A$801,MATCH($B319,'Per Invoice'!$B$2:$B$801,0))),""))</f>
        <v/>
      </c>
      <c r="J319" s="7">
        <f>IF($B319="","",I319*Q319/100)</f>
        <v/>
      </c>
      <c r="N319" s="7" t="n"/>
      <c r="O319" s="7" t="n"/>
      <c r="P319" s="7">
        <f>IF($B319="","",O319*X319/100)</f>
        <v/>
      </c>
      <c r="Q319" s="7">
        <f>IF($B319="","",O319-P319)</f>
        <v/>
      </c>
      <c r="R319" s="7">
        <f>IF($B319="","",Q319-J319)</f>
        <v/>
      </c>
      <c r="S319" s="7" t="n"/>
      <c r="T319" s="7" t="n"/>
      <c r="V319" s="14" t="n"/>
      <c r="Z319">
        <f>IF($B319="","",IF(COUNTIF($B$2:$B319,$B319)=1,1,0))</f>
        <v/>
      </c>
      <c r="AA319">
        <f>IF($Z319=1,SUMPRODUCT(--($AC$2:$AC$3001&lt;$AC319))+1,"")</f>
        <v/>
      </c>
      <c r="AB319">
        <f>IF($B319="","",IF(OR($Y319=TRUE(),$Y319="TRUE"),1,IF(AND($Y319&lt;&gt;"",OR($Y319=FALSE(),$Y319="FALSE")),0,IF(MIN(ABS($X319/100-Settings!$C$6),ABS($X319/100-Settings!$G$6))&lt;=MIN(ABS($X319/100-Settings!$C$7),ABS($X319/100-Settings!$G$7)),1,0))))</f>
        <v/>
      </c>
      <c r="AC319">
        <f>IF($Z319=1,IFERROR(IF(VALUE($B319)&lt;100000000,VALUE($B319),1000000000),IFERROR(IF(VALUE(MID($B319,2,20))&lt;100000000,VALUE(MID($B319,2,20)),1000000000),1000000000))+ROW()/100000,"")</f>
        <v/>
      </c>
    </row>
    <row r="320">
      <c r="A320">
        <f>IF($B320="","",IFERROR(IF(INDEX('Per Invoice'!$A$2:$A$801,MATCH($B320,'Per Invoice'!$B$2:$B$801,0))=0,"",INDEX('Per Invoice'!$A$2:$A$801,MATCH($B320,'Per Invoice'!$B$2:$B$801,0))),""))</f>
        <v/>
      </c>
      <c r="J320" s="7">
        <f>IF($B320="","",I320*Q320/100)</f>
        <v/>
      </c>
      <c r="N320" s="7" t="n"/>
      <c r="O320" s="7" t="n"/>
      <c r="P320" s="7">
        <f>IF($B320="","",O320*X320/100)</f>
        <v/>
      </c>
      <c r="Q320" s="7">
        <f>IF($B320="","",O320-P320)</f>
        <v/>
      </c>
      <c r="R320" s="7">
        <f>IF($B320="","",Q320-J320)</f>
        <v/>
      </c>
      <c r="S320" s="7" t="n"/>
      <c r="T320" s="7" t="n"/>
      <c r="V320" s="14" t="n"/>
      <c r="Z320">
        <f>IF($B320="","",IF(COUNTIF($B$2:$B320,$B320)=1,1,0))</f>
        <v/>
      </c>
      <c r="AA320">
        <f>IF($Z320=1,SUMPRODUCT(--($AC$2:$AC$3001&lt;$AC320))+1,"")</f>
        <v/>
      </c>
      <c r="AB320">
        <f>IF($B320="","",IF(OR($Y320=TRUE(),$Y320="TRUE"),1,IF(AND($Y320&lt;&gt;"",OR($Y320=FALSE(),$Y320="FALSE")),0,IF(MIN(ABS($X320/100-Settings!$C$6),ABS($X320/100-Settings!$G$6))&lt;=MIN(ABS($X320/100-Settings!$C$7),ABS($X320/100-Settings!$G$7)),1,0))))</f>
        <v/>
      </c>
      <c r="AC320">
        <f>IF($Z320=1,IFERROR(IF(VALUE($B320)&lt;100000000,VALUE($B320),1000000000),IFERROR(IF(VALUE(MID($B320,2,20))&lt;100000000,VALUE(MID($B320,2,20)),1000000000),1000000000))+ROW()/100000,"")</f>
        <v/>
      </c>
    </row>
    <row r="321">
      <c r="A321">
        <f>IF($B321="","",IFERROR(IF(INDEX('Per Invoice'!$A$2:$A$801,MATCH($B321,'Per Invoice'!$B$2:$B$801,0))=0,"",INDEX('Per Invoice'!$A$2:$A$801,MATCH($B321,'Per Invoice'!$B$2:$B$801,0))),""))</f>
        <v/>
      </c>
      <c r="J321" s="7">
        <f>IF($B321="","",I321*Q321/100)</f>
        <v/>
      </c>
      <c r="N321" s="7" t="n"/>
      <c r="O321" s="7" t="n"/>
      <c r="P321" s="7">
        <f>IF($B321="","",O321*X321/100)</f>
        <v/>
      </c>
      <c r="Q321" s="7">
        <f>IF($B321="","",O321-P321)</f>
        <v/>
      </c>
      <c r="R321" s="7">
        <f>IF($B321="","",Q321-J321)</f>
        <v/>
      </c>
      <c r="S321" s="7" t="n"/>
      <c r="T321" s="7" t="n"/>
      <c r="V321" s="14" t="n"/>
      <c r="Z321">
        <f>IF($B321="","",IF(COUNTIF($B$2:$B321,$B321)=1,1,0))</f>
        <v/>
      </c>
      <c r="AA321">
        <f>IF($Z321=1,SUMPRODUCT(--($AC$2:$AC$3001&lt;$AC321))+1,"")</f>
        <v/>
      </c>
      <c r="AB321">
        <f>IF($B321="","",IF(OR($Y321=TRUE(),$Y321="TRUE"),1,IF(AND($Y321&lt;&gt;"",OR($Y321=FALSE(),$Y321="FALSE")),0,IF(MIN(ABS($X321/100-Settings!$C$6),ABS($X321/100-Settings!$G$6))&lt;=MIN(ABS($X321/100-Settings!$C$7),ABS($X321/100-Settings!$G$7)),1,0))))</f>
        <v/>
      </c>
      <c r="AC321">
        <f>IF($Z321=1,IFERROR(IF(VALUE($B321)&lt;100000000,VALUE($B321),1000000000),IFERROR(IF(VALUE(MID($B321,2,20))&lt;100000000,VALUE(MID($B321,2,20)),1000000000),1000000000))+ROW()/100000,"")</f>
        <v/>
      </c>
    </row>
    <row r="322">
      <c r="A322">
        <f>IF($B322="","",IFERROR(IF(INDEX('Per Invoice'!$A$2:$A$801,MATCH($B322,'Per Invoice'!$B$2:$B$801,0))=0,"",INDEX('Per Invoice'!$A$2:$A$801,MATCH($B322,'Per Invoice'!$B$2:$B$801,0))),""))</f>
        <v/>
      </c>
      <c r="J322" s="7">
        <f>IF($B322="","",I322*Q322/100)</f>
        <v/>
      </c>
      <c r="N322" s="7" t="n"/>
      <c r="O322" s="7" t="n"/>
      <c r="P322" s="7">
        <f>IF($B322="","",O322*X322/100)</f>
        <v/>
      </c>
      <c r="Q322" s="7">
        <f>IF($B322="","",O322-P322)</f>
        <v/>
      </c>
      <c r="R322" s="7">
        <f>IF($B322="","",Q322-J322)</f>
        <v/>
      </c>
      <c r="S322" s="7" t="n"/>
      <c r="T322" s="7" t="n"/>
      <c r="V322" s="14" t="n"/>
      <c r="Z322">
        <f>IF($B322="","",IF(COUNTIF($B$2:$B322,$B322)=1,1,0))</f>
        <v/>
      </c>
      <c r="AA322">
        <f>IF($Z322=1,SUMPRODUCT(--($AC$2:$AC$3001&lt;$AC322))+1,"")</f>
        <v/>
      </c>
      <c r="AB322">
        <f>IF($B322="","",IF(OR($Y322=TRUE(),$Y322="TRUE"),1,IF(AND($Y322&lt;&gt;"",OR($Y322=FALSE(),$Y322="FALSE")),0,IF(MIN(ABS($X322/100-Settings!$C$6),ABS($X322/100-Settings!$G$6))&lt;=MIN(ABS($X322/100-Settings!$C$7),ABS($X322/100-Settings!$G$7)),1,0))))</f>
        <v/>
      </c>
      <c r="AC322">
        <f>IF($Z322=1,IFERROR(IF(VALUE($B322)&lt;100000000,VALUE($B322),1000000000),IFERROR(IF(VALUE(MID($B322,2,20))&lt;100000000,VALUE(MID($B322,2,20)),1000000000),1000000000))+ROW()/100000,"")</f>
        <v/>
      </c>
    </row>
    <row r="323">
      <c r="A323">
        <f>IF($B323="","",IFERROR(IF(INDEX('Per Invoice'!$A$2:$A$801,MATCH($B323,'Per Invoice'!$B$2:$B$801,0))=0,"",INDEX('Per Invoice'!$A$2:$A$801,MATCH($B323,'Per Invoice'!$B$2:$B$801,0))),""))</f>
        <v/>
      </c>
      <c r="J323" s="7">
        <f>IF($B323="","",I323*Q323/100)</f>
        <v/>
      </c>
      <c r="N323" s="7" t="n"/>
      <c r="O323" s="7" t="n"/>
      <c r="P323" s="7">
        <f>IF($B323="","",O323*X323/100)</f>
        <v/>
      </c>
      <c r="Q323" s="7">
        <f>IF($B323="","",O323-P323)</f>
        <v/>
      </c>
      <c r="R323" s="7">
        <f>IF($B323="","",Q323-J323)</f>
        <v/>
      </c>
      <c r="S323" s="7" t="n"/>
      <c r="T323" s="7" t="n"/>
      <c r="V323" s="14" t="n"/>
      <c r="Z323">
        <f>IF($B323="","",IF(COUNTIF($B$2:$B323,$B323)=1,1,0))</f>
        <v/>
      </c>
      <c r="AA323">
        <f>IF($Z323=1,SUMPRODUCT(--($AC$2:$AC$3001&lt;$AC323))+1,"")</f>
        <v/>
      </c>
      <c r="AB323">
        <f>IF($B323="","",IF(OR($Y323=TRUE(),$Y323="TRUE"),1,IF(AND($Y323&lt;&gt;"",OR($Y323=FALSE(),$Y323="FALSE")),0,IF(MIN(ABS($X323/100-Settings!$C$6),ABS($X323/100-Settings!$G$6))&lt;=MIN(ABS($X323/100-Settings!$C$7),ABS($X323/100-Settings!$G$7)),1,0))))</f>
        <v/>
      </c>
      <c r="AC323">
        <f>IF($Z323=1,IFERROR(IF(VALUE($B323)&lt;100000000,VALUE($B323),1000000000),IFERROR(IF(VALUE(MID($B323,2,20))&lt;100000000,VALUE(MID($B323,2,20)),1000000000),1000000000))+ROW()/100000,"")</f>
        <v/>
      </c>
    </row>
    <row r="324">
      <c r="A324">
        <f>IF($B324="","",IFERROR(IF(INDEX('Per Invoice'!$A$2:$A$801,MATCH($B324,'Per Invoice'!$B$2:$B$801,0))=0,"",INDEX('Per Invoice'!$A$2:$A$801,MATCH($B324,'Per Invoice'!$B$2:$B$801,0))),""))</f>
        <v/>
      </c>
      <c r="J324" s="7">
        <f>IF($B324="","",I324*Q324/100)</f>
        <v/>
      </c>
      <c r="N324" s="7" t="n"/>
      <c r="O324" s="7" t="n"/>
      <c r="P324" s="7">
        <f>IF($B324="","",O324*X324/100)</f>
        <v/>
      </c>
      <c r="Q324" s="7">
        <f>IF($B324="","",O324-P324)</f>
        <v/>
      </c>
      <c r="R324" s="7">
        <f>IF($B324="","",Q324-J324)</f>
        <v/>
      </c>
      <c r="S324" s="7" t="n"/>
      <c r="T324" s="7" t="n"/>
      <c r="V324" s="14" t="n"/>
      <c r="Z324">
        <f>IF($B324="","",IF(COUNTIF($B$2:$B324,$B324)=1,1,0))</f>
        <v/>
      </c>
      <c r="AA324">
        <f>IF($Z324=1,SUMPRODUCT(--($AC$2:$AC$3001&lt;$AC324))+1,"")</f>
        <v/>
      </c>
      <c r="AB324">
        <f>IF($B324="","",IF(OR($Y324=TRUE(),$Y324="TRUE"),1,IF(AND($Y324&lt;&gt;"",OR($Y324=FALSE(),$Y324="FALSE")),0,IF(MIN(ABS($X324/100-Settings!$C$6),ABS($X324/100-Settings!$G$6))&lt;=MIN(ABS($X324/100-Settings!$C$7),ABS($X324/100-Settings!$G$7)),1,0))))</f>
        <v/>
      </c>
      <c r="AC324">
        <f>IF($Z324=1,IFERROR(IF(VALUE($B324)&lt;100000000,VALUE($B324),1000000000),IFERROR(IF(VALUE(MID($B324,2,20))&lt;100000000,VALUE(MID($B324,2,20)),1000000000),1000000000))+ROW()/100000,"")</f>
        <v/>
      </c>
    </row>
    <row r="325">
      <c r="A325">
        <f>IF($B325="","",IFERROR(IF(INDEX('Per Invoice'!$A$2:$A$801,MATCH($B325,'Per Invoice'!$B$2:$B$801,0))=0,"",INDEX('Per Invoice'!$A$2:$A$801,MATCH($B325,'Per Invoice'!$B$2:$B$801,0))),""))</f>
        <v/>
      </c>
      <c r="J325" s="7">
        <f>IF($B325="","",I325*Q325/100)</f>
        <v/>
      </c>
      <c r="N325" s="7" t="n"/>
      <c r="O325" s="7" t="n"/>
      <c r="P325" s="7">
        <f>IF($B325="","",O325*X325/100)</f>
        <v/>
      </c>
      <c r="Q325" s="7">
        <f>IF($B325="","",O325-P325)</f>
        <v/>
      </c>
      <c r="R325" s="7">
        <f>IF($B325="","",Q325-J325)</f>
        <v/>
      </c>
      <c r="S325" s="7" t="n"/>
      <c r="T325" s="7" t="n"/>
      <c r="V325" s="14" t="n"/>
      <c r="Z325">
        <f>IF($B325="","",IF(COUNTIF($B$2:$B325,$B325)=1,1,0))</f>
        <v/>
      </c>
      <c r="AA325">
        <f>IF($Z325=1,SUMPRODUCT(--($AC$2:$AC$3001&lt;$AC325))+1,"")</f>
        <v/>
      </c>
      <c r="AB325">
        <f>IF($B325="","",IF(OR($Y325=TRUE(),$Y325="TRUE"),1,IF(AND($Y325&lt;&gt;"",OR($Y325=FALSE(),$Y325="FALSE")),0,IF(MIN(ABS($X325/100-Settings!$C$6),ABS($X325/100-Settings!$G$6))&lt;=MIN(ABS($X325/100-Settings!$C$7),ABS($X325/100-Settings!$G$7)),1,0))))</f>
        <v/>
      </c>
      <c r="AC325">
        <f>IF($Z325=1,IFERROR(IF(VALUE($B325)&lt;100000000,VALUE($B325),1000000000),IFERROR(IF(VALUE(MID($B325,2,20))&lt;100000000,VALUE(MID($B325,2,20)),1000000000),1000000000))+ROW()/100000,"")</f>
        <v/>
      </c>
    </row>
    <row r="326">
      <c r="A326">
        <f>IF($B326="","",IFERROR(IF(INDEX('Per Invoice'!$A$2:$A$801,MATCH($B326,'Per Invoice'!$B$2:$B$801,0))=0,"",INDEX('Per Invoice'!$A$2:$A$801,MATCH($B326,'Per Invoice'!$B$2:$B$801,0))),""))</f>
        <v/>
      </c>
      <c r="J326" s="7">
        <f>IF($B326="","",I326*Q326/100)</f>
        <v/>
      </c>
      <c r="N326" s="7" t="n"/>
      <c r="O326" s="7" t="n"/>
      <c r="P326" s="7">
        <f>IF($B326="","",O326*X326/100)</f>
        <v/>
      </c>
      <c r="Q326" s="7">
        <f>IF($B326="","",O326-P326)</f>
        <v/>
      </c>
      <c r="R326" s="7">
        <f>IF($B326="","",Q326-J326)</f>
        <v/>
      </c>
      <c r="S326" s="7" t="n"/>
      <c r="T326" s="7" t="n"/>
      <c r="V326" s="14" t="n"/>
      <c r="Z326">
        <f>IF($B326="","",IF(COUNTIF($B$2:$B326,$B326)=1,1,0))</f>
        <v/>
      </c>
      <c r="AA326">
        <f>IF($Z326=1,SUMPRODUCT(--($AC$2:$AC$3001&lt;$AC326))+1,"")</f>
        <v/>
      </c>
      <c r="AB326">
        <f>IF($B326="","",IF(OR($Y326=TRUE(),$Y326="TRUE"),1,IF(AND($Y326&lt;&gt;"",OR($Y326=FALSE(),$Y326="FALSE")),0,IF(MIN(ABS($X326/100-Settings!$C$6),ABS($X326/100-Settings!$G$6))&lt;=MIN(ABS($X326/100-Settings!$C$7),ABS($X326/100-Settings!$G$7)),1,0))))</f>
        <v/>
      </c>
      <c r="AC326">
        <f>IF($Z326=1,IFERROR(IF(VALUE($B326)&lt;100000000,VALUE($B326),1000000000),IFERROR(IF(VALUE(MID($B326,2,20))&lt;100000000,VALUE(MID($B326,2,20)),1000000000),1000000000))+ROW()/100000,"")</f>
        <v/>
      </c>
    </row>
    <row r="327">
      <c r="A327">
        <f>IF($B327="","",IFERROR(IF(INDEX('Per Invoice'!$A$2:$A$801,MATCH($B327,'Per Invoice'!$B$2:$B$801,0))=0,"",INDEX('Per Invoice'!$A$2:$A$801,MATCH($B327,'Per Invoice'!$B$2:$B$801,0))),""))</f>
        <v/>
      </c>
      <c r="J327" s="7">
        <f>IF($B327="","",I327*Q327/100)</f>
        <v/>
      </c>
      <c r="N327" s="7" t="n"/>
      <c r="O327" s="7" t="n"/>
      <c r="P327" s="7">
        <f>IF($B327="","",O327*X327/100)</f>
        <v/>
      </c>
      <c r="Q327" s="7">
        <f>IF($B327="","",O327-P327)</f>
        <v/>
      </c>
      <c r="R327" s="7">
        <f>IF($B327="","",Q327-J327)</f>
        <v/>
      </c>
      <c r="S327" s="7" t="n"/>
      <c r="T327" s="7" t="n"/>
      <c r="V327" s="14" t="n"/>
      <c r="Z327">
        <f>IF($B327="","",IF(COUNTIF($B$2:$B327,$B327)=1,1,0))</f>
        <v/>
      </c>
      <c r="AA327">
        <f>IF($Z327=1,SUMPRODUCT(--($AC$2:$AC$3001&lt;$AC327))+1,"")</f>
        <v/>
      </c>
      <c r="AB327">
        <f>IF($B327="","",IF(OR($Y327=TRUE(),$Y327="TRUE"),1,IF(AND($Y327&lt;&gt;"",OR($Y327=FALSE(),$Y327="FALSE")),0,IF(MIN(ABS($X327/100-Settings!$C$6),ABS($X327/100-Settings!$G$6))&lt;=MIN(ABS($X327/100-Settings!$C$7),ABS($X327/100-Settings!$G$7)),1,0))))</f>
        <v/>
      </c>
      <c r="AC327">
        <f>IF($Z327=1,IFERROR(IF(VALUE($B327)&lt;100000000,VALUE($B327),1000000000),IFERROR(IF(VALUE(MID($B327,2,20))&lt;100000000,VALUE(MID($B327,2,20)),1000000000),1000000000))+ROW()/100000,"")</f>
        <v/>
      </c>
    </row>
    <row r="328">
      <c r="A328">
        <f>IF($B328="","",IFERROR(IF(INDEX('Per Invoice'!$A$2:$A$801,MATCH($B328,'Per Invoice'!$B$2:$B$801,0))=0,"",INDEX('Per Invoice'!$A$2:$A$801,MATCH($B328,'Per Invoice'!$B$2:$B$801,0))),""))</f>
        <v/>
      </c>
      <c r="J328" s="7">
        <f>IF($B328="","",I328*Q328/100)</f>
        <v/>
      </c>
      <c r="N328" s="7" t="n"/>
      <c r="O328" s="7" t="n"/>
      <c r="P328" s="7">
        <f>IF($B328="","",O328*X328/100)</f>
        <v/>
      </c>
      <c r="Q328" s="7">
        <f>IF($B328="","",O328-P328)</f>
        <v/>
      </c>
      <c r="R328" s="7">
        <f>IF($B328="","",Q328-J328)</f>
        <v/>
      </c>
      <c r="S328" s="7" t="n"/>
      <c r="T328" s="7" t="n"/>
      <c r="V328" s="14" t="n"/>
      <c r="Z328">
        <f>IF($B328="","",IF(COUNTIF($B$2:$B328,$B328)=1,1,0))</f>
        <v/>
      </c>
      <c r="AA328">
        <f>IF($Z328=1,SUMPRODUCT(--($AC$2:$AC$3001&lt;$AC328))+1,"")</f>
        <v/>
      </c>
      <c r="AB328">
        <f>IF($B328="","",IF(OR($Y328=TRUE(),$Y328="TRUE"),1,IF(AND($Y328&lt;&gt;"",OR($Y328=FALSE(),$Y328="FALSE")),0,IF(MIN(ABS($X328/100-Settings!$C$6),ABS($X328/100-Settings!$G$6))&lt;=MIN(ABS($X328/100-Settings!$C$7),ABS($X328/100-Settings!$G$7)),1,0))))</f>
        <v/>
      </c>
      <c r="AC328">
        <f>IF($Z328=1,IFERROR(IF(VALUE($B328)&lt;100000000,VALUE($B328),1000000000),IFERROR(IF(VALUE(MID($B328,2,20))&lt;100000000,VALUE(MID($B328,2,20)),1000000000),1000000000))+ROW()/100000,"")</f>
        <v/>
      </c>
    </row>
    <row r="329">
      <c r="A329">
        <f>IF($B329="","",IFERROR(IF(INDEX('Per Invoice'!$A$2:$A$801,MATCH($B329,'Per Invoice'!$B$2:$B$801,0))=0,"",INDEX('Per Invoice'!$A$2:$A$801,MATCH($B329,'Per Invoice'!$B$2:$B$801,0))),""))</f>
        <v/>
      </c>
      <c r="J329" s="7">
        <f>IF($B329="","",I329*Q329/100)</f>
        <v/>
      </c>
      <c r="N329" s="7" t="n"/>
      <c r="O329" s="7" t="n"/>
      <c r="P329" s="7">
        <f>IF($B329="","",O329*X329/100)</f>
        <v/>
      </c>
      <c r="Q329" s="7">
        <f>IF($B329="","",O329-P329)</f>
        <v/>
      </c>
      <c r="R329" s="7">
        <f>IF($B329="","",Q329-J329)</f>
        <v/>
      </c>
      <c r="S329" s="7" t="n"/>
      <c r="T329" s="7" t="n"/>
      <c r="V329" s="14" t="n"/>
      <c r="Z329">
        <f>IF($B329="","",IF(COUNTIF($B$2:$B329,$B329)=1,1,0))</f>
        <v/>
      </c>
      <c r="AA329">
        <f>IF($Z329=1,SUMPRODUCT(--($AC$2:$AC$3001&lt;$AC329))+1,"")</f>
        <v/>
      </c>
      <c r="AB329">
        <f>IF($B329="","",IF(OR($Y329=TRUE(),$Y329="TRUE"),1,IF(AND($Y329&lt;&gt;"",OR($Y329=FALSE(),$Y329="FALSE")),0,IF(MIN(ABS($X329/100-Settings!$C$6),ABS($X329/100-Settings!$G$6))&lt;=MIN(ABS($X329/100-Settings!$C$7),ABS($X329/100-Settings!$G$7)),1,0))))</f>
        <v/>
      </c>
      <c r="AC329">
        <f>IF($Z329=1,IFERROR(IF(VALUE($B329)&lt;100000000,VALUE($B329),1000000000),IFERROR(IF(VALUE(MID($B329,2,20))&lt;100000000,VALUE(MID($B329,2,20)),1000000000),1000000000))+ROW()/100000,"")</f>
        <v/>
      </c>
    </row>
    <row r="330">
      <c r="A330">
        <f>IF($B330="","",IFERROR(IF(INDEX('Per Invoice'!$A$2:$A$801,MATCH($B330,'Per Invoice'!$B$2:$B$801,0))=0,"",INDEX('Per Invoice'!$A$2:$A$801,MATCH($B330,'Per Invoice'!$B$2:$B$801,0))),""))</f>
        <v/>
      </c>
      <c r="J330" s="7">
        <f>IF($B330="","",I330*Q330/100)</f>
        <v/>
      </c>
      <c r="N330" s="7" t="n"/>
      <c r="O330" s="7" t="n"/>
      <c r="P330" s="7">
        <f>IF($B330="","",O330*X330/100)</f>
        <v/>
      </c>
      <c r="Q330" s="7">
        <f>IF($B330="","",O330-P330)</f>
        <v/>
      </c>
      <c r="R330" s="7">
        <f>IF($B330="","",Q330-J330)</f>
        <v/>
      </c>
      <c r="S330" s="7" t="n"/>
      <c r="T330" s="7" t="n"/>
      <c r="V330" s="14" t="n"/>
      <c r="Z330">
        <f>IF($B330="","",IF(COUNTIF($B$2:$B330,$B330)=1,1,0))</f>
        <v/>
      </c>
      <c r="AA330">
        <f>IF($Z330=1,SUMPRODUCT(--($AC$2:$AC$3001&lt;$AC330))+1,"")</f>
        <v/>
      </c>
      <c r="AB330">
        <f>IF($B330="","",IF(OR($Y330=TRUE(),$Y330="TRUE"),1,IF(AND($Y330&lt;&gt;"",OR($Y330=FALSE(),$Y330="FALSE")),0,IF(MIN(ABS($X330/100-Settings!$C$6),ABS($X330/100-Settings!$G$6))&lt;=MIN(ABS($X330/100-Settings!$C$7),ABS($X330/100-Settings!$G$7)),1,0))))</f>
        <v/>
      </c>
      <c r="AC330">
        <f>IF($Z330=1,IFERROR(IF(VALUE($B330)&lt;100000000,VALUE($B330),1000000000),IFERROR(IF(VALUE(MID($B330,2,20))&lt;100000000,VALUE(MID($B330,2,20)),1000000000),1000000000))+ROW()/100000,"")</f>
        <v/>
      </c>
    </row>
    <row r="331">
      <c r="A331">
        <f>IF($B331="","",IFERROR(IF(INDEX('Per Invoice'!$A$2:$A$801,MATCH($B331,'Per Invoice'!$B$2:$B$801,0))=0,"",INDEX('Per Invoice'!$A$2:$A$801,MATCH($B331,'Per Invoice'!$B$2:$B$801,0))),""))</f>
        <v/>
      </c>
      <c r="J331" s="7">
        <f>IF($B331="","",I331*Q331/100)</f>
        <v/>
      </c>
      <c r="N331" s="7" t="n"/>
      <c r="O331" s="7" t="n"/>
      <c r="P331" s="7">
        <f>IF($B331="","",O331*X331/100)</f>
        <v/>
      </c>
      <c r="Q331" s="7">
        <f>IF($B331="","",O331-P331)</f>
        <v/>
      </c>
      <c r="R331" s="7">
        <f>IF($B331="","",Q331-J331)</f>
        <v/>
      </c>
      <c r="S331" s="7" t="n"/>
      <c r="T331" s="7" t="n"/>
      <c r="V331" s="14" t="n"/>
      <c r="Z331">
        <f>IF($B331="","",IF(COUNTIF($B$2:$B331,$B331)=1,1,0))</f>
        <v/>
      </c>
      <c r="AA331">
        <f>IF($Z331=1,SUMPRODUCT(--($AC$2:$AC$3001&lt;$AC331))+1,"")</f>
        <v/>
      </c>
      <c r="AB331">
        <f>IF($B331="","",IF(OR($Y331=TRUE(),$Y331="TRUE"),1,IF(AND($Y331&lt;&gt;"",OR($Y331=FALSE(),$Y331="FALSE")),0,IF(MIN(ABS($X331/100-Settings!$C$6),ABS($X331/100-Settings!$G$6))&lt;=MIN(ABS($X331/100-Settings!$C$7),ABS($X331/100-Settings!$G$7)),1,0))))</f>
        <v/>
      </c>
      <c r="AC331">
        <f>IF($Z331=1,IFERROR(IF(VALUE($B331)&lt;100000000,VALUE($B331),1000000000),IFERROR(IF(VALUE(MID($B331,2,20))&lt;100000000,VALUE(MID($B331,2,20)),1000000000),1000000000))+ROW()/100000,"")</f>
        <v/>
      </c>
    </row>
    <row r="332">
      <c r="A332">
        <f>IF($B332="","",IFERROR(IF(INDEX('Per Invoice'!$A$2:$A$801,MATCH($B332,'Per Invoice'!$B$2:$B$801,0))=0,"",INDEX('Per Invoice'!$A$2:$A$801,MATCH($B332,'Per Invoice'!$B$2:$B$801,0))),""))</f>
        <v/>
      </c>
      <c r="J332" s="7">
        <f>IF($B332="","",I332*Q332/100)</f>
        <v/>
      </c>
      <c r="N332" s="7" t="n"/>
      <c r="O332" s="7" t="n"/>
      <c r="P332" s="7">
        <f>IF($B332="","",O332*X332/100)</f>
        <v/>
      </c>
      <c r="Q332" s="7">
        <f>IF($B332="","",O332-P332)</f>
        <v/>
      </c>
      <c r="R332" s="7">
        <f>IF($B332="","",Q332-J332)</f>
        <v/>
      </c>
      <c r="S332" s="7" t="n"/>
      <c r="T332" s="7" t="n"/>
      <c r="V332" s="14" t="n"/>
      <c r="Z332">
        <f>IF($B332="","",IF(COUNTIF($B$2:$B332,$B332)=1,1,0))</f>
        <v/>
      </c>
      <c r="AA332">
        <f>IF($Z332=1,SUMPRODUCT(--($AC$2:$AC$3001&lt;$AC332))+1,"")</f>
        <v/>
      </c>
      <c r="AB332">
        <f>IF($B332="","",IF(OR($Y332=TRUE(),$Y332="TRUE"),1,IF(AND($Y332&lt;&gt;"",OR($Y332=FALSE(),$Y332="FALSE")),0,IF(MIN(ABS($X332/100-Settings!$C$6),ABS($X332/100-Settings!$G$6))&lt;=MIN(ABS($X332/100-Settings!$C$7),ABS($X332/100-Settings!$G$7)),1,0))))</f>
        <v/>
      </c>
      <c r="AC332">
        <f>IF($Z332=1,IFERROR(IF(VALUE($B332)&lt;100000000,VALUE($B332),1000000000),IFERROR(IF(VALUE(MID($B332,2,20))&lt;100000000,VALUE(MID($B332,2,20)),1000000000),1000000000))+ROW()/100000,"")</f>
        <v/>
      </c>
    </row>
    <row r="333">
      <c r="A333">
        <f>IF($B333="","",IFERROR(IF(INDEX('Per Invoice'!$A$2:$A$801,MATCH($B333,'Per Invoice'!$B$2:$B$801,0))=0,"",INDEX('Per Invoice'!$A$2:$A$801,MATCH($B333,'Per Invoice'!$B$2:$B$801,0))),""))</f>
        <v/>
      </c>
      <c r="J333" s="7">
        <f>IF($B333="","",I333*Q333/100)</f>
        <v/>
      </c>
      <c r="N333" s="7" t="n"/>
      <c r="O333" s="7" t="n"/>
      <c r="P333" s="7">
        <f>IF($B333="","",O333*X333/100)</f>
        <v/>
      </c>
      <c r="Q333" s="7">
        <f>IF($B333="","",O333-P333)</f>
        <v/>
      </c>
      <c r="R333" s="7">
        <f>IF($B333="","",Q333-J333)</f>
        <v/>
      </c>
      <c r="S333" s="7" t="n"/>
      <c r="T333" s="7" t="n"/>
      <c r="V333" s="14" t="n"/>
      <c r="Z333">
        <f>IF($B333="","",IF(COUNTIF($B$2:$B333,$B333)=1,1,0))</f>
        <v/>
      </c>
      <c r="AA333">
        <f>IF($Z333=1,SUMPRODUCT(--($AC$2:$AC$3001&lt;$AC333))+1,"")</f>
        <v/>
      </c>
      <c r="AB333">
        <f>IF($B333="","",IF(OR($Y333=TRUE(),$Y333="TRUE"),1,IF(AND($Y333&lt;&gt;"",OR($Y333=FALSE(),$Y333="FALSE")),0,IF(MIN(ABS($X333/100-Settings!$C$6),ABS($X333/100-Settings!$G$6))&lt;=MIN(ABS($X333/100-Settings!$C$7),ABS($X333/100-Settings!$G$7)),1,0))))</f>
        <v/>
      </c>
      <c r="AC333">
        <f>IF($Z333=1,IFERROR(IF(VALUE($B333)&lt;100000000,VALUE($B333),1000000000),IFERROR(IF(VALUE(MID($B333,2,20))&lt;100000000,VALUE(MID($B333,2,20)),1000000000),1000000000))+ROW()/100000,"")</f>
        <v/>
      </c>
    </row>
    <row r="334">
      <c r="A334">
        <f>IF($B334="","",IFERROR(IF(INDEX('Per Invoice'!$A$2:$A$801,MATCH($B334,'Per Invoice'!$B$2:$B$801,0))=0,"",INDEX('Per Invoice'!$A$2:$A$801,MATCH($B334,'Per Invoice'!$B$2:$B$801,0))),""))</f>
        <v/>
      </c>
      <c r="J334" s="7">
        <f>IF($B334="","",I334*Q334/100)</f>
        <v/>
      </c>
      <c r="N334" s="7" t="n"/>
      <c r="O334" s="7" t="n"/>
      <c r="P334" s="7">
        <f>IF($B334="","",O334*X334/100)</f>
        <v/>
      </c>
      <c r="Q334" s="7">
        <f>IF($B334="","",O334-P334)</f>
        <v/>
      </c>
      <c r="R334" s="7">
        <f>IF($B334="","",Q334-J334)</f>
        <v/>
      </c>
      <c r="S334" s="7" t="n"/>
      <c r="T334" s="7" t="n"/>
      <c r="V334" s="14" t="n"/>
      <c r="Z334">
        <f>IF($B334="","",IF(COUNTIF($B$2:$B334,$B334)=1,1,0))</f>
        <v/>
      </c>
      <c r="AA334">
        <f>IF($Z334=1,SUMPRODUCT(--($AC$2:$AC$3001&lt;$AC334))+1,"")</f>
        <v/>
      </c>
      <c r="AB334">
        <f>IF($B334="","",IF(OR($Y334=TRUE(),$Y334="TRUE"),1,IF(AND($Y334&lt;&gt;"",OR($Y334=FALSE(),$Y334="FALSE")),0,IF(MIN(ABS($X334/100-Settings!$C$6),ABS($X334/100-Settings!$G$6))&lt;=MIN(ABS($X334/100-Settings!$C$7),ABS($X334/100-Settings!$G$7)),1,0))))</f>
        <v/>
      </c>
      <c r="AC334">
        <f>IF($Z334=1,IFERROR(IF(VALUE($B334)&lt;100000000,VALUE($B334),1000000000),IFERROR(IF(VALUE(MID($B334,2,20))&lt;100000000,VALUE(MID($B334,2,20)),1000000000),1000000000))+ROW()/100000,"")</f>
        <v/>
      </c>
    </row>
    <row r="335">
      <c r="A335">
        <f>IF($B335="","",IFERROR(IF(INDEX('Per Invoice'!$A$2:$A$801,MATCH($B335,'Per Invoice'!$B$2:$B$801,0))=0,"",INDEX('Per Invoice'!$A$2:$A$801,MATCH($B335,'Per Invoice'!$B$2:$B$801,0))),""))</f>
        <v/>
      </c>
      <c r="J335" s="7">
        <f>IF($B335="","",I335*Q335/100)</f>
        <v/>
      </c>
      <c r="N335" s="7" t="n"/>
      <c r="O335" s="7" t="n"/>
      <c r="P335" s="7">
        <f>IF($B335="","",O335*X335/100)</f>
        <v/>
      </c>
      <c r="Q335" s="7">
        <f>IF($B335="","",O335-P335)</f>
        <v/>
      </c>
      <c r="R335" s="7">
        <f>IF($B335="","",Q335-J335)</f>
        <v/>
      </c>
      <c r="S335" s="7" t="n"/>
      <c r="T335" s="7" t="n"/>
      <c r="V335" s="14" t="n"/>
      <c r="Z335">
        <f>IF($B335="","",IF(COUNTIF($B$2:$B335,$B335)=1,1,0))</f>
        <v/>
      </c>
      <c r="AA335">
        <f>IF($Z335=1,SUMPRODUCT(--($AC$2:$AC$3001&lt;$AC335))+1,"")</f>
        <v/>
      </c>
      <c r="AB335">
        <f>IF($B335="","",IF(OR($Y335=TRUE(),$Y335="TRUE"),1,IF(AND($Y335&lt;&gt;"",OR($Y335=FALSE(),$Y335="FALSE")),0,IF(MIN(ABS($X335/100-Settings!$C$6),ABS($X335/100-Settings!$G$6))&lt;=MIN(ABS($X335/100-Settings!$C$7),ABS($X335/100-Settings!$G$7)),1,0))))</f>
        <v/>
      </c>
      <c r="AC335">
        <f>IF($Z335=1,IFERROR(IF(VALUE($B335)&lt;100000000,VALUE($B335),1000000000),IFERROR(IF(VALUE(MID($B335,2,20))&lt;100000000,VALUE(MID($B335,2,20)),1000000000),1000000000))+ROW()/100000,"")</f>
        <v/>
      </c>
    </row>
    <row r="336">
      <c r="A336">
        <f>IF($B336="","",IFERROR(IF(INDEX('Per Invoice'!$A$2:$A$801,MATCH($B336,'Per Invoice'!$B$2:$B$801,0))=0,"",INDEX('Per Invoice'!$A$2:$A$801,MATCH($B336,'Per Invoice'!$B$2:$B$801,0))),""))</f>
        <v/>
      </c>
      <c r="J336" s="7">
        <f>IF($B336="","",I336*Q336/100)</f>
        <v/>
      </c>
      <c r="N336" s="7" t="n"/>
      <c r="O336" s="7" t="n"/>
      <c r="P336" s="7">
        <f>IF($B336="","",O336*X336/100)</f>
        <v/>
      </c>
      <c r="Q336" s="7">
        <f>IF($B336="","",O336-P336)</f>
        <v/>
      </c>
      <c r="R336" s="7">
        <f>IF($B336="","",Q336-J336)</f>
        <v/>
      </c>
      <c r="S336" s="7" t="n"/>
      <c r="T336" s="7" t="n"/>
      <c r="V336" s="14" t="n"/>
      <c r="Z336">
        <f>IF($B336="","",IF(COUNTIF($B$2:$B336,$B336)=1,1,0))</f>
        <v/>
      </c>
      <c r="AA336">
        <f>IF($Z336=1,SUMPRODUCT(--($AC$2:$AC$3001&lt;$AC336))+1,"")</f>
        <v/>
      </c>
      <c r="AB336">
        <f>IF($B336="","",IF(OR($Y336=TRUE(),$Y336="TRUE"),1,IF(AND($Y336&lt;&gt;"",OR($Y336=FALSE(),$Y336="FALSE")),0,IF(MIN(ABS($X336/100-Settings!$C$6),ABS($X336/100-Settings!$G$6))&lt;=MIN(ABS($X336/100-Settings!$C$7),ABS($X336/100-Settings!$G$7)),1,0))))</f>
        <v/>
      </c>
      <c r="AC336">
        <f>IF($Z336=1,IFERROR(IF(VALUE($B336)&lt;100000000,VALUE($B336),1000000000),IFERROR(IF(VALUE(MID($B336,2,20))&lt;100000000,VALUE(MID($B336,2,20)),1000000000),1000000000))+ROW()/100000,"")</f>
        <v/>
      </c>
    </row>
    <row r="337">
      <c r="A337">
        <f>IF($B337="","",IFERROR(IF(INDEX('Per Invoice'!$A$2:$A$801,MATCH($B337,'Per Invoice'!$B$2:$B$801,0))=0,"",INDEX('Per Invoice'!$A$2:$A$801,MATCH($B337,'Per Invoice'!$B$2:$B$801,0))),""))</f>
        <v/>
      </c>
      <c r="J337" s="7">
        <f>IF($B337="","",I337*Q337/100)</f>
        <v/>
      </c>
      <c r="N337" s="7" t="n"/>
      <c r="O337" s="7" t="n"/>
      <c r="P337" s="7">
        <f>IF($B337="","",O337*X337/100)</f>
        <v/>
      </c>
      <c r="Q337" s="7">
        <f>IF($B337="","",O337-P337)</f>
        <v/>
      </c>
      <c r="R337" s="7">
        <f>IF($B337="","",Q337-J337)</f>
        <v/>
      </c>
      <c r="S337" s="7" t="n"/>
      <c r="T337" s="7" t="n"/>
      <c r="V337" s="14" t="n"/>
      <c r="Z337">
        <f>IF($B337="","",IF(COUNTIF($B$2:$B337,$B337)=1,1,0))</f>
        <v/>
      </c>
      <c r="AA337">
        <f>IF($Z337=1,SUMPRODUCT(--($AC$2:$AC$3001&lt;$AC337))+1,"")</f>
        <v/>
      </c>
      <c r="AB337">
        <f>IF($B337="","",IF(OR($Y337=TRUE(),$Y337="TRUE"),1,IF(AND($Y337&lt;&gt;"",OR($Y337=FALSE(),$Y337="FALSE")),0,IF(MIN(ABS($X337/100-Settings!$C$6),ABS($X337/100-Settings!$G$6))&lt;=MIN(ABS($X337/100-Settings!$C$7),ABS($X337/100-Settings!$G$7)),1,0))))</f>
        <v/>
      </c>
      <c r="AC337">
        <f>IF($Z337=1,IFERROR(IF(VALUE($B337)&lt;100000000,VALUE($B337),1000000000),IFERROR(IF(VALUE(MID($B337,2,20))&lt;100000000,VALUE(MID($B337,2,20)),1000000000),1000000000))+ROW()/100000,"")</f>
        <v/>
      </c>
    </row>
    <row r="338">
      <c r="A338">
        <f>IF($B338="","",IFERROR(IF(INDEX('Per Invoice'!$A$2:$A$801,MATCH($B338,'Per Invoice'!$B$2:$B$801,0))=0,"",INDEX('Per Invoice'!$A$2:$A$801,MATCH($B338,'Per Invoice'!$B$2:$B$801,0))),""))</f>
        <v/>
      </c>
      <c r="J338" s="7">
        <f>IF($B338="","",I338*Q338/100)</f>
        <v/>
      </c>
      <c r="N338" s="7" t="n"/>
      <c r="O338" s="7" t="n"/>
      <c r="P338" s="7">
        <f>IF($B338="","",O338*X338/100)</f>
        <v/>
      </c>
      <c r="Q338" s="7">
        <f>IF($B338="","",O338-P338)</f>
        <v/>
      </c>
      <c r="R338" s="7">
        <f>IF($B338="","",Q338-J338)</f>
        <v/>
      </c>
      <c r="S338" s="7" t="n"/>
      <c r="T338" s="7" t="n"/>
      <c r="V338" s="14" t="n"/>
      <c r="Z338">
        <f>IF($B338="","",IF(COUNTIF($B$2:$B338,$B338)=1,1,0))</f>
        <v/>
      </c>
      <c r="AA338">
        <f>IF($Z338=1,SUMPRODUCT(--($AC$2:$AC$3001&lt;$AC338))+1,"")</f>
        <v/>
      </c>
      <c r="AB338">
        <f>IF($B338="","",IF(OR($Y338=TRUE(),$Y338="TRUE"),1,IF(AND($Y338&lt;&gt;"",OR($Y338=FALSE(),$Y338="FALSE")),0,IF(MIN(ABS($X338/100-Settings!$C$6),ABS($X338/100-Settings!$G$6))&lt;=MIN(ABS($X338/100-Settings!$C$7),ABS($X338/100-Settings!$G$7)),1,0))))</f>
        <v/>
      </c>
      <c r="AC338">
        <f>IF($Z338=1,IFERROR(IF(VALUE($B338)&lt;100000000,VALUE($B338),1000000000),IFERROR(IF(VALUE(MID($B338,2,20))&lt;100000000,VALUE(MID($B338,2,20)),1000000000),1000000000))+ROW()/100000,"")</f>
        <v/>
      </c>
    </row>
    <row r="339">
      <c r="A339">
        <f>IF($B339="","",IFERROR(IF(INDEX('Per Invoice'!$A$2:$A$801,MATCH($B339,'Per Invoice'!$B$2:$B$801,0))=0,"",INDEX('Per Invoice'!$A$2:$A$801,MATCH($B339,'Per Invoice'!$B$2:$B$801,0))),""))</f>
        <v/>
      </c>
      <c r="J339" s="7">
        <f>IF($B339="","",I339*Q339/100)</f>
        <v/>
      </c>
      <c r="N339" s="7" t="n"/>
      <c r="O339" s="7" t="n"/>
      <c r="P339" s="7">
        <f>IF($B339="","",O339*X339/100)</f>
        <v/>
      </c>
      <c r="Q339" s="7">
        <f>IF($B339="","",O339-P339)</f>
        <v/>
      </c>
      <c r="R339" s="7">
        <f>IF($B339="","",Q339-J339)</f>
        <v/>
      </c>
      <c r="S339" s="7" t="n"/>
      <c r="T339" s="7" t="n"/>
      <c r="V339" s="14" t="n"/>
      <c r="Z339">
        <f>IF($B339="","",IF(COUNTIF($B$2:$B339,$B339)=1,1,0))</f>
        <v/>
      </c>
      <c r="AA339">
        <f>IF($Z339=1,SUMPRODUCT(--($AC$2:$AC$3001&lt;$AC339))+1,"")</f>
        <v/>
      </c>
      <c r="AB339">
        <f>IF($B339="","",IF(OR($Y339=TRUE(),$Y339="TRUE"),1,IF(AND($Y339&lt;&gt;"",OR($Y339=FALSE(),$Y339="FALSE")),0,IF(MIN(ABS($X339/100-Settings!$C$6),ABS($X339/100-Settings!$G$6))&lt;=MIN(ABS($X339/100-Settings!$C$7),ABS($X339/100-Settings!$G$7)),1,0))))</f>
        <v/>
      </c>
      <c r="AC339">
        <f>IF($Z339=1,IFERROR(IF(VALUE($B339)&lt;100000000,VALUE($B339),1000000000),IFERROR(IF(VALUE(MID($B339,2,20))&lt;100000000,VALUE(MID($B339,2,20)),1000000000),1000000000))+ROW()/100000,"")</f>
        <v/>
      </c>
    </row>
    <row r="340">
      <c r="A340">
        <f>IF($B340="","",IFERROR(IF(INDEX('Per Invoice'!$A$2:$A$801,MATCH($B340,'Per Invoice'!$B$2:$B$801,0))=0,"",INDEX('Per Invoice'!$A$2:$A$801,MATCH($B340,'Per Invoice'!$B$2:$B$801,0))),""))</f>
        <v/>
      </c>
      <c r="J340" s="7">
        <f>IF($B340="","",I340*Q340/100)</f>
        <v/>
      </c>
      <c r="N340" s="7" t="n"/>
      <c r="O340" s="7" t="n"/>
      <c r="P340" s="7">
        <f>IF($B340="","",O340*X340/100)</f>
        <v/>
      </c>
      <c r="Q340" s="7">
        <f>IF($B340="","",O340-P340)</f>
        <v/>
      </c>
      <c r="R340" s="7">
        <f>IF($B340="","",Q340-J340)</f>
        <v/>
      </c>
      <c r="S340" s="7" t="n"/>
      <c r="T340" s="7" t="n"/>
      <c r="V340" s="14" t="n"/>
      <c r="Z340">
        <f>IF($B340="","",IF(COUNTIF($B$2:$B340,$B340)=1,1,0))</f>
        <v/>
      </c>
      <c r="AA340">
        <f>IF($Z340=1,SUMPRODUCT(--($AC$2:$AC$3001&lt;$AC340))+1,"")</f>
        <v/>
      </c>
      <c r="AB340">
        <f>IF($B340="","",IF(OR($Y340=TRUE(),$Y340="TRUE"),1,IF(AND($Y340&lt;&gt;"",OR($Y340=FALSE(),$Y340="FALSE")),0,IF(MIN(ABS($X340/100-Settings!$C$6),ABS($X340/100-Settings!$G$6))&lt;=MIN(ABS($X340/100-Settings!$C$7),ABS($X340/100-Settings!$G$7)),1,0))))</f>
        <v/>
      </c>
      <c r="AC340">
        <f>IF($Z340=1,IFERROR(IF(VALUE($B340)&lt;100000000,VALUE($B340),1000000000),IFERROR(IF(VALUE(MID($B340,2,20))&lt;100000000,VALUE(MID($B340,2,20)),1000000000),1000000000))+ROW()/100000,"")</f>
        <v/>
      </c>
    </row>
    <row r="341">
      <c r="A341">
        <f>IF($B341="","",IFERROR(IF(INDEX('Per Invoice'!$A$2:$A$801,MATCH($B341,'Per Invoice'!$B$2:$B$801,0))=0,"",INDEX('Per Invoice'!$A$2:$A$801,MATCH($B341,'Per Invoice'!$B$2:$B$801,0))),""))</f>
        <v/>
      </c>
      <c r="J341" s="7">
        <f>IF($B341="","",I341*Q341/100)</f>
        <v/>
      </c>
      <c r="N341" s="7" t="n"/>
      <c r="O341" s="7" t="n"/>
      <c r="P341" s="7">
        <f>IF($B341="","",O341*X341/100)</f>
        <v/>
      </c>
      <c r="Q341" s="7">
        <f>IF($B341="","",O341-P341)</f>
        <v/>
      </c>
      <c r="R341" s="7">
        <f>IF($B341="","",Q341-J341)</f>
        <v/>
      </c>
      <c r="S341" s="7" t="n"/>
      <c r="T341" s="7" t="n"/>
      <c r="V341" s="14" t="n"/>
      <c r="Z341">
        <f>IF($B341="","",IF(COUNTIF($B$2:$B341,$B341)=1,1,0))</f>
        <v/>
      </c>
      <c r="AA341">
        <f>IF($Z341=1,SUMPRODUCT(--($AC$2:$AC$3001&lt;$AC341))+1,"")</f>
        <v/>
      </c>
      <c r="AB341">
        <f>IF($B341="","",IF(OR($Y341=TRUE(),$Y341="TRUE"),1,IF(AND($Y341&lt;&gt;"",OR($Y341=FALSE(),$Y341="FALSE")),0,IF(MIN(ABS($X341/100-Settings!$C$6),ABS($X341/100-Settings!$G$6))&lt;=MIN(ABS($X341/100-Settings!$C$7),ABS($X341/100-Settings!$G$7)),1,0))))</f>
        <v/>
      </c>
      <c r="AC341">
        <f>IF($Z341=1,IFERROR(IF(VALUE($B341)&lt;100000000,VALUE($B341),1000000000),IFERROR(IF(VALUE(MID($B341,2,20))&lt;100000000,VALUE(MID($B341,2,20)),1000000000),1000000000))+ROW()/100000,"")</f>
        <v/>
      </c>
    </row>
    <row r="342">
      <c r="A342">
        <f>IF($B342="","",IFERROR(IF(INDEX('Per Invoice'!$A$2:$A$801,MATCH($B342,'Per Invoice'!$B$2:$B$801,0))=0,"",INDEX('Per Invoice'!$A$2:$A$801,MATCH($B342,'Per Invoice'!$B$2:$B$801,0))),""))</f>
        <v/>
      </c>
      <c r="J342" s="7">
        <f>IF($B342="","",I342*Q342/100)</f>
        <v/>
      </c>
      <c r="N342" s="7" t="n"/>
      <c r="O342" s="7" t="n"/>
      <c r="P342" s="7">
        <f>IF($B342="","",O342*X342/100)</f>
        <v/>
      </c>
      <c r="Q342" s="7">
        <f>IF($B342="","",O342-P342)</f>
        <v/>
      </c>
      <c r="R342" s="7">
        <f>IF($B342="","",Q342-J342)</f>
        <v/>
      </c>
      <c r="S342" s="7" t="n"/>
      <c r="T342" s="7" t="n"/>
      <c r="V342" s="14" t="n"/>
      <c r="Z342">
        <f>IF($B342="","",IF(COUNTIF($B$2:$B342,$B342)=1,1,0))</f>
        <v/>
      </c>
      <c r="AA342">
        <f>IF($Z342=1,SUMPRODUCT(--($AC$2:$AC$3001&lt;$AC342))+1,"")</f>
        <v/>
      </c>
      <c r="AB342">
        <f>IF($B342="","",IF(OR($Y342=TRUE(),$Y342="TRUE"),1,IF(AND($Y342&lt;&gt;"",OR($Y342=FALSE(),$Y342="FALSE")),0,IF(MIN(ABS($X342/100-Settings!$C$6),ABS($X342/100-Settings!$G$6))&lt;=MIN(ABS($X342/100-Settings!$C$7),ABS($X342/100-Settings!$G$7)),1,0))))</f>
        <v/>
      </c>
      <c r="AC342">
        <f>IF($Z342=1,IFERROR(IF(VALUE($B342)&lt;100000000,VALUE($B342),1000000000),IFERROR(IF(VALUE(MID($B342,2,20))&lt;100000000,VALUE(MID($B342,2,20)),1000000000),1000000000))+ROW()/100000,"")</f>
        <v/>
      </c>
    </row>
    <row r="343">
      <c r="A343">
        <f>IF($B343="","",IFERROR(IF(INDEX('Per Invoice'!$A$2:$A$801,MATCH($B343,'Per Invoice'!$B$2:$B$801,0))=0,"",INDEX('Per Invoice'!$A$2:$A$801,MATCH($B343,'Per Invoice'!$B$2:$B$801,0))),""))</f>
        <v/>
      </c>
      <c r="J343" s="7">
        <f>IF($B343="","",I343*Q343/100)</f>
        <v/>
      </c>
      <c r="N343" s="7" t="n"/>
      <c r="O343" s="7" t="n"/>
      <c r="P343" s="7">
        <f>IF($B343="","",O343*X343/100)</f>
        <v/>
      </c>
      <c r="Q343" s="7">
        <f>IF($B343="","",O343-P343)</f>
        <v/>
      </c>
      <c r="R343" s="7">
        <f>IF($B343="","",Q343-J343)</f>
        <v/>
      </c>
      <c r="S343" s="7" t="n"/>
      <c r="T343" s="7" t="n"/>
      <c r="V343" s="14" t="n"/>
      <c r="Z343">
        <f>IF($B343="","",IF(COUNTIF($B$2:$B343,$B343)=1,1,0))</f>
        <v/>
      </c>
      <c r="AA343">
        <f>IF($Z343=1,SUMPRODUCT(--($AC$2:$AC$3001&lt;$AC343))+1,"")</f>
        <v/>
      </c>
      <c r="AB343">
        <f>IF($B343="","",IF(OR($Y343=TRUE(),$Y343="TRUE"),1,IF(AND($Y343&lt;&gt;"",OR($Y343=FALSE(),$Y343="FALSE")),0,IF(MIN(ABS($X343/100-Settings!$C$6),ABS($X343/100-Settings!$G$6))&lt;=MIN(ABS($X343/100-Settings!$C$7),ABS($X343/100-Settings!$G$7)),1,0))))</f>
        <v/>
      </c>
      <c r="AC343">
        <f>IF($Z343=1,IFERROR(IF(VALUE($B343)&lt;100000000,VALUE($B343),1000000000),IFERROR(IF(VALUE(MID($B343,2,20))&lt;100000000,VALUE(MID($B343,2,20)),1000000000),1000000000))+ROW()/100000,"")</f>
        <v/>
      </c>
    </row>
    <row r="344">
      <c r="A344">
        <f>IF($B344="","",IFERROR(IF(INDEX('Per Invoice'!$A$2:$A$801,MATCH($B344,'Per Invoice'!$B$2:$B$801,0))=0,"",INDEX('Per Invoice'!$A$2:$A$801,MATCH($B344,'Per Invoice'!$B$2:$B$801,0))),""))</f>
        <v/>
      </c>
      <c r="J344" s="7">
        <f>IF($B344="","",I344*Q344/100)</f>
        <v/>
      </c>
      <c r="N344" s="7" t="n"/>
      <c r="O344" s="7" t="n"/>
      <c r="P344" s="7">
        <f>IF($B344="","",O344*X344/100)</f>
        <v/>
      </c>
      <c r="Q344" s="7">
        <f>IF($B344="","",O344-P344)</f>
        <v/>
      </c>
      <c r="R344" s="7">
        <f>IF($B344="","",Q344-J344)</f>
        <v/>
      </c>
      <c r="S344" s="7" t="n"/>
      <c r="T344" s="7" t="n"/>
      <c r="V344" s="14" t="n"/>
      <c r="Z344">
        <f>IF($B344="","",IF(COUNTIF($B$2:$B344,$B344)=1,1,0))</f>
        <v/>
      </c>
      <c r="AA344">
        <f>IF($Z344=1,SUMPRODUCT(--($AC$2:$AC$3001&lt;$AC344))+1,"")</f>
        <v/>
      </c>
      <c r="AB344">
        <f>IF($B344="","",IF(OR($Y344=TRUE(),$Y344="TRUE"),1,IF(AND($Y344&lt;&gt;"",OR($Y344=FALSE(),$Y344="FALSE")),0,IF(MIN(ABS($X344/100-Settings!$C$6),ABS($X344/100-Settings!$G$6))&lt;=MIN(ABS($X344/100-Settings!$C$7),ABS($X344/100-Settings!$G$7)),1,0))))</f>
        <v/>
      </c>
      <c r="AC344">
        <f>IF($Z344=1,IFERROR(IF(VALUE($B344)&lt;100000000,VALUE($B344),1000000000),IFERROR(IF(VALUE(MID($B344,2,20))&lt;100000000,VALUE(MID($B344,2,20)),1000000000),1000000000))+ROW()/100000,"")</f>
        <v/>
      </c>
    </row>
    <row r="345">
      <c r="A345">
        <f>IF($B345="","",IFERROR(IF(INDEX('Per Invoice'!$A$2:$A$801,MATCH($B345,'Per Invoice'!$B$2:$B$801,0))=0,"",INDEX('Per Invoice'!$A$2:$A$801,MATCH($B345,'Per Invoice'!$B$2:$B$801,0))),""))</f>
        <v/>
      </c>
      <c r="J345" s="7">
        <f>IF($B345="","",I345*Q345/100)</f>
        <v/>
      </c>
      <c r="N345" s="7" t="n"/>
      <c r="O345" s="7" t="n"/>
      <c r="P345" s="7">
        <f>IF($B345="","",O345*X345/100)</f>
        <v/>
      </c>
      <c r="Q345" s="7">
        <f>IF($B345="","",O345-P345)</f>
        <v/>
      </c>
      <c r="R345" s="7">
        <f>IF($B345="","",Q345-J345)</f>
        <v/>
      </c>
      <c r="S345" s="7" t="n"/>
      <c r="T345" s="7" t="n"/>
      <c r="V345" s="14" t="n"/>
      <c r="Z345">
        <f>IF($B345="","",IF(COUNTIF($B$2:$B345,$B345)=1,1,0))</f>
        <v/>
      </c>
      <c r="AA345">
        <f>IF($Z345=1,SUMPRODUCT(--($AC$2:$AC$3001&lt;$AC345))+1,"")</f>
        <v/>
      </c>
      <c r="AB345">
        <f>IF($B345="","",IF(OR($Y345=TRUE(),$Y345="TRUE"),1,IF(AND($Y345&lt;&gt;"",OR($Y345=FALSE(),$Y345="FALSE")),0,IF(MIN(ABS($X345/100-Settings!$C$6),ABS($X345/100-Settings!$G$6))&lt;=MIN(ABS($X345/100-Settings!$C$7),ABS($X345/100-Settings!$G$7)),1,0))))</f>
        <v/>
      </c>
      <c r="AC345">
        <f>IF($Z345=1,IFERROR(IF(VALUE($B345)&lt;100000000,VALUE($B345),1000000000),IFERROR(IF(VALUE(MID($B345,2,20))&lt;100000000,VALUE(MID($B345,2,20)),1000000000),1000000000))+ROW()/100000,"")</f>
        <v/>
      </c>
    </row>
    <row r="346">
      <c r="A346">
        <f>IF($B346="","",IFERROR(IF(INDEX('Per Invoice'!$A$2:$A$801,MATCH($B346,'Per Invoice'!$B$2:$B$801,0))=0,"",INDEX('Per Invoice'!$A$2:$A$801,MATCH($B346,'Per Invoice'!$B$2:$B$801,0))),""))</f>
        <v/>
      </c>
      <c r="J346" s="7">
        <f>IF($B346="","",I346*Q346/100)</f>
        <v/>
      </c>
      <c r="N346" s="7" t="n"/>
      <c r="O346" s="7" t="n"/>
      <c r="P346" s="7">
        <f>IF($B346="","",O346*X346/100)</f>
        <v/>
      </c>
      <c r="Q346" s="7">
        <f>IF($B346="","",O346-P346)</f>
        <v/>
      </c>
      <c r="R346" s="7">
        <f>IF($B346="","",Q346-J346)</f>
        <v/>
      </c>
      <c r="S346" s="7" t="n"/>
      <c r="T346" s="7" t="n"/>
      <c r="V346" s="14" t="n"/>
      <c r="Z346">
        <f>IF($B346="","",IF(COUNTIF($B$2:$B346,$B346)=1,1,0))</f>
        <v/>
      </c>
      <c r="AA346">
        <f>IF($Z346=1,SUMPRODUCT(--($AC$2:$AC$3001&lt;$AC346))+1,"")</f>
        <v/>
      </c>
      <c r="AB346">
        <f>IF($B346="","",IF(OR($Y346=TRUE(),$Y346="TRUE"),1,IF(AND($Y346&lt;&gt;"",OR($Y346=FALSE(),$Y346="FALSE")),0,IF(MIN(ABS($X346/100-Settings!$C$6),ABS($X346/100-Settings!$G$6))&lt;=MIN(ABS($X346/100-Settings!$C$7),ABS($X346/100-Settings!$G$7)),1,0))))</f>
        <v/>
      </c>
      <c r="AC346">
        <f>IF($Z346=1,IFERROR(IF(VALUE($B346)&lt;100000000,VALUE($B346),1000000000),IFERROR(IF(VALUE(MID($B346,2,20))&lt;100000000,VALUE(MID($B346,2,20)),1000000000),1000000000))+ROW()/100000,"")</f>
        <v/>
      </c>
    </row>
    <row r="347">
      <c r="A347">
        <f>IF($B347="","",IFERROR(IF(INDEX('Per Invoice'!$A$2:$A$801,MATCH($B347,'Per Invoice'!$B$2:$B$801,0))=0,"",INDEX('Per Invoice'!$A$2:$A$801,MATCH($B347,'Per Invoice'!$B$2:$B$801,0))),""))</f>
        <v/>
      </c>
      <c r="J347" s="7">
        <f>IF($B347="","",I347*Q347/100)</f>
        <v/>
      </c>
      <c r="N347" s="7" t="n"/>
      <c r="O347" s="7" t="n"/>
      <c r="P347" s="7">
        <f>IF($B347="","",O347*X347/100)</f>
        <v/>
      </c>
      <c r="Q347" s="7">
        <f>IF($B347="","",O347-P347)</f>
        <v/>
      </c>
      <c r="R347" s="7">
        <f>IF($B347="","",Q347-J347)</f>
        <v/>
      </c>
      <c r="S347" s="7" t="n"/>
      <c r="T347" s="7" t="n"/>
      <c r="V347" s="14" t="n"/>
      <c r="Z347">
        <f>IF($B347="","",IF(COUNTIF($B$2:$B347,$B347)=1,1,0))</f>
        <v/>
      </c>
      <c r="AA347">
        <f>IF($Z347=1,SUMPRODUCT(--($AC$2:$AC$3001&lt;$AC347))+1,"")</f>
        <v/>
      </c>
      <c r="AB347">
        <f>IF($B347="","",IF(OR($Y347=TRUE(),$Y347="TRUE"),1,IF(AND($Y347&lt;&gt;"",OR($Y347=FALSE(),$Y347="FALSE")),0,IF(MIN(ABS($X347/100-Settings!$C$6),ABS($X347/100-Settings!$G$6))&lt;=MIN(ABS($X347/100-Settings!$C$7),ABS($X347/100-Settings!$G$7)),1,0))))</f>
        <v/>
      </c>
      <c r="AC347">
        <f>IF($Z347=1,IFERROR(IF(VALUE($B347)&lt;100000000,VALUE($B347),1000000000),IFERROR(IF(VALUE(MID($B347,2,20))&lt;100000000,VALUE(MID($B347,2,20)),1000000000),1000000000))+ROW()/100000,"")</f>
        <v/>
      </c>
    </row>
    <row r="348">
      <c r="A348">
        <f>IF($B348="","",IFERROR(IF(INDEX('Per Invoice'!$A$2:$A$801,MATCH($B348,'Per Invoice'!$B$2:$B$801,0))=0,"",INDEX('Per Invoice'!$A$2:$A$801,MATCH($B348,'Per Invoice'!$B$2:$B$801,0))),""))</f>
        <v/>
      </c>
      <c r="J348" s="7">
        <f>IF($B348="","",I348*Q348/100)</f>
        <v/>
      </c>
      <c r="N348" s="7" t="n"/>
      <c r="O348" s="7" t="n"/>
      <c r="P348" s="7">
        <f>IF($B348="","",O348*X348/100)</f>
        <v/>
      </c>
      <c r="Q348" s="7">
        <f>IF($B348="","",O348-P348)</f>
        <v/>
      </c>
      <c r="R348" s="7">
        <f>IF($B348="","",Q348-J348)</f>
        <v/>
      </c>
      <c r="S348" s="7" t="n"/>
      <c r="T348" s="7" t="n"/>
      <c r="V348" s="14" t="n"/>
      <c r="Z348">
        <f>IF($B348="","",IF(COUNTIF($B$2:$B348,$B348)=1,1,0))</f>
        <v/>
      </c>
      <c r="AA348">
        <f>IF($Z348=1,SUMPRODUCT(--($AC$2:$AC$3001&lt;$AC348))+1,"")</f>
        <v/>
      </c>
      <c r="AB348">
        <f>IF($B348="","",IF(OR($Y348=TRUE(),$Y348="TRUE"),1,IF(AND($Y348&lt;&gt;"",OR($Y348=FALSE(),$Y348="FALSE")),0,IF(MIN(ABS($X348/100-Settings!$C$6),ABS($X348/100-Settings!$G$6))&lt;=MIN(ABS($X348/100-Settings!$C$7),ABS($X348/100-Settings!$G$7)),1,0))))</f>
        <v/>
      </c>
      <c r="AC348">
        <f>IF($Z348=1,IFERROR(IF(VALUE($B348)&lt;100000000,VALUE($B348),1000000000),IFERROR(IF(VALUE(MID($B348,2,20))&lt;100000000,VALUE(MID($B348,2,20)),1000000000),1000000000))+ROW()/100000,"")</f>
        <v/>
      </c>
    </row>
    <row r="349">
      <c r="A349">
        <f>IF($B349="","",IFERROR(IF(INDEX('Per Invoice'!$A$2:$A$801,MATCH($B349,'Per Invoice'!$B$2:$B$801,0))=0,"",INDEX('Per Invoice'!$A$2:$A$801,MATCH($B349,'Per Invoice'!$B$2:$B$801,0))),""))</f>
        <v/>
      </c>
      <c r="J349" s="7">
        <f>IF($B349="","",I349*Q349/100)</f>
        <v/>
      </c>
      <c r="N349" s="7" t="n"/>
      <c r="O349" s="7" t="n"/>
      <c r="P349" s="7">
        <f>IF($B349="","",O349*X349/100)</f>
        <v/>
      </c>
      <c r="Q349" s="7">
        <f>IF($B349="","",O349-P349)</f>
        <v/>
      </c>
      <c r="R349" s="7">
        <f>IF($B349="","",Q349-J349)</f>
        <v/>
      </c>
      <c r="S349" s="7" t="n"/>
      <c r="T349" s="7" t="n"/>
      <c r="V349" s="14" t="n"/>
      <c r="Z349">
        <f>IF($B349="","",IF(COUNTIF($B$2:$B349,$B349)=1,1,0))</f>
        <v/>
      </c>
      <c r="AA349">
        <f>IF($Z349=1,SUMPRODUCT(--($AC$2:$AC$3001&lt;$AC349))+1,"")</f>
        <v/>
      </c>
      <c r="AB349">
        <f>IF($B349="","",IF(OR($Y349=TRUE(),$Y349="TRUE"),1,IF(AND($Y349&lt;&gt;"",OR($Y349=FALSE(),$Y349="FALSE")),0,IF(MIN(ABS($X349/100-Settings!$C$6),ABS($X349/100-Settings!$G$6))&lt;=MIN(ABS($X349/100-Settings!$C$7),ABS($X349/100-Settings!$G$7)),1,0))))</f>
        <v/>
      </c>
      <c r="AC349">
        <f>IF($Z349=1,IFERROR(IF(VALUE($B349)&lt;100000000,VALUE($B349),1000000000),IFERROR(IF(VALUE(MID($B349,2,20))&lt;100000000,VALUE(MID($B349,2,20)),1000000000),1000000000))+ROW()/100000,"")</f>
        <v/>
      </c>
    </row>
    <row r="350">
      <c r="A350">
        <f>IF($B350="","",IFERROR(IF(INDEX('Per Invoice'!$A$2:$A$801,MATCH($B350,'Per Invoice'!$B$2:$B$801,0))=0,"",INDEX('Per Invoice'!$A$2:$A$801,MATCH($B350,'Per Invoice'!$B$2:$B$801,0))),""))</f>
        <v/>
      </c>
      <c r="J350" s="7">
        <f>IF($B350="","",I350*Q350/100)</f>
        <v/>
      </c>
      <c r="N350" s="7" t="n"/>
      <c r="O350" s="7" t="n"/>
      <c r="P350" s="7">
        <f>IF($B350="","",O350*X350/100)</f>
        <v/>
      </c>
      <c r="Q350" s="7">
        <f>IF($B350="","",O350-P350)</f>
        <v/>
      </c>
      <c r="R350" s="7">
        <f>IF($B350="","",Q350-J350)</f>
        <v/>
      </c>
      <c r="S350" s="7" t="n"/>
      <c r="T350" s="7" t="n"/>
      <c r="V350" s="14" t="n"/>
      <c r="Z350">
        <f>IF($B350="","",IF(COUNTIF($B$2:$B350,$B350)=1,1,0))</f>
        <v/>
      </c>
      <c r="AA350">
        <f>IF($Z350=1,SUMPRODUCT(--($AC$2:$AC$3001&lt;$AC350))+1,"")</f>
        <v/>
      </c>
      <c r="AB350">
        <f>IF($B350="","",IF(OR($Y350=TRUE(),$Y350="TRUE"),1,IF(AND($Y350&lt;&gt;"",OR($Y350=FALSE(),$Y350="FALSE")),0,IF(MIN(ABS($X350/100-Settings!$C$6),ABS($X350/100-Settings!$G$6))&lt;=MIN(ABS($X350/100-Settings!$C$7),ABS($X350/100-Settings!$G$7)),1,0))))</f>
        <v/>
      </c>
      <c r="AC350">
        <f>IF($Z350=1,IFERROR(IF(VALUE($B350)&lt;100000000,VALUE($B350),1000000000),IFERROR(IF(VALUE(MID($B350,2,20))&lt;100000000,VALUE(MID($B350,2,20)),1000000000),1000000000))+ROW()/100000,"")</f>
        <v/>
      </c>
    </row>
    <row r="351">
      <c r="A351">
        <f>IF($B351="","",IFERROR(IF(INDEX('Per Invoice'!$A$2:$A$801,MATCH($B351,'Per Invoice'!$B$2:$B$801,0))=0,"",INDEX('Per Invoice'!$A$2:$A$801,MATCH($B351,'Per Invoice'!$B$2:$B$801,0))),""))</f>
        <v/>
      </c>
      <c r="J351" s="7">
        <f>IF($B351="","",I351*Q351/100)</f>
        <v/>
      </c>
      <c r="N351" s="7" t="n"/>
      <c r="O351" s="7" t="n"/>
      <c r="P351" s="7">
        <f>IF($B351="","",O351*X351/100)</f>
        <v/>
      </c>
      <c r="Q351" s="7">
        <f>IF($B351="","",O351-P351)</f>
        <v/>
      </c>
      <c r="R351" s="7">
        <f>IF($B351="","",Q351-J351)</f>
        <v/>
      </c>
      <c r="S351" s="7" t="n"/>
      <c r="T351" s="7" t="n"/>
      <c r="V351" s="14" t="n"/>
      <c r="Z351">
        <f>IF($B351="","",IF(COUNTIF($B$2:$B351,$B351)=1,1,0))</f>
        <v/>
      </c>
      <c r="AA351">
        <f>IF($Z351=1,SUMPRODUCT(--($AC$2:$AC$3001&lt;$AC351))+1,"")</f>
        <v/>
      </c>
      <c r="AB351">
        <f>IF($B351="","",IF(OR($Y351=TRUE(),$Y351="TRUE"),1,IF(AND($Y351&lt;&gt;"",OR($Y351=FALSE(),$Y351="FALSE")),0,IF(MIN(ABS($X351/100-Settings!$C$6),ABS($X351/100-Settings!$G$6))&lt;=MIN(ABS($X351/100-Settings!$C$7),ABS($X351/100-Settings!$G$7)),1,0))))</f>
        <v/>
      </c>
      <c r="AC351">
        <f>IF($Z351=1,IFERROR(IF(VALUE($B351)&lt;100000000,VALUE($B351),1000000000),IFERROR(IF(VALUE(MID($B351,2,20))&lt;100000000,VALUE(MID($B351,2,20)),1000000000),1000000000))+ROW()/100000,"")</f>
        <v/>
      </c>
    </row>
    <row r="352">
      <c r="A352">
        <f>IF($B352="","",IFERROR(IF(INDEX('Per Invoice'!$A$2:$A$801,MATCH($B352,'Per Invoice'!$B$2:$B$801,0))=0,"",INDEX('Per Invoice'!$A$2:$A$801,MATCH($B352,'Per Invoice'!$B$2:$B$801,0))),""))</f>
        <v/>
      </c>
      <c r="J352" s="7">
        <f>IF($B352="","",I352*Q352/100)</f>
        <v/>
      </c>
      <c r="N352" s="7" t="n"/>
      <c r="O352" s="7" t="n"/>
      <c r="P352" s="7">
        <f>IF($B352="","",O352*X352/100)</f>
        <v/>
      </c>
      <c r="Q352" s="7">
        <f>IF($B352="","",O352-P352)</f>
        <v/>
      </c>
      <c r="R352" s="7">
        <f>IF($B352="","",Q352-J352)</f>
        <v/>
      </c>
      <c r="S352" s="7" t="n"/>
      <c r="T352" s="7" t="n"/>
      <c r="V352" s="14" t="n"/>
      <c r="Z352">
        <f>IF($B352="","",IF(COUNTIF($B$2:$B352,$B352)=1,1,0))</f>
        <v/>
      </c>
      <c r="AA352">
        <f>IF($Z352=1,SUMPRODUCT(--($AC$2:$AC$3001&lt;$AC352))+1,"")</f>
        <v/>
      </c>
      <c r="AB352">
        <f>IF($B352="","",IF(OR($Y352=TRUE(),$Y352="TRUE"),1,IF(AND($Y352&lt;&gt;"",OR($Y352=FALSE(),$Y352="FALSE")),0,IF(MIN(ABS($X352/100-Settings!$C$6),ABS($X352/100-Settings!$G$6))&lt;=MIN(ABS($X352/100-Settings!$C$7),ABS($X352/100-Settings!$G$7)),1,0))))</f>
        <v/>
      </c>
      <c r="AC352">
        <f>IF($Z352=1,IFERROR(IF(VALUE($B352)&lt;100000000,VALUE($B352),1000000000),IFERROR(IF(VALUE(MID($B352,2,20))&lt;100000000,VALUE(MID($B352,2,20)),1000000000),1000000000))+ROW()/100000,"")</f>
        <v/>
      </c>
    </row>
    <row r="353">
      <c r="A353">
        <f>IF($B353="","",IFERROR(IF(INDEX('Per Invoice'!$A$2:$A$801,MATCH($B353,'Per Invoice'!$B$2:$B$801,0))=0,"",INDEX('Per Invoice'!$A$2:$A$801,MATCH($B353,'Per Invoice'!$B$2:$B$801,0))),""))</f>
        <v/>
      </c>
      <c r="J353" s="7">
        <f>IF($B353="","",I353*Q353/100)</f>
        <v/>
      </c>
      <c r="N353" s="7" t="n"/>
      <c r="O353" s="7" t="n"/>
      <c r="P353" s="7">
        <f>IF($B353="","",O353*X353/100)</f>
        <v/>
      </c>
      <c r="Q353" s="7">
        <f>IF($B353="","",O353-P353)</f>
        <v/>
      </c>
      <c r="R353" s="7">
        <f>IF($B353="","",Q353-J353)</f>
        <v/>
      </c>
      <c r="S353" s="7" t="n"/>
      <c r="T353" s="7" t="n"/>
      <c r="V353" s="14" t="n"/>
      <c r="Z353">
        <f>IF($B353="","",IF(COUNTIF($B$2:$B353,$B353)=1,1,0))</f>
        <v/>
      </c>
      <c r="AA353">
        <f>IF($Z353=1,SUMPRODUCT(--($AC$2:$AC$3001&lt;$AC353))+1,"")</f>
        <v/>
      </c>
      <c r="AB353">
        <f>IF($B353="","",IF(OR($Y353=TRUE(),$Y353="TRUE"),1,IF(AND($Y353&lt;&gt;"",OR($Y353=FALSE(),$Y353="FALSE")),0,IF(MIN(ABS($X353/100-Settings!$C$6),ABS($X353/100-Settings!$G$6))&lt;=MIN(ABS($X353/100-Settings!$C$7),ABS($X353/100-Settings!$G$7)),1,0))))</f>
        <v/>
      </c>
      <c r="AC353">
        <f>IF($Z353=1,IFERROR(IF(VALUE($B353)&lt;100000000,VALUE($B353),1000000000),IFERROR(IF(VALUE(MID($B353,2,20))&lt;100000000,VALUE(MID($B353,2,20)),1000000000),1000000000))+ROW()/100000,"")</f>
        <v/>
      </c>
    </row>
    <row r="354">
      <c r="A354">
        <f>IF($B354="","",IFERROR(IF(INDEX('Per Invoice'!$A$2:$A$801,MATCH($B354,'Per Invoice'!$B$2:$B$801,0))=0,"",INDEX('Per Invoice'!$A$2:$A$801,MATCH($B354,'Per Invoice'!$B$2:$B$801,0))),""))</f>
        <v/>
      </c>
      <c r="J354" s="7">
        <f>IF($B354="","",I354*Q354/100)</f>
        <v/>
      </c>
      <c r="N354" s="7" t="n"/>
      <c r="O354" s="7" t="n"/>
      <c r="P354" s="7">
        <f>IF($B354="","",O354*X354/100)</f>
        <v/>
      </c>
      <c r="Q354" s="7">
        <f>IF($B354="","",O354-P354)</f>
        <v/>
      </c>
      <c r="R354" s="7">
        <f>IF($B354="","",Q354-J354)</f>
        <v/>
      </c>
      <c r="S354" s="7" t="n"/>
      <c r="T354" s="7" t="n"/>
      <c r="V354" s="14" t="n"/>
      <c r="Z354">
        <f>IF($B354="","",IF(COUNTIF($B$2:$B354,$B354)=1,1,0))</f>
        <v/>
      </c>
      <c r="AA354">
        <f>IF($Z354=1,SUMPRODUCT(--($AC$2:$AC$3001&lt;$AC354))+1,"")</f>
        <v/>
      </c>
      <c r="AB354">
        <f>IF($B354="","",IF(OR($Y354=TRUE(),$Y354="TRUE"),1,IF(AND($Y354&lt;&gt;"",OR($Y354=FALSE(),$Y354="FALSE")),0,IF(MIN(ABS($X354/100-Settings!$C$6),ABS($X354/100-Settings!$G$6))&lt;=MIN(ABS($X354/100-Settings!$C$7),ABS($X354/100-Settings!$G$7)),1,0))))</f>
        <v/>
      </c>
      <c r="AC354">
        <f>IF($Z354=1,IFERROR(IF(VALUE($B354)&lt;100000000,VALUE($B354),1000000000),IFERROR(IF(VALUE(MID($B354,2,20))&lt;100000000,VALUE(MID($B354,2,20)),1000000000),1000000000))+ROW()/100000,"")</f>
        <v/>
      </c>
    </row>
    <row r="355">
      <c r="A355">
        <f>IF($B355="","",IFERROR(IF(INDEX('Per Invoice'!$A$2:$A$801,MATCH($B355,'Per Invoice'!$B$2:$B$801,0))=0,"",INDEX('Per Invoice'!$A$2:$A$801,MATCH($B355,'Per Invoice'!$B$2:$B$801,0))),""))</f>
        <v/>
      </c>
      <c r="J355" s="7">
        <f>IF($B355="","",I355*Q355/100)</f>
        <v/>
      </c>
      <c r="N355" s="7" t="n"/>
      <c r="O355" s="7" t="n"/>
      <c r="P355" s="7">
        <f>IF($B355="","",O355*X355/100)</f>
        <v/>
      </c>
      <c r="Q355" s="7">
        <f>IF($B355="","",O355-P355)</f>
        <v/>
      </c>
      <c r="R355" s="7">
        <f>IF($B355="","",Q355-J355)</f>
        <v/>
      </c>
      <c r="S355" s="7" t="n"/>
      <c r="T355" s="7" t="n"/>
      <c r="V355" s="14" t="n"/>
      <c r="Z355">
        <f>IF($B355="","",IF(COUNTIF($B$2:$B355,$B355)=1,1,0))</f>
        <v/>
      </c>
      <c r="AA355">
        <f>IF($Z355=1,SUMPRODUCT(--($AC$2:$AC$3001&lt;$AC355))+1,"")</f>
        <v/>
      </c>
      <c r="AB355">
        <f>IF($B355="","",IF(OR($Y355=TRUE(),$Y355="TRUE"),1,IF(AND($Y355&lt;&gt;"",OR($Y355=FALSE(),$Y355="FALSE")),0,IF(MIN(ABS($X355/100-Settings!$C$6),ABS($X355/100-Settings!$G$6))&lt;=MIN(ABS($X355/100-Settings!$C$7),ABS($X355/100-Settings!$G$7)),1,0))))</f>
        <v/>
      </c>
      <c r="AC355">
        <f>IF($Z355=1,IFERROR(IF(VALUE($B355)&lt;100000000,VALUE($B355),1000000000),IFERROR(IF(VALUE(MID($B355,2,20))&lt;100000000,VALUE(MID($B355,2,20)),1000000000),1000000000))+ROW()/100000,"")</f>
        <v/>
      </c>
    </row>
    <row r="356">
      <c r="A356">
        <f>IF($B356="","",IFERROR(IF(INDEX('Per Invoice'!$A$2:$A$801,MATCH($B356,'Per Invoice'!$B$2:$B$801,0))=0,"",INDEX('Per Invoice'!$A$2:$A$801,MATCH($B356,'Per Invoice'!$B$2:$B$801,0))),""))</f>
        <v/>
      </c>
      <c r="J356" s="7">
        <f>IF($B356="","",I356*Q356/100)</f>
        <v/>
      </c>
      <c r="N356" s="7" t="n"/>
      <c r="O356" s="7" t="n"/>
      <c r="P356" s="7">
        <f>IF($B356="","",O356*X356/100)</f>
        <v/>
      </c>
      <c r="Q356" s="7">
        <f>IF($B356="","",O356-P356)</f>
        <v/>
      </c>
      <c r="R356" s="7">
        <f>IF($B356="","",Q356-J356)</f>
        <v/>
      </c>
      <c r="S356" s="7" t="n"/>
      <c r="T356" s="7" t="n"/>
      <c r="V356" s="14" t="n"/>
      <c r="Z356">
        <f>IF($B356="","",IF(COUNTIF($B$2:$B356,$B356)=1,1,0))</f>
        <v/>
      </c>
      <c r="AA356">
        <f>IF($Z356=1,SUMPRODUCT(--($AC$2:$AC$3001&lt;$AC356))+1,"")</f>
        <v/>
      </c>
      <c r="AB356">
        <f>IF($B356="","",IF(OR($Y356=TRUE(),$Y356="TRUE"),1,IF(AND($Y356&lt;&gt;"",OR($Y356=FALSE(),$Y356="FALSE")),0,IF(MIN(ABS($X356/100-Settings!$C$6),ABS($X356/100-Settings!$G$6))&lt;=MIN(ABS($X356/100-Settings!$C$7),ABS($X356/100-Settings!$G$7)),1,0))))</f>
        <v/>
      </c>
      <c r="AC356">
        <f>IF($Z356=1,IFERROR(IF(VALUE($B356)&lt;100000000,VALUE($B356),1000000000),IFERROR(IF(VALUE(MID($B356,2,20))&lt;100000000,VALUE(MID($B356,2,20)),1000000000),1000000000))+ROW()/100000,"")</f>
        <v/>
      </c>
    </row>
    <row r="357">
      <c r="A357">
        <f>IF($B357="","",IFERROR(IF(INDEX('Per Invoice'!$A$2:$A$801,MATCH($B357,'Per Invoice'!$B$2:$B$801,0))=0,"",INDEX('Per Invoice'!$A$2:$A$801,MATCH($B357,'Per Invoice'!$B$2:$B$801,0))),""))</f>
        <v/>
      </c>
      <c r="J357" s="7">
        <f>IF($B357="","",I357*Q357/100)</f>
        <v/>
      </c>
      <c r="N357" s="7" t="n"/>
      <c r="O357" s="7" t="n"/>
      <c r="P357" s="7">
        <f>IF($B357="","",O357*X357/100)</f>
        <v/>
      </c>
      <c r="Q357" s="7">
        <f>IF($B357="","",O357-P357)</f>
        <v/>
      </c>
      <c r="R357" s="7">
        <f>IF($B357="","",Q357-J357)</f>
        <v/>
      </c>
      <c r="S357" s="7" t="n"/>
      <c r="T357" s="7" t="n"/>
      <c r="V357" s="14" t="n"/>
      <c r="Z357">
        <f>IF($B357="","",IF(COUNTIF($B$2:$B357,$B357)=1,1,0))</f>
        <v/>
      </c>
      <c r="AA357">
        <f>IF($Z357=1,SUMPRODUCT(--($AC$2:$AC$3001&lt;$AC357))+1,"")</f>
        <v/>
      </c>
      <c r="AB357">
        <f>IF($B357="","",IF(OR($Y357=TRUE(),$Y357="TRUE"),1,IF(AND($Y357&lt;&gt;"",OR($Y357=FALSE(),$Y357="FALSE")),0,IF(MIN(ABS($X357/100-Settings!$C$6),ABS($X357/100-Settings!$G$6))&lt;=MIN(ABS($X357/100-Settings!$C$7),ABS($X357/100-Settings!$G$7)),1,0))))</f>
        <v/>
      </c>
      <c r="AC357">
        <f>IF($Z357=1,IFERROR(IF(VALUE($B357)&lt;100000000,VALUE($B357),1000000000),IFERROR(IF(VALUE(MID($B357,2,20))&lt;100000000,VALUE(MID($B357,2,20)),1000000000),1000000000))+ROW()/100000,"")</f>
        <v/>
      </c>
    </row>
    <row r="358">
      <c r="A358">
        <f>IF($B358="","",IFERROR(IF(INDEX('Per Invoice'!$A$2:$A$801,MATCH($B358,'Per Invoice'!$B$2:$B$801,0))=0,"",INDEX('Per Invoice'!$A$2:$A$801,MATCH($B358,'Per Invoice'!$B$2:$B$801,0))),""))</f>
        <v/>
      </c>
      <c r="J358" s="7">
        <f>IF($B358="","",I358*Q358/100)</f>
        <v/>
      </c>
      <c r="N358" s="7" t="n"/>
      <c r="O358" s="7" t="n"/>
      <c r="P358" s="7">
        <f>IF($B358="","",O358*X358/100)</f>
        <v/>
      </c>
      <c r="Q358" s="7">
        <f>IF($B358="","",O358-P358)</f>
        <v/>
      </c>
      <c r="R358" s="7">
        <f>IF($B358="","",Q358-J358)</f>
        <v/>
      </c>
      <c r="S358" s="7" t="n"/>
      <c r="T358" s="7" t="n"/>
      <c r="V358" s="14" t="n"/>
      <c r="Z358">
        <f>IF($B358="","",IF(COUNTIF($B$2:$B358,$B358)=1,1,0))</f>
        <v/>
      </c>
      <c r="AA358">
        <f>IF($Z358=1,SUMPRODUCT(--($AC$2:$AC$3001&lt;$AC358))+1,"")</f>
        <v/>
      </c>
      <c r="AB358">
        <f>IF($B358="","",IF(OR($Y358=TRUE(),$Y358="TRUE"),1,IF(AND($Y358&lt;&gt;"",OR($Y358=FALSE(),$Y358="FALSE")),0,IF(MIN(ABS($X358/100-Settings!$C$6),ABS($X358/100-Settings!$G$6))&lt;=MIN(ABS($X358/100-Settings!$C$7),ABS($X358/100-Settings!$G$7)),1,0))))</f>
        <v/>
      </c>
      <c r="AC358">
        <f>IF($Z358=1,IFERROR(IF(VALUE($B358)&lt;100000000,VALUE($B358),1000000000),IFERROR(IF(VALUE(MID($B358,2,20))&lt;100000000,VALUE(MID($B358,2,20)),1000000000),1000000000))+ROW()/100000,"")</f>
        <v/>
      </c>
    </row>
    <row r="359">
      <c r="A359">
        <f>IF($B359="","",IFERROR(IF(INDEX('Per Invoice'!$A$2:$A$801,MATCH($B359,'Per Invoice'!$B$2:$B$801,0))=0,"",INDEX('Per Invoice'!$A$2:$A$801,MATCH($B359,'Per Invoice'!$B$2:$B$801,0))),""))</f>
        <v/>
      </c>
      <c r="J359" s="7">
        <f>IF($B359="","",I359*Q359/100)</f>
        <v/>
      </c>
      <c r="N359" s="7" t="n"/>
      <c r="O359" s="7" t="n"/>
      <c r="P359" s="7">
        <f>IF($B359="","",O359*X359/100)</f>
        <v/>
      </c>
      <c r="Q359" s="7">
        <f>IF($B359="","",O359-P359)</f>
        <v/>
      </c>
      <c r="R359" s="7">
        <f>IF($B359="","",Q359-J359)</f>
        <v/>
      </c>
      <c r="S359" s="7" t="n"/>
      <c r="T359" s="7" t="n"/>
      <c r="V359" s="14" t="n"/>
      <c r="Z359">
        <f>IF($B359="","",IF(COUNTIF($B$2:$B359,$B359)=1,1,0))</f>
        <v/>
      </c>
      <c r="AA359">
        <f>IF($Z359=1,SUMPRODUCT(--($AC$2:$AC$3001&lt;$AC359))+1,"")</f>
        <v/>
      </c>
      <c r="AB359">
        <f>IF($B359="","",IF(OR($Y359=TRUE(),$Y359="TRUE"),1,IF(AND($Y359&lt;&gt;"",OR($Y359=FALSE(),$Y359="FALSE")),0,IF(MIN(ABS($X359/100-Settings!$C$6),ABS($X359/100-Settings!$G$6))&lt;=MIN(ABS($X359/100-Settings!$C$7),ABS($X359/100-Settings!$G$7)),1,0))))</f>
        <v/>
      </c>
      <c r="AC359">
        <f>IF($Z359=1,IFERROR(IF(VALUE($B359)&lt;100000000,VALUE($B359),1000000000),IFERROR(IF(VALUE(MID($B359,2,20))&lt;100000000,VALUE(MID($B359,2,20)),1000000000),1000000000))+ROW()/100000,"")</f>
        <v/>
      </c>
    </row>
    <row r="360">
      <c r="A360">
        <f>IF($B360="","",IFERROR(IF(INDEX('Per Invoice'!$A$2:$A$801,MATCH($B360,'Per Invoice'!$B$2:$B$801,0))=0,"",INDEX('Per Invoice'!$A$2:$A$801,MATCH($B360,'Per Invoice'!$B$2:$B$801,0))),""))</f>
        <v/>
      </c>
      <c r="J360" s="7">
        <f>IF($B360="","",I360*Q360/100)</f>
        <v/>
      </c>
      <c r="N360" s="7" t="n"/>
      <c r="O360" s="7" t="n"/>
      <c r="P360" s="7">
        <f>IF($B360="","",O360*X360/100)</f>
        <v/>
      </c>
      <c r="Q360" s="7">
        <f>IF($B360="","",O360-P360)</f>
        <v/>
      </c>
      <c r="R360" s="7">
        <f>IF($B360="","",Q360-J360)</f>
        <v/>
      </c>
      <c r="S360" s="7" t="n"/>
      <c r="T360" s="7" t="n"/>
      <c r="V360" s="14" t="n"/>
      <c r="Z360">
        <f>IF($B360="","",IF(COUNTIF($B$2:$B360,$B360)=1,1,0))</f>
        <v/>
      </c>
      <c r="AA360">
        <f>IF($Z360=1,SUMPRODUCT(--($AC$2:$AC$3001&lt;$AC360))+1,"")</f>
        <v/>
      </c>
      <c r="AB360">
        <f>IF($B360="","",IF(OR($Y360=TRUE(),$Y360="TRUE"),1,IF(AND($Y360&lt;&gt;"",OR($Y360=FALSE(),$Y360="FALSE")),0,IF(MIN(ABS($X360/100-Settings!$C$6),ABS($X360/100-Settings!$G$6))&lt;=MIN(ABS($X360/100-Settings!$C$7),ABS($X360/100-Settings!$G$7)),1,0))))</f>
        <v/>
      </c>
      <c r="AC360">
        <f>IF($Z360=1,IFERROR(IF(VALUE($B360)&lt;100000000,VALUE($B360),1000000000),IFERROR(IF(VALUE(MID($B360,2,20))&lt;100000000,VALUE(MID($B360,2,20)),1000000000),1000000000))+ROW()/100000,"")</f>
        <v/>
      </c>
    </row>
    <row r="361">
      <c r="A361">
        <f>IF($B361="","",IFERROR(IF(INDEX('Per Invoice'!$A$2:$A$801,MATCH($B361,'Per Invoice'!$B$2:$B$801,0))=0,"",INDEX('Per Invoice'!$A$2:$A$801,MATCH($B361,'Per Invoice'!$B$2:$B$801,0))),""))</f>
        <v/>
      </c>
      <c r="J361" s="7">
        <f>IF($B361="","",I361*Q361/100)</f>
        <v/>
      </c>
      <c r="N361" s="7" t="n"/>
      <c r="O361" s="7" t="n"/>
      <c r="P361" s="7">
        <f>IF($B361="","",O361*X361/100)</f>
        <v/>
      </c>
      <c r="Q361" s="7">
        <f>IF($B361="","",O361-P361)</f>
        <v/>
      </c>
      <c r="R361" s="7">
        <f>IF($B361="","",Q361-J361)</f>
        <v/>
      </c>
      <c r="S361" s="7" t="n"/>
      <c r="T361" s="7" t="n"/>
      <c r="V361" s="14" t="n"/>
      <c r="Z361">
        <f>IF($B361="","",IF(COUNTIF($B$2:$B361,$B361)=1,1,0))</f>
        <v/>
      </c>
      <c r="AA361">
        <f>IF($Z361=1,SUMPRODUCT(--($AC$2:$AC$3001&lt;$AC361))+1,"")</f>
        <v/>
      </c>
      <c r="AB361">
        <f>IF($B361="","",IF(OR($Y361=TRUE(),$Y361="TRUE"),1,IF(AND($Y361&lt;&gt;"",OR($Y361=FALSE(),$Y361="FALSE")),0,IF(MIN(ABS($X361/100-Settings!$C$6),ABS($X361/100-Settings!$G$6))&lt;=MIN(ABS($X361/100-Settings!$C$7),ABS($X361/100-Settings!$G$7)),1,0))))</f>
        <v/>
      </c>
      <c r="AC361">
        <f>IF($Z361=1,IFERROR(IF(VALUE($B361)&lt;100000000,VALUE($B361),1000000000),IFERROR(IF(VALUE(MID($B361,2,20))&lt;100000000,VALUE(MID($B361,2,20)),1000000000),1000000000))+ROW()/100000,"")</f>
        <v/>
      </c>
    </row>
    <row r="362">
      <c r="A362">
        <f>IF($B362="","",IFERROR(IF(INDEX('Per Invoice'!$A$2:$A$801,MATCH($B362,'Per Invoice'!$B$2:$B$801,0))=0,"",INDEX('Per Invoice'!$A$2:$A$801,MATCH($B362,'Per Invoice'!$B$2:$B$801,0))),""))</f>
        <v/>
      </c>
      <c r="J362" s="7">
        <f>IF($B362="","",I362*Q362/100)</f>
        <v/>
      </c>
      <c r="N362" s="7" t="n"/>
      <c r="O362" s="7" t="n"/>
      <c r="P362" s="7">
        <f>IF($B362="","",O362*X362/100)</f>
        <v/>
      </c>
      <c r="Q362" s="7">
        <f>IF($B362="","",O362-P362)</f>
        <v/>
      </c>
      <c r="R362" s="7">
        <f>IF($B362="","",Q362-J362)</f>
        <v/>
      </c>
      <c r="S362" s="7" t="n"/>
      <c r="T362" s="7" t="n"/>
      <c r="V362" s="14" t="n"/>
      <c r="Z362">
        <f>IF($B362="","",IF(COUNTIF($B$2:$B362,$B362)=1,1,0))</f>
        <v/>
      </c>
      <c r="AA362">
        <f>IF($Z362=1,SUMPRODUCT(--($AC$2:$AC$3001&lt;$AC362))+1,"")</f>
        <v/>
      </c>
      <c r="AB362">
        <f>IF($B362="","",IF(OR($Y362=TRUE(),$Y362="TRUE"),1,IF(AND($Y362&lt;&gt;"",OR($Y362=FALSE(),$Y362="FALSE")),0,IF(MIN(ABS($X362/100-Settings!$C$6),ABS($X362/100-Settings!$G$6))&lt;=MIN(ABS($X362/100-Settings!$C$7),ABS($X362/100-Settings!$G$7)),1,0))))</f>
        <v/>
      </c>
      <c r="AC362">
        <f>IF($Z362=1,IFERROR(IF(VALUE($B362)&lt;100000000,VALUE($B362),1000000000),IFERROR(IF(VALUE(MID($B362,2,20))&lt;100000000,VALUE(MID($B362,2,20)),1000000000),1000000000))+ROW()/100000,"")</f>
        <v/>
      </c>
    </row>
    <row r="363">
      <c r="A363">
        <f>IF($B363="","",IFERROR(IF(INDEX('Per Invoice'!$A$2:$A$801,MATCH($B363,'Per Invoice'!$B$2:$B$801,0))=0,"",INDEX('Per Invoice'!$A$2:$A$801,MATCH($B363,'Per Invoice'!$B$2:$B$801,0))),""))</f>
        <v/>
      </c>
      <c r="J363" s="7">
        <f>IF($B363="","",I363*Q363/100)</f>
        <v/>
      </c>
      <c r="N363" s="7" t="n"/>
      <c r="O363" s="7" t="n"/>
      <c r="P363" s="7">
        <f>IF($B363="","",O363*X363/100)</f>
        <v/>
      </c>
      <c r="Q363" s="7">
        <f>IF($B363="","",O363-P363)</f>
        <v/>
      </c>
      <c r="R363" s="7">
        <f>IF($B363="","",Q363-J363)</f>
        <v/>
      </c>
      <c r="S363" s="7" t="n"/>
      <c r="T363" s="7" t="n"/>
      <c r="V363" s="14" t="n"/>
      <c r="Z363">
        <f>IF($B363="","",IF(COUNTIF($B$2:$B363,$B363)=1,1,0))</f>
        <v/>
      </c>
      <c r="AA363">
        <f>IF($Z363=1,SUMPRODUCT(--($AC$2:$AC$3001&lt;$AC363))+1,"")</f>
        <v/>
      </c>
      <c r="AB363">
        <f>IF($B363="","",IF(OR($Y363=TRUE(),$Y363="TRUE"),1,IF(AND($Y363&lt;&gt;"",OR($Y363=FALSE(),$Y363="FALSE")),0,IF(MIN(ABS($X363/100-Settings!$C$6),ABS($X363/100-Settings!$G$6))&lt;=MIN(ABS($X363/100-Settings!$C$7),ABS($X363/100-Settings!$G$7)),1,0))))</f>
        <v/>
      </c>
      <c r="AC363">
        <f>IF($Z363=1,IFERROR(IF(VALUE($B363)&lt;100000000,VALUE($B363),1000000000),IFERROR(IF(VALUE(MID($B363,2,20))&lt;100000000,VALUE(MID($B363,2,20)),1000000000),1000000000))+ROW()/100000,"")</f>
        <v/>
      </c>
    </row>
    <row r="364">
      <c r="A364">
        <f>IF($B364="","",IFERROR(IF(INDEX('Per Invoice'!$A$2:$A$801,MATCH($B364,'Per Invoice'!$B$2:$B$801,0))=0,"",INDEX('Per Invoice'!$A$2:$A$801,MATCH($B364,'Per Invoice'!$B$2:$B$801,0))),""))</f>
        <v/>
      </c>
      <c r="J364" s="7">
        <f>IF($B364="","",I364*Q364/100)</f>
        <v/>
      </c>
      <c r="N364" s="7" t="n"/>
      <c r="O364" s="7" t="n"/>
      <c r="P364" s="7">
        <f>IF($B364="","",O364*X364/100)</f>
        <v/>
      </c>
      <c r="Q364" s="7">
        <f>IF($B364="","",O364-P364)</f>
        <v/>
      </c>
      <c r="R364" s="7">
        <f>IF($B364="","",Q364-J364)</f>
        <v/>
      </c>
      <c r="S364" s="7" t="n"/>
      <c r="T364" s="7" t="n"/>
      <c r="V364" s="14" t="n"/>
      <c r="Z364">
        <f>IF($B364="","",IF(COUNTIF($B$2:$B364,$B364)=1,1,0))</f>
        <v/>
      </c>
      <c r="AA364">
        <f>IF($Z364=1,SUMPRODUCT(--($AC$2:$AC$3001&lt;$AC364))+1,"")</f>
        <v/>
      </c>
      <c r="AB364">
        <f>IF($B364="","",IF(OR($Y364=TRUE(),$Y364="TRUE"),1,IF(AND($Y364&lt;&gt;"",OR($Y364=FALSE(),$Y364="FALSE")),0,IF(MIN(ABS($X364/100-Settings!$C$6),ABS($X364/100-Settings!$G$6))&lt;=MIN(ABS($X364/100-Settings!$C$7),ABS($X364/100-Settings!$G$7)),1,0))))</f>
        <v/>
      </c>
      <c r="AC364">
        <f>IF($Z364=1,IFERROR(IF(VALUE($B364)&lt;100000000,VALUE($B364),1000000000),IFERROR(IF(VALUE(MID($B364,2,20))&lt;100000000,VALUE(MID($B364,2,20)),1000000000),1000000000))+ROW()/100000,"")</f>
        <v/>
      </c>
    </row>
    <row r="365">
      <c r="A365">
        <f>IF($B365="","",IFERROR(IF(INDEX('Per Invoice'!$A$2:$A$801,MATCH($B365,'Per Invoice'!$B$2:$B$801,0))=0,"",INDEX('Per Invoice'!$A$2:$A$801,MATCH($B365,'Per Invoice'!$B$2:$B$801,0))),""))</f>
        <v/>
      </c>
      <c r="J365" s="7">
        <f>IF($B365="","",I365*Q365/100)</f>
        <v/>
      </c>
      <c r="N365" s="7" t="n"/>
      <c r="O365" s="7" t="n"/>
      <c r="P365" s="7">
        <f>IF($B365="","",O365*X365/100)</f>
        <v/>
      </c>
      <c r="Q365" s="7">
        <f>IF($B365="","",O365-P365)</f>
        <v/>
      </c>
      <c r="R365" s="7">
        <f>IF($B365="","",Q365-J365)</f>
        <v/>
      </c>
      <c r="S365" s="7" t="n"/>
      <c r="T365" s="7" t="n"/>
      <c r="V365" s="14" t="n"/>
      <c r="Z365">
        <f>IF($B365="","",IF(COUNTIF($B$2:$B365,$B365)=1,1,0))</f>
        <v/>
      </c>
      <c r="AA365">
        <f>IF($Z365=1,SUMPRODUCT(--($AC$2:$AC$3001&lt;$AC365))+1,"")</f>
        <v/>
      </c>
      <c r="AB365">
        <f>IF($B365="","",IF(OR($Y365=TRUE(),$Y365="TRUE"),1,IF(AND($Y365&lt;&gt;"",OR($Y365=FALSE(),$Y365="FALSE")),0,IF(MIN(ABS($X365/100-Settings!$C$6),ABS($X365/100-Settings!$G$6))&lt;=MIN(ABS($X365/100-Settings!$C$7),ABS($X365/100-Settings!$G$7)),1,0))))</f>
        <v/>
      </c>
      <c r="AC365">
        <f>IF($Z365=1,IFERROR(IF(VALUE($B365)&lt;100000000,VALUE($B365),1000000000),IFERROR(IF(VALUE(MID($B365,2,20))&lt;100000000,VALUE(MID($B365,2,20)),1000000000),1000000000))+ROW()/100000,"")</f>
        <v/>
      </c>
    </row>
    <row r="366">
      <c r="A366">
        <f>IF($B366="","",IFERROR(IF(INDEX('Per Invoice'!$A$2:$A$801,MATCH($B366,'Per Invoice'!$B$2:$B$801,0))=0,"",INDEX('Per Invoice'!$A$2:$A$801,MATCH($B366,'Per Invoice'!$B$2:$B$801,0))),""))</f>
        <v/>
      </c>
      <c r="J366" s="7">
        <f>IF($B366="","",I366*Q366/100)</f>
        <v/>
      </c>
      <c r="N366" s="7" t="n"/>
      <c r="O366" s="7" t="n"/>
      <c r="P366" s="7">
        <f>IF($B366="","",O366*X366/100)</f>
        <v/>
      </c>
      <c r="Q366" s="7">
        <f>IF($B366="","",O366-P366)</f>
        <v/>
      </c>
      <c r="R366" s="7">
        <f>IF($B366="","",Q366-J366)</f>
        <v/>
      </c>
      <c r="S366" s="7" t="n"/>
      <c r="T366" s="7" t="n"/>
      <c r="V366" s="14" t="n"/>
      <c r="Z366">
        <f>IF($B366="","",IF(COUNTIF($B$2:$B366,$B366)=1,1,0))</f>
        <v/>
      </c>
      <c r="AA366">
        <f>IF($Z366=1,SUMPRODUCT(--($AC$2:$AC$3001&lt;$AC366))+1,"")</f>
        <v/>
      </c>
      <c r="AB366">
        <f>IF($B366="","",IF(OR($Y366=TRUE(),$Y366="TRUE"),1,IF(AND($Y366&lt;&gt;"",OR($Y366=FALSE(),$Y366="FALSE")),0,IF(MIN(ABS($X366/100-Settings!$C$6),ABS($X366/100-Settings!$G$6))&lt;=MIN(ABS($X366/100-Settings!$C$7),ABS($X366/100-Settings!$G$7)),1,0))))</f>
        <v/>
      </c>
      <c r="AC366">
        <f>IF($Z366=1,IFERROR(IF(VALUE($B366)&lt;100000000,VALUE($B366),1000000000),IFERROR(IF(VALUE(MID($B366,2,20))&lt;100000000,VALUE(MID($B366,2,20)),1000000000),1000000000))+ROW()/100000,"")</f>
        <v/>
      </c>
    </row>
    <row r="367">
      <c r="A367">
        <f>IF($B367="","",IFERROR(IF(INDEX('Per Invoice'!$A$2:$A$801,MATCH($B367,'Per Invoice'!$B$2:$B$801,0))=0,"",INDEX('Per Invoice'!$A$2:$A$801,MATCH($B367,'Per Invoice'!$B$2:$B$801,0))),""))</f>
        <v/>
      </c>
      <c r="J367" s="7">
        <f>IF($B367="","",I367*Q367/100)</f>
        <v/>
      </c>
      <c r="N367" s="7" t="n"/>
      <c r="O367" s="7" t="n"/>
      <c r="P367" s="7">
        <f>IF($B367="","",O367*X367/100)</f>
        <v/>
      </c>
      <c r="Q367" s="7">
        <f>IF($B367="","",O367-P367)</f>
        <v/>
      </c>
      <c r="R367" s="7">
        <f>IF($B367="","",Q367-J367)</f>
        <v/>
      </c>
      <c r="S367" s="7" t="n"/>
      <c r="T367" s="7" t="n"/>
      <c r="V367" s="14" t="n"/>
      <c r="Z367">
        <f>IF($B367="","",IF(COUNTIF($B$2:$B367,$B367)=1,1,0))</f>
        <v/>
      </c>
      <c r="AA367">
        <f>IF($Z367=1,SUMPRODUCT(--($AC$2:$AC$3001&lt;$AC367))+1,"")</f>
        <v/>
      </c>
      <c r="AB367">
        <f>IF($B367="","",IF(OR($Y367=TRUE(),$Y367="TRUE"),1,IF(AND($Y367&lt;&gt;"",OR($Y367=FALSE(),$Y367="FALSE")),0,IF(MIN(ABS($X367/100-Settings!$C$6),ABS($X367/100-Settings!$G$6))&lt;=MIN(ABS($X367/100-Settings!$C$7),ABS($X367/100-Settings!$G$7)),1,0))))</f>
        <v/>
      </c>
      <c r="AC367">
        <f>IF($Z367=1,IFERROR(IF(VALUE($B367)&lt;100000000,VALUE($B367),1000000000),IFERROR(IF(VALUE(MID($B367,2,20))&lt;100000000,VALUE(MID($B367,2,20)),1000000000),1000000000))+ROW()/100000,"")</f>
        <v/>
      </c>
    </row>
    <row r="368">
      <c r="A368">
        <f>IF($B368="","",IFERROR(IF(INDEX('Per Invoice'!$A$2:$A$801,MATCH($B368,'Per Invoice'!$B$2:$B$801,0))=0,"",INDEX('Per Invoice'!$A$2:$A$801,MATCH($B368,'Per Invoice'!$B$2:$B$801,0))),""))</f>
        <v/>
      </c>
      <c r="J368" s="7">
        <f>IF($B368="","",I368*Q368/100)</f>
        <v/>
      </c>
      <c r="N368" s="7" t="n"/>
      <c r="O368" s="7" t="n"/>
      <c r="P368" s="7">
        <f>IF($B368="","",O368*X368/100)</f>
        <v/>
      </c>
      <c r="Q368" s="7">
        <f>IF($B368="","",O368-P368)</f>
        <v/>
      </c>
      <c r="R368" s="7">
        <f>IF($B368="","",Q368-J368)</f>
        <v/>
      </c>
      <c r="S368" s="7" t="n"/>
      <c r="T368" s="7" t="n"/>
      <c r="V368" s="14" t="n"/>
      <c r="Z368">
        <f>IF($B368="","",IF(COUNTIF($B$2:$B368,$B368)=1,1,0))</f>
        <v/>
      </c>
      <c r="AA368">
        <f>IF($Z368=1,SUMPRODUCT(--($AC$2:$AC$3001&lt;$AC368))+1,"")</f>
        <v/>
      </c>
      <c r="AB368">
        <f>IF($B368="","",IF(OR($Y368=TRUE(),$Y368="TRUE"),1,IF(AND($Y368&lt;&gt;"",OR($Y368=FALSE(),$Y368="FALSE")),0,IF(MIN(ABS($X368/100-Settings!$C$6),ABS($X368/100-Settings!$G$6))&lt;=MIN(ABS($X368/100-Settings!$C$7),ABS($X368/100-Settings!$G$7)),1,0))))</f>
        <v/>
      </c>
      <c r="AC368">
        <f>IF($Z368=1,IFERROR(IF(VALUE($B368)&lt;100000000,VALUE($B368),1000000000),IFERROR(IF(VALUE(MID($B368,2,20))&lt;100000000,VALUE(MID($B368,2,20)),1000000000),1000000000))+ROW()/100000,"")</f>
        <v/>
      </c>
    </row>
    <row r="369">
      <c r="A369">
        <f>IF($B369="","",IFERROR(IF(INDEX('Per Invoice'!$A$2:$A$801,MATCH($B369,'Per Invoice'!$B$2:$B$801,0))=0,"",INDEX('Per Invoice'!$A$2:$A$801,MATCH($B369,'Per Invoice'!$B$2:$B$801,0))),""))</f>
        <v/>
      </c>
      <c r="J369" s="7">
        <f>IF($B369="","",I369*Q369/100)</f>
        <v/>
      </c>
      <c r="N369" s="7" t="n"/>
      <c r="O369" s="7" t="n"/>
      <c r="P369" s="7">
        <f>IF($B369="","",O369*X369/100)</f>
        <v/>
      </c>
      <c r="Q369" s="7">
        <f>IF($B369="","",O369-P369)</f>
        <v/>
      </c>
      <c r="R369" s="7">
        <f>IF($B369="","",Q369-J369)</f>
        <v/>
      </c>
      <c r="S369" s="7" t="n"/>
      <c r="T369" s="7" t="n"/>
      <c r="V369" s="14" t="n"/>
      <c r="Z369">
        <f>IF($B369="","",IF(COUNTIF($B$2:$B369,$B369)=1,1,0))</f>
        <v/>
      </c>
      <c r="AA369">
        <f>IF($Z369=1,SUMPRODUCT(--($AC$2:$AC$3001&lt;$AC369))+1,"")</f>
        <v/>
      </c>
      <c r="AB369">
        <f>IF($B369="","",IF(OR($Y369=TRUE(),$Y369="TRUE"),1,IF(AND($Y369&lt;&gt;"",OR($Y369=FALSE(),$Y369="FALSE")),0,IF(MIN(ABS($X369/100-Settings!$C$6),ABS($X369/100-Settings!$G$6))&lt;=MIN(ABS($X369/100-Settings!$C$7),ABS($X369/100-Settings!$G$7)),1,0))))</f>
        <v/>
      </c>
      <c r="AC369">
        <f>IF($Z369=1,IFERROR(IF(VALUE($B369)&lt;100000000,VALUE($B369),1000000000),IFERROR(IF(VALUE(MID($B369,2,20))&lt;100000000,VALUE(MID($B369,2,20)),1000000000),1000000000))+ROW()/100000,"")</f>
        <v/>
      </c>
    </row>
    <row r="370">
      <c r="A370">
        <f>IF($B370="","",IFERROR(IF(INDEX('Per Invoice'!$A$2:$A$801,MATCH($B370,'Per Invoice'!$B$2:$B$801,0))=0,"",INDEX('Per Invoice'!$A$2:$A$801,MATCH($B370,'Per Invoice'!$B$2:$B$801,0))),""))</f>
        <v/>
      </c>
      <c r="J370" s="7">
        <f>IF($B370="","",I370*Q370/100)</f>
        <v/>
      </c>
      <c r="N370" s="7" t="n"/>
      <c r="O370" s="7" t="n"/>
      <c r="P370" s="7">
        <f>IF($B370="","",O370*X370/100)</f>
        <v/>
      </c>
      <c r="Q370" s="7">
        <f>IF($B370="","",O370-P370)</f>
        <v/>
      </c>
      <c r="R370" s="7">
        <f>IF($B370="","",Q370-J370)</f>
        <v/>
      </c>
      <c r="S370" s="7" t="n"/>
      <c r="T370" s="7" t="n"/>
      <c r="V370" s="14" t="n"/>
      <c r="Z370">
        <f>IF($B370="","",IF(COUNTIF($B$2:$B370,$B370)=1,1,0))</f>
        <v/>
      </c>
      <c r="AA370">
        <f>IF($Z370=1,SUMPRODUCT(--($AC$2:$AC$3001&lt;$AC370))+1,"")</f>
        <v/>
      </c>
      <c r="AB370">
        <f>IF($B370="","",IF(OR($Y370=TRUE(),$Y370="TRUE"),1,IF(AND($Y370&lt;&gt;"",OR($Y370=FALSE(),$Y370="FALSE")),0,IF(MIN(ABS($X370/100-Settings!$C$6),ABS($X370/100-Settings!$G$6))&lt;=MIN(ABS($X370/100-Settings!$C$7),ABS($X370/100-Settings!$G$7)),1,0))))</f>
        <v/>
      </c>
      <c r="AC370">
        <f>IF($Z370=1,IFERROR(IF(VALUE($B370)&lt;100000000,VALUE($B370),1000000000),IFERROR(IF(VALUE(MID($B370,2,20))&lt;100000000,VALUE(MID($B370,2,20)),1000000000),1000000000))+ROW()/100000,"")</f>
        <v/>
      </c>
    </row>
    <row r="371">
      <c r="A371">
        <f>IF($B371="","",IFERROR(IF(INDEX('Per Invoice'!$A$2:$A$801,MATCH($B371,'Per Invoice'!$B$2:$B$801,0))=0,"",INDEX('Per Invoice'!$A$2:$A$801,MATCH($B371,'Per Invoice'!$B$2:$B$801,0))),""))</f>
        <v/>
      </c>
      <c r="J371" s="7">
        <f>IF($B371="","",I371*Q371/100)</f>
        <v/>
      </c>
      <c r="N371" s="7" t="n"/>
      <c r="O371" s="7" t="n"/>
      <c r="P371" s="7">
        <f>IF($B371="","",O371*X371/100)</f>
        <v/>
      </c>
      <c r="Q371" s="7">
        <f>IF($B371="","",O371-P371)</f>
        <v/>
      </c>
      <c r="R371" s="7">
        <f>IF($B371="","",Q371-J371)</f>
        <v/>
      </c>
      <c r="S371" s="7" t="n"/>
      <c r="T371" s="7" t="n"/>
      <c r="V371" s="14" t="n"/>
      <c r="Z371">
        <f>IF($B371="","",IF(COUNTIF($B$2:$B371,$B371)=1,1,0))</f>
        <v/>
      </c>
      <c r="AA371">
        <f>IF($Z371=1,SUMPRODUCT(--($AC$2:$AC$3001&lt;$AC371))+1,"")</f>
        <v/>
      </c>
      <c r="AB371">
        <f>IF($B371="","",IF(OR($Y371=TRUE(),$Y371="TRUE"),1,IF(AND($Y371&lt;&gt;"",OR($Y371=FALSE(),$Y371="FALSE")),0,IF(MIN(ABS($X371/100-Settings!$C$6),ABS($X371/100-Settings!$G$6))&lt;=MIN(ABS($X371/100-Settings!$C$7),ABS($X371/100-Settings!$G$7)),1,0))))</f>
        <v/>
      </c>
      <c r="AC371">
        <f>IF($Z371=1,IFERROR(IF(VALUE($B371)&lt;100000000,VALUE($B371),1000000000),IFERROR(IF(VALUE(MID($B371,2,20))&lt;100000000,VALUE(MID($B371,2,20)),1000000000),1000000000))+ROW()/100000,"")</f>
        <v/>
      </c>
    </row>
    <row r="372">
      <c r="A372">
        <f>IF($B372="","",IFERROR(IF(INDEX('Per Invoice'!$A$2:$A$801,MATCH($B372,'Per Invoice'!$B$2:$B$801,0))=0,"",INDEX('Per Invoice'!$A$2:$A$801,MATCH($B372,'Per Invoice'!$B$2:$B$801,0))),""))</f>
        <v/>
      </c>
      <c r="J372" s="7">
        <f>IF($B372="","",I372*Q372/100)</f>
        <v/>
      </c>
      <c r="N372" s="7" t="n"/>
      <c r="O372" s="7" t="n"/>
      <c r="P372" s="7">
        <f>IF($B372="","",O372*X372/100)</f>
        <v/>
      </c>
      <c r="Q372" s="7">
        <f>IF($B372="","",O372-P372)</f>
        <v/>
      </c>
      <c r="R372" s="7">
        <f>IF($B372="","",Q372-J372)</f>
        <v/>
      </c>
      <c r="S372" s="7" t="n"/>
      <c r="T372" s="7" t="n"/>
      <c r="V372" s="14" t="n"/>
      <c r="Z372">
        <f>IF($B372="","",IF(COUNTIF($B$2:$B372,$B372)=1,1,0))</f>
        <v/>
      </c>
      <c r="AA372">
        <f>IF($Z372=1,SUMPRODUCT(--($AC$2:$AC$3001&lt;$AC372))+1,"")</f>
        <v/>
      </c>
      <c r="AB372">
        <f>IF($B372="","",IF(OR($Y372=TRUE(),$Y372="TRUE"),1,IF(AND($Y372&lt;&gt;"",OR($Y372=FALSE(),$Y372="FALSE")),0,IF(MIN(ABS($X372/100-Settings!$C$6),ABS($X372/100-Settings!$G$6))&lt;=MIN(ABS($X372/100-Settings!$C$7),ABS($X372/100-Settings!$G$7)),1,0))))</f>
        <v/>
      </c>
      <c r="AC372">
        <f>IF($Z372=1,IFERROR(IF(VALUE($B372)&lt;100000000,VALUE($B372),1000000000),IFERROR(IF(VALUE(MID($B372,2,20))&lt;100000000,VALUE(MID($B372,2,20)),1000000000),1000000000))+ROW()/100000,"")</f>
        <v/>
      </c>
    </row>
    <row r="373">
      <c r="A373">
        <f>IF($B373="","",IFERROR(IF(INDEX('Per Invoice'!$A$2:$A$801,MATCH($B373,'Per Invoice'!$B$2:$B$801,0))=0,"",INDEX('Per Invoice'!$A$2:$A$801,MATCH($B373,'Per Invoice'!$B$2:$B$801,0))),""))</f>
        <v/>
      </c>
      <c r="J373" s="7">
        <f>IF($B373="","",I373*Q373/100)</f>
        <v/>
      </c>
      <c r="N373" s="7" t="n"/>
      <c r="O373" s="7" t="n"/>
      <c r="P373" s="7">
        <f>IF($B373="","",O373*X373/100)</f>
        <v/>
      </c>
      <c r="Q373" s="7">
        <f>IF($B373="","",O373-P373)</f>
        <v/>
      </c>
      <c r="R373" s="7">
        <f>IF($B373="","",Q373-J373)</f>
        <v/>
      </c>
      <c r="S373" s="7" t="n"/>
      <c r="T373" s="7" t="n"/>
      <c r="V373" s="14" t="n"/>
      <c r="Z373">
        <f>IF($B373="","",IF(COUNTIF($B$2:$B373,$B373)=1,1,0))</f>
        <v/>
      </c>
      <c r="AA373">
        <f>IF($Z373=1,SUMPRODUCT(--($AC$2:$AC$3001&lt;$AC373))+1,"")</f>
        <v/>
      </c>
      <c r="AB373">
        <f>IF($B373="","",IF(OR($Y373=TRUE(),$Y373="TRUE"),1,IF(AND($Y373&lt;&gt;"",OR($Y373=FALSE(),$Y373="FALSE")),0,IF(MIN(ABS($X373/100-Settings!$C$6),ABS($X373/100-Settings!$G$6))&lt;=MIN(ABS($X373/100-Settings!$C$7),ABS($X373/100-Settings!$G$7)),1,0))))</f>
        <v/>
      </c>
      <c r="AC373">
        <f>IF($Z373=1,IFERROR(IF(VALUE($B373)&lt;100000000,VALUE($B373),1000000000),IFERROR(IF(VALUE(MID($B373,2,20))&lt;100000000,VALUE(MID($B373,2,20)),1000000000),1000000000))+ROW()/100000,"")</f>
        <v/>
      </c>
    </row>
    <row r="374">
      <c r="A374">
        <f>IF($B374="","",IFERROR(IF(INDEX('Per Invoice'!$A$2:$A$801,MATCH($B374,'Per Invoice'!$B$2:$B$801,0))=0,"",INDEX('Per Invoice'!$A$2:$A$801,MATCH($B374,'Per Invoice'!$B$2:$B$801,0))),""))</f>
        <v/>
      </c>
      <c r="J374" s="7">
        <f>IF($B374="","",I374*Q374/100)</f>
        <v/>
      </c>
      <c r="N374" s="7" t="n"/>
      <c r="O374" s="7" t="n"/>
      <c r="P374" s="7">
        <f>IF($B374="","",O374*X374/100)</f>
        <v/>
      </c>
      <c r="Q374" s="7">
        <f>IF($B374="","",O374-P374)</f>
        <v/>
      </c>
      <c r="R374" s="7">
        <f>IF($B374="","",Q374-J374)</f>
        <v/>
      </c>
      <c r="S374" s="7" t="n"/>
      <c r="T374" s="7" t="n"/>
      <c r="V374" s="14" t="n"/>
      <c r="Z374">
        <f>IF($B374="","",IF(COUNTIF($B$2:$B374,$B374)=1,1,0))</f>
        <v/>
      </c>
      <c r="AA374">
        <f>IF($Z374=1,SUMPRODUCT(--($AC$2:$AC$3001&lt;$AC374))+1,"")</f>
        <v/>
      </c>
      <c r="AB374">
        <f>IF($B374="","",IF(OR($Y374=TRUE(),$Y374="TRUE"),1,IF(AND($Y374&lt;&gt;"",OR($Y374=FALSE(),$Y374="FALSE")),0,IF(MIN(ABS($X374/100-Settings!$C$6),ABS($X374/100-Settings!$G$6))&lt;=MIN(ABS($X374/100-Settings!$C$7),ABS($X374/100-Settings!$G$7)),1,0))))</f>
        <v/>
      </c>
      <c r="AC374">
        <f>IF($Z374=1,IFERROR(IF(VALUE($B374)&lt;100000000,VALUE($B374),1000000000),IFERROR(IF(VALUE(MID($B374,2,20))&lt;100000000,VALUE(MID($B374,2,20)),1000000000),1000000000))+ROW()/100000,"")</f>
        <v/>
      </c>
    </row>
    <row r="375">
      <c r="A375">
        <f>IF($B375="","",IFERROR(IF(INDEX('Per Invoice'!$A$2:$A$801,MATCH($B375,'Per Invoice'!$B$2:$B$801,0))=0,"",INDEX('Per Invoice'!$A$2:$A$801,MATCH($B375,'Per Invoice'!$B$2:$B$801,0))),""))</f>
        <v/>
      </c>
      <c r="J375" s="7">
        <f>IF($B375="","",I375*Q375/100)</f>
        <v/>
      </c>
      <c r="N375" s="7" t="n"/>
      <c r="O375" s="7" t="n"/>
      <c r="P375" s="7">
        <f>IF($B375="","",O375*X375/100)</f>
        <v/>
      </c>
      <c r="Q375" s="7">
        <f>IF($B375="","",O375-P375)</f>
        <v/>
      </c>
      <c r="R375" s="7">
        <f>IF($B375="","",Q375-J375)</f>
        <v/>
      </c>
      <c r="S375" s="7" t="n"/>
      <c r="T375" s="7" t="n"/>
      <c r="V375" s="14" t="n"/>
      <c r="Z375">
        <f>IF($B375="","",IF(COUNTIF($B$2:$B375,$B375)=1,1,0))</f>
        <v/>
      </c>
      <c r="AA375">
        <f>IF($Z375=1,SUMPRODUCT(--($AC$2:$AC$3001&lt;$AC375))+1,"")</f>
        <v/>
      </c>
      <c r="AB375">
        <f>IF($B375="","",IF(OR($Y375=TRUE(),$Y375="TRUE"),1,IF(AND($Y375&lt;&gt;"",OR($Y375=FALSE(),$Y375="FALSE")),0,IF(MIN(ABS($X375/100-Settings!$C$6),ABS($X375/100-Settings!$G$6))&lt;=MIN(ABS($X375/100-Settings!$C$7),ABS($X375/100-Settings!$G$7)),1,0))))</f>
        <v/>
      </c>
      <c r="AC375">
        <f>IF($Z375=1,IFERROR(IF(VALUE($B375)&lt;100000000,VALUE($B375),1000000000),IFERROR(IF(VALUE(MID($B375,2,20))&lt;100000000,VALUE(MID($B375,2,20)),1000000000),1000000000))+ROW()/100000,"")</f>
        <v/>
      </c>
    </row>
    <row r="376">
      <c r="A376">
        <f>IF($B376="","",IFERROR(IF(INDEX('Per Invoice'!$A$2:$A$801,MATCH($B376,'Per Invoice'!$B$2:$B$801,0))=0,"",INDEX('Per Invoice'!$A$2:$A$801,MATCH($B376,'Per Invoice'!$B$2:$B$801,0))),""))</f>
        <v/>
      </c>
      <c r="J376" s="7">
        <f>IF($B376="","",I376*Q376/100)</f>
        <v/>
      </c>
      <c r="N376" s="7" t="n"/>
      <c r="O376" s="7" t="n"/>
      <c r="P376" s="7">
        <f>IF($B376="","",O376*X376/100)</f>
        <v/>
      </c>
      <c r="Q376" s="7">
        <f>IF($B376="","",O376-P376)</f>
        <v/>
      </c>
      <c r="R376" s="7">
        <f>IF($B376="","",Q376-J376)</f>
        <v/>
      </c>
      <c r="S376" s="7" t="n"/>
      <c r="T376" s="7" t="n"/>
      <c r="V376" s="14" t="n"/>
      <c r="Z376">
        <f>IF($B376="","",IF(COUNTIF($B$2:$B376,$B376)=1,1,0))</f>
        <v/>
      </c>
      <c r="AA376">
        <f>IF($Z376=1,SUMPRODUCT(--($AC$2:$AC$3001&lt;$AC376))+1,"")</f>
        <v/>
      </c>
      <c r="AB376">
        <f>IF($B376="","",IF(OR($Y376=TRUE(),$Y376="TRUE"),1,IF(AND($Y376&lt;&gt;"",OR($Y376=FALSE(),$Y376="FALSE")),0,IF(MIN(ABS($X376/100-Settings!$C$6),ABS($X376/100-Settings!$G$6))&lt;=MIN(ABS($X376/100-Settings!$C$7),ABS($X376/100-Settings!$G$7)),1,0))))</f>
        <v/>
      </c>
      <c r="AC376">
        <f>IF($Z376=1,IFERROR(IF(VALUE($B376)&lt;100000000,VALUE($B376),1000000000),IFERROR(IF(VALUE(MID($B376,2,20))&lt;100000000,VALUE(MID($B376,2,20)),1000000000),1000000000))+ROW()/100000,"")</f>
        <v/>
      </c>
    </row>
    <row r="377">
      <c r="A377">
        <f>IF($B377="","",IFERROR(IF(INDEX('Per Invoice'!$A$2:$A$801,MATCH($B377,'Per Invoice'!$B$2:$B$801,0))=0,"",INDEX('Per Invoice'!$A$2:$A$801,MATCH($B377,'Per Invoice'!$B$2:$B$801,0))),""))</f>
        <v/>
      </c>
      <c r="J377" s="7">
        <f>IF($B377="","",I377*Q377/100)</f>
        <v/>
      </c>
      <c r="N377" s="7" t="n"/>
      <c r="O377" s="7" t="n"/>
      <c r="P377" s="7">
        <f>IF($B377="","",O377*X377/100)</f>
        <v/>
      </c>
      <c r="Q377" s="7">
        <f>IF($B377="","",O377-P377)</f>
        <v/>
      </c>
      <c r="R377" s="7">
        <f>IF($B377="","",Q377-J377)</f>
        <v/>
      </c>
      <c r="S377" s="7" t="n"/>
      <c r="T377" s="7" t="n"/>
      <c r="V377" s="14" t="n"/>
      <c r="Z377">
        <f>IF($B377="","",IF(COUNTIF($B$2:$B377,$B377)=1,1,0))</f>
        <v/>
      </c>
      <c r="AA377">
        <f>IF($Z377=1,SUMPRODUCT(--($AC$2:$AC$3001&lt;$AC377))+1,"")</f>
        <v/>
      </c>
      <c r="AB377">
        <f>IF($B377="","",IF(OR($Y377=TRUE(),$Y377="TRUE"),1,IF(AND($Y377&lt;&gt;"",OR($Y377=FALSE(),$Y377="FALSE")),0,IF(MIN(ABS($X377/100-Settings!$C$6),ABS($X377/100-Settings!$G$6))&lt;=MIN(ABS($X377/100-Settings!$C$7),ABS($X377/100-Settings!$G$7)),1,0))))</f>
        <v/>
      </c>
      <c r="AC377">
        <f>IF($Z377=1,IFERROR(IF(VALUE($B377)&lt;100000000,VALUE($B377),1000000000),IFERROR(IF(VALUE(MID($B377,2,20))&lt;100000000,VALUE(MID($B377,2,20)),1000000000),1000000000))+ROW()/100000,"")</f>
        <v/>
      </c>
    </row>
    <row r="378">
      <c r="A378">
        <f>IF($B378="","",IFERROR(IF(INDEX('Per Invoice'!$A$2:$A$801,MATCH($B378,'Per Invoice'!$B$2:$B$801,0))=0,"",INDEX('Per Invoice'!$A$2:$A$801,MATCH($B378,'Per Invoice'!$B$2:$B$801,0))),""))</f>
        <v/>
      </c>
      <c r="J378" s="7">
        <f>IF($B378="","",I378*Q378/100)</f>
        <v/>
      </c>
      <c r="N378" s="7" t="n"/>
      <c r="O378" s="7" t="n"/>
      <c r="P378" s="7">
        <f>IF($B378="","",O378*X378/100)</f>
        <v/>
      </c>
      <c r="Q378" s="7">
        <f>IF($B378="","",O378-P378)</f>
        <v/>
      </c>
      <c r="R378" s="7">
        <f>IF($B378="","",Q378-J378)</f>
        <v/>
      </c>
      <c r="S378" s="7" t="n"/>
      <c r="T378" s="7" t="n"/>
      <c r="V378" s="14" t="n"/>
      <c r="Z378">
        <f>IF($B378="","",IF(COUNTIF($B$2:$B378,$B378)=1,1,0))</f>
        <v/>
      </c>
      <c r="AA378">
        <f>IF($Z378=1,SUMPRODUCT(--($AC$2:$AC$3001&lt;$AC378))+1,"")</f>
        <v/>
      </c>
      <c r="AB378">
        <f>IF($B378="","",IF(OR($Y378=TRUE(),$Y378="TRUE"),1,IF(AND($Y378&lt;&gt;"",OR($Y378=FALSE(),$Y378="FALSE")),0,IF(MIN(ABS($X378/100-Settings!$C$6),ABS($X378/100-Settings!$G$6))&lt;=MIN(ABS($X378/100-Settings!$C$7),ABS($X378/100-Settings!$G$7)),1,0))))</f>
        <v/>
      </c>
      <c r="AC378">
        <f>IF($Z378=1,IFERROR(IF(VALUE($B378)&lt;100000000,VALUE($B378),1000000000),IFERROR(IF(VALUE(MID($B378,2,20))&lt;100000000,VALUE(MID($B378,2,20)),1000000000),1000000000))+ROW()/100000,"")</f>
        <v/>
      </c>
    </row>
    <row r="379">
      <c r="A379">
        <f>IF($B379="","",IFERROR(IF(INDEX('Per Invoice'!$A$2:$A$801,MATCH($B379,'Per Invoice'!$B$2:$B$801,0))=0,"",INDEX('Per Invoice'!$A$2:$A$801,MATCH($B379,'Per Invoice'!$B$2:$B$801,0))),""))</f>
        <v/>
      </c>
      <c r="J379" s="7">
        <f>IF($B379="","",I379*Q379/100)</f>
        <v/>
      </c>
      <c r="N379" s="7" t="n"/>
      <c r="O379" s="7" t="n"/>
      <c r="P379" s="7">
        <f>IF($B379="","",O379*X379/100)</f>
        <v/>
      </c>
      <c r="Q379" s="7">
        <f>IF($B379="","",O379-P379)</f>
        <v/>
      </c>
      <c r="R379" s="7">
        <f>IF($B379="","",Q379-J379)</f>
        <v/>
      </c>
      <c r="S379" s="7" t="n"/>
      <c r="T379" s="7" t="n"/>
      <c r="V379" s="14" t="n"/>
      <c r="Z379">
        <f>IF($B379="","",IF(COUNTIF($B$2:$B379,$B379)=1,1,0))</f>
        <v/>
      </c>
      <c r="AA379">
        <f>IF($Z379=1,SUMPRODUCT(--($AC$2:$AC$3001&lt;$AC379))+1,"")</f>
        <v/>
      </c>
      <c r="AB379">
        <f>IF($B379="","",IF(OR($Y379=TRUE(),$Y379="TRUE"),1,IF(AND($Y379&lt;&gt;"",OR($Y379=FALSE(),$Y379="FALSE")),0,IF(MIN(ABS($X379/100-Settings!$C$6),ABS($X379/100-Settings!$G$6))&lt;=MIN(ABS($X379/100-Settings!$C$7),ABS($X379/100-Settings!$G$7)),1,0))))</f>
        <v/>
      </c>
      <c r="AC379">
        <f>IF($Z379=1,IFERROR(IF(VALUE($B379)&lt;100000000,VALUE($B379),1000000000),IFERROR(IF(VALUE(MID($B379,2,20))&lt;100000000,VALUE(MID($B379,2,20)),1000000000),1000000000))+ROW()/100000,"")</f>
        <v/>
      </c>
    </row>
    <row r="380">
      <c r="A380">
        <f>IF($B380="","",IFERROR(IF(INDEX('Per Invoice'!$A$2:$A$801,MATCH($B380,'Per Invoice'!$B$2:$B$801,0))=0,"",INDEX('Per Invoice'!$A$2:$A$801,MATCH($B380,'Per Invoice'!$B$2:$B$801,0))),""))</f>
        <v/>
      </c>
      <c r="J380" s="7">
        <f>IF($B380="","",I380*Q380/100)</f>
        <v/>
      </c>
      <c r="N380" s="7" t="n"/>
      <c r="O380" s="7" t="n"/>
      <c r="P380" s="7">
        <f>IF($B380="","",O380*X380/100)</f>
        <v/>
      </c>
      <c r="Q380" s="7">
        <f>IF($B380="","",O380-P380)</f>
        <v/>
      </c>
      <c r="R380" s="7">
        <f>IF($B380="","",Q380-J380)</f>
        <v/>
      </c>
      <c r="S380" s="7" t="n"/>
      <c r="T380" s="7" t="n"/>
      <c r="V380" s="14" t="n"/>
      <c r="Z380">
        <f>IF($B380="","",IF(COUNTIF($B$2:$B380,$B380)=1,1,0))</f>
        <v/>
      </c>
      <c r="AA380">
        <f>IF($Z380=1,SUMPRODUCT(--($AC$2:$AC$3001&lt;$AC380))+1,"")</f>
        <v/>
      </c>
      <c r="AB380">
        <f>IF($B380="","",IF(OR($Y380=TRUE(),$Y380="TRUE"),1,IF(AND($Y380&lt;&gt;"",OR($Y380=FALSE(),$Y380="FALSE")),0,IF(MIN(ABS($X380/100-Settings!$C$6),ABS($X380/100-Settings!$G$6))&lt;=MIN(ABS($X380/100-Settings!$C$7),ABS($X380/100-Settings!$G$7)),1,0))))</f>
        <v/>
      </c>
      <c r="AC380">
        <f>IF($Z380=1,IFERROR(IF(VALUE($B380)&lt;100000000,VALUE($B380),1000000000),IFERROR(IF(VALUE(MID($B380,2,20))&lt;100000000,VALUE(MID($B380,2,20)),1000000000),1000000000))+ROW()/100000,"")</f>
        <v/>
      </c>
    </row>
    <row r="381">
      <c r="A381">
        <f>IF($B381="","",IFERROR(IF(INDEX('Per Invoice'!$A$2:$A$801,MATCH($B381,'Per Invoice'!$B$2:$B$801,0))=0,"",INDEX('Per Invoice'!$A$2:$A$801,MATCH($B381,'Per Invoice'!$B$2:$B$801,0))),""))</f>
        <v/>
      </c>
      <c r="J381" s="7">
        <f>IF($B381="","",I381*Q381/100)</f>
        <v/>
      </c>
      <c r="N381" s="7" t="n"/>
      <c r="O381" s="7" t="n"/>
      <c r="P381" s="7">
        <f>IF($B381="","",O381*X381/100)</f>
        <v/>
      </c>
      <c r="Q381" s="7">
        <f>IF($B381="","",O381-P381)</f>
        <v/>
      </c>
      <c r="R381" s="7">
        <f>IF($B381="","",Q381-J381)</f>
        <v/>
      </c>
      <c r="S381" s="7" t="n"/>
      <c r="T381" s="7" t="n"/>
      <c r="V381" s="14" t="n"/>
      <c r="Z381">
        <f>IF($B381="","",IF(COUNTIF($B$2:$B381,$B381)=1,1,0))</f>
        <v/>
      </c>
      <c r="AA381">
        <f>IF($Z381=1,SUMPRODUCT(--($AC$2:$AC$3001&lt;$AC381))+1,"")</f>
        <v/>
      </c>
      <c r="AB381">
        <f>IF($B381="","",IF(OR($Y381=TRUE(),$Y381="TRUE"),1,IF(AND($Y381&lt;&gt;"",OR($Y381=FALSE(),$Y381="FALSE")),0,IF(MIN(ABS($X381/100-Settings!$C$6),ABS($X381/100-Settings!$G$6))&lt;=MIN(ABS($X381/100-Settings!$C$7),ABS($X381/100-Settings!$G$7)),1,0))))</f>
        <v/>
      </c>
      <c r="AC381">
        <f>IF($Z381=1,IFERROR(IF(VALUE($B381)&lt;100000000,VALUE($B381),1000000000),IFERROR(IF(VALUE(MID($B381,2,20))&lt;100000000,VALUE(MID($B381,2,20)),1000000000),1000000000))+ROW()/100000,"")</f>
        <v/>
      </c>
    </row>
    <row r="382">
      <c r="A382">
        <f>IF($B382="","",IFERROR(IF(INDEX('Per Invoice'!$A$2:$A$801,MATCH($B382,'Per Invoice'!$B$2:$B$801,0))=0,"",INDEX('Per Invoice'!$A$2:$A$801,MATCH($B382,'Per Invoice'!$B$2:$B$801,0))),""))</f>
        <v/>
      </c>
      <c r="J382" s="7">
        <f>IF($B382="","",I382*Q382/100)</f>
        <v/>
      </c>
      <c r="N382" s="7" t="n"/>
      <c r="O382" s="7" t="n"/>
      <c r="P382" s="7">
        <f>IF($B382="","",O382*X382/100)</f>
        <v/>
      </c>
      <c r="Q382" s="7">
        <f>IF($B382="","",O382-P382)</f>
        <v/>
      </c>
      <c r="R382" s="7">
        <f>IF($B382="","",Q382-J382)</f>
        <v/>
      </c>
      <c r="S382" s="7" t="n"/>
      <c r="T382" s="7" t="n"/>
      <c r="V382" s="14" t="n"/>
      <c r="Z382">
        <f>IF($B382="","",IF(COUNTIF($B$2:$B382,$B382)=1,1,0))</f>
        <v/>
      </c>
      <c r="AA382">
        <f>IF($Z382=1,SUMPRODUCT(--($AC$2:$AC$3001&lt;$AC382))+1,"")</f>
        <v/>
      </c>
      <c r="AB382">
        <f>IF($B382="","",IF(OR($Y382=TRUE(),$Y382="TRUE"),1,IF(AND($Y382&lt;&gt;"",OR($Y382=FALSE(),$Y382="FALSE")),0,IF(MIN(ABS($X382/100-Settings!$C$6),ABS($X382/100-Settings!$G$6))&lt;=MIN(ABS($X382/100-Settings!$C$7),ABS($X382/100-Settings!$G$7)),1,0))))</f>
        <v/>
      </c>
      <c r="AC382">
        <f>IF($Z382=1,IFERROR(IF(VALUE($B382)&lt;100000000,VALUE($B382),1000000000),IFERROR(IF(VALUE(MID($B382,2,20))&lt;100000000,VALUE(MID($B382,2,20)),1000000000),1000000000))+ROW()/100000,"")</f>
        <v/>
      </c>
    </row>
    <row r="383">
      <c r="A383">
        <f>IF($B383="","",IFERROR(IF(INDEX('Per Invoice'!$A$2:$A$801,MATCH($B383,'Per Invoice'!$B$2:$B$801,0))=0,"",INDEX('Per Invoice'!$A$2:$A$801,MATCH($B383,'Per Invoice'!$B$2:$B$801,0))),""))</f>
        <v/>
      </c>
      <c r="J383" s="7">
        <f>IF($B383="","",I383*Q383/100)</f>
        <v/>
      </c>
      <c r="N383" s="7" t="n"/>
      <c r="O383" s="7" t="n"/>
      <c r="P383" s="7">
        <f>IF($B383="","",O383*X383/100)</f>
        <v/>
      </c>
      <c r="Q383" s="7">
        <f>IF($B383="","",O383-P383)</f>
        <v/>
      </c>
      <c r="R383" s="7">
        <f>IF($B383="","",Q383-J383)</f>
        <v/>
      </c>
      <c r="S383" s="7" t="n"/>
      <c r="T383" s="7" t="n"/>
      <c r="V383" s="14" t="n"/>
      <c r="Z383">
        <f>IF($B383="","",IF(COUNTIF($B$2:$B383,$B383)=1,1,0))</f>
        <v/>
      </c>
      <c r="AA383">
        <f>IF($Z383=1,SUMPRODUCT(--($AC$2:$AC$3001&lt;$AC383))+1,"")</f>
        <v/>
      </c>
      <c r="AB383">
        <f>IF($B383="","",IF(OR($Y383=TRUE(),$Y383="TRUE"),1,IF(AND($Y383&lt;&gt;"",OR($Y383=FALSE(),$Y383="FALSE")),0,IF(MIN(ABS($X383/100-Settings!$C$6),ABS($X383/100-Settings!$G$6))&lt;=MIN(ABS($X383/100-Settings!$C$7),ABS($X383/100-Settings!$G$7)),1,0))))</f>
        <v/>
      </c>
      <c r="AC383">
        <f>IF($Z383=1,IFERROR(IF(VALUE($B383)&lt;100000000,VALUE($B383),1000000000),IFERROR(IF(VALUE(MID($B383,2,20))&lt;100000000,VALUE(MID($B383,2,20)),1000000000),1000000000))+ROW()/100000,"")</f>
        <v/>
      </c>
    </row>
    <row r="384">
      <c r="A384">
        <f>IF($B384="","",IFERROR(IF(INDEX('Per Invoice'!$A$2:$A$801,MATCH($B384,'Per Invoice'!$B$2:$B$801,0))=0,"",INDEX('Per Invoice'!$A$2:$A$801,MATCH($B384,'Per Invoice'!$B$2:$B$801,0))),""))</f>
        <v/>
      </c>
      <c r="J384" s="7">
        <f>IF($B384="","",I384*Q384/100)</f>
        <v/>
      </c>
      <c r="N384" s="7" t="n"/>
      <c r="O384" s="7" t="n"/>
      <c r="P384" s="7">
        <f>IF($B384="","",O384*X384/100)</f>
        <v/>
      </c>
      <c r="Q384" s="7">
        <f>IF($B384="","",O384-P384)</f>
        <v/>
      </c>
      <c r="R384" s="7">
        <f>IF($B384="","",Q384-J384)</f>
        <v/>
      </c>
      <c r="S384" s="7" t="n"/>
      <c r="T384" s="7" t="n"/>
      <c r="V384" s="14" t="n"/>
      <c r="Z384">
        <f>IF($B384="","",IF(COUNTIF($B$2:$B384,$B384)=1,1,0))</f>
        <v/>
      </c>
      <c r="AA384">
        <f>IF($Z384=1,SUMPRODUCT(--($AC$2:$AC$3001&lt;$AC384))+1,"")</f>
        <v/>
      </c>
      <c r="AB384">
        <f>IF($B384="","",IF(OR($Y384=TRUE(),$Y384="TRUE"),1,IF(AND($Y384&lt;&gt;"",OR($Y384=FALSE(),$Y384="FALSE")),0,IF(MIN(ABS($X384/100-Settings!$C$6),ABS($X384/100-Settings!$G$6))&lt;=MIN(ABS($X384/100-Settings!$C$7),ABS($X384/100-Settings!$G$7)),1,0))))</f>
        <v/>
      </c>
      <c r="AC384">
        <f>IF($Z384=1,IFERROR(IF(VALUE($B384)&lt;100000000,VALUE($B384),1000000000),IFERROR(IF(VALUE(MID($B384,2,20))&lt;100000000,VALUE(MID($B384,2,20)),1000000000),1000000000))+ROW()/100000,"")</f>
        <v/>
      </c>
    </row>
    <row r="385">
      <c r="A385">
        <f>IF($B385="","",IFERROR(IF(INDEX('Per Invoice'!$A$2:$A$801,MATCH($B385,'Per Invoice'!$B$2:$B$801,0))=0,"",INDEX('Per Invoice'!$A$2:$A$801,MATCH($B385,'Per Invoice'!$B$2:$B$801,0))),""))</f>
        <v/>
      </c>
      <c r="J385" s="7">
        <f>IF($B385="","",I385*Q385/100)</f>
        <v/>
      </c>
      <c r="N385" s="7" t="n"/>
      <c r="O385" s="7" t="n"/>
      <c r="P385" s="7">
        <f>IF($B385="","",O385*X385/100)</f>
        <v/>
      </c>
      <c r="Q385" s="7">
        <f>IF($B385="","",O385-P385)</f>
        <v/>
      </c>
      <c r="R385" s="7">
        <f>IF($B385="","",Q385-J385)</f>
        <v/>
      </c>
      <c r="S385" s="7" t="n"/>
      <c r="T385" s="7" t="n"/>
      <c r="V385" s="14" t="n"/>
      <c r="Z385">
        <f>IF($B385="","",IF(COUNTIF($B$2:$B385,$B385)=1,1,0))</f>
        <v/>
      </c>
      <c r="AA385">
        <f>IF($Z385=1,SUMPRODUCT(--($AC$2:$AC$3001&lt;$AC385))+1,"")</f>
        <v/>
      </c>
      <c r="AB385">
        <f>IF($B385="","",IF(OR($Y385=TRUE(),$Y385="TRUE"),1,IF(AND($Y385&lt;&gt;"",OR($Y385=FALSE(),$Y385="FALSE")),0,IF(MIN(ABS($X385/100-Settings!$C$6),ABS($X385/100-Settings!$G$6))&lt;=MIN(ABS($X385/100-Settings!$C$7),ABS($X385/100-Settings!$G$7)),1,0))))</f>
        <v/>
      </c>
      <c r="AC385">
        <f>IF($Z385=1,IFERROR(IF(VALUE($B385)&lt;100000000,VALUE($B385),1000000000),IFERROR(IF(VALUE(MID($B385,2,20))&lt;100000000,VALUE(MID($B385,2,20)),1000000000),1000000000))+ROW()/100000,"")</f>
        <v/>
      </c>
    </row>
    <row r="386">
      <c r="A386">
        <f>IF($B386="","",IFERROR(IF(INDEX('Per Invoice'!$A$2:$A$801,MATCH($B386,'Per Invoice'!$B$2:$B$801,0))=0,"",INDEX('Per Invoice'!$A$2:$A$801,MATCH($B386,'Per Invoice'!$B$2:$B$801,0))),""))</f>
        <v/>
      </c>
      <c r="J386" s="7">
        <f>IF($B386="","",I386*Q386/100)</f>
        <v/>
      </c>
      <c r="N386" s="7" t="n"/>
      <c r="O386" s="7" t="n"/>
      <c r="P386" s="7">
        <f>IF($B386="","",O386*X386/100)</f>
        <v/>
      </c>
      <c r="Q386" s="7">
        <f>IF($B386="","",O386-P386)</f>
        <v/>
      </c>
      <c r="R386" s="7">
        <f>IF($B386="","",Q386-J386)</f>
        <v/>
      </c>
      <c r="S386" s="7" t="n"/>
      <c r="T386" s="7" t="n"/>
      <c r="V386" s="14" t="n"/>
      <c r="Z386">
        <f>IF($B386="","",IF(COUNTIF($B$2:$B386,$B386)=1,1,0))</f>
        <v/>
      </c>
      <c r="AA386">
        <f>IF($Z386=1,SUMPRODUCT(--($AC$2:$AC$3001&lt;$AC386))+1,"")</f>
        <v/>
      </c>
      <c r="AB386">
        <f>IF($B386="","",IF(OR($Y386=TRUE(),$Y386="TRUE"),1,IF(AND($Y386&lt;&gt;"",OR($Y386=FALSE(),$Y386="FALSE")),0,IF(MIN(ABS($X386/100-Settings!$C$6),ABS($X386/100-Settings!$G$6))&lt;=MIN(ABS($X386/100-Settings!$C$7),ABS($X386/100-Settings!$G$7)),1,0))))</f>
        <v/>
      </c>
      <c r="AC386">
        <f>IF($Z386=1,IFERROR(IF(VALUE($B386)&lt;100000000,VALUE($B386),1000000000),IFERROR(IF(VALUE(MID($B386,2,20))&lt;100000000,VALUE(MID($B386,2,20)),1000000000),1000000000))+ROW()/100000,"")</f>
        <v/>
      </c>
    </row>
    <row r="387">
      <c r="A387">
        <f>IF($B387="","",IFERROR(IF(INDEX('Per Invoice'!$A$2:$A$801,MATCH($B387,'Per Invoice'!$B$2:$B$801,0))=0,"",INDEX('Per Invoice'!$A$2:$A$801,MATCH($B387,'Per Invoice'!$B$2:$B$801,0))),""))</f>
        <v/>
      </c>
      <c r="J387" s="7">
        <f>IF($B387="","",I387*Q387/100)</f>
        <v/>
      </c>
      <c r="N387" s="7" t="n"/>
      <c r="O387" s="7" t="n"/>
      <c r="P387" s="7">
        <f>IF($B387="","",O387*X387/100)</f>
        <v/>
      </c>
      <c r="Q387" s="7">
        <f>IF($B387="","",O387-P387)</f>
        <v/>
      </c>
      <c r="R387" s="7">
        <f>IF($B387="","",Q387-J387)</f>
        <v/>
      </c>
      <c r="S387" s="7" t="n"/>
      <c r="T387" s="7" t="n"/>
      <c r="V387" s="14" t="n"/>
      <c r="Z387">
        <f>IF($B387="","",IF(COUNTIF($B$2:$B387,$B387)=1,1,0))</f>
        <v/>
      </c>
      <c r="AA387">
        <f>IF($Z387=1,SUMPRODUCT(--($AC$2:$AC$3001&lt;$AC387))+1,"")</f>
        <v/>
      </c>
      <c r="AB387">
        <f>IF($B387="","",IF(OR($Y387=TRUE(),$Y387="TRUE"),1,IF(AND($Y387&lt;&gt;"",OR($Y387=FALSE(),$Y387="FALSE")),0,IF(MIN(ABS($X387/100-Settings!$C$6),ABS($X387/100-Settings!$G$6))&lt;=MIN(ABS($X387/100-Settings!$C$7),ABS($X387/100-Settings!$G$7)),1,0))))</f>
        <v/>
      </c>
      <c r="AC387">
        <f>IF($Z387=1,IFERROR(IF(VALUE($B387)&lt;100000000,VALUE($B387),1000000000),IFERROR(IF(VALUE(MID($B387,2,20))&lt;100000000,VALUE(MID($B387,2,20)),1000000000),1000000000))+ROW()/100000,"")</f>
        <v/>
      </c>
    </row>
    <row r="388">
      <c r="A388">
        <f>IF($B388="","",IFERROR(IF(INDEX('Per Invoice'!$A$2:$A$801,MATCH($B388,'Per Invoice'!$B$2:$B$801,0))=0,"",INDEX('Per Invoice'!$A$2:$A$801,MATCH($B388,'Per Invoice'!$B$2:$B$801,0))),""))</f>
        <v/>
      </c>
      <c r="J388" s="7">
        <f>IF($B388="","",I388*Q388/100)</f>
        <v/>
      </c>
      <c r="N388" s="7" t="n"/>
      <c r="O388" s="7" t="n"/>
      <c r="P388" s="7">
        <f>IF($B388="","",O388*X388/100)</f>
        <v/>
      </c>
      <c r="Q388" s="7">
        <f>IF($B388="","",O388-P388)</f>
        <v/>
      </c>
      <c r="R388" s="7">
        <f>IF($B388="","",Q388-J388)</f>
        <v/>
      </c>
      <c r="S388" s="7" t="n"/>
      <c r="T388" s="7" t="n"/>
      <c r="V388" s="14" t="n"/>
      <c r="Z388">
        <f>IF($B388="","",IF(COUNTIF($B$2:$B388,$B388)=1,1,0))</f>
        <v/>
      </c>
      <c r="AA388">
        <f>IF($Z388=1,SUMPRODUCT(--($AC$2:$AC$3001&lt;$AC388))+1,"")</f>
        <v/>
      </c>
      <c r="AB388">
        <f>IF($B388="","",IF(OR($Y388=TRUE(),$Y388="TRUE"),1,IF(AND($Y388&lt;&gt;"",OR($Y388=FALSE(),$Y388="FALSE")),0,IF(MIN(ABS($X388/100-Settings!$C$6),ABS($X388/100-Settings!$G$6))&lt;=MIN(ABS($X388/100-Settings!$C$7),ABS($X388/100-Settings!$G$7)),1,0))))</f>
        <v/>
      </c>
      <c r="AC388">
        <f>IF($Z388=1,IFERROR(IF(VALUE($B388)&lt;100000000,VALUE($B388),1000000000),IFERROR(IF(VALUE(MID($B388,2,20))&lt;100000000,VALUE(MID($B388,2,20)),1000000000),1000000000))+ROW()/100000,"")</f>
        <v/>
      </c>
    </row>
    <row r="389">
      <c r="A389">
        <f>IF($B389="","",IFERROR(IF(INDEX('Per Invoice'!$A$2:$A$801,MATCH($B389,'Per Invoice'!$B$2:$B$801,0))=0,"",INDEX('Per Invoice'!$A$2:$A$801,MATCH($B389,'Per Invoice'!$B$2:$B$801,0))),""))</f>
        <v/>
      </c>
      <c r="J389" s="7">
        <f>IF($B389="","",I389*Q389/100)</f>
        <v/>
      </c>
      <c r="N389" s="7" t="n"/>
      <c r="O389" s="7" t="n"/>
      <c r="P389" s="7">
        <f>IF($B389="","",O389*X389/100)</f>
        <v/>
      </c>
      <c r="Q389" s="7">
        <f>IF($B389="","",O389-P389)</f>
        <v/>
      </c>
      <c r="R389" s="7">
        <f>IF($B389="","",Q389-J389)</f>
        <v/>
      </c>
      <c r="S389" s="7" t="n"/>
      <c r="T389" s="7" t="n"/>
      <c r="V389" s="14" t="n"/>
      <c r="Z389">
        <f>IF($B389="","",IF(COUNTIF($B$2:$B389,$B389)=1,1,0))</f>
        <v/>
      </c>
      <c r="AA389">
        <f>IF($Z389=1,SUMPRODUCT(--($AC$2:$AC$3001&lt;$AC389))+1,"")</f>
        <v/>
      </c>
      <c r="AB389">
        <f>IF($B389="","",IF(OR($Y389=TRUE(),$Y389="TRUE"),1,IF(AND($Y389&lt;&gt;"",OR($Y389=FALSE(),$Y389="FALSE")),0,IF(MIN(ABS($X389/100-Settings!$C$6),ABS($X389/100-Settings!$G$6))&lt;=MIN(ABS($X389/100-Settings!$C$7),ABS($X389/100-Settings!$G$7)),1,0))))</f>
        <v/>
      </c>
      <c r="AC389">
        <f>IF($Z389=1,IFERROR(IF(VALUE($B389)&lt;100000000,VALUE($B389),1000000000),IFERROR(IF(VALUE(MID($B389,2,20))&lt;100000000,VALUE(MID($B389,2,20)),1000000000),1000000000))+ROW()/100000,"")</f>
        <v/>
      </c>
    </row>
    <row r="390">
      <c r="A390">
        <f>IF($B390="","",IFERROR(IF(INDEX('Per Invoice'!$A$2:$A$801,MATCH($B390,'Per Invoice'!$B$2:$B$801,0))=0,"",INDEX('Per Invoice'!$A$2:$A$801,MATCH($B390,'Per Invoice'!$B$2:$B$801,0))),""))</f>
        <v/>
      </c>
      <c r="J390" s="7">
        <f>IF($B390="","",I390*Q390/100)</f>
        <v/>
      </c>
      <c r="N390" s="7" t="n"/>
      <c r="O390" s="7" t="n"/>
      <c r="P390" s="7">
        <f>IF($B390="","",O390*X390/100)</f>
        <v/>
      </c>
      <c r="Q390" s="7">
        <f>IF($B390="","",O390-P390)</f>
        <v/>
      </c>
      <c r="R390" s="7">
        <f>IF($B390="","",Q390-J390)</f>
        <v/>
      </c>
      <c r="S390" s="7" t="n"/>
      <c r="T390" s="7" t="n"/>
      <c r="V390" s="14" t="n"/>
      <c r="Z390">
        <f>IF($B390="","",IF(COUNTIF($B$2:$B390,$B390)=1,1,0))</f>
        <v/>
      </c>
      <c r="AA390">
        <f>IF($Z390=1,SUMPRODUCT(--($AC$2:$AC$3001&lt;$AC390))+1,"")</f>
        <v/>
      </c>
      <c r="AB390">
        <f>IF($B390="","",IF(OR($Y390=TRUE(),$Y390="TRUE"),1,IF(AND($Y390&lt;&gt;"",OR($Y390=FALSE(),$Y390="FALSE")),0,IF(MIN(ABS($X390/100-Settings!$C$6),ABS($X390/100-Settings!$G$6))&lt;=MIN(ABS($X390/100-Settings!$C$7),ABS($X390/100-Settings!$G$7)),1,0))))</f>
        <v/>
      </c>
      <c r="AC390">
        <f>IF($Z390=1,IFERROR(IF(VALUE($B390)&lt;100000000,VALUE($B390),1000000000),IFERROR(IF(VALUE(MID($B390,2,20))&lt;100000000,VALUE(MID($B390,2,20)),1000000000),1000000000))+ROW()/100000,"")</f>
        <v/>
      </c>
    </row>
    <row r="391">
      <c r="A391">
        <f>IF($B391="","",IFERROR(IF(INDEX('Per Invoice'!$A$2:$A$801,MATCH($B391,'Per Invoice'!$B$2:$B$801,0))=0,"",INDEX('Per Invoice'!$A$2:$A$801,MATCH($B391,'Per Invoice'!$B$2:$B$801,0))),""))</f>
        <v/>
      </c>
      <c r="J391" s="7">
        <f>IF($B391="","",I391*Q391/100)</f>
        <v/>
      </c>
      <c r="N391" s="7" t="n"/>
      <c r="O391" s="7" t="n"/>
      <c r="P391" s="7">
        <f>IF($B391="","",O391*X391/100)</f>
        <v/>
      </c>
      <c r="Q391" s="7">
        <f>IF($B391="","",O391-P391)</f>
        <v/>
      </c>
      <c r="R391" s="7">
        <f>IF($B391="","",Q391-J391)</f>
        <v/>
      </c>
      <c r="S391" s="7" t="n"/>
      <c r="T391" s="7" t="n"/>
      <c r="V391" s="14" t="n"/>
      <c r="Z391">
        <f>IF($B391="","",IF(COUNTIF($B$2:$B391,$B391)=1,1,0))</f>
        <v/>
      </c>
      <c r="AA391">
        <f>IF($Z391=1,SUMPRODUCT(--($AC$2:$AC$3001&lt;$AC391))+1,"")</f>
        <v/>
      </c>
      <c r="AB391">
        <f>IF($B391="","",IF(OR($Y391=TRUE(),$Y391="TRUE"),1,IF(AND($Y391&lt;&gt;"",OR($Y391=FALSE(),$Y391="FALSE")),0,IF(MIN(ABS($X391/100-Settings!$C$6),ABS($X391/100-Settings!$G$6))&lt;=MIN(ABS($X391/100-Settings!$C$7),ABS($X391/100-Settings!$G$7)),1,0))))</f>
        <v/>
      </c>
      <c r="AC391">
        <f>IF($Z391=1,IFERROR(IF(VALUE($B391)&lt;100000000,VALUE($B391),1000000000),IFERROR(IF(VALUE(MID($B391,2,20))&lt;100000000,VALUE(MID($B391,2,20)),1000000000),1000000000))+ROW()/100000,"")</f>
        <v/>
      </c>
    </row>
    <row r="392">
      <c r="A392">
        <f>IF($B392="","",IFERROR(IF(INDEX('Per Invoice'!$A$2:$A$801,MATCH($B392,'Per Invoice'!$B$2:$B$801,0))=0,"",INDEX('Per Invoice'!$A$2:$A$801,MATCH($B392,'Per Invoice'!$B$2:$B$801,0))),""))</f>
        <v/>
      </c>
      <c r="J392" s="7">
        <f>IF($B392="","",I392*Q392/100)</f>
        <v/>
      </c>
      <c r="N392" s="7" t="n"/>
      <c r="O392" s="7" t="n"/>
      <c r="P392" s="7">
        <f>IF($B392="","",O392*X392/100)</f>
        <v/>
      </c>
      <c r="Q392" s="7">
        <f>IF($B392="","",O392-P392)</f>
        <v/>
      </c>
      <c r="R392" s="7">
        <f>IF($B392="","",Q392-J392)</f>
        <v/>
      </c>
      <c r="S392" s="7" t="n"/>
      <c r="T392" s="7" t="n"/>
      <c r="V392" s="14" t="n"/>
      <c r="Z392">
        <f>IF($B392="","",IF(COUNTIF($B$2:$B392,$B392)=1,1,0))</f>
        <v/>
      </c>
      <c r="AA392">
        <f>IF($Z392=1,SUMPRODUCT(--($AC$2:$AC$3001&lt;$AC392))+1,"")</f>
        <v/>
      </c>
      <c r="AB392">
        <f>IF($B392="","",IF(OR($Y392=TRUE(),$Y392="TRUE"),1,IF(AND($Y392&lt;&gt;"",OR($Y392=FALSE(),$Y392="FALSE")),0,IF(MIN(ABS($X392/100-Settings!$C$6),ABS($X392/100-Settings!$G$6))&lt;=MIN(ABS($X392/100-Settings!$C$7),ABS($X392/100-Settings!$G$7)),1,0))))</f>
        <v/>
      </c>
      <c r="AC392">
        <f>IF($Z392=1,IFERROR(IF(VALUE($B392)&lt;100000000,VALUE($B392),1000000000),IFERROR(IF(VALUE(MID($B392,2,20))&lt;100000000,VALUE(MID($B392,2,20)),1000000000),1000000000))+ROW()/100000,"")</f>
        <v/>
      </c>
    </row>
    <row r="393">
      <c r="A393">
        <f>IF($B393="","",IFERROR(IF(INDEX('Per Invoice'!$A$2:$A$801,MATCH($B393,'Per Invoice'!$B$2:$B$801,0))=0,"",INDEX('Per Invoice'!$A$2:$A$801,MATCH($B393,'Per Invoice'!$B$2:$B$801,0))),""))</f>
        <v/>
      </c>
      <c r="J393" s="7">
        <f>IF($B393="","",I393*Q393/100)</f>
        <v/>
      </c>
      <c r="N393" s="7" t="n"/>
      <c r="O393" s="7" t="n"/>
      <c r="P393" s="7">
        <f>IF($B393="","",O393*X393/100)</f>
        <v/>
      </c>
      <c r="Q393" s="7">
        <f>IF($B393="","",O393-P393)</f>
        <v/>
      </c>
      <c r="R393" s="7">
        <f>IF($B393="","",Q393-J393)</f>
        <v/>
      </c>
      <c r="S393" s="7" t="n"/>
      <c r="T393" s="7" t="n"/>
      <c r="V393" s="14" t="n"/>
      <c r="Z393">
        <f>IF($B393="","",IF(COUNTIF($B$2:$B393,$B393)=1,1,0))</f>
        <v/>
      </c>
      <c r="AA393">
        <f>IF($Z393=1,SUMPRODUCT(--($AC$2:$AC$3001&lt;$AC393))+1,"")</f>
        <v/>
      </c>
      <c r="AB393">
        <f>IF($B393="","",IF(OR($Y393=TRUE(),$Y393="TRUE"),1,IF(AND($Y393&lt;&gt;"",OR($Y393=FALSE(),$Y393="FALSE")),0,IF(MIN(ABS($X393/100-Settings!$C$6),ABS($X393/100-Settings!$G$6))&lt;=MIN(ABS($X393/100-Settings!$C$7),ABS($X393/100-Settings!$G$7)),1,0))))</f>
        <v/>
      </c>
      <c r="AC393">
        <f>IF($Z393=1,IFERROR(IF(VALUE($B393)&lt;100000000,VALUE($B393),1000000000),IFERROR(IF(VALUE(MID($B393,2,20))&lt;100000000,VALUE(MID($B393,2,20)),1000000000),1000000000))+ROW()/100000,"")</f>
        <v/>
      </c>
    </row>
    <row r="394">
      <c r="A394">
        <f>IF($B394="","",IFERROR(IF(INDEX('Per Invoice'!$A$2:$A$801,MATCH($B394,'Per Invoice'!$B$2:$B$801,0))=0,"",INDEX('Per Invoice'!$A$2:$A$801,MATCH($B394,'Per Invoice'!$B$2:$B$801,0))),""))</f>
        <v/>
      </c>
      <c r="J394" s="7">
        <f>IF($B394="","",I394*Q394/100)</f>
        <v/>
      </c>
      <c r="N394" s="7" t="n"/>
      <c r="O394" s="7" t="n"/>
      <c r="P394" s="7">
        <f>IF($B394="","",O394*X394/100)</f>
        <v/>
      </c>
      <c r="Q394" s="7">
        <f>IF($B394="","",O394-P394)</f>
        <v/>
      </c>
      <c r="R394" s="7">
        <f>IF($B394="","",Q394-J394)</f>
        <v/>
      </c>
      <c r="S394" s="7" t="n"/>
      <c r="T394" s="7" t="n"/>
      <c r="V394" s="14" t="n"/>
      <c r="Z394">
        <f>IF($B394="","",IF(COUNTIF($B$2:$B394,$B394)=1,1,0))</f>
        <v/>
      </c>
      <c r="AA394">
        <f>IF($Z394=1,SUMPRODUCT(--($AC$2:$AC$3001&lt;$AC394))+1,"")</f>
        <v/>
      </c>
      <c r="AB394">
        <f>IF($B394="","",IF(OR($Y394=TRUE(),$Y394="TRUE"),1,IF(AND($Y394&lt;&gt;"",OR($Y394=FALSE(),$Y394="FALSE")),0,IF(MIN(ABS($X394/100-Settings!$C$6),ABS($X394/100-Settings!$G$6))&lt;=MIN(ABS($X394/100-Settings!$C$7),ABS($X394/100-Settings!$G$7)),1,0))))</f>
        <v/>
      </c>
      <c r="AC394">
        <f>IF($Z394=1,IFERROR(IF(VALUE($B394)&lt;100000000,VALUE($B394),1000000000),IFERROR(IF(VALUE(MID($B394,2,20))&lt;100000000,VALUE(MID($B394,2,20)),1000000000),1000000000))+ROW()/100000,"")</f>
        <v/>
      </c>
    </row>
    <row r="395">
      <c r="A395">
        <f>IF($B395="","",IFERROR(IF(INDEX('Per Invoice'!$A$2:$A$801,MATCH($B395,'Per Invoice'!$B$2:$B$801,0))=0,"",INDEX('Per Invoice'!$A$2:$A$801,MATCH($B395,'Per Invoice'!$B$2:$B$801,0))),""))</f>
        <v/>
      </c>
      <c r="J395" s="7">
        <f>IF($B395="","",I395*Q395/100)</f>
        <v/>
      </c>
      <c r="N395" s="7" t="n"/>
      <c r="O395" s="7" t="n"/>
      <c r="P395" s="7">
        <f>IF($B395="","",O395*X395/100)</f>
        <v/>
      </c>
      <c r="Q395" s="7">
        <f>IF($B395="","",O395-P395)</f>
        <v/>
      </c>
      <c r="R395" s="7">
        <f>IF($B395="","",Q395-J395)</f>
        <v/>
      </c>
      <c r="S395" s="7" t="n"/>
      <c r="T395" s="7" t="n"/>
      <c r="V395" s="14" t="n"/>
      <c r="Z395">
        <f>IF($B395="","",IF(COUNTIF($B$2:$B395,$B395)=1,1,0))</f>
        <v/>
      </c>
      <c r="AA395">
        <f>IF($Z395=1,SUMPRODUCT(--($AC$2:$AC$3001&lt;$AC395))+1,"")</f>
        <v/>
      </c>
      <c r="AB395">
        <f>IF($B395="","",IF(OR($Y395=TRUE(),$Y395="TRUE"),1,IF(AND($Y395&lt;&gt;"",OR($Y395=FALSE(),$Y395="FALSE")),0,IF(MIN(ABS($X395/100-Settings!$C$6),ABS($X395/100-Settings!$G$6))&lt;=MIN(ABS($X395/100-Settings!$C$7),ABS($X395/100-Settings!$G$7)),1,0))))</f>
        <v/>
      </c>
      <c r="AC395">
        <f>IF($Z395=1,IFERROR(IF(VALUE($B395)&lt;100000000,VALUE($B395),1000000000),IFERROR(IF(VALUE(MID($B395,2,20))&lt;100000000,VALUE(MID($B395,2,20)),1000000000),1000000000))+ROW()/100000,"")</f>
        <v/>
      </c>
    </row>
    <row r="396">
      <c r="A396">
        <f>IF($B396="","",IFERROR(IF(INDEX('Per Invoice'!$A$2:$A$801,MATCH($B396,'Per Invoice'!$B$2:$B$801,0))=0,"",INDEX('Per Invoice'!$A$2:$A$801,MATCH($B396,'Per Invoice'!$B$2:$B$801,0))),""))</f>
        <v/>
      </c>
      <c r="J396" s="7">
        <f>IF($B396="","",I396*Q396/100)</f>
        <v/>
      </c>
      <c r="N396" s="7" t="n"/>
      <c r="O396" s="7" t="n"/>
      <c r="P396" s="7">
        <f>IF($B396="","",O396*X396/100)</f>
        <v/>
      </c>
      <c r="Q396" s="7">
        <f>IF($B396="","",O396-P396)</f>
        <v/>
      </c>
      <c r="R396" s="7">
        <f>IF($B396="","",Q396-J396)</f>
        <v/>
      </c>
      <c r="S396" s="7" t="n"/>
      <c r="T396" s="7" t="n"/>
      <c r="V396" s="14" t="n"/>
      <c r="Z396">
        <f>IF($B396="","",IF(COUNTIF($B$2:$B396,$B396)=1,1,0))</f>
        <v/>
      </c>
      <c r="AA396">
        <f>IF($Z396=1,SUMPRODUCT(--($AC$2:$AC$3001&lt;$AC396))+1,"")</f>
        <v/>
      </c>
      <c r="AB396">
        <f>IF($B396="","",IF(OR($Y396=TRUE(),$Y396="TRUE"),1,IF(AND($Y396&lt;&gt;"",OR($Y396=FALSE(),$Y396="FALSE")),0,IF(MIN(ABS($X396/100-Settings!$C$6),ABS($X396/100-Settings!$G$6))&lt;=MIN(ABS($X396/100-Settings!$C$7),ABS($X396/100-Settings!$G$7)),1,0))))</f>
        <v/>
      </c>
      <c r="AC396">
        <f>IF($Z396=1,IFERROR(IF(VALUE($B396)&lt;100000000,VALUE($B396),1000000000),IFERROR(IF(VALUE(MID($B396,2,20))&lt;100000000,VALUE(MID($B396,2,20)),1000000000),1000000000))+ROW()/100000,"")</f>
        <v/>
      </c>
    </row>
    <row r="397">
      <c r="A397">
        <f>IF($B397="","",IFERROR(IF(INDEX('Per Invoice'!$A$2:$A$801,MATCH($B397,'Per Invoice'!$B$2:$B$801,0))=0,"",INDEX('Per Invoice'!$A$2:$A$801,MATCH($B397,'Per Invoice'!$B$2:$B$801,0))),""))</f>
        <v/>
      </c>
      <c r="J397" s="7">
        <f>IF($B397="","",I397*Q397/100)</f>
        <v/>
      </c>
      <c r="N397" s="7" t="n"/>
      <c r="O397" s="7" t="n"/>
      <c r="P397" s="7">
        <f>IF($B397="","",O397*X397/100)</f>
        <v/>
      </c>
      <c r="Q397" s="7">
        <f>IF($B397="","",O397-P397)</f>
        <v/>
      </c>
      <c r="R397" s="7">
        <f>IF($B397="","",Q397-J397)</f>
        <v/>
      </c>
      <c r="S397" s="7" t="n"/>
      <c r="T397" s="7" t="n"/>
      <c r="V397" s="14" t="n"/>
      <c r="Z397">
        <f>IF($B397="","",IF(COUNTIF($B$2:$B397,$B397)=1,1,0))</f>
        <v/>
      </c>
      <c r="AA397">
        <f>IF($Z397=1,SUMPRODUCT(--($AC$2:$AC$3001&lt;$AC397))+1,"")</f>
        <v/>
      </c>
      <c r="AB397">
        <f>IF($B397="","",IF(OR($Y397=TRUE(),$Y397="TRUE"),1,IF(AND($Y397&lt;&gt;"",OR($Y397=FALSE(),$Y397="FALSE")),0,IF(MIN(ABS($X397/100-Settings!$C$6),ABS($X397/100-Settings!$G$6))&lt;=MIN(ABS($X397/100-Settings!$C$7),ABS($X397/100-Settings!$G$7)),1,0))))</f>
        <v/>
      </c>
      <c r="AC397">
        <f>IF($Z397=1,IFERROR(IF(VALUE($B397)&lt;100000000,VALUE($B397),1000000000),IFERROR(IF(VALUE(MID($B397,2,20))&lt;100000000,VALUE(MID($B397,2,20)),1000000000),1000000000))+ROW()/100000,"")</f>
        <v/>
      </c>
    </row>
    <row r="398">
      <c r="A398">
        <f>IF($B398="","",IFERROR(IF(INDEX('Per Invoice'!$A$2:$A$801,MATCH($B398,'Per Invoice'!$B$2:$B$801,0))=0,"",INDEX('Per Invoice'!$A$2:$A$801,MATCH($B398,'Per Invoice'!$B$2:$B$801,0))),""))</f>
        <v/>
      </c>
      <c r="J398" s="7">
        <f>IF($B398="","",I398*Q398/100)</f>
        <v/>
      </c>
      <c r="N398" s="7" t="n"/>
      <c r="O398" s="7" t="n"/>
      <c r="P398" s="7">
        <f>IF($B398="","",O398*X398/100)</f>
        <v/>
      </c>
      <c r="Q398" s="7">
        <f>IF($B398="","",O398-P398)</f>
        <v/>
      </c>
      <c r="R398" s="7">
        <f>IF($B398="","",Q398-J398)</f>
        <v/>
      </c>
      <c r="S398" s="7" t="n"/>
      <c r="T398" s="7" t="n"/>
      <c r="V398" s="14" t="n"/>
      <c r="Z398">
        <f>IF($B398="","",IF(COUNTIF($B$2:$B398,$B398)=1,1,0))</f>
        <v/>
      </c>
      <c r="AA398">
        <f>IF($Z398=1,SUMPRODUCT(--($AC$2:$AC$3001&lt;$AC398))+1,"")</f>
        <v/>
      </c>
      <c r="AB398">
        <f>IF($B398="","",IF(OR($Y398=TRUE(),$Y398="TRUE"),1,IF(AND($Y398&lt;&gt;"",OR($Y398=FALSE(),$Y398="FALSE")),0,IF(MIN(ABS($X398/100-Settings!$C$6),ABS($X398/100-Settings!$G$6))&lt;=MIN(ABS($X398/100-Settings!$C$7),ABS($X398/100-Settings!$G$7)),1,0))))</f>
        <v/>
      </c>
      <c r="AC398">
        <f>IF($Z398=1,IFERROR(IF(VALUE($B398)&lt;100000000,VALUE($B398),1000000000),IFERROR(IF(VALUE(MID($B398,2,20))&lt;100000000,VALUE(MID($B398,2,20)),1000000000),1000000000))+ROW()/100000,"")</f>
        <v/>
      </c>
    </row>
    <row r="399">
      <c r="A399">
        <f>IF($B399="","",IFERROR(IF(INDEX('Per Invoice'!$A$2:$A$801,MATCH($B399,'Per Invoice'!$B$2:$B$801,0))=0,"",INDEX('Per Invoice'!$A$2:$A$801,MATCH($B399,'Per Invoice'!$B$2:$B$801,0))),""))</f>
        <v/>
      </c>
      <c r="J399" s="7">
        <f>IF($B399="","",I399*Q399/100)</f>
        <v/>
      </c>
      <c r="N399" s="7" t="n"/>
      <c r="O399" s="7" t="n"/>
      <c r="P399" s="7">
        <f>IF($B399="","",O399*X399/100)</f>
        <v/>
      </c>
      <c r="Q399" s="7">
        <f>IF($B399="","",O399-P399)</f>
        <v/>
      </c>
      <c r="R399" s="7">
        <f>IF($B399="","",Q399-J399)</f>
        <v/>
      </c>
      <c r="S399" s="7" t="n"/>
      <c r="T399" s="7" t="n"/>
      <c r="V399" s="14" t="n"/>
      <c r="Z399">
        <f>IF($B399="","",IF(COUNTIF($B$2:$B399,$B399)=1,1,0))</f>
        <v/>
      </c>
      <c r="AA399">
        <f>IF($Z399=1,SUMPRODUCT(--($AC$2:$AC$3001&lt;$AC399))+1,"")</f>
        <v/>
      </c>
      <c r="AB399">
        <f>IF($B399="","",IF(OR($Y399=TRUE(),$Y399="TRUE"),1,IF(AND($Y399&lt;&gt;"",OR($Y399=FALSE(),$Y399="FALSE")),0,IF(MIN(ABS($X399/100-Settings!$C$6),ABS($X399/100-Settings!$G$6))&lt;=MIN(ABS($X399/100-Settings!$C$7),ABS($X399/100-Settings!$G$7)),1,0))))</f>
        <v/>
      </c>
      <c r="AC399">
        <f>IF($Z399=1,IFERROR(IF(VALUE($B399)&lt;100000000,VALUE($B399),1000000000),IFERROR(IF(VALUE(MID($B399,2,20))&lt;100000000,VALUE(MID($B399,2,20)),1000000000),1000000000))+ROW()/100000,"")</f>
        <v/>
      </c>
    </row>
    <row r="400">
      <c r="A400">
        <f>IF($B400="","",IFERROR(IF(INDEX('Per Invoice'!$A$2:$A$801,MATCH($B400,'Per Invoice'!$B$2:$B$801,0))=0,"",INDEX('Per Invoice'!$A$2:$A$801,MATCH($B400,'Per Invoice'!$B$2:$B$801,0))),""))</f>
        <v/>
      </c>
      <c r="J400" s="7">
        <f>IF($B400="","",I400*Q400/100)</f>
        <v/>
      </c>
      <c r="N400" s="7" t="n"/>
      <c r="O400" s="7" t="n"/>
      <c r="P400" s="7">
        <f>IF($B400="","",O400*X400/100)</f>
        <v/>
      </c>
      <c r="Q400" s="7">
        <f>IF($B400="","",O400-P400)</f>
        <v/>
      </c>
      <c r="R400" s="7">
        <f>IF($B400="","",Q400-J400)</f>
        <v/>
      </c>
      <c r="S400" s="7" t="n"/>
      <c r="T400" s="7" t="n"/>
      <c r="V400" s="14" t="n"/>
      <c r="Z400">
        <f>IF($B400="","",IF(COUNTIF($B$2:$B400,$B400)=1,1,0))</f>
        <v/>
      </c>
      <c r="AA400">
        <f>IF($Z400=1,SUMPRODUCT(--($AC$2:$AC$3001&lt;$AC400))+1,"")</f>
        <v/>
      </c>
      <c r="AB400">
        <f>IF($B400="","",IF(OR($Y400=TRUE(),$Y400="TRUE"),1,IF(AND($Y400&lt;&gt;"",OR($Y400=FALSE(),$Y400="FALSE")),0,IF(MIN(ABS($X400/100-Settings!$C$6),ABS($X400/100-Settings!$G$6))&lt;=MIN(ABS($X400/100-Settings!$C$7),ABS($X400/100-Settings!$G$7)),1,0))))</f>
        <v/>
      </c>
      <c r="AC400">
        <f>IF($Z400=1,IFERROR(IF(VALUE($B400)&lt;100000000,VALUE($B400),1000000000),IFERROR(IF(VALUE(MID($B400,2,20))&lt;100000000,VALUE(MID($B400,2,20)),1000000000),1000000000))+ROW()/100000,"")</f>
        <v/>
      </c>
    </row>
    <row r="401">
      <c r="A401">
        <f>IF($B401="","",IFERROR(IF(INDEX('Per Invoice'!$A$2:$A$801,MATCH($B401,'Per Invoice'!$B$2:$B$801,0))=0,"",INDEX('Per Invoice'!$A$2:$A$801,MATCH($B401,'Per Invoice'!$B$2:$B$801,0))),""))</f>
        <v/>
      </c>
      <c r="J401" s="7">
        <f>IF($B401="","",I401*Q401/100)</f>
        <v/>
      </c>
      <c r="N401" s="7" t="n"/>
      <c r="O401" s="7" t="n"/>
      <c r="P401" s="7">
        <f>IF($B401="","",O401*X401/100)</f>
        <v/>
      </c>
      <c r="Q401" s="7">
        <f>IF($B401="","",O401-P401)</f>
        <v/>
      </c>
      <c r="R401" s="7">
        <f>IF($B401="","",Q401-J401)</f>
        <v/>
      </c>
      <c r="S401" s="7" t="n"/>
      <c r="T401" s="7" t="n"/>
      <c r="V401" s="14" t="n"/>
      <c r="Z401">
        <f>IF($B401="","",IF(COUNTIF($B$2:$B401,$B401)=1,1,0))</f>
        <v/>
      </c>
      <c r="AA401">
        <f>IF($Z401=1,SUMPRODUCT(--($AC$2:$AC$3001&lt;$AC401))+1,"")</f>
        <v/>
      </c>
      <c r="AB401">
        <f>IF($B401="","",IF(OR($Y401=TRUE(),$Y401="TRUE"),1,IF(AND($Y401&lt;&gt;"",OR($Y401=FALSE(),$Y401="FALSE")),0,IF(MIN(ABS($X401/100-Settings!$C$6),ABS($X401/100-Settings!$G$6))&lt;=MIN(ABS($X401/100-Settings!$C$7),ABS($X401/100-Settings!$G$7)),1,0))))</f>
        <v/>
      </c>
      <c r="AC401">
        <f>IF($Z401=1,IFERROR(IF(VALUE($B401)&lt;100000000,VALUE($B401),1000000000),IFERROR(IF(VALUE(MID($B401,2,20))&lt;100000000,VALUE(MID($B401,2,20)),1000000000),1000000000))+ROW()/100000,"")</f>
        <v/>
      </c>
    </row>
    <row r="402">
      <c r="A402">
        <f>IF($B402="","",IFERROR(IF(INDEX('Per Invoice'!$A$2:$A$801,MATCH($B402,'Per Invoice'!$B$2:$B$801,0))=0,"",INDEX('Per Invoice'!$A$2:$A$801,MATCH($B402,'Per Invoice'!$B$2:$B$801,0))),""))</f>
        <v/>
      </c>
      <c r="J402" s="7">
        <f>IF($B402="","",I402*Q402/100)</f>
        <v/>
      </c>
      <c r="N402" s="7" t="n"/>
      <c r="O402" s="7" t="n"/>
      <c r="P402" s="7">
        <f>IF($B402="","",O402*X402/100)</f>
        <v/>
      </c>
      <c r="Q402" s="7">
        <f>IF($B402="","",O402-P402)</f>
        <v/>
      </c>
      <c r="R402" s="7">
        <f>IF($B402="","",Q402-J402)</f>
        <v/>
      </c>
      <c r="S402" s="7" t="n"/>
      <c r="T402" s="7" t="n"/>
      <c r="V402" s="14" t="n"/>
      <c r="Z402">
        <f>IF($B402="","",IF(COUNTIF($B$2:$B402,$B402)=1,1,0))</f>
        <v/>
      </c>
      <c r="AA402">
        <f>IF($Z402=1,SUMPRODUCT(--($AC$2:$AC$3001&lt;$AC402))+1,"")</f>
        <v/>
      </c>
      <c r="AB402">
        <f>IF($B402="","",IF(OR($Y402=TRUE(),$Y402="TRUE"),1,IF(AND($Y402&lt;&gt;"",OR($Y402=FALSE(),$Y402="FALSE")),0,IF(MIN(ABS($X402/100-Settings!$C$6),ABS($X402/100-Settings!$G$6))&lt;=MIN(ABS($X402/100-Settings!$C$7),ABS($X402/100-Settings!$G$7)),1,0))))</f>
        <v/>
      </c>
      <c r="AC402">
        <f>IF($Z402=1,IFERROR(IF(VALUE($B402)&lt;100000000,VALUE($B402),1000000000),IFERROR(IF(VALUE(MID($B402,2,20))&lt;100000000,VALUE(MID($B402,2,20)),1000000000),1000000000))+ROW()/100000,"")</f>
        <v/>
      </c>
    </row>
    <row r="403">
      <c r="A403">
        <f>IF($B403="","",IFERROR(IF(INDEX('Per Invoice'!$A$2:$A$801,MATCH($B403,'Per Invoice'!$B$2:$B$801,0))=0,"",INDEX('Per Invoice'!$A$2:$A$801,MATCH($B403,'Per Invoice'!$B$2:$B$801,0))),""))</f>
        <v/>
      </c>
      <c r="J403" s="7">
        <f>IF($B403="","",I403*Q403/100)</f>
        <v/>
      </c>
      <c r="N403" s="7" t="n"/>
      <c r="O403" s="7" t="n"/>
      <c r="P403" s="7">
        <f>IF($B403="","",O403*X403/100)</f>
        <v/>
      </c>
      <c r="Q403" s="7">
        <f>IF($B403="","",O403-P403)</f>
        <v/>
      </c>
      <c r="R403" s="7">
        <f>IF($B403="","",Q403-J403)</f>
        <v/>
      </c>
      <c r="S403" s="7" t="n"/>
      <c r="T403" s="7" t="n"/>
      <c r="V403" s="14" t="n"/>
      <c r="Z403">
        <f>IF($B403="","",IF(COUNTIF($B$2:$B403,$B403)=1,1,0))</f>
        <v/>
      </c>
      <c r="AA403">
        <f>IF($Z403=1,SUMPRODUCT(--($AC$2:$AC$3001&lt;$AC403))+1,"")</f>
        <v/>
      </c>
      <c r="AB403">
        <f>IF($B403="","",IF(OR($Y403=TRUE(),$Y403="TRUE"),1,IF(AND($Y403&lt;&gt;"",OR($Y403=FALSE(),$Y403="FALSE")),0,IF(MIN(ABS($X403/100-Settings!$C$6),ABS($X403/100-Settings!$G$6))&lt;=MIN(ABS($X403/100-Settings!$C$7),ABS($X403/100-Settings!$G$7)),1,0))))</f>
        <v/>
      </c>
      <c r="AC403">
        <f>IF($Z403=1,IFERROR(IF(VALUE($B403)&lt;100000000,VALUE($B403),1000000000),IFERROR(IF(VALUE(MID($B403,2,20))&lt;100000000,VALUE(MID($B403,2,20)),1000000000),1000000000))+ROW()/100000,"")</f>
        <v/>
      </c>
    </row>
    <row r="404">
      <c r="A404">
        <f>IF($B404="","",IFERROR(IF(INDEX('Per Invoice'!$A$2:$A$801,MATCH($B404,'Per Invoice'!$B$2:$B$801,0))=0,"",INDEX('Per Invoice'!$A$2:$A$801,MATCH($B404,'Per Invoice'!$B$2:$B$801,0))),""))</f>
        <v/>
      </c>
      <c r="J404" s="7">
        <f>IF($B404="","",I404*Q404/100)</f>
        <v/>
      </c>
      <c r="N404" s="7" t="n"/>
      <c r="O404" s="7" t="n"/>
      <c r="P404" s="7">
        <f>IF($B404="","",O404*X404/100)</f>
        <v/>
      </c>
      <c r="Q404" s="7">
        <f>IF($B404="","",O404-P404)</f>
        <v/>
      </c>
      <c r="R404" s="7">
        <f>IF($B404="","",Q404-J404)</f>
        <v/>
      </c>
      <c r="S404" s="7" t="n"/>
      <c r="T404" s="7" t="n"/>
      <c r="V404" s="14" t="n"/>
      <c r="Z404">
        <f>IF($B404="","",IF(COUNTIF($B$2:$B404,$B404)=1,1,0))</f>
        <v/>
      </c>
      <c r="AA404">
        <f>IF($Z404=1,SUMPRODUCT(--($AC$2:$AC$3001&lt;$AC404))+1,"")</f>
        <v/>
      </c>
      <c r="AB404">
        <f>IF($B404="","",IF(OR($Y404=TRUE(),$Y404="TRUE"),1,IF(AND($Y404&lt;&gt;"",OR($Y404=FALSE(),$Y404="FALSE")),0,IF(MIN(ABS($X404/100-Settings!$C$6),ABS($X404/100-Settings!$G$6))&lt;=MIN(ABS($X404/100-Settings!$C$7),ABS($X404/100-Settings!$G$7)),1,0))))</f>
        <v/>
      </c>
      <c r="AC404">
        <f>IF($Z404=1,IFERROR(IF(VALUE($B404)&lt;100000000,VALUE($B404),1000000000),IFERROR(IF(VALUE(MID($B404,2,20))&lt;100000000,VALUE(MID($B404,2,20)),1000000000),1000000000))+ROW()/100000,"")</f>
        <v/>
      </c>
    </row>
    <row r="405">
      <c r="A405">
        <f>IF($B405="","",IFERROR(IF(INDEX('Per Invoice'!$A$2:$A$801,MATCH($B405,'Per Invoice'!$B$2:$B$801,0))=0,"",INDEX('Per Invoice'!$A$2:$A$801,MATCH($B405,'Per Invoice'!$B$2:$B$801,0))),""))</f>
        <v/>
      </c>
      <c r="J405" s="7">
        <f>IF($B405="","",I405*Q405/100)</f>
        <v/>
      </c>
      <c r="N405" s="7" t="n"/>
      <c r="O405" s="7" t="n"/>
      <c r="P405" s="7">
        <f>IF($B405="","",O405*X405/100)</f>
        <v/>
      </c>
      <c r="Q405" s="7">
        <f>IF($B405="","",O405-P405)</f>
        <v/>
      </c>
      <c r="R405" s="7">
        <f>IF($B405="","",Q405-J405)</f>
        <v/>
      </c>
      <c r="S405" s="7" t="n"/>
      <c r="T405" s="7" t="n"/>
      <c r="V405" s="14" t="n"/>
      <c r="Z405">
        <f>IF($B405="","",IF(COUNTIF($B$2:$B405,$B405)=1,1,0))</f>
        <v/>
      </c>
      <c r="AA405">
        <f>IF($Z405=1,SUMPRODUCT(--($AC$2:$AC$3001&lt;$AC405))+1,"")</f>
        <v/>
      </c>
      <c r="AB405">
        <f>IF($B405="","",IF(OR($Y405=TRUE(),$Y405="TRUE"),1,IF(AND($Y405&lt;&gt;"",OR($Y405=FALSE(),$Y405="FALSE")),0,IF(MIN(ABS($X405/100-Settings!$C$6),ABS($X405/100-Settings!$G$6))&lt;=MIN(ABS($X405/100-Settings!$C$7),ABS($X405/100-Settings!$G$7)),1,0))))</f>
        <v/>
      </c>
      <c r="AC405">
        <f>IF($Z405=1,IFERROR(IF(VALUE($B405)&lt;100000000,VALUE($B405),1000000000),IFERROR(IF(VALUE(MID($B405,2,20))&lt;100000000,VALUE(MID($B405,2,20)),1000000000),1000000000))+ROW()/100000,"")</f>
        <v/>
      </c>
    </row>
    <row r="406">
      <c r="A406">
        <f>IF($B406="","",IFERROR(IF(INDEX('Per Invoice'!$A$2:$A$801,MATCH($B406,'Per Invoice'!$B$2:$B$801,0))=0,"",INDEX('Per Invoice'!$A$2:$A$801,MATCH($B406,'Per Invoice'!$B$2:$B$801,0))),""))</f>
        <v/>
      </c>
      <c r="J406" s="7">
        <f>IF($B406="","",I406*Q406/100)</f>
        <v/>
      </c>
      <c r="N406" s="7" t="n"/>
      <c r="O406" s="7" t="n"/>
      <c r="P406" s="7">
        <f>IF($B406="","",O406*X406/100)</f>
        <v/>
      </c>
      <c r="Q406" s="7">
        <f>IF($B406="","",O406-P406)</f>
        <v/>
      </c>
      <c r="R406" s="7">
        <f>IF($B406="","",Q406-J406)</f>
        <v/>
      </c>
      <c r="S406" s="7" t="n"/>
      <c r="T406" s="7" t="n"/>
      <c r="V406" s="14" t="n"/>
      <c r="Z406">
        <f>IF($B406="","",IF(COUNTIF($B$2:$B406,$B406)=1,1,0))</f>
        <v/>
      </c>
      <c r="AA406">
        <f>IF($Z406=1,SUMPRODUCT(--($AC$2:$AC$3001&lt;$AC406))+1,"")</f>
        <v/>
      </c>
      <c r="AB406">
        <f>IF($B406="","",IF(OR($Y406=TRUE(),$Y406="TRUE"),1,IF(AND($Y406&lt;&gt;"",OR($Y406=FALSE(),$Y406="FALSE")),0,IF(MIN(ABS($X406/100-Settings!$C$6),ABS($X406/100-Settings!$G$6))&lt;=MIN(ABS($X406/100-Settings!$C$7),ABS($X406/100-Settings!$G$7)),1,0))))</f>
        <v/>
      </c>
      <c r="AC406">
        <f>IF($Z406=1,IFERROR(IF(VALUE($B406)&lt;100000000,VALUE($B406),1000000000),IFERROR(IF(VALUE(MID($B406,2,20))&lt;100000000,VALUE(MID($B406,2,20)),1000000000),1000000000))+ROW()/100000,"")</f>
        <v/>
      </c>
    </row>
    <row r="407">
      <c r="A407">
        <f>IF($B407="","",IFERROR(IF(INDEX('Per Invoice'!$A$2:$A$801,MATCH($B407,'Per Invoice'!$B$2:$B$801,0))=0,"",INDEX('Per Invoice'!$A$2:$A$801,MATCH($B407,'Per Invoice'!$B$2:$B$801,0))),""))</f>
        <v/>
      </c>
      <c r="J407" s="7">
        <f>IF($B407="","",I407*Q407/100)</f>
        <v/>
      </c>
      <c r="N407" s="7" t="n"/>
      <c r="O407" s="7" t="n"/>
      <c r="P407" s="7">
        <f>IF($B407="","",O407*X407/100)</f>
        <v/>
      </c>
      <c r="Q407" s="7">
        <f>IF($B407="","",O407-P407)</f>
        <v/>
      </c>
      <c r="R407" s="7">
        <f>IF($B407="","",Q407-J407)</f>
        <v/>
      </c>
      <c r="S407" s="7" t="n"/>
      <c r="T407" s="7" t="n"/>
      <c r="V407" s="14" t="n"/>
      <c r="Z407">
        <f>IF($B407="","",IF(COUNTIF($B$2:$B407,$B407)=1,1,0))</f>
        <v/>
      </c>
      <c r="AA407">
        <f>IF($Z407=1,SUMPRODUCT(--($AC$2:$AC$3001&lt;$AC407))+1,"")</f>
        <v/>
      </c>
      <c r="AB407">
        <f>IF($B407="","",IF(OR($Y407=TRUE(),$Y407="TRUE"),1,IF(AND($Y407&lt;&gt;"",OR($Y407=FALSE(),$Y407="FALSE")),0,IF(MIN(ABS($X407/100-Settings!$C$6),ABS($X407/100-Settings!$G$6))&lt;=MIN(ABS($X407/100-Settings!$C$7),ABS($X407/100-Settings!$G$7)),1,0))))</f>
        <v/>
      </c>
      <c r="AC407">
        <f>IF($Z407=1,IFERROR(IF(VALUE($B407)&lt;100000000,VALUE($B407),1000000000),IFERROR(IF(VALUE(MID($B407,2,20))&lt;100000000,VALUE(MID($B407,2,20)),1000000000),1000000000))+ROW()/100000,"")</f>
        <v/>
      </c>
    </row>
    <row r="408">
      <c r="A408">
        <f>IF($B408="","",IFERROR(IF(INDEX('Per Invoice'!$A$2:$A$801,MATCH($B408,'Per Invoice'!$B$2:$B$801,0))=0,"",INDEX('Per Invoice'!$A$2:$A$801,MATCH($B408,'Per Invoice'!$B$2:$B$801,0))),""))</f>
        <v/>
      </c>
      <c r="J408" s="7">
        <f>IF($B408="","",I408*Q408/100)</f>
        <v/>
      </c>
      <c r="N408" s="7" t="n"/>
      <c r="O408" s="7" t="n"/>
      <c r="P408" s="7">
        <f>IF($B408="","",O408*X408/100)</f>
        <v/>
      </c>
      <c r="Q408" s="7">
        <f>IF($B408="","",O408-P408)</f>
        <v/>
      </c>
      <c r="R408" s="7">
        <f>IF($B408="","",Q408-J408)</f>
        <v/>
      </c>
      <c r="S408" s="7" t="n"/>
      <c r="T408" s="7" t="n"/>
      <c r="V408" s="14" t="n"/>
      <c r="Z408">
        <f>IF($B408="","",IF(COUNTIF($B$2:$B408,$B408)=1,1,0))</f>
        <v/>
      </c>
      <c r="AA408">
        <f>IF($Z408=1,SUMPRODUCT(--($AC$2:$AC$3001&lt;$AC408))+1,"")</f>
        <v/>
      </c>
      <c r="AB408">
        <f>IF($B408="","",IF(OR($Y408=TRUE(),$Y408="TRUE"),1,IF(AND($Y408&lt;&gt;"",OR($Y408=FALSE(),$Y408="FALSE")),0,IF(MIN(ABS($X408/100-Settings!$C$6),ABS($X408/100-Settings!$G$6))&lt;=MIN(ABS($X408/100-Settings!$C$7),ABS($X408/100-Settings!$G$7)),1,0))))</f>
        <v/>
      </c>
      <c r="AC408">
        <f>IF($Z408=1,IFERROR(IF(VALUE($B408)&lt;100000000,VALUE($B408),1000000000),IFERROR(IF(VALUE(MID($B408,2,20))&lt;100000000,VALUE(MID($B408,2,20)),1000000000),1000000000))+ROW()/100000,"")</f>
        <v/>
      </c>
    </row>
    <row r="409">
      <c r="A409">
        <f>IF($B409="","",IFERROR(IF(INDEX('Per Invoice'!$A$2:$A$801,MATCH($B409,'Per Invoice'!$B$2:$B$801,0))=0,"",INDEX('Per Invoice'!$A$2:$A$801,MATCH($B409,'Per Invoice'!$B$2:$B$801,0))),""))</f>
        <v/>
      </c>
      <c r="J409" s="7">
        <f>IF($B409="","",I409*Q409/100)</f>
        <v/>
      </c>
      <c r="N409" s="7" t="n"/>
      <c r="O409" s="7" t="n"/>
      <c r="P409" s="7">
        <f>IF($B409="","",O409*X409/100)</f>
        <v/>
      </c>
      <c r="Q409" s="7">
        <f>IF($B409="","",O409-P409)</f>
        <v/>
      </c>
      <c r="R409" s="7">
        <f>IF($B409="","",Q409-J409)</f>
        <v/>
      </c>
      <c r="S409" s="7" t="n"/>
      <c r="T409" s="7" t="n"/>
      <c r="V409" s="14" t="n"/>
      <c r="Z409">
        <f>IF($B409="","",IF(COUNTIF($B$2:$B409,$B409)=1,1,0))</f>
        <v/>
      </c>
      <c r="AA409">
        <f>IF($Z409=1,SUMPRODUCT(--($AC$2:$AC$3001&lt;$AC409))+1,"")</f>
        <v/>
      </c>
      <c r="AB409">
        <f>IF($B409="","",IF(OR($Y409=TRUE(),$Y409="TRUE"),1,IF(AND($Y409&lt;&gt;"",OR($Y409=FALSE(),$Y409="FALSE")),0,IF(MIN(ABS($X409/100-Settings!$C$6),ABS($X409/100-Settings!$G$6))&lt;=MIN(ABS($X409/100-Settings!$C$7),ABS($X409/100-Settings!$G$7)),1,0))))</f>
        <v/>
      </c>
      <c r="AC409">
        <f>IF($Z409=1,IFERROR(IF(VALUE($B409)&lt;100000000,VALUE($B409),1000000000),IFERROR(IF(VALUE(MID($B409,2,20))&lt;100000000,VALUE(MID($B409,2,20)),1000000000),1000000000))+ROW()/100000,"")</f>
        <v/>
      </c>
    </row>
    <row r="410">
      <c r="A410">
        <f>IF($B410="","",IFERROR(IF(INDEX('Per Invoice'!$A$2:$A$801,MATCH($B410,'Per Invoice'!$B$2:$B$801,0))=0,"",INDEX('Per Invoice'!$A$2:$A$801,MATCH($B410,'Per Invoice'!$B$2:$B$801,0))),""))</f>
        <v/>
      </c>
      <c r="J410" s="7">
        <f>IF($B410="","",I410*Q410/100)</f>
        <v/>
      </c>
      <c r="N410" s="7" t="n"/>
      <c r="O410" s="7" t="n"/>
      <c r="P410" s="7">
        <f>IF($B410="","",O410*X410/100)</f>
        <v/>
      </c>
      <c r="Q410" s="7">
        <f>IF($B410="","",O410-P410)</f>
        <v/>
      </c>
      <c r="R410" s="7">
        <f>IF($B410="","",Q410-J410)</f>
        <v/>
      </c>
      <c r="S410" s="7" t="n"/>
      <c r="T410" s="7" t="n"/>
      <c r="V410" s="14" t="n"/>
      <c r="Z410">
        <f>IF($B410="","",IF(COUNTIF($B$2:$B410,$B410)=1,1,0))</f>
        <v/>
      </c>
      <c r="AA410">
        <f>IF($Z410=1,SUMPRODUCT(--($AC$2:$AC$3001&lt;$AC410))+1,"")</f>
        <v/>
      </c>
      <c r="AB410">
        <f>IF($B410="","",IF(OR($Y410=TRUE(),$Y410="TRUE"),1,IF(AND($Y410&lt;&gt;"",OR($Y410=FALSE(),$Y410="FALSE")),0,IF(MIN(ABS($X410/100-Settings!$C$6),ABS($X410/100-Settings!$G$6))&lt;=MIN(ABS($X410/100-Settings!$C$7),ABS($X410/100-Settings!$G$7)),1,0))))</f>
        <v/>
      </c>
      <c r="AC410">
        <f>IF($Z410=1,IFERROR(IF(VALUE($B410)&lt;100000000,VALUE($B410),1000000000),IFERROR(IF(VALUE(MID($B410,2,20))&lt;100000000,VALUE(MID($B410,2,20)),1000000000),1000000000))+ROW()/100000,"")</f>
        <v/>
      </c>
    </row>
    <row r="411">
      <c r="A411">
        <f>IF($B411="","",IFERROR(IF(INDEX('Per Invoice'!$A$2:$A$801,MATCH($B411,'Per Invoice'!$B$2:$B$801,0))=0,"",INDEX('Per Invoice'!$A$2:$A$801,MATCH($B411,'Per Invoice'!$B$2:$B$801,0))),""))</f>
        <v/>
      </c>
      <c r="J411" s="7">
        <f>IF($B411="","",I411*Q411/100)</f>
        <v/>
      </c>
      <c r="N411" s="7" t="n"/>
      <c r="O411" s="7" t="n"/>
      <c r="P411" s="7">
        <f>IF($B411="","",O411*X411/100)</f>
        <v/>
      </c>
      <c r="Q411" s="7">
        <f>IF($B411="","",O411-P411)</f>
        <v/>
      </c>
      <c r="R411" s="7">
        <f>IF($B411="","",Q411-J411)</f>
        <v/>
      </c>
      <c r="S411" s="7" t="n"/>
      <c r="T411" s="7" t="n"/>
      <c r="V411" s="14" t="n"/>
      <c r="Z411">
        <f>IF($B411="","",IF(COUNTIF($B$2:$B411,$B411)=1,1,0))</f>
        <v/>
      </c>
      <c r="AA411">
        <f>IF($Z411=1,SUMPRODUCT(--($AC$2:$AC$3001&lt;$AC411))+1,"")</f>
        <v/>
      </c>
      <c r="AB411">
        <f>IF($B411="","",IF(OR($Y411=TRUE(),$Y411="TRUE"),1,IF(AND($Y411&lt;&gt;"",OR($Y411=FALSE(),$Y411="FALSE")),0,IF(MIN(ABS($X411/100-Settings!$C$6),ABS($X411/100-Settings!$G$6))&lt;=MIN(ABS($X411/100-Settings!$C$7),ABS($X411/100-Settings!$G$7)),1,0))))</f>
        <v/>
      </c>
      <c r="AC411">
        <f>IF($Z411=1,IFERROR(IF(VALUE($B411)&lt;100000000,VALUE($B411),1000000000),IFERROR(IF(VALUE(MID($B411,2,20))&lt;100000000,VALUE(MID($B411,2,20)),1000000000),1000000000))+ROW()/100000,"")</f>
        <v/>
      </c>
    </row>
    <row r="412">
      <c r="A412">
        <f>IF($B412="","",IFERROR(IF(INDEX('Per Invoice'!$A$2:$A$801,MATCH($B412,'Per Invoice'!$B$2:$B$801,0))=0,"",INDEX('Per Invoice'!$A$2:$A$801,MATCH($B412,'Per Invoice'!$B$2:$B$801,0))),""))</f>
        <v/>
      </c>
      <c r="J412" s="7">
        <f>IF($B412="","",I412*Q412/100)</f>
        <v/>
      </c>
      <c r="N412" s="7" t="n"/>
      <c r="O412" s="7" t="n"/>
      <c r="P412" s="7">
        <f>IF($B412="","",O412*X412/100)</f>
        <v/>
      </c>
      <c r="Q412" s="7">
        <f>IF($B412="","",O412-P412)</f>
        <v/>
      </c>
      <c r="R412" s="7">
        <f>IF($B412="","",Q412-J412)</f>
        <v/>
      </c>
      <c r="S412" s="7" t="n"/>
      <c r="T412" s="7" t="n"/>
      <c r="V412" s="14" t="n"/>
      <c r="Z412">
        <f>IF($B412="","",IF(COUNTIF($B$2:$B412,$B412)=1,1,0))</f>
        <v/>
      </c>
      <c r="AA412">
        <f>IF($Z412=1,SUMPRODUCT(--($AC$2:$AC$3001&lt;$AC412))+1,"")</f>
        <v/>
      </c>
      <c r="AB412">
        <f>IF($B412="","",IF(OR($Y412=TRUE(),$Y412="TRUE"),1,IF(AND($Y412&lt;&gt;"",OR($Y412=FALSE(),$Y412="FALSE")),0,IF(MIN(ABS($X412/100-Settings!$C$6),ABS($X412/100-Settings!$G$6))&lt;=MIN(ABS($X412/100-Settings!$C$7),ABS($X412/100-Settings!$G$7)),1,0))))</f>
        <v/>
      </c>
      <c r="AC412">
        <f>IF($Z412=1,IFERROR(IF(VALUE($B412)&lt;100000000,VALUE($B412),1000000000),IFERROR(IF(VALUE(MID($B412,2,20))&lt;100000000,VALUE(MID($B412,2,20)),1000000000),1000000000))+ROW()/100000,"")</f>
        <v/>
      </c>
    </row>
    <row r="413">
      <c r="A413">
        <f>IF($B413="","",IFERROR(IF(INDEX('Per Invoice'!$A$2:$A$801,MATCH($B413,'Per Invoice'!$B$2:$B$801,0))=0,"",INDEX('Per Invoice'!$A$2:$A$801,MATCH($B413,'Per Invoice'!$B$2:$B$801,0))),""))</f>
        <v/>
      </c>
      <c r="J413" s="7">
        <f>IF($B413="","",I413*Q413/100)</f>
        <v/>
      </c>
      <c r="N413" s="7" t="n"/>
      <c r="O413" s="7" t="n"/>
      <c r="P413" s="7">
        <f>IF($B413="","",O413*X413/100)</f>
        <v/>
      </c>
      <c r="Q413" s="7">
        <f>IF($B413="","",O413-P413)</f>
        <v/>
      </c>
      <c r="R413" s="7">
        <f>IF($B413="","",Q413-J413)</f>
        <v/>
      </c>
      <c r="S413" s="7" t="n"/>
      <c r="T413" s="7" t="n"/>
      <c r="V413" s="14" t="n"/>
      <c r="Z413">
        <f>IF($B413="","",IF(COUNTIF($B$2:$B413,$B413)=1,1,0))</f>
        <v/>
      </c>
      <c r="AA413">
        <f>IF($Z413=1,SUMPRODUCT(--($AC$2:$AC$3001&lt;$AC413))+1,"")</f>
        <v/>
      </c>
      <c r="AB413">
        <f>IF($B413="","",IF(OR($Y413=TRUE(),$Y413="TRUE"),1,IF(AND($Y413&lt;&gt;"",OR($Y413=FALSE(),$Y413="FALSE")),0,IF(MIN(ABS($X413/100-Settings!$C$6),ABS($X413/100-Settings!$G$6))&lt;=MIN(ABS($X413/100-Settings!$C$7),ABS($X413/100-Settings!$G$7)),1,0))))</f>
        <v/>
      </c>
      <c r="AC413">
        <f>IF($Z413=1,IFERROR(IF(VALUE($B413)&lt;100000000,VALUE($B413),1000000000),IFERROR(IF(VALUE(MID($B413,2,20))&lt;100000000,VALUE(MID($B413,2,20)),1000000000),1000000000))+ROW()/100000,"")</f>
        <v/>
      </c>
    </row>
    <row r="414">
      <c r="A414">
        <f>IF($B414="","",IFERROR(IF(INDEX('Per Invoice'!$A$2:$A$801,MATCH($B414,'Per Invoice'!$B$2:$B$801,0))=0,"",INDEX('Per Invoice'!$A$2:$A$801,MATCH($B414,'Per Invoice'!$B$2:$B$801,0))),""))</f>
        <v/>
      </c>
      <c r="J414" s="7">
        <f>IF($B414="","",I414*Q414/100)</f>
        <v/>
      </c>
      <c r="N414" s="7" t="n"/>
      <c r="O414" s="7" t="n"/>
      <c r="P414" s="7">
        <f>IF($B414="","",O414*X414/100)</f>
        <v/>
      </c>
      <c r="Q414" s="7">
        <f>IF($B414="","",O414-P414)</f>
        <v/>
      </c>
      <c r="R414" s="7">
        <f>IF($B414="","",Q414-J414)</f>
        <v/>
      </c>
      <c r="S414" s="7" t="n"/>
      <c r="T414" s="7" t="n"/>
      <c r="V414" s="14" t="n"/>
      <c r="Z414">
        <f>IF($B414="","",IF(COUNTIF($B$2:$B414,$B414)=1,1,0))</f>
        <v/>
      </c>
      <c r="AA414">
        <f>IF($Z414=1,SUMPRODUCT(--($AC$2:$AC$3001&lt;$AC414))+1,"")</f>
        <v/>
      </c>
      <c r="AB414">
        <f>IF($B414="","",IF(OR($Y414=TRUE(),$Y414="TRUE"),1,IF(AND($Y414&lt;&gt;"",OR($Y414=FALSE(),$Y414="FALSE")),0,IF(MIN(ABS($X414/100-Settings!$C$6),ABS($X414/100-Settings!$G$6))&lt;=MIN(ABS($X414/100-Settings!$C$7),ABS($X414/100-Settings!$G$7)),1,0))))</f>
        <v/>
      </c>
      <c r="AC414">
        <f>IF($Z414=1,IFERROR(IF(VALUE($B414)&lt;100000000,VALUE($B414),1000000000),IFERROR(IF(VALUE(MID($B414,2,20))&lt;100000000,VALUE(MID($B414,2,20)),1000000000),1000000000))+ROW()/100000,"")</f>
        <v/>
      </c>
    </row>
    <row r="415">
      <c r="A415">
        <f>IF($B415="","",IFERROR(IF(INDEX('Per Invoice'!$A$2:$A$801,MATCH($B415,'Per Invoice'!$B$2:$B$801,0))=0,"",INDEX('Per Invoice'!$A$2:$A$801,MATCH($B415,'Per Invoice'!$B$2:$B$801,0))),""))</f>
        <v/>
      </c>
      <c r="J415" s="7">
        <f>IF($B415="","",I415*Q415/100)</f>
        <v/>
      </c>
      <c r="N415" s="7" t="n"/>
      <c r="O415" s="7" t="n"/>
      <c r="P415" s="7">
        <f>IF($B415="","",O415*X415/100)</f>
        <v/>
      </c>
      <c r="Q415" s="7">
        <f>IF($B415="","",O415-P415)</f>
        <v/>
      </c>
      <c r="R415" s="7">
        <f>IF($B415="","",Q415-J415)</f>
        <v/>
      </c>
      <c r="S415" s="7" t="n"/>
      <c r="T415" s="7" t="n"/>
      <c r="V415" s="14" t="n"/>
      <c r="Z415">
        <f>IF($B415="","",IF(COUNTIF($B$2:$B415,$B415)=1,1,0))</f>
        <v/>
      </c>
      <c r="AA415">
        <f>IF($Z415=1,SUMPRODUCT(--($AC$2:$AC$3001&lt;$AC415))+1,"")</f>
        <v/>
      </c>
      <c r="AB415">
        <f>IF($B415="","",IF(OR($Y415=TRUE(),$Y415="TRUE"),1,IF(AND($Y415&lt;&gt;"",OR($Y415=FALSE(),$Y415="FALSE")),0,IF(MIN(ABS($X415/100-Settings!$C$6),ABS($X415/100-Settings!$G$6))&lt;=MIN(ABS($X415/100-Settings!$C$7),ABS($X415/100-Settings!$G$7)),1,0))))</f>
        <v/>
      </c>
      <c r="AC415">
        <f>IF($Z415=1,IFERROR(IF(VALUE($B415)&lt;100000000,VALUE($B415),1000000000),IFERROR(IF(VALUE(MID($B415,2,20))&lt;100000000,VALUE(MID($B415,2,20)),1000000000),1000000000))+ROW()/100000,"")</f>
        <v/>
      </c>
    </row>
    <row r="416">
      <c r="A416">
        <f>IF($B416="","",IFERROR(IF(INDEX('Per Invoice'!$A$2:$A$801,MATCH($B416,'Per Invoice'!$B$2:$B$801,0))=0,"",INDEX('Per Invoice'!$A$2:$A$801,MATCH($B416,'Per Invoice'!$B$2:$B$801,0))),""))</f>
        <v/>
      </c>
      <c r="J416" s="7">
        <f>IF($B416="","",I416*Q416/100)</f>
        <v/>
      </c>
      <c r="N416" s="7" t="n"/>
      <c r="O416" s="7" t="n"/>
      <c r="P416" s="7">
        <f>IF($B416="","",O416*X416/100)</f>
        <v/>
      </c>
      <c r="Q416" s="7">
        <f>IF($B416="","",O416-P416)</f>
        <v/>
      </c>
      <c r="R416" s="7">
        <f>IF($B416="","",Q416-J416)</f>
        <v/>
      </c>
      <c r="S416" s="7" t="n"/>
      <c r="T416" s="7" t="n"/>
      <c r="V416" s="14" t="n"/>
      <c r="Z416">
        <f>IF($B416="","",IF(COUNTIF($B$2:$B416,$B416)=1,1,0))</f>
        <v/>
      </c>
      <c r="AA416">
        <f>IF($Z416=1,SUMPRODUCT(--($AC$2:$AC$3001&lt;$AC416))+1,"")</f>
        <v/>
      </c>
      <c r="AB416">
        <f>IF($B416="","",IF(OR($Y416=TRUE(),$Y416="TRUE"),1,IF(AND($Y416&lt;&gt;"",OR($Y416=FALSE(),$Y416="FALSE")),0,IF(MIN(ABS($X416/100-Settings!$C$6),ABS($X416/100-Settings!$G$6))&lt;=MIN(ABS($X416/100-Settings!$C$7),ABS($X416/100-Settings!$G$7)),1,0))))</f>
        <v/>
      </c>
      <c r="AC416">
        <f>IF($Z416=1,IFERROR(IF(VALUE($B416)&lt;100000000,VALUE($B416),1000000000),IFERROR(IF(VALUE(MID($B416,2,20))&lt;100000000,VALUE(MID($B416,2,20)),1000000000),1000000000))+ROW()/100000,"")</f>
        <v/>
      </c>
    </row>
    <row r="417">
      <c r="A417">
        <f>IF($B417="","",IFERROR(IF(INDEX('Per Invoice'!$A$2:$A$801,MATCH($B417,'Per Invoice'!$B$2:$B$801,0))=0,"",INDEX('Per Invoice'!$A$2:$A$801,MATCH($B417,'Per Invoice'!$B$2:$B$801,0))),""))</f>
        <v/>
      </c>
      <c r="J417" s="7">
        <f>IF($B417="","",I417*Q417/100)</f>
        <v/>
      </c>
      <c r="N417" s="7" t="n"/>
      <c r="O417" s="7" t="n"/>
      <c r="P417" s="7">
        <f>IF($B417="","",O417*X417/100)</f>
        <v/>
      </c>
      <c r="Q417" s="7">
        <f>IF($B417="","",O417-P417)</f>
        <v/>
      </c>
      <c r="R417" s="7">
        <f>IF($B417="","",Q417-J417)</f>
        <v/>
      </c>
      <c r="S417" s="7" t="n"/>
      <c r="T417" s="7" t="n"/>
      <c r="V417" s="14" t="n"/>
      <c r="Z417">
        <f>IF($B417="","",IF(COUNTIF($B$2:$B417,$B417)=1,1,0))</f>
        <v/>
      </c>
      <c r="AA417">
        <f>IF($Z417=1,SUMPRODUCT(--($AC$2:$AC$3001&lt;$AC417))+1,"")</f>
        <v/>
      </c>
      <c r="AB417">
        <f>IF($B417="","",IF(OR($Y417=TRUE(),$Y417="TRUE"),1,IF(AND($Y417&lt;&gt;"",OR($Y417=FALSE(),$Y417="FALSE")),0,IF(MIN(ABS($X417/100-Settings!$C$6),ABS($X417/100-Settings!$G$6))&lt;=MIN(ABS($X417/100-Settings!$C$7),ABS($X417/100-Settings!$G$7)),1,0))))</f>
        <v/>
      </c>
      <c r="AC417">
        <f>IF($Z417=1,IFERROR(IF(VALUE($B417)&lt;100000000,VALUE($B417),1000000000),IFERROR(IF(VALUE(MID($B417,2,20))&lt;100000000,VALUE(MID($B417,2,20)),1000000000),1000000000))+ROW()/100000,"")</f>
        <v/>
      </c>
    </row>
    <row r="418">
      <c r="A418">
        <f>IF($B418="","",IFERROR(IF(INDEX('Per Invoice'!$A$2:$A$801,MATCH($B418,'Per Invoice'!$B$2:$B$801,0))=0,"",INDEX('Per Invoice'!$A$2:$A$801,MATCH($B418,'Per Invoice'!$B$2:$B$801,0))),""))</f>
        <v/>
      </c>
      <c r="J418" s="7">
        <f>IF($B418="","",I418*Q418/100)</f>
        <v/>
      </c>
      <c r="N418" s="7" t="n"/>
      <c r="O418" s="7" t="n"/>
      <c r="P418" s="7">
        <f>IF($B418="","",O418*X418/100)</f>
        <v/>
      </c>
      <c r="Q418" s="7">
        <f>IF($B418="","",O418-P418)</f>
        <v/>
      </c>
      <c r="R418" s="7">
        <f>IF($B418="","",Q418-J418)</f>
        <v/>
      </c>
      <c r="S418" s="7" t="n"/>
      <c r="T418" s="7" t="n"/>
      <c r="V418" s="14" t="n"/>
      <c r="Z418">
        <f>IF($B418="","",IF(COUNTIF($B$2:$B418,$B418)=1,1,0))</f>
        <v/>
      </c>
      <c r="AA418">
        <f>IF($Z418=1,SUMPRODUCT(--($AC$2:$AC$3001&lt;$AC418))+1,"")</f>
        <v/>
      </c>
      <c r="AB418">
        <f>IF($B418="","",IF(OR($Y418=TRUE(),$Y418="TRUE"),1,IF(AND($Y418&lt;&gt;"",OR($Y418=FALSE(),$Y418="FALSE")),0,IF(MIN(ABS($X418/100-Settings!$C$6),ABS($X418/100-Settings!$G$6))&lt;=MIN(ABS($X418/100-Settings!$C$7),ABS($X418/100-Settings!$G$7)),1,0))))</f>
        <v/>
      </c>
      <c r="AC418">
        <f>IF($Z418=1,IFERROR(IF(VALUE($B418)&lt;100000000,VALUE($B418),1000000000),IFERROR(IF(VALUE(MID($B418,2,20))&lt;100000000,VALUE(MID($B418,2,20)),1000000000),1000000000))+ROW()/100000,"")</f>
        <v/>
      </c>
    </row>
    <row r="419">
      <c r="A419">
        <f>IF($B419="","",IFERROR(IF(INDEX('Per Invoice'!$A$2:$A$801,MATCH($B419,'Per Invoice'!$B$2:$B$801,0))=0,"",INDEX('Per Invoice'!$A$2:$A$801,MATCH($B419,'Per Invoice'!$B$2:$B$801,0))),""))</f>
        <v/>
      </c>
      <c r="J419" s="7">
        <f>IF($B419="","",I419*Q419/100)</f>
        <v/>
      </c>
      <c r="N419" s="7" t="n"/>
      <c r="O419" s="7" t="n"/>
      <c r="P419" s="7">
        <f>IF($B419="","",O419*X419/100)</f>
        <v/>
      </c>
      <c r="Q419" s="7">
        <f>IF($B419="","",O419-P419)</f>
        <v/>
      </c>
      <c r="R419" s="7">
        <f>IF($B419="","",Q419-J419)</f>
        <v/>
      </c>
      <c r="S419" s="7" t="n"/>
      <c r="T419" s="7" t="n"/>
      <c r="V419" s="14" t="n"/>
      <c r="Z419">
        <f>IF($B419="","",IF(COUNTIF($B$2:$B419,$B419)=1,1,0))</f>
        <v/>
      </c>
      <c r="AA419">
        <f>IF($Z419=1,SUMPRODUCT(--($AC$2:$AC$3001&lt;$AC419))+1,"")</f>
        <v/>
      </c>
      <c r="AB419">
        <f>IF($B419="","",IF(OR($Y419=TRUE(),$Y419="TRUE"),1,IF(AND($Y419&lt;&gt;"",OR($Y419=FALSE(),$Y419="FALSE")),0,IF(MIN(ABS($X419/100-Settings!$C$6),ABS($X419/100-Settings!$G$6))&lt;=MIN(ABS($X419/100-Settings!$C$7),ABS($X419/100-Settings!$G$7)),1,0))))</f>
        <v/>
      </c>
      <c r="AC419">
        <f>IF($Z419=1,IFERROR(IF(VALUE($B419)&lt;100000000,VALUE($B419),1000000000),IFERROR(IF(VALUE(MID($B419,2,20))&lt;100000000,VALUE(MID($B419,2,20)),1000000000),1000000000))+ROW()/100000,"")</f>
        <v/>
      </c>
    </row>
    <row r="420">
      <c r="A420">
        <f>IF($B420="","",IFERROR(IF(INDEX('Per Invoice'!$A$2:$A$801,MATCH($B420,'Per Invoice'!$B$2:$B$801,0))=0,"",INDEX('Per Invoice'!$A$2:$A$801,MATCH($B420,'Per Invoice'!$B$2:$B$801,0))),""))</f>
        <v/>
      </c>
      <c r="J420" s="7">
        <f>IF($B420="","",I420*Q420/100)</f>
        <v/>
      </c>
      <c r="N420" s="7" t="n"/>
      <c r="O420" s="7" t="n"/>
      <c r="P420" s="7">
        <f>IF($B420="","",O420*X420/100)</f>
        <v/>
      </c>
      <c r="Q420" s="7">
        <f>IF($B420="","",O420-P420)</f>
        <v/>
      </c>
      <c r="R420" s="7">
        <f>IF($B420="","",Q420-J420)</f>
        <v/>
      </c>
      <c r="S420" s="7" t="n"/>
      <c r="T420" s="7" t="n"/>
      <c r="V420" s="14" t="n"/>
      <c r="Z420">
        <f>IF($B420="","",IF(COUNTIF($B$2:$B420,$B420)=1,1,0))</f>
        <v/>
      </c>
      <c r="AA420">
        <f>IF($Z420=1,SUMPRODUCT(--($AC$2:$AC$3001&lt;$AC420))+1,"")</f>
        <v/>
      </c>
      <c r="AB420">
        <f>IF($B420="","",IF(OR($Y420=TRUE(),$Y420="TRUE"),1,IF(AND($Y420&lt;&gt;"",OR($Y420=FALSE(),$Y420="FALSE")),0,IF(MIN(ABS($X420/100-Settings!$C$6),ABS($X420/100-Settings!$G$6))&lt;=MIN(ABS($X420/100-Settings!$C$7),ABS($X420/100-Settings!$G$7)),1,0))))</f>
        <v/>
      </c>
      <c r="AC420">
        <f>IF($Z420=1,IFERROR(IF(VALUE($B420)&lt;100000000,VALUE($B420),1000000000),IFERROR(IF(VALUE(MID($B420,2,20))&lt;100000000,VALUE(MID($B420,2,20)),1000000000),1000000000))+ROW()/100000,"")</f>
        <v/>
      </c>
    </row>
    <row r="421">
      <c r="A421">
        <f>IF($B421="","",IFERROR(IF(INDEX('Per Invoice'!$A$2:$A$801,MATCH($B421,'Per Invoice'!$B$2:$B$801,0))=0,"",INDEX('Per Invoice'!$A$2:$A$801,MATCH($B421,'Per Invoice'!$B$2:$B$801,0))),""))</f>
        <v/>
      </c>
      <c r="J421" s="7">
        <f>IF($B421="","",I421*Q421/100)</f>
        <v/>
      </c>
      <c r="N421" s="7" t="n"/>
      <c r="O421" s="7" t="n"/>
      <c r="P421" s="7">
        <f>IF($B421="","",O421*X421/100)</f>
        <v/>
      </c>
      <c r="Q421" s="7">
        <f>IF($B421="","",O421-P421)</f>
        <v/>
      </c>
      <c r="R421" s="7">
        <f>IF($B421="","",Q421-J421)</f>
        <v/>
      </c>
      <c r="S421" s="7" t="n"/>
      <c r="T421" s="7" t="n"/>
      <c r="V421" s="14" t="n"/>
      <c r="Z421">
        <f>IF($B421="","",IF(COUNTIF($B$2:$B421,$B421)=1,1,0))</f>
        <v/>
      </c>
      <c r="AA421">
        <f>IF($Z421=1,SUMPRODUCT(--($AC$2:$AC$3001&lt;$AC421))+1,"")</f>
        <v/>
      </c>
      <c r="AB421">
        <f>IF($B421="","",IF(OR($Y421=TRUE(),$Y421="TRUE"),1,IF(AND($Y421&lt;&gt;"",OR($Y421=FALSE(),$Y421="FALSE")),0,IF(MIN(ABS($X421/100-Settings!$C$6),ABS($X421/100-Settings!$G$6))&lt;=MIN(ABS($X421/100-Settings!$C$7),ABS($X421/100-Settings!$G$7)),1,0))))</f>
        <v/>
      </c>
      <c r="AC421">
        <f>IF($Z421=1,IFERROR(IF(VALUE($B421)&lt;100000000,VALUE($B421),1000000000),IFERROR(IF(VALUE(MID($B421,2,20))&lt;100000000,VALUE(MID($B421,2,20)),1000000000),1000000000))+ROW()/100000,"")</f>
        <v/>
      </c>
    </row>
    <row r="422">
      <c r="A422">
        <f>IF($B422="","",IFERROR(IF(INDEX('Per Invoice'!$A$2:$A$801,MATCH($B422,'Per Invoice'!$B$2:$B$801,0))=0,"",INDEX('Per Invoice'!$A$2:$A$801,MATCH($B422,'Per Invoice'!$B$2:$B$801,0))),""))</f>
        <v/>
      </c>
      <c r="J422" s="7">
        <f>IF($B422="","",I422*Q422/100)</f>
        <v/>
      </c>
      <c r="N422" s="7" t="n"/>
      <c r="O422" s="7" t="n"/>
      <c r="P422" s="7">
        <f>IF($B422="","",O422*X422/100)</f>
        <v/>
      </c>
      <c r="Q422" s="7">
        <f>IF($B422="","",O422-P422)</f>
        <v/>
      </c>
      <c r="R422" s="7">
        <f>IF($B422="","",Q422-J422)</f>
        <v/>
      </c>
      <c r="S422" s="7" t="n"/>
      <c r="T422" s="7" t="n"/>
      <c r="V422" s="14" t="n"/>
      <c r="Z422">
        <f>IF($B422="","",IF(COUNTIF($B$2:$B422,$B422)=1,1,0))</f>
        <v/>
      </c>
      <c r="AA422">
        <f>IF($Z422=1,SUMPRODUCT(--($AC$2:$AC$3001&lt;$AC422))+1,"")</f>
        <v/>
      </c>
      <c r="AB422">
        <f>IF($B422="","",IF(OR($Y422=TRUE(),$Y422="TRUE"),1,IF(AND($Y422&lt;&gt;"",OR($Y422=FALSE(),$Y422="FALSE")),0,IF(MIN(ABS($X422/100-Settings!$C$6),ABS($X422/100-Settings!$G$6))&lt;=MIN(ABS($X422/100-Settings!$C$7),ABS($X422/100-Settings!$G$7)),1,0))))</f>
        <v/>
      </c>
      <c r="AC422">
        <f>IF($Z422=1,IFERROR(IF(VALUE($B422)&lt;100000000,VALUE($B422),1000000000),IFERROR(IF(VALUE(MID($B422,2,20))&lt;100000000,VALUE(MID($B422,2,20)),1000000000),1000000000))+ROW()/100000,"")</f>
        <v/>
      </c>
    </row>
    <row r="423">
      <c r="A423">
        <f>IF($B423="","",IFERROR(IF(INDEX('Per Invoice'!$A$2:$A$801,MATCH($B423,'Per Invoice'!$B$2:$B$801,0))=0,"",INDEX('Per Invoice'!$A$2:$A$801,MATCH($B423,'Per Invoice'!$B$2:$B$801,0))),""))</f>
        <v/>
      </c>
      <c r="J423" s="7">
        <f>IF($B423="","",I423*Q423/100)</f>
        <v/>
      </c>
      <c r="N423" s="7" t="n"/>
      <c r="O423" s="7" t="n"/>
      <c r="P423" s="7">
        <f>IF($B423="","",O423*X423/100)</f>
        <v/>
      </c>
      <c r="Q423" s="7">
        <f>IF($B423="","",O423-P423)</f>
        <v/>
      </c>
      <c r="R423" s="7">
        <f>IF($B423="","",Q423-J423)</f>
        <v/>
      </c>
      <c r="S423" s="7" t="n"/>
      <c r="T423" s="7" t="n"/>
      <c r="V423" s="14" t="n"/>
      <c r="Z423">
        <f>IF($B423="","",IF(COUNTIF($B$2:$B423,$B423)=1,1,0))</f>
        <v/>
      </c>
      <c r="AA423">
        <f>IF($Z423=1,SUMPRODUCT(--($AC$2:$AC$3001&lt;$AC423))+1,"")</f>
        <v/>
      </c>
      <c r="AB423">
        <f>IF($B423="","",IF(OR($Y423=TRUE(),$Y423="TRUE"),1,IF(AND($Y423&lt;&gt;"",OR($Y423=FALSE(),$Y423="FALSE")),0,IF(MIN(ABS($X423/100-Settings!$C$6),ABS($X423/100-Settings!$G$6))&lt;=MIN(ABS($X423/100-Settings!$C$7),ABS($X423/100-Settings!$G$7)),1,0))))</f>
        <v/>
      </c>
      <c r="AC423">
        <f>IF($Z423=1,IFERROR(IF(VALUE($B423)&lt;100000000,VALUE($B423),1000000000),IFERROR(IF(VALUE(MID($B423,2,20))&lt;100000000,VALUE(MID($B423,2,20)),1000000000),1000000000))+ROW()/100000,"")</f>
        <v/>
      </c>
    </row>
    <row r="424">
      <c r="A424">
        <f>IF($B424="","",IFERROR(IF(INDEX('Per Invoice'!$A$2:$A$801,MATCH($B424,'Per Invoice'!$B$2:$B$801,0))=0,"",INDEX('Per Invoice'!$A$2:$A$801,MATCH($B424,'Per Invoice'!$B$2:$B$801,0))),""))</f>
        <v/>
      </c>
      <c r="J424" s="7">
        <f>IF($B424="","",I424*Q424/100)</f>
        <v/>
      </c>
      <c r="N424" s="7" t="n"/>
      <c r="O424" s="7" t="n"/>
      <c r="P424" s="7">
        <f>IF($B424="","",O424*X424/100)</f>
        <v/>
      </c>
      <c r="Q424" s="7">
        <f>IF($B424="","",O424-P424)</f>
        <v/>
      </c>
      <c r="R424" s="7">
        <f>IF($B424="","",Q424-J424)</f>
        <v/>
      </c>
      <c r="S424" s="7" t="n"/>
      <c r="T424" s="7" t="n"/>
      <c r="V424" s="14" t="n"/>
      <c r="Z424">
        <f>IF($B424="","",IF(COUNTIF($B$2:$B424,$B424)=1,1,0))</f>
        <v/>
      </c>
      <c r="AA424">
        <f>IF($Z424=1,SUMPRODUCT(--($AC$2:$AC$3001&lt;$AC424))+1,"")</f>
        <v/>
      </c>
      <c r="AB424">
        <f>IF($B424="","",IF(OR($Y424=TRUE(),$Y424="TRUE"),1,IF(AND($Y424&lt;&gt;"",OR($Y424=FALSE(),$Y424="FALSE")),0,IF(MIN(ABS($X424/100-Settings!$C$6),ABS($X424/100-Settings!$G$6))&lt;=MIN(ABS($X424/100-Settings!$C$7),ABS($X424/100-Settings!$G$7)),1,0))))</f>
        <v/>
      </c>
      <c r="AC424">
        <f>IF($Z424=1,IFERROR(IF(VALUE($B424)&lt;100000000,VALUE($B424),1000000000),IFERROR(IF(VALUE(MID($B424,2,20))&lt;100000000,VALUE(MID($B424,2,20)),1000000000),1000000000))+ROW()/100000,"")</f>
        <v/>
      </c>
    </row>
    <row r="425">
      <c r="A425">
        <f>IF($B425="","",IFERROR(IF(INDEX('Per Invoice'!$A$2:$A$801,MATCH($B425,'Per Invoice'!$B$2:$B$801,0))=0,"",INDEX('Per Invoice'!$A$2:$A$801,MATCH($B425,'Per Invoice'!$B$2:$B$801,0))),""))</f>
        <v/>
      </c>
      <c r="J425" s="7">
        <f>IF($B425="","",I425*Q425/100)</f>
        <v/>
      </c>
      <c r="N425" s="7" t="n"/>
      <c r="O425" s="7" t="n"/>
      <c r="P425" s="7">
        <f>IF($B425="","",O425*X425/100)</f>
        <v/>
      </c>
      <c r="Q425" s="7">
        <f>IF($B425="","",O425-P425)</f>
        <v/>
      </c>
      <c r="R425" s="7">
        <f>IF($B425="","",Q425-J425)</f>
        <v/>
      </c>
      <c r="S425" s="7" t="n"/>
      <c r="T425" s="7" t="n"/>
      <c r="V425" s="14" t="n"/>
      <c r="Z425">
        <f>IF($B425="","",IF(COUNTIF($B$2:$B425,$B425)=1,1,0))</f>
        <v/>
      </c>
      <c r="AA425">
        <f>IF($Z425=1,SUMPRODUCT(--($AC$2:$AC$3001&lt;$AC425))+1,"")</f>
        <v/>
      </c>
      <c r="AB425">
        <f>IF($B425="","",IF(OR($Y425=TRUE(),$Y425="TRUE"),1,IF(AND($Y425&lt;&gt;"",OR($Y425=FALSE(),$Y425="FALSE")),0,IF(MIN(ABS($X425/100-Settings!$C$6),ABS($X425/100-Settings!$G$6))&lt;=MIN(ABS($X425/100-Settings!$C$7),ABS($X425/100-Settings!$G$7)),1,0))))</f>
        <v/>
      </c>
      <c r="AC425">
        <f>IF($Z425=1,IFERROR(IF(VALUE($B425)&lt;100000000,VALUE($B425),1000000000),IFERROR(IF(VALUE(MID($B425,2,20))&lt;100000000,VALUE(MID($B425,2,20)),1000000000),1000000000))+ROW()/100000,"")</f>
        <v/>
      </c>
    </row>
    <row r="426">
      <c r="A426">
        <f>IF($B426="","",IFERROR(IF(INDEX('Per Invoice'!$A$2:$A$801,MATCH($B426,'Per Invoice'!$B$2:$B$801,0))=0,"",INDEX('Per Invoice'!$A$2:$A$801,MATCH($B426,'Per Invoice'!$B$2:$B$801,0))),""))</f>
        <v/>
      </c>
      <c r="J426" s="7">
        <f>IF($B426="","",I426*Q426/100)</f>
        <v/>
      </c>
      <c r="N426" s="7" t="n"/>
      <c r="O426" s="7" t="n"/>
      <c r="P426" s="7">
        <f>IF($B426="","",O426*X426/100)</f>
        <v/>
      </c>
      <c r="Q426" s="7">
        <f>IF($B426="","",O426-P426)</f>
        <v/>
      </c>
      <c r="R426" s="7">
        <f>IF($B426="","",Q426-J426)</f>
        <v/>
      </c>
      <c r="S426" s="7" t="n"/>
      <c r="T426" s="7" t="n"/>
      <c r="V426" s="14" t="n"/>
      <c r="Z426">
        <f>IF($B426="","",IF(COUNTIF($B$2:$B426,$B426)=1,1,0))</f>
        <v/>
      </c>
      <c r="AA426">
        <f>IF($Z426=1,SUMPRODUCT(--($AC$2:$AC$3001&lt;$AC426))+1,"")</f>
        <v/>
      </c>
      <c r="AB426">
        <f>IF($B426="","",IF(OR($Y426=TRUE(),$Y426="TRUE"),1,IF(AND($Y426&lt;&gt;"",OR($Y426=FALSE(),$Y426="FALSE")),0,IF(MIN(ABS($X426/100-Settings!$C$6),ABS($X426/100-Settings!$G$6))&lt;=MIN(ABS($X426/100-Settings!$C$7),ABS($X426/100-Settings!$G$7)),1,0))))</f>
        <v/>
      </c>
      <c r="AC426">
        <f>IF($Z426=1,IFERROR(IF(VALUE($B426)&lt;100000000,VALUE($B426),1000000000),IFERROR(IF(VALUE(MID($B426,2,20))&lt;100000000,VALUE(MID($B426,2,20)),1000000000),1000000000))+ROW()/100000,"")</f>
        <v/>
      </c>
    </row>
    <row r="427">
      <c r="A427">
        <f>IF($B427="","",IFERROR(IF(INDEX('Per Invoice'!$A$2:$A$801,MATCH($B427,'Per Invoice'!$B$2:$B$801,0))=0,"",INDEX('Per Invoice'!$A$2:$A$801,MATCH($B427,'Per Invoice'!$B$2:$B$801,0))),""))</f>
        <v/>
      </c>
      <c r="J427" s="7">
        <f>IF($B427="","",I427*Q427/100)</f>
        <v/>
      </c>
      <c r="N427" s="7" t="n"/>
      <c r="O427" s="7" t="n"/>
      <c r="P427" s="7">
        <f>IF($B427="","",O427*X427/100)</f>
        <v/>
      </c>
      <c r="Q427" s="7">
        <f>IF($B427="","",O427-P427)</f>
        <v/>
      </c>
      <c r="R427" s="7">
        <f>IF($B427="","",Q427-J427)</f>
        <v/>
      </c>
      <c r="S427" s="7" t="n"/>
      <c r="T427" s="7" t="n"/>
      <c r="V427" s="14" t="n"/>
      <c r="Z427">
        <f>IF($B427="","",IF(COUNTIF($B$2:$B427,$B427)=1,1,0))</f>
        <v/>
      </c>
      <c r="AA427">
        <f>IF($Z427=1,SUMPRODUCT(--($AC$2:$AC$3001&lt;$AC427))+1,"")</f>
        <v/>
      </c>
      <c r="AB427">
        <f>IF($B427="","",IF(OR($Y427=TRUE(),$Y427="TRUE"),1,IF(AND($Y427&lt;&gt;"",OR($Y427=FALSE(),$Y427="FALSE")),0,IF(MIN(ABS($X427/100-Settings!$C$6),ABS($X427/100-Settings!$G$6))&lt;=MIN(ABS($X427/100-Settings!$C$7),ABS($X427/100-Settings!$G$7)),1,0))))</f>
        <v/>
      </c>
      <c r="AC427">
        <f>IF($Z427=1,IFERROR(IF(VALUE($B427)&lt;100000000,VALUE($B427),1000000000),IFERROR(IF(VALUE(MID($B427,2,20))&lt;100000000,VALUE(MID($B427,2,20)),1000000000),1000000000))+ROW()/100000,"")</f>
        <v/>
      </c>
    </row>
    <row r="428">
      <c r="A428">
        <f>IF($B428="","",IFERROR(IF(INDEX('Per Invoice'!$A$2:$A$801,MATCH($B428,'Per Invoice'!$B$2:$B$801,0))=0,"",INDEX('Per Invoice'!$A$2:$A$801,MATCH($B428,'Per Invoice'!$B$2:$B$801,0))),""))</f>
        <v/>
      </c>
      <c r="J428" s="7">
        <f>IF($B428="","",I428*Q428/100)</f>
        <v/>
      </c>
      <c r="N428" s="7" t="n"/>
      <c r="O428" s="7" t="n"/>
      <c r="P428" s="7">
        <f>IF($B428="","",O428*X428/100)</f>
        <v/>
      </c>
      <c r="Q428" s="7">
        <f>IF($B428="","",O428-P428)</f>
        <v/>
      </c>
      <c r="R428" s="7">
        <f>IF($B428="","",Q428-J428)</f>
        <v/>
      </c>
      <c r="S428" s="7" t="n"/>
      <c r="T428" s="7" t="n"/>
      <c r="V428" s="14" t="n"/>
      <c r="Z428">
        <f>IF($B428="","",IF(COUNTIF($B$2:$B428,$B428)=1,1,0))</f>
        <v/>
      </c>
      <c r="AA428">
        <f>IF($Z428=1,SUMPRODUCT(--($AC$2:$AC$3001&lt;$AC428))+1,"")</f>
        <v/>
      </c>
      <c r="AB428">
        <f>IF($B428="","",IF(OR($Y428=TRUE(),$Y428="TRUE"),1,IF(AND($Y428&lt;&gt;"",OR($Y428=FALSE(),$Y428="FALSE")),0,IF(MIN(ABS($X428/100-Settings!$C$6),ABS($X428/100-Settings!$G$6))&lt;=MIN(ABS($X428/100-Settings!$C$7),ABS($X428/100-Settings!$G$7)),1,0))))</f>
        <v/>
      </c>
      <c r="AC428">
        <f>IF($Z428=1,IFERROR(IF(VALUE($B428)&lt;100000000,VALUE($B428),1000000000),IFERROR(IF(VALUE(MID($B428,2,20))&lt;100000000,VALUE(MID($B428,2,20)),1000000000),1000000000))+ROW()/100000,"")</f>
        <v/>
      </c>
    </row>
    <row r="429">
      <c r="A429">
        <f>IF($B429="","",IFERROR(IF(INDEX('Per Invoice'!$A$2:$A$801,MATCH($B429,'Per Invoice'!$B$2:$B$801,0))=0,"",INDEX('Per Invoice'!$A$2:$A$801,MATCH($B429,'Per Invoice'!$B$2:$B$801,0))),""))</f>
        <v/>
      </c>
      <c r="J429" s="7">
        <f>IF($B429="","",I429*Q429/100)</f>
        <v/>
      </c>
      <c r="N429" s="7" t="n"/>
      <c r="O429" s="7" t="n"/>
      <c r="P429" s="7">
        <f>IF($B429="","",O429*X429/100)</f>
        <v/>
      </c>
      <c r="Q429" s="7">
        <f>IF($B429="","",O429-P429)</f>
        <v/>
      </c>
      <c r="R429" s="7">
        <f>IF($B429="","",Q429-J429)</f>
        <v/>
      </c>
      <c r="S429" s="7" t="n"/>
      <c r="T429" s="7" t="n"/>
      <c r="V429" s="14" t="n"/>
      <c r="Z429">
        <f>IF($B429="","",IF(COUNTIF($B$2:$B429,$B429)=1,1,0))</f>
        <v/>
      </c>
      <c r="AA429">
        <f>IF($Z429=1,SUMPRODUCT(--($AC$2:$AC$3001&lt;$AC429))+1,"")</f>
        <v/>
      </c>
      <c r="AB429">
        <f>IF($B429="","",IF(OR($Y429=TRUE(),$Y429="TRUE"),1,IF(AND($Y429&lt;&gt;"",OR($Y429=FALSE(),$Y429="FALSE")),0,IF(MIN(ABS($X429/100-Settings!$C$6),ABS($X429/100-Settings!$G$6))&lt;=MIN(ABS($X429/100-Settings!$C$7),ABS($X429/100-Settings!$G$7)),1,0))))</f>
        <v/>
      </c>
      <c r="AC429">
        <f>IF($Z429=1,IFERROR(IF(VALUE($B429)&lt;100000000,VALUE($B429),1000000000),IFERROR(IF(VALUE(MID($B429,2,20))&lt;100000000,VALUE(MID($B429,2,20)),1000000000),1000000000))+ROW()/100000,"")</f>
        <v/>
      </c>
    </row>
    <row r="430">
      <c r="A430">
        <f>IF($B430="","",IFERROR(IF(INDEX('Per Invoice'!$A$2:$A$801,MATCH($B430,'Per Invoice'!$B$2:$B$801,0))=0,"",INDEX('Per Invoice'!$A$2:$A$801,MATCH($B430,'Per Invoice'!$B$2:$B$801,0))),""))</f>
        <v/>
      </c>
      <c r="J430" s="7">
        <f>IF($B430="","",I430*Q430/100)</f>
        <v/>
      </c>
      <c r="N430" s="7" t="n"/>
      <c r="O430" s="7" t="n"/>
      <c r="P430" s="7">
        <f>IF($B430="","",O430*X430/100)</f>
        <v/>
      </c>
      <c r="Q430" s="7">
        <f>IF($B430="","",O430-P430)</f>
        <v/>
      </c>
      <c r="R430" s="7">
        <f>IF($B430="","",Q430-J430)</f>
        <v/>
      </c>
      <c r="S430" s="7" t="n"/>
      <c r="T430" s="7" t="n"/>
      <c r="V430" s="14" t="n"/>
      <c r="Z430">
        <f>IF($B430="","",IF(COUNTIF($B$2:$B430,$B430)=1,1,0))</f>
        <v/>
      </c>
      <c r="AA430">
        <f>IF($Z430=1,SUMPRODUCT(--($AC$2:$AC$3001&lt;$AC430))+1,"")</f>
        <v/>
      </c>
      <c r="AB430">
        <f>IF($B430="","",IF(OR($Y430=TRUE(),$Y430="TRUE"),1,IF(AND($Y430&lt;&gt;"",OR($Y430=FALSE(),$Y430="FALSE")),0,IF(MIN(ABS($X430/100-Settings!$C$6),ABS($X430/100-Settings!$G$6))&lt;=MIN(ABS($X430/100-Settings!$C$7),ABS($X430/100-Settings!$G$7)),1,0))))</f>
        <v/>
      </c>
      <c r="AC430">
        <f>IF($Z430=1,IFERROR(IF(VALUE($B430)&lt;100000000,VALUE($B430),1000000000),IFERROR(IF(VALUE(MID($B430,2,20))&lt;100000000,VALUE(MID($B430,2,20)),1000000000),1000000000))+ROW()/100000,"")</f>
        <v/>
      </c>
    </row>
    <row r="431">
      <c r="A431">
        <f>IF($B431="","",IFERROR(IF(INDEX('Per Invoice'!$A$2:$A$801,MATCH($B431,'Per Invoice'!$B$2:$B$801,0))=0,"",INDEX('Per Invoice'!$A$2:$A$801,MATCH($B431,'Per Invoice'!$B$2:$B$801,0))),""))</f>
        <v/>
      </c>
      <c r="J431" s="7">
        <f>IF($B431="","",I431*Q431/100)</f>
        <v/>
      </c>
      <c r="N431" s="7" t="n"/>
      <c r="O431" s="7" t="n"/>
      <c r="P431" s="7">
        <f>IF($B431="","",O431*X431/100)</f>
        <v/>
      </c>
      <c r="Q431" s="7">
        <f>IF($B431="","",O431-P431)</f>
        <v/>
      </c>
      <c r="R431" s="7">
        <f>IF($B431="","",Q431-J431)</f>
        <v/>
      </c>
      <c r="S431" s="7" t="n"/>
      <c r="T431" s="7" t="n"/>
      <c r="V431" s="14" t="n"/>
      <c r="Z431">
        <f>IF($B431="","",IF(COUNTIF($B$2:$B431,$B431)=1,1,0))</f>
        <v/>
      </c>
      <c r="AA431">
        <f>IF($Z431=1,SUMPRODUCT(--($AC$2:$AC$3001&lt;$AC431))+1,"")</f>
        <v/>
      </c>
      <c r="AB431">
        <f>IF($B431="","",IF(OR($Y431=TRUE(),$Y431="TRUE"),1,IF(AND($Y431&lt;&gt;"",OR($Y431=FALSE(),$Y431="FALSE")),0,IF(MIN(ABS($X431/100-Settings!$C$6),ABS($X431/100-Settings!$G$6))&lt;=MIN(ABS($X431/100-Settings!$C$7),ABS($X431/100-Settings!$G$7)),1,0))))</f>
        <v/>
      </c>
      <c r="AC431">
        <f>IF($Z431=1,IFERROR(IF(VALUE($B431)&lt;100000000,VALUE($B431),1000000000),IFERROR(IF(VALUE(MID($B431,2,20))&lt;100000000,VALUE(MID($B431,2,20)),1000000000),1000000000))+ROW()/100000,"")</f>
        <v/>
      </c>
    </row>
    <row r="432">
      <c r="A432">
        <f>IF($B432="","",IFERROR(IF(INDEX('Per Invoice'!$A$2:$A$801,MATCH($B432,'Per Invoice'!$B$2:$B$801,0))=0,"",INDEX('Per Invoice'!$A$2:$A$801,MATCH($B432,'Per Invoice'!$B$2:$B$801,0))),""))</f>
        <v/>
      </c>
      <c r="J432" s="7">
        <f>IF($B432="","",I432*Q432/100)</f>
        <v/>
      </c>
      <c r="N432" s="7" t="n"/>
      <c r="O432" s="7" t="n"/>
      <c r="P432" s="7">
        <f>IF($B432="","",O432*X432/100)</f>
        <v/>
      </c>
      <c r="Q432" s="7">
        <f>IF($B432="","",O432-P432)</f>
        <v/>
      </c>
      <c r="R432" s="7">
        <f>IF($B432="","",Q432-J432)</f>
        <v/>
      </c>
      <c r="S432" s="7" t="n"/>
      <c r="T432" s="7" t="n"/>
      <c r="V432" s="14" t="n"/>
      <c r="Z432">
        <f>IF($B432="","",IF(COUNTIF($B$2:$B432,$B432)=1,1,0))</f>
        <v/>
      </c>
      <c r="AA432">
        <f>IF($Z432=1,SUMPRODUCT(--($AC$2:$AC$3001&lt;$AC432))+1,"")</f>
        <v/>
      </c>
      <c r="AB432">
        <f>IF($B432="","",IF(OR($Y432=TRUE(),$Y432="TRUE"),1,IF(AND($Y432&lt;&gt;"",OR($Y432=FALSE(),$Y432="FALSE")),0,IF(MIN(ABS($X432/100-Settings!$C$6),ABS($X432/100-Settings!$G$6))&lt;=MIN(ABS($X432/100-Settings!$C$7),ABS($X432/100-Settings!$G$7)),1,0))))</f>
        <v/>
      </c>
      <c r="AC432">
        <f>IF($Z432=1,IFERROR(IF(VALUE($B432)&lt;100000000,VALUE($B432),1000000000),IFERROR(IF(VALUE(MID($B432,2,20))&lt;100000000,VALUE(MID($B432,2,20)),1000000000),1000000000))+ROW()/100000,"")</f>
        <v/>
      </c>
    </row>
    <row r="433">
      <c r="A433">
        <f>IF($B433="","",IFERROR(IF(INDEX('Per Invoice'!$A$2:$A$801,MATCH($B433,'Per Invoice'!$B$2:$B$801,0))=0,"",INDEX('Per Invoice'!$A$2:$A$801,MATCH($B433,'Per Invoice'!$B$2:$B$801,0))),""))</f>
        <v/>
      </c>
      <c r="J433" s="7">
        <f>IF($B433="","",I433*Q433/100)</f>
        <v/>
      </c>
      <c r="N433" s="7" t="n"/>
      <c r="O433" s="7" t="n"/>
      <c r="P433" s="7">
        <f>IF($B433="","",O433*X433/100)</f>
        <v/>
      </c>
      <c r="Q433" s="7">
        <f>IF($B433="","",O433-P433)</f>
        <v/>
      </c>
      <c r="R433" s="7">
        <f>IF($B433="","",Q433-J433)</f>
        <v/>
      </c>
      <c r="S433" s="7" t="n"/>
      <c r="T433" s="7" t="n"/>
      <c r="V433" s="14" t="n"/>
      <c r="Z433">
        <f>IF($B433="","",IF(COUNTIF($B$2:$B433,$B433)=1,1,0))</f>
        <v/>
      </c>
      <c r="AA433">
        <f>IF($Z433=1,SUMPRODUCT(--($AC$2:$AC$3001&lt;$AC433))+1,"")</f>
        <v/>
      </c>
      <c r="AB433">
        <f>IF($B433="","",IF(OR($Y433=TRUE(),$Y433="TRUE"),1,IF(AND($Y433&lt;&gt;"",OR($Y433=FALSE(),$Y433="FALSE")),0,IF(MIN(ABS($X433/100-Settings!$C$6),ABS($X433/100-Settings!$G$6))&lt;=MIN(ABS($X433/100-Settings!$C$7),ABS($X433/100-Settings!$G$7)),1,0))))</f>
        <v/>
      </c>
      <c r="AC433">
        <f>IF($Z433=1,IFERROR(IF(VALUE($B433)&lt;100000000,VALUE($B433),1000000000),IFERROR(IF(VALUE(MID($B433,2,20))&lt;100000000,VALUE(MID($B433,2,20)),1000000000),1000000000))+ROW()/100000,"")</f>
        <v/>
      </c>
    </row>
    <row r="434">
      <c r="A434">
        <f>IF($B434="","",IFERROR(IF(INDEX('Per Invoice'!$A$2:$A$801,MATCH($B434,'Per Invoice'!$B$2:$B$801,0))=0,"",INDEX('Per Invoice'!$A$2:$A$801,MATCH($B434,'Per Invoice'!$B$2:$B$801,0))),""))</f>
        <v/>
      </c>
      <c r="J434" s="7">
        <f>IF($B434="","",I434*Q434/100)</f>
        <v/>
      </c>
      <c r="N434" s="7" t="n"/>
      <c r="O434" s="7" t="n"/>
      <c r="P434" s="7">
        <f>IF($B434="","",O434*X434/100)</f>
        <v/>
      </c>
      <c r="Q434" s="7">
        <f>IF($B434="","",O434-P434)</f>
        <v/>
      </c>
      <c r="R434" s="7">
        <f>IF($B434="","",Q434-J434)</f>
        <v/>
      </c>
      <c r="S434" s="7" t="n"/>
      <c r="T434" s="7" t="n"/>
      <c r="V434" s="14" t="n"/>
      <c r="Z434">
        <f>IF($B434="","",IF(COUNTIF($B$2:$B434,$B434)=1,1,0))</f>
        <v/>
      </c>
      <c r="AA434">
        <f>IF($Z434=1,SUMPRODUCT(--($AC$2:$AC$3001&lt;$AC434))+1,"")</f>
        <v/>
      </c>
      <c r="AB434">
        <f>IF($B434="","",IF(OR($Y434=TRUE(),$Y434="TRUE"),1,IF(AND($Y434&lt;&gt;"",OR($Y434=FALSE(),$Y434="FALSE")),0,IF(MIN(ABS($X434/100-Settings!$C$6),ABS($X434/100-Settings!$G$6))&lt;=MIN(ABS($X434/100-Settings!$C$7),ABS($X434/100-Settings!$G$7)),1,0))))</f>
        <v/>
      </c>
      <c r="AC434">
        <f>IF($Z434=1,IFERROR(IF(VALUE($B434)&lt;100000000,VALUE($B434),1000000000),IFERROR(IF(VALUE(MID($B434,2,20))&lt;100000000,VALUE(MID($B434,2,20)),1000000000),1000000000))+ROW()/100000,"")</f>
        <v/>
      </c>
    </row>
    <row r="435">
      <c r="A435">
        <f>IF($B435="","",IFERROR(IF(INDEX('Per Invoice'!$A$2:$A$801,MATCH($B435,'Per Invoice'!$B$2:$B$801,0))=0,"",INDEX('Per Invoice'!$A$2:$A$801,MATCH($B435,'Per Invoice'!$B$2:$B$801,0))),""))</f>
        <v/>
      </c>
      <c r="J435" s="7">
        <f>IF($B435="","",I435*Q435/100)</f>
        <v/>
      </c>
      <c r="N435" s="7" t="n"/>
      <c r="O435" s="7" t="n"/>
      <c r="P435" s="7">
        <f>IF($B435="","",O435*X435/100)</f>
        <v/>
      </c>
      <c r="Q435" s="7">
        <f>IF($B435="","",O435-P435)</f>
        <v/>
      </c>
      <c r="R435" s="7">
        <f>IF($B435="","",Q435-J435)</f>
        <v/>
      </c>
      <c r="S435" s="7" t="n"/>
      <c r="T435" s="7" t="n"/>
      <c r="V435" s="14" t="n"/>
      <c r="Z435">
        <f>IF($B435="","",IF(COUNTIF($B$2:$B435,$B435)=1,1,0))</f>
        <v/>
      </c>
      <c r="AA435">
        <f>IF($Z435=1,SUMPRODUCT(--($AC$2:$AC$3001&lt;$AC435))+1,"")</f>
        <v/>
      </c>
      <c r="AB435">
        <f>IF($B435="","",IF(OR($Y435=TRUE(),$Y435="TRUE"),1,IF(AND($Y435&lt;&gt;"",OR($Y435=FALSE(),$Y435="FALSE")),0,IF(MIN(ABS($X435/100-Settings!$C$6),ABS($X435/100-Settings!$G$6))&lt;=MIN(ABS($X435/100-Settings!$C$7),ABS($X435/100-Settings!$G$7)),1,0))))</f>
        <v/>
      </c>
      <c r="AC435">
        <f>IF($Z435=1,IFERROR(IF(VALUE($B435)&lt;100000000,VALUE($B435),1000000000),IFERROR(IF(VALUE(MID($B435,2,20))&lt;100000000,VALUE(MID($B435,2,20)),1000000000),1000000000))+ROW()/100000,"")</f>
        <v/>
      </c>
    </row>
    <row r="436">
      <c r="A436">
        <f>IF($B436="","",IFERROR(IF(INDEX('Per Invoice'!$A$2:$A$801,MATCH($B436,'Per Invoice'!$B$2:$B$801,0))=0,"",INDEX('Per Invoice'!$A$2:$A$801,MATCH($B436,'Per Invoice'!$B$2:$B$801,0))),""))</f>
        <v/>
      </c>
      <c r="J436" s="7">
        <f>IF($B436="","",I436*Q436/100)</f>
        <v/>
      </c>
      <c r="N436" s="7" t="n"/>
      <c r="O436" s="7" t="n"/>
      <c r="P436" s="7">
        <f>IF($B436="","",O436*X436/100)</f>
        <v/>
      </c>
      <c r="Q436" s="7">
        <f>IF($B436="","",O436-P436)</f>
        <v/>
      </c>
      <c r="R436" s="7">
        <f>IF($B436="","",Q436-J436)</f>
        <v/>
      </c>
      <c r="S436" s="7" t="n"/>
      <c r="T436" s="7" t="n"/>
      <c r="V436" s="14" t="n"/>
      <c r="Z436">
        <f>IF($B436="","",IF(COUNTIF($B$2:$B436,$B436)=1,1,0))</f>
        <v/>
      </c>
      <c r="AA436">
        <f>IF($Z436=1,SUMPRODUCT(--($AC$2:$AC$3001&lt;$AC436))+1,"")</f>
        <v/>
      </c>
      <c r="AB436">
        <f>IF($B436="","",IF(OR($Y436=TRUE(),$Y436="TRUE"),1,IF(AND($Y436&lt;&gt;"",OR($Y436=FALSE(),$Y436="FALSE")),0,IF(MIN(ABS($X436/100-Settings!$C$6),ABS($X436/100-Settings!$G$6))&lt;=MIN(ABS($X436/100-Settings!$C$7),ABS($X436/100-Settings!$G$7)),1,0))))</f>
        <v/>
      </c>
      <c r="AC436">
        <f>IF($Z436=1,IFERROR(IF(VALUE($B436)&lt;100000000,VALUE($B436),1000000000),IFERROR(IF(VALUE(MID($B436,2,20))&lt;100000000,VALUE(MID($B436,2,20)),1000000000),1000000000))+ROW()/100000,"")</f>
        <v/>
      </c>
    </row>
    <row r="437">
      <c r="A437">
        <f>IF($B437="","",IFERROR(IF(INDEX('Per Invoice'!$A$2:$A$801,MATCH($B437,'Per Invoice'!$B$2:$B$801,0))=0,"",INDEX('Per Invoice'!$A$2:$A$801,MATCH($B437,'Per Invoice'!$B$2:$B$801,0))),""))</f>
        <v/>
      </c>
      <c r="J437" s="7">
        <f>IF($B437="","",I437*Q437/100)</f>
        <v/>
      </c>
      <c r="N437" s="7" t="n"/>
      <c r="O437" s="7" t="n"/>
      <c r="P437" s="7">
        <f>IF($B437="","",O437*X437/100)</f>
        <v/>
      </c>
      <c r="Q437" s="7">
        <f>IF($B437="","",O437-P437)</f>
        <v/>
      </c>
      <c r="R437" s="7">
        <f>IF($B437="","",Q437-J437)</f>
        <v/>
      </c>
      <c r="S437" s="7" t="n"/>
      <c r="T437" s="7" t="n"/>
      <c r="V437" s="14" t="n"/>
      <c r="Z437">
        <f>IF($B437="","",IF(COUNTIF($B$2:$B437,$B437)=1,1,0))</f>
        <v/>
      </c>
      <c r="AA437">
        <f>IF($Z437=1,SUMPRODUCT(--($AC$2:$AC$3001&lt;$AC437))+1,"")</f>
        <v/>
      </c>
      <c r="AB437">
        <f>IF($B437="","",IF(OR($Y437=TRUE(),$Y437="TRUE"),1,IF(AND($Y437&lt;&gt;"",OR($Y437=FALSE(),$Y437="FALSE")),0,IF(MIN(ABS($X437/100-Settings!$C$6),ABS($X437/100-Settings!$G$6))&lt;=MIN(ABS($X437/100-Settings!$C$7),ABS($X437/100-Settings!$G$7)),1,0))))</f>
        <v/>
      </c>
      <c r="AC437">
        <f>IF($Z437=1,IFERROR(IF(VALUE($B437)&lt;100000000,VALUE($B437),1000000000),IFERROR(IF(VALUE(MID($B437,2,20))&lt;100000000,VALUE(MID($B437,2,20)),1000000000),1000000000))+ROW()/100000,"")</f>
        <v/>
      </c>
    </row>
    <row r="438">
      <c r="A438">
        <f>IF($B438="","",IFERROR(IF(INDEX('Per Invoice'!$A$2:$A$801,MATCH($B438,'Per Invoice'!$B$2:$B$801,0))=0,"",INDEX('Per Invoice'!$A$2:$A$801,MATCH($B438,'Per Invoice'!$B$2:$B$801,0))),""))</f>
        <v/>
      </c>
      <c r="J438" s="7">
        <f>IF($B438="","",I438*Q438/100)</f>
        <v/>
      </c>
      <c r="N438" s="7" t="n"/>
      <c r="O438" s="7" t="n"/>
      <c r="P438" s="7">
        <f>IF($B438="","",O438*X438/100)</f>
        <v/>
      </c>
      <c r="Q438" s="7">
        <f>IF($B438="","",O438-P438)</f>
        <v/>
      </c>
      <c r="R438" s="7">
        <f>IF($B438="","",Q438-J438)</f>
        <v/>
      </c>
      <c r="S438" s="7" t="n"/>
      <c r="T438" s="7" t="n"/>
      <c r="V438" s="14" t="n"/>
      <c r="Z438">
        <f>IF($B438="","",IF(COUNTIF($B$2:$B438,$B438)=1,1,0))</f>
        <v/>
      </c>
      <c r="AA438">
        <f>IF($Z438=1,SUMPRODUCT(--($AC$2:$AC$3001&lt;$AC438))+1,"")</f>
        <v/>
      </c>
      <c r="AB438">
        <f>IF($B438="","",IF(OR($Y438=TRUE(),$Y438="TRUE"),1,IF(AND($Y438&lt;&gt;"",OR($Y438=FALSE(),$Y438="FALSE")),0,IF(MIN(ABS($X438/100-Settings!$C$6),ABS($X438/100-Settings!$G$6))&lt;=MIN(ABS($X438/100-Settings!$C$7),ABS($X438/100-Settings!$G$7)),1,0))))</f>
        <v/>
      </c>
      <c r="AC438">
        <f>IF($Z438=1,IFERROR(IF(VALUE($B438)&lt;100000000,VALUE($B438),1000000000),IFERROR(IF(VALUE(MID($B438,2,20))&lt;100000000,VALUE(MID($B438,2,20)),1000000000),1000000000))+ROW()/100000,"")</f>
        <v/>
      </c>
    </row>
    <row r="439">
      <c r="A439">
        <f>IF($B439="","",IFERROR(IF(INDEX('Per Invoice'!$A$2:$A$801,MATCH($B439,'Per Invoice'!$B$2:$B$801,0))=0,"",INDEX('Per Invoice'!$A$2:$A$801,MATCH($B439,'Per Invoice'!$B$2:$B$801,0))),""))</f>
        <v/>
      </c>
      <c r="J439" s="7">
        <f>IF($B439="","",I439*Q439/100)</f>
        <v/>
      </c>
      <c r="N439" s="7" t="n"/>
      <c r="O439" s="7" t="n"/>
      <c r="P439" s="7">
        <f>IF($B439="","",O439*X439/100)</f>
        <v/>
      </c>
      <c r="Q439" s="7">
        <f>IF($B439="","",O439-P439)</f>
        <v/>
      </c>
      <c r="R439" s="7">
        <f>IF($B439="","",Q439-J439)</f>
        <v/>
      </c>
      <c r="S439" s="7" t="n"/>
      <c r="T439" s="7" t="n"/>
      <c r="V439" s="14" t="n"/>
      <c r="Z439">
        <f>IF($B439="","",IF(COUNTIF($B$2:$B439,$B439)=1,1,0))</f>
        <v/>
      </c>
      <c r="AA439">
        <f>IF($Z439=1,SUMPRODUCT(--($AC$2:$AC$3001&lt;$AC439))+1,"")</f>
        <v/>
      </c>
      <c r="AB439">
        <f>IF($B439="","",IF(OR($Y439=TRUE(),$Y439="TRUE"),1,IF(AND($Y439&lt;&gt;"",OR($Y439=FALSE(),$Y439="FALSE")),0,IF(MIN(ABS($X439/100-Settings!$C$6),ABS($X439/100-Settings!$G$6))&lt;=MIN(ABS($X439/100-Settings!$C$7),ABS($X439/100-Settings!$G$7)),1,0))))</f>
        <v/>
      </c>
      <c r="AC439">
        <f>IF($Z439=1,IFERROR(IF(VALUE($B439)&lt;100000000,VALUE($B439),1000000000),IFERROR(IF(VALUE(MID($B439,2,20))&lt;100000000,VALUE(MID($B439,2,20)),1000000000),1000000000))+ROW()/100000,"")</f>
        <v/>
      </c>
    </row>
    <row r="440">
      <c r="A440">
        <f>IF($B440="","",IFERROR(IF(INDEX('Per Invoice'!$A$2:$A$801,MATCH($B440,'Per Invoice'!$B$2:$B$801,0))=0,"",INDEX('Per Invoice'!$A$2:$A$801,MATCH($B440,'Per Invoice'!$B$2:$B$801,0))),""))</f>
        <v/>
      </c>
      <c r="J440" s="7">
        <f>IF($B440="","",I440*Q440/100)</f>
        <v/>
      </c>
      <c r="N440" s="7" t="n"/>
      <c r="O440" s="7" t="n"/>
      <c r="P440" s="7">
        <f>IF($B440="","",O440*X440/100)</f>
        <v/>
      </c>
      <c r="Q440" s="7">
        <f>IF($B440="","",O440-P440)</f>
        <v/>
      </c>
      <c r="R440" s="7">
        <f>IF($B440="","",Q440-J440)</f>
        <v/>
      </c>
      <c r="S440" s="7" t="n"/>
      <c r="T440" s="7" t="n"/>
      <c r="V440" s="14" t="n"/>
      <c r="Z440">
        <f>IF($B440="","",IF(COUNTIF($B$2:$B440,$B440)=1,1,0))</f>
        <v/>
      </c>
      <c r="AA440">
        <f>IF($Z440=1,SUMPRODUCT(--($AC$2:$AC$3001&lt;$AC440))+1,"")</f>
        <v/>
      </c>
      <c r="AB440">
        <f>IF($B440="","",IF(OR($Y440=TRUE(),$Y440="TRUE"),1,IF(AND($Y440&lt;&gt;"",OR($Y440=FALSE(),$Y440="FALSE")),0,IF(MIN(ABS($X440/100-Settings!$C$6),ABS($X440/100-Settings!$G$6))&lt;=MIN(ABS($X440/100-Settings!$C$7),ABS($X440/100-Settings!$G$7)),1,0))))</f>
        <v/>
      </c>
      <c r="AC440">
        <f>IF($Z440=1,IFERROR(IF(VALUE($B440)&lt;100000000,VALUE($B440),1000000000),IFERROR(IF(VALUE(MID($B440,2,20))&lt;100000000,VALUE(MID($B440,2,20)),1000000000),1000000000))+ROW()/100000,"")</f>
        <v/>
      </c>
    </row>
    <row r="441">
      <c r="A441">
        <f>IF($B441="","",IFERROR(IF(INDEX('Per Invoice'!$A$2:$A$801,MATCH($B441,'Per Invoice'!$B$2:$B$801,0))=0,"",INDEX('Per Invoice'!$A$2:$A$801,MATCH($B441,'Per Invoice'!$B$2:$B$801,0))),""))</f>
        <v/>
      </c>
      <c r="J441" s="7">
        <f>IF($B441="","",I441*Q441/100)</f>
        <v/>
      </c>
      <c r="N441" s="7" t="n"/>
      <c r="O441" s="7" t="n"/>
      <c r="P441" s="7">
        <f>IF($B441="","",O441*X441/100)</f>
        <v/>
      </c>
      <c r="Q441" s="7">
        <f>IF($B441="","",O441-P441)</f>
        <v/>
      </c>
      <c r="R441" s="7">
        <f>IF($B441="","",Q441-J441)</f>
        <v/>
      </c>
      <c r="S441" s="7" t="n"/>
      <c r="T441" s="7" t="n"/>
      <c r="V441" s="14" t="n"/>
      <c r="Z441">
        <f>IF($B441="","",IF(COUNTIF($B$2:$B441,$B441)=1,1,0))</f>
        <v/>
      </c>
      <c r="AA441">
        <f>IF($Z441=1,SUMPRODUCT(--($AC$2:$AC$3001&lt;$AC441))+1,"")</f>
        <v/>
      </c>
      <c r="AB441">
        <f>IF($B441="","",IF(OR($Y441=TRUE(),$Y441="TRUE"),1,IF(AND($Y441&lt;&gt;"",OR($Y441=FALSE(),$Y441="FALSE")),0,IF(MIN(ABS($X441/100-Settings!$C$6),ABS($X441/100-Settings!$G$6))&lt;=MIN(ABS($X441/100-Settings!$C$7),ABS($X441/100-Settings!$G$7)),1,0))))</f>
        <v/>
      </c>
      <c r="AC441">
        <f>IF($Z441=1,IFERROR(IF(VALUE($B441)&lt;100000000,VALUE($B441),1000000000),IFERROR(IF(VALUE(MID($B441,2,20))&lt;100000000,VALUE(MID($B441,2,20)),1000000000),1000000000))+ROW()/100000,"")</f>
        <v/>
      </c>
    </row>
    <row r="442">
      <c r="A442">
        <f>IF($B442="","",IFERROR(IF(INDEX('Per Invoice'!$A$2:$A$801,MATCH($B442,'Per Invoice'!$B$2:$B$801,0))=0,"",INDEX('Per Invoice'!$A$2:$A$801,MATCH($B442,'Per Invoice'!$B$2:$B$801,0))),""))</f>
        <v/>
      </c>
      <c r="J442" s="7">
        <f>IF($B442="","",I442*Q442/100)</f>
        <v/>
      </c>
      <c r="N442" s="7" t="n"/>
      <c r="O442" s="7" t="n"/>
      <c r="P442" s="7">
        <f>IF($B442="","",O442*X442/100)</f>
        <v/>
      </c>
      <c r="Q442" s="7">
        <f>IF($B442="","",O442-P442)</f>
        <v/>
      </c>
      <c r="R442" s="7">
        <f>IF($B442="","",Q442-J442)</f>
        <v/>
      </c>
      <c r="S442" s="7" t="n"/>
      <c r="T442" s="7" t="n"/>
      <c r="V442" s="14" t="n"/>
      <c r="Z442">
        <f>IF($B442="","",IF(COUNTIF($B$2:$B442,$B442)=1,1,0))</f>
        <v/>
      </c>
      <c r="AA442">
        <f>IF($Z442=1,SUMPRODUCT(--($AC$2:$AC$3001&lt;$AC442))+1,"")</f>
        <v/>
      </c>
      <c r="AB442">
        <f>IF($B442="","",IF(OR($Y442=TRUE(),$Y442="TRUE"),1,IF(AND($Y442&lt;&gt;"",OR($Y442=FALSE(),$Y442="FALSE")),0,IF(MIN(ABS($X442/100-Settings!$C$6),ABS($X442/100-Settings!$G$6))&lt;=MIN(ABS($X442/100-Settings!$C$7),ABS($X442/100-Settings!$G$7)),1,0))))</f>
        <v/>
      </c>
      <c r="AC442">
        <f>IF($Z442=1,IFERROR(IF(VALUE($B442)&lt;100000000,VALUE($B442),1000000000),IFERROR(IF(VALUE(MID($B442,2,20))&lt;100000000,VALUE(MID($B442,2,20)),1000000000),1000000000))+ROW()/100000,"")</f>
        <v/>
      </c>
    </row>
    <row r="443">
      <c r="A443">
        <f>IF($B443="","",IFERROR(IF(INDEX('Per Invoice'!$A$2:$A$801,MATCH($B443,'Per Invoice'!$B$2:$B$801,0))=0,"",INDEX('Per Invoice'!$A$2:$A$801,MATCH($B443,'Per Invoice'!$B$2:$B$801,0))),""))</f>
        <v/>
      </c>
      <c r="J443" s="7">
        <f>IF($B443="","",I443*Q443/100)</f>
        <v/>
      </c>
      <c r="N443" s="7" t="n"/>
      <c r="O443" s="7" t="n"/>
      <c r="P443" s="7">
        <f>IF($B443="","",O443*X443/100)</f>
        <v/>
      </c>
      <c r="Q443" s="7">
        <f>IF($B443="","",O443-P443)</f>
        <v/>
      </c>
      <c r="R443" s="7">
        <f>IF($B443="","",Q443-J443)</f>
        <v/>
      </c>
      <c r="S443" s="7" t="n"/>
      <c r="T443" s="7" t="n"/>
      <c r="V443" s="14" t="n"/>
      <c r="Z443">
        <f>IF($B443="","",IF(COUNTIF($B$2:$B443,$B443)=1,1,0))</f>
        <v/>
      </c>
      <c r="AA443">
        <f>IF($Z443=1,SUMPRODUCT(--($AC$2:$AC$3001&lt;$AC443))+1,"")</f>
        <v/>
      </c>
      <c r="AB443">
        <f>IF($B443="","",IF(OR($Y443=TRUE(),$Y443="TRUE"),1,IF(AND($Y443&lt;&gt;"",OR($Y443=FALSE(),$Y443="FALSE")),0,IF(MIN(ABS($X443/100-Settings!$C$6),ABS($X443/100-Settings!$G$6))&lt;=MIN(ABS($X443/100-Settings!$C$7),ABS($X443/100-Settings!$G$7)),1,0))))</f>
        <v/>
      </c>
      <c r="AC443">
        <f>IF($Z443=1,IFERROR(IF(VALUE($B443)&lt;100000000,VALUE($B443),1000000000),IFERROR(IF(VALUE(MID($B443,2,20))&lt;100000000,VALUE(MID($B443,2,20)),1000000000),1000000000))+ROW()/100000,"")</f>
        <v/>
      </c>
    </row>
    <row r="444">
      <c r="A444">
        <f>IF($B444="","",IFERROR(IF(INDEX('Per Invoice'!$A$2:$A$801,MATCH($B444,'Per Invoice'!$B$2:$B$801,0))=0,"",INDEX('Per Invoice'!$A$2:$A$801,MATCH($B444,'Per Invoice'!$B$2:$B$801,0))),""))</f>
        <v/>
      </c>
      <c r="J444" s="7">
        <f>IF($B444="","",I444*Q444/100)</f>
        <v/>
      </c>
      <c r="N444" s="7" t="n"/>
      <c r="O444" s="7" t="n"/>
      <c r="P444" s="7">
        <f>IF($B444="","",O444*X444/100)</f>
        <v/>
      </c>
      <c r="Q444" s="7">
        <f>IF($B444="","",O444-P444)</f>
        <v/>
      </c>
      <c r="R444" s="7">
        <f>IF($B444="","",Q444-J444)</f>
        <v/>
      </c>
      <c r="S444" s="7" t="n"/>
      <c r="T444" s="7" t="n"/>
      <c r="V444" s="14" t="n"/>
      <c r="Z444">
        <f>IF($B444="","",IF(COUNTIF($B$2:$B444,$B444)=1,1,0))</f>
        <v/>
      </c>
      <c r="AA444">
        <f>IF($Z444=1,SUMPRODUCT(--($AC$2:$AC$3001&lt;$AC444))+1,"")</f>
        <v/>
      </c>
      <c r="AB444">
        <f>IF($B444="","",IF(OR($Y444=TRUE(),$Y444="TRUE"),1,IF(AND($Y444&lt;&gt;"",OR($Y444=FALSE(),$Y444="FALSE")),0,IF(MIN(ABS($X444/100-Settings!$C$6),ABS($X444/100-Settings!$G$6))&lt;=MIN(ABS($X444/100-Settings!$C$7),ABS($X444/100-Settings!$G$7)),1,0))))</f>
        <v/>
      </c>
      <c r="AC444">
        <f>IF($Z444=1,IFERROR(IF(VALUE($B444)&lt;100000000,VALUE($B444),1000000000),IFERROR(IF(VALUE(MID($B444,2,20))&lt;100000000,VALUE(MID($B444,2,20)),1000000000),1000000000))+ROW()/100000,"")</f>
        <v/>
      </c>
    </row>
    <row r="445">
      <c r="A445">
        <f>IF($B445="","",IFERROR(IF(INDEX('Per Invoice'!$A$2:$A$801,MATCH($B445,'Per Invoice'!$B$2:$B$801,0))=0,"",INDEX('Per Invoice'!$A$2:$A$801,MATCH($B445,'Per Invoice'!$B$2:$B$801,0))),""))</f>
        <v/>
      </c>
      <c r="J445" s="7">
        <f>IF($B445="","",I445*Q445/100)</f>
        <v/>
      </c>
      <c r="N445" s="7" t="n"/>
      <c r="O445" s="7" t="n"/>
      <c r="P445" s="7">
        <f>IF($B445="","",O445*X445/100)</f>
        <v/>
      </c>
      <c r="Q445" s="7">
        <f>IF($B445="","",O445-P445)</f>
        <v/>
      </c>
      <c r="R445" s="7">
        <f>IF($B445="","",Q445-J445)</f>
        <v/>
      </c>
      <c r="S445" s="7" t="n"/>
      <c r="T445" s="7" t="n"/>
      <c r="V445" s="14" t="n"/>
      <c r="Z445">
        <f>IF($B445="","",IF(COUNTIF($B$2:$B445,$B445)=1,1,0))</f>
        <v/>
      </c>
      <c r="AA445">
        <f>IF($Z445=1,SUMPRODUCT(--($AC$2:$AC$3001&lt;$AC445))+1,"")</f>
        <v/>
      </c>
      <c r="AB445">
        <f>IF($B445="","",IF(OR($Y445=TRUE(),$Y445="TRUE"),1,IF(AND($Y445&lt;&gt;"",OR($Y445=FALSE(),$Y445="FALSE")),0,IF(MIN(ABS($X445/100-Settings!$C$6),ABS($X445/100-Settings!$G$6))&lt;=MIN(ABS($X445/100-Settings!$C$7),ABS($X445/100-Settings!$G$7)),1,0))))</f>
        <v/>
      </c>
      <c r="AC445">
        <f>IF($Z445=1,IFERROR(IF(VALUE($B445)&lt;100000000,VALUE($B445),1000000000),IFERROR(IF(VALUE(MID($B445,2,20))&lt;100000000,VALUE(MID($B445,2,20)),1000000000),1000000000))+ROW()/100000,"")</f>
        <v/>
      </c>
    </row>
    <row r="446">
      <c r="A446">
        <f>IF($B446="","",IFERROR(IF(INDEX('Per Invoice'!$A$2:$A$801,MATCH($B446,'Per Invoice'!$B$2:$B$801,0))=0,"",INDEX('Per Invoice'!$A$2:$A$801,MATCH($B446,'Per Invoice'!$B$2:$B$801,0))),""))</f>
        <v/>
      </c>
      <c r="J446" s="7">
        <f>IF($B446="","",I446*Q446/100)</f>
        <v/>
      </c>
      <c r="N446" s="7" t="n"/>
      <c r="O446" s="7" t="n"/>
      <c r="P446" s="7">
        <f>IF($B446="","",O446*X446/100)</f>
        <v/>
      </c>
      <c r="Q446" s="7">
        <f>IF($B446="","",O446-P446)</f>
        <v/>
      </c>
      <c r="R446" s="7">
        <f>IF($B446="","",Q446-J446)</f>
        <v/>
      </c>
      <c r="S446" s="7" t="n"/>
      <c r="T446" s="7" t="n"/>
      <c r="V446" s="14" t="n"/>
      <c r="Z446">
        <f>IF($B446="","",IF(COUNTIF($B$2:$B446,$B446)=1,1,0))</f>
        <v/>
      </c>
      <c r="AA446">
        <f>IF($Z446=1,SUMPRODUCT(--($AC$2:$AC$3001&lt;$AC446))+1,"")</f>
        <v/>
      </c>
      <c r="AB446">
        <f>IF($B446="","",IF(OR($Y446=TRUE(),$Y446="TRUE"),1,IF(AND($Y446&lt;&gt;"",OR($Y446=FALSE(),$Y446="FALSE")),0,IF(MIN(ABS($X446/100-Settings!$C$6),ABS($X446/100-Settings!$G$6))&lt;=MIN(ABS($X446/100-Settings!$C$7),ABS($X446/100-Settings!$G$7)),1,0))))</f>
        <v/>
      </c>
      <c r="AC446">
        <f>IF($Z446=1,IFERROR(IF(VALUE($B446)&lt;100000000,VALUE($B446),1000000000),IFERROR(IF(VALUE(MID($B446,2,20))&lt;100000000,VALUE(MID($B446,2,20)),1000000000),1000000000))+ROW()/100000,"")</f>
        <v/>
      </c>
    </row>
    <row r="447">
      <c r="A447">
        <f>IF($B447="","",IFERROR(IF(INDEX('Per Invoice'!$A$2:$A$801,MATCH($B447,'Per Invoice'!$B$2:$B$801,0))=0,"",INDEX('Per Invoice'!$A$2:$A$801,MATCH($B447,'Per Invoice'!$B$2:$B$801,0))),""))</f>
        <v/>
      </c>
      <c r="J447" s="7">
        <f>IF($B447="","",I447*Q447/100)</f>
        <v/>
      </c>
      <c r="N447" s="7" t="n"/>
      <c r="O447" s="7" t="n"/>
      <c r="P447" s="7">
        <f>IF($B447="","",O447*X447/100)</f>
        <v/>
      </c>
      <c r="Q447" s="7">
        <f>IF($B447="","",O447-P447)</f>
        <v/>
      </c>
      <c r="R447" s="7">
        <f>IF($B447="","",Q447-J447)</f>
        <v/>
      </c>
      <c r="S447" s="7" t="n"/>
      <c r="T447" s="7" t="n"/>
      <c r="V447" s="14" t="n"/>
      <c r="Z447">
        <f>IF($B447="","",IF(COUNTIF($B$2:$B447,$B447)=1,1,0))</f>
        <v/>
      </c>
      <c r="AA447">
        <f>IF($Z447=1,SUMPRODUCT(--($AC$2:$AC$3001&lt;$AC447))+1,"")</f>
        <v/>
      </c>
      <c r="AB447">
        <f>IF($B447="","",IF(OR($Y447=TRUE(),$Y447="TRUE"),1,IF(AND($Y447&lt;&gt;"",OR($Y447=FALSE(),$Y447="FALSE")),0,IF(MIN(ABS($X447/100-Settings!$C$6),ABS($X447/100-Settings!$G$6))&lt;=MIN(ABS($X447/100-Settings!$C$7),ABS($X447/100-Settings!$G$7)),1,0))))</f>
        <v/>
      </c>
      <c r="AC447">
        <f>IF($Z447=1,IFERROR(IF(VALUE($B447)&lt;100000000,VALUE($B447),1000000000),IFERROR(IF(VALUE(MID($B447,2,20))&lt;100000000,VALUE(MID($B447,2,20)),1000000000),1000000000))+ROW()/100000,"")</f>
        <v/>
      </c>
    </row>
    <row r="448">
      <c r="A448">
        <f>IF($B448="","",IFERROR(IF(INDEX('Per Invoice'!$A$2:$A$801,MATCH($B448,'Per Invoice'!$B$2:$B$801,0))=0,"",INDEX('Per Invoice'!$A$2:$A$801,MATCH($B448,'Per Invoice'!$B$2:$B$801,0))),""))</f>
        <v/>
      </c>
      <c r="J448" s="7">
        <f>IF($B448="","",I448*Q448/100)</f>
        <v/>
      </c>
      <c r="N448" s="7" t="n"/>
      <c r="O448" s="7" t="n"/>
      <c r="P448" s="7">
        <f>IF($B448="","",O448*X448/100)</f>
        <v/>
      </c>
      <c r="Q448" s="7">
        <f>IF($B448="","",O448-P448)</f>
        <v/>
      </c>
      <c r="R448" s="7">
        <f>IF($B448="","",Q448-J448)</f>
        <v/>
      </c>
      <c r="S448" s="7" t="n"/>
      <c r="T448" s="7" t="n"/>
      <c r="V448" s="14" t="n"/>
      <c r="Z448">
        <f>IF($B448="","",IF(COUNTIF($B$2:$B448,$B448)=1,1,0))</f>
        <v/>
      </c>
      <c r="AA448">
        <f>IF($Z448=1,SUMPRODUCT(--($AC$2:$AC$3001&lt;$AC448))+1,"")</f>
        <v/>
      </c>
      <c r="AB448">
        <f>IF($B448="","",IF(OR($Y448=TRUE(),$Y448="TRUE"),1,IF(AND($Y448&lt;&gt;"",OR($Y448=FALSE(),$Y448="FALSE")),0,IF(MIN(ABS($X448/100-Settings!$C$6),ABS($X448/100-Settings!$G$6))&lt;=MIN(ABS($X448/100-Settings!$C$7),ABS($X448/100-Settings!$G$7)),1,0))))</f>
        <v/>
      </c>
      <c r="AC448">
        <f>IF($Z448=1,IFERROR(IF(VALUE($B448)&lt;100000000,VALUE($B448),1000000000),IFERROR(IF(VALUE(MID($B448,2,20))&lt;100000000,VALUE(MID($B448,2,20)),1000000000),1000000000))+ROW()/100000,"")</f>
        <v/>
      </c>
    </row>
    <row r="449">
      <c r="A449">
        <f>IF($B449="","",IFERROR(IF(INDEX('Per Invoice'!$A$2:$A$801,MATCH($B449,'Per Invoice'!$B$2:$B$801,0))=0,"",INDEX('Per Invoice'!$A$2:$A$801,MATCH($B449,'Per Invoice'!$B$2:$B$801,0))),""))</f>
        <v/>
      </c>
      <c r="J449" s="7">
        <f>IF($B449="","",I449*Q449/100)</f>
        <v/>
      </c>
      <c r="N449" s="7" t="n"/>
      <c r="O449" s="7" t="n"/>
      <c r="P449" s="7">
        <f>IF($B449="","",O449*X449/100)</f>
        <v/>
      </c>
      <c r="Q449" s="7">
        <f>IF($B449="","",O449-P449)</f>
        <v/>
      </c>
      <c r="R449" s="7">
        <f>IF($B449="","",Q449-J449)</f>
        <v/>
      </c>
      <c r="S449" s="7" t="n"/>
      <c r="T449" s="7" t="n"/>
      <c r="V449" s="14" t="n"/>
      <c r="Z449">
        <f>IF($B449="","",IF(COUNTIF($B$2:$B449,$B449)=1,1,0))</f>
        <v/>
      </c>
      <c r="AA449">
        <f>IF($Z449=1,SUMPRODUCT(--($AC$2:$AC$3001&lt;$AC449))+1,"")</f>
        <v/>
      </c>
      <c r="AB449">
        <f>IF($B449="","",IF(OR($Y449=TRUE(),$Y449="TRUE"),1,IF(AND($Y449&lt;&gt;"",OR($Y449=FALSE(),$Y449="FALSE")),0,IF(MIN(ABS($X449/100-Settings!$C$6),ABS($X449/100-Settings!$G$6))&lt;=MIN(ABS($X449/100-Settings!$C$7),ABS($X449/100-Settings!$G$7)),1,0))))</f>
        <v/>
      </c>
      <c r="AC449">
        <f>IF($Z449=1,IFERROR(IF(VALUE($B449)&lt;100000000,VALUE($B449),1000000000),IFERROR(IF(VALUE(MID($B449,2,20))&lt;100000000,VALUE(MID($B449,2,20)),1000000000),1000000000))+ROW()/100000,"")</f>
        <v/>
      </c>
    </row>
    <row r="450">
      <c r="A450">
        <f>IF($B450="","",IFERROR(IF(INDEX('Per Invoice'!$A$2:$A$801,MATCH($B450,'Per Invoice'!$B$2:$B$801,0))=0,"",INDEX('Per Invoice'!$A$2:$A$801,MATCH($B450,'Per Invoice'!$B$2:$B$801,0))),""))</f>
        <v/>
      </c>
      <c r="J450" s="7">
        <f>IF($B450="","",I450*Q450/100)</f>
        <v/>
      </c>
      <c r="N450" s="7" t="n"/>
      <c r="O450" s="7" t="n"/>
      <c r="P450" s="7">
        <f>IF($B450="","",O450*X450/100)</f>
        <v/>
      </c>
      <c r="Q450" s="7">
        <f>IF($B450="","",O450-P450)</f>
        <v/>
      </c>
      <c r="R450" s="7">
        <f>IF($B450="","",Q450-J450)</f>
        <v/>
      </c>
      <c r="S450" s="7" t="n"/>
      <c r="T450" s="7" t="n"/>
      <c r="V450" s="14" t="n"/>
      <c r="Z450">
        <f>IF($B450="","",IF(COUNTIF($B$2:$B450,$B450)=1,1,0))</f>
        <v/>
      </c>
      <c r="AA450">
        <f>IF($Z450=1,SUMPRODUCT(--($AC$2:$AC$3001&lt;$AC450))+1,"")</f>
        <v/>
      </c>
      <c r="AB450">
        <f>IF($B450="","",IF(OR($Y450=TRUE(),$Y450="TRUE"),1,IF(AND($Y450&lt;&gt;"",OR($Y450=FALSE(),$Y450="FALSE")),0,IF(MIN(ABS($X450/100-Settings!$C$6),ABS($X450/100-Settings!$G$6))&lt;=MIN(ABS($X450/100-Settings!$C$7),ABS($X450/100-Settings!$G$7)),1,0))))</f>
        <v/>
      </c>
      <c r="AC450">
        <f>IF($Z450=1,IFERROR(IF(VALUE($B450)&lt;100000000,VALUE($B450),1000000000),IFERROR(IF(VALUE(MID($B450,2,20))&lt;100000000,VALUE(MID($B450,2,20)),1000000000),1000000000))+ROW()/100000,"")</f>
        <v/>
      </c>
    </row>
    <row r="451">
      <c r="A451">
        <f>IF($B451="","",IFERROR(IF(INDEX('Per Invoice'!$A$2:$A$801,MATCH($B451,'Per Invoice'!$B$2:$B$801,0))=0,"",INDEX('Per Invoice'!$A$2:$A$801,MATCH($B451,'Per Invoice'!$B$2:$B$801,0))),""))</f>
        <v/>
      </c>
      <c r="J451" s="7">
        <f>IF($B451="","",I451*Q451/100)</f>
        <v/>
      </c>
      <c r="N451" s="7" t="n"/>
      <c r="O451" s="7" t="n"/>
      <c r="P451" s="7">
        <f>IF($B451="","",O451*X451/100)</f>
        <v/>
      </c>
      <c r="Q451" s="7">
        <f>IF($B451="","",O451-P451)</f>
        <v/>
      </c>
      <c r="R451" s="7">
        <f>IF($B451="","",Q451-J451)</f>
        <v/>
      </c>
      <c r="S451" s="7" t="n"/>
      <c r="T451" s="7" t="n"/>
      <c r="V451" s="14" t="n"/>
      <c r="Z451">
        <f>IF($B451="","",IF(COUNTIF($B$2:$B451,$B451)=1,1,0))</f>
        <v/>
      </c>
      <c r="AA451">
        <f>IF($Z451=1,SUMPRODUCT(--($AC$2:$AC$3001&lt;$AC451))+1,"")</f>
        <v/>
      </c>
      <c r="AB451">
        <f>IF($B451="","",IF(OR($Y451=TRUE(),$Y451="TRUE"),1,IF(AND($Y451&lt;&gt;"",OR($Y451=FALSE(),$Y451="FALSE")),0,IF(MIN(ABS($X451/100-Settings!$C$6),ABS($X451/100-Settings!$G$6))&lt;=MIN(ABS($X451/100-Settings!$C$7),ABS($X451/100-Settings!$G$7)),1,0))))</f>
        <v/>
      </c>
      <c r="AC451">
        <f>IF($Z451=1,IFERROR(IF(VALUE($B451)&lt;100000000,VALUE($B451),1000000000),IFERROR(IF(VALUE(MID($B451,2,20))&lt;100000000,VALUE(MID($B451,2,20)),1000000000),1000000000))+ROW()/100000,"")</f>
        <v/>
      </c>
    </row>
    <row r="452">
      <c r="A452">
        <f>IF($B452="","",IFERROR(IF(INDEX('Per Invoice'!$A$2:$A$801,MATCH($B452,'Per Invoice'!$B$2:$B$801,0))=0,"",INDEX('Per Invoice'!$A$2:$A$801,MATCH($B452,'Per Invoice'!$B$2:$B$801,0))),""))</f>
        <v/>
      </c>
      <c r="J452" s="7">
        <f>IF($B452="","",I452*Q452/100)</f>
        <v/>
      </c>
      <c r="N452" s="7" t="n"/>
      <c r="O452" s="7" t="n"/>
      <c r="P452" s="7">
        <f>IF($B452="","",O452*X452/100)</f>
        <v/>
      </c>
      <c r="Q452" s="7">
        <f>IF($B452="","",O452-P452)</f>
        <v/>
      </c>
      <c r="R452" s="7">
        <f>IF($B452="","",Q452-J452)</f>
        <v/>
      </c>
      <c r="S452" s="7" t="n"/>
      <c r="T452" s="7" t="n"/>
      <c r="V452" s="14" t="n"/>
      <c r="Z452">
        <f>IF($B452="","",IF(COUNTIF($B$2:$B452,$B452)=1,1,0))</f>
        <v/>
      </c>
      <c r="AA452">
        <f>IF($Z452=1,SUMPRODUCT(--($AC$2:$AC$3001&lt;$AC452))+1,"")</f>
        <v/>
      </c>
      <c r="AB452">
        <f>IF($B452="","",IF(OR($Y452=TRUE(),$Y452="TRUE"),1,IF(AND($Y452&lt;&gt;"",OR($Y452=FALSE(),$Y452="FALSE")),0,IF(MIN(ABS($X452/100-Settings!$C$6),ABS($X452/100-Settings!$G$6))&lt;=MIN(ABS($X452/100-Settings!$C$7),ABS($X452/100-Settings!$G$7)),1,0))))</f>
        <v/>
      </c>
      <c r="AC452">
        <f>IF($Z452=1,IFERROR(IF(VALUE($B452)&lt;100000000,VALUE($B452),1000000000),IFERROR(IF(VALUE(MID($B452,2,20))&lt;100000000,VALUE(MID($B452,2,20)),1000000000),1000000000))+ROW()/100000,"")</f>
        <v/>
      </c>
    </row>
    <row r="453">
      <c r="A453">
        <f>IF($B453="","",IFERROR(IF(INDEX('Per Invoice'!$A$2:$A$801,MATCH($B453,'Per Invoice'!$B$2:$B$801,0))=0,"",INDEX('Per Invoice'!$A$2:$A$801,MATCH($B453,'Per Invoice'!$B$2:$B$801,0))),""))</f>
        <v/>
      </c>
      <c r="J453" s="7">
        <f>IF($B453="","",I453*Q453/100)</f>
        <v/>
      </c>
      <c r="N453" s="7" t="n"/>
      <c r="O453" s="7" t="n"/>
      <c r="P453" s="7">
        <f>IF($B453="","",O453*X453/100)</f>
        <v/>
      </c>
      <c r="Q453" s="7">
        <f>IF($B453="","",O453-P453)</f>
        <v/>
      </c>
      <c r="R453" s="7">
        <f>IF($B453="","",Q453-J453)</f>
        <v/>
      </c>
      <c r="S453" s="7" t="n"/>
      <c r="T453" s="7" t="n"/>
      <c r="V453" s="14" t="n"/>
      <c r="Z453">
        <f>IF($B453="","",IF(COUNTIF($B$2:$B453,$B453)=1,1,0))</f>
        <v/>
      </c>
      <c r="AA453">
        <f>IF($Z453=1,SUMPRODUCT(--($AC$2:$AC$3001&lt;$AC453))+1,"")</f>
        <v/>
      </c>
      <c r="AB453">
        <f>IF($B453="","",IF(OR($Y453=TRUE(),$Y453="TRUE"),1,IF(AND($Y453&lt;&gt;"",OR($Y453=FALSE(),$Y453="FALSE")),0,IF(MIN(ABS($X453/100-Settings!$C$6),ABS($X453/100-Settings!$G$6))&lt;=MIN(ABS($X453/100-Settings!$C$7),ABS($X453/100-Settings!$G$7)),1,0))))</f>
        <v/>
      </c>
      <c r="AC453">
        <f>IF($Z453=1,IFERROR(IF(VALUE($B453)&lt;100000000,VALUE($B453),1000000000),IFERROR(IF(VALUE(MID($B453,2,20))&lt;100000000,VALUE(MID($B453,2,20)),1000000000),1000000000))+ROW()/100000,"")</f>
        <v/>
      </c>
    </row>
    <row r="454">
      <c r="A454">
        <f>IF($B454="","",IFERROR(IF(INDEX('Per Invoice'!$A$2:$A$801,MATCH($B454,'Per Invoice'!$B$2:$B$801,0))=0,"",INDEX('Per Invoice'!$A$2:$A$801,MATCH($B454,'Per Invoice'!$B$2:$B$801,0))),""))</f>
        <v/>
      </c>
      <c r="J454" s="7">
        <f>IF($B454="","",I454*Q454/100)</f>
        <v/>
      </c>
      <c r="N454" s="7" t="n"/>
      <c r="O454" s="7" t="n"/>
      <c r="P454" s="7">
        <f>IF($B454="","",O454*X454/100)</f>
        <v/>
      </c>
      <c r="Q454" s="7">
        <f>IF($B454="","",O454-P454)</f>
        <v/>
      </c>
      <c r="R454" s="7">
        <f>IF($B454="","",Q454-J454)</f>
        <v/>
      </c>
      <c r="S454" s="7" t="n"/>
      <c r="T454" s="7" t="n"/>
      <c r="V454" s="14" t="n"/>
      <c r="Z454">
        <f>IF($B454="","",IF(COUNTIF($B$2:$B454,$B454)=1,1,0))</f>
        <v/>
      </c>
      <c r="AA454">
        <f>IF($Z454=1,SUMPRODUCT(--($AC$2:$AC$3001&lt;$AC454))+1,"")</f>
        <v/>
      </c>
      <c r="AB454">
        <f>IF($B454="","",IF(OR($Y454=TRUE(),$Y454="TRUE"),1,IF(AND($Y454&lt;&gt;"",OR($Y454=FALSE(),$Y454="FALSE")),0,IF(MIN(ABS($X454/100-Settings!$C$6),ABS($X454/100-Settings!$G$6))&lt;=MIN(ABS($X454/100-Settings!$C$7),ABS($X454/100-Settings!$G$7)),1,0))))</f>
        <v/>
      </c>
      <c r="AC454">
        <f>IF($Z454=1,IFERROR(IF(VALUE($B454)&lt;100000000,VALUE($B454),1000000000),IFERROR(IF(VALUE(MID($B454,2,20))&lt;100000000,VALUE(MID($B454,2,20)),1000000000),1000000000))+ROW()/100000,"")</f>
        <v/>
      </c>
    </row>
    <row r="455">
      <c r="A455">
        <f>IF($B455="","",IFERROR(IF(INDEX('Per Invoice'!$A$2:$A$801,MATCH($B455,'Per Invoice'!$B$2:$B$801,0))=0,"",INDEX('Per Invoice'!$A$2:$A$801,MATCH($B455,'Per Invoice'!$B$2:$B$801,0))),""))</f>
        <v/>
      </c>
      <c r="J455" s="7">
        <f>IF($B455="","",I455*Q455/100)</f>
        <v/>
      </c>
      <c r="N455" s="7" t="n"/>
      <c r="O455" s="7" t="n"/>
      <c r="P455" s="7">
        <f>IF($B455="","",O455*X455/100)</f>
        <v/>
      </c>
      <c r="Q455" s="7">
        <f>IF($B455="","",O455-P455)</f>
        <v/>
      </c>
      <c r="R455" s="7">
        <f>IF($B455="","",Q455-J455)</f>
        <v/>
      </c>
      <c r="S455" s="7" t="n"/>
      <c r="T455" s="7" t="n"/>
      <c r="V455" s="14" t="n"/>
      <c r="Z455">
        <f>IF($B455="","",IF(COUNTIF($B$2:$B455,$B455)=1,1,0))</f>
        <v/>
      </c>
      <c r="AA455">
        <f>IF($Z455=1,SUMPRODUCT(--($AC$2:$AC$3001&lt;$AC455))+1,"")</f>
        <v/>
      </c>
      <c r="AB455">
        <f>IF($B455="","",IF(OR($Y455=TRUE(),$Y455="TRUE"),1,IF(AND($Y455&lt;&gt;"",OR($Y455=FALSE(),$Y455="FALSE")),0,IF(MIN(ABS($X455/100-Settings!$C$6),ABS($X455/100-Settings!$G$6))&lt;=MIN(ABS($X455/100-Settings!$C$7),ABS($X455/100-Settings!$G$7)),1,0))))</f>
        <v/>
      </c>
      <c r="AC455">
        <f>IF($Z455=1,IFERROR(IF(VALUE($B455)&lt;100000000,VALUE($B455),1000000000),IFERROR(IF(VALUE(MID($B455,2,20))&lt;100000000,VALUE(MID($B455,2,20)),1000000000),1000000000))+ROW()/100000,"")</f>
        <v/>
      </c>
    </row>
    <row r="456">
      <c r="A456">
        <f>IF($B456="","",IFERROR(IF(INDEX('Per Invoice'!$A$2:$A$801,MATCH($B456,'Per Invoice'!$B$2:$B$801,0))=0,"",INDEX('Per Invoice'!$A$2:$A$801,MATCH($B456,'Per Invoice'!$B$2:$B$801,0))),""))</f>
        <v/>
      </c>
      <c r="J456" s="7">
        <f>IF($B456="","",I456*Q456/100)</f>
        <v/>
      </c>
      <c r="N456" s="7" t="n"/>
      <c r="O456" s="7" t="n"/>
      <c r="P456" s="7">
        <f>IF($B456="","",O456*X456/100)</f>
        <v/>
      </c>
      <c r="Q456" s="7">
        <f>IF($B456="","",O456-P456)</f>
        <v/>
      </c>
      <c r="R456" s="7">
        <f>IF($B456="","",Q456-J456)</f>
        <v/>
      </c>
      <c r="S456" s="7" t="n"/>
      <c r="T456" s="7" t="n"/>
      <c r="V456" s="14" t="n"/>
      <c r="Z456">
        <f>IF($B456="","",IF(COUNTIF($B$2:$B456,$B456)=1,1,0))</f>
        <v/>
      </c>
      <c r="AA456">
        <f>IF($Z456=1,SUMPRODUCT(--($AC$2:$AC$3001&lt;$AC456))+1,"")</f>
        <v/>
      </c>
      <c r="AB456">
        <f>IF($B456="","",IF(OR($Y456=TRUE(),$Y456="TRUE"),1,IF(AND($Y456&lt;&gt;"",OR($Y456=FALSE(),$Y456="FALSE")),0,IF(MIN(ABS($X456/100-Settings!$C$6),ABS($X456/100-Settings!$G$6))&lt;=MIN(ABS($X456/100-Settings!$C$7),ABS($X456/100-Settings!$G$7)),1,0))))</f>
        <v/>
      </c>
      <c r="AC456">
        <f>IF($Z456=1,IFERROR(IF(VALUE($B456)&lt;100000000,VALUE($B456),1000000000),IFERROR(IF(VALUE(MID($B456,2,20))&lt;100000000,VALUE(MID($B456,2,20)),1000000000),1000000000))+ROW()/100000,"")</f>
        <v/>
      </c>
    </row>
    <row r="457">
      <c r="A457">
        <f>IF($B457="","",IFERROR(IF(INDEX('Per Invoice'!$A$2:$A$801,MATCH($B457,'Per Invoice'!$B$2:$B$801,0))=0,"",INDEX('Per Invoice'!$A$2:$A$801,MATCH($B457,'Per Invoice'!$B$2:$B$801,0))),""))</f>
        <v/>
      </c>
      <c r="J457" s="7">
        <f>IF($B457="","",I457*Q457/100)</f>
        <v/>
      </c>
      <c r="N457" s="7" t="n"/>
      <c r="O457" s="7" t="n"/>
      <c r="P457" s="7">
        <f>IF($B457="","",O457*X457/100)</f>
        <v/>
      </c>
      <c r="Q457" s="7">
        <f>IF($B457="","",O457-P457)</f>
        <v/>
      </c>
      <c r="R457" s="7">
        <f>IF($B457="","",Q457-J457)</f>
        <v/>
      </c>
      <c r="S457" s="7" t="n"/>
      <c r="T457" s="7" t="n"/>
      <c r="V457" s="14" t="n"/>
      <c r="Z457">
        <f>IF($B457="","",IF(COUNTIF($B$2:$B457,$B457)=1,1,0))</f>
        <v/>
      </c>
      <c r="AA457">
        <f>IF($Z457=1,SUMPRODUCT(--($AC$2:$AC$3001&lt;$AC457))+1,"")</f>
        <v/>
      </c>
      <c r="AB457">
        <f>IF($B457="","",IF(OR($Y457=TRUE(),$Y457="TRUE"),1,IF(AND($Y457&lt;&gt;"",OR($Y457=FALSE(),$Y457="FALSE")),0,IF(MIN(ABS($X457/100-Settings!$C$6),ABS($X457/100-Settings!$G$6))&lt;=MIN(ABS($X457/100-Settings!$C$7),ABS($X457/100-Settings!$G$7)),1,0))))</f>
        <v/>
      </c>
      <c r="AC457">
        <f>IF($Z457=1,IFERROR(IF(VALUE($B457)&lt;100000000,VALUE($B457),1000000000),IFERROR(IF(VALUE(MID($B457,2,20))&lt;100000000,VALUE(MID($B457,2,20)),1000000000),1000000000))+ROW()/100000,"")</f>
        <v/>
      </c>
    </row>
    <row r="458">
      <c r="A458">
        <f>IF($B458="","",IFERROR(IF(INDEX('Per Invoice'!$A$2:$A$801,MATCH($B458,'Per Invoice'!$B$2:$B$801,0))=0,"",INDEX('Per Invoice'!$A$2:$A$801,MATCH($B458,'Per Invoice'!$B$2:$B$801,0))),""))</f>
        <v/>
      </c>
      <c r="J458" s="7">
        <f>IF($B458="","",I458*Q458/100)</f>
        <v/>
      </c>
      <c r="N458" s="7" t="n"/>
      <c r="O458" s="7" t="n"/>
      <c r="P458" s="7">
        <f>IF($B458="","",O458*X458/100)</f>
        <v/>
      </c>
      <c r="Q458" s="7">
        <f>IF($B458="","",O458-P458)</f>
        <v/>
      </c>
      <c r="R458" s="7">
        <f>IF($B458="","",Q458-J458)</f>
        <v/>
      </c>
      <c r="S458" s="7" t="n"/>
      <c r="T458" s="7" t="n"/>
      <c r="V458" s="14" t="n"/>
      <c r="Z458">
        <f>IF($B458="","",IF(COUNTIF($B$2:$B458,$B458)=1,1,0))</f>
        <v/>
      </c>
      <c r="AA458">
        <f>IF($Z458=1,SUMPRODUCT(--($AC$2:$AC$3001&lt;$AC458))+1,"")</f>
        <v/>
      </c>
      <c r="AB458">
        <f>IF($B458="","",IF(OR($Y458=TRUE(),$Y458="TRUE"),1,IF(AND($Y458&lt;&gt;"",OR($Y458=FALSE(),$Y458="FALSE")),0,IF(MIN(ABS($X458/100-Settings!$C$6),ABS($X458/100-Settings!$G$6))&lt;=MIN(ABS($X458/100-Settings!$C$7),ABS($X458/100-Settings!$G$7)),1,0))))</f>
        <v/>
      </c>
      <c r="AC458">
        <f>IF($Z458=1,IFERROR(IF(VALUE($B458)&lt;100000000,VALUE($B458),1000000000),IFERROR(IF(VALUE(MID($B458,2,20))&lt;100000000,VALUE(MID($B458,2,20)),1000000000),1000000000))+ROW()/100000,"")</f>
        <v/>
      </c>
    </row>
    <row r="459">
      <c r="A459">
        <f>IF($B459="","",IFERROR(IF(INDEX('Per Invoice'!$A$2:$A$801,MATCH($B459,'Per Invoice'!$B$2:$B$801,0))=0,"",INDEX('Per Invoice'!$A$2:$A$801,MATCH($B459,'Per Invoice'!$B$2:$B$801,0))),""))</f>
        <v/>
      </c>
      <c r="J459" s="7">
        <f>IF($B459="","",I459*Q459/100)</f>
        <v/>
      </c>
      <c r="N459" s="7" t="n"/>
      <c r="O459" s="7" t="n"/>
      <c r="P459" s="7">
        <f>IF($B459="","",O459*X459/100)</f>
        <v/>
      </c>
      <c r="Q459" s="7">
        <f>IF($B459="","",O459-P459)</f>
        <v/>
      </c>
      <c r="R459" s="7">
        <f>IF($B459="","",Q459-J459)</f>
        <v/>
      </c>
      <c r="S459" s="7" t="n"/>
      <c r="T459" s="7" t="n"/>
      <c r="V459" s="14" t="n"/>
      <c r="Z459">
        <f>IF($B459="","",IF(COUNTIF($B$2:$B459,$B459)=1,1,0))</f>
        <v/>
      </c>
      <c r="AA459">
        <f>IF($Z459=1,SUMPRODUCT(--($AC$2:$AC$3001&lt;$AC459))+1,"")</f>
        <v/>
      </c>
      <c r="AB459">
        <f>IF($B459="","",IF(OR($Y459=TRUE(),$Y459="TRUE"),1,IF(AND($Y459&lt;&gt;"",OR($Y459=FALSE(),$Y459="FALSE")),0,IF(MIN(ABS($X459/100-Settings!$C$6),ABS($X459/100-Settings!$G$6))&lt;=MIN(ABS($X459/100-Settings!$C$7),ABS($X459/100-Settings!$G$7)),1,0))))</f>
        <v/>
      </c>
      <c r="AC459">
        <f>IF($Z459=1,IFERROR(IF(VALUE($B459)&lt;100000000,VALUE($B459),1000000000),IFERROR(IF(VALUE(MID($B459,2,20))&lt;100000000,VALUE(MID($B459,2,20)),1000000000),1000000000))+ROW()/100000,"")</f>
        <v/>
      </c>
    </row>
    <row r="460">
      <c r="A460">
        <f>IF($B460="","",IFERROR(IF(INDEX('Per Invoice'!$A$2:$A$801,MATCH($B460,'Per Invoice'!$B$2:$B$801,0))=0,"",INDEX('Per Invoice'!$A$2:$A$801,MATCH($B460,'Per Invoice'!$B$2:$B$801,0))),""))</f>
        <v/>
      </c>
      <c r="J460" s="7">
        <f>IF($B460="","",I460*Q460/100)</f>
        <v/>
      </c>
      <c r="N460" s="7" t="n"/>
      <c r="O460" s="7" t="n"/>
      <c r="P460" s="7">
        <f>IF($B460="","",O460*X460/100)</f>
        <v/>
      </c>
      <c r="Q460" s="7">
        <f>IF($B460="","",O460-P460)</f>
        <v/>
      </c>
      <c r="R460" s="7">
        <f>IF($B460="","",Q460-J460)</f>
        <v/>
      </c>
      <c r="S460" s="7" t="n"/>
      <c r="T460" s="7" t="n"/>
      <c r="V460" s="14" t="n"/>
      <c r="Z460">
        <f>IF($B460="","",IF(COUNTIF($B$2:$B460,$B460)=1,1,0))</f>
        <v/>
      </c>
      <c r="AA460">
        <f>IF($Z460=1,SUMPRODUCT(--($AC$2:$AC$3001&lt;$AC460))+1,"")</f>
        <v/>
      </c>
      <c r="AB460">
        <f>IF($B460="","",IF(OR($Y460=TRUE(),$Y460="TRUE"),1,IF(AND($Y460&lt;&gt;"",OR($Y460=FALSE(),$Y460="FALSE")),0,IF(MIN(ABS($X460/100-Settings!$C$6),ABS($X460/100-Settings!$G$6))&lt;=MIN(ABS($X460/100-Settings!$C$7),ABS($X460/100-Settings!$G$7)),1,0))))</f>
        <v/>
      </c>
      <c r="AC460">
        <f>IF($Z460=1,IFERROR(IF(VALUE($B460)&lt;100000000,VALUE($B460),1000000000),IFERROR(IF(VALUE(MID($B460,2,20))&lt;100000000,VALUE(MID($B460,2,20)),1000000000),1000000000))+ROW()/100000,"")</f>
        <v/>
      </c>
    </row>
    <row r="461">
      <c r="A461">
        <f>IF($B461="","",IFERROR(IF(INDEX('Per Invoice'!$A$2:$A$801,MATCH($B461,'Per Invoice'!$B$2:$B$801,0))=0,"",INDEX('Per Invoice'!$A$2:$A$801,MATCH($B461,'Per Invoice'!$B$2:$B$801,0))),""))</f>
        <v/>
      </c>
      <c r="J461" s="7">
        <f>IF($B461="","",I461*Q461/100)</f>
        <v/>
      </c>
      <c r="N461" s="7" t="n"/>
      <c r="O461" s="7" t="n"/>
      <c r="P461" s="7">
        <f>IF($B461="","",O461*X461/100)</f>
        <v/>
      </c>
      <c r="Q461" s="7">
        <f>IF($B461="","",O461-P461)</f>
        <v/>
      </c>
      <c r="R461" s="7">
        <f>IF($B461="","",Q461-J461)</f>
        <v/>
      </c>
      <c r="S461" s="7" t="n"/>
      <c r="T461" s="7" t="n"/>
      <c r="V461" s="14" t="n"/>
      <c r="Z461">
        <f>IF($B461="","",IF(COUNTIF($B$2:$B461,$B461)=1,1,0))</f>
        <v/>
      </c>
      <c r="AA461">
        <f>IF($Z461=1,SUMPRODUCT(--($AC$2:$AC$3001&lt;$AC461))+1,"")</f>
        <v/>
      </c>
      <c r="AB461">
        <f>IF($B461="","",IF(OR($Y461=TRUE(),$Y461="TRUE"),1,IF(AND($Y461&lt;&gt;"",OR($Y461=FALSE(),$Y461="FALSE")),0,IF(MIN(ABS($X461/100-Settings!$C$6),ABS($X461/100-Settings!$G$6))&lt;=MIN(ABS($X461/100-Settings!$C$7),ABS($X461/100-Settings!$G$7)),1,0))))</f>
        <v/>
      </c>
      <c r="AC461">
        <f>IF($Z461=1,IFERROR(IF(VALUE($B461)&lt;100000000,VALUE($B461),1000000000),IFERROR(IF(VALUE(MID($B461,2,20))&lt;100000000,VALUE(MID($B461,2,20)),1000000000),1000000000))+ROW()/100000,"")</f>
        <v/>
      </c>
    </row>
    <row r="462">
      <c r="A462">
        <f>IF($B462="","",IFERROR(IF(INDEX('Per Invoice'!$A$2:$A$801,MATCH($B462,'Per Invoice'!$B$2:$B$801,0))=0,"",INDEX('Per Invoice'!$A$2:$A$801,MATCH($B462,'Per Invoice'!$B$2:$B$801,0))),""))</f>
        <v/>
      </c>
      <c r="J462" s="7">
        <f>IF($B462="","",I462*Q462/100)</f>
        <v/>
      </c>
      <c r="N462" s="7" t="n"/>
      <c r="O462" s="7" t="n"/>
      <c r="P462" s="7">
        <f>IF($B462="","",O462*X462/100)</f>
        <v/>
      </c>
      <c r="Q462" s="7">
        <f>IF($B462="","",O462-P462)</f>
        <v/>
      </c>
      <c r="R462" s="7">
        <f>IF($B462="","",Q462-J462)</f>
        <v/>
      </c>
      <c r="S462" s="7" t="n"/>
      <c r="T462" s="7" t="n"/>
      <c r="V462" s="14" t="n"/>
      <c r="Z462">
        <f>IF($B462="","",IF(COUNTIF($B$2:$B462,$B462)=1,1,0))</f>
        <v/>
      </c>
      <c r="AA462">
        <f>IF($Z462=1,SUMPRODUCT(--($AC$2:$AC$3001&lt;$AC462))+1,"")</f>
        <v/>
      </c>
      <c r="AB462">
        <f>IF($B462="","",IF(OR($Y462=TRUE(),$Y462="TRUE"),1,IF(AND($Y462&lt;&gt;"",OR($Y462=FALSE(),$Y462="FALSE")),0,IF(MIN(ABS($X462/100-Settings!$C$6),ABS($X462/100-Settings!$G$6))&lt;=MIN(ABS($X462/100-Settings!$C$7),ABS($X462/100-Settings!$G$7)),1,0))))</f>
        <v/>
      </c>
      <c r="AC462">
        <f>IF($Z462=1,IFERROR(IF(VALUE($B462)&lt;100000000,VALUE($B462),1000000000),IFERROR(IF(VALUE(MID($B462,2,20))&lt;100000000,VALUE(MID($B462,2,20)),1000000000),1000000000))+ROW()/100000,"")</f>
        <v/>
      </c>
    </row>
    <row r="463">
      <c r="A463">
        <f>IF($B463="","",IFERROR(IF(INDEX('Per Invoice'!$A$2:$A$801,MATCH($B463,'Per Invoice'!$B$2:$B$801,0))=0,"",INDEX('Per Invoice'!$A$2:$A$801,MATCH($B463,'Per Invoice'!$B$2:$B$801,0))),""))</f>
        <v/>
      </c>
      <c r="J463" s="7">
        <f>IF($B463="","",I463*Q463/100)</f>
        <v/>
      </c>
      <c r="N463" s="7" t="n"/>
      <c r="O463" s="7" t="n"/>
      <c r="P463" s="7">
        <f>IF($B463="","",O463*X463/100)</f>
        <v/>
      </c>
      <c r="Q463" s="7">
        <f>IF($B463="","",O463-P463)</f>
        <v/>
      </c>
      <c r="R463" s="7">
        <f>IF($B463="","",Q463-J463)</f>
        <v/>
      </c>
      <c r="S463" s="7" t="n"/>
      <c r="T463" s="7" t="n"/>
      <c r="V463" s="14" t="n"/>
      <c r="Z463">
        <f>IF($B463="","",IF(COUNTIF($B$2:$B463,$B463)=1,1,0))</f>
        <v/>
      </c>
      <c r="AA463">
        <f>IF($Z463=1,SUMPRODUCT(--($AC$2:$AC$3001&lt;$AC463))+1,"")</f>
        <v/>
      </c>
      <c r="AB463">
        <f>IF($B463="","",IF(OR($Y463=TRUE(),$Y463="TRUE"),1,IF(AND($Y463&lt;&gt;"",OR($Y463=FALSE(),$Y463="FALSE")),0,IF(MIN(ABS($X463/100-Settings!$C$6),ABS($X463/100-Settings!$G$6))&lt;=MIN(ABS($X463/100-Settings!$C$7),ABS($X463/100-Settings!$G$7)),1,0))))</f>
        <v/>
      </c>
      <c r="AC463">
        <f>IF($Z463=1,IFERROR(IF(VALUE($B463)&lt;100000000,VALUE($B463),1000000000),IFERROR(IF(VALUE(MID($B463,2,20))&lt;100000000,VALUE(MID($B463,2,20)),1000000000),1000000000))+ROW()/100000,"")</f>
        <v/>
      </c>
    </row>
    <row r="464">
      <c r="A464">
        <f>IF($B464="","",IFERROR(IF(INDEX('Per Invoice'!$A$2:$A$801,MATCH($B464,'Per Invoice'!$B$2:$B$801,0))=0,"",INDEX('Per Invoice'!$A$2:$A$801,MATCH($B464,'Per Invoice'!$B$2:$B$801,0))),""))</f>
        <v/>
      </c>
      <c r="J464" s="7">
        <f>IF($B464="","",I464*Q464/100)</f>
        <v/>
      </c>
      <c r="N464" s="7" t="n"/>
      <c r="O464" s="7" t="n"/>
      <c r="P464" s="7">
        <f>IF($B464="","",O464*X464/100)</f>
        <v/>
      </c>
      <c r="Q464" s="7">
        <f>IF($B464="","",O464-P464)</f>
        <v/>
      </c>
      <c r="R464" s="7">
        <f>IF($B464="","",Q464-J464)</f>
        <v/>
      </c>
      <c r="S464" s="7" t="n"/>
      <c r="T464" s="7" t="n"/>
      <c r="V464" s="14" t="n"/>
      <c r="Z464">
        <f>IF($B464="","",IF(COUNTIF($B$2:$B464,$B464)=1,1,0))</f>
        <v/>
      </c>
      <c r="AA464">
        <f>IF($Z464=1,SUMPRODUCT(--($AC$2:$AC$3001&lt;$AC464))+1,"")</f>
        <v/>
      </c>
      <c r="AB464">
        <f>IF($B464="","",IF(OR($Y464=TRUE(),$Y464="TRUE"),1,IF(AND($Y464&lt;&gt;"",OR($Y464=FALSE(),$Y464="FALSE")),0,IF(MIN(ABS($X464/100-Settings!$C$6),ABS($X464/100-Settings!$G$6))&lt;=MIN(ABS($X464/100-Settings!$C$7),ABS($X464/100-Settings!$G$7)),1,0))))</f>
        <v/>
      </c>
      <c r="AC464">
        <f>IF($Z464=1,IFERROR(IF(VALUE($B464)&lt;100000000,VALUE($B464),1000000000),IFERROR(IF(VALUE(MID($B464,2,20))&lt;100000000,VALUE(MID($B464,2,20)),1000000000),1000000000))+ROW()/100000,"")</f>
        <v/>
      </c>
    </row>
    <row r="465">
      <c r="A465">
        <f>IF($B465="","",IFERROR(IF(INDEX('Per Invoice'!$A$2:$A$801,MATCH($B465,'Per Invoice'!$B$2:$B$801,0))=0,"",INDEX('Per Invoice'!$A$2:$A$801,MATCH($B465,'Per Invoice'!$B$2:$B$801,0))),""))</f>
        <v/>
      </c>
      <c r="J465" s="7">
        <f>IF($B465="","",I465*Q465/100)</f>
        <v/>
      </c>
      <c r="N465" s="7" t="n"/>
      <c r="O465" s="7" t="n"/>
      <c r="P465" s="7">
        <f>IF($B465="","",O465*X465/100)</f>
        <v/>
      </c>
      <c r="Q465" s="7">
        <f>IF($B465="","",O465-P465)</f>
        <v/>
      </c>
      <c r="R465" s="7">
        <f>IF($B465="","",Q465-J465)</f>
        <v/>
      </c>
      <c r="S465" s="7" t="n"/>
      <c r="T465" s="7" t="n"/>
      <c r="V465" s="14" t="n"/>
      <c r="Z465">
        <f>IF($B465="","",IF(COUNTIF($B$2:$B465,$B465)=1,1,0))</f>
        <v/>
      </c>
      <c r="AA465">
        <f>IF($Z465=1,SUMPRODUCT(--($AC$2:$AC$3001&lt;$AC465))+1,"")</f>
        <v/>
      </c>
      <c r="AB465">
        <f>IF($B465="","",IF(OR($Y465=TRUE(),$Y465="TRUE"),1,IF(AND($Y465&lt;&gt;"",OR($Y465=FALSE(),$Y465="FALSE")),0,IF(MIN(ABS($X465/100-Settings!$C$6),ABS($X465/100-Settings!$G$6))&lt;=MIN(ABS($X465/100-Settings!$C$7),ABS($X465/100-Settings!$G$7)),1,0))))</f>
        <v/>
      </c>
      <c r="AC465">
        <f>IF($Z465=1,IFERROR(IF(VALUE($B465)&lt;100000000,VALUE($B465),1000000000),IFERROR(IF(VALUE(MID($B465,2,20))&lt;100000000,VALUE(MID($B465,2,20)),1000000000),1000000000))+ROW()/100000,"")</f>
        <v/>
      </c>
    </row>
    <row r="466">
      <c r="A466">
        <f>IF($B466="","",IFERROR(IF(INDEX('Per Invoice'!$A$2:$A$801,MATCH($B466,'Per Invoice'!$B$2:$B$801,0))=0,"",INDEX('Per Invoice'!$A$2:$A$801,MATCH($B466,'Per Invoice'!$B$2:$B$801,0))),""))</f>
        <v/>
      </c>
      <c r="J466" s="7">
        <f>IF($B466="","",I466*Q466/100)</f>
        <v/>
      </c>
      <c r="N466" s="7" t="n"/>
      <c r="O466" s="7" t="n"/>
      <c r="P466" s="7">
        <f>IF($B466="","",O466*X466/100)</f>
        <v/>
      </c>
      <c r="Q466" s="7">
        <f>IF($B466="","",O466-P466)</f>
        <v/>
      </c>
      <c r="R466" s="7">
        <f>IF($B466="","",Q466-J466)</f>
        <v/>
      </c>
      <c r="S466" s="7" t="n"/>
      <c r="T466" s="7" t="n"/>
      <c r="V466" s="14" t="n"/>
      <c r="Z466">
        <f>IF($B466="","",IF(COUNTIF($B$2:$B466,$B466)=1,1,0))</f>
        <v/>
      </c>
      <c r="AA466">
        <f>IF($Z466=1,SUMPRODUCT(--($AC$2:$AC$3001&lt;$AC466))+1,"")</f>
        <v/>
      </c>
      <c r="AB466">
        <f>IF($B466="","",IF(OR($Y466=TRUE(),$Y466="TRUE"),1,IF(AND($Y466&lt;&gt;"",OR($Y466=FALSE(),$Y466="FALSE")),0,IF(MIN(ABS($X466/100-Settings!$C$6),ABS($X466/100-Settings!$G$6))&lt;=MIN(ABS($X466/100-Settings!$C$7),ABS($X466/100-Settings!$G$7)),1,0))))</f>
        <v/>
      </c>
      <c r="AC466">
        <f>IF($Z466=1,IFERROR(IF(VALUE($B466)&lt;100000000,VALUE($B466),1000000000),IFERROR(IF(VALUE(MID($B466,2,20))&lt;100000000,VALUE(MID($B466,2,20)),1000000000),1000000000))+ROW()/100000,"")</f>
        <v/>
      </c>
    </row>
    <row r="467">
      <c r="A467">
        <f>IF($B467="","",IFERROR(IF(INDEX('Per Invoice'!$A$2:$A$801,MATCH($B467,'Per Invoice'!$B$2:$B$801,0))=0,"",INDEX('Per Invoice'!$A$2:$A$801,MATCH($B467,'Per Invoice'!$B$2:$B$801,0))),""))</f>
        <v/>
      </c>
      <c r="J467" s="7">
        <f>IF($B467="","",I467*Q467/100)</f>
        <v/>
      </c>
      <c r="N467" s="7" t="n"/>
      <c r="O467" s="7" t="n"/>
      <c r="P467" s="7">
        <f>IF($B467="","",O467*X467/100)</f>
        <v/>
      </c>
      <c r="Q467" s="7">
        <f>IF($B467="","",O467-P467)</f>
        <v/>
      </c>
      <c r="R467" s="7">
        <f>IF($B467="","",Q467-J467)</f>
        <v/>
      </c>
      <c r="S467" s="7" t="n"/>
      <c r="T467" s="7" t="n"/>
      <c r="V467" s="14" t="n"/>
      <c r="Z467">
        <f>IF($B467="","",IF(COUNTIF($B$2:$B467,$B467)=1,1,0))</f>
        <v/>
      </c>
      <c r="AA467">
        <f>IF($Z467=1,SUMPRODUCT(--($AC$2:$AC$3001&lt;$AC467))+1,"")</f>
        <v/>
      </c>
      <c r="AB467">
        <f>IF($B467="","",IF(OR($Y467=TRUE(),$Y467="TRUE"),1,IF(AND($Y467&lt;&gt;"",OR($Y467=FALSE(),$Y467="FALSE")),0,IF(MIN(ABS($X467/100-Settings!$C$6),ABS($X467/100-Settings!$G$6))&lt;=MIN(ABS($X467/100-Settings!$C$7),ABS($X467/100-Settings!$G$7)),1,0))))</f>
        <v/>
      </c>
      <c r="AC467">
        <f>IF($Z467=1,IFERROR(IF(VALUE($B467)&lt;100000000,VALUE($B467),1000000000),IFERROR(IF(VALUE(MID($B467,2,20))&lt;100000000,VALUE(MID($B467,2,20)),1000000000),1000000000))+ROW()/100000,"")</f>
        <v/>
      </c>
    </row>
    <row r="468">
      <c r="A468">
        <f>IF($B468="","",IFERROR(IF(INDEX('Per Invoice'!$A$2:$A$801,MATCH($B468,'Per Invoice'!$B$2:$B$801,0))=0,"",INDEX('Per Invoice'!$A$2:$A$801,MATCH($B468,'Per Invoice'!$B$2:$B$801,0))),""))</f>
        <v/>
      </c>
      <c r="J468" s="7">
        <f>IF($B468="","",I468*Q468/100)</f>
        <v/>
      </c>
      <c r="N468" s="7" t="n"/>
      <c r="O468" s="7" t="n"/>
      <c r="P468" s="7">
        <f>IF($B468="","",O468*X468/100)</f>
        <v/>
      </c>
      <c r="Q468" s="7">
        <f>IF($B468="","",O468-P468)</f>
        <v/>
      </c>
      <c r="R468" s="7">
        <f>IF($B468="","",Q468-J468)</f>
        <v/>
      </c>
      <c r="S468" s="7" t="n"/>
      <c r="T468" s="7" t="n"/>
      <c r="V468" s="14" t="n"/>
      <c r="Z468">
        <f>IF($B468="","",IF(COUNTIF($B$2:$B468,$B468)=1,1,0))</f>
        <v/>
      </c>
      <c r="AA468">
        <f>IF($Z468=1,SUMPRODUCT(--($AC$2:$AC$3001&lt;$AC468))+1,"")</f>
        <v/>
      </c>
      <c r="AB468">
        <f>IF($B468="","",IF(OR($Y468=TRUE(),$Y468="TRUE"),1,IF(AND($Y468&lt;&gt;"",OR($Y468=FALSE(),$Y468="FALSE")),0,IF(MIN(ABS($X468/100-Settings!$C$6),ABS($X468/100-Settings!$G$6))&lt;=MIN(ABS($X468/100-Settings!$C$7),ABS($X468/100-Settings!$G$7)),1,0))))</f>
        <v/>
      </c>
      <c r="AC468">
        <f>IF($Z468=1,IFERROR(IF(VALUE($B468)&lt;100000000,VALUE($B468),1000000000),IFERROR(IF(VALUE(MID($B468,2,20))&lt;100000000,VALUE(MID($B468,2,20)),1000000000),1000000000))+ROW()/100000,"")</f>
        <v/>
      </c>
    </row>
    <row r="469">
      <c r="A469">
        <f>IF($B469="","",IFERROR(IF(INDEX('Per Invoice'!$A$2:$A$801,MATCH($B469,'Per Invoice'!$B$2:$B$801,0))=0,"",INDEX('Per Invoice'!$A$2:$A$801,MATCH($B469,'Per Invoice'!$B$2:$B$801,0))),""))</f>
        <v/>
      </c>
      <c r="J469" s="7">
        <f>IF($B469="","",I469*Q469/100)</f>
        <v/>
      </c>
      <c r="N469" s="7" t="n"/>
      <c r="O469" s="7" t="n"/>
      <c r="P469" s="7">
        <f>IF($B469="","",O469*X469/100)</f>
        <v/>
      </c>
      <c r="Q469" s="7">
        <f>IF($B469="","",O469-P469)</f>
        <v/>
      </c>
      <c r="R469" s="7">
        <f>IF($B469="","",Q469-J469)</f>
        <v/>
      </c>
      <c r="S469" s="7" t="n"/>
      <c r="T469" s="7" t="n"/>
      <c r="V469" s="14" t="n"/>
      <c r="Z469">
        <f>IF($B469="","",IF(COUNTIF($B$2:$B469,$B469)=1,1,0))</f>
        <v/>
      </c>
      <c r="AA469">
        <f>IF($Z469=1,SUMPRODUCT(--($AC$2:$AC$3001&lt;$AC469))+1,"")</f>
        <v/>
      </c>
      <c r="AB469">
        <f>IF($B469="","",IF(OR($Y469=TRUE(),$Y469="TRUE"),1,IF(AND($Y469&lt;&gt;"",OR($Y469=FALSE(),$Y469="FALSE")),0,IF(MIN(ABS($X469/100-Settings!$C$6),ABS($X469/100-Settings!$G$6))&lt;=MIN(ABS($X469/100-Settings!$C$7),ABS($X469/100-Settings!$G$7)),1,0))))</f>
        <v/>
      </c>
      <c r="AC469">
        <f>IF($Z469=1,IFERROR(IF(VALUE($B469)&lt;100000000,VALUE($B469),1000000000),IFERROR(IF(VALUE(MID($B469,2,20))&lt;100000000,VALUE(MID($B469,2,20)),1000000000),1000000000))+ROW()/100000,"")</f>
        <v/>
      </c>
    </row>
    <row r="470">
      <c r="A470">
        <f>IF($B470="","",IFERROR(IF(INDEX('Per Invoice'!$A$2:$A$801,MATCH($B470,'Per Invoice'!$B$2:$B$801,0))=0,"",INDEX('Per Invoice'!$A$2:$A$801,MATCH($B470,'Per Invoice'!$B$2:$B$801,0))),""))</f>
        <v/>
      </c>
      <c r="J470" s="7">
        <f>IF($B470="","",I470*Q470/100)</f>
        <v/>
      </c>
      <c r="N470" s="7" t="n"/>
      <c r="O470" s="7" t="n"/>
      <c r="P470" s="7">
        <f>IF($B470="","",O470*X470/100)</f>
        <v/>
      </c>
      <c r="Q470" s="7">
        <f>IF($B470="","",O470-P470)</f>
        <v/>
      </c>
      <c r="R470" s="7">
        <f>IF($B470="","",Q470-J470)</f>
        <v/>
      </c>
      <c r="S470" s="7" t="n"/>
      <c r="T470" s="7" t="n"/>
      <c r="V470" s="14" t="n"/>
      <c r="Z470">
        <f>IF($B470="","",IF(COUNTIF($B$2:$B470,$B470)=1,1,0))</f>
        <v/>
      </c>
      <c r="AA470">
        <f>IF($Z470=1,SUMPRODUCT(--($AC$2:$AC$3001&lt;$AC470))+1,"")</f>
        <v/>
      </c>
      <c r="AB470">
        <f>IF($B470="","",IF(OR($Y470=TRUE(),$Y470="TRUE"),1,IF(AND($Y470&lt;&gt;"",OR($Y470=FALSE(),$Y470="FALSE")),0,IF(MIN(ABS($X470/100-Settings!$C$6),ABS($X470/100-Settings!$G$6))&lt;=MIN(ABS($X470/100-Settings!$C$7),ABS($X470/100-Settings!$G$7)),1,0))))</f>
        <v/>
      </c>
      <c r="AC470">
        <f>IF($Z470=1,IFERROR(IF(VALUE($B470)&lt;100000000,VALUE($B470),1000000000),IFERROR(IF(VALUE(MID($B470,2,20))&lt;100000000,VALUE(MID($B470,2,20)),1000000000),1000000000))+ROW()/100000,"")</f>
        <v/>
      </c>
    </row>
    <row r="471">
      <c r="A471">
        <f>IF($B471="","",IFERROR(IF(INDEX('Per Invoice'!$A$2:$A$801,MATCH($B471,'Per Invoice'!$B$2:$B$801,0))=0,"",INDEX('Per Invoice'!$A$2:$A$801,MATCH($B471,'Per Invoice'!$B$2:$B$801,0))),""))</f>
        <v/>
      </c>
      <c r="J471" s="7">
        <f>IF($B471="","",I471*Q471/100)</f>
        <v/>
      </c>
      <c r="N471" s="7" t="n"/>
      <c r="O471" s="7" t="n"/>
      <c r="P471" s="7">
        <f>IF($B471="","",O471*X471/100)</f>
        <v/>
      </c>
      <c r="Q471" s="7">
        <f>IF($B471="","",O471-P471)</f>
        <v/>
      </c>
      <c r="R471" s="7">
        <f>IF($B471="","",Q471-J471)</f>
        <v/>
      </c>
      <c r="S471" s="7" t="n"/>
      <c r="T471" s="7" t="n"/>
      <c r="V471" s="14" t="n"/>
      <c r="Z471">
        <f>IF($B471="","",IF(COUNTIF($B$2:$B471,$B471)=1,1,0))</f>
        <v/>
      </c>
      <c r="AA471">
        <f>IF($Z471=1,SUMPRODUCT(--($AC$2:$AC$3001&lt;$AC471))+1,"")</f>
        <v/>
      </c>
      <c r="AB471">
        <f>IF($B471="","",IF(OR($Y471=TRUE(),$Y471="TRUE"),1,IF(AND($Y471&lt;&gt;"",OR($Y471=FALSE(),$Y471="FALSE")),0,IF(MIN(ABS($X471/100-Settings!$C$6),ABS($X471/100-Settings!$G$6))&lt;=MIN(ABS($X471/100-Settings!$C$7),ABS($X471/100-Settings!$G$7)),1,0))))</f>
        <v/>
      </c>
      <c r="AC471">
        <f>IF($Z471=1,IFERROR(IF(VALUE($B471)&lt;100000000,VALUE($B471),1000000000),IFERROR(IF(VALUE(MID($B471,2,20))&lt;100000000,VALUE(MID($B471,2,20)),1000000000),1000000000))+ROW()/100000,"")</f>
        <v/>
      </c>
    </row>
    <row r="472">
      <c r="A472">
        <f>IF($B472="","",IFERROR(IF(INDEX('Per Invoice'!$A$2:$A$801,MATCH($B472,'Per Invoice'!$B$2:$B$801,0))=0,"",INDEX('Per Invoice'!$A$2:$A$801,MATCH($B472,'Per Invoice'!$B$2:$B$801,0))),""))</f>
        <v/>
      </c>
      <c r="J472" s="7">
        <f>IF($B472="","",I472*Q472/100)</f>
        <v/>
      </c>
      <c r="N472" s="7" t="n"/>
      <c r="O472" s="7" t="n"/>
      <c r="P472" s="7">
        <f>IF($B472="","",O472*X472/100)</f>
        <v/>
      </c>
      <c r="Q472" s="7">
        <f>IF($B472="","",O472-P472)</f>
        <v/>
      </c>
      <c r="R472" s="7">
        <f>IF($B472="","",Q472-J472)</f>
        <v/>
      </c>
      <c r="S472" s="7" t="n"/>
      <c r="T472" s="7" t="n"/>
      <c r="V472" s="14" t="n"/>
      <c r="Z472">
        <f>IF($B472="","",IF(COUNTIF($B$2:$B472,$B472)=1,1,0))</f>
        <v/>
      </c>
      <c r="AA472">
        <f>IF($Z472=1,SUMPRODUCT(--($AC$2:$AC$3001&lt;$AC472))+1,"")</f>
        <v/>
      </c>
      <c r="AB472">
        <f>IF($B472="","",IF(OR($Y472=TRUE(),$Y472="TRUE"),1,IF(AND($Y472&lt;&gt;"",OR($Y472=FALSE(),$Y472="FALSE")),0,IF(MIN(ABS($X472/100-Settings!$C$6),ABS($X472/100-Settings!$G$6))&lt;=MIN(ABS($X472/100-Settings!$C$7),ABS($X472/100-Settings!$G$7)),1,0))))</f>
        <v/>
      </c>
      <c r="AC472">
        <f>IF($Z472=1,IFERROR(IF(VALUE($B472)&lt;100000000,VALUE($B472),1000000000),IFERROR(IF(VALUE(MID($B472,2,20))&lt;100000000,VALUE(MID($B472,2,20)),1000000000),1000000000))+ROW()/100000,"")</f>
        <v/>
      </c>
    </row>
    <row r="473">
      <c r="A473">
        <f>IF($B473="","",IFERROR(IF(INDEX('Per Invoice'!$A$2:$A$801,MATCH($B473,'Per Invoice'!$B$2:$B$801,0))=0,"",INDEX('Per Invoice'!$A$2:$A$801,MATCH($B473,'Per Invoice'!$B$2:$B$801,0))),""))</f>
        <v/>
      </c>
      <c r="J473" s="7">
        <f>IF($B473="","",I473*Q473/100)</f>
        <v/>
      </c>
      <c r="N473" s="7" t="n"/>
      <c r="O473" s="7" t="n"/>
      <c r="P473" s="7">
        <f>IF($B473="","",O473*X473/100)</f>
        <v/>
      </c>
      <c r="Q473" s="7">
        <f>IF($B473="","",O473-P473)</f>
        <v/>
      </c>
      <c r="R473" s="7">
        <f>IF($B473="","",Q473-J473)</f>
        <v/>
      </c>
      <c r="S473" s="7" t="n"/>
      <c r="T473" s="7" t="n"/>
      <c r="V473" s="14" t="n"/>
      <c r="Z473">
        <f>IF($B473="","",IF(COUNTIF($B$2:$B473,$B473)=1,1,0))</f>
        <v/>
      </c>
      <c r="AA473">
        <f>IF($Z473=1,SUMPRODUCT(--($AC$2:$AC$3001&lt;$AC473))+1,"")</f>
        <v/>
      </c>
      <c r="AB473">
        <f>IF($B473="","",IF(OR($Y473=TRUE(),$Y473="TRUE"),1,IF(AND($Y473&lt;&gt;"",OR($Y473=FALSE(),$Y473="FALSE")),0,IF(MIN(ABS($X473/100-Settings!$C$6),ABS($X473/100-Settings!$G$6))&lt;=MIN(ABS($X473/100-Settings!$C$7),ABS($X473/100-Settings!$G$7)),1,0))))</f>
        <v/>
      </c>
      <c r="AC473">
        <f>IF($Z473=1,IFERROR(IF(VALUE($B473)&lt;100000000,VALUE($B473),1000000000),IFERROR(IF(VALUE(MID($B473,2,20))&lt;100000000,VALUE(MID($B473,2,20)),1000000000),1000000000))+ROW()/100000,"")</f>
        <v/>
      </c>
    </row>
    <row r="474">
      <c r="A474">
        <f>IF($B474="","",IFERROR(IF(INDEX('Per Invoice'!$A$2:$A$801,MATCH($B474,'Per Invoice'!$B$2:$B$801,0))=0,"",INDEX('Per Invoice'!$A$2:$A$801,MATCH($B474,'Per Invoice'!$B$2:$B$801,0))),""))</f>
        <v/>
      </c>
      <c r="J474" s="7">
        <f>IF($B474="","",I474*Q474/100)</f>
        <v/>
      </c>
      <c r="N474" s="7" t="n"/>
      <c r="O474" s="7" t="n"/>
      <c r="P474" s="7">
        <f>IF($B474="","",O474*X474/100)</f>
        <v/>
      </c>
      <c r="Q474" s="7">
        <f>IF($B474="","",O474-P474)</f>
        <v/>
      </c>
      <c r="R474" s="7">
        <f>IF($B474="","",Q474-J474)</f>
        <v/>
      </c>
      <c r="S474" s="7" t="n"/>
      <c r="T474" s="7" t="n"/>
      <c r="V474" s="14" t="n"/>
      <c r="Z474">
        <f>IF($B474="","",IF(COUNTIF($B$2:$B474,$B474)=1,1,0))</f>
        <v/>
      </c>
      <c r="AA474">
        <f>IF($Z474=1,SUMPRODUCT(--($AC$2:$AC$3001&lt;$AC474))+1,"")</f>
        <v/>
      </c>
      <c r="AB474">
        <f>IF($B474="","",IF(OR($Y474=TRUE(),$Y474="TRUE"),1,IF(AND($Y474&lt;&gt;"",OR($Y474=FALSE(),$Y474="FALSE")),0,IF(MIN(ABS($X474/100-Settings!$C$6),ABS($X474/100-Settings!$G$6))&lt;=MIN(ABS($X474/100-Settings!$C$7),ABS($X474/100-Settings!$G$7)),1,0))))</f>
        <v/>
      </c>
      <c r="AC474">
        <f>IF($Z474=1,IFERROR(IF(VALUE($B474)&lt;100000000,VALUE($B474),1000000000),IFERROR(IF(VALUE(MID($B474,2,20))&lt;100000000,VALUE(MID($B474,2,20)),1000000000),1000000000))+ROW()/100000,"")</f>
        <v/>
      </c>
    </row>
    <row r="475">
      <c r="A475">
        <f>IF($B475="","",IFERROR(IF(INDEX('Per Invoice'!$A$2:$A$801,MATCH($B475,'Per Invoice'!$B$2:$B$801,0))=0,"",INDEX('Per Invoice'!$A$2:$A$801,MATCH($B475,'Per Invoice'!$B$2:$B$801,0))),""))</f>
        <v/>
      </c>
      <c r="J475" s="7">
        <f>IF($B475="","",I475*Q475/100)</f>
        <v/>
      </c>
      <c r="N475" s="7" t="n"/>
      <c r="O475" s="7" t="n"/>
      <c r="P475" s="7">
        <f>IF($B475="","",O475*X475/100)</f>
        <v/>
      </c>
      <c r="Q475" s="7">
        <f>IF($B475="","",O475-P475)</f>
        <v/>
      </c>
      <c r="R475" s="7">
        <f>IF($B475="","",Q475-J475)</f>
        <v/>
      </c>
      <c r="S475" s="7" t="n"/>
      <c r="T475" s="7" t="n"/>
      <c r="V475" s="14" t="n"/>
      <c r="Z475">
        <f>IF($B475="","",IF(COUNTIF($B$2:$B475,$B475)=1,1,0))</f>
        <v/>
      </c>
      <c r="AA475">
        <f>IF($Z475=1,SUMPRODUCT(--($AC$2:$AC$3001&lt;$AC475))+1,"")</f>
        <v/>
      </c>
      <c r="AB475">
        <f>IF($B475="","",IF(OR($Y475=TRUE(),$Y475="TRUE"),1,IF(AND($Y475&lt;&gt;"",OR($Y475=FALSE(),$Y475="FALSE")),0,IF(MIN(ABS($X475/100-Settings!$C$6),ABS($X475/100-Settings!$G$6))&lt;=MIN(ABS($X475/100-Settings!$C$7),ABS($X475/100-Settings!$G$7)),1,0))))</f>
        <v/>
      </c>
      <c r="AC475">
        <f>IF($Z475=1,IFERROR(IF(VALUE($B475)&lt;100000000,VALUE($B475),1000000000),IFERROR(IF(VALUE(MID($B475,2,20))&lt;100000000,VALUE(MID($B475,2,20)),1000000000),1000000000))+ROW()/100000,"")</f>
        <v/>
      </c>
    </row>
    <row r="476">
      <c r="A476">
        <f>IF($B476="","",IFERROR(IF(INDEX('Per Invoice'!$A$2:$A$801,MATCH($B476,'Per Invoice'!$B$2:$B$801,0))=0,"",INDEX('Per Invoice'!$A$2:$A$801,MATCH($B476,'Per Invoice'!$B$2:$B$801,0))),""))</f>
        <v/>
      </c>
      <c r="J476" s="7">
        <f>IF($B476="","",I476*Q476/100)</f>
        <v/>
      </c>
      <c r="N476" s="7" t="n"/>
      <c r="O476" s="7" t="n"/>
      <c r="P476" s="7">
        <f>IF($B476="","",O476*X476/100)</f>
        <v/>
      </c>
      <c r="Q476" s="7">
        <f>IF($B476="","",O476-P476)</f>
        <v/>
      </c>
      <c r="R476" s="7">
        <f>IF($B476="","",Q476-J476)</f>
        <v/>
      </c>
      <c r="S476" s="7" t="n"/>
      <c r="T476" s="7" t="n"/>
      <c r="V476" s="14" t="n"/>
      <c r="Z476">
        <f>IF($B476="","",IF(COUNTIF($B$2:$B476,$B476)=1,1,0))</f>
        <v/>
      </c>
      <c r="AA476">
        <f>IF($Z476=1,SUMPRODUCT(--($AC$2:$AC$3001&lt;$AC476))+1,"")</f>
        <v/>
      </c>
      <c r="AB476">
        <f>IF($B476="","",IF(OR($Y476=TRUE(),$Y476="TRUE"),1,IF(AND($Y476&lt;&gt;"",OR($Y476=FALSE(),$Y476="FALSE")),0,IF(MIN(ABS($X476/100-Settings!$C$6),ABS($X476/100-Settings!$G$6))&lt;=MIN(ABS($X476/100-Settings!$C$7),ABS($X476/100-Settings!$G$7)),1,0))))</f>
        <v/>
      </c>
      <c r="AC476">
        <f>IF($Z476=1,IFERROR(IF(VALUE($B476)&lt;100000000,VALUE($B476),1000000000),IFERROR(IF(VALUE(MID($B476,2,20))&lt;100000000,VALUE(MID($B476,2,20)),1000000000),1000000000))+ROW()/100000,"")</f>
        <v/>
      </c>
    </row>
    <row r="477">
      <c r="A477">
        <f>IF($B477="","",IFERROR(IF(INDEX('Per Invoice'!$A$2:$A$801,MATCH($B477,'Per Invoice'!$B$2:$B$801,0))=0,"",INDEX('Per Invoice'!$A$2:$A$801,MATCH($B477,'Per Invoice'!$B$2:$B$801,0))),""))</f>
        <v/>
      </c>
      <c r="J477" s="7">
        <f>IF($B477="","",I477*Q477/100)</f>
        <v/>
      </c>
      <c r="N477" s="7" t="n"/>
      <c r="O477" s="7" t="n"/>
      <c r="P477" s="7">
        <f>IF($B477="","",O477*X477/100)</f>
        <v/>
      </c>
      <c r="Q477" s="7">
        <f>IF($B477="","",O477-P477)</f>
        <v/>
      </c>
      <c r="R477" s="7">
        <f>IF($B477="","",Q477-J477)</f>
        <v/>
      </c>
      <c r="S477" s="7" t="n"/>
      <c r="T477" s="7" t="n"/>
      <c r="V477" s="14" t="n"/>
      <c r="Z477">
        <f>IF($B477="","",IF(COUNTIF($B$2:$B477,$B477)=1,1,0))</f>
        <v/>
      </c>
      <c r="AA477">
        <f>IF($Z477=1,SUMPRODUCT(--($AC$2:$AC$3001&lt;$AC477))+1,"")</f>
        <v/>
      </c>
      <c r="AB477">
        <f>IF($B477="","",IF(OR($Y477=TRUE(),$Y477="TRUE"),1,IF(AND($Y477&lt;&gt;"",OR($Y477=FALSE(),$Y477="FALSE")),0,IF(MIN(ABS($X477/100-Settings!$C$6),ABS($X477/100-Settings!$G$6))&lt;=MIN(ABS($X477/100-Settings!$C$7),ABS($X477/100-Settings!$G$7)),1,0))))</f>
        <v/>
      </c>
      <c r="AC477">
        <f>IF($Z477=1,IFERROR(IF(VALUE($B477)&lt;100000000,VALUE($B477),1000000000),IFERROR(IF(VALUE(MID($B477,2,20))&lt;100000000,VALUE(MID($B477,2,20)),1000000000),1000000000))+ROW()/100000,"")</f>
        <v/>
      </c>
    </row>
    <row r="478">
      <c r="A478">
        <f>IF($B478="","",IFERROR(IF(INDEX('Per Invoice'!$A$2:$A$801,MATCH($B478,'Per Invoice'!$B$2:$B$801,0))=0,"",INDEX('Per Invoice'!$A$2:$A$801,MATCH($B478,'Per Invoice'!$B$2:$B$801,0))),""))</f>
        <v/>
      </c>
      <c r="J478" s="7">
        <f>IF($B478="","",I478*Q478/100)</f>
        <v/>
      </c>
      <c r="N478" s="7" t="n"/>
      <c r="O478" s="7" t="n"/>
      <c r="P478" s="7">
        <f>IF($B478="","",O478*X478/100)</f>
        <v/>
      </c>
      <c r="Q478" s="7">
        <f>IF($B478="","",O478-P478)</f>
        <v/>
      </c>
      <c r="R478" s="7">
        <f>IF($B478="","",Q478-J478)</f>
        <v/>
      </c>
      <c r="S478" s="7" t="n"/>
      <c r="T478" s="7" t="n"/>
      <c r="V478" s="14" t="n"/>
      <c r="Z478">
        <f>IF($B478="","",IF(COUNTIF($B$2:$B478,$B478)=1,1,0))</f>
        <v/>
      </c>
      <c r="AA478">
        <f>IF($Z478=1,SUMPRODUCT(--($AC$2:$AC$3001&lt;$AC478))+1,"")</f>
        <v/>
      </c>
      <c r="AB478">
        <f>IF($B478="","",IF(OR($Y478=TRUE(),$Y478="TRUE"),1,IF(AND($Y478&lt;&gt;"",OR($Y478=FALSE(),$Y478="FALSE")),0,IF(MIN(ABS($X478/100-Settings!$C$6),ABS($X478/100-Settings!$G$6))&lt;=MIN(ABS($X478/100-Settings!$C$7),ABS($X478/100-Settings!$G$7)),1,0))))</f>
        <v/>
      </c>
      <c r="AC478">
        <f>IF($Z478=1,IFERROR(IF(VALUE($B478)&lt;100000000,VALUE($B478),1000000000),IFERROR(IF(VALUE(MID($B478,2,20))&lt;100000000,VALUE(MID($B478,2,20)),1000000000),1000000000))+ROW()/100000,"")</f>
        <v/>
      </c>
    </row>
    <row r="479">
      <c r="A479">
        <f>IF($B479="","",IFERROR(IF(INDEX('Per Invoice'!$A$2:$A$801,MATCH($B479,'Per Invoice'!$B$2:$B$801,0))=0,"",INDEX('Per Invoice'!$A$2:$A$801,MATCH($B479,'Per Invoice'!$B$2:$B$801,0))),""))</f>
        <v/>
      </c>
      <c r="J479" s="7">
        <f>IF($B479="","",I479*Q479/100)</f>
        <v/>
      </c>
      <c r="N479" s="7" t="n"/>
      <c r="O479" s="7" t="n"/>
      <c r="P479" s="7">
        <f>IF($B479="","",O479*X479/100)</f>
        <v/>
      </c>
      <c r="Q479" s="7">
        <f>IF($B479="","",O479-P479)</f>
        <v/>
      </c>
      <c r="R479" s="7">
        <f>IF($B479="","",Q479-J479)</f>
        <v/>
      </c>
      <c r="S479" s="7" t="n"/>
      <c r="T479" s="7" t="n"/>
      <c r="V479" s="14" t="n"/>
      <c r="Z479">
        <f>IF($B479="","",IF(COUNTIF($B$2:$B479,$B479)=1,1,0))</f>
        <v/>
      </c>
      <c r="AA479">
        <f>IF($Z479=1,SUMPRODUCT(--($AC$2:$AC$3001&lt;$AC479))+1,"")</f>
        <v/>
      </c>
      <c r="AB479">
        <f>IF($B479="","",IF(OR($Y479=TRUE(),$Y479="TRUE"),1,IF(AND($Y479&lt;&gt;"",OR($Y479=FALSE(),$Y479="FALSE")),0,IF(MIN(ABS($X479/100-Settings!$C$6),ABS($X479/100-Settings!$G$6))&lt;=MIN(ABS($X479/100-Settings!$C$7),ABS($X479/100-Settings!$G$7)),1,0))))</f>
        <v/>
      </c>
      <c r="AC479">
        <f>IF($Z479=1,IFERROR(IF(VALUE($B479)&lt;100000000,VALUE($B479),1000000000),IFERROR(IF(VALUE(MID($B479,2,20))&lt;100000000,VALUE(MID($B479,2,20)),1000000000),1000000000))+ROW()/100000,"")</f>
        <v/>
      </c>
    </row>
    <row r="480">
      <c r="A480">
        <f>IF($B480="","",IFERROR(IF(INDEX('Per Invoice'!$A$2:$A$801,MATCH($B480,'Per Invoice'!$B$2:$B$801,0))=0,"",INDEX('Per Invoice'!$A$2:$A$801,MATCH($B480,'Per Invoice'!$B$2:$B$801,0))),""))</f>
        <v/>
      </c>
      <c r="J480" s="7">
        <f>IF($B480="","",I480*Q480/100)</f>
        <v/>
      </c>
      <c r="N480" s="7" t="n"/>
      <c r="O480" s="7" t="n"/>
      <c r="P480" s="7">
        <f>IF($B480="","",O480*X480/100)</f>
        <v/>
      </c>
      <c r="Q480" s="7">
        <f>IF($B480="","",O480-P480)</f>
        <v/>
      </c>
      <c r="R480" s="7">
        <f>IF($B480="","",Q480-J480)</f>
        <v/>
      </c>
      <c r="S480" s="7" t="n"/>
      <c r="T480" s="7" t="n"/>
      <c r="V480" s="14" t="n"/>
      <c r="Z480">
        <f>IF($B480="","",IF(COUNTIF($B$2:$B480,$B480)=1,1,0))</f>
        <v/>
      </c>
      <c r="AA480">
        <f>IF($Z480=1,SUMPRODUCT(--($AC$2:$AC$3001&lt;$AC480))+1,"")</f>
        <v/>
      </c>
      <c r="AB480">
        <f>IF($B480="","",IF(OR($Y480=TRUE(),$Y480="TRUE"),1,IF(AND($Y480&lt;&gt;"",OR($Y480=FALSE(),$Y480="FALSE")),0,IF(MIN(ABS($X480/100-Settings!$C$6),ABS($X480/100-Settings!$G$6))&lt;=MIN(ABS($X480/100-Settings!$C$7),ABS($X480/100-Settings!$G$7)),1,0))))</f>
        <v/>
      </c>
      <c r="AC480">
        <f>IF($Z480=1,IFERROR(IF(VALUE($B480)&lt;100000000,VALUE($B480),1000000000),IFERROR(IF(VALUE(MID($B480,2,20))&lt;100000000,VALUE(MID($B480,2,20)),1000000000),1000000000))+ROW()/100000,"")</f>
        <v/>
      </c>
    </row>
    <row r="481">
      <c r="A481">
        <f>IF($B481="","",IFERROR(IF(INDEX('Per Invoice'!$A$2:$A$801,MATCH($B481,'Per Invoice'!$B$2:$B$801,0))=0,"",INDEX('Per Invoice'!$A$2:$A$801,MATCH($B481,'Per Invoice'!$B$2:$B$801,0))),""))</f>
        <v/>
      </c>
      <c r="J481" s="7">
        <f>IF($B481="","",I481*Q481/100)</f>
        <v/>
      </c>
      <c r="N481" s="7" t="n"/>
      <c r="O481" s="7" t="n"/>
      <c r="P481" s="7">
        <f>IF($B481="","",O481*X481/100)</f>
        <v/>
      </c>
      <c r="Q481" s="7">
        <f>IF($B481="","",O481-P481)</f>
        <v/>
      </c>
      <c r="R481" s="7">
        <f>IF($B481="","",Q481-J481)</f>
        <v/>
      </c>
      <c r="S481" s="7" t="n"/>
      <c r="T481" s="7" t="n"/>
      <c r="V481" s="14" t="n"/>
      <c r="Z481">
        <f>IF($B481="","",IF(COUNTIF($B$2:$B481,$B481)=1,1,0))</f>
        <v/>
      </c>
      <c r="AA481">
        <f>IF($Z481=1,SUMPRODUCT(--($AC$2:$AC$3001&lt;$AC481))+1,"")</f>
        <v/>
      </c>
      <c r="AB481">
        <f>IF($B481="","",IF(OR($Y481=TRUE(),$Y481="TRUE"),1,IF(AND($Y481&lt;&gt;"",OR($Y481=FALSE(),$Y481="FALSE")),0,IF(MIN(ABS($X481/100-Settings!$C$6),ABS($X481/100-Settings!$G$6))&lt;=MIN(ABS($X481/100-Settings!$C$7),ABS($X481/100-Settings!$G$7)),1,0))))</f>
        <v/>
      </c>
      <c r="AC481">
        <f>IF($Z481=1,IFERROR(IF(VALUE($B481)&lt;100000000,VALUE($B481),1000000000),IFERROR(IF(VALUE(MID($B481,2,20))&lt;100000000,VALUE(MID($B481,2,20)),1000000000),1000000000))+ROW()/100000,"")</f>
        <v/>
      </c>
    </row>
    <row r="482">
      <c r="A482">
        <f>IF($B482="","",IFERROR(IF(INDEX('Per Invoice'!$A$2:$A$801,MATCH($B482,'Per Invoice'!$B$2:$B$801,0))=0,"",INDEX('Per Invoice'!$A$2:$A$801,MATCH($B482,'Per Invoice'!$B$2:$B$801,0))),""))</f>
        <v/>
      </c>
      <c r="J482" s="7">
        <f>IF($B482="","",I482*Q482/100)</f>
        <v/>
      </c>
      <c r="N482" s="7" t="n"/>
      <c r="O482" s="7" t="n"/>
      <c r="P482" s="7">
        <f>IF($B482="","",O482*X482/100)</f>
        <v/>
      </c>
      <c r="Q482" s="7">
        <f>IF($B482="","",O482-P482)</f>
        <v/>
      </c>
      <c r="R482" s="7">
        <f>IF($B482="","",Q482-J482)</f>
        <v/>
      </c>
      <c r="S482" s="7" t="n"/>
      <c r="T482" s="7" t="n"/>
      <c r="V482" s="14" t="n"/>
      <c r="Z482">
        <f>IF($B482="","",IF(COUNTIF($B$2:$B482,$B482)=1,1,0))</f>
        <v/>
      </c>
      <c r="AA482">
        <f>IF($Z482=1,SUMPRODUCT(--($AC$2:$AC$3001&lt;$AC482))+1,"")</f>
        <v/>
      </c>
      <c r="AB482">
        <f>IF($B482="","",IF(OR($Y482=TRUE(),$Y482="TRUE"),1,IF(AND($Y482&lt;&gt;"",OR($Y482=FALSE(),$Y482="FALSE")),0,IF(MIN(ABS($X482/100-Settings!$C$6),ABS($X482/100-Settings!$G$6))&lt;=MIN(ABS($X482/100-Settings!$C$7),ABS($X482/100-Settings!$G$7)),1,0))))</f>
        <v/>
      </c>
      <c r="AC482">
        <f>IF($Z482=1,IFERROR(IF(VALUE($B482)&lt;100000000,VALUE($B482),1000000000),IFERROR(IF(VALUE(MID($B482,2,20))&lt;100000000,VALUE(MID($B482,2,20)),1000000000),1000000000))+ROW()/100000,"")</f>
        <v/>
      </c>
    </row>
    <row r="483">
      <c r="A483">
        <f>IF($B483="","",IFERROR(IF(INDEX('Per Invoice'!$A$2:$A$801,MATCH($B483,'Per Invoice'!$B$2:$B$801,0))=0,"",INDEX('Per Invoice'!$A$2:$A$801,MATCH($B483,'Per Invoice'!$B$2:$B$801,0))),""))</f>
        <v/>
      </c>
      <c r="J483" s="7">
        <f>IF($B483="","",I483*Q483/100)</f>
        <v/>
      </c>
      <c r="N483" s="7" t="n"/>
      <c r="O483" s="7" t="n"/>
      <c r="P483" s="7">
        <f>IF($B483="","",O483*X483/100)</f>
        <v/>
      </c>
      <c r="Q483" s="7">
        <f>IF($B483="","",O483-P483)</f>
        <v/>
      </c>
      <c r="R483" s="7">
        <f>IF($B483="","",Q483-J483)</f>
        <v/>
      </c>
      <c r="S483" s="7" t="n"/>
      <c r="T483" s="7" t="n"/>
      <c r="V483" s="14" t="n"/>
      <c r="Z483">
        <f>IF($B483="","",IF(COUNTIF($B$2:$B483,$B483)=1,1,0))</f>
        <v/>
      </c>
      <c r="AA483">
        <f>IF($Z483=1,SUMPRODUCT(--($AC$2:$AC$3001&lt;$AC483))+1,"")</f>
        <v/>
      </c>
      <c r="AB483">
        <f>IF($B483="","",IF(OR($Y483=TRUE(),$Y483="TRUE"),1,IF(AND($Y483&lt;&gt;"",OR($Y483=FALSE(),$Y483="FALSE")),0,IF(MIN(ABS($X483/100-Settings!$C$6),ABS($X483/100-Settings!$G$6))&lt;=MIN(ABS($X483/100-Settings!$C$7),ABS($X483/100-Settings!$G$7)),1,0))))</f>
        <v/>
      </c>
      <c r="AC483">
        <f>IF($Z483=1,IFERROR(IF(VALUE($B483)&lt;100000000,VALUE($B483),1000000000),IFERROR(IF(VALUE(MID($B483,2,20))&lt;100000000,VALUE(MID($B483,2,20)),1000000000),1000000000))+ROW()/100000,"")</f>
        <v/>
      </c>
    </row>
    <row r="484">
      <c r="A484">
        <f>IF($B484="","",IFERROR(IF(INDEX('Per Invoice'!$A$2:$A$801,MATCH($B484,'Per Invoice'!$B$2:$B$801,0))=0,"",INDEX('Per Invoice'!$A$2:$A$801,MATCH($B484,'Per Invoice'!$B$2:$B$801,0))),""))</f>
        <v/>
      </c>
      <c r="J484" s="7">
        <f>IF($B484="","",I484*Q484/100)</f>
        <v/>
      </c>
      <c r="N484" s="7" t="n"/>
      <c r="O484" s="7" t="n"/>
      <c r="P484" s="7">
        <f>IF($B484="","",O484*X484/100)</f>
        <v/>
      </c>
      <c r="Q484" s="7">
        <f>IF($B484="","",O484-P484)</f>
        <v/>
      </c>
      <c r="R484" s="7">
        <f>IF($B484="","",Q484-J484)</f>
        <v/>
      </c>
      <c r="S484" s="7" t="n"/>
      <c r="T484" s="7" t="n"/>
      <c r="V484" s="14" t="n"/>
      <c r="Z484">
        <f>IF($B484="","",IF(COUNTIF($B$2:$B484,$B484)=1,1,0))</f>
        <v/>
      </c>
      <c r="AA484">
        <f>IF($Z484=1,SUMPRODUCT(--($AC$2:$AC$3001&lt;$AC484))+1,"")</f>
        <v/>
      </c>
      <c r="AB484">
        <f>IF($B484="","",IF(OR($Y484=TRUE(),$Y484="TRUE"),1,IF(AND($Y484&lt;&gt;"",OR($Y484=FALSE(),$Y484="FALSE")),0,IF(MIN(ABS($X484/100-Settings!$C$6),ABS($X484/100-Settings!$G$6))&lt;=MIN(ABS($X484/100-Settings!$C$7),ABS($X484/100-Settings!$G$7)),1,0))))</f>
        <v/>
      </c>
      <c r="AC484">
        <f>IF($Z484=1,IFERROR(IF(VALUE($B484)&lt;100000000,VALUE($B484),1000000000),IFERROR(IF(VALUE(MID($B484,2,20))&lt;100000000,VALUE(MID($B484,2,20)),1000000000),1000000000))+ROW()/100000,"")</f>
        <v/>
      </c>
    </row>
    <row r="485">
      <c r="A485">
        <f>IF($B485="","",IFERROR(IF(INDEX('Per Invoice'!$A$2:$A$801,MATCH($B485,'Per Invoice'!$B$2:$B$801,0))=0,"",INDEX('Per Invoice'!$A$2:$A$801,MATCH($B485,'Per Invoice'!$B$2:$B$801,0))),""))</f>
        <v/>
      </c>
      <c r="J485" s="7">
        <f>IF($B485="","",I485*Q485/100)</f>
        <v/>
      </c>
      <c r="N485" s="7" t="n"/>
      <c r="O485" s="7" t="n"/>
      <c r="P485" s="7">
        <f>IF($B485="","",O485*X485/100)</f>
        <v/>
      </c>
      <c r="Q485" s="7">
        <f>IF($B485="","",O485-P485)</f>
        <v/>
      </c>
      <c r="R485" s="7">
        <f>IF($B485="","",Q485-J485)</f>
        <v/>
      </c>
      <c r="S485" s="7" t="n"/>
      <c r="T485" s="7" t="n"/>
      <c r="V485" s="14" t="n"/>
      <c r="Z485">
        <f>IF($B485="","",IF(COUNTIF($B$2:$B485,$B485)=1,1,0))</f>
        <v/>
      </c>
      <c r="AA485">
        <f>IF($Z485=1,SUMPRODUCT(--($AC$2:$AC$3001&lt;$AC485))+1,"")</f>
        <v/>
      </c>
      <c r="AB485">
        <f>IF($B485="","",IF(OR($Y485=TRUE(),$Y485="TRUE"),1,IF(AND($Y485&lt;&gt;"",OR($Y485=FALSE(),$Y485="FALSE")),0,IF(MIN(ABS($X485/100-Settings!$C$6),ABS($X485/100-Settings!$G$6))&lt;=MIN(ABS($X485/100-Settings!$C$7),ABS($X485/100-Settings!$G$7)),1,0))))</f>
        <v/>
      </c>
      <c r="AC485">
        <f>IF($Z485=1,IFERROR(IF(VALUE($B485)&lt;100000000,VALUE($B485),1000000000),IFERROR(IF(VALUE(MID($B485,2,20))&lt;100000000,VALUE(MID($B485,2,20)),1000000000),1000000000))+ROW()/100000,"")</f>
        <v/>
      </c>
    </row>
    <row r="486">
      <c r="A486">
        <f>IF($B486="","",IFERROR(IF(INDEX('Per Invoice'!$A$2:$A$801,MATCH($B486,'Per Invoice'!$B$2:$B$801,0))=0,"",INDEX('Per Invoice'!$A$2:$A$801,MATCH($B486,'Per Invoice'!$B$2:$B$801,0))),""))</f>
        <v/>
      </c>
      <c r="J486" s="7">
        <f>IF($B486="","",I486*Q486/100)</f>
        <v/>
      </c>
      <c r="N486" s="7" t="n"/>
      <c r="O486" s="7" t="n"/>
      <c r="P486" s="7">
        <f>IF($B486="","",O486*X486/100)</f>
        <v/>
      </c>
      <c r="Q486" s="7">
        <f>IF($B486="","",O486-P486)</f>
        <v/>
      </c>
      <c r="R486" s="7">
        <f>IF($B486="","",Q486-J486)</f>
        <v/>
      </c>
      <c r="S486" s="7" t="n"/>
      <c r="T486" s="7" t="n"/>
      <c r="V486" s="14" t="n"/>
      <c r="Z486">
        <f>IF($B486="","",IF(COUNTIF($B$2:$B486,$B486)=1,1,0))</f>
        <v/>
      </c>
      <c r="AA486">
        <f>IF($Z486=1,SUMPRODUCT(--($AC$2:$AC$3001&lt;$AC486))+1,"")</f>
        <v/>
      </c>
      <c r="AB486">
        <f>IF($B486="","",IF(OR($Y486=TRUE(),$Y486="TRUE"),1,IF(AND($Y486&lt;&gt;"",OR($Y486=FALSE(),$Y486="FALSE")),0,IF(MIN(ABS($X486/100-Settings!$C$6),ABS($X486/100-Settings!$G$6))&lt;=MIN(ABS($X486/100-Settings!$C$7),ABS($X486/100-Settings!$G$7)),1,0))))</f>
        <v/>
      </c>
      <c r="AC486">
        <f>IF($Z486=1,IFERROR(IF(VALUE($B486)&lt;100000000,VALUE($B486),1000000000),IFERROR(IF(VALUE(MID($B486,2,20))&lt;100000000,VALUE(MID($B486,2,20)),1000000000),1000000000))+ROW()/100000,"")</f>
        <v/>
      </c>
    </row>
    <row r="487">
      <c r="A487">
        <f>IF($B487="","",IFERROR(IF(INDEX('Per Invoice'!$A$2:$A$801,MATCH($B487,'Per Invoice'!$B$2:$B$801,0))=0,"",INDEX('Per Invoice'!$A$2:$A$801,MATCH($B487,'Per Invoice'!$B$2:$B$801,0))),""))</f>
        <v/>
      </c>
      <c r="J487" s="7">
        <f>IF($B487="","",I487*Q487/100)</f>
        <v/>
      </c>
      <c r="N487" s="7" t="n"/>
      <c r="O487" s="7" t="n"/>
      <c r="P487" s="7">
        <f>IF($B487="","",O487*X487/100)</f>
        <v/>
      </c>
      <c r="Q487" s="7">
        <f>IF($B487="","",O487-P487)</f>
        <v/>
      </c>
      <c r="R487" s="7">
        <f>IF($B487="","",Q487-J487)</f>
        <v/>
      </c>
      <c r="S487" s="7" t="n"/>
      <c r="T487" s="7" t="n"/>
      <c r="V487" s="14" t="n"/>
      <c r="Z487">
        <f>IF($B487="","",IF(COUNTIF($B$2:$B487,$B487)=1,1,0))</f>
        <v/>
      </c>
      <c r="AA487">
        <f>IF($Z487=1,SUMPRODUCT(--($AC$2:$AC$3001&lt;$AC487))+1,"")</f>
        <v/>
      </c>
      <c r="AB487">
        <f>IF($B487="","",IF(OR($Y487=TRUE(),$Y487="TRUE"),1,IF(AND($Y487&lt;&gt;"",OR($Y487=FALSE(),$Y487="FALSE")),0,IF(MIN(ABS($X487/100-Settings!$C$6),ABS($X487/100-Settings!$G$6))&lt;=MIN(ABS($X487/100-Settings!$C$7),ABS($X487/100-Settings!$G$7)),1,0))))</f>
        <v/>
      </c>
      <c r="AC487">
        <f>IF($Z487=1,IFERROR(IF(VALUE($B487)&lt;100000000,VALUE($B487),1000000000),IFERROR(IF(VALUE(MID($B487,2,20))&lt;100000000,VALUE(MID($B487,2,20)),1000000000),1000000000))+ROW()/100000,"")</f>
        <v/>
      </c>
    </row>
    <row r="488">
      <c r="A488">
        <f>IF($B488="","",IFERROR(IF(INDEX('Per Invoice'!$A$2:$A$801,MATCH($B488,'Per Invoice'!$B$2:$B$801,0))=0,"",INDEX('Per Invoice'!$A$2:$A$801,MATCH($B488,'Per Invoice'!$B$2:$B$801,0))),""))</f>
        <v/>
      </c>
      <c r="J488" s="7">
        <f>IF($B488="","",I488*Q488/100)</f>
        <v/>
      </c>
      <c r="N488" s="7" t="n"/>
      <c r="O488" s="7" t="n"/>
      <c r="P488" s="7">
        <f>IF($B488="","",O488*X488/100)</f>
        <v/>
      </c>
      <c r="Q488" s="7">
        <f>IF($B488="","",O488-P488)</f>
        <v/>
      </c>
      <c r="R488" s="7">
        <f>IF($B488="","",Q488-J488)</f>
        <v/>
      </c>
      <c r="S488" s="7" t="n"/>
      <c r="T488" s="7" t="n"/>
      <c r="V488" s="14" t="n"/>
      <c r="Z488">
        <f>IF($B488="","",IF(COUNTIF($B$2:$B488,$B488)=1,1,0))</f>
        <v/>
      </c>
      <c r="AA488">
        <f>IF($Z488=1,SUMPRODUCT(--($AC$2:$AC$3001&lt;$AC488))+1,"")</f>
        <v/>
      </c>
      <c r="AB488">
        <f>IF($B488="","",IF(OR($Y488=TRUE(),$Y488="TRUE"),1,IF(AND($Y488&lt;&gt;"",OR($Y488=FALSE(),$Y488="FALSE")),0,IF(MIN(ABS($X488/100-Settings!$C$6),ABS($X488/100-Settings!$G$6))&lt;=MIN(ABS($X488/100-Settings!$C$7),ABS($X488/100-Settings!$G$7)),1,0))))</f>
        <v/>
      </c>
      <c r="AC488">
        <f>IF($Z488=1,IFERROR(IF(VALUE($B488)&lt;100000000,VALUE($B488),1000000000),IFERROR(IF(VALUE(MID($B488,2,20))&lt;100000000,VALUE(MID($B488,2,20)),1000000000),1000000000))+ROW()/100000,"")</f>
        <v/>
      </c>
    </row>
    <row r="489">
      <c r="A489">
        <f>IF($B489="","",IFERROR(IF(INDEX('Per Invoice'!$A$2:$A$801,MATCH($B489,'Per Invoice'!$B$2:$B$801,0))=0,"",INDEX('Per Invoice'!$A$2:$A$801,MATCH($B489,'Per Invoice'!$B$2:$B$801,0))),""))</f>
        <v/>
      </c>
      <c r="J489" s="7">
        <f>IF($B489="","",I489*Q489/100)</f>
        <v/>
      </c>
      <c r="N489" s="7" t="n"/>
      <c r="O489" s="7" t="n"/>
      <c r="P489" s="7">
        <f>IF($B489="","",O489*X489/100)</f>
        <v/>
      </c>
      <c r="Q489" s="7">
        <f>IF($B489="","",O489-P489)</f>
        <v/>
      </c>
      <c r="R489" s="7">
        <f>IF($B489="","",Q489-J489)</f>
        <v/>
      </c>
      <c r="S489" s="7" t="n"/>
      <c r="T489" s="7" t="n"/>
      <c r="V489" s="14" t="n"/>
      <c r="Z489">
        <f>IF($B489="","",IF(COUNTIF($B$2:$B489,$B489)=1,1,0))</f>
        <v/>
      </c>
      <c r="AA489">
        <f>IF($Z489=1,SUMPRODUCT(--($AC$2:$AC$3001&lt;$AC489))+1,"")</f>
        <v/>
      </c>
      <c r="AB489">
        <f>IF($B489="","",IF(OR($Y489=TRUE(),$Y489="TRUE"),1,IF(AND($Y489&lt;&gt;"",OR($Y489=FALSE(),$Y489="FALSE")),0,IF(MIN(ABS($X489/100-Settings!$C$6),ABS($X489/100-Settings!$G$6))&lt;=MIN(ABS($X489/100-Settings!$C$7),ABS($X489/100-Settings!$G$7)),1,0))))</f>
        <v/>
      </c>
      <c r="AC489">
        <f>IF($Z489=1,IFERROR(IF(VALUE($B489)&lt;100000000,VALUE($B489),1000000000),IFERROR(IF(VALUE(MID($B489,2,20))&lt;100000000,VALUE(MID($B489,2,20)),1000000000),1000000000))+ROW()/100000,"")</f>
        <v/>
      </c>
    </row>
    <row r="490">
      <c r="A490">
        <f>IF($B490="","",IFERROR(IF(INDEX('Per Invoice'!$A$2:$A$801,MATCH($B490,'Per Invoice'!$B$2:$B$801,0))=0,"",INDEX('Per Invoice'!$A$2:$A$801,MATCH($B490,'Per Invoice'!$B$2:$B$801,0))),""))</f>
        <v/>
      </c>
      <c r="J490" s="7">
        <f>IF($B490="","",I490*Q490/100)</f>
        <v/>
      </c>
      <c r="N490" s="7" t="n"/>
      <c r="O490" s="7" t="n"/>
      <c r="P490" s="7">
        <f>IF($B490="","",O490*X490/100)</f>
        <v/>
      </c>
      <c r="Q490" s="7">
        <f>IF($B490="","",O490-P490)</f>
        <v/>
      </c>
      <c r="R490" s="7">
        <f>IF($B490="","",Q490-J490)</f>
        <v/>
      </c>
      <c r="S490" s="7" t="n"/>
      <c r="T490" s="7" t="n"/>
      <c r="V490" s="14" t="n"/>
      <c r="Z490">
        <f>IF($B490="","",IF(COUNTIF($B$2:$B490,$B490)=1,1,0))</f>
        <v/>
      </c>
      <c r="AA490">
        <f>IF($Z490=1,SUMPRODUCT(--($AC$2:$AC$3001&lt;$AC490))+1,"")</f>
        <v/>
      </c>
      <c r="AB490">
        <f>IF($B490="","",IF(OR($Y490=TRUE(),$Y490="TRUE"),1,IF(AND($Y490&lt;&gt;"",OR($Y490=FALSE(),$Y490="FALSE")),0,IF(MIN(ABS($X490/100-Settings!$C$6),ABS($X490/100-Settings!$G$6))&lt;=MIN(ABS($X490/100-Settings!$C$7),ABS($X490/100-Settings!$G$7)),1,0))))</f>
        <v/>
      </c>
      <c r="AC490">
        <f>IF($Z490=1,IFERROR(IF(VALUE($B490)&lt;100000000,VALUE($B490),1000000000),IFERROR(IF(VALUE(MID($B490,2,20))&lt;100000000,VALUE(MID($B490,2,20)),1000000000),1000000000))+ROW()/100000,"")</f>
        <v/>
      </c>
    </row>
    <row r="491">
      <c r="A491">
        <f>IF($B491="","",IFERROR(IF(INDEX('Per Invoice'!$A$2:$A$801,MATCH($B491,'Per Invoice'!$B$2:$B$801,0))=0,"",INDEX('Per Invoice'!$A$2:$A$801,MATCH($B491,'Per Invoice'!$B$2:$B$801,0))),""))</f>
        <v/>
      </c>
      <c r="J491" s="7">
        <f>IF($B491="","",I491*Q491/100)</f>
        <v/>
      </c>
      <c r="N491" s="7" t="n"/>
      <c r="O491" s="7" t="n"/>
      <c r="P491" s="7">
        <f>IF($B491="","",O491*X491/100)</f>
        <v/>
      </c>
      <c r="Q491" s="7">
        <f>IF($B491="","",O491-P491)</f>
        <v/>
      </c>
      <c r="R491" s="7">
        <f>IF($B491="","",Q491-J491)</f>
        <v/>
      </c>
      <c r="S491" s="7" t="n"/>
      <c r="T491" s="7" t="n"/>
      <c r="V491" s="14" t="n"/>
      <c r="Z491">
        <f>IF($B491="","",IF(COUNTIF($B$2:$B491,$B491)=1,1,0))</f>
        <v/>
      </c>
      <c r="AA491">
        <f>IF($Z491=1,SUMPRODUCT(--($AC$2:$AC$3001&lt;$AC491))+1,"")</f>
        <v/>
      </c>
      <c r="AB491">
        <f>IF($B491="","",IF(OR($Y491=TRUE(),$Y491="TRUE"),1,IF(AND($Y491&lt;&gt;"",OR($Y491=FALSE(),$Y491="FALSE")),0,IF(MIN(ABS($X491/100-Settings!$C$6),ABS($X491/100-Settings!$G$6))&lt;=MIN(ABS($X491/100-Settings!$C$7),ABS($X491/100-Settings!$G$7)),1,0))))</f>
        <v/>
      </c>
      <c r="AC491">
        <f>IF($Z491=1,IFERROR(IF(VALUE($B491)&lt;100000000,VALUE($B491),1000000000),IFERROR(IF(VALUE(MID($B491,2,20))&lt;100000000,VALUE(MID($B491,2,20)),1000000000),1000000000))+ROW()/100000,"")</f>
        <v/>
      </c>
    </row>
    <row r="492">
      <c r="A492">
        <f>IF($B492="","",IFERROR(IF(INDEX('Per Invoice'!$A$2:$A$801,MATCH($B492,'Per Invoice'!$B$2:$B$801,0))=0,"",INDEX('Per Invoice'!$A$2:$A$801,MATCH($B492,'Per Invoice'!$B$2:$B$801,0))),""))</f>
        <v/>
      </c>
      <c r="J492" s="7">
        <f>IF($B492="","",I492*Q492/100)</f>
        <v/>
      </c>
      <c r="N492" s="7" t="n"/>
      <c r="O492" s="7" t="n"/>
      <c r="P492" s="7">
        <f>IF($B492="","",O492*X492/100)</f>
        <v/>
      </c>
      <c r="Q492" s="7">
        <f>IF($B492="","",O492-P492)</f>
        <v/>
      </c>
      <c r="R492" s="7">
        <f>IF($B492="","",Q492-J492)</f>
        <v/>
      </c>
      <c r="S492" s="7" t="n"/>
      <c r="T492" s="7" t="n"/>
      <c r="V492" s="14" t="n"/>
      <c r="Z492">
        <f>IF($B492="","",IF(COUNTIF($B$2:$B492,$B492)=1,1,0))</f>
        <v/>
      </c>
      <c r="AA492">
        <f>IF($Z492=1,SUMPRODUCT(--($AC$2:$AC$3001&lt;$AC492))+1,"")</f>
        <v/>
      </c>
      <c r="AB492">
        <f>IF($B492="","",IF(OR($Y492=TRUE(),$Y492="TRUE"),1,IF(AND($Y492&lt;&gt;"",OR($Y492=FALSE(),$Y492="FALSE")),0,IF(MIN(ABS($X492/100-Settings!$C$6),ABS($X492/100-Settings!$G$6))&lt;=MIN(ABS($X492/100-Settings!$C$7),ABS($X492/100-Settings!$G$7)),1,0))))</f>
        <v/>
      </c>
      <c r="AC492">
        <f>IF($Z492=1,IFERROR(IF(VALUE($B492)&lt;100000000,VALUE($B492),1000000000),IFERROR(IF(VALUE(MID($B492,2,20))&lt;100000000,VALUE(MID($B492,2,20)),1000000000),1000000000))+ROW()/100000,"")</f>
        <v/>
      </c>
    </row>
    <row r="493">
      <c r="A493">
        <f>IF($B493="","",IFERROR(IF(INDEX('Per Invoice'!$A$2:$A$801,MATCH($B493,'Per Invoice'!$B$2:$B$801,0))=0,"",INDEX('Per Invoice'!$A$2:$A$801,MATCH($B493,'Per Invoice'!$B$2:$B$801,0))),""))</f>
        <v/>
      </c>
      <c r="J493" s="7">
        <f>IF($B493="","",I493*Q493/100)</f>
        <v/>
      </c>
      <c r="N493" s="7" t="n"/>
      <c r="O493" s="7" t="n"/>
      <c r="P493" s="7">
        <f>IF($B493="","",O493*X493/100)</f>
        <v/>
      </c>
      <c r="Q493" s="7">
        <f>IF($B493="","",O493-P493)</f>
        <v/>
      </c>
      <c r="R493" s="7">
        <f>IF($B493="","",Q493-J493)</f>
        <v/>
      </c>
      <c r="S493" s="7" t="n"/>
      <c r="T493" s="7" t="n"/>
      <c r="V493" s="14" t="n"/>
      <c r="Z493">
        <f>IF($B493="","",IF(COUNTIF($B$2:$B493,$B493)=1,1,0))</f>
        <v/>
      </c>
      <c r="AA493">
        <f>IF($Z493=1,SUMPRODUCT(--($AC$2:$AC$3001&lt;$AC493))+1,"")</f>
        <v/>
      </c>
      <c r="AB493">
        <f>IF($B493="","",IF(OR($Y493=TRUE(),$Y493="TRUE"),1,IF(AND($Y493&lt;&gt;"",OR($Y493=FALSE(),$Y493="FALSE")),0,IF(MIN(ABS($X493/100-Settings!$C$6),ABS($X493/100-Settings!$G$6))&lt;=MIN(ABS($X493/100-Settings!$C$7),ABS($X493/100-Settings!$G$7)),1,0))))</f>
        <v/>
      </c>
      <c r="AC493">
        <f>IF($Z493=1,IFERROR(IF(VALUE($B493)&lt;100000000,VALUE($B493),1000000000),IFERROR(IF(VALUE(MID($B493,2,20))&lt;100000000,VALUE(MID($B493,2,20)),1000000000),1000000000))+ROW()/100000,"")</f>
        <v/>
      </c>
    </row>
    <row r="494">
      <c r="A494">
        <f>IF($B494="","",IFERROR(IF(INDEX('Per Invoice'!$A$2:$A$801,MATCH($B494,'Per Invoice'!$B$2:$B$801,0))=0,"",INDEX('Per Invoice'!$A$2:$A$801,MATCH($B494,'Per Invoice'!$B$2:$B$801,0))),""))</f>
        <v/>
      </c>
      <c r="J494" s="7">
        <f>IF($B494="","",I494*Q494/100)</f>
        <v/>
      </c>
      <c r="N494" s="7" t="n"/>
      <c r="O494" s="7" t="n"/>
      <c r="P494" s="7">
        <f>IF($B494="","",O494*X494/100)</f>
        <v/>
      </c>
      <c r="Q494" s="7">
        <f>IF($B494="","",O494-P494)</f>
        <v/>
      </c>
      <c r="R494" s="7">
        <f>IF($B494="","",Q494-J494)</f>
        <v/>
      </c>
      <c r="S494" s="7" t="n"/>
      <c r="T494" s="7" t="n"/>
      <c r="V494" s="14" t="n"/>
      <c r="Z494">
        <f>IF($B494="","",IF(COUNTIF($B$2:$B494,$B494)=1,1,0))</f>
        <v/>
      </c>
      <c r="AA494">
        <f>IF($Z494=1,SUMPRODUCT(--($AC$2:$AC$3001&lt;$AC494))+1,"")</f>
        <v/>
      </c>
      <c r="AB494">
        <f>IF($B494="","",IF(OR($Y494=TRUE(),$Y494="TRUE"),1,IF(AND($Y494&lt;&gt;"",OR($Y494=FALSE(),$Y494="FALSE")),0,IF(MIN(ABS($X494/100-Settings!$C$6),ABS($X494/100-Settings!$G$6))&lt;=MIN(ABS($X494/100-Settings!$C$7),ABS($X494/100-Settings!$G$7)),1,0))))</f>
        <v/>
      </c>
      <c r="AC494">
        <f>IF($Z494=1,IFERROR(IF(VALUE($B494)&lt;100000000,VALUE($B494),1000000000),IFERROR(IF(VALUE(MID($B494,2,20))&lt;100000000,VALUE(MID($B494,2,20)),1000000000),1000000000))+ROW()/100000,"")</f>
        <v/>
      </c>
    </row>
    <row r="495">
      <c r="A495">
        <f>IF($B495="","",IFERROR(IF(INDEX('Per Invoice'!$A$2:$A$801,MATCH($B495,'Per Invoice'!$B$2:$B$801,0))=0,"",INDEX('Per Invoice'!$A$2:$A$801,MATCH($B495,'Per Invoice'!$B$2:$B$801,0))),""))</f>
        <v/>
      </c>
      <c r="J495" s="7">
        <f>IF($B495="","",I495*Q495/100)</f>
        <v/>
      </c>
      <c r="N495" s="7" t="n"/>
      <c r="O495" s="7" t="n"/>
      <c r="P495" s="7">
        <f>IF($B495="","",O495*X495/100)</f>
        <v/>
      </c>
      <c r="Q495" s="7">
        <f>IF($B495="","",O495-P495)</f>
        <v/>
      </c>
      <c r="R495" s="7">
        <f>IF($B495="","",Q495-J495)</f>
        <v/>
      </c>
      <c r="S495" s="7" t="n"/>
      <c r="T495" s="7" t="n"/>
      <c r="V495" s="14" t="n"/>
      <c r="Z495">
        <f>IF($B495="","",IF(COUNTIF($B$2:$B495,$B495)=1,1,0))</f>
        <v/>
      </c>
      <c r="AA495">
        <f>IF($Z495=1,SUMPRODUCT(--($AC$2:$AC$3001&lt;$AC495))+1,"")</f>
        <v/>
      </c>
      <c r="AB495">
        <f>IF($B495="","",IF(OR($Y495=TRUE(),$Y495="TRUE"),1,IF(AND($Y495&lt;&gt;"",OR($Y495=FALSE(),$Y495="FALSE")),0,IF(MIN(ABS($X495/100-Settings!$C$6),ABS($X495/100-Settings!$G$6))&lt;=MIN(ABS($X495/100-Settings!$C$7),ABS($X495/100-Settings!$G$7)),1,0))))</f>
        <v/>
      </c>
      <c r="AC495">
        <f>IF($Z495=1,IFERROR(IF(VALUE($B495)&lt;100000000,VALUE($B495),1000000000),IFERROR(IF(VALUE(MID($B495,2,20))&lt;100000000,VALUE(MID($B495,2,20)),1000000000),1000000000))+ROW()/100000,"")</f>
        <v/>
      </c>
    </row>
    <row r="496">
      <c r="A496">
        <f>IF($B496="","",IFERROR(IF(INDEX('Per Invoice'!$A$2:$A$801,MATCH($B496,'Per Invoice'!$B$2:$B$801,0))=0,"",INDEX('Per Invoice'!$A$2:$A$801,MATCH($B496,'Per Invoice'!$B$2:$B$801,0))),""))</f>
        <v/>
      </c>
      <c r="J496" s="7">
        <f>IF($B496="","",I496*Q496/100)</f>
        <v/>
      </c>
      <c r="N496" s="7" t="n"/>
      <c r="O496" s="7" t="n"/>
      <c r="P496" s="7">
        <f>IF($B496="","",O496*X496/100)</f>
        <v/>
      </c>
      <c r="Q496" s="7">
        <f>IF($B496="","",O496-P496)</f>
        <v/>
      </c>
      <c r="R496" s="7">
        <f>IF($B496="","",Q496-J496)</f>
        <v/>
      </c>
      <c r="S496" s="7" t="n"/>
      <c r="T496" s="7" t="n"/>
      <c r="V496" s="14" t="n"/>
      <c r="Z496">
        <f>IF($B496="","",IF(COUNTIF($B$2:$B496,$B496)=1,1,0))</f>
        <v/>
      </c>
      <c r="AA496">
        <f>IF($Z496=1,SUMPRODUCT(--($AC$2:$AC$3001&lt;$AC496))+1,"")</f>
        <v/>
      </c>
      <c r="AB496">
        <f>IF($B496="","",IF(OR($Y496=TRUE(),$Y496="TRUE"),1,IF(AND($Y496&lt;&gt;"",OR($Y496=FALSE(),$Y496="FALSE")),0,IF(MIN(ABS($X496/100-Settings!$C$6),ABS($X496/100-Settings!$G$6))&lt;=MIN(ABS($X496/100-Settings!$C$7),ABS($X496/100-Settings!$G$7)),1,0))))</f>
        <v/>
      </c>
      <c r="AC496">
        <f>IF($Z496=1,IFERROR(IF(VALUE($B496)&lt;100000000,VALUE($B496),1000000000),IFERROR(IF(VALUE(MID($B496,2,20))&lt;100000000,VALUE(MID($B496,2,20)),1000000000),1000000000))+ROW()/100000,"")</f>
        <v/>
      </c>
    </row>
    <row r="497">
      <c r="A497">
        <f>IF($B497="","",IFERROR(IF(INDEX('Per Invoice'!$A$2:$A$801,MATCH($B497,'Per Invoice'!$B$2:$B$801,0))=0,"",INDEX('Per Invoice'!$A$2:$A$801,MATCH($B497,'Per Invoice'!$B$2:$B$801,0))),""))</f>
        <v/>
      </c>
      <c r="J497" s="7">
        <f>IF($B497="","",I497*Q497/100)</f>
        <v/>
      </c>
      <c r="N497" s="7" t="n"/>
      <c r="O497" s="7" t="n"/>
      <c r="P497" s="7">
        <f>IF($B497="","",O497*X497/100)</f>
        <v/>
      </c>
      <c r="Q497" s="7">
        <f>IF($B497="","",O497-P497)</f>
        <v/>
      </c>
      <c r="R497" s="7">
        <f>IF($B497="","",Q497-J497)</f>
        <v/>
      </c>
      <c r="S497" s="7" t="n"/>
      <c r="T497" s="7" t="n"/>
      <c r="V497" s="14" t="n"/>
      <c r="Z497">
        <f>IF($B497="","",IF(COUNTIF($B$2:$B497,$B497)=1,1,0))</f>
        <v/>
      </c>
      <c r="AA497">
        <f>IF($Z497=1,SUMPRODUCT(--($AC$2:$AC$3001&lt;$AC497))+1,"")</f>
        <v/>
      </c>
      <c r="AB497">
        <f>IF($B497="","",IF(OR($Y497=TRUE(),$Y497="TRUE"),1,IF(AND($Y497&lt;&gt;"",OR($Y497=FALSE(),$Y497="FALSE")),0,IF(MIN(ABS($X497/100-Settings!$C$6),ABS($X497/100-Settings!$G$6))&lt;=MIN(ABS($X497/100-Settings!$C$7),ABS($X497/100-Settings!$G$7)),1,0))))</f>
        <v/>
      </c>
      <c r="AC497">
        <f>IF($Z497=1,IFERROR(IF(VALUE($B497)&lt;100000000,VALUE($B497),1000000000),IFERROR(IF(VALUE(MID($B497,2,20))&lt;100000000,VALUE(MID($B497,2,20)),1000000000),1000000000))+ROW()/100000,"")</f>
        <v/>
      </c>
    </row>
    <row r="498">
      <c r="A498">
        <f>IF($B498="","",IFERROR(IF(INDEX('Per Invoice'!$A$2:$A$801,MATCH($B498,'Per Invoice'!$B$2:$B$801,0))=0,"",INDEX('Per Invoice'!$A$2:$A$801,MATCH($B498,'Per Invoice'!$B$2:$B$801,0))),""))</f>
        <v/>
      </c>
      <c r="J498" s="7">
        <f>IF($B498="","",I498*Q498/100)</f>
        <v/>
      </c>
      <c r="N498" s="7" t="n"/>
      <c r="O498" s="7" t="n"/>
      <c r="P498" s="7">
        <f>IF($B498="","",O498*X498/100)</f>
        <v/>
      </c>
      <c r="Q498" s="7">
        <f>IF($B498="","",O498-P498)</f>
        <v/>
      </c>
      <c r="R498" s="7">
        <f>IF($B498="","",Q498-J498)</f>
        <v/>
      </c>
      <c r="S498" s="7" t="n"/>
      <c r="T498" s="7" t="n"/>
      <c r="V498" s="14" t="n"/>
      <c r="Z498">
        <f>IF($B498="","",IF(COUNTIF($B$2:$B498,$B498)=1,1,0))</f>
        <v/>
      </c>
      <c r="AA498">
        <f>IF($Z498=1,SUMPRODUCT(--($AC$2:$AC$3001&lt;$AC498))+1,"")</f>
        <v/>
      </c>
      <c r="AB498">
        <f>IF($B498="","",IF(OR($Y498=TRUE(),$Y498="TRUE"),1,IF(AND($Y498&lt;&gt;"",OR($Y498=FALSE(),$Y498="FALSE")),0,IF(MIN(ABS($X498/100-Settings!$C$6),ABS($X498/100-Settings!$G$6))&lt;=MIN(ABS($X498/100-Settings!$C$7),ABS($X498/100-Settings!$G$7)),1,0))))</f>
        <v/>
      </c>
      <c r="AC498">
        <f>IF($Z498=1,IFERROR(IF(VALUE($B498)&lt;100000000,VALUE($B498),1000000000),IFERROR(IF(VALUE(MID($B498,2,20))&lt;100000000,VALUE(MID($B498,2,20)),1000000000),1000000000))+ROW()/100000,"")</f>
        <v/>
      </c>
    </row>
    <row r="499">
      <c r="A499">
        <f>IF($B499="","",IFERROR(IF(INDEX('Per Invoice'!$A$2:$A$801,MATCH($B499,'Per Invoice'!$B$2:$B$801,0))=0,"",INDEX('Per Invoice'!$A$2:$A$801,MATCH($B499,'Per Invoice'!$B$2:$B$801,0))),""))</f>
        <v/>
      </c>
      <c r="J499" s="7">
        <f>IF($B499="","",I499*Q499/100)</f>
        <v/>
      </c>
      <c r="N499" s="7" t="n"/>
      <c r="O499" s="7" t="n"/>
      <c r="P499" s="7">
        <f>IF($B499="","",O499*X499/100)</f>
        <v/>
      </c>
      <c r="Q499" s="7">
        <f>IF($B499="","",O499-P499)</f>
        <v/>
      </c>
      <c r="R499" s="7">
        <f>IF($B499="","",Q499-J499)</f>
        <v/>
      </c>
      <c r="S499" s="7" t="n"/>
      <c r="T499" s="7" t="n"/>
      <c r="V499" s="14" t="n"/>
      <c r="Z499">
        <f>IF($B499="","",IF(COUNTIF($B$2:$B499,$B499)=1,1,0))</f>
        <v/>
      </c>
      <c r="AA499">
        <f>IF($Z499=1,SUMPRODUCT(--($AC$2:$AC$3001&lt;$AC499))+1,"")</f>
        <v/>
      </c>
      <c r="AB499">
        <f>IF($B499="","",IF(OR($Y499=TRUE(),$Y499="TRUE"),1,IF(AND($Y499&lt;&gt;"",OR($Y499=FALSE(),$Y499="FALSE")),0,IF(MIN(ABS($X499/100-Settings!$C$6),ABS($X499/100-Settings!$G$6))&lt;=MIN(ABS($X499/100-Settings!$C$7),ABS($X499/100-Settings!$G$7)),1,0))))</f>
        <v/>
      </c>
      <c r="AC499">
        <f>IF($Z499=1,IFERROR(IF(VALUE($B499)&lt;100000000,VALUE($B499),1000000000),IFERROR(IF(VALUE(MID($B499,2,20))&lt;100000000,VALUE(MID($B499,2,20)),1000000000),1000000000))+ROW()/100000,"")</f>
        <v/>
      </c>
    </row>
    <row r="500">
      <c r="A500">
        <f>IF($B500="","",IFERROR(IF(INDEX('Per Invoice'!$A$2:$A$801,MATCH($B500,'Per Invoice'!$B$2:$B$801,0))=0,"",INDEX('Per Invoice'!$A$2:$A$801,MATCH($B500,'Per Invoice'!$B$2:$B$801,0))),""))</f>
        <v/>
      </c>
      <c r="J500" s="7">
        <f>IF($B500="","",I500*Q500/100)</f>
        <v/>
      </c>
      <c r="N500" s="7" t="n"/>
      <c r="O500" s="7" t="n"/>
      <c r="P500" s="7">
        <f>IF($B500="","",O500*X500/100)</f>
        <v/>
      </c>
      <c r="Q500" s="7">
        <f>IF($B500="","",O500-P500)</f>
        <v/>
      </c>
      <c r="R500" s="7">
        <f>IF($B500="","",Q500-J500)</f>
        <v/>
      </c>
      <c r="S500" s="7" t="n"/>
      <c r="T500" s="7" t="n"/>
      <c r="V500" s="14" t="n"/>
      <c r="Z500">
        <f>IF($B500="","",IF(COUNTIF($B$2:$B500,$B500)=1,1,0))</f>
        <v/>
      </c>
      <c r="AA500">
        <f>IF($Z500=1,SUMPRODUCT(--($AC$2:$AC$3001&lt;$AC500))+1,"")</f>
        <v/>
      </c>
      <c r="AB500">
        <f>IF($B500="","",IF(OR($Y500=TRUE(),$Y500="TRUE"),1,IF(AND($Y500&lt;&gt;"",OR($Y500=FALSE(),$Y500="FALSE")),0,IF(MIN(ABS($X500/100-Settings!$C$6),ABS($X500/100-Settings!$G$6))&lt;=MIN(ABS($X500/100-Settings!$C$7),ABS($X500/100-Settings!$G$7)),1,0))))</f>
        <v/>
      </c>
      <c r="AC500">
        <f>IF($Z500=1,IFERROR(IF(VALUE($B500)&lt;100000000,VALUE($B500),1000000000),IFERROR(IF(VALUE(MID($B500,2,20))&lt;100000000,VALUE(MID($B500,2,20)),1000000000),1000000000))+ROW()/100000,"")</f>
        <v/>
      </c>
    </row>
    <row r="501">
      <c r="A501">
        <f>IF($B501="","",IFERROR(IF(INDEX('Per Invoice'!$A$2:$A$801,MATCH($B501,'Per Invoice'!$B$2:$B$801,0))=0,"",INDEX('Per Invoice'!$A$2:$A$801,MATCH($B501,'Per Invoice'!$B$2:$B$801,0))),""))</f>
        <v/>
      </c>
      <c r="J501" s="7">
        <f>IF($B501="","",I501*Q501/100)</f>
        <v/>
      </c>
      <c r="N501" s="7" t="n"/>
      <c r="O501" s="7" t="n"/>
      <c r="P501" s="7">
        <f>IF($B501="","",O501*X501/100)</f>
        <v/>
      </c>
      <c r="Q501" s="7">
        <f>IF($B501="","",O501-P501)</f>
        <v/>
      </c>
      <c r="R501" s="7">
        <f>IF($B501="","",Q501-J501)</f>
        <v/>
      </c>
      <c r="S501" s="7" t="n"/>
      <c r="T501" s="7" t="n"/>
      <c r="V501" s="14" t="n"/>
      <c r="Z501">
        <f>IF($B501="","",IF(COUNTIF($B$2:$B501,$B501)=1,1,0))</f>
        <v/>
      </c>
      <c r="AA501">
        <f>IF($Z501=1,SUMPRODUCT(--($AC$2:$AC$3001&lt;$AC501))+1,"")</f>
        <v/>
      </c>
      <c r="AB501">
        <f>IF($B501="","",IF(OR($Y501=TRUE(),$Y501="TRUE"),1,IF(AND($Y501&lt;&gt;"",OR($Y501=FALSE(),$Y501="FALSE")),0,IF(MIN(ABS($X501/100-Settings!$C$6),ABS($X501/100-Settings!$G$6))&lt;=MIN(ABS($X501/100-Settings!$C$7),ABS($X501/100-Settings!$G$7)),1,0))))</f>
        <v/>
      </c>
      <c r="AC501">
        <f>IF($Z501=1,IFERROR(IF(VALUE($B501)&lt;100000000,VALUE($B501),1000000000),IFERROR(IF(VALUE(MID($B501,2,20))&lt;100000000,VALUE(MID($B501,2,20)),1000000000),1000000000))+ROW()/100000,"")</f>
        <v/>
      </c>
    </row>
    <row r="502">
      <c r="A502">
        <f>IF($B502="","",IFERROR(IF(INDEX('Per Invoice'!$A$2:$A$801,MATCH($B502,'Per Invoice'!$B$2:$B$801,0))=0,"",INDEX('Per Invoice'!$A$2:$A$801,MATCH($B502,'Per Invoice'!$B$2:$B$801,0))),""))</f>
        <v/>
      </c>
      <c r="J502" s="7">
        <f>IF($B502="","",I502*Q502/100)</f>
        <v/>
      </c>
      <c r="N502" s="7" t="n"/>
      <c r="O502" s="7" t="n"/>
      <c r="P502" s="7">
        <f>IF($B502="","",O502*X502/100)</f>
        <v/>
      </c>
      <c r="Q502" s="7">
        <f>IF($B502="","",O502-P502)</f>
        <v/>
      </c>
      <c r="R502" s="7">
        <f>IF($B502="","",Q502-J502)</f>
        <v/>
      </c>
      <c r="S502" s="7" t="n"/>
      <c r="T502" s="7" t="n"/>
      <c r="V502" s="14" t="n"/>
      <c r="Z502">
        <f>IF($B502="","",IF(COUNTIF($B$2:$B502,$B502)=1,1,0))</f>
        <v/>
      </c>
      <c r="AA502">
        <f>IF($Z502=1,SUMPRODUCT(--($AC$2:$AC$3001&lt;$AC502))+1,"")</f>
        <v/>
      </c>
      <c r="AB502">
        <f>IF($B502="","",IF(OR($Y502=TRUE(),$Y502="TRUE"),1,IF(AND($Y502&lt;&gt;"",OR($Y502=FALSE(),$Y502="FALSE")),0,IF(MIN(ABS($X502/100-Settings!$C$6),ABS($X502/100-Settings!$G$6))&lt;=MIN(ABS($X502/100-Settings!$C$7),ABS($X502/100-Settings!$G$7)),1,0))))</f>
        <v/>
      </c>
      <c r="AC502">
        <f>IF($Z502=1,IFERROR(IF(VALUE($B502)&lt;100000000,VALUE($B502),1000000000),IFERROR(IF(VALUE(MID($B502,2,20))&lt;100000000,VALUE(MID($B502,2,20)),1000000000),1000000000))+ROW()/100000,"")</f>
        <v/>
      </c>
    </row>
    <row r="503">
      <c r="A503">
        <f>IF($B503="","",IFERROR(IF(INDEX('Per Invoice'!$A$2:$A$801,MATCH($B503,'Per Invoice'!$B$2:$B$801,0))=0,"",INDEX('Per Invoice'!$A$2:$A$801,MATCH($B503,'Per Invoice'!$B$2:$B$801,0))),""))</f>
        <v/>
      </c>
      <c r="J503" s="7">
        <f>IF($B503="","",I503*Q503/100)</f>
        <v/>
      </c>
      <c r="N503" s="7" t="n"/>
      <c r="O503" s="7" t="n"/>
      <c r="P503" s="7">
        <f>IF($B503="","",O503*X503/100)</f>
        <v/>
      </c>
      <c r="Q503" s="7">
        <f>IF($B503="","",O503-P503)</f>
        <v/>
      </c>
      <c r="R503" s="7">
        <f>IF($B503="","",Q503-J503)</f>
        <v/>
      </c>
      <c r="S503" s="7" t="n"/>
      <c r="T503" s="7" t="n"/>
      <c r="V503" s="14" t="n"/>
      <c r="Z503">
        <f>IF($B503="","",IF(COUNTIF($B$2:$B503,$B503)=1,1,0))</f>
        <v/>
      </c>
      <c r="AA503">
        <f>IF($Z503=1,SUMPRODUCT(--($AC$2:$AC$3001&lt;$AC503))+1,"")</f>
        <v/>
      </c>
      <c r="AB503">
        <f>IF($B503="","",IF(OR($Y503=TRUE(),$Y503="TRUE"),1,IF(AND($Y503&lt;&gt;"",OR($Y503=FALSE(),$Y503="FALSE")),0,IF(MIN(ABS($X503/100-Settings!$C$6),ABS($X503/100-Settings!$G$6))&lt;=MIN(ABS($X503/100-Settings!$C$7),ABS($X503/100-Settings!$G$7)),1,0))))</f>
        <v/>
      </c>
      <c r="AC503">
        <f>IF($Z503=1,IFERROR(IF(VALUE($B503)&lt;100000000,VALUE($B503),1000000000),IFERROR(IF(VALUE(MID($B503,2,20))&lt;100000000,VALUE(MID($B503,2,20)),1000000000),1000000000))+ROW()/100000,"")</f>
        <v/>
      </c>
    </row>
    <row r="504">
      <c r="A504">
        <f>IF($B504="","",IFERROR(IF(INDEX('Per Invoice'!$A$2:$A$801,MATCH($B504,'Per Invoice'!$B$2:$B$801,0))=0,"",INDEX('Per Invoice'!$A$2:$A$801,MATCH($B504,'Per Invoice'!$B$2:$B$801,0))),""))</f>
        <v/>
      </c>
      <c r="J504" s="7">
        <f>IF($B504="","",I504*Q504/100)</f>
        <v/>
      </c>
      <c r="N504" s="7" t="n"/>
      <c r="O504" s="7" t="n"/>
      <c r="P504" s="7">
        <f>IF($B504="","",O504*X504/100)</f>
        <v/>
      </c>
      <c r="Q504" s="7">
        <f>IF($B504="","",O504-P504)</f>
        <v/>
      </c>
      <c r="R504" s="7">
        <f>IF($B504="","",Q504-J504)</f>
        <v/>
      </c>
      <c r="S504" s="7" t="n"/>
      <c r="T504" s="7" t="n"/>
      <c r="V504" s="14" t="n"/>
      <c r="Z504">
        <f>IF($B504="","",IF(COUNTIF($B$2:$B504,$B504)=1,1,0))</f>
        <v/>
      </c>
      <c r="AA504">
        <f>IF($Z504=1,SUMPRODUCT(--($AC$2:$AC$3001&lt;$AC504))+1,"")</f>
        <v/>
      </c>
      <c r="AB504">
        <f>IF($B504="","",IF(OR($Y504=TRUE(),$Y504="TRUE"),1,IF(AND($Y504&lt;&gt;"",OR($Y504=FALSE(),$Y504="FALSE")),0,IF(MIN(ABS($X504/100-Settings!$C$6),ABS($X504/100-Settings!$G$6))&lt;=MIN(ABS($X504/100-Settings!$C$7),ABS($X504/100-Settings!$G$7)),1,0))))</f>
        <v/>
      </c>
      <c r="AC504">
        <f>IF($Z504=1,IFERROR(IF(VALUE($B504)&lt;100000000,VALUE($B504),1000000000),IFERROR(IF(VALUE(MID($B504,2,20))&lt;100000000,VALUE(MID($B504,2,20)),1000000000),1000000000))+ROW()/100000,"")</f>
        <v/>
      </c>
    </row>
    <row r="505">
      <c r="A505">
        <f>IF($B505="","",IFERROR(IF(INDEX('Per Invoice'!$A$2:$A$801,MATCH($B505,'Per Invoice'!$B$2:$B$801,0))=0,"",INDEX('Per Invoice'!$A$2:$A$801,MATCH($B505,'Per Invoice'!$B$2:$B$801,0))),""))</f>
        <v/>
      </c>
      <c r="J505" s="7">
        <f>IF($B505="","",I505*Q505/100)</f>
        <v/>
      </c>
      <c r="N505" s="7" t="n"/>
      <c r="O505" s="7" t="n"/>
      <c r="P505" s="7">
        <f>IF($B505="","",O505*X505/100)</f>
        <v/>
      </c>
      <c r="Q505" s="7">
        <f>IF($B505="","",O505-P505)</f>
        <v/>
      </c>
      <c r="R505" s="7">
        <f>IF($B505="","",Q505-J505)</f>
        <v/>
      </c>
      <c r="S505" s="7" t="n"/>
      <c r="T505" s="7" t="n"/>
      <c r="V505" s="14" t="n"/>
      <c r="Z505">
        <f>IF($B505="","",IF(COUNTIF($B$2:$B505,$B505)=1,1,0))</f>
        <v/>
      </c>
      <c r="AA505">
        <f>IF($Z505=1,SUMPRODUCT(--($AC$2:$AC$3001&lt;$AC505))+1,"")</f>
        <v/>
      </c>
      <c r="AB505">
        <f>IF($B505="","",IF(OR($Y505=TRUE(),$Y505="TRUE"),1,IF(AND($Y505&lt;&gt;"",OR($Y505=FALSE(),$Y505="FALSE")),0,IF(MIN(ABS($X505/100-Settings!$C$6),ABS($X505/100-Settings!$G$6))&lt;=MIN(ABS($X505/100-Settings!$C$7),ABS($X505/100-Settings!$G$7)),1,0))))</f>
        <v/>
      </c>
      <c r="AC505">
        <f>IF($Z505=1,IFERROR(IF(VALUE($B505)&lt;100000000,VALUE($B505),1000000000),IFERROR(IF(VALUE(MID($B505,2,20))&lt;100000000,VALUE(MID($B505,2,20)),1000000000),1000000000))+ROW()/100000,"")</f>
        <v/>
      </c>
    </row>
    <row r="506">
      <c r="A506">
        <f>IF($B506="","",IFERROR(IF(INDEX('Per Invoice'!$A$2:$A$801,MATCH($B506,'Per Invoice'!$B$2:$B$801,0))=0,"",INDEX('Per Invoice'!$A$2:$A$801,MATCH($B506,'Per Invoice'!$B$2:$B$801,0))),""))</f>
        <v/>
      </c>
      <c r="J506" s="7">
        <f>IF($B506="","",I506*Q506/100)</f>
        <v/>
      </c>
      <c r="N506" s="7" t="n"/>
      <c r="O506" s="7" t="n"/>
      <c r="P506" s="7">
        <f>IF($B506="","",O506*X506/100)</f>
        <v/>
      </c>
      <c r="Q506" s="7">
        <f>IF($B506="","",O506-P506)</f>
        <v/>
      </c>
      <c r="R506" s="7">
        <f>IF($B506="","",Q506-J506)</f>
        <v/>
      </c>
      <c r="S506" s="7" t="n"/>
      <c r="T506" s="7" t="n"/>
      <c r="V506" s="14" t="n"/>
      <c r="Z506">
        <f>IF($B506="","",IF(COUNTIF($B$2:$B506,$B506)=1,1,0))</f>
        <v/>
      </c>
      <c r="AA506">
        <f>IF($Z506=1,SUMPRODUCT(--($AC$2:$AC$3001&lt;$AC506))+1,"")</f>
        <v/>
      </c>
      <c r="AB506">
        <f>IF($B506="","",IF(OR($Y506=TRUE(),$Y506="TRUE"),1,IF(AND($Y506&lt;&gt;"",OR($Y506=FALSE(),$Y506="FALSE")),0,IF(MIN(ABS($X506/100-Settings!$C$6),ABS($X506/100-Settings!$G$6))&lt;=MIN(ABS($X506/100-Settings!$C$7),ABS($X506/100-Settings!$G$7)),1,0))))</f>
        <v/>
      </c>
      <c r="AC506">
        <f>IF($Z506=1,IFERROR(IF(VALUE($B506)&lt;100000000,VALUE($B506),1000000000),IFERROR(IF(VALUE(MID($B506,2,20))&lt;100000000,VALUE(MID($B506,2,20)),1000000000),1000000000))+ROW()/100000,"")</f>
        <v/>
      </c>
    </row>
    <row r="507">
      <c r="A507">
        <f>IF($B507="","",IFERROR(IF(INDEX('Per Invoice'!$A$2:$A$801,MATCH($B507,'Per Invoice'!$B$2:$B$801,0))=0,"",INDEX('Per Invoice'!$A$2:$A$801,MATCH($B507,'Per Invoice'!$B$2:$B$801,0))),""))</f>
        <v/>
      </c>
      <c r="J507" s="7">
        <f>IF($B507="","",I507*Q507/100)</f>
        <v/>
      </c>
      <c r="N507" s="7" t="n"/>
      <c r="O507" s="7" t="n"/>
      <c r="P507" s="7">
        <f>IF($B507="","",O507*X507/100)</f>
        <v/>
      </c>
      <c r="Q507" s="7">
        <f>IF($B507="","",O507-P507)</f>
        <v/>
      </c>
      <c r="R507" s="7">
        <f>IF($B507="","",Q507-J507)</f>
        <v/>
      </c>
      <c r="S507" s="7" t="n"/>
      <c r="T507" s="7" t="n"/>
      <c r="V507" s="14" t="n"/>
      <c r="Z507">
        <f>IF($B507="","",IF(COUNTIF($B$2:$B507,$B507)=1,1,0))</f>
        <v/>
      </c>
      <c r="AA507">
        <f>IF($Z507=1,SUMPRODUCT(--($AC$2:$AC$3001&lt;$AC507))+1,"")</f>
        <v/>
      </c>
      <c r="AB507">
        <f>IF($B507="","",IF(OR($Y507=TRUE(),$Y507="TRUE"),1,IF(AND($Y507&lt;&gt;"",OR($Y507=FALSE(),$Y507="FALSE")),0,IF(MIN(ABS($X507/100-Settings!$C$6),ABS($X507/100-Settings!$G$6))&lt;=MIN(ABS($X507/100-Settings!$C$7),ABS($X507/100-Settings!$G$7)),1,0))))</f>
        <v/>
      </c>
      <c r="AC507">
        <f>IF($Z507=1,IFERROR(IF(VALUE($B507)&lt;100000000,VALUE($B507),1000000000),IFERROR(IF(VALUE(MID($B507,2,20))&lt;100000000,VALUE(MID($B507,2,20)),1000000000),1000000000))+ROW()/100000,"")</f>
        <v/>
      </c>
    </row>
    <row r="508">
      <c r="A508">
        <f>IF($B508="","",IFERROR(IF(INDEX('Per Invoice'!$A$2:$A$801,MATCH($B508,'Per Invoice'!$B$2:$B$801,0))=0,"",INDEX('Per Invoice'!$A$2:$A$801,MATCH($B508,'Per Invoice'!$B$2:$B$801,0))),""))</f>
        <v/>
      </c>
      <c r="J508" s="7">
        <f>IF($B508="","",I508*Q508/100)</f>
        <v/>
      </c>
      <c r="N508" s="7" t="n"/>
      <c r="O508" s="7" t="n"/>
      <c r="P508" s="7">
        <f>IF($B508="","",O508*X508/100)</f>
        <v/>
      </c>
      <c r="Q508" s="7">
        <f>IF($B508="","",O508-P508)</f>
        <v/>
      </c>
      <c r="R508" s="7">
        <f>IF($B508="","",Q508-J508)</f>
        <v/>
      </c>
      <c r="S508" s="7" t="n"/>
      <c r="T508" s="7" t="n"/>
      <c r="V508" s="14" t="n"/>
      <c r="Z508">
        <f>IF($B508="","",IF(COUNTIF($B$2:$B508,$B508)=1,1,0))</f>
        <v/>
      </c>
      <c r="AA508">
        <f>IF($Z508=1,SUMPRODUCT(--($AC$2:$AC$3001&lt;$AC508))+1,"")</f>
        <v/>
      </c>
      <c r="AB508">
        <f>IF($B508="","",IF(OR($Y508=TRUE(),$Y508="TRUE"),1,IF(AND($Y508&lt;&gt;"",OR($Y508=FALSE(),$Y508="FALSE")),0,IF(MIN(ABS($X508/100-Settings!$C$6),ABS($X508/100-Settings!$G$6))&lt;=MIN(ABS($X508/100-Settings!$C$7),ABS($X508/100-Settings!$G$7)),1,0))))</f>
        <v/>
      </c>
      <c r="AC508">
        <f>IF($Z508=1,IFERROR(IF(VALUE($B508)&lt;100000000,VALUE($B508),1000000000),IFERROR(IF(VALUE(MID($B508,2,20))&lt;100000000,VALUE(MID($B508,2,20)),1000000000),1000000000))+ROW()/100000,"")</f>
        <v/>
      </c>
    </row>
    <row r="509">
      <c r="A509">
        <f>IF($B509="","",IFERROR(IF(INDEX('Per Invoice'!$A$2:$A$801,MATCH($B509,'Per Invoice'!$B$2:$B$801,0))=0,"",INDEX('Per Invoice'!$A$2:$A$801,MATCH($B509,'Per Invoice'!$B$2:$B$801,0))),""))</f>
        <v/>
      </c>
      <c r="J509" s="7">
        <f>IF($B509="","",I509*Q509/100)</f>
        <v/>
      </c>
      <c r="N509" s="7" t="n"/>
      <c r="O509" s="7" t="n"/>
      <c r="P509" s="7">
        <f>IF($B509="","",O509*X509/100)</f>
        <v/>
      </c>
      <c r="Q509" s="7">
        <f>IF($B509="","",O509-P509)</f>
        <v/>
      </c>
      <c r="R509" s="7">
        <f>IF($B509="","",Q509-J509)</f>
        <v/>
      </c>
      <c r="S509" s="7" t="n"/>
      <c r="T509" s="7" t="n"/>
      <c r="V509" s="14" t="n"/>
      <c r="Z509">
        <f>IF($B509="","",IF(COUNTIF($B$2:$B509,$B509)=1,1,0))</f>
        <v/>
      </c>
      <c r="AA509">
        <f>IF($Z509=1,SUMPRODUCT(--($AC$2:$AC$3001&lt;$AC509))+1,"")</f>
        <v/>
      </c>
      <c r="AB509">
        <f>IF($B509="","",IF(OR($Y509=TRUE(),$Y509="TRUE"),1,IF(AND($Y509&lt;&gt;"",OR($Y509=FALSE(),$Y509="FALSE")),0,IF(MIN(ABS($X509/100-Settings!$C$6),ABS($X509/100-Settings!$G$6))&lt;=MIN(ABS($X509/100-Settings!$C$7),ABS($X509/100-Settings!$G$7)),1,0))))</f>
        <v/>
      </c>
      <c r="AC509">
        <f>IF($Z509=1,IFERROR(IF(VALUE($B509)&lt;100000000,VALUE($B509),1000000000),IFERROR(IF(VALUE(MID($B509,2,20))&lt;100000000,VALUE(MID($B509,2,20)),1000000000),1000000000))+ROW()/100000,"")</f>
        <v/>
      </c>
    </row>
    <row r="510">
      <c r="A510">
        <f>IF($B510="","",IFERROR(IF(INDEX('Per Invoice'!$A$2:$A$801,MATCH($B510,'Per Invoice'!$B$2:$B$801,0))=0,"",INDEX('Per Invoice'!$A$2:$A$801,MATCH($B510,'Per Invoice'!$B$2:$B$801,0))),""))</f>
        <v/>
      </c>
      <c r="J510" s="7">
        <f>IF($B510="","",I510*Q510/100)</f>
        <v/>
      </c>
      <c r="N510" s="7" t="n"/>
      <c r="O510" s="7" t="n"/>
      <c r="P510" s="7">
        <f>IF($B510="","",O510*X510/100)</f>
        <v/>
      </c>
      <c r="Q510" s="7">
        <f>IF($B510="","",O510-P510)</f>
        <v/>
      </c>
      <c r="R510" s="7">
        <f>IF($B510="","",Q510-J510)</f>
        <v/>
      </c>
      <c r="S510" s="7" t="n"/>
      <c r="T510" s="7" t="n"/>
      <c r="V510" s="14" t="n"/>
      <c r="Z510">
        <f>IF($B510="","",IF(COUNTIF($B$2:$B510,$B510)=1,1,0))</f>
        <v/>
      </c>
      <c r="AA510">
        <f>IF($Z510=1,SUMPRODUCT(--($AC$2:$AC$3001&lt;$AC510))+1,"")</f>
        <v/>
      </c>
      <c r="AB510">
        <f>IF($B510="","",IF(OR($Y510=TRUE(),$Y510="TRUE"),1,IF(AND($Y510&lt;&gt;"",OR($Y510=FALSE(),$Y510="FALSE")),0,IF(MIN(ABS($X510/100-Settings!$C$6),ABS($X510/100-Settings!$G$6))&lt;=MIN(ABS($X510/100-Settings!$C$7),ABS($X510/100-Settings!$G$7)),1,0))))</f>
        <v/>
      </c>
      <c r="AC510">
        <f>IF($Z510=1,IFERROR(IF(VALUE($B510)&lt;100000000,VALUE($B510),1000000000),IFERROR(IF(VALUE(MID($B510,2,20))&lt;100000000,VALUE(MID($B510,2,20)),1000000000),1000000000))+ROW()/100000,"")</f>
        <v/>
      </c>
    </row>
    <row r="511">
      <c r="A511">
        <f>IF($B511="","",IFERROR(IF(INDEX('Per Invoice'!$A$2:$A$801,MATCH($B511,'Per Invoice'!$B$2:$B$801,0))=0,"",INDEX('Per Invoice'!$A$2:$A$801,MATCH($B511,'Per Invoice'!$B$2:$B$801,0))),""))</f>
        <v/>
      </c>
      <c r="J511" s="7">
        <f>IF($B511="","",I511*Q511/100)</f>
        <v/>
      </c>
      <c r="N511" s="7" t="n"/>
      <c r="O511" s="7" t="n"/>
      <c r="P511" s="7">
        <f>IF($B511="","",O511*X511/100)</f>
        <v/>
      </c>
      <c r="Q511" s="7">
        <f>IF($B511="","",O511-P511)</f>
        <v/>
      </c>
      <c r="R511" s="7">
        <f>IF($B511="","",Q511-J511)</f>
        <v/>
      </c>
      <c r="S511" s="7" t="n"/>
      <c r="T511" s="7" t="n"/>
      <c r="V511" s="14" t="n"/>
      <c r="Z511">
        <f>IF($B511="","",IF(COUNTIF($B$2:$B511,$B511)=1,1,0))</f>
        <v/>
      </c>
      <c r="AA511">
        <f>IF($Z511=1,SUMPRODUCT(--($AC$2:$AC$3001&lt;$AC511))+1,"")</f>
        <v/>
      </c>
      <c r="AB511">
        <f>IF($B511="","",IF(OR($Y511=TRUE(),$Y511="TRUE"),1,IF(AND($Y511&lt;&gt;"",OR($Y511=FALSE(),$Y511="FALSE")),0,IF(MIN(ABS($X511/100-Settings!$C$6),ABS($X511/100-Settings!$G$6))&lt;=MIN(ABS($X511/100-Settings!$C$7),ABS($X511/100-Settings!$G$7)),1,0))))</f>
        <v/>
      </c>
      <c r="AC511">
        <f>IF($Z511=1,IFERROR(IF(VALUE($B511)&lt;100000000,VALUE($B511),1000000000),IFERROR(IF(VALUE(MID($B511,2,20))&lt;100000000,VALUE(MID($B511,2,20)),1000000000),1000000000))+ROW()/100000,"")</f>
        <v/>
      </c>
    </row>
    <row r="512">
      <c r="A512">
        <f>IF($B512="","",IFERROR(IF(INDEX('Per Invoice'!$A$2:$A$801,MATCH($B512,'Per Invoice'!$B$2:$B$801,0))=0,"",INDEX('Per Invoice'!$A$2:$A$801,MATCH($B512,'Per Invoice'!$B$2:$B$801,0))),""))</f>
        <v/>
      </c>
      <c r="J512" s="7">
        <f>IF($B512="","",I512*Q512/100)</f>
        <v/>
      </c>
      <c r="N512" s="7" t="n"/>
      <c r="O512" s="7" t="n"/>
      <c r="P512" s="7">
        <f>IF($B512="","",O512*X512/100)</f>
        <v/>
      </c>
      <c r="Q512" s="7">
        <f>IF($B512="","",O512-P512)</f>
        <v/>
      </c>
      <c r="R512" s="7">
        <f>IF($B512="","",Q512-J512)</f>
        <v/>
      </c>
      <c r="S512" s="7" t="n"/>
      <c r="T512" s="7" t="n"/>
      <c r="V512" s="14" t="n"/>
      <c r="Z512">
        <f>IF($B512="","",IF(COUNTIF($B$2:$B512,$B512)=1,1,0))</f>
        <v/>
      </c>
      <c r="AA512">
        <f>IF($Z512=1,SUMPRODUCT(--($AC$2:$AC$3001&lt;$AC512))+1,"")</f>
        <v/>
      </c>
      <c r="AB512">
        <f>IF($B512="","",IF(OR($Y512=TRUE(),$Y512="TRUE"),1,IF(AND($Y512&lt;&gt;"",OR($Y512=FALSE(),$Y512="FALSE")),0,IF(MIN(ABS($X512/100-Settings!$C$6),ABS($X512/100-Settings!$G$6))&lt;=MIN(ABS($X512/100-Settings!$C$7),ABS($X512/100-Settings!$G$7)),1,0))))</f>
        <v/>
      </c>
      <c r="AC512">
        <f>IF($Z512=1,IFERROR(IF(VALUE($B512)&lt;100000000,VALUE($B512),1000000000),IFERROR(IF(VALUE(MID($B512,2,20))&lt;100000000,VALUE(MID($B512,2,20)),1000000000),1000000000))+ROW()/100000,"")</f>
        <v/>
      </c>
    </row>
    <row r="513">
      <c r="A513">
        <f>IF($B513="","",IFERROR(IF(INDEX('Per Invoice'!$A$2:$A$801,MATCH($B513,'Per Invoice'!$B$2:$B$801,0))=0,"",INDEX('Per Invoice'!$A$2:$A$801,MATCH($B513,'Per Invoice'!$B$2:$B$801,0))),""))</f>
        <v/>
      </c>
      <c r="J513" s="7">
        <f>IF($B513="","",I513*Q513/100)</f>
        <v/>
      </c>
      <c r="N513" s="7" t="n"/>
      <c r="O513" s="7" t="n"/>
      <c r="P513" s="7">
        <f>IF($B513="","",O513*X513/100)</f>
        <v/>
      </c>
      <c r="Q513" s="7">
        <f>IF($B513="","",O513-P513)</f>
        <v/>
      </c>
      <c r="R513" s="7">
        <f>IF($B513="","",Q513-J513)</f>
        <v/>
      </c>
      <c r="S513" s="7" t="n"/>
      <c r="T513" s="7" t="n"/>
      <c r="V513" s="14" t="n"/>
      <c r="Z513">
        <f>IF($B513="","",IF(COUNTIF($B$2:$B513,$B513)=1,1,0))</f>
        <v/>
      </c>
      <c r="AA513">
        <f>IF($Z513=1,SUMPRODUCT(--($AC$2:$AC$3001&lt;$AC513))+1,"")</f>
        <v/>
      </c>
      <c r="AB513">
        <f>IF($B513="","",IF(OR($Y513=TRUE(),$Y513="TRUE"),1,IF(AND($Y513&lt;&gt;"",OR($Y513=FALSE(),$Y513="FALSE")),0,IF(MIN(ABS($X513/100-Settings!$C$6),ABS($X513/100-Settings!$G$6))&lt;=MIN(ABS($X513/100-Settings!$C$7),ABS($X513/100-Settings!$G$7)),1,0))))</f>
        <v/>
      </c>
      <c r="AC513">
        <f>IF($Z513=1,IFERROR(IF(VALUE($B513)&lt;100000000,VALUE($B513),1000000000),IFERROR(IF(VALUE(MID($B513,2,20))&lt;100000000,VALUE(MID($B513,2,20)),1000000000),1000000000))+ROW()/100000,"")</f>
        <v/>
      </c>
    </row>
    <row r="514">
      <c r="A514">
        <f>IF($B514="","",IFERROR(IF(INDEX('Per Invoice'!$A$2:$A$801,MATCH($B514,'Per Invoice'!$B$2:$B$801,0))=0,"",INDEX('Per Invoice'!$A$2:$A$801,MATCH($B514,'Per Invoice'!$B$2:$B$801,0))),""))</f>
        <v/>
      </c>
      <c r="J514" s="7">
        <f>IF($B514="","",I514*Q514/100)</f>
        <v/>
      </c>
      <c r="N514" s="7" t="n"/>
      <c r="O514" s="7" t="n"/>
      <c r="P514" s="7">
        <f>IF($B514="","",O514*X514/100)</f>
        <v/>
      </c>
      <c r="Q514" s="7">
        <f>IF($B514="","",O514-P514)</f>
        <v/>
      </c>
      <c r="R514" s="7">
        <f>IF($B514="","",Q514-J514)</f>
        <v/>
      </c>
      <c r="S514" s="7" t="n"/>
      <c r="T514" s="7" t="n"/>
      <c r="V514" s="14" t="n"/>
      <c r="Z514">
        <f>IF($B514="","",IF(COUNTIF($B$2:$B514,$B514)=1,1,0))</f>
        <v/>
      </c>
      <c r="AA514">
        <f>IF($Z514=1,SUMPRODUCT(--($AC$2:$AC$3001&lt;$AC514))+1,"")</f>
        <v/>
      </c>
      <c r="AB514">
        <f>IF($B514="","",IF(OR($Y514=TRUE(),$Y514="TRUE"),1,IF(AND($Y514&lt;&gt;"",OR($Y514=FALSE(),$Y514="FALSE")),0,IF(MIN(ABS($X514/100-Settings!$C$6),ABS($X514/100-Settings!$G$6))&lt;=MIN(ABS($X514/100-Settings!$C$7),ABS($X514/100-Settings!$G$7)),1,0))))</f>
        <v/>
      </c>
      <c r="AC514">
        <f>IF($Z514=1,IFERROR(IF(VALUE($B514)&lt;100000000,VALUE($B514),1000000000),IFERROR(IF(VALUE(MID($B514,2,20))&lt;100000000,VALUE(MID($B514,2,20)),1000000000),1000000000))+ROW()/100000,"")</f>
        <v/>
      </c>
    </row>
    <row r="515">
      <c r="A515">
        <f>IF($B515="","",IFERROR(IF(INDEX('Per Invoice'!$A$2:$A$801,MATCH($B515,'Per Invoice'!$B$2:$B$801,0))=0,"",INDEX('Per Invoice'!$A$2:$A$801,MATCH($B515,'Per Invoice'!$B$2:$B$801,0))),""))</f>
        <v/>
      </c>
      <c r="J515" s="7">
        <f>IF($B515="","",I515*Q515/100)</f>
        <v/>
      </c>
      <c r="N515" s="7" t="n"/>
      <c r="O515" s="7" t="n"/>
      <c r="P515" s="7">
        <f>IF($B515="","",O515*X515/100)</f>
        <v/>
      </c>
      <c r="Q515" s="7">
        <f>IF($B515="","",O515-P515)</f>
        <v/>
      </c>
      <c r="R515" s="7">
        <f>IF($B515="","",Q515-J515)</f>
        <v/>
      </c>
      <c r="S515" s="7" t="n"/>
      <c r="T515" s="7" t="n"/>
      <c r="V515" s="14" t="n"/>
      <c r="Z515">
        <f>IF($B515="","",IF(COUNTIF($B$2:$B515,$B515)=1,1,0))</f>
        <v/>
      </c>
      <c r="AA515">
        <f>IF($Z515=1,SUMPRODUCT(--($AC$2:$AC$3001&lt;$AC515))+1,"")</f>
        <v/>
      </c>
      <c r="AB515">
        <f>IF($B515="","",IF(OR($Y515=TRUE(),$Y515="TRUE"),1,IF(AND($Y515&lt;&gt;"",OR($Y515=FALSE(),$Y515="FALSE")),0,IF(MIN(ABS($X515/100-Settings!$C$6),ABS($X515/100-Settings!$G$6))&lt;=MIN(ABS($X515/100-Settings!$C$7),ABS($X515/100-Settings!$G$7)),1,0))))</f>
        <v/>
      </c>
      <c r="AC515">
        <f>IF($Z515=1,IFERROR(IF(VALUE($B515)&lt;100000000,VALUE($B515),1000000000),IFERROR(IF(VALUE(MID($B515,2,20))&lt;100000000,VALUE(MID($B515,2,20)),1000000000),1000000000))+ROW()/100000,"")</f>
        <v/>
      </c>
    </row>
    <row r="516">
      <c r="A516">
        <f>IF($B516="","",IFERROR(IF(INDEX('Per Invoice'!$A$2:$A$801,MATCH($B516,'Per Invoice'!$B$2:$B$801,0))=0,"",INDEX('Per Invoice'!$A$2:$A$801,MATCH($B516,'Per Invoice'!$B$2:$B$801,0))),""))</f>
        <v/>
      </c>
      <c r="J516" s="7">
        <f>IF($B516="","",I516*Q516/100)</f>
        <v/>
      </c>
      <c r="N516" s="7" t="n"/>
      <c r="O516" s="7" t="n"/>
      <c r="P516" s="7">
        <f>IF($B516="","",O516*X516/100)</f>
        <v/>
      </c>
      <c r="Q516" s="7">
        <f>IF($B516="","",O516-P516)</f>
        <v/>
      </c>
      <c r="R516" s="7">
        <f>IF($B516="","",Q516-J516)</f>
        <v/>
      </c>
      <c r="S516" s="7" t="n"/>
      <c r="T516" s="7" t="n"/>
      <c r="V516" s="14" t="n"/>
      <c r="Z516">
        <f>IF($B516="","",IF(COUNTIF($B$2:$B516,$B516)=1,1,0))</f>
        <v/>
      </c>
      <c r="AA516">
        <f>IF($Z516=1,SUMPRODUCT(--($AC$2:$AC$3001&lt;$AC516))+1,"")</f>
        <v/>
      </c>
      <c r="AB516">
        <f>IF($B516="","",IF(OR($Y516=TRUE(),$Y516="TRUE"),1,IF(AND($Y516&lt;&gt;"",OR($Y516=FALSE(),$Y516="FALSE")),0,IF(MIN(ABS($X516/100-Settings!$C$6),ABS($X516/100-Settings!$G$6))&lt;=MIN(ABS($X516/100-Settings!$C$7),ABS($X516/100-Settings!$G$7)),1,0))))</f>
        <v/>
      </c>
      <c r="AC516">
        <f>IF($Z516=1,IFERROR(IF(VALUE($B516)&lt;100000000,VALUE($B516),1000000000),IFERROR(IF(VALUE(MID($B516,2,20))&lt;100000000,VALUE(MID($B516,2,20)),1000000000),1000000000))+ROW()/100000,"")</f>
        <v/>
      </c>
    </row>
    <row r="517">
      <c r="A517">
        <f>IF($B517="","",IFERROR(IF(INDEX('Per Invoice'!$A$2:$A$801,MATCH($B517,'Per Invoice'!$B$2:$B$801,0))=0,"",INDEX('Per Invoice'!$A$2:$A$801,MATCH($B517,'Per Invoice'!$B$2:$B$801,0))),""))</f>
        <v/>
      </c>
      <c r="J517" s="7">
        <f>IF($B517="","",I517*Q517/100)</f>
        <v/>
      </c>
      <c r="N517" s="7" t="n"/>
      <c r="O517" s="7" t="n"/>
      <c r="P517" s="7">
        <f>IF($B517="","",O517*X517/100)</f>
        <v/>
      </c>
      <c r="Q517" s="7">
        <f>IF($B517="","",O517-P517)</f>
        <v/>
      </c>
      <c r="R517" s="7">
        <f>IF($B517="","",Q517-J517)</f>
        <v/>
      </c>
      <c r="S517" s="7" t="n"/>
      <c r="T517" s="7" t="n"/>
      <c r="V517" s="14" t="n"/>
      <c r="Z517">
        <f>IF($B517="","",IF(COUNTIF($B$2:$B517,$B517)=1,1,0))</f>
        <v/>
      </c>
      <c r="AA517">
        <f>IF($Z517=1,SUMPRODUCT(--($AC$2:$AC$3001&lt;$AC517))+1,"")</f>
        <v/>
      </c>
      <c r="AB517">
        <f>IF($B517="","",IF(OR($Y517=TRUE(),$Y517="TRUE"),1,IF(AND($Y517&lt;&gt;"",OR($Y517=FALSE(),$Y517="FALSE")),0,IF(MIN(ABS($X517/100-Settings!$C$6),ABS($X517/100-Settings!$G$6))&lt;=MIN(ABS($X517/100-Settings!$C$7),ABS($X517/100-Settings!$G$7)),1,0))))</f>
        <v/>
      </c>
      <c r="AC517">
        <f>IF($Z517=1,IFERROR(IF(VALUE($B517)&lt;100000000,VALUE($B517),1000000000),IFERROR(IF(VALUE(MID($B517,2,20))&lt;100000000,VALUE(MID($B517,2,20)),1000000000),1000000000))+ROW()/100000,"")</f>
        <v/>
      </c>
    </row>
    <row r="518">
      <c r="A518">
        <f>IF($B518="","",IFERROR(IF(INDEX('Per Invoice'!$A$2:$A$801,MATCH($B518,'Per Invoice'!$B$2:$B$801,0))=0,"",INDEX('Per Invoice'!$A$2:$A$801,MATCH($B518,'Per Invoice'!$B$2:$B$801,0))),""))</f>
        <v/>
      </c>
      <c r="J518" s="7">
        <f>IF($B518="","",I518*Q518/100)</f>
        <v/>
      </c>
      <c r="N518" s="7" t="n"/>
      <c r="O518" s="7" t="n"/>
      <c r="P518" s="7">
        <f>IF($B518="","",O518*X518/100)</f>
        <v/>
      </c>
      <c r="Q518" s="7">
        <f>IF($B518="","",O518-P518)</f>
        <v/>
      </c>
      <c r="R518" s="7">
        <f>IF($B518="","",Q518-J518)</f>
        <v/>
      </c>
      <c r="S518" s="7" t="n"/>
      <c r="T518" s="7" t="n"/>
      <c r="V518" s="14" t="n"/>
      <c r="Z518">
        <f>IF($B518="","",IF(COUNTIF($B$2:$B518,$B518)=1,1,0))</f>
        <v/>
      </c>
      <c r="AA518">
        <f>IF($Z518=1,SUMPRODUCT(--($AC$2:$AC$3001&lt;$AC518))+1,"")</f>
        <v/>
      </c>
      <c r="AB518">
        <f>IF($B518="","",IF(OR($Y518=TRUE(),$Y518="TRUE"),1,IF(AND($Y518&lt;&gt;"",OR($Y518=FALSE(),$Y518="FALSE")),0,IF(MIN(ABS($X518/100-Settings!$C$6),ABS($X518/100-Settings!$G$6))&lt;=MIN(ABS($X518/100-Settings!$C$7),ABS($X518/100-Settings!$G$7)),1,0))))</f>
        <v/>
      </c>
      <c r="AC518">
        <f>IF($Z518=1,IFERROR(IF(VALUE($B518)&lt;100000000,VALUE($B518),1000000000),IFERROR(IF(VALUE(MID($B518,2,20))&lt;100000000,VALUE(MID($B518,2,20)),1000000000),1000000000))+ROW()/100000,"")</f>
        <v/>
      </c>
    </row>
    <row r="519">
      <c r="A519">
        <f>IF($B519="","",IFERROR(IF(INDEX('Per Invoice'!$A$2:$A$801,MATCH($B519,'Per Invoice'!$B$2:$B$801,0))=0,"",INDEX('Per Invoice'!$A$2:$A$801,MATCH($B519,'Per Invoice'!$B$2:$B$801,0))),""))</f>
        <v/>
      </c>
      <c r="J519" s="7">
        <f>IF($B519="","",I519*Q519/100)</f>
        <v/>
      </c>
      <c r="N519" s="7" t="n"/>
      <c r="O519" s="7" t="n"/>
      <c r="P519" s="7">
        <f>IF($B519="","",O519*X519/100)</f>
        <v/>
      </c>
      <c r="Q519" s="7">
        <f>IF($B519="","",O519-P519)</f>
        <v/>
      </c>
      <c r="R519" s="7">
        <f>IF($B519="","",Q519-J519)</f>
        <v/>
      </c>
      <c r="S519" s="7" t="n"/>
      <c r="T519" s="7" t="n"/>
      <c r="V519" s="14" t="n"/>
      <c r="Z519">
        <f>IF($B519="","",IF(COUNTIF($B$2:$B519,$B519)=1,1,0))</f>
        <v/>
      </c>
      <c r="AA519">
        <f>IF($Z519=1,SUMPRODUCT(--($AC$2:$AC$3001&lt;$AC519))+1,"")</f>
        <v/>
      </c>
      <c r="AB519">
        <f>IF($B519="","",IF(OR($Y519=TRUE(),$Y519="TRUE"),1,IF(AND($Y519&lt;&gt;"",OR($Y519=FALSE(),$Y519="FALSE")),0,IF(MIN(ABS($X519/100-Settings!$C$6),ABS($X519/100-Settings!$G$6))&lt;=MIN(ABS($X519/100-Settings!$C$7),ABS($X519/100-Settings!$G$7)),1,0))))</f>
        <v/>
      </c>
      <c r="AC519">
        <f>IF($Z519=1,IFERROR(IF(VALUE($B519)&lt;100000000,VALUE($B519),1000000000),IFERROR(IF(VALUE(MID($B519,2,20))&lt;100000000,VALUE(MID($B519,2,20)),1000000000),1000000000))+ROW()/100000,"")</f>
        <v/>
      </c>
    </row>
    <row r="520">
      <c r="A520">
        <f>IF($B520="","",IFERROR(IF(INDEX('Per Invoice'!$A$2:$A$801,MATCH($B520,'Per Invoice'!$B$2:$B$801,0))=0,"",INDEX('Per Invoice'!$A$2:$A$801,MATCH($B520,'Per Invoice'!$B$2:$B$801,0))),""))</f>
        <v/>
      </c>
      <c r="J520" s="7">
        <f>IF($B520="","",I520*Q520/100)</f>
        <v/>
      </c>
      <c r="N520" s="7" t="n"/>
      <c r="O520" s="7" t="n"/>
      <c r="P520" s="7">
        <f>IF($B520="","",O520*X520/100)</f>
        <v/>
      </c>
      <c r="Q520" s="7">
        <f>IF($B520="","",O520-P520)</f>
        <v/>
      </c>
      <c r="R520" s="7">
        <f>IF($B520="","",Q520-J520)</f>
        <v/>
      </c>
      <c r="S520" s="7" t="n"/>
      <c r="T520" s="7" t="n"/>
      <c r="V520" s="14" t="n"/>
      <c r="Z520">
        <f>IF($B520="","",IF(COUNTIF($B$2:$B520,$B520)=1,1,0))</f>
        <v/>
      </c>
      <c r="AA520">
        <f>IF($Z520=1,SUMPRODUCT(--($AC$2:$AC$3001&lt;$AC520))+1,"")</f>
        <v/>
      </c>
      <c r="AB520">
        <f>IF($B520="","",IF(OR($Y520=TRUE(),$Y520="TRUE"),1,IF(AND($Y520&lt;&gt;"",OR($Y520=FALSE(),$Y520="FALSE")),0,IF(MIN(ABS($X520/100-Settings!$C$6),ABS($X520/100-Settings!$G$6))&lt;=MIN(ABS($X520/100-Settings!$C$7),ABS($X520/100-Settings!$G$7)),1,0))))</f>
        <v/>
      </c>
      <c r="AC520">
        <f>IF($Z520=1,IFERROR(IF(VALUE($B520)&lt;100000000,VALUE($B520),1000000000),IFERROR(IF(VALUE(MID($B520,2,20))&lt;100000000,VALUE(MID($B520,2,20)),1000000000),1000000000))+ROW()/100000,"")</f>
        <v/>
      </c>
    </row>
    <row r="521">
      <c r="A521">
        <f>IF($B521="","",IFERROR(IF(INDEX('Per Invoice'!$A$2:$A$801,MATCH($B521,'Per Invoice'!$B$2:$B$801,0))=0,"",INDEX('Per Invoice'!$A$2:$A$801,MATCH($B521,'Per Invoice'!$B$2:$B$801,0))),""))</f>
        <v/>
      </c>
      <c r="J521" s="7">
        <f>IF($B521="","",I521*Q521/100)</f>
        <v/>
      </c>
      <c r="N521" s="7" t="n"/>
      <c r="O521" s="7" t="n"/>
      <c r="P521" s="7">
        <f>IF($B521="","",O521*X521/100)</f>
        <v/>
      </c>
      <c r="Q521" s="7">
        <f>IF($B521="","",O521-P521)</f>
        <v/>
      </c>
      <c r="R521" s="7">
        <f>IF($B521="","",Q521-J521)</f>
        <v/>
      </c>
      <c r="S521" s="7" t="n"/>
      <c r="T521" s="7" t="n"/>
      <c r="V521" s="14" t="n"/>
      <c r="Z521">
        <f>IF($B521="","",IF(COUNTIF($B$2:$B521,$B521)=1,1,0))</f>
        <v/>
      </c>
      <c r="AA521">
        <f>IF($Z521=1,SUMPRODUCT(--($AC$2:$AC$3001&lt;$AC521))+1,"")</f>
        <v/>
      </c>
      <c r="AB521">
        <f>IF($B521="","",IF(OR($Y521=TRUE(),$Y521="TRUE"),1,IF(AND($Y521&lt;&gt;"",OR($Y521=FALSE(),$Y521="FALSE")),0,IF(MIN(ABS($X521/100-Settings!$C$6),ABS($X521/100-Settings!$G$6))&lt;=MIN(ABS($X521/100-Settings!$C$7),ABS($X521/100-Settings!$G$7)),1,0))))</f>
        <v/>
      </c>
      <c r="AC521">
        <f>IF($Z521=1,IFERROR(IF(VALUE($B521)&lt;100000000,VALUE($B521),1000000000),IFERROR(IF(VALUE(MID($B521,2,20))&lt;100000000,VALUE(MID($B521,2,20)),1000000000),1000000000))+ROW()/100000,"")</f>
        <v/>
      </c>
    </row>
    <row r="522">
      <c r="A522">
        <f>IF($B522="","",IFERROR(IF(INDEX('Per Invoice'!$A$2:$A$801,MATCH($B522,'Per Invoice'!$B$2:$B$801,0))=0,"",INDEX('Per Invoice'!$A$2:$A$801,MATCH($B522,'Per Invoice'!$B$2:$B$801,0))),""))</f>
        <v/>
      </c>
      <c r="J522" s="7">
        <f>IF($B522="","",I522*Q522/100)</f>
        <v/>
      </c>
      <c r="N522" s="7" t="n"/>
      <c r="O522" s="7" t="n"/>
      <c r="P522" s="7">
        <f>IF($B522="","",O522*X522/100)</f>
        <v/>
      </c>
      <c r="Q522" s="7">
        <f>IF($B522="","",O522-P522)</f>
        <v/>
      </c>
      <c r="R522" s="7">
        <f>IF($B522="","",Q522-J522)</f>
        <v/>
      </c>
      <c r="S522" s="7" t="n"/>
      <c r="T522" s="7" t="n"/>
      <c r="V522" s="14" t="n"/>
      <c r="Z522">
        <f>IF($B522="","",IF(COUNTIF($B$2:$B522,$B522)=1,1,0))</f>
        <v/>
      </c>
      <c r="AA522">
        <f>IF($Z522=1,SUMPRODUCT(--($AC$2:$AC$3001&lt;$AC522))+1,"")</f>
        <v/>
      </c>
      <c r="AB522">
        <f>IF($B522="","",IF(OR($Y522=TRUE(),$Y522="TRUE"),1,IF(AND($Y522&lt;&gt;"",OR($Y522=FALSE(),$Y522="FALSE")),0,IF(MIN(ABS($X522/100-Settings!$C$6),ABS($X522/100-Settings!$G$6))&lt;=MIN(ABS($X522/100-Settings!$C$7),ABS($X522/100-Settings!$G$7)),1,0))))</f>
        <v/>
      </c>
      <c r="AC522">
        <f>IF($Z522=1,IFERROR(IF(VALUE($B522)&lt;100000000,VALUE($B522),1000000000),IFERROR(IF(VALUE(MID($B522,2,20))&lt;100000000,VALUE(MID($B522,2,20)),1000000000),1000000000))+ROW()/100000,"")</f>
        <v/>
      </c>
    </row>
    <row r="523">
      <c r="A523">
        <f>IF($B523="","",IFERROR(IF(INDEX('Per Invoice'!$A$2:$A$801,MATCH($B523,'Per Invoice'!$B$2:$B$801,0))=0,"",INDEX('Per Invoice'!$A$2:$A$801,MATCH($B523,'Per Invoice'!$B$2:$B$801,0))),""))</f>
        <v/>
      </c>
      <c r="J523" s="7">
        <f>IF($B523="","",I523*Q523/100)</f>
        <v/>
      </c>
      <c r="N523" s="7" t="n"/>
      <c r="O523" s="7" t="n"/>
      <c r="P523" s="7">
        <f>IF($B523="","",O523*X523/100)</f>
        <v/>
      </c>
      <c r="Q523" s="7">
        <f>IF($B523="","",O523-P523)</f>
        <v/>
      </c>
      <c r="R523" s="7">
        <f>IF($B523="","",Q523-J523)</f>
        <v/>
      </c>
      <c r="S523" s="7" t="n"/>
      <c r="T523" s="7" t="n"/>
      <c r="V523" s="14" t="n"/>
      <c r="Z523">
        <f>IF($B523="","",IF(COUNTIF($B$2:$B523,$B523)=1,1,0))</f>
        <v/>
      </c>
      <c r="AA523">
        <f>IF($Z523=1,SUMPRODUCT(--($AC$2:$AC$3001&lt;$AC523))+1,"")</f>
        <v/>
      </c>
      <c r="AB523">
        <f>IF($B523="","",IF(OR($Y523=TRUE(),$Y523="TRUE"),1,IF(AND($Y523&lt;&gt;"",OR($Y523=FALSE(),$Y523="FALSE")),0,IF(MIN(ABS($X523/100-Settings!$C$6),ABS($X523/100-Settings!$G$6))&lt;=MIN(ABS($X523/100-Settings!$C$7),ABS($X523/100-Settings!$G$7)),1,0))))</f>
        <v/>
      </c>
      <c r="AC523">
        <f>IF($Z523=1,IFERROR(IF(VALUE($B523)&lt;100000000,VALUE($B523),1000000000),IFERROR(IF(VALUE(MID($B523,2,20))&lt;100000000,VALUE(MID($B523,2,20)),1000000000),1000000000))+ROW()/100000,"")</f>
        <v/>
      </c>
    </row>
    <row r="524">
      <c r="A524">
        <f>IF($B524="","",IFERROR(IF(INDEX('Per Invoice'!$A$2:$A$801,MATCH($B524,'Per Invoice'!$B$2:$B$801,0))=0,"",INDEX('Per Invoice'!$A$2:$A$801,MATCH($B524,'Per Invoice'!$B$2:$B$801,0))),""))</f>
        <v/>
      </c>
      <c r="J524" s="7">
        <f>IF($B524="","",I524*Q524/100)</f>
        <v/>
      </c>
      <c r="N524" s="7" t="n"/>
      <c r="O524" s="7" t="n"/>
      <c r="P524" s="7">
        <f>IF($B524="","",O524*X524/100)</f>
        <v/>
      </c>
      <c r="Q524" s="7">
        <f>IF($B524="","",O524-P524)</f>
        <v/>
      </c>
      <c r="R524" s="7">
        <f>IF($B524="","",Q524-J524)</f>
        <v/>
      </c>
      <c r="S524" s="7" t="n"/>
      <c r="T524" s="7" t="n"/>
      <c r="V524" s="14" t="n"/>
      <c r="Z524">
        <f>IF($B524="","",IF(COUNTIF($B$2:$B524,$B524)=1,1,0))</f>
        <v/>
      </c>
      <c r="AA524">
        <f>IF($Z524=1,SUMPRODUCT(--($AC$2:$AC$3001&lt;$AC524))+1,"")</f>
        <v/>
      </c>
      <c r="AB524">
        <f>IF($B524="","",IF(OR($Y524=TRUE(),$Y524="TRUE"),1,IF(AND($Y524&lt;&gt;"",OR($Y524=FALSE(),$Y524="FALSE")),0,IF(MIN(ABS($X524/100-Settings!$C$6),ABS($X524/100-Settings!$G$6))&lt;=MIN(ABS($X524/100-Settings!$C$7),ABS($X524/100-Settings!$G$7)),1,0))))</f>
        <v/>
      </c>
      <c r="AC524">
        <f>IF($Z524=1,IFERROR(IF(VALUE($B524)&lt;100000000,VALUE($B524),1000000000),IFERROR(IF(VALUE(MID($B524,2,20))&lt;100000000,VALUE(MID($B524,2,20)),1000000000),1000000000))+ROW()/100000,"")</f>
        <v/>
      </c>
    </row>
    <row r="525">
      <c r="A525">
        <f>IF($B525="","",IFERROR(IF(INDEX('Per Invoice'!$A$2:$A$801,MATCH($B525,'Per Invoice'!$B$2:$B$801,0))=0,"",INDEX('Per Invoice'!$A$2:$A$801,MATCH($B525,'Per Invoice'!$B$2:$B$801,0))),""))</f>
        <v/>
      </c>
      <c r="J525" s="7">
        <f>IF($B525="","",I525*Q525/100)</f>
        <v/>
      </c>
      <c r="N525" s="7" t="n"/>
      <c r="O525" s="7" t="n"/>
      <c r="P525" s="7">
        <f>IF($B525="","",O525*X525/100)</f>
        <v/>
      </c>
      <c r="Q525" s="7">
        <f>IF($B525="","",O525-P525)</f>
        <v/>
      </c>
      <c r="R525" s="7">
        <f>IF($B525="","",Q525-J525)</f>
        <v/>
      </c>
      <c r="S525" s="7" t="n"/>
      <c r="T525" s="7" t="n"/>
      <c r="V525" s="14" t="n"/>
      <c r="Z525">
        <f>IF($B525="","",IF(COUNTIF($B$2:$B525,$B525)=1,1,0))</f>
        <v/>
      </c>
      <c r="AA525">
        <f>IF($Z525=1,SUMPRODUCT(--($AC$2:$AC$3001&lt;$AC525))+1,"")</f>
        <v/>
      </c>
      <c r="AB525">
        <f>IF($B525="","",IF(OR($Y525=TRUE(),$Y525="TRUE"),1,IF(AND($Y525&lt;&gt;"",OR($Y525=FALSE(),$Y525="FALSE")),0,IF(MIN(ABS($X525/100-Settings!$C$6),ABS($X525/100-Settings!$G$6))&lt;=MIN(ABS($X525/100-Settings!$C$7),ABS($X525/100-Settings!$G$7)),1,0))))</f>
        <v/>
      </c>
      <c r="AC525">
        <f>IF($Z525=1,IFERROR(IF(VALUE($B525)&lt;100000000,VALUE($B525),1000000000),IFERROR(IF(VALUE(MID($B525,2,20))&lt;100000000,VALUE(MID($B525,2,20)),1000000000),1000000000))+ROW()/100000,"")</f>
        <v/>
      </c>
    </row>
    <row r="526">
      <c r="A526">
        <f>IF($B526="","",IFERROR(IF(INDEX('Per Invoice'!$A$2:$A$801,MATCH($B526,'Per Invoice'!$B$2:$B$801,0))=0,"",INDEX('Per Invoice'!$A$2:$A$801,MATCH($B526,'Per Invoice'!$B$2:$B$801,0))),""))</f>
        <v/>
      </c>
      <c r="J526" s="7">
        <f>IF($B526="","",I526*Q526/100)</f>
        <v/>
      </c>
      <c r="N526" s="7" t="n"/>
      <c r="O526" s="7" t="n"/>
      <c r="P526" s="7">
        <f>IF($B526="","",O526*X526/100)</f>
        <v/>
      </c>
      <c r="Q526" s="7">
        <f>IF($B526="","",O526-P526)</f>
        <v/>
      </c>
      <c r="R526" s="7">
        <f>IF($B526="","",Q526-J526)</f>
        <v/>
      </c>
      <c r="S526" s="7" t="n"/>
      <c r="T526" s="7" t="n"/>
      <c r="V526" s="14" t="n"/>
      <c r="Z526">
        <f>IF($B526="","",IF(COUNTIF($B$2:$B526,$B526)=1,1,0))</f>
        <v/>
      </c>
      <c r="AA526">
        <f>IF($Z526=1,SUMPRODUCT(--($AC$2:$AC$3001&lt;$AC526))+1,"")</f>
        <v/>
      </c>
      <c r="AB526">
        <f>IF($B526="","",IF(OR($Y526=TRUE(),$Y526="TRUE"),1,IF(AND($Y526&lt;&gt;"",OR($Y526=FALSE(),$Y526="FALSE")),0,IF(MIN(ABS($X526/100-Settings!$C$6),ABS($X526/100-Settings!$G$6))&lt;=MIN(ABS($X526/100-Settings!$C$7),ABS($X526/100-Settings!$G$7)),1,0))))</f>
        <v/>
      </c>
      <c r="AC526">
        <f>IF($Z526=1,IFERROR(IF(VALUE($B526)&lt;100000000,VALUE($B526),1000000000),IFERROR(IF(VALUE(MID($B526,2,20))&lt;100000000,VALUE(MID($B526,2,20)),1000000000),1000000000))+ROW()/100000,"")</f>
        <v/>
      </c>
    </row>
    <row r="527">
      <c r="A527">
        <f>IF($B527="","",IFERROR(IF(INDEX('Per Invoice'!$A$2:$A$801,MATCH($B527,'Per Invoice'!$B$2:$B$801,0))=0,"",INDEX('Per Invoice'!$A$2:$A$801,MATCH($B527,'Per Invoice'!$B$2:$B$801,0))),""))</f>
        <v/>
      </c>
      <c r="J527" s="7">
        <f>IF($B527="","",I527*Q527/100)</f>
        <v/>
      </c>
      <c r="N527" s="7" t="n"/>
      <c r="O527" s="7" t="n"/>
      <c r="P527" s="7">
        <f>IF($B527="","",O527*X527/100)</f>
        <v/>
      </c>
      <c r="Q527" s="7">
        <f>IF($B527="","",O527-P527)</f>
        <v/>
      </c>
      <c r="R527" s="7">
        <f>IF($B527="","",Q527-J527)</f>
        <v/>
      </c>
      <c r="S527" s="7" t="n"/>
      <c r="T527" s="7" t="n"/>
      <c r="V527" s="14" t="n"/>
      <c r="Z527">
        <f>IF($B527="","",IF(COUNTIF($B$2:$B527,$B527)=1,1,0))</f>
        <v/>
      </c>
      <c r="AA527">
        <f>IF($Z527=1,SUMPRODUCT(--($AC$2:$AC$3001&lt;$AC527))+1,"")</f>
        <v/>
      </c>
      <c r="AB527">
        <f>IF($B527="","",IF(OR($Y527=TRUE(),$Y527="TRUE"),1,IF(AND($Y527&lt;&gt;"",OR($Y527=FALSE(),$Y527="FALSE")),0,IF(MIN(ABS($X527/100-Settings!$C$6),ABS($X527/100-Settings!$G$6))&lt;=MIN(ABS($X527/100-Settings!$C$7),ABS($X527/100-Settings!$G$7)),1,0))))</f>
        <v/>
      </c>
      <c r="AC527">
        <f>IF($Z527=1,IFERROR(IF(VALUE($B527)&lt;100000000,VALUE($B527),1000000000),IFERROR(IF(VALUE(MID($B527,2,20))&lt;100000000,VALUE(MID($B527,2,20)),1000000000),1000000000))+ROW()/100000,"")</f>
        <v/>
      </c>
    </row>
    <row r="528">
      <c r="A528">
        <f>IF($B528="","",IFERROR(IF(INDEX('Per Invoice'!$A$2:$A$801,MATCH($B528,'Per Invoice'!$B$2:$B$801,0))=0,"",INDEX('Per Invoice'!$A$2:$A$801,MATCH($B528,'Per Invoice'!$B$2:$B$801,0))),""))</f>
        <v/>
      </c>
      <c r="J528" s="7">
        <f>IF($B528="","",I528*Q528/100)</f>
        <v/>
      </c>
      <c r="N528" s="7" t="n"/>
      <c r="O528" s="7" t="n"/>
      <c r="P528" s="7">
        <f>IF($B528="","",O528*X528/100)</f>
        <v/>
      </c>
      <c r="Q528" s="7">
        <f>IF($B528="","",O528-P528)</f>
        <v/>
      </c>
      <c r="R528" s="7">
        <f>IF($B528="","",Q528-J528)</f>
        <v/>
      </c>
      <c r="S528" s="7" t="n"/>
      <c r="T528" s="7" t="n"/>
      <c r="V528" s="14" t="n"/>
      <c r="Z528">
        <f>IF($B528="","",IF(COUNTIF($B$2:$B528,$B528)=1,1,0))</f>
        <v/>
      </c>
      <c r="AA528">
        <f>IF($Z528=1,SUMPRODUCT(--($AC$2:$AC$3001&lt;$AC528))+1,"")</f>
        <v/>
      </c>
      <c r="AB528">
        <f>IF($B528="","",IF(OR($Y528=TRUE(),$Y528="TRUE"),1,IF(AND($Y528&lt;&gt;"",OR($Y528=FALSE(),$Y528="FALSE")),0,IF(MIN(ABS($X528/100-Settings!$C$6),ABS($X528/100-Settings!$G$6))&lt;=MIN(ABS($X528/100-Settings!$C$7),ABS($X528/100-Settings!$G$7)),1,0))))</f>
        <v/>
      </c>
      <c r="AC528">
        <f>IF($Z528=1,IFERROR(IF(VALUE($B528)&lt;100000000,VALUE($B528),1000000000),IFERROR(IF(VALUE(MID($B528,2,20))&lt;100000000,VALUE(MID($B528,2,20)),1000000000),1000000000))+ROW()/100000,"")</f>
        <v/>
      </c>
    </row>
    <row r="529">
      <c r="A529">
        <f>IF($B529="","",IFERROR(IF(INDEX('Per Invoice'!$A$2:$A$801,MATCH($B529,'Per Invoice'!$B$2:$B$801,0))=0,"",INDEX('Per Invoice'!$A$2:$A$801,MATCH($B529,'Per Invoice'!$B$2:$B$801,0))),""))</f>
        <v/>
      </c>
      <c r="J529" s="7">
        <f>IF($B529="","",I529*Q529/100)</f>
        <v/>
      </c>
      <c r="N529" s="7" t="n"/>
      <c r="O529" s="7" t="n"/>
      <c r="P529" s="7">
        <f>IF($B529="","",O529*X529/100)</f>
        <v/>
      </c>
      <c r="Q529" s="7">
        <f>IF($B529="","",O529-P529)</f>
        <v/>
      </c>
      <c r="R529" s="7">
        <f>IF($B529="","",Q529-J529)</f>
        <v/>
      </c>
      <c r="S529" s="7" t="n"/>
      <c r="T529" s="7" t="n"/>
      <c r="V529" s="14" t="n"/>
      <c r="Z529">
        <f>IF($B529="","",IF(COUNTIF($B$2:$B529,$B529)=1,1,0))</f>
        <v/>
      </c>
      <c r="AA529">
        <f>IF($Z529=1,SUMPRODUCT(--($AC$2:$AC$3001&lt;$AC529))+1,"")</f>
        <v/>
      </c>
      <c r="AB529">
        <f>IF($B529="","",IF(OR($Y529=TRUE(),$Y529="TRUE"),1,IF(AND($Y529&lt;&gt;"",OR($Y529=FALSE(),$Y529="FALSE")),0,IF(MIN(ABS($X529/100-Settings!$C$6),ABS($X529/100-Settings!$G$6))&lt;=MIN(ABS($X529/100-Settings!$C$7),ABS($X529/100-Settings!$G$7)),1,0))))</f>
        <v/>
      </c>
      <c r="AC529">
        <f>IF($Z529=1,IFERROR(IF(VALUE($B529)&lt;100000000,VALUE($B529),1000000000),IFERROR(IF(VALUE(MID($B529,2,20))&lt;100000000,VALUE(MID($B529,2,20)),1000000000),1000000000))+ROW()/100000,"")</f>
        <v/>
      </c>
    </row>
    <row r="530">
      <c r="A530">
        <f>IF($B530="","",IFERROR(IF(INDEX('Per Invoice'!$A$2:$A$801,MATCH($B530,'Per Invoice'!$B$2:$B$801,0))=0,"",INDEX('Per Invoice'!$A$2:$A$801,MATCH($B530,'Per Invoice'!$B$2:$B$801,0))),""))</f>
        <v/>
      </c>
      <c r="J530" s="7">
        <f>IF($B530="","",I530*Q530/100)</f>
        <v/>
      </c>
      <c r="N530" s="7" t="n"/>
      <c r="O530" s="7" t="n"/>
      <c r="P530" s="7">
        <f>IF($B530="","",O530*X530/100)</f>
        <v/>
      </c>
      <c r="Q530" s="7">
        <f>IF($B530="","",O530-P530)</f>
        <v/>
      </c>
      <c r="R530" s="7">
        <f>IF($B530="","",Q530-J530)</f>
        <v/>
      </c>
      <c r="S530" s="7" t="n"/>
      <c r="T530" s="7" t="n"/>
      <c r="V530" s="14" t="n"/>
      <c r="Z530">
        <f>IF($B530="","",IF(COUNTIF($B$2:$B530,$B530)=1,1,0))</f>
        <v/>
      </c>
      <c r="AA530">
        <f>IF($Z530=1,SUMPRODUCT(--($AC$2:$AC$3001&lt;$AC530))+1,"")</f>
        <v/>
      </c>
      <c r="AB530">
        <f>IF($B530="","",IF(OR($Y530=TRUE(),$Y530="TRUE"),1,IF(AND($Y530&lt;&gt;"",OR($Y530=FALSE(),$Y530="FALSE")),0,IF(MIN(ABS($X530/100-Settings!$C$6),ABS($X530/100-Settings!$G$6))&lt;=MIN(ABS($X530/100-Settings!$C$7),ABS($X530/100-Settings!$G$7)),1,0))))</f>
        <v/>
      </c>
      <c r="AC530">
        <f>IF($Z530=1,IFERROR(IF(VALUE($B530)&lt;100000000,VALUE($B530),1000000000),IFERROR(IF(VALUE(MID($B530,2,20))&lt;100000000,VALUE(MID($B530,2,20)),1000000000),1000000000))+ROW()/100000,"")</f>
        <v/>
      </c>
    </row>
    <row r="531">
      <c r="A531">
        <f>IF($B531="","",IFERROR(IF(INDEX('Per Invoice'!$A$2:$A$801,MATCH($B531,'Per Invoice'!$B$2:$B$801,0))=0,"",INDEX('Per Invoice'!$A$2:$A$801,MATCH($B531,'Per Invoice'!$B$2:$B$801,0))),""))</f>
        <v/>
      </c>
      <c r="J531" s="7">
        <f>IF($B531="","",I531*Q531/100)</f>
        <v/>
      </c>
      <c r="N531" s="7" t="n"/>
      <c r="O531" s="7" t="n"/>
      <c r="P531" s="7">
        <f>IF($B531="","",O531*X531/100)</f>
        <v/>
      </c>
      <c r="Q531" s="7">
        <f>IF($B531="","",O531-P531)</f>
        <v/>
      </c>
      <c r="R531" s="7">
        <f>IF($B531="","",Q531-J531)</f>
        <v/>
      </c>
      <c r="S531" s="7" t="n"/>
      <c r="T531" s="7" t="n"/>
      <c r="V531" s="14" t="n"/>
      <c r="Z531">
        <f>IF($B531="","",IF(COUNTIF($B$2:$B531,$B531)=1,1,0))</f>
        <v/>
      </c>
      <c r="AA531">
        <f>IF($Z531=1,SUMPRODUCT(--($AC$2:$AC$3001&lt;$AC531))+1,"")</f>
        <v/>
      </c>
      <c r="AB531">
        <f>IF($B531="","",IF(OR($Y531=TRUE(),$Y531="TRUE"),1,IF(AND($Y531&lt;&gt;"",OR($Y531=FALSE(),$Y531="FALSE")),0,IF(MIN(ABS($X531/100-Settings!$C$6),ABS($X531/100-Settings!$G$6))&lt;=MIN(ABS($X531/100-Settings!$C$7),ABS($X531/100-Settings!$G$7)),1,0))))</f>
        <v/>
      </c>
      <c r="AC531">
        <f>IF($Z531=1,IFERROR(IF(VALUE($B531)&lt;100000000,VALUE($B531),1000000000),IFERROR(IF(VALUE(MID($B531,2,20))&lt;100000000,VALUE(MID($B531,2,20)),1000000000),1000000000))+ROW()/100000,"")</f>
        <v/>
      </c>
    </row>
    <row r="532">
      <c r="A532">
        <f>IF($B532="","",IFERROR(IF(INDEX('Per Invoice'!$A$2:$A$801,MATCH($B532,'Per Invoice'!$B$2:$B$801,0))=0,"",INDEX('Per Invoice'!$A$2:$A$801,MATCH($B532,'Per Invoice'!$B$2:$B$801,0))),""))</f>
        <v/>
      </c>
      <c r="J532" s="7">
        <f>IF($B532="","",I532*Q532/100)</f>
        <v/>
      </c>
      <c r="N532" s="7" t="n"/>
      <c r="O532" s="7" t="n"/>
      <c r="P532" s="7">
        <f>IF($B532="","",O532*X532/100)</f>
        <v/>
      </c>
      <c r="Q532" s="7">
        <f>IF($B532="","",O532-P532)</f>
        <v/>
      </c>
      <c r="R532" s="7">
        <f>IF($B532="","",Q532-J532)</f>
        <v/>
      </c>
      <c r="S532" s="7" t="n"/>
      <c r="T532" s="7" t="n"/>
      <c r="V532" s="14" t="n"/>
      <c r="Z532">
        <f>IF($B532="","",IF(COUNTIF($B$2:$B532,$B532)=1,1,0))</f>
        <v/>
      </c>
      <c r="AA532">
        <f>IF($Z532=1,SUMPRODUCT(--($AC$2:$AC$3001&lt;$AC532))+1,"")</f>
        <v/>
      </c>
      <c r="AB532">
        <f>IF($B532="","",IF(OR($Y532=TRUE(),$Y532="TRUE"),1,IF(AND($Y532&lt;&gt;"",OR($Y532=FALSE(),$Y532="FALSE")),0,IF(MIN(ABS($X532/100-Settings!$C$6),ABS($X532/100-Settings!$G$6))&lt;=MIN(ABS($X532/100-Settings!$C$7),ABS($X532/100-Settings!$G$7)),1,0))))</f>
        <v/>
      </c>
      <c r="AC532">
        <f>IF($Z532=1,IFERROR(IF(VALUE($B532)&lt;100000000,VALUE($B532),1000000000),IFERROR(IF(VALUE(MID($B532,2,20))&lt;100000000,VALUE(MID($B532,2,20)),1000000000),1000000000))+ROW()/100000,"")</f>
        <v/>
      </c>
    </row>
    <row r="533">
      <c r="A533">
        <f>IF($B533="","",IFERROR(IF(INDEX('Per Invoice'!$A$2:$A$801,MATCH($B533,'Per Invoice'!$B$2:$B$801,0))=0,"",INDEX('Per Invoice'!$A$2:$A$801,MATCH($B533,'Per Invoice'!$B$2:$B$801,0))),""))</f>
        <v/>
      </c>
      <c r="J533" s="7">
        <f>IF($B533="","",I533*Q533/100)</f>
        <v/>
      </c>
      <c r="N533" s="7" t="n"/>
      <c r="O533" s="7" t="n"/>
      <c r="P533" s="7">
        <f>IF($B533="","",O533*X533/100)</f>
        <v/>
      </c>
      <c r="Q533" s="7">
        <f>IF($B533="","",O533-P533)</f>
        <v/>
      </c>
      <c r="R533" s="7">
        <f>IF($B533="","",Q533-J533)</f>
        <v/>
      </c>
      <c r="S533" s="7" t="n"/>
      <c r="T533" s="7" t="n"/>
      <c r="V533" s="14" t="n"/>
      <c r="Z533">
        <f>IF($B533="","",IF(COUNTIF($B$2:$B533,$B533)=1,1,0))</f>
        <v/>
      </c>
      <c r="AA533">
        <f>IF($Z533=1,SUMPRODUCT(--($AC$2:$AC$3001&lt;$AC533))+1,"")</f>
        <v/>
      </c>
      <c r="AB533">
        <f>IF($B533="","",IF(OR($Y533=TRUE(),$Y533="TRUE"),1,IF(AND($Y533&lt;&gt;"",OR($Y533=FALSE(),$Y533="FALSE")),0,IF(MIN(ABS($X533/100-Settings!$C$6),ABS($X533/100-Settings!$G$6))&lt;=MIN(ABS($X533/100-Settings!$C$7),ABS($X533/100-Settings!$G$7)),1,0))))</f>
        <v/>
      </c>
      <c r="AC533">
        <f>IF($Z533=1,IFERROR(IF(VALUE($B533)&lt;100000000,VALUE($B533),1000000000),IFERROR(IF(VALUE(MID($B533,2,20))&lt;100000000,VALUE(MID($B533,2,20)),1000000000),1000000000))+ROW()/100000,"")</f>
        <v/>
      </c>
    </row>
    <row r="534">
      <c r="A534">
        <f>IF($B534="","",IFERROR(IF(INDEX('Per Invoice'!$A$2:$A$801,MATCH($B534,'Per Invoice'!$B$2:$B$801,0))=0,"",INDEX('Per Invoice'!$A$2:$A$801,MATCH($B534,'Per Invoice'!$B$2:$B$801,0))),""))</f>
        <v/>
      </c>
      <c r="J534" s="7">
        <f>IF($B534="","",I534*Q534/100)</f>
        <v/>
      </c>
      <c r="N534" s="7" t="n"/>
      <c r="O534" s="7" t="n"/>
      <c r="P534" s="7">
        <f>IF($B534="","",O534*X534/100)</f>
        <v/>
      </c>
      <c r="Q534" s="7">
        <f>IF($B534="","",O534-P534)</f>
        <v/>
      </c>
      <c r="R534" s="7">
        <f>IF($B534="","",Q534-J534)</f>
        <v/>
      </c>
      <c r="S534" s="7" t="n"/>
      <c r="T534" s="7" t="n"/>
      <c r="V534" s="14" t="n"/>
      <c r="Z534">
        <f>IF($B534="","",IF(COUNTIF($B$2:$B534,$B534)=1,1,0))</f>
        <v/>
      </c>
      <c r="AA534">
        <f>IF($Z534=1,SUMPRODUCT(--($AC$2:$AC$3001&lt;$AC534))+1,"")</f>
        <v/>
      </c>
      <c r="AB534">
        <f>IF($B534="","",IF(OR($Y534=TRUE(),$Y534="TRUE"),1,IF(AND($Y534&lt;&gt;"",OR($Y534=FALSE(),$Y534="FALSE")),0,IF(MIN(ABS($X534/100-Settings!$C$6),ABS($X534/100-Settings!$G$6))&lt;=MIN(ABS($X534/100-Settings!$C$7),ABS($X534/100-Settings!$G$7)),1,0))))</f>
        <v/>
      </c>
      <c r="AC534">
        <f>IF($Z534=1,IFERROR(IF(VALUE($B534)&lt;100000000,VALUE($B534),1000000000),IFERROR(IF(VALUE(MID($B534,2,20))&lt;100000000,VALUE(MID($B534,2,20)),1000000000),1000000000))+ROW()/100000,"")</f>
        <v/>
      </c>
    </row>
    <row r="535">
      <c r="A535">
        <f>IF($B535="","",IFERROR(IF(INDEX('Per Invoice'!$A$2:$A$801,MATCH($B535,'Per Invoice'!$B$2:$B$801,0))=0,"",INDEX('Per Invoice'!$A$2:$A$801,MATCH($B535,'Per Invoice'!$B$2:$B$801,0))),""))</f>
        <v/>
      </c>
      <c r="J535" s="7">
        <f>IF($B535="","",I535*Q535/100)</f>
        <v/>
      </c>
      <c r="N535" s="7" t="n"/>
      <c r="O535" s="7" t="n"/>
      <c r="P535" s="7">
        <f>IF($B535="","",O535*X535/100)</f>
        <v/>
      </c>
      <c r="Q535" s="7">
        <f>IF($B535="","",O535-P535)</f>
        <v/>
      </c>
      <c r="R535" s="7">
        <f>IF($B535="","",Q535-J535)</f>
        <v/>
      </c>
      <c r="S535" s="7" t="n"/>
      <c r="T535" s="7" t="n"/>
      <c r="V535" s="14" t="n"/>
      <c r="Z535">
        <f>IF($B535="","",IF(COUNTIF($B$2:$B535,$B535)=1,1,0))</f>
        <v/>
      </c>
      <c r="AA535">
        <f>IF($Z535=1,SUMPRODUCT(--($AC$2:$AC$3001&lt;$AC535))+1,"")</f>
        <v/>
      </c>
      <c r="AB535">
        <f>IF($B535="","",IF(OR($Y535=TRUE(),$Y535="TRUE"),1,IF(AND($Y535&lt;&gt;"",OR($Y535=FALSE(),$Y535="FALSE")),0,IF(MIN(ABS($X535/100-Settings!$C$6),ABS($X535/100-Settings!$G$6))&lt;=MIN(ABS($X535/100-Settings!$C$7),ABS($X535/100-Settings!$G$7)),1,0))))</f>
        <v/>
      </c>
      <c r="AC535">
        <f>IF($Z535=1,IFERROR(IF(VALUE($B535)&lt;100000000,VALUE($B535),1000000000),IFERROR(IF(VALUE(MID($B535,2,20))&lt;100000000,VALUE(MID($B535,2,20)),1000000000),1000000000))+ROW()/100000,"")</f>
        <v/>
      </c>
    </row>
    <row r="536">
      <c r="A536">
        <f>IF($B536="","",IFERROR(IF(INDEX('Per Invoice'!$A$2:$A$801,MATCH($B536,'Per Invoice'!$B$2:$B$801,0))=0,"",INDEX('Per Invoice'!$A$2:$A$801,MATCH($B536,'Per Invoice'!$B$2:$B$801,0))),""))</f>
        <v/>
      </c>
      <c r="J536" s="7">
        <f>IF($B536="","",I536*Q536/100)</f>
        <v/>
      </c>
      <c r="N536" s="7" t="n"/>
      <c r="O536" s="7" t="n"/>
      <c r="P536" s="7">
        <f>IF($B536="","",O536*X536/100)</f>
        <v/>
      </c>
      <c r="Q536" s="7">
        <f>IF($B536="","",O536-P536)</f>
        <v/>
      </c>
      <c r="R536" s="7">
        <f>IF($B536="","",Q536-J536)</f>
        <v/>
      </c>
      <c r="S536" s="7" t="n"/>
      <c r="T536" s="7" t="n"/>
      <c r="V536" s="14" t="n"/>
      <c r="Z536">
        <f>IF($B536="","",IF(COUNTIF($B$2:$B536,$B536)=1,1,0))</f>
        <v/>
      </c>
      <c r="AA536">
        <f>IF($Z536=1,SUMPRODUCT(--($AC$2:$AC$3001&lt;$AC536))+1,"")</f>
        <v/>
      </c>
      <c r="AB536">
        <f>IF($B536="","",IF(OR($Y536=TRUE(),$Y536="TRUE"),1,IF(AND($Y536&lt;&gt;"",OR($Y536=FALSE(),$Y536="FALSE")),0,IF(MIN(ABS($X536/100-Settings!$C$6),ABS($X536/100-Settings!$G$6))&lt;=MIN(ABS($X536/100-Settings!$C$7),ABS($X536/100-Settings!$G$7)),1,0))))</f>
        <v/>
      </c>
      <c r="AC536">
        <f>IF($Z536=1,IFERROR(IF(VALUE($B536)&lt;100000000,VALUE($B536),1000000000),IFERROR(IF(VALUE(MID($B536,2,20))&lt;100000000,VALUE(MID($B536,2,20)),1000000000),1000000000))+ROW()/100000,"")</f>
        <v/>
      </c>
    </row>
    <row r="537">
      <c r="A537">
        <f>IF($B537="","",IFERROR(IF(INDEX('Per Invoice'!$A$2:$A$801,MATCH($B537,'Per Invoice'!$B$2:$B$801,0))=0,"",INDEX('Per Invoice'!$A$2:$A$801,MATCH($B537,'Per Invoice'!$B$2:$B$801,0))),""))</f>
        <v/>
      </c>
      <c r="J537" s="7">
        <f>IF($B537="","",I537*Q537/100)</f>
        <v/>
      </c>
      <c r="N537" s="7" t="n"/>
      <c r="O537" s="7" t="n"/>
      <c r="P537" s="7">
        <f>IF($B537="","",O537*X537/100)</f>
        <v/>
      </c>
      <c r="Q537" s="7">
        <f>IF($B537="","",O537-P537)</f>
        <v/>
      </c>
      <c r="R537" s="7">
        <f>IF($B537="","",Q537-J537)</f>
        <v/>
      </c>
      <c r="S537" s="7" t="n"/>
      <c r="T537" s="7" t="n"/>
      <c r="V537" s="14" t="n"/>
      <c r="Z537">
        <f>IF($B537="","",IF(COUNTIF($B$2:$B537,$B537)=1,1,0))</f>
        <v/>
      </c>
      <c r="AA537">
        <f>IF($Z537=1,SUMPRODUCT(--($AC$2:$AC$3001&lt;$AC537))+1,"")</f>
        <v/>
      </c>
      <c r="AB537">
        <f>IF($B537="","",IF(OR($Y537=TRUE(),$Y537="TRUE"),1,IF(AND($Y537&lt;&gt;"",OR($Y537=FALSE(),$Y537="FALSE")),0,IF(MIN(ABS($X537/100-Settings!$C$6),ABS($X537/100-Settings!$G$6))&lt;=MIN(ABS($X537/100-Settings!$C$7),ABS($X537/100-Settings!$G$7)),1,0))))</f>
        <v/>
      </c>
      <c r="AC537">
        <f>IF($Z537=1,IFERROR(IF(VALUE($B537)&lt;100000000,VALUE($B537),1000000000),IFERROR(IF(VALUE(MID($B537,2,20))&lt;100000000,VALUE(MID($B537,2,20)),1000000000),1000000000))+ROW()/100000,"")</f>
        <v/>
      </c>
    </row>
    <row r="538">
      <c r="A538">
        <f>IF($B538="","",IFERROR(IF(INDEX('Per Invoice'!$A$2:$A$801,MATCH($B538,'Per Invoice'!$B$2:$B$801,0))=0,"",INDEX('Per Invoice'!$A$2:$A$801,MATCH($B538,'Per Invoice'!$B$2:$B$801,0))),""))</f>
        <v/>
      </c>
      <c r="J538" s="7">
        <f>IF($B538="","",I538*Q538/100)</f>
        <v/>
      </c>
      <c r="N538" s="7" t="n"/>
      <c r="O538" s="7" t="n"/>
      <c r="P538" s="7">
        <f>IF($B538="","",O538*X538/100)</f>
        <v/>
      </c>
      <c r="Q538" s="7">
        <f>IF($B538="","",O538-P538)</f>
        <v/>
      </c>
      <c r="R538" s="7">
        <f>IF($B538="","",Q538-J538)</f>
        <v/>
      </c>
      <c r="S538" s="7" t="n"/>
      <c r="T538" s="7" t="n"/>
      <c r="V538" s="14" t="n"/>
      <c r="Z538">
        <f>IF($B538="","",IF(COUNTIF($B$2:$B538,$B538)=1,1,0))</f>
        <v/>
      </c>
      <c r="AA538">
        <f>IF($Z538=1,SUMPRODUCT(--($AC$2:$AC$3001&lt;$AC538))+1,"")</f>
        <v/>
      </c>
      <c r="AB538">
        <f>IF($B538="","",IF(OR($Y538=TRUE(),$Y538="TRUE"),1,IF(AND($Y538&lt;&gt;"",OR($Y538=FALSE(),$Y538="FALSE")),0,IF(MIN(ABS($X538/100-Settings!$C$6),ABS($X538/100-Settings!$G$6))&lt;=MIN(ABS($X538/100-Settings!$C$7),ABS($X538/100-Settings!$G$7)),1,0))))</f>
        <v/>
      </c>
      <c r="AC538">
        <f>IF($Z538=1,IFERROR(IF(VALUE($B538)&lt;100000000,VALUE($B538),1000000000),IFERROR(IF(VALUE(MID($B538,2,20))&lt;100000000,VALUE(MID($B538,2,20)),1000000000),1000000000))+ROW()/100000,"")</f>
        <v/>
      </c>
    </row>
    <row r="539">
      <c r="A539">
        <f>IF($B539="","",IFERROR(IF(INDEX('Per Invoice'!$A$2:$A$801,MATCH($B539,'Per Invoice'!$B$2:$B$801,0))=0,"",INDEX('Per Invoice'!$A$2:$A$801,MATCH($B539,'Per Invoice'!$B$2:$B$801,0))),""))</f>
        <v/>
      </c>
      <c r="J539" s="7">
        <f>IF($B539="","",I539*Q539/100)</f>
        <v/>
      </c>
      <c r="N539" s="7" t="n"/>
      <c r="O539" s="7" t="n"/>
      <c r="P539" s="7">
        <f>IF($B539="","",O539*X539/100)</f>
        <v/>
      </c>
      <c r="Q539" s="7">
        <f>IF($B539="","",O539-P539)</f>
        <v/>
      </c>
      <c r="R539" s="7">
        <f>IF($B539="","",Q539-J539)</f>
        <v/>
      </c>
      <c r="S539" s="7" t="n"/>
      <c r="T539" s="7" t="n"/>
      <c r="V539" s="14" t="n"/>
      <c r="Z539">
        <f>IF($B539="","",IF(COUNTIF($B$2:$B539,$B539)=1,1,0))</f>
        <v/>
      </c>
      <c r="AA539">
        <f>IF($Z539=1,SUMPRODUCT(--($AC$2:$AC$3001&lt;$AC539))+1,"")</f>
        <v/>
      </c>
      <c r="AB539">
        <f>IF($B539="","",IF(OR($Y539=TRUE(),$Y539="TRUE"),1,IF(AND($Y539&lt;&gt;"",OR($Y539=FALSE(),$Y539="FALSE")),0,IF(MIN(ABS($X539/100-Settings!$C$6),ABS($X539/100-Settings!$G$6))&lt;=MIN(ABS($X539/100-Settings!$C$7),ABS($X539/100-Settings!$G$7)),1,0))))</f>
        <v/>
      </c>
      <c r="AC539">
        <f>IF($Z539=1,IFERROR(IF(VALUE($B539)&lt;100000000,VALUE($B539),1000000000),IFERROR(IF(VALUE(MID($B539,2,20))&lt;100000000,VALUE(MID($B539,2,20)),1000000000),1000000000))+ROW()/100000,"")</f>
        <v/>
      </c>
    </row>
    <row r="540">
      <c r="A540">
        <f>IF($B540="","",IFERROR(IF(INDEX('Per Invoice'!$A$2:$A$801,MATCH($B540,'Per Invoice'!$B$2:$B$801,0))=0,"",INDEX('Per Invoice'!$A$2:$A$801,MATCH($B540,'Per Invoice'!$B$2:$B$801,0))),""))</f>
        <v/>
      </c>
      <c r="J540" s="7">
        <f>IF($B540="","",I540*Q540/100)</f>
        <v/>
      </c>
      <c r="N540" s="7" t="n"/>
      <c r="O540" s="7" t="n"/>
      <c r="P540" s="7">
        <f>IF($B540="","",O540*X540/100)</f>
        <v/>
      </c>
      <c r="Q540" s="7">
        <f>IF($B540="","",O540-P540)</f>
        <v/>
      </c>
      <c r="R540" s="7">
        <f>IF($B540="","",Q540-J540)</f>
        <v/>
      </c>
      <c r="S540" s="7" t="n"/>
      <c r="T540" s="7" t="n"/>
      <c r="V540" s="14" t="n"/>
      <c r="Z540">
        <f>IF($B540="","",IF(COUNTIF($B$2:$B540,$B540)=1,1,0))</f>
        <v/>
      </c>
      <c r="AA540">
        <f>IF($Z540=1,SUMPRODUCT(--($AC$2:$AC$3001&lt;$AC540))+1,"")</f>
        <v/>
      </c>
      <c r="AB540">
        <f>IF($B540="","",IF(OR($Y540=TRUE(),$Y540="TRUE"),1,IF(AND($Y540&lt;&gt;"",OR($Y540=FALSE(),$Y540="FALSE")),0,IF(MIN(ABS($X540/100-Settings!$C$6),ABS($X540/100-Settings!$G$6))&lt;=MIN(ABS($X540/100-Settings!$C$7),ABS($X540/100-Settings!$G$7)),1,0))))</f>
        <v/>
      </c>
      <c r="AC540">
        <f>IF($Z540=1,IFERROR(IF(VALUE($B540)&lt;100000000,VALUE($B540),1000000000),IFERROR(IF(VALUE(MID($B540,2,20))&lt;100000000,VALUE(MID($B540,2,20)),1000000000),1000000000))+ROW()/100000,"")</f>
        <v/>
      </c>
    </row>
    <row r="541">
      <c r="A541">
        <f>IF($B541="","",IFERROR(IF(INDEX('Per Invoice'!$A$2:$A$801,MATCH($B541,'Per Invoice'!$B$2:$B$801,0))=0,"",INDEX('Per Invoice'!$A$2:$A$801,MATCH($B541,'Per Invoice'!$B$2:$B$801,0))),""))</f>
        <v/>
      </c>
      <c r="J541" s="7">
        <f>IF($B541="","",I541*Q541/100)</f>
        <v/>
      </c>
      <c r="N541" s="7" t="n"/>
      <c r="O541" s="7" t="n"/>
      <c r="P541" s="7">
        <f>IF($B541="","",O541*X541/100)</f>
        <v/>
      </c>
      <c r="Q541" s="7">
        <f>IF($B541="","",O541-P541)</f>
        <v/>
      </c>
      <c r="R541" s="7">
        <f>IF($B541="","",Q541-J541)</f>
        <v/>
      </c>
      <c r="S541" s="7" t="n"/>
      <c r="T541" s="7" t="n"/>
      <c r="V541" s="14" t="n"/>
      <c r="Z541">
        <f>IF($B541="","",IF(COUNTIF($B$2:$B541,$B541)=1,1,0))</f>
        <v/>
      </c>
      <c r="AA541">
        <f>IF($Z541=1,SUMPRODUCT(--($AC$2:$AC$3001&lt;$AC541))+1,"")</f>
        <v/>
      </c>
      <c r="AB541">
        <f>IF($B541="","",IF(OR($Y541=TRUE(),$Y541="TRUE"),1,IF(AND($Y541&lt;&gt;"",OR($Y541=FALSE(),$Y541="FALSE")),0,IF(MIN(ABS($X541/100-Settings!$C$6),ABS($X541/100-Settings!$G$6))&lt;=MIN(ABS($X541/100-Settings!$C$7),ABS($X541/100-Settings!$G$7)),1,0))))</f>
        <v/>
      </c>
      <c r="AC541">
        <f>IF($Z541=1,IFERROR(IF(VALUE($B541)&lt;100000000,VALUE($B541),1000000000),IFERROR(IF(VALUE(MID($B541,2,20))&lt;100000000,VALUE(MID($B541,2,20)),1000000000),1000000000))+ROW()/100000,"")</f>
        <v/>
      </c>
    </row>
    <row r="542">
      <c r="A542">
        <f>IF($B542="","",IFERROR(IF(INDEX('Per Invoice'!$A$2:$A$801,MATCH($B542,'Per Invoice'!$B$2:$B$801,0))=0,"",INDEX('Per Invoice'!$A$2:$A$801,MATCH($B542,'Per Invoice'!$B$2:$B$801,0))),""))</f>
        <v/>
      </c>
      <c r="J542" s="7">
        <f>IF($B542="","",I542*Q542/100)</f>
        <v/>
      </c>
      <c r="N542" s="7" t="n"/>
      <c r="O542" s="7" t="n"/>
      <c r="P542" s="7">
        <f>IF($B542="","",O542*X542/100)</f>
        <v/>
      </c>
      <c r="Q542" s="7">
        <f>IF($B542="","",O542-P542)</f>
        <v/>
      </c>
      <c r="R542" s="7">
        <f>IF($B542="","",Q542-J542)</f>
        <v/>
      </c>
      <c r="S542" s="7" t="n"/>
      <c r="T542" s="7" t="n"/>
      <c r="V542" s="14" t="n"/>
      <c r="Z542">
        <f>IF($B542="","",IF(COUNTIF($B$2:$B542,$B542)=1,1,0))</f>
        <v/>
      </c>
      <c r="AA542">
        <f>IF($Z542=1,SUMPRODUCT(--($AC$2:$AC$3001&lt;$AC542))+1,"")</f>
        <v/>
      </c>
      <c r="AB542">
        <f>IF($B542="","",IF(OR($Y542=TRUE(),$Y542="TRUE"),1,IF(AND($Y542&lt;&gt;"",OR($Y542=FALSE(),$Y542="FALSE")),0,IF(MIN(ABS($X542/100-Settings!$C$6),ABS($X542/100-Settings!$G$6))&lt;=MIN(ABS($X542/100-Settings!$C$7),ABS($X542/100-Settings!$G$7)),1,0))))</f>
        <v/>
      </c>
      <c r="AC542">
        <f>IF($Z542=1,IFERROR(IF(VALUE($B542)&lt;100000000,VALUE($B542),1000000000),IFERROR(IF(VALUE(MID($B542,2,20))&lt;100000000,VALUE(MID($B542,2,20)),1000000000),1000000000))+ROW()/100000,"")</f>
        <v/>
      </c>
    </row>
    <row r="543">
      <c r="A543">
        <f>IF($B543="","",IFERROR(IF(INDEX('Per Invoice'!$A$2:$A$801,MATCH($B543,'Per Invoice'!$B$2:$B$801,0))=0,"",INDEX('Per Invoice'!$A$2:$A$801,MATCH($B543,'Per Invoice'!$B$2:$B$801,0))),""))</f>
        <v/>
      </c>
      <c r="J543" s="7">
        <f>IF($B543="","",I543*Q543/100)</f>
        <v/>
      </c>
      <c r="N543" s="7" t="n"/>
      <c r="O543" s="7" t="n"/>
      <c r="P543" s="7">
        <f>IF($B543="","",O543*X543/100)</f>
        <v/>
      </c>
      <c r="Q543" s="7">
        <f>IF($B543="","",O543-P543)</f>
        <v/>
      </c>
      <c r="R543" s="7">
        <f>IF($B543="","",Q543-J543)</f>
        <v/>
      </c>
      <c r="S543" s="7" t="n"/>
      <c r="T543" s="7" t="n"/>
      <c r="V543" s="14" t="n"/>
      <c r="Z543">
        <f>IF($B543="","",IF(COUNTIF($B$2:$B543,$B543)=1,1,0))</f>
        <v/>
      </c>
      <c r="AA543">
        <f>IF($Z543=1,SUMPRODUCT(--($AC$2:$AC$3001&lt;$AC543))+1,"")</f>
        <v/>
      </c>
      <c r="AB543">
        <f>IF($B543="","",IF(OR($Y543=TRUE(),$Y543="TRUE"),1,IF(AND($Y543&lt;&gt;"",OR($Y543=FALSE(),$Y543="FALSE")),0,IF(MIN(ABS($X543/100-Settings!$C$6),ABS($X543/100-Settings!$G$6))&lt;=MIN(ABS($X543/100-Settings!$C$7),ABS($X543/100-Settings!$G$7)),1,0))))</f>
        <v/>
      </c>
      <c r="AC543">
        <f>IF($Z543=1,IFERROR(IF(VALUE($B543)&lt;100000000,VALUE($B543),1000000000),IFERROR(IF(VALUE(MID($B543,2,20))&lt;100000000,VALUE(MID($B543,2,20)),1000000000),1000000000))+ROW()/100000,"")</f>
        <v/>
      </c>
    </row>
    <row r="544">
      <c r="A544">
        <f>IF($B544="","",IFERROR(IF(INDEX('Per Invoice'!$A$2:$A$801,MATCH($B544,'Per Invoice'!$B$2:$B$801,0))=0,"",INDEX('Per Invoice'!$A$2:$A$801,MATCH($B544,'Per Invoice'!$B$2:$B$801,0))),""))</f>
        <v/>
      </c>
      <c r="J544" s="7">
        <f>IF($B544="","",I544*Q544/100)</f>
        <v/>
      </c>
      <c r="N544" s="7" t="n"/>
      <c r="O544" s="7" t="n"/>
      <c r="P544" s="7">
        <f>IF($B544="","",O544*X544/100)</f>
        <v/>
      </c>
      <c r="Q544" s="7">
        <f>IF($B544="","",O544-P544)</f>
        <v/>
      </c>
      <c r="R544" s="7">
        <f>IF($B544="","",Q544-J544)</f>
        <v/>
      </c>
      <c r="S544" s="7" t="n"/>
      <c r="T544" s="7" t="n"/>
      <c r="V544" s="14" t="n"/>
      <c r="Z544">
        <f>IF($B544="","",IF(COUNTIF($B$2:$B544,$B544)=1,1,0))</f>
        <v/>
      </c>
      <c r="AA544">
        <f>IF($Z544=1,SUMPRODUCT(--($AC$2:$AC$3001&lt;$AC544))+1,"")</f>
        <v/>
      </c>
      <c r="AB544">
        <f>IF($B544="","",IF(OR($Y544=TRUE(),$Y544="TRUE"),1,IF(AND($Y544&lt;&gt;"",OR($Y544=FALSE(),$Y544="FALSE")),0,IF(MIN(ABS($X544/100-Settings!$C$6),ABS($X544/100-Settings!$G$6))&lt;=MIN(ABS($X544/100-Settings!$C$7),ABS($X544/100-Settings!$G$7)),1,0))))</f>
        <v/>
      </c>
      <c r="AC544">
        <f>IF($Z544=1,IFERROR(IF(VALUE($B544)&lt;100000000,VALUE($B544),1000000000),IFERROR(IF(VALUE(MID($B544,2,20))&lt;100000000,VALUE(MID($B544,2,20)),1000000000),1000000000))+ROW()/100000,"")</f>
        <v/>
      </c>
    </row>
    <row r="545">
      <c r="A545">
        <f>IF($B545="","",IFERROR(IF(INDEX('Per Invoice'!$A$2:$A$801,MATCH($B545,'Per Invoice'!$B$2:$B$801,0))=0,"",INDEX('Per Invoice'!$A$2:$A$801,MATCH($B545,'Per Invoice'!$B$2:$B$801,0))),""))</f>
        <v/>
      </c>
      <c r="J545" s="7">
        <f>IF($B545="","",I545*Q545/100)</f>
        <v/>
      </c>
      <c r="N545" s="7" t="n"/>
      <c r="O545" s="7" t="n"/>
      <c r="P545" s="7">
        <f>IF($B545="","",O545*X545/100)</f>
        <v/>
      </c>
      <c r="Q545" s="7">
        <f>IF($B545="","",O545-P545)</f>
        <v/>
      </c>
      <c r="R545" s="7">
        <f>IF($B545="","",Q545-J545)</f>
        <v/>
      </c>
      <c r="S545" s="7" t="n"/>
      <c r="T545" s="7" t="n"/>
      <c r="V545" s="14" t="n"/>
      <c r="Z545">
        <f>IF($B545="","",IF(COUNTIF($B$2:$B545,$B545)=1,1,0))</f>
        <v/>
      </c>
      <c r="AA545">
        <f>IF($Z545=1,SUMPRODUCT(--($AC$2:$AC$3001&lt;$AC545))+1,"")</f>
        <v/>
      </c>
      <c r="AB545">
        <f>IF($B545="","",IF(OR($Y545=TRUE(),$Y545="TRUE"),1,IF(AND($Y545&lt;&gt;"",OR($Y545=FALSE(),$Y545="FALSE")),0,IF(MIN(ABS($X545/100-Settings!$C$6),ABS($X545/100-Settings!$G$6))&lt;=MIN(ABS($X545/100-Settings!$C$7),ABS($X545/100-Settings!$G$7)),1,0))))</f>
        <v/>
      </c>
      <c r="AC545">
        <f>IF($Z545=1,IFERROR(IF(VALUE($B545)&lt;100000000,VALUE($B545),1000000000),IFERROR(IF(VALUE(MID($B545,2,20))&lt;100000000,VALUE(MID($B545,2,20)),1000000000),1000000000))+ROW()/100000,"")</f>
        <v/>
      </c>
    </row>
    <row r="546">
      <c r="A546">
        <f>IF($B546="","",IFERROR(IF(INDEX('Per Invoice'!$A$2:$A$801,MATCH($B546,'Per Invoice'!$B$2:$B$801,0))=0,"",INDEX('Per Invoice'!$A$2:$A$801,MATCH($B546,'Per Invoice'!$B$2:$B$801,0))),""))</f>
        <v/>
      </c>
      <c r="J546" s="7">
        <f>IF($B546="","",I546*Q546/100)</f>
        <v/>
      </c>
      <c r="N546" s="7" t="n"/>
      <c r="O546" s="7" t="n"/>
      <c r="P546" s="7">
        <f>IF($B546="","",O546*X546/100)</f>
        <v/>
      </c>
      <c r="Q546" s="7">
        <f>IF($B546="","",O546-P546)</f>
        <v/>
      </c>
      <c r="R546" s="7">
        <f>IF($B546="","",Q546-J546)</f>
        <v/>
      </c>
      <c r="S546" s="7" t="n"/>
      <c r="T546" s="7" t="n"/>
      <c r="V546" s="14" t="n"/>
      <c r="Z546">
        <f>IF($B546="","",IF(COUNTIF($B$2:$B546,$B546)=1,1,0))</f>
        <v/>
      </c>
      <c r="AA546">
        <f>IF($Z546=1,SUMPRODUCT(--($AC$2:$AC$3001&lt;$AC546))+1,"")</f>
        <v/>
      </c>
      <c r="AB546">
        <f>IF($B546="","",IF(OR($Y546=TRUE(),$Y546="TRUE"),1,IF(AND($Y546&lt;&gt;"",OR($Y546=FALSE(),$Y546="FALSE")),0,IF(MIN(ABS($X546/100-Settings!$C$6),ABS($X546/100-Settings!$G$6))&lt;=MIN(ABS($X546/100-Settings!$C$7),ABS($X546/100-Settings!$G$7)),1,0))))</f>
        <v/>
      </c>
      <c r="AC546">
        <f>IF($Z546=1,IFERROR(IF(VALUE($B546)&lt;100000000,VALUE($B546),1000000000),IFERROR(IF(VALUE(MID($B546,2,20))&lt;100000000,VALUE(MID($B546,2,20)),1000000000),1000000000))+ROW()/100000,"")</f>
        <v/>
      </c>
    </row>
    <row r="547">
      <c r="A547">
        <f>IF($B547="","",IFERROR(IF(INDEX('Per Invoice'!$A$2:$A$801,MATCH($B547,'Per Invoice'!$B$2:$B$801,0))=0,"",INDEX('Per Invoice'!$A$2:$A$801,MATCH($B547,'Per Invoice'!$B$2:$B$801,0))),""))</f>
        <v/>
      </c>
      <c r="J547" s="7">
        <f>IF($B547="","",I547*Q547/100)</f>
        <v/>
      </c>
      <c r="N547" s="7" t="n"/>
      <c r="O547" s="7" t="n"/>
      <c r="P547" s="7">
        <f>IF($B547="","",O547*X547/100)</f>
        <v/>
      </c>
      <c r="Q547" s="7">
        <f>IF($B547="","",O547-P547)</f>
        <v/>
      </c>
      <c r="R547" s="7">
        <f>IF($B547="","",Q547-J547)</f>
        <v/>
      </c>
      <c r="S547" s="7" t="n"/>
      <c r="T547" s="7" t="n"/>
      <c r="V547" s="14" t="n"/>
      <c r="Z547">
        <f>IF($B547="","",IF(COUNTIF($B$2:$B547,$B547)=1,1,0))</f>
        <v/>
      </c>
      <c r="AA547">
        <f>IF($Z547=1,SUMPRODUCT(--($AC$2:$AC$3001&lt;$AC547))+1,"")</f>
        <v/>
      </c>
      <c r="AB547">
        <f>IF($B547="","",IF(OR($Y547=TRUE(),$Y547="TRUE"),1,IF(AND($Y547&lt;&gt;"",OR($Y547=FALSE(),$Y547="FALSE")),0,IF(MIN(ABS($X547/100-Settings!$C$6),ABS($X547/100-Settings!$G$6))&lt;=MIN(ABS($X547/100-Settings!$C$7),ABS($X547/100-Settings!$G$7)),1,0))))</f>
        <v/>
      </c>
      <c r="AC547">
        <f>IF($Z547=1,IFERROR(IF(VALUE($B547)&lt;100000000,VALUE($B547),1000000000),IFERROR(IF(VALUE(MID($B547,2,20))&lt;100000000,VALUE(MID($B547,2,20)),1000000000),1000000000))+ROW()/100000,"")</f>
        <v/>
      </c>
    </row>
    <row r="548">
      <c r="A548">
        <f>IF($B548="","",IFERROR(IF(INDEX('Per Invoice'!$A$2:$A$801,MATCH($B548,'Per Invoice'!$B$2:$B$801,0))=0,"",INDEX('Per Invoice'!$A$2:$A$801,MATCH($B548,'Per Invoice'!$B$2:$B$801,0))),""))</f>
        <v/>
      </c>
      <c r="J548" s="7">
        <f>IF($B548="","",I548*Q548/100)</f>
        <v/>
      </c>
      <c r="N548" s="7" t="n"/>
      <c r="O548" s="7" t="n"/>
      <c r="P548" s="7">
        <f>IF($B548="","",O548*X548/100)</f>
        <v/>
      </c>
      <c r="Q548" s="7">
        <f>IF($B548="","",O548-P548)</f>
        <v/>
      </c>
      <c r="R548" s="7">
        <f>IF($B548="","",Q548-J548)</f>
        <v/>
      </c>
      <c r="S548" s="7" t="n"/>
      <c r="T548" s="7" t="n"/>
      <c r="V548" s="14" t="n"/>
      <c r="Z548">
        <f>IF($B548="","",IF(COUNTIF($B$2:$B548,$B548)=1,1,0))</f>
        <v/>
      </c>
      <c r="AA548">
        <f>IF($Z548=1,SUMPRODUCT(--($AC$2:$AC$3001&lt;$AC548))+1,"")</f>
        <v/>
      </c>
      <c r="AB548">
        <f>IF($B548="","",IF(OR($Y548=TRUE(),$Y548="TRUE"),1,IF(AND($Y548&lt;&gt;"",OR($Y548=FALSE(),$Y548="FALSE")),0,IF(MIN(ABS($X548/100-Settings!$C$6),ABS($X548/100-Settings!$G$6))&lt;=MIN(ABS($X548/100-Settings!$C$7),ABS($X548/100-Settings!$G$7)),1,0))))</f>
        <v/>
      </c>
      <c r="AC548">
        <f>IF($Z548=1,IFERROR(IF(VALUE($B548)&lt;100000000,VALUE($B548),1000000000),IFERROR(IF(VALUE(MID($B548,2,20))&lt;100000000,VALUE(MID($B548,2,20)),1000000000),1000000000))+ROW()/100000,"")</f>
        <v/>
      </c>
    </row>
    <row r="549">
      <c r="A549">
        <f>IF($B549="","",IFERROR(IF(INDEX('Per Invoice'!$A$2:$A$801,MATCH($B549,'Per Invoice'!$B$2:$B$801,0))=0,"",INDEX('Per Invoice'!$A$2:$A$801,MATCH($B549,'Per Invoice'!$B$2:$B$801,0))),""))</f>
        <v/>
      </c>
      <c r="J549" s="7">
        <f>IF($B549="","",I549*Q549/100)</f>
        <v/>
      </c>
      <c r="N549" s="7" t="n"/>
      <c r="O549" s="7" t="n"/>
      <c r="P549" s="7">
        <f>IF($B549="","",O549*X549/100)</f>
        <v/>
      </c>
      <c r="Q549" s="7">
        <f>IF($B549="","",O549-P549)</f>
        <v/>
      </c>
      <c r="R549" s="7">
        <f>IF($B549="","",Q549-J549)</f>
        <v/>
      </c>
      <c r="S549" s="7" t="n"/>
      <c r="T549" s="7" t="n"/>
      <c r="V549" s="14" t="n"/>
      <c r="Z549">
        <f>IF($B549="","",IF(COUNTIF($B$2:$B549,$B549)=1,1,0))</f>
        <v/>
      </c>
      <c r="AA549">
        <f>IF($Z549=1,SUMPRODUCT(--($AC$2:$AC$3001&lt;$AC549))+1,"")</f>
        <v/>
      </c>
      <c r="AB549">
        <f>IF($B549="","",IF(OR($Y549=TRUE(),$Y549="TRUE"),1,IF(AND($Y549&lt;&gt;"",OR($Y549=FALSE(),$Y549="FALSE")),0,IF(MIN(ABS($X549/100-Settings!$C$6),ABS($X549/100-Settings!$G$6))&lt;=MIN(ABS($X549/100-Settings!$C$7),ABS($X549/100-Settings!$G$7)),1,0))))</f>
        <v/>
      </c>
      <c r="AC549">
        <f>IF($Z549=1,IFERROR(IF(VALUE($B549)&lt;100000000,VALUE($B549),1000000000),IFERROR(IF(VALUE(MID($B549,2,20))&lt;100000000,VALUE(MID($B549,2,20)),1000000000),1000000000))+ROW()/100000,"")</f>
        <v/>
      </c>
    </row>
    <row r="550">
      <c r="A550">
        <f>IF($B550="","",IFERROR(IF(INDEX('Per Invoice'!$A$2:$A$801,MATCH($B550,'Per Invoice'!$B$2:$B$801,0))=0,"",INDEX('Per Invoice'!$A$2:$A$801,MATCH($B550,'Per Invoice'!$B$2:$B$801,0))),""))</f>
        <v/>
      </c>
      <c r="J550" s="7">
        <f>IF($B550="","",I550*Q550/100)</f>
        <v/>
      </c>
      <c r="N550" s="7" t="n"/>
      <c r="O550" s="7" t="n"/>
      <c r="P550" s="7">
        <f>IF($B550="","",O550*X550/100)</f>
        <v/>
      </c>
      <c r="Q550" s="7">
        <f>IF($B550="","",O550-P550)</f>
        <v/>
      </c>
      <c r="R550" s="7">
        <f>IF($B550="","",Q550-J550)</f>
        <v/>
      </c>
      <c r="S550" s="7" t="n"/>
      <c r="T550" s="7" t="n"/>
      <c r="V550" s="14" t="n"/>
      <c r="Z550">
        <f>IF($B550="","",IF(COUNTIF($B$2:$B550,$B550)=1,1,0))</f>
        <v/>
      </c>
      <c r="AA550">
        <f>IF($Z550=1,SUMPRODUCT(--($AC$2:$AC$3001&lt;$AC550))+1,"")</f>
        <v/>
      </c>
      <c r="AB550">
        <f>IF($B550="","",IF(OR($Y550=TRUE(),$Y550="TRUE"),1,IF(AND($Y550&lt;&gt;"",OR($Y550=FALSE(),$Y550="FALSE")),0,IF(MIN(ABS($X550/100-Settings!$C$6),ABS($X550/100-Settings!$G$6))&lt;=MIN(ABS($X550/100-Settings!$C$7),ABS($X550/100-Settings!$G$7)),1,0))))</f>
        <v/>
      </c>
      <c r="AC550">
        <f>IF($Z550=1,IFERROR(IF(VALUE($B550)&lt;100000000,VALUE($B550),1000000000),IFERROR(IF(VALUE(MID($B550,2,20))&lt;100000000,VALUE(MID($B550,2,20)),1000000000),1000000000))+ROW()/100000,"")</f>
        <v/>
      </c>
    </row>
    <row r="551">
      <c r="A551">
        <f>IF($B551="","",IFERROR(IF(INDEX('Per Invoice'!$A$2:$A$801,MATCH($B551,'Per Invoice'!$B$2:$B$801,0))=0,"",INDEX('Per Invoice'!$A$2:$A$801,MATCH($B551,'Per Invoice'!$B$2:$B$801,0))),""))</f>
        <v/>
      </c>
      <c r="J551" s="7">
        <f>IF($B551="","",I551*Q551/100)</f>
        <v/>
      </c>
      <c r="N551" s="7" t="n"/>
      <c r="O551" s="7" t="n"/>
      <c r="P551" s="7">
        <f>IF($B551="","",O551*X551/100)</f>
        <v/>
      </c>
      <c r="Q551" s="7">
        <f>IF($B551="","",O551-P551)</f>
        <v/>
      </c>
      <c r="R551" s="7">
        <f>IF($B551="","",Q551-J551)</f>
        <v/>
      </c>
      <c r="S551" s="7" t="n"/>
      <c r="T551" s="7" t="n"/>
      <c r="V551" s="14" t="n"/>
      <c r="Z551">
        <f>IF($B551="","",IF(COUNTIF($B$2:$B551,$B551)=1,1,0))</f>
        <v/>
      </c>
      <c r="AA551">
        <f>IF($Z551=1,SUMPRODUCT(--($AC$2:$AC$3001&lt;$AC551))+1,"")</f>
        <v/>
      </c>
      <c r="AB551">
        <f>IF($B551="","",IF(OR($Y551=TRUE(),$Y551="TRUE"),1,IF(AND($Y551&lt;&gt;"",OR($Y551=FALSE(),$Y551="FALSE")),0,IF(MIN(ABS($X551/100-Settings!$C$6),ABS($X551/100-Settings!$G$6))&lt;=MIN(ABS($X551/100-Settings!$C$7),ABS($X551/100-Settings!$G$7)),1,0))))</f>
        <v/>
      </c>
      <c r="AC551">
        <f>IF($Z551=1,IFERROR(IF(VALUE($B551)&lt;100000000,VALUE($B551),1000000000),IFERROR(IF(VALUE(MID($B551,2,20))&lt;100000000,VALUE(MID($B551,2,20)),1000000000),1000000000))+ROW()/100000,"")</f>
        <v/>
      </c>
    </row>
    <row r="552">
      <c r="A552">
        <f>IF($B552="","",IFERROR(IF(INDEX('Per Invoice'!$A$2:$A$801,MATCH($B552,'Per Invoice'!$B$2:$B$801,0))=0,"",INDEX('Per Invoice'!$A$2:$A$801,MATCH($B552,'Per Invoice'!$B$2:$B$801,0))),""))</f>
        <v/>
      </c>
      <c r="J552" s="7">
        <f>IF($B552="","",I552*Q552/100)</f>
        <v/>
      </c>
      <c r="N552" s="7" t="n"/>
      <c r="O552" s="7" t="n"/>
      <c r="P552" s="7">
        <f>IF($B552="","",O552*X552/100)</f>
        <v/>
      </c>
      <c r="Q552" s="7">
        <f>IF($B552="","",O552-P552)</f>
        <v/>
      </c>
      <c r="R552" s="7">
        <f>IF($B552="","",Q552-J552)</f>
        <v/>
      </c>
      <c r="S552" s="7" t="n"/>
      <c r="T552" s="7" t="n"/>
      <c r="V552" s="14" t="n"/>
      <c r="Z552">
        <f>IF($B552="","",IF(COUNTIF($B$2:$B552,$B552)=1,1,0))</f>
        <v/>
      </c>
      <c r="AA552">
        <f>IF($Z552=1,SUMPRODUCT(--($AC$2:$AC$3001&lt;$AC552))+1,"")</f>
        <v/>
      </c>
      <c r="AB552">
        <f>IF($B552="","",IF(OR($Y552=TRUE(),$Y552="TRUE"),1,IF(AND($Y552&lt;&gt;"",OR($Y552=FALSE(),$Y552="FALSE")),0,IF(MIN(ABS($X552/100-Settings!$C$6),ABS($X552/100-Settings!$G$6))&lt;=MIN(ABS($X552/100-Settings!$C$7),ABS($X552/100-Settings!$G$7)),1,0))))</f>
        <v/>
      </c>
      <c r="AC552">
        <f>IF($Z552=1,IFERROR(IF(VALUE($B552)&lt;100000000,VALUE($B552),1000000000),IFERROR(IF(VALUE(MID($B552,2,20))&lt;100000000,VALUE(MID($B552,2,20)),1000000000),1000000000))+ROW()/100000,"")</f>
        <v/>
      </c>
    </row>
    <row r="553">
      <c r="A553">
        <f>IF($B553="","",IFERROR(IF(INDEX('Per Invoice'!$A$2:$A$801,MATCH($B553,'Per Invoice'!$B$2:$B$801,0))=0,"",INDEX('Per Invoice'!$A$2:$A$801,MATCH($B553,'Per Invoice'!$B$2:$B$801,0))),""))</f>
        <v/>
      </c>
      <c r="J553" s="7">
        <f>IF($B553="","",I553*Q553/100)</f>
        <v/>
      </c>
      <c r="N553" s="7" t="n"/>
      <c r="O553" s="7" t="n"/>
      <c r="P553" s="7">
        <f>IF($B553="","",O553*X553/100)</f>
        <v/>
      </c>
      <c r="Q553" s="7">
        <f>IF($B553="","",O553-P553)</f>
        <v/>
      </c>
      <c r="R553" s="7">
        <f>IF($B553="","",Q553-J553)</f>
        <v/>
      </c>
      <c r="S553" s="7" t="n"/>
      <c r="T553" s="7" t="n"/>
      <c r="V553" s="14" t="n"/>
      <c r="Z553">
        <f>IF($B553="","",IF(COUNTIF($B$2:$B553,$B553)=1,1,0))</f>
        <v/>
      </c>
      <c r="AA553">
        <f>IF($Z553=1,SUMPRODUCT(--($AC$2:$AC$3001&lt;$AC553))+1,"")</f>
        <v/>
      </c>
      <c r="AB553">
        <f>IF($B553="","",IF(OR($Y553=TRUE(),$Y553="TRUE"),1,IF(AND($Y553&lt;&gt;"",OR($Y553=FALSE(),$Y553="FALSE")),0,IF(MIN(ABS($X553/100-Settings!$C$6),ABS($X553/100-Settings!$G$6))&lt;=MIN(ABS($X553/100-Settings!$C$7),ABS($X553/100-Settings!$G$7)),1,0))))</f>
        <v/>
      </c>
      <c r="AC553">
        <f>IF($Z553=1,IFERROR(IF(VALUE($B553)&lt;100000000,VALUE($B553),1000000000),IFERROR(IF(VALUE(MID($B553,2,20))&lt;100000000,VALUE(MID($B553,2,20)),1000000000),1000000000))+ROW()/100000,"")</f>
        <v/>
      </c>
    </row>
    <row r="554">
      <c r="A554">
        <f>IF($B554="","",IFERROR(IF(INDEX('Per Invoice'!$A$2:$A$801,MATCH($B554,'Per Invoice'!$B$2:$B$801,0))=0,"",INDEX('Per Invoice'!$A$2:$A$801,MATCH($B554,'Per Invoice'!$B$2:$B$801,0))),""))</f>
        <v/>
      </c>
      <c r="J554" s="7">
        <f>IF($B554="","",I554*Q554/100)</f>
        <v/>
      </c>
      <c r="N554" s="7" t="n"/>
      <c r="O554" s="7" t="n"/>
      <c r="P554" s="7">
        <f>IF($B554="","",O554*X554/100)</f>
        <v/>
      </c>
      <c r="Q554" s="7">
        <f>IF($B554="","",O554-P554)</f>
        <v/>
      </c>
      <c r="R554" s="7">
        <f>IF($B554="","",Q554-J554)</f>
        <v/>
      </c>
      <c r="S554" s="7" t="n"/>
      <c r="T554" s="7" t="n"/>
      <c r="V554" s="14" t="n"/>
      <c r="Z554">
        <f>IF($B554="","",IF(COUNTIF($B$2:$B554,$B554)=1,1,0))</f>
        <v/>
      </c>
      <c r="AA554">
        <f>IF($Z554=1,SUMPRODUCT(--($AC$2:$AC$3001&lt;$AC554))+1,"")</f>
        <v/>
      </c>
      <c r="AB554">
        <f>IF($B554="","",IF(OR($Y554=TRUE(),$Y554="TRUE"),1,IF(AND($Y554&lt;&gt;"",OR($Y554=FALSE(),$Y554="FALSE")),0,IF(MIN(ABS($X554/100-Settings!$C$6),ABS($X554/100-Settings!$G$6))&lt;=MIN(ABS($X554/100-Settings!$C$7),ABS($X554/100-Settings!$G$7)),1,0))))</f>
        <v/>
      </c>
      <c r="AC554">
        <f>IF($Z554=1,IFERROR(IF(VALUE($B554)&lt;100000000,VALUE($B554),1000000000),IFERROR(IF(VALUE(MID($B554,2,20))&lt;100000000,VALUE(MID($B554,2,20)),1000000000),1000000000))+ROW()/100000,"")</f>
        <v/>
      </c>
    </row>
    <row r="555">
      <c r="A555">
        <f>IF($B555="","",IFERROR(IF(INDEX('Per Invoice'!$A$2:$A$801,MATCH($B555,'Per Invoice'!$B$2:$B$801,0))=0,"",INDEX('Per Invoice'!$A$2:$A$801,MATCH($B555,'Per Invoice'!$B$2:$B$801,0))),""))</f>
        <v/>
      </c>
      <c r="J555" s="7">
        <f>IF($B555="","",I555*Q555/100)</f>
        <v/>
      </c>
      <c r="N555" s="7" t="n"/>
      <c r="O555" s="7" t="n"/>
      <c r="P555" s="7">
        <f>IF($B555="","",O555*X555/100)</f>
        <v/>
      </c>
      <c r="Q555" s="7">
        <f>IF($B555="","",O555-P555)</f>
        <v/>
      </c>
      <c r="R555" s="7">
        <f>IF($B555="","",Q555-J555)</f>
        <v/>
      </c>
      <c r="S555" s="7" t="n"/>
      <c r="T555" s="7" t="n"/>
      <c r="V555" s="14" t="n"/>
      <c r="Z555">
        <f>IF($B555="","",IF(COUNTIF($B$2:$B555,$B555)=1,1,0))</f>
        <v/>
      </c>
      <c r="AA555">
        <f>IF($Z555=1,SUMPRODUCT(--($AC$2:$AC$3001&lt;$AC555))+1,"")</f>
        <v/>
      </c>
      <c r="AB555">
        <f>IF($B555="","",IF(OR($Y555=TRUE(),$Y555="TRUE"),1,IF(AND($Y555&lt;&gt;"",OR($Y555=FALSE(),$Y555="FALSE")),0,IF(MIN(ABS($X555/100-Settings!$C$6),ABS($X555/100-Settings!$G$6))&lt;=MIN(ABS($X555/100-Settings!$C$7),ABS($X555/100-Settings!$G$7)),1,0))))</f>
        <v/>
      </c>
      <c r="AC555">
        <f>IF($Z555=1,IFERROR(IF(VALUE($B555)&lt;100000000,VALUE($B555),1000000000),IFERROR(IF(VALUE(MID($B555,2,20))&lt;100000000,VALUE(MID($B555,2,20)),1000000000),1000000000))+ROW()/100000,"")</f>
        <v/>
      </c>
    </row>
    <row r="556">
      <c r="A556">
        <f>IF($B556="","",IFERROR(IF(INDEX('Per Invoice'!$A$2:$A$801,MATCH($B556,'Per Invoice'!$B$2:$B$801,0))=0,"",INDEX('Per Invoice'!$A$2:$A$801,MATCH($B556,'Per Invoice'!$B$2:$B$801,0))),""))</f>
        <v/>
      </c>
      <c r="J556" s="7">
        <f>IF($B556="","",I556*Q556/100)</f>
        <v/>
      </c>
      <c r="N556" s="7" t="n"/>
      <c r="O556" s="7" t="n"/>
      <c r="P556" s="7">
        <f>IF($B556="","",O556*X556/100)</f>
        <v/>
      </c>
      <c r="Q556" s="7">
        <f>IF($B556="","",O556-P556)</f>
        <v/>
      </c>
      <c r="R556" s="7">
        <f>IF($B556="","",Q556-J556)</f>
        <v/>
      </c>
      <c r="S556" s="7" t="n"/>
      <c r="T556" s="7" t="n"/>
      <c r="V556" s="14" t="n"/>
      <c r="Z556">
        <f>IF($B556="","",IF(COUNTIF($B$2:$B556,$B556)=1,1,0))</f>
        <v/>
      </c>
      <c r="AA556">
        <f>IF($Z556=1,SUMPRODUCT(--($AC$2:$AC$3001&lt;$AC556))+1,"")</f>
        <v/>
      </c>
      <c r="AB556">
        <f>IF($B556="","",IF(OR($Y556=TRUE(),$Y556="TRUE"),1,IF(AND($Y556&lt;&gt;"",OR($Y556=FALSE(),$Y556="FALSE")),0,IF(MIN(ABS($X556/100-Settings!$C$6),ABS($X556/100-Settings!$G$6))&lt;=MIN(ABS($X556/100-Settings!$C$7),ABS($X556/100-Settings!$G$7)),1,0))))</f>
        <v/>
      </c>
      <c r="AC556">
        <f>IF($Z556=1,IFERROR(IF(VALUE($B556)&lt;100000000,VALUE($B556),1000000000),IFERROR(IF(VALUE(MID($B556,2,20))&lt;100000000,VALUE(MID($B556,2,20)),1000000000),1000000000))+ROW()/100000,"")</f>
        <v/>
      </c>
    </row>
    <row r="557">
      <c r="A557">
        <f>IF($B557="","",IFERROR(IF(INDEX('Per Invoice'!$A$2:$A$801,MATCH($B557,'Per Invoice'!$B$2:$B$801,0))=0,"",INDEX('Per Invoice'!$A$2:$A$801,MATCH($B557,'Per Invoice'!$B$2:$B$801,0))),""))</f>
        <v/>
      </c>
      <c r="J557" s="7">
        <f>IF($B557="","",I557*Q557/100)</f>
        <v/>
      </c>
      <c r="N557" s="7" t="n"/>
      <c r="O557" s="7" t="n"/>
      <c r="P557" s="7">
        <f>IF($B557="","",O557*X557/100)</f>
        <v/>
      </c>
      <c r="Q557" s="7">
        <f>IF($B557="","",O557-P557)</f>
        <v/>
      </c>
      <c r="R557" s="7">
        <f>IF($B557="","",Q557-J557)</f>
        <v/>
      </c>
      <c r="S557" s="7" t="n"/>
      <c r="T557" s="7" t="n"/>
      <c r="V557" s="14" t="n"/>
      <c r="Z557">
        <f>IF($B557="","",IF(COUNTIF($B$2:$B557,$B557)=1,1,0))</f>
        <v/>
      </c>
      <c r="AA557">
        <f>IF($Z557=1,SUMPRODUCT(--($AC$2:$AC$3001&lt;$AC557))+1,"")</f>
        <v/>
      </c>
      <c r="AB557">
        <f>IF($B557="","",IF(OR($Y557=TRUE(),$Y557="TRUE"),1,IF(AND($Y557&lt;&gt;"",OR($Y557=FALSE(),$Y557="FALSE")),0,IF(MIN(ABS($X557/100-Settings!$C$6),ABS($X557/100-Settings!$G$6))&lt;=MIN(ABS($X557/100-Settings!$C$7),ABS($X557/100-Settings!$G$7)),1,0))))</f>
        <v/>
      </c>
      <c r="AC557">
        <f>IF($Z557=1,IFERROR(IF(VALUE($B557)&lt;100000000,VALUE($B557),1000000000),IFERROR(IF(VALUE(MID($B557,2,20))&lt;100000000,VALUE(MID($B557,2,20)),1000000000),1000000000))+ROW()/100000,"")</f>
        <v/>
      </c>
    </row>
    <row r="558">
      <c r="A558">
        <f>IF($B558="","",IFERROR(IF(INDEX('Per Invoice'!$A$2:$A$801,MATCH($B558,'Per Invoice'!$B$2:$B$801,0))=0,"",INDEX('Per Invoice'!$A$2:$A$801,MATCH($B558,'Per Invoice'!$B$2:$B$801,0))),""))</f>
        <v/>
      </c>
      <c r="J558" s="7">
        <f>IF($B558="","",I558*Q558/100)</f>
        <v/>
      </c>
      <c r="N558" s="7" t="n"/>
      <c r="O558" s="7" t="n"/>
      <c r="P558" s="7">
        <f>IF($B558="","",O558*X558/100)</f>
        <v/>
      </c>
      <c r="Q558" s="7">
        <f>IF($B558="","",O558-P558)</f>
        <v/>
      </c>
      <c r="R558" s="7">
        <f>IF($B558="","",Q558-J558)</f>
        <v/>
      </c>
      <c r="S558" s="7" t="n"/>
      <c r="T558" s="7" t="n"/>
      <c r="V558" s="14" t="n"/>
      <c r="Z558">
        <f>IF($B558="","",IF(COUNTIF($B$2:$B558,$B558)=1,1,0))</f>
        <v/>
      </c>
      <c r="AA558">
        <f>IF($Z558=1,SUMPRODUCT(--($AC$2:$AC$3001&lt;$AC558))+1,"")</f>
        <v/>
      </c>
      <c r="AB558">
        <f>IF($B558="","",IF(OR($Y558=TRUE(),$Y558="TRUE"),1,IF(AND($Y558&lt;&gt;"",OR($Y558=FALSE(),$Y558="FALSE")),0,IF(MIN(ABS($X558/100-Settings!$C$6),ABS($X558/100-Settings!$G$6))&lt;=MIN(ABS($X558/100-Settings!$C$7),ABS($X558/100-Settings!$G$7)),1,0))))</f>
        <v/>
      </c>
      <c r="AC558">
        <f>IF($Z558=1,IFERROR(IF(VALUE($B558)&lt;100000000,VALUE($B558),1000000000),IFERROR(IF(VALUE(MID($B558,2,20))&lt;100000000,VALUE(MID($B558,2,20)),1000000000),1000000000))+ROW()/100000,"")</f>
        <v/>
      </c>
    </row>
    <row r="559">
      <c r="A559">
        <f>IF($B559="","",IFERROR(IF(INDEX('Per Invoice'!$A$2:$A$801,MATCH($B559,'Per Invoice'!$B$2:$B$801,0))=0,"",INDEX('Per Invoice'!$A$2:$A$801,MATCH($B559,'Per Invoice'!$B$2:$B$801,0))),""))</f>
        <v/>
      </c>
      <c r="J559" s="7">
        <f>IF($B559="","",I559*Q559/100)</f>
        <v/>
      </c>
      <c r="N559" s="7" t="n"/>
      <c r="O559" s="7" t="n"/>
      <c r="P559" s="7">
        <f>IF($B559="","",O559*X559/100)</f>
        <v/>
      </c>
      <c r="Q559" s="7">
        <f>IF($B559="","",O559-P559)</f>
        <v/>
      </c>
      <c r="R559" s="7">
        <f>IF($B559="","",Q559-J559)</f>
        <v/>
      </c>
      <c r="S559" s="7" t="n"/>
      <c r="T559" s="7" t="n"/>
      <c r="V559" s="14" t="n"/>
      <c r="Z559">
        <f>IF($B559="","",IF(COUNTIF($B$2:$B559,$B559)=1,1,0))</f>
        <v/>
      </c>
      <c r="AA559">
        <f>IF($Z559=1,SUMPRODUCT(--($AC$2:$AC$3001&lt;$AC559))+1,"")</f>
        <v/>
      </c>
      <c r="AB559">
        <f>IF($B559="","",IF(OR($Y559=TRUE(),$Y559="TRUE"),1,IF(AND($Y559&lt;&gt;"",OR($Y559=FALSE(),$Y559="FALSE")),0,IF(MIN(ABS($X559/100-Settings!$C$6),ABS($X559/100-Settings!$G$6))&lt;=MIN(ABS($X559/100-Settings!$C$7),ABS($X559/100-Settings!$G$7)),1,0))))</f>
        <v/>
      </c>
      <c r="AC559">
        <f>IF($Z559=1,IFERROR(IF(VALUE($B559)&lt;100000000,VALUE($B559),1000000000),IFERROR(IF(VALUE(MID($B559,2,20))&lt;100000000,VALUE(MID($B559,2,20)),1000000000),1000000000))+ROW()/100000,"")</f>
        <v/>
      </c>
    </row>
    <row r="560">
      <c r="A560">
        <f>IF($B560="","",IFERROR(IF(INDEX('Per Invoice'!$A$2:$A$801,MATCH($B560,'Per Invoice'!$B$2:$B$801,0))=0,"",INDEX('Per Invoice'!$A$2:$A$801,MATCH($B560,'Per Invoice'!$B$2:$B$801,0))),""))</f>
        <v/>
      </c>
      <c r="J560" s="7">
        <f>IF($B560="","",I560*Q560/100)</f>
        <v/>
      </c>
      <c r="N560" s="7" t="n"/>
      <c r="O560" s="7" t="n"/>
      <c r="P560" s="7">
        <f>IF($B560="","",O560*X560/100)</f>
        <v/>
      </c>
      <c r="Q560" s="7">
        <f>IF($B560="","",O560-P560)</f>
        <v/>
      </c>
      <c r="R560" s="7">
        <f>IF($B560="","",Q560-J560)</f>
        <v/>
      </c>
      <c r="S560" s="7" t="n"/>
      <c r="T560" s="7" t="n"/>
      <c r="V560" s="14" t="n"/>
      <c r="Z560">
        <f>IF($B560="","",IF(COUNTIF($B$2:$B560,$B560)=1,1,0))</f>
        <v/>
      </c>
      <c r="AA560">
        <f>IF($Z560=1,SUMPRODUCT(--($AC$2:$AC$3001&lt;$AC560))+1,"")</f>
        <v/>
      </c>
      <c r="AB560">
        <f>IF($B560="","",IF(OR($Y560=TRUE(),$Y560="TRUE"),1,IF(AND($Y560&lt;&gt;"",OR($Y560=FALSE(),$Y560="FALSE")),0,IF(MIN(ABS($X560/100-Settings!$C$6),ABS($X560/100-Settings!$G$6))&lt;=MIN(ABS($X560/100-Settings!$C$7),ABS($X560/100-Settings!$G$7)),1,0))))</f>
        <v/>
      </c>
      <c r="AC560">
        <f>IF($Z560=1,IFERROR(IF(VALUE($B560)&lt;100000000,VALUE($B560),1000000000),IFERROR(IF(VALUE(MID($B560,2,20))&lt;100000000,VALUE(MID($B560,2,20)),1000000000),1000000000))+ROW()/100000,"")</f>
        <v/>
      </c>
    </row>
    <row r="561">
      <c r="A561">
        <f>IF($B561="","",IFERROR(IF(INDEX('Per Invoice'!$A$2:$A$801,MATCH($B561,'Per Invoice'!$B$2:$B$801,0))=0,"",INDEX('Per Invoice'!$A$2:$A$801,MATCH($B561,'Per Invoice'!$B$2:$B$801,0))),""))</f>
        <v/>
      </c>
      <c r="J561" s="7">
        <f>IF($B561="","",I561*Q561/100)</f>
        <v/>
      </c>
      <c r="N561" s="7" t="n"/>
      <c r="O561" s="7" t="n"/>
      <c r="P561" s="7">
        <f>IF($B561="","",O561*X561/100)</f>
        <v/>
      </c>
      <c r="Q561" s="7">
        <f>IF($B561="","",O561-P561)</f>
        <v/>
      </c>
      <c r="R561" s="7">
        <f>IF($B561="","",Q561-J561)</f>
        <v/>
      </c>
      <c r="S561" s="7" t="n"/>
      <c r="T561" s="7" t="n"/>
      <c r="V561" s="14" t="n"/>
      <c r="Z561">
        <f>IF($B561="","",IF(COUNTIF($B$2:$B561,$B561)=1,1,0))</f>
        <v/>
      </c>
      <c r="AA561">
        <f>IF($Z561=1,SUMPRODUCT(--($AC$2:$AC$3001&lt;$AC561))+1,"")</f>
        <v/>
      </c>
      <c r="AB561">
        <f>IF($B561="","",IF(OR($Y561=TRUE(),$Y561="TRUE"),1,IF(AND($Y561&lt;&gt;"",OR($Y561=FALSE(),$Y561="FALSE")),0,IF(MIN(ABS($X561/100-Settings!$C$6),ABS($X561/100-Settings!$G$6))&lt;=MIN(ABS($X561/100-Settings!$C$7),ABS($X561/100-Settings!$G$7)),1,0))))</f>
        <v/>
      </c>
      <c r="AC561">
        <f>IF($Z561=1,IFERROR(IF(VALUE($B561)&lt;100000000,VALUE($B561),1000000000),IFERROR(IF(VALUE(MID($B561,2,20))&lt;100000000,VALUE(MID($B561,2,20)),1000000000),1000000000))+ROW()/100000,"")</f>
        <v/>
      </c>
    </row>
    <row r="562">
      <c r="A562">
        <f>IF($B562="","",IFERROR(IF(INDEX('Per Invoice'!$A$2:$A$801,MATCH($B562,'Per Invoice'!$B$2:$B$801,0))=0,"",INDEX('Per Invoice'!$A$2:$A$801,MATCH($B562,'Per Invoice'!$B$2:$B$801,0))),""))</f>
        <v/>
      </c>
      <c r="J562" s="7">
        <f>IF($B562="","",I562*Q562/100)</f>
        <v/>
      </c>
      <c r="N562" s="7" t="n"/>
      <c r="O562" s="7" t="n"/>
      <c r="P562" s="7">
        <f>IF($B562="","",O562*X562/100)</f>
        <v/>
      </c>
      <c r="Q562" s="7">
        <f>IF($B562="","",O562-P562)</f>
        <v/>
      </c>
      <c r="R562" s="7">
        <f>IF($B562="","",Q562-J562)</f>
        <v/>
      </c>
      <c r="S562" s="7" t="n"/>
      <c r="T562" s="7" t="n"/>
      <c r="V562" s="14" t="n"/>
      <c r="Z562">
        <f>IF($B562="","",IF(COUNTIF($B$2:$B562,$B562)=1,1,0))</f>
        <v/>
      </c>
      <c r="AA562">
        <f>IF($Z562=1,SUMPRODUCT(--($AC$2:$AC$3001&lt;$AC562))+1,"")</f>
        <v/>
      </c>
      <c r="AB562">
        <f>IF($B562="","",IF(OR($Y562=TRUE(),$Y562="TRUE"),1,IF(AND($Y562&lt;&gt;"",OR($Y562=FALSE(),$Y562="FALSE")),0,IF(MIN(ABS($X562/100-Settings!$C$6),ABS($X562/100-Settings!$G$6))&lt;=MIN(ABS($X562/100-Settings!$C$7),ABS($X562/100-Settings!$G$7)),1,0))))</f>
        <v/>
      </c>
      <c r="AC562">
        <f>IF($Z562=1,IFERROR(IF(VALUE($B562)&lt;100000000,VALUE($B562),1000000000),IFERROR(IF(VALUE(MID($B562,2,20))&lt;100000000,VALUE(MID($B562,2,20)),1000000000),1000000000))+ROW()/100000,"")</f>
        <v/>
      </c>
    </row>
    <row r="563">
      <c r="A563">
        <f>IF($B563="","",IFERROR(IF(INDEX('Per Invoice'!$A$2:$A$801,MATCH($B563,'Per Invoice'!$B$2:$B$801,0))=0,"",INDEX('Per Invoice'!$A$2:$A$801,MATCH($B563,'Per Invoice'!$B$2:$B$801,0))),""))</f>
        <v/>
      </c>
      <c r="J563" s="7">
        <f>IF($B563="","",I563*Q563/100)</f>
        <v/>
      </c>
      <c r="N563" s="7" t="n"/>
      <c r="O563" s="7" t="n"/>
      <c r="P563" s="7">
        <f>IF($B563="","",O563*X563/100)</f>
        <v/>
      </c>
      <c r="Q563" s="7">
        <f>IF($B563="","",O563-P563)</f>
        <v/>
      </c>
      <c r="R563" s="7">
        <f>IF($B563="","",Q563-J563)</f>
        <v/>
      </c>
      <c r="S563" s="7" t="n"/>
      <c r="T563" s="7" t="n"/>
      <c r="V563" s="14" t="n"/>
      <c r="Z563">
        <f>IF($B563="","",IF(COUNTIF($B$2:$B563,$B563)=1,1,0))</f>
        <v/>
      </c>
      <c r="AA563">
        <f>IF($Z563=1,SUMPRODUCT(--($AC$2:$AC$3001&lt;$AC563))+1,"")</f>
        <v/>
      </c>
      <c r="AB563">
        <f>IF($B563="","",IF(OR($Y563=TRUE(),$Y563="TRUE"),1,IF(AND($Y563&lt;&gt;"",OR($Y563=FALSE(),$Y563="FALSE")),0,IF(MIN(ABS($X563/100-Settings!$C$6),ABS($X563/100-Settings!$G$6))&lt;=MIN(ABS($X563/100-Settings!$C$7),ABS($X563/100-Settings!$G$7)),1,0))))</f>
        <v/>
      </c>
      <c r="AC563">
        <f>IF($Z563=1,IFERROR(IF(VALUE($B563)&lt;100000000,VALUE($B563),1000000000),IFERROR(IF(VALUE(MID($B563,2,20))&lt;100000000,VALUE(MID($B563,2,20)),1000000000),1000000000))+ROW()/100000,"")</f>
        <v/>
      </c>
    </row>
    <row r="564">
      <c r="A564">
        <f>IF($B564="","",IFERROR(IF(INDEX('Per Invoice'!$A$2:$A$801,MATCH($B564,'Per Invoice'!$B$2:$B$801,0))=0,"",INDEX('Per Invoice'!$A$2:$A$801,MATCH($B564,'Per Invoice'!$B$2:$B$801,0))),""))</f>
        <v/>
      </c>
      <c r="J564" s="7">
        <f>IF($B564="","",I564*Q564/100)</f>
        <v/>
      </c>
      <c r="N564" s="7" t="n"/>
      <c r="O564" s="7" t="n"/>
      <c r="P564" s="7">
        <f>IF($B564="","",O564*X564/100)</f>
        <v/>
      </c>
      <c r="Q564" s="7">
        <f>IF($B564="","",O564-P564)</f>
        <v/>
      </c>
      <c r="R564" s="7">
        <f>IF($B564="","",Q564-J564)</f>
        <v/>
      </c>
      <c r="S564" s="7" t="n"/>
      <c r="T564" s="7" t="n"/>
      <c r="V564" s="14" t="n"/>
      <c r="Z564">
        <f>IF($B564="","",IF(COUNTIF($B$2:$B564,$B564)=1,1,0))</f>
        <v/>
      </c>
      <c r="AA564">
        <f>IF($Z564=1,SUMPRODUCT(--($AC$2:$AC$3001&lt;$AC564))+1,"")</f>
        <v/>
      </c>
      <c r="AB564">
        <f>IF($B564="","",IF(OR($Y564=TRUE(),$Y564="TRUE"),1,IF(AND($Y564&lt;&gt;"",OR($Y564=FALSE(),$Y564="FALSE")),0,IF(MIN(ABS($X564/100-Settings!$C$6),ABS($X564/100-Settings!$G$6))&lt;=MIN(ABS($X564/100-Settings!$C$7),ABS($X564/100-Settings!$G$7)),1,0))))</f>
        <v/>
      </c>
      <c r="AC564">
        <f>IF($Z564=1,IFERROR(IF(VALUE($B564)&lt;100000000,VALUE($B564),1000000000),IFERROR(IF(VALUE(MID($B564,2,20))&lt;100000000,VALUE(MID($B564,2,20)),1000000000),1000000000))+ROW()/100000,"")</f>
        <v/>
      </c>
    </row>
    <row r="565">
      <c r="A565">
        <f>IF($B565="","",IFERROR(IF(INDEX('Per Invoice'!$A$2:$A$801,MATCH($B565,'Per Invoice'!$B$2:$B$801,0))=0,"",INDEX('Per Invoice'!$A$2:$A$801,MATCH($B565,'Per Invoice'!$B$2:$B$801,0))),""))</f>
        <v/>
      </c>
      <c r="J565" s="7">
        <f>IF($B565="","",I565*Q565/100)</f>
        <v/>
      </c>
      <c r="N565" s="7" t="n"/>
      <c r="O565" s="7" t="n"/>
      <c r="P565" s="7">
        <f>IF($B565="","",O565*X565/100)</f>
        <v/>
      </c>
      <c r="Q565" s="7">
        <f>IF($B565="","",O565-P565)</f>
        <v/>
      </c>
      <c r="R565" s="7">
        <f>IF($B565="","",Q565-J565)</f>
        <v/>
      </c>
      <c r="S565" s="7" t="n"/>
      <c r="T565" s="7" t="n"/>
      <c r="V565" s="14" t="n"/>
      <c r="Z565">
        <f>IF($B565="","",IF(COUNTIF($B$2:$B565,$B565)=1,1,0))</f>
        <v/>
      </c>
      <c r="AA565">
        <f>IF($Z565=1,SUMPRODUCT(--($AC$2:$AC$3001&lt;$AC565))+1,"")</f>
        <v/>
      </c>
      <c r="AB565">
        <f>IF($B565="","",IF(OR($Y565=TRUE(),$Y565="TRUE"),1,IF(AND($Y565&lt;&gt;"",OR($Y565=FALSE(),$Y565="FALSE")),0,IF(MIN(ABS($X565/100-Settings!$C$6),ABS($X565/100-Settings!$G$6))&lt;=MIN(ABS($X565/100-Settings!$C$7),ABS($X565/100-Settings!$G$7)),1,0))))</f>
        <v/>
      </c>
      <c r="AC565">
        <f>IF($Z565=1,IFERROR(IF(VALUE($B565)&lt;100000000,VALUE($B565),1000000000),IFERROR(IF(VALUE(MID($B565,2,20))&lt;100000000,VALUE(MID($B565,2,20)),1000000000),1000000000))+ROW()/100000,"")</f>
        <v/>
      </c>
    </row>
    <row r="566">
      <c r="A566">
        <f>IF($B566="","",IFERROR(IF(INDEX('Per Invoice'!$A$2:$A$801,MATCH($B566,'Per Invoice'!$B$2:$B$801,0))=0,"",INDEX('Per Invoice'!$A$2:$A$801,MATCH($B566,'Per Invoice'!$B$2:$B$801,0))),""))</f>
        <v/>
      </c>
      <c r="J566" s="7">
        <f>IF($B566="","",I566*Q566/100)</f>
        <v/>
      </c>
      <c r="N566" s="7" t="n"/>
      <c r="O566" s="7" t="n"/>
      <c r="P566" s="7">
        <f>IF($B566="","",O566*X566/100)</f>
        <v/>
      </c>
      <c r="Q566" s="7">
        <f>IF($B566="","",O566-P566)</f>
        <v/>
      </c>
      <c r="R566" s="7">
        <f>IF($B566="","",Q566-J566)</f>
        <v/>
      </c>
      <c r="S566" s="7" t="n"/>
      <c r="T566" s="7" t="n"/>
      <c r="V566" s="14" t="n"/>
      <c r="Z566">
        <f>IF($B566="","",IF(COUNTIF($B$2:$B566,$B566)=1,1,0))</f>
        <v/>
      </c>
      <c r="AA566">
        <f>IF($Z566=1,SUMPRODUCT(--($AC$2:$AC$3001&lt;$AC566))+1,"")</f>
        <v/>
      </c>
      <c r="AB566">
        <f>IF($B566="","",IF(OR($Y566=TRUE(),$Y566="TRUE"),1,IF(AND($Y566&lt;&gt;"",OR($Y566=FALSE(),$Y566="FALSE")),0,IF(MIN(ABS($X566/100-Settings!$C$6),ABS($X566/100-Settings!$G$6))&lt;=MIN(ABS($X566/100-Settings!$C$7),ABS($X566/100-Settings!$G$7)),1,0))))</f>
        <v/>
      </c>
      <c r="AC566">
        <f>IF($Z566=1,IFERROR(IF(VALUE($B566)&lt;100000000,VALUE($B566),1000000000),IFERROR(IF(VALUE(MID($B566,2,20))&lt;100000000,VALUE(MID($B566,2,20)),1000000000),1000000000))+ROW()/100000,"")</f>
        <v/>
      </c>
    </row>
    <row r="567">
      <c r="A567">
        <f>IF($B567="","",IFERROR(IF(INDEX('Per Invoice'!$A$2:$A$801,MATCH($B567,'Per Invoice'!$B$2:$B$801,0))=0,"",INDEX('Per Invoice'!$A$2:$A$801,MATCH($B567,'Per Invoice'!$B$2:$B$801,0))),""))</f>
        <v/>
      </c>
      <c r="J567" s="7">
        <f>IF($B567="","",I567*Q567/100)</f>
        <v/>
      </c>
      <c r="N567" s="7" t="n"/>
      <c r="O567" s="7" t="n"/>
      <c r="P567" s="7">
        <f>IF($B567="","",O567*X567/100)</f>
        <v/>
      </c>
      <c r="Q567" s="7">
        <f>IF($B567="","",O567-P567)</f>
        <v/>
      </c>
      <c r="R567" s="7">
        <f>IF($B567="","",Q567-J567)</f>
        <v/>
      </c>
      <c r="S567" s="7" t="n"/>
      <c r="T567" s="7" t="n"/>
      <c r="V567" s="14" t="n"/>
      <c r="Z567">
        <f>IF($B567="","",IF(COUNTIF($B$2:$B567,$B567)=1,1,0))</f>
        <v/>
      </c>
      <c r="AA567">
        <f>IF($Z567=1,SUMPRODUCT(--($AC$2:$AC$3001&lt;$AC567))+1,"")</f>
        <v/>
      </c>
      <c r="AB567">
        <f>IF($B567="","",IF(OR($Y567=TRUE(),$Y567="TRUE"),1,IF(AND($Y567&lt;&gt;"",OR($Y567=FALSE(),$Y567="FALSE")),0,IF(MIN(ABS($X567/100-Settings!$C$6),ABS($X567/100-Settings!$G$6))&lt;=MIN(ABS($X567/100-Settings!$C$7),ABS($X567/100-Settings!$G$7)),1,0))))</f>
        <v/>
      </c>
      <c r="AC567">
        <f>IF($Z567=1,IFERROR(IF(VALUE($B567)&lt;100000000,VALUE($B567),1000000000),IFERROR(IF(VALUE(MID($B567,2,20))&lt;100000000,VALUE(MID($B567,2,20)),1000000000),1000000000))+ROW()/100000,"")</f>
        <v/>
      </c>
    </row>
    <row r="568">
      <c r="A568">
        <f>IF($B568="","",IFERROR(IF(INDEX('Per Invoice'!$A$2:$A$801,MATCH($B568,'Per Invoice'!$B$2:$B$801,0))=0,"",INDEX('Per Invoice'!$A$2:$A$801,MATCH($B568,'Per Invoice'!$B$2:$B$801,0))),""))</f>
        <v/>
      </c>
      <c r="J568" s="7">
        <f>IF($B568="","",I568*Q568/100)</f>
        <v/>
      </c>
      <c r="N568" s="7" t="n"/>
      <c r="O568" s="7" t="n"/>
      <c r="P568" s="7">
        <f>IF($B568="","",O568*X568/100)</f>
        <v/>
      </c>
      <c r="Q568" s="7">
        <f>IF($B568="","",O568-P568)</f>
        <v/>
      </c>
      <c r="R568" s="7">
        <f>IF($B568="","",Q568-J568)</f>
        <v/>
      </c>
      <c r="S568" s="7" t="n"/>
      <c r="T568" s="7" t="n"/>
      <c r="V568" s="14" t="n"/>
      <c r="Z568">
        <f>IF($B568="","",IF(COUNTIF($B$2:$B568,$B568)=1,1,0))</f>
        <v/>
      </c>
      <c r="AA568">
        <f>IF($Z568=1,SUMPRODUCT(--($AC$2:$AC$3001&lt;$AC568))+1,"")</f>
        <v/>
      </c>
      <c r="AB568">
        <f>IF($B568="","",IF(OR($Y568=TRUE(),$Y568="TRUE"),1,IF(AND($Y568&lt;&gt;"",OR($Y568=FALSE(),$Y568="FALSE")),0,IF(MIN(ABS($X568/100-Settings!$C$6),ABS($X568/100-Settings!$G$6))&lt;=MIN(ABS($X568/100-Settings!$C$7),ABS($X568/100-Settings!$G$7)),1,0))))</f>
        <v/>
      </c>
      <c r="AC568">
        <f>IF($Z568=1,IFERROR(IF(VALUE($B568)&lt;100000000,VALUE($B568),1000000000),IFERROR(IF(VALUE(MID($B568,2,20))&lt;100000000,VALUE(MID($B568,2,20)),1000000000),1000000000))+ROW()/100000,"")</f>
        <v/>
      </c>
    </row>
    <row r="569">
      <c r="A569">
        <f>IF($B569="","",IFERROR(IF(INDEX('Per Invoice'!$A$2:$A$801,MATCH($B569,'Per Invoice'!$B$2:$B$801,0))=0,"",INDEX('Per Invoice'!$A$2:$A$801,MATCH($B569,'Per Invoice'!$B$2:$B$801,0))),""))</f>
        <v/>
      </c>
      <c r="J569" s="7">
        <f>IF($B569="","",I569*Q569/100)</f>
        <v/>
      </c>
      <c r="N569" s="7" t="n"/>
      <c r="O569" s="7" t="n"/>
      <c r="P569" s="7">
        <f>IF($B569="","",O569*X569/100)</f>
        <v/>
      </c>
      <c r="Q569" s="7">
        <f>IF($B569="","",O569-P569)</f>
        <v/>
      </c>
      <c r="R569" s="7">
        <f>IF($B569="","",Q569-J569)</f>
        <v/>
      </c>
      <c r="S569" s="7" t="n"/>
      <c r="T569" s="7" t="n"/>
      <c r="V569" s="14" t="n"/>
      <c r="Z569">
        <f>IF($B569="","",IF(COUNTIF($B$2:$B569,$B569)=1,1,0))</f>
        <v/>
      </c>
      <c r="AA569">
        <f>IF($Z569=1,SUMPRODUCT(--($AC$2:$AC$3001&lt;$AC569))+1,"")</f>
        <v/>
      </c>
      <c r="AB569">
        <f>IF($B569="","",IF(OR($Y569=TRUE(),$Y569="TRUE"),1,IF(AND($Y569&lt;&gt;"",OR($Y569=FALSE(),$Y569="FALSE")),0,IF(MIN(ABS($X569/100-Settings!$C$6),ABS($X569/100-Settings!$G$6))&lt;=MIN(ABS($X569/100-Settings!$C$7),ABS($X569/100-Settings!$G$7)),1,0))))</f>
        <v/>
      </c>
      <c r="AC569">
        <f>IF($Z569=1,IFERROR(IF(VALUE($B569)&lt;100000000,VALUE($B569),1000000000),IFERROR(IF(VALUE(MID($B569,2,20))&lt;100000000,VALUE(MID($B569,2,20)),1000000000),1000000000))+ROW()/100000,"")</f>
        <v/>
      </c>
    </row>
    <row r="570">
      <c r="A570">
        <f>IF($B570="","",IFERROR(IF(INDEX('Per Invoice'!$A$2:$A$801,MATCH($B570,'Per Invoice'!$B$2:$B$801,0))=0,"",INDEX('Per Invoice'!$A$2:$A$801,MATCH($B570,'Per Invoice'!$B$2:$B$801,0))),""))</f>
        <v/>
      </c>
      <c r="J570" s="7">
        <f>IF($B570="","",I570*Q570/100)</f>
        <v/>
      </c>
      <c r="N570" s="7" t="n"/>
      <c r="O570" s="7" t="n"/>
      <c r="P570" s="7">
        <f>IF($B570="","",O570*X570/100)</f>
        <v/>
      </c>
      <c r="Q570" s="7">
        <f>IF($B570="","",O570-P570)</f>
        <v/>
      </c>
      <c r="R570" s="7">
        <f>IF($B570="","",Q570-J570)</f>
        <v/>
      </c>
      <c r="S570" s="7" t="n"/>
      <c r="T570" s="7" t="n"/>
      <c r="V570" s="14" t="n"/>
      <c r="Z570">
        <f>IF($B570="","",IF(COUNTIF($B$2:$B570,$B570)=1,1,0))</f>
        <v/>
      </c>
      <c r="AA570">
        <f>IF($Z570=1,SUMPRODUCT(--($AC$2:$AC$3001&lt;$AC570))+1,"")</f>
        <v/>
      </c>
      <c r="AB570">
        <f>IF($B570="","",IF(OR($Y570=TRUE(),$Y570="TRUE"),1,IF(AND($Y570&lt;&gt;"",OR($Y570=FALSE(),$Y570="FALSE")),0,IF(MIN(ABS($X570/100-Settings!$C$6),ABS($X570/100-Settings!$G$6))&lt;=MIN(ABS($X570/100-Settings!$C$7),ABS($X570/100-Settings!$G$7)),1,0))))</f>
        <v/>
      </c>
      <c r="AC570">
        <f>IF($Z570=1,IFERROR(IF(VALUE($B570)&lt;100000000,VALUE($B570),1000000000),IFERROR(IF(VALUE(MID($B570,2,20))&lt;100000000,VALUE(MID($B570,2,20)),1000000000),1000000000))+ROW()/100000,"")</f>
        <v/>
      </c>
    </row>
    <row r="571">
      <c r="A571">
        <f>IF($B571="","",IFERROR(IF(INDEX('Per Invoice'!$A$2:$A$801,MATCH($B571,'Per Invoice'!$B$2:$B$801,0))=0,"",INDEX('Per Invoice'!$A$2:$A$801,MATCH($B571,'Per Invoice'!$B$2:$B$801,0))),""))</f>
        <v/>
      </c>
      <c r="J571" s="7">
        <f>IF($B571="","",I571*Q571/100)</f>
        <v/>
      </c>
      <c r="N571" s="7" t="n"/>
      <c r="O571" s="7" t="n"/>
      <c r="P571" s="7">
        <f>IF($B571="","",O571*X571/100)</f>
        <v/>
      </c>
      <c r="Q571" s="7">
        <f>IF($B571="","",O571-P571)</f>
        <v/>
      </c>
      <c r="R571" s="7">
        <f>IF($B571="","",Q571-J571)</f>
        <v/>
      </c>
      <c r="S571" s="7" t="n"/>
      <c r="T571" s="7" t="n"/>
      <c r="V571" s="14" t="n"/>
      <c r="Z571">
        <f>IF($B571="","",IF(COUNTIF($B$2:$B571,$B571)=1,1,0))</f>
        <v/>
      </c>
      <c r="AA571">
        <f>IF($Z571=1,SUMPRODUCT(--($AC$2:$AC$3001&lt;$AC571))+1,"")</f>
        <v/>
      </c>
      <c r="AB571">
        <f>IF($B571="","",IF(OR($Y571=TRUE(),$Y571="TRUE"),1,IF(AND($Y571&lt;&gt;"",OR($Y571=FALSE(),$Y571="FALSE")),0,IF(MIN(ABS($X571/100-Settings!$C$6),ABS($X571/100-Settings!$G$6))&lt;=MIN(ABS($X571/100-Settings!$C$7),ABS($X571/100-Settings!$G$7)),1,0))))</f>
        <v/>
      </c>
      <c r="AC571">
        <f>IF($Z571=1,IFERROR(IF(VALUE($B571)&lt;100000000,VALUE($B571),1000000000),IFERROR(IF(VALUE(MID($B571,2,20))&lt;100000000,VALUE(MID($B571,2,20)),1000000000),1000000000))+ROW()/100000,"")</f>
        <v/>
      </c>
    </row>
    <row r="572">
      <c r="A572">
        <f>IF($B572="","",IFERROR(IF(INDEX('Per Invoice'!$A$2:$A$801,MATCH($B572,'Per Invoice'!$B$2:$B$801,0))=0,"",INDEX('Per Invoice'!$A$2:$A$801,MATCH($B572,'Per Invoice'!$B$2:$B$801,0))),""))</f>
        <v/>
      </c>
      <c r="J572" s="7">
        <f>IF($B572="","",I572*Q572/100)</f>
        <v/>
      </c>
      <c r="N572" s="7" t="n"/>
      <c r="O572" s="7" t="n"/>
      <c r="P572" s="7">
        <f>IF($B572="","",O572*X572/100)</f>
        <v/>
      </c>
      <c r="Q572" s="7">
        <f>IF($B572="","",O572-P572)</f>
        <v/>
      </c>
      <c r="R572" s="7">
        <f>IF($B572="","",Q572-J572)</f>
        <v/>
      </c>
      <c r="S572" s="7" t="n"/>
      <c r="T572" s="7" t="n"/>
      <c r="V572" s="14" t="n"/>
      <c r="Z572">
        <f>IF($B572="","",IF(COUNTIF($B$2:$B572,$B572)=1,1,0))</f>
        <v/>
      </c>
      <c r="AA572">
        <f>IF($Z572=1,SUMPRODUCT(--($AC$2:$AC$3001&lt;$AC572))+1,"")</f>
        <v/>
      </c>
      <c r="AB572">
        <f>IF($B572="","",IF(OR($Y572=TRUE(),$Y572="TRUE"),1,IF(AND($Y572&lt;&gt;"",OR($Y572=FALSE(),$Y572="FALSE")),0,IF(MIN(ABS($X572/100-Settings!$C$6),ABS($X572/100-Settings!$G$6))&lt;=MIN(ABS($X572/100-Settings!$C$7),ABS($X572/100-Settings!$G$7)),1,0))))</f>
        <v/>
      </c>
      <c r="AC572">
        <f>IF($Z572=1,IFERROR(IF(VALUE($B572)&lt;100000000,VALUE($B572),1000000000),IFERROR(IF(VALUE(MID($B572,2,20))&lt;100000000,VALUE(MID($B572,2,20)),1000000000),1000000000))+ROW()/100000,"")</f>
        <v/>
      </c>
    </row>
    <row r="573">
      <c r="A573">
        <f>IF($B573="","",IFERROR(IF(INDEX('Per Invoice'!$A$2:$A$801,MATCH($B573,'Per Invoice'!$B$2:$B$801,0))=0,"",INDEX('Per Invoice'!$A$2:$A$801,MATCH($B573,'Per Invoice'!$B$2:$B$801,0))),""))</f>
        <v/>
      </c>
      <c r="J573" s="7">
        <f>IF($B573="","",I573*Q573/100)</f>
        <v/>
      </c>
      <c r="N573" s="7" t="n"/>
      <c r="O573" s="7" t="n"/>
      <c r="P573" s="7">
        <f>IF($B573="","",O573*X573/100)</f>
        <v/>
      </c>
      <c r="Q573" s="7">
        <f>IF($B573="","",O573-P573)</f>
        <v/>
      </c>
      <c r="R573" s="7">
        <f>IF($B573="","",Q573-J573)</f>
        <v/>
      </c>
      <c r="S573" s="7" t="n"/>
      <c r="T573" s="7" t="n"/>
      <c r="V573" s="14" t="n"/>
      <c r="Z573">
        <f>IF($B573="","",IF(COUNTIF($B$2:$B573,$B573)=1,1,0))</f>
        <v/>
      </c>
      <c r="AA573">
        <f>IF($Z573=1,SUMPRODUCT(--($AC$2:$AC$3001&lt;$AC573))+1,"")</f>
        <v/>
      </c>
      <c r="AB573">
        <f>IF($B573="","",IF(OR($Y573=TRUE(),$Y573="TRUE"),1,IF(AND($Y573&lt;&gt;"",OR($Y573=FALSE(),$Y573="FALSE")),0,IF(MIN(ABS($X573/100-Settings!$C$6),ABS($X573/100-Settings!$G$6))&lt;=MIN(ABS($X573/100-Settings!$C$7),ABS($X573/100-Settings!$G$7)),1,0))))</f>
        <v/>
      </c>
      <c r="AC573">
        <f>IF($Z573=1,IFERROR(IF(VALUE($B573)&lt;100000000,VALUE($B573),1000000000),IFERROR(IF(VALUE(MID($B573,2,20))&lt;100000000,VALUE(MID($B573,2,20)),1000000000),1000000000))+ROW()/100000,"")</f>
        <v/>
      </c>
    </row>
    <row r="574">
      <c r="A574">
        <f>IF($B574="","",IFERROR(IF(INDEX('Per Invoice'!$A$2:$A$801,MATCH($B574,'Per Invoice'!$B$2:$B$801,0))=0,"",INDEX('Per Invoice'!$A$2:$A$801,MATCH($B574,'Per Invoice'!$B$2:$B$801,0))),""))</f>
        <v/>
      </c>
      <c r="J574" s="7">
        <f>IF($B574="","",I574*Q574/100)</f>
        <v/>
      </c>
      <c r="N574" s="7" t="n"/>
      <c r="O574" s="7" t="n"/>
      <c r="P574" s="7">
        <f>IF($B574="","",O574*X574/100)</f>
        <v/>
      </c>
      <c r="Q574" s="7">
        <f>IF($B574="","",O574-P574)</f>
        <v/>
      </c>
      <c r="R574" s="7">
        <f>IF($B574="","",Q574-J574)</f>
        <v/>
      </c>
      <c r="S574" s="7" t="n"/>
      <c r="T574" s="7" t="n"/>
      <c r="V574" s="14" t="n"/>
      <c r="Z574">
        <f>IF($B574="","",IF(COUNTIF($B$2:$B574,$B574)=1,1,0))</f>
        <v/>
      </c>
      <c r="AA574">
        <f>IF($Z574=1,SUMPRODUCT(--($AC$2:$AC$3001&lt;$AC574))+1,"")</f>
        <v/>
      </c>
      <c r="AB574">
        <f>IF($B574="","",IF(OR($Y574=TRUE(),$Y574="TRUE"),1,IF(AND($Y574&lt;&gt;"",OR($Y574=FALSE(),$Y574="FALSE")),0,IF(MIN(ABS($X574/100-Settings!$C$6),ABS($X574/100-Settings!$G$6))&lt;=MIN(ABS($X574/100-Settings!$C$7),ABS($X574/100-Settings!$G$7)),1,0))))</f>
        <v/>
      </c>
      <c r="AC574">
        <f>IF($Z574=1,IFERROR(IF(VALUE($B574)&lt;100000000,VALUE($B574),1000000000),IFERROR(IF(VALUE(MID($B574,2,20))&lt;100000000,VALUE(MID($B574,2,20)),1000000000),1000000000))+ROW()/100000,"")</f>
        <v/>
      </c>
    </row>
    <row r="575">
      <c r="A575">
        <f>IF($B575="","",IFERROR(IF(INDEX('Per Invoice'!$A$2:$A$801,MATCH($B575,'Per Invoice'!$B$2:$B$801,0))=0,"",INDEX('Per Invoice'!$A$2:$A$801,MATCH($B575,'Per Invoice'!$B$2:$B$801,0))),""))</f>
        <v/>
      </c>
      <c r="J575" s="7">
        <f>IF($B575="","",I575*Q575/100)</f>
        <v/>
      </c>
      <c r="N575" s="7" t="n"/>
      <c r="O575" s="7" t="n"/>
      <c r="P575" s="7">
        <f>IF($B575="","",O575*X575/100)</f>
        <v/>
      </c>
      <c r="Q575" s="7">
        <f>IF($B575="","",O575-P575)</f>
        <v/>
      </c>
      <c r="R575" s="7">
        <f>IF($B575="","",Q575-J575)</f>
        <v/>
      </c>
      <c r="S575" s="7" t="n"/>
      <c r="T575" s="7" t="n"/>
      <c r="V575" s="14" t="n"/>
      <c r="Z575">
        <f>IF($B575="","",IF(COUNTIF($B$2:$B575,$B575)=1,1,0))</f>
        <v/>
      </c>
      <c r="AA575">
        <f>IF($Z575=1,SUMPRODUCT(--($AC$2:$AC$3001&lt;$AC575))+1,"")</f>
        <v/>
      </c>
      <c r="AB575">
        <f>IF($B575="","",IF(OR($Y575=TRUE(),$Y575="TRUE"),1,IF(AND($Y575&lt;&gt;"",OR($Y575=FALSE(),$Y575="FALSE")),0,IF(MIN(ABS($X575/100-Settings!$C$6),ABS($X575/100-Settings!$G$6))&lt;=MIN(ABS($X575/100-Settings!$C$7),ABS($X575/100-Settings!$G$7)),1,0))))</f>
        <v/>
      </c>
      <c r="AC575">
        <f>IF($Z575=1,IFERROR(IF(VALUE($B575)&lt;100000000,VALUE($B575),1000000000),IFERROR(IF(VALUE(MID($B575,2,20))&lt;100000000,VALUE(MID($B575,2,20)),1000000000),1000000000))+ROW()/100000,"")</f>
        <v/>
      </c>
    </row>
    <row r="576">
      <c r="A576">
        <f>IF($B576="","",IFERROR(IF(INDEX('Per Invoice'!$A$2:$A$801,MATCH($B576,'Per Invoice'!$B$2:$B$801,0))=0,"",INDEX('Per Invoice'!$A$2:$A$801,MATCH($B576,'Per Invoice'!$B$2:$B$801,0))),""))</f>
        <v/>
      </c>
      <c r="J576" s="7">
        <f>IF($B576="","",I576*Q576/100)</f>
        <v/>
      </c>
      <c r="N576" s="7" t="n"/>
      <c r="O576" s="7" t="n"/>
      <c r="P576" s="7">
        <f>IF($B576="","",O576*X576/100)</f>
        <v/>
      </c>
      <c r="Q576" s="7">
        <f>IF($B576="","",O576-P576)</f>
        <v/>
      </c>
      <c r="R576" s="7">
        <f>IF($B576="","",Q576-J576)</f>
        <v/>
      </c>
      <c r="S576" s="7" t="n"/>
      <c r="T576" s="7" t="n"/>
      <c r="V576" s="14" t="n"/>
      <c r="Z576">
        <f>IF($B576="","",IF(COUNTIF($B$2:$B576,$B576)=1,1,0))</f>
        <v/>
      </c>
      <c r="AA576">
        <f>IF($Z576=1,SUMPRODUCT(--($AC$2:$AC$3001&lt;$AC576))+1,"")</f>
        <v/>
      </c>
      <c r="AB576">
        <f>IF($B576="","",IF(OR($Y576=TRUE(),$Y576="TRUE"),1,IF(AND($Y576&lt;&gt;"",OR($Y576=FALSE(),$Y576="FALSE")),0,IF(MIN(ABS($X576/100-Settings!$C$6),ABS($X576/100-Settings!$G$6))&lt;=MIN(ABS($X576/100-Settings!$C$7),ABS($X576/100-Settings!$G$7)),1,0))))</f>
        <v/>
      </c>
      <c r="AC576">
        <f>IF($Z576=1,IFERROR(IF(VALUE($B576)&lt;100000000,VALUE($B576),1000000000),IFERROR(IF(VALUE(MID($B576,2,20))&lt;100000000,VALUE(MID($B576,2,20)),1000000000),1000000000))+ROW()/100000,"")</f>
        <v/>
      </c>
    </row>
    <row r="577">
      <c r="A577">
        <f>IF($B577="","",IFERROR(IF(INDEX('Per Invoice'!$A$2:$A$801,MATCH($B577,'Per Invoice'!$B$2:$B$801,0))=0,"",INDEX('Per Invoice'!$A$2:$A$801,MATCH($B577,'Per Invoice'!$B$2:$B$801,0))),""))</f>
        <v/>
      </c>
      <c r="J577" s="7">
        <f>IF($B577="","",I577*Q577/100)</f>
        <v/>
      </c>
      <c r="N577" s="7" t="n"/>
      <c r="O577" s="7" t="n"/>
      <c r="P577" s="7">
        <f>IF($B577="","",O577*X577/100)</f>
        <v/>
      </c>
      <c r="Q577" s="7">
        <f>IF($B577="","",O577-P577)</f>
        <v/>
      </c>
      <c r="R577" s="7">
        <f>IF($B577="","",Q577-J577)</f>
        <v/>
      </c>
      <c r="S577" s="7" t="n"/>
      <c r="T577" s="7" t="n"/>
      <c r="V577" s="14" t="n"/>
      <c r="Z577">
        <f>IF($B577="","",IF(COUNTIF($B$2:$B577,$B577)=1,1,0))</f>
        <v/>
      </c>
      <c r="AA577">
        <f>IF($Z577=1,SUMPRODUCT(--($AC$2:$AC$3001&lt;$AC577))+1,"")</f>
        <v/>
      </c>
      <c r="AB577">
        <f>IF($B577="","",IF(OR($Y577=TRUE(),$Y577="TRUE"),1,IF(AND($Y577&lt;&gt;"",OR($Y577=FALSE(),$Y577="FALSE")),0,IF(MIN(ABS($X577/100-Settings!$C$6),ABS($X577/100-Settings!$G$6))&lt;=MIN(ABS($X577/100-Settings!$C$7),ABS($X577/100-Settings!$G$7)),1,0))))</f>
        <v/>
      </c>
      <c r="AC577">
        <f>IF($Z577=1,IFERROR(IF(VALUE($B577)&lt;100000000,VALUE($B577),1000000000),IFERROR(IF(VALUE(MID($B577,2,20))&lt;100000000,VALUE(MID($B577,2,20)),1000000000),1000000000))+ROW()/100000,"")</f>
        <v/>
      </c>
    </row>
    <row r="578">
      <c r="A578">
        <f>IF($B578="","",IFERROR(IF(INDEX('Per Invoice'!$A$2:$A$801,MATCH($B578,'Per Invoice'!$B$2:$B$801,0))=0,"",INDEX('Per Invoice'!$A$2:$A$801,MATCH($B578,'Per Invoice'!$B$2:$B$801,0))),""))</f>
        <v/>
      </c>
      <c r="J578" s="7">
        <f>IF($B578="","",I578*Q578/100)</f>
        <v/>
      </c>
      <c r="N578" s="7" t="n"/>
      <c r="O578" s="7" t="n"/>
      <c r="P578" s="7">
        <f>IF($B578="","",O578*X578/100)</f>
        <v/>
      </c>
      <c r="Q578" s="7">
        <f>IF($B578="","",O578-P578)</f>
        <v/>
      </c>
      <c r="R578" s="7">
        <f>IF($B578="","",Q578-J578)</f>
        <v/>
      </c>
      <c r="S578" s="7" t="n"/>
      <c r="T578" s="7" t="n"/>
      <c r="V578" s="14" t="n"/>
      <c r="Z578">
        <f>IF($B578="","",IF(COUNTIF($B$2:$B578,$B578)=1,1,0))</f>
        <v/>
      </c>
      <c r="AA578">
        <f>IF($Z578=1,SUMPRODUCT(--($AC$2:$AC$3001&lt;$AC578))+1,"")</f>
        <v/>
      </c>
      <c r="AB578">
        <f>IF($B578="","",IF(OR($Y578=TRUE(),$Y578="TRUE"),1,IF(AND($Y578&lt;&gt;"",OR($Y578=FALSE(),$Y578="FALSE")),0,IF(MIN(ABS($X578/100-Settings!$C$6),ABS($X578/100-Settings!$G$6))&lt;=MIN(ABS($X578/100-Settings!$C$7),ABS($X578/100-Settings!$G$7)),1,0))))</f>
        <v/>
      </c>
      <c r="AC578">
        <f>IF($Z578=1,IFERROR(IF(VALUE($B578)&lt;100000000,VALUE($B578),1000000000),IFERROR(IF(VALUE(MID($B578,2,20))&lt;100000000,VALUE(MID($B578,2,20)),1000000000),1000000000))+ROW()/100000,"")</f>
        <v/>
      </c>
    </row>
    <row r="579">
      <c r="A579">
        <f>IF($B579="","",IFERROR(IF(INDEX('Per Invoice'!$A$2:$A$801,MATCH($B579,'Per Invoice'!$B$2:$B$801,0))=0,"",INDEX('Per Invoice'!$A$2:$A$801,MATCH($B579,'Per Invoice'!$B$2:$B$801,0))),""))</f>
        <v/>
      </c>
      <c r="J579" s="7">
        <f>IF($B579="","",I579*Q579/100)</f>
        <v/>
      </c>
      <c r="N579" s="7" t="n"/>
      <c r="O579" s="7" t="n"/>
      <c r="P579" s="7">
        <f>IF($B579="","",O579*X579/100)</f>
        <v/>
      </c>
      <c r="Q579" s="7">
        <f>IF($B579="","",O579-P579)</f>
        <v/>
      </c>
      <c r="R579" s="7">
        <f>IF($B579="","",Q579-J579)</f>
        <v/>
      </c>
      <c r="S579" s="7" t="n"/>
      <c r="T579" s="7" t="n"/>
      <c r="V579" s="14" t="n"/>
      <c r="Z579">
        <f>IF($B579="","",IF(COUNTIF($B$2:$B579,$B579)=1,1,0))</f>
        <v/>
      </c>
      <c r="AA579">
        <f>IF($Z579=1,SUMPRODUCT(--($AC$2:$AC$3001&lt;$AC579))+1,"")</f>
        <v/>
      </c>
      <c r="AB579">
        <f>IF($B579="","",IF(OR($Y579=TRUE(),$Y579="TRUE"),1,IF(AND($Y579&lt;&gt;"",OR($Y579=FALSE(),$Y579="FALSE")),0,IF(MIN(ABS($X579/100-Settings!$C$6),ABS($X579/100-Settings!$G$6))&lt;=MIN(ABS($X579/100-Settings!$C$7),ABS($X579/100-Settings!$G$7)),1,0))))</f>
        <v/>
      </c>
      <c r="AC579">
        <f>IF($Z579=1,IFERROR(IF(VALUE($B579)&lt;100000000,VALUE($B579),1000000000),IFERROR(IF(VALUE(MID($B579,2,20))&lt;100000000,VALUE(MID($B579,2,20)),1000000000),1000000000))+ROW()/100000,"")</f>
        <v/>
      </c>
    </row>
    <row r="580">
      <c r="A580">
        <f>IF($B580="","",IFERROR(IF(INDEX('Per Invoice'!$A$2:$A$801,MATCH($B580,'Per Invoice'!$B$2:$B$801,0))=0,"",INDEX('Per Invoice'!$A$2:$A$801,MATCH($B580,'Per Invoice'!$B$2:$B$801,0))),""))</f>
        <v/>
      </c>
      <c r="J580" s="7">
        <f>IF($B580="","",I580*Q580/100)</f>
        <v/>
      </c>
      <c r="N580" s="7" t="n"/>
      <c r="O580" s="7" t="n"/>
      <c r="P580" s="7">
        <f>IF($B580="","",O580*X580/100)</f>
        <v/>
      </c>
      <c r="Q580" s="7">
        <f>IF($B580="","",O580-P580)</f>
        <v/>
      </c>
      <c r="R580" s="7">
        <f>IF($B580="","",Q580-J580)</f>
        <v/>
      </c>
      <c r="S580" s="7" t="n"/>
      <c r="T580" s="7" t="n"/>
      <c r="V580" s="14" t="n"/>
      <c r="Z580">
        <f>IF($B580="","",IF(COUNTIF($B$2:$B580,$B580)=1,1,0))</f>
        <v/>
      </c>
      <c r="AA580">
        <f>IF($Z580=1,SUMPRODUCT(--($AC$2:$AC$3001&lt;$AC580))+1,"")</f>
        <v/>
      </c>
      <c r="AB580">
        <f>IF($B580="","",IF(OR($Y580=TRUE(),$Y580="TRUE"),1,IF(AND($Y580&lt;&gt;"",OR($Y580=FALSE(),$Y580="FALSE")),0,IF(MIN(ABS($X580/100-Settings!$C$6),ABS($X580/100-Settings!$G$6))&lt;=MIN(ABS($X580/100-Settings!$C$7),ABS($X580/100-Settings!$G$7)),1,0))))</f>
        <v/>
      </c>
      <c r="AC580">
        <f>IF($Z580=1,IFERROR(IF(VALUE($B580)&lt;100000000,VALUE($B580),1000000000),IFERROR(IF(VALUE(MID($B580,2,20))&lt;100000000,VALUE(MID($B580,2,20)),1000000000),1000000000))+ROW()/100000,"")</f>
        <v/>
      </c>
    </row>
    <row r="581">
      <c r="A581">
        <f>IF($B581="","",IFERROR(IF(INDEX('Per Invoice'!$A$2:$A$801,MATCH($B581,'Per Invoice'!$B$2:$B$801,0))=0,"",INDEX('Per Invoice'!$A$2:$A$801,MATCH($B581,'Per Invoice'!$B$2:$B$801,0))),""))</f>
        <v/>
      </c>
      <c r="J581" s="7">
        <f>IF($B581="","",I581*Q581/100)</f>
        <v/>
      </c>
      <c r="N581" s="7" t="n"/>
      <c r="O581" s="7" t="n"/>
      <c r="P581" s="7">
        <f>IF($B581="","",O581*X581/100)</f>
        <v/>
      </c>
      <c r="Q581" s="7">
        <f>IF($B581="","",O581-P581)</f>
        <v/>
      </c>
      <c r="R581" s="7">
        <f>IF($B581="","",Q581-J581)</f>
        <v/>
      </c>
      <c r="S581" s="7" t="n"/>
      <c r="T581" s="7" t="n"/>
      <c r="V581" s="14" t="n"/>
      <c r="Z581">
        <f>IF($B581="","",IF(COUNTIF($B$2:$B581,$B581)=1,1,0))</f>
        <v/>
      </c>
      <c r="AA581">
        <f>IF($Z581=1,SUMPRODUCT(--($AC$2:$AC$3001&lt;$AC581))+1,"")</f>
        <v/>
      </c>
      <c r="AB581">
        <f>IF($B581="","",IF(OR($Y581=TRUE(),$Y581="TRUE"),1,IF(AND($Y581&lt;&gt;"",OR($Y581=FALSE(),$Y581="FALSE")),0,IF(MIN(ABS($X581/100-Settings!$C$6),ABS($X581/100-Settings!$G$6))&lt;=MIN(ABS($X581/100-Settings!$C$7),ABS($X581/100-Settings!$G$7)),1,0))))</f>
        <v/>
      </c>
      <c r="AC581">
        <f>IF($Z581=1,IFERROR(IF(VALUE($B581)&lt;100000000,VALUE($B581),1000000000),IFERROR(IF(VALUE(MID($B581,2,20))&lt;100000000,VALUE(MID($B581,2,20)),1000000000),1000000000))+ROW()/100000,"")</f>
        <v/>
      </c>
    </row>
    <row r="582">
      <c r="A582">
        <f>IF($B582="","",IFERROR(IF(INDEX('Per Invoice'!$A$2:$A$801,MATCH($B582,'Per Invoice'!$B$2:$B$801,0))=0,"",INDEX('Per Invoice'!$A$2:$A$801,MATCH($B582,'Per Invoice'!$B$2:$B$801,0))),""))</f>
        <v/>
      </c>
      <c r="J582" s="7">
        <f>IF($B582="","",I582*Q582/100)</f>
        <v/>
      </c>
      <c r="N582" s="7" t="n"/>
      <c r="O582" s="7" t="n"/>
      <c r="P582" s="7">
        <f>IF($B582="","",O582*X582/100)</f>
        <v/>
      </c>
      <c r="Q582" s="7">
        <f>IF($B582="","",O582-P582)</f>
        <v/>
      </c>
      <c r="R582" s="7">
        <f>IF($B582="","",Q582-J582)</f>
        <v/>
      </c>
      <c r="S582" s="7" t="n"/>
      <c r="T582" s="7" t="n"/>
      <c r="V582" s="14" t="n"/>
      <c r="Z582">
        <f>IF($B582="","",IF(COUNTIF($B$2:$B582,$B582)=1,1,0))</f>
        <v/>
      </c>
      <c r="AA582">
        <f>IF($Z582=1,SUMPRODUCT(--($AC$2:$AC$3001&lt;$AC582))+1,"")</f>
        <v/>
      </c>
      <c r="AB582">
        <f>IF($B582="","",IF(OR($Y582=TRUE(),$Y582="TRUE"),1,IF(AND($Y582&lt;&gt;"",OR($Y582=FALSE(),$Y582="FALSE")),0,IF(MIN(ABS($X582/100-Settings!$C$6),ABS($X582/100-Settings!$G$6))&lt;=MIN(ABS($X582/100-Settings!$C$7),ABS($X582/100-Settings!$G$7)),1,0))))</f>
        <v/>
      </c>
      <c r="AC582">
        <f>IF($Z582=1,IFERROR(IF(VALUE($B582)&lt;100000000,VALUE($B582),1000000000),IFERROR(IF(VALUE(MID($B582,2,20))&lt;100000000,VALUE(MID($B582,2,20)),1000000000),1000000000))+ROW()/100000,"")</f>
        <v/>
      </c>
    </row>
    <row r="583">
      <c r="A583">
        <f>IF($B583="","",IFERROR(IF(INDEX('Per Invoice'!$A$2:$A$801,MATCH($B583,'Per Invoice'!$B$2:$B$801,0))=0,"",INDEX('Per Invoice'!$A$2:$A$801,MATCH($B583,'Per Invoice'!$B$2:$B$801,0))),""))</f>
        <v/>
      </c>
      <c r="J583" s="7">
        <f>IF($B583="","",I583*Q583/100)</f>
        <v/>
      </c>
      <c r="N583" s="7" t="n"/>
      <c r="O583" s="7" t="n"/>
      <c r="P583" s="7">
        <f>IF($B583="","",O583*X583/100)</f>
        <v/>
      </c>
      <c r="Q583" s="7">
        <f>IF($B583="","",O583-P583)</f>
        <v/>
      </c>
      <c r="R583" s="7">
        <f>IF($B583="","",Q583-J583)</f>
        <v/>
      </c>
      <c r="S583" s="7" t="n"/>
      <c r="T583" s="7" t="n"/>
      <c r="V583" s="14" t="n"/>
      <c r="Z583">
        <f>IF($B583="","",IF(COUNTIF($B$2:$B583,$B583)=1,1,0))</f>
        <v/>
      </c>
      <c r="AA583">
        <f>IF($Z583=1,SUMPRODUCT(--($AC$2:$AC$3001&lt;$AC583))+1,"")</f>
        <v/>
      </c>
      <c r="AB583">
        <f>IF($B583="","",IF(OR($Y583=TRUE(),$Y583="TRUE"),1,IF(AND($Y583&lt;&gt;"",OR($Y583=FALSE(),$Y583="FALSE")),0,IF(MIN(ABS($X583/100-Settings!$C$6),ABS($X583/100-Settings!$G$6))&lt;=MIN(ABS($X583/100-Settings!$C$7),ABS($X583/100-Settings!$G$7)),1,0))))</f>
        <v/>
      </c>
      <c r="AC583">
        <f>IF($Z583=1,IFERROR(IF(VALUE($B583)&lt;100000000,VALUE($B583),1000000000),IFERROR(IF(VALUE(MID($B583,2,20))&lt;100000000,VALUE(MID($B583,2,20)),1000000000),1000000000))+ROW()/100000,"")</f>
        <v/>
      </c>
    </row>
    <row r="584">
      <c r="A584">
        <f>IF($B584="","",IFERROR(IF(INDEX('Per Invoice'!$A$2:$A$801,MATCH($B584,'Per Invoice'!$B$2:$B$801,0))=0,"",INDEX('Per Invoice'!$A$2:$A$801,MATCH($B584,'Per Invoice'!$B$2:$B$801,0))),""))</f>
        <v/>
      </c>
      <c r="J584" s="7">
        <f>IF($B584="","",I584*Q584/100)</f>
        <v/>
      </c>
      <c r="N584" s="7" t="n"/>
      <c r="O584" s="7" t="n"/>
      <c r="P584" s="7">
        <f>IF($B584="","",O584*X584/100)</f>
        <v/>
      </c>
      <c r="Q584" s="7">
        <f>IF($B584="","",O584-P584)</f>
        <v/>
      </c>
      <c r="R584" s="7">
        <f>IF($B584="","",Q584-J584)</f>
        <v/>
      </c>
      <c r="S584" s="7" t="n"/>
      <c r="T584" s="7" t="n"/>
      <c r="V584" s="14" t="n"/>
      <c r="Z584">
        <f>IF($B584="","",IF(COUNTIF($B$2:$B584,$B584)=1,1,0))</f>
        <v/>
      </c>
      <c r="AA584">
        <f>IF($Z584=1,SUMPRODUCT(--($AC$2:$AC$3001&lt;$AC584))+1,"")</f>
        <v/>
      </c>
      <c r="AB584">
        <f>IF($B584="","",IF(OR($Y584=TRUE(),$Y584="TRUE"),1,IF(AND($Y584&lt;&gt;"",OR($Y584=FALSE(),$Y584="FALSE")),0,IF(MIN(ABS($X584/100-Settings!$C$6),ABS($X584/100-Settings!$G$6))&lt;=MIN(ABS($X584/100-Settings!$C$7),ABS($X584/100-Settings!$G$7)),1,0))))</f>
        <v/>
      </c>
      <c r="AC584">
        <f>IF($Z584=1,IFERROR(IF(VALUE($B584)&lt;100000000,VALUE($B584),1000000000),IFERROR(IF(VALUE(MID($B584,2,20))&lt;100000000,VALUE(MID($B584,2,20)),1000000000),1000000000))+ROW()/100000,"")</f>
        <v/>
      </c>
    </row>
    <row r="585">
      <c r="A585">
        <f>IF($B585="","",IFERROR(IF(INDEX('Per Invoice'!$A$2:$A$801,MATCH($B585,'Per Invoice'!$B$2:$B$801,0))=0,"",INDEX('Per Invoice'!$A$2:$A$801,MATCH($B585,'Per Invoice'!$B$2:$B$801,0))),""))</f>
        <v/>
      </c>
      <c r="J585" s="7">
        <f>IF($B585="","",I585*Q585/100)</f>
        <v/>
      </c>
      <c r="N585" s="7" t="n"/>
      <c r="O585" s="7" t="n"/>
      <c r="P585" s="7">
        <f>IF($B585="","",O585*X585/100)</f>
        <v/>
      </c>
      <c r="Q585" s="7">
        <f>IF($B585="","",O585-P585)</f>
        <v/>
      </c>
      <c r="R585" s="7">
        <f>IF($B585="","",Q585-J585)</f>
        <v/>
      </c>
      <c r="S585" s="7" t="n"/>
      <c r="T585" s="7" t="n"/>
      <c r="V585" s="14" t="n"/>
      <c r="Z585">
        <f>IF($B585="","",IF(COUNTIF($B$2:$B585,$B585)=1,1,0))</f>
        <v/>
      </c>
      <c r="AA585">
        <f>IF($Z585=1,SUMPRODUCT(--($AC$2:$AC$3001&lt;$AC585))+1,"")</f>
        <v/>
      </c>
      <c r="AB585">
        <f>IF($B585="","",IF(OR($Y585=TRUE(),$Y585="TRUE"),1,IF(AND($Y585&lt;&gt;"",OR($Y585=FALSE(),$Y585="FALSE")),0,IF(MIN(ABS($X585/100-Settings!$C$6),ABS($X585/100-Settings!$G$6))&lt;=MIN(ABS($X585/100-Settings!$C$7),ABS($X585/100-Settings!$G$7)),1,0))))</f>
        <v/>
      </c>
      <c r="AC585">
        <f>IF($Z585=1,IFERROR(IF(VALUE($B585)&lt;100000000,VALUE($B585),1000000000),IFERROR(IF(VALUE(MID($B585,2,20))&lt;100000000,VALUE(MID($B585,2,20)),1000000000),1000000000))+ROW()/100000,"")</f>
        <v/>
      </c>
    </row>
    <row r="586">
      <c r="A586">
        <f>IF($B586="","",IFERROR(IF(INDEX('Per Invoice'!$A$2:$A$801,MATCH($B586,'Per Invoice'!$B$2:$B$801,0))=0,"",INDEX('Per Invoice'!$A$2:$A$801,MATCH($B586,'Per Invoice'!$B$2:$B$801,0))),""))</f>
        <v/>
      </c>
      <c r="J586" s="7">
        <f>IF($B586="","",I586*Q586/100)</f>
        <v/>
      </c>
      <c r="N586" s="7" t="n"/>
      <c r="O586" s="7" t="n"/>
      <c r="P586" s="7">
        <f>IF($B586="","",O586*X586/100)</f>
        <v/>
      </c>
      <c r="Q586" s="7">
        <f>IF($B586="","",O586-P586)</f>
        <v/>
      </c>
      <c r="R586" s="7">
        <f>IF($B586="","",Q586-J586)</f>
        <v/>
      </c>
      <c r="S586" s="7" t="n"/>
      <c r="T586" s="7" t="n"/>
      <c r="V586" s="14" t="n"/>
      <c r="Z586">
        <f>IF($B586="","",IF(COUNTIF($B$2:$B586,$B586)=1,1,0))</f>
        <v/>
      </c>
      <c r="AA586">
        <f>IF($Z586=1,SUMPRODUCT(--($AC$2:$AC$3001&lt;$AC586))+1,"")</f>
        <v/>
      </c>
      <c r="AB586">
        <f>IF($B586="","",IF(OR($Y586=TRUE(),$Y586="TRUE"),1,IF(AND($Y586&lt;&gt;"",OR($Y586=FALSE(),$Y586="FALSE")),0,IF(MIN(ABS($X586/100-Settings!$C$6),ABS($X586/100-Settings!$G$6))&lt;=MIN(ABS($X586/100-Settings!$C$7),ABS($X586/100-Settings!$G$7)),1,0))))</f>
        <v/>
      </c>
      <c r="AC586">
        <f>IF($Z586=1,IFERROR(IF(VALUE($B586)&lt;100000000,VALUE($B586),1000000000),IFERROR(IF(VALUE(MID($B586,2,20))&lt;100000000,VALUE(MID($B586,2,20)),1000000000),1000000000))+ROW()/100000,"")</f>
        <v/>
      </c>
    </row>
    <row r="587">
      <c r="A587">
        <f>IF($B587="","",IFERROR(IF(INDEX('Per Invoice'!$A$2:$A$801,MATCH($B587,'Per Invoice'!$B$2:$B$801,0))=0,"",INDEX('Per Invoice'!$A$2:$A$801,MATCH($B587,'Per Invoice'!$B$2:$B$801,0))),""))</f>
        <v/>
      </c>
      <c r="J587" s="7">
        <f>IF($B587="","",I587*Q587/100)</f>
        <v/>
      </c>
      <c r="N587" s="7" t="n"/>
      <c r="O587" s="7" t="n"/>
      <c r="P587" s="7">
        <f>IF($B587="","",O587*X587/100)</f>
        <v/>
      </c>
      <c r="Q587" s="7">
        <f>IF($B587="","",O587-P587)</f>
        <v/>
      </c>
      <c r="R587" s="7">
        <f>IF($B587="","",Q587-J587)</f>
        <v/>
      </c>
      <c r="S587" s="7" t="n"/>
      <c r="T587" s="7" t="n"/>
      <c r="V587" s="14" t="n"/>
      <c r="Z587">
        <f>IF($B587="","",IF(COUNTIF($B$2:$B587,$B587)=1,1,0))</f>
        <v/>
      </c>
      <c r="AA587">
        <f>IF($Z587=1,SUMPRODUCT(--($AC$2:$AC$3001&lt;$AC587))+1,"")</f>
        <v/>
      </c>
      <c r="AB587">
        <f>IF($B587="","",IF(OR($Y587=TRUE(),$Y587="TRUE"),1,IF(AND($Y587&lt;&gt;"",OR($Y587=FALSE(),$Y587="FALSE")),0,IF(MIN(ABS($X587/100-Settings!$C$6),ABS($X587/100-Settings!$G$6))&lt;=MIN(ABS($X587/100-Settings!$C$7),ABS($X587/100-Settings!$G$7)),1,0))))</f>
        <v/>
      </c>
      <c r="AC587">
        <f>IF($Z587=1,IFERROR(IF(VALUE($B587)&lt;100000000,VALUE($B587),1000000000),IFERROR(IF(VALUE(MID($B587,2,20))&lt;100000000,VALUE(MID($B587,2,20)),1000000000),1000000000))+ROW()/100000,"")</f>
        <v/>
      </c>
    </row>
    <row r="588">
      <c r="A588">
        <f>IF($B588="","",IFERROR(IF(INDEX('Per Invoice'!$A$2:$A$801,MATCH($B588,'Per Invoice'!$B$2:$B$801,0))=0,"",INDEX('Per Invoice'!$A$2:$A$801,MATCH($B588,'Per Invoice'!$B$2:$B$801,0))),""))</f>
        <v/>
      </c>
      <c r="J588" s="7">
        <f>IF($B588="","",I588*Q588/100)</f>
        <v/>
      </c>
      <c r="N588" s="7" t="n"/>
      <c r="O588" s="7" t="n"/>
      <c r="P588" s="7">
        <f>IF($B588="","",O588*X588/100)</f>
        <v/>
      </c>
      <c r="Q588" s="7">
        <f>IF($B588="","",O588-P588)</f>
        <v/>
      </c>
      <c r="R588" s="7">
        <f>IF($B588="","",Q588-J588)</f>
        <v/>
      </c>
      <c r="S588" s="7" t="n"/>
      <c r="T588" s="7" t="n"/>
      <c r="V588" s="14" t="n"/>
      <c r="Z588">
        <f>IF($B588="","",IF(COUNTIF($B$2:$B588,$B588)=1,1,0))</f>
        <v/>
      </c>
      <c r="AA588">
        <f>IF($Z588=1,SUMPRODUCT(--($AC$2:$AC$3001&lt;$AC588))+1,"")</f>
        <v/>
      </c>
      <c r="AB588">
        <f>IF($B588="","",IF(OR($Y588=TRUE(),$Y588="TRUE"),1,IF(AND($Y588&lt;&gt;"",OR($Y588=FALSE(),$Y588="FALSE")),0,IF(MIN(ABS($X588/100-Settings!$C$6),ABS($X588/100-Settings!$G$6))&lt;=MIN(ABS($X588/100-Settings!$C$7),ABS($X588/100-Settings!$G$7)),1,0))))</f>
        <v/>
      </c>
      <c r="AC588">
        <f>IF($Z588=1,IFERROR(IF(VALUE($B588)&lt;100000000,VALUE($B588),1000000000),IFERROR(IF(VALUE(MID($B588,2,20))&lt;100000000,VALUE(MID($B588,2,20)),1000000000),1000000000))+ROW()/100000,"")</f>
        <v/>
      </c>
    </row>
    <row r="589">
      <c r="A589">
        <f>IF($B589="","",IFERROR(IF(INDEX('Per Invoice'!$A$2:$A$801,MATCH($B589,'Per Invoice'!$B$2:$B$801,0))=0,"",INDEX('Per Invoice'!$A$2:$A$801,MATCH($B589,'Per Invoice'!$B$2:$B$801,0))),""))</f>
        <v/>
      </c>
      <c r="J589" s="7">
        <f>IF($B589="","",I589*Q589/100)</f>
        <v/>
      </c>
      <c r="N589" s="7" t="n"/>
      <c r="O589" s="7" t="n"/>
      <c r="P589" s="7">
        <f>IF($B589="","",O589*X589/100)</f>
        <v/>
      </c>
      <c r="Q589" s="7">
        <f>IF($B589="","",O589-P589)</f>
        <v/>
      </c>
      <c r="R589" s="7">
        <f>IF($B589="","",Q589-J589)</f>
        <v/>
      </c>
      <c r="S589" s="7" t="n"/>
      <c r="T589" s="7" t="n"/>
      <c r="V589" s="14" t="n"/>
      <c r="Z589">
        <f>IF($B589="","",IF(COUNTIF($B$2:$B589,$B589)=1,1,0))</f>
        <v/>
      </c>
      <c r="AA589">
        <f>IF($Z589=1,SUMPRODUCT(--($AC$2:$AC$3001&lt;$AC589))+1,"")</f>
        <v/>
      </c>
      <c r="AB589">
        <f>IF($B589="","",IF(OR($Y589=TRUE(),$Y589="TRUE"),1,IF(AND($Y589&lt;&gt;"",OR($Y589=FALSE(),$Y589="FALSE")),0,IF(MIN(ABS($X589/100-Settings!$C$6),ABS($X589/100-Settings!$G$6))&lt;=MIN(ABS($X589/100-Settings!$C$7),ABS($X589/100-Settings!$G$7)),1,0))))</f>
        <v/>
      </c>
      <c r="AC589">
        <f>IF($Z589=1,IFERROR(IF(VALUE($B589)&lt;100000000,VALUE($B589),1000000000),IFERROR(IF(VALUE(MID($B589,2,20))&lt;100000000,VALUE(MID($B589,2,20)),1000000000),1000000000))+ROW()/100000,"")</f>
        <v/>
      </c>
    </row>
    <row r="590">
      <c r="A590">
        <f>IF($B590="","",IFERROR(IF(INDEX('Per Invoice'!$A$2:$A$801,MATCH($B590,'Per Invoice'!$B$2:$B$801,0))=0,"",INDEX('Per Invoice'!$A$2:$A$801,MATCH($B590,'Per Invoice'!$B$2:$B$801,0))),""))</f>
        <v/>
      </c>
      <c r="J590" s="7">
        <f>IF($B590="","",I590*Q590/100)</f>
        <v/>
      </c>
      <c r="N590" s="7" t="n"/>
      <c r="O590" s="7" t="n"/>
      <c r="P590" s="7">
        <f>IF($B590="","",O590*X590/100)</f>
        <v/>
      </c>
      <c r="Q590" s="7">
        <f>IF($B590="","",O590-P590)</f>
        <v/>
      </c>
      <c r="R590" s="7">
        <f>IF($B590="","",Q590-J590)</f>
        <v/>
      </c>
      <c r="S590" s="7" t="n"/>
      <c r="T590" s="7" t="n"/>
      <c r="V590" s="14" t="n"/>
      <c r="Z590">
        <f>IF($B590="","",IF(COUNTIF($B$2:$B590,$B590)=1,1,0))</f>
        <v/>
      </c>
      <c r="AA590">
        <f>IF($Z590=1,SUMPRODUCT(--($AC$2:$AC$3001&lt;$AC590))+1,"")</f>
        <v/>
      </c>
      <c r="AB590">
        <f>IF($B590="","",IF(OR($Y590=TRUE(),$Y590="TRUE"),1,IF(AND($Y590&lt;&gt;"",OR($Y590=FALSE(),$Y590="FALSE")),0,IF(MIN(ABS($X590/100-Settings!$C$6),ABS($X590/100-Settings!$G$6))&lt;=MIN(ABS($X590/100-Settings!$C$7),ABS($X590/100-Settings!$G$7)),1,0))))</f>
        <v/>
      </c>
      <c r="AC590">
        <f>IF($Z590=1,IFERROR(IF(VALUE($B590)&lt;100000000,VALUE($B590),1000000000),IFERROR(IF(VALUE(MID($B590,2,20))&lt;100000000,VALUE(MID($B590,2,20)),1000000000),1000000000))+ROW()/100000,"")</f>
        <v/>
      </c>
    </row>
    <row r="591">
      <c r="A591">
        <f>IF($B591="","",IFERROR(IF(INDEX('Per Invoice'!$A$2:$A$801,MATCH($B591,'Per Invoice'!$B$2:$B$801,0))=0,"",INDEX('Per Invoice'!$A$2:$A$801,MATCH($B591,'Per Invoice'!$B$2:$B$801,0))),""))</f>
        <v/>
      </c>
      <c r="J591" s="7">
        <f>IF($B591="","",I591*Q591/100)</f>
        <v/>
      </c>
      <c r="N591" s="7" t="n"/>
      <c r="O591" s="7" t="n"/>
      <c r="P591" s="7">
        <f>IF($B591="","",O591*X591/100)</f>
        <v/>
      </c>
      <c r="Q591" s="7">
        <f>IF($B591="","",O591-P591)</f>
        <v/>
      </c>
      <c r="R591" s="7">
        <f>IF($B591="","",Q591-J591)</f>
        <v/>
      </c>
      <c r="S591" s="7" t="n"/>
      <c r="T591" s="7" t="n"/>
      <c r="V591" s="14" t="n"/>
      <c r="Z591">
        <f>IF($B591="","",IF(COUNTIF($B$2:$B591,$B591)=1,1,0))</f>
        <v/>
      </c>
      <c r="AA591">
        <f>IF($Z591=1,SUMPRODUCT(--($AC$2:$AC$3001&lt;$AC591))+1,"")</f>
        <v/>
      </c>
      <c r="AB591">
        <f>IF($B591="","",IF(OR($Y591=TRUE(),$Y591="TRUE"),1,IF(AND($Y591&lt;&gt;"",OR($Y591=FALSE(),$Y591="FALSE")),0,IF(MIN(ABS($X591/100-Settings!$C$6),ABS($X591/100-Settings!$G$6))&lt;=MIN(ABS($X591/100-Settings!$C$7),ABS($X591/100-Settings!$G$7)),1,0))))</f>
        <v/>
      </c>
      <c r="AC591">
        <f>IF($Z591=1,IFERROR(IF(VALUE($B591)&lt;100000000,VALUE($B591),1000000000),IFERROR(IF(VALUE(MID($B591,2,20))&lt;100000000,VALUE(MID($B591,2,20)),1000000000),1000000000))+ROW()/100000,"")</f>
        <v/>
      </c>
    </row>
    <row r="592">
      <c r="A592">
        <f>IF($B592="","",IFERROR(IF(INDEX('Per Invoice'!$A$2:$A$801,MATCH($B592,'Per Invoice'!$B$2:$B$801,0))=0,"",INDEX('Per Invoice'!$A$2:$A$801,MATCH($B592,'Per Invoice'!$B$2:$B$801,0))),""))</f>
        <v/>
      </c>
      <c r="J592" s="7">
        <f>IF($B592="","",I592*Q592/100)</f>
        <v/>
      </c>
      <c r="N592" s="7" t="n"/>
      <c r="O592" s="7" t="n"/>
      <c r="P592" s="7">
        <f>IF($B592="","",O592*X592/100)</f>
        <v/>
      </c>
      <c r="Q592" s="7">
        <f>IF($B592="","",O592-P592)</f>
        <v/>
      </c>
      <c r="R592" s="7">
        <f>IF($B592="","",Q592-J592)</f>
        <v/>
      </c>
      <c r="S592" s="7" t="n"/>
      <c r="T592" s="7" t="n"/>
      <c r="V592" s="14" t="n"/>
      <c r="Z592">
        <f>IF($B592="","",IF(COUNTIF($B$2:$B592,$B592)=1,1,0))</f>
        <v/>
      </c>
      <c r="AA592">
        <f>IF($Z592=1,SUMPRODUCT(--($AC$2:$AC$3001&lt;$AC592))+1,"")</f>
        <v/>
      </c>
      <c r="AB592">
        <f>IF($B592="","",IF(OR($Y592=TRUE(),$Y592="TRUE"),1,IF(AND($Y592&lt;&gt;"",OR($Y592=FALSE(),$Y592="FALSE")),0,IF(MIN(ABS($X592/100-Settings!$C$6),ABS($X592/100-Settings!$G$6))&lt;=MIN(ABS($X592/100-Settings!$C$7),ABS($X592/100-Settings!$G$7)),1,0))))</f>
        <v/>
      </c>
      <c r="AC592">
        <f>IF($Z592=1,IFERROR(IF(VALUE($B592)&lt;100000000,VALUE($B592),1000000000),IFERROR(IF(VALUE(MID($B592,2,20))&lt;100000000,VALUE(MID($B592,2,20)),1000000000),1000000000))+ROW()/100000,"")</f>
        <v/>
      </c>
    </row>
    <row r="593">
      <c r="A593">
        <f>IF($B593="","",IFERROR(IF(INDEX('Per Invoice'!$A$2:$A$801,MATCH($B593,'Per Invoice'!$B$2:$B$801,0))=0,"",INDEX('Per Invoice'!$A$2:$A$801,MATCH($B593,'Per Invoice'!$B$2:$B$801,0))),""))</f>
        <v/>
      </c>
      <c r="J593" s="7">
        <f>IF($B593="","",I593*Q593/100)</f>
        <v/>
      </c>
      <c r="N593" s="7" t="n"/>
      <c r="O593" s="7" t="n"/>
      <c r="P593" s="7">
        <f>IF($B593="","",O593*X593/100)</f>
        <v/>
      </c>
      <c r="Q593" s="7">
        <f>IF($B593="","",O593-P593)</f>
        <v/>
      </c>
      <c r="R593" s="7">
        <f>IF($B593="","",Q593-J593)</f>
        <v/>
      </c>
      <c r="S593" s="7" t="n"/>
      <c r="T593" s="7" t="n"/>
      <c r="V593" s="14" t="n"/>
      <c r="Z593">
        <f>IF($B593="","",IF(COUNTIF($B$2:$B593,$B593)=1,1,0))</f>
        <v/>
      </c>
      <c r="AA593">
        <f>IF($Z593=1,SUMPRODUCT(--($AC$2:$AC$3001&lt;$AC593))+1,"")</f>
        <v/>
      </c>
      <c r="AB593">
        <f>IF($B593="","",IF(OR($Y593=TRUE(),$Y593="TRUE"),1,IF(AND($Y593&lt;&gt;"",OR($Y593=FALSE(),$Y593="FALSE")),0,IF(MIN(ABS($X593/100-Settings!$C$6),ABS($X593/100-Settings!$G$6))&lt;=MIN(ABS($X593/100-Settings!$C$7),ABS($X593/100-Settings!$G$7)),1,0))))</f>
        <v/>
      </c>
      <c r="AC593">
        <f>IF($Z593=1,IFERROR(IF(VALUE($B593)&lt;100000000,VALUE($B593),1000000000),IFERROR(IF(VALUE(MID($B593,2,20))&lt;100000000,VALUE(MID($B593,2,20)),1000000000),1000000000))+ROW()/100000,"")</f>
        <v/>
      </c>
    </row>
    <row r="594">
      <c r="A594">
        <f>IF($B594="","",IFERROR(IF(INDEX('Per Invoice'!$A$2:$A$801,MATCH($B594,'Per Invoice'!$B$2:$B$801,0))=0,"",INDEX('Per Invoice'!$A$2:$A$801,MATCH($B594,'Per Invoice'!$B$2:$B$801,0))),""))</f>
        <v/>
      </c>
      <c r="J594" s="7">
        <f>IF($B594="","",I594*Q594/100)</f>
        <v/>
      </c>
      <c r="N594" s="7" t="n"/>
      <c r="O594" s="7" t="n"/>
      <c r="P594" s="7">
        <f>IF($B594="","",O594*X594/100)</f>
        <v/>
      </c>
      <c r="Q594" s="7">
        <f>IF($B594="","",O594-P594)</f>
        <v/>
      </c>
      <c r="R594" s="7">
        <f>IF($B594="","",Q594-J594)</f>
        <v/>
      </c>
      <c r="S594" s="7" t="n"/>
      <c r="T594" s="7" t="n"/>
      <c r="V594" s="14" t="n"/>
      <c r="Z594">
        <f>IF($B594="","",IF(COUNTIF($B$2:$B594,$B594)=1,1,0))</f>
        <v/>
      </c>
      <c r="AA594">
        <f>IF($Z594=1,SUMPRODUCT(--($AC$2:$AC$3001&lt;$AC594))+1,"")</f>
        <v/>
      </c>
      <c r="AB594">
        <f>IF($B594="","",IF(OR($Y594=TRUE(),$Y594="TRUE"),1,IF(AND($Y594&lt;&gt;"",OR($Y594=FALSE(),$Y594="FALSE")),0,IF(MIN(ABS($X594/100-Settings!$C$6),ABS($X594/100-Settings!$G$6))&lt;=MIN(ABS($X594/100-Settings!$C$7),ABS($X594/100-Settings!$G$7)),1,0))))</f>
        <v/>
      </c>
      <c r="AC594">
        <f>IF($Z594=1,IFERROR(IF(VALUE($B594)&lt;100000000,VALUE($B594),1000000000),IFERROR(IF(VALUE(MID($B594,2,20))&lt;100000000,VALUE(MID($B594,2,20)),1000000000),1000000000))+ROW()/100000,"")</f>
        <v/>
      </c>
    </row>
    <row r="595">
      <c r="A595">
        <f>IF($B595="","",IFERROR(IF(INDEX('Per Invoice'!$A$2:$A$801,MATCH($B595,'Per Invoice'!$B$2:$B$801,0))=0,"",INDEX('Per Invoice'!$A$2:$A$801,MATCH($B595,'Per Invoice'!$B$2:$B$801,0))),""))</f>
        <v/>
      </c>
      <c r="J595" s="7">
        <f>IF($B595="","",I595*Q595/100)</f>
        <v/>
      </c>
      <c r="N595" s="7" t="n"/>
      <c r="O595" s="7" t="n"/>
      <c r="P595" s="7">
        <f>IF($B595="","",O595*X595/100)</f>
        <v/>
      </c>
      <c r="Q595" s="7">
        <f>IF($B595="","",O595-P595)</f>
        <v/>
      </c>
      <c r="R595" s="7">
        <f>IF($B595="","",Q595-J595)</f>
        <v/>
      </c>
      <c r="S595" s="7" t="n"/>
      <c r="T595" s="7" t="n"/>
      <c r="V595" s="14" t="n"/>
      <c r="Z595">
        <f>IF($B595="","",IF(COUNTIF($B$2:$B595,$B595)=1,1,0))</f>
        <v/>
      </c>
      <c r="AA595">
        <f>IF($Z595=1,SUMPRODUCT(--($AC$2:$AC$3001&lt;$AC595))+1,"")</f>
        <v/>
      </c>
      <c r="AB595">
        <f>IF($B595="","",IF(OR($Y595=TRUE(),$Y595="TRUE"),1,IF(AND($Y595&lt;&gt;"",OR($Y595=FALSE(),$Y595="FALSE")),0,IF(MIN(ABS($X595/100-Settings!$C$6),ABS($X595/100-Settings!$G$6))&lt;=MIN(ABS($X595/100-Settings!$C$7),ABS($X595/100-Settings!$G$7)),1,0))))</f>
        <v/>
      </c>
      <c r="AC595">
        <f>IF($Z595=1,IFERROR(IF(VALUE($B595)&lt;100000000,VALUE($B595),1000000000),IFERROR(IF(VALUE(MID($B595,2,20))&lt;100000000,VALUE(MID($B595,2,20)),1000000000),1000000000))+ROW()/100000,"")</f>
        <v/>
      </c>
    </row>
    <row r="596">
      <c r="A596">
        <f>IF($B596="","",IFERROR(IF(INDEX('Per Invoice'!$A$2:$A$801,MATCH($B596,'Per Invoice'!$B$2:$B$801,0))=0,"",INDEX('Per Invoice'!$A$2:$A$801,MATCH($B596,'Per Invoice'!$B$2:$B$801,0))),""))</f>
        <v/>
      </c>
      <c r="J596" s="7">
        <f>IF($B596="","",I596*Q596/100)</f>
        <v/>
      </c>
      <c r="N596" s="7" t="n"/>
      <c r="O596" s="7" t="n"/>
      <c r="P596" s="7">
        <f>IF($B596="","",O596*X596/100)</f>
        <v/>
      </c>
      <c r="Q596" s="7">
        <f>IF($B596="","",O596-P596)</f>
        <v/>
      </c>
      <c r="R596" s="7">
        <f>IF($B596="","",Q596-J596)</f>
        <v/>
      </c>
      <c r="S596" s="7" t="n"/>
      <c r="T596" s="7" t="n"/>
      <c r="V596" s="14" t="n"/>
      <c r="Z596">
        <f>IF($B596="","",IF(COUNTIF($B$2:$B596,$B596)=1,1,0))</f>
        <v/>
      </c>
      <c r="AA596">
        <f>IF($Z596=1,SUMPRODUCT(--($AC$2:$AC$3001&lt;$AC596))+1,"")</f>
        <v/>
      </c>
      <c r="AB596">
        <f>IF($B596="","",IF(OR($Y596=TRUE(),$Y596="TRUE"),1,IF(AND($Y596&lt;&gt;"",OR($Y596=FALSE(),$Y596="FALSE")),0,IF(MIN(ABS($X596/100-Settings!$C$6),ABS($X596/100-Settings!$G$6))&lt;=MIN(ABS($X596/100-Settings!$C$7),ABS($X596/100-Settings!$G$7)),1,0))))</f>
        <v/>
      </c>
      <c r="AC596">
        <f>IF($Z596=1,IFERROR(IF(VALUE($B596)&lt;100000000,VALUE($B596),1000000000),IFERROR(IF(VALUE(MID($B596,2,20))&lt;100000000,VALUE(MID($B596,2,20)),1000000000),1000000000))+ROW()/100000,"")</f>
        <v/>
      </c>
    </row>
    <row r="597">
      <c r="A597">
        <f>IF($B597="","",IFERROR(IF(INDEX('Per Invoice'!$A$2:$A$801,MATCH($B597,'Per Invoice'!$B$2:$B$801,0))=0,"",INDEX('Per Invoice'!$A$2:$A$801,MATCH($B597,'Per Invoice'!$B$2:$B$801,0))),""))</f>
        <v/>
      </c>
      <c r="J597" s="7">
        <f>IF($B597="","",I597*Q597/100)</f>
        <v/>
      </c>
      <c r="N597" s="7" t="n"/>
      <c r="O597" s="7" t="n"/>
      <c r="P597" s="7">
        <f>IF($B597="","",O597*X597/100)</f>
        <v/>
      </c>
      <c r="Q597" s="7">
        <f>IF($B597="","",O597-P597)</f>
        <v/>
      </c>
      <c r="R597" s="7">
        <f>IF($B597="","",Q597-J597)</f>
        <v/>
      </c>
      <c r="S597" s="7" t="n"/>
      <c r="T597" s="7" t="n"/>
      <c r="V597" s="14" t="n"/>
      <c r="Z597">
        <f>IF($B597="","",IF(COUNTIF($B$2:$B597,$B597)=1,1,0))</f>
        <v/>
      </c>
      <c r="AA597">
        <f>IF($Z597=1,SUMPRODUCT(--($AC$2:$AC$3001&lt;$AC597))+1,"")</f>
        <v/>
      </c>
      <c r="AB597">
        <f>IF($B597="","",IF(OR($Y597=TRUE(),$Y597="TRUE"),1,IF(AND($Y597&lt;&gt;"",OR($Y597=FALSE(),$Y597="FALSE")),0,IF(MIN(ABS($X597/100-Settings!$C$6),ABS($X597/100-Settings!$G$6))&lt;=MIN(ABS($X597/100-Settings!$C$7),ABS($X597/100-Settings!$G$7)),1,0))))</f>
        <v/>
      </c>
      <c r="AC597">
        <f>IF($Z597=1,IFERROR(IF(VALUE($B597)&lt;100000000,VALUE($B597),1000000000),IFERROR(IF(VALUE(MID($B597,2,20))&lt;100000000,VALUE(MID($B597,2,20)),1000000000),1000000000))+ROW()/100000,"")</f>
        <v/>
      </c>
    </row>
    <row r="598">
      <c r="A598">
        <f>IF($B598="","",IFERROR(IF(INDEX('Per Invoice'!$A$2:$A$801,MATCH($B598,'Per Invoice'!$B$2:$B$801,0))=0,"",INDEX('Per Invoice'!$A$2:$A$801,MATCH($B598,'Per Invoice'!$B$2:$B$801,0))),""))</f>
        <v/>
      </c>
      <c r="J598" s="7">
        <f>IF($B598="","",I598*Q598/100)</f>
        <v/>
      </c>
      <c r="N598" s="7" t="n"/>
      <c r="O598" s="7" t="n"/>
      <c r="P598" s="7">
        <f>IF($B598="","",O598*X598/100)</f>
        <v/>
      </c>
      <c r="Q598" s="7">
        <f>IF($B598="","",O598-P598)</f>
        <v/>
      </c>
      <c r="R598" s="7">
        <f>IF($B598="","",Q598-J598)</f>
        <v/>
      </c>
      <c r="S598" s="7" t="n"/>
      <c r="T598" s="7" t="n"/>
      <c r="V598" s="14" t="n"/>
      <c r="Z598">
        <f>IF($B598="","",IF(COUNTIF($B$2:$B598,$B598)=1,1,0))</f>
        <v/>
      </c>
      <c r="AA598">
        <f>IF($Z598=1,SUMPRODUCT(--($AC$2:$AC$3001&lt;$AC598))+1,"")</f>
        <v/>
      </c>
      <c r="AB598">
        <f>IF($B598="","",IF(OR($Y598=TRUE(),$Y598="TRUE"),1,IF(AND($Y598&lt;&gt;"",OR($Y598=FALSE(),$Y598="FALSE")),0,IF(MIN(ABS($X598/100-Settings!$C$6),ABS($X598/100-Settings!$G$6))&lt;=MIN(ABS($X598/100-Settings!$C$7),ABS($X598/100-Settings!$G$7)),1,0))))</f>
        <v/>
      </c>
      <c r="AC598">
        <f>IF($Z598=1,IFERROR(IF(VALUE($B598)&lt;100000000,VALUE($B598),1000000000),IFERROR(IF(VALUE(MID($B598,2,20))&lt;100000000,VALUE(MID($B598,2,20)),1000000000),1000000000))+ROW()/100000,"")</f>
        <v/>
      </c>
    </row>
    <row r="599">
      <c r="A599">
        <f>IF($B599="","",IFERROR(IF(INDEX('Per Invoice'!$A$2:$A$801,MATCH($B599,'Per Invoice'!$B$2:$B$801,0))=0,"",INDEX('Per Invoice'!$A$2:$A$801,MATCH($B599,'Per Invoice'!$B$2:$B$801,0))),""))</f>
        <v/>
      </c>
      <c r="J599" s="7">
        <f>IF($B599="","",I599*Q599/100)</f>
        <v/>
      </c>
      <c r="N599" s="7" t="n"/>
      <c r="O599" s="7" t="n"/>
      <c r="P599" s="7">
        <f>IF($B599="","",O599*X599/100)</f>
        <v/>
      </c>
      <c r="Q599" s="7">
        <f>IF($B599="","",O599-P599)</f>
        <v/>
      </c>
      <c r="R599" s="7">
        <f>IF($B599="","",Q599-J599)</f>
        <v/>
      </c>
      <c r="S599" s="7" t="n"/>
      <c r="T599" s="7" t="n"/>
      <c r="V599" s="14" t="n"/>
      <c r="Z599">
        <f>IF($B599="","",IF(COUNTIF($B$2:$B599,$B599)=1,1,0))</f>
        <v/>
      </c>
      <c r="AA599">
        <f>IF($Z599=1,SUMPRODUCT(--($AC$2:$AC$3001&lt;$AC599))+1,"")</f>
        <v/>
      </c>
      <c r="AB599">
        <f>IF($B599="","",IF(OR($Y599=TRUE(),$Y599="TRUE"),1,IF(AND($Y599&lt;&gt;"",OR($Y599=FALSE(),$Y599="FALSE")),0,IF(MIN(ABS($X599/100-Settings!$C$6),ABS($X599/100-Settings!$G$6))&lt;=MIN(ABS($X599/100-Settings!$C$7),ABS($X599/100-Settings!$G$7)),1,0))))</f>
        <v/>
      </c>
      <c r="AC599">
        <f>IF($Z599=1,IFERROR(IF(VALUE($B599)&lt;100000000,VALUE($B599),1000000000),IFERROR(IF(VALUE(MID($B599,2,20))&lt;100000000,VALUE(MID($B599,2,20)),1000000000),1000000000))+ROW()/100000,"")</f>
        <v/>
      </c>
    </row>
    <row r="600">
      <c r="A600">
        <f>IF($B600="","",IFERROR(IF(INDEX('Per Invoice'!$A$2:$A$801,MATCH($B600,'Per Invoice'!$B$2:$B$801,0))=0,"",INDEX('Per Invoice'!$A$2:$A$801,MATCH($B600,'Per Invoice'!$B$2:$B$801,0))),""))</f>
        <v/>
      </c>
      <c r="J600" s="7">
        <f>IF($B600="","",I600*Q600/100)</f>
        <v/>
      </c>
      <c r="N600" s="7" t="n"/>
      <c r="O600" s="7" t="n"/>
      <c r="P600" s="7">
        <f>IF($B600="","",O600*X600/100)</f>
        <v/>
      </c>
      <c r="Q600" s="7">
        <f>IF($B600="","",O600-P600)</f>
        <v/>
      </c>
      <c r="R600" s="7">
        <f>IF($B600="","",Q600-J600)</f>
        <v/>
      </c>
      <c r="S600" s="7" t="n"/>
      <c r="T600" s="7" t="n"/>
      <c r="V600" s="14" t="n"/>
      <c r="Z600">
        <f>IF($B600="","",IF(COUNTIF($B$2:$B600,$B600)=1,1,0))</f>
        <v/>
      </c>
      <c r="AA600">
        <f>IF($Z600=1,SUMPRODUCT(--($AC$2:$AC$3001&lt;$AC600))+1,"")</f>
        <v/>
      </c>
      <c r="AB600">
        <f>IF($B600="","",IF(OR($Y600=TRUE(),$Y600="TRUE"),1,IF(AND($Y600&lt;&gt;"",OR($Y600=FALSE(),$Y600="FALSE")),0,IF(MIN(ABS($X600/100-Settings!$C$6),ABS($X600/100-Settings!$G$6))&lt;=MIN(ABS($X600/100-Settings!$C$7),ABS($X600/100-Settings!$G$7)),1,0))))</f>
        <v/>
      </c>
      <c r="AC600">
        <f>IF($Z600=1,IFERROR(IF(VALUE($B600)&lt;100000000,VALUE($B600),1000000000),IFERROR(IF(VALUE(MID($B600,2,20))&lt;100000000,VALUE(MID($B600,2,20)),1000000000),1000000000))+ROW()/100000,"")</f>
        <v/>
      </c>
    </row>
    <row r="601">
      <c r="A601">
        <f>IF($B601="","",IFERROR(IF(INDEX('Per Invoice'!$A$2:$A$801,MATCH($B601,'Per Invoice'!$B$2:$B$801,0))=0,"",INDEX('Per Invoice'!$A$2:$A$801,MATCH($B601,'Per Invoice'!$B$2:$B$801,0))),""))</f>
        <v/>
      </c>
      <c r="J601" s="7">
        <f>IF($B601="","",I601*Q601/100)</f>
        <v/>
      </c>
      <c r="N601" s="7" t="n"/>
      <c r="O601" s="7" t="n"/>
      <c r="P601" s="7">
        <f>IF($B601="","",O601*X601/100)</f>
        <v/>
      </c>
      <c r="Q601" s="7">
        <f>IF($B601="","",O601-P601)</f>
        <v/>
      </c>
      <c r="R601" s="7">
        <f>IF($B601="","",Q601-J601)</f>
        <v/>
      </c>
      <c r="S601" s="7" t="n"/>
      <c r="T601" s="7" t="n"/>
      <c r="V601" s="14" t="n"/>
      <c r="Z601">
        <f>IF($B601="","",IF(COUNTIF($B$2:$B601,$B601)=1,1,0))</f>
        <v/>
      </c>
      <c r="AA601">
        <f>IF($Z601=1,SUMPRODUCT(--($AC$2:$AC$3001&lt;$AC601))+1,"")</f>
        <v/>
      </c>
      <c r="AB601">
        <f>IF($B601="","",IF(OR($Y601=TRUE(),$Y601="TRUE"),1,IF(AND($Y601&lt;&gt;"",OR($Y601=FALSE(),$Y601="FALSE")),0,IF(MIN(ABS($X601/100-Settings!$C$6),ABS($X601/100-Settings!$G$6))&lt;=MIN(ABS($X601/100-Settings!$C$7),ABS($X601/100-Settings!$G$7)),1,0))))</f>
        <v/>
      </c>
      <c r="AC601">
        <f>IF($Z601=1,IFERROR(IF(VALUE($B601)&lt;100000000,VALUE($B601),1000000000),IFERROR(IF(VALUE(MID($B601,2,20))&lt;100000000,VALUE(MID($B601,2,20)),1000000000),1000000000))+ROW()/100000,"")</f>
        <v/>
      </c>
    </row>
    <row r="602">
      <c r="A602">
        <f>IF($B602="","",IFERROR(IF(INDEX('Per Invoice'!$A$2:$A$801,MATCH($B602,'Per Invoice'!$B$2:$B$801,0))=0,"",INDEX('Per Invoice'!$A$2:$A$801,MATCH($B602,'Per Invoice'!$B$2:$B$801,0))),""))</f>
        <v/>
      </c>
      <c r="J602" s="7">
        <f>IF($B602="","",I602*Q602/100)</f>
        <v/>
      </c>
      <c r="N602" s="7" t="n"/>
      <c r="O602" s="7" t="n"/>
      <c r="P602" s="7">
        <f>IF($B602="","",O602*X602/100)</f>
        <v/>
      </c>
      <c r="Q602" s="7">
        <f>IF($B602="","",O602-P602)</f>
        <v/>
      </c>
      <c r="R602" s="7">
        <f>IF($B602="","",Q602-J602)</f>
        <v/>
      </c>
      <c r="S602" s="7" t="n"/>
      <c r="T602" s="7" t="n"/>
      <c r="V602" s="14" t="n"/>
      <c r="Z602">
        <f>IF($B602="","",IF(COUNTIF($B$2:$B602,$B602)=1,1,0))</f>
        <v/>
      </c>
      <c r="AA602">
        <f>IF($Z602=1,SUMPRODUCT(--($AC$2:$AC$3001&lt;$AC602))+1,"")</f>
        <v/>
      </c>
      <c r="AB602">
        <f>IF($B602="","",IF(OR($Y602=TRUE(),$Y602="TRUE"),1,IF(AND($Y602&lt;&gt;"",OR($Y602=FALSE(),$Y602="FALSE")),0,IF(MIN(ABS($X602/100-Settings!$C$6),ABS($X602/100-Settings!$G$6))&lt;=MIN(ABS($X602/100-Settings!$C$7),ABS($X602/100-Settings!$G$7)),1,0))))</f>
        <v/>
      </c>
      <c r="AC602">
        <f>IF($Z602=1,IFERROR(IF(VALUE($B602)&lt;100000000,VALUE($B602),1000000000),IFERROR(IF(VALUE(MID($B602,2,20))&lt;100000000,VALUE(MID($B602,2,20)),1000000000),1000000000))+ROW()/100000,"")</f>
        <v/>
      </c>
    </row>
    <row r="603">
      <c r="A603">
        <f>IF($B603="","",IFERROR(IF(INDEX('Per Invoice'!$A$2:$A$801,MATCH($B603,'Per Invoice'!$B$2:$B$801,0))=0,"",INDEX('Per Invoice'!$A$2:$A$801,MATCH($B603,'Per Invoice'!$B$2:$B$801,0))),""))</f>
        <v/>
      </c>
      <c r="J603" s="7">
        <f>IF($B603="","",I603*Q603/100)</f>
        <v/>
      </c>
      <c r="N603" s="7" t="n"/>
      <c r="O603" s="7" t="n"/>
      <c r="P603" s="7">
        <f>IF($B603="","",O603*X603/100)</f>
        <v/>
      </c>
      <c r="Q603" s="7">
        <f>IF($B603="","",O603-P603)</f>
        <v/>
      </c>
      <c r="R603" s="7">
        <f>IF($B603="","",Q603-J603)</f>
        <v/>
      </c>
      <c r="S603" s="7" t="n"/>
      <c r="T603" s="7" t="n"/>
      <c r="V603" s="14" t="n"/>
      <c r="Z603">
        <f>IF($B603="","",IF(COUNTIF($B$2:$B603,$B603)=1,1,0))</f>
        <v/>
      </c>
      <c r="AA603">
        <f>IF($Z603=1,SUMPRODUCT(--($AC$2:$AC$3001&lt;$AC603))+1,"")</f>
        <v/>
      </c>
      <c r="AB603">
        <f>IF($B603="","",IF(OR($Y603=TRUE(),$Y603="TRUE"),1,IF(AND($Y603&lt;&gt;"",OR($Y603=FALSE(),$Y603="FALSE")),0,IF(MIN(ABS($X603/100-Settings!$C$6),ABS($X603/100-Settings!$G$6))&lt;=MIN(ABS($X603/100-Settings!$C$7),ABS($X603/100-Settings!$G$7)),1,0))))</f>
        <v/>
      </c>
      <c r="AC603">
        <f>IF($Z603=1,IFERROR(IF(VALUE($B603)&lt;100000000,VALUE($B603),1000000000),IFERROR(IF(VALUE(MID($B603,2,20))&lt;100000000,VALUE(MID($B603,2,20)),1000000000),1000000000))+ROW()/100000,"")</f>
        <v/>
      </c>
    </row>
    <row r="604">
      <c r="A604">
        <f>IF($B604="","",IFERROR(IF(INDEX('Per Invoice'!$A$2:$A$801,MATCH($B604,'Per Invoice'!$B$2:$B$801,0))=0,"",INDEX('Per Invoice'!$A$2:$A$801,MATCH($B604,'Per Invoice'!$B$2:$B$801,0))),""))</f>
        <v/>
      </c>
      <c r="J604" s="7">
        <f>IF($B604="","",I604*Q604/100)</f>
        <v/>
      </c>
      <c r="N604" s="7" t="n"/>
      <c r="O604" s="7" t="n"/>
      <c r="P604" s="7">
        <f>IF($B604="","",O604*X604/100)</f>
        <v/>
      </c>
      <c r="Q604" s="7">
        <f>IF($B604="","",O604-P604)</f>
        <v/>
      </c>
      <c r="R604" s="7">
        <f>IF($B604="","",Q604-J604)</f>
        <v/>
      </c>
      <c r="S604" s="7" t="n"/>
      <c r="T604" s="7" t="n"/>
      <c r="V604" s="14" t="n"/>
      <c r="Z604">
        <f>IF($B604="","",IF(COUNTIF($B$2:$B604,$B604)=1,1,0))</f>
        <v/>
      </c>
      <c r="AA604">
        <f>IF($Z604=1,SUMPRODUCT(--($AC$2:$AC$3001&lt;$AC604))+1,"")</f>
        <v/>
      </c>
      <c r="AB604">
        <f>IF($B604="","",IF(OR($Y604=TRUE(),$Y604="TRUE"),1,IF(AND($Y604&lt;&gt;"",OR($Y604=FALSE(),$Y604="FALSE")),0,IF(MIN(ABS($X604/100-Settings!$C$6),ABS($X604/100-Settings!$G$6))&lt;=MIN(ABS($X604/100-Settings!$C$7),ABS($X604/100-Settings!$G$7)),1,0))))</f>
        <v/>
      </c>
      <c r="AC604">
        <f>IF($Z604=1,IFERROR(IF(VALUE($B604)&lt;100000000,VALUE($B604),1000000000),IFERROR(IF(VALUE(MID($B604,2,20))&lt;100000000,VALUE(MID($B604,2,20)),1000000000),1000000000))+ROW()/100000,"")</f>
        <v/>
      </c>
    </row>
    <row r="605">
      <c r="A605">
        <f>IF($B605="","",IFERROR(IF(INDEX('Per Invoice'!$A$2:$A$801,MATCH($B605,'Per Invoice'!$B$2:$B$801,0))=0,"",INDEX('Per Invoice'!$A$2:$A$801,MATCH($B605,'Per Invoice'!$B$2:$B$801,0))),""))</f>
        <v/>
      </c>
      <c r="J605" s="7">
        <f>IF($B605="","",I605*Q605/100)</f>
        <v/>
      </c>
      <c r="N605" s="7" t="n"/>
      <c r="O605" s="7" t="n"/>
      <c r="P605" s="7">
        <f>IF($B605="","",O605*X605/100)</f>
        <v/>
      </c>
      <c r="Q605" s="7">
        <f>IF($B605="","",O605-P605)</f>
        <v/>
      </c>
      <c r="R605" s="7">
        <f>IF($B605="","",Q605-J605)</f>
        <v/>
      </c>
      <c r="S605" s="7" t="n"/>
      <c r="T605" s="7" t="n"/>
      <c r="V605" s="14" t="n"/>
      <c r="Z605">
        <f>IF($B605="","",IF(COUNTIF($B$2:$B605,$B605)=1,1,0))</f>
        <v/>
      </c>
      <c r="AA605">
        <f>IF($Z605=1,SUMPRODUCT(--($AC$2:$AC$3001&lt;$AC605))+1,"")</f>
        <v/>
      </c>
      <c r="AB605">
        <f>IF($B605="","",IF(OR($Y605=TRUE(),$Y605="TRUE"),1,IF(AND($Y605&lt;&gt;"",OR($Y605=FALSE(),$Y605="FALSE")),0,IF(MIN(ABS($X605/100-Settings!$C$6),ABS($X605/100-Settings!$G$6))&lt;=MIN(ABS($X605/100-Settings!$C$7),ABS($X605/100-Settings!$G$7)),1,0))))</f>
        <v/>
      </c>
      <c r="AC605">
        <f>IF($Z605=1,IFERROR(IF(VALUE($B605)&lt;100000000,VALUE($B605),1000000000),IFERROR(IF(VALUE(MID($B605,2,20))&lt;100000000,VALUE(MID($B605,2,20)),1000000000),1000000000))+ROW()/100000,"")</f>
        <v/>
      </c>
    </row>
    <row r="606">
      <c r="A606">
        <f>IF($B606="","",IFERROR(IF(INDEX('Per Invoice'!$A$2:$A$801,MATCH($B606,'Per Invoice'!$B$2:$B$801,0))=0,"",INDEX('Per Invoice'!$A$2:$A$801,MATCH($B606,'Per Invoice'!$B$2:$B$801,0))),""))</f>
        <v/>
      </c>
      <c r="J606" s="7">
        <f>IF($B606="","",I606*Q606/100)</f>
        <v/>
      </c>
      <c r="N606" s="7" t="n"/>
      <c r="O606" s="7" t="n"/>
      <c r="P606" s="7">
        <f>IF($B606="","",O606*X606/100)</f>
        <v/>
      </c>
      <c r="Q606" s="7">
        <f>IF($B606="","",O606-P606)</f>
        <v/>
      </c>
      <c r="R606" s="7">
        <f>IF($B606="","",Q606-J606)</f>
        <v/>
      </c>
      <c r="S606" s="7" t="n"/>
      <c r="T606" s="7" t="n"/>
      <c r="V606" s="14" t="n"/>
      <c r="Z606">
        <f>IF($B606="","",IF(COUNTIF($B$2:$B606,$B606)=1,1,0))</f>
        <v/>
      </c>
      <c r="AA606">
        <f>IF($Z606=1,SUMPRODUCT(--($AC$2:$AC$3001&lt;$AC606))+1,"")</f>
        <v/>
      </c>
      <c r="AB606">
        <f>IF($B606="","",IF(OR($Y606=TRUE(),$Y606="TRUE"),1,IF(AND($Y606&lt;&gt;"",OR($Y606=FALSE(),$Y606="FALSE")),0,IF(MIN(ABS($X606/100-Settings!$C$6),ABS($X606/100-Settings!$G$6))&lt;=MIN(ABS($X606/100-Settings!$C$7),ABS($X606/100-Settings!$G$7)),1,0))))</f>
        <v/>
      </c>
      <c r="AC606">
        <f>IF($Z606=1,IFERROR(IF(VALUE($B606)&lt;100000000,VALUE($B606),1000000000),IFERROR(IF(VALUE(MID($B606,2,20))&lt;100000000,VALUE(MID($B606,2,20)),1000000000),1000000000))+ROW()/100000,"")</f>
        <v/>
      </c>
    </row>
    <row r="607">
      <c r="A607">
        <f>IF($B607="","",IFERROR(IF(INDEX('Per Invoice'!$A$2:$A$801,MATCH($B607,'Per Invoice'!$B$2:$B$801,0))=0,"",INDEX('Per Invoice'!$A$2:$A$801,MATCH($B607,'Per Invoice'!$B$2:$B$801,0))),""))</f>
        <v/>
      </c>
      <c r="J607" s="7">
        <f>IF($B607="","",I607*Q607/100)</f>
        <v/>
      </c>
      <c r="N607" s="7" t="n"/>
      <c r="O607" s="7" t="n"/>
      <c r="P607" s="7">
        <f>IF($B607="","",O607*X607/100)</f>
        <v/>
      </c>
      <c r="Q607" s="7">
        <f>IF($B607="","",O607-P607)</f>
        <v/>
      </c>
      <c r="R607" s="7">
        <f>IF($B607="","",Q607-J607)</f>
        <v/>
      </c>
      <c r="S607" s="7" t="n"/>
      <c r="T607" s="7" t="n"/>
      <c r="V607" s="14" t="n"/>
      <c r="Z607">
        <f>IF($B607="","",IF(COUNTIF($B$2:$B607,$B607)=1,1,0))</f>
        <v/>
      </c>
      <c r="AA607">
        <f>IF($Z607=1,SUMPRODUCT(--($AC$2:$AC$3001&lt;$AC607))+1,"")</f>
        <v/>
      </c>
      <c r="AB607">
        <f>IF($B607="","",IF(OR($Y607=TRUE(),$Y607="TRUE"),1,IF(AND($Y607&lt;&gt;"",OR($Y607=FALSE(),$Y607="FALSE")),0,IF(MIN(ABS($X607/100-Settings!$C$6),ABS($X607/100-Settings!$G$6))&lt;=MIN(ABS($X607/100-Settings!$C$7),ABS($X607/100-Settings!$G$7)),1,0))))</f>
        <v/>
      </c>
      <c r="AC607">
        <f>IF($Z607=1,IFERROR(IF(VALUE($B607)&lt;100000000,VALUE($B607),1000000000),IFERROR(IF(VALUE(MID($B607,2,20))&lt;100000000,VALUE(MID($B607,2,20)),1000000000),1000000000))+ROW()/100000,"")</f>
        <v/>
      </c>
    </row>
    <row r="608">
      <c r="A608">
        <f>IF($B608="","",IFERROR(IF(INDEX('Per Invoice'!$A$2:$A$801,MATCH($B608,'Per Invoice'!$B$2:$B$801,0))=0,"",INDEX('Per Invoice'!$A$2:$A$801,MATCH($B608,'Per Invoice'!$B$2:$B$801,0))),""))</f>
        <v/>
      </c>
      <c r="J608" s="7">
        <f>IF($B608="","",I608*Q608/100)</f>
        <v/>
      </c>
      <c r="N608" s="7" t="n"/>
      <c r="O608" s="7" t="n"/>
      <c r="P608" s="7">
        <f>IF($B608="","",O608*X608/100)</f>
        <v/>
      </c>
      <c r="Q608" s="7">
        <f>IF($B608="","",O608-P608)</f>
        <v/>
      </c>
      <c r="R608" s="7">
        <f>IF($B608="","",Q608-J608)</f>
        <v/>
      </c>
      <c r="S608" s="7" t="n"/>
      <c r="T608" s="7" t="n"/>
      <c r="V608" s="14" t="n"/>
      <c r="Z608">
        <f>IF($B608="","",IF(COUNTIF($B$2:$B608,$B608)=1,1,0))</f>
        <v/>
      </c>
      <c r="AA608">
        <f>IF($Z608=1,SUMPRODUCT(--($AC$2:$AC$3001&lt;$AC608))+1,"")</f>
        <v/>
      </c>
      <c r="AB608">
        <f>IF($B608="","",IF(OR($Y608=TRUE(),$Y608="TRUE"),1,IF(AND($Y608&lt;&gt;"",OR($Y608=FALSE(),$Y608="FALSE")),0,IF(MIN(ABS($X608/100-Settings!$C$6),ABS($X608/100-Settings!$G$6))&lt;=MIN(ABS($X608/100-Settings!$C$7),ABS($X608/100-Settings!$G$7)),1,0))))</f>
        <v/>
      </c>
      <c r="AC608">
        <f>IF($Z608=1,IFERROR(IF(VALUE($B608)&lt;100000000,VALUE($B608),1000000000),IFERROR(IF(VALUE(MID($B608,2,20))&lt;100000000,VALUE(MID($B608,2,20)),1000000000),1000000000))+ROW()/100000,"")</f>
        <v/>
      </c>
    </row>
    <row r="609">
      <c r="A609">
        <f>IF($B609="","",IFERROR(IF(INDEX('Per Invoice'!$A$2:$A$801,MATCH($B609,'Per Invoice'!$B$2:$B$801,0))=0,"",INDEX('Per Invoice'!$A$2:$A$801,MATCH($B609,'Per Invoice'!$B$2:$B$801,0))),""))</f>
        <v/>
      </c>
      <c r="J609" s="7">
        <f>IF($B609="","",I609*Q609/100)</f>
        <v/>
      </c>
      <c r="N609" s="7" t="n"/>
      <c r="O609" s="7" t="n"/>
      <c r="P609" s="7">
        <f>IF($B609="","",O609*X609/100)</f>
        <v/>
      </c>
      <c r="Q609" s="7">
        <f>IF($B609="","",O609-P609)</f>
        <v/>
      </c>
      <c r="R609" s="7">
        <f>IF($B609="","",Q609-J609)</f>
        <v/>
      </c>
      <c r="S609" s="7" t="n"/>
      <c r="T609" s="7" t="n"/>
      <c r="V609" s="14" t="n"/>
      <c r="Z609">
        <f>IF($B609="","",IF(COUNTIF($B$2:$B609,$B609)=1,1,0))</f>
        <v/>
      </c>
      <c r="AA609">
        <f>IF($Z609=1,SUMPRODUCT(--($AC$2:$AC$3001&lt;$AC609))+1,"")</f>
        <v/>
      </c>
      <c r="AB609">
        <f>IF($B609="","",IF(OR($Y609=TRUE(),$Y609="TRUE"),1,IF(AND($Y609&lt;&gt;"",OR($Y609=FALSE(),$Y609="FALSE")),0,IF(MIN(ABS($X609/100-Settings!$C$6),ABS($X609/100-Settings!$G$6))&lt;=MIN(ABS($X609/100-Settings!$C$7),ABS($X609/100-Settings!$G$7)),1,0))))</f>
        <v/>
      </c>
      <c r="AC609">
        <f>IF($Z609=1,IFERROR(IF(VALUE($B609)&lt;100000000,VALUE($B609),1000000000),IFERROR(IF(VALUE(MID($B609,2,20))&lt;100000000,VALUE(MID($B609,2,20)),1000000000),1000000000))+ROW()/100000,"")</f>
        <v/>
      </c>
    </row>
    <row r="610">
      <c r="A610">
        <f>IF($B610="","",IFERROR(IF(INDEX('Per Invoice'!$A$2:$A$801,MATCH($B610,'Per Invoice'!$B$2:$B$801,0))=0,"",INDEX('Per Invoice'!$A$2:$A$801,MATCH($B610,'Per Invoice'!$B$2:$B$801,0))),""))</f>
        <v/>
      </c>
      <c r="J610" s="7">
        <f>IF($B610="","",I610*Q610/100)</f>
        <v/>
      </c>
      <c r="N610" s="7" t="n"/>
      <c r="O610" s="7" t="n"/>
      <c r="P610" s="7">
        <f>IF($B610="","",O610*X610/100)</f>
        <v/>
      </c>
      <c r="Q610" s="7">
        <f>IF($B610="","",O610-P610)</f>
        <v/>
      </c>
      <c r="R610" s="7">
        <f>IF($B610="","",Q610-J610)</f>
        <v/>
      </c>
      <c r="S610" s="7" t="n"/>
      <c r="T610" s="7" t="n"/>
      <c r="V610" s="14" t="n"/>
      <c r="Z610">
        <f>IF($B610="","",IF(COUNTIF($B$2:$B610,$B610)=1,1,0))</f>
        <v/>
      </c>
      <c r="AA610">
        <f>IF($Z610=1,SUMPRODUCT(--($AC$2:$AC$3001&lt;$AC610))+1,"")</f>
        <v/>
      </c>
      <c r="AB610">
        <f>IF($B610="","",IF(OR($Y610=TRUE(),$Y610="TRUE"),1,IF(AND($Y610&lt;&gt;"",OR($Y610=FALSE(),$Y610="FALSE")),0,IF(MIN(ABS($X610/100-Settings!$C$6),ABS($X610/100-Settings!$G$6))&lt;=MIN(ABS($X610/100-Settings!$C$7),ABS($X610/100-Settings!$G$7)),1,0))))</f>
        <v/>
      </c>
      <c r="AC610">
        <f>IF($Z610=1,IFERROR(IF(VALUE($B610)&lt;100000000,VALUE($B610),1000000000),IFERROR(IF(VALUE(MID($B610,2,20))&lt;100000000,VALUE(MID($B610,2,20)),1000000000),1000000000))+ROW()/100000,"")</f>
        <v/>
      </c>
    </row>
    <row r="611">
      <c r="A611">
        <f>IF($B611="","",IFERROR(IF(INDEX('Per Invoice'!$A$2:$A$801,MATCH($B611,'Per Invoice'!$B$2:$B$801,0))=0,"",INDEX('Per Invoice'!$A$2:$A$801,MATCH($B611,'Per Invoice'!$B$2:$B$801,0))),""))</f>
        <v/>
      </c>
      <c r="J611" s="7">
        <f>IF($B611="","",I611*Q611/100)</f>
        <v/>
      </c>
      <c r="N611" s="7" t="n"/>
      <c r="O611" s="7" t="n"/>
      <c r="P611" s="7">
        <f>IF($B611="","",O611*X611/100)</f>
        <v/>
      </c>
      <c r="Q611" s="7">
        <f>IF($B611="","",O611-P611)</f>
        <v/>
      </c>
      <c r="R611" s="7">
        <f>IF($B611="","",Q611-J611)</f>
        <v/>
      </c>
      <c r="S611" s="7" t="n"/>
      <c r="T611" s="7" t="n"/>
      <c r="V611" s="14" t="n"/>
      <c r="Z611">
        <f>IF($B611="","",IF(COUNTIF($B$2:$B611,$B611)=1,1,0))</f>
        <v/>
      </c>
      <c r="AA611">
        <f>IF($Z611=1,SUMPRODUCT(--($AC$2:$AC$3001&lt;$AC611))+1,"")</f>
        <v/>
      </c>
      <c r="AB611">
        <f>IF($B611="","",IF(OR($Y611=TRUE(),$Y611="TRUE"),1,IF(AND($Y611&lt;&gt;"",OR($Y611=FALSE(),$Y611="FALSE")),0,IF(MIN(ABS($X611/100-Settings!$C$6),ABS($X611/100-Settings!$G$6))&lt;=MIN(ABS($X611/100-Settings!$C$7),ABS($X611/100-Settings!$G$7)),1,0))))</f>
        <v/>
      </c>
      <c r="AC611">
        <f>IF($Z611=1,IFERROR(IF(VALUE($B611)&lt;100000000,VALUE($B611),1000000000),IFERROR(IF(VALUE(MID($B611,2,20))&lt;100000000,VALUE(MID($B611,2,20)),1000000000),1000000000))+ROW()/100000,"")</f>
        <v/>
      </c>
    </row>
    <row r="612">
      <c r="A612">
        <f>IF($B612="","",IFERROR(IF(INDEX('Per Invoice'!$A$2:$A$801,MATCH($B612,'Per Invoice'!$B$2:$B$801,0))=0,"",INDEX('Per Invoice'!$A$2:$A$801,MATCH($B612,'Per Invoice'!$B$2:$B$801,0))),""))</f>
        <v/>
      </c>
      <c r="J612" s="7">
        <f>IF($B612="","",I612*Q612/100)</f>
        <v/>
      </c>
      <c r="N612" s="7" t="n"/>
      <c r="O612" s="7" t="n"/>
      <c r="P612" s="7">
        <f>IF($B612="","",O612*X612/100)</f>
        <v/>
      </c>
      <c r="Q612" s="7">
        <f>IF($B612="","",O612-P612)</f>
        <v/>
      </c>
      <c r="R612" s="7">
        <f>IF($B612="","",Q612-J612)</f>
        <v/>
      </c>
      <c r="S612" s="7" t="n"/>
      <c r="T612" s="7" t="n"/>
      <c r="V612" s="14" t="n"/>
      <c r="Z612">
        <f>IF($B612="","",IF(COUNTIF($B$2:$B612,$B612)=1,1,0))</f>
        <v/>
      </c>
      <c r="AA612">
        <f>IF($Z612=1,SUMPRODUCT(--($AC$2:$AC$3001&lt;$AC612))+1,"")</f>
        <v/>
      </c>
      <c r="AB612">
        <f>IF($B612="","",IF(OR($Y612=TRUE(),$Y612="TRUE"),1,IF(AND($Y612&lt;&gt;"",OR($Y612=FALSE(),$Y612="FALSE")),0,IF(MIN(ABS($X612/100-Settings!$C$6),ABS($X612/100-Settings!$G$6))&lt;=MIN(ABS($X612/100-Settings!$C$7),ABS($X612/100-Settings!$G$7)),1,0))))</f>
        <v/>
      </c>
      <c r="AC612">
        <f>IF($Z612=1,IFERROR(IF(VALUE($B612)&lt;100000000,VALUE($B612),1000000000),IFERROR(IF(VALUE(MID($B612,2,20))&lt;100000000,VALUE(MID($B612,2,20)),1000000000),1000000000))+ROW()/100000,"")</f>
        <v/>
      </c>
    </row>
    <row r="613">
      <c r="A613">
        <f>IF($B613="","",IFERROR(IF(INDEX('Per Invoice'!$A$2:$A$801,MATCH($B613,'Per Invoice'!$B$2:$B$801,0))=0,"",INDEX('Per Invoice'!$A$2:$A$801,MATCH($B613,'Per Invoice'!$B$2:$B$801,0))),""))</f>
        <v/>
      </c>
      <c r="J613" s="7">
        <f>IF($B613="","",I613*Q613/100)</f>
        <v/>
      </c>
      <c r="N613" s="7" t="n"/>
      <c r="O613" s="7" t="n"/>
      <c r="P613" s="7">
        <f>IF($B613="","",O613*X613/100)</f>
        <v/>
      </c>
      <c r="Q613" s="7">
        <f>IF($B613="","",O613-P613)</f>
        <v/>
      </c>
      <c r="R613" s="7">
        <f>IF($B613="","",Q613-J613)</f>
        <v/>
      </c>
      <c r="S613" s="7" t="n"/>
      <c r="T613" s="7" t="n"/>
      <c r="V613" s="14" t="n"/>
      <c r="Z613">
        <f>IF($B613="","",IF(COUNTIF($B$2:$B613,$B613)=1,1,0))</f>
        <v/>
      </c>
      <c r="AA613">
        <f>IF($Z613=1,SUMPRODUCT(--($AC$2:$AC$3001&lt;$AC613))+1,"")</f>
        <v/>
      </c>
      <c r="AB613">
        <f>IF($B613="","",IF(OR($Y613=TRUE(),$Y613="TRUE"),1,IF(AND($Y613&lt;&gt;"",OR($Y613=FALSE(),$Y613="FALSE")),0,IF(MIN(ABS($X613/100-Settings!$C$6),ABS($X613/100-Settings!$G$6))&lt;=MIN(ABS($X613/100-Settings!$C$7),ABS($X613/100-Settings!$G$7)),1,0))))</f>
        <v/>
      </c>
      <c r="AC613">
        <f>IF($Z613=1,IFERROR(IF(VALUE($B613)&lt;100000000,VALUE($B613),1000000000),IFERROR(IF(VALUE(MID($B613,2,20))&lt;100000000,VALUE(MID($B613,2,20)),1000000000),1000000000))+ROW()/100000,"")</f>
        <v/>
      </c>
    </row>
    <row r="614">
      <c r="A614">
        <f>IF($B614="","",IFERROR(IF(INDEX('Per Invoice'!$A$2:$A$801,MATCH($B614,'Per Invoice'!$B$2:$B$801,0))=0,"",INDEX('Per Invoice'!$A$2:$A$801,MATCH($B614,'Per Invoice'!$B$2:$B$801,0))),""))</f>
        <v/>
      </c>
      <c r="J614" s="7">
        <f>IF($B614="","",I614*Q614/100)</f>
        <v/>
      </c>
      <c r="N614" s="7" t="n"/>
      <c r="O614" s="7" t="n"/>
      <c r="P614" s="7">
        <f>IF($B614="","",O614*X614/100)</f>
        <v/>
      </c>
      <c r="Q614" s="7">
        <f>IF($B614="","",O614-P614)</f>
        <v/>
      </c>
      <c r="R614" s="7">
        <f>IF($B614="","",Q614-J614)</f>
        <v/>
      </c>
      <c r="S614" s="7" t="n"/>
      <c r="T614" s="7" t="n"/>
      <c r="V614" s="14" t="n"/>
      <c r="Z614">
        <f>IF($B614="","",IF(COUNTIF($B$2:$B614,$B614)=1,1,0))</f>
        <v/>
      </c>
      <c r="AA614">
        <f>IF($Z614=1,SUMPRODUCT(--($AC$2:$AC$3001&lt;$AC614))+1,"")</f>
        <v/>
      </c>
      <c r="AB614">
        <f>IF($B614="","",IF(OR($Y614=TRUE(),$Y614="TRUE"),1,IF(AND($Y614&lt;&gt;"",OR($Y614=FALSE(),$Y614="FALSE")),0,IF(MIN(ABS($X614/100-Settings!$C$6),ABS($X614/100-Settings!$G$6))&lt;=MIN(ABS($X614/100-Settings!$C$7),ABS($X614/100-Settings!$G$7)),1,0))))</f>
        <v/>
      </c>
      <c r="AC614">
        <f>IF($Z614=1,IFERROR(IF(VALUE($B614)&lt;100000000,VALUE($B614),1000000000),IFERROR(IF(VALUE(MID($B614,2,20))&lt;100000000,VALUE(MID($B614,2,20)),1000000000),1000000000))+ROW()/100000,"")</f>
        <v/>
      </c>
    </row>
    <row r="615">
      <c r="A615">
        <f>IF($B615="","",IFERROR(IF(INDEX('Per Invoice'!$A$2:$A$801,MATCH($B615,'Per Invoice'!$B$2:$B$801,0))=0,"",INDEX('Per Invoice'!$A$2:$A$801,MATCH($B615,'Per Invoice'!$B$2:$B$801,0))),""))</f>
        <v/>
      </c>
      <c r="J615" s="7">
        <f>IF($B615="","",I615*Q615/100)</f>
        <v/>
      </c>
      <c r="N615" s="7" t="n"/>
      <c r="O615" s="7" t="n"/>
      <c r="P615" s="7">
        <f>IF($B615="","",O615*X615/100)</f>
        <v/>
      </c>
      <c r="Q615" s="7">
        <f>IF($B615="","",O615-P615)</f>
        <v/>
      </c>
      <c r="R615" s="7">
        <f>IF($B615="","",Q615-J615)</f>
        <v/>
      </c>
      <c r="S615" s="7" t="n"/>
      <c r="T615" s="7" t="n"/>
      <c r="V615" s="14" t="n"/>
      <c r="Z615">
        <f>IF($B615="","",IF(COUNTIF($B$2:$B615,$B615)=1,1,0))</f>
        <v/>
      </c>
      <c r="AA615">
        <f>IF($Z615=1,SUMPRODUCT(--($AC$2:$AC$3001&lt;$AC615))+1,"")</f>
        <v/>
      </c>
      <c r="AB615">
        <f>IF($B615="","",IF(OR($Y615=TRUE(),$Y615="TRUE"),1,IF(AND($Y615&lt;&gt;"",OR($Y615=FALSE(),$Y615="FALSE")),0,IF(MIN(ABS($X615/100-Settings!$C$6),ABS($X615/100-Settings!$G$6))&lt;=MIN(ABS($X615/100-Settings!$C$7),ABS($X615/100-Settings!$G$7)),1,0))))</f>
        <v/>
      </c>
      <c r="AC615">
        <f>IF($Z615=1,IFERROR(IF(VALUE($B615)&lt;100000000,VALUE($B615),1000000000),IFERROR(IF(VALUE(MID($B615,2,20))&lt;100000000,VALUE(MID($B615,2,20)),1000000000),1000000000))+ROW()/100000,"")</f>
        <v/>
      </c>
    </row>
    <row r="616">
      <c r="A616">
        <f>IF($B616="","",IFERROR(IF(INDEX('Per Invoice'!$A$2:$A$801,MATCH($B616,'Per Invoice'!$B$2:$B$801,0))=0,"",INDEX('Per Invoice'!$A$2:$A$801,MATCH($B616,'Per Invoice'!$B$2:$B$801,0))),""))</f>
        <v/>
      </c>
      <c r="J616" s="7">
        <f>IF($B616="","",I616*Q616/100)</f>
        <v/>
      </c>
      <c r="N616" s="7" t="n"/>
      <c r="O616" s="7" t="n"/>
      <c r="P616" s="7">
        <f>IF($B616="","",O616*X616/100)</f>
        <v/>
      </c>
      <c r="Q616" s="7">
        <f>IF($B616="","",O616-P616)</f>
        <v/>
      </c>
      <c r="R616" s="7">
        <f>IF($B616="","",Q616-J616)</f>
        <v/>
      </c>
      <c r="S616" s="7" t="n"/>
      <c r="T616" s="7" t="n"/>
      <c r="V616" s="14" t="n"/>
      <c r="Z616">
        <f>IF($B616="","",IF(COUNTIF($B$2:$B616,$B616)=1,1,0))</f>
        <v/>
      </c>
      <c r="AA616">
        <f>IF($Z616=1,SUMPRODUCT(--($AC$2:$AC$3001&lt;$AC616))+1,"")</f>
        <v/>
      </c>
      <c r="AB616">
        <f>IF($B616="","",IF(OR($Y616=TRUE(),$Y616="TRUE"),1,IF(AND($Y616&lt;&gt;"",OR($Y616=FALSE(),$Y616="FALSE")),0,IF(MIN(ABS($X616/100-Settings!$C$6),ABS($X616/100-Settings!$G$6))&lt;=MIN(ABS($X616/100-Settings!$C$7),ABS($X616/100-Settings!$G$7)),1,0))))</f>
        <v/>
      </c>
      <c r="AC616">
        <f>IF($Z616=1,IFERROR(IF(VALUE($B616)&lt;100000000,VALUE($B616),1000000000),IFERROR(IF(VALUE(MID($B616,2,20))&lt;100000000,VALUE(MID($B616,2,20)),1000000000),1000000000))+ROW()/100000,"")</f>
        <v/>
      </c>
    </row>
    <row r="617">
      <c r="A617">
        <f>IF($B617="","",IFERROR(IF(INDEX('Per Invoice'!$A$2:$A$801,MATCH($B617,'Per Invoice'!$B$2:$B$801,0))=0,"",INDEX('Per Invoice'!$A$2:$A$801,MATCH($B617,'Per Invoice'!$B$2:$B$801,0))),""))</f>
        <v/>
      </c>
      <c r="J617" s="7">
        <f>IF($B617="","",I617*Q617/100)</f>
        <v/>
      </c>
      <c r="N617" s="7" t="n"/>
      <c r="O617" s="7" t="n"/>
      <c r="P617" s="7">
        <f>IF($B617="","",O617*X617/100)</f>
        <v/>
      </c>
      <c r="Q617" s="7">
        <f>IF($B617="","",O617-P617)</f>
        <v/>
      </c>
      <c r="R617" s="7">
        <f>IF($B617="","",Q617-J617)</f>
        <v/>
      </c>
      <c r="S617" s="7" t="n"/>
      <c r="T617" s="7" t="n"/>
      <c r="V617" s="14" t="n"/>
      <c r="Z617">
        <f>IF($B617="","",IF(COUNTIF($B$2:$B617,$B617)=1,1,0))</f>
        <v/>
      </c>
      <c r="AA617">
        <f>IF($Z617=1,SUMPRODUCT(--($AC$2:$AC$3001&lt;$AC617))+1,"")</f>
        <v/>
      </c>
      <c r="AB617">
        <f>IF($B617="","",IF(OR($Y617=TRUE(),$Y617="TRUE"),1,IF(AND($Y617&lt;&gt;"",OR($Y617=FALSE(),$Y617="FALSE")),0,IF(MIN(ABS($X617/100-Settings!$C$6),ABS($X617/100-Settings!$G$6))&lt;=MIN(ABS($X617/100-Settings!$C$7),ABS($X617/100-Settings!$G$7)),1,0))))</f>
        <v/>
      </c>
      <c r="AC617">
        <f>IF($Z617=1,IFERROR(IF(VALUE($B617)&lt;100000000,VALUE($B617),1000000000),IFERROR(IF(VALUE(MID($B617,2,20))&lt;100000000,VALUE(MID($B617,2,20)),1000000000),1000000000))+ROW()/100000,"")</f>
        <v/>
      </c>
    </row>
    <row r="618">
      <c r="A618">
        <f>IF($B618="","",IFERROR(IF(INDEX('Per Invoice'!$A$2:$A$801,MATCH($B618,'Per Invoice'!$B$2:$B$801,0))=0,"",INDEX('Per Invoice'!$A$2:$A$801,MATCH($B618,'Per Invoice'!$B$2:$B$801,0))),""))</f>
        <v/>
      </c>
      <c r="J618" s="7">
        <f>IF($B618="","",I618*Q618/100)</f>
        <v/>
      </c>
      <c r="N618" s="7" t="n"/>
      <c r="O618" s="7" t="n"/>
      <c r="P618" s="7">
        <f>IF($B618="","",O618*X618/100)</f>
        <v/>
      </c>
      <c r="Q618" s="7">
        <f>IF($B618="","",O618-P618)</f>
        <v/>
      </c>
      <c r="R618" s="7">
        <f>IF($B618="","",Q618-J618)</f>
        <v/>
      </c>
      <c r="S618" s="7" t="n"/>
      <c r="T618" s="7" t="n"/>
      <c r="V618" s="14" t="n"/>
      <c r="Z618">
        <f>IF($B618="","",IF(COUNTIF($B$2:$B618,$B618)=1,1,0))</f>
        <v/>
      </c>
      <c r="AA618">
        <f>IF($Z618=1,SUMPRODUCT(--($AC$2:$AC$3001&lt;$AC618))+1,"")</f>
        <v/>
      </c>
      <c r="AB618">
        <f>IF($B618="","",IF(OR($Y618=TRUE(),$Y618="TRUE"),1,IF(AND($Y618&lt;&gt;"",OR($Y618=FALSE(),$Y618="FALSE")),0,IF(MIN(ABS($X618/100-Settings!$C$6),ABS($X618/100-Settings!$G$6))&lt;=MIN(ABS($X618/100-Settings!$C$7),ABS($X618/100-Settings!$G$7)),1,0))))</f>
        <v/>
      </c>
      <c r="AC618">
        <f>IF($Z618=1,IFERROR(IF(VALUE($B618)&lt;100000000,VALUE($B618),1000000000),IFERROR(IF(VALUE(MID($B618,2,20))&lt;100000000,VALUE(MID($B618,2,20)),1000000000),1000000000))+ROW()/100000,"")</f>
        <v/>
      </c>
    </row>
    <row r="619">
      <c r="A619">
        <f>IF($B619="","",IFERROR(IF(INDEX('Per Invoice'!$A$2:$A$801,MATCH($B619,'Per Invoice'!$B$2:$B$801,0))=0,"",INDEX('Per Invoice'!$A$2:$A$801,MATCH($B619,'Per Invoice'!$B$2:$B$801,0))),""))</f>
        <v/>
      </c>
      <c r="J619" s="7">
        <f>IF($B619="","",I619*Q619/100)</f>
        <v/>
      </c>
      <c r="N619" s="7" t="n"/>
      <c r="O619" s="7" t="n"/>
      <c r="P619" s="7">
        <f>IF($B619="","",O619*X619/100)</f>
        <v/>
      </c>
      <c r="Q619" s="7">
        <f>IF($B619="","",O619-P619)</f>
        <v/>
      </c>
      <c r="R619" s="7">
        <f>IF($B619="","",Q619-J619)</f>
        <v/>
      </c>
      <c r="S619" s="7" t="n"/>
      <c r="T619" s="7" t="n"/>
      <c r="V619" s="14" t="n"/>
      <c r="Z619">
        <f>IF($B619="","",IF(COUNTIF($B$2:$B619,$B619)=1,1,0))</f>
        <v/>
      </c>
      <c r="AA619">
        <f>IF($Z619=1,SUMPRODUCT(--($AC$2:$AC$3001&lt;$AC619))+1,"")</f>
        <v/>
      </c>
      <c r="AB619">
        <f>IF($B619="","",IF(OR($Y619=TRUE(),$Y619="TRUE"),1,IF(AND($Y619&lt;&gt;"",OR($Y619=FALSE(),$Y619="FALSE")),0,IF(MIN(ABS($X619/100-Settings!$C$6),ABS($X619/100-Settings!$G$6))&lt;=MIN(ABS($X619/100-Settings!$C$7),ABS($X619/100-Settings!$G$7)),1,0))))</f>
        <v/>
      </c>
      <c r="AC619">
        <f>IF($Z619=1,IFERROR(IF(VALUE($B619)&lt;100000000,VALUE($B619),1000000000),IFERROR(IF(VALUE(MID($B619,2,20))&lt;100000000,VALUE(MID($B619,2,20)),1000000000),1000000000))+ROW()/100000,"")</f>
        <v/>
      </c>
    </row>
    <row r="620">
      <c r="A620">
        <f>IF($B620="","",IFERROR(IF(INDEX('Per Invoice'!$A$2:$A$801,MATCH($B620,'Per Invoice'!$B$2:$B$801,0))=0,"",INDEX('Per Invoice'!$A$2:$A$801,MATCH($B620,'Per Invoice'!$B$2:$B$801,0))),""))</f>
        <v/>
      </c>
      <c r="J620" s="7">
        <f>IF($B620="","",I620*Q620/100)</f>
        <v/>
      </c>
      <c r="N620" s="7" t="n"/>
      <c r="O620" s="7" t="n"/>
      <c r="P620" s="7">
        <f>IF($B620="","",O620*X620/100)</f>
        <v/>
      </c>
      <c r="Q620" s="7">
        <f>IF($B620="","",O620-P620)</f>
        <v/>
      </c>
      <c r="R620" s="7">
        <f>IF($B620="","",Q620-J620)</f>
        <v/>
      </c>
      <c r="S620" s="7" t="n"/>
      <c r="T620" s="7" t="n"/>
      <c r="V620" s="14" t="n"/>
      <c r="Z620">
        <f>IF($B620="","",IF(COUNTIF($B$2:$B620,$B620)=1,1,0))</f>
        <v/>
      </c>
      <c r="AA620">
        <f>IF($Z620=1,SUMPRODUCT(--($AC$2:$AC$3001&lt;$AC620))+1,"")</f>
        <v/>
      </c>
      <c r="AB620">
        <f>IF($B620="","",IF(OR($Y620=TRUE(),$Y620="TRUE"),1,IF(AND($Y620&lt;&gt;"",OR($Y620=FALSE(),$Y620="FALSE")),0,IF(MIN(ABS($X620/100-Settings!$C$6),ABS($X620/100-Settings!$G$6))&lt;=MIN(ABS($X620/100-Settings!$C$7),ABS($X620/100-Settings!$G$7)),1,0))))</f>
        <v/>
      </c>
      <c r="AC620">
        <f>IF($Z620=1,IFERROR(IF(VALUE($B620)&lt;100000000,VALUE($B620),1000000000),IFERROR(IF(VALUE(MID($B620,2,20))&lt;100000000,VALUE(MID($B620,2,20)),1000000000),1000000000))+ROW()/100000,"")</f>
        <v/>
      </c>
    </row>
    <row r="621">
      <c r="A621">
        <f>IF($B621="","",IFERROR(IF(INDEX('Per Invoice'!$A$2:$A$801,MATCH($B621,'Per Invoice'!$B$2:$B$801,0))=0,"",INDEX('Per Invoice'!$A$2:$A$801,MATCH($B621,'Per Invoice'!$B$2:$B$801,0))),""))</f>
        <v/>
      </c>
      <c r="J621" s="7">
        <f>IF($B621="","",I621*Q621/100)</f>
        <v/>
      </c>
      <c r="N621" s="7" t="n"/>
      <c r="O621" s="7" t="n"/>
      <c r="P621" s="7">
        <f>IF($B621="","",O621*X621/100)</f>
        <v/>
      </c>
      <c r="Q621" s="7">
        <f>IF($B621="","",O621-P621)</f>
        <v/>
      </c>
      <c r="R621" s="7">
        <f>IF($B621="","",Q621-J621)</f>
        <v/>
      </c>
      <c r="S621" s="7" t="n"/>
      <c r="T621" s="7" t="n"/>
      <c r="V621" s="14" t="n"/>
      <c r="Z621">
        <f>IF($B621="","",IF(COUNTIF($B$2:$B621,$B621)=1,1,0))</f>
        <v/>
      </c>
      <c r="AA621">
        <f>IF($Z621=1,SUMPRODUCT(--($AC$2:$AC$3001&lt;$AC621))+1,"")</f>
        <v/>
      </c>
      <c r="AB621">
        <f>IF($B621="","",IF(OR($Y621=TRUE(),$Y621="TRUE"),1,IF(AND($Y621&lt;&gt;"",OR($Y621=FALSE(),$Y621="FALSE")),0,IF(MIN(ABS($X621/100-Settings!$C$6),ABS($X621/100-Settings!$G$6))&lt;=MIN(ABS($X621/100-Settings!$C$7),ABS($X621/100-Settings!$G$7)),1,0))))</f>
        <v/>
      </c>
      <c r="AC621">
        <f>IF($Z621=1,IFERROR(IF(VALUE($B621)&lt;100000000,VALUE($B621),1000000000),IFERROR(IF(VALUE(MID($B621,2,20))&lt;100000000,VALUE(MID($B621,2,20)),1000000000),1000000000))+ROW()/100000,"")</f>
        <v/>
      </c>
    </row>
    <row r="622">
      <c r="A622">
        <f>IF($B622="","",IFERROR(IF(INDEX('Per Invoice'!$A$2:$A$801,MATCH($B622,'Per Invoice'!$B$2:$B$801,0))=0,"",INDEX('Per Invoice'!$A$2:$A$801,MATCH($B622,'Per Invoice'!$B$2:$B$801,0))),""))</f>
        <v/>
      </c>
      <c r="J622" s="7">
        <f>IF($B622="","",I622*Q622/100)</f>
        <v/>
      </c>
      <c r="N622" s="7" t="n"/>
      <c r="O622" s="7" t="n"/>
      <c r="P622" s="7">
        <f>IF($B622="","",O622*X622/100)</f>
        <v/>
      </c>
      <c r="Q622" s="7">
        <f>IF($B622="","",O622-P622)</f>
        <v/>
      </c>
      <c r="R622" s="7">
        <f>IF($B622="","",Q622-J622)</f>
        <v/>
      </c>
      <c r="S622" s="7" t="n"/>
      <c r="T622" s="7" t="n"/>
      <c r="V622" s="14" t="n"/>
      <c r="Z622">
        <f>IF($B622="","",IF(COUNTIF($B$2:$B622,$B622)=1,1,0))</f>
        <v/>
      </c>
      <c r="AA622">
        <f>IF($Z622=1,SUMPRODUCT(--($AC$2:$AC$3001&lt;$AC622))+1,"")</f>
        <v/>
      </c>
      <c r="AB622">
        <f>IF($B622="","",IF(OR($Y622=TRUE(),$Y622="TRUE"),1,IF(AND($Y622&lt;&gt;"",OR($Y622=FALSE(),$Y622="FALSE")),0,IF(MIN(ABS($X622/100-Settings!$C$6),ABS($X622/100-Settings!$G$6))&lt;=MIN(ABS($X622/100-Settings!$C$7),ABS($X622/100-Settings!$G$7)),1,0))))</f>
        <v/>
      </c>
      <c r="AC622">
        <f>IF($Z622=1,IFERROR(IF(VALUE($B622)&lt;100000000,VALUE($B622),1000000000),IFERROR(IF(VALUE(MID($B622,2,20))&lt;100000000,VALUE(MID($B622,2,20)),1000000000),1000000000))+ROW()/100000,"")</f>
        <v/>
      </c>
    </row>
    <row r="623">
      <c r="A623">
        <f>IF($B623="","",IFERROR(IF(INDEX('Per Invoice'!$A$2:$A$801,MATCH($B623,'Per Invoice'!$B$2:$B$801,0))=0,"",INDEX('Per Invoice'!$A$2:$A$801,MATCH($B623,'Per Invoice'!$B$2:$B$801,0))),""))</f>
        <v/>
      </c>
      <c r="J623" s="7">
        <f>IF($B623="","",I623*Q623/100)</f>
        <v/>
      </c>
      <c r="N623" s="7" t="n"/>
      <c r="O623" s="7" t="n"/>
      <c r="P623" s="7">
        <f>IF($B623="","",O623*X623/100)</f>
        <v/>
      </c>
      <c r="Q623" s="7">
        <f>IF($B623="","",O623-P623)</f>
        <v/>
      </c>
      <c r="R623" s="7">
        <f>IF($B623="","",Q623-J623)</f>
        <v/>
      </c>
      <c r="S623" s="7" t="n"/>
      <c r="T623" s="7" t="n"/>
      <c r="V623" s="14" t="n"/>
      <c r="Z623">
        <f>IF($B623="","",IF(COUNTIF($B$2:$B623,$B623)=1,1,0))</f>
        <v/>
      </c>
      <c r="AA623">
        <f>IF($Z623=1,SUMPRODUCT(--($AC$2:$AC$3001&lt;$AC623))+1,"")</f>
        <v/>
      </c>
      <c r="AB623">
        <f>IF($B623="","",IF(OR($Y623=TRUE(),$Y623="TRUE"),1,IF(AND($Y623&lt;&gt;"",OR($Y623=FALSE(),$Y623="FALSE")),0,IF(MIN(ABS($X623/100-Settings!$C$6),ABS($X623/100-Settings!$G$6))&lt;=MIN(ABS($X623/100-Settings!$C$7),ABS($X623/100-Settings!$G$7)),1,0))))</f>
        <v/>
      </c>
      <c r="AC623">
        <f>IF($Z623=1,IFERROR(IF(VALUE($B623)&lt;100000000,VALUE($B623),1000000000),IFERROR(IF(VALUE(MID($B623,2,20))&lt;100000000,VALUE(MID($B623,2,20)),1000000000),1000000000))+ROW()/100000,"")</f>
        <v/>
      </c>
    </row>
    <row r="624">
      <c r="A624">
        <f>IF($B624="","",IFERROR(IF(INDEX('Per Invoice'!$A$2:$A$801,MATCH($B624,'Per Invoice'!$B$2:$B$801,0))=0,"",INDEX('Per Invoice'!$A$2:$A$801,MATCH($B624,'Per Invoice'!$B$2:$B$801,0))),""))</f>
        <v/>
      </c>
      <c r="J624" s="7">
        <f>IF($B624="","",I624*Q624/100)</f>
        <v/>
      </c>
      <c r="N624" s="7" t="n"/>
      <c r="O624" s="7" t="n"/>
      <c r="P624" s="7">
        <f>IF($B624="","",O624*X624/100)</f>
        <v/>
      </c>
      <c r="Q624" s="7">
        <f>IF($B624="","",O624-P624)</f>
        <v/>
      </c>
      <c r="R624" s="7">
        <f>IF($B624="","",Q624-J624)</f>
        <v/>
      </c>
      <c r="S624" s="7" t="n"/>
      <c r="T624" s="7" t="n"/>
      <c r="V624" s="14" t="n"/>
      <c r="Z624">
        <f>IF($B624="","",IF(COUNTIF($B$2:$B624,$B624)=1,1,0))</f>
        <v/>
      </c>
      <c r="AA624">
        <f>IF($Z624=1,SUMPRODUCT(--($AC$2:$AC$3001&lt;$AC624))+1,"")</f>
        <v/>
      </c>
      <c r="AB624">
        <f>IF($B624="","",IF(OR($Y624=TRUE(),$Y624="TRUE"),1,IF(AND($Y624&lt;&gt;"",OR($Y624=FALSE(),$Y624="FALSE")),0,IF(MIN(ABS($X624/100-Settings!$C$6),ABS($X624/100-Settings!$G$6))&lt;=MIN(ABS($X624/100-Settings!$C$7),ABS($X624/100-Settings!$G$7)),1,0))))</f>
        <v/>
      </c>
      <c r="AC624">
        <f>IF($Z624=1,IFERROR(IF(VALUE($B624)&lt;100000000,VALUE($B624),1000000000),IFERROR(IF(VALUE(MID($B624,2,20))&lt;100000000,VALUE(MID($B624,2,20)),1000000000),1000000000))+ROW()/100000,"")</f>
        <v/>
      </c>
    </row>
    <row r="625">
      <c r="A625">
        <f>IF($B625="","",IFERROR(IF(INDEX('Per Invoice'!$A$2:$A$801,MATCH($B625,'Per Invoice'!$B$2:$B$801,0))=0,"",INDEX('Per Invoice'!$A$2:$A$801,MATCH($B625,'Per Invoice'!$B$2:$B$801,0))),""))</f>
        <v/>
      </c>
      <c r="J625" s="7">
        <f>IF($B625="","",I625*Q625/100)</f>
        <v/>
      </c>
      <c r="N625" s="7" t="n"/>
      <c r="O625" s="7" t="n"/>
      <c r="P625" s="7">
        <f>IF($B625="","",O625*X625/100)</f>
        <v/>
      </c>
      <c r="Q625" s="7">
        <f>IF($B625="","",O625-P625)</f>
        <v/>
      </c>
      <c r="R625" s="7">
        <f>IF($B625="","",Q625-J625)</f>
        <v/>
      </c>
      <c r="S625" s="7" t="n"/>
      <c r="T625" s="7" t="n"/>
      <c r="V625" s="14" t="n"/>
      <c r="Z625">
        <f>IF($B625="","",IF(COUNTIF($B$2:$B625,$B625)=1,1,0))</f>
        <v/>
      </c>
      <c r="AA625">
        <f>IF($Z625=1,SUMPRODUCT(--($AC$2:$AC$3001&lt;$AC625))+1,"")</f>
        <v/>
      </c>
      <c r="AB625">
        <f>IF($B625="","",IF(OR($Y625=TRUE(),$Y625="TRUE"),1,IF(AND($Y625&lt;&gt;"",OR($Y625=FALSE(),$Y625="FALSE")),0,IF(MIN(ABS($X625/100-Settings!$C$6),ABS($X625/100-Settings!$G$6))&lt;=MIN(ABS($X625/100-Settings!$C$7),ABS($X625/100-Settings!$G$7)),1,0))))</f>
        <v/>
      </c>
      <c r="AC625">
        <f>IF($Z625=1,IFERROR(IF(VALUE($B625)&lt;100000000,VALUE($B625),1000000000),IFERROR(IF(VALUE(MID($B625,2,20))&lt;100000000,VALUE(MID($B625,2,20)),1000000000),1000000000))+ROW()/100000,"")</f>
        <v/>
      </c>
    </row>
    <row r="626">
      <c r="A626">
        <f>IF($B626="","",IFERROR(IF(INDEX('Per Invoice'!$A$2:$A$801,MATCH($B626,'Per Invoice'!$B$2:$B$801,0))=0,"",INDEX('Per Invoice'!$A$2:$A$801,MATCH($B626,'Per Invoice'!$B$2:$B$801,0))),""))</f>
        <v/>
      </c>
      <c r="J626" s="7">
        <f>IF($B626="","",I626*Q626/100)</f>
        <v/>
      </c>
      <c r="N626" s="7" t="n"/>
      <c r="O626" s="7" t="n"/>
      <c r="P626" s="7">
        <f>IF($B626="","",O626*X626/100)</f>
        <v/>
      </c>
      <c r="Q626" s="7">
        <f>IF($B626="","",O626-P626)</f>
        <v/>
      </c>
      <c r="R626" s="7">
        <f>IF($B626="","",Q626-J626)</f>
        <v/>
      </c>
      <c r="S626" s="7" t="n"/>
      <c r="T626" s="7" t="n"/>
      <c r="V626" s="14" t="n"/>
      <c r="Z626">
        <f>IF($B626="","",IF(COUNTIF($B$2:$B626,$B626)=1,1,0))</f>
        <v/>
      </c>
      <c r="AA626">
        <f>IF($Z626=1,SUMPRODUCT(--($AC$2:$AC$3001&lt;$AC626))+1,"")</f>
        <v/>
      </c>
      <c r="AB626">
        <f>IF($B626="","",IF(OR($Y626=TRUE(),$Y626="TRUE"),1,IF(AND($Y626&lt;&gt;"",OR($Y626=FALSE(),$Y626="FALSE")),0,IF(MIN(ABS($X626/100-Settings!$C$6),ABS($X626/100-Settings!$G$6))&lt;=MIN(ABS($X626/100-Settings!$C$7),ABS($X626/100-Settings!$G$7)),1,0))))</f>
        <v/>
      </c>
      <c r="AC626">
        <f>IF($Z626=1,IFERROR(IF(VALUE($B626)&lt;100000000,VALUE($B626),1000000000),IFERROR(IF(VALUE(MID($B626,2,20))&lt;100000000,VALUE(MID($B626,2,20)),1000000000),1000000000))+ROW()/100000,"")</f>
        <v/>
      </c>
    </row>
    <row r="627">
      <c r="A627">
        <f>IF($B627="","",IFERROR(IF(INDEX('Per Invoice'!$A$2:$A$801,MATCH($B627,'Per Invoice'!$B$2:$B$801,0))=0,"",INDEX('Per Invoice'!$A$2:$A$801,MATCH($B627,'Per Invoice'!$B$2:$B$801,0))),""))</f>
        <v/>
      </c>
      <c r="J627" s="7">
        <f>IF($B627="","",I627*Q627/100)</f>
        <v/>
      </c>
      <c r="N627" s="7" t="n"/>
      <c r="O627" s="7" t="n"/>
      <c r="P627" s="7">
        <f>IF($B627="","",O627*X627/100)</f>
        <v/>
      </c>
      <c r="Q627" s="7">
        <f>IF($B627="","",O627-P627)</f>
        <v/>
      </c>
      <c r="R627" s="7">
        <f>IF($B627="","",Q627-J627)</f>
        <v/>
      </c>
      <c r="S627" s="7" t="n"/>
      <c r="T627" s="7" t="n"/>
      <c r="V627" s="14" t="n"/>
      <c r="Z627">
        <f>IF($B627="","",IF(COUNTIF($B$2:$B627,$B627)=1,1,0))</f>
        <v/>
      </c>
      <c r="AA627">
        <f>IF($Z627=1,SUMPRODUCT(--($AC$2:$AC$3001&lt;$AC627))+1,"")</f>
        <v/>
      </c>
      <c r="AB627">
        <f>IF($B627="","",IF(OR($Y627=TRUE(),$Y627="TRUE"),1,IF(AND($Y627&lt;&gt;"",OR($Y627=FALSE(),$Y627="FALSE")),0,IF(MIN(ABS($X627/100-Settings!$C$6),ABS($X627/100-Settings!$G$6))&lt;=MIN(ABS($X627/100-Settings!$C$7),ABS($X627/100-Settings!$G$7)),1,0))))</f>
        <v/>
      </c>
      <c r="AC627">
        <f>IF($Z627=1,IFERROR(IF(VALUE($B627)&lt;100000000,VALUE($B627),1000000000),IFERROR(IF(VALUE(MID($B627,2,20))&lt;100000000,VALUE(MID($B627,2,20)),1000000000),1000000000))+ROW()/100000,"")</f>
        <v/>
      </c>
    </row>
    <row r="628">
      <c r="A628">
        <f>IF($B628="","",IFERROR(IF(INDEX('Per Invoice'!$A$2:$A$801,MATCH($B628,'Per Invoice'!$B$2:$B$801,0))=0,"",INDEX('Per Invoice'!$A$2:$A$801,MATCH($B628,'Per Invoice'!$B$2:$B$801,0))),""))</f>
        <v/>
      </c>
      <c r="J628" s="7">
        <f>IF($B628="","",I628*Q628/100)</f>
        <v/>
      </c>
      <c r="N628" s="7" t="n"/>
      <c r="O628" s="7" t="n"/>
      <c r="P628" s="7">
        <f>IF($B628="","",O628*X628/100)</f>
        <v/>
      </c>
      <c r="Q628" s="7">
        <f>IF($B628="","",O628-P628)</f>
        <v/>
      </c>
      <c r="R628" s="7">
        <f>IF($B628="","",Q628-J628)</f>
        <v/>
      </c>
      <c r="S628" s="7" t="n"/>
      <c r="T628" s="7" t="n"/>
      <c r="V628" s="14" t="n"/>
      <c r="Z628">
        <f>IF($B628="","",IF(COUNTIF($B$2:$B628,$B628)=1,1,0))</f>
        <v/>
      </c>
      <c r="AA628">
        <f>IF($Z628=1,SUMPRODUCT(--($AC$2:$AC$3001&lt;$AC628))+1,"")</f>
        <v/>
      </c>
      <c r="AB628">
        <f>IF($B628="","",IF(OR($Y628=TRUE(),$Y628="TRUE"),1,IF(AND($Y628&lt;&gt;"",OR($Y628=FALSE(),$Y628="FALSE")),0,IF(MIN(ABS($X628/100-Settings!$C$6),ABS($X628/100-Settings!$G$6))&lt;=MIN(ABS($X628/100-Settings!$C$7),ABS($X628/100-Settings!$G$7)),1,0))))</f>
        <v/>
      </c>
      <c r="AC628">
        <f>IF($Z628=1,IFERROR(IF(VALUE($B628)&lt;100000000,VALUE($B628),1000000000),IFERROR(IF(VALUE(MID($B628,2,20))&lt;100000000,VALUE(MID($B628,2,20)),1000000000),1000000000))+ROW()/100000,"")</f>
        <v/>
      </c>
    </row>
    <row r="629">
      <c r="A629">
        <f>IF($B629="","",IFERROR(IF(INDEX('Per Invoice'!$A$2:$A$801,MATCH($B629,'Per Invoice'!$B$2:$B$801,0))=0,"",INDEX('Per Invoice'!$A$2:$A$801,MATCH($B629,'Per Invoice'!$B$2:$B$801,0))),""))</f>
        <v/>
      </c>
      <c r="J629" s="7">
        <f>IF($B629="","",I629*Q629/100)</f>
        <v/>
      </c>
      <c r="N629" s="7" t="n"/>
      <c r="O629" s="7" t="n"/>
      <c r="P629" s="7">
        <f>IF($B629="","",O629*X629/100)</f>
        <v/>
      </c>
      <c r="Q629" s="7">
        <f>IF($B629="","",O629-P629)</f>
        <v/>
      </c>
      <c r="R629" s="7">
        <f>IF($B629="","",Q629-J629)</f>
        <v/>
      </c>
      <c r="S629" s="7" t="n"/>
      <c r="T629" s="7" t="n"/>
      <c r="V629" s="14" t="n"/>
      <c r="Z629">
        <f>IF($B629="","",IF(COUNTIF($B$2:$B629,$B629)=1,1,0))</f>
        <v/>
      </c>
      <c r="AA629">
        <f>IF($Z629=1,SUMPRODUCT(--($AC$2:$AC$3001&lt;$AC629))+1,"")</f>
        <v/>
      </c>
      <c r="AB629">
        <f>IF($B629="","",IF(OR($Y629=TRUE(),$Y629="TRUE"),1,IF(AND($Y629&lt;&gt;"",OR($Y629=FALSE(),$Y629="FALSE")),0,IF(MIN(ABS($X629/100-Settings!$C$6),ABS($X629/100-Settings!$G$6))&lt;=MIN(ABS($X629/100-Settings!$C$7),ABS($X629/100-Settings!$G$7)),1,0))))</f>
        <v/>
      </c>
      <c r="AC629">
        <f>IF($Z629=1,IFERROR(IF(VALUE($B629)&lt;100000000,VALUE($B629),1000000000),IFERROR(IF(VALUE(MID($B629,2,20))&lt;100000000,VALUE(MID($B629,2,20)),1000000000),1000000000))+ROW()/100000,"")</f>
        <v/>
      </c>
    </row>
    <row r="630">
      <c r="A630">
        <f>IF($B630="","",IFERROR(IF(INDEX('Per Invoice'!$A$2:$A$801,MATCH($B630,'Per Invoice'!$B$2:$B$801,0))=0,"",INDEX('Per Invoice'!$A$2:$A$801,MATCH($B630,'Per Invoice'!$B$2:$B$801,0))),""))</f>
        <v/>
      </c>
      <c r="J630" s="7">
        <f>IF($B630="","",I630*Q630/100)</f>
        <v/>
      </c>
      <c r="N630" s="7" t="n"/>
      <c r="O630" s="7" t="n"/>
      <c r="P630" s="7">
        <f>IF($B630="","",O630*X630/100)</f>
        <v/>
      </c>
      <c r="Q630" s="7">
        <f>IF($B630="","",O630-P630)</f>
        <v/>
      </c>
      <c r="R630" s="7">
        <f>IF($B630="","",Q630-J630)</f>
        <v/>
      </c>
      <c r="S630" s="7" t="n"/>
      <c r="T630" s="7" t="n"/>
      <c r="V630" s="14" t="n"/>
      <c r="Z630">
        <f>IF($B630="","",IF(COUNTIF($B$2:$B630,$B630)=1,1,0))</f>
        <v/>
      </c>
      <c r="AA630">
        <f>IF($Z630=1,SUMPRODUCT(--($AC$2:$AC$3001&lt;$AC630))+1,"")</f>
        <v/>
      </c>
      <c r="AB630">
        <f>IF($B630="","",IF(OR($Y630=TRUE(),$Y630="TRUE"),1,IF(AND($Y630&lt;&gt;"",OR($Y630=FALSE(),$Y630="FALSE")),0,IF(MIN(ABS($X630/100-Settings!$C$6),ABS($X630/100-Settings!$G$6))&lt;=MIN(ABS($X630/100-Settings!$C$7),ABS($X630/100-Settings!$G$7)),1,0))))</f>
        <v/>
      </c>
      <c r="AC630">
        <f>IF($Z630=1,IFERROR(IF(VALUE($B630)&lt;100000000,VALUE($B630),1000000000),IFERROR(IF(VALUE(MID($B630,2,20))&lt;100000000,VALUE(MID($B630,2,20)),1000000000),1000000000))+ROW()/100000,"")</f>
        <v/>
      </c>
    </row>
    <row r="631">
      <c r="A631">
        <f>IF($B631="","",IFERROR(IF(INDEX('Per Invoice'!$A$2:$A$801,MATCH($B631,'Per Invoice'!$B$2:$B$801,0))=0,"",INDEX('Per Invoice'!$A$2:$A$801,MATCH($B631,'Per Invoice'!$B$2:$B$801,0))),""))</f>
        <v/>
      </c>
      <c r="J631" s="7">
        <f>IF($B631="","",I631*Q631/100)</f>
        <v/>
      </c>
      <c r="N631" s="7" t="n"/>
      <c r="O631" s="7" t="n"/>
      <c r="P631" s="7">
        <f>IF($B631="","",O631*X631/100)</f>
        <v/>
      </c>
      <c r="Q631" s="7">
        <f>IF($B631="","",O631-P631)</f>
        <v/>
      </c>
      <c r="R631" s="7">
        <f>IF($B631="","",Q631-J631)</f>
        <v/>
      </c>
      <c r="S631" s="7" t="n"/>
      <c r="T631" s="7" t="n"/>
      <c r="V631" s="14" t="n"/>
      <c r="Z631">
        <f>IF($B631="","",IF(COUNTIF($B$2:$B631,$B631)=1,1,0))</f>
        <v/>
      </c>
      <c r="AA631">
        <f>IF($Z631=1,SUMPRODUCT(--($AC$2:$AC$3001&lt;$AC631))+1,"")</f>
        <v/>
      </c>
      <c r="AB631">
        <f>IF($B631="","",IF(OR($Y631=TRUE(),$Y631="TRUE"),1,IF(AND($Y631&lt;&gt;"",OR($Y631=FALSE(),$Y631="FALSE")),0,IF(MIN(ABS($X631/100-Settings!$C$6),ABS($X631/100-Settings!$G$6))&lt;=MIN(ABS($X631/100-Settings!$C$7),ABS($X631/100-Settings!$G$7)),1,0))))</f>
        <v/>
      </c>
      <c r="AC631">
        <f>IF($Z631=1,IFERROR(IF(VALUE($B631)&lt;100000000,VALUE($B631),1000000000),IFERROR(IF(VALUE(MID($B631,2,20))&lt;100000000,VALUE(MID($B631,2,20)),1000000000),1000000000))+ROW()/100000,"")</f>
        <v/>
      </c>
    </row>
    <row r="632">
      <c r="A632">
        <f>IF($B632="","",IFERROR(IF(INDEX('Per Invoice'!$A$2:$A$801,MATCH($B632,'Per Invoice'!$B$2:$B$801,0))=0,"",INDEX('Per Invoice'!$A$2:$A$801,MATCH($B632,'Per Invoice'!$B$2:$B$801,0))),""))</f>
        <v/>
      </c>
      <c r="J632" s="7">
        <f>IF($B632="","",I632*Q632/100)</f>
        <v/>
      </c>
      <c r="N632" s="7" t="n"/>
      <c r="O632" s="7" t="n"/>
      <c r="P632" s="7">
        <f>IF($B632="","",O632*X632/100)</f>
        <v/>
      </c>
      <c r="Q632" s="7">
        <f>IF($B632="","",O632-P632)</f>
        <v/>
      </c>
      <c r="R632" s="7">
        <f>IF($B632="","",Q632-J632)</f>
        <v/>
      </c>
      <c r="S632" s="7" t="n"/>
      <c r="T632" s="7" t="n"/>
      <c r="V632" s="14" t="n"/>
      <c r="Z632">
        <f>IF($B632="","",IF(COUNTIF($B$2:$B632,$B632)=1,1,0))</f>
        <v/>
      </c>
      <c r="AA632">
        <f>IF($Z632=1,SUMPRODUCT(--($AC$2:$AC$3001&lt;$AC632))+1,"")</f>
        <v/>
      </c>
      <c r="AB632">
        <f>IF($B632="","",IF(OR($Y632=TRUE(),$Y632="TRUE"),1,IF(AND($Y632&lt;&gt;"",OR($Y632=FALSE(),$Y632="FALSE")),0,IF(MIN(ABS($X632/100-Settings!$C$6),ABS($X632/100-Settings!$G$6))&lt;=MIN(ABS($X632/100-Settings!$C$7),ABS($X632/100-Settings!$G$7)),1,0))))</f>
        <v/>
      </c>
      <c r="AC632">
        <f>IF($Z632=1,IFERROR(IF(VALUE($B632)&lt;100000000,VALUE($B632),1000000000),IFERROR(IF(VALUE(MID($B632,2,20))&lt;100000000,VALUE(MID($B632,2,20)),1000000000),1000000000))+ROW()/100000,"")</f>
        <v/>
      </c>
    </row>
    <row r="633">
      <c r="A633">
        <f>IF($B633="","",IFERROR(IF(INDEX('Per Invoice'!$A$2:$A$801,MATCH($B633,'Per Invoice'!$B$2:$B$801,0))=0,"",INDEX('Per Invoice'!$A$2:$A$801,MATCH($B633,'Per Invoice'!$B$2:$B$801,0))),""))</f>
        <v/>
      </c>
      <c r="J633" s="7">
        <f>IF($B633="","",I633*Q633/100)</f>
        <v/>
      </c>
      <c r="N633" s="7" t="n"/>
      <c r="O633" s="7" t="n"/>
      <c r="P633" s="7">
        <f>IF($B633="","",O633*X633/100)</f>
        <v/>
      </c>
      <c r="Q633" s="7">
        <f>IF($B633="","",O633-P633)</f>
        <v/>
      </c>
      <c r="R633" s="7">
        <f>IF($B633="","",Q633-J633)</f>
        <v/>
      </c>
      <c r="S633" s="7" t="n"/>
      <c r="T633" s="7" t="n"/>
      <c r="V633" s="14" t="n"/>
      <c r="Z633">
        <f>IF($B633="","",IF(COUNTIF($B$2:$B633,$B633)=1,1,0))</f>
        <v/>
      </c>
      <c r="AA633">
        <f>IF($Z633=1,SUMPRODUCT(--($AC$2:$AC$3001&lt;$AC633))+1,"")</f>
        <v/>
      </c>
      <c r="AB633">
        <f>IF($B633="","",IF(OR($Y633=TRUE(),$Y633="TRUE"),1,IF(AND($Y633&lt;&gt;"",OR($Y633=FALSE(),$Y633="FALSE")),0,IF(MIN(ABS($X633/100-Settings!$C$6),ABS($X633/100-Settings!$G$6))&lt;=MIN(ABS($X633/100-Settings!$C$7),ABS($X633/100-Settings!$G$7)),1,0))))</f>
        <v/>
      </c>
      <c r="AC633">
        <f>IF($Z633=1,IFERROR(IF(VALUE($B633)&lt;100000000,VALUE($B633),1000000000),IFERROR(IF(VALUE(MID($B633,2,20))&lt;100000000,VALUE(MID($B633,2,20)),1000000000),1000000000))+ROW()/100000,"")</f>
        <v/>
      </c>
    </row>
    <row r="634">
      <c r="A634">
        <f>IF($B634="","",IFERROR(IF(INDEX('Per Invoice'!$A$2:$A$801,MATCH($B634,'Per Invoice'!$B$2:$B$801,0))=0,"",INDEX('Per Invoice'!$A$2:$A$801,MATCH($B634,'Per Invoice'!$B$2:$B$801,0))),""))</f>
        <v/>
      </c>
      <c r="J634" s="7">
        <f>IF($B634="","",I634*Q634/100)</f>
        <v/>
      </c>
      <c r="N634" s="7" t="n"/>
      <c r="O634" s="7" t="n"/>
      <c r="P634" s="7">
        <f>IF($B634="","",O634*X634/100)</f>
        <v/>
      </c>
      <c r="Q634" s="7">
        <f>IF($B634="","",O634-P634)</f>
        <v/>
      </c>
      <c r="R634" s="7">
        <f>IF($B634="","",Q634-J634)</f>
        <v/>
      </c>
      <c r="S634" s="7" t="n"/>
      <c r="T634" s="7" t="n"/>
      <c r="V634" s="14" t="n"/>
      <c r="Z634">
        <f>IF($B634="","",IF(COUNTIF($B$2:$B634,$B634)=1,1,0))</f>
        <v/>
      </c>
      <c r="AA634">
        <f>IF($Z634=1,SUMPRODUCT(--($AC$2:$AC$3001&lt;$AC634))+1,"")</f>
        <v/>
      </c>
      <c r="AB634">
        <f>IF($B634="","",IF(OR($Y634=TRUE(),$Y634="TRUE"),1,IF(AND($Y634&lt;&gt;"",OR($Y634=FALSE(),$Y634="FALSE")),0,IF(MIN(ABS($X634/100-Settings!$C$6),ABS($X634/100-Settings!$G$6))&lt;=MIN(ABS($X634/100-Settings!$C$7),ABS($X634/100-Settings!$G$7)),1,0))))</f>
        <v/>
      </c>
      <c r="AC634">
        <f>IF($Z634=1,IFERROR(IF(VALUE($B634)&lt;100000000,VALUE($B634),1000000000),IFERROR(IF(VALUE(MID($B634,2,20))&lt;100000000,VALUE(MID($B634,2,20)),1000000000),1000000000))+ROW()/100000,"")</f>
        <v/>
      </c>
    </row>
    <row r="635">
      <c r="A635">
        <f>IF($B635="","",IFERROR(IF(INDEX('Per Invoice'!$A$2:$A$801,MATCH($B635,'Per Invoice'!$B$2:$B$801,0))=0,"",INDEX('Per Invoice'!$A$2:$A$801,MATCH($B635,'Per Invoice'!$B$2:$B$801,0))),""))</f>
        <v/>
      </c>
      <c r="J635" s="7">
        <f>IF($B635="","",I635*Q635/100)</f>
        <v/>
      </c>
      <c r="N635" s="7" t="n"/>
      <c r="O635" s="7" t="n"/>
      <c r="P635" s="7">
        <f>IF($B635="","",O635*X635/100)</f>
        <v/>
      </c>
      <c r="Q635" s="7">
        <f>IF($B635="","",O635-P635)</f>
        <v/>
      </c>
      <c r="R635" s="7">
        <f>IF($B635="","",Q635-J635)</f>
        <v/>
      </c>
      <c r="S635" s="7" t="n"/>
      <c r="T635" s="7" t="n"/>
      <c r="V635" s="14" t="n"/>
      <c r="Z635">
        <f>IF($B635="","",IF(COUNTIF($B$2:$B635,$B635)=1,1,0))</f>
        <v/>
      </c>
      <c r="AA635">
        <f>IF($Z635=1,SUMPRODUCT(--($AC$2:$AC$3001&lt;$AC635))+1,"")</f>
        <v/>
      </c>
      <c r="AB635">
        <f>IF($B635="","",IF(OR($Y635=TRUE(),$Y635="TRUE"),1,IF(AND($Y635&lt;&gt;"",OR($Y635=FALSE(),$Y635="FALSE")),0,IF(MIN(ABS($X635/100-Settings!$C$6),ABS($X635/100-Settings!$G$6))&lt;=MIN(ABS($X635/100-Settings!$C$7),ABS($X635/100-Settings!$G$7)),1,0))))</f>
        <v/>
      </c>
      <c r="AC635">
        <f>IF($Z635=1,IFERROR(IF(VALUE($B635)&lt;100000000,VALUE($B635),1000000000),IFERROR(IF(VALUE(MID($B635,2,20))&lt;100000000,VALUE(MID($B635,2,20)),1000000000),1000000000))+ROW()/100000,"")</f>
        <v/>
      </c>
    </row>
    <row r="636">
      <c r="A636">
        <f>IF($B636="","",IFERROR(IF(INDEX('Per Invoice'!$A$2:$A$801,MATCH($B636,'Per Invoice'!$B$2:$B$801,0))=0,"",INDEX('Per Invoice'!$A$2:$A$801,MATCH($B636,'Per Invoice'!$B$2:$B$801,0))),""))</f>
        <v/>
      </c>
      <c r="J636" s="7">
        <f>IF($B636="","",I636*Q636/100)</f>
        <v/>
      </c>
      <c r="N636" s="7" t="n"/>
      <c r="O636" s="7" t="n"/>
      <c r="P636" s="7">
        <f>IF($B636="","",O636*X636/100)</f>
        <v/>
      </c>
      <c r="Q636" s="7">
        <f>IF($B636="","",O636-P636)</f>
        <v/>
      </c>
      <c r="R636" s="7">
        <f>IF($B636="","",Q636-J636)</f>
        <v/>
      </c>
      <c r="S636" s="7" t="n"/>
      <c r="T636" s="7" t="n"/>
      <c r="V636" s="14" t="n"/>
      <c r="Z636">
        <f>IF($B636="","",IF(COUNTIF($B$2:$B636,$B636)=1,1,0))</f>
        <v/>
      </c>
      <c r="AA636">
        <f>IF($Z636=1,SUMPRODUCT(--($AC$2:$AC$3001&lt;$AC636))+1,"")</f>
        <v/>
      </c>
      <c r="AB636">
        <f>IF($B636="","",IF(OR($Y636=TRUE(),$Y636="TRUE"),1,IF(AND($Y636&lt;&gt;"",OR($Y636=FALSE(),$Y636="FALSE")),0,IF(MIN(ABS($X636/100-Settings!$C$6),ABS($X636/100-Settings!$G$6))&lt;=MIN(ABS($X636/100-Settings!$C$7),ABS($X636/100-Settings!$G$7)),1,0))))</f>
        <v/>
      </c>
      <c r="AC636">
        <f>IF($Z636=1,IFERROR(IF(VALUE($B636)&lt;100000000,VALUE($B636),1000000000),IFERROR(IF(VALUE(MID($B636,2,20))&lt;100000000,VALUE(MID($B636,2,20)),1000000000),1000000000))+ROW()/100000,"")</f>
        <v/>
      </c>
    </row>
    <row r="637">
      <c r="A637">
        <f>IF($B637="","",IFERROR(IF(INDEX('Per Invoice'!$A$2:$A$801,MATCH($B637,'Per Invoice'!$B$2:$B$801,0))=0,"",INDEX('Per Invoice'!$A$2:$A$801,MATCH($B637,'Per Invoice'!$B$2:$B$801,0))),""))</f>
        <v/>
      </c>
      <c r="J637" s="7">
        <f>IF($B637="","",I637*Q637/100)</f>
        <v/>
      </c>
      <c r="N637" s="7" t="n"/>
      <c r="O637" s="7" t="n"/>
      <c r="P637" s="7">
        <f>IF($B637="","",O637*X637/100)</f>
        <v/>
      </c>
      <c r="Q637" s="7">
        <f>IF($B637="","",O637-P637)</f>
        <v/>
      </c>
      <c r="R637" s="7">
        <f>IF($B637="","",Q637-J637)</f>
        <v/>
      </c>
      <c r="S637" s="7" t="n"/>
      <c r="T637" s="7" t="n"/>
      <c r="V637" s="14" t="n"/>
      <c r="Z637">
        <f>IF($B637="","",IF(COUNTIF($B$2:$B637,$B637)=1,1,0))</f>
        <v/>
      </c>
      <c r="AA637">
        <f>IF($Z637=1,SUMPRODUCT(--($AC$2:$AC$3001&lt;$AC637))+1,"")</f>
        <v/>
      </c>
      <c r="AB637">
        <f>IF($B637="","",IF(OR($Y637=TRUE(),$Y637="TRUE"),1,IF(AND($Y637&lt;&gt;"",OR($Y637=FALSE(),$Y637="FALSE")),0,IF(MIN(ABS($X637/100-Settings!$C$6),ABS($X637/100-Settings!$G$6))&lt;=MIN(ABS($X637/100-Settings!$C$7),ABS($X637/100-Settings!$G$7)),1,0))))</f>
        <v/>
      </c>
      <c r="AC637">
        <f>IF($Z637=1,IFERROR(IF(VALUE($B637)&lt;100000000,VALUE($B637),1000000000),IFERROR(IF(VALUE(MID($B637,2,20))&lt;100000000,VALUE(MID($B637,2,20)),1000000000),1000000000))+ROW()/100000,"")</f>
        <v/>
      </c>
    </row>
    <row r="638">
      <c r="A638">
        <f>IF($B638="","",IFERROR(IF(INDEX('Per Invoice'!$A$2:$A$801,MATCH($B638,'Per Invoice'!$B$2:$B$801,0))=0,"",INDEX('Per Invoice'!$A$2:$A$801,MATCH($B638,'Per Invoice'!$B$2:$B$801,0))),""))</f>
        <v/>
      </c>
      <c r="J638" s="7">
        <f>IF($B638="","",I638*Q638/100)</f>
        <v/>
      </c>
      <c r="N638" s="7" t="n"/>
      <c r="O638" s="7" t="n"/>
      <c r="P638" s="7">
        <f>IF($B638="","",O638*X638/100)</f>
        <v/>
      </c>
      <c r="Q638" s="7">
        <f>IF($B638="","",O638-P638)</f>
        <v/>
      </c>
      <c r="R638" s="7">
        <f>IF($B638="","",Q638-J638)</f>
        <v/>
      </c>
      <c r="S638" s="7" t="n"/>
      <c r="T638" s="7" t="n"/>
      <c r="V638" s="14" t="n"/>
      <c r="Z638">
        <f>IF($B638="","",IF(COUNTIF($B$2:$B638,$B638)=1,1,0))</f>
        <v/>
      </c>
      <c r="AA638">
        <f>IF($Z638=1,SUMPRODUCT(--($AC$2:$AC$3001&lt;$AC638))+1,"")</f>
        <v/>
      </c>
      <c r="AB638">
        <f>IF($B638="","",IF(OR($Y638=TRUE(),$Y638="TRUE"),1,IF(AND($Y638&lt;&gt;"",OR($Y638=FALSE(),$Y638="FALSE")),0,IF(MIN(ABS($X638/100-Settings!$C$6),ABS($X638/100-Settings!$G$6))&lt;=MIN(ABS($X638/100-Settings!$C$7),ABS($X638/100-Settings!$G$7)),1,0))))</f>
        <v/>
      </c>
      <c r="AC638">
        <f>IF($Z638=1,IFERROR(IF(VALUE($B638)&lt;100000000,VALUE($B638),1000000000),IFERROR(IF(VALUE(MID($B638,2,20))&lt;100000000,VALUE(MID($B638,2,20)),1000000000),1000000000))+ROW()/100000,"")</f>
        <v/>
      </c>
    </row>
    <row r="639">
      <c r="A639">
        <f>IF($B639="","",IFERROR(IF(INDEX('Per Invoice'!$A$2:$A$801,MATCH($B639,'Per Invoice'!$B$2:$B$801,0))=0,"",INDEX('Per Invoice'!$A$2:$A$801,MATCH($B639,'Per Invoice'!$B$2:$B$801,0))),""))</f>
        <v/>
      </c>
      <c r="J639" s="7">
        <f>IF($B639="","",I639*Q639/100)</f>
        <v/>
      </c>
      <c r="N639" s="7" t="n"/>
      <c r="O639" s="7" t="n"/>
      <c r="P639" s="7">
        <f>IF($B639="","",O639*X639/100)</f>
        <v/>
      </c>
      <c r="Q639" s="7">
        <f>IF($B639="","",O639-P639)</f>
        <v/>
      </c>
      <c r="R639" s="7">
        <f>IF($B639="","",Q639-J639)</f>
        <v/>
      </c>
      <c r="S639" s="7" t="n"/>
      <c r="T639" s="7" t="n"/>
      <c r="V639" s="14" t="n"/>
      <c r="Z639">
        <f>IF($B639="","",IF(COUNTIF($B$2:$B639,$B639)=1,1,0))</f>
        <v/>
      </c>
      <c r="AA639">
        <f>IF($Z639=1,SUMPRODUCT(--($AC$2:$AC$3001&lt;$AC639))+1,"")</f>
        <v/>
      </c>
      <c r="AB639">
        <f>IF($B639="","",IF(OR($Y639=TRUE(),$Y639="TRUE"),1,IF(AND($Y639&lt;&gt;"",OR($Y639=FALSE(),$Y639="FALSE")),0,IF(MIN(ABS($X639/100-Settings!$C$6),ABS($X639/100-Settings!$G$6))&lt;=MIN(ABS($X639/100-Settings!$C$7),ABS($X639/100-Settings!$G$7)),1,0))))</f>
        <v/>
      </c>
      <c r="AC639">
        <f>IF($Z639=1,IFERROR(IF(VALUE($B639)&lt;100000000,VALUE($B639),1000000000),IFERROR(IF(VALUE(MID($B639,2,20))&lt;100000000,VALUE(MID($B639,2,20)),1000000000),1000000000))+ROW()/100000,"")</f>
        <v/>
      </c>
    </row>
    <row r="640">
      <c r="A640">
        <f>IF($B640="","",IFERROR(IF(INDEX('Per Invoice'!$A$2:$A$801,MATCH($B640,'Per Invoice'!$B$2:$B$801,0))=0,"",INDEX('Per Invoice'!$A$2:$A$801,MATCH($B640,'Per Invoice'!$B$2:$B$801,0))),""))</f>
        <v/>
      </c>
      <c r="J640" s="7">
        <f>IF($B640="","",I640*Q640/100)</f>
        <v/>
      </c>
      <c r="N640" s="7" t="n"/>
      <c r="O640" s="7" t="n"/>
      <c r="P640" s="7">
        <f>IF($B640="","",O640*X640/100)</f>
        <v/>
      </c>
      <c r="Q640" s="7">
        <f>IF($B640="","",O640-P640)</f>
        <v/>
      </c>
      <c r="R640" s="7">
        <f>IF($B640="","",Q640-J640)</f>
        <v/>
      </c>
      <c r="S640" s="7" t="n"/>
      <c r="T640" s="7" t="n"/>
      <c r="V640" s="14" t="n"/>
      <c r="Z640">
        <f>IF($B640="","",IF(COUNTIF($B$2:$B640,$B640)=1,1,0))</f>
        <v/>
      </c>
      <c r="AA640">
        <f>IF($Z640=1,SUMPRODUCT(--($AC$2:$AC$3001&lt;$AC640))+1,"")</f>
        <v/>
      </c>
      <c r="AB640">
        <f>IF($B640="","",IF(OR($Y640=TRUE(),$Y640="TRUE"),1,IF(AND($Y640&lt;&gt;"",OR($Y640=FALSE(),$Y640="FALSE")),0,IF(MIN(ABS($X640/100-Settings!$C$6),ABS($X640/100-Settings!$G$6))&lt;=MIN(ABS($X640/100-Settings!$C$7),ABS($X640/100-Settings!$G$7)),1,0))))</f>
        <v/>
      </c>
      <c r="AC640">
        <f>IF($Z640=1,IFERROR(IF(VALUE($B640)&lt;100000000,VALUE($B640),1000000000),IFERROR(IF(VALUE(MID($B640,2,20))&lt;100000000,VALUE(MID($B640,2,20)),1000000000),1000000000))+ROW()/100000,"")</f>
        <v/>
      </c>
    </row>
    <row r="641">
      <c r="A641">
        <f>IF($B641="","",IFERROR(IF(INDEX('Per Invoice'!$A$2:$A$801,MATCH($B641,'Per Invoice'!$B$2:$B$801,0))=0,"",INDEX('Per Invoice'!$A$2:$A$801,MATCH($B641,'Per Invoice'!$B$2:$B$801,0))),""))</f>
        <v/>
      </c>
      <c r="J641" s="7">
        <f>IF($B641="","",I641*Q641/100)</f>
        <v/>
      </c>
      <c r="N641" s="7" t="n"/>
      <c r="O641" s="7" t="n"/>
      <c r="P641" s="7">
        <f>IF($B641="","",O641*X641/100)</f>
        <v/>
      </c>
      <c r="Q641" s="7">
        <f>IF($B641="","",O641-P641)</f>
        <v/>
      </c>
      <c r="R641" s="7">
        <f>IF($B641="","",Q641-J641)</f>
        <v/>
      </c>
      <c r="S641" s="7" t="n"/>
      <c r="T641" s="7" t="n"/>
      <c r="V641" s="14" t="n"/>
      <c r="Z641">
        <f>IF($B641="","",IF(COUNTIF($B$2:$B641,$B641)=1,1,0))</f>
        <v/>
      </c>
      <c r="AA641">
        <f>IF($Z641=1,SUMPRODUCT(--($AC$2:$AC$3001&lt;$AC641))+1,"")</f>
        <v/>
      </c>
      <c r="AB641">
        <f>IF($B641="","",IF(OR($Y641=TRUE(),$Y641="TRUE"),1,IF(AND($Y641&lt;&gt;"",OR($Y641=FALSE(),$Y641="FALSE")),0,IF(MIN(ABS($X641/100-Settings!$C$6),ABS($X641/100-Settings!$G$6))&lt;=MIN(ABS($X641/100-Settings!$C$7),ABS($X641/100-Settings!$G$7)),1,0))))</f>
        <v/>
      </c>
      <c r="AC641">
        <f>IF($Z641=1,IFERROR(IF(VALUE($B641)&lt;100000000,VALUE($B641),1000000000),IFERROR(IF(VALUE(MID($B641,2,20))&lt;100000000,VALUE(MID($B641,2,20)),1000000000),1000000000))+ROW()/100000,"")</f>
        <v/>
      </c>
    </row>
    <row r="642">
      <c r="A642">
        <f>IF($B642="","",IFERROR(IF(INDEX('Per Invoice'!$A$2:$A$801,MATCH($B642,'Per Invoice'!$B$2:$B$801,0))=0,"",INDEX('Per Invoice'!$A$2:$A$801,MATCH($B642,'Per Invoice'!$B$2:$B$801,0))),""))</f>
        <v/>
      </c>
      <c r="J642" s="7">
        <f>IF($B642="","",I642*Q642/100)</f>
        <v/>
      </c>
      <c r="N642" s="7" t="n"/>
      <c r="O642" s="7" t="n"/>
      <c r="P642" s="7">
        <f>IF($B642="","",O642*X642/100)</f>
        <v/>
      </c>
      <c r="Q642" s="7">
        <f>IF($B642="","",O642-P642)</f>
        <v/>
      </c>
      <c r="R642" s="7">
        <f>IF($B642="","",Q642-J642)</f>
        <v/>
      </c>
      <c r="S642" s="7" t="n"/>
      <c r="T642" s="7" t="n"/>
      <c r="V642" s="14" t="n"/>
      <c r="Z642">
        <f>IF($B642="","",IF(COUNTIF($B$2:$B642,$B642)=1,1,0))</f>
        <v/>
      </c>
      <c r="AA642">
        <f>IF($Z642=1,SUMPRODUCT(--($AC$2:$AC$3001&lt;$AC642))+1,"")</f>
        <v/>
      </c>
      <c r="AB642">
        <f>IF($B642="","",IF(OR($Y642=TRUE(),$Y642="TRUE"),1,IF(AND($Y642&lt;&gt;"",OR($Y642=FALSE(),$Y642="FALSE")),0,IF(MIN(ABS($X642/100-Settings!$C$6),ABS($X642/100-Settings!$G$6))&lt;=MIN(ABS($X642/100-Settings!$C$7),ABS($X642/100-Settings!$G$7)),1,0))))</f>
        <v/>
      </c>
      <c r="AC642">
        <f>IF($Z642=1,IFERROR(IF(VALUE($B642)&lt;100000000,VALUE($B642),1000000000),IFERROR(IF(VALUE(MID($B642,2,20))&lt;100000000,VALUE(MID($B642,2,20)),1000000000),1000000000))+ROW()/100000,"")</f>
        <v/>
      </c>
    </row>
    <row r="643">
      <c r="A643">
        <f>IF($B643="","",IFERROR(IF(INDEX('Per Invoice'!$A$2:$A$801,MATCH($B643,'Per Invoice'!$B$2:$B$801,0))=0,"",INDEX('Per Invoice'!$A$2:$A$801,MATCH($B643,'Per Invoice'!$B$2:$B$801,0))),""))</f>
        <v/>
      </c>
      <c r="J643" s="7">
        <f>IF($B643="","",I643*Q643/100)</f>
        <v/>
      </c>
      <c r="N643" s="7" t="n"/>
      <c r="O643" s="7" t="n"/>
      <c r="P643" s="7">
        <f>IF($B643="","",O643*X643/100)</f>
        <v/>
      </c>
      <c r="Q643" s="7">
        <f>IF($B643="","",O643-P643)</f>
        <v/>
      </c>
      <c r="R643" s="7">
        <f>IF($B643="","",Q643-J643)</f>
        <v/>
      </c>
      <c r="S643" s="7" t="n"/>
      <c r="T643" s="7" t="n"/>
      <c r="V643" s="14" t="n"/>
      <c r="Z643">
        <f>IF($B643="","",IF(COUNTIF($B$2:$B643,$B643)=1,1,0))</f>
        <v/>
      </c>
      <c r="AA643">
        <f>IF($Z643=1,SUMPRODUCT(--($AC$2:$AC$3001&lt;$AC643))+1,"")</f>
        <v/>
      </c>
      <c r="AB643">
        <f>IF($B643="","",IF(OR($Y643=TRUE(),$Y643="TRUE"),1,IF(AND($Y643&lt;&gt;"",OR($Y643=FALSE(),$Y643="FALSE")),0,IF(MIN(ABS($X643/100-Settings!$C$6),ABS($X643/100-Settings!$G$6))&lt;=MIN(ABS($X643/100-Settings!$C$7),ABS($X643/100-Settings!$G$7)),1,0))))</f>
        <v/>
      </c>
      <c r="AC643">
        <f>IF($Z643=1,IFERROR(IF(VALUE($B643)&lt;100000000,VALUE($B643),1000000000),IFERROR(IF(VALUE(MID($B643,2,20))&lt;100000000,VALUE(MID($B643,2,20)),1000000000),1000000000))+ROW()/100000,"")</f>
        <v/>
      </c>
    </row>
    <row r="644">
      <c r="A644">
        <f>IF($B644="","",IFERROR(IF(INDEX('Per Invoice'!$A$2:$A$801,MATCH($B644,'Per Invoice'!$B$2:$B$801,0))=0,"",INDEX('Per Invoice'!$A$2:$A$801,MATCH($B644,'Per Invoice'!$B$2:$B$801,0))),""))</f>
        <v/>
      </c>
      <c r="J644" s="7">
        <f>IF($B644="","",I644*Q644/100)</f>
        <v/>
      </c>
      <c r="N644" s="7" t="n"/>
      <c r="O644" s="7" t="n"/>
      <c r="P644" s="7">
        <f>IF($B644="","",O644*X644/100)</f>
        <v/>
      </c>
      <c r="Q644" s="7">
        <f>IF($B644="","",O644-P644)</f>
        <v/>
      </c>
      <c r="R644" s="7">
        <f>IF($B644="","",Q644-J644)</f>
        <v/>
      </c>
      <c r="S644" s="7" t="n"/>
      <c r="T644" s="7" t="n"/>
      <c r="V644" s="14" t="n"/>
      <c r="Z644">
        <f>IF($B644="","",IF(COUNTIF($B$2:$B644,$B644)=1,1,0))</f>
        <v/>
      </c>
      <c r="AA644">
        <f>IF($Z644=1,SUMPRODUCT(--($AC$2:$AC$3001&lt;$AC644))+1,"")</f>
        <v/>
      </c>
      <c r="AB644">
        <f>IF($B644="","",IF(OR($Y644=TRUE(),$Y644="TRUE"),1,IF(AND($Y644&lt;&gt;"",OR($Y644=FALSE(),$Y644="FALSE")),0,IF(MIN(ABS($X644/100-Settings!$C$6),ABS($X644/100-Settings!$G$6))&lt;=MIN(ABS($X644/100-Settings!$C$7),ABS($X644/100-Settings!$G$7)),1,0))))</f>
        <v/>
      </c>
      <c r="AC644">
        <f>IF($Z644=1,IFERROR(IF(VALUE($B644)&lt;100000000,VALUE($B644),1000000000),IFERROR(IF(VALUE(MID($B644,2,20))&lt;100000000,VALUE(MID($B644,2,20)),1000000000),1000000000))+ROW()/100000,"")</f>
        <v/>
      </c>
    </row>
    <row r="645">
      <c r="A645">
        <f>IF($B645="","",IFERROR(IF(INDEX('Per Invoice'!$A$2:$A$801,MATCH($B645,'Per Invoice'!$B$2:$B$801,0))=0,"",INDEX('Per Invoice'!$A$2:$A$801,MATCH($B645,'Per Invoice'!$B$2:$B$801,0))),""))</f>
        <v/>
      </c>
      <c r="J645" s="7">
        <f>IF($B645="","",I645*Q645/100)</f>
        <v/>
      </c>
      <c r="N645" s="7" t="n"/>
      <c r="O645" s="7" t="n"/>
      <c r="P645" s="7">
        <f>IF($B645="","",O645*X645/100)</f>
        <v/>
      </c>
      <c r="Q645" s="7">
        <f>IF($B645="","",O645-P645)</f>
        <v/>
      </c>
      <c r="R645" s="7">
        <f>IF($B645="","",Q645-J645)</f>
        <v/>
      </c>
      <c r="S645" s="7" t="n"/>
      <c r="T645" s="7" t="n"/>
      <c r="V645" s="14" t="n"/>
      <c r="Z645">
        <f>IF($B645="","",IF(COUNTIF($B$2:$B645,$B645)=1,1,0))</f>
        <v/>
      </c>
      <c r="AA645">
        <f>IF($Z645=1,SUMPRODUCT(--($AC$2:$AC$3001&lt;$AC645))+1,"")</f>
        <v/>
      </c>
      <c r="AB645">
        <f>IF($B645="","",IF(OR($Y645=TRUE(),$Y645="TRUE"),1,IF(AND($Y645&lt;&gt;"",OR($Y645=FALSE(),$Y645="FALSE")),0,IF(MIN(ABS($X645/100-Settings!$C$6),ABS($X645/100-Settings!$G$6))&lt;=MIN(ABS($X645/100-Settings!$C$7),ABS($X645/100-Settings!$G$7)),1,0))))</f>
        <v/>
      </c>
      <c r="AC645">
        <f>IF($Z645=1,IFERROR(IF(VALUE($B645)&lt;100000000,VALUE($B645),1000000000),IFERROR(IF(VALUE(MID($B645,2,20))&lt;100000000,VALUE(MID($B645,2,20)),1000000000),1000000000))+ROW()/100000,"")</f>
        <v/>
      </c>
    </row>
    <row r="646">
      <c r="A646">
        <f>IF($B646="","",IFERROR(IF(INDEX('Per Invoice'!$A$2:$A$801,MATCH($B646,'Per Invoice'!$B$2:$B$801,0))=0,"",INDEX('Per Invoice'!$A$2:$A$801,MATCH($B646,'Per Invoice'!$B$2:$B$801,0))),""))</f>
        <v/>
      </c>
      <c r="J646" s="7">
        <f>IF($B646="","",I646*Q646/100)</f>
        <v/>
      </c>
      <c r="N646" s="7" t="n"/>
      <c r="O646" s="7" t="n"/>
      <c r="P646" s="7">
        <f>IF($B646="","",O646*X646/100)</f>
        <v/>
      </c>
      <c r="Q646" s="7">
        <f>IF($B646="","",O646-P646)</f>
        <v/>
      </c>
      <c r="R646" s="7">
        <f>IF($B646="","",Q646-J646)</f>
        <v/>
      </c>
      <c r="S646" s="7" t="n"/>
      <c r="T646" s="7" t="n"/>
      <c r="V646" s="14" t="n"/>
      <c r="Z646">
        <f>IF($B646="","",IF(COUNTIF($B$2:$B646,$B646)=1,1,0))</f>
        <v/>
      </c>
      <c r="AA646">
        <f>IF($Z646=1,SUMPRODUCT(--($AC$2:$AC$3001&lt;$AC646))+1,"")</f>
        <v/>
      </c>
      <c r="AB646">
        <f>IF($B646="","",IF(OR($Y646=TRUE(),$Y646="TRUE"),1,IF(AND($Y646&lt;&gt;"",OR($Y646=FALSE(),$Y646="FALSE")),0,IF(MIN(ABS($X646/100-Settings!$C$6),ABS($X646/100-Settings!$G$6))&lt;=MIN(ABS($X646/100-Settings!$C$7),ABS($X646/100-Settings!$G$7)),1,0))))</f>
        <v/>
      </c>
      <c r="AC646">
        <f>IF($Z646=1,IFERROR(IF(VALUE($B646)&lt;100000000,VALUE($B646),1000000000),IFERROR(IF(VALUE(MID($B646,2,20))&lt;100000000,VALUE(MID($B646,2,20)),1000000000),1000000000))+ROW()/100000,"")</f>
        <v/>
      </c>
    </row>
    <row r="647">
      <c r="A647">
        <f>IF($B647="","",IFERROR(IF(INDEX('Per Invoice'!$A$2:$A$801,MATCH($B647,'Per Invoice'!$B$2:$B$801,0))=0,"",INDEX('Per Invoice'!$A$2:$A$801,MATCH($B647,'Per Invoice'!$B$2:$B$801,0))),""))</f>
        <v/>
      </c>
      <c r="J647" s="7">
        <f>IF($B647="","",I647*Q647/100)</f>
        <v/>
      </c>
      <c r="N647" s="7" t="n"/>
      <c r="O647" s="7" t="n"/>
      <c r="P647" s="7">
        <f>IF($B647="","",O647*X647/100)</f>
        <v/>
      </c>
      <c r="Q647" s="7">
        <f>IF($B647="","",O647-P647)</f>
        <v/>
      </c>
      <c r="R647" s="7">
        <f>IF($B647="","",Q647-J647)</f>
        <v/>
      </c>
      <c r="S647" s="7" t="n"/>
      <c r="T647" s="7" t="n"/>
      <c r="V647" s="14" t="n"/>
      <c r="Z647">
        <f>IF($B647="","",IF(COUNTIF($B$2:$B647,$B647)=1,1,0))</f>
        <v/>
      </c>
      <c r="AA647">
        <f>IF($Z647=1,SUMPRODUCT(--($AC$2:$AC$3001&lt;$AC647))+1,"")</f>
        <v/>
      </c>
      <c r="AB647">
        <f>IF($B647="","",IF(OR($Y647=TRUE(),$Y647="TRUE"),1,IF(AND($Y647&lt;&gt;"",OR($Y647=FALSE(),$Y647="FALSE")),0,IF(MIN(ABS($X647/100-Settings!$C$6),ABS($X647/100-Settings!$G$6))&lt;=MIN(ABS($X647/100-Settings!$C$7),ABS($X647/100-Settings!$G$7)),1,0))))</f>
        <v/>
      </c>
      <c r="AC647">
        <f>IF($Z647=1,IFERROR(IF(VALUE($B647)&lt;100000000,VALUE($B647),1000000000),IFERROR(IF(VALUE(MID($B647,2,20))&lt;100000000,VALUE(MID($B647,2,20)),1000000000),1000000000))+ROW()/100000,"")</f>
        <v/>
      </c>
    </row>
    <row r="648">
      <c r="A648">
        <f>IF($B648="","",IFERROR(IF(INDEX('Per Invoice'!$A$2:$A$801,MATCH($B648,'Per Invoice'!$B$2:$B$801,0))=0,"",INDEX('Per Invoice'!$A$2:$A$801,MATCH($B648,'Per Invoice'!$B$2:$B$801,0))),""))</f>
        <v/>
      </c>
      <c r="J648" s="7">
        <f>IF($B648="","",I648*Q648/100)</f>
        <v/>
      </c>
      <c r="N648" s="7" t="n"/>
      <c r="O648" s="7" t="n"/>
      <c r="P648" s="7">
        <f>IF($B648="","",O648*X648/100)</f>
        <v/>
      </c>
      <c r="Q648" s="7">
        <f>IF($B648="","",O648-P648)</f>
        <v/>
      </c>
      <c r="R648" s="7">
        <f>IF($B648="","",Q648-J648)</f>
        <v/>
      </c>
      <c r="S648" s="7" t="n"/>
      <c r="T648" s="7" t="n"/>
      <c r="V648" s="14" t="n"/>
      <c r="Z648">
        <f>IF($B648="","",IF(COUNTIF($B$2:$B648,$B648)=1,1,0))</f>
        <v/>
      </c>
      <c r="AA648">
        <f>IF($Z648=1,SUMPRODUCT(--($AC$2:$AC$3001&lt;$AC648))+1,"")</f>
        <v/>
      </c>
      <c r="AB648">
        <f>IF($B648="","",IF(OR($Y648=TRUE(),$Y648="TRUE"),1,IF(AND($Y648&lt;&gt;"",OR($Y648=FALSE(),$Y648="FALSE")),0,IF(MIN(ABS($X648/100-Settings!$C$6),ABS($X648/100-Settings!$G$6))&lt;=MIN(ABS($X648/100-Settings!$C$7),ABS($X648/100-Settings!$G$7)),1,0))))</f>
        <v/>
      </c>
      <c r="AC648">
        <f>IF($Z648=1,IFERROR(IF(VALUE($B648)&lt;100000000,VALUE($B648),1000000000),IFERROR(IF(VALUE(MID($B648,2,20))&lt;100000000,VALUE(MID($B648,2,20)),1000000000),1000000000))+ROW()/100000,"")</f>
        <v/>
      </c>
    </row>
    <row r="649">
      <c r="A649">
        <f>IF($B649="","",IFERROR(IF(INDEX('Per Invoice'!$A$2:$A$801,MATCH($B649,'Per Invoice'!$B$2:$B$801,0))=0,"",INDEX('Per Invoice'!$A$2:$A$801,MATCH($B649,'Per Invoice'!$B$2:$B$801,0))),""))</f>
        <v/>
      </c>
      <c r="J649" s="7">
        <f>IF($B649="","",I649*Q649/100)</f>
        <v/>
      </c>
      <c r="N649" s="7" t="n"/>
      <c r="O649" s="7" t="n"/>
      <c r="P649" s="7">
        <f>IF($B649="","",O649*X649/100)</f>
        <v/>
      </c>
      <c r="Q649" s="7">
        <f>IF($B649="","",O649-P649)</f>
        <v/>
      </c>
      <c r="R649" s="7">
        <f>IF($B649="","",Q649-J649)</f>
        <v/>
      </c>
      <c r="S649" s="7" t="n"/>
      <c r="T649" s="7" t="n"/>
      <c r="V649" s="14" t="n"/>
      <c r="Z649">
        <f>IF($B649="","",IF(COUNTIF($B$2:$B649,$B649)=1,1,0))</f>
        <v/>
      </c>
      <c r="AA649">
        <f>IF($Z649=1,SUMPRODUCT(--($AC$2:$AC$3001&lt;$AC649))+1,"")</f>
        <v/>
      </c>
      <c r="AB649">
        <f>IF($B649="","",IF(OR($Y649=TRUE(),$Y649="TRUE"),1,IF(AND($Y649&lt;&gt;"",OR($Y649=FALSE(),$Y649="FALSE")),0,IF(MIN(ABS($X649/100-Settings!$C$6),ABS($X649/100-Settings!$G$6))&lt;=MIN(ABS($X649/100-Settings!$C$7),ABS($X649/100-Settings!$G$7)),1,0))))</f>
        <v/>
      </c>
      <c r="AC649">
        <f>IF($Z649=1,IFERROR(IF(VALUE($B649)&lt;100000000,VALUE($B649),1000000000),IFERROR(IF(VALUE(MID($B649,2,20))&lt;100000000,VALUE(MID($B649,2,20)),1000000000),1000000000))+ROW()/100000,"")</f>
        <v/>
      </c>
    </row>
    <row r="650">
      <c r="A650">
        <f>IF($B650="","",IFERROR(IF(INDEX('Per Invoice'!$A$2:$A$801,MATCH($B650,'Per Invoice'!$B$2:$B$801,0))=0,"",INDEX('Per Invoice'!$A$2:$A$801,MATCH($B650,'Per Invoice'!$B$2:$B$801,0))),""))</f>
        <v/>
      </c>
      <c r="J650" s="7">
        <f>IF($B650="","",I650*Q650/100)</f>
        <v/>
      </c>
      <c r="N650" s="7" t="n"/>
      <c r="O650" s="7" t="n"/>
      <c r="P650" s="7">
        <f>IF($B650="","",O650*X650/100)</f>
        <v/>
      </c>
      <c r="Q650" s="7">
        <f>IF($B650="","",O650-P650)</f>
        <v/>
      </c>
      <c r="R650" s="7">
        <f>IF($B650="","",Q650-J650)</f>
        <v/>
      </c>
      <c r="S650" s="7" t="n"/>
      <c r="T650" s="7" t="n"/>
      <c r="V650" s="14" t="n"/>
      <c r="Z650">
        <f>IF($B650="","",IF(COUNTIF($B$2:$B650,$B650)=1,1,0))</f>
        <v/>
      </c>
      <c r="AA650">
        <f>IF($Z650=1,SUMPRODUCT(--($AC$2:$AC$3001&lt;$AC650))+1,"")</f>
        <v/>
      </c>
      <c r="AB650">
        <f>IF($B650="","",IF(OR($Y650=TRUE(),$Y650="TRUE"),1,IF(AND($Y650&lt;&gt;"",OR($Y650=FALSE(),$Y650="FALSE")),0,IF(MIN(ABS($X650/100-Settings!$C$6),ABS($X650/100-Settings!$G$6))&lt;=MIN(ABS($X650/100-Settings!$C$7),ABS($X650/100-Settings!$G$7)),1,0))))</f>
        <v/>
      </c>
      <c r="AC650">
        <f>IF($Z650=1,IFERROR(IF(VALUE($B650)&lt;100000000,VALUE($B650),1000000000),IFERROR(IF(VALUE(MID($B650,2,20))&lt;100000000,VALUE(MID($B650,2,20)),1000000000),1000000000))+ROW()/100000,"")</f>
        <v/>
      </c>
    </row>
    <row r="651">
      <c r="A651">
        <f>IF($B651="","",IFERROR(IF(INDEX('Per Invoice'!$A$2:$A$801,MATCH($B651,'Per Invoice'!$B$2:$B$801,0))=0,"",INDEX('Per Invoice'!$A$2:$A$801,MATCH($B651,'Per Invoice'!$B$2:$B$801,0))),""))</f>
        <v/>
      </c>
      <c r="J651" s="7">
        <f>IF($B651="","",I651*Q651/100)</f>
        <v/>
      </c>
      <c r="N651" s="7" t="n"/>
      <c r="O651" s="7" t="n"/>
      <c r="P651" s="7">
        <f>IF($B651="","",O651*X651/100)</f>
        <v/>
      </c>
      <c r="Q651" s="7">
        <f>IF($B651="","",O651-P651)</f>
        <v/>
      </c>
      <c r="R651" s="7">
        <f>IF($B651="","",Q651-J651)</f>
        <v/>
      </c>
      <c r="S651" s="7" t="n"/>
      <c r="T651" s="7" t="n"/>
      <c r="V651" s="14" t="n"/>
      <c r="Z651">
        <f>IF($B651="","",IF(COUNTIF($B$2:$B651,$B651)=1,1,0))</f>
        <v/>
      </c>
      <c r="AA651">
        <f>IF($Z651=1,SUMPRODUCT(--($AC$2:$AC$3001&lt;$AC651))+1,"")</f>
        <v/>
      </c>
      <c r="AB651">
        <f>IF($B651="","",IF(OR($Y651=TRUE(),$Y651="TRUE"),1,IF(AND($Y651&lt;&gt;"",OR($Y651=FALSE(),$Y651="FALSE")),0,IF(MIN(ABS($X651/100-Settings!$C$6),ABS($X651/100-Settings!$G$6))&lt;=MIN(ABS($X651/100-Settings!$C$7),ABS($X651/100-Settings!$G$7)),1,0))))</f>
        <v/>
      </c>
      <c r="AC651">
        <f>IF($Z651=1,IFERROR(IF(VALUE($B651)&lt;100000000,VALUE($B651),1000000000),IFERROR(IF(VALUE(MID($B651,2,20))&lt;100000000,VALUE(MID($B651,2,20)),1000000000),1000000000))+ROW()/100000,"")</f>
        <v/>
      </c>
    </row>
    <row r="652">
      <c r="A652">
        <f>IF($B652="","",IFERROR(IF(INDEX('Per Invoice'!$A$2:$A$801,MATCH($B652,'Per Invoice'!$B$2:$B$801,0))=0,"",INDEX('Per Invoice'!$A$2:$A$801,MATCH($B652,'Per Invoice'!$B$2:$B$801,0))),""))</f>
        <v/>
      </c>
      <c r="J652" s="7">
        <f>IF($B652="","",I652*Q652/100)</f>
        <v/>
      </c>
      <c r="N652" s="7" t="n"/>
      <c r="O652" s="7" t="n"/>
      <c r="P652" s="7">
        <f>IF($B652="","",O652*X652/100)</f>
        <v/>
      </c>
      <c r="Q652" s="7">
        <f>IF($B652="","",O652-P652)</f>
        <v/>
      </c>
      <c r="R652" s="7">
        <f>IF($B652="","",Q652-J652)</f>
        <v/>
      </c>
      <c r="S652" s="7" t="n"/>
      <c r="T652" s="7" t="n"/>
      <c r="V652" s="14" t="n"/>
      <c r="Z652">
        <f>IF($B652="","",IF(COUNTIF($B$2:$B652,$B652)=1,1,0))</f>
        <v/>
      </c>
      <c r="AA652">
        <f>IF($Z652=1,SUMPRODUCT(--($AC$2:$AC$3001&lt;$AC652))+1,"")</f>
        <v/>
      </c>
      <c r="AB652">
        <f>IF($B652="","",IF(OR($Y652=TRUE(),$Y652="TRUE"),1,IF(AND($Y652&lt;&gt;"",OR($Y652=FALSE(),$Y652="FALSE")),0,IF(MIN(ABS($X652/100-Settings!$C$6),ABS($X652/100-Settings!$G$6))&lt;=MIN(ABS($X652/100-Settings!$C$7),ABS($X652/100-Settings!$G$7)),1,0))))</f>
        <v/>
      </c>
      <c r="AC652">
        <f>IF($Z652=1,IFERROR(IF(VALUE($B652)&lt;100000000,VALUE($B652),1000000000),IFERROR(IF(VALUE(MID($B652,2,20))&lt;100000000,VALUE(MID($B652,2,20)),1000000000),1000000000))+ROW()/100000,"")</f>
        <v/>
      </c>
    </row>
    <row r="653">
      <c r="A653">
        <f>IF($B653="","",IFERROR(IF(INDEX('Per Invoice'!$A$2:$A$801,MATCH($B653,'Per Invoice'!$B$2:$B$801,0))=0,"",INDEX('Per Invoice'!$A$2:$A$801,MATCH($B653,'Per Invoice'!$B$2:$B$801,0))),""))</f>
        <v/>
      </c>
      <c r="J653" s="7">
        <f>IF($B653="","",I653*Q653/100)</f>
        <v/>
      </c>
      <c r="N653" s="7" t="n"/>
      <c r="O653" s="7" t="n"/>
      <c r="P653" s="7">
        <f>IF($B653="","",O653*X653/100)</f>
        <v/>
      </c>
      <c r="Q653" s="7">
        <f>IF($B653="","",O653-P653)</f>
        <v/>
      </c>
      <c r="R653" s="7">
        <f>IF($B653="","",Q653-J653)</f>
        <v/>
      </c>
      <c r="S653" s="7" t="n"/>
      <c r="T653" s="7" t="n"/>
      <c r="V653" s="14" t="n"/>
      <c r="Z653">
        <f>IF($B653="","",IF(COUNTIF($B$2:$B653,$B653)=1,1,0))</f>
        <v/>
      </c>
      <c r="AA653">
        <f>IF($Z653=1,SUMPRODUCT(--($AC$2:$AC$3001&lt;$AC653))+1,"")</f>
        <v/>
      </c>
      <c r="AB653">
        <f>IF($B653="","",IF(OR($Y653=TRUE(),$Y653="TRUE"),1,IF(AND($Y653&lt;&gt;"",OR($Y653=FALSE(),$Y653="FALSE")),0,IF(MIN(ABS($X653/100-Settings!$C$6),ABS($X653/100-Settings!$G$6))&lt;=MIN(ABS($X653/100-Settings!$C$7),ABS($X653/100-Settings!$G$7)),1,0))))</f>
        <v/>
      </c>
      <c r="AC653">
        <f>IF($Z653=1,IFERROR(IF(VALUE($B653)&lt;100000000,VALUE($B653),1000000000),IFERROR(IF(VALUE(MID($B653,2,20))&lt;100000000,VALUE(MID($B653,2,20)),1000000000),1000000000))+ROW()/100000,"")</f>
        <v/>
      </c>
    </row>
    <row r="654">
      <c r="A654">
        <f>IF($B654="","",IFERROR(IF(INDEX('Per Invoice'!$A$2:$A$801,MATCH($B654,'Per Invoice'!$B$2:$B$801,0))=0,"",INDEX('Per Invoice'!$A$2:$A$801,MATCH($B654,'Per Invoice'!$B$2:$B$801,0))),""))</f>
        <v/>
      </c>
      <c r="J654" s="7">
        <f>IF($B654="","",I654*Q654/100)</f>
        <v/>
      </c>
      <c r="N654" s="7" t="n"/>
      <c r="O654" s="7" t="n"/>
      <c r="P654" s="7">
        <f>IF($B654="","",O654*X654/100)</f>
        <v/>
      </c>
      <c r="Q654" s="7">
        <f>IF($B654="","",O654-P654)</f>
        <v/>
      </c>
      <c r="R654" s="7">
        <f>IF($B654="","",Q654-J654)</f>
        <v/>
      </c>
      <c r="S654" s="7" t="n"/>
      <c r="T654" s="7" t="n"/>
      <c r="V654" s="14" t="n"/>
      <c r="Z654">
        <f>IF($B654="","",IF(COUNTIF($B$2:$B654,$B654)=1,1,0))</f>
        <v/>
      </c>
      <c r="AA654">
        <f>IF($Z654=1,SUMPRODUCT(--($AC$2:$AC$3001&lt;$AC654))+1,"")</f>
        <v/>
      </c>
      <c r="AB654">
        <f>IF($B654="","",IF(OR($Y654=TRUE(),$Y654="TRUE"),1,IF(AND($Y654&lt;&gt;"",OR($Y654=FALSE(),$Y654="FALSE")),0,IF(MIN(ABS($X654/100-Settings!$C$6),ABS($X654/100-Settings!$G$6))&lt;=MIN(ABS($X654/100-Settings!$C$7),ABS($X654/100-Settings!$G$7)),1,0))))</f>
        <v/>
      </c>
      <c r="AC654">
        <f>IF($Z654=1,IFERROR(IF(VALUE($B654)&lt;100000000,VALUE($B654),1000000000),IFERROR(IF(VALUE(MID($B654,2,20))&lt;100000000,VALUE(MID($B654,2,20)),1000000000),1000000000))+ROW()/100000,"")</f>
        <v/>
      </c>
    </row>
    <row r="655">
      <c r="A655">
        <f>IF($B655="","",IFERROR(IF(INDEX('Per Invoice'!$A$2:$A$801,MATCH($B655,'Per Invoice'!$B$2:$B$801,0))=0,"",INDEX('Per Invoice'!$A$2:$A$801,MATCH($B655,'Per Invoice'!$B$2:$B$801,0))),""))</f>
        <v/>
      </c>
      <c r="J655" s="7">
        <f>IF($B655="","",I655*Q655/100)</f>
        <v/>
      </c>
      <c r="N655" s="7" t="n"/>
      <c r="O655" s="7" t="n"/>
      <c r="P655" s="7">
        <f>IF($B655="","",O655*X655/100)</f>
        <v/>
      </c>
      <c r="Q655" s="7">
        <f>IF($B655="","",O655-P655)</f>
        <v/>
      </c>
      <c r="R655" s="7">
        <f>IF($B655="","",Q655-J655)</f>
        <v/>
      </c>
      <c r="S655" s="7" t="n"/>
      <c r="T655" s="7" t="n"/>
      <c r="V655" s="14" t="n"/>
      <c r="Z655">
        <f>IF($B655="","",IF(COUNTIF($B$2:$B655,$B655)=1,1,0))</f>
        <v/>
      </c>
      <c r="AA655">
        <f>IF($Z655=1,SUMPRODUCT(--($AC$2:$AC$3001&lt;$AC655))+1,"")</f>
        <v/>
      </c>
      <c r="AB655">
        <f>IF($B655="","",IF(OR($Y655=TRUE(),$Y655="TRUE"),1,IF(AND($Y655&lt;&gt;"",OR($Y655=FALSE(),$Y655="FALSE")),0,IF(MIN(ABS($X655/100-Settings!$C$6),ABS($X655/100-Settings!$G$6))&lt;=MIN(ABS($X655/100-Settings!$C$7),ABS($X655/100-Settings!$G$7)),1,0))))</f>
        <v/>
      </c>
      <c r="AC655">
        <f>IF($Z655=1,IFERROR(IF(VALUE($B655)&lt;100000000,VALUE($B655),1000000000),IFERROR(IF(VALUE(MID($B655,2,20))&lt;100000000,VALUE(MID($B655,2,20)),1000000000),1000000000))+ROW()/100000,"")</f>
        <v/>
      </c>
    </row>
    <row r="656">
      <c r="A656">
        <f>IF($B656="","",IFERROR(IF(INDEX('Per Invoice'!$A$2:$A$801,MATCH($B656,'Per Invoice'!$B$2:$B$801,0))=0,"",INDEX('Per Invoice'!$A$2:$A$801,MATCH($B656,'Per Invoice'!$B$2:$B$801,0))),""))</f>
        <v/>
      </c>
      <c r="J656" s="7">
        <f>IF($B656="","",I656*Q656/100)</f>
        <v/>
      </c>
      <c r="N656" s="7" t="n"/>
      <c r="O656" s="7" t="n"/>
      <c r="P656" s="7">
        <f>IF($B656="","",O656*X656/100)</f>
        <v/>
      </c>
      <c r="Q656" s="7">
        <f>IF($B656="","",O656-P656)</f>
        <v/>
      </c>
      <c r="R656" s="7">
        <f>IF($B656="","",Q656-J656)</f>
        <v/>
      </c>
      <c r="S656" s="7" t="n"/>
      <c r="T656" s="7" t="n"/>
      <c r="V656" s="14" t="n"/>
      <c r="Z656">
        <f>IF($B656="","",IF(COUNTIF($B$2:$B656,$B656)=1,1,0))</f>
        <v/>
      </c>
      <c r="AA656">
        <f>IF($Z656=1,SUMPRODUCT(--($AC$2:$AC$3001&lt;$AC656))+1,"")</f>
        <v/>
      </c>
      <c r="AB656">
        <f>IF($B656="","",IF(OR($Y656=TRUE(),$Y656="TRUE"),1,IF(AND($Y656&lt;&gt;"",OR($Y656=FALSE(),$Y656="FALSE")),0,IF(MIN(ABS($X656/100-Settings!$C$6),ABS($X656/100-Settings!$G$6))&lt;=MIN(ABS($X656/100-Settings!$C$7),ABS($X656/100-Settings!$G$7)),1,0))))</f>
        <v/>
      </c>
      <c r="AC656">
        <f>IF($Z656=1,IFERROR(IF(VALUE($B656)&lt;100000000,VALUE($B656),1000000000),IFERROR(IF(VALUE(MID($B656,2,20))&lt;100000000,VALUE(MID($B656,2,20)),1000000000),1000000000))+ROW()/100000,"")</f>
        <v/>
      </c>
    </row>
    <row r="657">
      <c r="A657">
        <f>IF($B657="","",IFERROR(IF(INDEX('Per Invoice'!$A$2:$A$801,MATCH($B657,'Per Invoice'!$B$2:$B$801,0))=0,"",INDEX('Per Invoice'!$A$2:$A$801,MATCH($B657,'Per Invoice'!$B$2:$B$801,0))),""))</f>
        <v/>
      </c>
      <c r="J657" s="7">
        <f>IF($B657="","",I657*Q657/100)</f>
        <v/>
      </c>
      <c r="N657" s="7" t="n"/>
      <c r="O657" s="7" t="n"/>
      <c r="P657" s="7">
        <f>IF($B657="","",O657*X657/100)</f>
        <v/>
      </c>
      <c r="Q657" s="7">
        <f>IF($B657="","",O657-P657)</f>
        <v/>
      </c>
      <c r="R657" s="7">
        <f>IF($B657="","",Q657-J657)</f>
        <v/>
      </c>
      <c r="S657" s="7" t="n"/>
      <c r="T657" s="7" t="n"/>
      <c r="V657" s="14" t="n"/>
      <c r="Z657">
        <f>IF($B657="","",IF(COUNTIF($B$2:$B657,$B657)=1,1,0))</f>
        <v/>
      </c>
      <c r="AA657">
        <f>IF($Z657=1,SUMPRODUCT(--($AC$2:$AC$3001&lt;$AC657))+1,"")</f>
        <v/>
      </c>
      <c r="AB657">
        <f>IF($B657="","",IF(OR($Y657=TRUE(),$Y657="TRUE"),1,IF(AND($Y657&lt;&gt;"",OR($Y657=FALSE(),$Y657="FALSE")),0,IF(MIN(ABS($X657/100-Settings!$C$6),ABS($X657/100-Settings!$G$6))&lt;=MIN(ABS($X657/100-Settings!$C$7),ABS($X657/100-Settings!$G$7)),1,0))))</f>
        <v/>
      </c>
      <c r="AC657">
        <f>IF($Z657=1,IFERROR(IF(VALUE($B657)&lt;100000000,VALUE($B657),1000000000),IFERROR(IF(VALUE(MID($B657,2,20))&lt;100000000,VALUE(MID($B657,2,20)),1000000000),1000000000))+ROW()/100000,"")</f>
        <v/>
      </c>
    </row>
    <row r="658">
      <c r="A658">
        <f>IF($B658="","",IFERROR(IF(INDEX('Per Invoice'!$A$2:$A$801,MATCH($B658,'Per Invoice'!$B$2:$B$801,0))=0,"",INDEX('Per Invoice'!$A$2:$A$801,MATCH($B658,'Per Invoice'!$B$2:$B$801,0))),""))</f>
        <v/>
      </c>
      <c r="J658" s="7">
        <f>IF($B658="","",I658*Q658/100)</f>
        <v/>
      </c>
      <c r="N658" s="7" t="n"/>
      <c r="O658" s="7" t="n"/>
      <c r="P658" s="7">
        <f>IF($B658="","",O658*X658/100)</f>
        <v/>
      </c>
      <c r="Q658" s="7">
        <f>IF($B658="","",O658-P658)</f>
        <v/>
      </c>
      <c r="R658" s="7">
        <f>IF($B658="","",Q658-J658)</f>
        <v/>
      </c>
      <c r="S658" s="7" t="n"/>
      <c r="T658" s="7" t="n"/>
      <c r="V658" s="14" t="n"/>
      <c r="Z658">
        <f>IF($B658="","",IF(COUNTIF($B$2:$B658,$B658)=1,1,0))</f>
        <v/>
      </c>
      <c r="AA658">
        <f>IF($Z658=1,SUMPRODUCT(--($AC$2:$AC$3001&lt;$AC658))+1,"")</f>
        <v/>
      </c>
      <c r="AB658">
        <f>IF($B658="","",IF(OR($Y658=TRUE(),$Y658="TRUE"),1,IF(AND($Y658&lt;&gt;"",OR($Y658=FALSE(),$Y658="FALSE")),0,IF(MIN(ABS($X658/100-Settings!$C$6),ABS($X658/100-Settings!$G$6))&lt;=MIN(ABS($X658/100-Settings!$C$7),ABS($X658/100-Settings!$G$7)),1,0))))</f>
        <v/>
      </c>
      <c r="AC658">
        <f>IF($Z658=1,IFERROR(IF(VALUE($B658)&lt;100000000,VALUE($B658),1000000000),IFERROR(IF(VALUE(MID($B658,2,20))&lt;100000000,VALUE(MID($B658,2,20)),1000000000),1000000000))+ROW()/100000,"")</f>
        <v/>
      </c>
    </row>
    <row r="659">
      <c r="A659">
        <f>IF($B659="","",IFERROR(IF(INDEX('Per Invoice'!$A$2:$A$801,MATCH($B659,'Per Invoice'!$B$2:$B$801,0))=0,"",INDEX('Per Invoice'!$A$2:$A$801,MATCH($B659,'Per Invoice'!$B$2:$B$801,0))),""))</f>
        <v/>
      </c>
      <c r="J659" s="7">
        <f>IF($B659="","",I659*Q659/100)</f>
        <v/>
      </c>
      <c r="N659" s="7" t="n"/>
      <c r="O659" s="7" t="n"/>
      <c r="P659" s="7">
        <f>IF($B659="","",O659*X659/100)</f>
        <v/>
      </c>
      <c r="Q659" s="7">
        <f>IF($B659="","",O659-P659)</f>
        <v/>
      </c>
      <c r="R659" s="7">
        <f>IF($B659="","",Q659-J659)</f>
        <v/>
      </c>
      <c r="S659" s="7" t="n"/>
      <c r="T659" s="7" t="n"/>
      <c r="V659" s="14" t="n"/>
      <c r="Z659">
        <f>IF($B659="","",IF(COUNTIF($B$2:$B659,$B659)=1,1,0))</f>
        <v/>
      </c>
      <c r="AA659">
        <f>IF($Z659=1,SUMPRODUCT(--($AC$2:$AC$3001&lt;$AC659))+1,"")</f>
        <v/>
      </c>
      <c r="AB659">
        <f>IF($B659="","",IF(OR($Y659=TRUE(),$Y659="TRUE"),1,IF(AND($Y659&lt;&gt;"",OR($Y659=FALSE(),$Y659="FALSE")),0,IF(MIN(ABS($X659/100-Settings!$C$6),ABS($X659/100-Settings!$G$6))&lt;=MIN(ABS($X659/100-Settings!$C$7),ABS($X659/100-Settings!$G$7)),1,0))))</f>
        <v/>
      </c>
      <c r="AC659">
        <f>IF($Z659=1,IFERROR(IF(VALUE($B659)&lt;100000000,VALUE($B659),1000000000),IFERROR(IF(VALUE(MID($B659,2,20))&lt;100000000,VALUE(MID($B659,2,20)),1000000000),1000000000))+ROW()/100000,"")</f>
        <v/>
      </c>
    </row>
    <row r="660">
      <c r="A660">
        <f>IF($B660="","",IFERROR(IF(INDEX('Per Invoice'!$A$2:$A$801,MATCH($B660,'Per Invoice'!$B$2:$B$801,0))=0,"",INDEX('Per Invoice'!$A$2:$A$801,MATCH($B660,'Per Invoice'!$B$2:$B$801,0))),""))</f>
        <v/>
      </c>
      <c r="J660" s="7">
        <f>IF($B660="","",I660*Q660/100)</f>
        <v/>
      </c>
      <c r="N660" s="7" t="n"/>
      <c r="O660" s="7" t="n"/>
      <c r="P660" s="7">
        <f>IF($B660="","",O660*X660/100)</f>
        <v/>
      </c>
      <c r="Q660" s="7">
        <f>IF($B660="","",O660-P660)</f>
        <v/>
      </c>
      <c r="R660" s="7">
        <f>IF($B660="","",Q660-J660)</f>
        <v/>
      </c>
      <c r="S660" s="7" t="n"/>
      <c r="T660" s="7" t="n"/>
      <c r="V660" s="14" t="n"/>
      <c r="Z660">
        <f>IF($B660="","",IF(COUNTIF($B$2:$B660,$B660)=1,1,0))</f>
        <v/>
      </c>
      <c r="AA660">
        <f>IF($Z660=1,SUMPRODUCT(--($AC$2:$AC$3001&lt;$AC660))+1,"")</f>
        <v/>
      </c>
      <c r="AB660">
        <f>IF($B660="","",IF(OR($Y660=TRUE(),$Y660="TRUE"),1,IF(AND($Y660&lt;&gt;"",OR($Y660=FALSE(),$Y660="FALSE")),0,IF(MIN(ABS($X660/100-Settings!$C$6),ABS($X660/100-Settings!$G$6))&lt;=MIN(ABS($X660/100-Settings!$C$7),ABS($X660/100-Settings!$G$7)),1,0))))</f>
        <v/>
      </c>
      <c r="AC660">
        <f>IF($Z660=1,IFERROR(IF(VALUE($B660)&lt;100000000,VALUE($B660),1000000000),IFERROR(IF(VALUE(MID($B660,2,20))&lt;100000000,VALUE(MID($B660,2,20)),1000000000),1000000000))+ROW()/100000,"")</f>
        <v/>
      </c>
    </row>
    <row r="661">
      <c r="A661">
        <f>IF($B661="","",IFERROR(IF(INDEX('Per Invoice'!$A$2:$A$801,MATCH($B661,'Per Invoice'!$B$2:$B$801,0))=0,"",INDEX('Per Invoice'!$A$2:$A$801,MATCH($B661,'Per Invoice'!$B$2:$B$801,0))),""))</f>
        <v/>
      </c>
      <c r="J661" s="7">
        <f>IF($B661="","",I661*Q661/100)</f>
        <v/>
      </c>
      <c r="N661" s="7" t="n"/>
      <c r="O661" s="7" t="n"/>
      <c r="P661" s="7">
        <f>IF($B661="","",O661*X661/100)</f>
        <v/>
      </c>
      <c r="Q661" s="7">
        <f>IF($B661="","",O661-P661)</f>
        <v/>
      </c>
      <c r="R661" s="7">
        <f>IF($B661="","",Q661-J661)</f>
        <v/>
      </c>
      <c r="S661" s="7" t="n"/>
      <c r="T661" s="7" t="n"/>
      <c r="V661" s="14" t="n"/>
      <c r="Z661">
        <f>IF($B661="","",IF(COUNTIF($B$2:$B661,$B661)=1,1,0))</f>
        <v/>
      </c>
      <c r="AA661">
        <f>IF($Z661=1,SUMPRODUCT(--($AC$2:$AC$3001&lt;$AC661))+1,"")</f>
        <v/>
      </c>
      <c r="AB661">
        <f>IF($B661="","",IF(OR($Y661=TRUE(),$Y661="TRUE"),1,IF(AND($Y661&lt;&gt;"",OR($Y661=FALSE(),$Y661="FALSE")),0,IF(MIN(ABS($X661/100-Settings!$C$6),ABS($X661/100-Settings!$G$6))&lt;=MIN(ABS($X661/100-Settings!$C$7),ABS($X661/100-Settings!$G$7)),1,0))))</f>
        <v/>
      </c>
      <c r="AC661">
        <f>IF($Z661=1,IFERROR(IF(VALUE($B661)&lt;100000000,VALUE($B661),1000000000),IFERROR(IF(VALUE(MID($B661,2,20))&lt;100000000,VALUE(MID($B661,2,20)),1000000000),1000000000))+ROW()/100000,"")</f>
        <v/>
      </c>
    </row>
    <row r="662">
      <c r="A662">
        <f>IF($B662="","",IFERROR(IF(INDEX('Per Invoice'!$A$2:$A$801,MATCH($B662,'Per Invoice'!$B$2:$B$801,0))=0,"",INDEX('Per Invoice'!$A$2:$A$801,MATCH($B662,'Per Invoice'!$B$2:$B$801,0))),""))</f>
        <v/>
      </c>
      <c r="J662" s="7">
        <f>IF($B662="","",I662*Q662/100)</f>
        <v/>
      </c>
      <c r="N662" s="7" t="n"/>
      <c r="O662" s="7" t="n"/>
      <c r="P662" s="7">
        <f>IF($B662="","",O662*X662/100)</f>
        <v/>
      </c>
      <c r="Q662" s="7">
        <f>IF($B662="","",O662-P662)</f>
        <v/>
      </c>
      <c r="R662" s="7">
        <f>IF($B662="","",Q662-J662)</f>
        <v/>
      </c>
      <c r="S662" s="7" t="n"/>
      <c r="T662" s="7" t="n"/>
      <c r="V662" s="14" t="n"/>
      <c r="Z662">
        <f>IF($B662="","",IF(COUNTIF($B$2:$B662,$B662)=1,1,0))</f>
        <v/>
      </c>
      <c r="AA662">
        <f>IF($Z662=1,SUMPRODUCT(--($AC$2:$AC$3001&lt;$AC662))+1,"")</f>
        <v/>
      </c>
      <c r="AB662">
        <f>IF($B662="","",IF(OR($Y662=TRUE(),$Y662="TRUE"),1,IF(AND($Y662&lt;&gt;"",OR($Y662=FALSE(),$Y662="FALSE")),0,IF(MIN(ABS($X662/100-Settings!$C$6),ABS($X662/100-Settings!$G$6))&lt;=MIN(ABS($X662/100-Settings!$C$7),ABS($X662/100-Settings!$G$7)),1,0))))</f>
        <v/>
      </c>
      <c r="AC662">
        <f>IF($Z662=1,IFERROR(IF(VALUE($B662)&lt;100000000,VALUE($B662),1000000000),IFERROR(IF(VALUE(MID($B662,2,20))&lt;100000000,VALUE(MID($B662,2,20)),1000000000),1000000000))+ROW()/100000,"")</f>
        <v/>
      </c>
    </row>
    <row r="663">
      <c r="A663">
        <f>IF($B663="","",IFERROR(IF(INDEX('Per Invoice'!$A$2:$A$801,MATCH($B663,'Per Invoice'!$B$2:$B$801,0))=0,"",INDEX('Per Invoice'!$A$2:$A$801,MATCH($B663,'Per Invoice'!$B$2:$B$801,0))),""))</f>
        <v/>
      </c>
      <c r="J663" s="7">
        <f>IF($B663="","",I663*Q663/100)</f>
        <v/>
      </c>
      <c r="N663" s="7" t="n"/>
      <c r="O663" s="7" t="n"/>
      <c r="P663" s="7">
        <f>IF($B663="","",O663*X663/100)</f>
        <v/>
      </c>
      <c r="Q663" s="7">
        <f>IF($B663="","",O663-P663)</f>
        <v/>
      </c>
      <c r="R663" s="7">
        <f>IF($B663="","",Q663-J663)</f>
        <v/>
      </c>
      <c r="S663" s="7" t="n"/>
      <c r="T663" s="7" t="n"/>
      <c r="V663" s="14" t="n"/>
      <c r="Z663">
        <f>IF($B663="","",IF(COUNTIF($B$2:$B663,$B663)=1,1,0))</f>
        <v/>
      </c>
      <c r="AA663">
        <f>IF($Z663=1,SUMPRODUCT(--($AC$2:$AC$3001&lt;$AC663))+1,"")</f>
        <v/>
      </c>
      <c r="AB663">
        <f>IF($B663="","",IF(OR($Y663=TRUE(),$Y663="TRUE"),1,IF(AND($Y663&lt;&gt;"",OR($Y663=FALSE(),$Y663="FALSE")),0,IF(MIN(ABS($X663/100-Settings!$C$6),ABS($X663/100-Settings!$G$6))&lt;=MIN(ABS($X663/100-Settings!$C$7),ABS($X663/100-Settings!$G$7)),1,0))))</f>
        <v/>
      </c>
      <c r="AC663">
        <f>IF($Z663=1,IFERROR(IF(VALUE($B663)&lt;100000000,VALUE($B663),1000000000),IFERROR(IF(VALUE(MID($B663,2,20))&lt;100000000,VALUE(MID($B663,2,20)),1000000000),1000000000))+ROW()/100000,"")</f>
        <v/>
      </c>
    </row>
    <row r="664">
      <c r="A664">
        <f>IF($B664="","",IFERROR(IF(INDEX('Per Invoice'!$A$2:$A$801,MATCH($B664,'Per Invoice'!$B$2:$B$801,0))=0,"",INDEX('Per Invoice'!$A$2:$A$801,MATCH($B664,'Per Invoice'!$B$2:$B$801,0))),""))</f>
        <v/>
      </c>
      <c r="J664" s="7">
        <f>IF($B664="","",I664*Q664/100)</f>
        <v/>
      </c>
      <c r="N664" s="7" t="n"/>
      <c r="O664" s="7" t="n"/>
      <c r="P664" s="7">
        <f>IF($B664="","",O664*X664/100)</f>
        <v/>
      </c>
      <c r="Q664" s="7">
        <f>IF($B664="","",O664-P664)</f>
        <v/>
      </c>
      <c r="R664" s="7">
        <f>IF($B664="","",Q664-J664)</f>
        <v/>
      </c>
      <c r="S664" s="7" t="n"/>
      <c r="T664" s="7" t="n"/>
      <c r="V664" s="14" t="n"/>
      <c r="Z664">
        <f>IF($B664="","",IF(COUNTIF($B$2:$B664,$B664)=1,1,0))</f>
        <v/>
      </c>
      <c r="AA664">
        <f>IF($Z664=1,SUMPRODUCT(--($AC$2:$AC$3001&lt;$AC664))+1,"")</f>
        <v/>
      </c>
      <c r="AB664">
        <f>IF($B664="","",IF(OR($Y664=TRUE(),$Y664="TRUE"),1,IF(AND($Y664&lt;&gt;"",OR($Y664=FALSE(),$Y664="FALSE")),0,IF(MIN(ABS($X664/100-Settings!$C$6),ABS($X664/100-Settings!$G$6))&lt;=MIN(ABS($X664/100-Settings!$C$7),ABS($X664/100-Settings!$G$7)),1,0))))</f>
        <v/>
      </c>
      <c r="AC664">
        <f>IF($Z664=1,IFERROR(IF(VALUE($B664)&lt;100000000,VALUE($B664),1000000000),IFERROR(IF(VALUE(MID($B664,2,20))&lt;100000000,VALUE(MID($B664,2,20)),1000000000),1000000000))+ROW()/100000,"")</f>
        <v/>
      </c>
    </row>
    <row r="665">
      <c r="A665">
        <f>IF($B665="","",IFERROR(IF(INDEX('Per Invoice'!$A$2:$A$801,MATCH($B665,'Per Invoice'!$B$2:$B$801,0))=0,"",INDEX('Per Invoice'!$A$2:$A$801,MATCH($B665,'Per Invoice'!$B$2:$B$801,0))),""))</f>
        <v/>
      </c>
      <c r="J665" s="7">
        <f>IF($B665="","",I665*Q665/100)</f>
        <v/>
      </c>
      <c r="N665" s="7" t="n"/>
      <c r="O665" s="7" t="n"/>
      <c r="P665" s="7">
        <f>IF($B665="","",O665*X665/100)</f>
        <v/>
      </c>
      <c r="Q665" s="7">
        <f>IF($B665="","",O665-P665)</f>
        <v/>
      </c>
      <c r="R665" s="7">
        <f>IF($B665="","",Q665-J665)</f>
        <v/>
      </c>
      <c r="S665" s="7" t="n"/>
      <c r="T665" s="7" t="n"/>
      <c r="V665" s="14" t="n"/>
      <c r="Z665">
        <f>IF($B665="","",IF(COUNTIF($B$2:$B665,$B665)=1,1,0))</f>
        <v/>
      </c>
      <c r="AA665">
        <f>IF($Z665=1,SUMPRODUCT(--($AC$2:$AC$3001&lt;$AC665))+1,"")</f>
        <v/>
      </c>
      <c r="AB665">
        <f>IF($B665="","",IF(OR($Y665=TRUE(),$Y665="TRUE"),1,IF(AND($Y665&lt;&gt;"",OR($Y665=FALSE(),$Y665="FALSE")),0,IF(MIN(ABS($X665/100-Settings!$C$6),ABS($X665/100-Settings!$G$6))&lt;=MIN(ABS($X665/100-Settings!$C$7),ABS($X665/100-Settings!$G$7)),1,0))))</f>
        <v/>
      </c>
      <c r="AC665">
        <f>IF($Z665=1,IFERROR(IF(VALUE($B665)&lt;100000000,VALUE($B665),1000000000),IFERROR(IF(VALUE(MID($B665,2,20))&lt;100000000,VALUE(MID($B665,2,20)),1000000000),1000000000))+ROW()/100000,"")</f>
        <v/>
      </c>
    </row>
    <row r="666">
      <c r="A666">
        <f>IF($B666="","",IFERROR(IF(INDEX('Per Invoice'!$A$2:$A$801,MATCH($B666,'Per Invoice'!$B$2:$B$801,0))=0,"",INDEX('Per Invoice'!$A$2:$A$801,MATCH($B666,'Per Invoice'!$B$2:$B$801,0))),""))</f>
        <v/>
      </c>
      <c r="J666" s="7">
        <f>IF($B666="","",I666*Q666/100)</f>
        <v/>
      </c>
      <c r="N666" s="7" t="n"/>
      <c r="O666" s="7" t="n"/>
      <c r="P666" s="7">
        <f>IF($B666="","",O666*X666/100)</f>
        <v/>
      </c>
      <c r="Q666" s="7">
        <f>IF($B666="","",O666-P666)</f>
        <v/>
      </c>
      <c r="R666" s="7">
        <f>IF($B666="","",Q666-J666)</f>
        <v/>
      </c>
      <c r="S666" s="7" t="n"/>
      <c r="T666" s="7" t="n"/>
      <c r="V666" s="14" t="n"/>
      <c r="Z666">
        <f>IF($B666="","",IF(COUNTIF($B$2:$B666,$B666)=1,1,0))</f>
        <v/>
      </c>
      <c r="AA666">
        <f>IF($Z666=1,SUMPRODUCT(--($AC$2:$AC$3001&lt;$AC666))+1,"")</f>
        <v/>
      </c>
      <c r="AB666">
        <f>IF($B666="","",IF(OR($Y666=TRUE(),$Y666="TRUE"),1,IF(AND($Y666&lt;&gt;"",OR($Y666=FALSE(),$Y666="FALSE")),0,IF(MIN(ABS($X666/100-Settings!$C$6),ABS($X666/100-Settings!$G$6))&lt;=MIN(ABS($X666/100-Settings!$C$7),ABS($X666/100-Settings!$G$7)),1,0))))</f>
        <v/>
      </c>
      <c r="AC666">
        <f>IF($Z666=1,IFERROR(IF(VALUE($B666)&lt;100000000,VALUE($B666),1000000000),IFERROR(IF(VALUE(MID($B666,2,20))&lt;100000000,VALUE(MID($B666,2,20)),1000000000),1000000000))+ROW()/100000,"")</f>
        <v/>
      </c>
    </row>
    <row r="667">
      <c r="A667">
        <f>IF($B667="","",IFERROR(IF(INDEX('Per Invoice'!$A$2:$A$801,MATCH($B667,'Per Invoice'!$B$2:$B$801,0))=0,"",INDEX('Per Invoice'!$A$2:$A$801,MATCH($B667,'Per Invoice'!$B$2:$B$801,0))),""))</f>
        <v/>
      </c>
      <c r="J667" s="7">
        <f>IF($B667="","",I667*Q667/100)</f>
        <v/>
      </c>
      <c r="N667" s="7" t="n"/>
      <c r="O667" s="7" t="n"/>
      <c r="P667" s="7">
        <f>IF($B667="","",O667*X667/100)</f>
        <v/>
      </c>
      <c r="Q667" s="7">
        <f>IF($B667="","",O667-P667)</f>
        <v/>
      </c>
      <c r="R667" s="7">
        <f>IF($B667="","",Q667-J667)</f>
        <v/>
      </c>
      <c r="S667" s="7" t="n"/>
      <c r="T667" s="7" t="n"/>
      <c r="V667" s="14" t="n"/>
      <c r="Z667">
        <f>IF($B667="","",IF(COUNTIF($B$2:$B667,$B667)=1,1,0))</f>
        <v/>
      </c>
      <c r="AA667">
        <f>IF($Z667=1,SUMPRODUCT(--($AC$2:$AC$3001&lt;$AC667))+1,"")</f>
        <v/>
      </c>
      <c r="AB667">
        <f>IF($B667="","",IF(OR($Y667=TRUE(),$Y667="TRUE"),1,IF(AND($Y667&lt;&gt;"",OR($Y667=FALSE(),$Y667="FALSE")),0,IF(MIN(ABS($X667/100-Settings!$C$6),ABS($X667/100-Settings!$G$6))&lt;=MIN(ABS($X667/100-Settings!$C$7),ABS($X667/100-Settings!$G$7)),1,0))))</f>
        <v/>
      </c>
      <c r="AC667">
        <f>IF($Z667=1,IFERROR(IF(VALUE($B667)&lt;100000000,VALUE($B667),1000000000),IFERROR(IF(VALUE(MID($B667,2,20))&lt;100000000,VALUE(MID($B667,2,20)),1000000000),1000000000))+ROW()/100000,"")</f>
        <v/>
      </c>
    </row>
    <row r="668">
      <c r="A668">
        <f>IF($B668="","",IFERROR(IF(INDEX('Per Invoice'!$A$2:$A$801,MATCH($B668,'Per Invoice'!$B$2:$B$801,0))=0,"",INDEX('Per Invoice'!$A$2:$A$801,MATCH($B668,'Per Invoice'!$B$2:$B$801,0))),""))</f>
        <v/>
      </c>
      <c r="J668" s="7">
        <f>IF($B668="","",I668*Q668/100)</f>
        <v/>
      </c>
      <c r="N668" s="7" t="n"/>
      <c r="O668" s="7" t="n"/>
      <c r="P668" s="7">
        <f>IF($B668="","",O668*X668/100)</f>
        <v/>
      </c>
      <c r="Q668" s="7">
        <f>IF($B668="","",O668-P668)</f>
        <v/>
      </c>
      <c r="R668" s="7">
        <f>IF($B668="","",Q668-J668)</f>
        <v/>
      </c>
      <c r="S668" s="7" t="n"/>
      <c r="T668" s="7" t="n"/>
      <c r="V668" s="14" t="n"/>
      <c r="Z668">
        <f>IF($B668="","",IF(COUNTIF($B$2:$B668,$B668)=1,1,0))</f>
        <v/>
      </c>
      <c r="AA668">
        <f>IF($Z668=1,SUMPRODUCT(--($AC$2:$AC$3001&lt;$AC668))+1,"")</f>
        <v/>
      </c>
      <c r="AB668">
        <f>IF($B668="","",IF(OR($Y668=TRUE(),$Y668="TRUE"),1,IF(AND($Y668&lt;&gt;"",OR($Y668=FALSE(),$Y668="FALSE")),0,IF(MIN(ABS($X668/100-Settings!$C$6),ABS($X668/100-Settings!$G$6))&lt;=MIN(ABS($X668/100-Settings!$C$7),ABS($X668/100-Settings!$G$7)),1,0))))</f>
        <v/>
      </c>
      <c r="AC668">
        <f>IF($Z668=1,IFERROR(IF(VALUE($B668)&lt;100000000,VALUE($B668),1000000000),IFERROR(IF(VALUE(MID($B668,2,20))&lt;100000000,VALUE(MID($B668,2,20)),1000000000),1000000000))+ROW()/100000,"")</f>
        <v/>
      </c>
    </row>
    <row r="669">
      <c r="A669">
        <f>IF($B669="","",IFERROR(IF(INDEX('Per Invoice'!$A$2:$A$801,MATCH($B669,'Per Invoice'!$B$2:$B$801,0))=0,"",INDEX('Per Invoice'!$A$2:$A$801,MATCH($B669,'Per Invoice'!$B$2:$B$801,0))),""))</f>
        <v/>
      </c>
      <c r="J669" s="7">
        <f>IF($B669="","",I669*Q669/100)</f>
        <v/>
      </c>
      <c r="N669" s="7" t="n"/>
      <c r="O669" s="7" t="n"/>
      <c r="P669" s="7">
        <f>IF($B669="","",O669*X669/100)</f>
        <v/>
      </c>
      <c r="Q669" s="7">
        <f>IF($B669="","",O669-P669)</f>
        <v/>
      </c>
      <c r="R669" s="7">
        <f>IF($B669="","",Q669-J669)</f>
        <v/>
      </c>
      <c r="S669" s="7" t="n"/>
      <c r="T669" s="7" t="n"/>
      <c r="V669" s="14" t="n"/>
      <c r="Z669">
        <f>IF($B669="","",IF(COUNTIF($B$2:$B669,$B669)=1,1,0))</f>
        <v/>
      </c>
      <c r="AA669">
        <f>IF($Z669=1,SUMPRODUCT(--($AC$2:$AC$3001&lt;$AC669))+1,"")</f>
        <v/>
      </c>
      <c r="AB669">
        <f>IF($B669="","",IF(OR($Y669=TRUE(),$Y669="TRUE"),1,IF(AND($Y669&lt;&gt;"",OR($Y669=FALSE(),$Y669="FALSE")),0,IF(MIN(ABS($X669/100-Settings!$C$6),ABS($X669/100-Settings!$G$6))&lt;=MIN(ABS($X669/100-Settings!$C$7),ABS($X669/100-Settings!$G$7)),1,0))))</f>
        <v/>
      </c>
      <c r="AC669">
        <f>IF($Z669=1,IFERROR(IF(VALUE($B669)&lt;100000000,VALUE($B669),1000000000),IFERROR(IF(VALUE(MID($B669,2,20))&lt;100000000,VALUE(MID($B669,2,20)),1000000000),1000000000))+ROW()/100000,"")</f>
        <v/>
      </c>
    </row>
    <row r="670">
      <c r="A670">
        <f>IF($B670="","",IFERROR(IF(INDEX('Per Invoice'!$A$2:$A$801,MATCH($B670,'Per Invoice'!$B$2:$B$801,0))=0,"",INDEX('Per Invoice'!$A$2:$A$801,MATCH($B670,'Per Invoice'!$B$2:$B$801,0))),""))</f>
        <v/>
      </c>
      <c r="J670" s="7">
        <f>IF($B670="","",I670*Q670/100)</f>
        <v/>
      </c>
      <c r="N670" s="7" t="n"/>
      <c r="O670" s="7" t="n"/>
      <c r="P670" s="7">
        <f>IF($B670="","",O670*X670/100)</f>
        <v/>
      </c>
      <c r="Q670" s="7">
        <f>IF($B670="","",O670-P670)</f>
        <v/>
      </c>
      <c r="R670" s="7">
        <f>IF($B670="","",Q670-J670)</f>
        <v/>
      </c>
      <c r="S670" s="7" t="n"/>
      <c r="T670" s="7" t="n"/>
      <c r="V670" s="14" t="n"/>
      <c r="Z670">
        <f>IF($B670="","",IF(COUNTIF($B$2:$B670,$B670)=1,1,0))</f>
        <v/>
      </c>
      <c r="AA670">
        <f>IF($Z670=1,SUMPRODUCT(--($AC$2:$AC$3001&lt;$AC670))+1,"")</f>
        <v/>
      </c>
      <c r="AB670">
        <f>IF($B670="","",IF(OR($Y670=TRUE(),$Y670="TRUE"),1,IF(AND($Y670&lt;&gt;"",OR($Y670=FALSE(),$Y670="FALSE")),0,IF(MIN(ABS($X670/100-Settings!$C$6),ABS($X670/100-Settings!$G$6))&lt;=MIN(ABS($X670/100-Settings!$C$7),ABS($X670/100-Settings!$G$7)),1,0))))</f>
        <v/>
      </c>
      <c r="AC670">
        <f>IF($Z670=1,IFERROR(IF(VALUE($B670)&lt;100000000,VALUE($B670),1000000000),IFERROR(IF(VALUE(MID($B670,2,20))&lt;100000000,VALUE(MID($B670,2,20)),1000000000),1000000000))+ROW()/100000,"")</f>
        <v/>
      </c>
    </row>
    <row r="671">
      <c r="A671">
        <f>IF($B671="","",IFERROR(IF(INDEX('Per Invoice'!$A$2:$A$801,MATCH($B671,'Per Invoice'!$B$2:$B$801,0))=0,"",INDEX('Per Invoice'!$A$2:$A$801,MATCH($B671,'Per Invoice'!$B$2:$B$801,0))),""))</f>
        <v/>
      </c>
      <c r="J671" s="7">
        <f>IF($B671="","",I671*Q671/100)</f>
        <v/>
      </c>
      <c r="N671" s="7" t="n"/>
      <c r="O671" s="7" t="n"/>
      <c r="P671" s="7">
        <f>IF($B671="","",O671*X671/100)</f>
        <v/>
      </c>
      <c r="Q671" s="7">
        <f>IF($B671="","",O671-P671)</f>
        <v/>
      </c>
      <c r="R671" s="7">
        <f>IF($B671="","",Q671-J671)</f>
        <v/>
      </c>
      <c r="S671" s="7" t="n"/>
      <c r="T671" s="7" t="n"/>
      <c r="V671" s="14" t="n"/>
      <c r="Z671">
        <f>IF($B671="","",IF(COUNTIF($B$2:$B671,$B671)=1,1,0))</f>
        <v/>
      </c>
      <c r="AA671">
        <f>IF($Z671=1,SUMPRODUCT(--($AC$2:$AC$3001&lt;$AC671))+1,"")</f>
        <v/>
      </c>
      <c r="AB671">
        <f>IF($B671="","",IF(OR($Y671=TRUE(),$Y671="TRUE"),1,IF(AND($Y671&lt;&gt;"",OR($Y671=FALSE(),$Y671="FALSE")),0,IF(MIN(ABS($X671/100-Settings!$C$6),ABS($X671/100-Settings!$G$6))&lt;=MIN(ABS($X671/100-Settings!$C$7),ABS($X671/100-Settings!$G$7)),1,0))))</f>
        <v/>
      </c>
      <c r="AC671">
        <f>IF($Z671=1,IFERROR(IF(VALUE($B671)&lt;100000000,VALUE($B671),1000000000),IFERROR(IF(VALUE(MID($B671,2,20))&lt;100000000,VALUE(MID($B671,2,20)),1000000000),1000000000))+ROW()/100000,"")</f>
        <v/>
      </c>
    </row>
    <row r="672">
      <c r="A672">
        <f>IF($B672="","",IFERROR(IF(INDEX('Per Invoice'!$A$2:$A$801,MATCH($B672,'Per Invoice'!$B$2:$B$801,0))=0,"",INDEX('Per Invoice'!$A$2:$A$801,MATCH($B672,'Per Invoice'!$B$2:$B$801,0))),""))</f>
        <v/>
      </c>
      <c r="J672" s="7">
        <f>IF($B672="","",I672*Q672/100)</f>
        <v/>
      </c>
      <c r="N672" s="7" t="n"/>
      <c r="O672" s="7" t="n"/>
      <c r="P672" s="7">
        <f>IF($B672="","",O672*X672/100)</f>
        <v/>
      </c>
      <c r="Q672" s="7">
        <f>IF($B672="","",O672-P672)</f>
        <v/>
      </c>
      <c r="R672" s="7">
        <f>IF($B672="","",Q672-J672)</f>
        <v/>
      </c>
      <c r="S672" s="7" t="n"/>
      <c r="T672" s="7" t="n"/>
      <c r="V672" s="14" t="n"/>
      <c r="Z672">
        <f>IF($B672="","",IF(COUNTIF($B$2:$B672,$B672)=1,1,0))</f>
        <v/>
      </c>
      <c r="AA672">
        <f>IF($Z672=1,SUMPRODUCT(--($AC$2:$AC$3001&lt;$AC672))+1,"")</f>
        <v/>
      </c>
      <c r="AB672">
        <f>IF($B672="","",IF(OR($Y672=TRUE(),$Y672="TRUE"),1,IF(AND($Y672&lt;&gt;"",OR($Y672=FALSE(),$Y672="FALSE")),0,IF(MIN(ABS($X672/100-Settings!$C$6),ABS($X672/100-Settings!$G$6))&lt;=MIN(ABS($X672/100-Settings!$C$7),ABS($X672/100-Settings!$G$7)),1,0))))</f>
        <v/>
      </c>
      <c r="AC672">
        <f>IF($Z672=1,IFERROR(IF(VALUE($B672)&lt;100000000,VALUE($B672),1000000000),IFERROR(IF(VALUE(MID($B672,2,20))&lt;100000000,VALUE(MID($B672,2,20)),1000000000),1000000000))+ROW()/100000,"")</f>
        <v/>
      </c>
    </row>
    <row r="673">
      <c r="A673">
        <f>IF($B673="","",IFERROR(IF(INDEX('Per Invoice'!$A$2:$A$801,MATCH($B673,'Per Invoice'!$B$2:$B$801,0))=0,"",INDEX('Per Invoice'!$A$2:$A$801,MATCH($B673,'Per Invoice'!$B$2:$B$801,0))),""))</f>
        <v/>
      </c>
      <c r="J673" s="7">
        <f>IF($B673="","",I673*Q673/100)</f>
        <v/>
      </c>
      <c r="N673" s="7" t="n"/>
      <c r="O673" s="7" t="n"/>
      <c r="P673" s="7">
        <f>IF($B673="","",O673*X673/100)</f>
        <v/>
      </c>
      <c r="Q673" s="7">
        <f>IF($B673="","",O673-P673)</f>
        <v/>
      </c>
      <c r="R673" s="7">
        <f>IF($B673="","",Q673-J673)</f>
        <v/>
      </c>
      <c r="S673" s="7" t="n"/>
      <c r="T673" s="7" t="n"/>
      <c r="V673" s="14" t="n"/>
      <c r="Z673">
        <f>IF($B673="","",IF(COUNTIF($B$2:$B673,$B673)=1,1,0))</f>
        <v/>
      </c>
      <c r="AA673">
        <f>IF($Z673=1,SUMPRODUCT(--($AC$2:$AC$3001&lt;$AC673))+1,"")</f>
        <v/>
      </c>
      <c r="AB673">
        <f>IF($B673="","",IF(OR($Y673=TRUE(),$Y673="TRUE"),1,IF(AND($Y673&lt;&gt;"",OR($Y673=FALSE(),$Y673="FALSE")),0,IF(MIN(ABS($X673/100-Settings!$C$6),ABS($X673/100-Settings!$G$6))&lt;=MIN(ABS($X673/100-Settings!$C$7),ABS($X673/100-Settings!$G$7)),1,0))))</f>
        <v/>
      </c>
      <c r="AC673">
        <f>IF($Z673=1,IFERROR(IF(VALUE($B673)&lt;100000000,VALUE($B673),1000000000),IFERROR(IF(VALUE(MID($B673,2,20))&lt;100000000,VALUE(MID($B673,2,20)),1000000000),1000000000))+ROW()/100000,"")</f>
        <v/>
      </c>
    </row>
    <row r="674">
      <c r="A674">
        <f>IF($B674="","",IFERROR(IF(INDEX('Per Invoice'!$A$2:$A$801,MATCH($B674,'Per Invoice'!$B$2:$B$801,0))=0,"",INDEX('Per Invoice'!$A$2:$A$801,MATCH($B674,'Per Invoice'!$B$2:$B$801,0))),""))</f>
        <v/>
      </c>
      <c r="J674" s="7">
        <f>IF($B674="","",I674*Q674/100)</f>
        <v/>
      </c>
      <c r="N674" s="7" t="n"/>
      <c r="O674" s="7" t="n"/>
      <c r="P674" s="7">
        <f>IF($B674="","",O674*X674/100)</f>
        <v/>
      </c>
      <c r="Q674" s="7">
        <f>IF($B674="","",O674-P674)</f>
        <v/>
      </c>
      <c r="R674" s="7">
        <f>IF($B674="","",Q674-J674)</f>
        <v/>
      </c>
      <c r="S674" s="7" t="n"/>
      <c r="T674" s="7" t="n"/>
      <c r="V674" s="14" t="n"/>
      <c r="Z674">
        <f>IF($B674="","",IF(COUNTIF($B$2:$B674,$B674)=1,1,0))</f>
        <v/>
      </c>
      <c r="AA674">
        <f>IF($Z674=1,SUMPRODUCT(--($AC$2:$AC$3001&lt;$AC674))+1,"")</f>
        <v/>
      </c>
      <c r="AB674">
        <f>IF($B674="","",IF(OR($Y674=TRUE(),$Y674="TRUE"),1,IF(AND($Y674&lt;&gt;"",OR($Y674=FALSE(),$Y674="FALSE")),0,IF(MIN(ABS($X674/100-Settings!$C$6),ABS($X674/100-Settings!$G$6))&lt;=MIN(ABS($X674/100-Settings!$C$7),ABS($X674/100-Settings!$G$7)),1,0))))</f>
        <v/>
      </c>
      <c r="AC674">
        <f>IF($Z674=1,IFERROR(IF(VALUE($B674)&lt;100000000,VALUE($B674),1000000000),IFERROR(IF(VALUE(MID($B674,2,20))&lt;100000000,VALUE(MID($B674,2,20)),1000000000),1000000000))+ROW()/100000,"")</f>
        <v/>
      </c>
    </row>
    <row r="675">
      <c r="A675">
        <f>IF($B675="","",IFERROR(IF(INDEX('Per Invoice'!$A$2:$A$801,MATCH($B675,'Per Invoice'!$B$2:$B$801,0))=0,"",INDEX('Per Invoice'!$A$2:$A$801,MATCH($B675,'Per Invoice'!$B$2:$B$801,0))),""))</f>
        <v/>
      </c>
      <c r="J675" s="7">
        <f>IF($B675="","",I675*Q675/100)</f>
        <v/>
      </c>
      <c r="N675" s="7" t="n"/>
      <c r="O675" s="7" t="n"/>
      <c r="P675" s="7">
        <f>IF($B675="","",O675*X675/100)</f>
        <v/>
      </c>
      <c r="Q675" s="7">
        <f>IF($B675="","",O675-P675)</f>
        <v/>
      </c>
      <c r="R675" s="7">
        <f>IF($B675="","",Q675-J675)</f>
        <v/>
      </c>
      <c r="S675" s="7" t="n"/>
      <c r="T675" s="7" t="n"/>
      <c r="V675" s="14" t="n"/>
      <c r="Z675">
        <f>IF($B675="","",IF(COUNTIF($B$2:$B675,$B675)=1,1,0))</f>
        <v/>
      </c>
      <c r="AA675">
        <f>IF($Z675=1,SUMPRODUCT(--($AC$2:$AC$3001&lt;$AC675))+1,"")</f>
        <v/>
      </c>
      <c r="AB675">
        <f>IF($B675="","",IF(OR($Y675=TRUE(),$Y675="TRUE"),1,IF(AND($Y675&lt;&gt;"",OR($Y675=FALSE(),$Y675="FALSE")),0,IF(MIN(ABS($X675/100-Settings!$C$6),ABS($X675/100-Settings!$G$6))&lt;=MIN(ABS($X675/100-Settings!$C$7),ABS($X675/100-Settings!$G$7)),1,0))))</f>
        <v/>
      </c>
      <c r="AC675">
        <f>IF($Z675=1,IFERROR(IF(VALUE($B675)&lt;100000000,VALUE($B675),1000000000),IFERROR(IF(VALUE(MID($B675,2,20))&lt;100000000,VALUE(MID($B675,2,20)),1000000000),1000000000))+ROW()/100000,"")</f>
        <v/>
      </c>
    </row>
    <row r="676">
      <c r="A676">
        <f>IF($B676="","",IFERROR(IF(INDEX('Per Invoice'!$A$2:$A$801,MATCH($B676,'Per Invoice'!$B$2:$B$801,0))=0,"",INDEX('Per Invoice'!$A$2:$A$801,MATCH($B676,'Per Invoice'!$B$2:$B$801,0))),""))</f>
        <v/>
      </c>
      <c r="J676" s="7">
        <f>IF($B676="","",I676*Q676/100)</f>
        <v/>
      </c>
      <c r="N676" s="7" t="n"/>
      <c r="O676" s="7" t="n"/>
      <c r="P676" s="7">
        <f>IF($B676="","",O676*X676/100)</f>
        <v/>
      </c>
      <c r="Q676" s="7">
        <f>IF($B676="","",O676-P676)</f>
        <v/>
      </c>
      <c r="R676" s="7">
        <f>IF($B676="","",Q676-J676)</f>
        <v/>
      </c>
      <c r="S676" s="7" t="n"/>
      <c r="T676" s="7" t="n"/>
      <c r="V676" s="14" t="n"/>
      <c r="Z676">
        <f>IF($B676="","",IF(COUNTIF($B$2:$B676,$B676)=1,1,0))</f>
        <v/>
      </c>
      <c r="AA676">
        <f>IF($Z676=1,SUMPRODUCT(--($AC$2:$AC$3001&lt;$AC676))+1,"")</f>
        <v/>
      </c>
      <c r="AB676">
        <f>IF($B676="","",IF(OR($Y676=TRUE(),$Y676="TRUE"),1,IF(AND($Y676&lt;&gt;"",OR($Y676=FALSE(),$Y676="FALSE")),0,IF(MIN(ABS($X676/100-Settings!$C$6),ABS($X676/100-Settings!$G$6))&lt;=MIN(ABS($X676/100-Settings!$C$7),ABS($X676/100-Settings!$G$7)),1,0))))</f>
        <v/>
      </c>
      <c r="AC676">
        <f>IF($Z676=1,IFERROR(IF(VALUE($B676)&lt;100000000,VALUE($B676),1000000000),IFERROR(IF(VALUE(MID($B676,2,20))&lt;100000000,VALUE(MID($B676,2,20)),1000000000),1000000000))+ROW()/100000,"")</f>
        <v/>
      </c>
    </row>
    <row r="677">
      <c r="A677">
        <f>IF($B677="","",IFERROR(IF(INDEX('Per Invoice'!$A$2:$A$801,MATCH($B677,'Per Invoice'!$B$2:$B$801,0))=0,"",INDEX('Per Invoice'!$A$2:$A$801,MATCH($B677,'Per Invoice'!$B$2:$B$801,0))),""))</f>
        <v/>
      </c>
      <c r="J677" s="7">
        <f>IF($B677="","",I677*Q677/100)</f>
        <v/>
      </c>
      <c r="N677" s="7" t="n"/>
      <c r="O677" s="7" t="n"/>
      <c r="P677" s="7">
        <f>IF($B677="","",O677*X677/100)</f>
        <v/>
      </c>
      <c r="Q677" s="7">
        <f>IF($B677="","",O677-P677)</f>
        <v/>
      </c>
      <c r="R677" s="7">
        <f>IF($B677="","",Q677-J677)</f>
        <v/>
      </c>
      <c r="S677" s="7" t="n"/>
      <c r="T677" s="7" t="n"/>
      <c r="V677" s="14" t="n"/>
      <c r="Z677">
        <f>IF($B677="","",IF(COUNTIF($B$2:$B677,$B677)=1,1,0))</f>
        <v/>
      </c>
      <c r="AA677">
        <f>IF($Z677=1,SUMPRODUCT(--($AC$2:$AC$3001&lt;$AC677))+1,"")</f>
        <v/>
      </c>
      <c r="AB677">
        <f>IF($B677="","",IF(OR($Y677=TRUE(),$Y677="TRUE"),1,IF(AND($Y677&lt;&gt;"",OR($Y677=FALSE(),$Y677="FALSE")),0,IF(MIN(ABS($X677/100-Settings!$C$6),ABS($X677/100-Settings!$G$6))&lt;=MIN(ABS($X677/100-Settings!$C$7),ABS($X677/100-Settings!$G$7)),1,0))))</f>
        <v/>
      </c>
      <c r="AC677">
        <f>IF($Z677=1,IFERROR(IF(VALUE($B677)&lt;100000000,VALUE($B677),1000000000),IFERROR(IF(VALUE(MID($B677,2,20))&lt;100000000,VALUE(MID($B677,2,20)),1000000000),1000000000))+ROW()/100000,"")</f>
        <v/>
      </c>
    </row>
    <row r="678">
      <c r="A678">
        <f>IF($B678="","",IFERROR(IF(INDEX('Per Invoice'!$A$2:$A$801,MATCH($B678,'Per Invoice'!$B$2:$B$801,0))=0,"",INDEX('Per Invoice'!$A$2:$A$801,MATCH($B678,'Per Invoice'!$B$2:$B$801,0))),""))</f>
        <v/>
      </c>
      <c r="J678" s="7">
        <f>IF($B678="","",I678*Q678/100)</f>
        <v/>
      </c>
      <c r="N678" s="7" t="n"/>
      <c r="O678" s="7" t="n"/>
      <c r="P678" s="7">
        <f>IF($B678="","",O678*X678/100)</f>
        <v/>
      </c>
      <c r="Q678" s="7">
        <f>IF($B678="","",O678-P678)</f>
        <v/>
      </c>
      <c r="R678" s="7">
        <f>IF($B678="","",Q678-J678)</f>
        <v/>
      </c>
      <c r="S678" s="7" t="n"/>
      <c r="T678" s="7" t="n"/>
      <c r="V678" s="14" t="n"/>
      <c r="Z678">
        <f>IF($B678="","",IF(COUNTIF($B$2:$B678,$B678)=1,1,0))</f>
        <v/>
      </c>
      <c r="AA678">
        <f>IF($Z678=1,SUMPRODUCT(--($AC$2:$AC$3001&lt;$AC678))+1,"")</f>
        <v/>
      </c>
      <c r="AB678">
        <f>IF($B678="","",IF(OR($Y678=TRUE(),$Y678="TRUE"),1,IF(AND($Y678&lt;&gt;"",OR($Y678=FALSE(),$Y678="FALSE")),0,IF(MIN(ABS($X678/100-Settings!$C$6),ABS($X678/100-Settings!$G$6))&lt;=MIN(ABS($X678/100-Settings!$C$7),ABS($X678/100-Settings!$G$7)),1,0))))</f>
        <v/>
      </c>
      <c r="AC678">
        <f>IF($Z678=1,IFERROR(IF(VALUE($B678)&lt;100000000,VALUE($B678),1000000000),IFERROR(IF(VALUE(MID($B678,2,20))&lt;100000000,VALUE(MID($B678,2,20)),1000000000),1000000000))+ROW()/100000,"")</f>
        <v/>
      </c>
    </row>
    <row r="679">
      <c r="A679">
        <f>IF($B679="","",IFERROR(IF(INDEX('Per Invoice'!$A$2:$A$801,MATCH($B679,'Per Invoice'!$B$2:$B$801,0))=0,"",INDEX('Per Invoice'!$A$2:$A$801,MATCH($B679,'Per Invoice'!$B$2:$B$801,0))),""))</f>
        <v/>
      </c>
      <c r="J679" s="7">
        <f>IF($B679="","",I679*Q679/100)</f>
        <v/>
      </c>
      <c r="N679" s="7" t="n"/>
      <c r="O679" s="7" t="n"/>
      <c r="P679" s="7">
        <f>IF($B679="","",O679*X679/100)</f>
        <v/>
      </c>
      <c r="Q679" s="7">
        <f>IF($B679="","",O679-P679)</f>
        <v/>
      </c>
      <c r="R679" s="7">
        <f>IF($B679="","",Q679-J679)</f>
        <v/>
      </c>
      <c r="S679" s="7" t="n"/>
      <c r="T679" s="7" t="n"/>
      <c r="V679" s="14" t="n"/>
      <c r="Z679">
        <f>IF($B679="","",IF(COUNTIF($B$2:$B679,$B679)=1,1,0))</f>
        <v/>
      </c>
      <c r="AA679">
        <f>IF($Z679=1,SUMPRODUCT(--($AC$2:$AC$3001&lt;$AC679))+1,"")</f>
        <v/>
      </c>
      <c r="AB679">
        <f>IF($B679="","",IF(OR($Y679=TRUE(),$Y679="TRUE"),1,IF(AND($Y679&lt;&gt;"",OR($Y679=FALSE(),$Y679="FALSE")),0,IF(MIN(ABS($X679/100-Settings!$C$6),ABS($X679/100-Settings!$G$6))&lt;=MIN(ABS($X679/100-Settings!$C$7),ABS($X679/100-Settings!$G$7)),1,0))))</f>
        <v/>
      </c>
      <c r="AC679">
        <f>IF($Z679=1,IFERROR(IF(VALUE($B679)&lt;100000000,VALUE($B679),1000000000),IFERROR(IF(VALUE(MID($B679,2,20))&lt;100000000,VALUE(MID($B679,2,20)),1000000000),1000000000))+ROW()/100000,"")</f>
        <v/>
      </c>
    </row>
    <row r="680">
      <c r="A680">
        <f>IF($B680="","",IFERROR(IF(INDEX('Per Invoice'!$A$2:$A$801,MATCH($B680,'Per Invoice'!$B$2:$B$801,0))=0,"",INDEX('Per Invoice'!$A$2:$A$801,MATCH($B680,'Per Invoice'!$B$2:$B$801,0))),""))</f>
        <v/>
      </c>
      <c r="J680" s="7">
        <f>IF($B680="","",I680*Q680/100)</f>
        <v/>
      </c>
      <c r="N680" s="7" t="n"/>
      <c r="O680" s="7" t="n"/>
      <c r="P680" s="7">
        <f>IF($B680="","",O680*X680/100)</f>
        <v/>
      </c>
      <c r="Q680" s="7">
        <f>IF($B680="","",O680-P680)</f>
        <v/>
      </c>
      <c r="R680" s="7">
        <f>IF($B680="","",Q680-J680)</f>
        <v/>
      </c>
      <c r="S680" s="7" t="n"/>
      <c r="T680" s="7" t="n"/>
      <c r="V680" s="14" t="n"/>
      <c r="Z680">
        <f>IF($B680="","",IF(COUNTIF($B$2:$B680,$B680)=1,1,0))</f>
        <v/>
      </c>
      <c r="AA680">
        <f>IF($Z680=1,SUMPRODUCT(--($AC$2:$AC$3001&lt;$AC680))+1,"")</f>
        <v/>
      </c>
      <c r="AB680">
        <f>IF($B680="","",IF(OR($Y680=TRUE(),$Y680="TRUE"),1,IF(AND($Y680&lt;&gt;"",OR($Y680=FALSE(),$Y680="FALSE")),0,IF(MIN(ABS($X680/100-Settings!$C$6),ABS($X680/100-Settings!$G$6))&lt;=MIN(ABS($X680/100-Settings!$C$7),ABS($X680/100-Settings!$G$7)),1,0))))</f>
        <v/>
      </c>
      <c r="AC680">
        <f>IF($Z680=1,IFERROR(IF(VALUE($B680)&lt;100000000,VALUE($B680),1000000000),IFERROR(IF(VALUE(MID($B680,2,20))&lt;100000000,VALUE(MID($B680,2,20)),1000000000),1000000000))+ROW()/100000,"")</f>
        <v/>
      </c>
    </row>
    <row r="681">
      <c r="A681">
        <f>IF($B681="","",IFERROR(IF(INDEX('Per Invoice'!$A$2:$A$801,MATCH($B681,'Per Invoice'!$B$2:$B$801,0))=0,"",INDEX('Per Invoice'!$A$2:$A$801,MATCH($B681,'Per Invoice'!$B$2:$B$801,0))),""))</f>
        <v/>
      </c>
      <c r="J681" s="7">
        <f>IF($B681="","",I681*Q681/100)</f>
        <v/>
      </c>
      <c r="N681" s="7" t="n"/>
      <c r="O681" s="7" t="n"/>
      <c r="P681" s="7">
        <f>IF($B681="","",O681*X681/100)</f>
        <v/>
      </c>
      <c r="Q681" s="7">
        <f>IF($B681="","",O681-P681)</f>
        <v/>
      </c>
      <c r="R681" s="7">
        <f>IF($B681="","",Q681-J681)</f>
        <v/>
      </c>
      <c r="S681" s="7" t="n"/>
      <c r="T681" s="7" t="n"/>
      <c r="V681" s="14" t="n"/>
      <c r="Z681">
        <f>IF($B681="","",IF(COUNTIF($B$2:$B681,$B681)=1,1,0))</f>
        <v/>
      </c>
      <c r="AA681">
        <f>IF($Z681=1,SUMPRODUCT(--($AC$2:$AC$3001&lt;$AC681))+1,"")</f>
        <v/>
      </c>
      <c r="AB681">
        <f>IF($B681="","",IF(OR($Y681=TRUE(),$Y681="TRUE"),1,IF(AND($Y681&lt;&gt;"",OR($Y681=FALSE(),$Y681="FALSE")),0,IF(MIN(ABS($X681/100-Settings!$C$6),ABS($X681/100-Settings!$G$6))&lt;=MIN(ABS($X681/100-Settings!$C$7),ABS($X681/100-Settings!$G$7)),1,0))))</f>
        <v/>
      </c>
      <c r="AC681">
        <f>IF($Z681=1,IFERROR(IF(VALUE($B681)&lt;100000000,VALUE($B681),1000000000),IFERROR(IF(VALUE(MID($B681,2,20))&lt;100000000,VALUE(MID($B681,2,20)),1000000000),1000000000))+ROW()/100000,"")</f>
        <v/>
      </c>
    </row>
    <row r="682">
      <c r="A682">
        <f>IF($B682="","",IFERROR(IF(INDEX('Per Invoice'!$A$2:$A$801,MATCH($B682,'Per Invoice'!$B$2:$B$801,0))=0,"",INDEX('Per Invoice'!$A$2:$A$801,MATCH($B682,'Per Invoice'!$B$2:$B$801,0))),""))</f>
        <v/>
      </c>
      <c r="J682" s="7">
        <f>IF($B682="","",I682*Q682/100)</f>
        <v/>
      </c>
      <c r="N682" s="7" t="n"/>
      <c r="O682" s="7" t="n"/>
      <c r="P682" s="7">
        <f>IF($B682="","",O682*X682/100)</f>
        <v/>
      </c>
      <c r="Q682" s="7">
        <f>IF($B682="","",O682-P682)</f>
        <v/>
      </c>
      <c r="R682" s="7">
        <f>IF($B682="","",Q682-J682)</f>
        <v/>
      </c>
      <c r="S682" s="7" t="n"/>
      <c r="T682" s="7" t="n"/>
      <c r="V682" s="14" t="n"/>
      <c r="Z682">
        <f>IF($B682="","",IF(COUNTIF($B$2:$B682,$B682)=1,1,0))</f>
        <v/>
      </c>
      <c r="AA682">
        <f>IF($Z682=1,SUMPRODUCT(--($AC$2:$AC$3001&lt;$AC682))+1,"")</f>
        <v/>
      </c>
      <c r="AB682">
        <f>IF($B682="","",IF(OR($Y682=TRUE(),$Y682="TRUE"),1,IF(AND($Y682&lt;&gt;"",OR($Y682=FALSE(),$Y682="FALSE")),0,IF(MIN(ABS($X682/100-Settings!$C$6),ABS($X682/100-Settings!$G$6))&lt;=MIN(ABS($X682/100-Settings!$C$7),ABS($X682/100-Settings!$G$7)),1,0))))</f>
        <v/>
      </c>
      <c r="AC682">
        <f>IF($Z682=1,IFERROR(IF(VALUE($B682)&lt;100000000,VALUE($B682),1000000000),IFERROR(IF(VALUE(MID($B682,2,20))&lt;100000000,VALUE(MID($B682,2,20)),1000000000),1000000000))+ROW()/100000,"")</f>
        <v/>
      </c>
    </row>
    <row r="683">
      <c r="A683">
        <f>IF($B683="","",IFERROR(IF(INDEX('Per Invoice'!$A$2:$A$801,MATCH($B683,'Per Invoice'!$B$2:$B$801,0))=0,"",INDEX('Per Invoice'!$A$2:$A$801,MATCH($B683,'Per Invoice'!$B$2:$B$801,0))),""))</f>
        <v/>
      </c>
      <c r="J683" s="7">
        <f>IF($B683="","",I683*Q683/100)</f>
        <v/>
      </c>
      <c r="N683" s="7" t="n"/>
      <c r="O683" s="7" t="n"/>
      <c r="P683" s="7">
        <f>IF($B683="","",O683*X683/100)</f>
        <v/>
      </c>
      <c r="Q683" s="7">
        <f>IF($B683="","",O683-P683)</f>
        <v/>
      </c>
      <c r="R683" s="7">
        <f>IF($B683="","",Q683-J683)</f>
        <v/>
      </c>
      <c r="S683" s="7" t="n"/>
      <c r="T683" s="7" t="n"/>
      <c r="V683" s="14" t="n"/>
      <c r="Z683">
        <f>IF($B683="","",IF(COUNTIF($B$2:$B683,$B683)=1,1,0))</f>
        <v/>
      </c>
      <c r="AA683">
        <f>IF($Z683=1,SUMPRODUCT(--($AC$2:$AC$3001&lt;$AC683))+1,"")</f>
        <v/>
      </c>
      <c r="AB683">
        <f>IF($B683="","",IF(OR($Y683=TRUE(),$Y683="TRUE"),1,IF(AND($Y683&lt;&gt;"",OR($Y683=FALSE(),$Y683="FALSE")),0,IF(MIN(ABS($X683/100-Settings!$C$6),ABS($X683/100-Settings!$G$6))&lt;=MIN(ABS($X683/100-Settings!$C$7),ABS($X683/100-Settings!$G$7)),1,0))))</f>
        <v/>
      </c>
      <c r="AC683">
        <f>IF($Z683=1,IFERROR(IF(VALUE($B683)&lt;100000000,VALUE($B683),1000000000),IFERROR(IF(VALUE(MID($B683,2,20))&lt;100000000,VALUE(MID($B683,2,20)),1000000000),1000000000))+ROW()/100000,"")</f>
        <v/>
      </c>
    </row>
    <row r="684">
      <c r="A684">
        <f>IF($B684="","",IFERROR(IF(INDEX('Per Invoice'!$A$2:$A$801,MATCH($B684,'Per Invoice'!$B$2:$B$801,0))=0,"",INDEX('Per Invoice'!$A$2:$A$801,MATCH($B684,'Per Invoice'!$B$2:$B$801,0))),""))</f>
        <v/>
      </c>
      <c r="J684" s="7">
        <f>IF($B684="","",I684*Q684/100)</f>
        <v/>
      </c>
      <c r="N684" s="7" t="n"/>
      <c r="O684" s="7" t="n"/>
      <c r="P684" s="7">
        <f>IF($B684="","",O684*X684/100)</f>
        <v/>
      </c>
      <c r="Q684" s="7">
        <f>IF($B684="","",O684-P684)</f>
        <v/>
      </c>
      <c r="R684" s="7">
        <f>IF($B684="","",Q684-J684)</f>
        <v/>
      </c>
      <c r="S684" s="7" t="n"/>
      <c r="T684" s="7" t="n"/>
      <c r="V684" s="14" t="n"/>
      <c r="Z684">
        <f>IF($B684="","",IF(COUNTIF($B$2:$B684,$B684)=1,1,0))</f>
        <v/>
      </c>
      <c r="AA684">
        <f>IF($Z684=1,SUMPRODUCT(--($AC$2:$AC$3001&lt;$AC684))+1,"")</f>
        <v/>
      </c>
      <c r="AB684">
        <f>IF($B684="","",IF(OR($Y684=TRUE(),$Y684="TRUE"),1,IF(AND($Y684&lt;&gt;"",OR($Y684=FALSE(),$Y684="FALSE")),0,IF(MIN(ABS($X684/100-Settings!$C$6),ABS($X684/100-Settings!$G$6))&lt;=MIN(ABS($X684/100-Settings!$C$7),ABS($X684/100-Settings!$G$7)),1,0))))</f>
        <v/>
      </c>
      <c r="AC684">
        <f>IF($Z684=1,IFERROR(IF(VALUE($B684)&lt;100000000,VALUE($B684),1000000000),IFERROR(IF(VALUE(MID($B684,2,20))&lt;100000000,VALUE(MID($B684,2,20)),1000000000),1000000000))+ROW()/100000,"")</f>
        <v/>
      </c>
    </row>
    <row r="685">
      <c r="A685">
        <f>IF($B685="","",IFERROR(IF(INDEX('Per Invoice'!$A$2:$A$801,MATCH($B685,'Per Invoice'!$B$2:$B$801,0))=0,"",INDEX('Per Invoice'!$A$2:$A$801,MATCH($B685,'Per Invoice'!$B$2:$B$801,0))),""))</f>
        <v/>
      </c>
      <c r="J685" s="7">
        <f>IF($B685="","",I685*Q685/100)</f>
        <v/>
      </c>
      <c r="N685" s="7" t="n"/>
      <c r="O685" s="7" t="n"/>
      <c r="P685" s="7">
        <f>IF($B685="","",O685*X685/100)</f>
        <v/>
      </c>
      <c r="Q685" s="7">
        <f>IF($B685="","",O685-P685)</f>
        <v/>
      </c>
      <c r="R685" s="7">
        <f>IF($B685="","",Q685-J685)</f>
        <v/>
      </c>
      <c r="S685" s="7" t="n"/>
      <c r="T685" s="7" t="n"/>
      <c r="V685" s="14" t="n"/>
      <c r="Z685">
        <f>IF($B685="","",IF(COUNTIF($B$2:$B685,$B685)=1,1,0))</f>
        <v/>
      </c>
      <c r="AA685">
        <f>IF($Z685=1,SUMPRODUCT(--($AC$2:$AC$3001&lt;$AC685))+1,"")</f>
        <v/>
      </c>
      <c r="AB685">
        <f>IF($B685="","",IF(OR($Y685=TRUE(),$Y685="TRUE"),1,IF(AND($Y685&lt;&gt;"",OR($Y685=FALSE(),$Y685="FALSE")),0,IF(MIN(ABS($X685/100-Settings!$C$6),ABS($X685/100-Settings!$G$6))&lt;=MIN(ABS($X685/100-Settings!$C$7),ABS($X685/100-Settings!$G$7)),1,0))))</f>
        <v/>
      </c>
      <c r="AC685">
        <f>IF($Z685=1,IFERROR(IF(VALUE($B685)&lt;100000000,VALUE($B685),1000000000),IFERROR(IF(VALUE(MID($B685,2,20))&lt;100000000,VALUE(MID($B685,2,20)),1000000000),1000000000))+ROW()/100000,"")</f>
        <v/>
      </c>
    </row>
    <row r="686">
      <c r="A686">
        <f>IF($B686="","",IFERROR(IF(INDEX('Per Invoice'!$A$2:$A$801,MATCH($B686,'Per Invoice'!$B$2:$B$801,0))=0,"",INDEX('Per Invoice'!$A$2:$A$801,MATCH($B686,'Per Invoice'!$B$2:$B$801,0))),""))</f>
        <v/>
      </c>
      <c r="J686" s="7">
        <f>IF($B686="","",I686*Q686/100)</f>
        <v/>
      </c>
      <c r="N686" s="7" t="n"/>
      <c r="O686" s="7" t="n"/>
      <c r="P686" s="7">
        <f>IF($B686="","",O686*X686/100)</f>
        <v/>
      </c>
      <c r="Q686" s="7">
        <f>IF($B686="","",O686-P686)</f>
        <v/>
      </c>
      <c r="R686" s="7">
        <f>IF($B686="","",Q686-J686)</f>
        <v/>
      </c>
      <c r="S686" s="7" t="n"/>
      <c r="T686" s="7" t="n"/>
      <c r="V686" s="14" t="n"/>
      <c r="Z686">
        <f>IF($B686="","",IF(COUNTIF($B$2:$B686,$B686)=1,1,0))</f>
        <v/>
      </c>
      <c r="AA686">
        <f>IF($Z686=1,SUMPRODUCT(--($AC$2:$AC$3001&lt;$AC686))+1,"")</f>
        <v/>
      </c>
      <c r="AB686">
        <f>IF($B686="","",IF(OR($Y686=TRUE(),$Y686="TRUE"),1,IF(AND($Y686&lt;&gt;"",OR($Y686=FALSE(),$Y686="FALSE")),0,IF(MIN(ABS($X686/100-Settings!$C$6),ABS($X686/100-Settings!$G$6))&lt;=MIN(ABS($X686/100-Settings!$C$7),ABS($X686/100-Settings!$G$7)),1,0))))</f>
        <v/>
      </c>
      <c r="AC686">
        <f>IF($Z686=1,IFERROR(IF(VALUE($B686)&lt;100000000,VALUE($B686),1000000000),IFERROR(IF(VALUE(MID($B686,2,20))&lt;100000000,VALUE(MID($B686,2,20)),1000000000),1000000000))+ROW()/100000,"")</f>
        <v/>
      </c>
    </row>
    <row r="687">
      <c r="A687">
        <f>IF($B687="","",IFERROR(IF(INDEX('Per Invoice'!$A$2:$A$801,MATCH($B687,'Per Invoice'!$B$2:$B$801,0))=0,"",INDEX('Per Invoice'!$A$2:$A$801,MATCH($B687,'Per Invoice'!$B$2:$B$801,0))),""))</f>
        <v/>
      </c>
      <c r="J687" s="7">
        <f>IF($B687="","",I687*Q687/100)</f>
        <v/>
      </c>
      <c r="N687" s="7" t="n"/>
      <c r="O687" s="7" t="n"/>
      <c r="P687" s="7">
        <f>IF($B687="","",O687*X687/100)</f>
        <v/>
      </c>
      <c r="Q687" s="7">
        <f>IF($B687="","",O687-P687)</f>
        <v/>
      </c>
      <c r="R687" s="7">
        <f>IF($B687="","",Q687-J687)</f>
        <v/>
      </c>
      <c r="S687" s="7" t="n"/>
      <c r="T687" s="7" t="n"/>
      <c r="V687" s="14" t="n"/>
      <c r="Z687">
        <f>IF($B687="","",IF(COUNTIF($B$2:$B687,$B687)=1,1,0))</f>
        <v/>
      </c>
      <c r="AA687">
        <f>IF($Z687=1,SUMPRODUCT(--($AC$2:$AC$3001&lt;$AC687))+1,"")</f>
        <v/>
      </c>
      <c r="AB687">
        <f>IF($B687="","",IF(OR($Y687=TRUE(),$Y687="TRUE"),1,IF(AND($Y687&lt;&gt;"",OR($Y687=FALSE(),$Y687="FALSE")),0,IF(MIN(ABS($X687/100-Settings!$C$6),ABS($X687/100-Settings!$G$6))&lt;=MIN(ABS($X687/100-Settings!$C$7),ABS($X687/100-Settings!$G$7)),1,0))))</f>
        <v/>
      </c>
      <c r="AC687">
        <f>IF($Z687=1,IFERROR(IF(VALUE($B687)&lt;100000000,VALUE($B687),1000000000),IFERROR(IF(VALUE(MID($B687,2,20))&lt;100000000,VALUE(MID($B687,2,20)),1000000000),1000000000))+ROW()/100000,"")</f>
        <v/>
      </c>
    </row>
    <row r="688">
      <c r="A688">
        <f>IF($B688="","",IFERROR(IF(INDEX('Per Invoice'!$A$2:$A$801,MATCH($B688,'Per Invoice'!$B$2:$B$801,0))=0,"",INDEX('Per Invoice'!$A$2:$A$801,MATCH($B688,'Per Invoice'!$B$2:$B$801,0))),""))</f>
        <v/>
      </c>
      <c r="J688" s="7">
        <f>IF($B688="","",I688*Q688/100)</f>
        <v/>
      </c>
      <c r="N688" s="7" t="n"/>
      <c r="O688" s="7" t="n"/>
      <c r="P688" s="7">
        <f>IF($B688="","",O688*X688/100)</f>
        <v/>
      </c>
      <c r="Q688" s="7">
        <f>IF($B688="","",O688-P688)</f>
        <v/>
      </c>
      <c r="R688" s="7">
        <f>IF($B688="","",Q688-J688)</f>
        <v/>
      </c>
      <c r="S688" s="7" t="n"/>
      <c r="T688" s="7" t="n"/>
      <c r="V688" s="14" t="n"/>
      <c r="Z688">
        <f>IF($B688="","",IF(COUNTIF($B$2:$B688,$B688)=1,1,0))</f>
        <v/>
      </c>
      <c r="AA688">
        <f>IF($Z688=1,SUMPRODUCT(--($AC$2:$AC$3001&lt;$AC688))+1,"")</f>
        <v/>
      </c>
      <c r="AB688">
        <f>IF($B688="","",IF(OR($Y688=TRUE(),$Y688="TRUE"),1,IF(AND($Y688&lt;&gt;"",OR($Y688=FALSE(),$Y688="FALSE")),0,IF(MIN(ABS($X688/100-Settings!$C$6),ABS($X688/100-Settings!$G$6))&lt;=MIN(ABS($X688/100-Settings!$C$7),ABS($X688/100-Settings!$G$7)),1,0))))</f>
        <v/>
      </c>
      <c r="AC688">
        <f>IF($Z688=1,IFERROR(IF(VALUE($B688)&lt;100000000,VALUE($B688),1000000000),IFERROR(IF(VALUE(MID($B688,2,20))&lt;100000000,VALUE(MID($B688,2,20)),1000000000),1000000000))+ROW()/100000,"")</f>
        <v/>
      </c>
    </row>
    <row r="689">
      <c r="A689">
        <f>IF($B689="","",IFERROR(IF(INDEX('Per Invoice'!$A$2:$A$801,MATCH($B689,'Per Invoice'!$B$2:$B$801,0))=0,"",INDEX('Per Invoice'!$A$2:$A$801,MATCH($B689,'Per Invoice'!$B$2:$B$801,0))),""))</f>
        <v/>
      </c>
      <c r="J689" s="7">
        <f>IF($B689="","",I689*Q689/100)</f>
        <v/>
      </c>
      <c r="N689" s="7" t="n"/>
      <c r="O689" s="7" t="n"/>
      <c r="P689" s="7">
        <f>IF($B689="","",O689*X689/100)</f>
        <v/>
      </c>
      <c r="Q689" s="7">
        <f>IF($B689="","",O689-P689)</f>
        <v/>
      </c>
      <c r="R689" s="7">
        <f>IF($B689="","",Q689-J689)</f>
        <v/>
      </c>
      <c r="S689" s="7" t="n"/>
      <c r="T689" s="7" t="n"/>
      <c r="V689" s="14" t="n"/>
      <c r="Z689">
        <f>IF($B689="","",IF(COUNTIF($B$2:$B689,$B689)=1,1,0))</f>
        <v/>
      </c>
      <c r="AA689">
        <f>IF($Z689=1,SUMPRODUCT(--($AC$2:$AC$3001&lt;$AC689))+1,"")</f>
        <v/>
      </c>
      <c r="AB689">
        <f>IF($B689="","",IF(OR($Y689=TRUE(),$Y689="TRUE"),1,IF(AND($Y689&lt;&gt;"",OR($Y689=FALSE(),$Y689="FALSE")),0,IF(MIN(ABS($X689/100-Settings!$C$6),ABS($X689/100-Settings!$G$6))&lt;=MIN(ABS($X689/100-Settings!$C$7),ABS($X689/100-Settings!$G$7)),1,0))))</f>
        <v/>
      </c>
      <c r="AC689">
        <f>IF($Z689=1,IFERROR(IF(VALUE($B689)&lt;100000000,VALUE($B689),1000000000),IFERROR(IF(VALUE(MID($B689,2,20))&lt;100000000,VALUE(MID($B689,2,20)),1000000000),1000000000))+ROW()/100000,"")</f>
        <v/>
      </c>
    </row>
    <row r="690">
      <c r="A690">
        <f>IF($B690="","",IFERROR(IF(INDEX('Per Invoice'!$A$2:$A$801,MATCH($B690,'Per Invoice'!$B$2:$B$801,0))=0,"",INDEX('Per Invoice'!$A$2:$A$801,MATCH($B690,'Per Invoice'!$B$2:$B$801,0))),""))</f>
        <v/>
      </c>
      <c r="J690" s="7">
        <f>IF($B690="","",I690*Q690/100)</f>
        <v/>
      </c>
      <c r="N690" s="7" t="n"/>
      <c r="O690" s="7" t="n"/>
      <c r="P690" s="7">
        <f>IF($B690="","",O690*X690/100)</f>
        <v/>
      </c>
      <c r="Q690" s="7">
        <f>IF($B690="","",O690-P690)</f>
        <v/>
      </c>
      <c r="R690" s="7">
        <f>IF($B690="","",Q690-J690)</f>
        <v/>
      </c>
      <c r="S690" s="7" t="n"/>
      <c r="T690" s="7" t="n"/>
      <c r="V690" s="14" t="n"/>
      <c r="Z690">
        <f>IF($B690="","",IF(COUNTIF($B$2:$B690,$B690)=1,1,0))</f>
        <v/>
      </c>
      <c r="AA690">
        <f>IF($Z690=1,SUMPRODUCT(--($AC$2:$AC$3001&lt;$AC690))+1,"")</f>
        <v/>
      </c>
      <c r="AB690">
        <f>IF($B690="","",IF(OR($Y690=TRUE(),$Y690="TRUE"),1,IF(AND($Y690&lt;&gt;"",OR($Y690=FALSE(),$Y690="FALSE")),0,IF(MIN(ABS($X690/100-Settings!$C$6),ABS($X690/100-Settings!$G$6))&lt;=MIN(ABS($X690/100-Settings!$C$7),ABS($X690/100-Settings!$G$7)),1,0))))</f>
        <v/>
      </c>
      <c r="AC690">
        <f>IF($Z690=1,IFERROR(IF(VALUE($B690)&lt;100000000,VALUE($B690),1000000000),IFERROR(IF(VALUE(MID($B690,2,20))&lt;100000000,VALUE(MID($B690,2,20)),1000000000),1000000000))+ROW()/100000,"")</f>
        <v/>
      </c>
    </row>
    <row r="691">
      <c r="A691">
        <f>IF($B691="","",IFERROR(IF(INDEX('Per Invoice'!$A$2:$A$801,MATCH($B691,'Per Invoice'!$B$2:$B$801,0))=0,"",INDEX('Per Invoice'!$A$2:$A$801,MATCH($B691,'Per Invoice'!$B$2:$B$801,0))),""))</f>
        <v/>
      </c>
      <c r="J691" s="7">
        <f>IF($B691="","",I691*Q691/100)</f>
        <v/>
      </c>
      <c r="N691" s="7" t="n"/>
      <c r="O691" s="7" t="n"/>
      <c r="P691" s="7">
        <f>IF($B691="","",O691*X691/100)</f>
        <v/>
      </c>
      <c r="Q691" s="7">
        <f>IF($B691="","",O691-P691)</f>
        <v/>
      </c>
      <c r="R691" s="7">
        <f>IF($B691="","",Q691-J691)</f>
        <v/>
      </c>
      <c r="S691" s="7" t="n"/>
      <c r="T691" s="7" t="n"/>
      <c r="V691" s="14" t="n"/>
      <c r="Z691">
        <f>IF($B691="","",IF(COUNTIF($B$2:$B691,$B691)=1,1,0))</f>
        <v/>
      </c>
      <c r="AA691">
        <f>IF($Z691=1,SUMPRODUCT(--($AC$2:$AC$3001&lt;$AC691))+1,"")</f>
        <v/>
      </c>
      <c r="AB691">
        <f>IF($B691="","",IF(OR($Y691=TRUE(),$Y691="TRUE"),1,IF(AND($Y691&lt;&gt;"",OR($Y691=FALSE(),$Y691="FALSE")),0,IF(MIN(ABS($X691/100-Settings!$C$6),ABS($X691/100-Settings!$G$6))&lt;=MIN(ABS($X691/100-Settings!$C$7),ABS($X691/100-Settings!$G$7)),1,0))))</f>
        <v/>
      </c>
      <c r="AC691">
        <f>IF($Z691=1,IFERROR(IF(VALUE($B691)&lt;100000000,VALUE($B691),1000000000),IFERROR(IF(VALUE(MID($B691,2,20))&lt;100000000,VALUE(MID($B691,2,20)),1000000000),1000000000))+ROW()/100000,"")</f>
        <v/>
      </c>
    </row>
    <row r="692">
      <c r="A692">
        <f>IF($B692="","",IFERROR(IF(INDEX('Per Invoice'!$A$2:$A$801,MATCH($B692,'Per Invoice'!$B$2:$B$801,0))=0,"",INDEX('Per Invoice'!$A$2:$A$801,MATCH($B692,'Per Invoice'!$B$2:$B$801,0))),""))</f>
        <v/>
      </c>
      <c r="J692" s="7">
        <f>IF($B692="","",I692*Q692/100)</f>
        <v/>
      </c>
      <c r="N692" s="7" t="n"/>
      <c r="O692" s="7" t="n"/>
      <c r="P692" s="7">
        <f>IF($B692="","",O692*X692/100)</f>
        <v/>
      </c>
      <c r="Q692" s="7">
        <f>IF($B692="","",O692-P692)</f>
        <v/>
      </c>
      <c r="R692" s="7">
        <f>IF($B692="","",Q692-J692)</f>
        <v/>
      </c>
      <c r="S692" s="7" t="n"/>
      <c r="T692" s="7" t="n"/>
      <c r="V692" s="14" t="n"/>
      <c r="Z692">
        <f>IF($B692="","",IF(COUNTIF($B$2:$B692,$B692)=1,1,0))</f>
        <v/>
      </c>
      <c r="AA692">
        <f>IF($Z692=1,SUMPRODUCT(--($AC$2:$AC$3001&lt;$AC692))+1,"")</f>
        <v/>
      </c>
      <c r="AB692">
        <f>IF($B692="","",IF(OR($Y692=TRUE(),$Y692="TRUE"),1,IF(AND($Y692&lt;&gt;"",OR($Y692=FALSE(),$Y692="FALSE")),0,IF(MIN(ABS($X692/100-Settings!$C$6),ABS($X692/100-Settings!$G$6))&lt;=MIN(ABS($X692/100-Settings!$C$7),ABS($X692/100-Settings!$G$7)),1,0))))</f>
        <v/>
      </c>
      <c r="AC692">
        <f>IF($Z692=1,IFERROR(IF(VALUE($B692)&lt;100000000,VALUE($B692),1000000000),IFERROR(IF(VALUE(MID($B692,2,20))&lt;100000000,VALUE(MID($B692,2,20)),1000000000),1000000000))+ROW()/100000,"")</f>
        <v/>
      </c>
    </row>
    <row r="693">
      <c r="A693">
        <f>IF($B693="","",IFERROR(IF(INDEX('Per Invoice'!$A$2:$A$801,MATCH($B693,'Per Invoice'!$B$2:$B$801,0))=0,"",INDEX('Per Invoice'!$A$2:$A$801,MATCH($B693,'Per Invoice'!$B$2:$B$801,0))),""))</f>
        <v/>
      </c>
      <c r="J693" s="7">
        <f>IF($B693="","",I693*Q693/100)</f>
        <v/>
      </c>
      <c r="N693" s="7" t="n"/>
      <c r="O693" s="7" t="n"/>
      <c r="P693" s="7">
        <f>IF($B693="","",O693*X693/100)</f>
        <v/>
      </c>
      <c r="Q693" s="7">
        <f>IF($B693="","",O693-P693)</f>
        <v/>
      </c>
      <c r="R693" s="7">
        <f>IF($B693="","",Q693-J693)</f>
        <v/>
      </c>
      <c r="S693" s="7" t="n"/>
      <c r="T693" s="7" t="n"/>
      <c r="V693" s="14" t="n"/>
      <c r="Z693">
        <f>IF($B693="","",IF(COUNTIF($B$2:$B693,$B693)=1,1,0))</f>
        <v/>
      </c>
      <c r="AA693">
        <f>IF($Z693=1,SUMPRODUCT(--($AC$2:$AC$3001&lt;$AC693))+1,"")</f>
        <v/>
      </c>
      <c r="AB693">
        <f>IF($B693="","",IF(OR($Y693=TRUE(),$Y693="TRUE"),1,IF(AND($Y693&lt;&gt;"",OR($Y693=FALSE(),$Y693="FALSE")),0,IF(MIN(ABS($X693/100-Settings!$C$6),ABS($X693/100-Settings!$G$6))&lt;=MIN(ABS($X693/100-Settings!$C$7),ABS($X693/100-Settings!$G$7)),1,0))))</f>
        <v/>
      </c>
      <c r="AC693">
        <f>IF($Z693=1,IFERROR(IF(VALUE($B693)&lt;100000000,VALUE($B693),1000000000),IFERROR(IF(VALUE(MID($B693,2,20))&lt;100000000,VALUE(MID($B693,2,20)),1000000000),1000000000))+ROW()/100000,"")</f>
        <v/>
      </c>
    </row>
    <row r="694">
      <c r="A694">
        <f>IF($B694="","",IFERROR(IF(INDEX('Per Invoice'!$A$2:$A$801,MATCH($B694,'Per Invoice'!$B$2:$B$801,0))=0,"",INDEX('Per Invoice'!$A$2:$A$801,MATCH($B694,'Per Invoice'!$B$2:$B$801,0))),""))</f>
        <v/>
      </c>
      <c r="J694" s="7">
        <f>IF($B694="","",I694*Q694/100)</f>
        <v/>
      </c>
      <c r="N694" s="7" t="n"/>
      <c r="O694" s="7" t="n"/>
      <c r="P694" s="7">
        <f>IF($B694="","",O694*X694/100)</f>
        <v/>
      </c>
      <c r="Q694" s="7">
        <f>IF($B694="","",O694-P694)</f>
        <v/>
      </c>
      <c r="R694" s="7">
        <f>IF($B694="","",Q694-J694)</f>
        <v/>
      </c>
      <c r="S694" s="7" t="n"/>
      <c r="T694" s="7" t="n"/>
      <c r="V694" s="14" t="n"/>
      <c r="Z694">
        <f>IF($B694="","",IF(COUNTIF($B$2:$B694,$B694)=1,1,0))</f>
        <v/>
      </c>
      <c r="AA694">
        <f>IF($Z694=1,SUMPRODUCT(--($AC$2:$AC$3001&lt;$AC694))+1,"")</f>
        <v/>
      </c>
      <c r="AB694">
        <f>IF($B694="","",IF(OR($Y694=TRUE(),$Y694="TRUE"),1,IF(AND($Y694&lt;&gt;"",OR($Y694=FALSE(),$Y694="FALSE")),0,IF(MIN(ABS($X694/100-Settings!$C$6),ABS($X694/100-Settings!$G$6))&lt;=MIN(ABS($X694/100-Settings!$C$7),ABS($X694/100-Settings!$G$7)),1,0))))</f>
        <v/>
      </c>
      <c r="AC694">
        <f>IF($Z694=1,IFERROR(IF(VALUE($B694)&lt;100000000,VALUE($B694),1000000000),IFERROR(IF(VALUE(MID($B694,2,20))&lt;100000000,VALUE(MID($B694,2,20)),1000000000),1000000000))+ROW()/100000,"")</f>
        <v/>
      </c>
    </row>
    <row r="695">
      <c r="A695">
        <f>IF($B695="","",IFERROR(IF(INDEX('Per Invoice'!$A$2:$A$801,MATCH($B695,'Per Invoice'!$B$2:$B$801,0))=0,"",INDEX('Per Invoice'!$A$2:$A$801,MATCH($B695,'Per Invoice'!$B$2:$B$801,0))),""))</f>
        <v/>
      </c>
      <c r="J695" s="7">
        <f>IF($B695="","",I695*Q695/100)</f>
        <v/>
      </c>
      <c r="N695" s="7" t="n"/>
      <c r="O695" s="7" t="n"/>
      <c r="P695" s="7">
        <f>IF($B695="","",O695*X695/100)</f>
        <v/>
      </c>
      <c r="Q695" s="7">
        <f>IF($B695="","",O695-P695)</f>
        <v/>
      </c>
      <c r="R695" s="7">
        <f>IF($B695="","",Q695-J695)</f>
        <v/>
      </c>
      <c r="S695" s="7" t="n"/>
      <c r="T695" s="7" t="n"/>
      <c r="V695" s="14" t="n"/>
      <c r="Z695">
        <f>IF($B695="","",IF(COUNTIF($B$2:$B695,$B695)=1,1,0))</f>
        <v/>
      </c>
      <c r="AA695">
        <f>IF($Z695=1,SUMPRODUCT(--($AC$2:$AC$3001&lt;$AC695))+1,"")</f>
        <v/>
      </c>
      <c r="AB695">
        <f>IF($B695="","",IF(OR($Y695=TRUE(),$Y695="TRUE"),1,IF(AND($Y695&lt;&gt;"",OR($Y695=FALSE(),$Y695="FALSE")),0,IF(MIN(ABS($X695/100-Settings!$C$6),ABS($X695/100-Settings!$G$6))&lt;=MIN(ABS($X695/100-Settings!$C$7),ABS($X695/100-Settings!$G$7)),1,0))))</f>
        <v/>
      </c>
      <c r="AC695">
        <f>IF($Z695=1,IFERROR(IF(VALUE($B695)&lt;100000000,VALUE($B695),1000000000),IFERROR(IF(VALUE(MID($B695,2,20))&lt;100000000,VALUE(MID($B695,2,20)),1000000000),1000000000))+ROW()/100000,"")</f>
        <v/>
      </c>
    </row>
    <row r="696">
      <c r="A696">
        <f>IF($B696="","",IFERROR(IF(INDEX('Per Invoice'!$A$2:$A$801,MATCH($B696,'Per Invoice'!$B$2:$B$801,0))=0,"",INDEX('Per Invoice'!$A$2:$A$801,MATCH($B696,'Per Invoice'!$B$2:$B$801,0))),""))</f>
        <v/>
      </c>
      <c r="J696" s="7">
        <f>IF($B696="","",I696*Q696/100)</f>
        <v/>
      </c>
      <c r="N696" s="7" t="n"/>
      <c r="O696" s="7" t="n"/>
      <c r="P696" s="7">
        <f>IF($B696="","",O696*X696/100)</f>
        <v/>
      </c>
      <c r="Q696" s="7">
        <f>IF($B696="","",O696-P696)</f>
        <v/>
      </c>
      <c r="R696" s="7">
        <f>IF($B696="","",Q696-J696)</f>
        <v/>
      </c>
      <c r="S696" s="7" t="n"/>
      <c r="T696" s="7" t="n"/>
      <c r="V696" s="14" t="n"/>
      <c r="Z696">
        <f>IF($B696="","",IF(COUNTIF($B$2:$B696,$B696)=1,1,0))</f>
        <v/>
      </c>
      <c r="AA696">
        <f>IF($Z696=1,SUMPRODUCT(--($AC$2:$AC$3001&lt;$AC696))+1,"")</f>
        <v/>
      </c>
      <c r="AB696">
        <f>IF($B696="","",IF(OR($Y696=TRUE(),$Y696="TRUE"),1,IF(AND($Y696&lt;&gt;"",OR($Y696=FALSE(),$Y696="FALSE")),0,IF(MIN(ABS($X696/100-Settings!$C$6),ABS($X696/100-Settings!$G$6))&lt;=MIN(ABS($X696/100-Settings!$C$7),ABS($X696/100-Settings!$G$7)),1,0))))</f>
        <v/>
      </c>
      <c r="AC696">
        <f>IF($Z696=1,IFERROR(IF(VALUE($B696)&lt;100000000,VALUE($B696),1000000000),IFERROR(IF(VALUE(MID($B696,2,20))&lt;100000000,VALUE(MID($B696,2,20)),1000000000),1000000000))+ROW()/100000,"")</f>
        <v/>
      </c>
    </row>
    <row r="697">
      <c r="A697">
        <f>IF($B697="","",IFERROR(IF(INDEX('Per Invoice'!$A$2:$A$801,MATCH($B697,'Per Invoice'!$B$2:$B$801,0))=0,"",INDEX('Per Invoice'!$A$2:$A$801,MATCH($B697,'Per Invoice'!$B$2:$B$801,0))),""))</f>
        <v/>
      </c>
      <c r="J697" s="7">
        <f>IF($B697="","",I697*Q697/100)</f>
        <v/>
      </c>
      <c r="N697" s="7" t="n"/>
      <c r="O697" s="7" t="n"/>
      <c r="P697" s="7">
        <f>IF($B697="","",O697*X697/100)</f>
        <v/>
      </c>
      <c r="Q697" s="7">
        <f>IF($B697="","",O697-P697)</f>
        <v/>
      </c>
      <c r="R697" s="7">
        <f>IF($B697="","",Q697-J697)</f>
        <v/>
      </c>
      <c r="S697" s="7" t="n"/>
      <c r="T697" s="7" t="n"/>
      <c r="V697" s="14" t="n"/>
      <c r="Z697">
        <f>IF($B697="","",IF(COUNTIF($B$2:$B697,$B697)=1,1,0))</f>
        <v/>
      </c>
      <c r="AA697">
        <f>IF($Z697=1,SUMPRODUCT(--($AC$2:$AC$3001&lt;$AC697))+1,"")</f>
        <v/>
      </c>
      <c r="AB697">
        <f>IF($B697="","",IF(OR($Y697=TRUE(),$Y697="TRUE"),1,IF(AND($Y697&lt;&gt;"",OR($Y697=FALSE(),$Y697="FALSE")),0,IF(MIN(ABS($X697/100-Settings!$C$6),ABS($X697/100-Settings!$G$6))&lt;=MIN(ABS($X697/100-Settings!$C$7),ABS($X697/100-Settings!$G$7)),1,0))))</f>
        <v/>
      </c>
      <c r="AC697">
        <f>IF($Z697=1,IFERROR(IF(VALUE($B697)&lt;100000000,VALUE($B697),1000000000),IFERROR(IF(VALUE(MID($B697,2,20))&lt;100000000,VALUE(MID($B697,2,20)),1000000000),1000000000))+ROW()/100000,"")</f>
        <v/>
      </c>
    </row>
    <row r="698">
      <c r="A698">
        <f>IF($B698="","",IFERROR(IF(INDEX('Per Invoice'!$A$2:$A$801,MATCH($B698,'Per Invoice'!$B$2:$B$801,0))=0,"",INDEX('Per Invoice'!$A$2:$A$801,MATCH($B698,'Per Invoice'!$B$2:$B$801,0))),""))</f>
        <v/>
      </c>
      <c r="J698" s="7">
        <f>IF($B698="","",I698*Q698/100)</f>
        <v/>
      </c>
      <c r="N698" s="7" t="n"/>
      <c r="O698" s="7" t="n"/>
      <c r="P698" s="7">
        <f>IF($B698="","",O698*X698/100)</f>
        <v/>
      </c>
      <c r="Q698" s="7">
        <f>IF($B698="","",O698-P698)</f>
        <v/>
      </c>
      <c r="R698" s="7">
        <f>IF($B698="","",Q698-J698)</f>
        <v/>
      </c>
      <c r="S698" s="7" t="n"/>
      <c r="T698" s="7" t="n"/>
      <c r="V698" s="14" t="n"/>
      <c r="Z698">
        <f>IF($B698="","",IF(COUNTIF($B$2:$B698,$B698)=1,1,0))</f>
        <v/>
      </c>
      <c r="AA698">
        <f>IF($Z698=1,SUMPRODUCT(--($AC$2:$AC$3001&lt;$AC698))+1,"")</f>
        <v/>
      </c>
      <c r="AB698">
        <f>IF($B698="","",IF(OR($Y698=TRUE(),$Y698="TRUE"),1,IF(AND($Y698&lt;&gt;"",OR($Y698=FALSE(),$Y698="FALSE")),0,IF(MIN(ABS($X698/100-Settings!$C$6),ABS($X698/100-Settings!$G$6))&lt;=MIN(ABS($X698/100-Settings!$C$7),ABS($X698/100-Settings!$G$7)),1,0))))</f>
        <v/>
      </c>
      <c r="AC698">
        <f>IF($Z698=1,IFERROR(IF(VALUE($B698)&lt;100000000,VALUE($B698),1000000000),IFERROR(IF(VALUE(MID($B698,2,20))&lt;100000000,VALUE(MID($B698,2,20)),1000000000),1000000000))+ROW()/100000,"")</f>
        <v/>
      </c>
    </row>
    <row r="699">
      <c r="A699">
        <f>IF($B699="","",IFERROR(IF(INDEX('Per Invoice'!$A$2:$A$801,MATCH($B699,'Per Invoice'!$B$2:$B$801,0))=0,"",INDEX('Per Invoice'!$A$2:$A$801,MATCH($B699,'Per Invoice'!$B$2:$B$801,0))),""))</f>
        <v/>
      </c>
      <c r="J699" s="7">
        <f>IF($B699="","",I699*Q699/100)</f>
        <v/>
      </c>
      <c r="N699" s="7" t="n"/>
      <c r="O699" s="7" t="n"/>
      <c r="P699" s="7">
        <f>IF($B699="","",O699*X699/100)</f>
        <v/>
      </c>
      <c r="Q699" s="7">
        <f>IF($B699="","",O699-P699)</f>
        <v/>
      </c>
      <c r="R699" s="7">
        <f>IF($B699="","",Q699-J699)</f>
        <v/>
      </c>
      <c r="S699" s="7" t="n"/>
      <c r="T699" s="7" t="n"/>
      <c r="V699" s="14" t="n"/>
      <c r="Z699">
        <f>IF($B699="","",IF(COUNTIF($B$2:$B699,$B699)=1,1,0))</f>
        <v/>
      </c>
      <c r="AA699">
        <f>IF($Z699=1,SUMPRODUCT(--($AC$2:$AC$3001&lt;$AC699))+1,"")</f>
        <v/>
      </c>
      <c r="AB699">
        <f>IF($B699="","",IF(OR($Y699=TRUE(),$Y699="TRUE"),1,IF(AND($Y699&lt;&gt;"",OR($Y699=FALSE(),$Y699="FALSE")),0,IF(MIN(ABS($X699/100-Settings!$C$6),ABS($X699/100-Settings!$G$6))&lt;=MIN(ABS($X699/100-Settings!$C$7),ABS($X699/100-Settings!$G$7)),1,0))))</f>
        <v/>
      </c>
      <c r="AC699">
        <f>IF($Z699=1,IFERROR(IF(VALUE($B699)&lt;100000000,VALUE($B699),1000000000),IFERROR(IF(VALUE(MID($B699,2,20))&lt;100000000,VALUE(MID($B699,2,20)),1000000000),1000000000))+ROW()/100000,"")</f>
        <v/>
      </c>
    </row>
    <row r="700">
      <c r="A700">
        <f>IF($B700="","",IFERROR(IF(INDEX('Per Invoice'!$A$2:$A$801,MATCH($B700,'Per Invoice'!$B$2:$B$801,0))=0,"",INDEX('Per Invoice'!$A$2:$A$801,MATCH($B700,'Per Invoice'!$B$2:$B$801,0))),""))</f>
        <v/>
      </c>
      <c r="J700" s="7">
        <f>IF($B700="","",I700*Q700/100)</f>
        <v/>
      </c>
      <c r="N700" s="7" t="n"/>
      <c r="O700" s="7" t="n"/>
      <c r="P700" s="7">
        <f>IF($B700="","",O700*X700/100)</f>
        <v/>
      </c>
      <c r="Q700" s="7">
        <f>IF($B700="","",O700-P700)</f>
        <v/>
      </c>
      <c r="R700" s="7">
        <f>IF($B700="","",Q700-J700)</f>
        <v/>
      </c>
      <c r="S700" s="7" t="n"/>
      <c r="T700" s="7" t="n"/>
      <c r="V700" s="14" t="n"/>
      <c r="Z700">
        <f>IF($B700="","",IF(COUNTIF($B$2:$B700,$B700)=1,1,0))</f>
        <v/>
      </c>
      <c r="AA700">
        <f>IF($Z700=1,SUMPRODUCT(--($AC$2:$AC$3001&lt;$AC700))+1,"")</f>
        <v/>
      </c>
      <c r="AB700">
        <f>IF($B700="","",IF(OR($Y700=TRUE(),$Y700="TRUE"),1,IF(AND($Y700&lt;&gt;"",OR($Y700=FALSE(),$Y700="FALSE")),0,IF(MIN(ABS($X700/100-Settings!$C$6),ABS($X700/100-Settings!$G$6))&lt;=MIN(ABS($X700/100-Settings!$C$7),ABS($X700/100-Settings!$G$7)),1,0))))</f>
        <v/>
      </c>
      <c r="AC700">
        <f>IF($Z700=1,IFERROR(IF(VALUE($B700)&lt;100000000,VALUE($B700),1000000000),IFERROR(IF(VALUE(MID($B700,2,20))&lt;100000000,VALUE(MID($B700,2,20)),1000000000),1000000000))+ROW()/100000,"")</f>
        <v/>
      </c>
    </row>
    <row r="701">
      <c r="A701">
        <f>IF($B701="","",IFERROR(IF(INDEX('Per Invoice'!$A$2:$A$801,MATCH($B701,'Per Invoice'!$B$2:$B$801,0))=0,"",INDEX('Per Invoice'!$A$2:$A$801,MATCH($B701,'Per Invoice'!$B$2:$B$801,0))),""))</f>
        <v/>
      </c>
      <c r="J701" s="7">
        <f>IF($B701="","",I701*Q701/100)</f>
        <v/>
      </c>
      <c r="N701" s="7" t="n"/>
      <c r="O701" s="7" t="n"/>
      <c r="P701" s="7">
        <f>IF($B701="","",O701*X701/100)</f>
        <v/>
      </c>
      <c r="Q701" s="7">
        <f>IF($B701="","",O701-P701)</f>
        <v/>
      </c>
      <c r="R701" s="7">
        <f>IF($B701="","",Q701-J701)</f>
        <v/>
      </c>
      <c r="S701" s="7" t="n"/>
      <c r="T701" s="7" t="n"/>
      <c r="V701" s="14" t="n"/>
      <c r="Z701">
        <f>IF($B701="","",IF(COUNTIF($B$2:$B701,$B701)=1,1,0))</f>
        <v/>
      </c>
      <c r="AA701">
        <f>IF($Z701=1,SUMPRODUCT(--($AC$2:$AC$3001&lt;$AC701))+1,"")</f>
        <v/>
      </c>
      <c r="AB701">
        <f>IF($B701="","",IF(OR($Y701=TRUE(),$Y701="TRUE"),1,IF(AND($Y701&lt;&gt;"",OR($Y701=FALSE(),$Y701="FALSE")),0,IF(MIN(ABS($X701/100-Settings!$C$6),ABS($X701/100-Settings!$G$6))&lt;=MIN(ABS($X701/100-Settings!$C$7),ABS($X701/100-Settings!$G$7)),1,0))))</f>
        <v/>
      </c>
      <c r="AC701">
        <f>IF($Z701=1,IFERROR(IF(VALUE($B701)&lt;100000000,VALUE($B701),1000000000),IFERROR(IF(VALUE(MID($B701,2,20))&lt;100000000,VALUE(MID($B701,2,20)),1000000000),1000000000))+ROW()/100000,"")</f>
        <v/>
      </c>
    </row>
    <row r="702">
      <c r="A702">
        <f>IF($B702="","",IFERROR(IF(INDEX('Per Invoice'!$A$2:$A$801,MATCH($B702,'Per Invoice'!$B$2:$B$801,0))=0,"",INDEX('Per Invoice'!$A$2:$A$801,MATCH($B702,'Per Invoice'!$B$2:$B$801,0))),""))</f>
        <v/>
      </c>
      <c r="J702" s="7">
        <f>IF($B702="","",I702*Q702/100)</f>
        <v/>
      </c>
      <c r="N702" s="7" t="n"/>
      <c r="O702" s="7" t="n"/>
      <c r="P702" s="7">
        <f>IF($B702="","",O702*X702/100)</f>
        <v/>
      </c>
      <c r="Q702" s="7">
        <f>IF($B702="","",O702-P702)</f>
        <v/>
      </c>
      <c r="R702" s="7">
        <f>IF($B702="","",Q702-J702)</f>
        <v/>
      </c>
      <c r="S702" s="7" t="n"/>
      <c r="T702" s="7" t="n"/>
      <c r="V702" s="14" t="n"/>
      <c r="Z702">
        <f>IF($B702="","",IF(COUNTIF($B$2:$B702,$B702)=1,1,0))</f>
        <v/>
      </c>
      <c r="AA702">
        <f>IF($Z702=1,SUMPRODUCT(--($AC$2:$AC$3001&lt;$AC702))+1,"")</f>
        <v/>
      </c>
      <c r="AB702">
        <f>IF($B702="","",IF(OR($Y702=TRUE(),$Y702="TRUE"),1,IF(AND($Y702&lt;&gt;"",OR($Y702=FALSE(),$Y702="FALSE")),0,IF(MIN(ABS($X702/100-Settings!$C$6),ABS($X702/100-Settings!$G$6))&lt;=MIN(ABS($X702/100-Settings!$C$7),ABS($X702/100-Settings!$G$7)),1,0))))</f>
        <v/>
      </c>
      <c r="AC702">
        <f>IF($Z702=1,IFERROR(IF(VALUE($B702)&lt;100000000,VALUE($B702),1000000000),IFERROR(IF(VALUE(MID($B702,2,20))&lt;100000000,VALUE(MID($B702,2,20)),1000000000),1000000000))+ROW()/100000,"")</f>
        <v/>
      </c>
    </row>
    <row r="703">
      <c r="A703">
        <f>IF($B703="","",IFERROR(IF(INDEX('Per Invoice'!$A$2:$A$801,MATCH($B703,'Per Invoice'!$B$2:$B$801,0))=0,"",INDEX('Per Invoice'!$A$2:$A$801,MATCH($B703,'Per Invoice'!$B$2:$B$801,0))),""))</f>
        <v/>
      </c>
      <c r="J703" s="7">
        <f>IF($B703="","",I703*Q703/100)</f>
        <v/>
      </c>
      <c r="N703" s="7" t="n"/>
      <c r="O703" s="7" t="n"/>
      <c r="P703" s="7">
        <f>IF($B703="","",O703*X703/100)</f>
        <v/>
      </c>
      <c r="Q703" s="7">
        <f>IF($B703="","",O703-P703)</f>
        <v/>
      </c>
      <c r="R703" s="7">
        <f>IF($B703="","",Q703-J703)</f>
        <v/>
      </c>
      <c r="S703" s="7" t="n"/>
      <c r="T703" s="7" t="n"/>
      <c r="V703" s="14" t="n"/>
      <c r="Z703">
        <f>IF($B703="","",IF(COUNTIF($B$2:$B703,$B703)=1,1,0))</f>
        <v/>
      </c>
      <c r="AA703">
        <f>IF($Z703=1,SUMPRODUCT(--($AC$2:$AC$3001&lt;$AC703))+1,"")</f>
        <v/>
      </c>
      <c r="AB703">
        <f>IF($B703="","",IF(OR($Y703=TRUE(),$Y703="TRUE"),1,IF(AND($Y703&lt;&gt;"",OR($Y703=FALSE(),$Y703="FALSE")),0,IF(MIN(ABS($X703/100-Settings!$C$6),ABS($X703/100-Settings!$G$6))&lt;=MIN(ABS($X703/100-Settings!$C$7),ABS($X703/100-Settings!$G$7)),1,0))))</f>
        <v/>
      </c>
      <c r="AC703">
        <f>IF($Z703=1,IFERROR(IF(VALUE($B703)&lt;100000000,VALUE($B703),1000000000),IFERROR(IF(VALUE(MID($B703,2,20))&lt;100000000,VALUE(MID($B703,2,20)),1000000000),1000000000))+ROW()/100000,"")</f>
        <v/>
      </c>
    </row>
    <row r="704">
      <c r="A704">
        <f>IF($B704="","",IFERROR(IF(INDEX('Per Invoice'!$A$2:$A$801,MATCH($B704,'Per Invoice'!$B$2:$B$801,0))=0,"",INDEX('Per Invoice'!$A$2:$A$801,MATCH($B704,'Per Invoice'!$B$2:$B$801,0))),""))</f>
        <v/>
      </c>
      <c r="J704" s="7">
        <f>IF($B704="","",I704*Q704/100)</f>
        <v/>
      </c>
      <c r="N704" s="7" t="n"/>
      <c r="O704" s="7" t="n"/>
      <c r="P704" s="7">
        <f>IF($B704="","",O704*X704/100)</f>
        <v/>
      </c>
      <c r="Q704" s="7">
        <f>IF($B704="","",O704-P704)</f>
        <v/>
      </c>
      <c r="R704" s="7">
        <f>IF($B704="","",Q704-J704)</f>
        <v/>
      </c>
      <c r="S704" s="7" t="n"/>
      <c r="T704" s="7" t="n"/>
      <c r="V704" s="14" t="n"/>
      <c r="Z704">
        <f>IF($B704="","",IF(COUNTIF($B$2:$B704,$B704)=1,1,0))</f>
        <v/>
      </c>
      <c r="AA704">
        <f>IF($Z704=1,SUMPRODUCT(--($AC$2:$AC$3001&lt;$AC704))+1,"")</f>
        <v/>
      </c>
      <c r="AB704">
        <f>IF($B704="","",IF(OR($Y704=TRUE(),$Y704="TRUE"),1,IF(AND($Y704&lt;&gt;"",OR($Y704=FALSE(),$Y704="FALSE")),0,IF(MIN(ABS($X704/100-Settings!$C$6),ABS($X704/100-Settings!$G$6))&lt;=MIN(ABS($X704/100-Settings!$C$7),ABS($X704/100-Settings!$G$7)),1,0))))</f>
        <v/>
      </c>
      <c r="AC704">
        <f>IF($Z704=1,IFERROR(IF(VALUE($B704)&lt;100000000,VALUE($B704),1000000000),IFERROR(IF(VALUE(MID($B704,2,20))&lt;100000000,VALUE(MID($B704,2,20)),1000000000),1000000000))+ROW()/100000,"")</f>
        <v/>
      </c>
    </row>
    <row r="705">
      <c r="A705">
        <f>IF($B705="","",IFERROR(IF(INDEX('Per Invoice'!$A$2:$A$801,MATCH($B705,'Per Invoice'!$B$2:$B$801,0))=0,"",INDEX('Per Invoice'!$A$2:$A$801,MATCH($B705,'Per Invoice'!$B$2:$B$801,0))),""))</f>
        <v/>
      </c>
      <c r="J705" s="7">
        <f>IF($B705="","",I705*Q705/100)</f>
        <v/>
      </c>
      <c r="N705" s="7" t="n"/>
      <c r="O705" s="7" t="n"/>
      <c r="P705" s="7">
        <f>IF($B705="","",O705*X705/100)</f>
        <v/>
      </c>
      <c r="Q705" s="7">
        <f>IF($B705="","",O705-P705)</f>
        <v/>
      </c>
      <c r="R705" s="7">
        <f>IF($B705="","",Q705-J705)</f>
        <v/>
      </c>
      <c r="S705" s="7" t="n"/>
      <c r="T705" s="7" t="n"/>
      <c r="V705" s="14" t="n"/>
      <c r="Z705">
        <f>IF($B705="","",IF(COUNTIF($B$2:$B705,$B705)=1,1,0))</f>
        <v/>
      </c>
      <c r="AA705">
        <f>IF($Z705=1,SUMPRODUCT(--($AC$2:$AC$3001&lt;$AC705))+1,"")</f>
        <v/>
      </c>
      <c r="AB705">
        <f>IF($B705="","",IF(OR($Y705=TRUE(),$Y705="TRUE"),1,IF(AND($Y705&lt;&gt;"",OR($Y705=FALSE(),$Y705="FALSE")),0,IF(MIN(ABS($X705/100-Settings!$C$6),ABS($X705/100-Settings!$G$6))&lt;=MIN(ABS($X705/100-Settings!$C$7),ABS($X705/100-Settings!$G$7)),1,0))))</f>
        <v/>
      </c>
      <c r="AC705">
        <f>IF($Z705=1,IFERROR(IF(VALUE($B705)&lt;100000000,VALUE($B705),1000000000),IFERROR(IF(VALUE(MID($B705,2,20))&lt;100000000,VALUE(MID($B705,2,20)),1000000000),1000000000))+ROW()/100000,"")</f>
        <v/>
      </c>
    </row>
    <row r="706">
      <c r="A706">
        <f>IF($B706="","",IFERROR(IF(INDEX('Per Invoice'!$A$2:$A$801,MATCH($B706,'Per Invoice'!$B$2:$B$801,0))=0,"",INDEX('Per Invoice'!$A$2:$A$801,MATCH($B706,'Per Invoice'!$B$2:$B$801,0))),""))</f>
        <v/>
      </c>
      <c r="J706" s="7">
        <f>IF($B706="","",I706*Q706/100)</f>
        <v/>
      </c>
      <c r="N706" s="7" t="n"/>
      <c r="O706" s="7" t="n"/>
      <c r="P706" s="7">
        <f>IF($B706="","",O706*X706/100)</f>
        <v/>
      </c>
      <c r="Q706" s="7">
        <f>IF($B706="","",O706-P706)</f>
        <v/>
      </c>
      <c r="R706" s="7">
        <f>IF($B706="","",Q706-J706)</f>
        <v/>
      </c>
      <c r="S706" s="7" t="n"/>
      <c r="T706" s="7" t="n"/>
      <c r="V706" s="14" t="n"/>
      <c r="Z706">
        <f>IF($B706="","",IF(COUNTIF($B$2:$B706,$B706)=1,1,0))</f>
        <v/>
      </c>
      <c r="AA706">
        <f>IF($Z706=1,SUMPRODUCT(--($AC$2:$AC$3001&lt;$AC706))+1,"")</f>
        <v/>
      </c>
      <c r="AB706">
        <f>IF($B706="","",IF(OR($Y706=TRUE(),$Y706="TRUE"),1,IF(AND($Y706&lt;&gt;"",OR($Y706=FALSE(),$Y706="FALSE")),0,IF(MIN(ABS($X706/100-Settings!$C$6),ABS($X706/100-Settings!$G$6))&lt;=MIN(ABS($X706/100-Settings!$C$7),ABS($X706/100-Settings!$G$7)),1,0))))</f>
        <v/>
      </c>
      <c r="AC706">
        <f>IF($Z706=1,IFERROR(IF(VALUE($B706)&lt;100000000,VALUE($B706),1000000000),IFERROR(IF(VALUE(MID($B706,2,20))&lt;100000000,VALUE(MID($B706,2,20)),1000000000),1000000000))+ROW()/100000,"")</f>
        <v/>
      </c>
    </row>
    <row r="707">
      <c r="A707">
        <f>IF($B707="","",IFERROR(IF(INDEX('Per Invoice'!$A$2:$A$801,MATCH($B707,'Per Invoice'!$B$2:$B$801,0))=0,"",INDEX('Per Invoice'!$A$2:$A$801,MATCH($B707,'Per Invoice'!$B$2:$B$801,0))),""))</f>
        <v/>
      </c>
      <c r="J707" s="7">
        <f>IF($B707="","",I707*Q707/100)</f>
        <v/>
      </c>
      <c r="N707" s="7" t="n"/>
      <c r="O707" s="7" t="n"/>
      <c r="P707" s="7">
        <f>IF($B707="","",O707*X707/100)</f>
        <v/>
      </c>
      <c r="Q707" s="7">
        <f>IF($B707="","",O707-P707)</f>
        <v/>
      </c>
      <c r="R707" s="7">
        <f>IF($B707="","",Q707-J707)</f>
        <v/>
      </c>
      <c r="S707" s="7" t="n"/>
      <c r="T707" s="7" t="n"/>
      <c r="V707" s="14" t="n"/>
      <c r="Z707">
        <f>IF($B707="","",IF(COUNTIF($B$2:$B707,$B707)=1,1,0))</f>
        <v/>
      </c>
      <c r="AA707">
        <f>IF($Z707=1,SUMPRODUCT(--($AC$2:$AC$3001&lt;$AC707))+1,"")</f>
        <v/>
      </c>
      <c r="AB707">
        <f>IF($B707="","",IF(OR($Y707=TRUE(),$Y707="TRUE"),1,IF(AND($Y707&lt;&gt;"",OR($Y707=FALSE(),$Y707="FALSE")),0,IF(MIN(ABS($X707/100-Settings!$C$6),ABS($X707/100-Settings!$G$6))&lt;=MIN(ABS($X707/100-Settings!$C$7),ABS($X707/100-Settings!$G$7)),1,0))))</f>
        <v/>
      </c>
      <c r="AC707">
        <f>IF($Z707=1,IFERROR(IF(VALUE($B707)&lt;100000000,VALUE($B707),1000000000),IFERROR(IF(VALUE(MID($B707,2,20))&lt;100000000,VALUE(MID($B707,2,20)),1000000000),1000000000))+ROW()/100000,"")</f>
        <v/>
      </c>
    </row>
    <row r="708">
      <c r="A708">
        <f>IF($B708="","",IFERROR(IF(INDEX('Per Invoice'!$A$2:$A$801,MATCH($B708,'Per Invoice'!$B$2:$B$801,0))=0,"",INDEX('Per Invoice'!$A$2:$A$801,MATCH($B708,'Per Invoice'!$B$2:$B$801,0))),""))</f>
        <v/>
      </c>
      <c r="J708" s="7">
        <f>IF($B708="","",I708*Q708/100)</f>
        <v/>
      </c>
      <c r="N708" s="7" t="n"/>
      <c r="O708" s="7" t="n"/>
      <c r="P708" s="7">
        <f>IF($B708="","",O708*X708/100)</f>
        <v/>
      </c>
      <c r="Q708" s="7">
        <f>IF($B708="","",O708-P708)</f>
        <v/>
      </c>
      <c r="R708" s="7">
        <f>IF($B708="","",Q708-J708)</f>
        <v/>
      </c>
      <c r="S708" s="7" t="n"/>
      <c r="T708" s="7" t="n"/>
      <c r="V708" s="14" t="n"/>
      <c r="Z708">
        <f>IF($B708="","",IF(COUNTIF($B$2:$B708,$B708)=1,1,0))</f>
        <v/>
      </c>
      <c r="AA708">
        <f>IF($Z708=1,SUMPRODUCT(--($AC$2:$AC$3001&lt;$AC708))+1,"")</f>
        <v/>
      </c>
      <c r="AB708">
        <f>IF($B708="","",IF(OR($Y708=TRUE(),$Y708="TRUE"),1,IF(AND($Y708&lt;&gt;"",OR($Y708=FALSE(),$Y708="FALSE")),0,IF(MIN(ABS($X708/100-Settings!$C$6),ABS($X708/100-Settings!$G$6))&lt;=MIN(ABS($X708/100-Settings!$C$7),ABS($X708/100-Settings!$G$7)),1,0))))</f>
        <v/>
      </c>
      <c r="AC708">
        <f>IF($Z708=1,IFERROR(IF(VALUE($B708)&lt;100000000,VALUE($B708),1000000000),IFERROR(IF(VALUE(MID($B708,2,20))&lt;100000000,VALUE(MID($B708,2,20)),1000000000),1000000000))+ROW()/100000,"")</f>
        <v/>
      </c>
    </row>
    <row r="709">
      <c r="A709">
        <f>IF($B709="","",IFERROR(IF(INDEX('Per Invoice'!$A$2:$A$801,MATCH($B709,'Per Invoice'!$B$2:$B$801,0))=0,"",INDEX('Per Invoice'!$A$2:$A$801,MATCH($B709,'Per Invoice'!$B$2:$B$801,0))),""))</f>
        <v/>
      </c>
      <c r="J709" s="7">
        <f>IF($B709="","",I709*Q709/100)</f>
        <v/>
      </c>
      <c r="N709" s="7" t="n"/>
      <c r="O709" s="7" t="n"/>
      <c r="P709" s="7">
        <f>IF($B709="","",O709*X709/100)</f>
        <v/>
      </c>
      <c r="Q709" s="7">
        <f>IF($B709="","",O709-P709)</f>
        <v/>
      </c>
      <c r="R709" s="7">
        <f>IF($B709="","",Q709-J709)</f>
        <v/>
      </c>
      <c r="S709" s="7" t="n"/>
      <c r="T709" s="7" t="n"/>
      <c r="V709" s="14" t="n"/>
      <c r="Z709">
        <f>IF($B709="","",IF(COUNTIF($B$2:$B709,$B709)=1,1,0))</f>
        <v/>
      </c>
      <c r="AA709">
        <f>IF($Z709=1,SUMPRODUCT(--($AC$2:$AC$3001&lt;$AC709))+1,"")</f>
        <v/>
      </c>
      <c r="AB709">
        <f>IF($B709="","",IF(OR($Y709=TRUE(),$Y709="TRUE"),1,IF(AND($Y709&lt;&gt;"",OR($Y709=FALSE(),$Y709="FALSE")),0,IF(MIN(ABS($X709/100-Settings!$C$6),ABS($X709/100-Settings!$G$6))&lt;=MIN(ABS($X709/100-Settings!$C$7),ABS($X709/100-Settings!$G$7)),1,0))))</f>
        <v/>
      </c>
      <c r="AC709">
        <f>IF($Z709=1,IFERROR(IF(VALUE($B709)&lt;100000000,VALUE($B709),1000000000),IFERROR(IF(VALUE(MID($B709,2,20))&lt;100000000,VALUE(MID($B709,2,20)),1000000000),1000000000))+ROW()/100000,"")</f>
        <v/>
      </c>
    </row>
    <row r="710">
      <c r="A710">
        <f>IF($B710="","",IFERROR(IF(INDEX('Per Invoice'!$A$2:$A$801,MATCH($B710,'Per Invoice'!$B$2:$B$801,0))=0,"",INDEX('Per Invoice'!$A$2:$A$801,MATCH($B710,'Per Invoice'!$B$2:$B$801,0))),""))</f>
        <v/>
      </c>
      <c r="J710" s="7">
        <f>IF($B710="","",I710*Q710/100)</f>
        <v/>
      </c>
      <c r="N710" s="7" t="n"/>
      <c r="O710" s="7" t="n"/>
      <c r="P710" s="7">
        <f>IF($B710="","",O710*X710/100)</f>
        <v/>
      </c>
      <c r="Q710" s="7">
        <f>IF($B710="","",O710-P710)</f>
        <v/>
      </c>
      <c r="R710" s="7">
        <f>IF($B710="","",Q710-J710)</f>
        <v/>
      </c>
      <c r="S710" s="7" t="n"/>
      <c r="T710" s="7" t="n"/>
      <c r="V710" s="14" t="n"/>
      <c r="Z710">
        <f>IF($B710="","",IF(COUNTIF($B$2:$B710,$B710)=1,1,0))</f>
        <v/>
      </c>
      <c r="AA710">
        <f>IF($Z710=1,SUMPRODUCT(--($AC$2:$AC$3001&lt;$AC710))+1,"")</f>
        <v/>
      </c>
      <c r="AB710">
        <f>IF($B710="","",IF(OR($Y710=TRUE(),$Y710="TRUE"),1,IF(AND($Y710&lt;&gt;"",OR($Y710=FALSE(),$Y710="FALSE")),0,IF(MIN(ABS($X710/100-Settings!$C$6),ABS($X710/100-Settings!$G$6))&lt;=MIN(ABS($X710/100-Settings!$C$7),ABS($X710/100-Settings!$G$7)),1,0))))</f>
        <v/>
      </c>
      <c r="AC710">
        <f>IF($Z710=1,IFERROR(IF(VALUE($B710)&lt;100000000,VALUE($B710),1000000000),IFERROR(IF(VALUE(MID($B710,2,20))&lt;100000000,VALUE(MID($B710,2,20)),1000000000),1000000000))+ROW()/100000,"")</f>
        <v/>
      </c>
    </row>
    <row r="711">
      <c r="A711">
        <f>IF($B711="","",IFERROR(IF(INDEX('Per Invoice'!$A$2:$A$801,MATCH($B711,'Per Invoice'!$B$2:$B$801,0))=0,"",INDEX('Per Invoice'!$A$2:$A$801,MATCH($B711,'Per Invoice'!$B$2:$B$801,0))),""))</f>
        <v/>
      </c>
      <c r="J711" s="7">
        <f>IF($B711="","",I711*Q711/100)</f>
        <v/>
      </c>
      <c r="N711" s="7" t="n"/>
      <c r="O711" s="7" t="n"/>
      <c r="P711" s="7">
        <f>IF($B711="","",O711*X711/100)</f>
        <v/>
      </c>
      <c r="Q711" s="7">
        <f>IF($B711="","",O711-P711)</f>
        <v/>
      </c>
      <c r="R711" s="7">
        <f>IF($B711="","",Q711-J711)</f>
        <v/>
      </c>
      <c r="S711" s="7" t="n"/>
      <c r="T711" s="7" t="n"/>
      <c r="V711" s="14" t="n"/>
      <c r="Z711">
        <f>IF($B711="","",IF(COUNTIF($B$2:$B711,$B711)=1,1,0))</f>
        <v/>
      </c>
      <c r="AA711">
        <f>IF($Z711=1,SUMPRODUCT(--($AC$2:$AC$3001&lt;$AC711))+1,"")</f>
        <v/>
      </c>
      <c r="AB711">
        <f>IF($B711="","",IF(OR($Y711=TRUE(),$Y711="TRUE"),1,IF(AND($Y711&lt;&gt;"",OR($Y711=FALSE(),$Y711="FALSE")),0,IF(MIN(ABS($X711/100-Settings!$C$6),ABS($X711/100-Settings!$G$6))&lt;=MIN(ABS($X711/100-Settings!$C$7),ABS($X711/100-Settings!$G$7)),1,0))))</f>
        <v/>
      </c>
      <c r="AC711">
        <f>IF($Z711=1,IFERROR(IF(VALUE($B711)&lt;100000000,VALUE($B711),1000000000),IFERROR(IF(VALUE(MID($B711,2,20))&lt;100000000,VALUE(MID($B711,2,20)),1000000000),1000000000))+ROW()/100000,"")</f>
        <v/>
      </c>
    </row>
    <row r="712">
      <c r="A712">
        <f>IF($B712="","",IFERROR(IF(INDEX('Per Invoice'!$A$2:$A$801,MATCH($B712,'Per Invoice'!$B$2:$B$801,0))=0,"",INDEX('Per Invoice'!$A$2:$A$801,MATCH($B712,'Per Invoice'!$B$2:$B$801,0))),""))</f>
        <v/>
      </c>
      <c r="J712" s="7">
        <f>IF($B712="","",I712*Q712/100)</f>
        <v/>
      </c>
      <c r="N712" s="7" t="n"/>
      <c r="O712" s="7" t="n"/>
      <c r="P712" s="7">
        <f>IF($B712="","",O712*X712/100)</f>
        <v/>
      </c>
      <c r="Q712" s="7">
        <f>IF($B712="","",O712-P712)</f>
        <v/>
      </c>
      <c r="R712" s="7">
        <f>IF($B712="","",Q712-J712)</f>
        <v/>
      </c>
      <c r="S712" s="7" t="n"/>
      <c r="T712" s="7" t="n"/>
      <c r="V712" s="14" t="n"/>
      <c r="Z712">
        <f>IF($B712="","",IF(COUNTIF($B$2:$B712,$B712)=1,1,0))</f>
        <v/>
      </c>
      <c r="AA712">
        <f>IF($Z712=1,SUMPRODUCT(--($AC$2:$AC$3001&lt;$AC712))+1,"")</f>
        <v/>
      </c>
      <c r="AB712">
        <f>IF($B712="","",IF(OR($Y712=TRUE(),$Y712="TRUE"),1,IF(AND($Y712&lt;&gt;"",OR($Y712=FALSE(),$Y712="FALSE")),0,IF(MIN(ABS($X712/100-Settings!$C$6),ABS($X712/100-Settings!$G$6))&lt;=MIN(ABS($X712/100-Settings!$C$7),ABS($X712/100-Settings!$G$7)),1,0))))</f>
        <v/>
      </c>
      <c r="AC712">
        <f>IF($Z712=1,IFERROR(IF(VALUE($B712)&lt;100000000,VALUE($B712),1000000000),IFERROR(IF(VALUE(MID($B712,2,20))&lt;100000000,VALUE(MID($B712,2,20)),1000000000),1000000000))+ROW()/100000,"")</f>
        <v/>
      </c>
    </row>
    <row r="713">
      <c r="A713">
        <f>IF($B713="","",IFERROR(IF(INDEX('Per Invoice'!$A$2:$A$801,MATCH($B713,'Per Invoice'!$B$2:$B$801,0))=0,"",INDEX('Per Invoice'!$A$2:$A$801,MATCH($B713,'Per Invoice'!$B$2:$B$801,0))),""))</f>
        <v/>
      </c>
      <c r="J713" s="7">
        <f>IF($B713="","",I713*Q713/100)</f>
        <v/>
      </c>
      <c r="N713" s="7" t="n"/>
      <c r="O713" s="7" t="n"/>
      <c r="P713" s="7">
        <f>IF($B713="","",O713*X713/100)</f>
        <v/>
      </c>
      <c r="Q713" s="7">
        <f>IF($B713="","",O713-P713)</f>
        <v/>
      </c>
      <c r="R713" s="7">
        <f>IF($B713="","",Q713-J713)</f>
        <v/>
      </c>
      <c r="S713" s="7" t="n"/>
      <c r="T713" s="7" t="n"/>
      <c r="V713" s="14" t="n"/>
      <c r="Z713">
        <f>IF($B713="","",IF(COUNTIF($B$2:$B713,$B713)=1,1,0))</f>
        <v/>
      </c>
      <c r="AA713">
        <f>IF($Z713=1,SUMPRODUCT(--($AC$2:$AC$3001&lt;$AC713))+1,"")</f>
        <v/>
      </c>
      <c r="AB713">
        <f>IF($B713="","",IF(OR($Y713=TRUE(),$Y713="TRUE"),1,IF(AND($Y713&lt;&gt;"",OR($Y713=FALSE(),$Y713="FALSE")),0,IF(MIN(ABS($X713/100-Settings!$C$6),ABS($X713/100-Settings!$G$6))&lt;=MIN(ABS($X713/100-Settings!$C$7),ABS($X713/100-Settings!$G$7)),1,0))))</f>
        <v/>
      </c>
      <c r="AC713">
        <f>IF($Z713=1,IFERROR(IF(VALUE($B713)&lt;100000000,VALUE($B713),1000000000),IFERROR(IF(VALUE(MID($B713,2,20))&lt;100000000,VALUE(MID($B713,2,20)),1000000000),1000000000))+ROW()/100000,"")</f>
        <v/>
      </c>
    </row>
    <row r="714">
      <c r="A714">
        <f>IF($B714="","",IFERROR(IF(INDEX('Per Invoice'!$A$2:$A$801,MATCH($B714,'Per Invoice'!$B$2:$B$801,0))=0,"",INDEX('Per Invoice'!$A$2:$A$801,MATCH($B714,'Per Invoice'!$B$2:$B$801,0))),""))</f>
        <v/>
      </c>
      <c r="J714" s="7">
        <f>IF($B714="","",I714*Q714/100)</f>
        <v/>
      </c>
      <c r="N714" s="7" t="n"/>
      <c r="O714" s="7" t="n"/>
      <c r="P714" s="7">
        <f>IF($B714="","",O714*X714/100)</f>
        <v/>
      </c>
      <c r="Q714" s="7">
        <f>IF($B714="","",O714-P714)</f>
        <v/>
      </c>
      <c r="R714" s="7">
        <f>IF($B714="","",Q714-J714)</f>
        <v/>
      </c>
      <c r="S714" s="7" t="n"/>
      <c r="T714" s="7" t="n"/>
      <c r="V714" s="14" t="n"/>
      <c r="Z714">
        <f>IF($B714="","",IF(COUNTIF($B$2:$B714,$B714)=1,1,0))</f>
        <v/>
      </c>
      <c r="AA714">
        <f>IF($Z714=1,SUMPRODUCT(--($AC$2:$AC$3001&lt;$AC714))+1,"")</f>
        <v/>
      </c>
      <c r="AB714">
        <f>IF($B714="","",IF(OR($Y714=TRUE(),$Y714="TRUE"),1,IF(AND($Y714&lt;&gt;"",OR($Y714=FALSE(),$Y714="FALSE")),0,IF(MIN(ABS($X714/100-Settings!$C$6),ABS($X714/100-Settings!$G$6))&lt;=MIN(ABS($X714/100-Settings!$C$7),ABS($X714/100-Settings!$G$7)),1,0))))</f>
        <v/>
      </c>
      <c r="AC714">
        <f>IF($Z714=1,IFERROR(IF(VALUE($B714)&lt;100000000,VALUE($B714),1000000000),IFERROR(IF(VALUE(MID($B714,2,20))&lt;100000000,VALUE(MID($B714,2,20)),1000000000),1000000000))+ROW()/100000,"")</f>
        <v/>
      </c>
    </row>
    <row r="715">
      <c r="A715">
        <f>IF($B715="","",IFERROR(IF(INDEX('Per Invoice'!$A$2:$A$801,MATCH($B715,'Per Invoice'!$B$2:$B$801,0))=0,"",INDEX('Per Invoice'!$A$2:$A$801,MATCH($B715,'Per Invoice'!$B$2:$B$801,0))),""))</f>
        <v/>
      </c>
      <c r="J715" s="7">
        <f>IF($B715="","",I715*Q715/100)</f>
        <v/>
      </c>
      <c r="N715" s="7" t="n"/>
      <c r="O715" s="7" t="n"/>
      <c r="P715" s="7">
        <f>IF($B715="","",O715*X715/100)</f>
        <v/>
      </c>
      <c r="Q715" s="7">
        <f>IF($B715="","",O715-P715)</f>
        <v/>
      </c>
      <c r="R715" s="7">
        <f>IF($B715="","",Q715-J715)</f>
        <v/>
      </c>
      <c r="S715" s="7" t="n"/>
      <c r="T715" s="7" t="n"/>
      <c r="V715" s="14" t="n"/>
      <c r="Z715">
        <f>IF($B715="","",IF(COUNTIF($B$2:$B715,$B715)=1,1,0))</f>
        <v/>
      </c>
      <c r="AA715">
        <f>IF($Z715=1,SUMPRODUCT(--($AC$2:$AC$3001&lt;$AC715))+1,"")</f>
        <v/>
      </c>
      <c r="AB715">
        <f>IF($B715="","",IF(OR($Y715=TRUE(),$Y715="TRUE"),1,IF(AND($Y715&lt;&gt;"",OR($Y715=FALSE(),$Y715="FALSE")),0,IF(MIN(ABS($X715/100-Settings!$C$6),ABS($X715/100-Settings!$G$6))&lt;=MIN(ABS($X715/100-Settings!$C$7),ABS($X715/100-Settings!$G$7)),1,0))))</f>
        <v/>
      </c>
      <c r="AC715">
        <f>IF($Z715=1,IFERROR(IF(VALUE($B715)&lt;100000000,VALUE($B715),1000000000),IFERROR(IF(VALUE(MID($B715,2,20))&lt;100000000,VALUE(MID($B715,2,20)),1000000000),1000000000))+ROW()/100000,"")</f>
        <v/>
      </c>
    </row>
    <row r="716">
      <c r="A716">
        <f>IF($B716="","",IFERROR(IF(INDEX('Per Invoice'!$A$2:$A$801,MATCH($B716,'Per Invoice'!$B$2:$B$801,0))=0,"",INDEX('Per Invoice'!$A$2:$A$801,MATCH($B716,'Per Invoice'!$B$2:$B$801,0))),""))</f>
        <v/>
      </c>
      <c r="J716" s="7">
        <f>IF($B716="","",I716*Q716/100)</f>
        <v/>
      </c>
      <c r="N716" s="7" t="n"/>
      <c r="O716" s="7" t="n"/>
      <c r="P716" s="7">
        <f>IF($B716="","",O716*X716/100)</f>
        <v/>
      </c>
      <c r="Q716" s="7">
        <f>IF($B716="","",O716-P716)</f>
        <v/>
      </c>
      <c r="R716" s="7">
        <f>IF($B716="","",Q716-J716)</f>
        <v/>
      </c>
      <c r="S716" s="7" t="n"/>
      <c r="T716" s="7" t="n"/>
      <c r="V716" s="14" t="n"/>
      <c r="Z716">
        <f>IF($B716="","",IF(COUNTIF($B$2:$B716,$B716)=1,1,0))</f>
        <v/>
      </c>
      <c r="AA716">
        <f>IF($Z716=1,SUMPRODUCT(--($AC$2:$AC$3001&lt;$AC716))+1,"")</f>
        <v/>
      </c>
      <c r="AB716">
        <f>IF($B716="","",IF(OR($Y716=TRUE(),$Y716="TRUE"),1,IF(AND($Y716&lt;&gt;"",OR($Y716=FALSE(),$Y716="FALSE")),0,IF(MIN(ABS($X716/100-Settings!$C$6),ABS($X716/100-Settings!$G$6))&lt;=MIN(ABS($X716/100-Settings!$C$7),ABS($X716/100-Settings!$G$7)),1,0))))</f>
        <v/>
      </c>
      <c r="AC716">
        <f>IF($Z716=1,IFERROR(IF(VALUE($B716)&lt;100000000,VALUE($B716),1000000000),IFERROR(IF(VALUE(MID($B716,2,20))&lt;100000000,VALUE(MID($B716,2,20)),1000000000),1000000000))+ROW()/100000,"")</f>
        <v/>
      </c>
    </row>
    <row r="717">
      <c r="A717">
        <f>IF($B717="","",IFERROR(IF(INDEX('Per Invoice'!$A$2:$A$801,MATCH($B717,'Per Invoice'!$B$2:$B$801,0))=0,"",INDEX('Per Invoice'!$A$2:$A$801,MATCH($B717,'Per Invoice'!$B$2:$B$801,0))),""))</f>
        <v/>
      </c>
      <c r="J717" s="7">
        <f>IF($B717="","",I717*Q717/100)</f>
        <v/>
      </c>
      <c r="N717" s="7" t="n"/>
      <c r="O717" s="7" t="n"/>
      <c r="P717" s="7">
        <f>IF($B717="","",O717*X717/100)</f>
        <v/>
      </c>
      <c r="Q717" s="7">
        <f>IF($B717="","",O717-P717)</f>
        <v/>
      </c>
      <c r="R717" s="7">
        <f>IF($B717="","",Q717-J717)</f>
        <v/>
      </c>
      <c r="S717" s="7" t="n"/>
      <c r="T717" s="7" t="n"/>
      <c r="V717" s="14" t="n"/>
      <c r="Z717">
        <f>IF($B717="","",IF(COUNTIF($B$2:$B717,$B717)=1,1,0))</f>
        <v/>
      </c>
      <c r="AA717">
        <f>IF($Z717=1,SUMPRODUCT(--($AC$2:$AC$3001&lt;$AC717))+1,"")</f>
        <v/>
      </c>
      <c r="AB717">
        <f>IF($B717="","",IF(OR($Y717=TRUE(),$Y717="TRUE"),1,IF(AND($Y717&lt;&gt;"",OR($Y717=FALSE(),$Y717="FALSE")),0,IF(MIN(ABS($X717/100-Settings!$C$6),ABS($X717/100-Settings!$G$6))&lt;=MIN(ABS($X717/100-Settings!$C$7),ABS($X717/100-Settings!$G$7)),1,0))))</f>
        <v/>
      </c>
      <c r="AC717">
        <f>IF($Z717=1,IFERROR(IF(VALUE($B717)&lt;100000000,VALUE($B717),1000000000),IFERROR(IF(VALUE(MID($B717,2,20))&lt;100000000,VALUE(MID($B717,2,20)),1000000000),1000000000))+ROW()/100000,"")</f>
        <v/>
      </c>
    </row>
    <row r="718">
      <c r="A718">
        <f>IF($B718="","",IFERROR(IF(INDEX('Per Invoice'!$A$2:$A$801,MATCH($B718,'Per Invoice'!$B$2:$B$801,0))=0,"",INDEX('Per Invoice'!$A$2:$A$801,MATCH($B718,'Per Invoice'!$B$2:$B$801,0))),""))</f>
        <v/>
      </c>
      <c r="J718" s="7">
        <f>IF($B718="","",I718*Q718/100)</f>
        <v/>
      </c>
      <c r="N718" s="7" t="n"/>
      <c r="O718" s="7" t="n"/>
      <c r="P718" s="7">
        <f>IF($B718="","",O718*X718/100)</f>
        <v/>
      </c>
      <c r="Q718" s="7">
        <f>IF($B718="","",O718-P718)</f>
        <v/>
      </c>
      <c r="R718" s="7">
        <f>IF($B718="","",Q718-J718)</f>
        <v/>
      </c>
      <c r="S718" s="7" t="n"/>
      <c r="T718" s="7" t="n"/>
      <c r="V718" s="14" t="n"/>
      <c r="Z718">
        <f>IF($B718="","",IF(COUNTIF($B$2:$B718,$B718)=1,1,0))</f>
        <v/>
      </c>
      <c r="AA718">
        <f>IF($Z718=1,SUMPRODUCT(--($AC$2:$AC$3001&lt;$AC718))+1,"")</f>
        <v/>
      </c>
      <c r="AB718">
        <f>IF($B718="","",IF(OR($Y718=TRUE(),$Y718="TRUE"),1,IF(AND($Y718&lt;&gt;"",OR($Y718=FALSE(),$Y718="FALSE")),0,IF(MIN(ABS($X718/100-Settings!$C$6),ABS($X718/100-Settings!$G$6))&lt;=MIN(ABS($X718/100-Settings!$C$7),ABS($X718/100-Settings!$G$7)),1,0))))</f>
        <v/>
      </c>
      <c r="AC718">
        <f>IF($Z718=1,IFERROR(IF(VALUE($B718)&lt;100000000,VALUE($B718),1000000000),IFERROR(IF(VALUE(MID($B718,2,20))&lt;100000000,VALUE(MID($B718,2,20)),1000000000),1000000000))+ROW()/100000,"")</f>
        <v/>
      </c>
    </row>
    <row r="719">
      <c r="A719">
        <f>IF($B719="","",IFERROR(IF(INDEX('Per Invoice'!$A$2:$A$801,MATCH($B719,'Per Invoice'!$B$2:$B$801,0))=0,"",INDEX('Per Invoice'!$A$2:$A$801,MATCH($B719,'Per Invoice'!$B$2:$B$801,0))),""))</f>
        <v/>
      </c>
      <c r="J719" s="7">
        <f>IF($B719="","",I719*Q719/100)</f>
        <v/>
      </c>
      <c r="N719" s="7" t="n"/>
      <c r="O719" s="7" t="n"/>
      <c r="P719" s="7">
        <f>IF($B719="","",O719*X719/100)</f>
        <v/>
      </c>
      <c r="Q719" s="7">
        <f>IF($B719="","",O719-P719)</f>
        <v/>
      </c>
      <c r="R719" s="7">
        <f>IF($B719="","",Q719-J719)</f>
        <v/>
      </c>
      <c r="S719" s="7" t="n"/>
      <c r="T719" s="7" t="n"/>
      <c r="V719" s="14" t="n"/>
      <c r="Z719">
        <f>IF($B719="","",IF(COUNTIF($B$2:$B719,$B719)=1,1,0))</f>
        <v/>
      </c>
      <c r="AA719">
        <f>IF($Z719=1,SUMPRODUCT(--($AC$2:$AC$3001&lt;$AC719))+1,"")</f>
        <v/>
      </c>
      <c r="AB719">
        <f>IF($B719="","",IF(OR($Y719=TRUE(),$Y719="TRUE"),1,IF(AND($Y719&lt;&gt;"",OR($Y719=FALSE(),$Y719="FALSE")),0,IF(MIN(ABS($X719/100-Settings!$C$6),ABS($X719/100-Settings!$G$6))&lt;=MIN(ABS($X719/100-Settings!$C$7),ABS($X719/100-Settings!$G$7)),1,0))))</f>
        <v/>
      </c>
      <c r="AC719">
        <f>IF($Z719=1,IFERROR(IF(VALUE($B719)&lt;100000000,VALUE($B719),1000000000),IFERROR(IF(VALUE(MID($B719,2,20))&lt;100000000,VALUE(MID($B719,2,20)),1000000000),1000000000))+ROW()/100000,"")</f>
        <v/>
      </c>
    </row>
    <row r="720">
      <c r="A720">
        <f>IF($B720="","",IFERROR(IF(INDEX('Per Invoice'!$A$2:$A$801,MATCH($B720,'Per Invoice'!$B$2:$B$801,0))=0,"",INDEX('Per Invoice'!$A$2:$A$801,MATCH($B720,'Per Invoice'!$B$2:$B$801,0))),""))</f>
        <v/>
      </c>
      <c r="J720" s="7">
        <f>IF($B720="","",I720*Q720/100)</f>
        <v/>
      </c>
      <c r="N720" s="7" t="n"/>
      <c r="O720" s="7" t="n"/>
      <c r="P720" s="7">
        <f>IF($B720="","",O720*X720/100)</f>
        <v/>
      </c>
      <c r="Q720" s="7">
        <f>IF($B720="","",O720-P720)</f>
        <v/>
      </c>
      <c r="R720" s="7">
        <f>IF($B720="","",Q720-J720)</f>
        <v/>
      </c>
      <c r="S720" s="7" t="n"/>
      <c r="T720" s="7" t="n"/>
      <c r="V720" s="14" t="n"/>
      <c r="Z720">
        <f>IF($B720="","",IF(COUNTIF($B$2:$B720,$B720)=1,1,0))</f>
        <v/>
      </c>
      <c r="AA720">
        <f>IF($Z720=1,SUMPRODUCT(--($AC$2:$AC$3001&lt;$AC720))+1,"")</f>
        <v/>
      </c>
      <c r="AB720">
        <f>IF($B720="","",IF(OR($Y720=TRUE(),$Y720="TRUE"),1,IF(AND($Y720&lt;&gt;"",OR($Y720=FALSE(),$Y720="FALSE")),0,IF(MIN(ABS($X720/100-Settings!$C$6),ABS($X720/100-Settings!$G$6))&lt;=MIN(ABS($X720/100-Settings!$C$7),ABS($X720/100-Settings!$G$7)),1,0))))</f>
        <v/>
      </c>
      <c r="AC720">
        <f>IF($Z720=1,IFERROR(IF(VALUE($B720)&lt;100000000,VALUE($B720),1000000000),IFERROR(IF(VALUE(MID($B720,2,20))&lt;100000000,VALUE(MID($B720,2,20)),1000000000),1000000000))+ROW()/100000,"")</f>
        <v/>
      </c>
    </row>
    <row r="721">
      <c r="A721">
        <f>IF($B721="","",IFERROR(IF(INDEX('Per Invoice'!$A$2:$A$801,MATCH($B721,'Per Invoice'!$B$2:$B$801,0))=0,"",INDEX('Per Invoice'!$A$2:$A$801,MATCH($B721,'Per Invoice'!$B$2:$B$801,0))),""))</f>
        <v/>
      </c>
      <c r="J721" s="7">
        <f>IF($B721="","",I721*Q721/100)</f>
        <v/>
      </c>
      <c r="N721" s="7" t="n"/>
      <c r="O721" s="7" t="n"/>
      <c r="P721" s="7">
        <f>IF($B721="","",O721*X721/100)</f>
        <v/>
      </c>
      <c r="Q721" s="7">
        <f>IF($B721="","",O721-P721)</f>
        <v/>
      </c>
      <c r="R721" s="7">
        <f>IF($B721="","",Q721-J721)</f>
        <v/>
      </c>
      <c r="S721" s="7" t="n"/>
      <c r="T721" s="7" t="n"/>
      <c r="V721" s="14" t="n"/>
      <c r="Z721">
        <f>IF($B721="","",IF(COUNTIF($B$2:$B721,$B721)=1,1,0))</f>
        <v/>
      </c>
      <c r="AA721">
        <f>IF($Z721=1,SUMPRODUCT(--($AC$2:$AC$3001&lt;$AC721))+1,"")</f>
        <v/>
      </c>
      <c r="AB721">
        <f>IF($B721="","",IF(OR($Y721=TRUE(),$Y721="TRUE"),1,IF(AND($Y721&lt;&gt;"",OR($Y721=FALSE(),$Y721="FALSE")),0,IF(MIN(ABS($X721/100-Settings!$C$6),ABS($X721/100-Settings!$G$6))&lt;=MIN(ABS($X721/100-Settings!$C$7),ABS($X721/100-Settings!$G$7)),1,0))))</f>
        <v/>
      </c>
      <c r="AC721">
        <f>IF($Z721=1,IFERROR(IF(VALUE($B721)&lt;100000000,VALUE($B721),1000000000),IFERROR(IF(VALUE(MID($B721,2,20))&lt;100000000,VALUE(MID($B721,2,20)),1000000000),1000000000))+ROW()/100000,"")</f>
        <v/>
      </c>
    </row>
    <row r="722">
      <c r="A722">
        <f>IF($B722="","",IFERROR(IF(INDEX('Per Invoice'!$A$2:$A$801,MATCH($B722,'Per Invoice'!$B$2:$B$801,0))=0,"",INDEX('Per Invoice'!$A$2:$A$801,MATCH($B722,'Per Invoice'!$B$2:$B$801,0))),""))</f>
        <v/>
      </c>
      <c r="J722" s="7">
        <f>IF($B722="","",I722*Q722/100)</f>
        <v/>
      </c>
      <c r="N722" s="7" t="n"/>
      <c r="O722" s="7" t="n"/>
      <c r="P722" s="7">
        <f>IF($B722="","",O722*X722/100)</f>
        <v/>
      </c>
      <c r="Q722" s="7">
        <f>IF($B722="","",O722-P722)</f>
        <v/>
      </c>
      <c r="R722" s="7">
        <f>IF($B722="","",Q722-J722)</f>
        <v/>
      </c>
      <c r="S722" s="7" t="n"/>
      <c r="T722" s="7" t="n"/>
      <c r="V722" s="14" t="n"/>
      <c r="Z722">
        <f>IF($B722="","",IF(COUNTIF($B$2:$B722,$B722)=1,1,0))</f>
        <v/>
      </c>
      <c r="AA722">
        <f>IF($Z722=1,SUMPRODUCT(--($AC$2:$AC$3001&lt;$AC722))+1,"")</f>
        <v/>
      </c>
      <c r="AB722">
        <f>IF($B722="","",IF(OR($Y722=TRUE(),$Y722="TRUE"),1,IF(AND($Y722&lt;&gt;"",OR($Y722=FALSE(),$Y722="FALSE")),0,IF(MIN(ABS($X722/100-Settings!$C$6),ABS($X722/100-Settings!$G$6))&lt;=MIN(ABS($X722/100-Settings!$C$7),ABS($X722/100-Settings!$G$7)),1,0))))</f>
        <v/>
      </c>
      <c r="AC722">
        <f>IF($Z722=1,IFERROR(IF(VALUE($B722)&lt;100000000,VALUE($B722),1000000000),IFERROR(IF(VALUE(MID($B722,2,20))&lt;100000000,VALUE(MID($B722,2,20)),1000000000),1000000000))+ROW()/100000,"")</f>
        <v/>
      </c>
    </row>
    <row r="723">
      <c r="A723">
        <f>IF($B723="","",IFERROR(IF(INDEX('Per Invoice'!$A$2:$A$801,MATCH($B723,'Per Invoice'!$B$2:$B$801,0))=0,"",INDEX('Per Invoice'!$A$2:$A$801,MATCH($B723,'Per Invoice'!$B$2:$B$801,0))),""))</f>
        <v/>
      </c>
      <c r="J723" s="7">
        <f>IF($B723="","",I723*Q723/100)</f>
        <v/>
      </c>
      <c r="N723" s="7" t="n"/>
      <c r="O723" s="7" t="n"/>
      <c r="P723" s="7">
        <f>IF($B723="","",O723*X723/100)</f>
        <v/>
      </c>
      <c r="Q723" s="7">
        <f>IF($B723="","",O723-P723)</f>
        <v/>
      </c>
      <c r="R723" s="7">
        <f>IF($B723="","",Q723-J723)</f>
        <v/>
      </c>
      <c r="S723" s="7" t="n"/>
      <c r="T723" s="7" t="n"/>
      <c r="V723" s="14" t="n"/>
      <c r="Z723">
        <f>IF($B723="","",IF(COUNTIF($B$2:$B723,$B723)=1,1,0))</f>
        <v/>
      </c>
      <c r="AA723">
        <f>IF($Z723=1,SUMPRODUCT(--($AC$2:$AC$3001&lt;$AC723))+1,"")</f>
        <v/>
      </c>
      <c r="AB723">
        <f>IF($B723="","",IF(OR($Y723=TRUE(),$Y723="TRUE"),1,IF(AND($Y723&lt;&gt;"",OR($Y723=FALSE(),$Y723="FALSE")),0,IF(MIN(ABS($X723/100-Settings!$C$6),ABS($X723/100-Settings!$G$6))&lt;=MIN(ABS($X723/100-Settings!$C$7),ABS($X723/100-Settings!$G$7)),1,0))))</f>
        <v/>
      </c>
      <c r="AC723">
        <f>IF($Z723=1,IFERROR(IF(VALUE($B723)&lt;100000000,VALUE($B723),1000000000),IFERROR(IF(VALUE(MID($B723,2,20))&lt;100000000,VALUE(MID($B723,2,20)),1000000000),1000000000))+ROW()/100000,"")</f>
        <v/>
      </c>
    </row>
    <row r="724">
      <c r="A724">
        <f>IF($B724="","",IFERROR(IF(INDEX('Per Invoice'!$A$2:$A$801,MATCH($B724,'Per Invoice'!$B$2:$B$801,0))=0,"",INDEX('Per Invoice'!$A$2:$A$801,MATCH($B724,'Per Invoice'!$B$2:$B$801,0))),""))</f>
        <v/>
      </c>
      <c r="J724" s="7">
        <f>IF($B724="","",I724*Q724/100)</f>
        <v/>
      </c>
      <c r="N724" s="7" t="n"/>
      <c r="O724" s="7" t="n"/>
      <c r="P724" s="7">
        <f>IF($B724="","",O724*X724/100)</f>
        <v/>
      </c>
      <c r="Q724" s="7">
        <f>IF($B724="","",O724-P724)</f>
        <v/>
      </c>
      <c r="R724" s="7">
        <f>IF($B724="","",Q724-J724)</f>
        <v/>
      </c>
      <c r="S724" s="7" t="n"/>
      <c r="T724" s="7" t="n"/>
      <c r="V724" s="14" t="n"/>
      <c r="Z724">
        <f>IF($B724="","",IF(COUNTIF($B$2:$B724,$B724)=1,1,0))</f>
        <v/>
      </c>
      <c r="AA724">
        <f>IF($Z724=1,SUMPRODUCT(--($AC$2:$AC$3001&lt;$AC724))+1,"")</f>
        <v/>
      </c>
      <c r="AB724">
        <f>IF($B724="","",IF(OR($Y724=TRUE(),$Y724="TRUE"),1,IF(AND($Y724&lt;&gt;"",OR($Y724=FALSE(),$Y724="FALSE")),0,IF(MIN(ABS($X724/100-Settings!$C$6),ABS($X724/100-Settings!$G$6))&lt;=MIN(ABS($X724/100-Settings!$C$7),ABS($X724/100-Settings!$G$7)),1,0))))</f>
        <v/>
      </c>
      <c r="AC724">
        <f>IF($Z724=1,IFERROR(IF(VALUE($B724)&lt;100000000,VALUE($B724),1000000000),IFERROR(IF(VALUE(MID($B724,2,20))&lt;100000000,VALUE(MID($B724,2,20)),1000000000),1000000000))+ROW()/100000,"")</f>
        <v/>
      </c>
    </row>
    <row r="725">
      <c r="A725">
        <f>IF($B725="","",IFERROR(IF(INDEX('Per Invoice'!$A$2:$A$801,MATCH($B725,'Per Invoice'!$B$2:$B$801,0))=0,"",INDEX('Per Invoice'!$A$2:$A$801,MATCH($B725,'Per Invoice'!$B$2:$B$801,0))),""))</f>
        <v/>
      </c>
      <c r="J725" s="7">
        <f>IF($B725="","",I725*Q725/100)</f>
        <v/>
      </c>
      <c r="N725" s="7" t="n"/>
      <c r="O725" s="7" t="n"/>
      <c r="P725" s="7">
        <f>IF($B725="","",O725*X725/100)</f>
        <v/>
      </c>
      <c r="Q725" s="7">
        <f>IF($B725="","",O725-P725)</f>
        <v/>
      </c>
      <c r="R725" s="7">
        <f>IF($B725="","",Q725-J725)</f>
        <v/>
      </c>
      <c r="S725" s="7" t="n"/>
      <c r="T725" s="7" t="n"/>
      <c r="V725" s="14" t="n"/>
      <c r="Z725">
        <f>IF($B725="","",IF(COUNTIF($B$2:$B725,$B725)=1,1,0))</f>
        <v/>
      </c>
      <c r="AA725">
        <f>IF($Z725=1,SUMPRODUCT(--($AC$2:$AC$3001&lt;$AC725))+1,"")</f>
        <v/>
      </c>
      <c r="AB725">
        <f>IF($B725="","",IF(OR($Y725=TRUE(),$Y725="TRUE"),1,IF(AND($Y725&lt;&gt;"",OR($Y725=FALSE(),$Y725="FALSE")),0,IF(MIN(ABS($X725/100-Settings!$C$6),ABS($X725/100-Settings!$G$6))&lt;=MIN(ABS($X725/100-Settings!$C$7),ABS($X725/100-Settings!$G$7)),1,0))))</f>
        <v/>
      </c>
      <c r="AC725">
        <f>IF($Z725=1,IFERROR(IF(VALUE($B725)&lt;100000000,VALUE($B725),1000000000),IFERROR(IF(VALUE(MID($B725,2,20))&lt;100000000,VALUE(MID($B725,2,20)),1000000000),1000000000))+ROW()/100000,"")</f>
        <v/>
      </c>
    </row>
    <row r="726">
      <c r="A726">
        <f>IF($B726="","",IFERROR(IF(INDEX('Per Invoice'!$A$2:$A$801,MATCH($B726,'Per Invoice'!$B$2:$B$801,0))=0,"",INDEX('Per Invoice'!$A$2:$A$801,MATCH($B726,'Per Invoice'!$B$2:$B$801,0))),""))</f>
        <v/>
      </c>
      <c r="J726" s="7">
        <f>IF($B726="","",I726*Q726/100)</f>
        <v/>
      </c>
      <c r="N726" s="7" t="n"/>
      <c r="O726" s="7" t="n"/>
      <c r="P726" s="7">
        <f>IF($B726="","",O726*X726/100)</f>
        <v/>
      </c>
      <c r="Q726" s="7">
        <f>IF($B726="","",O726-P726)</f>
        <v/>
      </c>
      <c r="R726" s="7">
        <f>IF($B726="","",Q726-J726)</f>
        <v/>
      </c>
      <c r="S726" s="7" t="n"/>
      <c r="T726" s="7" t="n"/>
      <c r="V726" s="14" t="n"/>
      <c r="Z726">
        <f>IF($B726="","",IF(COUNTIF($B$2:$B726,$B726)=1,1,0))</f>
        <v/>
      </c>
      <c r="AA726">
        <f>IF($Z726=1,SUMPRODUCT(--($AC$2:$AC$3001&lt;$AC726))+1,"")</f>
        <v/>
      </c>
      <c r="AB726">
        <f>IF($B726="","",IF(OR($Y726=TRUE(),$Y726="TRUE"),1,IF(AND($Y726&lt;&gt;"",OR($Y726=FALSE(),$Y726="FALSE")),0,IF(MIN(ABS($X726/100-Settings!$C$6),ABS($X726/100-Settings!$G$6))&lt;=MIN(ABS($X726/100-Settings!$C$7),ABS($X726/100-Settings!$G$7)),1,0))))</f>
        <v/>
      </c>
      <c r="AC726">
        <f>IF($Z726=1,IFERROR(IF(VALUE($B726)&lt;100000000,VALUE($B726),1000000000),IFERROR(IF(VALUE(MID($B726,2,20))&lt;100000000,VALUE(MID($B726,2,20)),1000000000),1000000000))+ROW()/100000,"")</f>
        <v/>
      </c>
    </row>
    <row r="727">
      <c r="A727">
        <f>IF($B727="","",IFERROR(IF(INDEX('Per Invoice'!$A$2:$A$801,MATCH($B727,'Per Invoice'!$B$2:$B$801,0))=0,"",INDEX('Per Invoice'!$A$2:$A$801,MATCH($B727,'Per Invoice'!$B$2:$B$801,0))),""))</f>
        <v/>
      </c>
      <c r="J727" s="7">
        <f>IF($B727="","",I727*Q727/100)</f>
        <v/>
      </c>
      <c r="N727" s="7" t="n"/>
      <c r="O727" s="7" t="n"/>
      <c r="P727" s="7">
        <f>IF($B727="","",O727*X727/100)</f>
        <v/>
      </c>
      <c r="Q727" s="7">
        <f>IF($B727="","",O727-P727)</f>
        <v/>
      </c>
      <c r="R727" s="7">
        <f>IF($B727="","",Q727-J727)</f>
        <v/>
      </c>
      <c r="S727" s="7" t="n"/>
      <c r="T727" s="7" t="n"/>
      <c r="V727" s="14" t="n"/>
      <c r="Z727">
        <f>IF($B727="","",IF(COUNTIF($B$2:$B727,$B727)=1,1,0))</f>
        <v/>
      </c>
      <c r="AA727">
        <f>IF($Z727=1,SUMPRODUCT(--($AC$2:$AC$3001&lt;$AC727))+1,"")</f>
        <v/>
      </c>
      <c r="AB727">
        <f>IF($B727="","",IF(OR($Y727=TRUE(),$Y727="TRUE"),1,IF(AND($Y727&lt;&gt;"",OR($Y727=FALSE(),$Y727="FALSE")),0,IF(MIN(ABS($X727/100-Settings!$C$6),ABS($X727/100-Settings!$G$6))&lt;=MIN(ABS($X727/100-Settings!$C$7),ABS($X727/100-Settings!$G$7)),1,0))))</f>
        <v/>
      </c>
      <c r="AC727">
        <f>IF($Z727=1,IFERROR(IF(VALUE($B727)&lt;100000000,VALUE($B727),1000000000),IFERROR(IF(VALUE(MID($B727,2,20))&lt;100000000,VALUE(MID($B727,2,20)),1000000000),1000000000))+ROW()/100000,"")</f>
        <v/>
      </c>
    </row>
    <row r="728">
      <c r="A728">
        <f>IF($B728="","",IFERROR(IF(INDEX('Per Invoice'!$A$2:$A$801,MATCH($B728,'Per Invoice'!$B$2:$B$801,0))=0,"",INDEX('Per Invoice'!$A$2:$A$801,MATCH($B728,'Per Invoice'!$B$2:$B$801,0))),""))</f>
        <v/>
      </c>
      <c r="J728" s="7">
        <f>IF($B728="","",I728*Q728/100)</f>
        <v/>
      </c>
      <c r="N728" s="7" t="n"/>
      <c r="O728" s="7" t="n"/>
      <c r="P728" s="7">
        <f>IF($B728="","",O728*X728/100)</f>
        <v/>
      </c>
      <c r="Q728" s="7">
        <f>IF($B728="","",O728-P728)</f>
        <v/>
      </c>
      <c r="R728" s="7">
        <f>IF($B728="","",Q728-J728)</f>
        <v/>
      </c>
      <c r="S728" s="7" t="n"/>
      <c r="T728" s="7" t="n"/>
      <c r="V728" s="14" t="n"/>
      <c r="Z728">
        <f>IF($B728="","",IF(COUNTIF($B$2:$B728,$B728)=1,1,0))</f>
        <v/>
      </c>
      <c r="AA728">
        <f>IF($Z728=1,SUMPRODUCT(--($AC$2:$AC$3001&lt;$AC728))+1,"")</f>
        <v/>
      </c>
      <c r="AB728">
        <f>IF($B728="","",IF(OR($Y728=TRUE(),$Y728="TRUE"),1,IF(AND($Y728&lt;&gt;"",OR($Y728=FALSE(),$Y728="FALSE")),0,IF(MIN(ABS($X728/100-Settings!$C$6),ABS($X728/100-Settings!$G$6))&lt;=MIN(ABS($X728/100-Settings!$C$7),ABS($X728/100-Settings!$G$7)),1,0))))</f>
        <v/>
      </c>
      <c r="AC728">
        <f>IF($Z728=1,IFERROR(IF(VALUE($B728)&lt;100000000,VALUE($B728),1000000000),IFERROR(IF(VALUE(MID($B728,2,20))&lt;100000000,VALUE(MID($B728,2,20)),1000000000),1000000000))+ROW()/100000,"")</f>
        <v/>
      </c>
    </row>
    <row r="729">
      <c r="A729">
        <f>IF($B729="","",IFERROR(IF(INDEX('Per Invoice'!$A$2:$A$801,MATCH($B729,'Per Invoice'!$B$2:$B$801,0))=0,"",INDEX('Per Invoice'!$A$2:$A$801,MATCH($B729,'Per Invoice'!$B$2:$B$801,0))),""))</f>
        <v/>
      </c>
      <c r="J729" s="7">
        <f>IF($B729="","",I729*Q729/100)</f>
        <v/>
      </c>
      <c r="N729" s="7" t="n"/>
      <c r="O729" s="7" t="n"/>
      <c r="P729" s="7">
        <f>IF($B729="","",O729*X729/100)</f>
        <v/>
      </c>
      <c r="Q729" s="7">
        <f>IF($B729="","",O729-P729)</f>
        <v/>
      </c>
      <c r="R729" s="7">
        <f>IF($B729="","",Q729-J729)</f>
        <v/>
      </c>
      <c r="S729" s="7" t="n"/>
      <c r="T729" s="7" t="n"/>
      <c r="V729" s="14" t="n"/>
      <c r="Z729">
        <f>IF($B729="","",IF(COUNTIF($B$2:$B729,$B729)=1,1,0))</f>
        <v/>
      </c>
      <c r="AA729">
        <f>IF($Z729=1,SUMPRODUCT(--($AC$2:$AC$3001&lt;$AC729))+1,"")</f>
        <v/>
      </c>
      <c r="AB729">
        <f>IF($B729="","",IF(OR($Y729=TRUE(),$Y729="TRUE"),1,IF(AND($Y729&lt;&gt;"",OR($Y729=FALSE(),$Y729="FALSE")),0,IF(MIN(ABS($X729/100-Settings!$C$6),ABS($X729/100-Settings!$G$6))&lt;=MIN(ABS($X729/100-Settings!$C$7),ABS($X729/100-Settings!$G$7)),1,0))))</f>
        <v/>
      </c>
      <c r="AC729">
        <f>IF($Z729=1,IFERROR(IF(VALUE($B729)&lt;100000000,VALUE($B729),1000000000),IFERROR(IF(VALUE(MID($B729,2,20))&lt;100000000,VALUE(MID($B729,2,20)),1000000000),1000000000))+ROW()/100000,"")</f>
        <v/>
      </c>
    </row>
    <row r="730">
      <c r="A730">
        <f>IF($B730="","",IFERROR(IF(INDEX('Per Invoice'!$A$2:$A$801,MATCH($B730,'Per Invoice'!$B$2:$B$801,0))=0,"",INDEX('Per Invoice'!$A$2:$A$801,MATCH($B730,'Per Invoice'!$B$2:$B$801,0))),""))</f>
        <v/>
      </c>
      <c r="J730" s="7">
        <f>IF($B730="","",I730*Q730/100)</f>
        <v/>
      </c>
      <c r="N730" s="7" t="n"/>
      <c r="O730" s="7" t="n"/>
      <c r="P730" s="7">
        <f>IF($B730="","",O730*X730/100)</f>
        <v/>
      </c>
      <c r="Q730" s="7">
        <f>IF($B730="","",O730-P730)</f>
        <v/>
      </c>
      <c r="R730" s="7">
        <f>IF($B730="","",Q730-J730)</f>
        <v/>
      </c>
      <c r="S730" s="7" t="n"/>
      <c r="T730" s="7" t="n"/>
      <c r="V730" s="14" t="n"/>
      <c r="Z730">
        <f>IF($B730="","",IF(COUNTIF($B$2:$B730,$B730)=1,1,0))</f>
        <v/>
      </c>
      <c r="AA730">
        <f>IF($Z730=1,SUMPRODUCT(--($AC$2:$AC$3001&lt;$AC730))+1,"")</f>
        <v/>
      </c>
      <c r="AB730">
        <f>IF($B730="","",IF(OR($Y730=TRUE(),$Y730="TRUE"),1,IF(AND($Y730&lt;&gt;"",OR($Y730=FALSE(),$Y730="FALSE")),0,IF(MIN(ABS($X730/100-Settings!$C$6),ABS($X730/100-Settings!$G$6))&lt;=MIN(ABS($X730/100-Settings!$C$7),ABS($X730/100-Settings!$G$7)),1,0))))</f>
        <v/>
      </c>
      <c r="AC730">
        <f>IF($Z730=1,IFERROR(IF(VALUE($B730)&lt;100000000,VALUE($B730),1000000000),IFERROR(IF(VALUE(MID($B730,2,20))&lt;100000000,VALUE(MID($B730,2,20)),1000000000),1000000000))+ROW()/100000,"")</f>
        <v/>
      </c>
    </row>
    <row r="731">
      <c r="A731">
        <f>IF($B731="","",IFERROR(IF(INDEX('Per Invoice'!$A$2:$A$801,MATCH($B731,'Per Invoice'!$B$2:$B$801,0))=0,"",INDEX('Per Invoice'!$A$2:$A$801,MATCH($B731,'Per Invoice'!$B$2:$B$801,0))),""))</f>
        <v/>
      </c>
      <c r="J731" s="7">
        <f>IF($B731="","",I731*Q731/100)</f>
        <v/>
      </c>
      <c r="N731" s="7" t="n"/>
      <c r="O731" s="7" t="n"/>
      <c r="P731" s="7">
        <f>IF($B731="","",O731*X731/100)</f>
        <v/>
      </c>
      <c r="Q731" s="7">
        <f>IF($B731="","",O731-P731)</f>
        <v/>
      </c>
      <c r="R731" s="7">
        <f>IF($B731="","",Q731-J731)</f>
        <v/>
      </c>
      <c r="S731" s="7" t="n"/>
      <c r="T731" s="7" t="n"/>
      <c r="V731" s="14" t="n"/>
      <c r="Z731">
        <f>IF($B731="","",IF(COUNTIF($B$2:$B731,$B731)=1,1,0))</f>
        <v/>
      </c>
      <c r="AA731">
        <f>IF($Z731=1,SUMPRODUCT(--($AC$2:$AC$3001&lt;$AC731))+1,"")</f>
        <v/>
      </c>
      <c r="AB731">
        <f>IF($B731="","",IF(OR($Y731=TRUE(),$Y731="TRUE"),1,IF(AND($Y731&lt;&gt;"",OR($Y731=FALSE(),$Y731="FALSE")),0,IF(MIN(ABS($X731/100-Settings!$C$6),ABS($X731/100-Settings!$G$6))&lt;=MIN(ABS($X731/100-Settings!$C$7),ABS($X731/100-Settings!$G$7)),1,0))))</f>
        <v/>
      </c>
      <c r="AC731">
        <f>IF($Z731=1,IFERROR(IF(VALUE($B731)&lt;100000000,VALUE($B731),1000000000),IFERROR(IF(VALUE(MID($B731,2,20))&lt;100000000,VALUE(MID($B731,2,20)),1000000000),1000000000))+ROW()/100000,"")</f>
        <v/>
      </c>
    </row>
    <row r="732">
      <c r="A732">
        <f>IF($B732="","",IFERROR(IF(INDEX('Per Invoice'!$A$2:$A$801,MATCH($B732,'Per Invoice'!$B$2:$B$801,0))=0,"",INDEX('Per Invoice'!$A$2:$A$801,MATCH($B732,'Per Invoice'!$B$2:$B$801,0))),""))</f>
        <v/>
      </c>
      <c r="J732" s="7">
        <f>IF($B732="","",I732*Q732/100)</f>
        <v/>
      </c>
      <c r="N732" s="7" t="n"/>
      <c r="O732" s="7" t="n"/>
      <c r="P732" s="7">
        <f>IF($B732="","",O732*X732/100)</f>
        <v/>
      </c>
      <c r="Q732" s="7">
        <f>IF($B732="","",O732-P732)</f>
        <v/>
      </c>
      <c r="R732" s="7">
        <f>IF($B732="","",Q732-J732)</f>
        <v/>
      </c>
      <c r="S732" s="7" t="n"/>
      <c r="T732" s="7" t="n"/>
      <c r="V732" s="14" t="n"/>
      <c r="Z732">
        <f>IF($B732="","",IF(COUNTIF($B$2:$B732,$B732)=1,1,0))</f>
        <v/>
      </c>
      <c r="AA732">
        <f>IF($Z732=1,SUMPRODUCT(--($AC$2:$AC$3001&lt;$AC732))+1,"")</f>
        <v/>
      </c>
      <c r="AB732">
        <f>IF($B732="","",IF(OR($Y732=TRUE(),$Y732="TRUE"),1,IF(AND($Y732&lt;&gt;"",OR($Y732=FALSE(),$Y732="FALSE")),0,IF(MIN(ABS($X732/100-Settings!$C$6),ABS($X732/100-Settings!$G$6))&lt;=MIN(ABS($X732/100-Settings!$C$7),ABS($X732/100-Settings!$G$7)),1,0))))</f>
        <v/>
      </c>
      <c r="AC732">
        <f>IF($Z732=1,IFERROR(IF(VALUE($B732)&lt;100000000,VALUE($B732),1000000000),IFERROR(IF(VALUE(MID($B732,2,20))&lt;100000000,VALUE(MID($B732,2,20)),1000000000),1000000000))+ROW()/100000,"")</f>
        <v/>
      </c>
    </row>
    <row r="733">
      <c r="A733">
        <f>IF($B733="","",IFERROR(IF(INDEX('Per Invoice'!$A$2:$A$801,MATCH($B733,'Per Invoice'!$B$2:$B$801,0))=0,"",INDEX('Per Invoice'!$A$2:$A$801,MATCH($B733,'Per Invoice'!$B$2:$B$801,0))),""))</f>
        <v/>
      </c>
      <c r="J733" s="7">
        <f>IF($B733="","",I733*Q733/100)</f>
        <v/>
      </c>
      <c r="N733" s="7" t="n"/>
      <c r="O733" s="7" t="n"/>
      <c r="P733" s="7">
        <f>IF($B733="","",O733*X733/100)</f>
        <v/>
      </c>
      <c r="Q733" s="7">
        <f>IF($B733="","",O733-P733)</f>
        <v/>
      </c>
      <c r="R733" s="7">
        <f>IF($B733="","",Q733-J733)</f>
        <v/>
      </c>
      <c r="S733" s="7" t="n"/>
      <c r="T733" s="7" t="n"/>
      <c r="V733" s="14" t="n"/>
      <c r="Z733">
        <f>IF($B733="","",IF(COUNTIF($B$2:$B733,$B733)=1,1,0))</f>
        <v/>
      </c>
      <c r="AA733">
        <f>IF($Z733=1,SUMPRODUCT(--($AC$2:$AC$3001&lt;$AC733))+1,"")</f>
        <v/>
      </c>
      <c r="AB733">
        <f>IF($B733="","",IF(OR($Y733=TRUE(),$Y733="TRUE"),1,IF(AND($Y733&lt;&gt;"",OR($Y733=FALSE(),$Y733="FALSE")),0,IF(MIN(ABS($X733/100-Settings!$C$6),ABS($X733/100-Settings!$G$6))&lt;=MIN(ABS($X733/100-Settings!$C$7),ABS($X733/100-Settings!$G$7)),1,0))))</f>
        <v/>
      </c>
      <c r="AC733">
        <f>IF($Z733=1,IFERROR(IF(VALUE($B733)&lt;100000000,VALUE($B733),1000000000),IFERROR(IF(VALUE(MID($B733,2,20))&lt;100000000,VALUE(MID($B733,2,20)),1000000000),1000000000))+ROW()/100000,"")</f>
        <v/>
      </c>
    </row>
    <row r="734">
      <c r="A734">
        <f>IF($B734="","",IFERROR(IF(INDEX('Per Invoice'!$A$2:$A$801,MATCH($B734,'Per Invoice'!$B$2:$B$801,0))=0,"",INDEX('Per Invoice'!$A$2:$A$801,MATCH($B734,'Per Invoice'!$B$2:$B$801,0))),""))</f>
        <v/>
      </c>
      <c r="J734" s="7">
        <f>IF($B734="","",I734*Q734/100)</f>
        <v/>
      </c>
      <c r="N734" s="7" t="n"/>
      <c r="O734" s="7" t="n"/>
      <c r="P734" s="7">
        <f>IF($B734="","",O734*X734/100)</f>
        <v/>
      </c>
      <c r="Q734" s="7">
        <f>IF($B734="","",O734-P734)</f>
        <v/>
      </c>
      <c r="R734" s="7">
        <f>IF($B734="","",Q734-J734)</f>
        <v/>
      </c>
      <c r="S734" s="7" t="n"/>
      <c r="T734" s="7" t="n"/>
      <c r="V734" s="14" t="n"/>
      <c r="Z734">
        <f>IF($B734="","",IF(COUNTIF($B$2:$B734,$B734)=1,1,0))</f>
        <v/>
      </c>
      <c r="AA734">
        <f>IF($Z734=1,SUMPRODUCT(--($AC$2:$AC$3001&lt;$AC734))+1,"")</f>
        <v/>
      </c>
      <c r="AB734">
        <f>IF($B734="","",IF(OR($Y734=TRUE(),$Y734="TRUE"),1,IF(AND($Y734&lt;&gt;"",OR($Y734=FALSE(),$Y734="FALSE")),0,IF(MIN(ABS($X734/100-Settings!$C$6),ABS($X734/100-Settings!$G$6))&lt;=MIN(ABS($X734/100-Settings!$C$7),ABS($X734/100-Settings!$G$7)),1,0))))</f>
        <v/>
      </c>
      <c r="AC734">
        <f>IF($Z734=1,IFERROR(IF(VALUE($B734)&lt;100000000,VALUE($B734),1000000000),IFERROR(IF(VALUE(MID($B734,2,20))&lt;100000000,VALUE(MID($B734,2,20)),1000000000),1000000000))+ROW()/100000,"")</f>
        <v/>
      </c>
    </row>
    <row r="735">
      <c r="A735">
        <f>IF($B735="","",IFERROR(IF(INDEX('Per Invoice'!$A$2:$A$801,MATCH($B735,'Per Invoice'!$B$2:$B$801,0))=0,"",INDEX('Per Invoice'!$A$2:$A$801,MATCH($B735,'Per Invoice'!$B$2:$B$801,0))),""))</f>
        <v/>
      </c>
      <c r="J735" s="7">
        <f>IF($B735="","",I735*Q735/100)</f>
        <v/>
      </c>
      <c r="N735" s="7" t="n"/>
      <c r="O735" s="7" t="n"/>
      <c r="P735" s="7">
        <f>IF($B735="","",O735*X735/100)</f>
        <v/>
      </c>
      <c r="Q735" s="7">
        <f>IF($B735="","",O735-P735)</f>
        <v/>
      </c>
      <c r="R735" s="7">
        <f>IF($B735="","",Q735-J735)</f>
        <v/>
      </c>
      <c r="S735" s="7" t="n"/>
      <c r="T735" s="7" t="n"/>
      <c r="V735" s="14" t="n"/>
      <c r="Z735">
        <f>IF($B735="","",IF(COUNTIF($B$2:$B735,$B735)=1,1,0))</f>
        <v/>
      </c>
      <c r="AA735">
        <f>IF($Z735=1,SUMPRODUCT(--($AC$2:$AC$3001&lt;$AC735))+1,"")</f>
        <v/>
      </c>
      <c r="AB735">
        <f>IF($B735="","",IF(OR($Y735=TRUE(),$Y735="TRUE"),1,IF(AND($Y735&lt;&gt;"",OR($Y735=FALSE(),$Y735="FALSE")),0,IF(MIN(ABS($X735/100-Settings!$C$6),ABS($X735/100-Settings!$G$6))&lt;=MIN(ABS($X735/100-Settings!$C$7),ABS($X735/100-Settings!$G$7)),1,0))))</f>
        <v/>
      </c>
      <c r="AC735">
        <f>IF($Z735=1,IFERROR(IF(VALUE($B735)&lt;100000000,VALUE($B735),1000000000),IFERROR(IF(VALUE(MID($B735,2,20))&lt;100000000,VALUE(MID($B735,2,20)),1000000000),1000000000))+ROW()/100000,"")</f>
        <v/>
      </c>
    </row>
    <row r="736">
      <c r="A736">
        <f>IF($B736="","",IFERROR(IF(INDEX('Per Invoice'!$A$2:$A$801,MATCH($B736,'Per Invoice'!$B$2:$B$801,0))=0,"",INDEX('Per Invoice'!$A$2:$A$801,MATCH($B736,'Per Invoice'!$B$2:$B$801,0))),""))</f>
        <v/>
      </c>
      <c r="J736" s="7">
        <f>IF($B736="","",I736*Q736/100)</f>
        <v/>
      </c>
      <c r="N736" s="7" t="n"/>
      <c r="O736" s="7" t="n"/>
      <c r="P736" s="7">
        <f>IF($B736="","",O736*X736/100)</f>
        <v/>
      </c>
      <c r="Q736" s="7">
        <f>IF($B736="","",O736-P736)</f>
        <v/>
      </c>
      <c r="R736" s="7">
        <f>IF($B736="","",Q736-J736)</f>
        <v/>
      </c>
      <c r="S736" s="7" t="n"/>
      <c r="T736" s="7" t="n"/>
      <c r="V736" s="14" t="n"/>
      <c r="Z736">
        <f>IF($B736="","",IF(COUNTIF($B$2:$B736,$B736)=1,1,0))</f>
        <v/>
      </c>
      <c r="AA736">
        <f>IF($Z736=1,SUMPRODUCT(--($AC$2:$AC$3001&lt;$AC736))+1,"")</f>
        <v/>
      </c>
      <c r="AB736">
        <f>IF($B736="","",IF(OR($Y736=TRUE(),$Y736="TRUE"),1,IF(AND($Y736&lt;&gt;"",OR($Y736=FALSE(),$Y736="FALSE")),0,IF(MIN(ABS($X736/100-Settings!$C$6),ABS($X736/100-Settings!$G$6))&lt;=MIN(ABS($X736/100-Settings!$C$7),ABS($X736/100-Settings!$G$7)),1,0))))</f>
        <v/>
      </c>
      <c r="AC736">
        <f>IF($Z736=1,IFERROR(IF(VALUE($B736)&lt;100000000,VALUE($B736),1000000000),IFERROR(IF(VALUE(MID($B736,2,20))&lt;100000000,VALUE(MID($B736,2,20)),1000000000),1000000000))+ROW()/100000,"")</f>
        <v/>
      </c>
    </row>
    <row r="737">
      <c r="A737">
        <f>IF($B737="","",IFERROR(IF(INDEX('Per Invoice'!$A$2:$A$801,MATCH($B737,'Per Invoice'!$B$2:$B$801,0))=0,"",INDEX('Per Invoice'!$A$2:$A$801,MATCH($B737,'Per Invoice'!$B$2:$B$801,0))),""))</f>
        <v/>
      </c>
      <c r="J737" s="7">
        <f>IF($B737="","",I737*Q737/100)</f>
        <v/>
      </c>
      <c r="N737" s="7" t="n"/>
      <c r="O737" s="7" t="n"/>
      <c r="P737" s="7">
        <f>IF($B737="","",O737*X737/100)</f>
        <v/>
      </c>
      <c r="Q737" s="7">
        <f>IF($B737="","",O737-P737)</f>
        <v/>
      </c>
      <c r="R737" s="7">
        <f>IF($B737="","",Q737-J737)</f>
        <v/>
      </c>
      <c r="S737" s="7" t="n"/>
      <c r="T737" s="7" t="n"/>
      <c r="V737" s="14" t="n"/>
      <c r="Z737">
        <f>IF($B737="","",IF(COUNTIF($B$2:$B737,$B737)=1,1,0))</f>
        <v/>
      </c>
      <c r="AA737">
        <f>IF($Z737=1,SUMPRODUCT(--($AC$2:$AC$3001&lt;$AC737))+1,"")</f>
        <v/>
      </c>
      <c r="AB737">
        <f>IF($B737="","",IF(OR($Y737=TRUE(),$Y737="TRUE"),1,IF(AND($Y737&lt;&gt;"",OR($Y737=FALSE(),$Y737="FALSE")),0,IF(MIN(ABS($X737/100-Settings!$C$6),ABS($X737/100-Settings!$G$6))&lt;=MIN(ABS($X737/100-Settings!$C$7),ABS($X737/100-Settings!$G$7)),1,0))))</f>
        <v/>
      </c>
      <c r="AC737">
        <f>IF($Z737=1,IFERROR(IF(VALUE($B737)&lt;100000000,VALUE($B737),1000000000),IFERROR(IF(VALUE(MID($B737,2,20))&lt;100000000,VALUE(MID($B737,2,20)),1000000000),1000000000))+ROW()/100000,"")</f>
        <v/>
      </c>
    </row>
    <row r="738">
      <c r="A738">
        <f>IF($B738="","",IFERROR(IF(INDEX('Per Invoice'!$A$2:$A$801,MATCH($B738,'Per Invoice'!$B$2:$B$801,0))=0,"",INDEX('Per Invoice'!$A$2:$A$801,MATCH($B738,'Per Invoice'!$B$2:$B$801,0))),""))</f>
        <v/>
      </c>
      <c r="J738" s="7">
        <f>IF($B738="","",I738*Q738/100)</f>
        <v/>
      </c>
      <c r="N738" s="7" t="n"/>
      <c r="O738" s="7" t="n"/>
      <c r="P738" s="7">
        <f>IF($B738="","",O738*X738/100)</f>
        <v/>
      </c>
      <c r="Q738" s="7">
        <f>IF($B738="","",O738-P738)</f>
        <v/>
      </c>
      <c r="R738" s="7">
        <f>IF($B738="","",Q738-J738)</f>
        <v/>
      </c>
      <c r="S738" s="7" t="n"/>
      <c r="T738" s="7" t="n"/>
      <c r="V738" s="14" t="n"/>
      <c r="Z738">
        <f>IF($B738="","",IF(COUNTIF($B$2:$B738,$B738)=1,1,0))</f>
        <v/>
      </c>
      <c r="AA738">
        <f>IF($Z738=1,SUMPRODUCT(--($AC$2:$AC$3001&lt;$AC738))+1,"")</f>
        <v/>
      </c>
      <c r="AB738">
        <f>IF($B738="","",IF(OR($Y738=TRUE(),$Y738="TRUE"),1,IF(AND($Y738&lt;&gt;"",OR($Y738=FALSE(),$Y738="FALSE")),0,IF(MIN(ABS($X738/100-Settings!$C$6),ABS($X738/100-Settings!$G$6))&lt;=MIN(ABS($X738/100-Settings!$C$7),ABS($X738/100-Settings!$G$7)),1,0))))</f>
        <v/>
      </c>
      <c r="AC738">
        <f>IF($Z738=1,IFERROR(IF(VALUE($B738)&lt;100000000,VALUE($B738),1000000000),IFERROR(IF(VALUE(MID($B738,2,20))&lt;100000000,VALUE(MID($B738,2,20)),1000000000),1000000000))+ROW()/100000,"")</f>
        <v/>
      </c>
    </row>
    <row r="739">
      <c r="A739">
        <f>IF($B739="","",IFERROR(IF(INDEX('Per Invoice'!$A$2:$A$801,MATCH($B739,'Per Invoice'!$B$2:$B$801,0))=0,"",INDEX('Per Invoice'!$A$2:$A$801,MATCH($B739,'Per Invoice'!$B$2:$B$801,0))),""))</f>
        <v/>
      </c>
      <c r="J739" s="7">
        <f>IF($B739="","",I739*Q739/100)</f>
        <v/>
      </c>
      <c r="N739" s="7" t="n"/>
      <c r="O739" s="7" t="n"/>
      <c r="P739" s="7">
        <f>IF($B739="","",O739*X739/100)</f>
        <v/>
      </c>
      <c r="Q739" s="7">
        <f>IF($B739="","",O739-P739)</f>
        <v/>
      </c>
      <c r="R739" s="7">
        <f>IF($B739="","",Q739-J739)</f>
        <v/>
      </c>
      <c r="S739" s="7" t="n"/>
      <c r="T739" s="7" t="n"/>
      <c r="V739" s="14" t="n"/>
      <c r="Z739">
        <f>IF($B739="","",IF(COUNTIF($B$2:$B739,$B739)=1,1,0))</f>
        <v/>
      </c>
      <c r="AA739">
        <f>IF($Z739=1,SUMPRODUCT(--($AC$2:$AC$3001&lt;$AC739))+1,"")</f>
        <v/>
      </c>
      <c r="AB739">
        <f>IF($B739="","",IF(OR($Y739=TRUE(),$Y739="TRUE"),1,IF(AND($Y739&lt;&gt;"",OR($Y739=FALSE(),$Y739="FALSE")),0,IF(MIN(ABS($X739/100-Settings!$C$6),ABS($X739/100-Settings!$G$6))&lt;=MIN(ABS($X739/100-Settings!$C$7),ABS($X739/100-Settings!$G$7)),1,0))))</f>
        <v/>
      </c>
      <c r="AC739">
        <f>IF($Z739=1,IFERROR(IF(VALUE($B739)&lt;100000000,VALUE($B739),1000000000),IFERROR(IF(VALUE(MID($B739,2,20))&lt;100000000,VALUE(MID($B739,2,20)),1000000000),1000000000))+ROW()/100000,"")</f>
        <v/>
      </c>
    </row>
    <row r="740">
      <c r="A740">
        <f>IF($B740="","",IFERROR(IF(INDEX('Per Invoice'!$A$2:$A$801,MATCH($B740,'Per Invoice'!$B$2:$B$801,0))=0,"",INDEX('Per Invoice'!$A$2:$A$801,MATCH($B740,'Per Invoice'!$B$2:$B$801,0))),""))</f>
        <v/>
      </c>
      <c r="J740" s="7">
        <f>IF($B740="","",I740*Q740/100)</f>
        <v/>
      </c>
      <c r="N740" s="7" t="n"/>
      <c r="O740" s="7" t="n"/>
      <c r="P740" s="7">
        <f>IF($B740="","",O740*X740/100)</f>
        <v/>
      </c>
      <c r="Q740" s="7">
        <f>IF($B740="","",O740-P740)</f>
        <v/>
      </c>
      <c r="R740" s="7">
        <f>IF($B740="","",Q740-J740)</f>
        <v/>
      </c>
      <c r="S740" s="7" t="n"/>
      <c r="T740" s="7" t="n"/>
      <c r="V740" s="14" t="n"/>
      <c r="Z740">
        <f>IF($B740="","",IF(COUNTIF($B$2:$B740,$B740)=1,1,0))</f>
        <v/>
      </c>
      <c r="AA740">
        <f>IF($Z740=1,SUMPRODUCT(--($AC$2:$AC$3001&lt;$AC740))+1,"")</f>
        <v/>
      </c>
      <c r="AB740">
        <f>IF($B740="","",IF(OR($Y740=TRUE(),$Y740="TRUE"),1,IF(AND($Y740&lt;&gt;"",OR($Y740=FALSE(),$Y740="FALSE")),0,IF(MIN(ABS($X740/100-Settings!$C$6),ABS($X740/100-Settings!$G$6))&lt;=MIN(ABS($X740/100-Settings!$C$7),ABS($X740/100-Settings!$G$7)),1,0))))</f>
        <v/>
      </c>
      <c r="AC740">
        <f>IF($Z740=1,IFERROR(IF(VALUE($B740)&lt;100000000,VALUE($B740),1000000000),IFERROR(IF(VALUE(MID($B740,2,20))&lt;100000000,VALUE(MID($B740,2,20)),1000000000),1000000000))+ROW()/100000,"")</f>
        <v/>
      </c>
    </row>
    <row r="741">
      <c r="A741">
        <f>IF($B741="","",IFERROR(IF(INDEX('Per Invoice'!$A$2:$A$801,MATCH($B741,'Per Invoice'!$B$2:$B$801,0))=0,"",INDEX('Per Invoice'!$A$2:$A$801,MATCH($B741,'Per Invoice'!$B$2:$B$801,0))),""))</f>
        <v/>
      </c>
      <c r="J741" s="7">
        <f>IF($B741="","",I741*Q741/100)</f>
        <v/>
      </c>
      <c r="N741" s="7" t="n"/>
      <c r="O741" s="7" t="n"/>
      <c r="P741" s="7">
        <f>IF($B741="","",O741*X741/100)</f>
        <v/>
      </c>
      <c r="Q741" s="7">
        <f>IF($B741="","",O741-P741)</f>
        <v/>
      </c>
      <c r="R741" s="7">
        <f>IF($B741="","",Q741-J741)</f>
        <v/>
      </c>
      <c r="S741" s="7" t="n"/>
      <c r="T741" s="7" t="n"/>
      <c r="V741" s="14" t="n"/>
      <c r="Z741">
        <f>IF($B741="","",IF(COUNTIF($B$2:$B741,$B741)=1,1,0))</f>
        <v/>
      </c>
      <c r="AA741">
        <f>IF($Z741=1,SUMPRODUCT(--($AC$2:$AC$3001&lt;$AC741))+1,"")</f>
        <v/>
      </c>
      <c r="AB741">
        <f>IF($B741="","",IF(OR($Y741=TRUE(),$Y741="TRUE"),1,IF(AND($Y741&lt;&gt;"",OR($Y741=FALSE(),$Y741="FALSE")),0,IF(MIN(ABS($X741/100-Settings!$C$6),ABS($X741/100-Settings!$G$6))&lt;=MIN(ABS($X741/100-Settings!$C$7),ABS($X741/100-Settings!$G$7)),1,0))))</f>
        <v/>
      </c>
      <c r="AC741">
        <f>IF($Z741=1,IFERROR(IF(VALUE($B741)&lt;100000000,VALUE($B741),1000000000),IFERROR(IF(VALUE(MID($B741,2,20))&lt;100000000,VALUE(MID($B741,2,20)),1000000000),1000000000))+ROW()/100000,"")</f>
        <v/>
      </c>
    </row>
    <row r="742">
      <c r="A742">
        <f>IF($B742="","",IFERROR(IF(INDEX('Per Invoice'!$A$2:$A$801,MATCH($B742,'Per Invoice'!$B$2:$B$801,0))=0,"",INDEX('Per Invoice'!$A$2:$A$801,MATCH($B742,'Per Invoice'!$B$2:$B$801,0))),""))</f>
        <v/>
      </c>
      <c r="J742" s="7">
        <f>IF($B742="","",I742*Q742/100)</f>
        <v/>
      </c>
      <c r="N742" s="7" t="n"/>
      <c r="O742" s="7" t="n"/>
      <c r="P742" s="7">
        <f>IF($B742="","",O742*X742/100)</f>
        <v/>
      </c>
      <c r="Q742" s="7">
        <f>IF($B742="","",O742-P742)</f>
        <v/>
      </c>
      <c r="R742" s="7">
        <f>IF($B742="","",Q742-J742)</f>
        <v/>
      </c>
      <c r="S742" s="7" t="n"/>
      <c r="T742" s="7" t="n"/>
      <c r="V742" s="14" t="n"/>
      <c r="Z742">
        <f>IF($B742="","",IF(COUNTIF($B$2:$B742,$B742)=1,1,0))</f>
        <v/>
      </c>
      <c r="AA742">
        <f>IF($Z742=1,SUMPRODUCT(--($AC$2:$AC$3001&lt;$AC742))+1,"")</f>
        <v/>
      </c>
      <c r="AB742">
        <f>IF($B742="","",IF(OR($Y742=TRUE(),$Y742="TRUE"),1,IF(AND($Y742&lt;&gt;"",OR($Y742=FALSE(),$Y742="FALSE")),0,IF(MIN(ABS($X742/100-Settings!$C$6),ABS($X742/100-Settings!$G$6))&lt;=MIN(ABS($X742/100-Settings!$C$7),ABS($X742/100-Settings!$G$7)),1,0))))</f>
        <v/>
      </c>
      <c r="AC742">
        <f>IF($Z742=1,IFERROR(IF(VALUE($B742)&lt;100000000,VALUE($B742),1000000000),IFERROR(IF(VALUE(MID($B742,2,20))&lt;100000000,VALUE(MID($B742,2,20)),1000000000),1000000000))+ROW()/100000,"")</f>
        <v/>
      </c>
    </row>
    <row r="743">
      <c r="A743">
        <f>IF($B743="","",IFERROR(IF(INDEX('Per Invoice'!$A$2:$A$801,MATCH($B743,'Per Invoice'!$B$2:$B$801,0))=0,"",INDEX('Per Invoice'!$A$2:$A$801,MATCH($B743,'Per Invoice'!$B$2:$B$801,0))),""))</f>
        <v/>
      </c>
      <c r="J743" s="7">
        <f>IF($B743="","",I743*Q743/100)</f>
        <v/>
      </c>
      <c r="N743" s="7" t="n"/>
      <c r="O743" s="7" t="n"/>
      <c r="P743" s="7">
        <f>IF($B743="","",O743*X743/100)</f>
        <v/>
      </c>
      <c r="Q743" s="7">
        <f>IF($B743="","",O743-P743)</f>
        <v/>
      </c>
      <c r="R743" s="7">
        <f>IF($B743="","",Q743-J743)</f>
        <v/>
      </c>
      <c r="S743" s="7" t="n"/>
      <c r="T743" s="7" t="n"/>
      <c r="V743" s="14" t="n"/>
      <c r="Z743">
        <f>IF($B743="","",IF(COUNTIF($B$2:$B743,$B743)=1,1,0))</f>
        <v/>
      </c>
      <c r="AA743">
        <f>IF($Z743=1,SUMPRODUCT(--($AC$2:$AC$3001&lt;$AC743))+1,"")</f>
        <v/>
      </c>
      <c r="AB743">
        <f>IF($B743="","",IF(OR($Y743=TRUE(),$Y743="TRUE"),1,IF(AND($Y743&lt;&gt;"",OR($Y743=FALSE(),$Y743="FALSE")),0,IF(MIN(ABS($X743/100-Settings!$C$6),ABS($X743/100-Settings!$G$6))&lt;=MIN(ABS($X743/100-Settings!$C$7),ABS($X743/100-Settings!$G$7)),1,0))))</f>
        <v/>
      </c>
      <c r="AC743">
        <f>IF($Z743=1,IFERROR(IF(VALUE($B743)&lt;100000000,VALUE($B743),1000000000),IFERROR(IF(VALUE(MID($B743,2,20))&lt;100000000,VALUE(MID($B743,2,20)),1000000000),1000000000))+ROW()/100000,"")</f>
        <v/>
      </c>
    </row>
    <row r="744">
      <c r="A744">
        <f>IF($B744="","",IFERROR(IF(INDEX('Per Invoice'!$A$2:$A$801,MATCH($B744,'Per Invoice'!$B$2:$B$801,0))=0,"",INDEX('Per Invoice'!$A$2:$A$801,MATCH($B744,'Per Invoice'!$B$2:$B$801,0))),""))</f>
        <v/>
      </c>
      <c r="J744" s="7">
        <f>IF($B744="","",I744*Q744/100)</f>
        <v/>
      </c>
      <c r="N744" s="7" t="n"/>
      <c r="O744" s="7" t="n"/>
      <c r="P744" s="7">
        <f>IF($B744="","",O744*X744/100)</f>
        <v/>
      </c>
      <c r="Q744" s="7">
        <f>IF($B744="","",O744-P744)</f>
        <v/>
      </c>
      <c r="R744" s="7">
        <f>IF($B744="","",Q744-J744)</f>
        <v/>
      </c>
      <c r="S744" s="7" t="n"/>
      <c r="T744" s="7" t="n"/>
      <c r="V744" s="14" t="n"/>
      <c r="Z744">
        <f>IF($B744="","",IF(COUNTIF($B$2:$B744,$B744)=1,1,0))</f>
        <v/>
      </c>
      <c r="AA744">
        <f>IF($Z744=1,SUMPRODUCT(--($AC$2:$AC$3001&lt;$AC744))+1,"")</f>
        <v/>
      </c>
      <c r="AB744">
        <f>IF($B744="","",IF(OR($Y744=TRUE(),$Y744="TRUE"),1,IF(AND($Y744&lt;&gt;"",OR($Y744=FALSE(),$Y744="FALSE")),0,IF(MIN(ABS($X744/100-Settings!$C$6),ABS($X744/100-Settings!$G$6))&lt;=MIN(ABS($X744/100-Settings!$C$7),ABS($X744/100-Settings!$G$7)),1,0))))</f>
        <v/>
      </c>
      <c r="AC744">
        <f>IF($Z744=1,IFERROR(IF(VALUE($B744)&lt;100000000,VALUE($B744),1000000000),IFERROR(IF(VALUE(MID($B744,2,20))&lt;100000000,VALUE(MID($B744,2,20)),1000000000),1000000000))+ROW()/100000,"")</f>
        <v/>
      </c>
    </row>
    <row r="745">
      <c r="A745">
        <f>IF($B745="","",IFERROR(IF(INDEX('Per Invoice'!$A$2:$A$801,MATCH($B745,'Per Invoice'!$B$2:$B$801,0))=0,"",INDEX('Per Invoice'!$A$2:$A$801,MATCH($B745,'Per Invoice'!$B$2:$B$801,0))),""))</f>
        <v/>
      </c>
      <c r="J745" s="7">
        <f>IF($B745="","",I745*Q745/100)</f>
        <v/>
      </c>
      <c r="N745" s="7" t="n"/>
      <c r="O745" s="7" t="n"/>
      <c r="P745" s="7">
        <f>IF($B745="","",O745*X745/100)</f>
        <v/>
      </c>
      <c r="Q745" s="7">
        <f>IF($B745="","",O745-P745)</f>
        <v/>
      </c>
      <c r="R745" s="7">
        <f>IF($B745="","",Q745-J745)</f>
        <v/>
      </c>
      <c r="S745" s="7" t="n"/>
      <c r="T745" s="7" t="n"/>
      <c r="V745" s="14" t="n"/>
      <c r="Z745">
        <f>IF($B745="","",IF(COUNTIF($B$2:$B745,$B745)=1,1,0))</f>
        <v/>
      </c>
      <c r="AA745">
        <f>IF($Z745=1,SUMPRODUCT(--($AC$2:$AC$3001&lt;$AC745))+1,"")</f>
        <v/>
      </c>
      <c r="AB745">
        <f>IF($B745="","",IF(OR($Y745=TRUE(),$Y745="TRUE"),1,IF(AND($Y745&lt;&gt;"",OR($Y745=FALSE(),$Y745="FALSE")),0,IF(MIN(ABS($X745/100-Settings!$C$6),ABS($X745/100-Settings!$G$6))&lt;=MIN(ABS($X745/100-Settings!$C$7),ABS($X745/100-Settings!$G$7)),1,0))))</f>
        <v/>
      </c>
      <c r="AC745">
        <f>IF($Z745=1,IFERROR(IF(VALUE($B745)&lt;100000000,VALUE($B745),1000000000),IFERROR(IF(VALUE(MID($B745,2,20))&lt;100000000,VALUE(MID($B745,2,20)),1000000000),1000000000))+ROW()/100000,"")</f>
        <v/>
      </c>
    </row>
    <row r="746">
      <c r="A746">
        <f>IF($B746="","",IFERROR(IF(INDEX('Per Invoice'!$A$2:$A$801,MATCH($B746,'Per Invoice'!$B$2:$B$801,0))=0,"",INDEX('Per Invoice'!$A$2:$A$801,MATCH($B746,'Per Invoice'!$B$2:$B$801,0))),""))</f>
        <v/>
      </c>
      <c r="J746" s="7">
        <f>IF($B746="","",I746*Q746/100)</f>
        <v/>
      </c>
      <c r="N746" s="7" t="n"/>
      <c r="O746" s="7" t="n"/>
      <c r="P746" s="7">
        <f>IF($B746="","",O746*X746/100)</f>
        <v/>
      </c>
      <c r="Q746" s="7">
        <f>IF($B746="","",O746-P746)</f>
        <v/>
      </c>
      <c r="R746" s="7">
        <f>IF($B746="","",Q746-J746)</f>
        <v/>
      </c>
      <c r="S746" s="7" t="n"/>
      <c r="T746" s="7" t="n"/>
      <c r="V746" s="14" t="n"/>
      <c r="Z746">
        <f>IF($B746="","",IF(COUNTIF($B$2:$B746,$B746)=1,1,0))</f>
        <v/>
      </c>
      <c r="AA746">
        <f>IF($Z746=1,SUMPRODUCT(--($AC$2:$AC$3001&lt;$AC746))+1,"")</f>
        <v/>
      </c>
      <c r="AB746">
        <f>IF($B746="","",IF(OR($Y746=TRUE(),$Y746="TRUE"),1,IF(AND($Y746&lt;&gt;"",OR($Y746=FALSE(),$Y746="FALSE")),0,IF(MIN(ABS($X746/100-Settings!$C$6),ABS($X746/100-Settings!$G$6))&lt;=MIN(ABS($X746/100-Settings!$C$7),ABS($X746/100-Settings!$G$7)),1,0))))</f>
        <v/>
      </c>
      <c r="AC746">
        <f>IF($Z746=1,IFERROR(IF(VALUE($B746)&lt;100000000,VALUE($B746),1000000000),IFERROR(IF(VALUE(MID($B746,2,20))&lt;100000000,VALUE(MID($B746,2,20)),1000000000),1000000000))+ROW()/100000,"")</f>
        <v/>
      </c>
    </row>
    <row r="747">
      <c r="A747">
        <f>IF($B747="","",IFERROR(IF(INDEX('Per Invoice'!$A$2:$A$801,MATCH($B747,'Per Invoice'!$B$2:$B$801,0))=0,"",INDEX('Per Invoice'!$A$2:$A$801,MATCH($B747,'Per Invoice'!$B$2:$B$801,0))),""))</f>
        <v/>
      </c>
      <c r="J747" s="7">
        <f>IF($B747="","",I747*Q747/100)</f>
        <v/>
      </c>
      <c r="N747" s="7" t="n"/>
      <c r="O747" s="7" t="n"/>
      <c r="P747" s="7">
        <f>IF($B747="","",O747*X747/100)</f>
        <v/>
      </c>
      <c r="Q747" s="7">
        <f>IF($B747="","",O747-P747)</f>
        <v/>
      </c>
      <c r="R747" s="7">
        <f>IF($B747="","",Q747-J747)</f>
        <v/>
      </c>
      <c r="S747" s="7" t="n"/>
      <c r="T747" s="7" t="n"/>
      <c r="V747" s="14" t="n"/>
      <c r="Z747">
        <f>IF($B747="","",IF(COUNTIF($B$2:$B747,$B747)=1,1,0))</f>
        <v/>
      </c>
      <c r="AA747">
        <f>IF($Z747=1,SUMPRODUCT(--($AC$2:$AC$3001&lt;$AC747))+1,"")</f>
        <v/>
      </c>
      <c r="AB747">
        <f>IF($B747="","",IF(OR($Y747=TRUE(),$Y747="TRUE"),1,IF(AND($Y747&lt;&gt;"",OR($Y747=FALSE(),$Y747="FALSE")),0,IF(MIN(ABS($X747/100-Settings!$C$6),ABS($X747/100-Settings!$G$6))&lt;=MIN(ABS($X747/100-Settings!$C$7),ABS($X747/100-Settings!$G$7)),1,0))))</f>
        <v/>
      </c>
      <c r="AC747">
        <f>IF($Z747=1,IFERROR(IF(VALUE($B747)&lt;100000000,VALUE($B747),1000000000),IFERROR(IF(VALUE(MID($B747,2,20))&lt;100000000,VALUE(MID($B747,2,20)),1000000000),1000000000))+ROW()/100000,"")</f>
        <v/>
      </c>
    </row>
    <row r="748">
      <c r="A748">
        <f>IF($B748="","",IFERROR(IF(INDEX('Per Invoice'!$A$2:$A$801,MATCH($B748,'Per Invoice'!$B$2:$B$801,0))=0,"",INDEX('Per Invoice'!$A$2:$A$801,MATCH($B748,'Per Invoice'!$B$2:$B$801,0))),""))</f>
        <v/>
      </c>
      <c r="J748" s="7">
        <f>IF($B748="","",I748*Q748/100)</f>
        <v/>
      </c>
      <c r="N748" s="7" t="n"/>
      <c r="O748" s="7" t="n"/>
      <c r="P748" s="7">
        <f>IF($B748="","",O748*X748/100)</f>
        <v/>
      </c>
      <c r="Q748" s="7">
        <f>IF($B748="","",O748-P748)</f>
        <v/>
      </c>
      <c r="R748" s="7">
        <f>IF($B748="","",Q748-J748)</f>
        <v/>
      </c>
      <c r="S748" s="7" t="n"/>
      <c r="T748" s="7" t="n"/>
      <c r="V748" s="14" t="n"/>
      <c r="Z748">
        <f>IF($B748="","",IF(COUNTIF($B$2:$B748,$B748)=1,1,0))</f>
        <v/>
      </c>
      <c r="AA748">
        <f>IF($Z748=1,SUMPRODUCT(--($AC$2:$AC$3001&lt;$AC748))+1,"")</f>
        <v/>
      </c>
      <c r="AB748">
        <f>IF($B748="","",IF(OR($Y748=TRUE(),$Y748="TRUE"),1,IF(AND($Y748&lt;&gt;"",OR($Y748=FALSE(),$Y748="FALSE")),0,IF(MIN(ABS($X748/100-Settings!$C$6),ABS($X748/100-Settings!$G$6))&lt;=MIN(ABS($X748/100-Settings!$C$7),ABS($X748/100-Settings!$G$7)),1,0))))</f>
        <v/>
      </c>
      <c r="AC748">
        <f>IF($Z748=1,IFERROR(IF(VALUE($B748)&lt;100000000,VALUE($B748),1000000000),IFERROR(IF(VALUE(MID($B748,2,20))&lt;100000000,VALUE(MID($B748,2,20)),1000000000),1000000000))+ROW()/100000,"")</f>
        <v/>
      </c>
    </row>
    <row r="749">
      <c r="A749">
        <f>IF($B749="","",IFERROR(IF(INDEX('Per Invoice'!$A$2:$A$801,MATCH($B749,'Per Invoice'!$B$2:$B$801,0))=0,"",INDEX('Per Invoice'!$A$2:$A$801,MATCH($B749,'Per Invoice'!$B$2:$B$801,0))),""))</f>
        <v/>
      </c>
      <c r="J749" s="7">
        <f>IF($B749="","",I749*Q749/100)</f>
        <v/>
      </c>
      <c r="N749" s="7" t="n"/>
      <c r="O749" s="7" t="n"/>
      <c r="P749" s="7">
        <f>IF($B749="","",O749*X749/100)</f>
        <v/>
      </c>
      <c r="Q749" s="7">
        <f>IF($B749="","",O749-P749)</f>
        <v/>
      </c>
      <c r="R749" s="7">
        <f>IF($B749="","",Q749-J749)</f>
        <v/>
      </c>
      <c r="S749" s="7" t="n"/>
      <c r="T749" s="7" t="n"/>
      <c r="V749" s="14" t="n"/>
      <c r="Z749">
        <f>IF($B749="","",IF(COUNTIF($B$2:$B749,$B749)=1,1,0))</f>
        <v/>
      </c>
      <c r="AA749">
        <f>IF($Z749=1,SUMPRODUCT(--($AC$2:$AC$3001&lt;$AC749))+1,"")</f>
        <v/>
      </c>
      <c r="AB749">
        <f>IF($B749="","",IF(OR($Y749=TRUE(),$Y749="TRUE"),1,IF(AND($Y749&lt;&gt;"",OR($Y749=FALSE(),$Y749="FALSE")),0,IF(MIN(ABS($X749/100-Settings!$C$6),ABS($X749/100-Settings!$G$6))&lt;=MIN(ABS($X749/100-Settings!$C$7),ABS($X749/100-Settings!$G$7)),1,0))))</f>
        <v/>
      </c>
      <c r="AC749">
        <f>IF($Z749=1,IFERROR(IF(VALUE($B749)&lt;100000000,VALUE($B749),1000000000),IFERROR(IF(VALUE(MID($B749,2,20))&lt;100000000,VALUE(MID($B749,2,20)),1000000000),1000000000))+ROW()/100000,"")</f>
        <v/>
      </c>
    </row>
    <row r="750">
      <c r="A750">
        <f>IF($B750="","",IFERROR(IF(INDEX('Per Invoice'!$A$2:$A$801,MATCH($B750,'Per Invoice'!$B$2:$B$801,0))=0,"",INDEX('Per Invoice'!$A$2:$A$801,MATCH($B750,'Per Invoice'!$B$2:$B$801,0))),""))</f>
        <v/>
      </c>
      <c r="J750" s="7">
        <f>IF($B750="","",I750*Q750/100)</f>
        <v/>
      </c>
      <c r="N750" s="7" t="n"/>
      <c r="O750" s="7" t="n"/>
      <c r="P750" s="7">
        <f>IF($B750="","",O750*X750/100)</f>
        <v/>
      </c>
      <c r="Q750" s="7">
        <f>IF($B750="","",O750-P750)</f>
        <v/>
      </c>
      <c r="R750" s="7">
        <f>IF($B750="","",Q750-J750)</f>
        <v/>
      </c>
      <c r="S750" s="7" t="n"/>
      <c r="T750" s="7" t="n"/>
      <c r="V750" s="14" t="n"/>
      <c r="Z750">
        <f>IF($B750="","",IF(COUNTIF($B$2:$B750,$B750)=1,1,0))</f>
        <v/>
      </c>
      <c r="AA750">
        <f>IF($Z750=1,SUMPRODUCT(--($AC$2:$AC$3001&lt;$AC750))+1,"")</f>
        <v/>
      </c>
      <c r="AB750">
        <f>IF($B750="","",IF(OR($Y750=TRUE(),$Y750="TRUE"),1,IF(AND($Y750&lt;&gt;"",OR($Y750=FALSE(),$Y750="FALSE")),0,IF(MIN(ABS($X750/100-Settings!$C$6),ABS($X750/100-Settings!$G$6))&lt;=MIN(ABS($X750/100-Settings!$C$7),ABS($X750/100-Settings!$G$7)),1,0))))</f>
        <v/>
      </c>
      <c r="AC750">
        <f>IF($Z750=1,IFERROR(IF(VALUE($B750)&lt;100000000,VALUE($B750),1000000000),IFERROR(IF(VALUE(MID($B750,2,20))&lt;100000000,VALUE(MID($B750,2,20)),1000000000),1000000000))+ROW()/100000,"")</f>
        <v/>
      </c>
    </row>
    <row r="751">
      <c r="A751">
        <f>IF($B751="","",IFERROR(IF(INDEX('Per Invoice'!$A$2:$A$801,MATCH($B751,'Per Invoice'!$B$2:$B$801,0))=0,"",INDEX('Per Invoice'!$A$2:$A$801,MATCH($B751,'Per Invoice'!$B$2:$B$801,0))),""))</f>
        <v/>
      </c>
      <c r="J751" s="7">
        <f>IF($B751="","",I751*Q751/100)</f>
        <v/>
      </c>
      <c r="N751" s="7" t="n"/>
      <c r="O751" s="7" t="n"/>
      <c r="P751" s="7">
        <f>IF($B751="","",O751*X751/100)</f>
        <v/>
      </c>
      <c r="Q751" s="7">
        <f>IF($B751="","",O751-P751)</f>
        <v/>
      </c>
      <c r="R751" s="7">
        <f>IF($B751="","",Q751-J751)</f>
        <v/>
      </c>
      <c r="S751" s="7" t="n"/>
      <c r="T751" s="7" t="n"/>
      <c r="V751" s="14" t="n"/>
      <c r="Z751">
        <f>IF($B751="","",IF(COUNTIF($B$2:$B751,$B751)=1,1,0))</f>
        <v/>
      </c>
      <c r="AA751">
        <f>IF($Z751=1,SUMPRODUCT(--($AC$2:$AC$3001&lt;$AC751))+1,"")</f>
        <v/>
      </c>
      <c r="AB751">
        <f>IF($B751="","",IF(OR($Y751=TRUE(),$Y751="TRUE"),1,IF(AND($Y751&lt;&gt;"",OR($Y751=FALSE(),$Y751="FALSE")),0,IF(MIN(ABS($X751/100-Settings!$C$6),ABS($X751/100-Settings!$G$6))&lt;=MIN(ABS($X751/100-Settings!$C$7),ABS($X751/100-Settings!$G$7)),1,0))))</f>
        <v/>
      </c>
      <c r="AC751">
        <f>IF($Z751=1,IFERROR(IF(VALUE($B751)&lt;100000000,VALUE($B751),1000000000),IFERROR(IF(VALUE(MID($B751,2,20))&lt;100000000,VALUE(MID($B751,2,20)),1000000000),1000000000))+ROW()/100000,"")</f>
        <v/>
      </c>
    </row>
    <row r="752">
      <c r="A752">
        <f>IF($B752="","",IFERROR(IF(INDEX('Per Invoice'!$A$2:$A$801,MATCH($B752,'Per Invoice'!$B$2:$B$801,0))=0,"",INDEX('Per Invoice'!$A$2:$A$801,MATCH($B752,'Per Invoice'!$B$2:$B$801,0))),""))</f>
        <v/>
      </c>
      <c r="J752" s="7">
        <f>IF($B752="","",I752*Q752/100)</f>
        <v/>
      </c>
      <c r="N752" s="7" t="n"/>
      <c r="O752" s="7" t="n"/>
      <c r="P752" s="7">
        <f>IF($B752="","",O752*X752/100)</f>
        <v/>
      </c>
      <c r="Q752" s="7">
        <f>IF($B752="","",O752-P752)</f>
        <v/>
      </c>
      <c r="R752" s="7">
        <f>IF($B752="","",Q752-J752)</f>
        <v/>
      </c>
      <c r="S752" s="7" t="n"/>
      <c r="T752" s="7" t="n"/>
      <c r="V752" s="14" t="n"/>
      <c r="Z752">
        <f>IF($B752="","",IF(COUNTIF($B$2:$B752,$B752)=1,1,0))</f>
        <v/>
      </c>
      <c r="AA752">
        <f>IF($Z752=1,SUMPRODUCT(--($AC$2:$AC$3001&lt;$AC752))+1,"")</f>
        <v/>
      </c>
      <c r="AB752">
        <f>IF($B752="","",IF(OR($Y752=TRUE(),$Y752="TRUE"),1,IF(AND($Y752&lt;&gt;"",OR($Y752=FALSE(),$Y752="FALSE")),0,IF(MIN(ABS($X752/100-Settings!$C$6),ABS($X752/100-Settings!$G$6))&lt;=MIN(ABS($X752/100-Settings!$C$7),ABS($X752/100-Settings!$G$7)),1,0))))</f>
        <v/>
      </c>
      <c r="AC752">
        <f>IF($Z752=1,IFERROR(IF(VALUE($B752)&lt;100000000,VALUE($B752),1000000000),IFERROR(IF(VALUE(MID($B752,2,20))&lt;100000000,VALUE(MID($B752,2,20)),1000000000),1000000000))+ROW()/100000,"")</f>
        <v/>
      </c>
    </row>
    <row r="753">
      <c r="A753">
        <f>IF($B753="","",IFERROR(IF(INDEX('Per Invoice'!$A$2:$A$801,MATCH($B753,'Per Invoice'!$B$2:$B$801,0))=0,"",INDEX('Per Invoice'!$A$2:$A$801,MATCH($B753,'Per Invoice'!$B$2:$B$801,0))),""))</f>
        <v/>
      </c>
      <c r="J753" s="7">
        <f>IF($B753="","",I753*Q753/100)</f>
        <v/>
      </c>
      <c r="N753" s="7" t="n"/>
      <c r="O753" s="7" t="n"/>
      <c r="P753" s="7">
        <f>IF($B753="","",O753*X753/100)</f>
        <v/>
      </c>
      <c r="Q753" s="7">
        <f>IF($B753="","",O753-P753)</f>
        <v/>
      </c>
      <c r="R753" s="7">
        <f>IF($B753="","",Q753-J753)</f>
        <v/>
      </c>
      <c r="S753" s="7" t="n"/>
      <c r="T753" s="7" t="n"/>
      <c r="V753" s="14" t="n"/>
      <c r="Z753">
        <f>IF($B753="","",IF(COUNTIF($B$2:$B753,$B753)=1,1,0))</f>
        <v/>
      </c>
      <c r="AA753">
        <f>IF($Z753=1,SUMPRODUCT(--($AC$2:$AC$3001&lt;$AC753))+1,"")</f>
        <v/>
      </c>
      <c r="AB753">
        <f>IF($B753="","",IF(OR($Y753=TRUE(),$Y753="TRUE"),1,IF(AND($Y753&lt;&gt;"",OR($Y753=FALSE(),$Y753="FALSE")),0,IF(MIN(ABS($X753/100-Settings!$C$6),ABS($X753/100-Settings!$G$6))&lt;=MIN(ABS($X753/100-Settings!$C$7),ABS($X753/100-Settings!$G$7)),1,0))))</f>
        <v/>
      </c>
      <c r="AC753">
        <f>IF($Z753=1,IFERROR(IF(VALUE($B753)&lt;100000000,VALUE($B753),1000000000),IFERROR(IF(VALUE(MID($B753,2,20))&lt;100000000,VALUE(MID($B753,2,20)),1000000000),1000000000))+ROW()/100000,"")</f>
        <v/>
      </c>
    </row>
    <row r="754">
      <c r="A754">
        <f>IF($B754="","",IFERROR(IF(INDEX('Per Invoice'!$A$2:$A$801,MATCH($B754,'Per Invoice'!$B$2:$B$801,0))=0,"",INDEX('Per Invoice'!$A$2:$A$801,MATCH($B754,'Per Invoice'!$B$2:$B$801,0))),""))</f>
        <v/>
      </c>
      <c r="J754" s="7">
        <f>IF($B754="","",I754*Q754/100)</f>
        <v/>
      </c>
      <c r="N754" s="7" t="n"/>
      <c r="O754" s="7" t="n"/>
      <c r="P754" s="7">
        <f>IF($B754="","",O754*X754/100)</f>
        <v/>
      </c>
      <c r="Q754" s="7">
        <f>IF($B754="","",O754-P754)</f>
        <v/>
      </c>
      <c r="R754" s="7">
        <f>IF($B754="","",Q754-J754)</f>
        <v/>
      </c>
      <c r="S754" s="7" t="n"/>
      <c r="T754" s="7" t="n"/>
      <c r="V754" s="14" t="n"/>
      <c r="Z754">
        <f>IF($B754="","",IF(COUNTIF($B$2:$B754,$B754)=1,1,0))</f>
        <v/>
      </c>
      <c r="AA754">
        <f>IF($Z754=1,SUMPRODUCT(--($AC$2:$AC$3001&lt;$AC754))+1,"")</f>
        <v/>
      </c>
      <c r="AB754">
        <f>IF($B754="","",IF(OR($Y754=TRUE(),$Y754="TRUE"),1,IF(AND($Y754&lt;&gt;"",OR($Y754=FALSE(),$Y754="FALSE")),0,IF(MIN(ABS($X754/100-Settings!$C$6),ABS($X754/100-Settings!$G$6))&lt;=MIN(ABS($X754/100-Settings!$C$7),ABS($X754/100-Settings!$G$7)),1,0))))</f>
        <v/>
      </c>
      <c r="AC754">
        <f>IF($Z754=1,IFERROR(IF(VALUE($B754)&lt;100000000,VALUE($B754),1000000000),IFERROR(IF(VALUE(MID($B754,2,20))&lt;100000000,VALUE(MID($B754,2,20)),1000000000),1000000000))+ROW()/100000,"")</f>
        <v/>
      </c>
    </row>
    <row r="755">
      <c r="A755">
        <f>IF($B755="","",IFERROR(IF(INDEX('Per Invoice'!$A$2:$A$801,MATCH($B755,'Per Invoice'!$B$2:$B$801,0))=0,"",INDEX('Per Invoice'!$A$2:$A$801,MATCH($B755,'Per Invoice'!$B$2:$B$801,0))),""))</f>
        <v/>
      </c>
      <c r="J755" s="7">
        <f>IF($B755="","",I755*Q755/100)</f>
        <v/>
      </c>
      <c r="N755" s="7" t="n"/>
      <c r="O755" s="7" t="n"/>
      <c r="P755" s="7">
        <f>IF($B755="","",O755*X755/100)</f>
        <v/>
      </c>
      <c r="Q755" s="7">
        <f>IF($B755="","",O755-P755)</f>
        <v/>
      </c>
      <c r="R755" s="7">
        <f>IF($B755="","",Q755-J755)</f>
        <v/>
      </c>
      <c r="S755" s="7" t="n"/>
      <c r="T755" s="7" t="n"/>
      <c r="V755" s="14" t="n"/>
      <c r="Z755">
        <f>IF($B755="","",IF(COUNTIF($B$2:$B755,$B755)=1,1,0))</f>
        <v/>
      </c>
      <c r="AA755">
        <f>IF($Z755=1,SUMPRODUCT(--($AC$2:$AC$3001&lt;$AC755))+1,"")</f>
        <v/>
      </c>
      <c r="AB755">
        <f>IF($B755="","",IF(OR($Y755=TRUE(),$Y755="TRUE"),1,IF(AND($Y755&lt;&gt;"",OR($Y755=FALSE(),$Y755="FALSE")),0,IF(MIN(ABS($X755/100-Settings!$C$6),ABS($X755/100-Settings!$G$6))&lt;=MIN(ABS($X755/100-Settings!$C$7),ABS($X755/100-Settings!$G$7)),1,0))))</f>
        <v/>
      </c>
      <c r="AC755">
        <f>IF($Z755=1,IFERROR(IF(VALUE($B755)&lt;100000000,VALUE($B755),1000000000),IFERROR(IF(VALUE(MID($B755,2,20))&lt;100000000,VALUE(MID($B755,2,20)),1000000000),1000000000))+ROW()/100000,"")</f>
        <v/>
      </c>
    </row>
    <row r="756">
      <c r="A756">
        <f>IF($B756="","",IFERROR(IF(INDEX('Per Invoice'!$A$2:$A$801,MATCH($B756,'Per Invoice'!$B$2:$B$801,0))=0,"",INDEX('Per Invoice'!$A$2:$A$801,MATCH($B756,'Per Invoice'!$B$2:$B$801,0))),""))</f>
        <v/>
      </c>
      <c r="J756" s="7">
        <f>IF($B756="","",I756*Q756/100)</f>
        <v/>
      </c>
      <c r="N756" s="7" t="n"/>
      <c r="O756" s="7" t="n"/>
      <c r="P756" s="7">
        <f>IF($B756="","",O756*X756/100)</f>
        <v/>
      </c>
      <c r="Q756" s="7">
        <f>IF($B756="","",O756-P756)</f>
        <v/>
      </c>
      <c r="R756" s="7">
        <f>IF($B756="","",Q756-J756)</f>
        <v/>
      </c>
      <c r="S756" s="7" t="n"/>
      <c r="T756" s="7" t="n"/>
      <c r="V756" s="14" t="n"/>
      <c r="Z756">
        <f>IF($B756="","",IF(COUNTIF($B$2:$B756,$B756)=1,1,0))</f>
        <v/>
      </c>
      <c r="AA756">
        <f>IF($Z756=1,SUMPRODUCT(--($AC$2:$AC$3001&lt;$AC756))+1,"")</f>
        <v/>
      </c>
      <c r="AB756">
        <f>IF($B756="","",IF(OR($Y756=TRUE(),$Y756="TRUE"),1,IF(AND($Y756&lt;&gt;"",OR($Y756=FALSE(),$Y756="FALSE")),0,IF(MIN(ABS($X756/100-Settings!$C$6),ABS($X756/100-Settings!$G$6))&lt;=MIN(ABS($X756/100-Settings!$C$7),ABS($X756/100-Settings!$G$7)),1,0))))</f>
        <v/>
      </c>
      <c r="AC756">
        <f>IF($Z756=1,IFERROR(IF(VALUE($B756)&lt;100000000,VALUE($B756),1000000000),IFERROR(IF(VALUE(MID($B756,2,20))&lt;100000000,VALUE(MID($B756,2,20)),1000000000),1000000000))+ROW()/100000,"")</f>
        <v/>
      </c>
    </row>
    <row r="757">
      <c r="A757">
        <f>IF($B757="","",IFERROR(IF(INDEX('Per Invoice'!$A$2:$A$801,MATCH($B757,'Per Invoice'!$B$2:$B$801,0))=0,"",INDEX('Per Invoice'!$A$2:$A$801,MATCH($B757,'Per Invoice'!$B$2:$B$801,0))),""))</f>
        <v/>
      </c>
      <c r="J757" s="7">
        <f>IF($B757="","",I757*Q757/100)</f>
        <v/>
      </c>
      <c r="N757" s="7" t="n"/>
      <c r="O757" s="7" t="n"/>
      <c r="P757" s="7">
        <f>IF($B757="","",O757*X757/100)</f>
        <v/>
      </c>
      <c r="Q757" s="7">
        <f>IF($B757="","",O757-P757)</f>
        <v/>
      </c>
      <c r="R757" s="7">
        <f>IF($B757="","",Q757-J757)</f>
        <v/>
      </c>
      <c r="S757" s="7" t="n"/>
      <c r="T757" s="7" t="n"/>
      <c r="V757" s="14" t="n"/>
      <c r="Z757">
        <f>IF($B757="","",IF(COUNTIF($B$2:$B757,$B757)=1,1,0))</f>
        <v/>
      </c>
      <c r="AA757">
        <f>IF($Z757=1,SUMPRODUCT(--($AC$2:$AC$3001&lt;$AC757))+1,"")</f>
        <v/>
      </c>
      <c r="AB757">
        <f>IF($B757="","",IF(OR($Y757=TRUE(),$Y757="TRUE"),1,IF(AND($Y757&lt;&gt;"",OR($Y757=FALSE(),$Y757="FALSE")),0,IF(MIN(ABS($X757/100-Settings!$C$6),ABS($X757/100-Settings!$G$6))&lt;=MIN(ABS($X757/100-Settings!$C$7),ABS($X757/100-Settings!$G$7)),1,0))))</f>
        <v/>
      </c>
      <c r="AC757">
        <f>IF($Z757=1,IFERROR(IF(VALUE($B757)&lt;100000000,VALUE($B757),1000000000),IFERROR(IF(VALUE(MID($B757,2,20))&lt;100000000,VALUE(MID($B757,2,20)),1000000000),1000000000))+ROW()/100000,"")</f>
        <v/>
      </c>
    </row>
    <row r="758">
      <c r="A758">
        <f>IF($B758="","",IFERROR(IF(INDEX('Per Invoice'!$A$2:$A$801,MATCH($B758,'Per Invoice'!$B$2:$B$801,0))=0,"",INDEX('Per Invoice'!$A$2:$A$801,MATCH($B758,'Per Invoice'!$B$2:$B$801,0))),""))</f>
        <v/>
      </c>
      <c r="J758" s="7">
        <f>IF($B758="","",I758*Q758/100)</f>
        <v/>
      </c>
      <c r="N758" s="7" t="n"/>
      <c r="O758" s="7" t="n"/>
      <c r="P758" s="7">
        <f>IF($B758="","",O758*X758/100)</f>
        <v/>
      </c>
      <c r="Q758" s="7">
        <f>IF($B758="","",O758-P758)</f>
        <v/>
      </c>
      <c r="R758" s="7">
        <f>IF($B758="","",Q758-J758)</f>
        <v/>
      </c>
      <c r="S758" s="7" t="n"/>
      <c r="T758" s="7" t="n"/>
      <c r="V758" s="14" t="n"/>
      <c r="Z758">
        <f>IF($B758="","",IF(COUNTIF($B$2:$B758,$B758)=1,1,0))</f>
        <v/>
      </c>
      <c r="AA758">
        <f>IF($Z758=1,SUMPRODUCT(--($AC$2:$AC$3001&lt;$AC758))+1,"")</f>
        <v/>
      </c>
      <c r="AB758">
        <f>IF($B758="","",IF(OR($Y758=TRUE(),$Y758="TRUE"),1,IF(AND($Y758&lt;&gt;"",OR($Y758=FALSE(),$Y758="FALSE")),0,IF(MIN(ABS($X758/100-Settings!$C$6),ABS($X758/100-Settings!$G$6))&lt;=MIN(ABS($X758/100-Settings!$C$7),ABS($X758/100-Settings!$G$7)),1,0))))</f>
        <v/>
      </c>
      <c r="AC758">
        <f>IF($Z758=1,IFERROR(IF(VALUE($B758)&lt;100000000,VALUE($B758),1000000000),IFERROR(IF(VALUE(MID($B758,2,20))&lt;100000000,VALUE(MID($B758,2,20)),1000000000),1000000000))+ROW()/100000,"")</f>
        <v/>
      </c>
    </row>
    <row r="759">
      <c r="A759">
        <f>IF($B759="","",IFERROR(IF(INDEX('Per Invoice'!$A$2:$A$801,MATCH($B759,'Per Invoice'!$B$2:$B$801,0))=0,"",INDEX('Per Invoice'!$A$2:$A$801,MATCH($B759,'Per Invoice'!$B$2:$B$801,0))),""))</f>
        <v/>
      </c>
      <c r="J759" s="7">
        <f>IF($B759="","",I759*Q759/100)</f>
        <v/>
      </c>
      <c r="N759" s="7" t="n"/>
      <c r="O759" s="7" t="n"/>
      <c r="P759" s="7">
        <f>IF($B759="","",O759*X759/100)</f>
        <v/>
      </c>
      <c r="Q759" s="7">
        <f>IF($B759="","",O759-P759)</f>
        <v/>
      </c>
      <c r="R759" s="7">
        <f>IF($B759="","",Q759-J759)</f>
        <v/>
      </c>
      <c r="S759" s="7" t="n"/>
      <c r="T759" s="7" t="n"/>
      <c r="V759" s="14" t="n"/>
      <c r="Z759">
        <f>IF($B759="","",IF(COUNTIF($B$2:$B759,$B759)=1,1,0))</f>
        <v/>
      </c>
      <c r="AA759">
        <f>IF($Z759=1,SUMPRODUCT(--($AC$2:$AC$3001&lt;$AC759))+1,"")</f>
        <v/>
      </c>
      <c r="AB759">
        <f>IF($B759="","",IF(OR($Y759=TRUE(),$Y759="TRUE"),1,IF(AND($Y759&lt;&gt;"",OR($Y759=FALSE(),$Y759="FALSE")),0,IF(MIN(ABS($X759/100-Settings!$C$6),ABS($X759/100-Settings!$G$6))&lt;=MIN(ABS($X759/100-Settings!$C$7),ABS($X759/100-Settings!$G$7)),1,0))))</f>
        <v/>
      </c>
      <c r="AC759">
        <f>IF($Z759=1,IFERROR(IF(VALUE($B759)&lt;100000000,VALUE($B759),1000000000),IFERROR(IF(VALUE(MID($B759,2,20))&lt;100000000,VALUE(MID($B759,2,20)),1000000000),1000000000))+ROW()/100000,"")</f>
        <v/>
      </c>
    </row>
    <row r="760">
      <c r="A760">
        <f>IF($B760="","",IFERROR(IF(INDEX('Per Invoice'!$A$2:$A$801,MATCH($B760,'Per Invoice'!$B$2:$B$801,0))=0,"",INDEX('Per Invoice'!$A$2:$A$801,MATCH($B760,'Per Invoice'!$B$2:$B$801,0))),""))</f>
        <v/>
      </c>
      <c r="J760" s="7">
        <f>IF($B760="","",I760*Q760/100)</f>
        <v/>
      </c>
      <c r="N760" s="7" t="n"/>
      <c r="O760" s="7" t="n"/>
      <c r="P760" s="7">
        <f>IF($B760="","",O760*X760/100)</f>
        <v/>
      </c>
      <c r="Q760" s="7">
        <f>IF($B760="","",O760-P760)</f>
        <v/>
      </c>
      <c r="R760" s="7">
        <f>IF($B760="","",Q760-J760)</f>
        <v/>
      </c>
      <c r="S760" s="7" t="n"/>
      <c r="T760" s="7" t="n"/>
      <c r="V760" s="14" t="n"/>
      <c r="Z760">
        <f>IF($B760="","",IF(COUNTIF($B$2:$B760,$B760)=1,1,0))</f>
        <v/>
      </c>
      <c r="AA760">
        <f>IF($Z760=1,SUMPRODUCT(--($AC$2:$AC$3001&lt;$AC760))+1,"")</f>
        <v/>
      </c>
      <c r="AB760">
        <f>IF($B760="","",IF(OR($Y760=TRUE(),$Y760="TRUE"),1,IF(AND($Y760&lt;&gt;"",OR($Y760=FALSE(),$Y760="FALSE")),0,IF(MIN(ABS($X760/100-Settings!$C$6),ABS($X760/100-Settings!$G$6))&lt;=MIN(ABS($X760/100-Settings!$C$7),ABS($X760/100-Settings!$G$7)),1,0))))</f>
        <v/>
      </c>
      <c r="AC760">
        <f>IF($Z760=1,IFERROR(IF(VALUE($B760)&lt;100000000,VALUE($B760),1000000000),IFERROR(IF(VALUE(MID($B760,2,20))&lt;100000000,VALUE(MID($B760,2,20)),1000000000),1000000000))+ROW()/100000,"")</f>
        <v/>
      </c>
    </row>
    <row r="761">
      <c r="A761">
        <f>IF($B761="","",IFERROR(IF(INDEX('Per Invoice'!$A$2:$A$801,MATCH($B761,'Per Invoice'!$B$2:$B$801,0))=0,"",INDEX('Per Invoice'!$A$2:$A$801,MATCH($B761,'Per Invoice'!$B$2:$B$801,0))),""))</f>
        <v/>
      </c>
      <c r="J761" s="7">
        <f>IF($B761="","",I761*Q761/100)</f>
        <v/>
      </c>
      <c r="N761" s="7" t="n"/>
      <c r="O761" s="7" t="n"/>
      <c r="P761" s="7">
        <f>IF($B761="","",O761*X761/100)</f>
        <v/>
      </c>
      <c r="Q761" s="7">
        <f>IF($B761="","",O761-P761)</f>
        <v/>
      </c>
      <c r="R761" s="7">
        <f>IF($B761="","",Q761-J761)</f>
        <v/>
      </c>
      <c r="S761" s="7" t="n"/>
      <c r="T761" s="7" t="n"/>
      <c r="V761" s="14" t="n"/>
      <c r="Z761">
        <f>IF($B761="","",IF(COUNTIF($B$2:$B761,$B761)=1,1,0))</f>
        <v/>
      </c>
      <c r="AA761">
        <f>IF($Z761=1,SUMPRODUCT(--($AC$2:$AC$3001&lt;$AC761))+1,"")</f>
        <v/>
      </c>
      <c r="AB761">
        <f>IF($B761="","",IF(OR($Y761=TRUE(),$Y761="TRUE"),1,IF(AND($Y761&lt;&gt;"",OR($Y761=FALSE(),$Y761="FALSE")),0,IF(MIN(ABS($X761/100-Settings!$C$6),ABS($X761/100-Settings!$G$6))&lt;=MIN(ABS($X761/100-Settings!$C$7),ABS($X761/100-Settings!$G$7)),1,0))))</f>
        <v/>
      </c>
      <c r="AC761">
        <f>IF($Z761=1,IFERROR(IF(VALUE($B761)&lt;100000000,VALUE($B761),1000000000),IFERROR(IF(VALUE(MID($B761,2,20))&lt;100000000,VALUE(MID($B761,2,20)),1000000000),1000000000))+ROW()/100000,"")</f>
        <v/>
      </c>
    </row>
    <row r="762">
      <c r="A762">
        <f>IF($B762="","",IFERROR(IF(INDEX('Per Invoice'!$A$2:$A$801,MATCH($B762,'Per Invoice'!$B$2:$B$801,0))=0,"",INDEX('Per Invoice'!$A$2:$A$801,MATCH($B762,'Per Invoice'!$B$2:$B$801,0))),""))</f>
        <v/>
      </c>
      <c r="J762" s="7">
        <f>IF($B762="","",I762*Q762/100)</f>
        <v/>
      </c>
      <c r="N762" s="7" t="n"/>
      <c r="O762" s="7" t="n"/>
      <c r="P762" s="7">
        <f>IF($B762="","",O762*X762/100)</f>
        <v/>
      </c>
      <c r="Q762" s="7">
        <f>IF($B762="","",O762-P762)</f>
        <v/>
      </c>
      <c r="R762" s="7">
        <f>IF($B762="","",Q762-J762)</f>
        <v/>
      </c>
      <c r="S762" s="7" t="n"/>
      <c r="T762" s="7" t="n"/>
      <c r="V762" s="14" t="n"/>
      <c r="Z762">
        <f>IF($B762="","",IF(COUNTIF($B$2:$B762,$B762)=1,1,0))</f>
        <v/>
      </c>
      <c r="AA762">
        <f>IF($Z762=1,SUMPRODUCT(--($AC$2:$AC$3001&lt;$AC762))+1,"")</f>
        <v/>
      </c>
      <c r="AB762">
        <f>IF($B762="","",IF(OR($Y762=TRUE(),$Y762="TRUE"),1,IF(AND($Y762&lt;&gt;"",OR($Y762=FALSE(),$Y762="FALSE")),0,IF(MIN(ABS($X762/100-Settings!$C$6),ABS($X762/100-Settings!$G$6))&lt;=MIN(ABS($X762/100-Settings!$C$7),ABS($X762/100-Settings!$G$7)),1,0))))</f>
        <v/>
      </c>
      <c r="AC762">
        <f>IF($Z762=1,IFERROR(IF(VALUE($B762)&lt;100000000,VALUE($B762),1000000000),IFERROR(IF(VALUE(MID($B762,2,20))&lt;100000000,VALUE(MID($B762,2,20)),1000000000),1000000000))+ROW()/100000,"")</f>
        <v/>
      </c>
    </row>
    <row r="763">
      <c r="A763">
        <f>IF($B763="","",IFERROR(IF(INDEX('Per Invoice'!$A$2:$A$801,MATCH($B763,'Per Invoice'!$B$2:$B$801,0))=0,"",INDEX('Per Invoice'!$A$2:$A$801,MATCH($B763,'Per Invoice'!$B$2:$B$801,0))),""))</f>
        <v/>
      </c>
      <c r="J763" s="7">
        <f>IF($B763="","",I763*Q763/100)</f>
        <v/>
      </c>
      <c r="N763" s="7" t="n"/>
      <c r="O763" s="7" t="n"/>
      <c r="P763" s="7">
        <f>IF($B763="","",O763*X763/100)</f>
        <v/>
      </c>
      <c r="Q763" s="7">
        <f>IF($B763="","",O763-P763)</f>
        <v/>
      </c>
      <c r="R763" s="7">
        <f>IF($B763="","",Q763-J763)</f>
        <v/>
      </c>
      <c r="S763" s="7" t="n"/>
      <c r="T763" s="7" t="n"/>
      <c r="V763" s="14" t="n"/>
      <c r="Z763">
        <f>IF($B763="","",IF(COUNTIF($B$2:$B763,$B763)=1,1,0))</f>
        <v/>
      </c>
      <c r="AA763">
        <f>IF($Z763=1,SUMPRODUCT(--($AC$2:$AC$3001&lt;$AC763))+1,"")</f>
        <v/>
      </c>
      <c r="AB763">
        <f>IF($B763="","",IF(OR($Y763=TRUE(),$Y763="TRUE"),1,IF(AND($Y763&lt;&gt;"",OR($Y763=FALSE(),$Y763="FALSE")),0,IF(MIN(ABS($X763/100-Settings!$C$6),ABS($X763/100-Settings!$G$6))&lt;=MIN(ABS($X763/100-Settings!$C$7),ABS($X763/100-Settings!$G$7)),1,0))))</f>
        <v/>
      </c>
      <c r="AC763">
        <f>IF($Z763=1,IFERROR(IF(VALUE($B763)&lt;100000000,VALUE($B763),1000000000),IFERROR(IF(VALUE(MID($B763,2,20))&lt;100000000,VALUE(MID($B763,2,20)),1000000000),1000000000))+ROW()/100000,"")</f>
        <v/>
      </c>
    </row>
    <row r="764">
      <c r="A764">
        <f>IF($B764="","",IFERROR(IF(INDEX('Per Invoice'!$A$2:$A$801,MATCH($B764,'Per Invoice'!$B$2:$B$801,0))=0,"",INDEX('Per Invoice'!$A$2:$A$801,MATCH($B764,'Per Invoice'!$B$2:$B$801,0))),""))</f>
        <v/>
      </c>
      <c r="J764" s="7">
        <f>IF($B764="","",I764*Q764/100)</f>
        <v/>
      </c>
      <c r="N764" s="7" t="n"/>
      <c r="O764" s="7" t="n"/>
      <c r="P764" s="7">
        <f>IF($B764="","",O764*X764/100)</f>
        <v/>
      </c>
      <c r="Q764" s="7">
        <f>IF($B764="","",O764-P764)</f>
        <v/>
      </c>
      <c r="R764" s="7">
        <f>IF($B764="","",Q764-J764)</f>
        <v/>
      </c>
      <c r="S764" s="7" t="n"/>
      <c r="T764" s="7" t="n"/>
      <c r="V764" s="14" t="n"/>
      <c r="Z764">
        <f>IF($B764="","",IF(COUNTIF($B$2:$B764,$B764)=1,1,0))</f>
        <v/>
      </c>
      <c r="AA764">
        <f>IF($Z764=1,SUMPRODUCT(--($AC$2:$AC$3001&lt;$AC764))+1,"")</f>
        <v/>
      </c>
      <c r="AB764">
        <f>IF($B764="","",IF(OR($Y764=TRUE(),$Y764="TRUE"),1,IF(AND($Y764&lt;&gt;"",OR($Y764=FALSE(),$Y764="FALSE")),0,IF(MIN(ABS($X764/100-Settings!$C$6),ABS($X764/100-Settings!$G$6))&lt;=MIN(ABS($X764/100-Settings!$C$7),ABS($X764/100-Settings!$G$7)),1,0))))</f>
        <v/>
      </c>
      <c r="AC764">
        <f>IF($Z764=1,IFERROR(IF(VALUE($B764)&lt;100000000,VALUE($B764),1000000000),IFERROR(IF(VALUE(MID($B764,2,20))&lt;100000000,VALUE(MID($B764,2,20)),1000000000),1000000000))+ROW()/100000,"")</f>
        <v/>
      </c>
    </row>
    <row r="765">
      <c r="A765">
        <f>IF($B765="","",IFERROR(IF(INDEX('Per Invoice'!$A$2:$A$801,MATCH($B765,'Per Invoice'!$B$2:$B$801,0))=0,"",INDEX('Per Invoice'!$A$2:$A$801,MATCH($B765,'Per Invoice'!$B$2:$B$801,0))),""))</f>
        <v/>
      </c>
      <c r="J765" s="7">
        <f>IF($B765="","",I765*Q765/100)</f>
        <v/>
      </c>
      <c r="N765" s="7" t="n"/>
      <c r="O765" s="7" t="n"/>
      <c r="P765" s="7">
        <f>IF($B765="","",O765*X765/100)</f>
        <v/>
      </c>
      <c r="Q765" s="7">
        <f>IF($B765="","",O765-P765)</f>
        <v/>
      </c>
      <c r="R765" s="7">
        <f>IF($B765="","",Q765-J765)</f>
        <v/>
      </c>
      <c r="S765" s="7" t="n"/>
      <c r="T765" s="7" t="n"/>
      <c r="V765" s="14" t="n"/>
      <c r="Z765">
        <f>IF($B765="","",IF(COUNTIF($B$2:$B765,$B765)=1,1,0))</f>
        <v/>
      </c>
      <c r="AA765">
        <f>IF($Z765=1,SUMPRODUCT(--($AC$2:$AC$3001&lt;$AC765))+1,"")</f>
        <v/>
      </c>
      <c r="AB765">
        <f>IF($B765="","",IF(OR($Y765=TRUE(),$Y765="TRUE"),1,IF(AND($Y765&lt;&gt;"",OR($Y765=FALSE(),$Y765="FALSE")),0,IF(MIN(ABS($X765/100-Settings!$C$6),ABS($X765/100-Settings!$G$6))&lt;=MIN(ABS($X765/100-Settings!$C$7),ABS($X765/100-Settings!$G$7)),1,0))))</f>
        <v/>
      </c>
      <c r="AC765">
        <f>IF($Z765=1,IFERROR(IF(VALUE($B765)&lt;100000000,VALUE($B765),1000000000),IFERROR(IF(VALUE(MID($B765,2,20))&lt;100000000,VALUE(MID($B765,2,20)),1000000000),1000000000))+ROW()/100000,"")</f>
        <v/>
      </c>
    </row>
    <row r="766">
      <c r="A766">
        <f>IF($B766="","",IFERROR(IF(INDEX('Per Invoice'!$A$2:$A$801,MATCH($B766,'Per Invoice'!$B$2:$B$801,0))=0,"",INDEX('Per Invoice'!$A$2:$A$801,MATCH($B766,'Per Invoice'!$B$2:$B$801,0))),""))</f>
        <v/>
      </c>
      <c r="J766" s="7">
        <f>IF($B766="","",I766*Q766/100)</f>
        <v/>
      </c>
      <c r="N766" s="7" t="n"/>
      <c r="O766" s="7" t="n"/>
      <c r="P766" s="7">
        <f>IF($B766="","",O766*X766/100)</f>
        <v/>
      </c>
      <c r="Q766" s="7">
        <f>IF($B766="","",O766-P766)</f>
        <v/>
      </c>
      <c r="R766" s="7">
        <f>IF($B766="","",Q766-J766)</f>
        <v/>
      </c>
      <c r="S766" s="7" t="n"/>
      <c r="T766" s="7" t="n"/>
      <c r="V766" s="14" t="n"/>
      <c r="Z766">
        <f>IF($B766="","",IF(COUNTIF($B$2:$B766,$B766)=1,1,0))</f>
        <v/>
      </c>
      <c r="AA766">
        <f>IF($Z766=1,SUMPRODUCT(--($AC$2:$AC$3001&lt;$AC766))+1,"")</f>
        <v/>
      </c>
      <c r="AB766">
        <f>IF($B766="","",IF(OR($Y766=TRUE(),$Y766="TRUE"),1,IF(AND($Y766&lt;&gt;"",OR($Y766=FALSE(),$Y766="FALSE")),0,IF(MIN(ABS($X766/100-Settings!$C$6),ABS($X766/100-Settings!$G$6))&lt;=MIN(ABS($X766/100-Settings!$C$7),ABS($X766/100-Settings!$G$7)),1,0))))</f>
        <v/>
      </c>
      <c r="AC766">
        <f>IF($Z766=1,IFERROR(IF(VALUE($B766)&lt;100000000,VALUE($B766),1000000000),IFERROR(IF(VALUE(MID($B766,2,20))&lt;100000000,VALUE(MID($B766,2,20)),1000000000),1000000000))+ROW()/100000,"")</f>
        <v/>
      </c>
    </row>
    <row r="767">
      <c r="A767">
        <f>IF($B767="","",IFERROR(IF(INDEX('Per Invoice'!$A$2:$A$801,MATCH($B767,'Per Invoice'!$B$2:$B$801,0))=0,"",INDEX('Per Invoice'!$A$2:$A$801,MATCH($B767,'Per Invoice'!$B$2:$B$801,0))),""))</f>
        <v/>
      </c>
      <c r="J767" s="7">
        <f>IF($B767="","",I767*Q767/100)</f>
        <v/>
      </c>
      <c r="N767" s="7" t="n"/>
      <c r="O767" s="7" t="n"/>
      <c r="P767" s="7">
        <f>IF($B767="","",O767*X767/100)</f>
        <v/>
      </c>
      <c r="Q767" s="7">
        <f>IF($B767="","",O767-P767)</f>
        <v/>
      </c>
      <c r="R767" s="7">
        <f>IF($B767="","",Q767-J767)</f>
        <v/>
      </c>
      <c r="S767" s="7" t="n"/>
      <c r="T767" s="7" t="n"/>
      <c r="V767" s="14" t="n"/>
      <c r="Z767">
        <f>IF($B767="","",IF(COUNTIF($B$2:$B767,$B767)=1,1,0))</f>
        <v/>
      </c>
      <c r="AA767">
        <f>IF($Z767=1,SUMPRODUCT(--($AC$2:$AC$3001&lt;$AC767))+1,"")</f>
        <v/>
      </c>
      <c r="AB767">
        <f>IF($B767="","",IF(OR($Y767=TRUE(),$Y767="TRUE"),1,IF(AND($Y767&lt;&gt;"",OR($Y767=FALSE(),$Y767="FALSE")),0,IF(MIN(ABS($X767/100-Settings!$C$6),ABS($X767/100-Settings!$G$6))&lt;=MIN(ABS($X767/100-Settings!$C$7),ABS($X767/100-Settings!$G$7)),1,0))))</f>
        <v/>
      </c>
      <c r="AC767">
        <f>IF($Z767=1,IFERROR(IF(VALUE($B767)&lt;100000000,VALUE($B767),1000000000),IFERROR(IF(VALUE(MID($B767,2,20))&lt;100000000,VALUE(MID($B767,2,20)),1000000000),1000000000))+ROW()/100000,"")</f>
        <v/>
      </c>
    </row>
    <row r="768">
      <c r="A768">
        <f>IF($B768="","",IFERROR(IF(INDEX('Per Invoice'!$A$2:$A$801,MATCH($B768,'Per Invoice'!$B$2:$B$801,0))=0,"",INDEX('Per Invoice'!$A$2:$A$801,MATCH($B768,'Per Invoice'!$B$2:$B$801,0))),""))</f>
        <v/>
      </c>
      <c r="J768" s="7">
        <f>IF($B768="","",I768*Q768/100)</f>
        <v/>
      </c>
      <c r="N768" s="7" t="n"/>
      <c r="O768" s="7" t="n"/>
      <c r="P768" s="7">
        <f>IF($B768="","",O768*X768/100)</f>
        <v/>
      </c>
      <c r="Q768" s="7">
        <f>IF($B768="","",O768-P768)</f>
        <v/>
      </c>
      <c r="R768" s="7">
        <f>IF($B768="","",Q768-J768)</f>
        <v/>
      </c>
      <c r="S768" s="7" t="n"/>
      <c r="T768" s="7" t="n"/>
      <c r="V768" s="14" t="n"/>
      <c r="Z768">
        <f>IF($B768="","",IF(COUNTIF($B$2:$B768,$B768)=1,1,0))</f>
        <v/>
      </c>
      <c r="AA768">
        <f>IF($Z768=1,SUMPRODUCT(--($AC$2:$AC$3001&lt;$AC768))+1,"")</f>
        <v/>
      </c>
      <c r="AB768">
        <f>IF($B768="","",IF(OR($Y768=TRUE(),$Y768="TRUE"),1,IF(AND($Y768&lt;&gt;"",OR($Y768=FALSE(),$Y768="FALSE")),0,IF(MIN(ABS($X768/100-Settings!$C$6),ABS($X768/100-Settings!$G$6))&lt;=MIN(ABS($X768/100-Settings!$C$7),ABS($X768/100-Settings!$G$7)),1,0))))</f>
        <v/>
      </c>
      <c r="AC768">
        <f>IF($Z768=1,IFERROR(IF(VALUE($B768)&lt;100000000,VALUE($B768),1000000000),IFERROR(IF(VALUE(MID($B768,2,20))&lt;100000000,VALUE(MID($B768,2,20)),1000000000),1000000000))+ROW()/100000,"")</f>
        <v/>
      </c>
    </row>
    <row r="769">
      <c r="A769">
        <f>IF($B769="","",IFERROR(IF(INDEX('Per Invoice'!$A$2:$A$801,MATCH($B769,'Per Invoice'!$B$2:$B$801,0))=0,"",INDEX('Per Invoice'!$A$2:$A$801,MATCH($B769,'Per Invoice'!$B$2:$B$801,0))),""))</f>
        <v/>
      </c>
      <c r="J769" s="7">
        <f>IF($B769="","",I769*Q769/100)</f>
        <v/>
      </c>
      <c r="N769" s="7" t="n"/>
      <c r="O769" s="7" t="n"/>
      <c r="P769" s="7">
        <f>IF($B769="","",O769*X769/100)</f>
        <v/>
      </c>
      <c r="Q769" s="7">
        <f>IF($B769="","",O769-P769)</f>
        <v/>
      </c>
      <c r="R769" s="7">
        <f>IF($B769="","",Q769-J769)</f>
        <v/>
      </c>
      <c r="S769" s="7" t="n"/>
      <c r="T769" s="7" t="n"/>
      <c r="V769" s="14" t="n"/>
      <c r="Z769">
        <f>IF($B769="","",IF(COUNTIF($B$2:$B769,$B769)=1,1,0))</f>
        <v/>
      </c>
      <c r="AA769">
        <f>IF($Z769=1,SUMPRODUCT(--($AC$2:$AC$3001&lt;$AC769))+1,"")</f>
        <v/>
      </c>
      <c r="AB769">
        <f>IF($B769="","",IF(OR($Y769=TRUE(),$Y769="TRUE"),1,IF(AND($Y769&lt;&gt;"",OR($Y769=FALSE(),$Y769="FALSE")),0,IF(MIN(ABS($X769/100-Settings!$C$6),ABS($X769/100-Settings!$G$6))&lt;=MIN(ABS($X769/100-Settings!$C$7),ABS($X769/100-Settings!$G$7)),1,0))))</f>
        <v/>
      </c>
      <c r="AC769">
        <f>IF($Z769=1,IFERROR(IF(VALUE($B769)&lt;100000000,VALUE($B769),1000000000),IFERROR(IF(VALUE(MID($B769,2,20))&lt;100000000,VALUE(MID($B769,2,20)),1000000000),1000000000))+ROW()/100000,"")</f>
        <v/>
      </c>
    </row>
    <row r="770">
      <c r="A770">
        <f>IF($B770="","",IFERROR(IF(INDEX('Per Invoice'!$A$2:$A$801,MATCH($B770,'Per Invoice'!$B$2:$B$801,0))=0,"",INDEX('Per Invoice'!$A$2:$A$801,MATCH($B770,'Per Invoice'!$B$2:$B$801,0))),""))</f>
        <v/>
      </c>
      <c r="J770" s="7">
        <f>IF($B770="","",I770*Q770/100)</f>
        <v/>
      </c>
      <c r="N770" s="7" t="n"/>
      <c r="O770" s="7" t="n"/>
      <c r="P770" s="7">
        <f>IF($B770="","",O770*X770/100)</f>
        <v/>
      </c>
      <c r="Q770" s="7">
        <f>IF($B770="","",O770-P770)</f>
        <v/>
      </c>
      <c r="R770" s="7">
        <f>IF($B770="","",Q770-J770)</f>
        <v/>
      </c>
      <c r="S770" s="7" t="n"/>
      <c r="T770" s="7" t="n"/>
      <c r="V770" s="14" t="n"/>
      <c r="Z770">
        <f>IF($B770="","",IF(COUNTIF($B$2:$B770,$B770)=1,1,0))</f>
        <v/>
      </c>
      <c r="AA770">
        <f>IF($Z770=1,SUMPRODUCT(--($AC$2:$AC$3001&lt;$AC770))+1,"")</f>
        <v/>
      </c>
      <c r="AB770">
        <f>IF($B770="","",IF(OR($Y770=TRUE(),$Y770="TRUE"),1,IF(AND($Y770&lt;&gt;"",OR($Y770=FALSE(),$Y770="FALSE")),0,IF(MIN(ABS($X770/100-Settings!$C$6),ABS($X770/100-Settings!$G$6))&lt;=MIN(ABS($X770/100-Settings!$C$7),ABS($X770/100-Settings!$G$7)),1,0))))</f>
        <v/>
      </c>
      <c r="AC770">
        <f>IF($Z770=1,IFERROR(IF(VALUE($B770)&lt;100000000,VALUE($B770),1000000000),IFERROR(IF(VALUE(MID($B770,2,20))&lt;100000000,VALUE(MID($B770,2,20)),1000000000),1000000000))+ROW()/100000,"")</f>
        <v/>
      </c>
    </row>
    <row r="771">
      <c r="A771">
        <f>IF($B771="","",IFERROR(IF(INDEX('Per Invoice'!$A$2:$A$801,MATCH($B771,'Per Invoice'!$B$2:$B$801,0))=0,"",INDEX('Per Invoice'!$A$2:$A$801,MATCH($B771,'Per Invoice'!$B$2:$B$801,0))),""))</f>
        <v/>
      </c>
      <c r="J771" s="7">
        <f>IF($B771="","",I771*Q771/100)</f>
        <v/>
      </c>
      <c r="N771" s="7" t="n"/>
      <c r="O771" s="7" t="n"/>
      <c r="P771" s="7">
        <f>IF($B771="","",O771*X771/100)</f>
        <v/>
      </c>
      <c r="Q771" s="7">
        <f>IF($B771="","",O771-P771)</f>
        <v/>
      </c>
      <c r="R771" s="7">
        <f>IF($B771="","",Q771-J771)</f>
        <v/>
      </c>
      <c r="S771" s="7" t="n"/>
      <c r="T771" s="7" t="n"/>
      <c r="V771" s="14" t="n"/>
      <c r="Z771">
        <f>IF($B771="","",IF(COUNTIF($B$2:$B771,$B771)=1,1,0))</f>
        <v/>
      </c>
      <c r="AA771">
        <f>IF($Z771=1,SUMPRODUCT(--($AC$2:$AC$3001&lt;$AC771))+1,"")</f>
        <v/>
      </c>
      <c r="AB771">
        <f>IF($B771="","",IF(OR($Y771=TRUE(),$Y771="TRUE"),1,IF(AND($Y771&lt;&gt;"",OR($Y771=FALSE(),$Y771="FALSE")),0,IF(MIN(ABS($X771/100-Settings!$C$6),ABS($X771/100-Settings!$G$6))&lt;=MIN(ABS($X771/100-Settings!$C$7),ABS($X771/100-Settings!$G$7)),1,0))))</f>
        <v/>
      </c>
      <c r="AC771">
        <f>IF($Z771=1,IFERROR(IF(VALUE($B771)&lt;100000000,VALUE($B771),1000000000),IFERROR(IF(VALUE(MID($B771,2,20))&lt;100000000,VALUE(MID($B771,2,20)),1000000000),1000000000))+ROW()/100000,"")</f>
        <v/>
      </c>
    </row>
    <row r="772">
      <c r="A772">
        <f>IF($B772="","",IFERROR(IF(INDEX('Per Invoice'!$A$2:$A$801,MATCH($B772,'Per Invoice'!$B$2:$B$801,0))=0,"",INDEX('Per Invoice'!$A$2:$A$801,MATCH($B772,'Per Invoice'!$B$2:$B$801,0))),""))</f>
        <v/>
      </c>
      <c r="J772" s="7">
        <f>IF($B772="","",I772*Q772/100)</f>
        <v/>
      </c>
      <c r="N772" s="7" t="n"/>
      <c r="O772" s="7" t="n"/>
      <c r="P772" s="7">
        <f>IF($B772="","",O772*X772/100)</f>
        <v/>
      </c>
      <c r="Q772" s="7">
        <f>IF($B772="","",O772-P772)</f>
        <v/>
      </c>
      <c r="R772" s="7">
        <f>IF($B772="","",Q772-J772)</f>
        <v/>
      </c>
      <c r="S772" s="7" t="n"/>
      <c r="T772" s="7" t="n"/>
      <c r="V772" s="14" t="n"/>
      <c r="Z772">
        <f>IF($B772="","",IF(COUNTIF($B$2:$B772,$B772)=1,1,0))</f>
        <v/>
      </c>
      <c r="AA772">
        <f>IF($Z772=1,SUMPRODUCT(--($AC$2:$AC$3001&lt;$AC772))+1,"")</f>
        <v/>
      </c>
      <c r="AB772">
        <f>IF($B772="","",IF(OR($Y772=TRUE(),$Y772="TRUE"),1,IF(AND($Y772&lt;&gt;"",OR($Y772=FALSE(),$Y772="FALSE")),0,IF(MIN(ABS($X772/100-Settings!$C$6),ABS($X772/100-Settings!$G$6))&lt;=MIN(ABS($X772/100-Settings!$C$7),ABS($X772/100-Settings!$G$7)),1,0))))</f>
        <v/>
      </c>
      <c r="AC772">
        <f>IF($Z772=1,IFERROR(IF(VALUE($B772)&lt;100000000,VALUE($B772),1000000000),IFERROR(IF(VALUE(MID($B772,2,20))&lt;100000000,VALUE(MID($B772,2,20)),1000000000),1000000000))+ROW()/100000,"")</f>
        <v/>
      </c>
    </row>
    <row r="773">
      <c r="A773">
        <f>IF($B773="","",IFERROR(IF(INDEX('Per Invoice'!$A$2:$A$801,MATCH($B773,'Per Invoice'!$B$2:$B$801,0))=0,"",INDEX('Per Invoice'!$A$2:$A$801,MATCH($B773,'Per Invoice'!$B$2:$B$801,0))),""))</f>
        <v/>
      </c>
      <c r="J773" s="7">
        <f>IF($B773="","",I773*Q773/100)</f>
        <v/>
      </c>
      <c r="N773" s="7" t="n"/>
      <c r="O773" s="7" t="n"/>
      <c r="P773" s="7">
        <f>IF($B773="","",O773*X773/100)</f>
        <v/>
      </c>
      <c r="Q773" s="7">
        <f>IF($B773="","",O773-P773)</f>
        <v/>
      </c>
      <c r="R773" s="7">
        <f>IF($B773="","",Q773-J773)</f>
        <v/>
      </c>
      <c r="S773" s="7" t="n"/>
      <c r="T773" s="7" t="n"/>
      <c r="V773" s="14" t="n"/>
      <c r="Z773">
        <f>IF($B773="","",IF(COUNTIF($B$2:$B773,$B773)=1,1,0))</f>
        <v/>
      </c>
      <c r="AA773">
        <f>IF($Z773=1,SUMPRODUCT(--($AC$2:$AC$3001&lt;$AC773))+1,"")</f>
        <v/>
      </c>
      <c r="AB773">
        <f>IF($B773="","",IF(OR($Y773=TRUE(),$Y773="TRUE"),1,IF(AND($Y773&lt;&gt;"",OR($Y773=FALSE(),$Y773="FALSE")),0,IF(MIN(ABS($X773/100-Settings!$C$6),ABS($X773/100-Settings!$G$6))&lt;=MIN(ABS($X773/100-Settings!$C$7),ABS($X773/100-Settings!$G$7)),1,0))))</f>
        <v/>
      </c>
      <c r="AC773">
        <f>IF($Z773=1,IFERROR(IF(VALUE($B773)&lt;100000000,VALUE($B773),1000000000),IFERROR(IF(VALUE(MID($B773,2,20))&lt;100000000,VALUE(MID($B773,2,20)),1000000000),1000000000))+ROW()/100000,"")</f>
        <v/>
      </c>
    </row>
    <row r="774">
      <c r="A774">
        <f>IF($B774="","",IFERROR(IF(INDEX('Per Invoice'!$A$2:$A$801,MATCH($B774,'Per Invoice'!$B$2:$B$801,0))=0,"",INDEX('Per Invoice'!$A$2:$A$801,MATCH($B774,'Per Invoice'!$B$2:$B$801,0))),""))</f>
        <v/>
      </c>
      <c r="J774" s="7">
        <f>IF($B774="","",I774*Q774/100)</f>
        <v/>
      </c>
      <c r="N774" s="7" t="n"/>
      <c r="O774" s="7" t="n"/>
      <c r="P774" s="7">
        <f>IF($B774="","",O774*X774/100)</f>
        <v/>
      </c>
      <c r="Q774" s="7">
        <f>IF($B774="","",O774-P774)</f>
        <v/>
      </c>
      <c r="R774" s="7">
        <f>IF($B774="","",Q774-J774)</f>
        <v/>
      </c>
      <c r="S774" s="7" t="n"/>
      <c r="T774" s="7" t="n"/>
      <c r="V774" s="14" t="n"/>
      <c r="Z774">
        <f>IF($B774="","",IF(COUNTIF($B$2:$B774,$B774)=1,1,0))</f>
        <v/>
      </c>
      <c r="AA774">
        <f>IF($Z774=1,SUMPRODUCT(--($AC$2:$AC$3001&lt;$AC774))+1,"")</f>
        <v/>
      </c>
      <c r="AB774">
        <f>IF($B774="","",IF(OR($Y774=TRUE(),$Y774="TRUE"),1,IF(AND($Y774&lt;&gt;"",OR($Y774=FALSE(),$Y774="FALSE")),0,IF(MIN(ABS($X774/100-Settings!$C$6),ABS($X774/100-Settings!$G$6))&lt;=MIN(ABS($X774/100-Settings!$C$7),ABS($X774/100-Settings!$G$7)),1,0))))</f>
        <v/>
      </c>
      <c r="AC774">
        <f>IF($Z774=1,IFERROR(IF(VALUE($B774)&lt;100000000,VALUE($B774),1000000000),IFERROR(IF(VALUE(MID($B774,2,20))&lt;100000000,VALUE(MID($B774,2,20)),1000000000),1000000000))+ROW()/100000,"")</f>
        <v/>
      </c>
    </row>
    <row r="775">
      <c r="A775">
        <f>IF($B775="","",IFERROR(IF(INDEX('Per Invoice'!$A$2:$A$801,MATCH($B775,'Per Invoice'!$B$2:$B$801,0))=0,"",INDEX('Per Invoice'!$A$2:$A$801,MATCH($B775,'Per Invoice'!$B$2:$B$801,0))),""))</f>
        <v/>
      </c>
      <c r="J775" s="7">
        <f>IF($B775="","",I775*Q775/100)</f>
        <v/>
      </c>
      <c r="N775" s="7" t="n"/>
      <c r="O775" s="7" t="n"/>
      <c r="P775" s="7">
        <f>IF($B775="","",O775*X775/100)</f>
        <v/>
      </c>
      <c r="Q775" s="7">
        <f>IF($B775="","",O775-P775)</f>
        <v/>
      </c>
      <c r="R775" s="7">
        <f>IF($B775="","",Q775-J775)</f>
        <v/>
      </c>
      <c r="S775" s="7" t="n"/>
      <c r="T775" s="7" t="n"/>
      <c r="V775" s="14" t="n"/>
      <c r="Z775">
        <f>IF($B775="","",IF(COUNTIF($B$2:$B775,$B775)=1,1,0))</f>
        <v/>
      </c>
      <c r="AA775">
        <f>IF($Z775=1,SUMPRODUCT(--($AC$2:$AC$3001&lt;$AC775))+1,"")</f>
        <v/>
      </c>
      <c r="AB775">
        <f>IF($B775="","",IF(OR($Y775=TRUE(),$Y775="TRUE"),1,IF(AND($Y775&lt;&gt;"",OR($Y775=FALSE(),$Y775="FALSE")),0,IF(MIN(ABS($X775/100-Settings!$C$6),ABS($X775/100-Settings!$G$6))&lt;=MIN(ABS($X775/100-Settings!$C$7),ABS($X775/100-Settings!$G$7)),1,0))))</f>
        <v/>
      </c>
      <c r="AC775">
        <f>IF($Z775=1,IFERROR(IF(VALUE($B775)&lt;100000000,VALUE($B775),1000000000),IFERROR(IF(VALUE(MID($B775,2,20))&lt;100000000,VALUE(MID($B775,2,20)),1000000000),1000000000))+ROW()/100000,"")</f>
        <v/>
      </c>
    </row>
    <row r="776">
      <c r="A776">
        <f>IF($B776="","",IFERROR(IF(INDEX('Per Invoice'!$A$2:$A$801,MATCH($B776,'Per Invoice'!$B$2:$B$801,0))=0,"",INDEX('Per Invoice'!$A$2:$A$801,MATCH($B776,'Per Invoice'!$B$2:$B$801,0))),""))</f>
        <v/>
      </c>
      <c r="J776" s="7">
        <f>IF($B776="","",I776*Q776/100)</f>
        <v/>
      </c>
      <c r="N776" s="7" t="n"/>
      <c r="O776" s="7" t="n"/>
      <c r="P776" s="7">
        <f>IF($B776="","",O776*X776/100)</f>
        <v/>
      </c>
      <c r="Q776" s="7">
        <f>IF($B776="","",O776-P776)</f>
        <v/>
      </c>
      <c r="R776" s="7">
        <f>IF($B776="","",Q776-J776)</f>
        <v/>
      </c>
      <c r="S776" s="7" t="n"/>
      <c r="T776" s="7" t="n"/>
      <c r="V776" s="14" t="n"/>
      <c r="Z776">
        <f>IF($B776="","",IF(COUNTIF($B$2:$B776,$B776)=1,1,0))</f>
        <v/>
      </c>
      <c r="AA776">
        <f>IF($Z776=1,SUMPRODUCT(--($AC$2:$AC$3001&lt;$AC776))+1,"")</f>
        <v/>
      </c>
      <c r="AB776">
        <f>IF($B776="","",IF(OR($Y776=TRUE(),$Y776="TRUE"),1,IF(AND($Y776&lt;&gt;"",OR($Y776=FALSE(),$Y776="FALSE")),0,IF(MIN(ABS($X776/100-Settings!$C$6),ABS($X776/100-Settings!$G$6))&lt;=MIN(ABS($X776/100-Settings!$C$7),ABS($X776/100-Settings!$G$7)),1,0))))</f>
        <v/>
      </c>
      <c r="AC776">
        <f>IF($Z776=1,IFERROR(IF(VALUE($B776)&lt;100000000,VALUE($B776),1000000000),IFERROR(IF(VALUE(MID($B776,2,20))&lt;100000000,VALUE(MID($B776,2,20)),1000000000),1000000000))+ROW()/100000,"")</f>
        <v/>
      </c>
    </row>
    <row r="777">
      <c r="A777">
        <f>IF($B777="","",IFERROR(IF(INDEX('Per Invoice'!$A$2:$A$801,MATCH($B777,'Per Invoice'!$B$2:$B$801,0))=0,"",INDEX('Per Invoice'!$A$2:$A$801,MATCH($B777,'Per Invoice'!$B$2:$B$801,0))),""))</f>
        <v/>
      </c>
      <c r="J777" s="7">
        <f>IF($B777="","",I777*Q777/100)</f>
        <v/>
      </c>
      <c r="N777" s="7" t="n"/>
      <c r="O777" s="7" t="n"/>
      <c r="P777" s="7">
        <f>IF($B777="","",O777*X777/100)</f>
        <v/>
      </c>
      <c r="Q777" s="7">
        <f>IF($B777="","",O777-P777)</f>
        <v/>
      </c>
      <c r="R777" s="7">
        <f>IF($B777="","",Q777-J777)</f>
        <v/>
      </c>
      <c r="S777" s="7" t="n"/>
      <c r="T777" s="7" t="n"/>
      <c r="V777" s="14" t="n"/>
      <c r="Z777">
        <f>IF($B777="","",IF(COUNTIF($B$2:$B777,$B777)=1,1,0))</f>
        <v/>
      </c>
      <c r="AA777">
        <f>IF($Z777=1,SUMPRODUCT(--($AC$2:$AC$3001&lt;$AC777))+1,"")</f>
        <v/>
      </c>
      <c r="AB777">
        <f>IF($B777="","",IF(OR($Y777=TRUE(),$Y777="TRUE"),1,IF(AND($Y777&lt;&gt;"",OR($Y777=FALSE(),$Y777="FALSE")),0,IF(MIN(ABS($X777/100-Settings!$C$6),ABS($X777/100-Settings!$G$6))&lt;=MIN(ABS($X777/100-Settings!$C$7),ABS($X777/100-Settings!$G$7)),1,0))))</f>
        <v/>
      </c>
      <c r="AC777">
        <f>IF($Z777=1,IFERROR(IF(VALUE($B777)&lt;100000000,VALUE($B777),1000000000),IFERROR(IF(VALUE(MID($B777,2,20))&lt;100000000,VALUE(MID($B777,2,20)),1000000000),1000000000))+ROW()/100000,"")</f>
        <v/>
      </c>
    </row>
    <row r="778">
      <c r="A778">
        <f>IF($B778="","",IFERROR(IF(INDEX('Per Invoice'!$A$2:$A$801,MATCH($B778,'Per Invoice'!$B$2:$B$801,0))=0,"",INDEX('Per Invoice'!$A$2:$A$801,MATCH($B778,'Per Invoice'!$B$2:$B$801,0))),""))</f>
        <v/>
      </c>
      <c r="J778" s="7">
        <f>IF($B778="","",I778*Q778/100)</f>
        <v/>
      </c>
      <c r="N778" s="7" t="n"/>
      <c r="O778" s="7" t="n"/>
      <c r="P778" s="7">
        <f>IF($B778="","",O778*X778/100)</f>
        <v/>
      </c>
      <c r="Q778" s="7">
        <f>IF($B778="","",O778-P778)</f>
        <v/>
      </c>
      <c r="R778" s="7">
        <f>IF($B778="","",Q778-J778)</f>
        <v/>
      </c>
      <c r="S778" s="7" t="n"/>
      <c r="T778" s="7" t="n"/>
      <c r="V778" s="14" t="n"/>
      <c r="Z778">
        <f>IF($B778="","",IF(COUNTIF($B$2:$B778,$B778)=1,1,0))</f>
        <v/>
      </c>
      <c r="AA778">
        <f>IF($Z778=1,SUMPRODUCT(--($AC$2:$AC$3001&lt;$AC778))+1,"")</f>
        <v/>
      </c>
      <c r="AB778">
        <f>IF($B778="","",IF(OR($Y778=TRUE(),$Y778="TRUE"),1,IF(AND($Y778&lt;&gt;"",OR($Y778=FALSE(),$Y778="FALSE")),0,IF(MIN(ABS($X778/100-Settings!$C$6),ABS($X778/100-Settings!$G$6))&lt;=MIN(ABS($X778/100-Settings!$C$7),ABS($X778/100-Settings!$G$7)),1,0))))</f>
        <v/>
      </c>
      <c r="AC778">
        <f>IF($Z778=1,IFERROR(IF(VALUE($B778)&lt;100000000,VALUE($B778),1000000000),IFERROR(IF(VALUE(MID($B778,2,20))&lt;100000000,VALUE(MID($B778,2,20)),1000000000),1000000000))+ROW()/100000,"")</f>
        <v/>
      </c>
    </row>
    <row r="779">
      <c r="A779">
        <f>IF($B779="","",IFERROR(IF(INDEX('Per Invoice'!$A$2:$A$801,MATCH($B779,'Per Invoice'!$B$2:$B$801,0))=0,"",INDEX('Per Invoice'!$A$2:$A$801,MATCH($B779,'Per Invoice'!$B$2:$B$801,0))),""))</f>
        <v/>
      </c>
      <c r="J779" s="7">
        <f>IF($B779="","",I779*Q779/100)</f>
        <v/>
      </c>
      <c r="N779" s="7" t="n"/>
      <c r="O779" s="7" t="n"/>
      <c r="P779" s="7">
        <f>IF($B779="","",O779*X779/100)</f>
        <v/>
      </c>
      <c r="Q779" s="7">
        <f>IF($B779="","",O779-P779)</f>
        <v/>
      </c>
      <c r="R779" s="7">
        <f>IF($B779="","",Q779-J779)</f>
        <v/>
      </c>
      <c r="S779" s="7" t="n"/>
      <c r="T779" s="7" t="n"/>
      <c r="V779" s="14" t="n"/>
      <c r="Z779">
        <f>IF($B779="","",IF(COUNTIF($B$2:$B779,$B779)=1,1,0))</f>
        <v/>
      </c>
      <c r="AA779">
        <f>IF($Z779=1,SUMPRODUCT(--($AC$2:$AC$3001&lt;$AC779))+1,"")</f>
        <v/>
      </c>
      <c r="AB779">
        <f>IF($B779="","",IF(OR($Y779=TRUE(),$Y779="TRUE"),1,IF(AND($Y779&lt;&gt;"",OR($Y779=FALSE(),$Y779="FALSE")),0,IF(MIN(ABS($X779/100-Settings!$C$6),ABS($X779/100-Settings!$G$6))&lt;=MIN(ABS($X779/100-Settings!$C$7),ABS($X779/100-Settings!$G$7)),1,0))))</f>
        <v/>
      </c>
      <c r="AC779">
        <f>IF($Z779=1,IFERROR(IF(VALUE($B779)&lt;100000000,VALUE($B779),1000000000),IFERROR(IF(VALUE(MID($B779,2,20))&lt;100000000,VALUE(MID($B779,2,20)),1000000000),1000000000))+ROW()/100000,"")</f>
        <v/>
      </c>
    </row>
    <row r="780">
      <c r="A780">
        <f>IF($B780="","",IFERROR(IF(INDEX('Per Invoice'!$A$2:$A$801,MATCH($B780,'Per Invoice'!$B$2:$B$801,0))=0,"",INDEX('Per Invoice'!$A$2:$A$801,MATCH($B780,'Per Invoice'!$B$2:$B$801,0))),""))</f>
        <v/>
      </c>
      <c r="J780" s="7">
        <f>IF($B780="","",I780*Q780/100)</f>
        <v/>
      </c>
      <c r="N780" s="7" t="n"/>
      <c r="O780" s="7" t="n"/>
      <c r="P780" s="7">
        <f>IF($B780="","",O780*X780/100)</f>
        <v/>
      </c>
      <c r="Q780" s="7">
        <f>IF($B780="","",O780-P780)</f>
        <v/>
      </c>
      <c r="R780" s="7">
        <f>IF($B780="","",Q780-J780)</f>
        <v/>
      </c>
      <c r="S780" s="7" t="n"/>
      <c r="T780" s="7" t="n"/>
      <c r="V780" s="14" t="n"/>
      <c r="Z780">
        <f>IF($B780="","",IF(COUNTIF($B$2:$B780,$B780)=1,1,0))</f>
        <v/>
      </c>
      <c r="AA780">
        <f>IF($Z780=1,SUMPRODUCT(--($AC$2:$AC$3001&lt;$AC780))+1,"")</f>
        <v/>
      </c>
      <c r="AB780">
        <f>IF($B780="","",IF(OR($Y780=TRUE(),$Y780="TRUE"),1,IF(AND($Y780&lt;&gt;"",OR($Y780=FALSE(),$Y780="FALSE")),0,IF(MIN(ABS($X780/100-Settings!$C$6),ABS($X780/100-Settings!$G$6))&lt;=MIN(ABS($X780/100-Settings!$C$7),ABS($X780/100-Settings!$G$7)),1,0))))</f>
        <v/>
      </c>
      <c r="AC780">
        <f>IF($Z780=1,IFERROR(IF(VALUE($B780)&lt;100000000,VALUE($B780),1000000000),IFERROR(IF(VALUE(MID($B780,2,20))&lt;100000000,VALUE(MID($B780,2,20)),1000000000),1000000000))+ROW()/100000,"")</f>
        <v/>
      </c>
    </row>
    <row r="781">
      <c r="A781">
        <f>IF($B781="","",IFERROR(IF(INDEX('Per Invoice'!$A$2:$A$801,MATCH($B781,'Per Invoice'!$B$2:$B$801,0))=0,"",INDEX('Per Invoice'!$A$2:$A$801,MATCH($B781,'Per Invoice'!$B$2:$B$801,0))),""))</f>
        <v/>
      </c>
      <c r="J781" s="7">
        <f>IF($B781="","",I781*Q781/100)</f>
        <v/>
      </c>
      <c r="N781" s="7" t="n"/>
      <c r="O781" s="7" t="n"/>
      <c r="P781" s="7">
        <f>IF($B781="","",O781*X781/100)</f>
        <v/>
      </c>
      <c r="Q781" s="7">
        <f>IF($B781="","",O781-P781)</f>
        <v/>
      </c>
      <c r="R781" s="7">
        <f>IF($B781="","",Q781-J781)</f>
        <v/>
      </c>
      <c r="S781" s="7" t="n"/>
      <c r="T781" s="7" t="n"/>
      <c r="V781" s="14" t="n"/>
      <c r="Z781">
        <f>IF($B781="","",IF(COUNTIF($B$2:$B781,$B781)=1,1,0))</f>
        <v/>
      </c>
      <c r="AA781">
        <f>IF($Z781=1,SUMPRODUCT(--($AC$2:$AC$3001&lt;$AC781))+1,"")</f>
        <v/>
      </c>
      <c r="AB781">
        <f>IF($B781="","",IF(OR($Y781=TRUE(),$Y781="TRUE"),1,IF(AND($Y781&lt;&gt;"",OR($Y781=FALSE(),$Y781="FALSE")),0,IF(MIN(ABS($X781/100-Settings!$C$6),ABS($X781/100-Settings!$G$6))&lt;=MIN(ABS($X781/100-Settings!$C$7),ABS($X781/100-Settings!$G$7)),1,0))))</f>
        <v/>
      </c>
      <c r="AC781">
        <f>IF($Z781=1,IFERROR(IF(VALUE($B781)&lt;100000000,VALUE($B781),1000000000),IFERROR(IF(VALUE(MID($B781,2,20))&lt;100000000,VALUE(MID($B781,2,20)),1000000000),1000000000))+ROW()/100000,"")</f>
        <v/>
      </c>
    </row>
    <row r="782">
      <c r="A782">
        <f>IF($B782="","",IFERROR(IF(INDEX('Per Invoice'!$A$2:$A$801,MATCH($B782,'Per Invoice'!$B$2:$B$801,0))=0,"",INDEX('Per Invoice'!$A$2:$A$801,MATCH($B782,'Per Invoice'!$B$2:$B$801,0))),""))</f>
        <v/>
      </c>
      <c r="J782" s="7">
        <f>IF($B782="","",I782*Q782/100)</f>
        <v/>
      </c>
      <c r="N782" s="7" t="n"/>
      <c r="O782" s="7" t="n"/>
      <c r="P782" s="7">
        <f>IF($B782="","",O782*X782/100)</f>
        <v/>
      </c>
      <c r="Q782" s="7">
        <f>IF($B782="","",O782-P782)</f>
        <v/>
      </c>
      <c r="R782" s="7">
        <f>IF($B782="","",Q782-J782)</f>
        <v/>
      </c>
      <c r="S782" s="7" t="n"/>
      <c r="T782" s="7" t="n"/>
      <c r="V782" s="14" t="n"/>
      <c r="Z782">
        <f>IF($B782="","",IF(COUNTIF($B$2:$B782,$B782)=1,1,0))</f>
        <v/>
      </c>
      <c r="AA782">
        <f>IF($Z782=1,SUMPRODUCT(--($AC$2:$AC$3001&lt;$AC782))+1,"")</f>
        <v/>
      </c>
      <c r="AB782">
        <f>IF($B782="","",IF(OR($Y782=TRUE(),$Y782="TRUE"),1,IF(AND($Y782&lt;&gt;"",OR($Y782=FALSE(),$Y782="FALSE")),0,IF(MIN(ABS($X782/100-Settings!$C$6),ABS($X782/100-Settings!$G$6))&lt;=MIN(ABS($X782/100-Settings!$C$7),ABS($X782/100-Settings!$G$7)),1,0))))</f>
        <v/>
      </c>
      <c r="AC782">
        <f>IF($Z782=1,IFERROR(IF(VALUE($B782)&lt;100000000,VALUE($B782),1000000000),IFERROR(IF(VALUE(MID($B782,2,20))&lt;100000000,VALUE(MID($B782,2,20)),1000000000),1000000000))+ROW()/100000,"")</f>
        <v/>
      </c>
    </row>
    <row r="783">
      <c r="A783">
        <f>IF($B783="","",IFERROR(IF(INDEX('Per Invoice'!$A$2:$A$801,MATCH($B783,'Per Invoice'!$B$2:$B$801,0))=0,"",INDEX('Per Invoice'!$A$2:$A$801,MATCH($B783,'Per Invoice'!$B$2:$B$801,0))),""))</f>
        <v/>
      </c>
      <c r="J783" s="7">
        <f>IF($B783="","",I783*Q783/100)</f>
        <v/>
      </c>
      <c r="N783" s="7" t="n"/>
      <c r="O783" s="7" t="n"/>
      <c r="P783" s="7">
        <f>IF($B783="","",O783*X783/100)</f>
        <v/>
      </c>
      <c r="Q783" s="7">
        <f>IF($B783="","",O783-P783)</f>
        <v/>
      </c>
      <c r="R783" s="7">
        <f>IF($B783="","",Q783-J783)</f>
        <v/>
      </c>
      <c r="S783" s="7" t="n"/>
      <c r="T783" s="7" t="n"/>
      <c r="V783" s="14" t="n"/>
      <c r="Z783">
        <f>IF($B783="","",IF(COUNTIF($B$2:$B783,$B783)=1,1,0))</f>
        <v/>
      </c>
      <c r="AA783">
        <f>IF($Z783=1,SUMPRODUCT(--($AC$2:$AC$3001&lt;$AC783))+1,"")</f>
        <v/>
      </c>
      <c r="AB783">
        <f>IF($B783="","",IF(OR($Y783=TRUE(),$Y783="TRUE"),1,IF(AND($Y783&lt;&gt;"",OR($Y783=FALSE(),$Y783="FALSE")),0,IF(MIN(ABS($X783/100-Settings!$C$6),ABS($X783/100-Settings!$G$6))&lt;=MIN(ABS($X783/100-Settings!$C$7),ABS($X783/100-Settings!$G$7)),1,0))))</f>
        <v/>
      </c>
      <c r="AC783">
        <f>IF($Z783=1,IFERROR(IF(VALUE($B783)&lt;100000000,VALUE($B783),1000000000),IFERROR(IF(VALUE(MID($B783,2,20))&lt;100000000,VALUE(MID($B783,2,20)),1000000000),1000000000))+ROW()/100000,"")</f>
        <v/>
      </c>
    </row>
    <row r="784">
      <c r="A784">
        <f>IF($B784="","",IFERROR(IF(INDEX('Per Invoice'!$A$2:$A$801,MATCH($B784,'Per Invoice'!$B$2:$B$801,0))=0,"",INDEX('Per Invoice'!$A$2:$A$801,MATCH($B784,'Per Invoice'!$B$2:$B$801,0))),""))</f>
        <v/>
      </c>
      <c r="J784" s="7">
        <f>IF($B784="","",I784*Q784/100)</f>
        <v/>
      </c>
      <c r="N784" s="7" t="n"/>
      <c r="O784" s="7" t="n"/>
      <c r="P784" s="7">
        <f>IF($B784="","",O784*X784/100)</f>
        <v/>
      </c>
      <c r="Q784" s="7">
        <f>IF($B784="","",O784-P784)</f>
        <v/>
      </c>
      <c r="R784" s="7">
        <f>IF($B784="","",Q784-J784)</f>
        <v/>
      </c>
      <c r="S784" s="7" t="n"/>
      <c r="T784" s="7" t="n"/>
      <c r="V784" s="14" t="n"/>
      <c r="Z784">
        <f>IF($B784="","",IF(COUNTIF($B$2:$B784,$B784)=1,1,0))</f>
        <v/>
      </c>
      <c r="AA784">
        <f>IF($Z784=1,SUMPRODUCT(--($AC$2:$AC$3001&lt;$AC784))+1,"")</f>
        <v/>
      </c>
      <c r="AB784">
        <f>IF($B784="","",IF(OR($Y784=TRUE(),$Y784="TRUE"),1,IF(AND($Y784&lt;&gt;"",OR($Y784=FALSE(),$Y784="FALSE")),0,IF(MIN(ABS($X784/100-Settings!$C$6),ABS($X784/100-Settings!$G$6))&lt;=MIN(ABS($X784/100-Settings!$C$7),ABS($X784/100-Settings!$G$7)),1,0))))</f>
        <v/>
      </c>
      <c r="AC784">
        <f>IF($Z784=1,IFERROR(IF(VALUE($B784)&lt;100000000,VALUE($B784),1000000000),IFERROR(IF(VALUE(MID($B784,2,20))&lt;100000000,VALUE(MID($B784,2,20)),1000000000),1000000000))+ROW()/100000,"")</f>
        <v/>
      </c>
    </row>
    <row r="785">
      <c r="A785">
        <f>IF($B785="","",IFERROR(IF(INDEX('Per Invoice'!$A$2:$A$801,MATCH($B785,'Per Invoice'!$B$2:$B$801,0))=0,"",INDEX('Per Invoice'!$A$2:$A$801,MATCH($B785,'Per Invoice'!$B$2:$B$801,0))),""))</f>
        <v/>
      </c>
      <c r="J785" s="7">
        <f>IF($B785="","",I785*Q785/100)</f>
        <v/>
      </c>
      <c r="N785" s="7" t="n"/>
      <c r="O785" s="7" t="n"/>
      <c r="P785" s="7">
        <f>IF($B785="","",O785*X785/100)</f>
        <v/>
      </c>
      <c r="Q785" s="7">
        <f>IF($B785="","",O785-P785)</f>
        <v/>
      </c>
      <c r="R785" s="7">
        <f>IF($B785="","",Q785-J785)</f>
        <v/>
      </c>
      <c r="S785" s="7" t="n"/>
      <c r="T785" s="7" t="n"/>
      <c r="V785" s="14" t="n"/>
      <c r="Z785">
        <f>IF($B785="","",IF(COUNTIF($B$2:$B785,$B785)=1,1,0))</f>
        <v/>
      </c>
      <c r="AA785">
        <f>IF($Z785=1,SUMPRODUCT(--($AC$2:$AC$3001&lt;$AC785))+1,"")</f>
        <v/>
      </c>
      <c r="AB785">
        <f>IF($B785="","",IF(OR($Y785=TRUE(),$Y785="TRUE"),1,IF(AND($Y785&lt;&gt;"",OR($Y785=FALSE(),$Y785="FALSE")),0,IF(MIN(ABS($X785/100-Settings!$C$6),ABS($X785/100-Settings!$G$6))&lt;=MIN(ABS($X785/100-Settings!$C$7),ABS($X785/100-Settings!$G$7)),1,0))))</f>
        <v/>
      </c>
      <c r="AC785">
        <f>IF($Z785=1,IFERROR(IF(VALUE($B785)&lt;100000000,VALUE($B785),1000000000),IFERROR(IF(VALUE(MID($B785,2,20))&lt;100000000,VALUE(MID($B785,2,20)),1000000000),1000000000))+ROW()/100000,"")</f>
        <v/>
      </c>
    </row>
    <row r="786">
      <c r="A786">
        <f>IF($B786="","",IFERROR(IF(INDEX('Per Invoice'!$A$2:$A$801,MATCH($B786,'Per Invoice'!$B$2:$B$801,0))=0,"",INDEX('Per Invoice'!$A$2:$A$801,MATCH($B786,'Per Invoice'!$B$2:$B$801,0))),""))</f>
        <v/>
      </c>
      <c r="J786" s="7">
        <f>IF($B786="","",I786*Q786/100)</f>
        <v/>
      </c>
      <c r="N786" s="7" t="n"/>
      <c r="O786" s="7" t="n"/>
      <c r="P786" s="7">
        <f>IF($B786="","",O786*X786/100)</f>
        <v/>
      </c>
      <c r="Q786" s="7">
        <f>IF($B786="","",O786-P786)</f>
        <v/>
      </c>
      <c r="R786" s="7">
        <f>IF($B786="","",Q786-J786)</f>
        <v/>
      </c>
      <c r="S786" s="7" t="n"/>
      <c r="T786" s="7" t="n"/>
      <c r="V786" s="14" t="n"/>
      <c r="Z786">
        <f>IF($B786="","",IF(COUNTIF($B$2:$B786,$B786)=1,1,0))</f>
        <v/>
      </c>
      <c r="AA786">
        <f>IF($Z786=1,SUMPRODUCT(--($AC$2:$AC$3001&lt;$AC786))+1,"")</f>
        <v/>
      </c>
      <c r="AB786">
        <f>IF($B786="","",IF(OR($Y786=TRUE(),$Y786="TRUE"),1,IF(AND($Y786&lt;&gt;"",OR($Y786=FALSE(),$Y786="FALSE")),0,IF(MIN(ABS($X786/100-Settings!$C$6),ABS($X786/100-Settings!$G$6))&lt;=MIN(ABS($X786/100-Settings!$C$7),ABS($X786/100-Settings!$G$7)),1,0))))</f>
        <v/>
      </c>
      <c r="AC786">
        <f>IF($Z786=1,IFERROR(IF(VALUE($B786)&lt;100000000,VALUE($B786),1000000000),IFERROR(IF(VALUE(MID($B786,2,20))&lt;100000000,VALUE(MID($B786,2,20)),1000000000),1000000000))+ROW()/100000,"")</f>
        <v/>
      </c>
    </row>
    <row r="787">
      <c r="A787">
        <f>IF($B787="","",IFERROR(IF(INDEX('Per Invoice'!$A$2:$A$801,MATCH($B787,'Per Invoice'!$B$2:$B$801,0))=0,"",INDEX('Per Invoice'!$A$2:$A$801,MATCH($B787,'Per Invoice'!$B$2:$B$801,0))),""))</f>
        <v/>
      </c>
      <c r="J787" s="7">
        <f>IF($B787="","",I787*Q787/100)</f>
        <v/>
      </c>
      <c r="N787" s="7" t="n"/>
      <c r="O787" s="7" t="n"/>
      <c r="P787" s="7">
        <f>IF($B787="","",O787*X787/100)</f>
        <v/>
      </c>
      <c r="Q787" s="7">
        <f>IF($B787="","",O787-P787)</f>
        <v/>
      </c>
      <c r="R787" s="7">
        <f>IF($B787="","",Q787-J787)</f>
        <v/>
      </c>
      <c r="S787" s="7" t="n"/>
      <c r="T787" s="7" t="n"/>
      <c r="V787" s="14" t="n"/>
      <c r="Z787">
        <f>IF($B787="","",IF(COUNTIF($B$2:$B787,$B787)=1,1,0))</f>
        <v/>
      </c>
      <c r="AA787">
        <f>IF($Z787=1,SUMPRODUCT(--($AC$2:$AC$3001&lt;$AC787))+1,"")</f>
        <v/>
      </c>
      <c r="AB787">
        <f>IF($B787="","",IF(OR($Y787=TRUE(),$Y787="TRUE"),1,IF(AND($Y787&lt;&gt;"",OR($Y787=FALSE(),$Y787="FALSE")),0,IF(MIN(ABS($X787/100-Settings!$C$6),ABS($X787/100-Settings!$G$6))&lt;=MIN(ABS($X787/100-Settings!$C$7),ABS($X787/100-Settings!$G$7)),1,0))))</f>
        <v/>
      </c>
      <c r="AC787">
        <f>IF($Z787=1,IFERROR(IF(VALUE($B787)&lt;100000000,VALUE($B787),1000000000),IFERROR(IF(VALUE(MID($B787,2,20))&lt;100000000,VALUE(MID($B787,2,20)),1000000000),1000000000))+ROW()/100000,"")</f>
        <v/>
      </c>
    </row>
    <row r="788">
      <c r="A788">
        <f>IF($B788="","",IFERROR(IF(INDEX('Per Invoice'!$A$2:$A$801,MATCH($B788,'Per Invoice'!$B$2:$B$801,0))=0,"",INDEX('Per Invoice'!$A$2:$A$801,MATCH($B788,'Per Invoice'!$B$2:$B$801,0))),""))</f>
        <v/>
      </c>
      <c r="J788" s="7">
        <f>IF($B788="","",I788*Q788/100)</f>
        <v/>
      </c>
      <c r="N788" s="7" t="n"/>
      <c r="O788" s="7" t="n"/>
      <c r="P788" s="7">
        <f>IF($B788="","",O788*X788/100)</f>
        <v/>
      </c>
      <c r="Q788" s="7">
        <f>IF($B788="","",O788-P788)</f>
        <v/>
      </c>
      <c r="R788" s="7">
        <f>IF($B788="","",Q788-J788)</f>
        <v/>
      </c>
      <c r="S788" s="7" t="n"/>
      <c r="T788" s="7" t="n"/>
      <c r="V788" s="14" t="n"/>
      <c r="Z788">
        <f>IF($B788="","",IF(COUNTIF($B$2:$B788,$B788)=1,1,0))</f>
        <v/>
      </c>
      <c r="AA788">
        <f>IF($Z788=1,SUMPRODUCT(--($AC$2:$AC$3001&lt;$AC788))+1,"")</f>
        <v/>
      </c>
      <c r="AB788">
        <f>IF($B788="","",IF(OR($Y788=TRUE(),$Y788="TRUE"),1,IF(AND($Y788&lt;&gt;"",OR($Y788=FALSE(),$Y788="FALSE")),0,IF(MIN(ABS($X788/100-Settings!$C$6),ABS($X788/100-Settings!$G$6))&lt;=MIN(ABS($X788/100-Settings!$C$7),ABS($X788/100-Settings!$G$7)),1,0))))</f>
        <v/>
      </c>
      <c r="AC788">
        <f>IF($Z788=1,IFERROR(IF(VALUE($B788)&lt;100000000,VALUE($B788),1000000000),IFERROR(IF(VALUE(MID($B788,2,20))&lt;100000000,VALUE(MID($B788,2,20)),1000000000),1000000000))+ROW()/100000,"")</f>
        <v/>
      </c>
    </row>
    <row r="789">
      <c r="A789">
        <f>IF($B789="","",IFERROR(IF(INDEX('Per Invoice'!$A$2:$A$801,MATCH($B789,'Per Invoice'!$B$2:$B$801,0))=0,"",INDEX('Per Invoice'!$A$2:$A$801,MATCH($B789,'Per Invoice'!$B$2:$B$801,0))),""))</f>
        <v/>
      </c>
      <c r="J789" s="7">
        <f>IF($B789="","",I789*Q789/100)</f>
        <v/>
      </c>
      <c r="N789" s="7" t="n"/>
      <c r="O789" s="7" t="n"/>
      <c r="P789" s="7">
        <f>IF($B789="","",O789*X789/100)</f>
        <v/>
      </c>
      <c r="Q789" s="7">
        <f>IF($B789="","",O789-P789)</f>
        <v/>
      </c>
      <c r="R789" s="7">
        <f>IF($B789="","",Q789-J789)</f>
        <v/>
      </c>
      <c r="S789" s="7" t="n"/>
      <c r="T789" s="7" t="n"/>
      <c r="V789" s="14" t="n"/>
      <c r="Z789">
        <f>IF($B789="","",IF(COUNTIF($B$2:$B789,$B789)=1,1,0))</f>
        <v/>
      </c>
      <c r="AA789">
        <f>IF($Z789=1,SUMPRODUCT(--($AC$2:$AC$3001&lt;$AC789))+1,"")</f>
        <v/>
      </c>
      <c r="AB789">
        <f>IF($B789="","",IF(OR($Y789=TRUE(),$Y789="TRUE"),1,IF(AND($Y789&lt;&gt;"",OR($Y789=FALSE(),$Y789="FALSE")),0,IF(MIN(ABS($X789/100-Settings!$C$6),ABS($X789/100-Settings!$G$6))&lt;=MIN(ABS($X789/100-Settings!$C$7),ABS($X789/100-Settings!$G$7)),1,0))))</f>
        <v/>
      </c>
      <c r="AC789">
        <f>IF($Z789=1,IFERROR(IF(VALUE($B789)&lt;100000000,VALUE($B789),1000000000),IFERROR(IF(VALUE(MID($B789,2,20))&lt;100000000,VALUE(MID($B789,2,20)),1000000000),1000000000))+ROW()/100000,"")</f>
        <v/>
      </c>
    </row>
    <row r="790">
      <c r="A790">
        <f>IF($B790="","",IFERROR(IF(INDEX('Per Invoice'!$A$2:$A$801,MATCH($B790,'Per Invoice'!$B$2:$B$801,0))=0,"",INDEX('Per Invoice'!$A$2:$A$801,MATCH($B790,'Per Invoice'!$B$2:$B$801,0))),""))</f>
        <v/>
      </c>
      <c r="J790" s="7">
        <f>IF($B790="","",I790*Q790/100)</f>
        <v/>
      </c>
      <c r="N790" s="7" t="n"/>
      <c r="O790" s="7" t="n"/>
      <c r="P790" s="7">
        <f>IF($B790="","",O790*X790/100)</f>
        <v/>
      </c>
      <c r="Q790" s="7">
        <f>IF($B790="","",O790-P790)</f>
        <v/>
      </c>
      <c r="R790" s="7">
        <f>IF($B790="","",Q790-J790)</f>
        <v/>
      </c>
      <c r="S790" s="7" t="n"/>
      <c r="T790" s="7" t="n"/>
      <c r="V790" s="14" t="n"/>
      <c r="Z790">
        <f>IF($B790="","",IF(COUNTIF($B$2:$B790,$B790)=1,1,0))</f>
        <v/>
      </c>
      <c r="AA790">
        <f>IF($Z790=1,SUMPRODUCT(--($AC$2:$AC$3001&lt;$AC790))+1,"")</f>
        <v/>
      </c>
      <c r="AB790">
        <f>IF($B790="","",IF(OR($Y790=TRUE(),$Y790="TRUE"),1,IF(AND($Y790&lt;&gt;"",OR($Y790=FALSE(),$Y790="FALSE")),0,IF(MIN(ABS($X790/100-Settings!$C$6),ABS($X790/100-Settings!$G$6))&lt;=MIN(ABS($X790/100-Settings!$C$7),ABS($X790/100-Settings!$G$7)),1,0))))</f>
        <v/>
      </c>
      <c r="AC790">
        <f>IF($Z790=1,IFERROR(IF(VALUE($B790)&lt;100000000,VALUE($B790),1000000000),IFERROR(IF(VALUE(MID($B790,2,20))&lt;100000000,VALUE(MID($B790,2,20)),1000000000),1000000000))+ROW()/100000,"")</f>
        <v/>
      </c>
    </row>
    <row r="791">
      <c r="A791">
        <f>IF($B791="","",IFERROR(IF(INDEX('Per Invoice'!$A$2:$A$801,MATCH($B791,'Per Invoice'!$B$2:$B$801,0))=0,"",INDEX('Per Invoice'!$A$2:$A$801,MATCH($B791,'Per Invoice'!$B$2:$B$801,0))),""))</f>
        <v/>
      </c>
      <c r="J791" s="7">
        <f>IF($B791="","",I791*Q791/100)</f>
        <v/>
      </c>
      <c r="N791" s="7" t="n"/>
      <c r="O791" s="7" t="n"/>
      <c r="P791" s="7">
        <f>IF($B791="","",O791*X791/100)</f>
        <v/>
      </c>
      <c r="Q791" s="7">
        <f>IF($B791="","",O791-P791)</f>
        <v/>
      </c>
      <c r="R791" s="7">
        <f>IF($B791="","",Q791-J791)</f>
        <v/>
      </c>
      <c r="S791" s="7" t="n"/>
      <c r="T791" s="7" t="n"/>
      <c r="V791" s="14" t="n"/>
      <c r="Z791">
        <f>IF($B791="","",IF(COUNTIF($B$2:$B791,$B791)=1,1,0))</f>
        <v/>
      </c>
      <c r="AA791">
        <f>IF($Z791=1,SUMPRODUCT(--($AC$2:$AC$3001&lt;$AC791))+1,"")</f>
        <v/>
      </c>
      <c r="AB791">
        <f>IF($B791="","",IF(OR($Y791=TRUE(),$Y791="TRUE"),1,IF(AND($Y791&lt;&gt;"",OR($Y791=FALSE(),$Y791="FALSE")),0,IF(MIN(ABS($X791/100-Settings!$C$6),ABS($X791/100-Settings!$G$6))&lt;=MIN(ABS($X791/100-Settings!$C$7),ABS($X791/100-Settings!$G$7)),1,0))))</f>
        <v/>
      </c>
      <c r="AC791">
        <f>IF($Z791=1,IFERROR(IF(VALUE($B791)&lt;100000000,VALUE($B791),1000000000),IFERROR(IF(VALUE(MID($B791,2,20))&lt;100000000,VALUE(MID($B791,2,20)),1000000000),1000000000))+ROW()/100000,"")</f>
        <v/>
      </c>
    </row>
    <row r="792">
      <c r="A792">
        <f>IF($B792="","",IFERROR(IF(INDEX('Per Invoice'!$A$2:$A$801,MATCH($B792,'Per Invoice'!$B$2:$B$801,0))=0,"",INDEX('Per Invoice'!$A$2:$A$801,MATCH($B792,'Per Invoice'!$B$2:$B$801,0))),""))</f>
        <v/>
      </c>
      <c r="J792" s="7">
        <f>IF($B792="","",I792*Q792/100)</f>
        <v/>
      </c>
      <c r="N792" s="7" t="n"/>
      <c r="O792" s="7" t="n"/>
      <c r="P792" s="7">
        <f>IF($B792="","",O792*X792/100)</f>
        <v/>
      </c>
      <c r="Q792" s="7">
        <f>IF($B792="","",O792-P792)</f>
        <v/>
      </c>
      <c r="R792" s="7">
        <f>IF($B792="","",Q792-J792)</f>
        <v/>
      </c>
      <c r="S792" s="7" t="n"/>
      <c r="T792" s="7" t="n"/>
      <c r="V792" s="14" t="n"/>
      <c r="Z792">
        <f>IF($B792="","",IF(COUNTIF($B$2:$B792,$B792)=1,1,0))</f>
        <v/>
      </c>
      <c r="AA792">
        <f>IF($Z792=1,SUMPRODUCT(--($AC$2:$AC$3001&lt;$AC792))+1,"")</f>
        <v/>
      </c>
      <c r="AB792">
        <f>IF($B792="","",IF(OR($Y792=TRUE(),$Y792="TRUE"),1,IF(AND($Y792&lt;&gt;"",OR($Y792=FALSE(),$Y792="FALSE")),0,IF(MIN(ABS($X792/100-Settings!$C$6),ABS($X792/100-Settings!$G$6))&lt;=MIN(ABS($X792/100-Settings!$C$7),ABS($X792/100-Settings!$G$7)),1,0))))</f>
        <v/>
      </c>
      <c r="AC792">
        <f>IF($Z792=1,IFERROR(IF(VALUE($B792)&lt;100000000,VALUE($B792),1000000000),IFERROR(IF(VALUE(MID($B792,2,20))&lt;100000000,VALUE(MID($B792,2,20)),1000000000),1000000000))+ROW()/100000,"")</f>
        <v/>
      </c>
    </row>
    <row r="793">
      <c r="A793">
        <f>IF($B793="","",IFERROR(IF(INDEX('Per Invoice'!$A$2:$A$801,MATCH($B793,'Per Invoice'!$B$2:$B$801,0))=0,"",INDEX('Per Invoice'!$A$2:$A$801,MATCH($B793,'Per Invoice'!$B$2:$B$801,0))),""))</f>
        <v/>
      </c>
      <c r="J793" s="7">
        <f>IF($B793="","",I793*Q793/100)</f>
        <v/>
      </c>
      <c r="N793" s="7" t="n"/>
      <c r="O793" s="7" t="n"/>
      <c r="P793" s="7">
        <f>IF($B793="","",O793*X793/100)</f>
        <v/>
      </c>
      <c r="Q793" s="7">
        <f>IF($B793="","",O793-P793)</f>
        <v/>
      </c>
      <c r="R793" s="7">
        <f>IF($B793="","",Q793-J793)</f>
        <v/>
      </c>
      <c r="S793" s="7" t="n"/>
      <c r="T793" s="7" t="n"/>
      <c r="V793" s="14" t="n"/>
      <c r="Z793">
        <f>IF($B793="","",IF(COUNTIF($B$2:$B793,$B793)=1,1,0))</f>
        <v/>
      </c>
      <c r="AA793">
        <f>IF($Z793=1,SUMPRODUCT(--($AC$2:$AC$3001&lt;$AC793))+1,"")</f>
        <v/>
      </c>
      <c r="AB793">
        <f>IF($B793="","",IF(OR($Y793=TRUE(),$Y793="TRUE"),1,IF(AND($Y793&lt;&gt;"",OR($Y793=FALSE(),$Y793="FALSE")),0,IF(MIN(ABS($X793/100-Settings!$C$6),ABS($X793/100-Settings!$G$6))&lt;=MIN(ABS($X793/100-Settings!$C$7),ABS($X793/100-Settings!$G$7)),1,0))))</f>
        <v/>
      </c>
      <c r="AC793">
        <f>IF($Z793=1,IFERROR(IF(VALUE($B793)&lt;100000000,VALUE($B793),1000000000),IFERROR(IF(VALUE(MID($B793,2,20))&lt;100000000,VALUE(MID($B793,2,20)),1000000000),1000000000))+ROW()/100000,"")</f>
        <v/>
      </c>
    </row>
    <row r="794">
      <c r="A794">
        <f>IF($B794="","",IFERROR(IF(INDEX('Per Invoice'!$A$2:$A$801,MATCH($B794,'Per Invoice'!$B$2:$B$801,0))=0,"",INDEX('Per Invoice'!$A$2:$A$801,MATCH($B794,'Per Invoice'!$B$2:$B$801,0))),""))</f>
        <v/>
      </c>
      <c r="J794" s="7">
        <f>IF($B794="","",I794*Q794/100)</f>
        <v/>
      </c>
      <c r="N794" s="7" t="n"/>
      <c r="O794" s="7" t="n"/>
      <c r="P794" s="7">
        <f>IF($B794="","",O794*X794/100)</f>
        <v/>
      </c>
      <c r="Q794" s="7">
        <f>IF($B794="","",O794-P794)</f>
        <v/>
      </c>
      <c r="R794" s="7">
        <f>IF($B794="","",Q794-J794)</f>
        <v/>
      </c>
      <c r="S794" s="7" t="n"/>
      <c r="T794" s="7" t="n"/>
      <c r="V794" s="14" t="n"/>
      <c r="Z794">
        <f>IF($B794="","",IF(COUNTIF($B$2:$B794,$B794)=1,1,0))</f>
        <v/>
      </c>
      <c r="AA794">
        <f>IF($Z794=1,SUMPRODUCT(--($AC$2:$AC$3001&lt;$AC794))+1,"")</f>
        <v/>
      </c>
      <c r="AB794">
        <f>IF($B794="","",IF(OR($Y794=TRUE(),$Y794="TRUE"),1,IF(AND($Y794&lt;&gt;"",OR($Y794=FALSE(),$Y794="FALSE")),0,IF(MIN(ABS($X794/100-Settings!$C$6),ABS($X794/100-Settings!$G$6))&lt;=MIN(ABS($X794/100-Settings!$C$7),ABS($X794/100-Settings!$G$7)),1,0))))</f>
        <v/>
      </c>
      <c r="AC794">
        <f>IF($Z794=1,IFERROR(IF(VALUE($B794)&lt;100000000,VALUE($B794),1000000000),IFERROR(IF(VALUE(MID($B794,2,20))&lt;100000000,VALUE(MID($B794,2,20)),1000000000),1000000000))+ROW()/100000,"")</f>
        <v/>
      </c>
    </row>
    <row r="795">
      <c r="A795">
        <f>IF($B795="","",IFERROR(IF(INDEX('Per Invoice'!$A$2:$A$801,MATCH($B795,'Per Invoice'!$B$2:$B$801,0))=0,"",INDEX('Per Invoice'!$A$2:$A$801,MATCH($B795,'Per Invoice'!$B$2:$B$801,0))),""))</f>
        <v/>
      </c>
      <c r="J795" s="7">
        <f>IF($B795="","",I795*Q795/100)</f>
        <v/>
      </c>
      <c r="N795" s="7" t="n"/>
      <c r="O795" s="7" t="n"/>
      <c r="P795" s="7">
        <f>IF($B795="","",O795*X795/100)</f>
        <v/>
      </c>
      <c r="Q795" s="7">
        <f>IF($B795="","",O795-P795)</f>
        <v/>
      </c>
      <c r="R795" s="7">
        <f>IF($B795="","",Q795-J795)</f>
        <v/>
      </c>
      <c r="S795" s="7" t="n"/>
      <c r="T795" s="7" t="n"/>
      <c r="V795" s="14" t="n"/>
      <c r="Z795">
        <f>IF($B795="","",IF(COUNTIF($B$2:$B795,$B795)=1,1,0))</f>
        <v/>
      </c>
      <c r="AA795">
        <f>IF($Z795=1,SUMPRODUCT(--($AC$2:$AC$3001&lt;$AC795))+1,"")</f>
        <v/>
      </c>
      <c r="AB795">
        <f>IF($B795="","",IF(OR($Y795=TRUE(),$Y795="TRUE"),1,IF(AND($Y795&lt;&gt;"",OR($Y795=FALSE(),$Y795="FALSE")),0,IF(MIN(ABS($X795/100-Settings!$C$6),ABS($X795/100-Settings!$G$6))&lt;=MIN(ABS($X795/100-Settings!$C$7),ABS($X795/100-Settings!$G$7)),1,0))))</f>
        <v/>
      </c>
      <c r="AC795">
        <f>IF($Z795=1,IFERROR(IF(VALUE($B795)&lt;100000000,VALUE($B795),1000000000),IFERROR(IF(VALUE(MID($B795,2,20))&lt;100000000,VALUE(MID($B795,2,20)),1000000000),1000000000))+ROW()/100000,"")</f>
        <v/>
      </c>
    </row>
    <row r="796">
      <c r="A796">
        <f>IF($B796="","",IFERROR(IF(INDEX('Per Invoice'!$A$2:$A$801,MATCH($B796,'Per Invoice'!$B$2:$B$801,0))=0,"",INDEX('Per Invoice'!$A$2:$A$801,MATCH($B796,'Per Invoice'!$B$2:$B$801,0))),""))</f>
        <v/>
      </c>
      <c r="J796" s="7">
        <f>IF($B796="","",I796*Q796/100)</f>
        <v/>
      </c>
      <c r="N796" s="7" t="n"/>
      <c r="O796" s="7" t="n"/>
      <c r="P796" s="7">
        <f>IF($B796="","",O796*X796/100)</f>
        <v/>
      </c>
      <c r="Q796" s="7">
        <f>IF($B796="","",O796-P796)</f>
        <v/>
      </c>
      <c r="R796" s="7">
        <f>IF($B796="","",Q796-J796)</f>
        <v/>
      </c>
      <c r="S796" s="7" t="n"/>
      <c r="T796" s="7" t="n"/>
      <c r="V796" s="14" t="n"/>
      <c r="Z796">
        <f>IF($B796="","",IF(COUNTIF($B$2:$B796,$B796)=1,1,0))</f>
        <v/>
      </c>
      <c r="AA796">
        <f>IF($Z796=1,SUMPRODUCT(--($AC$2:$AC$3001&lt;$AC796))+1,"")</f>
        <v/>
      </c>
      <c r="AB796">
        <f>IF($B796="","",IF(OR($Y796=TRUE(),$Y796="TRUE"),1,IF(AND($Y796&lt;&gt;"",OR($Y796=FALSE(),$Y796="FALSE")),0,IF(MIN(ABS($X796/100-Settings!$C$6),ABS($X796/100-Settings!$G$6))&lt;=MIN(ABS($X796/100-Settings!$C$7),ABS($X796/100-Settings!$G$7)),1,0))))</f>
        <v/>
      </c>
      <c r="AC796">
        <f>IF($Z796=1,IFERROR(IF(VALUE($B796)&lt;100000000,VALUE($B796),1000000000),IFERROR(IF(VALUE(MID($B796,2,20))&lt;100000000,VALUE(MID($B796,2,20)),1000000000),1000000000))+ROW()/100000,"")</f>
        <v/>
      </c>
    </row>
    <row r="797">
      <c r="A797">
        <f>IF($B797="","",IFERROR(IF(INDEX('Per Invoice'!$A$2:$A$801,MATCH($B797,'Per Invoice'!$B$2:$B$801,0))=0,"",INDEX('Per Invoice'!$A$2:$A$801,MATCH($B797,'Per Invoice'!$B$2:$B$801,0))),""))</f>
        <v/>
      </c>
      <c r="J797" s="7">
        <f>IF($B797="","",I797*Q797/100)</f>
        <v/>
      </c>
      <c r="N797" s="7" t="n"/>
      <c r="O797" s="7" t="n"/>
      <c r="P797" s="7">
        <f>IF($B797="","",O797*X797/100)</f>
        <v/>
      </c>
      <c r="Q797" s="7">
        <f>IF($B797="","",O797-P797)</f>
        <v/>
      </c>
      <c r="R797" s="7">
        <f>IF($B797="","",Q797-J797)</f>
        <v/>
      </c>
      <c r="S797" s="7" t="n"/>
      <c r="T797" s="7" t="n"/>
      <c r="V797" s="14" t="n"/>
      <c r="Z797">
        <f>IF($B797="","",IF(COUNTIF($B$2:$B797,$B797)=1,1,0))</f>
        <v/>
      </c>
      <c r="AA797">
        <f>IF($Z797=1,SUMPRODUCT(--($AC$2:$AC$3001&lt;$AC797))+1,"")</f>
        <v/>
      </c>
      <c r="AB797">
        <f>IF($B797="","",IF(OR($Y797=TRUE(),$Y797="TRUE"),1,IF(AND($Y797&lt;&gt;"",OR($Y797=FALSE(),$Y797="FALSE")),0,IF(MIN(ABS($X797/100-Settings!$C$6),ABS($X797/100-Settings!$G$6))&lt;=MIN(ABS($X797/100-Settings!$C$7),ABS($X797/100-Settings!$G$7)),1,0))))</f>
        <v/>
      </c>
      <c r="AC797">
        <f>IF($Z797=1,IFERROR(IF(VALUE($B797)&lt;100000000,VALUE($B797),1000000000),IFERROR(IF(VALUE(MID($B797,2,20))&lt;100000000,VALUE(MID($B797,2,20)),1000000000),1000000000))+ROW()/100000,"")</f>
        <v/>
      </c>
    </row>
    <row r="798">
      <c r="A798">
        <f>IF($B798="","",IFERROR(IF(INDEX('Per Invoice'!$A$2:$A$801,MATCH($B798,'Per Invoice'!$B$2:$B$801,0))=0,"",INDEX('Per Invoice'!$A$2:$A$801,MATCH($B798,'Per Invoice'!$B$2:$B$801,0))),""))</f>
        <v/>
      </c>
      <c r="J798" s="7">
        <f>IF($B798="","",I798*Q798/100)</f>
        <v/>
      </c>
      <c r="N798" s="7" t="n"/>
      <c r="O798" s="7" t="n"/>
      <c r="P798" s="7">
        <f>IF($B798="","",O798*X798/100)</f>
        <v/>
      </c>
      <c r="Q798" s="7">
        <f>IF($B798="","",O798-P798)</f>
        <v/>
      </c>
      <c r="R798" s="7">
        <f>IF($B798="","",Q798-J798)</f>
        <v/>
      </c>
      <c r="S798" s="7" t="n"/>
      <c r="T798" s="7" t="n"/>
      <c r="V798" s="14" t="n"/>
      <c r="Z798">
        <f>IF($B798="","",IF(COUNTIF($B$2:$B798,$B798)=1,1,0))</f>
        <v/>
      </c>
      <c r="AA798">
        <f>IF($Z798=1,SUMPRODUCT(--($AC$2:$AC$3001&lt;$AC798))+1,"")</f>
        <v/>
      </c>
      <c r="AB798">
        <f>IF($B798="","",IF(OR($Y798=TRUE(),$Y798="TRUE"),1,IF(AND($Y798&lt;&gt;"",OR($Y798=FALSE(),$Y798="FALSE")),0,IF(MIN(ABS($X798/100-Settings!$C$6),ABS($X798/100-Settings!$G$6))&lt;=MIN(ABS($X798/100-Settings!$C$7),ABS($X798/100-Settings!$G$7)),1,0))))</f>
        <v/>
      </c>
      <c r="AC798">
        <f>IF($Z798=1,IFERROR(IF(VALUE($B798)&lt;100000000,VALUE($B798),1000000000),IFERROR(IF(VALUE(MID($B798,2,20))&lt;100000000,VALUE(MID($B798,2,20)),1000000000),1000000000))+ROW()/100000,"")</f>
        <v/>
      </c>
    </row>
    <row r="799">
      <c r="A799">
        <f>IF($B799="","",IFERROR(IF(INDEX('Per Invoice'!$A$2:$A$801,MATCH($B799,'Per Invoice'!$B$2:$B$801,0))=0,"",INDEX('Per Invoice'!$A$2:$A$801,MATCH($B799,'Per Invoice'!$B$2:$B$801,0))),""))</f>
        <v/>
      </c>
      <c r="J799" s="7">
        <f>IF($B799="","",I799*Q799/100)</f>
        <v/>
      </c>
      <c r="N799" s="7" t="n"/>
      <c r="O799" s="7" t="n"/>
      <c r="P799" s="7">
        <f>IF($B799="","",O799*X799/100)</f>
        <v/>
      </c>
      <c r="Q799" s="7">
        <f>IF($B799="","",O799-P799)</f>
        <v/>
      </c>
      <c r="R799" s="7">
        <f>IF($B799="","",Q799-J799)</f>
        <v/>
      </c>
      <c r="S799" s="7" t="n"/>
      <c r="T799" s="7" t="n"/>
      <c r="V799" s="14" t="n"/>
      <c r="Z799">
        <f>IF($B799="","",IF(COUNTIF($B$2:$B799,$B799)=1,1,0))</f>
        <v/>
      </c>
      <c r="AA799">
        <f>IF($Z799=1,SUMPRODUCT(--($AC$2:$AC$3001&lt;$AC799))+1,"")</f>
        <v/>
      </c>
      <c r="AB799">
        <f>IF($B799="","",IF(OR($Y799=TRUE(),$Y799="TRUE"),1,IF(AND($Y799&lt;&gt;"",OR($Y799=FALSE(),$Y799="FALSE")),0,IF(MIN(ABS($X799/100-Settings!$C$6),ABS($X799/100-Settings!$G$6))&lt;=MIN(ABS($X799/100-Settings!$C$7),ABS($X799/100-Settings!$G$7)),1,0))))</f>
        <v/>
      </c>
      <c r="AC799">
        <f>IF($Z799=1,IFERROR(IF(VALUE($B799)&lt;100000000,VALUE($B799),1000000000),IFERROR(IF(VALUE(MID($B799,2,20))&lt;100000000,VALUE(MID($B799,2,20)),1000000000),1000000000))+ROW()/100000,"")</f>
        <v/>
      </c>
    </row>
    <row r="800">
      <c r="A800">
        <f>IF($B800="","",IFERROR(IF(INDEX('Per Invoice'!$A$2:$A$801,MATCH($B800,'Per Invoice'!$B$2:$B$801,0))=0,"",INDEX('Per Invoice'!$A$2:$A$801,MATCH($B800,'Per Invoice'!$B$2:$B$801,0))),""))</f>
        <v/>
      </c>
      <c r="J800" s="7">
        <f>IF($B800="","",I800*Q800/100)</f>
        <v/>
      </c>
      <c r="N800" s="7" t="n"/>
      <c r="O800" s="7" t="n"/>
      <c r="P800" s="7">
        <f>IF($B800="","",O800*X800/100)</f>
        <v/>
      </c>
      <c r="Q800" s="7">
        <f>IF($B800="","",O800-P800)</f>
        <v/>
      </c>
      <c r="R800" s="7">
        <f>IF($B800="","",Q800-J800)</f>
        <v/>
      </c>
      <c r="S800" s="7" t="n"/>
      <c r="T800" s="7" t="n"/>
      <c r="V800" s="14" t="n"/>
      <c r="Z800">
        <f>IF($B800="","",IF(COUNTIF($B$2:$B800,$B800)=1,1,0))</f>
        <v/>
      </c>
      <c r="AA800">
        <f>IF($Z800=1,SUMPRODUCT(--($AC$2:$AC$3001&lt;$AC800))+1,"")</f>
        <v/>
      </c>
      <c r="AB800">
        <f>IF($B800="","",IF(OR($Y800=TRUE(),$Y800="TRUE"),1,IF(AND($Y800&lt;&gt;"",OR($Y800=FALSE(),$Y800="FALSE")),0,IF(MIN(ABS($X800/100-Settings!$C$6),ABS($X800/100-Settings!$G$6))&lt;=MIN(ABS($X800/100-Settings!$C$7),ABS($X800/100-Settings!$G$7)),1,0))))</f>
        <v/>
      </c>
      <c r="AC800">
        <f>IF($Z800=1,IFERROR(IF(VALUE($B800)&lt;100000000,VALUE($B800),1000000000),IFERROR(IF(VALUE(MID($B800,2,20))&lt;100000000,VALUE(MID($B800,2,20)),1000000000),1000000000))+ROW()/100000,"")</f>
        <v/>
      </c>
    </row>
    <row r="801">
      <c r="A801">
        <f>IF($B801="","",IFERROR(IF(INDEX('Per Invoice'!$A$2:$A$801,MATCH($B801,'Per Invoice'!$B$2:$B$801,0))=0,"",INDEX('Per Invoice'!$A$2:$A$801,MATCH($B801,'Per Invoice'!$B$2:$B$801,0))),""))</f>
        <v/>
      </c>
      <c r="J801" s="7">
        <f>IF($B801="","",I801*Q801/100)</f>
        <v/>
      </c>
      <c r="N801" s="7" t="n"/>
      <c r="O801" s="7" t="n"/>
      <c r="P801" s="7">
        <f>IF($B801="","",O801*X801/100)</f>
        <v/>
      </c>
      <c r="Q801" s="7">
        <f>IF($B801="","",O801-P801)</f>
        <v/>
      </c>
      <c r="R801" s="7">
        <f>IF($B801="","",Q801-J801)</f>
        <v/>
      </c>
      <c r="S801" s="7" t="n"/>
      <c r="T801" s="7" t="n"/>
      <c r="V801" s="14" t="n"/>
      <c r="Z801">
        <f>IF($B801="","",IF(COUNTIF($B$2:$B801,$B801)=1,1,0))</f>
        <v/>
      </c>
      <c r="AA801">
        <f>IF($Z801=1,SUMPRODUCT(--($AC$2:$AC$3001&lt;$AC801))+1,"")</f>
        <v/>
      </c>
      <c r="AB801">
        <f>IF($B801="","",IF(OR($Y801=TRUE(),$Y801="TRUE"),1,IF(AND($Y801&lt;&gt;"",OR($Y801=FALSE(),$Y801="FALSE")),0,IF(MIN(ABS($X801/100-Settings!$C$6),ABS($X801/100-Settings!$G$6))&lt;=MIN(ABS($X801/100-Settings!$C$7),ABS($X801/100-Settings!$G$7)),1,0))))</f>
        <v/>
      </c>
      <c r="AC801">
        <f>IF($Z801=1,IFERROR(IF(VALUE($B801)&lt;100000000,VALUE($B801),1000000000),IFERROR(IF(VALUE(MID($B801,2,20))&lt;100000000,VALUE(MID($B801,2,20)),1000000000),1000000000))+ROW()/100000,"")</f>
        <v/>
      </c>
    </row>
    <row r="802">
      <c r="A802">
        <f>IF($B802="","",IFERROR(IF(INDEX('Per Invoice'!$A$2:$A$801,MATCH($B802,'Per Invoice'!$B$2:$B$801,0))=0,"",INDEX('Per Invoice'!$A$2:$A$801,MATCH($B802,'Per Invoice'!$B$2:$B$801,0))),""))</f>
        <v/>
      </c>
      <c r="J802" s="7">
        <f>IF($B802="","",I802*Q802/100)</f>
        <v/>
      </c>
      <c r="N802" s="7" t="n"/>
      <c r="O802" s="7" t="n"/>
      <c r="P802" s="7">
        <f>IF($B802="","",O802*X802/100)</f>
        <v/>
      </c>
      <c r="Q802" s="7">
        <f>IF($B802="","",O802-P802)</f>
        <v/>
      </c>
      <c r="R802" s="7">
        <f>IF($B802="","",Q802-J802)</f>
        <v/>
      </c>
      <c r="S802" s="7" t="n"/>
      <c r="T802" s="7" t="n"/>
      <c r="V802" s="14" t="n"/>
      <c r="Z802">
        <f>IF($B802="","",IF(COUNTIF($B$2:$B802,$B802)=1,1,0))</f>
        <v/>
      </c>
      <c r="AA802">
        <f>IF($Z802=1,SUMPRODUCT(--($AC$2:$AC$3001&lt;$AC802))+1,"")</f>
        <v/>
      </c>
      <c r="AB802">
        <f>IF($B802="","",IF(OR($Y802=TRUE(),$Y802="TRUE"),1,IF(AND($Y802&lt;&gt;"",OR($Y802=FALSE(),$Y802="FALSE")),0,IF(MIN(ABS($X802/100-Settings!$C$6),ABS($X802/100-Settings!$G$6))&lt;=MIN(ABS($X802/100-Settings!$C$7),ABS($X802/100-Settings!$G$7)),1,0))))</f>
        <v/>
      </c>
      <c r="AC802">
        <f>IF($Z802=1,IFERROR(IF(VALUE($B802)&lt;100000000,VALUE($B802),1000000000),IFERROR(IF(VALUE(MID($B802,2,20))&lt;100000000,VALUE(MID($B802,2,20)),1000000000),1000000000))+ROW()/100000,"")</f>
        <v/>
      </c>
    </row>
    <row r="803">
      <c r="A803">
        <f>IF($B803="","",IFERROR(IF(INDEX('Per Invoice'!$A$2:$A$801,MATCH($B803,'Per Invoice'!$B$2:$B$801,0))=0,"",INDEX('Per Invoice'!$A$2:$A$801,MATCH($B803,'Per Invoice'!$B$2:$B$801,0))),""))</f>
        <v/>
      </c>
      <c r="J803" s="7">
        <f>IF($B803="","",I803*Q803/100)</f>
        <v/>
      </c>
      <c r="N803" s="7" t="n"/>
      <c r="O803" s="7" t="n"/>
      <c r="P803" s="7">
        <f>IF($B803="","",O803*X803/100)</f>
        <v/>
      </c>
      <c r="Q803" s="7">
        <f>IF($B803="","",O803-P803)</f>
        <v/>
      </c>
      <c r="R803" s="7">
        <f>IF($B803="","",Q803-J803)</f>
        <v/>
      </c>
      <c r="S803" s="7" t="n"/>
      <c r="T803" s="7" t="n"/>
      <c r="V803" s="14" t="n"/>
      <c r="Z803">
        <f>IF($B803="","",IF(COUNTIF($B$2:$B803,$B803)=1,1,0))</f>
        <v/>
      </c>
      <c r="AA803">
        <f>IF($Z803=1,SUMPRODUCT(--($AC$2:$AC$3001&lt;$AC803))+1,"")</f>
        <v/>
      </c>
      <c r="AB803">
        <f>IF($B803="","",IF(OR($Y803=TRUE(),$Y803="TRUE"),1,IF(AND($Y803&lt;&gt;"",OR($Y803=FALSE(),$Y803="FALSE")),0,IF(MIN(ABS($X803/100-Settings!$C$6),ABS($X803/100-Settings!$G$6))&lt;=MIN(ABS($X803/100-Settings!$C$7),ABS($X803/100-Settings!$G$7)),1,0))))</f>
        <v/>
      </c>
      <c r="AC803">
        <f>IF($Z803=1,IFERROR(IF(VALUE($B803)&lt;100000000,VALUE($B803),1000000000),IFERROR(IF(VALUE(MID($B803,2,20))&lt;100000000,VALUE(MID($B803,2,20)),1000000000),1000000000))+ROW()/100000,"")</f>
        <v/>
      </c>
    </row>
    <row r="804">
      <c r="A804">
        <f>IF($B804="","",IFERROR(IF(INDEX('Per Invoice'!$A$2:$A$801,MATCH($B804,'Per Invoice'!$B$2:$B$801,0))=0,"",INDEX('Per Invoice'!$A$2:$A$801,MATCH($B804,'Per Invoice'!$B$2:$B$801,0))),""))</f>
        <v/>
      </c>
      <c r="J804" s="7">
        <f>IF($B804="","",I804*Q804/100)</f>
        <v/>
      </c>
      <c r="N804" s="7" t="n"/>
      <c r="O804" s="7" t="n"/>
      <c r="P804" s="7">
        <f>IF($B804="","",O804*X804/100)</f>
        <v/>
      </c>
      <c r="Q804" s="7">
        <f>IF($B804="","",O804-P804)</f>
        <v/>
      </c>
      <c r="R804" s="7">
        <f>IF($B804="","",Q804-J804)</f>
        <v/>
      </c>
      <c r="S804" s="7" t="n"/>
      <c r="T804" s="7" t="n"/>
      <c r="V804" s="14" t="n"/>
      <c r="Z804">
        <f>IF($B804="","",IF(COUNTIF($B$2:$B804,$B804)=1,1,0))</f>
        <v/>
      </c>
      <c r="AA804">
        <f>IF($Z804=1,SUMPRODUCT(--($AC$2:$AC$3001&lt;$AC804))+1,"")</f>
        <v/>
      </c>
      <c r="AB804">
        <f>IF($B804="","",IF(OR($Y804=TRUE(),$Y804="TRUE"),1,IF(AND($Y804&lt;&gt;"",OR($Y804=FALSE(),$Y804="FALSE")),0,IF(MIN(ABS($X804/100-Settings!$C$6),ABS($X804/100-Settings!$G$6))&lt;=MIN(ABS($X804/100-Settings!$C$7),ABS($X804/100-Settings!$G$7)),1,0))))</f>
        <v/>
      </c>
      <c r="AC804">
        <f>IF($Z804=1,IFERROR(IF(VALUE($B804)&lt;100000000,VALUE($B804),1000000000),IFERROR(IF(VALUE(MID($B804,2,20))&lt;100000000,VALUE(MID($B804,2,20)),1000000000),1000000000))+ROW()/100000,"")</f>
        <v/>
      </c>
    </row>
    <row r="805">
      <c r="A805">
        <f>IF($B805="","",IFERROR(IF(INDEX('Per Invoice'!$A$2:$A$801,MATCH($B805,'Per Invoice'!$B$2:$B$801,0))=0,"",INDEX('Per Invoice'!$A$2:$A$801,MATCH($B805,'Per Invoice'!$B$2:$B$801,0))),""))</f>
        <v/>
      </c>
      <c r="J805" s="7">
        <f>IF($B805="","",I805*Q805/100)</f>
        <v/>
      </c>
      <c r="N805" s="7" t="n"/>
      <c r="O805" s="7" t="n"/>
      <c r="P805" s="7">
        <f>IF($B805="","",O805*X805/100)</f>
        <v/>
      </c>
      <c r="Q805" s="7">
        <f>IF($B805="","",O805-P805)</f>
        <v/>
      </c>
      <c r="R805" s="7">
        <f>IF($B805="","",Q805-J805)</f>
        <v/>
      </c>
      <c r="S805" s="7" t="n"/>
      <c r="T805" s="7" t="n"/>
      <c r="V805" s="14" t="n"/>
      <c r="Z805">
        <f>IF($B805="","",IF(COUNTIF($B$2:$B805,$B805)=1,1,0))</f>
        <v/>
      </c>
      <c r="AA805">
        <f>IF($Z805=1,SUMPRODUCT(--($AC$2:$AC$3001&lt;$AC805))+1,"")</f>
        <v/>
      </c>
      <c r="AB805">
        <f>IF($B805="","",IF(OR($Y805=TRUE(),$Y805="TRUE"),1,IF(AND($Y805&lt;&gt;"",OR($Y805=FALSE(),$Y805="FALSE")),0,IF(MIN(ABS($X805/100-Settings!$C$6),ABS($X805/100-Settings!$G$6))&lt;=MIN(ABS($X805/100-Settings!$C$7),ABS($X805/100-Settings!$G$7)),1,0))))</f>
        <v/>
      </c>
      <c r="AC805">
        <f>IF($Z805=1,IFERROR(IF(VALUE($B805)&lt;100000000,VALUE($B805),1000000000),IFERROR(IF(VALUE(MID($B805,2,20))&lt;100000000,VALUE(MID($B805,2,20)),1000000000),1000000000))+ROW()/100000,"")</f>
        <v/>
      </c>
    </row>
    <row r="806">
      <c r="A806">
        <f>IF($B806="","",IFERROR(IF(INDEX('Per Invoice'!$A$2:$A$801,MATCH($B806,'Per Invoice'!$B$2:$B$801,0))=0,"",INDEX('Per Invoice'!$A$2:$A$801,MATCH($B806,'Per Invoice'!$B$2:$B$801,0))),""))</f>
        <v/>
      </c>
      <c r="J806" s="7">
        <f>IF($B806="","",I806*Q806/100)</f>
        <v/>
      </c>
      <c r="N806" s="7" t="n"/>
      <c r="O806" s="7" t="n"/>
      <c r="P806" s="7">
        <f>IF($B806="","",O806*X806/100)</f>
        <v/>
      </c>
      <c r="Q806" s="7">
        <f>IF($B806="","",O806-P806)</f>
        <v/>
      </c>
      <c r="R806" s="7">
        <f>IF($B806="","",Q806-J806)</f>
        <v/>
      </c>
      <c r="S806" s="7" t="n"/>
      <c r="T806" s="7" t="n"/>
      <c r="V806" s="14" t="n"/>
      <c r="Z806">
        <f>IF($B806="","",IF(COUNTIF($B$2:$B806,$B806)=1,1,0))</f>
        <v/>
      </c>
      <c r="AA806">
        <f>IF($Z806=1,SUMPRODUCT(--($AC$2:$AC$3001&lt;$AC806))+1,"")</f>
        <v/>
      </c>
      <c r="AB806">
        <f>IF($B806="","",IF(OR($Y806=TRUE(),$Y806="TRUE"),1,IF(AND($Y806&lt;&gt;"",OR($Y806=FALSE(),$Y806="FALSE")),0,IF(MIN(ABS($X806/100-Settings!$C$6),ABS($X806/100-Settings!$G$6))&lt;=MIN(ABS($X806/100-Settings!$C$7),ABS($X806/100-Settings!$G$7)),1,0))))</f>
        <v/>
      </c>
      <c r="AC806">
        <f>IF($Z806=1,IFERROR(IF(VALUE($B806)&lt;100000000,VALUE($B806),1000000000),IFERROR(IF(VALUE(MID($B806,2,20))&lt;100000000,VALUE(MID($B806,2,20)),1000000000),1000000000))+ROW()/100000,"")</f>
        <v/>
      </c>
    </row>
    <row r="807">
      <c r="A807">
        <f>IF($B807="","",IFERROR(IF(INDEX('Per Invoice'!$A$2:$A$801,MATCH($B807,'Per Invoice'!$B$2:$B$801,0))=0,"",INDEX('Per Invoice'!$A$2:$A$801,MATCH($B807,'Per Invoice'!$B$2:$B$801,0))),""))</f>
        <v/>
      </c>
      <c r="J807" s="7">
        <f>IF($B807="","",I807*Q807/100)</f>
        <v/>
      </c>
      <c r="N807" s="7" t="n"/>
      <c r="O807" s="7" t="n"/>
      <c r="P807" s="7">
        <f>IF($B807="","",O807*X807/100)</f>
        <v/>
      </c>
      <c r="Q807" s="7">
        <f>IF($B807="","",O807-P807)</f>
        <v/>
      </c>
      <c r="R807" s="7">
        <f>IF($B807="","",Q807-J807)</f>
        <v/>
      </c>
      <c r="S807" s="7" t="n"/>
      <c r="T807" s="7" t="n"/>
      <c r="V807" s="14" t="n"/>
      <c r="Z807">
        <f>IF($B807="","",IF(COUNTIF($B$2:$B807,$B807)=1,1,0))</f>
        <v/>
      </c>
      <c r="AA807">
        <f>IF($Z807=1,SUMPRODUCT(--($AC$2:$AC$3001&lt;$AC807))+1,"")</f>
        <v/>
      </c>
      <c r="AB807">
        <f>IF($B807="","",IF(OR($Y807=TRUE(),$Y807="TRUE"),1,IF(AND($Y807&lt;&gt;"",OR($Y807=FALSE(),$Y807="FALSE")),0,IF(MIN(ABS($X807/100-Settings!$C$6),ABS($X807/100-Settings!$G$6))&lt;=MIN(ABS($X807/100-Settings!$C$7),ABS($X807/100-Settings!$G$7)),1,0))))</f>
        <v/>
      </c>
      <c r="AC807">
        <f>IF($Z807=1,IFERROR(IF(VALUE($B807)&lt;100000000,VALUE($B807),1000000000),IFERROR(IF(VALUE(MID($B807,2,20))&lt;100000000,VALUE(MID($B807,2,20)),1000000000),1000000000))+ROW()/100000,"")</f>
        <v/>
      </c>
    </row>
    <row r="808">
      <c r="A808">
        <f>IF($B808="","",IFERROR(IF(INDEX('Per Invoice'!$A$2:$A$801,MATCH($B808,'Per Invoice'!$B$2:$B$801,0))=0,"",INDEX('Per Invoice'!$A$2:$A$801,MATCH($B808,'Per Invoice'!$B$2:$B$801,0))),""))</f>
        <v/>
      </c>
      <c r="J808" s="7">
        <f>IF($B808="","",I808*Q808/100)</f>
        <v/>
      </c>
      <c r="N808" s="7" t="n"/>
      <c r="O808" s="7" t="n"/>
      <c r="P808" s="7">
        <f>IF($B808="","",O808*X808/100)</f>
        <v/>
      </c>
      <c r="Q808" s="7">
        <f>IF($B808="","",O808-P808)</f>
        <v/>
      </c>
      <c r="R808" s="7">
        <f>IF($B808="","",Q808-J808)</f>
        <v/>
      </c>
      <c r="S808" s="7" t="n"/>
      <c r="T808" s="7" t="n"/>
      <c r="V808" s="14" t="n"/>
      <c r="Z808">
        <f>IF($B808="","",IF(COUNTIF($B$2:$B808,$B808)=1,1,0))</f>
        <v/>
      </c>
      <c r="AA808">
        <f>IF($Z808=1,SUMPRODUCT(--($AC$2:$AC$3001&lt;$AC808))+1,"")</f>
        <v/>
      </c>
      <c r="AB808">
        <f>IF($B808="","",IF(OR($Y808=TRUE(),$Y808="TRUE"),1,IF(AND($Y808&lt;&gt;"",OR($Y808=FALSE(),$Y808="FALSE")),0,IF(MIN(ABS($X808/100-Settings!$C$6),ABS($X808/100-Settings!$G$6))&lt;=MIN(ABS($X808/100-Settings!$C$7),ABS($X808/100-Settings!$G$7)),1,0))))</f>
        <v/>
      </c>
      <c r="AC808">
        <f>IF($Z808=1,IFERROR(IF(VALUE($B808)&lt;100000000,VALUE($B808),1000000000),IFERROR(IF(VALUE(MID($B808,2,20))&lt;100000000,VALUE(MID($B808,2,20)),1000000000),1000000000))+ROW()/100000,"")</f>
        <v/>
      </c>
    </row>
    <row r="809">
      <c r="A809">
        <f>IF($B809="","",IFERROR(IF(INDEX('Per Invoice'!$A$2:$A$801,MATCH($B809,'Per Invoice'!$B$2:$B$801,0))=0,"",INDEX('Per Invoice'!$A$2:$A$801,MATCH($B809,'Per Invoice'!$B$2:$B$801,0))),""))</f>
        <v/>
      </c>
      <c r="J809" s="7">
        <f>IF($B809="","",I809*Q809/100)</f>
        <v/>
      </c>
      <c r="N809" s="7" t="n"/>
      <c r="O809" s="7" t="n"/>
      <c r="P809" s="7">
        <f>IF($B809="","",O809*X809/100)</f>
        <v/>
      </c>
      <c r="Q809" s="7">
        <f>IF($B809="","",O809-P809)</f>
        <v/>
      </c>
      <c r="R809" s="7">
        <f>IF($B809="","",Q809-J809)</f>
        <v/>
      </c>
      <c r="S809" s="7" t="n"/>
      <c r="T809" s="7" t="n"/>
      <c r="V809" s="14" t="n"/>
      <c r="Z809">
        <f>IF($B809="","",IF(COUNTIF($B$2:$B809,$B809)=1,1,0))</f>
        <v/>
      </c>
      <c r="AA809">
        <f>IF($Z809=1,SUMPRODUCT(--($AC$2:$AC$3001&lt;$AC809))+1,"")</f>
        <v/>
      </c>
      <c r="AB809">
        <f>IF($B809="","",IF(OR($Y809=TRUE(),$Y809="TRUE"),1,IF(AND($Y809&lt;&gt;"",OR($Y809=FALSE(),$Y809="FALSE")),0,IF(MIN(ABS($X809/100-Settings!$C$6),ABS($X809/100-Settings!$G$6))&lt;=MIN(ABS($X809/100-Settings!$C$7),ABS($X809/100-Settings!$G$7)),1,0))))</f>
        <v/>
      </c>
      <c r="AC809">
        <f>IF($Z809=1,IFERROR(IF(VALUE($B809)&lt;100000000,VALUE($B809),1000000000),IFERROR(IF(VALUE(MID($B809,2,20))&lt;100000000,VALUE(MID($B809,2,20)),1000000000),1000000000))+ROW()/100000,"")</f>
        <v/>
      </c>
    </row>
    <row r="810">
      <c r="A810">
        <f>IF($B810="","",IFERROR(IF(INDEX('Per Invoice'!$A$2:$A$801,MATCH($B810,'Per Invoice'!$B$2:$B$801,0))=0,"",INDEX('Per Invoice'!$A$2:$A$801,MATCH($B810,'Per Invoice'!$B$2:$B$801,0))),""))</f>
        <v/>
      </c>
      <c r="J810" s="7">
        <f>IF($B810="","",I810*Q810/100)</f>
        <v/>
      </c>
      <c r="N810" s="7" t="n"/>
      <c r="O810" s="7" t="n"/>
      <c r="P810" s="7">
        <f>IF($B810="","",O810*X810/100)</f>
        <v/>
      </c>
      <c r="Q810" s="7">
        <f>IF($B810="","",O810-P810)</f>
        <v/>
      </c>
      <c r="R810" s="7">
        <f>IF($B810="","",Q810-J810)</f>
        <v/>
      </c>
      <c r="S810" s="7" t="n"/>
      <c r="T810" s="7" t="n"/>
      <c r="V810" s="14" t="n"/>
      <c r="Z810">
        <f>IF($B810="","",IF(COUNTIF($B$2:$B810,$B810)=1,1,0))</f>
        <v/>
      </c>
      <c r="AA810">
        <f>IF($Z810=1,SUMPRODUCT(--($AC$2:$AC$3001&lt;$AC810))+1,"")</f>
        <v/>
      </c>
      <c r="AB810">
        <f>IF($B810="","",IF(OR($Y810=TRUE(),$Y810="TRUE"),1,IF(AND($Y810&lt;&gt;"",OR($Y810=FALSE(),$Y810="FALSE")),0,IF(MIN(ABS($X810/100-Settings!$C$6),ABS($X810/100-Settings!$G$6))&lt;=MIN(ABS($X810/100-Settings!$C$7),ABS($X810/100-Settings!$G$7)),1,0))))</f>
        <v/>
      </c>
      <c r="AC810">
        <f>IF($Z810=1,IFERROR(IF(VALUE($B810)&lt;100000000,VALUE($B810),1000000000),IFERROR(IF(VALUE(MID($B810,2,20))&lt;100000000,VALUE(MID($B810,2,20)),1000000000),1000000000))+ROW()/100000,"")</f>
        <v/>
      </c>
    </row>
    <row r="811">
      <c r="A811">
        <f>IF($B811="","",IFERROR(IF(INDEX('Per Invoice'!$A$2:$A$801,MATCH($B811,'Per Invoice'!$B$2:$B$801,0))=0,"",INDEX('Per Invoice'!$A$2:$A$801,MATCH($B811,'Per Invoice'!$B$2:$B$801,0))),""))</f>
        <v/>
      </c>
      <c r="J811" s="7">
        <f>IF($B811="","",I811*Q811/100)</f>
        <v/>
      </c>
      <c r="N811" s="7" t="n"/>
      <c r="O811" s="7" t="n"/>
      <c r="P811" s="7">
        <f>IF($B811="","",O811*X811/100)</f>
        <v/>
      </c>
      <c r="Q811" s="7">
        <f>IF($B811="","",O811-P811)</f>
        <v/>
      </c>
      <c r="R811" s="7">
        <f>IF($B811="","",Q811-J811)</f>
        <v/>
      </c>
      <c r="S811" s="7" t="n"/>
      <c r="T811" s="7" t="n"/>
      <c r="V811" s="14" t="n"/>
      <c r="Z811">
        <f>IF($B811="","",IF(COUNTIF($B$2:$B811,$B811)=1,1,0))</f>
        <v/>
      </c>
      <c r="AA811">
        <f>IF($Z811=1,SUMPRODUCT(--($AC$2:$AC$3001&lt;$AC811))+1,"")</f>
        <v/>
      </c>
      <c r="AB811">
        <f>IF($B811="","",IF(OR($Y811=TRUE(),$Y811="TRUE"),1,IF(AND($Y811&lt;&gt;"",OR($Y811=FALSE(),$Y811="FALSE")),0,IF(MIN(ABS($X811/100-Settings!$C$6),ABS($X811/100-Settings!$G$6))&lt;=MIN(ABS($X811/100-Settings!$C$7),ABS($X811/100-Settings!$G$7)),1,0))))</f>
        <v/>
      </c>
      <c r="AC811">
        <f>IF($Z811=1,IFERROR(IF(VALUE($B811)&lt;100000000,VALUE($B811),1000000000),IFERROR(IF(VALUE(MID($B811,2,20))&lt;100000000,VALUE(MID($B811,2,20)),1000000000),1000000000))+ROW()/100000,"")</f>
        <v/>
      </c>
    </row>
    <row r="812">
      <c r="A812">
        <f>IF($B812="","",IFERROR(IF(INDEX('Per Invoice'!$A$2:$A$801,MATCH($B812,'Per Invoice'!$B$2:$B$801,0))=0,"",INDEX('Per Invoice'!$A$2:$A$801,MATCH($B812,'Per Invoice'!$B$2:$B$801,0))),""))</f>
        <v/>
      </c>
      <c r="J812" s="7">
        <f>IF($B812="","",I812*Q812/100)</f>
        <v/>
      </c>
      <c r="N812" s="7" t="n"/>
      <c r="O812" s="7" t="n"/>
      <c r="P812" s="7">
        <f>IF($B812="","",O812*X812/100)</f>
        <v/>
      </c>
      <c r="Q812" s="7">
        <f>IF($B812="","",O812-P812)</f>
        <v/>
      </c>
      <c r="R812" s="7">
        <f>IF($B812="","",Q812-J812)</f>
        <v/>
      </c>
      <c r="S812" s="7" t="n"/>
      <c r="T812" s="7" t="n"/>
      <c r="V812" s="14" t="n"/>
      <c r="Z812">
        <f>IF($B812="","",IF(COUNTIF($B$2:$B812,$B812)=1,1,0))</f>
        <v/>
      </c>
      <c r="AA812">
        <f>IF($Z812=1,SUMPRODUCT(--($AC$2:$AC$3001&lt;$AC812))+1,"")</f>
        <v/>
      </c>
      <c r="AB812">
        <f>IF($B812="","",IF(OR($Y812=TRUE(),$Y812="TRUE"),1,IF(AND($Y812&lt;&gt;"",OR($Y812=FALSE(),$Y812="FALSE")),0,IF(MIN(ABS($X812/100-Settings!$C$6),ABS($X812/100-Settings!$G$6))&lt;=MIN(ABS($X812/100-Settings!$C$7),ABS($X812/100-Settings!$G$7)),1,0))))</f>
        <v/>
      </c>
      <c r="AC812">
        <f>IF($Z812=1,IFERROR(IF(VALUE($B812)&lt;100000000,VALUE($B812),1000000000),IFERROR(IF(VALUE(MID($B812,2,20))&lt;100000000,VALUE(MID($B812,2,20)),1000000000),1000000000))+ROW()/100000,"")</f>
        <v/>
      </c>
    </row>
    <row r="813">
      <c r="A813">
        <f>IF($B813="","",IFERROR(IF(INDEX('Per Invoice'!$A$2:$A$801,MATCH($B813,'Per Invoice'!$B$2:$B$801,0))=0,"",INDEX('Per Invoice'!$A$2:$A$801,MATCH($B813,'Per Invoice'!$B$2:$B$801,0))),""))</f>
        <v/>
      </c>
      <c r="J813" s="7">
        <f>IF($B813="","",I813*Q813/100)</f>
        <v/>
      </c>
      <c r="N813" s="7" t="n"/>
      <c r="O813" s="7" t="n"/>
      <c r="P813" s="7">
        <f>IF($B813="","",O813*X813/100)</f>
        <v/>
      </c>
      <c r="Q813" s="7">
        <f>IF($B813="","",O813-P813)</f>
        <v/>
      </c>
      <c r="R813" s="7">
        <f>IF($B813="","",Q813-J813)</f>
        <v/>
      </c>
      <c r="S813" s="7" t="n"/>
      <c r="T813" s="7" t="n"/>
      <c r="V813" s="14" t="n"/>
      <c r="Z813">
        <f>IF($B813="","",IF(COUNTIF($B$2:$B813,$B813)=1,1,0))</f>
        <v/>
      </c>
      <c r="AA813">
        <f>IF($Z813=1,SUMPRODUCT(--($AC$2:$AC$3001&lt;$AC813))+1,"")</f>
        <v/>
      </c>
      <c r="AB813">
        <f>IF($B813="","",IF(OR($Y813=TRUE(),$Y813="TRUE"),1,IF(AND($Y813&lt;&gt;"",OR($Y813=FALSE(),$Y813="FALSE")),0,IF(MIN(ABS($X813/100-Settings!$C$6),ABS($X813/100-Settings!$G$6))&lt;=MIN(ABS($X813/100-Settings!$C$7),ABS($X813/100-Settings!$G$7)),1,0))))</f>
        <v/>
      </c>
      <c r="AC813">
        <f>IF($Z813=1,IFERROR(IF(VALUE($B813)&lt;100000000,VALUE($B813),1000000000),IFERROR(IF(VALUE(MID($B813,2,20))&lt;100000000,VALUE(MID($B813,2,20)),1000000000),1000000000))+ROW()/100000,"")</f>
        <v/>
      </c>
    </row>
    <row r="814">
      <c r="A814">
        <f>IF($B814="","",IFERROR(IF(INDEX('Per Invoice'!$A$2:$A$801,MATCH($B814,'Per Invoice'!$B$2:$B$801,0))=0,"",INDEX('Per Invoice'!$A$2:$A$801,MATCH($B814,'Per Invoice'!$B$2:$B$801,0))),""))</f>
        <v/>
      </c>
      <c r="J814" s="7">
        <f>IF($B814="","",I814*Q814/100)</f>
        <v/>
      </c>
      <c r="N814" s="7" t="n"/>
      <c r="O814" s="7" t="n"/>
      <c r="P814" s="7">
        <f>IF($B814="","",O814*X814/100)</f>
        <v/>
      </c>
      <c r="Q814" s="7">
        <f>IF($B814="","",O814-P814)</f>
        <v/>
      </c>
      <c r="R814" s="7">
        <f>IF($B814="","",Q814-J814)</f>
        <v/>
      </c>
      <c r="S814" s="7" t="n"/>
      <c r="T814" s="7" t="n"/>
      <c r="V814" s="14" t="n"/>
      <c r="Z814">
        <f>IF($B814="","",IF(COUNTIF($B$2:$B814,$B814)=1,1,0))</f>
        <v/>
      </c>
      <c r="AA814">
        <f>IF($Z814=1,SUMPRODUCT(--($AC$2:$AC$3001&lt;$AC814))+1,"")</f>
        <v/>
      </c>
      <c r="AB814">
        <f>IF($B814="","",IF(OR($Y814=TRUE(),$Y814="TRUE"),1,IF(AND($Y814&lt;&gt;"",OR($Y814=FALSE(),$Y814="FALSE")),0,IF(MIN(ABS($X814/100-Settings!$C$6),ABS($X814/100-Settings!$G$6))&lt;=MIN(ABS($X814/100-Settings!$C$7),ABS($X814/100-Settings!$G$7)),1,0))))</f>
        <v/>
      </c>
      <c r="AC814">
        <f>IF($Z814=1,IFERROR(IF(VALUE($B814)&lt;100000000,VALUE($B814),1000000000),IFERROR(IF(VALUE(MID($B814,2,20))&lt;100000000,VALUE(MID($B814,2,20)),1000000000),1000000000))+ROW()/100000,"")</f>
        <v/>
      </c>
    </row>
    <row r="815">
      <c r="A815">
        <f>IF($B815="","",IFERROR(IF(INDEX('Per Invoice'!$A$2:$A$801,MATCH($B815,'Per Invoice'!$B$2:$B$801,0))=0,"",INDEX('Per Invoice'!$A$2:$A$801,MATCH($B815,'Per Invoice'!$B$2:$B$801,0))),""))</f>
        <v/>
      </c>
      <c r="J815" s="7">
        <f>IF($B815="","",I815*Q815/100)</f>
        <v/>
      </c>
      <c r="N815" s="7" t="n"/>
      <c r="O815" s="7" t="n"/>
      <c r="P815" s="7">
        <f>IF($B815="","",O815*X815/100)</f>
        <v/>
      </c>
      <c r="Q815" s="7">
        <f>IF($B815="","",O815-P815)</f>
        <v/>
      </c>
      <c r="R815" s="7">
        <f>IF($B815="","",Q815-J815)</f>
        <v/>
      </c>
      <c r="S815" s="7" t="n"/>
      <c r="T815" s="7" t="n"/>
      <c r="V815" s="14" t="n"/>
      <c r="Z815">
        <f>IF($B815="","",IF(COUNTIF($B$2:$B815,$B815)=1,1,0))</f>
        <v/>
      </c>
      <c r="AA815">
        <f>IF($Z815=1,SUMPRODUCT(--($AC$2:$AC$3001&lt;$AC815))+1,"")</f>
        <v/>
      </c>
      <c r="AB815">
        <f>IF($B815="","",IF(OR($Y815=TRUE(),$Y815="TRUE"),1,IF(AND($Y815&lt;&gt;"",OR($Y815=FALSE(),$Y815="FALSE")),0,IF(MIN(ABS($X815/100-Settings!$C$6),ABS($X815/100-Settings!$G$6))&lt;=MIN(ABS($X815/100-Settings!$C$7),ABS($X815/100-Settings!$G$7)),1,0))))</f>
        <v/>
      </c>
      <c r="AC815">
        <f>IF($Z815=1,IFERROR(IF(VALUE($B815)&lt;100000000,VALUE($B815),1000000000),IFERROR(IF(VALUE(MID($B815,2,20))&lt;100000000,VALUE(MID($B815,2,20)),1000000000),1000000000))+ROW()/100000,"")</f>
        <v/>
      </c>
    </row>
    <row r="816">
      <c r="A816">
        <f>IF($B816="","",IFERROR(IF(INDEX('Per Invoice'!$A$2:$A$801,MATCH($B816,'Per Invoice'!$B$2:$B$801,0))=0,"",INDEX('Per Invoice'!$A$2:$A$801,MATCH($B816,'Per Invoice'!$B$2:$B$801,0))),""))</f>
        <v/>
      </c>
      <c r="J816" s="7">
        <f>IF($B816="","",I816*Q816/100)</f>
        <v/>
      </c>
      <c r="N816" s="7" t="n"/>
      <c r="O816" s="7" t="n"/>
      <c r="P816" s="7">
        <f>IF($B816="","",O816*X816/100)</f>
        <v/>
      </c>
      <c r="Q816" s="7">
        <f>IF($B816="","",O816-P816)</f>
        <v/>
      </c>
      <c r="R816" s="7">
        <f>IF($B816="","",Q816-J816)</f>
        <v/>
      </c>
      <c r="S816" s="7" t="n"/>
      <c r="T816" s="7" t="n"/>
      <c r="V816" s="14" t="n"/>
      <c r="Z816">
        <f>IF($B816="","",IF(COUNTIF($B$2:$B816,$B816)=1,1,0))</f>
        <v/>
      </c>
      <c r="AA816">
        <f>IF($Z816=1,SUMPRODUCT(--($AC$2:$AC$3001&lt;$AC816))+1,"")</f>
        <v/>
      </c>
      <c r="AB816">
        <f>IF($B816="","",IF(OR($Y816=TRUE(),$Y816="TRUE"),1,IF(AND($Y816&lt;&gt;"",OR($Y816=FALSE(),$Y816="FALSE")),0,IF(MIN(ABS($X816/100-Settings!$C$6),ABS($X816/100-Settings!$G$6))&lt;=MIN(ABS($X816/100-Settings!$C$7),ABS($X816/100-Settings!$G$7)),1,0))))</f>
        <v/>
      </c>
      <c r="AC816">
        <f>IF($Z816=1,IFERROR(IF(VALUE($B816)&lt;100000000,VALUE($B816),1000000000),IFERROR(IF(VALUE(MID($B816,2,20))&lt;100000000,VALUE(MID($B816,2,20)),1000000000),1000000000))+ROW()/100000,"")</f>
        <v/>
      </c>
    </row>
    <row r="817">
      <c r="A817">
        <f>IF($B817="","",IFERROR(IF(INDEX('Per Invoice'!$A$2:$A$801,MATCH($B817,'Per Invoice'!$B$2:$B$801,0))=0,"",INDEX('Per Invoice'!$A$2:$A$801,MATCH($B817,'Per Invoice'!$B$2:$B$801,0))),""))</f>
        <v/>
      </c>
      <c r="J817" s="7">
        <f>IF($B817="","",I817*Q817/100)</f>
        <v/>
      </c>
      <c r="N817" s="7" t="n"/>
      <c r="O817" s="7" t="n"/>
      <c r="P817" s="7">
        <f>IF($B817="","",O817*X817/100)</f>
        <v/>
      </c>
      <c r="Q817" s="7">
        <f>IF($B817="","",O817-P817)</f>
        <v/>
      </c>
      <c r="R817" s="7">
        <f>IF($B817="","",Q817-J817)</f>
        <v/>
      </c>
      <c r="S817" s="7" t="n"/>
      <c r="T817" s="7" t="n"/>
      <c r="V817" s="14" t="n"/>
      <c r="Z817">
        <f>IF($B817="","",IF(COUNTIF($B$2:$B817,$B817)=1,1,0))</f>
        <v/>
      </c>
      <c r="AA817">
        <f>IF($Z817=1,SUMPRODUCT(--($AC$2:$AC$3001&lt;$AC817))+1,"")</f>
        <v/>
      </c>
      <c r="AB817">
        <f>IF($B817="","",IF(OR($Y817=TRUE(),$Y817="TRUE"),1,IF(AND($Y817&lt;&gt;"",OR($Y817=FALSE(),$Y817="FALSE")),0,IF(MIN(ABS($X817/100-Settings!$C$6),ABS($X817/100-Settings!$G$6))&lt;=MIN(ABS($X817/100-Settings!$C$7),ABS($X817/100-Settings!$G$7)),1,0))))</f>
        <v/>
      </c>
      <c r="AC817">
        <f>IF($Z817=1,IFERROR(IF(VALUE($B817)&lt;100000000,VALUE($B817),1000000000),IFERROR(IF(VALUE(MID($B817,2,20))&lt;100000000,VALUE(MID($B817,2,20)),1000000000),1000000000))+ROW()/100000,"")</f>
        <v/>
      </c>
    </row>
    <row r="818">
      <c r="A818">
        <f>IF($B818="","",IFERROR(IF(INDEX('Per Invoice'!$A$2:$A$801,MATCH($B818,'Per Invoice'!$B$2:$B$801,0))=0,"",INDEX('Per Invoice'!$A$2:$A$801,MATCH($B818,'Per Invoice'!$B$2:$B$801,0))),""))</f>
        <v/>
      </c>
      <c r="J818" s="7">
        <f>IF($B818="","",I818*Q818/100)</f>
        <v/>
      </c>
      <c r="N818" s="7" t="n"/>
      <c r="O818" s="7" t="n"/>
      <c r="P818" s="7">
        <f>IF($B818="","",O818*X818/100)</f>
        <v/>
      </c>
      <c r="Q818" s="7">
        <f>IF($B818="","",O818-P818)</f>
        <v/>
      </c>
      <c r="R818" s="7">
        <f>IF($B818="","",Q818-J818)</f>
        <v/>
      </c>
      <c r="S818" s="7" t="n"/>
      <c r="T818" s="7" t="n"/>
      <c r="V818" s="14" t="n"/>
      <c r="Z818">
        <f>IF($B818="","",IF(COUNTIF($B$2:$B818,$B818)=1,1,0))</f>
        <v/>
      </c>
      <c r="AA818">
        <f>IF($Z818=1,SUMPRODUCT(--($AC$2:$AC$3001&lt;$AC818))+1,"")</f>
        <v/>
      </c>
      <c r="AB818">
        <f>IF($B818="","",IF(OR($Y818=TRUE(),$Y818="TRUE"),1,IF(AND($Y818&lt;&gt;"",OR($Y818=FALSE(),$Y818="FALSE")),0,IF(MIN(ABS($X818/100-Settings!$C$6),ABS($X818/100-Settings!$G$6))&lt;=MIN(ABS($X818/100-Settings!$C$7),ABS($X818/100-Settings!$G$7)),1,0))))</f>
        <v/>
      </c>
      <c r="AC818">
        <f>IF($Z818=1,IFERROR(IF(VALUE($B818)&lt;100000000,VALUE($B818),1000000000),IFERROR(IF(VALUE(MID($B818,2,20))&lt;100000000,VALUE(MID($B818,2,20)),1000000000),1000000000))+ROW()/100000,"")</f>
        <v/>
      </c>
    </row>
    <row r="819">
      <c r="A819">
        <f>IF($B819="","",IFERROR(IF(INDEX('Per Invoice'!$A$2:$A$801,MATCH($B819,'Per Invoice'!$B$2:$B$801,0))=0,"",INDEX('Per Invoice'!$A$2:$A$801,MATCH($B819,'Per Invoice'!$B$2:$B$801,0))),""))</f>
        <v/>
      </c>
      <c r="J819" s="7">
        <f>IF($B819="","",I819*Q819/100)</f>
        <v/>
      </c>
      <c r="N819" s="7" t="n"/>
      <c r="O819" s="7" t="n"/>
      <c r="P819" s="7">
        <f>IF($B819="","",O819*X819/100)</f>
        <v/>
      </c>
      <c r="Q819" s="7">
        <f>IF($B819="","",O819-P819)</f>
        <v/>
      </c>
      <c r="R819" s="7">
        <f>IF($B819="","",Q819-J819)</f>
        <v/>
      </c>
      <c r="S819" s="7" t="n"/>
      <c r="T819" s="7" t="n"/>
      <c r="V819" s="14" t="n"/>
      <c r="Z819">
        <f>IF($B819="","",IF(COUNTIF($B$2:$B819,$B819)=1,1,0))</f>
        <v/>
      </c>
      <c r="AA819">
        <f>IF($Z819=1,SUMPRODUCT(--($AC$2:$AC$3001&lt;$AC819))+1,"")</f>
        <v/>
      </c>
      <c r="AB819">
        <f>IF($B819="","",IF(OR($Y819=TRUE(),$Y819="TRUE"),1,IF(AND($Y819&lt;&gt;"",OR($Y819=FALSE(),$Y819="FALSE")),0,IF(MIN(ABS($X819/100-Settings!$C$6),ABS($X819/100-Settings!$G$6))&lt;=MIN(ABS($X819/100-Settings!$C$7),ABS($X819/100-Settings!$G$7)),1,0))))</f>
        <v/>
      </c>
      <c r="AC819">
        <f>IF($Z819=1,IFERROR(IF(VALUE($B819)&lt;100000000,VALUE($B819),1000000000),IFERROR(IF(VALUE(MID($B819,2,20))&lt;100000000,VALUE(MID($B819,2,20)),1000000000),1000000000))+ROW()/100000,"")</f>
        <v/>
      </c>
    </row>
    <row r="820">
      <c r="A820">
        <f>IF($B820="","",IFERROR(IF(INDEX('Per Invoice'!$A$2:$A$801,MATCH($B820,'Per Invoice'!$B$2:$B$801,0))=0,"",INDEX('Per Invoice'!$A$2:$A$801,MATCH($B820,'Per Invoice'!$B$2:$B$801,0))),""))</f>
        <v/>
      </c>
      <c r="J820" s="7">
        <f>IF($B820="","",I820*Q820/100)</f>
        <v/>
      </c>
      <c r="N820" s="7" t="n"/>
      <c r="O820" s="7" t="n"/>
      <c r="P820" s="7">
        <f>IF($B820="","",O820*X820/100)</f>
        <v/>
      </c>
      <c r="Q820" s="7">
        <f>IF($B820="","",O820-P820)</f>
        <v/>
      </c>
      <c r="R820" s="7">
        <f>IF($B820="","",Q820-J820)</f>
        <v/>
      </c>
      <c r="S820" s="7" t="n"/>
      <c r="T820" s="7" t="n"/>
      <c r="V820" s="14" t="n"/>
      <c r="Z820">
        <f>IF($B820="","",IF(COUNTIF($B$2:$B820,$B820)=1,1,0))</f>
        <v/>
      </c>
      <c r="AA820">
        <f>IF($Z820=1,SUMPRODUCT(--($AC$2:$AC$3001&lt;$AC820))+1,"")</f>
        <v/>
      </c>
      <c r="AB820">
        <f>IF($B820="","",IF(OR($Y820=TRUE(),$Y820="TRUE"),1,IF(AND($Y820&lt;&gt;"",OR($Y820=FALSE(),$Y820="FALSE")),0,IF(MIN(ABS($X820/100-Settings!$C$6),ABS($X820/100-Settings!$G$6))&lt;=MIN(ABS($X820/100-Settings!$C$7),ABS($X820/100-Settings!$G$7)),1,0))))</f>
        <v/>
      </c>
      <c r="AC820">
        <f>IF($Z820=1,IFERROR(IF(VALUE($B820)&lt;100000000,VALUE($B820),1000000000),IFERROR(IF(VALUE(MID($B820,2,20))&lt;100000000,VALUE(MID($B820,2,20)),1000000000),1000000000))+ROW()/100000,"")</f>
        <v/>
      </c>
    </row>
    <row r="821">
      <c r="A821">
        <f>IF($B821="","",IFERROR(IF(INDEX('Per Invoice'!$A$2:$A$801,MATCH($B821,'Per Invoice'!$B$2:$B$801,0))=0,"",INDEX('Per Invoice'!$A$2:$A$801,MATCH($B821,'Per Invoice'!$B$2:$B$801,0))),""))</f>
        <v/>
      </c>
      <c r="J821" s="7">
        <f>IF($B821="","",I821*Q821/100)</f>
        <v/>
      </c>
      <c r="N821" s="7" t="n"/>
      <c r="O821" s="7" t="n"/>
      <c r="P821" s="7">
        <f>IF($B821="","",O821*X821/100)</f>
        <v/>
      </c>
      <c r="Q821" s="7">
        <f>IF($B821="","",O821-P821)</f>
        <v/>
      </c>
      <c r="R821" s="7">
        <f>IF($B821="","",Q821-J821)</f>
        <v/>
      </c>
      <c r="S821" s="7" t="n"/>
      <c r="T821" s="7" t="n"/>
      <c r="V821" s="14" t="n"/>
      <c r="Z821">
        <f>IF($B821="","",IF(COUNTIF($B$2:$B821,$B821)=1,1,0))</f>
        <v/>
      </c>
      <c r="AA821">
        <f>IF($Z821=1,SUMPRODUCT(--($AC$2:$AC$3001&lt;$AC821))+1,"")</f>
        <v/>
      </c>
      <c r="AB821">
        <f>IF($B821="","",IF(OR($Y821=TRUE(),$Y821="TRUE"),1,IF(AND($Y821&lt;&gt;"",OR($Y821=FALSE(),$Y821="FALSE")),0,IF(MIN(ABS($X821/100-Settings!$C$6),ABS($X821/100-Settings!$G$6))&lt;=MIN(ABS($X821/100-Settings!$C$7),ABS($X821/100-Settings!$G$7)),1,0))))</f>
        <v/>
      </c>
      <c r="AC821">
        <f>IF($Z821=1,IFERROR(IF(VALUE($B821)&lt;100000000,VALUE($B821),1000000000),IFERROR(IF(VALUE(MID($B821,2,20))&lt;100000000,VALUE(MID($B821,2,20)),1000000000),1000000000))+ROW()/100000,"")</f>
        <v/>
      </c>
    </row>
    <row r="822">
      <c r="A822">
        <f>IF($B822="","",IFERROR(IF(INDEX('Per Invoice'!$A$2:$A$801,MATCH($B822,'Per Invoice'!$B$2:$B$801,0))=0,"",INDEX('Per Invoice'!$A$2:$A$801,MATCH($B822,'Per Invoice'!$B$2:$B$801,0))),""))</f>
        <v/>
      </c>
      <c r="J822" s="7">
        <f>IF($B822="","",I822*Q822/100)</f>
        <v/>
      </c>
      <c r="N822" s="7" t="n"/>
      <c r="O822" s="7" t="n"/>
      <c r="P822" s="7">
        <f>IF($B822="","",O822*X822/100)</f>
        <v/>
      </c>
      <c r="Q822" s="7">
        <f>IF($B822="","",O822-P822)</f>
        <v/>
      </c>
      <c r="R822" s="7">
        <f>IF($B822="","",Q822-J822)</f>
        <v/>
      </c>
      <c r="S822" s="7" t="n"/>
      <c r="T822" s="7" t="n"/>
      <c r="V822" s="14" t="n"/>
      <c r="Z822">
        <f>IF($B822="","",IF(COUNTIF($B$2:$B822,$B822)=1,1,0))</f>
        <v/>
      </c>
      <c r="AA822">
        <f>IF($Z822=1,SUMPRODUCT(--($AC$2:$AC$3001&lt;$AC822))+1,"")</f>
        <v/>
      </c>
      <c r="AB822">
        <f>IF($B822="","",IF(OR($Y822=TRUE(),$Y822="TRUE"),1,IF(AND($Y822&lt;&gt;"",OR($Y822=FALSE(),$Y822="FALSE")),0,IF(MIN(ABS($X822/100-Settings!$C$6),ABS($X822/100-Settings!$G$6))&lt;=MIN(ABS($X822/100-Settings!$C$7),ABS($X822/100-Settings!$G$7)),1,0))))</f>
        <v/>
      </c>
      <c r="AC822">
        <f>IF($Z822=1,IFERROR(IF(VALUE($B822)&lt;100000000,VALUE($B822),1000000000),IFERROR(IF(VALUE(MID($B822,2,20))&lt;100000000,VALUE(MID($B822,2,20)),1000000000),1000000000))+ROW()/100000,"")</f>
        <v/>
      </c>
    </row>
    <row r="823">
      <c r="A823">
        <f>IF($B823="","",IFERROR(IF(INDEX('Per Invoice'!$A$2:$A$801,MATCH($B823,'Per Invoice'!$B$2:$B$801,0))=0,"",INDEX('Per Invoice'!$A$2:$A$801,MATCH($B823,'Per Invoice'!$B$2:$B$801,0))),""))</f>
        <v/>
      </c>
      <c r="J823" s="7">
        <f>IF($B823="","",I823*Q823/100)</f>
        <v/>
      </c>
      <c r="N823" s="7" t="n"/>
      <c r="O823" s="7" t="n"/>
      <c r="P823" s="7">
        <f>IF($B823="","",O823*X823/100)</f>
        <v/>
      </c>
      <c r="Q823" s="7">
        <f>IF($B823="","",O823-P823)</f>
        <v/>
      </c>
      <c r="R823" s="7">
        <f>IF($B823="","",Q823-J823)</f>
        <v/>
      </c>
      <c r="S823" s="7" t="n"/>
      <c r="T823" s="7" t="n"/>
      <c r="V823" s="14" t="n"/>
      <c r="Z823">
        <f>IF($B823="","",IF(COUNTIF($B$2:$B823,$B823)=1,1,0))</f>
        <v/>
      </c>
      <c r="AA823">
        <f>IF($Z823=1,SUMPRODUCT(--($AC$2:$AC$3001&lt;$AC823))+1,"")</f>
        <v/>
      </c>
      <c r="AB823">
        <f>IF($B823="","",IF(OR($Y823=TRUE(),$Y823="TRUE"),1,IF(AND($Y823&lt;&gt;"",OR($Y823=FALSE(),$Y823="FALSE")),0,IF(MIN(ABS($X823/100-Settings!$C$6),ABS($X823/100-Settings!$G$6))&lt;=MIN(ABS($X823/100-Settings!$C$7),ABS($X823/100-Settings!$G$7)),1,0))))</f>
        <v/>
      </c>
      <c r="AC823">
        <f>IF($Z823=1,IFERROR(IF(VALUE($B823)&lt;100000000,VALUE($B823),1000000000),IFERROR(IF(VALUE(MID($B823,2,20))&lt;100000000,VALUE(MID($B823,2,20)),1000000000),1000000000))+ROW()/100000,"")</f>
        <v/>
      </c>
    </row>
    <row r="824">
      <c r="A824">
        <f>IF($B824="","",IFERROR(IF(INDEX('Per Invoice'!$A$2:$A$801,MATCH($B824,'Per Invoice'!$B$2:$B$801,0))=0,"",INDEX('Per Invoice'!$A$2:$A$801,MATCH($B824,'Per Invoice'!$B$2:$B$801,0))),""))</f>
        <v/>
      </c>
      <c r="J824" s="7">
        <f>IF($B824="","",I824*Q824/100)</f>
        <v/>
      </c>
      <c r="N824" s="7" t="n"/>
      <c r="O824" s="7" t="n"/>
      <c r="P824" s="7">
        <f>IF($B824="","",O824*X824/100)</f>
        <v/>
      </c>
      <c r="Q824" s="7">
        <f>IF($B824="","",O824-P824)</f>
        <v/>
      </c>
      <c r="R824" s="7">
        <f>IF($B824="","",Q824-J824)</f>
        <v/>
      </c>
      <c r="S824" s="7" t="n"/>
      <c r="T824" s="7" t="n"/>
      <c r="V824" s="14" t="n"/>
      <c r="Z824">
        <f>IF($B824="","",IF(COUNTIF($B$2:$B824,$B824)=1,1,0))</f>
        <v/>
      </c>
      <c r="AA824">
        <f>IF($Z824=1,SUMPRODUCT(--($AC$2:$AC$3001&lt;$AC824))+1,"")</f>
        <v/>
      </c>
      <c r="AB824">
        <f>IF($B824="","",IF(OR($Y824=TRUE(),$Y824="TRUE"),1,IF(AND($Y824&lt;&gt;"",OR($Y824=FALSE(),$Y824="FALSE")),0,IF(MIN(ABS($X824/100-Settings!$C$6),ABS($X824/100-Settings!$G$6))&lt;=MIN(ABS($X824/100-Settings!$C$7),ABS($X824/100-Settings!$G$7)),1,0))))</f>
        <v/>
      </c>
      <c r="AC824">
        <f>IF($Z824=1,IFERROR(IF(VALUE($B824)&lt;100000000,VALUE($B824),1000000000),IFERROR(IF(VALUE(MID($B824,2,20))&lt;100000000,VALUE(MID($B824,2,20)),1000000000),1000000000))+ROW()/100000,"")</f>
        <v/>
      </c>
    </row>
    <row r="825">
      <c r="A825">
        <f>IF($B825="","",IFERROR(IF(INDEX('Per Invoice'!$A$2:$A$801,MATCH($B825,'Per Invoice'!$B$2:$B$801,0))=0,"",INDEX('Per Invoice'!$A$2:$A$801,MATCH($B825,'Per Invoice'!$B$2:$B$801,0))),""))</f>
        <v/>
      </c>
      <c r="J825" s="7">
        <f>IF($B825="","",I825*Q825/100)</f>
        <v/>
      </c>
      <c r="N825" s="7" t="n"/>
      <c r="O825" s="7" t="n"/>
      <c r="P825" s="7">
        <f>IF($B825="","",O825*X825/100)</f>
        <v/>
      </c>
      <c r="Q825" s="7">
        <f>IF($B825="","",O825-P825)</f>
        <v/>
      </c>
      <c r="R825" s="7">
        <f>IF($B825="","",Q825-J825)</f>
        <v/>
      </c>
      <c r="S825" s="7" t="n"/>
      <c r="T825" s="7" t="n"/>
      <c r="V825" s="14" t="n"/>
      <c r="Z825">
        <f>IF($B825="","",IF(COUNTIF($B$2:$B825,$B825)=1,1,0))</f>
        <v/>
      </c>
      <c r="AA825">
        <f>IF($Z825=1,SUMPRODUCT(--($AC$2:$AC$3001&lt;$AC825))+1,"")</f>
        <v/>
      </c>
      <c r="AB825">
        <f>IF($B825="","",IF(OR($Y825=TRUE(),$Y825="TRUE"),1,IF(AND($Y825&lt;&gt;"",OR($Y825=FALSE(),$Y825="FALSE")),0,IF(MIN(ABS($X825/100-Settings!$C$6),ABS($X825/100-Settings!$G$6))&lt;=MIN(ABS($X825/100-Settings!$C$7),ABS($X825/100-Settings!$G$7)),1,0))))</f>
        <v/>
      </c>
      <c r="AC825">
        <f>IF($Z825=1,IFERROR(IF(VALUE($B825)&lt;100000000,VALUE($B825),1000000000),IFERROR(IF(VALUE(MID($B825,2,20))&lt;100000000,VALUE(MID($B825,2,20)),1000000000),1000000000))+ROW()/100000,"")</f>
        <v/>
      </c>
    </row>
    <row r="826">
      <c r="A826">
        <f>IF($B826="","",IFERROR(IF(INDEX('Per Invoice'!$A$2:$A$801,MATCH($B826,'Per Invoice'!$B$2:$B$801,0))=0,"",INDEX('Per Invoice'!$A$2:$A$801,MATCH($B826,'Per Invoice'!$B$2:$B$801,0))),""))</f>
        <v/>
      </c>
      <c r="J826" s="7">
        <f>IF($B826="","",I826*Q826/100)</f>
        <v/>
      </c>
      <c r="N826" s="7" t="n"/>
      <c r="O826" s="7" t="n"/>
      <c r="P826" s="7">
        <f>IF($B826="","",O826*X826/100)</f>
        <v/>
      </c>
      <c r="Q826" s="7">
        <f>IF($B826="","",O826-P826)</f>
        <v/>
      </c>
      <c r="R826" s="7">
        <f>IF($B826="","",Q826-J826)</f>
        <v/>
      </c>
      <c r="S826" s="7" t="n"/>
      <c r="T826" s="7" t="n"/>
      <c r="V826" s="14" t="n"/>
      <c r="Z826">
        <f>IF($B826="","",IF(COUNTIF($B$2:$B826,$B826)=1,1,0))</f>
        <v/>
      </c>
      <c r="AA826">
        <f>IF($Z826=1,SUMPRODUCT(--($AC$2:$AC$3001&lt;$AC826))+1,"")</f>
        <v/>
      </c>
      <c r="AB826">
        <f>IF($B826="","",IF(OR($Y826=TRUE(),$Y826="TRUE"),1,IF(AND($Y826&lt;&gt;"",OR($Y826=FALSE(),$Y826="FALSE")),0,IF(MIN(ABS($X826/100-Settings!$C$6),ABS($X826/100-Settings!$G$6))&lt;=MIN(ABS($X826/100-Settings!$C$7),ABS($X826/100-Settings!$G$7)),1,0))))</f>
        <v/>
      </c>
      <c r="AC826">
        <f>IF($Z826=1,IFERROR(IF(VALUE($B826)&lt;100000000,VALUE($B826),1000000000),IFERROR(IF(VALUE(MID($B826,2,20))&lt;100000000,VALUE(MID($B826,2,20)),1000000000),1000000000))+ROW()/100000,"")</f>
        <v/>
      </c>
    </row>
    <row r="827">
      <c r="A827">
        <f>IF($B827="","",IFERROR(IF(INDEX('Per Invoice'!$A$2:$A$801,MATCH($B827,'Per Invoice'!$B$2:$B$801,0))=0,"",INDEX('Per Invoice'!$A$2:$A$801,MATCH($B827,'Per Invoice'!$B$2:$B$801,0))),""))</f>
        <v/>
      </c>
      <c r="J827" s="7">
        <f>IF($B827="","",I827*Q827/100)</f>
        <v/>
      </c>
      <c r="N827" s="7" t="n"/>
      <c r="O827" s="7" t="n"/>
      <c r="P827" s="7">
        <f>IF($B827="","",O827*X827/100)</f>
        <v/>
      </c>
      <c r="Q827" s="7">
        <f>IF($B827="","",O827-P827)</f>
        <v/>
      </c>
      <c r="R827" s="7">
        <f>IF($B827="","",Q827-J827)</f>
        <v/>
      </c>
      <c r="S827" s="7" t="n"/>
      <c r="T827" s="7" t="n"/>
      <c r="V827" s="14" t="n"/>
      <c r="Z827">
        <f>IF($B827="","",IF(COUNTIF($B$2:$B827,$B827)=1,1,0))</f>
        <v/>
      </c>
      <c r="AA827">
        <f>IF($Z827=1,SUMPRODUCT(--($AC$2:$AC$3001&lt;$AC827))+1,"")</f>
        <v/>
      </c>
      <c r="AB827">
        <f>IF($B827="","",IF(OR($Y827=TRUE(),$Y827="TRUE"),1,IF(AND($Y827&lt;&gt;"",OR($Y827=FALSE(),$Y827="FALSE")),0,IF(MIN(ABS($X827/100-Settings!$C$6),ABS($X827/100-Settings!$G$6))&lt;=MIN(ABS($X827/100-Settings!$C$7),ABS($X827/100-Settings!$G$7)),1,0))))</f>
        <v/>
      </c>
      <c r="AC827">
        <f>IF($Z827=1,IFERROR(IF(VALUE($B827)&lt;100000000,VALUE($B827),1000000000),IFERROR(IF(VALUE(MID($B827,2,20))&lt;100000000,VALUE(MID($B827,2,20)),1000000000),1000000000))+ROW()/100000,"")</f>
        <v/>
      </c>
    </row>
    <row r="828">
      <c r="A828">
        <f>IF($B828="","",IFERROR(IF(INDEX('Per Invoice'!$A$2:$A$801,MATCH($B828,'Per Invoice'!$B$2:$B$801,0))=0,"",INDEX('Per Invoice'!$A$2:$A$801,MATCH($B828,'Per Invoice'!$B$2:$B$801,0))),""))</f>
        <v/>
      </c>
      <c r="J828" s="7">
        <f>IF($B828="","",I828*Q828/100)</f>
        <v/>
      </c>
      <c r="N828" s="7" t="n"/>
      <c r="O828" s="7" t="n"/>
      <c r="P828" s="7">
        <f>IF($B828="","",O828*X828/100)</f>
        <v/>
      </c>
      <c r="Q828" s="7">
        <f>IF($B828="","",O828-P828)</f>
        <v/>
      </c>
      <c r="R828" s="7">
        <f>IF($B828="","",Q828-J828)</f>
        <v/>
      </c>
      <c r="S828" s="7" t="n"/>
      <c r="T828" s="7" t="n"/>
      <c r="V828" s="14" t="n"/>
      <c r="Z828">
        <f>IF($B828="","",IF(COUNTIF($B$2:$B828,$B828)=1,1,0))</f>
        <v/>
      </c>
      <c r="AA828">
        <f>IF($Z828=1,SUMPRODUCT(--($AC$2:$AC$3001&lt;$AC828))+1,"")</f>
        <v/>
      </c>
      <c r="AB828">
        <f>IF($B828="","",IF(OR($Y828=TRUE(),$Y828="TRUE"),1,IF(AND($Y828&lt;&gt;"",OR($Y828=FALSE(),$Y828="FALSE")),0,IF(MIN(ABS($X828/100-Settings!$C$6),ABS($X828/100-Settings!$G$6))&lt;=MIN(ABS($X828/100-Settings!$C$7),ABS($X828/100-Settings!$G$7)),1,0))))</f>
        <v/>
      </c>
      <c r="AC828">
        <f>IF($Z828=1,IFERROR(IF(VALUE($B828)&lt;100000000,VALUE($B828),1000000000),IFERROR(IF(VALUE(MID($B828,2,20))&lt;100000000,VALUE(MID($B828,2,20)),1000000000),1000000000))+ROW()/100000,"")</f>
        <v/>
      </c>
    </row>
    <row r="829">
      <c r="A829">
        <f>IF($B829="","",IFERROR(IF(INDEX('Per Invoice'!$A$2:$A$801,MATCH($B829,'Per Invoice'!$B$2:$B$801,0))=0,"",INDEX('Per Invoice'!$A$2:$A$801,MATCH($B829,'Per Invoice'!$B$2:$B$801,0))),""))</f>
        <v/>
      </c>
      <c r="J829" s="7">
        <f>IF($B829="","",I829*Q829/100)</f>
        <v/>
      </c>
      <c r="N829" s="7" t="n"/>
      <c r="O829" s="7" t="n"/>
      <c r="P829" s="7">
        <f>IF($B829="","",O829*X829/100)</f>
        <v/>
      </c>
      <c r="Q829" s="7">
        <f>IF($B829="","",O829-P829)</f>
        <v/>
      </c>
      <c r="R829" s="7">
        <f>IF($B829="","",Q829-J829)</f>
        <v/>
      </c>
      <c r="S829" s="7" t="n"/>
      <c r="T829" s="7" t="n"/>
      <c r="V829" s="14" t="n"/>
      <c r="Z829">
        <f>IF($B829="","",IF(COUNTIF($B$2:$B829,$B829)=1,1,0))</f>
        <v/>
      </c>
      <c r="AA829">
        <f>IF($Z829=1,SUMPRODUCT(--($AC$2:$AC$3001&lt;$AC829))+1,"")</f>
        <v/>
      </c>
      <c r="AB829">
        <f>IF($B829="","",IF(OR($Y829=TRUE(),$Y829="TRUE"),1,IF(AND($Y829&lt;&gt;"",OR($Y829=FALSE(),$Y829="FALSE")),0,IF(MIN(ABS($X829/100-Settings!$C$6),ABS($X829/100-Settings!$G$6))&lt;=MIN(ABS($X829/100-Settings!$C$7),ABS($X829/100-Settings!$G$7)),1,0))))</f>
        <v/>
      </c>
      <c r="AC829">
        <f>IF($Z829=1,IFERROR(IF(VALUE($B829)&lt;100000000,VALUE($B829),1000000000),IFERROR(IF(VALUE(MID($B829,2,20))&lt;100000000,VALUE(MID($B829,2,20)),1000000000),1000000000))+ROW()/100000,"")</f>
        <v/>
      </c>
    </row>
    <row r="830">
      <c r="A830">
        <f>IF($B830="","",IFERROR(IF(INDEX('Per Invoice'!$A$2:$A$801,MATCH($B830,'Per Invoice'!$B$2:$B$801,0))=0,"",INDEX('Per Invoice'!$A$2:$A$801,MATCH($B830,'Per Invoice'!$B$2:$B$801,0))),""))</f>
        <v/>
      </c>
      <c r="J830" s="7">
        <f>IF($B830="","",I830*Q830/100)</f>
        <v/>
      </c>
      <c r="N830" s="7" t="n"/>
      <c r="O830" s="7" t="n"/>
      <c r="P830" s="7">
        <f>IF($B830="","",O830*X830/100)</f>
        <v/>
      </c>
      <c r="Q830" s="7">
        <f>IF($B830="","",O830-P830)</f>
        <v/>
      </c>
      <c r="R830" s="7">
        <f>IF($B830="","",Q830-J830)</f>
        <v/>
      </c>
      <c r="S830" s="7" t="n"/>
      <c r="T830" s="7" t="n"/>
      <c r="V830" s="14" t="n"/>
      <c r="Z830">
        <f>IF($B830="","",IF(COUNTIF($B$2:$B830,$B830)=1,1,0))</f>
        <v/>
      </c>
      <c r="AA830">
        <f>IF($Z830=1,SUMPRODUCT(--($AC$2:$AC$3001&lt;$AC830))+1,"")</f>
        <v/>
      </c>
      <c r="AB830">
        <f>IF($B830="","",IF(OR($Y830=TRUE(),$Y830="TRUE"),1,IF(AND($Y830&lt;&gt;"",OR($Y830=FALSE(),$Y830="FALSE")),0,IF(MIN(ABS($X830/100-Settings!$C$6),ABS($X830/100-Settings!$G$6))&lt;=MIN(ABS($X830/100-Settings!$C$7),ABS($X830/100-Settings!$G$7)),1,0))))</f>
        <v/>
      </c>
      <c r="AC830">
        <f>IF($Z830=1,IFERROR(IF(VALUE($B830)&lt;100000000,VALUE($B830),1000000000),IFERROR(IF(VALUE(MID($B830,2,20))&lt;100000000,VALUE(MID($B830,2,20)),1000000000),1000000000))+ROW()/100000,"")</f>
        <v/>
      </c>
    </row>
    <row r="831">
      <c r="A831">
        <f>IF($B831="","",IFERROR(IF(INDEX('Per Invoice'!$A$2:$A$801,MATCH($B831,'Per Invoice'!$B$2:$B$801,0))=0,"",INDEX('Per Invoice'!$A$2:$A$801,MATCH($B831,'Per Invoice'!$B$2:$B$801,0))),""))</f>
        <v/>
      </c>
      <c r="J831" s="7">
        <f>IF($B831="","",I831*Q831/100)</f>
        <v/>
      </c>
      <c r="N831" s="7" t="n"/>
      <c r="O831" s="7" t="n"/>
      <c r="P831" s="7">
        <f>IF($B831="","",O831*X831/100)</f>
        <v/>
      </c>
      <c r="Q831" s="7">
        <f>IF($B831="","",O831-P831)</f>
        <v/>
      </c>
      <c r="R831" s="7">
        <f>IF($B831="","",Q831-J831)</f>
        <v/>
      </c>
      <c r="S831" s="7" t="n"/>
      <c r="T831" s="7" t="n"/>
      <c r="V831" s="14" t="n"/>
      <c r="Z831">
        <f>IF($B831="","",IF(COUNTIF($B$2:$B831,$B831)=1,1,0))</f>
        <v/>
      </c>
      <c r="AA831">
        <f>IF($Z831=1,SUMPRODUCT(--($AC$2:$AC$3001&lt;$AC831))+1,"")</f>
        <v/>
      </c>
      <c r="AB831">
        <f>IF($B831="","",IF(OR($Y831=TRUE(),$Y831="TRUE"),1,IF(AND($Y831&lt;&gt;"",OR($Y831=FALSE(),$Y831="FALSE")),0,IF(MIN(ABS($X831/100-Settings!$C$6),ABS($X831/100-Settings!$G$6))&lt;=MIN(ABS($X831/100-Settings!$C$7),ABS($X831/100-Settings!$G$7)),1,0))))</f>
        <v/>
      </c>
      <c r="AC831">
        <f>IF($Z831=1,IFERROR(IF(VALUE($B831)&lt;100000000,VALUE($B831),1000000000),IFERROR(IF(VALUE(MID($B831,2,20))&lt;100000000,VALUE(MID($B831,2,20)),1000000000),1000000000))+ROW()/100000,"")</f>
        <v/>
      </c>
    </row>
    <row r="832">
      <c r="A832">
        <f>IF($B832="","",IFERROR(IF(INDEX('Per Invoice'!$A$2:$A$801,MATCH($B832,'Per Invoice'!$B$2:$B$801,0))=0,"",INDEX('Per Invoice'!$A$2:$A$801,MATCH($B832,'Per Invoice'!$B$2:$B$801,0))),""))</f>
        <v/>
      </c>
      <c r="J832" s="7">
        <f>IF($B832="","",I832*Q832/100)</f>
        <v/>
      </c>
      <c r="N832" s="7" t="n"/>
      <c r="O832" s="7" t="n"/>
      <c r="P832" s="7">
        <f>IF($B832="","",O832*X832/100)</f>
        <v/>
      </c>
      <c r="Q832" s="7">
        <f>IF($B832="","",O832-P832)</f>
        <v/>
      </c>
      <c r="R832" s="7">
        <f>IF($B832="","",Q832-J832)</f>
        <v/>
      </c>
      <c r="S832" s="7" t="n"/>
      <c r="T832" s="7" t="n"/>
      <c r="V832" s="14" t="n"/>
      <c r="Z832">
        <f>IF($B832="","",IF(COUNTIF($B$2:$B832,$B832)=1,1,0))</f>
        <v/>
      </c>
      <c r="AA832">
        <f>IF($Z832=1,SUMPRODUCT(--($AC$2:$AC$3001&lt;$AC832))+1,"")</f>
        <v/>
      </c>
      <c r="AB832">
        <f>IF($B832="","",IF(OR($Y832=TRUE(),$Y832="TRUE"),1,IF(AND($Y832&lt;&gt;"",OR($Y832=FALSE(),$Y832="FALSE")),0,IF(MIN(ABS($X832/100-Settings!$C$6),ABS($X832/100-Settings!$G$6))&lt;=MIN(ABS($X832/100-Settings!$C$7),ABS($X832/100-Settings!$G$7)),1,0))))</f>
        <v/>
      </c>
      <c r="AC832">
        <f>IF($Z832=1,IFERROR(IF(VALUE($B832)&lt;100000000,VALUE($B832),1000000000),IFERROR(IF(VALUE(MID($B832,2,20))&lt;100000000,VALUE(MID($B832,2,20)),1000000000),1000000000))+ROW()/100000,"")</f>
        <v/>
      </c>
    </row>
    <row r="833">
      <c r="A833">
        <f>IF($B833="","",IFERROR(IF(INDEX('Per Invoice'!$A$2:$A$801,MATCH($B833,'Per Invoice'!$B$2:$B$801,0))=0,"",INDEX('Per Invoice'!$A$2:$A$801,MATCH($B833,'Per Invoice'!$B$2:$B$801,0))),""))</f>
        <v/>
      </c>
      <c r="J833" s="7">
        <f>IF($B833="","",I833*Q833/100)</f>
        <v/>
      </c>
      <c r="N833" s="7" t="n"/>
      <c r="O833" s="7" t="n"/>
      <c r="P833" s="7">
        <f>IF($B833="","",O833*X833/100)</f>
        <v/>
      </c>
      <c r="Q833" s="7">
        <f>IF($B833="","",O833-P833)</f>
        <v/>
      </c>
      <c r="R833" s="7">
        <f>IF($B833="","",Q833-J833)</f>
        <v/>
      </c>
      <c r="S833" s="7" t="n"/>
      <c r="T833" s="7" t="n"/>
      <c r="V833" s="14" t="n"/>
      <c r="Z833">
        <f>IF($B833="","",IF(COUNTIF($B$2:$B833,$B833)=1,1,0))</f>
        <v/>
      </c>
      <c r="AA833">
        <f>IF($Z833=1,SUMPRODUCT(--($AC$2:$AC$3001&lt;$AC833))+1,"")</f>
        <v/>
      </c>
      <c r="AB833">
        <f>IF($B833="","",IF(OR($Y833=TRUE(),$Y833="TRUE"),1,IF(AND($Y833&lt;&gt;"",OR($Y833=FALSE(),$Y833="FALSE")),0,IF(MIN(ABS($X833/100-Settings!$C$6),ABS($X833/100-Settings!$G$6))&lt;=MIN(ABS($X833/100-Settings!$C$7),ABS($X833/100-Settings!$G$7)),1,0))))</f>
        <v/>
      </c>
      <c r="AC833">
        <f>IF($Z833=1,IFERROR(IF(VALUE($B833)&lt;100000000,VALUE($B833),1000000000),IFERROR(IF(VALUE(MID($B833,2,20))&lt;100000000,VALUE(MID($B833,2,20)),1000000000),1000000000))+ROW()/100000,"")</f>
        <v/>
      </c>
    </row>
    <row r="834">
      <c r="A834">
        <f>IF($B834="","",IFERROR(IF(INDEX('Per Invoice'!$A$2:$A$801,MATCH($B834,'Per Invoice'!$B$2:$B$801,0))=0,"",INDEX('Per Invoice'!$A$2:$A$801,MATCH($B834,'Per Invoice'!$B$2:$B$801,0))),""))</f>
        <v/>
      </c>
      <c r="J834" s="7">
        <f>IF($B834="","",I834*Q834/100)</f>
        <v/>
      </c>
      <c r="N834" s="7" t="n"/>
      <c r="O834" s="7" t="n"/>
      <c r="P834" s="7">
        <f>IF($B834="","",O834*X834/100)</f>
        <v/>
      </c>
      <c r="Q834" s="7">
        <f>IF($B834="","",O834-P834)</f>
        <v/>
      </c>
      <c r="R834" s="7">
        <f>IF($B834="","",Q834-J834)</f>
        <v/>
      </c>
      <c r="S834" s="7" t="n"/>
      <c r="T834" s="7" t="n"/>
      <c r="V834" s="14" t="n"/>
      <c r="Z834">
        <f>IF($B834="","",IF(COUNTIF($B$2:$B834,$B834)=1,1,0))</f>
        <v/>
      </c>
      <c r="AA834">
        <f>IF($Z834=1,SUMPRODUCT(--($AC$2:$AC$3001&lt;$AC834))+1,"")</f>
        <v/>
      </c>
      <c r="AB834">
        <f>IF($B834="","",IF(OR($Y834=TRUE(),$Y834="TRUE"),1,IF(AND($Y834&lt;&gt;"",OR($Y834=FALSE(),$Y834="FALSE")),0,IF(MIN(ABS($X834/100-Settings!$C$6),ABS($X834/100-Settings!$G$6))&lt;=MIN(ABS($X834/100-Settings!$C$7),ABS($X834/100-Settings!$G$7)),1,0))))</f>
        <v/>
      </c>
      <c r="AC834">
        <f>IF($Z834=1,IFERROR(IF(VALUE($B834)&lt;100000000,VALUE($B834),1000000000),IFERROR(IF(VALUE(MID($B834,2,20))&lt;100000000,VALUE(MID($B834,2,20)),1000000000),1000000000))+ROW()/100000,"")</f>
        <v/>
      </c>
    </row>
    <row r="835">
      <c r="A835">
        <f>IF($B835="","",IFERROR(IF(INDEX('Per Invoice'!$A$2:$A$801,MATCH($B835,'Per Invoice'!$B$2:$B$801,0))=0,"",INDEX('Per Invoice'!$A$2:$A$801,MATCH($B835,'Per Invoice'!$B$2:$B$801,0))),""))</f>
        <v/>
      </c>
      <c r="J835" s="7">
        <f>IF($B835="","",I835*Q835/100)</f>
        <v/>
      </c>
      <c r="N835" s="7" t="n"/>
      <c r="O835" s="7" t="n"/>
      <c r="P835" s="7">
        <f>IF($B835="","",O835*X835/100)</f>
        <v/>
      </c>
      <c r="Q835" s="7">
        <f>IF($B835="","",O835-P835)</f>
        <v/>
      </c>
      <c r="R835" s="7">
        <f>IF($B835="","",Q835-J835)</f>
        <v/>
      </c>
      <c r="S835" s="7" t="n"/>
      <c r="T835" s="7" t="n"/>
      <c r="V835" s="14" t="n"/>
      <c r="Z835">
        <f>IF($B835="","",IF(COUNTIF($B$2:$B835,$B835)=1,1,0))</f>
        <v/>
      </c>
      <c r="AA835">
        <f>IF($Z835=1,SUMPRODUCT(--($AC$2:$AC$3001&lt;$AC835))+1,"")</f>
        <v/>
      </c>
      <c r="AB835">
        <f>IF($B835="","",IF(OR($Y835=TRUE(),$Y835="TRUE"),1,IF(AND($Y835&lt;&gt;"",OR($Y835=FALSE(),$Y835="FALSE")),0,IF(MIN(ABS($X835/100-Settings!$C$6),ABS($X835/100-Settings!$G$6))&lt;=MIN(ABS($X835/100-Settings!$C$7),ABS($X835/100-Settings!$G$7)),1,0))))</f>
        <v/>
      </c>
      <c r="AC835">
        <f>IF($Z835=1,IFERROR(IF(VALUE($B835)&lt;100000000,VALUE($B835),1000000000),IFERROR(IF(VALUE(MID($B835,2,20))&lt;100000000,VALUE(MID($B835,2,20)),1000000000),1000000000))+ROW()/100000,"")</f>
        <v/>
      </c>
    </row>
    <row r="836">
      <c r="A836">
        <f>IF($B836="","",IFERROR(IF(INDEX('Per Invoice'!$A$2:$A$801,MATCH($B836,'Per Invoice'!$B$2:$B$801,0))=0,"",INDEX('Per Invoice'!$A$2:$A$801,MATCH($B836,'Per Invoice'!$B$2:$B$801,0))),""))</f>
        <v/>
      </c>
      <c r="J836" s="7">
        <f>IF($B836="","",I836*Q836/100)</f>
        <v/>
      </c>
      <c r="N836" s="7" t="n"/>
      <c r="O836" s="7" t="n"/>
      <c r="P836" s="7">
        <f>IF($B836="","",O836*X836/100)</f>
        <v/>
      </c>
      <c r="Q836" s="7">
        <f>IF($B836="","",O836-P836)</f>
        <v/>
      </c>
      <c r="R836" s="7">
        <f>IF($B836="","",Q836-J836)</f>
        <v/>
      </c>
      <c r="S836" s="7" t="n"/>
      <c r="T836" s="7" t="n"/>
      <c r="V836" s="14" t="n"/>
      <c r="Z836">
        <f>IF($B836="","",IF(COUNTIF($B$2:$B836,$B836)=1,1,0))</f>
        <v/>
      </c>
      <c r="AA836">
        <f>IF($Z836=1,SUMPRODUCT(--($AC$2:$AC$3001&lt;$AC836))+1,"")</f>
        <v/>
      </c>
      <c r="AB836">
        <f>IF($B836="","",IF(OR($Y836=TRUE(),$Y836="TRUE"),1,IF(AND($Y836&lt;&gt;"",OR($Y836=FALSE(),$Y836="FALSE")),0,IF(MIN(ABS($X836/100-Settings!$C$6),ABS($X836/100-Settings!$G$6))&lt;=MIN(ABS($X836/100-Settings!$C$7),ABS($X836/100-Settings!$G$7)),1,0))))</f>
        <v/>
      </c>
      <c r="AC836">
        <f>IF($Z836=1,IFERROR(IF(VALUE($B836)&lt;100000000,VALUE($B836),1000000000),IFERROR(IF(VALUE(MID($B836,2,20))&lt;100000000,VALUE(MID($B836,2,20)),1000000000),1000000000))+ROW()/100000,"")</f>
        <v/>
      </c>
    </row>
    <row r="837">
      <c r="A837">
        <f>IF($B837="","",IFERROR(IF(INDEX('Per Invoice'!$A$2:$A$801,MATCH($B837,'Per Invoice'!$B$2:$B$801,0))=0,"",INDEX('Per Invoice'!$A$2:$A$801,MATCH($B837,'Per Invoice'!$B$2:$B$801,0))),""))</f>
        <v/>
      </c>
      <c r="J837" s="7">
        <f>IF($B837="","",I837*Q837/100)</f>
        <v/>
      </c>
      <c r="N837" s="7" t="n"/>
      <c r="O837" s="7" t="n"/>
      <c r="P837" s="7">
        <f>IF($B837="","",O837*X837/100)</f>
        <v/>
      </c>
      <c r="Q837" s="7">
        <f>IF($B837="","",O837-P837)</f>
        <v/>
      </c>
      <c r="R837" s="7">
        <f>IF($B837="","",Q837-J837)</f>
        <v/>
      </c>
      <c r="S837" s="7" t="n"/>
      <c r="T837" s="7" t="n"/>
      <c r="V837" s="14" t="n"/>
      <c r="Z837">
        <f>IF($B837="","",IF(COUNTIF($B$2:$B837,$B837)=1,1,0))</f>
        <v/>
      </c>
      <c r="AA837">
        <f>IF($Z837=1,SUMPRODUCT(--($AC$2:$AC$3001&lt;$AC837))+1,"")</f>
        <v/>
      </c>
      <c r="AB837">
        <f>IF($B837="","",IF(OR($Y837=TRUE(),$Y837="TRUE"),1,IF(AND($Y837&lt;&gt;"",OR($Y837=FALSE(),$Y837="FALSE")),0,IF(MIN(ABS($X837/100-Settings!$C$6),ABS($X837/100-Settings!$G$6))&lt;=MIN(ABS($X837/100-Settings!$C$7),ABS($X837/100-Settings!$G$7)),1,0))))</f>
        <v/>
      </c>
      <c r="AC837">
        <f>IF($Z837=1,IFERROR(IF(VALUE($B837)&lt;100000000,VALUE($B837),1000000000),IFERROR(IF(VALUE(MID($B837,2,20))&lt;100000000,VALUE(MID($B837,2,20)),1000000000),1000000000))+ROW()/100000,"")</f>
        <v/>
      </c>
    </row>
    <row r="838">
      <c r="A838">
        <f>IF($B838="","",IFERROR(IF(INDEX('Per Invoice'!$A$2:$A$801,MATCH($B838,'Per Invoice'!$B$2:$B$801,0))=0,"",INDEX('Per Invoice'!$A$2:$A$801,MATCH($B838,'Per Invoice'!$B$2:$B$801,0))),""))</f>
        <v/>
      </c>
      <c r="J838" s="7">
        <f>IF($B838="","",I838*Q838/100)</f>
        <v/>
      </c>
      <c r="N838" s="7" t="n"/>
      <c r="O838" s="7" t="n"/>
      <c r="P838" s="7">
        <f>IF($B838="","",O838*X838/100)</f>
        <v/>
      </c>
      <c r="Q838" s="7">
        <f>IF($B838="","",O838-P838)</f>
        <v/>
      </c>
      <c r="R838" s="7">
        <f>IF($B838="","",Q838-J838)</f>
        <v/>
      </c>
      <c r="S838" s="7" t="n"/>
      <c r="T838" s="7" t="n"/>
      <c r="V838" s="14" t="n"/>
      <c r="Z838">
        <f>IF($B838="","",IF(COUNTIF($B$2:$B838,$B838)=1,1,0))</f>
        <v/>
      </c>
      <c r="AA838">
        <f>IF($Z838=1,SUMPRODUCT(--($AC$2:$AC$3001&lt;$AC838))+1,"")</f>
        <v/>
      </c>
      <c r="AB838">
        <f>IF($B838="","",IF(OR($Y838=TRUE(),$Y838="TRUE"),1,IF(AND($Y838&lt;&gt;"",OR($Y838=FALSE(),$Y838="FALSE")),0,IF(MIN(ABS($X838/100-Settings!$C$6),ABS($X838/100-Settings!$G$6))&lt;=MIN(ABS($X838/100-Settings!$C$7),ABS($X838/100-Settings!$G$7)),1,0))))</f>
        <v/>
      </c>
      <c r="AC838">
        <f>IF($Z838=1,IFERROR(IF(VALUE($B838)&lt;100000000,VALUE($B838),1000000000),IFERROR(IF(VALUE(MID($B838,2,20))&lt;100000000,VALUE(MID($B838,2,20)),1000000000),1000000000))+ROW()/100000,"")</f>
        <v/>
      </c>
    </row>
    <row r="839">
      <c r="A839">
        <f>IF($B839="","",IFERROR(IF(INDEX('Per Invoice'!$A$2:$A$801,MATCH($B839,'Per Invoice'!$B$2:$B$801,0))=0,"",INDEX('Per Invoice'!$A$2:$A$801,MATCH($B839,'Per Invoice'!$B$2:$B$801,0))),""))</f>
        <v/>
      </c>
      <c r="J839" s="7">
        <f>IF($B839="","",I839*Q839/100)</f>
        <v/>
      </c>
      <c r="N839" s="7" t="n"/>
      <c r="O839" s="7" t="n"/>
      <c r="P839" s="7">
        <f>IF($B839="","",O839*X839/100)</f>
        <v/>
      </c>
      <c r="Q839" s="7">
        <f>IF($B839="","",O839-P839)</f>
        <v/>
      </c>
      <c r="R839" s="7">
        <f>IF($B839="","",Q839-J839)</f>
        <v/>
      </c>
      <c r="S839" s="7" t="n"/>
      <c r="T839" s="7" t="n"/>
      <c r="V839" s="14" t="n"/>
      <c r="Z839">
        <f>IF($B839="","",IF(COUNTIF($B$2:$B839,$B839)=1,1,0))</f>
        <v/>
      </c>
      <c r="AA839">
        <f>IF($Z839=1,SUMPRODUCT(--($AC$2:$AC$3001&lt;$AC839))+1,"")</f>
        <v/>
      </c>
      <c r="AB839">
        <f>IF($B839="","",IF(OR($Y839=TRUE(),$Y839="TRUE"),1,IF(AND($Y839&lt;&gt;"",OR($Y839=FALSE(),$Y839="FALSE")),0,IF(MIN(ABS($X839/100-Settings!$C$6),ABS($X839/100-Settings!$G$6))&lt;=MIN(ABS($X839/100-Settings!$C$7),ABS($X839/100-Settings!$G$7)),1,0))))</f>
        <v/>
      </c>
      <c r="AC839">
        <f>IF($Z839=1,IFERROR(IF(VALUE($B839)&lt;100000000,VALUE($B839),1000000000),IFERROR(IF(VALUE(MID($B839,2,20))&lt;100000000,VALUE(MID($B839,2,20)),1000000000),1000000000))+ROW()/100000,"")</f>
        <v/>
      </c>
    </row>
    <row r="840">
      <c r="A840">
        <f>IF($B840="","",IFERROR(IF(INDEX('Per Invoice'!$A$2:$A$801,MATCH($B840,'Per Invoice'!$B$2:$B$801,0))=0,"",INDEX('Per Invoice'!$A$2:$A$801,MATCH($B840,'Per Invoice'!$B$2:$B$801,0))),""))</f>
        <v/>
      </c>
      <c r="J840" s="7">
        <f>IF($B840="","",I840*Q840/100)</f>
        <v/>
      </c>
      <c r="N840" s="7" t="n"/>
      <c r="O840" s="7" t="n"/>
      <c r="P840" s="7">
        <f>IF($B840="","",O840*X840/100)</f>
        <v/>
      </c>
      <c r="Q840" s="7">
        <f>IF($B840="","",O840-P840)</f>
        <v/>
      </c>
      <c r="R840" s="7">
        <f>IF($B840="","",Q840-J840)</f>
        <v/>
      </c>
      <c r="S840" s="7" t="n"/>
      <c r="T840" s="7" t="n"/>
      <c r="V840" s="14" t="n"/>
      <c r="Z840">
        <f>IF($B840="","",IF(COUNTIF($B$2:$B840,$B840)=1,1,0))</f>
        <v/>
      </c>
      <c r="AA840">
        <f>IF($Z840=1,SUMPRODUCT(--($AC$2:$AC$3001&lt;$AC840))+1,"")</f>
        <v/>
      </c>
      <c r="AB840">
        <f>IF($B840="","",IF(OR($Y840=TRUE(),$Y840="TRUE"),1,IF(AND($Y840&lt;&gt;"",OR($Y840=FALSE(),$Y840="FALSE")),0,IF(MIN(ABS($X840/100-Settings!$C$6),ABS($X840/100-Settings!$G$6))&lt;=MIN(ABS($X840/100-Settings!$C$7),ABS($X840/100-Settings!$G$7)),1,0))))</f>
        <v/>
      </c>
      <c r="AC840">
        <f>IF($Z840=1,IFERROR(IF(VALUE($B840)&lt;100000000,VALUE($B840),1000000000),IFERROR(IF(VALUE(MID($B840,2,20))&lt;100000000,VALUE(MID($B840,2,20)),1000000000),1000000000))+ROW()/100000,"")</f>
        <v/>
      </c>
    </row>
    <row r="841">
      <c r="A841">
        <f>IF($B841="","",IFERROR(IF(INDEX('Per Invoice'!$A$2:$A$801,MATCH($B841,'Per Invoice'!$B$2:$B$801,0))=0,"",INDEX('Per Invoice'!$A$2:$A$801,MATCH($B841,'Per Invoice'!$B$2:$B$801,0))),""))</f>
        <v/>
      </c>
      <c r="J841" s="7">
        <f>IF($B841="","",I841*Q841/100)</f>
        <v/>
      </c>
      <c r="N841" s="7" t="n"/>
      <c r="O841" s="7" t="n"/>
      <c r="P841" s="7">
        <f>IF($B841="","",O841*X841/100)</f>
        <v/>
      </c>
      <c r="Q841" s="7">
        <f>IF($B841="","",O841-P841)</f>
        <v/>
      </c>
      <c r="R841" s="7">
        <f>IF($B841="","",Q841-J841)</f>
        <v/>
      </c>
      <c r="S841" s="7" t="n"/>
      <c r="T841" s="7" t="n"/>
      <c r="V841" s="14" t="n"/>
      <c r="Z841">
        <f>IF($B841="","",IF(COUNTIF($B$2:$B841,$B841)=1,1,0))</f>
        <v/>
      </c>
      <c r="AA841">
        <f>IF($Z841=1,SUMPRODUCT(--($AC$2:$AC$3001&lt;$AC841))+1,"")</f>
        <v/>
      </c>
      <c r="AB841">
        <f>IF($B841="","",IF(OR($Y841=TRUE(),$Y841="TRUE"),1,IF(AND($Y841&lt;&gt;"",OR($Y841=FALSE(),$Y841="FALSE")),0,IF(MIN(ABS($X841/100-Settings!$C$6),ABS($X841/100-Settings!$G$6))&lt;=MIN(ABS($X841/100-Settings!$C$7),ABS($X841/100-Settings!$G$7)),1,0))))</f>
        <v/>
      </c>
      <c r="AC841">
        <f>IF($Z841=1,IFERROR(IF(VALUE($B841)&lt;100000000,VALUE($B841),1000000000),IFERROR(IF(VALUE(MID($B841,2,20))&lt;100000000,VALUE(MID($B841,2,20)),1000000000),1000000000))+ROW()/100000,"")</f>
        <v/>
      </c>
    </row>
    <row r="842">
      <c r="A842">
        <f>IF($B842="","",IFERROR(IF(INDEX('Per Invoice'!$A$2:$A$801,MATCH($B842,'Per Invoice'!$B$2:$B$801,0))=0,"",INDEX('Per Invoice'!$A$2:$A$801,MATCH($B842,'Per Invoice'!$B$2:$B$801,0))),""))</f>
        <v/>
      </c>
      <c r="J842" s="7">
        <f>IF($B842="","",I842*Q842/100)</f>
        <v/>
      </c>
      <c r="N842" s="7" t="n"/>
      <c r="O842" s="7" t="n"/>
      <c r="P842" s="7">
        <f>IF($B842="","",O842*X842/100)</f>
        <v/>
      </c>
      <c r="Q842" s="7">
        <f>IF($B842="","",O842-P842)</f>
        <v/>
      </c>
      <c r="R842" s="7">
        <f>IF($B842="","",Q842-J842)</f>
        <v/>
      </c>
      <c r="S842" s="7" t="n"/>
      <c r="T842" s="7" t="n"/>
      <c r="V842" s="14" t="n"/>
      <c r="Z842">
        <f>IF($B842="","",IF(COUNTIF($B$2:$B842,$B842)=1,1,0))</f>
        <v/>
      </c>
      <c r="AA842">
        <f>IF($Z842=1,SUMPRODUCT(--($AC$2:$AC$3001&lt;$AC842))+1,"")</f>
        <v/>
      </c>
      <c r="AB842">
        <f>IF($B842="","",IF(OR($Y842=TRUE(),$Y842="TRUE"),1,IF(AND($Y842&lt;&gt;"",OR($Y842=FALSE(),$Y842="FALSE")),0,IF(MIN(ABS($X842/100-Settings!$C$6),ABS($X842/100-Settings!$G$6))&lt;=MIN(ABS($X842/100-Settings!$C$7),ABS($X842/100-Settings!$G$7)),1,0))))</f>
        <v/>
      </c>
      <c r="AC842">
        <f>IF($Z842=1,IFERROR(IF(VALUE($B842)&lt;100000000,VALUE($B842),1000000000),IFERROR(IF(VALUE(MID($B842,2,20))&lt;100000000,VALUE(MID($B842,2,20)),1000000000),1000000000))+ROW()/100000,"")</f>
        <v/>
      </c>
    </row>
    <row r="843">
      <c r="A843">
        <f>IF($B843="","",IFERROR(IF(INDEX('Per Invoice'!$A$2:$A$801,MATCH($B843,'Per Invoice'!$B$2:$B$801,0))=0,"",INDEX('Per Invoice'!$A$2:$A$801,MATCH($B843,'Per Invoice'!$B$2:$B$801,0))),""))</f>
        <v/>
      </c>
      <c r="J843" s="7">
        <f>IF($B843="","",I843*Q843/100)</f>
        <v/>
      </c>
      <c r="N843" s="7" t="n"/>
      <c r="O843" s="7" t="n"/>
      <c r="P843" s="7">
        <f>IF($B843="","",O843*X843/100)</f>
        <v/>
      </c>
      <c r="Q843" s="7">
        <f>IF($B843="","",O843-P843)</f>
        <v/>
      </c>
      <c r="R843" s="7">
        <f>IF($B843="","",Q843-J843)</f>
        <v/>
      </c>
      <c r="S843" s="7" t="n"/>
      <c r="T843" s="7" t="n"/>
      <c r="V843" s="14" t="n"/>
      <c r="Z843">
        <f>IF($B843="","",IF(COUNTIF($B$2:$B843,$B843)=1,1,0))</f>
        <v/>
      </c>
      <c r="AA843">
        <f>IF($Z843=1,SUMPRODUCT(--($AC$2:$AC$3001&lt;$AC843))+1,"")</f>
        <v/>
      </c>
      <c r="AB843">
        <f>IF($B843="","",IF(OR($Y843=TRUE(),$Y843="TRUE"),1,IF(AND($Y843&lt;&gt;"",OR($Y843=FALSE(),$Y843="FALSE")),0,IF(MIN(ABS($X843/100-Settings!$C$6),ABS($X843/100-Settings!$G$6))&lt;=MIN(ABS($X843/100-Settings!$C$7),ABS($X843/100-Settings!$G$7)),1,0))))</f>
        <v/>
      </c>
      <c r="AC843">
        <f>IF($Z843=1,IFERROR(IF(VALUE($B843)&lt;100000000,VALUE($B843),1000000000),IFERROR(IF(VALUE(MID($B843,2,20))&lt;100000000,VALUE(MID($B843,2,20)),1000000000),1000000000))+ROW()/100000,"")</f>
        <v/>
      </c>
    </row>
    <row r="844">
      <c r="A844">
        <f>IF($B844="","",IFERROR(IF(INDEX('Per Invoice'!$A$2:$A$801,MATCH($B844,'Per Invoice'!$B$2:$B$801,0))=0,"",INDEX('Per Invoice'!$A$2:$A$801,MATCH($B844,'Per Invoice'!$B$2:$B$801,0))),""))</f>
        <v/>
      </c>
      <c r="J844" s="7">
        <f>IF($B844="","",I844*Q844/100)</f>
        <v/>
      </c>
      <c r="N844" s="7" t="n"/>
      <c r="O844" s="7" t="n"/>
      <c r="P844" s="7">
        <f>IF($B844="","",O844*X844/100)</f>
        <v/>
      </c>
      <c r="Q844" s="7">
        <f>IF($B844="","",O844-P844)</f>
        <v/>
      </c>
      <c r="R844" s="7">
        <f>IF($B844="","",Q844-J844)</f>
        <v/>
      </c>
      <c r="S844" s="7" t="n"/>
      <c r="T844" s="7" t="n"/>
      <c r="V844" s="14" t="n"/>
      <c r="Z844">
        <f>IF($B844="","",IF(COUNTIF($B$2:$B844,$B844)=1,1,0))</f>
        <v/>
      </c>
      <c r="AA844">
        <f>IF($Z844=1,SUMPRODUCT(--($AC$2:$AC$3001&lt;$AC844))+1,"")</f>
        <v/>
      </c>
      <c r="AB844">
        <f>IF($B844="","",IF(OR($Y844=TRUE(),$Y844="TRUE"),1,IF(AND($Y844&lt;&gt;"",OR($Y844=FALSE(),$Y844="FALSE")),0,IF(MIN(ABS($X844/100-Settings!$C$6),ABS($X844/100-Settings!$G$6))&lt;=MIN(ABS($X844/100-Settings!$C$7),ABS($X844/100-Settings!$G$7)),1,0))))</f>
        <v/>
      </c>
      <c r="AC844">
        <f>IF($Z844=1,IFERROR(IF(VALUE($B844)&lt;100000000,VALUE($B844),1000000000),IFERROR(IF(VALUE(MID($B844,2,20))&lt;100000000,VALUE(MID($B844,2,20)),1000000000),1000000000))+ROW()/100000,"")</f>
        <v/>
      </c>
    </row>
    <row r="845">
      <c r="A845">
        <f>IF($B845="","",IFERROR(IF(INDEX('Per Invoice'!$A$2:$A$801,MATCH($B845,'Per Invoice'!$B$2:$B$801,0))=0,"",INDEX('Per Invoice'!$A$2:$A$801,MATCH($B845,'Per Invoice'!$B$2:$B$801,0))),""))</f>
        <v/>
      </c>
      <c r="J845" s="7">
        <f>IF($B845="","",I845*Q845/100)</f>
        <v/>
      </c>
      <c r="N845" s="7" t="n"/>
      <c r="O845" s="7" t="n"/>
      <c r="P845" s="7">
        <f>IF($B845="","",O845*X845/100)</f>
        <v/>
      </c>
      <c r="Q845" s="7">
        <f>IF($B845="","",O845-P845)</f>
        <v/>
      </c>
      <c r="R845" s="7">
        <f>IF($B845="","",Q845-J845)</f>
        <v/>
      </c>
      <c r="S845" s="7" t="n"/>
      <c r="T845" s="7" t="n"/>
      <c r="V845" s="14" t="n"/>
      <c r="Z845">
        <f>IF($B845="","",IF(COUNTIF($B$2:$B845,$B845)=1,1,0))</f>
        <v/>
      </c>
      <c r="AA845">
        <f>IF($Z845=1,SUMPRODUCT(--($AC$2:$AC$3001&lt;$AC845))+1,"")</f>
        <v/>
      </c>
      <c r="AB845">
        <f>IF($B845="","",IF(OR($Y845=TRUE(),$Y845="TRUE"),1,IF(AND($Y845&lt;&gt;"",OR($Y845=FALSE(),$Y845="FALSE")),0,IF(MIN(ABS($X845/100-Settings!$C$6),ABS($X845/100-Settings!$G$6))&lt;=MIN(ABS($X845/100-Settings!$C$7),ABS($X845/100-Settings!$G$7)),1,0))))</f>
        <v/>
      </c>
      <c r="AC845">
        <f>IF($Z845=1,IFERROR(IF(VALUE($B845)&lt;100000000,VALUE($B845),1000000000),IFERROR(IF(VALUE(MID($B845,2,20))&lt;100000000,VALUE(MID($B845,2,20)),1000000000),1000000000))+ROW()/100000,"")</f>
        <v/>
      </c>
    </row>
    <row r="846">
      <c r="A846">
        <f>IF($B846="","",IFERROR(IF(INDEX('Per Invoice'!$A$2:$A$801,MATCH($B846,'Per Invoice'!$B$2:$B$801,0))=0,"",INDEX('Per Invoice'!$A$2:$A$801,MATCH($B846,'Per Invoice'!$B$2:$B$801,0))),""))</f>
        <v/>
      </c>
      <c r="J846" s="7">
        <f>IF($B846="","",I846*Q846/100)</f>
        <v/>
      </c>
      <c r="N846" s="7" t="n"/>
      <c r="O846" s="7" t="n"/>
      <c r="P846" s="7">
        <f>IF($B846="","",O846*X846/100)</f>
        <v/>
      </c>
      <c r="Q846" s="7">
        <f>IF($B846="","",O846-P846)</f>
        <v/>
      </c>
      <c r="R846" s="7">
        <f>IF($B846="","",Q846-J846)</f>
        <v/>
      </c>
      <c r="S846" s="7" t="n"/>
      <c r="T846" s="7" t="n"/>
      <c r="V846" s="14" t="n"/>
      <c r="Z846">
        <f>IF($B846="","",IF(COUNTIF($B$2:$B846,$B846)=1,1,0))</f>
        <v/>
      </c>
      <c r="AA846">
        <f>IF($Z846=1,SUMPRODUCT(--($AC$2:$AC$3001&lt;$AC846))+1,"")</f>
        <v/>
      </c>
      <c r="AB846">
        <f>IF($B846="","",IF(OR($Y846=TRUE(),$Y846="TRUE"),1,IF(AND($Y846&lt;&gt;"",OR($Y846=FALSE(),$Y846="FALSE")),0,IF(MIN(ABS($X846/100-Settings!$C$6),ABS($X846/100-Settings!$G$6))&lt;=MIN(ABS($X846/100-Settings!$C$7),ABS($X846/100-Settings!$G$7)),1,0))))</f>
        <v/>
      </c>
      <c r="AC846">
        <f>IF($Z846=1,IFERROR(IF(VALUE($B846)&lt;100000000,VALUE($B846),1000000000),IFERROR(IF(VALUE(MID($B846,2,20))&lt;100000000,VALUE(MID($B846,2,20)),1000000000),1000000000))+ROW()/100000,"")</f>
        <v/>
      </c>
    </row>
    <row r="847">
      <c r="A847">
        <f>IF($B847="","",IFERROR(IF(INDEX('Per Invoice'!$A$2:$A$801,MATCH($B847,'Per Invoice'!$B$2:$B$801,0))=0,"",INDEX('Per Invoice'!$A$2:$A$801,MATCH($B847,'Per Invoice'!$B$2:$B$801,0))),""))</f>
        <v/>
      </c>
      <c r="J847" s="7">
        <f>IF($B847="","",I847*Q847/100)</f>
        <v/>
      </c>
      <c r="N847" s="7" t="n"/>
      <c r="O847" s="7" t="n"/>
      <c r="P847" s="7">
        <f>IF($B847="","",O847*X847/100)</f>
        <v/>
      </c>
      <c r="Q847" s="7">
        <f>IF($B847="","",O847-P847)</f>
        <v/>
      </c>
      <c r="R847" s="7">
        <f>IF($B847="","",Q847-J847)</f>
        <v/>
      </c>
      <c r="S847" s="7" t="n"/>
      <c r="T847" s="7" t="n"/>
      <c r="V847" s="14" t="n"/>
      <c r="Z847">
        <f>IF($B847="","",IF(COUNTIF($B$2:$B847,$B847)=1,1,0))</f>
        <v/>
      </c>
      <c r="AA847">
        <f>IF($Z847=1,SUMPRODUCT(--($AC$2:$AC$3001&lt;$AC847))+1,"")</f>
        <v/>
      </c>
      <c r="AB847">
        <f>IF($B847="","",IF(OR($Y847=TRUE(),$Y847="TRUE"),1,IF(AND($Y847&lt;&gt;"",OR($Y847=FALSE(),$Y847="FALSE")),0,IF(MIN(ABS($X847/100-Settings!$C$6),ABS($X847/100-Settings!$G$6))&lt;=MIN(ABS($X847/100-Settings!$C$7),ABS($X847/100-Settings!$G$7)),1,0))))</f>
        <v/>
      </c>
      <c r="AC847">
        <f>IF($Z847=1,IFERROR(IF(VALUE($B847)&lt;100000000,VALUE($B847),1000000000),IFERROR(IF(VALUE(MID($B847,2,20))&lt;100000000,VALUE(MID($B847,2,20)),1000000000),1000000000))+ROW()/100000,"")</f>
        <v/>
      </c>
    </row>
    <row r="848">
      <c r="A848">
        <f>IF($B848="","",IFERROR(IF(INDEX('Per Invoice'!$A$2:$A$801,MATCH($B848,'Per Invoice'!$B$2:$B$801,0))=0,"",INDEX('Per Invoice'!$A$2:$A$801,MATCH($B848,'Per Invoice'!$B$2:$B$801,0))),""))</f>
        <v/>
      </c>
      <c r="J848" s="7">
        <f>IF($B848="","",I848*Q848/100)</f>
        <v/>
      </c>
      <c r="N848" s="7" t="n"/>
      <c r="O848" s="7" t="n"/>
      <c r="P848" s="7">
        <f>IF($B848="","",O848*X848/100)</f>
        <v/>
      </c>
      <c r="Q848" s="7">
        <f>IF($B848="","",O848-P848)</f>
        <v/>
      </c>
      <c r="R848" s="7">
        <f>IF($B848="","",Q848-J848)</f>
        <v/>
      </c>
      <c r="S848" s="7" t="n"/>
      <c r="T848" s="7" t="n"/>
      <c r="V848" s="14" t="n"/>
      <c r="Z848">
        <f>IF($B848="","",IF(COUNTIF($B$2:$B848,$B848)=1,1,0))</f>
        <v/>
      </c>
      <c r="AA848">
        <f>IF($Z848=1,SUMPRODUCT(--($AC$2:$AC$3001&lt;$AC848))+1,"")</f>
        <v/>
      </c>
      <c r="AB848">
        <f>IF($B848="","",IF(OR($Y848=TRUE(),$Y848="TRUE"),1,IF(AND($Y848&lt;&gt;"",OR($Y848=FALSE(),$Y848="FALSE")),0,IF(MIN(ABS($X848/100-Settings!$C$6),ABS($X848/100-Settings!$G$6))&lt;=MIN(ABS($X848/100-Settings!$C$7),ABS($X848/100-Settings!$G$7)),1,0))))</f>
        <v/>
      </c>
      <c r="AC848">
        <f>IF($Z848=1,IFERROR(IF(VALUE($B848)&lt;100000000,VALUE($B848),1000000000),IFERROR(IF(VALUE(MID($B848,2,20))&lt;100000000,VALUE(MID($B848,2,20)),1000000000),1000000000))+ROW()/100000,"")</f>
        <v/>
      </c>
    </row>
    <row r="849">
      <c r="A849">
        <f>IF($B849="","",IFERROR(IF(INDEX('Per Invoice'!$A$2:$A$801,MATCH($B849,'Per Invoice'!$B$2:$B$801,0))=0,"",INDEX('Per Invoice'!$A$2:$A$801,MATCH($B849,'Per Invoice'!$B$2:$B$801,0))),""))</f>
        <v/>
      </c>
      <c r="J849" s="7">
        <f>IF($B849="","",I849*Q849/100)</f>
        <v/>
      </c>
      <c r="N849" s="7" t="n"/>
      <c r="O849" s="7" t="n"/>
      <c r="P849" s="7">
        <f>IF($B849="","",O849*X849/100)</f>
        <v/>
      </c>
      <c r="Q849" s="7">
        <f>IF($B849="","",O849-P849)</f>
        <v/>
      </c>
      <c r="R849" s="7">
        <f>IF($B849="","",Q849-J849)</f>
        <v/>
      </c>
      <c r="S849" s="7" t="n"/>
      <c r="T849" s="7" t="n"/>
      <c r="V849" s="14" t="n"/>
      <c r="Z849">
        <f>IF($B849="","",IF(COUNTIF($B$2:$B849,$B849)=1,1,0))</f>
        <v/>
      </c>
      <c r="AA849">
        <f>IF($Z849=1,SUMPRODUCT(--($AC$2:$AC$3001&lt;$AC849))+1,"")</f>
        <v/>
      </c>
      <c r="AB849">
        <f>IF($B849="","",IF(OR($Y849=TRUE(),$Y849="TRUE"),1,IF(AND($Y849&lt;&gt;"",OR($Y849=FALSE(),$Y849="FALSE")),0,IF(MIN(ABS($X849/100-Settings!$C$6),ABS($X849/100-Settings!$G$6))&lt;=MIN(ABS($X849/100-Settings!$C$7),ABS($X849/100-Settings!$G$7)),1,0))))</f>
        <v/>
      </c>
      <c r="AC849">
        <f>IF($Z849=1,IFERROR(IF(VALUE($B849)&lt;100000000,VALUE($B849),1000000000),IFERROR(IF(VALUE(MID($B849,2,20))&lt;100000000,VALUE(MID($B849,2,20)),1000000000),1000000000))+ROW()/100000,"")</f>
        <v/>
      </c>
    </row>
    <row r="850">
      <c r="A850">
        <f>IF($B850="","",IFERROR(IF(INDEX('Per Invoice'!$A$2:$A$801,MATCH($B850,'Per Invoice'!$B$2:$B$801,0))=0,"",INDEX('Per Invoice'!$A$2:$A$801,MATCH($B850,'Per Invoice'!$B$2:$B$801,0))),""))</f>
        <v/>
      </c>
      <c r="J850" s="7">
        <f>IF($B850="","",I850*Q850/100)</f>
        <v/>
      </c>
      <c r="N850" s="7" t="n"/>
      <c r="O850" s="7" t="n"/>
      <c r="P850" s="7">
        <f>IF($B850="","",O850*X850/100)</f>
        <v/>
      </c>
      <c r="Q850" s="7">
        <f>IF($B850="","",O850-P850)</f>
        <v/>
      </c>
      <c r="R850" s="7">
        <f>IF($B850="","",Q850-J850)</f>
        <v/>
      </c>
      <c r="S850" s="7" t="n"/>
      <c r="T850" s="7" t="n"/>
      <c r="V850" s="14" t="n"/>
      <c r="Z850">
        <f>IF($B850="","",IF(COUNTIF($B$2:$B850,$B850)=1,1,0))</f>
        <v/>
      </c>
      <c r="AA850">
        <f>IF($Z850=1,SUMPRODUCT(--($AC$2:$AC$3001&lt;$AC850))+1,"")</f>
        <v/>
      </c>
      <c r="AB850">
        <f>IF($B850="","",IF(OR($Y850=TRUE(),$Y850="TRUE"),1,IF(AND($Y850&lt;&gt;"",OR($Y850=FALSE(),$Y850="FALSE")),0,IF(MIN(ABS($X850/100-Settings!$C$6),ABS($X850/100-Settings!$G$6))&lt;=MIN(ABS($X850/100-Settings!$C$7),ABS($X850/100-Settings!$G$7)),1,0))))</f>
        <v/>
      </c>
      <c r="AC850">
        <f>IF($Z850=1,IFERROR(IF(VALUE($B850)&lt;100000000,VALUE($B850),1000000000),IFERROR(IF(VALUE(MID($B850,2,20))&lt;100000000,VALUE(MID($B850,2,20)),1000000000),1000000000))+ROW()/100000,"")</f>
        <v/>
      </c>
    </row>
    <row r="851">
      <c r="A851">
        <f>IF($B851="","",IFERROR(IF(INDEX('Per Invoice'!$A$2:$A$801,MATCH($B851,'Per Invoice'!$B$2:$B$801,0))=0,"",INDEX('Per Invoice'!$A$2:$A$801,MATCH($B851,'Per Invoice'!$B$2:$B$801,0))),""))</f>
        <v/>
      </c>
      <c r="J851" s="7">
        <f>IF($B851="","",I851*Q851/100)</f>
        <v/>
      </c>
      <c r="N851" s="7" t="n"/>
      <c r="O851" s="7" t="n"/>
      <c r="P851" s="7">
        <f>IF($B851="","",O851*X851/100)</f>
        <v/>
      </c>
      <c r="Q851" s="7">
        <f>IF($B851="","",O851-P851)</f>
        <v/>
      </c>
      <c r="R851" s="7">
        <f>IF($B851="","",Q851-J851)</f>
        <v/>
      </c>
      <c r="S851" s="7" t="n"/>
      <c r="T851" s="7" t="n"/>
      <c r="V851" s="14" t="n"/>
      <c r="Z851">
        <f>IF($B851="","",IF(COUNTIF($B$2:$B851,$B851)=1,1,0))</f>
        <v/>
      </c>
      <c r="AA851">
        <f>IF($Z851=1,SUMPRODUCT(--($AC$2:$AC$3001&lt;$AC851))+1,"")</f>
        <v/>
      </c>
      <c r="AB851">
        <f>IF($B851="","",IF(OR($Y851=TRUE(),$Y851="TRUE"),1,IF(AND($Y851&lt;&gt;"",OR($Y851=FALSE(),$Y851="FALSE")),0,IF(MIN(ABS($X851/100-Settings!$C$6),ABS($X851/100-Settings!$G$6))&lt;=MIN(ABS($X851/100-Settings!$C$7),ABS($X851/100-Settings!$G$7)),1,0))))</f>
        <v/>
      </c>
      <c r="AC851">
        <f>IF($Z851=1,IFERROR(IF(VALUE($B851)&lt;100000000,VALUE($B851),1000000000),IFERROR(IF(VALUE(MID($B851,2,20))&lt;100000000,VALUE(MID($B851,2,20)),1000000000),1000000000))+ROW()/100000,"")</f>
        <v/>
      </c>
    </row>
    <row r="852">
      <c r="A852">
        <f>IF($B852="","",IFERROR(IF(INDEX('Per Invoice'!$A$2:$A$801,MATCH($B852,'Per Invoice'!$B$2:$B$801,0))=0,"",INDEX('Per Invoice'!$A$2:$A$801,MATCH($B852,'Per Invoice'!$B$2:$B$801,0))),""))</f>
        <v/>
      </c>
      <c r="J852" s="7">
        <f>IF($B852="","",I852*Q852/100)</f>
        <v/>
      </c>
      <c r="N852" s="7" t="n"/>
      <c r="O852" s="7" t="n"/>
      <c r="P852" s="7">
        <f>IF($B852="","",O852*X852/100)</f>
        <v/>
      </c>
      <c r="Q852" s="7">
        <f>IF($B852="","",O852-P852)</f>
        <v/>
      </c>
      <c r="R852" s="7">
        <f>IF($B852="","",Q852-J852)</f>
        <v/>
      </c>
      <c r="S852" s="7" t="n"/>
      <c r="T852" s="7" t="n"/>
      <c r="V852" s="14" t="n"/>
      <c r="Z852">
        <f>IF($B852="","",IF(COUNTIF($B$2:$B852,$B852)=1,1,0))</f>
        <v/>
      </c>
      <c r="AA852">
        <f>IF($Z852=1,SUMPRODUCT(--($AC$2:$AC$3001&lt;$AC852))+1,"")</f>
        <v/>
      </c>
      <c r="AB852">
        <f>IF($B852="","",IF(OR($Y852=TRUE(),$Y852="TRUE"),1,IF(AND($Y852&lt;&gt;"",OR($Y852=FALSE(),$Y852="FALSE")),0,IF(MIN(ABS($X852/100-Settings!$C$6),ABS($X852/100-Settings!$G$6))&lt;=MIN(ABS($X852/100-Settings!$C$7),ABS($X852/100-Settings!$G$7)),1,0))))</f>
        <v/>
      </c>
      <c r="AC852">
        <f>IF($Z852=1,IFERROR(IF(VALUE($B852)&lt;100000000,VALUE($B852),1000000000),IFERROR(IF(VALUE(MID($B852,2,20))&lt;100000000,VALUE(MID($B852,2,20)),1000000000),1000000000))+ROW()/100000,"")</f>
        <v/>
      </c>
    </row>
    <row r="853">
      <c r="A853">
        <f>IF($B853="","",IFERROR(IF(INDEX('Per Invoice'!$A$2:$A$801,MATCH($B853,'Per Invoice'!$B$2:$B$801,0))=0,"",INDEX('Per Invoice'!$A$2:$A$801,MATCH($B853,'Per Invoice'!$B$2:$B$801,0))),""))</f>
        <v/>
      </c>
      <c r="J853" s="7">
        <f>IF($B853="","",I853*Q853/100)</f>
        <v/>
      </c>
      <c r="N853" s="7" t="n"/>
      <c r="O853" s="7" t="n"/>
      <c r="P853" s="7">
        <f>IF($B853="","",O853*X853/100)</f>
        <v/>
      </c>
      <c r="Q853" s="7">
        <f>IF($B853="","",O853-P853)</f>
        <v/>
      </c>
      <c r="R853" s="7">
        <f>IF($B853="","",Q853-J853)</f>
        <v/>
      </c>
      <c r="S853" s="7" t="n"/>
      <c r="T853" s="7" t="n"/>
      <c r="V853" s="14" t="n"/>
      <c r="Z853">
        <f>IF($B853="","",IF(COUNTIF($B$2:$B853,$B853)=1,1,0))</f>
        <v/>
      </c>
      <c r="AA853">
        <f>IF($Z853=1,SUMPRODUCT(--($AC$2:$AC$3001&lt;$AC853))+1,"")</f>
        <v/>
      </c>
      <c r="AB853">
        <f>IF($B853="","",IF(OR($Y853=TRUE(),$Y853="TRUE"),1,IF(AND($Y853&lt;&gt;"",OR($Y853=FALSE(),$Y853="FALSE")),0,IF(MIN(ABS($X853/100-Settings!$C$6),ABS($X853/100-Settings!$G$6))&lt;=MIN(ABS($X853/100-Settings!$C$7),ABS($X853/100-Settings!$G$7)),1,0))))</f>
        <v/>
      </c>
      <c r="AC853">
        <f>IF($Z853=1,IFERROR(IF(VALUE($B853)&lt;100000000,VALUE($B853),1000000000),IFERROR(IF(VALUE(MID($B853,2,20))&lt;100000000,VALUE(MID($B853,2,20)),1000000000),1000000000))+ROW()/100000,"")</f>
        <v/>
      </c>
    </row>
    <row r="854">
      <c r="A854">
        <f>IF($B854="","",IFERROR(IF(INDEX('Per Invoice'!$A$2:$A$801,MATCH($B854,'Per Invoice'!$B$2:$B$801,0))=0,"",INDEX('Per Invoice'!$A$2:$A$801,MATCH($B854,'Per Invoice'!$B$2:$B$801,0))),""))</f>
        <v/>
      </c>
      <c r="J854" s="7">
        <f>IF($B854="","",I854*Q854/100)</f>
        <v/>
      </c>
      <c r="N854" s="7" t="n"/>
      <c r="O854" s="7" t="n"/>
      <c r="P854" s="7">
        <f>IF($B854="","",O854*X854/100)</f>
        <v/>
      </c>
      <c r="Q854" s="7">
        <f>IF($B854="","",O854-P854)</f>
        <v/>
      </c>
      <c r="R854" s="7">
        <f>IF($B854="","",Q854-J854)</f>
        <v/>
      </c>
      <c r="S854" s="7" t="n"/>
      <c r="T854" s="7" t="n"/>
      <c r="V854" s="14" t="n"/>
      <c r="Z854">
        <f>IF($B854="","",IF(COUNTIF($B$2:$B854,$B854)=1,1,0))</f>
        <v/>
      </c>
      <c r="AA854">
        <f>IF($Z854=1,SUMPRODUCT(--($AC$2:$AC$3001&lt;$AC854))+1,"")</f>
        <v/>
      </c>
      <c r="AB854">
        <f>IF($B854="","",IF(OR($Y854=TRUE(),$Y854="TRUE"),1,IF(AND($Y854&lt;&gt;"",OR($Y854=FALSE(),$Y854="FALSE")),0,IF(MIN(ABS($X854/100-Settings!$C$6),ABS($X854/100-Settings!$G$6))&lt;=MIN(ABS($X854/100-Settings!$C$7),ABS($X854/100-Settings!$G$7)),1,0))))</f>
        <v/>
      </c>
      <c r="AC854">
        <f>IF($Z854=1,IFERROR(IF(VALUE($B854)&lt;100000000,VALUE($B854),1000000000),IFERROR(IF(VALUE(MID($B854,2,20))&lt;100000000,VALUE(MID($B854,2,20)),1000000000),1000000000))+ROW()/100000,"")</f>
        <v/>
      </c>
    </row>
    <row r="855">
      <c r="A855">
        <f>IF($B855="","",IFERROR(IF(INDEX('Per Invoice'!$A$2:$A$801,MATCH($B855,'Per Invoice'!$B$2:$B$801,0))=0,"",INDEX('Per Invoice'!$A$2:$A$801,MATCH($B855,'Per Invoice'!$B$2:$B$801,0))),""))</f>
        <v/>
      </c>
      <c r="J855" s="7">
        <f>IF($B855="","",I855*Q855/100)</f>
        <v/>
      </c>
      <c r="N855" s="7" t="n"/>
      <c r="O855" s="7" t="n"/>
      <c r="P855" s="7">
        <f>IF($B855="","",O855*X855/100)</f>
        <v/>
      </c>
      <c r="Q855" s="7">
        <f>IF($B855="","",O855-P855)</f>
        <v/>
      </c>
      <c r="R855" s="7">
        <f>IF($B855="","",Q855-J855)</f>
        <v/>
      </c>
      <c r="S855" s="7" t="n"/>
      <c r="T855" s="7" t="n"/>
      <c r="V855" s="14" t="n"/>
      <c r="Z855">
        <f>IF($B855="","",IF(COUNTIF($B$2:$B855,$B855)=1,1,0))</f>
        <v/>
      </c>
      <c r="AA855">
        <f>IF($Z855=1,SUMPRODUCT(--($AC$2:$AC$3001&lt;$AC855))+1,"")</f>
        <v/>
      </c>
      <c r="AB855">
        <f>IF($B855="","",IF(OR($Y855=TRUE(),$Y855="TRUE"),1,IF(AND($Y855&lt;&gt;"",OR($Y855=FALSE(),$Y855="FALSE")),0,IF(MIN(ABS($X855/100-Settings!$C$6),ABS($X855/100-Settings!$G$6))&lt;=MIN(ABS($X855/100-Settings!$C$7),ABS($X855/100-Settings!$G$7)),1,0))))</f>
        <v/>
      </c>
      <c r="AC855">
        <f>IF($Z855=1,IFERROR(IF(VALUE($B855)&lt;100000000,VALUE($B855),1000000000),IFERROR(IF(VALUE(MID($B855,2,20))&lt;100000000,VALUE(MID($B855,2,20)),1000000000),1000000000))+ROW()/100000,"")</f>
        <v/>
      </c>
    </row>
    <row r="856">
      <c r="A856">
        <f>IF($B856="","",IFERROR(IF(INDEX('Per Invoice'!$A$2:$A$801,MATCH($B856,'Per Invoice'!$B$2:$B$801,0))=0,"",INDEX('Per Invoice'!$A$2:$A$801,MATCH($B856,'Per Invoice'!$B$2:$B$801,0))),""))</f>
        <v/>
      </c>
      <c r="J856" s="7">
        <f>IF($B856="","",I856*Q856/100)</f>
        <v/>
      </c>
      <c r="N856" s="7" t="n"/>
      <c r="O856" s="7" t="n"/>
      <c r="P856" s="7">
        <f>IF($B856="","",O856*X856/100)</f>
        <v/>
      </c>
      <c r="Q856" s="7">
        <f>IF($B856="","",O856-P856)</f>
        <v/>
      </c>
      <c r="R856" s="7">
        <f>IF($B856="","",Q856-J856)</f>
        <v/>
      </c>
      <c r="S856" s="7" t="n"/>
      <c r="T856" s="7" t="n"/>
      <c r="V856" s="14" t="n"/>
      <c r="Z856">
        <f>IF($B856="","",IF(COUNTIF($B$2:$B856,$B856)=1,1,0))</f>
        <v/>
      </c>
      <c r="AA856">
        <f>IF($Z856=1,SUMPRODUCT(--($AC$2:$AC$3001&lt;$AC856))+1,"")</f>
        <v/>
      </c>
      <c r="AB856">
        <f>IF($B856="","",IF(OR($Y856=TRUE(),$Y856="TRUE"),1,IF(AND($Y856&lt;&gt;"",OR($Y856=FALSE(),$Y856="FALSE")),0,IF(MIN(ABS($X856/100-Settings!$C$6),ABS($X856/100-Settings!$G$6))&lt;=MIN(ABS($X856/100-Settings!$C$7),ABS($X856/100-Settings!$G$7)),1,0))))</f>
        <v/>
      </c>
      <c r="AC856">
        <f>IF($Z856=1,IFERROR(IF(VALUE($B856)&lt;100000000,VALUE($B856),1000000000),IFERROR(IF(VALUE(MID($B856,2,20))&lt;100000000,VALUE(MID($B856,2,20)),1000000000),1000000000))+ROW()/100000,"")</f>
        <v/>
      </c>
    </row>
    <row r="857">
      <c r="A857">
        <f>IF($B857="","",IFERROR(IF(INDEX('Per Invoice'!$A$2:$A$801,MATCH($B857,'Per Invoice'!$B$2:$B$801,0))=0,"",INDEX('Per Invoice'!$A$2:$A$801,MATCH($B857,'Per Invoice'!$B$2:$B$801,0))),""))</f>
        <v/>
      </c>
      <c r="J857" s="7">
        <f>IF($B857="","",I857*Q857/100)</f>
        <v/>
      </c>
      <c r="N857" s="7" t="n"/>
      <c r="O857" s="7" t="n"/>
      <c r="P857" s="7">
        <f>IF($B857="","",O857*X857/100)</f>
        <v/>
      </c>
      <c r="Q857" s="7">
        <f>IF($B857="","",O857-P857)</f>
        <v/>
      </c>
      <c r="R857" s="7">
        <f>IF($B857="","",Q857-J857)</f>
        <v/>
      </c>
      <c r="S857" s="7" t="n"/>
      <c r="T857" s="7" t="n"/>
      <c r="V857" s="14" t="n"/>
      <c r="Z857">
        <f>IF($B857="","",IF(COUNTIF($B$2:$B857,$B857)=1,1,0))</f>
        <v/>
      </c>
      <c r="AA857">
        <f>IF($Z857=1,SUMPRODUCT(--($AC$2:$AC$3001&lt;$AC857))+1,"")</f>
        <v/>
      </c>
      <c r="AB857">
        <f>IF($B857="","",IF(OR($Y857=TRUE(),$Y857="TRUE"),1,IF(AND($Y857&lt;&gt;"",OR($Y857=FALSE(),$Y857="FALSE")),0,IF(MIN(ABS($X857/100-Settings!$C$6),ABS($X857/100-Settings!$G$6))&lt;=MIN(ABS($X857/100-Settings!$C$7),ABS($X857/100-Settings!$G$7)),1,0))))</f>
        <v/>
      </c>
      <c r="AC857">
        <f>IF($Z857=1,IFERROR(IF(VALUE($B857)&lt;100000000,VALUE($B857),1000000000),IFERROR(IF(VALUE(MID($B857,2,20))&lt;100000000,VALUE(MID($B857,2,20)),1000000000),1000000000))+ROW()/100000,"")</f>
        <v/>
      </c>
    </row>
    <row r="858">
      <c r="A858">
        <f>IF($B858="","",IFERROR(IF(INDEX('Per Invoice'!$A$2:$A$801,MATCH($B858,'Per Invoice'!$B$2:$B$801,0))=0,"",INDEX('Per Invoice'!$A$2:$A$801,MATCH($B858,'Per Invoice'!$B$2:$B$801,0))),""))</f>
        <v/>
      </c>
      <c r="J858" s="7">
        <f>IF($B858="","",I858*Q858/100)</f>
        <v/>
      </c>
      <c r="N858" s="7" t="n"/>
      <c r="O858" s="7" t="n"/>
      <c r="P858" s="7">
        <f>IF($B858="","",O858*X858/100)</f>
        <v/>
      </c>
      <c r="Q858" s="7">
        <f>IF($B858="","",O858-P858)</f>
        <v/>
      </c>
      <c r="R858" s="7">
        <f>IF($B858="","",Q858-J858)</f>
        <v/>
      </c>
      <c r="S858" s="7" t="n"/>
      <c r="T858" s="7" t="n"/>
      <c r="V858" s="14" t="n"/>
      <c r="Z858">
        <f>IF($B858="","",IF(COUNTIF($B$2:$B858,$B858)=1,1,0))</f>
        <v/>
      </c>
      <c r="AA858">
        <f>IF($Z858=1,SUMPRODUCT(--($AC$2:$AC$3001&lt;$AC858))+1,"")</f>
        <v/>
      </c>
      <c r="AB858">
        <f>IF($B858="","",IF(OR($Y858=TRUE(),$Y858="TRUE"),1,IF(AND($Y858&lt;&gt;"",OR($Y858=FALSE(),$Y858="FALSE")),0,IF(MIN(ABS($X858/100-Settings!$C$6),ABS($X858/100-Settings!$G$6))&lt;=MIN(ABS($X858/100-Settings!$C$7),ABS($X858/100-Settings!$G$7)),1,0))))</f>
        <v/>
      </c>
      <c r="AC858">
        <f>IF($Z858=1,IFERROR(IF(VALUE($B858)&lt;100000000,VALUE($B858),1000000000),IFERROR(IF(VALUE(MID($B858,2,20))&lt;100000000,VALUE(MID($B858,2,20)),1000000000),1000000000))+ROW()/100000,"")</f>
        <v/>
      </c>
    </row>
    <row r="859">
      <c r="A859">
        <f>IF($B859="","",IFERROR(IF(INDEX('Per Invoice'!$A$2:$A$801,MATCH($B859,'Per Invoice'!$B$2:$B$801,0))=0,"",INDEX('Per Invoice'!$A$2:$A$801,MATCH($B859,'Per Invoice'!$B$2:$B$801,0))),""))</f>
        <v/>
      </c>
      <c r="J859" s="7">
        <f>IF($B859="","",I859*Q859/100)</f>
        <v/>
      </c>
      <c r="N859" s="7" t="n"/>
      <c r="O859" s="7" t="n"/>
      <c r="P859" s="7">
        <f>IF($B859="","",O859*X859/100)</f>
        <v/>
      </c>
      <c r="Q859" s="7">
        <f>IF($B859="","",O859-P859)</f>
        <v/>
      </c>
      <c r="R859" s="7">
        <f>IF($B859="","",Q859-J859)</f>
        <v/>
      </c>
      <c r="S859" s="7" t="n"/>
      <c r="T859" s="7" t="n"/>
      <c r="V859" s="14" t="n"/>
      <c r="Z859">
        <f>IF($B859="","",IF(COUNTIF($B$2:$B859,$B859)=1,1,0))</f>
        <v/>
      </c>
      <c r="AA859">
        <f>IF($Z859=1,SUMPRODUCT(--($AC$2:$AC$3001&lt;$AC859))+1,"")</f>
        <v/>
      </c>
      <c r="AB859">
        <f>IF($B859="","",IF(OR($Y859=TRUE(),$Y859="TRUE"),1,IF(AND($Y859&lt;&gt;"",OR($Y859=FALSE(),$Y859="FALSE")),0,IF(MIN(ABS($X859/100-Settings!$C$6),ABS($X859/100-Settings!$G$6))&lt;=MIN(ABS($X859/100-Settings!$C$7),ABS($X859/100-Settings!$G$7)),1,0))))</f>
        <v/>
      </c>
      <c r="AC859">
        <f>IF($Z859=1,IFERROR(IF(VALUE($B859)&lt;100000000,VALUE($B859),1000000000),IFERROR(IF(VALUE(MID($B859,2,20))&lt;100000000,VALUE(MID($B859,2,20)),1000000000),1000000000))+ROW()/100000,"")</f>
        <v/>
      </c>
    </row>
    <row r="860">
      <c r="A860">
        <f>IF($B860="","",IFERROR(IF(INDEX('Per Invoice'!$A$2:$A$801,MATCH($B860,'Per Invoice'!$B$2:$B$801,0))=0,"",INDEX('Per Invoice'!$A$2:$A$801,MATCH($B860,'Per Invoice'!$B$2:$B$801,0))),""))</f>
        <v/>
      </c>
      <c r="J860" s="7">
        <f>IF($B860="","",I860*Q860/100)</f>
        <v/>
      </c>
      <c r="N860" s="7" t="n"/>
      <c r="O860" s="7" t="n"/>
      <c r="P860" s="7">
        <f>IF($B860="","",O860*X860/100)</f>
        <v/>
      </c>
      <c r="Q860" s="7">
        <f>IF($B860="","",O860-P860)</f>
        <v/>
      </c>
      <c r="R860" s="7">
        <f>IF($B860="","",Q860-J860)</f>
        <v/>
      </c>
      <c r="S860" s="7" t="n"/>
      <c r="T860" s="7" t="n"/>
      <c r="V860" s="14" t="n"/>
      <c r="Z860">
        <f>IF($B860="","",IF(COUNTIF($B$2:$B860,$B860)=1,1,0))</f>
        <v/>
      </c>
      <c r="AA860">
        <f>IF($Z860=1,SUMPRODUCT(--($AC$2:$AC$3001&lt;$AC860))+1,"")</f>
        <v/>
      </c>
      <c r="AB860">
        <f>IF($B860="","",IF(OR($Y860=TRUE(),$Y860="TRUE"),1,IF(AND($Y860&lt;&gt;"",OR($Y860=FALSE(),$Y860="FALSE")),0,IF(MIN(ABS($X860/100-Settings!$C$6),ABS($X860/100-Settings!$G$6))&lt;=MIN(ABS($X860/100-Settings!$C$7),ABS($X860/100-Settings!$G$7)),1,0))))</f>
        <v/>
      </c>
      <c r="AC860">
        <f>IF($Z860=1,IFERROR(IF(VALUE($B860)&lt;100000000,VALUE($B860),1000000000),IFERROR(IF(VALUE(MID($B860,2,20))&lt;100000000,VALUE(MID($B860,2,20)),1000000000),1000000000))+ROW()/100000,"")</f>
        <v/>
      </c>
    </row>
    <row r="861">
      <c r="A861">
        <f>IF($B861="","",IFERROR(IF(INDEX('Per Invoice'!$A$2:$A$801,MATCH($B861,'Per Invoice'!$B$2:$B$801,0))=0,"",INDEX('Per Invoice'!$A$2:$A$801,MATCH($B861,'Per Invoice'!$B$2:$B$801,0))),""))</f>
        <v/>
      </c>
      <c r="J861" s="7">
        <f>IF($B861="","",I861*Q861/100)</f>
        <v/>
      </c>
      <c r="N861" s="7" t="n"/>
      <c r="O861" s="7" t="n"/>
      <c r="P861" s="7">
        <f>IF($B861="","",O861*X861/100)</f>
        <v/>
      </c>
      <c r="Q861" s="7">
        <f>IF($B861="","",O861-P861)</f>
        <v/>
      </c>
      <c r="R861" s="7">
        <f>IF($B861="","",Q861-J861)</f>
        <v/>
      </c>
      <c r="S861" s="7" t="n"/>
      <c r="T861" s="7" t="n"/>
      <c r="V861" s="14" t="n"/>
      <c r="Z861">
        <f>IF($B861="","",IF(COUNTIF($B$2:$B861,$B861)=1,1,0))</f>
        <v/>
      </c>
      <c r="AA861">
        <f>IF($Z861=1,SUMPRODUCT(--($AC$2:$AC$3001&lt;$AC861))+1,"")</f>
        <v/>
      </c>
      <c r="AB861">
        <f>IF($B861="","",IF(OR($Y861=TRUE(),$Y861="TRUE"),1,IF(AND($Y861&lt;&gt;"",OR($Y861=FALSE(),$Y861="FALSE")),0,IF(MIN(ABS($X861/100-Settings!$C$6),ABS($X861/100-Settings!$G$6))&lt;=MIN(ABS($X861/100-Settings!$C$7),ABS($X861/100-Settings!$G$7)),1,0))))</f>
        <v/>
      </c>
      <c r="AC861">
        <f>IF($Z861=1,IFERROR(IF(VALUE($B861)&lt;100000000,VALUE($B861),1000000000),IFERROR(IF(VALUE(MID($B861,2,20))&lt;100000000,VALUE(MID($B861,2,20)),1000000000),1000000000))+ROW()/100000,"")</f>
        <v/>
      </c>
    </row>
    <row r="862">
      <c r="A862">
        <f>IF($B862="","",IFERROR(IF(INDEX('Per Invoice'!$A$2:$A$801,MATCH($B862,'Per Invoice'!$B$2:$B$801,0))=0,"",INDEX('Per Invoice'!$A$2:$A$801,MATCH($B862,'Per Invoice'!$B$2:$B$801,0))),""))</f>
        <v/>
      </c>
      <c r="J862" s="7">
        <f>IF($B862="","",I862*Q862/100)</f>
        <v/>
      </c>
      <c r="N862" s="7" t="n"/>
      <c r="O862" s="7" t="n"/>
      <c r="P862" s="7">
        <f>IF($B862="","",O862*X862/100)</f>
        <v/>
      </c>
      <c r="Q862" s="7">
        <f>IF($B862="","",O862-P862)</f>
        <v/>
      </c>
      <c r="R862" s="7">
        <f>IF($B862="","",Q862-J862)</f>
        <v/>
      </c>
      <c r="S862" s="7" t="n"/>
      <c r="T862" s="7" t="n"/>
      <c r="V862" s="14" t="n"/>
      <c r="Z862">
        <f>IF($B862="","",IF(COUNTIF($B$2:$B862,$B862)=1,1,0))</f>
        <v/>
      </c>
      <c r="AA862">
        <f>IF($Z862=1,SUMPRODUCT(--($AC$2:$AC$3001&lt;$AC862))+1,"")</f>
        <v/>
      </c>
      <c r="AB862">
        <f>IF($B862="","",IF(OR($Y862=TRUE(),$Y862="TRUE"),1,IF(AND($Y862&lt;&gt;"",OR($Y862=FALSE(),$Y862="FALSE")),0,IF(MIN(ABS($X862/100-Settings!$C$6),ABS($X862/100-Settings!$G$6))&lt;=MIN(ABS($X862/100-Settings!$C$7),ABS($X862/100-Settings!$G$7)),1,0))))</f>
        <v/>
      </c>
      <c r="AC862">
        <f>IF($Z862=1,IFERROR(IF(VALUE($B862)&lt;100000000,VALUE($B862),1000000000),IFERROR(IF(VALUE(MID($B862,2,20))&lt;100000000,VALUE(MID($B862,2,20)),1000000000),1000000000))+ROW()/100000,"")</f>
        <v/>
      </c>
    </row>
    <row r="863">
      <c r="A863">
        <f>IF($B863="","",IFERROR(IF(INDEX('Per Invoice'!$A$2:$A$801,MATCH($B863,'Per Invoice'!$B$2:$B$801,0))=0,"",INDEX('Per Invoice'!$A$2:$A$801,MATCH($B863,'Per Invoice'!$B$2:$B$801,0))),""))</f>
        <v/>
      </c>
      <c r="J863" s="7">
        <f>IF($B863="","",I863*Q863/100)</f>
        <v/>
      </c>
      <c r="N863" s="7" t="n"/>
      <c r="O863" s="7" t="n"/>
      <c r="P863" s="7">
        <f>IF($B863="","",O863*X863/100)</f>
        <v/>
      </c>
      <c r="Q863" s="7">
        <f>IF($B863="","",O863-P863)</f>
        <v/>
      </c>
      <c r="R863" s="7">
        <f>IF($B863="","",Q863-J863)</f>
        <v/>
      </c>
      <c r="S863" s="7" t="n"/>
      <c r="T863" s="7" t="n"/>
      <c r="V863" s="14" t="n"/>
      <c r="Z863">
        <f>IF($B863="","",IF(COUNTIF($B$2:$B863,$B863)=1,1,0))</f>
        <v/>
      </c>
      <c r="AA863">
        <f>IF($Z863=1,SUMPRODUCT(--($AC$2:$AC$3001&lt;$AC863))+1,"")</f>
        <v/>
      </c>
      <c r="AB863">
        <f>IF($B863="","",IF(OR($Y863=TRUE(),$Y863="TRUE"),1,IF(AND($Y863&lt;&gt;"",OR($Y863=FALSE(),$Y863="FALSE")),0,IF(MIN(ABS($X863/100-Settings!$C$6),ABS($X863/100-Settings!$G$6))&lt;=MIN(ABS($X863/100-Settings!$C$7),ABS($X863/100-Settings!$G$7)),1,0))))</f>
        <v/>
      </c>
      <c r="AC863">
        <f>IF($Z863=1,IFERROR(IF(VALUE($B863)&lt;100000000,VALUE($B863),1000000000),IFERROR(IF(VALUE(MID($B863,2,20))&lt;100000000,VALUE(MID($B863,2,20)),1000000000),1000000000))+ROW()/100000,"")</f>
        <v/>
      </c>
    </row>
    <row r="864">
      <c r="A864">
        <f>IF($B864="","",IFERROR(IF(INDEX('Per Invoice'!$A$2:$A$801,MATCH($B864,'Per Invoice'!$B$2:$B$801,0))=0,"",INDEX('Per Invoice'!$A$2:$A$801,MATCH($B864,'Per Invoice'!$B$2:$B$801,0))),""))</f>
        <v/>
      </c>
      <c r="J864" s="7">
        <f>IF($B864="","",I864*Q864/100)</f>
        <v/>
      </c>
      <c r="N864" s="7" t="n"/>
      <c r="O864" s="7" t="n"/>
      <c r="P864" s="7">
        <f>IF($B864="","",O864*X864/100)</f>
        <v/>
      </c>
      <c r="Q864" s="7">
        <f>IF($B864="","",O864-P864)</f>
        <v/>
      </c>
      <c r="R864" s="7">
        <f>IF($B864="","",Q864-J864)</f>
        <v/>
      </c>
      <c r="S864" s="7" t="n"/>
      <c r="T864" s="7" t="n"/>
      <c r="V864" s="14" t="n"/>
      <c r="Z864">
        <f>IF($B864="","",IF(COUNTIF($B$2:$B864,$B864)=1,1,0))</f>
        <v/>
      </c>
      <c r="AA864">
        <f>IF($Z864=1,SUMPRODUCT(--($AC$2:$AC$3001&lt;$AC864))+1,"")</f>
        <v/>
      </c>
      <c r="AB864">
        <f>IF($B864="","",IF(OR($Y864=TRUE(),$Y864="TRUE"),1,IF(AND($Y864&lt;&gt;"",OR($Y864=FALSE(),$Y864="FALSE")),0,IF(MIN(ABS($X864/100-Settings!$C$6),ABS($X864/100-Settings!$G$6))&lt;=MIN(ABS($X864/100-Settings!$C$7),ABS($X864/100-Settings!$G$7)),1,0))))</f>
        <v/>
      </c>
      <c r="AC864">
        <f>IF($Z864=1,IFERROR(IF(VALUE($B864)&lt;100000000,VALUE($B864),1000000000),IFERROR(IF(VALUE(MID($B864,2,20))&lt;100000000,VALUE(MID($B864,2,20)),1000000000),1000000000))+ROW()/100000,"")</f>
        <v/>
      </c>
    </row>
    <row r="865">
      <c r="A865">
        <f>IF($B865="","",IFERROR(IF(INDEX('Per Invoice'!$A$2:$A$801,MATCH($B865,'Per Invoice'!$B$2:$B$801,0))=0,"",INDEX('Per Invoice'!$A$2:$A$801,MATCH($B865,'Per Invoice'!$B$2:$B$801,0))),""))</f>
        <v/>
      </c>
      <c r="J865" s="7">
        <f>IF($B865="","",I865*Q865/100)</f>
        <v/>
      </c>
      <c r="N865" s="7" t="n"/>
      <c r="O865" s="7" t="n"/>
      <c r="P865" s="7">
        <f>IF($B865="","",O865*X865/100)</f>
        <v/>
      </c>
      <c r="Q865" s="7">
        <f>IF($B865="","",O865-P865)</f>
        <v/>
      </c>
      <c r="R865" s="7">
        <f>IF($B865="","",Q865-J865)</f>
        <v/>
      </c>
      <c r="S865" s="7" t="n"/>
      <c r="T865" s="7" t="n"/>
      <c r="V865" s="14" t="n"/>
      <c r="Z865">
        <f>IF($B865="","",IF(COUNTIF($B$2:$B865,$B865)=1,1,0))</f>
        <v/>
      </c>
      <c r="AA865">
        <f>IF($Z865=1,SUMPRODUCT(--($AC$2:$AC$3001&lt;$AC865))+1,"")</f>
        <v/>
      </c>
      <c r="AB865">
        <f>IF($B865="","",IF(OR($Y865=TRUE(),$Y865="TRUE"),1,IF(AND($Y865&lt;&gt;"",OR($Y865=FALSE(),$Y865="FALSE")),0,IF(MIN(ABS($X865/100-Settings!$C$6),ABS($X865/100-Settings!$G$6))&lt;=MIN(ABS($X865/100-Settings!$C$7),ABS($X865/100-Settings!$G$7)),1,0))))</f>
        <v/>
      </c>
      <c r="AC865">
        <f>IF($Z865=1,IFERROR(IF(VALUE($B865)&lt;100000000,VALUE($B865),1000000000),IFERROR(IF(VALUE(MID($B865,2,20))&lt;100000000,VALUE(MID($B865,2,20)),1000000000),1000000000))+ROW()/100000,"")</f>
        <v/>
      </c>
    </row>
    <row r="866">
      <c r="A866">
        <f>IF($B866="","",IFERROR(IF(INDEX('Per Invoice'!$A$2:$A$801,MATCH($B866,'Per Invoice'!$B$2:$B$801,0))=0,"",INDEX('Per Invoice'!$A$2:$A$801,MATCH($B866,'Per Invoice'!$B$2:$B$801,0))),""))</f>
        <v/>
      </c>
      <c r="J866" s="7">
        <f>IF($B866="","",I866*Q866/100)</f>
        <v/>
      </c>
      <c r="N866" s="7" t="n"/>
      <c r="O866" s="7" t="n"/>
      <c r="P866" s="7">
        <f>IF($B866="","",O866*X866/100)</f>
        <v/>
      </c>
      <c r="Q866" s="7">
        <f>IF($B866="","",O866-P866)</f>
        <v/>
      </c>
      <c r="R866" s="7">
        <f>IF($B866="","",Q866-J866)</f>
        <v/>
      </c>
      <c r="S866" s="7" t="n"/>
      <c r="T866" s="7" t="n"/>
      <c r="V866" s="14" t="n"/>
      <c r="Z866">
        <f>IF($B866="","",IF(COUNTIF($B$2:$B866,$B866)=1,1,0))</f>
        <v/>
      </c>
      <c r="AA866">
        <f>IF($Z866=1,SUMPRODUCT(--($AC$2:$AC$3001&lt;$AC866))+1,"")</f>
        <v/>
      </c>
      <c r="AB866">
        <f>IF($B866="","",IF(OR($Y866=TRUE(),$Y866="TRUE"),1,IF(AND($Y866&lt;&gt;"",OR($Y866=FALSE(),$Y866="FALSE")),0,IF(MIN(ABS($X866/100-Settings!$C$6),ABS($X866/100-Settings!$G$6))&lt;=MIN(ABS($X866/100-Settings!$C$7),ABS($X866/100-Settings!$G$7)),1,0))))</f>
        <v/>
      </c>
      <c r="AC866">
        <f>IF($Z866=1,IFERROR(IF(VALUE($B866)&lt;100000000,VALUE($B866),1000000000),IFERROR(IF(VALUE(MID($B866,2,20))&lt;100000000,VALUE(MID($B866,2,20)),1000000000),1000000000))+ROW()/100000,"")</f>
        <v/>
      </c>
    </row>
    <row r="867">
      <c r="A867">
        <f>IF($B867="","",IFERROR(IF(INDEX('Per Invoice'!$A$2:$A$801,MATCH($B867,'Per Invoice'!$B$2:$B$801,0))=0,"",INDEX('Per Invoice'!$A$2:$A$801,MATCH($B867,'Per Invoice'!$B$2:$B$801,0))),""))</f>
        <v/>
      </c>
      <c r="J867" s="7">
        <f>IF($B867="","",I867*Q867/100)</f>
        <v/>
      </c>
      <c r="N867" s="7" t="n"/>
      <c r="O867" s="7" t="n"/>
      <c r="P867" s="7">
        <f>IF($B867="","",O867*X867/100)</f>
        <v/>
      </c>
      <c r="Q867" s="7">
        <f>IF($B867="","",O867-P867)</f>
        <v/>
      </c>
      <c r="R867" s="7">
        <f>IF($B867="","",Q867-J867)</f>
        <v/>
      </c>
      <c r="S867" s="7" t="n"/>
      <c r="T867" s="7" t="n"/>
      <c r="V867" s="14" t="n"/>
      <c r="Z867">
        <f>IF($B867="","",IF(COUNTIF($B$2:$B867,$B867)=1,1,0))</f>
        <v/>
      </c>
      <c r="AA867">
        <f>IF($Z867=1,SUMPRODUCT(--($AC$2:$AC$3001&lt;$AC867))+1,"")</f>
        <v/>
      </c>
      <c r="AB867">
        <f>IF($B867="","",IF(OR($Y867=TRUE(),$Y867="TRUE"),1,IF(AND($Y867&lt;&gt;"",OR($Y867=FALSE(),$Y867="FALSE")),0,IF(MIN(ABS($X867/100-Settings!$C$6),ABS($X867/100-Settings!$G$6))&lt;=MIN(ABS($X867/100-Settings!$C$7),ABS($X867/100-Settings!$G$7)),1,0))))</f>
        <v/>
      </c>
      <c r="AC867">
        <f>IF($Z867=1,IFERROR(IF(VALUE($B867)&lt;100000000,VALUE($B867),1000000000),IFERROR(IF(VALUE(MID($B867,2,20))&lt;100000000,VALUE(MID($B867,2,20)),1000000000),1000000000))+ROW()/100000,"")</f>
        <v/>
      </c>
    </row>
    <row r="868">
      <c r="A868">
        <f>IF($B868="","",IFERROR(IF(INDEX('Per Invoice'!$A$2:$A$801,MATCH($B868,'Per Invoice'!$B$2:$B$801,0))=0,"",INDEX('Per Invoice'!$A$2:$A$801,MATCH($B868,'Per Invoice'!$B$2:$B$801,0))),""))</f>
        <v/>
      </c>
      <c r="J868" s="7">
        <f>IF($B868="","",I868*Q868/100)</f>
        <v/>
      </c>
      <c r="N868" s="7" t="n"/>
      <c r="O868" s="7" t="n"/>
      <c r="P868" s="7">
        <f>IF($B868="","",O868*X868/100)</f>
        <v/>
      </c>
      <c r="Q868" s="7">
        <f>IF($B868="","",O868-P868)</f>
        <v/>
      </c>
      <c r="R868" s="7">
        <f>IF($B868="","",Q868-J868)</f>
        <v/>
      </c>
      <c r="S868" s="7" t="n"/>
      <c r="T868" s="7" t="n"/>
      <c r="V868" s="14" t="n"/>
      <c r="Z868">
        <f>IF($B868="","",IF(COUNTIF($B$2:$B868,$B868)=1,1,0))</f>
        <v/>
      </c>
      <c r="AA868">
        <f>IF($Z868=1,SUMPRODUCT(--($AC$2:$AC$3001&lt;$AC868))+1,"")</f>
        <v/>
      </c>
      <c r="AB868">
        <f>IF($B868="","",IF(OR($Y868=TRUE(),$Y868="TRUE"),1,IF(AND($Y868&lt;&gt;"",OR($Y868=FALSE(),$Y868="FALSE")),0,IF(MIN(ABS($X868/100-Settings!$C$6),ABS($X868/100-Settings!$G$6))&lt;=MIN(ABS($X868/100-Settings!$C$7),ABS($X868/100-Settings!$G$7)),1,0))))</f>
        <v/>
      </c>
      <c r="AC868">
        <f>IF($Z868=1,IFERROR(IF(VALUE($B868)&lt;100000000,VALUE($B868),1000000000),IFERROR(IF(VALUE(MID($B868,2,20))&lt;100000000,VALUE(MID($B868,2,20)),1000000000),1000000000))+ROW()/100000,"")</f>
        <v/>
      </c>
    </row>
    <row r="869">
      <c r="A869">
        <f>IF($B869="","",IFERROR(IF(INDEX('Per Invoice'!$A$2:$A$801,MATCH($B869,'Per Invoice'!$B$2:$B$801,0))=0,"",INDEX('Per Invoice'!$A$2:$A$801,MATCH($B869,'Per Invoice'!$B$2:$B$801,0))),""))</f>
        <v/>
      </c>
      <c r="J869" s="7">
        <f>IF($B869="","",I869*Q869/100)</f>
        <v/>
      </c>
      <c r="N869" s="7" t="n"/>
      <c r="O869" s="7" t="n"/>
      <c r="P869" s="7">
        <f>IF($B869="","",O869*X869/100)</f>
        <v/>
      </c>
      <c r="Q869" s="7">
        <f>IF($B869="","",O869-P869)</f>
        <v/>
      </c>
      <c r="R869" s="7">
        <f>IF($B869="","",Q869-J869)</f>
        <v/>
      </c>
      <c r="S869" s="7" t="n"/>
      <c r="T869" s="7" t="n"/>
      <c r="V869" s="14" t="n"/>
      <c r="Z869">
        <f>IF($B869="","",IF(COUNTIF($B$2:$B869,$B869)=1,1,0))</f>
        <v/>
      </c>
      <c r="AA869">
        <f>IF($Z869=1,SUMPRODUCT(--($AC$2:$AC$3001&lt;$AC869))+1,"")</f>
        <v/>
      </c>
      <c r="AB869">
        <f>IF($B869="","",IF(OR($Y869=TRUE(),$Y869="TRUE"),1,IF(AND($Y869&lt;&gt;"",OR($Y869=FALSE(),$Y869="FALSE")),0,IF(MIN(ABS($X869/100-Settings!$C$6),ABS($X869/100-Settings!$G$6))&lt;=MIN(ABS($X869/100-Settings!$C$7),ABS($X869/100-Settings!$G$7)),1,0))))</f>
        <v/>
      </c>
      <c r="AC869">
        <f>IF($Z869=1,IFERROR(IF(VALUE($B869)&lt;100000000,VALUE($B869),1000000000),IFERROR(IF(VALUE(MID($B869,2,20))&lt;100000000,VALUE(MID($B869,2,20)),1000000000),1000000000))+ROW()/100000,"")</f>
        <v/>
      </c>
    </row>
    <row r="870">
      <c r="A870">
        <f>IF($B870="","",IFERROR(IF(INDEX('Per Invoice'!$A$2:$A$801,MATCH($B870,'Per Invoice'!$B$2:$B$801,0))=0,"",INDEX('Per Invoice'!$A$2:$A$801,MATCH($B870,'Per Invoice'!$B$2:$B$801,0))),""))</f>
        <v/>
      </c>
      <c r="J870" s="7">
        <f>IF($B870="","",I870*Q870/100)</f>
        <v/>
      </c>
      <c r="N870" s="7" t="n"/>
      <c r="O870" s="7" t="n"/>
      <c r="P870" s="7">
        <f>IF($B870="","",O870*X870/100)</f>
        <v/>
      </c>
      <c r="Q870" s="7">
        <f>IF($B870="","",O870-P870)</f>
        <v/>
      </c>
      <c r="R870" s="7">
        <f>IF($B870="","",Q870-J870)</f>
        <v/>
      </c>
      <c r="S870" s="7" t="n"/>
      <c r="T870" s="7" t="n"/>
      <c r="V870" s="14" t="n"/>
      <c r="Z870">
        <f>IF($B870="","",IF(COUNTIF($B$2:$B870,$B870)=1,1,0))</f>
        <v/>
      </c>
      <c r="AA870">
        <f>IF($Z870=1,SUMPRODUCT(--($AC$2:$AC$3001&lt;$AC870))+1,"")</f>
        <v/>
      </c>
      <c r="AB870">
        <f>IF($B870="","",IF(OR($Y870=TRUE(),$Y870="TRUE"),1,IF(AND($Y870&lt;&gt;"",OR($Y870=FALSE(),$Y870="FALSE")),0,IF(MIN(ABS($X870/100-Settings!$C$6),ABS($X870/100-Settings!$G$6))&lt;=MIN(ABS($X870/100-Settings!$C$7),ABS($X870/100-Settings!$G$7)),1,0))))</f>
        <v/>
      </c>
      <c r="AC870">
        <f>IF($Z870=1,IFERROR(IF(VALUE($B870)&lt;100000000,VALUE($B870),1000000000),IFERROR(IF(VALUE(MID($B870,2,20))&lt;100000000,VALUE(MID($B870,2,20)),1000000000),1000000000))+ROW()/100000,"")</f>
        <v/>
      </c>
    </row>
    <row r="871">
      <c r="A871">
        <f>IF($B871="","",IFERROR(IF(INDEX('Per Invoice'!$A$2:$A$801,MATCH($B871,'Per Invoice'!$B$2:$B$801,0))=0,"",INDEX('Per Invoice'!$A$2:$A$801,MATCH($B871,'Per Invoice'!$B$2:$B$801,0))),""))</f>
        <v/>
      </c>
      <c r="J871" s="7">
        <f>IF($B871="","",I871*Q871/100)</f>
        <v/>
      </c>
      <c r="N871" s="7" t="n"/>
      <c r="O871" s="7" t="n"/>
      <c r="P871" s="7">
        <f>IF($B871="","",O871*X871/100)</f>
        <v/>
      </c>
      <c r="Q871" s="7">
        <f>IF($B871="","",O871-P871)</f>
        <v/>
      </c>
      <c r="R871" s="7">
        <f>IF($B871="","",Q871-J871)</f>
        <v/>
      </c>
      <c r="S871" s="7" t="n"/>
      <c r="T871" s="7" t="n"/>
      <c r="V871" s="14" t="n"/>
      <c r="Z871">
        <f>IF($B871="","",IF(COUNTIF($B$2:$B871,$B871)=1,1,0))</f>
        <v/>
      </c>
      <c r="AA871">
        <f>IF($Z871=1,SUMPRODUCT(--($AC$2:$AC$3001&lt;$AC871))+1,"")</f>
        <v/>
      </c>
      <c r="AB871">
        <f>IF($B871="","",IF(OR($Y871=TRUE(),$Y871="TRUE"),1,IF(AND($Y871&lt;&gt;"",OR($Y871=FALSE(),$Y871="FALSE")),0,IF(MIN(ABS($X871/100-Settings!$C$6),ABS($X871/100-Settings!$G$6))&lt;=MIN(ABS($X871/100-Settings!$C$7),ABS($X871/100-Settings!$G$7)),1,0))))</f>
        <v/>
      </c>
      <c r="AC871">
        <f>IF($Z871=1,IFERROR(IF(VALUE($B871)&lt;100000000,VALUE($B871),1000000000),IFERROR(IF(VALUE(MID($B871,2,20))&lt;100000000,VALUE(MID($B871,2,20)),1000000000),1000000000))+ROW()/100000,"")</f>
        <v/>
      </c>
    </row>
    <row r="872">
      <c r="A872">
        <f>IF($B872="","",IFERROR(IF(INDEX('Per Invoice'!$A$2:$A$801,MATCH($B872,'Per Invoice'!$B$2:$B$801,0))=0,"",INDEX('Per Invoice'!$A$2:$A$801,MATCH($B872,'Per Invoice'!$B$2:$B$801,0))),""))</f>
        <v/>
      </c>
      <c r="J872" s="7">
        <f>IF($B872="","",I872*Q872/100)</f>
        <v/>
      </c>
      <c r="N872" s="7" t="n"/>
      <c r="O872" s="7" t="n"/>
      <c r="P872" s="7">
        <f>IF($B872="","",O872*X872/100)</f>
        <v/>
      </c>
      <c r="Q872" s="7">
        <f>IF($B872="","",O872-P872)</f>
        <v/>
      </c>
      <c r="R872" s="7">
        <f>IF($B872="","",Q872-J872)</f>
        <v/>
      </c>
      <c r="S872" s="7" t="n"/>
      <c r="T872" s="7" t="n"/>
      <c r="V872" s="14" t="n"/>
      <c r="Z872">
        <f>IF($B872="","",IF(COUNTIF($B$2:$B872,$B872)=1,1,0))</f>
        <v/>
      </c>
      <c r="AA872">
        <f>IF($Z872=1,SUMPRODUCT(--($AC$2:$AC$3001&lt;$AC872))+1,"")</f>
        <v/>
      </c>
      <c r="AB872">
        <f>IF($B872="","",IF(OR($Y872=TRUE(),$Y872="TRUE"),1,IF(AND($Y872&lt;&gt;"",OR($Y872=FALSE(),$Y872="FALSE")),0,IF(MIN(ABS($X872/100-Settings!$C$6),ABS($X872/100-Settings!$G$6))&lt;=MIN(ABS($X872/100-Settings!$C$7),ABS($X872/100-Settings!$G$7)),1,0))))</f>
        <v/>
      </c>
      <c r="AC872">
        <f>IF($Z872=1,IFERROR(IF(VALUE($B872)&lt;100000000,VALUE($B872),1000000000),IFERROR(IF(VALUE(MID($B872,2,20))&lt;100000000,VALUE(MID($B872,2,20)),1000000000),1000000000))+ROW()/100000,"")</f>
        <v/>
      </c>
    </row>
    <row r="873">
      <c r="A873">
        <f>IF($B873="","",IFERROR(IF(INDEX('Per Invoice'!$A$2:$A$801,MATCH($B873,'Per Invoice'!$B$2:$B$801,0))=0,"",INDEX('Per Invoice'!$A$2:$A$801,MATCH($B873,'Per Invoice'!$B$2:$B$801,0))),""))</f>
        <v/>
      </c>
      <c r="J873" s="7">
        <f>IF($B873="","",I873*Q873/100)</f>
        <v/>
      </c>
      <c r="N873" s="7" t="n"/>
      <c r="O873" s="7" t="n"/>
      <c r="P873" s="7">
        <f>IF($B873="","",O873*X873/100)</f>
        <v/>
      </c>
      <c r="Q873" s="7">
        <f>IF($B873="","",O873-P873)</f>
        <v/>
      </c>
      <c r="R873" s="7">
        <f>IF($B873="","",Q873-J873)</f>
        <v/>
      </c>
      <c r="S873" s="7" t="n"/>
      <c r="T873" s="7" t="n"/>
      <c r="V873" s="14" t="n"/>
      <c r="Z873">
        <f>IF($B873="","",IF(COUNTIF($B$2:$B873,$B873)=1,1,0))</f>
        <v/>
      </c>
      <c r="AA873">
        <f>IF($Z873=1,SUMPRODUCT(--($AC$2:$AC$3001&lt;$AC873))+1,"")</f>
        <v/>
      </c>
      <c r="AB873">
        <f>IF($B873="","",IF(OR($Y873=TRUE(),$Y873="TRUE"),1,IF(AND($Y873&lt;&gt;"",OR($Y873=FALSE(),$Y873="FALSE")),0,IF(MIN(ABS($X873/100-Settings!$C$6),ABS($X873/100-Settings!$G$6))&lt;=MIN(ABS($X873/100-Settings!$C$7),ABS($X873/100-Settings!$G$7)),1,0))))</f>
        <v/>
      </c>
      <c r="AC873">
        <f>IF($Z873=1,IFERROR(IF(VALUE($B873)&lt;100000000,VALUE($B873),1000000000),IFERROR(IF(VALUE(MID($B873,2,20))&lt;100000000,VALUE(MID($B873,2,20)),1000000000),1000000000))+ROW()/100000,"")</f>
        <v/>
      </c>
    </row>
    <row r="874">
      <c r="A874">
        <f>IF($B874="","",IFERROR(IF(INDEX('Per Invoice'!$A$2:$A$801,MATCH($B874,'Per Invoice'!$B$2:$B$801,0))=0,"",INDEX('Per Invoice'!$A$2:$A$801,MATCH($B874,'Per Invoice'!$B$2:$B$801,0))),""))</f>
        <v/>
      </c>
      <c r="J874" s="7">
        <f>IF($B874="","",I874*Q874/100)</f>
        <v/>
      </c>
      <c r="N874" s="7" t="n"/>
      <c r="O874" s="7" t="n"/>
      <c r="P874" s="7">
        <f>IF($B874="","",O874*X874/100)</f>
        <v/>
      </c>
      <c r="Q874" s="7">
        <f>IF($B874="","",O874-P874)</f>
        <v/>
      </c>
      <c r="R874" s="7">
        <f>IF($B874="","",Q874-J874)</f>
        <v/>
      </c>
      <c r="S874" s="7" t="n"/>
      <c r="T874" s="7" t="n"/>
      <c r="V874" s="14" t="n"/>
      <c r="Z874">
        <f>IF($B874="","",IF(COUNTIF($B$2:$B874,$B874)=1,1,0))</f>
        <v/>
      </c>
      <c r="AA874">
        <f>IF($Z874=1,SUMPRODUCT(--($AC$2:$AC$3001&lt;$AC874))+1,"")</f>
        <v/>
      </c>
      <c r="AB874">
        <f>IF($B874="","",IF(OR($Y874=TRUE(),$Y874="TRUE"),1,IF(AND($Y874&lt;&gt;"",OR($Y874=FALSE(),$Y874="FALSE")),0,IF(MIN(ABS($X874/100-Settings!$C$6),ABS($X874/100-Settings!$G$6))&lt;=MIN(ABS($X874/100-Settings!$C$7),ABS($X874/100-Settings!$G$7)),1,0))))</f>
        <v/>
      </c>
      <c r="AC874">
        <f>IF($Z874=1,IFERROR(IF(VALUE($B874)&lt;100000000,VALUE($B874),1000000000),IFERROR(IF(VALUE(MID($B874,2,20))&lt;100000000,VALUE(MID($B874,2,20)),1000000000),1000000000))+ROW()/100000,"")</f>
        <v/>
      </c>
    </row>
    <row r="875">
      <c r="A875">
        <f>IF($B875="","",IFERROR(IF(INDEX('Per Invoice'!$A$2:$A$801,MATCH($B875,'Per Invoice'!$B$2:$B$801,0))=0,"",INDEX('Per Invoice'!$A$2:$A$801,MATCH($B875,'Per Invoice'!$B$2:$B$801,0))),""))</f>
        <v/>
      </c>
      <c r="J875" s="7">
        <f>IF($B875="","",I875*Q875/100)</f>
        <v/>
      </c>
      <c r="N875" s="7" t="n"/>
      <c r="O875" s="7" t="n"/>
      <c r="P875" s="7">
        <f>IF($B875="","",O875*X875/100)</f>
        <v/>
      </c>
      <c r="Q875" s="7">
        <f>IF($B875="","",O875-P875)</f>
        <v/>
      </c>
      <c r="R875" s="7">
        <f>IF($B875="","",Q875-J875)</f>
        <v/>
      </c>
      <c r="S875" s="7" t="n"/>
      <c r="T875" s="7" t="n"/>
      <c r="V875" s="14" t="n"/>
      <c r="Z875">
        <f>IF($B875="","",IF(COUNTIF($B$2:$B875,$B875)=1,1,0))</f>
        <v/>
      </c>
      <c r="AA875">
        <f>IF($Z875=1,SUMPRODUCT(--($AC$2:$AC$3001&lt;$AC875))+1,"")</f>
        <v/>
      </c>
      <c r="AB875">
        <f>IF($B875="","",IF(OR($Y875=TRUE(),$Y875="TRUE"),1,IF(AND($Y875&lt;&gt;"",OR($Y875=FALSE(),$Y875="FALSE")),0,IF(MIN(ABS($X875/100-Settings!$C$6),ABS($X875/100-Settings!$G$6))&lt;=MIN(ABS($X875/100-Settings!$C$7),ABS($X875/100-Settings!$G$7)),1,0))))</f>
        <v/>
      </c>
      <c r="AC875">
        <f>IF($Z875=1,IFERROR(IF(VALUE($B875)&lt;100000000,VALUE($B875),1000000000),IFERROR(IF(VALUE(MID($B875,2,20))&lt;100000000,VALUE(MID($B875,2,20)),1000000000),1000000000))+ROW()/100000,"")</f>
        <v/>
      </c>
    </row>
    <row r="876">
      <c r="A876">
        <f>IF($B876="","",IFERROR(IF(INDEX('Per Invoice'!$A$2:$A$801,MATCH($B876,'Per Invoice'!$B$2:$B$801,0))=0,"",INDEX('Per Invoice'!$A$2:$A$801,MATCH($B876,'Per Invoice'!$B$2:$B$801,0))),""))</f>
        <v/>
      </c>
      <c r="J876" s="7">
        <f>IF($B876="","",I876*Q876/100)</f>
        <v/>
      </c>
      <c r="N876" s="7" t="n"/>
      <c r="O876" s="7" t="n"/>
      <c r="P876" s="7">
        <f>IF($B876="","",O876*X876/100)</f>
        <v/>
      </c>
      <c r="Q876" s="7">
        <f>IF($B876="","",O876-P876)</f>
        <v/>
      </c>
      <c r="R876" s="7">
        <f>IF($B876="","",Q876-J876)</f>
        <v/>
      </c>
      <c r="S876" s="7" t="n"/>
      <c r="T876" s="7" t="n"/>
      <c r="V876" s="14" t="n"/>
      <c r="Z876">
        <f>IF($B876="","",IF(COUNTIF($B$2:$B876,$B876)=1,1,0))</f>
        <v/>
      </c>
      <c r="AA876">
        <f>IF($Z876=1,SUMPRODUCT(--($AC$2:$AC$3001&lt;$AC876))+1,"")</f>
        <v/>
      </c>
      <c r="AB876">
        <f>IF($B876="","",IF(OR($Y876=TRUE(),$Y876="TRUE"),1,IF(AND($Y876&lt;&gt;"",OR($Y876=FALSE(),$Y876="FALSE")),0,IF(MIN(ABS($X876/100-Settings!$C$6),ABS($X876/100-Settings!$G$6))&lt;=MIN(ABS($X876/100-Settings!$C$7),ABS($X876/100-Settings!$G$7)),1,0))))</f>
        <v/>
      </c>
      <c r="AC876">
        <f>IF($Z876=1,IFERROR(IF(VALUE($B876)&lt;100000000,VALUE($B876),1000000000),IFERROR(IF(VALUE(MID($B876,2,20))&lt;100000000,VALUE(MID($B876,2,20)),1000000000),1000000000))+ROW()/100000,"")</f>
        <v/>
      </c>
    </row>
    <row r="877">
      <c r="A877">
        <f>IF($B877="","",IFERROR(IF(INDEX('Per Invoice'!$A$2:$A$801,MATCH($B877,'Per Invoice'!$B$2:$B$801,0))=0,"",INDEX('Per Invoice'!$A$2:$A$801,MATCH($B877,'Per Invoice'!$B$2:$B$801,0))),""))</f>
        <v/>
      </c>
      <c r="J877" s="7">
        <f>IF($B877="","",I877*Q877/100)</f>
        <v/>
      </c>
      <c r="N877" s="7" t="n"/>
      <c r="O877" s="7" t="n"/>
      <c r="P877" s="7">
        <f>IF($B877="","",O877*X877/100)</f>
        <v/>
      </c>
      <c r="Q877" s="7">
        <f>IF($B877="","",O877-P877)</f>
        <v/>
      </c>
      <c r="R877" s="7">
        <f>IF($B877="","",Q877-J877)</f>
        <v/>
      </c>
      <c r="S877" s="7" t="n"/>
      <c r="T877" s="7" t="n"/>
      <c r="V877" s="14" t="n"/>
      <c r="Z877">
        <f>IF($B877="","",IF(COUNTIF($B$2:$B877,$B877)=1,1,0))</f>
        <v/>
      </c>
      <c r="AA877">
        <f>IF($Z877=1,SUMPRODUCT(--($AC$2:$AC$3001&lt;$AC877))+1,"")</f>
        <v/>
      </c>
      <c r="AB877">
        <f>IF($B877="","",IF(OR($Y877=TRUE(),$Y877="TRUE"),1,IF(AND($Y877&lt;&gt;"",OR($Y877=FALSE(),$Y877="FALSE")),0,IF(MIN(ABS($X877/100-Settings!$C$6),ABS($X877/100-Settings!$G$6))&lt;=MIN(ABS($X877/100-Settings!$C$7),ABS($X877/100-Settings!$G$7)),1,0))))</f>
        <v/>
      </c>
      <c r="AC877">
        <f>IF($Z877=1,IFERROR(IF(VALUE($B877)&lt;100000000,VALUE($B877),1000000000),IFERROR(IF(VALUE(MID($B877,2,20))&lt;100000000,VALUE(MID($B877,2,20)),1000000000),1000000000))+ROW()/100000,"")</f>
        <v/>
      </c>
    </row>
    <row r="878">
      <c r="A878">
        <f>IF($B878="","",IFERROR(IF(INDEX('Per Invoice'!$A$2:$A$801,MATCH($B878,'Per Invoice'!$B$2:$B$801,0))=0,"",INDEX('Per Invoice'!$A$2:$A$801,MATCH($B878,'Per Invoice'!$B$2:$B$801,0))),""))</f>
        <v/>
      </c>
      <c r="J878" s="7">
        <f>IF($B878="","",I878*Q878/100)</f>
        <v/>
      </c>
      <c r="N878" s="7" t="n"/>
      <c r="O878" s="7" t="n"/>
      <c r="P878" s="7">
        <f>IF($B878="","",O878*X878/100)</f>
        <v/>
      </c>
      <c r="Q878" s="7">
        <f>IF($B878="","",O878-P878)</f>
        <v/>
      </c>
      <c r="R878" s="7">
        <f>IF($B878="","",Q878-J878)</f>
        <v/>
      </c>
      <c r="S878" s="7" t="n"/>
      <c r="T878" s="7" t="n"/>
      <c r="V878" s="14" t="n"/>
      <c r="Z878">
        <f>IF($B878="","",IF(COUNTIF($B$2:$B878,$B878)=1,1,0))</f>
        <v/>
      </c>
      <c r="AA878">
        <f>IF($Z878=1,SUMPRODUCT(--($AC$2:$AC$3001&lt;$AC878))+1,"")</f>
        <v/>
      </c>
      <c r="AB878">
        <f>IF($B878="","",IF(OR($Y878=TRUE(),$Y878="TRUE"),1,IF(AND($Y878&lt;&gt;"",OR($Y878=FALSE(),$Y878="FALSE")),0,IF(MIN(ABS($X878/100-Settings!$C$6),ABS($X878/100-Settings!$G$6))&lt;=MIN(ABS($X878/100-Settings!$C$7),ABS($X878/100-Settings!$G$7)),1,0))))</f>
        <v/>
      </c>
      <c r="AC878">
        <f>IF($Z878=1,IFERROR(IF(VALUE($B878)&lt;100000000,VALUE($B878),1000000000),IFERROR(IF(VALUE(MID($B878,2,20))&lt;100000000,VALUE(MID($B878,2,20)),1000000000),1000000000))+ROW()/100000,"")</f>
        <v/>
      </c>
    </row>
    <row r="879">
      <c r="A879">
        <f>IF($B879="","",IFERROR(IF(INDEX('Per Invoice'!$A$2:$A$801,MATCH($B879,'Per Invoice'!$B$2:$B$801,0))=0,"",INDEX('Per Invoice'!$A$2:$A$801,MATCH($B879,'Per Invoice'!$B$2:$B$801,0))),""))</f>
        <v/>
      </c>
      <c r="J879" s="7">
        <f>IF($B879="","",I879*Q879/100)</f>
        <v/>
      </c>
      <c r="N879" s="7" t="n"/>
      <c r="O879" s="7" t="n"/>
      <c r="P879" s="7">
        <f>IF($B879="","",O879*X879/100)</f>
        <v/>
      </c>
      <c r="Q879" s="7">
        <f>IF($B879="","",O879-P879)</f>
        <v/>
      </c>
      <c r="R879" s="7">
        <f>IF($B879="","",Q879-J879)</f>
        <v/>
      </c>
      <c r="S879" s="7" t="n"/>
      <c r="T879" s="7" t="n"/>
      <c r="V879" s="14" t="n"/>
      <c r="Z879">
        <f>IF($B879="","",IF(COUNTIF($B$2:$B879,$B879)=1,1,0))</f>
        <v/>
      </c>
      <c r="AA879">
        <f>IF($Z879=1,SUMPRODUCT(--($AC$2:$AC$3001&lt;$AC879))+1,"")</f>
        <v/>
      </c>
      <c r="AB879">
        <f>IF($B879="","",IF(OR($Y879=TRUE(),$Y879="TRUE"),1,IF(AND($Y879&lt;&gt;"",OR($Y879=FALSE(),$Y879="FALSE")),0,IF(MIN(ABS($X879/100-Settings!$C$6),ABS($X879/100-Settings!$G$6))&lt;=MIN(ABS($X879/100-Settings!$C$7),ABS($X879/100-Settings!$G$7)),1,0))))</f>
        <v/>
      </c>
      <c r="AC879">
        <f>IF($Z879=1,IFERROR(IF(VALUE($B879)&lt;100000000,VALUE($B879),1000000000),IFERROR(IF(VALUE(MID($B879,2,20))&lt;100000000,VALUE(MID($B879,2,20)),1000000000),1000000000))+ROW()/100000,"")</f>
        <v/>
      </c>
    </row>
    <row r="880">
      <c r="A880">
        <f>IF($B880="","",IFERROR(IF(INDEX('Per Invoice'!$A$2:$A$801,MATCH($B880,'Per Invoice'!$B$2:$B$801,0))=0,"",INDEX('Per Invoice'!$A$2:$A$801,MATCH($B880,'Per Invoice'!$B$2:$B$801,0))),""))</f>
        <v/>
      </c>
      <c r="J880" s="7">
        <f>IF($B880="","",I880*Q880/100)</f>
        <v/>
      </c>
      <c r="N880" s="7" t="n"/>
      <c r="O880" s="7" t="n"/>
      <c r="P880" s="7">
        <f>IF($B880="","",O880*X880/100)</f>
        <v/>
      </c>
      <c r="Q880" s="7">
        <f>IF($B880="","",O880-P880)</f>
        <v/>
      </c>
      <c r="R880" s="7">
        <f>IF($B880="","",Q880-J880)</f>
        <v/>
      </c>
      <c r="S880" s="7" t="n"/>
      <c r="T880" s="7" t="n"/>
      <c r="V880" s="14" t="n"/>
      <c r="Z880">
        <f>IF($B880="","",IF(COUNTIF($B$2:$B880,$B880)=1,1,0))</f>
        <v/>
      </c>
      <c r="AA880">
        <f>IF($Z880=1,SUMPRODUCT(--($AC$2:$AC$3001&lt;$AC880))+1,"")</f>
        <v/>
      </c>
      <c r="AB880">
        <f>IF($B880="","",IF(OR($Y880=TRUE(),$Y880="TRUE"),1,IF(AND($Y880&lt;&gt;"",OR($Y880=FALSE(),$Y880="FALSE")),0,IF(MIN(ABS($X880/100-Settings!$C$6),ABS($X880/100-Settings!$G$6))&lt;=MIN(ABS($X880/100-Settings!$C$7),ABS($X880/100-Settings!$G$7)),1,0))))</f>
        <v/>
      </c>
      <c r="AC880">
        <f>IF($Z880=1,IFERROR(IF(VALUE($B880)&lt;100000000,VALUE($B880),1000000000),IFERROR(IF(VALUE(MID($B880,2,20))&lt;100000000,VALUE(MID($B880,2,20)),1000000000),1000000000))+ROW()/100000,"")</f>
        <v/>
      </c>
    </row>
    <row r="881">
      <c r="A881">
        <f>IF($B881="","",IFERROR(IF(INDEX('Per Invoice'!$A$2:$A$801,MATCH($B881,'Per Invoice'!$B$2:$B$801,0))=0,"",INDEX('Per Invoice'!$A$2:$A$801,MATCH($B881,'Per Invoice'!$B$2:$B$801,0))),""))</f>
        <v/>
      </c>
      <c r="J881" s="7">
        <f>IF($B881="","",I881*Q881/100)</f>
        <v/>
      </c>
      <c r="N881" s="7" t="n"/>
      <c r="O881" s="7" t="n"/>
      <c r="P881" s="7">
        <f>IF($B881="","",O881*X881/100)</f>
        <v/>
      </c>
      <c r="Q881" s="7">
        <f>IF($B881="","",O881-P881)</f>
        <v/>
      </c>
      <c r="R881" s="7">
        <f>IF($B881="","",Q881-J881)</f>
        <v/>
      </c>
      <c r="S881" s="7" t="n"/>
      <c r="T881" s="7" t="n"/>
      <c r="V881" s="14" t="n"/>
      <c r="Z881">
        <f>IF($B881="","",IF(COUNTIF($B$2:$B881,$B881)=1,1,0))</f>
        <v/>
      </c>
      <c r="AA881">
        <f>IF($Z881=1,SUMPRODUCT(--($AC$2:$AC$3001&lt;$AC881))+1,"")</f>
        <v/>
      </c>
      <c r="AB881">
        <f>IF($B881="","",IF(OR($Y881=TRUE(),$Y881="TRUE"),1,IF(AND($Y881&lt;&gt;"",OR($Y881=FALSE(),$Y881="FALSE")),0,IF(MIN(ABS($X881/100-Settings!$C$6),ABS($X881/100-Settings!$G$6))&lt;=MIN(ABS($X881/100-Settings!$C$7),ABS($X881/100-Settings!$G$7)),1,0))))</f>
        <v/>
      </c>
      <c r="AC881">
        <f>IF($Z881=1,IFERROR(IF(VALUE($B881)&lt;100000000,VALUE($B881),1000000000),IFERROR(IF(VALUE(MID($B881,2,20))&lt;100000000,VALUE(MID($B881,2,20)),1000000000),1000000000))+ROW()/100000,"")</f>
        <v/>
      </c>
    </row>
    <row r="882">
      <c r="A882">
        <f>IF($B882="","",IFERROR(IF(INDEX('Per Invoice'!$A$2:$A$801,MATCH($B882,'Per Invoice'!$B$2:$B$801,0))=0,"",INDEX('Per Invoice'!$A$2:$A$801,MATCH($B882,'Per Invoice'!$B$2:$B$801,0))),""))</f>
        <v/>
      </c>
      <c r="J882" s="7">
        <f>IF($B882="","",I882*Q882/100)</f>
        <v/>
      </c>
      <c r="N882" s="7" t="n"/>
      <c r="O882" s="7" t="n"/>
      <c r="P882" s="7">
        <f>IF($B882="","",O882*X882/100)</f>
        <v/>
      </c>
      <c r="Q882" s="7">
        <f>IF($B882="","",O882-P882)</f>
        <v/>
      </c>
      <c r="R882" s="7">
        <f>IF($B882="","",Q882-J882)</f>
        <v/>
      </c>
      <c r="S882" s="7" t="n"/>
      <c r="T882" s="7" t="n"/>
      <c r="V882" s="14" t="n"/>
      <c r="Z882">
        <f>IF($B882="","",IF(COUNTIF($B$2:$B882,$B882)=1,1,0))</f>
        <v/>
      </c>
      <c r="AA882">
        <f>IF($Z882=1,SUMPRODUCT(--($AC$2:$AC$3001&lt;$AC882))+1,"")</f>
        <v/>
      </c>
      <c r="AB882">
        <f>IF($B882="","",IF(OR($Y882=TRUE(),$Y882="TRUE"),1,IF(AND($Y882&lt;&gt;"",OR($Y882=FALSE(),$Y882="FALSE")),0,IF(MIN(ABS($X882/100-Settings!$C$6),ABS($X882/100-Settings!$G$6))&lt;=MIN(ABS($X882/100-Settings!$C$7),ABS($X882/100-Settings!$G$7)),1,0))))</f>
        <v/>
      </c>
      <c r="AC882">
        <f>IF($Z882=1,IFERROR(IF(VALUE($B882)&lt;100000000,VALUE($B882),1000000000),IFERROR(IF(VALUE(MID($B882,2,20))&lt;100000000,VALUE(MID($B882,2,20)),1000000000),1000000000))+ROW()/100000,"")</f>
        <v/>
      </c>
    </row>
    <row r="883">
      <c r="A883">
        <f>IF($B883="","",IFERROR(IF(INDEX('Per Invoice'!$A$2:$A$801,MATCH($B883,'Per Invoice'!$B$2:$B$801,0))=0,"",INDEX('Per Invoice'!$A$2:$A$801,MATCH($B883,'Per Invoice'!$B$2:$B$801,0))),""))</f>
        <v/>
      </c>
      <c r="J883" s="7">
        <f>IF($B883="","",I883*Q883/100)</f>
        <v/>
      </c>
      <c r="N883" s="7" t="n"/>
      <c r="O883" s="7" t="n"/>
      <c r="P883" s="7">
        <f>IF($B883="","",O883*X883/100)</f>
        <v/>
      </c>
      <c r="Q883" s="7">
        <f>IF($B883="","",O883-P883)</f>
        <v/>
      </c>
      <c r="R883" s="7">
        <f>IF($B883="","",Q883-J883)</f>
        <v/>
      </c>
      <c r="S883" s="7" t="n"/>
      <c r="T883" s="7" t="n"/>
      <c r="V883" s="14" t="n"/>
      <c r="Z883">
        <f>IF($B883="","",IF(COUNTIF($B$2:$B883,$B883)=1,1,0))</f>
        <v/>
      </c>
      <c r="AA883">
        <f>IF($Z883=1,SUMPRODUCT(--($AC$2:$AC$3001&lt;$AC883))+1,"")</f>
        <v/>
      </c>
      <c r="AB883">
        <f>IF($B883="","",IF(OR($Y883=TRUE(),$Y883="TRUE"),1,IF(AND($Y883&lt;&gt;"",OR($Y883=FALSE(),$Y883="FALSE")),0,IF(MIN(ABS($X883/100-Settings!$C$6),ABS($X883/100-Settings!$G$6))&lt;=MIN(ABS($X883/100-Settings!$C$7),ABS($X883/100-Settings!$G$7)),1,0))))</f>
        <v/>
      </c>
      <c r="AC883">
        <f>IF($Z883=1,IFERROR(IF(VALUE($B883)&lt;100000000,VALUE($B883),1000000000),IFERROR(IF(VALUE(MID($B883,2,20))&lt;100000000,VALUE(MID($B883,2,20)),1000000000),1000000000))+ROW()/100000,"")</f>
        <v/>
      </c>
    </row>
    <row r="884">
      <c r="A884">
        <f>IF($B884="","",IFERROR(IF(INDEX('Per Invoice'!$A$2:$A$801,MATCH($B884,'Per Invoice'!$B$2:$B$801,0))=0,"",INDEX('Per Invoice'!$A$2:$A$801,MATCH($B884,'Per Invoice'!$B$2:$B$801,0))),""))</f>
        <v/>
      </c>
      <c r="J884" s="7">
        <f>IF($B884="","",I884*Q884/100)</f>
        <v/>
      </c>
      <c r="N884" s="7" t="n"/>
      <c r="O884" s="7" t="n"/>
      <c r="P884" s="7">
        <f>IF($B884="","",O884*X884/100)</f>
        <v/>
      </c>
      <c r="Q884" s="7">
        <f>IF($B884="","",O884-P884)</f>
        <v/>
      </c>
      <c r="R884" s="7">
        <f>IF($B884="","",Q884-J884)</f>
        <v/>
      </c>
      <c r="S884" s="7" t="n"/>
      <c r="T884" s="7" t="n"/>
      <c r="V884" s="14" t="n"/>
      <c r="Z884">
        <f>IF($B884="","",IF(COUNTIF($B$2:$B884,$B884)=1,1,0))</f>
        <v/>
      </c>
      <c r="AA884">
        <f>IF($Z884=1,SUMPRODUCT(--($AC$2:$AC$3001&lt;$AC884))+1,"")</f>
        <v/>
      </c>
      <c r="AB884">
        <f>IF($B884="","",IF(OR($Y884=TRUE(),$Y884="TRUE"),1,IF(AND($Y884&lt;&gt;"",OR($Y884=FALSE(),$Y884="FALSE")),0,IF(MIN(ABS($X884/100-Settings!$C$6),ABS($X884/100-Settings!$G$6))&lt;=MIN(ABS($X884/100-Settings!$C$7),ABS($X884/100-Settings!$G$7)),1,0))))</f>
        <v/>
      </c>
      <c r="AC884">
        <f>IF($Z884=1,IFERROR(IF(VALUE($B884)&lt;100000000,VALUE($B884),1000000000),IFERROR(IF(VALUE(MID($B884,2,20))&lt;100000000,VALUE(MID($B884,2,20)),1000000000),1000000000))+ROW()/100000,"")</f>
        <v/>
      </c>
    </row>
    <row r="885">
      <c r="A885">
        <f>IF($B885="","",IFERROR(IF(INDEX('Per Invoice'!$A$2:$A$801,MATCH($B885,'Per Invoice'!$B$2:$B$801,0))=0,"",INDEX('Per Invoice'!$A$2:$A$801,MATCH($B885,'Per Invoice'!$B$2:$B$801,0))),""))</f>
        <v/>
      </c>
      <c r="J885" s="7">
        <f>IF($B885="","",I885*Q885/100)</f>
        <v/>
      </c>
      <c r="N885" s="7" t="n"/>
      <c r="O885" s="7" t="n"/>
      <c r="P885" s="7">
        <f>IF($B885="","",O885*X885/100)</f>
        <v/>
      </c>
      <c r="Q885" s="7">
        <f>IF($B885="","",O885-P885)</f>
        <v/>
      </c>
      <c r="R885" s="7">
        <f>IF($B885="","",Q885-J885)</f>
        <v/>
      </c>
      <c r="S885" s="7" t="n"/>
      <c r="T885" s="7" t="n"/>
      <c r="V885" s="14" t="n"/>
      <c r="Z885">
        <f>IF($B885="","",IF(COUNTIF($B$2:$B885,$B885)=1,1,0))</f>
        <v/>
      </c>
      <c r="AA885">
        <f>IF($Z885=1,SUMPRODUCT(--($AC$2:$AC$3001&lt;$AC885))+1,"")</f>
        <v/>
      </c>
      <c r="AB885">
        <f>IF($B885="","",IF(OR($Y885=TRUE(),$Y885="TRUE"),1,IF(AND($Y885&lt;&gt;"",OR($Y885=FALSE(),$Y885="FALSE")),0,IF(MIN(ABS($X885/100-Settings!$C$6),ABS($X885/100-Settings!$G$6))&lt;=MIN(ABS($X885/100-Settings!$C$7),ABS($X885/100-Settings!$G$7)),1,0))))</f>
        <v/>
      </c>
      <c r="AC885">
        <f>IF($Z885=1,IFERROR(IF(VALUE($B885)&lt;100000000,VALUE($B885),1000000000),IFERROR(IF(VALUE(MID($B885,2,20))&lt;100000000,VALUE(MID($B885,2,20)),1000000000),1000000000))+ROW()/100000,"")</f>
        <v/>
      </c>
    </row>
    <row r="886">
      <c r="A886">
        <f>IF($B886="","",IFERROR(IF(INDEX('Per Invoice'!$A$2:$A$801,MATCH($B886,'Per Invoice'!$B$2:$B$801,0))=0,"",INDEX('Per Invoice'!$A$2:$A$801,MATCH($B886,'Per Invoice'!$B$2:$B$801,0))),""))</f>
        <v/>
      </c>
      <c r="J886" s="7">
        <f>IF($B886="","",I886*Q886/100)</f>
        <v/>
      </c>
      <c r="N886" s="7" t="n"/>
      <c r="O886" s="7" t="n"/>
      <c r="P886" s="7">
        <f>IF($B886="","",O886*X886/100)</f>
        <v/>
      </c>
      <c r="Q886" s="7">
        <f>IF($B886="","",O886-P886)</f>
        <v/>
      </c>
      <c r="R886" s="7">
        <f>IF($B886="","",Q886-J886)</f>
        <v/>
      </c>
      <c r="S886" s="7" t="n"/>
      <c r="T886" s="7" t="n"/>
      <c r="V886" s="14" t="n"/>
      <c r="Z886">
        <f>IF($B886="","",IF(COUNTIF($B$2:$B886,$B886)=1,1,0))</f>
        <v/>
      </c>
      <c r="AA886">
        <f>IF($Z886=1,SUMPRODUCT(--($AC$2:$AC$3001&lt;$AC886))+1,"")</f>
        <v/>
      </c>
      <c r="AB886">
        <f>IF($B886="","",IF(OR($Y886=TRUE(),$Y886="TRUE"),1,IF(AND($Y886&lt;&gt;"",OR($Y886=FALSE(),$Y886="FALSE")),0,IF(MIN(ABS($X886/100-Settings!$C$6),ABS($X886/100-Settings!$G$6))&lt;=MIN(ABS($X886/100-Settings!$C$7),ABS($X886/100-Settings!$G$7)),1,0))))</f>
        <v/>
      </c>
      <c r="AC886">
        <f>IF($Z886=1,IFERROR(IF(VALUE($B886)&lt;100000000,VALUE($B886),1000000000),IFERROR(IF(VALUE(MID($B886,2,20))&lt;100000000,VALUE(MID($B886,2,20)),1000000000),1000000000))+ROW()/100000,"")</f>
        <v/>
      </c>
    </row>
    <row r="887">
      <c r="A887">
        <f>IF($B887="","",IFERROR(IF(INDEX('Per Invoice'!$A$2:$A$801,MATCH($B887,'Per Invoice'!$B$2:$B$801,0))=0,"",INDEX('Per Invoice'!$A$2:$A$801,MATCH($B887,'Per Invoice'!$B$2:$B$801,0))),""))</f>
        <v/>
      </c>
      <c r="J887" s="7">
        <f>IF($B887="","",I887*Q887/100)</f>
        <v/>
      </c>
      <c r="N887" s="7" t="n"/>
      <c r="O887" s="7" t="n"/>
      <c r="P887" s="7">
        <f>IF($B887="","",O887*X887/100)</f>
        <v/>
      </c>
      <c r="Q887" s="7">
        <f>IF($B887="","",O887-P887)</f>
        <v/>
      </c>
      <c r="R887" s="7">
        <f>IF($B887="","",Q887-J887)</f>
        <v/>
      </c>
      <c r="S887" s="7" t="n"/>
      <c r="T887" s="7" t="n"/>
      <c r="V887" s="14" t="n"/>
      <c r="Z887">
        <f>IF($B887="","",IF(COUNTIF($B$2:$B887,$B887)=1,1,0))</f>
        <v/>
      </c>
      <c r="AA887">
        <f>IF($Z887=1,SUMPRODUCT(--($AC$2:$AC$3001&lt;$AC887))+1,"")</f>
        <v/>
      </c>
      <c r="AB887">
        <f>IF($B887="","",IF(OR($Y887=TRUE(),$Y887="TRUE"),1,IF(AND($Y887&lt;&gt;"",OR($Y887=FALSE(),$Y887="FALSE")),0,IF(MIN(ABS($X887/100-Settings!$C$6),ABS($X887/100-Settings!$G$6))&lt;=MIN(ABS($X887/100-Settings!$C$7),ABS($X887/100-Settings!$G$7)),1,0))))</f>
        <v/>
      </c>
      <c r="AC887">
        <f>IF($Z887=1,IFERROR(IF(VALUE($B887)&lt;100000000,VALUE($B887),1000000000),IFERROR(IF(VALUE(MID($B887,2,20))&lt;100000000,VALUE(MID($B887,2,20)),1000000000),1000000000))+ROW()/100000,"")</f>
        <v/>
      </c>
    </row>
    <row r="888">
      <c r="A888">
        <f>IF($B888="","",IFERROR(IF(INDEX('Per Invoice'!$A$2:$A$801,MATCH($B888,'Per Invoice'!$B$2:$B$801,0))=0,"",INDEX('Per Invoice'!$A$2:$A$801,MATCH($B888,'Per Invoice'!$B$2:$B$801,0))),""))</f>
        <v/>
      </c>
      <c r="J888" s="7">
        <f>IF($B888="","",I888*Q888/100)</f>
        <v/>
      </c>
      <c r="N888" s="7" t="n"/>
      <c r="O888" s="7" t="n"/>
      <c r="P888" s="7">
        <f>IF($B888="","",O888*X888/100)</f>
        <v/>
      </c>
      <c r="Q888" s="7">
        <f>IF($B888="","",O888-P888)</f>
        <v/>
      </c>
      <c r="R888" s="7">
        <f>IF($B888="","",Q888-J888)</f>
        <v/>
      </c>
      <c r="S888" s="7" t="n"/>
      <c r="T888" s="7" t="n"/>
      <c r="V888" s="14" t="n"/>
      <c r="Z888">
        <f>IF($B888="","",IF(COUNTIF($B$2:$B888,$B888)=1,1,0))</f>
        <v/>
      </c>
      <c r="AA888">
        <f>IF($Z888=1,SUMPRODUCT(--($AC$2:$AC$3001&lt;$AC888))+1,"")</f>
        <v/>
      </c>
      <c r="AB888">
        <f>IF($B888="","",IF(OR($Y888=TRUE(),$Y888="TRUE"),1,IF(AND($Y888&lt;&gt;"",OR($Y888=FALSE(),$Y888="FALSE")),0,IF(MIN(ABS($X888/100-Settings!$C$6),ABS($X888/100-Settings!$G$6))&lt;=MIN(ABS($X888/100-Settings!$C$7),ABS($X888/100-Settings!$G$7)),1,0))))</f>
        <v/>
      </c>
      <c r="AC888">
        <f>IF($Z888=1,IFERROR(IF(VALUE($B888)&lt;100000000,VALUE($B888),1000000000),IFERROR(IF(VALUE(MID($B888,2,20))&lt;100000000,VALUE(MID($B888,2,20)),1000000000),1000000000))+ROW()/100000,"")</f>
        <v/>
      </c>
    </row>
    <row r="889">
      <c r="A889">
        <f>IF($B889="","",IFERROR(IF(INDEX('Per Invoice'!$A$2:$A$801,MATCH($B889,'Per Invoice'!$B$2:$B$801,0))=0,"",INDEX('Per Invoice'!$A$2:$A$801,MATCH($B889,'Per Invoice'!$B$2:$B$801,0))),""))</f>
        <v/>
      </c>
      <c r="J889" s="7">
        <f>IF($B889="","",I889*Q889/100)</f>
        <v/>
      </c>
      <c r="N889" s="7" t="n"/>
      <c r="O889" s="7" t="n"/>
      <c r="P889" s="7">
        <f>IF($B889="","",O889*X889/100)</f>
        <v/>
      </c>
      <c r="Q889" s="7">
        <f>IF($B889="","",O889-P889)</f>
        <v/>
      </c>
      <c r="R889" s="7">
        <f>IF($B889="","",Q889-J889)</f>
        <v/>
      </c>
      <c r="S889" s="7" t="n"/>
      <c r="T889" s="7" t="n"/>
      <c r="V889" s="14" t="n"/>
      <c r="Z889">
        <f>IF($B889="","",IF(COUNTIF($B$2:$B889,$B889)=1,1,0))</f>
        <v/>
      </c>
      <c r="AA889">
        <f>IF($Z889=1,SUMPRODUCT(--($AC$2:$AC$3001&lt;$AC889))+1,"")</f>
        <v/>
      </c>
      <c r="AB889">
        <f>IF($B889="","",IF(OR($Y889=TRUE(),$Y889="TRUE"),1,IF(AND($Y889&lt;&gt;"",OR($Y889=FALSE(),$Y889="FALSE")),0,IF(MIN(ABS($X889/100-Settings!$C$6),ABS($X889/100-Settings!$G$6))&lt;=MIN(ABS($X889/100-Settings!$C$7),ABS($X889/100-Settings!$G$7)),1,0))))</f>
        <v/>
      </c>
      <c r="AC889">
        <f>IF($Z889=1,IFERROR(IF(VALUE($B889)&lt;100000000,VALUE($B889),1000000000),IFERROR(IF(VALUE(MID($B889,2,20))&lt;100000000,VALUE(MID($B889,2,20)),1000000000),1000000000))+ROW()/100000,"")</f>
        <v/>
      </c>
    </row>
    <row r="890">
      <c r="A890">
        <f>IF($B890="","",IFERROR(IF(INDEX('Per Invoice'!$A$2:$A$801,MATCH($B890,'Per Invoice'!$B$2:$B$801,0))=0,"",INDEX('Per Invoice'!$A$2:$A$801,MATCH($B890,'Per Invoice'!$B$2:$B$801,0))),""))</f>
        <v/>
      </c>
      <c r="J890" s="7">
        <f>IF($B890="","",I890*Q890/100)</f>
        <v/>
      </c>
      <c r="N890" s="7" t="n"/>
      <c r="O890" s="7" t="n"/>
      <c r="P890" s="7">
        <f>IF($B890="","",O890*X890/100)</f>
        <v/>
      </c>
      <c r="Q890" s="7">
        <f>IF($B890="","",O890-P890)</f>
        <v/>
      </c>
      <c r="R890" s="7">
        <f>IF($B890="","",Q890-J890)</f>
        <v/>
      </c>
      <c r="S890" s="7" t="n"/>
      <c r="T890" s="7" t="n"/>
      <c r="V890" s="14" t="n"/>
      <c r="Z890">
        <f>IF($B890="","",IF(COUNTIF($B$2:$B890,$B890)=1,1,0))</f>
        <v/>
      </c>
      <c r="AA890">
        <f>IF($Z890=1,SUMPRODUCT(--($AC$2:$AC$3001&lt;$AC890))+1,"")</f>
        <v/>
      </c>
      <c r="AB890">
        <f>IF($B890="","",IF(OR($Y890=TRUE(),$Y890="TRUE"),1,IF(AND($Y890&lt;&gt;"",OR($Y890=FALSE(),$Y890="FALSE")),0,IF(MIN(ABS($X890/100-Settings!$C$6),ABS($X890/100-Settings!$G$6))&lt;=MIN(ABS($X890/100-Settings!$C$7),ABS($X890/100-Settings!$G$7)),1,0))))</f>
        <v/>
      </c>
      <c r="AC890">
        <f>IF($Z890=1,IFERROR(IF(VALUE($B890)&lt;100000000,VALUE($B890),1000000000),IFERROR(IF(VALUE(MID($B890,2,20))&lt;100000000,VALUE(MID($B890,2,20)),1000000000),1000000000))+ROW()/100000,"")</f>
        <v/>
      </c>
    </row>
    <row r="891">
      <c r="A891">
        <f>IF($B891="","",IFERROR(IF(INDEX('Per Invoice'!$A$2:$A$801,MATCH($B891,'Per Invoice'!$B$2:$B$801,0))=0,"",INDEX('Per Invoice'!$A$2:$A$801,MATCH($B891,'Per Invoice'!$B$2:$B$801,0))),""))</f>
        <v/>
      </c>
      <c r="J891" s="7">
        <f>IF($B891="","",I891*Q891/100)</f>
        <v/>
      </c>
      <c r="N891" s="7" t="n"/>
      <c r="O891" s="7" t="n"/>
      <c r="P891" s="7">
        <f>IF($B891="","",O891*X891/100)</f>
        <v/>
      </c>
      <c r="Q891" s="7">
        <f>IF($B891="","",O891-P891)</f>
        <v/>
      </c>
      <c r="R891" s="7">
        <f>IF($B891="","",Q891-J891)</f>
        <v/>
      </c>
      <c r="S891" s="7" t="n"/>
      <c r="T891" s="7" t="n"/>
      <c r="V891" s="14" t="n"/>
      <c r="Z891">
        <f>IF($B891="","",IF(COUNTIF($B$2:$B891,$B891)=1,1,0))</f>
        <v/>
      </c>
      <c r="AA891">
        <f>IF($Z891=1,SUMPRODUCT(--($AC$2:$AC$3001&lt;$AC891))+1,"")</f>
        <v/>
      </c>
      <c r="AB891">
        <f>IF($B891="","",IF(OR($Y891=TRUE(),$Y891="TRUE"),1,IF(AND($Y891&lt;&gt;"",OR($Y891=FALSE(),$Y891="FALSE")),0,IF(MIN(ABS($X891/100-Settings!$C$6),ABS($X891/100-Settings!$G$6))&lt;=MIN(ABS($X891/100-Settings!$C$7),ABS($X891/100-Settings!$G$7)),1,0))))</f>
        <v/>
      </c>
      <c r="AC891">
        <f>IF($Z891=1,IFERROR(IF(VALUE($B891)&lt;100000000,VALUE($B891),1000000000),IFERROR(IF(VALUE(MID($B891,2,20))&lt;100000000,VALUE(MID($B891,2,20)),1000000000),1000000000))+ROW()/100000,"")</f>
        <v/>
      </c>
    </row>
    <row r="892">
      <c r="A892">
        <f>IF($B892="","",IFERROR(IF(INDEX('Per Invoice'!$A$2:$A$801,MATCH($B892,'Per Invoice'!$B$2:$B$801,0))=0,"",INDEX('Per Invoice'!$A$2:$A$801,MATCH($B892,'Per Invoice'!$B$2:$B$801,0))),""))</f>
        <v/>
      </c>
      <c r="J892" s="7">
        <f>IF($B892="","",I892*Q892/100)</f>
        <v/>
      </c>
      <c r="N892" s="7" t="n"/>
      <c r="O892" s="7" t="n"/>
      <c r="P892" s="7">
        <f>IF($B892="","",O892*X892/100)</f>
        <v/>
      </c>
      <c r="Q892" s="7">
        <f>IF($B892="","",O892-P892)</f>
        <v/>
      </c>
      <c r="R892" s="7">
        <f>IF($B892="","",Q892-J892)</f>
        <v/>
      </c>
      <c r="S892" s="7" t="n"/>
      <c r="T892" s="7" t="n"/>
      <c r="V892" s="14" t="n"/>
      <c r="Z892">
        <f>IF($B892="","",IF(COUNTIF($B$2:$B892,$B892)=1,1,0))</f>
        <v/>
      </c>
      <c r="AA892">
        <f>IF($Z892=1,SUMPRODUCT(--($AC$2:$AC$3001&lt;$AC892))+1,"")</f>
        <v/>
      </c>
      <c r="AB892">
        <f>IF($B892="","",IF(OR($Y892=TRUE(),$Y892="TRUE"),1,IF(AND($Y892&lt;&gt;"",OR($Y892=FALSE(),$Y892="FALSE")),0,IF(MIN(ABS($X892/100-Settings!$C$6),ABS($X892/100-Settings!$G$6))&lt;=MIN(ABS($X892/100-Settings!$C$7),ABS($X892/100-Settings!$G$7)),1,0))))</f>
        <v/>
      </c>
      <c r="AC892">
        <f>IF($Z892=1,IFERROR(IF(VALUE($B892)&lt;100000000,VALUE($B892),1000000000),IFERROR(IF(VALUE(MID($B892,2,20))&lt;100000000,VALUE(MID($B892,2,20)),1000000000),1000000000))+ROW()/100000,"")</f>
        <v/>
      </c>
    </row>
    <row r="893">
      <c r="A893">
        <f>IF($B893="","",IFERROR(IF(INDEX('Per Invoice'!$A$2:$A$801,MATCH($B893,'Per Invoice'!$B$2:$B$801,0))=0,"",INDEX('Per Invoice'!$A$2:$A$801,MATCH($B893,'Per Invoice'!$B$2:$B$801,0))),""))</f>
        <v/>
      </c>
      <c r="J893" s="7">
        <f>IF($B893="","",I893*Q893/100)</f>
        <v/>
      </c>
      <c r="N893" s="7" t="n"/>
      <c r="O893" s="7" t="n"/>
      <c r="P893" s="7">
        <f>IF($B893="","",O893*X893/100)</f>
        <v/>
      </c>
      <c r="Q893" s="7">
        <f>IF($B893="","",O893-P893)</f>
        <v/>
      </c>
      <c r="R893" s="7">
        <f>IF($B893="","",Q893-J893)</f>
        <v/>
      </c>
      <c r="S893" s="7" t="n"/>
      <c r="T893" s="7" t="n"/>
      <c r="V893" s="14" t="n"/>
      <c r="Z893">
        <f>IF($B893="","",IF(COUNTIF($B$2:$B893,$B893)=1,1,0))</f>
        <v/>
      </c>
      <c r="AA893">
        <f>IF($Z893=1,SUMPRODUCT(--($AC$2:$AC$3001&lt;$AC893))+1,"")</f>
        <v/>
      </c>
      <c r="AB893">
        <f>IF($B893="","",IF(OR($Y893=TRUE(),$Y893="TRUE"),1,IF(AND($Y893&lt;&gt;"",OR($Y893=FALSE(),$Y893="FALSE")),0,IF(MIN(ABS($X893/100-Settings!$C$6),ABS($X893/100-Settings!$G$6))&lt;=MIN(ABS($X893/100-Settings!$C$7),ABS($X893/100-Settings!$G$7)),1,0))))</f>
        <v/>
      </c>
      <c r="AC893">
        <f>IF($Z893=1,IFERROR(IF(VALUE($B893)&lt;100000000,VALUE($B893),1000000000),IFERROR(IF(VALUE(MID($B893,2,20))&lt;100000000,VALUE(MID($B893,2,20)),1000000000),1000000000))+ROW()/100000,"")</f>
        <v/>
      </c>
    </row>
    <row r="894">
      <c r="A894">
        <f>IF($B894="","",IFERROR(IF(INDEX('Per Invoice'!$A$2:$A$801,MATCH($B894,'Per Invoice'!$B$2:$B$801,0))=0,"",INDEX('Per Invoice'!$A$2:$A$801,MATCH($B894,'Per Invoice'!$B$2:$B$801,0))),""))</f>
        <v/>
      </c>
      <c r="J894" s="7">
        <f>IF($B894="","",I894*Q894/100)</f>
        <v/>
      </c>
      <c r="N894" s="7" t="n"/>
      <c r="O894" s="7" t="n"/>
      <c r="P894" s="7">
        <f>IF($B894="","",O894*X894/100)</f>
        <v/>
      </c>
      <c r="Q894" s="7">
        <f>IF($B894="","",O894-P894)</f>
        <v/>
      </c>
      <c r="R894" s="7">
        <f>IF($B894="","",Q894-J894)</f>
        <v/>
      </c>
      <c r="S894" s="7" t="n"/>
      <c r="T894" s="7" t="n"/>
      <c r="V894" s="14" t="n"/>
      <c r="Z894">
        <f>IF($B894="","",IF(COUNTIF($B$2:$B894,$B894)=1,1,0))</f>
        <v/>
      </c>
      <c r="AA894">
        <f>IF($Z894=1,SUMPRODUCT(--($AC$2:$AC$3001&lt;$AC894))+1,"")</f>
        <v/>
      </c>
      <c r="AB894">
        <f>IF($B894="","",IF(OR($Y894=TRUE(),$Y894="TRUE"),1,IF(AND($Y894&lt;&gt;"",OR($Y894=FALSE(),$Y894="FALSE")),0,IF(MIN(ABS($X894/100-Settings!$C$6),ABS($X894/100-Settings!$G$6))&lt;=MIN(ABS($X894/100-Settings!$C$7),ABS($X894/100-Settings!$G$7)),1,0))))</f>
        <v/>
      </c>
      <c r="AC894">
        <f>IF($Z894=1,IFERROR(IF(VALUE($B894)&lt;100000000,VALUE($B894),1000000000),IFERROR(IF(VALUE(MID($B894,2,20))&lt;100000000,VALUE(MID($B894,2,20)),1000000000),1000000000))+ROW()/100000,"")</f>
        <v/>
      </c>
    </row>
    <row r="895">
      <c r="A895">
        <f>IF($B895="","",IFERROR(IF(INDEX('Per Invoice'!$A$2:$A$801,MATCH($B895,'Per Invoice'!$B$2:$B$801,0))=0,"",INDEX('Per Invoice'!$A$2:$A$801,MATCH($B895,'Per Invoice'!$B$2:$B$801,0))),""))</f>
        <v/>
      </c>
      <c r="J895" s="7">
        <f>IF($B895="","",I895*Q895/100)</f>
        <v/>
      </c>
      <c r="N895" s="7" t="n"/>
      <c r="O895" s="7" t="n"/>
      <c r="P895" s="7">
        <f>IF($B895="","",O895*X895/100)</f>
        <v/>
      </c>
      <c r="Q895" s="7">
        <f>IF($B895="","",O895-P895)</f>
        <v/>
      </c>
      <c r="R895" s="7">
        <f>IF($B895="","",Q895-J895)</f>
        <v/>
      </c>
      <c r="S895" s="7" t="n"/>
      <c r="T895" s="7" t="n"/>
      <c r="V895" s="14" t="n"/>
      <c r="Z895">
        <f>IF($B895="","",IF(COUNTIF($B$2:$B895,$B895)=1,1,0))</f>
        <v/>
      </c>
      <c r="AA895">
        <f>IF($Z895=1,SUMPRODUCT(--($AC$2:$AC$3001&lt;$AC895))+1,"")</f>
        <v/>
      </c>
      <c r="AB895">
        <f>IF($B895="","",IF(OR($Y895=TRUE(),$Y895="TRUE"),1,IF(AND($Y895&lt;&gt;"",OR($Y895=FALSE(),$Y895="FALSE")),0,IF(MIN(ABS($X895/100-Settings!$C$6),ABS($X895/100-Settings!$G$6))&lt;=MIN(ABS($X895/100-Settings!$C$7),ABS($X895/100-Settings!$G$7)),1,0))))</f>
        <v/>
      </c>
      <c r="AC895">
        <f>IF($Z895=1,IFERROR(IF(VALUE($B895)&lt;100000000,VALUE($B895),1000000000),IFERROR(IF(VALUE(MID($B895,2,20))&lt;100000000,VALUE(MID($B895,2,20)),1000000000),1000000000))+ROW()/100000,"")</f>
        <v/>
      </c>
    </row>
    <row r="896">
      <c r="A896">
        <f>IF($B896="","",IFERROR(IF(INDEX('Per Invoice'!$A$2:$A$801,MATCH($B896,'Per Invoice'!$B$2:$B$801,0))=0,"",INDEX('Per Invoice'!$A$2:$A$801,MATCH($B896,'Per Invoice'!$B$2:$B$801,0))),""))</f>
        <v/>
      </c>
      <c r="J896" s="7">
        <f>IF($B896="","",I896*Q896/100)</f>
        <v/>
      </c>
      <c r="N896" s="7" t="n"/>
      <c r="O896" s="7" t="n"/>
      <c r="P896" s="7">
        <f>IF($B896="","",O896*X896/100)</f>
        <v/>
      </c>
      <c r="Q896" s="7">
        <f>IF($B896="","",O896-P896)</f>
        <v/>
      </c>
      <c r="R896" s="7">
        <f>IF($B896="","",Q896-J896)</f>
        <v/>
      </c>
      <c r="S896" s="7" t="n"/>
      <c r="T896" s="7" t="n"/>
      <c r="V896" s="14" t="n"/>
      <c r="Z896">
        <f>IF($B896="","",IF(COUNTIF($B$2:$B896,$B896)=1,1,0))</f>
        <v/>
      </c>
      <c r="AA896">
        <f>IF($Z896=1,SUMPRODUCT(--($AC$2:$AC$3001&lt;$AC896))+1,"")</f>
        <v/>
      </c>
      <c r="AB896">
        <f>IF($B896="","",IF(OR($Y896=TRUE(),$Y896="TRUE"),1,IF(AND($Y896&lt;&gt;"",OR($Y896=FALSE(),$Y896="FALSE")),0,IF(MIN(ABS($X896/100-Settings!$C$6),ABS($X896/100-Settings!$G$6))&lt;=MIN(ABS($X896/100-Settings!$C$7),ABS($X896/100-Settings!$G$7)),1,0))))</f>
        <v/>
      </c>
      <c r="AC896">
        <f>IF($Z896=1,IFERROR(IF(VALUE($B896)&lt;100000000,VALUE($B896),1000000000),IFERROR(IF(VALUE(MID($B896,2,20))&lt;100000000,VALUE(MID($B896,2,20)),1000000000),1000000000))+ROW()/100000,"")</f>
        <v/>
      </c>
    </row>
    <row r="897">
      <c r="A897">
        <f>IF($B897="","",IFERROR(IF(INDEX('Per Invoice'!$A$2:$A$801,MATCH($B897,'Per Invoice'!$B$2:$B$801,0))=0,"",INDEX('Per Invoice'!$A$2:$A$801,MATCH($B897,'Per Invoice'!$B$2:$B$801,0))),""))</f>
        <v/>
      </c>
      <c r="J897" s="7">
        <f>IF($B897="","",I897*Q897/100)</f>
        <v/>
      </c>
      <c r="N897" s="7" t="n"/>
      <c r="O897" s="7" t="n"/>
      <c r="P897" s="7">
        <f>IF($B897="","",O897*X897/100)</f>
        <v/>
      </c>
      <c r="Q897" s="7">
        <f>IF($B897="","",O897-P897)</f>
        <v/>
      </c>
      <c r="R897" s="7">
        <f>IF($B897="","",Q897-J897)</f>
        <v/>
      </c>
      <c r="S897" s="7" t="n"/>
      <c r="T897" s="7" t="n"/>
      <c r="V897" s="14" t="n"/>
      <c r="Z897">
        <f>IF($B897="","",IF(COUNTIF($B$2:$B897,$B897)=1,1,0))</f>
        <v/>
      </c>
      <c r="AA897">
        <f>IF($Z897=1,SUMPRODUCT(--($AC$2:$AC$3001&lt;$AC897))+1,"")</f>
        <v/>
      </c>
      <c r="AB897">
        <f>IF($B897="","",IF(OR($Y897=TRUE(),$Y897="TRUE"),1,IF(AND($Y897&lt;&gt;"",OR($Y897=FALSE(),$Y897="FALSE")),0,IF(MIN(ABS($X897/100-Settings!$C$6),ABS($X897/100-Settings!$G$6))&lt;=MIN(ABS($X897/100-Settings!$C$7),ABS($X897/100-Settings!$G$7)),1,0))))</f>
        <v/>
      </c>
      <c r="AC897">
        <f>IF($Z897=1,IFERROR(IF(VALUE($B897)&lt;100000000,VALUE($B897),1000000000),IFERROR(IF(VALUE(MID($B897,2,20))&lt;100000000,VALUE(MID($B897,2,20)),1000000000),1000000000))+ROW()/100000,"")</f>
        <v/>
      </c>
    </row>
    <row r="898">
      <c r="A898">
        <f>IF($B898="","",IFERROR(IF(INDEX('Per Invoice'!$A$2:$A$801,MATCH($B898,'Per Invoice'!$B$2:$B$801,0))=0,"",INDEX('Per Invoice'!$A$2:$A$801,MATCH($B898,'Per Invoice'!$B$2:$B$801,0))),""))</f>
        <v/>
      </c>
      <c r="J898" s="7">
        <f>IF($B898="","",I898*Q898/100)</f>
        <v/>
      </c>
      <c r="N898" s="7" t="n"/>
      <c r="O898" s="7" t="n"/>
      <c r="P898" s="7">
        <f>IF($B898="","",O898*X898/100)</f>
        <v/>
      </c>
      <c r="Q898" s="7">
        <f>IF($B898="","",O898-P898)</f>
        <v/>
      </c>
      <c r="R898" s="7">
        <f>IF($B898="","",Q898-J898)</f>
        <v/>
      </c>
      <c r="S898" s="7" t="n"/>
      <c r="T898" s="7" t="n"/>
      <c r="V898" s="14" t="n"/>
      <c r="Z898">
        <f>IF($B898="","",IF(COUNTIF($B$2:$B898,$B898)=1,1,0))</f>
        <v/>
      </c>
      <c r="AA898">
        <f>IF($Z898=1,SUMPRODUCT(--($AC$2:$AC$3001&lt;$AC898))+1,"")</f>
        <v/>
      </c>
      <c r="AB898">
        <f>IF($B898="","",IF(OR($Y898=TRUE(),$Y898="TRUE"),1,IF(AND($Y898&lt;&gt;"",OR($Y898=FALSE(),$Y898="FALSE")),0,IF(MIN(ABS($X898/100-Settings!$C$6),ABS($X898/100-Settings!$G$6))&lt;=MIN(ABS($X898/100-Settings!$C$7),ABS($X898/100-Settings!$G$7)),1,0))))</f>
        <v/>
      </c>
      <c r="AC898">
        <f>IF($Z898=1,IFERROR(IF(VALUE($B898)&lt;100000000,VALUE($B898),1000000000),IFERROR(IF(VALUE(MID($B898,2,20))&lt;100000000,VALUE(MID($B898,2,20)),1000000000),1000000000))+ROW()/100000,"")</f>
        <v/>
      </c>
    </row>
    <row r="899">
      <c r="A899">
        <f>IF($B899="","",IFERROR(IF(INDEX('Per Invoice'!$A$2:$A$801,MATCH($B899,'Per Invoice'!$B$2:$B$801,0))=0,"",INDEX('Per Invoice'!$A$2:$A$801,MATCH($B899,'Per Invoice'!$B$2:$B$801,0))),""))</f>
        <v/>
      </c>
      <c r="J899" s="7">
        <f>IF($B899="","",I899*Q899/100)</f>
        <v/>
      </c>
      <c r="N899" s="7" t="n"/>
      <c r="O899" s="7" t="n"/>
      <c r="P899" s="7">
        <f>IF($B899="","",O899*X899/100)</f>
        <v/>
      </c>
      <c r="Q899" s="7">
        <f>IF($B899="","",O899-P899)</f>
        <v/>
      </c>
      <c r="R899" s="7">
        <f>IF($B899="","",Q899-J899)</f>
        <v/>
      </c>
      <c r="S899" s="7" t="n"/>
      <c r="T899" s="7" t="n"/>
      <c r="V899" s="14" t="n"/>
      <c r="Z899">
        <f>IF($B899="","",IF(COUNTIF($B$2:$B899,$B899)=1,1,0))</f>
        <v/>
      </c>
      <c r="AA899">
        <f>IF($Z899=1,SUMPRODUCT(--($AC$2:$AC$3001&lt;$AC899))+1,"")</f>
        <v/>
      </c>
      <c r="AB899">
        <f>IF($B899="","",IF(OR($Y899=TRUE(),$Y899="TRUE"),1,IF(AND($Y899&lt;&gt;"",OR($Y899=FALSE(),$Y899="FALSE")),0,IF(MIN(ABS($X899/100-Settings!$C$6),ABS($X899/100-Settings!$G$6))&lt;=MIN(ABS($X899/100-Settings!$C$7),ABS($X899/100-Settings!$G$7)),1,0))))</f>
        <v/>
      </c>
      <c r="AC899">
        <f>IF($Z899=1,IFERROR(IF(VALUE($B899)&lt;100000000,VALUE($B899),1000000000),IFERROR(IF(VALUE(MID($B899,2,20))&lt;100000000,VALUE(MID($B899,2,20)),1000000000),1000000000))+ROW()/100000,"")</f>
        <v/>
      </c>
    </row>
    <row r="900">
      <c r="A900">
        <f>IF($B900="","",IFERROR(IF(INDEX('Per Invoice'!$A$2:$A$801,MATCH($B900,'Per Invoice'!$B$2:$B$801,0))=0,"",INDEX('Per Invoice'!$A$2:$A$801,MATCH($B900,'Per Invoice'!$B$2:$B$801,0))),""))</f>
        <v/>
      </c>
      <c r="J900" s="7">
        <f>IF($B900="","",I900*Q900/100)</f>
        <v/>
      </c>
      <c r="N900" s="7" t="n"/>
      <c r="O900" s="7" t="n"/>
      <c r="P900" s="7">
        <f>IF($B900="","",O900*X900/100)</f>
        <v/>
      </c>
      <c r="Q900" s="7">
        <f>IF($B900="","",O900-P900)</f>
        <v/>
      </c>
      <c r="R900" s="7">
        <f>IF($B900="","",Q900-J900)</f>
        <v/>
      </c>
      <c r="S900" s="7" t="n"/>
      <c r="T900" s="7" t="n"/>
      <c r="V900" s="14" t="n"/>
      <c r="Z900">
        <f>IF($B900="","",IF(COUNTIF($B$2:$B900,$B900)=1,1,0))</f>
        <v/>
      </c>
      <c r="AA900">
        <f>IF($Z900=1,SUMPRODUCT(--($AC$2:$AC$3001&lt;$AC900))+1,"")</f>
        <v/>
      </c>
      <c r="AB900">
        <f>IF($B900="","",IF(OR($Y900=TRUE(),$Y900="TRUE"),1,IF(AND($Y900&lt;&gt;"",OR($Y900=FALSE(),$Y900="FALSE")),0,IF(MIN(ABS($X900/100-Settings!$C$6),ABS($X900/100-Settings!$G$6))&lt;=MIN(ABS($X900/100-Settings!$C$7),ABS($X900/100-Settings!$G$7)),1,0))))</f>
        <v/>
      </c>
      <c r="AC900">
        <f>IF($Z900=1,IFERROR(IF(VALUE($B900)&lt;100000000,VALUE($B900),1000000000),IFERROR(IF(VALUE(MID($B900,2,20))&lt;100000000,VALUE(MID($B900,2,20)),1000000000),1000000000))+ROW()/100000,"")</f>
        <v/>
      </c>
    </row>
    <row r="901">
      <c r="A901">
        <f>IF($B901="","",IFERROR(IF(INDEX('Per Invoice'!$A$2:$A$801,MATCH($B901,'Per Invoice'!$B$2:$B$801,0))=0,"",INDEX('Per Invoice'!$A$2:$A$801,MATCH($B901,'Per Invoice'!$B$2:$B$801,0))),""))</f>
        <v/>
      </c>
      <c r="J901" s="7">
        <f>IF($B901="","",I901*Q901/100)</f>
        <v/>
      </c>
      <c r="N901" s="7" t="n"/>
      <c r="O901" s="7" t="n"/>
      <c r="P901" s="7">
        <f>IF($B901="","",O901*X901/100)</f>
        <v/>
      </c>
      <c r="Q901" s="7">
        <f>IF($B901="","",O901-P901)</f>
        <v/>
      </c>
      <c r="R901" s="7">
        <f>IF($B901="","",Q901-J901)</f>
        <v/>
      </c>
      <c r="S901" s="7" t="n"/>
      <c r="T901" s="7" t="n"/>
      <c r="V901" s="14" t="n"/>
      <c r="Z901">
        <f>IF($B901="","",IF(COUNTIF($B$2:$B901,$B901)=1,1,0))</f>
        <v/>
      </c>
      <c r="AA901">
        <f>IF($Z901=1,SUMPRODUCT(--($AC$2:$AC$3001&lt;$AC901))+1,"")</f>
        <v/>
      </c>
      <c r="AB901">
        <f>IF($B901="","",IF(OR($Y901=TRUE(),$Y901="TRUE"),1,IF(AND($Y901&lt;&gt;"",OR($Y901=FALSE(),$Y901="FALSE")),0,IF(MIN(ABS($X901/100-Settings!$C$6),ABS($X901/100-Settings!$G$6))&lt;=MIN(ABS($X901/100-Settings!$C$7),ABS($X901/100-Settings!$G$7)),1,0))))</f>
        <v/>
      </c>
      <c r="AC901">
        <f>IF($Z901=1,IFERROR(IF(VALUE($B901)&lt;100000000,VALUE($B901),1000000000),IFERROR(IF(VALUE(MID($B901,2,20))&lt;100000000,VALUE(MID($B901,2,20)),1000000000),1000000000))+ROW()/100000,"")</f>
        <v/>
      </c>
    </row>
    <row r="902">
      <c r="A902">
        <f>IF($B902="","",IFERROR(IF(INDEX('Per Invoice'!$A$2:$A$801,MATCH($B902,'Per Invoice'!$B$2:$B$801,0))=0,"",INDEX('Per Invoice'!$A$2:$A$801,MATCH($B902,'Per Invoice'!$B$2:$B$801,0))),""))</f>
        <v/>
      </c>
      <c r="J902" s="7">
        <f>IF($B902="","",I902*Q902/100)</f>
        <v/>
      </c>
      <c r="N902" s="7" t="n"/>
      <c r="O902" s="7" t="n"/>
      <c r="P902" s="7">
        <f>IF($B902="","",O902*X902/100)</f>
        <v/>
      </c>
      <c r="Q902" s="7">
        <f>IF($B902="","",O902-P902)</f>
        <v/>
      </c>
      <c r="R902" s="7">
        <f>IF($B902="","",Q902-J902)</f>
        <v/>
      </c>
      <c r="S902" s="7" t="n"/>
      <c r="T902" s="7" t="n"/>
      <c r="V902" s="14" t="n"/>
      <c r="Z902">
        <f>IF($B902="","",IF(COUNTIF($B$2:$B902,$B902)=1,1,0))</f>
        <v/>
      </c>
      <c r="AA902">
        <f>IF($Z902=1,SUMPRODUCT(--($AC$2:$AC$3001&lt;$AC902))+1,"")</f>
        <v/>
      </c>
      <c r="AB902">
        <f>IF($B902="","",IF(OR($Y902=TRUE(),$Y902="TRUE"),1,IF(AND($Y902&lt;&gt;"",OR($Y902=FALSE(),$Y902="FALSE")),0,IF(MIN(ABS($X902/100-Settings!$C$6),ABS($X902/100-Settings!$G$6))&lt;=MIN(ABS($X902/100-Settings!$C$7),ABS($X902/100-Settings!$G$7)),1,0))))</f>
        <v/>
      </c>
      <c r="AC902">
        <f>IF($Z902=1,IFERROR(IF(VALUE($B902)&lt;100000000,VALUE($B902),1000000000),IFERROR(IF(VALUE(MID($B902,2,20))&lt;100000000,VALUE(MID($B902,2,20)),1000000000),1000000000))+ROW()/100000,"")</f>
        <v/>
      </c>
    </row>
    <row r="903">
      <c r="A903">
        <f>IF($B903="","",IFERROR(IF(INDEX('Per Invoice'!$A$2:$A$801,MATCH($B903,'Per Invoice'!$B$2:$B$801,0))=0,"",INDEX('Per Invoice'!$A$2:$A$801,MATCH($B903,'Per Invoice'!$B$2:$B$801,0))),""))</f>
        <v/>
      </c>
      <c r="J903" s="7">
        <f>IF($B903="","",I903*Q903/100)</f>
        <v/>
      </c>
      <c r="N903" s="7" t="n"/>
      <c r="O903" s="7" t="n"/>
      <c r="P903" s="7">
        <f>IF($B903="","",O903*X903/100)</f>
        <v/>
      </c>
      <c r="Q903" s="7">
        <f>IF($B903="","",O903-P903)</f>
        <v/>
      </c>
      <c r="R903" s="7">
        <f>IF($B903="","",Q903-J903)</f>
        <v/>
      </c>
      <c r="S903" s="7" t="n"/>
      <c r="T903" s="7" t="n"/>
      <c r="V903" s="14" t="n"/>
      <c r="Z903">
        <f>IF($B903="","",IF(COUNTIF($B$2:$B903,$B903)=1,1,0))</f>
        <v/>
      </c>
      <c r="AA903">
        <f>IF($Z903=1,SUMPRODUCT(--($AC$2:$AC$3001&lt;$AC903))+1,"")</f>
        <v/>
      </c>
      <c r="AB903">
        <f>IF($B903="","",IF(OR($Y903=TRUE(),$Y903="TRUE"),1,IF(AND($Y903&lt;&gt;"",OR($Y903=FALSE(),$Y903="FALSE")),0,IF(MIN(ABS($X903/100-Settings!$C$6),ABS($X903/100-Settings!$G$6))&lt;=MIN(ABS($X903/100-Settings!$C$7),ABS($X903/100-Settings!$G$7)),1,0))))</f>
        <v/>
      </c>
      <c r="AC903">
        <f>IF($Z903=1,IFERROR(IF(VALUE($B903)&lt;100000000,VALUE($B903),1000000000),IFERROR(IF(VALUE(MID($B903,2,20))&lt;100000000,VALUE(MID($B903,2,20)),1000000000),1000000000))+ROW()/100000,"")</f>
        <v/>
      </c>
    </row>
    <row r="904">
      <c r="A904">
        <f>IF($B904="","",IFERROR(IF(INDEX('Per Invoice'!$A$2:$A$801,MATCH($B904,'Per Invoice'!$B$2:$B$801,0))=0,"",INDEX('Per Invoice'!$A$2:$A$801,MATCH($B904,'Per Invoice'!$B$2:$B$801,0))),""))</f>
        <v/>
      </c>
      <c r="J904" s="7">
        <f>IF($B904="","",I904*Q904/100)</f>
        <v/>
      </c>
      <c r="N904" s="7" t="n"/>
      <c r="O904" s="7" t="n"/>
      <c r="P904" s="7">
        <f>IF($B904="","",O904*X904/100)</f>
        <v/>
      </c>
      <c r="Q904" s="7">
        <f>IF($B904="","",O904-P904)</f>
        <v/>
      </c>
      <c r="R904" s="7">
        <f>IF($B904="","",Q904-J904)</f>
        <v/>
      </c>
      <c r="S904" s="7" t="n"/>
      <c r="T904" s="7" t="n"/>
      <c r="V904" s="14" t="n"/>
      <c r="Z904">
        <f>IF($B904="","",IF(COUNTIF($B$2:$B904,$B904)=1,1,0))</f>
        <v/>
      </c>
      <c r="AA904">
        <f>IF($Z904=1,SUMPRODUCT(--($AC$2:$AC$3001&lt;$AC904))+1,"")</f>
        <v/>
      </c>
      <c r="AB904">
        <f>IF($B904="","",IF(OR($Y904=TRUE(),$Y904="TRUE"),1,IF(AND($Y904&lt;&gt;"",OR($Y904=FALSE(),$Y904="FALSE")),0,IF(MIN(ABS($X904/100-Settings!$C$6),ABS($X904/100-Settings!$G$6))&lt;=MIN(ABS($X904/100-Settings!$C$7),ABS($X904/100-Settings!$G$7)),1,0))))</f>
        <v/>
      </c>
      <c r="AC904">
        <f>IF($Z904=1,IFERROR(IF(VALUE($B904)&lt;100000000,VALUE($B904),1000000000),IFERROR(IF(VALUE(MID($B904,2,20))&lt;100000000,VALUE(MID($B904,2,20)),1000000000),1000000000))+ROW()/100000,"")</f>
        <v/>
      </c>
    </row>
    <row r="905">
      <c r="A905">
        <f>IF($B905="","",IFERROR(IF(INDEX('Per Invoice'!$A$2:$A$801,MATCH($B905,'Per Invoice'!$B$2:$B$801,0))=0,"",INDEX('Per Invoice'!$A$2:$A$801,MATCH($B905,'Per Invoice'!$B$2:$B$801,0))),""))</f>
        <v/>
      </c>
      <c r="J905" s="7">
        <f>IF($B905="","",I905*Q905/100)</f>
        <v/>
      </c>
      <c r="N905" s="7" t="n"/>
      <c r="O905" s="7" t="n"/>
      <c r="P905" s="7">
        <f>IF($B905="","",O905*X905/100)</f>
        <v/>
      </c>
      <c r="Q905" s="7">
        <f>IF($B905="","",O905-P905)</f>
        <v/>
      </c>
      <c r="R905" s="7">
        <f>IF($B905="","",Q905-J905)</f>
        <v/>
      </c>
      <c r="S905" s="7" t="n"/>
      <c r="T905" s="7" t="n"/>
      <c r="V905" s="14" t="n"/>
      <c r="Z905">
        <f>IF($B905="","",IF(COUNTIF($B$2:$B905,$B905)=1,1,0))</f>
        <v/>
      </c>
      <c r="AA905">
        <f>IF($Z905=1,SUMPRODUCT(--($AC$2:$AC$3001&lt;$AC905))+1,"")</f>
        <v/>
      </c>
      <c r="AB905">
        <f>IF($B905="","",IF(OR($Y905=TRUE(),$Y905="TRUE"),1,IF(AND($Y905&lt;&gt;"",OR($Y905=FALSE(),$Y905="FALSE")),0,IF(MIN(ABS($X905/100-Settings!$C$6),ABS($X905/100-Settings!$G$6))&lt;=MIN(ABS($X905/100-Settings!$C$7),ABS($X905/100-Settings!$G$7)),1,0))))</f>
        <v/>
      </c>
      <c r="AC905">
        <f>IF($Z905=1,IFERROR(IF(VALUE($B905)&lt;100000000,VALUE($B905),1000000000),IFERROR(IF(VALUE(MID($B905,2,20))&lt;100000000,VALUE(MID($B905,2,20)),1000000000),1000000000))+ROW()/100000,"")</f>
        <v/>
      </c>
    </row>
    <row r="906">
      <c r="A906">
        <f>IF($B906="","",IFERROR(IF(INDEX('Per Invoice'!$A$2:$A$801,MATCH($B906,'Per Invoice'!$B$2:$B$801,0))=0,"",INDEX('Per Invoice'!$A$2:$A$801,MATCH($B906,'Per Invoice'!$B$2:$B$801,0))),""))</f>
        <v/>
      </c>
      <c r="J906" s="7">
        <f>IF($B906="","",I906*Q906/100)</f>
        <v/>
      </c>
      <c r="N906" s="7" t="n"/>
      <c r="O906" s="7" t="n"/>
      <c r="P906" s="7">
        <f>IF($B906="","",O906*X906/100)</f>
        <v/>
      </c>
      <c r="Q906" s="7">
        <f>IF($B906="","",O906-P906)</f>
        <v/>
      </c>
      <c r="R906" s="7">
        <f>IF($B906="","",Q906-J906)</f>
        <v/>
      </c>
      <c r="S906" s="7" t="n"/>
      <c r="T906" s="7" t="n"/>
      <c r="V906" s="14" t="n"/>
      <c r="Z906">
        <f>IF($B906="","",IF(COUNTIF($B$2:$B906,$B906)=1,1,0))</f>
        <v/>
      </c>
      <c r="AA906">
        <f>IF($Z906=1,SUMPRODUCT(--($AC$2:$AC$3001&lt;$AC906))+1,"")</f>
        <v/>
      </c>
      <c r="AB906">
        <f>IF($B906="","",IF(OR($Y906=TRUE(),$Y906="TRUE"),1,IF(AND($Y906&lt;&gt;"",OR($Y906=FALSE(),$Y906="FALSE")),0,IF(MIN(ABS($X906/100-Settings!$C$6),ABS($X906/100-Settings!$G$6))&lt;=MIN(ABS($X906/100-Settings!$C$7),ABS($X906/100-Settings!$G$7)),1,0))))</f>
        <v/>
      </c>
      <c r="AC906">
        <f>IF($Z906=1,IFERROR(IF(VALUE($B906)&lt;100000000,VALUE($B906),1000000000),IFERROR(IF(VALUE(MID($B906,2,20))&lt;100000000,VALUE(MID($B906,2,20)),1000000000),1000000000))+ROW()/100000,"")</f>
        <v/>
      </c>
    </row>
    <row r="907">
      <c r="A907">
        <f>IF($B907="","",IFERROR(IF(INDEX('Per Invoice'!$A$2:$A$801,MATCH($B907,'Per Invoice'!$B$2:$B$801,0))=0,"",INDEX('Per Invoice'!$A$2:$A$801,MATCH($B907,'Per Invoice'!$B$2:$B$801,0))),""))</f>
        <v/>
      </c>
      <c r="J907" s="7">
        <f>IF($B907="","",I907*Q907/100)</f>
        <v/>
      </c>
      <c r="N907" s="7" t="n"/>
      <c r="O907" s="7" t="n"/>
      <c r="P907" s="7">
        <f>IF($B907="","",O907*X907/100)</f>
        <v/>
      </c>
      <c r="Q907" s="7">
        <f>IF($B907="","",O907-P907)</f>
        <v/>
      </c>
      <c r="R907" s="7">
        <f>IF($B907="","",Q907-J907)</f>
        <v/>
      </c>
      <c r="S907" s="7" t="n"/>
      <c r="T907" s="7" t="n"/>
      <c r="V907" s="14" t="n"/>
      <c r="Z907">
        <f>IF($B907="","",IF(COUNTIF($B$2:$B907,$B907)=1,1,0))</f>
        <v/>
      </c>
      <c r="AA907">
        <f>IF($Z907=1,SUMPRODUCT(--($AC$2:$AC$3001&lt;$AC907))+1,"")</f>
        <v/>
      </c>
      <c r="AB907">
        <f>IF($B907="","",IF(OR($Y907=TRUE(),$Y907="TRUE"),1,IF(AND($Y907&lt;&gt;"",OR($Y907=FALSE(),$Y907="FALSE")),0,IF(MIN(ABS($X907/100-Settings!$C$6),ABS($X907/100-Settings!$G$6))&lt;=MIN(ABS($X907/100-Settings!$C$7),ABS($X907/100-Settings!$G$7)),1,0))))</f>
        <v/>
      </c>
      <c r="AC907">
        <f>IF($Z907=1,IFERROR(IF(VALUE($B907)&lt;100000000,VALUE($B907),1000000000),IFERROR(IF(VALUE(MID($B907,2,20))&lt;100000000,VALUE(MID($B907,2,20)),1000000000),1000000000))+ROW()/100000,"")</f>
        <v/>
      </c>
    </row>
    <row r="908">
      <c r="A908">
        <f>IF($B908="","",IFERROR(IF(INDEX('Per Invoice'!$A$2:$A$801,MATCH($B908,'Per Invoice'!$B$2:$B$801,0))=0,"",INDEX('Per Invoice'!$A$2:$A$801,MATCH($B908,'Per Invoice'!$B$2:$B$801,0))),""))</f>
        <v/>
      </c>
      <c r="J908" s="7">
        <f>IF($B908="","",I908*Q908/100)</f>
        <v/>
      </c>
      <c r="N908" s="7" t="n"/>
      <c r="O908" s="7" t="n"/>
      <c r="P908" s="7">
        <f>IF($B908="","",O908*X908/100)</f>
        <v/>
      </c>
      <c r="Q908" s="7">
        <f>IF($B908="","",O908-P908)</f>
        <v/>
      </c>
      <c r="R908" s="7">
        <f>IF($B908="","",Q908-J908)</f>
        <v/>
      </c>
      <c r="S908" s="7" t="n"/>
      <c r="T908" s="7" t="n"/>
      <c r="V908" s="14" t="n"/>
      <c r="Z908">
        <f>IF($B908="","",IF(COUNTIF($B$2:$B908,$B908)=1,1,0))</f>
        <v/>
      </c>
      <c r="AA908">
        <f>IF($Z908=1,SUMPRODUCT(--($AC$2:$AC$3001&lt;$AC908))+1,"")</f>
        <v/>
      </c>
      <c r="AB908">
        <f>IF($B908="","",IF(OR($Y908=TRUE(),$Y908="TRUE"),1,IF(AND($Y908&lt;&gt;"",OR($Y908=FALSE(),$Y908="FALSE")),0,IF(MIN(ABS($X908/100-Settings!$C$6),ABS($X908/100-Settings!$G$6))&lt;=MIN(ABS($X908/100-Settings!$C$7),ABS($X908/100-Settings!$G$7)),1,0))))</f>
        <v/>
      </c>
      <c r="AC908">
        <f>IF($Z908=1,IFERROR(IF(VALUE($B908)&lt;100000000,VALUE($B908),1000000000),IFERROR(IF(VALUE(MID($B908,2,20))&lt;100000000,VALUE(MID($B908,2,20)),1000000000),1000000000))+ROW()/100000,"")</f>
        <v/>
      </c>
    </row>
    <row r="909">
      <c r="A909">
        <f>IF($B909="","",IFERROR(IF(INDEX('Per Invoice'!$A$2:$A$801,MATCH($B909,'Per Invoice'!$B$2:$B$801,0))=0,"",INDEX('Per Invoice'!$A$2:$A$801,MATCH($B909,'Per Invoice'!$B$2:$B$801,0))),""))</f>
        <v/>
      </c>
      <c r="J909" s="7">
        <f>IF($B909="","",I909*Q909/100)</f>
        <v/>
      </c>
      <c r="N909" s="7" t="n"/>
      <c r="O909" s="7" t="n"/>
      <c r="P909" s="7">
        <f>IF($B909="","",O909*X909/100)</f>
        <v/>
      </c>
      <c r="Q909" s="7">
        <f>IF($B909="","",O909-P909)</f>
        <v/>
      </c>
      <c r="R909" s="7">
        <f>IF($B909="","",Q909-J909)</f>
        <v/>
      </c>
      <c r="S909" s="7" t="n"/>
      <c r="T909" s="7" t="n"/>
      <c r="V909" s="14" t="n"/>
      <c r="Z909">
        <f>IF($B909="","",IF(COUNTIF($B$2:$B909,$B909)=1,1,0))</f>
        <v/>
      </c>
      <c r="AA909">
        <f>IF($Z909=1,SUMPRODUCT(--($AC$2:$AC$3001&lt;$AC909))+1,"")</f>
        <v/>
      </c>
      <c r="AB909">
        <f>IF($B909="","",IF(OR($Y909=TRUE(),$Y909="TRUE"),1,IF(AND($Y909&lt;&gt;"",OR($Y909=FALSE(),$Y909="FALSE")),0,IF(MIN(ABS($X909/100-Settings!$C$6),ABS($X909/100-Settings!$G$6))&lt;=MIN(ABS($X909/100-Settings!$C$7),ABS($X909/100-Settings!$G$7)),1,0))))</f>
        <v/>
      </c>
      <c r="AC909">
        <f>IF($Z909=1,IFERROR(IF(VALUE($B909)&lt;100000000,VALUE($B909),1000000000),IFERROR(IF(VALUE(MID($B909,2,20))&lt;100000000,VALUE(MID($B909,2,20)),1000000000),1000000000))+ROW()/100000,"")</f>
        <v/>
      </c>
    </row>
    <row r="910">
      <c r="A910">
        <f>IF($B910="","",IFERROR(IF(INDEX('Per Invoice'!$A$2:$A$801,MATCH($B910,'Per Invoice'!$B$2:$B$801,0))=0,"",INDEX('Per Invoice'!$A$2:$A$801,MATCH($B910,'Per Invoice'!$B$2:$B$801,0))),""))</f>
        <v/>
      </c>
      <c r="J910" s="7">
        <f>IF($B910="","",I910*Q910/100)</f>
        <v/>
      </c>
      <c r="N910" s="7" t="n"/>
      <c r="O910" s="7" t="n"/>
      <c r="P910" s="7">
        <f>IF($B910="","",O910*X910/100)</f>
        <v/>
      </c>
      <c r="Q910" s="7">
        <f>IF($B910="","",O910-P910)</f>
        <v/>
      </c>
      <c r="R910" s="7">
        <f>IF($B910="","",Q910-J910)</f>
        <v/>
      </c>
      <c r="S910" s="7" t="n"/>
      <c r="T910" s="7" t="n"/>
      <c r="V910" s="14" t="n"/>
      <c r="Z910">
        <f>IF($B910="","",IF(COUNTIF($B$2:$B910,$B910)=1,1,0))</f>
        <v/>
      </c>
      <c r="AA910">
        <f>IF($Z910=1,SUMPRODUCT(--($AC$2:$AC$3001&lt;$AC910))+1,"")</f>
        <v/>
      </c>
      <c r="AB910">
        <f>IF($B910="","",IF(OR($Y910=TRUE(),$Y910="TRUE"),1,IF(AND($Y910&lt;&gt;"",OR($Y910=FALSE(),$Y910="FALSE")),0,IF(MIN(ABS($X910/100-Settings!$C$6),ABS($X910/100-Settings!$G$6))&lt;=MIN(ABS($X910/100-Settings!$C$7),ABS($X910/100-Settings!$G$7)),1,0))))</f>
        <v/>
      </c>
      <c r="AC910">
        <f>IF($Z910=1,IFERROR(IF(VALUE($B910)&lt;100000000,VALUE($B910),1000000000),IFERROR(IF(VALUE(MID($B910,2,20))&lt;100000000,VALUE(MID($B910,2,20)),1000000000),1000000000))+ROW()/100000,"")</f>
        <v/>
      </c>
    </row>
    <row r="911">
      <c r="A911">
        <f>IF($B911="","",IFERROR(IF(INDEX('Per Invoice'!$A$2:$A$801,MATCH($B911,'Per Invoice'!$B$2:$B$801,0))=0,"",INDEX('Per Invoice'!$A$2:$A$801,MATCH($B911,'Per Invoice'!$B$2:$B$801,0))),""))</f>
        <v/>
      </c>
      <c r="J911" s="7">
        <f>IF($B911="","",I911*Q911/100)</f>
        <v/>
      </c>
      <c r="N911" s="7" t="n"/>
      <c r="O911" s="7" t="n"/>
      <c r="P911" s="7">
        <f>IF($B911="","",O911*X911/100)</f>
        <v/>
      </c>
      <c r="Q911" s="7">
        <f>IF($B911="","",O911-P911)</f>
        <v/>
      </c>
      <c r="R911" s="7">
        <f>IF($B911="","",Q911-J911)</f>
        <v/>
      </c>
      <c r="S911" s="7" t="n"/>
      <c r="T911" s="7" t="n"/>
      <c r="V911" s="14" t="n"/>
      <c r="Z911">
        <f>IF($B911="","",IF(COUNTIF($B$2:$B911,$B911)=1,1,0))</f>
        <v/>
      </c>
      <c r="AA911">
        <f>IF($Z911=1,SUMPRODUCT(--($AC$2:$AC$3001&lt;$AC911))+1,"")</f>
        <v/>
      </c>
      <c r="AB911">
        <f>IF($B911="","",IF(OR($Y911=TRUE(),$Y911="TRUE"),1,IF(AND($Y911&lt;&gt;"",OR($Y911=FALSE(),$Y911="FALSE")),0,IF(MIN(ABS($X911/100-Settings!$C$6),ABS($X911/100-Settings!$G$6))&lt;=MIN(ABS($X911/100-Settings!$C$7),ABS($X911/100-Settings!$G$7)),1,0))))</f>
        <v/>
      </c>
      <c r="AC911">
        <f>IF($Z911=1,IFERROR(IF(VALUE($B911)&lt;100000000,VALUE($B911),1000000000),IFERROR(IF(VALUE(MID($B911,2,20))&lt;100000000,VALUE(MID($B911,2,20)),1000000000),1000000000))+ROW()/100000,"")</f>
        <v/>
      </c>
    </row>
    <row r="912">
      <c r="A912">
        <f>IF($B912="","",IFERROR(IF(INDEX('Per Invoice'!$A$2:$A$801,MATCH($B912,'Per Invoice'!$B$2:$B$801,0))=0,"",INDEX('Per Invoice'!$A$2:$A$801,MATCH($B912,'Per Invoice'!$B$2:$B$801,0))),""))</f>
        <v/>
      </c>
      <c r="J912" s="7">
        <f>IF($B912="","",I912*Q912/100)</f>
        <v/>
      </c>
      <c r="N912" s="7" t="n"/>
      <c r="O912" s="7" t="n"/>
      <c r="P912" s="7">
        <f>IF($B912="","",O912*X912/100)</f>
        <v/>
      </c>
      <c r="Q912" s="7">
        <f>IF($B912="","",O912-P912)</f>
        <v/>
      </c>
      <c r="R912" s="7">
        <f>IF($B912="","",Q912-J912)</f>
        <v/>
      </c>
      <c r="S912" s="7" t="n"/>
      <c r="T912" s="7" t="n"/>
      <c r="V912" s="14" t="n"/>
      <c r="Z912">
        <f>IF($B912="","",IF(COUNTIF($B$2:$B912,$B912)=1,1,0))</f>
        <v/>
      </c>
      <c r="AA912">
        <f>IF($Z912=1,SUMPRODUCT(--($AC$2:$AC$3001&lt;$AC912))+1,"")</f>
        <v/>
      </c>
      <c r="AB912">
        <f>IF($B912="","",IF(OR($Y912=TRUE(),$Y912="TRUE"),1,IF(AND($Y912&lt;&gt;"",OR($Y912=FALSE(),$Y912="FALSE")),0,IF(MIN(ABS($X912/100-Settings!$C$6),ABS($X912/100-Settings!$G$6))&lt;=MIN(ABS($X912/100-Settings!$C$7),ABS($X912/100-Settings!$G$7)),1,0))))</f>
        <v/>
      </c>
      <c r="AC912">
        <f>IF($Z912=1,IFERROR(IF(VALUE($B912)&lt;100000000,VALUE($B912),1000000000),IFERROR(IF(VALUE(MID($B912,2,20))&lt;100000000,VALUE(MID($B912,2,20)),1000000000),1000000000))+ROW()/100000,"")</f>
        <v/>
      </c>
    </row>
    <row r="913">
      <c r="A913">
        <f>IF($B913="","",IFERROR(IF(INDEX('Per Invoice'!$A$2:$A$801,MATCH($B913,'Per Invoice'!$B$2:$B$801,0))=0,"",INDEX('Per Invoice'!$A$2:$A$801,MATCH($B913,'Per Invoice'!$B$2:$B$801,0))),""))</f>
        <v/>
      </c>
      <c r="J913" s="7">
        <f>IF($B913="","",I913*Q913/100)</f>
        <v/>
      </c>
      <c r="N913" s="7" t="n"/>
      <c r="O913" s="7" t="n"/>
      <c r="P913" s="7">
        <f>IF($B913="","",O913*X913/100)</f>
        <v/>
      </c>
      <c r="Q913" s="7">
        <f>IF($B913="","",O913-P913)</f>
        <v/>
      </c>
      <c r="R913" s="7">
        <f>IF($B913="","",Q913-J913)</f>
        <v/>
      </c>
      <c r="S913" s="7" t="n"/>
      <c r="T913" s="7" t="n"/>
      <c r="V913" s="14" t="n"/>
      <c r="Z913">
        <f>IF($B913="","",IF(COUNTIF($B$2:$B913,$B913)=1,1,0))</f>
        <v/>
      </c>
      <c r="AA913">
        <f>IF($Z913=1,SUMPRODUCT(--($AC$2:$AC$3001&lt;$AC913))+1,"")</f>
        <v/>
      </c>
      <c r="AB913">
        <f>IF($B913="","",IF(OR($Y913=TRUE(),$Y913="TRUE"),1,IF(AND($Y913&lt;&gt;"",OR($Y913=FALSE(),$Y913="FALSE")),0,IF(MIN(ABS($X913/100-Settings!$C$6),ABS($X913/100-Settings!$G$6))&lt;=MIN(ABS($X913/100-Settings!$C$7),ABS($X913/100-Settings!$G$7)),1,0))))</f>
        <v/>
      </c>
      <c r="AC913">
        <f>IF($Z913=1,IFERROR(IF(VALUE($B913)&lt;100000000,VALUE($B913),1000000000),IFERROR(IF(VALUE(MID($B913,2,20))&lt;100000000,VALUE(MID($B913,2,20)),1000000000),1000000000))+ROW()/100000,"")</f>
        <v/>
      </c>
    </row>
    <row r="914">
      <c r="A914">
        <f>IF($B914="","",IFERROR(IF(INDEX('Per Invoice'!$A$2:$A$801,MATCH($B914,'Per Invoice'!$B$2:$B$801,0))=0,"",INDEX('Per Invoice'!$A$2:$A$801,MATCH($B914,'Per Invoice'!$B$2:$B$801,0))),""))</f>
        <v/>
      </c>
      <c r="J914" s="7">
        <f>IF($B914="","",I914*Q914/100)</f>
        <v/>
      </c>
      <c r="N914" s="7" t="n"/>
      <c r="O914" s="7" t="n"/>
      <c r="P914" s="7">
        <f>IF($B914="","",O914*X914/100)</f>
        <v/>
      </c>
      <c r="Q914" s="7">
        <f>IF($B914="","",O914-P914)</f>
        <v/>
      </c>
      <c r="R914" s="7">
        <f>IF($B914="","",Q914-J914)</f>
        <v/>
      </c>
      <c r="S914" s="7" t="n"/>
      <c r="T914" s="7" t="n"/>
      <c r="V914" s="14" t="n"/>
      <c r="Z914">
        <f>IF($B914="","",IF(COUNTIF($B$2:$B914,$B914)=1,1,0))</f>
        <v/>
      </c>
      <c r="AA914">
        <f>IF($Z914=1,SUMPRODUCT(--($AC$2:$AC$3001&lt;$AC914))+1,"")</f>
        <v/>
      </c>
      <c r="AB914">
        <f>IF($B914="","",IF(OR($Y914=TRUE(),$Y914="TRUE"),1,IF(AND($Y914&lt;&gt;"",OR($Y914=FALSE(),$Y914="FALSE")),0,IF(MIN(ABS($X914/100-Settings!$C$6),ABS($X914/100-Settings!$G$6))&lt;=MIN(ABS($X914/100-Settings!$C$7),ABS($X914/100-Settings!$G$7)),1,0))))</f>
        <v/>
      </c>
      <c r="AC914">
        <f>IF($Z914=1,IFERROR(IF(VALUE($B914)&lt;100000000,VALUE($B914),1000000000),IFERROR(IF(VALUE(MID($B914,2,20))&lt;100000000,VALUE(MID($B914,2,20)),1000000000),1000000000))+ROW()/100000,"")</f>
        <v/>
      </c>
    </row>
    <row r="915">
      <c r="A915">
        <f>IF($B915="","",IFERROR(IF(INDEX('Per Invoice'!$A$2:$A$801,MATCH($B915,'Per Invoice'!$B$2:$B$801,0))=0,"",INDEX('Per Invoice'!$A$2:$A$801,MATCH($B915,'Per Invoice'!$B$2:$B$801,0))),""))</f>
        <v/>
      </c>
      <c r="J915" s="7">
        <f>IF($B915="","",I915*Q915/100)</f>
        <v/>
      </c>
      <c r="N915" s="7" t="n"/>
      <c r="O915" s="7" t="n"/>
      <c r="P915" s="7">
        <f>IF($B915="","",O915*X915/100)</f>
        <v/>
      </c>
      <c r="Q915" s="7">
        <f>IF($B915="","",O915-P915)</f>
        <v/>
      </c>
      <c r="R915" s="7">
        <f>IF($B915="","",Q915-J915)</f>
        <v/>
      </c>
      <c r="S915" s="7" t="n"/>
      <c r="T915" s="7" t="n"/>
      <c r="V915" s="14" t="n"/>
      <c r="Z915">
        <f>IF($B915="","",IF(COUNTIF($B$2:$B915,$B915)=1,1,0))</f>
        <v/>
      </c>
      <c r="AA915">
        <f>IF($Z915=1,SUMPRODUCT(--($AC$2:$AC$3001&lt;$AC915))+1,"")</f>
        <v/>
      </c>
      <c r="AB915">
        <f>IF($B915="","",IF(OR($Y915=TRUE(),$Y915="TRUE"),1,IF(AND($Y915&lt;&gt;"",OR($Y915=FALSE(),$Y915="FALSE")),0,IF(MIN(ABS($X915/100-Settings!$C$6),ABS($X915/100-Settings!$G$6))&lt;=MIN(ABS($X915/100-Settings!$C$7),ABS($X915/100-Settings!$G$7)),1,0))))</f>
        <v/>
      </c>
      <c r="AC915">
        <f>IF($Z915=1,IFERROR(IF(VALUE($B915)&lt;100000000,VALUE($B915),1000000000),IFERROR(IF(VALUE(MID($B915,2,20))&lt;100000000,VALUE(MID($B915,2,20)),1000000000),1000000000))+ROW()/100000,"")</f>
        <v/>
      </c>
    </row>
    <row r="916">
      <c r="A916">
        <f>IF($B916="","",IFERROR(IF(INDEX('Per Invoice'!$A$2:$A$801,MATCH($B916,'Per Invoice'!$B$2:$B$801,0))=0,"",INDEX('Per Invoice'!$A$2:$A$801,MATCH($B916,'Per Invoice'!$B$2:$B$801,0))),""))</f>
        <v/>
      </c>
      <c r="J916" s="7">
        <f>IF($B916="","",I916*Q916/100)</f>
        <v/>
      </c>
      <c r="N916" s="7" t="n"/>
      <c r="O916" s="7" t="n"/>
      <c r="P916" s="7">
        <f>IF($B916="","",O916*X916/100)</f>
        <v/>
      </c>
      <c r="Q916" s="7">
        <f>IF($B916="","",O916-P916)</f>
        <v/>
      </c>
      <c r="R916" s="7">
        <f>IF($B916="","",Q916-J916)</f>
        <v/>
      </c>
      <c r="S916" s="7" t="n"/>
      <c r="T916" s="7" t="n"/>
      <c r="V916" s="14" t="n"/>
      <c r="Z916">
        <f>IF($B916="","",IF(COUNTIF($B$2:$B916,$B916)=1,1,0))</f>
        <v/>
      </c>
      <c r="AA916">
        <f>IF($Z916=1,SUMPRODUCT(--($AC$2:$AC$3001&lt;$AC916))+1,"")</f>
        <v/>
      </c>
      <c r="AB916">
        <f>IF($B916="","",IF(OR($Y916=TRUE(),$Y916="TRUE"),1,IF(AND($Y916&lt;&gt;"",OR($Y916=FALSE(),$Y916="FALSE")),0,IF(MIN(ABS($X916/100-Settings!$C$6),ABS($X916/100-Settings!$G$6))&lt;=MIN(ABS($X916/100-Settings!$C$7),ABS($X916/100-Settings!$G$7)),1,0))))</f>
        <v/>
      </c>
      <c r="AC916">
        <f>IF($Z916=1,IFERROR(IF(VALUE($B916)&lt;100000000,VALUE($B916),1000000000),IFERROR(IF(VALUE(MID($B916,2,20))&lt;100000000,VALUE(MID($B916,2,20)),1000000000),1000000000))+ROW()/100000,"")</f>
        <v/>
      </c>
    </row>
    <row r="917">
      <c r="A917">
        <f>IF($B917="","",IFERROR(IF(INDEX('Per Invoice'!$A$2:$A$801,MATCH($B917,'Per Invoice'!$B$2:$B$801,0))=0,"",INDEX('Per Invoice'!$A$2:$A$801,MATCH($B917,'Per Invoice'!$B$2:$B$801,0))),""))</f>
        <v/>
      </c>
      <c r="J917" s="7">
        <f>IF($B917="","",I917*Q917/100)</f>
        <v/>
      </c>
      <c r="N917" s="7" t="n"/>
      <c r="O917" s="7" t="n"/>
      <c r="P917" s="7">
        <f>IF($B917="","",O917*X917/100)</f>
        <v/>
      </c>
      <c r="Q917" s="7">
        <f>IF($B917="","",O917-P917)</f>
        <v/>
      </c>
      <c r="R917" s="7">
        <f>IF($B917="","",Q917-J917)</f>
        <v/>
      </c>
      <c r="S917" s="7" t="n"/>
      <c r="T917" s="7" t="n"/>
      <c r="V917" s="14" t="n"/>
      <c r="Z917">
        <f>IF($B917="","",IF(COUNTIF($B$2:$B917,$B917)=1,1,0))</f>
        <v/>
      </c>
      <c r="AA917">
        <f>IF($Z917=1,SUMPRODUCT(--($AC$2:$AC$3001&lt;$AC917))+1,"")</f>
        <v/>
      </c>
      <c r="AB917">
        <f>IF($B917="","",IF(OR($Y917=TRUE(),$Y917="TRUE"),1,IF(AND($Y917&lt;&gt;"",OR($Y917=FALSE(),$Y917="FALSE")),0,IF(MIN(ABS($X917/100-Settings!$C$6),ABS($X917/100-Settings!$G$6))&lt;=MIN(ABS($X917/100-Settings!$C$7),ABS($X917/100-Settings!$G$7)),1,0))))</f>
        <v/>
      </c>
      <c r="AC917">
        <f>IF($Z917=1,IFERROR(IF(VALUE($B917)&lt;100000000,VALUE($B917),1000000000),IFERROR(IF(VALUE(MID($B917,2,20))&lt;100000000,VALUE(MID($B917,2,20)),1000000000),1000000000))+ROW()/100000,"")</f>
        <v/>
      </c>
    </row>
    <row r="918">
      <c r="A918">
        <f>IF($B918="","",IFERROR(IF(INDEX('Per Invoice'!$A$2:$A$801,MATCH($B918,'Per Invoice'!$B$2:$B$801,0))=0,"",INDEX('Per Invoice'!$A$2:$A$801,MATCH($B918,'Per Invoice'!$B$2:$B$801,0))),""))</f>
        <v/>
      </c>
      <c r="J918" s="7">
        <f>IF($B918="","",I918*Q918/100)</f>
        <v/>
      </c>
      <c r="N918" s="7" t="n"/>
      <c r="O918" s="7" t="n"/>
      <c r="P918" s="7">
        <f>IF($B918="","",O918*X918/100)</f>
        <v/>
      </c>
      <c r="Q918" s="7">
        <f>IF($B918="","",O918-P918)</f>
        <v/>
      </c>
      <c r="R918" s="7">
        <f>IF($B918="","",Q918-J918)</f>
        <v/>
      </c>
      <c r="S918" s="7" t="n"/>
      <c r="T918" s="7" t="n"/>
      <c r="V918" s="14" t="n"/>
      <c r="Z918">
        <f>IF($B918="","",IF(COUNTIF($B$2:$B918,$B918)=1,1,0))</f>
        <v/>
      </c>
      <c r="AA918">
        <f>IF($Z918=1,SUMPRODUCT(--($AC$2:$AC$3001&lt;$AC918))+1,"")</f>
        <v/>
      </c>
      <c r="AB918">
        <f>IF($B918="","",IF(OR($Y918=TRUE(),$Y918="TRUE"),1,IF(AND($Y918&lt;&gt;"",OR($Y918=FALSE(),$Y918="FALSE")),0,IF(MIN(ABS($X918/100-Settings!$C$6),ABS($X918/100-Settings!$G$6))&lt;=MIN(ABS($X918/100-Settings!$C$7),ABS($X918/100-Settings!$G$7)),1,0))))</f>
        <v/>
      </c>
      <c r="AC918">
        <f>IF($Z918=1,IFERROR(IF(VALUE($B918)&lt;100000000,VALUE($B918),1000000000),IFERROR(IF(VALUE(MID($B918,2,20))&lt;100000000,VALUE(MID($B918,2,20)),1000000000),1000000000))+ROW()/100000,"")</f>
        <v/>
      </c>
    </row>
    <row r="919">
      <c r="A919">
        <f>IF($B919="","",IFERROR(IF(INDEX('Per Invoice'!$A$2:$A$801,MATCH($B919,'Per Invoice'!$B$2:$B$801,0))=0,"",INDEX('Per Invoice'!$A$2:$A$801,MATCH($B919,'Per Invoice'!$B$2:$B$801,0))),""))</f>
        <v/>
      </c>
      <c r="J919" s="7">
        <f>IF($B919="","",I919*Q919/100)</f>
        <v/>
      </c>
      <c r="N919" s="7" t="n"/>
      <c r="O919" s="7" t="n"/>
      <c r="P919" s="7">
        <f>IF($B919="","",O919*X919/100)</f>
        <v/>
      </c>
      <c r="Q919" s="7">
        <f>IF($B919="","",O919-P919)</f>
        <v/>
      </c>
      <c r="R919" s="7">
        <f>IF($B919="","",Q919-J919)</f>
        <v/>
      </c>
      <c r="S919" s="7" t="n"/>
      <c r="T919" s="7" t="n"/>
      <c r="V919" s="14" t="n"/>
      <c r="Z919">
        <f>IF($B919="","",IF(COUNTIF($B$2:$B919,$B919)=1,1,0))</f>
        <v/>
      </c>
      <c r="AA919">
        <f>IF($Z919=1,SUMPRODUCT(--($AC$2:$AC$3001&lt;$AC919))+1,"")</f>
        <v/>
      </c>
      <c r="AB919">
        <f>IF($B919="","",IF(OR($Y919=TRUE(),$Y919="TRUE"),1,IF(AND($Y919&lt;&gt;"",OR($Y919=FALSE(),$Y919="FALSE")),0,IF(MIN(ABS($X919/100-Settings!$C$6),ABS($X919/100-Settings!$G$6))&lt;=MIN(ABS($X919/100-Settings!$C$7),ABS($X919/100-Settings!$G$7)),1,0))))</f>
        <v/>
      </c>
      <c r="AC919">
        <f>IF($Z919=1,IFERROR(IF(VALUE($B919)&lt;100000000,VALUE($B919),1000000000),IFERROR(IF(VALUE(MID($B919,2,20))&lt;100000000,VALUE(MID($B919,2,20)),1000000000),1000000000))+ROW()/100000,"")</f>
        <v/>
      </c>
    </row>
    <row r="920">
      <c r="A920">
        <f>IF($B920="","",IFERROR(IF(INDEX('Per Invoice'!$A$2:$A$801,MATCH($B920,'Per Invoice'!$B$2:$B$801,0))=0,"",INDEX('Per Invoice'!$A$2:$A$801,MATCH($B920,'Per Invoice'!$B$2:$B$801,0))),""))</f>
        <v/>
      </c>
      <c r="J920" s="7">
        <f>IF($B920="","",I920*Q920/100)</f>
        <v/>
      </c>
      <c r="N920" s="7" t="n"/>
      <c r="O920" s="7" t="n"/>
      <c r="P920" s="7">
        <f>IF($B920="","",O920*X920/100)</f>
        <v/>
      </c>
      <c r="Q920" s="7">
        <f>IF($B920="","",O920-P920)</f>
        <v/>
      </c>
      <c r="R920" s="7">
        <f>IF($B920="","",Q920-J920)</f>
        <v/>
      </c>
      <c r="S920" s="7" t="n"/>
      <c r="T920" s="7" t="n"/>
      <c r="V920" s="14" t="n"/>
      <c r="Z920">
        <f>IF($B920="","",IF(COUNTIF($B$2:$B920,$B920)=1,1,0))</f>
        <v/>
      </c>
      <c r="AA920">
        <f>IF($Z920=1,SUMPRODUCT(--($AC$2:$AC$3001&lt;$AC920))+1,"")</f>
        <v/>
      </c>
      <c r="AB920">
        <f>IF($B920="","",IF(OR($Y920=TRUE(),$Y920="TRUE"),1,IF(AND($Y920&lt;&gt;"",OR($Y920=FALSE(),$Y920="FALSE")),0,IF(MIN(ABS($X920/100-Settings!$C$6),ABS($X920/100-Settings!$G$6))&lt;=MIN(ABS($X920/100-Settings!$C$7),ABS($X920/100-Settings!$G$7)),1,0))))</f>
        <v/>
      </c>
      <c r="AC920">
        <f>IF($Z920=1,IFERROR(IF(VALUE($B920)&lt;100000000,VALUE($B920),1000000000),IFERROR(IF(VALUE(MID($B920,2,20))&lt;100000000,VALUE(MID($B920,2,20)),1000000000),1000000000))+ROW()/100000,"")</f>
        <v/>
      </c>
    </row>
    <row r="921">
      <c r="A921">
        <f>IF($B921="","",IFERROR(IF(INDEX('Per Invoice'!$A$2:$A$801,MATCH($B921,'Per Invoice'!$B$2:$B$801,0))=0,"",INDEX('Per Invoice'!$A$2:$A$801,MATCH($B921,'Per Invoice'!$B$2:$B$801,0))),""))</f>
        <v/>
      </c>
      <c r="J921" s="7">
        <f>IF($B921="","",I921*Q921/100)</f>
        <v/>
      </c>
      <c r="N921" s="7" t="n"/>
      <c r="O921" s="7" t="n"/>
      <c r="P921" s="7">
        <f>IF($B921="","",O921*X921/100)</f>
        <v/>
      </c>
      <c r="Q921" s="7">
        <f>IF($B921="","",O921-P921)</f>
        <v/>
      </c>
      <c r="R921" s="7">
        <f>IF($B921="","",Q921-J921)</f>
        <v/>
      </c>
      <c r="S921" s="7" t="n"/>
      <c r="T921" s="7" t="n"/>
      <c r="V921" s="14" t="n"/>
      <c r="Z921">
        <f>IF($B921="","",IF(COUNTIF($B$2:$B921,$B921)=1,1,0))</f>
        <v/>
      </c>
      <c r="AA921">
        <f>IF($Z921=1,SUMPRODUCT(--($AC$2:$AC$3001&lt;$AC921))+1,"")</f>
        <v/>
      </c>
      <c r="AB921">
        <f>IF($B921="","",IF(OR($Y921=TRUE(),$Y921="TRUE"),1,IF(AND($Y921&lt;&gt;"",OR($Y921=FALSE(),$Y921="FALSE")),0,IF(MIN(ABS($X921/100-Settings!$C$6),ABS($X921/100-Settings!$G$6))&lt;=MIN(ABS($X921/100-Settings!$C$7),ABS($X921/100-Settings!$G$7)),1,0))))</f>
        <v/>
      </c>
      <c r="AC921">
        <f>IF($Z921=1,IFERROR(IF(VALUE($B921)&lt;100000000,VALUE($B921),1000000000),IFERROR(IF(VALUE(MID($B921,2,20))&lt;100000000,VALUE(MID($B921,2,20)),1000000000),1000000000))+ROW()/100000,"")</f>
        <v/>
      </c>
    </row>
    <row r="922">
      <c r="A922">
        <f>IF($B922="","",IFERROR(IF(INDEX('Per Invoice'!$A$2:$A$801,MATCH($B922,'Per Invoice'!$B$2:$B$801,0))=0,"",INDEX('Per Invoice'!$A$2:$A$801,MATCH($B922,'Per Invoice'!$B$2:$B$801,0))),""))</f>
        <v/>
      </c>
      <c r="J922" s="7">
        <f>IF($B922="","",I922*Q922/100)</f>
        <v/>
      </c>
      <c r="N922" s="7" t="n"/>
      <c r="O922" s="7" t="n"/>
      <c r="P922" s="7">
        <f>IF($B922="","",O922*X922/100)</f>
        <v/>
      </c>
      <c r="Q922" s="7">
        <f>IF($B922="","",O922-P922)</f>
        <v/>
      </c>
      <c r="R922" s="7">
        <f>IF($B922="","",Q922-J922)</f>
        <v/>
      </c>
      <c r="S922" s="7" t="n"/>
      <c r="T922" s="7" t="n"/>
      <c r="V922" s="14" t="n"/>
      <c r="Z922">
        <f>IF($B922="","",IF(COUNTIF($B$2:$B922,$B922)=1,1,0))</f>
        <v/>
      </c>
      <c r="AA922">
        <f>IF($Z922=1,SUMPRODUCT(--($AC$2:$AC$3001&lt;$AC922))+1,"")</f>
        <v/>
      </c>
      <c r="AB922">
        <f>IF($B922="","",IF(OR($Y922=TRUE(),$Y922="TRUE"),1,IF(AND($Y922&lt;&gt;"",OR($Y922=FALSE(),$Y922="FALSE")),0,IF(MIN(ABS($X922/100-Settings!$C$6),ABS($X922/100-Settings!$G$6))&lt;=MIN(ABS($X922/100-Settings!$C$7),ABS($X922/100-Settings!$G$7)),1,0))))</f>
        <v/>
      </c>
      <c r="AC922">
        <f>IF($Z922=1,IFERROR(IF(VALUE($B922)&lt;100000000,VALUE($B922),1000000000),IFERROR(IF(VALUE(MID($B922,2,20))&lt;100000000,VALUE(MID($B922,2,20)),1000000000),1000000000))+ROW()/100000,"")</f>
        <v/>
      </c>
    </row>
    <row r="923">
      <c r="A923">
        <f>IF($B923="","",IFERROR(IF(INDEX('Per Invoice'!$A$2:$A$801,MATCH($B923,'Per Invoice'!$B$2:$B$801,0))=0,"",INDEX('Per Invoice'!$A$2:$A$801,MATCH($B923,'Per Invoice'!$B$2:$B$801,0))),""))</f>
        <v/>
      </c>
      <c r="J923" s="7">
        <f>IF($B923="","",I923*Q923/100)</f>
        <v/>
      </c>
      <c r="N923" s="7" t="n"/>
      <c r="O923" s="7" t="n"/>
      <c r="P923" s="7">
        <f>IF($B923="","",O923*X923/100)</f>
        <v/>
      </c>
      <c r="Q923" s="7">
        <f>IF($B923="","",O923-P923)</f>
        <v/>
      </c>
      <c r="R923" s="7">
        <f>IF($B923="","",Q923-J923)</f>
        <v/>
      </c>
      <c r="S923" s="7" t="n"/>
      <c r="T923" s="7" t="n"/>
      <c r="V923" s="14" t="n"/>
      <c r="Z923">
        <f>IF($B923="","",IF(COUNTIF($B$2:$B923,$B923)=1,1,0))</f>
        <v/>
      </c>
      <c r="AA923">
        <f>IF($Z923=1,SUMPRODUCT(--($AC$2:$AC$3001&lt;$AC923))+1,"")</f>
        <v/>
      </c>
      <c r="AB923">
        <f>IF($B923="","",IF(OR($Y923=TRUE(),$Y923="TRUE"),1,IF(AND($Y923&lt;&gt;"",OR($Y923=FALSE(),$Y923="FALSE")),0,IF(MIN(ABS($X923/100-Settings!$C$6),ABS($X923/100-Settings!$G$6))&lt;=MIN(ABS($X923/100-Settings!$C$7),ABS($X923/100-Settings!$G$7)),1,0))))</f>
        <v/>
      </c>
      <c r="AC923">
        <f>IF($Z923=1,IFERROR(IF(VALUE($B923)&lt;100000000,VALUE($B923),1000000000),IFERROR(IF(VALUE(MID($B923,2,20))&lt;100000000,VALUE(MID($B923,2,20)),1000000000),1000000000))+ROW()/100000,"")</f>
        <v/>
      </c>
    </row>
    <row r="924">
      <c r="A924">
        <f>IF($B924="","",IFERROR(IF(INDEX('Per Invoice'!$A$2:$A$801,MATCH($B924,'Per Invoice'!$B$2:$B$801,0))=0,"",INDEX('Per Invoice'!$A$2:$A$801,MATCH($B924,'Per Invoice'!$B$2:$B$801,0))),""))</f>
        <v/>
      </c>
      <c r="J924" s="7">
        <f>IF($B924="","",I924*Q924/100)</f>
        <v/>
      </c>
      <c r="N924" s="7" t="n"/>
      <c r="O924" s="7" t="n"/>
      <c r="P924" s="7">
        <f>IF($B924="","",O924*X924/100)</f>
        <v/>
      </c>
      <c r="Q924" s="7">
        <f>IF($B924="","",O924-P924)</f>
        <v/>
      </c>
      <c r="R924" s="7">
        <f>IF($B924="","",Q924-J924)</f>
        <v/>
      </c>
      <c r="S924" s="7" t="n"/>
      <c r="T924" s="7" t="n"/>
      <c r="V924" s="14" t="n"/>
      <c r="Z924">
        <f>IF($B924="","",IF(COUNTIF($B$2:$B924,$B924)=1,1,0))</f>
        <v/>
      </c>
      <c r="AA924">
        <f>IF($Z924=1,SUMPRODUCT(--($AC$2:$AC$3001&lt;$AC924))+1,"")</f>
        <v/>
      </c>
      <c r="AB924">
        <f>IF($B924="","",IF(OR($Y924=TRUE(),$Y924="TRUE"),1,IF(AND($Y924&lt;&gt;"",OR($Y924=FALSE(),$Y924="FALSE")),0,IF(MIN(ABS($X924/100-Settings!$C$6),ABS($X924/100-Settings!$G$6))&lt;=MIN(ABS($X924/100-Settings!$C$7),ABS($X924/100-Settings!$G$7)),1,0))))</f>
        <v/>
      </c>
      <c r="AC924">
        <f>IF($Z924=1,IFERROR(IF(VALUE($B924)&lt;100000000,VALUE($B924),1000000000),IFERROR(IF(VALUE(MID($B924,2,20))&lt;100000000,VALUE(MID($B924,2,20)),1000000000),1000000000))+ROW()/100000,"")</f>
        <v/>
      </c>
    </row>
    <row r="925">
      <c r="A925">
        <f>IF($B925="","",IFERROR(IF(INDEX('Per Invoice'!$A$2:$A$801,MATCH($B925,'Per Invoice'!$B$2:$B$801,0))=0,"",INDEX('Per Invoice'!$A$2:$A$801,MATCH($B925,'Per Invoice'!$B$2:$B$801,0))),""))</f>
        <v/>
      </c>
      <c r="J925" s="7">
        <f>IF($B925="","",I925*Q925/100)</f>
        <v/>
      </c>
      <c r="N925" s="7" t="n"/>
      <c r="O925" s="7" t="n"/>
      <c r="P925" s="7">
        <f>IF($B925="","",O925*X925/100)</f>
        <v/>
      </c>
      <c r="Q925" s="7">
        <f>IF($B925="","",O925-P925)</f>
        <v/>
      </c>
      <c r="R925" s="7">
        <f>IF($B925="","",Q925-J925)</f>
        <v/>
      </c>
      <c r="S925" s="7" t="n"/>
      <c r="T925" s="7" t="n"/>
      <c r="V925" s="14" t="n"/>
      <c r="Z925">
        <f>IF($B925="","",IF(COUNTIF($B$2:$B925,$B925)=1,1,0))</f>
        <v/>
      </c>
      <c r="AA925">
        <f>IF($Z925=1,SUMPRODUCT(--($AC$2:$AC$3001&lt;$AC925))+1,"")</f>
        <v/>
      </c>
      <c r="AB925">
        <f>IF($B925="","",IF(OR($Y925=TRUE(),$Y925="TRUE"),1,IF(AND($Y925&lt;&gt;"",OR($Y925=FALSE(),$Y925="FALSE")),0,IF(MIN(ABS($X925/100-Settings!$C$6),ABS($X925/100-Settings!$G$6))&lt;=MIN(ABS($X925/100-Settings!$C$7),ABS($X925/100-Settings!$G$7)),1,0))))</f>
        <v/>
      </c>
      <c r="AC925">
        <f>IF($Z925=1,IFERROR(IF(VALUE($B925)&lt;100000000,VALUE($B925),1000000000),IFERROR(IF(VALUE(MID($B925,2,20))&lt;100000000,VALUE(MID($B925,2,20)),1000000000),1000000000))+ROW()/100000,"")</f>
        <v/>
      </c>
    </row>
    <row r="926">
      <c r="A926">
        <f>IF($B926="","",IFERROR(IF(INDEX('Per Invoice'!$A$2:$A$801,MATCH($B926,'Per Invoice'!$B$2:$B$801,0))=0,"",INDEX('Per Invoice'!$A$2:$A$801,MATCH($B926,'Per Invoice'!$B$2:$B$801,0))),""))</f>
        <v/>
      </c>
      <c r="J926" s="7">
        <f>IF($B926="","",I926*Q926/100)</f>
        <v/>
      </c>
      <c r="N926" s="7" t="n"/>
      <c r="O926" s="7" t="n"/>
      <c r="P926" s="7">
        <f>IF($B926="","",O926*X926/100)</f>
        <v/>
      </c>
      <c r="Q926" s="7">
        <f>IF($B926="","",O926-P926)</f>
        <v/>
      </c>
      <c r="R926" s="7">
        <f>IF($B926="","",Q926-J926)</f>
        <v/>
      </c>
      <c r="S926" s="7" t="n"/>
      <c r="T926" s="7" t="n"/>
      <c r="V926" s="14" t="n"/>
      <c r="Z926">
        <f>IF($B926="","",IF(COUNTIF($B$2:$B926,$B926)=1,1,0))</f>
        <v/>
      </c>
      <c r="AA926">
        <f>IF($Z926=1,SUMPRODUCT(--($AC$2:$AC$3001&lt;$AC926))+1,"")</f>
        <v/>
      </c>
      <c r="AB926">
        <f>IF($B926="","",IF(OR($Y926=TRUE(),$Y926="TRUE"),1,IF(AND($Y926&lt;&gt;"",OR($Y926=FALSE(),$Y926="FALSE")),0,IF(MIN(ABS($X926/100-Settings!$C$6),ABS($X926/100-Settings!$G$6))&lt;=MIN(ABS($X926/100-Settings!$C$7),ABS($X926/100-Settings!$G$7)),1,0))))</f>
        <v/>
      </c>
      <c r="AC926">
        <f>IF($Z926=1,IFERROR(IF(VALUE($B926)&lt;100000000,VALUE($B926),1000000000),IFERROR(IF(VALUE(MID($B926,2,20))&lt;100000000,VALUE(MID($B926,2,20)),1000000000),1000000000))+ROW()/100000,"")</f>
        <v/>
      </c>
    </row>
    <row r="927">
      <c r="A927">
        <f>IF($B927="","",IFERROR(IF(INDEX('Per Invoice'!$A$2:$A$801,MATCH($B927,'Per Invoice'!$B$2:$B$801,0))=0,"",INDEX('Per Invoice'!$A$2:$A$801,MATCH($B927,'Per Invoice'!$B$2:$B$801,0))),""))</f>
        <v/>
      </c>
      <c r="J927" s="7">
        <f>IF($B927="","",I927*Q927/100)</f>
        <v/>
      </c>
      <c r="N927" s="7" t="n"/>
      <c r="O927" s="7" t="n"/>
      <c r="P927" s="7">
        <f>IF($B927="","",O927*X927/100)</f>
        <v/>
      </c>
      <c r="Q927" s="7">
        <f>IF($B927="","",O927-P927)</f>
        <v/>
      </c>
      <c r="R927" s="7">
        <f>IF($B927="","",Q927-J927)</f>
        <v/>
      </c>
      <c r="S927" s="7" t="n"/>
      <c r="T927" s="7" t="n"/>
      <c r="V927" s="14" t="n"/>
      <c r="Z927">
        <f>IF($B927="","",IF(COUNTIF($B$2:$B927,$B927)=1,1,0))</f>
        <v/>
      </c>
      <c r="AA927">
        <f>IF($Z927=1,SUMPRODUCT(--($AC$2:$AC$3001&lt;$AC927))+1,"")</f>
        <v/>
      </c>
      <c r="AB927">
        <f>IF($B927="","",IF(OR($Y927=TRUE(),$Y927="TRUE"),1,IF(AND($Y927&lt;&gt;"",OR($Y927=FALSE(),$Y927="FALSE")),0,IF(MIN(ABS($X927/100-Settings!$C$6),ABS($X927/100-Settings!$G$6))&lt;=MIN(ABS($X927/100-Settings!$C$7),ABS($X927/100-Settings!$G$7)),1,0))))</f>
        <v/>
      </c>
      <c r="AC927">
        <f>IF($Z927=1,IFERROR(IF(VALUE($B927)&lt;100000000,VALUE($B927),1000000000),IFERROR(IF(VALUE(MID($B927,2,20))&lt;100000000,VALUE(MID($B927,2,20)),1000000000),1000000000))+ROW()/100000,"")</f>
        <v/>
      </c>
    </row>
    <row r="928">
      <c r="A928">
        <f>IF($B928="","",IFERROR(IF(INDEX('Per Invoice'!$A$2:$A$801,MATCH($B928,'Per Invoice'!$B$2:$B$801,0))=0,"",INDEX('Per Invoice'!$A$2:$A$801,MATCH($B928,'Per Invoice'!$B$2:$B$801,0))),""))</f>
        <v/>
      </c>
      <c r="J928" s="7">
        <f>IF($B928="","",I928*Q928/100)</f>
        <v/>
      </c>
      <c r="N928" s="7" t="n"/>
      <c r="O928" s="7" t="n"/>
      <c r="P928" s="7">
        <f>IF($B928="","",O928*X928/100)</f>
        <v/>
      </c>
      <c r="Q928" s="7">
        <f>IF($B928="","",O928-P928)</f>
        <v/>
      </c>
      <c r="R928" s="7">
        <f>IF($B928="","",Q928-J928)</f>
        <v/>
      </c>
      <c r="S928" s="7" t="n"/>
      <c r="T928" s="7" t="n"/>
      <c r="V928" s="14" t="n"/>
      <c r="Z928">
        <f>IF($B928="","",IF(COUNTIF($B$2:$B928,$B928)=1,1,0))</f>
        <v/>
      </c>
      <c r="AA928">
        <f>IF($Z928=1,SUMPRODUCT(--($AC$2:$AC$3001&lt;$AC928))+1,"")</f>
        <v/>
      </c>
      <c r="AB928">
        <f>IF($B928="","",IF(OR($Y928=TRUE(),$Y928="TRUE"),1,IF(AND($Y928&lt;&gt;"",OR($Y928=FALSE(),$Y928="FALSE")),0,IF(MIN(ABS($X928/100-Settings!$C$6),ABS($X928/100-Settings!$G$6))&lt;=MIN(ABS($X928/100-Settings!$C$7),ABS($X928/100-Settings!$G$7)),1,0))))</f>
        <v/>
      </c>
      <c r="AC928">
        <f>IF($Z928=1,IFERROR(IF(VALUE($B928)&lt;100000000,VALUE($B928),1000000000),IFERROR(IF(VALUE(MID($B928,2,20))&lt;100000000,VALUE(MID($B928,2,20)),1000000000),1000000000))+ROW()/100000,"")</f>
        <v/>
      </c>
    </row>
    <row r="929">
      <c r="A929">
        <f>IF($B929="","",IFERROR(IF(INDEX('Per Invoice'!$A$2:$A$801,MATCH($B929,'Per Invoice'!$B$2:$B$801,0))=0,"",INDEX('Per Invoice'!$A$2:$A$801,MATCH($B929,'Per Invoice'!$B$2:$B$801,0))),""))</f>
        <v/>
      </c>
      <c r="J929" s="7">
        <f>IF($B929="","",I929*Q929/100)</f>
        <v/>
      </c>
      <c r="N929" s="7" t="n"/>
      <c r="O929" s="7" t="n"/>
      <c r="P929" s="7">
        <f>IF($B929="","",O929*X929/100)</f>
        <v/>
      </c>
      <c r="Q929" s="7">
        <f>IF($B929="","",O929-P929)</f>
        <v/>
      </c>
      <c r="R929" s="7">
        <f>IF($B929="","",Q929-J929)</f>
        <v/>
      </c>
      <c r="S929" s="7" t="n"/>
      <c r="T929" s="7" t="n"/>
      <c r="V929" s="14" t="n"/>
      <c r="Z929">
        <f>IF($B929="","",IF(COUNTIF($B$2:$B929,$B929)=1,1,0))</f>
        <v/>
      </c>
      <c r="AA929">
        <f>IF($Z929=1,SUMPRODUCT(--($AC$2:$AC$3001&lt;$AC929))+1,"")</f>
        <v/>
      </c>
      <c r="AB929">
        <f>IF($B929="","",IF(OR($Y929=TRUE(),$Y929="TRUE"),1,IF(AND($Y929&lt;&gt;"",OR($Y929=FALSE(),$Y929="FALSE")),0,IF(MIN(ABS($X929/100-Settings!$C$6),ABS($X929/100-Settings!$G$6))&lt;=MIN(ABS($X929/100-Settings!$C$7),ABS($X929/100-Settings!$G$7)),1,0))))</f>
        <v/>
      </c>
      <c r="AC929">
        <f>IF($Z929=1,IFERROR(IF(VALUE($B929)&lt;100000000,VALUE($B929),1000000000),IFERROR(IF(VALUE(MID($B929,2,20))&lt;100000000,VALUE(MID($B929,2,20)),1000000000),1000000000))+ROW()/100000,"")</f>
        <v/>
      </c>
    </row>
    <row r="930">
      <c r="A930">
        <f>IF($B930="","",IFERROR(IF(INDEX('Per Invoice'!$A$2:$A$801,MATCH($B930,'Per Invoice'!$B$2:$B$801,0))=0,"",INDEX('Per Invoice'!$A$2:$A$801,MATCH($B930,'Per Invoice'!$B$2:$B$801,0))),""))</f>
        <v/>
      </c>
      <c r="J930" s="7">
        <f>IF($B930="","",I930*Q930/100)</f>
        <v/>
      </c>
      <c r="N930" s="7" t="n"/>
      <c r="O930" s="7" t="n"/>
      <c r="P930" s="7">
        <f>IF($B930="","",O930*X930/100)</f>
        <v/>
      </c>
      <c r="Q930" s="7">
        <f>IF($B930="","",O930-P930)</f>
        <v/>
      </c>
      <c r="R930" s="7">
        <f>IF($B930="","",Q930-J930)</f>
        <v/>
      </c>
      <c r="S930" s="7" t="n"/>
      <c r="T930" s="7" t="n"/>
      <c r="V930" s="14" t="n"/>
      <c r="Z930">
        <f>IF($B930="","",IF(COUNTIF($B$2:$B930,$B930)=1,1,0))</f>
        <v/>
      </c>
      <c r="AA930">
        <f>IF($Z930=1,SUMPRODUCT(--($AC$2:$AC$3001&lt;$AC930))+1,"")</f>
        <v/>
      </c>
      <c r="AB930">
        <f>IF($B930="","",IF(OR($Y930=TRUE(),$Y930="TRUE"),1,IF(AND($Y930&lt;&gt;"",OR($Y930=FALSE(),$Y930="FALSE")),0,IF(MIN(ABS($X930/100-Settings!$C$6),ABS($X930/100-Settings!$G$6))&lt;=MIN(ABS($X930/100-Settings!$C$7),ABS($X930/100-Settings!$G$7)),1,0))))</f>
        <v/>
      </c>
      <c r="AC930">
        <f>IF($Z930=1,IFERROR(IF(VALUE($B930)&lt;100000000,VALUE($B930),1000000000),IFERROR(IF(VALUE(MID($B930,2,20))&lt;100000000,VALUE(MID($B930,2,20)),1000000000),1000000000))+ROW()/100000,"")</f>
        <v/>
      </c>
    </row>
    <row r="931">
      <c r="A931">
        <f>IF($B931="","",IFERROR(IF(INDEX('Per Invoice'!$A$2:$A$801,MATCH($B931,'Per Invoice'!$B$2:$B$801,0))=0,"",INDEX('Per Invoice'!$A$2:$A$801,MATCH($B931,'Per Invoice'!$B$2:$B$801,0))),""))</f>
        <v/>
      </c>
      <c r="J931" s="7">
        <f>IF($B931="","",I931*Q931/100)</f>
        <v/>
      </c>
      <c r="N931" s="7" t="n"/>
      <c r="O931" s="7" t="n"/>
      <c r="P931" s="7">
        <f>IF($B931="","",O931*X931/100)</f>
        <v/>
      </c>
      <c r="Q931" s="7">
        <f>IF($B931="","",O931-P931)</f>
        <v/>
      </c>
      <c r="R931" s="7">
        <f>IF($B931="","",Q931-J931)</f>
        <v/>
      </c>
      <c r="S931" s="7" t="n"/>
      <c r="T931" s="7" t="n"/>
      <c r="V931" s="14" t="n"/>
      <c r="Z931">
        <f>IF($B931="","",IF(COUNTIF($B$2:$B931,$B931)=1,1,0))</f>
        <v/>
      </c>
      <c r="AA931">
        <f>IF($Z931=1,SUMPRODUCT(--($AC$2:$AC$3001&lt;$AC931))+1,"")</f>
        <v/>
      </c>
      <c r="AB931">
        <f>IF($B931="","",IF(OR($Y931=TRUE(),$Y931="TRUE"),1,IF(AND($Y931&lt;&gt;"",OR($Y931=FALSE(),$Y931="FALSE")),0,IF(MIN(ABS($X931/100-Settings!$C$6),ABS($X931/100-Settings!$G$6))&lt;=MIN(ABS($X931/100-Settings!$C$7),ABS($X931/100-Settings!$G$7)),1,0))))</f>
        <v/>
      </c>
      <c r="AC931">
        <f>IF($Z931=1,IFERROR(IF(VALUE($B931)&lt;100000000,VALUE($B931),1000000000),IFERROR(IF(VALUE(MID($B931,2,20))&lt;100000000,VALUE(MID($B931,2,20)),1000000000),1000000000))+ROW()/100000,"")</f>
        <v/>
      </c>
    </row>
    <row r="932">
      <c r="A932">
        <f>IF($B932="","",IFERROR(IF(INDEX('Per Invoice'!$A$2:$A$801,MATCH($B932,'Per Invoice'!$B$2:$B$801,0))=0,"",INDEX('Per Invoice'!$A$2:$A$801,MATCH($B932,'Per Invoice'!$B$2:$B$801,0))),""))</f>
        <v/>
      </c>
      <c r="J932" s="7">
        <f>IF($B932="","",I932*Q932/100)</f>
        <v/>
      </c>
      <c r="N932" s="7" t="n"/>
      <c r="O932" s="7" t="n"/>
      <c r="P932" s="7">
        <f>IF($B932="","",O932*X932/100)</f>
        <v/>
      </c>
      <c r="Q932" s="7">
        <f>IF($B932="","",O932-P932)</f>
        <v/>
      </c>
      <c r="R932" s="7">
        <f>IF($B932="","",Q932-J932)</f>
        <v/>
      </c>
      <c r="S932" s="7" t="n"/>
      <c r="T932" s="7" t="n"/>
      <c r="V932" s="14" t="n"/>
      <c r="Z932">
        <f>IF($B932="","",IF(COUNTIF($B$2:$B932,$B932)=1,1,0))</f>
        <v/>
      </c>
      <c r="AA932">
        <f>IF($Z932=1,SUMPRODUCT(--($AC$2:$AC$3001&lt;$AC932))+1,"")</f>
        <v/>
      </c>
      <c r="AB932">
        <f>IF($B932="","",IF(OR($Y932=TRUE(),$Y932="TRUE"),1,IF(AND($Y932&lt;&gt;"",OR($Y932=FALSE(),$Y932="FALSE")),0,IF(MIN(ABS($X932/100-Settings!$C$6),ABS($X932/100-Settings!$G$6))&lt;=MIN(ABS($X932/100-Settings!$C$7),ABS($X932/100-Settings!$G$7)),1,0))))</f>
        <v/>
      </c>
      <c r="AC932">
        <f>IF($Z932=1,IFERROR(IF(VALUE($B932)&lt;100000000,VALUE($B932),1000000000),IFERROR(IF(VALUE(MID($B932,2,20))&lt;100000000,VALUE(MID($B932,2,20)),1000000000),1000000000))+ROW()/100000,"")</f>
        <v/>
      </c>
    </row>
    <row r="933">
      <c r="A933">
        <f>IF($B933="","",IFERROR(IF(INDEX('Per Invoice'!$A$2:$A$801,MATCH($B933,'Per Invoice'!$B$2:$B$801,0))=0,"",INDEX('Per Invoice'!$A$2:$A$801,MATCH($B933,'Per Invoice'!$B$2:$B$801,0))),""))</f>
        <v/>
      </c>
      <c r="J933" s="7">
        <f>IF($B933="","",I933*Q933/100)</f>
        <v/>
      </c>
      <c r="N933" s="7" t="n"/>
      <c r="O933" s="7" t="n"/>
      <c r="P933" s="7">
        <f>IF($B933="","",O933*X933/100)</f>
        <v/>
      </c>
      <c r="Q933" s="7">
        <f>IF($B933="","",O933-P933)</f>
        <v/>
      </c>
      <c r="R933" s="7">
        <f>IF($B933="","",Q933-J933)</f>
        <v/>
      </c>
      <c r="S933" s="7" t="n"/>
      <c r="T933" s="7" t="n"/>
      <c r="V933" s="14" t="n"/>
      <c r="Z933">
        <f>IF($B933="","",IF(COUNTIF($B$2:$B933,$B933)=1,1,0))</f>
        <v/>
      </c>
      <c r="AA933">
        <f>IF($Z933=1,SUMPRODUCT(--($AC$2:$AC$3001&lt;$AC933))+1,"")</f>
        <v/>
      </c>
      <c r="AB933">
        <f>IF($B933="","",IF(OR($Y933=TRUE(),$Y933="TRUE"),1,IF(AND($Y933&lt;&gt;"",OR($Y933=FALSE(),$Y933="FALSE")),0,IF(MIN(ABS($X933/100-Settings!$C$6),ABS($X933/100-Settings!$G$6))&lt;=MIN(ABS($X933/100-Settings!$C$7),ABS($X933/100-Settings!$G$7)),1,0))))</f>
        <v/>
      </c>
      <c r="AC933">
        <f>IF($Z933=1,IFERROR(IF(VALUE($B933)&lt;100000000,VALUE($B933),1000000000),IFERROR(IF(VALUE(MID($B933,2,20))&lt;100000000,VALUE(MID($B933,2,20)),1000000000),1000000000))+ROW()/100000,"")</f>
        <v/>
      </c>
    </row>
    <row r="934">
      <c r="A934">
        <f>IF($B934="","",IFERROR(IF(INDEX('Per Invoice'!$A$2:$A$801,MATCH($B934,'Per Invoice'!$B$2:$B$801,0))=0,"",INDEX('Per Invoice'!$A$2:$A$801,MATCH($B934,'Per Invoice'!$B$2:$B$801,0))),""))</f>
        <v/>
      </c>
      <c r="J934" s="7">
        <f>IF($B934="","",I934*Q934/100)</f>
        <v/>
      </c>
      <c r="N934" s="7" t="n"/>
      <c r="O934" s="7" t="n"/>
      <c r="P934" s="7">
        <f>IF($B934="","",O934*X934/100)</f>
        <v/>
      </c>
      <c r="Q934" s="7">
        <f>IF($B934="","",O934-P934)</f>
        <v/>
      </c>
      <c r="R934" s="7">
        <f>IF($B934="","",Q934-J934)</f>
        <v/>
      </c>
      <c r="S934" s="7" t="n"/>
      <c r="T934" s="7" t="n"/>
      <c r="V934" s="14" t="n"/>
      <c r="Z934">
        <f>IF($B934="","",IF(COUNTIF($B$2:$B934,$B934)=1,1,0))</f>
        <v/>
      </c>
      <c r="AA934">
        <f>IF($Z934=1,SUMPRODUCT(--($AC$2:$AC$3001&lt;$AC934))+1,"")</f>
        <v/>
      </c>
      <c r="AB934">
        <f>IF($B934="","",IF(OR($Y934=TRUE(),$Y934="TRUE"),1,IF(AND($Y934&lt;&gt;"",OR($Y934=FALSE(),$Y934="FALSE")),0,IF(MIN(ABS($X934/100-Settings!$C$6),ABS($X934/100-Settings!$G$6))&lt;=MIN(ABS($X934/100-Settings!$C$7),ABS($X934/100-Settings!$G$7)),1,0))))</f>
        <v/>
      </c>
      <c r="AC934">
        <f>IF($Z934=1,IFERROR(IF(VALUE($B934)&lt;100000000,VALUE($B934),1000000000),IFERROR(IF(VALUE(MID($B934,2,20))&lt;100000000,VALUE(MID($B934,2,20)),1000000000),1000000000))+ROW()/100000,"")</f>
        <v/>
      </c>
    </row>
    <row r="935">
      <c r="A935">
        <f>IF($B935="","",IFERROR(IF(INDEX('Per Invoice'!$A$2:$A$801,MATCH($B935,'Per Invoice'!$B$2:$B$801,0))=0,"",INDEX('Per Invoice'!$A$2:$A$801,MATCH($B935,'Per Invoice'!$B$2:$B$801,0))),""))</f>
        <v/>
      </c>
      <c r="J935" s="7">
        <f>IF($B935="","",I935*Q935/100)</f>
        <v/>
      </c>
      <c r="N935" s="7" t="n"/>
      <c r="O935" s="7" t="n"/>
      <c r="P935" s="7">
        <f>IF($B935="","",O935*X935/100)</f>
        <v/>
      </c>
      <c r="Q935" s="7">
        <f>IF($B935="","",O935-P935)</f>
        <v/>
      </c>
      <c r="R935" s="7">
        <f>IF($B935="","",Q935-J935)</f>
        <v/>
      </c>
      <c r="S935" s="7" t="n"/>
      <c r="T935" s="7" t="n"/>
      <c r="V935" s="14" t="n"/>
      <c r="Z935">
        <f>IF($B935="","",IF(COUNTIF($B$2:$B935,$B935)=1,1,0))</f>
        <v/>
      </c>
      <c r="AA935">
        <f>IF($Z935=1,SUMPRODUCT(--($AC$2:$AC$3001&lt;$AC935))+1,"")</f>
        <v/>
      </c>
      <c r="AB935">
        <f>IF($B935="","",IF(OR($Y935=TRUE(),$Y935="TRUE"),1,IF(AND($Y935&lt;&gt;"",OR($Y935=FALSE(),$Y935="FALSE")),0,IF(MIN(ABS($X935/100-Settings!$C$6),ABS($X935/100-Settings!$G$6))&lt;=MIN(ABS($X935/100-Settings!$C$7),ABS($X935/100-Settings!$G$7)),1,0))))</f>
        <v/>
      </c>
      <c r="AC935">
        <f>IF($Z935=1,IFERROR(IF(VALUE($B935)&lt;100000000,VALUE($B935),1000000000),IFERROR(IF(VALUE(MID($B935,2,20))&lt;100000000,VALUE(MID($B935,2,20)),1000000000),1000000000))+ROW()/100000,"")</f>
        <v/>
      </c>
    </row>
    <row r="936">
      <c r="A936">
        <f>IF($B936="","",IFERROR(IF(INDEX('Per Invoice'!$A$2:$A$801,MATCH($B936,'Per Invoice'!$B$2:$B$801,0))=0,"",INDEX('Per Invoice'!$A$2:$A$801,MATCH($B936,'Per Invoice'!$B$2:$B$801,0))),""))</f>
        <v/>
      </c>
      <c r="J936" s="7">
        <f>IF($B936="","",I936*Q936/100)</f>
        <v/>
      </c>
      <c r="N936" s="7" t="n"/>
      <c r="O936" s="7" t="n"/>
      <c r="P936" s="7">
        <f>IF($B936="","",O936*X936/100)</f>
        <v/>
      </c>
      <c r="Q936" s="7">
        <f>IF($B936="","",O936-P936)</f>
        <v/>
      </c>
      <c r="R936" s="7">
        <f>IF($B936="","",Q936-J936)</f>
        <v/>
      </c>
      <c r="S936" s="7" t="n"/>
      <c r="T936" s="7" t="n"/>
      <c r="V936" s="14" t="n"/>
      <c r="Z936">
        <f>IF($B936="","",IF(COUNTIF($B$2:$B936,$B936)=1,1,0))</f>
        <v/>
      </c>
      <c r="AA936">
        <f>IF($Z936=1,SUMPRODUCT(--($AC$2:$AC$3001&lt;$AC936))+1,"")</f>
        <v/>
      </c>
      <c r="AB936">
        <f>IF($B936="","",IF(OR($Y936=TRUE(),$Y936="TRUE"),1,IF(AND($Y936&lt;&gt;"",OR($Y936=FALSE(),$Y936="FALSE")),0,IF(MIN(ABS($X936/100-Settings!$C$6),ABS($X936/100-Settings!$G$6))&lt;=MIN(ABS($X936/100-Settings!$C$7),ABS($X936/100-Settings!$G$7)),1,0))))</f>
        <v/>
      </c>
      <c r="AC936">
        <f>IF($Z936=1,IFERROR(IF(VALUE($B936)&lt;100000000,VALUE($B936),1000000000),IFERROR(IF(VALUE(MID($B936,2,20))&lt;100000000,VALUE(MID($B936,2,20)),1000000000),1000000000))+ROW()/100000,"")</f>
        <v/>
      </c>
    </row>
    <row r="937">
      <c r="A937">
        <f>IF($B937="","",IFERROR(IF(INDEX('Per Invoice'!$A$2:$A$801,MATCH($B937,'Per Invoice'!$B$2:$B$801,0))=0,"",INDEX('Per Invoice'!$A$2:$A$801,MATCH($B937,'Per Invoice'!$B$2:$B$801,0))),""))</f>
        <v/>
      </c>
      <c r="J937" s="7">
        <f>IF($B937="","",I937*Q937/100)</f>
        <v/>
      </c>
      <c r="N937" s="7" t="n"/>
      <c r="O937" s="7" t="n"/>
      <c r="P937" s="7">
        <f>IF($B937="","",O937*X937/100)</f>
        <v/>
      </c>
      <c r="Q937" s="7">
        <f>IF($B937="","",O937-P937)</f>
        <v/>
      </c>
      <c r="R937" s="7">
        <f>IF($B937="","",Q937-J937)</f>
        <v/>
      </c>
      <c r="S937" s="7" t="n"/>
      <c r="T937" s="7" t="n"/>
      <c r="V937" s="14" t="n"/>
      <c r="Z937">
        <f>IF($B937="","",IF(COUNTIF($B$2:$B937,$B937)=1,1,0))</f>
        <v/>
      </c>
      <c r="AA937">
        <f>IF($Z937=1,SUMPRODUCT(--($AC$2:$AC$3001&lt;$AC937))+1,"")</f>
        <v/>
      </c>
      <c r="AB937">
        <f>IF($B937="","",IF(OR($Y937=TRUE(),$Y937="TRUE"),1,IF(AND($Y937&lt;&gt;"",OR($Y937=FALSE(),$Y937="FALSE")),0,IF(MIN(ABS($X937/100-Settings!$C$6),ABS($X937/100-Settings!$G$6))&lt;=MIN(ABS($X937/100-Settings!$C$7),ABS($X937/100-Settings!$G$7)),1,0))))</f>
        <v/>
      </c>
      <c r="AC937">
        <f>IF($Z937=1,IFERROR(IF(VALUE($B937)&lt;100000000,VALUE($B937),1000000000),IFERROR(IF(VALUE(MID($B937,2,20))&lt;100000000,VALUE(MID($B937,2,20)),1000000000),1000000000))+ROW()/100000,"")</f>
        <v/>
      </c>
    </row>
    <row r="938">
      <c r="A938">
        <f>IF($B938="","",IFERROR(IF(INDEX('Per Invoice'!$A$2:$A$801,MATCH($B938,'Per Invoice'!$B$2:$B$801,0))=0,"",INDEX('Per Invoice'!$A$2:$A$801,MATCH($B938,'Per Invoice'!$B$2:$B$801,0))),""))</f>
        <v/>
      </c>
      <c r="J938" s="7">
        <f>IF($B938="","",I938*Q938/100)</f>
        <v/>
      </c>
      <c r="N938" s="7" t="n"/>
      <c r="O938" s="7" t="n"/>
      <c r="P938" s="7">
        <f>IF($B938="","",O938*X938/100)</f>
        <v/>
      </c>
      <c r="Q938" s="7">
        <f>IF($B938="","",O938-P938)</f>
        <v/>
      </c>
      <c r="R938" s="7">
        <f>IF($B938="","",Q938-J938)</f>
        <v/>
      </c>
      <c r="S938" s="7" t="n"/>
      <c r="T938" s="7" t="n"/>
      <c r="V938" s="14" t="n"/>
      <c r="Z938">
        <f>IF($B938="","",IF(COUNTIF($B$2:$B938,$B938)=1,1,0))</f>
        <v/>
      </c>
      <c r="AA938">
        <f>IF($Z938=1,SUMPRODUCT(--($AC$2:$AC$3001&lt;$AC938))+1,"")</f>
        <v/>
      </c>
      <c r="AB938">
        <f>IF($B938="","",IF(OR($Y938=TRUE(),$Y938="TRUE"),1,IF(AND($Y938&lt;&gt;"",OR($Y938=FALSE(),$Y938="FALSE")),0,IF(MIN(ABS($X938/100-Settings!$C$6),ABS($X938/100-Settings!$G$6))&lt;=MIN(ABS($X938/100-Settings!$C$7),ABS($X938/100-Settings!$G$7)),1,0))))</f>
        <v/>
      </c>
      <c r="AC938">
        <f>IF($Z938=1,IFERROR(IF(VALUE($B938)&lt;100000000,VALUE($B938),1000000000),IFERROR(IF(VALUE(MID($B938,2,20))&lt;100000000,VALUE(MID($B938,2,20)),1000000000),1000000000))+ROW()/100000,"")</f>
        <v/>
      </c>
    </row>
    <row r="939">
      <c r="A939">
        <f>IF($B939="","",IFERROR(IF(INDEX('Per Invoice'!$A$2:$A$801,MATCH($B939,'Per Invoice'!$B$2:$B$801,0))=0,"",INDEX('Per Invoice'!$A$2:$A$801,MATCH($B939,'Per Invoice'!$B$2:$B$801,0))),""))</f>
        <v/>
      </c>
      <c r="J939" s="7">
        <f>IF($B939="","",I939*Q939/100)</f>
        <v/>
      </c>
      <c r="N939" s="7" t="n"/>
      <c r="O939" s="7" t="n"/>
      <c r="P939" s="7">
        <f>IF($B939="","",O939*X939/100)</f>
        <v/>
      </c>
      <c r="Q939" s="7">
        <f>IF($B939="","",O939-P939)</f>
        <v/>
      </c>
      <c r="R939" s="7">
        <f>IF($B939="","",Q939-J939)</f>
        <v/>
      </c>
      <c r="S939" s="7" t="n"/>
      <c r="T939" s="7" t="n"/>
      <c r="V939" s="14" t="n"/>
      <c r="Z939">
        <f>IF($B939="","",IF(COUNTIF($B$2:$B939,$B939)=1,1,0))</f>
        <v/>
      </c>
      <c r="AA939">
        <f>IF($Z939=1,SUMPRODUCT(--($AC$2:$AC$3001&lt;$AC939))+1,"")</f>
        <v/>
      </c>
      <c r="AB939">
        <f>IF($B939="","",IF(OR($Y939=TRUE(),$Y939="TRUE"),1,IF(AND($Y939&lt;&gt;"",OR($Y939=FALSE(),$Y939="FALSE")),0,IF(MIN(ABS($X939/100-Settings!$C$6),ABS($X939/100-Settings!$G$6))&lt;=MIN(ABS($X939/100-Settings!$C$7),ABS($X939/100-Settings!$G$7)),1,0))))</f>
        <v/>
      </c>
      <c r="AC939">
        <f>IF($Z939=1,IFERROR(IF(VALUE($B939)&lt;100000000,VALUE($B939),1000000000),IFERROR(IF(VALUE(MID($B939,2,20))&lt;100000000,VALUE(MID($B939,2,20)),1000000000),1000000000))+ROW()/100000,"")</f>
        <v/>
      </c>
    </row>
    <row r="940">
      <c r="A940">
        <f>IF($B940="","",IFERROR(IF(INDEX('Per Invoice'!$A$2:$A$801,MATCH($B940,'Per Invoice'!$B$2:$B$801,0))=0,"",INDEX('Per Invoice'!$A$2:$A$801,MATCH($B940,'Per Invoice'!$B$2:$B$801,0))),""))</f>
        <v/>
      </c>
      <c r="J940" s="7">
        <f>IF($B940="","",I940*Q940/100)</f>
        <v/>
      </c>
      <c r="N940" s="7" t="n"/>
      <c r="O940" s="7" t="n"/>
      <c r="P940" s="7">
        <f>IF($B940="","",O940*X940/100)</f>
        <v/>
      </c>
      <c r="Q940" s="7">
        <f>IF($B940="","",O940-P940)</f>
        <v/>
      </c>
      <c r="R940" s="7">
        <f>IF($B940="","",Q940-J940)</f>
        <v/>
      </c>
      <c r="S940" s="7" t="n"/>
      <c r="T940" s="7" t="n"/>
      <c r="V940" s="14" t="n"/>
      <c r="Z940">
        <f>IF($B940="","",IF(COUNTIF($B$2:$B940,$B940)=1,1,0))</f>
        <v/>
      </c>
      <c r="AA940">
        <f>IF($Z940=1,SUMPRODUCT(--($AC$2:$AC$3001&lt;$AC940))+1,"")</f>
        <v/>
      </c>
      <c r="AB940">
        <f>IF($B940="","",IF(OR($Y940=TRUE(),$Y940="TRUE"),1,IF(AND($Y940&lt;&gt;"",OR($Y940=FALSE(),$Y940="FALSE")),0,IF(MIN(ABS($X940/100-Settings!$C$6),ABS($X940/100-Settings!$G$6))&lt;=MIN(ABS($X940/100-Settings!$C$7),ABS($X940/100-Settings!$G$7)),1,0))))</f>
        <v/>
      </c>
      <c r="AC940">
        <f>IF($Z940=1,IFERROR(IF(VALUE($B940)&lt;100000000,VALUE($B940),1000000000),IFERROR(IF(VALUE(MID($B940,2,20))&lt;100000000,VALUE(MID($B940,2,20)),1000000000),1000000000))+ROW()/100000,"")</f>
        <v/>
      </c>
    </row>
    <row r="941">
      <c r="A941">
        <f>IF($B941="","",IFERROR(IF(INDEX('Per Invoice'!$A$2:$A$801,MATCH($B941,'Per Invoice'!$B$2:$B$801,0))=0,"",INDEX('Per Invoice'!$A$2:$A$801,MATCH($B941,'Per Invoice'!$B$2:$B$801,0))),""))</f>
        <v/>
      </c>
      <c r="J941" s="7">
        <f>IF($B941="","",I941*Q941/100)</f>
        <v/>
      </c>
      <c r="N941" s="7" t="n"/>
      <c r="O941" s="7" t="n"/>
      <c r="P941" s="7">
        <f>IF($B941="","",O941*X941/100)</f>
        <v/>
      </c>
      <c r="Q941" s="7">
        <f>IF($B941="","",O941-P941)</f>
        <v/>
      </c>
      <c r="R941" s="7">
        <f>IF($B941="","",Q941-J941)</f>
        <v/>
      </c>
      <c r="S941" s="7" t="n"/>
      <c r="T941" s="7" t="n"/>
      <c r="V941" s="14" t="n"/>
      <c r="Z941">
        <f>IF($B941="","",IF(COUNTIF($B$2:$B941,$B941)=1,1,0))</f>
        <v/>
      </c>
      <c r="AA941">
        <f>IF($Z941=1,SUMPRODUCT(--($AC$2:$AC$3001&lt;$AC941))+1,"")</f>
        <v/>
      </c>
      <c r="AB941">
        <f>IF($B941="","",IF(OR($Y941=TRUE(),$Y941="TRUE"),1,IF(AND($Y941&lt;&gt;"",OR($Y941=FALSE(),$Y941="FALSE")),0,IF(MIN(ABS($X941/100-Settings!$C$6),ABS($X941/100-Settings!$G$6))&lt;=MIN(ABS($X941/100-Settings!$C$7),ABS($X941/100-Settings!$G$7)),1,0))))</f>
        <v/>
      </c>
      <c r="AC941">
        <f>IF($Z941=1,IFERROR(IF(VALUE($B941)&lt;100000000,VALUE($B941),1000000000),IFERROR(IF(VALUE(MID($B941,2,20))&lt;100000000,VALUE(MID($B941,2,20)),1000000000),1000000000))+ROW()/100000,"")</f>
        <v/>
      </c>
    </row>
    <row r="942">
      <c r="A942">
        <f>IF($B942="","",IFERROR(IF(INDEX('Per Invoice'!$A$2:$A$801,MATCH($B942,'Per Invoice'!$B$2:$B$801,0))=0,"",INDEX('Per Invoice'!$A$2:$A$801,MATCH($B942,'Per Invoice'!$B$2:$B$801,0))),""))</f>
        <v/>
      </c>
      <c r="J942" s="7">
        <f>IF($B942="","",I942*Q942/100)</f>
        <v/>
      </c>
      <c r="N942" s="7" t="n"/>
      <c r="O942" s="7" t="n"/>
      <c r="P942" s="7">
        <f>IF($B942="","",O942*X942/100)</f>
        <v/>
      </c>
      <c r="Q942" s="7">
        <f>IF($B942="","",O942-P942)</f>
        <v/>
      </c>
      <c r="R942" s="7">
        <f>IF($B942="","",Q942-J942)</f>
        <v/>
      </c>
      <c r="S942" s="7" t="n"/>
      <c r="T942" s="7" t="n"/>
      <c r="V942" s="14" t="n"/>
      <c r="Z942">
        <f>IF($B942="","",IF(COUNTIF($B$2:$B942,$B942)=1,1,0))</f>
        <v/>
      </c>
      <c r="AA942">
        <f>IF($Z942=1,SUMPRODUCT(--($AC$2:$AC$3001&lt;$AC942))+1,"")</f>
        <v/>
      </c>
      <c r="AB942">
        <f>IF($B942="","",IF(OR($Y942=TRUE(),$Y942="TRUE"),1,IF(AND($Y942&lt;&gt;"",OR($Y942=FALSE(),$Y942="FALSE")),0,IF(MIN(ABS($X942/100-Settings!$C$6),ABS($X942/100-Settings!$G$6))&lt;=MIN(ABS($X942/100-Settings!$C$7),ABS($X942/100-Settings!$G$7)),1,0))))</f>
        <v/>
      </c>
      <c r="AC942">
        <f>IF($Z942=1,IFERROR(IF(VALUE($B942)&lt;100000000,VALUE($B942),1000000000),IFERROR(IF(VALUE(MID($B942,2,20))&lt;100000000,VALUE(MID($B942,2,20)),1000000000),1000000000))+ROW()/100000,"")</f>
        <v/>
      </c>
    </row>
    <row r="943">
      <c r="A943">
        <f>IF($B943="","",IFERROR(IF(INDEX('Per Invoice'!$A$2:$A$801,MATCH($B943,'Per Invoice'!$B$2:$B$801,0))=0,"",INDEX('Per Invoice'!$A$2:$A$801,MATCH($B943,'Per Invoice'!$B$2:$B$801,0))),""))</f>
        <v/>
      </c>
      <c r="J943" s="7">
        <f>IF($B943="","",I943*Q943/100)</f>
        <v/>
      </c>
      <c r="N943" s="7" t="n"/>
      <c r="O943" s="7" t="n"/>
      <c r="P943" s="7">
        <f>IF($B943="","",O943*X943/100)</f>
        <v/>
      </c>
      <c r="Q943" s="7">
        <f>IF($B943="","",O943-P943)</f>
        <v/>
      </c>
      <c r="R943" s="7">
        <f>IF($B943="","",Q943-J943)</f>
        <v/>
      </c>
      <c r="S943" s="7" t="n"/>
      <c r="T943" s="7" t="n"/>
      <c r="V943" s="14" t="n"/>
      <c r="Z943">
        <f>IF($B943="","",IF(COUNTIF($B$2:$B943,$B943)=1,1,0))</f>
        <v/>
      </c>
      <c r="AA943">
        <f>IF($Z943=1,SUMPRODUCT(--($AC$2:$AC$3001&lt;$AC943))+1,"")</f>
        <v/>
      </c>
      <c r="AB943">
        <f>IF($B943="","",IF(OR($Y943=TRUE(),$Y943="TRUE"),1,IF(AND($Y943&lt;&gt;"",OR($Y943=FALSE(),$Y943="FALSE")),0,IF(MIN(ABS($X943/100-Settings!$C$6),ABS($X943/100-Settings!$G$6))&lt;=MIN(ABS($X943/100-Settings!$C$7),ABS($X943/100-Settings!$G$7)),1,0))))</f>
        <v/>
      </c>
      <c r="AC943">
        <f>IF($Z943=1,IFERROR(IF(VALUE($B943)&lt;100000000,VALUE($B943),1000000000),IFERROR(IF(VALUE(MID($B943,2,20))&lt;100000000,VALUE(MID($B943,2,20)),1000000000),1000000000))+ROW()/100000,"")</f>
        <v/>
      </c>
    </row>
    <row r="944">
      <c r="A944">
        <f>IF($B944="","",IFERROR(IF(INDEX('Per Invoice'!$A$2:$A$801,MATCH($B944,'Per Invoice'!$B$2:$B$801,0))=0,"",INDEX('Per Invoice'!$A$2:$A$801,MATCH($B944,'Per Invoice'!$B$2:$B$801,0))),""))</f>
        <v/>
      </c>
      <c r="J944" s="7">
        <f>IF($B944="","",I944*Q944/100)</f>
        <v/>
      </c>
      <c r="N944" s="7" t="n"/>
      <c r="O944" s="7" t="n"/>
      <c r="P944" s="7">
        <f>IF($B944="","",O944*X944/100)</f>
        <v/>
      </c>
      <c r="Q944" s="7">
        <f>IF($B944="","",O944-P944)</f>
        <v/>
      </c>
      <c r="R944" s="7">
        <f>IF($B944="","",Q944-J944)</f>
        <v/>
      </c>
      <c r="S944" s="7" t="n"/>
      <c r="T944" s="7" t="n"/>
      <c r="V944" s="14" t="n"/>
      <c r="Z944">
        <f>IF($B944="","",IF(COUNTIF($B$2:$B944,$B944)=1,1,0))</f>
        <v/>
      </c>
      <c r="AA944">
        <f>IF($Z944=1,SUMPRODUCT(--($AC$2:$AC$3001&lt;$AC944))+1,"")</f>
        <v/>
      </c>
      <c r="AB944">
        <f>IF($B944="","",IF(OR($Y944=TRUE(),$Y944="TRUE"),1,IF(AND($Y944&lt;&gt;"",OR($Y944=FALSE(),$Y944="FALSE")),0,IF(MIN(ABS($X944/100-Settings!$C$6),ABS($X944/100-Settings!$G$6))&lt;=MIN(ABS($X944/100-Settings!$C$7),ABS($X944/100-Settings!$G$7)),1,0))))</f>
        <v/>
      </c>
      <c r="AC944">
        <f>IF($Z944=1,IFERROR(IF(VALUE($B944)&lt;100000000,VALUE($B944),1000000000),IFERROR(IF(VALUE(MID($B944,2,20))&lt;100000000,VALUE(MID($B944,2,20)),1000000000),1000000000))+ROW()/100000,"")</f>
        <v/>
      </c>
    </row>
    <row r="945">
      <c r="A945">
        <f>IF($B945="","",IFERROR(IF(INDEX('Per Invoice'!$A$2:$A$801,MATCH($B945,'Per Invoice'!$B$2:$B$801,0))=0,"",INDEX('Per Invoice'!$A$2:$A$801,MATCH($B945,'Per Invoice'!$B$2:$B$801,0))),""))</f>
        <v/>
      </c>
      <c r="J945" s="7">
        <f>IF($B945="","",I945*Q945/100)</f>
        <v/>
      </c>
      <c r="N945" s="7" t="n"/>
      <c r="O945" s="7" t="n"/>
      <c r="P945" s="7">
        <f>IF($B945="","",O945*X945/100)</f>
        <v/>
      </c>
      <c r="Q945" s="7">
        <f>IF($B945="","",O945-P945)</f>
        <v/>
      </c>
      <c r="R945" s="7">
        <f>IF($B945="","",Q945-J945)</f>
        <v/>
      </c>
      <c r="S945" s="7" t="n"/>
      <c r="T945" s="7" t="n"/>
      <c r="V945" s="14" t="n"/>
      <c r="Z945">
        <f>IF($B945="","",IF(COUNTIF($B$2:$B945,$B945)=1,1,0))</f>
        <v/>
      </c>
      <c r="AA945">
        <f>IF($Z945=1,SUMPRODUCT(--($AC$2:$AC$3001&lt;$AC945))+1,"")</f>
        <v/>
      </c>
      <c r="AB945">
        <f>IF($B945="","",IF(OR($Y945=TRUE(),$Y945="TRUE"),1,IF(AND($Y945&lt;&gt;"",OR($Y945=FALSE(),$Y945="FALSE")),0,IF(MIN(ABS($X945/100-Settings!$C$6),ABS($X945/100-Settings!$G$6))&lt;=MIN(ABS($X945/100-Settings!$C$7),ABS($X945/100-Settings!$G$7)),1,0))))</f>
        <v/>
      </c>
      <c r="AC945">
        <f>IF($Z945=1,IFERROR(IF(VALUE($B945)&lt;100000000,VALUE($B945),1000000000),IFERROR(IF(VALUE(MID($B945,2,20))&lt;100000000,VALUE(MID($B945,2,20)),1000000000),1000000000))+ROW()/100000,"")</f>
        <v/>
      </c>
    </row>
    <row r="946">
      <c r="A946">
        <f>IF($B946="","",IFERROR(IF(INDEX('Per Invoice'!$A$2:$A$801,MATCH($B946,'Per Invoice'!$B$2:$B$801,0))=0,"",INDEX('Per Invoice'!$A$2:$A$801,MATCH($B946,'Per Invoice'!$B$2:$B$801,0))),""))</f>
        <v/>
      </c>
      <c r="J946" s="7">
        <f>IF($B946="","",I946*Q946/100)</f>
        <v/>
      </c>
      <c r="N946" s="7" t="n"/>
      <c r="O946" s="7" t="n"/>
      <c r="P946" s="7">
        <f>IF($B946="","",O946*X946/100)</f>
        <v/>
      </c>
      <c r="Q946" s="7">
        <f>IF($B946="","",O946-P946)</f>
        <v/>
      </c>
      <c r="R946" s="7">
        <f>IF($B946="","",Q946-J946)</f>
        <v/>
      </c>
      <c r="S946" s="7" t="n"/>
      <c r="T946" s="7" t="n"/>
      <c r="V946" s="14" t="n"/>
      <c r="Z946">
        <f>IF($B946="","",IF(COUNTIF($B$2:$B946,$B946)=1,1,0))</f>
        <v/>
      </c>
      <c r="AA946">
        <f>IF($Z946=1,SUMPRODUCT(--($AC$2:$AC$3001&lt;$AC946))+1,"")</f>
        <v/>
      </c>
      <c r="AB946">
        <f>IF($B946="","",IF(OR($Y946=TRUE(),$Y946="TRUE"),1,IF(AND($Y946&lt;&gt;"",OR($Y946=FALSE(),$Y946="FALSE")),0,IF(MIN(ABS($X946/100-Settings!$C$6),ABS($X946/100-Settings!$G$6))&lt;=MIN(ABS($X946/100-Settings!$C$7),ABS($X946/100-Settings!$G$7)),1,0))))</f>
        <v/>
      </c>
      <c r="AC946">
        <f>IF($Z946=1,IFERROR(IF(VALUE($B946)&lt;100000000,VALUE($B946),1000000000),IFERROR(IF(VALUE(MID($B946,2,20))&lt;100000000,VALUE(MID($B946,2,20)),1000000000),1000000000))+ROW()/100000,"")</f>
        <v/>
      </c>
    </row>
    <row r="947">
      <c r="A947">
        <f>IF($B947="","",IFERROR(IF(INDEX('Per Invoice'!$A$2:$A$801,MATCH($B947,'Per Invoice'!$B$2:$B$801,0))=0,"",INDEX('Per Invoice'!$A$2:$A$801,MATCH($B947,'Per Invoice'!$B$2:$B$801,0))),""))</f>
        <v/>
      </c>
      <c r="J947" s="7">
        <f>IF($B947="","",I947*Q947/100)</f>
        <v/>
      </c>
      <c r="N947" s="7" t="n"/>
      <c r="O947" s="7" t="n"/>
      <c r="P947" s="7">
        <f>IF($B947="","",O947*X947/100)</f>
        <v/>
      </c>
      <c r="Q947" s="7">
        <f>IF($B947="","",O947-P947)</f>
        <v/>
      </c>
      <c r="R947" s="7">
        <f>IF($B947="","",Q947-J947)</f>
        <v/>
      </c>
      <c r="S947" s="7" t="n"/>
      <c r="T947" s="7" t="n"/>
      <c r="V947" s="14" t="n"/>
      <c r="Z947">
        <f>IF($B947="","",IF(COUNTIF($B$2:$B947,$B947)=1,1,0))</f>
        <v/>
      </c>
      <c r="AA947">
        <f>IF($Z947=1,SUMPRODUCT(--($AC$2:$AC$3001&lt;$AC947))+1,"")</f>
        <v/>
      </c>
      <c r="AB947">
        <f>IF($B947="","",IF(OR($Y947=TRUE(),$Y947="TRUE"),1,IF(AND($Y947&lt;&gt;"",OR($Y947=FALSE(),$Y947="FALSE")),0,IF(MIN(ABS($X947/100-Settings!$C$6),ABS($X947/100-Settings!$G$6))&lt;=MIN(ABS($X947/100-Settings!$C$7),ABS($X947/100-Settings!$G$7)),1,0))))</f>
        <v/>
      </c>
      <c r="AC947">
        <f>IF($Z947=1,IFERROR(IF(VALUE($B947)&lt;100000000,VALUE($B947),1000000000),IFERROR(IF(VALUE(MID($B947,2,20))&lt;100000000,VALUE(MID($B947,2,20)),1000000000),1000000000))+ROW()/100000,"")</f>
        <v/>
      </c>
    </row>
    <row r="948">
      <c r="A948">
        <f>IF($B948="","",IFERROR(IF(INDEX('Per Invoice'!$A$2:$A$801,MATCH($B948,'Per Invoice'!$B$2:$B$801,0))=0,"",INDEX('Per Invoice'!$A$2:$A$801,MATCH($B948,'Per Invoice'!$B$2:$B$801,0))),""))</f>
        <v/>
      </c>
      <c r="J948" s="7">
        <f>IF($B948="","",I948*Q948/100)</f>
        <v/>
      </c>
      <c r="N948" s="7" t="n"/>
      <c r="O948" s="7" t="n"/>
      <c r="P948" s="7">
        <f>IF($B948="","",O948*X948/100)</f>
        <v/>
      </c>
      <c r="Q948" s="7">
        <f>IF($B948="","",O948-P948)</f>
        <v/>
      </c>
      <c r="R948" s="7">
        <f>IF($B948="","",Q948-J948)</f>
        <v/>
      </c>
      <c r="S948" s="7" t="n"/>
      <c r="T948" s="7" t="n"/>
      <c r="V948" s="14" t="n"/>
      <c r="Z948">
        <f>IF($B948="","",IF(COUNTIF($B$2:$B948,$B948)=1,1,0))</f>
        <v/>
      </c>
      <c r="AA948">
        <f>IF($Z948=1,SUMPRODUCT(--($AC$2:$AC$3001&lt;$AC948))+1,"")</f>
        <v/>
      </c>
      <c r="AB948">
        <f>IF($B948="","",IF(OR($Y948=TRUE(),$Y948="TRUE"),1,IF(AND($Y948&lt;&gt;"",OR($Y948=FALSE(),$Y948="FALSE")),0,IF(MIN(ABS($X948/100-Settings!$C$6),ABS($X948/100-Settings!$G$6))&lt;=MIN(ABS($X948/100-Settings!$C$7),ABS($X948/100-Settings!$G$7)),1,0))))</f>
        <v/>
      </c>
      <c r="AC948">
        <f>IF($Z948=1,IFERROR(IF(VALUE($B948)&lt;100000000,VALUE($B948),1000000000),IFERROR(IF(VALUE(MID($B948,2,20))&lt;100000000,VALUE(MID($B948,2,20)),1000000000),1000000000))+ROW()/100000,"")</f>
        <v/>
      </c>
    </row>
    <row r="949">
      <c r="A949">
        <f>IF($B949="","",IFERROR(IF(INDEX('Per Invoice'!$A$2:$A$801,MATCH($B949,'Per Invoice'!$B$2:$B$801,0))=0,"",INDEX('Per Invoice'!$A$2:$A$801,MATCH($B949,'Per Invoice'!$B$2:$B$801,0))),""))</f>
        <v/>
      </c>
      <c r="J949" s="7">
        <f>IF($B949="","",I949*Q949/100)</f>
        <v/>
      </c>
      <c r="N949" s="7" t="n"/>
      <c r="O949" s="7" t="n"/>
      <c r="P949" s="7">
        <f>IF($B949="","",O949*X949/100)</f>
        <v/>
      </c>
      <c r="Q949" s="7">
        <f>IF($B949="","",O949-P949)</f>
        <v/>
      </c>
      <c r="R949" s="7">
        <f>IF($B949="","",Q949-J949)</f>
        <v/>
      </c>
      <c r="S949" s="7" t="n"/>
      <c r="T949" s="7" t="n"/>
      <c r="V949" s="14" t="n"/>
      <c r="Z949">
        <f>IF($B949="","",IF(COUNTIF($B$2:$B949,$B949)=1,1,0))</f>
        <v/>
      </c>
      <c r="AA949">
        <f>IF($Z949=1,SUMPRODUCT(--($AC$2:$AC$3001&lt;$AC949))+1,"")</f>
        <v/>
      </c>
      <c r="AB949">
        <f>IF($B949="","",IF(OR($Y949=TRUE(),$Y949="TRUE"),1,IF(AND($Y949&lt;&gt;"",OR($Y949=FALSE(),$Y949="FALSE")),0,IF(MIN(ABS($X949/100-Settings!$C$6),ABS($X949/100-Settings!$G$6))&lt;=MIN(ABS($X949/100-Settings!$C$7),ABS($X949/100-Settings!$G$7)),1,0))))</f>
        <v/>
      </c>
      <c r="AC949">
        <f>IF($Z949=1,IFERROR(IF(VALUE($B949)&lt;100000000,VALUE($B949),1000000000),IFERROR(IF(VALUE(MID($B949,2,20))&lt;100000000,VALUE(MID($B949,2,20)),1000000000),1000000000))+ROW()/100000,"")</f>
        <v/>
      </c>
    </row>
    <row r="950">
      <c r="A950">
        <f>IF($B950="","",IFERROR(IF(INDEX('Per Invoice'!$A$2:$A$801,MATCH($B950,'Per Invoice'!$B$2:$B$801,0))=0,"",INDEX('Per Invoice'!$A$2:$A$801,MATCH($B950,'Per Invoice'!$B$2:$B$801,0))),""))</f>
        <v/>
      </c>
      <c r="J950" s="7">
        <f>IF($B950="","",I950*Q950/100)</f>
        <v/>
      </c>
      <c r="N950" s="7" t="n"/>
      <c r="O950" s="7" t="n"/>
      <c r="P950" s="7">
        <f>IF($B950="","",O950*X950/100)</f>
        <v/>
      </c>
      <c r="Q950" s="7">
        <f>IF($B950="","",O950-P950)</f>
        <v/>
      </c>
      <c r="R950" s="7">
        <f>IF($B950="","",Q950-J950)</f>
        <v/>
      </c>
      <c r="S950" s="7" t="n"/>
      <c r="T950" s="7" t="n"/>
      <c r="V950" s="14" t="n"/>
      <c r="Z950">
        <f>IF($B950="","",IF(COUNTIF($B$2:$B950,$B950)=1,1,0))</f>
        <v/>
      </c>
      <c r="AA950">
        <f>IF($Z950=1,SUMPRODUCT(--($AC$2:$AC$3001&lt;$AC950))+1,"")</f>
        <v/>
      </c>
      <c r="AB950">
        <f>IF($B950="","",IF(OR($Y950=TRUE(),$Y950="TRUE"),1,IF(AND($Y950&lt;&gt;"",OR($Y950=FALSE(),$Y950="FALSE")),0,IF(MIN(ABS($X950/100-Settings!$C$6),ABS($X950/100-Settings!$G$6))&lt;=MIN(ABS($X950/100-Settings!$C$7),ABS($X950/100-Settings!$G$7)),1,0))))</f>
        <v/>
      </c>
      <c r="AC950">
        <f>IF($Z950=1,IFERROR(IF(VALUE($B950)&lt;100000000,VALUE($B950),1000000000),IFERROR(IF(VALUE(MID($B950,2,20))&lt;100000000,VALUE(MID($B950,2,20)),1000000000),1000000000))+ROW()/100000,"")</f>
        <v/>
      </c>
    </row>
    <row r="951">
      <c r="A951">
        <f>IF($B951="","",IFERROR(IF(INDEX('Per Invoice'!$A$2:$A$801,MATCH($B951,'Per Invoice'!$B$2:$B$801,0))=0,"",INDEX('Per Invoice'!$A$2:$A$801,MATCH($B951,'Per Invoice'!$B$2:$B$801,0))),""))</f>
        <v/>
      </c>
      <c r="J951" s="7">
        <f>IF($B951="","",I951*Q951/100)</f>
        <v/>
      </c>
      <c r="N951" s="7" t="n"/>
      <c r="O951" s="7" t="n"/>
      <c r="P951" s="7">
        <f>IF($B951="","",O951*X951/100)</f>
        <v/>
      </c>
      <c r="Q951" s="7">
        <f>IF($B951="","",O951-P951)</f>
        <v/>
      </c>
      <c r="R951" s="7">
        <f>IF($B951="","",Q951-J951)</f>
        <v/>
      </c>
      <c r="S951" s="7" t="n"/>
      <c r="T951" s="7" t="n"/>
      <c r="V951" s="14" t="n"/>
      <c r="Z951">
        <f>IF($B951="","",IF(COUNTIF($B$2:$B951,$B951)=1,1,0))</f>
        <v/>
      </c>
      <c r="AA951">
        <f>IF($Z951=1,SUMPRODUCT(--($AC$2:$AC$3001&lt;$AC951))+1,"")</f>
        <v/>
      </c>
      <c r="AB951">
        <f>IF($B951="","",IF(OR($Y951=TRUE(),$Y951="TRUE"),1,IF(AND($Y951&lt;&gt;"",OR($Y951=FALSE(),$Y951="FALSE")),0,IF(MIN(ABS($X951/100-Settings!$C$6),ABS($X951/100-Settings!$G$6))&lt;=MIN(ABS($X951/100-Settings!$C$7),ABS($X951/100-Settings!$G$7)),1,0))))</f>
        <v/>
      </c>
      <c r="AC951">
        <f>IF($Z951=1,IFERROR(IF(VALUE($B951)&lt;100000000,VALUE($B951),1000000000),IFERROR(IF(VALUE(MID($B951,2,20))&lt;100000000,VALUE(MID($B951,2,20)),1000000000),1000000000))+ROW()/100000,"")</f>
        <v/>
      </c>
    </row>
    <row r="952">
      <c r="A952">
        <f>IF($B952="","",IFERROR(IF(INDEX('Per Invoice'!$A$2:$A$801,MATCH($B952,'Per Invoice'!$B$2:$B$801,0))=0,"",INDEX('Per Invoice'!$A$2:$A$801,MATCH($B952,'Per Invoice'!$B$2:$B$801,0))),""))</f>
        <v/>
      </c>
      <c r="J952" s="7">
        <f>IF($B952="","",I952*Q952/100)</f>
        <v/>
      </c>
      <c r="N952" s="7" t="n"/>
      <c r="O952" s="7" t="n"/>
      <c r="P952" s="7">
        <f>IF($B952="","",O952*X952/100)</f>
        <v/>
      </c>
      <c r="Q952" s="7">
        <f>IF($B952="","",O952-P952)</f>
        <v/>
      </c>
      <c r="R952" s="7">
        <f>IF($B952="","",Q952-J952)</f>
        <v/>
      </c>
      <c r="S952" s="7" t="n"/>
      <c r="T952" s="7" t="n"/>
      <c r="V952" s="14" t="n"/>
      <c r="Z952">
        <f>IF($B952="","",IF(COUNTIF($B$2:$B952,$B952)=1,1,0))</f>
        <v/>
      </c>
      <c r="AA952">
        <f>IF($Z952=1,SUMPRODUCT(--($AC$2:$AC$3001&lt;$AC952))+1,"")</f>
        <v/>
      </c>
      <c r="AB952">
        <f>IF($B952="","",IF(OR($Y952=TRUE(),$Y952="TRUE"),1,IF(AND($Y952&lt;&gt;"",OR($Y952=FALSE(),$Y952="FALSE")),0,IF(MIN(ABS($X952/100-Settings!$C$6),ABS($X952/100-Settings!$G$6))&lt;=MIN(ABS($X952/100-Settings!$C$7),ABS($X952/100-Settings!$G$7)),1,0))))</f>
        <v/>
      </c>
      <c r="AC952">
        <f>IF($Z952=1,IFERROR(IF(VALUE($B952)&lt;100000000,VALUE($B952),1000000000),IFERROR(IF(VALUE(MID($B952,2,20))&lt;100000000,VALUE(MID($B952,2,20)),1000000000),1000000000))+ROW()/100000,"")</f>
        <v/>
      </c>
    </row>
    <row r="953">
      <c r="A953">
        <f>IF($B953="","",IFERROR(IF(INDEX('Per Invoice'!$A$2:$A$801,MATCH($B953,'Per Invoice'!$B$2:$B$801,0))=0,"",INDEX('Per Invoice'!$A$2:$A$801,MATCH($B953,'Per Invoice'!$B$2:$B$801,0))),""))</f>
        <v/>
      </c>
      <c r="J953" s="7">
        <f>IF($B953="","",I953*Q953/100)</f>
        <v/>
      </c>
      <c r="N953" s="7" t="n"/>
      <c r="O953" s="7" t="n"/>
      <c r="P953" s="7">
        <f>IF($B953="","",O953*X953/100)</f>
        <v/>
      </c>
      <c r="Q953" s="7">
        <f>IF($B953="","",O953-P953)</f>
        <v/>
      </c>
      <c r="R953" s="7">
        <f>IF($B953="","",Q953-J953)</f>
        <v/>
      </c>
      <c r="S953" s="7" t="n"/>
      <c r="T953" s="7" t="n"/>
      <c r="V953" s="14" t="n"/>
      <c r="Z953">
        <f>IF($B953="","",IF(COUNTIF($B$2:$B953,$B953)=1,1,0))</f>
        <v/>
      </c>
      <c r="AA953">
        <f>IF($Z953=1,SUMPRODUCT(--($AC$2:$AC$3001&lt;$AC953))+1,"")</f>
        <v/>
      </c>
      <c r="AB953">
        <f>IF($B953="","",IF(OR($Y953=TRUE(),$Y953="TRUE"),1,IF(AND($Y953&lt;&gt;"",OR($Y953=FALSE(),$Y953="FALSE")),0,IF(MIN(ABS($X953/100-Settings!$C$6),ABS($X953/100-Settings!$G$6))&lt;=MIN(ABS($X953/100-Settings!$C$7),ABS($X953/100-Settings!$G$7)),1,0))))</f>
        <v/>
      </c>
      <c r="AC953">
        <f>IF($Z953=1,IFERROR(IF(VALUE($B953)&lt;100000000,VALUE($B953),1000000000),IFERROR(IF(VALUE(MID($B953,2,20))&lt;100000000,VALUE(MID($B953,2,20)),1000000000),1000000000))+ROW()/100000,"")</f>
        <v/>
      </c>
    </row>
    <row r="954">
      <c r="A954">
        <f>IF($B954="","",IFERROR(IF(INDEX('Per Invoice'!$A$2:$A$801,MATCH($B954,'Per Invoice'!$B$2:$B$801,0))=0,"",INDEX('Per Invoice'!$A$2:$A$801,MATCH($B954,'Per Invoice'!$B$2:$B$801,0))),""))</f>
        <v/>
      </c>
      <c r="J954" s="7">
        <f>IF($B954="","",I954*Q954/100)</f>
        <v/>
      </c>
      <c r="N954" s="7" t="n"/>
      <c r="O954" s="7" t="n"/>
      <c r="P954" s="7">
        <f>IF($B954="","",O954*X954/100)</f>
        <v/>
      </c>
      <c r="Q954" s="7">
        <f>IF($B954="","",O954-P954)</f>
        <v/>
      </c>
      <c r="R954" s="7">
        <f>IF($B954="","",Q954-J954)</f>
        <v/>
      </c>
      <c r="S954" s="7" t="n"/>
      <c r="T954" s="7" t="n"/>
      <c r="V954" s="14" t="n"/>
      <c r="Z954">
        <f>IF($B954="","",IF(COUNTIF($B$2:$B954,$B954)=1,1,0))</f>
        <v/>
      </c>
      <c r="AA954">
        <f>IF($Z954=1,SUMPRODUCT(--($AC$2:$AC$3001&lt;$AC954))+1,"")</f>
        <v/>
      </c>
      <c r="AB954">
        <f>IF($B954="","",IF(OR($Y954=TRUE(),$Y954="TRUE"),1,IF(AND($Y954&lt;&gt;"",OR($Y954=FALSE(),$Y954="FALSE")),0,IF(MIN(ABS($X954/100-Settings!$C$6),ABS($X954/100-Settings!$G$6))&lt;=MIN(ABS($X954/100-Settings!$C$7),ABS($X954/100-Settings!$G$7)),1,0))))</f>
        <v/>
      </c>
      <c r="AC954">
        <f>IF($Z954=1,IFERROR(IF(VALUE($B954)&lt;100000000,VALUE($B954),1000000000),IFERROR(IF(VALUE(MID($B954,2,20))&lt;100000000,VALUE(MID($B954,2,20)),1000000000),1000000000))+ROW()/100000,"")</f>
        <v/>
      </c>
    </row>
    <row r="955">
      <c r="A955">
        <f>IF($B955="","",IFERROR(IF(INDEX('Per Invoice'!$A$2:$A$801,MATCH($B955,'Per Invoice'!$B$2:$B$801,0))=0,"",INDEX('Per Invoice'!$A$2:$A$801,MATCH($B955,'Per Invoice'!$B$2:$B$801,0))),""))</f>
        <v/>
      </c>
      <c r="J955" s="7">
        <f>IF($B955="","",I955*Q955/100)</f>
        <v/>
      </c>
      <c r="N955" s="7" t="n"/>
      <c r="O955" s="7" t="n"/>
      <c r="P955" s="7">
        <f>IF($B955="","",O955*X955/100)</f>
        <v/>
      </c>
      <c r="Q955" s="7">
        <f>IF($B955="","",O955-P955)</f>
        <v/>
      </c>
      <c r="R955" s="7">
        <f>IF($B955="","",Q955-J955)</f>
        <v/>
      </c>
      <c r="S955" s="7" t="n"/>
      <c r="T955" s="7" t="n"/>
      <c r="V955" s="14" t="n"/>
      <c r="Z955">
        <f>IF($B955="","",IF(COUNTIF($B$2:$B955,$B955)=1,1,0))</f>
        <v/>
      </c>
      <c r="AA955">
        <f>IF($Z955=1,SUMPRODUCT(--($AC$2:$AC$3001&lt;$AC955))+1,"")</f>
        <v/>
      </c>
      <c r="AB955">
        <f>IF($B955="","",IF(OR($Y955=TRUE(),$Y955="TRUE"),1,IF(AND($Y955&lt;&gt;"",OR($Y955=FALSE(),$Y955="FALSE")),0,IF(MIN(ABS($X955/100-Settings!$C$6),ABS($X955/100-Settings!$G$6))&lt;=MIN(ABS($X955/100-Settings!$C$7),ABS($X955/100-Settings!$G$7)),1,0))))</f>
        <v/>
      </c>
      <c r="AC955">
        <f>IF($Z955=1,IFERROR(IF(VALUE($B955)&lt;100000000,VALUE($B955),1000000000),IFERROR(IF(VALUE(MID($B955,2,20))&lt;100000000,VALUE(MID($B955,2,20)),1000000000),1000000000))+ROW()/100000,"")</f>
        <v/>
      </c>
    </row>
    <row r="956">
      <c r="A956">
        <f>IF($B956="","",IFERROR(IF(INDEX('Per Invoice'!$A$2:$A$801,MATCH($B956,'Per Invoice'!$B$2:$B$801,0))=0,"",INDEX('Per Invoice'!$A$2:$A$801,MATCH($B956,'Per Invoice'!$B$2:$B$801,0))),""))</f>
        <v/>
      </c>
      <c r="J956" s="7">
        <f>IF($B956="","",I956*Q956/100)</f>
        <v/>
      </c>
      <c r="N956" s="7" t="n"/>
      <c r="O956" s="7" t="n"/>
      <c r="P956" s="7">
        <f>IF($B956="","",O956*X956/100)</f>
        <v/>
      </c>
      <c r="Q956" s="7">
        <f>IF($B956="","",O956-P956)</f>
        <v/>
      </c>
      <c r="R956" s="7">
        <f>IF($B956="","",Q956-J956)</f>
        <v/>
      </c>
      <c r="S956" s="7" t="n"/>
      <c r="T956" s="7" t="n"/>
      <c r="V956" s="14" t="n"/>
      <c r="Z956">
        <f>IF($B956="","",IF(COUNTIF($B$2:$B956,$B956)=1,1,0))</f>
        <v/>
      </c>
      <c r="AA956">
        <f>IF($Z956=1,SUMPRODUCT(--($AC$2:$AC$3001&lt;$AC956))+1,"")</f>
        <v/>
      </c>
      <c r="AB956">
        <f>IF($B956="","",IF(OR($Y956=TRUE(),$Y956="TRUE"),1,IF(AND($Y956&lt;&gt;"",OR($Y956=FALSE(),$Y956="FALSE")),0,IF(MIN(ABS($X956/100-Settings!$C$6),ABS($X956/100-Settings!$G$6))&lt;=MIN(ABS($X956/100-Settings!$C$7),ABS($X956/100-Settings!$G$7)),1,0))))</f>
        <v/>
      </c>
      <c r="AC956">
        <f>IF($Z956=1,IFERROR(IF(VALUE($B956)&lt;100000000,VALUE($B956),1000000000),IFERROR(IF(VALUE(MID($B956,2,20))&lt;100000000,VALUE(MID($B956,2,20)),1000000000),1000000000))+ROW()/100000,"")</f>
        <v/>
      </c>
    </row>
    <row r="957">
      <c r="A957">
        <f>IF($B957="","",IFERROR(IF(INDEX('Per Invoice'!$A$2:$A$801,MATCH($B957,'Per Invoice'!$B$2:$B$801,0))=0,"",INDEX('Per Invoice'!$A$2:$A$801,MATCH($B957,'Per Invoice'!$B$2:$B$801,0))),""))</f>
        <v/>
      </c>
      <c r="J957" s="7">
        <f>IF($B957="","",I957*Q957/100)</f>
        <v/>
      </c>
      <c r="N957" s="7" t="n"/>
      <c r="O957" s="7" t="n"/>
      <c r="P957" s="7">
        <f>IF($B957="","",O957*X957/100)</f>
        <v/>
      </c>
      <c r="Q957" s="7">
        <f>IF($B957="","",O957-P957)</f>
        <v/>
      </c>
      <c r="R957" s="7">
        <f>IF($B957="","",Q957-J957)</f>
        <v/>
      </c>
      <c r="S957" s="7" t="n"/>
      <c r="T957" s="7" t="n"/>
      <c r="V957" s="14" t="n"/>
      <c r="Z957">
        <f>IF($B957="","",IF(COUNTIF($B$2:$B957,$B957)=1,1,0))</f>
        <v/>
      </c>
      <c r="AA957">
        <f>IF($Z957=1,SUMPRODUCT(--($AC$2:$AC$3001&lt;$AC957))+1,"")</f>
        <v/>
      </c>
      <c r="AB957">
        <f>IF($B957="","",IF(OR($Y957=TRUE(),$Y957="TRUE"),1,IF(AND($Y957&lt;&gt;"",OR($Y957=FALSE(),$Y957="FALSE")),0,IF(MIN(ABS($X957/100-Settings!$C$6),ABS($X957/100-Settings!$G$6))&lt;=MIN(ABS($X957/100-Settings!$C$7),ABS($X957/100-Settings!$G$7)),1,0))))</f>
        <v/>
      </c>
      <c r="AC957">
        <f>IF($Z957=1,IFERROR(IF(VALUE($B957)&lt;100000000,VALUE($B957),1000000000),IFERROR(IF(VALUE(MID($B957,2,20))&lt;100000000,VALUE(MID($B957,2,20)),1000000000),1000000000))+ROW()/100000,"")</f>
        <v/>
      </c>
    </row>
    <row r="958">
      <c r="A958">
        <f>IF($B958="","",IFERROR(IF(INDEX('Per Invoice'!$A$2:$A$801,MATCH($B958,'Per Invoice'!$B$2:$B$801,0))=0,"",INDEX('Per Invoice'!$A$2:$A$801,MATCH($B958,'Per Invoice'!$B$2:$B$801,0))),""))</f>
        <v/>
      </c>
      <c r="J958" s="7">
        <f>IF($B958="","",I958*Q958/100)</f>
        <v/>
      </c>
      <c r="N958" s="7" t="n"/>
      <c r="O958" s="7" t="n"/>
      <c r="P958" s="7">
        <f>IF($B958="","",O958*X958/100)</f>
        <v/>
      </c>
      <c r="Q958" s="7">
        <f>IF($B958="","",O958-P958)</f>
        <v/>
      </c>
      <c r="R958" s="7">
        <f>IF($B958="","",Q958-J958)</f>
        <v/>
      </c>
      <c r="S958" s="7" t="n"/>
      <c r="T958" s="7" t="n"/>
      <c r="V958" s="14" t="n"/>
      <c r="Z958">
        <f>IF($B958="","",IF(COUNTIF($B$2:$B958,$B958)=1,1,0))</f>
        <v/>
      </c>
      <c r="AA958">
        <f>IF($Z958=1,SUMPRODUCT(--($AC$2:$AC$3001&lt;$AC958))+1,"")</f>
        <v/>
      </c>
      <c r="AB958">
        <f>IF($B958="","",IF(OR($Y958=TRUE(),$Y958="TRUE"),1,IF(AND($Y958&lt;&gt;"",OR($Y958=FALSE(),$Y958="FALSE")),0,IF(MIN(ABS($X958/100-Settings!$C$6),ABS($X958/100-Settings!$G$6))&lt;=MIN(ABS($X958/100-Settings!$C$7),ABS($X958/100-Settings!$G$7)),1,0))))</f>
        <v/>
      </c>
      <c r="AC958">
        <f>IF($Z958=1,IFERROR(IF(VALUE($B958)&lt;100000000,VALUE($B958),1000000000),IFERROR(IF(VALUE(MID($B958,2,20))&lt;100000000,VALUE(MID($B958,2,20)),1000000000),1000000000))+ROW()/100000,"")</f>
        <v/>
      </c>
    </row>
    <row r="959">
      <c r="A959">
        <f>IF($B959="","",IFERROR(IF(INDEX('Per Invoice'!$A$2:$A$801,MATCH($B959,'Per Invoice'!$B$2:$B$801,0))=0,"",INDEX('Per Invoice'!$A$2:$A$801,MATCH($B959,'Per Invoice'!$B$2:$B$801,0))),""))</f>
        <v/>
      </c>
      <c r="J959" s="7">
        <f>IF($B959="","",I959*Q959/100)</f>
        <v/>
      </c>
      <c r="N959" s="7" t="n"/>
      <c r="O959" s="7" t="n"/>
      <c r="P959" s="7">
        <f>IF($B959="","",O959*X959/100)</f>
        <v/>
      </c>
      <c r="Q959" s="7">
        <f>IF($B959="","",O959-P959)</f>
        <v/>
      </c>
      <c r="R959" s="7">
        <f>IF($B959="","",Q959-J959)</f>
        <v/>
      </c>
      <c r="S959" s="7" t="n"/>
      <c r="T959" s="7" t="n"/>
      <c r="V959" s="14" t="n"/>
      <c r="Z959">
        <f>IF($B959="","",IF(COUNTIF($B$2:$B959,$B959)=1,1,0))</f>
        <v/>
      </c>
      <c r="AA959">
        <f>IF($Z959=1,SUMPRODUCT(--($AC$2:$AC$3001&lt;$AC959))+1,"")</f>
        <v/>
      </c>
      <c r="AB959">
        <f>IF($B959="","",IF(OR($Y959=TRUE(),$Y959="TRUE"),1,IF(AND($Y959&lt;&gt;"",OR($Y959=FALSE(),$Y959="FALSE")),0,IF(MIN(ABS($X959/100-Settings!$C$6),ABS($X959/100-Settings!$G$6))&lt;=MIN(ABS($X959/100-Settings!$C$7),ABS($X959/100-Settings!$G$7)),1,0))))</f>
        <v/>
      </c>
      <c r="AC959">
        <f>IF($Z959=1,IFERROR(IF(VALUE($B959)&lt;100000000,VALUE($B959),1000000000),IFERROR(IF(VALUE(MID($B959,2,20))&lt;100000000,VALUE(MID($B959,2,20)),1000000000),1000000000))+ROW()/100000,"")</f>
        <v/>
      </c>
    </row>
    <row r="960">
      <c r="A960">
        <f>IF($B960="","",IFERROR(IF(INDEX('Per Invoice'!$A$2:$A$801,MATCH($B960,'Per Invoice'!$B$2:$B$801,0))=0,"",INDEX('Per Invoice'!$A$2:$A$801,MATCH($B960,'Per Invoice'!$B$2:$B$801,0))),""))</f>
        <v/>
      </c>
      <c r="J960" s="7">
        <f>IF($B960="","",I960*Q960/100)</f>
        <v/>
      </c>
      <c r="N960" s="7" t="n"/>
      <c r="O960" s="7" t="n"/>
      <c r="P960" s="7">
        <f>IF($B960="","",O960*X960/100)</f>
        <v/>
      </c>
      <c r="Q960" s="7">
        <f>IF($B960="","",O960-P960)</f>
        <v/>
      </c>
      <c r="R960" s="7">
        <f>IF($B960="","",Q960-J960)</f>
        <v/>
      </c>
      <c r="S960" s="7" t="n"/>
      <c r="T960" s="7" t="n"/>
      <c r="V960" s="14" t="n"/>
      <c r="Z960">
        <f>IF($B960="","",IF(COUNTIF($B$2:$B960,$B960)=1,1,0))</f>
        <v/>
      </c>
      <c r="AA960">
        <f>IF($Z960=1,SUMPRODUCT(--($AC$2:$AC$3001&lt;$AC960))+1,"")</f>
        <v/>
      </c>
      <c r="AB960">
        <f>IF($B960="","",IF(OR($Y960=TRUE(),$Y960="TRUE"),1,IF(AND($Y960&lt;&gt;"",OR($Y960=FALSE(),$Y960="FALSE")),0,IF(MIN(ABS($X960/100-Settings!$C$6),ABS($X960/100-Settings!$G$6))&lt;=MIN(ABS($X960/100-Settings!$C$7),ABS($X960/100-Settings!$G$7)),1,0))))</f>
        <v/>
      </c>
      <c r="AC960">
        <f>IF($Z960=1,IFERROR(IF(VALUE($B960)&lt;100000000,VALUE($B960),1000000000),IFERROR(IF(VALUE(MID($B960,2,20))&lt;100000000,VALUE(MID($B960,2,20)),1000000000),1000000000))+ROW()/100000,"")</f>
        <v/>
      </c>
    </row>
    <row r="961">
      <c r="A961">
        <f>IF($B961="","",IFERROR(IF(INDEX('Per Invoice'!$A$2:$A$801,MATCH($B961,'Per Invoice'!$B$2:$B$801,0))=0,"",INDEX('Per Invoice'!$A$2:$A$801,MATCH($B961,'Per Invoice'!$B$2:$B$801,0))),""))</f>
        <v/>
      </c>
      <c r="J961" s="7">
        <f>IF($B961="","",I961*Q961/100)</f>
        <v/>
      </c>
      <c r="N961" s="7" t="n"/>
      <c r="O961" s="7" t="n"/>
      <c r="P961" s="7">
        <f>IF($B961="","",O961*X961/100)</f>
        <v/>
      </c>
      <c r="Q961" s="7">
        <f>IF($B961="","",O961-P961)</f>
        <v/>
      </c>
      <c r="R961" s="7">
        <f>IF($B961="","",Q961-J961)</f>
        <v/>
      </c>
      <c r="S961" s="7" t="n"/>
      <c r="T961" s="7" t="n"/>
      <c r="V961" s="14" t="n"/>
      <c r="Z961">
        <f>IF($B961="","",IF(COUNTIF($B$2:$B961,$B961)=1,1,0))</f>
        <v/>
      </c>
      <c r="AA961">
        <f>IF($Z961=1,SUMPRODUCT(--($AC$2:$AC$3001&lt;$AC961))+1,"")</f>
        <v/>
      </c>
      <c r="AB961">
        <f>IF($B961="","",IF(OR($Y961=TRUE(),$Y961="TRUE"),1,IF(AND($Y961&lt;&gt;"",OR($Y961=FALSE(),$Y961="FALSE")),0,IF(MIN(ABS($X961/100-Settings!$C$6),ABS($X961/100-Settings!$G$6))&lt;=MIN(ABS($X961/100-Settings!$C$7),ABS($X961/100-Settings!$G$7)),1,0))))</f>
        <v/>
      </c>
      <c r="AC961">
        <f>IF($Z961=1,IFERROR(IF(VALUE($B961)&lt;100000000,VALUE($B961),1000000000),IFERROR(IF(VALUE(MID($B961,2,20))&lt;100000000,VALUE(MID($B961,2,20)),1000000000),1000000000))+ROW()/100000,"")</f>
        <v/>
      </c>
    </row>
    <row r="962">
      <c r="A962">
        <f>IF($B962="","",IFERROR(IF(INDEX('Per Invoice'!$A$2:$A$801,MATCH($B962,'Per Invoice'!$B$2:$B$801,0))=0,"",INDEX('Per Invoice'!$A$2:$A$801,MATCH($B962,'Per Invoice'!$B$2:$B$801,0))),""))</f>
        <v/>
      </c>
      <c r="J962" s="7">
        <f>IF($B962="","",I962*Q962/100)</f>
        <v/>
      </c>
      <c r="N962" s="7" t="n"/>
      <c r="O962" s="7" t="n"/>
      <c r="P962" s="7">
        <f>IF($B962="","",O962*X962/100)</f>
        <v/>
      </c>
      <c r="Q962" s="7">
        <f>IF($B962="","",O962-P962)</f>
        <v/>
      </c>
      <c r="R962" s="7">
        <f>IF($B962="","",Q962-J962)</f>
        <v/>
      </c>
      <c r="S962" s="7" t="n"/>
      <c r="T962" s="7" t="n"/>
      <c r="V962" s="14" t="n"/>
      <c r="Z962">
        <f>IF($B962="","",IF(COUNTIF($B$2:$B962,$B962)=1,1,0))</f>
        <v/>
      </c>
      <c r="AA962">
        <f>IF($Z962=1,SUMPRODUCT(--($AC$2:$AC$3001&lt;$AC962))+1,"")</f>
        <v/>
      </c>
      <c r="AB962">
        <f>IF($B962="","",IF(OR($Y962=TRUE(),$Y962="TRUE"),1,IF(AND($Y962&lt;&gt;"",OR($Y962=FALSE(),$Y962="FALSE")),0,IF(MIN(ABS($X962/100-Settings!$C$6),ABS($X962/100-Settings!$G$6))&lt;=MIN(ABS($X962/100-Settings!$C$7),ABS($X962/100-Settings!$G$7)),1,0))))</f>
        <v/>
      </c>
      <c r="AC962">
        <f>IF($Z962=1,IFERROR(IF(VALUE($B962)&lt;100000000,VALUE($B962),1000000000),IFERROR(IF(VALUE(MID($B962,2,20))&lt;100000000,VALUE(MID($B962,2,20)),1000000000),1000000000))+ROW()/100000,"")</f>
        <v/>
      </c>
    </row>
    <row r="963">
      <c r="A963">
        <f>IF($B963="","",IFERROR(IF(INDEX('Per Invoice'!$A$2:$A$801,MATCH($B963,'Per Invoice'!$B$2:$B$801,0))=0,"",INDEX('Per Invoice'!$A$2:$A$801,MATCH($B963,'Per Invoice'!$B$2:$B$801,0))),""))</f>
        <v/>
      </c>
      <c r="J963" s="7">
        <f>IF($B963="","",I963*Q963/100)</f>
        <v/>
      </c>
      <c r="N963" s="7" t="n"/>
      <c r="O963" s="7" t="n"/>
      <c r="P963" s="7">
        <f>IF($B963="","",O963*X963/100)</f>
        <v/>
      </c>
      <c r="Q963" s="7">
        <f>IF($B963="","",O963-P963)</f>
        <v/>
      </c>
      <c r="R963" s="7">
        <f>IF($B963="","",Q963-J963)</f>
        <v/>
      </c>
      <c r="S963" s="7" t="n"/>
      <c r="T963" s="7" t="n"/>
      <c r="V963" s="14" t="n"/>
      <c r="Z963">
        <f>IF($B963="","",IF(COUNTIF($B$2:$B963,$B963)=1,1,0))</f>
        <v/>
      </c>
      <c r="AA963">
        <f>IF($Z963=1,SUMPRODUCT(--($AC$2:$AC$3001&lt;$AC963))+1,"")</f>
        <v/>
      </c>
      <c r="AB963">
        <f>IF($B963="","",IF(OR($Y963=TRUE(),$Y963="TRUE"),1,IF(AND($Y963&lt;&gt;"",OR($Y963=FALSE(),$Y963="FALSE")),0,IF(MIN(ABS($X963/100-Settings!$C$6),ABS($X963/100-Settings!$G$6))&lt;=MIN(ABS($X963/100-Settings!$C$7),ABS($X963/100-Settings!$G$7)),1,0))))</f>
        <v/>
      </c>
      <c r="AC963">
        <f>IF($Z963=1,IFERROR(IF(VALUE($B963)&lt;100000000,VALUE($B963),1000000000),IFERROR(IF(VALUE(MID($B963,2,20))&lt;100000000,VALUE(MID($B963,2,20)),1000000000),1000000000))+ROW()/100000,"")</f>
        <v/>
      </c>
    </row>
    <row r="964">
      <c r="A964">
        <f>IF($B964="","",IFERROR(IF(INDEX('Per Invoice'!$A$2:$A$801,MATCH($B964,'Per Invoice'!$B$2:$B$801,0))=0,"",INDEX('Per Invoice'!$A$2:$A$801,MATCH($B964,'Per Invoice'!$B$2:$B$801,0))),""))</f>
        <v/>
      </c>
      <c r="J964" s="7">
        <f>IF($B964="","",I964*Q964/100)</f>
        <v/>
      </c>
      <c r="N964" s="7" t="n"/>
      <c r="O964" s="7" t="n"/>
      <c r="P964" s="7">
        <f>IF($B964="","",O964*X964/100)</f>
        <v/>
      </c>
      <c r="Q964" s="7">
        <f>IF($B964="","",O964-P964)</f>
        <v/>
      </c>
      <c r="R964" s="7">
        <f>IF($B964="","",Q964-J964)</f>
        <v/>
      </c>
      <c r="S964" s="7" t="n"/>
      <c r="T964" s="7" t="n"/>
      <c r="V964" s="14" t="n"/>
      <c r="Z964">
        <f>IF($B964="","",IF(COUNTIF($B$2:$B964,$B964)=1,1,0))</f>
        <v/>
      </c>
      <c r="AA964">
        <f>IF($Z964=1,SUMPRODUCT(--($AC$2:$AC$3001&lt;$AC964))+1,"")</f>
        <v/>
      </c>
      <c r="AB964">
        <f>IF($B964="","",IF(OR($Y964=TRUE(),$Y964="TRUE"),1,IF(AND($Y964&lt;&gt;"",OR($Y964=FALSE(),$Y964="FALSE")),0,IF(MIN(ABS($X964/100-Settings!$C$6),ABS($X964/100-Settings!$G$6))&lt;=MIN(ABS($X964/100-Settings!$C$7),ABS($X964/100-Settings!$G$7)),1,0))))</f>
        <v/>
      </c>
      <c r="AC964">
        <f>IF($Z964=1,IFERROR(IF(VALUE($B964)&lt;100000000,VALUE($B964),1000000000),IFERROR(IF(VALUE(MID($B964,2,20))&lt;100000000,VALUE(MID($B964,2,20)),1000000000),1000000000))+ROW()/100000,"")</f>
        <v/>
      </c>
    </row>
    <row r="965">
      <c r="A965">
        <f>IF($B965="","",IFERROR(IF(INDEX('Per Invoice'!$A$2:$A$801,MATCH($B965,'Per Invoice'!$B$2:$B$801,0))=0,"",INDEX('Per Invoice'!$A$2:$A$801,MATCH($B965,'Per Invoice'!$B$2:$B$801,0))),""))</f>
        <v/>
      </c>
      <c r="J965" s="7">
        <f>IF($B965="","",I965*Q965/100)</f>
        <v/>
      </c>
      <c r="N965" s="7" t="n"/>
      <c r="O965" s="7" t="n"/>
      <c r="P965" s="7">
        <f>IF($B965="","",O965*X965/100)</f>
        <v/>
      </c>
      <c r="Q965" s="7">
        <f>IF($B965="","",O965-P965)</f>
        <v/>
      </c>
      <c r="R965" s="7">
        <f>IF($B965="","",Q965-J965)</f>
        <v/>
      </c>
      <c r="S965" s="7" t="n"/>
      <c r="T965" s="7" t="n"/>
      <c r="V965" s="14" t="n"/>
      <c r="Z965">
        <f>IF($B965="","",IF(COUNTIF($B$2:$B965,$B965)=1,1,0))</f>
        <v/>
      </c>
      <c r="AA965">
        <f>IF($Z965=1,SUMPRODUCT(--($AC$2:$AC$3001&lt;$AC965))+1,"")</f>
        <v/>
      </c>
      <c r="AB965">
        <f>IF($B965="","",IF(OR($Y965=TRUE(),$Y965="TRUE"),1,IF(AND($Y965&lt;&gt;"",OR($Y965=FALSE(),$Y965="FALSE")),0,IF(MIN(ABS($X965/100-Settings!$C$6),ABS($X965/100-Settings!$G$6))&lt;=MIN(ABS($X965/100-Settings!$C$7),ABS($X965/100-Settings!$G$7)),1,0))))</f>
        <v/>
      </c>
      <c r="AC965">
        <f>IF($Z965=1,IFERROR(IF(VALUE($B965)&lt;100000000,VALUE($B965),1000000000),IFERROR(IF(VALUE(MID($B965,2,20))&lt;100000000,VALUE(MID($B965,2,20)),1000000000),1000000000))+ROW()/100000,"")</f>
        <v/>
      </c>
    </row>
    <row r="966">
      <c r="A966">
        <f>IF($B966="","",IFERROR(IF(INDEX('Per Invoice'!$A$2:$A$801,MATCH($B966,'Per Invoice'!$B$2:$B$801,0))=0,"",INDEX('Per Invoice'!$A$2:$A$801,MATCH($B966,'Per Invoice'!$B$2:$B$801,0))),""))</f>
        <v/>
      </c>
      <c r="J966" s="7">
        <f>IF($B966="","",I966*Q966/100)</f>
        <v/>
      </c>
      <c r="N966" s="7" t="n"/>
      <c r="O966" s="7" t="n"/>
      <c r="P966" s="7">
        <f>IF($B966="","",O966*X966/100)</f>
        <v/>
      </c>
      <c r="Q966" s="7">
        <f>IF($B966="","",O966-P966)</f>
        <v/>
      </c>
      <c r="R966" s="7">
        <f>IF($B966="","",Q966-J966)</f>
        <v/>
      </c>
      <c r="S966" s="7" t="n"/>
      <c r="T966" s="7" t="n"/>
      <c r="V966" s="14" t="n"/>
      <c r="Z966">
        <f>IF($B966="","",IF(COUNTIF($B$2:$B966,$B966)=1,1,0))</f>
        <v/>
      </c>
      <c r="AA966">
        <f>IF($Z966=1,SUMPRODUCT(--($AC$2:$AC$3001&lt;$AC966))+1,"")</f>
        <v/>
      </c>
      <c r="AB966">
        <f>IF($B966="","",IF(OR($Y966=TRUE(),$Y966="TRUE"),1,IF(AND($Y966&lt;&gt;"",OR($Y966=FALSE(),$Y966="FALSE")),0,IF(MIN(ABS($X966/100-Settings!$C$6),ABS($X966/100-Settings!$G$6))&lt;=MIN(ABS($X966/100-Settings!$C$7),ABS($X966/100-Settings!$G$7)),1,0))))</f>
        <v/>
      </c>
      <c r="AC966">
        <f>IF($Z966=1,IFERROR(IF(VALUE($B966)&lt;100000000,VALUE($B966),1000000000),IFERROR(IF(VALUE(MID($B966,2,20))&lt;100000000,VALUE(MID($B966,2,20)),1000000000),1000000000))+ROW()/100000,"")</f>
        <v/>
      </c>
    </row>
    <row r="967">
      <c r="A967">
        <f>IF($B967="","",IFERROR(IF(INDEX('Per Invoice'!$A$2:$A$801,MATCH($B967,'Per Invoice'!$B$2:$B$801,0))=0,"",INDEX('Per Invoice'!$A$2:$A$801,MATCH($B967,'Per Invoice'!$B$2:$B$801,0))),""))</f>
        <v/>
      </c>
      <c r="J967" s="7">
        <f>IF($B967="","",I967*Q967/100)</f>
        <v/>
      </c>
      <c r="N967" s="7" t="n"/>
      <c r="O967" s="7" t="n"/>
      <c r="P967" s="7">
        <f>IF($B967="","",O967*X967/100)</f>
        <v/>
      </c>
      <c r="Q967" s="7">
        <f>IF($B967="","",O967-P967)</f>
        <v/>
      </c>
      <c r="R967" s="7">
        <f>IF($B967="","",Q967-J967)</f>
        <v/>
      </c>
      <c r="S967" s="7" t="n"/>
      <c r="T967" s="7" t="n"/>
      <c r="V967" s="14" t="n"/>
      <c r="Z967">
        <f>IF($B967="","",IF(COUNTIF($B$2:$B967,$B967)=1,1,0))</f>
        <v/>
      </c>
      <c r="AA967">
        <f>IF($Z967=1,SUMPRODUCT(--($AC$2:$AC$3001&lt;$AC967))+1,"")</f>
        <v/>
      </c>
      <c r="AB967">
        <f>IF($B967="","",IF(OR($Y967=TRUE(),$Y967="TRUE"),1,IF(AND($Y967&lt;&gt;"",OR($Y967=FALSE(),$Y967="FALSE")),0,IF(MIN(ABS($X967/100-Settings!$C$6),ABS($X967/100-Settings!$G$6))&lt;=MIN(ABS($X967/100-Settings!$C$7),ABS($X967/100-Settings!$G$7)),1,0))))</f>
        <v/>
      </c>
      <c r="AC967">
        <f>IF($Z967=1,IFERROR(IF(VALUE($B967)&lt;100000000,VALUE($B967),1000000000),IFERROR(IF(VALUE(MID($B967,2,20))&lt;100000000,VALUE(MID($B967,2,20)),1000000000),1000000000))+ROW()/100000,"")</f>
        <v/>
      </c>
    </row>
    <row r="968">
      <c r="A968">
        <f>IF($B968="","",IFERROR(IF(INDEX('Per Invoice'!$A$2:$A$801,MATCH($B968,'Per Invoice'!$B$2:$B$801,0))=0,"",INDEX('Per Invoice'!$A$2:$A$801,MATCH($B968,'Per Invoice'!$B$2:$B$801,0))),""))</f>
        <v/>
      </c>
      <c r="J968" s="7">
        <f>IF($B968="","",I968*Q968/100)</f>
        <v/>
      </c>
      <c r="N968" s="7" t="n"/>
      <c r="O968" s="7" t="n"/>
      <c r="P968" s="7">
        <f>IF($B968="","",O968*X968/100)</f>
        <v/>
      </c>
      <c r="Q968" s="7">
        <f>IF($B968="","",O968-P968)</f>
        <v/>
      </c>
      <c r="R968" s="7">
        <f>IF($B968="","",Q968-J968)</f>
        <v/>
      </c>
      <c r="S968" s="7" t="n"/>
      <c r="T968" s="7" t="n"/>
      <c r="V968" s="14" t="n"/>
      <c r="Z968">
        <f>IF($B968="","",IF(COUNTIF($B$2:$B968,$B968)=1,1,0))</f>
        <v/>
      </c>
      <c r="AA968">
        <f>IF($Z968=1,SUMPRODUCT(--($AC$2:$AC$3001&lt;$AC968))+1,"")</f>
        <v/>
      </c>
      <c r="AB968">
        <f>IF($B968="","",IF(OR($Y968=TRUE(),$Y968="TRUE"),1,IF(AND($Y968&lt;&gt;"",OR($Y968=FALSE(),$Y968="FALSE")),0,IF(MIN(ABS($X968/100-Settings!$C$6),ABS($X968/100-Settings!$G$6))&lt;=MIN(ABS($X968/100-Settings!$C$7),ABS($X968/100-Settings!$G$7)),1,0))))</f>
        <v/>
      </c>
      <c r="AC968">
        <f>IF($Z968=1,IFERROR(IF(VALUE($B968)&lt;100000000,VALUE($B968),1000000000),IFERROR(IF(VALUE(MID($B968,2,20))&lt;100000000,VALUE(MID($B968,2,20)),1000000000),1000000000))+ROW()/100000,"")</f>
        <v/>
      </c>
    </row>
    <row r="969">
      <c r="A969">
        <f>IF($B969="","",IFERROR(IF(INDEX('Per Invoice'!$A$2:$A$801,MATCH($B969,'Per Invoice'!$B$2:$B$801,0))=0,"",INDEX('Per Invoice'!$A$2:$A$801,MATCH($B969,'Per Invoice'!$B$2:$B$801,0))),""))</f>
        <v/>
      </c>
      <c r="J969" s="7">
        <f>IF($B969="","",I969*Q969/100)</f>
        <v/>
      </c>
      <c r="N969" s="7" t="n"/>
      <c r="O969" s="7" t="n"/>
      <c r="P969" s="7">
        <f>IF($B969="","",O969*X969/100)</f>
        <v/>
      </c>
      <c r="Q969" s="7">
        <f>IF($B969="","",O969-P969)</f>
        <v/>
      </c>
      <c r="R969" s="7">
        <f>IF($B969="","",Q969-J969)</f>
        <v/>
      </c>
      <c r="S969" s="7" t="n"/>
      <c r="T969" s="7" t="n"/>
      <c r="V969" s="14" t="n"/>
      <c r="Z969">
        <f>IF($B969="","",IF(COUNTIF($B$2:$B969,$B969)=1,1,0))</f>
        <v/>
      </c>
      <c r="AA969">
        <f>IF($Z969=1,SUMPRODUCT(--($AC$2:$AC$3001&lt;$AC969))+1,"")</f>
        <v/>
      </c>
      <c r="AB969">
        <f>IF($B969="","",IF(OR($Y969=TRUE(),$Y969="TRUE"),1,IF(AND($Y969&lt;&gt;"",OR($Y969=FALSE(),$Y969="FALSE")),0,IF(MIN(ABS($X969/100-Settings!$C$6),ABS($X969/100-Settings!$G$6))&lt;=MIN(ABS($X969/100-Settings!$C$7),ABS($X969/100-Settings!$G$7)),1,0))))</f>
        <v/>
      </c>
      <c r="AC969">
        <f>IF($Z969=1,IFERROR(IF(VALUE($B969)&lt;100000000,VALUE($B969),1000000000),IFERROR(IF(VALUE(MID($B969,2,20))&lt;100000000,VALUE(MID($B969,2,20)),1000000000),1000000000))+ROW()/100000,"")</f>
        <v/>
      </c>
    </row>
    <row r="970">
      <c r="A970">
        <f>IF($B970="","",IFERROR(IF(INDEX('Per Invoice'!$A$2:$A$801,MATCH($B970,'Per Invoice'!$B$2:$B$801,0))=0,"",INDEX('Per Invoice'!$A$2:$A$801,MATCH($B970,'Per Invoice'!$B$2:$B$801,0))),""))</f>
        <v/>
      </c>
      <c r="J970" s="7">
        <f>IF($B970="","",I970*Q970/100)</f>
        <v/>
      </c>
      <c r="N970" s="7" t="n"/>
      <c r="O970" s="7" t="n"/>
      <c r="P970" s="7">
        <f>IF($B970="","",O970*X970/100)</f>
        <v/>
      </c>
      <c r="Q970" s="7">
        <f>IF($B970="","",O970-P970)</f>
        <v/>
      </c>
      <c r="R970" s="7">
        <f>IF($B970="","",Q970-J970)</f>
        <v/>
      </c>
      <c r="S970" s="7" t="n"/>
      <c r="T970" s="7" t="n"/>
      <c r="V970" s="14" t="n"/>
      <c r="Z970">
        <f>IF($B970="","",IF(COUNTIF($B$2:$B970,$B970)=1,1,0))</f>
        <v/>
      </c>
      <c r="AA970">
        <f>IF($Z970=1,SUMPRODUCT(--($AC$2:$AC$3001&lt;$AC970))+1,"")</f>
        <v/>
      </c>
      <c r="AB970">
        <f>IF($B970="","",IF(OR($Y970=TRUE(),$Y970="TRUE"),1,IF(AND($Y970&lt;&gt;"",OR($Y970=FALSE(),$Y970="FALSE")),0,IF(MIN(ABS($X970/100-Settings!$C$6),ABS($X970/100-Settings!$G$6))&lt;=MIN(ABS($X970/100-Settings!$C$7),ABS($X970/100-Settings!$G$7)),1,0))))</f>
        <v/>
      </c>
      <c r="AC970">
        <f>IF($Z970=1,IFERROR(IF(VALUE($B970)&lt;100000000,VALUE($B970),1000000000),IFERROR(IF(VALUE(MID($B970,2,20))&lt;100000000,VALUE(MID($B970,2,20)),1000000000),1000000000))+ROW()/100000,"")</f>
        <v/>
      </c>
    </row>
    <row r="971">
      <c r="A971">
        <f>IF($B971="","",IFERROR(IF(INDEX('Per Invoice'!$A$2:$A$801,MATCH($B971,'Per Invoice'!$B$2:$B$801,0))=0,"",INDEX('Per Invoice'!$A$2:$A$801,MATCH($B971,'Per Invoice'!$B$2:$B$801,0))),""))</f>
        <v/>
      </c>
      <c r="J971" s="7">
        <f>IF($B971="","",I971*Q971/100)</f>
        <v/>
      </c>
      <c r="N971" s="7" t="n"/>
      <c r="O971" s="7" t="n"/>
      <c r="P971" s="7">
        <f>IF($B971="","",O971*X971/100)</f>
        <v/>
      </c>
      <c r="Q971" s="7">
        <f>IF($B971="","",O971-P971)</f>
        <v/>
      </c>
      <c r="R971" s="7">
        <f>IF($B971="","",Q971-J971)</f>
        <v/>
      </c>
      <c r="S971" s="7" t="n"/>
      <c r="T971" s="7" t="n"/>
      <c r="V971" s="14" t="n"/>
      <c r="Z971">
        <f>IF($B971="","",IF(COUNTIF($B$2:$B971,$B971)=1,1,0))</f>
        <v/>
      </c>
      <c r="AA971">
        <f>IF($Z971=1,SUMPRODUCT(--($AC$2:$AC$3001&lt;$AC971))+1,"")</f>
        <v/>
      </c>
      <c r="AB971">
        <f>IF($B971="","",IF(OR($Y971=TRUE(),$Y971="TRUE"),1,IF(AND($Y971&lt;&gt;"",OR($Y971=FALSE(),$Y971="FALSE")),0,IF(MIN(ABS($X971/100-Settings!$C$6),ABS($X971/100-Settings!$G$6))&lt;=MIN(ABS($X971/100-Settings!$C$7),ABS($X971/100-Settings!$G$7)),1,0))))</f>
        <v/>
      </c>
      <c r="AC971">
        <f>IF($Z971=1,IFERROR(IF(VALUE($B971)&lt;100000000,VALUE($B971),1000000000),IFERROR(IF(VALUE(MID($B971,2,20))&lt;100000000,VALUE(MID($B971,2,20)),1000000000),1000000000))+ROW()/100000,"")</f>
        <v/>
      </c>
    </row>
    <row r="972">
      <c r="A972">
        <f>IF($B972="","",IFERROR(IF(INDEX('Per Invoice'!$A$2:$A$801,MATCH($B972,'Per Invoice'!$B$2:$B$801,0))=0,"",INDEX('Per Invoice'!$A$2:$A$801,MATCH($B972,'Per Invoice'!$B$2:$B$801,0))),""))</f>
        <v/>
      </c>
      <c r="J972" s="7">
        <f>IF($B972="","",I972*Q972/100)</f>
        <v/>
      </c>
      <c r="N972" s="7" t="n"/>
      <c r="O972" s="7" t="n"/>
      <c r="P972" s="7">
        <f>IF($B972="","",O972*X972/100)</f>
        <v/>
      </c>
      <c r="Q972" s="7">
        <f>IF($B972="","",O972-P972)</f>
        <v/>
      </c>
      <c r="R972" s="7">
        <f>IF($B972="","",Q972-J972)</f>
        <v/>
      </c>
      <c r="S972" s="7" t="n"/>
      <c r="T972" s="7" t="n"/>
      <c r="V972" s="14" t="n"/>
      <c r="Z972">
        <f>IF($B972="","",IF(COUNTIF($B$2:$B972,$B972)=1,1,0))</f>
        <v/>
      </c>
      <c r="AA972">
        <f>IF($Z972=1,SUMPRODUCT(--($AC$2:$AC$3001&lt;$AC972))+1,"")</f>
        <v/>
      </c>
      <c r="AB972">
        <f>IF($B972="","",IF(OR($Y972=TRUE(),$Y972="TRUE"),1,IF(AND($Y972&lt;&gt;"",OR($Y972=FALSE(),$Y972="FALSE")),0,IF(MIN(ABS($X972/100-Settings!$C$6),ABS($X972/100-Settings!$G$6))&lt;=MIN(ABS($X972/100-Settings!$C$7),ABS($X972/100-Settings!$G$7)),1,0))))</f>
        <v/>
      </c>
      <c r="AC972">
        <f>IF($Z972=1,IFERROR(IF(VALUE($B972)&lt;100000000,VALUE($B972),1000000000),IFERROR(IF(VALUE(MID($B972,2,20))&lt;100000000,VALUE(MID($B972,2,20)),1000000000),1000000000))+ROW()/100000,"")</f>
        <v/>
      </c>
    </row>
    <row r="973">
      <c r="A973">
        <f>IF($B973="","",IFERROR(IF(INDEX('Per Invoice'!$A$2:$A$801,MATCH($B973,'Per Invoice'!$B$2:$B$801,0))=0,"",INDEX('Per Invoice'!$A$2:$A$801,MATCH($B973,'Per Invoice'!$B$2:$B$801,0))),""))</f>
        <v/>
      </c>
      <c r="J973" s="7">
        <f>IF($B973="","",I973*Q973/100)</f>
        <v/>
      </c>
      <c r="N973" s="7" t="n"/>
      <c r="O973" s="7" t="n"/>
      <c r="P973" s="7">
        <f>IF($B973="","",O973*X973/100)</f>
        <v/>
      </c>
      <c r="Q973" s="7">
        <f>IF($B973="","",O973-P973)</f>
        <v/>
      </c>
      <c r="R973" s="7">
        <f>IF($B973="","",Q973-J973)</f>
        <v/>
      </c>
      <c r="S973" s="7" t="n"/>
      <c r="T973" s="7" t="n"/>
      <c r="V973" s="14" t="n"/>
      <c r="Z973">
        <f>IF($B973="","",IF(COUNTIF($B$2:$B973,$B973)=1,1,0))</f>
        <v/>
      </c>
      <c r="AA973">
        <f>IF($Z973=1,SUMPRODUCT(--($AC$2:$AC$3001&lt;$AC973))+1,"")</f>
        <v/>
      </c>
      <c r="AB973">
        <f>IF($B973="","",IF(OR($Y973=TRUE(),$Y973="TRUE"),1,IF(AND($Y973&lt;&gt;"",OR($Y973=FALSE(),$Y973="FALSE")),0,IF(MIN(ABS($X973/100-Settings!$C$6),ABS($X973/100-Settings!$G$6))&lt;=MIN(ABS($X973/100-Settings!$C$7),ABS($X973/100-Settings!$G$7)),1,0))))</f>
        <v/>
      </c>
      <c r="AC973">
        <f>IF($Z973=1,IFERROR(IF(VALUE($B973)&lt;100000000,VALUE($B973),1000000000),IFERROR(IF(VALUE(MID($B973,2,20))&lt;100000000,VALUE(MID($B973,2,20)),1000000000),1000000000))+ROW()/100000,"")</f>
        <v/>
      </c>
    </row>
    <row r="974">
      <c r="A974">
        <f>IF($B974="","",IFERROR(IF(INDEX('Per Invoice'!$A$2:$A$801,MATCH($B974,'Per Invoice'!$B$2:$B$801,0))=0,"",INDEX('Per Invoice'!$A$2:$A$801,MATCH($B974,'Per Invoice'!$B$2:$B$801,0))),""))</f>
        <v/>
      </c>
      <c r="J974" s="7">
        <f>IF($B974="","",I974*Q974/100)</f>
        <v/>
      </c>
      <c r="N974" s="7" t="n"/>
      <c r="O974" s="7" t="n"/>
      <c r="P974" s="7">
        <f>IF($B974="","",O974*X974/100)</f>
        <v/>
      </c>
      <c r="Q974" s="7">
        <f>IF($B974="","",O974-P974)</f>
        <v/>
      </c>
      <c r="R974" s="7">
        <f>IF($B974="","",Q974-J974)</f>
        <v/>
      </c>
      <c r="S974" s="7" t="n"/>
      <c r="T974" s="7" t="n"/>
      <c r="V974" s="14" t="n"/>
      <c r="Z974">
        <f>IF($B974="","",IF(COUNTIF($B$2:$B974,$B974)=1,1,0))</f>
        <v/>
      </c>
      <c r="AA974">
        <f>IF($Z974=1,SUMPRODUCT(--($AC$2:$AC$3001&lt;$AC974))+1,"")</f>
        <v/>
      </c>
      <c r="AB974">
        <f>IF($B974="","",IF(OR($Y974=TRUE(),$Y974="TRUE"),1,IF(AND($Y974&lt;&gt;"",OR($Y974=FALSE(),$Y974="FALSE")),0,IF(MIN(ABS($X974/100-Settings!$C$6),ABS($X974/100-Settings!$G$6))&lt;=MIN(ABS($X974/100-Settings!$C$7),ABS($X974/100-Settings!$G$7)),1,0))))</f>
        <v/>
      </c>
      <c r="AC974">
        <f>IF($Z974=1,IFERROR(IF(VALUE($B974)&lt;100000000,VALUE($B974),1000000000),IFERROR(IF(VALUE(MID($B974,2,20))&lt;100000000,VALUE(MID($B974,2,20)),1000000000),1000000000))+ROW()/100000,"")</f>
        <v/>
      </c>
    </row>
    <row r="975">
      <c r="A975">
        <f>IF($B975="","",IFERROR(IF(INDEX('Per Invoice'!$A$2:$A$801,MATCH($B975,'Per Invoice'!$B$2:$B$801,0))=0,"",INDEX('Per Invoice'!$A$2:$A$801,MATCH($B975,'Per Invoice'!$B$2:$B$801,0))),""))</f>
        <v/>
      </c>
      <c r="J975" s="7">
        <f>IF($B975="","",I975*Q975/100)</f>
        <v/>
      </c>
      <c r="N975" s="7" t="n"/>
      <c r="O975" s="7" t="n"/>
      <c r="P975" s="7">
        <f>IF($B975="","",O975*X975/100)</f>
        <v/>
      </c>
      <c r="Q975" s="7">
        <f>IF($B975="","",O975-P975)</f>
        <v/>
      </c>
      <c r="R975" s="7">
        <f>IF($B975="","",Q975-J975)</f>
        <v/>
      </c>
      <c r="S975" s="7" t="n"/>
      <c r="T975" s="7" t="n"/>
      <c r="V975" s="14" t="n"/>
      <c r="Z975">
        <f>IF($B975="","",IF(COUNTIF($B$2:$B975,$B975)=1,1,0))</f>
        <v/>
      </c>
      <c r="AA975">
        <f>IF($Z975=1,SUMPRODUCT(--($AC$2:$AC$3001&lt;$AC975))+1,"")</f>
        <v/>
      </c>
      <c r="AB975">
        <f>IF($B975="","",IF(OR($Y975=TRUE(),$Y975="TRUE"),1,IF(AND($Y975&lt;&gt;"",OR($Y975=FALSE(),$Y975="FALSE")),0,IF(MIN(ABS($X975/100-Settings!$C$6),ABS($X975/100-Settings!$G$6))&lt;=MIN(ABS($X975/100-Settings!$C$7),ABS($X975/100-Settings!$G$7)),1,0))))</f>
        <v/>
      </c>
      <c r="AC975">
        <f>IF($Z975=1,IFERROR(IF(VALUE($B975)&lt;100000000,VALUE($B975),1000000000),IFERROR(IF(VALUE(MID($B975,2,20))&lt;100000000,VALUE(MID($B975,2,20)),1000000000),1000000000))+ROW()/100000,"")</f>
        <v/>
      </c>
    </row>
    <row r="976">
      <c r="A976">
        <f>IF($B976="","",IFERROR(IF(INDEX('Per Invoice'!$A$2:$A$801,MATCH($B976,'Per Invoice'!$B$2:$B$801,0))=0,"",INDEX('Per Invoice'!$A$2:$A$801,MATCH($B976,'Per Invoice'!$B$2:$B$801,0))),""))</f>
        <v/>
      </c>
      <c r="J976" s="7">
        <f>IF($B976="","",I976*Q976/100)</f>
        <v/>
      </c>
      <c r="N976" s="7" t="n"/>
      <c r="O976" s="7" t="n"/>
      <c r="P976" s="7">
        <f>IF($B976="","",O976*X976/100)</f>
        <v/>
      </c>
      <c r="Q976" s="7">
        <f>IF($B976="","",O976-P976)</f>
        <v/>
      </c>
      <c r="R976" s="7">
        <f>IF($B976="","",Q976-J976)</f>
        <v/>
      </c>
      <c r="S976" s="7" t="n"/>
      <c r="T976" s="7" t="n"/>
      <c r="V976" s="14" t="n"/>
      <c r="Z976">
        <f>IF($B976="","",IF(COUNTIF($B$2:$B976,$B976)=1,1,0))</f>
        <v/>
      </c>
      <c r="AA976">
        <f>IF($Z976=1,SUMPRODUCT(--($AC$2:$AC$3001&lt;$AC976))+1,"")</f>
        <v/>
      </c>
      <c r="AB976">
        <f>IF($B976="","",IF(OR($Y976=TRUE(),$Y976="TRUE"),1,IF(AND($Y976&lt;&gt;"",OR($Y976=FALSE(),$Y976="FALSE")),0,IF(MIN(ABS($X976/100-Settings!$C$6),ABS($X976/100-Settings!$G$6))&lt;=MIN(ABS($X976/100-Settings!$C$7),ABS($X976/100-Settings!$G$7)),1,0))))</f>
        <v/>
      </c>
      <c r="AC976">
        <f>IF($Z976=1,IFERROR(IF(VALUE($B976)&lt;100000000,VALUE($B976),1000000000),IFERROR(IF(VALUE(MID($B976,2,20))&lt;100000000,VALUE(MID($B976,2,20)),1000000000),1000000000))+ROW()/100000,"")</f>
        <v/>
      </c>
    </row>
    <row r="977">
      <c r="A977">
        <f>IF($B977="","",IFERROR(IF(INDEX('Per Invoice'!$A$2:$A$801,MATCH($B977,'Per Invoice'!$B$2:$B$801,0))=0,"",INDEX('Per Invoice'!$A$2:$A$801,MATCH($B977,'Per Invoice'!$B$2:$B$801,0))),""))</f>
        <v/>
      </c>
      <c r="J977" s="7">
        <f>IF($B977="","",I977*Q977/100)</f>
        <v/>
      </c>
      <c r="N977" s="7" t="n"/>
      <c r="O977" s="7" t="n"/>
      <c r="P977" s="7">
        <f>IF($B977="","",O977*X977/100)</f>
        <v/>
      </c>
      <c r="Q977" s="7">
        <f>IF($B977="","",O977-P977)</f>
        <v/>
      </c>
      <c r="R977" s="7">
        <f>IF($B977="","",Q977-J977)</f>
        <v/>
      </c>
      <c r="S977" s="7" t="n"/>
      <c r="T977" s="7" t="n"/>
      <c r="V977" s="14" t="n"/>
      <c r="Z977">
        <f>IF($B977="","",IF(COUNTIF($B$2:$B977,$B977)=1,1,0))</f>
        <v/>
      </c>
      <c r="AA977">
        <f>IF($Z977=1,SUMPRODUCT(--($AC$2:$AC$3001&lt;$AC977))+1,"")</f>
        <v/>
      </c>
      <c r="AB977">
        <f>IF($B977="","",IF(OR($Y977=TRUE(),$Y977="TRUE"),1,IF(AND($Y977&lt;&gt;"",OR($Y977=FALSE(),$Y977="FALSE")),0,IF(MIN(ABS($X977/100-Settings!$C$6),ABS($X977/100-Settings!$G$6))&lt;=MIN(ABS($X977/100-Settings!$C$7),ABS($X977/100-Settings!$G$7)),1,0))))</f>
        <v/>
      </c>
      <c r="AC977">
        <f>IF($Z977=1,IFERROR(IF(VALUE($B977)&lt;100000000,VALUE($B977),1000000000),IFERROR(IF(VALUE(MID($B977,2,20))&lt;100000000,VALUE(MID($B977,2,20)),1000000000),1000000000))+ROW()/100000,"")</f>
        <v/>
      </c>
    </row>
    <row r="978">
      <c r="A978">
        <f>IF($B978="","",IFERROR(IF(INDEX('Per Invoice'!$A$2:$A$801,MATCH($B978,'Per Invoice'!$B$2:$B$801,0))=0,"",INDEX('Per Invoice'!$A$2:$A$801,MATCH($B978,'Per Invoice'!$B$2:$B$801,0))),""))</f>
        <v/>
      </c>
      <c r="J978" s="7">
        <f>IF($B978="","",I978*Q978/100)</f>
        <v/>
      </c>
      <c r="N978" s="7" t="n"/>
      <c r="O978" s="7" t="n"/>
      <c r="P978" s="7">
        <f>IF($B978="","",O978*X978/100)</f>
        <v/>
      </c>
      <c r="Q978" s="7">
        <f>IF($B978="","",O978-P978)</f>
        <v/>
      </c>
      <c r="R978" s="7">
        <f>IF($B978="","",Q978-J978)</f>
        <v/>
      </c>
      <c r="S978" s="7" t="n"/>
      <c r="T978" s="7" t="n"/>
      <c r="V978" s="14" t="n"/>
      <c r="Z978">
        <f>IF($B978="","",IF(COUNTIF($B$2:$B978,$B978)=1,1,0))</f>
        <v/>
      </c>
      <c r="AA978">
        <f>IF($Z978=1,SUMPRODUCT(--($AC$2:$AC$3001&lt;$AC978))+1,"")</f>
        <v/>
      </c>
      <c r="AB978">
        <f>IF($B978="","",IF(OR($Y978=TRUE(),$Y978="TRUE"),1,IF(AND($Y978&lt;&gt;"",OR($Y978=FALSE(),$Y978="FALSE")),0,IF(MIN(ABS($X978/100-Settings!$C$6),ABS($X978/100-Settings!$G$6))&lt;=MIN(ABS($X978/100-Settings!$C$7),ABS($X978/100-Settings!$G$7)),1,0))))</f>
        <v/>
      </c>
      <c r="AC978">
        <f>IF($Z978=1,IFERROR(IF(VALUE($B978)&lt;100000000,VALUE($B978),1000000000),IFERROR(IF(VALUE(MID($B978,2,20))&lt;100000000,VALUE(MID($B978,2,20)),1000000000),1000000000))+ROW()/100000,"")</f>
        <v/>
      </c>
    </row>
    <row r="979">
      <c r="A979">
        <f>IF($B979="","",IFERROR(IF(INDEX('Per Invoice'!$A$2:$A$801,MATCH($B979,'Per Invoice'!$B$2:$B$801,0))=0,"",INDEX('Per Invoice'!$A$2:$A$801,MATCH($B979,'Per Invoice'!$B$2:$B$801,0))),""))</f>
        <v/>
      </c>
      <c r="J979" s="7">
        <f>IF($B979="","",I979*Q979/100)</f>
        <v/>
      </c>
      <c r="N979" s="7" t="n"/>
      <c r="O979" s="7" t="n"/>
      <c r="P979" s="7">
        <f>IF($B979="","",O979*X979/100)</f>
        <v/>
      </c>
      <c r="Q979" s="7">
        <f>IF($B979="","",O979-P979)</f>
        <v/>
      </c>
      <c r="R979" s="7">
        <f>IF($B979="","",Q979-J979)</f>
        <v/>
      </c>
      <c r="S979" s="7" t="n"/>
      <c r="T979" s="7" t="n"/>
      <c r="V979" s="14" t="n"/>
      <c r="Z979">
        <f>IF($B979="","",IF(COUNTIF($B$2:$B979,$B979)=1,1,0))</f>
        <v/>
      </c>
      <c r="AA979">
        <f>IF($Z979=1,SUMPRODUCT(--($AC$2:$AC$3001&lt;$AC979))+1,"")</f>
        <v/>
      </c>
      <c r="AB979">
        <f>IF($B979="","",IF(OR($Y979=TRUE(),$Y979="TRUE"),1,IF(AND($Y979&lt;&gt;"",OR($Y979=FALSE(),$Y979="FALSE")),0,IF(MIN(ABS($X979/100-Settings!$C$6),ABS($X979/100-Settings!$G$6))&lt;=MIN(ABS($X979/100-Settings!$C$7),ABS($X979/100-Settings!$G$7)),1,0))))</f>
        <v/>
      </c>
      <c r="AC979">
        <f>IF($Z979=1,IFERROR(IF(VALUE($B979)&lt;100000000,VALUE($B979),1000000000),IFERROR(IF(VALUE(MID($B979,2,20))&lt;100000000,VALUE(MID($B979,2,20)),1000000000),1000000000))+ROW()/100000,"")</f>
        <v/>
      </c>
    </row>
    <row r="980">
      <c r="A980">
        <f>IF($B980="","",IFERROR(IF(INDEX('Per Invoice'!$A$2:$A$801,MATCH($B980,'Per Invoice'!$B$2:$B$801,0))=0,"",INDEX('Per Invoice'!$A$2:$A$801,MATCH($B980,'Per Invoice'!$B$2:$B$801,0))),""))</f>
        <v/>
      </c>
      <c r="J980" s="7">
        <f>IF($B980="","",I980*Q980/100)</f>
        <v/>
      </c>
      <c r="N980" s="7" t="n"/>
      <c r="O980" s="7" t="n"/>
      <c r="P980" s="7">
        <f>IF($B980="","",O980*X980/100)</f>
        <v/>
      </c>
      <c r="Q980" s="7">
        <f>IF($B980="","",O980-P980)</f>
        <v/>
      </c>
      <c r="R980" s="7">
        <f>IF($B980="","",Q980-J980)</f>
        <v/>
      </c>
      <c r="S980" s="7" t="n"/>
      <c r="T980" s="7" t="n"/>
      <c r="V980" s="14" t="n"/>
      <c r="Z980">
        <f>IF($B980="","",IF(COUNTIF($B$2:$B980,$B980)=1,1,0))</f>
        <v/>
      </c>
      <c r="AA980">
        <f>IF($Z980=1,SUMPRODUCT(--($AC$2:$AC$3001&lt;$AC980))+1,"")</f>
        <v/>
      </c>
      <c r="AB980">
        <f>IF($B980="","",IF(OR($Y980=TRUE(),$Y980="TRUE"),1,IF(AND($Y980&lt;&gt;"",OR($Y980=FALSE(),$Y980="FALSE")),0,IF(MIN(ABS($X980/100-Settings!$C$6),ABS($X980/100-Settings!$G$6))&lt;=MIN(ABS($X980/100-Settings!$C$7),ABS($X980/100-Settings!$G$7)),1,0))))</f>
        <v/>
      </c>
      <c r="AC980">
        <f>IF($Z980=1,IFERROR(IF(VALUE($B980)&lt;100000000,VALUE($B980),1000000000),IFERROR(IF(VALUE(MID($B980,2,20))&lt;100000000,VALUE(MID($B980,2,20)),1000000000),1000000000))+ROW()/100000,"")</f>
        <v/>
      </c>
    </row>
    <row r="981">
      <c r="A981">
        <f>IF($B981="","",IFERROR(IF(INDEX('Per Invoice'!$A$2:$A$801,MATCH($B981,'Per Invoice'!$B$2:$B$801,0))=0,"",INDEX('Per Invoice'!$A$2:$A$801,MATCH($B981,'Per Invoice'!$B$2:$B$801,0))),""))</f>
        <v/>
      </c>
      <c r="J981" s="7">
        <f>IF($B981="","",I981*Q981/100)</f>
        <v/>
      </c>
      <c r="N981" s="7" t="n"/>
      <c r="O981" s="7" t="n"/>
      <c r="P981" s="7">
        <f>IF($B981="","",O981*X981/100)</f>
        <v/>
      </c>
      <c r="Q981" s="7">
        <f>IF($B981="","",O981-P981)</f>
        <v/>
      </c>
      <c r="R981" s="7">
        <f>IF($B981="","",Q981-J981)</f>
        <v/>
      </c>
      <c r="S981" s="7" t="n"/>
      <c r="T981" s="7" t="n"/>
      <c r="V981" s="14" t="n"/>
      <c r="Z981">
        <f>IF($B981="","",IF(COUNTIF($B$2:$B981,$B981)=1,1,0))</f>
        <v/>
      </c>
      <c r="AA981">
        <f>IF($Z981=1,SUMPRODUCT(--($AC$2:$AC$3001&lt;$AC981))+1,"")</f>
        <v/>
      </c>
      <c r="AB981">
        <f>IF($B981="","",IF(OR($Y981=TRUE(),$Y981="TRUE"),1,IF(AND($Y981&lt;&gt;"",OR($Y981=FALSE(),$Y981="FALSE")),0,IF(MIN(ABS($X981/100-Settings!$C$6),ABS($X981/100-Settings!$G$6))&lt;=MIN(ABS($X981/100-Settings!$C$7),ABS($X981/100-Settings!$G$7)),1,0))))</f>
        <v/>
      </c>
      <c r="AC981">
        <f>IF($Z981=1,IFERROR(IF(VALUE($B981)&lt;100000000,VALUE($B981),1000000000),IFERROR(IF(VALUE(MID($B981,2,20))&lt;100000000,VALUE(MID($B981,2,20)),1000000000),1000000000))+ROW()/100000,"")</f>
        <v/>
      </c>
    </row>
    <row r="982">
      <c r="A982">
        <f>IF($B982="","",IFERROR(IF(INDEX('Per Invoice'!$A$2:$A$801,MATCH($B982,'Per Invoice'!$B$2:$B$801,0))=0,"",INDEX('Per Invoice'!$A$2:$A$801,MATCH($B982,'Per Invoice'!$B$2:$B$801,0))),""))</f>
        <v/>
      </c>
      <c r="J982" s="7">
        <f>IF($B982="","",I982*Q982/100)</f>
        <v/>
      </c>
      <c r="N982" s="7" t="n"/>
      <c r="O982" s="7" t="n"/>
      <c r="P982" s="7">
        <f>IF($B982="","",O982*X982/100)</f>
        <v/>
      </c>
      <c r="Q982" s="7">
        <f>IF($B982="","",O982-P982)</f>
        <v/>
      </c>
      <c r="R982" s="7">
        <f>IF($B982="","",Q982-J982)</f>
        <v/>
      </c>
      <c r="S982" s="7" t="n"/>
      <c r="T982" s="7" t="n"/>
      <c r="V982" s="14" t="n"/>
      <c r="Z982">
        <f>IF($B982="","",IF(COUNTIF($B$2:$B982,$B982)=1,1,0))</f>
        <v/>
      </c>
      <c r="AA982">
        <f>IF($Z982=1,SUMPRODUCT(--($AC$2:$AC$3001&lt;$AC982))+1,"")</f>
        <v/>
      </c>
      <c r="AB982">
        <f>IF($B982="","",IF(OR($Y982=TRUE(),$Y982="TRUE"),1,IF(AND($Y982&lt;&gt;"",OR($Y982=FALSE(),$Y982="FALSE")),0,IF(MIN(ABS($X982/100-Settings!$C$6),ABS($X982/100-Settings!$G$6))&lt;=MIN(ABS($X982/100-Settings!$C$7),ABS($X982/100-Settings!$G$7)),1,0))))</f>
        <v/>
      </c>
      <c r="AC982">
        <f>IF($Z982=1,IFERROR(IF(VALUE($B982)&lt;100000000,VALUE($B982),1000000000),IFERROR(IF(VALUE(MID($B982,2,20))&lt;100000000,VALUE(MID($B982,2,20)),1000000000),1000000000))+ROW()/100000,"")</f>
        <v/>
      </c>
    </row>
    <row r="983">
      <c r="A983">
        <f>IF($B983="","",IFERROR(IF(INDEX('Per Invoice'!$A$2:$A$801,MATCH($B983,'Per Invoice'!$B$2:$B$801,0))=0,"",INDEX('Per Invoice'!$A$2:$A$801,MATCH($B983,'Per Invoice'!$B$2:$B$801,0))),""))</f>
        <v/>
      </c>
      <c r="J983" s="7">
        <f>IF($B983="","",I983*Q983/100)</f>
        <v/>
      </c>
      <c r="N983" s="7" t="n"/>
      <c r="O983" s="7" t="n"/>
      <c r="P983" s="7">
        <f>IF($B983="","",O983*X983/100)</f>
        <v/>
      </c>
      <c r="Q983" s="7">
        <f>IF($B983="","",O983-P983)</f>
        <v/>
      </c>
      <c r="R983" s="7">
        <f>IF($B983="","",Q983-J983)</f>
        <v/>
      </c>
      <c r="S983" s="7" t="n"/>
      <c r="T983" s="7" t="n"/>
      <c r="V983" s="14" t="n"/>
      <c r="Z983">
        <f>IF($B983="","",IF(COUNTIF($B$2:$B983,$B983)=1,1,0))</f>
        <v/>
      </c>
      <c r="AA983">
        <f>IF($Z983=1,SUMPRODUCT(--($AC$2:$AC$3001&lt;$AC983))+1,"")</f>
        <v/>
      </c>
      <c r="AB983">
        <f>IF($B983="","",IF(OR($Y983=TRUE(),$Y983="TRUE"),1,IF(AND($Y983&lt;&gt;"",OR($Y983=FALSE(),$Y983="FALSE")),0,IF(MIN(ABS($X983/100-Settings!$C$6),ABS($X983/100-Settings!$G$6))&lt;=MIN(ABS($X983/100-Settings!$C$7),ABS($X983/100-Settings!$G$7)),1,0))))</f>
        <v/>
      </c>
      <c r="AC983">
        <f>IF($Z983=1,IFERROR(IF(VALUE($B983)&lt;100000000,VALUE($B983),1000000000),IFERROR(IF(VALUE(MID($B983,2,20))&lt;100000000,VALUE(MID($B983,2,20)),1000000000),1000000000))+ROW()/100000,"")</f>
        <v/>
      </c>
    </row>
    <row r="984">
      <c r="A984">
        <f>IF($B984="","",IFERROR(IF(INDEX('Per Invoice'!$A$2:$A$801,MATCH($B984,'Per Invoice'!$B$2:$B$801,0))=0,"",INDEX('Per Invoice'!$A$2:$A$801,MATCH($B984,'Per Invoice'!$B$2:$B$801,0))),""))</f>
        <v/>
      </c>
      <c r="J984" s="7">
        <f>IF($B984="","",I984*Q984/100)</f>
        <v/>
      </c>
      <c r="N984" s="7" t="n"/>
      <c r="O984" s="7" t="n"/>
      <c r="P984" s="7">
        <f>IF($B984="","",O984*X984/100)</f>
        <v/>
      </c>
      <c r="Q984" s="7">
        <f>IF($B984="","",O984-P984)</f>
        <v/>
      </c>
      <c r="R984" s="7">
        <f>IF($B984="","",Q984-J984)</f>
        <v/>
      </c>
      <c r="S984" s="7" t="n"/>
      <c r="T984" s="7" t="n"/>
      <c r="V984" s="14" t="n"/>
      <c r="Z984">
        <f>IF($B984="","",IF(COUNTIF($B$2:$B984,$B984)=1,1,0))</f>
        <v/>
      </c>
      <c r="AA984">
        <f>IF($Z984=1,SUMPRODUCT(--($AC$2:$AC$3001&lt;$AC984))+1,"")</f>
        <v/>
      </c>
      <c r="AB984">
        <f>IF($B984="","",IF(OR($Y984=TRUE(),$Y984="TRUE"),1,IF(AND($Y984&lt;&gt;"",OR($Y984=FALSE(),$Y984="FALSE")),0,IF(MIN(ABS($X984/100-Settings!$C$6),ABS($X984/100-Settings!$G$6))&lt;=MIN(ABS($X984/100-Settings!$C$7),ABS($X984/100-Settings!$G$7)),1,0))))</f>
        <v/>
      </c>
      <c r="AC984">
        <f>IF($Z984=1,IFERROR(IF(VALUE($B984)&lt;100000000,VALUE($B984),1000000000),IFERROR(IF(VALUE(MID($B984,2,20))&lt;100000000,VALUE(MID($B984,2,20)),1000000000),1000000000))+ROW()/100000,"")</f>
        <v/>
      </c>
    </row>
    <row r="985">
      <c r="A985">
        <f>IF($B985="","",IFERROR(IF(INDEX('Per Invoice'!$A$2:$A$801,MATCH($B985,'Per Invoice'!$B$2:$B$801,0))=0,"",INDEX('Per Invoice'!$A$2:$A$801,MATCH($B985,'Per Invoice'!$B$2:$B$801,0))),""))</f>
        <v/>
      </c>
      <c r="J985" s="7">
        <f>IF($B985="","",I985*Q985/100)</f>
        <v/>
      </c>
      <c r="N985" s="7" t="n"/>
      <c r="O985" s="7" t="n"/>
      <c r="P985" s="7">
        <f>IF($B985="","",O985*X985/100)</f>
        <v/>
      </c>
      <c r="Q985" s="7">
        <f>IF($B985="","",O985-P985)</f>
        <v/>
      </c>
      <c r="R985" s="7">
        <f>IF($B985="","",Q985-J985)</f>
        <v/>
      </c>
      <c r="S985" s="7" t="n"/>
      <c r="T985" s="7" t="n"/>
      <c r="V985" s="14" t="n"/>
      <c r="Z985">
        <f>IF($B985="","",IF(COUNTIF($B$2:$B985,$B985)=1,1,0))</f>
        <v/>
      </c>
      <c r="AA985">
        <f>IF($Z985=1,SUMPRODUCT(--($AC$2:$AC$3001&lt;$AC985))+1,"")</f>
        <v/>
      </c>
      <c r="AB985">
        <f>IF($B985="","",IF(OR($Y985=TRUE(),$Y985="TRUE"),1,IF(AND($Y985&lt;&gt;"",OR($Y985=FALSE(),$Y985="FALSE")),0,IF(MIN(ABS($X985/100-Settings!$C$6),ABS($X985/100-Settings!$G$6))&lt;=MIN(ABS($X985/100-Settings!$C$7),ABS($X985/100-Settings!$G$7)),1,0))))</f>
        <v/>
      </c>
      <c r="AC985">
        <f>IF($Z985=1,IFERROR(IF(VALUE($B985)&lt;100000000,VALUE($B985),1000000000),IFERROR(IF(VALUE(MID($B985,2,20))&lt;100000000,VALUE(MID($B985,2,20)),1000000000),1000000000))+ROW()/100000,"")</f>
        <v/>
      </c>
    </row>
    <row r="986">
      <c r="A986">
        <f>IF($B986="","",IFERROR(IF(INDEX('Per Invoice'!$A$2:$A$801,MATCH($B986,'Per Invoice'!$B$2:$B$801,0))=0,"",INDEX('Per Invoice'!$A$2:$A$801,MATCH($B986,'Per Invoice'!$B$2:$B$801,0))),""))</f>
        <v/>
      </c>
      <c r="J986" s="7">
        <f>IF($B986="","",I986*Q986/100)</f>
        <v/>
      </c>
      <c r="N986" s="7" t="n"/>
      <c r="O986" s="7" t="n"/>
      <c r="P986" s="7">
        <f>IF($B986="","",O986*X986/100)</f>
        <v/>
      </c>
      <c r="Q986" s="7">
        <f>IF($B986="","",O986-P986)</f>
        <v/>
      </c>
      <c r="R986" s="7">
        <f>IF($B986="","",Q986-J986)</f>
        <v/>
      </c>
      <c r="S986" s="7" t="n"/>
      <c r="T986" s="7" t="n"/>
      <c r="V986" s="14" t="n"/>
      <c r="Z986">
        <f>IF($B986="","",IF(COUNTIF($B$2:$B986,$B986)=1,1,0))</f>
        <v/>
      </c>
      <c r="AA986">
        <f>IF($Z986=1,SUMPRODUCT(--($AC$2:$AC$3001&lt;$AC986))+1,"")</f>
        <v/>
      </c>
      <c r="AB986">
        <f>IF($B986="","",IF(OR($Y986=TRUE(),$Y986="TRUE"),1,IF(AND($Y986&lt;&gt;"",OR($Y986=FALSE(),$Y986="FALSE")),0,IF(MIN(ABS($X986/100-Settings!$C$6),ABS($X986/100-Settings!$G$6))&lt;=MIN(ABS($X986/100-Settings!$C$7),ABS($X986/100-Settings!$G$7)),1,0))))</f>
        <v/>
      </c>
      <c r="AC986">
        <f>IF($Z986=1,IFERROR(IF(VALUE($B986)&lt;100000000,VALUE($B986),1000000000),IFERROR(IF(VALUE(MID($B986,2,20))&lt;100000000,VALUE(MID($B986,2,20)),1000000000),1000000000))+ROW()/100000,"")</f>
        <v/>
      </c>
    </row>
    <row r="987">
      <c r="A987">
        <f>IF($B987="","",IFERROR(IF(INDEX('Per Invoice'!$A$2:$A$801,MATCH($B987,'Per Invoice'!$B$2:$B$801,0))=0,"",INDEX('Per Invoice'!$A$2:$A$801,MATCH($B987,'Per Invoice'!$B$2:$B$801,0))),""))</f>
        <v/>
      </c>
      <c r="J987" s="7">
        <f>IF($B987="","",I987*Q987/100)</f>
        <v/>
      </c>
      <c r="N987" s="7" t="n"/>
      <c r="O987" s="7" t="n"/>
      <c r="P987" s="7">
        <f>IF($B987="","",O987*X987/100)</f>
        <v/>
      </c>
      <c r="Q987" s="7">
        <f>IF($B987="","",O987-P987)</f>
        <v/>
      </c>
      <c r="R987" s="7">
        <f>IF($B987="","",Q987-J987)</f>
        <v/>
      </c>
      <c r="S987" s="7" t="n"/>
      <c r="T987" s="7" t="n"/>
      <c r="V987" s="14" t="n"/>
      <c r="Z987">
        <f>IF($B987="","",IF(COUNTIF($B$2:$B987,$B987)=1,1,0))</f>
        <v/>
      </c>
      <c r="AA987">
        <f>IF($Z987=1,SUMPRODUCT(--($AC$2:$AC$3001&lt;$AC987))+1,"")</f>
        <v/>
      </c>
      <c r="AB987">
        <f>IF($B987="","",IF(OR($Y987=TRUE(),$Y987="TRUE"),1,IF(AND($Y987&lt;&gt;"",OR($Y987=FALSE(),$Y987="FALSE")),0,IF(MIN(ABS($X987/100-Settings!$C$6),ABS($X987/100-Settings!$G$6))&lt;=MIN(ABS($X987/100-Settings!$C$7),ABS($X987/100-Settings!$G$7)),1,0))))</f>
        <v/>
      </c>
      <c r="AC987">
        <f>IF($Z987=1,IFERROR(IF(VALUE($B987)&lt;100000000,VALUE($B987),1000000000),IFERROR(IF(VALUE(MID($B987,2,20))&lt;100000000,VALUE(MID($B987,2,20)),1000000000),1000000000))+ROW()/100000,"")</f>
        <v/>
      </c>
    </row>
    <row r="988">
      <c r="A988">
        <f>IF($B988="","",IFERROR(IF(INDEX('Per Invoice'!$A$2:$A$801,MATCH($B988,'Per Invoice'!$B$2:$B$801,0))=0,"",INDEX('Per Invoice'!$A$2:$A$801,MATCH($B988,'Per Invoice'!$B$2:$B$801,0))),""))</f>
        <v/>
      </c>
      <c r="J988" s="7">
        <f>IF($B988="","",I988*Q988/100)</f>
        <v/>
      </c>
      <c r="N988" s="7" t="n"/>
      <c r="O988" s="7" t="n"/>
      <c r="P988" s="7">
        <f>IF($B988="","",O988*X988/100)</f>
        <v/>
      </c>
      <c r="Q988" s="7">
        <f>IF($B988="","",O988-P988)</f>
        <v/>
      </c>
      <c r="R988" s="7">
        <f>IF($B988="","",Q988-J988)</f>
        <v/>
      </c>
      <c r="S988" s="7" t="n"/>
      <c r="T988" s="7" t="n"/>
      <c r="V988" s="14" t="n"/>
      <c r="Z988">
        <f>IF($B988="","",IF(COUNTIF($B$2:$B988,$B988)=1,1,0))</f>
        <v/>
      </c>
      <c r="AA988">
        <f>IF($Z988=1,SUMPRODUCT(--($AC$2:$AC$3001&lt;$AC988))+1,"")</f>
        <v/>
      </c>
      <c r="AB988">
        <f>IF($B988="","",IF(OR($Y988=TRUE(),$Y988="TRUE"),1,IF(AND($Y988&lt;&gt;"",OR($Y988=FALSE(),$Y988="FALSE")),0,IF(MIN(ABS($X988/100-Settings!$C$6),ABS($X988/100-Settings!$G$6))&lt;=MIN(ABS($X988/100-Settings!$C$7),ABS($X988/100-Settings!$G$7)),1,0))))</f>
        <v/>
      </c>
      <c r="AC988">
        <f>IF($Z988=1,IFERROR(IF(VALUE($B988)&lt;100000000,VALUE($B988),1000000000),IFERROR(IF(VALUE(MID($B988,2,20))&lt;100000000,VALUE(MID($B988,2,20)),1000000000),1000000000))+ROW()/100000,"")</f>
        <v/>
      </c>
    </row>
    <row r="989">
      <c r="A989">
        <f>IF($B989="","",IFERROR(IF(INDEX('Per Invoice'!$A$2:$A$801,MATCH($B989,'Per Invoice'!$B$2:$B$801,0))=0,"",INDEX('Per Invoice'!$A$2:$A$801,MATCH($B989,'Per Invoice'!$B$2:$B$801,0))),""))</f>
        <v/>
      </c>
      <c r="J989" s="7">
        <f>IF($B989="","",I989*Q989/100)</f>
        <v/>
      </c>
      <c r="N989" s="7" t="n"/>
      <c r="O989" s="7" t="n"/>
      <c r="P989" s="7">
        <f>IF($B989="","",O989*X989/100)</f>
        <v/>
      </c>
      <c r="Q989" s="7">
        <f>IF($B989="","",O989-P989)</f>
        <v/>
      </c>
      <c r="R989" s="7">
        <f>IF($B989="","",Q989-J989)</f>
        <v/>
      </c>
      <c r="S989" s="7" t="n"/>
      <c r="T989" s="7" t="n"/>
      <c r="V989" s="14" t="n"/>
      <c r="Z989">
        <f>IF($B989="","",IF(COUNTIF($B$2:$B989,$B989)=1,1,0))</f>
        <v/>
      </c>
      <c r="AA989">
        <f>IF($Z989=1,SUMPRODUCT(--($AC$2:$AC$3001&lt;$AC989))+1,"")</f>
        <v/>
      </c>
      <c r="AB989">
        <f>IF($B989="","",IF(OR($Y989=TRUE(),$Y989="TRUE"),1,IF(AND($Y989&lt;&gt;"",OR($Y989=FALSE(),$Y989="FALSE")),0,IF(MIN(ABS($X989/100-Settings!$C$6),ABS($X989/100-Settings!$G$6))&lt;=MIN(ABS($X989/100-Settings!$C$7),ABS($X989/100-Settings!$G$7)),1,0))))</f>
        <v/>
      </c>
      <c r="AC989">
        <f>IF($Z989=1,IFERROR(IF(VALUE($B989)&lt;100000000,VALUE($B989),1000000000),IFERROR(IF(VALUE(MID($B989,2,20))&lt;100000000,VALUE(MID($B989,2,20)),1000000000),1000000000))+ROW()/100000,"")</f>
        <v/>
      </c>
    </row>
    <row r="990">
      <c r="A990">
        <f>IF($B990="","",IFERROR(IF(INDEX('Per Invoice'!$A$2:$A$801,MATCH($B990,'Per Invoice'!$B$2:$B$801,0))=0,"",INDEX('Per Invoice'!$A$2:$A$801,MATCH($B990,'Per Invoice'!$B$2:$B$801,0))),""))</f>
        <v/>
      </c>
      <c r="J990" s="7">
        <f>IF($B990="","",I990*Q990/100)</f>
        <v/>
      </c>
      <c r="N990" s="7" t="n"/>
      <c r="O990" s="7" t="n"/>
      <c r="P990" s="7">
        <f>IF($B990="","",O990*X990/100)</f>
        <v/>
      </c>
      <c r="Q990" s="7">
        <f>IF($B990="","",O990-P990)</f>
        <v/>
      </c>
      <c r="R990" s="7">
        <f>IF($B990="","",Q990-J990)</f>
        <v/>
      </c>
      <c r="S990" s="7" t="n"/>
      <c r="T990" s="7" t="n"/>
      <c r="V990" s="14" t="n"/>
      <c r="Z990">
        <f>IF($B990="","",IF(COUNTIF($B$2:$B990,$B990)=1,1,0))</f>
        <v/>
      </c>
      <c r="AA990">
        <f>IF($Z990=1,SUMPRODUCT(--($AC$2:$AC$3001&lt;$AC990))+1,"")</f>
        <v/>
      </c>
      <c r="AB990">
        <f>IF($B990="","",IF(OR($Y990=TRUE(),$Y990="TRUE"),1,IF(AND($Y990&lt;&gt;"",OR($Y990=FALSE(),$Y990="FALSE")),0,IF(MIN(ABS($X990/100-Settings!$C$6),ABS($X990/100-Settings!$G$6))&lt;=MIN(ABS($X990/100-Settings!$C$7),ABS($X990/100-Settings!$G$7)),1,0))))</f>
        <v/>
      </c>
      <c r="AC990">
        <f>IF($Z990=1,IFERROR(IF(VALUE($B990)&lt;100000000,VALUE($B990),1000000000),IFERROR(IF(VALUE(MID($B990,2,20))&lt;100000000,VALUE(MID($B990,2,20)),1000000000),1000000000))+ROW()/100000,"")</f>
        <v/>
      </c>
    </row>
    <row r="991">
      <c r="A991">
        <f>IF($B991="","",IFERROR(IF(INDEX('Per Invoice'!$A$2:$A$801,MATCH($B991,'Per Invoice'!$B$2:$B$801,0))=0,"",INDEX('Per Invoice'!$A$2:$A$801,MATCH($B991,'Per Invoice'!$B$2:$B$801,0))),""))</f>
        <v/>
      </c>
      <c r="J991" s="7">
        <f>IF($B991="","",I991*Q991/100)</f>
        <v/>
      </c>
      <c r="N991" s="7" t="n"/>
      <c r="O991" s="7" t="n"/>
      <c r="P991" s="7">
        <f>IF($B991="","",O991*X991/100)</f>
        <v/>
      </c>
      <c r="Q991" s="7">
        <f>IF($B991="","",O991-P991)</f>
        <v/>
      </c>
      <c r="R991" s="7">
        <f>IF($B991="","",Q991-J991)</f>
        <v/>
      </c>
      <c r="S991" s="7" t="n"/>
      <c r="T991" s="7" t="n"/>
      <c r="V991" s="14" t="n"/>
      <c r="Z991">
        <f>IF($B991="","",IF(COUNTIF($B$2:$B991,$B991)=1,1,0))</f>
        <v/>
      </c>
      <c r="AA991">
        <f>IF($Z991=1,SUMPRODUCT(--($AC$2:$AC$3001&lt;$AC991))+1,"")</f>
        <v/>
      </c>
      <c r="AB991">
        <f>IF($B991="","",IF(OR($Y991=TRUE(),$Y991="TRUE"),1,IF(AND($Y991&lt;&gt;"",OR($Y991=FALSE(),$Y991="FALSE")),0,IF(MIN(ABS($X991/100-Settings!$C$6),ABS($X991/100-Settings!$G$6))&lt;=MIN(ABS($X991/100-Settings!$C$7),ABS($X991/100-Settings!$G$7)),1,0))))</f>
        <v/>
      </c>
      <c r="AC991">
        <f>IF($Z991=1,IFERROR(IF(VALUE($B991)&lt;100000000,VALUE($B991),1000000000),IFERROR(IF(VALUE(MID($B991,2,20))&lt;100000000,VALUE(MID($B991,2,20)),1000000000),1000000000))+ROW()/100000,"")</f>
        <v/>
      </c>
    </row>
    <row r="992">
      <c r="A992">
        <f>IF($B992="","",IFERROR(IF(INDEX('Per Invoice'!$A$2:$A$801,MATCH($B992,'Per Invoice'!$B$2:$B$801,0))=0,"",INDEX('Per Invoice'!$A$2:$A$801,MATCH($B992,'Per Invoice'!$B$2:$B$801,0))),""))</f>
        <v/>
      </c>
      <c r="J992" s="7">
        <f>IF($B992="","",I992*Q992/100)</f>
        <v/>
      </c>
      <c r="N992" s="7" t="n"/>
      <c r="O992" s="7" t="n"/>
      <c r="P992" s="7">
        <f>IF($B992="","",O992*X992/100)</f>
        <v/>
      </c>
      <c r="Q992" s="7">
        <f>IF($B992="","",O992-P992)</f>
        <v/>
      </c>
      <c r="R992" s="7">
        <f>IF($B992="","",Q992-J992)</f>
        <v/>
      </c>
      <c r="S992" s="7" t="n"/>
      <c r="T992" s="7" t="n"/>
      <c r="V992" s="14" t="n"/>
      <c r="Z992">
        <f>IF($B992="","",IF(COUNTIF($B$2:$B992,$B992)=1,1,0))</f>
        <v/>
      </c>
      <c r="AA992">
        <f>IF($Z992=1,SUMPRODUCT(--($AC$2:$AC$3001&lt;$AC992))+1,"")</f>
        <v/>
      </c>
      <c r="AB992">
        <f>IF($B992="","",IF(OR($Y992=TRUE(),$Y992="TRUE"),1,IF(AND($Y992&lt;&gt;"",OR($Y992=FALSE(),$Y992="FALSE")),0,IF(MIN(ABS($X992/100-Settings!$C$6),ABS($X992/100-Settings!$G$6))&lt;=MIN(ABS($X992/100-Settings!$C$7),ABS($X992/100-Settings!$G$7)),1,0))))</f>
        <v/>
      </c>
      <c r="AC992">
        <f>IF($Z992=1,IFERROR(IF(VALUE($B992)&lt;100000000,VALUE($B992),1000000000),IFERROR(IF(VALUE(MID($B992,2,20))&lt;100000000,VALUE(MID($B992,2,20)),1000000000),1000000000))+ROW()/100000,"")</f>
        <v/>
      </c>
    </row>
    <row r="993">
      <c r="A993">
        <f>IF($B993="","",IFERROR(IF(INDEX('Per Invoice'!$A$2:$A$801,MATCH($B993,'Per Invoice'!$B$2:$B$801,0))=0,"",INDEX('Per Invoice'!$A$2:$A$801,MATCH($B993,'Per Invoice'!$B$2:$B$801,0))),""))</f>
        <v/>
      </c>
      <c r="J993" s="7">
        <f>IF($B993="","",I993*Q993/100)</f>
        <v/>
      </c>
      <c r="N993" s="7" t="n"/>
      <c r="O993" s="7" t="n"/>
      <c r="P993" s="7">
        <f>IF($B993="","",O993*X993/100)</f>
        <v/>
      </c>
      <c r="Q993" s="7">
        <f>IF($B993="","",O993-P993)</f>
        <v/>
      </c>
      <c r="R993" s="7">
        <f>IF($B993="","",Q993-J993)</f>
        <v/>
      </c>
      <c r="S993" s="7" t="n"/>
      <c r="T993" s="7" t="n"/>
      <c r="V993" s="14" t="n"/>
      <c r="Z993">
        <f>IF($B993="","",IF(COUNTIF($B$2:$B993,$B993)=1,1,0))</f>
        <v/>
      </c>
      <c r="AA993">
        <f>IF($Z993=1,SUMPRODUCT(--($AC$2:$AC$3001&lt;$AC993))+1,"")</f>
        <v/>
      </c>
      <c r="AB993">
        <f>IF($B993="","",IF(OR($Y993=TRUE(),$Y993="TRUE"),1,IF(AND($Y993&lt;&gt;"",OR($Y993=FALSE(),$Y993="FALSE")),0,IF(MIN(ABS($X993/100-Settings!$C$6),ABS($X993/100-Settings!$G$6))&lt;=MIN(ABS($X993/100-Settings!$C$7),ABS($X993/100-Settings!$G$7)),1,0))))</f>
        <v/>
      </c>
      <c r="AC993">
        <f>IF($Z993=1,IFERROR(IF(VALUE($B993)&lt;100000000,VALUE($B993),1000000000),IFERROR(IF(VALUE(MID($B993,2,20))&lt;100000000,VALUE(MID($B993,2,20)),1000000000),1000000000))+ROW()/100000,"")</f>
        <v/>
      </c>
    </row>
    <row r="994">
      <c r="A994">
        <f>IF($B994="","",IFERROR(IF(INDEX('Per Invoice'!$A$2:$A$801,MATCH($B994,'Per Invoice'!$B$2:$B$801,0))=0,"",INDEX('Per Invoice'!$A$2:$A$801,MATCH($B994,'Per Invoice'!$B$2:$B$801,0))),""))</f>
        <v/>
      </c>
      <c r="J994" s="7">
        <f>IF($B994="","",I994*Q994/100)</f>
        <v/>
      </c>
      <c r="N994" s="7" t="n"/>
      <c r="O994" s="7" t="n"/>
      <c r="P994" s="7">
        <f>IF($B994="","",O994*X994/100)</f>
        <v/>
      </c>
      <c r="Q994" s="7">
        <f>IF($B994="","",O994-P994)</f>
        <v/>
      </c>
      <c r="R994" s="7">
        <f>IF($B994="","",Q994-J994)</f>
        <v/>
      </c>
      <c r="S994" s="7" t="n"/>
      <c r="T994" s="7" t="n"/>
      <c r="V994" s="14" t="n"/>
      <c r="Z994">
        <f>IF($B994="","",IF(COUNTIF($B$2:$B994,$B994)=1,1,0))</f>
        <v/>
      </c>
      <c r="AA994">
        <f>IF($Z994=1,SUMPRODUCT(--($AC$2:$AC$3001&lt;$AC994))+1,"")</f>
        <v/>
      </c>
      <c r="AB994">
        <f>IF($B994="","",IF(OR($Y994=TRUE(),$Y994="TRUE"),1,IF(AND($Y994&lt;&gt;"",OR($Y994=FALSE(),$Y994="FALSE")),0,IF(MIN(ABS($X994/100-Settings!$C$6),ABS($X994/100-Settings!$G$6))&lt;=MIN(ABS($X994/100-Settings!$C$7),ABS($X994/100-Settings!$G$7)),1,0))))</f>
        <v/>
      </c>
      <c r="AC994">
        <f>IF($Z994=1,IFERROR(IF(VALUE($B994)&lt;100000000,VALUE($B994),1000000000),IFERROR(IF(VALUE(MID($B994,2,20))&lt;100000000,VALUE(MID($B994,2,20)),1000000000),1000000000))+ROW()/100000,"")</f>
        <v/>
      </c>
    </row>
    <row r="995">
      <c r="A995">
        <f>IF($B995="","",IFERROR(IF(INDEX('Per Invoice'!$A$2:$A$801,MATCH($B995,'Per Invoice'!$B$2:$B$801,0))=0,"",INDEX('Per Invoice'!$A$2:$A$801,MATCH($B995,'Per Invoice'!$B$2:$B$801,0))),""))</f>
        <v/>
      </c>
      <c r="J995" s="7">
        <f>IF($B995="","",I995*Q995/100)</f>
        <v/>
      </c>
      <c r="N995" s="7" t="n"/>
      <c r="O995" s="7" t="n"/>
      <c r="P995" s="7">
        <f>IF($B995="","",O995*X995/100)</f>
        <v/>
      </c>
      <c r="Q995" s="7">
        <f>IF($B995="","",O995-P995)</f>
        <v/>
      </c>
      <c r="R995" s="7">
        <f>IF($B995="","",Q995-J995)</f>
        <v/>
      </c>
      <c r="S995" s="7" t="n"/>
      <c r="T995" s="7" t="n"/>
      <c r="V995" s="14" t="n"/>
      <c r="Z995">
        <f>IF($B995="","",IF(COUNTIF($B$2:$B995,$B995)=1,1,0))</f>
        <v/>
      </c>
      <c r="AA995">
        <f>IF($Z995=1,SUMPRODUCT(--($AC$2:$AC$3001&lt;$AC995))+1,"")</f>
        <v/>
      </c>
      <c r="AB995">
        <f>IF($B995="","",IF(OR($Y995=TRUE(),$Y995="TRUE"),1,IF(AND($Y995&lt;&gt;"",OR($Y995=FALSE(),$Y995="FALSE")),0,IF(MIN(ABS($X995/100-Settings!$C$6),ABS($X995/100-Settings!$G$6))&lt;=MIN(ABS($X995/100-Settings!$C$7),ABS($X995/100-Settings!$G$7)),1,0))))</f>
        <v/>
      </c>
      <c r="AC995">
        <f>IF($Z995=1,IFERROR(IF(VALUE($B995)&lt;100000000,VALUE($B995),1000000000),IFERROR(IF(VALUE(MID($B995,2,20))&lt;100000000,VALUE(MID($B995,2,20)),1000000000),1000000000))+ROW()/100000,"")</f>
        <v/>
      </c>
    </row>
    <row r="996">
      <c r="A996">
        <f>IF($B996="","",IFERROR(IF(INDEX('Per Invoice'!$A$2:$A$801,MATCH($B996,'Per Invoice'!$B$2:$B$801,0))=0,"",INDEX('Per Invoice'!$A$2:$A$801,MATCH($B996,'Per Invoice'!$B$2:$B$801,0))),""))</f>
        <v/>
      </c>
      <c r="J996" s="7">
        <f>IF($B996="","",I996*Q996/100)</f>
        <v/>
      </c>
      <c r="N996" s="7" t="n"/>
      <c r="O996" s="7" t="n"/>
      <c r="P996" s="7">
        <f>IF($B996="","",O996*X996/100)</f>
        <v/>
      </c>
      <c r="Q996" s="7">
        <f>IF($B996="","",O996-P996)</f>
        <v/>
      </c>
      <c r="R996" s="7">
        <f>IF($B996="","",Q996-J996)</f>
        <v/>
      </c>
      <c r="S996" s="7" t="n"/>
      <c r="T996" s="7" t="n"/>
      <c r="V996" s="14" t="n"/>
      <c r="Z996">
        <f>IF($B996="","",IF(COUNTIF($B$2:$B996,$B996)=1,1,0))</f>
        <v/>
      </c>
      <c r="AA996">
        <f>IF($Z996=1,SUMPRODUCT(--($AC$2:$AC$3001&lt;$AC996))+1,"")</f>
        <v/>
      </c>
      <c r="AB996">
        <f>IF($B996="","",IF(OR($Y996=TRUE(),$Y996="TRUE"),1,IF(AND($Y996&lt;&gt;"",OR($Y996=FALSE(),$Y996="FALSE")),0,IF(MIN(ABS($X996/100-Settings!$C$6),ABS($X996/100-Settings!$G$6))&lt;=MIN(ABS($X996/100-Settings!$C$7),ABS($X996/100-Settings!$G$7)),1,0))))</f>
        <v/>
      </c>
      <c r="AC996">
        <f>IF($Z996=1,IFERROR(IF(VALUE($B996)&lt;100000000,VALUE($B996),1000000000),IFERROR(IF(VALUE(MID($B996,2,20))&lt;100000000,VALUE(MID($B996,2,20)),1000000000),1000000000))+ROW()/100000,"")</f>
        <v/>
      </c>
    </row>
    <row r="997">
      <c r="A997">
        <f>IF($B997="","",IFERROR(IF(INDEX('Per Invoice'!$A$2:$A$801,MATCH($B997,'Per Invoice'!$B$2:$B$801,0))=0,"",INDEX('Per Invoice'!$A$2:$A$801,MATCH($B997,'Per Invoice'!$B$2:$B$801,0))),""))</f>
        <v/>
      </c>
      <c r="J997" s="7">
        <f>IF($B997="","",I997*Q997/100)</f>
        <v/>
      </c>
      <c r="N997" s="7" t="n"/>
      <c r="O997" s="7" t="n"/>
      <c r="P997" s="7">
        <f>IF($B997="","",O997*X997/100)</f>
        <v/>
      </c>
      <c r="Q997" s="7">
        <f>IF($B997="","",O997-P997)</f>
        <v/>
      </c>
      <c r="R997" s="7">
        <f>IF($B997="","",Q997-J997)</f>
        <v/>
      </c>
      <c r="S997" s="7" t="n"/>
      <c r="T997" s="7" t="n"/>
      <c r="V997" s="14" t="n"/>
      <c r="Z997">
        <f>IF($B997="","",IF(COUNTIF($B$2:$B997,$B997)=1,1,0))</f>
        <v/>
      </c>
      <c r="AA997">
        <f>IF($Z997=1,SUMPRODUCT(--($AC$2:$AC$3001&lt;$AC997))+1,"")</f>
        <v/>
      </c>
      <c r="AB997">
        <f>IF($B997="","",IF(OR($Y997=TRUE(),$Y997="TRUE"),1,IF(AND($Y997&lt;&gt;"",OR($Y997=FALSE(),$Y997="FALSE")),0,IF(MIN(ABS($X997/100-Settings!$C$6),ABS($X997/100-Settings!$G$6))&lt;=MIN(ABS($X997/100-Settings!$C$7),ABS($X997/100-Settings!$G$7)),1,0))))</f>
        <v/>
      </c>
      <c r="AC997">
        <f>IF($Z997=1,IFERROR(IF(VALUE($B997)&lt;100000000,VALUE($B997),1000000000),IFERROR(IF(VALUE(MID($B997,2,20))&lt;100000000,VALUE(MID($B997,2,20)),1000000000),1000000000))+ROW()/100000,"")</f>
        <v/>
      </c>
    </row>
    <row r="998">
      <c r="A998">
        <f>IF($B998="","",IFERROR(IF(INDEX('Per Invoice'!$A$2:$A$801,MATCH($B998,'Per Invoice'!$B$2:$B$801,0))=0,"",INDEX('Per Invoice'!$A$2:$A$801,MATCH($B998,'Per Invoice'!$B$2:$B$801,0))),""))</f>
        <v/>
      </c>
      <c r="J998" s="7">
        <f>IF($B998="","",I998*Q998/100)</f>
        <v/>
      </c>
      <c r="N998" s="7" t="n"/>
      <c r="O998" s="7" t="n"/>
      <c r="P998" s="7">
        <f>IF($B998="","",O998*X998/100)</f>
        <v/>
      </c>
      <c r="Q998" s="7">
        <f>IF($B998="","",O998-P998)</f>
        <v/>
      </c>
      <c r="R998" s="7">
        <f>IF($B998="","",Q998-J998)</f>
        <v/>
      </c>
      <c r="S998" s="7" t="n"/>
      <c r="T998" s="7" t="n"/>
      <c r="V998" s="14" t="n"/>
      <c r="Z998">
        <f>IF($B998="","",IF(COUNTIF($B$2:$B998,$B998)=1,1,0))</f>
        <v/>
      </c>
      <c r="AA998">
        <f>IF($Z998=1,SUMPRODUCT(--($AC$2:$AC$3001&lt;$AC998))+1,"")</f>
        <v/>
      </c>
      <c r="AB998">
        <f>IF($B998="","",IF(OR($Y998=TRUE(),$Y998="TRUE"),1,IF(AND($Y998&lt;&gt;"",OR($Y998=FALSE(),$Y998="FALSE")),0,IF(MIN(ABS($X998/100-Settings!$C$6),ABS($X998/100-Settings!$G$6))&lt;=MIN(ABS($X998/100-Settings!$C$7),ABS($X998/100-Settings!$G$7)),1,0))))</f>
        <v/>
      </c>
      <c r="AC998">
        <f>IF($Z998=1,IFERROR(IF(VALUE($B998)&lt;100000000,VALUE($B998),1000000000),IFERROR(IF(VALUE(MID($B998,2,20))&lt;100000000,VALUE(MID($B998,2,20)),1000000000),1000000000))+ROW()/100000,"")</f>
        <v/>
      </c>
    </row>
    <row r="999">
      <c r="A999">
        <f>IF($B999="","",IFERROR(IF(INDEX('Per Invoice'!$A$2:$A$801,MATCH($B999,'Per Invoice'!$B$2:$B$801,0))=0,"",INDEX('Per Invoice'!$A$2:$A$801,MATCH($B999,'Per Invoice'!$B$2:$B$801,0))),""))</f>
        <v/>
      </c>
      <c r="J999" s="7">
        <f>IF($B999="","",I999*Q999/100)</f>
        <v/>
      </c>
      <c r="N999" s="7" t="n"/>
      <c r="O999" s="7" t="n"/>
      <c r="P999" s="7">
        <f>IF($B999="","",O999*X999/100)</f>
        <v/>
      </c>
      <c r="Q999" s="7">
        <f>IF($B999="","",O999-P999)</f>
        <v/>
      </c>
      <c r="R999" s="7">
        <f>IF($B999="","",Q999-J999)</f>
        <v/>
      </c>
      <c r="S999" s="7" t="n"/>
      <c r="T999" s="7" t="n"/>
      <c r="V999" s="14" t="n"/>
      <c r="Z999">
        <f>IF($B999="","",IF(COUNTIF($B$2:$B999,$B999)=1,1,0))</f>
        <v/>
      </c>
      <c r="AA999">
        <f>IF($Z999=1,SUMPRODUCT(--($AC$2:$AC$3001&lt;$AC999))+1,"")</f>
        <v/>
      </c>
      <c r="AB999">
        <f>IF($B999="","",IF(OR($Y999=TRUE(),$Y999="TRUE"),1,IF(AND($Y999&lt;&gt;"",OR($Y999=FALSE(),$Y999="FALSE")),0,IF(MIN(ABS($X999/100-Settings!$C$6),ABS($X999/100-Settings!$G$6))&lt;=MIN(ABS($X999/100-Settings!$C$7),ABS($X999/100-Settings!$G$7)),1,0))))</f>
        <v/>
      </c>
      <c r="AC999">
        <f>IF($Z999=1,IFERROR(IF(VALUE($B999)&lt;100000000,VALUE($B999),1000000000),IFERROR(IF(VALUE(MID($B999,2,20))&lt;100000000,VALUE(MID($B999,2,20)),1000000000),1000000000))+ROW()/100000,"")</f>
        <v/>
      </c>
    </row>
    <row r="1000">
      <c r="A1000">
        <f>IF($B1000="","",IFERROR(IF(INDEX('Per Invoice'!$A$2:$A$801,MATCH($B1000,'Per Invoice'!$B$2:$B$801,0))=0,"",INDEX('Per Invoice'!$A$2:$A$801,MATCH($B1000,'Per Invoice'!$B$2:$B$801,0))),""))</f>
        <v/>
      </c>
      <c r="J1000" s="7">
        <f>IF($B1000="","",I1000*Q1000/100)</f>
        <v/>
      </c>
      <c r="N1000" s="7" t="n"/>
      <c r="O1000" s="7" t="n"/>
      <c r="P1000" s="7">
        <f>IF($B1000="","",O1000*X1000/100)</f>
        <v/>
      </c>
      <c r="Q1000" s="7">
        <f>IF($B1000="","",O1000-P1000)</f>
        <v/>
      </c>
      <c r="R1000" s="7">
        <f>IF($B1000="","",Q1000-J1000)</f>
        <v/>
      </c>
      <c r="S1000" s="7" t="n"/>
      <c r="T1000" s="7" t="n"/>
      <c r="V1000" s="14" t="n"/>
      <c r="Z1000">
        <f>IF($B1000="","",IF(COUNTIF($B$2:$B1000,$B1000)=1,1,0))</f>
        <v/>
      </c>
      <c r="AA1000">
        <f>IF($Z1000=1,SUMPRODUCT(--($AC$2:$AC$3001&lt;$AC1000))+1,"")</f>
        <v/>
      </c>
      <c r="AB1000">
        <f>IF($B1000="","",IF(OR($Y1000=TRUE(),$Y1000="TRUE"),1,IF(AND($Y1000&lt;&gt;"",OR($Y1000=FALSE(),$Y1000="FALSE")),0,IF(MIN(ABS($X1000/100-Settings!$C$6),ABS($X1000/100-Settings!$G$6))&lt;=MIN(ABS($X1000/100-Settings!$C$7),ABS($X1000/100-Settings!$G$7)),1,0))))</f>
        <v/>
      </c>
      <c r="AC1000">
        <f>IF($Z1000=1,IFERROR(IF(VALUE($B1000)&lt;100000000,VALUE($B1000),1000000000),IFERROR(IF(VALUE(MID($B1000,2,20))&lt;100000000,VALUE(MID($B1000,2,20)),1000000000),1000000000))+ROW()/100000,"")</f>
        <v/>
      </c>
    </row>
    <row r="1001">
      <c r="A1001">
        <f>IF($B1001="","",IFERROR(IF(INDEX('Per Invoice'!$A$2:$A$801,MATCH($B1001,'Per Invoice'!$B$2:$B$801,0))=0,"",INDEX('Per Invoice'!$A$2:$A$801,MATCH($B1001,'Per Invoice'!$B$2:$B$801,0))),""))</f>
        <v/>
      </c>
      <c r="J1001" s="7">
        <f>IF($B1001="","",I1001*Q1001/100)</f>
        <v/>
      </c>
      <c r="N1001" s="7" t="n"/>
      <c r="O1001" s="7" t="n"/>
      <c r="P1001" s="7">
        <f>IF($B1001="","",O1001*X1001/100)</f>
        <v/>
      </c>
      <c r="Q1001" s="7">
        <f>IF($B1001="","",O1001-P1001)</f>
        <v/>
      </c>
      <c r="R1001" s="7">
        <f>IF($B1001="","",Q1001-J1001)</f>
        <v/>
      </c>
      <c r="S1001" s="7" t="n"/>
      <c r="T1001" s="7" t="n"/>
      <c r="V1001" s="14" t="n"/>
      <c r="Z1001">
        <f>IF($B1001="","",IF(COUNTIF($B$2:$B1001,$B1001)=1,1,0))</f>
        <v/>
      </c>
      <c r="AA1001">
        <f>IF($Z1001=1,SUMPRODUCT(--($AC$2:$AC$3001&lt;$AC1001))+1,"")</f>
        <v/>
      </c>
      <c r="AB1001">
        <f>IF($B1001="","",IF(OR($Y1001=TRUE(),$Y1001="TRUE"),1,IF(AND($Y1001&lt;&gt;"",OR($Y1001=FALSE(),$Y1001="FALSE")),0,IF(MIN(ABS($X1001/100-Settings!$C$6),ABS($X1001/100-Settings!$G$6))&lt;=MIN(ABS($X1001/100-Settings!$C$7),ABS($X1001/100-Settings!$G$7)),1,0))))</f>
        <v/>
      </c>
      <c r="AC1001">
        <f>IF($Z1001=1,IFERROR(IF(VALUE($B1001)&lt;100000000,VALUE($B1001),1000000000),IFERROR(IF(VALUE(MID($B1001,2,20))&lt;100000000,VALUE(MID($B1001,2,20)),1000000000),1000000000))+ROW()/100000,"")</f>
        <v/>
      </c>
    </row>
    <row r="1002">
      <c r="A1002">
        <f>IF($B1002="","",IFERROR(IF(INDEX('Per Invoice'!$A$2:$A$801,MATCH($B1002,'Per Invoice'!$B$2:$B$801,0))=0,"",INDEX('Per Invoice'!$A$2:$A$801,MATCH($B1002,'Per Invoice'!$B$2:$B$801,0))),""))</f>
        <v/>
      </c>
      <c r="J1002" s="7">
        <f>IF($B1002="","",I1002*Q1002/100)</f>
        <v/>
      </c>
      <c r="N1002" s="7" t="n"/>
      <c r="O1002" s="7" t="n"/>
      <c r="P1002" s="7">
        <f>IF($B1002="","",O1002*X1002/100)</f>
        <v/>
      </c>
      <c r="Q1002" s="7">
        <f>IF($B1002="","",O1002-P1002)</f>
        <v/>
      </c>
      <c r="R1002" s="7">
        <f>IF($B1002="","",Q1002-J1002)</f>
        <v/>
      </c>
      <c r="S1002" s="7" t="n"/>
      <c r="T1002" s="7" t="n"/>
      <c r="V1002" s="14" t="n"/>
      <c r="Z1002">
        <f>IF($B1002="","",IF(COUNTIF($B$2:$B1002,$B1002)=1,1,0))</f>
        <v/>
      </c>
      <c r="AA1002">
        <f>IF($Z1002=1,SUMPRODUCT(--($AC$2:$AC$3001&lt;$AC1002))+1,"")</f>
        <v/>
      </c>
      <c r="AB1002">
        <f>IF($B1002="","",IF(OR($Y1002=TRUE(),$Y1002="TRUE"),1,IF(AND($Y1002&lt;&gt;"",OR($Y1002=FALSE(),$Y1002="FALSE")),0,IF(MIN(ABS($X1002/100-Settings!$C$6),ABS($X1002/100-Settings!$G$6))&lt;=MIN(ABS($X1002/100-Settings!$C$7),ABS($X1002/100-Settings!$G$7)),1,0))))</f>
        <v/>
      </c>
      <c r="AC1002">
        <f>IF($Z1002=1,IFERROR(IF(VALUE($B1002)&lt;100000000,VALUE($B1002),1000000000),IFERROR(IF(VALUE(MID($B1002,2,20))&lt;100000000,VALUE(MID($B1002,2,20)),1000000000),1000000000))+ROW()/100000,"")</f>
        <v/>
      </c>
    </row>
    <row r="1003">
      <c r="A1003">
        <f>IF($B1003="","",IFERROR(IF(INDEX('Per Invoice'!$A$2:$A$801,MATCH($B1003,'Per Invoice'!$B$2:$B$801,0))=0,"",INDEX('Per Invoice'!$A$2:$A$801,MATCH($B1003,'Per Invoice'!$B$2:$B$801,0))),""))</f>
        <v/>
      </c>
      <c r="J1003" s="7">
        <f>IF($B1003="","",I1003*Q1003/100)</f>
        <v/>
      </c>
      <c r="N1003" s="7" t="n"/>
      <c r="O1003" s="7" t="n"/>
      <c r="P1003" s="7">
        <f>IF($B1003="","",O1003*X1003/100)</f>
        <v/>
      </c>
      <c r="Q1003" s="7">
        <f>IF($B1003="","",O1003-P1003)</f>
        <v/>
      </c>
      <c r="R1003" s="7">
        <f>IF($B1003="","",Q1003-J1003)</f>
        <v/>
      </c>
      <c r="S1003" s="7" t="n"/>
      <c r="T1003" s="7" t="n"/>
      <c r="V1003" s="14" t="n"/>
      <c r="Z1003">
        <f>IF($B1003="","",IF(COUNTIF($B$2:$B1003,$B1003)=1,1,0))</f>
        <v/>
      </c>
      <c r="AA1003">
        <f>IF($Z1003=1,SUMPRODUCT(--($AC$2:$AC$3001&lt;$AC1003))+1,"")</f>
        <v/>
      </c>
      <c r="AB1003">
        <f>IF($B1003="","",IF(OR($Y1003=TRUE(),$Y1003="TRUE"),1,IF(AND($Y1003&lt;&gt;"",OR($Y1003=FALSE(),$Y1003="FALSE")),0,IF(MIN(ABS($X1003/100-Settings!$C$6),ABS($X1003/100-Settings!$G$6))&lt;=MIN(ABS($X1003/100-Settings!$C$7),ABS($X1003/100-Settings!$G$7)),1,0))))</f>
        <v/>
      </c>
      <c r="AC1003">
        <f>IF($Z1003=1,IFERROR(IF(VALUE($B1003)&lt;100000000,VALUE($B1003),1000000000),IFERROR(IF(VALUE(MID($B1003,2,20))&lt;100000000,VALUE(MID($B1003,2,20)),1000000000),1000000000))+ROW()/100000,"")</f>
        <v/>
      </c>
    </row>
    <row r="1004">
      <c r="A1004">
        <f>IF($B1004="","",IFERROR(IF(INDEX('Per Invoice'!$A$2:$A$801,MATCH($B1004,'Per Invoice'!$B$2:$B$801,0))=0,"",INDEX('Per Invoice'!$A$2:$A$801,MATCH($B1004,'Per Invoice'!$B$2:$B$801,0))),""))</f>
        <v/>
      </c>
      <c r="J1004" s="7">
        <f>IF($B1004="","",I1004*Q1004/100)</f>
        <v/>
      </c>
      <c r="N1004" s="7" t="n"/>
      <c r="O1004" s="7" t="n"/>
      <c r="P1004" s="7">
        <f>IF($B1004="","",O1004*X1004/100)</f>
        <v/>
      </c>
      <c r="Q1004" s="7">
        <f>IF($B1004="","",O1004-P1004)</f>
        <v/>
      </c>
      <c r="R1004" s="7">
        <f>IF($B1004="","",Q1004-J1004)</f>
        <v/>
      </c>
      <c r="S1004" s="7" t="n"/>
      <c r="T1004" s="7" t="n"/>
      <c r="V1004" s="14" t="n"/>
      <c r="Z1004">
        <f>IF($B1004="","",IF(COUNTIF($B$2:$B1004,$B1004)=1,1,0))</f>
        <v/>
      </c>
      <c r="AA1004">
        <f>IF($Z1004=1,SUMPRODUCT(--($AC$2:$AC$3001&lt;$AC1004))+1,"")</f>
        <v/>
      </c>
      <c r="AB1004">
        <f>IF($B1004="","",IF(OR($Y1004=TRUE(),$Y1004="TRUE"),1,IF(AND($Y1004&lt;&gt;"",OR($Y1004=FALSE(),$Y1004="FALSE")),0,IF(MIN(ABS($X1004/100-Settings!$C$6),ABS($X1004/100-Settings!$G$6))&lt;=MIN(ABS($X1004/100-Settings!$C$7),ABS($X1004/100-Settings!$G$7)),1,0))))</f>
        <v/>
      </c>
      <c r="AC1004">
        <f>IF($Z1004=1,IFERROR(IF(VALUE($B1004)&lt;100000000,VALUE($B1004),1000000000),IFERROR(IF(VALUE(MID($B1004,2,20))&lt;100000000,VALUE(MID($B1004,2,20)),1000000000),1000000000))+ROW()/100000,"")</f>
        <v/>
      </c>
    </row>
    <row r="1005">
      <c r="A1005">
        <f>IF($B1005="","",IFERROR(IF(INDEX('Per Invoice'!$A$2:$A$801,MATCH($B1005,'Per Invoice'!$B$2:$B$801,0))=0,"",INDEX('Per Invoice'!$A$2:$A$801,MATCH($B1005,'Per Invoice'!$B$2:$B$801,0))),""))</f>
        <v/>
      </c>
      <c r="J1005" s="7">
        <f>IF($B1005="","",I1005*Q1005/100)</f>
        <v/>
      </c>
      <c r="N1005" s="7" t="n"/>
      <c r="O1005" s="7" t="n"/>
      <c r="P1005" s="7">
        <f>IF($B1005="","",O1005*X1005/100)</f>
        <v/>
      </c>
      <c r="Q1005" s="7">
        <f>IF($B1005="","",O1005-P1005)</f>
        <v/>
      </c>
      <c r="R1005" s="7">
        <f>IF($B1005="","",Q1005-J1005)</f>
        <v/>
      </c>
      <c r="S1005" s="7" t="n"/>
      <c r="T1005" s="7" t="n"/>
      <c r="V1005" s="14" t="n"/>
      <c r="Z1005">
        <f>IF($B1005="","",IF(COUNTIF($B$2:$B1005,$B1005)=1,1,0))</f>
        <v/>
      </c>
      <c r="AA1005">
        <f>IF($Z1005=1,SUMPRODUCT(--($AC$2:$AC$3001&lt;$AC1005))+1,"")</f>
        <v/>
      </c>
      <c r="AB1005">
        <f>IF($B1005="","",IF(OR($Y1005=TRUE(),$Y1005="TRUE"),1,IF(AND($Y1005&lt;&gt;"",OR($Y1005=FALSE(),$Y1005="FALSE")),0,IF(MIN(ABS($X1005/100-Settings!$C$6),ABS($X1005/100-Settings!$G$6))&lt;=MIN(ABS($X1005/100-Settings!$C$7),ABS($X1005/100-Settings!$G$7)),1,0))))</f>
        <v/>
      </c>
      <c r="AC1005">
        <f>IF($Z1005=1,IFERROR(IF(VALUE($B1005)&lt;100000000,VALUE($B1005),1000000000),IFERROR(IF(VALUE(MID($B1005,2,20))&lt;100000000,VALUE(MID($B1005,2,20)),1000000000),1000000000))+ROW()/100000,"")</f>
        <v/>
      </c>
    </row>
    <row r="1006">
      <c r="A1006">
        <f>IF($B1006="","",IFERROR(IF(INDEX('Per Invoice'!$A$2:$A$801,MATCH($B1006,'Per Invoice'!$B$2:$B$801,0))=0,"",INDEX('Per Invoice'!$A$2:$A$801,MATCH($B1006,'Per Invoice'!$B$2:$B$801,0))),""))</f>
        <v/>
      </c>
      <c r="J1006" s="7">
        <f>IF($B1006="","",I1006*Q1006/100)</f>
        <v/>
      </c>
      <c r="N1006" s="7" t="n"/>
      <c r="O1006" s="7" t="n"/>
      <c r="P1006" s="7">
        <f>IF($B1006="","",O1006*X1006/100)</f>
        <v/>
      </c>
      <c r="Q1006" s="7">
        <f>IF($B1006="","",O1006-P1006)</f>
        <v/>
      </c>
      <c r="R1006" s="7">
        <f>IF($B1006="","",Q1006-J1006)</f>
        <v/>
      </c>
      <c r="S1006" s="7" t="n"/>
      <c r="T1006" s="7" t="n"/>
      <c r="V1006" s="14" t="n"/>
      <c r="Z1006">
        <f>IF($B1006="","",IF(COUNTIF($B$2:$B1006,$B1006)=1,1,0))</f>
        <v/>
      </c>
      <c r="AA1006">
        <f>IF($Z1006=1,SUMPRODUCT(--($AC$2:$AC$3001&lt;$AC1006))+1,"")</f>
        <v/>
      </c>
      <c r="AB1006">
        <f>IF($B1006="","",IF(OR($Y1006=TRUE(),$Y1006="TRUE"),1,IF(AND($Y1006&lt;&gt;"",OR($Y1006=FALSE(),$Y1006="FALSE")),0,IF(MIN(ABS($X1006/100-Settings!$C$6),ABS($X1006/100-Settings!$G$6))&lt;=MIN(ABS($X1006/100-Settings!$C$7),ABS($X1006/100-Settings!$G$7)),1,0))))</f>
        <v/>
      </c>
      <c r="AC1006">
        <f>IF($Z1006=1,IFERROR(IF(VALUE($B1006)&lt;100000000,VALUE($B1006),1000000000),IFERROR(IF(VALUE(MID($B1006,2,20))&lt;100000000,VALUE(MID($B1006,2,20)),1000000000),1000000000))+ROW()/100000,"")</f>
        <v/>
      </c>
    </row>
    <row r="1007">
      <c r="A1007">
        <f>IF($B1007="","",IFERROR(IF(INDEX('Per Invoice'!$A$2:$A$801,MATCH($B1007,'Per Invoice'!$B$2:$B$801,0))=0,"",INDEX('Per Invoice'!$A$2:$A$801,MATCH($B1007,'Per Invoice'!$B$2:$B$801,0))),""))</f>
        <v/>
      </c>
      <c r="J1007" s="7">
        <f>IF($B1007="","",I1007*Q1007/100)</f>
        <v/>
      </c>
      <c r="N1007" s="7" t="n"/>
      <c r="O1007" s="7" t="n"/>
      <c r="P1007" s="7">
        <f>IF($B1007="","",O1007*X1007/100)</f>
        <v/>
      </c>
      <c r="Q1007" s="7">
        <f>IF($B1007="","",O1007-P1007)</f>
        <v/>
      </c>
      <c r="R1007" s="7">
        <f>IF($B1007="","",Q1007-J1007)</f>
        <v/>
      </c>
      <c r="S1007" s="7" t="n"/>
      <c r="T1007" s="7" t="n"/>
      <c r="V1007" s="14" t="n"/>
      <c r="Z1007">
        <f>IF($B1007="","",IF(COUNTIF($B$2:$B1007,$B1007)=1,1,0))</f>
        <v/>
      </c>
      <c r="AA1007">
        <f>IF($Z1007=1,SUMPRODUCT(--($AC$2:$AC$3001&lt;$AC1007))+1,"")</f>
        <v/>
      </c>
      <c r="AB1007">
        <f>IF($B1007="","",IF(OR($Y1007=TRUE(),$Y1007="TRUE"),1,IF(AND($Y1007&lt;&gt;"",OR($Y1007=FALSE(),$Y1007="FALSE")),0,IF(MIN(ABS($X1007/100-Settings!$C$6),ABS($X1007/100-Settings!$G$6))&lt;=MIN(ABS($X1007/100-Settings!$C$7),ABS($X1007/100-Settings!$G$7)),1,0))))</f>
        <v/>
      </c>
      <c r="AC1007">
        <f>IF($Z1007=1,IFERROR(IF(VALUE($B1007)&lt;100000000,VALUE($B1007),1000000000),IFERROR(IF(VALUE(MID($B1007,2,20))&lt;100000000,VALUE(MID($B1007,2,20)),1000000000),1000000000))+ROW()/100000,"")</f>
        <v/>
      </c>
    </row>
    <row r="1008">
      <c r="A1008">
        <f>IF($B1008="","",IFERROR(IF(INDEX('Per Invoice'!$A$2:$A$801,MATCH($B1008,'Per Invoice'!$B$2:$B$801,0))=0,"",INDEX('Per Invoice'!$A$2:$A$801,MATCH($B1008,'Per Invoice'!$B$2:$B$801,0))),""))</f>
        <v/>
      </c>
      <c r="J1008" s="7">
        <f>IF($B1008="","",I1008*Q1008/100)</f>
        <v/>
      </c>
      <c r="N1008" s="7" t="n"/>
      <c r="O1008" s="7" t="n"/>
      <c r="P1008" s="7">
        <f>IF($B1008="","",O1008*X1008/100)</f>
        <v/>
      </c>
      <c r="Q1008" s="7">
        <f>IF($B1008="","",O1008-P1008)</f>
        <v/>
      </c>
      <c r="R1008" s="7">
        <f>IF($B1008="","",Q1008-J1008)</f>
        <v/>
      </c>
      <c r="S1008" s="7" t="n"/>
      <c r="T1008" s="7" t="n"/>
      <c r="V1008" s="14" t="n"/>
      <c r="Z1008">
        <f>IF($B1008="","",IF(COUNTIF($B$2:$B1008,$B1008)=1,1,0))</f>
        <v/>
      </c>
      <c r="AA1008">
        <f>IF($Z1008=1,SUMPRODUCT(--($AC$2:$AC$3001&lt;$AC1008))+1,"")</f>
        <v/>
      </c>
      <c r="AB1008">
        <f>IF($B1008="","",IF(OR($Y1008=TRUE(),$Y1008="TRUE"),1,IF(AND($Y1008&lt;&gt;"",OR($Y1008=FALSE(),$Y1008="FALSE")),0,IF(MIN(ABS($X1008/100-Settings!$C$6),ABS($X1008/100-Settings!$G$6))&lt;=MIN(ABS($X1008/100-Settings!$C$7),ABS($X1008/100-Settings!$G$7)),1,0))))</f>
        <v/>
      </c>
      <c r="AC1008">
        <f>IF($Z1008=1,IFERROR(IF(VALUE($B1008)&lt;100000000,VALUE($B1008),1000000000),IFERROR(IF(VALUE(MID($B1008,2,20))&lt;100000000,VALUE(MID($B1008,2,20)),1000000000),1000000000))+ROW()/100000,"")</f>
        <v/>
      </c>
    </row>
    <row r="1009">
      <c r="A1009">
        <f>IF($B1009="","",IFERROR(IF(INDEX('Per Invoice'!$A$2:$A$801,MATCH($B1009,'Per Invoice'!$B$2:$B$801,0))=0,"",INDEX('Per Invoice'!$A$2:$A$801,MATCH($B1009,'Per Invoice'!$B$2:$B$801,0))),""))</f>
        <v/>
      </c>
      <c r="J1009" s="7">
        <f>IF($B1009="","",I1009*Q1009/100)</f>
        <v/>
      </c>
      <c r="N1009" s="7" t="n"/>
      <c r="O1009" s="7" t="n"/>
      <c r="P1009" s="7">
        <f>IF($B1009="","",O1009*X1009/100)</f>
        <v/>
      </c>
      <c r="Q1009" s="7">
        <f>IF($B1009="","",O1009-P1009)</f>
        <v/>
      </c>
      <c r="R1009" s="7">
        <f>IF($B1009="","",Q1009-J1009)</f>
        <v/>
      </c>
      <c r="S1009" s="7" t="n"/>
      <c r="T1009" s="7" t="n"/>
      <c r="V1009" s="14" t="n"/>
      <c r="Z1009">
        <f>IF($B1009="","",IF(COUNTIF($B$2:$B1009,$B1009)=1,1,0))</f>
        <v/>
      </c>
      <c r="AA1009">
        <f>IF($Z1009=1,SUMPRODUCT(--($AC$2:$AC$3001&lt;$AC1009))+1,"")</f>
        <v/>
      </c>
      <c r="AB1009">
        <f>IF($B1009="","",IF(OR($Y1009=TRUE(),$Y1009="TRUE"),1,IF(AND($Y1009&lt;&gt;"",OR($Y1009=FALSE(),$Y1009="FALSE")),0,IF(MIN(ABS($X1009/100-Settings!$C$6),ABS($X1009/100-Settings!$G$6))&lt;=MIN(ABS($X1009/100-Settings!$C$7),ABS($X1009/100-Settings!$G$7)),1,0))))</f>
        <v/>
      </c>
      <c r="AC1009">
        <f>IF($Z1009=1,IFERROR(IF(VALUE($B1009)&lt;100000000,VALUE($B1009),1000000000),IFERROR(IF(VALUE(MID($B1009,2,20))&lt;100000000,VALUE(MID($B1009,2,20)),1000000000),1000000000))+ROW()/100000,"")</f>
        <v/>
      </c>
    </row>
    <row r="1010">
      <c r="A1010">
        <f>IF($B1010="","",IFERROR(IF(INDEX('Per Invoice'!$A$2:$A$801,MATCH($B1010,'Per Invoice'!$B$2:$B$801,0))=0,"",INDEX('Per Invoice'!$A$2:$A$801,MATCH($B1010,'Per Invoice'!$B$2:$B$801,0))),""))</f>
        <v/>
      </c>
      <c r="J1010" s="7">
        <f>IF($B1010="","",I1010*Q1010/100)</f>
        <v/>
      </c>
      <c r="N1010" s="7" t="n"/>
      <c r="O1010" s="7" t="n"/>
      <c r="P1010" s="7">
        <f>IF($B1010="","",O1010*X1010/100)</f>
        <v/>
      </c>
      <c r="Q1010" s="7">
        <f>IF($B1010="","",O1010-P1010)</f>
        <v/>
      </c>
      <c r="R1010" s="7">
        <f>IF($B1010="","",Q1010-J1010)</f>
        <v/>
      </c>
      <c r="S1010" s="7" t="n"/>
      <c r="T1010" s="7" t="n"/>
      <c r="V1010" s="14" t="n"/>
      <c r="Z1010">
        <f>IF($B1010="","",IF(COUNTIF($B$2:$B1010,$B1010)=1,1,0))</f>
        <v/>
      </c>
      <c r="AA1010">
        <f>IF($Z1010=1,SUMPRODUCT(--($AC$2:$AC$3001&lt;$AC1010))+1,"")</f>
        <v/>
      </c>
      <c r="AB1010">
        <f>IF($B1010="","",IF(OR($Y1010=TRUE(),$Y1010="TRUE"),1,IF(AND($Y1010&lt;&gt;"",OR($Y1010=FALSE(),$Y1010="FALSE")),0,IF(MIN(ABS($X1010/100-Settings!$C$6),ABS($X1010/100-Settings!$G$6))&lt;=MIN(ABS($X1010/100-Settings!$C$7),ABS($X1010/100-Settings!$G$7)),1,0))))</f>
        <v/>
      </c>
      <c r="AC1010">
        <f>IF($Z1010=1,IFERROR(IF(VALUE($B1010)&lt;100000000,VALUE($B1010),1000000000),IFERROR(IF(VALUE(MID($B1010,2,20))&lt;100000000,VALUE(MID($B1010,2,20)),1000000000),1000000000))+ROW()/100000,"")</f>
        <v/>
      </c>
    </row>
    <row r="1011">
      <c r="A1011">
        <f>IF($B1011="","",IFERROR(IF(INDEX('Per Invoice'!$A$2:$A$801,MATCH($B1011,'Per Invoice'!$B$2:$B$801,0))=0,"",INDEX('Per Invoice'!$A$2:$A$801,MATCH($B1011,'Per Invoice'!$B$2:$B$801,0))),""))</f>
        <v/>
      </c>
      <c r="J1011" s="7">
        <f>IF($B1011="","",I1011*Q1011/100)</f>
        <v/>
      </c>
      <c r="N1011" s="7" t="n"/>
      <c r="O1011" s="7" t="n"/>
      <c r="P1011" s="7">
        <f>IF($B1011="","",O1011*X1011/100)</f>
        <v/>
      </c>
      <c r="Q1011" s="7">
        <f>IF($B1011="","",O1011-P1011)</f>
        <v/>
      </c>
      <c r="R1011" s="7">
        <f>IF($B1011="","",Q1011-J1011)</f>
        <v/>
      </c>
      <c r="S1011" s="7" t="n"/>
      <c r="T1011" s="7" t="n"/>
      <c r="V1011" s="14" t="n"/>
      <c r="Z1011">
        <f>IF($B1011="","",IF(COUNTIF($B$2:$B1011,$B1011)=1,1,0))</f>
        <v/>
      </c>
      <c r="AA1011">
        <f>IF($Z1011=1,SUMPRODUCT(--($AC$2:$AC$3001&lt;$AC1011))+1,"")</f>
        <v/>
      </c>
      <c r="AB1011">
        <f>IF($B1011="","",IF(OR($Y1011=TRUE(),$Y1011="TRUE"),1,IF(AND($Y1011&lt;&gt;"",OR($Y1011=FALSE(),$Y1011="FALSE")),0,IF(MIN(ABS($X1011/100-Settings!$C$6),ABS($X1011/100-Settings!$G$6))&lt;=MIN(ABS($X1011/100-Settings!$C$7),ABS($X1011/100-Settings!$G$7)),1,0))))</f>
        <v/>
      </c>
      <c r="AC1011">
        <f>IF($Z1011=1,IFERROR(IF(VALUE($B1011)&lt;100000000,VALUE($B1011),1000000000),IFERROR(IF(VALUE(MID($B1011,2,20))&lt;100000000,VALUE(MID($B1011,2,20)),1000000000),1000000000))+ROW()/100000,"")</f>
        <v/>
      </c>
    </row>
    <row r="1012">
      <c r="A1012">
        <f>IF($B1012="","",IFERROR(IF(INDEX('Per Invoice'!$A$2:$A$801,MATCH($B1012,'Per Invoice'!$B$2:$B$801,0))=0,"",INDEX('Per Invoice'!$A$2:$A$801,MATCH($B1012,'Per Invoice'!$B$2:$B$801,0))),""))</f>
        <v/>
      </c>
      <c r="J1012" s="7">
        <f>IF($B1012="","",I1012*Q1012/100)</f>
        <v/>
      </c>
      <c r="N1012" s="7" t="n"/>
      <c r="O1012" s="7" t="n"/>
      <c r="P1012" s="7">
        <f>IF($B1012="","",O1012*X1012/100)</f>
        <v/>
      </c>
      <c r="Q1012" s="7">
        <f>IF($B1012="","",O1012-P1012)</f>
        <v/>
      </c>
      <c r="R1012" s="7">
        <f>IF($B1012="","",Q1012-J1012)</f>
        <v/>
      </c>
      <c r="S1012" s="7" t="n"/>
      <c r="T1012" s="7" t="n"/>
      <c r="V1012" s="14" t="n"/>
      <c r="Z1012">
        <f>IF($B1012="","",IF(COUNTIF($B$2:$B1012,$B1012)=1,1,0))</f>
        <v/>
      </c>
      <c r="AA1012">
        <f>IF($Z1012=1,SUMPRODUCT(--($AC$2:$AC$3001&lt;$AC1012))+1,"")</f>
        <v/>
      </c>
      <c r="AB1012">
        <f>IF($B1012="","",IF(OR($Y1012=TRUE(),$Y1012="TRUE"),1,IF(AND($Y1012&lt;&gt;"",OR($Y1012=FALSE(),$Y1012="FALSE")),0,IF(MIN(ABS($X1012/100-Settings!$C$6),ABS($X1012/100-Settings!$G$6))&lt;=MIN(ABS($X1012/100-Settings!$C$7),ABS($X1012/100-Settings!$G$7)),1,0))))</f>
        <v/>
      </c>
      <c r="AC1012">
        <f>IF($Z1012=1,IFERROR(IF(VALUE($B1012)&lt;100000000,VALUE($B1012),1000000000),IFERROR(IF(VALUE(MID($B1012,2,20))&lt;100000000,VALUE(MID($B1012,2,20)),1000000000),1000000000))+ROW()/100000,"")</f>
        <v/>
      </c>
    </row>
    <row r="1013">
      <c r="A1013">
        <f>IF($B1013="","",IFERROR(IF(INDEX('Per Invoice'!$A$2:$A$801,MATCH($B1013,'Per Invoice'!$B$2:$B$801,0))=0,"",INDEX('Per Invoice'!$A$2:$A$801,MATCH($B1013,'Per Invoice'!$B$2:$B$801,0))),""))</f>
        <v/>
      </c>
      <c r="J1013" s="7">
        <f>IF($B1013="","",I1013*Q1013/100)</f>
        <v/>
      </c>
      <c r="N1013" s="7" t="n"/>
      <c r="O1013" s="7" t="n"/>
      <c r="P1013" s="7">
        <f>IF($B1013="","",O1013*X1013/100)</f>
        <v/>
      </c>
      <c r="Q1013" s="7">
        <f>IF($B1013="","",O1013-P1013)</f>
        <v/>
      </c>
      <c r="R1013" s="7">
        <f>IF($B1013="","",Q1013-J1013)</f>
        <v/>
      </c>
      <c r="S1013" s="7" t="n"/>
      <c r="T1013" s="7" t="n"/>
      <c r="V1013" s="14" t="n"/>
      <c r="Z1013">
        <f>IF($B1013="","",IF(COUNTIF($B$2:$B1013,$B1013)=1,1,0))</f>
        <v/>
      </c>
      <c r="AA1013">
        <f>IF($Z1013=1,SUMPRODUCT(--($AC$2:$AC$3001&lt;$AC1013))+1,"")</f>
        <v/>
      </c>
      <c r="AB1013">
        <f>IF($B1013="","",IF(OR($Y1013=TRUE(),$Y1013="TRUE"),1,IF(AND($Y1013&lt;&gt;"",OR($Y1013=FALSE(),$Y1013="FALSE")),0,IF(MIN(ABS($X1013/100-Settings!$C$6),ABS($X1013/100-Settings!$G$6))&lt;=MIN(ABS($X1013/100-Settings!$C$7),ABS($X1013/100-Settings!$G$7)),1,0))))</f>
        <v/>
      </c>
      <c r="AC1013">
        <f>IF($Z1013=1,IFERROR(IF(VALUE($B1013)&lt;100000000,VALUE($B1013),1000000000),IFERROR(IF(VALUE(MID($B1013,2,20))&lt;100000000,VALUE(MID($B1013,2,20)),1000000000),1000000000))+ROW()/100000,"")</f>
        <v/>
      </c>
    </row>
    <row r="1014">
      <c r="A1014">
        <f>IF($B1014="","",IFERROR(IF(INDEX('Per Invoice'!$A$2:$A$801,MATCH($B1014,'Per Invoice'!$B$2:$B$801,0))=0,"",INDEX('Per Invoice'!$A$2:$A$801,MATCH($B1014,'Per Invoice'!$B$2:$B$801,0))),""))</f>
        <v/>
      </c>
      <c r="J1014" s="7">
        <f>IF($B1014="","",I1014*Q1014/100)</f>
        <v/>
      </c>
      <c r="N1014" s="7" t="n"/>
      <c r="O1014" s="7" t="n"/>
      <c r="P1014" s="7">
        <f>IF($B1014="","",O1014*X1014/100)</f>
        <v/>
      </c>
      <c r="Q1014" s="7">
        <f>IF($B1014="","",O1014-P1014)</f>
        <v/>
      </c>
      <c r="R1014" s="7">
        <f>IF($B1014="","",Q1014-J1014)</f>
        <v/>
      </c>
      <c r="S1014" s="7" t="n"/>
      <c r="T1014" s="7" t="n"/>
      <c r="V1014" s="14" t="n"/>
      <c r="Z1014">
        <f>IF($B1014="","",IF(COUNTIF($B$2:$B1014,$B1014)=1,1,0))</f>
        <v/>
      </c>
      <c r="AA1014">
        <f>IF($Z1014=1,SUMPRODUCT(--($AC$2:$AC$3001&lt;$AC1014))+1,"")</f>
        <v/>
      </c>
      <c r="AB1014">
        <f>IF($B1014="","",IF(OR($Y1014=TRUE(),$Y1014="TRUE"),1,IF(AND($Y1014&lt;&gt;"",OR($Y1014=FALSE(),$Y1014="FALSE")),0,IF(MIN(ABS($X1014/100-Settings!$C$6),ABS($X1014/100-Settings!$G$6))&lt;=MIN(ABS($X1014/100-Settings!$C$7),ABS($X1014/100-Settings!$G$7)),1,0))))</f>
        <v/>
      </c>
      <c r="AC1014">
        <f>IF($Z1014=1,IFERROR(IF(VALUE($B1014)&lt;100000000,VALUE($B1014),1000000000),IFERROR(IF(VALUE(MID($B1014,2,20))&lt;100000000,VALUE(MID($B1014,2,20)),1000000000),1000000000))+ROW()/100000,"")</f>
        <v/>
      </c>
    </row>
    <row r="1015">
      <c r="A1015">
        <f>IF($B1015="","",IFERROR(IF(INDEX('Per Invoice'!$A$2:$A$801,MATCH($B1015,'Per Invoice'!$B$2:$B$801,0))=0,"",INDEX('Per Invoice'!$A$2:$A$801,MATCH($B1015,'Per Invoice'!$B$2:$B$801,0))),""))</f>
        <v/>
      </c>
      <c r="J1015" s="7">
        <f>IF($B1015="","",I1015*Q1015/100)</f>
        <v/>
      </c>
      <c r="N1015" s="7" t="n"/>
      <c r="O1015" s="7" t="n"/>
      <c r="P1015" s="7">
        <f>IF($B1015="","",O1015*X1015/100)</f>
        <v/>
      </c>
      <c r="Q1015" s="7">
        <f>IF($B1015="","",O1015-P1015)</f>
        <v/>
      </c>
      <c r="R1015" s="7">
        <f>IF($B1015="","",Q1015-J1015)</f>
        <v/>
      </c>
      <c r="S1015" s="7" t="n"/>
      <c r="T1015" s="7" t="n"/>
      <c r="V1015" s="14" t="n"/>
      <c r="Z1015">
        <f>IF($B1015="","",IF(COUNTIF($B$2:$B1015,$B1015)=1,1,0))</f>
        <v/>
      </c>
      <c r="AA1015">
        <f>IF($Z1015=1,SUMPRODUCT(--($AC$2:$AC$3001&lt;$AC1015))+1,"")</f>
        <v/>
      </c>
      <c r="AB1015">
        <f>IF($B1015="","",IF(OR($Y1015=TRUE(),$Y1015="TRUE"),1,IF(AND($Y1015&lt;&gt;"",OR($Y1015=FALSE(),$Y1015="FALSE")),0,IF(MIN(ABS($X1015/100-Settings!$C$6),ABS($X1015/100-Settings!$G$6))&lt;=MIN(ABS($X1015/100-Settings!$C$7),ABS($X1015/100-Settings!$G$7)),1,0))))</f>
        <v/>
      </c>
      <c r="AC1015">
        <f>IF($Z1015=1,IFERROR(IF(VALUE($B1015)&lt;100000000,VALUE($B1015),1000000000),IFERROR(IF(VALUE(MID($B1015,2,20))&lt;100000000,VALUE(MID($B1015,2,20)),1000000000),1000000000))+ROW()/100000,"")</f>
        <v/>
      </c>
    </row>
    <row r="1016">
      <c r="A1016">
        <f>IF($B1016="","",IFERROR(IF(INDEX('Per Invoice'!$A$2:$A$801,MATCH($B1016,'Per Invoice'!$B$2:$B$801,0))=0,"",INDEX('Per Invoice'!$A$2:$A$801,MATCH($B1016,'Per Invoice'!$B$2:$B$801,0))),""))</f>
        <v/>
      </c>
      <c r="J1016" s="7">
        <f>IF($B1016="","",I1016*Q1016/100)</f>
        <v/>
      </c>
      <c r="N1016" s="7" t="n"/>
      <c r="O1016" s="7" t="n"/>
      <c r="P1016" s="7">
        <f>IF($B1016="","",O1016*X1016/100)</f>
        <v/>
      </c>
      <c r="Q1016" s="7">
        <f>IF($B1016="","",O1016-P1016)</f>
        <v/>
      </c>
      <c r="R1016" s="7">
        <f>IF($B1016="","",Q1016-J1016)</f>
        <v/>
      </c>
      <c r="S1016" s="7" t="n"/>
      <c r="T1016" s="7" t="n"/>
      <c r="V1016" s="14" t="n"/>
      <c r="Z1016">
        <f>IF($B1016="","",IF(COUNTIF($B$2:$B1016,$B1016)=1,1,0))</f>
        <v/>
      </c>
      <c r="AA1016">
        <f>IF($Z1016=1,SUMPRODUCT(--($AC$2:$AC$3001&lt;$AC1016))+1,"")</f>
        <v/>
      </c>
      <c r="AB1016">
        <f>IF($B1016="","",IF(OR($Y1016=TRUE(),$Y1016="TRUE"),1,IF(AND($Y1016&lt;&gt;"",OR($Y1016=FALSE(),$Y1016="FALSE")),0,IF(MIN(ABS($X1016/100-Settings!$C$6),ABS($X1016/100-Settings!$G$6))&lt;=MIN(ABS($X1016/100-Settings!$C$7),ABS($X1016/100-Settings!$G$7)),1,0))))</f>
        <v/>
      </c>
      <c r="AC1016">
        <f>IF($Z1016=1,IFERROR(IF(VALUE($B1016)&lt;100000000,VALUE($B1016),1000000000),IFERROR(IF(VALUE(MID($B1016,2,20))&lt;100000000,VALUE(MID($B1016,2,20)),1000000000),1000000000))+ROW()/100000,"")</f>
        <v/>
      </c>
    </row>
    <row r="1017">
      <c r="A1017">
        <f>IF($B1017="","",IFERROR(IF(INDEX('Per Invoice'!$A$2:$A$801,MATCH($B1017,'Per Invoice'!$B$2:$B$801,0))=0,"",INDEX('Per Invoice'!$A$2:$A$801,MATCH($B1017,'Per Invoice'!$B$2:$B$801,0))),""))</f>
        <v/>
      </c>
      <c r="J1017" s="7">
        <f>IF($B1017="","",I1017*Q1017/100)</f>
        <v/>
      </c>
      <c r="N1017" s="7" t="n"/>
      <c r="O1017" s="7" t="n"/>
      <c r="P1017" s="7">
        <f>IF($B1017="","",O1017*X1017/100)</f>
        <v/>
      </c>
      <c r="Q1017" s="7">
        <f>IF($B1017="","",O1017-P1017)</f>
        <v/>
      </c>
      <c r="R1017" s="7">
        <f>IF($B1017="","",Q1017-J1017)</f>
        <v/>
      </c>
      <c r="S1017" s="7" t="n"/>
      <c r="T1017" s="7" t="n"/>
      <c r="V1017" s="14" t="n"/>
      <c r="Z1017">
        <f>IF($B1017="","",IF(COUNTIF($B$2:$B1017,$B1017)=1,1,0))</f>
        <v/>
      </c>
      <c r="AA1017">
        <f>IF($Z1017=1,SUMPRODUCT(--($AC$2:$AC$3001&lt;$AC1017))+1,"")</f>
        <v/>
      </c>
      <c r="AB1017">
        <f>IF($B1017="","",IF(OR($Y1017=TRUE(),$Y1017="TRUE"),1,IF(AND($Y1017&lt;&gt;"",OR($Y1017=FALSE(),$Y1017="FALSE")),0,IF(MIN(ABS($X1017/100-Settings!$C$6),ABS($X1017/100-Settings!$G$6))&lt;=MIN(ABS($X1017/100-Settings!$C$7),ABS($X1017/100-Settings!$G$7)),1,0))))</f>
        <v/>
      </c>
      <c r="AC1017">
        <f>IF($Z1017=1,IFERROR(IF(VALUE($B1017)&lt;100000000,VALUE($B1017),1000000000),IFERROR(IF(VALUE(MID($B1017,2,20))&lt;100000000,VALUE(MID($B1017,2,20)),1000000000),1000000000))+ROW()/100000,"")</f>
        <v/>
      </c>
    </row>
    <row r="1018">
      <c r="A1018">
        <f>IF($B1018="","",IFERROR(IF(INDEX('Per Invoice'!$A$2:$A$801,MATCH($B1018,'Per Invoice'!$B$2:$B$801,0))=0,"",INDEX('Per Invoice'!$A$2:$A$801,MATCH($B1018,'Per Invoice'!$B$2:$B$801,0))),""))</f>
        <v/>
      </c>
      <c r="J1018" s="7">
        <f>IF($B1018="","",I1018*Q1018/100)</f>
        <v/>
      </c>
      <c r="N1018" s="7" t="n"/>
      <c r="O1018" s="7" t="n"/>
      <c r="P1018" s="7">
        <f>IF($B1018="","",O1018*X1018/100)</f>
        <v/>
      </c>
      <c r="Q1018" s="7">
        <f>IF($B1018="","",O1018-P1018)</f>
        <v/>
      </c>
      <c r="R1018" s="7">
        <f>IF($B1018="","",Q1018-J1018)</f>
        <v/>
      </c>
      <c r="S1018" s="7" t="n"/>
      <c r="T1018" s="7" t="n"/>
      <c r="V1018" s="14" t="n"/>
      <c r="Z1018">
        <f>IF($B1018="","",IF(COUNTIF($B$2:$B1018,$B1018)=1,1,0))</f>
        <v/>
      </c>
      <c r="AA1018">
        <f>IF($Z1018=1,SUMPRODUCT(--($AC$2:$AC$3001&lt;$AC1018))+1,"")</f>
        <v/>
      </c>
      <c r="AB1018">
        <f>IF($B1018="","",IF(OR($Y1018=TRUE(),$Y1018="TRUE"),1,IF(AND($Y1018&lt;&gt;"",OR($Y1018=FALSE(),$Y1018="FALSE")),0,IF(MIN(ABS($X1018/100-Settings!$C$6),ABS($X1018/100-Settings!$G$6))&lt;=MIN(ABS($X1018/100-Settings!$C$7),ABS($X1018/100-Settings!$G$7)),1,0))))</f>
        <v/>
      </c>
      <c r="AC1018">
        <f>IF($Z1018=1,IFERROR(IF(VALUE($B1018)&lt;100000000,VALUE($B1018),1000000000),IFERROR(IF(VALUE(MID($B1018,2,20))&lt;100000000,VALUE(MID($B1018,2,20)),1000000000),1000000000))+ROW()/100000,"")</f>
        <v/>
      </c>
    </row>
    <row r="1019">
      <c r="A1019">
        <f>IF($B1019="","",IFERROR(IF(INDEX('Per Invoice'!$A$2:$A$801,MATCH($B1019,'Per Invoice'!$B$2:$B$801,0))=0,"",INDEX('Per Invoice'!$A$2:$A$801,MATCH($B1019,'Per Invoice'!$B$2:$B$801,0))),""))</f>
        <v/>
      </c>
      <c r="J1019" s="7">
        <f>IF($B1019="","",I1019*Q1019/100)</f>
        <v/>
      </c>
      <c r="N1019" s="7" t="n"/>
      <c r="O1019" s="7" t="n"/>
      <c r="P1019" s="7">
        <f>IF($B1019="","",O1019*X1019/100)</f>
        <v/>
      </c>
      <c r="Q1019" s="7">
        <f>IF($B1019="","",O1019-P1019)</f>
        <v/>
      </c>
      <c r="R1019" s="7">
        <f>IF($B1019="","",Q1019-J1019)</f>
        <v/>
      </c>
      <c r="S1019" s="7" t="n"/>
      <c r="T1019" s="7" t="n"/>
      <c r="V1019" s="14" t="n"/>
      <c r="Z1019">
        <f>IF($B1019="","",IF(COUNTIF($B$2:$B1019,$B1019)=1,1,0))</f>
        <v/>
      </c>
      <c r="AA1019">
        <f>IF($Z1019=1,SUMPRODUCT(--($AC$2:$AC$3001&lt;$AC1019))+1,"")</f>
        <v/>
      </c>
      <c r="AB1019">
        <f>IF($B1019="","",IF(OR($Y1019=TRUE(),$Y1019="TRUE"),1,IF(AND($Y1019&lt;&gt;"",OR($Y1019=FALSE(),$Y1019="FALSE")),0,IF(MIN(ABS($X1019/100-Settings!$C$6),ABS($X1019/100-Settings!$G$6))&lt;=MIN(ABS($X1019/100-Settings!$C$7),ABS($X1019/100-Settings!$G$7)),1,0))))</f>
        <v/>
      </c>
      <c r="AC1019">
        <f>IF($Z1019=1,IFERROR(IF(VALUE($B1019)&lt;100000000,VALUE($B1019),1000000000),IFERROR(IF(VALUE(MID($B1019,2,20))&lt;100000000,VALUE(MID($B1019,2,20)),1000000000),1000000000))+ROW()/100000,"")</f>
        <v/>
      </c>
    </row>
    <row r="1020">
      <c r="A1020">
        <f>IF($B1020="","",IFERROR(IF(INDEX('Per Invoice'!$A$2:$A$801,MATCH($B1020,'Per Invoice'!$B$2:$B$801,0))=0,"",INDEX('Per Invoice'!$A$2:$A$801,MATCH($B1020,'Per Invoice'!$B$2:$B$801,0))),""))</f>
        <v/>
      </c>
      <c r="J1020" s="7">
        <f>IF($B1020="","",I1020*Q1020/100)</f>
        <v/>
      </c>
      <c r="N1020" s="7" t="n"/>
      <c r="O1020" s="7" t="n"/>
      <c r="P1020" s="7">
        <f>IF($B1020="","",O1020*X1020/100)</f>
        <v/>
      </c>
      <c r="Q1020" s="7">
        <f>IF($B1020="","",O1020-P1020)</f>
        <v/>
      </c>
      <c r="R1020" s="7">
        <f>IF($B1020="","",Q1020-J1020)</f>
        <v/>
      </c>
      <c r="S1020" s="7" t="n"/>
      <c r="T1020" s="7" t="n"/>
      <c r="V1020" s="14" t="n"/>
      <c r="Z1020">
        <f>IF($B1020="","",IF(COUNTIF($B$2:$B1020,$B1020)=1,1,0))</f>
        <v/>
      </c>
      <c r="AA1020">
        <f>IF($Z1020=1,SUMPRODUCT(--($AC$2:$AC$3001&lt;$AC1020))+1,"")</f>
        <v/>
      </c>
      <c r="AB1020">
        <f>IF($B1020="","",IF(OR($Y1020=TRUE(),$Y1020="TRUE"),1,IF(AND($Y1020&lt;&gt;"",OR($Y1020=FALSE(),$Y1020="FALSE")),0,IF(MIN(ABS($X1020/100-Settings!$C$6),ABS($X1020/100-Settings!$G$6))&lt;=MIN(ABS($X1020/100-Settings!$C$7),ABS($X1020/100-Settings!$G$7)),1,0))))</f>
        <v/>
      </c>
      <c r="AC1020">
        <f>IF($Z1020=1,IFERROR(IF(VALUE($B1020)&lt;100000000,VALUE($B1020),1000000000),IFERROR(IF(VALUE(MID($B1020,2,20))&lt;100000000,VALUE(MID($B1020,2,20)),1000000000),1000000000))+ROW()/100000,"")</f>
        <v/>
      </c>
    </row>
    <row r="1021">
      <c r="A1021">
        <f>IF($B1021="","",IFERROR(IF(INDEX('Per Invoice'!$A$2:$A$801,MATCH($B1021,'Per Invoice'!$B$2:$B$801,0))=0,"",INDEX('Per Invoice'!$A$2:$A$801,MATCH($B1021,'Per Invoice'!$B$2:$B$801,0))),""))</f>
        <v/>
      </c>
      <c r="J1021" s="7">
        <f>IF($B1021="","",I1021*Q1021/100)</f>
        <v/>
      </c>
      <c r="N1021" s="7" t="n"/>
      <c r="O1021" s="7" t="n"/>
      <c r="P1021" s="7">
        <f>IF($B1021="","",O1021*X1021/100)</f>
        <v/>
      </c>
      <c r="Q1021" s="7">
        <f>IF($B1021="","",O1021-P1021)</f>
        <v/>
      </c>
      <c r="R1021" s="7">
        <f>IF($B1021="","",Q1021-J1021)</f>
        <v/>
      </c>
      <c r="S1021" s="7" t="n"/>
      <c r="T1021" s="7" t="n"/>
      <c r="V1021" s="14" t="n"/>
      <c r="Z1021">
        <f>IF($B1021="","",IF(COUNTIF($B$2:$B1021,$B1021)=1,1,0))</f>
        <v/>
      </c>
      <c r="AA1021">
        <f>IF($Z1021=1,SUMPRODUCT(--($AC$2:$AC$3001&lt;$AC1021))+1,"")</f>
        <v/>
      </c>
      <c r="AB1021">
        <f>IF($B1021="","",IF(OR($Y1021=TRUE(),$Y1021="TRUE"),1,IF(AND($Y1021&lt;&gt;"",OR($Y1021=FALSE(),$Y1021="FALSE")),0,IF(MIN(ABS($X1021/100-Settings!$C$6),ABS($X1021/100-Settings!$G$6))&lt;=MIN(ABS($X1021/100-Settings!$C$7),ABS($X1021/100-Settings!$G$7)),1,0))))</f>
        <v/>
      </c>
      <c r="AC1021">
        <f>IF($Z1021=1,IFERROR(IF(VALUE($B1021)&lt;100000000,VALUE($B1021),1000000000),IFERROR(IF(VALUE(MID($B1021,2,20))&lt;100000000,VALUE(MID($B1021,2,20)),1000000000),1000000000))+ROW()/100000,"")</f>
        <v/>
      </c>
    </row>
    <row r="1022">
      <c r="A1022">
        <f>IF($B1022="","",IFERROR(IF(INDEX('Per Invoice'!$A$2:$A$801,MATCH($B1022,'Per Invoice'!$B$2:$B$801,0))=0,"",INDEX('Per Invoice'!$A$2:$A$801,MATCH($B1022,'Per Invoice'!$B$2:$B$801,0))),""))</f>
        <v/>
      </c>
      <c r="J1022" s="7">
        <f>IF($B1022="","",I1022*Q1022/100)</f>
        <v/>
      </c>
      <c r="N1022" s="7" t="n"/>
      <c r="O1022" s="7" t="n"/>
      <c r="P1022" s="7">
        <f>IF($B1022="","",O1022*X1022/100)</f>
        <v/>
      </c>
      <c r="Q1022" s="7">
        <f>IF($B1022="","",O1022-P1022)</f>
        <v/>
      </c>
      <c r="R1022" s="7">
        <f>IF($B1022="","",Q1022-J1022)</f>
        <v/>
      </c>
      <c r="S1022" s="7" t="n"/>
      <c r="T1022" s="7" t="n"/>
      <c r="V1022" s="14" t="n"/>
      <c r="Z1022">
        <f>IF($B1022="","",IF(COUNTIF($B$2:$B1022,$B1022)=1,1,0))</f>
        <v/>
      </c>
      <c r="AA1022">
        <f>IF($Z1022=1,SUMPRODUCT(--($AC$2:$AC$3001&lt;$AC1022))+1,"")</f>
        <v/>
      </c>
      <c r="AB1022">
        <f>IF($B1022="","",IF(OR($Y1022=TRUE(),$Y1022="TRUE"),1,IF(AND($Y1022&lt;&gt;"",OR($Y1022=FALSE(),$Y1022="FALSE")),0,IF(MIN(ABS($X1022/100-Settings!$C$6),ABS($X1022/100-Settings!$G$6))&lt;=MIN(ABS($X1022/100-Settings!$C$7),ABS($X1022/100-Settings!$G$7)),1,0))))</f>
        <v/>
      </c>
      <c r="AC1022">
        <f>IF($Z1022=1,IFERROR(IF(VALUE($B1022)&lt;100000000,VALUE($B1022),1000000000),IFERROR(IF(VALUE(MID($B1022,2,20))&lt;100000000,VALUE(MID($B1022,2,20)),1000000000),1000000000))+ROW()/100000,"")</f>
        <v/>
      </c>
    </row>
    <row r="1023">
      <c r="A1023">
        <f>IF($B1023="","",IFERROR(IF(INDEX('Per Invoice'!$A$2:$A$801,MATCH($B1023,'Per Invoice'!$B$2:$B$801,0))=0,"",INDEX('Per Invoice'!$A$2:$A$801,MATCH($B1023,'Per Invoice'!$B$2:$B$801,0))),""))</f>
        <v/>
      </c>
      <c r="J1023" s="7">
        <f>IF($B1023="","",I1023*Q1023/100)</f>
        <v/>
      </c>
      <c r="N1023" s="7" t="n"/>
      <c r="O1023" s="7" t="n"/>
      <c r="P1023" s="7">
        <f>IF($B1023="","",O1023*X1023/100)</f>
        <v/>
      </c>
      <c r="Q1023" s="7">
        <f>IF($B1023="","",O1023-P1023)</f>
        <v/>
      </c>
      <c r="R1023" s="7">
        <f>IF($B1023="","",Q1023-J1023)</f>
        <v/>
      </c>
      <c r="S1023" s="7" t="n"/>
      <c r="T1023" s="7" t="n"/>
      <c r="V1023" s="14" t="n"/>
      <c r="Z1023">
        <f>IF($B1023="","",IF(COUNTIF($B$2:$B1023,$B1023)=1,1,0))</f>
        <v/>
      </c>
      <c r="AA1023">
        <f>IF($Z1023=1,SUMPRODUCT(--($AC$2:$AC$3001&lt;$AC1023))+1,"")</f>
        <v/>
      </c>
      <c r="AB1023">
        <f>IF($B1023="","",IF(OR($Y1023=TRUE(),$Y1023="TRUE"),1,IF(AND($Y1023&lt;&gt;"",OR($Y1023=FALSE(),$Y1023="FALSE")),0,IF(MIN(ABS($X1023/100-Settings!$C$6),ABS($X1023/100-Settings!$G$6))&lt;=MIN(ABS($X1023/100-Settings!$C$7),ABS($X1023/100-Settings!$G$7)),1,0))))</f>
        <v/>
      </c>
      <c r="AC1023">
        <f>IF($Z1023=1,IFERROR(IF(VALUE($B1023)&lt;100000000,VALUE($B1023),1000000000),IFERROR(IF(VALUE(MID($B1023,2,20))&lt;100000000,VALUE(MID($B1023,2,20)),1000000000),1000000000))+ROW()/100000,"")</f>
        <v/>
      </c>
    </row>
    <row r="1024">
      <c r="A1024">
        <f>IF($B1024="","",IFERROR(IF(INDEX('Per Invoice'!$A$2:$A$801,MATCH($B1024,'Per Invoice'!$B$2:$B$801,0))=0,"",INDEX('Per Invoice'!$A$2:$A$801,MATCH($B1024,'Per Invoice'!$B$2:$B$801,0))),""))</f>
        <v/>
      </c>
      <c r="J1024" s="7">
        <f>IF($B1024="","",I1024*Q1024/100)</f>
        <v/>
      </c>
      <c r="N1024" s="7" t="n"/>
      <c r="O1024" s="7" t="n"/>
      <c r="P1024" s="7">
        <f>IF($B1024="","",O1024*X1024/100)</f>
        <v/>
      </c>
      <c r="Q1024" s="7">
        <f>IF($B1024="","",O1024-P1024)</f>
        <v/>
      </c>
      <c r="R1024" s="7">
        <f>IF($B1024="","",Q1024-J1024)</f>
        <v/>
      </c>
      <c r="S1024" s="7" t="n"/>
      <c r="T1024" s="7" t="n"/>
      <c r="V1024" s="14" t="n"/>
      <c r="Z1024">
        <f>IF($B1024="","",IF(COUNTIF($B$2:$B1024,$B1024)=1,1,0))</f>
        <v/>
      </c>
      <c r="AA1024">
        <f>IF($Z1024=1,SUMPRODUCT(--($AC$2:$AC$3001&lt;$AC1024))+1,"")</f>
        <v/>
      </c>
      <c r="AB1024">
        <f>IF($B1024="","",IF(OR($Y1024=TRUE(),$Y1024="TRUE"),1,IF(AND($Y1024&lt;&gt;"",OR($Y1024=FALSE(),$Y1024="FALSE")),0,IF(MIN(ABS($X1024/100-Settings!$C$6),ABS($X1024/100-Settings!$G$6))&lt;=MIN(ABS($X1024/100-Settings!$C$7),ABS($X1024/100-Settings!$G$7)),1,0))))</f>
        <v/>
      </c>
      <c r="AC1024">
        <f>IF($Z1024=1,IFERROR(IF(VALUE($B1024)&lt;100000000,VALUE($B1024),1000000000),IFERROR(IF(VALUE(MID($B1024,2,20))&lt;100000000,VALUE(MID($B1024,2,20)),1000000000),1000000000))+ROW()/100000,"")</f>
        <v/>
      </c>
    </row>
    <row r="1025">
      <c r="A1025">
        <f>IF($B1025="","",IFERROR(IF(INDEX('Per Invoice'!$A$2:$A$801,MATCH($B1025,'Per Invoice'!$B$2:$B$801,0))=0,"",INDEX('Per Invoice'!$A$2:$A$801,MATCH($B1025,'Per Invoice'!$B$2:$B$801,0))),""))</f>
        <v/>
      </c>
      <c r="J1025" s="7">
        <f>IF($B1025="","",I1025*Q1025/100)</f>
        <v/>
      </c>
      <c r="N1025" s="7" t="n"/>
      <c r="O1025" s="7" t="n"/>
      <c r="P1025" s="7">
        <f>IF($B1025="","",O1025*X1025/100)</f>
        <v/>
      </c>
      <c r="Q1025" s="7">
        <f>IF($B1025="","",O1025-P1025)</f>
        <v/>
      </c>
      <c r="R1025" s="7">
        <f>IF($B1025="","",Q1025-J1025)</f>
        <v/>
      </c>
      <c r="S1025" s="7" t="n"/>
      <c r="T1025" s="7" t="n"/>
      <c r="V1025" s="14" t="n"/>
      <c r="Z1025">
        <f>IF($B1025="","",IF(COUNTIF($B$2:$B1025,$B1025)=1,1,0))</f>
        <v/>
      </c>
      <c r="AA1025">
        <f>IF($Z1025=1,SUMPRODUCT(--($AC$2:$AC$3001&lt;$AC1025))+1,"")</f>
        <v/>
      </c>
      <c r="AB1025">
        <f>IF($B1025="","",IF(OR($Y1025=TRUE(),$Y1025="TRUE"),1,IF(AND($Y1025&lt;&gt;"",OR($Y1025=FALSE(),$Y1025="FALSE")),0,IF(MIN(ABS($X1025/100-Settings!$C$6),ABS($X1025/100-Settings!$G$6))&lt;=MIN(ABS($X1025/100-Settings!$C$7),ABS($X1025/100-Settings!$G$7)),1,0))))</f>
        <v/>
      </c>
      <c r="AC1025">
        <f>IF($Z1025=1,IFERROR(IF(VALUE($B1025)&lt;100000000,VALUE($B1025),1000000000),IFERROR(IF(VALUE(MID($B1025,2,20))&lt;100000000,VALUE(MID($B1025,2,20)),1000000000),1000000000))+ROW()/100000,"")</f>
        <v/>
      </c>
    </row>
    <row r="1026">
      <c r="A1026">
        <f>IF($B1026="","",IFERROR(IF(INDEX('Per Invoice'!$A$2:$A$801,MATCH($B1026,'Per Invoice'!$B$2:$B$801,0))=0,"",INDEX('Per Invoice'!$A$2:$A$801,MATCH($B1026,'Per Invoice'!$B$2:$B$801,0))),""))</f>
        <v/>
      </c>
      <c r="J1026" s="7">
        <f>IF($B1026="","",I1026*Q1026/100)</f>
        <v/>
      </c>
      <c r="N1026" s="7" t="n"/>
      <c r="O1026" s="7" t="n"/>
      <c r="P1026" s="7">
        <f>IF($B1026="","",O1026*X1026/100)</f>
        <v/>
      </c>
      <c r="Q1026" s="7">
        <f>IF($B1026="","",O1026-P1026)</f>
        <v/>
      </c>
      <c r="R1026" s="7">
        <f>IF($B1026="","",Q1026-J1026)</f>
        <v/>
      </c>
      <c r="S1026" s="7" t="n"/>
      <c r="T1026" s="7" t="n"/>
      <c r="V1026" s="14" t="n"/>
      <c r="Z1026">
        <f>IF($B1026="","",IF(COUNTIF($B$2:$B1026,$B1026)=1,1,0))</f>
        <v/>
      </c>
      <c r="AA1026">
        <f>IF($Z1026=1,SUMPRODUCT(--($AC$2:$AC$3001&lt;$AC1026))+1,"")</f>
        <v/>
      </c>
      <c r="AB1026">
        <f>IF($B1026="","",IF(OR($Y1026=TRUE(),$Y1026="TRUE"),1,IF(AND($Y1026&lt;&gt;"",OR($Y1026=FALSE(),$Y1026="FALSE")),0,IF(MIN(ABS($X1026/100-Settings!$C$6),ABS($X1026/100-Settings!$G$6))&lt;=MIN(ABS($X1026/100-Settings!$C$7),ABS($X1026/100-Settings!$G$7)),1,0))))</f>
        <v/>
      </c>
      <c r="AC1026">
        <f>IF($Z1026=1,IFERROR(IF(VALUE($B1026)&lt;100000000,VALUE($B1026),1000000000),IFERROR(IF(VALUE(MID($B1026,2,20))&lt;100000000,VALUE(MID($B1026,2,20)),1000000000),1000000000))+ROW()/100000,"")</f>
        <v/>
      </c>
    </row>
    <row r="1027">
      <c r="A1027">
        <f>IF($B1027="","",IFERROR(IF(INDEX('Per Invoice'!$A$2:$A$801,MATCH($B1027,'Per Invoice'!$B$2:$B$801,0))=0,"",INDEX('Per Invoice'!$A$2:$A$801,MATCH($B1027,'Per Invoice'!$B$2:$B$801,0))),""))</f>
        <v/>
      </c>
      <c r="J1027" s="7">
        <f>IF($B1027="","",I1027*Q1027/100)</f>
        <v/>
      </c>
      <c r="N1027" s="7" t="n"/>
      <c r="O1027" s="7" t="n"/>
      <c r="P1027" s="7">
        <f>IF($B1027="","",O1027*X1027/100)</f>
        <v/>
      </c>
      <c r="Q1027" s="7">
        <f>IF($B1027="","",O1027-P1027)</f>
        <v/>
      </c>
      <c r="R1027" s="7">
        <f>IF($B1027="","",Q1027-J1027)</f>
        <v/>
      </c>
      <c r="S1027" s="7" t="n"/>
      <c r="T1027" s="7" t="n"/>
      <c r="V1027" s="14" t="n"/>
      <c r="Z1027">
        <f>IF($B1027="","",IF(COUNTIF($B$2:$B1027,$B1027)=1,1,0))</f>
        <v/>
      </c>
      <c r="AA1027">
        <f>IF($Z1027=1,SUMPRODUCT(--($AC$2:$AC$3001&lt;$AC1027))+1,"")</f>
        <v/>
      </c>
      <c r="AB1027">
        <f>IF($B1027="","",IF(OR($Y1027=TRUE(),$Y1027="TRUE"),1,IF(AND($Y1027&lt;&gt;"",OR($Y1027=FALSE(),$Y1027="FALSE")),0,IF(MIN(ABS($X1027/100-Settings!$C$6),ABS($X1027/100-Settings!$G$6))&lt;=MIN(ABS($X1027/100-Settings!$C$7),ABS($X1027/100-Settings!$G$7)),1,0))))</f>
        <v/>
      </c>
      <c r="AC1027">
        <f>IF($Z1027=1,IFERROR(IF(VALUE($B1027)&lt;100000000,VALUE($B1027),1000000000),IFERROR(IF(VALUE(MID($B1027,2,20))&lt;100000000,VALUE(MID($B1027,2,20)),1000000000),1000000000))+ROW()/100000,"")</f>
        <v/>
      </c>
    </row>
    <row r="1028">
      <c r="A1028">
        <f>IF($B1028="","",IFERROR(IF(INDEX('Per Invoice'!$A$2:$A$801,MATCH($B1028,'Per Invoice'!$B$2:$B$801,0))=0,"",INDEX('Per Invoice'!$A$2:$A$801,MATCH($B1028,'Per Invoice'!$B$2:$B$801,0))),""))</f>
        <v/>
      </c>
      <c r="J1028" s="7">
        <f>IF($B1028="","",I1028*Q1028/100)</f>
        <v/>
      </c>
      <c r="N1028" s="7" t="n"/>
      <c r="O1028" s="7" t="n"/>
      <c r="P1028" s="7">
        <f>IF($B1028="","",O1028*X1028/100)</f>
        <v/>
      </c>
      <c r="Q1028" s="7">
        <f>IF($B1028="","",O1028-P1028)</f>
        <v/>
      </c>
      <c r="R1028" s="7">
        <f>IF($B1028="","",Q1028-J1028)</f>
        <v/>
      </c>
      <c r="S1028" s="7" t="n"/>
      <c r="T1028" s="7" t="n"/>
      <c r="V1028" s="14" t="n"/>
      <c r="Z1028">
        <f>IF($B1028="","",IF(COUNTIF($B$2:$B1028,$B1028)=1,1,0))</f>
        <v/>
      </c>
      <c r="AA1028">
        <f>IF($Z1028=1,SUMPRODUCT(--($AC$2:$AC$3001&lt;$AC1028))+1,"")</f>
        <v/>
      </c>
      <c r="AB1028">
        <f>IF($B1028="","",IF(OR($Y1028=TRUE(),$Y1028="TRUE"),1,IF(AND($Y1028&lt;&gt;"",OR($Y1028=FALSE(),$Y1028="FALSE")),0,IF(MIN(ABS($X1028/100-Settings!$C$6),ABS($X1028/100-Settings!$G$6))&lt;=MIN(ABS($X1028/100-Settings!$C$7),ABS($X1028/100-Settings!$G$7)),1,0))))</f>
        <v/>
      </c>
      <c r="AC1028">
        <f>IF($Z1028=1,IFERROR(IF(VALUE($B1028)&lt;100000000,VALUE($B1028),1000000000),IFERROR(IF(VALUE(MID($B1028,2,20))&lt;100000000,VALUE(MID($B1028,2,20)),1000000000),1000000000))+ROW()/100000,"")</f>
        <v/>
      </c>
    </row>
    <row r="1029">
      <c r="A1029">
        <f>IF($B1029="","",IFERROR(IF(INDEX('Per Invoice'!$A$2:$A$801,MATCH($B1029,'Per Invoice'!$B$2:$B$801,0))=0,"",INDEX('Per Invoice'!$A$2:$A$801,MATCH($B1029,'Per Invoice'!$B$2:$B$801,0))),""))</f>
        <v/>
      </c>
      <c r="J1029" s="7">
        <f>IF($B1029="","",I1029*Q1029/100)</f>
        <v/>
      </c>
      <c r="N1029" s="7" t="n"/>
      <c r="O1029" s="7" t="n"/>
      <c r="P1029" s="7">
        <f>IF($B1029="","",O1029*X1029/100)</f>
        <v/>
      </c>
      <c r="Q1029" s="7">
        <f>IF($B1029="","",O1029-P1029)</f>
        <v/>
      </c>
      <c r="R1029" s="7">
        <f>IF($B1029="","",Q1029-J1029)</f>
        <v/>
      </c>
      <c r="S1029" s="7" t="n"/>
      <c r="T1029" s="7" t="n"/>
      <c r="V1029" s="14" t="n"/>
      <c r="Z1029">
        <f>IF($B1029="","",IF(COUNTIF($B$2:$B1029,$B1029)=1,1,0))</f>
        <v/>
      </c>
      <c r="AA1029">
        <f>IF($Z1029=1,SUMPRODUCT(--($AC$2:$AC$3001&lt;$AC1029))+1,"")</f>
        <v/>
      </c>
      <c r="AB1029">
        <f>IF($B1029="","",IF(OR($Y1029=TRUE(),$Y1029="TRUE"),1,IF(AND($Y1029&lt;&gt;"",OR($Y1029=FALSE(),$Y1029="FALSE")),0,IF(MIN(ABS($X1029/100-Settings!$C$6),ABS($X1029/100-Settings!$G$6))&lt;=MIN(ABS($X1029/100-Settings!$C$7),ABS($X1029/100-Settings!$G$7)),1,0))))</f>
        <v/>
      </c>
      <c r="AC1029">
        <f>IF($Z1029=1,IFERROR(IF(VALUE($B1029)&lt;100000000,VALUE($B1029),1000000000),IFERROR(IF(VALUE(MID($B1029,2,20))&lt;100000000,VALUE(MID($B1029,2,20)),1000000000),1000000000))+ROW()/100000,"")</f>
        <v/>
      </c>
    </row>
    <row r="1030">
      <c r="A1030">
        <f>IF($B1030="","",IFERROR(IF(INDEX('Per Invoice'!$A$2:$A$801,MATCH($B1030,'Per Invoice'!$B$2:$B$801,0))=0,"",INDEX('Per Invoice'!$A$2:$A$801,MATCH($B1030,'Per Invoice'!$B$2:$B$801,0))),""))</f>
        <v/>
      </c>
      <c r="J1030" s="7">
        <f>IF($B1030="","",I1030*Q1030/100)</f>
        <v/>
      </c>
      <c r="N1030" s="7" t="n"/>
      <c r="O1030" s="7" t="n"/>
      <c r="P1030" s="7">
        <f>IF($B1030="","",O1030*X1030/100)</f>
        <v/>
      </c>
      <c r="Q1030" s="7">
        <f>IF($B1030="","",O1030-P1030)</f>
        <v/>
      </c>
      <c r="R1030" s="7">
        <f>IF($B1030="","",Q1030-J1030)</f>
        <v/>
      </c>
      <c r="S1030" s="7" t="n"/>
      <c r="T1030" s="7" t="n"/>
      <c r="V1030" s="14" t="n"/>
      <c r="Z1030">
        <f>IF($B1030="","",IF(COUNTIF($B$2:$B1030,$B1030)=1,1,0))</f>
        <v/>
      </c>
      <c r="AA1030">
        <f>IF($Z1030=1,SUMPRODUCT(--($AC$2:$AC$3001&lt;$AC1030))+1,"")</f>
        <v/>
      </c>
      <c r="AB1030">
        <f>IF($B1030="","",IF(OR($Y1030=TRUE(),$Y1030="TRUE"),1,IF(AND($Y1030&lt;&gt;"",OR($Y1030=FALSE(),$Y1030="FALSE")),0,IF(MIN(ABS($X1030/100-Settings!$C$6),ABS($X1030/100-Settings!$G$6))&lt;=MIN(ABS($X1030/100-Settings!$C$7),ABS($X1030/100-Settings!$G$7)),1,0))))</f>
        <v/>
      </c>
      <c r="AC1030">
        <f>IF($Z1030=1,IFERROR(IF(VALUE($B1030)&lt;100000000,VALUE($B1030),1000000000),IFERROR(IF(VALUE(MID($B1030,2,20))&lt;100000000,VALUE(MID($B1030,2,20)),1000000000),1000000000))+ROW()/100000,"")</f>
        <v/>
      </c>
    </row>
    <row r="1031">
      <c r="A1031">
        <f>IF($B1031="","",IFERROR(IF(INDEX('Per Invoice'!$A$2:$A$801,MATCH($B1031,'Per Invoice'!$B$2:$B$801,0))=0,"",INDEX('Per Invoice'!$A$2:$A$801,MATCH($B1031,'Per Invoice'!$B$2:$B$801,0))),""))</f>
        <v/>
      </c>
      <c r="J1031" s="7">
        <f>IF($B1031="","",I1031*Q1031/100)</f>
        <v/>
      </c>
      <c r="N1031" s="7" t="n"/>
      <c r="O1031" s="7" t="n"/>
      <c r="P1031" s="7">
        <f>IF($B1031="","",O1031*X1031/100)</f>
        <v/>
      </c>
      <c r="Q1031" s="7">
        <f>IF($B1031="","",O1031-P1031)</f>
        <v/>
      </c>
      <c r="R1031" s="7">
        <f>IF($B1031="","",Q1031-J1031)</f>
        <v/>
      </c>
      <c r="S1031" s="7" t="n"/>
      <c r="T1031" s="7" t="n"/>
      <c r="V1031" s="14" t="n"/>
      <c r="Z1031">
        <f>IF($B1031="","",IF(COUNTIF($B$2:$B1031,$B1031)=1,1,0))</f>
        <v/>
      </c>
      <c r="AA1031">
        <f>IF($Z1031=1,SUMPRODUCT(--($AC$2:$AC$3001&lt;$AC1031))+1,"")</f>
        <v/>
      </c>
      <c r="AB1031">
        <f>IF($B1031="","",IF(OR($Y1031=TRUE(),$Y1031="TRUE"),1,IF(AND($Y1031&lt;&gt;"",OR($Y1031=FALSE(),$Y1031="FALSE")),0,IF(MIN(ABS($X1031/100-Settings!$C$6),ABS($X1031/100-Settings!$G$6))&lt;=MIN(ABS($X1031/100-Settings!$C$7),ABS($X1031/100-Settings!$G$7)),1,0))))</f>
        <v/>
      </c>
      <c r="AC1031">
        <f>IF($Z1031=1,IFERROR(IF(VALUE($B1031)&lt;100000000,VALUE($B1031),1000000000),IFERROR(IF(VALUE(MID($B1031,2,20))&lt;100000000,VALUE(MID($B1031,2,20)),1000000000),1000000000))+ROW()/100000,"")</f>
        <v/>
      </c>
    </row>
    <row r="1032">
      <c r="A1032">
        <f>IF($B1032="","",IFERROR(IF(INDEX('Per Invoice'!$A$2:$A$801,MATCH($B1032,'Per Invoice'!$B$2:$B$801,0))=0,"",INDEX('Per Invoice'!$A$2:$A$801,MATCH($B1032,'Per Invoice'!$B$2:$B$801,0))),""))</f>
        <v/>
      </c>
      <c r="J1032" s="7">
        <f>IF($B1032="","",I1032*Q1032/100)</f>
        <v/>
      </c>
      <c r="N1032" s="7" t="n"/>
      <c r="O1032" s="7" t="n"/>
      <c r="P1032" s="7">
        <f>IF($B1032="","",O1032*X1032/100)</f>
        <v/>
      </c>
      <c r="Q1032" s="7">
        <f>IF($B1032="","",O1032-P1032)</f>
        <v/>
      </c>
      <c r="R1032" s="7">
        <f>IF($B1032="","",Q1032-J1032)</f>
        <v/>
      </c>
      <c r="S1032" s="7" t="n"/>
      <c r="T1032" s="7" t="n"/>
      <c r="V1032" s="14" t="n"/>
      <c r="Z1032">
        <f>IF($B1032="","",IF(COUNTIF($B$2:$B1032,$B1032)=1,1,0))</f>
        <v/>
      </c>
      <c r="AA1032">
        <f>IF($Z1032=1,SUMPRODUCT(--($AC$2:$AC$3001&lt;$AC1032))+1,"")</f>
        <v/>
      </c>
      <c r="AB1032">
        <f>IF($B1032="","",IF(OR($Y1032=TRUE(),$Y1032="TRUE"),1,IF(AND($Y1032&lt;&gt;"",OR($Y1032=FALSE(),$Y1032="FALSE")),0,IF(MIN(ABS($X1032/100-Settings!$C$6),ABS($X1032/100-Settings!$G$6))&lt;=MIN(ABS($X1032/100-Settings!$C$7),ABS($X1032/100-Settings!$G$7)),1,0))))</f>
        <v/>
      </c>
      <c r="AC1032">
        <f>IF($Z1032=1,IFERROR(IF(VALUE($B1032)&lt;100000000,VALUE($B1032),1000000000),IFERROR(IF(VALUE(MID($B1032,2,20))&lt;100000000,VALUE(MID($B1032,2,20)),1000000000),1000000000))+ROW()/100000,"")</f>
        <v/>
      </c>
    </row>
    <row r="1033">
      <c r="A1033">
        <f>IF($B1033="","",IFERROR(IF(INDEX('Per Invoice'!$A$2:$A$801,MATCH($B1033,'Per Invoice'!$B$2:$B$801,0))=0,"",INDEX('Per Invoice'!$A$2:$A$801,MATCH($B1033,'Per Invoice'!$B$2:$B$801,0))),""))</f>
        <v/>
      </c>
      <c r="J1033" s="7">
        <f>IF($B1033="","",I1033*Q1033/100)</f>
        <v/>
      </c>
      <c r="N1033" s="7" t="n"/>
      <c r="O1033" s="7" t="n"/>
      <c r="P1033" s="7">
        <f>IF($B1033="","",O1033*X1033/100)</f>
        <v/>
      </c>
      <c r="Q1033" s="7">
        <f>IF($B1033="","",O1033-P1033)</f>
        <v/>
      </c>
      <c r="R1033" s="7">
        <f>IF($B1033="","",Q1033-J1033)</f>
        <v/>
      </c>
      <c r="S1033" s="7" t="n"/>
      <c r="T1033" s="7" t="n"/>
      <c r="V1033" s="14" t="n"/>
      <c r="Z1033">
        <f>IF($B1033="","",IF(COUNTIF($B$2:$B1033,$B1033)=1,1,0))</f>
        <v/>
      </c>
      <c r="AA1033">
        <f>IF($Z1033=1,SUMPRODUCT(--($AC$2:$AC$3001&lt;$AC1033))+1,"")</f>
        <v/>
      </c>
      <c r="AB1033">
        <f>IF($B1033="","",IF(OR($Y1033=TRUE(),$Y1033="TRUE"),1,IF(AND($Y1033&lt;&gt;"",OR($Y1033=FALSE(),$Y1033="FALSE")),0,IF(MIN(ABS($X1033/100-Settings!$C$6),ABS($X1033/100-Settings!$G$6))&lt;=MIN(ABS($X1033/100-Settings!$C$7),ABS($X1033/100-Settings!$G$7)),1,0))))</f>
        <v/>
      </c>
      <c r="AC1033">
        <f>IF($Z1033=1,IFERROR(IF(VALUE($B1033)&lt;100000000,VALUE($B1033),1000000000),IFERROR(IF(VALUE(MID($B1033,2,20))&lt;100000000,VALUE(MID($B1033,2,20)),1000000000),1000000000))+ROW()/100000,"")</f>
        <v/>
      </c>
    </row>
    <row r="1034">
      <c r="A1034">
        <f>IF($B1034="","",IFERROR(IF(INDEX('Per Invoice'!$A$2:$A$801,MATCH($B1034,'Per Invoice'!$B$2:$B$801,0))=0,"",INDEX('Per Invoice'!$A$2:$A$801,MATCH($B1034,'Per Invoice'!$B$2:$B$801,0))),""))</f>
        <v/>
      </c>
      <c r="J1034" s="7">
        <f>IF($B1034="","",I1034*Q1034/100)</f>
        <v/>
      </c>
      <c r="N1034" s="7" t="n"/>
      <c r="O1034" s="7" t="n"/>
      <c r="P1034" s="7">
        <f>IF($B1034="","",O1034*X1034/100)</f>
        <v/>
      </c>
      <c r="Q1034" s="7">
        <f>IF($B1034="","",O1034-P1034)</f>
        <v/>
      </c>
      <c r="R1034" s="7">
        <f>IF($B1034="","",Q1034-J1034)</f>
        <v/>
      </c>
      <c r="S1034" s="7" t="n"/>
      <c r="T1034" s="7" t="n"/>
      <c r="V1034" s="14" t="n"/>
      <c r="Z1034">
        <f>IF($B1034="","",IF(COUNTIF($B$2:$B1034,$B1034)=1,1,0))</f>
        <v/>
      </c>
      <c r="AA1034">
        <f>IF($Z1034=1,SUMPRODUCT(--($AC$2:$AC$3001&lt;$AC1034))+1,"")</f>
        <v/>
      </c>
      <c r="AB1034">
        <f>IF($B1034="","",IF(OR($Y1034=TRUE(),$Y1034="TRUE"),1,IF(AND($Y1034&lt;&gt;"",OR($Y1034=FALSE(),$Y1034="FALSE")),0,IF(MIN(ABS($X1034/100-Settings!$C$6),ABS($X1034/100-Settings!$G$6))&lt;=MIN(ABS($X1034/100-Settings!$C$7),ABS($X1034/100-Settings!$G$7)),1,0))))</f>
        <v/>
      </c>
      <c r="AC1034">
        <f>IF($Z1034=1,IFERROR(IF(VALUE($B1034)&lt;100000000,VALUE($B1034),1000000000),IFERROR(IF(VALUE(MID($B1034,2,20))&lt;100000000,VALUE(MID($B1034,2,20)),1000000000),1000000000))+ROW()/100000,"")</f>
        <v/>
      </c>
    </row>
    <row r="1035">
      <c r="A1035">
        <f>IF($B1035="","",IFERROR(IF(INDEX('Per Invoice'!$A$2:$A$801,MATCH($B1035,'Per Invoice'!$B$2:$B$801,0))=0,"",INDEX('Per Invoice'!$A$2:$A$801,MATCH($B1035,'Per Invoice'!$B$2:$B$801,0))),""))</f>
        <v/>
      </c>
      <c r="J1035" s="7">
        <f>IF($B1035="","",I1035*Q1035/100)</f>
        <v/>
      </c>
      <c r="N1035" s="7" t="n"/>
      <c r="O1035" s="7" t="n"/>
      <c r="P1035" s="7">
        <f>IF($B1035="","",O1035*X1035/100)</f>
        <v/>
      </c>
      <c r="Q1035" s="7">
        <f>IF($B1035="","",O1035-P1035)</f>
        <v/>
      </c>
      <c r="R1035" s="7">
        <f>IF($B1035="","",Q1035-J1035)</f>
        <v/>
      </c>
      <c r="S1035" s="7" t="n"/>
      <c r="T1035" s="7" t="n"/>
      <c r="V1035" s="14" t="n"/>
      <c r="Z1035">
        <f>IF($B1035="","",IF(COUNTIF($B$2:$B1035,$B1035)=1,1,0))</f>
        <v/>
      </c>
      <c r="AA1035">
        <f>IF($Z1035=1,SUMPRODUCT(--($AC$2:$AC$3001&lt;$AC1035))+1,"")</f>
        <v/>
      </c>
      <c r="AB1035">
        <f>IF($B1035="","",IF(OR($Y1035=TRUE(),$Y1035="TRUE"),1,IF(AND($Y1035&lt;&gt;"",OR($Y1035=FALSE(),$Y1035="FALSE")),0,IF(MIN(ABS($X1035/100-Settings!$C$6),ABS($X1035/100-Settings!$G$6))&lt;=MIN(ABS($X1035/100-Settings!$C$7),ABS($X1035/100-Settings!$G$7)),1,0))))</f>
        <v/>
      </c>
      <c r="AC1035">
        <f>IF($Z1035=1,IFERROR(IF(VALUE($B1035)&lt;100000000,VALUE($B1035),1000000000),IFERROR(IF(VALUE(MID($B1035,2,20))&lt;100000000,VALUE(MID($B1035,2,20)),1000000000),1000000000))+ROW()/100000,"")</f>
        <v/>
      </c>
    </row>
    <row r="1036">
      <c r="A1036">
        <f>IF($B1036="","",IFERROR(IF(INDEX('Per Invoice'!$A$2:$A$801,MATCH($B1036,'Per Invoice'!$B$2:$B$801,0))=0,"",INDEX('Per Invoice'!$A$2:$A$801,MATCH($B1036,'Per Invoice'!$B$2:$B$801,0))),""))</f>
        <v/>
      </c>
      <c r="J1036" s="7">
        <f>IF($B1036="","",I1036*Q1036/100)</f>
        <v/>
      </c>
      <c r="N1036" s="7" t="n"/>
      <c r="O1036" s="7" t="n"/>
      <c r="P1036" s="7">
        <f>IF($B1036="","",O1036*X1036/100)</f>
        <v/>
      </c>
      <c r="Q1036" s="7">
        <f>IF($B1036="","",O1036-P1036)</f>
        <v/>
      </c>
      <c r="R1036" s="7">
        <f>IF($B1036="","",Q1036-J1036)</f>
        <v/>
      </c>
      <c r="S1036" s="7" t="n"/>
      <c r="T1036" s="7" t="n"/>
      <c r="V1036" s="14" t="n"/>
      <c r="Z1036">
        <f>IF($B1036="","",IF(COUNTIF($B$2:$B1036,$B1036)=1,1,0))</f>
        <v/>
      </c>
      <c r="AA1036">
        <f>IF($Z1036=1,SUMPRODUCT(--($AC$2:$AC$3001&lt;$AC1036))+1,"")</f>
        <v/>
      </c>
      <c r="AB1036">
        <f>IF($B1036="","",IF(OR($Y1036=TRUE(),$Y1036="TRUE"),1,IF(AND($Y1036&lt;&gt;"",OR($Y1036=FALSE(),$Y1036="FALSE")),0,IF(MIN(ABS($X1036/100-Settings!$C$6),ABS($X1036/100-Settings!$G$6))&lt;=MIN(ABS($X1036/100-Settings!$C$7),ABS($X1036/100-Settings!$G$7)),1,0))))</f>
        <v/>
      </c>
      <c r="AC1036">
        <f>IF($Z1036=1,IFERROR(IF(VALUE($B1036)&lt;100000000,VALUE($B1036),1000000000),IFERROR(IF(VALUE(MID($B1036,2,20))&lt;100000000,VALUE(MID($B1036,2,20)),1000000000),1000000000))+ROW()/100000,"")</f>
        <v/>
      </c>
    </row>
    <row r="1037">
      <c r="A1037">
        <f>IF($B1037="","",IFERROR(IF(INDEX('Per Invoice'!$A$2:$A$801,MATCH($B1037,'Per Invoice'!$B$2:$B$801,0))=0,"",INDEX('Per Invoice'!$A$2:$A$801,MATCH($B1037,'Per Invoice'!$B$2:$B$801,0))),""))</f>
        <v/>
      </c>
      <c r="J1037" s="7">
        <f>IF($B1037="","",I1037*Q1037/100)</f>
        <v/>
      </c>
      <c r="N1037" s="7" t="n"/>
      <c r="O1037" s="7" t="n"/>
      <c r="P1037" s="7">
        <f>IF($B1037="","",O1037*X1037/100)</f>
        <v/>
      </c>
      <c r="Q1037" s="7">
        <f>IF($B1037="","",O1037-P1037)</f>
        <v/>
      </c>
      <c r="R1037" s="7">
        <f>IF($B1037="","",Q1037-J1037)</f>
        <v/>
      </c>
      <c r="S1037" s="7" t="n"/>
      <c r="T1037" s="7" t="n"/>
      <c r="V1037" s="14" t="n"/>
      <c r="Z1037">
        <f>IF($B1037="","",IF(COUNTIF($B$2:$B1037,$B1037)=1,1,0))</f>
        <v/>
      </c>
      <c r="AA1037">
        <f>IF($Z1037=1,SUMPRODUCT(--($AC$2:$AC$3001&lt;$AC1037))+1,"")</f>
        <v/>
      </c>
      <c r="AB1037">
        <f>IF($B1037="","",IF(OR($Y1037=TRUE(),$Y1037="TRUE"),1,IF(AND($Y1037&lt;&gt;"",OR($Y1037=FALSE(),$Y1037="FALSE")),0,IF(MIN(ABS($X1037/100-Settings!$C$6),ABS($X1037/100-Settings!$G$6))&lt;=MIN(ABS($X1037/100-Settings!$C$7),ABS($X1037/100-Settings!$G$7)),1,0))))</f>
        <v/>
      </c>
      <c r="AC1037">
        <f>IF($Z1037=1,IFERROR(IF(VALUE($B1037)&lt;100000000,VALUE($B1037),1000000000),IFERROR(IF(VALUE(MID($B1037,2,20))&lt;100000000,VALUE(MID($B1037,2,20)),1000000000),1000000000))+ROW()/100000,"")</f>
        <v/>
      </c>
    </row>
    <row r="1038">
      <c r="A1038">
        <f>IF($B1038="","",IFERROR(IF(INDEX('Per Invoice'!$A$2:$A$801,MATCH($B1038,'Per Invoice'!$B$2:$B$801,0))=0,"",INDEX('Per Invoice'!$A$2:$A$801,MATCH($B1038,'Per Invoice'!$B$2:$B$801,0))),""))</f>
        <v/>
      </c>
      <c r="J1038" s="7">
        <f>IF($B1038="","",I1038*Q1038/100)</f>
        <v/>
      </c>
      <c r="N1038" s="7" t="n"/>
      <c r="O1038" s="7" t="n"/>
      <c r="P1038" s="7">
        <f>IF($B1038="","",O1038*X1038/100)</f>
        <v/>
      </c>
      <c r="Q1038" s="7">
        <f>IF($B1038="","",O1038-P1038)</f>
        <v/>
      </c>
      <c r="R1038" s="7">
        <f>IF($B1038="","",Q1038-J1038)</f>
        <v/>
      </c>
      <c r="S1038" s="7" t="n"/>
      <c r="T1038" s="7" t="n"/>
      <c r="V1038" s="14" t="n"/>
      <c r="Z1038">
        <f>IF($B1038="","",IF(COUNTIF($B$2:$B1038,$B1038)=1,1,0))</f>
        <v/>
      </c>
      <c r="AA1038">
        <f>IF($Z1038=1,SUMPRODUCT(--($AC$2:$AC$3001&lt;$AC1038))+1,"")</f>
        <v/>
      </c>
      <c r="AB1038">
        <f>IF($B1038="","",IF(OR($Y1038=TRUE(),$Y1038="TRUE"),1,IF(AND($Y1038&lt;&gt;"",OR($Y1038=FALSE(),$Y1038="FALSE")),0,IF(MIN(ABS($X1038/100-Settings!$C$6),ABS($X1038/100-Settings!$G$6))&lt;=MIN(ABS($X1038/100-Settings!$C$7),ABS($X1038/100-Settings!$G$7)),1,0))))</f>
        <v/>
      </c>
      <c r="AC1038">
        <f>IF($Z1038=1,IFERROR(IF(VALUE($B1038)&lt;100000000,VALUE($B1038),1000000000),IFERROR(IF(VALUE(MID($B1038,2,20))&lt;100000000,VALUE(MID($B1038,2,20)),1000000000),1000000000))+ROW()/100000,"")</f>
        <v/>
      </c>
    </row>
    <row r="1039">
      <c r="A1039">
        <f>IF($B1039="","",IFERROR(IF(INDEX('Per Invoice'!$A$2:$A$801,MATCH($B1039,'Per Invoice'!$B$2:$B$801,0))=0,"",INDEX('Per Invoice'!$A$2:$A$801,MATCH($B1039,'Per Invoice'!$B$2:$B$801,0))),""))</f>
        <v/>
      </c>
      <c r="J1039" s="7">
        <f>IF($B1039="","",I1039*Q1039/100)</f>
        <v/>
      </c>
      <c r="N1039" s="7" t="n"/>
      <c r="O1039" s="7" t="n"/>
      <c r="P1039" s="7">
        <f>IF($B1039="","",O1039*X1039/100)</f>
        <v/>
      </c>
      <c r="Q1039" s="7">
        <f>IF($B1039="","",O1039-P1039)</f>
        <v/>
      </c>
      <c r="R1039" s="7">
        <f>IF($B1039="","",Q1039-J1039)</f>
        <v/>
      </c>
      <c r="S1039" s="7" t="n"/>
      <c r="T1039" s="7" t="n"/>
      <c r="V1039" s="14" t="n"/>
      <c r="Z1039">
        <f>IF($B1039="","",IF(COUNTIF($B$2:$B1039,$B1039)=1,1,0))</f>
        <v/>
      </c>
      <c r="AA1039">
        <f>IF($Z1039=1,SUMPRODUCT(--($AC$2:$AC$3001&lt;$AC1039))+1,"")</f>
        <v/>
      </c>
      <c r="AB1039">
        <f>IF($B1039="","",IF(OR($Y1039=TRUE(),$Y1039="TRUE"),1,IF(AND($Y1039&lt;&gt;"",OR($Y1039=FALSE(),$Y1039="FALSE")),0,IF(MIN(ABS($X1039/100-Settings!$C$6),ABS($X1039/100-Settings!$G$6))&lt;=MIN(ABS($X1039/100-Settings!$C$7),ABS($X1039/100-Settings!$G$7)),1,0))))</f>
        <v/>
      </c>
      <c r="AC1039">
        <f>IF($Z1039=1,IFERROR(IF(VALUE($B1039)&lt;100000000,VALUE($B1039),1000000000),IFERROR(IF(VALUE(MID($B1039,2,20))&lt;100000000,VALUE(MID($B1039,2,20)),1000000000),1000000000))+ROW()/100000,"")</f>
        <v/>
      </c>
    </row>
    <row r="1040">
      <c r="A1040">
        <f>IF($B1040="","",IFERROR(IF(INDEX('Per Invoice'!$A$2:$A$801,MATCH($B1040,'Per Invoice'!$B$2:$B$801,0))=0,"",INDEX('Per Invoice'!$A$2:$A$801,MATCH($B1040,'Per Invoice'!$B$2:$B$801,0))),""))</f>
        <v/>
      </c>
      <c r="J1040" s="7">
        <f>IF($B1040="","",I1040*Q1040/100)</f>
        <v/>
      </c>
      <c r="N1040" s="7" t="n"/>
      <c r="O1040" s="7" t="n"/>
      <c r="P1040" s="7">
        <f>IF($B1040="","",O1040*X1040/100)</f>
        <v/>
      </c>
      <c r="Q1040" s="7">
        <f>IF($B1040="","",O1040-P1040)</f>
        <v/>
      </c>
      <c r="R1040" s="7">
        <f>IF($B1040="","",Q1040-J1040)</f>
        <v/>
      </c>
      <c r="S1040" s="7" t="n"/>
      <c r="T1040" s="7" t="n"/>
      <c r="V1040" s="14" t="n"/>
      <c r="Z1040">
        <f>IF($B1040="","",IF(COUNTIF($B$2:$B1040,$B1040)=1,1,0))</f>
        <v/>
      </c>
      <c r="AA1040">
        <f>IF($Z1040=1,SUMPRODUCT(--($AC$2:$AC$3001&lt;$AC1040))+1,"")</f>
        <v/>
      </c>
      <c r="AB1040">
        <f>IF($B1040="","",IF(OR($Y1040=TRUE(),$Y1040="TRUE"),1,IF(AND($Y1040&lt;&gt;"",OR($Y1040=FALSE(),$Y1040="FALSE")),0,IF(MIN(ABS($X1040/100-Settings!$C$6),ABS($X1040/100-Settings!$G$6))&lt;=MIN(ABS($X1040/100-Settings!$C$7),ABS($X1040/100-Settings!$G$7)),1,0))))</f>
        <v/>
      </c>
      <c r="AC1040">
        <f>IF($Z1040=1,IFERROR(IF(VALUE($B1040)&lt;100000000,VALUE($B1040),1000000000),IFERROR(IF(VALUE(MID($B1040,2,20))&lt;100000000,VALUE(MID($B1040,2,20)),1000000000),1000000000))+ROW()/100000,"")</f>
        <v/>
      </c>
    </row>
    <row r="1041">
      <c r="A1041">
        <f>IF($B1041="","",IFERROR(IF(INDEX('Per Invoice'!$A$2:$A$801,MATCH($B1041,'Per Invoice'!$B$2:$B$801,0))=0,"",INDEX('Per Invoice'!$A$2:$A$801,MATCH($B1041,'Per Invoice'!$B$2:$B$801,0))),""))</f>
        <v/>
      </c>
      <c r="J1041" s="7">
        <f>IF($B1041="","",I1041*Q1041/100)</f>
        <v/>
      </c>
      <c r="N1041" s="7" t="n"/>
      <c r="O1041" s="7" t="n"/>
      <c r="P1041" s="7">
        <f>IF($B1041="","",O1041*X1041/100)</f>
        <v/>
      </c>
      <c r="Q1041" s="7">
        <f>IF($B1041="","",O1041-P1041)</f>
        <v/>
      </c>
      <c r="R1041" s="7">
        <f>IF($B1041="","",Q1041-J1041)</f>
        <v/>
      </c>
      <c r="S1041" s="7" t="n"/>
      <c r="T1041" s="7" t="n"/>
      <c r="V1041" s="14" t="n"/>
      <c r="Z1041">
        <f>IF($B1041="","",IF(COUNTIF($B$2:$B1041,$B1041)=1,1,0))</f>
        <v/>
      </c>
      <c r="AA1041">
        <f>IF($Z1041=1,SUMPRODUCT(--($AC$2:$AC$3001&lt;$AC1041))+1,"")</f>
        <v/>
      </c>
      <c r="AB1041">
        <f>IF($B1041="","",IF(OR($Y1041=TRUE(),$Y1041="TRUE"),1,IF(AND($Y1041&lt;&gt;"",OR($Y1041=FALSE(),$Y1041="FALSE")),0,IF(MIN(ABS($X1041/100-Settings!$C$6),ABS($X1041/100-Settings!$G$6))&lt;=MIN(ABS($X1041/100-Settings!$C$7),ABS($X1041/100-Settings!$G$7)),1,0))))</f>
        <v/>
      </c>
      <c r="AC1041">
        <f>IF($Z1041=1,IFERROR(IF(VALUE($B1041)&lt;100000000,VALUE($B1041),1000000000),IFERROR(IF(VALUE(MID($B1041,2,20))&lt;100000000,VALUE(MID($B1041,2,20)),1000000000),1000000000))+ROW()/100000,"")</f>
        <v/>
      </c>
    </row>
    <row r="1042">
      <c r="A1042">
        <f>IF($B1042="","",IFERROR(IF(INDEX('Per Invoice'!$A$2:$A$801,MATCH($B1042,'Per Invoice'!$B$2:$B$801,0))=0,"",INDEX('Per Invoice'!$A$2:$A$801,MATCH($B1042,'Per Invoice'!$B$2:$B$801,0))),""))</f>
        <v/>
      </c>
      <c r="J1042" s="7">
        <f>IF($B1042="","",I1042*Q1042/100)</f>
        <v/>
      </c>
      <c r="N1042" s="7" t="n"/>
      <c r="O1042" s="7" t="n"/>
      <c r="P1042" s="7">
        <f>IF($B1042="","",O1042*X1042/100)</f>
        <v/>
      </c>
      <c r="Q1042" s="7">
        <f>IF($B1042="","",O1042-P1042)</f>
        <v/>
      </c>
      <c r="R1042" s="7">
        <f>IF($B1042="","",Q1042-J1042)</f>
        <v/>
      </c>
      <c r="S1042" s="7" t="n"/>
      <c r="T1042" s="7" t="n"/>
      <c r="V1042" s="14" t="n"/>
      <c r="Z1042">
        <f>IF($B1042="","",IF(COUNTIF($B$2:$B1042,$B1042)=1,1,0))</f>
        <v/>
      </c>
      <c r="AA1042">
        <f>IF($Z1042=1,SUMPRODUCT(--($AC$2:$AC$3001&lt;$AC1042))+1,"")</f>
        <v/>
      </c>
      <c r="AB1042">
        <f>IF($B1042="","",IF(OR($Y1042=TRUE(),$Y1042="TRUE"),1,IF(AND($Y1042&lt;&gt;"",OR($Y1042=FALSE(),$Y1042="FALSE")),0,IF(MIN(ABS($X1042/100-Settings!$C$6),ABS($X1042/100-Settings!$G$6))&lt;=MIN(ABS($X1042/100-Settings!$C$7),ABS($X1042/100-Settings!$G$7)),1,0))))</f>
        <v/>
      </c>
      <c r="AC1042">
        <f>IF($Z1042=1,IFERROR(IF(VALUE($B1042)&lt;100000000,VALUE($B1042),1000000000),IFERROR(IF(VALUE(MID($B1042,2,20))&lt;100000000,VALUE(MID($B1042,2,20)),1000000000),1000000000))+ROW()/100000,"")</f>
        <v/>
      </c>
    </row>
    <row r="1043">
      <c r="A1043">
        <f>IF($B1043="","",IFERROR(IF(INDEX('Per Invoice'!$A$2:$A$801,MATCH($B1043,'Per Invoice'!$B$2:$B$801,0))=0,"",INDEX('Per Invoice'!$A$2:$A$801,MATCH($B1043,'Per Invoice'!$B$2:$B$801,0))),""))</f>
        <v/>
      </c>
      <c r="J1043" s="7">
        <f>IF($B1043="","",I1043*Q1043/100)</f>
        <v/>
      </c>
      <c r="N1043" s="7" t="n"/>
      <c r="O1043" s="7" t="n"/>
      <c r="P1043" s="7">
        <f>IF($B1043="","",O1043*X1043/100)</f>
        <v/>
      </c>
      <c r="Q1043" s="7">
        <f>IF($B1043="","",O1043-P1043)</f>
        <v/>
      </c>
      <c r="R1043" s="7">
        <f>IF($B1043="","",Q1043-J1043)</f>
        <v/>
      </c>
      <c r="S1043" s="7" t="n"/>
      <c r="T1043" s="7" t="n"/>
      <c r="V1043" s="14" t="n"/>
      <c r="Z1043">
        <f>IF($B1043="","",IF(COUNTIF($B$2:$B1043,$B1043)=1,1,0))</f>
        <v/>
      </c>
      <c r="AA1043">
        <f>IF($Z1043=1,SUMPRODUCT(--($AC$2:$AC$3001&lt;$AC1043))+1,"")</f>
        <v/>
      </c>
      <c r="AB1043">
        <f>IF($B1043="","",IF(OR($Y1043=TRUE(),$Y1043="TRUE"),1,IF(AND($Y1043&lt;&gt;"",OR($Y1043=FALSE(),$Y1043="FALSE")),0,IF(MIN(ABS($X1043/100-Settings!$C$6),ABS($X1043/100-Settings!$G$6))&lt;=MIN(ABS($X1043/100-Settings!$C$7),ABS($X1043/100-Settings!$G$7)),1,0))))</f>
        <v/>
      </c>
      <c r="AC1043">
        <f>IF($Z1043=1,IFERROR(IF(VALUE($B1043)&lt;100000000,VALUE($B1043),1000000000),IFERROR(IF(VALUE(MID($B1043,2,20))&lt;100000000,VALUE(MID($B1043,2,20)),1000000000),1000000000))+ROW()/100000,"")</f>
        <v/>
      </c>
    </row>
    <row r="1044">
      <c r="A1044">
        <f>IF($B1044="","",IFERROR(IF(INDEX('Per Invoice'!$A$2:$A$801,MATCH($B1044,'Per Invoice'!$B$2:$B$801,0))=0,"",INDEX('Per Invoice'!$A$2:$A$801,MATCH($B1044,'Per Invoice'!$B$2:$B$801,0))),""))</f>
        <v/>
      </c>
      <c r="J1044" s="7">
        <f>IF($B1044="","",I1044*Q1044/100)</f>
        <v/>
      </c>
      <c r="N1044" s="7" t="n"/>
      <c r="O1044" s="7" t="n"/>
      <c r="P1044" s="7">
        <f>IF($B1044="","",O1044*X1044/100)</f>
        <v/>
      </c>
      <c r="Q1044" s="7">
        <f>IF($B1044="","",O1044-P1044)</f>
        <v/>
      </c>
      <c r="R1044" s="7">
        <f>IF($B1044="","",Q1044-J1044)</f>
        <v/>
      </c>
      <c r="S1044" s="7" t="n"/>
      <c r="T1044" s="7" t="n"/>
      <c r="V1044" s="14" t="n"/>
      <c r="Z1044">
        <f>IF($B1044="","",IF(COUNTIF($B$2:$B1044,$B1044)=1,1,0))</f>
        <v/>
      </c>
      <c r="AA1044">
        <f>IF($Z1044=1,SUMPRODUCT(--($AC$2:$AC$3001&lt;$AC1044))+1,"")</f>
        <v/>
      </c>
      <c r="AB1044">
        <f>IF($B1044="","",IF(OR($Y1044=TRUE(),$Y1044="TRUE"),1,IF(AND($Y1044&lt;&gt;"",OR($Y1044=FALSE(),$Y1044="FALSE")),0,IF(MIN(ABS($X1044/100-Settings!$C$6),ABS($X1044/100-Settings!$G$6))&lt;=MIN(ABS($X1044/100-Settings!$C$7),ABS($X1044/100-Settings!$G$7)),1,0))))</f>
        <v/>
      </c>
      <c r="AC1044">
        <f>IF($Z1044=1,IFERROR(IF(VALUE($B1044)&lt;100000000,VALUE($B1044),1000000000),IFERROR(IF(VALUE(MID($B1044,2,20))&lt;100000000,VALUE(MID($B1044,2,20)),1000000000),1000000000))+ROW()/100000,"")</f>
        <v/>
      </c>
    </row>
    <row r="1045">
      <c r="A1045">
        <f>IF($B1045="","",IFERROR(IF(INDEX('Per Invoice'!$A$2:$A$801,MATCH($B1045,'Per Invoice'!$B$2:$B$801,0))=0,"",INDEX('Per Invoice'!$A$2:$A$801,MATCH($B1045,'Per Invoice'!$B$2:$B$801,0))),""))</f>
        <v/>
      </c>
      <c r="J1045" s="7">
        <f>IF($B1045="","",I1045*Q1045/100)</f>
        <v/>
      </c>
      <c r="N1045" s="7" t="n"/>
      <c r="O1045" s="7" t="n"/>
      <c r="P1045" s="7">
        <f>IF($B1045="","",O1045*X1045/100)</f>
        <v/>
      </c>
      <c r="Q1045" s="7">
        <f>IF($B1045="","",O1045-P1045)</f>
        <v/>
      </c>
      <c r="R1045" s="7">
        <f>IF($B1045="","",Q1045-J1045)</f>
        <v/>
      </c>
      <c r="S1045" s="7" t="n"/>
      <c r="T1045" s="7" t="n"/>
      <c r="V1045" s="14" t="n"/>
      <c r="Z1045">
        <f>IF($B1045="","",IF(COUNTIF($B$2:$B1045,$B1045)=1,1,0))</f>
        <v/>
      </c>
      <c r="AA1045">
        <f>IF($Z1045=1,SUMPRODUCT(--($AC$2:$AC$3001&lt;$AC1045))+1,"")</f>
        <v/>
      </c>
      <c r="AB1045">
        <f>IF($B1045="","",IF(OR($Y1045=TRUE(),$Y1045="TRUE"),1,IF(AND($Y1045&lt;&gt;"",OR($Y1045=FALSE(),$Y1045="FALSE")),0,IF(MIN(ABS($X1045/100-Settings!$C$6),ABS($X1045/100-Settings!$G$6))&lt;=MIN(ABS($X1045/100-Settings!$C$7),ABS($X1045/100-Settings!$G$7)),1,0))))</f>
        <v/>
      </c>
      <c r="AC1045">
        <f>IF($Z1045=1,IFERROR(IF(VALUE($B1045)&lt;100000000,VALUE($B1045),1000000000),IFERROR(IF(VALUE(MID($B1045,2,20))&lt;100000000,VALUE(MID($B1045,2,20)),1000000000),1000000000))+ROW()/100000,"")</f>
        <v/>
      </c>
    </row>
    <row r="1046">
      <c r="A1046">
        <f>IF($B1046="","",IFERROR(IF(INDEX('Per Invoice'!$A$2:$A$801,MATCH($B1046,'Per Invoice'!$B$2:$B$801,0))=0,"",INDEX('Per Invoice'!$A$2:$A$801,MATCH($B1046,'Per Invoice'!$B$2:$B$801,0))),""))</f>
        <v/>
      </c>
      <c r="J1046" s="7">
        <f>IF($B1046="","",I1046*Q1046/100)</f>
        <v/>
      </c>
      <c r="N1046" s="7" t="n"/>
      <c r="O1046" s="7" t="n"/>
      <c r="P1046" s="7">
        <f>IF($B1046="","",O1046*X1046/100)</f>
        <v/>
      </c>
      <c r="Q1046" s="7">
        <f>IF($B1046="","",O1046-P1046)</f>
        <v/>
      </c>
      <c r="R1046" s="7">
        <f>IF($B1046="","",Q1046-J1046)</f>
        <v/>
      </c>
      <c r="S1046" s="7" t="n"/>
      <c r="T1046" s="7" t="n"/>
      <c r="V1046" s="14" t="n"/>
      <c r="Z1046">
        <f>IF($B1046="","",IF(COUNTIF($B$2:$B1046,$B1046)=1,1,0))</f>
        <v/>
      </c>
      <c r="AA1046">
        <f>IF($Z1046=1,SUMPRODUCT(--($AC$2:$AC$3001&lt;$AC1046))+1,"")</f>
        <v/>
      </c>
      <c r="AB1046">
        <f>IF($B1046="","",IF(OR($Y1046=TRUE(),$Y1046="TRUE"),1,IF(AND($Y1046&lt;&gt;"",OR($Y1046=FALSE(),$Y1046="FALSE")),0,IF(MIN(ABS($X1046/100-Settings!$C$6),ABS($X1046/100-Settings!$G$6))&lt;=MIN(ABS($X1046/100-Settings!$C$7),ABS($X1046/100-Settings!$G$7)),1,0))))</f>
        <v/>
      </c>
      <c r="AC1046">
        <f>IF($Z1046=1,IFERROR(IF(VALUE($B1046)&lt;100000000,VALUE($B1046),1000000000),IFERROR(IF(VALUE(MID($B1046,2,20))&lt;100000000,VALUE(MID($B1046,2,20)),1000000000),1000000000))+ROW()/100000,"")</f>
        <v/>
      </c>
    </row>
    <row r="1047">
      <c r="A1047">
        <f>IF($B1047="","",IFERROR(IF(INDEX('Per Invoice'!$A$2:$A$801,MATCH($B1047,'Per Invoice'!$B$2:$B$801,0))=0,"",INDEX('Per Invoice'!$A$2:$A$801,MATCH($B1047,'Per Invoice'!$B$2:$B$801,0))),""))</f>
        <v/>
      </c>
      <c r="J1047" s="7">
        <f>IF($B1047="","",I1047*Q1047/100)</f>
        <v/>
      </c>
      <c r="N1047" s="7" t="n"/>
      <c r="O1047" s="7" t="n"/>
      <c r="P1047" s="7">
        <f>IF($B1047="","",O1047*X1047/100)</f>
        <v/>
      </c>
      <c r="Q1047" s="7">
        <f>IF($B1047="","",O1047-P1047)</f>
        <v/>
      </c>
      <c r="R1047" s="7">
        <f>IF($B1047="","",Q1047-J1047)</f>
        <v/>
      </c>
      <c r="S1047" s="7" t="n"/>
      <c r="T1047" s="7" t="n"/>
      <c r="V1047" s="14" t="n"/>
      <c r="Z1047">
        <f>IF($B1047="","",IF(COUNTIF($B$2:$B1047,$B1047)=1,1,0))</f>
        <v/>
      </c>
      <c r="AA1047">
        <f>IF($Z1047=1,SUMPRODUCT(--($AC$2:$AC$3001&lt;$AC1047))+1,"")</f>
        <v/>
      </c>
      <c r="AB1047">
        <f>IF($B1047="","",IF(OR($Y1047=TRUE(),$Y1047="TRUE"),1,IF(AND($Y1047&lt;&gt;"",OR($Y1047=FALSE(),$Y1047="FALSE")),0,IF(MIN(ABS($X1047/100-Settings!$C$6),ABS($X1047/100-Settings!$G$6))&lt;=MIN(ABS($X1047/100-Settings!$C$7),ABS($X1047/100-Settings!$G$7)),1,0))))</f>
        <v/>
      </c>
      <c r="AC1047">
        <f>IF($Z1047=1,IFERROR(IF(VALUE($B1047)&lt;100000000,VALUE($B1047),1000000000),IFERROR(IF(VALUE(MID($B1047,2,20))&lt;100000000,VALUE(MID($B1047,2,20)),1000000000),1000000000))+ROW()/100000,"")</f>
        <v/>
      </c>
    </row>
    <row r="1048">
      <c r="A1048">
        <f>IF($B1048="","",IFERROR(IF(INDEX('Per Invoice'!$A$2:$A$801,MATCH($B1048,'Per Invoice'!$B$2:$B$801,0))=0,"",INDEX('Per Invoice'!$A$2:$A$801,MATCH($B1048,'Per Invoice'!$B$2:$B$801,0))),""))</f>
        <v/>
      </c>
      <c r="J1048" s="7">
        <f>IF($B1048="","",I1048*Q1048/100)</f>
        <v/>
      </c>
      <c r="N1048" s="7" t="n"/>
      <c r="O1048" s="7" t="n"/>
      <c r="P1048" s="7">
        <f>IF($B1048="","",O1048*X1048/100)</f>
        <v/>
      </c>
      <c r="Q1048" s="7">
        <f>IF($B1048="","",O1048-P1048)</f>
        <v/>
      </c>
      <c r="R1048" s="7">
        <f>IF($B1048="","",Q1048-J1048)</f>
        <v/>
      </c>
      <c r="S1048" s="7" t="n"/>
      <c r="T1048" s="7" t="n"/>
      <c r="V1048" s="14" t="n"/>
      <c r="Z1048">
        <f>IF($B1048="","",IF(COUNTIF($B$2:$B1048,$B1048)=1,1,0))</f>
        <v/>
      </c>
      <c r="AA1048">
        <f>IF($Z1048=1,SUMPRODUCT(--($AC$2:$AC$3001&lt;$AC1048))+1,"")</f>
        <v/>
      </c>
      <c r="AB1048">
        <f>IF($B1048="","",IF(OR($Y1048=TRUE(),$Y1048="TRUE"),1,IF(AND($Y1048&lt;&gt;"",OR($Y1048=FALSE(),$Y1048="FALSE")),0,IF(MIN(ABS($X1048/100-Settings!$C$6),ABS($X1048/100-Settings!$G$6))&lt;=MIN(ABS($X1048/100-Settings!$C$7),ABS($X1048/100-Settings!$G$7)),1,0))))</f>
        <v/>
      </c>
      <c r="AC1048">
        <f>IF($Z1048=1,IFERROR(IF(VALUE($B1048)&lt;100000000,VALUE($B1048),1000000000),IFERROR(IF(VALUE(MID($B1048,2,20))&lt;100000000,VALUE(MID($B1048,2,20)),1000000000),1000000000))+ROW()/100000,"")</f>
        <v/>
      </c>
    </row>
    <row r="1049">
      <c r="A1049">
        <f>IF($B1049="","",IFERROR(IF(INDEX('Per Invoice'!$A$2:$A$801,MATCH($B1049,'Per Invoice'!$B$2:$B$801,0))=0,"",INDEX('Per Invoice'!$A$2:$A$801,MATCH($B1049,'Per Invoice'!$B$2:$B$801,0))),""))</f>
        <v/>
      </c>
      <c r="J1049" s="7">
        <f>IF($B1049="","",I1049*Q1049/100)</f>
        <v/>
      </c>
      <c r="N1049" s="7" t="n"/>
      <c r="O1049" s="7" t="n"/>
      <c r="P1049" s="7">
        <f>IF($B1049="","",O1049*X1049/100)</f>
        <v/>
      </c>
      <c r="Q1049" s="7">
        <f>IF($B1049="","",O1049-P1049)</f>
        <v/>
      </c>
      <c r="R1049" s="7">
        <f>IF($B1049="","",Q1049-J1049)</f>
        <v/>
      </c>
      <c r="S1049" s="7" t="n"/>
      <c r="T1049" s="7" t="n"/>
      <c r="V1049" s="14" t="n"/>
      <c r="Z1049">
        <f>IF($B1049="","",IF(COUNTIF($B$2:$B1049,$B1049)=1,1,0))</f>
        <v/>
      </c>
      <c r="AA1049">
        <f>IF($Z1049=1,SUMPRODUCT(--($AC$2:$AC$3001&lt;$AC1049))+1,"")</f>
        <v/>
      </c>
      <c r="AB1049">
        <f>IF($B1049="","",IF(OR($Y1049=TRUE(),$Y1049="TRUE"),1,IF(AND($Y1049&lt;&gt;"",OR($Y1049=FALSE(),$Y1049="FALSE")),0,IF(MIN(ABS($X1049/100-Settings!$C$6),ABS($X1049/100-Settings!$G$6))&lt;=MIN(ABS($X1049/100-Settings!$C$7),ABS($X1049/100-Settings!$G$7)),1,0))))</f>
        <v/>
      </c>
      <c r="AC1049">
        <f>IF($Z1049=1,IFERROR(IF(VALUE($B1049)&lt;100000000,VALUE($B1049),1000000000),IFERROR(IF(VALUE(MID($B1049,2,20))&lt;100000000,VALUE(MID($B1049,2,20)),1000000000),1000000000))+ROW()/100000,"")</f>
        <v/>
      </c>
    </row>
    <row r="1050">
      <c r="A1050">
        <f>IF($B1050="","",IFERROR(IF(INDEX('Per Invoice'!$A$2:$A$801,MATCH($B1050,'Per Invoice'!$B$2:$B$801,0))=0,"",INDEX('Per Invoice'!$A$2:$A$801,MATCH($B1050,'Per Invoice'!$B$2:$B$801,0))),""))</f>
        <v/>
      </c>
      <c r="J1050" s="7">
        <f>IF($B1050="","",I1050*Q1050/100)</f>
        <v/>
      </c>
      <c r="N1050" s="7" t="n"/>
      <c r="O1050" s="7" t="n"/>
      <c r="P1050" s="7">
        <f>IF($B1050="","",O1050*X1050/100)</f>
        <v/>
      </c>
      <c r="Q1050" s="7">
        <f>IF($B1050="","",O1050-P1050)</f>
        <v/>
      </c>
      <c r="R1050" s="7">
        <f>IF($B1050="","",Q1050-J1050)</f>
        <v/>
      </c>
      <c r="S1050" s="7" t="n"/>
      <c r="T1050" s="7" t="n"/>
      <c r="V1050" s="14" t="n"/>
      <c r="Z1050">
        <f>IF($B1050="","",IF(COUNTIF($B$2:$B1050,$B1050)=1,1,0))</f>
        <v/>
      </c>
      <c r="AA1050">
        <f>IF($Z1050=1,SUMPRODUCT(--($AC$2:$AC$3001&lt;$AC1050))+1,"")</f>
        <v/>
      </c>
      <c r="AB1050">
        <f>IF($B1050="","",IF(OR($Y1050=TRUE(),$Y1050="TRUE"),1,IF(AND($Y1050&lt;&gt;"",OR($Y1050=FALSE(),$Y1050="FALSE")),0,IF(MIN(ABS($X1050/100-Settings!$C$6),ABS($X1050/100-Settings!$G$6))&lt;=MIN(ABS($X1050/100-Settings!$C$7),ABS($X1050/100-Settings!$G$7)),1,0))))</f>
        <v/>
      </c>
      <c r="AC1050">
        <f>IF($Z1050=1,IFERROR(IF(VALUE($B1050)&lt;100000000,VALUE($B1050),1000000000),IFERROR(IF(VALUE(MID($B1050,2,20))&lt;100000000,VALUE(MID($B1050,2,20)),1000000000),1000000000))+ROW()/100000,"")</f>
        <v/>
      </c>
    </row>
    <row r="1051">
      <c r="A1051">
        <f>IF($B1051="","",IFERROR(IF(INDEX('Per Invoice'!$A$2:$A$801,MATCH($B1051,'Per Invoice'!$B$2:$B$801,0))=0,"",INDEX('Per Invoice'!$A$2:$A$801,MATCH($B1051,'Per Invoice'!$B$2:$B$801,0))),""))</f>
        <v/>
      </c>
      <c r="J1051" s="7">
        <f>IF($B1051="","",I1051*Q1051/100)</f>
        <v/>
      </c>
      <c r="N1051" s="7" t="n"/>
      <c r="O1051" s="7" t="n"/>
      <c r="P1051" s="7">
        <f>IF($B1051="","",O1051*X1051/100)</f>
        <v/>
      </c>
      <c r="Q1051" s="7">
        <f>IF($B1051="","",O1051-P1051)</f>
        <v/>
      </c>
      <c r="R1051" s="7">
        <f>IF($B1051="","",Q1051-J1051)</f>
        <v/>
      </c>
      <c r="S1051" s="7" t="n"/>
      <c r="T1051" s="7" t="n"/>
      <c r="V1051" s="14" t="n"/>
      <c r="Z1051">
        <f>IF($B1051="","",IF(COUNTIF($B$2:$B1051,$B1051)=1,1,0))</f>
        <v/>
      </c>
      <c r="AA1051">
        <f>IF($Z1051=1,SUMPRODUCT(--($AC$2:$AC$3001&lt;$AC1051))+1,"")</f>
        <v/>
      </c>
      <c r="AB1051">
        <f>IF($B1051="","",IF(OR($Y1051=TRUE(),$Y1051="TRUE"),1,IF(AND($Y1051&lt;&gt;"",OR($Y1051=FALSE(),$Y1051="FALSE")),0,IF(MIN(ABS($X1051/100-Settings!$C$6),ABS($X1051/100-Settings!$G$6))&lt;=MIN(ABS($X1051/100-Settings!$C$7),ABS($X1051/100-Settings!$G$7)),1,0))))</f>
        <v/>
      </c>
      <c r="AC1051">
        <f>IF($Z1051=1,IFERROR(IF(VALUE($B1051)&lt;100000000,VALUE($B1051),1000000000),IFERROR(IF(VALUE(MID($B1051,2,20))&lt;100000000,VALUE(MID($B1051,2,20)),1000000000),1000000000))+ROW()/100000,"")</f>
        <v/>
      </c>
    </row>
    <row r="1052">
      <c r="A1052">
        <f>IF($B1052="","",IFERROR(IF(INDEX('Per Invoice'!$A$2:$A$801,MATCH($B1052,'Per Invoice'!$B$2:$B$801,0))=0,"",INDEX('Per Invoice'!$A$2:$A$801,MATCH($B1052,'Per Invoice'!$B$2:$B$801,0))),""))</f>
        <v/>
      </c>
      <c r="J1052" s="7">
        <f>IF($B1052="","",I1052*Q1052/100)</f>
        <v/>
      </c>
      <c r="N1052" s="7" t="n"/>
      <c r="O1052" s="7" t="n"/>
      <c r="P1052" s="7">
        <f>IF($B1052="","",O1052*X1052/100)</f>
        <v/>
      </c>
      <c r="Q1052" s="7">
        <f>IF($B1052="","",O1052-P1052)</f>
        <v/>
      </c>
      <c r="R1052" s="7">
        <f>IF($B1052="","",Q1052-J1052)</f>
        <v/>
      </c>
      <c r="S1052" s="7" t="n"/>
      <c r="T1052" s="7" t="n"/>
      <c r="V1052" s="14" t="n"/>
      <c r="Z1052">
        <f>IF($B1052="","",IF(COUNTIF($B$2:$B1052,$B1052)=1,1,0))</f>
        <v/>
      </c>
      <c r="AA1052">
        <f>IF($Z1052=1,SUMPRODUCT(--($AC$2:$AC$3001&lt;$AC1052))+1,"")</f>
        <v/>
      </c>
      <c r="AB1052">
        <f>IF($B1052="","",IF(OR($Y1052=TRUE(),$Y1052="TRUE"),1,IF(AND($Y1052&lt;&gt;"",OR($Y1052=FALSE(),$Y1052="FALSE")),0,IF(MIN(ABS($X1052/100-Settings!$C$6),ABS($X1052/100-Settings!$G$6))&lt;=MIN(ABS($X1052/100-Settings!$C$7),ABS($X1052/100-Settings!$G$7)),1,0))))</f>
        <v/>
      </c>
      <c r="AC1052">
        <f>IF($Z1052=1,IFERROR(IF(VALUE($B1052)&lt;100000000,VALUE($B1052),1000000000),IFERROR(IF(VALUE(MID($B1052,2,20))&lt;100000000,VALUE(MID($B1052,2,20)),1000000000),1000000000))+ROW()/100000,"")</f>
        <v/>
      </c>
    </row>
    <row r="1053">
      <c r="A1053">
        <f>IF($B1053="","",IFERROR(IF(INDEX('Per Invoice'!$A$2:$A$801,MATCH($B1053,'Per Invoice'!$B$2:$B$801,0))=0,"",INDEX('Per Invoice'!$A$2:$A$801,MATCH($B1053,'Per Invoice'!$B$2:$B$801,0))),""))</f>
        <v/>
      </c>
      <c r="J1053" s="7">
        <f>IF($B1053="","",I1053*Q1053/100)</f>
        <v/>
      </c>
      <c r="N1053" s="7" t="n"/>
      <c r="O1053" s="7" t="n"/>
      <c r="P1053" s="7">
        <f>IF($B1053="","",O1053*X1053/100)</f>
        <v/>
      </c>
      <c r="Q1053" s="7">
        <f>IF($B1053="","",O1053-P1053)</f>
        <v/>
      </c>
      <c r="R1053" s="7">
        <f>IF($B1053="","",Q1053-J1053)</f>
        <v/>
      </c>
      <c r="S1053" s="7" t="n"/>
      <c r="T1053" s="7" t="n"/>
      <c r="V1053" s="14" t="n"/>
      <c r="Z1053">
        <f>IF($B1053="","",IF(COUNTIF($B$2:$B1053,$B1053)=1,1,0))</f>
        <v/>
      </c>
      <c r="AA1053">
        <f>IF($Z1053=1,SUMPRODUCT(--($AC$2:$AC$3001&lt;$AC1053))+1,"")</f>
        <v/>
      </c>
      <c r="AB1053">
        <f>IF($B1053="","",IF(OR($Y1053=TRUE(),$Y1053="TRUE"),1,IF(AND($Y1053&lt;&gt;"",OR($Y1053=FALSE(),$Y1053="FALSE")),0,IF(MIN(ABS($X1053/100-Settings!$C$6),ABS($X1053/100-Settings!$G$6))&lt;=MIN(ABS($X1053/100-Settings!$C$7),ABS($X1053/100-Settings!$G$7)),1,0))))</f>
        <v/>
      </c>
      <c r="AC1053">
        <f>IF($Z1053=1,IFERROR(IF(VALUE($B1053)&lt;100000000,VALUE($B1053),1000000000),IFERROR(IF(VALUE(MID($B1053,2,20))&lt;100000000,VALUE(MID($B1053,2,20)),1000000000),1000000000))+ROW()/100000,"")</f>
        <v/>
      </c>
    </row>
    <row r="1054">
      <c r="A1054">
        <f>IF($B1054="","",IFERROR(IF(INDEX('Per Invoice'!$A$2:$A$801,MATCH($B1054,'Per Invoice'!$B$2:$B$801,0))=0,"",INDEX('Per Invoice'!$A$2:$A$801,MATCH($B1054,'Per Invoice'!$B$2:$B$801,0))),""))</f>
        <v/>
      </c>
      <c r="J1054" s="7">
        <f>IF($B1054="","",I1054*Q1054/100)</f>
        <v/>
      </c>
      <c r="N1054" s="7" t="n"/>
      <c r="O1054" s="7" t="n"/>
      <c r="P1054" s="7">
        <f>IF($B1054="","",O1054*X1054/100)</f>
        <v/>
      </c>
      <c r="Q1054" s="7">
        <f>IF($B1054="","",O1054-P1054)</f>
        <v/>
      </c>
      <c r="R1054" s="7">
        <f>IF($B1054="","",Q1054-J1054)</f>
        <v/>
      </c>
      <c r="S1054" s="7" t="n"/>
      <c r="T1054" s="7" t="n"/>
      <c r="V1054" s="14" t="n"/>
      <c r="Z1054">
        <f>IF($B1054="","",IF(COUNTIF($B$2:$B1054,$B1054)=1,1,0))</f>
        <v/>
      </c>
      <c r="AA1054">
        <f>IF($Z1054=1,SUMPRODUCT(--($AC$2:$AC$3001&lt;$AC1054))+1,"")</f>
        <v/>
      </c>
      <c r="AB1054">
        <f>IF($B1054="","",IF(OR($Y1054=TRUE(),$Y1054="TRUE"),1,IF(AND($Y1054&lt;&gt;"",OR($Y1054=FALSE(),$Y1054="FALSE")),0,IF(MIN(ABS($X1054/100-Settings!$C$6),ABS($X1054/100-Settings!$G$6))&lt;=MIN(ABS($X1054/100-Settings!$C$7),ABS($X1054/100-Settings!$G$7)),1,0))))</f>
        <v/>
      </c>
      <c r="AC1054">
        <f>IF($Z1054=1,IFERROR(IF(VALUE($B1054)&lt;100000000,VALUE($B1054),1000000000),IFERROR(IF(VALUE(MID($B1054,2,20))&lt;100000000,VALUE(MID($B1054,2,20)),1000000000),1000000000))+ROW()/100000,"")</f>
        <v/>
      </c>
    </row>
    <row r="1055">
      <c r="A1055">
        <f>IF($B1055="","",IFERROR(IF(INDEX('Per Invoice'!$A$2:$A$801,MATCH($B1055,'Per Invoice'!$B$2:$B$801,0))=0,"",INDEX('Per Invoice'!$A$2:$A$801,MATCH($B1055,'Per Invoice'!$B$2:$B$801,0))),""))</f>
        <v/>
      </c>
      <c r="J1055" s="7">
        <f>IF($B1055="","",I1055*Q1055/100)</f>
        <v/>
      </c>
      <c r="N1055" s="7" t="n"/>
      <c r="O1055" s="7" t="n"/>
      <c r="P1055" s="7">
        <f>IF($B1055="","",O1055*X1055/100)</f>
        <v/>
      </c>
      <c r="Q1055" s="7">
        <f>IF($B1055="","",O1055-P1055)</f>
        <v/>
      </c>
      <c r="R1055" s="7">
        <f>IF($B1055="","",Q1055-J1055)</f>
        <v/>
      </c>
      <c r="S1055" s="7" t="n"/>
      <c r="T1055" s="7" t="n"/>
      <c r="V1055" s="14" t="n"/>
      <c r="Z1055">
        <f>IF($B1055="","",IF(COUNTIF($B$2:$B1055,$B1055)=1,1,0))</f>
        <v/>
      </c>
      <c r="AA1055">
        <f>IF($Z1055=1,SUMPRODUCT(--($AC$2:$AC$3001&lt;$AC1055))+1,"")</f>
        <v/>
      </c>
      <c r="AB1055">
        <f>IF($B1055="","",IF(OR($Y1055=TRUE(),$Y1055="TRUE"),1,IF(AND($Y1055&lt;&gt;"",OR($Y1055=FALSE(),$Y1055="FALSE")),0,IF(MIN(ABS($X1055/100-Settings!$C$6),ABS($X1055/100-Settings!$G$6))&lt;=MIN(ABS($X1055/100-Settings!$C$7),ABS($X1055/100-Settings!$G$7)),1,0))))</f>
        <v/>
      </c>
      <c r="AC1055">
        <f>IF($Z1055=1,IFERROR(IF(VALUE($B1055)&lt;100000000,VALUE($B1055),1000000000),IFERROR(IF(VALUE(MID($B1055,2,20))&lt;100000000,VALUE(MID($B1055,2,20)),1000000000),1000000000))+ROW()/100000,"")</f>
        <v/>
      </c>
    </row>
    <row r="1056">
      <c r="A1056">
        <f>IF($B1056="","",IFERROR(IF(INDEX('Per Invoice'!$A$2:$A$801,MATCH($B1056,'Per Invoice'!$B$2:$B$801,0))=0,"",INDEX('Per Invoice'!$A$2:$A$801,MATCH($B1056,'Per Invoice'!$B$2:$B$801,0))),""))</f>
        <v/>
      </c>
      <c r="J1056" s="7">
        <f>IF($B1056="","",I1056*Q1056/100)</f>
        <v/>
      </c>
      <c r="N1056" s="7" t="n"/>
      <c r="O1056" s="7" t="n"/>
      <c r="P1056" s="7">
        <f>IF($B1056="","",O1056*X1056/100)</f>
        <v/>
      </c>
      <c r="Q1056" s="7">
        <f>IF($B1056="","",O1056-P1056)</f>
        <v/>
      </c>
      <c r="R1056" s="7">
        <f>IF($B1056="","",Q1056-J1056)</f>
        <v/>
      </c>
      <c r="S1056" s="7" t="n"/>
      <c r="T1056" s="7" t="n"/>
      <c r="V1056" s="14" t="n"/>
      <c r="Z1056">
        <f>IF($B1056="","",IF(COUNTIF($B$2:$B1056,$B1056)=1,1,0))</f>
        <v/>
      </c>
      <c r="AA1056">
        <f>IF($Z1056=1,SUMPRODUCT(--($AC$2:$AC$3001&lt;$AC1056))+1,"")</f>
        <v/>
      </c>
      <c r="AB1056">
        <f>IF($B1056="","",IF(OR($Y1056=TRUE(),$Y1056="TRUE"),1,IF(AND($Y1056&lt;&gt;"",OR($Y1056=FALSE(),$Y1056="FALSE")),0,IF(MIN(ABS($X1056/100-Settings!$C$6),ABS($X1056/100-Settings!$G$6))&lt;=MIN(ABS($X1056/100-Settings!$C$7),ABS($X1056/100-Settings!$G$7)),1,0))))</f>
        <v/>
      </c>
      <c r="AC1056">
        <f>IF($Z1056=1,IFERROR(IF(VALUE($B1056)&lt;100000000,VALUE($B1056),1000000000),IFERROR(IF(VALUE(MID($B1056,2,20))&lt;100000000,VALUE(MID($B1056,2,20)),1000000000),1000000000))+ROW()/100000,"")</f>
        <v/>
      </c>
    </row>
    <row r="1057">
      <c r="A1057">
        <f>IF($B1057="","",IFERROR(IF(INDEX('Per Invoice'!$A$2:$A$801,MATCH($B1057,'Per Invoice'!$B$2:$B$801,0))=0,"",INDEX('Per Invoice'!$A$2:$A$801,MATCH($B1057,'Per Invoice'!$B$2:$B$801,0))),""))</f>
        <v/>
      </c>
      <c r="J1057" s="7">
        <f>IF($B1057="","",I1057*Q1057/100)</f>
        <v/>
      </c>
      <c r="N1057" s="7" t="n"/>
      <c r="O1057" s="7" t="n"/>
      <c r="P1057" s="7">
        <f>IF($B1057="","",O1057*X1057/100)</f>
        <v/>
      </c>
      <c r="Q1057" s="7">
        <f>IF($B1057="","",O1057-P1057)</f>
        <v/>
      </c>
      <c r="R1057" s="7">
        <f>IF($B1057="","",Q1057-J1057)</f>
        <v/>
      </c>
      <c r="S1057" s="7" t="n"/>
      <c r="T1057" s="7" t="n"/>
      <c r="V1057" s="14" t="n"/>
      <c r="Z1057">
        <f>IF($B1057="","",IF(COUNTIF($B$2:$B1057,$B1057)=1,1,0))</f>
        <v/>
      </c>
      <c r="AA1057">
        <f>IF($Z1057=1,SUMPRODUCT(--($AC$2:$AC$3001&lt;$AC1057))+1,"")</f>
        <v/>
      </c>
      <c r="AB1057">
        <f>IF($B1057="","",IF(OR($Y1057=TRUE(),$Y1057="TRUE"),1,IF(AND($Y1057&lt;&gt;"",OR($Y1057=FALSE(),$Y1057="FALSE")),0,IF(MIN(ABS($X1057/100-Settings!$C$6),ABS($X1057/100-Settings!$G$6))&lt;=MIN(ABS($X1057/100-Settings!$C$7),ABS($X1057/100-Settings!$G$7)),1,0))))</f>
        <v/>
      </c>
      <c r="AC1057">
        <f>IF($Z1057=1,IFERROR(IF(VALUE($B1057)&lt;100000000,VALUE($B1057),1000000000),IFERROR(IF(VALUE(MID($B1057,2,20))&lt;100000000,VALUE(MID($B1057,2,20)),1000000000),1000000000))+ROW()/100000,"")</f>
        <v/>
      </c>
    </row>
    <row r="1058">
      <c r="A1058">
        <f>IF($B1058="","",IFERROR(IF(INDEX('Per Invoice'!$A$2:$A$801,MATCH($B1058,'Per Invoice'!$B$2:$B$801,0))=0,"",INDEX('Per Invoice'!$A$2:$A$801,MATCH($B1058,'Per Invoice'!$B$2:$B$801,0))),""))</f>
        <v/>
      </c>
      <c r="J1058" s="7">
        <f>IF($B1058="","",I1058*Q1058/100)</f>
        <v/>
      </c>
      <c r="N1058" s="7" t="n"/>
      <c r="O1058" s="7" t="n"/>
      <c r="P1058" s="7">
        <f>IF($B1058="","",O1058*X1058/100)</f>
        <v/>
      </c>
      <c r="Q1058" s="7">
        <f>IF($B1058="","",O1058-P1058)</f>
        <v/>
      </c>
      <c r="R1058" s="7">
        <f>IF($B1058="","",Q1058-J1058)</f>
        <v/>
      </c>
      <c r="S1058" s="7" t="n"/>
      <c r="T1058" s="7" t="n"/>
      <c r="V1058" s="14" t="n"/>
      <c r="Z1058">
        <f>IF($B1058="","",IF(COUNTIF($B$2:$B1058,$B1058)=1,1,0))</f>
        <v/>
      </c>
      <c r="AA1058">
        <f>IF($Z1058=1,SUMPRODUCT(--($AC$2:$AC$3001&lt;$AC1058))+1,"")</f>
        <v/>
      </c>
      <c r="AB1058">
        <f>IF($B1058="","",IF(OR($Y1058=TRUE(),$Y1058="TRUE"),1,IF(AND($Y1058&lt;&gt;"",OR($Y1058=FALSE(),$Y1058="FALSE")),0,IF(MIN(ABS($X1058/100-Settings!$C$6),ABS($X1058/100-Settings!$G$6))&lt;=MIN(ABS($X1058/100-Settings!$C$7),ABS($X1058/100-Settings!$G$7)),1,0))))</f>
        <v/>
      </c>
      <c r="AC1058">
        <f>IF($Z1058=1,IFERROR(IF(VALUE($B1058)&lt;100000000,VALUE($B1058),1000000000),IFERROR(IF(VALUE(MID($B1058,2,20))&lt;100000000,VALUE(MID($B1058,2,20)),1000000000),1000000000))+ROW()/100000,"")</f>
        <v/>
      </c>
    </row>
    <row r="1059">
      <c r="A1059">
        <f>IF($B1059="","",IFERROR(IF(INDEX('Per Invoice'!$A$2:$A$801,MATCH($B1059,'Per Invoice'!$B$2:$B$801,0))=0,"",INDEX('Per Invoice'!$A$2:$A$801,MATCH($B1059,'Per Invoice'!$B$2:$B$801,0))),""))</f>
        <v/>
      </c>
      <c r="J1059" s="7">
        <f>IF($B1059="","",I1059*Q1059/100)</f>
        <v/>
      </c>
      <c r="N1059" s="7" t="n"/>
      <c r="O1059" s="7" t="n"/>
      <c r="P1059" s="7">
        <f>IF($B1059="","",O1059*X1059/100)</f>
        <v/>
      </c>
      <c r="Q1059" s="7">
        <f>IF($B1059="","",O1059-P1059)</f>
        <v/>
      </c>
      <c r="R1059" s="7">
        <f>IF($B1059="","",Q1059-J1059)</f>
        <v/>
      </c>
      <c r="S1059" s="7" t="n"/>
      <c r="T1059" s="7" t="n"/>
      <c r="V1059" s="14" t="n"/>
      <c r="Z1059">
        <f>IF($B1059="","",IF(COUNTIF($B$2:$B1059,$B1059)=1,1,0))</f>
        <v/>
      </c>
      <c r="AA1059">
        <f>IF($Z1059=1,SUMPRODUCT(--($AC$2:$AC$3001&lt;$AC1059))+1,"")</f>
        <v/>
      </c>
      <c r="AB1059">
        <f>IF($B1059="","",IF(OR($Y1059=TRUE(),$Y1059="TRUE"),1,IF(AND($Y1059&lt;&gt;"",OR($Y1059=FALSE(),$Y1059="FALSE")),0,IF(MIN(ABS($X1059/100-Settings!$C$6),ABS($X1059/100-Settings!$G$6))&lt;=MIN(ABS($X1059/100-Settings!$C$7),ABS($X1059/100-Settings!$G$7)),1,0))))</f>
        <v/>
      </c>
      <c r="AC1059">
        <f>IF($Z1059=1,IFERROR(IF(VALUE($B1059)&lt;100000000,VALUE($B1059),1000000000),IFERROR(IF(VALUE(MID($B1059,2,20))&lt;100000000,VALUE(MID($B1059,2,20)),1000000000),1000000000))+ROW()/100000,"")</f>
        <v/>
      </c>
    </row>
    <row r="1060">
      <c r="A1060">
        <f>IF($B1060="","",IFERROR(IF(INDEX('Per Invoice'!$A$2:$A$801,MATCH($B1060,'Per Invoice'!$B$2:$B$801,0))=0,"",INDEX('Per Invoice'!$A$2:$A$801,MATCH($B1060,'Per Invoice'!$B$2:$B$801,0))),""))</f>
        <v/>
      </c>
      <c r="J1060" s="7">
        <f>IF($B1060="","",I1060*Q1060/100)</f>
        <v/>
      </c>
      <c r="N1060" s="7" t="n"/>
      <c r="O1060" s="7" t="n"/>
      <c r="P1060" s="7">
        <f>IF($B1060="","",O1060*X1060/100)</f>
        <v/>
      </c>
      <c r="Q1060" s="7">
        <f>IF($B1060="","",O1060-P1060)</f>
        <v/>
      </c>
      <c r="R1060" s="7">
        <f>IF($B1060="","",Q1060-J1060)</f>
        <v/>
      </c>
      <c r="S1060" s="7" t="n"/>
      <c r="T1060" s="7" t="n"/>
      <c r="V1060" s="14" t="n"/>
      <c r="Z1060">
        <f>IF($B1060="","",IF(COUNTIF($B$2:$B1060,$B1060)=1,1,0))</f>
        <v/>
      </c>
      <c r="AA1060">
        <f>IF($Z1060=1,SUMPRODUCT(--($AC$2:$AC$3001&lt;$AC1060))+1,"")</f>
        <v/>
      </c>
      <c r="AB1060">
        <f>IF($B1060="","",IF(OR($Y1060=TRUE(),$Y1060="TRUE"),1,IF(AND($Y1060&lt;&gt;"",OR($Y1060=FALSE(),$Y1060="FALSE")),0,IF(MIN(ABS($X1060/100-Settings!$C$6),ABS($X1060/100-Settings!$G$6))&lt;=MIN(ABS($X1060/100-Settings!$C$7),ABS($X1060/100-Settings!$G$7)),1,0))))</f>
        <v/>
      </c>
      <c r="AC1060">
        <f>IF($Z1060=1,IFERROR(IF(VALUE($B1060)&lt;100000000,VALUE($B1060),1000000000),IFERROR(IF(VALUE(MID($B1060,2,20))&lt;100000000,VALUE(MID($B1060,2,20)),1000000000),1000000000))+ROW()/100000,"")</f>
        <v/>
      </c>
    </row>
    <row r="1061">
      <c r="A1061">
        <f>IF($B1061="","",IFERROR(IF(INDEX('Per Invoice'!$A$2:$A$801,MATCH($B1061,'Per Invoice'!$B$2:$B$801,0))=0,"",INDEX('Per Invoice'!$A$2:$A$801,MATCH($B1061,'Per Invoice'!$B$2:$B$801,0))),""))</f>
        <v/>
      </c>
      <c r="J1061" s="7">
        <f>IF($B1061="","",I1061*Q1061/100)</f>
        <v/>
      </c>
      <c r="N1061" s="7" t="n"/>
      <c r="O1061" s="7" t="n"/>
      <c r="P1061" s="7">
        <f>IF($B1061="","",O1061*X1061/100)</f>
        <v/>
      </c>
      <c r="Q1061" s="7">
        <f>IF($B1061="","",O1061-P1061)</f>
        <v/>
      </c>
      <c r="R1061" s="7">
        <f>IF($B1061="","",Q1061-J1061)</f>
        <v/>
      </c>
      <c r="S1061" s="7" t="n"/>
      <c r="T1061" s="7" t="n"/>
      <c r="V1061" s="14" t="n"/>
      <c r="Z1061">
        <f>IF($B1061="","",IF(COUNTIF($B$2:$B1061,$B1061)=1,1,0))</f>
        <v/>
      </c>
      <c r="AA1061">
        <f>IF($Z1061=1,SUMPRODUCT(--($AC$2:$AC$3001&lt;$AC1061))+1,"")</f>
        <v/>
      </c>
      <c r="AB1061">
        <f>IF($B1061="","",IF(OR($Y1061=TRUE(),$Y1061="TRUE"),1,IF(AND($Y1061&lt;&gt;"",OR($Y1061=FALSE(),$Y1061="FALSE")),0,IF(MIN(ABS($X1061/100-Settings!$C$6),ABS($X1061/100-Settings!$G$6))&lt;=MIN(ABS($X1061/100-Settings!$C$7),ABS($X1061/100-Settings!$G$7)),1,0))))</f>
        <v/>
      </c>
      <c r="AC1061">
        <f>IF($Z1061=1,IFERROR(IF(VALUE($B1061)&lt;100000000,VALUE($B1061),1000000000),IFERROR(IF(VALUE(MID($B1061,2,20))&lt;100000000,VALUE(MID($B1061,2,20)),1000000000),1000000000))+ROW()/100000,"")</f>
        <v/>
      </c>
    </row>
    <row r="1062">
      <c r="A1062">
        <f>IF($B1062="","",IFERROR(IF(INDEX('Per Invoice'!$A$2:$A$801,MATCH($B1062,'Per Invoice'!$B$2:$B$801,0))=0,"",INDEX('Per Invoice'!$A$2:$A$801,MATCH($B1062,'Per Invoice'!$B$2:$B$801,0))),""))</f>
        <v/>
      </c>
      <c r="J1062" s="7">
        <f>IF($B1062="","",I1062*Q1062/100)</f>
        <v/>
      </c>
      <c r="N1062" s="7" t="n"/>
      <c r="O1062" s="7" t="n"/>
      <c r="P1062" s="7">
        <f>IF($B1062="","",O1062*X1062/100)</f>
        <v/>
      </c>
      <c r="Q1062" s="7">
        <f>IF($B1062="","",O1062-P1062)</f>
        <v/>
      </c>
      <c r="R1062" s="7">
        <f>IF($B1062="","",Q1062-J1062)</f>
        <v/>
      </c>
      <c r="S1062" s="7" t="n"/>
      <c r="T1062" s="7" t="n"/>
      <c r="V1062" s="14" t="n"/>
      <c r="Z1062">
        <f>IF($B1062="","",IF(COUNTIF($B$2:$B1062,$B1062)=1,1,0))</f>
        <v/>
      </c>
      <c r="AA1062">
        <f>IF($Z1062=1,SUMPRODUCT(--($AC$2:$AC$3001&lt;$AC1062))+1,"")</f>
        <v/>
      </c>
      <c r="AB1062">
        <f>IF($B1062="","",IF(OR($Y1062=TRUE(),$Y1062="TRUE"),1,IF(AND($Y1062&lt;&gt;"",OR($Y1062=FALSE(),$Y1062="FALSE")),0,IF(MIN(ABS($X1062/100-Settings!$C$6),ABS($X1062/100-Settings!$G$6))&lt;=MIN(ABS($X1062/100-Settings!$C$7),ABS($X1062/100-Settings!$G$7)),1,0))))</f>
        <v/>
      </c>
      <c r="AC1062">
        <f>IF($Z1062=1,IFERROR(IF(VALUE($B1062)&lt;100000000,VALUE($B1062),1000000000),IFERROR(IF(VALUE(MID($B1062,2,20))&lt;100000000,VALUE(MID($B1062,2,20)),1000000000),1000000000))+ROW()/100000,"")</f>
        <v/>
      </c>
    </row>
    <row r="1063">
      <c r="A1063">
        <f>IF($B1063="","",IFERROR(IF(INDEX('Per Invoice'!$A$2:$A$801,MATCH($B1063,'Per Invoice'!$B$2:$B$801,0))=0,"",INDEX('Per Invoice'!$A$2:$A$801,MATCH($B1063,'Per Invoice'!$B$2:$B$801,0))),""))</f>
        <v/>
      </c>
      <c r="J1063" s="7">
        <f>IF($B1063="","",I1063*Q1063/100)</f>
        <v/>
      </c>
      <c r="N1063" s="7" t="n"/>
      <c r="O1063" s="7" t="n"/>
      <c r="P1063" s="7">
        <f>IF($B1063="","",O1063*X1063/100)</f>
        <v/>
      </c>
      <c r="Q1063" s="7">
        <f>IF($B1063="","",O1063-P1063)</f>
        <v/>
      </c>
      <c r="R1063" s="7">
        <f>IF($B1063="","",Q1063-J1063)</f>
        <v/>
      </c>
      <c r="S1063" s="7" t="n"/>
      <c r="T1063" s="7" t="n"/>
      <c r="V1063" s="14" t="n"/>
      <c r="Z1063">
        <f>IF($B1063="","",IF(COUNTIF($B$2:$B1063,$B1063)=1,1,0))</f>
        <v/>
      </c>
      <c r="AA1063">
        <f>IF($Z1063=1,SUMPRODUCT(--($AC$2:$AC$3001&lt;$AC1063))+1,"")</f>
        <v/>
      </c>
      <c r="AB1063">
        <f>IF($B1063="","",IF(OR($Y1063=TRUE(),$Y1063="TRUE"),1,IF(AND($Y1063&lt;&gt;"",OR($Y1063=FALSE(),$Y1063="FALSE")),0,IF(MIN(ABS($X1063/100-Settings!$C$6),ABS($X1063/100-Settings!$G$6))&lt;=MIN(ABS($X1063/100-Settings!$C$7),ABS($X1063/100-Settings!$G$7)),1,0))))</f>
        <v/>
      </c>
      <c r="AC1063">
        <f>IF($Z1063=1,IFERROR(IF(VALUE($B1063)&lt;100000000,VALUE($B1063),1000000000),IFERROR(IF(VALUE(MID($B1063,2,20))&lt;100000000,VALUE(MID($B1063,2,20)),1000000000),1000000000))+ROW()/100000,"")</f>
        <v/>
      </c>
    </row>
    <row r="1064">
      <c r="A1064">
        <f>IF($B1064="","",IFERROR(IF(INDEX('Per Invoice'!$A$2:$A$801,MATCH($B1064,'Per Invoice'!$B$2:$B$801,0))=0,"",INDEX('Per Invoice'!$A$2:$A$801,MATCH($B1064,'Per Invoice'!$B$2:$B$801,0))),""))</f>
        <v/>
      </c>
      <c r="J1064" s="7">
        <f>IF($B1064="","",I1064*Q1064/100)</f>
        <v/>
      </c>
      <c r="N1064" s="7" t="n"/>
      <c r="O1064" s="7" t="n"/>
      <c r="P1064" s="7">
        <f>IF($B1064="","",O1064*X1064/100)</f>
        <v/>
      </c>
      <c r="Q1064" s="7">
        <f>IF($B1064="","",O1064-P1064)</f>
        <v/>
      </c>
      <c r="R1064" s="7">
        <f>IF($B1064="","",Q1064-J1064)</f>
        <v/>
      </c>
      <c r="S1064" s="7" t="n"/>
      <c r="T1064" s="7" t="n"/>
      <c r="V1064" s="14" t="n"/>
      <c r="Z1064">
        <f>IF($B1064="","",IF(COUNTIF($B$2:$B1064,$B1064)=1,1,0))</f>
        <v/>
      </c>
      <c r="AA1064">
        <f>IF($Z1064=1,SUMPRODUCT(--($AC$2:$AC$3001&lt;$AC1064))+1,"")</f>
        <v/>
      </c>
      <c r="AB1064">
        <f>IF($B1064="","",IF(OR($Y1064=TRUE(),$Y1064="TRUE"),1,IF(AND($Y1064&lt;&gt;"",OR($Y1064=FALSE(),$Y1064="FALSE")),0,IF(MIN(ABS($X1064/100-Settings!$C$6),ABS($X1064/100-Settings!$G$6))&lt;=MIN(ABS($X1064/100-Settings!$C$7),ABS($X1064/100-Settings!$G$7)),1,0))))</f>
        <v/>
      </c>
      <c r="AC1064">
        <f>IF($Z1064=1,IFERROR(IF(VALUE($B1064)&lt;100000000,VALUE($B1064),1000000000),IFERROR(IF(VALUE(MID($B1064,2,20))&lt;100000000,VALUE(MID($B1064,2,20)),1000000000),1000000000))+ROW()/100000,"")</f>
        <v/>
      </c>
    </row>
    <row r="1065">
      <c r="A1065">
        <f>IF($B1065="","",IFERROR(IF(INDEX('Per Invoice'!$A$2:$A$801,MATCH($B1065,'Per Invoice'!$B$2:$B$801,0))=0,"",INDEX('Per Invoice'!$A$2:$A$801,MATCH($B1065,'Per Invoice'!$B$2:$B$801,0))),""))</f>
        <v/>
      </c>
      <c r="J1065" s="7">
        <f>IF($B1065="","",I1065*Q1065/100)</f>
        <v/>
      </c>
      <c r="N1065" s="7" t="n"/>
      <c r="O1065" s="7" t="n"/>
      <c r="P1065" s="7">
        <f>IF($B1065="","",O1065*X1065/100)</f>
        <v/>
      </c>
      <c r="Q1065" s="7">
        <f>IF($B1065="","",O1065-P1065)</f>
        <v/>
      </c>
      <c r="R1065" s="7">
        <f>IF($B1065="","",Q1065-J1065)</f>
        <v/>
      </c>
      <c r="S1065" s="7" t="n"/>
      <c r="T1065" s="7" t="n"/>
      <c r="V1065" s="14" t="n"/>
      <c r="Z1065">
        <f>IF($B1065="","",IF(COUNTIF($B$2:$B1065,$B1065)=1,1,0))</f>
        <v/>
      </c>
      <c r="AA1065">
        <f>IF($Z1065=1,SUMPRODUCT(--($AC$2:$AC$3001&lt;$AC1065))+1,"")</f>
        <v/>
      </c>
      <c r="AB1065">
        <f>IF($B1065="","",IF(OR($Y1065=TRUE(),$Y1065="TRUE"),1,IF(AND($Y1065&lt;&gt;"",OR($Y1065=FALSE(),$Y1065="FALSE")),0,IF(MIN(ABS($X1065/100-Settings!$C$6),ABS($X1065/100-Settings!$G$6))&lt;=MIN(ABS($X1065/100-Settings!$C$7),ABS($X1065/100-Settings!$G$7)),1,0))))</f>
        <v/>
      </c>
      <c r="AC1065">
        <f>IF($Z1065=1,IFERROR(IF(VALUE($B1065)&lt;100000000,VALUE($B1065),1000000000),IFERROR(IF(VALUE(MID($B1065,2,20))&lt;100000000,VALUE(MID($B1065,2,20)),1000000000),1000000000))+ROW()/100000,"")</f>
        <v/>
      </c>
    </row>
    <row r="1066">
      <c r="A1066">
        <f>IF($B1066="","",IFERROR(IF(INDEX('Per Invoice'!$A$2:$A$801,MATCH($B1066,'Per Invoice'!$B$2:$B$801,0))=0,"",INDEX('Per Invoice'!$A$2:$A$801,MATCH($B1066,'Per Invoice'!$B$2:$B$801,0))),""))</f>
        <v/>
      </c>
      <c r="J1066" s="7">
        <f>IF($B1066="","",I1066*Q1066/100)</f>
        <v/>
      </c>
      <c r="N1066" s="7" t="n"/>
      <c r="O1066" s="7" t="n"/>
      <c r="P1066" s="7">
        <f>IF($B1066="","",O1066*X1066/100)</f>
        <v/>
      </c>
      <c r="Q1066" s="7">
        <f>IF($B1066="","",O1066-P1066)</f>
        <v/>
      </c>
      <c r="R1066" s="7">
        <f>IF($B1066="","",Q1066-J1066)</f>
        <v/>
      </c>
      <c r="S1066" s="7" t="n"/>
      <c r="T1066" s="7" t="n"/>
      <c r="V1066" s="14" t="n"/>
      <c r="Z1066">
        <f>IF($B1066="","",IF(COUNTIF($B$2:$B1066,$B1066)=1,1,0))</f>
        <v/>
      </c>
      <c r="AA1066">
        <f>IF($Z1066=1,SUMPRODUCT(--($AC$2:$AC$3001&lt;$AC1066))+1,"")</f>
        <v/>
      </c>
      <c r="AB1066">
        <f>IF($B1066="","",IF(OR($Y1066=TRUE(),$Y1066="TRUE"),1,IF(AND($Y1066&lt;&gt;"",OR($Y1066=FALSE(),$Y1066="FALSE")),0,IF(MIN(ABS($X1066/100-Settings!$C$6),ABS($X1066/100-Settings!$G$6))&lt;=MIN(ABS($X1066/100-Settings!$C$7),ABS($X1066/100-Settings!$G$7)),1,0))))</f>
        <v/>
      </c>
      <c r="AC1066">
        <f>IF($Z1066=1,IFERROR(IF(VALUE($B1066)&lt;100000000,VALUE($B1066),1000000000),IFERROR(IF(VALUE(MID($B1066,2,20))&lt;100000000,VALUE(MID($B1066,2,20)),1000000000),1000000000))+ROW()/100000,"")</f>
        <v/>
      </c>
    </row>
    <row r="1067">
      <c r="A1067">
        <f>IF($B1067="","",IFERROR(IF(INDEX('Per Invoice'!$A$2:$A$801,MATCH($B1067,'Per Invoice'!$B$2:$B$801,0))=0,"",INDEX('Per Invoice'!$A$2:$A$801,MATCH($B1067,'Per Invoice'!$B$2:$B$801,0))),""))</f>
        <v/>
      </c>
      <c r="J1067" s="7">
        <f>IF($B1067="","",I1067*Q1067/100)</f>
        <v/>
      </c>
      <c r="N1067" s="7" t="n"/>
      <c r="O1067" s="7" t="n"/>
      <c r="P1067" s="7">
        <f>IF($B1067="","",O1067*X1067/100)</f>
        <v/>
      </c>
      <c r="Q1067" s="7">
        <f>IF($B1067="","",O1067-P1067)</f>
        <v/>
      </c>
      <c r="R1067" s="7">
        <f>IF($B1067="","",Q1067-J1067)</f>
        <v/>
      </c>
      <c r="S1067" s="7" t="n"/>
      <c r="T1067" s="7" t="n"/>
      <c r="V1067" s="14" t="n"/>
      <c r="Z1067">
        <f>IF($B1067="","",IF(COUNTIF($B$2:$B1067,$B1067)=1,1,0))</f>
        <v/>
      </c>
      <c r="AA1067">
        <f>IF($Z1067=1,SUMPRODUCT(--($AC$2:$AC$3001&lt;$AC1067))+1,"")</f>
        <v/>
      </c>
      <c r="AB1067">
        <f>IF($B1067="","",IF(OR($Y1067=TRUE(),$Y1067="TRUE"),1,IF(AND($Y1067&lt;&gt;"",OR($Y1067=FALSE(),$Y1067="FALSE")),0,IF(MIN(ABS($X1067/100-Settings!$C$6),ABS($X1067/100-Settings!$G$6))&lt;=MIN(ABS($X1067/100-Settings!$C$7),ABS($X1067/100-Settings!$G$7)),1,0))))</f>
        <v/>
      </c>
      <c r="AC1067">
        <f>IF($Z1067=1,IFERROR(IF(VALUE($B1067)&lt;100000000,VALUE($B1067),1000000000),IFERROR(IF(VALUE(MID($B1067,2,20))&lt;100000000,VALUE(MID($B1067,2,20)),1000000000),1000000000))+ROW()/100000,"")</f>
        <v/>
      </c>
    </row>
    <row r="1068">
      <c r="A1068">
        <f>IF($B1068="","",IFERROR(IF(INDEX('Per Invoice'!$A$2:$A$801,MATCH($B1068,'Per Invoice'!$B$2:$B$801,0))=0,"",INDEX('Per Invoice'!$A$2:$A$801,MATCH($B1068,'Per Invoice'!$B$2:$B$801,0))),""))</f>
        <v/>
      </c>
      <c r="J1068" s="7">
        <f>IF($B1068="","",I1068*Q1068/100)</f>
        <v/>
      </c>
      <c r="N1068" s="7" t="n"/>
      <c r="O1068" s="7" t="n"/>
      <c r="P1068" s="7">
        <f>IF($B1068="","",O1068*X1068/100)</f>
        <v/>
      </c>
      <c r="Q1068" s="7">
        <f>IF($B1068="","",O1068-P1068)</f>
        <v/>
      </c>
      <c r="R1068" s="7">
        <f>IF($B1068="","",Q1068-J1068)</f>
        <v/>
      </c>
      <c r="S1068" s="7" t="n"/>
      <c r="T1068" s="7" t="n"/>
      <c r="V1068" s="14" t="n"/>
      <c r="Z1068">
        <f>IF($B1068="","",IF(COUNTIF($B$2:$B1068,$B1068)=1,1,0))</f>
        <v/>
      </c>
      <c r="AA1068">
        <f>IF($Z1068=1,SUMPRODUCT(--($AC$2:$AC$3001&lt;$AC1068))+1,"")</f>
        <v/>
      </c>
      <c r="AB1068">
        <f>IF($B1068="","",IF(OR($Y1068=TRUE(),$Y1068="TRUE"),1,IF(AND($Y1068&lt;&gt;"",OR($Y1068=FALSE(),$Y1068="FALSE")),0,IF(MIN(ABS($X1068/100-Settings!$C$6),ABS($X1068/100-Settings!$G$6))&lt;=MIN(ABS($X1068/100-Settings!$C$7),ABS($X1068/100-Settings!$G$7)),1,0))))</f>
        <v/>
      </c>
      <c r="AC1068">
        <f>IF($Z1068=1,IFERROR(IF(VALUE($B1068)&lt;100000000,VALUE($B1068),1000000000),IFERROR(IF(VALUE(MID($B1068,2,20))&lt;100000000,VALUE(MID($B1068,2,20)),1000000000),1000000000))+ROW()/100000,"")</f>
        <v/>
      </c>
    </row>
    <row r="1069">
      <c r="A1069">
        <f>IF($B1069="","",IFERROR(IF(INDEX('Per Invoice'!$A$2:$A$801,MATCH($B1069,'Per Invoice'!$B$2:$B$801,0))=0,"",INDEX('Per Invoice'!$A$2:$A$801,MATCH($B1069,'Per Invoice'!$B$2:$B$801,0))),""))</f>
        <v/>
      </c>
      <c r="J1069" s="7">
        <f>IF($B1069="","",I1069*Q1069/100)</f>
        <v/>
      </c>
      <c r="N1069" s="7" t="n"/>
      <c r="O1069" s="7" t="n"/>
      <c r="P1069" s="7">
        <f>IF($B1069="","",O1069*X1069/100)</f>
        <v/>
      </c>
      <c r="Q1069" s="7">
        <f>IF($B1069="","",O1069-P1069)</f>
        <v/>
      </c>
      <c r="R1069" s="7">
        <f>IF($B1069="","",Q1069-J1069)</f>
        <v/>
      </c>
      <c r="S1069" s="7" t="n"/>
      <c r="T1069" s="7" t="n"/>
      <c r="V1069" s="14" t="n"/>
      <c r="Z1069">
        <f>IF($B1069="","",IF(COUNTIF($B$2:$B1069,$B1069)=1,1,0))</f>
        <v/>
      </c>
      <c r="AA1069">
        <f>IF($Z1069=1,SUMPRODUCT(--($AC$2:$AC$3001&lt;$AC1069))+1,"")</f>
        <v/>
      </c>
      <c r="AB1069">
        <f>IF($B1069="","",IF(OR($Y1069=TRUE(),$Y1069="TRUE"),1,IF(AND($Y1069&lt;&gt;"",OR($Y1069=FALSE(),$Y1069="FALSE")),0,IF(MIN(ABS($X1069/100-Settings!$C$6),ABS($X1069/100-Settings!$G$6))&lt;=MIN(ABS($X1069/100-Settings!$C$7),ABS($X1069/100-Settings!$G$7)),1,0))))</f>
        <v/>
      </c>
      <c r="AC1069">
        <f>IF($Z1069=1,IFERROR(IF(VALUE($B1069)&lt;100000000,VALUE($B1069),1000000000),IFERROR(IF(VALUE(MID($B1069,2,20))&lt;100000000,VALUE(MID($B1069,2,20)),1000000000),1000000000))+ROW()/100000,"")</f>
        <v/>
      </c>
    </row>
    <row r="1070">
      <c r="A1070">
        <f>IF($B1070="","",IFERROR(IF(INDEX('Per Invoice'!$A$2:$A$801,MATCH($B1070,'Per Invoice'!$B$2:$B$801,0))=0,"",INDEX('Per Invoice'!$A$2:$A$801,MATCH($B1070,'Per Invoice'!$B$2:$B$801,0))),""))</f>
        <v/>
      </c>
      <c r="J1070" s="7">
        <f>IF($B1070="","",I1070*Q1070/100)</f>
        <v/>
      </c>
      <c r="N1070" s="7" t="n"/>
      <c r="O1070" s="7" t="n"/>
      <c r="P1070" s="7">
        <f>IF($B1070="","",O1070*X1070/100)</f>
        <v/>
      </c>
      <c r="Q1070" s="7">
        <f>IF($B1070="","",O1070-P1070)</f>
        <v/>
      </c>
      <c r="R1070" s="7">
        <f>IF($B1070="","",Q1070-J1070)</f>
        <v/>
      </c>
      <c r="S1070" s="7" t="n"/>
      <c r="T1070" s="7" t="n"/>
      <c r="V1070" s="14" t="n"/>
      <c r="Z1070">
        <f>IF($B1070="","",IF(COUNTIF($B$2:$B1070,$B1070)=1,1,0))</f>
        <v/>
      </c>
      <c r="AA1070">
        <f>IF($Z1070=1,SUMPRODUCT(--($AC$2:$AC$3001&lt;$AC1070))+1,"")</f>
        <v/>
      </c>
      <c r="AB1070">
        <f>IF($B1070="","",IF(OR($Y1070=TRUE(),$Y1070="TRUE"),1,IF(AND($Y1070&lt;&gt;"",OR($Y1070=FALSE(),$Y1070="FALSE")),0,IF(MIN(ABS($X1070/100-Settings!$C$6),ABS($X1070/100-Settings!$G$6))&lt;=MIN(ABS($X1070/100-Settings!$C$7),ABS($X1070/100-Settings!$G$7)),1,0))))</f>
        <v/>
      </c>
      <c r="AC1070">
        <f>IF($Z1070=1,IFERROR(IF(VALUE($B1070)&lt;100000000,VALUE($B1070),1000000000),IFERROR(IF(VALUE(MID($B1070,2,20))&lt;100000000,VALUE(MID($B1070,2,20)),1000000000),1000000000))+ROW()/100000,"")</f>
        <v/>
      </c>
    </row>
    <row r="1071">
      <c r="A1071">
        <f>IF($B1071="","",IFERROR(IF(INDEX('Per Invoice'!$A$2:$A$801,MATCH($B1071,'Per Invoice'!$B$2:$B$801,0))=0,"",INDEX('Per Invoice'!$A$2:$A$801,MATCH($B1071,'Per Invoice'!$B$2:$B$801,0))),""))</f>
        <v/>
      </c>
      <c r="J1071" s="7">
        <f>IF($B1071="","",I1071*Q1071/100)</f>
        <v/>
      </c>
      <c r="N1071" s="7" t="n"/>
      <c r="O1071" s="7" t="n"/>
      <c r="P1071" s="7">
        <f>IF($B1071="","",O1071*X1071/100)</f>
        <v/>
      </c>
      <c r="Q1071" s="7">
        <f>IF($B1071="","",O1071-P1071)</f>
        <v/>
      </c>
      <c r="R1071" s="7">
        <f>IF($B1071="","",Q1071-J1071)</f>
        <v/>
      </c>
      <c r="S1071" s="7" t="n"/>
      <c r="T1071" s="7" t="n"/>
      <c r="V1071" s="14" t="n"/>
      <c r="Z1071">
        <f>IF($B1071="","",IF(COUNTIF($B$2:$B1071,$B1071)=1,1,0))</f>
        <v/>
      </c>
      <c r="AA1071">
        <f>IF($Z1071=1,SUMPRODUCT(--($AC$2:$AC$3001&lt;$AC1071))+1,"")</f>
        <v/>
      </c>
      <c r="AB1071">
        <f>IF($B1071="","",IF(OR($Y1071=TRUE(),$Y1071="TRUE"),1,IF(AND($Y1071&lt;&gt;"",OR($Y1071=FALSE(),$Y1071="FALSE")),0,IF(MIN(ABS($X1071/100-Settings!$C$6),ABS($X1071/100-Settings!$G$6))&lt;=MIN(ABS($X1071/100-Settings!$C$7),ABS($X1071/100-Settings!$G$7)),1,0))))</f>
        <v/>
      </c>
      <c r="AC1071">
        <f>IF($Z1071=1,IFERROR(IF(VALUE($B1071)&lt;100000000,VALUE($B1071),1000000000),IFERROR(IF(VALUE(MID($B1071,2,20))&lt;100000000,VALUE(MID($B1071,2,20)),1000000000),1000000000))+ROW()/100000,"")</f>
        <v/>
      </c>
    </row>
    <row r="1072">
      <c r="A1072">
        <f>IF($B1072="","",IFERROR(IF(INDEX('Per Invoice'!$A$2:$A$801,MATCH($B1072,'Per Invoice'!$B$2:$B$801,0))=0,"",INDEX('Per Invoice'!$A$2:$A$801,MATCH($B1072,'Per Invoice'!$B$2:$B$801,0))),""))</f>
        <v/>
      </c>
      <c r="J1072" s="7">
        <f>IF($B1072="","",I1072*Q1072/100)</f>
        <v/>
      </c>
      <c r="N1072" s="7" t="n"/>
      <c r="O1072" s="7" t="n"/>
      <c r="P1072" s="7">
        <f>IF($B1072="","",O1072*X1072/100)</f>
        <v/>
      </c>
      <c r="Q1072" s="7">
        <f>IF($B1072="","",O1072-P1072)</f>
        <v/>
      </c>
      <c r="R1072" s="7">
        <f>IF($B1072="","",Q1072-J1072)</f>
        <v/>
      </c>
      <c r="S1072" s="7" t="n"/>
      <c r="T1072" s="7" t="n"/>
      <c r="V1072" s="14" t="n"/>
      <c r="Z1072">
        <f>IF($B1072="","",IF(COUNTIF($B$2:$B1072,$B1072)=1,1,0))</f>
        <v/>
      </c>
      <c r="AA1072">
        <f>IF($Z1072=1,SUMPRODUCT(--($AC$2:$AC$3001&lt;$AC1072))+1,"")</f>
        <v/>
      </c>
      <c r="AB1072">
        <f>IF($B1072="","",IF(OR($Y1072=TRUE(),$Y1072="TRUE"),1,IF(AND($Y1072&lt;&gt;"",OR($Y1072=FALSE(),$Y1072="FALSE")),0,IF(MIN(ABS($X1072/100-Settings!$C$6),ABS($X1072/100-Settings!$G$6))&lt;=MIN(ABS($X1072/100-Settings!$C$7),ABS($X1072/100-Settings!$G$7)),1,0))))</f>
        <v/>
      </c>
      <c r="AC1072">
        <f>IF($Z1072=1,IFERROR(IF(VALUE($B1072)&lt;100000000,VALUE($B1072),1000000000),IFERROR(IF(VALUE(MID($B1072,2,20))&lt;100000000,VALUE(MID($B1072,2,20)),1000000000),1000000000))+ROW()/100000,"")</f>
        <v/>
      </c>
    </row>
    <row r="1073">
      <c r="A1073">
        <f>IF($B1073="","",IFERROR(IF(INDEX('Per Invoice'!$A$2:$A$801,MATCH($B1073,'Per Invoice'!$B$2:$B$801,0))=0,"",INDEX('Per Invoice'!$A$2:$A$801,MATCH($B1073,'Per Invoice'!$B$2:$B$801,0))),""))</f>
        <v/>
      </c>
      <c r="J1073" s="7">
        <f>IF($B1073="","",I1073*Q1073/100)</f>
        <v/>
      </c>
      <c r="N1073" s="7" t="n"/>
      <c r="O1073" s="7" t="n"/>
      <c r="P1073" s="7">
        <f>IF($B1073="","",O1073*X1073/100)</f>
        <v/>
      </c>
      <c r="Q1073" s="7">
        <f>IF($B1073="","",O1073-P1073)</f>
        <v/>
      </c>
      <c r="R1073" s="7">
        <f>IF($B1073="","",Q1073-J1073)</f>
        <v/>
      </c>
      <c r="S1073" s="7" t="n"/>
      <c r="T1073" s="7" t="n"/>
      <c r="V1073" s="14" t="n"/>
      <c r="Z1073">
        <f>IF($B1073="","",IF(COUNTIF($B$2:$B1073,$B1073)=1,1,0))</f>
        <v/>
      </c>
      <c r="AA1073">
        <f>IF($Z1073=1,SUMPRODUCT(--($AC$2:$AC$3001&lt;$AC1073))+1,"")</f>
        <v/>
      </c>
      <c r="AB1073">
        <f>IF($B1073="","",IF(OR($Y1073=TRUE(),$Y1073="TRUE"),1,IF(AND($Y1073&lt;&gt;"",OR($Y1073=FALSE(),$Y1073="FALSE")),0,IF(MIN(ABS($X1073/100-Settings!$C$6),ABS($X1073/100-Settings!$G$6))&lt;=MIN(ABS($X1073/100-Settings!$C$7),ABS($X1073/100-Settings!$G$7)),1,0))))</f>
        <v/>
      </c>
      <c r="AC1073">
        <f>IF($Z1073=1,IFERROR(IF(VALUE($B1073)&lt;100000000,VALUE($B1073),1000000000),IFERROR(IF(VALUE(MID($B1073,2,20))&lt;100000000,VALUE(MID($B1073,2,20)),1000000000),1000000000))+ROW()/100000,"")</f>
        <v/>
      </c>
    </row>
    <row r="1074">
      <c r="A1074">
        <f>IF($B1074="","",IFERROR(IF(INDEX('Per Invoice'!$A$2:$A$801,MATCH($B1074,'Per Invoice'!$B$2:$B$801,0))=0,"",INDEX('Per Invoice'!$A$2:$A$801,MATCH($B1074,'Per Invoice'!$B$2:$B$801,0))),""))</f>
        <v/>
      </c>
      <c r="J1074" s="7">
        <f>IF($B1074="","",I1074*Q1074/100)</f>
        <v/>
      </c>
      <c r="N1074" s="7" t="n"/>
      <c r="O1074" s="7" t="n"/>
      <c r="P1074" s="7">
        <f>IF($B1074="","",O1074*X1074/100)</f>
        <v/>
      </c>
      <c r="Q1074" s="7">
        <f>IF($B1074="","",O1074-P1074)</f>
        <v/>
      </c>
      <c r="R1074" s="7">
        <f>IF($B1074="","",Q1074-J1074)</f>
        <v/>
      </c>
      <c r="S1074" s="7" t="n"/>
      <c r="T1074" s="7" t="n"/>
      <c r="V1074" s="14" t="n"/>
      <c r="Z1074">
        <f>IF($B1074="","",IF(COUNTIF($B$2:$B1074,$B1074)=1,1,0))</f>
        <v/>
      </c>
      <c r="AA1074">
        <f>IF($Z1074=1,SUMPRODUCT(--($AC$2:$AC$3001&lt;$AC1074))+1,"")</f>
        <v/>
      </c>
      <c r="AB1074">
        <f>IF($B1074="","",IF(OR($Y1074=TRUE(),$Y1074="TRUE"),1,IF(AND($Y1074&lt;&gt;"",OR($Y1074=FALSE(),$Y1074="FALSE")),0,IF(MIN(ABS($X1074/100-Settings!$C$6),ABS($X1074/100-Settings!$G$6))&lt;=MIN(ABS($X1074/100-Settings!$C$7),ABS($X1074/100-Settings!$G$7)),1,0))))</f>
        <v/>
      </c>
      <c r="AC1074">
        <f>IF($Z1074=1,IFERROR(IF(VALUE($B1074)&lt;100000000,VALUE($B1074),1000000000),IFERROR(IF(VALUE(MID($B1074,2,20))&lt;100000000,VALUE(MID($B1074,2,20)),1000000000),1000000000))+ROW()/100000,"")</f>
        <v/>
      </c>
    </row>
    <row r="1075">
      <c r="A1075">
        <f>IF($B1075="","",IFERROR(IF(INDEX('Per Invoice'!$A$2:$A$801,MATCH($B1075,'Per Invoice'!$B$2:$B$801,0))=0,"",INDEX('Per Invoice'!$A$2:$A$801,MATCH($B1075,'Per Invoice'!$B$2:$B$801,0))),""))</f>
        <v/>
      </c>
      <c r="J1075" s="7">
        <f>IF($B1075="","",I1075*Q1075/100)</f>
        <v/>
      </c>
      <c r="N1075" s="7" t="n"/>
      <c r="O1075" s="7" t="n"/>
      <c r="P1075" s="7">
        <f>IF($B1075="","",O1075*X1075/100)</f>
        <v/>
      </c>
      <c r="Q1075" s="7">
        <f>IF($B1075="","",O1075-P1075)</f>
        <v/>
      </c>
      <c r="R1075" s="7">
        <f>IF($B1075="","",Q1075-J1075)</f>
        <v/>
      </c>
      <c r="S1075" s="7" t="n"/>
      <c r="T1075" s="7" t="n"/>
      <c r="V1075" s="14" t="n"/>
      <c r="Z1075">
        <f>IF($B1075="","",IF(COUNTIF($B$2:$B1075,$B1075)=1,1,0))</f>
        <v/>
      </c>
      <c r="AA1075">
        <f>IF($Z1075=1,SUMPRODUCT(--($AC$2:$AC$3001&lt;$AC1075))+1,"")</f>
        <v/>
      </c>
      <c r="AB1075">
        <f>IF($B1075="","",IF(OR($Y1075=TRUE(),$Y1075="TRUE"),1,IF(AND($Y1075&lt;&gt;"",OR($Y1075=FALSE(),$Y1075="FALSE")),0,IF(MIN(ABS($X1075/100-Settings!$C$6),ABS($X1075/100-Settings!$G$6))&lt;=MIN(ABS($X1075/100-Settings!$C$7),ABS($X1075/100-Settings!$G$7)),1,0))))</f>
        <v/>
      </c>
      <c r="AC1075">
        <f>IF($Z1075=1,IFERROR(IF(VALUE($B1075)&lt;100000000,VALUE($B1075),1000000000),IFERROR(IF(VALUE(MID($B1075,2,20))&lt;100000000,VALUE(MID($B1075,2,20)),1000000000),1000000000))+ROW()/100000,"")</f>
        <v/>
      </c>
    </row>
    <row r="1076">
      <c r="A1076">
        <f>IF($B1076="","",IFERROR(IF(INDEX('Per Invoice'!$A$2:$A$801,MATCH($B1076,'Per Invoice'!$B$2:$B$801,0))=0,"",INDEX('Per Invoice'!$A$2:$A$801,MATCH($B1076,'Per Invoice'!$B$2:$B$801,0))),""))</f>
        <v/>
      </c>
      <c r="J1076" s="7">
        <f>IF($B1076="","",I1076*Q1076/100)</f>
        <v/>
      </c>
      <c r="N1076" s="7" t="n"/>
      <c r="O1076" s="7" t="n"/>
      <c r="P1076" s="7">
        <f>IF($B1076="","",O1076*X1076/100)</f>
        <v/>
      </c>
      <c r="Q1076" s="7">
        <f>IF($B1076="","",O1076-P1076)</f>
        <v/>
      </c>
      <c r="R1076" s="7">
        <f>IF($B1076="","",Q1076-J1076)</f>
        <v/>
      </c>
      <c r="S1076" s="7" t="n"/>
      <c r="T1076" s="7" t="n"/>
      <c r="V1076" s="14" t="n"/>
      <c r="Z1076">
        <f>IF($B1076="","",IF(COUNTIF($B$2:$B1076,$B1076)=1,1,0))</f>
        <v/>
      </c>
      <c r="AA1076">
        <f>IF($Z1076=1,SUMPRODUCT(--($AC$2:$AC$3001&lt;$AC1076))+1,"")</f>
        <v/>
      </c>
      <c r="AB1076">
        <f>IF($B1076="","",IF(OR($Y1076=TRUE(),$Y1076="TRUE"),1,IF(AND($Y1076&lt;&gt;"",OR($Y1076=FALSE(),$Y1076="FALSE")),0,IF(MIN(ABS($X1076/100-Settings!$C$6),ABS($X1076/100-Settings!$G$6))&lt;=MIN(ABS($X1076/100-Settings!$C$7),ABS($X1076/100-Settings!$G$7)),1,0))))</f>
        <v/>
      </c>
      <c r="AC1076">
        <f>IF($Z1076=1,IFERROR(IF(VALUE($B1076)&lt;100000000,VALUE($B1076),1000000000),IFERROR(IF(VALUE(MID($B1076,2,20))&lt;100000000,VALUE(MID($B1076,2,20)),1000000000),1000000000))+ROW()/100000,"")</f>
        <v/>
      </c>
    </row>
    <row r="1077">
      <c r="A1077">
        <f>IF($B1077="","",IFERROR(IF(INDEX('Per Invoice'!$A$2:$A$801,MATCH($B1077,'Per Invoice'!$B$2:$B$801,0))=0,"",INDEX('Per Invoice'!$A$2:$A$801,MATCH($B1077,'Per Invoice'!$B$2:$B$801,0))),""))</f>
        <v/>
      </c>
      <c r="J1077" s="7">
        <f>IF($B1077="","",I1077*Q1077/100)</f>
        <v/>
      </c>
      <c r="N1077" s="7" t="n"/>
      <c r="O1077" s="7" t="n"/>
      <c r="P1077" s="7">
        <f>IF($B1077="","",O1077*X1077/100)</f>
        <v/>
      </c>
      <c r="Q1077" s="7">
        <f>IF($B1077="","",O1077-P1077)</f>
        <v/>
      </c>
      <c r="R1077" s="7">
        <f>IF($B1077="","",Q1077-J1077)</f>
        <v/>
      </c>
      <c r="S1077" s="7" t="n"/>
      <c r="T1077" s="7" t="n"/>
      <c r="V1077" s="14" t="n"/>
      <c r="Z1077">
        <f>IF($B1077="","",IF(COUNTIF($B$2:$B1077,$B1077)=1,1,0))</f>
        <v/>
      </c>
      <c r="AA1077">
        <f>IF($Z1077=1,SUMPRODUCT(--($AC$2:$AC$3001&lt;$AC1077))+1,"")</f>
        <v/>
      </c>
      <c r="AB1077">
        <f>IF($B1077="","",IF(OR($Y1077=TRUE(),$Y1077="TRUE"),1,IF(AND($Y1077&lt;&gt;"",OR($Y1077=FALSE(),$Y1077="FALSE")),0,IF(MIN(ABS($X1077/100-Settings!$C$6),ABS($X1077/100-Settings!$G$6))&lt;=MIN(ABS($X1077/100-Settings!$C$7),ABS($X1077/100-Settings!$G$7)),1,0))))</f>
        <v/>
      </c>
      <c r="AC1077">
        <f>IF($Z1077=1,IFERROR(IF(VALUE($B1077)&lt;100000000,VALUE($B1077),1000000000),IFERROR(IF(VALUE(MID($B1077,2,20))&lt;100000000,VALUE(MID($B1077,2,20)),1000000000),1000000000))+ROW()/100000,"")</f>
        <v/>
      </c>
    </row>
    <row r="1078">
      <c r="A1078">
        <f>IF($B1078="","",IFERROR(IF(INDEX('Per Invoice'!$A$2:$A$801,MATCH($B1078,'Per Invoice'!$B$2:$B$801,0))=0,"",INDEX('Per Invoice'!$A$2:$A$801,MATCH($B1078,'Per Invoice'!$B$2:$B$801,0))),""))</f>
        <v/>
      </c>
      <c r="J1078" s="7">
        <f>IF($B1078="","",I1078*Q1078/100)</f>
        <v/>
      </c>
      <c r="N1078" s="7" t="n"/>
      <c r="O1078" s="7" t="n"/>
      <c r="P1078" s="7">
        <f>IF($B1078="","",O1078*X1078/100)</f>
        <v/>
      </c>
      <c r="Q1078" s="7">
        <f>IF($B1078="","",O1078-P1078)</f>
        <v/>
      </c>
      <c r="R1078" s="7">
        <f>IF($B1078="","",Q1078-J1078)</f>
        <v/>
      </c>
      <c r="S1078" s="7" t="n"/>
      <c r="T1078" s="7" t="n"/>
      <c r="V1078" s="14" t="n"/>
      <c r="Z1078">
        <f>IF($B1078="","",IF(COUNTIF($B$2:$B1078,$B1078)=1,1,0))</f>
        <v/>
      </c>
      <c r="AA1078">
        <f>IF($Z1078=1,SUMPRODUCT(--($AC$2:$AC$3001&lt;$AC1078))+1,"")</f>
        <v/>
      </c>
      <c r="AB1078">
        <f>IF($B1078="","",IF(OR($Y1078=TRUE(),$Y1078="TRUE"),1,IF(AND($Y1078&lt;&gt;"",OR($Y1078=FALSE(),$Y1078="FALSE")),0,IF(MIN(ABS($X1078/100-Settings!$C$6),ABS($X1078/100-Settings!$G$6))&lt;=MIN(ABS($X1078/100-Settings!$C$7),ABS($X1078/100-Settings!$G$7)),1,0))))</f>
        <v/>
      </c>
      <c r="AC1078">
        <f>IF($Z1078=1,IFERROR(IF(VALUE($B1078)&lt;100000000,VALUE($B1078),1000000000),IFERROR(IF(VALUE(MID($B1078,2,20))&lt;100000000,VALUE(MID($B1078,2,20)),1000000000),1000000000))+ROW()/100000,"")</f>
        <v/>
      </c>
    </row>
    <row r="1079">
      <c r="A1079">
        <f>IF($B1079="","",IFERROR(IF(INDEX('Per Invoice'!$A$2:$A$801,MATCH($B1079,'Per Invoice'!$B$2:$B$801,0))=0,"",INDEX('Per Invoice'!$A$2:$A$801,MATCH($B1079,'Per Invoice'!$B$2:$B$801,0))),""))</f>
        <v/>
      </c>
      <c r="J1079" s="7">
        <f>IF($B1079="","",I1079*Q1079/100)</f>
        <v/>
      </c>
      <c r="N1079" s="7" t="n"/>
      <c r="O1079" s="7" t="n"/>
      <c r="P1079" s="7">
        <f>IF($B1079="","",O1079*X1079/100)</f>
        <v/>
      </c>
      <c r="Q1079" s="7">
        <f>IF($B1079="","",O1079-P1079)</f>
        <v/>
      </c>
      <c r="R1079" s="7">
        <f>IF($B1079="","",Q1079-J1079)</f>
        <v/>
      </c>
      <c r="S1079" s="7" t="n"/>
      <c r="T1079" s="7" t="n"/>
      <c r="V1079" s="14" t="n"/>
      <c r="Z1079">
        <f>IF($B1079="","",IF(COUNTIF($B$2:$B1079,$B1079)=1,1,0))</f>
        <v/>
      </c>
      <c r="AA1079">
        <f>IF($Z1079=1,SUMPRODUCT(--($AC$2:$AC$3001&lt;$AC1079))+1,"")</f>
        <v/>
      </c>
      <c r="AB1079">
        <f>IF($B1079="","",IF(OR($Y1079=TRUE(),$Y1079="TRUE"),1,IF(AND($Y1079&lt;&gt;"",OR($Y1079=FALSE(),$Y1079="FALSE")),0,IF(MIN(ABS($X1079/100-Settings!$C$6),ABS($X1079/100-Settings!$G$6))&lt;=MIN(ABS($X1079/100-Settings!$C$7),ABS($X1079/100-Settings!$G$7)),1,0))))</f>
        <v/>
      </c>
      <c r="AC1079">
        <f>IF($Z1079=1,IFERROR(IF(VALUE($B1079)&lt;100000000,VALUE($B1079),1000000000),IFERROR(IF(VALUE(MID($B1079,2,20))&lt;100000000,VALUE(MID($B1079,2,20)),1000000000),1000000000))+ROW()/100000,"")</f>
        <v/>
      </c>
    </row>
    <row r="1080">
      <c r="A1080">
        <f>IF($B1080="","",IFERROR(IF(INDEX('Per Invoice'!$A$2:$A$801,MATCH($B1080,'Per Invoice'!$B$2:$B$801,0))=0,"",INDEX('Per Invoice'!$A$2:$A$801,MATCH($B1080,'Per Invoice'!$B$2:$B$801,0))),""))</f>
        <v/>
      </c>
      <c r="J1080" s="7">
        <f>IF($B1080="","",I1080*Q1080/100)</f>
        <v/>
      </c>
      <c r="N1080" s="7" t="n"/>
      <c r="O1080" s="7" t="n"/>
      <c r="P1080" s="7">
        <f>IF($B1080="","",O1080*X1080/100)</f>
        <v/>
      </c>
      <c r="Q1080" s="7">
        <f>IF($B1080="","",O1080-P1080)</f>
        <v/>
      </c>
      <c r="R1080" s="7">
        <f>IF($B1080="","",Q1080-J1080)</f>
        <v/>
      </c>
      <c r="S1080" s="7" t="n"/>
      <c r="T1080" s="7" t="n"/>
      <c r="V1080" s="14" t="n"/>
      <c r="Z1080">
        <f>IF($B1080="","",IF(COUNTIF($B$2:$B1080,$B1080)=1,1,0))</f>
        <v/>
      </c>
      <c r="AA1080">
        <f>IF($Z1080=1,SUMPRODUCT(--($AC$2:$AC$3001&lt;$AC1080))+1,"")</f>
        <v/>
      </c>
      <c r="AB1080">
        <f>IF($B1080="","",IF(OR($Y1080=TRUE(),$Y1080="TRUE"),1,IF(AND($Y1080&lt;&gt;"",OR($Y1080=FALSE(),$Y1080="FALSE")),0,IF(MIN(ABS($X1080/100-Settings!$C$6),ABS($X1080/100-Settings!$G$6))&lt;=MIN(ABS($X1080/100-Settings!$C$7),ABS($X1080/100-Settings!$G$7)),1,0))))</f>
        <v/>
      </c>
      <c r="AC1080">
        <f>IF($Z1080=1,IFERROR(IF(VALUE($B1080)&lt;100000000,VALUE($B1080),1000000000),IFERROR(IF(VALUE(MID($B1080,2,20))&lt;100000000,VALUE(MID($B1080,2,20)),1000000000),1000000000))+ROW()/100000,"")</f>
        <v/>
      </c>
    </row>
    <row r="1081">
      <c r="A1081">
        <f>IF($B1081="","",IFERROR(IF(INDEX('Per Invoice'!$A$2:$A$801,MATCH($B1081,'Per Invoice'!$B$2:$B$801,0))=0,"",INDEX('Per Invoice'!$A$2:$A$801,MATCH($B1081,'Per Invoice'!$B$2:$B$801,0))),""))</f>
        <v/>
      </c>
      <c r="J1081" s="7">
        <f>IF($B1081="","",I1081*Q1081/100)</f>
        <v/>
      </c>
      <c r="N1081" s="7" t="n"/>
      <c r="O1081" s="7" t="n"/>
      <c r="P1081" s="7">
        <f>IF($B1081="","",O1081*X1081/100)</f>
        <v/>
      </c>
      <c r="Q1081" s="7">
        <f>IF($B1081="","",O1081-P1081)</f>
        <v/>
      </c>
      <c r="R1081" s="7">
        <f>IF($B1081="","",Q1081-J1081)</f>
        <v/>
      </c>
      <c r="S1081" s="7" t="n"/>
      <c r="T1081" s="7" t="n"/>
      <c r="V1081" s="14" t="n"/>
      <c r="Z1081">
        <f>IF($B1081="","",IF(COUNTIF($B$2:$B1081,$B1081)=1,1,0))</f>
        <v/>
      </c>
      <c r="AA1081">
        <f>IF($Z1081=1,SUMPRODUCT(--($AC$2:$AC$3001&lt;$AC1081))+1,"")</f>
        <v/>
      </c>
      <c r="AB1081">
        <f>IF($B1081="","",IF(OR($Y1081=TRUE(),$Y1081="TRUE"),1,IF(AND($Y1081&lt;&gt;"",OR($Y1081=FALSE(),$Y1081="FALSE")),0,IF(MIN(ABS($X1081/100-Settings!$C$6),ABS($X1081/100-Settings!$G$6))&lt;=MIN(ABS($X1081/100-Settings!$C$7),ABS($X1081/100-Settings!$G$7)),1,0))))</f>
        <v/>
      </c>
      <c r="AC1081">
        <f>IF($Z1081=1,IFERROR(IF(VALUE($B1081)&lt;100000000,VALUE($B1081),1000000000),IFERROR(IF(VALUE(MID($B1081,2,20))&lt;100000000,VALUE(MID($B1081,2,20)),1000000000),1000000000))+ROW()/100000,"")</f>
        <v/>
      </c>
    </row>
    <row r="1082">
      <c r="A1082">
        <f>IF($B1082="","",IFERROR(IF(INDEX('Per Invoice'!$A$2:$A$801,MATCH($B1082,'Per Invoice'!$B$2:$B$801,0))=0,"",INDEX('Per Invoice'!$A$2:$A$801,MATCH($B1082,'Per Invoice'!$B$2:$B$801,0))),""))</f>
        <v/>
      </c>
      <c r="J1082" s="7">
        <f>IF($B1082="","",I1082*Q1082/100)</f>
        <v/>
      </c>
      <c r="N1082" s="7" t="n"/>
      <c r="O1082" s="7" t="n"/>
      <c r="P1082" s="7">
        <f>IF($B1082="","",O1082*X1082/100)</f>
        <v/>
      </c>
      <c r="Q1082" s="7">
        <f>IF($B1082="","",O1082-P1082)</f>
        <v/>
      </c>
      <c r="R1082" s="7">
        <f>IF($B1082="","",Q1082-J1082)</f>
        <v/>
      </c>
      <c r="S1082" s="7" t="n"/>
      <c r="T1082" s="7" t="n"/>
      <c r="V1082" s="14" t="n"/>
      <c r="Z1082">
        <f>IF($B1082="","",IF(COUNTIF($B$2:$B1082,$B1082)=1,1,0))</f>
        <v/>
      </c>
      <c r="AA1082">
        <f>IF($Z1082=1,SUMPRODUCT(--($AC$2:$AC$3001&lt;$AC1082))+1,"")</f>
        <v/>
      </c>
      <c r="AB1082">
        <f>IF($B1082="","",IF(OR($Y1082=TRUE(),$Y1082="TRUE"),1,IF(AND($Y1082&lt;&gt;"",OR($Y1082=FALSE(),$Y1082="FALSE")),0,IF(MIN(ABS($X1082/100-Settings!$C$6),ABS($X1082/100-Settings!$G$6))&lt;=MIN(ABS($X1082/100-Settings!$C$7),ABS($X1082/100-Settings!$G$7)),1,0))))</f>
        <v/>
      </c>
      <c r="AC1082">
        <f>IF($Z1082=1,IFERROR(IF(VALUE($B1082)&lt;100000000,VALUE($B1082),1000000000),IFERROR(IF(VALUE(MID($B1082,2,20))&lt;100000000,VALUE(MID($B1082,2,20)),1000000000),1000000000))+ROW()/100000,"")</f>
        <v/>
      </c>
    </row>
    <row r="1083">
      <c r="A1083">
        <f>IF($B1083="","",IFERROR(IF(INDEX('Per Invoice'!$A$2:$A$801,MATCH($B1083,'Per Invoice'!$B$2:$B$801,0))=0,"",INDEX('Per Invoice'!$A$2:$A$801,MATCH($B1083,'Per Invoice'!$B$2:$B$801,0))),""))</f>
        <v/>
      </c>
      <c r="J1083" s="7">
        <f>IF($B1083="","",I1083*Q1083/100)</f>
        <v/>
      </c>
      <c r="N1083" s="7" t="n"/>
      <c r="O1083" s="7" t="n"/>
      <c r="P1083" s="7">
        <f>IF($B1083="","",O1083*X1083/100)</f>
        <v/>
      </c>
      <c r="Q1083" s="7">
        <f>IF($B1083="","",O1083-P1083)</f>
        <v/>
      </c>
      <c r="R1083" s="7">
        <f>IF($B1083="","",Q1083-J1083)</f>
        <v/>
      </c>
      <c r="S1083" s="7" t="n"/>
      <c r="T1083" s="7" t="n"/>
      <c r="V1083" s="14" t="n"/>
      <c r="Z1083">
        <f>IF($B1083="","",IF(COUNTIF($B$2:$B1083,$B1083)=1,1,0))</f>
        <v/>
      </c>
      <c r="AA1083">
        <f>IF($Z1083=1,SUMPRODUCT(--($AC$2:$AC$3001&lt;$AC1083))+1,"")</f>
        <v/>
      </c>
      <c r="AB1083">
        <f>IF($B1083="","",IF(OR($Y1083=TRUE(),$Y1083="TRUE"),1,IF(AND($Y1083&lt;&gt;"",OR($Y1083=FALSE(),$Y1083="FALSE")),0,IF(MIN(ABS($X1083/100-Settings!$C$6),ABS($X1083/100-Settings!$G$6))&lt;=MIN(ABS($X1083/100-Settings!$C$7),ABS($X1083/100-Settings!$G$7)),1,0))))</f>
        <v/>
      </c>
      <c r="AC1083">
        <f>IF($Z1083=1,IFERROR(IF(VALUE($B1083)&lt;100000000,VALUE($B1083),1000000000),IFERROR(IF(VALUE(MID($B1083,2,20))&lt;100000000,VALUE(MID($B1083,2,20)),1000000000),1000000000))+ROW()/100000,"")</f>
        <v/>
      </c>
    </row>
    <row r="1084">
      <c r="A1084">
        <f>IF($B1084="","",IFERROR(IF(INDEX('Per Invoice'!$A$2:$A$801,MATCH($B1084,'Per Invoice'!$B$2:$B$801,0))=0,"",INDEX('Per Invoice'!$A$2:$A$801,MATCH($B1084,'Per Invoice'!$B$2:$B$801,0))),""))</f>
        <v/>
      </c>
      <c r="J1084" s="7">
        <f>IF($B1084="","",I1084*Q1084/100)</f>
        <v/>
      </c>
      <c r="N1084" s="7" t="n"/>
      <c r="O1084" s="7" t="n"/>
      <c r="P1084" s="7">
        <f>IF($B1084="","",O1084*X1084/100)</f>
        <v/>
      </c>
      <c r="Q1084" s="7">
        <f>IF($B1084="","",O1084-P1084)</f>
        <v/>
      </c>
      <c r="R1084" s="7">
        <f>IF($B1084="","",Q1084-J1084)</f>
        <v/>
      </c>
      <c r="S1084" s="7" t="n"/>
      <c r="T1084" s="7" t="n"/>
      <c r="V1084" s="14" t="n"/>
      <c r="Z1084">
        <f>IF($B1084="","",IF(COUNTIF($B$2:$B1084,$B1084)=1,1,0))</f>
        <v/>
      </c>
      <c r="AA1084">
        <f>IF($Z1084=1,SUMPRODUCT(--($AC$2:$AC$3001&lt;$AC1084))+1,"")</f>
        <v/>
      </c>
      <c r="AB1084">
        <f>IF($B1084="","",IF(OR($Y1084=TRUE(),$Y1084="TRUE"),1,IF(AND($Y1084&lt;&gt;"",OR($Y1084=FALSE(),$Y1084="FALSE")),0,IF(MIN(ABS($X1084/100-Settings!$C$6),ABS($X1084/100-Settings!$G$6))&lt;=MIN(ABS($X1084/100-Settings!$C$7),ABS($X1084/100-Settings!$G$7)),1,0))))</f>
        <v/>
      </c>
      <c r="AC1084">
        <f>IF($Z1084=1,IFERROR(IF(VALUE($B1084)&lt;100000000,VALUE($B1084),1000000000),IFERROR(IF(VALUE(MID($B1084,2,20))&lt;100000000,VALUE(MID($B1084,2,20)),1000000000),1000000000))+ROW()/100000,"")</f>
        <v/>
      </c>
    </row>
    <row r="1085">
      <c r="A1085">
        <f>IF($B1085="","",IFERROR(IF(INDEX('Per Invoice'!$A$2:$A$801,MATCH($B1085,'Per Invoice'!$B$2:$B$801,0))=0,"",INDEX('Per Invoice'!$A$2:$A$801,MATCH($B1085,'Per Invoice'!$B$2:$B$801,0))),""))</f>
        <v/>
      </c>
      <c r="J1085" s="7">
        <f>IF($B1085="","",I1085*Q1085/100)</f>
        <v/>
      </c>
      <c r="N1085" s="7" t="n"/>
      <c r="O1085" s="7" t="n"/>
      <c r="P1085" s="7">
        <f>IF($B1085="","",O1085*X1085/100)</f>
        <v/>
      </c>
      <c r="Q1085" s="7">
        <f>IF($B1085="","",O1085-P1085)</f>
        <v/>
      </c>
      <c r="R1085" s="7">
        <f>IF($B1085="","",Q1085-J1085)</f>
        <v/>
      </c>
      <c r="S1085" s="7" t="n"/>
      <c r="T1085" s="7" t="n"/>
      <c r="V1085" s="14" t="n"/>
      <c r="Z1085">
        <f>IF($B1085="","",IF(COUNTIF($B$2:$B1085,$B1085)=1,1,0))</f>
        <v/>
      </c>
      <c r="AA1085">
        <f>IF($Z1085=1,SUMPRODUCT(--($AC$2:$AC$3001&lt;$AC1085))+1,"")</f>
        <v/>
      </c>
      <c r="AB1085">
        <f>IF($B1085="","",IF(OR($Y1085=TRUE(),$Y1085="TRUE"),1,IF(AND($Y1085&lt;&gt;"",OR($Y1085=FALSE(),$Y1085="FALSE")),0,IF(MIN(ABS($X1085/100-Settings!$C$6),ABS($X1085/100-Settings!$G$6))&lt;=MIN(ABS($X1085/100-Settings!$C$7),ABS($X1085/100-Settings!$G$7)),1,0))))</f>
        <v/>
      </c>
      <c r="AC1085">
        <f>IF($Z1085=1,IFERROR(IF(VALUE($B1085)&lt;100000000,VALUE($B1085),1000000000),IFERROR(IF(VALUE(MID($B1085,2,20))&lt;100000000,VALUE(MID($B1085,2,20)),1000000000),1000000000))+ROW()/100000,"")</f>
        <v/>
      </c>
    </row>
    <row r="1086">
      <c r="A1086">
        <f>IF($B1086="","",IFERROR(IF(INDEX('Per Invoice'!$A$2:$A$801,MATCH($B1086,'Per Invoice'!$B$2:$B$801,0))=0,"",INDEX('Per Invoice'!$A$2:$A$801,MATCH($B1086,'Per Invoice'!$B$2:$B$801,0))),""))</f>
        <v/>
      </c>
      <c r="J1086" s="7">
        <f>IF($B1086="","",I1086*Q1086/100)</f>
        <v/>
      </c>
      <c r="N1086" s="7" t="n"/>
      <c r="O1086" s="7" t="n"/>
      <c r="P1086" s="7">
        <f>IF($B1086="","",O1086*X1086/100)</f>
        <v/>
      </c>
      <c r="Q1086" s="7">
        <f>IF($B1086="","",O1086-P1086)</f>
        <v/>
      </c>
      <c r="R1086" s="7">
        <f>IF($B1086="","",Q1086-J1086)</f>
        <v/>
      </c>
      <c r="S1086" s="7" t="n"/>
      <c r="T1086" s="7" t="n"/>
      <c r="V1086" s="14" t="n"/>
      <c r="Z1086">
        <f>IF($B1086="","",IF(COUNTIF($B$2:$B1086,$B1086)=1,1,0))</f>
        <v/>
      </c>
      <c r="AA1086">
        <f>IF($Z1086=1,SUMPRODUCT(--($AC$2:$AC$3001&lt;$AC1086))+1,"")</f>
        <v/>
      </c>
      <c r="AB1086">
        <f>IF($B1086="","",IF(OR($Y1086=TRUE(),$Y1086="TRUE"),1,IF(AND($Y1086&lt;&gt;"",OR($Y1086=FALSE(),$Y1086="FALSE")),0,IF(MIN(ABS($X1086/100-Settings!$C$6),ABS($X1086/100-Settings!$G$6))&lt;=MIN(ABS($X1086/100-Settings!$C$7),ABS($X1086/100-Settings!$G$7)),1,0))))</f>
        <v/>
      </c>
      <c r="AC1086">
        <f>IF($Z1086=1,IFERROR(IF(VALUE($B1086)&lt;100000000,VALUE($B1086),1000000000),IFERROR(IF(VALUE(MID($B1086,2,20))&lt;100000000,VALUE(MID($B1086,2,20)),1000000000),1000000000))+ROW()/100000,"")</f>
        <v/>
      </c>
    </row>
    <row r="1087">
      <c r="A1087">
        <f>IF($B1087="","",IFERROR(IF(INDEX('Per Invoice'!$A$2:$A$801,MATCH($B1087,'Per Invoice'!$B$2:$B$801,0))=0,"",INDEX('Per Invoice'!$A$2:$A$801,MATCH($B1087,'Per Invoice'!$B$2:$B$801,0))),""))</f>
        <v/>
      </c>
      <c r="J1087" s="7">
        <f>IF($B1087="","",I1087*Q1087/100)</f>
        <v/>
      </c>
      <c r="N1087" s="7" t="n"/>
      <c r="O1087" s="7" t="n"/>
      <c r="P1087" s="7">
        <f>IF($B1087="","",O1087*X1087/100)</f>
        <v/>
      </c>
      <c r="Q1087" s="7">
        <f>IF($B1087="","",O1087-P1087)</f>
        <v/>
      </c>
      <c r="R1087" s="7">
        <f>IF($B1087="","",Q1087-J1087)</f>
        <v/>
      </c>
      <c r="S1087" s="7" t="n"/>
      <c r="T1087" s="7" t="n"/>
      <c r="V1087" s="14" t="n"/>
      <c r="Z1087">
        <f>IF($B1087="","",IF(COUNTIF($B$2:$B1087,$B1087)=1,1,0))</f>
        <v/>
      </c>
      <c r="AA1087">
        <f>IF($Z1087=1,SUMPRODUCT(--($AC$2:$AC$3001&lt;$AC1087))+1,"")</f>
        <v/>
      </c>
      <c r="AB1087">
        <f>IF($B1087="","",IF(OR($Y1087=TRUE(),$Y1087="TRUE"),1,IF(AND($Y1087&lt;&gt;"",OR($Y1087=FALSE(),$Y1087="FALSE")),0,IF(MIN(ABS($X1087/100-Settings!$C$6),ABS($X1087/100-Settings!$G$6))&lt;=MIN(ABS($X1087/100-Settings!$C$7),ABS($X1087/100-Settings!$G$7)),1,0))))</f>
        <v/>
      </c>
      <c r="AC1087">
        <f>IF($Z1087=1,IFERROR(IF(VALUE($B1087)&lt;100000000,VALUE($B1087),1000000000),IFERROR(IF(VALUE(MID($B1087,2,20))&lt;100000000,VALUE(MID($B1087,2,20)),1000000000),1000000000))+ROW()/100000,"")</f>
        <v/>
      </c>
    </row>
    <row r="1088">
      <c r="A1088">
        <f>IF($B1088="","",IFERROR(IF(INDEX('Per Invoice'!$A$2:$A$801,MATCH($B1088,'Per Invoice'!$B$2:$B$801,0))=0,"",INDEX('Per Invoice'!$A$2:$A$801,MATCH($B1088,'Per Invoice'!$B$2:$B$801,0))),""))</f>
        <v/>
      </c>
      <c r="J1088" s="7">
        <f>IF($B1088="","",I1088*Q1088/100)</f>
        <v/>
      </c>
      <c r="N1088" s="7" t="n"/>
      <c r="O1088" s="7" t="n"/>
      <c r="P1088" s="7">
        <f>IF($B1088="","",O1088*X1088/100)</f>
        <v/>
      </c>
      <c r="Q1088" s="7">
        <f>IF($B1088="","",O1088-P1088)</f>
        <v/>
      </c>
      <c r="R1088" s="7">
        <f>IF($B1088="","",Q1088-J1088)</f>
        <v/>
      </c>
      <c r="S1088" s="7" t="n"/>
      <c r="T1088" s="7" t="n"/>
      <c r="V1088" s="14" t="n"/>
      <c r="Z1088">
        <f>IF($B1088="","",IF(COUNTIF($B$2:$B1088,$B1088)=1,1,0))</f>
        <v/>
      </c>
      <c r="AA1088">
        <f>IF($Z1088=1,SUMPRODUCT(--($AC$2:$AC$3001&lt;$AC1088))+1,"")</f>
        <v/>
      </c>
      <c r="AB1088">
        <f>IF($B1088="","",IF(OR($Y1088=TRUE(),$Y1088="TRUE"),1,IF(AND($Y1088&lt;&gt;"",OR($Y1088=FALSE(),$Y1088="FALSE")),0,IF(MIN(ABS($X1088/100-Settings!$C$6),ABS($X1088/100-Settings!$G$6))&lt;=MIN(ABS($X1088/100-Settings!$C$7),ABS($X1088/100-Settings!$G$7)),1,0))))</f>
        <v/>
      </c>
      <c r="AC1088">
        <f>IF($Z1088=1,IFERROR(IF(VALUE($B1088)&lt;100000000,VALUE($B1088),1000000000),IFERROR(IF(VALUE(MID($B1088,2,20))&lt;100000000,VALUE(MID($B1088,2,20)),1000000000),1000000000))+ROW()/100000,"")</f>
        <v/>
      </c>
    </row>
    <row r="1089">
      <c r="A1089">
        <f>IF($B1089="","",IFERROR(IF(INDEX('Per Invoice'!$A$2:$A$801,MATCH($B1089,'Per Invoice'!$B$2:$B$801,0))=0,"",INDEX('Per Invoice'!$A$2:$A$801,MATCH($B1089,'Per Invoice'!$B$2:$B$801,0))),""))</f>
        <v/>
      </c>
      <c r="J1089" s="7">
        <f>IF($B1089="","",I1089*Q1089/100)</f>
        <v/>
      </c>
      <c r="N1089" s="7" t="n"/>
      <c r="O1089" s="7" t="n"/>
      <c r="P1089" s="7">
        <f>IF($B1089="","",O1089*X1089/100)</f>
        <v/>
      </c>
      <c r="Q1089" s="7">
        <f>IF($B1089="","",O1089-P1089)</f>
        <v/>
      </c>
      <c r="R1089" s="7">
        <f>IF($B1089="","",Q1089-J1089)</f>
        <v/>
      </c>
      <c r="S1089" s="7" t="n"/>
      <c r="T1089" s="7" t="n"/>
      <c r="V1089" s="14" t="n"/>
      <c r="Z1089">
        <f>IF($B1089="","",IF(COUNTIF($B$2:$B1089,$B1089)=1,1,0))</f>
        <v/>
      </c>
      <c r="AA1089">
        <f>IF($Z1089=1,SUMPRODUCT(--($AC$2:$AC$3001&lt;$AC1089))+1,"")</f>
        <v/>
      </c>
      <c r="AB1089">
        <f>IF($B1089="","",IF(OR($Y1089=TRUE(),$Y1089="TRUE"),1,IF(AND($Y1089&lt;&gt;"",OR($Y1089=FALSE(),$Y1089="FALSE")),0,IF(MIN(ABS($X1089/100-Settings!$C$6),ABS($X1089/100-Settings!$G$6))&lt;=MIN(ABS($X1089/100-Settings!$C$7),ABS($X1089/100-Settings!$G$7)),1,0))))</f>
        <v/>
      </c>
      <c r="AC1089">
        <f>IF($Z1089=1,IFERROR(IF(VALUE($B1089)&lt;100000000,VALUE($B1089),1000000000),IFERROR(IF(VALUE(MID($B1089,2,20))&lt;100000000,VALUE(MID($B1089,2,20)),1000000000),1000000000))+ROW()/100000,"")</f>
        <v/>
      </c>
    </row>
    <row r="1090">
      <c r="A1090">
        <f>IF($B1090="","",IFERROR(IF(INDEX('Per Invoice'!$A$2:$A$801,MATCH($B1090,'Per Invoice'!$B$2:$B$801,0))=0,"",INDEX('Per Invoice'!$A$2:$A$801,MATCH($B1090,'Per Invoice'!$B$2:$B$801,0))),""))</f>
        <v/>
      </c>
      <c r="J1090" s="7">
        <f>IF($B1090="","",I1090*Q1090/100)</f>
        <v/>
      </c>
      <c r="N1090" s="7" t="n"/>
      <c r="O1090" s="7" t="n"/>
      <c r="P1090" s="7">
        <f>IF($B1090="","",O1090*X1090/100)</f>
        <v/>
      </c>
      <c r="Q1090" s="7">
        <f>IF($B1090="","",O1090-P1090)</f>
        <v/>
      </c>
      <c r="R1090" s="7">
        <f>IF($B1090="","",Q1090-J1090)</f>
        <v/>
      </c>
      <c r="S1090" s="7" t="n"/>
      <c r="T1090" s="7" t="n"/>
      <c r="V1090" s="14" t="n"/>
      <c r="Z1090">
        <f>IF($B1090="","",IF(COUNTIF($B$2:$B1090,$B1090)=1,1,0))</f>
        <v/>
      </c>
      <c r="AA1090">
        <f>IF($Z1090=1,SUMPRODUCT(--($AC$2:$AC$3001&lt;$AC1090))+1,"")</f>
        <v/>
      </c>
      <c r="AB1090">
        <f>IF($B1090="","",IF(OR($Y1090=TRUE(),$Y1090="TRUE"),1,IF(AND($Y1090&lt;&gt;"",OR($Y1090=FALSE(),$Y1090="FALSE")),0,IF(MIN(ABS($X1090/100-Settings!$C$6),ABS($X1090/100-Settings!$G$6))&lt;=MIN(ABS($X1090/100-Settings!$C$7),ABS($X1090/100-Settings!$G$7)),1,0))))</f>
        <v/>
      </c>
      <c r="AC1090">
        <f>IF($Z1090=1,IFERROR(IF(VALUE($B1090)&lt;100000000,VALUE($B1090),1000000000),IFERROR(IF(VALUE(MID($B1090,2,20))&lt;100000000,VALUE(MID($B1090,2,20)),1000000000),1000000000))+ROW()/100000,"")</f>
        <v/>
      </c>
    </row>
    <row r="1091">
      <c r="A1091">
        <f>IF($B1091="","",IFERROR(IF(INDEX('Per Invoice'!$A$2:$A$801,MATCH($B1091,'Per Invoice'!$B$2:$B$801,0))=0,"",INDEX('Per Invoice'!$A$2:$A$801,MATCH($B1091,'Per Invoice'!$B$2:$B$801,0))),""))</f>
        <v/>
      </c>
      <c r="J1091" s="7">
        <f>IF($B1091="","",I1091*Q1091/100)</f>
        <v/>
      </c>
      <c r="N1091" s="7" t="n"/>
      <c r="O1091" s="7" t="n"/>
      <c r="P1091" s="7">
        <f>IF($B1091="","",O1091*X1091/100)</f>
        <v/>
      </c>
      <c r="Q1091" s="7">
        <f>IF($B1091="","",O1091-P1091)</f>
        <v/>
      </c>
      <c r="R1091" s="7">
        <f>IF($B1091="","",Q1091-J1091)</f>
        <v/>
      </c>
      <c r="S1091" s="7" t="n"/>
      <c r="T1091" s="7" t="n"/>
      <c r="V1091" s="14" t="n"/>
      <c r="Z1091">
        <f>IF($B1091="","",IF(COUNTIF($B$2:$B1091,$B1091)=1,1,0))</f>
        <v/>
      </c>
      <c r="AA1091">
        <f>IF($Z1091=1,SUMPRODUCT(--($AC$2:$AC$3001&lt;$AC1091))+1,"")</f>
        <v/>
      </c>
      <c r="AB1091">
        <f>IF($B1091="","",IF(OR($Y1091=TRUE(),$Y1091="TRUE"),1,IF(AND($Y1091&lt;&gt;"",OR($Y1091=FALSE(),$Y1091="FALSE")),0,IF(MIN(ABS($X1091/100-Settings!$C$6),ABS($X1091/100-Settings!$G$6))&lt;=MIN(ABS($X1091/100-Settings!$C$7),ABS($X1091/100-Settings!$G$7)),1,0))))</f>
        <v/>
      </c>
      <c r="AC1091">
        <f>IF($Z1091=1,IFERROR(IF(VALUE($B1091)&lt;100000000,VALUE($B1091),1000000000),IFERROR(IF(VALUE(MID($B1091,2,20))&lt;100000000,VALUE(MID($B1091,2,20)),1000000000),1000000000))+ROW()/100000,"")</f>
        <v/>
      </c>
    </row>
    <row r="1092">
      <c r="A1092">
        <f>IF($B1092="","",IFERROR(IF(INDEX('Per Invoice'!$A$2:$A$801,MATCH($B1092,'Per Invoice'!$B$2:$B$801,0))=0,"",INDEX('Per Invoice'!$A$2:$A$801,MATCH($B1092,'Per Invoice'!$B$2:$B$801,0))),""))</f>
        <v/>
      </c>
      <c r="J1092" s="7">
        <f>IF($B1092="","",I1092*Q1092/100)</f>
        <v/>
      </c>
      <c r="N1092" s="7" t="n"/>
      <c r="O1092" s="7" t="n"/>
      <c r="P1092" s="7">
        <f>IF($B1092="","",O1092*X1092/100)</f>
        <v/>
      </c>
      <c r="Q1092" s="7">
        <f>IF($B1092="","",O1092-P1092)</f>
        <v/>
      </c>
      <c r="R1092" s="7">
        <f>IF($B1092="","",Q1092-J1092)</f>
        <v/>
      </c>
      <c r="S1092" s="7" t="n"/>
      <c r="T1092" s="7" t="n"/>
      <c r="V1092" s="14" t="n"/>
      <c r="Z1092">
        <f>IF($B1092="","",IF(COUNTIF($B$2:$B1092,$B1092)=1,1,0))</f>
        <v/>
      </c>
      <c r="AA1092">
        <f>IF($Z1092=1,SUMPRODUCT(--($AC$2:$AC$3001&lt;$AC1092))+1,"")</f>
        <v/>
      </c>
      <c r="AB1092">
        <f>IF($B1092="","",IF(OR($Y1092=TRUE(),$Y1092="TRUE"),1,IF(AND($Y1092&lt;&gt;"",OR($Y1092=FALSE(),$Y1092="FALSE")),0,IF(MIN(ABS($X1092/100-Settings!$C$6),ABS($X1092/100-Settings!$G$6))&lt;=MIN(ABS($X1092/100-Settings!$C$7),ABS($X1092/100-Settings!$G$7)),1,0))))</f>
        <v/>
      </c>
      <c r="AC1092">
        <f>IF($Z1092=1,IFERROR(IF(VALUE($B1092)&lt;100000000,VALUE($B1092),1000000000),IFERROR(IF(VALUE(MID($B1092,2,20))&lt;100000000,VALUE(MID($B1092,2,20)),1000000000),1000000000))+ROW()/100000,"")</f>
        <v/>
      </c>
    </row>
    <row r="1093">
      <c r="A1093">
        <f>IF($B1093="","",IFERROR(IF(INDEX('Per Invoice'!$A$2:$A$801,MATCH($B1093,'Per Invoice'!$B$2:$B$801,0))=0,"",INDEX('Per Invoice'!$A$2:$A$801,MATCH($B1093,'Per Invoice'!$B$2:$B$801,0))),""))</f>
        <v/>
      </c>
      <c r="J1093" s="7">
        <f>IF($B1093="","",I1093*Q1093/100)</f>
        <v/>
      </c>
      <c r="N1093" s="7" t="n"/>
      <c r="O1093" s="7" t="n"/>
      <c r="P1093" s="7">
        <f>IF($B1093="","",O1093*X1093/100)</f>
        <v/>
      </c>
      <c r="Q1093" s="7">
        <f>IF($B1093="","",O1093-P1093)</f>
        <v/>
      </c>
      <c r="R1093" s="7">
        <f>IF($B1093="","",Q1093-J1093)</f>
        <v/>
      </c>
      <c r="S1093" s="7" t="n"/>
      <c r="T1093" s="7" t="n"/>
      <c r="V1093" s="14" t="n"/>
      <c r="Z1093">
        <f>IF($B1093="","",IF(COUNTIF($B$2:$B1093,$B1093)=1,1,0))</f>
        <v/>
      </c>
      <c r="AA1093">
        <f>IF($Z1093=1,SUMPRODUCT(--($AC$2:$AC$3001&lt;$AC1093))+1,"")</f>
        <v/>
      </c>
      <c r="AB1093">
        <f>IF($B1093="","",IF(OR($Y1093=TRUE(),$Y1093="TRUE"),1,IF(AND($Y1093&lt;&gt;"",OR($Y1093=FALSE(),$Y1093="FALSE")),0,IF(MIN(ABS($X1093/100-Settings!$C$6),ABS($X1093/100-Settings!$G$6))&lt;=MIN(ABS($X1093/100-Settings!$C$7),ABS($X1093/100-Settings!$G$7)),1,0))))</f>
        <v/>
      </c>
      <c r="AC1093">
        <f>IF($Z1093=1,IFERROR(IF(VALUE($B1093)&lt;100000000,VALUE($B1093),1000000000),IFERROR(IF(VALUE(MID($B1093,2,20))&lt;100000000,VALUE(MID($B1093,2,20)),1000000000),1000000000))+ROW()/100000,"")</f>
        <v/>
      </c>
    </row>
    <row r="1094">
      <c r="A1094">
        <f>IF($B1094="","",IFERROR(IF(INDEX('Per Invoice'!$A$2:$A$801,MATCH($B1094,'Per Invoice'!$B$2:$B$801,0))=0,"",INDEX('Per Invoice'!$A$2:$A$801,MATCH($B1094,'Per Invoice'!$B$2:$B$801,0))),""))</f>
        <v/>
      </c>
      <c r="J1094" s="7">
        <f>IF($B1094="","",I1094*Q1094/100)</f>
        <v/>
      </c>
      <c r="N1094" s="7" t="n"/>
      <c r="O1094" s="7" t="n"/>
      <c r="P1094" s="7">
        <f>IF($B1094="","",O1094*X1094/100)</f>
        <v/>
      </c>
      <c r="Q1094" s="7">
        <f>IF($B1094="","",O1094-P1094)</f>
        <v/>
      </c>
      <c r="R1094" s="7">
        <f>IF($B1094="","",Q1094-J1094)</f>
        <v/>
      </c>
      <c r="S1094" s="7" t="n"/>
      <c r="T1094" s="7" t="n"/>
      <c r="V1094" s="14" t="n"/>
      <c r="Z1094">
        <f>IF($B1094="","",IF(COUNTIF($B$2:$B1094,$B1094)=1,1,0))</f>
        <v/>
      </c>
      <c r="AA1094">
        <f>IF($Z1094=1,SUMPRODUCT(--($AC$2:$AC$3001&lt;$AC1094))+1,"")</f>
        <v/>
      </c>
      <c r="AB1094">
        <f>IF($B1094="","",IF(OR($Y1094=TRUE(),$Y1094="TRUE"),1,IF(AND($Y1094&lt;&gt;"",OR($Y1094=FALSE(),$Y1094="FALSE")),0,IF(MIN(ABS($X1094/100-Settings!$C$6),ABS($X1094/100-Settings!$G$6))&lt;=MIN(ABS($X1094/100-Settings!$C$7),ABS($X1094/100-Settings!$G$7)),1,0))))</f>
        <v/>
      </c>
      <c r="AC1094">
        <f>IF($Z1094=1,IFERROR(IF(VALUE($B1094)&lt;100000000,VALUE($B1094),1000000000),IFERROR(IF(VALUE(MID($B1094,2,20))&lt;100000000,VALUE(MID($B1094,2,20)),1000000000),1000000000))+ROW()/100000,"")</f>
        <v/>
      </c>
    </row>
    <row r="1095">
      <c r="A1095">
        <f>IF($B1095="","",IFERROR(IF(INDEX('Per Invoice'!$A$2:$A$801,MATCH($B1095,'Per Invoice'!$B$2:$B$801,0))=0,"",INDEX('Per Invoice'!$A$2:$A$801,MATCH($B1095,'Per Invoice'!$B$2:$B$801,0))),""))</f>
        <v/>
      </c>
      <c r="J1095" s="7">
        <f>IF($B1095="","",I1095*Q1095/100)</f>
        <v/>
      </c>
      <c r="N1095" s="7" t="n"/>
      <c r="O1095" s="7" t="n"/>
      <c r="P1095" s="7">
        <f>IF($B1095="","",O1095*X1095/100)</f>
        <v/>
      </c>
      <c r="Q1095" s="7">
        <f>IF($B1095="","",O1095-P1095)</f>
        <v/>
      </c>
      <c r="R1095" s="7">
        <f>IF($B1095="","",Q1095-J1095)</f>
        <v/>
      </c>
      <c r="S1095" s="7" t="n"/>
      <c r="T1095" s="7" t="n"/>
      <c r="V1095" s="14" t="n"/>
      <c r="Z1095">
        <f>IF($B1095="","",IF(COUNTIF($B$2:$B1095,$B1095)=1,1,0))</f>
        <v/>
      </c>
      <c r="AA1095">
        <f>IF($Z1095=1,SUMPRODUCT(--($AC$2:$AC$3001&lt;$AC1095))+1,"")</f>
        <v/>
      </c>
      <c r="AB1095">
        <f>IF($B1095="","",IF(OR($Y1095=TRUE(),$Y1095="TRUE"),1,IF(AND($Y1095&lt;&gt;"",OR($Y1095=FALSE(),$Y1095="FALSE")),0,IF(MIN(ABS($X1095/100-Settings!$C$6),ABS($X1095/100-Settings!$G$6))&lt;=MIN(ABS($X1095/100-Settings!$C$7),ABS($X1095/100-Settings!$G$7)),1,0))))</f>
        <v/>
      </c>
      <c r="AC1095">
        <f>IF($Z1095=1,IFERROR(IF(VALUE($B1095)&lt;100000000,VALUE($B1095),1000000000),IFERROR(IF(VALUE(MID($B1095,2,20))&lt;100000000,VALUE(MID($B1095,2,20)),1000000000),1000000000))+ROW()/100000,"")</f>
        <v/>
      </c>
    </row>
    <row r="1096">
      <c r="A1096">
        <f>IF($B1096="","",IFERROR(IF(INDEX('Per Invoice'!$A$2:$A$801,MATCH($B1096,'Per Invoice'!$B$2:$B$801,0))=0,"",INDEX('Per Invoice'!$A$2:$A$801,MATCH($B1096,'Per Invoice'!$B$2:$B$801,0))),""))</f>
        <v/>
      </c>
      <c r="J1096" s="7">
        <f>IF($B1096="","",I1096*Q1096/100)</f>
        <v/>
      </c>
      <c r="N1096" s="7" t="n"/>
      <c r="O1096" s="7" t="n"/>
      <c r="P1096" s="7">
        <f>IF($B1096="","",O1096*X1096/100)</f>
        <v/>
      </c>
      <c r="Q1096" s="7">
        <f>IF($B1096="","",O1096-P1096)</f>
        <v/>
      </c>
      <c r="R1096" s="7">
        <f>IF($B1096="","",Q1096-J1096)</f>
        <v/>
      </c>
      <c r="S1096" s="7" t="n"/>
      <c r="T1096" s="7" t="n"/>
      <c r="V1096" s="14" t="n"/>
      <c r="Z1096">
        <f>IF($B1096="","",IF(COUNTIF($B$2:$B1096,$B1096)=1,1,0))</f>
        <v/>
      </c>
      <c r="AA1096">
        <f>IF($Z1096=1,SUMPRODUCT(--($AC$2:$AC$3001&lt;$AC1096))+1,"")</f>
        <v/>
      </c>
      <c r="AB1096">
        <f>IF($B1096="","",IF(OR($Y1096=TRUE(),$Y1096="TRUE"),1,IF(AND($Y1096&lt;&gt;"",OR($Y1096=FALSE(),$Y1096="FALSE")),0,IF(MIN(ABS($X1096/100-Settings!$C$6),ABS($X1096/100-Settings!$G$6))&lt;=MIN(ABS($X1096/100-Settings!$C$7),ABS($X1096/100-Settings!$G$7)),1,0))))</f>
        <v/>
      </c>
      <c r="AC1096">
        <f>IF($Z1096=1,IFERROR(IF(VALUE($B1096)&lt;100000000,VALUE($B1096),1000000000),IFERROR(IF(VALUE(MID($B1096,2,20))&lt;100000000,VALUE(MID($B1096,2,20)),1000000000),1000000000))+ROW()/100000,"")</f>
        <v/>
      </c>
    </row>
    <row r="1097">
      <c r="A1097">
        <f>IF($B1097="","",IFERROR(IF(INDEX('Per Invoice'!$A$2:$A$801,MATCH($B1097,'Per Invoice'!$B$2:$B$801,0))=0,"",INDEX('Per Invoice'!$A$2:$A$801,MATCH($B1097,'Per Invoice'!$B$2:$B$801,0))),""))</f>
        <v/>
      </c>
      <c r="J1097" s="7">
        <f>IF($B1097="","",I1097*Q1097/100)</f>
        <v/>
      </c>
      <c r="N1097" s="7" t="n"/>
      <c r="O1097" s="7" t="n"/>
      <c r="P1097" s="7">
        <f>IF($B1097="","",O1097*X1097/100)</f>
        <v/>
      </c>
      <c r="Q1097" s="7">
        <f>IF($B1097="","",O1097-P1097)</f>
        <v/>
      </c>
      <c r="R1097" s="7">
        <f>IF($B1097="","",Q1097-J1097)</f>
        <v/>
      </c>
      <c r="S1097" s="7" t="n"/>
      <c r="T1097" s="7" t="n"/>
      <c r="V1097" s="14" t="n"/>
      <c r="Z1097">
        <f>IF($B1097="","",IF(COUNTIF($B$2:$B1097,$B1097)=1,1,0))</f>
        <v/>
      </c>
      <c r="AA1097">
        <f>IF($Z1097=1,SUMPRODUCT(--($AC$2:$AC$3001&lt;$AC1097))+1,"")</f>
        <v/>
      </c>
      <c r="AB1097">
        <f>IF($B1097="","",IF(OR($Y1097=TRUE(),$Y1097="TRUE"),1,IF(AND($Y1097&lt;&gt;"",OR($Y1097=FALSE(),$Y1097="FALSE")),0,IF(MIN(ABS($X1097/100-Settings!$C$6),ABS($X1097/100-Settings!$G$6))&lt;=MIN(ABS($X1097/100-Settings!$C$7),ABS($X1097/100-Settings!$G$7)),1,0))))</f>
        <v/>
      </c>
      <c r="AC1097">
        <f>IF($Z1097=1,IFERROR(IF(VALUE($B1097)&lt;100000000,VALUE($B1097),1000000000),IFERROR(IF(VALUE(MID($B1097,2,20))&lt;100000000,VALUE(MID($B1097,2,20)),1000000000),1000000000))+ROW()/100000,"")</f>
        <v/>
      </c>
    </row>
    <row r="1098">
      <c r="A1098">
        <f>IF($B1098="","",IFERROR(IF(INDEX('Per Invoice'!$A$2:$A$801,MATCH($B1098,'Per Invoice'!$B$2:$B$801,0))=0,"",INDEX('Per Invoice'!$A$2:$A$801,MATCH($B1098,'Per Invoice'!$B$2:$B$801,0))),""))</f>
        <v/>
      </c>
      <c r="J1098" s="7">
        <f>IF($B1098="","",I1098*Q1098/100)</f>
        <v/>
      </c>
      <c r="N1098" s="7" t="n"/>
      <c r="O1098" s="7" t="n"/>
      <c r="P1098" s="7">
        <f>IF($B1098="","",O1098*X1098/100)</f>
        <v/>
      </c>
      <c r="Q1098" s="7">
        <f>IF($B1098="","",O1098-P1098)</f>
        <v/>
      </c>
      <c r="R1098" s="7">
        <f>IF($B1098="","",Q1098-J1098)</f>
        <v/>
      </c>
      <c r="S1098" s="7" t="n"/>
      <c r="T1098" s="7" t="n"/>
      <c r="V1098" s="14" t="n"/>
      <c r="Z1098">
        <f>IF($B1098="","",IF(COUNTIF($B$2:$B1098,$B1098)=1,1,0))</f>
        <v/>
      </c>
      <c r="AA1098">
        <f>IF($Z1098=1,SUMPRODUCT(--($AC$2:$AC$3001&lt;$AC1098))+1,"")</f>
        <v/>
      </c>
      <c r="AB1098">
        <f>IF($B1098="","",IF(OR($Y1098=TRUE(),$Y1098="TRUE"),1,IF(AND($Y1098&lt;&gt;"",OR($Y1098=FALSE(),$Y1098="FALSE")),0,IF(MIN(ABS($X1098/100-Settings!$C$6),ABS($X1098/100-Settings!$G$6))&lt;=MIN(ABS($X1098/100-Settings!$C$7),ABS($X1098/100-Settings!$G$7)),1,0))))</f>
        <v/>
      </c>
      <c r="AC1098">
        <f>IF($Z1098=1,IFERROR(IF(VALUE($B1098)&lt;100000000,VALUE($B1098),1000000000),IFERROR(IF(VALUE(MID($B1098,2,20))&lt;100000000,VALUE(MID($B1098,2,20)),1000000000),1000000000))+ROW()/100000,"")</f>
        <v/>
      </c>
    </row>
    <row r="1099">
      <c r="A1099">
        <f>IF($B1099="","",IFERROR(IF(INDEX('Per Invoice'!$A$2:$A$801,MATCH($B1099,'Per Invoice'!$B$2:$B$801,0))=0,"",INDEX('Per Invoice'!$A$2:$A$801,MATCH($B1099,'Per Invoice'!$B$2:$B$801,0))),""))</f>
        <v/>
      </c>
      <c r="J1099" s="7">
        <f>IF($B1099="","",I1099*Q1099/100)</f>
        <v/>
      </c>
      <c r="N1099" s="7" t="n"/>
      <c r="O1099" s="7" t="n"/>
      <c r="P1099" s="7">
        <f>IF($B1099="","",O1099*X1099/100)</f>
        <v/>
      </c>
      <c r="Q1099" s="7">
        <f>IF($B1099="","",O1099-P1099)</f>
        <v/>
      </c>
      <c r="R1099" s="7">
        <f>IF($B1099="","",Q1099-J1099)</f>
        <v/>
      </c>
      <c r="S1099" s="7" t="n"/>
      <c r="T1099" s="7" t="n"/>
      <c r="V1099" s="14" t="n"/>
      <c r="Z1099">
        <f>IF($B1099="","",IF(COUNTIF($B$2:$B1099,$B1099)=1,1,0))</f>
        <v/>
      </c>
      <c r="AA1099">
        <f>IF($Z1099=1,SUMPRODUCT(--($AC$2:$AC$3001&lt;$AC1099))+1,"")</f>
        <v/>
      </c>
      <c r="AB1099">
        <f>IF($B1099="","",IF(OR($Y1099=TRUE(),$Y1099="TRUE"),1,IF(AND($Y1099&lt;&gt;"",OR($Y1099=FALSE(),$Y1099="FALSE")),0,IF(MIN(ABS($X1099/100-Settings!$C$6),ABS($X1099/100-Settings!$G$6))&lt;=MIN(ABS($X1099/100-Settings!$C$7),ABS($X1099/100-Settings!$G$7)),1,0))))</f>
        <v/>
      </c>
      <c r="AC1099">
        <f>IF($Z1099=1,IFERROR(IF(VALUE($B1099)&lt;100000000,VALUE($B1099),1000000000),IFERROR(IF(VALUE(MID($B1099,2,20))&lt;100000000,VALUE(MID($B1099,2,20)),1000000000),1000000000))+ROW()/100000,"")</f>
        <v/>
      </c>
    </row>
    <row r="1100">
      <c r="A1100">
        <f>IF($B1100="","",IFERROR(IF(INDEX('Per Invoice'!$A$2:$A$801,MATCH($B1100,'Per Invoice'!$B$2:$B$801,0))=0,"",INDEX('Per Invoice'!$A$2:$A$801,MATCH($B1100,'Per Invoice'!$B$2:$B$801,0))),""))</f>
        <v/>
      </c>
      <c r="J1100" s="7">
        <f>IF($B1100="","",I1100*Q1100/100)</f>
        <v/>
      </c>
      <c r="N1100" s="7" t="n"/>
      <c r="O1100" s="7" t="n"/>
      <c r="P1100" s="7">
        <f>IF($B1100="","",O1100*X1100/100)</f>
        <v/>
      </c>
      <c r="Q1100" s="7">
        <f>IF($B1100="","",O1100-P1100)</f>
        <v/>
      </c>
      <c r="R1100" s="7">
        <f>IF($B1100="","",Q1100-J1100)</f>
        <v/>
      </c>
      <c r="S1100" s="7" t="n"/>
      <c r="T1100" s="7" t="n"/>
      <c r="V1100" s="14" t="n"/>
      <c r="Z1100">
        <f>IF($B1100="","",IF(COUNTIF($B$2:$B1100,$B1100)=1,1,0))</f>
        <v/>
      </c>
      <c r="AA1100">
        <f>IF($Z1100=1,SUMPRODUCT(--($AC$2:$AC$3001&lt;$AC1100))+1,"")</f>
        <v/>
      </c>
      <c r="AB1100">
        <f>IF($B1100="","",IF(OR($Y1100=TRUE(),$Y1100="TRUE"),1,IF(AND($Y1100&lt;&gt;"",OR($Y1100=FALSE(),$Y1100="FALSE")),0,IF(MIN(ABS($X1100/100-Settings!$C$6),ABS($X1100/100-Settings!$G$6))&lt;=MIN(ABS($X1100/100-Settings!$C$7),ABS($X1100/100-Settings!$G$7)),1,0))))</f>
        <v/>
      </c>
      <c r="AC1100">
        <f>IF($Z1100=1,IFERROR(IF(VALUE($B1100)&lt;100000000,VALUE($B1100),1000000000),IFERROR(IF(VALUE(MID($B1100,2,20))&lt;100000000,VALUE(MID($B1100,2,20)),1000000000),1000000000))+ROW()/100000,"")</f>
        <v/>
      </c>
    </row>
    <row r="1101">
      <c r="A1101">
        <f>IF($B1101="","",IFERROR(IF(INDEX('Per Invoice'!$A$2:$A$801,MATCH($B1101,'Per Invoice'!$B$2:$B$801,0))=0,"",INDEX('Per Invoice'!$A$2:$A$801,MATCH($B1101,'Per Invoice'!$B$2:$B$801,0))),""))</f>
        <v/>
      </c>
      <c r="J1101" s="7">
        <f>IF($B1101="","",I1101*Q1101/100)</f>
        <v/>
      </c>
      <c r="N1101" s="7" t="n"/>
      <c r="O1101" s="7" t="n"/>
      <c r="P1101" s="7">
        <f>IF($B1101="","",O1101*X1101/100)</f>
        <v/>
      </c>
      <c r="Q1101" s="7">
        <f>IF($B1101="","",O1101-P1101)</f>
        <v/>
      </c>
      <c r="R1101" s="7">
        <f>IF($B1101="","",Q1101-J1101)</f>
        <v/>
      </c>
      <c r="S1101" s="7" t="n"/>
      <c r="T1101" s="7" t="n"/>
      <c r="V1101" s="14" t="n"/>
      <c r="Z1101">
        <f>IF($B1101="","",IF(COUNTIF($B$2:$B1101,$B1101)=1,1,0))</f>
        <v/>
      </c>
      <c r="AA1101">
        <f>IF($Z1101=1,SUMPRODUCT(--($AC$2:$AC$3001&lt;$AC1101))+1,"")</f>
        <v/>
      </c>
      <c r="AB1101">
        <f>IF($B1101="","",IF(OR($Y1101=TRUE(),$Y1101="TRUE"),1,IF(AND($Y1101&lt;&gt;"",OR($Y1101=FALSE(),$Y1101="FALSE")),0,IF(MIN(ABS($X1101/100-Settings!$C$6),ABS($X1101/100-Settings!$G$6))&lt;=MIN(ABS($X1101/100-Settings!$C$7),ABS($X1101/100-Settings!$G$7)),1,0))))</f>
        <v/>
      </c>
      <c r="AC1101">
        <f>IF($Z1101=1,IFERROR(IF(VALUE($B1101)&lt;100000000,VALUE($B1101),1000000000),IFERROR(IF(VALUE(MID($B1101,2,20))&lt;100000000,VALUE(MID($B1101,2,20)),1000000000),1000000000))+ROW()/100000,"")</f>
        <v/>
      </c>
    </row>
    <row r="1102">
      <c r="A1102">
        <f>IF($B1102="","",IFERROR(IF(INDEX('Per Invoice'!$A$2:$A$801,MATCH($B1102,'Per Invoice'!$B$2:$B$801,0))=0,"",INDEX('Per Invoice'!$A$2:$A$801,MATCH($B1102,'Per Invoice'!$B$2:$B$801,0))),""))</f>
        <v/>
      </c>
      <c r="J1102" s="7">
        <f>IF($B1102="","",I1102*Q1102/100)</f>
        <v/>
      </c>
      <c r="N1102" s="7" t="n"/>
      <c r="O1102" s="7" t="n"/>
      <c r="P1102" s="7">
        <f>IF($B1102="","",O1102*X1102/100)</f>
        <v/>
      </c>
      <c r="Q1102" s="7">
        <f>IF($B1102="","",O1102-P1102)</f>
        <v/>
      </c>
      <c r="R1102" s="7">
        <f>IF($B1102="","",Q1102-J1102)</f>
        <v/>
      </c>
      <c r="S1102" s="7" t="n"/>
      <c r="T1102" s="7" t="n"/>
      <c r="V1102" s="14" t="n"/>
      <c r="Z1102">
        <f>IF($B1102="","",IF(COUNTIF($B$2:$B1102,$B1102)=1,1,0))</f>
        <v/>
      </c>
      <c r="AA1102">
        <f>IF($Z1102=1,SUMPRODUCT(--($AC$2:$AC$3001&lt;$AC1102))+1,"")</f>
        <v/>
      </c>
      <c r="AB1102">
        <f>IF($B1102="","",IF(OR($Y1102=TRUE(),$Y1102="TRUE"),1,IF(AND($Y1102&lt;&gt;"",OR($Y1102=FALSE(),$Y1102="FALSE")),0,IF(MIN(ABS($X1102/100-Settings!$C$6),ABS($X1102/100-Settings!$G$6))&lt;=MIN(ABS($X1102/100-Settings!$C$7),ABS($X1102/100-Settings!$G$7)),1,0))))</f>
        <v/>
      </c>
      <c r="AC1102">
        <f>IF($Z1102=1,IFERROR(IF(VALUE($B1102)&lt;100000000,VALUE($B1102),1000000000),IFERROR(IF(VALUE(MID($B1102,2,20))&lt;100000000,VALUE(MID($B1102,2,20)),1000000000),1000000000))+ROW()/100000,"")</f>
        <v/>
      </c>
    </row>
    <row r="1103">
      <c r="A1103">
        <f>IF($B1103="","",IFERROR(IF(INDEX('Per Invoice'!$A$2:$A$801,MATCH($B1103,'Per Invoice'!$B$2:$B$801,0))=0,"",INDEX('Per Invoice'!$A$2:$A$801,MATCH($B1103,'Per Invoice'!$B$2:$B$801,0))),""))</f>
        <v/>
      </c>
      <c r="J1103" s="7">
        <f>IF($B1103="","",I1103*Q1103/100)</f>
        <v/>
      </c>
      <c r="N1103" s="7" t="n"/>
      <c r="O1103" s="7" t="n"/>
      <c r="P1103" s="7">
        <f>IF($B1103="","",O1103*X1103/100)</f>
        <v/>
      </c>
      <c r="Q1103" s="7">
        <f>IF($B1103="","",O1103-P1103)</f>
        <v/>
      </c>
      <c r="R1103" s="7">
        <f>IF($B1103="","",Q1103-J1103)</f>
        <v/>
      </c>
      <c r="S1103" s="7" t="n"/>
      <c r="T1103" s="7" t="n"/>
      <c r="V1103" s="14" t="n"/>
      <c r="Z1103">
        <f>IF($B1103="","",IF(COUNTIF($B$2:$B1103,$B1103)=1,1,0))</f>
        <v/>
      </c>
      <c r="AA1103">
        <f>IF($Z1103=1,SUMPRODUCT(--($AC$2:$AC$3001&lt;$AC1103))+1,"")</f>
        <v/>
      </c>
      <c r="AB1103">
        <f>IF($B1103="","",IF(OR($Y1103=TRUE(),$Y1103="TRUE"),1,IF(AND($Y1103&lt;&gt;"",OR($Y1103=FALSE(),$Y1103="FALSE")),0,IF(MIN(ABS($X1103/100-Settings!$C$6),ABS($X1103/100-Settings!$G$6))&lt;=MIN(ABS($X1103/100-Settings!$C$7),ABS($X1103/100-Settings!$G$7)),1,0))))</f>
        <v/>
      </c>
      <c r="AC1103">
        <f>IF($Z1103=1,IFERROR(IF(VALUE($B1103)&lt;100000000,VALUE($B1103),1000000000),IFERROR(IF(VALUE(MID($B1103,2,20))&lt;100000000,VALUE(MID($B1103,2,20)),1000000000),1000000000))+ROW()/100000,"")</f>
        <v/>
      </c>
    </row>
    <row r="1104">
      <c r="A1104">
        <f>IF($B1104="","",IFERROR(IF(INDEX('Per Invoice'!$A$2:$A$801,MATCH($B1104,'Per Invoice'!$B$2:$B$801,0))=0,"",INDEX('Per Invoice'!$A$2:$A$801,MATCH($B1104,'Per Invoice'!$B$2:$B$801,0))),""))</f>
        <v/>
      </c>
      <c r="J1104" s="7">
        <f>IF($B1104="","",I1104*Q1104/100)</f>
        <v/>
      </c>
      <c r="N1104" s="7" t="n"/>
      <c r="O1104" s="7" t="n"/>
      <c r="P1104" s="7">
        <f>IF($B1104="","",O1104*X1104/100)</f>
        <v/>
      </c>
      <c r="Q1104" s="7">
        <f>IF($B1104="","",O1104-P1104)</f>
        <v/>
      </c>
      <c r="R1104" s="7">
        <f>IF($B1104="","",Q1104-J1104)</f>
        <v/>
      </c>
      <c r="S1104" s="7" t="n"/>
      <c r="T1104" s="7" t="n"/>
      <c r="V1104" s="14" t="n"/>
      <c r="Z1104">
        <f>IF($B1104="","",IF(COUNTIF($B$2:$B1104,$B1104)=1,1,0))</f>
        <v/>
      </c>
      <c r="AA1104">
        <f>IF($Z1104=1,SUMPRODUCT(--($AC$2:$AC$3001&lt;$AC1104))+1,"")</f>
        <v/>
      </c>
      <c r="AB1104">
        <f>IF($B1104="","",IF(OR($Y1104=TRUE(),$Y1104="TRUE"),1,IF(AND($Y1104&lt;&gt;"",OR($Y1104=FALSE(),$Y1104="FALSE")),0,IF(MIN(ABS($X1104/100-Settings!$C$6),ABS($X1104/100-Settings!$G$6))&lt;=MIN(ABS($X1104/100-Settings!$C$7),ABS($X1104/100-Settings!$G$7)),1,0))))</f>
        <v/>
      </c>
      <c r="AC1104">
        <f>IF($Z1104=1,IFERROR(IF(VALUE($B1104)&lt;100000000,VALUE($B1104),1000000000),IFERROR(IF(VALUE(MID($B1104,2,20))&lt;100000000,VALUE(MID($B1104,2,20)),1000000000),1000000000))+ROW()/100000,"")</f>
        <v/>
      </c>
    </row>
    <row r="1105">
      <c r="A1105">
        <f>IF($B1105="","",IFERROR(IF(INDEX('Per Invoice'!$A$2:$A$801,MATCH($B1105,'Per Invoice'!$B$2:$B$801,0))=0,"",INDEX('Per Invoice'!$A$2:$A$801,MATCH($B1105,'Per Invoice'!$B$2:$B$801,0))),""))</f>
        <v/>
      </c>
      <c r="J1105" s="7">
        <f>IF($B1105="","",I1105*Q1105/100)</f>
        <v/>
      </c>
      <c r="N1105" s="7" t="n"/>
      <c r="O1105" s="7" t="n"/>
      <c r="P1105" s="7">
        <f>IF($B1105="","",O1105*X1105/100)</f>
        <v/>
      </c>
      <c r="Q1105" s="7">
        <f>IF($B1105="","",O1105-P1105)</f>
        <v/>
      </c>
      <c r="R1105" s="7">
        <f>IF($B1105="","",Q1105-J1105)</f>
        <v/>
      </c>
      <c r="S1105" s="7" t="n"/>
      <c r="T1105" s="7" t="n"/>
      <c r="V1105" s="14" t="n"/>
      <c r="Z1105">
        <f>IF($B1105="","",IF(COUNTIF($B$2:$B1105,$B1105)=1,1,0))</f>
        <v/>
      </c>
      <c r="AA1105">
        <f>IF($Z1105=1,SUMPRODUCT(--($AC$2:$AC$3001&lt;$AC1105))+1,"")</f>
        <v/>
      </c>
      <c r="AB1105">
        <f>IF($B1105="","",IF(OR($Y1105=TRUE(),$Y1105="TRUE"),1,IF(AND($Y1105&lt;&gt;"",OR($Y1105=FALSE(),$Y1105="FALSE")),0,IF(MIN(ABS($X1105/100-Settings!$C$6),ABS($X1105/100-Settings!$G$6))&lt;=MIN(ABS($X1105/100-Settings!$C$7),ABS($X1105/100-Settings!$G$7)),1,0))))</f>
        <v/>
      </c>
      <c r="AC1105">
        <f>IF($Z1105=1,IFERROR(IF(VALUE($B1105)&lt;100000000,VALUE($B1105),1000000000),IFERROR(IF(VALUE(MID($B1105,2,20))&lt;100000000,VALUE(MID($B1105,2,20)),1000000000),1000000000))+ROW()/100000,"")</f>
        <v/>
      </c>
    </row>
    <row r="1106">
      <c r="A1106">
        <f>IF($B1106="","",IFERROR(IF(INDEX('Per Invoice'!$A$2:$A$801,MATCH($B1106,'Per Invoice'!$B$2:$B$801,0))=0,"",INDEX('Per Invoice'!$A$2:$A$801,MATCH($B1106,'Per Invoice'!$B$2:$B$801,0))),""))</f>
        <v/>
      </c>
      <c r="J1106" s="7">
        <f>IF($B1106="","",I1106*Q1106/100)</f>
        <v/>
      </c>
      <c r="N1106" s="7" t="n"/>
      <c r="O1106" s="7" t="n"/>
      <c r="P1106" s="7">
        <f>IF($B1106="","",O1106*X1106/100)</f>
        <v/>
      </c>
      <c r="Q1106" s="7">
        <f>IF($B1106="","",O1106-P1106)</f>
        <v/>
      </c>
      <c r="R1106" s="7">
        <f>IF($B1106="","",Q1106-J1106)</f>
        <v/>
      </c>
      <c r="S1106" s="7" t="n"/>
      <c r="T1106" s="7" t="n"/>
      <c r="V1106" s="14" t="n"/>
      <c r="Z1106">
        <f>IF($B1106="","",IF(COUNTIF($B$2:$B1106,$B1106)=1,1,0))</f>
        <v/>
      </c>
      <c r="AA1106">
        <f>IF($Z1106=1,SUMPRODUCT(--($AC$2:$AC$3001&lt;$AC1106))+1,"")</f>
        <v/>
      </c>
      <c r="AB1106">
        <f>IF($B1106="","",IF(OR($Y1106=TRUE(),$Y1106="TRUE"),1,IF(AND($Y1106&lt;&gt;"",OR($Y1106=FALSE(),$Y1106="FALSE")),0,IF(MIN(ABS($X1106/100-Settings!$C$6),ABS($X1106/100-Settings!$G$6))&lt;=MIN(ABS($X1106/100-Settings!$C$7),ABS($X1106/100-Settings!$G$7)),1,0))))</f>
        <v/>
      </c>
      <c r="AC1106">
        <f>IF($Z1106=1,IFERROR(IF(VALUE($B1106)&lt;100000000,VALUE($B1106),1000000000),IFERROR(IF(VALUE(MID($B1106,2,20))&lt;100000000,VALUE(MID($B1106,2,20)),1000000000),1000000000))+ROW()/100000,"")</f>
        <v/>
      </c>
    </row>
    <row r="1107">
      <c r="A1107">
        <f>IF($B1107="","",IFERROR(IF(INDEX('Per Invoice'!$A$2:$A$801,MATCH($B1107,'Per Invoice'!$B$2:$B$801,0))=0,"",INDEX('Per Invoice'!$A$2:$A$801,MATCH($B1107,'Per Invoice'!$B$2:$B$801,0))),""))</f>
        <v/>
      </c>
      <c r="J1107" s="7">
        <f>IF($B1107="","",I1107*Q1107/100)</f>
        <v/>
      </c>
      <c r="N1107" s="7" t="n"/>
      <c r="O1107" s="7" t="n"/>
      <c r="P1107" s="7">
        <f>IF($B1107="","",O1107*X1107/100)</f>
        <v/>
      </c>
      <c r="Q1107" s="7">
        <f>IF($B1107="","",O1107-P1107)</f>
        <v/>
      </c>
      <c r="R1107" s="7">
        <f>IF($B1107="","",Q1107-J1107)</f>
        <v/>
      </c>
      <c r="S1107" s="7" t="n"/>
      <c r="T1107" s="7" t="n"/>
      <c r="V1107" s="14" t="n"/>
      <c r="Z1107">
        <f>IF($B1107="","",IF(COUNTIF($B$2:$B1107,$B1107)=1,1,0))</f>
        <v/>
      </c>
      <c r="AA1107">
        <f>IF($Z1107=1,SUMPRODUCT(--($AC$2:$AC$3001&lt;$AC1107))+1,"")</f>
        <v/>
      </c>
      <c r="AB1107">
        <f>IF($B1107="","",IF(OR($Y1107=TRUE(),$Y1107="TRUE"),1,IF(AND($Y1107&lt;&gt;"",OR($Y1107=FALSE(),$Y1107="FALSE")),0,IF(MIN(ABS($X1107/100-Settings!$C$6),ABS($X1107/100-Settings!$G$6))&lt;=MIN(ABS($X1107/100-Settings!$C$7),ABS($X1107/100-Settings!$G$7)),1,0))))</f>
        <v/>
      </c>
      <c r="AC1107">
        <f>IF($Z1107=1,IFERROR(IF(VALUE($B1107)&lt;100000000,VALUE($B1107),1000000000),IFERROR(IF(VALUE(MID($B1107,2,20))&lt;100000000,VALUE(MID($B1107,2,20)),1000000000),1000000000))+ROW()/100000,"")</f>
        <v/>
      </c>
    </row>
    <row r="1108">
      <c r="A1108">
        <f>IF($B1108="","",IFERROR(IF(INDEX('Per Invoice'!$A$2:$A$801,MATCH($B1108,'Per Invoice'!$B$2:$B$801,0))=0,"",INDEX('Per Invoice'!$A$2:$A$801,MATCH($B1108,'Per Invoice'!$B$2:$B$801,0))),""))</f>
        <v/>
      </c>
      <c r="J1108" s="7">
        <f>IF($B1108="","",I1108*Q1108/100)</f>
        <v/>
      </c>
      <c r="N1108" s="7" t="n"/>
      <c r="O1108" s="7" t="n"/>
      <c r="P1108" s="7">
        <f>IF($B1108="","",O1108*X1108/100)</f>
        <v/>
      </c>
      <c r="Q1108" s="7">
        <f>IF($B1108="","",O1108-P1108)</f>
        <v/>
      </c>
      <c r="R1108" s="7">
        <f>IF($B1108="","",Q1108-J1108)</f>
        <v/>
      </c>
      <c r="S1108" s="7" t="n"/>
      <c r="T1108" s="7" t="n"/>
      <c r="V1108" s="14" t="n"/>
      <c r="Z1108">
        <f>IF($B1108="","",IF(COUNTIF($B$2:$B1108,$B1108)=1,1,0))</f>
        <v/>
      </c>
      <c r="AA1108">
        <f>IF($Z1108=1,SUMPRODUCT(--($AC$2:$AC$3001&lt;$AC1108))+1,"")</f>
        <v/>
      </c>
      <c r="AB1108">
        <f>IF($B1108="","",IF(OR($Y1108=TRUE(),$Y1108="TRUE"),1,IF(AND($Y1108&lt;&gt;"",OR($Y1108=FALSE(),$Y1108="FALSE")),0,IF(MIN(ABS($X1108/100-Settings!$C$6),ABS($X1108/100-Settings!$G$6))&lt;=MIN(ABS($X1108/100-Settings!$C$7),ABS($X1108/100-Settings!$G$7)),1,0))))</f>
        <v/>
      </c>
      <c r="AC1108">
        <f>IF($Z1108=1,IFERROR(IF(VALUE($B1108)&lt;100000000,VALUE($B1108),1000000000),IFERROR(IF(VALUE(MID($B1108,2,20))&lt;100000000,VALUE(MID($B1108,2,20)),1000000000),1000000000))+ROW()/100000,"")</f>
        <v/>
      </c>
    </row>
    <row r="1109">
      <c r="A1109">
        <f>IF($B1109="","",IFERROR(IF(INDEX('Per Invoice'!$A$2:$A$801,MATCH($B1109,'Per Invoice'!$B$2:$B$801,0))=0,"",INDEX('Per Invoice'!$A$2:$A$801,MATCH($B1109,'Per Invoice'!$B$2:$B$801,0))),""))</f>
        <v/>
      </c>
      <c r="J1109" s="7">
        <f>IF($B1109="","",I1109*Q1109/100)</f>
        <v/>
      </c>
      <c r="N1109" s="7" t="n"/>
      <c r="O1109" s="7" t="n"/>
      <c r="P1109" s="7">
        <f>IF($B1109="","",O1109*X1109/100)</f>
        <v/>
      </c>
      <c r="Q1109" s="7">
        <f>IF($B1109="","",O1109-P1109)</f>
        <v/>
      </c>
      <c r="R1109" s="7">
        <f>IF($B1109="","",Q1109-J1109)</f>
        <v/>
      </c>
      <c r="S1109" s="7" t="n"/>
      <c r="T1109" s="7" t="n"/>
      <c r="V1109" s="14" t="n"/>
      <c r="Z1109">
        <f>IF($B1109="","",IF(COUNTIF($B$2:$B1109,$B1109)=1,1,0))</f>
        <v/>
      </c>
      <c r="AA1109">
        <f>IF($Z1109=1,SUMPRODUCT(--($AC$2:$AC$3001&lt;$AC1109))+1,"")</f>
        <v/>
      </c>
      <c r="AB1109">
        <f>IF($B1109="","",IF(OR($Y1109=TRUE(),$Y1109="TRUE"),1,IF(AND($Y1109&lt;&gt;"",OR($Y1109=FALSE(),$Y1109="FALSE")),0,IF(MIN(ABS($X1109/100-Settings!$C$6),ABS($X1109/100-Settings!$G$6))&lt;=MIN(ABS($X1109/100-Settings!$C$7),ABS($X1109/100-Settings!$G$7)),1,0))))</f>
        <v/>
      </c>
      <c r="AC1109">
        <f>IF($Z1109=1,IFERROR(IF(VALUE($B1109)&lt;100000000,VALUE($B1109),1000000000),IFERROR(IF(VALUE(MID($B1109,2,20))&lt;100000000,VALUE(MID($B1109,2,20)),1000000000),1000000000))+ROW()/100000,"")</f>
        <v/>
      </c>
    </row>
    <row r="1110">
      <c r="A1110">
        <f>IF($B1110="","",IFERROR(IF(INDEX('Per Invoice'!$A$2:$A$801,MATCH($B1110,'Per Invoice'!$B$2:$B$801,0))=0,"",INDEX('Per Invoice'!$A$2:$A$801,MATCH($B1110,'Per Invoice'!$B$2:$B$801,0))),""))</f>
        <v/>
      </c>
      <c r="J1110" s="7">
        <f>IF($B1110="","",I1110*Q1110/100)</f>
        <v/>
      </c>
      <c r="N1110" s="7" t="n"/>
      <c r="O1110" s="7" t="n"/>
      <c r="P1110" s="7">
        <f>IF($B1110="","",O1110*X1110/100)</f>
        <v/>
      </c>
      <c r="Q1110" s="7">
        <f>IF($B1110="","",O1110-P1110)</f>
        <v/>
      </c>
      <c r="R1110" s="7">
        <f>IF($B1110="","",Q1110-J1110)</f>
        <v/>
      </c>
      <c r="S1110" s="7" t="n"/>
      <c r="T1110" s="7" t="n"/>
      <c r="V1110" s="14" t="n"/>
      <c r="Z1110">
        <f>IF($B1110="","",IF(COUNTIF($B$2:$B1110,$B1110)=1,1,0))</f>
        <v/>
      </c>
      <c r="AA1110">
        <f>IF($Z1110=1,SUMPRODUCT(--($AC$2:$AC$3001&lt;$AC1110))+1,"")</f>
        <v/>
      </c>
      <c r="AB1110">
        <f>IF($B1110="","",IF(OR($Y1110=TRUE(),$Y1110="TRUE"),1,IF(AND($Y1110&lt;&gt;"",OR($Y1110=FALSE(),$Y1110="FALSE")),0,IF(MIN(ABS($X1110/100-Settings!$C$6),ABS($X1110/100-Settings!$G$6))&lt;=MIN(ABS($X1110/100-Settings!$C$7),ABS($X1110/100-Settings!$G$7)),1,0))))</f>
        <v/>
      </c>
      <c r="AC1110">
        <f>IF($Z1110=1,IFERROR(IF(VALUE($B1110)&lt;100000000,VALUE($B1110),1000000000),IFERROR(IF(VALUE(MID($B1110,2,20))&lt;100000000,VALUE(MID($B1110,2,20)),1000000000),1000000000))+ROW()/100000,"")</f>
        <v/>
      </c>
    </row>
    <row r="1111">
      <c r="A1111">
        <f>IF($B1111="","",IFERROR(IF(INDEX('Per Invoice'!$A$2:$A$801,MATCH($B1111,'Per Invoice'!$B$2:$B$801,0))=0,"",INDEX('Per Invoice'!$A$2:$A$801,MATCH($B1111,'Per Invoice'!$B$2:$B$801,0))),""))</f>
        <v/>
      </c>
      <c r="J1111" s="7">
        <f>IF($B1111="","",I1111*Q1111/100)</f>
        <v/>
      </c>
      <c r="N1111" s="7" t="n"/>
      <c r="O1111" s="7" t="n"/>
      <c r="P1111" s="7">
        <f>IF($B1111="","",O1111*X1111/100)</f>
        <v/>
      </c>
      <c r="Q1111" s="7">
        <f>IF($B1111="","",O1111-P1111)</f>
        <v/>
      </c>
      <c r="R1111" s="7">
        <f>IF($B1111="","",Q1111-J1111)</f>
        <v/>
      </c>
      <c r="S1111" s="7" t="n"/>
      <c r="T1111" s="7" t="n"/>
      <c r="V1111" s="14" t="n"/>
      <c r="Z1111">
        <f>IF($B1111="","",IF(COUNTIF($B$2:$B1111,$B1111)=1,1,0))</f>
        <v/>
      </c>
      <c r="AA1111">
        <f>IF($Z1111=1,SUMPRODUCT(--($AC$2:$AC$3001&lt;$AC1111))+1,"")</f>
        <v/>
      </c>
      <c r="AB1111">
        <f>IF($B1111="","",IF(OR($Y1111=TRUE(),$Y1111="TRUE"),1,IF(AND($Y1111&lt;&gt;"",OR($Y1111=FALSE(),$Y1111="FALSE")),0,IF(MIN(ABS($X1111/100-Settings!$C$6),ABS($X1111/100-Settings!$G$6))&lt;=MIN(ABS($X1111/100-Settings!$C$7),ABS($X1111/100-Settings!$G$7)),1,0))))</f>
        <v/>
      </c>
      <c r="AC1111">
        <f>IF($Z1111=1,IFERROR(IF(VALUE($B1111)&lt;100000000,VALUE($B1111),1000000000),IFERROR(IF(VALUE(MID($B1111,2,20))&lt;100000000,VALUE(MID($B1111,2,20)),1000000000),1000000000))+ROW()/100000,"")</f>
        <v/>
      </c>
    </row>
    <row r="1112">
      <c r="A1112">
        <f>IF($B1112="","",IFERROR(IF(INDEX('Per Invoice'!$A$2:$A$801,MATCH($B1112,'Per Invoice'!$B$2:$B$801,0))=0,"",INDEX('Per Invoice'!$A$2:$A$801,MATCH($B1112,'Per Invoice'!$B$2:$B$801,0))),""))</f>
        <v/>
      </c>
      <c r="J1112" s="7">
        <f>IF($B1112="","",I1112*Q1112/100)</f>
        <v/>
      </c>
      <c r="N1112" s="7" t="n"/>
      <c r="O1112" s="7" t="n"/>
      <c r="P1112" s="7">
        <f>IF($B1112="","",O1112*X1112/100)</f>
        <v/>
      </c>
      <c r="Q1112" s="7">
        <f>IF($B1112="","",O1112-P1112)</f>
        <v/>
      </c>
      <c r="R1112" s="7">
        <f>IF($B1112="","",Q1112-J1112)</f>
        <v/>
      </c>
      <c r="S1112" s="7" t="n"/>
      <c r="T1112" s="7" t="n"/>
      <c r="V1112" s="14" t="n"/>
      <c r="Z1112">
        <f>IF($B1112="","",IF(COUNTIF($B$2:$B1112,$B1112)=1,1,0))</f>
        <v/>
      </c>
      <c r="AA1112">
        <f>IF($Z1112=1,SUMPRODUCT(--($AC$2:$AC$3001&lt;$AC1112))+1,"")</f>
        <v/>
      </c>
      <c r="AB1112">
        <f>IF($B1112="","",IF(OR($Y1112=TRUE(),$Y1112="TRUE"),1,IF(AND($Y1112&lt;&gt;"",OR($Y1112=FALSE(),$Y1112="FALSE")),0,IF(MIN(ABS($X1112/100-Settings!$C$6),ABS($X1112/100-Settings!$G$6))&lt;=MIN(ABS($X1112/100-Settings!$C$7),ABS($X1112/100-Settings!$G$7)),1,0))))</f>
        <v/>
      </c>
      <c r="AC1112">
        <f>IF($Z1112=1,IFERROR(IF(VALUE($B1112)&lt;100000000,VALUE($B1112),1000000000),IFERROR(IF(VALUE(MID($B1112,2,20))&lt;100000000,VALUE(MID($B1112,2,20)),1000000000),1000000000))+ROW()/100000,"")</f>
        <v/>
      </c>
    </row>
    <row r="1113">
      <c r="A1113">
        <f>IF($B1113="","",IFERROR(IF(INDEX('Per Invoice'!$A$2:$A$801,MATCH($B1113,'Per Invoice'!$B$2:$B$801,0))=0,"",INDEX('Per Invoice'!$A$2:$A$801,MATCH($B1113,'Per Invoice'!$B$2:$B$801,0))),""))</f>
        <v/>
      </c>
      <c r="J1113" s="7">
        <f>IF($B1113="","",I1113*Q1113/100)</f>
        <v/>
      </c>
      <c r="N1113" s="7" t="n"/>
      <c r="O1113" s="7" t="n"/>
      <c r="P1113" s="7">
        <f>IF($B1113="","",O1113*X1113/100)</f>
        <v/>
      </c>
      <c r="Q1113" s="7">
        <f>IF($B1113="","",O1113-P1113)</f>
        <v/>
      </c>
      <c r="R1113" s="7">
        <f>IF($B1113="","",Q1113-J1113)</f>
        <v/>
      </c>
      <c r="S1113" s="7" t="n"/>
      <c r="T1113" s="7" t="n"/>
      <c r="V1113" s="14" t="n"/>
      <c r="Z1113">
        <f>IF($B1113="","",IF(COUNTIF($B$2:$B1113,$B1113)=1,1,0))</f>
        <v/>
      </c>
      <c r="AA1113">
        <f>IF($Z1113=1,SUMPRODUCT(--($AC$2:$AC$3001&lt;$AC1113))+1,"")</f>
        <v/>
      </c>
      <c r="AB1113">
        <f>IF($B1113="","",IF(OR($Y1113=TRUE(),$Y1113="TRUE"),1,IF(AND($Y1113&lt;&gt;"",OR($Y1113=FALSE(),$Y1113="FALSE")),0,IF(MIN(ABS($X1113/100-Settings!$C$6),ABS($X1113/100-Settings!$G$6))&lt;=MIN(ABS($X1113/100-Settings!$C$7),ABS($X1113/100-Settings!$G$7)),1,0))))</f>
        <v/>
      </c>
      <c r="AC1113">
        <f>IF($Z1113=1,IFERROR(IF(VALUE($B1113)&lt;100000000,VALUE($B1113),1000000000),IFERROR(IF(VALUE(MID($B1113,2,20))&lt;100000000,VALUE(MID($B1113,2,20)),1000000000),1000000000))+ROW()/100000,"")</f>
        <v/>
      </c>
    </row>
    <row r="1114">
      <c r="A1114">
        <f>IF($B1114="","",IFERROR(IF(INDEX('Per Invoice'!$A$2:$A$801,MATCH($B1114,'Per Invoice'!$B$2:$B$801,0))=0,"",INDEX('Per Invoice'!$A$2:$A$801,MATCH($B1114,'Per Invoice'!$B$2:$B$801,0))),""))</f>
        <v/>
      </c>
      <c r="J1114" s="7">
        <f>IF($B1114="","",I1114*Q1114/100)</f>
        <v/>
      </c>
      <c r="N1114" s="7" t="n"/>
      <c r="O1114" s="7" t="n"/>
      <c r="P1114" s="7">
        <f>IF($B1114="","",O1114*X1114/100)</f>
        <v/>
      </c>
      <c r="Q1114" s="7">
        <f>IF($B1114="","",O1114-P1114)</f>
        <v/>
      </c>
      <c r="R1114" s="7">
        <f>IF($B1114="","",Q1114-J1114)</f>
        <v/>
      </c>
      <c r="S1114" s="7" t="n"/>
      <c r="T1114" s="7" t="n"/>
      <c r="V1114" s="14" t="n"/>
      <c r="Z1114">
        <f>IF($B1114="","",IF(COUNTIF($B$2:$B1114,$B1114)=1,1,0))</f>
        <v/>
      </c>
      <c r="AA1114">
        <f>IF($Z1114=1,SUMPRODUCT(--($AC$2:$AC$3001&lt;$AC1114))+1,"")</f>
        <v/>
      </c>
      <c r="AB1114">
        <f>IF($B1114="","",IF(OR($Y1114=TRUE(),$Y1114="TRUE"),1,IF(AND($Y1114&lt;&gt;"",OR($Y1114=FALSE(),$Y1114="FALSE")),0,IF(MIN(ABS($X1114/100-Settings!$C$6),ABS($X1114/100-Settings!$G$6))&lt;=MIN(ABS($X1114/100-Settings!$C$7),ABS($X1114/100-Settings!$G$7)),1,0))))</f>
        <v/>
      </c>
      <c r="AC1114">
        <f>IF($Z1114=1,IFERROR(IF(VALUE($B1114)&lt;100000000,VALUE($B1114),1000000000),IFERROR(IF(VALUE(MID($B1114,2,20))&lt;100000000,VALUE(MID($B1114,2,20)),1000000000),1000000000))+ROW()/100000,"")</f>
        <v/>
      </c>
    </row>
    <row r="1115">
      <c r="A1115">
        <f>IF($B1115="","",IFERROR(IF(INDEX('Per Invoice'!$A$2:$A$801,MATCH($B1115,'Per Invoice'!$B$2:$B$801,0))=0,"",INDEX('Per Invoice'!$A$2:$A$801,MATCH($B1115,'Per Invoice'!$B$2:$B$801,0))),""))</f>
        <v/>
      </c>
      <c r="J1115" s="7">
        <f>IF($B1115="","",I1115*Q1115/100)</f>
        <v/>
      </c>
      <c r="N1115" s="7" t="n"/>
      <c r="O1115" s="7" t="n"/>
      <c r="P1115" s="7">
        <f>IF($B1115="","",O1115*X1115/100)</f>
        <v/>
      </c>
      <c r="Q1115" s="7">
        <f>IF($B1115="","",O1115-P1115)</f>
        <v/>
      </c>
      <c r="R1115" s="7">
        <f>IF($B1115="","",Q1115-J1115)</f>
        <v/>
      </c>
      <c r="S1115" s="7" t="n"/>
      <c r="T1115" s="7" t="n"/>
      <c r="V1115" s="14" t="n"/>
      <c r="Z1115">
        <f>IF($B1115="","",IF(COUNTIF($B$2:$B1115,$B1115)=1,1,0))</f>
        <v/>
      </c>
      <c r="AA1115">
        <f>IF($Z1115=1,SUMPRODUCT(--($AC$2:$AC$3001&lt;$AC1115))+1,"")</f>
        <v/>
      </c>
      <c r="AB1115">
        <f>IF($B1115="","",IF(OR($Y1115=TRUE(),$Y1115="TRUE"),1,IF(AND($Y1115&lt;&gt;"",OR($Y1115=FALSE(),$Y1115="FALSE")),0,IF(MIN(ABS($X1115/100-Settings!$C$6),ABS($X1115/100-Settings!$G$6))&lt;=MIN(ABS($X1115/100-Settings!$C$7),ABS($X1115/100-Settings!$G$7)),1,0))))</f>
        <v/>
      </c>
      <c r="AC1115">
        <f>IF($Z1115=1,IFERROR(IF(VALUE($B1115)&lt;100000000,VALUE($B1115),1000000000),IFERROR(IF(VALUE(MID($B1115,2,20))&lt;100000000,VALUE(MID($B1115,2,20)),1000000000),1000000000))+ROW()/100000,"")</f>
        <v/>
      </c>
    </row>
    <row r="1116">
      <c r="A1116">
        <f>IF($B1116="","",IFERROR(IF(INDEX('Per Invoice'!$A$2:$A$801,MATCH($B1116,'Per Invoice'!$B$2:$B$801,0))=0,"",INDEX('Per Invoice'!$A$2:$A$801,MATCH($B1116,'Per Invoice'!$B$2:$B$801,0))),""))</f>
        <v/>
      </c>
      <c r="J1116" s="7">
        <f>IF($B1116="","",I1116*Q1116/100)</f>
        <v/>
      </c>
      <c r="N1116" s="7" t="n"/>
      <c r="O1116" s="7" t="n"/>
      <c r="P1116" s="7">
        <f>IF($B1116="","",O1116*X1116/100)</f>
        <v/>
      </c>
      <c r="Q1116" s="7">
        <f>IF($B1116="","",O1116-P1116)</f>
        <v/>
      </c>
      <c r="R1116" s="7">
        <f>IF($B1116="","",Q1116-J1116)</f>
        <v/>
      </c>
      <c r="S1116" s="7" t="n"/>
      <c r="T1116" s="7" t="n"/>
      <c r="V1116" s="14" t="n"/>
      <c r="Z1116">
        <f>IF($B1116="","",IF(COUNTIF($B$2:$B1116,$B1116)=1,1,0))</f>
        <v/>
      </c>
      <c r="AA1116">
        <f>IF($Z1116=1,SUMPRODUCT(--($AC$2:$AC$3001&lt;$AC1116))+1,"")</f>
        <v/>
      </c>
      <c r="AB1116">
        <f>IF($B1116="","",IF(OR($Y1116=TRUE(),$Y1116="TRUE"),1,IF(AND($Y1116&lt;&gt;"",OR($Y1116=FALSE(),$Y1116="FALSE")),0,IF(MIN(ABS($X1116/100-Settings!$C$6),ABS($X1116/100-Settings!$G$6))&lt;=MIN(ABS($X1116/100-Settings!$C$7),ABS($X1116/100-Settings!$G$7)),1,0))))</f>
        <v/>
      </c>
      <c r="AC1116">
        <f>IF($Z1116=1,IFERROR(IF(VALUE($B1116)&lt;100000000,VALUE($B1116),1000000000),IFERROR(IF(VALUE(MID($B1116,2,20))&lt;100000000,VALUE(MID($B1116,2,20)),1000000000),1000000000))+ROW()/100000,"")</f>
        <v/>
      </c>
    </row>
    <row r="1117">
      <c r="A1117">
        <f>IF($B1117="","",IFERROR(IF(INDEX('Per Invoice'!$A$2:$A$801,MATCH($B1117,'Per Invoice'!$B$2:$B$801,0))=0,"",INDEX('Per Invoice'!$A$2:$A$801,MATCH($B1117,'Per Invoice'!$B$2:$B$801,0))),""))</f>
        <v/>
      </c>
      <c r="J1117" s="7">
        <f>IF($B1117="","",I1117*Q1117/100)</f>
        <v/>
      </c>
      <c r="N1117" s="7" t="n"/>
      <c r="O1117" s="7" t="n"/>
      <c r="P1117" s="7">
        <f>IF($B1117="","",O1117*X1117/100)</f>
        <v/>
      </c>
      <c r="Q1117" s="7">
        <f>IF($B1117="","",O1117-P1117)</f>
        <v/>
      </c>
      <c r="R1117" s="7">
        <f>IF($B1117="","",Q1117-J1117)</f>
        <v/>
      </c>
      <c r="S1117" s="7" t="n"/>
      <c r="T1117" s="7" t="n"/>
      <c r="V1117" s="14" t="n"/>
      <c r="Z1117">
        <f>IF($B1117="","",IF(COUNTIF($B$2:$B1117,$B1117)=1,1,0))</f>
        <v/>
      </c>
      <c r="AA1117">
        <f>IF($Z1117=1,SUMPRODUCT(--($AC$2:$AC$3001&lt;$AC1117))+1,"")</f>
        <v/>
      </c>
      <c r="AB1117">
        <f>IF($B1117="","",IF(OR($Y1117=TRUE(),$Y1117="TRUE"),1,IF(AND($Y1117&lt;&gt;"",OR($Y1117=FALSE(),$Y1117="FALSE")),0,IF(MIN(ABS($X1117/100-Settings!$C$6),ABS($X1117/100-Settings!$G$6))&lt;=MIN(ABS($X1117/100-Settings!$C$7),ABS($X1117/100-Settings!$G$7)),1,0))))</f>
        <v/>
      </c>
      <c r="AC1117">
        <f>IF($Z1117=1,IFERROR(IF(VALUE($B1117)&lt;100000000,VALUE($B1117),1000000000),IFERROR(IF(VALUE(MID($B1117,2,20))&lt;100000000,VALUE(MID($B1117,2,20)),1000000000),1000000000))+ROW()/100000,"")</f>
        <v/>
      </c>
    </row>
    <row r="1118">
      <c r="A1118">
        <f>IF($B1118="","",IFERROR(IF(INDEX('Per Invoice'!$A$2:$A$801,MATCH($B1118,'Per Invoice'!$B$2:$B$801,0))=0,"",INDEX('Per Invoice'!$A$2:$A$801,MATCH($B1118,'Per Invoice'!$B$2:$B$801,0))),""))</f>
        <v/>
      </c>
      <c r="J1118" s="7">
        <f>IF($B1118="","",I1118*Q1118/100)</f>
        <v/>
      </c>
      <c r="N1118" s="7" t="n"/>
      <c r="O1118" s="7" t="n"/>
      <c r="P1118" s="7">
        <f>IF($B1118="","",O1118*X1118/100)</f>
        <v/>
      </c>
      <c r="Q1118" s="7">
        <f>IF($B1118="","",O1118-P1118)</f>
        <v/>
      </c>
      <c r="R1118" s="7">
        <f>IF($B1118="","",Q1118-J1118)</f>
        <v/>
      </c>
      <c r="S1118" s="7" t="n"/>
      <c r="T1118" s="7" t="n"/>
      <c r="V1118" s="14" t="n"/>
      <c r="Z1118">
        <f>IF($B1118="","",IF(COUNTIF($B$2:$B1118,$B1118)=1,1,0))</f>
        <v/>
      </c>
      <c r="AA1118">
        <f>IF($Z1118=1,SUMPRODUCT(--($AC$2:$AC$3001&lt;$AC1118))+1,"")</f>
        <v/>
      </c>
      <c r="AB1118">
        <f>IF($B1118="","",IF(OR($Y1118=TRUE(),$Y1118="TRUE"),1,IF(AND($Y1118&lt;&gt;"",OR($Y1118=FALSE(),$Y1118="FALSE")),0,IF(MIN(ABS($X1118/100-Settings!$C$6),ABS($X1118/100-Settings!$G$6))&lt;=MIN(ABS($X1118/100-Settings!$C$7),ABS($X1118/100-Settings!$G$7)),1,0))))</f>
        <v/>
      </c>
      <c r="AC1118">
        <f>IF($Z1118=1,IFERROR(IF(VALUE($B1118)&lt;100000000,VALUE($B1118),1000000000),IFERROR(IF(VALUE(MID($B1118,2,20))&lt;100000000,VALUE(MID($B1118,2,20)),1000000000),1000000000))+ROW()/100000,"")</f>
        <v/>
      </c>
    </row>
    <row r="1119">
      <c r="A1119">
        <f>IF($B1119="","",IFERROR(IF(INDEX('Per Invoice'!$A$2:$A$801,MATCH($B1119,'Per Invoice'!$B$2:$B$801,0))=0,"",INDEX('Per Invoice'!$A$2:$A$801,MATCH($B1119,'Per Invoice'!$B$2:$B$801,0))),""))</f>
        <v/>
      </c>
      <c r="J1119" s="7">
        <f>IF($B1119="","",I1119*Q1119/100)</f>
        <v/>
      </c>
      <c r="N1119" s="7" t="n"/>
      <c r="O1119" s="7" t="n"/>
      <c r="P1119" s="7">
        <f>IF($B1119="","",O1119*X1119/100)</f>
        <v/>
      </c>
      <c r="Q1119" s="7">
        <f>IF($B1119="","",O1119-P1119)</f>
        <v/>
      </c>
      <c r="R1119" s="7">
        <f>IF($B1119="","",Q1119-J1119)</f>
        <v/>
      </c>
      <c r="S1119" s="7" t="n"/>
      <c r="T1119" s="7" t="n"/>
      <c r="V1119" s="14" t="n"/>
      <c r="Z1119">
        <f>IF($B1119="","",IF(COUNTIF($B$2:$B1119,$B1119)=1,1,0))</f>
        <v/>
      </c>
      <c r="AA1119">
        <f>IF($Z1119=1,SUMPRODUCT(--($AC$2:$AC$3001&lt;$AC1119))+1,"")</f>
        <v/>
      </c>
      <c r="AB1119">
        <f>IF($B1119="","",IF(OR($Y1119=TRUE(),$Y1119="TRUE"),1,IF(AND($Y1119&lt;&gt;"",OR($Y1119=FALSE(),$Y1119="FALSE")),0,IF(MIN(ABS($X1119/100-Settings!$C$6),ABS($X1119/100-Settings!$G$6))&lt;=MIN(ABS($X1119/100-Settings!$C$7),ABS($X1119/100-Settings!$G$7)),1,0))))</f>
        <v/>
      </c>
      <c r="AC1119">
        <f>IF($Z1119=1,IFERROR(IF(VALUE($B1119)&lt;100000000,VALUE($B1119),1000000000),IFERROR(IF(VALUE(MID($B1119,2,20))&lt;100000000,VALUE(MID($B1119,2,20)),1000000000),1000000000))+ROW()/100000,"")</f>
        <v/>
      </c>
    </row>
    <row r="1120">
      <c r="A1120">
        <f>IF($B1120="","",IFERROR(IF(INDEX('Per Invoice'!$A$2:$A$801,MATCH($B1120,'Per Invoice'!$B$2:$B$801,0))=0,"",INDEX('Per Invoice'!$A$2:$A$801,MATCH($B1120,'Per Invoice'!$B$2:$B$801,0))),""))</f>
        <v/>
      </c>
      <c r="J1120" s="7">
        <f>IF($B1120="","",I1120*Q1120/100)</f>
        <v/>
      </c>
      <c r="N1120" s="7" t="n"/>
      <c r="O1120" s="7" t="n"/>
      <c r="P1120" s="7">
        <f>IF($B1120="","",O1120*X1120/100)</f>
        <v/>
      </c>
      <c r="Q1120" s="7">
        <f>IF($B1120="","",O1120-P1120)</f>
        <v/>
      </c>
      <c r="R1120" s="7">
        <f>IF($B1120="","",Q1120-J1120)</f>
        <v/>
      </c>
      <c r="S1120" s="7" t="n"/>
      <c r="T1120" s="7" t="n"/>
      <c r="V1120" s="14" t="n"/>
      <c r="Z1120">
        <f>IF($B1120="","",IF(COUNTIF($B$2:$B1120,$B1120)=1,1,0))</f>
        <v/>
      </c>
      <c r="AA1120">
        <f>IF($Z1120=1,SUMPRODUCT(--($AC$2:$AC$3001&lt;$AC1120))+1,"")</f>
        <v/>
      </c>
      <c r="AB1120">
        <f>IF($B1120="","",IF(OR($Y1120=TRUE(),$Y1120="TRUE"),1,IF(AND($Y1120&lt;&gt;"",OR($Y1120=FALSE(),$Y1120="FALSE")),0,IF(MIN(ABS($X1120/100-Settings!$C$6),ABS($X1120/100-Settings!$G$6))&lt;=MIN(ABS($X1120/100-Settings!$C$7),ABS($X1120/100-Settings!$G$7)),1,0))))</f>
        <v/>
      </c>
      <c r="AC1120">
        <f>IF($Z1120=1,IFERROR(IF(VALUE($B1120)&lt;100000000,VALUE($B1120),1000000000),IFERROR(IF(VALUE(MID($B1120,2,20))&lt;100000000,VALUE(MID($B1120,2,20)),1000000000),1000000000))+ROW()/100000,"")</f>
        <v/>
      </c>
    </row>
    <row r="1121">
      <c r="A1121">
        <f>IF($B1121="","",IFERROR(IF(INDEX('Per Invoice'!$A$2:$A$801,MATCH($B1121,'Per Invoice'!$B$2:$B$801,0))=0,"",INDEX('Per Invoice'!$A$2:$A$801,MATCH($B1121,'Per Invoice'!$B$2:$B$801,0))),""))</f>
        <v/>
      </c>
      <c r="J1121" s="7">
        <f>IF($B1121="","",I1121*Q1121/100)</f>
        <v/>
      </c>
      <c r="N1121" s="7" t="n"/>
      <c r="O1121" s="7" t="n"/>
      <c r="P1121" s="7">
        <f>IF($B1121="","",O1121*X1121/100)</f>
        <v/>
      </c>
      <c r="Q1121" s="7">
        <f>IF($B1121="","",O1121-P1121)</f>
        <v/>
      </c>
      <c r="R1121" s="7">
        <f>IF($B1121="","",Q1121-J1121)</f>
        <v/>
      </c>
      <c r="S1121" s="7" t="n"/>
      <c r="T1121" s="7" t="n"/>
      <c r="V1121" s="14" t="n"/>
      <c r="Z1121">
        <f>IF($B1121="","",IF(COUNTIF($B$2:$B1121,$B1121)=1,1,0))</f>
        <v/>
      </c>
      <c r="AA1121">
        <f>IF($Z1121=1,SUMPRODUCT(--($AC$2:$AC$3001&lt;$AC1121))+1,"")</f>
        <v/>
      </c>
      <c r="AB1121">
        <f>IF($B1121="","",IF(OR($Y1121=TRUE(),$Y1121="TRUE"),1,IF(AND($Y1121&lt;&gt;"",OR($Y1121=FALSE(),$Y1121="FALSE")),0,IF(MIN(ABS($X1121/100-Settings!$C$6),ABS($X1121/100-Settings!$G$6))&lt;=MIN(ABS($X1121/100-Settings!$C$7),ABS($X1121/100-Settings!$G$7)),1,0))))</f>
        <v/>
      </c>
      <c r="AC1121">
        <f>IF($Z1121=1,IFERROR(IF(VALUE($B1121)&lt;100000000,VALUE($B1121),1000000000),IFERROR(IF(VALUE(MID($B1121,2,20))&lt;100000000,VALUE(MID($B1121,2,20)),1000000000),1000000000))+ROW()/100000,"")</f>
        <v/>
      </c>
    </row>
    <row r="1122">
      <c r="A1122">
        <f>IF($B1122="","",IFERROR(IF(INDEX('Per Invoice'!$A$2:$A$801,MATCH($B1122,'Per Invoice'!$B$2:$B$801,0))=0,"",INDEX('Per Invoice'!$A$2:$A$801,MATCH($B1122,'Per Invoice'!$B$2:$B$801,0))),""))</f>
        <v/>
      </c>
      <c r="J1122" s="7">
        <f>IF($B1122="","",I1122*Q1122/100)</f>
        <v/>
      </c>
      <c r="N1122" s="7" t="n"/>
      <c r="O1122" s="7" t="n"/>
      <c r="P1122" s="7">
        <f>IF($B1122="","",O1122*X1122/100)</f>
        <v/>
      </c>
      <c r="Q1122" s="7">
        <f>IF($B1122="","",O1122-P1122)</f>
        <v/>
      </c>
      <c r="R1122" s="7">
        <f>IF($B1122="","",Q1122-J1122)</f>
        <v/>
      </c>
      <c r="S1122" s="7" t="n"/>
      <c r="T1122" s="7" t="n"/>
      <c r="V1122" s="14" t="n"/>
      <c r="Z1122">
        <f>IF($B1122="","",IF(COUNTIF($B$2:$B1122,$B1122)=1,1,0))</f>
        <v/>
      </c>
      <c r="AA1122">
        <f>IF($Z1122=1,SUMPRODUCT(--($AC$2:$AC$3001&lt;$AC1122))+1,"")</f>
        <v/>
      </c>
      <c r="AB1122">
        <f>IF($B1122="","",IF(OR($Y1122=TRUE(),$Y1122="TRUE"),1,IF(AND($Y1122&lt;&gt;"",OR($Y1122=FALSE(),$Y1122="FALSE")),0,IF(MIN(ABS($X1122/100-Settings!$C$6),ABS($X1122/100-Settings!$G$6))&lt;=MIN(ABS($X1122/100-Settings!$C$7),ABS($X1122/100-Settings!$G$7)),1,0))))</f>
        <v/>
      </c>
      <c r="AC1122">
        <f>IF($Z1122=1,IFERROR(IF(VALUE($B1122)&lt;100000000,VALUE($B1122),1000000000),IFERROR(IF(VALUE(MID($B1122,2,20))&lt;100000000,VALUE(MID($B1122,2,20)),1000000000),1000000000))+ROW()/100000,"")</f>
        <v/>
      </c>
    </row>
    <row r="1123">
      <c r="A1123">
        <f>IF($B1123="","",IFERROR(IF(INDEX('Per Invoice'!$A$2:$A$801,MATCH($B1123,'Per Invoice'!$B$2:$B$801,0))=0,"",INDEX('Per Invoice'!$A$2:$A$801,MATCH($B1123,'Per Invoice'!$B$2:$B$801,0))),""))</f>
        <v/>
      </c>
      <c r="J1123" s="7">
        <f>IF($B1123="","",I1123*Q1123/100)</f>
        <v/>
      </c>
      <c r="N1123" s="7" t="n"/>
      <c r="O1123" s="7" t="n"/>
      <c r="P1123" s="7">
        <f>IF($B1123="","",O1123*X1123/100)</f>
        <v/>
      </c>
      <c r="Q1123" s="7">
        <f>IF($B1123="","",O1123-P1123)</f>
        <v/>
      </c>
      <c r="R1123" s="7">
        <f>IF($B1123="","",Q1123-J1123)</f>
        <v/>
      </c>
      <c r="S1123" s="7" t="n"/>
      <c r="T1123" s="7" t="n"/>
      <c r="V1123" s="14" t="n"/>
      <c r="Z1123">
        <f>IF($B1123="","",IF(COUNTIF($B$2:$B1123,$B1123)=1,1,0))</f>
        <v/>
      </c>
      <c r="AA1123">
        <f>IF($Z1123=1,SUMPRODUCT(--($AC$2:$AC$3001&lt;$AC1123))+1,"")</f>
        <v/>
      </c>
      <c r="AB1123">
        <f>IF($B1123="","",IF(OR($Y1123=TRUE(),$Y1123="TRUE"),1,IF(AND($Y1123&lt;&gt;"",OR($Y1123=FALSE(),$Y1123="FALSE")),0,IF(MIN(ABS($X1123/100-Settings!$C$6),ABS($X1123/100-Settings!$G$6))&lt;=MIN(ABS($X1123/100-Settings!$C$7),ABS($X1123/100-Settings!$G$7)),1,0))))</f>
        <v/>
      </c>
      <c r="AC1123">
        <f>IF($Z1123=1,IFERROR(IF(VALUE($B1123)&lt;100000000,VALUE($B1123),1000000000),IFERROR(IF(VALUE(MID($B1123,2,20))&lt;100000000,VALUE(MID($B1123,2,20)),1000000000),1000000000))+ROW()/100000,"")</f>
        <v/>
      </c>
    </row>
    <row r="1124">
      <c r="A1124">
        <f>IF($B1124="","",IFERROR(IF(INDEX('Per Invoice'!$A$2:$A$801,MATCH($B1124,'Per Invoice'!$B$2:$B$801,0))=0,"",INDEX('Per Invoice'!$A$2:$A$801,MATCH($B1124,'Per Invoice'!$B$2:$B$801,0))),""))</f>
        <v/>
      </c>
      <c r="J1124" s="7">
        <f>IF($B1124="","",I1124*Q1124/100)</f>
        <v/>
      </c>
      <c r="N1124" s="7" t="n"/>
      <c r="O1124" s="7" t="n"/>
      <c r="P1124" s="7">
        <f>IF($B1124="","",O1124*X1124/100)</f>
        <v/>
      </c>
      <c r="Q1124" s="7">
        <f>IF($B1124="","",O1124-P1124)</f>
        <v/>
      </c>
      <c r="R1124" s="7">
        <f>IF($B1124="","",Q1124-J1124)</f>
        <v/>
      </c>
      <c r="S1124" s="7" t="n"/>
      <c r="T1124" s="7" t="n"/>
      <c r="V1124" s="14" t="n"/>
      <c r="Z1124">
        <f>IF($B1124="","",IF(COUNTIF($B$2:$B1124,$B1124)=1,1,0))</f>
        <v/>
      </c>
      <c r="AA1124">
        <f>IF($Z1124=1,SUMPRODUCT(--($AC$2:$AC$3001&lt;$AC1124))+1,"")</f>
        <v/>
      </c>
      <c r="AB1124">
        <f>IF($B1124="","",IF(OR($Y1124=TRUE(),$Y1124="TRUE"),1,IF(AND($Y1124&lt;&gt;"",OR($Y1124=FALSE(),$Y1124="FALSE")),0,IF(MIN(ABS($X1124/100-Settings!$C$6),ABS($X1124/100-Settings!$G$6))&lt;=MIN(ABS($X1124/100-Settings!$C$7),ABS($X1124/100-Settings!$G$7)),1,0))))</f>
        <v/>
      </c>
      <c r="AC1124">
        <f>IF($Z1124=1,IFERROR(IF(VALUE($B1124)&lt;100000000,VALUE($B1124),1000000000),IFERROR(IF(VALUE(MID($B1124,2,20))&lt;100000000,VALUE(MID($B1124,2,20)),1000000000),1000000000))+ROW()/100000,"")</f>
        <v/>
      </c>
    </row>
    <row r="1125">
      <c r="A1125">
        <f>IF($B1125="","",IFERROR(IF(INDEX('Per Invoice'!$A$2:$A$801,MATCH($B1125,'Per Invoice'!$B$2:$B$801,0))=0,"",INDEX('Per Invoice'!$A$2:$A$801,MATCH($B1125,'Per Invoice'!$B$2:$B$801,0))),""))</f>
        <v/>
      </c>
      <c r="J1125" s="7">
        <f>IF($B1125="","",I1125*Q1125/100)</f>
        <v/>
      </c>
      <c r="N1125" s="7" t="n"/>
      <c r="O1125" s="7" t="n"/>
      <c r="P1125" s="7">
        <f>IF($B1125="","",O1125*X1125/100)</f>
        <v/>
      </c>
      <c r="Q1125" s="7">
        <f>IF($B1125="","",O1125-P1125)</f>
        <v/>
      </c>
      <c r="R1125" s="7">
        <f>IF($B1125="","",Q1125-J1125)</f>
        <v/>
      </c>
      <c r="S1125" s="7" t="n"/>
      <c r="T1125" s="7" t="n"/>
      <c r="V1125" s="14" t="n"/>
      <c r="Z1125">
        <f>IF($B1125="","",IF(COUNTIF($B$2:$B1125,$B1125)=1,1,0))</f>
        <v/>
      </c>
      <c r="AA1125">
        <f>IF($Z1125=1,SUMPRODUCT(--($AC$2:$AC$3001&lt;$AC1125))+1,"")</f>
        <v/>
      </c>
      <c r="AB1125">
        <f>IF($B1125="","",IF(OR($Y1125=TRUE(),$Y1125="TRUE"),1,IF(AND($Y1125&lt;&gt;"",OR($Y1125=FALSE(),$Y1125="FALSE")),0,IF(MIN(ABS($X1125/100-Settings!$C$6),ABS($X1125/100-Settings!$G$6))&lt;=MIN(ABS($X1125/100-Settings!$C$7),ABS($X1125/100-Settings!$G$7)),1,0))))</f>
        <v/>
      </c>
      <c r="AC1125">
        <f>IF($Z1125=1,IFERROR(IF(VALUE($B1125)&lt;100000000,VALUE($B1125),1000000000),IFERROR(IF(VALUE(MID($B1125,2,20))&lt;100000000,VALUE(MID($B1125,2,20)),1000000000),1000000000))+ROW()/100000,"")</f>
        <v/>
      </c>
    </row>
    <row r="1126">
      <c r="A1126">
        <f>IF($B1126="","",IFERROR(IF(INDEX('Per Invoice'!$A$2:$A$801,MATCH($B1126,'Per Invoice'!$B$2:$B$801,0))=0,"",INDEX('Per Invoice'!$A$2:$A$801,MATCH($B1126,'Per Invoice'!$B$2:$B$801,0))),""))</f>
        <v/>
      </c>
      <c r="J1126" s="7">
        <f>IF($B1126="","",I1126*Q1126/100)</f>
        <v/>
      </c>
      <c r="N1126" s="7" t="n"/>
      <c r="O1126" s="7" t="n"/>
      <c r="P1126" s="7">
        <f>IF($B1126="","",O1126*X1126/100)</f>
        <v/>
      </c>
      <c r="Q1126" s="7">
        <f>IF($B1126="","",O1126-P1126)</f>
        <v/>
      </c>
      <c r="R1126" s="7">
        <f>IF($B1126="","",Q1126-J1126)</f>
        <v/>
      </c>
      <c r="S1126" s="7" t="n"/>
      <c r="T1126" s="7" t="n"/>
      <c r="V1126" s="14" t="n"/>
      <c r="Z1126">
        <f>IF($B1126="","",IF(COUNTIF($B$2:$B1126,$B1126)=1,1,0))</f>
        <v/>
      </c>
      <c r="AA1126">
        <f>IF($Z1126=1,SUMPRODUCT(--($AC$2:$AC$3001&lt;$AC1126))+1,"")</f>
        <v/>
      </c>
      <c r="AB1126">
        <f>IF($B1126="","",IF(OR($Y1126=TRUE(),$Y1126="TRUE"),1,IF(AND($Y1126&lt;&gt;"",OR($Y1126=FALSE(),$Y1126="FALSE")),0,IF(MIN(ABS($X1126/100-Settings!$C$6),ABS($X1126/100-Settings!$G$6))&lt;=MIN(ABS($X1126/100-Settings!$C$7),ABS($X1126/100-Settings!$G$7)),1,0))))</f>
        <v/>
      </c>
      <c r="AC1126">
        <f>IF($Z1126=1,IFERROR(IF(VALUE($B1126)&lt;100000000,VALUE($B1126),1000000000),IFERROR(IF(VALUE(MID($B1126,2,20))&lt;100000000,VALUE(MID($B1126,2,20)),1000000000),1000000000))+ROW()/100000,"")</f>
        <v/>
      </c>
    </row>
    <row r="1127">
      <c r="A1127">
        <f>IF($B1127="","",IFERROR(IF(INDEX('Per Invoice'!$A$2:$A$801,MATCH($B1127,'Per Invoice'!$B$2:$B$801,0))=0,"",INDEX('Per Invoice'!$A$2:$A$801,MATCH($B1127,'Per Invoice'!$B$2:$B$801,0))),""))</f>
        <v/>
      </c>
      <c r="J1127" s="7">
        <f>IF($B1127="","",I1127*Q1127/100)</f>
        <v/>
      </c>
      <c r="N1127" s="7" t="n"/>
      <c r="O1127" s="7" t="n"/>
      <c r="P1127" s="7">
        <f>IF($B1127="","",O1127*X1127/100)</f>
        <v/>
      </c>
      <c r="Q1127" s="7">
        <f>IF($B1127="","",O1127-P1127)</f>
        <v/>
      </c>
      <c r="R1127" s="7">
        <f>IF($B1127="","",Q1127-J1127)</f>
        <v/>
      </c>
      <c r="S1127" s="7" t="n"/>
      <c r="T1127" s="7" t="n"/>
      <c r="V1127" s="14" t="n"/>
      <c r="Z1127">
        <f>IF($B1127="","",IF(COUNTIF($B$2:$B1127,$B1127)=1,1,0))</f>
        <v/>
      </c>
      <c r="AA1127">
        <f>IF($Z1127=1,SUMPRODUCT(--($AC$2:$AC$3001&lt;$AC1127))+1,"")</f>
        <v/>
      </c>
      <c r="AB1127">
        <f>IF($B1127="","",IF(OR($Y1127=TRUE(),$Y1127="TRUE"),1,IF(AND($Y1127&lt;&gt;"",OR($Y1127=FALSE(),$Y1127="FALSE")),0,IF(MIN(ABS($X1127/100-Settings!$C$6),ABS($X1127/100-Settings!$G$6))&lt;=MIN(ABS($X1127/100-Settings!$C$7),ABS($X1127/100-Settings!$G$7)),1,0))))</f>
        <v/>
      </c>
      <c r="AC1127">
        <f>IF($Z1127=1,IFERROR(IF(VALUE($B1127)&lt;100000000,VALUE($B1127),1000000000),IFERROR(IF(VALUE(MID($B1127,2,20))&lt;100000000,VALUE(MID($B1127,2,20)),1000000000),1000000000))+ROW()/100000,"")</f>
        <v/>
      </c>
    </row>
    <row r="1128">
      <c r="A1128">
        <f>IF($B1128="","",IFERROR(IF(INDEX('Per Invoice'!$A$2:$A$801,MATCH($B1128,'Per Invoice'!$B$2:$B$801,0))=0,"",INDEX('Per Invoice'!$A$2:$A$801,MATCH($B1128,'Per Invoice'!$B$2:$B$801,0))),""))</f>
        <v/>
      </c>
      <c r="J1128" s="7">
        <f>IF($B1128="","",I1128*Q1128/100)</f>
        <v/>
      </c>
      <c r="N1128" s="7" t="n"/>
      <c r="O1128" s="7" t="n"/>
      <c r="P1128" s="7">
        <f>IF($B1128="","",O1128*X1128/100)</f>
        <v/>
      </c>
      <c r="Q1128" s="7">
        <f>IF($B1128="","",O1128-P1128)</f>
        <v/>
      </c>
      <c r="R1128" s="7">
        <f>IF($B1128="","",Q1128-J1128)</f>
        <v/>
      </c>
      <c r="S1128" s="7" t="n"/>
      <c r="T1128" s="7" t="n"/>
      <c r="V1128" s="14" t="n"/>
      <c r="Z1128">
        <f>IF($B1128="","",IF(COUNTIF($B$2:$B1128,$B1128)=1,1,0))</f>
        <v/>
      </c>
      <c r="AA1128">
        <f>IF($Z1128=1,SUMPRODUCT(--($AC$2:$AC$3001&lt;$AC1128))+1,"")</f>
        <v/>
      </c>
      <c r="AB1128">
        <f>IF($B1128="","",IF(OR($Y1128=TRUE(),$Y1128="TRUE"),1,IF(AND($Y1128&lt;&gt;"",OR($Y1128=FALSE(),$Y1128="FALSE")),0,IF(MIN(ABS($X1128/100-Settings!$C$6),ABS($X1128/100-Settings!$G$6))&lt;=MIN(ABS($X1128/100-Settings!$C$7),ABS($X1128/100-Settings!$G$7)),1,0))))</f>
        <v/>
      </c>
      <c r="AC1128">
        <f>IF($Z1128=1,IFERROR(IF(VALUE($B1128)&lt;100000000,VALUE($B1128),1000000000),IFERROR(IF(VALUE(MID($B1128,2,20))&lt;100000000,VALUE(MID($B1128,2,20)),1000000000),1000000000))+ROW()/100000,"")</f>
        <v/>
      </c>
    </row>
    <row r="1129">
      <c r="A1129">
        <f>IF($B1129="","",IFERROR(IF(INDEX('Per Invoice'!$A$2:$A$801,MATCH($B1129,'Per Invoice'!$B$2:$B$801,0))=0,"",INDEX('Per Invoice'!$A$2:$A$801,MATCH($B1129,'Per Invoice'!$B$2:$B$801,0))),""))</f>
        <v/>
      </c>
      <c r="J1129" s="7">
        <f>IF($B1129="","",I1129*Q1129/100)</f>
        <v/>
      </c>
      <c r="N1129" s="7" t="n"/>
      <c r="O1129" s="7" t="n"/>
      <c r="P1129" s="7">
        <f>IF($B1129="","",O1129*X1129/100)</f>
        <v/>
      </c>
      <c r="Q1129" s="7">
        <f>IF($B1129="","",O1129-P1129)</f>
        <v/>
      </c>
      <c r="R1129" s="7">
        <f>IF($B1129="","",Q1129-J1129)</f>
        <v/>
      </c>
      <c r="S1129" s="7" t="n"/>
      <c r="T1129" s="7" t="n"/>
      <c r="V1129" s="14" t="n"/>
      <c r="Z1129">
        <f>IF($B1129="","",IF(COUNTIF($B$2:$B1129,$B1129)=1,1,0))</f>
        <v/>
      </c>
      <c r="AA1129">
        <f>IF($Z1129=1,SUMPRODUCT(--($AC$2:$AC$3001&lt;$AC1129))+1,"")</f>
        <v/>
      </c>
      <c r="AB1129">
        <f>IF($B1129="","",IF(OR($Y1129=TRUE(),$Y1129="TRUE"),1,IF(AND($Y1129&lt;&gt;"",OR($Y1129=FALSE(),$Y1129="FALSE")),0,IF(MIN(ABS($X1129/100-Settings!$C$6),ABS($X1129/100-Settings!$G$6))&lt;=MIN(ABS($X1129/100-Settings!$C$7),ABS($X1129/100-Settings!$G$7)),1,0))))</f>
        <v/>
      </c>
      <c r="AC1129">
        <f>IF($Z1129=1,IFERROR(IF(VALUE($B1129)&lt;100000000,VALUE($B1129),1000000000),IFERROR(IF(VALUE(MID($B1129,2,20))&lt;100000000,VALUE(MID($B1129,2,20)),1000000000),1000000000))+ROW()/100000,"")</f>
        <v/>
      </c>
    </row>
    <row r="1130">
      <c r="A1130">
        <f>IF($B1130="","",IFERROR(IF(INDEX('Per Invoice'!$A$2:$A$801,MATCH($B1130,'Per Invoice'!$B$2:$B$801,0))=0,"",INDEX('Per Invoice'!$A$2:$A$801,MATCH($B1130,'Per Invoice'!$B$2:$B$801,0))),""))</f>
        <v/>
      </c>
      <c r="J1130" s="7">
        <f>IF($B1130="","",I1130*Q1130/100)</f>
        <v/>
      </c>
      <c r="N1130" s="7" t="n"/>
      <c r="O1130" s="7" t="n"/>
      <c r="P1130" s="7">
        <f>IF($B1130="","",O1130*X1130/100)</f>
        <v/>
      </c>
      <c r="Q1130" s="7">
        <f>IF($B1130="","",O1130-P1130)</f>
        <v/>
      </c>
      <c r="R1130" s="7">
        <f>IF($B1130="","",Q1130-J1130)</f>
        <v/>
      </c>
      <c r="S1130" s="7" t="n"/>
      <c r="T1130" s="7" t="n"/>
      <c r="V1130" s="14" t="n"/>
      <c r="Z1130">
        <f>IF($B1130="","",IF(COUNTIF($B$2:$B1130,$B1130)=1,1,0))</f>
        <v/>
      </c>
      <c r="AA1130">
        <f>IF($Z1130=1,SUMPRODUCT(--($AC$2:$AC$3001&lt;$AC1130))+1,"")</f>
        <v/>
      </c>
      <c r="AB1130">
        <f>IF($B1130="","",IF(OR($Y1130=TRUE(),$Y1130="TRUE"),1,IF(AND($Y1130&lt;&gt;"",OR($Y1130=FALSE(),$Y1130="FALSE")),0,IF(MIN(ABS($X1130/100-Settings!$C$6),ABS($X1130/100-Settings!$G$6))&lt;=MIN(ABS($X1130/100-Settings!$C$7),ABS($X1130/100-Settings!$G$7)),1,0))))</f>
        <v/>
      </c>
      <c r="AC1130">
        <f>IF($Z1130=1,IFERROR(IF(VALUE($B1130)&lt;100000000,VALUE($B1130),1000000000),IFERROR(IF(VALUE(MID($B1130,2,20))&lt;100000000,VALUE(MID($B1130,2,20)),1000000000),1000000000))+ROW()/100000,"")</f>
        <v/>
      </c>
    </row>
    <row r="1131">
      <c r="A1131">
        <f>IF($B1131="","",IFERROR(IF(INDEX('Per Invoice'!$A$2:$A$801,MATCH($B1131,'Per Invoice'!$B$2:$B$801,0))=0,"",INDEX('Per Invoice'!$A$2:$A$801,MATCH($B1131,'Per Invoice'!$B$2:$B$801,0))),""))</f>
        <v/>
      </c>
      <c r="J1131" s="7">
        <f>IF($B1131="","",I1131*Q1131/100)</f>
        <v/>
      </c>
      <c r="N1131" s="7" t="n"/>
      <c r="O1131" s="7" t="n"/>
      <c r="P1131" s="7">
        <f>IF($B1131="","",O1131*X1131/100)</f>
        <v/>
      </c>
      <c r="Q1131" s="7">
        <f>IF($B1131="","",O1131-P1131)</f>
        <v/>
      </c>
      <c r="R1131" s="7">
        <f>IF($B1131="","",Q1131-J1131)</f>
        <v/>
      </c>
      <c r="S1131" s="7" t="n"/>
      <c r="T1131" s="7" t="n"/>
      <c r="V1131" s="14" t="n"/>
      <c r="Z1131">
        <f>IF($B1131="","",IF(COUNTIF($B$2:$B1131,$B1131)=1,1,0))</f>
        <v/>
      </c>
      <c r="AA1131">
        <f>IF($Z1131=1,SUMPRODUCT(--($AC$2:$AC$3001&lt;$AC1131))+1,"")</f>
        <v/>
      </c>
      <c r="AB1131">
        <f>IF($B1131="","",IF(OR($Y1131=TRUE(),$Y1131="TRUE"),1,IF(AND($Y1131&lt;&gt;"",OR($Y1131=FALSE(),$Y1131="FALSE")),0,IF(MIN(ABS($X1131/100-Settings!$C$6),ABS($X1131/100-Settings!$G$6))&lt;=MIN(ABS($X1131/100-Settings!$C$7),ABS($X1131/100-Settings!$G$7)),1,0))))</f>
        <v/>
      </c>
      <c r="AC1131">
        <f>IF($Z1131=1,IFERROR(IF(VALUE($B1131)&lt;100000000,VALUE($B1131),1000000000),IFERROR(IF(VALUE(MID($B1131,2,20))&lt;100000000,VALUE(MID($B1131,2,20)),1000000000),1000000000))+ROW()/100000,"")</f>
        <v/>
      </c>
    </row>
    <row r="1132">
      <c r="A1132">
        <f>IF($B1132="","",IFERROR(IF(INDEX('Per Invoice'!$A$2:$A$801,MATCH($B1132,'Per Invoice'!$B$2:$B$801,0))=0,"",INDEX('Per Invoice'!$A$2:$A$801,MATCH($B1132,'Per Invoice'!$B$2:$B$801,0))),""))</f>
        <v/>
      </c>
      <c r="J1132" s="7">
        <f>IF($B1132="","",I1132*Q1132/100)</f>
        <v/>
      </c>
      <c r="N1132" s="7" t="n"/>
      <c r="O1132" s="7" t="n"/>
      <c r="P1132" s="7">
        <f>IF($B1132="","",O1132*X1132/100)</f>
        <v/>
      </c>
      <c r="Q1132" s="7">
        <f>IF($B1132="","",O1132-P1132)</f>
        <v/>
      </c>
      <c r="R1132" s="7">
        <f>IF($B1132="","",Q1132-J1132)</f>
        <v/>
      </c>
      <c r="S1132" s="7" t="n"/>
      <c r="T1132" s="7" t="n"/>
      <c r="V1132" s="14" t="n"/>
      <c r="Z1132">
        <f>IF($B1132="","",IF(COUNTIF($B$2:$B1132,$B1132)=1,1,0))</f>
        <v/>
      </c>
      <c r="AA1132">
        <f>IF($Z1132=1,SUMPRODUCT(--($AC$2:$AC$3001&lt;$AC1132))+1,"")</f>
        <v/>
      </c>
      <c r="AB1132">
        <f>IF($B1132="","",IF(OR($Y1132=TRUE(),$Y1132="TRUE"),1,IF(AND($Y1132&lt;&gt;"",OR($Y1132=FALSE(),$Y1132="FALSE")),0,IF(MIN(ABS($X1132/100-Settings!$C$6),ABS($X1132/100-Settings!$G$6))&lt;=MIN(ABS($X1132/100-Settings!$C$7),ABS($X1132/100-Settings!$G$7)),1,0))))</f>
        <v/>
      </c>
      <c r="AC1132">
        <f>IF($Z1132=1,IFERROR(IF(VALUE($B1132)&lt;100000000,VALUE($B1132),1000000000),IFERROR(IF(VALUE(MID($B1132,2,20))&lt;100000000,VALUE(MID($B1132,2,20)),1000000000),1000000000))+ROW()/100000,"")</f>
        <v/>
      </c>
    </row>
    <row r="1133">
      <c r="A1133">
        <f>IF($B1133="","",IFERROR(IF(INDEX('Per Invoice'!$A$2:$A$801,MATCH($B1133,'Per Invoice'!$B$2:$B$801,0))=0,"",INDEX('Per Invoice'!$A$2:$A$801,MATCH($B1133,'Per Invoice'!$B$2:$B$801,0))),""))</f>
        <v/>
      </c>
      <c r="J1133" s="7">
        <f>IF($B1133="","",I1133*Q1133/100)</f>
        <v/>
      </c>
      <c r="N1133" s="7" t="n"/>
      <c r="O1133" s="7" t="n"/>
      <c r="P1133" s="7">
        <f>IF($B1133="","",O1133*X1133/100)</f>
        <v/>
      </c>
      <c r="Q1133" s="7">
        <f>IF($B1133="","",O1133-P1133)</f>
        <v/>
      </c>
      <c r="R1133" s="7">
        <f>IF($B1133="","",Q1133-J1133)</f>
        <v/>
      </c>
      <c r="S1133" s="7" t="n"/>
      <c r="T1133" s="7" t="n"/>
      <c r="V1133" s="14" t="n"/>
      <c r="Z1133">
        <f>IF($B1133="","",IF(COUNTIF($B$2:$B1133,$B1133)=1,1,0))</f>
        <v/>
      </c>
      <c r="AA1133">
        <f>IF($Z1133=1,SUMPRODUCT(--($AC$2:$AC$3001&lt;$AC1133))+1,"")</f>
        <v/>
      </c>
      <c r="AB1133">
        <f>IF($B1133="","",IF(OR($Y1133=TRUE(),$Y1133="TRUE"),1,IF(AND($Y1133&lt;&gt;"",OR($Y1133=FALSE(),$Y1133="FALSE")),0,IF(MIN(ABS($X1133/100-Settings!$C$6),ABS($X1133/100-Settings!$G$6))&lt;=MIN(ABS($X1133/100-Settings!$C$7),ABS($X1133/100-Settings!$G$7)),1,0))))</f>
        <v/>
      </c>
      <c r="AC1133">
        <f>IF($Z1133=1,IFERROR(IF(VALUE($B1133)&lt;100000000,VALUE($B1133),1000000000),IFERROR(IF(VALUE(MID($B1133,2,20))&lt;100000000,VALUE(MID($B1133,2,20)),1000000000),1000000000))+ROW()/100000,"")</f>
        <v/>
      </c>
    </row>
    <row r="1134">
      <c r="A1134">
        <f>IF($B1134="","",IFERROR(IF(INDEX('Per Invoice'!$A$2:$A$801,MATCH($B1134,'Per Invoice'!$B$2:$B$801,0))=0,"",INDEX('Per Invoice'!$A$2:$A$801,MATCH($B1134,'Per Invoice'!$B$2:$B$801,0))),""))</f>
        <v/>
      </c>
      <c r="J1134" s="7">
        <f>IF($B1134="","",I1134*Q1134/100)</f>
        <v/>
      </c>
      <c r="N1134" s="7" t="n"/>
      <c r="O1134" s="7" t="n"/>
      <c r="P1134" s="7">
        <f>IF($B1134="","",O1134*X1134/100)</f>
        <v/>
      </c>
      <c r="Q1134" s="7">
        <f>IF($B1134="","",O1134-P1134)</f>
        <v/>
      </c>
      <c r="R1134" s="7">
        <f>IF($B1134="","",Q1134-J1134)</f>
        <v/>
      </c>
      <c r="S1134" s="7" t="n"/>
      <c r="T1134" s="7" t="n"/>
      <c r="V1134" s="14" t="n"/>
      <c r="Z1134">
        <f>IF($B1134="","",IF(COUNTIF($B$2:$B1134,$B1134)=1,1,0))</f>
        <v/>
      </c>
      <c r="AA1134">
        <f>IF($Z1134=1,SUMPRODUCT(--($AC$2:$AC$3001&lt;$AC1134))+1,"")</f>
        <v/>
      </c>
      <c r="AB1134">
        <f>IF($B1134="","",IF(OR($Y1134=TRUE(),$Y1134="TRUE"),1,IF(AND($Y1134&lt;&gt;"",OR($Y1134=FALSE(),$Y1134="FALSE")),0,IF(MIN(ABS($X1134/100-Settings!$C$6),ABS($X1134/100-Settings!$G$6))&lt;=MIN(ABS($X1134/100-Settings!$C$7),ABS($X1134/100-Settings!$G$7)),1,0))))</f>
        <v/>
      </c>
      <c r="AC1134">
        <f>IF($Z1134=1,IFERROR(IF(VALUE($B1134)&lt;100000000,VALUE($B1134),1000000000),IFERROR(IF(VALUE(MID($B1134,2,20))&lt;100000000,VALUE(MID($B1134,2,20)),1000000000),1000000000))+ROW()/100000,"")</f>
        <v/>
      </c>
    </row>
    <row r="1135">
      <c r="A1135">
        <f>IF($B1135="","",IFERROR(IF(INDEX('Per Invoice'!$A$2:$A$801,MATCH($B1135,'Per Invoice'!$B$2:$B$801,0))=0,"",INDEX('Per Invoice'!$A$2:$A$801,MATCH($B1135,'Per Invoice'!$B$2:$B$801,0))),""))</f>
        <v/>
      </c>
      <c r="J1135" s="7">
        <f>IF($B1135="","",I1135*Q1135/100)</f>
        <v/>
      </c>
      <c r="N1135" s="7" t="n"/>
      <c r="O1135" s="7" t="n"/>
      <c r="P1135" s="7">
        <f>IF($B1135="","",O1135*X1135/100)</f>
        <v/>
      </c>
      <c r="Q1135" s="7">
        <f>IF($B1135="","",O1135-P1135)</f>
        <v/>
      </c>
      <c r="R1135" s="7">
        <f>IF($B1135="","",Q1135-J1135)</f>
        <v/>
      </c>
      <c r="S1135" s="7" t="n"/>
      <c r="T1135" s="7" t="n"/>
      <c r="V1135" s="14" t="n"/>
      <c r="Z1135">
        <f>IF($B1135="","",IF(COUNTIF($B$2:$B1135,$B1135)=1,1,0))</f>
        <v/>
      </c>
      <c r="AA1135">
        <f>IF($Z1135=1,SUMPRODUCT(--($AC$2:$AC$3001&lt;$AC1135))+1,"")</f>
        <v/>
      </c>
      <c r="AB1135">
        <f>IF($B1135="","",IF(OR($Y1135=TRUE(),$Y1135="TRUE"),1,IF(AND($Y1135&lt;&gt;"",OR($Y1135=FALSE(),$Y1135="FALSE")),0,IF(MIN(ABS($X1135/100-Settings!$C$6),ABS($X1135/100-Settings!$G$6))&lt;=MIN(ABS($X1135/100-Settings!$C$7),ABS($X1135/100-Settings!$G$7)),1,0))))</f>
        <v/>
      </c>
      <c r="AC1135">
        <f>IF($Z1135=1,IFERROR(IF(VALUE($B1135)&lt;100000000,VALUE($B1135),1000000000),IFERROR(IF(VALUE(MID($B1135,2,20))&lt;100000000,VALUE(MID($B1135,2,20)),1000000000),1000000000))+ROW()/100000,"")</f>
        <v/>
      </c>
    </row>
    <row r="1136">
      <c r="A1136">
        <f>IF($B1136="","",IFERROR(IF(INDEX('Per Invoice'!$A$2:$A$801,MATCH($B1136,'Per Invoice'!$B$2:$B$801,0))=0,"",INDEX('Per Invoice'!$A$2:$A$801,MATCH($B1136,'Per Invoice'!$B$2:$B$801,0))),""))</f>
        <v/>
      </c>
      <c r="J1136" s="7">
        <f>IF($B1136="","",I1136*Q1136/100)</f>
        <v/>
      </c>
      <c r="N1136" s="7" t="n"/>
      <c r="O1136" s="7" t="n"/>
      <c r="P1136" s="7">
        <f>IF($B1136="","",O1136*X1136/100)</f>
        <v/>
      </c>
      <c r="Q1136" s="7">
        <f>IF($B1136="","",O1136-P1136)</f>
        <v/>
      </c>
      <c r="R1136" s="7">
        <f>IF($B1136="","",Q1136-J1136)</f>
        <v/>
      </c>
      <c r="S1136" s="7" t="n"/>
      <c r="T1136" s="7" t="n"/>
      <c r="V1136" s="14" t="n"/>
      <c r="Z1136">
        <f>IF($B1136="","",IF(COUNTIF($B$2:$B1136,$B1136)=1,1,0))</f>
        <v/>
      </c>
      <c r="AA1136">
        <f>IF($Z1136=1,SUMPRODUCT(--($AC$2:$AC$3001&lt;$AC1136))+1,"")</f>
        <v/>
      </c>
      <c r="AB1136">
        <f>IF($B1136="","",IF(OR($Y1136=TRUE(),$Y1136="TRUE"),1,IF(AND($Y1136&lt;&gt;"",OR($Y1136=FALSE(),$Y1136="FALSE")),0,IF(MIN(ABS($X1136/100-Settings!$C$6),ABS($X1136/100-Settings!$G$6))&lt;=MIN(ABS($X1136/100-Settings!$C$7),ABS($X1136/100-Settings!$G$7)),1,0))))</f>
        <v/>
      </c>
      <c r="AC1136">
        <f>IF($Z1136=1,IFERROR(IF(VALUE($B1136)&lt;100000000,VALUE($B1136),1000000000),IFERROR(IF(VALUE(MID($B1136,2,20))&lt;100000000,VALUE(MID($B1136,2,20)),1000000000),1000000000))+ROW()/100000,"")</f>
        <v/>
      </c>
    </row>
    <row r="1137">
      <c r="A1137">
        <f>IF($B1137="","",IFERROR(IF(INDEX('Per Invoice'!$A$2:$A$801,MATCH($B1137,'Per Invoice'!$B$2:$B$801,0))=0,"",INDEX('Per Invoice'!$A$2:$A$801,MATCH($B1137,'Per Invoice'!$B$2:$B$801,0))),""))</f>
        <v/>
      </c>
      <c r="J1137" s="7">
        <f>IF($B1137="","",I1137*Q1137/100)</f>
        <v/>
      </c>
      <c r="N1137" s="7" t="n"/>
      <c r="O1137" s="7" t="n"/>
      <c r="P1137" s="7">
        <f>IF($B1137="","",O1137*X1137/100)</f>
        <v/>
      </c>
      <c r="Q1137" s="7">
        <f>IF($B1137="","",O1137-P1137)</f>
        <v/>
      </c>
      <c r="R1137" s="7">
        <f>IF($B1137="","",Q1137-J1137)</f>
        <v/>
      </c>
      <c r="S1137" s="7" t="n"/>
      <c r="T1137" s="7" t="n"/>
      <c r="V1137" s="14" t="n"/>
      <c r="Z1137">
        <f>IF($B1137="","",IF(COUNTIF($B$2:$B1137,$B1137)=1,1,0))</f>
        <v/>
      </c>
      <c r="AA1137">
        <f>IF($Z1137=1,SUMPRODUCT(--($AC$2:$AC$3001&lt;$AC1137))+1,"")</f>
        <v/>
      </c>
      <c r="AB1137">
        <f>IF($B1137="","",IF(OR($Y1137=TRUE(),$Y1137="TRUE"),1,IF(AND($Y1137&lt;&gt;"",OR($Y1137=FALSE(),$Y1137="FALSE")),0,IF(MIN(ABS($X1137/100-Settings!$C$6),ABS($X1137/100-Settings!$G$6))&lt;=MIN(ABS($X1137/100-Settings!$C$7),ABS($X1137/100-Settings!$G$7)),1,0))))</f>
        <v/>
      </c>
      <c r="AC1137">
        <f>IF($Z1137=1,IFERROR(IF(VALUE($B1137)&lt;100000000,VALUE($B1137),1000000000),IFERROR(IF(VALUE(MID($B1137,2,20))&lt;100000000,VALUE(MID($B1137,2,20)),1000000000),1000000000))+ROW()/100000,"")</f>
        <v/>
      </c>
    </row>
    <row r="1138">
      <c r="A1138">
        <f>IF($B1138="","",IFERROR(IF(INDEX('Per Invoice'!$A$2:$A$801,MATCH($B1138,'Per Invoice'!$B$2:$B$801,0))=0,"",INDEX('Per Invoice'!$A$2:$A$801,MATCH($B1138,'Per Invoice'!$B$2:$B$801,0))),""))</f>
        <v/>
      </c>
      <c r="J1138" s="7">
        <f>IF($B1138="","",I1138*Q1138/100)</f>
        <v/>
      </c>
      <c r="N1138" s="7" t="n"/>
      <c r="O1138" s="7" t="n"/>
      <c r="P1138" s="7">
        <f>IF($B1138="","",O1138*X1138/100)</f>
        <v/>
      </c>
      <c r="Q1138" s="7">
        <f>IF($B1138="","",O1138-P1138)</f>
        <v/>
      </c>
      <c r="R1138" s="7">
        <f>IF($B1138="","",Q1138-J1138)</f>
        <v/>
      </c>
      <c r="S1138" s="7" t="n"/>
      <c r="T1138" s="7" t="n"/>
      <c r="V1138" s="14" t="n"/>
      <c r="Z1138">
        <f>IF($B1138="","",IF(COUNTIF($B$2:$B1138,$B1138)=1,1,0))</f>
        <v/>
      </c>
      <c r="AA1138">
        <f>IF($Z1138=1,SUMPRODUCT(--($AC$2:$AC$3001&lt;$AC1138))+1,"")</f>
        <v/>
      </c>
      <c r="AB1138">
        <f>IF($B1138="","",IF(OR($Y1138=TRUE(),$Y1138="TRUE"),1,IF(AND($Y1138&lt;&gt;"",OR($Y1138=FALSE(),$Y1138="FALSE")),0,IF(MIN(ABS($X1138/100-Settings!$C$6),ABS($X1138/100-Settings!$G$6))&lt;=MIN(ABS($X1138/100-Settings!$C$7),ABS($X1138/100-Settings!$G$7)),1,0))))</f>
        <v/>
      </c>
      <c r="AC1138">
        <f>IF($Z1138=1,IFERROR(IF(VALUE($B1138)&lt;100000000,VALUE($B1138),1000000000),IFERROR(IF(VALUE(MID($B1138,2,20))&lt;100000000,VALUE(MID($B1138,2,20)),1000000000),1000000000))+ROW()/100000,"")</f>
        <v/>
      </c>
    </row>
    <row r="1139">
      <c r="A1139">
        <f>IF($B1139="","",IFERROR(IF(INDEX('Per Invoice'!$A$2:$A$801,MATCH($B1139,'Per Invoice'!$B$2:$B$801,0))=0,"",INDEX('Per Invoice'!$A$2:$A$801,MATCH($B1139,'Per Invoice'!$B$2:$B$801,0))),""))</f>
        <v/>
      </c>
      <c r="J1139" s="7">
        <f>IF($B1139="","",I1139*Q1139/100)</f>
        <v/>
      </c>
      <c r="N1139" s="7" t="n"/>
      <c r="O1139" s="7" t="n"/>
      <c r="P1139" s="7">
        <f>IF($B1139="","",O1139*X1139/100)</f>
        <v/>
      </c>
      <c r="Q1139" s="7">
        <f>IF($B1139="","",O1139-P1139)</f>
        <v/>
      </c>
      <c r="R1139" s="7">
        <f>IF($B1139="","",Q1139-J1139)</f>
        <v/>
      </c>
      <c r="S1139" s="7" t="n"/>
      <c r="T1139" s="7" t="n"/>
      <c r="V1139" s="14" t="n"/>
      <c r="Z1139">
        <f>IF($B1139="","",IF(COUNTIF($B$2:$B1139,$B1139)=1,1,0))</f>
        <v/>
      </c>
      <c r="AA1139">
        <f>IF($Z1139=1,SUMPRODUCT(--($AC$2:$AC$3001&lt;$AC1139))+1,"")</f>
        <v/>
      </c>
      <c r="AB1139">
        <f>IF($B1139="","",IF(OR($Y1139=TRUE(),$Y1139="TRUE"),1,IF(AND($Y1139&lt;&gt;"",OR($Y1139=FALSE(),$Y1139="FALSE")),0,IF(MIN(ABS($X1139/100-Settings!$C$6),ABS($X1139/100-Settings!$G$6))&lt;=MIN(ABS($X1139/100-Settings!$C$7),ABS($X1139/100-Settings!$G$7)),1,0))))</f>
        <v/>
      </c>
      <c r="AC1139">
        <f>IF($Z1139=1,IFERROR(IF(VALUE($B1139)&lt;100000000,VALUE($B1139),1000000000),IFERROR(IF(VALUE(MID($B1139,2,20))&lt;100000000,VALUE(MID($B1139,2,20)),1000000000),1000000000))+ROW()/100000,"")</f>
        <v/>
      </c>
    </row>
    <row r="1140">
      <c r="A1140">
        <f>IF($B1140="","",IFERROR(IF(INDEX('Per Invoice'!$A$2:$A$801,MATCH($B1140,'Per Invoice'!$B$2:$B$801,0))=0,"",INDEX('Per Invoice'!$A$2:$A$801,MATCH($B1140,'Per Invoice'!$B$2:$B$801,0))),""))</f>
        <v/>
      </c>
      <c r="J1140" s="7">
        <f>IF($B1140="","",I1140*Q1140/100)</f>
        <v/>
      </c>
      <c r="N1140" s="7" t="n"/>
      <c r="O1140" s="7" t="n"/>
      <c r="P1140" s="7">
        <f>IF($B1140="","",O1140*X1140/100)</f>
        <v/>
      </c>
      <c r="Q1140" s="7">
        <f>IF($B1140="","",O1140-P1140)</f>
        <v/>
      </c>
      <c r="R1140" s="7">
        <f>IF($B1140="","",Q1140-J1140)</f>
        <v/>
      </c>
      <c r="S1140" s="7" t="n"/>
      <c r="T1140" s="7" t="n"/>
      <c r="V1140" s="14" t="n"/>
      <c r="Z1140">
        <f>IF($B1140="","",IF(COUNTIF($B$2:$B1140,$B1140)=1,1,0))</f>
        <v/>
      </c>
      <c r="AA1140">
        <f>IF($Z1140=1,SUMPRODUCT(--($AC$2:$AC$3001&lt;$AC1140))+1,"")</f>
        <v/>
      </c>
      <c r="AB1140">
        <f>IF($B1140="","",IF(OR($Y1140=TRUE(),$Y1140="TRUE"),1,IF(AND($Y1140&lt;&gt;"",OR($Y1140=FALSE(),$Y1140="FALSE")),0,IF(MIN(ABS($X1140/100-Settings!$C$6),ABS($X1140/100-Settings!$G$6))&lt;=MIN(ABS($X1140/100-Settings!$C$7),ABS($X1140/100-Settings!$G$7)),1,0))))</f>
        <v/>
      </c>
      <c r="AC1140">
        <f>IF($Z1140=1,IFERROR(IF(VALUE($B1140)&lt;100000000,VALUE($B1140),1000000000),IFERROR(IF(VALUE(MID($B1140,2,20))&lt;100000000,VALUE(MID($B1140,2,20)),1000000000),1000000000))+ROW()/100000,"")</f>
        <v/>
      </c>
    </row>
    <row r="1141">
      <c r="A1141">
        <f>IF($B1141="","",IFERROR(IF(INDEX('Per Invoice'!$A$2:$A$801,MATCH($B1141,'Per Invoice'!$B$2:$B$801,0))=0,"",INDEX('Per Invoice'!$A$2:$A$801,MATCH($B1141,'Per Invoice'!$B$2:$B$801,0))),""))</f>
        <v/>
      </c>
      <c r="J1141" s="7">
        <f>IF($B1141="","",I1141*Q1141/100)</f>
        <v/>
      </c>
      <c r="N1141" s="7" t="n"/>
      <c r="O1141" s="7" t="n"/>
      <c r="P1141" s="7">
        <f>IF($B1141="","",O1141*X1141/100)</f>
        <v/>
      </c>
      <c r="Q1141" s="7">
        <f>IF($B1141="","",O1141-P1141)</f>
        <v/>
      </c>
      <c r="R1141" s="7">
        <f>IF($B1141="","",Q1141-J1141)</f>
        <v/>
      </c>
      <c r="S1141" s="7" t="n"/>
      <c r="T1141" s="7" t="n"/>
      <c r="V1141" s="14" t="n"/>
      <c r="Z1141">
        <f>IF($B1141="","",IF(COUNTIF($B$2:$B1141,$B1141)=1,1,0))</f>
        <v/>
      </c>
      <c r="AA1141">
        <f>IF($Z1141=1,SUMPRODUCT(--($AC$2:$AC$3001&lt;$AC1141))+1,"")</f>
        <v/>
      </c>
      <c r="AB1141">
        <f>IF($B1141="","",IF(OR($Y1141=TRUE(),$Y1141="TRUE"),1,IF(AND($Y1141&lt;&gt;"",OR($Y1141=FALSE(),$Y1141="FALSE")),0,IF(MIN(ABS($X1141/100-Settings!$C$6),ABS($X1141/100-Settings!$G$6))&lt;=MIN(ABS($X1141/100-Settings!$C$7),ABS($X1141/100-Settings!$G$7)),1,0))))</f>
        <v/>
      </c>
      <c r="AC1141">
        <f>IF($Z1141=1,IFERROR(IF(VALUE($B1141)&lt;100000000,VALUE($B1141),1000000000),IFERROR(IF(VALUE(MID($B1141,2,20))&lt;100000000,VALUE(MID($B1141,2,20)),1000000000),1000000000))+ROW()/100000,"")</f>
        <v/>
      </c>
    </row>
    <row r="1142">
      <c r="A1142">
        <f>IF($B1142="","",IFERROR(IF(INDEX('Per Invoice'!$A$2:$A$801,MATCH($B1142,'Per Invoice'!$B$2:$B$801,0))=0,"",INDEX('Per Invoice'!$A$2:$A$801,MATCH($B1142,'Per Invoice'!$B$2:$B$801,0))),""))</f>
        <v/>
      </c>
      <c r="J1142" s="7">
        <f>IF($B1142="","",I1142*Q1142/100)</f>
        <v/>
      </c>
      <c r="N1142" s="7" t="n"/>
      <c r="O1142" s="7" t="n"/>
      <c r="P1142" s="7">
        <f>IF($B1142="","",O1142*X1142/100)</f>
        <v/>
      </c>
      <c r="Q1142" s="7">
        <f>IF($B1142="","",O1142-P1142)</f>
        <v/>
      </c>
      <c r="R1142" s="7">
        <f>IF($B1142="","",Q1142-J1142)</f>
        <v/>
      </c>
      <c r="S1142" s="7" t="n"/>
      <c r="T1142" s="7" t="n"/>
      <c r="V1142" s="14" t="n"/>
      <c r="Z1142">
        <f>IF($B1142="","",IF(COUNTIF($B$2:$B1142,$B1142)=1,1,0))</f>
        <v/>
      </c>
      <c r="AA1142">
        <f>IF($Z1142=1,SUMPRODUCT(--($AC$2:$AC$3001&lt;$AC1142))+1,"")</f>
        <v/>
      </c>
      <c r="AB1142">
        <f>IF($B1142="","",IF(OR($Y1142=TRUE(),$Y1142="TRUE"),1,IF(AND($Y1142&lt;&gt;"",OR($Y1142=FALSE(),$Y1142="FALSE")),0,IF(MIN(ABS($X1142/100-Settings!$C$6),ABS($X1142/100-Settings!$G$6))&lt;=MIN(ABS($X1142/100-Settings!$C$7),ABS($X1142/100-Settings!$G$7)),1,0))))</f>
        <v/>
      </c>
      <c r="AC1142">
        <f>IF($Z1142=1,IFERROR(IF(VALUE($B1142)&lt;100000000,VALUE($B1142),1000000000),IFERROR(IF(VALUE(MID($B1142,2,20))&lt;100000000,VALUE(MID($B1142,2,20)),1000000000),1000000000))+ROW()/100000,"")</f>
        <v/>
      </c>
    </row>
    <row r="1143">
      <c r="A1143">
        <f>IF($B1143="","",IFERROR(IF(INDEX('Per Invoice'!$A$2:$A$801,MATCH($B1143,'Per Invoice'!$B$2:$B$801,0))=0,"",INDEX('Per Invoice'!$A$2:$A$801,MATCH($B1143,'Per Invoice'!$B$2:$B$801,0))),""))</f>
        <v/>
      </c>
      <c r="J1143" s="7">
        <f>IF($B1143="","",I1143*Q1143/100)</f>
        <v/>
      </c>
      <c r="N1143" s="7" t="n"/>
      <c r="O1143" s="7" t="n"/>
      <c r="P1143" s="7">
        <f>IF($B1143="","",O1143*X1143/100)</f>
        <v/>
      </c>
      <c r="Q1143" s="7">
        <f>IF($B1143="","",O1143-P1143)</f>
        <v/>
      </c>
      <c r="R1143" s="7">
        <f>IF($B1143="","",Q1143-J1143)</f>
        <v/>
      </c>
      <c r="S1143" s="7" t="n"/>
      <c r="T1143" s="7" t="n"/>
      <c r="V1143" s="14" t="n"/>
      <c r="Z1143">
        <f>IF($B1143="","",IF(COUNTIF($B$2:$B1143,$B1143)=1,1,0))</f>
        <v/>
      </c>
      <c r="AA1143">
        <f>IF($Z1143=1,SUMPRODUCT(--($AC$2:$AC$3001&lt;$AC1143))+1,"")</f>
        <v/>
      </c>
      <c r="AB1143">
        <f>IF($B1143="","",IF(OR($Y1143=TRUE(),$Y1143="TRUE"),1,IF(AND($Y1143&lt;&gt;"",OR($Y1143=FALSE(),$Y1143="FALSE")),0,IF(MIN(ABS($X1143/100-Settings!$C$6),ABS($X1143/100-Settings!$G$6))&lt;=MIN(ABS($X1143/100-Settings!$C$7),ABS($X1143/100-Settings!$G$7)),1,0))))</f>
        <v/>
      </c>
      <c r="AC1143">
        <f>IF($Z1143=1,IFERROR(IF(VALUE($B1143)&lt;100000000,VALUE($B1143),1000000000),IFERROR(IF(VALUE(MID($B1143,2,20))&lt;100000000,VALUE(MID($B1143,2,20)),1000000000),1000000000))+ROW()/100000,"")</f>
        <v/>
      </c>
    </row>
    <row r="1144">
      <c r="A1144">
        <f>IF($B1144="","",IFERROR(IF(INDEX('Per Invoice'!$A$2:$A$801,MATCH($B1144,'Per Invoice'!$B$2:$B$801,0))=0,"",INDEX('Per Invoice'!$A$2:$A$801,MATCH($B1144,'Per Invoice'!$B$2:$B$801,0))),""))</f>
        <v/>
      </c>
      <c r="J1144" s="7">
        <f>IF($B1144="","",I1144*Q1144/100)</f>
        <v/>
      </c>
      <c r="N1144" s="7" t="n"/>
      <c r="O1144" s="7" t="n"/>
      <c r="P1144" s="7">
        <f>IF($B1144="","",O1144*X1144/100)</f>
        <v/>
      </c>
      <c r="Q1144" s="7">
        <f>IF($B1144="","",O1144-P1144)</f>
        <v/>
      </c>
      <c r="R1144" s="7">
        <f>IF($B1144="","",Q1144-J1144)</f>
        <v/>
      </c>
      <c r="S1144" s="7" t="n"/>
      <c r="T1144" s="7" t="n"/>
      <c r="V1144" s="14" t="n"/>
      <c r="Z1144">
        <f>IF($B1144="","",IF(COUNTIF($B$2:$B1144,$B1144)=1,1,0))</f>
        <v/>
      </c>
      <c r="AA1144">
        <f>IF($Z1144=1,SUMPRODUCT(--($AC$2:$AC$3001&lt;$AC1144))+1,"")</f>
        <v/>
      </c>
      <c r="AB1144">
        <f>IF($B1144="","",IF(OR($Y1144=TRUE(),$Y1144="TRUE"),1,IF(AND($Y1144&lt;&gt;"",OR($Y1144=FALSE(),$Y1144="FALSE")),0,IF(MIN(ABS($X1144/100-Settings!$C$6),ABS($X1144/100-Settings!$G$6))&lt;=MIN(ABS($X1144/100-Settings!$C$7),ABS($X1144/100-Settings!$G$7)),1,0))))</f>
        <v/>
      </c>
      <c r="AC1144">
        <f>IF($Z1144=1,IFERROR(IF(VALUE($B1144)&lt;100000000,VALUE($B1144),1000000000),IFERROR(IF(VALUE(MID($B1144,2,20))&lt;100000000,VALUE(MID($B1144,2,20)),1000000000),1000000000))+ROW()/100000,"")</f>
        <v/>
      </c>
    </row>
    <row r="1145">
      <c r="A1145">
        <f>IF($B1145="","",IFERROR(IF(INDEX('Per Invoice'!$A$2:$A$801,MATCH($B1145,'Per Invoice'!$B$2:$B$801,0))=0,"",INDEX('Per Invoice'!$A$2:$A$801,MATCH($B1145,'Per Invoice'!$B$2:$B$801,0))),""))</f>
        <v/>
      </c>
      <c r="J1145" s="7">
        <f>IF($B1145="","",I1145*Q1145/100)</f>
        <v/>
      </c>
      <c r="N1145" s="7" t="n"/>
      <c r="O1145" s="7" t="n"/>
      <c r="P1145" s="7">
        <f>IF($B1145="","",O1145*X1145/100)</f>
        <v/>
      </c>
      <c r="Q1145" s="7">
        <f>IF($B1145="","",O1145-P1145)</f>
        <v/>
      </c>
      <c r="R1145" s="7">
        <f>IF($B1145="","",Q1145-J1145)</f>
        <v/>
      </c>
      <c r="S1145" s="7" t="n"/>
      <c r="T1145" s="7" t="n"/>
      <c r="V1145" s="14" t="n"/>
      <c r="Z1145">
        <f>IF($B1145="","",IF(COUNTIF($B$2:$B1145,$B1145)=1,1,0))</f>
        <v/>
      </c>
      <c r="AA1145">
        <f>IF($Z1145=1,SUMPRODUCT(--($AC$2:$AC$3001&lt;$AC1145))+1,"")</f>
        <v/>
      </c>
      <c r="AB1145">
        <f>IF($B1145="","",IF(OR($Y1145=TRUE(),$Y1145="TRUE"),1,IF(AND($Y1145&lt;&gt;"",OR($Y1145=FALSE(),$Y1145="FALSE")),0,IF(MIN(ABS($X1145/100-Settings!$C$6),ABS($X1145/100-Settings!$G$6))&lt;=MIN(ABS($X1145/100-Settings!$C$7),ABS($X1145/100-Settings!$G$7)),1,0))))</f>
        <v/>
      </c>
      <c r="AC1145">
        <f>IF($Z1145=1,IFERROR(IF(VALUE($B1145)&lt;100000000,VALUE($B1145),1000000000),IFERROR(IF(VALUE(MID($B1145,2,20))&lt;100000000,VALUE(MID($B1145,2,20)),1000000000),1000000000))+ROW()/100000,"")</f>
        <v/>
      </c>
    </row>
    <row r="1146">
      <c r="A1146">
        <f>IF($B1146="","",IFERROR(IF(INDEX('Per Invoice'!$A$2:$A$801,MATCH($B1146,'Per Invoice'!$B$2:$B$801,0))=0,"",INDEX('Per Invoice'!$A$2:$A$801,MATCH($B1146,'Per Invoice'!$B$2:$B$801,0))),""))</f>
        <v/>
      </c>
      <c r="J1146" s="7">
        <f>IF($B1146="","",I1146*Q1146/100)</f>
        <v/>
      </c>
      <c r="N1146" s="7" t="n"/>
      <c r="O1146" s="7" t="n"/>
      <c r="P1146" s="7">
        <f>IF($B1146="","",O1146*X1146/100)</f>
        <v/>
      </c>
      <c r="Q1146" s="7">
        <f>IF($B1146="","",O1146-P1146)</f>
        <v/>
      </c>
      <c r="R1146" s="7">
        <f>IF($B1146="","",Q1146-J1146)</f>
        <v/>
      </c>
      <c r="S1146" s="7" t="n"/>
      <c r="T1146" s="7" t="n"/>
      <c r="V1146" s="14" t="n"/>
      <c r="Z1146">
        <f>IF($B1146="","",IF(COUNTIF($B$2:$B1146,$B1146)=1,1,0))</f>
        <v/>
      </c>
      <c r="AA1146">
        <f>IF($Z1146=1,SUMPRODUCT(--($AC$2:$AC$3001&lt;$AC1146))+1,"")</f>
        <v/>
      </c>
      <c r="AB1146">
        <f>IF($B1146="","",IF(OR($Y1146=TRUE(),$Y1146="TRUE"),1,IF(AND($Y1146&lt;&gt;"",OR($Y1146=FALSE(),$Y1146="FALSE")),0,IF(MIN(ABS($X1146/100-Settings!$C$6),ABS($X1146/100-Settings!$G$6))&lt;=MIN(ABS($X1146/100-Settings!$C$7),ABS($X1146/100-Settings!$G$7)),1,0))))</f>
        <v/>
      </c>
      <c r="AC1146">
        <f>IF($Z1146=1,IFERROR(IF(VALUE($B1146)&lt;100000000,VALUE($B1146),1000000000),IFERROR(IF(VALUE(MID($B1146,2,20))&lt;100000000,VALUE(MID($B1146,2,20)),1000000000),1000000000))+ROW()/100000,"")</f>
        <v/>
      </c>
    </row>
    <row r="1147">
      <c r="A1147">
        <f>IF($B1147="","",IFERROR(IF(INDEX('Per Invoice'!$A$2:$A$801,MATCH($B1147,'Per Invoice'!$B$2:$B$801,0))=0,"",INDEX('Per Invoice'!$A$2:$A$801,MATCH($B1147,'Per Invoice'!$B$2:$B$801,0))),""))</f>
        <v/>
      </c>
      <c r="J1147" s="7">
        <f>IF($B1147="","",I1147*Q1147/100)</f>
        <v/>
      </c>
      <c r="N1147" s="7" t="n"/>
      <c r="O1147" s="7" t="n"/>
      <c r="P1147" s="7">
        <f>IF($B1147="","",O1147*X1147/100)</f>
        <v/>
      </c>
      <c r="Q1147" s="7">
        <f>IF($B1147="","",O1147-P1147)</f>
        <v/>
      </c>
      <c r="R1147" s="7">
        <f>IF($B1147="","",Q1147-J1147)</f>
        <v/>
      </c>
      <c r="S1147" s="7" t="n"/>
      <c r="T1147" s="7" t="n"/>
      <c r="V1147" s="14" t="n"/>
      <c r="Z1147">
        <f>IF($B1147="","",IF(COUNTIF($B$2:$B1147,$B1147)=1,1,0))</f>
        <v/>
      </c>
      <c r="AA1147">
        <f>IF($Z1147=1,SUMPRODUCT(--($AC$2:$AC$3001&lt;$AC1147))+1,"")</f>
        <v/>
      </c>
      <c r="AB1147">
        <f>IF($B1147="","",IF(OR($Y1147=TRUE(),$Y1147="TRUE"),1,IF(AND($Y1147&lt;&gt;"",OR($Y1147=FALSE(),$Y1147="FALSE")),0,IF(MIN(ABS($X1147/100-Settings!$C$6),ABS($X1147/100-Settings!$G$6))&lt;=MIN(ABS($X1147/100-Settings!$C$7),ABS($X1147/100-Settings!$G$7)),1,0))))</f>
        <v/>
      </c>
      <c r="AC1147">
        <f>IF($Z1147=1,IFERROR(IF(VALUE($B1147)&lt;100000000,VALUE($B1147),1000000000),IFERROR(IF(VALUE(MID($B1147,2,20))&lt;100000000,VALUE(MID($B1147,2,20)),1000000000),1000000000))+ROW()/100000,"")</f>
        <v/>
      </c>
    </row>
    <row r="1148">
      <c r="A1148">
        <f>IF($B1148="","",IFERROR(IF(INDEX('Per Invoice'!$A$2:$A$801,MATCH($B1148,'Per Invoice'!$B$2:$B$801,0))=0,"",INDEX('Per Invoice'!$A$2:$A$801,MATCH($B1148,'Per Invoice'!$B$2:$B$801,0))),""))</f>
        <v/>
      </c>
      <c r="J1148" s="7">
        <f>IF($B1148="","",I1148*Q1148/100)</f>
        <v/>
      </c>
      <c r="N1148" s="7" t="n"/>
      <c r="O1148" s="7" t="n"/>
      <c r="P1148" s="7">
        <f>IF($B1148="","",O1148*X1148/100)</f>
        <v/>
      </c>
      <c r="Q1148" s="7">
        <f>IF($B1148="","",O1148-P1148)</f>
        <v/>
      </c>
      <c r="R1148" s="7">
        <f>IF($B1148="","",Q1148-J1148)</f>
        <v/>
      </c>
      <c r="S1148" s="7" t="n"/>
      <c r="T1148" s="7" t="n"/>
      <c r="V1148" s="14" t="n"/>
      <c r="Z1148">
        <f>IF($B1148="","",IF(COUNTIF($B$2:$B1148,$B1148)=1,1,0))</f>
        <v/>
      </c>
      <c r="AA1148">
        <f>IF($Z1148=1,SUMPRODUCT(--($AC$2:$AC$3001&lt;$AC1148))+1,"")</f>
        <v/>
      </c>
      <c r="AB1148">
        <f>IF($B1148="","",IF(OR($Y1148=TRUE(),$Y1148="TRUE"),1,IF(AND($Y1148&lt;&gt;"",OR($Y1148=FALSE(),$Y1148="FALSE")),0,IF(MIN(ABS($X1148/100-Settings!$C$6),ABS($X1148/100-Settings!$G$6))&lt;=MIN(ABS($X1148/100-Settings!$C$7),ABS($X1148/100-Settings!$G$7)),1,0))))</f>
        <v/>
      </c>
      <c r="AC1148">
        <f>IF($Z1148=1,IFERROR(IF(VALUE($B1148)&lt;100000000,VALUE($B1148),1000000000),IFERROR(IF(VALUE(MID($B1148,2,20))&lt;100000000,VALUE(MID($B1148,2,20)),1000000000),1000000000))+ROW()/100000,"")</f>
        <v/>
      </c>
    </row>
    <row r="1149">
      <c r="A1149">
        <f>IF($B1149="","",IFERROR(IF(INDEX('Per Invoice'!$A$2:$A$801,MATCH($B1149,'Per Invoice'!$B$2:$B$801,0))=0,"",INDEX('Per Invoice'!$A$2:$A$801,MATCH($B1149,'Per Invoice'!$B$2:$B$801,0))),""))</f>
        <v/>
      </c>
      <c r="J1149" s="7">
        <f>IF($B1149="","",I1149*Q1149/100)</f>
        <v/>
      </c>
      <c r="N1149" s="7" t="n"/>
      <c r="O1149" s="7" t="n"/>
      <c r="P1149" s="7">
        <f>IF($B1149="","",O1149*X1149/100)</f>
        <v/>
      </c>
      <c r="Q1149" s="7">
        <f>IF($B1149="","",O1149-P1149)</f>
        <v/>
      </c>
      <c r="R1149" s="7">
        <f>IF($B1149="","",Q1149-J1149)</f>
        <v/>
      </c>
      <c r="S1149" s="7" t="n"/>
      <c r="T1149" s="7" t="n"/>
      <c r="V1149" s="14" t="n"/>
      <c r="Z1149">
        <f>IF($B1149="","",IF(COUNTIF($B$2:$B1149,$B1149)=1,1,0))</f>
        <v/>
      </c>
      <c r="AA1149">
        <f>IF($Z1149=1,SUMPRODUCT(--($AC$2:$AC$3001&lt;$AC1149))+1,"")</f>
        <v/>
      </c>
      <c r="AB1149">
        <f>IF($B1149="","",IF(OR($Y1149=TRUE(),$Y1149="TRUE"),1,IF(AND($Y1149&lt;&gt;"",OR($Y1149=FALSE(),$Y1149="FALSE")),0,IF(MIN(ABS($X1149/100-Settings!$C$6),ABS($X1149/100-Settings!$G$6))&lt;=MIN(ABS($X1149/100-Settings!$C$7),ABS($X1149/100-Settings!$G$7)),1,0))))</f>
        <v/>
      </c>
      <c r="AC1149">
        <f>IF($Z1149=1,IFERROR(IF(VALUE($B1149)&lt;100000000,VALUE($B1149),1000000000),IFERROR(IF(VALUE(MID($B1149,2,20))&lt;100000000,VALUE(MID($B1149,2,20)),1000000000),1000000000))+ROW()/100000,"")</f>
        <v/>
      </c>
    </row>
    <row r="1150">
      <c r="A1150">
        <f>IF($B1150="","",IFERROR(IF(INDEX('Per Invoice'!$A$2:$A$801,MATCH($B1150,'Per Invoice'!$B$2:$B$801,0))=0,"",INDEX('Per Invoice'!$A$2:$A$801,MATCH($B1150,'Per Invoice'!$B$2:$B$801,0))),""))</f>
        <v/>
      </c>
      <c r="J1150" s="7">
        <f>IF($B1150="","",I1150*Q1150/100)</f>
        <v/>
      </c>
      <c r="N1150" s="7" t="n"/>
      <c r="O1150" s="7" t="n"/>
      <c r="P1150" s="7">
        <f>IF($B1150="","",O1150*X1150/100)</f>
        <v/>
      </c>
      <c r="Q1150" s="7">
        <f>IF($B1150="","",O1150-P1150)</f>
        <v/>
      </c>
      <c r="R1150" s="7">
        <f>IF($B1150="","",Q1150-J1150)</f>
        <v/>
      </c>
      <c r="S1150" s="7" t="n"/>
      <c r="T1150" s="7" t="n"/>
      <c r="V1150" s="14" t="n"/>
      <c r="Z1150">
        <f>IF($B1150="","",IF(COUNTIF($B$2:$B1150,$B1150)=1,1,0))</f>
        <v/>
      </c>
      <c r="AA1150">
        <f>IF($Z1150=1,SUMPRODUCT(--($AC$2:$AC$3001&lt;$AC1150))+1,"")</f>
        <v/>
      </c>
      <c r="AB1150">
        <f>IF($B1150="","",IF(OR($Y1150=TRUE(),$Y1150="TRUE"),1,IF(AND($Y1150&lt;&gt;"",OR($Y1150=FALSE(),$Y1150="FALSE")),0,IF(MIN(ABS($X1150/100-Settings!$C$6),ABS($X1150/100-Settings!$G$6))&lt;=MIN(ABS($X1150/100-Settings!$C$7),ABS($X1150/100-Settings!$G$7)),1,0))))</f>
        <v/>
      </c>
      <c r="AC1150">
        <f>IF($Z1150=1,IFERROR(IF(VALUE($B1150)&lt;100000000,VALUE($B1150),1000000000),IFERROR(IF(VALUE(MID($B1150,2,20))&lt;100000000,VALUE(MID($B1150,2,20)),1000000000),1000000000))+ROW()/100000,"")</f>
        <v/>
      </c>
    </row>
    <row r="1151">
      <c r="A1151">
        <f>IF($B1151="","",IFERROR(IF(INDEX('Per Invoice'!$A$2:$A$801,MATCH($B1151,'Per Invoice'!$B$2:$B$801,0))=0,"",INDEX('Per Invoice'!$A$2:$A$801,MATCH($B1151,'Per Invoice'!$B$2:$B$801,0))),""))</f>
        <v/>
      </c>
      <c r="J1151" s="7">
        <f>IF($B1151="","",I1151*Q1151/100)</f>
        <v/>
      </c>
      <c r="N1151" s="7" t="n"/>
      <c r="O1151" s="7" t="n"/>
      <c r="P1151" s="7">
        <f>IF($B1151="","",O1151*X1151/100)</f>
        <v/>
      </c>
      <c r="Q1151" s="7">
        <f>IF($B1151="","",O1151-P1151)</f>
        <v/>
      </c>
      <c r="R1151" s="7">
        <f>IF($B1151="","",Q1151-J1151)</f>
        <v/>
      </c>
      <c r="S1151" s="7" t="n"/>
      <c r="T1151" s="7" t="n"/>
      <c r="V1151" s="14" t="n"/>
      <c r="Z1151">
        <f>IF($B1151="","",IF(COUNTIF($B$2:$B1151,$B1151)=1,1,0))</f>
        <v/>
      </c>
      <c r="AA1151">
        <f>IF($Z1151=1,SUMPRODUCT(--($AC$2:$AC$3001&lt;$AC1151))+1,"")</f>
        <v/>
      </c>
      <c r="AB1151">
        <f>IF($B1151="","",IF(OR($Y1151=TRUE(),$Y1151="TRUE"),1,IF(AND($Y1151&lt;&gt;"",OR($Y1151=FALSE(),$Y1151="FALSE")),0,IF(MIN(ABS($X1151/100-Settings!$C$6),ABS($X1151/100-Settings!$G$6))&lt;=MIN(ABS($X1151/100-Settings!$C$7),ABS($X1151/100-Settings!$G$7)),1,0))))</f>
        <v/>
      </c>
      <c r="AC1151">
        <f>IF($Z1151=1,IFERROR(IF(VALUE($B1151)&lt;100000000,VALUE($B1151),1000000000),IFERROR(IF(VALUE(MID($B1151,2,20))&lt;100000000,VALUE(MID($B1151,2,20)),1000000000),1000000000))+ROW()/100000,"")</f>
        <v/>
      </c>
    </row>
    <row r="1152">
      <c r="A1152">
        <f>IF($B1152="","",IFERROR(IF(INDEX('Per Invoice'!$A$2:$A$801,MATCH($B1152,'Per Invoice'!$B$2:$B$801,0))=0,"",INDEX('Per Invoice'!$A$2:$A$801,MATCH($B1152,'Per Invoice'!$B$2:$B$801,0))),""))</f>
        <v/>
      </c>
      <c r="J1152" s="7">
        <f>IF($B1152="","",I1152*Q1152/100)</f>
        <v/>
      </c>
      <c r="N1152" s="7" t="n"/>
      <c r="O1152" s="7" t="n"/>
      <c r="P1152" s="7">
        <f>IF($B1152="","",O1152*X1152/100)</f>
        <v/>
      </c>
      <c r="Q1152" s="7">
        <f>IF($B1152="","",O1152-P1152)</f>
        <v/>
      </c>
      <c r="R1152" s="7">
        <f>IF($B1152="","",Q1152-J1152)</f>
        <v/>
      </c>
      <c r="S1152" s="7" t="n"/>
      <c r="T1152" s="7" t="n"/>
      <c r="V1152" s="14" t="n"/>
      <c r="Z1152">
        <f>IF($B1152="","",IF(COUNTIF($B$2:$B1152,$B1152)=1,1,0))</f>
        <v/>
      </c>
      <c r="AA1152">
        <f>IF($Z1152=1,SUMPRODUCT(--($AC$2:$AC$3001&lt;$AC1152))+1,"")</f>
        <v/>
      </c>
      <c r="AB1152">
        <f>IF($B1152="","",IF(OR($Y1152=TRUE(),$Y1152="TRUE"),1,IF(AND($Y1152&lt;&gt;"",OR($Y1152=FALSE(),$Y1152="FALSE")),0,IF(MIN(ABS($X1152/100-Settings!$C$6),ABS($X1152/100-Settings!$G$6))&lt;=MIN(ABS($X1152/100-Settings!$C$7),ABS($X1152/100-Settings!$G$7)),1,0))))</f>
        <v/>
      </c>
      <c r="AC1152">
        <f>IF($Z1152=1,IFERROR(IF(VALUE($B1152)&lt;100000000,VALUE($B1152),1000000000),IFERROR(IF(VALUE(MID($B1152,2,20))&lt;100000000,VALUE(MID($B1152,2,20)),1000000000),1000000000))+ROW()/100000,"")</f>
        <v/>
      </c>
    </row>
    <row r="1153">
      <c r="A1153">
        <f>IF($B1153="","",IFERROR(IF(INDEX('Per Invoice'!$A$2:$A$801,MATCH($B1153,'Per Invoice'!$B$2:$B$801,0))=0,"",INDEX('Per Invoice'!$A$2:$A$801,MATCH($B1153,'Per Invoice'!$B$2:$B$801,0))),""))</f>
        <v/>
      </c>
      <c r="J1153" s="7">
        <f>IF($B1153="","",I1153*Q1153/100)</f>
        <v/>
      </c>
      <c r="N1153" s="7" t="n"/>
      <c r="O1153" s="7" t="n"/>
      <c r="P1153" s="7">
        <f>IF($B1153="","",O1153*X1153/100)</f>
        <v/>
      </c>
      <c r="Q1153" s="7">
        <f>IF($B1153="","",O1153-P1153)</f>
        <v/>
      </c>
      <c r="R1153" s="7">
        <f>IF($B1153="","",Q1153-J1153)</f>
        <v/>
      </c>
      <c r="S1153" s="7" t="n"/>
      <c r="T1153" s="7" t="n"/>
      <c r="V1153" s="14" t="n"/>
      <c r="Z1153">
        <f>IF($B1153="","",IF(COUNTIF($B$2:$B1153,$B1153)=1,1,0))</f>
        <v/>
      </c>
      <c r="AA1153">
        <f>IF($Z1153=1,SUMPRODUCT(--($AC$2:$AC$3001&lt;$AC1153))+1,"")</f>
        <v/>
      </c>
      <c r="AB1153">
        <f>IF($B1153="","",IF(OR($Y1153=TRUE(),$Y1153="TRUE"),1,IF(AND($Y1153&lt;&gt;"",OR($Y1153=FALSE(),$Y1153="FALSE")),0,IF(MIN(ABS($X1153/100-Settings!$C$6),ABS($X1153/100-Settings!$G$6))&lt;=MIN(ABS($X1153/100-Settings!$C$7),ABS($X1153/100-Settings!$G$7)),1,0))))</f>
        <v/>
      </c>
      <c r="AC1153">
        <f>IF($Z1153=1,IFERROR(IF(VALUE($B1153)&lt;100000000,VALUE($B1153),1000000000),IFERROR(IF(VALUE(MID($B1153,2,20))&lt;100000000,VALUE(MID($B1153,2,20)),1000000000),1000000000))+ROW()/100000,"")</f>
        <v/>
      </c>
    </row>
    <row r="1154">
      <c r="A1154">
        <f>IF($B1154="","",IFERROR(IF(INDEX('Per Invoice'!$A$2:$A$801,MATCH($B1154,'Per Invoice'!$B$2:$B$801,0))=0,"",INDEX('Per Invoice'!$A$2:$A$801,MATCH($B1154,'Per Invoice'!$B$2:$B$801,0))),""))</f>
        <v/>
      </c>
      <c r="J1154" s="7">
        <f>IF($B1154="","",I1154*Q1154/100)</f>
        <v/>
      </c>
      <c r="N1154" s="7" t="n"/>
      <c r="O1154" s="7" t="n"/>
      <c r="P1154" s="7">
        <f>IF($B1154="","",O1154*X1154/100)</f>
        <v/>
      </c>
      <c r="Q1154" s="7">
        <f>IF($B1154="","",O1154-P1154)</f>
        <v/>
      </c>
      <c r="R1154" s="7">
        <f>IF($B1154="","",Q1154-J1154)</f>
        <v/>
      </c>
      <c r="S1154" s="7" t="n"/>
      <c r="T1154" s="7" t="n"/>
      <c r="V1154" s="14" t="n"/>
      <c r="Z1154">
        <f>IF($B1154="","",IF(COUNTIF($B$2:$B1154,$B1154)=1,1,0))</f>
        <v/>
      </c>
      <c r="AA1154">
        <f>IF($Z1154=1,SUMPRODUCT(--($AC$2:$AC$3001&lt;$AC1154))+1,"")</f>
        <v/>
      </c>
      <c r="AB1154">
        <f>IF($B1154="","",IF(OR($Y1154=TRUE(),$Y1154="TRUE"),1,IF(AND($Y1154&lt;&gt;"",OR($Y1154=FALSE(),$Y1154="FALSE")),0,IF(MIN(ABS($X1154/100-Settings!$C$6),ABS($X1154/100-Settings!$G$6))&lt;=MIN(ABS($X1154/100-Settings!$C$7),ABS($X1154/100-Settings!$G$7)),1,0))))</f>
        <v/>
      </c>
      <c r="AC1154">
        <f>IF($Z1154=1,IFERROR(IF(VALUE($B1154)&lt;100000000,VALUE($B1154),1000000000),IFERROR(IF(VALUE(MID($B1154,2,20))&lt;100000000,VALUE(MID($B1154,2,20)),1000000000),1000000000))+ROW()/100000,"")</f>
        <v/>
      </c>
    </row>
    <row r="1155">
      <c r="A1155">
        <f>IF($B1155="","",IFERROR(IF(INDEX('Per Invoice'!$A$2:$A$801,MATCH($B1155,'Per Invoice'!$B$2:$B$801,0))=0,"",INDEX('Per Invoice'!$A$2:$A$801,MATCH($B1155,'Per Invoice'!$B$2:$B$801,0))),""))</f>
        <v/>
      </c>
      <c r="J1155" s="7">
        <f>IF($B1155="","",I1155*Q1155/100)</f>
        <v/>
      </c>
      <c r="N1155" s="7" t="n"/>
      <c r="O1155" s="7" t="n"/>
      <c r="P1155" s="7">
        <f>IF($B1155="","",O1155*X1155/100)</f>
        <v/>
      </c>
      <c r="Q1155" s="7">
        <f>IF($B1155="","",O1155-P1155)</f>
        <v/>
      </c>
      <c r="R1155" s="7">
        <f>IF($B1155="","",Q1155-J1155)</f>
        <v/>
      </c>
      <c r="S1155" s="7" t="n"/>
      <c r="T1155" s="7" t="n"/>
      <c r="V1155" s="14" t="n"/>
      <c r="Z1155">
        <f>IF($B1155="","",IF(COUNTIF($B$2:$B1155,$B1155)=1,1,0))</f>
        <v/>
      </c>
      <c r="AA1155">
        <f>IF($Z1155=1,SUMPRODUCT(--($AC$2:$AC$3001&lt;$AC1155))+1,"")</f>
        <v/>
      </c>
      <c r="AB1155">
        <f>IF($B1155="","",IF(OR($Y1155=TRUE(),$Y1155="TRUE"),1,IF(AND($Y1155&lt;&gt;"",OR($Y1155=FALSE(),$Y1155="FALSE")),0,IF(MIN(ABS($X1155/100-Settings!$C$6),ABS($X1155/100-Settings!$G$6))&lt;=MIN(ABS($X1155/100-Settings!$C$7),ABS($X1155/100-Settings!$G$7)),1,0))))</f>
        <v/>
      </c>
      <c r="AC1155">
        <f>IF($Z1155=1,IFERROR(IF(VALUE($B1155)&lt;100000000,VALUE($B1155),1000000000),IFERROR(IF(VALUE(MID($B1155,2,20))&lt;100000000,VALUE(MID($B1155,2,20)),1000000000),1000000000))+ROW()/100000,"")</f>
        <v/>
      </c>
    </row>
    <row r="1156">
      <c r="A1156">
        <f>IF($B1156="","",IFERROR(IF(INDEX('Per Invoice'!$A$2:$A$801,MATCH($B1156,'Per Invoice'!$B$2:$B$801,0))=0,"",INDEX('Per Invoice'!$A$2:$A$801,MATCH($B1156,'Per Invoice'!$B$2:$B$801,0))),""))</f>
        <v/>
      </c>
      <c r="J1156" s="7">
        <f>IF($B1156="","",I1156*Q1156/100)</f>
        <v/>
      </c>
      <c r="N1156" s="7" t="n"/>
      <c r="O1156" s="7" t="n"/>
      <c r="P1156" s="7">
        <f>IF($B1156="","",O1156*X1156/100)</f>
        <v/>
      </c>
      <c r="Q1156" s="7">
        <f>IF($B1156="","",O1156-P1156)</f>
        <v/>
      </c>
      <c r="R1156" s="7">
        <f>IF($B1156="","",Q1156-J1156)</f>
        <v/>
      </c>
      <c r="S1156" s="7" t="n"/>
      <c r="T1156" s="7" t="n"/>
      <c r="V1156" s="14" t="n"/>
      <c r="Z1156">
        <f>IF($B1156="","",IF(COUNTIF($B$2:$B1156,$B1156)=1,1,0))</f>
        <v/>
      </c>
      <c r="AA1156">
        <f>IF($Z1156=1,SUMPRODUCT(--($AC$2:$AC$3001&lt;$AC1156))+1,"")</f>
        <v/>
      </c>
      <c r="AB1156">
        <f>IF($B1156="","",IF(OR($Y1156=TRUE(),$Y1156="TRUE"),1,IF(AND($Y1156&lt;&gt;"",OR($Y1156=FALSE(),$Y1156="FALSE")),0,IF(MIN(ABS($X1156/100-Settings!$C$6),ABS($X1156/100-Settings!$G$6))&lt;=MIN(ABS($X1156/100-Settings!$C$7),ABS($X1156/100-Settings!$G$7)),1,0))))</f>
        <v/>
      </c>
      <c r="AC1156">
        <f>IF($Z1156=1,IFERROR(IF(VALUE($B1156)&lt;100000000,VALUE($B1156),1000000000),IFERROR(IF(VALUE(MID($B1156,2,20))&lt;100000000,VALUE(MID($B1156,2,20)),1000000000),1000000000))+ROW()/100000,"")</f>
        <v/>
      </c>
    </row>
    <row r="1157">
      <c r="A1157">
        <f>IF($B1157="","",IFERROR(IF(INDEX('Per Invoice'!$A$2:$A$801,MATCH($B1157,'Per Invoice'!$B$2:$B$801,0))=0,"",INDEX('Per Invoice'!$A$2:$A$801,MATCH($B1157,'Per Invoice'!$B$2:$B$801,0))),""))</f>
        <v/>
      </c>
      <c r="J1157" s="7">
        <f>IF($B1157="","",I1157*Q1157/100)</f>
        <v/>
      </c>
      <c r="N1157" s="7" t="n"/>
      <c r="O1157" s="7" t="n"/>
      <c r="P1157" s="7">
        <f>IF($B1157="","",O1157*X1157/100)</f>
        <v/>
      </c>
      <c r="Q1157" s="7">
        <f>IF($B1157="","",O1157-P1157)</f>
        <v/>
      </c>
      <c r="R1157" s="7">
        <f>IF($B1157="","",Q1157-J1157)</f>
        <v/>
      </c>
      <c r="S1157" s="7" t="n"/>
      <c r="T1157" s="7" t="n"/>
      <c r="V1157" s="14" t="n"/>
      <c r="Z1157">
        <f>IF($B1157="","",IF(COUNTIF($B$2:$B1157,$B1157)=1,1,0))</f>
        <v/>
      </c>
      <c r="AA1157">
        <f>IF($Z1157=1,SUMPRODUCT(--($AC$2:$AC$3001&lt;$AC1157))+1,"")</f>
        <v/>
      </c>
      <c r="AB1157">
        <f>IF($B1157="","",IF(OR($Y1157=TRUE(),$Y1157="TRUE"),1,IF(AND($Y1157&lt;&gt;"",OR($Y1157=FALSE(),$Y1157="FALSE")),0,IF(MIN(ABS($X1157/100-Settings!$C$6),ABS($X1157/100-Settings!$G$6))&lt;=MIN(ABS($X1157/100-Settings!$C$7),ABS($X1157/100-Settings!$G$7)),1,0))))</f>
        <v/>
      </c>
      <c r="AC1157">
        <f>IF($Z1157=1,IFERROR(IF(VALUE($B1157)&lt;100000000,VALUE($B1157),1000000000),IFERROR(IF(VALUE(MID($B1157,2,20))&lt;100000000,VALUE(MID($B1157,2,20)),1000000000),1000000000))+ROW()/100000,"")</f>
        <v/>
      </c>
    </row>
    <row r="1158">
      <c r="A1158">
        <f>IF($B1158="","",IFERROR(IF(INDEX('Per Invoice'!$A$2:$A$801,MATCH($B1158,'Per Invoice'!$B$2:$B$801,0))=0,"",INDEX('Per Invoice'!$A$2:$A$801,MATCH($B1158,'Per Invoice'!$B$2:$B$801,0))),""))</f>
        <v/>
      </c>
      <c r="J1158" s="7">
        <f>IF($B1158="","",I1158*Q1158/100)</f>
        <v/>
      </c>
      <c r="N1158" s="7" t="n"/>
      <c r="O1158" s="7" t="n"/>
      <c r="P1158" s="7">
        <f>IF($B1158="","",O1158*X1158/100)</f>
        <v/>
      </c>
      <c r="Q1158" s="7">
        <f>IF($B1158="","",O1158-P1158)</f>
        <v/>
      </c>
      <c r="R1158" s="7">
        <f>IF($B1158="","",Q1158-J1158)</f>
        <v/>
      </c>
      <c r="S1158" s="7" t="n"/>
      <c r="T1158" s="7" t="n"/>
      <c r="V1158" s="14" t="n"/>
      <c r="Z1158">
        <f>IF($B1158="","",IF(COUNTIF($B$2:$B1158,$B1158)=1,1,0))</f>
        <v/>
      </c>
      <c r="AA1158">
        <f>IF($Z1158=1,SUMPRODUCT(--($AC$2:$AC$3001&lt;$AC1158))+1,"")</f>
        <v/>
      </c>
      <c r="AB1158">
        <f>IF($B1158="","",IF(OR($Y1158=TRUE(),$Y1158="TRUE"),1,IF(AND($Y1158&lt;&gt;"",OR($Y1158=FALSE(),$Y1158="FALSE")),0,IF(MIN(ABS($X1158/100-Settings!$C$6),ABS($X1158/100-Settings!$G$6))&lt;=MIN(ABS($X1158/100-Settings!$C$7),ABS($X1158/100-Settings!$G$7)),1,0))))</f>
        <v/>
      </c>
      <c r="AC1158">
        <f>IF($Z1158=1,IFERROR(IF(VALUE($B1158)&lt;100000000,VALUE($B1158),1000000000),IFERROR(IF(VALUE(MID($B1158,2,20))&lt;100000000,VALUE(MID($B1158,2,20)),1000000000),1000000000))+ROW()/100000,"")</f>
        <v/>
      </c>
    </row>
    <row r="1159">
      <c r="A1159">
        <f>IF($B1159="","",IFERROR(IF(INDEX('Per Invoice'!$A$2:$A$801,MATCH($B1159,'Per Invoice'!$B$2:$B$801,0))=0,"",INDEX('Per Invoice'!$A$2:$A$801,MATCH($B1159,'Per Invoice'!$B$2:$B$801,0))),""))</f>
        <v/>
      </c>
      <c r="J1159" s="7">
        <f>IF($B1159="","",I1159*Q1159/100)</f>
        <v/>
      </c>
      <c r="N1159" s="7" t="n"/>
      <c r="O1159" s="7" t="n"/>
      <c r="P1159" s="7">
        <f>IF($B1159="","",O1159*X1159/100)</f>
        <v/>
      </c>
      <c r="Q1159" s="7">
        <f>IF($B1159="","",O1159-P1159)</f>
        <v/>
      </c>
      <c r="R1159" s="7">
        <f>IF($B1159="","",Q1159-J1159)</f>
        <v/>
      </c>
      <c r="S1159" s="7" t="n"/>
      <c r="T1159" s="7" t="n"/>
      <c r="V1159" s="14" t="n"/>
      <c r="Z1159">
        <f>IF($B1159="","",IF(COUNTIF($B$2:$B1159,$B1159)=1,1,0))</f>
        <v/>
      </c>
      <c r="AA1159">
        <f>IF($Z1159=1,SUMPRODUCT(--($AC$2:$AC$3001&lt;$AC1159))+1,"")</f>
        <v/>
      </c>
      <c r="AB1159">
        <f>IF($B1159="","",IF(OR($Y1159=TRUE(),$Y1159="TRUE"),1,IF(AND($Y1159&lt;&gt;"",OR($Y1159=FALSE(),$Y1159="FALSE")),0,IF(MIN(ABS($X1159/100-Settings!$C$6),ABS($X1159/100-Settings!$G$6))&lt;=MIN(ABS($X1159/100-Settings!$C$7),ABS($X1159/100-Settings!$G$7)),1,0))))</f>
        <v/>
      </c>
      <c r="AC1159">
        <f>IF($Z1159=1,IFERROR(IF(VALUE($B1159)&lt;100000000,VALUE($B1159),1000000000),IFERROR(IF(VALUE(MID($B1159,2,20))&lt;100000000,VALUE(MID($B1159,2,20)),1000000000),1000000000))+ROW()/100000,"")</f>
        <v/>
      </c>
    </row>
    <row r="1160">
      <c r="A1160">
        <f>IF($B1160="","",IFERROR(IF(INDEX('Per Invoice'!$A$2:$A$801,MATCH($B1160,'Per Invoice'!$B$2:$B$801,0))=0,"",INDEX('Per Invoice'!$A$2:$A$801,MATCH($B1160,'Per Invoice'!$B$2:$B$801,0))),""))</f>
        <v/>
      </c>
      <c r="J1160" s="7">
        <f>IF($B1160="","",I1160*Q1160/100)</f>
        <v/>
      </c>
      <c r="N1160" s="7" t="n"/>
      <c r="O1160" s="7" t="n"/>
      <c r="P1160" s="7">
        <f>IF($B1160="","",O1160*X1160/100)</f>
        <v/>
      </c>
      <c r="Q1160" s="7">
        <f>IF($B1160="","",O1160-P1160)</f>
        <v/>
      </c>
      <c r="R1160" s="7">
        <f>IF($B1160="","",Q1160-J1160)</f>
        <v/>
      </c>
      <c r="S1160" s="7" t="n"/>
      <c r="T1160" s="7" t="n"/>
      <c r="V1160" s="14" t="n"/>
      <c r="Z1160">
        <f>IF($B1160="","",IF(COUNTIF($B$2:$B1160,$B1160)=1,1,0))</f>
        <v/>
      </c>
      <c r="AA1160">
        <f>IF($Z1160=1,SUMPRODUCT(--($AC$2:$AC$3001&lt;$AC1160))+1,"")</f>
        <v/>
      </c>
      <c r="AB1160">
        <f>IF($B1160="","",IF(OR($Y1160=TRUE(),$Y1160="TRUE"),1,IF(AND($Y1160&lt;&gt;"",OR($Y1160=FALSE(),$Y1160="FALSE")),0,IF(MIN(ABS($X1160/100-Settings!$C$6),ABS($X1160/100-Settings!$G$6))&lt;=MIN(ABS($X1160/100-Settings!$C$7),ABS($X1160/100-Settings!$G$7)),1,0))))</f>
        <v/>
      </c>
      <c r="AC1160">
        <f>IF($Z1160=1,IFERROR(IF(VALUE($B1160)&lt;100000000,VALUE($B1160),1000000000),IFERROR(IF(VALUE(MID($B1160,2,20))&lt;100000000,VALUE(MID($B1160,2,20)),1000000000),1000000000))+ROW()/100000,"")</f>
        <v/>
      </c>
    </row>
    <row r="1161">
      <c r="A1161">
        <f>IF($B1161="","",IFERROR(IF(INDEX('Per Invoice'!$A$2:$A$801,MATCH($B1161,'Per Invoice'!$B$2:$B$801,0))=0,"",INDEX('Per Invoice'!$A$2:$A$801,MATCH($B1161,'Per Invoice'!$B$2:$B$801,0))),""))</f>
        <v/>
      </c>
      <c r="J1161" s="7">
        <f>IF($B1161="","",I1161*Q1161/100)</f>
        <v/>
      </c>
      <c r="N1161" s="7" t="n"/>
      <c r="O1161" s="7" t="n"/>
      <c r="P1161" s="7">
        <f>IF($B1161="","",O1161*X1161/100)</f>
        <v/>
      </c>
      <c r="Q1161" s="7">
        <f>IF($B1161="","",O1161-P1161)</f>
        <v/>
      </c>
      <c r="R1161" s="7">
        <f>IF($B1161="","",Q1161-J1161)</f>
        <v/>
      </c>
      <c r="S1161" s="7" t="n"/>
      <c r="T1161" s="7" t="n"/>
      <c r="V1161" s="14" t="n"/>
      <c r="Z1161">
        <f>IF($B1161="","",IF(COUNTIF($B$2:$B1161,$B1161)=1,1,0))</f>
        <v/>
      </c>
      <c r="AA1161">
        <f>IF($Z1161=1,SUMPRODUCT(--($AC$2:$AC$3001&lt;$AC1161))+1,"")</f>
        <v/>
      </c>
      <c r="AB1161">
        <f>IF($B1161="","",IF(OR($Y1161=TRUE(),$Y1161="TRUE"),1,IF(AND($Y1161&lt;&gt;"",OR($Y1161=FALSE(),$Y1161="FALSE")),0,IF(MIN(ABS($X1161/100-Settings!$C$6),ABS($X1161/100-Settings!$G$6))&lt;=MIN(ABS($X1161/100-Settings!$C$7),ABS($X1161/100-Settings!$G$7)),1,0))))</f>
        <v/>
      </c>
      <c r="AC1161">
        <f>IF($Z1161=1,IFERROR(IF(VALUE($B1161)&lt;100000000,VALUE($B1161),1000000000),IFERROR(IF(VALUE(MID($B1161,2,20))&lt;100000000,VALUE(MID($B1161,2,20)),1000000000),1000000000))+ROW()/100000,"")</f>
        <v/>
      </c>
    </row>
    <row r="1162">
      <c r="A1162">
        <f>IF($B1162="","",IFERROR(IF(INDEX('Per Invoice'!$A$2:$A$801,MATCH($B1162,'Per Invoice'!$B$2:$B$801,0))=0,"",INDEX('Per Invoice'!$A$2:$A$801,MATCH($B1162,'Per Invoice'!$B$2:$B$801,0))),""))</f>
        <v/>
      </c>
      <c r="J1162" s="7">
        <f>IF($B1162="","",I1162*Q1162/100)</f>
        <v/>
      </c>
      <c r="N1162" s="7" t="n"/>
      <c r="O1162" s="7" t="n"/>
      <c r="P1162" s="7">
        <f>IF($B1162="","",O1162*X1162/100)</f>
        <v/>
      </c>
      <c r="Q1162" s="7">
        <f>IF($B1162="","",O1162-P1162)</f>
        <v/>
      </c>
      <c r="R1162" s="7">
        <f>IF($B1162="","",Q1162-J1162)</f>
        <v/>
      </c>
      <c r="S1162" s="7" t="n"/>
      <c r="T1162" s="7" t="n"/>
      <c r="V1162" s="14" t="n"/>
      <c r="Z1162">
        <f>IF($B1162="","",IF(COUNTIF($B$2:$B1162,$B1162)=1,1,0))</f>
        <v/>
      </c>
      <c r="AA1162">
        <f>IF($Z1162=1,SUMPRODUCT(--($AC$2:$AC$3001&lt;$AC1162))+1,"")</f>
        <v/>
      </c>
      <c r="AB1162">
        <f>IF($B1162="","",IF(OR($Y1162=TRUE(),$Y1162="TRUE"),1,IF(AND($Y1162&lt;&gt;"",OR($Y1162=FALSE(),$Y1162="FALSE")),0,IF(MIN(ABS($X1162/100-Settings!$C$6),ABS($X1162/100-Settings!$G$6))&lt;=MIN(ABS($X1162/100-Settings!$C$7),ABS($X1162/100-Settings!$G$7)),1,0))))</f>
        <v/>
      </c>
      <c r="AC1162">
        <f>IF($Z1162=1,IFERROR(IF(VALUE($B1162)&lt;100000000,VALUE($B1162),1000000000),IFERROR(IF(VALUE(MID($B1162,2,20))&lt;100000000,VALUE(MID($B1162,2,20)),1000000000),1000000000))+ROW()/100000,"")</f>
        <v/>
      </c>
    </row>
    <row r="1163">
      <c r="A1163">
        <f>IF($B1163="","",IFERROR(IF(INDEX('Per Invoice'!$A$2:$A$801,MATCH($B1163,'Per Invoice'!$B$2:$B$801,0))=0,"",INDEX('Per Invoice'!$A$2:$A$801,MATCH($B1163,'Per Invoice'!$B$2:$B$801,0))),""))</f>
        <v/>
      </c>
      <c r="J1163" s="7">
        <f>IF($B1163="","",I1163*Q1163/100)</f>
        <v/>
      </c>
      <c r="N1163" s="7" t="n"/>
      <c r="O1163" s="7" t="n"/>
      <c r="P1163" s="7">
        <f>IF($B1163="","",O1163*X1163/100)</f>
        <v/>
      </c>
      <c r="Q1163" s="7">
        <f>IF($B1163="","",O1163-P1163)</f>
        <v/>
      </c>
      <c r="R1163" s="7">
        <f>IF($B1163="","",Q1163-J1163)</f>
        <v/>
      </c>
      <c r="S1163" s="7" t="n"/>
      <c r="T1163" s="7" t="n"/>
      <c r="V1163" s="14" t="n"/>
      <c r="Z1163">
        <f>IF($B1163="","",IF(COUNTIF($B$2:$B1163,$B1163)=1,1,0))</f>
        <v/>
      </c>
      <c r="AA1163">
        <f>IF($Z1163=1,SUMPRODUCT(--($AC$2:$AC$3001&lt;$AC1163))+1,"")</f>
        <v/>
      </c>
      <c r="AB1163">
        <f>IF($B1163="","",IF(OR($Y1163=TRUE(),$Y1163="TRUE"),1,IF(AND($Y1163&lt;&gt;"",OR($Y1163=FALSE(),$Y1163="FALSE")),0,IF(MIN(ABS($X1163/100-Settings!$C$6),ABS($X1163/100-Settings!$G$6))&lt;=MIN(ABS($X1163/100-Settings!$C$7),ABS($X1163/100-Settings!$G$7)),1,0))))</f>
        <v/>
      </c>
      <c r="AC1163">
        <f>IF($Z1163=1,IFERROR(IF(VALUE($B1163)&lt;100000000,VALUE($B1163),1000000000),IFERROR(IF(VALUE(MID($B1163,2,20))&lt;100000000,VALUE(MID($B1163,2,20)),1000000000),1000000000))+ROW()/100000,"")</f>
        <v/>
      </c>
    </row>
    <row r="1164">
      <c r="A1164">
        <f>IF($B1164="","",IFERROR(IF(INDEX('Per Invoice'!$A$2:$A$801,MATCH($B1164,'Per Invoice'!$B$2:$B$801,0))=0,"",INDEX('Per Invoice'!$A$2:$A$801,MATCH($B1164,'Per Invoice'!$B$2:$B$801,0))),""))</f>
        <v/>
      </c>
      <c r="J1164" s="7">
        <f>IF($B1164="","",I1164*Q1164/100)</f>
        <v/>
      </c>
      <c r="N1164" s="7" t="n"/>
      <c r="O1164" s="7" t="n"/>
      <c r="P1164" s="7">
        <f>IF($B1164="","",O1164*X1164/100)</f>
        <v/>
      </c>
      <c r="Q1164" s="7">
        <f>IF($B1164="","",O1164-P1164)</f>
        <v/>
      </c>
      <c r="R1164" s="7">
        <f>IF($B1164="","",Q1164-J1164)</f>
        <v/>
      </c>
      <c r="S1164" s="7" t="n"/>
      <c r="T1164" s="7" t="n"/>
      <c r="V1164" s="14" t="n"/>
      <c r="Z1164">
        <f>IF($B1164="","",IF(COUNTIF($B$2:$B1164,$B1164)=1,1,0))</f>
        <v/>
      </c>
      <c r="AA1164">
        <f>IF($Z1164=1,SUMPRODUCT(--($AC$2:$AC$3001&lt;$AC1164))+1,"")</f>
        <v/>
      </c>
      <c r="AB1164">
        <f>IF($B1164="","",IF(OR($Y1164=TRUE(),$Y1164="TRUE"),1,IF(AND($Y1164&lt;&gt;"",OR($Y1164=FALSE(),$Y1164="FALSE")),0,IF(MIN(ABS($X1164/100-Settings!$C$6),ABS($X1164/100-Settings!$G$6))&lt;=MIN(ABS($X1164/100-Settings!$C$7),ABS($X1164/100-Settings!$G$7)),1,0))))</f>
        <v/>
      </c>
      <c r="AC1164">
        <f>IF($Z1164=1,IFERROR(IF(VALUE($B1164)&lt;100000000,VALUE($B1164),1000000000),IFERROR(IF(VALUE(MID($B1164,2,20))&lt;100000000,VALUE(MID($B1164,2,20)),1000000000),1000000000))+ROW()/100000,"")</f>
        <v/>
      </c>
    </row>
    <row r="1165">
      <c r="A1165">
        <f>IF($B1165="","",IFERROR(IF(INDEX('Per Invoice'!$A$2:$A$801,MATCH($B1165,'Per Invoice'!$B$2:$B$801,0))=0,"",INDEX('Per Invoice'!$A$2:$A$801,MATCH($B1165,'Per Invoice'!$B$2:$B$801,0))),""))</f>
        <v/>
      </c>
      <c r="J1165" s="7">
        <f>IF($B1165="","",I1165*Q1165/100)</f>
        <v/>
      </c>
      <c r="N1165" s="7" t="n"/>
      <c r="O1165" s="7" t="n"/>
      <c r="P1165" s="7">
        <f>IF($B1165="","",O1165*X1165/100)</f>
        <v/>
      </c>
      <c r="Q1165" s="7">
        <f>IF($B1165="","",O1165-P1165)</f>
        <v/>
      </c>
      <c r="R1165" s="7">
        <f>IF($B1165="","",Q1165-J1165)</f>
        <v/>
      </c>
      <c r="S1165" s="7" t="n"/>
      <c r="T1165" s="7" t="n"/>
      <c r="V1165" s="14" t="n"/>
      <c r="Z1165">
        <f>IF($B1165="","",IF(COUNTIF($B$2:$B1165,$B1165)=1,1,0))</f>
        <v/>
      </c>
      <c r="AA1165">
        <f>IF($Z1165=1,SUMPRODUCT(--($AC$2:$AC$3001&lt;$AC1165))+1,"")</f>
        <v/>
      </c>
      <c r="AB1165">
        <f>IF($B1165="","",IF(OR($Y1165=TRUE(),$Y1165="TRUE"),1,IF(AND($Y1165&lt;&gt;"",OR($Y1165=FALSE(),$Y1165="FALSE")),0,IF(MIN(ABS($X1165/100-Settings!$C$6),ABS($X1165/100-Settings!$G$6))&lt;=MIN(ABS($X1165/100-Settings!$C$7),ABS($X1165/100-Settings!$G$7)),1,0))))</f>
        <v/>
      </c>
      <c r="AC1165">
        <f>IF($Z1165=1,IFERROR(IF(VALUE($B1165)&lt;100000000,VALUE($B1165),1000000000),IFERROR(IF(VALUE(MID($B1165,2,20))&lt;100000000,VALUE(MID($B1165,2,20)),1000000000),1000000000))+ROW()/100000,"")</f>
        <v/>
      </c>
    </row>
    <row r="1166">
      <c r="A1166">
        <f>IF($B1166="","",IFERROR(IF(INDEX('Per Invoice'!$A$2:$A$801,MATCH($B1166,'Per Invoice'!$B$2:$B$801,0))=0,"",INDEX('Per Invoice'!$A$2:$A$801,MATCH($B1166,'Per Invoice'!$B$2:$B$801,0))),""))</f>
        <v/>
      </c>
      <c r="J1166" s="7">
        <f>IF($B1166="","",I1166*Q1166/100)</f>
        <v/>
      </c>
      <c r="N1166" s="7" t="n"/>
      <c r="O1166" s="7" t="n"/>
      <c r="P1166" s="7">
        <f>IF($B1166="","",O1166*X1166/100)</f>
        <v/>
      </c>
      <c r="Q1166" s="7">
        <f>IF($B1166="","",O1166-P1166)</f>
        <v/>
      </c>
      <c r="R1166" s="7">
        <f>IF($B1166="","",Q1166-J1166)</f>
        <v/>
      </c>
      <c r="S1166" s="7" t="n"/>
      <c r="T1166" s="7" t="n"/>
      <c r="V1166" s="14" t="n"/>
      <c r="Z1166">
        <f>IF($B1166="","",IF(COUNTIF($B$2:$B1166,$B1166)=1,1,0))</f>
        <v/>
      </c>
      <c r="AA1166">
        <f>IF($Z1166=1,SUMPRODUCT(--($AC$2:$AC$3001&lt;$AC1166))+1,"")</f>
        <v/>
      </c>
      <c r="AB1166">
        <f>IF($B1166="","",IF(OR($Y1166=TRUE(),$Y1166="TRUE"),1,IF(AND($Y1166&lt;&gt;"",OR($Y1166=FALSE(),$Y1166="FALSE")),0,IF(MIN(ABS($X1166/100-Settings!$C$6),ABS($X1166/100-Settings!$G$6))&lt;=MIN(ABS($X1166/100-Settings!$C$7),ABS($X1166/100-Settings!$G$7)),1,0))))</f>
        <v/>
      </c>
      <c r="AC1166">
        <f>IF($Z1166=1,IFERROR(IF(VALUE($B1166)&lt;100000000,VALUE($B1166),1000000000),IFERROR(IF(VALUE(MID($B1166,2,20))&lt;100000000,VALUE(MID($B1166,2,20)),1000000000),1000000000))+ROW()/100000,"")</f>
        <v/>
      </c>
    </row>
    <row r="1167">
      <c r="A1167">
        <f>IF($B1167="","",IFERROR(IF(INDEX('Per Invoice'!$A$2:$A$801,MATCH($B1167,'Per Invoice'!$B$2:$B$801,0))=0,"",INDEX('Per Invoice'!$A$2:$A$801,MATCH($B1167,'Per Invoice'!$B$2:$B$801,0))),""))</f>
        <v/>
      </c>
      <c r="J1167" s="7">
        <f>IF($B1167="","",I1167*Q1167/100)</f>
        <v/>
      </c>
      <c r="N1167" s="7" t="n"/>
      <c r="O1167" s="7" t="n"/>
      <c r="P1167" s="7">
        <f>IF($B1167="","",O1167*X1167/100)</f>
        <v/>
      </c>
      <c r="Q1167" s="7">
        <f>IF($B1167="","",O1167-P1167)</f>
        <v/>
      </c>
      <c r="R1167" s="7">
        <f>IF($B1167="","",Q1167-J1167)</f>
        <v/>
      </c>
      <c r="S1167" s="7" t="n"/>
      <c r="T1167" s="7" t="n"/>
      <c r="V1167" s="14" t="n"/>
      <c r="Z1167">
        <f>IF($B1167="","",IF(COUNTIF($B$2:$B1167,$B1167)=1,1,0))</f>
        <v/>
      </c>
      <c r="AA1167">
        <f>IF($Z1167=1,SUMPRODUCT(--($AC$2:$AC$3001&lt;$AC1167))+1,"")</f>
        <v/>
      </c>
      <c r="AB1167">
        <f>IF($B1167="","",IF(OR($Y1167=TRUE(),$Y1167="TRUE"),1,IF(AND($Y1167&lt;&gt;"",OR($Y1167=FALSE(),$Y1167="FALSE")),0,IF(MIN(ABS($X1167/100-Settings!$C$6),ABS($X1167/100-Settings!$G$6))&lt;=MIN(ABS($X1167/100-Settings!$C$7),ABS($X1167/100-Settings!$G$7)),1,0))))</f>
        <v/>
      </c>
      <c r="AC1167">
        <f>IF($Z1167=1,IFERROR(IF(VALUE($B1167)&lt;100000000,VALUE($B1167),1000000000),IFERROR(IF(VALUE(MID($B1167,2,20))&lt;100000000,VALUE(MID($B1167,2,20)),1000000000),1000000000))+ROW()/100000,"")</f>
        <v/>
      </c>
    </row>
    <row r="1168">
      <c r="A1168">
        <f>IF($B1168="","",IFERROR(IF(INDEX('Per Invoice'!$A$2:$A$801,MATCH($B1168,'Per Invoice'!$B$2:$B$801,0))=0,"",INDEX('Per Invoice'!$A$2:$A$801,MATCH($B1168,'Per Invoice'!$B$2:$B$801,0))),""))</f>
        <v/>
      </c>
      <c r="J1168" s="7">
        <f>IF($B1168="","",I1168*Q1168/100)</f>
        <v/>
      </c>
      <c r="N1168" s="7" t="n"/>
      <c r="O1168" s="7" t="n"/>
      <c r="P1168" s="7">
        <f>IF($B1168="","",O1168*X1168/100)</f>
        <v/>
      </c>
      <c r="Q1168" s="7">
        <f>IF($B1168="","",O1168-P1168)</f>
        <v/>
      </c>
      <c r="R1168" s="7">
        <f>IF($B1168="","",Q1168-J1168)</f>
        <v/>
      </c>
      <c r="S1168" s="7" t="n"/>
      <c r="T1168" s="7" t="n"/>
      <c r="V1168" s="14" t="n"/>
      <c r="Z1168">
        <f>IF($B1168="","",IF(COUNTIF($B$2:$B1168,$B1168)=1,1,0))</f>
        <v/>
      </c>
      <c r="AA1168">
        <f>IF($Z1168=1,SUMPRODUCT(--($AC$2:$AC$3001&lt;$AC1168))+1,"")</f>
        <v/>
      </c>
      <c r="AB1168">
        <f>IF($B1168="","",IF(OR($Y1168=TRUE(),$Y1168="TRUE"),1,IF(AND($Y1168&lt;&gt;"",OR($Y1168=FALSE(),$Y1168="FALSE")),0,IF(MIN(ABS($X1168/100-Settings!$C$6),ABS($X1168/100-Settings!$G$6))&lt;=MIN(ABS($X1168/100-Settings!$C$7),ABS($X1168/100-Settings!$G$7)),1,0))))</f>
        <v/>
      </c>
      <c r="AC1168">
        <f>IF($Z1168=1,IFERROR(IF(VALUE($B1168)&lt;100000000,VALUE($B1168),1000000000),IFERROR(IF(VALUE(MID($B1168,2,20))&lt;100000000,VALUE(MID($B1168,2,20)),1000000000),1000000000))+ROW()/100000,"")</f>
        <v/>
      </c>
    </row>
    <row r="1169">
      <c r="A1169">
        <f>IF($B1169="","",IFERROR(IF(INDEX('Per Invoice'!$A$2:$A$801,MATCH($B1169,'Per Invoice'!$B$2:$B$801,0))=0,"",INDEX('Per Invoice'!$A$2:$A$801,MATCH($B1169,'Per Invoice'!$B$2:$B$801,0))),""))</f>
        <v/>
      </c>
      <c r="J1169" s="7">
        <f>IF($B1169="","",I1169*Q1169/100)</f>
        <v/>
      </c>
      <c r="N1169" s="7" t="n"/>
      <c r="O1169" s="7" t="n"/>
      <c r="P1169" s="7">
        <f>IF($B1169="","",O1169*X1169/100)</f>
        <v/>
      </c>
      <c r="Q1169" s="7">
        <f>IF($B1169="","",O1169-P1169)</f>
        <v/>
      </c>
      <c r="R1169" s="7">
        <f>IF($B1169="","",Q1169-J1169)</f>
        <v/>
      </c>
      <c r="S1169" s="7" t="n"/>
      <c r="T1169" s="7" t="n"/>
      <c r="V1169" s="14" t="n"/>
      <c r="Z1169">
        <f>IF($B1169="","",IF(COUNTIF($B$2:$B1169,$B1169)=1,1,0))</f>
        <v/>
      </c>
      <c r="AA1169">
        <f>IF($Z1169=1,SUMPRODUCT(--($AC$2:$AC$3001&lt;$AC1169))+1,"")</f>
        <v/>
      </c>
      <c r="AB1169">
        <f>IF($B1169="","",IF(OR($Y1169=TRUE(),$Y1169="TRUE"),1,IF(AND($Y1169&lt;&gt;"",OR($Y1169=FALSE(),$Y1169="FALSE")),0,IF(MIN(ABS($X1169/100-Settings!$C$6),ABS($X1169/100-Settings!$G$6))&lt;=MIN(ABS($X1169/100-Settings!$C$7),ABS($X1169/100-Settings!$G$7)),1,0))))</f>
        <v/>
      </c>
      <c r="AC1169">
        <f>IF($Z1169=1,IFERROR(IF(VALUE($B1169)&lt;100000000,VALUE($B1169),1000000000),IFERROR(IF(VALUE(MID($B1169,2,20))&lt;100000000,VALUE(MID($B1169,2,20)),1000000000),1000000000))+ROW()/100000,"")</f>
        <v/>
      </c>
    </row>
    <row r="1170">
      <c r="A1170">
        <f>IF($B1170="","",IFERROR(IF(INDEX('Per Invoice'!$A$2:$A$801,MATCH($B1170,'Per Invoice'!$B$2:$B$801,0))=0,"",INDEX('Per Invoice'!$A$2:$A$801,MATCH($B1170,'Per Invoice'!$B$2:$B$801,0))),""))</f>
        <v/>
      </c>
      <c r="J1170" s="7">
        <f>IF($B1170="","",I1170*Q1170/100)</f>
        <v/>
      </c>
      <c r="N1170" s="7" t="n"/>
      <c r="O1170" s="7" t="n"/>
      <c r="P1170" s="7">
        <f>IF($B1170="","",O1170*X1170/100)</f>
        <v/>
      </c>
      <c r="Q1170" s="7">
        <f>IF($B1170="","",O1170-P1170)</f>
        <v/>
      </c>
      <c r="R1170" s="7">
        <f>IF($B1170="","",Q1170-J1170)</f>
        <v/>
      </c>
      <c r="S1170" s="7" t="n"/>
      <c r="T1170" s="7" t="n"/>
      <c r="V1170" s="14" t="n"/>
      <c r="Z1170">
        <f>IF($B1170="","",IF(COUNTIF($B$2:$B1170,$B1170)=1,1,0))</f>
        <v/>
      </c>
      <c r="AA1170">
        <f>IF($Z1170=1,SUMPRODUCT(--($AC$2:$AC$3001&lt;$AC1170))+1,"")</f>
        <v/>
      </c>
      <c r="AB1170">
        <f>IF($B1170="","",IF(OR($Y1170=TRUE(),$Y1170="TRUE"),1,IF(AND($Y1170&lt;&gt;"",OR($Y1170=FALSE(),$Y1170="FALSE")),0,IF(MIN(ABS($X1170/100-Settings!$C$6),ABS($X1170/100-Settings!$G$6))&lt;=MIN(ABS($X1170/100-Settings!$C$7),ABS($X1170/100-Settings!$G$7)),1,0))))</f>
        <v/>
      </c>
      <c r="AC1170">
        <f>IF($Z1170=1,IFERROR(IF(VALUE($B1170)&lt;100000000,VALUE($B1170),1000000000),IFERROR(IF(VALUE(MID($B1170,2,20))&lt;100000000,VALUE(MID($B1170,2,20)),1000000000),1000000000))+ROW()/100000,"")</f>
        <v/>
      </c>
    </row>
    <row r="1171">
      <c r="A1171">
        <f>IF($B1171="","",IFERROR(IF(INDEX('Per Invoice'!$A$2:$A$801,MATCH($B1171,'Per Invoice'!$B$2:$B$801,0))=0,"",INDEX('Per Invoice'!$A$2:$A$801,MATCH($B1171,'Per Invoice'!$B$2:$B$801,0))),""))</f>
        <v/>
      </c>
      <c r="J1171" s="7">
        <f>IF($B1171="","",I1171*Q1171/100)</f>
        <v/>
      </c>
      <c r="N1171" s="7" t="n"/>
      <c r="O1171" s="7" t="n"/>
      <c r="P1171" s="7">
        <f>IF($B1171="","",O1171*X1171/100)</f>
        <v/>
      </c>
      <c r="Q1171" s="7">
        <f>IF($B1171="","",O1171-P1171)</f>
        <v/>
      </c>
      <c r="R1171" s="7">
        <f>IF($B1171="","",Q1171-J1171)</f>
        <v/>
      </c>
      <c r="S1171" s="7" t="n"/>
      <c r="T1171" s="7" t="n"/>
      <c r="V1171" s="14" t="n"/>
      <c r="Z1171">
        <f>IF($B1171="","",IF(COUNTIF($B$2:$B1171,$B1171)=1,1,0))</f>
        <v/>
      </c>
      <c r="AA1171">
        <f>IF($Z1171=1,SUMPRODUCT(--($AC$2:$AC$3001&lt;$AC1171))+1,"")</f>
        <v/>
      </c>
      <c r="AB1171">
        <f>IF($B1171="","",IF(OR($Y1171=TRUE(),$Y1171="TRUE"),1,IF(AND($Y1171&lt;&gt;"",OR($Y1171=FALSE(),$Y1171="FALSE")),0,IF(MIN(ABS($X1171/100-Settings!$C$6),ABS($X1171/100-Settings!$G$6))&lt;=MIN(ABS($X1171/100-Settings!$C$7),ABS($X1171/100-Settings!$G$7)),1,0))))</f>
        <v/>
      </c>
      <c r="AC1171">
        <f>IF($Z1171=1,IFERROR(IF(VALUE($B1171)&lt;100000000,VALUE($B1171),1000000000),IFERROR(IF(VALUE(MID($B1171,2,20))&lt;100000000,VALUE(MID($B1171,2,20)),1000000000),1000000000))+ROW()/100000,"")</f>
        <v/>
      </c>
    </row>
    <row r="1172">
      <c r="A1172">
        <f>IF($B1172="","",IFERROR(IF(INDEX('Per Invoice'!$A$2:$A$801,MATCH($B1172,'Per Invoice'!$B$2:$B$801,0))=0,"",INDEX('Per Invoice'!$A$2:$A$801,MATCH($B1172,'Per Invoice'!$B$2:$B$801,0))),""))</f>
        <v/>
      </c>
      <c r="J1172" s="7">
        <f>IF($B1172="","",I1172*Q1172/100)</f>
        <v/>
      </c>
      <c r="N1172" s="7" t="n"/>
      <c r="O1172" s="7" t="n"/>
      <c r="P1172" s="7">
        <f>IF($B1172="","",O1172*X1172/100)</f>
        <v/>
      </c>
      <c r="Q1172" s="7">
        <f>IF($B1172="","",O1172-P1172)</f>
        <v/>
      </c>
      <c r="R1172" s="7">
        <f>IF($B1172="","",Q1172-J1172)</f>
        <v/>
      </c>
      <c r="S1172" s="7" t="n"/>
      <c r="T1172" s="7" t="n"/>
      <c r="V1172" s="14" t="n"/>
      <c r="Z1172">
        <f>IF($B1172="","",IF(COUNTIF($B$2:$B1172,$B1172)=1,1,0))</f>
        <v/>
      </c>
      <c r="AA1172">
        <f>IF($Z1172=1,SUMPRODUCT(--($AC$2:$AC$3001&lt;$AC1172))+1,"")</f>
        <v/>
      </c>
      <c r="AB1172">
        <f>IF($B1172="","",IF(OR($Y1172=TRUE(),$Y1172="TRUE"),1,IF(AND($Y1172&lt;&gt;"",OR($Y1172=FALSE(),$Y1172="FALSE")),0,IF(MIN(ABS($X1172/100-Settings!$C$6),ABS($X1172/100-Settings!$G$6))&lt;=MIN(ABS($X1172/100-Settings!$C$7),ABS($X1172/100-Settings!$G$7)),1,0))))</f>
        <v/>
      </c>
      <c r="AC1172">
        <f>IF($Z1172=1,IFERROR(IF(VALUE($B1172)&lt;100000000,VALUE($B1172),1000000000),IFERROR(IF(VALUE(MID($B1172,2,20))&lt;100000000,VALUE(MID($B1172,2,20)),1000000000),1000000000))+ROW()/100000,"")</f>
        <v/>
      </c>
    </row>
    <row r="1173">
      <c r="A1173">
        <f>IF($B1173="","",IFERROR(IF(INDEX('Per Invoice'!$A$2:$A$801,MATCH($B1173,'Per Invoice'!$B$2:$B$801,0))=0,"",INDEX('Per Invoice'!$A$2:$A$801,MATCH($B1173,'Per Invoice'!$B$2:$B$801,0))),""))</f>
        <v/>
      </c>
      <c r="J1173" s="7">
        <f>IF($B1173="","",I1173*Q1173/100)</f>
        <v/>
      </c>
      <c r="N1173" s="7" t="n"/>
      <c r="O1173" s="7" t="n"/>
      <c r="P1173" s="7">
        <f>IF($B1173="","",O1173*X1173/100)</f>
        <v/>
      </c>
      <c r="Q1173" s="7">
        <f>IF($B1173="","",O1173-P1173)</f>
        <v/>
      </c>
      <c r="R1173" s="7">
        <f>IF($B1173="","",Q1173-J1173)</f>
        <v/>
      </c>
      <c r="S1173" s="7" t="n"/>
      <c r="T1173" s="7" t="n"/>
      <c r="V1173" s="14" t="n"/>
      <c r="Z1173">
        <f>IF($B1173="","",IF(COUNTIF($B$2:$B1173,$B1173)=1,1,0))</f>
        <v/>
      </c>
      <c r="AA1173">
        <f>IF($Z1173=1,SUMPRODUCT(--($AC$2:$AC$3001&lt;$AC1173))+1,"")</f>
        <v/>
      </c>
      <c r="AB1173">
        <f>IF($B1173="","",IF(OR($Y1173=TRUE(),$Y1173="TRUE"),1,IF(AND($Y1173&lt;&gt;"",OR($Y1173=FALSE(),$Y1173="FALSE")),0,IF(MIN(ABS($X1173/100-Settings!$C$6),ABS($X1173/100-Settings!$G$6))&lt;=MIN(ABS($X1173/100-Settings!$C$7),ABS($X1173/100-Settings!$G$7)),1,0))))</f>
        <v/>
      </c>
      <c r="AC1173">
        <f>IF($Z1173=1,IFERROR(IF(VALUE($B1173)&lt;100000000,VALUE($B1173),1000000000),IFERROR(IF(VALUE(MID($B1173,2,20))&lt;100000000,VALUE(MID($B1173,2,20)),1000000000),1000000000))+ROW()/100000,"")</f>
        <v/>
      </c>
    </row>
    <row r="1174">
      <c r="A1174">
        <f>IF($B1174="","",IFERROR(IF(INDEX('Per Invoice'!$A$2:$A$801,MATCH($B1174,'Per Invoice'!$B$2:$B$801,0))=0,"",INDEX('Per Invoice'!$A$2:$A$801,MATCH($B1174,'Per Invoice'!$B$2:$B$801,0))),""))</f>
        <v/>
      </c>
      <c r="J1174" s="7">
        <f>IF($B1174="","",I1174*Q1174/100)</f>
        <v/>
      </c>
      <c r="N1174" s="7" t="n"/>
      <c r="O1174" s="7" t="n"/>
      <c r="P1174" s="7">
        <f>IF($B1174="","",O1174*X1174/100)</f>
        <v/>
      </c>
      <c r="Q1174" s="7">
        <f>IF($B1174="","",O1174-P1174)</f>
        <v/>
      </c>
      <c r="R1174" s="7">
        <f>IF($B1174="","",Q1174-J1174)</f>
        <v/>
      </c>
      <c r="S1174" s="7" t="n"/>
      <c r="T1174" s="7" t="n"/>
      <c r="V1174" s="14" t="n"/>
      <c r="Z1174">
        <f>IF($B1174="","",IF(COUNTIF($B$2:$B1174,$B1174)=1,1,0))</f>
        <v/>
      </c>
      <c r="AA1174">
        <f>IF($Z1174=1,SUMPRODUCT(--($AC$2:$AC$3001&lt;$AC1174))+1,"")</f>
        <v/>
      </c>
      <c r="AB1174">
        <f>IF($B1174="","",IF(OR($Y1174=TRUE(),$Y1174="TRUE"),1,IF(AND($Y1174&lt;&gt;"",OR($Y1174=FALSE(),$Y1174="FALSE")),0,IF(MIN(ABS($X1174/100-Settings!$C$6),ABS($X1174/100-Settings!$G$6))&lt;=MIN(ABS($X1174/100-Settings!$C$7),ABS($X1174/100-Settings!$G$7)),1,0))))</f>
        <v/>
      </c>
      <c r="AC1174">
        <f>IF($Z1174=1,IFERROR(IF(VALUE($B1174)&lt;100000000,VALUE($B1174),1000000000),IFERROR(IF(VALUE(MID($B1174,2,20))&lt;100000000,VALUE(MID($B1174,2,20)),1000000000),1000000000))+ROW()/100000,"")</f>
        <v/>
      </c>
    </row>
    <row r="1175">
      <c r="A1175">
        <f>IF($B1175="","",IFERROR(IF(INDEX('Per Invoice'!$A$2:$A$801,MATCH($B1175,'Per Invoice'!$B$2:$B$801,0))=0,"",INDEX('Per Invoice'!$A$2:$A$801,MATCH($B1175,'Per Invoice'!$B$2:$B$801,0))),""))</f>
        <v/>
      </c>
      <c r="J1175" s="7">
        <f>IF($B1175="","",I1175*Q1175/100)</f>
        <v/>
      </c>
      <c r="N1175" s="7" t="n"/>
      <c r="O1175" s="7" t="n"/>
      <c r="P1175" s="7">
        <f>IF($B1175="","",O1175*X1175/100)</f>
        <v/>
      </c>
      <c r="Q1175" s="7">
        <f>IF($B1175="","",O1175-P1175)</f>
        <v/>
      </c>
      <c r="R1175" s="7">
        <f>IF($B1175="","",Q1175-J1175)</f>
        <v/>
      </c>
      <c r="S1175" s="7" t="n"/>
      <c r="T1175" s="7" t="n"/>
      <c r="V1175" s="14" t="n"/>
      <c r="Z1175">
        <f>IF($B1175="","",IF(COUNTIF($B$2:$B1175,$B1175)=1,1,0))</f>
        <v/>
      </c>
      <c r="AA1175">
        <f>IF($Z1175=1,SUMPRODUCT(--($AC$2:$AC$3001&lt;$AC1175))+1,"")</f>
        <v/>
      </c>
      <c r="AB1175">
        <f>IF($B1175="","",IF(OR($Y1175=TRUE(),$Y1175="TRUE"),1,IF(AND($Y1175&lt;&gt;"",OR($Y1175=FALSE(),$Y1175="FALSE")),0,IF(MIN(ABS($X1175/100-Settings!$C$6),ABS($X1175/100-Settings!$G$6))&lt;=MIN(ABS($X1175/100-Settings!$C$7),ABS($X1175/100-Settings!$G$7)),1,0))))</f>
        <v/>
      </c>
      <c r="AC1175">
        <f>IF($Z1175=1,IFERROR(IF(VALUE($B1175)&lt;100000000,VALUE($B1175),1000000000),IFERROR(IF(VALUE(MID($B1175,2,20))&lt;100000000,VALUE(MID($B1175,2,20)),1000000000),1000000000))+ROW()/100000,"")</f>
        <v/>
      </c>
    </row>
    <row r="1176">
      <c r="A1176">
        <f>IF($B1176="","",IFERROR(IF(INDEX('Per Invoice'!$A$2:$A$801,MATCH($B1176,'Per Invoice'!$B$2:$B$801,0))=0,"",INDEX('Per Invoice'!$A$2:$A$801,MATCH($B1176,'Per Invoice'!$B$2:$B$801,0))),""))</f>
        <v/>
      </c>
      <c r="J1176" s="7">
        <f>IF($B1176="","",I1176*Q1176/100)</f>
        <v/>
      </c>
      <c r="N1176" s="7" t="n"/>
      <c r="O1176" s="7" t="n"/>
      <c r="P1176" s="7">
        <f>IF($B1176="","",O1176*X1176/100)</f>
        <v/>
      </c>
      <c r="Q1176" s="7">
        <f>IF($B1176="","",O1176-P1176)</f>
        <v/>
      </c>
      <c r="R1176" s="7">
        <f>IF($B1176="","",Q1176-J1176)</f>
        <v/>
      </c>
      <c r="S1176" s="7" t="n"/>
      <c r="T1176" s="7" t="n"/>
      <c r="V1176" s="14" t="n"/>
      <c r="Z1176">
        <f>IF($B1176="","",IF(COUNTIF($B$2:$B1176,$B1176)=1,1,0))</f>
        <v/>
      </c>
      <c r="AA1176">
        <f>IF($Z1176=1,SUMPRODUCT(--($AC$2:$AC$3001&lt;$AC1176))+1,"")</f>
        <v/>
      </c>
      <c r="AB1176">
        <f>IF($B1176="","",IF(OR($Y1176=TRUE(),$Y1176="TRUE"),1,IF(AND($Y1176&lt;&gt;"",OR($Y1176=FALSE(),$Y1176="FALSE")),0,IF(MIN(ABS($X1176/100-Settings!$C$6),ABS($X1176/100-Settings!$G$6))&lt;=MIN(ABS($X1176/100-Settings!$C$7),ABS($X1176/100-Settings!$G$7)),1,0))))</f>
        <v/>
      </c>
      <c r="AC1176">
        <f>IF($Z1176=1,IFERROR(IF(VALUE($B1176)&lt;100000000,VALUE($B1176),1000000000),IFERROR(IF(VALUE(MID($B1176,2,20))&lt;100000000,VALUE(MID($B1176,2,20)),1000000000),1000000000))+ROW()/100000,"")</f>
        <v/>
      </c>
    </row>
    <row r="1177">
      <c r="A1177">
        <f>IF($B1177="","",IFERROR(IF(INDEX('Per Invoice'!$A$2:$A$801,MATCH($B1177,'Per Invoice'!$B$2:$B$801,0))=0,"",INDEX('Per Invoice'!$A$2:$A$801,MATCH($B1177,'Per Invoice'!$B$2:$B$801,0))),""))</f>
        <v/>
      </c>
      <c r="J1177" s="7">
        <f>IF($B1177="","",I1177*Q1177/100)</f>
        <v/>
      </c>
      <c r="N1177" s="7" t="n"/>
      <c r="O1177" s="7" t="n"/>
      <c r="P1177" s="7">
        <f>IF($B1177="","",O1177*X1177/100)</f>
        <v/>
      </c>
      <c r="Q1177" s="7">
        <f>IF($B1177="","",O1177-P1177)</f>
        <v/>
      </c>
      <c r="R1177" s="7">
        <f>IF($B1177="","",Q1177-J1177)</f>
        <v/>
      </c>
      <c r="S1177" s="7" t="n"/>
      <c r="T1177" s="7" t="n"/>
      <c r="V1177" s="14" t="n"/>
      <c r="Z1177">
        <f>IF($B1177="","",IF(COUNTIF($B$2:$B1177,$B1177)=1,1,0))</f>
        <v/>
      </c>
      <c r="AA1177">
        <f>IF($Z1177=1,SUMPRODUCT(--($AC$2:$AC$3001&lt;$AC1177))+1,"")</f>
        <v/>
      </c>
      <c r="AB1177">
        <f>IF($B1177="","",IF(OR($Y1177=TRUE(),$Y1177="TRUE"),1,IF(AND($Y1177&lt;&gt;"",OR($Y1177=FALSE(),$Y1177="FALSE")),0,IF(MIN(ABS($X1177/100-Settings!$C$6),ABS($X1177/100-Settings!$G$6))&lt;=MIN(ABS($X1177/100-Settings!$C$7),ABS($X1177/100-Settings!$G$7)),1,0))))</f>
        <v/>
      </c>
      <c r="AC1177">
        <f>IF($Z1177=1,IFERROR(IF(VALUE($B1177)&lt;100000000,VALUE($B1177),1000000000),IFERROR(IF(VALUE(MID($B1177,2,20))&lt;100000000,VALUE(MID($B1177,2,20)),1000000000),1000000000))+ROW()/100000,"")</f>
        <v/>
      </c>
    </row>
    <row r="1178">
      <c r="A1178">
        <f>IF($B1178="","",IFERROR(IF(INDEX('Per Invoice'!$A$2:$A$801,MATCH($B1178,'Per Invoice'!$B$2:$B$801,0))=0,"",INDEX('Per Invoice'!$A$2:$A$801,MATCH($B1178,'Per Invoice'!$B$2:$B$801,0))),""))</f>
        <v/>
      </c>
      <c r="J1178" s="7">
        <f>IF($B1178="","",I1178*Q1178/100)</f>
        <v/>
      </c>
      <c r="N1178" s="7" t="n"/>
      <c r="O1178" s="7" t="n"/>
      <c r="P1178" s="7">
        <f>IF($B1178="","",O1178*X1178/100)</f>
        <v/>
      </c>
      <c r="Q1178" s="7">
        <f>IF($B1178="","",O1178-P1178)</f>
        <v/>
      </c>
      <c r="R1178" s="7">
        <f>IF($B1178="","",Q1178-J1178)</f>
        <v/>
      </c>
      <c r="S1178" s="7" t="n"/>
      <c r="T1178" s="7" t="n"/>
      <c r="V1178" s="14" t="n"/>
      <c r="Z1178">
        <f>IF($B1178="","",IF(COUNTIF($B$2:$B1178,$B1178)=1,1,0))</f>
        <v/>
      </c>
      <c r="AA1178">
        <f>IF($Z1178=1,SUMPRODUCT(--($AC$2:$AC$3001&lt;$AC1178))+1,"")</f>
        <v/>
      </c>
      <c r="AB1178">
        <f>IF($B1178="","",IF(OR($Y1178=TRUE(),$Y1178="TRUE"),1,IF(AND($Y1178&lt;&gt;"",OR($Y1178=FALSE(),$Y1178="FALSE")),0,IF(MIN(ABS($X1178/100-Settings!$C$6),ABS($X1178/100-Settings!$G$6))&lt;=MIN(ABS($X1178/100-Settings!$C$7),ABS($X1178/100-Settings!$G$7)),1,0))))</f>
        <v/>
      </c>
      <c r="AC1178">
        <f>IF($Z1178=1,IFERROR(IF(VALUE($B1178)&lt;100000000,VALUE($B1178),1000000000),IFERROR(IF(VALUE(MID($B1178,2,20))&lt;100000000,VALUE(MID($B1178,2,20)),1000000000),1000000000))+ROW()/100000,"")</f>
        <v/>
      </c>
    </row>
    <row r="1179">
      <c r="A1179">
        <f>IF($B1179="","",IFERROR(IF(INDEX('Per Invoice'!$A$2:$A$801,MATCH($B1179,'Per Invoice'!$B$2:$B$801,0))=0,"",INDEX('Per Invoice'!$A$2:$A$801,MATCH($B1179,'Per Invoice'!$B$2:$B$801,0))),""))</f>
        <v/>
      </c>
      <c r="J1179" s="7">
        <f>IF($B1179="","",I1179*Q1179/100)</f>
        <v/>
      </c>
      <c r="N1179" s="7" t="n"/>
      <c r="O1179" s="7" t="n"/>
      <c r="P1179" s="7">
        <f>IF($B1179="","",O1179*X1179/100)</f>
        <v/>
      </c>
      <c r="Q1179" s="7">
        <f>IF($B1179="","",O1179-P1179)</f>
        <v/>
      </c>
      <c r="R1179" s="7">
        <f>IF($B1179="","",Q1179-J1179)</f>
        <v/>
      </c>
      <c r="S1179" s="7" t="n"/>
      <c r="T1179" s="7" t="n"/>
      <c r="V1179" s="14" t="n"/>
      <c r="Z1179">
        <f>IF($B1179="","",IF(COUNTIF($B$2:$B1179,$B1179)=1,1,0))</f>
        <v/>
      </c>
      <c r="AA1179">
        <f>IF($Z1179=1,SUMPRODUCT(--($AC$2:$AC$3001&lt;$AC1179))+1,"")</f>
        <v/>
      </c>
      <c r="AB1179">
        <f>IF($B1179="","",IF(OR($Y1179=TRUE(),$Y1179="TRUE"),1,IF(AND($Y1179&lt;&gt;"",OR($Y1179=FALSE(),$Y1179="FALSE")),0,IF(MIN(ABS($X1179/100-Settings!$C$6),ABS($X1179/100-Settings!$G$6))&lt;=MIN(ABS($X1179/100-Settings!$C$7),ABS($X1179/100-Settings!$G$7)),1,0))))</f>
        <v/>
      </c>
      <c r="AC1179">
        <f>IF($Z1179=1,IFERROR(IF(VALUE($B1179)&lt;100000000,VALUE($B1179),1000000000),IFERROR(IF(VALUE(MID($B1179,2,20))&lt;100000000,VALUE(MID($B1179,2,20)),1000000000),1000000000))+ROW()/100000,"")</f>
        <v/>
      </c>
    </row>
    <row r="1180">
      <c r="A1180">
        <f>IF($B1180="","",IFERROR(IF(INDEX('Per Invoice'!$A$2:$A$801,MATCH($B1180,'Per Invoice'!$B$2:$B$801,0))=0,"",INDEX('Per Invoice'!$A$2:$A$801,MATCH($B1180,'Per Invoice'!$B$2:$B$801,0))),""))</f>
        <v/>
      </c>
      <c r="J1180" s="7">
        <f>IF($B1180="","",I1180*Q1180/100)</f>
        <v/>
      </c>
      <c r="N1180" s="7" t="n"/>
      <c r="O1180" s="7" t="n"/>
      <c r="P1180" s="7">
        <f>IF($B1180="","",O1180*X1180/100)</f>
        <v/>
      </c>
      <c r="Q1180" s="7">
        <f>IF($B1180="","",O1180-P1180)</f>
        <v/>
      </c>
      <c r="R1180" s="7">
        <f>IF($B1180="","",Q1180-J1180)</f>
        <v/>
      </c>
      <c r="S1180" s="7" t="n"/>
      <c r="T1180" s="7" t="n"/>
      <c r="V1180" s="14" t="n"/>
      <c r="Z1180">
        <f>IF($B1180="","",IF(COUNTIF($B$2:$B1180,$B1180)=1,1,0))</f>
        <v/>
      </c>
      <c r="AA1180">
        <f>IF($Z1180=1,SUMPRODUCT(--($AC$2:$AC$3001&lt;$AC1180))+1,"")</f>
        <v/>
      </c>
      <c r="AB1180">
        <f>IF($B1180="","",IF(OR($Y1180=TRUE(),$Y1180="TRUE"),1,IF(AND($Y1180&lt;&gt;"",OR($Y1180=FALSE(),$Y1180="FALSE")),0,IF(MIN(ABS($X1180/100-Settings!$C$6),ABS($X1180/100-Settings!$G$6))&lt;=MIN(ABS($X1180/100-Settings!$C$7),ABS($X1180/100-Settings!$G$7)),1,0))))</f>
        <v/>
      </c>
      <c r="AC1180">
        <f>IF($Z1180=1,IFERROR(IF(VALUE($B1180)&lt;100000000,VALUE($B1180),1000000000),IFERROR(IF(VALUE(MID($B1180,2,20))&lt;100000000,VALUE(MID($B1180,2,20)),1000000000),1000000000))+ROW()/100000,"")</f>
        <v/>
      </c>
    </row>
    <row r="1181">
      <c r="A1181">
        <f>IF($B1181="","",IFERROR(IF(INDEX('Per Invoice'!$A$2:$A$801,MATCH($B1181,'Per Invoice'!$B$2:$B$801,0))=0,"",INDEX('Per Invoice'!$A$2:$A$801,MATCH($B1181,'Per Invoice'!$B$2:$B$801,0))),""))</f>
        <v/>
      </c>
      <c r="J1181" s="7">
        <f>IF($B1181="","",I1181*Q1181/100)</f>
        <v/>
      </c>
      <c r="N1181" s="7" t="n"/>
      <c r="O1181" s="7" t="n"/>
      <c r="P1181" s="7">
        <f>IF($B1181="","",O1181*X1181/100)</f>
        <v/>
      </c>
      <c r="Q1181" s="7">
        <f>IF($B1181="","",O1181-P1181)</f>
        <v/>
      </c>
      <c r="R1181" s="7">
        <f>IF($B1181="","",Q1181-J1181)</f>
        <v/>
      </c>
      <c r="S1181" s="7" t="n"/>
      <c r="T1181" s="7" t="n"/>
      <c r="V1181" s="14" t="n"/>
      <c r="Z1181">
        <f>IF($B1181="","",IF(COUNTIF($B$2:$B1181,$B1181)=1,1,0))</f>
        <v/>
      </c>
      <c r="AA1181">
        <f>IF($Z1181=1,SUMPRODUCT(--($AC$2:$AC$3001&lt;$AC1181))+1,"")</f>
        <v/>
      </c>
      <c r="AB1181">
        <f>IF($B1181="","",IF(OR($Y1181=TRUE(),$Y1181="TRUE"),1,IF(AND($Y1181&lt;&gt;"",OR($Y1181=FALSE(),$Y1181="FALSE")),0,IF(MIN(ABS($X1181/100-Settings!$C$6),ABS($X1181/100-Settings!$G$6))&lt;=MIN(ABS($X1181/100-Settings!$C$7),ABS($X1181/100-Settings!$G$7)),1,0))))</f>
        <v/>
      </c>
      <c r="AC1181">
        <f>IF($Z1181=1,IFERROR(IF(VALUE($B1181)&lt;100000000,VALUE($B1181),1000000000),IFERROR(IF(VALUE(MID($B1181,2,20))&lt;100000000,VALUE(MID($B1181,2,20)),1000000000),1000000000))+ROW()/100000,"")</f>
        <v/>
      </c>
    </row>
    <row r="1182">
      <c r="A1182">
        <f>IF($B1182="","",IFERROR(IF(INDEX('Per Invoice'!$A$2:$A$801,MATCH($B1182,'Per Invoice'!$B$2:$B$801,0))=0,"",INDEX('Per Invoice'!$A$2:$A$801,MATCH($B1182,'Per Invoice'!$B$2:$B$801,0))),""))</f>
        <v/>
      </c>
      <c r="J1182" s="7">
        <f>IF($B1182="","",I1182*Q1182/100)</f>
        <v/>
      </c>
      <c r="N1182" s="7" t="n"/>
      <c r="O1182" s="7" t="n"/>
      <c r="P1182" s="7">
        <f>IF($B1182="","",O1182*X1182/100)</f>
        <v/>
      </c>
      <c r="Q1182" s="7">
        <f>IF($B1182="","",O1182-P1182)</f>
        <v/>
      </c>
      <c r="R1182" s="7">
        <f>IF($B1182="","",Q1182-J1182)</f>
        <v/>
      </c>
      <c r="S1182" s="7" t="n"/>
      <c r="T1182" s="7" t="n"/>
      <c r="V1182" s="14" t="n"/>
      <c r="Z1182">
        <f>IF($B1182="","",IF(COUNTIF($B$2:$B1182,$B1182)=1,1,0))</f>
        <v/>
      </c>
      <c r="AA1182">
        <f>IF($Z1182=1,SUMPRODUCT(--($AC$2:$AC$3001&lt;$AC1182))+1,"")</f>
        <v/>
      </c>
      <c r="AB1182">
        <f>IF($B1182="","",IF(OR($Y1182=TRUE(),$Y1182="TRUE"),1,IF(AND($Y1182&lt;&gt;"",OR($Y1182=FALSE(),$Y1182="FALSE")),0,IF(MIN(ABS($X1182/100-Settings!$C$6),ABS($X1182/100-Settings!$G$6))&lt;=MIN(ABS($X1182/100-Settings!$C$7),ABS($X1182/100-Settings!$G$7)),1,0))))</f>
        <v/>
      </c>
      <c r="AC1182">
        <f>IF($Z1182=1,IFERROR(IF(VALUE($B1182)&lt;100000000,VALUE($B1182),1000000000),IFERROR(IF(VALUE(MID($B1182,2,20))&lt;100000000,VALUE(MID($B1182,2,20)),1000000000),1000000000))+ROW()/100000,"")</f>
        <v/>
      </c>
    </row>
    <row r="1183">
      <c r="A1183">
        <f>IF($B1183="","",IFERROR(IF(INDEX('Per Invoice'!$A$2:$A$801,MATCH($B1183,'Per Invoice'!$B$2:$B$801,0))=0,"",INDEX('Per Invoice'!$A$2:$A$801,MATCH($B1183,'Per Invoice'!$B$2:$B$801,0))),""))</f>
        <v/>
      </c>
      <c r="J1183" s="7">
        <f>IF($B1183="","",I1183*Q1183/100)</f>
        <v/>
      </c>
      <c r="N1183" s="7" t="n"/>
      <c r="O1183" s="7" t="n"/>
      <c r="P1183" s="7">
        <f>IF($B1183="","",O1183*X1183/100)</f>
        <v/>
      </c>
      <c r="Q1183" s="7">
        <f>IF($B1183="","",O1183-P1183)</f>
        <v/>
      </c>
      <c r="R1183" s="7">
        <f>IF($B1183="","",Q1183-J1183)</f>
        <v/>
      </c>
      <c r="S1183" s="7" t="n"/>
      <c r="T1183" s="7" t="n"/>
      <c r="V1183" s="14" t="n"/>
      <c r="Z1183">
        <f>IF($B1183="","",IF(COUNTIF($B$2:$B1183,$B1183)=1,1,0))</f>
        <v/>
      </c>
      <c r="AA1183">
        <f>IF($Z1183=1,SUMPRODUCT(--($AC$2:$AC$3001&lt;$AC1183))+1,"")</f>
        <v/>
      </c>
      <c r="AB1183">
        <f>IF($B1183="","",IF(OR($Y1183=TRUE(),$Y1183="TRUE"),1,IF(AND($Y1183&lt;&gt;"",OR($Y1183=FALSE(),$Y1183="FALSE")),0,IF(MIN(ABS($X1183/100-Settings!$C$6),ABS($X1183/100-Settings!$G$6))&lt;=MIN(ABS($X1183/100-Settings!$C$7),ABS($X1183/100-Settings!$G$7)),1,0))))</f>
        <v/>
      </c>
      <c r="AC1183">
        <f>IF($Z1183=1,IFERROR(IF(VALUE($B1183)&lt;100000000,VALUE($B1183),1000000000),IFERROR(IF(VALUE(MID($B1183,2,20))&lt;100000000,VALUE(MID($B1183,2,20)),1000000000),1000000000))+ROW()/100000,"")</f>
        <v/>
      </c>
    </row>
    <row r="1184">
      <c r="A1184">
        <f>IF($B1184="","",IFERROR(IF(INDEX('Per Invoice'!$A$2:$A$801,MATCH($B1184,'Per Invoice'!$B$2:$B$801,0))=0,"",INDEX('Per Invoice'!$A$2:$A$801,MATCH($B1184,'Per Invoice'!$B$2:$B$801,0))),""))</f>
        <v/>
      </c>
      <c r="J1184" s="7">
        <f>IF($B1184="","",I1184*Q1184/100)</f>
        <v/>
      </c>
      <c r="N1184" s="7" t="n"/>
      <c r="O1184" s="7" t="n"/>
      <c r="P1184" s="7">
        <f>IF($B1184="","",O1184*X1184/100)</f>
        <v/>
      </c>
      <c r="Q1184" s="7">
        <f>IF($B1184="","",O1184-P1184)</f>
        <v/>
      </c>
      <c r="R1184" s="7">
        <f>IF($B1184="","",Q1184-J1184)</f>
        <v/>
      </c>
      <c r="S1184" s="7" t="n"/>
      <c r="T1184" s="7" t="n"/>
      <c r="V1184" s="14" t="n"/>
      <c r="Z1184">
        <f>IF($B1184="","",IF(COUNTIF($B$2:$B1184,$B1184)=1,1,0))</f>
        <v/>
      </c>
      <c r="AA1184">
        <f>IF($Z1184=1,SUMPRODUCT(--($AC$2:$AC$3001&lt;$AC1184))+1,"")</f>
        <v/>
      </c>
      <c r="AB1184">
        <f>IF($B1184="","",IF(OR($Y1184=TRUE(),$Y1184="TRUE"),1,IF(AND($Y1184&lt;&gt;"",OR($Y1184=FALSE(),$Y1184="FALSE")),0,IF(MIN(ABS($X1184/100-Settings!$C$6),ABS($X1184/100-Settings!$G$6))&lt;=MIN(ABS($X1184/100-Settings!$C$7),ABS($X1184/100-Settings!$G$7)),1,0))))</f>
        <v/>
      </c>
      <c r="AC1184">
        <f>IF($Z1184=1,IFERROR(IF(VALUE($B1184)&lt;100000000,VALUE($B1184),1000000000),IFERROR(IF(VALUE(MID($B1184,2,20))&lt;100000000,VALUE(MID($B1184,2,20)),1000000000),1000000000))+ROW()/100000,"")</f>
        <v/>
      </c>
    </row>
    <row r="1185">
      <c r="A1185">
        <f>IF($B1185="","",IFERROR(IF(INDEX('Per Invoice'!$A$2:$A$801,MATCH($B1185,'Per Invoice'!$B$2:$B$801,0))=0,"",INDEX('Per Invoice'!$A$2:$A$801,MATCH($B1185,'Per Invoice'!$B$2:$B$801,0))),""))</f>
        <v/>
      </c>
      <c r="J1185" s="7">
        <f>IF($B1185="","",I1185*Q1185/100)</f>
        <v/>
      </c>
      <c r="N1185" s="7" t="n"/>
      <c r="O1185" s="7" t="n"/>
      <c r="P1185" s="7">
        <f>IF($B1185="","",O1185*X1185/100)</f>
        <v/>
      </c>
      <c r="Q1185" s="7">
        <f>IF($B1185="","",O1185-P1185)</f>
        <v/>
      </c>
      <c r="R1185" s="7">
        <f>IF($B1185="","",Q1185-J1185)</f>
        <v/>
      </c>
      <c r="S1185" s="7" t="n"/>
      <c r="T1185" s="7" t="n"/>
      <c r="V1185" s="14" t="n"/>
      <c r="Z1185">
        <f>IF($B1185="","",IF(COUNTIF($B$2:$B1185,$B1185)=1,1,0))</f>
        <v/>
      </c>
      <c r="AA1185">
        <f>IF($Z1185=1,SUMPRODUCT(--($AC$2:$AC$3001&lt;$AC1185))+1,"")</f>
        <v/>
      </c>
      <c r="AB1185">
        <f>IF($B1185="","",IF(OR($Y1185=TRUE(),$Y1185="TRUE"),1,IF(AND($Y1185&lt;&gt;"",OR($Y1185=FALSE(),$Y1185="FALSE")),0,IF(MIN(ABS($X1185/100-Settings!$C$6),ABS($X1185/100-Settings!$G$6))&lt;=MIN(ABS($X1185/100-Settings!$C$7),ABS($X1185/100-Settings!$G$7)),1,0))))</f>
        <v/>
      </c>
      <c r="AC1185">
        <f>IF($Z1185=1,IFERROR(IF(VALUE($B1185)&lt;100000000,VALUE($B1185),1000000000),IFERROR(IF(VALUE(MID($B1185,2,20))&lt;100000000,VALUE(MID($B1185,2,20)),1000000000),1000000000))+ROW()/100000,"")</f>
        <v/>
      </c>
    </row>
    <row r="1186">
      <c r="A1186">
        <f>IF($B1186="","",IFERROR(IF(INDEX('Per Invoice'!$A$2:$A$801,MATCH($B1186,'Per Invoice'!$B$2:$B$801,0))=0,"",INDEX('Per Invoice'!$A$2:$A$801,MATCH($B1186,'Per Invoice'!$B$2:$B$801,0))),""))</f>
        <v/>
      </c>
      <c r="J1186" s="7">
        <f>IF($B1186="","",I1186*Q1186/100)</f>
        <v/>
      </c>
      <c r="N1186" s="7" t="n"/>
      <c r="O1186" s="7" t="n"/>
      <c r="P1186" s="7">
        <f>IF($B1186="","",O1186*X1186/100)</f>
        <v/>
      </c>
      <c r="Q1186" s="7">
        <f>IF($B1186="","",O1186-P1186)</f>
        <v/>
      </c>
      <c r="R1186" s="7">
        <f>IF($B1186="","",Q1186-J1186)</f>
        <v/>
      </c>
      <c r="S1186" s="7" t="n"/>
      <c r="T1186" s="7" t="n"/>
      <c r="V1186" s="14" t="n"/>
      <c r="Z1186">
        <f>IF($B1186="","",IF(COUNTIF($B$2:$B1186,$B1186)=1,1,0))</f>
        <v/>
      </c>
      <c r="AA1186">
        <f>IF($Z1186=1,SUMPRODUCT(--($AC$2:$AC$3001&lt;$AC1186))+1,"")</f>
        <v/>
      </c>
      <c r="AB1186">
        <f>IF($B1186="","",IF(OR($Y1186=TRUE(),$Y1186="TRUE"),1,IF(AND($Y1186&lt;&gt;"",OR($Y1186=FALSE(),$Y1186="FALSE")),0,IF(MIN(ABS($X1186/100-Settings!$C$6),ABS($X1186/100-Settings!$G$6))&lt;=MIN(ABS($X1186/100-Settings!$C$7),ABS($X1186/100-Settings!$G$7)),1,0))))</f>
        <v/>
      </c>
      <c r="AC1186">
        <f>IF($Z1186=1,IFERROR(IF(VALUE($B1186)&lt;100000000,VALUE($B1186),1000000000),IFERROR(IF(VALUE(MID($B1186,2,20))&lt;100000000,VALUE(MID($B1186,2,20)),1000000000),1000000000))+ROW()/100000,"")</f>
        <v/>
      </c>
    </row>
    <row r="1187">
      <c r="A1187">
        <f>IF($B1187="","",IFERROR(IF(INDEX('Per Invoice'!$A$2:$A$801,MATCH($B1187,'Per Invoice'!$B$2:$B$801,0))=0,"",INDEX('Per Invoice'!$A$2:$A$801,MATCH($B1187,'Per Invoice'!$B$2:$B$801,0))),""))</f>
        <v/>
      </c>
      <c r="J1187" s="7">
        <f>IF($B1187="","",I1187*Q1187/100)</f>
        <v/>
      </c>
      <c r="N1187" s="7" t="n"/>
      <c r="O1187" s="7" t="n"/>
      <c r="P1187" s="7">
        <f>IF($B1187="","",O1187*X1187/100)</f>
        <v/>
      </c>
      <c r="Q1187" s="7">
        <f>IF($B1187="","",O1187-P1187)</f>
        <v/>
      </c>
      <c r="R1187" s="7">
        <f>IF($B1187="","",Q1187-J1187)</f>
        <v/>
      </c>
      <c r="S1187" s="7" t="n"/>
      <c r="T1187" s="7" t="n"/>
      <c r="V1187" s="14" t="n"/>
      <c r="Z1187">
        <f>IF($B1187="","",IF(COUNTIF($B$2:$B1187,$B1187)=1,1,0))</f>
        <v/>
      </c>
      <c r="AA1187">
        <f>IF($Z1187=1,SUMPRODUCT(--($AC$2:$AC$3001&lt;$AC1187))+1,"")</f>
        <v/>
      </c>
      <c r="AB1187">
        <f>IF($B1187="","",IF(OR($Y1187=TRUE(),$Y1187="TRUE"),1,IF(AND($Y1187&lt;&gt;"",OR($Y1187=FALSE(),$Y1187="FALSE")),0,IF(MIN(ABS($X1187/100-Settings!$C$6),ABS($X1187/100-Settings!$G$6))&lt;=MIN(ABS($X1187/100-Settings!$C$7),ABS($X1187/100-Settings!$G$7)),1,0))))</f>
        <v/>
      </c>
      <c r="AC1187">
        <f>IF($Z1187=1,IFERROR(IF(VALUE($B1187)&lt;100000000,VALUE($B1187),1000000000),IFERROR(IF(VALUE(MID($B1187,2,20))&lt;100000000,VALUE(MID($B1187,2,20)),1000000000),1000000000))+ROW()/100000,"")</f>
        <v/>
      </c>
    </row>
    <row r="1188">
      <c r="A1188">
        <f>IF($B1188="","",IFERROR(IF(INDEX('Per Invoice'!$A$2:$A$801,MATCH($B1188,'Per Invoice'!$B$2:$B$801,0))=0,"",INDEX('Per Invoice'!$A$2:$A$801,MATCH($B1188,'Per Invoice'!$B$2:$B$801,0))),""))</f>
        <v/>
      </c>
      <c r="J1188" s="7">
        <f>IF($B1188="","",I1188*Q1188/100)</f>
        <v/>
      </c>
      <c r="N1188" s="7" t="n"/>
      <c r="O1188" s="7" t="n"/>
      <c r="P1188" s="7">
        <f>IF($B1188="","",O1188*X1188/100)</f>
        <v/>
      </c>
      <c r="Q1188" s="7">
        <f>IF($B1188="","",O1188-P1188)</f>
        <v/>
      </c>
      <c r="R1188" s="7">
        <f>IF($B1188="","",Q1188-J1188)</f>
        <v/>
      </c>
      <c r="S1188" s="7" t="n"/>
      <c r="T1188" s="7" t="n"/>
      <c r="V1188" s="14" t="n"/>
      <c r="Z1188">
        <f>IF($B1188="","",IF(COUNTIF($B$2:$B1188,$B1188)=1,1,0))</f>
        <v/>
      </c>
      <c r="AA1188">
        <f>IF($Z1188=1,SUMPRODUCT(--($AC$2:$AC$3001&lt;$AC1188))+1,"")</f>
        <v/>
      </c>
      <c r="AB1188">
        <f>IF($B1188="","",IF(OR($Y1188=TRUE(),$Y1188="TRUE"),1,IF(AND($Y1188&lt;&gt;"",OR($Y1188=FALSE(),$Y1188="FALSE")),0,IF(MIN(ABS($X1188/100-Settings!$C$6),ABS($X1188/100-Settings!$G$6))&lt;=MIN(ABS($X1188/100-Settings!$C$7),ABS($X1188/100-Settings!$G$7)),1,0))))</f>
        <v/>
      </c>
      <c r="AC1188">
        <f>IF($Z1188=1,IFERROR(IF(VALUE($B1188)&lt;100000000,VALUE($B1188),1000000000),IFERROR(IF(VALUE(MID($B1188,2,20))&lt;100000000,VALUE(MID($B1188,2,20)),1000000000),1000000000))+ROW()/100000,"")</f>
        <v/>
      </c>
    </row>
    <row r="1189">
      <c r="A1189">
        <f>IF($B1189="","",IFERROR(IF(INDEX('Per Invoice'!$A$2:$A$801,MATCH($B1189,'Per Invoice'!$B$2:$B$801,0))=0,"",INDEX('Per Invoice'!$A$2:$A$801,MATCH($B1189,'Per Invoice'!$B$2:$B$801,0))),""))</f>
        <v/>
      </c>
      <c r="J1189" s="7">
        <f>IF($B1189="","",I1189*Q1189/100)</f>
        <v/>
      </c>
      <c r="N1189" s="7" t="n"/>
      <c r="O1189" s="7" t="n"/>
      <c r="P1189" s="7">
        <f>IF($B1189="","",O1189*X1189/100)</f>
        <v/>
      </c>
      <c r="Q1189" s="7">
        <f>IF($B1189="","",O1189-P1189)</f>
        <v/>
      </c>
      <c r="R1189" s="7">
        <f>IF($B1189="","",Q1189-J1189)</f>
        <v/>
      </c>
      <c r="S1189" s="7" t="n"/>
      <c r="T1189" s="7" t="n"/>
      <c r="V1189" s="14" t="n"/>
      <c r="Z1189">
        <f>IF($B1189="","",IF(COUNTIF($B$2:$B1189,$B1189)=1,1,0))</f>
        <v/>
      </c>
      <c r="AA1189">
        <f>IF($Z1189=1,SUMPRODUCT(--($AC$2:$AC$3001&lt;$AC1189))+1,"")</f>
        <v/>
      </c>
      <c r="AB1189">
        <f>IF($B1189="","",IF(OR($Y1189=TRUE(),$Y1189="TRUE"),1,IF(AND($Y1189&lt;&gt;"",OR($Y1189=FALSE(),$Y1189="FALSE")),0,IF(MIN(ABS($X1189/100-Settings!$C$6),ABS($X1189/100-Settings!$G$6))&lt;=MIN(ABS($X1189/100-Settings!$C$7),ABS($X1189/100-Settings!$G$7)),1,0))))</f>
        <v/>
      </c>
      <c r="AC1189">
        <f>IF($Z1189=1,IFERROR(IF(VALUE($B1189)&lt;100000000,VALUE($B1189),1000000000),IFERROR(IF(VALUE(MID($B1189,2,20))&lt;100000000,VALUE(MID($B1189,2,20)),1000000000),1000000000))+ROW()/100000,"")</f>
        <v/>
      </c>
    </row>
    <row r="1190">
      <c r="A1190">
        <f>IF($B1190="","",IFERROR(IF(INDEX('Per Invoice'!$A$2:$A$801,MATCH($B1190,'Per Invoice'!$B$2:$B$801,0))=0,"",INDEX('Per Invoice'!$A$2:$A$801,MATCH($B1190,'Per Invoice'!$B$2:$B$801,0))),""))</f>
        <v/>
      </c>
      <c r="J1190" s="7">
        <f>IF($B1190="","",I1190*Q1190/100)</f>
        <v/>
      </c>
      <c r="N1190" s="7" t="n"/>
      <c r="O1190" s="7" t="n"/>
      <c r="P1190" s="7">
        <f>IF($B1190="","",O1190*X1190/100)</f>
        <v/>
      </c>
      <c r="Q1190" s="7">
        <f>IF($B1190="","",O1190-P1190)</f>
        <v/>
      </c>
      <c r="R1190" s="7">
        <f>IF($B1190="","",Q1190-J1190)</f>
        <v/>
      </c>
      <c r="S1190" s="7" t="n"/>
      <c r="T1190" s="7" t="n"/>
      <c r="V1190" s="14" t="n"/>
      <c r="Z1190">
        <f>IF($B1190="","",IF(COUNTIF($B$2:$B1190,$B1190)=1,1,0))</f>
        <v/>
      </c>
      <c r="AA1190">
        <f>IF($Z1190=1,SUMPRODUCT(--($AC$2:$AC$3001&lt;$AC1190))+1,"")</f>
        <v/>
      </c>
      <c r="AB1190">
        <f>IF($B1190="","",IF(OR($Y1190=TRUE(),$Y1190="TRUE"),1,IF(AND($Y1190&lt;&gt;"",OR($Y1190=FALSE(),$Y1190="FALSE")),0,IF(MIN(ABS($X1190/100-Settings!$C$6),ABS($X1190/100-Settings!$G$6))&lt;=MIN(ABS($X1190/100-Settings!$C$7),ABS($X1190/100-Settings!$G$7)),1,0))))</f>
        <v/>
      </c>
      <c r="AC1190">
        <f>IF($Z1190=1,IFERROR(IF(VALUE($B1190)&lt;100000000,VALUE($B1190),1000000000),IFERROR(IF(VALUE(MID($B1190,2,20))&lt;100000000,VALUE(MID($B1190,2,20)),1000000000),1000000000))+ROW()/100000,"")</f>
        <v/>
      </c>
    </row>
    <row r="1191">
      <c r="A1191">
        <f>IF($B1191="","",IFERROR(IF(INDEX('Per Invoice'!$A$2:$A$801,MATCH($B1191,'Per Invoice'!$B$2:$B$801,0))=0,"",INDEX('Per Invoice'!$A$2:$A$801,MATCH($B1191,'Per Invoice'!$B$2:$B$801,0))),""))</f>
        <v/>
      </c>
      <c r="J1191" s="7">
        <f>IF($B1191="","",I1191*Q1191/100)</f>
        <v/>
      </c>
      <c r="N1191" s="7" t="n"/>
      <c r="O1191" s="7" t="n"/>
      <c r="P1191" s="7">
        <f>IF($B1191="","",O1191*X1191/100)</f>
        <v/>
      </c>
      <c r="Q1191" s="7">
        <f>IF($B1191="","",O1191-P1191)</f>
        <v/>
      </c>
      <c r="R1191" s="7">
        <f>IF($B1191="","",Q1191-J1191)</f>
        <v/>
      </c>
      <c r="S1191" s="7" t="n"/>
      <c r="T1191" s="7" t="n"/>
      <c r="V1191" s="14" t="n"/>
      <c r="Z1191">
        <f>IF($B1191="","",IF(COUNTIF($B$2:$B1191,$B1191)=1,1,0))</f>
        <v/>
      </c>
      <c r="AA1191">
        <f>IF($Z1191=1,SUMPRODUCT(--($AC$2:$AC$3001&lt;$AC1191))+1,"")</f>
        <v/>
      </c>
      <c r="AB1191">
        <f>IF($B1191="","",IF(OR($Y1191=TRUE(),$Y1191="TRUE"),1,IF(AND($Y1191&lt;&gt;"",OR($Y1191=FALSE(),$Y1191="FALSE")),0,IF(MIN(ABS($X1191/100-Settings!$C$6),ABS($X1191/100-Settings!$G$6))&lt;=MIN(ABS($X1191/100-Settings!$C$7),ABS($X1191/100-Settings!$G$7)),1,0))))</f>
        <v/>
      </c>
      <c r="AC1191">
        <f>IF($Z1191=1,IFERROR(IF(VALUE($B1191)&lt;100000000,VALUE($B1191),1000000000),IFERROR(IF(VALUE(MID($B1191,2,20))&lt;100000000,VALUE(MID($B1191,2,20)),1000000000),1000000000))+ROW()/100000,"")</f>
        <v/>
      </c>
    </row>
    <row r="1192">
      <c r="A1192">
        <f>IF($B1192="","",IFERROR(IF(INDEX('Per Invoice'!$A$2:$A$801,MATCH($B1192,'Per Invoice'!$B$2:$B$801,0))=0,"",INDEX('Per Invoice'!$A$2:$A$801,MATCH($B1192,'Per Invoice'!$B$2:$B$801,0))),""))</f>
        <v/>
      </c>
      <c r="J1192" s="7">
        <f>IF($B1192="","",I1192*Q1192/100)</f>
        <v/>
      </c>
      <c r="N1192" s="7" t="n"/>
      <c r="O1192" s="7" t="n"/>
      <c r="P1192" s="7">
        <f>IF($B1192="","",O1192*X1192/100)</f>
        <v/>
      </c>
      <c r="Q1192" s="7">
        <f>IF($B1192="","",O1192-P1192)</f>
        <v/>
      </c>
      <c r="R1192" s="7">
        <f>IF($B1192="","",Q1192-J1192)</f>
        <v/>
      </c>
      <c r="S1192" s="7" t="n"/>
      <c r="T1192" s="7" t="n"/>
      <c r="V1192" s="14" t="n"/>
      <c r="Z1192">
        <f>IF($B1192="","",IF(COUNTIF($B$2:$B1192,$B1192)=1,1,0))</f>
        <v/>
      </c>
      <c r="AA1192">
        <f>IF($Z1192=1,SUMPRODUCT(--($AC$2:$AC$3001&lt;$AC1192))+1,"")</f>
        <v/>
      </c>
      <c r="AB1192">
        <f>IF($B1192="","",IF(OR($Y1192=TRUE(),$Y1192="TRUE"),1,IF(AND($Y1192&lt;&gt;"",OR($Y1192=FALSE(),$Y1192="FALSE")),0,IF(MIN(ABS($X1192/100-Settings!$C$6),ABS($X1192/100-Settings!$G$6))&lt;=MIN(ABS($X1192/100-Settings!$C$7),ABS($X1192/100-Settings!$G$7)),1,0))))</f>
        <v/>
      </c>
      <c r="AC1192">
        <f>IF($Z1192=1,IFERROR(IF(VALUE($B1192)&lt;100000000,VALUE($B1192),1000000000),IFERROR(IF(VALUE(MID($B1192,2,20))&lt;100000000,VALUE(MID($B1192,2,20)),1000000000),1000000000))+ROW()/100000,"")</f>
        <v/>
      </c>
    </row>
    <row r="1193">
      <c r="A1193">
        <f>IF($B1193="","",IFERROR(IF(INDEX('Per Invoice'!$A$2:$A$801,MATCH($B1193,'Per Invoice'!$B$2:$B$801,0))=0,"",INDEX('Per Invoice'!$A$2:$A$801,MATCH($B1193,'Per Invoice'!$B$2:$B$801,0))),""))</f>
        <v/>
      </c>
      <c r="J1193" s="7">
        <f>IF($B1193="","",I1193*Q1193/100)</f>
        <v/>
      </c>
      <c r="N1193" s="7" t="n"/>
      <c r="O1193" s="7" t="n"/>
      <c r="P1193" s="7">
        <f>IF($B1193="","",O1193*X1193/100)</f>
        <v/>
      </c>
      <c r="Q1193" s="7">
        <f>IF($B1193="","",O1193-P1193)</f>
        <v/>
      </c>
      <c r="R1193" s="7">
        <f>IF($B1193="","",Q1193-J1193)</f>
        <v/>
      </c>
      <c r="S1193" s="7" t="n"/>
      <c r="T1193" s="7" t="n"/>
      <c r="V1193" s="14" t="n"/>
      <c r="Z1193">
        <f>IF($B1193="","",IF(COUNTIF($B$2:$B1193,$B1193)=1,1,0))</f>
        <v/>
      </c>
      <c r="AA1193">
        <f>IF($Z1193=1,SUMPRODUCT(--($AC$2:$AC$3001&lt;$AC1193))+1,"")</f>
        <v/>
      </c>
      <c r="AB1193">
        <f>IF($B1193="","",IF(OR($Y1193=TRUE(),$Y1193="TRUE"),1,IF(AND($Y1193&lt;&gt;"",OR($Y1193=FALSE(),$Y1193="FALSE")),0,IF(MIN(ABS($X1193/100-Settings!$C$6),ABS($X1193/100-Settings!$G$6))&lt;=MIN(ABS($X1193/100-Settings!$C$7),ABS($X1193/100-Settings!$G$7)),1,0))))</f>
        <v/>
      </c>
      <c r="AC1193">
        <f>IF($Z1193=1,IFERROR(IF(VALUE($B1193)&lt;100000000,VALUE($B1193),1000000000),IFERROR(IF(VALUE(MID($B1193,2,20))&lt;100000000,VALUE(MID($B1193,2,20)),1000000000),1000000000))+ROW()/100000,"")</f>
        <v/>
      </c>
    </row>
    <row r="1194">
      <c r="A1194">
        <f>IF($B1194="","",IFERROR(IF(INDEX('Per Invoice'!$A$2:$A$801,MATCH($B1194,'Per Invoice'!$B$2:$B$801,0))=0,"",INDEX('Per Invoice'!$A$2:$A$801,MATCH($B1194,'Per Invoice'!$B$2:$B$801,0))),""))</f>
        <v/>
      </c>
      <c r="J1194" s="7">
        <f>IF($B1194="","",I1194*Q1194/100)</f>
        <v/>
      </c>
      <c r="N1194" s="7" t="n"/>
      <c r="O1194" s="7" t="n"/>
      <c r="P1194" s="7">
        <f>IF($B1194="","",O1194*X1194/100)</f>
        <v/>
      </c>
      <c r="Q1194" s="7">
        <f>IF($B1194="","",O1194-P1194)</f>
        <v/>
      </c>
      <c r="R1194" s="7">
        <f>IF($B1194="","",Q1194-J1194)</f>
        <v/>
      </c>
      <c r="S1194" s="7" t="n"/>
      <c r="T1194" s="7" t="n"/>
      <c r="V1194" s="14" t="n"/>
      <c r="Z1194">
        <f>IF($B1194="","",IF(COUNTIF($B$2:$B1194,$B1194)=1,1,0))</f>
        <v/>
      </c>
      <c r="AA1194">
        <f>IF($Z1194=1,SUMPRODUCT(--($AC$2:$AC$3001&lt;$AC1194))+1,"")</f>
        <v/>
      </c>
      <c r="AB1194">
        <f>IF($B1194="","",IF(OR($Y1194=TRUE(),$Y1194="TRUE"),1,IF(AND($Y1194&lt;&gt;"",OR($Y1194=FALSE(),$Y1194="FALSE")),0,IF(MIN(ABS($X1194/100-Settings!$C$6),ABS($X1194/100-Settings!$G$6))&lt;=MIN(ABS($X1194/100-Settings!$C$7),ABS($X1194/100-Settings!$G$7)),1,0))))</f>
        <v/>
      </c>
      <c r="AC1194">
        <f>IF($Z1194=1,IFERROR(IF(VALUE($B1194)&lt;100000000,VALUE($B1194),1000000000),IFERROR(IF(VALUE(MID($B1194,2,20))&lt;100000000,VALUE(MID($B1194,2,20)),1000000000),1000000000))+ROW()/100000,"")</f>
        <v/>
      </c>
    </row>
    <row r="1195">
      <c r="A1195">
        <f>IF($B1195="","",IFERROR(IF(INDEX('Per Invoice'!$A$2:$A$801,MATCH($B1195,'Per Invoice'!$B$2:$B$801,0))=0,"",INDEX('Per Invoice'!$A$2:$A$801,MATCH($B1195,'Per Invoice'!$B$2:$B$801,0))),""))</f>
        <v/>
      </c>
      <c r="J1195" s="7">
        <f>IF($B1195="","",I1195*Q1195/100)</f>
        <v/>
      </c>
      <c r="N1195" s="7" t="n"/>
      <c r="O1195" s="7" t="n"/>
      <c r="P1195" s="7">
        <f>IF($B1195="","",O1195*X1195/100)</f>
        <v/>
      </c>
      <c r="Q1195" s="7">
        <f>IF($B1195="","",O1195-P1195)</f>
        <v/>
      </c>
      <c r="R1195" s="7">
        <f>IF($B1195="","",Q1195-J1195)</f>
        <v/>
      </c>
      <c r="S1195" s="7" t="n"/>
      <c r="T1195" s="7" t="n"/>
      <c r="V1195" s="14" t="n"/>
      <c r="Z1195">
        <f>IF($B1195="","",IF(COUNTIF($B$2:$B1195,$B1195)=1,1,0))</f>
        <v/>
      </c>
      <c r="AA1195">
        <f>IF($Z1195=1,SUMPRODUCT(--($AC$2:$AC$3001&lt;$AC1195))+1,"")</f>
        <v/>
      </c>
      <c r="AB1195">
        <f>IF($B1195="","",IF(OR($Y1195=TRUE(),$Y1195="TRUE"),1,IF(AND($Y1195&lt;&gt;"",OR($Y1195=FALSE(),$Y1195="FALSE")),0,IF(MIN(ABS($X1195/100-Settings!$C$6),ABS($X1195/100-Settings!$G$6))&lt;=MIN(ABS($X1195/100-Settings!$C$7),ABS($X1195/100-Settings!$G$7)),1,0))))</f>
        <v/>
      </c>
      <c r="AC1195">
        <f>IF($Z1195=1,IFERROR(IF(VALUE($B1195)&lt;100000000,VALUE($B1195),1000000000),IFERROR(IF(VALUE(MID($B1195,2,20))&lt;100000000,VALUE(MID($B1195,2,20)),1000000000),1000000000))+ROW()/100000,"")</f>
        <v/>
      </c>
    </row>
    <row r="1196">
      <c r="A1196">
        <f>IF($B1196="","",IFERROR(IF(INDEX('Per Invoice'!$A$2:$A$801,MATCH($B1196,'Per Invoice'!$B$2:$B$801,0))=0,"",INDEX('Per Invoice'!$A$2:$A$801,MATCH($B1196,'Per Invoice'!$B$2:$B$801,0))),""))</f>
        <v/>
      </c>
      <c r="J1196" s="7">
        <f>IF($B1196="","",I1196*Q1196/100)</f>
        <v/>
      </c>
      <c r="N1196" s="7" t="n"/>
      <c r="O1196" s="7" t="n"/>
      <c r="P1196" s="7">
        <f>IF($B1196="","",O1196*X1196/100)</f>
        <v/>
      </c>
      <c r="Q1196" s="7">
        <f>IF($B1196="","",O1196-P1196)</f>
        <v/>
      </c>
      <c r="R1196" s="7">
        <f>IF($B1196="","",Q1196-J1196)</f>
        <v/>
      </c>
      <c r="S1196" s="7" t="n"/>
      <c r="T1196" s="7" t="n"/>
      <c r="V1196" s="14" t="n"/>
      <c r="Z1196">
        <f>IF($B1196="","",IF(COUNTIF($B$2:$B1196,$B1196)=1,1,0))</f>
        <v/>
      </c>
      <c r="AA1196">
        <f>IF($Z1196=1,SUMPRODUCT(--($AC$2:$AC$3001&lt;$AC1196))+1,"")</f>
        <v/>
      </c>
      <c r="AB1196">
        <f>IF($B1196="","",IF(OR($Y1196=TRUE(),$Y1196="TRUE"),1,IF(AND($Y1196&lt;&gt;"",OR($Y1196=FALSE(),$Y1196="FALSE")),0,IF(MIN(ABS($X1196/100-Settings!$C$6),ABS($X1196/100-Settings!$G$6))&lt;=MIN(ABS($X1196/100-Settings!$C$7),ABS($X1196/100-Settings!$G$7)),1,0))))</f>
        <v/>
      </c>
      <c r="AC1196">
        <f>IF($Z1196=1,IFERROR(IF(VALUE($B1196)&lt;100000000,VALUE($B1196),1000000000),IFERROR(IF(VALUE(MID($B1196,2,20))&lt;100000000,VALUE(MID($B1196,2,20)),1000000000),1000000000))+ROW()/100000,"")</f>
        <v/>
      </c>
    </row>
    <row r="1197">
      <c r="A1197">
        <f>IF($B1197="","",IFERROR(IF(INDEX('Per Invoice'!$A$2:$A$801,MATCH($B1197,'Per Invoice'!$B$2:$B$801,0))=0,"",INDEX('Per Invoice'!$A$2:$A$801,MATCH($B1197,'Per Invoice'!$B$2:$B$801,0))),""))</f>
        <v/>
      </c>
      <c r="J1197" s="7">
        <f>IF($B1197="","",I1197*Q1197/100)</f>
        <v/>
      </c>
      <c r="N1197" s="7" t="n"/>
      <c r="O1197" s="7" t="n"/>
      <c r="P1197" s="7">
        <f>IF($B1197="","",O1197*X1197/100)</f>
        <v/>
      </c>
      <c r="Q1197" s="7">
        <f>IF($B1197="","",O1197-P1197)</f>
        <v/>
      </c>
      <c r="R1197" s="7">
        <f>IF($B1197="","",Q1197-J1197)</f>
        <v/>
      </c>
      <c r="S1197" s="7" t="n"/>
      <c r="T1197" s="7" t="n"/>
      <c r="V1197" s="14" t="n"/>
      <c r="Z1197">
        <f>IF($B1197="","",IF(COUNTIF($B$2:$B1197,$B1197)=1,1,0))</f>
        <v/>
      </c>
      <c r="AA1197">
        <f>IF($Z1197=1,SUMPRODUCT(--($AC$2:$AC$3001&lt;$AC1197))+1,"")</f>
        <v/>
      </c>
      <c r="AB1197">
        <f>IF($B1197="","",IF(OR($Y1197=TRUE(),$Y1197="TRUE"),1,IF(AND($Y1197&lt;&gt;"",OR($Y1197=FALSE(),$Y1197="FALSE")),0,IF(MIN(ABS($X1197/100-Settings!$C$6),ABS($X1197/100-Settings!$G$6))&lt;=MIN(ABS($X1197/100-Settings!$C$7),ABS($X1197/100-Settings!$G$7)),1,0))))</f>
        <v/>
      </c>
      <c r="AC1197">
        <f>IF($Z1197=1,IFERROR(IF(VALUE($B1197)&lt;100000000,VALUE($B1197),1000000000),IFERROR(IF(VALUE(MID($B1197,2,20))&lt;100000000,VALUE(MID($B1197,2,20)),1000000000),1000000000))+ROW()/100000,"")</f>
        <v/>
      </c>
    </row>
    <row r="1198">
      <c r="A1198">
        <f>IF($B1198="","",IFERROR(IF(INDEX('Per Invoice'!$A$2:$A$801,MATCH($B1198,'Per Invoice'!$B$2:$B$801,0))=0,"",INDEX('Per Invoice'!$A$2:$A$801,MATCH($B1198,'Per Invoice'!$B$2:$B$801,0))),""))</f>
        <v/>
      </c>
      <c r="J1198" s="7">
        <f>IF($B1198="","",I1198*Q1198/100)</f>
        <v/>
      </c>
      <c r="N1198" s="7" t="n"/>
      <c r="O1198" s="7" t="n"/>
      <c r="P1198" s="7">
        <f>IF($B1198="","",O1198*X1198/100)</f>
        <v/>
      </c>
      <c r="Q1198" s="7">
        <f>IF($B1198="","",O1198-P1198)</f>
        <v/>
      </c>
      <c r="R1198" s="7">
        <f>IF($B1198="","",Q1198-J1198)</f>
        <v/>
      </c>
      <c r="S1198" s="7" t="n"/>
      <c r="T1198" s="7" t="n"/>
      <c r="V1198" s="14" t="n"/>
      <c r="Z1198">
        <f>IF($B1198="","",IF(COUNTIF($B$2:$B1198,$B1198)=1,1,0))</f>
        <v/>
      </c>
      <c r="AA1198">
        <f>IF($Z1198=1,SUMPRODUCT(--($AC$2:$AC$3001&lt;$AC1198))+1,"")</f>
        <v/>
      </c>
      <c r="AB1198">
        <f>IF($B1198="","",IF(OR($Y1198=TRUE(),$Y1198="TRUE"),1,IF(AND($Y1198&lt;&gt;"",OR($Y1198=FALSE(),$Y1198="FALSE")),0,IF(MIN(ABS($X1198/100-Settings!$C$6),ABS($X1198/100-Settings!$G$6))&lt;=MIN(ABS($X1198/100-Settings!$C$7),ABS($X1198/100-Settings!$G$7)),1,0))))</f>
        <v/>
      </c>
      <c r="AC1198">
        <f>IF($Z1198=1,IFERROR(IF(VALUE($B1198)&lt;100000000,VALUE($B1198),1000000000),IFERROR(IF(VALUE(MID($B1198,2,20))&lt;100000000,VALUE(MID($B1198,2,20)),1000000000),1000000000))+ROW()/100000,"")</f>
        <v/>
      </c>
    </row>
    <row r="1199">
      <c r="A1199">
        <f>IF($B1199="","",IFERROR(IF(INDEX('Per Invoice'!$A$2:$A$801,MATCH($B1199,'Per Invoice'!$B$2:$B$801,0))=0,"",INDEX('Per Invoice'!$A$2:$A$801,MATCH($B1199,'Per Invoice'!$B$2:$B$801,0))),""))</f>
        <v/>
      </c>
      <c r="J1199" s="7">
        <f>IF($B1199="","",I1199*Q1199/100)</f>
        <v/>
      </c>
      <c r="N1199" s="7" t="n"/>
      <c r="O1199" s="7" t="n"/>
      <c r="P1199" s="7">
        <f>IF($B1199="","",O1199*X1199/100)</f>
        <v/>
      </c>
      <c r="Q1199" s="7">
        <f>IF($B1199="","",O1199-P1199)</f>
        <v/>
      </c>
      <c r="R1199" s="7">
        <f>IF($B1199="","",Q1199-J1199)</f>
        <v/>
      </c>
      <c r="S1199" s="7" t="n"/>
      <c r="T1199" s="7" t="n"/>
      <c r="V1199" s="14" t="n"/>
      <c r="Z1199">
        <f>IF($B1199="","",IF(COUNTIF($B$2:$B1199,$B1199)=1,1,0))</f>
        <v/>
      </c>
      <c r="AA1199">
        <f>IF($Z1199=1,SUMPRODUCT(--($AC$2:$AC$3001&lt;$AC1199))+1,"")</f>
        <v/>
      </c>
      <c r="AB1199">
        <f>IF($B1199="","",IF(OR($Y1199=TRUE(),$Y1199="TRUE"),1,IF(AND($Y1199&lt;&gt;"",OR($Y1199=FALSE(),$Y1199="FALSE")),0,IF(MIN(ABS($X1199/100-Settings!$C$6),ABS($X1199/100-Settings!$G$6))&lt;=MIN(ABS($X1199/100-Settings!$C$7),ABS($X1199/100-Settings!$G$7)),1,0))))</f>
        <v/>
      </c>
      <c r="AC1199">
        <f>IF($Z1199=1,IFERROR(IF(VALUE($B1199)&lt;100000000,VALUE($B1199),1000000000),IFERROR(IF(VALUE(MID($B1199,2,20))&lt;100000000,VALUE(MID($B1199,2,20)),1000000000),1000000000))+ROW()/100000,"")</f>
        <v/>
      </c>
    </row>
    <row r="1200">
      <c r="A1200">
        <f>IF($B1200="","",IFERROR(IF(INDEX('Per Invoice'!$A$2:$A$801,MATCH($B1200,'Per Invoice'!$B$2:$B$801,0))=0,"",INDEX('Per Invoice'!$A$2:$A$801,MATCH($B1200,'Per Invoice'!$B$2:$B$801,0))),""))</f>
        <v/>
      </c>
      <c r="J1200" s="7">
        <f>IF($B1200="","",I1200*Q1200/100)</f>
        <v/>
      </c>
      <c r="N1200" s="7" t="n"/>
      <c r="O1200" s="7" t="n"/>
      <c r="P1200" s="7">
        <f>IF($B1200="","",O1200*X1200/100)</f>
        <v/>
      </c>
      <c r="Q1200" s="7">
        <f>IF($B1200="","",O1200-P1200)</f>
        <v/>
      </c>
      <c r="R1200" s="7">
        <f>IF($B1200="","",Q1200-J1200)</f>
        <v/>
      </c>
      <c r="S1200" s="7" t="n"/>
      <c r="T1200" s="7" t="n"/>
      <c r="V1200" s="14" t="n"/>
      <c r="Z1200">
        <f>IF($B1200="","",IF(COUNTIF($B$2:$B1200,$B1200)=1,1,0))</f>
        <v/>
      </c>
      <c r="AA1200">
        <f>IF($Z1200=1,SUMPRODUCT(--($AC$2:$AC$3001&lt;$AC1200))+1,"")</f>
        <v/>
      </c>
      <c r="AB1200">
        <f>IF($B1200="","",IF(OR($Y1200=TRUE(),$Y1200="TRUE"),1,IF(AND($Y1200&lt;&gt;"",OR($Y1200=FALSE(),$Y1200="FALSE")),0,IF(MIN(ABS($X1200/100-Settings!$C$6),ABS($X1200/100-Settings!$G$6))&lt;=MIN(ABS($X1200/100-Settings!$C$7),ABS($X1200/100-Settings!$G$7)),1,0))))</f>
        <v/>
      </c>
      <c r="AC1200">
        <f>IF($Z1200=1,IFERROR(IF(VALUE($B1200)&lt;100000000,VALUE($B1200),1000000000),IFERROR(IF(VALUE(MID($B1200,2,20))&lt;100000000,VALUE(MID($B1200,2,20)),1000000000),1000000000))+ROW()/100000,"")</f>
        <v/>
      </c>
    </row>
    <row r="1201">
      <c r="A1201">
        <f>IF($B1201="","",IFERROR(IF(INDEX('Per Invoice'!$A$2:$A$801,MATCH($B1201,'Per Invoice'!$B$2:$B$801,0))=0,"",INDEX('Per Invoice'!$A$2:$A$801,MATCH($B1201,'Per Invoice'!$B$2:$B$801,0))),""))</f>
        <v/>
      </c>
      <c r="J1201" s="7">
        <f>IF($B1201="","",I1201*Q1201/100)</f>
        <v/>
      </c>
      <c r="N1201" s="7" t="n"/>
      <c r="O1201" s="7" t="n"/>
      <c r="P1201" s="7">
        <f>IF($B1201="","",O1201*X1201/100)</f>
        <v/>
      </c>
      <c r="Q1201" s="7">
        <f>IF($B1201="","",O1201-P1201)</f>
        <v/>
      </c>
      <c r="R1201" s="7">
        <f>IF($B1201="","",Q1201-J1201)</f>
        <v/>
      </c>
      <c r="S1201" s="7" t="n"/>
      <c r="T1201" s="7" t="n"/>
      <c r="V1201" s="14" t="n"/>
      <c r="Z1201">
        <f>IF($B1201="","",IF(COUNTIF($B$2:$B1201,$B1201)=1,1,0))</f>
        <v/>
      </c>
      <c r="AA1201">
        <f>IF($Z1201=1,SUMPRODUCT(--($AC$2:$AC$3001&lt;$AC1201))+1,"")</f>
        <v/>
      </c>
      <c r="AB1201">
        <f>IF($B1201="","",IF(OR($Y1201=TRUE(),$Y1201="TRUE"),1,IF(AND($Y1201&lt;&gt;"",OR($Y1201=FALSE(),$Y1201="FALSE")),0,IF(MIN(ABS($X1201/100-Settings!$C$6),ABS($X1201/100-Settings!$G$6))&lt;=MIN(ABS($X1201/100-Settings!$C$7),ABS($X1201/100-Settings!$G$7)),1,0))))</f>
        <v/>
      </c>
      <c r="AC1201">
        <f>IF($Z1201=1,IFERROR(IF(VALUE($B1201)&lt;100000000,VALUE($B1201),1000000000),IFERROR(IF(VALUE(MID($B1201,2,20))&lt;100000000,VALUE(MID($B1201,2,20)),1000000000),1000000000))+ROW()/100000,"")</f>
        <v/>
      </c>
    </row>
    <row r="1202">
      <c r="A1202">
        <f>IF($B1202="","",IFERROR(IF(INDEX('Per Invoice'!$A$2:$A$801,MATCH($B1202,'Per Invoice'!$B$2:$B$801,0))=0,"",INDEX('Per Invoice'!$A$2:$A$801,MATCH($B1202,'Per Invoice'!$B$2:$B$801,0))),""))</f>
        <v/>
      </c>
      <c r="J1202" s="7">
        <f>IF($B1202="","",I1202*Q1202/100)</f>
        <v/>
      </c>
      <c r="N1202" s="7" t="n"/>
      <c r="O1202" s="7" t="n"/>
      <c r="P1202" s="7">
        <f>IF($B1202="","",O1202*X1202/100)</f>
        <v/>
      </c>
      <c r="Q1202" s="7">
        <f>IF($B1202="","",O1202-P1202)</f>
        <v/>
      </c>
      <c r="R1202" s="7">
        <f>IF($B1202="","",Q1202-J1202)</f>
        <v/>
      </c>
      <c r="S1202" s="7" t="n"/>
      <c r="T1202" s="7" t="n"/>
      <c r="V1202" s="14" t="n"/>
      <c r="Z1202">
        <f>IF($B1202="","",IF(COUNTIF($B$2:$B1202,$B1202)=1,1,0))</f>
        <v/>
      </c>
      <c r="AA1202">
        <f>IF($Z1202=1,SUMPRODUCT(--($AC$2:$AC$3001&lt;$AC1202))+1,"")</f>
        <v/>
      </c>
      <c r="AB1202">
        <f>IF($B1202="","",IF(OR($Y1202=TRUE(),$Y1202="TRUE"),1,IF(AND($Y1202&lt;&gt;"",OR($Y1202=FALSE(),$Y1202="FALSE")),0,IF(MIN(ABS($X1202/100-Settings!$C$6),ABS($X1202/100-Settings!$G$6))&lt;=MIN(ABS($X1202/100-Settings!$C$7),ABS($X1202/100-Settings!$G$7)),1,0))))</f>
        <v/>
      </c>
      <c r="AC1202">
        <f>IF($Z1202=1,IFERROR(IF(VALUE($B1202)&lt;100000000,VALUE($B1202),1000000000),IFERROR(IF(VALUE(MID($B1202,2,20))&lt;100000000,VALUE(MID($B1202,2,20)),1000000000),1000000000))+ROW()/100000,"")</f>
        <v/>
      </c>
    </row>
    <row r="1203">
      <c r="A1203">
        <f>IF($B1203="","",IFERROR(IF(INDEX('Per Invoice'!$A$2:$A$801,MATCH($B1203,'Per Invoice'!$B$2:$B$801,0))=0,"",INDEX('Per Invoice'!$A$2:$A$801,MATCH($B1203,'Per Invoice'!$B$2:$B$801,0))),""))</f>
        <v/>
      </c>
      <c r="J1203" s="7">
        <f>IF($B1203="","",I1203*Q1203/100)</f>
        <v/>
      </c>
      <c r="N1203" s="7" t="n"/>
      <c r="O1203" s="7" t="n"/>
      <c r="P1203" s="7">
        <f>IF($B1203="","",O1203*X1203/100)</f>
        <v/>
      </c>
      <c r="Q1203" s="7">
        <f>IF($B1203="","",O1203-P1203)</f>
        <v/>
      </c>
      <c r="R1203" s="7">
        <f>IF($B1203="","",Q1203-J1203)</f>
        <v/>
      </c>
      <c r="S1203" s="7" t="n"/>
      <c r="T1203" s="7" t="n"/>
      <c r="V1203" s="14" t="n"/>
      <c r="Z1203">
        <f>IF($B1203="","",IF(COUNTIF($B$2:$B1203,$B1203)=1,1,0))</f>
        <v/>
      </c>
      <c r="AA1203">
        <f>IF($Z1203=1,SUMPRODUCT(--($AC$2:$AC$3001&lt;$AC1203))+1,"")</f>
        <v/>
      </c>
      <c r="AB1203">
        <f>IF($B1203="","",IF(OR($Y1203=TRUE(),$Y1203="TRUE"),1,IF(AND($Y1203&lt;&gt;"",OR($Y1203=FALSE(),$Y1203="FALSE")),0,IF(MIN(ABS($X1203/100-Settings!$C$6),ABS($X1203/100-Settings!$G$6))&lt;=MIN(ABS($X1203/100-Settings!$C$7),ABS($X1203/100-Settings!$G$7)),1,0))))</f>
        <v/>
      </c>
      <c r="AC1203">
        <f>IF($Z1203=1,IFERROR(IF(VALUE($B1203)&lt;100000000,VALUE($B1203),1000000000),IFERROR(IF(VALUE(MID($B1203,2,20))&lt;100000000,VALUE(MID($B1203,2,20)),1000000000),1000000000))+ROW()/100000,"")</f>
        <v/>
      </c>
    </row>
    <row r="1204">
      <c r="A1204">
        <f>IF($B1204="","",IFERROR(IF(INDEX('Per Invoice'!$A$2:$A$801,MATCH($B1204,'Per Invoice'!$B$2:$B$801,0))=0,"",INDEX('Per Invoice'!$A$2:$A$801,MATCH($B1204,'Per Invoice'!$B$2:$B$801,0))),""))</f>
        <v/>
      </c>
      <c r="J1204" s="7">
        <f>IF($B1204="","",I1204*Q1204/100)</f>
        <v/>
      </c>
      <c r="N1204" s="7" t="n"/>
      <c r="O1204" s="7" t="n"/>
      <c r="P1204" s="7">
        <f>IF($B1204="","",O1204*X1204/100)</f>
        <v/>
      </c>
      <c r="Q1204" s="7">
        <f>IF($B1204="","",O1204-P1204)</f>
        <v/>
      </c>
      <c r="R1204" s="7">
        <f>IF($B1204="","",Q1204-J1204)</f>
        <v/>
      </c>
      <c r="S1204" s="7" t="n"/>
      <c r="T1204" s="7" t="n"/>
      <c r="V1204" s="14" t="n"/>
      <c r="Z1204">
        <f>IF($B1204="","",IF(COUNTIF($B$2:$B1204,$B1204)=1,1,0))</f>
        <v/>
      </c>
      <c r="AA1204">
        <f>IF($Z1204=1,SUMPRODUCT(--($AC$2:$AC$3001&lt;$AC1204))+1,"")</f>
        <v/>
      </c>
      <c r="AB1204">
        <f>IF($B1204="","",IF(OR($Y1204=TRUE(),$Y1204="TRUE"),1,IF(AND($Y1204&lt;&gt;"",OR($Y1204=FALSE(),$Y1204="FALSE")),0,IF(MIN(ABS($X1204/100-Settings!$C$6),ABS($X1204/100-Settings!$G$6))&lt;=MIN(ABS($X1204/100-Settings!$C$7),ABS($X1204/100-Settings!$G$7)),1,0))))</f>
        <v/>
      </c>
      <c r="AC1204">
        <f>IF($Z1204=1,IFERROR(IF(VALUE($B1204)&lt;100000000,VALUE($B1204),1000000000),IFERROR(IF(VALUE(MID($B1204,2,20))&lt;100000000,VALUE(MID($B1204,2,20)),1000000000),1000000000))+ROW()/100000,"")</f>
        <v/>
      </c>
    </row>
    <row r="1205">
      <c r="A1205">
        <f>IF($B1205="","",IFERROR(IF(INDEX('Per Invoice'!$A$2:$A$801,MATCH($B1205,'Per Invoice'!$B$2:$B$801,0))=0,"",INDEX('Per Invoice'!$A$2:$A$801,MATCH($B1205,'Per Invoice'!$B$2:$B$801,0))),""))</f>
        <v/>
      </c>
      <c r="J1205" s="7">
        <f>IF($B1205="","",I1205*Q1205/100)</f>
        <v/>
      </c>
      <c r="N1205" s="7" t="n"/>
      <c r="O1205" s="7" t="n"/>
      <c r="P1205" s="7">
        <f>IF($B1205="","",O1205*X1205/100)</f>
        <v/>
      </c>
      <c r="Q1205" s="7">
        <f>IF($B1205="","",O1205-P1205)</f>
        <v/>
      </c>
      <c r="R1205" s="7">
        <f>IF($B1205="","",Q1205-J1205)</f>
        <v/>
      </c>
      <c r="S1205" s="7" t="n"/>
      <c r="T1205" s="7" t="n"/>
      <c r="V1205" s="14" t="n"/>
      <c r="Z1205">
        <f>IF($B1205="","",IF(COUNTIF($B$2:$B1205,$B1205)=1,1,0))</f>
        <v/>
      </c>
      <c r="AA1205">
        <f>IF($Z1205=1,SUMPRODUCT(--($AC$2:$AC$3001&lt;$AC1205))+1,"")</f>
        <v/>
      </c>
      <c r="AB1205">
        <f>IF($B1205="","",IF(OR($Y1205=TRUE(),$Y1205="TRUE"),1,IF(AND($Y1205&lt;&gt;"",OR($Y1205=FALSE(),$Y1205="FALSE")),0,IF(MIN(ABS($X1205/100-Settings!$C$6),ABS($X1205/100-Settings!$G$6))&lt;=MIN(ABS($X1205/100-Settings!$C$7),ABS($X1205/100-Settings!$G$7)),1,0))))</f>
        <v/>
      </c>
      <c r="AC1205">
        <f>IF($Z1205=1,IFERROR(IF(VALUE($B1205)&lt;100000000,VALUE($B1205),1000000000),IFERROR(IF(VALUE(MID($B1205,2,20))&lt;100000000,VALUE(MID($B1205,2,20)),1000000000),1000000000))+ROW()/100000,"")</f>
        <v/>
      </c>
    </row>
    <row r="1206">
      <c r="A1206">
        <f>IF($B1206="","",IFERROR(IF(INDEX('Per Invoice'!$A$2:$A$801,MATCH($B1206,'Per Invoice'!$B$2:$B$801,0))=0,"",INDEX('Per Invoice'!$A$2:$A$801,MATCH($B1206,'Per Invoice'!$B$2:$B$801,0))),""))</f>
        <v/>
      </c>
      <c r="J1206" s="7">
        <f>IF($B1206="","",I1206*Q1206/100)</f>
        <v/>
      </c>
      <c r="N1206" s="7" t="n"/>
      <c r="O1206" s="7" t="n"/>
      <c r="P1206" s="7">
        <f>IF($B1206="","",O1206*X1206/100)</f>
        <v/>
      </c>
      <c r="Q1206" s="7">
        <f>IF($B1206="","",O1206-P1206)</f>
        <v/>
      </c>
      <c r="R1206" s="7">
        <f>IF($B1206="","",Q1206-J1206)</f>
        <v/>
      </c>
      <c r="S1206" s="7" t="n"/>
      <c r="T1206" s="7" t="n"/>
      <c r="V1206" s="14" t="n"/>
      <c r="Z1206">
        <f>IF($B1206="","",IF(COUNTIF($B$2:$B1206,$B1206)=1,1,0))</f>
        <v/>
      </c>
      <c r="AA1206">
        <f>IF($Z1206=1,SUMPRODUCT(--($AC$2:$AC$3001&lt;$AC1206))+1,"")</f>
        <v/>
      </c>
      <c r="AB1206">
        <f>IF($B1206="","",IF(OR($Y1206=TRUE(),$Y1206="TRUE"),1,IF(AND($Y1206&lt;&gt;"",OR($Y1206=FALSE(),$Y1206="FALSE")),0,IF(MIN(ABS($X1206/100-Settings!$C$6),ABS($X1206/100-Settings!$G$6))&lt;=MIN(ABS($X1206/100-Settings!$C$7),ABS($X1206/100-Settings!$G$7)),1,0))))</f>
        <v/>
      </c>
      <c r="AC1206">
        <f>IF($Z1206=1,IFERROR(IF(VALUE($B1206)&lt;100000000,VALUE($B1206),1000000000),IFERROR(IF(VALUE(MID($B1206,2,20))&lt;100000000,VALUE(MID($B1206,2,20)),1000000000),1000000000))+ROW()/100000,"")</f>
        <v/>
      </c>
    </row>
    <row r="1207">
      <c r="A1207">
        <f>IF($B1207="","",IFERROR(IF(INDEX('Per Invoice'!$A$2:$A$801,MATCH($B1207,'Per Invoice'!$B$2:$B$801,0))=0,"",INDEX('Per Invoice'!$A$2:$A$801,MATCH($B1207,'Per Invoice'!$B$2:$B$801,0))),""))</f>
        <v/>
      </c>
      <c r="J1207" s="7">
        <f>IF($B1207="","",I1207*Q1207/100)</f>
        <v/>
      </c>
      <c r="N1207" s="7" t="n"/>
      <c r="O1207" s="7" t="n"/>
      <c r="P1207" s="7">
        <f>IF($B1207="","",O1207*X1207/100)</f>
        <v/>
      </c>
      <c r="Q1207" s="7">
        <f>IF($B1207="","",O1207-P1207)</f>
        <v/>
      </c>
      <c r="R1207" s="7">
        <f>IF($B1207="","",Q1207-J1207)</f>
        <v/>
      </c>
      <c r="S1207" s="7" t="n"/>
      <c r="T1207" s="7" t="n"/>
      <c r="V1207" s="14" t="n"/>
      <c r="Z1207">
        <f>IF($B1207="","",IF(COUNTIF($B$2:$B1207,$B1207)=1,1,0))</f>
        <v/>
      </c>
      <c r="AA1207">
        <f>IF($Z1207=1,SUMPRODUCT(--($AC$2:$AC$3001&lt;$AC1207))+1,"")</f>
        <v/>
      </c>
      <c r="AB1207">
        <f>IF($B1207="","",IF(OR($Y1207=TRUE(),$Y1207="TRUE"),1,IF(AND($Y1207&lt;&gt;"",OR($Y1207=FALSE(),$Y1207="FALSE")),0,IF(MIN(ABS($X1207/100-Settings!$C$6),ABS($X1207/100-Settings!$G$6))&lt;=MIN(ABS($X1207/100-Settings!$C$7),ABS($X1207/100-Settings!$G$7)),1,0))))</f>
        <v/>
      </c>
      <c r="AC1207">
        <f>IF($Z1207=1,IFERROR(IF(VALUE($B1207)&lt;100000000,VALUE($B1207),1000000000),IFERROR(IF(VALUE(MID($B1207,2,20))&lt;100000000,VALUE(MID($B1207,2,20)),1000000000),1000000000))+ROW()/100000,"")</f>
        <v/>
      </c>
    </row>
    <row r="1208">
      <c r="A1208">
        <f>IF($B1208="","",IFERROR(IF(INDEX('Per Invoice'!$A$2:$A$801,MATCH($B1208,'Per Invoice'!$B$2:$B$801,0))=0,"",INDEX('Per Invoice'!$A$2:$A$801,MATCH($B1208,'Per Invoice'!$B$2:$B$801,0))),""))</f>
        <v/>
      </c>
      <c r="J1208" s="7">
        <f>IF($B1208="","",I1208*Q1208/100)</f>
        <v/>
      </c>
      <c r="N1208" s="7" t="n"/>
      <c r="O1208" s="7" t="n"/>
      <c r="P1208" s="7">
        <f>IF($B1208="","",O1208*X1208/100)</f>
        <v/>
      </c>
      <c r="Q1208" s="7">
        <f>IF($B1208="","",O1208-P1208)</f>
        <v/>
      </c>
      <c r="R1208" s="7">
        <f>IF($B1208="","",Q1208-J1208)</f>
        <v/>
      </c>
      <c r="S1208" s="7" t="n"/>
      <c r="T1208" s="7" t="n"/>
      <c r="V1208" s="14" t="n"/>
      <c r="Z1208">
        <f>IF($B1208="","",IF(COUNTIF($B$2:$B1208,$B1208)=1,1,0))</f>
        <v/>
      </c>
      <c r="AA1208">
        <f>IF($Z1208=1,SUMPRODUCT(--($AC$2:$AC$3001&lt;$AC1208))+1,"")</f>
        <v/>
      </c>
      <c r="AB1208">
        <f>IF($B1208="","",IF(OR($Y1208=TRUE(),$Y1208="TRUE"),1,IF(AND($Y1208&lt;&gt;"",OR($Y1208=FALSE(),$Y1208="FALSE")),0,IF(MIN(ABS($X1208/100-Settings!$C$6),ABS($X1208/100-Settings!$G$6))&lt;=MIN(ABS($X1208/100-Settings!$C$7),ABS($X1208/100-Settings!$G$7)),1,0))))</f>
        <v/>
      </c>
      <c r="AC1208">
        <f>IF($Z1208=1,IFERROR(IF(VALUE($B1208)&lt;100000000,VALUE($B1208),1000000000),IFERROR(IF(VALUE(MID($B1208,2,20))&lt;100000000,VALUE(MID($B1208,2,20)),1000000000),1000000000))+ROW()/100000,"")</f>
        <v/>
      </c>
    </row>
    <row r="1209">
      <c r="A1209">
        <f>IF($B1209="","",IFERROR(IF(INDEX('Per Invoice'!$A$2:$A$801,MATCH($B1209,'Per Invoice'!$B$2:$B$801,0))=0,"",INDEX('Per Invoice'!$A$2:$A$801,MATCH($B1209,'Per Invoice'!$B$2:$B$801,0))),""))</f>
        <v/>
      </c>
      <c r="J1209" s="7">
        <f>IF($B1209="","",I1209*Q1209/100)</f>
        <v/>
      </c>
      <c r="N1209" s="7" t="n"/>
      <c r="O1209" s="7" t="n"/>
      <c r="P1209" s="7">
        <f>IF($B1209="","",O1209*X1209/100)</f>
        <v/>
      </c>
      <c r="Q1209" s="7">
        <f>IF($B1209="","",O1209-P1209)</f>
        <v/>
      </c>
      <c r="R1209" s="7">
        <f>IF($B1209="","",Q1209-J1209)</f>
        <v/>
      </c>
      <c r="S1209" s="7" t="n"/>
      <c r="T1209" s="7" t="n"/>
      <c r="V1209" s="14" t="n"/>
      <c r="Z1209">
        <f>IF($B1209="","",IF(COUNTIF($B$2:$B1209,$B1209)=1,1,0))</f>
        <v/>
      </c>
      <c r="AA1209">
        <f>IF($Z1209=1,SUMPRODUCT(--($AC$2:$AC$3001&lt;$AC1209))+1,"")</f>
        <v/>
      </c>
      <c r="AB1209">
        <f>IF($B1209="","",IF(OR($Y1209=TRUE(),$Y1209="TRUE"),1,IF(AND($Y1209&lt;&gt;"",OR($Y1209=FALSE(),$Y1209="FALSE")),0,IF(MIN(ABS($X1209/100-Settings!$C$6),ABS($X1209/100-Settings!$G$6))&lt;=MIN(ABS($X1209/100-Settings!$C$7),ABS($X1209/100-Settings!$G$7)),1,0))))</f>
        <v/>
      </c>
      <c r="AC1209">
        <f>IF($Z1209=1,IFERROR(IF(VALUE($B1209)&lt;100000000,VALUE($B1209),1000000000),IFERROR(IF(VALUE(MID($B1209,2,20))&lt;100000000,VALUE(MID($B1209,2,20)),1000000000),1000000000))+ROW()/100000,"")</f>
        <v/>
      </c>
    </row>
    <row r="1210">
      <c r="A1210">
        <f>IF($B1210="","",IFERROR(IF(INDEX('Per Invoice'!$A$2:$A$801,MATCH($B1210,'Per Invoice'!$B$2:$B$801,0))=0,"",INDEX('Per Invoice'!$A$2:$A$801,MATCH($B1210,'Per Invoice'!$B$2:$B$801,0))),""))</f>
        <v/>
      </c>
      <c r="J1210" s="7">
        <f>IF($B1210="","",I1210*Q1210/100)</f>
        <v/>
      </c>
      <c r="N1210" s="7" t="n"/>
      <c r="O1210" s="7" t="n"/>
      <c r="P1210" s="7">
        <f>IF($B1210="","",O1210*X1210/100)</f>
        <v/>
      </c>
      <c r="Q1210" s="7">
        <f>IF($B1210="","",O1210-P1210)</f>
        <v/>
      </c>
      <c r="R1210" s="7">
        <f>IF($B1210="","",Q1210-J1210)</f>
        <v/>
      </c>
      <c r="S1210" s="7" t="n"/>
      <c r="T1210" s="7" t="n"/>
      <c r="V1210" s="14" t="n"/>
      <c r="Z1210">
        <f>IF($B1210="","",IF(COUNTIF($B$2:$B1210,$B1210)=1,1,0))</f>
        <v/>
      </c>
      <c r="AA1210">
        <f>IF($Z1210=1,SUMPRODUCT(--($AC$2:$AC$3001&lt;$AC1210))+1,"")</f>
        <v/>
      </c>
      <c r="AB1210">
        <f>IF($B1210="","",IF(OR($Y1210=TRUE(),$Y1210="TRUE"),1,IF(AND($Y1210&lt;&gt;"",OR($Y1210=FALSE(),$Y1210="FALSE")),0,IF(MIN(ABS($X1210/100-Settings!$C$6),ABS($X1210/100-Settings!$G$6))&lt;=MIN(ABS($X1210/100-Settings!$C$7),ABS($X1210/100-Settings!$G$7)),1,0))))</f>
        <v/>
      </c>
      <c r="AC1210">
        <f>IF($Z1210=1,IFERROR(IF(VALUE($B1210)&lt;100000000,VALUE($B1210),1000000000),IFERROR(IF(VALUE(MID($B1210,2,20))&lt;100000000,VALUE(MID($B1210,2,20)),1000000000),1000000000))+ROW()/100000,"")</f>
        <v/>
      </c>
    </row>
    <row r="1211">
      <c r="A1211">
        <f>IF($B1211="","",IFERROR(IF(INDEX('Per Invoice'!$A$2:$A$801,MATCH($B1211,'Per Invoice'!$B$2:$B$801,0))=0,"",INDEX('Per Invoice'!$A$2:$A$801,MATCH($B1211,'Per Invoice'!$B$2:$B$801,0))),""))</f>
        <v/>
      </c>
      <c r="J1211" s="7">
        <f>IF($B1211="","",I1211*Q1211/100)</f>
        <v/>
      </c>
      <c r="N1211" s="7" t="n"/>
      <c r="O1211" s="7" t="n"/>
      <c r="P1211" s="7">
        <f>IF($B1211="","",O1211*X1211/100)</f>
        <v/>
      </c>
      <c r="Q1211" s="7">
        <f>IF($B1211="","",O1211-P1211)</f>
        <v/>
      </c>
      <c r="R1211" s="7">
        <f>IF($B1211="","",Q1211-J1211)</f>
        <v/>
      </c>
      <c r="S1211" s="7" t="n"/>
      <c r="T1211" s="7" t="n"/>
      <c r="V1211" s="14" t="n"/>
      <c r="Z1211">
        <f>IF($B1211="","",IF(COUNTIF($B$2:$B1211,$B1211)=1,1,0))</f>
        <v/>
      </c>
      <c r="AA1211">
        <f>IF($Z1211=1,SUMPRODUCT(--($AC$2:$AC$3001&lt;$AC1211))+1,"")</f>
        <v/>
      </c>
      <c r="AB1211">
        <f>IF($B1211="","",IF(OR($Y1211=TRUE(),$Y1211="TRUE"),1,IF(AND($Y1211&lt;&gt;"",OR($Y1211=FALSE(),$Y1211="FALSE")),0,IF(MIN(ABS($X1211/100-Settings!$C$6),ABS($X1211/100-Settings!$G$6))&lt;=MIN(ABS($X1211/100-Settings!$C$7),ABS($X1211/100-Settings!$G$7)),1,0))))</f>
        <v/>
      </c>
      <c r="AC1211">
        <f>IF($Z1211=1,IFERROR(IF(VALUE($B1211)&lt;100000000,VALUE($B1211),1000000000),IFERROR(IF(VALUE(MID($B1211,2,20))&lt;100000000,VALUE(MID($B1211,2,20)),1000000000),1000000000))+ROW()/100000,"")</f>
        <v/>
      </c>
    </row>
    <row r="1212">
      <c r="A1212">
        <f>IF($B1212="","",IFERROR(IF(INDEX('Per Invoice'!$A$2:$A$801,MATCH($B1212,'Per Invoice'!$B$2:$B$801,0))=0,"",INDEX('Per Invoice'!$A$2:$A$801,MATCH($B1212,'Per Invoice'!$B$2:$B$801,0))),""))</f>
        <v/>
      </c>
      <c r="J1212" s="7">
        <f>IF($B1212="","",I1212*Q1212/100)</f>
        <v/>
      </c>
      <c r="N1212" s="7" t="n"/>
      <c r="O1212" s="7" t="n"/>
      <c r="P1212" s="7">
        <f>IF($B1212="","",O1212*X1212/100)</f>
        <v/>
      </c>
      <c r="Q1212" s="7">
        <f>IF($B1212="","",O1212-P1212)</f>
        <v/>
      </c>
      <c r="R1212" s="7">
        <f>IF($B1212="","",Q1212-J1212)</f>
        <v/>
      </c>
      <c r="S1212" s="7" t="n"/>
      <c r="T1212" s="7" t="n"/>
      <c r="V1212" s="14" t="n"/>
      <c r="Z1212">
        <f>IF($B1212="","",IF(COUNTIF($B$2:$B1212,$B1212)=1,1,0))</f>
        <v/>
      </c>
      <c r="AA1212">
        <f>IF($Z1212=1,SUMPRODUCT(--($AC$2:$AC$3001&lt;$AC1212))+1,"")</f>
        <v/>
      </c>
      <c r="AB1212">
        <f>IF($B1212="","",IF(OR($Y1212=TRUE(),$Y1212="TRUE"),1,IF(AND($Y1212&lt;&gt;"",OR($Y1212=FALSE(),$Y1212="FALSE")),0,IF(MIN(ABS($X1212/100-Settings!$C$6),ABS($X1212/100-Settings!$G$6))&lt;=MIN(ABS($X1212/100-Settings!$C$7),ABS($X1212/100-Settings!$G$7)),1,0))))</f>
        <v/>
      </c>
      <c r="AC1212">
        <f>IF($Z1212=1,IFERROR(IF(VALUE($B1212)&lt;100000000,VALUE($B1212),1000000000),IFERROR(IF(VALUE(MID($B1212,2,20))&lt;100000000,VALUE(MID($B1212,2,20)),1000000000),1000000000))+ROW()/100000,"")</f>
        <v/>
      </c>
    </row>
    <row r="1213">
      <c r="A1213">
        <f>IF($B1213="","",IFERROR(IF(INDEX('Per Invoice'!$A$2:$A$801,MATCH($B1213,'Per Invoice'!$B$2:$B$801,0))=0,"",INDEX('Per Invoice'!$A$2:$A$801,MATCH($B1213,'Per Invoice'!$B$2:$B$801,0))),""))</f>
        <v/>
      </c>
      <c r="J1213" s="7">
        <f>IF($B1213="","",I1213*Q1213/100)</f>
        <v/>
      </c>
      <c r="N1213" s="7" t="n"/>
      <c r="O1213" s="7" t="n"/>
      <c r="P1213" s="7">
        <f>IF($B1213="","",O1213*X1213/100)</f>
        <v/>
      </c>
      <c r="Q1213" s="7">
        <f>IF($B1213="","",O1213-P1213)</f>
        <v/>
      </c>
      <c r="R1213" s="7">
        <f>IF($B1213="","",Q1213-J1213)</f>
        <v/>
      </c>
      <c r="S1213" s="7" t="n"/>
      <c r="T1213" s="7" t="n"/>
      <c r="V1213" s="14" t="n"/>
      <c r="Z1213">
        <f>IF($B1213="","",IF(COUNTIF($B$2:$B1213,$B1213)=1,1,0))</f>
        <v/>
      </c>
      <c r="AA1213">
        <f>IF($Z1213=1,SUMPRODUCT(--($AC$2:$AC$3001&lt;$AC1213))+1,"")</f>
        <v/>
      </c>
      <c r="AB1213">
        <f>IF($B1213="","",IF(OR($Y1213=TRUE(),$Y1213="TRUE"),1,IF(AND($Y1213&lt;&gt;"",OR($Y1213=FALSE(),$Y1213="FALSE")),0,IF(MIN(ABS($X1213/100-Settings!$C$6),ABS($X1213/100-Settings!$G$6))&lt;=MIN(ABS($X1213/100-Settings!$C$7),ABS($X1213/100-Settings!$G$7)),1,0))))</f>
        <v/>
      </c>
      <c r="AC1213">
        <f>IF($Z1213=1,IFERROR(IF(VALUE($B1213)&lt;100000000,VALUE($B1213),1000000000),IFERROR(IF(VALUE(MID($B1213,2,20))&lt;100000000,VALUE(MID($B1213,2,20)),1000000000),1000000000))+ROW()/100000,"")</f>
        <v/>
      </c>
    </row>
    <row r="1214">
      <c r="A1214">
        <f>IF($B1214="","",IFERROR(IF(INDEX('Per Invoice'!$A$2:$A$801,MATCH($B1214,'Per Invoice'!$B$2:$B$801,0))=0,"",INDEX('Per Invoice'!$A$2:$A$801,MATCH($B1214,'Per Invoice'!$B$2:$B$801,0))),""))</f>
        <v/>
      </c>
      <c r="J1214" s="7">
        <f>IF($B1214="","",I1214*Q1214/100)</f>
        <v/>
      </c>
      <c r="N1214" s="7" t="n"/>
      <c r="O1214" s="7" t="n"/>
      <c r="P1214" s="7">
        <f>IF($B1214="","",O1214*X1214/100)</f>
        <v/>
      </c>
      <c r="Q1214" s="7">
        <f>IF($B1214="","",O1214-P1214)</f>
        <v/>
      </c>
      <c r="R1214" s="7">
        <f>IF($B1214="","",Q1214-J1214)</f>
        <v/>
      </c>
      <c r="S1214" s="7" t="n"/>
      <c r="T1214" s="7" t="n"/>
      <c r="V1214" s="14" t="n"/>
      <c r="Z1214">
        <f>IF($B1214="","",IF(COUNTIF($B$2:$B1214,$B1214)=1,1,0))</f>
        <v/>
      </c>
      <c r="AA1214">
        <f>IF($Z1214=1,SUMPRODUCT(--($AC$2:$AC$3001&lt;$AC1214))+1,"")</f>
        <v/>
      </c>
      <c r="AB1214">
        <f>IF($B1214="","",IF(OR($Y1214=TRUE(),$Y1214="TRUE"),1,IF(AND($Y1214&lt;&gt;"",OR($Y1214=FALSE(),$Y1214="FALSE")),0,IF(MIN(ABS($X1214/100-Settings!$C$6),ABS($X1214/100-Settings!$G$6))&lt;=MIN(ABS($X1214/100-Settings!$C$7),ABS($X1214/100-Settings!$G$7)),1,0))))</f>
        <v/>
      </c>
      <c r="AC1214">
        <f>IF($Z1214=1,IFERROR(IF(VALUE($B1214)&lt;100000000,VALUE($B1214),1000000000),IFERROR(IF(VALUE(MID($B1214,2,20))&lt;100000000,VALUE(MID($B1214,2,20)),1000000000),1000000000))+ROW()/100000,"")</f>
        <v/>
      </c>
    </row>
    <row r="1215">
      <c r="A1215">
        <f>IF($B1215="","",IFERROR(IF(INDEX('Per Invoice'!$A$2:$A$801,MATCH($B1215,'Per Invoice'!$B$2:$B$801,0))=0,"",INDEX('Per Invoice'!$A$2:$A$801,MATCH($B1215,'Per Invoice'!$B$2:$B$801,0))),""))</f>
        <v/>
      </c>
      <c r="J1215" s="7">
        <f>IF($B1215="","",I1215*Q1215/100)</f>
        <v/>
      </c>
      <c r="N1215" s="7" t="n"/>
      <c r="O1215" s="7" t="n"/>
      <c r="P1215" s="7">
        <f>IF($B1215="","",O1215*X1215/100)</f>
        <v/>
      </c>
      <c r="Q1215" s="7">
        <f>IF($B1215="","",O1215-P1215)</f>
        <v/>
      </c>
      <c r="R1215" s="7">
        <f>IF($B1215="","",Q1215-J1215)</f>
        <v/>
      </c>
      <c r="S1215" s="7" t="n"/>
      <c r="T1215" s="7" t="n"/>
      <c r="V1215" s="14" t="n"/>
      <c r="Z1215">
        <f>IF($B1215="","",IF(COUNTIF($B$2:$B1215,$B1215)=1,1,0))</f>
        <v/>
      </c>
      <c r="AA1215">
        <f>IF($Z1215=1,SUMPRODUCT(--($AC$2:$AC$3001&lt;$AC1215))+1,"")</f>
        <v/>
      </c>
      <c r="AB1215">
        <f>IF($B1215="","",IF(OR($Y1215=TRUE(),$Y1215="TRUE"),1,IF(AND($Y1215&lt;&gt;"",OR($Y1215=FALSE(),$Y1215="FALSE")),0,IF(MIN(ABS($X1215/100-Settings!$C$6),ABS($X1215/100-Settings!$G$6))&lt;=MIN(ABS($X1215/100-Settings!$C$7),ABS($X1215/100-Settings!$G$7)),1,0))))</f>
        <v/>
      </c>
      <c r="AC1215">
        <f>IF($Z1215=1,IFERROR(IF(VALUE($B1215)&lt;100000000,VALUE($B1215),1000000000),IFERROR(IF(VALUE(MID($B1215,2,20))&lt;100000000,VALUE(MID($B1215,2,20)),1000000000),1000000000))+ROW()/100000,"")</f>
        <v/>
      </c>
    </row>
    <row r="1216">
      <c r="A1216">
        <f>IF($B1216="","",IFERROR(IF(INDEX('Per Invoice'!$A$2:$A$801,MATCH($B1216,'Per Invoice'!$B$2:$B$801,0))=0,"",INDEX('Per Invoice'!$A$2:$A$801,MATCH($B1216,'Per Invoice'!$B$2:$B$801,0))),""))</f>
        <v/>
      </c>
      <c r="J1216" s="7">
        <f>IF($B1216="","",I1216*Q1216/100)</f>
        <v/>
      </c>
      <c r="N1216" s="7" t="n"/>
      <c r="O1216" s="7" t="n"/>
      <c r="P1216" s="7">
        <f>IF($B1216="","",O1216*X1216/100)</f>
        <v/>
      </c>
      <c r="Q1216" s="7">
        <f>IF($B1216="","",O1216-P1216)</f>
        <v/>
      </c>
      <c r="R1216" s="7">
        <f>IF($B1216="","",Q1216-J1216)</f>
        <v/>
      </c>
      <c r="S1216" s="7" t="n"/>
      <c r="T1216" s="7" t="n"/>
      <c r="V1216" s="14" t="n"/>
      <c r="Z1216">
        <f>IF($B1216="","",IF(COUNTIF($B$2:$B1216,$B1216)=1,1,0))</f>
        <v/>
      </c>
      <c r="AA1216">
        <f>IF($Z1216=1,SUMPRODUCT(--($AC$2:$AC$3001&lt;$AC1216))+1,"")</f>
        <v/>
      </c>
      <c r="AB1216">
        <f>IF($B1216="","",IF(OR($Y1216=TRUE(),$Y1216="TRUE"),1,IF(AND($Y1216&lt;&gt;"",OR($Y1216=FALSE(),$Y1216="FALSE")),0,IF(MIN(ABS($X1216/100-Settings!$C$6),ABS($X1216/100-Settings!$G$6))&lt;=MIN(ABS($X1216/100-Settings!$C$7),ABS($X1216/100-Settings!$G$7)),1,0))))</f>
        <v/>
      </c>
      <c r="AC1216">
        <f>IF($Z1216=1,IFERROR(IF(VALUE($B1216)&lt;100000000,VALUE($B1216),1000000000),IFERROR(IF(VALUE(MID($B1216,2,20))&lt;100000000,VALUE(MID($B1216,2,20)),1000000000),1000000000))+ROW()/100000,"")</f>
        <v/>
      </c>
    </row>
    <row r="1217">
      <c r="A1217">
        <f>IF($B1217="","",IFERROR(IF(INDEX('Per Invoice'!$A$2:$A$801,MATCH($B1217,'Per Invoice'!$B$2:$B$801,0))=0,"",INDEX('Per Invoice'!$A$2:$A$801,MATCH($B1217,'Per Invoice'!$B$2:$B$801,0))),""))</f>
        <v/>
      </c>
      <c r="J1217" s="7">
        <f>IF($B1217="","",I1217*Q1217/100)</f>
        <v/>
      </c>
      <c r="N1217" s="7" t="n"/>
      <c r="O1217" s="7" t="n"/>
      <c r="P1217" s="7">
        <f>IF($B1217="","",O1217*X1217/100)</f>
        <v/>
      </c>
      <c r="Q1217" s="7">
        <f>IF($B1217="","",O1217-P1217)</f>
        <v/>
      </c>
      <c r="R1217" s="7">
        <f>IF($B1217="","",Q1217-J1217)</f>
        <v/>
      </c>
      <c r="S1217" s="7" t="n"/>
      <c r="T1217" s="7" t="n"/>
      <c r="V1217" s="14" t="n"/>
      <c r="Z1217">
        <f>IF($B1217="","",IF(COUNTIF($B$2:$B1217,$B1217)=1,1,0))</f>
        <v/>
      </c>
      <c r="AA1217">
        <f>IF($Z1217=1,SUMPRODUCT(--($AC$2:$AC$3001&lt;$AC1217))+1,"")</f>
        <v/>
      </c>
      <c r="AB1217">
        <f>IF($B1217="","",IF(OR($Y1217=TRUE(),$Y1217="TRUE"),1,IF(AND($Y1217&lt;&gt;"",OR($Y1217=FALSE(),$Y1217="FALSE")),0,IF(MIN(ABS($X1217/100-Settings!$C$6),ABS($X1217/100-Settings!$G$6))&lt;=MIN(ABS($X1217/100-Settings!$C$7),ABS($X1217/100-Settings!$G$7)),1,0))))</f>
        <v/>
      </c>
      <c r="AC1217">
        <f>IF($Z1217=1,IFERROR(IF(VALUE($B1217)&lt;100000000,VALUE($B1217),1000000000),IFERROR(IF(VALUE(MID($B1217,2,20))&lt;100000000,VALUE(MID($B1217,2,20)),1000000000),1000000000))+ROW()/100000,"")</f>
        <v/>
      </c>
    </row>
    <row r="1218">
      <c r="A1218">
        <f>IF($B1218="","",IFERROR(IF(INDEX('Per Invoice'!$A$2:$A$801,MATCH($B1218,'Per Invoice'!$B$2:$B$801,0))=0,"",INDEX('Per Invoice'!$A$2:$A$801,MATCH($B1218,'Per Invoice'!$B$2:$B$801,0))),""))</f>
        <v/>
      </c>
      <c r="J1218" s="7">
        <f>IF($B1218="","",I1218*Q1218/100)</f>
        <v/>
      </c>
      <c r="N1218" s="7" t="n"/>
      <c r="O1218" s="7" t="n"/>
      <c r="P1218" s="7">
        <f>IF($B1218="","",O1218*X1218/100)</f>
        <v/>
      </c>
      <c r="Q1218" s="7">
        <f>IF($B1218="","",O1218-P1218)</f>
        <v/>
      </c>
      <c r="R1218" s="7">
        <f>IF($B1218="","",Q1218-J1218)</f>
        <v/>
      </c>
      <c r="S1218" s="7" t="n"/>
      <c r="T1218" s="7" t="n"/>
      <c r="V1218" s="14" t="n"/>
      <c r="Z1218">
        <f>IF($B1218="","",IF(COUNTIF($B$2:$B1218,$B1218)=1,1,0))</f>
        <v/>
      </c>
      <c r="AA1218">
        <f>IF($Z1218=1,SUMPRODUCT(--($AC$2:$AC$3001&lt;$AC1218))+1,"")</f>
        <v/>
      </c>
      <c r="AB1218">
        <f>IF($B1218="","",IF(OR($Y1218=TRUE(),$Y1218="TRUE"),1,IF(AND($Y1218&lt;&gt;"",OR($Y1218=FALSE(),$Y1218="FALSE")),0,IF(MIN(ABS($X1218/100-Settings!$C$6),ABS($X1218/100-Settings!$G$6))&lt;=MIN(ABS($X1218/100-Settings!$C$7),ABS($X1218/100-Settings!$G$7)),1,0))))</f>
        <v/>
      </c>
      <c r="AC1218">
        <f>IF($Z1218=1,IFERROR(IF(VALUE($B1218)&lt;100000000,VALUE($B1218),1000000000),IFERROR(IF(VALUE(MID($B1218,2,20))&lt;100000000,VALUE(MID($B1218,2,20)),1000000000),1000000000))+ROW()/100000,"")</f>
        <v/>
      </c>
    </row>
    <row r="1219">
      <c r="A1219">
        <f>IF($B1219="","",IFERROR(IF(INDEX('Per Invoice'!$A$2:$A$801,MATCH($B1219,'Per Invoice'!$B$2:$B$801,0))=0,"",INDEX('Per Invoice'!$A$2:$A$801,MATCH($B1219,'Per Invoice'!$B$2:$B$801,0))),""))</f>
        <v/>
      </c>
      <c r="J1219" s="7">
        <f>IF($B1219="","",I1219*Q1219/100)</f>
        <v/>
      </c>
      <c r="N1219" s="7" t="n"/>
      <c r="O1219" s="7" t="n"/>
      <c r="P1219" s="7">
        <f>IF($B1219="","",O1219*X1219/100)</f>
        <v/>
      </c>
      <c r="Q1219" s="7">
        <f>IF($B1219="","",O1219-P1219)</f>
        <v/>
      </c>
      <c r="R1219" s="7">
        <f>IF($B1219="","",Q1219-J1219)</f>
        <v/>
      </c>
      <c r="S1219" s="7" t="n"/>
      <c r="T1219" s="7" t="n"/>
      <c r="V1219" s="14" t="n"/>
      <c r="Z1219">
        <f>IF($B1219="","",IF(COUNTIF($B$2:$B1219,$B1219)=1,1,0))</f>
        <v/>
      </c>
      <c r="AA1219">
        <f>IF($Z1219=1,SUMPRODUCT(--($AC$2:$AC$3001&lt;$AC1219))+1,"")</f>
        <v/>
      </c>
      <c r="AB1219">
        <f>IF($B1219="","",IF(OR($Y1219=TRUE(),$Y1219="TRUE"),1,IF(AND($Y1219&lt;&gt;"",OR($Y1219=FALSE(),$Y1219="FALSE")),0,IF(MIN(ABS($X1219/100-Settings!$C$6),ABS($X1219/100-Settings!$G$6))&lt;=MIN(ABS($X1219/100-Settings!$C$7),ABS($X1219/100-Settings!$G$7)),1,0))))</f>
        <v/>
      </c>
      <c r="AC1219">
        <f>IF($Z1219=1,IFERROR(IF(VALUE($B1219)&lt;100000000,VALUE($B1219),1000000000),IFERROR(IF(VALUE(MID($B1219,2,20))&lt;100000000,VALUE(MID($B1219,2,20)),1000000000),1000000000))+ROW()/100000,"")</f>
        <v/>
      </c>
    </row>
    <row r="1220">
      <c r="A1220">
        <f>IF($B1220="","",IFERROR(IF(INDEX('Per Invoice'!$A$2:$A$801,MATCH($B1220,'Per Invoice'!$B$2:$B$801,0))=0,"",INDEX('Per Invoice'!$A$2:$A$801,MATCH($B1220,'Per Invoice'!$B$2:$B$801,0))),""))</f>
        <v/>
      </c>
      <c r="J1220" s="7">
        <f>IF($B1220="","",I1220*Q1220/100)</f>
        <v/>
      </c>
      <c r="N1220" s="7" t="n"/>
      <c r="O1220" s="7" t="n"/>
      <c r="P1220" s="7">
        <f>IF($B1220="","",O1220*X1220/100)</f>
        <v/>
      </c>
      <c r="Q1220" s="7">
        <f>IF($B1220="","",O1220-P1220)</f>
        <v/>
      </c>
      <c r="R1220" s="7">
        <f>IF($B1220="","",Q1220-J1220)</f>
        <v/>
      </c>
      <c r="S1220" s="7" t="n"/>
      <c r="T1220" s="7" t="n"/>
      <c r="V1220" s="14" t="n"/>
      <c r="Z1220">
        <f>IF($B1220="","",IF(COUNTIF($B$2:$B1220,$B1220)=1,1,0))</f>
        <v/>
      </c>
      <c r="AA1220">
        <f>IF($Z1220=1,SUMPRODUCT(--($AC$2:$AC$3001&lt;$AC1220))+1,"")</f>
        <v/>
      </c>
      <c r="AB1220">
        <f>IF($B1220="","",IF(OR($Y1220=TRUE(),$Y1220="TRUE"),1,IF(AND($Y1220&lt;&gt;"",OR($Y1220=FALSE(),$Y1220="FALSE")),0,IF(MIN(ABS($X1220/100-Settings!$C$6),ABS($X1220/100-Settings!$G$6))&lt;=MIN(ABS($X1220/100-Settings!$C$7),ABS($X1220/100-Settings!$G$7)),1,0))))</f>
        <v/>
      </c>
      <c r="AC1220">
        <f>IF($Z1220=1,IFERROR(IF(VALUE($B1220)&lt;100000000,VALUE($B1220),1000000000),IFERROR(IF(VALUE(MID($B1220,2,20))&lt;100000000,VALUE(MID($B1220,2,20)),1000000000),1000000000))+ROW()/100000,"")</f>
        <v/>
      </c>
    </row>
    <row r="1221">
      <c r="A1221">
        <f>IF($B1221="","",IFERROR(IF(INDEX('Per Invoice'!$A$2:$A$801,MATCH($B1221,'Per Invoice'!$B$2:$B$801,0))=0,"",INDEX('Per Invoice'!$A$2:$A$801,MATCH($B1221,'Per Invoice'!$B$2:$B$801,0))),""))</f>
        <v/>
      </c>
      <c r="J1221" s="7">
        <f>IF($B1221="","",I1221*Q1221/100)</f>
        <v/>
      </c>
      <c r="N1221" s="7" t="n"/>
      <c r="O1221" s="7" t="n"/>
      <c r="P1221" s="7">
        <f>IF($B1221="","",O1221*X1221/100)</f>
        <v/>
      </c>
      <c r="Q1221" s="7">
        <f>IF($B1221="","",O1221-P1221)</f>
        <v/>
      </c>
      <c r="R1221" s="7">
        <f>IF($B1221="","",Q1221-J1221)</f>
        <v/>
      </c>
      <c r="S1221" s="7" t="n"/>
      <c r="T1221" s="7" t="n"/>
      <c r="V1221" s="14" t="n"/>
      <c r="Z1221">
        <f>IF($B1221="","",IF(COUNTIF($B$2:$B1221,$B1221)=1,1,0))</f>
        <v/>
      </c>
      <c r="AA1221">
        <f>IF($Z1221=1,SUMPRODUCT(--($AC$2:$AC$3001&lt;$AC1221))+1,"")</f>
        <v/>
      </c>
      <c r="AB1221">
        <f>IF($B1221="","",IF(OR($Y1221=TRUE(),$Y1221="TRUE"),1,IF(AND($Y1221&lt;&gt;"",OR($Y1221=FALSE(),$Y1221="FALSE")),0,IF(MIN(ABS($X1221/100-Settings!$C$6),ABS($X1221/100-Settings!$G$6))&lt;=MIN(ABS($X1221/100-Settings!$C$7),ABS($X1221/100-Settings!$G$7)),1,0))))</f>
        <v/>
      </c>
      <c r="AC1221">
        <f>IF($Z1221=1,IFERROR(IF(VALUE($B1221)&lt;100000000,VALUE($B1221),1000000000),IFERROR(IF(VALUE(MID($B1221,2,20))&lt;100000000,VALUE(MID($B1221,2,20)),1000000000),1000000000))+ROW()/100000,"")</f>
        <v/>
      </c>
    </row>
    <row r="1222">
      <c r="A1222">
        <f>IF($B1222="","",IFERROR(IF(INDEX('Per Invoice'!$A$2:$A$801,MATCH($B1222,'Per Invoice'!$B$2:$B$801,0))=0,"",INDEX('Per Invoice'!$A$2:$A$801,MATCH($B1222,'Per Invoice'!$B$2:$B$801,0))),""))</f>
        <v/>
      </c>
      <c r="J1222" s="7">
        <f>IF($B1222="","",I1222*Q1222/100)</f>
        <v/>
      </c>
      <c r="N1222" s="7" t="n"/>
      <c r="O1222" s="7" t="n"/>
      <c r="P1222" s="7">
        <f>IF($B1222="","",O1222*X1222/100)</f>
        <v/>
      </c>
      <c r="Q1222" s="7">
        <f>IF($B1222="","",O1222-P1222)</f>
        <v/>
      </c>
      <c r="R1222" s="7">
        <f>IF($B1222="","",Q1222-J1222)</f>
        <v/>
      </c>
      <c r="S1222" s="7" t="n"/>
      <c r="T1222" s="7" t="n"/>
      <c r="V1222" s="14" t="n"/>
      <c r="Z1222">
        <f>IF($B1222="","",IF(COUNTIF($B$2:$B1222,$B1222)=1,1,0))</f>
        <v/>
      </c>
      <c r="AA1222">
        <f>IF($Z1222=1,SUMPRODUCT(--($AC$2:$AC$3001&lt;$AC1222))+1,"")</f>
        <v/>
      </c>
      <c r="AB1222">
        <f>IF($B1222="","",IF(OR($Y1222=TRUE(),$Y1222="TRUE"),1,IF(AND($Y1222&lt;&gt;"",OR($Y1222=FALSE(),$Y1222="FALSE")),0,IF(MIN(ABS($X1222/100-Settings!$C$6),ABS($X1222/100-Settings!$G$6))&lt;=MIN(ABS($X1222/100-Settings!$C$7),ABS($X1222/100-Settings!$G$7)),1,0))))</f>
        <v/>
      </c>
      <c r="AC1222">
        <f>IF($Z1222=1,IFERROR(IF(VALUE($B1222)&lt;100000000,VALUE($B1222),1000000000),IFERROR(IF(VALUE(MID($B1222,2,20))&lt;100000000,VALUE(MID($B1222,2,20)),1000000000),1000000000))+ROW()/100000,"")</f>
        <v/>
      </c>
    </row>
    <row r="1223">
      <c r="A1223">
        <f>IF($B1223="","",IFERROR(IF(INDEX('Per Invoice'!$A$2:$A$801,MATCH($B1223,'Per Invoice'!$B$2:$B$801,0))=0,"",INDEX('Per Invoice'!$A$2:$A$801,MATCH($B1223,'Per Invoice'!$B$2:$B$801,0))),""))</f>
        <v/>
      </c>
      <c r="J1223" s="7">
        <f>IF($B1223="","",I1223*Q1223/100)</f>
        <v/>
      </c>
      <c r="N1223" s="7" t="n"/>
      <c r="O1223" s="7" t="n"/>
      <c r="P1223" s="7">
        <f>IF($B1223="","",O1223*X1223/100)</f>
        <v/>
      </c>
      <c r="Q1223" s="7">
        <f>IF($B1223="","",O1223-P1223)</f>
        <v/>
      </c>
      <c r="R1223" s="7">
        <f>IF($B1223="","",Q1223-J1223)</f>
        <v/>
      </c>
      <c r="S1223" s="7" t="n"/>
      <c r="T1223" s="7" t="n"/>
      <c r="V1223" s="14" t="n"/>
      <c r="Z1223">
        <f>IF($B1223="","",IF(COUNTIF($B$2:$B1223,$B1223)=1,1,0))</f>
        <v/>
      </c>
      <c r="AA1223">
        <f>IF($Z1223=1,SUMPRODUCT(--($AC$2:$AC$3001&lt;$AC1223))+1,"")</f>
        <v/>
      </c>
      <c r="AB1223">
        <f>IF($B1223="","",IF(OR($Y1223=TRUE(),$Y1223="TRUE"),1,IF(AND($Y1223&lt;&gt;"",OR($Y1223=FALSE(),$Y1223="FALSE")),0,IF(MIN(ABS($X1223/100-Settings!$C$6),ABS($X1223/100-Settings!$G$6))&lt;=MIN(ABS($X1223/100-Settings!$C$7),ABS($X1223/100-Settings!$G$7)),1,0))))</f>
        <v/>
      </c>
      <c r="AC1223">
        <f>IF($Z1223=1,IFERROR(IF(VALUE($B1223)&lt;100000000,VALUE($B1223),1000000000),IFERROR(IF(VALUE(MID($B1223,2,20))&lt;100000000,VALUE(MID($B1223,2,20)),1000000000),1000000000))+ROW()/100000,"")</f>
        <v/>
      </c>
    </row>
    <row r="1224">
      <c r="A1224">
        <f>IF($B1224="","",IFERROR(IF(INDEX('Per Invoice'!$A$2:$A$801,MATCH($B1224,'Per Invoice'!$B$2:$B$801,0))=0,"",INDEX('Per Invoice'!$A$2:$A$801,MATCH($B1224,'Per Invoice'!$B$2:$B$801,0))),""))</f>
        <v/>
      </c>
      <c r="J1224" s="7">
        <f>IF($B1224="","",I1224*Q1224/100)</f>
        <v/>
      </c>
      <c r="N1224" s="7" t="n"/>
      <c r="O1224" s="7" t="n"/>
      <c r="P1224" s="7">
        <f>IF($B1224="","",O1224*X1224/100)</f>
        <v/>
      </c>
      <c r="Q1224" s="7">
        <f>IF($B1224="","",O1224-P1224)</f>
        <v/>
      </c>
      <c r="R1224" s="7">
        <f>IF($B1224="","",Q1224-J1224)</f>
        <v/>
      </c>
      <c r="S1224" s="7" t="n"/>
      <c r="T1224" s="7" t="n"/>
      <c r="V1224" s="14" t="n"/>
      <c r="Z1224">
        <f>IF($B1224="","",IF(COUNTIF($B$2:$B1224,$B1224)=1,1,0))</f>
        <v/>
      </c>
      <c r="AA1224">
        <f>IF($Z1224=1,SUMPRODUCT(--($AC$2:$AC$3001&lt;$AC1224))+1,"")</f>
        <v/>
      </c>
      <c r="AB1224">
        <f>IF($B1224="","",IF(OR($Y1224=TRUE(),$Y1224="TRUE"),1,IF(AND($Y1224&lt;&gt;"",OR($Y1224=FALSE(),$Y1224="FALSE")),0,IF(MIN(ABS($X1224/100-Settings!$C$6),ABS($X1224/100-Settings!$G$6))&lt;=MIN(ABS($X1224/100-Settings!$C$7),ABS($X1224/100-Settings!$G$7)),1,0))))</f>
        <v/>
      </c>
      <c r="AC1224">
        <f>IF($Z1224=1,IFERROR(IF(VALUE($B1224)&lt;100000000,VALUE($B1224),1000000000),IFERROR(IF(VALUE(MID($B1224,2,20))&lt;100000000,VALUE(MID($B1224,2,20)),1000000000),1000000000))+ROW()/100000,"")</f>
        <v/>
      </c>
    </row>
    <row r="1225">
      <c r="A1225">
        <f>IF($B1225="","",IFERROR(IF(INDEX('Per Invoice'!$A$2:$A$801,MATCH($B1225,'Per Invoice'!$B$2:$B$801,0))=0,"",INDEX('Per Invoice'!$A$2:$A$801,MATCH($B1225,'Per Invoice'!$B$2:$B$801,0))),""))</f>
        <v/>
      </c>
      <c r="J1225" s="7">
        <f>IF($B1225="","",I1225*Q1225/100)</f>
        <v/>
      </c>
      <c r="N1225" s="7" t="n"/>
      <c r="O1225" s="7" t="n"/>
      <c r="P1225" s="7">
        <f>IF($B1225="","",O1225*X1225/100)</f>
        <v/>
      </c>
      <c r="Q1225" s="7">
        <f>IF($B1225="","",O1225-P1225)</f>
        <v/>
      </c>
      <c r="R1225" s="7">
        <f>IF($B1225="","",Q1225-J1225)</f>
        <v/>
      </c>
      <c r="S1225" s="7" t="n"/>
      <c r="T1225" s="7" t="n"/>
      <c r="V1225" s="14" t="n"/>
      <c r="Z1225">
        <f>IF($B1225="","",IF(COUNTIF($B$2:$B1225,$B1225)=1,1,0))</f>
        <v/>
      </c>
      <c r="AA1225">
        <f>IF($Z1225=1,SUMPRODUCT(--($AC$2:$AC$3001&lt;$AC1225))+1,"")</f>
        <v/>
      </c>
      <c r="AB1225">
        <f>IF($B1225="","",IF(OR($Y1225=TRUE(),$Y1225="TRUE"),1,IF(AND($Y1225&lt;&gt;"",OR($Y1225=FALSE(),$Y1225="FALSE")),0,IF(MIN(ABS($X1225/100-Settings!$C$6),ABS($X1225/100-Settings!$G$6))&lt;=MIN(ABS($X1225/100-Settings!$C$7),ABS($X1225/100-Settings!$G$7)),1,0))))</f>
        <v/>
      </c>
      <c r="AC1225">
        <f>IF($Z1225=1,IFERROR(IF(VALUE($B1225)&lt;100000000,VALUE($B1225),1000000000),IFERROR(IF(VALUE(MID($B1225,2,20))&lt;100000000,VALUE(MID($B1225,2,20)),1000000000),1000000000))+ROW()/100000,"")</f>
        <v/>
      </c>
    </row>
    <row r="1226">
      <c r="A1226">
        <f>IF($B1226="","",IFERROR(IF(INDEX('Per Invoice'!$A$2:$A$801,MATCH($B1226,'Per Invoice'!$B$2:$B$801,0))=0,"",INDEX('Per Invoice'!$A$2:$A$801,MATCH($B1226,'Per Invoice'!$B$2:$B$801,0))),""))</f>
        <v/>
      </c>
      <c r="J1226" s="7">
        <f>IF($B1226="","",I1226*Q1226/100)</f>
        <v/>
      </c>
      <c r="N1226" s="7" t="n"/>
      <c r="O1226" s="7" t="n"/>
      <c r="P1226" s="7">
        <f>IF($B1226="","",O1226*X1226/100)</f>
        <v/>
      </c>
      <c r="Q1226" s="7">
        <f>IF($B1226="","",O1226-P1226)</f>
        <v/>
      </c>
      <c r="R1226" s="7">
        <f>IF($B1226="","",Q1226-J1226)</f>
        <v/>
      </c>
      <c r="S1226" s="7" t="n"/>
      <c r="T1226" s="7" t="n"/>
      <c r="V1226" s="14" t="n"/>
      <c r="Z1226">
        <f>IF($B1226="","",IF(COUNTIF($B$2:$B1226,$B1226)=1,1,0))</f>
        <v/>
      </c>
      <c r="AA1226">
        <f>IF($Z1226=1,SUMPRODUCT(--($AC$2:$AC$3001&lt;$AC1226))+1,"")</f>
        <v/>
      </c>
      <c r="AB1226">
        <f>IF($B1226="","",IF(OR($Y1226=TRUE(),$Y1226="TRUE"),1,IF(AND($Y1226&lt;&gt;"",OR($Y1226=FALSE(),$Y1226="FALSE")),0,IF(MIN(ABS($X1226/100-Settings!$C$6),ABS($X1226/100-Settings!$G$6))&lt;=MIN(ABS($X1226/100-Settings!$C$7),ABS($X1226/100-Settings!$G$7)),1,0))))</f>
        <v/>
      </c>
      <c r="AC1226">
        <f>IF($Z1226=1,IFERROR(IF(VALUE($B1226)&lt;100000000,VALUE($B1226),1000000000),IFERROR(IF(VALUE(MID($B1226,2,20))&lt;100000000,VALUE(MID($B1226,2,20)),1000000000),1000000000))+ROW()/100000,"")</f>
        <v/>
      </c>
    </row>
    <row r="1227">
      <c r="A1227">
        <f>IF($B1227="","",IFERROR(IF(INDEX('Per Invoice'!$A$2:$A$801,MATCH($B1227,'Per Invoice'!$B$2:$B$801,0))=0,"",INDEX('Per Invoice'!$A$2:$A$801,MATCH($B1227,'Per Invoice'!$B$2:$B$801,0))),""))</f>
        <v/>
      </c>
      <c r="J1227" s="7">
        <f>IF($B1227="","",I1227*Q1227/100)</f>
        <v/>
      </c>
      <c r="N1227" s="7" t="n"/>
      <c r="O1227" s="7" t="n"/>
      <c r="P1227" s="7">
        <f>IF($B1227="","",O1227*X1227/100)</f>
        <v/>
      </c>
      <c r="Q1227" s="7">
        <f>IF($B1227="","",O1227-P1227)</f>
        <v/>
      </c>
      <c r="R1227" s="7">
        <f>IF($B1227="","",Q1227-J1227)</f>
        <v/>
      </c>
      <c r="S1227" s="7" t="n"/>
      <c r="T1227" s="7" t="n"/>
      <c r="V1227" s="14" t="n"/>
      <c r="Z1227">
        <f>IF($B1227="","",IF(COUNTIF($B$2:$B1227,$B1227)=1,1,0))</f>
        <v/>
      </c>
      <c r="AA1227">
        <f>IF($Z1227=1,SUMPRODUCT(--($AC$2:$AC$3001&lt;$AC1227))+1,"")</f>
        <v/>
      </c>
      <c r="AB1227">
        <f>IF($B1227="","",IF(OR($Y1227=TRUE(),$Y1227="TRUE"),1,IF(AND($Y1227&lt;&gt;"",OR($Y1227=FALSE(),$Y1227="FALSE")),0,IF(MIN(ABS($X1227/100-Settings!$C$6),ABS($X1227/100-Settings!$G$6))&lt;=MIN(ABS($X1227/100-Settings!$C$7),ABS($X1227/100-Settings!$G$7)),1,0))))</f>
        <v/>
      </c>
      <c r="AC1227">
        <f>IF($Z1227=1,IFERROR(IF(VALUE($B1227)&lt;100000000,VALUE($B1227),1000000000),IFERROR(IF(VALUE(MID($B1227,2,20))&lt;100000000,VALUE(MID($B1227,2,20)),1000000000),1000000000))+ROW()/100000,"")</f>
        <v/>
      </c>
    </row>
    <row r="1228">
      <c r="A1228">
        <f>IF($B1228="","",IFERROR(IF(INDEX('Per Invoice'!$A$2:$A$801,MATCH($B1228,'Per Invoice'!$B$2:$B$801,0))=0,"",INDEX('Per Invoice'!$A$2:$A$801,MATCH($B1228,'Per Invoice'!$B$2:$B$801,0))),""))</f>
        <v/>
      </c>
      <c r="J1228" s="7">
        <f>IF($B1228="","",I1228*Q1228/100)</f>
        <v/>
      </c>
      <c r="N1228" s="7" t="n"/>
      <c r="O1228" s="7" t="n"/>
      <c r="P1228" s="7">
        <f>IF($B1228="","",O1228*X1228/100)</f>
        <v/>
      </c>
      <c r="Q1228" s="7">
        <f>IF($B1228="","",O1228-P1228)</f>
        <v/>
      </c>
      <c r="R1228" s="7">
        <f>IF($B1228="","",Q1228-J1228)</f>
        <v/>
      </c>
      <c r="S1228" s="7" t="n"/>
      <c r="T1228" s="7" t="n"/>
      <c r="V1228" s="14" t="n"/>
      <c r="Z1228">
        <f>IF($B1228="","",IF(COUNTIF($B$2:$B1228,$B1228)=1,1,0))</f>
        <v/>
      </c>
      <c r="AA1228">
        <f>IF($Z1228=1,SUMPRODUCT(--($AC$2:$AC$3001&lt;$AC1228))+1,"")</f>
        <v/>
      </c>
      <c r="AB1228">
        <f>IF($B1228="","",IF(OR($Y1228=TRUE(),$Y1228="TRUE"),1,IF(AND($Y1228&lt;&gt;"",OR($Y1228=FALSE(),$Y1228="FALSE")),0,IF(MIN(ABS($X1228/100-Settings!$C$6),ABS($X1228/100-Settings!$G$6))&lt;=MIN(ABS($X1228/100-Settings!$C$7),ABS($X1228/100-Settings!$G$7)),1,0))))</f>
        <v/>
      </c>
      <c r="AC1228">
        <f>IF($Z1228=1,IFERROR(IF(VALUE($B1228)&lt;100000000,VALUE($B1228),1000000000),IFERROR(IF(VALUE(MID($B1228,2,20))&lt;100000000,VALUE(MID($B1228,2,20)),1000000000),1000000000))+ROW()/100000,"")</f>
        <v/>
      </c>
    </row>
    <row r="1229">
      <c r="A1229">
        <f>IF($B1229="","",IFERROR(IF(INDEX('Per Invoice'!$A$2:$A$801,MATCH($B1229,'Per Invoice'!$B$2:$B$801,0))=0,"",INDEX('Per Invoice'!$A$2:$A$801,MATCH($B1229,'Per Invoice'!$B$2:$B$801,0))),""))</f>
        <v/>
      </c>
      <c r="J1229" s="7">
        <f>IF($B1229="","",I1229*Q1229/100)</f>
        <v/>
      </c>
      <c r="N1229" s="7" t="n"/>
      <c r="O1229" s="7" t="n"/>
      <c r="P1229" s="7">
        <f>IF($B1229="","",O1229*X1229/100)</f>
        <v/>
      </c>
      <c r="Q1229" s="7">
        <f>IF($B1229="","",O1229-P1229)</f>
        <v/>
      </c>
      <c r="R1229" s="7">
        <f>IF($B1229="","",Q1229-J1229)</f>
        <v/>
      </c>
      <c r="S1229" s="7" t="n"/>
      <c r="T1229" s="7" t="n"/>
      <c r="V1229" s="14" t="n"/>
      <c r="Z1229">
        <f>IF($B1229="","",IF(COUNTIF($B$2:$B1229,$B1229)=1,1,0))</f>
        <v/>
      </c>
      <c r="AA1229">
        <f>IF($Z1229=1,SUMPRODUCT(--($AC$2:$AC$3001&lt;$AC1229))+1,"")</f>
        <v/>
      </c>
      <c r="AB1229">
        <f>IF($B1229="","",IF(OR($Y1229=TRUE(),$Y1229="TRUE"),1,IF(AND($Y1229&lt;&gt;"",OR($Y1229=FALSE(),$Y1229="FALSE")),0,IF(MIN(ABS($X1229/100-Settings!$C$6),ABS($X1229/100-Settings!$G$6))&lt;=MIN(ABS($X1229/100-Settings!$C$7),ABS($X1229/100-Settings!$G$7)),1,0))))</f>
        <v/>
      </c>
      <c r="AC1229">
        <f>IF($Z1229=1,IFERROR(IF(VALUE($B1229)&lt;100000000,VALUE($B1229),1000000000),IFERROR(IF(VALUE(MID($B1229,2,20))&lt;100000000,VALUE(MID($B1229,2,20)),1000000000),1000000000))+ROW()/100000,"")</f>
        <v/>
      </c>
    </row>
    <row r="1230">
      <c r="A1230">
        <f>IF($B1230="","",IFERROR(IF(INDEX('Per Invoice'!$A$2:$A$801,MATCH($B1230,'Per Invoice'!$B$2:$B$801,0))=0,"",INDEX('Per Invoice'!$A$2:$A$801,MATCH($B1230,'Per Invoice'!$B$2:$B$801,0))),""))</f>
        <v/>
      </c>
      <c r="J1230" s="7">
        <f>IF($B1230="","",I1230*Q1230/100)</f>
        <v/>
      </c>
      <c r="N1230" s="7" t="n"/>
      <c r="O1230" s="7" t="n"/>
      <c r="P1230" s="7">
        <f>IF($B1230="","",O1230*X1230/100)</f>
        <v/>
      </c>
      <c r="Q1230" s="7">
        <f>IF($B1230="","",O1230-P1230)</f>
        <v/>
      </c>
      <c r="R1230" s="7">
        <f>IF($B1230="","",Q1230-J1230)</f>
        <v/>
      </c>
      <c r="S1230" s="7" t="n"/>
      <c r="T1230" s="7" t="n"/>
      <c r="V1230" s="14" t="n"/>
      <c r="Z1230">
        <f>IF($B1230="","",IF(COUNTIF($B$2:$B1230,$B1230)=1,1,0))</f>
        <v/>
      </c>
      <c r="AA1230">
        <f>IF($Z1230=1,SUMPRODUCT(--($AC$2:$AC$3001&lt;$AC1230))+1,"")</f>
        <v/>
      </c>
      <c r="AB1230">
        <f>IF($B1230="","",IF(OR($Y1230=TRUE(),$Y1230="TRUE"),1,IF(AND($Y1230&lt;&gt;"",OR($Y1230=FALSE(),$Y1230="FALSE")),0,IF(MIN(ABS($X1230/100-Settings!$C$6),ABS($X1230/100-Settings!$G$6))&lt;=MIN(ABS($X1230/100-Settings!$C$7),ABS($X1230/100-Settings!$G$7)),1,0))))</f>
        <v/>
      </c>
      <c r="AC1230">
        <f>IF($Z1230=1,IFERROR(IF(VALUE($B1230)&lt;100000000,VALUE($B1230),1000000000),IFERROR(IF(VALUE(MID($B1230,2,20))&lt;100000000,VALUE(MID($B1230,2,20)),1000000000),1000000000))+ROW()/100000,"")</f>
        <v/>
      </c>
    </row>
    <row r="1231">
      <c r="A1231">
        <f>IF($B1231="","",IFERROR(IF(INDEX('Per Invoice'!$A$2:$A$801,MATCH($B1231,'Per Invoice'!$B$2:$B$801,0))=0,"",INDEX('Per Invoice'!$A$2:$A$801,MATCH($B1231,'Per Invoice'!$B$2:$B$801,0))),""))</f>
        <v/>
      </c>
      <c r="J1231" s="7">
        <f>IF($B1231="","",I1231*Q1231/100)</f>
        <v/>
      </c>
      <c r="N1231" s="7" t="n"/>
      <c r="O1231" s="7" t="n"/>
      <c r="P1231" s="7">
        <f>IF($B1231="","",O1231*X1231/100)</f>
        <v/>
      </c>
      <c r="Q1231" s="7">
        <f>IF($B1231="","",O1231-P1231)</f>
        <v/>
      </c>
      <c r="R1231" s="7">
        <f>IF($B1231="","",Q1231-J1231)</f>
        <v/>
      </c>
      <c r="S1231" s="7" t="n"/>
      <c r="T1231" s="7" t="n"/>
      <c r="V1231" s="14" t="n"/>
      <c r="Z1231">
        <f>IF($B1231="","",IF(COUNTIF($B$2:$B1231,$B1231)=1,1,0))</f>
        <v/>
      </c>
      <c r="AA1231">
        <f>IF($Z1231=1,SUMPRODUCT(--($AC$2:$AC$3001&lt;$AC1231))+1,"")</f>
        <v/>
      </c>
      <c r="AB1231">
        <f>IF($B1231="","",IF(OR($Y1231=TRUE(),$Y1231="TRUE"),1,IF(AND($Y1231&lt;&gt;"",OR($Y1231=FALSE(),$Y1231="FALSE")),0,IF(MIN(ABS($X1231/100-Settings!$C$6),ABS($X1231/100-Settings!$G$6))&lt;=MIN(ABS($X1231/100-Settings!$C$7),ABS($X1231/100-Settings!$G$7)),1,0))))</f>
        <v/>
      </c>
      <c r="AC1231">
        <f>IF($Z1231=1,IFERROR(IF(VALUE($B1231)&lt;100000000,VALUE($B1231),1000000000),IFERROR(IF(VALUE(MID($B1231,2,20))&lt;100000000,VALUE(MID($B1231,2,20)),1000000000),1000000000))+ROW()/100000,"")</f>
        <v/>
      </c>
    </row>
    <row r="1232">
      <c r="A1232">
        <f>IF($B1232="","",IFERROR(IF(INDEX('Per Invoice'!$A$2:$A$801,MATCH($B1232,'Per Invoice'!$B$2:$B$801,0))=0,"",INDEX('Per Invoice'!$A$2:$A$801,MATCH($B1232,'Per Invoice'!$B$2:$B$801,0))),""))</f>
        <v/>
      </c>
      <c r="J1232" s="7">
        <f>IF($B1232="","",I1232*Q1232/100)</f>
        <v/>
      </c>
      <c r="N1232" s="7" t="n"/>
      <c r="O1232" s="7" t="n"/>
      <c r="P1232" s="7">
        <f>IF($B1232="","",O1232*X1232/100)</f>
        <v/>
      </c>
      <c r="Q1232" s="7">
        <f>IF($B1232="","",O1232-P1232)</f>
        <v/>
      </c>
      <c r="R1232" s="7">
        <f>IF($B1232="","",Q1232-J1232)</f>
        <v/>
      </c>
      <c r="S1232" s="7" t="n"/>
      <c r="T1232" s="7" t="n"/>
      <c r="V1232" s="14" t="n"/>
      <c r="Z1232">
        <f>IF($B1232="","",IF(COUNTIF($B$2:$B1232,$B1232)=1,1,0))</f>
        <v/>
      </c>
      <c r="AA1232">
        <f>IF($Z1232=1,SUMPRODUCT(--($AC$2:$AC$3001&lt;$AC1232))+1,"")</f>
        <v/>
      </c>
      <c r="AB1232">
        <f>IF($B1232="","",IF(OR($Y1232=TRUE(),$Y1232="TRUE"),1,IF(AND($Y1232&lt;&gt;"",OR($Y1232=FALSE(),$Y1232="FALSE")),0,IF(MIN(ABS($X1232/100-Settings!$C$6),ABS($X1232/100-Settings!$G$6))&lt;=MIN(ABS($X1232/100-Settings!$C$7),ABS($X1232/100-Settings!$G$7)),1,0))))</f>
        <v/>
      </c>
      <c r="AC1232">
        <f>IF($Z1232=1,IFERROR(IF(VALUE($B1232)&lt;100000000,VALUE($B1232),1000000000),IFERROR(IF(VALUE(MID($B1232,2,20))&lt;100000000,VALUE(MID($B1232,2,20)),1000000000),1000000000))+ROW()/100000,"")</f>
        <v/>
      </c>
    </row>
    <row r="1233">
      <c r="A1233">
        <f>IF($B1233="","",IFERROR(IF(INDEX('Per Invoice'!$A$2:$A$801,MATCH($B1233,'Per Invoice'!$B$2:$B$801,0))=0,"",INDEX('Per Invoice'!$A$2:$A$801,MATCH($B1233,'Per Invoice'!$B$2:$B$801,0))),""))</f>
        <v/>
      </c>
      <c r="J1233" s="7">
        <f>IF($B1233="","",I1233*Q1233/100)</f>
        <v/>
      </c>
      <c r="N1233" s="7" t="n"/>
      <c r="O1233" s="7" t="n"/>
      <c r="P1233" s="7">
        <f>IF($B1233="","",O1233*X1233/100)</f>
        <v/>
      </c>
      <c r="Q1233" s="7">
        <f>IF($B1233="","",O1233-P1233)</f>
        <v/>
      </c>
      <c r="R1233" s="7">
        <f>IF($B1233="","",Q1233-J1233)</f>
        <v/>
      </c>
      <c r="S1233" s="7" t="n"/>
      <c r="T1233" s="7" t="n"/>
      <c r="V1233" s="14" t="n"/>
      <c r="Z1233">
        <f>IF($B1233="","",IF(COUNTIF($B$2:$B1233,$B1233)=1,1,0))</f>
        <v/>
      </c>
      <c r="AA1233">
        <f>IF($Z1233=1,SUMPRODUCT(--($AC$2:$AC$3001&lt;$AC1233))+1,"")</f>
        <v/>
      </c>
      <c r="AB1233">
        <f>IF($B1233="","",IF(OR($Y1233=TRUE(),$Y1233="TRUE"),1,IF(AND($Y1233&lt;&gt;"",OR($Y1233=FALSE(),$Y1233="FALSE")),0,IF(MIN(ABS($X1233/100-Settings!$C$6),ABS($X1233/100-Settings!$G$6))&lt;=MIN(ABS($X1233/100-Settings!$C$7),ABS($X1233/100-Settings!$G$7)),1,0))))</f>
        <v/>
      </c>
      <c r="AC1233">
        <f>IF($Z1233=1,IFERROR(IF(VALUE($B1233)&lt;100000000,VALUE($B1233),1000000000),IFERROR(IF(VALUE(MID($B1233,2,20))&lt;100000000,VALUE(MID($B1233,2,20)),1000000000),1000000000))+ROW()/100000,"")</f>
        <v/>
      </c>
    </row>
    <row r="1234">
      <c r="A1234">
        <f>IF($B1234="","",IFERROR(IF(INDEX('Per Invoice'!$A$2:$A$801,MATCH($B1234,'Per Invoice'!$B$2:$B$801,0))=0,"",INDEX('Per Invoice'!$A$2:$A$801,MATCH($B1234,'Per Invoice'!$B$2:$B$801,0))),""))</f>
        <v/>
      </c>
      <c r="J1234" s="7">
        <f>IF($B1234="","",I1234*Q1234/100)</f>
        <v/>
      </c>
      <c r="N1234" s="7" t="n"/>
      <c r="O1234" s="7" t="n"/>
      <c r="P1234" s="7">
        <f>IF($B1234="","",O1234*X1234/100)</f>
        <v/>
      </c>
      <c r="Q1234" s="7">
        <f>IF($B1234="","",O1234-P1234)</f>
        <v/>
      </c>
      <c r="R1234" s="7">
        <f>IF($B1234="","",Q1234-J1234)</f>
        <v/>
      </c>
      <c r="S1234" s="7" t="n"/>
      <c r="T1234" s="7" t="n"/>
      <c r="V1234" s="14" t="n"/>
      <c r="Z1234">
        <f>IF($B1234="","",IF(COUNTIF($B$2:$B1234,$B1234)=1,1,0))</f>
        <v/>
      </c>
      <c r="AA1234">
        <f>IF($Z1234=1,SUMPRODUCT(--($AC$2:$AC$3001&lt;$AC1234))+1,"")</f>
        <v/>
      </c>
      <c r="AB1234">
        <f>IF($B1234="","",IF(OR($Y1234=TRUE(),$Y1234="TRUE"),1,IF(AND($Y1234&lt;&gt;"",OR($Y1234=FALSE(),$Y1234="FALSE")),0,IF(MIN(ABS($X1234/100-Settings!$C$6),ABS($X1234/100-Settings!$G$6))&lt;=MIN(ABS($X1234/100-Settings!$C$7),ABS($X1234/100-Settings!$G$7)),1,0))))</f>
        <v/>
      </c>
      <c r="AC1234">
        <f>IF($Z1234=1,IFERROR(IF(VALUE($B1234)&lt;100000000,VALUE($B1234),1000000000),IFERROR(IF(VALUE(MID($B1234,2,20))&lt;100000000,VALUE(MID($B1234,2,20)),1000000000),1000000000))+ROW()/100000,"")</f>
        <v/>
      </c>
    </row>
    <row r="1235">
      <c r="A1235">
        <f>IF($B1235="","",IFERROR(IF(INDEX('Per Invoice'!$A$2:$A$801,MATCH($B1235,'Per Invoice'!$B$2:$B$801,0))=0,"",INDEX('Per Invoice'!$A$2:$A$801,MATCH($B1235,'Per Invoice'!$B$2:$B$801,0))),""))</f>
        <v/>
      </c>
      <c r="J1235" s="7">
        <f>IF($B1235="","",I1235*Q1235/100)</f>
        <v/>
      </c>
      <c r="N1235" s="7" t="n"/>
      <c r="O1235" s="7" t="n"/>
      <c r="P1235" s="7">
        <f>IF($B1235="","",O1235*X1235/100)</f>
        <v/>
      </c>
      <c r="Q1235" s="7">
        <f>IF($B1235="","",O1235-P1235)</f>
        <v/>
      </c>
      <c r="R1235" s="7">
        <f>IF($B1235="","",Q1235-J1235)</f>
        <v/>
      </c>
      <c r="S1235" s="7" t="n"/>
      <c r="T1235" s="7" t="n"/>
      <c r="V1235" s="14" t="n"/>
      <c r="Z1235">
        <f>IF($B1235="","",IF(COUNTIF($B$2:$B1235,$B1235)=1,1,0))</f>
        <v/>
      </c>
      <c r="AA1235">
        <f>IF($Z1235=1,SUMPRODUCT(--($AC$2:$AC$3001&lt;$AC1235))+1,"")</f>
        <v/>
      </c>
      <c r="AB1235">
        <f>IF($B1235="","",IF(OR($Y1235=TRUE(),$Y1235="TRUE"),1,IF(AND($Y1235&lt;&gt;"",OR($Y1235=FALSE(),$Y1235="FALSE")),0,IF(MIN(ABS($X1235/100-Settings!$C$6),ABS($X1235/100-Settings!$G$6))&lt;=MIN(ABS($X1235/100-Settings!$C$7),ABS($X1235/100-Settings!$G$7)),1,0))))</f>
        <v/>
      </c>
      <c r="AC1235">
        <f>IF($Z1235=1,IFERROR(IF(VALUE($B1235)&lt;100000000,VALUE($B1235),1000000000),IFERROR(IF(VALUE(MID($B1235,2,20))&lt;100000000,VALUE(MID($B1235,2,20)),1000000000),1000000000))+ROW()/100000,"")</f>
        <v/>
      </c>
    </row>
    <row r="1236">
      <c r="A1236">
        <f>IF($B1236="","",IFERROR(IF(INDEX('Per Invoice'!$A$2:$A$801,MATCH($B1236,'Per Invoice'!$B$2:$B$801,0))=0,"",INDEX('Per Invoice'!$A$2:$A$801,MATCH($B1236,'Per Invoice'!$B$2:$B$801,0))),""))</f>
        <v/>
      </c>
      <c r="J1236" s="7">
        <f>IF($B1236="","",I1236*Q1236/100)</f>
        <v/>
      </c>
      <c r="N1236" s="7" t="n"/>
      <c r="O1236" s="7" t="n"/>
      <c r="P1236" s="7">
        <f>IF($B1236="","",O1236*X1236/100)</f>
        <v/>
      </c>
      <c r="Q1236" s="7">
        <f>IF($B1236="","",O1236-P1236)</f>
        <v/>
      </c>
      <c r="R1236" s="7">
        <f>IF($B1236="","",Q1236-J1236)</f>
        <v/>
      </c>
      <c r="S1236" s="7" t="n"/>
      <c r="T1236" s="7" t="n"/>
      <c r="V1236" s="14" t="n"/>
      <c r="Z1236">
        <f>IF($B1236="","",IF(COUNTIF($B$2:$B1236,$B1236)=1,1,0))</f>
        <v/>
      </c>
      <c r="AA1236">
        <f>IF($Z1236=1,SUMPRODUCT(--($AC$2:$AC$3001&lt;$AC1236))+1,"")</f>
        <v/>
      </c>
      <c r="AB1236">
        <f>IF($B1236="","",IF(OR($Y1236=TRUE(),$Y1236="TRUE"),1,IF(AND($Y1236&lt;&gt;"",OR($Y1236=FALSE(),$Y1236="FALSE")),0,IF(MIN(ABS($X1236/100-Settings!$C$6),ABS($X1236/100-Settings!$G$6))&lt;=MIN(ABS($X1236/100-Settings!$C$7),ABS($X1236/100-Settings!$G$7)),1,0))))</f>
        <v/>
      </c>
      <c r="AC1236">
        <f>IF($Z1236=1,IFERROR(IF(VALUE($B1236)&lt;100000000,VALUE($B1236),1000000000),IFERROR(IF(VALUE(MID($B1236,2,20))&lt;100000000,VALUE(MID($B1236,2,20)),1000000000),1000000000))+ROW()/100000,"")</f>
        <v/>
      </c>
    </row>
    <row r="1237">
      <c r="A1237">
        <f>IF($B1237="","",IFERROR(IF(INDEX('Per Invoice'!$A$2:$A$801,MATCH($B1237,'Per Invoice'!$B$2:$B$801,0))=0,"",INDEX('Per Invoice'!$A$2:$A$801,MATCH($B1237,'Per Invoice'!$B$2:$B$801,0))),""))</f>
        <v/>
      </c>
      <c r="J1237" s="7">
        <f>IF($B1237="","",I1237*Q1237/100)</f>
        <v/>
      </c>
      <c r="N1237" s="7" t="n"/>
      <c r="O1237" s="7" t="n"/>
      <c r="P1237" s="7">
        <f>IF($B1237="","",O1237*X1237/100)</f>
        <v/>
      </c>
      <c r="Q1237" s="7">
        <f>IF($B1237="","",O1237-P1237)</f>
        <v/>
      </c>
      <c r="R1237" s="7">
        <f>IF($B1237="","",Q1237-J1237)</f>
        <v/>
      </c>
      <c r="S1237" s="7" t="n"/>
      <c r="T1237" s="7" t="n"/>
      <c r="V1237" s="14" t="n"/>
      <c r="Z1237">
        <f>IF($B1237="","",IF(COUNTIF($B$2:$B1237,$B1237)=1,1,0))</f>
        <v/>
      </c>
      <c r="AA1237">
        <f>IF($Z1237=1,SUMPRODUCT(--($AC$2:$AC$3001&lt;$AC1237))+1,"")</f>
        <v/>
      </c>
      <c r="AB1237">
        <f>IF($B1237="","",IF(OR($Y1237=TRUE(),$Y1237="TRUE"),1,IF(AND($Y1237&lt;&gt;"",OR($Y1237=FALSE(),$Y1237="FALSE")),0,IF(MIN(ABS($X1237/100-Settings!$C$6),ABS($X1237/100-Settings!$G$6))&lt;=MIN(ABS($X1237/100-Settings!$C$7),ABS($X1237/100-Settings!$G$7)),1,0))))</f>
        <v/>
      </c>
      <c r="AC1237">
        <f>IF($Z1237=1,IFERROR(IF(VALUE($B1237)&lt;100000000,VALUE($B1237),1000000000),IFERROR(IF(VALUE(MID($B1237,2,20))&lt;100000000,VALUE(MID($B1237,2,20)),1000000000),1000000000))+ROW()/100000,"")</f>
        <v/>
      </c>
    </row>
    <row r="1238">
      <c r="A1238">
        <f>IF($B1238="","",IFERROR(IF(INDEX('Per Invoice'!$A$2:$A$801,MATCH($B1238,'Per Invoice'!$B$2:$B$801,0))=0,"",INDEX('Per Invoice'!$A$2:$A$801,MATCH($B1238,'Per Invoice'!$B$2:$B$801,0))),""))</f>
        <v/>
      </c>
      <c r="J1238" s="7">
        <f>IF($B1238="","",I1238*Q1238/100)</f>
        <v/>
      </c>
      <c r="N1238" s="7" t="n"/>
      <c r="O1238" s="7" t="n"/>
      <c r="P1238" s="7">
        <f>IF($B1238="","",O1238*X1238/100)</f>
        <v/>
      </c>
      <c r="Q1238" s="7">
        <f>IF($B1238="","",O1238-P1238)</f>
        <v/>
      </c>
      <c r="R1238" s="7">
        <f>IF($B1238="","",Q1238-J1238)</f>
        <v/>
      </c>
      <c r="S1238" s="7" t="n"/>
      <c r="T1238" s="7" t="n"/>
      <c r="V1238" s="14" t="n"/>
      <c r="Z1238">
        <f>IF($B1238="","",IF(COUNTIF($B$2:$B1238,$B1238)=1,1,0))</f>
        <v/>
      </c>
      <c r="AA1238">
        <f>IF($Z1238=1,SUMPRODUCT(--($AC$2:$AC$3001&lt;$AC1238))+1,"")</f>
        <v/>
      </c>
      <c r="AB1238">
        <f>IF($B1238="","",IF(OR($Y1238=TRUE(),$Y1238="TRUE"),1,IF(AND($Y1238&lt;&gt;"",OR($Y1238=FALSE(),$Y1238="FALSE")),0,IF(MIN(ABS($X1238/100-Settings!$C$6),ABS($X1238/100-Settings!$G$6))&lt;=MIN(ABS($X1238/100-Settings!$C$7),ABS($X1238/100-Settings!$G$7)),1,0))))</f>
        <v/>
      </c>
      <c r="AC1238">
        <f>IF($Z1238=1,IFERROR(IF(VALUE($B1238)&lt;100000000,VALUE($B1238),1000000000),IFERROR(IF(VALUE(MID($B1238,2,20))&lt;100000000,VALUE(MID($B1238,2,20)),1000000000),1000000000))+ROW()/100000,"")</f>
        <v/>
      </c>
    </row>
    <row r="1239">
      <c r="A1239">
        <f>IF($B1239="","",IFERROR(IF(INDEX('Per Invoice'!$A$2:$A$801,MATCH($B1239,'Per Invoice'!$B$2:$B$801,0))=0,"",INDEX('Per Invoice'!$A$2:$A$801,MATCH($B1239,'Per Invoice'!$B$2:$B$801,0))),""))</f>
        <v/>
      </c>
      <c r="J1239" s="7">
        <f>IF($B1239="","",I1239*Q1239/100)</f>
        <v/>
      </c>
      <c r="N1239" s="7" t="n"/>
      <c r="O1239" s="7" t="n"/>
      <c r="P1239" s="7">
        <f>IF($B1239="","",O1239*X1239/100)</f>
        <v/>
      </c>
      <c r="Q1239" s="7">
        <f>IF($B1239="","",O1239-P1239)</f>
        <v/>
      </c>
      <c r="R1239" s="7">
        <f>IF($B1239="","",Q1239-J1239)</f>
        <v/>
      </c>
      <c r="S1239" s="7" t="n"/>
      <c r="T1239" s="7" t="n"/>
      <c r="V1239" s="14" t="n"/>
      <c r="Z1239">
        <f>IF($B1239="","",IF(COUNTIF($B$2:$B1239,$B1239)=1,1,0))</f>
        <v/>
      </c>
      <c r="AA1239">
        <f>IF($Z1239=1,SUMPRODUCT(--($AC$2:$AC$3001&lt;$AC1239))+1,"")</f>
        <v/>
      </c>
      <c r="AB1239">
        <f>IF($B1239="","",IF(OR($Y1239=TRUE(),$Y1239="TRUE"),1,IF(AND($Y1239&lt;&gt;"",OR($Y1239=FALSE(),$Y1239="FALSE")),0,IF(MIN(ABS($X1239/100-Settings!$C$6),ABS($X1239/100-Settings!$G$6))&lt;=MIN(ABS($X1239/100-Settings!$C$7),ABS($X1239/100-Settings!$G$7)),1,0))))</f>
        <v/>
      </c>
      <c r="AC1239">
        <f>IF($Z1239=1,IFERROR(IF(VALUE($B1239)&lt;100000000,VALUE($B1239),1000000000),IFERROR(IF(VALUE(MID($B1239,2,20))&lt;100000000,VALUE(MID($B1239,2,20)),1000000000),1000000000))+ROW()/100000,"")</f>
        <v/>
      </c>
    </row>
    <row r="1240">
      <c r="A1240">
        <f>IF($B1240="","",IFERROR(IF(INDEX('Per Invoice'!$A$2:$A$801,MATCH($B1240,'Per Invoice'!$B$2:$B$801,0))=0,"",INDEX('Per Invoice'!$A$2:$A$801,MATCH($B1240,'Per Invoice'!$B$2:$B$801,0))),""))</f>
        <v/>
      </c>
      <c r="J1240" s="7">
        <f>IF($B1240="","",I1240*Q1240/100)</f>
        <v/>
      </c>
      <c r="N1240" s="7" t="n"/>
      <c r="O1240" s="7" t="n"/>
      <c r="P1240" s="7">
        <f>IF($B1240="","",O1240*X1240/100)</f>
        <v/>
      </c>
      <c r="Q1240" s="7">
        <f>IF($B1240="","",O1240-P1240)</f>
        <v/>
      </c>
      <c r="R1240" s="7">
        <f>IF($B1240="","",Q1240-J1240)</f>
        <v/>
      </c>
      <c r="S1240" s="7" t="n"/>
      <c r="T1240" s="7" t="n"/>
      <c r="V1240" s="14" t="n"/>
      <c r="Z1240">
        <f>IF($B1240="","",IF(COUNTIF($B$2:$B1240,$B1240)=1,1,0))</f>
        <v/>
      </c>
      <c r="AA1240">
        <f>IF($Z1240=1,SUMPRODUCT(--($AC$2:$AC$3001&lt;$AC1240))+1,"")</f>
        <v/>
      </c>
      <c r="AB1240">
        <f>IF($B1240="","",IF(OR($Y1240=TRUE(),$Y1240="TRUE"),1,IF(AND($Y1240&lt;&gt;"",OR($Y1240=FALSE(),$Y1240="FALSE")),0,IF(MIN(ABS($X1240/100-Settings!$C$6),ABS($X1240/100-Settings!$G$6))&lt;=MIN(ABS($X1240/100-Settings!$C$7),ABS($X1240/100-Settings!$G$7)),1,0))))</f>
        <v/>
      </c>
      <c r="AC1240">
        <f>IF($Z1240=1,IFERROR(IF(VALUE($B1240)&lt;100000000,VALUE($B1240),1000000000),IFERROR(IF(VALUE(MID($B1240,2,20))&lt;100000000,VALUE(MID($B1240,2,20)),1000000000),1000000000))+ROW()/100000,"")</f>
        <v/>
      </c>
    </row>
    <row r="1241">
      <c r="A1241">
        <f>IF($B1241="","",IFERROR(IF(INDEX('Per Invoice'!$A$2:$A$801,MATCH($B1241,'Per Invoice'!$B$2:$B$801,0))=0,"",INDEX('Per Invoice'!$A$2:$A$801,MATCH($B1241,'Per Invoice'!$B$2:$B$801,0))),""))</f>
        <v/>
      </c>
      <c r="J1241" s="7">
        <f>IF($B1241="","",I1241*Q1241/100)</f>
        <v/>
      </c>
      <c r="N1241" s="7" t="n"/>
      <c r="O1241" s="7" t="n"/>
      <c r="P1241" s="7">
        <f>IF($B1241="","",O1241*X1241/100)</f>
        <v/>
      </c>
      <c r="Q1241" s="7">
        <f>IF($B1241="","",O1241-P1241)</f>
        <v/>
      </c>
      <c r="R1241" s="7">
        <f>IF($B1241="","",Q1241-J1241)</f>
        <v/>
      </c>
      <c r="S1241" s="7" t="n"/>
      <c r="T1241" s="7" t="n"/>
      <c r="V1241" s="14" t="n"/>
      <c r="Z1241">
        <f>IF($B1241="","",IF(COUNTIF($B$2:$B1241,$B1241)=1,1,0))</f>
        <v/>
      </c>
      <c r="AA1241">
        <f>IF($Z1241=1,SUMPRODUCT(--($AC$2:$AC$3001&lt;$AC1241))+1,"")</f>
        <v/>
      </c>
      <c r="AB1241">
        <f>IF($B1241="","",IF(OR($Y1241=TRUE(),$Y1241="TRUE"),1,IF(AND($Y1241&lt;&gt;"",OR($Y1241=FALSE(),$Y1241="FALSE")),0,IF(MIN(ABS($X1241/100-Settings!$C$6),ABS($X1241/100-Settings!$G$6))&lt;=MIN(ABS($X1241/100-Settings!$C$7),ABS($X1241/100-Settings!$G$7)),1,0))))</f>
        <v/>
      </c>
      <c r="AC1241">
        <f>IF($Z1241=1,IFERROR(IF(VALUE($B1241)&lt;100000000,VALUE($B1241),1000000000),IFERROR(IF(VALUE(MID($B1241,2,20))&lt;100000000,VALUE(MID($B1241,2,20)),1000000000),1000000000))+ROW()/100000,"")</f>
        <v/>
      </c>
    </row>
    <row r="1242">
      <c r="A1242">
        <f>IF($B1242="","",IFERROR(IF(INDEX('Per Invoice'!$A$2:$A$801,MATCH($B1242,'Per Invoice'!$B$2:$B$801,0))=0,"",INDEX('Per Invoice'!$A$2:$A$801,MATCH($B1242,'Per Invoice'!$B$2:$B$801,0))),""))</f>
        <v/>
      </c>
      <c r="J1242" s="7">
        <f>IF($B1242="","",I1242*Q1242/100)</f>
        <v/>
      </c>
      <c r="N1242" s="7" t="n"/>
      <c r="O1242" s="7" t="n"/>
      <c r="P1242" s="7">
        <f>IF($B1242="","",O1242*X1242/100)</f>
        <v/>
      </c>
      <c r="Q1242" s="7">
        <f>IF($B1242="","",O1242-P1242)</f>
        <v/>
      </c>
      <c r="R1242" s="7">
        <f>IF($B1242="","",Q1242-J1242)</f>
        <v/>
      </c>
      <c r="S1242" s="7" t="n"/>
      <c r="T1242" s="7" t="n"/>
      <c r="V1242" s="14" t="n"/>
      <c r="Z1242">
        <f>IF($B1242="","",IF(COUNTIF($B$2:$B1242,$B1242)=1,1,0))</f>
        <v/>
      </c>
      <c r="AA1242">
        <f>IF($Z1242=1,SUMPRODUCT(--($AC$2:$AC$3001&lt;$AC1242))+1,"")</f>
        <v/>
      </c>
      <c r="AB1242">
        <f>IF($B1242="","",IF(OR($Y1242=TRUE(),$Y1242="TRUE"),1,IF(AND($Y1242&lt;&gt;"",OR($Y1242=FALSE(),$Y1242="FALSE")),0,IF(MIN(ABS($X1242/100-Settings!$C$6),ABS($X1242/100-Settings!$G$6))&lt;=MIN(ABS($X1242/100-Settings!$C$7),ABS($X1242/100-Settings!$G$7)),1,0))))</f>
        <v/>
      </c>
      <c r="AC1242">
        <f>IF($Z1242=1,IFERROR(IF(VALUE($B1242)&lt;100000000,VALUE($B1242),1000000000),IFERROR(IF(VALUE(MID($B1242,2,20))&lt;100000000,VALUE(MID($B1242,2,20)),1000000000),1000000000))+ROW()/100000,"")</f>
        <v/>
      </c>
    </row>
    <row r="1243">
      <c r="A1243">
        <f>IF($B1243="","",IFERROR(IF(INDEX('Per Invoice'!$A$2:$A$801,MATCH($B1243,'Per Invoice'!$B$2:$B$801,0))=0,"",INDEX('Per Invoice'!$A$2:$A$801,MATCH($B1243,'Per Invoice'!$B$2:$B$801,0))),""))</f>
        <v/>
      </c>
      <c r="J1243" s="7">
        <f>IF($B1243="","",I1243*Q1243/100)</f>
        <v/>
      </c>
      <c r="N1243" s="7" t="n"/>
      <c r="O1243" s="7" t="n"/>
      <c r="P1243" s="7">
        <f>IF($B1243="","",O1243*X1243/100)</f>
        <v/>
      </c>
      <c r="Q1243" s="7">
        <f>IF($B1243="","",O1243-P1243)</f>
        <v/>
      </c>
      <c r="R1243" s="7">
        <f>IF($B1243="","",Q1243-J1243)</f>
        <v/>
      </c>
      <c r="S1243" s="7" t="n"/>
      <c r="T1243" s="7" t="n"/>
      <c r="V1243" s="14" t="n"/>
      <c r="Z1243">
        <f>IF($B1243="","",IF(COUNTIF($B$2:$B1243,$B1243)=1,1,0))</f>
        <v/>
      </c>
      <c r="AA1243">
        <f>IF($Z1243=1,SUMPRODUCT(--($AC$2:$AC$3001&lt;$AC1243))+1,"")</f>
        <v/>
      </c>
      <c r="AB1243">
        <f>IF($B1243="","",IF(OR($Y1243=TRUE(),$Y1243="TRUE"),1,IF(AND($Y1243&lt;&gt;"",OR($Y1243=FALSE(),$Y1243="FALSE")),0,IF(MIN(ABS($X1243/100-Settings!$C$6),ABS($X1243/100-Settings!$G$6))&lt;=MIN(ABS($X1243/100-Settings!$C$7),ABS($X1243/100-Settings!$G$7)),1,0))))</f>
        <v/>
      </c>
      <c r="AC1243">
        <f>IF($Z1243=1,IFERROR(IF(VALUE($B1243)&lt;100000000,VALUE($B1243),1000000000),IFERROR(IF(VALUE(MID($B1243,2,20))&lt;100000000,VALUE(MID($B1243,2,20)),1000000000),1000000000))+ROW()/100000,"")</f>
        <v/>
      </c>
    </row>
    <row r="1244">
      <c r="A1244">
        <f>IF($B1244="","",IFERROR(IF(INDEX('Per Invoice'!$A$2:$A$801,MATCH($B1244,'Per Invoice'!$B$2:$B$801,0))=0,"",INDEX('Per Invoice'!$A$2:$A$801,MATCH($B1244,'Per Invoice'!$B$2:$B$801,0))),""))</f>
        <v/>
      </c>
      <c r="J1244" s="7">
        <f>IF($B1244="","",I1244*Q1244/100)</f>
        <v/>
      </c>
      <c r="N1244" s="7" t="n"/>
      <c r="O1244" s="7" t="n"/>
      <c r="P1244" s="7">
        <f>IF($B1244="","",O1244*X1244/100)</f>
        <v/>
      </c>
      <c r="Q1244" s="7">
        <f>IF($B1244="","",O1244-P1244)</f>
        <v/>
      </c>
      <c r="R1244" s="7">
        <f>IF($B1244="","",Q1244-J1244)</f>
        <v/>
      </c>
      <c r="S1244" s="7" t="n"/>
      <c r="T1244" s="7" t="n"/>
      <c r="V1244" s="14" t="n"/>
      <c r="Z1244">
        <f>IF($B1244="","",IF(COUNTIF($B$2:$B1244,$B1244)=1,1,0))</f>
        <v/>
      </c>
      <c r="AA1244">
        <f>IF($Z1244=1,SUMPRODUCT(--($AC$2:$AC$3001&lt;$AC1244))+1,"")</f>
        <v/>
      </c>
      <c r="AB1244">
        <f>IF($B1244="","",IF(OR($Y1244=TRUE(),$Y1244="TRUE"),1,IF(AND($Y1244&lt;&gt;"",OR($Y1244=FALSE(),$Y1244="FALSE")),0,IF(MIN(ABS($X1244/100-Settings!$C$6),ABS($X1244/100-Settings!$G$6))&lt;=MIN(ABS($X1244/100-Settings!$C$7),ABS($X1244/100-Settings!$G$7)),1,0))))</f>
        <v/>
      </c>
      <c r="AC1244">
        <f>IF($Z1244=1,IFERROR(IF(VALUE($B1244)&lt;100000000,VALUE($B1244),1000000000),IFERROR(IF(VALUE(MID($B1244,2,20))&lt;100000000,VALUE(MID($B1244,2,20)),1000000000),1000000000))+ROW()/100000,"")</f>
        <v/>
      </c>
    </row>
    <row r="1245">
      <c r="A1245">
        <f>IF($B1245="","",IFERROR(IF(INDEX('Per Invoice'!$A$2:$A$801,MATCH($B1245,'Per Invoice'!$B$2:$B$801,0))=0,"",INDEX('Per Invoice'!$A$2:$A$801,MATCH($B1245,'Per Invoice'!$B$2:$B$801,0))),""))</f>
        <v/>
      </c>
      <c r="J1245" s="7">
        <f>IF($B1245="","",I1245*Q1245/100)</f>
        <v/>
      </c>
      <c r="N1245" s="7" t="n"/>
      <c r="O1245" s="7" t="n"/>
      <c r="P1245" s="7">
        <f>IF($B1245="","",O1245*X1245/100)</f>
        <v/>
      </c>
      <c r="Q1245" s="7">
        <f>IF($B1245="","",O1245-P1245)</f>
        <v/>
      </c>
      <c r="R1245" s="7">
        <f>IF($B1245="","",Q1245-J1245)</f>
        <v/>
      </c>
      <c r="S1245" s="7" t="n"/>
      <c r="T1245" s="7" t="n"/>
      <c r="V1245" s="14" t="n"/>
      <c r="Z1245">
        <f>IF($B1245="","",IF(COUNTIF($B$2:$B1245,$B1245)=1,1,0))</f>
        <v/>
      </c>
      <c r="AA1245">
        <f>IF($Z1245=1,SUMPRODUCT(--($AC$2:$AC$3001&lt;$AC1245))+1,"")</f>
        <v/>
      </c>
      <c r="AB1245">
        <f>IF($B1245="","",IF(OR($Y1245=TRUE(),$Y1245="TRUE"),1,IF(AND($Y1245&lt;&gt;"",OR($Y1245=FALSE(),$Y1245="FALSE")),0,IF(MIN(ABS($X1245/100-Settings!$C$6),ABS($X1245/100-Settings!$G$6))&lt;=MIN(ABS($X1245/100-Settings!$C$7),ABS($X1245/100-Settings!$G$7)),1,0))))</f>
        <v/>
      </c>
      <c r="AC1245">
        <f>IF($Z1245=1,IFERROR(IF(VALUE($B1245)&lt;100000000,VALUE($B1245),1000000000),IFERROR(IF(VALUE(MID($B1245,2,20))&lt;100000000,VALUE(MID($B1245,2,20)),1000000000),1000000000))+ROW()/100000,"")</f>
        <v/>
      </c>
    </row>
    <row r="1246">
      <c r="A1246">
        <f>IF($B1246="","",IFERROR(IF(INDEX('Per Invoice'!$A$2:$A$801,MATCH($B1246,'Per Invoice'!$B$2:$B$801,0))=0,"",INDEX('Per Invoice'!$A$2:$A$801,MATCH($B1246,'Per Invoice'!$B$2:$B$801,0))),""))</f>
        <v/>
      </c>
      <c r="J1246" s="7">
        <f>IF($B1246="","",I1246*Q1246/100)</f>
        <v/>
      </c>
      <c r="N1246" s="7" t="n"/>
      <c r="O1246" s="7" t="n"/>
      <c r="P1246" s="7">
        <f>IF($B1246="","",O1246*X1246/100)</f>
        <v/>
      </c>
      <c r="Q1246" s="7">
        <f>IF($B1246="","",O1246-P1246)</f>
        <v/>
      </c>
      <c r="R1246" s="7">
        <f>IF($B1246="","",Q1246-J1246)</f>
        <v/>
      </c>
      <c r="S1246" s="7" t="n"/>
      <c r="T1246" s="7" t="n"/>
      <c r="V1246" s="14" t="n"/>
      <c r="Z1246">
        <f>IF($B1246="","",IF(COUNTIF($B$2:$B1246,$B1246)=1,1,0))</f>
        <v/>
      </c>
      <c r="AA1246">
        <f>IF($Z1246=1,SUMPRODUCT(--($AC$2:$AC$3001&lt;$AC1246))+1,"")</f>
        <v/>
      </c>
      <c r="AB1246">
        <f>IF($B1246="","",IF(OR($Y1246=TRUE(),$Y1246="TRUE"),1,IF(AND($Y1246&lt;&gt;"",OR($Y1246=FALSE(),$Y1246="FALSE")),0,IF(MIN(ABS($X1246/100-Settings!$C$6),ABS($X1246/100-Settings!$G$6))&lt;=MIN(ABS($X1246/100-Settings!$C$7),ABS($X1246/100-Settings!$G$7)),1,0))))</f>
        <v/>
      </c>
      <c r="AC1246">
        <f>IF($Z1246=1,IFERROR(IF(VALUE($B1246)&lt;100000000,VALUE($B1246),1000000000),IFERROR(IF(VALUE(MID($B1246,2,20))&lt;100000000,VALUE(MID($B1246,2,20)),1000000000),1000000000))+ROW()/100000,"")</f>
        <v/>
      </c>
    </row>
    <row r="1247">
      <c r="A1247">
        <f>IF($B1247="","",IFERROR(IF(INDEX('Per Invoice'!$A$2:$A$801,MATCH($B1247,'Per Invoice'!$B$2:$B$801,0))=0,"",INDEX('Per Invoice'!$A$2:$A$801,MATCH($B1247,'Per Invoice'!$B$2:$B$801,0))),""))</f>
        <v/>
      </c>
      <c r="J1247" s="7">
        <f>IF($B1247="","",I1247*Q1247/100)</f>
        <v/>
      </c>
      <c r="N1247" s="7" t="n"/>
      <c r="O1247" s="7" t="n"/>
      <c r="P1247" s="7">
        <f>IF($B1247="","",O1247*X1247/100)</f>
        <v/>
      </c>
      <c r="Q1247" s="7">
        <f>IF($B1247="","",O1247-P1247)</f>
        <v/>
      </c>
      <c r="R1247" s="7">
        <f>IF($B1247="","",Q1247-J1247)</f>
        <v/>
      </c>
      <c r="S1247" s="7" t="n"/>
      <c r="T1247" s="7" t="n"/>
      <c r="V1247" s="14" t="n"/>
      <c r="Z1247">
        <f>IF($B1247="","",IF(COUNTIF($B$2:$B1247,$B1247)=1,1,0))</f>
        <v/>
      </c>
      <c r="AA1247">
        <f>IF($Z1247=1,SUMPRODUCT(--($AC$2:$AC$3001&lt;$AC1247))+1,"")</f>
        <v/>
      </c>
      <c r="AB1247">
        <f>IF($B1247="","",IF(OR($Y1247=TRUE(),$Y1247="TRUE"),1,IF(AND($Y1247&lt;&gt;"",OR($Y1247=FALSE(),$Y1247="FALSE")),0,IF(MIN(ABS($X1247/100-Settings!$C$6),ABS($X1247/100-Settings!$G$6))&lt;=MIN(ABS($X1247/100-Settings!$C$7),ABS($X1247/100-Settings!$G$7)),1,0))))</f>
        <v/>
      </c>
      <c r="AC1247">
        <f>IF($Z1247=1,IFERROR(IF(VALUE($B1247)&lt;100000000,VALUE($B1247),1000000000),IFERROR(IF(VALUE(MID($B1247,2,20))&lt;100000000,VALUE(MID($B1247,2,20)),1000000000),1000000000))+ROW()/100000,"")</f>
        <v/>
      </c>
    </row>
    <row r="1248">
      <c r="A1248">
        <f>IF($B1248="","",IFERROR(IF(INDEX('Per Invoice'!$A$2:$A$801,MATCH($B1248,'Per Invoice'!$B$2:$B$801,0))=0,"",INDEX('Per Invoice'!$A$2:$A$801,MATCH($B1248,'Per Invoice'!$B$2:$B$801,0))),""))</f>
        <v/>
      </c>
      <c r="J1248" s="7">
        <f>IF($B1248="","",I1248*Q1248/100)</f>
        <v/>
      </c>
      <c r="N1248" s="7" t="n"/>
      <c r="O1248" s="7" t="n"/>
      <c r="P1248" s="7">
        <f>IF($B1248="","",O1248*X1248/100)</f>
        <v/>
      </c>
      <c r="Q1248" s="7">
        <f>IF($B1248="","",O1248-P1248)</f>
        <v/>
      </c>
      <c r="R1248" s="7">
        <f>IF($B1248="","",Q1248-J1248)</f>
        <v/>
      </c>
      <c r="S1248" s="7" t="n"/>
      <c r="T1248" s="7" t="n"/>
      <c r="V1248" s="14" t="n"/>
      <c r="Z1248">
        <f>IF($B1248="","",IF(COUNTIF($B$2:$B1248,$B1248)=1,1,0))</f>
        <v/>
      </c>
      <c r="AA1248">
        <f>IF($Z1248=1,SUMPRODUCT(--($AC$2:$AC$3001&lt;$AC1248))+1,"")</f>
        <v/>
      </c>
      <c r="AB1248">
        <f>IF($B1248="","",IF(OR($Y1248=TRUE(),$Y1248="TRUE"),1,IF(AND($Y1248&lt;&gt;"",OR($Y1248=FALSE(),$Y1248="FALSE")),0,IF(MIN(ABS($X1248/100-Settings!$C$6),ABS($X1248/100-Settings!$G$6))&lt;=MIN(ABS($X1248/100-Settings!$C$7),ABS($X1248/100-Settings!$G$7)),1,0))))</f>
        <v/>
      </c>
      <c r="AC1248">
        <f>IF($Z1248=1,IFERROR(IF(VALUE($B1248)&lt;100000000,VALUE($B1248),1000000000),IFERROR(IF(VALUE(MID($B1248,2,20))&lt;100000000,VALUE(MID($B1248,2,20)),1000000000),1000000000))+ROW()/100000,"")</f>
        <v/>
      </c>
    </row>
    <row r="1249">
      <c r="A1249">
        <f>IF($B1249="","",IFERROR(IF(INDEX('Per Invoice'!$A$2:$A$801,MATCH($B1249,'Per Invoice'!$B$2:$B$801,0))=0,"",INDEX('Per Invoice'!$A$2:$A$801,MATCH($B1249,'Per Invoice'!$B$2:$B$801,0))),""))</f>
        <v/>
      </c>
      <c r="J1249" s="7">
        <f>IF($B1249="","",I1249*Q1249/100)</f>
        <v/>
      </c>
      <c r="N1249" s="7" t="n"/>
      <c r="O1249" s="7" t="n"/>
      <c r="P1249" s="7">
        <f>IF($B1249="","",O1249*X1249/100)</f>
        <v/>
      </c>
      <c r="Q1249" s="7">
        <f>IF($B1249="","",O1249-P1249)</f>
        <v/>
      </c>
      <c r="R1249" s="7">
        <f>IF($B1249="","",Q1249-J1249)</f>
        <v/>
      </c>
      <c r="S1249" s="7" t="n"/>
      <c r="T1249" s="7" t="n"/>
      <c r="V1249" s="14" t="n"/>
      <c r="Z1249">
        <f>IF($B1249="","",IF(COUNTIF($B$2:$B1249,$B1249)=1,1,0))</f>
        <v/>
      </c>
      <c r="AA1249">
        <f>IF($Z1249=1,SUMPRODUCT(--($AC$2:$AC$3001&lt;$AC1249))+1,"")</f>
        <v/>
      </c>
      <c r="AB1249">
        <f>IF($B1249="","",IF(OR($Y1249=TRUE(),$Y1249="TRUE"),1,IF(AND($Y1249&lt;&gt;"",OR($Y1249=FALSE(),$Y1249="FALSE")),0,IF(MIN(ABS($X1249/100-Settings!$C$6),ABS($X1249/100-Settings!$G$6))&lt;=MIN(ABS($X1249/100-Settings!$C$7),ABS($X1249/100-Settings!$G$7)),1,0))))</f>
        <v/>
      </c>
      <c r="AC1249">
        <f>IF($Z1249=1,IFERROR(IF(VALUE($B1249)&lt;100000000,VALUE($B1249),1000000000),IFERROR(IF(VALUE(MID($B1249,2,20))&lt;100000000,VALUE(MID($B1249,2,20)),1000000000),1000000000))+ROW()/100000,"")</f>
        <v/>
      </c>
    </row>
    <row r="1250">
      <c r="A1250">
        <f>IF($B1250="","",IFERROR(IF(INDEX('Per Invoice'!$A$2:$A$801,MATCH($B1250,'Per Invoice'!$B$2:$B$801,0))=0,"",INDEX('Per Invoice'!$A$2:$A$801,MATCH($B1250,'Per Invoice'!$B$2:$B$801,0))),""))</f>
        <v/>
      </c>
      <c r="J1250" s="7">
        <f>IF($B1250="","",I1250*Q1250/100)</f>
        <v/>
      </c>
      <c r="N1250" s="7" t="n"/>
      <c r="O1250" s="7" t="n"/>
      <c r="P1250" s="7">
        <f>IF($B1250="","",O1250*X1250/100)</f>
        <v/>
      </c>
      <c r="Q1250" s="7">
        <f>IF($B1250="","",O1250-P1250)</f>
        <v/>
      </c>
      <c r="R1250" s="7">
        <f>IF($B1250="","",Q1250-J1250)</f>
        <v/>
      </c>
      <c r="S1250" s="7" t="n"/>
      <c r="T1250" s="7" t="n"/>
      <c r="V1250" s="14" t="n"/>
      <c r="Z1250">
        <f>IF($B1250="","",IF(COUNTIF($B$2:$B1250,$B1250)=1,1,0))</f>
        <v/>
      </c>
      <c r="AA1250">
        <f>IF($Z1250=1,SUMPRODUCT(--($AC$2:$AC$3001&lt;$AC1250))+1,"")</f>
        <v/>
      </c>
      <c r="AB1250">
        <f>IF($B1250="","",IF(OR($Y1250=TRUE(),$Y1250="TRUE"),1,IF(AND($Y1250&lt;&gt;"",OR($Y1250=FALSE(),$Y1250="FALSE")),0,IF(MIN(ABS($X1250/100-Settings!$C$6),ABS($X1250/100-Settings!$G$6))&lt;=MIN(ABS($X1250/100-Settings!$C$7),ABS($X1250/100-Settings!$G$7)),1,0))))</f>
        <v/>
      </c>
      <c r="AC1250">
        <f>IF($Z1250=1,IFERROR(IF(VALUE($B1250)&lt;100000000,VALUE($B1250),1000000000),IFERROR(IF(VALUE(MID($B1250,2,20))&lt;100000000,VALUE(MID($B1250,2,20)),1000000000),1000000000))+ROW()/100000,"")</f>
        <v/>
      </c>
    </row>
    <row r="1251">
      <c r="A1251">
        <f>IF($B1251="","",IFERROR(IF(INDEX('Per Invoice'!$A$2:$A$801,MATCH($B1251,'Per Invoice'!$B$2:$B$801,0))=0,"",INDEX('Per Invoice'!$A$2:$A$801,MATCH($B1251,'Per Invoice'!$B$2:$B$801,0))),""))</f>
        <v/>
      </c>
      <c r="J1251" s="7">
        <f>IF($B1251="","",I1251*Q1251/100)</f>
        <v/>
      </c>
      <c r="N1251" s="7" t="n"/>
      <c r="O1251" s="7" t="n"/>
      <c r="P1251" s="7">
        <f>IF($B1251="","",O1251*X1251/100)</f>
        <v/>
      </c>
      <c r="Q1251" s="7">
        <f>IF($B1251="","",O1251-P1251)</f>
        <v/>
      </c>
      <c r="R1251" s="7">
        <f>IF($B1251="","",Q1251-J1251)</f>
        <v/>
      </c>
      <c r="S1251" s="7" t="n"/>
      <c r="T1251" s="7" t="n"/>
      <c r="V1251" s="14" t="n"/>
      <c r="Z1251">
        <f>IF($B1251="","",IF(COUNTIF($B$2:$B1251,$B1251)=1,1,0))</f>
        <v/>
      </c>
      <c r="AA1251">
        <f>IF($Z1251=1,SUMPRODUCT(--($AC$2:$AC$3001&lt;$AC1251))+1,"")</f>
        <v/>
      </c>
      <c r="AB1251">
        <f>IF($B1251="","",IF(OR($Y1251=TRUE(),$Y1251="TRUE"),1,IF(AND($Y1251&lt;&gt;"",OR($Y1251=FALSE(),$Y1251="FALSE")),0,IF(MIN(ABS($X1251/100-Settings!$C$6),ABS($X1251/100-Settings!$G$6))&lt;=MIN(ABS($X1251/100-Settings!$C$7),ABS($X1251/100-Settings!$G$7)),1,0))))</f>
        <v/>
      </c>
      <c r="AC1251">
        <f>IF($Z1251=1,IFERROR(IF(VALUE($B1251)&lt;100000000,VALUE($B1251),1000000000),IFERROR(IF(VALUE(MID($B1251,2,20))&lt;100000000,VALUE(MID($B1251,2,20)),1000000000),1000000000))+ROW()/100000,"")</f>
        <v/>
      </c>
    </row>
    <row r="1252">
      <c r="A1252">
        <f>IF($B1252="","",IFERROR(IF(INDEX('Per Invoice'!$A$2:$A$801,MATCH($B1252,'Per Invoice'!$B$2:$B$801,0))=0,"",INDEX('Per Invoice'!$A$2:$A$801,MATCH($B1252,'Per Invoice'!$B$2:$B$801,0))),""))</f>
        <v/>
      </c>
      <c r="J1252" s="7">
        <f>IF($B1252="","",I1252*Q1252/100)</f>
        <v/>
      </c>
      <c r="N1252" s="7" t="n"/>
      <c r="O1252" s="7" t="n"/>
      <c r="P1252" s="7">
        <f>IF($B1252="","",O1252*X1252/100)</f>
        <v/>
      </c>
      <c r="Q1252" s="7">
        <f>IF($B1252="","",O1252-P1252)</f>
        <v/>
      </c>
      <c r="R1252" s="7">
        <f>IF($B1252="","",Q1252-J1252)</f>
        <v/>
      </c>
      <c r="S1252" s="7" t="n"/>
      <c r="T1252" s="7" t="n"/>
      <c r="V1252" s="14" t="n"/>
      <c r="Z1252">
        <f>IF($B1252="","",IF(COUNTIF($B$2:$B1252,$B1252)=1,1,0))</f>
        <v/>
      </c>
      <c r="AA1252">
        <f>IF($Z1252=1,SUMPRODUCT(--($AC$2:$AC$3001&lt;$AC1252))+1,"")</f>
        <v/>
      </c>
      <c r="AB1252">
        <f>IF($B1252="","",IF(OR($Y1252=TRUE(),$Y1252="TRUE"),1,IF(AND($Y1252&lt;&gt;"",OR($Y1252=FALSE(),$Y1252="FALSE")),0,IF(MIN(ABS($X1252/100-Settings!$C$6),ABS($X1252/100-Settings!$G$6))&lt;=MIN(ABS($X1252/100-Settings!$C$7),ABS($X1252/100-Settings!$G$7)),1,0))))</f>
        <v/>
      </c>
      <c r="AC1252">
        <f>IF($Z1252=1,IFERROR(IF(VALUE($B1252)&lt;100000000,VALUE($B1252),1000000000),IFERROR(IF(VALUE(MID($B1252,2,20))&lt;100000000,VALUE(MID($B1252,2,20)),1000000000),1000000000))+ROW()/100000,"")</f>
        <v/>
      </c>
    </row>
    <row r="1253">
      <c r="A1253">
        <f>IF($B1253="","",IFERROR(IF(INDEX('Per Invoice'!$A$2:$A$801,MATCH($B1253,'Per Invoice'!$B$2:$B$801,0))=0,"",INDEX('Per Invoice'!$A$2:$A$801,MATCH($B1253,'Per Invoice'!$B$2:$B$801,0))),""))</f>
        <v/>
      </c>
      <c r="J1253" s="7">
        <f>IF($B1253="","",I1253*Q1253/100)</f>
        <v/>
      </c>
      <c r="N1253" s="7" t="n"/>
      <c r="O1253" s="7" t="n"/>
      <c r="P1253" s="7">
        <f>IF($B1253="","",O1253*X1253/100)</f>
        <v/>
      </c>
      <c r="Q1253" s="7">
        <f>IF($B1253="","",O1253-P1253)</f>
        <v/>
      </c>
      <c r="R1253" s="7">
        <f>IF($B1253="","",Q1253-J1253)</f>
        <v/>
      </c>
      <c r="S1253" s="7" t="n"/>
      <c r="T1253" s="7" t="n"/>
      <c r="V1253" s="14" t="n"/>
      <c r="Z1253">
        <f>IF($B1253="","",IF(COUNTIF($B$2:$B1253,$B1253)=1,1,0))</f>
        <v/>
      </c>
      <c r="AA1253">
        <f>IF($Z1253=1,SUMPRODUCT(--($AC$2:$AC$3001&lt;$AC1253))+1,"")</f>
        <v/>
      </c>
      <c r="AB1253">
        <f>IF($B1253="","",IF(OR($Y1253=TRUE(),$Y1253="TRUE"),1,IF(AND($Y1253&lt;&gt;"",OR($Y1253=FALSE(),$Y1253="FALSE")),0,IF(MIN(ABS($X1253/100-Settings!$C$6),ABS($X1253/100-Settings!$G$6))&lt;=MIN(ABS($X1253/100-Settings!$C$7),ABS($X1253/100-Settings!$G$7)),1,0))))</f>
        <v/>
      </c>
      <c r="AC1253">
        <f>IF($Z1253=1,IFERROR(IF(VALUE($B1253)&lt;100000000,VALUE($B1253),1000000000),IFERROR(IF(VALUE(MID($B1253,2,20))&lt;100000000,VALUE(MID($B1253,2,20)),1000000000),1000000000))+ROW()/100000,"")</f>
        <v/>
      </c>
    </row>
    <row r="1254">
      <c r="A1254">
        <f>IF($B1254="","",IFERROR(IF(INDEX('Per Invoice'!$A$2:$A$801,MATCH($B1254,'Per Invoice'!$B$2:$B$801,0))=0,"",INDEX('Per Invoice'!$A$2:$A$801,MATCH($B1254,'Per Invoice'!$B$2:$B$801,0))),""))</f>
        <v/>
      </c>
      <c r="J1254" s="7">
        <f>IF($B1254="","",I1254*Q1254/100)</f>
        <v/>
      </c>
      <c r="N1254" s="7" t="n"/>
      <c r="O1254" s="7" t="n"/>
      <c r="P1254" s="7">
        <f>IF($B1254="","",O1254*X1254/100)</f>
        <v/>
      </c>
      <c r="Q1254" s="7">
        <f>IF($B1254="","",O1254-P1254)</f>
        <v/>
      </c>
      <c r="R1254" s="7">
        <f>IF($B1254="","",Q1254-J1254)</f>
        <v/>
      </c>
      <c r="S1254" s="7" t="n"/>
      <c r="T1254" s="7" t="n"/>
      <c r="V1254" s="14" t="n"/>
      <c r="Z1254">
        <f>IF($B1254="","",IF(COUNTIF($B$2:$B1254,$B1254)=1,1,0))</f>
        <v/>
      </c>
      <c r="AA1254">
        <f>IF($Z1254=1,SUMPRODUCT(--($AC$2:$AC$3001&lt;$AC1254))+1,"")</f>
        <v/>
      </c>
      <c r="AB1254">
        <f>IF($B1254="","",IF(OR($Y1254=TRUE(),$Y1254="TRUE"),1,IF(AND($Y1254&lt;&gt;"",OR($Y1254=FALSE(),$Y1254="FALSE")),0,IF(MIN(ABS($X1254/100-Settings!$C$6),ABS($X1254/100-Settings!$G$6))&lt;=MIN(ABS($X1254/100-Settings!$C$7),ABS($X1254/100-Settings!$G$7)),1,0))))</f>
        <v/>
      </c>
      <c r="AC1254">
        <f>IF($Z1254=1,IFERROR(IF(VALUE($B1254)&lt;100000000,VALUE($B1254),1000000000),IFERROR(IF(VALUE(MID($B1254,2,20))&lt;100000000,VALUE(MID($B1254,2,20)),1000000000),1000000000))+ROW()/100000,"")</f>
        <v/>
      </c>
    </row>
    <row r="1255">
      <c r="A1255">
        <f>IF($B1255="","",IFERROR(IF(INDEX('Per Invoice'!$A$2:$A$801,MATCH($B1255,'Per Invoice'!$B$2:$B$801,0))=0,"",INDEX('Per Invoice'!$A$2:$A$801,MATCH($B1255,'Per Invoice'!$B$2:$B$801,0))),""))</f>
        <v/>
      </c>
      <c r="J1255" s="7">
        <f>IF($B1255="","",I1255*Q1255/100)</f>
        <v/>
      </c>
      <c r="N1255" s="7" t="n"/>
      <c r="O1255" s="7" t="n"/>
      <c r="P1255" s="7">
        <f>IF($B1255="","",O1255*X1255/100)</f>
        <v/>
      </c>
      <c r="Q1255" s="7">
        <f>IF($B1255="","",O1255-P1255)</f>
        <v/>
      </c>
      <c r="R1255" s="7">
        <f>IF($B1255="","",Q1255-J1255)</f>
        <v/>
      </c>
      <c r="S1255" s="7" t="n"/>
      <c r="T1255" s="7" t="n"/>
      <c r="V1255" s="14" t="n"/>
      <c r="Z1255">
        <f>IF($B1255="","",IF(COUNTIF($B$2:$B1255,$B1255)=1,1,0))</f>
        <v/>
      </c>
      <c r="AA1255">
        <f>IF($Z1255=1,SUMPRODUCT(--($AC$2:$AC$3001&lt;$AC1255))+1,"")</f>
        <v/>
      </c>
      <c r="AB1255">
        <f>IF($B1255="","",IF(OR($Y1255=TRUE(),$Y1255="TRUE"),1,IF(AND($Y1255&lt;&gt;"",OR($Y1255=FALSE(),$Y1255="FALSE")),0,IF(MIN(ABS($X1255/100-Settings!$C$6),ABS($X1255/100-Settings!$G$6))&lt;=MIN(ABS($X1255/100-Settings!$C$7),ABS($X1255/100-Settings!$G$7)),1,0))))</f>
        <v/>
      </c>
      <c r="AC1255">
        <f>IF($Z1255=1,IFERROR(IF(VALUE($B1255)&lt;100000000,VALUE($B1255),1000000000),IFERROR(IF(VALUE(MID($B1255,2,20))&lt;100000000,VALUE(MID($B1255,2,20)),1000000000),1000000000))+ROW()/100000,"")</f>
        <v/>
      </c>
    </row>
    <row r="1256">
      <c r="A1256">
        <f>IF($B1256="","",IFERROR(IF(INDEX('Per Invoice'!$A$2:$A$801,MATCH($B1256,'Per Invoice'!$B$2:$B$801,0))=0,"",INDEX('Per Invoice'!$A$2:$A$801,MATCH($B1256,'Per Invoice'!$B$2:$B$801,0))),""))</f>
        <v/>
      </c>
      <c r="J1256" s="7">
        <f>IF($B1256="","",I1256*Q1256/100)</f>
        <v/>
      </c>
      <c r="N1256" s="7" t="n"/>
      <c r="O1256" s="7" t="n"/>
      <c r="P1256" s="7">
        <f>IF($B1256="","",O1256*X1256/100)</f>
        <v/>
      </c>
      <c r="Q1256" s="7">
        <f>IF($B1256="","",O1256-P1256)</f>
        <v/>
      </c>
      <c r="R1256" s="7">
        <f>IF($B1256="","",Q1256-J1256)</f>
        <v/>
      </c>
      <c r="S1256" s="7" t="n"/>
      <c r="T1256" s="7" t="n"/>
      <c r="V1256" s="14" t="n"/>
      <c r="Z1256">
        <f>IF($B1256="","",IF(COUNTIF($B$2:$B1256,$B1256)=1,1,0))</f>
        <v/>
      </c>
      <c r="AA1256">
        <f>IF($Z1256=1,SUMPRODUCT(--($AC$2:$AC$3001&lt;$AC1256))+1,"")</f>
        <v/>
      </c>
      <c r="AB1256">
        <f>IF($B1256="","",IF(OR($Y1256=TRUE(),$Y1256="TRUE"),1,IF(AND($Y1256&lt;&gt;"",OR($Y1256=FALSE(),$Y1256="FALSE")),0,IF(MIN(ABS($X1256/100-Settings!$C$6),ABS($X1256/100-Settings!$G$6))&lt;=MIN(ABS($X1256/100-Settings!$C$7),ABS($X1256/100-Settings!$G$7)),1,0))))</f>
        <v/>
      </c>
      <c r="AC1256">
        <f>IF($Z1256=1,IFERROR(IF(VALUE($B1256)&lt;100000000,VALUE($B1256),1000000000),IFERROR(IF(VALUE(MID($B1256,2,20))&lt;100000000,VALUE(MID($B1256,2,20)),1000000000),1000000000))+ROW()/100000,"")</f>
        <v/>
      </c>
    </row>
    <row r="1257">
      <c r="A1257">
        <f>IF($B1257="","",IFERROR(IF(INDEX('Per Invoice'!$A$2:$A$801,MATCH($B1257,'Per Invoice'!$B$2:$B$801,0))=0,"",INDEX('Per Invoice'!$A$2:$A$801,MATCH($B1257,'Per Invoice'!$B$2:$B$801,0))),""))</f>
        <v/>
      </c>
      <c r="J1257" s="7">
        <f>IF($B1257="","",I1257*Q1257/100)</f>
        <v/>
      </c>
      <c r="N1257" s="7" t="n"/>
      <c r="O1257" s="7" t="n"/>
      <c r="P1257" s="7">
        <f>IF($B1257="","",O1257*X1257/100)</f>
        <v/>
      </c>
      <c r="Q1257" s="7">
        <f>IF($B1257="","",O1257-P1257)</f>
        <v/>
      </c>
      <c r="R1257" s="7">
        <f>IF($B1257="","",Q1257-J1257)</f>
        <v/>
      </c>
      <c r="S1257" s="7" t="n"/>
      <c r="T1257" s="7" t="n"/>
      <c r="V1257" s="14" t="n"/>
      <c r="Z1257">
        <f>IF($B1257="","",IF(COUNTIF($B$2:$B1257,$B1257)=1,1,0))</f>
        <v/>
      </c>
      <c r="AA1257">
        <f>IF($Z1257=1,SUMPRODUCT(--($AC$2:$AC$3001&lt;$AC1257))+1,"")</f>
        <v/>
      </c>
      <c r="AB1257">
        <f>IF($B1257="","",IF(OR($Y1257=TRUE(),$Y1257="TRUE"),1,IF(AND($Y1257&lt;&gt;"",OR($Y1257=FALSE(),$Y1257="FALSE")),0,IF(MIN(ABS($X1257/100-Settings!$C$6),ABS($X1257/100-Settings!$G$6))&lt;=MIN(ABS($X1257/100-Settings!$C$7),ABS($X1257/100-Settings!$G$7)),1,0))))</f>
        <v/>
      </c>
      <c r="AC1257">
        <f>IF($Z1257=1,IFERROR(IF(VALUE($B1257)&lt;100000000,VALUE($B1257),1000000000),IFERROR(IF(VALUE(MID($B1257,2,20))&lt;100000000,VALUE(MID($B1257,2,20)),1000000000),1000000000))+ROW()/100000,"")</f>
        <v/>
      </c>
    </row>
    <row r="1258">
      <c r="A1258">
        <f>IF($B1258="","",IFERROR(IF(INDEX('Per Invoice'!$A$2:$A$801,MATCH($B1258,'Per Invoice'!$B$2:$B$801,0))=0,"",INDEX('Per Invoice'!$A$2:$A$801,MATCH($B1258,'Per Invoice'!$B$2:$B$801,0))),""))</f>
        <v/>
      </c>
      <c r="J1258" s="7">
        <f>IF($B1258="","",I1258*Q1258/100)</f>
        <v/>
      </c>
      <c r="N1258" s="7" t="n"/>
      <c r="O1258" s="7" t="n"/>
      <c r="P1258" s="7">
        <f>IF($B1258="","",O1258*X1258/100)</f>
        <v/>
      </c>
      <c r="Q1258" s="7">
        <f>IF($B1258="","",O1258-P1258)</f>
        <v/>
      </c>
      <c r="R1258" s="7">
        <f>IF($B1258="","",Q1258-J1258)</f>
        <v/>
      </c>
      <c r="S1258" s="7" t="n"/>
      <c r="T1258" s="7" t="n"/>
      <c r="V1258" s="14" t="n"/>
      <c r="Z1258">
        <f>IF($B1258="","",IF(COUNTIF($B$2:$B1258,$B1258)=1,1,0))</f>
        <v/>
      </c>
      <c r="AA1258">
        <f>IF($Z1258=1,SUMPRODUCT(--($AC$2:$AC$3001&lt;$AC1258))+1,"")</f>
        <v/>
      </c>
      <c r="AB1258">
        <f>IF($B1258="","",IF(OR($Y1258=TRUE(),$Y1258="TRUE"),1,IF(AND($Y1258&lt;&gt;"",OR($Y1258=FALSE(),$Y1258="FALSE")),0,IF(MIN(ABS($X1258/100-Settings!$C$6),ABS($X1258/100-Settings!$G$6))&lt;=MIN(ABS($X1258/100-Settings!$C$7),ABS($X1258/100-Settings!$G$7)),1,0))))</f>
        <v/>
      </c>
      <c r="AC1258">
        <f>IF($Z1258=1,IFERROR(IF(VALUE($B1258)&lt;100000000,VALUE($B1258),1000000000),IFERROR(IF(VALUE(MID($B1258,2,20))&lt;100000000,VALUE(MID($B1258,2,20)),1000000000),1000000000))+ROW()/100000,"")</f>
        <v/>
      </c>
    </row>
    <row r="1259">
      <c r="A1259">
        <f>IF($B1259="","",IFERROR(IF(INDEX('Per Invoice'!$A$2:$A$801,MATCH($B1259,'Per Invoice'!$B$2:$B$801,0))=0,"",INDEX('Per Invoice'!$A$2:$A$801,MATCH($B1259,'Per Invoice'!$B$2:$B$801,0))),""))</f>
        <v/>
      </c>
      <c r="J1259" s="7">
        <f>IF($B1259="","",I1259*Q1259/100)</f>
        <v/>
      </c>
      <c r="N1259" s="7" t="n"/>
      <c r="O1259" s="7" t="n"/>
      <c r="P1259" s="7">
        <f>IF($B1259="","",O1259*X1259/100)</f>
        <v/>
      </c>
      <c r="Q1259" s="7">
        <f>IF($B1259="","",O1259-P1259)</f>
        <v/>
      </c>
      <c r="R1259" s="7">
        <f>IF($B1259="","",Q1259-J1259)</f>
        <v/>
      </c>
      <c r="S1259" s="7" t="n"/>
      <c r="T1259" s="7" t="n"/>
      <c r="V1259" s="14" t="n"/>
      <c r="Z1259">
        <f>IF($B1259="","",IF(COUNTIF($B$2:$B1259,$B1259)=1,1,0))</f>
        <v/>
      </c>
      <c r="AA1259">
        <f>IF($Z1259=1,SUMPRODUCT(--($AC$2:$AC$3001&lt;$AC1259))+1,"")</f>
        <v/>
      </c>
      <c r="AB1259">
        <f>IF($B1259="","",IF(OR($Y1259=TRUE(),$Y1259="TRUE"),1,IF(AND($Y1259&lt;&gt;"",OR($Y1259=FALSE(),$Y1259="FALSE")),0,IF(MIN(ABS($X1259/100-Settings!$C$6),ABS($X1259/100-Settings!$G$6))&lt;=MIN(ABS($X1259/100-Settings!$C$7),ABS($X1259/100-Settings!$G$7)),1,0))))</f>
        <v/>
      </c>
      <c r="AC1259">
        <f>IF($Z1259=1,IFERROR(IF(VALUE($B1259)&lt;100000000,VALUE($B1259),1000000000),IFERROR(IF(VALUE(MID($B1259,2,20))&lt;100000000,VALUE(MID($B1259,2,20)),1000000000),1000000000))+ROW()/100000,"")</f>
        <v/>
      </c>
    </row>
    <row r="1260">
      <c r="A1260">
        <f>IF($B1260="","",IFERROR(IF(INDEX('Per Invoice'!$A$2:$A$801,MATCH($B1260,'Per Invoice'!$B$2:$B$801,0))=0,"",INDEX('Per Invoice'!$A$2:$A$801,MATCH($B1260,'Per Invoice'!$B$2:$B$801,0))),""))</f>
        <v/>
      </c>
      <c r="J1260" s="7">
        <f>IF($B1260="","",I1260*Q1260/100)</f>
        <v/>
      </c>
      <c r="N1260" s="7" t="n"/>
      <c r="O1260" s="7" t="n"/>
      <c r="P1260" s="7">
        <f>IF($B1260="","",O1260*X1260/100)</f>
        <v/>
      </c>
      <c r="Q1260" s="7">
        <f>IF($B1260="","",O1260-P1260)</f>
        <v/>
      </c>
      <c r="R1260" s="7">
        <f>IF($B1260="","",Q1260-J1260)</f>
        <v/>
      </c>
      <c r="S1260" s="7" t="n"/>
      <c r="T1260" s="7" t="n"/>
      <c r="V1260" s="14" t="n"/>
      <c r="Z1260">
        <f>IF($B1260="","",IF(COUNTIF($B$2:$B1260,$B1260)=1,1,0))</f>
        <v/>
      </c>
      <c r="AA1260">
        <f>IF($Z1260=1,SUMPRODUCT(--($AC$2:$AC$3001&lt;$AC1260))+1,"")</f>
        <v/>
      </c>
      <c r="AB1260">
        <f>IF($B1260="","",IF(OR($Y1260=TRUE(),$Y1260="TRUE"),1,IF(AND($Y1260&lt;&gt;"",OR($Y1260=FALSE(),$Y1260="FALSE")),0,IF(MIN(ABS($X1260/100-Settings!$C$6),ABS($X1260/100-Settings!$G$6))&lt;=MIN(ABS($X1260/100-Settings!$C$7),ABS($X1260/100-Settings!$G$7)),1,0))))</f>
        <v/>
      </c>
      <c r="AC1260">
        <f>IF($Z1260=1,IFERROR(IF(VALUE($B1260)&lt;100000000,VALUE($B1260),1000000000),IFERROR(IF(VALUE(MID($B1260,2,20))&lt;100000000,VALUE(MID($B1260,2,20)),1000000000),1000000000))+ROW()/100000,"")</f>
        <v/>
      </c>
    </row>
    <row r="1261">
      <c r="A1261">
        <f>IF($B1261="","",IFERROR(IF(INDEX('Per Invoice'!$A$2:$A$801,MATCH($B1261,'Per Invoice'!$B$2:$B$801,0))=0,"",INDEX('Per Invoice'!$A$2:$A$801,MATCH($B1261,'Per Invoice'!$B$2:$B$801,0))),""))</f>
        <v/>
      </c>
      <c r="J1261" s="7">
        <f>IF($B1261="","",I1261*Q1261/100)</f>
        <v/>
      </c>
      <c r="N1261" s="7" t="n"/>
      <c r="O1261" s="7" t="n"/>
      <c r="P1261" s="7">
        <f>IF($B1261="","",O1261*X1261/100)</f>
        <v/>
      </c>
      <c r="Q1261" s="7">
        <f>IF($B1261="","",O1261-P1261)</f>
        <v/>
      </c>
      <c r="R1261" s="7">
        <f>IF($B1261="","",Q1261-J1261)</f>
        <v/>
      </c>
      <c r="S1261" s="7" t="n"/>
      <c r="T1261" s="7" t="n"/>
      <c r="V1261" s="14" t="n"/>
      <c r="Z1261">
        <f>IF($B1261="","",IF(COUNTIF($B$2:$B1261,$B1261)=1,1,0))</f>
        <v/>
      </c>
      <c r="AA1261">
        <f>IF($Z1261=1,SUMPRODUCT(--($AC$2:$AC$3001&lt;$AC1261))+1,"")</f>
        <v/>
      </c>
      <c r="AB1261">
        <f>IF($B1261="","",IF(OR($Y1261=TRUE(),$Y1261="TRUE"),1,IF(AND($Y1261&lt;&gt;"",OR($Y1261=FALSE(),$Y1261="FALSE")),0,IF(MIN(ABS($X1261/100-Settings!$C$6),ABS($X1261/100-Settings!$G$6))&lt;=MIN(ABS($X1261/100-Settings!$C$7),ABS($X1261/100-Settings!$G$7)),1,0))))</f>
        <v/>
      </c>
      <c r="AC1261">
        <f>IF($Z1261=1,IFERROR(IF(VALUE($B1261)&lt;100000000,VALUE($B1261),1000000000),IFERROR(IF(VALUE(MID($B1261,2,20))&lt;100000000,VALUE(MID($B1261,2,20)),1000000000),1000000000))+ROW()/100000,"")</f>
        <v/>
      </c>
    </row>
    <row r="1262">
      <c r="A1262">
        <f>IF($B1262="","",IFERROR(IF(INDEX('Per Invoice'!$A$2:$A$801,MATCH($B1262,'Per Invoice'!$B$2:$B$801,0))=0,"",INDEX('Per Invoice'!$A$2:$A$801,MATCH($B1262,'Per Invoice'!$B$2:$B$801,0))),""))</f>
        <v/>
      </c>
      <c r="J1262" s="7">
        <f>IF($B1262="","",I1262*Q1262/100)</f>
        <v/>
      </c>
      <c r="N1262" s="7" t="n"/>
      <c r="O1262" s="7" t="n"/>
      <c r="P1262" s="7">
        <f>IF($B1262="","",O1262*X1262/100)</f>
        <v/>
      </c>
      <c r="Q1262" s="7">
        <f>IF($B1262="","",O1262-P1262)</f>
        <v/>
      </c>
      <c r="R1262" s="7">
        <f>IF($B1262="","",Q1262-J1262)</f>
        <v/>
      </c>
      <c r="S1262" s="7" t="n"/>
      <c r="T1262" s="7" t="n"/>
      <c r="V1262" s="14" t="n"/>
      <c r="Z1262">
        <f>IF($B1262="","",IF(COUNTIF($B$2:$B1262,$B1262)=1,1,0))</f>
        <v/>
      </c>
      <c r="AA1262">
        <f>IF($Z1262=1,SUMPRODUCT(--($AC$2:$AC$3001&lt;$AC1262))+1,"")</f>
        <v/>
      </c>
      <c r="AB1262">
        <f>IF($B1262="","",IF(OR($Y1262=TRUE(),$Y1262="TRUE"),1,IF(AND($Y1262&lt;&gt;"",OR($Y1262=FALSE(),$Y1262="FALSE")),0,IF(MIN(ABS($X1262/100-Settings!$C$6),ABS($X1262/100-Settings!$G$6))&lt;=MIN(ABS($X1262/100-Settings!$C$7),ABS($X1262/100-Settings!$G$7)),1,0))))</f>
        <v/>
      </c>
      <c r="AC1262">
        <f>IF($Z1262=1,IFERROR(IF(VALUE($B1262)&lt;100000000,VALUE($B1262),1000000000),IFERROR(IF(VALUE(MID($B1262,2,20))&lt;100000000,VALUE(MID($B1262,2,20)),1000000000),1000000000))+ROW()/100000,"")</f>
        <v/>
      </c>
    </row>
    <row r="1263">
      <c r="A1263">
        <f>IF($B1263="","",IFERROR(IF(INDEX('Per Invoice'!$A$2:$A$801,MATCH($B1263,'Per Invoice'!$B$2:$B$801,0))=0,"",INDEX('Per Invoice'!$A$2:$A$801,MATCH($B1263,'Per Invoice'!$B$2:$B$801,0))),""))</f>
        <v/>
      </c>
      <c r="J1263" s="7">
        <f>IF($B1263="","",I1263*Q1263/100)</f>
        <v/>
      </c>
      <c r="N1263" s="7" t="n"/>
      <c r="O1263" s="7" t="n"/>
      <c r="P1263" s="7">
        <f>IF($B1263="","",O1263*X1263/100)</f>
        <v/>
      </c>
      <c r="Q1263" s="7">
        <f>IF($B1263="","",O1263-P1263)</f>
        <v/>
      </c>
      <c r="R1263" s="7">
        <f>IF($B1263="","",Q1263-J1263)</f>
        <v/>
      </c>
      <c r="S1263" s="7" t="n"/>
      <c r="T1263" s="7" t="n"/>
      <c r="V1263" s="14" t="n"/>
      <c r="Z1263">
        <f>IF($B1263="","",IF(COUNTIF($B$2:$B1263,$B1263)=1,1,0))</f>
        <v/>
      </c>
      <c r="AA1263">
        <f>IF($Z1263=1,SUMPRODUCT(--($AC$2:$AC$3001&lt;$AC1263))+1,"")</f>
        <v/>
      </c>
      <c r="AB1263">
        <f>IF($B1263="","",IF(OR($Y1263=TRUE(),$Y1263="TRUE"),1,IF(AND($Y1263&lt;&gt;"",OR($Y1263=FALSE(),$Y1263="FALSE")),0,IF(MIN(ABS($X1263/100-Settings!$C$6),ABS($X1263/100-Settings!$G$6))&lt;=MIN(ABS($X1263/100-Settings!$C$7),ABS($X1263/100-Settings!$G$7)),1,0))))</f>
        <v/>
      </c>
      <c r="AC1263">
        <f>IF($Z1263=1,IFERROR(IF(VALUE($B1263)&lt;100000000,VALUE($B1263),1000000000),IFERROR(IF(VALUE(MID($B1263,2,20))&lt;100000000,VALUE(MID($B1263,2,20)),1000000000),1000000000))+ROW()/100000,"")</f>
        <v/>
      </c>
    </row>
    <row r="1264">
      <c r="A1264">
        <f>IF($B1264="","",IFERROR(IF(INDEX('Per Invoice'!$A$2:$A$801,MATCH($B1264,'Per Invoice'!$B$2:$B$801,0))=0,"",INDEX('Per Invoice'!$A$2:$A$801,MATCH($B1264,'Per Invoice'!$B$2:$B$801,0))),""))</f>
        <v/>
      </c>
      <c r="J1264" s="7">
        <f>IF($B1264="","",I1264*Q1264/100)</f>
        <v/>
      </c>
      <c r="N1264" s="7" t="n"/>
      <c r="O1264" s="7" t="n"/>
      <c r="P1264" s="7">
        <f>IF($B1264="","",O1264*X1264/100)</f>
        <v/>
      </c>
      <c r="Q1264" s="7">
        <f>IF($B1264="","",O1264-P1264)</f>
        <v/>
      </c>
      <c r="R1264" s="7">
        <f>IF($B1264="","",Q1264-J1264)</f>
        <v/>
      </c>
      <c r="S1264" s="7" t="n"/>
      <c r="T1264" s="7" t="n"/>
      <c r="V1264" s="14" t="n"/>
      <c r="Z1264">
        <f>IF($B1264="","",IF(COUNTIF($B$2:$B1264,$B1264)=1,1,0))</f>
        <v/>
      </c>
      <c r="AA1264">
        <f>IF($Z1264=1,SUMPRODUCT(--($AC$2:$AC$3001&lt;$AC1264))+1,"")</f>
        <v/>
      </c>
      <c r="AB1264">
        <f>IF($B1264="","",IF(OR($Y1264=TRUE(),$Y1264="TRUE"),1,IF(AND($Y1264&lt;&gt;"",OR($Y1264=FALSE(),$Y1264="FALSE")),0,IF(MIN(ABS($X1264/100-Settings!$C$6),ABS($X1264/100-Settings!$G$6))&lt;=MIN(ABS($X1264/100-Settings!$C$7),ABS($X1264/100-Settings!$G$7)),1,0))))</f>
        <v/>
      </c>
      <c r="AC1264">
        <f>IF($Z1264=1,IFERROR(IF(VALUE($B1264)&lt;100000000,VALUE($B1264),1000000000),IFERROR(IF(VALUE(MID($B1264,2,20))&lt;100000000,VALUE(MID($B1264,2,20)),1000000000),1000000000))+ROW()/100000,"")</f>
        <v/>
      </c>
    </row>
    <row r="1265">
      <c r="A1265">
        <f>IF($B1265="","",IFERROR(IF(INDEX('Per Invoice'!$A$2:$A$801,MATCH($B1265,'Per Invoice'!$B$2:$B$801,0))=0,"",INDEX('Per Invoice'!$A$2:$A$801,MATCH($B1265,'Per Invoice'!$B$2:$B$801,0))),""))</f>
        <v/>
      </c>
      <c r="J1265" s="7">
        <f>IF($B1265="","",I1265*Q1265/100)</f>
        <v/>
      </c>
      <c r="N1265" s="7" t="n"/>
      <c r="O1265" s="7" t="n"/>
      <c r="P1265" s="7">
        <f>IF($B1265="","",O1265*X1265/100)</f>
        <v/>
      </c>
      <c r="Q1265" s="7">
        <f>IF($B1265="","",O1265-P1265)</f>
        <v/>
      </c>
      <c r="R1265" s="7">
        <f>IF($B1265="","",Q1265-J1265)</f>
        <v/>
      </c>
      <c r="S1265" s="7" t="n"/>
      <c r="T1265" s="7" t="n"/>
      <c r="V1265" s="14" t="n"/>
      <c r="Z1265">
        <f>IF($B1265="","",IF(COUNTIF($B$2:$B1265,$B1265)=1,1,0))</f>
        <v/>
      </c>
      <c r="AA1265">
        <f>IF($Z1265=1,SUMPRODUCT(--($AC$2:$AC$3001&lt;$AC1265))+1,"")</f>
        <v/>
      </c>
      <c r="AB1265">
        <f>IF($B1265="","",IF(OR($Y1265=TRUE(),$Y1265="TRUE"),1,IF(AND($Y1265&lt;&gt;"",OR($Y1265=FALSE(),$Y1265="FALSE")),0,IF(MIN(ABS($X1265/100-Settings!$C$6),ABS($X1265/100-Settings!$G$6))&lt;=MIN(ABS($X1265/100-Settings!$C$7),ABS($X1265/100-Settings!$G$7)),1,0))))</f>
        <v/>
      </c>
      <c r="AC1265">
        <f>IF($Z1265=1,IFERROR(IF(VALUE($B1265)&lt;100000000,VALUE($B1265),1000000000),IFERROR(IF(VALUE(MID($B1265,2,20))&lt;100000000,VALUE(MID($B1265,2,20)),1000000000),1000000000))+ROW()/100000,"")</f>
        <v/>
      </c>
    </row>
    <row r="1266">
      <c r="A1266">
        <f>IF($B1266="","",IFERROR(IF(INDEX('Per Invoice'!$A$2:$A$801,MATCH($B1266,'Per Invoice'!$B$2:$B$801,0))=0,"",INDEX('Per Invoice'!$A$2:$A$801,MATCH($B1266,'Per Invoice'!$B$2:$B$801,0))),""))</f>
        <v/>
      </c>
      <c r="J1266" s="7">
        <f>IF($B1266="","",I1266*Q1266/100)</f>
        <v/>
      </c>
      <c r="N1266" s="7" t="n"/>
      <c r="O1266" s="7" t="n"/>
      <c r="P1266" s="7">
        <f>IF($B1266="","",O1266*X1266/100)</f>
        <v/>
      </c>
      <c r="Q1266" s="7">
        <f>IF($B1266="","",O1266-P1266)</f>
        <v/>
      </c>
      <c r="R1266" s="7">
        <f>IF($B1266="","",Q1266-J1266)</f>
        <v/>
      </c>
      <c r="S1266" s="7" t="n"/>
      <c r="T1266" s="7" t="n"/>
      <c r="V1266" s="14" t="n"/>
      <c r="Z1266">
        <f>IF($B1266="","",IF(COUNTIF($B$2:$B1266,$B1266)=1,1,0))</f>
        <v/>
      </c>
      <c r="AA1266">
        <f>IF($Z1266=1,SUMPRODUCT(--($AC$2:$AC$3001&lt;$AC1266))+1,"")</f>
        <v/>
      </c>
      <c r="AB1266">
        <f>IF($B1266="","",IF(OR($Y1266=TRUE(),$Y1266="TRUE"),1,IF(AND($Y1266&lt;&gt;"",OR($Y1266=FALSE(),$Y1266="FALSE")),0,IF(MIN(ABS($X1266/100-Settings!$C$6),ABS($X1266/100-Settings!$G$6))&lt;=MIN(ABS($X1266/100-Settings!$C$7),ABS($X1266/100-Settings!$G$7)),1,0))))</f>
        <v/>
      </c>
      <c r="AC1266">
        <f>IF($Z1266=1,IFERROR(IF(VALUE($B1266)&lt;100000000,VALUE($B1266),1000000000),IFERROR(IF(VALUE(MID($B1266,2,20))&lt;100000000,VALUE(MID($B1266,2,20)),1000000000),1000000000))+ROW()/100000,"")</f>
        <v/>
      </c>
    </row>
    <row r="1267">
      <c r="A1267">
        <f>IF($B1267="","",IFERROR(IF(INDEX('Per Invoice'!$A$2:$A$801,MATCH($B1267,'Per Invoice'!$B$2:$B$801,0))=0,"",INDEX('Per Invoice'!$A$2:$A$801,MATCH($B1267,'Per Invoice'!$B$2:$B$801,0))),""))</f>
        <v/>
      </c>
      <c r="J1267" s="7">
        <f>IF($B1267="","",I1267*Q1267/100)</f>
        <v/>
      </c>
      <c r="N1267" s="7" t="n"/>
      <c r="O1267" s="7" t="n"/>
      <c r="P1267" s="7">
        <f>IF($B1267="","",O1267*X1267/100)</f>
        <v/>
      </c>
      <c r="Q1267" s="7">
        <f>IF($B1267="","",O1267-P1267)</f>
        <v/>
      </c>
      <c r="R1267" s="7">
        <f>IF($B1267="","",Q1267-J1267)</f>
        <v/>
      </c>
      <c r="S1267" s="7" t="n"/>
      <c r="T1267" s="7" t="n"/>
      <c r="V1267" s="14" t="n"/>
      <c r="Z1267">
        <f>IF($B1267="","",IF(COUNTIF($B$2:$B1267,$B1267)=1,1,0))</f>
        <v/>
      </c>
      <c r="AA1267">
        <f>IF($Z1267=1,SUMPRODUCT(--($AC$2:$AC$3001&lt;$AC1267))+1,"")</f>
        <v/>
      </c>
      <c r="AB1267">
        <f>IF($B1267="","",IF(OR($Y1267=TRUE(),$Y1267="TRUE"),1,IF(AND($Y1267&lt;&gt;"",OR($Y1267=FALSE(),$Y1267="FALSE")),0,IF(MIN(ABS($X1267/100-Settings!$C$6),ABS($X1267/100-Settings!$G$6))&lt;=MIN(ABS($X1267/100-Settings!$C$7),ABS($X1267/100-Settings!$G$7)),1,0))))</f>
        <v/>
      </c>
      <c r="AC1267">
        <f>IF($Z1267=1,IFERROR(IF(VALUE($B1267)&lt;100000000,VALUE($B1267),1000000000),IFERROR(IF(VALUE(MID($B1267,2,20))&lt;100000000,VALUE(MID($B1267,2,20)),1000000000),1000000000))+ROW()/100000,"")</f>
        <v/>
      </c>
    </row>
    <row r="1268">
      <c r="A1268">
        <f>IF($B1268="","",IFERROR(IF(INDEX('Per Invoice'!$A$2:$A$801,MATCH($B1268,'Per Invoice'!$B$2:$B$801,0))=0,"",INDEX('Per Invoice'!$A$2:$A$801,MATCH($B1268,'Per Invoice'!$B$2:$B$801,0))),""))</f>
        <v/>
      </c>
      <c r="J1268" s="7">
        <f>IF($B1268="","",I1268*Q1268/100)</f>
        <v/>
      </c>
      <c r="N1268" s="7" t="n"/>
      <c r="O1268" s="7" t="n"/>
      <c r="P1268" s="7">
        <f>IF($B1268="","",O1268*X1268/100)</f>
        <v/>
      </c>
      <c r="Q1268" s="7">
        <f>IF($B1268="","",O1268-P1268)</f>
        <v/>
      </c>
      <c r="R1268" s="7">
        <f>IF($B1268="","",Q1268-J1268)</f>
        <v/>
      </c>
      <c r="S1268" s="7" t="n"/>
      <c r="T1268" s="7" t="n"/>
      <c r="V1268" s="14" t="n"/>
      <c r="Z1268">
        <f>IF($B1268="","",IF(COUNTIF($B$2:$B1268,$B1268)=1,1,0))</f>
        <v/>
      </c>
      <c r="AA1268">
        <f>IF($Z1268=1,SUMPRODUCT(--($AC$2:$AC$3001&lt;$AC1268))+1,"")</f>
        <v/>
      </c>
      <c r="AB1268">
        <f>IF($B1268="","",IF(OR($Y1268=TRUE(),$Y1268="TRUE"),1,IF(AND($Y1268&lt;&gt;"",OR($Y1268=FALSE(),$Y1268="FALSE")),0,IF(MIN(ABS($X1268/100-Settings!$C$6),ABS($X1268/100-Settings!$G$6))&lt;=MIN(ABS($X1268/100-Settings!$C$7),ABS($X1268/100-Settings!$G$7)),1,0))))</f>
        <v/>
      </c>
      <c r="AC1268">
        <f>IF($Z1268=1,IFERROR(IF(VALUE($B1268)&lt;100000000,VALUE($B1268),1000000000),IFERROR(IF(VALUE(MID($B1268,2,20))&lt;100000000,VALUE(MID($B1268,2,20)),1000000000),1000000000))+ROW()/100000,"")</f>
        <v/>
      </c>
    </row>
    <row r="1269">
      <c r="A1269">
        <f>IF($B1269="","",IFERROR(IF(INDEX('Per Invoice'!$A$2:$A$801,MATCH($B1269,'Per Invoice'!$B$2:$B$801,0))=0,"",INDEX('Per Invoice'!$A$2:$A$801,MATCH($B1269,'Per Invoice'!$B$2:$B$801,0))),""))</f>
        <v/>
      </c>
      <c r="J1269" s="7">
        <f>IF($B1269="","",I1269*Q1269/100)</f>
        <v/>
      </c>
      <c r="N1269" s="7" t="n"/>
      <c r="O1269" s="7" t="n"/>
      <c r="P1269" s="7">
        <f>IF($B1269="","",O1269*X1269/100)</f>
        <v/>
      </c>
      <c r="Q1269" s="7">
        <f>IF($B1269="","",O1269-P1269)</f>
        <v/>
      </c>
      <c r="R1269" s="7">
        <f>IF($B1269="","",Q1269-J1269)</f>
        <v/>
      </c>
      <c r="S1269" s="7" t="n"/>
      <c r="T1269" s="7" t="n"/>
      <c r="V1269" s="14" t="n"/>
      <c r="Z1269">
        <f>IF($B1269="","",IF(COUNTIF($B$2:$B1269,$B1269)=1,1,0))</f>
        <v/>
      </c>
      <c r="AA1269">
        <f>IF($Z1269=1,SUMPRODUCT(--($AC$2:$AC$3001&lt;$AC1269))+1,"")</f>
        <v/>
      </c>
      <c r="AB1269">
        <f>IF($B1269="","",IF(OR($Y1269=TRUE(),$Y1269="TRUE"),1,IF(AND($Y1269&lt;&gt;"",OR($Y1269=FALSE(),$Y1269="FALSE")),0,IF(MIN(ABS($X1269/100-Settings!$C$6),ABS($X1269/100-Settings!$G$6))&lt;=MIN(ABS($X1269/100-Settings!$C$7),ABS($X1269/100-Settings!$G$7)),1,0))))</f>
        <v/>
      </c>
      <c r="AC1269">
        <f>IF($Z1269=1,IFERROR(IF(VALUE($B1269)&lt;100000000,VALUE($B1269),1000000000),IFERROR(IF(VALUE(MID($B1269,2,20))&lt;100000000,VALUE(MID($B1269,2,20)),1000000000),1000000000))+ROW()/100000,"")</f>
        <v/>
      </c>
    </row>
    <row r="1270">
      <c r="A1270">
        <f>IF($B1270="","",IFERROR(IF(INDEX('Per Invoice'!$A$2:$A$801,MATCH($B1270,'Per Invoice'!$B$2:$B$801,0))=0,"",INDEX('Per Invoice'!$A$2:$A$801,MATCH($B1270,'Per Invoice'!$B$2:$B$801,0))),""))</f>
        <v/>
      </c>
      <c r="J1270" s="7">
        <f>IF($B1270="","",I1270*Q1270/100)</f>
        <v/>
      </c>
      <c r="N1270" s="7" t="n"/>
      <c r="O1270" s="7" t="n"/>
      <c r="P1270" s="7">
        <f>IF($B1270="","",O1270*X1270/100)</f>
        <v/>
      </c>
      <c r="Q1270" s="7">
        <f>IF($B1270="","",O1270-P1270)</f>
        <v/>
      </c>
      <c r="R1270" s="7">
        <f>IF($B1270="","",Q1270-J1270)</f>
        <v/>
      </c>
      <c r="S1270" s="7" t="n"/>
      <c r="T1270" s="7" t="n"/>
      <c r="V1270" s="14" t="n"/>
      <c r="Z1270">
        <f>IF($B1270="","",IF(COUNTIF($B$2:$B1270,$B1270)=1,1,0))</f>
        <v/>
      </c>
      <c r="AA1270">
        <f>IF($Z1270=1,SUMPRODUCT(--($AC$2:$AC$3001&lt;$AC1270))+1,"")</f>
        <v/>
      </c>
      <c r="AB1270">
        <f>IF($B1270="","",IF(OR($Y1270=TRUE(),$Y1270="TRUE"),1,IF(AND($Y1270&lt;&gt;"",OR($Y1270=FALSE(),$Y1270="FALSE")),0,IF(MIN(ABS($X1270/100-Settings!$C$6),ABS($X1270/100-Settings!$G$6))&lt;=MIN(ABS($X1270/100-Settings!$C$7),ABS($X1270/100-Settings!$G$7)),1,0))))</f>
        <v/>
      </c>
      <c r="AC1270">
        <f>IF($Z1270=1,IFERROR(IF(VALUE($B1270)&lt;100000000,VALUE($B1270),1000000000),IFERROR(IF(VALUE(MID($B1270,2,20))&lt;100000000,VALUE(MID($B1270,2,20)),1000000000),1000000000))+ROW()/100000,"")</f>
        <v/>
      </c>
    </row>
    <row r="1271">
      <c r="A1271">
        <f>IF($B1271="","",IFERROR(IF(INDEX('Per Invoice'!$A$2:$A$801,MATCH($B1271,'Per Invoice'!$B$2:$B$801,0))=0,"",INDEX('Per Invoice'!$A$2:$A$801,MATCH($B1271,'Per Invoice'!$B$2:$B$801,0))),""))</f>
        <v/>
      </c>
      <c r="J1271" s="7">
        <f>IF($B1271="","",I1271*Q1271/100)</f>
        <v/>
      </c>
      <c r="N1271" s="7" t="n"/>
      <c r="O1271" s="7" t="n"/>
      <c r="P1271" s="7">
        <f>IF($B1271="","",O1271*X1271/100)</f>
        <v/>
      </c>
      <c r="Q1271" s="7">
        <f>IF($B1271="","",O1271-P1271)</f>
        <v/>
      </c>
      <c r="R1271" s="7">
        <f>IF($B1271="","",Q1271-J1271)</f>
        <v/>
      </c>
      <c r="S1271" s="7" t="n"/>
      <c r="T1271" s="7" t="n"/>
      <c r="V1271" s="14" t="n"/>
      <c r="Z1271">
        <f>IF($B1271="","",IF(COUNTIF($B$2:$B1271,$B1271)=1,1,0))</f>
        <v/>
      </c>
      <c r="AA1271">
        <f>IF($Z1271=1,SUMPRODUCT(--($AC$2:$AC$3001&lt;$AC1271))+1,"")</f>
        <v/>
      </c>
      <c r="AB1271">
        <f>IF($B1271="","",IF(OR($Y1271=TRUE(),$Y1271="TRUE"),1,IF(AND($Y1271&lt;&gt;"",OR($Y1271=FALSE(),$Y1271="FALSE")),0,IF(MIN(ABS($X1271/100-Settings!$C$6),ABS($X1271/100-Settings!$G$6))&lt;=MIN(ABS($X1271/100-Settings!$C$7),ABS($X1271/100-Settings!$G$7)),1,0))))</f>
        <v/>
      </c>
      <c r="AC1271">
        <f>IF($Z1271=1,IFERROR(IF(VALUE($B1271)&lt;100000000,VALUE($B1271),1000000000),IFERROR(IF(VALUE(MID($B1271,2,20))&lt;100000000,VALUE(MID($B1271,2,20)),1000000000),1000000000))+ROW()/100000,"")</f>
        <v/>
      </c>
    </row>
    <row r="1272">
      <c r="A1272">
        <f>IF($B1272="","",IFERROR(IF(INDEX('Per Invoice'!$A$2:$A$801,MATCH($B1272,'Per Invoice'!$B$2:$B$801,0))=0,"",INDEX('Per Invoice'!$A$2:$A$801,MATCH($B1272,'Per Invoice'!$B$2:$B$801,0))),""))</f>
        <v/>
      </c>
      <c r="J1272" s="7">
        <f>IF($B1272="","",I1272*Q1272/100)</f>
        <v/>
      </c>
      <c r="N1272" s="7" t="n"/>
      <c r="O1272" s="7" t="n"/>
      <c r="P1272" s="7">
        <f>IF($B1272="","",O1272*X1272/100)</f>
        <v/>
      </c>
      <c r="Q1272" s="7">
        <f>IF($B1272="","",O1272-P1272)</f>
        <v/>
      </c>
      <c r="R1272" s="7">
        <f>IF($B1272="","",Q1272-J1272)</f>
        <v/>
      </c>
      <c r="S1272" s="7" t="n"/>
      <c r="T1272" s="7" t="n"/>
      <c r="V1272" s="14" t="n"/>
      <c r="Z1272">
        <f>IF($B1272="","",IF(COUNTIF($B$2:$B1272,$B1272)=1,1,0))</f>
        <v/>
      </c>
      <c r="AA1272">
        <f>IF($Z1272=1,SUMPRODUCT(--($AC$2:$AC$3001&lt;$AC1272))+1,"")</f>
        <v/>
      </c>
      <c r="AB1272">
        <f>IF($B1272="","",IF(OR($Y1272=TRUE(),$Y1272="TRUE"),1,IF(AND($Y1272&lt;&gt;"",OR($Y1272=FALSE(),$Y1272="FALSE")),0,IF(MIN(ABS($X1272/100-Settings!$C$6),ABS($X1272/100-Settings!$G$6))&lt;=MIN(ABS($X1272/100-Settings!$C$7),ABS($X1272/100-Settings!$G$7)),1,0))))</f>
        <v/>
      </c>
      <c r="AC1272">
        <f>IF($Z1272=1,IFERROR(IF(VALUE($B1272)&lt;100000000,VALUE($B1272),1000000000),IFERROR(IF(VALUE(MID($B1272,2,20))&lt;100000000,VALUE(MID($B1272,2,20)),1000000000),1000000000))+ROW()/100000,"")</f>
        <v/>
      </c>
    </row>
    <row r="1273">
      <c r="A1273">
        <f>IF($B1273="","",IFERROR(IF(INDEX('Per Invoice'!$A$2:$A$801,MATCH($B1273,'Per Invoice'!$B$2:$B$801,0))=0,"",INDEX('Per Invoice'!$A$2:$A$801,MATCH($B1273,'Per Invoice'!$B$2:$B$801,0))),""))</f>
        <v/>
      </c>
      <c r="J1273" s="7">
        <f>IF($B1273="","",I1273*Q1273/100)</f>
        <v/>
      </c>
      <c r="N1273" s="7" t="n"/>
      <c r="O1273" s="7" t="n"/>
      <c r="P1273" s="7">
        <f>IF($B1273="","",O1273*X1273/100)</f>
        <v/>
      </c>
      <c r="Q1273" s="7">
        <f>IF($B1273="","",O1273-P1273)</f>
        <v/>
      </c>
      <c r="R1273" s="7">
        <f>IF($B1273="","",Q1273-J1273)</f>
        <v/>
      </c>
      <c r="S1273" s="7" t="n"/>
      <c r="T1273" s="7" t="n"/>
      <c r="V1273" s="14" t="n"/>
      <c r="Z1273">
        <f>IF($B1273="","",IF(COUNTIF($B$2:$B1273,$B1273)=1,1,0))</f>
        <v/>
      </c>
      <c r="AA1273">
        <f>IF($Z1273=1,SUMPRODUCT(--($AC$2:$AC$3001&lt;$AC1273))+1,"")</f>
        <v/>
      </c>
      <c r="AB1273">
        <f>IF($B1273="","",IF(OR($Y1273=TRUE(),$Y1273="TRUE"),1,IF(AND($Y1273&lt;&gt;"",OR($Y1273=FALSE(),$Y1273="FALSE")),0,IF(MIN(ABS($X1273/100-Settings!$C$6),ABS($X1273/100-Settings!$G$6))&lt;=MIN(ABS($X1273/100-Settings!$C$7),ABS($X1273/100-Settings!$G$7)),1,0))))</f>
        <v/>
      </c>
      <c r="AC1273">
        <f>IF($Z1273=1,IFERROR(IF(VALUE($B1273)&lt;100000000,VALUE($B1273),1000000000),IFERROR(IF(VALUE(MID($B1273,2,20))&lt;100000000,VALUE(MID($B1273,2,20)),1000000000),1000000000))+ROW()/100000,"")</f>
        <v/>
      </c>
    </row>
    <row r="1274">
      <c r="A1274">
        <f>IF($B1274="","",IFERROR(IF(INDEX('Per Invoice'!$A$2:$A$801,MATCH($B1274,'Per Invoice'!$B$2:$B$801,0))=0,"",INDEX('Per Invoice'!$A$2:$A$801,MATCH($B1274,'Per Invoice'!$B$2:$B$801,0))),""))</f>
        <v/>
      </c>
      <c r="J1274" s="7">
        <f>IF($B1274="","",I1274*Q1274/100)</f>
        <v/>
      </c>
      <c r="N1274" s="7" t="n"/>
      <c r="O1274" s="7" t="n"/>
      <c r="P1274" s="7">
        <f>IF($B1274="","",O1274*X1274/100)</f>
        <v/>
      </c>
      <c r="Q1274" s="7">
        <f>IF($B1274="","",O1274-P1274)</f>
        <v/>
      </c>
      <c r="R1274" s="7">
        <f>IF($B1274="","",Q1274-J1274)</f>
        <v/>
      </c>
      <c r="S1274" s="7" t="n"/>
      <c r="T1274" s="7" t="n"/>
      <c r="V1274" s="14" t="n"/>
      <c r="Z1274">
        <f>IF($B1274="","",IF(COUNTIF($B$2:$B1274,$B1274)=1,1,0))</f>
        <v/>
      </c>
      <c r="AA1274">
        <f>IF($Z1274=1,SUMPRODUCT(--($AC$2:$AC$3001&lt;$AC1274))+1,"")</f>
        <v/>
      </c>
      <c r="AB1274">
        <f>IF($B1274="","",IF(OR($Y1274=TRUE(),$Y1274="TRUE"),1,IF(AND($Y1274&lt;&gt;"",OR($Y1274=FALSE(),$Y1274="FALSE")),0,IF(MIN(ABS($X1274/100-Settings!$C$6),ABS($X1274/100-Settings!$G$6))&lt;=MIN(ABS($X1274/100-Settings!$C$7),ABS($X1274/100-Settings!$G$7)),1,0))))</f>
        <v/>
      </c>
      <c r="AC1274">
        <f>IF($Z1274=1,IFERROR(IF(VALUE($B1274)&lt;100000000,VALUE($B1274),1000000000),IFERROR(IF(VALUE(MID($B1274,2,20))&lt;100000000,VALUE(MID($B1274,2,20)),1000000000),1000000000))+ROW()/100000,"")</f>
        <v/>
      </c>
    </row>
    <row r="1275">
      <c r="A1275">
        <f>IF($B1275="","",IFERROR(IF(INDEX('Per Invoice'!$A$2:$A$801,MATCH($B1275,'Per Invoice'!$B$2:$B$801,0))=0,"",INDEX('Per Invoice'!$A$2:$A$801,MATCH($B1275,'Per Invoice'!$B$2:$B$801,0))),""))</f>
        <v/>
      </c>
      <c r="J1275" s="7">
        <f>IF($B1275="","",I1275*Q1275/100)</f>
        <v/>
      </c>
      <c r="N1275" s="7" t="n"/>
      <c r="O1275" s="7" t="n"/>
      <c r="P1275" s="7">
        <f>IF($B1275="","",O1275*X1275/100)</f>
        <v/>
      </c>
      <c r="Q1275" s="7">
        <f>IF($B1275="","",O1275-P1275)</f>
        <v/>
      </c>
      <c r="R1275" s="7">
        <f>IF($B1275="","",Q1275-J1275)</f>
        <v/>
      </c>
      <c r="S1275" s="7" t="n"/>
      <c r="T1275" s="7" t="n"/>
      <c r="V1275" s="14" t="n"/>
      <c r="Z1275">
        <f>IF($B1275="","",IF(COUNTIF($B$2:$B1275,$B1275)=1,1,0))</f>
        <v/>
      </c>
      <c r="AA1275">
        <f>IF($Z1275=1,SUMPRODUCT(--($AC$2:$AC$3001&lt;$AC1275))+1,"")</f>
        <v/>
      </c>
      <c r="AB1275">
        <f>IF($B1275="","",IF(OR($Y1275=TRUE(),$Y1275="TRUE"),1,IF(AND($Y1275&lt;&gt;"",OR($Y1275=FALSE(),$Y1275="FALSE")),0,IF(MIN(ABS($X1275/100-Settings!$C$6),ABS($X1275/100-Settings!$G$6))&lt;=MIN(ABS($X1275/100-Settings!$C$7),ABS($X1275/100-Settings!$G$7)),1,0))))</f>
        <v/>
      </c>
      <c r="AC1275">
        <f>IF($Z1275=1,IFERROR(IF(VALUE($B1275)&lt;100000000,VALUE($B1275),1000000000),IFERROR(IF(VALUE(MID($B1275,2,20))&lt;100000000,VALUE(MID($B1275,2,20)),1000000000),1000000000))+ROW()/100000,"")</f>
        <v/>
      </c>
    </row>
    <row r="1276">
      <c r="A1276">
        <f>IF($B1276="","",IFERROR(IF(INDEX('Per Invoice'!$A$2:$A$801,MATCH($B1276,'Per Invoice'!$B$2:$B$801,0))=0,"",INDEX('Per Invoice'!$A$2:$A$801,MATCH($B1276,'Per Invoice'!$B$2:$B$801,0))),""))</f>
        <v/>
      </c>
      <c r="J1276" s="7">
        <f>IF($B1276="","",I1276*Q1276/100)</f>
        <v/>
      </c>
      <c r="N1276" s="7" t="n"/>
      <c r="O1276" s="7" t="n"/>
      <c r="P1276" s="7">
        <f>IF($B1276="","",O1276*X1276/100)</f>
        <v/>
      </c>
      <c r="Q1276" s="7">
        <f>IF($B1276="","",O1276-P1276)</f>
        <v/>
      </c>
      <c r="R1276" s="7">
        <f>IF($B1276="","",Q1276-J1276)</f>
        <v/>
      </c>
      <c r="S1276" s="7" t="n"/>
      <c r="T1276" s="7" t="n"/>
      <c r="V1276" s="14" t="n"/>
      <c r="Z1276">
        <f>IF($B1276="","",IF(COUNTIF($B$2:$B1276,$B1276)=1,1,0))</f>
        <v/>
      </c>
      <c r="AA1276">
        <f>IF($Z1276=1,SUMPRODUCT(--($AC$2:$AC$3001&lt;$AC1276))+1,"")</f>
        <v/>
      </c>
      <c r="AB1276">
        <f>IF($B1276="","",IF(OR($Y1276=TRUE(),$Y1276="TRUE"),1,IF(AND($Y1276&lt;&gt;"",OR($Y1276=FALSE(),$Y1276="FALSE")),0,IF(MIN(ABS($X1276/100-Settings!$C$6),ABS($X1276/100-Settings!$G$6))&lt;=MIN(ABS($X1276/100-Settings!$C$7),ABS($X1276/100-Settings!$G$7)),1,0))))</f>
        <v/>
      </c>
      <c r="AC1276">
        <f>IF($Z1276=1,IFERROR(IF(VALUE($B1276)&lt;100000000,VALUE($B1276),1000000000),IFERROR(IF(VALUE(MID($B1276,2,20))&lt;100000000,VALUE(MID($B1276,2,20)),1000000000),1000000000))+ROW()/100000,"")</f>
        <v/>
      </c>
    </row>
    <row r="1277">
      <c r="A1277">
        <f>IF($B1277="","",IFERROR(IF(INDEX('Per Invoice'!$A$2:$A$801,MATCH($B1277,'Per Invoice'!$B$2:$B$801,0))=0,"",INDEX('Per Invoice'!$A$2:$A$801,MATCH($B1277,'Per Invoice'!$B$2:$B$801,0))),""))</f>
        <v/>
      </c>
      <c r="J1277" s="7">
        <f>IF($B1277="","",I1277*Q1277/100)</f>
        <v/>
      </c>
      <c r="N1277" s="7" t="n"/>
      <c r="O1277" s="7" t="n"/>
      <c r="P1277" s="7">
        <f>IF($B1277="","",O1277*X1277/100)</f>
        <v/>
      </c>
      <c r="Q1277" s="7">
        <f>IF($B1277="","",O1277-P1277)</f>
        <v/>
      </c>
      <c r="R1277" s="7">
        <f>IF($B1277="","",Q1277-J1277)</f>
        <v/>
      </c>
      <c r="S1277" s="7" t="n"/>
      <c r="T1277" s="7" t="n"/>
      <c r="V1277" s="14" t="n"/>
      <c r="Z1277">
        <f>IF($B1277="","",IF(COUNTIF($B$2:$B1277,$B1277)=1,1,0))</f>
        <v/>
      </c>
      <c r="AA1277">
        <f>IF($Z1277=1,SUMPRODUCT(--($AC$2:$AC$3001&lt;$AC1277))+1,"")</f>
        <v/>
      </c>
      <c r="AB1277">
        <f>IF($B1277="","",IF(OR($Y1277=TRUE(),$Y1277="TRUE"),1,IF(AND($Y1277&lt;&gt;"",OR($Y1277=FALSE(),$Y1277="FALSE")),0,IF(MIN(ABS($X1277/100-Settings!$C$6),ABS($X1277/100-Settings!$G$6))&lt;=MIN(ABS($X1277/100-Settings!$C$7),ABS($X1277/100-Settings!$G$7)),1,0))))</f>
        <v/>
      </c>
      <c r="AC1277">
        <f>IF($Z1277=1,IFERROR(IF(VALUE($B1277)&lt;100000000,VALUE($B1277),1000000000),IFERROR(IF(VALUE(MID($B1277,2,20))&lt;100000000,VALUE(MID($B1277,2,20)),1000000000),1000000000))+ROW()/100000,"")</f>
        <v/>
      </c>
    </row>
    <row r="1278">
      <c r="A1278">
        <f>IF($B1278="","",IFERROR(IF(INDEX('Per Invoice'!$A$2:$A$801,MATCH($B1278,'Per Invoice'!$B$2:$B$801,0))=0,"",INDEX('Per Invoice'!$A$2:$A$801,MATCH($B1278,'Per Invoice'!$B$2:$B$801,0))),""))</f>
        <v/>
      </c>
      <c r="J1278" s="7">
        <f>IF($B1278="","",I1278*Q1278/100)</f>
        <v/>
      </c>
      <c r="N1278" s="7" t="n"/>
      <c r="O1278" s="7" t="n"/>
      <c r="P1278" s="7">
        <f>IF($B1278="","",O1278*X1278/100)</f>
        <v/>
      </c>
      <c r="Q1278" s="7">
        <f>IF($B1278="","",O1278-P1278)</f>
        <v/>
      </c>
      <c r="R1278" s="7">
        <f>IF($B1278="","",Q1278-J1278)</f>
        <v/>
      </c>
      <c r="S1278" s="7" t="n"/>
      <c r="T1278" s="7" t="n"/>
      <c r="V1278" s="14" t="n"/>
      <c r="Z1278">
        <f>IF($B1278="","",IF(COUNTIF($B$2:$B1278,$B1278)=1,1,0))</f>
        <v/>
      </c>
      <c r="AA1278">
        <f>IF($Z1278=1,SUMPRODUCT(--($AC$2:$AC$3001&lt;$AC1278))+1,"")</f>
        <v/>
      </c>
      <c r="AB1278">
        <f>IF($B1278="","",IF(OR($Y1278=TRUE(),$Y1278="TRUE"),1,IF(AND($Y1278&lt;&gt;"",OR($Y1278=FALSE(),$Y1278="FALSE")),0,IF(MIN(ABS($X1278/100-Settings!$C$6),ABS($X1278/100-Settings!$G$6))&lt;=MIN(ABS($X1278/100-Settings!$C$7),ABS($X1278/100-Settings!$G$7)),1,0))))</f>
        <v/>
      </c>
      <c r="AC1278">
        <f>IF($Z1278=1,IFERROR(IF(VALUE($B1278)&lt;100000000,VALUE($B1278),1000000000),IFERROR(IF(VALUE(MID($B1278,2,20))&lt;100000000,VALUE(MID($B1278,2,20)),1000000000),1000000000))+ROW()/100000,"")</f>
        <v/>
      </c>
    </row>
    <row r="1279">
      <c r="A1279">
        <f>IF($B1279="","",IFERROR(IF(INDEX('Per Invoice'!$A$2:$A$801,MATCH($B1279,'Per Invoice'!$B$2:$B$801,0))=0,"",INDEX('Per Invoice'!$A$2:$A$801,MATCH($B1279,'Per Invoice'!$B$2:$B$801,0))),""))</f>
        <v/>
      </c>
      <c r="J1279" s="7">
        <f>IF($B1279="","",I1279*Q1279/100)</f>
        <v/>
      </c>
      <c r="N1279" s="7" t="n"/>
      <c r="O1279" s="7" t="n"/>
      <c r="P1279" s="7">
        <f>IF($B1279="","",O1279*X1279/100)</f>
        <v/>
      </c>
      <c r="Q1279" s="7">
        <f>IF($B1279="","",O1279-P1279)</f>
        <v/>
      </c>
      <c r="R1279" s="7">
        <f>IF($B1279="","",Q1279-J1279)</f>
        <v/>
      </c>
      <c r="S1279" s="7" t="n"/>
      <c r="T1279" s="7" t="n"/>
      <c r="V1279" s="14" t="n"/>
      <c r="Z1279">
        <f>IF($B1279="","",IF(COUNTIF($B$2:$B1279,$B1279)=1,1,0))</f>
        <v/>
      </c>
      <c r="AA1279">
        <f>IF($Z1279=1,SUMPRODUCT(--($AC$2:$AC$3001&lt;$AC1279))+1,"")</f>
        <v/>
      </c>
      <c r="AB1279">
        <f>IF($B1279="","",IF(OR($Y1279=TRUE(),$Y1279="TRUE"),1,IF(AND($Y1279&lt;&gt;"",OR($Y1279=FALSE(),$Y1279="FALSE")),0,IF(MIN(ABS($X1279/100-Settings!$C$6),ABS($X1279/100-Settings!$G$6))&lt;=MIN(ABS($X1279/100-Settings!$C$7),ABS($X1279/100-Settings!$G$7)),1,0))))</f>
        <v/>
      </c>
      <c r="AC1279">
        <f>IF($Z1279=1,IFERROR(IF(VALUE($B1279)&lt;100000000,VALUE($B1279),1000000000),IFERROR(IF(VALUE(MID($B1279,2,20))&lt;100000000,VALUE(MID($B1279,2,20)),1000000000),1000000000))+ROW()/100000,"")</f>
        <v/>
      </c>
    </row>
    <row r="1280">
      <c r="A1280">
        <f>IF($B1280="","",IFERROR(IF(INDEX('Per Invoice'!$A$2:$A$801,MATCH($B1280,'Per Invoice'!$B$2:$B$801,0))=0,"",INDEX('Per Invoice'!$A$2:$A$801,MATCH($B1280,'Per Invoice'!$B$2:$B$801,0))),""))</f>
        <v/>
      </c>
      <c r="J1280" s="7">
        <f>IF($B1280="","",I1280*Q1280/100)</f>
        <v/>
      </c>
      <c r="N1280" s="7" t="n"/>
      <c r="O1280" s="7" t="n"/>
      <c r="P1280" s="7">
        <f>IF($B1280="","",O1280*X1280/100)</f>
        <v/>
      </c>
      <c r="Q1280" s="7">
        <f>IF($B1280="","",O1280-P1280)</f>
        <v/>
      </c>
      <c r="R1280" s="7">
        <f>IF($B1280="","",Q1280-J1280)</f>
        <v/>
      </c>
      <c r="S1280" s="7" t="n"/>
      <c r="T1280" s="7" t="n"/>
      <c r="V1280" s="14" t="n"/>
      <c r="Z1280">
        <f>IF($B1280="","",IF(COUNTIF($B$2:$B1280,$B1280)=1,1,0))</f>
        <v/>
      </c>
      <c r="AA1280">
        <f>IF($Z1280=1,SUMPRODUCT(--($AC$2:$AC$3001&lt;$AC1280))+1,"")</f>
        <v/>
      </c>
      <c r="AB1280">
        <f>IF($B1280="","",IF(OR($Y1280=TRUE(),$Y1280="TRUE"),1,IF(AND($Y1280&lt;&gt;"",OR($Y1280=FALSE(),$Y1280="FALSE")),0,IF(MIN(ABS($X1280/100-Settings!$C$6),ABS($X1280/100-Settings!$G$6))&lt;=MIN(ABS($X1280/100-Settings!$C$7),ABS($X1280/100-Settings!$G$7)),1,0))))</f>
        <v/>
      </c>
      <c r="AC1280">
        <f>IF($Z1280=1,IFERROR(IF(VALUE($B1280)&lt;100000000,VALUE($B1280),1000000000),IFERROR(IF(VALUE(MID($B1280,2,20))&lt;100000000,VALUE(MID($B1280,2,20)),1000000000),1000000000))+ROW()/100000,"")</f>
        <v/>
      </c>
    </row>
    <row r="1281">
      <c r="A1281">
        <f>IF($B1281="","",IFERROR(IF(INDEX('Per Invoice'!$A$2:$A$801,MATCH($B1281,'Per Invoice'!$B$2:$B$801,0))=0,"",INDEX('Per Invoice'!$A$2:$A$801,MATCH($B1281,'Per Invoice'!$B$2:$B$801,0))),""))</f>
        <v/>
      </c>
      <c r="J1281" s="7">
        <f>IF($B1281="","",I1281*Q1281/100)</f>
        <v/>
      </c>
      <c r="N1281" s="7" t="n"/>
      <c r="O1281" s="7" t="n"/>
      <c r="P1281" s="7">
        <f>IF($B1281="","",O1281*X1281/100)</f>
        <v/>
      </c>
      <c r="Q1281" s="7">
        <f>IF($B1281="","",O1281-P1281)</f>
        <v/>
      </c>
      <c r="R1281" s="7">
        <f>IF($B1281="","",Q1281-J1281)</f>
        <v/>
      </c>
      <c r="S1281" s="7" t="n"/>
      <c r="T1281" s="7" t="n"/>
      <c r="V1281" s="14" t="n"/>
      <c r="Z1281">
        <f>IF($B1281="","",IF(COUNTIF($B$2:$B1281,$B1281)=1,1,0))</f>
        <v/>
      </c>
      <c r="AA1281">
        <f>IF($Z1281=1,SUMPRODUCT(--($AC$2:$AC$3001&lt;$AC1281))+1,"")</f>
        <v/>
      </c>
      <c r="AB1281">
        <f>IF($B1281="","",IF(OR($Y1281=TRUE(),$Y1281="TRUE"),1,IF(AND($Y1281&lt;&gt;"",OR($Y1281=FALSE(),$Y1281="FALSE")),0,IF(MIN(ABS($X1281/100-Settings!$C$6),ABS($X1281/100-Settings!$G$6))&lt;=MIN(ABS($X1281/100-Settings!$C$7),ABS($X1281/100-Settings!$G$7)),1,0))))</f>
        <v/>
      </c>
      <c r="AC1281">
        <f>IF($Z1281=1,IFERROR(IF(VALUE($B1281)&lt;100000000,VALUE($B1281),1000000000),IFERROR(IF(VALUE(MID($B1281,2,20))&lt;100000000,VALUE(MID($B1281,2,20)),1000000000),1000000000))+ROW()/100000,"")</f>
        <v/>
      </c>
    </row>
    <row r="1282">
      <c r="A1282">
        <f>IF($B1282="","",IFERROR(IF(INDEX('Per Invoice'!$A$2:$A$801,MATCH($B1282,'Per Invoice'!$B$2:$B$801,0))=0,"",INDEX('Per Invoice'!$A$2:$A$801,MATCH($B1282,'Per Invoice'!$B$2:$B$801,0))),""))</f>
        <v/>
      </c>
      <c r="J1282" s="7">
        <f>IF($B1282="","",I1282*Q1282/100)</f>
        <v/>
      </c>
      <c r="N1282" s="7" t="n"/>
      <c r="O1282" s="7" t="n"/>
      <c r="P1282" s="7">
        <f>IF($B1282="","",O1282*X1282/100)</f>
        <v/>
      </c>
      <c r="Q1282" s="7">
        <f>IF($B1282="","",O1282-P1282)</f>
        <v/>
      </c>
      <c r="R1282" s="7">
        <f>IF($B1282="","",Q1282-J1282)</f>
        <v/>
      </c>
      <c r="S1282" s="7" t="n"/>
      <c r="T1282" s="7" t="n"/>
      <c r="V1282" s="14" t="n"/>
      <c r="Z1282">
        <f>IF($B1282="","",IF(COUNTIF($B$2:$B1282,$B1282)=1,1,0))</f>
        <v/>
      </c>
      <c r="AA1282">
        <f>IF($Z1282=1,SUMPRODUCT(--($AC$2:$AC$3001&lt;$AC1282))+1,"")</f>
        <v/>
      </c>
      <c r="AB1282">
        <f>IF($B1282="","",IF(OR($Y1282=TRUE(),$Y1282="TRUE"),1,IF(AND($Y1282&lt;&gt;"",OR($Y1282=FALSE(),$Y1282="FALSE")),0,IF(MIN(ABS($X1282/100-Settings!$C$6),ABS($X1282/100-Settings!$G$6))&lt;=MIN(ABS($X1282/100-Settings!$C$7),ABS($X1282/100-Settings!$G$7)),1,0))))</f>
        <v/>
      </c>
      <c r="AC1282">
        <f>IF($Z1282=1,IFERROR(IF(VALUE($B1282)&lt;100000000,VALUE($B1282),1000000000),IFERROR(IF(VALUE(MID($B1282,2,20))&lt;100000000,VALUE(MID($B1282,2,20)),1000000000),1000000000))+ROW()/100000,"")</f>
        <v/>
      </c>
    </row>
    <row r="1283">
      <c r="A1283">
        <f>IF($B1283="","",IFERROR(IF(INDEX('Per Invoice'!$A$2:$A$801,MATCH($B1283,'Per Invoice'!$B$2:$B$801,0))=0,"",INDEX('Per Invoice'!$A$2:$A$801,MATCH($B1283,'Per Invoice'!$B$2:$B$801,0))),""))</f>
        <v/>
      </c>
      <c r="J1283" s="7">
        <f>IF($B1283="","",I1283*Q1283/100)</f>
        <v/>
      </c>
      <c r="N1283" s="7" t="n"/>
      <c r="O1283" s="7" t="n"/>
      <c r="P1283" s="7">
        <f>IF($B1283="","",O1283*X1283/100)</f>
        <v/>
      </c>
      <c r="Q1283" s="7">
        <f>IF($B1283="","",O1283-P1283)</f>
        <v/>
      </c>
      <c r="R1283" s="7">
        <f>IF($B1283="","",Q1283-J1283)</f>
        <v/>
      </c>
      <c r="S1283" s="7" t="n"/>
      <c r="T1283" s="7" t="n"/>
      <c r="V1283" s="14" t="n"/>
      <c r="Z1283">
        <f>IF($B1283="","",IF(COUNTIF($B$2:$B1283,$B1283)=1,1,0))</f>
        <v/>
      </c>
      <c r="AA1283">
        <f>IF($Z1283=1,SUMPRODUCT(--($AC$2:$AC$3001&lt;$AC1283))+1,"")</f>
        <v/>
      </c>
      <c r="AB1283">
        <f>IF($B1283="","",IF(OR($Y1283=TRUE(),$Y1283="TRUE"),1,IF(AND($Y1283&lt;&gt;"",OR($Y1283=FALSE(),$Y1283="FALSE")),0,IF(MIN(ABS($X1283/100-Settings!$C$6),ABS($X1283/100-Settings!$G$6))&lt;=MIN(ABS($X1283/100-Settings!$C$7),ABS($X1283/100-Settings!$G$7)),1,0))))</f>
        <v/>
      </c>
      <c r="AC1283">
        <f>IF($Z1283=1,IFERROR(IF(VALUE($B1283)&lt;100000000,VALUE($B1283),1000000000),IFERROR(IF(VALUE(MID($B1283,2,20))&lt;100000000,VALUE(MID($B1283,2,20)),1000000000),1000000000))+ROW()/100000,"")</f>
        <v/>
      </c>
    </row>
    <row r="1284">
      <c r="A1284">
        <f>IF($B1284="","",IFERROR(IF(INDEX('Per Invoice'!$A$2:$A$801,MATCH($B1284,'Per Invoice'!$B$2:$B$801,0))=0,"",INDEX('Per Invoice'!$A$2:$A$801,MATCH($B1284,'Per Invoice'!$B$2:$B$801,0))),""))</f>
        <v/>
      </c>
      <c r="J1284" s="7">
        <f>IF($B1284="","",I1284*Q1284/100)</f>
        <v/>
      </c>
      <c r="N1284" s="7" t="n"/>
      <c r="O1284" s="7" t="n"/>
      <c r="P1284" s="7">
        <f>IF($B1284="","",O1284*X1284/100)</f>
        <v/>
      </c>
      <c r="Q1284" s="7">
        <f>IF($B1284="","",O1284-P1284)</f>
        <v/>
      </c>
      <c r="R1284" s="7">
        <f>IF($B1284="","",Q1284-J1284)</f>
        <v/>
      </c>
      <c r="S1284" s="7" t="n"/>
      <c r="T1284" s="7" t="n"/>
      <c r="V1284" s="14" t="n"/>
      <c r="Z1284">
        <f>IF($B1284="","",IF(COUNTIF($B$2:$B1284,$B1284)=1,1,0))</f>
        <v/>
      </c>
      <c r="AA1284">
        <f>IF($Z1284=1,SUMPRODUCT(--($AC$2:$AC$3001&lt;$AC1284))+1,"")</f>
        <v/>
      </c>
      <c r="AB1284">
        <f>IF($B1284="","",IF(OR($Y1284=TRUE(),$Y1284="TRUE"),1,IF(AND($Y1284&lt;&gt;"",OR($Y1284=FALSE(),$Y1284="FALSE")),0,IF(MIN(ABS($X1284/100-Settings!$C$6),ABS($X1284/100-Settings!$G$6))&lt;=MIN(ABS($X1284/100-Settings!$C$7),ABS($X1284/100-Settings!$G$7)),1,0))))</f>
        <v/>
      </c>
      <c r="AC1284">
        <f>IF($Z1284=1,IFERROR(IF(VALUE($B1284)&lt;100000000,VALUE($B1284),1000000000),IFERROR(IF(VALUE(MID($B1284,2,20))&lt;100000000,VALUE(MID($B1284,2,20)),1000000000),1000000000))+ROW()/100000,"")</f>
        <v/>
      </c>
    </row>
    <row r="1285">
      <c r="A1285">
        <f>IF($B1285="","",IFERROR(IF(INDEX('Per Invoice'!$A$2:$A$801,MATCH($B1285,'Per Invoice'!$B$2:$B$801,0))=0,"",INDEX('Per Invoice'!$A$2:$A$801,MATCH($B1285,'Per Invoice'!$B$2:$B$801,0))),""))</f>
        <v/>
      </c>
      <c r="J1285" s="7">
        <f>IF($B1285="","",I1285*Q1285/100)</f>
        <v/>
      </c>
      <c r="N1285" s="7" t="n"/>
      <c r="O1285" s="7" t="n"/>
      <c r="P1285" s="7">
        <f>IF($B1285="","",O1285*X1285/100)</f>
        <v/>
      </c>
      <c r="Q1285" s="7">
        <f>IF($B1285="","",O1285-P1285)</f>
        <v/>
      </c>
      <c r="R1285" s="7">
        <f>IF($B1285="","",Q1285-J1285)</f>
        <v/>
      </c>
      <c r="S1285" s="7" t="n"/>
      <c r="T1285" s="7" t="n"/>
      <c r="V1285" s="14" t="n"/>
      <c r="Z1285">
        <f>IF($B1285="","",IF(COUNTIF($B$2:$B1285,$B1285)=1,1,0))</f>
        <v/>
      </c>
      <c r="AA1285">
        <f>IF($Z1285=1,SUMPRODUCT(--($AC$2:$AC$3001&lt;$AC1285))+1,"")</f>
        <v/>
      </c>
      <c r="AB1285">
        <f>IF($B1285="","",IF(OR($Y1285=TRUE(),$Y1285="TRUE"),1,IF(AND($Y1285&lt;&gt;"",OR($Y1285=FALSE(),$Y1285="FALSE")),0,IF(MIN(ABS($X1285/100-Settings!$C$6),ABS($X1285/100-Settings!$G$6))&lt;=MIN(ABS($X1285/100-Settings!$C$7),ABS($X1285/100-Settings!$G$7)),1,0))))</f>
        <v/>
      </c>
      <c r="AC1285">
        <f>IF($Z1285=1,IFERROR(IF(VALUE($B1285)&lt;100000000,VALUE($B1285),1000000000),IFERROR(IF(VALUE(MID($B1285,2,20))&lt;100000000,VALUE(MID($B1285,2,20)),1000000000),1000000000))+ROW()/100000,"")</f>
        <v/>
      </c>
    </row>
    <row r="1286">
      <c r="A1286">
        <f>IF($B1286="","",IFERROR(IF(INDEX('Per Invoice'!$A$2:$A$801,MATCH($B1286,'Per Invoice'!$B$2:$B$801,0))=0,"",INDEX('Per Invoice'!$A$2:$A$801,MATCH($B1286,'Per Invoice'!$B$2:$B$801,0))),""))</f>
        <v/>
      </c>
      <c r="J1286" s="7">
        <f>IF($B1286="","",I1286*Q1286/100)</f>
        <v/>
      </c>
      <c r="N1286" s="7" t="n"/>
      <c r="O1286" s="7" t="n"/>
      <c r="P1286" s="7">
        <f>IF($B1286="","",O1286*X1286/100)</f>
        <v/>
      </c>
      <c r="Q1286" s="7">
        <f>IF($B1286="","",O1286-P1286)</f>
        <v/>
      </c>
      <c r="R1286" s="7">
        <f>IF($B1286="","",Q1286-J1286)</f>
        <v/>
      </c>
      <c r="S1286" s="7" t="n"/>
      <c r="T1286" s="7" t="n"/>
      <c r="V1286" s="14" t="n"/>
      <c r="Z1286">
        <f>IF($B1286="","",IF(COUNTIF($B$2:$B1286,$B1286)=1,1,0))</f>
        <v/>
      </c>
      <c r="AA1286">
        <f>IF($Z1286=1,SUMPRODUCT(--($AC$2:$AC$3001&lt;$AC1286))+1,"")</f>
        <v/>
      </c>
      <c r="AB1286">
        <f>IF($B1286="","",IF(OR($Y1286=TRUE(),$Y1286="TRUE"),1,IF(AND($Y1286&lt;&gt;"",OR($Y1286=FALSE(),$Y1286="FALSE")),0,IF(MIN(ABS($X1286/100-Settings!$C$6),ABS($X1286/100-Settings!$G$6))&lt;=MIN(ABS($X1286/100-Settings!$C$7),ABS($X1286/100-Settings!$G$7)),1,0))))</f>
        <v/>
      </c>
      <c r="AC1286">
        <f>IF($Z1286=1,IFERROR(IF(VALUE($B1286)&lt;100000000,VALUE($B1286),1000000000),IFERROR(IF(VALUE(MID($B1286,2,20))&lt;100000000,VALUE(MID($B1286,2,20)),1000000000),1000000000))+ROW()/100000,"")</f>
        <v/>
      </c>
    </row>
    <row r="1287">
      <c r="A1287">
        <f>IF($B1287="","",IFERROR(IF(INDEX('Per Invoice'!$A$2:$A$801,MATCH($B1287,'Per Invoice'!$B$2:$B$801,0))=0,"",INDEX('Per Invoice'!$A$2:$A$801,MATCH($B1287,'Per Invoice'!$B$2:$B$801,0))),""))</f>
        <v/>
      </c>
      <c r="J1287" s="7">
        <f>IF($B1287="","",I1287*Q1287/100)</f>
        <v/>
      </c>
      <c r="N1287" s="7" t="n"/>
      <c r="O1287" s="7" t="n"/>
      <c r="P1287" s="7">
        <f>IF($B1287="","",O1287*X1287/100)</f>
        <v/>
      </c>
      <c r="Q1287" s="7">
        <f>IF($B1287="","",O1287-P1287)</f>
        <v/>
      </c>
      <c r="R1287" s="7">
        <f>IF($B1287="","",Q1287-J1287)</f>
        <v/>
      </c>
      <c r="S1287" s="7" t="n"/>
      <c r="T1287" s="7" t="n"/>
      <c r="V1287" s="14" t="n"/>
      <c r="Z1287">
        <f>IF($B1287="","",IF(COUNTIF($B$2:$B1287,$B1287)=1,1,0))</f>
        <v/>
      </c>
      <c r="AA1287">
        <f>IF($Z1287=1,SUMPRODUCT(--($AC$2:$AC$3001&lt;$AC1287))+1,"")</f>
        <v/>
      </c>
      <c r="AB1287">
        <f>IF($B1287="","",IF(OR($Y1287=TRUE(),$Y1287="TRUE"),1,IF(AND($Y1287&lt;&gt;"",OR($Y1287=FALSE(),$Y1287="FALSE")),0,IF(MIN(ABS($X1287/100-Settings!$C$6),ABS($X1287/100-Settings!$G$6))&lt;=MIN(ABS($X1287/100-Settings!$C$7),ABS($X1287/100-Settings!$G$7)),1,0))))</f>
        <v/>
      </c>
      <c r="AC1287">
        <f>IF($Z1287=1,IFERROR(IF(VALUE($B1287)&lt;100000000,VALUE($B1287),1000000000),IFERROR(IF(VALUE(MID($B1287,2,20))&lt;100000000,VALUE(MID($B1287,2,20)),1000000000),1000000000))+ROW()/100000,"")</f>
        <v/>
      </c>
    </row>
    <row r="1288">
      <c r="A1288">
        <f>IF($B1288="","",IFERROR(IF(INDEX('Per Invoice'!$A$2:$A$801,MATCH($B1288,'Per Invoice'!$B$2:$B$801,0))=0,"",INDEX('Per Invoice'!$A$2:$A$801,MATCH($B1288,'Per Invoice'!$B$2:$B$801,0))),""))</f>
        <v/>
      </c>
      <c r="J1288" s="7">
        <f>IF($B1288="","",I1288*Q1288/100)</f>
        <v/>
      </c>
      <c r="N1288" s="7" t="n"/>
      <c r="O1288" s="7" t="n"/>
      <c r="P1288" s="7">
        <f>IF($B1288="","",O1288*X1288/100)</f>
        <v/>
      </c>
      <c r="Q1288" s="7">
        <f>IF($B1288="","",O1288-P1288)</f>
        <v/>
      </c>
      <c r="R1288" s="7">
        <f>IF($B1288="","",Q1288-J1288)</f>
        <v/>
      </c>
      <c r="S1288" s="7" t="n"/>
      <c r="T1288" s="7" t="n"/>
      <c r="V1288" s="14" t="n"/>
      <c r="Z1288">
        <f>IF($B1288="","",IF(COUNTIF($B$2:$B1288,$B1288)=1,1,0))</f>
        <v/>
      </c>
      <c r="AA1288">
        <f>IF($Z1288=1,SUMPRODUCT(--($AC$2:$AC$3001&lt;$AC1288))+1,"")</f>
        <v/>
      </c>
      <c r="AB1288">
        <f>IF($B1288="","",IF(OR($Y1288=TRUE(),$Y1288="TRUE"),1,IF(AND($Y1288&lt;&gt;"",OR($Y1288=FALSE(),$Y1288="FALSE")),0,IF(MIN(ABS($X1288/100-Settings!$C$6),ABS($X1288/100-Settings!$G$6))&lt;=MIN(ABS($X1288/100-Settings!$C$7),ABS($X1288/100-Settings!$G$7)),1,0))))</f>
        <v/>
      </c>
      <c r="AC1288">
        <f>IF($Z1288=1,IFERROR(IF(VALUE($B1288)&lt;100000000,VALUE($B1288),1000000000),IFERROR(IF(VALUE(MID($B1288,2,20))&lt;100000000,VALUE(MID($B1288,2,20)),1000000000),1000000000))+ROW()/100000,"")</f>
        <v/>
      </c>
    </row>
    <row r="1289">
      <c r="A1289">
        <f>IF($B1289="","",IFERROR(IF(INDEX('Per Invoice'!$A$2:$A$801,MATCH($B1289,'Per Invoice'!$B$2:$B$801,0))=0,"",INDEX('Per Invoice'!$A$2:$A$801,MATCH($B1289,'Per Invoice'!$B$2:$B$801,0))),""))</f>
        <v/>
      </c>
      <c r="J1289" s="7">
        <f>IF($B1289="","",I1289*Q1289/100)</f>
        <v/>
      </c>
      <c r="N1289" s="7" t="n"/>
      <c r="O1289" s="7" t="n"/>
      <c r="P1289" s="7">
        <f>IF($B1289="","",O1289*X1289/100)</f>
        <v/>
      </c>
      <c r="Q1289" s="7">
        <f>IF($B1289="","",O1289-P1289)</f>
        <v/>
      </c>
      <c r="R1289" s="7">
        <f>IF($B1289="","",Q1289-J1289)</f>
        <v/>
      </c>
      <c r="S1289" s="7" t="n"/>
      <c r="T1289" s="7" t="n"/>
      <c r="V1289" s="14" t="n"/>
      <c r="Z1289">
        <f>IF($B1289="","",IF(COUNTIF($B$2:$B1289,$B1289)=1,1,0))</f>
        <v/>
      </c>
      <c r="AA1289">
        <f>IF($Z1289=1,SUMPRODUCT(--($AC$2:$AC$3001&lt;$AC1289))+1,"")</f>
        <v/>
      </c>
      <c r="AB1289">
        <f>IF($B1289="","",IF(OR($Y1289=TRUE(),$Y1289="TRUE"),1,IF(AND($Y1289&lt;&gt;"",OR($Y1289=FALSE(),$Y1289="FALSE")),0,IF(MIN(ABS($X1289/100-Settings!$C$6),ABS($X1289/100-Settings!$G$6))&lt;=MIN(ABS($X1289/100-Settings!$C$7),ABS($X1289/100-Settings!$G$7)),1,0))))</f>
        <v/>
      </c>
      <c r="AC1289">
        <f>IF($Z1289=1,IFERROR(IF(VALUE($B1289)&lt;100000000,VALUE($B1289),1000000000),IFERROR(IF(VALUE(MID($B1289,2,20))&lt;100000000,VALUE(MID($B1289,2,20)),1000000000),1000000000))+ROW()/100000,"")</f>
        <v/>
      </c>
    </row>
    <row r="1290">
      <c r="A1290">
        <f>IF($B1290="","",IFERROR(IF(INDEX('Per Invoice'!$A$2:$A$801,MATCH($B1290,'Per Invoice'!$B$2:$B$801,0))=0,"",INDEX('Per Invoice'!$A$2:$A$801,MATCH($B1290,'Per Invoice'!$B$2:$B$801,0))),""))</f>
        <v/>
      </c>
      <c r="J1290" s="7">
        <f>IF($B1290="","",I1290*Q1290/100)</f>
        <v/>
      </c>
      <c r="N1290" s="7" t="n"/>
      <c r="O1290" s="7" t="n"/>
      <c r="P1290" s="7">
        <f>IF($B1290="","",O1290*X1290/100)</f>
        <v/>
      </c>
      <c r="Q1290" s="7">
        <f>IF($B1290="","",O1290-P1290)</f>
        <v/>
      </c>
      <c r="R1290" s="7">
        <f>IF($B1290="","",Q1290-J1290)</f>
        <v/>
      </c>
      <c r="S1290" s="7" t="n"/>
      <c r="T1290" s="7" t="n"/>
      <c r="V1290" s="14" t="n"/>
      <c r="Z1290">
        <f>IF($B1290="","",IF(COUNTIF($B$2:$B1290,$B1290)=1,1,0))</f>
        <v/>
      </c>
      <c r="AA1290">
        <f>IF($Z1290=1,SUMPRODUCT(--($AC$2:$AC$3001&lt;$AC1290))+1,"")</f>
        <v/>
      </c>
      <c r="AB1290">
        <f>IF($B1290="","",IF(OR($Y1290=TRUE(),$Y1290="TRUE"),1,IF(AND($Y1290&lt;&gt;"",OR($Y1290=FALSE(),$Y1290="FALSE")),0,IF(MIN(ABS($X1290/100-Settings!$C$6),ABS($X1290/100-Settings!$G$6))&lt;=MIN(ABS($X1290/100-Settings!$C$7),ABS($X1290/100-Settings!$G$7)),1,0))))</f>
        <v/>
      </c>
      <c r="AC1290">
        <f>IF($Z1290=1,IFERROR(IF(VALUE($B1290)&lt;100000000,VALUE($B1290),1000000000),IFERROR(IF(VALUE(MID($B1290,2,20))&lt;100000000,VALUE(MID($B1290,2,20)),1000000000),1000000000))+ROW()/100000,"")</f>
        <v/>
      </c>
    </row>
    <row r="1291">
      <c r="A1291">
        <f>IF($B1291="","",IFERROR(IF(INDEX('Per Invoice'!$A$2:$A$801,MATCH($B1291,'Per Invoice'!$B$2:$B$801,0))=0,"",INDEX('Per Invoice'!$A$2:$A$801,MATCH($B1291,'Per Invoice'!$B$2:$B$801,0))),""))</f>
        <v/>
      </c>
      <c r="J1291" s="7">
        <f>IF($B1291="","",I1291*Q1291/100)</f>
        <v/>
      </c>
      <c r="N1291" s="7" t="n"/>
      <c r="O1291" s="7" t="n"/>
      <c r="P1291" s="7">
        <f>IF($B1291="","",O1291*X1291/100)</f>
        <v/>
      </c>
      <c r="Q1291" s="7">
        <f>IF($B1291="","",O1291-P1291)</f>
        <v/>
      </c>
      <c r="R1291" s="7">
        <f>IF($B1291="","",Q1291-J1291)</f>
        <v/>
      </c>
      <c r="S1291" s="7" t="n"/>
      <c r="T1291" s="7" t="n"/>
      <c r="V1291" s="14" t="n"/>
      <c r="Z1291">
        <f>IF($B1291="","",IF(COUNTIF($B$2:$B1291,$B1291)=1,1,0))</f>
        <v/>
      </c>
      <c r="AA1291">
        <f>IF($Z1291=1,SUMPRODUCT(--($AC$2:$AC$3001&lt;$AC1291))+1,"")</f>
        <v/>
      </c>
      <c r="AB1291">
        <f>IF($B1291="","",IF(OR($Y1291=TRUE(),$Y1291="TRUE"),1,IF(AND($Y1291&lt;&gt;"",OR($Y1291=FALSE(),$Y1291="FALSE")),0,IF(MIN(ABS($X1291/100-Settings!$C$6),ABS($X1291/100-Settings!$G$6))&lt;=MIN(ABS($X1291/100-Settings!$C$7),ABS($X1291/100-Settings!$G$7)),1,0))))</f>
        <v/>
      </c>
      <c r="AC1291">
        <f>IF($Z1291=1,IFERROR(IF(VALUE($B1291)&lt;100000000,VALUE($B1291),1000000000),IFERROR(IF(VALUE(MID($B1291,2,20))&lt;100000000,VALUE(MID($B1291,2,20)),1000000000),1000000000))+ROW()/100000,"")</f>
        <v/>
      </c>
    </row>
    <row r="1292">
      <c r="A1292">
        <f>IF($B1292="","",IFERROR(IF(INDEX('Per Invoice'!$A$2:$A$801,MATCH($B1292,'Per Invoice'!$B$2:$B$801,0))=0,"",INDEX('Per Invoice'!$A$2:$A$801,MATCH($B1292,'Per Invoice'!$B$2:$B$801,0))),""))</f>
        <v/>
      </c>
      <c r="J1292" s="7">
        <f>IF($B1292="","",I1292*Q1292/100)</f>
        <v/>
      </c>
      <c r="N1292" s="7" t="n"/>
      <c r="O1292" s="7" t="n"/>
      <c r="P1292" s="7">
        <f>IF($B1292="","",O1292*X1292/100)</f>
        <v/>
      </c>
      <c r="Q1292" s="7">
        <f>IF($B1292="","",O1292-P1292)</f>
        <v/>
      </c>
      <c r="R1292" s="7">
        <f>IF($B1292="","",Q1292-J1292)</f>
        <v/>
      </c>
      <c r="S1292" s="7" t="n"/>
      <c r="T1292" s="7" t="n"/>
      <c r="V1292" s="14" t="n"/>
      <c r="Z1292">
        <f>IF($B1292="","",IF(COUNTIF($B$2:$B1292,$B1292)=1,1,0))</f>
        <v/>
      </c>
      <c r="AA1292">
        <f>IF($Z1292=1,SUMPRODUCT(--($AC$2:$AC$3001&lt;$AC1292))+1,"")</f>
        <v/>
      </c>
      <c r="AB1292">
        <f>IF($B1292="","",IF(OR($Y1292=TRUE(),$Y1292="TRUE"),1,IF(AND($Y1292&lt;&gt;"",OR($Y1292=FALSE(),$Y1292="FALSE")),0,IF(MIN(ABS($X1292/100-Settings!$C$6),ABS($X1292/100-Settings!$G$6))&lt;=MIN(ABS($X1292/100-Settings!$C$7),ABS($X1292/100-Settings!$G$7)),1,0))))</f>
        <v/>
      </c>
      <c r="AC1292">
        <f>IF($Z1292=1,IFERROR(IF(VALUE($B1292)&lt;100000000,VALUE($B1292),1000000000),IFERROR(IF(VALUE(MID($B1292,2,20))&lt;100000000,VALUE(MID($B1292,2,20)),1000000000),1000000000))+ROW()/100000,"")</f>
        <v/>
      </c>
    </row>
    <row r="1293">
      <c r="A1293">
        <f>IF($B1293="","",IFERROR(IF(INDEX('Per Invoice'!$A$2:$A$801,MATCH($B1293,'Per Invoice'!$B$2:$B$801,0))=0,"",INDEX('Per Invoice'!$A$2:$A$801,MATCH($B1293,'Per Invoice'!$B$2:$B$801,0))),""))</f>
        <v/>
      </c>
      <c r="J1293" s="7">
        <f>IF($B1293="","",I1293*Q1293/100)</f>
        <v/>
      </c>
      <c r="N1293" s="7" t="n"/>
      <c r="O1293" s="7" t="n"/>
      <c r="P1293" s="7">
        <f>IF($B1293="","",O1293*X1293/100)</f>
        <v/>
      </c>
      <c r="Q1293" s="7">
        <f>IF($B1293="","",O1293-P1293)</f>
        <v/>
      </c>
      <c r="R1293" s="7">
        <f>IF($B1293="","",Q1293-J1293)</f>
        <v/>
      </c>
      <c r="S1293" s="7" t="n"/>
      <c r="T1293" s="7" t="n"/>
      <c r="V1293" s="14" t="n"/>
      <c r="Z1293">
        <f>IF($B1293="","",IF(COUNTIF($B$2:$B1293,$B1293)=1,1,0))</f>
        <v/>
      </c>
      <c r="AA1293">
        <f>IF($Z1293=1,SUMPRODUCT(--($AC$2:$AC$3001&lt;$AC1293))+1,"")</f>
        <v/>
      </c>
      <c r="AB1293">
        <f>IF($B1293="","",IF(OR($Y1293=TRUE(),$Y1293="TRUE"),1,IF(AND($Y1293&lt;&gt;"",OR($Y1293=FALSE(),$Y1293="FALSE")),0,IF(MIN(ABS($X1293/100-Settings!$C$6),ABS($X1293/100-Settings!$G$6))&lt;=MIN(ABS($X1293/100-Settings!$C$7),ABS($X1293/100-Settings!$G$7)),1,0))))</f>
        <v/>
      </c>
      <c r="AC1293">
        <f>IF($Z1293=1,IFERROR(IF(VALUE($B1293)&lt;100000000,VALUE($B1293),1000000000),IFERROR(IF(VALUE(MID($B1293,2,20))&lt;100000000,VALUE(MID($B1293,2,20)),1000000000),1000000000))+ROW()/100000,"")</f>
        <v/>
      </c>
    </row>
    <row r="1294">
      <c r="A1294">
        <f>IF($B1294="","",IFERROR(IF(INDEX('Per Invoice'!$A$2:$A$801,MATCH($B1294,'Per Invoice'!$B$2:$B$801,0))=0,"",INDEX('Per Invoice'!$A$2:$A$801,MATCH($B1294,'Per Invoice'!$B$2:$B$801,0))),""))</f>
        <v/>
      </c>
      <c r="J1294" s="7">
        <f>IF($B1294="","",I1294*Q1294/100)</f>
        <v/>
      </c>
      <c r="N1294" s="7" t="n"/>
      <c r="O1294" s="7" t="n"/>
      <c r="P1294" s="7">
        <f>IF($B1294="","",O1294*X1294/100)</f>
        <v/>
      </c>
      <c r="Q1294" s="7">
        <f>IF($B1294="","",O1294-P1294)</f>
        <v/>
      </c>
      <c r="R1294" s="7">
        <f>IF($B1294="","",Q1294-J1294)</f>
        <v/>
      </c>
      <c r="S1294" s="7" t="n"/>
      <c r="T1294" s="7" t="n"/>
      <c r="V1294" s="14" t="n"/>
      <c r="Z1294">
        <f>IF($B1294="","",IF(COUNTIF($B$2:$B1294,$B1294)=1,1,0))</f>
        <v/>
      </c>
      <c r="AA1294">
        <f>IF($Z1294=1,SUMPRODUCT(--($AC$2:$AC$3001&lt;$AC1294))+1,"")</f>
        <v/>
      </c>
      <c r="AB1294">
        <f>IF($B1294="","",IF(OR($Y1294=TRUE(),$Y1294="TRUE"),1,IF(AND($Y1294&lt;&gt;"",OR($Y1294=FALSE(),$Y1294="FALSE")),0,IF(MIN(ABS($X1294/100-Settings!$C$6),ABS($X1294/100-Settings!$G$6))&lt;=MIN(ABS($X1294/100-Settings!$C$7),ABS($X1294/100-Settings!$G$7)),1,0))))</f>
        <v/>
      </c>
      <c r="AC1294">
        <f>IF($Z1294=1,IFERROR(IF(VALUE($B1294)&lt;100000000,VALUE($B1294),1000000000),IFERROR(IF(VALUE(MID($B1294,2,20))&lt;100000000,VALUE(MID($B1294,2,20)),1000000000),1000000000))+ROW()/100000,"")</f>
        <v/>
      </c>
    </row>
    <row r="1295">
      <c r="A1295">
        <f>IF($B1295="","",IFERROR(IF(INDEX('Per Invoice'!$A$2:$A$801,MATCH($B1295,'Per Invoice'!$B$2:$B$801,0))=0,"",INDEX('Per Invoice'!$A$2:$A$801,MATCH($B1295,'Per Invoice'!$B$2:$B$801,0))),""))</f>
        <v/>
      </c>
      <c r="J1295" s="7">
        <f>IF($B1295="","",I1295*Q1295/100)</f>
        <v/>
      </c>
      <c r="N1295" s="7" t="n"/>
      <c r="O1295" s="7" t="n"/>
      <c r="P1295" s="7">
        <f>IF($B1295="","",O1295*X1295/100)</f>
        <v/>
      </c>
      <c r="Q1295" s="7">
        <f>IF($B1295="","",O1295-P1295)</f>
        <v/>
      </c>
      <c r="R1295" s="7">
        <f>IF($B1295="","",Q1295-J1295)</f>
        <v/>
      </c>
      <c r="S1295" s="7" t="n"/>
      <c r="T1295" s="7" t="n"/>
      <c r="V1295" s="14" t="n"/>
      <c r="Z1295">
        <f>IF($B1295="","",IF(COUNTIF($B$2:$B1295,$B1295)=1,1,0))</f>
        <v/>
      </c>
      <c r="AA1295">
        <f>IF($Z1295=1,SUMPRODUCT(--($AC$2:$AC$3001&lt;$AC1295))+1,"")</f>
        <v/>
      </c>
      <c r="AB1295">
        <f>IF($B1295="","",IF(OR($Y1295=TRUE(),$Y1295="TRUE"),1,IF(AND($Y1295&lt;&gt;"",OR($Y1295=FALSE(),$Y1295="FALSE")),0,IF(MIN(ABS($X1295/100-Settings!$C$6),ABS($X1295/100-Settings!$G$6))&lt;=MIN(ABS($X1295/100-Settings!$C$7),ABS($X1295/100-Settings!$G$7)),1,0))))</f>
        <v/>
      </c>
      <c r="AC1295">
        <f>IF($Z1295=1,IFERROR(IF(VALUE($B1295)&lt;100000000,VALUE($B1295),1000000000),IFERROR(IF(VALUE(MID($B1295,2,20))&lt;100000000,VALUE(MID($B1295,2,20)),1000000000),1000000000))+ROW()/100000,"")</f>
        <v/>
      </c>
    </row>
    <row r="1296">
      <c r="A1296">
        <f>IF($B1296="","",IFERROR(IF(INDEX('Per Invoice'!$A$2:$A$801,MATCH($B1296,'Per Invoice'!$B$2:$B$801,0))=0,"",INDEX('Per Invoice'!$A$2:$A$801,MATCH($B1296,'Per Invoice'!$B$2:$B$801,0))),""))</f>
        <v/>
      </c>
      <c r="J1296" s="7">
        <f>IF($B1296="","",I1296*Q1296/100)</f>
        <v/>
      </c>
      <c r="N1296" s="7" t="n"/>
      <c r="O1296" s="7" t="n"/>
      <c r="P1296" s="7">
        <f>IF($B1296="","",O1296*X1296/100)</f>
        <v/>
      </c>
      <c r="Q1296" s="7">
        <f>IF($B1296="","",O1296-P1296)</f>
        <v/>
      </c>
      <c r="R1296" s="7">
        <f>IF($B1296="","",Q1296-J1296)</f>
        <v/>
      </c>
      <c r="S1296" s="7" t="n"/>
      <c r="T1296" s="7" t="n"/>
      <c r="V1296" s="14" t="n"/>
      <c r="Z1296">
        <f>IF($B1296="","",IF(COUNTIF($B$2:$B1296,$B1296)=1,1,0))</f>
        <v/>
      </c>
      <c r="AA1296">
        <f>IF($Z1296=1,SUMPRODUCT(--($AC$2:$AC$3001&lt;$AC1296))+1,"")</f>
        <v/>
      </c>
      <c r="AB1296">
        <f>IF($B1296="","",IF(OR($Y1296=TRUE(),$Y1296="TRUE"),1,IF(AND($Y1296&lt;&gt;"",OR($Y1296=FALSE(),$Y1296="FALSE")),0,IF(MIN(ABS($X1296/100-Settings!$C$6),ABS($X1296/100-Settings!$G$6))&lt;=MIN(ABS($X1296/100-Settings!$C$7),ABS($X1296/100-Settings!$G$7)),1,0))))</f>
        <v/>
      </c>
      <c r="AC1296">
        <f>IF($Z1296=1,IFERROR(IF(VALUE($B1296)&lt;100000000,VALUE($B1296),1000000000),IFERROR(IF(VALUE(MID($B1296,2,20))&lt;100000000,VALUE(MID($B1296,2,20)),1000000000),1000000000))+ROW()/100000,"")</f>
        <v/>
      </c>
    </row>
    <row r="1297">
      <c r="A1297">
        <f>IF($B1297="","",IFERROR(IF(INDEX('Per Invoice'!$A$2:$A$801,MATCH($B1297,'Per Invoice'!$B$2:$B$801,0))=0,"",INDEX('Per Invoice'!$A$2:$A$801,MATCH($B1297,'Per Invoice'!$B$2:$B$801,0))),""))</f>
        <v/>
      </c>
      <c r="J1297" s="7">
        <f>IF($B1297="","",I1297*Q1297/100)</f>
        <v/>
      </c>
      <c r="N1297" s="7" t="n"/>
      <c r="O1297" s="7" t="n"/>
      <c r="P1297" s="7">
        <f>IF($B1297="","",O1297*X1297/100)</f>
        <v/>
      </c>
      <c r="Q1297" s="7">
        <f>IF($B1297="","",O1297-P1297)</f>
        <v/>
      </c>
      <c r="R1297" s="7">
        <f>IF($B1297="","",Q1297-J1297)</f>
        <v/>
      </c>
      <c r="S1297" s="7" t="n"/>
      <c r="T1297" s="7" t="n"/>
      <c r="V1297" s="14" t="n"/>
      <c r="Z1297">
        <f>IF($B1297="","",IF(COUNTIF($B$2:$B1297,$B1297)=1,1,0))</f>
        <v/>
      </c>
      <c r="AA1297">
        <f>IF($Z1297=1,SUMPRODUCT(--($AC$2:$AC$3001&lt;$AC1297))+1,"")</f>
        <v/>
      </c>
      <c r="AB1297">
        <f>IF($B1297="","",IF(OR($Y1297=TRUE(),$Y1297="TRUE"),1,IF(AND($Y1297&lt;&gt;"",OR($Y1297=FALSE(),$Y1297="FALSE")),0,IF(MIN(ABS($X1297/100-Settings!$C$6),ABS($X1297/100-Settings!$G$6))&lt;=MIN(ABS($X1297/100-Settings!$C$7),ABS($X1297/100-Settings!$G$7)),1,0))))</f>
        <v/>
      </c>
      <c r="AC1297">
        <f>IF($Z1297=1,IFERROR(IF(VALUE($B1297)&lt;100000000,VALUE($B1297),1000000000),IFERROR(IF(VALUE(MID($B1297,2,20))&lt;100000000,VALUE(MID($B1297,2,20)),1000000000),1000000000))+ROW()/100000,"")</f>
        <v/>
      </c>
    </row>
    <row r="1298">
      <c r="A1298">
        <f>IF($B1298="","",IFERROR(IF(INDEX('Per Invoice'!$A$2:$A$801,MATCH($B1298,'Per Invoice'!$B$2:$B$801,0))=0,"",INDEX('Per Invoice'!$A$2:$A$801,MATCH($B1298,'Per Invoice'!$B$2:$B$801,0))),""))</f>
        <v/>
      </c>
      <c r="J1298" s="7">
        <f>IF($B1298="","",I1298*Q1298/100)</f>
        <v/>
      </c>
      <c r="N1298" s="7" t="n"/>
      <c r="O1298" s="7" t="n"/>
      <c r="P1298" s="7">
        <f>IF($B1298="","",O1298*X1298/100)</f>
        <v/>
      </c>
      <c r="Q1298" s="7">
        <f>IF($B1298="","",O1298-P1298)</f>
        <v/>
      </c>
      <c r="R1298" s="7">
        <f>IF($B1298="","",Q1298-J1298)</f>
        <v/>
      </c>
      <c r="S1298" s="7" t="n"/>
      <c r="T1298" s="7" t="n"/>
      <c r="V1298" s="14" t="n"/>
      <c r="Z1298">
        <f>IF($B1298="","",IF(COUNTIF($B$2:$B1298,$B1298)=1,1,0))</f>
        <v/>
      </c>
      <c r="AA1298">
        <f>IF($Z1298=1,SUMPRODUCT(--($AC$2:$AC$3001&lt;$AC1298))+1,"")</f>
        <v/>
      </c>
      <c r="AB1298">
        <f>IF($B1298="","",IF(OR($Y1298=TRUE(),$Y1298="TRUE"),1,IF(AND($Y1298&lt;&gt;"",OR($Y1298=FALSE(),$Y1298="FALSE")),0,IF(MIN(ABS($X1298/100-Settings!$C$6),ABS($X1298/100-Settings!$G$6))&lt;=MIN(ABS($X1298/100-Settings!$C$7),ABS($X1298/100-Settings!$G$7)),1,0))))</f>
        <v/>
      </c>
      <c r="AC1298">
        <f>IF($Z1298=1,IFERROR(IF(VALUE($B1298)&lt;100000000,VALUE($B1298),1000000000),IFERROR(IF(VALUE(MID($B1298,2,20))&lt;100000000,VALUE(MID($B1298,2,20)),1000000000),1000000000))+ROW()/100000,"")</f>
        <v/>
      </c>
    </row>
    <row r="1299">
      <c r="A1299">
        <f>IF($B1299="","",IFERROR(IF(INDEX('Per Invoice'!$A$2:$A$801,MATCH($B1299,'Per Invoice'!$B$2:$B$801,0))=0,"",INDEX('Per Invoice'!$A$2:$A$801,MATCH($B1299,'Per Invoice'!$B$2:$B$801,0))),""))</f>
        <v/>
      </c>
      <c r="J1299" s="7">
        <f>IF($B1299="","",I1299*Q1299/100)</f>
        <v/>
      </c>
      <c r="N1299" s="7" t="n"/>
      <c r="O1299" s="7" t="n"/>
      <c r="P1299" s="7">
        <f>IF($B1299="","",O1299*X1299/100)</f>
        <v/>
      </c>
      <c r="Q1299" s="7">
        <f>IF($B1299="","",O1299-P1299)</f>
        <v/>
      </c>
      <c r="R1299" s="7">
        <f>IF($B1299="","",Q1299-J1299)</f>
        <v/>
      </c>
      <c r="S1299" s="7" t="n"/>
      <c r="T1299" s="7" t="n"/>
      <c r="V1299" s="14" t="n"/>
      <c r="Z1299">
        <f>IF($B1299="","",IF(COUNTIF($B$2:$B1299,$B1299)=1,1,0))</f>
        <v/>
      </c>
      <c r="AA1299">
        <f>IF($Z1299=1,SUMPRODUCT(--($AC$2:$AC$3001&lt;$AC1299))+1,"")</f>
        <v/>
      </c>
      <c r="AB1299">
        <f>IF($B1299="","",IF(OR($Y1299=TRUE(),$Y1299="TRUE"),1,IF(AND($Y1299&lt;&gt;"",OR($Y1299=FALSE(),$Y1299="FALSE")),0,IF(MIN(ABS($X1299/100-Settings!$C$6),ABS($X1299/100-Settings!$G$6))&lt;=MIN(ABS($X1299/100-Settings!$C$7),ABS($X1299/100-Settings!$G$7)),1,0))))</f>
        <v/>
      </c>
      <c r="AC1299">
        <f>IF($Z1299=1,IFERROR(IF(VALUE($B1299)&lt;100000000,VALUE($B1299),1000000000),IFERROR(IF(VALUE(MID($B1299,2,20))&lt;100000000,VALUE(MID($B1299,2,20)),1000000000),1000000000))+ROW()/100000,"")</f>
        <v/>
      </c>
    </row>
    <row r="1300">
      <c r="A1300">
        <f>IF($B1300="","",IFERROR(IF(INDEX('Per Invoice'!$A$2:$A$801,MATCH($B1300,'Per Invoice'!$B$2:$B$801,0))=0,"",INDEX('Per Invoice'!$A$2:$A$801,MATCH($B1300,'Per Invoice'!$B$2:$B$801,0))),""))</f>
        <v/>
      </c>
      <c r="J1300" s="7">
        <f>IF($B1300="","",I1300*Q1300/100)</f>
        <v/>
      </c>
      <c r="N1300" s="7" t="n"/>
      <c r="O1300" s="7" t="n"/>
      <c r="P1300" s="7">
        <f>IF($B1300="","",O1300*X1300/100)</f>
        <v/>
      </c>
      <c r="Q1300" s="7">
        <f>IF($B1300="","",O1300-P1300)</f>
        <v/>
      </c>
      <c r="R1300" s="7">
        <f>IF($B1300="","",Q1300-J1300)</f>
        <v/>
      </c>
      <c r="S1300" s="7" t="n"/>
      <c r="T1300" s="7" t="n"/>
      <c r="V1300" s="14" t="n"/>
      <c r="Z1300">
        <f>IF($B1300="","",IF(COUNTIF($B$2:$B1300,$B1300)=1,1,0))</f>
        <v/>
      </c>
      <c r="AA1300">
        <f>IF($Z1300=1,SUMPRODUCT(--($AC$2:$AC$3001&lt;$AC1300))+1,"")</f>
        <v/>
      </c>
      <c r="AB1300">
        <f>IF($B1300="","",IF(OR($Y1300=TRUE(),$Y1300="TRUE"),1,IF(AND($Y1300&lt;&gt;"",OR($Y1300=FALSE(),$Y1300="FALSE")),0,IF(MIN(ABS($X1300/100-Settings!$C$6),ABS($X1300/100-Settings!$G$6))&lt;=MIN(ABS($X1300/100-Settings!$C$7),ABS($X1300/100-Settings!$G$7)),1,0))))</f>
        <v/>
      </c>
      <c r="AC1300">
        <f>IF($Z1300=1,IFERROR(IF(VALUE($B1300)&lt;100000000,VALUE($B1300),1000000000),IFERROR(IF(VALUE(MID($B1300,2,20))&lt;100000000,VALUE(MID($B1300,2,20)),1000000000),1000000000))+ROW()/100000,"")</f>
        <v/>
      </c>
    </row>
    <row r="1301">
      <c r="A1301">
        <f>IF($B1301="","",IFERROR(IF(INDEX('Per Invoice'!$A$2:$A$801,MATCH($B1301,'Per Invoice'!$B$2:$B$801,0))=0,"",INDEX('Per Invoice'!$A$2:$A$801,MATCH($B1301,'Per Invoice'!$B$2:$B$801,0))),""))</f>
        <v/>
      </c>
      <c r="J1301" s="7">
        <f>IF($B1301="","",I1301*Q1301/100)</f>
        <v/>
      </c>
      <c r="N1301" s="7" t="n"/>
      <c r="O1301" s="7" t="n"/>
      <c r="P1301" s="7">
        <f>IF($B1301="","",O1301*X1301/100)</f>
        <v/>
      </c>
      <c r="Q1301" s="7">
        <f>IF($B1301="","",O1301-P1301)</f>
        <v/>
      </c>
      <c r="R1301" s="7">
        <f>IF($B1301="","",Q1301-J1301)</f>
        <v/>
      </c>
      <c r="S1301" s="7" t="n"/>
      <c r="T1301" s="7" t="n"/>
      <c r="V1301" s="14" t="n"/>
      <c r="Z1301">
        <f>IF($B1301="","",IF(COUNTIF($B$2:$B1301,$B1301)=1,1,0))</f>
        <v/>
      </c>
      <c r="AA1301">
        <f>IF($Z1301=1,SUMPRODUCT(--($AC$2:$AC$3001&lt;$AC1301))+1,"")</f>
        <v/>
      </c>
      <c r="AB1301">
        <f>IF($B1301="","",IF(OR($Y1301=TRUE(),$Y1301="TRUE"),1,IF(AND($Y1301&lt;&gt;"",OR($Y1301=FALSE(),$Y1301="FALSE")),0,IF(MIN(ABS($X1301/100-Settings!$C$6),ABS($X1301/100-Settings!$G$6))&lt;=MIN(ABS($X1301/100-Settings!$C$7),ABS($X1301/100-Settings!$G$7)),1,0))))</f>
        <v/>
      </c>
      <c r="AC1301">
        <f>IF($Z1301=1,IFERROR(IF(VALUE($B1301)&lt;100000000,VALUE($B1301),1000000000),IFERROR(IF(VALUE(MID($B1301,2,20))&lt;100000000,VALUE(MID($B1301,2,20)),1000000000),1000000000))+ROW()/100000,"")</f>
        <v/>
      </c>
    </row>
    <row r="1302">
      <c r="A1302">
        <f>IF($B1302="","",IFERROR(IF(INDEX('Per Invoice'!$A$2:$A$801,MATCH($B1302,'Per Invoice'!$B$2:$B$801,0))=0,"",INDEX('Per Invoice'!$A$2:$A$801,MATCH($B1302,'Per Invoice'!$B$2:$B$801,0))),""))</f>
        <v/>
      </c>
      <c r="J1302" s="7">
        <f>IF($B1302="","",I1302*Q1302/100)</f>
        <v/>
      </c>
      <c r="N1302" s="7" t="n"/>
      <c r="O1302" s="7" t="n"/>
      <c r="P1302" s="7">
        <f>IF($B1302="","",O1302*X1302/100)</f>
        <v/>
      </c>
      <c r="Q1302" s="7">
        <f>IF($B1302="","",O1302-P1302)</f>
        <v/>
      </c>
      <c r="R1302" s="7">
        <f>IF($B1302="","",Q1302-J1302)</f>
        <v/>
      </c>
      <c r="S1302" s="7" t="n"/>
      <c r="T1302" s="7" t="n"/>
      <c r="V1302" s="14" t="n"/>
      <c r="Z1302">
        <f>IF($B1302="","",IF(COUNTIF($B$2:$B1302,$B1302)=1,1,0))</f>
        <v/>
      </c>
      <c r="AA1302">
        <f>IF($Z1302=1,SUMPRODUCT(--($AC$2:$AC$3001&lt;$AC1302))+1,"")</f>
        <v/>
      </c>
      <c r="AB1302">
        <f>IF($B1302="","",IF(OR($Y1302=TRUE(),$Y1302="TRUE"),1,IF(AND($Y1302&lt;&gt;"",OR($Y1302=FALSE(),$Y1302="FALSE")),0,IF(MIN(ABS($X1302/100-Settings!$C$6),ABS($X1302/100-Settings!$G$6))&lt;=MIN(ABS($X1302/100-Settings!$C$7),ABS($X1302/100-Settings!$G$7)),1,0))))</f>
        <v/>
      </c>
      <c r="AC1302">
        <f>IF($Z1302=1,IFERROR(IF(VALUE($B1302)&lt;100000000,VALUE($B1302),1000000000),IFERROR(IF(VALUE(MID($B1302,2,20))&lt;100000000,VALUE(MID($B1302,2,20)),1000000000),1000000000))+ROW()/100000,"")</f>
        <v/>
      </c>
    </row>
    <row r="1303">
      <c r="A1303">
        <f>IF($B1303="","",IFERROR(IF(INDEX('Per Invoice'!$A$2:$A$801,MATCH($B1303,'Per Invoice'!$B$2:$B$801,0))=0,"",INDEX('Per Invoice'!$A$2:$A$801,MATCH($B1303,'Per Invoice'!$B$2:$B$801,0))),""))</f>
        <v/>
      </c>
      <c r="J1303" s="7">
        <f>IF($B1303="","",I1303*Q1303/100)</f>
        <v/>
      </c>
      <c r="N1303" s="7" t="n"/>
      <c r="O1303" s="7" t="n"/>
      <c r="P1303" s="7">
        <f>IF($B1303="","",O1303*X1303/100)</f>
        <v/>
      </c>
      <c r="Q1303" s="7">
        <f>IF($B1303="","",O1303-P1303)</f>
        <v/>
      </c>
      <c r="R1303" s="7">
        <f>IF($B1303="","",Q1303-J1303)</f>
        <v/>
      </c>
      <c r="S1303" s="7" t="n"/>
      <c r="T1303" s="7" t="n"/>
      <c r="V1303" s="14" t="n"/>
      <c r="Z1303">
        <f>IF($B1303="","",IF(COUNTIF($B$2:$B1303,$B1303)=1,1,0))</f>
        <v/>
      </c>
      <c r="AA1303">
        <f>IF($Z1303=1,SUMPRODUCT(--($AC$2:$AC$3001&lt;$AC1303))+1,"")</f>
        <v/>
      </c>
      <c r="AB1303">
        <f>IF($B1303="","",IF(OR($Y1303=TRUE(),$Y1303="TRUE"),1,IF(AND($Y1303&lt;&gt;"",OR($Y1303=FALSE(),$Y1303="FALSE")),0,IF(MIN(ABS($X1303/100-Settings!$C$6),ABS($X1303/100-Settings!$G$6))&lt;=MIN(ABS($X1303/100-Settings!$C$7),ABS($X1303/100-Settings!$G$7)),1,0))))</f>
        <v/>
      </c>
      <c r="AC1303">
        <f>IF($Z1303=1,IFERROR(IF(VALUE($B1303)&lt;100000000,VALUE($B1303),1000000000),IFERROR(IF(VALUE(MID($B1303,2,20))&lt;100000000,VALUE(MID($B1303,2,20)),1000000000),1000000000))+ROW()/100000,"")</f>
        <v/>
      </c>
    </row>
    <row r="1304">
      <c r="A1304">
        <f>IF($B1304="","",IFERROR(IF(INDEX('Per Invoice'!$A$2:$A$801,MATCH($B1304,'Per Invoice'!$B$2:$B$801,0))=0,"",INDEX('Per Invoice'!$A$2:$A$801,MATCH($B1304,'Per Invoice'!$B$2:$B$801,0))),""))</f>
        <v/>
      </c>
      <c r="J1304" s="7">
        <f>IF($B1304="","",I1304*Q1304/100)</f>
        <v/>
      </c>
      <c r="N1304" s="7" t="n"/>
      <c r="O1304" s="7" t="n"/>
      <c r="P1304" s="7">
        <f>IF($B1304="","",O1304*X1304/100)</f>
        <v/>
      </c>
      <c r="Q1304" s="7">
        <f>IF($B1304="","",O1304-P1304)</f>
        <v/>
      </c>
      <c r="R1304" s="7">
        <f>IF($B1304="","",Q1304-J1304)</f>
        <v/>
      </c>
      <c r="S1304" s="7" t="n"/>
      <c r="T1304" s="7" t="n"/>
      <c r="V1304" s="14" t="n"/>
      <c r="Z1304">
        <f>IF($B1304="","",IF(COUNTIF($B$2:$B1304,$B1304)=1,1,0))</f>
        <v/>
      </c>
      <c r="AA1304">
        <f>IF($Z1304=1,SUMPRODUCT(--($AC$2:$AC$3001&lt;$AC1304))+1,"")</f>
        <v/>
      </c>
      <c r="AB1304">
        <f>IF($B1304="","",IF(OR($Y1304=TRUE(),$Y1304="TRUE"),1,IF(AND($Y1304&lt;&gt;"",OR($Y1304=FALSE(),$Y1304="FALSE")),0,IF(MIN(ABS($X1304/100-Settings!$C$6),ABS($X1304/100-Settings!$G$6))&lt;=MIN(ABS($X1304/100-Settings!$C$7),ABS($X1304/100-Settings!$G$7)),1,0))))</f>
        <v/>
      </c>
      <c r="AC1304">
        <f>IF($Z1304=1,IFERROR(IF(VALUE($B1304)&lt;100000000,VALUE($B1304),1000000000),IFERROR(IF(VALUE(MID($B1304,2,20))&lt;100000000,VALUE(MID($B1304,2,20)),1000000000),1000000000))+ROW()/100000,"")</f>
        <v/>
      </c>
    </row>
    <row r="1305">
      <c r="A1305">
        <f>IF($B1305="","",IFERROR(IF(INDEX('Per Invoice'!$A$2:$A$801,MATCH($B1305,'Per Invoice'!$B$2:$B$801,0))=0,"",INDEX('Per Invoice'!$A$2:$A$801,MATCH($B1305,'Per Invoice'!$B$2:$B$801,0))),""))</f>
        <v/>
      </c>
      <c r="J1305" s="7">
        <f>IF($B1305="","",I1305*Q1305/100)</f>
        <v/>
      </c>
      <c r="N1305" s="7" t="n"/>
      <c r="O1305" s="7" t="n"/>
      <c r="P1305" s="7">
        <f>IF($B1305="","",O1305*X1305/100)</f>
        <v/>
      </c>
      <c r="Q1305" s="7">
        <f>IF($B1305="","",O1305-P1305)</f>
        <v/>
      </c>
      <c r="R1305" s="7">
        <f>IF($B1305="","",Q1305-J1305)</f>
        <v/>
      </c>
      <c r="S1305" s="7" t="n"/>
      <c r="T1305" s="7" t="n"/>
      <c r="V1305" s="14" t="n"/>
      <c r="Z1305">
        <f>IF($B1305="","",IF(COUNTIF($B$2:$B1305,$B1305)=1,1,0))</f>
        <v/>
      </c>
      <c r="AA1305">
        <f>IF($Z1305=1,SUMPRODUCT(--($AC$2:$AC$3001&lt;$AC1305))+1,"")</f>
        <v/>
      </c>
      <c r="AB1305">
        <f>IF($B1305="","",IF(OR($Y1305=TRUE(),$Y1305="TRUE"),1,IF(AND($Y1305&lt;&gt;"",OR($Y1305=FALSE(),$Y1305="FALSE")),0,IF(MIN(ABS($X1305/100-Settings!$C$6),ABS($X1305/100-Settings!$G$6))&lt;=MIN(ABS($X1305/100-Settings!$C$7),ABS($X1305/100-Settings!$G$7)),1,0))))</f>
        <v/>
      </c>
      <c r="AC1305">
        <f>IF($Z1305=1,IFERROR(IF(VALUE($B1305)&lt;100000000,VALUE($B1305),1000000000),IFERROR(IF(VALUE(MID($B1305,2,20))&lt;100000000,VALUE(MID($B1305,2,20)),1000000000),1000000000))+ROW()/100000,"")</f>
        <v/>
      </c>
    </row>
    <row r="1306">
      <c r="A1306">
        <f>IF($B1306="","",IFERROR(IF(INDEX('Per Invoice'!$A$2:$A$801,MATCH($B1306,'Per Invoice'!$B$2:$B$801,0))=0,"",INDEX('Per Invoice'!$A$2:$A$801,MATCH($B1306,'Per Invoice'!$B$2:$B$801,0))),""))</f>
        <v/>
      </c>
      <c r="J1306" s="7">
        <f>IF($B1306="","",I1306*Q1306/100)</f>
        <v/>
      </c>
      <c r="N1306" s="7" t="n"/>
      <c r="O1306" s="7" t="n"/>
      <c r="P1306" s="7">
        <f>IF($B1306="","",O1306*X1306/100)</f>
        <v/>
      </c>
      <c r="Q1306" s="7">
        <f>IF($B1306="","",O1306-P1306)</f>
        <v/>
      </c>
      <c r="R1306" s="7">
        <f>IF($B1306="","",Q1306-J1306)</f>
        <v/>
      </c>
      <c r="S1306" s="7" t="n"/>
      <c r="T1306" s="7" t="n"/>
      <c r="V1306" s="14" t="n"/>
      <c r="Z1306">
        <f>IF($B1306="","",IF(COUNTIF($B$2:$B1306,$B1306)=1,1,0))</f>
        <v/>
      </c>
      <c r="AA1306">
        <f>IF($Z1306=1,SUMPRODUCT(--($AC$2:$AC$3001&lt;$AC1306))+1,"")</f>
        <v/>
      </c>
      <c r="AB1306">
        <f>IF($B1306="","",IF(OR($Y1306=TRUE(),$Y1306="TRUE"),1,IF(AND($Y1306&lt;&gt;"",OR($Y1306=FALSE(),$Y1306="FALSE")),0,IF(MIN(ABS($X1306/100-Settings!$C$6),ABS($X1306/100-Settings!$G$6))&lt;=MIN(ABS($X1306/100-Settings!$C$7),ABS($X1306/100-Settings!$G$7)),1,0))))</f>
        <v/>
      </c>
      <c r="AC1306">
        <f>IF($Z1306=1,IFERROR(IF(VALUE($B1306)&lt;100000000,VALUE($B1306),1000000000),IFERROR(IF(VALUE(MID($B1306,2,20))&lt;100000000,VALUE(MID($B1306,2,20)),1000000000),1000000000))+ROW()/100000,"")</f>
        <v/>
      </c>
    </row>
    <row r="1307">
      <c r="A1307">
        <f>IF($B1307="","",IFERROR(IF(INDEX('Per Invoice'!$A$2:$A$801,MATCH($B1307,'Per Invoice'!$B$2:$B$801,0))=0,"",INDEX('Per Invoice'!$A$2:$A$801,MATCH($B1307,'Per Invoice'!$B$2:$B$801,0))),""))</f>
        <v/>
      </c>
      <c r="J1307" s="7">
        <f>IF($B1307="","",I1307*Q1307/100)</f>
        <v/>
      </c>
      <c r="N1307" s="7" t="n"/>
      <c r="O1307" s="7" t="n"/>
      <c r="P1307" s="7">
        <f>IF($B1307="","",O1307*X1307/100)</f>
        <v/>
      </c>
      <c r="Q1307" s="7">
        <f>IF($B1307="","",O1307-P1307)</f>
        <v/>
      </c>
      <c r="R1307" s="7">
        <f>IF($B1307="","",Q1307-J1307)</f>
        <v/>
      </c>
      <c r="S1307" s="7" t="n"/>
      <c r="T1307" s="7" t="n"/>
      <c r="V1307" s="14" t="n"/>
      <c r="Z1307">
        <f>IF($B1307="","",IF(COUNTIF($B$2:$B1307,$B1307)=1,1,0))</f>
        <v/>
      </c>
      <c r="AA1307">
        <f>IF($Z1307=1,SUMPRODUCT(--($AC$2:$AC$3001&lt;$AC1307))+1,"")</f>
        <v/>
      </c>
      <c r="AB1307">
        <f>IF($B1307="","",IF(OR($Y1307=TRUE(),$Y1307="TRUE"),1,IF(AND($Y1307&lt;&gt;"",OR($Y1307=FALSE(),$Y1307="FALSE")),0,IF(MIN(ABS($X1307/100-Settings!$C$6),ABS($X1307/100-Settings!$G$6))&lt;=MIN(ABS($X1307/100-Settings!$C$7),ABS($X1307/100-Settings!$G$7)),1,0))))</f>
        <v/>
      </c>
      <c r="AC1307">
        <f>IF($Z1307=1,IFERROR(IF(VALUE($B1307)&lt;100000000,VALUE($B1307),1000000000),IFERROR(IF(VALUE(MID($B1307,2,20))&lt;100000000,VALUE(MID($B1307,2,20)),1000000000),1000000000))+ROW()/100000,"")</f>
        <v/>
      </c>
    </row>
    <row r="1308">
      <c r="A1308">
        <f>IF($B1308="","",IFERROR(IF(INDEX('Per Invoice'!$A$2:$A$801,MATCH($B1308,'Per Invoice'!$B$2:$B$801,0))=0,"",INDEX('Per Invoice'!$A$2:$A$801,MATCH($B1308,'Per Invoice'!$B$2:$B$801,0))),""))</f>
        <v/>
      </c>
      <c r="J1308" s="7">
        <f>IF($B1308="","",I1308*Q1308/100)</f>
        <v/>
      </c>
      <c r="N1308" s="7" t="n"/>
      <c r="O1308" s="7" t="n"/>
      <c r="P1308" s="7">
        <f>IF($B1308="","",O1308*X1308/100)</f>
        <v/>
      </c>
      <c r="Q1308" s="7">
        <f>IF($B1308="","",O1308-P1308)</f>
        <v/>
      </c>
      <c r="R1308" s="7">
        <f>IF($B1308="","",Q1308-J1308)</f>
        <v/>
      </c>
      <c r="S1308" s="7" t="n"/>
      <c r="T1308" s="7" t="n"/>
      <c r="V1308" s="14" t="n"/>
      <c r="Z1308">
        <f>IF($B1308="","",IF(COUNTIF($B$2:$B1308,$B1308)=1,1,0))</f>
        <v/>
      </c>
      <c r="AA1308">
        <f>IF($Z1308=1,SUMPRODUCT(--($AC$2:$AC$3001&lt;$AC1308))+1,"")</f>
        <v/>
      </c>
      <c r="AB1308">
        <f>IF($B1308="","",IF(OR($Y1308=TRUE(),$Y1308="TRUE"),1,IF(AND($Y1308&lt;&gt;"",OR($Y1308=FALSE(),$Y1308="FALSE")),0,IF(MIN(ABS($X1308/100-Settings!$C$6),ABS($X1308/100-Settings!$G$6))&lt;=MIN(ABS($X1308/100-Settings!$C$7),ABS($X1308/100-Settings!$G$7)),1,0))))</f>
        <v/>
      </c>
      <c r="AC1308">
        <f>IF($Z1308=1,IFERROR(IF(VALUE($B1308)&lt;100000000,VALUE($B1308),1000000000),IFERROR(IF(VALUE(MID($B1308,2,20))&lt;100000000,VALUE(MID($B1308,2,20)),1000000000),1000000000))+ROW()/100000,"")</f>
        <v/>
      </c>
    </row>
    <row r="1309">
      <c r="A1309">
        <f>IF($B1309="","",IFERROR(IF(INDEX('Per Invoice'!$A$2:$A$801,MATCH($B1309,'Per Invoice'!$B$2:$B$801,0))=0,"",INDEX('Per Invoice'!$A$2:$A$801,MATCH($B1309,'Per Invoice'!$B$2:$B$801,0))),""))</f>
        <v/>
      </c>
      <c r="J1309" s="7">
        <f>IF($B1309="","",I1309*Q1309/100)</f>
        <v/>
      </c>
      <c r="N1309" s="7" t="n"/>
      <c r="O1309" s="7" t="n"/>
      <c r="P1309" s="7">
        <f>IF($B1309="","",O1309*X1309/100)</f>
        <v/>
      </c>
      <c r="Q1309" s="7">
        <f>IF($B1309="","",O1309-P1309)</f>
        <v/>
      </c>
      <c r="R1309" s="7">
        <f>IF($B1309="","",Q1309-J1309)</f>
        <v/>
      </c>
      <c r="S1309" s="7" t="n"/>
      <c r="T1309" s="7" t="n"/>
      <c r="V1309" s="14" t="n"/>
      <c r="Z1309">
        <f>IF($B1309="","",IF(COUNTIF($B$2:$B1309,$B1309)=1,1,0))</f>
        <v/>
      </c>
      <c r="AA1309">
        <f>IF($Z1309=1,SUMPRODUCT(--($AC$2:$AC$3001&lt;$AC1309))+1,"")</f>
        <v/>
      </c>
      <c r="AB1309">
        <f>IF($B1309="","",IF(OR($Y1309=TRUE(),$Y1309="TRUE"),1,IF(AND($Y1309&lt;&gt;"",OR($Y1309=FALSE(),$Y1309="FALSE")),0,IF(MIN(ABS($X1309/100-Settings!$C$6),ABS($X1309/100-Settings!$G$6))&lt;=MIN(ABS($X1309/100-Settings!$C$7),ABS($X1309/100-Settings!$G$7)),1,0))))</f>
        <v/>
      </c>
      <c r="AC1309">
        <f>IF($Z1309=1,IFERROR(IF(VALUE($B1309)&lt;100000000,VALUE($B1309),1000000000),IFERROR(IF(VALUE(MID($B1309,2,20))&lt;100000000,VALUE(MID($B1309,2,20)),1000000000),1000000000))+ROW()/100000,"")</f>
        <v/>
      </c>
    </row>
    <row r="1310">
      <c r="A1310">
        <f>IF($B1310="","",IFERROR(IF(INDEX('Per Invoice'!$A$2:$A$801,MATCH($B1310,'Per Invoice'!$B$2:$B$801,0))=0,"",INDEX('Per Invoice'!$A$2:$A$801,MATCH($B1310,'Per Invoice'!$B$2:$B$801,0))),""))</f>
        <v/>
      </c>
      <c r="J1310" s="7">
        <f>IF($B1310="","",I1310*Q1310/100)</f>
        <v/>
      </c>
      <c r="N1310" s="7" t="n"/>
      <c r="O1310" s="7" t="n"/>
      <c r="P1310" s="7">
        <f>IF($B1310="","",O1310*X1310/100)</f>
        <v/>
      </c>
      <c r="Q1310" s="7">
        <f>IF($B1310="","",O1310-P1310)</f>
        <v/>
      </c>
      <c r="R1310" s="7">
        <f>IF($B1310="","",Q1310-J1310)</f>
        <v/>
      </c>
      <c r="S1310" s="7" t="n"/>
      <c r="T1310" s="7" t="n"/>
      <c r="V1310" s="14" t="n"/>
      <c r="Z1310">
        <f>IF($B1310="","",IF(COUNTIF($B$2:$B1310,$B1310)=1,1,0))</f>
        <v/>
      </c>
      <c r="AA1310">
        <f>IF($Z1310=1,SUMPRODUCT(--($AC$2:$AC$3001&lt;$AC1310))+1,"")</f>
        <v/>
      </c>
      <c r="AB1310">
        <f>IF($B1310="","",IF(OR($Y1310=TRUE(),$Y1310="TRUE"),1,IF(AND($Y1310&lt;&gt;"",OR($Y1310=FALSE(),$Y1310="FALSE")),0,IF(MIN(ABS($X1310/100-Settings!$C$6),ABS($X1310/100-Settings!$G$6))&lt;=MIN(ABS($X1310/100-Settings!$C$7),ABS($X1310/100-Settings!$G$7)),1,0))))</f>
        <v/>
      </c>
      <c r="AC1310">
        <f>IF($Z1310=1,IFERROR(IF(VALUE($B1310)&lt;100000000,VALUE($B1310),1000000000),IFERROR(IF(VALUE(MID($B1310,2,20))&lt;100000000,VALUE(MID($B1310,2,20)),1000000000),1000000000))+ROW()/100000,"")</f>
        <v/>
      </c>
    </row>
    <row r="1311">
      <c r="A1311">
        <f>IF($B1311="","",IFERROR(IF(INDEX('Per Invoice'!$A$2:$A$801,MATCH($B1311,'Per Invoice'!$B$2:$B$801,0))=0,"",INDEX('Per Invoice'!$A$2:$A$801,MATCH($B1311,'Per Invoice'!$B$2:$B$801,0))),""))</f>
        <v/>
      </c>
      <c r="J1311" s="7">
        <f>IF($B1311="","",I1311*Q1311/100)</f>
        <v/>
      </c>
      <c r="N1311" s="7" t="n"/>
      <c r="O1311" s="7" t="n"/>
      <c r="P1311" s="7">
        <f>IF($B1311="","",O1311*X1311/100)</f>
        <v/>
      </c>
      <c r="Q1311" s="7">
        <f>IF($B1311="","",O1311-P1311)</f>
        <v/>
      </c>
      <c r="R1311" s="7">
        <f>IF($B1311="","",Q1311-J1311)</f>
        <v/>
      </c>
      <c r="S1311" s="7" t="n"/>
      <c r="T1311" s="7" t="n"/>
      <c r="V1311" s="14" t="n"/>
      <c r="Z1311">
        <f>IF($B1311="","",IF(COUNTIF($B$2:$B1311,$B1311)=1,1,0))</f>
        <v/>
      </c>
      <c r="AA1311">
        <f>IF($Z1311=1,SUMPRODUCT(--($AC$2:$AC$3001&lt;$AC1311))+1,"")</f>
        <v/>
      </c>
      <c r="AB1311">
        <f>IF($B1311="","",IF(OR($Y1311=TRUE(),$Y1311="TRUE"),1,IF(AND($Y1311&lt;&gt;"",OR($Y1311=FALSE(),$Y1311="FALSE")),0,IF(MIN(ABS($X1311/100-Settings!$C$6),ABS($X1311/100-Settings!$G$6))&lt;=MIN(ABS($X1311/100-Settings!$C$7),ABS($X1311/100-Settings!$G$7)),1,0))))</f>
        <v/>
      </c>
      <c r="AC1311">
        <f>IF($Z1311=1,IFERROR(IF(VALUE($B1311)&lt;100000000,VALUE($B1311),1000000000),IFERROR(IF(VALUE(MID($B1311,2,20))&lt;100000000,VALUE(MID($B1311,2,20)),1000000000),1000000000))+ROW()/100000,"")</f>
        <v/>
      </c>
    </row>
    <row r="1312">
      <c r="A1312">
        <f>IF($B1312="","",IFERROR(IF(INDEX('Per Invoice'!$A$2:$A$801,MATCH($B1312,'Per Invoice'!$B$2:$B$801,0))=0,"",INDEX('Per Invoice'!$A$2:$A$801,MATCH($B1312,'Per Invoice'!$B$2:$B$801,0))),""))</f>
        <v/>
      </c>
      <c r="J1312" s="7">
        <f>IF($B1312="","",I1312*Q1312/100)</f>
        <v/>
      </c>
      <c r="N1312" s="7" t="n"/>
      <c r="O1312" s="7" t="n"/>
      <c r="P1312" s="7">
        <f>IF($B1312="","",O1312*X1312/100)</f>
        <v/>
      </c>
      <c r="Q1312" s="7">
        <f>IF($B1312="","",O1312-P1312)</f>
        <v/>
      </c>
      <c r="R1312" s="7">
        <f>IF($B1312="","",Q1312-J1312)</f>
        <v/>
      </c>
      <c r="S1312" s="7" t="n"/>
      <c r="T1312" s="7" t="n"/>
      <c r="V1312" s="14" t="n"/>
      <c r="Z1312">
        <f>IF($B1312="","",IF(COUNTIF($B$2:$B1312,$B1312)=1,1,0))</f>
        <v/>
      </c>
      <c r="AA1312">
        <f>IF($Z1312=1,SUMPRODUCT(--($AC$2:$AC$3001&lt;$AC1312))+1,"")</f>
        <v/>
      </c>
      <c r="AB1312">
        <f>IF($B1312="","",IF(OR($Y1312=TRUE(),$Y1312="TRUE"),1,IF(AND($Y1312&lt;&gt;"",OR($Y1312=FALSE(),$Y1312="FALSE")),0,IF(MIN(ABS($X1312/100-Settings!$C$6),ABS($X1312/100-Settings!$G$6))&lt;=MIN(ABS($X1312/100-Settings!$C$7),ABS($X1312/100-Settings!$G$7)),1,0))))</f>
        <v/>
      </c>
      <c r="AC1312">
        <f>IF($Z1312=1,IFERROR(IF(VALUE($B1312)&lt;100000000,VALUE($B1312),1000000000),IFERROR(IF(VALUE(MID($B1312,2,20))&lt;100000000,VALUE(MID($B1312,2,20)),1000000000),1000000000))+ROW()/100000,"")</f>
        <v/>
      </c>
    </row>
    <row r="1313">
      <c r="A1313">
        <f>IF($B1313="","",IFERROR(IF(INDEX('Per Invoice'!$A$2:$A$801,MATCH($B1313,'Per Invoice'!$B$2:$B$801,0))=0,"",INDEX('Per Invoice'!$A$2:$A$801,MATCH($B1313,'Per Invoice'!$B$2:$B$801,0))),""))</f>
        <v/>
      </c>
      <c r="J1313" s="7">
        <f>IF($B1313="","",I1313*Q1313/100)</f>
        <v/>
      </c>
      <c r="N1313" s="7" t="n"/>
      <c r="O1313" s="7" t="n"/>
      <c r="P1313" s="7">
        <f>IF($B1313="","",O1313*X1313/100)</f>
        <v/>
      </c>
      <c r="Q1313" s="7">
        <f>IF($B1313="","",O1313-P1313)</f>
        <v/>
      </c>
      <c r="R1313" s="7">
        <f>IF($B1313="","",Q1313-J1313)</f>
        <v/>
      </c>
      <c r="S1313" s="7" t="n"/>
      <c r="T1313" s="7" t="n"/>
      <c r="V1313" s="14" t="n"/>
      <c r="Z1313">
        <f>IF($B1313="","",IF(COUNTIF($B$2:$B1313,$B1313)=1,1,0))</f>
        <v/>
      </c>
      <c r="AA1313">
        <f>IF($Z1313=1,SUMPRODUCT(--($AC$2:$AC$3001&lt;$AC1313))+1,"")</f>
        <v/>
      </c>
      <c r="AB1313">
        <f>IF($B1313="","",IF(OR($Y1313=TRUE(),$Y1313="TRUE"),1,IF(AND($Y1313&lt;&gt;"",OR($Y1313=FALSE(),$Y1313="FALSE")),0,IF(MIN(ABS($X1313/100-Settings!$C$6),ABS($X1313/100-Settings!$G$6))&lt;=MIN(ABS($X1313/100-Settings!$C$7),ABS($X1313/100-Settings!$G$7)),1,0))))</f>
        <v/>
      </c>
      <c r="AC1313">
        <f>IF($Z1313=1,IFERROR(IF(VALUE($B1313)&lt;100000000,VALUE($B1313),1000000000),IFERROR(IF(VALUE(MID($B1313,2,20))&lt;100000000,VALUE(MID($B1313,2,20)),1000000000),1000000000))+ROW()/100000,"")</f>
        <v/>
      </c>
    </row>
    <row r="1314">
      <c r="A1314">
        <f>IF($B1314="","",IFERROR(IF(INDEX('Per Invoice'!$A$2:$A$801,MATCH($B1314,'Per Invoice'!$B$2:$B$801,0))=0,"",INDEX('Per Invoice'!$A$2:$A$801,MATCH($B1314,'Per Invoice'!$B$2:$B$801,0))),""))</f>
        <v/>
      </c>
      <c r="J1314" s="7">
        <f>IF($B1314="","",I1314*Q1314/100)</f>
        <v/>
      </c>
      <c r="N1314" s="7" t="n"/>
      <c r="O1314" s="7" t="n"/>
      <c r="P1314" s="7">
        <f>IF($B1314="","",O1314*X1314/100)</f>
        <v/>
      </c>
      <c r="Q1314" s="7">
        <f>IF($B1314="","",O1314-P1314)</f>
        <v/>
      </c>
      <c r="R1314" s="7">
        <f>IF($B1314="","",Q1314-J1314)</f>
        <v/>
      </c>
      <c r="S1314" s="7" t="n"/>
      <c r="T1314" s="7" t="n"/>
      <c r="V1314" s="14" t="n"/>
      <c r="Z1314">
        <f>IF($B1314="","",IF(COUNTIF($B$2:$B1314,$B1314)=1,1,0))</f>
        <v/>
      </c>
      <c r="AA1314">
        <f>IF($Z1314=1,SUMPRODUCT(--($AC$2:$AC$3001&lt;$AC1314))+1,"")</f>
        <v/>
      </c>
      <c r="AB1314">
        <f>IF($B1314="","",IF(OR($Y1314=TRUE(),$Y1314="TRUE"),1,IF(AND($Y1314&lt;&gt;"",OR($Y1314=FALSE(),$Y1314="FALSE")),0,IF(MIN(ABS($X1314/100-Settings!$C$6),ABS($X1314/100-Settings!$G$6))&lt;=MIN(ABS($X1314/100-Settings!$C$7),ABS($X1314/100-Settings!$G$7)),1,0))))</f>
        <v/>
      </c>
      <c r="AC1314">
        <f>IF($Z1314=1,IFERROR(IF(VALUE($B1314)&lt;100000000,VALUE($B1314),1000000000),IFERROR(IF(VALUE(MID($B1314,2,20))&lt;100000000,VALUE(MID($B1314,2,20)),1000000000),1000000000))+ROW()/100000,"")</f>
        <v/>
      </c>
    </row>
    <row r="1315">
      <c r="A1315">
        <f>IF($B1315="","",IFERROR(IF(INDEX('Per Invoice'!$A$2:$A$801,MATCH($B1315,'Per Invoice'!$B$2:$B$801,0))=0,"",INDEX('Per Invoice'!$A$2:$A$801,MATCH($B1315,'Per Invoice'!$B$2:$B$801,0))),""))</f>
        <v/>
      </c>
      <c r="J1315" s="7">
        <f>IF($B1315="","",I1315*Q1315/100)</f>
        <v/>
      </c>
      <c r="N1315" s="7" t="n"/>
      <c r="O1315" s="7" t="n"/>
      <c r="P1315" s="7">
        <f>IF($B1315="","",O1315*X1315/100)</f>
        <v/>
      </c>
      <c r="Q1315" s="7">
        <f>IF($B1315="","",O1315-P1315)</f>
        <v/>
      </c>
      <c r="R1315" s="7">
        <f>IF($B1315="","",Q1315-J1315)</f>
        <v/>
      </c>
      <c r="S1315" s="7" t="n"/>
      <c r="T1315" s="7" t="n"/>
      <c r="V1315" s="14" t="n"/>
      <c r="Z1315">
        <f>IF($B1315="","",IF(COUNTIF($B$2:$B1315,$B1315)=1,1,0))</f>
        <v/>
      </c>
      <c r="AA1315">
        <f>IF($Z1315=1,SUMPRODUCT(--($AC$2:$AC$3001&lt;$AC1315))+1,"")</f>
        <v/>
      </c>
      <c r="AB1315">
        <f>IF($B1315="","",IF(OR($Y1315=TRUE(),$Y1315="TRUE"),1,IF(AND($Y1315&lt;&gt;"",OR($Y1315=FALSE(),$Y1315="FALSE")),0,IF(MIN(ABS($X1315/100-Settings!$C$6),ABS($X1315/100-Settings!$G$6))&lt;=MIN(ABS($X1315/100-Settings!$C$7),ABS($X1315/100-Settings!$G$7)),1,0))))</f>
        <v/>
      </c>
      <c r="AC1315">
        <f>IF($Z1315=1,IFERROR(IF(VALUE($B1315)&lt;100000000,VALUE($B1315),1000000000),IFERROR(IF(VALUE(MID($B1315,2,20))&lt;100000000,VALUE(MID($B1315,2,20)),1000000000),1000000000))+ROW()/100000,"")</f>
        <v/>
      </c>
    </row>
    <row r="1316">
      <c r="A1316">
        <f>IF($B1316="","",IFERROR(IF(INDEX('Per Invoice'!$A$2:$A$801,MATCH($B1316,'Per Invoice'!$B$2:$B$801,0))=0,"",INDEX('Per Invoice'!$A$2:$A$801,MATCH($B1316,'Per Invoice'!$B$2:$B$801,0))),""))</f>
        <v/>
      </c>
      <c r="J1316" s="7">
        <f>IF($B1316="","",I1316*Q1316/100)</f>
        <v/>
      </c>
      <c r="N1316" s="7" t="n"/>
      <c r="O1316" s="7" t="n"/>
      <c r="P1316" s="7">
        <f>IF($B1316="","",O1316*X1316/100)</f>
        <v/>
      </c>
      <c r="Q1316" s="7">
        <f>IF($B1316="","",O1316-P1316)</f>
        <v/>
      </c>
      <c r="R1316" s="7">
        <f>IF($B1316="","",Q1316-J1316)</f>
        <v/>
      </c>
      <c r="S1316" s="7" t="n"/>
      <c r="T1316" s="7" t="n"/>
      <c r="V1316" s="14" t="n"/>
      <c r="Z1316">
        <f>IF($B1316="","",IF(COUNTIF($B$2:$B1316,$B1316)=1,1,0))</f>
        <v/>
      </c>
      <c r="AA1316">
        <f>IF($Z1316=1,SUMPRODUCT(--($AC$2:$AC$3001&lt;$AC1316))+1,"")</f>
        <v/>
      </c>
      <c r="AB1316">
        <f>IF($B1316="","",IF(OR($Y1316=TRUE(),$Y1316="TRUE"),1,IF(AND($Y1316&lt;&gt;"",OR($Y1316=FALSE(),$Y1316="FALSE")),0,IF(MIN(ABS($X1316/100-Settings!$C$6),ABS($X1316/100-Settings!$G$6))&lt;=MIN(ABS($X1316/100-Settings!$C$7),ABS($X1316/100-Settings!$G$7)),1,0))))</f>
        <v/>
      </c>
      <c r="AC1316">
        <f>IF($Z1316=1,IFERROR(IF(VALUE($B1316)&lt;100000000,VALUE($B1316),1000000000),IFERROR(IF(VALUE(MID($B1316,2,20))&lt;100000000,VALUE(MID($B1316,2,20)),1000000000),1000000000))+ROW()/100000,"")</f>
        <v/>
      </c>
    </row>
    <row r="1317">
      <c r="A1317">
        <f>IF($B1317="","",IFERROR(IF(INDEX('Per Invoice'!$A$2:$A$801,MATCH($B1317,'Per Invoice'!$B$2:$B$801,0))=0,"",INDEX('Per Invoice'!$A$2:$A$801,MATCH($B1317,'Per Invoice'!$B$2:$B$801,0))),""))</f>
        <v/>
      </c>
      <c r="J1317" s="7">
        <f>IF($B1317="","",I1317*Q1317/100)</f>
        <v/>
      </c>
      <c r="N1317" s="7" t="n"/>
      <c r="O1317" s="7" t="n"/>
      <c r="P1317" s="7">
        <f>IF($B1317="","",O1317*X1317/100)</f>
        <v/>
      </c>
      <c r="Q1317" s="7">
        <f>IF($B1317="","",O1317-P1317)</f>
        <v/>
      </c>
      <c r="R1317" s="7">
        <f>IF($B1317="","",Q1317-J1317)</f>
        <v/>
      </c>
      <c r="S1317" s="7" t="n"/>
      <c r="T1317" s="7" t="n"/>
      <c r="V1317" s="14" t="n"/>
      <c r="Z1317">
        <f>IF($B1317="","",IF(COUNTIF($B$2:$B1317,$B1317)=1,1,0))</f>
        <v/>
      </c>
      <c r="AA1317">
        <f>IF($Z1317=1,SUMPRODUCT(--($AC$2:$AC$3001&lt;$AC1317))+1,"")</f>
        <v/>
      </c>
      <c r="AB1317">
        <f>IF($B1317="","",IF(OR($Y1317=TRUE(),$Y1317="TRUE"),1,IF(AND($Y1317&lt;&gt;"",OR($Y1317=FALSE(),$Y1317="FALSE")),0,IF(MIN(ABS($X1317/100-Settings!$C$6),ABS($X1317/100-Settings!$G$6))&lt;=MIN(ABS($X1317/100-Settings!$C$7),ABS($X1317/100-Settings!$G$7)),1,0))))</f>
        <v/>
      </c>
      <c r="AC1317">
        <f>IF($Z1317=1,IFERROR(IF(VALUE($B1317)&lt;100000000,VALUE($B1317),1000000000),IFERROR(IF(VALUE(MID($B1317,2,20))&lt;100000000,VALUE(MID($B1317,2,20)),1000000000),1000000000))+ROW()/100000,"")</f>
        <v/>
      </c>
    </row>
    <row r="1318">
      <c r="A1318">
        <f>IF($B1318="","",IFERROR(IF(INDEX('Per Invoice'!$A$2:$A$801,MATCH($B1318,'Per Invoice'!$B$2:$B$801,0))=0,"",INDEX('Per Invoice'!$A$2:$A$801,MATCH($B1318,'Per Invoice'!$B$2:$B$801,0))),""))</f>
        <v/>
      </c>
      <c r="J1318" s="7">
        <f>IF($B1318="","",I1318*Q1318/100)</f>
        <v/>
      </c>
      <c r="N1318" s="7" t="n"/>
      <c r="O1318" s="7" t="n"/>
      <c r="P1318" s="7">
        <f>IF($B1318="","",O1318*X1318/100)</f>
        <v/>
      </c>
      <c r="Q1318" s="7">
        <f>IF($B1318="","",O1318-P1318)</f>
        <v/>
      </c>
      <c r="R1318" s="7">
        <f>IF($B1318="","",Q1318-J1318)</f>
        <v/>
      </c>
      <c r="S1318" s="7" t="n"/>
      <c r="T1318" s="7" t="n"/>
      <c r="V1318" s="14" t="n"/>
      <c r="Z1318">
        <f>IF($B1318="","",IF(COUNTIF($B$2:$B1318,$B1318)=1,1,0))</f>
        <v/>
      </c>
      <c r="AA1318">
        <f>IF($Z1318=1,SUMPRODUCT(--($AC$2:$AC$3001&lt;$AC1318))+1,"")</f>
        <v/>
      </c>
      <c r="AB1318">
        <f>IF($B1318="","",IF(OR($Y1318=TRUE(),$Y1318="TRUE"),1,IF(AND($Y1318&lt;&gt;"",OR($Y1318=FALSE(),$Y1318="FALSE")),0,IF(MIN(ABS($X1318/100-Settings!$C$6),ABS($X1318/100-Settings!$G$6))&lt;=MIN(ABS($X1318/100-Settings!$C$7),ABS($X1318/100-Settings!$G$7)),1,0))))</f>
        <v/>
      </c>
      <c r="AC1318">
        <f>IF($Z1318=1,IFERROR(IF(VALUE($B1318)&lt;100000000,VALUE($B1318),1000000000),IFERROR(IF(VALUE(MID($B1318,2,20))&lt;100000000,VALUE(MID($B1318,2,20)),1000000000),1000000000))+ROW()/100000,"")</f>
        <v/>
      </c>
    </row>
    <row r="1319">
      <c r="A1319">
        <f>IF($B1319="","",IFERROR(IF(INDEX('Per Invoice'!$A$2:$A$801,MATCH($B1319,'Per Invoice'!$B$2:$B$801,0))=0,"",INDEX('Per Invoice'!$A$2:$A$801,MATCH($B1319,'Per Invoice'!$B$2:$B$801,0))),""))</f>
        <v/>
      </c>
      <c r="J1319" s="7">
        <f>IF($B1319="","",I1319*Q1319/100)</f>
        <v/>
      </c>
      <c r="N1319" s="7" t="n"/>
      <c r="O1319" s="7" t="n"/>
      <c r="P1319" s="7">
        <f>IF($B1319="","",O1319*X1319/100)</f>
        <v/>
      </c>
      <c r="Q1319" s="7">
        <f>IF($B1319="","",O1319-P1319)</f>
        <v/>
      </c>
      <c r="R1319" s="7">
        <f>IF($B1319="","",Q1319-J1319)</f>
        <v/>
      </c>
      <c r="S1319" s="7" t="n"/>
      <c r="T1319" s="7" t="n"/>
      <c r="V1319" s="14" t="n"/>
      <c r="Z1319">
        <f>IF($B1319="","",IF(COUNTIF($B$2:$B1319,$B1319)=1,1,0))</f>
        <v/>
      </c>
      <c r="AA1319">
        <f>IF($Z1319=1,SUMPRODUCT(--($AC$2:$AC$3001&lt;$AC1319))+1,"")</f>
        <v/>
      </c>
      <c r="AB1319">
        <f>IF($B1319="","",IF(OR($Y1319=TRUE(),$Y1319="TRUE"),1,IF(AND($Y1319&lt;&gt;"",OR($Y1319=FALSE(),$Y1319="FALSE")),0,IF(MIN(ABS($X1319/100-Settings!$C$6),ABS($X1319/100-Settings!$G$6))&lt;=MIN(ABS($X1319/100-Settings!$C$7),ABS($X1319/100-Settings!$G$7)),1,0))))</f>
        <v/>
      </c>
      <c r="AC1319">
        <f>IF($Z1319=1,IFERROR(IF(VALUE($B1319)&lt;100000000,VALUE($B1319),1000000000),IFERROR(IF(VALUE(MID($B1319,2,20))&lt;100000000,VALUE(MID($B1319,2,20)),1000000000),1000000000))+ROW()/100000,"")</f>
        <v/>
      </c>
    </row>
    <row r="1320">
      <c r="A1320">
        <f>IF($B1320="","",IFERROR(IF(INDEX('Per Invoice'!$A$2:$A$801,MATCH($B1320,'Per Invoice'!$B$2:$B$801,0))=0,"",INDEX('Per Invoice'!$A$2:$A$801,MATCH($B1320,'Per Invoice'!$B$2:$B$801,0))),""))</f>
        <v/>
      </c>
      <c r="J1320" s="7">
        <f>IF($B1320="","",I1320*Q1320/100)</f>
        <v/>
      </c>
      <c r="N1320" s="7" t="n"/>
      <c r="O1320" s="7" t="n"/>
      <c r="P1320" s="7">
        <f>IF($B1320="","",O1320*X1320/100)</f>
        <v/>
      </c>
      <c r="Q1320" s="7">
        <f>IF($B1320="","",O1320-P1320)</f>
        <v/>
      </c>
      <c r="R1320" s="7">
        <f>IF($B1320="","",Q1320-J1320)</f>
        <v/>
      </c>
      <c r="S1320" s="7" t="n"/>
      <c r="T1320" s="7" t="n"/>
      <c r="V1320" s="14" t="n"/>
      <c r="Z1320">
        <f>IF($B1320="","",IF(COUNTIF($B$2:$B1320,$B1320)=1,1,0))</f>
        <v/>
      </c>
      <c r="AA1320">
        <f>IF($Z1320=1,SUMPRODUCT(--($AC$2:$AC$3001&lt;$AC1320))+1,"")</f>
        <v/>
      </c>
      <c r="AB1320">
        <f>IF($B1320="","",IF(OR($Y1320=TRUE(),$Y1320="TRUE"),1,IF(AND($Y1320&lt;&gt;"",OR($Y1320=FALSE(),$Y1320="FALSE")),0,IF(MIN(ABS($X1320/100-Settings!$C$6),ABS($X1320/100-Settings!$G$6))&lt;=MIN(ABS($X1320/100-Settings!$C$7),ABS($X1320/100-Settings!$G$7)),1,0))))</f>
        <v/>
      </c>
      <c r="AC1320">
        <f>IF($Z1320=1,IFERROR(IF(VALUE($B1320)&lt;100000000,VALUE($B1320),1000000000),IFERROR(IF(VALUE(MID($B1320,2,20))&lt;100000000,VALUE(MID($B1320,2,20)),1000000000),1000000000))+ROW()/100000,"")</f>
        <v/>
      </c>
    </row>
    <row r="1321">
      <c r="A1321">
        <f>IF($B1321="","",IFERROR(IF(INDEX('Per Invoice'!$A$2:$A$801,MATCH($B1321,'Per Invoice'!$B$2:$B$801,0))=0,"",INDEX('Per Invoice'!$A$2:$A$801,MATCH($B1321,'Per Invoice'!$B$2:$B$801,0))),""))</f>
        <v/>
      </c>
      <c r="J1321" s="7">
        <f>IF($B1321="","",I1321*Q1321/100)</f>
        <v/>
      </c>
      <c r="N1321" s="7" t="n"/>
      <c r="O1321" s="7" t="n"/>
      <c r="P1321" s="7">
        <f>IF($B1321="","",O1321*X1321/100)</f>
        <v/>
      </c>
      <c r="Q1321" s="7">
        <f>IF($B1321="","",O1321-P1321)</f>
        <v/>
      </c>
      <c r="R1321" s="7">
        <f>IF($B1321="","",Q1321-J1321)</f>
        <v/>
      </c>
      <c r="S1321" s="7" t="n"/>
      <c r="T1321" s="7" t="n"/>
      <c r="V1321" s="14" t="n"/>
      <c r="Z1321">
        <f>IF($B1321="","",IF(COUNTIF($B$2:$B1321,$B1321)=1,1,0))</f>
        <v/>
      </c>
      <c r="AA1321">
        <f>IF($Z1321=1,SUMPRODUCT(--($AC$2:$AC$3001&lt;$AC1321))+1,"")</f>
        <v/>
      </c>
      <c r="AB1321">
        <f>IF($B1321="","",IF(OR($Y1321=TRUE(),$Y1321="TRUE"),1,IF(AND($Y1321&lt;&gt;"",OR($Y1321=FALSE(),$Y1321="FALSE")),0,IF(MIN(ABS($X1321/100-Settings!$C$6),ABS($X1321/100-Settings!$G$6))&lt;=MIN(ABS($X1321/100-Settings!$C$7),ABS($X1321/100-Settings!$G$7)),1,0))))</f>
        <v/>
      </c>
      <c r="AC1321">
        <f>IF($Z1321=1,IFERROR(IF(VALUE($B1321)&lt;100000000,VALUE($B1321),1000000000),IFERROR(IF(VALUE(MID($B1321,2,20))&lt;100000000,VALUE(MID($B1321,2,20)),1000000000),1000000000))+ROW()/100000,"")</f>
        <v/>
      </c>
    </row>
    <row r="1322">
      <c r="A1322">
        <f>IF($B1322="","",IFERROR(IF(INDEX('Per Invoice'!$A$2:$A$801,MATCH($B1322,'Per Invoice'!$B$2:$B$801,0))=0,"",INDEX('Per Invoice'!$A$2:$A$801,MATCH($B1322,'Per Invoice'!$B$2:$B$801,0))),""))</f>
        <v/>
      </c>
      <c r="J1322" s="7">
        <f>IF($B1322="","",I1322*Q1322/100)</f>
        <v/>
      </c>
      <c r="N1322" s="7" t="n"/>
      <c r="O1322" s="7" t="n"/>
      <c r="P1322" s="7">
        <f>IF($B1322="","",O1322*X1322/100)</f>
        <v/>
      </c>
      <c r="Q1322" s="7">
        <f>IF($B1322="","",O1322-P1322)</f>
        <v/>
      </c>
      <c r="R1322" s="7">
        <f>IF($B1322="","",Q1322-J1322)</f>
        <v/>
      </c>
      <c r="S1322" s="7" t="n"/>
      <c r="T1322" s="7" t="n"/>
      <c r="V1322" s="14" t="n"/>
      <c r="Z1322">
        <f>IF($B1322="","",IF(COUNTIF($B$2:$B1322,$B1322)=1,1,0))</f>
        <v/>
      </c>
      <c r="AA1322">
        <f>IF($Z1322=1,SUMPRODUCT(--($AC$2:$AC$3001&lt;$AC1322))+1,"")</f>
        <v/>
      </c>
      <c r="AB1322">
        <f>IF($B1322="","",IF(OR($Y1322=TRUE(),$Y1322="TRUE"),1,IF(AND($Y1322&lt;&gt;"",OR($Y1322=FALSE(),$Y1322="FALSE")),0,IF(MIN(ABS($X1322/100-Settings!$C$6),ABS($X1322/100-Settings!$G$6))&lt;=MIN(ABS($X1322/100-Settings!$C$7),ABS($X1322/100-Settings!$G$7)),1,0))))</f>
        <v/>
      </c>
      <c r="AC1322">
        <f>IF($Z1322=1,IFERROR(IF(VALUE($B1322)&lt;100000000,VALUE($B1322),1000000000),IFERROR(IF(VALUE(MID($B1322,2,20))&lt;100000000,VALUE(MID($B1322,2,20)),1000000000),1000000000))+ROW()/100000,"")</f>
        <v/>
      </c>
    </row>
    <row r="1323">
      <c r="A1323">
        <f>IF($B1323="","",IFERROR(IF(INDEX('Per Invoice'!$A$2:$A$801,MATCH($B1323,'Per Invoice'!$B$2:$B$801,0))=0,"",INDEX('Per Invoice'!$A$2:$A$801,MATCH($B1323,'Per Invoice'!$B$2:$B$801,0))),""))</f>
        <v/>
      </c>
      <c r="J1323" s="7">
        <f>IF($B1323="","",I1323*Q1323/100)</f>
        <v/>
      </c>
      <c r="N1323" s="7" t="n"/>
      <c r="O1323" s="7" t="n"/>
      <c r="P1323" s="7">
        <f>IF($B1323="","",O1323*X1323/100)</f>
        <v/>
      </c>
      <c r="Q1323" s="7">
        <f>IF($B1323="","",O1323-P1323)</f>
        <v/>
      </c>
      <c r="R1323" s="7">
        <f>IF($B1323="","",Q1323-J1323)</f>
        <v/>
      </c>
      <c r="S1323" s="7" t="n"/>
      <c r="T1323" s="7" t="n"/>
      <c r="V1323" s="14" t="n"/>
      <c r="Z1323">
        <f>IF($B1323="","",IF(COUNTIF($B$2:$B1323,$B1323)=1,1,0))</f>
        <v/>
      </c>
      <c r="AA1323">
        <f>IF($Z1323=1,SUMPRODUCT(--($AC$2:$AC$3001&lt;$AC1323))+1,"")</f>
        <v/>
      </c>
      <c r="AB1323">
        <f>IF($B1323="","",IF(OR($Y1323=TRUE(),$Y1323="TRUE"),1,IF(AND($Y1323&lt;&gt;"",OR($Y1323=FALSE(),$Y1323="FALSE")),0,IF(MIN(ABS($X1323/100-Settings!$C$6),ABS($X1323/100-Settings!$G$6))&lt;=MIN(ABS($X1323/100-Settings!$C$7),ABS($X1323/100-Settings!$G$7)),1,0))))</f>
        <v/>
      </c>
      <c r="AC1323">
        <f>IF($Z1323=1,IFERROR(IF(VALUE($B1323)&lt;100000000,VALUE($B1323),1000000000),IFERROR(IF(VALUE(MID($B1323,2,20))&lt;100000000,VALUE(MID($B1323,2,20)),1000000000),1000000000))+ROW()/100000,"")</f>
        <v/>
      </c>
    </row>
    <row r="1324">
      <c r="A1324">
        <f>IF($B1324="","",IFERROR(IF(INDEX('Per Invoice'!$A$2:$A$801,MATCH($B1324,'Per Invoice'!$B$2:$B$801,0))=0,"",INDEX('Per Invoice'!$A$2:$A$801,MATCH($B1324,'Per Invoice'!$B$2:$B$801,0))),""))</f>
        <v/>
      </c>
      <c r="J1324" s="7">
        <f>IF($B1324="","",I1324*Q1324/100)</f>
        <v/>
      </c>
      <c r="N1324" s="7" t="n"/>
      <c r="O1324" s="7" t="n"/>
      <c r="P1324" s="7">
        <f>IF($B1324="","",O1324*X1324/100)</f>
        <v/>
      </c>
      <c r="Q1324" s="7">
        <f>IF($B1324="","",O1324-P1324)</f>
        <v/>
      </c>
      <c r="R1324" s="7">
        <f>IF($B1324="","",Q1324-J1324)</f>
        <v/>
      </c>
      <c r="S1324" s="7" t="n"/>
      <c r="T1324" s="7" t="n"/>
      <c r="V1324" s="14" t="n"/>
      <c r="Z1324">
        <f>IF($B1324="","",IF(COUNTIF($B$2:$B1324,$B1324)=1,1,0))</f>
        <v/>
      </c>
      <c r="AA1324">
        <f>IF($Z1324=1,SUMPRODUCT(--($AC$2:$AC$3001&lt;$AC1324))+1,"")</f>
        <v/>
      </c>
      <c r="AB1324">
        <f>IF($B1324="","",IF(OR($Y1324=TRUE(),$Y1324="TRUE"),1,IF(AND($Y1324&lt;&gt;"",OR($Y1324=FALSE(),$Y1324="FALSE")),0,IF(MIN(ABS($X1324/100-Settings!$C$6),ABS($X1324/100-Settings!$G$6))&lt;=MIN(ABS($X1324/100-Settings!$C$7),ABS($X1324/100-Settings!$G$7)),1,0))))</f>
        <v/>
      </c>
      <c r="AC1324">
        <f>IF($Z1324=1,IFERROR(IF(VALUE($B1324)&lt;100000000,VALUE($B1324),1000000000),IFERROR(IF(VALUE(MID($B1324,2,20))&lt;100000000,VALUE(MID($B1324,2,20)),1000000000),1000000000))+ROW()/100000,"")</f>
        <v/>
      </c>
    </row>
    <row r="1325">
      <c r="A1325">
        <f>IF($B1325="","",IFERROR(IF(INDEX('Per Invoice'!$A$2:$A$801,MATCH($B1325,'Per Invoice'!$B$2:$B$801,0))=0,"",INDEX('Per Invoice'!$A$2:$A$801,MATCH($B1325,'Per Invoice'!$B$2:$B$801,0))),""))</f>
        <v/>
      </c>
      <c r="J1325" s="7">
        <f>IF($B1325="","",I1325*Q1325/100)</f>
        <v/>
      </c>
      <c r="N1325" s="7" t="n"/>
      <c r="O1325" s="7" t="n"/>
      <c r="P1325" s="7">
        <f>IF($B1325="","",O1325*X1325/100)</f>
        <v/>
      </c>
      <c r="Q1325" s="7">
        <f>IF($B1325="","",O1325-P1325)</f>
        <v/>
      </c>
      <c r="R1325" s="7">
        <f>IF($B1325="","",Q1325-J1325)</f>
        <v/>
      </c>
      <c r="S1325" s="7" t="n"/>
      <c r="T1325" s="7" t="n"/>
      <c r="V1325" s="14" t="n"/>
      <c r="Z1325">
        <f>IF($B1325="","",IF(COUNTIF($B$2:$B1325,$B1325)=1,1,0))</f>
        <v/>
      </c>
      <c r="AA1325">
        <f>IF($Z1325=1,SUMPRODUCT(--($AC$2:$AC$3001&lt;$AC1325))+1,"")</f>
        <v/>
      </c>
      <c r="AB1325">
        <f>IF($B1325="","",IF(OR($Y1325=TRUE(),$Y1325="TRUE"),1,IF(AND($Y1325&lt;&gt;"",OR($Y1325=FALSE(),$Y1325="FALSE")),0,IF(MIN(ABS($X1325/100-Settings!$C$6),ABS($X1325/100-Settings!$G$6))&lt;=MIN(ABS($X1325/100-Settings!$C$7),ABS($X1325/100-Settings!$G$7)),1,0))))</f>
        <v/>
      </c>
      <c r="AC1325">
        <f>IF($Z1325=1,IFERROR(IF(VALUE($B1325)&lt;100000000,VALUE($B1325),1000000000),IFERROR(IF(VALUE(MID($B1325,2,20))&lt;100000000,VALUE(MID($B1325,2,20)),1000000000),1000000000))+ROW()/100000,"")</f>
        <v/>
      </c>
    </row>
    <row r="1326">
      <c r="A1326">
        <f>IF($B1326="","",IFERROR(IF(INDEX('Per Invoice'!$A$2:$A$801,MATCH($B1326,'Per Invoice'!$B$2:$B$801,0))=0,"",INDEX('Per Invoice'!$A$2:$A$801,MATCH($B1326,'Per Invoice'!$B$2:$B$801,0))),""))</f>
        <v/>
      </c>
      <c r="J1326" s="7">
        <f>IF($B1326="","",I1326*Q1326/100)</f>
        <v/>
      </c>
      <c r="N1326" s="7" t="n"/>
      <c r="O1326" s="7" t="n"/>
      <c r="P1326" s="7">
        <f>IF($B1326="","",O1326*X1326/100)</f>
        <v/>
      </c>
      <c r="Q1326" s="7">
        <f>IF($B1326="","",O1326-P1326)</f>
        <v/>
      </c>
      <c r="R1326" s="7">
        <f>IF($B1326="","",Q1326-J1326)</f>
        <v/>
      </c>
      <c r="S1326" s="7" t="n"/>
      <c r="T1326" s="7" t="n"/>
      <c r="V1326" s="14" t="n"/>
      <c r="Z1326">
        <f>IF($B1326="","",IF(COUNTIF($B$2:$B1326,$B1326)=1,1,0))</f>
        <v/>
      </c>
      <c r="AA1326">
        <f>IF($Z1326=1,SUMPRODUCT(--($AC$2:$AC$3001&lt;$AC1326))+1,"")</f>
        <v/>
      </c>
      <c r="AB1326">
        <f>IF($B1326="","",IF(OR($Y1326=TRUE(),$Y1326="TRUE"),1,IF(AND($Y1326&lt;&gt;"",OR($Y1326=FALSE(),$Y1326="FALSE")),0,IF(MIN(ABS($X1326/100-Settings!$C$6),ABS($X1326/100-Settings!$G$6))&lt;=MIN(ABS($X1326/100-Settings!$C$7),ABS($X1326/100-Settings!$G$7)),1,0))))</f>
        <v/>
      </c>
      <c r="AC1326">
        <f>IF($Z1326=1,IFERROR(IF(VALUE($B1326)&lt;100000000,VALUE($B1326),1000000000),IFERROR(IF(VALUE(MID($B1326,2,20))&lt;100000000,VALUE(MID($B1326,2,20)),1000000000),1000000000))+ROW()/100000,"")</f>
        <v/>
      </c>
    </row>
    <row r="1327">
      <c r="A1327">
        <f>IF($B1327="","",IFERROR(IF(INDEX('Per Invoice'!$A$2:$A$801,MATCH($B1327,'Per Invoice'!$B$2:$B$801,0))=0,"",INDEX('Per Invoice'!$A$2:$A$801,MATCH($B1327,'Per Invoice'!$B$2:$B$801,0))),""))</f>
        <v/>
      </c>
      <c r="J1327" s="7">
        <f>IF($B1327="","",I1327*Q1327/100)</f>
        <v/>
      </c>
      <c r="N1327" s="7" t="n"/>
      <c r="O1327" s="7" t="n"/>
      <c r="P1327" s="7">
        <f>IF($B1327="","",O1327*X1327/100)</f>
        <v/>
      </c>
      <c r="Q1327" s="7">
        <f>IF($B1327="","",O1327-P1327)</f>
        <v/>
      </c>
      <c r="R1327" s="7">
        <f>IF($B1327="","",Q1327-J1327)</f>
        <v/>
      </c>
      <c r="S1327" s="7" t="n"/>
      <c r="T1327" s="7" t="n"/>
      <c r="V1327" s="14" t="n"/>
      <c r="Z1327">
        <f>IF($B1327="","",IF(COUNTIF($B$2:$B1327,$B1327)=1,1,0))</f>
        <v/>
      </c>
      <c r="AA1327">
        <f>IF($Z1327=1,SUMPRODUCT(--($AC$2:$AC$3001&lt;$AC1327))+1,"")</f>
        <v/>
      </c>
      <c r="AB1327">
        <f>IF($B1327="","",IF(OR($Y1327=TRUE(),$Y1327="TRUE"),1,IF(AND($Y1327&lt;&gt;"",OR($Y1327=FALSE(),$Y1327="FALSE")),0,IF(MIN(ABS($X1327/100-Settings!$C$6),ABS($X1327/100-Settings!$G$6))&lt;=MIN(ABS($X1327/100-Settings!$C$7),ABS($X1327/100-Settings!$G$7)),1,0))))</f>
        <v/>
      </c>
      <c r="AC1327">
        <f>IF($Z1327=1,IFERROR(IF(VALUE($B1327)&lt;100000000,VALUE($B1327),1000000000),IFERROR(IF(VALUE(MID($B1327,2,20))&lt;100000000,VALUE(MID($B1327,2,20)),1000000000),1000000000))+ROW()/100000,"")</f>
        <v/>
      </c>
    </row>
    <row r="1328">
      <c r="A1328">
        <f>IF($B1328="","",IFERROR(IF(INDEX('Per Invoice'!$A$2:$A$801,MATCH($B1328,'Per Invoice'!$B$2:$B$801,0))=0,"",INDEX('Per Invoice'!$A$2:$A$801,MATCH($B1328,'Per Invoice'!$B$2:$B$801,0))),""))</f>
        <v/>
      </c>
      <c r="J1328" s="7">
        <f>IF($B1328="","",I1328*Q1328/100)</f>
        <v/>
      </c>
      <c r="N1328" s="7" t="n"/>
      <c r="O1328" s="7" t="n"/>
      <c r="P1328" s="7">
        <f>IF($B1328="","",O1328*X1328/100)</f>
        <v/>
      </c>
      <c r="Q1328" s="7">
        <f>IF($B1328="","",O1328-P1328)</f>
        <v/>
      </c>
      <c r="R1328" s="7">
        <f>IF($B1328="","",Q1328-J1328)</f>
        <v/>
      </c>
      <c r="S1328" s="7" t="n"/>
      <c r="T1328" s="7" t="n"/>
      <c r="V1328" s="14" t="n"/>
      <c r="Z1328">
        <f>IF($B1328="","",IF(COUNTIF($B$2:$B1328,$B1328)=1,1,0))</f>
        <v/>
      </c>
      <c r="AA1328">
        <f>IF($Z1328=1,SUMPRODUCT(--($AC$2:$AC$3001&lt;$AC1328))+1,"")</f>
        <v/>
      </c>
      <c r="AB1328">
        <f>IF($B1328="","",IF(OR($Y1328=TRUE(),$Y1328="TRUE"),1,IF(AND($Y1328&lt;&gt;"",OR($Y1328=FALSE(),$Y1328="FALSE")),0,IF(MIN(ABS($X1328/100-Settings!$C$6),ABS($X1328/100-Settings!$G$6))&lt;=MIN(ABS($X1328/100-Settings!$C$7),ABS($X1328/100-Settings!$G$7)),1,0))))</f>
        <v/>
      </c>
      <c r="AC1328">
        <f>IF($Z1328=1,IFERROR(IF(VALUE($B1328)&lt;100000000,VALUE($B1328),1000000000),IFERROR(IF(VALUE(MID($B1328,2,20))&lt;100000000,VALUE(MID($B1328,2,20)),1000000000),1000000000))+ROW()/100000,"")</f>
        <v/>
      </c>
    </row>
    <row r="1329">
      <c r="A1329">
        <f>IF($B1329="","",IFERROR(IF(INDEX('Per Invoice'!$A$2:$A$801,MATCH($B1329,'Per Invoice'!$B$2:$B$801,0))=0,"",INDEX('Per Invoice'!$A$2:$A$801,MATCH($B1329,'Per Invoice'!$B$2:$B$801,0))),""))</f>
        <v/>
      </c>
      <c r="J1329" s="7">
        <f>IF($B1329="","",I1329*Q1329/100)</f>
        <v/>
      </c>
      <c r="N1329" s="7" t="n"/>
      <c r="O1329" s="7" t="n"/>
      <c r="P1329" s="7">
        <f>IF($B1329="","",O1329*X1329/100)</f>
        <v/>
      </c>
      <c r="Q1329" s="7">
        <f>IF($B1329="","",O1329-P1329)</f>
        <v/>
      </c>
      <c r="R1329" s="7">
        <f>IF($B1329="","",Q1329-J1329)</f>
        <v/>
      </c>
      <c r="S1329" s="7" t="n"/>
      <c r="T1329" s="7" t="n"/>
      <c r="V1329" s="14" t="n"/>
      <c r="Z1329">
        <f>IF($B1329="","",IF(COUNTIF($B$2:$B1329,$B1329)=1,1,0))</f>
        <v/>
      </c>
      <c r="AA1329">
        <f>IF($Z1329=1,SUMPRODUCT(--($AC$2:$AC$3001&lt;$AC1329))+1,"")</f>
        <v/>
      </c>
      <c r="AB1329">
        <f>IF($B1329="","",IF(OR($Y1329=TRUE(),$Y1329="TRUE"),1,IF(AND($Y1329&lt;&gt;"",OR($Y1329=FALSE(),$Y1329="FALSE")),0,IF(MIN(ABS($X1329/100-Settings!$C$6),ABS($X1329/100-Settings!$G$6))&lt;=MIN(ABS($X1329/100-Settings!$C$7),ABS($X1329/100-Settings!$G$7)),1,0))))</f>
        <v/>
      </c>
      <c r="AC1329">
        <f>IF($Z1329=1,IFERROR(IF(VALUE($B1329)&lt;100000000,VALUE($B1329),1000000000),IFERROR(IF(VALUE(MID($B1329,2,20))&lt;100000000,VALUE(MID($B1329,2,20)),1000000000),1000000000))+ROW()/100000,"")</f>
        <v/>
      </c>
    </row>
    <row r="1330">
      <c r="A1330">
        <f>IF($B1330="","",IFERROR(IF(INDEX('Per Invoice'!$A$2:$A$801,MATCH($B1330,'Per Invoice'!$B$2:$B$801,0))=0,"",INDEX('Per Invoice'!$A$2:$A$801,MATCH($B1330,'Per Invoice'!$B$2:$B$801,0))),""))</f>
        <v/>
      </c>
      <c r="J1330" s="7">
        <f>IF($B1330="","",I1330*Q1330/100)</f>
        <v/>
      </c>
      <c r="N1330" s="7" t="n"/>
      <c r="O1330" s="7" t="n"/>
      <c r="P1330" s="7">
        <f>IF($B1330="","",O1330*X1330/100)</f>
        <v/>
      </c>
      <c r="Q1330" s="7">
        <f>IF($B1330="","",O1330-P1330)</f>
        <v/>
      </c>
      <c r="R1330" s="7">
        <f>IF($B1330="","",Q1330-J1330)</f>
        <v/>
      </c>
      <c r="S1330" s="7" t="n"/>
      <c r="T1330" s="7" t="n"/>
      <c r="V1330" s="14" t="n"/>
      <c r="Z1330">
        <f>IF($B1330="","",IF(COUNTIF($B$2:$B1330,$B1330)=1,1,0))</f>
        <v/>
      </c>
      <c r="AA1330">
        <f>IF($Z1330=1,SUMPRODUCT(--($AC$2:$AC$3001&lt;$AC1330))+1,"")</f>
        <v/>
      </c>
      <c r="AB1330">
        <f>IF($B1330="","",IF(OR($Y1330=TRUE(),$Y1330="TRUE"),1,IF(AND($Y1330&lt;&gt;"",OR($Y1330=FALSE(),$Y1330="FALSE")),0,IF(MIN(ABS($X1330/100-Settings!$C$6),ABS($X1330/100-Settings!$G$6))&lt;=MIN(ABS($X1330/100-Settings!$C$7),ABS($X1330/100-Settings!$G$7)),1,0))))</f>
        <v/>
      </c>
      <c r="AC1330">
        <f>IF($Z1330=1,IFERROR(IF(VALUE($B1330)&lt;100000000,VALUE($B1330),1000000000),IFERROR(IF(VALUE(MID($B1330,2,20))&lt;100000000,VALUE(MID($B1330,2,20)),1000000000),1000000000))+ROW()/100000,"")</f>
        <v/>
      </c>
    </row>
    <row r="1331">
      <c r="A1331">
        <f>IF($B1331="","",IFERROR(IF(INDEX('Per Invoice'!$A$2:$A$801,MATCH($B1331,'Per Invoice'!$B$2:$B$801,0))=0,"",INDEX('Per Invoice'!$A$2:$A$801,MATCH($B1331,'Per Invoice'!$B$2:$B$801,0))),""))</f>
        <v/>
      </c>
      <c r="J1331" s="7">
        <f>IF($B1331="","",I1331*Q1331/100)</f>
        <v/>
      </c>
      <c r="N1331" s="7" t="n"/>
      <c r="O1331" s="7" t="n"/>
      <c r="P1331" s="7">
        <f>IF($B1331="","",O1331*X1331/100)</f>
        <v/>
      </c>
      <c r="Q1331" s="7">
        <f>IF($B1331="","",O1331-P1331)</f>
        <v/>
      </c>
      <c r="R1331" s="7">
        <f>IF($B1331="","",Q1331-J1331)</f>
        <v/>
      </c>
      <c r="S1331" s="7" t="n"/>
      <c r="T1331" s="7" t="n"/>
      <c r="V1331" s="14" t="n"/>
      <c r="Z1331">
        <f>IF($B1331="","",IF(COUNTIF($B$2:$B1331,$B1331)=1,1,0))</f>
        <v/>
      </c>
      <c r="AA1331">
        <f>IF($Z1331=1,SUMPRODUCT(--($AC$2:$AC$3001&lt;$AC1331))+1,"")</f>
        <v/>
      </c>
      <c r="AB1331">
        <f>IF($B1331="","",IF(OR($Y1331=TRUE(),$Y1331="TRUE"),1,IF(AND($Y1331&lt;&gt;"",OR($Y1331=FALSE(),$Y1331="FALSE")),0,IF(MIN(ABS($X1331/100-Settings!$C$6),ABS($X1331/100-Settings!$G$6))&lt;=MIN(ABS($X1331/100-Settings!$C$7),ABS($X1331/100-Settings!$G$7)),1,0))))</f>
        <v/>
      </c>
      <c r="AC1331">
        <f>IF($Z1331=1,IFERROR(IF(VALUE($B1331)&lt;100000000,VALUE($B1331),1000000000),IFERROR(IF(VALUE(MID($B1331,2,20))&lt;100000000,VALUE(MID($B1331,2,20)),1000000000),1000000000))+ROW()/100000,"")</f>
        <v/>
      </c>
    </row>
    <row r="1332">
      <c r="A1332">
        <f>IF($B1332="","",IFERROR(IF(INDEX('Per Invoice'!$A$2:$A$801,MATCH($B1332,'Per Invoice'!$B$2:$B$801,0))=0,"",INDEX('Per Invoice'!$A$2:$A$801,MATCH($B1332,'Per Invoice'!$B$2:$B$801,0))),""))</f>
        <v/>
      </c>
      <c r="J1332" s="7">
        <f>IF($B1332="","",I1332*Q1332/100)</f>
        <v/>
      </c>
      <c r="N1332" s="7" t="n"/>
      <c r="O1332" s="7" t="n"/>
      <c r="P1332" s="7">
        <f>IF($B1332="","",O1332*X1332/100)</f>
        <v/>
      </c>
      <c r="Q1332" s="7">
        <f>IF($B1332="","",O1332-P1332)</f>
        <v/>
      </c>
      <c r="R1332" s="7">
        <f>IF($B1332="","",Q1332-J1332)</f>
        <v/>
      </c>
      <c r="S1332" s="7" t="n"/>
      <c r="T1332" s="7" t="n"/>
      <c r="V1332" s="14" t="n"/>
      <c r="Z1332">
        <f>IF($B1332="","",IF(COUNTIF($B$2:$B1332,$B1332)=1,1,0))</f>
        <v/>
      </c>
      <c r="AA1332">
        <f>IF($Z1332=1,SUMPRODUCT(--($AC$2:$AC$3001&lt;$AC1332))+1,"")</f>
        <v/>
      </c>
      <c r="AB1332">
        <f>IF($B1332="","",IF(OR($Y1332=TRUE(),$Y1332="TRUE"),1,IF(AND($Y1332&lt;&gt;"",OR($Y1332=FALSE(),$Y1332="FALSE")),0,IF(MIN(ABS($X1332/100-Settings!$C$6),ABS($X1332/100-Settings!$G$6))&lt;=MIN(ABS($X1332/100-Settings!$C$7),ABS($X1332/100-Settings!$G$7)),1,0))))</f>
        <v/>
      </c>
      <c r="AC1332">
        <f>IF($Z1332=1,IFERROR(IF(VALUE($B1332)&lt;100000000,VALUE($B1332),1000000000),IFERROR(IF(VALUE(MID($B1332,2,20))&lt;100000000,VALUE(MID($B1332,2,20)),1000000000),1000000000))+ROW()/100000,"")</f>
        <v/>
      </c>
    </row>
    <row r="1333">
      <c r="A1333">
        <f>IF($B1333="","",IFERROR(IF(INDEX('Per Invoice'!$A$2:$A$801,MATCH($B1333,'Per Invoice'!$B$2:$B$801,0))=0,"",INDEX('Per Invoice'!$A$2:$A$801,MATCH($B1333,'Per Invoice'!$B$2:$B$801,0))),""))</f>
        <v/>
      </c>
      <c r="J1333" s="7">
        <f>IF($B1333="","",I1333*Q1333/100)</f>
        <v/>
      </c>
      <c r="N1333" s="7" t="n"/>
      <c r="O1333" s="7" t="n"/>
      <c r="P1333" s="7">
        <f>IF($B1333="","",O1333*X1333/100)</f>
        <v/>
      </c>
      <c r="Q1333" s="7">
        <f>IF($B1333="","",O1333-P1333)</f>
        <v/>
      </c>
      <c r="R1333" s="7">
        <f>IF($B1333="","",Q1333-J1333)</f>
        <v/>
      </c>
      <c r="S1333" s="7" t="n"/>
      <c r="T1333" s="7" t="n"/>
      <c r="V1333" s="14" t="n"/>
      <c r="Z1333">
        <f>IF($B1333="","",IF(COUNTIF($B$2:$B1333,$B1333)=1,1,0))</f>
        <v/>
      </c>
      <c r="AA1333">
        <f>IF($Z1333=1,SUMPRODUCT(--($AC$2:$AC$3001&lt;$AC1333))+1,"")</f>
        <v/>
      </c>
      <c r="AB1333">
        <f>IF($B1333="","",IF(OR($Y1333=TRUE(),$Y1333="TRUE"),1,IF(AND($Y1333&lt;&gt;"",OR($Y1333=FALSE(),$Y1333="FALSE")),0,IF(MIN(ABS($X1333/100-Settings!$C$6),ABS($X1333/100-Settings!$G$6))&lt;=MIN(ABS($X1333/100-Settings!$C$7),ABS($X1333/100-Settings!$G$7)),1,0))))</f>
        <v/>
      </c>
      <c r="AC1333">
        <f>IF($Z1333=1,IFERROR(IF(VALUE($B1333)&lt;100000000,VALUE($B1333),1000000000),IFERROR(IF(VALUE(MID($B1333,2,20))&lt;100000000,VALUE(MID($B1333,2,20)),1000000000),1000000000))+ROW()/100000,"")</f>
        <v/>
      </c>
    </row>
    <row r="1334">
      <c r="A1334">
        <f>IF($B1334="","",IFERROR(IF(INDEX('Per Invoice'!$A$2:$A$801,MATCH($B1334,'Per Invoice'!$B$2:$B$801,0))=0,"",INDEX('Per Invoice'!$A$2:$A$801,MATCH($B1334,'Per Invoice'!$B$2:$B$801,0))),""))</f>
        <v/>
      </c>
      <c r="J1334" s="7">
        <f>IF($B1334="","",I1334*Q1334/100)</f>
        <v/>
      </c>
      <c r="N1334" s="7" t="n"/>
      <c r="O1334" s="7" t="n"/>
      <c r="P1334" s="7">
        <f>IF($B1334="","",O1334*X1334/100)</f>
        <v/>
      </c>
      <c r="Q1334" s="7">
        <f>IF($B1334="","",O1334-P1334)</f>
        <v/>
      </c>
      <c r="R1334" s="7">
        <f>IF($B1334="","",Q1334-J1334)</f>
        <v/>
      </c>
      <c r="S1334" s="7" t="n"/>
      <c r="T1334" s="7" t="n"/>
      <c r="V1334" s="14" t="n"/>
      <c r="Z1334">
        <f>IF($B1334="","",IF(COUNTIF($B$2:$B1334,$B1334)=1,1,0))</f>
        <v/>
      </c>
      <c r="AA1334">
        <f>IF($Z1334=1,SUMPRODUCT(--($AC$2:$AC$3001&lt;$AC1334))+1,"")</f>
        <v/>
      </c>
      <c r="AB1334">
        <f>IF($B1334="","",IF(OR($Y1334=TRUE(),$Y1334="TRUE"),1,IF(AND($Y1334&lt;&gt;"",OR($Y1334=FALSE(),$Y1334="FALSE")),0,IF(MIN(ABS($X1334/100-Settings!$C$6),ABS($X1334/100-Settings!$G$6))&lt;=MIN(ABS($X1334/100-Settings!$C$7),ABS($X1334/100-Settings!$G$7)),1,0))))</f>
        <v/>
      </c>
      <c r="AC1334">
        <f>IF($Z1334=1,IFERROR(IF(VALUE($B1334)&lt;100000000,VALUE($B1334),1000000000),IFERROR(IF(VALUE(MID($B1334,2,20))&lt;100000000,VALUE(MID($B1334,2,20)),1000000000),1000000000))+ROW()/100000,"")</f>
        <v/>
      </c>
    </row>
    <row r="1335">
      <c r="A1335">
        <f>IF($B1335="","",IFERROR(IF(INDEX('Per Invoice'!$A$2:$A$801,MATCH($B1335,'Per Invoice'!$B$2:$B$801,0))=0,"",INDEX('Per Invoice'!$A$2:$A$801,MATCH($B1335,'Per Invoice'!$B$2:$B$801,0))),""))</f>
        <v/>
      </c>
      <c r="J1335" s="7">
        <f>IF($B1335="","",I1335*Q1335/100)</f>
        <v/>
      </c>
      <c r="N1335" s="7" t="n"/>
      <c r="O1335" s="7" t="n"/>
      <c r="P1335" s="7">
        <f>IF($B1335="","",O1335*X1335/100)</f>
        <v/>
      </c>
      <c r="Q1335" s="7">
        <f>IF($B1335="","",O1335-P1335)</f>
        <v/>
      </c>
      <c r="R1335" s="7">
        <f>IF($B1335="","",Q1335-J1335)</f>
        <v/>
      </c>
      <c r="S1335" s="7" t="n"/>
      <c r="T1335" s="7" t="n"/>
      <c r="V1335" s="14" t="n"/>
      <c r="Z1335">
        <f>IF($B1335="","",IF(COUNTIF($B$2:$B1335,$B1335)=1,1,0))</f>
        <v/>
      </c>
      <c r="AA1335">
        <f>IF($Z1335=1,SUMPRODUCT(--($AC$2:$AC$3001&lt;$AC1335))+1,"")</f>
        <v/>
      </c>
      <c r="AB1335">
        <f>IF($B1335="","",IF(OR($Y1335=TRUE(),$Y1335="TRUE"),1,IF(AND($Y1335&lt;&gt;"",OR($Y1335=FALSE(),$Y1335="FALSE")),0,IF(MIN(ABS($X1335/100-Settings!$C$6),ABS($X1335/100-Settings!$G$6))&lt;=MIN(ABS($X1335/100-Settings!$C$7),ABS($X1335/100-Settings!$G$7)),1,0))))</f>
        <v/>
      </c>
      <c r="AC1335">
        <f>IF($Z1335=1,IFERROR(IF(VALUE($B1335)&lt;100000000,VALUE($B1335),1000000000),IFERROR(IF(VALUE(MID($B1335,2,20))&lt;100000000,VALUE(MID($B1335,2,20)),1000000000),1000000000))+ROW()/100000,"")</f>
        <v/>
      </c>
    </row>
    <row r="1336">
      <c r="A1336">
        <f>IF($B1336="","",IFERROR(IF(INDEX('Per Invoice'!$A$2:$A$801,MATCH($B1336,'Per Invoice'!$B$2:$B$801,0))=0,"",INDEX('Per Invoice'!$A$2:$A$801,MATCH($B1336,'Per Invoice'!$B$2:$B$801,0))),""))</f>
        <v/>
      </c>
      <c r="J1336" s="7">
        <f>IF($B1336="","",I1336*Q1336/100)</f>
        <v/>
      </c>
      <c r="N1336" s="7" t="n"/>
      <c r="O1336" s="7" t="n"/>
      <c r="P1336" s="7">
        <f>IF($B1336="","",O1336*X1336/100)</f>
        <v/>
      </c>
      <c r="Q1336" s="7">
        <f>IF($B1336="","",O1336-P1336)</f>
        <v/>
      </c>
      <c r="R1336" s="7">
        <f>IF($B1336="","",Q1336-J1336)</f>
        <v/>
      </c>
      <c r="S1336" s="7" t="n"/>
      <c r="T1336" s="7" t="n"/>
      <c r="V1336" s="14" t="n"/>
      <c r="Z1336">
        <f>IF($B1336="","",IF(COUNTIF($B$2:$B1336,$B1336)=1,1,0))</f>
        <v/>
      </c>
      <c r="AA1336">
        <f>IF($Z1336=1,SUMPRODUCT(--($AC$2:$AC$3001&lt;$AC1336))+1,"")</f>
        <v/>
      </c>
      <c r="AB1336">
        <f>IF($B1336="","",IF(OR($Y1336=TRUE(),$Y1336="TRUE"),1,IF(AND($Y1336&lt;&gt;"",OR($Y1336=FALSE(),$Y1336="FALSE")),0,IF(MIN(ABS($X1336/100-Settings!$C$6),ABS($X1336/100-Settings!$G$6))&lt;=MIN(ABS($X1336/100-Settings!$C$7),ABS($X1336/100-Settings!$G$7)),1,0))))</f>
        <v/>
      </c>
      <c r="AC1336">
        <f>IF($Z1336=1,IFERROR(IF(VALUE($B1336)&lt;100000000,VALUE($B1336),1000000000),IFERROR(IF(VALUE(MID($B1336,2,20))&lt;100000000,VALUE(MID($B1336,2,20)),1000000000),1000000000))+ROW()/100000,"")</f>
        <v/>
      </c>
    </row>
    <row r="1337">
      <c r="A1337">
        <f>IF($B1337="","",IFERROR(IF(INDEX('Per Invoice'!$A$2:$A$801,MATCH($B1337,'Per Invoice'!$B$2:$B$801,0))=0,"",INDEX('Per Invoice'!$A$2:$A$801,MATCH($B1337,'Per Invoice'!$B$2:$B$801,0))),""))</f>
        <v/>
      </c>
      <c r="J1337" s="7">
        <f>IF($B1337="","",I1337*Q1337/100)</f>
        <v/>
      </c>
      <c r="N1337" s="7" t="n"/>
      <c r="O1337" s="7" t="n"/>
      <c r="P1337" s="7">
        <f>IF($B1337="","",O1337*X1337/100)</f>
        <v/>
      </c>
      <c r="Q1337" s="7">
        <f>IF($B1337="","",O1337-P1337)</f>
        <v/>
      </c>
      <c r="R1337" s="7">
        <f>IF($B1337="","",Q1337-J1337)</f>
        <v/>
      </c>
      <c r="S1337" s="7" t="n"/>
      <c r="T1337" s="7" t="n"/>
      <c r="V1337" s="14" t="n"/>
      <c r="Z1337">
        <f>IF($B1337="","",IF(COUNTIF($B$2:$B1337,$B1337)=1,1,0))</f>
        <v/>
      </c>
      <c r="AA1337">
        <f>IF($Z1337=1,SUMPRODUCT(--($AC$2:$AC$3001&lt;$AC1337))+1,"")</f>
        <v/>
      </c>
      <c r="AB1337">
        <f>IF($B1337="","",IF(OR($Y1337=TRUE(),$Y1337="TRUE"),1,IF(AND($Y1337&lt;&gt;"",OR($Y1337=FALSE(),$Y1337="FALSE")),0,IF(MIN(ABS($X1337/100-Settings!$C$6),ABS($X1337/100-Settings!$G$6))&lt;=MIN(ABS($X1337/100-Settings!$C$7),ABS($X1337/100-Settings!$G$7)),1,0))))</f>
        <v/>
      </c>
      <c r="AC1337">
        <f>IF($Z1337=1,IFERROR(IF(VALUE($B1337)&lt;100000000,VALUE($B1337),1000000000),IFERROR(IF(VALUE(MID($B1337,2,20))&lt;100000000,VALUE(MID($B1337,2,20)),1000000000),1000000000))+ROW()/100000,"")</f>
        <v/>
      </c>
    </row>
    <row r="1338">
      <c r="A1338">
        <f>IF($B1338="","",IFERROR(IF(INDEX('Per Invoice'!$A$2:$A$801,MATCH($B1338,'Per Invoice'!$B$2:$B$801,0))=0,"",INDEX('Per Invoice'!$A$2:$A$801,MATCH($B1338,'Per Invoice'!$B$2:$B$801,0))),""))</f>
        <v/>
      </c>
      <c r="J1338" s="7">
        <f>IF($B1338="","",I1338*Q1338/100)</f>
        <v/>
      </c>
      <c r="N1338" s="7" t="n"/>
      <c r="O1338" s="7" t="n"/>
      <c r="P1338" s="7">
        <f>IF($B1338="","",O1338*X1338/100)</f>
        <v/>
      </c>
      <c r="Q1338" s="7">
        <f>IF($B1338="","",O1338-P1338)</f>
        <v/>
      </c>
      <c r="R1338" s="7">
        <f>IF($B1338="","",Q1338-J1338)</f>
        <v/>
      </c>
      <c r="S1338" s="7" t="n"/>
      <c r="T1338" s="7" t="n"/>
      <c r="V1338" s="14" t="n"/>
      <c r="Z1338">
        <f>IF($B1338="","",IF(COUNTIF($B$2:$B1338,$B1338)=1,1,0))</f>
        <v/>
      </c>
      <c r="AA1338">
        <f>IF($Z1338=1,SUMPRODUCT(--($AC$2:$AC$3001&lt;$AC1338))+1,"")</f>
        <v/>
      </c>
      <c r="AB1338">
        <f>IF($B1338="","",IF(OR($Y1338=TRUE(),$Y1338="TRUE"),1,IF(AND($Y1338&lt;&gt;"",OR($Y1338=FALSE(),$Y1338="FALSE")),0,IF(MIN(ABS($X1338/100-Settings!$C$6),ABS($X1338/100-Settings!$G$6))&lt;=MIN(ABS($X1338/100-Settings!$C$7),ABS($X1338/100-Settings!$G$7)),1,0))))</f>
        <v/>
      </c>
      <c r="AC1338">
        <f>IF($Z1338=1,IFERROR(IF(VALUE($B1338)&lt;100000000,VALUE($B1338),1000000000),IFERROR(IF(VALUE(MID($B1338,2,20))&lt;100000000,VALUE(MID($B1338,2,20)),1000000000),1000000000))+ROW()/100000,"")</f>
        <v/>
      </c>
    </row>
    <row r="1339">
      <c r="A1339">
        <f>IF($B1339="","",IFERROR(IF(INDEX('Per Invoice'!$A$2:$A$801,MATCH($B1339,'Per Invoice'!$B$2:$B$801,0))=0,"",INDEX('Per Invoice'!$A$2:$A$801,MATCH($B1339,'Per Invoice'!$B$2:$B$801,0))),""))</f>
        <v/>
      </c>
      <c r="J1339" s="7">
        <f>IF($B1339="","",I1339*Q1339/100)</f>
        <v/>
      </c>
      <c r="N1339" s="7" t="n"/>
      <c r="O1339" s="7" t="n"/>
      <c r="P1339" s="7">
        <f>IF($B1339="","",O1339*X1339/100)</f>
        <v/>
      </c>
      <c r="Q1339" s="7">
        <f>IF($B1339="","",O1339-P1339)</f>
        <v/>
      </c>
      <c r="R1339" s="7">
        <f>IF($B1339="","",Q1339-J1339)</f>
        <v/>
      </c>
      <c r="S1339" s="7" t="n"/>
      <c r="T1339" s="7" t="n"/>
      <c r="V1339" s="14" t="n"/>
      <c r="Z1339">
        <f>IF($B1339="","",IF(COUNTIF($B$2:$B1339,$B1339)=1,1,0))</f>
        <v/>
      </c>
      <c r="AA1339">
        <f>IF($Z1339=1,SUMPRODUCT(--($AC$2:$AC$3001&lt;$AC1339))+1,"")</f>
        <v/>
      </c>
      <c r="AB1339">
        <f>IF($B1339="","",IF(OR($Y1339=TRUE(),$Y1339="TRUE"),1,IF(AND($Y1339&lt;&gt;"",OR($Y1339=FALSE(),$Y1339="FALSE")),0,IF(MIN(ABS($X1339/100-Settings!$C$6),ABS($X1339/100-Settings!$G$6))&lt;=MIN(ABS($X1339/100-Settings!$C$7),ABS($X1339/100-Settings!$G$7)),1,0))))</f>
        <v/>
      </c>
      <c r="AC1339">
        <f>IF($Z1339=1,IFERROR(IF(VALUE($B1339)&lt;100000000,VALUE($B1339),1000000000),IFERROR(IF(VALUE(MID($B1339,2,20))&lt;100000000,VALUE(MID($B1339,2,20)),1000000000),1000000000))+ROW()/100000,"")</f>
        <v/>
      </c>
    </row>
    <row r="1340">
      <c r="A1340">
        <f>IF($B1340="","",IFERROR(IF(INDEX('Per Invoice'!$A$2:$A$801,MATCH($B1340,'Per Invoice'!$B$2:$B$801,0))=0,"",INDEX('Per Invoice'!$A$2:$A$801,MATCH($B1340,'Per Invoice'!$B$2:$B$801,0))),""))</f>
        <v/>
      </c>
      <c r="J1340" s="7">
        <f>IF($B1340="","",I1340*Q1340/100)</f>
        <v/>
      </c>
      <c r="N1340" s="7" t="n"/>
      <c r="O1340" s="7" t="n"/>
      <c r="P1340" s="7">
        <f>IF($B1340="","",O1340*X1340/100)</f>
        <v/>
      </c>
      <c r="Q1340" s="7">
        <f>IF($B1340="","",O1340-P1340)</f>
        <v/>
      </c>
      <c r="R1340" s="7">
        <f>IF($B1340="","",Q1340-J1340)</f>
        <v/>
      </c>
      <c r="S1340" s="7" t="n"/>
      <c r="T1340" s="7" t="n"/>
      <c r="V1340" s="14" t="n"/>
      <c r="Z1340">
        <f>IF($B1340="","",IF(COUNTIF($B$2:$B1340,$B1340)=1,1,0))</f>
        <v/>
      </c>
      <c r="AA1340">
        <f>IF($Z1340=1,SUMPRODUCT(--($AC$2:$AC$3001&lt;$AC1340))+1,"")</f>
        <v/>
      </c>
      <c r="AB1340">
        <f>IF($B1340="","",IF(OR($Y1340=TRUE(),$Y1340="TRUE"),1,IF(AND($Y1340&lt;&gt;"",OR($Y1340=FALSE(),$Y1340="FALSE")),0,IF(MIN(ABS($X1340/100-Settings!$C$6),ABS($X1340/100-Settings!$G$6))&lt;=MIN(ABS($X1340/100-Settings!$C$7),ABS($X1340/100-Settings!$G$7)),1,0))))</f>
        <v/>
      </c>
      <c r="AC1340">
        <f>IF($Z1340=1,IFERROR(IF(VALUE($B1340)&lt;100000000,VALUE($B1340),1000000000),IFERROR(IF(VALUE(MID($B1340,2,20))&lt;100000000,VALUE(MID($B1340,2,20)),1000000000),1000000000))+ROW()/100000,"")</f>
        <v/>
      </c>
    </row>
    <row r="1341">
      <c r="A1341">
        <f>IF($B1341="","",IFERROR(IF(INDEX('Per Invoice'!$A$2:$A$801,MATCH($B1341,'Per Invoice'!$B$2:$B$801,0))=0,"",INDEX('Per Invoice'!$A$2:$A$801,MATCH($B1341,'Per Invoice'!$B$2:$B$801,0))),""))</f>
        <v/>
      </c>
      <c r="J1341" s="7">
        <f>IF($B1341="","",I1341*Q1341/100)</f>
        <v/>
      </c>
      <c r="N1341" s="7" t="n"/>
      <c r="O1341" s="7" t="n"/>
      <c r="P1341" s="7">
        <f>IF($B1341="","",O1341*X1341/100)</f>
        <v/>
      </c>
      <c r="Q1341" s="7">
        <f>IF($B1341="","",O1341-P1341)</f>
        <v/>
      </c>
      <c r="R1341" s="7">
        <f>IF($B1341="","",Q1341-J1341)</f>
        <v/>
      </c>
      <c r="S1341" s="7" t="n"/>
      <c r="T1341" s="7" t="n"/>
      <c r="V1341" s="14" t="n"/>
      <c r="Z1341">
        <f>IF($B1341="","",IF(COUNTIF($B$2:$B1341,$B1341)=1,1,0))</f>
        <v/>
      </c>
      <c r="AA1341">
        <f>IF($Z1341=1,SUMPRODUCT(--($AC$2:$AC$3001&lt;$AC1341))+1,"")</f>
        <v/>
      </c>
      <c r="AB1341">
        <f>IF($B1341="","",IF(OR($Y1341=TRUE(),$Y1341="TRUE"),1,IF(AND($Y1341&lt;&gt;"",OR($Y1341=FALSE(),$Y1341="FALSE")),0,IF(MIN(ABS($X1341/100-Settings!$C$6),ABS($X1341/100-Settings!$G$6))&lt;=MIN(ABS($X1341/100-Settings!$C$7),ABS($X1341/100-Settings!$G$7)),1,0))))</f>
        <v/>
      </c>
      <c r="AC1341">
        <f>IF($Z1341=1,IFERROR(IF(VALUE($B1341)&lt;100000000,VALUE($B1341),1000000000),IFERROR(IF(VALUE(MID($B1341,2,20))&lt;100000000,VALUE(MID($B1341,2,20)),1000000000),1000000000))+ROW()/100000,"")</f>
        <v/>
      </c>
    </row>
    <row r="1342">
      <c r="A1342">
        <f>IF($B1342="","",IFERROR(IF(INDEX('Per Invoice'!$A$2:$A$801,MATCH($B1342,'Per Invoice'!$B$2:$B$801,0))=0,"",INDEX('Per Invoice'!$A$2:$A$801,MATCH($B1342,'Per Invoice'!$B$2:$B$801,0))),""))</f>
        <v/>
      </c>
      <c r="J1342" s="7">
        <f>IF($B1342="","",I1342*Q1342/100)</f>
        <v/>
      </c>
      <c r="N1342" s="7" t="n"/>
      <c r="O1342" s="7" t="n"/>
      <c r="P1342" s="7">
        <f>IF($B1342="","",O1342*X1342/100)</f>
        <v/>
      </c>
      <c r="Q1342" s="7">
        <f>IF($B1342="","",O1342-P1342)</f>
        <v/>
      </c>
      <c r="R1342" s="7">
        <f>IF($B1342="","",Q1342-J1342)</f>
        <v/>
      </c>
      <c r="S1342" s="7" t="n"/>
      <c r="T1342" s="7" t="n"/>
      <c r="V1342" s="14" t="n"/>
      <c r="Z1342">
        <f>IF($B1342="","",IF(COUNTIF($B$2:$B1342,$B1342)=1,1,0))</f>
        <v/>
      </c>
      <c r="AA1342">
        <f>IF($Z1342=1,SUMPRODUCT(--($AC$2:$AC$3001&lt;$AC1342))+1,"")</f>
        <v/>
      </c>
      <c r="AB1342">
        <f>IF($B1342="","",IF(OR($Y1342=TRUE(),$Y1342="TRUE"),1,IF(AND($Y1342&lt;&gt;"",OR($Y1342=FALSE(),$Y1342="FALSE")),0,IF(MIN(ABS($X1342/100-Settings!$C$6),ABS($X1342/100-Settings!$G$6))&lt;=MIN(ABS($X1342/100-Settings!$C$7),ABS($X1342/100-Settings!$G$7)),1,0))))</f>
        <v/>
      </c>
      <c r="AC1342">
        <f>IF($Z1342=1,IFERROR(IF(VALUE($B1342)&lt;100000000,VALUE($B1342),1000000000),IFERROR(IF(VALUE(MID($B1342,2,20))&lt;100000000,VALUE(MID($B1342,2,20)),1000000000),1000000000))+ROW()/100000,"")</f>
        <v/>
      </c>
    </row>
    <row r="1343">
      <c r="A1343">
        <f>IF($B1343="","",IFERROR(IF(INDEX('Per Invoice'!$A$2:$A$801,MATCH($B1343,'Per Invoice'!$B$2:$B$801,0))=0,"",INDEX('Per Invoice'!$A$2:$A$801,MATCH($B1343,'Per Invoice'!$B$2:$B$801,0))),""))</f>
        <v/>
      </c>
      <c r="J1343" s="7">
        <f>IF($B1343="","",I1343*Q1343/100)</f>
        <v/>
      </c>
      <c r="N1343" s="7" t="n"/>
      <c r="O1343" s="7" t="n"/>
      <c r="P1343" s="7">
        <f>IF($B1343="","",O1343*X1343/100)</f>
        <v/>
      </c>
      <c r="Q1343" s="7">
        <f>IF($B1343="","",O1343-P1343)</f>
        <v/>
      </c>
      <c r="R1343" s="7">
        <f>IF($B1343="","",Q1343-J1343)</f>
        <v/>
      </c>
      <c r="S1343" s="7" t="n"/>
      <c r="T1343" s="7" t="n"/>
      <c r="V1343" s="14" t="n"/>
      <c r="Z1343">
        <f>IF($B1343="","",IF(COUNTIF($B$2:$B1343,$B1343)=1,1,0))</f>
        <v/>
      </c>
      <c r="AA1343">
        <f>IF($Z1343=1,SUMPRODUCT(--($AC$2:$AC$3001&lt;$AC1343))+1,"")</f>
        <v/>
      </c>
      <c r="AB1343">
        <f>IF($B1343="","",IF(OR($Y1343=TRUE(),$Y1343="TRUE"),1,IF(AND($Y1343&lt;&gt;"",OR($Y1343=FALSE(),$Y1343="FALSE")),0,IF(MIN(ABS($X1343/100-Settings!$C$6),ABS($X1343/100-Settings!$G$6))&lt;=MIN(ABS($X1343/100-Settings!$C$7),ABS($X1343/100-Settings!$G$7)),1,0))))</f>
        <v/>
      </c>
      <c r="AC1343">
        <f>IF($Z1343=1,IFERROR(IF(VALUE($B1343)&lt;100000000,VALUE($B1343),1000000000),IFERROR(IF(VALUE(MID($B1343,2,20))&lt;100000000,VALUE(MID($B1343,2,20)),1000000000),1000000000))+ROW()/100000,"")</f>
        <v/>
      </c>
    </row>
    <row r="1344">
      <c r="A1344">
        <f>IF($B1344="","",IFERROR(IF(INDEX('Per Invoice'!$A$2:$A$801,MATCH($B1344,'Per Invoice'!$B$2:$B$801,0))=0,"",INDEX('Per Invoice'!$A$2:$A$801,MATCH($B1344,'Per Invoice'!$B$2:$B$801,0))),""))</f>
        <v/>
      </c>
      <c r="J1344" s="7">
        <f>IF($B1344="","",I1344*Q1344/100)</f>
        <v/>
      </c>
      <c r="N1344" s="7" t="n"/>
      <c r="O1344" s="7" t="n"/>
      <c r="P1344" s="7">
        <f>IF($B1344="","",O1344*X1344/100)</f>
        <v/>
      </c>
      <c r="Q1344" s="7">
        <f>IF($B1344="","",O1344-P1344)</f>
        <v/>
      </c>
      <c r="R1344" s="7">
        <f>IF($B1344="","",Q1344-J1344)</f>
        <v/>
      </c>
      <c r="S1344" s="7" t="n"/>
      <c r="T1344" s="7" t="n"/>
      <c r="V1344" s="14" t="n"/>
      <c r="Z1344">
        <f>IF($B1344="","",IF(COUNTIF($B$2:$B1344,$B1344)=1,1,0))</f>
        <v/>
      </c>
      <c r="AA1344">
        <f>IF($Z1344=1,SUMPRODUCT(--($AC$2:$AC$3001&lt;$AC1344))+1,"")</f>
        <v/>
      </c>
      <c r="AB1344">
        <f>IF($B1344="","",IF(OR($Y1344=TRUE(),$Y1344="TRUE"),1,IF(AND($Y1344&lt;&gt;"",OR($Y1344=FALSE(),$Y1344="FALSE")),0,IF(MIN(ABS($X1344/100-Settings!$C$6),ABS($X1344/100-Settings!$G$6))&lt;=MIN(ABS($X1344/100-Settings!$C$7),ABS($X1344/100-Settings!$G$7)),1,0))))</f>
        <v/>
      </c>
      <c r="AC1344">
        <f>IF($Z1344=1,IFERROR(IF(VALUE($B1344)&lt;100000000,VALUE($B1344),1000000000),IFERROR(IF(VALUE(MID($B1344,2,20))&lt;100000000,VALUE(MID($B1344,2,20)),1000000000),1000000000))+ROW()/100000,"")</f>
        <v/>
      </c>
    </row>
    <row r="1345">
      <c r="A1345">
        <f>IF($B1345="","",IFERROR(IF(INDEX('Per Invoice'!$A$2:$A$801,MATCH($B1345,'Per Invoice'!$B$2:$B$801,0))=0,"",INDEX('Per Invoice'!$A$2:$A$801,MATCH($B1345,'Per Invoice'!$B$2:$B$801,0))),""))</f>
        <v/>
      </c>
      <c r="J1345" s="7">
        <f>IF($B1345="","",I1345*Q1345/100)</f>
        <v/>
      </c>
      <c r="N1345" s="7" t="n"/>
      <c r="O1345" s="7" t="n"/>
      <c r="P1345" s="7">
        <f>IF($B1345="","",O1345*X1345/100)</f>
        <v/>
      </c>
      <c r="Q1345" s="7">
        <f>IF($B1345="","",O1345-P1345)</f>
        <v/>
      </c>
      <c r="R1345" s="7">
        <f>IF($B1345="","",Q1345-J1345)</f>
        <v/>
      </c>
      <c r="S1345" s="7" t="n"/>
      <c r="T1345" s="7" t="n"/>
      <c r="V1345" s="14" t="n"/>
      <c r="Z1345">
        <f>IF($B1345="","",IF(COUNTIF($B$2:$B1345,$B1345)=1,1,0))</f>
        <v/>
      </c>
      <c r="AA1345">
        <f>IF($Z1345=1,SUMPRODUCT(--($AC$2:$AC$3001&lt;$AC1345))+1,"")</f>
        <v/>
      </c>
      <c r="AB1345">
        <f>IF($B1345="","",IF(OR($Y1345=TRUE(),$Y1345="TRUE"),1,IF(AND($Y1345&lt;&gt;"",OR($Y1345=FALSE(),$Y1345="FALSE")),0,IF(MIN(ABS($X1345/100-Settings!$C$6),ABS($X1345/100-Settings!$G$6))&lt;=MIN(ABS($X1345/100-Settings!$C$7),ABS($X1345/100-Settings!$G$7)),1,0))))</f>
        <v/>
      </c>
      <c r="AC1345">
        <f>IF($Z1345=1,IFERROR(IF(VALUE($B1345)&lt;100000000,VALUE($B1345),1000000000),IFERROR(IF(VALUE(MID($B1345,2,20))&lt;100000000,VALUE(MID($B1345,2,20)),1000000000),1000000000))+ROW()/100000,"")</f>
        <v/>
      </c>
    </row>
    <row r="1346">
      <c r="A1346">
        <f>IF($B1346="","",IFERROR(IF(INDEX('Per Invoice'!$A$2:$A$801,MATCH($B1346,'Per Invoice'!$B$2:$B$801,0))=0,"",INDEX('Per Invoice'!$A$2:$A$801,MATCH($B1346,'Per Invoice'!$B$2:$B$801,0))),""))</f>
        <v/>
      </c>
      <c r="J1346" s="7">
        <f>IF($B1346="","",I1346*Q1346/100)</f>
        <v/>
      </c>
      <c r="N1346" s="7" t="n"/>
      <c r="O1346" s="7" t="n"/>
      <c r="P1346" s="7">
        <f>IF($B1346="","",O1346*X1346/100)</f>
        <v/>
      </c>
      <c r="Q1346" s="7">
        <f>IF($B1346="","",O1346-P1346)</f>
        <v/>
      </c>
      <c r="R1346" s="7">
        <f>IF($B1346="","",Q1346-J1346)</f>
        <v/>
      </c>
      <c r="S1346" s="7" t="n"/>
      <c r="T1346" s="7" t="n"/>
      <c r="V1346" s="14" t="n"/>
      <c r="Z1346">
        <f>IF($B1346="","",IF(COUNTIF($B$2:$B1346,$B1346)=1,1,0))</f>
        <v/>
      </c>
      <c r="AA1346">
        <f>IF($Z1346=1,SUMPRODUCT(--($AC$2:$AC$3001&lt;$AC1346))+1,"")</f>
        <v/>
      </c>
      <c r="AB1346">
        <f>IF($B1346="","",IF(OR($Y1346=TRUE(),$Y1346="TRUE"),1,IF(AND($Y1346&lt;&gt;"",OR($Y1346=FALSE(),$Y1346="FALSE")),0,IF(MIN(ABS($X1346/100-Settings!$C$6),ABS($X1346/100-Settings!$G$6))&lt;=MIN(ABS($X1346/100-Settings!$C$7),ABS($X1346/100-Settings!$G$7)),1,0))))</f>
        <v/>
      </c>
      <c r="AC1346">
        <f>IF($Z1346=1,IFERROR(IF(VALUE($B1346)&lt;100000000,VALUE($B1346),1000000000),IFERROR(IF(VALUE(MID($B1346,2,20))&lt;100000000,VALUE(MID($B1346,2,20)),1000000000),1000000000))+ROW()/100000,"")</f>
        <v/>
      </c>
    </row>
    <row r="1347">
      <c r="A1347">
        <f>IF($B1347="","",IFERROR(IF(INDEX('Per Invoice'!$A$2:$A$801,MATCH($B1347,'Per Invoice'!$B$2:$B$801,0))=0,"",INDEX('Per Invoice'!$A$2:$A$801,MATCH($B1347,'Per Invoice'!$B$2:$B$801,0))),""))</f>
        <v/>
      </c>
      <c r="J1347" s="7">
        <f>IF($B1347="","",I1347*Q1347/100)</f>
        <v/>
      </c>
      <c r="N1347" s="7" t="n"/>
      <c r="O1347" s="7" t="n"/>
      <c r="P1347" s="7">
        <f>IF($B1347="","",O1347*X1347/100)</f>
        <v/>
      </c>
      <c r="Q1347" s="7">
        <f>IF($B1347="","",O1347-P1347)</f>
        <v/>
      </c>
      <c r="R1347" s="7">
        <f>IF($B1347="","",Q1347-J1347)</f>
        <v/>
      </c>
      <c r="S1347" s="7" t="n"/>
      <c r="T1347" s="7" t="n"/>
      <c r="V1347" s="14" t="n"/>
      <c r="Z1347">
        <f>IF($B1347="","",IF(COUNTIF($B$2:$B1347,$B1347)=1,1,0))</f>
        <v/>
      </c>
      <c r="AA1347">
        <f>IF($Z1347=1,SUMPRODUCT(--($AC$2:$AC$3001&lt;$AC1347))+1,"")</f>
        <v/>
      </c>
      <c r="AB1347">
        <f>IF($B1347="","",IF(OR($Y1347=TRUE(),$Y1347="TRUE"),1,IF(AND($Y1347&lt;&gt;"",OR($Y1347=FALSE(),$Y1347="FALSE")),0,IF(MIN(ABS($X1347/100-Settings!$C$6),ABS($X1347/100-Settings!$G$6))&lt;=MIN(ABS($X1347/100-Settings!$C$7),ABS($X1347/100-Settings!$G$7)),1,0))))</f>
        <v/>
      </c>
      <c r="AC1347">
        <f>IF($Z1347=1,IFERROR(IF(VALUE($B1347)&lt;100000000,VALUE($B1347),1000000000),IFERROR(IF(VALUE(MID($B1347,2,20))&lt;100000000,VALUE(MID($B1347,2,20)),1000000000),1000000000))+ROW()/100000,"")</f>
        <v/>
      </c>
    </row>
    <row r="1348">
      <c r="A1348">
        <f>IF($B1348="","",IFERROR(IF(INDEX('Per Invoice'!$A$2:$A$801,MATCH($B1348,'Per Invoice'!$B$2:$B$801,0))=0,"",INDEX('Per Invoice'!$A$2:$A$801,MATCH($B1348,'Per Invoice'!$B$2:$B$801,0))),""))</f>
        <v/>
      </c>
      <c r="J1348" s="7">
        <f>IF($B1348="","",I1348*Q1348/100)</f>
        <v/>
      </c>
      <c r="N1348" s="7" t="n"/>
      <c r="O1348" s="7" t="n"/>
      <c r="P1348" s="7">
        <f>IF($B1348="","",O1348*X1348/100)</f>
        <v/>
      </c>
      <c r="Q1348" s="7">
        <f>IF($B1348="","",O1348-P1348)</f>
        <v/>
      </c>
      <c r="R1348" s="7">
        <f>IF($B1348="","",Q1348-J1348)</f>
        <v/>
      </c>
      <c r="S1348" s="7" t="n"/>
      <c r="T1348" s="7" t="n"/>
      <c r="V1348" s="14" t="n"/>
      <c r="Z1348">
        <f>IF($B1348="","",IF(COUNTIF($B$2:$B1348,$B1348)=1,1,0))</f>
        <v/>
      </c>
      <c r="AA1348">
        <f>IF($Z1348=1,SUMPRODUCT(--($AC$2:$AC$3001&lt;$AC1348))+1,"")</f>
        <v/>
      </c>
      <c r="AB1348">
        <f>IF($B1348="","",IF(OR($Y1348=TRUE(),$Y1348="TRUE"),1,IF(AND($Y1348&lt;&gt;"",OR($Y1348=FALSE(),$Y1348="FALSE")),0,IF(MIN(ABS($X1348/100-Settings!$C$6),ABS($X1348/100-Settings!$G$6))&lt;=MIN(ABS($X1348/100-Settings!$C$7),ABS($X1348/100-Settings!$G$7)),1,0))))</f>
        <v/>
      </c>
      <c r="AC1348">
        <f>IF($Z1348=1,IFERROR(IF(VALUE($B1348)&lt;100000000,VALUE($B1348),1000000000),IFERROR(IF(VALUE(MID($B1348,2,20))&lt;100000000,VALUE(MID($B1348,2,20)),1000000000),1000000000))+ROW()/100000,"")</f>
        <v/>
      </c>
    </row>
    <row r="1349">
      <c r="A1349">
        <f>IF($B1349="","",IFERROR(IF(INDEX('Per Invoice'!$A$2:$A$801,MATCH($B1349,'Per Invoice'!$B$2:$B$801,0))=0,"",INDEX('Per Invoice'!$A$2:$A$801,MATCH($B1349,'Per Invoice'!$B$2:$B$801,0))),""))</f>
        <v/>
      </c>
      <c r="J1349" s="7">
        <f>IF($B1349="","",I1349*Q1349/100)</f>
        <v/>
      </c>
      <c r="N1349" s="7" t="n"/>
      <c r="O1349" s="7" t="n"/>
      <c r="P1349" s="7">
        <f>IF($B1349="","",O1349*X1349/100)</f>
        <v/>
      </c>
      <c r="Q1349" s="7">
        <f>IF($B1349="","",O1349-P1349)</f>
        <v/>
      </c>
      <c r="R1349" s="7">
        <f>IF($B1349="","",Q1349-J1349)</f>
        <v/>
      </c>
      <c r="S1349" s="7" t="n"/>
      <c r="T1349" s="7" t="n"/>
      <c r="V1349" s="14" t="n"/>
      <c r="Z1349">
        <f>IF($B1349="","",IF(COUNTIF($B$2:$B1349,$B1349)=1,1,0))</f>
        <v/>
      </c>
      <c r="AA1349">
        <f>IF($Z1349=1,SUMPRODUCT(--($AC$2:$AC$3001&lt;$AC1349))+1,"")</f>
        <v/>
      </c>
      <c r="AB1349">
        <f>IF($B1349="","",IF(OR($Y1349=TRUE(),$Y1349="TRUE"),1,IF(AND($Y1349&lt;&gt;"",OR($Y1349=FALSE(),$Y1349="FALSE")),0,IF(MIN(ABS($X1349/100-Settings!$C$6),ABS($X1349/100-Settings!$G$6))&lt;=MIN(ABS($X1349/100-Settings!$C$7),ABS($X1349/100-Settings!$G$7)),1,0))))</f>
        <v/>
      </c>
      <c r="AC1349">
        <f>IF($Z1349=1,IFERROR(IF(VALUE($B1349)&lt;100000000,VALUE($B1349),1000000000),IFERROR(IF(VALUE(MID($B1349,2,20))&lt;100000000,VALUE(MID($B1349,2,20)),1000000000),1000000000))+ROW()/100000,"")</f>
        <v/>
      </c>
    </row>
    <row r="1350">
      <c r="A1350">
        <f>IF($B1350="","",IFERROR(IF(INDEX('Per Invoice'!$A$2:$A$801,MATCH($B1350,'Per Invoice'!$B$2:$B$801,0))=0,"",INDEX('Per Invoice'!$A$2:$A$801,MATCH($B1350,'Per Invoice'!$B$2:$B$801,0))),""))</f>
        <v/>
      </c>
      <c r="J1350" s="7">
        <f>IF($B1350="","",I1350*Q1350/100)</f>
        <v/>
      </c>
      <c r="N1350" s="7" t="n"/>
      <c r="O1350" s="7" t="n"/>
      <c r="P1350" s="7">
        <f>IF($B1350="","",O1350*X1350/100)</f>
        <v/>
      </c>
      <c r="Q1350" s="7">
        <f>IF($B1350="","",O1350-P1350)</f>
        <v/>
      </c>
      <c r="R1350" s="7">
        <f>IF($B1350="","",Q1350-J1350)</f>
        <v/>
      </c>
      <c r="S1350" s="7" t="n"/>
      <c r="T1350" s="7" t="n"/>
      <c r="V1350" s="14" t="n"/>
      <c r="Z1350">
        <f>IF($B1350="","",IF(COUNTIF($B$2:$B1350,$B1350)=1,1,0))</f>
        <v/>
      </c>
      <c r="AA1350">
        <f>IF($Z1350=1,SUMPRODUCT(--($AC$2:$AC$3001&lt;$AC1350))+1,"")</f>
        <v/>
      </c>
      <c r="AB1350">
        <f>IF($B1350="","",IF(OR($Y1350=TRUE(),$Y1350="TRUE"),1,IF(AND($Y1350&lt;&gt;"",OR($Y1350=FALSE(),$Y1350="FALSE")),0,IF(MIN(ABS($X1350/100-Settings!$C$6),ABS($X1350/100-Settings!$G$6))&lt;=MIN(ABS($X1350/100-Settings!$C$7),ABS($X1350/100-Settings!$G$7)),1,0))))</f>
        <v/>
      </c>
      <c r="AC1350">
        <f>IF($Z1350=1,IFERROR(IF(VALUE($B1350)&lt;100000000,VALUE($B1350),1000000000),IFERROR(IF(VALUE(MID($B1350,2,20))&lt;100000000,VALUE(MID($B1350,2,20)),1000000000),1000000000))+ROW()/100000,"")</f>
        <v/>
      </c>
    </row>
    <row r="1351">
      <c r="A1351">
        <f>IF($B1351="","",IFERROR(IF(INDEX('Per Invoice'!$A$2:$A$801,MATCH($B1351,'Per Invoice'!$B$2:$B$801,0))=0,"",INDEX('Per Invoice'!$A$2:$A$801,MATCH($B1351,'Per Invoice'!$B$2:$B$801,0))),""))</f>
        <v/>
      </c>
      <c r="J1351" s="7">
        <f>IF($B1351="","",I1351*Q1351/100)</f>
        <v/>
      </c>
      <c r="N1351" s="7" t="n"/>
      <c r="O1351" s="7" t="n"/>
      <c r="P1351" s="7">
        <f>IF($B1351="","",O1351*X1351/100)</f>
        <v/>
      </c>
      <c r="Q1351" s="7">
        <f>IF($B1351="","",O1351-P1351)</f>
        <v/>
      </c>
      <c r="R1351" s="7">
        <f>IF($B1351="","",Q1351-J1351)</f>
        <v/>
      </c>
      <c r="S1351" s="7" t="n"/>
      <c r="T1351" s="7" t="n"/>
      <c r="V1351" s="14" t="n"/>
      <c r="Z1351">
        <f>IF($B1351="","",IF(COUNTIF($B$2:$B1351,$B1351)=1,1,0))</f>
        <v/>
      </c>
      <c r="AA1351">
        <f>IF($Z1351=1,SUMPRODUCT(--($AC$2:$AC$3001&lt;$AC1351))+1,"")</f>
        <v/>
      </c>
      <c r="AB1351">
        <f>IF($B1351="","",IF(OR($Y1351=TRUE(),$Y1351="TRUE"),1,IF(AND($Y1351&lt;&gt;"",OR($Y1351=FALSE(),$Y1351="FALSE")),0,IF(MIN(ABS($X1351/100-Settings!$C$6),ABS($X1351/100-Settings!$G$6))&lt;=MIN(ABS($X1351/100-Settings!$C$7),ABS($X1351/100-Settings!$G$7)),1,0))))</f>
        <v/>
      </c>
      <c r="AC1351">
        <f>IF($Z1351=1,IFERROR(IF(VALUE($B1351)&lt;100000000,VALUE($B1351),1000000000),IFERROR(IF(VALUE(MID($B1351,2,20))&lt;100000000,VALUE(MID($B1351,2,20)),1000000000),1000000000))+ROW()/100000,"")</f>
        <v/>
      </c>
    </row>
    <row r="1352">
      <c r="A1352">
        <f>IF($B1352="","",IFERROR(IF(INDEX('Per Invoice'!$A$2:$A$801,MATCH($B1352,'Per Invoice'!$B$2:$B$801,0))=0,"",INDEX('Per Invoice'!$A$2:$A$801,MATCH($B1352,'Per Invoice'!$B$2:$B$801,0))),""))</f>
        <v/>
      </c>
      <c r="J1352" s="7">
        <f>IF($B1352="","",I1352*Q1352/100)</f>
        <v/>
      </c>
      <c r="N1352" s="7" t="n"/>
      <c r="O1352" s="7" t="n"/>
      <c r="P1352" s="7">
        <f>IF($B1352="","",O1352*X1352/100)</f>
        <v/>
      </c>
      <c r="Q1352" s="7">
        <f>IF($B1352="","",O1352-P1352)</f>
        <v/>
      </c>
      <c r="R1352" s="7">
        <f>IF($B1352="","",Q1352-J1352)</f>
        <v/>
      </c>
      <c r="S1352" s="7" t="n"/>
      <c r="T1352" s="7" t="n"/>
      <c r="V1352" s="14" t="n"/>
      <c r="Z1352">
        <f>IF($B1352="","",IF(COUNTIF($B$2:$B1352,$B1352)=1,1,0))</f>
        <v/>
      </c>
      <c r="AA1352">
        <f>IF($Z1352=1,SUMPRODUCT(--($AC$2:$AC$3001&lt;$AC1352))+1,"")</f>
        <v/>
      </c>
      <c r="AB1352">
        <f>IF($B1352="","",IF(OR($Y1352=TRUE(),$Y1352="TRUE"),1,IF(AND($Y1352&lt;&gt;"",OR($Y1352=FALSE(),$Y1352="FALSE")),0,IF(MIN(ABS($X1352/100-Settings!$C$6),ABS($X1352/100-Settings!$G$6))&lt;=MIN(ABS($X1352/100-Settings!$C$7),ABS($X1352/100-Settings!$G$7)),1,0))))</f>
        <v/>
      </c>
      <c r="AC1352">
        <f>IF($Z1352=1,IFERROR(IF(VALUE($B1352)&lt;100000000,VALUE($B1352),1000000000),IFERROR(IF(VALUE(MID($B1352,2,20))&lt;100000000,VALUE(MID($B1352,2,20)),1000000000),1000000000))+ROW()/100000,"")</f>
        <v/>
      </c>
    </row>
    <row r="1353">
      <c r="A1353">
        <f>IF($B1353="","",IFERROR(IF(INDEX('Per Invoice'!$A$2:$A$801,MATCH($B1353,'Per Invoice'!$B$2:$B$801,0))=0,"",INDEX('Per Invoice'!$A$2:$A$801,MATCH($B1353,'Per Invoice'!$B$2:$B$801,0))),""))</f>
        <v/>
      </c>
      <c r="J1353" s="7">
        <f>IF($B1353="","",I1353*Q1353/100)</f>
        <v/>
      </c>
      <c r="N1353" s="7" t="n"/>
      <c r="O1353" s="7" t="n"/>
      <c r="P1353" s="7">
        <f>IF($B1353="","",O1353*X1353/100)</f>
        <v/>
      </c>
      <c r="Q1353" s="7">
        <f>IF($B1353="","",O1353-P1353)</f>
        <v/>
      </c>
      <c r="R1353" s="7">
        <f>IF($B1353="","",Q1353-J1353)</f>
        <v/>
      </c>
      <c r="S1353" s="7" t="n"/>
      <c r="T1353" s="7" t="n"/>
      <c r="V1353" s="14" t="n"/>
      <c r="Z1353">
        <f>IF($B1353="","",IF(COUNTIF($B$2:$B1353,$B1353)=1,1,0))</f>
        <v/>
      </c>
      <c r="AA1353">
        <f>IF($Z1353=1,SUMPRODUCT(--($AC$2:$AC$3001&lt;$AC1353))+1,"")</f>
        <v/>
      </c>
      <c r="AB1353">
        <f>IF($B1353="","",IF(OR($Y1353=TRUE(),$Y1353="TRUE"),1,IF(AND($Y1353&lt;&gt;"",OR($Y1353=FALSE(),$Y1353="FALSE")),0,IF(MIN(ABS($X1353/100-Settings!$C$6),ABS($X1353/100-Settings!$G$6))&lt;=MIN(ABS($X1353/100-Settings!$C$7),ABS($X1353/100-Settings!$G$7)),1,0))))</f>
        <v/>
      </c>
      <c r="AC1353">
        <f>IF($Z1353=1,IFERROR(IF(VALUE($B1353)&lt;100000000,VALUE($B1353),1000000000),IFERROR(IF(VALUE(MID($B1353,2,20))&lt;100000000,VALUE(MID($B1353,2,20)),1000000000),1000000000))+ROW()/100000,"")</f>
        <v/>
      </c>
    </row>
    <row r="1354">
      <c r="A1354">
        <f>IF($B1354="","",IFERROR(IF(INDEX('Per Invoice'!$A$2:$A$801,MATCH($B1354,'Per Invoice'!$B$2:$B$801,0))=0,"",INDEX('Per Invoice'!$A$2:$A$801,MATCH($B1354,'Per Invoice'!$B$2:$B$801,0))),""))</f>
        <v/>
      </c>
      <c r="J1354" s="7">
        <f>IF($B1354="","",I1354*Q1354/100)</f>
        <v/>
      </c>
      <c r="N1354" s="7" t="n"/>
      <c r="O1354" s="7" t="n"/>
      <c r="P1354" s="7">
        <f>IF($B1354="","",O1354*X1354/100)</f>
        <v/>
      </c>
      <c r="Q1354" s="7">
        <f>IF($B1354="","",O1354-P1354)</f>
        <v/>
      </c>
      <c r="R1354" s="7">
        <f>IF($B1354="","",Q1354-J1354)</f>
        <v/>
      </c>
      <c r="S1354" s="7" t="n"/>
      <c r="T1354" s="7" t="n"/>
      <c r="V1354" s="14" t="n"/>
      <c r="Z1354">
        <f>IF($B1354="","",IF(COUNTIF($B$2:$B1354,$B1354)=1,1,0))</f>
        <v/>
      </c>
      <c r="AA1354">
        <f>IF($Z1354=1,SUMPRODUCT(--($AC$2:$AC$3001&lt;$AC1354))+1,"")</f>
        <v/>
      </c>
      <c r="AB1354">
        <f>IF($B1354="","",IF(OR($Y1354=TRUE(),$Y1354="TRUE"),1,IF(AND($Y1354&lt;&gt;"",OR($Y1354=FALSE(),$Y1354="FALSE")),0,IF(MIN(ABS($X1354/100-Settings!$C$6),ABS($X1354/100-Settings!$G$6))&lt;=MIN(ABS($X1354/100-Settings!$C$7),ABS($X1354/100-Settings!$G$7)),1,0))))</f>
        <v/>
      </c>
      <c r="AC1354">
        <f>IF($Z1354=1,IFERROR(IF(VALUE($B1354)&lt;100000000,VALUE($B1354),1000000000),IFERROR(IF(VALUE(MID($B1354,2,20))&lt;100000000,VALUE(MID($B1354,2,20)),1000000000),1000000000))+ROW()/100000,"")</f>
        <v/>
      </c>
    </row>
    <row r="1355">
      <c r="A1355">
        <f>IF($B1355="","",IFERROR(IF(INDEX('Per Invoice'!$A$2:$A$801,MATCH($B1355,'Per Invoice'!$B$2:$B$801,0))=0,"",INDEX('Per Invoice'!$A$2:$A$801,MATCH($B1355,'Per Invoice'!$B$2:$B$801,0))),""))</f>
        <v/>
      </c>
      <c r="J1355" s="7">
        <f>IF($B1355="","",I1355*Q1355/100)</f>
        <v/>
      </c>
      <c r="N1355" s="7" t="n"/>
      <c r="O1355" s="7" t="n"/>
      <c r="P1355" s="7">
        <f>IF($B1355="","",O1355*X1355/100)</f>
        <v/>
      </c>
      <c r="Q1355" s="7">
        <f>IF($B1355="","",O1355-P1355)</f>
        <v/>
      </c>
      <c r="R1355" s="7">
        <f>IF($B1355="","",Q1355-J1355)</f>
        <v/>
      </c>
      <c r="S1355" s="7" t="n"/>
      <c r="T1355" s="7" t="n"/>
      <c r="V1355" s="14" t="n"/>
      <c r="Z1355">
        <f>IF($B1355="","",IF(COUNTIF($B$2:$B1355,$B1355)=1,1,0))</f>
        <v/>
      </c>
      <c r="AA1355">
        <f>IF($Z1355=1,SUMPRODUCT(--($AC$2:$AC$3001&lt;$AC1355))+1,"")</f>
        <v/>
      </c>
      <c r="AB1355">
        <f>IF($B1355="","",IF(OR($Y1355=TRUE(),$Y1355="TRUE"),1,IF(AND($Y1355&lt;&gt;"",OR($Y1355=FALSE(),$Y1355="FALSE")),0,IF(MIN(ABS($X1355/100-Settings!$C$6),ABS($X1355/100-Settings!$G$6))&lt;=MIN(ABS($X1355/100-Settings!$C$7),ABS($X1355/100-Settings!$G$7)),1,0))))</f>
        <v/>
      </c>
      <c r="AC1355">
        <f>IF($Z1355=1,IFERROR(IF(VALUE($B1355)&lt;100000000,VALUE($B1355),1000000000),IFERROR(IF(VALUE(MID($B1355,2,20))&lt;100000000,VALUE(MID($B1355,2,20)),1000000000),1000000000))+ROW()/100000,"")</f>
        <v/>
      </c>
    </row>
    <row r="1356">
      <c r="A1356">
        <f>IF($B1356="","",IFERROR(IF(INDEX('Per Invoice'!$A$2:$A$801,MATCH($B1356,'Per Invoice'!$B$2:$B$801,0))=0,"",INDEX('Per Invoice'!$A$2:$A$801,MATCH($B1356,'Per Invoice'!$B$2:$B$801,0))),""))</f>
        <v/>
      </c>
      <c r="J1356" s="7">
        <f>IF($B1356="","",I1356*Q1356/100)</f>
        <v/>
      </c>
      <c r="N1356" s="7" t="n"/>
      <c r="O1356" s="7" t="n"/>
      <c r="P1356" s="7">
        <f>IF($B1356="","",O1356*X1356/100)</f>
        <v/>
      </c>
      <c r="Q1356" s="7">
        <f>IF($B1356="","",O1356-P1356)</f>
        <v/>
      </c>
      <c r="R1356" s="7">
        <f>IF($B1356="","",Q1356-J1356)</f>
        <v/>
      </c>
      <c r="S1356" s="7" t="n"/>
      <c r="T1356" s="7" t="n"/>
      <c r="V1356" s="14" t="n"/>
      <c r="Z1356">
        <f>IF($B1356="","",IF(COUNTIF($B$2:$B1356,$B1356)=1,1,0))</f>
        <v/>
      </c>
      <c r="AA1356">
        <f>IF($Z1356=1,SUMPRODUCT(--($AC$2:$AC$3001&lt;$AC1356))+1,"")</f>
        <v/>
      </c>
      <c r="AB1356">
        <f>IF($B1356="","",IF(OR($Y1356=TRUE(),$Y1356="TRUE"),1,IF(AND($Y1356&lt;&gt;"",OR($Y1356=FALSE(),$Y1356="FALSE")),0,IF(MIN(ABS($X1356/100-Settings!$C$6),ABS($X1356/100-Settings!$G$6))&lt;=MIN(ABS($X1356/100-Settings!$C$7),ABS($X1356/100-Settings!$G$7)),1,0))))</f>
        <v/>
      </c>
      <c r="AC1356">
        <f>IF($Z1356=1,IFERROR(IF(VALUE($B1356)&lt;100000000,VALUE($B1356),1000000000),IFERROR(IF(VALUE(MID($B1356,2,20))&lt;100000000,VALUE(MID($B1356,2,20)),1000000000),1000000000))+ROW()/100000,"")</f>
        <v/>
      </c>
    </row>
    <row r="1357">
      <c r="A1357">
        <f>IF($B1357="","",IFERROR(IF(INDEX('Per Invoice'!$A$2:$A$801,MATCH($B1357,'Per Invoice'!$B$2:$B$801,0))=0,"",INDEX('Per Invoice'!$A$2:$A$801,MATCH($B1357,'Per Invoice'!$B$2:$B$801,0))),""))</f>
        <v/>
      </c>
      <c r="J1357" s="7">
        <f>IF($B1357="","",I1357*Q1357/100)</f>
        <v/>
      </c>
      <c r="N1357" s="7" t="n"/>
      <c r="O1357" s="7" t="n"/>
      <c r="P1357" s="7">
        <f>IF($B1357="","",O1357*X1357/100)</f>
        <v/>
      </c>
      <c r="Q1357" s="7">
        <f>IF($B1357="","",O1357-P1357)</f>
        <v/>
      </c>
      <c r="R1357" s="7">
        <f>IF($B1357="","",Q1357-J1357)</f>
        <v/>
      </c>
      <c r="S1357" s="7" t="n"/>
      <c r="T1357" s="7" t="n"/>
      <c r="V1357" s="14" t="n"/>
      <c r="Z1357">
        <f>IF($B1357="","",IF(COUNTIF($B$2:$B1357,$B1357)=1,1,0))</f>
        <v/>
      </c>
      <c r="AA1357">
        <f>IF($Z1357=1,SUMPRODUCT(--($AC$2:$AC$3001&lt;$AC1357))+1,"")</f>
        <v/>
      </c>
      <c r="AB1357">
        <f>IF($B1357="","",IF(OR($Y1357=TRUE(),$Y1357="TRUE"),1,IF(AND($Y1357&lt;&gt;"",OR($Y1357=FALSE(),$Y1357="FALSE")),0,IF(MIN(ABS($X1357/100-Settings!$C$6),ABS($X1357/100-Settings!$G$6))&lt;=MIN(ABS($X1357/100-Settings!$C$7),ABS($X1357/100-Settings!$G$7)),1,0))))</f>
        <v/>
      </c>
      <c r="AC1357">
        <f>IF($Z1357=1,IFERROR(IF(VALUE($B1357)&lt;100000000,VALUE($B1357),1000000000),IFERROR(IF(VALUE(MID($B1357,2,20))&lt;100000000,VALUE(MID($B1357,2,20)),1000000000),1000000000))+ROW()/100000,"")</f>
        <v/>
      </c>
    </row>
    <row r="1358">
      <c r="A1358">
        <f>IF($B1358="","",IFERROR(IF(INDEX('Per Invoice'!$A$2:$A$801,MATCH($B1358,'Per Invoice'!$B$2:$B$801,0))=0,"",INDEX('Per Invoice'!$A$2:$A$801,MATCH($B1358,'Per Invoice'!$B$2:$B$801,0))),""))</f>
        <v/>
      </c>
      <c r="J1358" s="7">
        <f>IF($B1358="","",I1358*Q1358/100)</f>
        <v/>
      </c>
      <c r="N1358" s="7" t="n"/>
      <c r="O1358" s="7" t="n"/>
      <c r="P1358" s="7">
        <f>IF($B1358="","",O1358*X1358/100)</f>
        <v/>
      </c>
      <c r="Q1358" s="7">
        <f>IF($B1358="","",O1358-P1358)</f>
        <v/>
      </c>
      <c r="R1358" s="7">
        <f>IF($B1358="","",Q1358-J1358)</f>
        <v/>
      </c>
      <c r="S1358" s="7" t="n"/>
      <c r="T1358" s="7" t="n"/>
      <c r="V1358" s="14" t="n"/>
      <c r="Z1358">
        <f>IF($B1358="","",IF(COUNTIF($B$2:$B1358,$B1358)=1,1,0))</f>
        <v/>
      </c>
      <c r="AA1358">
        <f>IF($Z1358=1,SUMPRODUCT(--($AC$2:$AC$3001&lt;$AC1358))+1,"")</f>
        <v/>
      </c>
      <c r="AB1358">
        <f>IF($B1358="","",IF(OR($Y1358=TRUE(),$Y1358="TRUE"),1,IF(AND($Y1358&lt;&gt;"",OR($Y1358=FALSE(),$Y1358="FALSE")),0,IF(MIN(ABS($X1358/100-Settings!$C$6),ABS($X1358/100-Settings!$G$6))&lt;=MIN(ABS($X1358/100-Settings!$C$7),ABS($X1358/100-Settings!$G$7)),1,0))))</f>
        <v/>
      </c>
      <c r="AC1358">
        <f>IF($Z1358=1,IFERROR(IF(VALUE($B1358)&lt;100000000,VALUE($B1358),1000000000),IFERROR(IF(VALUE(MID($B1358,2,20))&lt;100000000,VALUE(MID($B1358,2,20)),1000000000),1000000000))+ROW()/100000,"")</f>
        <v/>
      </c>
    </row>
    <row r="1359">
      <c r="A1359">
        <f>IF($B1359="","",IFERROR(IF(INDEX('Per Invoice'!$A$2:$A$801,MATCH($B1359,'Per Invoice'!$B$2:$B$801,0))=0,"",INDEX('Per Invoice'!$A$2:$A$801,MATCH($B1359,'Per Invoice'!$B$2:$B$801,0))),""))</f>
        <v/>
      </c>
      <c r="J1359" s="7">
        <f>IF($B1359="","",I1359*Q1359/100)</f>
        <v/>
      </c>
      <c r="N1359" s="7" t="n"/>
      <c r="O1359" s="7" t="n"/>
      <c r="P1359" s="7">
        <f>IF($B1359="","",O1359*X1359/100)</f>
        <v/>
      </c>
      <c r="Q1359" s="7">
        <f>IF($B1359="","",O1359-P1359)</f>
        <v/>
      </c>
      <c r="R1359" s="7">
        <f>IF($B1359="","",Q1359-J1359)</f>
        <v/>
      </c>
      <c r="S1359" s="7" t="n"/>
      <c r="T1359" s="7" t="n"/>
      <c r="V1359" s="14" t="n"/>
      <c r="Z1359">
        <f>IF($B1359="","",IF(COUNTIF($B$2:$B1359,$B1359)=1,1,0))</f>
        <v/>
      </c>
      <c r="AA1359">
        <f>IF($Z1359=1,SUMPRODUCT(--($AC$2:$AC$3001&lt;$AC1359))+1,"")</f>
        <v/>
      </c>
      <c r="AB1359">
        <f>IF($B1359="","",IF(OR($Y1359=TRUE(),$Y1359="TRUE"),1,IF(AND($Y1359&lt;&gt;"",OR($Y1359=FALSE(),$Y1359="FALSE")),0,IF(MIN(ABS($X1359/100-Settings!$C$6),ABS($X1359/100-Settings!$G$6))&lt;=MIN(ABS($X1359/100-Settings!$C$7),ABS($X1359/100-Settings!$G$7)),1,0))))</f>
        <v/>
      </c>
      <c r="AC1359">
        <f>IF($Z1359=1,IFERROR(IF(VALUE($B1359)&lt;100000000,VALUE($B1359),1000000000),IFERROR(IF(VALUE(MID($B1359,2,20))&lt;100000000,VALUE(MID($B1359,2,20)),1000000000),1000000000))+ROW()/100000,"")</f>
        <v/>
      </c>
    </row>
    <row r="1360">
      <c r="A1360">
        <f>IF($B1360="","",IFERROR(IF(INDEX('Per Invoice'!$A$2:$A$801,MATCH($B1360,'Per Invoice'!$B$2:$B$801,0))=0,"",INDEX('Per Invoice'!$A$2:$A$801,MATCH($B1360,'Per Invoice'!$B$2:$B$801,0))),""))</f>
        <v/>
      </c>
      <c r="J1360" s="7">
        <f>IF($B1360="","",I1360*Q1360/100)</f>
        <v/>
      </c>
      <c r="N1360" s="7" t="n"/>
      <c r="O1360" s="7" t="n"/>
      <c r="P1360" s="7">
        <f>IF($B1360="","",O1360*X1360/100)</f>
        <v/>
      </c>
      <c r="Q1360" s="7">
        <f>IF($B1360="","",O1360-P1360)</f>
        <v/>
      </c>
      <c r="R1360" s="7">
        <f>IF($B1360="","",Q1360-J1360)</f>
        <v/>
      </c>
      <c r="S1360" s="7" t="n"/>
      <c r="T1360" s="7" t="n"/>
      <c r="V1360" s="14" t="n"/>
      <c r="Z1360">
        <f>IF($B1360="","",IF(COUNTIF($B$2:$B1360,$B1360)=1,1,0))</f>
        <v/>
      </c>
      <c r="AA1360">
        <f>IF($Z1360=1,SUMPRODUCT(--($AC$2:$AC$3001&lt;$AC1360))+1,"")</f>
        <v/>
      </c>
      <c r="AB1360">
        <f>IF($B1360="","",IF(OR($Y1360=TRUE(),$Y1360="TRUE"),1,IF(AND($Y1360&lt;&gt;"",OR($Y1360=FALSE(),$Y1360="FALSE")),0,IF(MIN(ABS($X1360/100-Settings!$C$6),ABS($X1360/100-Settings!$G$6))&lt;=MIN(ABS($X1360/100-Settings!$C$7),ABS($X1360/100-Settings!$G$7)),1,0))))</f>
        <v/>
      </c>
      <c r="AC1360">
        <f>IF($Z1360=1,IFERROR(IF(VALUE($B1360)&lt;100000000,VALUE($B1360),1000000000),IFERROR(IF(VALUE(MID($B1360,2,20))&lt;100000000,VALUE(MID($B1360,2,20)),1000000000),1000000000))+ROW()/100000,"")</f>
        <v/>
      </c>
    </row>
    <row r="1361">
      <c r="A1361">
        <f>IF($B1361="","",IFERROR(IF(INDEX('Per Invoice'!$A$2:$A$801,MATCH($B1361,'Per Invoice'!$B$2:$B$801,0))=0,"",INDEX('Per Invoice'!$A$2:$A$801,MATCH($B1361,'Per Invoice'!$B$2:$B$801,0))),""))</f>
        <v/>
      </c>
      <c r="J1361" s="7">
        <f>IF($B1361="","",I1361*Q1361/100)</f>
        <v/>
      </c>
      <c r="N1361" s="7" t="n"/>
      <c r="O1361" s="7" t="n"/>
      <c r="P1361" s="7">
        <f>IF($B1361="","",O1361*X1361/100)</f>
        <v/>
      </c>
      <c r="Q1361" s="7">
        <f>IF($B1361="","",O1361-P1361)</f>
        <v/>
      </c>
      <c r="R1361" s="7">
        <f>IF($B1361="","",Q1361-J1361)</f>
        <v/>
      </c>
      <c r="S1361" s="7" t="n"/>
      <c r="T1361" s="7" t="n"/>
      <c r="V1361" s="14" t="n"/>
      <c r="Z1361">
        <f>IF($B1361="","",IF(COUNTIF($B$2:$B1361,$B1361)=1,1,0))</f>
        <v/>
      </c>
      <c r="AA1361">
        <f>IF($Z1361=1,SUMPRODUCT(--($AC$2:$AC$3001&lt;$AC1361))+1,"")</f>
        <v/>
      </c>
      <c r="AB1361">
        <f>IF($B1361="","",IF(OR($Y1361=TRUE(),$Y1361="TRUE"),1,IF(AND($Y1361&lt;&gt;"",OR($Y1361=FALSE(),$Y1361="FALSE")),0,IF(MIN(ABS($X1361/100-Settings!$C$6),ABS($X1361/100-Settings!$G$6))&lt;=MIN(ABS($X1361/100-Settings!$C$7),ABS($X1361/100-Settings!$G$7)),1,0))))</f>
        <v/>
      </c>
      <c r="AC1361">
        <f>IF($Z1361=1,IFERROR(IF(VALUE($B1361)&lt;100000000,VALUE($B1361),1000000000),IFERROR(IF(VALUE(MID($B1361,2,20))&lt;100000000,VALUE(MID($B1361,2,20)),1000000000),1000000000))+ROW()/100000,"")</f>
        <v/>
      </c>
    </row>
    <row r="1362">
      <c r="A1362">
        <f>IF($B1362="","",IFERROR(IF(INDEX('Per Invoice'!$A$2:$A$801,MATCH($B1362,'Per Invoice'!$B$2:$B$801,0))=0,"",INDEX('Per Invoice'!$A$2:$A$801,MATCH($B1362,'Per Invoice'!$B$2:$B$801,0))),""))</f>
        <v/>
      </c>
      <c r="J1362" s="7">
        <f>IF($B1362="","",I1362*Q1362/100)</f>
        <v/>
      </c>
      <c r="N1362" s="7" t="n"/>
      <c r="O1362" s="7" t="n"/>
      <c r="P1362" s="7">
        <f>IF($B1362="","",O1362*X1362/100)</f>
        <v/>
      </c>
      <c r="Q1362" s="7">
        <f>IF($B1362="","",O1362-P1362)</f>
        <v/>
      </c>
      <c r="R1362" s="7">
        <f>IF($B1362="","",Q1362-J1362)</f>
        <v/>
      </c>
      <c r="S1362" s="7" t="n"/>
      <c r="T1362" s="7" t="n"/>
      <c r="V1362" s="14" t="n"/>
      <c r="Z1362">
        <f>IF($B1362="","",IF(COUNTIF($B$2:$B1362,$B1362)=1,1,0))</f>
        <v/>
      </c>
      <c r="AA1362">
        <f>IF($Z1362=1,SUMPRODUCT(--($AC$2:$AC$3001&lt;$AC1362))+1,"")</f>
        <v/>
      </c>
      <c r="AB1362">
        <f>IF($B1362="","",IF(OR($Y1362=TRUE(),$Y1362="TRUE"),1,IF(AND($Y1362&lt;&gt;"",OR($Y1362=FALSE(),$Y1362="FALSE")),0,IF(MIN(ABS($X1362/100-Settings!$C$6),ABS($X1362/100-Settings!$G$6))&lt;=MIN(ABS($X1362/100-Settings!$C$7),ABS($X1362/100-Settings!$G$7)),1,0))))</f>
        <v/>
      </c>
      <c r="AC1362">
        <f>IF($Z1362=1,IFERROR(IF(VALUE($B1362)&lt;100000000,VALUE($B1362),1000000000),IFERROR(IF(VALUE(MID($B1362,2,20))&lt;100000000,VALUE(MID($B1362,2,20)),1000000000),1000000000))+ROW()/100000,"")</f>
        <v/>
      </c>
    </row>
    <row r="1363">
      <c r="A1363">
        <f>IF($B1363="","",IFERROR(IF(INDEX('Per Invoice'!$A$2:$A$801,MATCH($B1363,'Per Invoice'!$B$2:$B$801,0))=0,"",INDEX('Per Invoice'!$A$2:$A$801,MATCH($B1363,'Per Invoice'!$B$2:$B$801,0))),""))</f>
        <v/>
      </c>
      <c r="J1363" s="7">
        <f>IF($B1363="","",I1363*Q1363/100)</f>
        <v/>
      </c>
      <c r="N1363" s="7" t="n"/>
      <c r="O1363" s="7" t="n"/>
      <c r="P1363" s="7">
        <f>IF($B1363="","",O1363*X1363/100)</f>
        <v/>
      </c>
      <c r="Q1363" s="7">
        <f>IF($B1363="","",O1363-P1363)</f>
        <v/>
      </c>
      <c r="R1363" s="7">
        <f>IF($B1363="","",Q1363-J1363)</f>
        <v/>
      </c>
      <c r="S1363" s="7" t="n"/>
      <c r="T1363" s="7" t="n"/>
      <c r="V1363" s="14" t="n"/>
      <c r="Z1363">
        <f>IF($B1363="","",IF(COUNTIF($B$2:$B1363,$B1363)=1,1,0))</f>
        <v/>
      </c>
      <c r="AA1363">
        <f>IF($Z1363=1,SUMPRODUCT(--($AC$2:$AC$3001&lt;$AC1363))+1,"")</f>
        <v/>
      </c>
      <c r="AB1363">
        <f>IF($B1363="","",IF(OR($Y1363=TRUE(),$Y1363="TRUE"),1,IF(AND($Y1363&lt;&gt;"",OR($Y1363=FALSE(),$Y1363="FALSE")),0,IF(MIN(ABS($X1363/100-Settings!$C$6),ABS($X1363/100-Settings!$G$6))&lt;=MIN(ABS($X1363/100-Settings!$C$7),ABS($X1363/100-Settings!$G$7)),1,0))))</f>
        <v/>
      </c>
      <c r="AC1363">
        <f>IF($Z1363=1,IFERROR(IF(VALUE($B1363)&lt;100000000,VALUE($B1363),1000000000),IFERROR(IF(VALUE(MID($B1363,2,20))&lt;100000000,VALUE(MID($B1363,2,20)),1000000000),1000000000))+ROW()/100000,"")</f>
        <v/>
      </c>
    </row>
    <row r="1364">
      <c r="A1364">
        <f>IF($B1364="","",IFERROR(IF(INDEX('Per Invoice'!$A$2:$A$801,MATCH($B1364,'Per Invoice'!$B$2:$B$801,0))=0,"",INDEX('Per Invoice'!$A$2:$A$801,MATCH($B1364,'Per Invoice'!$B$2:$B$801,0))),""))</f>
        <v/>
      </c>
      <c r="J1364" s="7">
        <f>IF($B1364="","",I1364*Q1364/100)</f>
        <v/>
      </c>
      <c r="N1364" s="7" t="n"/>
      <c r="O1364" s="7" t="n"/>
      <c r="P1364" s="7">
        <f>IF($B1364="","",O1364*X1364/100)</f>
        <v/>
      </c>
      <c r="Q1364" s="7">
        <f>IF($B1364="","",O1364-P1364)</f>
        <v/>
      </c>
      <c r="R1364" s="7">
        <f>IF($B1364="","",Q1364-J1364)</f>
        <v/>
      </c>
      <c r="S1364" s="7" t="n"/>
      <c r="T1364" s="7" t="n"/>
      <c r="V1364" s="14" t="n"/>
      <c r="Z1364">
        <f>IF($B1364="","",IF(COUNTIF($B$2:$B1364,$B1364)=1,1,0))</f>
        <v/>
      </c>
      <c r="AA1364">
        <f>IF($Z1364=1,SUMPRODUCT(--($AC$2:$AC$3001&lt;$AC1364))+1,"")</f>
        <v/>
      </c>
      <c r="AB1364">
        <f>IF($B1364="","",IF(OR($Y1364=TRUE(),$Y1364="TRUE"),1,IF(AND($Y1364&lt;&gt;"",OR($Y1364=FALSE(),$Y1364="FALSE")),0,IF(MIN(ABS($X1364/100-Settings!$C$6),ABS($X1364/100-Settings!$G$6))&lt;=MIN(ABS($X1364/100-Settings!$C$7),ABS($X1364/100-Settings!$G$7)),1,0))))</f>
        <v/>
      </c>
      <c r="AC1364">
        <f>IF($Z1364=1,IFERROR(IF(VALUE($B1364)&lt;100000000,VALUE($B1364),1000000000),IFERROR(IF(VALUE(MID($B1364,2,20))&lt;100000000,VALUE(MID($B1364,2,20)),1000000000),1000000000))+ROW()/100000,"")</f>
        <v/>
      </c>
    </row>
    <row r="1365">
      <c r="A1365">
        <f>IF($B1365="","",IFERROR(IF(INDEX('Per Invoice'!$A$2:$A$801,MATCH($B1365,'Per Invoice'!$B$2:$B$801,0))=0,"",INDEX('Per Invoice'!$A$2:$A$801,MATCH($B1365,'Per Invoice'!$B$2:$B$801,0))),""))</f>
        <v/>
      </c>
      <c r="J1365" s="7">
        <f>IF($B1365="","",I1365*Q1365/100)</f>
        <v/>
      </c>
      <c r="N1365" s="7" t="n"/>
      <c r="O1365" s="7" t="n"/>
      <c r="P1365" s="7">
        <f>IF($B1365="","",O1365*X1365/100)</f>
        <v/>
      </c>
      <c r="Q1365" s="7">
        <f>IF($B1365="","",O1365-P1365)</f>
        <v/>
      </c>
      <c r="R1365" s="7">
        <f>IF($B1365="","",Q1365-J1365)</f>
        <v/>
      </c>
      <c r="S1365" s="7" t="n"/>
      <c r="T1365" s="7" t="n"/>
      <c r="V1365" s="14" t="n"/>
      <c r="Z1365">
        <f>IF($B1365="","",IF(COUNTIF($B$2:$B1365,$B1365)=1,1,0))</f>
        <v/>
      </c>
      <c r="AA1365">
        <f>IF($Z1365=1,SUMPRODUCT(--($AC$2:$AC$3001&lt;$AC1365))+1,"")</f>
        <v/>
      </c>
      <c r="AB1365">
        <f>IF($B1365="","",IF(OR($Y1365=TRUE(),$Y1365="TRUE"),1,IF(AND($Y1365&lt;&gt;"",OR($Y1365=FALSE(),$Y1365="FALSE")),0,IF(MIN(ABS($X1365/100-Settings!$C$6),ABS($X1365/100-Settings!$G$6))&lt;=MIN(ABS($X1365/100-Settings!$C$7),ABS($X1365/100-Settings!$G$7)),1,0))))</f>
        <v/>
      </c>
      <c r="AC1365">
        <f>IF($Z1365=1,IFERROR(IF(VALUE($B1365)&lt;100000000,VALUE($B1365),1000000000),IFERROR(IF(VALUE(MID($B1365,2,20))&lt;100000000,VALUE(MID($B1365,2,20)),1000000000),1000000000))+ROW()/100000,"")</f>
        <v/>
      </c>
    </row>
    <row r="1366">
      <c r="A1366">
        <f>IF($B1366="","",IFERROR(IF(INDEX('Per Invoice'!$A$2:$A$801,MATCH($B1366,'Per Invoice'!$B$2:$B$801,0))=0,"",INDEX('Per Invoice'!$A$2:$A$801,MATCH($B1366,'Per Invoice'!$B$2:$B$801,0))),""))</f>
        <v/>
      </c>
      <c r="J1366" s="7">
        <f>IF($B1366="","",I1366*Q1366/100)</f>
        <v/>
      </c>
      <c r="N1366" s="7" t="n"/>
      <c r="O1366" s="7" t="n"/>
      <c r="P1366" s="7">
        <f>IF($B1366="","",O1366*X1366/100)</f>
        <v/>
      </c>
      <c r="Q1366" s="7">
        <f>IF($B1366="","",O1366-P1366)</f>
        <v/>
      </c>
      <c r="R1366" s="7">
        <f>IF($B1366="","",Q1366-J1366)</f>
        <v/>
      </c>
      <c r="S1366" s="7" t="n"/>
      <c r="T1366" s="7" t="n"/>
      <c r="V1366" s="14" t="n"/>
      <c r="Z1366">
        <f>IF($B1366="","",IF(COUNTIF($B$2:$B1366,$B1366)=1,1,0))</f>
        <v/>
      </c>
      <c r="AA1366">
        <f>IF($Z1366=1,SUMPRODUCT(--($AC$2:$AC$3001&lt;$AC1366))+1,"")</f>
        <v/>
      </c>
      <c r="AB1366">
        <f>IF($B1366="","",IF(OR($Y1366=TRUE(),$Y1366="TRUE"),1,IF(AND($Y1366&lt;&gt;"",OR($Y1366=FALSE(),$Y1366="FALSE")),0,IF(MIN(ABS($X1366/100-Settings!$C$6),ABS($X1366/100-Settings!$G$6))&lt;=MIN(ABS($X1366/100-Settings!$C$7),ABS($X1366/100-Settings!$G$7)),1,0))))</f>
        <v/>
      </c>
      <c r="AC1366">
        <f>IF($Z1366=1,IFERROR(IF(VALUE($B1366)&lt;100000000,VALUE($B1366),1000000000),IFERROR(IF(VALUE(MID($B1366,2,20))&lt;100000000,VALUE(MID($B1366,2,20)),1000000000),1000000000))+ROW()/100000,"")</f>
        <v/>
      </c>
    </row>
    <row r="1367">
      <c r="A1367">
        <f>IF($B1367="","",IFERROR(IF(INDEX('Per Invoice'!$A$2:$A$801,MATCH($B1367,'Per Invoice'!$B$2:$B$801,0))=0,"",INDEX('Per Invoice'!$A$2:$A$801,MATCH($B1367,'Per Invoice'!$B$2:$B$801,0))),""))</f>
        <v/>
      </c>
      <c r="J1367" s="7">
        <f>IF($B1367="","",I1367*Q1367/100)</f>
        <v/>
      </c>
      <c r="N1367" s="7" t="n"/>
      <c r="O1367" s="7" t="n"/>
      <c r="P1367" s="7">
        <f>IF($B1367="","",O1367*X1367/100)</f>
        <v/>
      </c>
      <c r="Q1367" s="7">
        <f>IF($B1367="","",O1367-P1367)</f>
        <v/>
      </c>
      <c r="R1367" s="7">
        <f>IF($B1367="","",Q1367-J1367)</f>
        <v/>
      </c>
      <c r="S1367" s="7" t="n"/>
      <c r="T1367" s="7" t="n"/>
      <c r="V1367" s="14" t="n"/>
      <c r="Z1367">
        <f>IF($B1367="","",IF(COUNTIF($B$2:$B1367,$B1367)=1,1,0))</f>
        <v/>
      </c>
      <c r="AA1367">
        <f>IF($Z1367=1,SUMPRODUCT(--($AC$2:$AC$3001&lt;$AC1367))+1,"")</f>
        <v/>
      </c>
      <c r="AB1367">
        <f>IF($B1367="","",IF(OR($Y1367=TRUE(),$Y1367="TRUE"),1,IF(AND($Y1367&lt;&gt;"",OR($Y1367=FALSE(),$Y1367="FALSE")),0,IF(MIN(ABS($X1367/100-Settings!$C$6),ABS($X1367/100-Settings!$G$6))&lt;=MIN(ABS($X1367/100-Settings!$C$7),ABS($X1367/100-Settings!$G$7)),1,0))))</f>
        <v/>
      </c>
      <c r="AC1367">
        <f>IF($Z1367=1,IFERROR(IF(VALUE($B1367)&lt;100000000,VALUE($B1367),1000000000),IFERROR(IF(VALUE(MID($B1367,2,20))&lt;100000000,VALUE(MID($B1367,2,20)),1000000000),1000000000))+ROW()/100000,"")</f>
        <v/>
      </c>
    </row>
    <row r="1368">
      <c r="A1368">
        <f>IF($B1368="","",IFERROR(IF(INDEX('Per Invoice'!$A$2:$A$801,MATCH($B1368,'Per Invoice'!$B$2:$B$801,0))=0,"",INDEX('Per Invoice'!$A$2:$A$801,MATCH($B1368,'Per Invoice'!$B$2:$B$801,0))),""))</f>
        <v/>
      </c>
      <c r="J1368" s="7">
        <f>IF($B1368="","",I1368*Q1368/100)</f>
        <v/>
      </c>
      <c r="N1368" s="7" t="n"/>
      <c r="O1368" s="7" t="n"/>
      <c r="P1368" s="7">
        <f>IF($B1368="","",O1368*X1368/100)</f>
        <v/>
      </c>
      <c r="Q1368" s="7">
        <f>IF($B1368="","",O1368-P1368)</f>
        <v/>
      </c>
      <c r="R1368" s="7">
        <f>IF($B1368="","",Q1368-J1368)</f>
        <v/>
      </c>
      <c r="S1368" s="7" t="n"/>
      <c r="T1368" s="7" t="n"/>
      <c r="V1368" s="14" t="n"/>
      <c r="Z1368">
        <f>IF($B1368="","",IF(COUNTIF($B$2:$B1368,$B1368)=1,1,0))</f>
        <v/>
      </c>
      <c r="AA1368">
        <f>IF($Z1368=1,SUMPRODUCT(--($AC$2:$AC$3001&lt;$AC1368))+1,"")</f>
        <v/>
      </c>
      <c r="AB1368">
        <f>IF($B1368="","",IF(OR($Y1368=TRUE(),$Y1368="TRUE"),1,IF(AND($Y1368&lt;&gt;"",OR($Y1368=FALSE(),$Y1368="FALSE")),0,IF(MIN(ABS($X1368/100-Settings!$C$6),ABS($X1368/100-Settings!$G$6))&lt;=MIN(ABS($X1368/100-Settings!$C$7),ABS($X1368/100-Settings!$G$7)),1,0))))</f>
        <v/>
      </c>
      <c r="AC1368">
        <f>IF($Z1368=1,IFERROR(IF(VALUE($B1368)&lt;100000000,VALUE($B1368),1000000000),IFERROR(IF(VALUE(MID($B1368,2,20))&lt;100000000,VALUE(MID($B1368,2,20)),1000000000),1000000000))+ROW()/100000,"")</f>
        <v/>
      </c>
    </row>
    <row r="1369">
      <c r="A1369">
        <f>IF($B1369="","",IFERROR(IF(INDEX('Per Invoice'!$A$2:$A$801,MATCH($B1369,'Per Invoice'!$B$2:$B$801,0))=0,"",INDEX('Per Invoice'!$A$2:$A$801,MATCH($B1369,'Per Invoice'!$B$2:$B$801,0))),""))</f>
        <v/>
      </c>
      <c r="J1369" s="7">
        <f>IF($B1369="","",I1369*Q1369/100)</f>
        <v/>
      </c>
      <c r="N1369" s="7" t="n"/>
      <c r="O1369" s="7" t="n"/>
      <c r="P1369" s="7">
        <f>IF($B1369="","",O1369*X1369/100)</f>
        <v/>
      </c>
      <c r="Q1369" s="7">
        <f>IF($B1369="","",O1369-P1369)</f>
        <v/>
      </c>
      <c r="R1369" s="7">
        <f>IF($B1369="","",Q1369-J1369)</f>
        <v/>
      </c>
      <c r="S1369" s="7" t="n"/>
      <c r="T1369" s="7" t="n"/>
      <c r="V1369" s="14" t="n"/>
      <c r="Z1369">
        <f>IF($B1369="","",IF(COUNTIF($B$2:$B1369,$B1369)=1,1,0))</f>
        <v/>
      </c>
      <c r="AA1369">
        <f>IF($Z1369=1,SUMPRODUCT(--($AC$2:$AC$3001&lt;$AC1369))+1,"")</f>
        <v/>
      </c>
      <c r="AB1369">
        <f>IF($B1369="","",IF(OR($Y1369=TRUE(),$Y1369="TRUE"),1,IF(AND($Y1369&lt;&gt;"",OR($Y1369=FALSE(),$Y1369="FALSE")),0,IF(MIN(ABS($X1369/100-Settings!$C$6),ABS($X1369/100-Settings!$G$6))&lt;=MIN(ABS($X1369/100-Settings!$C$7),ABS($X1369/100-Settings!$G$7)),1,0))))</f>
        <v/>
      </c>
      <c r="AC1369">
        <f>IF($Z1369=1,IFERROR(IF(VALUE($B1369)&lt;100000000,VALUE($B1369),1000000000),IFERROR(IF(VALUE(MID($B1369,2,20))&lt;100000000,VALUE(MID($B1369,2,20)),1000000000),1000000000))+ROW()/100000,"")</f>
        <v/>
      </c>
    </row>
    <row r="1370">
      <c r="A1370">
        <f>IF($B1370="","",IFERROR(IF(INDEX('Per Invoice'!$A$2:$A$801,MATCH($B1370,'Per Invoice'!$B$2:$B$801,0))=0,"",INDEX('Per Invoice'!$A$2:$A$801,MATCH($B1370,'Per Invoice'!$B$2:$B$801,0))),""))</f>
        <v/>
      </c>
      <c r="J1370" s="7">
        <f>IF($B1370="","",I1370*Q1370/100)</f>
        <v/>
      </c>
      <c r="N1370" s="7" t="n"/>
      <c r="O1370" s="7" t="n"/>
      <c r="P1370" s="7">
        <f>IF($B1370="","",O1370*X1370/100)</f>
        <v/>
      </c>
      <c r="Q1370" s="7">
        <f>IF($B1370="","",O1370-P1370)</f>
        <v/>
      </c>
      <c r="R1370" s="7">
        <f>IF($B1370="","",Q1370-J1370)</f>
        <v/>
      </c>
      <c r="S1370" s="7" t="n"/>
      <c r="T1370" s="7" t="n"/>
      <c r="V1370" s="14" t="n"/>
      <c r="Z1370">
        <f>IF($B1370="","",IF(COUNTIF($B$2:$B1370,$B1370)=1,1,0))</f>
        <v/>
      </c>
      <c r="AA1370">
        <f>IF($Z1370=1,SUMPRODUCT(--($AC$2:$AC$3001&lt;$AC1370))+1,"")</f>
        <v/>
      </c>
      <c r="AB1370">
        <f>IF($B1370="","",IF(OR($Y1370=TRUE(),$Y1370="TRUE"),1,IF(AND($Y1370&lt;&gt;"",OR($Y1370=FALSE(),$Y1370="FALSE")),0,IF(MIN(ABS($X1370/100-Settings!$C$6),ABS($X1370/100-Settings!$G$6))&lt;=MIN(ABS($X1370/100-Settings!$C$7),ABS($X1370/100-Settings!$G$7)),1,0))))</f>
        <v/>
      </c>
      <c r="AC1370">
        <f>IF($Z1370=1,IFERROR(IF(VALUE($B1370)&lt;100000000,VALUE($B1370),1000000000),IFERROR(IF(VALUE(MID($B1370,2,20))&lt;100000000,VALUE(MID($B1370,2,20)),1000000000),1000000000))+ROW()/100000,"")</f>
        <v/>
      </c>
    </row>
    <row r="1371">
      <c r="A1371">
        <f>IF($B1371="","",IFERROR(IF(INDEX('Per Invoice'!$A$2:$A$801,MATCH($B1371,'Per Invoice'!$B$2:$B$801,0))=0,"",INDEX('Per Invoice'!$A$2:$A$801,MATCH($B1371,'Per Invoice'!$B$2:$B$801,0))),""))</f>
        <v/>
      </c>
      <c r="J1371" s="7">
        <f>IF($B1371="","",I1371*Q1371/100)</f>
        <v/>
      </c>
      <c r="N1371" s="7" t="n"/>
      <c r="O1371" s="7" t="n"/>
      <c r="P1371" s="7">
        <f>IF($B1371="","",O1371*X1371/100)</f>
        <v/>
      </c>
      <c r="Q1371" s="7">
        <f>IF($B1371="","",O1371-P1371)</f>
        <v/>
      </c>
      <c r="R1371" s="7">
        <f>IF($B1371="","",Q1371-J1371)</f>
        <v/>
      </c>
      <c r="S1371" s="7" t="n"/>
      <c r="T1371" s="7" t="n"/>
      <c r="V1371" s="14" t="n"/>
      <c r="Z1371">
        <f>IF($B1371="","",IF(COUNTIF($B$2:$B1371,$B1371)=1,1,0))</f>
        <v/>
      </c>
      <c r="AA1371">
        <f>IF($Z1371=1,SUMPRODUCT(--($AC$2:$AC$3001&lt;$AC1371))+1,"")</f>
        <v/>
      </c>
      <c r="AB1371">
        <f>IF($B1371="","",IF(OR($Y1371=TRUE(),$Y1371="TRUE"),1,IF(AND($Y1371&lt;&gt;"",OR($Y1371=FALSE(),$Y1371="FALSE")),0,IF(MIN(ABS($X1371/100-Settings!$C$6),ABS($X1371/100-Settings!$G$6))&lt;=MIN(ABS($X1371/100-Settings!$C$7),ABS($X1371/100-Settings!$G$7)),1,0))))</f>
        <v/>
      </c>
      <c r="AC1371">
        <f>IF($Z1371=1,IFERROR(IF(VALUE($B1371)&lt;100000000,VALUE($B1371),1000000000),IFERROR(IF(VALUE(MID($B1371,2,20))&lt;100000000,VALUE(MID($B1371,2,20)),1000000000),1000000000))+ROW()/100000,"")</f>
        <v/>
      </c>
    </row>
    <row r="1372">
      <c r="A1372">
        <f>IF($B1372="","",IFERROR(IF(INDEX('Per Invoice'!$A$2:$A$801,MATCH($B1372,'Per Invoice'!$B$2:$B$801,0))=0,"",INDEX('Per Invoice'!$A$2:$A$801,MATCH($B1372,'Per Invoice'!$B$2:$B$801,0))),""))</f>
        <v/>
      </c>
      <c r="J1372" s="7">
        <f>IF($B1372="","",I1372*Q1372/100)</f>
        <v/>
      </c>
      <c r="N1372" s="7" t="n"/>
      <c r="O1372" s="7" t="n"/>
      <c r="P1372" s="7">
        <f>IF($B1372="","",O1372*X1372/100)</f>
        <v/>
      </c>
      <c r="Q1372" s="7">
        <f>IF($B1372="","",O1372-P1372)</f>
        <v/>
      </c>
      <c r="R1372" s="7">
        <f>IF($B1372="","",Q1372-J1372)</f>
        <v/>
      </c>
      <c r="S1372" s="7" t="n"/>
      <c r="T1372" s="7" t="n"/>
      <c r="V1372" s="14" t="n"/>
      <c r="Z1372">
        <f>IF($B1372="","",IF(COUNTIF($B$2:$B1372,$B1372)=1,1,0))</f>
        <v/>
      </c>
      <c r="AA1372">
        <f>IF($Z1372=1,SUMPRODUCT(--($AC$2:$AC$3001&lt;$AC1372))+1,"")</f>
        <v/>
      </c>
      <c r="AB1372">
        <f>IF($B1372="","",IF(OR($Y1372=TRUE(),$Y1372="TRUE"),1,IF(AND($Y1372&lt;&gt;"",OR($Y1372=FALSE(),$Y1372="FALSE")),0,IF(MIN(ABS($X1372/100-Settings!$C$6),ABS($X1372/100-Settings!$G$6))&lt;=MIN(ABS($X1372/100-Settings!$C$7),ABS($X1372/100-Settings!$G$7)),1,0))))</f>
        <v/>
      </c>
      <c r="AC1372">
        <f>IF($Z1372=1,IFERROR(IF(VALUE($B1372)&lt;100000000,VALUE($B1372),1000000000),IFERROR(IF(VALUE(MID($B1372,2,20))&lt;100000000,VALUE(MID($B1372,2,20)),1000000000),1000000000))+ROW()/100000,"")</f>
        <v/>
      </c>
    </row>
    <row r="1373">
      <c r="A1373">
        <f>IF($B1373="","",IFERROR(IF(INDEX('Per Invoice'!$A$2:$A$801,MATCH($B1373,'Per Invoice'!$B$2:$B$801,0))=0,"",INDEX('Per Invoice'!$A$2:$A$801,MATCH($B1373,'Per Invoice'!$B$2:$B$801,0))),""))</f>
        <v/>
      </c>
      <c r="J1373" s="7">
        <f>IF($B1373="","",I1373*Q1373/100)</f>
        <v/>
      </c>
      <c r="N1373" s="7" t="n"/>
      <c r="O1373" s="7" t="n"/>
      <c r="P1373" s="7">
        <f>IF($B1373="","",O1373*X1373/100)</f>
        <v/>
      </c>
      <c r="Q1373" s="7">
        <f>IF($B1373="","",O1373-P1373)</f>
        <v/>
      </c>
      <c r="R1373" s="7">
        <f>IF($B1373="","",Q1373-J1373)</f>
        <v/>
      </c>
      <c r="S1373" s="7" t="n"/>
      <c r="T1373" s="7" t="n"/>
      <c r="V1373" s="14" t="n"/>
      <c r="Z1373">
        <f>IF($B1373="","",IF(COUNTIF($B$2:$B1373,$B1373)=1,1,0))</f>
        <v/>
      </c>
      <c r="AA1373">
        <f>IF($Z1373=1,SUMPRODUCT(--($AC$2:$AC$3001&lt;$AC1373))+1,"")</f>
        <v/>
      </c>
      <c r="AB1373">
        <f>IF($B1373="","",IF(OR($Y1373=TRUE(),$Y1373="TRUE"),1,IF(AND($Y1373&lt;&gt;"",OR($Y1373=FALSE(),$Y1373="FALSE")),0,IF(MIN(ABS($X1373/100-Settings!$C$6),ABS($X1373/100-Settings!$G$6))&lt;=MIN(ABS($X1373/100-Settings!$C$7),ABS($X1373/100-Settings!$G$7)),1,0))))</f>
        <v/>
      </c>
      <c r="AC1373">
        <f>IF($Z1373=1,IFERROR(IF(VALUE($B1373)&lt;100000000,VALUE($B1373),1000000000),IFERROR(IF(VALUE(MID($B1373,2,20))&lt;100000000,VALUE(MID($B1373,2,20)),1000000000),1000000000))+ROW()/100000,"")</f>
        <v/>
      </c>
    </row>
    <row r="1374">
      <c r="A1374">
        <f>IF($B1374="","",IFERROR(IF(INDEX('Per Invoice'!$A$2:$A$801,MATCH($B1374,'Per Invoice'!$B$2:$B$801,0))=0,"",INDEX('Per Invoice'!$A$2:$A$801,MATCH($B1374,'Per Invoice'!$B$2:$B$801,0))),""))</f>
        <v/>
      </c>
      <c r="J1374" s="7">
        <f>IF($B1374="","",I1374*Q1374/100)</f>
        <v/>
      </c>
      <c r="N1374" s="7" t="n"/>
      <c r="O1374" s="7" t="n"/>
      <c r="P1374" s="7">
        <f>IF($B1374="","",O1374*X1374/100)</f>
        <v/>
      </c>
      <c r="Q1374" s="7">
        <f>IF($B1374="","",O1374-P1374)</f>
        <v/>
      </c>
      <c r="R1374" s="7">
        <f>IF($B1374="","",Q1374-J1374)</f>
        <v/>
      </c>
      <c r="S1374" s="7" t="n"/>
      <c r="T1374" s="7" t="n"/>
      <c r="V1374" s="14" t="n"/>
      <c r="Z1374">
        <f>IF($B1374="","",IF(COUNTIF($B$2:$B1374,$B1374)=1,1,0))</f>
        <v/>
      </c>
      <c r="AA1374">
        <f>IF($Z1374=1,SUMPRODUCT(--($AC$2:$AC$3001&lt;$AC1374))+1,"")</f>
        <v/>
      </c>
      <c r="AB1374">
        <f>IF($B1374="","",IF(OR($Y1374=TRUE(),$Y1374="TRUE"),1,IF(AND($Y1374&lt;&gt;"",OR($Y1374=FALSE(),$Y1374="FALSE")),0,IF(MIN(ABS($X1374/100-Settings!$C$6),ABS($X1374/100-Settings!$G$6))&lt;=MIN(ABS($X1374/100-Settings!$C$7),ABS($X1374/100-Settings!$G$7)),1,0))))</f>
        <v/>
      </c>
      <c r="AC1374">
        <f>IF($Z1374=1,IFERROR(IF(VALUE($B1374)&lt;100000000,VALUE($B1374),1000000000),IFERROR(IF(VALUE(MID($B1374,2,20))&lt;100000000,VALUE(MID($B1374,2,20)),1000000000),1000000000))+ROW()/100000,"")</f>
        <v/>
      </c>
    </row>
    <row r="1375">
      <c r="A1375">
        <f>IF($B1375="","",IFERROR(IF(INDEX('Per Invoice'!$A$2:$A$801,MATCH($B1375,'Per Invoice'!$B$2:$B$801,0))=0,"",INDEX('Per Invoice'!$A$2:$A$801,MATCH($B1375,'Per Invoice'!$B$2:$B$801,0))),""))</f>
        <v/>
      </c>
      <c r="J1375" s="7">
        <f>IF($B1375="","",I1375*Q1375/100)</f>
        <v/>
      </c>
      <c r="N1375" s="7" t="n"/>
      <c r="O1375" s="7" t="n"/>
      <c r="P1375" s="7">
        <f>IF($B1375="","",O1375*X1375/100)</f>
        <v/>
      </c>
      <c r="Q1375" s="7">
        <f>IF($B1375="","",O1375-P1375)</f>
        <v/>
      </c>
      <c r="R1375" s="7">
        <f>IF($B1375="","",Q1375-J1375)</f>
        <v/>
      </c>
      <c r="S1375" s="7" t="n"/>
      <c r="T1375" s="7" t="n"/>
      <c r="V1375" s="14" t="n"/>
      <c r="Z1375">
        <f>IF($B1375="","",IF(COUNTIF($B$2:$B1375,$B1375)=1,1,0))</f>
        <v/>
      </c>
      <c r="AA1375">
        <f>IF($Z1375=1,SUMPRODUCT(--($AC$2:$AC$3001&lt;$AC1375))+1,"")</f>
        <v/>
      </c>
      <c r="AB1375">
        <f>IF($B1375="","",IF(OR($Y1375=TRUE(),$Y1375="TRUE"),1,IF(AND($Y1375&lt;&gt;"",OR($Y1375=FALSE(),$Y1375="FALSE")),0,IF(MIN(ABS($X1375/100-Settings!$C$6),ABS($X1375/100-Settings!$G$6))&lt;=MIN(ABS($X1375/100-Settings!$C$7),ABS($X1375/100-Settings!$G$7)),1,0))))</f>
        <v/>
      </c>
      <c r="AC1375">
        <f>IF($Z1375=1,IFERROR(IF(VALUE($B1375)&lt;100000000,VALUE($B1375),1000000000),IFERROR(IF(VALUE(MID($B1375,2,20))&lt;100000000,VALUE(MID($B1375,2,20)),1000000000),1000000000))+ROW()/100000,"")</f>
        <v/>
      </c>
    </row>
    <row r="1376">
      <c r="A1376">
        <f>IF($B1376="","",IFERROR(IF(INDEX('Per Invoice'!$A$2:$A$801,MATCH($B1376,'Per Invoice'!$B$2:$B$801,0))=0,"",INDEX('Per Invoice'!$A$2:$A$801,MATCH($B1376,'Per Invoice'!$B$2:$B$801,0))),""))</f>
        <v/>
      </c>
      <c r="J1376" s="7">
        <f>IF($B1376="","",I1376*Q1376/100)</f>
        <v/>
      </c>
      <c r="N1376" s="7" t="n"/>
      <c r="O1376" s="7" t="n"/>
      <c r="P1376" s="7">
        <f>IF($B1376="","",O1376*X1376/100)</f>
        <v/>
      </c>
      <c r="Q1376" s="7">
        <f>IF($B1376="","",O1376-P1376)</f>
        <v/>
      </c>
      <c r="R1376" s="7">
        <f>IF($B1376="","",Q1376-J1376)</f>
        <v/>
      </c>
      <c r="S1376" s="7" t="n"/>
      <c r="T1376" s="7" t="n"/>
      <c r="V1376" s="14" t="n"/>
      <c r="Z1376">
        <f>IF($B1376="","",IF(COUNTIF($B$2:$B1376,$B1376)=1,1,0))</f>
        <v/>
      </c>
      <c r="AA1376">
        <f>IF($Z1376=1,SUMPRODUCT(--($AC$2:$AC$3001&lt;$AC1376))+1,"")</f>
        <v/>
      </c>
      <c r="AB1376">
        <f>IF($B1376="","",IF(OR($Y1376=TRUE(),$Y1376="TRUE"),1,IF(AND($Y1376&lt;&gt;"",OR($Y1376=FALSE(),$Y1376="FALSE")),0,IF(MIN(ABS($X1376/100-Settings!$C$6),ABS($X1376/100-Settings!$G$6))&lt;=MIN(ABS($X1376/100-Settings!$C$7),ABS($X1376/100-Settings!$G$7)),1,0))))</f>
        <v/>
      </c>
      <c r="AC1376">
        <f>IF($Z1376=1,IFERROR(IF(VALUE($B1376)&lt;100000000,VALUE($B1376),1000000000),IFERROR(IF(VALUE(MID($B1376,2,20))&lt;100000000,VALUE(MID($B1376,2,20)),1000000000),1000000000))+ROW()/100000,"")</f>
        <v/>
      </c>
    </row>
    <row r="1377">
      <c r="A1377">
        <f>IF($B1377="","",IFERROR(IF(INDEX('Per Invoice'!$A$2:$A$801,MATCH($B1377,'Per Invoice'!$B$2:$B$801,0))=0,"",INDEX('Per Invoice'!$A$2:$A$801,MATCH($B1377,'Per Invoice'!$B$2:$B$801,0))),""))</f>
        <v/>
      </c>
      <c r="J1377" s="7">
        <f>IF($B1377="","",I1377*Q1377/100)</f>
        <v/>
      </c>
      <c r="N1377" s="7" t="n"/>
      <c r="O1377" s="7" t="n"/>
      <c r="P1377" s="7">
        <f>IF($B1377="","",O1377*X1377/100)</f>
        <v/>
      </c>
      <c r="Q1377" s="7">
        <f>IF($B1377="","",O1377-P1377)</f>
        <v/>
      </c>
      <c r="R1377" s="7">
        <f>IF($B1377="","",Q1377-J1377)</f>
        <v/>
      </c>
      <c r="S1377" s="7" t="n"/>
      <c r="T1377" s="7" t="n"/>
      <c r="V1377" s="14" t="n"/>
      <c r="Z1377">
        <f>IF($B1377="","",IF(COUNTIF($B$2:$B1377,$B1377)=1,1,0))</f>
        <v/>
      </c>
      <c r="AA1377">
        <f>IF($Z1377=1,SUMPRODUCT(--($AC$2:$AC$3001&lt;$AC1377))+1,"")</f>
        <v/>
      </c>
      <c r="AB1377">
        <f>IF($B1377="","",IF(OR($Y1377=TRUE(),$Y1377="TRUE"),1,IF(AND($Y1377&lt;&gt;"",OR($Y1377=FALSE(),$Y1377="FALSE")),0,IF(MIN(ABS($X1377/100-Settings!$C$6),ABS($X1377/100-Settings!$G$6))&lt;=MIN(ABS($X1377/100-Settings!$C$7),ABS($X1377/100-Settings!$G$7)),1,0))))</f>
        <v/>
      </c>
      <c r="AC1377">
        <f>IF($Z1377=1,IFERROR(IF(VALUE($B1377)&lt;100000000,VALUE($B1377),1000000000),IFERROR(IF(VALUE(MID($B1377,2,20))&lt;100000000,VALUE(MID($B1377,2,20)),1000000000),1000000000))+ROW()/100000,"")</f>
        <v/>
      </c>
    </row>
    <row r="1378">
      <c r="A1378">
        <f>IF($B1378="","",IFERROR(IF(INDEX('Per Invoice'!$A$2:$A$801,MATCH($B1378,'Per Invoice'!$B$2:$B$801,0))=0,"",INDEX('Per Invoice'!$A$2:$A$801,MATCH($B1378,'Per Invoice'!$B$2:$B$801,0))),""))</f>
        <v/>
      </c>
      <c r="J1378" s="7">
        <f>IF($B1378="","",I1378*Q1378/100)</f>
        <v/>
      </c>
      <c r="N1378" s="7" t="n"/>
      <c r="O1378" s="7" t="n"/>
      <c r="P1378" s="7">
        <f>IF($B1378="","",O1378*X1378/100)</f>
        <v/>
      </c>
      <c r="Q1378" s="7">
        <f>IF($B1378="","",O1378-P1378)</f>
        <v/>
      </c>
      <c r="R1378" s="7">
        <f>IF($B1378="","",Q1378-J1378)</f>
        <v/>
      </c>
      <c r="S1378" s="7" t="n"/>
      <c r="T1378" s="7" t="n"/>
      <c r="V1378" s="14" t="n"/>
      <c r="Z1378">
        <f>IF($B1378="","",IF(COUNTIF($B$2:$B1378,$B1378)=1,1,0))</f>
        <v/>
      </c>
      <c r="AA1378">
        <f>IF($Z1378=1,SUMPRODUCT(--($AC$2:$AC$3001&lt;$AC1378))+1,"")</f>
        <v/>
      </c>
      <c r="AB1378">
        <f>IF($B1378="","",IF(OR($Y1378=TRUE(),$Y1378="TRUE"),1,IF(AND($Y1378&lt;&gt;"",OR($Y1378=FALSE(),$Y1378="FALSE")),0,IF(MIN(ABS($X1378/100-Settings!$C$6),ABS($X1378/100-Settings!$G$6))&lt;=MIN(ABS($X1378/100-Settings!$C$7),ABS($X1378/100-Settings!$G$7)),1,0))))</f>
        <v/>
      </c>
      <c r="AC1378">
        <f>IF($Z1378=1,IFERROR(IF(VALUE($B1378)&lt;100000000,VALUE($B1378),1000000000),IFERROR(IF(VALUE(MID($B1378,2,20))&lt;100000000,VALUE(MID($B1378,2,20)),1000000000),1000000000))+ROW()/100000,"")</f>
        <v/>
      </c>
    </row>
    <row r="1379">
      <c r="A1379">
        <f>IF($B1379="","",IFERROR(IF(INDEX('Per Invoice'!$A$2:$A$801,MATCH($B1379,'Per Invoice'!$B$2:$B$801,0))=0,"",INDEX('Per Invoice'!$A$2:$A$801,MATCH($B1379,'Per Invoice'!$B$2:$B$801,0))),""))</f>
        <v/>
      </c>
      <c r="J1379" s="7">
        <f>IF($B1379="","",I1379*Q1379/100)</f>
        <v/>
      </c>
      <c r="N1379" s="7" t="n"/>
      <c r="O1379" s="7" t="n"/>
      <c r="P1379" s="7">
        <f>IF($B1379="","",O1379*X1379/100)</f>
        <v/>
      </c>
      <c r="Q1379" s="7">
        <f>IF($B1379="","",O1379-P1379)</f>
        <v/>
      </c>
      <c r="R1379" s="7">
        <f>IF($B1379="","",Q1379-J1379)</f>
        <v/>
      </c>
      <c r="S1379" s="7" t="n"/>
      <c r="T1379" s="7" t="n"/>
      <c r="V1379" s="14" t="n"/>
      <c r="Z1379">
        <f>IF($B1379="","",IF(COUNTIF($B$2:$B1379,$B1379)=1,1,0))</f>
        <v/>
      </c>
      <c r="AA1379">
        <f>IF($Z1379=1,SUMPRODUCT(--($AC$2:$AC$3001&lt;$AC1379))+1,"")</f>
        <v/>
      </c>
      <c r="AB1379">
        <f>IF($B1379="","",IF(OR($Y1379=TRUE(),$Y1379="TRUE"),1,IF(AND($Y1379&lt;&gt;"",OR($Y1379=FALSE(),$Y1379="FALSE")),0,IF(MIN(ABS($X1379/100-Settings!$C$6),ABS($X1379/100-Settings!$G$6))&lt;=MIN(ABS($X1379/100-Settings!$C$7),ABS($X1379/100-Settings!$G$7)),1,0))))</f>
        <v/>
      </c>
      <c r="AC1379">
        <f>IF($Z1379=1,IFERROR(IF(VALUE($B1379)&lt;100000000,VALUE($B1379),1000000000),IFERROR(IF(VALUE(MID($B1379,2,20))&lt;100000000,VALUE(MID($B1379,2,20)),1000000000),1000000000))+ROW()/100000,"")</f>
        <v/>
      </c>
    </row>
    <row r="1380">
      <c r="A1380">
        <f>IF($B1380="","",IFERROR(IF(INDEX('Per Invoice'!$A$2:$A$801,MATCH($B1380,'Per Invoice'!$B$2:$B$801,0))=0,"",INDEX('Per Invoice'!$A$2:$A$801,MATCH($B1380,'Per Invoice'!$B$2:$B$801,0))),""))</f>
        <v/>
      </c>
      <c r="J1380" s="7">
        <f>IF($B1380="","",I1380*Q1380/100)</f>
        <v/>
      </c>
      <c r="N1380" s="7" t="n"/>
      <c r="O1380" s="7" t="n"/>
      <c r="P1380" s="7">
        <f>IF($B1380="","",O1380*X1380/100)</f>
        <v/>
      </c>
      <c r="Q1380" s="7">
        <f>IF($B1380="","",O1380-P1380)</f>
        <v/>
      </c>
      <c r="R1380" s="7">
        <f>IF($B1380="","",Q1380-J1380)</f>
        <v/>
      </c>
      <c r="S1380" s="7" t="n"/>
      <c r="T1380" s="7" t="n"/>
      <c r="V1380" s="14" t="n"/>
      <c r="Z1380">
        <f>IF($B1380="","",IF(COUNTIF($B$2:$B1380,$B1380)=1,1,0))</f>
        <v/>
      </c>
      <c r="AA1380">
        <f>IF($Z1380=1,SUMPRODUCT(--($AC$2:$AC$3001&lt;$AC1380))+1,"")</f>
        <v/>
      </c>
      <c r="AB1380">
        <f>IF($B1380="","",IF(OR($Y1380=TRUE(),$Y1380="TRUE"),1,IF(AND($Y1380&lt;&gt;"",OR($Y1380=FALSE(),$Y1380="FALSE")),0,IF(MIN(ABS($X1380/100-Settings!$C$6),ABS($X1380/100-Settings!$G$6))&lt;=MIN(ABS($X1380/100-Settings!$C$7),ABS($X1380/100-Settings!$G$7)),1,0))))</f>
        <v/>
      </c>
      <c r="AC1380">
        <f>IF($Z1380=1,IFERROR(IF(VALUE($B1380)&lt;100000000,VALUE($B1380),1000000000),IFERROR(IF(VALUE(MID($B1380,2,20))&lt;100000000,VALUE(MID($B1380,2,20)),1000000000),1000000000))+ROW()/100000,"")</f>
        <v/>
      </c>
    </row>
    <row r="1381">
      <c r="A1381">
        <f>IF($B1381="","",IFERROR(IF(INDEX('Per Invoice'!$A$2:$A$801,MATCH($B1381,'Per Invoice'!$B$2:$B$801,0))=0,"",INDEX('Per Invoice'!$A$2:$A$801,MATCH($B1381,'Per Invoice'!$B$2:$B$801,0))),""))</f>
        <v/>
      </c>
      <c r="J1381" s="7">
        <f>IF($B1381="","",I1381*Q1381/100)</f>
        <v/>
      </c>
      <c r="N1381" s="7" t="n"/>
      <c r="O1381" s="7" t="n"/>
      <c r="P1381" s="7">
        <f>IF($B1381="","",O1381*X1381/100)</f>
        <v/>
      </c>
      <c r="Q1381" s="7">
        <f>IF($B1381="","",O1381-P1381)</f>
        <v/>
      </c>
      <c r="R1381" s="7">
        <f>IF($B1381="","",Q1381-J1381)</f>
        <v/>
      </c>
      <c r="S1381" s="7" t="n"/>
      <c r="T1381" s="7" t="n"/>
      <c r="V1381" s="14" t="n"/>
      <c r="Z1381">
        <f>IF($B1381="","",IF(COUNTIF($B$2:$B1381,$B1381)=1,1,0))</f>
        <v/>
      </c>
      <c r="AA1381">
        <f>IF($Z1381=1,SUMPRODUCT(--($AC$2:$AC$3001&lt;$AC1381))+1,"")</f>
        <v/>
      </c>
      <c r="AB1381">
        <f>IF($B1381="","",IF(OR($Y1381=TRUE(),$Y1381="TRUE"),1,IF(AND($Y1381&lt;&gt;"",OR($Y1381=FALSE(),$Y1381="FALSE")),0,IF(MIN(ABS($X1381/100-Settings!$C$6),ABS($X1381/100-Settings!$G$6))&lt;=MIN(ABS($X1381/100-Settings!$C$7),ABS($X1381/100-Settings!$G$7)),1,0))))</f>
        <v/>
      </c>
      <c r="AC1381">
        <f>IF($Z1381=1,IFERROR(IF(VALUE($B1381)&lt;100000000,VALUE($B1381),1000000000),IFERROR(IF(VALUE(MID($B1381,2,20))&lt;100000000,VALUE(MID($B1381,2,20)),1000000000),1000000000))+ROW()/100000,"")</f>
        <v/>
      </c>
    </row>
    <row r="1382">
      <c r="A1382">
        <f>IF($B1382="","",IFERROR(IF(INDEX('Per Invoice'!$A$2:$A$801,MATCH($B1382,'Per Invoice'!$B$2:$B$801,0))=0,"",INDEX('Per Invoice'!$A$2:$A$801,MATCH($B1382,'Per Invoice'!$B$2:$B$801,0))),""))</f>
        <v/>
      </c>
      <c r="J1382" s="7">
        <f>IF($B1382="","",I1382*Q1382/100)</f>
        <v/>
      </c>
      <c r="N1382" s="7" t="n"/>
      <c r="O1382" s="7" t="n"/>
      <c r="P1382" s="7">
        <f>IF($B1382="","",O1382*X1382/100)</f>
        <v/>
      </c>
      <c r="Q1382" s="7">
        <f>IF($B1382="","",O1382-P1382)</f>
        <v/>
      </c>
      <c r="R1382" s="7">
        <f>IF($B1382="","",Q1382-J1382)</f>
        <v/>
      </c>
      <c r="S1382" s="7" t="n"/>
      <c r="T1382" s="7" t="n"/>
      <c r="V1382" s="14" t="n"/>
      <c r="Z1382">
        <f>IF($B1382="","",IF(COUNTIF($B$2:$B1382,$B1382)=1,1,0))</f>
        <v/>
      </c>
      <c r="AA1382">
        <f>IF($Z1382=1,SUMPRODUCT(--($AC$2:$AC$3001&lt;$AC1382))+1,"")</f>
        <v/>
      </c>
      <c r="AB1382">
        <f>IF($B1382="","",IF(OR($Y1382=TRUE(),$Y1382="TRUE"),1,IF(AND($Y1382&lt;&gt;"",OR($Y1382=FALSE(),$Y1382="FALSE")),0,IF(MIN(ABS($X1382/100-Settings!$C$6),ABS($X1382/100-Settings!$G$6))&lt;=MIN(ABS($X1382/100-Settings!$C$7),ABS($X1382/100-Settings!$G$7)),1,0))))</f>
        <v/>
      </c>
      <c r="AC1382">
        <f>IF($Z1382=1,IFERROR(IF(VALUE($B1382)&lt;100000000,VALUE($B1382),1000000000),IFERROR(IF(VALUE(MID($B1382,2,20))&lt;100000000,VALUE(MID($B1382,2,20)),1000000000),1000000000))+ROW()/100000,"")</f>
        <v/>
      </c>
    </row>
    <row r="1383">
      <c r="A1383">
        <f>IF($B1383="","",IFERROR(IF(INDEX('Per Invoice'!$A$2:$A$801,MATCH($B1383,'Per Invoice'!$B$2:$B$801,0))=0,"",INDEX('Per Invoice'!$A$2:$A$801,MATCH($B1383,'Per Invoice'!$B$2:$B$801,0))),""))</f>
        <v/>
      </c>
      <c r="J1383" s="7">
        <f>IF($B1383="","",I1383*Q1383/100)</f>
        <v/>
      </c>
      <c r="N1383" s="7" t="n"/>
      <c r="O1383" s="7" t="n"/>
      <c r="P1383" s="7">
        <f>IF($B1383="","",O1383*X1383/100)</f>
        <v/>
      </c>
      <c r="Q1383" s="7">
        <f>IF($B1383="","",O1383-P1383)</f>
        <v/>
      </c>
      <c r="R1383" s="7">
        <f>IF($B1383="","",Q1383-J1383)</f>
        <v/>
      </c>
      <c r="S1383" s="7" t="n"/>
      <c r="T1383" s="7" t="n"/>
      <c r="V1383" s="14" t="n"/>
      <c r="Z1383">
        <f>IF($B1383="","",IF(COUNTIF($B$2:$B1383,$B1383)=1,1,0))</f>
        <v/>
      </c>
      <c r="AA1383">
        <f>IF($Z1383=1,SUMPRODUCT(--($AC$2:$AC$3001&lt;$AC1383))+1,"")</f>
        <v/>
      </c>
      <c r="AB1383">
        <f>IF($B1383="","",IF(OR($Y1383=TRUE(),$Y1383="TRUE"),1,IF(AND($Y1383&lt;&gt;"",OR($Y1383=FALSE(),$Y1383="FALSE")),0,IF(MIN(ABS($X1383/100-Settings!$C$6),ABS($X1383/100-Settings!$G$6))&lt;=MIN(ABS($X1383/100-Settings!$C$7),ABS($X1383/100-Settings!$G$7)),1,0))))</f>
        <v/>
      </c>
      <c r="AC1383">
        <f>IF($Z1383=1,IFERROR(IF(VALUE($B1383)&lt;100000000,VALUE($B1383),1000000000),IFERROR(IF(VALUE(MID($B1383,2,20))&lt;100000000,VALUE(MID($B1383,2,20)),1000000000),1000000000))+ROW()/100000,"")</f>
        <v/>
      </c>
    </row>
    <row r="1384">
      <c r="A1384">
        <f>IF($B1384="","",IFERROR(IF(INDEX('Per Invoice'!$A$2:$A$801,MATCH($B1384,'Per Invoice'!$B$2:$B$801,0))=0,"",INDEX('Per Invoice'!$A$2:$A$801,MATCH($B1384,'Per Invoice'!$B$2:$B$801,0))),""))</f>
        <v/>
      </c>
      <c r="J1384" s="7">
        <f>IF($B1384="","",I1384*Q1384/100)</f>
        <v/>
      </c>
      <c r="N1384" s="7" t="n"/>
      <c r="O1384" s="7" t="n"/>
      <c r="P1384" s="7">
        <f>IF($B1384="","",O1384*X1384/100)</f>
        <v/>
      </c>
      <c r="Q1384" s="7">
        <f>IF($B1384="","",O1384-P1384)</f>
        <v/>
      </c>
      <c r="R1384" s="7">
        <f>IF($B1384="","",Q1384-J1384)</f>
        <v/>
      </c>
      <c r="S1384" s="7" t="n"/>
      <c r="T1384" s="7" t="n"/>
      <c r="V1384" s="14" t="n"/>
      <c r="Z1384">
        <f>IF($B1384="","",IF(COUNTIF($B$2:$B1384,$B1384)=1,1,0))</f>
        <v/>
      </c>
      <c r="AA1384">
        <f>IF($Z1384=1,SUMPRODUCT(--($AC$2:$AC$3001&lt;$AC1384))+1,"")</f>
        <v/>
      </c>
      <c r="AB1384">
        <f>IF($B1384="","",IF(OR($Y1384=TRUE(),$Y1384="TRUE"),1,IF(AND($Y1384&lt;&gt;"",OR($Y1384=FALSE(),$Y1384="FALSE")),0,IF(MIN(ABS($X1384/100-Settings!$C$6),ABS($X1384/100-Settings!$G$6))&lt;=MIN(ABS($X1384/100-Settings!$C$7),ABS($X1384/100-Settings!$G$7)),1,0))))</f>
        <v/>
      </c>
      <c r="AC1384">
        <f>IF($Z1384=1,IFERROR(IF(VALUE($B1384)&lt;100000000,VALUE($B1384),1000000000),IFERROR(IF(VALUE(MID($B1384,2,20))&lt;100000000,VALUE(MID($B1384,2,20)),1000000000),1000000000))+ROW()/100000,"")</f>
        <v/>
      </c>
    </row>
    <row r="1385">
      <c r="A1385">
        <f>IF($B1385="","",IFERROR(IF(INDEX('Per Invoice'!$A$2:$A$801,MATCH($B1385,'Per Invoice'!$B$2:$B$801,0))=0,"",INDEX('Per Invoice'!$A$2:$A$801,MATCH($B1385,'Per Invoice'!$B$2:$B$801,0))),""))</f>
        <v/>
      </c>
      <c r="J1385" s="7">
        <f>IF($B1385="","",I1385*Q1385/100)</f>
        <v/>
      </c>
      <c r="N1385" s="7" t="n"/>
      <c r="O1385" s="7" t="n"/>
      <c r="P1385" s="7">
        <f>IF($B1385="","",O1385*X1385/100)</f>
        <v/>
      </c>
      <c r="Q1385" s="7">
        <f>IF($B1385="","",O1385-P1385)</f>
        <v/>
      </c>
      <c r="R1385" s="7">
        <f>IF($B1385="","",Q1385-J1385)</f>
        <v/>
      </c>
      <c r="S1385" s="7" t="n"/>
      <c r="T1385" s="7" t="n"/>
      <c r="V1385" s="14" t="n"/>
      <c r="Z1385">
        <f>IF($B1385="","",IF(COUNTIF($B$2:$B1385,$B1385)=1,1,0))</f>
        <v/>
      </c>
      <c r="AA1385">
        <f>IF($Z1385=1,SUMPRODUCT(--($AC$2:$AC$3001&lt;$AC1385))+1,"")</f>
        <v/>
      </c>
      <c r="AB1385">
        <f>IF($B1385="","",IF(OR($Y1385=TRUE(),$Y1385="TRUE"),1,IF(AND($Y1385&lt;&gt;"",OR($Y1385=FALSE(),$Y1385="FALSE")),0,IF(MIN(ABS($X1385/100-Settings!$C$6),ABS($X1385/100-Settings!$G$6))&lt;=MIN(ABS($X1385/100-Settings!$C$7),ABS($X1385/100-Settings!$G$7)),1,0))))</f>
        <v/>
      </c>
      <c r="AC1385">
        <f>IF($Z1385=1,IFERROR(IF(VALUE($B1385)&lt;100000000,VALUE($B1385),1000000000),IFERROR(IF(VALUE(MID($B1385,2,20))&lt;100000000,VALUE(MID($B1385,2,20)),1000000000),1000000000))+ROW()/100000,"")</f>
        <v/>
      </c>
    </row>
    <row r="1386">
      <c r="A1386">
        <f>IF($B1386="","",IFERROR(IF(INDEX('Per Invoice'!$A$2:$A$801,MATCH($B1386,'Per Invoice'!$B$2:$B$801,0))=0,"",INDEX('Per Invoice'!$A$2:$A$801,MATCH($B1386,'Per Invoice'!$B$2:$B$801,0))),""))</f>
        <v/>
      </c>
      <c r="J1386" s="7">
        <f>IF($B1386="","",I1386*Q1386/100)</f>
        <v/>
      </c>
      <c r="N1386" s="7" t="n"/>
      <c r="O1386" s="7" t="n"/>
      <c r="P1386" s="7">
        <f>IF($B1386="","",O1386*X1386/100)</f>
        <v/>
      </c>
      <c r="Q1386" s="7">
        <f>IF($B1386="","",O1386-P1386)</f>
        <v/>
      </c>
      <c r="R1386" s="7">
        <f>IF($B1386="","",Q1386-J1386)</f>
        <v/>
      </c>
      <c r="S1386" s="7" t="n"/>
      <c r="T1386" s="7" t="n"/>
      <c r="V1386" s="14" t="n"/>
      <c r="Z1386">
        <f>IF($B1386="","",IF(COUNTIF($B$2:$B1386,$B1386)=1,1,0))</f>
        <v/>
      </c>
      <c r="AA1386">
        <f>IF($Z1386=1,SUMPRODUCT(--($AC$2:$AC$3001&lt;$AC1386))+1,"")</f>
        <v/>
      </c>
      <c r="AB1386">
        <f>IF($B1386="","",IF(OR($Y1386=TRUE(),$Y1386="TRUE"),1,IF(AND($Y1386&lt;&gt;"",OR($Y1386=FALSE(),$Y1386="FALSE")),0,IF(MIN(ABS($X1386/100-Settings!$C$6),ABS($X1386/100-Settings!$G$6))&lt;=MIN(ABS($X1386/100-Settings!$C$7),ABS($X1386/100-Settings!$G$7)),1,0))))</f>
        <v/>
      </c>
      <c r="AC1386">
        <f>IF($Z1386=1,IFERROR(IF(VALUE($B1386)&lt;100000000,VALUE($B1386),1000000000),IFERROR(IF(VALUE(MID($B1386,2,20))&lt;100000000,VALUE(MID($B1386,2,20)),1000000000),1000000000))+ROW()/100000,"")</f>
        <v/>
      </c>
    </row>
    <row r="1387">
      <c r="A1387">
        <f>IF($B1387="","",IFERROR(IF(INDEX('Per Invoice'!$A$2:$A$801,MATCH($B1387,'Per Invoice'!$B$2:$B$801,0))=0,"",INDEX('Per Invoice'!$A$2:$A$801,MATCH($B1387,'Per Invoice'!$B$2:$B$801,0))),""))</f>
        <v/>
      </c>
      <c r="J1387" s="7">
        <f>IF($B1387="","",I1387*Q1387/100)</f>
        <v/>
      </c>
      <c r="N1387" s="7" t="n"/>
      <c r="O1387" s="7" t="n"/>
      <c r="P1387" s="7">
        <f>IF($B1387="","",O1387*X1387/100)</f>
        <v/>
      </c>
      <c r="Q1387" s="7">
        <f>IF($B1387="","",O1387-P1387)</f>
        <v/>
      </c>
      <c r="R1387" s="7">
        <f>IF($B1387="","",Q1387-J1387)</f>
        <v/>
      </c>
      <c r="S1387" s="7" t="n"/>
      <c r="T1387" s="7" t="n"/>
      <c r="V1387" s="14" t="n"/>
      <c r="Z1387">
        <f>IF($B1387="","",IF(COUNTIF($B$2:$B1387,$B1387)=1,1,0))</f>
        <v/>
      </c>
      <c r="AA1387">
        <f>IF($Z1387=1,SUMPRODUCT(--($AC$2:$AC$3001&lt;$AC1387))+1,"")</f>
        <v/>
      </c>
      <c r="AB1387">
        <f>IF($B1387="","",IF(OR($Y1387=TRUE(),$Y1387="TRUE"),1,IF(AND($Y1387&lt;&gt;"",OR($Y1387=FALSE(),$Y1387="FALSE")),0,IF(MIN(ABS($X1387/100-Settings!$C$6),ABS($X1387/100-Settings!$G$6))&lt;=MIN(ABS($X1387/100-Settings!$C$7),ABS($X1387/100-Settings!$G$7)),1,0))))</f>
        <v/>
      </c>
      <c r="AC1387">
        <f>IF($Z1387=1,IFERROR(IF(VALUE($B1387)&lt;100000000,VALUE($B1387),1000000000),IFERROR(IF(VALUE(MID($B1387,2,20))&lt;100000000,VALUE(MID($B1387,2,20)),1000000000),1000000000))+ROW()/100000,"")</f>
        <v/>
      </c>
    </row>
    <row r="1388">
      <c r="A1388">
        <f>IF($B1388="","",IFERROR(IF(INDEX('Per Invoice'!$A$2:$A$801,MATCH($B1388,'Per Invoice'!$B$2:$B$801,0))=0,"",INDEX('Per Invoice'!$A$2:$A$801,MATCH($B1388,'Per Invoice'!$B$2:$B$801,0))),""))</f>
        <v/>
      </c>
      <c r="J1388" s="7">
        <f>IF($B1388="","",I1388*Q1388/100)</f>
        <v/>
      </c>
      <c r="N1388" s="7" t="n"/>
      <c r="O1388" s="7" t="n"/>
      <c r="P1388" s="7">
        <f>IF($B1388="","",O1388*X1388/100)</f>
        <v/>
      </c>
      <c r="Q1388" s="7">
        <f>IF($B1388="","",O1388-P1388)</f>
        <v/>
      </c>
      <c r="R1388" s="7">
        <f>IF($B1388="","",Q1388-J1388)</f>
        <v/>
      </c>
      <c r="S1388" s="7" t="n"/>
      <c r="T1388" s="7" t="n"/>
      <c r="V1388" s="14" t="n"/>
      <c r="Z1388">
        <f>IF($B1388="","",IF(COUNTIF($B$2:$B1388,$B1388)=1,1,0))</f>
        <v/>
      </c>
      <c r="AA1388">
        <f>IF($Z1388=1,SUMPRODUCT(--($AC$2:$AC$3001&lt;$AC1388))+1,"")</f>
        <v/>
      </c>
      <c r="AB1388">
        <f>IF($B1388="","",IF(OR($Y1388=TRUE(),$Y1388="TRUE"),1,IF(AND($Y1388&lt;&gt;"",OR($Y1388=FALSE(),$Y1388="FALSE")),0,IF(MIN(ABS($X1388/100-Settings!$C$6),ABS($X1388/100-Settings!$G$6))&lt;=MIN(ABS($X1388/100-Settings!$C$7),ABS($X1388/100-Settings!$G$7)),1,0))))</f>
        <v/>
      </c>
      <c r="AC1388">
        <f>IF($Z1388=1,IFERROR(IF(VALUE($B1388)&lt;100000000,VALUE($B1388),1000000000),IFERROR(IF(VALUE(MID($B1388,2,20))&lt;100000000,VALUE(MID($B1388,2,20)),1000000000),1000000000))+ROW()/100000,"")</f>
        <v/>
      </c>
    </row>
    <row r="1389">
      <c r="A1389">
        <f>IF($B1389="","",IFERROR(IF(INDEX('Per Invoice'!$A$2:$A$801,MATCH($B1389,'Per Invoice'!$B$2:$B$801,0))=0,"",INDEX('Per Invoice'!$A$2:$A$801,MATCH($B1389,'Per Invoice'!$B$2:$B$801,0))),""))</f>
        <v/>
      </c>
      <c r="J1389" s="7">
        <f>IF($B1389="","",I1389*Q1389/100)</f>
        <v/>
      </c>
      <c r="N1389" s="7" t="n"/>
      <c r="O1389" s="7" t="n"/>
      <c r="P1389" s="7">
        <f>IF($B1389="","",O1389*X1389/100)</f>
        <v/>
      </c>
      <c r="Q1389" s="7">
        <f>IF($B1389="","",O1389-P1389)</f>
        <v/>
      </c>
      <c r="R1389" s="7">
        <f>IF($B1389="","",Q1389-J1389)</f>
        <v/>
      </c>
      <c r="S1389" s="7" t="n"/>
      <c r="T1389" s="7" t="n"/>
      <c r="V1389" s="14" t="n"/>
      <c r="Z1389">
        <f>IF($B1389="","",IF(COUNTIF($B$2:$B1389,$B1389)=1,1,0))</f>
        <v/>
      </c>
      <c r="AA1389">
        <f>IF($Z1389=1,SUMPRODUCT(--($AC$2:$AC$3001&lt;$AC1389))+1,"")</f>
        <v/>
      </c>
      <c r="AB1389">
        <f>IF($B1389="","",IF(OR($Y1389=TRUE(),$Y1389="TRUE"),1,IF(AND($Y1389&lt;&gt;"",OR($Y1389=FALSE(),$Y1389="FALSE")),0,IF(MIN(ABS($X1389/100-Settings!$C$6),ABS($X1389/100-Settings!$G$6))&lt;=MIN(ABS($X1389/100-Settings!$C$7),ABS($X1389/100-Settings!$G$7)),1,0))))</f>
        <v/>
      </c>
      <c r="AC1389">
        <f>IF($Z1389=1,IFERROR(IF(VALUE($B1389)&lt;100000000,VALUE($B1389),1000000000),IFERROR(IF(VALUE(MID($B1389,2,20))&lt;100000000,VALUE(MID($B1389,2,20)),1000000000),1000000000))+ROW()/100000,"")</f>
        <v/>
      </c>
    </row>
    <row r="1390">
      <c r="A1390">
        <f>IF($B1390="","",IFERROR(IF(INDEX('Per Invoice'!$A$2:$A$801,MATCH($B1390,'Per Invoice'!$B$2:$B$801,0))=0,"",INDEX('Per Invoice'!$A$2:$A$801,MATCH($B1390,'Per Invoice'!$B$2:$B$801,0))),""))</f>
        <v/>
      </c>
      <c r="J1390" s="7">
        <f>IF($B1390="","",I1390*Q1390/100)</f>
        <v/>
      </c>
      <c r="N1390" s="7" t="n"/>
      <c r="O1390" s="7" t="n"/>
      <c r="P1390" s="7">
        <f>IF($B1390="","",O1390*X1390/100)</f>
        <v/>
      </c>
      <c r="Q1390" s="7">
        <f>IF($B1390="","",O1390-P1390)</f>
        <v/>
      </c>
      <c r="R1390" s="7">
        <f>IF($B1390="","",Q1390-J1390)</f>
        <v/>
      </c>
      <c r="S1390" s="7" t="n"/>
      <c r="T1390" s="7" t="n"/>
      <c r="V1390" s="14" t="n"/>
      <c r="Z1390">
        <f>IF($B1390="","",IF(COUNTIF($B$2:$B1390,$B1390)=1,1,0))</f>
        <v/>
      </c>
      <c r="AA1390">
        <f>IF($Z1390=1,SUMPRODUCT(--($AC$2:$AC$3001&lt;$AC1390))+1,"")</f>
        <v/>
      </c>
      <c r="AB1390">
        <f>IF($B1390="","",IF(OR($Y1390=TRUE(),$Y1390="TRUE"),1,IF(AND($Y1390&lt;&gt;"",OR($Y1390=FALSE(),$Y1390="FALSE")),0,IF(MIN(ABS($X1390/100-Settings!$C$6),ABS($X1390/100-Settings!$G$6))&lt;=MIN(ABS($X1390/100-Settings!$C$7),ABS($X1390/100-Settings!$G$7)),1,0))))</f>
        <v/>
      </c>
      <c r="AC1390">
        <f>IF($Z1390=1,IFERROR(IF(VALUE($B1390)&lt;100000000,VALUE($B1390),1000000000),IFERROR(IF(VALUE(MID($B1390,2,20))&lt;100000000,VALUE(MID($B1390,2,20)),1000000000),1000000000))+ROW()/100000,"")</f>
        <v/>
      </c>
    </row>
    <row r="1391">
      <c r="A1391">
        <f>IF($B1391="","",IFERROR(IF(INDEX('Per Invoice'!$A$2:$A$801,MATCH($B1391,'Per Invoice'!$B$2:$B$801,0))=0,"",INDEX('Per Invoice'!$A$2:$A$801,MATCH($B1391,'Per Invoice'!$B$2:$B$801,0))),""))</f>
        <v/>
      </c>
      <c r="J1391" s="7">
        <f>IF($B1391="","",I1391*Q1391/100)</f>
        <v/>
      </c>
      <c r="N1391" s="7" t="n"/>
      <c r="O1391" s="7" t="n"/>
      <c r="P1391" s="7">
        <f>IF($B1391="","",O1391*X1391/100)</f>
        <v/>
      </c>
      <c r="Q1391" s="7">
        <f>IF($B1391="","",O1391-P1391)</f>
        <v/>
      </c>
      <c r="R1391" s="7">
        <f>IF($B1391="","",Q1391-J1391)</f>
        <v/>
      </c>
      <c r="S1391" s="7" t="n"/>
      <c r="T1391" s="7" t="n"/>
      <c r="V1391" s="14" t="n"/>
      <c r="Z1391">
        <f>IF($B1391="","",IF(COUNTIF($B$2:$B1391,$B1391)=1,1,0))</f>
        <v/>
      </c>
      <c r="AA1391">
        <f>IF($Z1391=1,SUMPRODUCT(--($AC$2:$AC$3001&lt;$AC1391))+1,"")</f>
        <v/>
      </c>
      <c r="AB1391">
        <f>IF($B1391="","",IF(OR($Y1391=TRUE(),$Y1391="TRUE"),1,IF(AND($Y1391&lt;&gt;"",OR($Y1391=FALSE(),$Y1391="FALSE")),0,IF(MIN(ABS($X1391/100-Settings!$C$6),ABS($X1391/100-Settings!$G$6))&lt;=MIN(ABS($X1391/100-Settings!$C$7),ABS($X1391/100-Settings!$G$7)),1,0))))</f>
        <v/>
      </c>
      <c r="AC1391">
        <f>IF($Z1391=1,IFERROR(IF(VALUE($B1391)&lt;100000000,VALUE($B1391),1000000000),IFERROR(IF(VALUE(MID($B1391,2,20))&lt;100000000,VALUE(MID($B1391,2,20)),1000000000),1000000000))+ROW()/100000,"")</f>
        <v/>
      </c>
    </row>
    <row r="1392">
      <c r="A1392">
        <f>IF($B1392="","",IFERROR(IF(INDEX('Per Invoice'!$A$2:$A$801,MATCH($B1392,'Per Invoice'!$B$2:$B$801,0))=0,"",INDEX('Per Invoice'!$A$2:$A$801,MATCH($B1392,'Per Invoice'!$B$2:$B$801,0))),""))</f>
        <v/>
      </c>
      <c r="J1392" s="7">
        <f>IF($B1392="","",I1392*Q1392/100)</f>
        <v/>
      </c>
      <c r="N1392" s="7" t="n"/>
      <c r="O1392" s="7" t="n"/>
      <c r="P1392" s="7">
        <f>IF($B1392="","",O1392*X1392/100)</f>
        <v/>
      </c>
      <c r="Q1392" s="7">
        <f>IF($B1392="","",O1392-P1392)</f>
        <v/>
      </c>
      <c r="R1392" s="7">
        <f>IF($B1392="","",Q1392-J1392)</f>
        <v/>
      </c>
      <c r="S1392" s="7" t="n"/>
      <c r="T1392" s="7" t="n"/>
      <c r="V1392" s="14" t="n"/>
      <c r="Z1392">
        <f>IF($B1392="","",IF(COUNTIF($B$2:$B1392,$B1392)=1,1,0))</f>
        <v/>
      </c>
      <c r="AA1392">
        <f>IF($Z1392=1,SUMPRODUCT(--($AC$2:$AC$3001&lt;$AC1392))+1,"")</f>
        <v/>
      </c>
      <c r="AB1392">
        <f>IF($B1392="","",IF(OR($Y1392=TRUE(),$Y1392="TRUE"),1,IF(AND($Y1392&lt;&gt;"",OR($Y1392=FALSE(),$Y1392="FALSE")),0,IF(MIN(ABS($X1392/100-Settings!$C$6),ABS($X1392/100-Settings!$G$6))&lt;=MIN(ABS($X1392/100-Settings!$C$7),ABS($X1392/100-Settings!$G$7)),1,0))))</f>
        <v/>
      </c>
      <c r="AC1392">
        <f>IF($Z1392=1,IFERROR(IF(VALUE($B1392)&lt;100000000,VALUE($B1392),1000000000),IFERROR(IF(VALUE(MID($B1392,2,20))&lt;100000000,VALUE(MID($B1392,2,20)),1000000000),1000000000))+ROW()/100000,"")</f>
        <v/>
      </c>
    </row>
    <row r="1393">
      <c r="A1393">
        <f>IF($B1393="","",IFERROR(IF(INDEX('Per Invoice'!$A$2:$A$801,MATCH($B1393,'Per Invoice'!$B$2:$B$801,0))=0,"",INDEX('Per Invoice'!$A$2:$A$801,MATCH($B1393,'Per Invoice'!$B$2:$B$801,0))),""))</f>
        <v/>
      </c>
      <c r="J1393" s="7">
        <f>IF($B1393="","",I1393*Q1393/100)</f>
        <v/>
      </c>
      <c r="N1393" s="7" t="n"/>
      <c r="O1393" s="7" t="n"/>
      <c r="P1393" s="7">
        <f>IF($B1393="","",O1393*X1393/100)</f>
        <v/>
      </c>
      <c r="Q1393" s="7">
        <f>IF($B1393="","",O1393-P1393)</f>
        <v/>
      </c>
      <c r="R1393" s="7">
        <f>IF($B1393="","",Q1393-J1393)</f>
        <v/>
      </c>
      <c r="S1393" s="7" t="n"/>
      <c r="T1393" s="7" t="n"/>
      <c r="V1393" s="14" t="n"/>
      <c r="Z1393">
        <f>IF($B1393="","",IF(COUNTIF($B$2:$B1393,$B1393)=1,1,0))</f>
        <v/>
      </c>
      <c r="AA1393">
        <f>IF($Z1393=1,SUMPRODUCT(--($AC$2:$AC$3001&lt;$AC1393))+1,"")</f>
        <v/>
      </c>
      <c r="AB1393">
        <f>IF($B1393="","",IF(OR($Y1393=TRUE(),$Y1393="TRUE"),1,IF(AND($Y1393&lt;&gt;"",OR($Y1393=FALSE(),$Y1393="FALSE")),0,IF(MIN(ABS($X1393/100-Settings!$C$6),ABS($X1393/100-Settings!$G$6))&lt;=MIN(ABS($X1393/100-Settings!$C$7),ABS($X1393/100-Settings!$G$7)),1,0))))</f>
        <v/>
      </c>
      <c r="AC1393">
        <f>IF($Z1393=1,IFERROR(IF(VALUE($B1393)&lt;100000000,VALUE($B1393),1000000000),IFERROR(IF(VALUE(MID($B1393,2,20))&lt;100000000,VALUE(MID($B1393,2,20)),1000000000),1000000000))+ROW()/100000,"")</f>
        <v/>
      </c>
    </row>
    <row r="1394">
      <c r="A1394">
        <f>IF($B1394="","",IFERROR(IF(INDEX('Per Invoice'!$A$2:$A$801,MATCH($B1394,'Per Invoice'!$B$2:$B$801,0))=0,"",INDEX('Per Invoice'!$A$2:$A$801,MATCH($B1394,'Per Invoice'!$B$2:$B$801,0))),""))</f>
        <v/>
      </c>
      <c r="J1394" s="7">
        <f>IF($B1394="","",I1394*Q1394/100)</f>
        <v/>
      </c>
      <c r="N1394" s="7" t="n"/>
      <c r="O1394" s="7" t="n"/>
      <c r="P1394" s="7">
        <f>IF($B1394="","",O1394*X1394/100)</f>
        <v/>
      </c>
      <c r="Q1394" s="7">
        <f>IF($B1394="","",O1394-P1394)</f>
        <v/>
      </c>
      <c r="R1394" s="7">
        <f>IF($B1394="","",Q1394-J1394)</f>
        <v/>
      </c>
      <c r="S1394" s="7" t="n"/>
      <c r="T1394" s="7" t="n"/>
      <c r="V1394" s="14" t="n"/>
      <c r="Z1394">
        <f>IF($B1394="","",IF(COUNTIF($B$2:$B1394,$B1394)=1,1,0))</f>
        <v/>
      </c>
      <c r="AA1394">
        <f>IF($Z1394=1,SUMPRODUCT(--($AC$2:$AC$3001&lt;$AC1394))+1,"")</f>
        <v/>
      </c>
      <c r="AB1394">
        <f>IF($B1394="","",IF(OR($Y1394=TRUE(),$Y1394="TRUE"),1,IF(AND($Y1394&lt;&gt;"",OR($Y1394=FALSE(),$Y1394="FALSE")),0,IF(MIN(ABS($X1394/100-Settings!$C$6),ABS($X1394/100-Settings!$G$6))&lt;=MIN(ABS($X1394/100-Settings!$C$7),ABS($X1394/100-Settings!$G$7)),1,0))))</f>
        <v/>
      </c>
      <c r="AC1394">
        <f>IF($Z1394=1,IFERROR(IF(VALUE($B1394)&lt;100000000,VALUE($B1394),1000000000),IFERROR(IF(VALUE(MID($B1394,2,20))&lt;100000000,VALUE(MID($B1394,2,20)),1000000000),1000000000))+ROW()/100000,"")</f>
        <v/>
      </c>
    </row>
    <row r="1395">
      <c r="A1395">
        <f>IF($B1395="","",IFERROR(IF(INDEX('Per Invoice'!$A$2:$A$801,MATCH($B1395,'Per Invoice'!$B$2:$B$801,0))=0,"",INDEX('Per Invoice'!$A$2:$A$801,MATCH($B1395,'Per Invoice'!$B$2:$B$801,0))),""))</f>
        <v/>
      </c>
      <c r="J1395" s="7">
        <f>IF($B1395="","",I1395*Q1395/100)</f>
        <v/>
      </c>
      <c r="N1395" s="7" t="n"/>
      <c r="O1395" s="7" t="n"/>
      <c r="P1395" s="7">
        <f>IF($B1395="","",O1395*X1395/100)</f>
        <v/>
      </c>
      <c r="Q1395" s="7">
        <f>IF($B1395="","",O1395-P1395)</f>
        <v/>
      </c>
      <c r="R1395" s="7">
        <f>IF($B1395="","",Q1395-J1395)</f>
        <v/>
      </c>
      <c r="S1395" s="7" t="n"/>
      <c r="T1395" s="7" t="n"/>
      <c r="V1395" s="14" t="n"/>
      <c r="Z1395">
        <f>IF($B1395="","",IF(COUNTIF($B$2:$B1395,$B1395)=1,1,0))</f>
        <v/>
      </c>
      <c r="AA1395">
        <f>IF($Z1395=1,SUMPRODUCT(--($AC$2:$AC$3001&lt;$AC1395))+1,"")</f>
        <v/>
      </c>
      <c r="AB1395">
        <f>IF($B1395="","",IF(OR($Y1395=TRUE(),$Y1395="TRUE"),1,IF(AND($Y1395&lt;&gt;"",OR($Y1395=FALSE(),$Y1395="FALSE")),0,IF(MIN(ABS($X1395/100-Settings!$C$6),ABS($X1395/100-Settings!$G$6))&lt;=MIN(ABS($X1395/100-Settings!$C$7),ABS($X1395/100-Settings!$G$7)),1,0))))</f>
        <v/>
      </c>
      <c r="AC1395">
        <f>IF($Z1395=1,IFERROR(IF(VALUE($B1395)&lt;100000000,VALUE($B1395),1000000000),IFERROR(IF(VALUE(MID($B1395,2,20))&lt;100000000,VALUE(MID($B1395,2,20)),1000000000),1000000000))+ROW()/100000,"")</f>
        <v/>
      </c>
    </row>
    <row r="1396">
      <c r="A1396">
        <f>IF($B1396="","",IFERROR(IF(INDEX('Per Invoice'!$A$2:$A$801,MATCH($B1396,'Per Invoice'!$B$2:$B$801,0))=0,"",INDEX('Per Invoice'!$A$2:$A$801,MATCH($B1396,'Per Invoice'!$B$2:$B$801,0))),""))</f>
        <v/>
      </c>
      <c r="J1396" s="7">
        <f>IF($B1396="","",I1396*Q1396/100)</f>
        <v/>
      </c>
      <c r="N1396" s="7" t="n"/>
      <c r="O1396" s="7" t="n"/>
      <c r="P1396" s="7">
        <f>IF($B1396="","",O1396*X1396/100)</f>
        <v/>
      </c>
      <c r="Q1396" s="7">
        <f>IF($B1396="","",O1396-P1396)</f>
        <v/>
      </c>
      <c r="R1396" s="7">
        <f>IF($B1396="","",Q1396-J1396)</f>
        <v/>
      </c>
      <c r="S1396" s="7" t="n"/>
      <c r="T1396" s="7" t="n"/>
      <c r="V1396" s="14" t="n"/>
      <c r="Z1396">
        <f>IF($B1396="","",IF(COUNTIF($B$2:$B1396,$B1396)=1,1,0))</f>
        <v/>
      </c>
      <c r="AA1396">
        <f>IF($Z1396=1,SUMPRODUCT(--($AC$2:$AC$3001&lt;$AC1396))+1,"")</f>
        <v/>
      </c>
      <c r="AB1396">
        <f>IF($B1396="","",IF(OR($Y1396=TRUE(),$Y1396="TRUE"),1,IF(AND($Y1396&lt;&gt;"",OR($Y1396=FALSE(),$Y1396="FALSE")),0,IF(MIN(ABS($X1396/100-Settings!$C$6),ABS($X1396/100-Settings!$G$6))&lt;=MIN(ABS($X1396/100-Settings!$C$7),ABS($X1396/100-Settings!$G$7)),1,0))))</f>
        <v/>
      </c>
      <c r="AC1396">
        <f>IF($Z1396=1,IFERROR(IF(VALUE($B1396)&lt;100000000,VALUE($B1396),1000000000),IFERROR(IF(VALUE(MID($B1396,2,20))&lt;100000000,VALUE(MID($B1396,2,20)),1000000000),1000000000))+ROW()/100000,"")</f>
        <v/>
      </c>
    </row>
    <row r="1397">
      <c r="A1397">
        <f>IF($B1397="","",IFERROR(IF(INDEX('Per Invoice'!$A$2:$A$801,MATCH($B1397,'Per Invoice'!$B$2:$B$801,0))=0,"",INDEX('Per Invoice'!$A$2:$A$801,MATCH($B1397,'Per Invoice'!$B$2:$B$801,0))),""))</f>
        <v/>
      </c>
      <c r="J1397" s="7">
        <f>IF($B1397="","",I1397*Q1397/100)</f>
        <v/>
      </c>
      <c r="N1397" s="7" t="n"/>
      <c r="O1397" s="7" t="n"/>
      <c r="P1397" s="7">
        <f>IF($B1397="","",O1397*X1397/100)</f>
        <v/>
      </c>
      <c r="Q1397" s="7">
        <f>IF($B1397="","",O1397-P1397)</f>
        <v/>
      </c>
      <c r="R1397" s="7">
        <f>IF($B1397="","",Q1397-J1397)</f>
        <v/>
      </c>
      <c r="S1397" s="7" t="n"/>
      <c r="T1397" s="7" t="n"/>
      <c r="V1397" s="14" t="n"/>
      <c r="Z1397">
        <f>IF($B1397="","",IF(COUNTIF($B$2:$B1397,$B1397)=1,1,0))</f>
        <v/>
      </c>
      <c r="AA1397">
        <f>IF($Z1397=1,SUMPRODUCT(--($AC$2:$AC$3001&lt;$AC1397))+1,"")</f>
        <v/>
      </c>
      <c r="AB1397">
        <f>IF($B1397="","",IF(OR($Y1397=TRUE(),$Y1397="TRUE"),1,IF(AND($Y1397&lt;&gt;"",OR($Y1397=FALSE(),$Y1397="FALSE")),0,IF(MIN(ABS($X1397/100-Settings!$C$6),ABS($X1397/100-Settings!$G$6))&lt;=MIN(ABS($X1397/100-Settings!$C$7),ABS($X1397/100-Settings!$G$7)),1,0))))</f>
        <v/>
      </c>
      <c r="AC1397">
        <f>IF($Z1397=1,IFERROR(IF(VALUE($B1397)&lt;100000000,VALUE($B1397),1000000000),IFERROR(IF(VALUE(MID($B1397,2,20))&lt;100000000,VALUE(MID($B1397,2,20)),1000000000),1000000000))+ROW()/100000,"")</f>
        <v/>
      </c>
    </row>
    <row r="1398">
      <c r="A1398">
        <f>IF($B1398="","",IFERROR(IF(INDEX('Per Invoice'!$A$2:$A$801,MATCH($B1398,'Per Invoice'!$B$2:$B$801,0))=0,"",INDEX('Per Invoice'!$A$2:$A$801,MATCH($B1398,'Per Invoice'!$B$2:$B$801,0))),""))</f>
        <v/>
      </c>
      <c r="J1398" s="7">
        <f>IF($B1398="","",I1398*Q1398/100)</f>
        <v/>
      </c>
      <c r="N1398" s="7" t="n"/>
      <c r="O1398" s="7" t="n"/>
      <c r="P1398" s="7">
        <f>IF($B1398="","",O1398*X1398/100)</f>
        <v/>
      </c>
      <c r="Q1398" s="7">
        <f>IF($B1398="","",O1398-P1398)</f>
        <v/>
      </c>
      <c r="R1398" s="7">
        <f>IF($B1398="","",Q1398-J1398)</f>
        <v/>
      </c>
      <c r="S1398" s="7" t="n"/>
      <c r="T1398" s="7" t="n"/>
      <c r="V1398" s="14" t="n"/>
      <c r="Z1398">
        <f>IF($B1398="","",IF(COUNTIF($B$2:$B1398,$B1398)=1,1,0))</f>
        <v/>
      </c>
      <c r="AA1398">
        <f>IF($Z1398=1,SUMPRODUCT(--($AC$2:$AC$3001&lt;$AC1398))+1,"")</f>
        <v/>
      </c>
      <c r="AB1398">
        <f>IF($B1398="","",IF(OR($Y1398=TRUE(),$Y1398="TRUE"),1,IF(AND($Y1398&lt;&gt;"",OR($Y1398=FALSE(),$Y1398="FALSE")),0,IF(MIN(ABS($X1398/100-Settings!$C$6),ABS($X1398/100-Settings!$G$6))&lt;=MIN(ABS($X1398/100-Settings!$C$7),ABS($X1398/100-Settings!$G$7)),1,0))))</f>
        <v/>
      </c>
      <c r="AC1398">
        <f>IF($Z1398=1,IFERROR(IF(VALUE($B1398)&lt;100000000,VALUE($B1398),1000000000),IFERROR(IF(VALUE(MID($B1398,2,20))&lt;100000000,VALUE(MID($B1398,2,20)),1000000000),1000000000))+ROW()/100000,"")</f>
        <v/>
      </c>
    </row>
    <row r="1399">
      <c r="A1399">
        <f>IF($B1399="","",IFERROR(IF(INDEX('Per Invoice'!$A$2:$A$801,MATCH($B1399,'Per Invoice'!$B$2:$B$801,0))=0,"",INDEX('Per Invoice'!$A$2:$A$801,MATCH($B1399,'Per Invoice'!$B$2:$B$801,0))),""))</f>
        <v/>
      </c>
      <c r="J1399" s="7">
        <f>IF($B1399="","",I1399*Q1399/100)</f>
        <v/>
      </c>
      <c r="N1399" s="7" t="n"/>
      <c r="O1399" s="7" t="n"/>
      <c r="P1399" s="7">
        <f>IF($B1399="","",O1399*X1399/100)</f>
        <v/>
      </c>
      <c r="Q1399" s="7">
        <f>IF($B1399="","",O1399-P1399)</f>
        <v/>
      </c>
      <c r="R1399" s="7">
        <f>IF($B1399="","",Q1399-J1399)</f>
        <v/>
      </c>
      <c r="S1399" s="7" t="n"/>
      <c r="T1399" s="7" t="n"/>
      <c r="V1399" s="14" t="n"/>
      <c r="Z1399">
        <f>IF($B1399="","",IF(COUNTIF($B$2:$B1399,$B1399)=1,1,0))</f>
        <v/>
      </c>
      <c r="AA1399">
        <f>IF($Z1399=1,SUMPRODUCT(--($AC$2:$AC$3001&lt;$AC1399))+1,"")</f>
        <v/>
      </c>
      <c r="AB1399">
        <f>IF($B1399="","",IF(OR($Y1399=TRUE(),$Y1399="TRUE"),1,IF(AND($Y1399&lt;&gt;"",OR($Y1399=FALSE(),$Y1399="FALSE")),0,IF(MIN(ABS($X1399/100-Settings!$C$6),ABS($X1399/100-Settings!$G$6))&lt;=MIN(ABS($X1399/100-Settings!$C$7),ABS($X1399/100-Settings!$G$7)),1,0))))</f>
        <v/>
      </c>
      <c r="AC1399">
        <f>IF($Z1399=1,IFERROR(IF(VALUE($B1399)&lt;100000000,VALUE($B1399),1000000000),IFERROR(IF(VALUE(MID($B1399,2,20))&lt;100000000,VALUE(MID($B1399,2,20)),1000000000),1000000000))+ROW()/100000,"")</f>
        <v/>
      </c>
    </row>
    <row r="1400">
      <c r="A1400">
        <f>IF($B1400="","",IFERROR(IF(INDEX('Per Invoice'!$A$2:$A$801,MATCH($B1400,'Per Invoice'!$B$2:$B$801,0))=0,"",INDEX('Per Invoice'!$A$2:$A$801,MATCH($B1400,'Per Invoice'!$B$2:$B$801,0))),""))</f>
        <v/>
      </c>
      <c r="J1400" s="7">
        <f>IF($B1400="","",I1400*Q1400/100)</f>
        <v/>
      </c>
      <c r="N1400" s="7" t="n"/>
      <c r="O1400" s="7" t="n"/>
      <c r="P1400" s="7">
        <f>IF($B1400="","",O1400*X1400/100)</f>
        <v/>
      </c>
      <c r="Q1400" s="7">
        <f>IF($B1400="","",O1400-P1400)</f>
        <v/>
      </c>
      <c r="R1400" s="7">
        <f>IF($B1400="","",Q1400-J1400)</f>
        <v/>
      </c>
      <c r="S1400" s="7" t="n"/>
      <c r="T1400" s="7" t="n"/>
      <c r="V1400" s="14" t="n"/>
      <c r="Z1400">
        <f>IF($B1400="","",IF(COUNTIF($B$2:$B1400,$B1400)=1,1,0))</f>
        <v/>
      </c>
      <c r="AA1400">
        <f>IF($Z1400=1,SUMPRODUCT(--($AC$2:$AC$3001&lt;$AC1400))+1,"")</f>
        <v/>
      </c>
      <c r="AB1400">
        <f>IF($B1400="","",IF(OR($Y1400=TRUE(),$Y1400="TRUE"),1,IF(AND($Y1400&lt;&gt;"",OR($Y1400=FALSE(),$Y1400="FALSE")),0,IF(MIN(ABS($X1400/100-Settings!$C$6),ABS($X1400/100-Settings!$G$6))&lt;=MIN(ABS($X1400/100-Settings!$C$7),ABS($X1400/100-Settings!$G$7)),1,0))))</f>
        <v/>
      </c>
      <c r="AC1400">
        <f>IF($Z1400=1,IFERROR(IF(VALUE($B1400)&lt;100000000,VALUE($B1400),1000000000),IFERROR(IF(VALUE(MID($B1400,2,20))&lt;100000000,VALUE(MID($B1400,2,20)),1000000000),1000000000))+ROW()/100000,"")</f>
        <v/>
      </c>
    </row>
    <row r="1401">
      <c r="A1401">
        <f>IF($B1401="","",IFERROR(IF(INDEX('Per Invoice'!$A$2:$A$801,MATCH($B1401,'Per Invoice'!$B$2:$B$801,0))=0,"",INDEX('Per Invoice'!$A$2:$A$801,MATCH($B1401,'Per Invoice'!$B$2:$B$801,0))),""))</f>
        <v/>
      </c>
      <c r="J1401" s="7">
        <f>IF($B1401="","",I1401*Q1401/100)</f>
        <v/>
      </c>
      <c r="N1401" s="7" t="n"/>
      <c r="O1401" s="7" t="n"/>
      <c r="P1401" s="7">
        <f>IF($B1401="","",O1401*X1401/100)</f>
        <v/>
      </c>
      <c r="Q1401" s="7">
        <f>IF($B1401="","",O1401-P1401)</f>
        <v/>
      </c>
      <c r="R1401" s="7">
        <f>IF($B1401="","",Q1401-J1401)</f>
        <v/>
      </c>
      <c r="S1401" s="7" t="n"/>
      <c r="T1401" s="7" t="n"/>
      <c r="V1401" s="14" t="n"/>
      <c r="Z1401">
        <f>IF($B1401="","",IF(COUNTIF($B$2:$B1401,$B1401)=1,1,0))</f>
        <v/>
      </c>
      <c r="AA1401">
        <f>IF($Z1401=1,SUMPRODUCT(--($AC$2:$AC$3001&lt;$AC1401))+1,"")</f>
        <v/>
      </c>
      <c r="AB1401">
        <f>IF($B1401="","",IF(OR($Y1401=TRUE(),$Y1401="TRUE"),1,IF(AND($Y1401&lt;&gt;"",OR($Y1401=FALSE(),$Y1401="FALSE")),0,IF(MIN(ABS($X1401/100-Settings!$C$6),ABS($X1401/100-Settings!$G$6))&lt;=MIN(ABS($X1401/100-Settings!$C$7),ABS($X1401/100-Settings!$G$7)),1,0))))</f>
        <v/>
      </c>
      <c r="AC1401">
        <f>IF($Z1401=1,IFERROR(IF(VALUE($B1401)&lt;100000000,VALUE($B1401),1000000000),IFERROR(IF(VALUE(MID($B1401,2,20))&lt;100000000,VALUE(MID($B1401,2,20)),1000000000),1000000000))+ROW()/100000,"")</f>
        <v/>
      </c>
    </row>
    <row r="1402">
      <c r="A1402">
        <f>IF($B1402="","",IFERROR(IF(INDEX('Per Invoice'!$A$2:$A$801,MATCH($B1402,'Per Invoice'!$B$2:$B$801,0))=0,"",INDEX('Per Invoice'!$A$2:$A$801,MATCH($B1402,'Per Invoice'!$B$2:$B$801,0))),""))</f>
        <v/>
      </c>
      <c r="J1402" s="7">
        <f>IF($B1402="","",I1402*Q1402/100)</f>
        <v/>
      </c>
      <c r="N1402" s="7" t="n"/>
      <c r="O1402" s="7" t="n"/>
      <c r="P1402" s="7">
        <f>IF($B1402="","",O1402*X1402/100)</f>
        <v/>
      </c>
      <c r="Q1402" s="7">
        <f>IF($B1402="","",O1402-P1402)</f>
        <v/>
      </c>
      <c r="R1402" s="7">
        <f>IF($B1402="","",Q1402-J1402)</f>
        <v/>
      </c>
      <c r="S1402" s="7" t="n"/>
      <c r="T1402" s="7" t="n"/>
      <c r="V1402" s="14" t="n"/>
      <c r="Z1402">
        <f>IF($B1402="","",IF(COUNTIF($B$2:$B1402,$B1402)=1,1,0))</f>
        <v/>
      </c>
      <c r="AA1402">
        <f>IF($Z1402=1,SUMPRODUCT(--($AC$2:$AC$3001&lt;$AC1402))+1,"")</f>
        <v/>
      </c>
      <c r="AB1402">
        <f>IF($B1402="","",IF(OR($Y1402=TRUE(),$Y1402="TRUE"),1,IF(AND($Y1402&lt;&gt;"",OR($Y1402=FALSE(),$Y1402="FALSE")),0,IF(MIN(ABS($X1402/100-Settings!$C$6),ABS($X1402/100-Settings!$G$6))&lt;=MIN(ABS($X1402/100-Settings!$C$7),ABS($X1402/100-Settings!$G$7)),1,0))))</f>
        <v/>
      </c>
      <c r="AC1402">
        <f>IF($Z1402=1,IFERROR(IF(VALUE($B1402)&lt;100000000,VALUE($B1402),1000000000),IFERROR(IF(VALUE(MID($B1402,2,20))&lt;100000000,VALUE(MID($B1402,2,20)),1000000000),1000000000))+ROW()/100000,"")</f>
        <v/>
      </c>
    </row>
    <row r="1403">
      <c r="A1403">
        <f>IF($B1403="","",IFERROR(IF(INDEX('Per Invoice'!$A$2:$A$801,MATCH($B1403,'Per Invoice'!$B$2:$B$801,0))=0,"",INDEX('Per Invoice'!$A$2:$A$801,MATCH($B1403,'Per Invoice'!$B$2:$B$801,0))),""))</f>
        <v/>
      </c>
      <c r="J1403" s="7">
        <f>IF($B1403="","",I1403*Q1403/100)</f>
        <v/>
      </c>
      <c r="N1403" s="7" t="n"/>
      <c r="O1403" s="7" t="n"/>
      <c r="P1403" s="7">
        <f>IF($B1403="","",O1403*X1403/100)</f>
        <v/>
      </c>
      <c r="Q1403" s="7">
        <f>IF($B1403="","",O1403-P1403)</f>
        <v/>
      </c>
      <c r="R1403" s="7">
        <f>IF($B1403="","",Q1403-J1403)</f>
        <v/>
      </c>
      <c r="S1403" s="7" t="n"/>
      <c r="T1403" s="7" t="n"/>
      <c r="V1403" s="14" t="n"/>
      <c r="Z1403">
        <f>IF($B1403="","",IF(COUNTIF($B$2:$B1403,$B1403)=1,1,0))</f>
        <v/>
      </c>
      <c r="AA1403">
        <f>IF($Z1403=1,SUMPRODUCT(--($AC$2:$AC$3001&lt;$AC1403))+1,"")</f>
        <v/>
      </c>
      <c r="AB1403">
        <f>IF($B1403="","",IF(OR($Y1403=TRUE(),$Y1403="TRUE"),1,IF(AND($Y1403&lt;&gt;"",OR($Y1403=FALSE(),$Y1403="FALSE")),0,IF(MIN(ABS($X1403/100-Settings!$C$6),ABS($X1403/100-Settings!$G$6))&lt;=MIN(ABS($X1403/100-Settings!$C$7),ABS($X1403/100-Settings!$G$7)),1,0))))</f>
        <v/>
      </c>
      <c r="AC1403">
        <f>IF($Z1403=1,IFERROR(IF(VALUE($B1403)&lt;100000000,VALUE($B1403),1000000000),IFERROR(IF(VALUE(MID($B1403,2,20))&lt;100000000,VALUE(MID($B1403,2,20)),1000000000),1000000000))+ROW()/100000,"")</f>
        <v/>
      </c>
    </row>
    <row r="1404">
      <c r="A1404">
        <f>IF($B1404="","",IFERROR(IF(INDEX('Per Invoice'!$A$2:$A$801,MATCH($B1404,'Per Invoice'!$B$2:$B$801,0))=0,"",INDEX('Per Invoice'!$A$2:$A$801,MATCH($B1404,'Per Invoice'!$B$2:$B$801,0))),""))</f>
        <v/>
      </c>
      <c r="J1404" s="7">
        <f>IF($B1404="","",I1404*Q1404/100)</f>
        <v/>
      </c>
      <c r="N1404" s="7" t="n"/>
      <c r="O1404" s="7" t="n"/>
      <c r="P1404" s="7">
        <f>IF($B1404="","",O1404*X1404/100)</f>
        <v/>
      </c>
      <c r="Q1404" s="7">
        <f>IF($B1404="","",O1404-P1404)</f>
        <v/>
      </c>
      <c r="R1404" s="7">
        <f>IF($B1404="","",Q1404-J1404)</f>
        <v/>
      </c>
      <c r="S1404" s="7" t="n"/>
      <c r="T1404" s="7" t="n"/>
      <c r="V1404" s="14" t="n"/>
      <c r="Z1404">
        <f>IF($B1404="","",IF(COUNTIF($B$2:$B1404,$B1404)=1,1,0))</f>
        <v/>
      </c>
      <c r="AA1404">
        <f>IF($Z1404=1,SUMPRODUCT(--($AC$2:$AC$3001&lt;$AC1404))+1,"")</f>
        <v/>
      </c>
      <c r="AB1404">
        <f>IF($B1404="","",IF(OR($Y1404=TRUE(),$Y1404="TRUE"),1,IF(AND($Y1404&lt;&gt;"",OR($Y1404=FALSE(),$Y1404="FALSE")),0,IF(MIN(ABS($X1404/100-Settings!$C$6),ABS($X1404/100-Settings!$G$6))&lt;=MIN(ABS($X1404/100-Settings!$C$7),ABS($X1404/100-Settings!$G$7)),1,0))))</f>
        <v/>
      </c>
      <c r="AC1404">
        <f>IF($Z1404=1,IFERROR(IF(VALUE($B1404)&lt;100000000,VALUE($B1404),1000000000),IFERROR(IF(VALUE(MID($B1404,2,20))&lt;100000000,VALUE(MID($B1404,2,20)),1000000000),1000000000))+ROW()/100000,"")</f>
        <v/>
      </c>
    </row>
    <row r="1405">
      <c r="A1405">
        <f>IF($B1405="","",IFERROR(IF(INDEX('Per Invoice'!$A$2:$A$801,MATCH($B1405,'Per Invoice'!$B$2:$B$801,0))=0,"",INDEX('Per Invoice'!$A$2:$A$801,MATCH($B1405,'Per Invoice'!$B$2:$B$801,0))),""))</f>
        <v/>
      </c>
      <c r="J1405" s="7">
        <f>IF($B1405="","",I1405*Q1405/100)</f>
        <v/>
      </c>
      <c r="N1405" s="7" t="n"/>
      <c r="O1405" s="7" t="n"/>
      <c r="P1405" s="7">
        <f>IF($B1405="","",O1405*X1405/100)</f>
        <v/>
      </c>
      <c r="Q1405" s="7">
        <f>IF($B1405="","",O1405-P1405)</f>
        <v/>
      </c>
      <c r="R1405" s="7">
        <f>IF($B1405="","",Q1405-J1405)</f>
        <v/>
      </c>
      <c r="S1405" s="7" t="n"/>
      <c r="T1405" s="7" t="n"/>
      <c r="V1405" s="14" t="n"/>
      <c r="Z1405">
        <f>IF($B1405="","",IF(COUNTIF($B$2:$B1405,$B1405)=1,1,0))</f>
        <v/>
      </c>
      <c r="AA1405">
        <f>IF($Z1405=1,SUMPRODUCT(--($AC$2:$AC$3001&lt;$AC1405))+1,"")</f>
        <v/>
      </c>
      <c r="AB1405">
        <f>IF($B1405="","",IF(OR($Y1405=TRUE(),$Y1405="TRUE"),1,IF(AND($Y1405&lt;&gt;"",OR($Y1405=FALSE(),$Y1405="FALSE")),0,IF(MIN(ABS($X1405/100-Settings!$C$6),ABS($X1405/100-Settings!$G$6))&lt;=MIN(ABS($X1405/100-Settings!$C$7),ABS($X1405/100-Settings!$G$7)),1,0))))</f>
        <v/>
      </c>
      <c r="AC1405">
        <f>IF($Z1405=1,IFERROR(IF(VALUE($B1405)&lt;100000000,VALUE($B1405),1000000000),IFERROR(IF(VALUE(MID($B1405,2,20))&lt;100000000,VALUE(MID($B1405,2,20)),1000000000),1000000000))+ROW()/100000,"")</f>
        <v/>
      </c>
    </row>
    <row r="1406">
      <c r="A1406">
        <f>IF($B1406="","",IFERROR(IF(INDEX('Per Invoice'!$A$2:$A$801,MATCH($B1406,'Per Invoice'!$B$2:$B$801,0))=0,"",INDEX('Per Invoice'!$A$2:$A$801,MATCH($B1406,'Per Invoice'!$B$2:$B$801,0))),""))</f>
        <v/>
      </c>
      <c r="J1406" s="7">
        <f>IF($B1406="","",I1406*Q1406/100)</f>
        <v/>
      </c>
      <c r="N1406" s="7" t="n"/>
      <c r="O1406" s="7" t="n"/>
      <c r="P1406" s="7">
        <f>IF($B1406="","",O1406*X1406/100)</f>
        <v/>
      </c>
      <c r="Q1406" s="7">
        <f>IF($B1406="","",O1406-P1406)</f>
        <v/>
      </c>
      <c r="R1406" s="7">
        <f>IF($B1406="","",Q1406-J1406)</f>
        <v/>
      </c>
      <c r="S1406" s="7" t="n"/>
      <c r="T1406" s="7" t="n"/>
      <c r="V1406" s="14" t="n"/>
      <c r="Z1406">
        <f>IF($B1406="","",IF(COUNTIF($B$2:$B1406,$B1406)=1,1,0))</f>
        <v/>
      </c>
      <c r="AA1406">
        <f>IF($Z1406=1,SUMPRODUCT(--($AC$2:$AC$3001&lt;$AC1406))+1,"")</f>
        <v/>
      </c>
      <c r="AB1406">
        <f>IF($B1406="","",IF(OR($Y1406=TRUE(),$Y1406="TRUE"),1,IF(AND($Y1406&lt;&gt;"",OR($Y1406=FALSE(),$Y1406="FALSE")),0,IF(MIN(ABS($X1406/100-Settings!$C$6),ABS($X1406/100-Settings!$G$6))&lt;=MIN(ABS($X1406/100-Settings!$C$7),ABS($X1406/100-Settings!$G$7)),1,0))))</f>
        <v/>
      </c>
      <c r="AC1406">
        <f>IF($Z1406=1,IFERROR(IF(VALUE($B1406)&lt;100000000,VALUE($B1406),1000000000),IFERROR(IF(VALUE(MID($B1406,2,20))&lt;100000000,VALUE(MID($B1406,2,20)),1000000000),1000000000))+ROW()/100000,"")</f>
        <v/>
      </c>
    </row>
    <row r="1407">
      <c r="A1407">
        <f>IF($B1407="","",IFERROR(IF(INDEX('Per Invoice'!$A$2:$A$801,MATCH($B1407,'Per Invoice'!$B$2:$B$801,0))=0,"",INDEX('Per Invoice'!$A$2:$A$801,MATCH($B1407,'Per Invoice'!$B$2:$B$801,0))),""))</f>
        <v/>
      </c>
      <c r="J1407" s="7">
        <f>IF($B1407="","",I1407*Q1407/100)</f>
        <v/>
      </c>
      <c r="N1407" s="7" t="n"/>
      <c r="O1407" s="7" t="n"/>
      <c r="P1407" s="7">
        <f>IF($B1407="","",O1407*X1407/100)</f>
        <v/>
      </c>
      <c r="Q1407" s="7">
        <f>IF($B1407="","",O1407-P1407)</f>
        <v/>
      </c>
      <c r="R1407" s="7">
        <f>IF($B1407="","",Q1407-J1407)</f>
        <v/>
      </c>
      <c r="S1407" s="7" t="n"/>
      <c r="T1407" s="7" t="n"/>
      <c r="V1407" s="14" t="n"/>
      <c r="Z1407">
        <f>IF($B1407="","",IF(COUNTIF($B$2:$B1407,$B1407)=1,1,0))</f>
        <v/>
      </c>
      <c r="AA1407">
        <f>IF($Z1407=1,SUMPRODUCT(--($AC$2:$AC$3001&lt;$AC1407))+1,"")</f>
        <v/>
      </c>
      <c r="AB1407">
        <f>IF($B1407="","",IF(OR($Y1407=TRUE(),$Y1407="TRUE"),1,IF(AND($Y1407&lt;&gt;"",OR($Y1407=FALSE(),$Y1407="FALSE")),0,IF(MIN(ABS($X1407/100-Settings!$C$6),ABS($X1407/100-Settings!$G$6))&lt;=MIN(ABS($X1407/100-Settings!$C$7),ABS($X1407/100-Settings!$G$7)),1,0))))</f>
        <v/>
      </c>
      <c r="AC1407">
        <f>IF($Z1407=1,IFERROR(IF(VALUE($B1407)&lt;100000000,VALUE($B1407),1000000000),IFERROR(IF(VALUE(MID($B1407,2,20))&lt;100000000,VALUE(MID($B1407,2,20)),1000000000),1000000000))+ROW()/100000,"")</f>
        <v/>
      </c>
    </row>
    <row r="1408">
      <c r="A1408">
        <f>IF($B1408="","",IFERROR(IF(INDEX('Per Invoice'!$A$2:$A$801,MATCH($B1408,'Per Invoice'!$B$2:$B$801,0))=0,"",INDEX('Per Invoice'!$A$2:$A$801,MATCH($B1408,'Per Invoice'!$B$2:$B$801,0))),""))</f>
        <v/>
      </c>
      <c r="J1408" s="7">
        <f>IF($B1408="","",I1408*Q1408/100)</f>
        <v/>
      </c>
      <c r="N1408" s="7" t="n"/>
      <c r="O1408" s="7" t="n"/>
      <c r="P1408" s="7">
        <f>IF($B1408="","",O1408*X1408/100)</f>
        <v/>
      </c>
      <c r="Q1408" s="7">
        <f>IF($B1408="","",O1408-P1408)</f>
        <v/>
      </c>
      <c r="R1408" s="7">
        <f>IF($B1408="","",Q1408-J1408)</f>
        <v/>
      </c>
      <c r="S1408" s="7" t="n"/>
      <c r="T1408" s="7" t="n"/>
      <c r="V1408" s="14" t="n"/>
      <c r="Z1408">
        <f>IF($B1408="","",IF(COUNTIF($B$2:$B1408,$B1408)=1,1,0))</f>
        <v/>
      </c>
      <c r="AA1408">
        <f>IF($Z1408=1,SUMPRODUCT(--($AC$2:$AC$3001&lt;$AC1408))+1,"")</f>
        <v/>
      </c>
      <c r="AB1408">
        <f>IF($B1408="","",IF(OR($Y1408=TRUE(),$Y1408="TRUE"),1,IF(AND($Y1408&lt;&gt;"",OR($Y1408=FALSE(),$Y1408="FALSE")),0,IF(MIN(ABS($X1408/100-Settings!$C$6),ABS($X1408/100-Settings!$G$6))&lt;=MIN(ABS($X1408/100-Settings!$C$7),ABS($X1408/100-Settings!$G$7)),1,0))))</f>
        <v/>
      </c>
      <c r="AC1408">
        <f>IF($Z1408=1,IFERROR(IF(VALUE($B1408)&lt;100000000,VALUE($B1408),1000000000),IFERROR(IF(VALUE(MID($B1408,2,20))&lt;100000000,VALUE(MID($B1408,2,20)),1000000000),1000000000))+ROW()/100000,"")</f>
        <v/>
      </c>
    </row>
    <row r="1409">
      <c r="A1409">
        <f>IF($B1409="","",IFERROR(IF(INDEX('Per Invoice'!$A$2:$A$801,MATCH($B1409,'Per Invoice'!$B$2:$B$801,0))=0,"",INDEX('Per Invoice'!$A$2:$A$801,MATCH($B1409,'Per Invoice'!$B$2:$B$801,0))),""))</f>
        <v/>
      </c>
      <c r="J1409" s="7">
        <f>IF($B1409="","",I1409*Q1409/100)</f>
        <v/>
      </c>
      <c r="N1409" s="7" t="n"/>
      <c r="O1409" s="7" t="n"/>
      <c r="P1409" s="7">
        <f>IF($B1409="","",O1409*X1409/100)</f>
        <v/>
      </c>
      <c r="Q1409" s="7">
        <f>IF($B1409="","",O1409-P1409)</f>
        <v/>
      </c>
      <c r="R1409" s="7">
        <f>IF($B1409="","",Q1409-J1409)</f>
        <v/>
      </c>
      <c r="S1409" s="7" t="n"/>
      <c r="T1409" s="7" t="n"/>
      <c r="V1409" s="14" t="n"/>
      <c r="Z1409">
        <f>IF($B1409="","",IF(COUNTIF($B$2:$B1409,$B1409)=1,1,0))</f>
        <v/>
      </c>
      <c r="AA1409">
        <f>IF($Z1409=1,SUMPRODUCT(--($AC$2:$AC$3001&lt;$AC1409))+1,"")</f>
        <v/>
      </c>
      <c r="AB1409">
        <f>IF($B1409="","",IF(OR($Y1409=TRUE(),$Y1409="TRUE"),1,IF(AND($Y1409&lt;&gt;"",OR($Y1409=FALSE(),$Y1409="FALSE")),0,IF(MIN(ABS($X1409/100-Settings!$C$6),ABS($X1409/100-Settings!$G$6))&lt;=MIN(ABS($X1409/100-Settings!$C$7),ABS($X1409/100-Settings!$G$7)),1,0))))</f>
        <v/>
      </c>
      <c r="AC1409">
        <f>IF($Z1409=1,IFERROR(IF(VALUE($B1409)&lt;100000000,VALUE($B1409),1000000000),IFERROR(IF(VALUE(MID($B1409,2,20))&lt;100000000,VALUE(MID($B1409,2,20)),1000000000),1000000000))+ROW()/100000,"")</f>
        <v/>
      </c>
    </row>
    <row r="1410">
      <c r="A1410">
        <f>IF($B1410="","",IFERROR(IF(INDEX('Per Invoice'!$A$2:$A$801,MATCH($B1410,'Per Invoice'!$B$2:$B$801,0))=0,"",INDEX('Per Invoice'!$A$2:$A$801,MATCH($B1410,'Per Invoice'!$B$2:$B$801,0))),""))</f>
        <v/>
      </c>
      <c r="J1410" s="7">
        <f>IF($B1410="","",I1410*Q1410/100)</f>
        <v/>
      </c>
      <c r="N1410" s="7" t="n"/>
      <c r="O1410" s="7" t="n"/>
      <c r="P1410" s="7">
        <f>IF($B1410="","",O1410*X1410/100)</f>
        <v/>
      </c>
      <c r="Q1410" s="7">
        <f>IF($B1410="","",O1410-P1410)</f>
        <v/>
      </c>
      <c r="R1410" s="7">
        <f>IF($B1410="","",Q1410-J1410)</f>
        <v/>
      </c>
      <c r="S1410" s="7" t="n"/>
      <c r="T1410" s="7" t="n"/>
      <c r="V1410" s="14" t="n"/>
      <c r="Z1410">
        <f>IF($B1410="","",IF(COUNTIF($B$2:$B1410,$B1410)=1,1,0))</f>
        <v/>
      </c>
      <c r="AA1410">
        <f>IF($Z1410=1,SUMPRODUCT(--($AC$2:$AC$3001&lt;$AC1410))+1,"")</f>
        <v/>
      </c>
      <c r="AB1410">
        <f>IF($B1410="","",IF(OR($Y1410=TRUE(),$Y1410="TRUE"),1,IF(AND($Y1410&lt;&gt;"",OR($Y1410=FALSE(),$Y1410="FALSE")),0,IF(MIN(ABS($X1410/100-Settings!$C$6),ABS($X1410/100-Settings!$G$6))&lt;=MIN(ABS($X1410/100-Settings!$C$7),ABS($X1410/100-Settings!$G$7)),1,0))))</f>
        <v/>
      </c>
      <c r="AC1410">
        <f>IF($Z1410=1,IFERROR(IF(VALUE($B1410)&lt;100000000,VALUE($B1410),1000000000),IFERROR(IF(VALUE(MID($B1410,2,20))&lt;100000000,VALUE(MID($B1410,2,20)),1000000000),1000000000))+ROW()/100000,"")</f>
        <v/>
      </c>
    </row>
    <row r="1411">
      <c r="A1411">
        <f>IF($B1411="","",IFERROR(IF(INDEX('Per Invoice'!$A$2:$A$801,MATCH($B1411,'Per Invoice'!$B$2:$B$801,0))=0,"",INDEX('Per Invoice'!$A$2:$A$801,MATCH($B1411,'Per Invoice'!$B$2:$B$801,0))),""))</f>
        <v/>
      </c>
      <c r="J1411" s="7">
        <f>IF($B1411="","",I1411*Q1411/100)</f>
        <v/>
      </c>
      <c r="N1411" s="7" t="n"/>
      <c r="O1411" s="7" t="n"/>
      <c r="P1411" s="7">
        <f>IF($B1411="","",O1411*X1411/100)</f>
        <v/>
      </c>
      <c r="Q1411" s="7">
        <f>IF($B1411="","",O1411-P1411)</f>
        <v/>
      </c>
      <c r="R1411" s="7">
        <f>IF($B1411="","",Q1411-J1411)</f>
        <v/>
      </c>
      <c r="S1411" s="7" t="n"/>
      <c r="T1411" s="7" t="n"/>
      <c r="V1411" s="14" t="n"/>
      <c r="Z1411">
        <f>IF($B1411="","",IF(COUNTIF($B$2:$B1411,$B1411)=1,1,0))</f>
        <v/>
      </c>
      <c r="AA1411">
        <f>IF($Z1411=1,SUMPRODUCT(--($AC$2:$AC$3001&lt;$AC1411))+1,"")</f>
        <v/>
      </c>
      <c r="AB1411">
        <f>IF($B1411="","",IF(OR($Y1411=TRUE(),$Y1411="TRUE"),1,IF(AND($Y1411&lt;&gt;"",OR($Y1411=FALSE(),$Y1411="FALSE")),0,IF(MIN(ABS($X1411/100-Settings!$C$6),ABS($X1411/100-Settings!$G$6))&lt;=MIN(ABS($X1411/100-Settings!$C$7),ABS($X1411/100-Settings!$G$7)),1,0))))</f>
        <v/>
      </c>
      <c r="AC1411">
        <f>IF($Z1411=1,IFERROR(IF(VALUE($B1411)&lt;100000000,VALUE($B1411),1000000000),IFERROR(IF(VALUE(MID($B1411,2,20))&lt;100000000,VALUE(MID($B1411,2,20)),1000000000),1000000000))+ROW()/100000,"")</f>
        <v/>
      </c>
    </row>
    <row r="1412">
      <c r="A1412">
        <f>IF($B1412="","",IFERROR(IF(INDEX('Per Invoice'!$A$2:$A$801,MATCH($B1412,'Per Invoice'!$B$2:$B$801,0))=0,"",INDEX('Per Invoice'!$A$2:$A$801,MATCH($B1412,'Per Invoice'!$B$2:$B$801,0))),""))</f>
        <v/>
      </c>
      <c r="J1412" s="7">
        <f>IF($B1412="","",I1412*Q1412/100)</f>
        <v/>
      </c>
      <c r="N1412" s="7" t="n"/>
      <c r="O1412" s="7" t="n"/>
      <c r="P1412" s="7">
        <f>IF($B1412="","",O1412*X1412/100)</f>
        <v/>
      </c>
      <c r="Q1412" s="7">
        <f>IF($B1412="","",O1412-P1412)</f>
        <v/>
      </c>
      <c r="R1412" s="7">
        <f>IF($B1412="","",Q1412-J1412)</f>
        <v/>
      </c>
      <c r="S1412" s="7" t="n"/>
      <c r="T1412" s="7" t="n"/>
      <c r="V1412" s="14" t="n"/>
      <c r="Z1412">
        <f>IF($B1412="","",IF(COUNTIF($B$2:$B1412,$B1412)=1,1,0))</f>
        <v/>
      </c>
      <c r="AA1412">
        <f>IF($Z1412=1,SUMPRODUCT(--($AC$2:$AC$3001&lt;$AC1412))+1,"")</f>
        <v/>
      </c>
      <c r="AB1412">
        <f>IF($B1412="","",IF(OR($Y1412=TRUE(),$Y1412="TRUE"),1,IF(AND($Y1412&lt;&gt;"",OR($Y1412=FALSE(),$Y1412="FALSE")),0,IF(MIN(ABS($X1412/100-Settings!$C$6),ABS($X1412/100-Settings!$G$6))&lt;=MIN(ABS($X1412/100-Settings!$C$7),ABS($X1412/100-Settings!$G$7)),1,0))))</f>
        <v/>
      </c>
      <c r="AC1412">
        <f>IF($Z1412=1,IFERROR(IF(VALUE($B1412)&lt;100000000,VALUE($B1412),1000000000),IFERROR(IF(VALUE(MID($B1412,2,20))&lt;100000000,VALUE(MID($B1412,2,20)),1000000000),1000000000))+ROW()/100000,"")</f>
        <v/>
      </c>
    </row>
    <row r="1413">
      <c r="A1413">
        <f>IF($B1413="","",IFERROR(IF(INDEX('Per Invoice'!$A$2:$A$801,MATCH($B1413,'Per Invoice'!$B$2:$B$801,0))=0,"",INDEX('Per Invoice'!$A$2:$A$801,MATCH($B1413,'Per Invoice'!$B$2:$B$801,0))),""))</f>
        <v/>
      </c>
      <c r="J1413" s="7">
        <f>IF($B1413="","",I1413*Q1413/100)</f>
        <v/>
      </c>
      <c r="N1413" s="7" t="n"/>
      <c r="O1413" s="7" t="n"/>
      <c r="P1413" s="7">
        <f>IF($B1413="","",O1413*X1413/100)</f>
        <v/>
      </c>
      <c r="Q1413" s="7">
        <f>IF($B1413="","",O1413-P1413)</f>
        <v/>
      </c>
      <c r="R1413" s="7">
        <f>IF($B1413="","",Q1413-J1413)</f>
        <v/>
      </c>
      <c r="S1413" s="7" t="n"/>
      <c r="T1413" s="7" t="n"/>
      <c r="V1413" s="14" t="n"/>
      <c r="Z1413">
        <f>IF($B1413="","",IF(COUNTIF($B$2:$B1413,$B1413)=1,1,0))</f>
        <v/>
      </c>
      <c r="AA1413">
        <f>IF($Z1413=1,SUMPRODUCT(--($AC$2:$AC$3001&lt;$AC1413))+1,"")</f>
        <v/>
      </c>
      <c r="AB1413">
        <f>IF($B1413="","",IF(OR($Y1413=TRUE(),$Y1413="TRUE"),1,IF(AND($Y1413&lt;&gt;"",OR($Y1413=FALSE(),$Y1413="FALSE")),0,IF(MIN(ABS($X1413/100-Settings!$C$6),ABS($X1413/100-Settings!$G$6))&lt;=MIN(ABS($X1413/100-Settings!$C$7),ABS($X1413/100-Settings!$G$7)),1,0))))</f>
        <v/>
      </c>
      <c r="AC1413">
        <f>IF($Z1413=1,IFERROR(IF(VALUE($B1413)&lt;100000000,VALUE($B1413),1000000000),IFERROR(IF(VALUE(MID($B1413,2,20))&lt;100000000,VALUE(MID($B1413,2,20)),1000000000),1000000000))+ROW()/100000,"")</f>
        <v/>
      </c>
    </row>
    <row r="1414">
      <c r="A1414">
        <f>IF($B1414="","",IFERROR(IF(INDEX('Per Invoice'!$A$2:$A$801,MATCH($B1414,'Per Invoice'!$B$2:$B$801,0))=0,"",INDEX('Per Invoice'!$A$2:$A$801,MATCH($B1414,'Per Invoice'!$B$2:$B$801,0))),""))</f>
        <v/>
      </c>
      <c r="J1414" s="7">
        <f>IF($B1414="","",I1414*Q1414/100)</f>
        <v/>
      </c>
      <c r="N1414" s="7" t="n"/>
      <c r="O1414" s="7" t="n"/>
      <c r="P1414" s="7">
        <f>IF($B1414="","",O1414*X1414/100)</f>
        <v/>
      </c>
      <c r="Q1414" s="7">
        <f>IF($B1414="","",O1414-P1414)</f>
        <v/>
      </c>
      <c r="R1414" s="7">
        <f>IF($B1414="","",Q1414-J1414)</f>
        <v/>
      </c>
      <c r="S1414" s="7" t="n"/>
      <c r="T1414" s="7" t="n"/>
      <c r="V1414" s="14" t="n"/>
      <c r="Z1414">
        <f>IF($B1414="","",IF(COUNTIF($B$2:$B1414,$B1414)=1,1,0))</f>
        <v/>
      </c>
      <c r="AA1414">
        <f>IF($Z1414=1,SUMPRODUCT(--($AC$2:$AC$3001&lt;$AC1414))+1,"")</f>
        <v/>
      </c>
      <c r="AB1414">
        <f>IF($B1414="","",IF(OR($Y1414=TRUE(),$Y1414="TRUE"),1,IF(AND($Y1414&lt;&gt;"",OR($Y1414=FALSE(),$Y1414="FALSE")),0,IF(MIN(ABS($X1414/100-Settings!$C$6),ABS($X1414/100-Settings!$G$6))&lt;=MIN(ABS($X1414/100-Settings!$C$7),ABS($X1414/100-Settings!$G$7)),1,0))))</f>
        <v/>
      </c>
      <c r="AC1414">
        <f>IF($Z1414=1,IFERROR(IF(VALUE($B1414)&lt;100000000,VALUE($B1414),1000000000),IFERROR(IF(VALUE(MID($B1414,2,20))&lt;100000000,VALUE(MID($B1414,2,20)),1000000000),1000000000))+ROW()/100000,"")</f>
        <v/>
      </c>
    </row>
    <row r="1415">
      <c r="A1415">
        <f>IF($B1415="","",IFERROR(IF(INDEX('Per Invoice'!$A$2:$A$801,MATCH($B1415,'Per Invoice'!$B$2:$B$801,0))=0,"",INDEX('Per Invoice'!$A$2:$A$801,MATCH($B1415,'Per Invoice'!$B$2:$B$801,0))),""))</f>
        <v/>
      </c>
      <c r="J1415" s="7">
        <f>IF($B1415="","",I1415*Q1415/100)</f>
        <v/>
      </c>
      <c r="N1415" s="7" t="n"/>
      <c r="O1415" s="7" t="n"/>
      <c r="P1415" s="7">
        <f>IF($B1415="","",O1415*X1415/100)</f>
        <v/>
      </c>
      <c r="Q1415" s="7">
        <f>IF($B1415="","",O1415-P1415)</f>
        <v/>
      </c>
      <c r="R1415" s="7">
        <f>IF($B1415="","",Q1415-J1415)</f>
        <v/>
      </c>
      <c r="S1415" s="7" t="n"/>
      <c r="T1415" s="7" t="n"/>
      <c r="V1415" s="14" t="n"/>
      <c r="Z1415">
        <f>IF($B1415="","",IF(COUNTIF($B$2:$B1415,$B1415)=1,1,0))</f>
        <v/>
      </c>
      <c r="AA1415">
        <f>IF($Z1415=1,SUMPRODUCT(--($AC$2:$AC$3001&lt;$AC1415))+1,"")</f>
        <v/>
      </c>
      <c r="AB1415">
        <f>IF($B1415="","",IF(OR($Y1415=TRUE(),$Y1415="TRUE"),1,IF(AND($Y1415&lt;&gt;"",OR($Y1415=FALSE(),$Y1415="FALSE")),0,IF(MIN(ABS($X1415/100-Settings!$C$6),ABS($X1415/100-Settings!$G$6))&lt;=MIN(ABS($X1415/100-Settings!$C$7),ABS($X1415/100-Settings!$G$7)),1,0))))</f>
        <v/>
      </c>
      <c r="AC1415">
        <f>IF($Z1415=1,IFERROR(IF(VALUE($B1415)&lt;100000000,VALUE($B1415),1000000000),IFERROR(IF(VALUE(MID($B1415,2,20))&lt;100000000,VALUE(MID($B1415,2,20)),1000000000),1000000000))+ROW()/100000,"")</f>
        <v/>
      </c>
    </row>
    <row r="1416">
      <c r="A1416">
        <f>IF($B1416="","",IFERROR(IF(INDEX('Per Invoice'!$A$2:$A$801,MATCH($B1416,'Per Invoice'!$B$2:$B$801,0))=0,"",INDEX('Per Invoice'!$A$2:$A$801,MATCH($B1416,'Per Invoice'!$B$2:$B$801,0))),""))</f>
        <v/>
      </c>
      <c r="J1416" s="7">
        <f>IF($B1416="","",I1416*Q1416/100)</f>
        <v/>
      </c>
      <c r="N1416" s="7" t="n"/>
      <c r="O1416" s="7" t="n"/>
      <c r="P1416" s="7">
        <f>IF($B1416="","",O1416*X1416/100)</f>
        <v/>
      </c>
      <c r="Q1416" s="7">
        <f>IF($B1416="","",O1416-P1416)</f>
        <v/>
      </c>
      <c r="R1416" s="7">
        <f>IF($B1416="","",Q1416-J1416)</f>
        <v/>
      </c>
      <c r="S1416" s="7" t="n"/>
      <c r="T1416" s="7" t="n"/>
      <c r="V1416" s="14" t="n"/>
      <c r="Z1416">
        <f>IF($B1416="","",IF(COUNTIF($B$2:$B1416,$B1416)=1,1,0))</f>
        <v/>
      </c>
      <c r="AA1416">
        <f>IF($Z1416=1,SUMPRODUCT(--($AC$2:$AC$3001&lt;$AC1416))+1,"")</f>
        <v/>
      </c>
      <c r="AB1416">
        <f>IF($B1416="","",IF(OR($Y1416=TRUE(),$Y1416="TRUE"),1,IF(AND($Y1416&lt;&gt;"",OR($Y1416=FALSE(),$Y1416="FALSE")),0,IF(MIN(ABS($X1416/100-Settings!$C$6),ABS($X1416/100-Settings!$G$6))&lt;=MIN(ABS($X1416/100-Settings!$C$7),ABS($X1416/100-Settings!$G$7)),1,0))))</f>
        <v/>
      </c>
      <c r="AC1416">
        <f>IF($Z1416=1,IFERROR(IF(VALUE($B1416)&lt;100000000,VALUE($B1416),1000000000),IFERROR(IF(VALUE(MID($B1416,2,20))&lt;100000000,VALUE(MID($B1416,2,20)),1000000000),1000000000))+ROW()/100000,"")</f>
        <v/>
      </c>
    </row>
    <row r="1417">
      <c r="A1417">
        <f>IF($B1417="","",IFERROR(IF(INDEX('Per Invoice'!$A$2:$A$801,MATCH($B1417,'Per Invoice'!$B$2:$B$801,0))=0,"",INDEX('Per Invoice'!$A$2:$A$801,MATCH($B1417,'Per Invoice'!$B$2:$B$801,0))),""))</f>
        <v/>
      </c>
      <c r="J1417" s="7">
        <f>IF($B1417="","",I1417*Q1417/100)</f>
        <v/>
      </c>
      <c r="N1417" s="7" t="n"/>
      <c r="O1417" s="7" t="n"/>
      <c r="P1417" s="7">
        <f>IF($B1417="","",O1417*X1417/100)</f>
        <v/>
      </c>
      <c r="Q1417" s="7">
        <f>IF($B1417="","",O1417-P1417)</f>
        <v/>
      </c>
      <c r="R1417" s="7">
        <f>IF($B1417="","",Q1417-J1417)</f>
        <v/>
      </c>
      <c r="S1417" s="7" t="n"/>
      <c r="T1417" s="7" t="n"/>
      <c r="V1417" s="14" t="n"/>
      <c r="Z1417">
        <f>IF($B1417="","",IF(COUNTIF($B$2:$B1417,$B1417)=1,1,0))</f>
        <v/>
      </c>
      <c r="AA1417">
        <f>IF($Z1417=1,SUMPRODUCT(--($AC$2:$AC$3001&lt;$AC1417))+1,"")</f>
        <v/>
      </c>
      <c r="AB1417">
        <f>IF($B1417="","",IF(OR($Y1417=TRUE(),$Y1417="TRUE"),1,IF(AND($Y1417&lt;&gt;"",OR($Y1417=FALSE(),$Y1417="FALSE")),0,IF(MIN(ABS($X1417/100-Settings!$C$6),ABS($X1417/100-Settings!$G$6))&lt;=MIN(ABS($X1417/100-Settings!$C$7),ABS($X1417/100-Settings!$G$7)),1,0))))</f>
        <v/>
      </c>
      <c r="AC1417">
        <f>IF($Z1417=1,IFERROR(IF(VALUE($B1417)&lt;100000000,VALUE($B1417),1000000000),IFERROR(IF(VALUE(MID($B1417,2,20))&lt;100000000,VALUE(MID($B1417,2,20)),1000000000),1000000000))+ROW()/100000,"")</f>
        <v/>
      </c>
    </row>
    <row r="1418">
      <c r="A1418">
        <f>IF($B1418="","",IFERROR(IF(INDEX('Per Invoice'!$A$2:$A$801,MATCH($B1418,'Per Invoice'!$B$2:$B$801,0))=0,"",INDEX('Per Invoice'!$A$2:$A$801,MATCH($B1418,'Per Invoice'!$B$2:$B$801,0))),""))</f>
        <v/>
      </c>
      <c r="J1418" s="7">
        <f>IF($B1418="","",I1418*Q1418/100)</f>
        <v/>
      </c>
      <c r="N1418" s="7" t="n"/>
      <c r="O1418" s="7" t="n"/>
      <c r="P1418" s="7">
        <f>IF($B1418="","",O1418*X1418/100)</f>
        <v/>
      </c>
      <c r="Q1418" s="7">
        <f>IF($B1418="","",O1418-P1418)</f>
        <v/>
      </c>
      <c r="R1418" s="7">
        <f>IF($B1418="","",Q1418-J1418)</f>
        <v/>
      </c>
      <c r="S1418" s="7" t="n"/>
      <c r="T1418" s="7" t="n"/>
      <c r="V1418" s="14" t="n"/>
      <c r="Z1418">
        <f>IF($B1418="","",IF(COUNTIF($B$2:$B1418,$B1418)=1,1,0))</f>
        <v/>
      </c>
      <c r="AA1418">
        <f>IF($Z1418=1,SUMPRODUCT(--($AC$2:$AC$3001&lt;$AC1418))+1,"")</f>
        <v/>
      </c>
      <c r="AB1418">
        <f>IF($B1418="","",IF(OR($Y1418=TRUE(),$Y1418="TRUE"),1,IF(AND($Y1418&lt;&gt;"",OR($Y1418=FALSE(),$Y1418="FALSE")),0,IF(MIN(ABS($X1418/100-Settings!$C$6),ABS($X1418/100-Settings!$G$6))&lt;=MIN(ABS($X1418/100-Settings!$C$7),ABS($X1418/100-Settings!$G$7)),1,0))))</f>
        <v/>
      </c>
      <c r="AC1418">
        <f>IF($Z1418=1,IFERROR(IF(VALUE($B1418)&lt;100000000,VALUE($B1418),1000000000),IFERROR(IF(VALUE(MID($B1418,2,20))&lt;100000000,VALUE(MID($B1418,2,20)),1000000000),1000000000))+ROW()/100000,"")</f>
        <v/>
      </c>
    </row>
    <row r="1419">
      <c r="A1419">
        <f>IF($B1419="","",IFERROR(IF(INDEX('Per Invoice'!$A$2:$A$801,MATCH($B1419,'Per Invoice'!$B$2:$B$801,0))=0,"",INDEX('Per Invoice'!$A$2:$A$801,MATCH($B1419,'Per Invoice'!$B$2:$B$801,0))),""))</f>
        <v/>
      </c>
      <c r="J1419" s="7">
        <f>IF($B1419="","",I1419*Q1419/100)</f>
        <v/>
      </c>
      <c r="N1419" s="7" t="n"/>
      <c r="O1419" s="7" t="n"/>
      <c r="P1419" s="7">
        <f>IF($B1419="","",O1419*X1419/100)</f>
        <v/>
      </c>
      <c r="Q1419" s="7">
        <f>IF($B1419="","",O1419-P1419)</f>
        <v/>
      </c>
      <c r="R1419" s="7">
        <f>IF($B1419="","",Q1419-J1419)</f>
        <v/>
      </c>
      <c r="S1419" s="7" t="n"/>
      <c r="T1419" s="7" t="n"/>
      <c r="V1419" s="14" t="n"/>
      <c r="Z1419">
        <f>IF($B1419="","",IF(COUNTIF($B$2:$B1419,$B1419)=1,1,0))</f>
        <v/>
      </c>
      <c r="AA1419">
        <f>IF($Z1419=1,SUMPRODUCT(--($AC$2:$AC$3001&lt;$AC1419))+1,"")</f>
        <v/>
      </c>
      <c r="AB1419">
        <f>IF($B1419="","",IF(OR($Y1419=TRUE(),$Y1419="TRUE"),1,IF(AND($Y1419&lt;&gt;"",OR($Y1419=FALSE(),$Y1419="FALSE")),0,IF(MIN(ABS($X1419/100-Settings!$C$6),ABS($X1419/100-Settings!$G$6))&lt;=MIN(ABS($X1419/100-Settings!$C$7),ABS($X1419/100-Settings!$G$7)),1,0))))</f>
        <v/>
      </c>
      <c r="AC1419">
        <f>IF($Z1419=1,IFERROR(IF(VALUE($B1419)&lt;100000000,VALUE($B1419),1000000000),IFERROR(IF(VALUE(MID($B1419,2,20))&lt;100000000,VALUE(MID($B1419,2,20)),1000000000),1000000000))+ROW()/100000,"")</f>
        <v/>
      </c>
    </row>
    <row r="1420">
      <c r="A1420">
        <f>IF($B1420="","",IFERROR(IF(INDEX('Per Invoice'!$A$2:$A$801,MATCH($B1420,'Per Invoice'!$B$2:$B$801,0))=0,"",INDEX('Per Invoice'!$A$2:$A$801,MATCH($B1420,'Per Invoice'!$B$2:$B$801,0))),""))</f>
        <v/>
      </c>
      <c r="J1420" s="7">
        <f>IF($B1420="","",I1420*Q1420/100)</f>
        <v/>
      </c>
      <c r="N1420" s="7" t="n"/>
      <c r="O1420" s="7" t="n"/>
      <c r="P1420" s="7">
        <f>IF($B1420="","",O1420*X1420/100)</f>
        <v/>
      </c>
      <c r="Q1420" s="7">
        <f>IF($B1420="","",O1420-P1420)</f>
        <v/>
      </c>
      <c r="R1420" s="7">
        <f>IF($B1420="","",Q1420-J1420)</f>
        <v/>
      </c>
      <c r="S1420" s="7" t="n"/>
      <c r="T1420" s="7" t="n"/>
      <c r="V1420" s="14" t="n"/>
      <c r="Z1420">
        <f>IF($B1420="","",IF(COUNTIF($B$2:$B1420,$B1420)=1,1,0))</f>
        <v/>
      </c>
      <c r="AA1420">
        <f>IF($Z1420=1,SUMPRODUCT(--($AC$2:$AC$3001&lt;$AC1420))+1,"")</f>
        <v/>
      </c>
      <c r="AB1420">
        <f>IF($B1420="","",IF(OR($Y1420=TRUE(),$Y1420="TRUE"),1,IF(AND($Y1420&lt;&gt;"",OR($Y1420=FALSE(),$Y1420="FALSE")),0,IF(MIN(ABS($X1420/100-Settings!$C$6),ABS($X1420/100-Settings!$G$6))&lt;=MIN(ABS($X1420/100-Settings!$C$7),ABS($X1420/100-Settings!$G$7)),1,0))))</f>
        <v/>
      </c>
      <c r="AC1420">
        <f>IF($Z1420=1,IFERROR(IF(VALUE($B1420)&lt;100000000,VALUE($B1420),1000000000),IFERROR(IF(VALUE(MID($B1420,2,20))&lt;100000000,VALUE(MID($B1420,2,20)),1000000000),1000000000))+ROW()/100000,"")</f>
        <v/>
      </c>
    </row>
    <row r="1421">
      <c r="A1421">
        <f>IF($B1421="","",IFERROR(IF(INDEX('Per Invoice'!$A$2:$A$801,MATCH($B1421,'Per Invoice'!$B$2:$B$801,0))=0,"",INDEX('Per Invoice'!$A$2:$A$801,MATCH($B1421,'Per Invoice'!$B$2:$B$801,0))),""))</f>
        <v/>
      </c>
      <c r="J1421" s="7">
        <f>IF($B1421="","",I1421*Q1421/100)</f>
        <v/>
      </c>
      <c r="N1421" s="7" t="n"/>
      <c r="O1421" s="7" t="n"/>
      <c r="P1421" s="7">
        <f>IF($B1421="","",O1421*X1421/100)</f>
        <v/>
      </c>
      <c r="Q1421" s="7">
        <f>IF($B1421="","",O1421-P1421)</f>
        <v/>
      </c>
      <c r="R1421" s="7">
        <f>IF($B1421="","",Q1421-J1421)</f>
        <v/>
      </c>
      <c r="S1421" s="7" t="n"/>
      <c r="T1421" s="7" t="n"/>
      <c r="V1421" s="14" t="n"/>
      <c r="Z1421">
        <f>IF($B1421="","",IF(COUNTIF($B$2:$B1421,$B1421)=1,1,0))</f>
        <v/>
      </c>
      <c r="AA1421">
        <f>IF($Z1421=1,SUMPRODUCT(--($AC$2:$AC$3001&lt;$AC1421))+1,"")</f>
        <v/>
      </c>
      <c r="AB1421">
        <f>IF($B1421="","",IF(OR($Y1421=TRUE(),$Y1421="TRUE"),1,IF(AND($Y1421&lt;&gt;"",OR($Y1421=FALSE(),$Y1421="FALSE")),0,IF(MIN(ABS($X1421/100-Settings!$C$6),ABS($X1421/100-Settings!$G$6))&lt;=MIN(ABS($X1421/100-Settings!$C$7),ABS($X1421/100-Settings!$G$7)),1,0))))</f>
        <v/>
      </c>
      <c r="AC1421">
        <f>IF($Z1421=1,IFERROR(IF(VALUE($B1421)&lt;100000000,VALUE($B1421),1000000000),IFERROR(IF(VALUE(MID($B1421,2,20))&lt;100000000,VALUE(MID($B1421,2,20)),1000000000),1000000000))+ROW()/100000,"")</f>
        <v/>
      </c>
    </row>
    <row r="1422">
      <c r="A1422">
        <f>IF($B1422="","",IFERROR(IF(INDEX('Per Invoice'!$A$2:$A$801,MATCH($B1422,'Per Invoice'!$B$2:$B$801,0))=0,"",INDEX('Per Invoice'!$A$2:$A$801,MATCH($B1422,'Per Invoice'!$B$2:$B$801,0))),""))</f>
        <v/>
      </c>
      <c r="J1422" s="7">
        <f>IF($B1422="","",I1422*Q1422/100)</f>
        <v/>
      </c>
      <c r="N1422" s="7" t="n"/>
      <c r="O1422" s="7" t="n"/>
      <c r="P1422" s="7">
        <f>IF($B1422="","",O1422*X1422/100)</f>
        <v/>
      </c>
      <c r="Q1422" s="7">
        <f>IF($B1422="","",O1422-P1422)</f>
        <v/>
      </c>
      <c r="R1422" s="7">
        <f>IF($B1422="","",Q1422-J1422)</f>
        <v/>
      </c>
      <c r="S1422" s="7" t="n"/>
      <c r="T1422" s="7" t="n"/>
      <c r="V1422" s="14" t="n"/>
      <c r="Z1422">
        <f>IF($B1422="","",IF(COUNTIF($B$2:$B1422,$B1422)=1,1,0))</f>
        <v/>
      </c>
      <c r="AA1422">
        <f>IF($Z1422=1,SUMPRODUCT(--($AC$2:$AC$3001&lt;$AC1422))+1,"")</f>
        <v/>
      </c>
      <c r="AB1422">
        <f>IF($B1422="","",IF(OR($Y1422=TRUE(),$Y1422="TRUE"),1,IF(AND($Y1422&lt;&gt;"",OR($Y1422=FALSE(),$Y1422="FALSE")),0,IF(MIN(ABS($X1422/100-Settings!$C$6),ABS($X1422/100-Settings!$G$6))&lt;=MIN(ABS($X1422/100-Settings!$C$7),ABS($X1422/100-Settings!$G$7)),1,0))))</f>
        <v/>
      </c>
      <c r="AC1422">
        <f>IF($Z1422=1,IFERROR(IF(VALUE($B1422)&lt;100000000,VALUE($B1422),1000000000),IFERROR(IF(VALUE(MID($B1422,2,20))&lt;100000000,VALUE(MID($B1422,2,20)),1000000000),1000000000))+ROW()/100000,"")</f>
        <v/>
      </c>
    </row>
    <row r="1423">
      <c r="A1423">
        <f>IF($B1423="","",IFERROR(IF(INDEX('Per Invoice'!$A$2:$A$801,MATCH($B1423,'Per Invoice'!$B$2:$B$801,0))=0,"",INDEX('Per Invoice'!$A$2:$A$801,MATCH($B1423,'Per Invoice'!$B$2:$B$801,0))),""))</f>
        <v/>
      </c>
      <c r="J1423" s="7">
        <f>IF($B1423="","",I1423*Q1423/100)</f>
        <v/>
      </c>
      <c r="N1423" s="7" t="n"/>
      <c r="O1423" s="7" t="n"/>
      <c r="P1423" s="7">
        <f>IF($B1423="","",O1423*X1423/100)</f>
        <v/>
      </c>
      <c r="Q1423" s="7">
        <f>IF($B1423="","",O1423-P1423)</f>
        <v/>
      </c>
      <c r="R1423" s="7">
        <f>IF($B1423="","",Q1423-J1423)</f>
        <v/>
      </c>
      <c r="S1423" s="7" t="n"/>
      <c r="T1423" s="7" t="n"/>
      <c r="V1423" s="14" t="n"/>
      <c r="Z1423">
        <f>IF($B1423="","",IF(COUNTIF($B$2:$B1423,$B1423)=1,1,0))</f>
        <v/>
      </c>
      <c r="AA1423">
        <f>IF($Z1423=1,SUMPRODUCT(--($AC$2:$AC$3001&lt;$AC1423))+1,"")</f>
        <v/>
      </c>
      <c r="AB1423">
        <f>IF($B1423="","",IF(OR($Y1423=TRUE(),$Y1423="TRUE"),1,IF(AND($Y1423&lt;&gt;"",OR($Y1423=FALSE(),$Y1423="FALSE")),0,IF(MIN(ABS($X1423/100-Settings!$C$6),ABS($X1423/100-Settings!$G$6))&lt;=MIN(ABS($X1423/100-Settings!$C$7),ABS($X1423/100-Settings!$G$7)),1,0))))</f>
        <v/>
      </c>
      <c r="AC1423">
        <f>IF($Z1423=1,IFERROR(IF(VALUE($B1423)&lt;100000000,VALUE($B1423),1000000000),IFERROR(IF(VALUE(MID($B1423,2,20))&lt;100000000,VALUE(MID($B1423,2,20)),1000000000),1000000000))+ROW()/100000,"")</f>
        <v/>
      </c>
    </row>
    <row r="1424">
      <c r="A1424">
        <f>IF($B1424="","",IFERROR(IF(INDEX('Per Invoice'!$A$2:$A$801,MATCH($B1424,'Per Invoice'!$B$2:$B$801,0))=0,"",INDEX('Per Invoice'!$A$2:$A$801,MATCH($B1424,'Per Invoice'!$B$2:$B$801,0))),""))</f>
        <v/>
      </c>
      <c r="J1424" s="7">
        <f>IF($B1424="","",I1424*Q1424/100)</f>
        <v/>
      </c>
      <c r="N1424" s="7" t="n"/>
      <c r="O1424" s="7" t="n"/>
      <c r="P1424" s="7">
        <f>IF($B1424="","",O1424*X1424/100)</f>
        <v/>
      </c>
      <c r="Q1424" s="7">
        <f>IF($B1424="","",O1424-P1424)</f>
        <v/>
      </c>
      <c r="R1424" s="7">
        <f>IF($B1424="","",Q1424-J1424)</f>
        <v/>
      </c>
      <c r="S1424" s="7" t="n"/>
      <c r="T1424" s="7" t="n"/>
      <c r="V1424" s="14" t="n"/>
      <c r="Z1424">
        <f>IF($B1424="","",IF(COUNTIF($B$2:$B1424,$B1424)=1,1,0))</f>
        <v/>
      </c>
      <c r="AA1424">
        <f>IF($Z1424=1,SUMPRODUCT(--($AC$2:$AC$3001&lt;$AC1424))+1,"")</f>
        <v/>
      </c>
      <c r="AB1424">
        <f>IF($B1424="","",IF(OR($Y1424=TRUE(),$Y1424="TRUE"),1,IF(AND($Y1424&lt;&gt;"",OR($Y1424=FALSE(),$Y1424="FALSE")),0,IF(MIN(ABS($X1424/100-Settings!$C$6),ABS($X1424/100-Settings!$G$6))&lt;=MIN(ABS($X1424/100-Settings!$C$7),ABS($X1424/100-Settings!$G$7)),1,0))))</f>
        <v/>
      </c>
      <c r="AC1424">
        <f>IF($Z1424=1,IFERROR(IF(VALUE($B1424)&lt;100000000,VALUE($B1424),1000000000),IFERROR(IF(VALUE(MID($B1424,2,20))&lt;100000000,VALUE(MID($B1424,2,20)),1000000000),1000000000))+ROW()/100000,"")</f>
        <v/>
      </c>
    </row>
    <row r="1425">
      <c r="A1425">
        <f>IF($B1425="","",IFERROR(IF(INDEX('Per Invoice'!$A$2:$A$801,MATCH($B1425,'Per Invoice'!$B$2:$B$801,0))=0,"",INDEX('Per Invoice'!$A$2:$A$801,MATCH($B1425,'Per Invoice'!$B$2:$B$801,0))),""))</f>
        <v/>
      </c>
      <c r="J1425" s="7">
        <f>IF($B1425="","",I1425*Q1425/100)</f>
        <v/>
      </c>
      <c r="N1425" s="7" t="n"/>
      <c r="O1425" s="7" t="n"/>
      <c r="P1425" s="7">
        <f>IF($B1425="","",O1425*X1425/100)</f>
        <v/>
      </c>
      <c r="Q1425" s="7">
        <f>IF($B1425="","",O1425-P1425)</f>
        <v/>
      </c>
      <c r="R1425" s="7">
        <f>IF($B1425="","",Q1425-J1425)</f>
        <v/>
      </c>
      <c r="S1425" s="7" t="n"/>
      <c r="T1425" s="7" t="n"/>
      <c r="V1425" s="14" t="n"/>
      <c r="Z1425">
        <f>IF($B1425="","",IF(COUNTIF($B$2:$B1425,$B1425)=1,1,0))</f>
        <v/>
      </c>
      <c r="AA1425">
        <f>IF($Z1425=1,SUMPRODUCT(--($AC$2:$AC$3001&lt;$AC1425))+1,"")</f>
        <v/>
      </c>
      <c r="AB1425">
        <f>IF($B1425="","",IF(OR($Y1425=TRUE(),$Y1425="TRUE"),1,IF(AND($Y1425&lt;&gt;"",OR($Y1425=FALSE(),$Y1425="FALSE")),0,IF(MIN(ABS($X1425/100-Settings!$C$6),ABS($X1425/100-Settings!$G$6))&lt;=MIN(ABS($X1425/100-Settings!$C$7),ABS($X1425/100-Settings!$G$7)),1,0))))</f>
        <v/>
      </c>
      <c r="AC1425">
        <f>IF($Z1425=1,IFERROR(IF(VALUE($B1425)&lt;100000000,VALUE($B1425),1000000000),IFERROR(IF(VALUE(MID($B1425,2,20))&lt;100000000,VALUE(MID($B1425,2,20)),1000000000),1000000000))+ROW()/100000,"")</f>
        <v/>
      </c>
    </row>
    <row r="1426">
      <c r="A1426">
        <f>IF($B1426="","",IFERROR(IF(INDEX('Per Invoice'!$A$2:$A$801,MATCH($B1426,'Per Invoice'!$B$2:$B$801,0))=0,"",INDEX('Per Invoice'!$A$2:$A$801,MATCH($B1426,'Per Invoice'!$B$2:$B$801,0))),""))</f>
        <v/>
      </c>
      <c r="J1426" s="7">
        <f>IF($B1426="","",I1426*Q1426/100)</f>
        <v/>
      </c>
      <c r="N1426" s="7" t="n"/>
      <c r="O1426" s="7" t="n"/>
      <c r="P1426" s="7">
        <f>IF($B1426="","",O1426*X1426/100)</f>
        <v/>
      </c>
      <c r="Q1426" s="7">
        <f>IF($B1426="","",O1426-P1426)</f>
        <v/>
      </c>
      <c r="R1426" s="7">
        <f>IF($B1426="","",Q1426-J1426)</f>
        <v/>
      </c>
      <c r="S1426" s="7" t="n"/>
      <c r="T1426" s="7" t="n"/>
      <c r="V1426" s="14" t="n"/>
      <c r="Z1426">
        <f>IF($B1426="","",IF(COUNTIF($B$2:$B1426,$B1426)=1,1,0))</f>
        <v/>
      </c>
      <c r="AA1426">
        <f>IF($Z1426=1,SUMPRODUCT(--($AC$2:$AC$3001&lt;$AC1426))+1,"")</f>
        <v/>
      </c>
      <c r="AB1426">
        <f>IF($B1426="","",IF(OR($Y1426=TRUE(),$Y1426="TRUE"),1,IF(AND($Y1426&lt;&gt;"",OR($Y1426=FALSE(),$Y1426="FALSE")),0,IF(MIN(ABS($X1426/100-Settings!$C$6),ABS($X1426/100-Settings!$G$6))&lt;=MIN(ABS($X1426/100-Settings!$C$7),ABS($X1426/100-Settings!$G$7)),1,0))))</f>
        <v/>
      </c>
      <c r="AC1426">
        <f>IF($Z1426=1,IFERROR(IF(VALUE($B1426)&lt;100000000,VALUE($B1426),1000000000),IFERROR(IF(VALUE(MID($B1426,2,20))&lt;100000000,VALUE(MID($B1426,2,20)),1000000000),1000000000))+ROW()/100000,"")</f>
        <v/>
      </c>
    </row>
    <row r="1427">
      <c r="A1427">
        <f>IF($B1427="","",IFERROR(IF(INDEX('Per Invoice'!$A$2:$A$801,MATCH($B1427,'Per Invoice'!$B$2:$B$801,0))=0,"",INDEX('Per Invoice'!$A$2:$A$801,MATCH($B1427,'Per Invoice'!$B$2:$B$801,0))),""))</f>
        <v/>
      </c>
      <c r="J1427" s="7">
        <f>IF($B1427="","",I1427*Q1427/100)</f>
        <v/>
      </c>
      <c r="N1427" s="7" t="n"/>
      <c r="O1427" s="7" t="n"/>
      <c r="P1427" s="7">
        <f>IF($B1427="","",O1427*X1427/100)</f>
        <v/>
      </c>
      <c r="Q1427" s="7">
        <f>IF($B1427="","",O1427-P1427)</f>
        <v/>
      </c>
      <c r="R1427" s="7">
        <f>IF($B1427="","",Q1427-J1427)</f>
        <v/>
      </c>
      <c r="S1427" s="7" t="n"/>
      <c r="T1427" s="7" t="n"/>
      <c r="V1427" s="14" t="n"/>
      <c r="Z1427">
        <f>IF($B1427="","",IF(COUNTIF($B$2:$B1427,$B1427)=1,1,0))</f>
        <v/>
      </c>
      <c r="AA1427">
        <f>IF($Z1427=1,SUMPRODUCT(--($AC$2:$AC$3001&lt;$AC1427))+1,"")</f>
        <v/>
      </c>
      <c r="AB1427">
        <f>IF($B1427="","",IF(OR($Y1427=TRUE(),$Y1427="TRUE"),1,IF(AND($Y1427&lt;&gt;"",OR($Y1427=FALSE(),$Y1427="FALSE")),0,IF(MIN(ABS($X1427/100-Settings!$C$6),ABS($X1427/100-Settings!$G$6))&lt;=MIN(ABS($X1427/100-Settings!$C$7),ABS($X1427/100-Settings!$G$7)),1,0))))</f>
        <v/>
      </c>
      <c r="AC1427">
        <f>IF($Z1427=1,IFERROR(IF(VALUE($B1427)&lt;100000000,VALUE($B1427),1000000000),IFERROR(IF(VALUE(MID($B1427,2,20))&lt;100000000,VALUE(MID($B1427,2,20)),1000000000),1000000000))+ROW()/100000,"")</f>
        <v/>
      </c>
    </row>
    <row r="1428">
      <c r="A1428">
        <f>IF($B1428="","",IFERROR(IF(INDEX('Per Invoice'!$A$2:$A$801,MATCH($B1428,'Per Invoice'!$B$2:$B$801,0))=0,"",INDEX('Per Invoice'!$A$2:$A$801,MATCH($B1428,'Per Invoice'!$B$2:$B$801,0))),""))</f>
        <v/>
      </c>
      <c r="J1428" s="7">
        <f>IF($B1428="","",I1428*Q1428/100)</f>
        <v/>
      </c>
      <c r="N1428" s="7" t="n"/>
      <c r="O1428" s="7" t="n"/>
      <c r="P1428" s="7">
        <f>IF($B1428="","",O1428*X1428/100)</f>
        <v/>
      </c>
      <c r="Q1428" s="7">
        <f>IF($B1428="","",O1428-P1428)</f>
        <v/>
      </c>
      <c r="R1428" s="7">
        <f>IF($B1428="","",Q1428-J1428)</f>
        <v/>
      </c>
      <c r="S1428" s="7" t="n"/>
      <c r="T1428" s="7" t="n"/>
      <c r="V1428" s="14" t="n"/>
      <c r="Z1428">
        <f>IF($B1428="","",IF(COUNTIF($B$2:$B1428,$B1428)=1,1,0))</f>
        <v/>
      </c>
      <c r="AA1428">
        <f>IF($Z1428=1,SUMPRODUCT(--($AC$2:$AC$3001&lt;$AC1428))+1,"")</f>
        <v/>
      </c>
      <c r="AB1428">
        <f>IF($B1428="","",IF(OR($Y1428=TRUE(),$Y1428="TRUE"),1,IF(AND($Y1428&lt;&gt;"",OR($Y1428=FALSE(),$Y1428="FALSE")),0,IF(MIN(ABS($X1428/100-Settings!$C$6),ABS($X1428/100-Settings!$G$6))&lt;=MIN(ABS($X1428/100-Settings!$C$7),ABS($X1428/100-Settings!$G$7)),1,0))))</f>
        <v/>
      </c>
      <c r="AC1428">
        <f>IF($Z1428=1,IFERROR(IF(VALUE($B1428)&lt;100000000,VALUE($B1428),1000000000),IFERROR(IF(VALUE(MID($B1428,2,20))&lt;100000000,VALUE(MID($B1428,2,20)),1000000000),1000000000))+ROW()/100000,"")</f>
        <v/>
      </c>
    </row>
    <row r="1429">
      <c r="A1429">
        <f>IF($B1429="","",IFERROR(IF(INDEX('Per Invoice'!$A$2:$A$801,MATCH($B1429,'Per Invoice'!$B$2:$B$801,0))=0,"",INDEX('Per Invoice'!$A$2:$A$801,MATCH($B1429,'Per Invoice'!$B$2:$B$801,0))),""))</f>
        <v/>
      </c>
      <c r="J1429" s="7">
        <f>IF($B1429="","",I1429*Q1429/100)</f>
        <v/>
      </c>
      <c r="N1429" s="7" t="n"/>
      <c r="O1429" s="7" t="n"/>
      <c r="P1429" s="7">
        <f>IF($B1429="","",O1429*X1429/100)</f>
        <v/>
      </c>
      <c r="Q1429" s="7">
        <f>IF($B1429="","",O1429-P1429)</f>
        <v/>
      </c>
      <c r="R1429" s="7">
        <f>IF($B1429="","",Q1429-J1429)</f>
        <v/>
      </c>
      <c r="S1429" s="7" t="n"/>
      <c r="T1429" s="7" t="n"/>
      <c r="V1429" s="14" t="n"/>
      <c r="Z1429">
        <f>IF($B1429="","",IF(COUNTIF($B$2:$B1429,$B1429)=1,1,0))</f>
        <v/>
      </c>
      <c r="AA1429">
        <f>IF($Z1429=1,SUMPRODUCT(--($AC$2:$AC$3001&lt;$AC1429))+1,"")</f>
        <v/>
      </c>
      <c r="AB1429">
        <f>IF($B1429="","",IF(OR($Y1429=TRUE(),$Y1429="TRUE"),1,IF(AND($Y1429&lt;&gt;"",OR($Y1429=FALSE(),$Y1429="FALSE")),0,IF(MIN(ABS($X1429/100-Settings!$C$6),ABS($X1429/100-Settings!$G$6))&lt;=MIN(ABS($X1429/100-Settings!$C$7),ABS($X1429/100-Settings!$G$7)),1,0))))</f>
        <v/>
      </c>
      <c r="AC1429">
        <f>IF($Z1429=1,IFERROR(IF(VALUE($B1429)&lt;100000000,VALUE($B1429),1000000000),IFERROR(IF(VALUE(MID($B1429,2,20))&lt;100000000,VALUE(MID($B1429,2,20)),1000000000),1000000000))+ROW()/100000,"")</f>
        <v/>
      </c>
    </row>
    <row r="1430">
      <c r="A1430">
        <f>IF($B1430="","",IFERROR(IF(INDEX('Per Invoice'!$A$2:$A$801,MATCH($B1430,'Per Invoice'!$B$2:$B$801,0))=0,"",INDEX('Per Invoice'!$A$2:$A$801,MATCH($B1430,'Per Invoice'!$B$2:$B$801,0))),""))</f>
        <v/>
      </c>
      <c r="J1430" s="7">
        <f>IF($B1430="","",I1430*Q1430/100)</f>
        <v/>
      </c>
      <c r="N1430" s="7" t="n"/>
      <c r="O1430" s="7" t="n"/>
      <c r="P1430" s="7">
        <f>IF($B1430="","",O1430*X1430/100)</f>
        <v/>
      </c>
      <c r="Q1430" s="7">
        <f>IF($B1430="","",O1430-P1430)</f>
        <v/>
      </c>
      <c r="R1430" s="7">
        <f>IF($B1430="","",Q1430-J1430)</f>
        <v/>
      </c>
      <c r="S1430" s="7" t="n"/>
      <c r="T1430" s="7" t="n"/>
      <c r="V1430" s="14" t="n"/>
      <c r="Z1430">
        <f>IF($B1430="","",IF(COUNTIF($B$2:$B1430,$B1430)=1,1,0))</f>
        <v/>
      </c>
      <c r="AA1430">
        <f>IF($Z1430=1,SUMPRODUCT(--($AC$2:$AC$3001&lt;$AC1430))+1,"")</f>
        <v/>
      </c>
      <c r="AB1430">
        <f>IF($B1430="","",IF(OR($Y1430=TRUE(),$Y1430="TRUE"),1,IF(AND($Y1430&lt;&gt;"",OR($Y1430=FALSE(),$Y1430="FALSE")),0,IF(MIN(ABS($X1430/100-Settings!$C$6),ABS($X1430/100-Settings!$G$6))&lt;=MIN(ABS($X1430/100-Settings!$C$7),ABS($X1430/100-Settings!$G$7)),1,0))))</f>
        <v/>
      </c>
      <c r="AC1430">
        <f>IF($Z1430=1,IFERROR(IF(VALUE($B1430)&lt;100000000,VALUE($B1430),1000000000),IFERROR(IF(VALUE(MID($B1430,2,20))&lt;100000000,VALUE(MID($B1430,2,20)),1000000000),1000000000))+ROW()/100000,"")</f>
        <v/>
      </c>
    </row>
    <row r="1431">
      <c r="A1431">
        <f>IF($B1431="","",IFERROR(IF(INDEX('Per Invoice'!$A$2:$A$801,MATCH($B1431,'Per Invoice'!$B$2:$B$801,0))=0,"",INDEX('Per Invoice'!$A$2:$A$801,MATCH($B1431,'Per Invoice'!$B$2:$B$801,0))),""))</f>
        <v/>
      </c>
      <c r="J1431" s="7">
        <f>IF($B1431="","",I1431*Q1431/100)</f>
        <v/>
      </c>
      <c r="N1431" s="7" t="n"/>
      <c r="O1431" s="7" t="n"/>
      <c r="P1431" s="7">
        <f>IF($B1431="","",O1431*X1431/100)</f>
        <v/>
      </c>
      <c r="Q1431" s="7">
        <f>IF($B1431="","",O1431-P1431)</f>
        <v/>
      </c>
      <c r="R1431" s="7">
        <f>IF($B1431="","",Q1431-J1431)</f>
        <v/>
      </c>
      <c r="S1431" s="7" t="n"/>
      <c r="T1431" s="7" t="n"/>
      <c r="V1431" s="14" t="n"/>
      <c r="Z1431">
        <f>IF($B1431="","",IF(COUNTIF($B$2:$B1431,$B1431)=1,1,0))</f>
        <v/>
      </c>
      <c r="AA1431">
        <f>IF($Z1431=1,SUMPRODUCT(--($AC$2:$AC$3001&lt;$AC1431))+1,"")</f>
        <v/>
      </c>
      <c r="AB1431">
        <f>IF($B1431="","",IF(OR($Y1431=TRUE(),$Y1431="TRUE"),1,IF(AND($Y1431&lt;&gt;"",OR($Y1431=FALSE(),$Y1431="FALSE")),0,IF(MIN(ABS($X1431/100-Settings!$C$6),ABS($X1431/100-Settings!$G$6))&lt;=MIN(ABS($X1431/100-Settings!$C$7),ABS($X1431/100-Settings!$G$7)),1,0))))</f>
        <v/>
      </c>
      <c r="AC1431">
        <f>IF($Z1431=1,IFERROR(IF(VALUE($B1431)&lt;100000000,VALUE($B1431),1000000000),IFERROR(IF(VALUE(MID($B1431,2,20))&lt;100000000,VALUE(MID($B1431,2,20)),1000000000),1000000000))+ROW()/100000,"")</f>
        <v/>
      </c>
    </row>
    <row r="1432">
      <c r="A1432">
        <f>IF($B1432="","",IFERROR(IF(INDEX('Per Invoice'!$A$2:$A$801,MATCH($B1432,'Per Invoice'!$B$2:$B$801,0))=0,"",INDEX('Per Invoice'!$A$2:$A$801,MATCH($B1432,'Per Invoice'!$B$2:$B$801,0))),""))</f>
        <v/>
      </c>
      <c r="J1432" s="7">
        <f>IF($B1432="","",I1432*Q1432/100)</f>
        <v/>
      </c>
      <c r="N1432" s="7" t="n"/>
      <c r="O1432" s="7" t="n"/>
      <c r="P1432" s="7">
        <f>IF($B1432="","",O1432*X1432/100)</f>
        <v/>
      </c>
      <c r="Q1432" s="7">
        <f>IF($B1432="","",O1432-P1432)</f>
        <v/>
      </c>
      <c r="R1432" s="7">
        <f>IF($B1432="","",Q1432-J1432)</f>
        <v/>
      </c>
      <c r="S1432" s="7" t="n"/>
      <c r="T1432" s="7" t="n"/>
      <c r="V1432" s="14" t="n"/>
      <c r="Z1432">
        <f>IF($B1432="","",IF(COUNTIF($B$2:$B1432,$B1432)=1,1,0))</f>
        <v/>
      </c>
      <c r="AA1432">
        <f>IF($Z1432=1,SUMPRODUCT(--($AC$2:$AC$3001&lt;$AC1432))+1,"")</f>
        <v/>
      </c>
      <c r="AB1432">
        <f>IF($B1432="","",IF(OR($Y1432=TRUE(),$Y1432="TRUE"),1,IF(AND($Y1432&lt;&gt;"",OR($Y1432=FALSE(),$Y1432="FALSE")),0,IF(MIN(ABS($X1432/100-Settings!$C$6),ABS($X1432/100-Settings!$G$6))&lt;=MIN(ABS($X1432/100-Settings!$C$7),ABS($X1432/100-Settings!$G$7)),1,0))))</f>
        <v/>
      </c>
      <c r="AC1432">
        <f>IF($Z1432=1,IFERROR(IF(VALUE($B1432)&lt;100000000,VALUE($B1432),1000000000),IFERROR(IF(VALUE(MID($B1432,2,20))&lt;100000000,VALUE(MID($B1432,2,20)),1000000000),1000000000))+ROW()/100000,"")</f>
        <v/>
      </c>
    </row>
    <row r="1433">
      <c r="A1433">
        <f>IF($B1433="","",IFERROR(IF(INDEX('Per Invoice'!$A$2:$A$801,MATCH($B1433,'Per Invoice'!$B$2:$B$801,0))=0,"",INDEX('Per Invoice'!$A$2:$A$801,MATCH($B1433,'Per Invoice'!$B$2:$B$801,0))),""))</f>
        <v/>
      </c>
      <c r="J1433" s="7">
        <f>IF($B1433="","",I1433*Q1433/100)</f>
        <v/>
      </c>
      <c r="N1433" s="7" t="n"/>
      <c r="O1433" s="7" t="n"/>
      <c r="P1433" s="7">
        <f>IF($B1433="","",O1433*X1433/100)</f>
        <v/>
      </c>
      <c r="Q1433" s="7">
        <f>IF($B1433="","",O1433-P1433)</f>
        <v/>
      </c>
      <c r="R1433" s="7">
        <f>IF($B1433="","",Q1433-J1433)</f>
        <v/>
      </c>
      <c r="S1433" s="7" t="n"/>
      <c r="T1433" s="7" t="n"/>
      <c r="V1433" s="14" t="n"/>
      <c r="Z1433">
        <f>IF($B1433="","",IF(COUNTIF($B$2:$B1433,$B1433)=1,1,0))</f>
        <v/>
      </c>
      <c r="AA1433">
        <f>IF($Z1433=1,SUMPRODUCT(--($AC$2:$AC$3001&lt;$AC1433))+1,"")</f>
        <v/>
      </c>
      <c r="AB1433">
        <f>IF($B1433="","",IF(OR($Y1433=TRUE(),$Y1433="TRUE"),1,IF(AND($Y1433&lt;&gt;"",OR($Y1433=FALSE(),$Y1433="FALSE")),0,IF(MIN(ABS($X1433/100-Settings!$C$6),ABS($X1433/100-Settings!$G$6))&lt;=MIN(ABS($X1433/100-Settings!$C$7),ABS($X1433/100-Settings!$G$7)),1,0))))</f>
        <v/>
      </c>
      <c r="AC1433">
        <f>IF($Z1433=1,IFERROR(IF(VALUE($B1433)&lt;100000000,VALUE($B1433),1000000000),IFERROR(IF(VALUE(MID($B1433,2,20))&lt;100000000,VALUE(MID($B1433,2,20)),1000000000),1000000000))+ROW()/100000,"")</f>
        <v/>
      </c>
    </row>
    <row r="1434">
      <c r="A1434">
        <f>IF($B1434="","",IFERROR(IF(INDEX('Per Invoice'!$A$2:$A$801,MATCH($B1434,'Per Invoice'!$B$2:$B$801,0))=0,"",INDEX('Per Invoice'!$A$2:$A$801,MATCH($B1434,'Per Invoice'!$B$2:$B$801,0))),""))</f>
        <v/>
      </c>
      <c r="J1434" s="7">
        <f>IF($B1434="","",I1434*Q1434/100)</f>
        <v/>
      </c>
      <c r="N1434" s="7" t="n"/>
      <c r="O1434" s="7" t="n"/>
      <c r="P1434" s="7">
        <f>IF($B1434="","",O1434*X1434/100)</f>
        <v/>
      </c>
      <c r="Q1434" s="7">
        <f>IF($B1434="","",O1434-P1434)</f>
        <v/>
      </c>
      <c r="R1434" s="7">
        <f>IF($B1434="","",Q1434-J1434)</f>
        <v/>
      </c>
      <c r="S1434" s="7" t="n"/>
      <c r="T1434" s="7" t="n"/>
      <c r="V1434" s="14" t="n"/>
      <c r="Z1434">
        <f>IF($B1434="","",IF(COUNTIF($B$2:$B1434,$B1434)=1,1,0))</f>
        <v/>
      </c>
      <c r="AA1434">
        <f>IF($Z1434=1,SUMPRODUCT(--($AC$2:$AC$3001&lt;$AC1434))+1,"")</f>
        <v/>
      </c>
      <c r="AB1434">
        <f>IF($B1434="","",IF(OR($Y1434=TRUE(),$Y1434="TRUE"),1,IF(AND($Y1434&lt;&gt;"",OR($Y1434=FALSE(),$Y1434="FALSE")),0,IF(MIN(ABS($X1434/100-Settings!$C$6),ABS($X1434/100-Settings!$G$6))&lt;=MIN(ABS($X1434/100-Settings!$C$7),ABS($X1434/100-Settings!$G$7)),1,0))))</f>
        <v/>
      </c>
      <c r="AC1434">
        <f>IF($Z1434=1,IFERROR(IF(VALUE($B1434)&lt;100000000,VALUE($B1434),1000000000),IFERROR(IF(VALUE(MID($B1434,2,20))&lt;100000000,VALUE(MID($B1434,2,20)),1000000000),1000000000))+ROW()/100000,"")</f>
        <v/>
      </c>
    </row>
    <row r="1435">
      <c r="A1435">
        <f>IF($B1435="","",IFERROR(IF(INDEX('Per Invoice'!$A$2:$A$801,MATCH($B1435,'Per Invoice'!$B$2:$B$801,0))=0,"",INDEX('Per Invoice'!$A$2:$A$801,MATCH($B1435,'Per Invoice'!$B$2:$B$801,0))),""))</f>
        <v/>
      </c>
      <c r="J1435" s="7">
        <f>IF($B1435="","",I1435*Q1435/100)</f>
        <v/>
      </c>
      <c r="N1435" s="7" t="n"/>
      <c r="O1435" s="7" t="n"/>
      <c r="P1435" s="7">
        <f>IF($B1435="","",O1435*X1435/100)</f>
        <v/>
      </c>
      <c r="Q1435" s="7">
        <f>IF($B1435="","",O1435-P1435)</f>
        <v/>
      </c>
      <c r="R1435" s="7">
        <f>IF($B1435="","",Q1435-J1435)</f>
        <v/>
      </c>
      <c r="S1435" s="7" t="n"/>
      <c r="T1435" s="7" t="n"/>
      <c r="V1435" s="14" t="n"/>
      <c r="Z1435">
        <f>IF($B1435="","",IF(COUNTIF($B$2:$B1435,$B1435)=1,1,0))</f>
        <v/>
      </c>
      <c r="AA1435">
        <f>IF($Z1435=1,SUMPRODUCT(--($AC$2:$AC$3001&lt;$AC1435))+1,"")</f>
        <v/>
      </c>
      <c r="AB1435">
        <f>IF($B1435="","",IF(OR($Y1435=TRUE(),$Y1435="TRUE"),1,IF(AND($Y1435&lt;&gt;"",OR($Y1435=FALSE(),$Y1435="FALSE")),0,IF(MIN(ABS($X1435/100-Settings!$C$6),ABS($X1435/100-Settings!$G$6))&lt;=MIN(ABS($X1435/100-Settings!$C$7),ABS($X1435/100-Settings!$G$7)),1,0))))</f>
        <v/>
      </c>
      <c r="AC1435">
        <f>IF($Z1435=1,IFERROR(IF(VALUE($B1435)&lt;100000000,VALUE($B1435),1000000000),IFERROR(IF(VALUE(MID($B1435,2,20))&lt;100000000,VALUE(MID($B1435,2,20)),1000000000),1000000000))+ROW()/100000,"")</f>
        <v/>
      </c>
    </row>
    <row r="1436">
      <c r="A1436">
        <f>IF($B1436="","",IFERROR(IF(INDEX('Per Invoice'!$A$2:$A$801,MATCH($B1436,'Per Invoice'!$B$2:$B$801,0))=0,"",INDEX('Per Invoice'!$A$2:$A$801,MATCH($B1436,'Per Invoice'!$B$2:$B$801,0))),""))</f>
        <v/>
      </c>
      <c r="J1436" s="7">
        <f>IF($B1436="","",I1436*Q1436/100)</f>
        <v/>
      </c>
      <c r="N1436" s="7" t="n"/>
      <c r="O1436" s="7" t="n"/>
      <c r="P1436" s="7">
        <f>IF($B1436="","",O1436*X1436/100)</f>
        <v/>
      </c>
      <c r="Q1436" s="7">
        <f>IF($B1436="","",O1436-P1436)</f>
        <v/>
      </c>
      <c r="R1436" s="7">
        <f>IF($B1436="","",Q1436-J1436)</f>
        <v/>
      </c>
      <c r="S1436" s="7" t="n"/>
      <c r="T1436" s="7" t="n"/>
      <c r="V1436" s="14" t="n"/>
      <c r="Z1436">
        <f>IF($B1436="","",IF(COUNTIF($B$2:$B1436,$B1436)=1,1,0))</f>
        <v/>
      </c>
      <c r="AA1436">
        <f>IF($Z1436=1,SUMPRODUCT(--($AC$2:$AC$3001&lt;$AC1436))+1,"")</f>
        <v/>
      </c>
      <c r="AB1436">
        <f>IF($B1436="","",IF(OR($Y1436=TRUE(),$Y1436="TRUE"),1,IF(AND($Y1436&lt;&gt;"",OR($Y1436=FALSE(),$Y1436="FALSE")),0,IF(MIN(ABS($X1436/100-Settings!$C$6),ABS($X1436/100-Settings!$G$6))&lt;=MIN(ABS($X1436/100-Settings!$C$7),ABS($X1436/100-Settings!$G$7)),1,0))))</f>
        <v/>
      </c>
      <c r="AC1436">
        <f>IF($Z1436=1,IFERROR(IF(VALUE($B1436)&lt;100000000,VALUE($B1436),1000000000),IFERROR(IF(VALUE(MID($B1436,2,20))&lt;100000000,VALUE(MID($B1436,2,20)),1000000000),1000000000))+ROW()/100000,"")</f>
        <v/>
      </c>
    </row>
    <row r="1437">
      <c r="A1437">
        <f>IF($B1437="","",IFERROR(IF(INDEX('Per Invoice'!$A$2:$A$801,MATCH($B1437,'Per Invoice'!$B$2:$B$801,0))=0,"",INDEX('Per Invoice'!$A$2:$A$801,MATCH($B1437,'Per Invoice'!$B$2:$B$801,0))),""))</f>
        <v/>
      </c>
      <c r="J1437" s="7">
        <f>IF($B1437="","",I1437*Q1437/100)</f>
        <v/>
      </c>
      <c r="N1437" s="7" t="n"/>
      <c r="O1437" s="7" t="n"/>
      <c r="P1437" s="7">
        <f>IF($B1437="","",O1437*X1437/100)</f>
        <v/>
      </c>
      <c r="Q1437" s="7">
        <f>IF($B1437="","",O1437-P1437)</f>
        <v/>
      </c>
      <c r="R1437" s="7">
        <f>IF($B1437="","",Q1437-J1437)</f>
        <v/>
      </c>
      <c r="S1437" s="7" t="n"/>
      <c r="T1437" s="7" t="n"/>
      <c r="V1437" s="14" t="n"/>
      <c r="Z1437">
        <f>IF($B1437="","",IF(COUNTIF($B$2:$B1437,$B1437)=1,1,0))</f>
        <v/>
      </c>
      <c r="AA1437">
        <f>IF($Z1437=1,SUMPRODUCT(--($AC$2:$AC$3001&lt;$AC1437))+1,"")</f>
        <v/>
      </c>
      <c r="AB1437">
        <f>IF($B1437="","",IF(OR($Y1437=TRUE(),$Y1437="TRUE"),1,IF(AND($Y1437&lt;&gt;"",OR($Y1437=FALSE(),$Y1437="FALSE")),0,IF(MIN(ABS($X1437/100-Settings!$C$6),ABS($X1437/100-Settings!$G$6))&lt;=MIN(ABS($X1437/100-Settings!$C$7),ABS($X1437/100-Settings!$G$7)),1,0))))</f>
        <v/>
      </c>
      <c r="AC1437">
        <f>IF($Z1437=1,IFERROR(IF(VALUE($B1437)&lt;100000000,VALUE($B1437),1000000000),IFERROR(IF(VALUE(MID($B1437,2,20))&lt;100000000,VALUE(MID($B1437,2,20)),1000000000),1000000000))+ROW()/100000,"")</f>
        <v/>
      </c>
    </row>
    <row r="1438">
      <c r="A1438">
        <f>IF($B1438="","",IFERROR(IF(INDEX('Per Invoice'!$A$2:$A$801,MATCH($B1438,'Per Invoice'!$B$2:$B$801,0))=0,"",INDEX('Per Invoice'!$A$2:$A$801,MATCH($B1438,'Per Invoice'!$B$2:$B$801,0))),""))</f>
        <v/>
      </c>
      <c r="J1438" s="7">
        <f>IF($B1438="","",I1438*Q1438/100)</f>
        <v/>
      </c>
      <c r="N1438" s="7" t="n"/>
      <c r="O1438" s="7" t="n"/>
      <c r="P1438" s="7">
        <f>IF($B1438="","",O1438*X1438/100)</f>
        <v/>
      </c>
      <c r="Q1438" s="7">
        <f>IF($B1438="","",O1438-P1438)</f>
        <v/>
      </c>
      <c r="R1438" s="7">
        <f>IF($B1438="","",Q1438-J1438)</f>
        <v/>
      </c>
      <c r="S1438" s="7" t="n"/>
      <c r="T1438" s="7" t="n"/>
      <c r="V1438" s="14" t="n"/>
      <c r="Z1438">
        <f>IF($B1438="","",IF(COUNTIF($B$2:$B1438,$B1438)=1,1,0))</f>
        <v/>
      </c>
      <c r="AA1438">
        <f>IF($Z1438=1,SUMPRODUCT(--($AC$2:$AC$3001&lt;$AC1438))+1,"")</f>
        <v/>
      </c>
      <c r="AB1438">
        <f>IF($B1438="","",IF(OR($Y1438=TRUE(),$Y1438="TRUE"),1,IF(AND($Y1438&lt;&gt;"",OR($Y1438=FALSE(),$Y1438="FALSE")),0,IF(MIN(ABS($X1438/100-Settings!$C$6),ABS($X1438/100-Settings!$G$6))&lt;=MIN(ABS($X1438/100-Settings!$C$7),ABS($X1438/100-Settings!$G$7)),1,0))))</f>
        <v/>
      </c>
      <c r="AC1438">
        <f>IF($Z1438=1,IFERROR(IF(VALUE($B1438)&lt;100000000,VALUE($B1438),1000000000),IFERROR(IF(VALUE(MID($B1438,2,20))&lt;100000000,VALUE(MID($B1438,2,20)),1000000000),1000000000))+ROW()/100000,"")</f>
        <v/>
      </c>
    </row>
    <row r="1439">
      <c r="A1439">
        <f>IF($B1439="","",IFERROR(IF(INDEX('Per Invoice'!$A$2:$A$801,MATCH($B1439,'Per Invoice'!$B$2:$B$801,0))=0,"",INDEX('Per Invoice'!$A$2:$A$801,MATCH($B1439,'Per Invoice'!$B$2:$B$801,0))),""))</f>
        <v/>
      </c>
      <c r="J1439" s="7">
        <f>IF($B1439="","",I1439*Q1439/100)</f>
        <v/>
      </c>
      <c r="N1439" s="7" t="n"/>
      <c r="O1439" s="7" t="n"/>
      <c r="P1439" s="7">
        <f>IF($B1439="","",O1439*X1439/100)</f>
        <v/>
      </c>
      <c r="Q1439" s="7">
        <f>IF($B1439="","",O1439-P1439)</f>
        <v/>
      </c>
      <c r="R1439" s="7">
        <f>IF($B1439="","",Q1439-J1439)</f>
        <v/>
      </c>
      <c r="S1439" s="7" t="n"/>
      <c r="T1439" s="7" t="n"/>
      <c r="V1439" s="14" t="n"/>
      <c r="Z1439">
        <f>IF($B1439="","",IF(COUNTIF($B$2:$B1439,$B1439)=1,1,0))</f>
        <v/>
      </c>
      <c r="AA1439">
        <f>IF($Z1439=1,SUMPRODUCT(--($AC$2:$AC$3001&lt;$AC1439))+1,"")</f>
        <v/>
      </c>
      <c r="AB1439">
        <f>IF($B1439="","",IF(OR($Y1439=TRUE(),$Y1439="TRUE"),1,IF(AND($Y1439&lt;&gt;"",OR($Y1439=FALSE(),$Y1439="FALSE")),0,IF(MIN(ABS($X1439/100-Settings!$C$6),ABS($X1439/100-Settings!$G$6))&lt;=MIN(ABS($X1439/100-Settings!$C$7),ABS($X1439/100-Settings!$G$7)),1,0))))</f>
        <v/>
      </c>
      <c r="AC1439">
        <f>IF($Z1439=1,IFERROR(IF(VALUE($B1439)&lt;100000000,VALUE($B1439),1000000000),IFERROR(IF(VALUE(MID($B1439,2,20))&lt;100000000,VALUE(MID($B1439,2,20)),1000000000),1000000000))+ROW()/100000,"")</f>
        <v/>
      </c>
    </row>
    <row r="1440">
      <c r="A1440">
        <f>IF($B1440="","",IFERROR(IF(INDEX('Per Invoice'!$A$2:$A$801,MATCH($B1440,'Per Invoice'!$B$2:$B$801,0))=0,"",INDEX('Per Invoice'!$A$2:$A$801,MATCH($B1440,'Per Invoice'!$B$2:$B$801,0))),""))</f>
        <v/>
      </c>
      <c r="J1440" s="7">
        <f>IF($B1440="","",I1440*Q1440/100)</f>
        <v/>
      </c>
      <c r="N1440" s="7" t="n"/>
      <c r="O1440" s="7" t="n"/>
      <c r="P1440" s="7">
        <f>IF($B1440="","",O1440*X1440/100)</f>
        <v/>
      </c>
      <c r="Q1440" s="7">
        <f>IF($B1440="","",O1440-P1440)</f>
        <v/>
      </c>
      <c r="R1440" s="7">
        <f>IF($B1440="","",Q1440-J1440)</f>
        <v/>
      </c>
      <c r="S1440" s="7" t="n"/>
      <c r="T1440" s="7" t="n"/>
      <c r="V1440" s="14" t="n"/>
      <c r="Z1440">
        <f>IF($B1440="","",IF(COUNTIF($B$2:$B1440,$B1440)=1,1,0))</f>
        <v/>
      </c>
      <c r="AA1440">
        <f>IF($Z1440=1,SUMPRODUCT(--($AC$2:$AC$3001&lt;$AC1440))+1,"")</f>
        <v/>
      </c>
      <c r="AB1440">
        <f>IF($B1440="","",IF(OR($Y1440=TRUE(),$Y1440="TRUE"),1,IF(AND($Y1440&lt;&gt;"",OR($Y1440=FALSE(),$Y1440="FALSE")),0,IF(MIN(ABS($X1440/100-Settings!$C$6),ABS($X1440/100-Settings!$G$6))&lt;=MIN(ABS($X1440/100-Settings!$C$7),ABS($X1440/100-Settings!$G$7)),1,0))))</f>
        <v/>
      </c>
      <c r="AC1440">
        <f>IF($Z1440=1,IFERROR(IF(VALUE($B1440)&lt;100000000,VALUE($B1440),1000000000),IFERROR(IF(VALUE(MID($B1440,2,20))&lt;100000000,VALUE(MID($B1440,2,20)),1000000000),1000000000))+ROW()/100000,"")</f>
        <v/>
      </c>
    </row>
    <row r="1441">
      <c r="A1441">
        <f>IF($B1441="","",IFERROR(IF(INDEX('Per Invoice'!$A$2:$A$801,MATCH($B1441,'Per Invoice'!$B$2:$B$801,0))=0,"",INDEX('Per Invoice'!$A$2:$A$801,MATCH($B1441,'Per Invoice'!$B$2:$B$801,0))),""))</f>
        <v/>
      </c>
      <c r="J1441" s="7">
        <f>IF($B1441="","",I1441*Q1441/100)</f>
        <v/>
      </c>
      <c r="N1441" s="7" t="n"/>
      <c r="O1441" s="7" t="n"/>
      <c r="P1441" s="7">
        <f>IF($B1441="","",O1441*X1441/100)</f>
        <v/>
      </c>
      <c r="Q1441" s="7">
        <f>IF($B1441="","",O1441-P1441)</f>
        <v/>
      </c>
      <c r="R1441" s="7">
        <f>IF($B1441="","",Q1441-J1441)</f>
        <v/>
      </c>
      <c r="S1441" s="7" t="n"/>
      <c r="T1441" s="7" t="n"/>
      <c r="V1441" s="14" t="n"/>
      <c r="Z1441">
        <f>IF($B1441="","",IF(COUNTIF($B$2:$B1441,$B1441)=1,1,0))</f>
        <v/>
      </c>
      <c r="AA1441">
        <f>IF($Z1441=1,SUMPRODUCT(--($AC$2:$AC$3001&lt;$AC1441))+1,"")</f>
        <v/>
      </c>
      <c r="AB1441">
        <f>IF($B1441="","",IF(OR($Y1441=TRUE(),$Y1441="TRUE"),1,IF(AND($Y1441&lt;&gt;"",OR($Y1441=FALSE(),$Y1441="FALSE")),0,IF(MIN(ABS($X1441/100-Settings!$C$6),ABS($X1441/100-Settings!$G$6))&lt;=MIN(ABS($X1441/100-Settings!$C$7),ABS($X1441/100-Settings!$G$7)),1,0))))</f>
        <v/>
      </c>
      <c r="AC1441">
        <f>IF($Z1441=1,IFERROR(IF(VALUE($B1441)&lt;100000000,VALUE($B1441),1000000000),IFERROR(IF(VALUE(MID($B1441,2,20))&lt;100000000,VALUE(MID($B1441,2,20)),1000000000),1000000000))+ROW()/100000,"")</f>
        <v/>
      </c>
    </row>
    <row r="1442">
      <c r="A1442">
        <f>IF($B1442="","",IFERROR(IF(INDEX('Per Invoice'!$A$2:$A$801,MATCH($B1442,'Per Invoice'!$B$2:$B$801,0))=0,"",INDEX('Per Invoice'!$A$2:$A$801,MATCH($B1442,'Per Invoice'!$B$2:$B$801,0))),""))</f>
        <v/>
      </c>
      <c r="J1442" s="7">
        <f>IF($B1442="","",I1442*Q1442/100)</f>
        <v/>
      </c>
      <c r="N1442" s="7" t="n"/>
      <c r="O1442" s="7" t="n"/>
      <c r="P1442" s="7">
        <f>IF($B1442="","",O1442*X1442/100)</f>
        <v/>
      </c>
      <c r="Q1442" s="7">
        <f>IF($B1442="","",O1442-P1442)</f>
        <v/>
      </c>
      <c r="R1442" s="7">
        <f>IF($B1442="","",Q1442-J1442)</f>
        <v/>
      </c>
      <c r="S1442" s="7" t="n"/>
      <c r="T1442" s="7" t="n"/>
      <c r="V1442" s="14" t="n"/>
      <c r="Z1442">
        <f>IF($B1442="","",IF(COUNTIF($B$2:$B1442,$B1442)=1,1,0))</f>
        <v/>
      </c>
      <c r="AA1442">
        <f>IF($Z1442=1,SUMPRODUCT(--($AC$2:$AC$3001&lt;$AC1442))+1,"")</f>
        <v/>
      </c>
      <c r="AB1442">
        <f>IF($B1442="","",IF(OR($Y1442=TRUE(),$Y1442="TRUE"),1,IF(AND($Y1442&lt;&gt;"",OR($Y1442=FALSE(),$Y1442="FALSE")),0,IF(MIN(ABS($X1442/100-Settings!$C$6),ABS($X1442/100-Settings!$G$6))&lt;=MIN(ABS($X1442/100-Settings!$C$7),ABS($X1442/100-Settings!$G$7)),1,0))))</f>
        <v/>
      </c>
      <c r="AC1442">
        <f>IF($Z1442=1,IFERROR(IF(VALUE($B1442)&lt;100000000,VALUE($B1442),1000000000),IFERROR(IF(VALUE(MID($B1442,2,20))&lt;100000000,VALUE(MID($B1442,2,20)),1000000000),1000000000))+ROW()/100000,"")</f>
        <v/>
      </c>
    </row>
    <row r="1443">
      <c r="A1443">
        <f>IF($B1443="","",IFERROR(IF(INDEX('Per Invoice'!$A$2:$A$801,MATCH($B1443,'Per Invoice'!$B$2:$B$801,0))=0,"",INDEX('Per Invoice'!$A$2:$A$801,MATCH($B1443,'Per Invoice'!$B$2:$B$801,0))),""))</f>
        <v/>
      </c>
      <c r="J1443" s="7">
        <f>IF($B1443="","",I1443*Q1443/100)</f>
        <v/>
      </c>
      <c r="N1443" s="7" t="n"/>
      <c r="O1443" s="7" t="n"/>
      <c r="P1443" s="7">
        <f>IF($B1443="","",O1443*X1443/100)</f>
        <v/>
      </c>
      <c r="Q1443" s="7">
        <f>IF($B1443="","",O1443-P1443)</f>
        <v/>
      </c>
      <c r="R1443" s="7">
        <f>IF($B1443="","",Q1443-J1443)</f>
        <v/>
      </c>
      <c r="S1443" s="7" t="n"/>
      <c r="T1443" s="7" t="n"/>
      <c r="V1443" s="14" t="n"/>
      <c r="Z1443">
        <f>IF($B1443="","",IF(COUNTIF($B$2:$B1443,$B1443)=1,1,0))</f>
        <v/>
      </c>
      <c r="AA1443">
        <f>IF($Z1443=1,SUMPRODUCT(--($AC$2:$AC$3001&lt;$AC1443))+1,"")</f>
        <v/>
      </c>
      <c r="AB1443">
        <f>IF($B1443="","",IF(OR($Y1443=TRUE(),$Y1443="TRUE"),1,IF(AND($Y1443&lt;&gt;"",OR($Y1443=FALSE(),$Y1443="FALSE")),0,IF(MIN(ABS($X1443/100-Settings!$C$6),ABS($X1443/100-Settings!$G$6))&lt;=MIN(ABS($X1443/100-Settings!$C$7),ABS($X1443/100-Settings!$G$7)),1,0))))</f>
        <v/>
      </c>
      <c r="AC1443">
        <f>IF($Z1443=1,IFERROR(IF(VALUE($B1443)&lt;100000000,VALUE($B1443),1000000000),IFERROR(IF(VALUE(MID($B1443,2,20))&lt;100000000,VALUE(MID($B1443,2,20)),1000000000),1000000000))+ROW()/100000,"")</f>
        <v/>
      </c>
    </row>
    <row r="1444">
      <c r="A1444">
        <f>IF($B1444="","",IFERROR(IF(INDEX('Per Invoice'!$A$2:$A$801,MATCH($B1444,'Per Invoice'!$B$2:$B$801,0))=0,"",INDEX('Per Invoice'!$A$2:$A$801,MATCH($B1444,'Per Invoice'!$B$2:$B$801,0))),""))</f>
        <v/>
      </c>
      <c r="J1444" s="7">
        <f>IF($B1444="","",I1444*Q1444/100)</f>
        <v/>
      </c>
      <c r="N1444" s="7" t="n"/>
      <c r="O1444" s="7" t="n"/>
      <c r="P1444" s="7">
        <f>IF($B1444="","",O1444*X1444/100)</f>
        <v/>
      </c>
      <c r="Q1444" s="7">
        <f>IF($B1444="","",O1444-P1444)</f>
        <v/>
      </c>
      <c r="R1444" s="7">
        <f>IF($B1444="","",Q1444-J1444)</f>
        <v/>
      </c>
      <c r="S1444" s="7" t="n"/>
      <c r="T1444" s="7" t="n"/>
      <c r="V1444" s="14" t="n"/>
      <c r="Z1444">
        <f>IF($B1444="","",IF(COUNTIF($B$2:$B1444,$B1444)=1,1,0))</f>
        <v/>
      </c>
      <c r="AA1444">
        <f>IF($Z1444=1,SUMPRODUCT(--($AC$2:$AC$3001&lt;$AC1444))+1,"")</f>
        <v/>
      </c>
      <c r="AB1444">
        <f>IF($B1444="","",IF(OR($Y1444=TRUE(),$Y1444="TRUE"),1,IF(AND($Y1444&lt;&gt;"",OR($Y1444=FALSE(),$Y1444="FALSE")),0,IF(MIN(ABS($X1444/100-Settings!$C$6),ABS($X1444/100-Settings!$G$6))&lt;=MIN(ABS($X1444/100-Settings!$C$7),ABS($X1444/100-Settings!$G$7)),1,0))))</f>
        <v/>
      </c>
      <c r="AC1444">
        <f>IF($Z1444=1,IFERROR(IF(VALUE($B1444)&lt;100000000,VALUE($B1444),1000000000),IFERROR(IF(VALUE(MID($B1444,2,20))&lt;100000000,VALUE(MID($B1444,2,20)),1000000000),1000000000))+ROW()/100000,"")</f>
        <v/>
      </c>
    </row>
    <row r="1445">
      <c r="A1445">
        <f>IF($B1445="","",IFERROR(IF(INDEX('Per Invoice'!$A$2:$A$801,MATCH($B1445,'Per Invoice'!$B$2:$B$801,0))=0,"",INDEX('Per Invoice'!$A$2:$A$801,MATCH($B1445,'Per Invoice'!$B$2:$B$801,0))),""))</f>
        <v/>
      </c>
      <c r="J1445" s="7">
        <f>IF($B1445="","",I1445*Q1445/100)</f>
        <v/>
      </c>
      <c r="N1445" s="7" t="n"/>
      <c r="O1445" s="7" t="n"/>
      <c r="P1445" s="7">
        <f>IF($B1445="","",O1445*X1445/100)</f>
        <v/>
      </c>
      <c r="Q1445" s="7">
        <f>IF($B1445="","",O1445-P1445)</f>
        <v/>
      </c>
      <c r="R1445" s="7">
        <f>IF($B1445="","",Q1445-J1445)</f>
        <v/>
      </c>
      <c r="S1445" s="7" t="n"/>
      <c r="T1445" s="7" t="n"/>
      <c r="V1445" s="14" t="n"/>
      <c r="Z1445">
        <f>IF($B1445="","",IF(COUNTIF($B$2:$B1445,$B1445)=1,1,0))</f>
        <v/>
      </c>
      <c r="AA1445">
        <f>IF($Z1445=1,SUMPRODUCT(--($AC$2:$AC$3001&lt;$AC1445))+1,"")</f>
        <v/>
      </c>
      <c r="AB1445">
        <f>IF($B1445="","",IF(OR($Y1445=TRUE(),$Y1445="TRUE"),1,IF(AND($Y1445&lt;&gt;"",OR($Y1445=FALSE(),$Y1445="FALSE")),0,IF(MIN(ABS($X1445/100-Settings!$C$6),ABS($X1445/100-Settings!$G$6))&lt;=MIN(ABS($X1445/100-Settings!$C$7),ABS($X1445/100-Settings!$G$7)),1,0))))</f>
        <v/>
      </c>
      <c r="AC1445">
        <f>IF($Z1445=1,IFERROR(IF(VALUE($B1445)&lt;100000000,VALUE($B1445),1000000000),IFERROR(IF(VALUE(MID($B1445,2,20))&lt;100000000,VALUE(MID($B1445,2,20)),1000000000),1000000000))+ROW()/100000,"")</f>
        <v/>
      </c>
    </row>
    <row r="1446">
      <c r="A1446">
        <f>IF($B1446="","",IFERROR(IF(INDEX('Per Invoice'!$A$2:$A$801,MATCH($B1446,'Per Invoice'!$B$2:$B$801,0))=0,"",INDEX('Per Invoice'!$A$2:$A$801,MATCH($B1446,'Per Invoice'!$B$2:$B$801,0))),""))</f>
        <v/>
      </c>
      <c r="J1446" s="7">
        <f>IF($B1446="","",I1446*Q1446/100)</f>
        <v/>
      </c>
      <c r="N1446" s="7" t="n"/>
      <c r="O1446" s="7" t="n"/>
      <c r="P1446" s="7">
        <f>IF($B1446="","",O1446*X1446/100)</f>
        <v/>
      </c>
      <c r="Q1446" s="7">
        <f>IF($B1446="","",O1446-P1446)</f>
        <v/>
      </c>
      <c r="R1446" s="7">
        <f>IF($B1446="","",Q1446-J1446)</f>
        <v/>
      </c>
      <c r="S1446" s="7" t="n"/>
      <c r="T1446" s="7" t="n"/>
      <c r="V1446" s="14" t="n"/>
      <c r="Z1446">
        <f>IF($B1446="","",IF(COUNTIF($B$2:$B1446,$B1446)=1,1,0))</f>
        <v/>
      </c>
      <c r="AA1446">
        <f>IF($Z1446=1,SUMPRODUCT(--($AC$2:$AC$3001&lt;$AC1446))+1,"")</f>
        <v/>
      </c>
      <c r="AB1446">
        <f>IF($B1446="","",IF(OR($Y1446=TRUE(),$Y1446="TRUE"),1,IF(AND($Y1446&lt;&gt;"",OR($Y1446=FALSE(),$Y1446="FALSE")),0,IF(MIN(ABS($X1446/100-Settings!$C$6),ABS($X1446/100-Settings!$G$6))&lt;=MIN(ABS($X1446/100-Settings!$C$7),ABS($X1446/100-Settings!$G$7)),1,0))))</f>
        <v/>
      </c>
      <c r="AC1446">
        <f>IF($Z1446=1,IFERROR(IF(VALUE($B1446)&lt;100000000,VALUE($B1446),1000000000),IFERROR(IF(VALUE(MID($B1446,2,20))&lt;100000000,VALUE(MID($B1446,2,20)),1000000000),1000000000))+ROW()/100000,"")</f>
        <v/>
      </c>
    </row>
    <row r="1447">
      <c r="A1447">
        <f>IF($B1447="","",IFERROR(IF(INDEX('Per Invoice'!$A$2:$A$801,MATCH($B1447,'Per Invoice'!$B$2:$B$801,0))=0,"",INDEX('Per Invoice'!$A$2:$A$801,MATCH($B1447,'Per Invoice'!$B$2:$B$801,0))),""))</f>
        <v/>
      </c>
      <c r="J1447" s="7">
        <f>IF($B1447="","",I1447*Q1447/100)</f>
        <v/>
      </c>
      <c r="N1447" s="7" t="n"/>
      <c r="O1447" s="7" t="n"/>
      <c r="P1447" s="7">
        <f>IF($B1447="","",O1447*X1447/100)</f>
        <v/>
      </c>
      <c r="Q1447" s="7">
        <f>IF($B1447="","",O1447-P1447)</f>
        <v/>
      </c>
      <c r="R1447" s="7">
        <f>IF($B1447="","",Q1447-J1447)</f>
        <v/>
      </c>
      <c r="S1447" s="7" t="n"/>
      <c r="T1447" s="7" t="n"/>
      <c r="V1447" s="14" t="n"/>
      <c r="Z1447">
        <f>IF($B1447="","",IF(COUNTIF($B$2:$B1447,$B1447)=1,1,0))</f>
        <v/>
      </c>
      <c r="AA1447">
        <f>IF($Z1447=1,SUMPRODUCT(--($AC$2:$AC$3001&lt;$AC1447))+1,"")</f>
        <v/>
      </c>
      <c r="AB1447">
        <f>IF($B1447="","",IF(OR($Y1447=TRUE(),$Y1447="TRUE"),1,IF(AND($Y1447&lt;&gt;"",OR($Y1447=FALSE(),$Y1447="FALSE")),0,IF(MIN(ABS($X1447/100-Settings!$C$6),ABS($X1447/100-Settings!$G$6))&lt;=MIN(ABS($X1447/100-Settings!$C$7),ABS($X1447/100-Settings!$G$7)),1,0))))</f>
        <v/>
      </c>
      <c r="AC1447">
        <f>IF($Z1447=1,IFERROR(IF(VALUE($B1447)&lt;100000000,VALUE($B1447),1000000000),IFERROR(IF(VALUE(MID($B1447,2,20))&lt;100000000,VALUE(MID($B1447,2,20)),1000000000),1000000000))+ROW()/100000,"")</f>
        <v/>
      </c>
    </row>
    <row r="1448">
      <c r="A1448">
        <f>IF($B1448="","",IFERROR(IF(INDEX('Per Invoice'!$A$2:$A$801,MATCH($B1448,'Per Invoice'!$B$2:$B$801,0))=0,"",INDEX('Per Invoice'!$A$2:$A$801,MATCH($B1448,'Per Invoice'!$B$2:$B$801,0))),""))</f>
        <v/>
      </c>
      <c r="J1448" s="7">
        <f>IF($B1448="","",I1448*Q1448/100)</f>
        <v/>
      </c>
      <c r="N1448" s="7" t="n"/>
      <c r="O1448" s="7" t="n"/>
      <c r="P1448" s="7">
        <f>IF($B1448="","",O1448*X1448/100)</f>
        <v/>
      </c>
      <c r="Q1448" s="7">
        <f>IF($B1448="","",O1448-P1448)</f>
        <v/>
      </c>
      <c r="R1448" s="7">
        <f>IF($B1448="","",Q1448-J1448)</f>
        <v/>
      </c>
      <c r="S1448" s="7" t="n"/>
      <c r="T1448" s="7" t="n"/>
      <c r="V1448" s="14" t="n"/>
      <c r="Z1448">
        <f>IF($B1448="","",IF(COUNTIF($B$2:$B1448,$B1448)=1,1,0))</f>
        <v/>
      </c>
      <c r="AA1448">
        <f>IF($Z1448=1,SUMPRODUCT(--($AC$2:$AC$3001&lt;$AC1448))+1,"")</f>
        <v/>
      </c>
      <c r="AB1448">
        <f>IF($B1448="","",IF(OR($Y1448=TRUE(),$Y1448="TRUE"),1,IF(AND($Y1448&lt;&gt;"",OR($Y1448=FALSE(),$Y1448="FALSE")),0,IF(MIN(ABS($X1448/100-Settings!$C$6),ABS($X1448/100-Settings!$G$6))&lt;=MIN(ABS($X1448/100-Settings!$C$7),ABS($X1448/100-Settings!$G$7)),1,0))))</f>
        <v/>
      </c>
      <c r="AC1448">
        <f>IF($Z1448=1,IFERROR(IF(VALUE($B1448)&lt;100000000,VALUE($B1448),1000000000),IFERROR(IF(VALUE(MID($B1448,2,20))&lt;100000000,VALUE(MID($B1448,2,20)),1000000000),1000000000))+ROW()/100000,"")</f>
        <v/>
      </c>
    </row>
    <row r="1449">
      <c r="A1449">
        <f>IF($B1449="","",IFERROR(IF(INDEX('Per Invoice'!$A$2:$A$801,MATCH($B1449,'Per Invoice'!$B$2:$B$801,0))=0,"",INDEX('Per Invoice'!$A$2:$A$801,MATCH($B1449,'Per Invoice'!$B$2:$B$801,0))),""))</f>
        <v/>
      </c>
      <c r="J1449" s="7">
        <f>IF($B1449="","",I1449*Q1449/100)</f>
        <v/>
      </c>
      <c r="N1449" s="7" t="n"/>
      <c r="O1449" s="7" t="n"/>
      <c r="P1449" s="7">
        <f>IF($B1449="","",O1449*X1449/100)</f>
        <v/>
      </c>
      <c r="Q1449" s="7">
        <f>IF($B1449="","",O1449-P1449)</f>
        <v/>
      </c>
      <c r="R1449" s="7">
        <f>IF($B1449="","",Q1449-J1449)</f>
        <v/>
      </c>
      <c r="S1449" s="7" t="n"/>
      <c r="T1449" s="7" t="n"/>
      <c r="V1449" s="14" t="n"/>
      <c r="Z1449">
        <f>IF($B1449="","",IF(COUNTIF($B$2:$B1449,$B1449)=1,1,0))</f>
        <v/>
      </c>
      <c r="AA1449">
        <f>IF($Z1449=1,SUMPRODUCT(--($AC$2:$AC$3001&lt;$AC1449))+1,"")</f>
        <v/>
      </c>
      <c r="AB1449">
        <f>IF($B1449="","",IF(OR($Y1449=TRUE(),$Y1449="TRUE"),1,IF(AND($Y1449&lt;&gt;"",OR($Y1449=FALSE(),$Y1449="FALSE")),0,IF(MIN(ABS($X1449/100-Settings!$C$6),ABS($X1449/100-Settings!$G$6))&lt;=MIN(ABS($X1449/100-Settings!$C$7),ABS($X1449/100-Settings!$G$7)),1,0))))</f>
        <v/>
      </c>
      <c r="AC1449">
        <f>IF($Z1449=1,IFERROR(IF(VALUE($B1449)&lt;100000000,VALUE($B1449),1000000000),IFERROR(IF(VALUE(MID($B1449,2,20))&lt;100000000,VALUE(MID($B1449,2,20)),1000000000),1000000000))+ROW()/100000,"")</f>
        <v/>
      </c>
    </row>
    <row r="1450">
      <c r="A1450">
        <f>IF($B1450="","",IFERROR(IF(INDEX('Per Invoice'!$A$2:$A$801,MATCH($B1450,'Per Invoice'!$B$2:$B$801,0))=0,"",INDEX('Per Invoice'!$A$2:$A$801,MATCH($B1450,'Per Invoice'!$B$2:$B$801,0))),""))</f>
        <v/>
      </c>
      <c r="J1450" s="7">
        <f>IF($B1450="","",I1450*Q1450/100)</f>
        <v/>
      </c>
      <c r="N1450" s="7" t="n"/>
      <c r="O1450" s="7" t="n"/>
      <c r="P1450" s="7">
        <f>IF($B1450="","",O1450*X1450/100)</f>
        <v/>
      </c>
      <c r="Q1450" s="7">
        <f>IF($B1450="","",O1450-P1450)</f>
        <v/>
      </c>
      <c r="R1450" s="7">
        <f>IF($B1450="","",Q1450-J1450)</f>
        <v/>
      </c>
      <c r="S1450" s="7" t="n"/>
      <c r="T1450" s="7" t="n"/>
      <c r="V1450" s="14" t="n"/>
      <c r="Z1450">
        <f>IF($B1450="","",IF(COUNTIF($B$2:$B1450,$B1450)=1,1,0))</f>
        <v/>
      </c>
      <c r="AA1450">
        <f>IF($Z1450=1,SUMPRODUCT(--($AC$2:$AC$3001&lt;$AC1450))+1,"")</f>
        <v/>
      </c>
      <c r="AB1450">
        <f>IF($B1450="","",IF(OR($Y1450=TRUE(),$Y1450="TRUE"),1,IF(AND($Y1450&lt;&gt;"",OR($Y1450=FALSE(),$Y1450="FALSE")),0,IF(MIN(ABS($X1450/100-Settings!$C$6),ABS($X1450/100-Settings!$G$6))&lt;=MIN(ABS($X1450/100-Settings!$C$7),ABS($X1450/100-Settings!$G$7)),1,0))))</f>
        <v/>
      </c>
      <c r="AC1450">
        <f>IF($Z1450=1,IFERROR(IF(VALUE($B1450)&lt;100000000,VALUE($B1450),1000000000),IFERROR(IF(VALUE(MID($B1450,2,20))&lt;100000000,VALUE(MID($B1450,2,20)),1000000000),1000000000))+ROW()/100000,"")</f>
        <v/>
      </c>
    </row>
    <row r="1451">
      <c r="A1451">
        <f>IF($B1451="","",IFERROR(IF(INDEX('Per Invoice'!$A$2:$A$801,MATCH($B1451,'Per Invoice'!$B$2:$B$801,0))=0,"",INDEX('Per Invoice'!$A$2:$A$801,MATCH($B1451,'Per Invoice'!$B$2:$B$801,0))),""))</f>
        <v/>
      </c>
      <c r="J1451" s="7">
        <f>IF($B1451="","",I1451*Q1451/100)</f>
        <v/>
      </c>
      <c r="N1451" s="7" t="n"/>
      <c r="O1451" s="7" t="n"/>
      <c r="P1451" s="7">
        <f>IF($B1451="","",O1451*X1451/100)</f>
        <v/>
      </c>
      <c r="Q1451" s="7">
        <f>IF($B1451="","",O1451-P1451)</f>
        <v/>
      </c>
      <c r="R1451" s="7">
        <f>IF($B1451="","",Q1451-J1451)</f>
        <v/>
      </c>
      <c r="S1451" s="7" t="n"/>
      <c r="T1451" s="7" t="n"/>
      <c r="V1451" s="14" t="n"/>
      <c r="Z1451">
        <f>IF($B1451="","",IF(COUNTIF($B$2:$B1451,$B1451)=1,1,0))</f>
        <v/>
      </c>
      <c r="AA1451">
        <f>IF($Z1451=1,SUMPRODUCT(--($AC$2:$AC$3001&lt;$AC1451))+1,"")</f>
        <v/>
      </c>
      <c r="AB1451">
        <f>IF($B1451="","",IF(OR($Y1451=TRUE(),$Y1451="TRUE"),1,IF(AND($Y1451&lt;&gt;"",OR($Y1451=FALSE(),$Y1451="FALSE")),0,IF(MIN(ABS($X1451/100-Settings!$C$6),ABS($X1451/100-Settings!$G$6))&lt;=MIN(ABS($X1451/100-Settings!$C$7),ABS($X1451/100-Settings!$G$7)),1,0))))</f>
        <v/>
      </c>
      <c r="AC1451">
        <f>IF($Z1451=1,IFERROR(IF(VALUE($B1451)&lt;100000000,VALUE($B1451),1000000000),IFERROR(IF(VALUE(MID($B1451,2,20))&lt;100000000,VALUE(MID($B1451,2,20)),1000000000),1000000000))+ROW()/100000,"")</f>
        <v/>
      </c>
    </row>
    <row r="1452">
      <c r="A1452">
        <f>IF($B1452="","",IFERROR(IF(INDEX('Per Invoice'!$A$2:$A$801,MATCH($B1452,'Per Invoice'!$B$2:$B$801,0))=0,"",INDEX('Per Invoice'!$A$2:$A$801,MATCH($B1452,'Per Invoice'!$B$2:$B$801,0))),""))</f>
        <v/>
      </c>
      <c r="J1452" s="7">
        <f>IF($B1452="","",I1452*Q1452/100)</f>
        <v/>
      </c>
      <c r="N1452" s="7" t="n"/>
      <c r="O1452" s="7" t="n"/>
      <c r="P1452" s="7">
        <f>IF($B1452="","",O1452*X1452/100)</f>
        <v/>
      </c>
      <c r="Q1452" s="7">
        <f>IF($B1452="","",O1452-P1452)</f>
        <v/>
      </c>
      <c r="R1452" s="7">
        <f>IF($B1452="","",Q1452-J1452)</f>
        <v/>
      </c>
      <c r="S1452" s="7" t="n"/>
      <c r="T1452" s="7" t="n"/>
      <c r="V1452" s="14" t="n"/>
      <c r="Z1452">
        <f>IF($B1452="","",IF(COUNTIF($B$2:$B1452,$B1452)=1,1,0))</f>
        <v/>
      </c>
      <c r="AA1452">
        <f>IF($Z1452=1,SUMPRODUCT(--($AC$2:$AC$3001&lt;$AC1452))+1,"")</f>
        <v/>
      </c>
      <c r="AB1452">
        <f>IF($B1452="","",IF(OR($Y1452=TRUE(),$Y1452="TRUE"),1,IF(AND($Y1452&lt;&gt;"",OR($Y1452=FALSE(),$Y1452="FALSE")),0,IF(MIN(ABS($X1452/100-Settings!$C$6),ABS($X1452/100-Settings!$G$6))&lt;=MIN(ABS($X1452/100-Settings!$C$7),ABS($X1452/100-Settings!$G$7)),1,0))))</f>
        <v/>
      </c>
      <c r="AC1452">
        <f>IF($Z1452=1,IFERROR(IF(VALUE($B1452)&lt;100000000,VALUE($B1452),1000000000),IFERROR(IF(VALUE(MID($B1452,2,20))&lt;100000000,VALUE(MID($B1452,2,20)),1000000000),1000000000))+ROW()/100000,"")</f>
        <v/>
      </c>
    </row>
    <row r="1453">
      <c r="A1453">
        <f>IF($B1453="","",IFERROR(IF(INDEX('Per Invoice'!$A$2:$A$801,MATCH($B1453,'Per Invoice'!$B$2:$B$801,0))=0,"",INDEX('Per Invoice'!$A$2:$A$801,MATCH($B1453,'Per Invoice'!$B$2:$B$801,0))),""))</f>
        <v/>
      </c>
      <c r="J1453" s="7">
        <f>IF($B1453="","",I1453*Q1453/100)</f>
        <v/>
      </c>
      <c r="N1453" s="7" t="n"/>
      <c r="O1453" s="7" t="n"/>
      <c r="P1453" s="7">
        <f>IF($B1453="","",O1453*X1453/100)</f>
        <v/>
      </c>
      <c r="Q1453" s="7">
        <f>IF($B1453="","",O1453-P1453)</f>
        <v/>
      </c>
      <c r="R1453" s="7">
        <f>IF($B1453="","",Q1453-J1453)</f>
        <v/>
      </c>
      <c r="S1453" s="7" t="n"/>
      <c r="T1453" s="7" t="n"/>
      <c r="V1453" s="14" t="n"/>
      <c r="Z1453">
        <f>IF($B1453="","",IF(COUNTIF($B$2:$B1453,$B1453)=1,1,0))</f>
        <v/>
      </c>
      <c r="AA1453">
        <f>IF($Z1453=1,SUMPRODUCT(--($AC$2:$AC$3001&lt;$AC1453))+1,"")</f>
        <v/>
      </c>
      <c r="AB1453">
        <f>IF($B1453="","",IF(OR($Y1453=TRUE(),$Y1453="TRUE"),1,IF(AND($Y1453&lt;&gt;"",OR($Y1453=FALSE(),$Y1453="FALSE")),0,IF(MIN(ABS($X1453/100-Settings!$C$6),ABS($X1453/100-Settings!$G$6))&lt;=MIN(ABS($X1453/100-Settings!$C$7),ABS($X1453/100-Settings!$G$7)),1,0))))</f>
        <v/>
      </c>
      <c r="AC1453">
        <f>IF($Z1453=1,IFERROR(IF(VALUE($B1453)&lt;100000000,VALUE($B1453),1000000000),IFERROR(IF(VALUE(MID($B1453,2,20))&lt;100000000,VALUE(MID($B1453,2,20)),1000000000),1000000000))+ROW()/100000,"")</f>
        <v/>
      </c>
    </row>
    <row r="1454">
      <c r="A1454">
        <f>IF($B1454="","",IFERROR(IF(INDEX('Per Invoice'!$A$2:$A$801,MATCH($B1454,'Per Invoice'!$B$2:$B$801,0))=0,"",INDEX('Per Invoice'!$A$2:$A$801,MATCH($B1454,'Per Invoice'!$B$2:$B$801,0))),""))</f>
        <v/>
      </c>
      <c r="J1454" s="7">
        <f>IF($B1454="","",I1454*Q1454/100)</f>
        <v/>
      </c>
      <c r="N1454" s="7" t="n"/>
      <c r="O1454" s="7" t="n"/>
      <c r="P1454" s="7">
        <f>IF($B1454="","",O1454*X1454/100)</f>
        <v/>
      </c>
      <c r="Q1454" s="7">
        <f>IF($B1454="","",O1454-P1454)</f>
        <v/>
      </c>
      <c r="R1454" s="7">
        <f>IF($B1454="","",Q1454-J1454)</f>
        <v/>
      </c>
      <c r="S1454" s="7" t="n"/>
      <c r="T1454" s="7" t="n"/>
      <c r="V1454" s="14" t="n"/>
      <c r="Z1454">
        <f>IF($B1454="","",IF(COUNTIF($B$2:$B1454,$B1454)=1,1,0))</f>
        <v/>
      </c>
      <c r="AA1454">
        <f>IF($Z1454=1,SUMPRODUCT(--($AC$2:$AC$3001&lt;$AC1454))+1,"")</f>
        <v/>
      </c>
      <c r="AB1454">
        <f>IF($B1454="","",IF(OR($Y1454=TRUE(),$Y1454="TRUE"),1,IF(AND($Y1454&lt;&gt;"",OR($Y1454=FALSE(),$Y1454="FALSE")),0,IF(MIN(ABS($X1454/100-Settings!$C$6),ABS($X1454/100-Settings!$G$6))&lt;=MIN(ABS($X1454/100-Settings!$C$7),ABS($X1454/100-Settings!$G$7)),1,0))))</f>
        <v/>
      </c>
      <c r="AC1454">
        <f>IF($Z1454=1,IFERROR(IF(VALUE($B1454)&lt;100000000,VALUE($B1454),1000000000),IFERROR(IF(VALUE(MID($B1454,2,20))&lt;100000000,VALUE(MID($B1454,2,20)),1000000000),1000000000))+ROW()/100000,"")</f>
        <v/>
      </c>
    </row>
    <row r="1455">
      <c r="A1455">
        <f>IF($B1455="","",IFERROR(IF(INDEX('Per Invoice'!$A$2:$A$801,MATCH($B1455,'Per Invoice'!$B$2:$B$801,0))=0,"",INDEX('Per Invoice'!$A$2:$A$801,MATCH($B1455,'Per Invoice'!$B$2:$B$801,0))),""))</f>
        <v/>
      </c>
      <c r="J1455" s="7">
        <f>IF($B1455="","",I1455*Q1455/100)</f>
        <v/>
      </c>
      <c r="N1455" s="7" t="n"/>
      <c r="O1455" s="7" t="n"/>
      <c r="P1455" s="7">
        <f>IF($B1455="","",O1455*X1455/100)</f>
        <v/>
      </c>
      <c r="Q1455" s="7">
        <f>IF($B1455="","",O1455-P1455)</f>
        <v/>
      </c>
      <c r="R1455" s="7">
        <f>IF($B1455="","",Q1455-J1455)</f>
        <v/>
      </c>
      <c r="S1455" s="7" t="n"/>
      <c r="T1455" s="7" t="n"/>
      <c r="V1455" s="14" t="n"/>
      <c r="Z1455">
        <f>IF($B1455="","",IF(COUNTIF($B$2:$B1455,$B1455)=1,1,0))</f>
        <v/>
      </c>
      <c r="AA1455">
        <f>IF($Z1455=1,SUMPRODUCT(--($AC$2:$AC$3001&lt;$AC1455))+1,"")</f>
        <v/>
      </c>
      <c r="AB1455">
        <f>IF($B1455="","",IF(OR($Y1455=TRUE(),$Y1455="TRUE"),1,IF(AND($Y1455&lt;&gt;"",OR($Y1455=FALSE(),$Y1455="FALSE")),0,IF(MIN(ABS($X1455/100-Settings!$C$6),ABS($X1455/100-Settings!$G$6))&lt;=MIN(ABS($X1455/100-Settings!$C$7),ABS($X1455/100-Settings!$G$7)),1,0))))</f>
        <v/>
      </c>
      <c r="AC1455">
        <f>IF($Z1455=1,IFERROR(IF(VALUE($B1455)&lt;100000000,VALUE($B1455),1000000000),IFERROR(IF(VALUE(MID($B1455,2,20))&lt;100000000,VALUE(MID($B1455,2,20)),1000000000),1000000000))+ROW()/100000,"")</f>
        <v/>
      </c>
    </row>
    <row r="1456">
      <c r="A1456">
        <f>IF($B1456="","",IFERROR(IF(INDEX('Per Invoice'!$A$2:$A$801,MATCH($B1456,'Per Invoice'!$B$2:$B$801,0))=0,"",INDEX('Per Invoice'!$A$2:$A$801,MATCH($B1456,'Per Invoice'!$B$2:$B$801,0))),""))</f>
        <v/>
      </c>
      <c r="J1456" s="7">
        <f>IF($B1456="","",I1456*Q1456/100)</f>
        <v/>
      </c>
      <c r="N1456" s="7" t="n"/>
      <c r="O1456" s="7" t="n"/>
      <c r="P1456" s="7">
        <f>IF($B1456="","",O1456*X1456/100)</f>
        <v/>
      </c>
      <c r="Q1456" s="7">
        <f>IF($B1456="","",O1456-P1456)</f>
        <v/>
      </c>
      <c r="R1456" s="7">
        <f>IF($B1456="","",Q1456-J1456)</f>
        <v/>
      </c>
      <c r="S1456" s="7" t="n"/>
      <c r="T1456" s="7" t="n"/>
      <c r="V1456" s="14" t="n"/>
      <c r="Z1456">
        <f>IF($B1456="","",IF(COUNTIF($B$2:$B1456,$B1456)=1,1,0))</f>
        <v/>
      </c>
      <c r="AA1456">
        <f>IF($Z1456=1,SUMPRODUCT(--($AC$2:$AC$3001&lt;$AC1456))+1,"")</f>
        <v/>
      </c>
      <c r="AB1456">
        <f>IF($B1456="","",IF(OR($Y1456=TRUE(),$Y1456="TRUE"),1,IF(AND($Y1456&lt;&gt;"",OR($Y1456=FALSE(),$Y1456="FALSE")),0,IF(MIN(ABS($X1456/100-Settings!$C$6),ABS($X1456/100-Settings!$G$6))&lt;=MIN(ABS($X1456/100-Settings!$C$7),ABS($X1456/100-Settings!$G$7)),1,0))))</f>
        <v/>
      </c>
      <c r="AC1456">
        <f>IF($Z1456=1,IFERROR(IF(VALUE($B1456)&lt;100000000,VALUE($B1456),1000000000),IFERROR(IF(VALUE(MID($B1456,2,20))&lt;100000000,VALUE(MID($B1456,2,20)),1000000000),1000000000))+ROW()/100000,"")</f>
        <v/>
      </c>
    </row>
    <row r="1457">
      <c r="A1457">
        <f>IF($B1457="","",IFERROR(IF(INDEX('Per Invoice'!$A$2:$A$801,MATCH($B1457,'Per Invoice'!$B$2:$B$801,0))=0,"",INDEX('Per Invoice'!$A$2:$A$801,MATCH($B1457,'Per Invoice'!$B$2:$B$801,0))),""))</f>
        <v/>
      </c>
      <c r="J1457" s="7">
        <f>IF($B1457="","",I1457*Q1457/100)</f>
        <v/>
      </c>
      <c r="N1457" s="7" t="n"/>
      <c r="O1457" s="7" t="n"/>
      <c r="P1457" s="7">
        <f>IF($B1457="","",O1457*X1457/100)</f>
        <v/>
      </c>
      <c r="Q1457" s="7">
        <f>IF($B1457="","",O1457-P1457)</f>
        <v/>
      </c>
      <c r="R1457" s="7">
        <f>IF($B1457="","",Q1457-J1457)</f>
        <v/>
      </c>
      <c r="S1457" s="7" t="n"/>
      <c r="T1457" s="7" t="n"/>
      <c r="V1457" s="14" t="n"/>
      <c r="Z1457">
        <f>IF($B1457="","",IF(COUNTIF($B$2:$B1457,$B1457)=1,1,0))</f>
        <v/>
      </c>
      <c r="AA1457">
        <f>IF($Z1457=1,SUMPRODUCT(--($AC$2:$AC$3001&lt;$AC1457))+1,"")</f>
        <v/>
      </c>
      <c r="AB1457">
        <f>IF($B1457="","",IF(OR($Y1457=TRUE(),$Y1457="TRUE"),1,IF(AND($Y1457&lt;&gt;"",OR($Y1457=FALSE(),$Y1457="FALSE")),0,IF(MIN(ABS($X1457/100-Settings!$C$6),ABS($X1457/100-Settings!$G$6))&lt;=MIN(ABS($X1457/100-Settings!$C$7),ABS($X1457/100-Settings!$G$7)),1,0))))</f>
        <v/>
      </c>
      <c r="AC1457">
        <f>IF($Z1457=1,IFERROR(IF(VALUE($B1457)&lt;100000000,VALUE($B1457),1000000000),IFERROR(IF(VALUE(MID($B1457,2,20))&lt;100000000,VALUE(MID($B1457,2,20)),1000000000),1000000000))+ROW()/100000,"")</f>
        <v/>
      </c>
    </row>
    <row r="1458">
      <c r="A1458">
        <f>IF($B1458="","",IFERROR(IF(INDEX('Per Invoice'!$A$2:$A$801,MATCH($B1458,'Per Invoice'!$B$2:$B$801,0))=0,"",INDEX('Per Invoice'!$A$2:$A$801,MATCH($B1458,'Per Invoice'!$B$2:$B$801,0))),""))</f>
        <v/>
      </c>
      <c r="J1458" s="7">
        <f>IF($B1458="","",I1458*Q1458/100)</f>
        <v/>
      </c>
      <c r="N1458" s="7" t="n"/>
      <c r="O1458" s="7" t="n"/>
      <c r="P1458" s="7">
        <f>IF($B1458="","",O1458*X1458/100)</f>
        <v/>
      </c>
      <c r="Q1458" s="7">
        <f>IF($B1458="","",O1458-P1458)</f>
        <v/>
      </c>
      <c r="R1458" s="7">
        <f>IF($B1458="","",Q1458-J1458)</f>
        <v/>
      </c>
      <c r="S1458" s="7" t="n"/>
      <c r="T1458" s="7" t="n"/>
      <c r="V1458" s="14" t="n"/>
      <c r="Z1458">
        <f>IF($B1458="","",IF(COUNTIF($B$2:$B1458,$B1458)=1,1,0))</f>
        <v/>
      </c>
      <c r="AA1458">
        <f>IF($Z1458=1,SUMPRODUCT(--($AC$2:$AC$3001&lt;$AC1458))+1,"")</f>
        <v/>
      </c>
      <c r="AB1458">
        <f>IF($B1458="","",IF(OR($Y1458=TRUE(),$Y1458="TRUE"),1,IF(AND($Y1458&lt;&gt;"",OR($Y1458=FALSE(),$Y1458="FALSE")),0,IF(MIN(ABS($X1458/100-Settings!$C$6),ABS($X1458/100-Settings!$G$6))&lt;=MIN(ABS($X1458/100-Settings!$C$7),ABS($X1458/100-Settings!$G$7)),1,0))))</f>
        <v/>
      </c>
      <c r="AC1458">
        <f>IF($Z1458=1,IFERROR(IF(VALUE($B1458)&lt;100000000,VALUE($B1458),1000000000),IFERROR(IF(VALUE(MID($B1458,2,20))&lt;100000000,VALUE(MID($B1458,2,20)),1000000000),1000000000))+ROW()/100000,"")</f>
        <v/>
      </c>
    </row>
    <row r="1459">
      <c r="A1459">
        <f>IF($B1459="","",IFERROR(IF(INDEX('Per Invoice'!$A$2:$A$801,MATCH($B1459,'Per Invoice'!$B$2:$B$801,0))=0,"",INDEX('Per Invoice'!$A$2:$A$801,MATCH($B1459,'Per Invoice'!$B$2:$B$801,0))),""))</f>
        <v/>
      </c>
      <c r="J1459" s="7">
        <f>IF($B1459="","",I1459*Q1459/100)</f>
        <v/>
      </c>
      <c r="N1459" s="7" t="n"/>
      <c r="O1459" s="7" t="n"/>
      <c r="P1459" s="7">
        <f>IF($B1459="","",O1459*X1459/100)</f>
        <v/>
      </c>
      <c r="Q1459" s="7">
        <f>IF($B1459="","",O1459-P1459)</f>
        <v/>
      </c>
      <c r="R1459" s="7">
        <f>IF($B1459="","",Q1459-J1459)</f>
        <v/>
      </c>
      <c r="S1459" s="7" t="n"/>
      <c r="T1459" s="7" t="n"/>
      <c r="V1459" s="14" t="n"/>
      <c r="Z1459">
        <f>IF($B1459="","",IF(COUNTIF($B$2:$B1459,$B1459)=1,1,0))</f>
        <v/>
      </c>
      <c r="AA1459">
        <f>IF($Z1459=1,SUMPRODUCT(--($AC$2:$AC$3001&lt;$AC1459))+1,"")</f>
        <v/>
      </c>
      <c r="AB1459">
        <f>IF($B1459="","",IF(OR($Y1459=TRUE(),$Y1459="TRUE"),1,IF(AND($Y1459&lt;&gt;"",OR($Y1459=FALSE(),$Y1459="FALSE")),0,IF(MIN(ABS($X1459/100-Settings!$C$6),ABS($X1459/100-Settings!$G$6))&lt;=MIN(ABS($X1459/100-Settings!$C$7),ABS($X1459/100-Settings!$G$7)),1,0))))</f>
        <v/>
      </c>
      <c r="AC1459">
        <f>IF($Z1459=1,IFERROR(IF(VALUE($B1459)&lt;100000000,VALUE($B1459),1000000000),IFERROR(IF(VALUE(MID($B1459,2,20))&lt;100000000,VALUE(MID($B1459,2,20)),1000000000),1000000000))+ROW()/100000,"")</f>
        <v/>
      </c>
    </row>
    <row r="1460">
      <c r="A1460">
        <f>IF($B1460="","",IFERROR(IF(INDEX('Per Invoice'!$A$2:$A$801,MATCH($B1460,'Per Invoice'!$B$2:$B$801,0))=0,"",INDEX('Per Invoice'!$A$2:$A$801,MATCH($B1460,'Per Invoice'!$B$2:$B$801,0))),""))</f>
        <v/>
      </c>
      <c r="J1460" s="7">
        <f>IF($B1460="","",I1460*Q1460/100)</f>
        <v/>
      </c>
      <c r="N1460" s="7" t="n"/>
      <c r="O1460" s="7" t="n"/>
      <c r="P1460" s="7">
        <f>IF($B1460="","",O1460*X1460/100)</f>
        <v/>
      </c>
      <c r="Q1460" s="7">
        <f>IF($B1460="","",O1460-P1460)</f>
        <v/>
      </c>
      <c r="R1460" s="7">
        <f>IF($B1460="","",Q1460-J1460)</f>
        <v/>
      </c>
      <c r="S1460" s="7" t="n"/>
      <c r="T1460" s="7" t="n"/>
      <c r="V1460" s="14" t="n"/>
      <c r="Z1460">
        <f>IF($B1460="","",IF(COUNTIF($B$2:$B1460,$B1460)=1,1,0))</f>
        <v/>
      </c>
      <c r="AA1460">
        <f>IF($Z1460=1,SUMPRODUCT(--($AC$2:$AC$3001&lt;$AC1460))+1,"")</f>
        <v/>
      </c>
      <c r="AB1460">
        <f>IF($B1460="","",IF(OR($Y1460=TRUE(),$Y1460="TRUE"),1,IF(AND($Y1460&lt;&gt;"",OR($Y1460=FALSE(),$Y1460="FALSE")),0,IF(MIN(ABS($X1460/100-Settings!$C$6),ABS($X1460/100-Settings!$G$6))&lt;=MIN(ABS($X1460/100-Settings!$C$7),ABS($X1460/100-Settings!$G$7)),1,0))))</f>
        <v/>
      </c>
      <c r="AC1460">
        <f>IF($Z1460=1,IFERROR(IF(VALUE($B1460)&lt;100000000,VALUE($B1460),1000000000),IFERROR(IF(VALUE(MID($B1460,2,20))&lt;100000000,VALUE(MID($B1460,2,20)),1000000000),1000000000))+ROW()/100000,"")</f>
        <v/>
      </c>
    </row>
    <row r="1461">
      <c r="A1461">
        <f>IF($B1461="","",IFERROR(IF(INDEX('Per Invoice'!$A$2:$A$801,MATCH($B1461,'Per Invoice'!$B$2:$B$801,0))=0,"",INDEX('Per Invoice'!$A$2:$A$801,MATCH($B1461,'Per Invoice'!$B$2:$B$801,0))),""))</f>
        <v/>
      </c>
      <c r="J1461" s="7">
        <f>IF($B1461="","",I1461*Q1461/100)</f>
        <v/>
      </c>
      <c r="N1461" s="7" t="n"/>
      <c r="O1461" s="7" t="n"/>
      <c r="P1461" s="7">
        <f>IF($B1461="","",O1461*X1461/100)</f>
        <v/>
      </c>
      <c r="Q1461" s="7">
        <f>IF($B1461="","",O1461-P1461)</f>
        <v/>
      </c>
      <c r="R1461" s="7">
        <f>IF($B1461="","",Q1461-J1461)</f>
        <v/>
      </c>
      <c r="S1461" s="7" t="n"/>
      <c r="T1461" s="7" t="n"/>
      <c r="V1461" s="14" t="n"/>
      <c r="Z1461">
        <f>IF($B1461="","",IF(COUNTIF($B$2:$B1461,$B1461)=1,1,0))</f>
        <v/>
      </c>
      <c r="AA1461">
        <f>IF($Z1461=1,SUMPRODUCT(--($AC$2:$AC$3001&lt;$AC1461))+1,"")</f>
        <v/>
      </c>
      <c r="AB1461">
        <f>IF($B1461="","",IF(OR($Y1461=TRUE(),$Y1461="TRUE"),1,IF(AND($Y1461&lt;&gt;"",OR($Y1461=FALSE(),$Y1461="FALSE")),0,IF(MIN(ABS($X1461/100-Settings!$C$6),ABS($X1461/100-Settings!$G$6))&lt;=MIN(ABS($X1461/100-Settings!$C$7),ABS($X1461/100-Settings!$G$7)),1,0))))</f>
        <v/>
      </c>
      <c r="AC1461">
        <f>IF($Z1461=1,IFERROR(IF(VALUE($B1461)&lt;100000000,VALUE($B1461),1000000000),IFERROR(IF(VALUE(MID($B1461,2,20))&lt;100000000,VALUE(MID($B1461,2,20)),1000000000),1000000000))+ROW()/100000,"")</f>
        <v/>
      </c>
    </row>
    <row r="1462">
      <c r="A1462">
        <f>IF($B1462="","",IFERROR(IF(INDEX('Per Invoice'!$A$2:$A$801,MATCH($B1462,'Per Invoice'!$B$2:$B$801,0))=0,"",INDEX('Per Invoice'!$A$2:$A$801,MATCH($B1462,'Per Invoice'!$B$2:$B$801,0))),""))</f>
        <v/>
      </c>
      <c r="J1462" s="7">
        <f>IF($B1462="","",I1462*Q1462/100)</f>
        <v/>
      </c>
      <c r="N1462" s="7" t="n"/>
      <c r="O1462" s="7" t="n"/>
      <c r="P1462" s="7">
        <f>IF($B1462="","",O1462*X1462/100)</f>
        <v/>
      </c>
      <c r="Q1462" s="7">
        <f>IF($B1462="","",O1462-P1462)</f>
        <v/>
      </c>
      <c r="R1462" s="7">
        <f>IF($B1462="","",Q1462-J1462)</f>
        <v/>
      </c>
      <c r="S1462" s="7" t="n"/>
      <c r="T1462" s="7" t="n"/>
      <c r="V1462" s="14" t="n"/>
      <c r="Z1462">
        <f>IF($B1462="","",IF(COUNTIF($B$2:$B1462,$B1462)=1,1,0))</f>
        <v/>
      </c>
      <c r="AA1462">
        <f>IF($Z1462=1,SUMPRODUCT(--($AC$2:$AC$3001&lt;$AC1462))+1,"")</f>
        <v/>
      </c>
      <c r="AB1462">
        <f>IF($B1462="","",IF(OR($Y1462=TRUE(),$Y1462="TRUE"),1,IF(AND($Y1462&lt;&gt;"",OR($Y1462=FALSE(),$Y1462="FALSE")),0,IF(MIN(ABS($X1462/100-Settings!$C$6),ABS($X1462/100-Settings!$G$6))&lt;=MIN(ABS($X1462/100-Settings!$C$7),ABS($X1462/100-Settings!$G$7)),1,0))))</f>
        <v/>
      </c>
      <c r="AC1462">
        <f>IF($Z1462=1,IFERROR(IF(VALUE($B1462)&lt;100000000,VALUE($B1462),1000000000),IFERROR(IF(VALUE(MID($B1462,2,20))&lt;100000000,VALUE(MID($B1462,2,20)),1000000000),1000000000))+ROW()/100000,"")</f>
        <v/>
      </c>
    </row>
    <row r="1463">
      <c r="A1463">
        <f>IF($B1463="","",IFERROR(IF(INDEX('Per Invoice'!$A$2:$A$801,MATCH($B1463,'Per Invoice'!$B$2:$B$801,0))=0,"",INDEX('Per Invoice'!$A$2:$A$801,MATCH($B1463,'Per Invoice'!$B$2:$B$801,0))),""))</f>
        <v/>
      </c>
      <c r="J1463" s="7">
        <f>IF($B1463="","",I1463*Q1463/100)</f>
        <v/>
      </c>
      <c r="N1463" s="7" t="n"/>
      <c r="O1463" s="7" t="n"/>
      <c r="P1463" s="7">
        <f>IF($B1463="","",O1463*X1463/100)</f>
        <v/>
      </c>
      <c r="Q1463" s="7">
        <f>IF($B1463="","",O1463-P1463)</f>
        <v/>
      </c>
      <c r="R1463" s="7">
        <f>IF($B1463="","",Q1463-J1463)</f>
        <v/>
      </c>
      <c r="S1463" s="7" t="n"/>
      <c r="T1463" s="7" t="n"/>
      <c r="V1463" s="14" t="n"/>
      <c r="Z1463">
        <f>IF($B1463="","",IF(COUNTIF($B$2:$B1463,$B1463)=1,1,0))</f>
        <v/>
      </c>
      <c r="AA1463">
        <f>IF($Z1463=1,SUMPRODUCT(--($AC$2:$AC$3001&lt;$AC1463))+1,"")</f>
        <v/>
      </c>
      <c r="AB1463">
        <f>IF($B1463="","",IF(OR($Y1463=TRUE(),$Y1463="TRUE"),1,IF(AND($Y1463&lt;&gt;"",OR($Y1463=FALSE(),$Y1463="FALSE")),0,IF(MIN(ABS($X1463/100-Settings!$C$6),ABS($X1463/100-Settings!$G$6))&lt;=MIN(ABS($X1463/100-Settings!$C$7),ABS($X1463/100-Settings!$G$7)),1,0))))</f>
        <v/>
      </c>
      <c r="AC1463">
        <f>IF($Z1463=1,IFERROR(IF(VALUE($B1463)&lt;100000000,VALUE($B1463),1000000000),IFERROR(IF(VALUE(MID($B1463,2,20))&lt;100000000,VALUE(MID($B1463,2,20)),1000000000),1000000000))+ROW()/100000,"")</f>
        <v/>
      </c>
    </row>
    <row r="1464">
      <c r="A1464">
        <f>IF($B1464="","",IFERROR(IF(INDEX('Per Invoice'!$A$2:$A$801,MATCH($B1464,'Per Invoice'!$B$2:$B$801,0))=0,"",INDEX('Per Invoice'!$A$2:$A$801,MATCH($B1464,'Per Invoice'!$B$2:$B$801,0))),""))</f>
        <v/>
      </c>
      <c r="J1464" s="7">
        <f>IF($B1464="","",I1464*Q1464/100)</f>
        <v/>
      </c>
      <c r="N1464" s="7" t="n"/>
      <c r="O1464" s="7" t="n"/>
      <c r="P1464" s="7">
        <f>IF($B1464="","",O1464*X1464/100)</f>
        <v/>
      </c>
      <c r="Q1464" s="7">
        <f>IF($B1464="","",O1464-P1464)</f>
        <v/>
      </c>
      <c r="R1464" s="7">
        <f>IF($B1464="","",Q1464-J1464)</f>
        <v/>
      </c>
      <c r="S1464" s="7" t="n"/>
      <c r="T1464" s="7" t="n"/>
      <c r="V1464" s="14" t="n"/>
      <c r="Z1464">
        <f>IF($B1464="","",IF(COUNTIF($B$2:$B1464,$B1464)=1,1,0))</f>
        <v/>
      </c>
      <c r="AA1464">
        <f>IF($Z1464=1,SUMPRODUCT(--($AC$2:$AC$3001&lt;$AC1464))+1,"")</f>
        <v/>
      </c>
      <c r="AB1464">
        <f>IF($B1464="","",IF(OR($Y1464=TRUE(),$Y1464="TRUE"),1,IF(AND($Y1464&lt;&gt;"",OR($Y1464=FALSE(),$Y1464="FALSE")),0,IF(MIN(ABS($X1464/100-Settings!$C$6),ABS($X1464/100-Settings!$G$6))&lt;=MIN(ABS($X1464/100-Settings!$C$7),ABS($X1464/100-Settings!$G$7)),1,0))))</f>
        <v/>
      </c>
      <c r="AC1464">
        <f>IF($Z1464=1,IFERROR(IF(VALUE($B1464)&lt;100000000,VALUE($B1464),1000000000),IFERROR(IF(VALUE(MID($B1464,2,20))&lt;100000000,VALUE(MID($B1464,2,20)),1000000000),1000000000))+ROW()/100000,"")</f>
        <v/>
      </c>
    </row>
    <row r="1465">
      <c r="A1465">
        <f>IF($B1465="","",IFERROR(IF(INDEX('Per Invoice'!$A$2:$A$801,MATCH($B1465,'Per Invoice'!$B$2:$B$801,0))=0,"",INDEX('Per Invoice'!$A$2:$A$801,MATCH($B1465,'Per Invoice'!$B$2:$B$801,0))),""))</f>
        <v/>
      </c>
      <c r="J1465" s="7">
        <f>IF($B1465="","",I1465*Q1465/100)</f>
        <v/>
      </c>
      <c r="N1465" s="7" t="n"/>
      <c r="O1465" s="7" t="n"/>
      <c r="P1465" s="7">
        <f>IF($B1465="","",O1465*X1465/100)</f>
        <v/>
      </c>
      <c r="Q1465" s="7">
        <f>IF($B1465="","",O1465-P1465)</f>
        <v/>
      </c>
      <c r="R1465" s="7">
        <f>IF($B1465="","",Q1465-J1465)</f>
        <v/>
      </c>
      <c r="S1465" s="7" t="n"/>
      <c r="T1465" s="7" t="n"/>
      <c r="V1465" s="14" t="n"/>
      <c r="Z1465">
        <f>IF($B1465="","",IF(COUNTIF($B$2:$B1465,$B1465)=1,1,0))</f>
        <v/>
      </c>
      <c r="AA1465">
        <f>IF($Z1465=1,SUMPRODUCT(--($AC$2:$AC$3001&lt;$AC1465))+1,"")</f>
        <v/>
      </c>
      <c r="AB1465">
        <f>IF($B1465="","",IF(OR($Y1465=TRUE(),$Y1465="TRUE"),1,IF(AND($Y1465&lt;&gt;"",OR($Y1465=FALSE(),$Y1465="FALSE")),0,IF(MIN(ABS($X1465/100-Settings!$C$6),ABS($X1465/100-Settings!$G$6))&lt;=MIN(ABS($X1465/100-Settings!$C$7),ABS($X1465/100-Settings!$G$7)),1,0))))</f>
        <v/>
      </c>
      <c r="AC1465">
        <f>IF($Z1465=1,IFERROR(IF(VALUE($B1465)&lt;100000000,VALUE($B1465),1000000000),IFERROR(IF(VALUE(MID($B1465,2,20))&lt;100000000,VALUE(MID($B1465,2,20)),1000000000),1000000000))+ROW()/100000,"")</f>
        <v/>
      </c>
    </row>
    <row r="1466">
      <c r="A1466">
        <f>IF($B1466="","",IFERROR(IF(INDEX('Per Invoice'!$A$2:$A$801,MATCH($B1466,'Per Invoice'!$B$2:$B$801,0))=0,"",INDEX('Per Invoice'!$A$2:$A$801,MATCH($B1466,'Per Invoice'!$B$2:$B$801,0))),""))</f>
        <v/>
      </c>
      <c r="J1466" s="7">
        <f>IF($B1466="","",I1466*Q1466/100)</f>
        <v/>
      </c>
      <c r="N1466" s="7" t="n"/>
      <c r="O1466" s="7" t="n"/>
      <c r="P1466" s="7">
        <f>IF($B1466="","",O1466*X1466/100)</f>
        <v/>
      </c>
      <c r="Q1466" s="7">
        <f>IF($B1466="","",O1466-P1466)</f>
        <v/>
      </c>
      <c r="R1466" s="7">
        <f>IF($B1466="","",Q1466-J1466)</f>
        <v/>
      </c>
      <c r="S1466" s="7" t="n"/>
      <c r="T1466" s="7" t="n"/>
      <c r="V1466" s="14" t="n"/>
      <c r="Z1466">
        <f>IF($B1466="","",IF(COUNTIF($B$2:$B1466,$B1466)=1,1,0))</f>
        <v/>
      </c>
      <c r="AA1466">
        <f>IF($Z1466=1,SUMPRODUCT(--($AC$2:$AC$3001&lt;$AC1466))+1,"")</f>
        <v/>
      </c>
      <c r="AB1466">
        <f>IF($B1466="","",IF(OR($Y1466=TRUE(),$Y1466="TRUE"),1,IF(AND($Y1466&lt;&gt;"",OR($Y1466=FALSE(),$Y1466="FALSE")),0,IF(MIN(ABS($X1466/100-Settings!$C$6),ABS($X1466/100-Settings!$G$6))&lt;=MIN(ABS($X1466/100-Settings!$C$7),ABS($X1466/100-Settings!$G$7)),1,0))))</f>
        <v/>
      </c>
      <c r="AC1466">
        <f>IF($Z1466=1,IFERROR(IF(VALUE($B1466)&lt;100000000,VALUE($B1466),1000000000),IFERROR(IF(VALUE(MID($B1466,2,20))&lt;100000000,VALUE(MID($B1466,2,20)),1000000000),1000000000))+ROW()/100000,"")</f>
        <v/>
      </c>
    </row>
    <row r="1467">
      <c r="A1467">
        <f>IF($B1467="","",IFERROR(IF(INDEX('Per Invoice'!$A$2:$A$801,MATCH($B1467,'Per Invoice'!$B$2:$B$801,0))=0,"",INDEX('Per Invoice'!$A$2:$A$801,MATCH($B1467,'Per Invoice'!$B$2:$B$801,0))),""))</f>
        <v/>
      </c>
      <c r="J1467" s="7">
        <f>IF($B1467="","",I1467*Q1467/100)</f>
        <v/>
      </c>
      <c r="N1467" s="7" t="n"/>
      <c r="O1467" s="7" t="n"/>
      <c r="P1467" s="7">
        <f>IF($B1467="","",O1467*X1467/100)</f>
        <v/>
      </c>
      <c r="Q1467" s="7">
        <f>IF($B1467="","",O1467-P1467)</f>
        <v/>
      </c>
      <c r="R1467" s="7">
        <f>IF($B1467="","",Q1467-J1467)</f>
        <v/>
      </c>
      <c r="S1467" s="7" t="n"/>
      <c r="T1467" s="7" t="n"/>
      <c r="V1467" s="14" t="n"/>
      <c r="Z1467">
        <f>IF($B1467="","",IF(COUNTIF($B$2:$B1467,$B1467)=1,1,0))</f>
        <v/>
      </c>
      <c r="AA1467">
        <f>IF($Z1467=1,SUMPRODUCT(--($AC$2:$AC$3001&lt;$AC1467))+1,"")</f>
        <v/>
      </c>
      <c r="AB1467">
        <f>IF($B1467="","",IF(OR($Y1467=TRUE(),$Y1467="TRUE"),1,IF(AND($Y1467&lt;&gt;"",OR($Y1467=FALSE(),$Y1467="FALSE")),0,IF(MIN(ABS($X1467/100-Settings!$C$6),ABS($X1467/100-Settings!$G$6))&lt;=MIN(ABS($X1467/100-Settings!$C$7),ABS($X1467/100-Settings!$G$7)),1,0))))</f>
        <v/>
      </c>
      <c r="AC1467">
        <f>IF($Z1467=1,IFERROR(IF(VALUE($B1467)&lt;100000000,VALUE($B1467),1000000000),IFERROR(IF(VALUE(MID($B1467,2,20))&lt;100000000,VALUE(MID($B1467,2,20)),1000000000),1000000000))+ROW()/100000,"")</f>
        <v/>
      </c>
    </row>
    <row r="1468">
      <c r="A1468">
        <f>IF($B1468="","",IFERROR(IF(INDEX('Per Invoice'!$A$2:$A$801,MATCH($B1468,'Per Invoice'!$B$2:$B$801,0))=0,"",INDEX('Per Invoice'!$A$2:$A$801,MATCH($B1468,'Per Invoice'!$B$2:$B$801,0))),""))</f>
        <v/>
      </c>
      <c r="J1468" s="7">
        <f>IF($B1468="","",I1468*Q1468/100)</f>
        <v/>
      </c>
      <c r="N1468" s="7" t="n"/>
      <c r="O1468" s="7" t="n"/>
      <c r="P1468" s="7">
        <f>IF($B1468="","",O1468*X1468/100)</f>
        <v/>
      </c>
      <c r="Q1468" s="7">
        <f>IF($B1468="","",O1468-P1468)</f>
        <v/>
      </c>
      <c r="R1468" s="7">
        <f>IF($B1468="","",Q1468-J1468)</f>
        <v/>
      </c>
      <c r="S1468" s="7" t="n"/>
      <c r="T1468" s="7" t="n"/>
      <c r="V1468" s="14" t="n"/>
      <c r="Z1468">
        <f>IF($B1468="","",IF(COUNTIF($B$2:$B1468,$B1468)=1,1,0))</f>
        <v/>
      </c>
      <c r="AA1468">
        <f>IF($Z1468=1,SUMPRODUCT(--($AC$2:$AC$3001&lt;$AC1468))+1,"")</f>
        <v/>
      </c>
      <c r="AB1468">
        <f>IF($B1468="","",IF(OR($Y1468=TRUE(),$Y1468="TRUE"),1,IF(AND($Y1468&lt;&gt;"",OR($Y1468=FALSE(),$Y1468="FALSE")),0,IF(MIN(ABS($X1468/100-Settings!$C$6),ABS($X1468/100-Settings!$G$6))&lt;=MIN(ABS($X1468/100-Settings!$C$7),ABS($X1468/100-Settings!$G$7)),1,0))))</f>
        <v/>
      </c>
      <c r="AC1468">
        <f>IF($Z1468=1,IFERROR(IF(VALUE($B1468)&lt;100000000,VALUE($B1468),1000000000),IFERROR(IF(VALUE(MID($B1468,2,20))&lt;100000000,VALUE(MID($B1468,2,20)),1000000000),1000000000))+ROW()/100000,"")</f>
        <v/>
      </c>
    </row>
    <row r="1469">
      <c r="A1469">
        <f>IF($B1469="","",IFERROR(IF(INDEX('Per Invoice'!$A$2:$A$801,MATCH($B1469,'Per Invoice'!$B$2:$B$801,0))=0,"",INDEX('Per Invoice'!$A$2:$A$801,MATCH($B1469,'Per Invoice'!$B$2:$B$801,0))),""))</f>
        <v/>
      </c>
      <c r="J1469" s="7">
        <f>IF($B1469="","",I1469*Q1469/100)</f>
        <v/>
      </c>
      <c r="N1469" s="7" t="n"/>
      <c r="O1469" s="7" t="n"/>
      <c r="P1469" s="7">
        <f>IF($B1469="","",O1469*X1469/100)</f>
        <v/>
      </c>
      <c r="Q1469" s="7">
        <f>IF($B1469="","",O1469-P1469)</f>
        <v/>
      </c>
      <c r="R1469" s="7">
        <f>IF($B1469="","",Q1469-J1469)</f>
        <v/>
      </c>
      <c r="S1469" s="7" t="n"/>
      <c r="T1469" s="7" t="n"/>
      <c r="V1469" s="14" t="n"/>
      <c r="Z1469">
        <f>IF($B1469="","",IF(COUNTIF($B$2:$B1469,$B1469)=1,1,0))</f>
        <v/>
      </c>
      <c r="AA1469">
        <f>IF($Z1469=1,SUMPRODUCT(--($AC$2:$AC$3001&lt;$AC1469))+1,"")</f>
        <v/>
      </c>
      <c r="AB1469">
        <f>IF($B1469="","",IF(OR($Y1469=TRUE(),$Y1469="TRUE"),1,IF(AND($Y1469&lt;&gt;"",OR($Y1469=FALSE(),$Y1469="FALSE")),0,IF(MIN(ABS($X1469/100-Settings!$C$6),ABS($X1469/100-Settings!$G$6))&lt;=MIN(ABS($X1469/100-Settings!$C$7),ABS($X1469/100-Settings!$G$7)),1,0))))</f>
        <v/>
      </c>
      <c r="AC1469">
        <f>IF($Z1469=1,IFERROR(IF(VALUE($B1469)&lt;100000000,VALUE($B1469),1000000000),IFERROR(IF(VALUE(MID($B1469,2,20))&lt;100000000,VALUE(MID($B1469,2,20)),1000000000),1000000000))+ROW()/100000,"")</f>
        <v/>
      </c>
    </row>
    <row r="1470">
      <c r="A1470">
        <f>IF($B1470="","",IFERROR(IF(INDEX('Per Invoice'!$A$2:$A$801,MATCH($B1470,'Per Invoice'!$B$2:$B$801,0))=0,"",INDEX('Per Invoice'!$A$2:$A$801,MATCH($B1470,'Per Invoice'!$B$2:$B$801,0))),""))</f>
        <v/>
      </c>
      <c r="J1470" s="7">
        <f>IF($B1470="","",I1470*Q1470/100)</f>
        <v/>
      </c>
      <c r="N1470" s="7" t="n"/>
      <c r="O1470" s="7" t="n"/>
      <c r="P1470" s="7">
        <f>IF($B1470="","",O1470*X1470/100)</f>
        <v/>
      </c>
      <c r="Q1470" s="7">
        <f>IF($B1470="","",O1470-P1470)</f>
        <v/>
      </c>
      <c r="R1470" s="7">
        <f>IF($B1470="","",Q1470-J1470)</f>
        <v/>
      </c>
      <c r="S1470" s="7" t="n"/>
      <c r="T1470" s="7" t="n"/>
      <c r="V1470" s="14" t="n"/>
      <c r="Z1470">
        <f>IF($B1470="","",IF(COUNTIF($B$2:$B1470,$B1470)=1,1,0))</f>
        <v/>
      </c>
      <c r="AA1470">
        <f>IF($Z1470=1,SUMPRODUCT(--($AC$2:$AC$3001&lt;$AC1470))+1,"")</f>
        <v/>
      </c>
      <c r="AB1470">
        <f>IF($B1470="","",IF(OR($Y1470=TRUE(),$Y1470="TRUE"),1,IF(AND($Y1470&lt;&gt;"",OR($Y1470=FALSE(),$Y1470="FALSE")),0,IF(MIN(ABS($X1470/100-Settings!$C$6),ABS($X1470/100-Settings!$G$6))&lt;=MIN(ABS($X1470/100-Settings!$C$7),ABS($X1470/100-Settings!$G$7)),1,0))))</f>
        <v/>
      </c>
      <c r="AC1470">
        <f>IF($Z1470=1,IFERROR(IF(VALUE($B1470)&lt;100000000,VALUE($B1470),1000000000),IFERROR(IF(VALUE(MID($B1470,2,20))&lt;100000000,VALUE(MID($B1470,2,20)),1000000000),1000000000))+ROW()/100000,"")</f>
        <v/>
      </c>
    </row>
    <row r="1471">
      <c r="A1471">
        <f>IF($B1471="","",IFERROR(IF(INDEX('Per Invoice'!$A$2:$A$801,MATCH($B1471,'Per Invoice'!$B$2:$B$801,0))=0,"",INDEX('Per Invoice'!$A$2:$A$801,MATCH($B1471,'Per Invoice'!$B$2:$B$801,0))),""))</f>
        <v/>
      </c>
      <c r="J1471" s="7">
        <f>IF($B1471="","",I1471*Q1471/100)</f>
        <v/>
      </c>
      <c r="N1471" s="7" t="n"/>
      <c r="O1471" s="7" t="n"/>
      <c r="P1471" s="7">
        <f>IF($B1471="","",O1471*X1471/100)</f>
        <v/>
      </c>
      <c r="Q1471" s="7">
        <f>IF($B1471="","",O1471-P1471)</f>
        <v/>
      </c>
      <c r="R1471" s="7">
        <f>IF($B1471="","",Q1471-J1471)</f>
        <v/>
      </c>
      <c r="S1471" s="7" t="n"/>
      <c r="T1471" s="7" t="n"/>
      <c r="V1471" s="14" t="n"/>
      <c r="Z1471">
        <f>IF($B1471="","",IF(COUNTIF($B$2:$B1471,$B1471)=1,1,0))</f>
        <v/>
      </c>
      <c r="AA1471">
        <f>IF($Z1471=1,SUMPRODUCT(--($AC$2:$AC$3001&lt;$AC1471))+1,"")</f>
        <v/>
      </c>
      <c r="AB1471">
        <f>IF($B1471="","",IF(OR($Y1471=TRUE(),$Y1471="TRUE"),1,IF(AND($Y1471&lt;&gt;"",OR($Y1471=FALSE(),$Y1471="FALSE")),0,IF(MIN(ABS($X1471/100-Settings!$C$6),ABS($X1471/100-Settings!$G$6))&lt;=MIN(ABS($X1471/100-Settings!$C$7),ABS($X1471/100-Settings!$G$7)),1,0))))</f>
        <v/>
      </c>
      <c r="AC1471">
        <f>IF($Z1471=1,IFERROR(IF(VALUE($B1471)&lt;100000000,VALUE($B1471),1000000000),IFERROR(IF(VALUE(MID($B1471,2,20))&lt;100000000,VALUE(MID($B1471,2,20)),1000000000),1000000000))+ROW()/100000,"")</f>
        <v/>
      </c>
    </row>
    <row r="1472">
      <c r="A1472">
        <f>IF($B1472="","",IFERROR(IF(INDEX('Per Invoice'!$A$2:$A$801,MATCH($B1472,'Per Invoice'!$B$2:$B$801,0))=0,"",INDEX('Per Invoice'!$A$2:$A$801,MATCH($B1472,'Per Invoice'!$B$2:$B$801,0))),""))</f>
        <v/>
      </c>
      <c r="J1472" s="7">
        <f>IF($B1472="","",I1472*Q1472/100)</f>
        <v/>
      </c>
      <c r="N1472" s="7" t="n"/>
      <c r="O1472" s="7" t="n"/>
      <c r="P1472" s="7">
        <f>IF($B1472="","",O1472*X1472/100)</f>
        <v/>
      </c>
      <c r="Q1472" s="7">
        <f>IF($B1472="","",O1472-P1472)</f>
        <v/>
      </c>
      <c r="R1472" s="7">
        <f>IF($B1472="","",Q1472-J1472)</f>
        <v/>
      </c>
      <c r="S1472" s="7" t="n"/>
      <c r="T1472" s="7" t="n"/>
      <c r="V1472" s="14" t="n"/>
      <c r="Z1472">
        <f>IF($B1472="","",IF(COUNTIF($B$2:$B1472,$B1472)=1,1,0))</f>
        <v/>
      </c>
      <c r="AA1472">
        <f>IF($Z1472=1,SUMPRODUCT(--($AC$2:$AC$3001&lt;$AC1472))+1,"")</f>
        <v/>
      </c>
      <c r="AB1472">
        <f>IF($B1472="","",IF(OR($Y1472=TRUE(),$Y1472="TRUE"),1,IF(AND($Y1472&lt;&gt;"",OR($Y1472=FALSE(),$Y1472="FALSE")),0,IF(MIN(ABS($X1472/100-Settings!$C$6),ABS($X1472/100-Settings!$G$6))&lt;=MIN(ABS($X1472/100-Settings!$C$7),ABS($X1472/100-Settings!$G$7)),1,0))))</f>
        <v/>
      </c>
      <c r="AC1472">
        <f>IF($Z1472=1,IFERROR(IF(VALUE($B1472)&lt;100000000,VALUE($B1472),1000000000),IFERROR(IF(VALUE(MID($B1472,2,20))&lt;100000000,VALUE(MID($B1472,2,20)),1000000000),1000000000))+ROW()/100000,"")</f>
        <v/>
      </c>
    </row>
    <row r="1473">
      <c r="A1473">
        <f>IF($B1473="","",IFERROR(IF(INDEX('Per Invoice'!$A$2:$A$801,MATCH($B1473,'Per Invoice'!$B$2:$B$801,0))=0,"",INDEX('Per Invoice'!$A$2:$A$801,MATCH($B1473,'Per Invoice'!$B$2:$B$801,0))),""))</f>
        <v/>
      </c>
      <c r="J1473" s="7">
        <f>IF($B1473="","",I1473*Q1473/100)</f>
        <v/>
      </c>
      <c r="N1473" s="7" t="n"/>
      <c r="O1473" s="7" t="n"/>
      <c r="P1473" s="7">
        <f>IF($B1473="","",O1473*X1473/100)</f>
        <v/>
      </c>
      <c r="Q1473" s="7">
        <f>IF($B1473="","",O1473-P1473)</f>
        <v/>
      </c>
      <c r="R1473" s="7">
        <f>IF($B1473="","",Q1473-J1473)</f>
        <v/>
      </c>
      <c r="S1473" s="7" t="n"/>
      <c r="T1473" s="7" t="n"/>
      <c r="V1473" s="14" t="n"/>
      <c r="Z1473">
        <f>IF($B1473="","",IF(COUNTIF($B$2:$B1473,$B1473)=1,1,0))</f>
        <v/>
      </c>
      <c r="AA1473">
        <f>IF($Z1473=1,SUMPRODUCT(--($AC$2:$AC$3001&lt;$AC1473))+1,"")</f>
        <v/>
      </c>
      <c r="AB1473">
        <f>IF($B1473="","",IF(OR($Y1473=TRUE(),$Y1473="TRUE"),1,IF(AND($Y1473&lt;&gt;"",OR($Y1473=FALSE(),$Y1473="FALSE")),0,IF(MIN(ABS($X1473/100-Settings!$C$6),ABS($X1473/100-Settings!$G$6))&lt;=MIN(ABS($X1473/100-Settings!$C$7),ABS($X1473/100-Settings!$G$7)),1,0))))</f>
        <v/>
      </c>
      <c r="AC1473">
        <f>IF($Z1473=1,IFERROR(IF(VALUE($B1473)&lt;100000000,VALUE($B1473),1000000000),IFERROR(IF(VALUE(MID($B1473,2,20))&lt;100000000,VALUE(MID($B1473,2,20)),1000000000),1000000000))+ROW()/100000,"")</f>
        <v/>
      </c>
    </row>
    <row r="1474">
      <c r="A1474">
        <f>IF($B1474="","",IFERROR(IF(INDEX('Per Invoice'!$A$2:$A$801,MATCH($B1474,'Per Invoice'!$B$2:$B$801,0))=0,"",INDEX('Per Invoice'!$A$2:$A$801,MATCH($B1474,'Per Invoice'!$B$2:$B$801,0))),""))</f>
        <v/>
      </c>
      <c r="J1474" s="7">
        <f>IF($B1474="","",I1474*Q1474/100)</f>
        <v/>
      </c>
      <c r="N1474" s="7" t="n"/>
      <c r="O1474" s="7" t="n"/>
      <c r="P1474" s="7">
        <f>IF($B1474="","",O1474*X1474/100)</f>
        <v/>
      </c>
      <c r="Q1474" s="7">
        <f>IF($B1474="","",O1474-P1474)</f>
        <v/>
      </c>
      <c r="R1474" s="7">
        <f>IF($B1474="","",Q1474-J1474)</f>
        <v/>
      </c>
      <c r="S1474" s="7" t="n"/>
      <c r="T1474" s="7" t="n"/>
      <c r="V1474" s="14" t="n"/>
      <c r="Z1474">
        <f>IF($B1474="","",IF(COUNTIF($B$2:$B1474,$B1474)=1,1,0))</f>
        <v/>
      </c>
      <c r="AA1474">
        <f>IF($Z1474=1,SUMPRODUCT(--($AC$2:$AC$3001&lt;$AC1474))+1,"")</f>
        <v/>
      </c>
      <c r="AB1474">
        <f>IF($B1474="","",IF(OR($Y1474=TRUE(),$Y1474="TRUE"),1,IF(AND($Y1474&lt;&gt;"",OR($Y1474=FALSE(),$Y1474="FALSE")),0,IF(MIN(ABS($X1474/100-Settings!$C$6),ABS($X1474/100-Settings!$G$6))&lt;=MIN(ABS($X1474/100-Settings!$C$7),ABS($X1474/100-Settings!$G$7)),1,0))))</f>
        <v/>
      </c>
      <c r="AC1474">
        <f>IF($Z1474=1,IFERROR(IF(VALUE($B1474)&lt;100000000,VALUE($B1474),1000000000),IFERROR(IF(VALUE(MID($B1474,2,20))&lt;100000000,VALUE(MID($B1474,2,20)),1000000000),1000000000))+ROW()/100000,"")</f>
        <v/>
      </c>
    </row>
    <row r="1475">
      <c r="A1475">
        <f>IF($B1475="","",IFERROR(IF(INDEX('Per Invoice'!$A$2:$A$801,MATCH($B1475,'Per Invoice'!$B$2:$B$801,0))=0,"",INDEX('Per Invoice'!$A$2:$A$801,MATCH($B1475,'Per Invoice'!$B$2:$B$801,0))),""))</f>
        <v/>
      </c>
      <c r="J1475" s="7">
        <f>IF($B1475="","",I1475*Q1475/100)</f>
        <v/>
      </c>
      <c r="N1475" s="7" t="n"/>
      <c r="O1475" s="7" t="n"/>
      <c r="P1475" s="7">
        <f>IF($B1475="","",O1475*X1475/100)</f>
        <v/>
      </c>
      <c r="Q1475" s="7">
        <f>IF($B1475="","",O1475-P1475)</f>
        <v/>
      </c>
      <c r="R1475" s="7">
        <f>IF($B1475="","",Q1475-J1475)</f>
        <v/>
      </c>
      <c r="S1475" s="7" t="n"/>
      <c r="T1475" s="7" t="n"/>
      <c r="V1475" s="14" t="n"/>
      <c r="Z1475">
        <f>IF($B1475="","",IF(COUNTIF($B$2:$B1475,$B1475)=1,1,0))</f>
        <v/>
      </c>
      <c r="AA1475">
        <f>IF($Z1475=1,SUMPRODUCT(--($AC$2:$AC$3001&lt;$AC1475))+1,"")</f>
        <v/>
      </c>
      <c r="AB1475">
        <f>IF($B1475="","",IF(OR($Y1475=TRUE(),$Y1475="TRUE"),1,IF(AND($Y1475&lt;&gt;"",OR($Y1475=FALSE(),$Y1475="FALSE")),0,IF(MIN(ABS($X1475/100-Settings!$C$6),ABS($X1475/100-Settings!$G$6))&lt;=MIN(ABS($X1475/100-Settings!$C$7),ABS($X1475/100-Settings!$G$7)),1,0))))</f>
        <v/>
      </c>
      <c r="AC1475">
        <f>IF($Z1475=1,IFERROR(IF(VALUE($B1475)&lt;100000000,VALUE($B1475),1000000000),IFERROR(IF(VALUE(MID($B1475,2,20))&lt;100000000,VALUE(MID($B1475,2,20)),1000000000),1000000000))+ROW()/100000,"")</f>
        <v/>
      </c>
    </row>
    <row r="1476">
      <c r="A1476">
        <f>IF($B1476="","",IFERROR(IF(INDEX('Per Invoice'!$A$2:$A$801,MATCH($B1476,'Per Invoice'!$B$2:$B$801,0))=0,"",INDEX('Per Invoice'!$A$2:$A$801,MATCH($B1476,'Per Invoice'!$B$2:$B$801,0))),""))</f>
        <v/>
      </c>
      <c r="J1476" s="7">
        <f>IF($B1476="","",I1476*Q1476/100)</f>
        <v/>
      </c>
      <c r="N1476" s="7" t="n"/>
      <c r="O1476" s="7" t="n"/>
      <c r="P1476" s="7">
        <f>IF($B1476="","",O1476*X1476/100)</f>
        <v/>
      </c>
      <c r="Q1476" s="7">
        <f>IF($B1476="","",O1476-P1476)</f>
        <v/>
      </c>
      <c r="R1476" s="7">
        <f>IF($B1476="","",Q1476-J1476)</f>
        <v/>
      </c>
      <c r="S1476" s="7" t="n"/>
      <c r="T1476" s="7" t="n"/>
      <c r="V1476" s="14" t="n"/>
      <c r="Z1476">
        <f>IF($B1476="","",IF(COUNTIF($B$2:$B1476,$B1476)=1,1,0))</f>
        <v/>
      </c>
      <c r="AA1476">
        <f>IF($Z1476=1,SUMPRODUCT(--($AC$2:$AC$3001&lt;$AC1476))+1,"")</f>
        <v/>
      </c>
      <c r="AB1476">
        <f>IF($B1476="","",IF(OR($Y1476=TRUE(),$Y1476="TRUE"),1,IF(AND($Y1476&lt;&gt;"",OR($Y1476=FALSE(),$Y1476="FALSE")),0,IF(MIN(ABS($X1476/100-Settings!$C$6),ABS($X1476/100-Settings!$G$6))&lt;=MIN(ABS($X1476/100-Settings!$C$7),ABS($X1476/100-Settings!$G$7)),1,0))))</f>
        <v/>
      </c>
      <c r="AC1476">
        <f>IF($Z1476=1,IFERROR(IF(VALUE($B1476)&lt;100000000,VALUE($B1476),1000000000),IFERROR(IF(VALUE(MID($B1476,2,20))&lt;100000000,VALUE(MID($B1476,2,20)),1000000000),1000000000))+ROW()/100000,"")</f>
        <v/>
      </c>
    </row>
    <row r="1477">
      <c r="A1477">
        <f>IF($B1477="","",IFERROR(IF(INDEX('Per Invoice'!$A$2:$A$801,MATCH($B1477,'Per Invoice'!$B$2:$B$801,0))=0,"",INDEX('Per Invoice'!$A$2:$A$801,MATCH($B1477,'Per Invoice'!$B$2:$B$801,0))),""))</f>
        <v/>
      </c>
      <c r="J1477" s="7">
        <f>IF($B1477="","",I1477*Q1477/100)</f>
        <v/>
      </c>
      <c r="N1477" s="7" t="n"/>
      <c r="O1477" s="7" t="n"/>
      <c r="P1477" s="7">
        <f>IF($B1477="","",O1477*X1477/100)</f>
        <v/>
      </c>
      <c r="Q1477" s="7">
        <f>IF($B1477="","",O1477-P1477)</f>
        <v/>
      </c>
      <c r="R1477" s="7">
        <f>IF($B1477="","",Q1477-J1477)</f>
        <v/>
      </c>
      <c r="S1477" s="7" t="n"/>
      <c r="T1477" s="7" t="n"/>
      <c r="V1477" s="14" t="n"/>
      <c r="Z1477">
        <f>IF($B1477="","",IF(COUNTIF($B$2:$B1477,$B1477)=1,1,0))</f>
        <v/>
      </c>
      <c r="AA1477">
        <f>IF($Z1477=1,SUMPRODUCT(--($AC$2:$AC$3001&lt;$AC1477))+1,"")</f>
        <v/>
      </c>
      <c r="AB1477">
        <f>IF($B1477="","",IF(OR($Y1477=TRUE(),$Y1477="TRUE"),1,IF(AND($Y1477&lt;&gt;"",OR($Y1477=FALSE(),$Y1477="FALSE")),0,IF(MIN(ABS($X1477/100-Settings!$C$6),ABS($X1477/100-Settings!$G$6))&lt;=MIN(ABS($X1477/100-Settings!$C$7),ABS($X1477/100-Settings!$G$7)),1,0))))</f>
        <v/>
      </c>
      <c r="AC1477">
        <f>IF($Z1477=1,IFERROR(IF(VALUE($B1477)&lt;100000000,VALUE($B1477),1000000000),IFERROR(IF(VALUE(MID($B1477,2,20))&lt;100000000,VALUE(MID($B1477,2,20)),1000000000),1000000000))+ROW()/100000,"")</f>
        <v/>
      </c>
    </row>
    <row r="1478">
      <c r="A1478">
        <f>IF($B1478="","",IFERROR(IF(INDEX('Per Invoice'!$A$2:$A$801,MATCH($B1478,'Per Invoice'!$B$2:$B$801,0))=0,"",INDEX('Per Invoice'!$A$2:$A$801,MATCH($B1478,'Per Invoice'!$B$2:$B$801,0))),""))</f>
        <v/>
      </c>
      <c r="J1478" s="7">
        <f>IF($B1478="","",I1478*Q1478/100)</f>
        <v/>
      </c>
      <c r="N1478" s="7" t="n"/>
      <c r="O1478" s="7" t="n"/>
      <c r="P1478" s="7">
        <f>IF($B1478="","",O1478*X1478/100)</f>
        <v/>
      </c>
      <c r="Q1478" s="7">
        <f>IF($B1478="","",O1478-P1478)</f>
        <v/>
      </c>
      <c r="R1478" s="7">
        <f>IF($B1478="","",Q1478-J1478)</f>
        <v/>
      </c>
      <c r="S1478" s="7" t="n"/>
      <c r="T1478" s="7" t="n"/>
      <c r="V1478" s="14" t="n"/>
      <c r="Z1478">
        <f>IF($B1478="","",IF(COUNTIF($B$2:$B1478,$B1478)=1,1,0))</f>
        <v/>
      </c>
      <c r="AA1478">
        <f>IF($Z1478=1,SUMPRODUCT(--($AC$2:$AC$3001&lt;$AC1478))+1,"")</f>
        <v/>
      </c>
      <c r="AB1478">
        <f>IF($B1478="","",IF(OR($Y1478=TRUE(),$Y1478="TRUE"),1,IF(AND($Y1478&lt;&gt;"",OR($Y1478=FALSE(),$Y1478="FALSE")),0,IF(MIN(ABS($X1478/100-Settings!$C$6),ABS($X1478/100-Settings!$G$6))&lt;=MIN(ABS($X1478/100-Settings!$C$7),ABS($X1478/100-Settings!$G$7)),1,0))))</f>
        <v/>
      </c>
      <c r="AC1478">
        <f>IF($Z1478=1,IFERROR(IF(VALUE($B1478)&lt;100000000,VALUE($B1478),1000000000),IFERROR(IF(VALUE(MID($B1478,2,20))&lt;100000000,VALUE(MID($B1478,2,20)),1000000000),1000000000))+ROW()/100000,"")</f>
        <v/>
      </c>
    </row>
    <row r="1479">
      <c r="A1479">
        <f>IF($B1479="","",IFERROR(IF(INDEX('Per Invoice'!$A$2:$A$801,MATCH($B1479,'Per Invoice'!$B$2:$B$801,0))=0,"",INDEX('Per Invoice'!$A$2:$A$801,MATCH($B1479,'Per Invoice'!$B$2:$B$801,0))),""))</f>
        <v/>
      </c>
      <c r="J1479" s="7">
        <f>IF($B1479="","",I1479*Q1479/100)</f>
        <v/>
      </c>
      <c r="N1479" s="7" t="n"/>
      <c r="O1479" s="7" t="n"/>
      <c r="P1479" s="7">
        <f>IF($B1479="","",O1479*X1479/100)</f>
        <v/>
      </c>
      <c r="Q1479" s="7">
        <f>IF($B1479="","",O1479-P1479)</f>
        <v/>
      </c>
      <c r="R1479" s="7">
        <f>IF($B1479="","",Q1479-J1479)</f>
        <v/>
      </c>
      <c r="S1479" s="7" t="n"/>
      <c r="T1479" s="7" t="n"/>
      <c r="V1479" s="14" t="n"/>
      <c r="Z1479">
        <f>IF($B1479="","",IF(COUNTIF($B$2:$B1479,$B1479)=1,1,0))</f>
        <v/>
      </c>
      <c r="AA1479">
        <f>IF($Z1479=1,SUMPRODUCT(--($AC$2:$AC$3001&lt;$AC1479))+1,"")</f>
        <v/>
      </c>
      <c r="AB1479">
        <f>IF($B1479="","",IF(OR($Y1479=TRUE(),$Y1479="TRUE"),1,IF(AND($Y1479&lt;&gt;"",OR($Y1479=FALSE(),$Y1479="FALSE")),0,IF(MIN(ABS($X1479/100-Settings!$C$6),ABS($X1479/100-Settings!$G$6))&lt;=MIN(ABS($X1479/100-Settings!$C$7),ABS($X1479/100-Settings!$G$7)),1,0))))</f>
        <v/>
      </c>
      <c r="AC1479">
        <f>IF($Z1479=1,IFERROR(IF(VALUE($B1479)&lt;100000000,VALUE($B1479),1000000000),IFERROR(IF(VALUE(MID($B1479,2,20))&lt;100000000,VALUE(MID($B1479,2,20)),1000000000),1000000000))+ROW()/100000,"")</f>
        <v/>
      </c>
    </row>
    <row r="1480">
      <c r="A1480">
        <f>IF($B1480="","",IFERROR(IF(INDEX('Per Invoice'!$A$2:$A$801,MATCH($B1480,'Per Invoice'!$B$2:$B$801,0))=0,"",INDEX('Per Invoice'!$A$2:$A$801,MATCH($B1480,'Per Invoice'!$B$2:$B$801,0))),""))</f>
        <v/>
      </c>
      <c r="J1480" s="7">
        <f>IF($B1480="","",I1480*Q1480/100)</f>
        <v/>
      </c>
      <c r="N1480" s="7" t="n"/>
      <c r="O1480" s="7" t="n"/>
      <c r="P1480" s="7">
        <f>IF($B1480="","",O1480*X1480/100)</f>
        <v/>
      </c>
      <c r="Q1480" s="7">
        <f>IF($B1480="","",O1480-P1480)</f>
        <v/>
      </c>
      <c r="R1480" s="7">
        <f>IF($B1480="","",Q1480-J1480)</f>
        <v/>
      </c>
      <c r="S1480" s="7" t="n"/>
      <c r="T1480" s="7" t="n"/>
      <c r="V1480" s="14" t="n"/>
      <c r="Z1480">
        <f>IF($B1480="","",IF(COUNTIF($B$2:$B1480,$B1480)=1,1,0))</f>
        <v/>
      </c>
      <c r="AA1480">
        <f>IF($Z1480=1,SUMPRODUCT(--($AC$2:$AC$3001&lt;$AC1480))+1,"")</f>
        <v/>
      </c>
      <c r="AB1480">
        <f>IF($B1480="","",IF(OR($Y1480=TRUE(),$Y1480="TRUE"),1,IF(AND($Y1480&lt;&gt;"",OR($Y1480=FALSE(),$Y1480="FALSE")),0,IF(MIN(ABS($X1480/100-Settings!$C$6),ABS($X1480/100-Settings!$G$6))&lt;=MIN(ABS($X1480/100-Settings!$C$7),ABS($X1480/100-Settings!$G$7)),1,0))))</f>
        <v/>
      </c>
      <c r="AC1480">
        <f>IF($Z1480=1,IFERROR(IF(VALUE($B1480)&lt;100000000,VALUE($B1480),1000000000),IFERROR(IF(VALUE(MID($B1480,2,20))&lt;100000000,VALUE(MID($B1480,2,20)),1000000000),1000000000))+ROW()/100000,"")</f>
        <v/>
      </c>
    </row>
    <row r="1481">
      <c r="A1481">
        <f>IF($B1481="","",IFERROR(IF(INDEX('Per Invoice'!$A$2:$A$801,MATCH($B1481,'Per Invoice'!$B$2:$B$801,0))=0,"",INDEX('Per Invoice'!$A$2:$A$801,MATCH($B1481,'Per Invoice'!$B$2:$B$801,0))),""))</f>
        <v/>
      </c>
      <c r="J1481" s="7">
        <f>IF($B1481="","",I1481*Q1481/100)</f>
        <v/>
      </c>
      <c r="N1481" s="7" t="n"/>
      <c r="O1481" s="7" t="n"/>
      <c r="P1481" s="7">
        <f>IF($B1481="","",O1481*X1481/100)</f>
        <v/>
      </c>
      <c r="Q1481" s="7">
        <f>IF($B1481="","",O1481-P1481)</f>
        <v/>
      </c>
      <c r="R1481" s="7">
        <f>IF($B1481="","",Q1481-J1481)</f>
        <v/>
      </c>
      <c r="S1481" s="7" t="n"/>
      <c r="T1481" s="7" t="n"/>
      <c r="V1481" s="14" t="n"/>
      <c r="Z1481">
        <f>IF($B1481="","",IF(COUNTIF($B$2:$B1481,$B1481)=1,1,0))</f>
        <v/>
      </c>
      <c r="AA1481">
        <f>IF($Z1481=1,SUMPRODUCT(--($AC$2:$AC$3001&lt;$AC1481))+1,"")</f>
        <v/>
      </c>
      <c r="AB1481">
        <f>IF($B1481="","",IF(OR($Y1481=TRUE(),$Y1481="TRUE"),1,IF(AND($Y1481&lt;&gt;"",OR($Y1481=FALSE(),$Y1481="FALSE")),0,IF(MIN(ABS($X1481/100-Settings!$C$6),ABS($X1481/100-Settings!$G$6))&lt;=MIN(ABS($X1481/100-Settings!$C$7),ABS($X1481/100-Settings!$G$7)),1,0))))</f>
        <v/>
      </c>
      <c r="AC1481">
        <f>IF($Z1481=1,IFERROR(IF(VALUE($B1481)&lt;100000000,VALUE($B1481),1000000000),IFERROR(IF(VALUE(MID($B1481,2,20))&lt;100000000,VALUE(MID($B1481,2,20)),1000000000),1000000000))+ROW()/100000,"")</f>
        <v/>
      </c>
    </row>
    <row r="1482">
      <c r="A1482">
        <f>IF($B1482="","",IFERROR(IF(INDEX('Per Invoice'!$A$2:$A$801,MATCH($B1482,'Per Invoice'!$B$2:$B$801,0))=0,"",INDEX('Per Invoice'!$A$2:$A$801,MATCH($B1482,'Per Invoice'!$B$2:$B$801,0))),""))</f>
        <v/>
      </c>
      <c r="J1482" s="7">
        <f>IF($B1482="","",I1482*Q1482/100)</f>
        <v/>
      </c>
      <c r="N1482" s="7" t="n"/>
      <c r="O1482" s="7" t="n"/>
      <c r="P1482" s="7">
        <f>IF($B1482="","",O1482*X1482/100)</f>
        <v/>
      </c>
      <c r="Q1482" s="7">
        <f>IF($B1482="","",O1482-P1482)</f>
        <v/>
      </c>
      <c r="R1482" s="7">
        <f>IF($B1482="","",Q1482-J1482)</f>
        <v/>
      </c>
      <c r="S1482" s="7" t="n"/>
      <c r="T1482" s="7" t="n"/>
      <c r="V1482" s="14" t="n"/>
      <c r="Z1482">
        <f>IF($B1482="","",IF(COUNTIF($B$2:$B1482,$B1482)=1,1,0))</f>
        <v/>
      </c>
      <c r="AA1482">
        <f>IF($Z1482=1,SUMPRODUCT(--($AC$2:$AC$3001&lt;$AC1482))+1,"")</f>
        <v/>
      </c>
      <c r="AB1482">
        <f>IF($B1482="","",IF(OR($Y1482=TRUE(),$Y1482="TRUE"),1,IF(AND($Y1482&lt;&gt;"",OR($Y1482=FALSE(),$Y1482="FALSE")),0,IF(MIN(ABS($X1482/100-Settings!$C$6),ABS($X1482/100-Settings!$G$6))&lt;=MIN(ABS($X1482/100-Settings!$C$7),ABS($X1482/100-Settings!$G$7)),1,0))))</f>
        <v/>
      </c>
      <c r="AC1482">
        <f>IF($Z1482=1,IFERROR(IF(VALUE($B1482)&lt;100000000,VALUE($B1482),1000000000),IFERROR(IF(VALUE(MID($B1482,2,20))&lt;100000000,VALUE(MID($B1482,2,20)),1000000000),1000000000))+ROW()/100000,"")</f>
        <v/>
      </c>
    </row>
    <row r="1483">
      <c r="A1483">
        <f>IF($B1483="","",IFERROR(IF(INDEX('Per Invoice'!$A$2:$A$801,MATCH($B1483,'Per Invoice'!$B$2:$B$801,0))=0,"",INDEX('Per Invoice'!$A$2:$A$801,MATCH($B1483,'Per Invoice'!$B$2:$B$801,0))),""))</f>
        <v/>
      </c>
      <c r="J1483" s="7">
        <f>IF($B1483="","",I1483*Q1483/100)</f>
        <v/>
      </c>
      <c r="N1483" s="7" t="n"/>
      <c r="O1483" s="7" t="n"/>
      <c r="P1483" s="7">
        <f>IF($B1483="","",O1483*X1483/100)</f>
        <v/>
      </c>
      <c r="Q1483" s="7">
        <f>IF($B1483="","",O1483-P1483)</f>
        <v/>
      </c>
      <c r="R1483" s="7">
        <f>IF($B1483="","",Q1483-J1483)</f>
        <v/>
      </c>
      <c r="S1483" s="7" t="n"/>
      <c r="T1483" s="7" t="n"/>
      <c r="V1483" s="14" t="n"/>
      <c r="Z1483">
        <f>IF($B1483="","",IF(COUNTIF($B$2:$B1483,$B1483)=1,1,0))</f>
        <v/>
      </c>
      <c r="AA1483">
        <f>IF($Z1483=1,SUMPRODUCT(--($AC$2:$AC$3001&lt;$AC1483))+1,"")</f>
        <v/>
      </c>
      <c r="AB1483">
        <f>IF($B1483="","",IF(OR($Y1483=TRUE(),$Y1483="TRUE"),1,IF(AND($Y1483&lt;&gt;"",OR($Y1483=FALSE(),$Y1483="FALSE")),0,IF(MIN(ABS($X1483/100-Settings!$C$6),ABS($X1483/100-Settings!$G$6))&lt;=MIN(ABS($X1483/100-Settings!$C$7),ABS($X1483/100-Settings!$G$7)),1,0))))</f>
        <v/>
      </c>
      <c r="AC1483">
        <f>IF($Z1483=1,IFERROR(IF(VALUE($B1483)&lt;100000000,VALUE($B1483),1000000000),IFERROR(IF(VALUE(MID($B1483,2,20))&lt;100000000,VALUE(MID($B1483,2,20)),1000000000),1000000000))+ROW()/100000,"")</f>
        <v/>
      </c>
    </row>
    <row r="1484">
      <c r="A1484">
        <f>IF($B1484="","",IFERROR(IF(INDEX('Per Invoice'!$A$2:$A$801,MATCH($B1484,'Per Invoice'!$B$2:$B$801,0))=0,"",INDEX('Per Invoice'!$A$2:$A$801,MATCH($B1484,'Per Invoice'!$B$2:$B$801,0))),""))</f>
        <v/>
      </c>
      <c r="J1484" s="7">
        <f>IF($B1484="","",I1484*Q1484/100)</f>
        <v/>
      </c>
      <c r="N1484" s="7" t="n"/>
      <c r="O1484" s="7" t="n"/>
      <c r="P1484" s="7">
        <f>IF($B1484="","",O1484*X1484/100)</f>
        <v/>
      </c>
      <c r="Q1484" s="7">
        <f>IF($B1484="","",O1484-P1484)</f>
        <v/>
      </c>
      <c r="R1484" s="7">
        <f>IF($B1484="","",Q1484-J1484)</f>
        <v/>
      </c>
      <c r="S1484" s="7" t="n"/>
      <c r="T1484" s="7" t="n"/>
      <c r="V1484" s="14" t="n"/>
      <c r="Z1484">
        <f>IF($B1484="","",IF(COUNTIF($B$2:$B1484,$B1484)=1,1,0))</f>
        <v/>
      </c>
      <c r="AA1484">
        <f>IF($Z1484=1,SUMPRODUCT(--($AC$2:$AC$3001&lt;$AC1484))+1,"")</f>
        <v/>
      </c>
      <c r="AB1484">
        <f>IF($B1484="","",IF(OR($Y1484=TRUE(),$Y1484="TRUE"),1,IF(AND($Y1484&lt;&gt;"",OR($Y1484=FALSE(),$Y1484="FALSE")),0,IF(MIN(ABS($X1484/100-Settings!$C$6),ABS($X1484/100-Settings!$G$6))&lt;=MIN(ABS($X1484/100-Settings!$C$7),ABS($X1484/100-Settings!$G$7)),1,0))))</f>
        <v/>
      </c>
      <c r="AC1484">
        <f>IF($Z1484=1,IFERROR(IF(VALUE($B1484)&lt;100000000,VALUE($B1484),1000000000),IFERROR(IF(VALUE(MID($B1484,2,20))&lt;100000000,VALUE(MID($B1484,2,20)),1000000000),1000000000))+ROW()/100000,"")</f>
        <v/>
      </c>
    </row>
    <row r="1485">
      <c r="A1485">
        <f>IF($B1485="","",IFERROR(IF(INDEX('Per Invoice'!$A$2:$A$801,MATCH($B1485,'Per Invoice'!$B$2:$B$801,0))=0,"",INDEX('Per Invoice'!$A$2:$A$801,MATCH($B1485,'Per Invoice'!$B$2:$B$801,0))),""))</f>
        <v/>
      </c>
      <c r="J1485" s="7">
        <f>IF($B1485="","",I1485*Q1485/100)</f>
        <v/>
      </c>
      <c r="N1485" s="7" t="n"/>
      <c r="O1485" s="7" t="n"/>
      <c r="P1485" s="7">
        <f>IF($B1485="","",O1485*X1485/100)</f>
        <v/>
      </c>
      <c r="Q1485" s="7">
        <f>IF($B1485="","",O1485-P1485)</f>
        <v/>
      </c>
      <c r="R1485" s="7">
        <f>IF($B1485="","",Q1485-J1485)</f>
        <v/>
      </c>
      <c r="S1485" s="7" t="n"/>
      <c r="T1485" s="7" t="n"/>
      <c r="V1485" s="14" t="n"/>
      <c r="Z1485">
        <f>IF($B1485="","",IF(COUNTIF($B$2:$B1485,$B1485)=1,1,0))</f>
        <v/>
      </c>
      <c r="AA1485">
        <f>IF($Z1485=1,SUMPRODUCT(--($AC$2:$AC$3001&lt;$AC1485))+1,"")</f>
        <v/>
      </c>
      <c r="AB1485">
        <f>IF($B1485="","",IF(OR($Y1485=TRUE(),$Y1485="TRUE"),1,IF(AND($Y1485&lt;&gt;"",OR($Y1485=FALSE(),$Y1485="FALSE")),0,IF(MIN(ABS($X1485/100-Settings!$C$6),ABS($X1485/100-Settings!$G$6))&lt;=MIN(ABS($X1485/100-Settings!$C$7),ABS($X1485/100-Settings!$G$7)),1,0))))</f>
        <v/>
      </c>
      <c r="AC1485">
        <f>IF($Z1485=1,IFERROR(IF(VALUE($B1485)&lt;100000000,VALUE($B1485),1000000000),IFERROR(IF(VALUE(MID($B1485,2,20))&lt;100000000,VALUE(MID($B1485,2,20)),1000000000),1000000000))+ROW()/100000,"")</f>
        <v/>
      </c>
    </row>
    <row r="1486">
      <c r="A1486">
        <f>IF($B1486="","",IFERROR(IF(INDEX('Per Invoice'!$A$2:$A$801,MATCH($B1486,'Per Invoice'!$B$2:$B$801,0))=0,"",INDEX('Per Invoice'!$A$2:$A$801,MATCH($B1486,'Per Invoice'!$B$2:$B$801,0))),""))</f>
        <v/>
      </c>
      <c r="J1486" s="7">
        <f>IF($B1486="","",I1486*Q1486/100)</f>
        <v/>
      </c>
      <c r="N1486" s="7" t="n"/>
      <c r="O1486" s="7" t="n"/>
      <c r="P1486" s="7">
        <f>IF($B1486="","",O1486*X1486/100)</f>
        <v/>
      </c>
      <c r="Q1486" s="7">
        <f>IF($B1486="","",O1486-P1486)</f>
        <v/>
      </c>
      <c r="R1486" s="7">
        <f>IF($B1486="","",Q1486-J1486)</f>
        <v/>
      </c>
      <c r="S1486" s="7" t="n"/>
      <c r="T1486" s="7" t="n"/>
      <c r="V1486" s="14" t="n"/>
      <c r="Z1486">
        <f>IF($B1486="","",IF(COUNTIF($B$2:$B1486,$B1486)=1,1,0))</f>
        <v/>
      </c>
      <c r="AA1486">
        <f>IF($Z1486=1,SUMPRODUCT(--($AC$2:$AC$3001&lt;$AC1486))+1,"")</f>
        <v/>
      </c>
      <c r="AB1486">
        <f>IF($B1486="","",IF(OR($Y1486=TRUE(),$Y1486="TRUE"),1,IF(AND($Y1486&lt;&gt;"",OR($Y1486=FALSE(),$Y1486="FALSE")),0,IF(MIN(ABS($X1486/100-Settings!$C$6),ABS($X1486/100-Settings!$G$6))&lt;=MIN(ABS($X1486/100-Settings!$C$7),ABS($X1486/100-Settings!$G$7)),1,0))))</f>
        <v/>
      </c>
      <c r="AC1486">
        <f>IF($Z1486=1,IFERROR(IF(VALUE($B1486)&lt;100000000,VALUE($B1486),1000000000),IFERROR(IF(VALUE(MID($B1486,2,20))&lt;100000000,VALUE(MID($B1486,2,20)),1000000000),1000000000))+ROW()/100000,"")</f>
        <v/>
      </c>
    </row>
    <row r="1487">
      <c r="A1487">
        <f>IF($B1487="","",IFERROR(IF(INDEX('Per Invoice'!$A$2:$A$801,MATCH($B1487,'Per Invoice'!$B$2:$B$801,0))=0,"",INDEX('Per Invoice'!$A$2:$A$801,MATCH($B1487,'Per Invoice'!$B$2:$B$801,0))),""))</f>
        <v/>
      </c>
      <c r="J1487" s="7">
        <f>IF($B1487="","",I1487*Q1487/100)</f>
        <v/>
      </c>
      <c r="N1487" s="7" t="n"/>
      <c r="O1487" s="7" t="n"/>
      <c r="P1487" s="7">
        <f>IF($B1487="","",O1487*X1487/100)</f>
        <v/>
      </c>
      <c r="Q1487" s="7">
        <f>IF($B1487="","",O1487-P1487)</f>
        <v/>
      </c>
      <c r="R1487" s="7">
        <f>IF($B1487="","",Q1487-J1487)</f>
        <v/>
      </c>
      <c r="S1487" s="7" t="n"/>
      <c r="T1487" s="7" t="n"/>
      <c r="V1487" s="14" t="n"/>
      <c r="Z1487">
        <f>IF($B1487="","",IF(COUNTIF($B$2:$B1487,$B1487)=1,1,0))</f>
        <v/>
      </c>
      <c r="AA1487">
        <f>IF($Z1487=1,SUMPRODUCT(--($AC$2:$AC$3001&lt;$AC1487))+1,"")</f>
        <v/>
      </c>
      <c r="AB1487">
        <f>IF($B1487="","",IF(OR($Y1487=TRUE(),$Y1487="TRUE"),1,IF(AND($Y1487&lt;&gt;"",OR($Y1487=FALSE(),$Y1487="FALSE")),0,IF(MIN(ABS($X1487/100-Settings!$C$6),ABS($X1487/100-Settings!$G$6))&lt;=MIN(ABS($X1487/100-Settings!$C$7),ABS($X1487/100-Settings!$G$7)),1,0))))</f>
        <v/>
      </c>
      <c r="AC1487">
        <f>IF($Z1487=1,IFERROR(IF(VALUE($B1487)&lt;100000000,VALUE($B1487),1000000000),IFERROR(IF(VALUE(MID($B1487,2,20))&lt;100000000,VALUE(MID($B1487,2,20)),1000000000),1000000000))+ROW()/100000,"")</f>
        <v/>
      </c>
    </row>
    <row r="1488">
      <c r="A1488">
        <f>IF($B1488="","",IFERROR(IF(INDEX('Per Invoice'!$A$2:$A$801,MATCH($B1488,'Per Invoice'!$B$2:$B$801,0))=0,"",INDEX('Per Invoice'!$A$2:$A$801,MATCH($B1488,'Per Invoice'!$B$2:$B$801,0))),""))</f>
        <v/>
      </c>
      <c r="J1488" s="7">
        <f>IF($B1488="","",I1488*Q1488/100)</f>
        <v/>
      </c>
      <c r="N1488" s="7" t="n"/>
      <c r="O1488" s="7" t="n"/>
      <c r="P1488" s="7">
        <f>IF($B1488="","",O1488*X1488/100)</f>
        <v/>
      </c>
      <c r="Q1488" s="7">
        <f>IF($B1488="","",O1488-P1488)</f>
        <v/>
      </c>
      <c r="R1488" s="7">
        <f>IF($B1488="","",Q1488-J1488)</f>
        <v/>
      </c>
      <c r="S1488" s="7" t="n"/>
      <c r="T1488" s="7" t="n"/>
      <c r="V1488" s="14" t="n"/>
      <c r="Z1488">
        <f>IF($B1488="","",IF(COUNTIF($B$2:$B1488,$B1488)=1,1,0))</f>
        <v/>
      </c>
      <c r="AA1488">
        <f>IF($Z1488=1,SUMPRODUCT(--($AC$2:$AC$3001&lt;$AC1488))+1,"")</f>
        <v/>
      </c>
      <c r="AB1488">
        <f>IF($B1488="","",IF(OR($Y1488=TRUE(),$Y1488="TRUE"),1,IF(AND($Y1488&lt;&gt;"",OR($Y1488=FALSE(),$Y1488="FALSE")),0,IF(MIN(ABS($X1488/100-Settings!$C$6),ABS($X1488/100-Settings!$G$6))&lt;=MIN(ABS($X1488/100-Settings!$C$7),ABS($X1488/100-Settings!$G$7)),1,0))))</f>
        <v/>
      </c>
      <c r="AC1488">
        <f>IF($Z1488=1,IFERROR(IF(VALUE($B1488)&lt;100000000,VALUE($B1488),1000000000),IFERROR(IF(VALUE(MID($B1488,2,20))&lt;100000000,VALUE(MID($B1488,2,20)),1000000000),1000000000))+ROW()/100000,"")</f>
        <v/>
      </c>
    </row>
    <row r="1489">
      <c r="A1489">
        <f>IF($B1489="","",IFERROR(IF(INDEX('Per Invoice'!$A$2:$A$801,MATCH($B1489,'Per Invoice'!$B$2:$B$801,0))=0,"",INDEX('Per Invoice'!$A$2:$A$801,MATCH($B1489,'Per Invoice'!$B$2:$B$801,0))),""))</f>
        <v/>
      </c>
      <c r="J1489" s="7">
        <f>IF($B1489="","",I1489*Q1489/100)</f>
        <v/>
      </c>
      <c r="N1489" s="7" t="n"/>
      <c r="O1489" s="7" t="n"/>
      <c r="P1489" s="7">
        <f>IF($B1489="","",O1489*X1489/100)</f>
        <v/>
      </c>
      <c r="Q1489" s="7">
        <f>IF($B1489="","",O1489-P1489)</f>
        <v/>
      </c>
      <c r="R1489" s="7">
        <f>IF($B1489="","",Q1489-J1489)</f>
        <v/>
      </c>
      <c r="S1489" s="7" t="n"/>
      <c r="T1489" s="7" t="n"/>
      <c r="V1489" s="14" t="n"/>
      <c r="Z1489">
        <f>IF($B1489="","",IF(COUNTIF($B$2:$B1489,$B1489)=1,1,0))</f>
        <v/>
      </c>
      <c r="AA1489">
        <f>IF($Z1489=1,SUMPRODUCT(--($AC$2:$AC$3001&lt;$AC1489))+1,"")</f>
        <v/>
      </c>
      <c r="AB1489">
        <f>IF($B1489="","",IF(OR($Y1489=TRUE(),$Y1489="TRUE"),1,IF(AND($Y1489&lt;&gt;"",OR($Y1489=FALSE(),$Y1489="FALSE")),0,IF(MIN(ABS($X1489/100-Settings!$C$6),ABS($X1489/100-Settings!$G$6))&lt;=MIN(ABS($X1489/100-Settings!$C$7),ABS($X1489/100-Settings!$G$7)),1,0))))</f>
        <v/>
      </c>
      <c r="AC1489">
        <f>IF($Z1489=1,IFERROR(IF(VALUE($B1489)&lt;100000000,VALUE($B1489),1000000000),IFERROR(IF(VALUE(MID($B1489,2,20))&lt;100000000,VALUE(MID($B1489,2,20)),1000000000),1000000000))+ROW()/100000,"")</f>
        <v/>
      </c>
    </row>
    <row r="1490">
      <c r="A1490">
        <f>IF($B1490="","",IFERROR(IF(INDEX('Per Invoice'!$A$2:$A$801,MATCH($B1490,'Per Invoice'!$B$2:$B$801,0))=0,"",INDEX('Per Invoice'!$A$2:$A$801,MATCH($B1490,'Per Invoice'!$B$2:$B$801,0))),""))</f>
        <v/>
      </c>
      <c r="J1490" s="7">
        <f>IF($B1490="","",I1490*Q1490/100)</f>
        <v/>
      </c>
      <c r="N1490" s="7" t="n"/>
      <c r="O1490" s="7" t="n"/>
      <c r="P1490" s="7">
        <f>IF($B1490="","",O1490*X1490/100)</f>
        <v/>
      </c>
      <c r="Q1490" s="7">
        <f>IF($B1490="","",O1490-P1490)</f>
        <v/>
      </c>
      <c r="R1490" s="7">
        <f>IF($B1490="","",Q1490-J1490)</f>
        <v/>
      </c>
      <c r="S1490" s="7" t="n"/>
      <c r="T1490" s="7" t="n"/>
      <c r="V1490" s="14" t="n"/>
      <c r="Z1490">
        <f>IF($B1490="","",IF(COUNTIF($B$2:$B1490,$B1490)=1,1,0))</f>
        <v/>
      </c>
      <c r="AA1490">
        <f>IF($Z1490=1,SUMPRODUCT(--($AC$2:$AC$3001&lt;$AC1490))+1,"")</f>
        <v/>
      </c>
      <c r="AB1490">
        <f>IF($B1490="","",IF(OR($Y1490=TRUE(),$Y1490="TRUE"),1,IF(AND($Y1490&lt;&gt;"",OR($Y1490=FALSE(),$Y1490="FALSE")),0,IF(MIN(ABS($X1490/100-Settings!$C$6),ABS($X1490/100-Settings!$G$6))&lt;=MIN(ABS($X1490/100-Settings!$C$7),ABS($X1490/100-Settings!$G$7)),1,0))))</f>
        <v/>
      </c>
      <c r="AC1490">
        <f>IF($Z1490=1,IFERROR(IF(VALUE($B1490)&lt;100000000,VALUE($B1490),1000000000),IFERROR(IF(VALUE(MID($B1490,2,20))&lt;100000000,VALUE(MID($B1490,2,20)),1000000000),1000000000))+ROW()/100000,"")</f>
        <v/>
      </c>
    </row>
    <row r="1491">
      <c r="A1491">
        <f>IF($B1491="","",IFERROR(IF(INDEX('Per Invoice'!$A$2:$A$801,MATCH($B1491,'Per Invoice'!$B$2:$B$801,0))=0,"",INDEX('Per Invoice'!$A$2:$A$801,MATCH($B1491,'Per Invoice'!$B$2:$B$801,0))),""))</f>
        <v/>
      </c>
      <c r="J1491" s="7">
        <f>IF($B1491="","",I1491*Q1491/100)</f>
        <v/>
      </c>
      <c r="N1491" s="7" t="n"/>
      <c r="O1491" s="7" t="n"/>
      <c r="P1491" s="7">
        <f>IF($B1491="","",O1491*X1491/100)</f>
        <v/>
      </c>
      <c r="Q1491" s="7">
        <f>IF($B1491="","",O1491-P1491)</f>
        <v/>
      </c>
      <c r="R1491" s="7">
        <f>IF($B1491="","",Q1491-J1491)</f>
        <v/>
      </c>
      <c r="S1491" s="7" t="n"/>
      <c r="T1491" s="7" t="n"/>
      <c r="V1491" s="14" t="n"/>
      <c r="Z1491">
        <f>IF($B1491="","",IF(COUNTIF($B$2:$B1491,$B1491)=1,1,0))</f>
        <v/>
      </c>
      <c r="AA1491">
        <f>IF($Z1491=1,SUMPRODUCT(--($AC$2:$AC$3001&lt;$AC1491))+1,"")</f>
        <v/>
      </c>
      <c r="AB1491">
        <f>IF($B1491="","",IF(OR($Y1491=TRUE(),$Y1491="TRUE"),1,IF(AND($Y1491&lt;&gt;"",OR($Y1491=FALSE(),$Y1491="FALSE")),0,IF(MIN(ABS($X1491/100-Settings!$C$6),ABS($X1491/100-Settings!$G$6))&lt;=MIN(ABS($X1491/100-Settings!$C$7),ABS($X1491/100-Settings!$G$7)),1,0))))</f>
        <v/>
      </c>
      <c r="AC1491">
        <f>IF($Z1491=1,IFERROR(IF(VALUE($B1491)&lt;100000000,VALUE($B1491),1000000000),IFERROR(IF(VALUE(MID($B1491,2,20))&lt;100000000,VALUE(MID($B1491,2,20)),1000000000),1000000000))+ROW()/100000,"")</f>
        <v/>
      </c>
    </row>
    <row r="1492">
      <c r="A1492">
        <f>IF($B1492="","",IFERROR(IF(INDEX('Per Invoice'!$A$2:$A$801,MATCH($B1492,'Per Invoice'!$B$2:$B$801,0))=0,"",INDEX('Per Invoice'!$A$2:$A$801,MATCH($B1492,'Per Invoice'!$B$2:$B$801,0))),""))</f>
        <v/>
      </c>
      <c r="J1492" s="7">
        <f>IF($B1492="","",I1492*Q1492/100)</f>
        <v/>
      </c>
      <c r="N1492" s="7" t="n"/>
      <c r="O1492" s="7" t="n"/>
      <c r="P1492" s="7">
        <f>IF($B1492="","",O1492*X1492/100)</f>
        <v/>
      </c>
      <c r="Q1492" s="7">
        <f>IF($B1492="","",O1492-P1492)</f>
        <v/>
      </c>
      <c r="R1492" s="7">
        <f>IF($B1492="","",Q1492-J1492)</f>
        <v/>
      </c>
      <c r="S1492" s="7" t="n"/>
      <c r="T1492" s="7" t="n"/>
      <c r="V1492" s="14" t="n"/>
      <c r="Z1492">
        <f>IF($B1492="","",IF(COUNTIF($B$2:$B1492,$B1492)=1,1,0))</f>
        <v/>
      </c>
      <c r="AA1492">
        <f>IF($Z1492=1,SUMPRODUCT(--($AC$2:$AC$3001&lt;$AC1492))+1,"")</f>
        <v/>
      </c>
      <c r="AB1492">
        <f>IF($B1492="","",IF(OR($Y1492=TRUE(),$Y1492="TRUE"),1,IF(AND($Y1492&lt;&gt;"",OR($Y1492=FALSE(),$Y1492="FALSE")),0,IF(MIN(ABS($X1492/100-Settings!$C$6),ABS($X1492/100-Settings!$G$6))&lt;=MIN(ABS($X1492/100-Settings!$C$7),ABS($X1492/100-Settings!$G$7)),1,0))))</f>
        <v/>
      </c>
      <c r="AC1492">
        <f>IF($Z1492=1,IFERROR(IF(VALUE($B1492)&lt;100000000,VALUE($B1492),1000000000),IFERROR(IF(VALUE(MID($B1492,2,20))&lt;100000000,VALUE(MID($B1492,2,20)),1000000000),1000000000))+ROW()/100000,"")</f>
        <v/>
      </c>
    </row>
    <row r="1493">
      <c r="A1493">
        <f>IF($B1493="","",IFERROR(IF(INDEX('Per Invoice'!$A$2:$A$801,MATCH($B1493,'Per Invoice'!$B$2:$B$801,0))=0,"",INDEX('Per Invoice'!$A$2:$A$801,MATCH($B1493,'Per Invoice'!$B$2:$B$801,0))),""))</f>
        <v/>
      </c>
      <c r="J1493" s="7">
        <f>IF($B1493="","",I1493*Q1493/100)</f>
        <v/>
      </c>
      <c r="N1493" s="7" t="n"/>
      <c r="O1493" s="7" t="n"/>
      <c r="P1493" s="7">
        <f>IF($B1493="","",O1493*X1493/100)</f>
        <v/>
      </c>
      <c r="Q1493" s="7">
        <f>IF($B1493="","",O1493-P1493)</f>
        <v/>
      </c>
      <c r="R1493" s="7">
        <f>IF($B1493="","",Q1493-J1493)</f>
        <v/>
      </c>
      <c r="S1493" s="7" t="n"/>
      <c r="T1493" s="7" t="n"/>
      <c r="V1493" s="14" t="n"/>
      <c r="Z1493">
        <f>IF($B1493="","",IF(COUNTIF($B$2:$B1493,$B1493)=1,1,0))</f>
        <v/>
      </c>
      <c r="AA1493">
        <f>IF($Z1493=1,SUMPRODUCT(--($AC$2:$AC$3001&lt;$AC1493))+1,"")</f>
        <v/>
      </c>
      <c r="AB1493">
        <f>IF($B1493="","",IF(OR($Y1493=TRUE(),$Y1493="TRUE"),1,IF(AND($Y1493&lt;&gt;"",OR($Y1493=FALSE(),$Y1493="FALSE")),0,IF(MIN(ABS($X1493/100-Settings!$C$6),ABS($X1493/100-Settings!$G$6))&lt;=MIN(ABS($X1493/100-Settings!$C$7),ABS($X1493/100-Settings!$G$7)),1,0))))</f>
        <v/>
      </c>
      <c r="AC1493">
        <f>IF($Z1493=1,IFERROR(IF(VALUE($B1493)&lt;100000000,VALUE($B1493),1000000000),IFERROR(IF(VALUE(MID($B1493,2,20))&lt;100000000,VALUE(MID($B1493,2,20)),1000000000),1000000000))+ROW()/100000,"")</f>
        <v/>
      </c>
    </row>
    <row r="1494">
      <c r="A1494">
        <f>IF($B1494="","",IFERROR(IF(INDEX('Per Invoice'!$A$2:$A$801,MATCH($B1494,'Per Invoice'!$B$2:$B$801,0))=0,"",INDEX('Per Invoice'!$A$2:$A$801,MATCH($B1494,'Per Invoice'!$B$2:$B$801,0))),""))</f>
        <v/>
      </c>
      <c r="J1494" s="7">
        <f>IF($B1494="","",I1494*Q1494/100)</f>
        <v/>
      </c>
      <c r="N1494" s="7" t="n"/>
      <c r="O1494" s="7" t="n"/>
      <c r="P1494" s="7">
        <f>IF($B1494="","",O1494*X1494/100)</f>
        <v/>
      </c>
      <c r="Q1494" s="7">
        <f>IF($B1494="","",O1494-P1494)</f>
        <v/>
      </c>
      <c r="R1494" s="7">
        <f>IF($B1494="","",Q1494-J1494)</f>
        <v/>
      </c>
      <c r="S1494" s="7" t="n"/>
      <c r="T1494" s="7" t="n"/>
      <c r="V1494" s="14" t="n"/>
      <c r="Z1494">
        <f>IF($B1494="","",IF(COUNTIF($B$2:$B1494,$B1494)=1,1,0))</f>
        <v/>
      </c>
      <c r="AA1494">
        <f>IF($Z1494=1,SUMPRODUCT(--($AC$2:$AC$3001&lt;$AC1494))+1,"")</f>
        <v/>
      </c>
      <c r="AB1494">
        <f>IF($B1494="","",IF(OR($Y1494=TRUE(),$Y1494="TRUE"),1,IF(AND($Y1494&lt;&gt;"",OR($Y1494=FALSE(),$Y1494="FALSE")),0,IF(MIN(ABS($X1494/100-Settings!$C$6),ABS($X1494/100-Settings!$G$6))&lt;=MIN(ABS($X1494/100-Settings!$C$7),ABS($X1494/100-Settings!$G$7)),1,0))))</f>
        <v/>
      </c>
      <c r="AC1494">
        <f>IF($Z1494=1,IFERROR(IF(VALUE($B1494)&lt;100000000,VALUE($B1494),1000000000),IFERROR(IF(VALUE(MID($B1494,2,20))&lt;100000000,VALUE(MID($B1494,2,20)),1000000000),1000000000))+ROW()/100000,"")</f>
        <v/>
      </c>
    </row>
    <row r="1495">
      <c r="A1495">
        <f>IF($B1495="","",IFERROR(IF(INDEX('Per Invoice'!$A$2:$A$801,MATCH($B1495,'Per Invoice'!$B$2:$B$801,0))=0,"",INDEX('Per Invoice'!$A$2:$A$801,MATCH($B1495,'Per Invoice'!$B$2:$B$801,0))),""))</f>
        <v/>
      </c>
      <c r="J1495" s="7">
        <f>IF($B1495="","",I1495*Q1495/100)</f>
        <v/>
      </c>
      <c r="N1495" s="7" t="n"/>
      <c r="O1495" s="7" t="n"/>
      <c r="P1495" s="7">
        <f>IF($B1495="","",O1495*X1495/100)</f>
        <v/>
      </c>
      <c r="Q1495" s="7">
        <f>IF($B1495="","",O1495-P1495)</f>
        <v/>
      </c>
      <c r="R1495" s="7">
        <f>IF($B1495="","",Q1495-J1495)</f>
        <v/>
      </c>
      <c r="S1495" s="7" t="n"/>
      <c r="T1495" s="7" t="n"/>
      <c r="V1495" s="14" t="n"/>
      <c r="Z1495">
        <f>IF($B1495="","",IF(COUNTIF($B$2:$B1495,$B1495)=1,1,0))</f>
        <v/>
      </c>
      <c r="AA1495">
        <f>IF($Z1495=1,SUMPRODUCT(--($AC$2:$AC$3001&lt;$AC1495))+1,"")</f>
        <v/>
      </c>
      <c r="AB1495">
        <f>IF($B1495="","",IF(OR($Y1495=TRUE(),$Y1495="TRUE"),1,IF(AND($Y1495&lt;&gt;"",OR($Y1495=FALSE(),$Y1495="FALSE")),0,IF(MIN(ABS($X1495/100-Settings!$C$6),ABS($X1495/100-Settings!$G$6))&lt;=MIN(ABS($X1495/100-Settings!$C$7),ABS($X1495/100-Settings!$G$7)),1,0))))</f>
        <v/>
      </c>
      <c r="AC1495">
        <f>IF($Z1495=1,IFERROR(IF(VALUE($B1495)&lt;100000000,VALUE($B1495),1000000000),IFERROR(IF(VALUE(MID($B1495,2,20))&lt;100000000,VALUE(MID($B1495,2,20)),1000000000),1000000000))+ROW()/100000,"")</f>
        <v/>
      </c>
    </row>
    <row r="1496">
      <c r="A1496">
        <f>IF($B1496="","",IFERROR(IF(INDEX('Per Invoice'!$A$2:$A$801,MATCH($B1496,'Per Invoice'!$B$2:$B$801,0))=0,"",INDEX('Per Invoice'!$A$2:$A$801,MATCH($B1496,'Per Invoice'!$B$2:$B$801,0))),""))</f>
        <v/>
      </c>
      <c r="J1496" s="7">
        <f>IF($B1496="","",I1496*Q1496/100)</f>
        <v/>
      </c>
      <c r="N1496" s="7" t="n"/>
      <c r="O1496" s="7" t="n"/>
      <c r="P1496" s="7">
        <f>IF($B1496="","",O1496*X1496/100)</f>
        <v/>
      </c>
      <c r="Q1496" s="7">
        <f>IF($B1496="","",O1496-P1496)</f>
        <v/>
      </c>
      <c r="R1496" s="7">
        <f>IF($B1496="","",Q1496-J1496)</f>
        <v/>
      </c>
      <c r="S1496" s="7" t="n"/>
      <c r="T1496" s="7" t="n"/>
      <c r="V1496" s="14" t="n"/>
      <c r="Z1496">
        <f>IF($B1496="","",IF(COUNTIF($B$2:$B1496,$B1496)=1,1,0))</f>
        <v/>
      </c>
      <c r="AA1496">
        <f>IF($Z1496=1,SUMPRODUCT(--($AC$2:$AC$3001&lt;$AC1496))+1,"")</f>
        <v/>
      </c>
      <c r="AB1496">
        <f>IF($B1496="","",IF(OR($Y1496=TRUE(),$Y1496="TRUE"),1,IF(AND($Y1496&lt;&gt;"",OR($Y1496=FALSE(),$Y1496="FALSE")),0,IF(MIN(ABS($X1496/100-Settings!$C$6),ABS($X1496/100-Settings!$G$6))&lt;=MIN(ABS($X1496/100-Settings!$C$7),ABS($X1496/100-Settings!$G$7)),1,0))))</f>
        <v/>
      </c>
      <c r="AC1496">
        <f>IF($Z1496=1,IFERROR(IF(VALUE($B1496)&lt;100000000,VALUE($B1496),1000000000),IFERROR(IF(VALUE(MID($B1496,2,20))&lt;100000000,VALUE(MID($B1496,2,20)),1000000000),1000000000))+ROW()/100000,"")</f>
        <v/>
      </c>
    </row>
    <row r="1497">
      <c r="A1497">
        <f>IF($B1497="","",IFERROR(IF(INDEX('Per Invoice'!$A$2:$A$801,MATCH($B1497,'Per Invoice'!$B$2:$B$801,0))=0,"",INDEX('Per Invoice'!$A$2:$A$801,MATCH($B1497,'Per Invoice'!$B$2:$B$801,0))),""))</f>
        <v/>
      </c>
      <c r="J1497" s="7">
        <f>IF($B1497="","",I1497*Q1497/100)</f>
        <v/>
      </c>
      <c r="N1497" s="7" t="n"/>
      <c r="O1497" s="7" t="n"/>
      <c r="P1497" s="7">
        <f>IF($B1497="","",O1497*X1497/100)</f>
        <v/>
      </c>
      <c r="Q1497" s="7">
        <f>IF($B1497="","",O1497-P1497)</f>
        <v/>
      </c>
      <c r="R1497" s="7">
        <f>IF($B1497="","",Q1497-J1497)</f>
        <v/>
      </c>
      <c r="S1497" s="7" t="n"/>
      <c r="T1497" s="7" t="n"/>
      <c r="V1497" s="14" t="n"/>
      <c r="Z1497">
        <f>IF($B1497="","",IF(COUNTIF($B$2:$B1497,$B1497)=1,1,0))</f>
        <v/>
      </c>
      <c r="AA1497">
        <f>IF($Z1497=1,SUMPRODUCT(--($AC$2:$AC$3001&lt;$AC1497))+1,"")</f>
        <v/>
      </c>
      <c r="AB1497">
        <f>IF($B1497="","",IF(OR($Y1497=TRUE(),$Y1497="TRUE"),1,IF(AND($Y1497&lt;&gt;"",OR($Y1497=FALSE(),$Y1497="FALSE")),0,IF(MIN(ABS($X1497/100-Settings!$C$6),ABS($X1497/100-Settings!$G$6))&lt;=MIN(ABS($X1497/100-Settings!$C$7),ABS($X1497/100-Settings!$G$7)),1,0))))</f>
        <v/>
      </c>
      <c r="AC1497">
        <f>IF($Z1497=1,IFERROR(IF(VALUE($B1497)&lt;100000000,VALUE($B1497),1000000000),IFERROR(IF(VALUE(MID($B1497,2,20))&lt;100000000,VALUE(MID($B1497,2,20)),1000000000),1000000000))+ROW()/100000,"")</f>
        <v/>
      </c>
    </row>
    <row r="1498">
      <c r="A1498">
        <f>IF($B1498="","",IFERROR(IF(INDEX('Per Invoice'!$A$2:$A$801,MATCH($B1498,'Per Invoice'!$B$2:$B$801,0))=0,"",INDEX('Per Invoice'!$A$2:$A$801,MATCH($B1498,'Per Invoice'!$B$2:$B$801,0))),""))</f>
        <v/>
      </c>
      <c r="J1498" s="7">
        <f>IF($B1498="","",I1498*Q1498/100)</f>
        <v/>
      </c>
      <c r="N1498" s="7" t="n"/>
      <c r="O1498" s="7" t="n"/>
      <c r="P1498" s="7">
        <f>IF($B1498="","",O1498*X1498/100)</f>
        <v/>
      </c>
      <c r="Q1498" s="7">
        <f>IF($B1498="","",O1498-P1498)</f>
        <v/>
      </c>
      <c r="R1498" s="7">
        <f>IF($B1498="","",Q1498-J1498)</f>
        <v/>
      </c>
      <c r="S1498" s="7" t="n"/>
      <c r="T1498" s="7" t="n"/>
      <c r="V1498" s="14" t="n"/>
      <c r="Z1498">
        <f>IF($B1498="","",IF(COUNTIF($B$2:$B1498,$B1498)=1,1,0))</f>
        <v/>
      </c>
      <c r="AA1498">
        <f>IF($Z1498=1,SUMPRODUCT(--($AC$2:$AC$3001&lt;$AC1498))+1,"")</f>
        <v/>
      </c>
      <c r="AB1498">
        <f>IF($B1498="","",IF(OR($Y1498=TRUE(),$Y1498="TRUE"),1,IF(AND($Y1498&lt;&gt;"",OR($Y1498=FALSE(),$Y1498="FALSE")),0,IF(MIN(ABS($X1498/100-Settings!$C$6),ABS($X1498/100-Settings!$G$6))&lt;=MIN(ABS($X1498/100-Settings!$C$7),ABS($X1498/100-Settings!$G$7)),1,0))))</f>
        <v/>
      </c>
      <c r="AC1498">
        <f>IF($Z1498=1,IFERROR(IF(VALUE($B1498)&lt;100000000,VALUE($B1498),1000000000),IFERROR(IF(VALUE(MID($B1498,2,20))&lt;100000000,VALUE(MID($B1498,2,20)),1000000000),1000000000))+ROW()/100000,"")</f>
        <v/>
      </c>
    </row>
    <row r="1499">
      <c r="A1499">
        <f>IF($B1499="","",IFERROR(IF(INDEX('Per Invoice'!$A$2:$A$801,MATCH($B1499,'Per Invoice'!$B$2:$B$801,0))=0,"",INDEX('Per Invoice'!$A$2:$A$801,MATCH($B1499,'Per Invoice'!$B$2:$B$801,0))),""))</f>
        <v/>
      </c>
      <c r="J1499" s="7">
        <f>IF($B1499="","",I1499*Q1499/100)</f>
        <v/>
      </c>
      <c r="N1499" s="7" t="n"/>
      <c r="O1499" s="7" t="n"/>
      <c r="P1499" s="7">
        <f>IF($B1499="","",O1499*X1499/100)</f>
        <v/>
      </c>
      <c r="Q1499" s="7">
        <f>IF($B1499="","",O1499-P1499)</f>
        <v/>
      </c>
      <c r="R1499" s="7">
        <f>IF($B1499="","",Q1499-J1499)</f>
        <v/>
      </c>
      <c r="S1499" s="7" t="n"/>
      <c r="T1499" s="7" t="n"/>
      <c r="V1499" s="14" t="n"/>
      <c r="Z1499">
        <f>IF($B1499="","",IF(COUNTIF($B$2:$B1499,$B1499)=1,1,0))</f>
        <v/>
      </c>
      <c r="AA1499">
        <f>IF($Z1499=1,SUMPRODUCT(--($AC$2:$AC$3001&lt;$AC1499))+1,"")</f>
        <v/>
      </c>
      <c r="AB1499">
        <f>IF($B1499="","",IF(OR($Y1499=TRUE(),$Y1499="TRUE"),1,IF(AND($Y1499&lt;&gt;"",OR($Y1499=FALSE(),$Y1499="FALSE")),0,IF(MIN(ABS($X1499/100-Settings!$C$6),ABS($X1499/100-Settings!$G$6))&lt;=MIN(ABS($X1499/100-Settings!$C$7),ABS($X1499/100-Settings!$G$7)),1,0))))</f>
        <v/>
      </c>
      <c r="AC1499">
        <f>IF($Z1499=1,IFERROR(IF(VALUE($B1499)&lt;100000000,VALUE($B1499),1000000000),IFERROR(IF(VALUE(MID($B1499,2,20))&lt;100000000,VALUE(MID($B1499,2,20)),1000000000),1000000000))+ROW()/100000,"")</f>
        <v/>
      </c>
    </row>
    <row r="1500">
      <c r="A1500">
        <f>IF($B1500="","",IFERROR(IF(INDEX('Per Invoice'!$A$2:$A$801,MATCH($B1500,'Per Invoice'!$B$2:$B$801,0))=0,"",INDEX('Per Invoice'!$A$2:$A$801,MATCH($B1500,'Per Invoice'!$B$2:$B$801,0))),""))</f>
        <v/>
      </c>
      <c r="J1500" s="7">
        <f>IF($B1500="","",I1500*Q1500/100)</f>
        <v/>
      </c>
      <c r="N1500" s="7" t="n"/>
      <c r="O1500" s="7" t="n"/>
      <c r="P1500" s="7">
        <f>IF($B1500="","",O1500*X1500/100)</f>
        <v/>
      </c>
      <c r="Q1500" s="7">
        <f>IF($B1500="","",O1500-P1500)</f>
        <v/>
      </c>
      <c r="R1500" s="7">
        <f>IF($B1500="","",Q1500-J1500)</f>
        <v/>
      </c>
      <c r="S1500" s="7" t="n"/>
      <c r="T1500" s="7" t="n"/>
      <c r="V1500" s="14" t="n"/>
      <c r="Z1500">
        <f>IF($B1500="","",IF(COUNTIF($B$2:$B1500,$B1500)=1,1,0))</f>
        <v/>
      </c>
      <c r="AA1500">
        <f>IF($Z1500=1,SUMPRODUCT(--($AC$2:$AC$3001&lt;$AC1500))+1,"")</f>
        <v/>
      </c>
      <c r="AB1500">
        <f>IF($B1500="","",IF(OR($Y1500=TRUE(),$Y1500="TRUE"),1,IF(AND($Y1500&lt;&gt;"",OR($Y1500=FALSE(),$Y1500="FALSE")),0,IF(MIN(ABS($X1500/100-Settings!$C$6),ABS($X1500/100-Settings!$G$6))&lt;=MIN(ABS($X1500/100-Settings!$C$7),ABS($X1500/100-Settings!$G$7)),1,0))))</f>
        <v/>
      </c>
      <c r="AC1500">
        <f>IF($Z1500=1,IFERROR(IF(VALUE($B1500)&lt;100000000,VALUE($B1500),1000000000),IFERROR(IF(VALUE(MID($B1500,2,20))&lt;100000000,VALUE(MID($B1500,2,20)),1000000000),1000000000))+ROW()/100000,"")</f>
        <v/>
      </c>
    </row>
    <row r="1501">
      <c r="A1501">
        <f>IF($B1501="","",IFERROR(IF(INDEX('Per Invoice'!$A$2:$A$801,MATCH($B1501,'Per Invoice'!$B$2:$B$801,0))=0,"",INDEX('Per Invoice'!$A$2:$A$801,MATCH($B1501,'Per Invoice'!$B$2:$B$801,0))),""))</f>
        <v/>
      </c>
      <c r="J1501" s="7">
        <f>IF($B1501="","",I1501*Q1501/100)</f>
        <v/>
      </c>
      <c r="N1501" s="7" t="n"/>
      <c r="O1501" s="7" t="n"/>
      <c r="P1501" s="7">
        <f>IF($B1501="","",O1501*X1501/100)</f>
        <v/>
      </c>
      <c r="Q1501" s="7">
        <f>IF($B1501="","",O1501-P1501)</f>
        <v/>
      </c>
      <c r="R1501" s="7">
        <f>IF($B1501="","",Q1501-J1501)</f>
        <v/>
      </c>
      <c r="S1501" s="7" t="n"/>
      <c r="T1501" s="7" t="n"/>
      <c r="V1501" s="14" t="n"/>
      <c r="Z1501">
        <f>IF($B1501="","",IF(COUNTIF($B$2:$B1501,$B1501)=1,1,0))</f>
        <v/>
      </c>
      <c r="AA1501">
        <f>IF($Z1501=1,SUMPRODUCT(--($AC$2:$AC$3001&lt;$AC1501))+1,"")</f>
        <v/>
      </c>
      <c r="AB1501">
        <f>IF($B1501="","",IF(OR($Y1501=TRUE(),$Y1501="TRUE"),1,IF(AND($Y1501&lt;&gt;"",OR($Y1501=FALSE(),$Y1501="FALSE")),0,IF(MIN(ABS($X1501/100-Settings!$C$6),ABS($X1501/100-Settings!$G$6))&lt;=MIN(ABS($X1501/100-Settings!$C$7),ABS($X1501/100-Settings!$G$7)),1,0))))</f>
        <v/>
      </c>
      <c r="AC1501">
        <f>IF($Z1501=1,IFERROR(IF(VALUE($B1501)&lt;100000000,VALUE($B1501),1000000000),IFERROR(IF(VALUE(MID($B1501,2,20))&lt;100000000,VALUE(MID($B1501,2,20)),1000000000),1000000000))+ROW()/100000,"")</f>
        <v/>
      </c>
    </row>
    <row r="1502">
      <c r="A1502">
        <f>IF($B1502="","",IFERROR(IF(INDEX('Per Invoice'!$A$2:$A$801,MATCH($B1502,'Per Invoice'!$B$2:$B$801,0))=0,"",INDEX('Per Invoice'!$A$2:$A$801,MATCH($B1502,'Per Invoice'!$B$2:$B$801,0))),""))</f>
        <v/>
      </c>
      <c r="J1502" s="7">
        <f>IF($B1502="","",I1502*Q1502/100)</f>
        <v/>
      </c>
      <c r="N1502" s="7" t="n"/>
      <c r="O1502" s="7" t="n"/>
      <c r="P1502" s="7">
        <f>IF($B1502="","",O1502*X1502/100)</f>
        <v/>
      </c>
      <c r="Q1502" s="7">
        <f>IF($B1502="","",O1502-P1502)</f>
        <v/>
      </c>
      <c r="R1502" s="7">
        <f>IF($B1502="","",Q1502-J1502)</f>
        <v/>
      </c>
      <c r="S1502" s="7" t="n"/>
      <c r="T1502" s="7" t="n"/>
      <c r="V1502" s="14" t="n"/>
      <c r="Z1502">
        <f>IF($B1502="","",IF(COUNTIF($B$2:$B1502,$B1502)=1,1,0))</f>
        <v/>
      </c>
      <c r="AA1502">
        <f>IF($Z1502=1,SUMPRODUCT(--($AC$2:$AC$3001&lt;$AC1502))+1,"")</f>
        <v/>
      </c>
      <c r="AB1502">
        <f>IF($B1502="","",IF(OR($Y1502=TRUE(),$Y1502="TRUE"),1,IF(AND($Y1502&lt;&gt;"",OR($Y1502=FALSE(),$Y1502="FALSE")),0,IF(MIN(ABS($X1502/100-Settings!$C$6),ABS($X1502/100-Settings!$G$6))&lt;=MIN(ABS($X1502/100-Settings!$C$7),ABS($X1502/100-Settings!$G$7)),1,0))))</f>
        <v/>
      </c>
      <c r="AC1502">
        <f>IF($Z1502=1,IFERROR(IF(VALUE($B1502)&lt;100000000,VALUE($B1502),1000000000),IFERROR(IF(VALUE(MID($B1502,2,20))&lt;100000000,VALUE(MID($B1502,2,20)),1000000000),1000000000))+ROW()/100000,"")</f>
        <v/>
      </c>
    </row>
    <row r="1503">
      <c r="A1503">
        <f>IF($B1503="","",IFERROR(IF(INDEX('Per Invoice'!$A$2:$A$801,MATCH($B1503,'Per Invoice'!$B$2:$B$801,0))=0,"",INDEX('Per Invoice'!$A$2:$A$801,MATCH($B1503,'Per Invoice'!$B$2:$B$801,0))),""))</f>
        <v/>
      </c>
      <c r="J1503" s="7">
        <f>IF($B1503="","",I1503*Q1503/100)</f>
        <v/>
      </c>
      <c r="N1503" s="7" t="n"/>
      <c r="O1503" s="7" t="n"/>
      <c r="P1503" s="7">
        <f>IF($B1503="","",O1503*X1503/100)</f>
        <v/>
      </c>
      <c r="Q1503" s="7">
        <f>IF($B1503="","",O1503-P1503)</f>
        <v/>
      </c>
      <c r="R1503" s="7">
        <f>IF($B1503="","",Q1503-J1503)</f>
        <v/>
      </c>
      <c r="S1503" s="7" t="n"/>
      <c r="T1503" s="7" t="n"/>
      <c r="V1503" s="14" t="n"/>
      <c r="Z1503">
        <f>IF($B1503="","",IF(COUNTIF($B$2:$B1503,$B1503)=1,1,0))</f>
        <v/>
      </c>
      <c r="AA1503">
        <f>IF($Z1503=1,SUMPRODUCT(--($AC$2:$AC$3001&lt;$AC1503))+1,"")</f>
        <v/>
      </c>
      <c r="AB1503">
        <f>IF($B1503="","",IF(OR($Y1503=TRUE(),$Y1503="TRUE"),1,IF(AND($Y1503&lt;&gt;"",OR($Y1503=FALSE(),$Y1503="FALSE")),0,IF(MIN(ABS($X1503/100-Settings!$C$6),ABS($X1503/100-Settings!$G$6))&lt;=MIN(ABS($X1503/100-Settings!$C$7),ABS($X1503/100-Settings!$G$7)),1,0))))</f>
        <v/>
      </c>
      <c r="AC1503">
        <f>IF($Z1503=1,IFERROR(IF(VALUE($B1503)&lt;100000000,VALUE($B1503),1000000000),IFERROR(IF(VALUE(MID($B1503,2,20))&lt;100000000,VALUE(MID($B1503,2,20)),1000000000),1000000000))+ROW()/100000,"")</f>
        <v/>
      </c>
    </row>
    <row r="1504">
      <c r="A1504">
        <f>IF($B1504="","",IFERROR(IF(INDEX('Per Invoice'!$A$2:$A$801,MATCH($B1504,'Per Invoice'!$B$2:$B$801,0))=0,"",INDEX('Per Invoice'!$A$2:$A$801,MATCH($B1504,'Per Invoice'!$B$2:$B$801,0))),""))</f>
        <v/>
      </c>
      <c r="J1504" s="7">
        <f>IF($B1504="","",I1504*Q1504/100)</f>
        <v/>
      </c>
      <c r="N1504" s="7" t="n"/>
      <c r="O1504" s="7" t="n"/>
      <c r="P1504" s="7">
        <f>IF($B1504="","",O1504*X1504/100)</f>
        <v/>
      </c>
      <c r="Q1504" s="7">
        <f>IF($B1504="","",O1504-P1504)</f>
        <v/>
      </c>
      <c r="R1504" s="7">
        <f>IF($B1504="","",Q1504-J1504)</f>
        <v/>
      </c>
      <c r="S1504" s="7" t="n"/>
      <c r="T1504" s="7" t="n"/>
      <c r="V1504" s="14" t="n"/>
      <c r="Z1504">
        <f>IF($B1504="","",IF(COUNTIF($B$2:$B1504,$B1504)=1,1,0))</f>
        <v/>
      </c>
      <c r="AA1504">
        <f>IF($Z1504=1,SUMPRODUCT(--($AC$2:$AC$3001&lt;$AC1504))+1,"")</f>
        <v/>
      </c>
      <c r="AB1504">
        <f>IF($B1504="","",IF(OR($Y1504=TRUE(),$Y1504="TRUE"),1,IF(AND($Y1504&lt;&gt;"",OR($Y1504=FALSE(),$Y1504="FALSE")),0,IF(MIN(ABS($X1504/100-Settings!$C$6),ABS($X1504/100-Settings!$G$6))&lt;=MIN(ABS($X1504/100-Settings!$C$7),ABS($X1504/100-Settings!$G$7)),1,0))))</f>
        <v/>
      </c>
      <c r="AC1504">
        <f>IF($Z1504=1,IFERROR(IF(VALUE($B1504)&lt;100000000,VALUE($B1504),1000000000),IFERROR(IF(VALUE(MID($B1504,2,20))&lt;100000000,VALUE(MID($B1504,2,20)),1000000000),1000000000))+ROW()/100000,"")</f>
        <v/>
      </c>
    </row>
    <row r="1505">
      <c r="A1505">
        <f>IF($B1505="","",IFERROR(IF(INDEX('Per Invoice'!$A$2:$A$801,MATCH($B1505,'Per Invoice'!$B$2:$B$801,0))=0,"",INDEX('Per Invoice'!$A$2:$A$801,MATCH($B1505,'Per Invoice'!$B$2:$B$801,0))),""))</f>
        <v/>
      </c>
      <c r="J1505" s="7">
        <f>IF($B1505="","",I1505*Q1505/100)</f>
        <v/>
      </c>
      <c r="N1505" s="7" t="n"/>
      <c r="O1505" s="7" t="n"/>
      <c r="P1505" s="7">
        <f>IF($B1505="","",O1505*X1505/100)</f>
        <v/>
      </c>
      <c r="Q1505" s="7">
        <f>IF($B1505="","",O1505-P1505)</f>
        <v/>
      </c>
      <c r="R1505" s="7">
        <f>IF($B1505="","",Q1505-J1505)</f>
        <v/>
      </c>
      <c r="S1505" s="7" t="n"/>
      <c r="T1505" s="7" t="n"/>
      <c r="V1505" s="14" t="n"/>
      <c r="Z1505">
        <f>IF($B1505="","",IF(COUNTIF($B$2:$B1505,$B1505)=1,1,0))</f>
        <v/>
      </c>
      <c r="AA1505">
        <f>IF($Z1505=1,SUMPRODUCT(--($AC$2:$AC$3001&lt;$AC1505))+1,"")</f>
        <v/>
      </c>
      <c r="AB1505">
        <f>IF($B1505="","",IF(OR($Y1505=TRUE(),$Y1505="TRUE"),1,IF(AND($Y1505&lt;&gt;"",OR($Y1505=FALSE(),$Y1505="FALSE")),0,IF(MIN(ABS($X1505/100-Settings!$C$6),ABS($X1505/100-Settings!$G$6))&lt;=MIN(ABS($X1505/100-Settings!$C$7),ABS($X1505/100-Settings!$G$7)),1,0))))</f>
        <v/>
      </c>
      <c r="AC1505">
        <f>IF($Z1505=1,IFERROR(IF(VALUE($B1505)&lt;100000000,VALUE($B1505),1000000000),IFERROR(IF(VALUE(MID($B1505,2,20))&lt;100000000,VALUE(MID($B1505,2,20)),1000000000),1000000000))+ROW()/100000,"")</f>
        <v/>
      </c>
    </row>
    <row r="1506">
      <c r="A1506">
        <f>IF($B1506="","",IFERROR(IF(INDEX('Per Invoice'!$A$2:$A$801,MATCH($B1506,'Per Invoice'!$B$2:$B$801,0))=0,"",INDEX('Per Invoice'!$A$2:$A$801,MATCH($B1506,'Per Invoice'!$B$2:$B$801,0))),""))</f>
        <v/>
      </c>
      <c r="J1506" s="7">
        <f>IF($B1506="","",I1506*Q1506/100)</f>
        <v/>
      </c>
      <c r="N1506" s="7" t="n"/>
      <c r="O1506" s="7" t="n"/>
      <c r="P1506" s="7">
        <f>IF($B1506="","",O1506*X1506/100)</f>
        <v/>
      </c>
      <c r="Q1506" s="7">
        <f>IF($B1506="","",O1506-P1506)</f>
        <v/>
      </c>
      <c r="R1506" s="7">
        <f>IF($B1506="","",Q1506-J1506)</f>
        <v/>
      </c>
      <c r="S1506" s="7" t="n"/>
      <c r="T1506" s="7" t="n"/>
      <c r="V1506" s="14" t="n"/>
      <c r="Z1506">
        <f>IF($B1506="","",IF(COUNTIF($B$2:$B1506,$B1506)=1,1,0))</f>
        <v/>
      </c>
      <c r="AA1506">
        <f>IF($Z1506=1,SUMPRODUCT(--($AC$2:$AC$3001&lt;$AC1506))+1,"")</f>
        <v/>
      </c>
      <c r="AB1506">
        <f>IF($B1506="","",IF(OR($Y1506=TRUE(),$Y1506="TRUE"),1,IF(AND($Y1506&lt;&gt;"",OR($Y1506=FALSE(),$Y1506="FALSE")),0,IF(MIN(ABS($X1506/100-Settings!$C$6),ABS($X1506/100-Settings!$G$6))&lt;=MIN(ABS($X1506/100-Settings!$C$7),ABS($X1506/100-Settings!$G$7)),1,0))))</f>
        <v/>
      </c>
      <c r="AC1506">
        <f>IF($Z1506=1,IFERROR(IF(VALUE($B1506)&lt;100000000,VALUE($B1506),1000000000),IFERROR(IF(VALUE(MID($B1506,2,20))&lt;100000000,VALUE(MID($B1506,2,20)),1000000000),1000000000))+ROW()/100000,"")</f>
        <v/>
      </c>
    </row>
    <row r="1507">
      <c r="A1507">
        <f>IF($B1507="","",IFERROR(IF(INDEX('Per Invoice'!$A$2:$A$801,MATCH($B1507,'Per Invoice'!$B$2:$B$801,0))=0,"",INDEX('Per Invoice'!$A$2:$A$801,MATCH($B1507,'Per Invoice'!$B$2:$B$801,0))),""))</f>
        <v/>
      </c>
      <c r="J1507" s="7">
        <f>IF($B1507="","",I1507*Q1507/100)</f>
        <v/>
      </c>
      <c r="N1507" s="7" t="n"/>
      <c r="O1507" s="7" t="n"/>
      <c r="P1507" s="7">
        <f>IF($B1507="","",O1507*X1507/100)</f>
        <v/>
      </c>
      <c r="Q1507" s="7">
        <f>IF($B1507="","",O1507-P1507)</f>
        <v/>
      </c>
      <c r="R1507" s="7">
        <f>IF($B1507="","",Q1507-J1507)</f>
        <v/>
      </c>
      <c r="S1507" s="7" t="n"/>
      <c r="T1507" s="7" t="n"/>
      <c r="V1507" s="14" t="n"/>
      <c r="Z1507">
        <f>IF($B1507="","",IF(COUNTIF($B$2:$B1507,$B1507)=1,1,0))</f>
        <v/>
      </c>
      <c r="AA1507">
        <f>IF($Z1507=1,SUMPRODUCT(--($AC$2:$AC$3001&lt;$AC1507))+1,"")</f>
        <v/>
      </c>
      <c r="AB1507">
        <f>IF($B1507="","",IF(OR($Y1507=TRUE(),$Y1507="TRUE"),1,IF(AND($Y1507&lt;&gt;"",OR($Y1507=FALSE(),$Y1507="FALSE")),0,IF(MIN(ABS($X1507/100-Settings!$C$6),ABS($X1507/100-Settings!$G$6))&lt;=MIN(ABS($X1507/100-Settings!$C$7),ABS($X1507/100-Settings!$G$7)),1,0))))</f>
        <v/>
      </c>
      <c r="AC1507">
        <f>IF($Z1507=1,IFERROR(IF(VALUE($B1507)&lt;100000000,VALUE($B1507),1000000000),IFERROR(IF(VALUE(MID($B1507,2,20))&lt;100000000,VALUE(MID($B1507,2,20)),1000000000),1000000000))+ROW()/100000,"")</f>
        <v/>
      </c>
    </row>
    <row r="1508">
      <c r="A1508">
        <f>IF($B1508="","",IFERROR(IF(INDEX('Per Invoice'!$A$2:$A$801,MATCH($B1508,'Per Invoice'!$B$2:$B$801,0))=0,"",INDEX('Per Invoice'!$A$2:$A$801,MATCH($B1508,'Per Invoice'!$B$2:$B$801,0))),""))</f>
        <v/>
      </c>
      <c r="J1508" s="7">
        <f>IF($B1508="","",I1508*Q1508/100)</f>
        <v/>
      </c>
      <c r="N1508" s="7" t="n"/>
      <c r="O1508" s="7" t="n"/>
      <c r="P1508" s="7">
        <f>IF($B1508="","",O1508*X1508/100)</f>
        <v/>
      </c>
      <c r="Q1508" s="7">
        <f>IF($B1508="","",O1508-P1508)</f>
        <v/>
      </c>
      <c r="R1508" s="7">
        <f>IF($B1508="","",Q1508-J1508)</f>
        <v/>
      </c>
      <c r="S1508" s="7" t="n"/>
      <c r="T1508" s="7" t="n"/>
      <c r="V1508" s="14" t="n"/>
      <c r="Z1508">
        <f>IF($B1508="","",IF(COUNTIF($B$2:$B1508,$B1508)=1,1,0))</f>
        <v/>
      </c>
      <c r="AA1508">
        <f>IF($Z1508=1,SUMPRODUCT(--($AC$2:$AC$3001&lt;$AC1508))+1,"")</f>
        <v/>
      </c>
      <c r="AB1508">
        <f>IF($B1508="","",IF(OR($Y1508=TRUE(),$Y1508="TRUE"),1,IF(AND($Y1508&lt;&gt;"",OR($Y1508=FALSE(),$Y1508="FALSE")),0,IF(MIN(ABS($X1508/100-Settings!$C$6),ABS($X1508/100-Settings!$G$6))&lt;=MIN(ABS($X1508/100-Settings!$C$7),ABS($X1508/100-Settings!$G$7)),1,0))))</f>
        <v/>
      </c>
      <c r="AC1508">
        <f>IF($Z1508=1,IFERROR(IF(VALUE($B1508)&lt;100000000,VALUE($B1508),1000000000),IFERROR(IF(VALUE(MID($B1508,2,20))&lt;100000000,VALUE(MID($B1508,2,20)),1000000000),1000000000))+ROW()/100000,"")</f>
        <v/>
      </c>
    </row>
    <row r="1509">
      <c r="A1509">
        <f>IF($B1509="","",IFERROR(IF(INDEX('Per Invoice'!$A$2:$A$801,MATCH($B1509,'Per Invoice'!$B$2:$B$801,0))=0,"",INDEX('Per Invoice'!$A$2:$A$801,MATCH($B1509,'Per Invoice'!$B$2:$B$801,0))),""))</f>
        <v/>
      </c>
      <c r="J1509" s="7">
        <f>IF($B1509="","",I1509*Q1509/100)</f>
        <v/>
      </c>
      <c r="N1509" s="7" t="n"/>
      <c r="O1509" s="7" t="n"/>
      <c r="P1509" s="7">
        <f>IF($B1509="","",O1509*X1509/100)</f>
        <v/>
      </c>
      <c r="Q1509" s="7">
        <f>IF($B1509="","",O1509-P1509)</f>
        <v/>
      </c>
      <c r="R1509" s="7">
        <f>IF($B1509="","",Q1509-J1509)</f>
        <v/>
      </c>
      <c r="S1509" s="7" t="n"/>
      <c r="T1509" s="7" t="n"/>
      <c r="V1509" s="14" t="n"/>
      <c r="Z1509">
        <f>IF($B1509="","",IF(COUNTIF($B$2:$B1509,$B1509)=1,1,0))</f>
        <v/>
      </c>
      <c r="AA1509">
        <f>IF($Z1509=1,SUMPRODUCT(--($AC$2:$AC$3001&lt;$AC1509))+1,"")</f>
        <v/>
      </c>
      <c r="AB1509">
        <f>IF($B1509="","",IF(OR($Y1509=TRUE(),$Y1509="TRUE"),1,IF(AND($Y1509&lt;&gt;"",OR($Y1509=FALSE(),$Y1509="FALSE")),0,IF(MIN(ABS($X1509/100-Settings!$C$6),ABS($X1509/100-Settings!$G$6))&lt;=MIN(ABS($X1509/100-Settings!$C$7),ABS($X1509/100-Settings!$G$7)),1,0))))</f>
        <v/>
      </c>
      <c r="AC1509">
        <f>IF($Z1509=1,IFERROR(IF(VALUE($B1509)&lt;100000000,VALUE($B1509),1000000000),IFERROR(IF(VALUE(MID($B1509,2,20))&lt;100000000,VALUE(MID($B1509,2,20)),1000000000),1000000000))+ROW()/100000,"")</f>
        <v/>
      </c>
    </row>
    <row r="1510">
      <c r="A1510">
        <f>IF($B1510="","",IFERROR(IF(INDEX('Per Invoice'!$A$2:$A$801,MATCH($B1510,'Per Invoice'!$B$2:$B$801,0))=0,"",INDEX('Per Invoice'!$A$2:$A$801,MATCH($B1510,'Per Invoice'!$B$2:$B$801,0))),""))</f>
        <v/>
      </c>
      <c r="J1510" s="7">
        <f>IF($B1510="","",I1510*Q1510/100)</f>
        <v/>
      </c>
      <c r="N1510" s="7" t="n"/>
      <c r="O1510" s="7" t="n"/>
      <c r="P1510" s="7">
        <f>IF($B1510="","",O1510*X1510/100)</f>
        <v/>
      </c>
      <c r="Q1510" s="7">
        <f>IF($B1510="","",O1510-P1510)</f>
        <v/>
      </c>
      <c r="R1510" s="7">
        <f>IF($B1510="","",Q1510-J1510)</f>
        <v/>
      </c>
      <c r="S1510" s="7" t="n"/>
      <c r="T1510" s="7" t="n"/>
      <c r="V1510" s="14" t="n"/>
      <c r="Z1510">
        <f>IF($B1510="","",IF(COUNTIF($B$2:$B1510,$B1510)=1,1,0))</f>
        <v/>
      </c>
      <c r="AA1510">
        <f>IF($Z1510=1,SUMPRODUCT(--($AC$2:$AC$3001&lt;$AC1510))+1,"")</f>
        <v/>
      </c>
      <c r="AB1510">
        <f>IF($B1510="","",IF(OR($Y1510=TRUE(),$Y1510="TRUE"),1,IF(AND($Y1510&lt;&gt;"",OR($Y1510=FALSE(),$Y1510="FALSE")),0,IF(MIN(ABS($X1510/100-Settings!$C$6),ABS($X1510/100-Settings!$G$6))&lt;=MIN(ABS($X1510/100-Settings!$C$7),ABS($X1510/100-Settings!$G$7)),1,0))))</f>
        <v/>
      </c>
      <c r="AC1510">
        <f>IF($Z1510=1,IFERROR(IF(VALUE($B1510)&lt;100000000,VALUE($B1510),1000000000),IFERROR(IF(VALUE(MID($B1510,2,20))&lt;100000000,VALUE(MID($B1510,2,20)),1000000000),1000000000))+ROW()/100000,"")</f>
        <v/>
      </c>
    </row>
    <row r="1511">
      <c r="A1511">
        <f>IF($B1511="","",IFERROR(IF(INDEX('Per Invoice'!$A$2:$A$801,MATCH($B1511,'Per Invoice'!$B$2:$B$801,0))=0,"",INDEX('Per Invoice'!$A$2:$A$801,MATCH($B1511,'Per Invoice'!$B$2:$B$801,0))),""))</f>
        <v/>
      </c>
      <c r="J1511" s="7">
        <f>IF($B1511="","",I1511*Q1511/100)</f>
        <v/>
      </c>
      <c r="N1511" s="7" t="n"/>
      <c r="O1511" s="7" t="n"/>
      <c r="P1511" s="7">
        <f>IF($B1511="","",O1511*X1511/100)</f>
        <v/>
      </c>
      <c r="Q1511" s="7">
        <f>IF($B1511="","",O1511-P1511)</f>
        <v/>
      </c>
      <c r="R1511" s="7">
        <f>IF($B1511="","",Q1511-J1511)</f>
        <v/>
      </c>
      <c r="S1511" s="7" t="n"/>
      <c r="T1511" s="7" t="n"/>
      <c r="V1511" s="14" t="n"/>
      <c r="Z1511">
        <f>IF($B1511="","",IF(COUNTIF($B$2:$B1511,$B1511)=1,1,0))</f>
        <v/>
      </c>
      <c r="AA1511">
        <f>IF($Z1511=1,SUMPRODUCT(--($AC$2:$AC$3001&lt;$AC1511))+1,"")</f>
        <v/>
      </c>
      <c r="AB1511">
        <f>IF($B1511="","",IF(OR($Y1511=TRUE(),$Y1511="TRUE"),1,IF(AND($Y1511&lt;&gt;"",OR($Y1511=FALSE(),$Y1511="FALSE")),0,IF(MIN(ABS($X1511/100-Settings!$C$6),ABS($X1511/100-Settings!$G$6))&lt;=MIN(ABS($X1511/100-Settings!$C$7),ABS($X1511/100-Settings!$G$7)),1,0))))</f>
        <v/>
      </c>
      <c r="AC1511">
        <f>IF($Z1511=1,IFERROR(IF(VALUE($B1511)&lt;100000000,VALUE($B1511),1000000000),IFERROR(IF(VALUE(MID($B1511,2,20))&lt;100000000,VALUE(MID($B1511,2,20)),1000000000),1000000000))+ROW()/100000,"")</f>
        <v/>
      </c>
    </row>
    <row r="1512">
      <c r="A1512">
        <f>IF($B1512="","",IFERROR(IF(INDEX('Per Invoice'!$A$2:$A$801,MATCH($B1512,'Per Invoice'!$B$2:$B$801,0))=0,"",INDEX('Per Invoice'!$A$2:$A$801,MATCH($B1512,'Per Invoice'!$B$2:$B$801,0))),""))</f>
        <v/>
      </c>
      <c r="J1512" s="7">
        <f>IF($B1512="","",I1512*Q1512/100)</f>
        <v/>
      </c>
      <c r="N1512" s="7" t="n"/>
      <c r="O1512" s="7" t="n"/>
      <c r="P1512" s="7">
        <f>IF($B1512="","",O1512*X1512/100)</f>
        <v/>
      </c>
      <c r="Q1512" s="7">
        <f>IF($B1512="","",O1512-P1512)</f>
        <v/>
      </c>
      <c r="R1512" s="7">
        <f>IF($B1512="","",Q1512-J1512)</f>
        <v/>
      </c>
      <c r="S1512" s="7" t="n"/>
      <c r="T1512" s="7" t="n"/>
      <c r="V1512" s="14" t="n"/>
      <c r="Z1512">
        <f>IF($B1512="","",IF(COUNTIF($B$2:$B1512,$B1512)=1,1,0))</f>
        <v/>
      </c>
      <c r="AA1512">
        <f>IF($Z1512=1,SUMPRODUCT(--($AC$2:$AC$3001&lt;$AC1512))+1,"")</f>
        <v/>
      </c>
      <c r="AB1512">
        <f>IF($B1512="","",IF(OR($Y1512=TRUE(),$Y1512="TRUE"),1,IF(AND($Y1512&lt;&gt;"",OR($Y1512=FALSE(),$Y1512="FALSE")),0,IF(MIN(ABS($X1512/100-Settings!$C$6),ABS($X1512/100-Settings!$G$6))&lt;=MIN(ABS($X1512/100-Settings!$C$7),ABS($X1512/100-Settings!$G$7)),1,0))))</f>
        <v/>
      </c>
      <c r="AC1512">
        <f>IF($Z1512=1,IFERROR(IF(VALUE($B1512)&lt;100000000,VALUE($B1512),1000000000),IFERROR(IF(VALUE(MID($B1512,2,20))&lt;100000000,VALUE(MID($B1512,2,20)),1000000000),1000000000))+ROW()/100000,"")</f>
        <v/>
      </c>
    </row>
    <row r="1513">
      <c r="A1513">
        <f>IF($B1513="","",IFERROR(IF(INDEX('Per Invoice'!$A$2:$A$801,MATCH($B1513,'Per Invoice'!$B$2:$B$801,0))=0,"",INDEX('Per Invoice'!$A$2:$A$801,MATCH($B1513,'Per Invoice'!$B$2:$B$801,0))),""))</f>
        <v/>
      </c>
      <c r="J1513" s="7">
        <f>IF($B1513="","",I1513*Q1513/100)</f>
        <v/>
      </c>
      <c r="N1513" s="7" t="n"/>
      <c r="O1513" s="7" t="n"/>
      <c r="P1513" s="7">
        <f>IF($B1513="","",O1513*X1513/100)</f>
        <v/>
      </c>
      <c r="Q1513" s="7">
        <f>IF($B1513="","",O1513-P1513)</f>
        <v/>
      </c>
      <c r="R1513" s="7">
        <f>IF($B1513="","",Q1513-J1513)</f>
        <v/>
      </c>
      <c r="S1513" s="7" t="n"/>
      <c r="T1513" s="7" t="n"/>
      <c r="V1513" s="14" t="n"/>
      <c r="Z1513">
        <f>IF($B1513="","",IF(COUNTIF($B$2:$B1513,$B1513)=1,1,0))</f>
        <v/>
      </c>
      <c r="AA1513">
        <f>IF($Z1513=1,SUMPRODUCT(--($AC$2:$AC$3001&lt;$AC1513))+1,"")</f>
        <v/>
      </c>
      <c r="AB1513">
        <f>IF($B1513="","",IF(OR($Y1513=TRUE(),$Y1513="TRUE"),1,IF(AND($Y1513&lt;&gt;"",OR($Y1513=FALSE(),$Y1513="FALSE")),0,IF(MIN(ABS($X1513/100-Settings!$C$6),ABS($X1513/100-Settings!$G$6))&lt;=MIN(ABS($X1513/100-Settings!$C$7),ABS($X1513/100-Settings!$G$7)),1,0))))</f>
        <v/>
      </c>
      <c r="AC1513">
        <f>IF($Z1513=1,IFERROR(IF(VALUE($B1513)&lt;100000000,VALUE($B1513),1000000000),IFERROR(IF(VALUE(MID($B1513,2,20))&lt;100000000,VALUE(MID($B1513,2,20)),1000000000),1000000000))+ROW()/100000,"")</f>
        <v/>
      </c>
    </row>
    <row r="1514">
      <c r="A1514">
        <f>IF($B1514="","",IFERROR(IF(INDEX('Per Invoice'!$A$2:$A$801,MATCH($B1514,'Per Invoice'!$B$2:$B$801,0))=0,"",INDEX('Per Invoice'!$A$2:$A$801,MATCH($B1514,'Per Invoice'!$B$2:$B$801,0))),""))</f>
        <v/>
      </c>
      <c r="J1514" s="7">
        <f>IF($B1514="","",I1514*Q1514/100)</f>
        <v/>
      </c>
      <c r="N1514" s="7" t="n"/>
      <c r="O1514" s="7" t="n"/>
      <c r="P1514" s="7">
        <f>IF($B1514="","",O1514*X1514/100)</f>
        <v/>
      </c>
      <c r="Q1514" s="7">
        <f>IF($B1514="","",O1514-P1514)</f>
        <v/>
      </c>
      <c r="R1514" s="7">
        <f>IF($B1514="","",Q1514-J1514)</f>
        <v/>
      </c>
      <c r="S1514" s="7" t="n"/>
      <c r="T1514" s="7" t="n"/>
      <c r="V1514" s="14" t="n"/>
      <c r="Z1514">
        <f>IF($B1514="","",IF(COUNTIF($B$2:$B1514,$B1514)=1,1,0))</f>
        <v/>
      </c>
      <c r="AA1514">
        <f>IF($Z1514=1,SUMPRODUCT(--($AC$2:$AC$3001&lt;$AC1514))+1,"")</f>
        <v/>
      </c>
      <c r="AB1514">
        <f>IF($B1514="","",IF(OR($Y1514=TRUE(),$Y1514="TRUE"),1,IF(AND($Y1514&lt;&gt;"",OR($Y1514=FALSE(),$Y1514="FALSE")),0,IF(MIN(ABS($X1514/100-Settings!$C$6),ABS($X1514/100-Settings!$G$6))&lt;=MIN(ABS($X1514/100-Settings!$C$7),ABS($X1514/100-Settings!$G$7)),1,0))))</f>
        <v/>
      </c>
      <c r="AC1514">
        <f>IF($Z1514=1,IFERROR(IF(VALUE($B1514)&lt;100000000,VALUE($B1514),1000000000),IFERROR(IF(VALUE(MID($B1514,2,20))&lt;100000000,VALUE(MID($B1514,2,20)),1000000000),1000000000))+ROW()/100000,"")</f>
        <v/>
      </c>
    </row>
    <row r="1515">
      <c r="A1515">
        <f>IF($B1515="","",IFERROR(IF(INDEX('Per Invoice'!$A$2:$A$801,MATCH($B1515,'Per Invoice'!$B$2:$B$801,0))=0,"",INDEX('Per Invoice'!$A$2:$A$801,MATCH($B1515,'Per Invoice'!$B$2:$B$801,0))),""))</f>
        <v/>
      </c>
      <c r="J1515" s="7">
        <f>IF($B1515="","",I1515*Q1515/100)</f>
        <v/>
      </c>
      <c r="N1515" s="7" t="n"/>
      <c r="O1515" s="7" t="n"/>
      <c r="P1515" s="7">
        <f>IF($B1515="","",O1515*X1515/100)</f>
        <v/>
      </c>
      <c r="Q1515" s="7">
        <f>IF($B1515="","",O1515-P1515)</f>
        <v/>
      </c>
      <c r="R1515" s="7">
        <f>IF($B1515="","",Q1515-J1515)</f>
        <v/>
      </c>
      <c r="S1515" s="7" t="n"/>
      <c r="T1515" s="7" t="n"/>
      <c r="V1515" s="14" t="n"/>
      <c r="Z1515">
        <f>IF($B1515="","",IF(COUNTIF($B$2:$B1515,$B1515)=1,1,0))</f>
        <v/>
      </c>
      <c r="AA1515">
        <f>IF($Z1515=1,SUMPRODUCT(--($AC$2:$AC$3001&lt;$AC1515))+1,"")</f>
        <v/>
      </c>
      <c r="AB1515">
        <f>IF($B1515="","",IF(OR($Y1515=TRUE(),$Y1515="TRUE"),1,IF(AND($Y1515&lt;&gt;"",OR($Y1515=FALSE(),$Y1515="FALSE")),0,IF(MIN(ABS($X1515/100-Settings!$C$6),ABS($X1515/100-Settings!$G$6))&lt;=MIN(ABS($X1515/100-Settings!$C$7),ABS($X1515/100-Settings!$G$7)),1,0))))</f>
        <v/>
      </c>
      <c r="AC1515">
        <f>IF($Z1515=1,IFERROR(IF(VALUE($B1515)&lt;100000000,VALUE($B1515),1000000000),IFERROR(IF(VALUE(MID($B1515,2,20))&lt;100000000,VALUE(MID($B1515,2,20)),1000000000),1000000000))+ROW()/100000,"")</f>
        <v/>
      </c>
    </row>
    <row r="1516">
      <c r="A1516">
        <f>IF($B1516="","",IFERROR(IF(INDEX('Per Invoice'!$A$2:$A$801,MATCH($B1516,'Per Invoice'!$B$2:$B$801,0))=0,"",INDEX('Per Invoice'!$A$2:$A$801,MATCH($B1516,'Per Invoice'!$B$2:$B$801,0))),""))</f>
        <v/>
      </c>
      <c r="J1516" s="7">
        <f>IF($B1516="","",I1516*Q1516/100)</f>
        <v/>
      </c>
      <c r="N1516" s="7" t="n"/>
      <c r="O1516" s="7" t="n"/>
      <c r="P1516" s="7">
        <f>IF($B1516="","",O1516*X1516/100)</f>
        <v/>
      </c>
      <c r="Q1516" s="7">
        <f>IF($B1516="","",O1516-P1516)</f>
        <v/>
      </c>
      <c r="R1516" s="7">
        <f>IF($B1516="","",Q1516-J1516)</f>
        <v/>
      </c>
      <c r="S1516" s="7" t="n"/>
      <c r="T1516" s="7" t="n"/>
      <c r="V1516" s="14" t="n"/>
      <c r="Z1516">
        <f>IF($B1516="","",IF(COUNTIF($B$2:$B1516,$B1516)=1,1,0))</f>
        <v/>
      </c>
      <c r="AA1516">
        <f>IF($Z1516=1,SUMPRODUCT(--($AC$2:$AC$3001&lt;$AC1516))+1,"")</f>
        <v/>
      </c>
      <c r="AB1516">
        <f>IF($B1516="","",IF(OR($Y1516=TRUE(),$Y1516="TRUE"),1,IF(AND($Y1516&lt;&gt;"",OR($Y1516=FALSE(),$Y1516="FALSE")),0,IF(MIN(ABS($X1516/100-Settings!$C$6),ABS($X1516/100-Settings!$G$6))&lt;=MIN(ABS($X1516/100-Settings!$C$7),ABS($X1516/100-Settings!$G$7)),1,0))))</f>
        <v/>
      </c>
      <c r="AC1516">
        <f>IF($Z1516=1,IFERROR(IF(VALUE($B1516)&lt;100000000,VALUE($B1516),1000000000),IFERROR(IF(VALUE(MID($B1516,2,20))&lt;100000000,VALUE(MID($B1516,2,20)),1000000000),1000000000))+ROW()/100000,"")</f>
        <v/>
      </c>
    </row>
    <row r="1517">
      <c r="A1517">
        <f>IF($B1517="","",IFERROR(IF(INDEX('Per Invoice'!$A$2:$A$801,MATCH($B1517,'Per Invoice'!$B$2:$B$801,0))=0,"",INDEX('Per Invoice'!$A$2:$A$801,MATCH($B1517,'Per Invoice'!$B$2:$B$801,0))),""))</f>
        <v/>
      </c>
      <c r="J1517" s="7">
        <f>IF($B1517="","",I1517*Q1517/100)</f>
        <v/>
      </c>
      <c r="N1517" s="7" t="n"/>
      <c r="O1517" s="7" t="n"/>
      <c r="P1517" s="7">
        <f>IF($B1517="","",O1517*X1517/100)</f>
        <v/>
      </c>
      <c r="Q1517" s="7">
        <f>IF($B1517="","",O1517-P1517)</f>
        <v/>
      </c>
      <c r="R1517" s="7">
        <f>IF($B1517="","",Q1517-J1517)</f>
        <v/>
      </c>
      <c r="S1517" s="7" t="n"/>
      <c r="T1517" s="7" t="n"/>
      <c r="V1517" s="14" t="n"/>
      <c r="Z1517">
        <f>IF($B1517="","",IF(COUNTIF($B$2:$B1517,$B1517)=1,1,0))</f>
        <v/>
      </c>
      <c r="AA1517">
        <f>IF($Z1517=1,SUMPRODUCT(--($AC$2:$AC$3001&lt;$AC1517))+1,"")</f>
        <v/>
      </c>
      <c r="AB1517">
        <f>IF($B1517="","",IF(OR($Y1517=TRUE(),$Y1517="TRUE"),1,IF(AND($Y1517&lt;&gt;"",OR($Y1517=FALSE(),$Y1517="FALSE")),0,IF(MIN(ABS($X1517/100-Settings!$C$6),ABS($X1517/100-Settings!$G$6))&lt;=MIN(ABS($X1517/100-Settings!$C$7),ABS($X1517/100-Settings!$G$7)),1,0))))</f>
        <v/>
      </c>
      <c r="AC1517">
        <f>IF($Z1517=1,IFERROR(IF(VALUE($B1517)&lt;100000000,VALUE($B1517),1000000000),IFERROR(IF(VALUE(MID($B1517,2,20))&lt;100000000,VALUE(MID($B1517,2,20)),1000000000),1000000000))+ROW()/100000,"")</f>
        <v/>
      </c>
    </row>
    <row r="1518">
      <c r="A1518">
        <f>IF($B1518="","",IFERROR(IF(INDEX('Per Invoice'!$A$2:$A$801,MATCH($B1518,'Per Invoice'!$B$2:$B$801,0))=0,"",INDEX('Per Invoice'!$A$2:$A$801,MATCH($B1518,'Per Invoice'!$B$2:$B$801,0))),""))</f>
        <v/>
      </c>
      <c r="J1518" s="7">
        <f>IF($B1518="","",I1518*Q1518/100)</f>
        <v/>
      </c>
      <c r="N1518" s="7" t="n"/>
      <c r="O1518" s="7" t="n"/>
      <c r="P1518" s="7">
        <f>IF($B1518="","",O1518*X1518/100)</f>
        <v/>
      </c>
      <c r="Q1518" s="7">
        <f>IF($B1518="","",O1518-P1518)</f>
        <v/>
      </c>
      <c r="R1518" s="7">
        <f>IF($B1518="","",Q1518-J1518)</f>
        <v/>
      </c>
      <c r="S1518" s="7" t="n"/>
      <c r="T1518" s="7" t="n"/>
      <c r="V1518" s="14" t="n"/>
      <c r="Z1518">
        <f>IF($B1518="","",IF(COUNTIF($B$2:$B1518,$B1518)=1,1,0))</f>
        <v/>
      </c>
      <c r="AA1518">
        <f>IF($Z1518=1,SUMPRODUCT(--($AC$2:$AC$3001&lt;$AC1518))+1,"")</f>
        <v/>
      </c>
      <c r="AB1518">
        <f>IF($B1518="","",IF(OR($Y1518=TRUE(),$Y1518="TRUE"),1,IF(AND($Y1518&lt;&gt;"",OR($Y1518=FALSE(),$Y1518="FALSE")),0,IF(MIN(ABS($X1518/100-Settings!$C$6),ABS($X1518/100-Settings!$G$6))&lt;=MIN(ABS($X1518/100-Settings!$C$7),ABS($X1518/100-Settings!$G$7)),1,0))))</f>
        <v/>
      </c>
      <c r="AC1518">
        <f>IF($Z1518=1,IFERROR(IF(VALUE($B1518)&lt;100000000,VALUE($B1518),1000000000),IFERROR(IF(VALUE(MID($B1518,2,20))&lt;100000000,VALUE(MID($B1518,2,20)),1000000000),1000000000))+ROW()/100000,"")</f>
        <v/>
      </c>
    </row>
    <row r="1519">
      <c r="A1519">
        <f>IF($B1519="","",IFERROR(IF(INDEX('Per Invoice'!$A$2:$A$801,MATCH($B1519,'Per Invoice'!$B$2:$B$801,0))=0,"",INDEX('Per Invoice'!$A$2:$A$801,MATCH($B1519,'Per Invoice'!$B$2:$B$801,0))),""))</f>
        <v/>
      </c>
      <c r="J1519" s="7">
        <f>IF($B1519="","",I1519*Q1519/100)</f>
        <v/>
      </c>
      <c r="N1519" s="7" t="n"/>
      <c r="O1519" s="7" t="n"/>
      <c r="P1519" s="7">
        <f>IF($B1519="","",O1519*X1519/100)</f>
        <v/>
      </c>
      <c r="Q1519" s="7">
        <f>IF($B1519="","",O1519-P1519)</f>
        <v/>
      </c>
      <c r="R1519" s="7">
        <f>IF($B1519="","",Q1519-J1519)</f>
        <v/>
      </c>
      <c r="S1519" s="7" t="n"/>
      <c r="T1519" s="7" t="n"/>
      <c r="V1519" s="14" t="n"/>
      <c r="Z1519">
        <f>IF($B1519="","",IF(COUNTIF($B$2:$B1519,$B1519)=1,1,0))</f>
        <v/>
      </c>
      <c r="AA1519">
        <f>IF($Z1519=1,SUMPRODUCT(--($AC$2:$AC$3001&lt;$AC1519))+1,"")</f>
        <v/>
      </c>
      <c r="AB1519">
        <f>IF($B1519="","",IF(OR($Y1519=TRUE(),$Y1519="TRUE"),1,IF(AND($Y1519&lt;&gt;"",OR($Y1519=FALSE(),$Y1519="FALSE")),0,IF(MIN(ABS($X1519/100-Settings!$C$6),ABS($X1519/100-Settings!$G$6))&lt;=MIN(ABS($X1519/100-Settings!$C$7),ABS($X1519/100-Settings!$G$7)),1,0))))</f>
        <v/>
      </c>
      <c r="AC1519">
        <f>IF($Z1519=1,IFERROR(IF(VALUE($B1519)&lt;100000000,VALUE($B1519),1000000000),IFERROR(IF(VALUE(MID($B1519,2,20))&lt;100000000,VALUE(MID($B1519,2,20)),1000000000),1000000000))+ROW()/100000,"")</f>
        <v/>
      </c>
    </row>
    <row r="1520">
      <c r="A1520">
        <f>IF($B1520="","",IFERROR(IF(INDEX('Per Invoice'!$A$2:$A$801,MATCH($B1520,'Per Invoice'!$B$2:$B$801,0))=0,"",INDEX('Per Invoice'!$A$2:$A$801,MATCH($B1520,'Per Invoice'!$B$2:$B$801,0))),""))</f>
        <v/>
      </c>
      <c r="J1520" s="7">
        <f>IF($B1520="","",I1520*Q1520/100)</f>
        <v/>
      </c>
      <c r="N1520" s="7" t="n"/>
      <c r="O1520" s="7" t="n"/>
      <c r="P1520" s="7">
        <f>IF($B1520="","",O1520*X1520/100)</f>
        <v/>
      </c>
      <c r="Q1520" s="7">
        <f>IF($B1520="","",O1520-P1520)</f>
        <v/>
      </c>
      <c r="R1520" s="7">
        <f>IF($B1520="","",Q1520-J1520)</f>
        <v/>
      </c>
      <c r="S1520" s="7" t="n"/>
      <c r="T1520" s="7" t="n"/>
      <c r="V1520" s="14" t="n"/>
      <c r="Z1520">
        <f>IF($B1520="","",IF(COUNTIF($B$2:$B1520,$B1520)=1,1,0))</f>
        <v/>
      </c>
      <c r="AA1520">
        <f>IF($Z1520=1,SUMPRODUCT(--($AC$2:$AC$3001&lt;$AC1520))+1,"")</f>
        <v/>
      </c>
      <c r="AB1520">
        <f>IF($B1520="","",IF(OR($Y1520=TRUE(),$Y1520="TRUE"),1,IF(AND($Y1520&lt;&gt;"",OR($Y1520=FALSE(),$Y1520="FALSE")),0,IF(MIN(ABS($X1520/100-Settings!$C$6),ABS($X1520/100-Settings!$G$6))&lt;=MIN(ABS($X1520/100-Settings!$C$7),ABS($X1520/100-Settings!$G$7)),1,0))))</f>
        <v/>
      </c>
      <c r="AC1520">
        <f>IF($Z1520=1,IFERROR(IF(VALUE($B1520)&lt;100000000,VALUE($B1520),1000000000),IFERROR(IF(VALUE(MID($B1520,2,20))&lt;100000000,VALUE(MID($B1520,2,20)),1000000000),1000000000))+ROW()/100000,"")</f>
        <v/>
      </c>
    </row>
    <row r="1521">
      <c r="A1521">
        <f>IF($B1521="","",IFERROR(IF(INDEX('Per Invoice'!$A$2:$A$801,MATCH($B1521,'Per Invoice'!$B$2:$B$801,0))=0,"",INDEX('Per Invoice'!$A$2:$A$801,MATCH($B1521,'Per Invoice'!$B$2:$B$801,0))),""))</f>
        <v/>
      </c>
      <c r="J1521" s="7">
        <f>IF($B1521="","",I1521*Q1521/100)</f>
        <v/>
      </c>
      <c r="N1521" s="7" t="n"/>
      <c r="O1521" s="7" t="n"/>
      <c r="P1521" s="7">
        <f>IF($B1521="","",O1521*X1521/100)</f>
        <v/>
      </c>
      <c r="Q1521" s="7">
        <f>IF($B1521="","",O1521-P1521)</f>
        <v/>
      </c>
      <c r="R1521" s="7">
        <f>IF($B1521="","",Q1521-J1521)</f>
        <v/>
      </c>
      <c r="S1521" s="7" t="n"/>
      <c r="T1521" s="7" t="n"/>
      <c r="V1521" s="14" t="n"/>
      <c r="Z1521">
        <f>IF($B1521="","",IF(COUNTIF($B$2:$B1521,$B1521)=1,1,0))</f>
        <v/>
      </c>
      <c r="AA1521">
        <f>IF($Z1521=1,SUMPRODUCT(--($AC$2:$AC$3001&lt;$AC1521))+1,"")</f>
        <v/>
      </c>
      <c r="AB1521">
        <f>IF($B1521="","",IF(OR($Y1521=TRUE(),$Y1521="TRUE"),1,IF(AND($Y1521&lt;&gt;"",OR($Y1521=FALSE(),$Y1521="FALSE")),0,IF(MIN(ABS($X1521/100-Settings!$C$6),ABS($X1521/100-Settings!$G$6))&lt;=MIN(ABS($X1521/100-Settings!$C$7),ABS($X1521/100-Settings!$G$7)),1,0))))</f>
        <v/>
      </c>
      <c r="AC1521">
        <f>IF($Z1521=1,IFERROR(IF(VALUE($B1521)&lt;100000000,VALUE($B1521),1000000000),IFERROR(IF(VALUE(MID($B1521,2,20))&lt;100000000,VALUE(MID($B1521,2,20)),1000000000),1000000000))+ROW()/100000,"")</f>
        <v/>
      </c>
    </row>
    <row r="1522">
      <c r="A1522">
        <f>IF($B1522="","",IFERROR(IF(INDEX('Per Invoice'!$A$2:$A$801,MATCH($B1522,'Per Invoice'!$B$2:$B$801,0))=0,"",INDEX('Per Invoice'!$A$2:$A$801,MATCH($B1522,'Per Invoice'!$B$2:$B$801,0))),""))</f>
        <v/>
      </c>
      <c r="J1522" s="7">
        <f>IF($B1522="","",I1522*Q1522/100)</f>
        <v/>
      </c>
      <c r="N1522" s="7" t="n"/>
      <c r="O1522" s="7" t="n"/>
      <c r="P1522" s="7">
        <f>IF($B1522="","",O1522*X1522/100)</f>
        <v/>
      </c>
      <c r="Q1522" s="7">
        <f>IF($B1522="","",O1522-P1522)</f>
        <v/>
      </c>
      <c r="R1522" s="7">
        <f>IF($B1522="","",Q1522-J1522)</f>
        <v/>
      </c>
      <c r="S1522" s="7" t="n"/>
      <c r="T1522" s="7" t="n"/>
      <c r="V1522" s="14" t="n"/>
      <c r="Z1522">
        <f>IF($B1522="","",IF(COUNTIF($B$2:$B1522,$B1522)=1,1,0))</f>
        <v/>
      </c>
      <c r="AA1522">
        <f>IF($Z1522=1,SUMPRODUCT(--($AC$2:$AC$3001&lt;$AC1522))+1,"")</f>
        <v/>
      </c>
      <c r="AB1522">
        <f>IF($B1522="","",IF(OR($Y1522=TRUE(),$Y1522="TRUE"),1,IF(AND($Y1522&lt;&gt;"",OR($Y1522=FALSE(),$Y1522="FALSE")),0,IF(MIN(ABS($X1522/100-Settings!$C$6),ABS($X1522/100-Settings!$G$6))&lt;=MIN(ABS($X1522/100-Settings!$C$7),ABS($X1522/100-Settings!$G$7)),1,0))))</f>
        <v/>
      </c>
      <c r="AC1522">
        <f>IF($Z1522=1,IFERROR(IF(VALUE($B1522)&lt;100000000,VALUE($B1522),1000000000),IFERROR(IF(VALUE(MID($B1522,2,20))&lt;100000000,VALUE(MID($B1522,2,20)),1000000000),1000000000))+ROW()/100000,"")</f>
        <v/>
      </c>
    </row>
    <row r="1523">
      <c r="A1523">
        <f>IF($B1523="","",IFERROR(IF(INDEX('Per Invoice'!$A$2:$A$801,MATCH($B1523,'Per Invoice'!$B$2:$B$801,0))=0,"",INDEX('Per Invoice'!$A$2:$A$801,MATCH($B1523,'Per Invoice'!$B$2:$B$801,0))),""))</f>
        <v/>
      </c>
      <c r="J1523" s="7">
        <f>IF($B1523="","",I1523*Q1523/100)</f>
        <v/>
      </c>
      <c r="N1523" s="7" t="n"/>
      <c r="O1523" s="7" t="n"/>
      <c r="P1523" s="7">
        <f>IF($B1523="","",O1523*X1523/100)</f>
        <v/>
      </c>
      <c r="Q1523" s="7">
        <f>IF($B1523="","",O1523-P1523)</f>
        <v/>
      </c>
      <c r="R1523" s="7">
        <f>IF($B1523="","",Q1523-J1523)</f>
        <v/>
      </c>
      <c r="S1523" s="7" t="n"/>
      <c r="T1523" s="7" t="n"/>
      <c r="V1523" s="14" t="n"/>
      <c r="Z1523">
        <f>IF($B1523="","",IF(COUNTIF($B$2:$B1523,$B1523)=1,1,0))</f>
        <v/>
      </c>
      <c r="AA1523">
        <f>IF($Z1523=1,SUMPRODUCT(--($AC$2:$AC$3001&lt;$AC1523))+1,"")</f>
        <v/>
      </c>
      <c r="AB1523">
        <f>IF($B1523="","",IF(OR($Y1523=TRUE(),$Y1523="TRUE"),1,IF(AND($Y1523&lt;&gt;"",OR($Y1523=FALSE(),$Y1523="FALSE")),0,IF(MIN(ABS($X1523/100-Settings!$C$6),ABS($X1523/100-Settings!$G$6))&lt;=MIN(ABS($X1523/100-Settings!$C$7),ABS($X1523/100-Settings!$G$7)),1,0))))</f>
        <v/>
      </c>
      <c r="AC1523">
        <f>IF($Z1523=1,IFERROR(IF(VALUE($B1523)&lt;100000000,VALUE($B1523),1000000000),IFERROR(IF(VALUE(MID($B1523,2,20))&lt;100000000,VALUE(MID($B1523,2,20)),1000000000),1000000000))+ROW()/100000,"")</f>
        <v/>
      </c>
    </row>
    <row r="1524">
      <c r="A1524">
        <f>IF($B1524="","",IFERROR(IF(INDEX('Per Invoice'!$A$2:$A$801,MATCH($B1524,'Per Invoice'!$B$2:$B$801,0))=0,"",INDEX('Per Invoice'!$A$2:$A$801,MATCH($B1524,'Per Invoice'!$B$2:$B$801,0))),""))</f>
        <v/>
      </c>
      <c r="J1524" s="7">
        <f>IF($B1524="","",I1524*Q1524/100)</f>
        <v/>
      </c>
      <c r="N1524" s="7" t="n"/>
      <c r="O1524" s="7" t="n"/>
      <c r="P1524" s="7">
        <f>IF($B1524="","",O1524*X1524/100)</f>
        <v/>
      </c>
      <c r="Q1524" s="7">
        <f>IF($B1524="","",O1524-P1524)</f>
        <v/>
      </c>
      <c r="R1524" s="7">
        <f>IF($B1524="","",Q1524-J1524)</f>
        <v/>
      </c>
      <c r="S1524" s="7" t="n"/>
      <c r="T1524" s="7" t="n"/>
      <c r="V1524" s="14" t="n"/>
      <c r="Z1524">
        <f>IF($B1524="","",IF(COUNTIF($B$2:$B1524,$B1524)=1,1,0))</f>
        <v/>
      </c>
      <c r="AA1524">
        <f>IF($Z1524=1,SUMPRODUCT(--($AC$2:$AC$3001&lt;$AC1524))+1,"")</f>
        <v/>
      </c>
      <c r="AB1524">
        <f>IF($B1524="","",IF(OR($Y1524=TRUE(),$Y1524="TRUE"),1,IF(AND($Y1524&lt;&gt;"",OR($Y1524=FALSE(),$Y1524="FALSE")),0,IF(MIN(ABS($X1524/100-Settings!$C$6),ABS($X1524/100-Settings!$G$6))&lt;=MIN(ABS($X1524/100-Settings!$C$7),ABS($X1524/100-Settings!$G$7)),1,0))))</f>
        <v/>
      </c>
      <c r="AC1524">
        <f>IF($Z1524=1,IFERROR(IF(VALUE($B1524)&lt;100000000,VALUE($B1524),1000000000),IFERROR(IF(VALUE(MID($B1524,2,20))&lt;100000000,VALUE(MID($B1524,2,20)),1000000000),1000000000))+ROW()/100000,"")</f>
        <v/>
      </c>
    </row>
    <row r="1525">
      <c r="A1525">
        <f>IF($B1525="","",IFERROR(IF(INDEX('Per Invoice'!$A$2:$A$801,MATCH($B1525,'Per Invoice'!$B$2:$B$801,0))=0,"",INDEX('Per Invoice'!$A$2:$A$801,MATCH($B1525,'Per Invoice'!$B$2:$B$801,0))),""))</f>
        <v/>
      </c>
      <c r="J1525" s="7">
        <f>IF($B1525="","",I1525*Q1525/100)</f>
        <v/>
      </c>
      <c r="N1525" s="7" t="n"/>
      <c r="O1525" s="7" t="n"/>
      <c r="P1525" s="7">
        <f>IF($B1525="","",O1525*X1525/100)</f>
        <v/>
      </c>
      <c r="Q1525" s="7">
        <f>IF($B1525="","",O1525-P1525)</f>
        <v/>
      </c>
      <c r="R1525" s="7">
        <f>IF($B1525="","",Q1525-J1525)</f>
        <v/>
      </c>
      <c r="S1525" s="7" t="n"/>
      <c r="T1525" s="7" t="n"/>
      <c r="V1525" s="14" t="n"/>
      <c r="Z1525">
        <f>IF($B1525="","",IF(COUNTIF($B$2:$B1525,$B1525)=1,1,0))</f>
        <v/>
      </c>
      <c r="AA1525">
        <f>IF($Z1525=1,SUMPRODUCT(--($AC$2:$AC$3001&lt;$AC1525))+1,"")</f>
        <v/>
      </c>
      <c r="AB1525">
        <f>IF($B1525="","",IF(OR($Y1525=TRUE(),$Y1525="TRUE"),1,IF(AND($Y1525&lt;&gt;"",OR($Y1525=FALSE(),$Y1525="FALSE")),0,IF(MIN(ABS($X1525/100-Settings!$C$6),ABS($X1525/100-Settings!$G$6))&lt;=MIN(ABS($X1525/100-Settings!$C$7),ABS($X1525/100-Settings!$G$7)),1,0))))</f>
        <v/>
      </c>
      <c r="AC1525">
        <f>IF($Z1525=1,IFERROR(IF(VALUE($B1525)&lt;100000000,VALUE($B1525),1000000000),IFERROR(IF(VALUE(MID($B1525,2,20))&lt;100000000,VALUE(MID($B1525,2,20)),1000000000),1000000000))+ROW()/100000,"")</f>
        <v/>
      </c>
    </row>
    <row r="1526">
      <c r="A1526">
        <f>IF($B1526="","",IFERROR(IF(INDEX('Per Invoice'!$A$2:$A$801,MATCH($B1526,'Per Invoice'!$B$2:$B$801,0))=0,"",INDEX('Per Invoice'!$A$2:$A$801,MATCH($B1526,'Per Invoice'!$B$2:$B$801,0))),""))</f>
        <v/>
      </c>
      <c r="J1526" s="7">
        <f>IF($B1526="","",I1526*Q1526/100)</f>
        <v/>
      </c>
      <c r="N1526" s="7" t="n"/>
      <c r="O1526" s="7" t="n"/>
      <c r="P1526" s="7">
        <f>IF($B1526="","",O1526*X1526/100)</f>
        <v/>
      </c>
      <c r="Q1526" s="7">
        <f>IF($B1526="","",O1526-P1526)</f>
        <v/>
      </c>
      <c r="R1526" s="7">
        <f>IF($B1526="","",Q1526-J1526)</f>
        <v/>
      </c>
      <c r="S1526" s="7" t="n"/>
      <c r="T1526" s="7" t="n"/>
      <c r="V1526" s="14" t="n"/>
      <c r="Z1526">
        <f>IF($B1526="","",IF(COUNTIF($B$2:$B1526,$B1526)=1,1,0))</f>
        <v/>
      </c>
      <c r="AA1526">
        <f>IF($Z1526=1,SUMPRODUCT(--($AC$2:$AC$3001&lt;$AC1526))+1,"")</f>
        <v/>
      </c>
      <c r="AB1526">
        <f>IF($B1526="","",IF(OR($Y1526=TRUE(),$Y1526="TRUE"),1,IF(AND($Y1526&lt;&gt;"",OR($Y1526=FALSE(),$Y1526="FALSE")),0,IF(MIN(ABS($X1526/100-Settings!$C$6),ABS($X1526/100-Settings!$G$6))&lt;=MIN(ABS($X1526/100-Settings!$C$7),ABS($X1526/100-Settings!$G$7)),1,0))))</f>
        <v/>
      </c>
      <c r="AC1526">
        <f>IF($Z1526=1,IFERROR(IF(VALUE($B1526)&lt;100000000,VALUE($B1526),1000000000),IFERROR(IF(VALUE(MID($B1526,2,20))&lt;100000000,VALUE(MID($B1526,2,20)),1000000000),1000000000))+ROW()/100000,"")</f>
        <v/>
      </c>
    </row>
    <row r="1527">
      <c r="A1527">
        <f>IF($B1527="","",IFERROR(IF(INDEX('Per Invoice'!$A$2:$A$801,MATCH($B1527,'Per Invoice'!$B$2:$B$801,0))=0,"",INDEX('Per Invoice'!$A$2:$A$801,MATCH($B1527,'Per Invoice'!$B$2:$B$801,0))),""))</f>
        <v/>
      </c>
      <c r="J1527" s="7">
        <f>IF($B1527="","",I1527*Q1527/100)</f>
        <v/>
      </c>
      <c r="N1527" s="7" t="n"/>
      <c r="O1527" s="7" t="n"/>
      <c r="P1527" s="7">
        <f>IF($B1527="","",O1527*X1527/100)</f>
        <v/>
      </c>
      <c r="Q1527" s="7">
        <f>IF($B1527="","",O1527-P1527)</f>
        <v/>
      </c>
      <c r="R1527" s="7">
        <f>IF($B1527="","",Q1527-J1527)</f>
        <v/>
      </c>
      <c r="S1527" s="7" t="n"/>
      <c r="T1527" s="7" t="n"/>
      <c r="V1527" s="14" t="n"/>
      <c r="Z1527">
        <f>IF($B1527="","",IF(COUNTIF($B$2:$B1527,$B1527)=1,1,0))</f>
        <v/>
      </c>
      <c r="AA1527">
        <f>IF($Z1527=1,SUMPRODUCT(--($AC$2:$AC$3001&lt;$AC1527))+1,"")</f>
        <v/>
      </c>
      <c r="AB1527">
        <f>IF($B1527="","",IF(OR($Y1527=TRUE(),$Y1527="TRUE"),1,IF(AND($Y1527&lt;&gt;"",OR($Y1527=FALSE(),$Y1527="FALSE")),0,IF(MIN(ABS($X1527/100-Settings!$C$6),ABS($X1527/100-Settings!$G$6))&lt;=MIN(ABS($X1527/100-Settings!$C$7),ABS($X1527/100-Settings!$G$7)),1,0))))</f>
        <v/>
      </c>
      <c r="AC1527">
        <f>IF($Z1527=1,IFERROR(IF(VALUE($B1527)&lt;100000000,VALUE($B1527),1000000000),IFERROR(IF(VALUE(MID($B1527,2,20))&lt;100000000,VALUE(MID($B1527,2,20)),1000000000),1000000000))+ROW()/100000,"")</f>
        <v/>
      </c>
    </row>
    <row r="1528">
      <c r="A1528">
        <f>IF($B1528="","",IFERROR(IF(INDEX('Per Invoice'!$A$2:$A$801,MATCH($B1528,'Per Invoice'!$B$2:$B$801,0))=0,"",INDEX('Per Invoice'!$A$2:$A$801,MATCH($B1528,'Per Invoice'!$B$2:$B$801,0))),""))</f>
        <v/>
      </c>
      <c r="J1528" s="7">
        <f>IF($B1528="","",I1528*Q1528/100)</f>
        <v/>
      </c>
      <c r="N1528" s="7" t="n"/>
      <c r="O1528" s="7" t="n"/>
      <c r="P1528" s="7">
        <f>IF($B1528="","",O1528*X1528/100)</f>
        <v/>
      </c>
      <c r="Q1528" s="7">
        <f>IF($B1528="","",O1528-P1528)</f>
        <v/>
      </c>
      <c r="R1528" s="7">
        <f>IF($B1528="","",Q1528-J1528)</f>
        <v/>
      </c>
      <c r="S1528" s="7" t="n"/>
      <c r="T1528" s="7" t="n"/>
      <c r="V1528" s="14" t="n"/>
      <c r="Z1528">
        <f>IF($B1528="","",IF(COUNTIF($B$2:$B1528,$B1528)=1,1,0))</f>
        <v/>
      </c>
      <c r="AA1528">
        <f>IF($Z1528=1,SUMPRODUCT(--($AC$2:$AC$3001&lt;$AC1528))+1,"")</f>
        <v/>
      </c>
      <c r="AB1528">
        <f>IF($B1528="","",IF(OR($Y1528=TRUE(),$Y1528="TRUE"),1,IF(AND($Y1528&lt;&gt;"",OR($Y1528=FALSE(),$Y1528="FALSE")),0,IF(MIN(ABS($X1528/100-Settings!$C$6),ABS($X1528/100-Settings!$G$6))&lt;=MIN(ABS($X1528/100-Settings!$C$7),ABS($X1528/100-Settings!$G$7)),1,0))))</f>
        <v/>
      </c>
      <c r="AC1528">
        <f>IF($Z1528=1,IFERROR(IF(VALUE($B1528)&lt;100000000,VALUE($B1528),1000000000),IFERROR(IF(VALUE(MID($B1528,2,20))&lt;100000000,VALUE(MID($B1528,2,20)),1000000000),1000000000))+ROW()/100000,"")</f>
        <v/>
      </c>
    </row>
    <row r="1529">
      <c r="A1529">
        <f>IF($B1529="","",IFERROR(IF(INDEX('Per Invoice'!$A$2:$A$801,MATCH($B1529,'Per Invoice'!$B$2:$B$801,0))=0,"",INDEX('Per Invoice'!$A$2:$A$801,MATCH($B1529,'Per Invoice'!$B$2:$B$801,0))),""))</f>
        <v/>
      </c>
      <c r="J1529" s="7">
        <f>IF($B1529="","",I1529*Q1529/100)</f>
        <v/>
      </c>
      <c r="N1529" s="7" t="n"/>
      <c r="O1529" s="7" t="n"/>
      <c r="P1529" s="7">
        <f>IF($B1529="","",O1529*X1529/100)</f>
        <v/>
      </c>
      <c r="Q1529" s="7">
        <f>IF($B1529="","",O1529-P1529)</f>
        <v/>
      </c>
      <c r="R1529" s="7">
        <f>IF($B1529="","",Q1529-J1529)</f>
        <v/>
      </c>
      <c r="S1529" s="7" t="n"/>
      <c r="T1529" s="7" t="n"/>
      <c r="V1529" s="14" t="n"/>
      <c r="Z1529">
        <f>IF($B1529="","",IF(COUNTIF($B$2:$B1529,$B1529)=1,1,0))</f>
        <v/>
      </c>
      <c r="AA1529">
        <f>IF($Z1529=1,SUMPRODUCT(--($AC$2:$AC$3001&lt;$AC1529))+1,"")</f>
        <v/>
      </c>
      <c r="AB1529">
        <f>IF($B1529="","",IF(OR($Y1529=TRUE(),$Y1529="TRUE"),1,IF(AND($Y1529&lt;&gt;"",OR($Y1529=FALSE(),$Y1529="FALSE")),0,IF(MIN(ABS($X1529/100-Settings!$C$6),ABS($X1529/100-Settings!$G$6))&lt;=MIN(ABS($X1529/100-Settings!$C$7),ABS($X1529/100-Settings!$G$7)),1,0))))</f>
        <v/>
      </c>
      <c r="AC1529">
        <f>IF($Z1529=1,IFERROR(IF(VALUE($B1529)&lt;100000000,VALUE($B1529),1000000000),IFERROR(IF(VALUE(MID($B1529,2,20))&lt;100000000,VALUE(MID($B1529,2,20)),1000000000),1000000000))+ROW()/100000,"")</f>
        <v/>
      </c>
    </row>
    <row r="1530">
      <c r="A1530">
        <f>IF($B1530="","",IFERROR(IF(INDEX('Per Invoice'!$A$2:$A$801,MATCH($B1530,'Per Invoice'!$B$2:$B$801,0))=0,"",INDEX('Per Invoice'!$A$2:$A$801,MATCH($B1530,'Per Invoice'!$B$2:$B$801,0))),""))</f>
        <v/>
      </c>
      <c r="J1530" s="7">
        <f>IF($B1530="","",I1530*Q1530/100)</f>
        <v/>
      </c>
      <c r="N1530" s="7" t="n"/>
      <c r="O1530" s="7" t="n"/>
      <c r="P1530" s="7">
        <f>IF($B1530="","",O1530*X1530/100)</f>
        <v/>
      </c>
      <c r="Q1530" s="7">
        <f>IF($B1530="","",O1530-P1530)</f>
        <v/>
      </c>
      <c r="R1530" s="7">
        <f>IF($B1530="","",Q1530-J1530)</f>
        <v/>
      </c>
      <c r="S1530" s="7" t="n"/>
      <c r="T1530" s="7" t="n"/>
      <c r="V1530" s="14" t="n"/>
      <c r="Z1530">
        <f>IF($B1530="","",IF(COUNTIF($B$2:$B1530,$B1530)=1,1,0))</f>
        <v/>
      </c>
      <c r="AA1530">
        <f>IF($Z1530=1,SUMPRODUCT(--($AC$2:$AC$3001&lt;$AC1530))+1,"")</f>
        <v/>
      </c>
      <c r="AB1530">
        <f>IF($B1530="","",IF(OR($Y1530=TRUE(),$Y1530="TRUE"),1,IF(AND($Y1530&lt;&gt;"",OR($Y1530=FALSE(),$Y1530="FALSE")),0,IF(MIN(ABS($X1530/100-Settings!$C$6),ABS($X1530/100-Settings!$G$6))&lt;=MIN(ABS($X1530/100-Settings!$C$7),ABS($X1530/100-Settings!$G$7)),1,0))))</f>
        <v/>
      </c>
      <c r="AC1530">
        <f>IF($Z1530=1,IFERROR(IF(VALUE($B1530)&lt;100000000,VALUE($B1530),1000000000),IFERROR(IF(VALUE(MID($B1530,2,20))&lt;100000000,VALUE(MID($B1530,2,20)),1000000000),1000000000))+ROW()/100000,"")</f>
        <v/>
      </c>
    </row>
    <row r="1531">
      <c r="A1531">
        <f>IF($B1531="","",IFERROR(IF(INDEX('Per Invoice'!$A$2:$A$801,MATCH($B1531,'Per Invoice'!$B$2:$B$801,0))=0,"",INDEX('Per Invoice'!$A$2:$A$801,MATCH($B1531,'Per Invoice'!$B$2:$B$801,0))),""))</f>
        <v/>
      </c>
      <c r="J1531" s="7">
        <f>IF($B1531="","",I1531*Q1531/100)</f>
        <v/>
      </c>
      <c r="N1531" s="7" t="n"/>
      <c r="O1531" s="7" t="n"/>
      <c r="P1531" s="7">
        <f>IF($B1531="","",O1531*X1531/100)</f>
        <v/>
      </c>
      <c r="Q1531" s="7">
        <f>IF($B1531="","",O1531-P1531)</f>
        <v/>
      </c>
      <c r="R1531" s="7">
        <f>IF($B1531="","",Q1531-J1531)</f>
        <v/>
      </c>
      <c r="S1531" s="7" t="n"/>
      <c r="T1531" s="7" t="n"/>
      <c r="V1531" s="14" t="n"/>
      <c r="Z1531">
        <f>IF($B1531="","",IF(COUNTIF($B$2:$B1531,$B1531)=1,1,0))</f>
        <v/>
      </c>
      <c r="AA1531">
        <f>IF($Z1531=1,SUMPRODUCT(--($AC$2:$AC$3001&lt;$AC1531))+1,"")</f>
        <v/>
      </c>
      <c r="AB1531">
        <f>IF($B1531="","",IF(OR($Y1531=TRUE(),$Y1531="TRUE"),1,IF(AND($Y1531&lt;&gt;"",OR($Y1531=FALSE(),$Y1531="FALSE")),0,IF(MIN(ABS($X1531/100-Settings!$C$6),ABS($X1531/100-Settings!$G$6))&lt;=MIN(ABS($X1531/100-Settings!$C$7),ABS($X1531/100-Settings!$G$7)),1,0))))</f>
        <v/>
      </c>
      <c r="AC1531">
        <f>IF($Z1531=1,IFERROR(IF(VALUE($B1531)&lt;100000000,VALUE($B1531),1000000000),IFERROR(IF(VALUE(MID($B1531,2,20))&lt;100000000,VALUE(MID($B1531,2,20)),1000000000),1000000000))+ROW()/100000,"")</f>
        <v/>
      </c>
    </row>
    <row r="1532">
      <c r="A1532">
        <f>IF($B1532="","",IFERROR(IF(INDEX('Per Invoice'!$A$2:$A$801,MATCH($B1532,'Per Invoice'!$B$2:$B$801,0))=0,"",INDEX('Per Invoice'!$A$2:$A$801,MATCH($B1532,'Per Invoice'!$B$2:$B$801,0))),""))</f>
        <v/>
      </c>
      <c r="J1532" s="7">
        <f>IF($B1532="","",I1532*Q1532/100)</f>
        <v/>
      </c>
      <c r="N1532" s="7" t="n"/>
      <c r="O1532" s="7" t="n"/>
      <c r="P1532" s="7">
        <f>IF($B1532="","",O1532*X1532/100)</f>
        <v/>
      </c>
      <c r="Q1532" s="7">
        <f>IF($B1532="","",O1532-P1532)</f>
        <v/>
      </c>
      <c r="R1532" s="7">
        <f>IF($B1532="","",Q1532-J1532)</f>
        <v/>
      </c>
      <c r="S1532" s="7" t="n"/>
      <c r="T1532" s="7" t="n"/>
      <c r="V1532" s="14" t="n"/>
      <c r="Z1532">
        <f>IF($B1532="","",IF(COUNTIF($B$2:$B1532,$B1532)=1,1,0))</f>
        <v/>
      </c>
      <c r="AA1532">
        <f>IF($Z1532=1,SUMPRODUCT(--($AC$2:$AC$3001&lt;$AC1532))+1,"")</f>
        <v/>
      </c>
      <c r="AB1532">
        <f>IF($B1532="","",IF(OR($Y1532=TRUE(),$Y1532="TRUE"),1,IF(AND($Y1532&lt;&gt;"",OR($Y1532=FALSE(),$Y1532="FALSE")),0,IF(MIN(ABS($X1532/100-Settings!$C$6),ABS($X1532/100-Settings!$G$6))&lt;=MIN(ABS($X1532/100-Settings!$C$7),ABS($X1532/100-Settings!$G$7)),1,0))))</f>
        <v/>
      </c>
      <c r="AC1532">
        <f>IF($Z1532=1,IFERROR(IF(VALUE($B1532)&lt;100000000,VALUE($B1532),1000000000),IFERROR(IF(VALUE(MID($B1532,2,20))&lt;100000000,VALUE(MID($B1532,2,20)),1000000000),1000000000))+ROW()/100000,"")</f>
        <v/>
      </c>
    </row>
    <row r="1533">
      <c r="A1533">
        <f>IF($B1533="","",IFERROR(IF(INDEX('Per Invoice'!$A$2:$A$801,MATCH($B1533,'Per Invoice'!$B$2:$B$801,0))=0,"",INDEX('Per Invoice'!$A$2:$A$801,MATCH($B1533,'Per Invoice'!$B$2:$B$801,0))),""))</f>
        <v/>
      </c>
      <c r="J1533" s="7">
        <f>IF($B1533="","",I1533*Q1533/100)</f>
        <v/>
      </c>
      <c r="N1533" s="7" t="n"/>
      <c r="O1533" s="7" t="n"/>
      <c r="P1533" s="7">
        <f>IF($B1533="","",O1533*X1533/100)</f>
        <v/>
      </c>
      <c r="Q1533" s="7">
        <f>IF($B1533="","",O1533-P1533)</f>
        <v/>
      </c>
      <c r="R1533" s="7">
        <f>IF($B1533="","",Q1533-J1533)</f>
        <v/>
      </c>
      <c r="S1533" s="7" t="n"/>
      <c r="T1533" s="7" t="n"/>
      <c r="V1533" s="14" t="n"/>
      <c r="Z1533">
        <f>IF($B1533="","",IF(COUNTIF($B$2:$B1533,$B1533)=1,1,0))</f>
        <v/>
      </c>
      <c r="AA1533">
        <f>IF($Z1533=1,SUMPRODUCT(--($AC$2:$AC$3001&lt;$AC1533))+1,"")</f>
        <v/>
      </c>
      <c r="AB1533">
        <f>IF($B1533="","",IF(OR($Y1533=TRUE(),$Y1533="TRUE"),1,IF(AND($Y1533&lt;&gt;"",OR($Y1533=FALSE(),$Y1533="FALSE")),0,IF(MIN(ABS($X1533/100-Settings!$C$6),ABS($X1533/100-Settings!$G$6))&lt;=MIN(ABS($X1533/100-Settings!$C$7),ABS($X1533/100-Settings!$G$7)),1,0))))</f>
        <v/>
      </c>
      <c r="AC1533">
        <f>IF($Z1533=1,IFERROR(IF(VALUE($B1533)&lt;100000000,VALUE($B1533),1000000000),IFERROR(IF(VALUE(MID($B1533,2,20))&lt;100000000,VALUE(MID($B1533,2,20)),1000000000),1000000000))+ROW()/100000,"")</f>
        <v/>
      </c>
    </row>
    <row r="1534">
      <c r="A1534">
        <f>IF($B1534="","",IFERROR(IF(INDEX('Per Invoice'!$A$2:$A$801,MATCH($B1534,'Per Invoice'!$B$2:$B$801,0))=0,"",INDEX('Per Invoice'!$A$2:$A$801,MATCH($B1534,'Per Invoice'!$B$2:$B$801,0))),""))</f>
        <v/>
      </c>
      <c r="J1534" s="7">
        <f>IF($B1534="","",I1534*Q1534/100)</f>
        <v/>
      </c>
      <c r="N1534" s="7" t="n"/>
      <c r="O1534" s="7" t="n"/>
      <c r="P1534" s="7">
        <f>IF($B1534="","",O1534*X1534/100)</f>
        <v/>
      </c>
      <c r="Q1534" s="7">
        <f>IF($B1534="","",O1534-P1534)</f>
        <v/>
      </c>
      <c r="R1534" s="7">
        <f>IF($B1534="","",Q1534-J1534)</f>
        <v/>
      </c>
      <c r="S1534" s="7" t="n"/>
      <c r="T1534" s="7" t="n"/>
      <c r="V1534" s="14" t="n"/>
      <c r="Z1534">
        <f>IF($B1534="","",IF(COUNTIF($B$2:$B1534,$B1534)=1,1,0))</f>
        <v/>
      </c>
      <c r="AA1534">
        <f>IF($Z1534=1,SUMPRODUCT(--($AC$2:$AC$3001&lt;$AC1534))+1,"")</f>
        <v/>
      </c>
      <c r="AB1534">
        <f>IF($B1534="","",IF(OR($Y1534=TRUE(),$Y1534="TRUE"),1,IF(AND($Y1534&lt;&gt;"",OR($Y1534=FALSE(),$Y1534="FALSE")),0,IF(MIN(ABS($X1534/100-Settings!$C$6),ABS($X1534/100-Settings!$G$6))&lt;=MIN(ABS($X1534/100-Settings!$C$7),ABS($X1534/100-Settings!$G$7)),1,0))))</f>
        <v/>
      </c>
      <c r="AC1534">
        <f>IF($Z1534=1,IFERROR(IF(VALUE($B1534)&lt;100000000,VALUE($B1534),1000000000),IFERROR(IF(VALUE(MID($B1534,2,20))&lt;100000000,VALUE(MID($B1534,2,20)),1000000000),1000000000))+ROW()/100000,"")</f>
        <v/>
      </c>
    </row>
    <row r="1535">
      <c r="A1535">
        <f>IF($B1535="","",IFERROR(IF(INDEX('Per Invoice'!$A$2:$A$801,MATCH($B1535,'Per Invoice'!$B$2:$B$801,0))=0,"",INDEX('Per Invoice'!$A$2:$A$801,MATCH($B1535,'Per Invoice'!$B$2:$B$801,0))),""))</f>
        <v/>
      </c>
      <c r="J1535" s="7">
        <f>IF($B1535="","",I1535*Q1535/100)</f>
        <v/>
      </c>
      <c r="N1535" s="7" t="n"/>
      <c r="O1535" s="7" t="n"/>
      <c r="P1535" s="7">
        <f>IF($B1535="","",O1535*X1535/100)</f>
        <v/>
      </c>
      <c r="Q1535" s="7">
        <f>IF($B1535="","",O1535-P1535)</f>
        <v/>
      </c>
      <c r="R1535" s="7">
        <f>IF($B1535="","",Q1535-J1535)</f>
        <v/>
      </c>
      <c r="S1535" s="7" t="n"/>
      <c r="T1535" s="7" t="n"/>
      <c r="V1535" s="14" t="n"/>
      <c r="Z1535">
        <f>IF($B1535="","",IF(COUNTIF($B$2:$B1535,$B1535)=1,1,0))</f>
        <v/>
      </c>
      <c r="AA1535">
        <f>IF($Z1535=1,SUMPRODUCT(--($AC$2:$AC$3001&lt;$AC1535))+1,"")</f>
        <v/>
      </c>
      <c r="AB1535">
        <f>IF($B1535="","",IF(OR($Y1535=TRUE(),$Y1535="TRUE"),1,IF(AND($Y1535&lt;&gt;"",OR($Y1535=FALSE(),$Y1535="FALSE")),0,IF(MIN(ABS($X1535/100-Settings!$C$6),ABS($X1535/100-Settings!$G$6))&lt;=MIN(ABS($X1535/100-Settings!$C$7),ABS($X1535/100-Settings!$G$7)),1,0))))</f>
        <v/>
      </c>
      <c r="AC1535">
        <f>IF($Z1535=1,IFERROR(IF(VALUE($B1535)&lt;100000000,VALUE($B1535),1000000000),IFERROR(IF(VALUE(MID($B1535,2,20))&lt;100000000,VALUE(MID($B1535,2,20)),1000000000),1000000000))+ROW()/100000,"")</f>
        <v/>
      </c>
    </row>
    <row r="1536">
      <c r="A1536">
        <f>IF($B1536="","",IFERROR(IF(INDEX('Per Invoice'!$A$2:$A$801,MATCH($B1536,'Per Invoice'!$B$2:$B$801,0))=0,"",INDEX('Per Invoice'!$A$2:$A$801,MATCH($B1536,'Per Invoice'!$B$2:$B$801,0))),""))</f>
        <v/>
      </c>
      <c r="J1536" s="7">
        <f>IF($B1536="","",I1536*Q1536/100)</f>
        <v/>
      </c>
      <c r="N1536" s="7" t="n"/>
      <c r="O1536" s="7" t="n"/>
      <c r="P1536" s="7">
        <f>IF($B1536="","",O1536*X1536/100)</f>
        <v/>
      </c>
      <c r="Q1536" s="7">
        <f>IF($B1536="","",O1536-P1536)</f>
        <v/>
      </c>
      <c r="R1536" s="7">
        <f>IF($B1536="","",Q1536-J1536)</f>
        <v/>
      </c>
      <c r="S1536" s="7" t="n"/>
      <c r="T1536" s="7" t="n"/>
      <c r="V1536" s="14" t="n"/>
      <c r="Z1536">
        <f>IF($B1536="","",IF(COUNTIF($B$2:$B1536,$B1536)=1,1,0))</f>
        <v/>
      </c>
      <c r="AA1536">
        <f>IF($Z1536=1,SUMPRODUCT(--($AC$2:$AC$3001&lt;$AC1536))+1,"")</f>
        <v/>
      </c>
      <c r="AB1536">
        <f>IF($B1536="","",IF(OR($Y1536=TRUE(),$Y1536="TRUE"),1,IF(AND($Y1536&lt;&gt;"",OR($Y1536=FALSE(),$Y1536="FALSE")),0,IF(MIN(ABS($X1536/100-Settings!$C$6),ABS($X1536/100-Settings!$G$6))&lt;=MIN(ABS($X1536/100-Settings!$C$7),ABS($X1536/100-Settings!$G$7)),1,0))))</f>
        <v/>
      </c>
      <c r="AC1536">
        <f>IF($Z1536=1,IFERROR(IF(VALUE($B1536)&lt;100000000,VALUE($B1536),1000000000),IFERROR(IF(VALUE(MID($B1536,2,20))&lt;100000000,VALUE(MID($B1536,2,20)),1000000000),1000000000))+ROW()/100000,"")</f>
        <v/>
      </c>
    </row>
    <row r="1537">
      <c r="A1537">
        <f>IF($B1537="","",IFERROR(IF(INDEX('Per Invoice'!$A$2:$A$801,MATCH($B1537,'Per Invoice'!$B$2:$B$801,0))=0,"",INDEX('Per Invoice'!$A$2:$A$801,MATCH($B1537,'Per Invoice'!$B$2:$B$801,0))),""))</f>
        <v/>
      </c>
      <c r="J1537" s="7">
        <f>IF($B1537="","",I1537*Q1537/100)</f>
        <v/>
      </c>
      <c r="N1537" s="7" t="n"/>
      <c r="O1537" s="7" t="n"/>
      <c r="P1537" s="7">
        <f>IF($B1537="","",O1537*X1537/100)</f>
        <v/>
      </c>
      <c r="Q1537" s="7">
        <f>IF($B1537="","",O1537-P1537)</f>
        <v/>
      </c>
      <c r="R1537" s="7">
        <f>IF($B1537="","",Q1537-J1537)</f>
        <v/>
      </c>
      <c r="S1537" s="7" t="n"/>
      <c r="T1537" s="7" t="n"/>
      <c r="V1537" s="14" t="n"/>
      <c r="Z1537">
        <f>IF($B1537="","",IF(COUNTIF($B$2:$B1537,$B1537)=1,1,0))</f>
        <v/>
      </c>
      <c r="AA1537">
        <f>IF($Z1537=1,SUMPRODUCT(--($AC$2:$AC$3001&lt;$AC1537))+1,"")</f>
        <v/>
      </c>
      <c r="AB1537">
        <f>IF($B1537="","",IF(OR($Y1537=TRUE(),$Y1537="TRUE"),1,IF(AND($Y1537&lt;&gt;"",OR($Y1537=FALSE(),$Y1537="FALSE")),0,IF(MIN(ABS($X1537/100-Settings!$C$6),ABS($X1537/100-Settings!$G$6))&lt;=MIN(ABS($X1537/100-Settings!$C$7),ABS($X1537/100-Settings!$G$7)),1,0))))</f>
        <v/>
      </c>
      <c r="AC1537">
        <f>IF($Z1537=1,IFERROR(IF(VALUE($B1537)&lt;100000000,VALUE($B1537),1000000000),IFERROR(IF(VALUE(MID($B1537,2,20))&lt;100000000,VALUE(MID($B1537,2,20)),1000000000),1000000000))+ROW()/100000,"")</f>
        <v/>
      </c>
    </row>
    <row r="1538">
      <c r="A1538">
        <f>IF($B1538="","",IFERROR(IF(INDEX('Per Invoice'!$A$2:$A$801,MATCH($B1538,'Per Invoice'!$B$2:$B$801,0))=0,"",INDEX('Per Invoice'!$A$2:$A$801,MATCH($B1538,'Per Invoice'!$B$2:$B$801,0))),""))</f>
        <v/>
      </c>
      <c r="J1538" s="7">
        <f>IF($B1538="","",I1538*Q1538/100)</f>
        <v/>
      </c>
      <c r="N1538" s="7" t="n"/>
      <c r="O1538" s="7" t="n"/>
      <c r="P1538" s="7">
        <f>IF($B1538="","",O1538*X1538/100)</f>
        <v/>
      </c>
      <c r="Q1538" s="7">
        <f>IF($B1538="","",O1538-P1538)</f>
        <v/>
      </c>
      <c r="R1538" s="7">
        <f>IF($B1538="","",Q1538-J1538)</f>
        <v/>
      </c>
      <c r="S1538" s="7" t="n"/>
      <c r="T1538" s="7" t="n"/>
      <c r="V1538" s="14" t="n"/>
      <c r="Z1538">
        <f>IF($B1538="","",IF(COUNTIF($B$2:$B1538,$B1538)=1,1,0))</f>
        <v/>
      </c>
      <c r="AA1538">
        <f>IF($Z1538=1,SUMPRODUCT(--($AC$2:$AC$3001&lt;$AC1538))+1,"")</f>
        <v/>
      </c>
      <c r="AB1538">
        <f>IF($B1538="","",IF(OR($Y1538=TRUE(),$Y1538="TRUE"),1,IF(AND($Y1538&lt;&gt;"",OR($Y1538=FALSE(),$Y1538="FALSE")),0,IF(MIN(ABS($X1538/100-Settings!$C$6),ABS($X1538/100-Settings!$G$6))&lt;=MIN(ABS($X1538/100-Settings!$C$7),ABS($X1538/100-Settings!$G$7)),1,0))))</f>
        <v/>
      </c>
      <c r="AC1538">
        <f>IF($Z1538=1,IFERROR(IF(VALUE($B1538)&lt;100000000,VALUE($B1538),1000000000),IFERROR(IF(VALUE(MID($B1538,2,20))&lt;100000000,VALUE(MID($B1538,2,20)),1000000000),1000000000))+ROW()/100000,"")</f>
        <v/>
      </c>
    </row>
    <row r="1539">
      <c r="A1539">
        <f>IF($B1539="","",IFERROR(IF(INDEX('Per Invoice'!$A$2:$A$801,MATCH($B1539,'Per Invoice'!$B$2:$B$801,0))=0,"",INDEX('Per Invoice'!$A$2:$A$801,MATCH($B1539,'Per Invoice'!$B$2:$B$801,0))),""))</f>
        <v/>
      </c>
      <c r="J1539" s="7">
        <f>IF($B1539="","",I1539*Q1539/100)</f>
        <v/>
      </c>
      <c r="N1539" s="7" t="n"/>
      <c r="O1539" s="7" t="n"/>
      <c r="P1539" s="7">
        <f>IF($B1539="","",O1539*X1539/100)</f>
        <v/>
      </c>
      <c r="Q1539" s="7">
        <f>IF($B1539="","",O1539-P1539)</f>
        <v/>
      </c>
      <c r="R1539" s="7">
        <f>IF($B1539="","",Q1539-J1539)</f>
        <v/>
      </c>
      <c r="S1539" s="7" t="n"/>
      <c r="T1539" s="7" t="n"/>
      <c r="V1539" s="14" t="n"/>
      <c r="Z1539">
        <f>IF($B1539="","",IF(COUNTIF($B$2:$B1539,$B1539)=1,1,0))</f>
        <v/>
      </c>
      <c r="AA1539">
        <f>IF($Z1539=1,SUMPRODUCT(--($AC$2:$AC$3001&lt;$AC1539))+1,"")</f>
        <v/>
      </c>
      <c r="AB1539">
        <f>IF($B1539="","",IF(OR($Y1539=TRUE(),$Y1539="TRUE"),1,IF(AND($Y1539&lt;&gt;"",OR($Y1539=FALSE(),$Y1539="FALSE")),0,IF(MIN(ABS($X1539/100-Settings!$C$6),ABS($X1539/100-Settings!$G$6))&lt;=MIN(ABS($X1539/100-Settings!$C$7),ABS($X1539/100-Settings!$G$7)),1,0))))</f>
        <v/>
      </c>
      <c r="AC1539">
        <f>IF($Z1539=1,IFERROR(IF(VALUE($B1539)&lt;100000000,VALUE($B1539),1000000000),IFERROR(IF(VALUE(MID($B1539,2,20))&lt;100000000,VALUE(MID($B1539,2,20)),1000000000),1000000000))+ROW()/100000,"")</f>
        <v/>
      </c>
    </row>
    <row r="1540">
      <c r="A1540">
        <f>IF($B1540="","",IFERROR(IF(INDEX('Per Invoice'!$A$2:$A$801,MATCH($B1540,'Per Invoice'!$B$2:$B$801,0))=0,"",INDEX('Per Invoice'!$A$2:$A$801,MATCH($B1540,'Per Invoice'!$B$2:$B$801,0))),""))</f>
        <v/>
      </c>
      <c r="J1540" s="7">
        <f>IF($B1540="","",I1540*Q1540/100)</f>
        <v/>
      </c>
      <c r="N1540" s="7" t="n"/>
      <c r="O1540" s="7" t="n"/>
      <c r="P1540" s="7">
        <f>IF($B1540="","",O1540*X1540/100)</f>
        <v/>
      </c>
      <c r="Q1540" s="7">
        <f>IF($B1540="","",O1540-P1540)</f>
        <v/>
      </c>
      <c r="R1540" s="7">
        <f>IF($B1540="","",Q1540-J1540)</f>
        <v/>
      </c>
      <c r="S1540" s="7" t="n"/>
      <c r="T1540" s="7" t="n"/>
      <c r="V1540" s="14" t="n"/>
      <c r="Z1540">
        <f>IF($B1540="","",IF(COUNTIF($B$2:$B1540,$B1540)=1,1,0))</f>
        <v/>
      </c>
      <c r="AA1540">
        <f>IF($Z1540=1,SUMPRODUCT(--($AC$2:$AC$3001&lt;$AC1540))+1,"")</f>
        <v/>
      </c>
      <c r="AB1540">
        <f>IF($B1540="","",IF(OR($Y1540=TRUE(),$Y1540="TRUE"),1,IF(AND($Y1540&lt;&gt;"",OR($Y1540=FALSE(),$Y1540="FALSE")),0,IF(MIN(ABS($X1540/100-Settings!$C$6),ABS($X1540/100-Settings!$G$6))&lt;=MIN(ABS($X1540/100-Settings!$C$7),ABS($X1540/100-Settings!$G$7)),1,0))))</f>
        <v/>
      </c>
      <c r="AC1540">
        <f>IF($Z1540=1,IFERROR(IF(VALUE($B1540)&lt;100000000,VALUE($B1540),1000000000),IFERROR(IF(VALUE(MID($B1540,2,20))&lt;100000000,VALUE(MID($B1540,2,20)),1000000000),1000000000))+ROW()/100000,"")</f>
        <v/>
      </c>
    </row>
    <row r="1541">
      <c r="A1541">
        <f>IF($B1541="","",IFERROR(IF(INDEX('Per Invoice'!$A$2:$A$801,MATCH($B1541,'Per Invoice'!$B$2:$B$801,0))=0,"",INDEX('Per Invoice'!$A$2:$A$801,MATCH($B1541,'Per Invoice'!$B$2:$B$801,0))),""))</f>
        <v/>
      </c>
      <c r="J1541" s="7">
        <f>IF($B1541="","",I1541*Q1541/100)</f>
        <v/>
      </c>
      <c r="N1541" s="7" t="n"/>
      <c r="O1541" s="7" t="n"/>
      <c r="P1541" s="7">
        <f>IF($B1541="","",O1541*X1541/100)</f>
        <v/>
      </c>
      <c r="Q1541" s="7">
        <f>IF($B1541="","",O1541-P1541)</f>
        <v/>
      </c>
      <c r="R1541" s="7">
        <f>IF($B1541="","",Q1541-J1541)</f>
        <v/>
      </c>
      <c r="S1541" s="7" t="n"/>
      <c r="T1541" s="7" t="n"/>
      <c r="V1541" s="14" t="n"/>
      <c r="Z1541">
        <f>IF($B1541="","",IF(COUNTIF($B$2:$B1541,$B1541)=1,1,0))</f>
        <v/>
      </c>
      <c r="AA1541">
        <f>IF($Z1541=1,SUMPRODUCT(--($AC$2:$AC$3001&lt;$AC1541))+1,"")</f>
        <v/>
      </c>
      <c r="AB1541">
        <f>IF($B1541="","",IF(OR($Y1541=TRUE(),$Y1541="TRUE"),1,IF(AND($Y1541&lt;&gt;"",OR($Y1541=FALSE(),$Y1541="FALSE")),0,IF(MIN(ABS($X1541/100-Settings!$C$6),ABS($X1541/100-Settings!$G$6))&lt;=MIN(ABS($X1541/100-Settings!$C$7),ABS($X1541/100-Settings!$G$7)),1,0))))</f>
        <v/>
      </c>
      <c r="AC1541">
        <f>IF($Z1541=1,IFERROR(IF(VALUE($B1541)&lt;100000000,VALUE($B1541),1000000000),IFERROR(IF(VALUE(MID($B1541,2,20))&lt;100000000,VALUE(MID($B1541,2,20)),1000000000),1000000000))+ROW()/100000,"")</f>
        <v/>
      </c>
    </row>
    <row r="1542">
      <c r="A1542">
        <f>IF($B1542="","",IFERROR(IF(INDEX('Per Invoice'!$A$2:$A$801,MATCH($B1542,'Per Invoice'!$B$2:$B$801,0))=0,"",INDEX('Per Invoice'!$A$2:$A$801,MATCH($B1542,'Per Invoice'!$B$2:$B$801,0))),""))</f>
        <v/>
      </c>
      <c r="J1542" s="7">
        <f>IF($B1542="","",I1542*Q1542/100)</f>
        <v/>
      </c>
      <c r="N1542" s="7" t="n"/>
      <c r="O1542" s="7" t="n"/>
      <c r="P1542" s="7">
        <f>IF($B1542="","",O1542*X1542/100)</f>
        <v/>
      </c>
      <c r="Q1542" s="7">
        <f>IF($B1542="","",O1542-P1542)</f>
        <v/>
      </c>
      <c r="R1542" s="7">
        <f>IF($B1542="","",Q1542-J1542)</f>
        <v/>
      </c>
      <c r="S1542" s="7" t="n"/>
      <c r="T1542" s="7" t="n"/>
      <c r="V1542" s="14" t="n"/>
      <c r="Z1542">
        <f>IF($B1542="","",IF(COUNTIF($B$2:$B1542,$B1542)=1,1,0))</f>
        <v/>
      </c>
      <c r="AA1542">
        <f>IF($Z1542=1,SUMPRODUCT(--($AC$2:$AC$3001&lt;$AC1542))+1,"")</f>
        <v/>
      </c>
      <c r="AB1542">
        <f>IF($B1542="","",IF(OR($Y1542=TRUE(),$Y1542="TRUE"),1,IF(AND($Y1542&lt;&gt;"",OR($Y1542=FALSE(),$Y1542="FALSE")),0,IF(MIN(ABS($X1542/100-Settings!$C$6),ABS($X1542/100-Settings!$G$6))&lt;=MIN(ABS($X1542/100-Settings!$C$7),ABS($X1542/100-Settings!$G$7)),1,0))))</f>
        <v/>
      </c>
      <c r="AC1542">
        <f>IF($Z1542=1,IFERROR(IF(VALUE($B1542)&lt;100000000,VALUE($B1542),1000000000),IFERROR(IF(VALUE(MID($B1542,2,20))&lt;100000000,VALUE(MID($B1542,2,20)),1000000000),1000000000))+ROW()/100000,"")</f>
        <v/>
      </c>
    </row>
    <row r="1543">
      <c r="A1543">
        <f>IF($B1543="","",IFERROR(IF(INDEX('Per Invoice'!$A$2:$A$801,MATCH($B1543,'Per Invoice'!$B$2:$B$801,0))=0,"",INDEX('Per Invoice'!$A$2:$A$801,MATCH($B1543,'Per Invoice'!$B$2:$B$801,0))),""))</f>
        <v/>
      </c>
      <c r="J1543" s="7">
        <f>IF($B1543="","",I1543*Q1543/100)</f>
        <v/>
      </c>
      <c r="N1543" s="7" t="n"/>
      <c r="O1543" s="7" t="n"/>
      <c r="P1543" s="7">
        <f>IF($B1543="","",O1543*X1543/100)</f>
        <v/>
      </c>
      <c r="Q1543" s="7">
        <f>IF($B1543="","",O1543-P1543)</f>
        <v/>
      </c>
      <c r="R1543" s="7">
        <f>IF($B1543="","",Q1543-J1543)</f>
        <v/>
      </c>
      <c r="S1543" s="7" t="n"/>
      <c r="T1543" s="7" t="n"/>
      <c r="V1543" s="14" t="n"/>
      <c r="Z1543">
        <f>IF($B1543="","",IF(COUNTIF($B$2:$B1543,$B1543)=1,1,0))</f>
        <v/>
      </c>
      <c r="AA1543">
        <f>IF($Z1543=1,SUMPRODUCT(--($AC$2:$AC$3001&lt;$AC1543))+1,"")</f>
        <v/>
      </c>
      <c r="AB1543">
        <f>IF($B1543="","",IF(OR($Y1543=TRUE(),$Y1543="TRUE"),1,IF(AND($Y1543&lt;&gt;"",OR($Y1543=FALSE(),$Y1543="FALSE")),0,IF(MIN(ABS($X1543/100-Settings!$C$6),ABS($X1543/100-Settings!$G$6))&lt;=MIN(ABS($X1543/100-Settings!$C$7),ABS($X1543/100-Settings!$G$7)),1,0))))</f>
        <v/>
      </c>
      <c r="AC1543">
        <f>IF($Z1543=1,IFERROR(IF(VALUE($B1543)&lt;100000000,VALUE($B1543),1000000000),IFERROR(IF(VALUE(MID($B1543,2,20))&lt;100000000,VALUE(MID($B1543,2,20)),1000000000),1000000000))+ROW()/100000,"")</f>
        <v/>
      </c>
    </row>
    <row r="1544">
      <c r="A1544">
        <f>IF($B1544="","",IFERROR(IF(INDEX('Per Invoice'!$A$2:$A$801,MATCH($B1544,'Per Invoice'!$B$2:$B$801,0))=0,"",INDEX('Per Invoice'!$A$2:$A$801,MATCH($B1544,'Per Invoice'!$B$2:$B$801,0))),""))</f>
        <v/>
      </c>
      <c r="J1544" s="7">
        <f>IF($B1544="","",I1544*Q1544/100)</f>
        <v/>
      </c>
      <c r="N1544" s="7" t="n"/>
      <c r="O1544" s="7" t="n"/>
      <c r="P1544" s="7">
        <f>IF($B1544="","",O1544*X1544/100)</f>
        <v/>
      </c>
      <c r="Q1544" s="7">
        <f>IF($B1544="","",O1544-P1544)</f>
        <v/>
      </c>
      <c r="R1544" s="7">
        <f>IF($B1544="","",Q1544-J1544)</f>
        <v/>
      </c>
      <c r="S1544" s="7" t="n"/>
      <c r="T1544" s="7" t="n"/>
      <c r="V1544" s="14" t="n"/>
      <c r="Z1544">
        <f>IF($B1544="","",IF(COUNTIF($B$2:$B1544,$B1544)=1,1,0))</f>
        <v/>
      </c>
      <c r="AA1544">
        <f>IF($Z1544=1,SUMPRODUCT(--($AC$2:$AC$3001&lt;$AC1544))+1,"")</f>
        <v/>
      </c>
      <c r="AB1544">
        <f>IF($B1544="","",IF(OR($Y1544=TRUE(),$Y1544="TRUE"),1,IF(AND($Y1544&lt;&gt;"",OR($Y1544=FALSE(),$Y1544="FALSE")),0,IF(MIN(ABS($X1544/100-Settings!$C$6),ABS($X1544/100-Settings!$G$6))&lt;=MIN(ABS($X1544/100-Settings!$C$7),ABS($X1544/100-Settings!$G$7)),1,0))))</f>
        <v/>
      </c>
      <c r="AC1544">
        <f>IF($Z1544=1,IFERROR(IF(VALUE($B1544)&lt;100000000,VALUE($B1544),1000000000),IFERROR(IF(VALUE(MID($B1544,2,20))&lt;100000000,VALUE(MID($B1544,2,20)),1000000000),1000000000))+ROW()/100000,"")</f>
        <v/>
      </c>
    </row>
    <row r="1545">
      <c r="A1545">
        <f>IF($B1545="","",IFERROR(IF(INDEX('Per Invoice'!$A$2:$A$801,MATCH($B1545,'Per Invoice'!$B$2:$B$801,0))=0,"",INDEX('Per Invoice'!$A$2:$A$801,MATCH($B1545,'Per Invoice'!$B$2:$B$801,0))),""))</f>
        <v/>
      </c>
      <c r="J1545" s="7">
        <f>IF($B1545="","",I1545*Q1545/100)</f>
        <v/>
      </c>
      <c r="N1545" s="7" t="n"/>
      <c r="O1545" s="7" t="n"/>
      <c r="P1545" s="7">
        <f>IF($B1545="","",O1545*X1545/100)</f>
        <v/>
      </c>
      <c r="Q1545" s="7">
        <f>IF($B1545="","",O1545-P1545)</f>
        <v/>
      </c>
      <c r="R1545" s="7">
        <f>IF($B1545="","",Q1545-J1545)</f>
        <v/>
      </c>
      <c r="S1545" s="7" t="n"/>
      <c r="T1545" s="7" t="n"/>
      <c r="V1545" s="14" t="n"/>
      <c r="Z1545">
        <f>IF($B1545="","",IF(COUNTIF($B$2:$B1545,$B1545)=1,1,0))</f>
        <v/>
      </c>
      <c r="AA1545">
        <f>IF($Z1545=1,SUMPRODUCT(--($AC$2:$AC$3001&lt;$AC1545))+1,"")</f>
        <v/>
      </c>
      <c r="AB1545">
        <f>IF($B1545="","",IF(OR($Y1545=TRUE(),$Y1545="TRUE"),1,IF(AND($Y1545&lt;&gt;"",OR($Y1545=FALSE(),$Y1545="FALSE")),0,IF(MIN(ABS($X1545/100-Settings!$C$6),ABS($X1545/100-Settings!$G$6))&lt;=MIN(ABS($X1545/100-Settings!$C$7),ABS($X1545/100-Settings!$G$7)),1,0))))</f>
        <v/>
      </c>
      <c r="AC1545">
        <f>IF($Z1545=1,IFERROR(IF(VALUE($B1545)&lt;100000000,VALUE($B1545),1000000000),IFERROR(IF(VALUE(MID($B1545,2,20))&lt;100000000,VALUE(MID($B1545,2,20)),1000000000),1000000000))+ROW()/100000,"")</f>
        <v/>
      </c>
    </row>
    <row r="1546">
      <c r="A1546">
        <f>IF($B1546="","",IFERROR(IF(INDEX('Per Invoice'!$A$2:$A$801,MATCH($B1546,'Per Invoice'!$B$2:$B$801,0))=0,"",INDEX('Per Invoice'!$A$2:$A$801,MATCH($B1546,'Per Invoice'!$B$2:$B$801,0))),""))</f>
        <v/>
      </c>
      <c r="J1546" s="7">
        <f>IF($B1546="","",I1546*Q1546/100)</f>
        <v/>
      </c>
      <c r="N1546" s="7" t="n"/>
      <c r="O1546" s="7" t="n"/>
      <c r="P1546" s="7">
        <f>IF($B1546="","",O1546*X1546/100)</f>
        <v/>
      </c>
      <c r="Q1546" s="7">
        <f>IF($B1546="","",O1546-P1546)</f>
        <v/>
      </c>
      <c r="R1546" s="7">
        <f>IF($B1546="","",Q1546-J1546)</f>
        <v/>
      </c>
      <c r="S1546" s="7" t="n"/>
      <c r="T1546" s="7" t="n"/>
      <c r="V1546" s="14" t="n"/>
      <c r="Z1546">
        <f>IF($B1546="","",IF(COUNTIF($B$2:$B1546,$B1546)=1,1,0))</f>
        <v/>
      </c>
      <c r="AA1546">
        <f>IF($Z1546=1,SUMPRODUCT(--($AC$2:$AC$3001&lt;$AC1546))+1,"")</f>
        <v/>
      </c>
      <c r="AB1546">
        <f>IF($B1546="","",IF(OR($Y1546=TRUE(),$Y1546="TRUE"),1,IF(AND($Y1546&lt;&gt;"",OR($Y1546=FALSE(),$Y1546="FALSE")),0,IF(MIN(ABS($X1546/100-Settings!$C$6),ABS($X1546/100-Settings!$G$6))&lt;=MIN(ABS($X1546/100-Settings!$C$7),ABS($X1546/100-Settings!$G$7)),1,0))))</f>
        <v/>
      </c>
      <c r="AC1546">
        <f>IF($Z1546=1,IFERROR(IF(VALUE($B1546)&lt;100000000,VALUE($B1546),1000000000),IFERROR(IF(VALUE(MID($B1546,2,20))&lt;100000000,VALUE(MID($B1546,2,20)),1000000000),1000000000))+ROW()/100000,"")</f>
        <v/>
      </c>
    </row>
    <row r="1547">
      <c r="A1547">
        <f>IF($B1547="","",IFERROR(IF(INDEX('Per Invoice'!$A$2:$A$801,MATCH($B1547,'Per Invoice'!$B$2:$B$801,0))=0,"",INDEX('Per Invoice'!$A$2:$A$801,MATCH($B1547,'Per Invoice'!$B$2:$B$801,0))),""))</f>
        <v/>
      </c>
      <c r="J1547" s="7">
        <f>IF($B1547="","",I1547*Q1547/100)</f>
        <v/>
      </c>
      <c r="N1547" s="7" t="n"/>
      <c r="O1547" s="7" t="n"/>
      <c r="P1547" s="7">
        <f>IF($B1547="","",O1547*X1547/100)</f>
        <v/>
      </c>
      <c r="Q1547" s="7">
        <f>IF($B1547="","",O1547-P1547)</f>
        <v/>
      </c>
      <c r="R1547" s="7">
        <f>IF($B1547="","",Q1547-J1547)</f>
        <v/>
      </c>
      <c r="S1547" s="7" t="n"/>
      <c r="T1547" s="7" t="n"/>
      <c r="V1547" s="14" t="n"/>
      <c r="Z1547">
        <f>IF($B1547="","",IF(COUNTIF($B$2:$B1547,$B1547)=1,1,0))</f>
        <v/>
      </c>
      <c r="AA1547">
        <f>IF($Z1547=1,SUMPRODUCT(--($AC$2:$AC$3001&lt;$AC1547))+1,"")</f>
        <v/>
      </c>
      <c r="AB1547">
        <f>IF($B1547="","",IF(OR($Y1547=TRUE(),$Y1547="TRUE"),1,IF(AND($Y1547&lt;&gt;"",OR($Y1547=FALSE(),$Y1547="FALSE")),0,IF(MIN(ABS($X1547/100-Settings!$C$6),ABS($X1547/100-Settings!$G$6))&lt;=MIN(ABS($X1547/100-Settings!$C$7),ABS($X1547/100-Settings!$G$7)),1,0))))</f>
        <v/>
      </c>
      <c r="AC1547">
        <f>IF($Z1547=1,IFERROR(IF(VALUE($B1547)&lt;100000000,VALUE($B1547),1000000000),IFERROR(IF(VALUE(MID($B1547,2,20))&lt;100000000,VALUE(MID($B1547,2,20)),1000000000),1000000000))+ROW()/100000,"")</f>
        <v/>
      </c>
    </row>
    <row r="1548">
      <c r="A1548">
        <f>IF($B1548="","",IFERROR(IF(INDEX('Per Invoice'!$A$2:$A$801,MATCH($B1548,'Per Invoice'!$B$2:$B$801,0))=0,"",INDEX('Per Invoice'!$A$2:$A$801,MATCH($B1548,'Per Invoice'!$B$2:$B$801,0))),""))</f>
        <v/>
      </c>
      <c r="J1548" s="7">
        <f>IF($B1548="","",I1548*Q1548/100)</f>
        <v/>
      </c>
      <c r="N1548" s="7" t="n"/>
      <c r="O1548" s="7" t="n"/>
      <c r="P1548" s="7">
        <f>IF($B1548="","",O1548*X1548/100)</f>
        <v/>
      </c>
      <c r="Q1548" s="7">
        <f>IF($B1548="","",O1548-P1548)</f>
        <v/>
      </c>
      <c r="R1548" s="7">
        <f>IF($B1548="","",Q1548-J1548)</f>
        <v/>
      </c>
      <c r="S1548" s="7" t="n"/>
      <c r="T1548" s="7" t="n"/>
      <c r="V1548" s="14" t="n"/>
      <c r="Z1548">
        <f>IF($B1548="","",IF(COUNTIF($B$2:$B1548,$B1548)=1,1,0))</f>
        <v/>
      </c>
      <c r="AA1548">
        <f>IF($Z1548=1,SUMPRODUCT(--($AC$2:$AC$3001&lt;$AC1548))+1,"")</f>
        <v/>
      </c>
      <c r="AB1548">
        <f>IF($B1548="","",IF(OR($Y1548=TRUE(),$Y1548="TRUE"),1,IF(AND($Y1548&lt;&gt;"",OR($Y1548=FALSE(),$Y1548="FALSE")),0,IF(MIN(ABS($X1548/100-Settings!$C$6),ABS($X1548/100-Settings!$G$6))&lt;=MIN(ABS($X1548/100-Settings!$C$7),ABS($X1548/100-Settings!$G$7)),1,0))))</f>
        <v/>
      </c>
      <c r="AC1548">
        <f>IF($Z1548=1,IFERROR(IF(VALUE($B1548)&lt;100000000,VALUE($B1548),1000000000),IFERROR(IF(VALUE(MID($B1548,2,20))&lt;100000000,VALUE(MID($B1548,2,20)),1000000000),1000000000))+ROW()/100000,"")</f>
        <v/>
      </c>
    </row>
    <row r="1549">
      <c r="A1549">
        <f>IF($B1549="","",IFERROR(IF(INDEX('Per Invoice'!$A$2:$A$801,MATCH($B1549,'Per Invoice'!$B$2:$B$801,0))=0,"",INDEX('Per Invoice'!$A$2:$A$801,MATCH($B1549,'Per Invoice'!$B$2:$B$801,0))),""))</f>
        <v/>
      </c>
      <c r="J1549" s="7">
        <f>IF($B1549="","",I1549*Q1549/100)</f>
        <v/>
      </c>
      <c r="N1549" s="7" t="n"/>
      <c r="O1549" s="7" t="n"/>
      <c r="P1549" s="7">
        <f>IF($B1549="","",O1549*X1549/100)</f>
        <v/>
      </c>
      <c r="Q1549" s="7">
        <f>IF($B1549="","",O1549-P1549)</f>
        <v/>
      </c>
      <c r="R1549" s="7">
        <f>IF($B1549="","",Q1549-J1549)</f>
        <v/>
      </c>
      <c r="S1549" s="7" t="n"/>
      <c r="T1549" s="7" t="n"/>
      <c r="V1549" s="14" t="n"/>
      <c r="Z1549">
        <f>IF($B1549="","",IF(COUNTIF($B$2:$B1549,$B1549)=1,1,0))</f>
        <v/>
      </c>
      <c r="AA1549">
        <f>IF($Z1549=1,SUMPRODUCT(--($AC$2:$AC$3001&lt;$AC1549))+1,"")</f>
        <v/>
      </c>
      <c r="AB1549">
        <f>IF($B1549="","",IF(OR($Y1549=TRUE(),$Y1549="TRUE"),1,IF(AND($Y1549&lt;&gt;"",OR($Y1549=FALSE(),$Y1549="FALSE")),0,IF(MIN(ABS($X1549/100-Settings!$C$6),ABS($X1549/100-Settings!$G$6))&lt;=MIN(ABS($X1549/100-Settings!$C$7),ABS($X1549/100-Settings!$G$7)),1,0))))</f>
        <v/>
      </c>
      <c r="AC1549">
        <f>IF($Z1549=1,IFERROR(IF(VALUE($B1549)&lt;100000000,VALUE($B1549),1000000000),IFERROR(IF(VALUE(MID($B1549,2,20))&lt;100000000,VALUE(MID($B1549,2,20)),1000000000),1000000000))+ROW()/100000,"")</f>
        <v/>
      </c>
    </row>
    <row r="1550">
      <c r="A1550">
        <f>IF($B1550="","",IFERROR(IF(INDEX('Per Invoice'!$A$2:$A$801,MATCH($B1550,'Per Invoice'!$B$2:$B$801,0))=0,"",INDEX('Per Invoice'!$A$2:$A$801,MATCH($B1550,'Per Invoice'!$B$2:$B$801,0))),""))</f>
        <v/>
      </c>
      <c r="J1550" s="7">
        <f>IF($B1550="","",I1550*Q1550/100)</f>
        <v/>
      </c>
      <c r="N1550" s="7" t="n"/>
      <c r="O1550" s="7" t="n"/>
      <c r="P1550" s="7">
        <f>IF($B1550="","",O1550*X1550/100)</f>
        <v/>
      </c>
      <c r="Q1550" s="7">
        <f>IF($B1550="","",O1550-P1550)</f>
        <v/>
      </c>
      <c r="R1550" s="7">
        <f>IF($B1550="","",Q1550-J1550)</f>
        <v/>
      </c>
      <c r="S1550" s="7" t="n"/>
      <c r="T1550" s="7" t="n"/>
      <c r="V1550" s="14" t="n"/>
      <c r="Z1550">
        <f>IF($B1550="","",IF(COUNTIF($B$2:$B1550,$B1550)=1,1,0))</f>
        <v/>
      </c>
      <c r="AA1550">
        <f>IF($Z1550=1,SUMPRODUCT(--($AC$2:$AC$3001&lt;$AC1550))+1,"")</f>
        <v/>
      </c>
      <c r="AB1550">
        <f>IF($B1550="","",IF(OR($Y1550=TRUE(),$Y1550="TRUE"),1,IF(AND($Y1550&lt;&gt;"",OR($Y1550=FALSE(),$Y1550="FALSE")),0,IF(MIN(ABS($X1550/100-Settings!$C$6),ABS($X1550/100-Settings!$G$6))&lt;=MIN(ABS($X1550/100-Settings!$C$7),ABS($X1550/100-Settings!$G$7)),1,0))))</f>
        <v/>
      </c>
      <c r="AC1550">
        <f>IF($Z1550=1,IFERROR(IF(VALUE($B1550)&lt;100000000,VALUE($B1550),1000000000),IFERROR(IF(VALUE(MID($B1550,2,20))&lt;100000000,VALUE(MID($B1550,2,20)),1000000000),1000000000))+ROW()/100000,"")</f>
        <v/>
      </c>
    </row>
    <row r="1551">
      <c r="A1551">
        <f>IF($B1551="","",IFERROR(IF(INDEX('Per Invoice'!$A$2:$A$801,MATCH($B1551,'Per Invoice'!$B$2:$B$801,0))=0,"",INDEX('Per Invoice'!$A$2:$A$801,MATCH($B1551,'Per Invoice'!$B$2:$B$801,0))),""))</f>
        <v/>
      </c>
      <c r="J1551" s="7">
        <f>IF($B1551="","",I1551*Q1551/100)</f>
        <v/>
      </c>
      <c r="N1551" s="7" t="n"/>
      <c r="O1551" s="7" t="n"/>
      <c r="P1551" s="7">
        <f>IF($B1551="","",O1551*X1551/100)</f>
        <v/>
      </c>
      <c r="Q1551" s="7">
        <f>IF($B1551="","",O1551-P1551)</f>
        <v/>
      </c>
      <c r="R1551" s="7">
        <f>IF($B1551="","",Q1551-J1551)</f>
        <v/>
      </c>
      <c r="S1551" s="7" t="n"/>
      <c r="T1551" s="7" t="n"/>
      <c r="V1551" s="14" t="n"/>
      <c r="Z1551">
        <f>IF($B1551="","",IF(COUNTIF($B$2:$B1551,$B1551)=1,1,0))</f>
        <v/>
      </c>
      <c r="AA1551">
        <f>IF($Z1551=1,SUMPRODUCT(--($AC$2:$AC$3001&lt;$AC1551))+1,"")</f>
        <v/>
      </c>
      <c r="AB1551">
        <f>IF($B1551="","",IF(OR($Y1551=TRUE(),$Y1551="TRUE"),1,IF(AND($Y1551&lt;&gt;"",OR($Y1551=FALSE(),$Y1551="FALSE")),0,IF(MIN(ABS($X1551/100-Settings!$C$6),ABS($X1551/100-Settings!$G$6))&lt;=MIN(ABS($X1551/100-Settings!$C$7),ABS($X1551/100-Settings!$G$7)),1,0))))</f>
        <v/>
      </c>
      <c r="AC1551">
        <f>IF($Z1551=1,IFERROR(IF(VALUE($B1551)&lt;100000000,VALUE($B1551),1000000000),IFERROR(IF(VALUE(MID($B1551,2,20))&lt;100000000,VALUE(MID($B1551,2,20)),1000000000),1000000000))+ROW()/100000,"")</f>
        <v/>
      </c>
    </row>
    <row r="1552">
      <c r="A1552">
        <f>IF($B1552="","",IFERROR(IF(INDEX('Per Invoice'!$A$2:$A$801,MATCH($B1552,'Per Invoice'!$B$2:$B$801,0))=0,"",INDEX('Per Invoice'!$A$2:$A$801,MATCH($B1552,'Per Invoice'!$B$2:$B$801,0))),""))</f>
        <v/>
      </c>
      <c r="J1552" s="7">
        <f>IF($B1552="","",I1552*Q1552/100)</f>
        <v/>
      </c>
      <c r="N1552" s="7" t="n"/>
      <c r="O1552" s="7" t="n"/>
      <c r="P1552" s="7">
        <f>IF($B1552="","",O1552*X1552/100)</f>
        <v/>
      </c>
      <c r="Q1552" s="7">
        <f>IF($B1552="","",O1552-P1552)</f>
        <v/>
      </c>
      <c r="R1552" s="7">
        <f>IF($B1552="","",Q1552-J1552)</f>
        <v/>
      </c>
      <c r="S1552" s="7" t="n"/>
      <c r="T1552" s="7" t="n"/>
      <c r="V1552" s="14" t="n"/>
      <c r="Z1552">
        <f>IF($B1552="","",IF(COUNTIF($B$2:$B1552,$B1552)=1,1,0))</f>
        <v/>
      </c>
      <c r="AA1552">
        <f>IF($Z1552=1,SUMPRODUCT(--($AC$2:$AC$3001&lt;$AC1552))+1,"")</f>
        <v/>
      </c>
      <c r="AB1552">
        <f>IF($B1552="","",IF(OR($Y1552=TRUE(),$Y1552="TRUE"),1,IF(AND($Y1552&lt;&gt;"",OR($Y1552=FALSE(),$Y1552="FALSE")),0,IF(MIN(ABS($X1552/100-Settings!$C$6),ABS($X1552/100-Settings!$G$6))&lt;=MIN(ABS($X1552/100-Settings!$C$7),ABS($X1552/100-Settings!$G$7)),1,0))))</f>
        <v/>
      </c>
      <c r="AC1552">
        <f>IF($Z1552=1,IFERROR(IF(VALUE($B1552)&lt;100000000,VALUE($B1552),1000000000),IFERROR(IF(VALUE(MID($B1552,2,20))&lt;100000000,VALUE(MID($B1552,2,20)),1000000000),1000000000))+ROW()/100000,"")</f>
        <v/>
      </c>
    </row>
    <row r="1553">
      <c r="A1553">
        <f>IF($B1553="","",IFERROR(IF(INDEX('Per Invoice'!$A$2:$A$801,MATCH($B1553,'Per Invoice'!$B$2:$B$801,0))=0,"",INDEX('Per Invoice'!$A$2:$A$801,MATCH($B1553,'Per Invoice'!$B$2:$B$801,0))),""))</f>
        <v/>
      </c>
      <c r="J1553" s="7">
        <f>IF($B1553="","",I1553*Q1553/100)</f>
        <v/>
      </c>
      <c r="N1553" s="7" t="n"/>
      <c r="O1553" s="7" t="n"/>
      <c r="P1553" s="7">
        <f>IF($B1553="","",O1553*X1553/100)</f>
        <v/>
      </c>
      <c r="Q1553" s="7">
        <f>IF($B1553="","",O1553-P1553)</f>
        <v/>
      </c>
      <c r="R1553" s="7">
        <f>IF($B1553="","",Q1553-J1553)</f>
        <v/>
      </c>
      <c r="S1553" s="7" t="n"/>
      <c r="T1553" s="7" t="n"/>
      <c r="V1553" s="14" t="n"/>
      <c r="Z1553">
        <f>IF($B1553="","",IF(COUNTIF($B$2:$B1553,$B1553)=1,1,0))</f>
        <v/>
      </c>
      <c r="AA1553">
        <f>IF($Z1553=1,SUMPRODUCT(--($AC$2:$AC$3001&lt;$AC1553))+1,"")</f>
        <v/>
      </c>
      <c r="AB1553">
        <f>IF($B1553="","",IF(OR($Y1553=TRUE(),$Y1553="TRUE"),1,IF(AND($Y1553&lt;&gt;"",OR($Y1553=FALSE(),$Y1553="FALSE")),0,IF(MIN(ABS($X1553/100-Settings!$C$6),ABS($X1553/100-Settings!$G$6))&lt;=MIN(ABS($X1553/100-Settings!$C$7),ABS($X1553/100-Settings!$G$7)),1,0))))</f>
        <v/>
      </c>
      <c r="AC1553">
        <f>IF($Z1553=1,IFERROR(IF(VALUE($B1553)&lt;100000000,VALUE($B1553),1000000000),IFERROR(IF(VALUE(MID($B1553,2,20))&lt;100000000,VALUE(MID($B1553,2,20)),1000000000),1000000000))+ROW()/100000,"")</f>
        <v/>
      </c>
    </row>
    <row r="1554">
      <c r="A1554">
        <f>IF($B1554="","",IFERROR(IF(INDEX('Per Invoice'!$A$2:$A$801,MATCH($B1554,'Per Invoice'!$B$2:$B$801,0))=0,"",INDEX('Per Invoice'!$A$2:$A$801,MATCH($B1554,'Per Invoice'!$B$2:$B$801,0))),""))</f>
        <v/>
      </c>
      <c r="J1554" s="7">
        <f>IF($B1554="","",I1554*Q1554/100)</f>
        <v/>
      </c>
      <c r="N1554" s="7" t="n"/>
      <c r="O1554" s="7" t="n"/>
      <c r="P1554" s="7">
        <f>IF($B1554="","",O1554*X1554/100)</f>
        <v/>
      </c>
      <c r="Q1554" s="7">
        <f>IF($B1554="","",O1554-P1554)</f>
        <v/>
      </c>
      <c r="R1554" s="7">
        <f>IF($B1554="","",Q1554-J1554)</f>
        <v/>
      </c>
      <c r="S1554" s="7" t="n"/>
      <c r="T1554" s="7" t="n"/>
      <c r="V1554" s="14" t="n"/>
      <c r="Z1554">
        <f>IF($B1554="","",IF(COUNTIF($B$2:$B1554,$B1554)=1,1,0))</f>
        <v/>
      </c>
      <c r="AA1554">
        <f>IF($Z1554=1,SUMPRODUCT(--($AC$2:$AC$3001&lt;$AC1554))+1,"")</f>
        <v/>
      </c>
      <c r="AB1554">
        <f>IF($B1554="","",IF(OR($Y1554=TRUE(),$Y1554="TRUE"),1,IF(AND($Y1554&lt;&gt;"",OR($Y1554=FALSE(),$Y1554="FALSE")),0,IF(MIN(ABS($X1554/100-Settings!$C$6),ABS($X1554/100-Settings!$G$6))&lt;=MIN(ABS($X1554/100-Settings!$C$7),ABS($X1554/100-Settings!$G$7)),1,0))))</f>
        <v/>
      </c>
      <c r="AC1554">
        <f>IF($Z1554=1,IFERROR(IF(VALUE($B1554)&lt;100000000,VALUE($B1554),1000000000),IFERROR(IF(VALUE(MID($B1554,2,20))&lt;100000000,VALUE(MID($B1554,2,20)),1000000000),1000000000))+ROW()/100000,"")</f>
        <v/>
      </c>
    </row>
    <row r="1555">
      <c r="A1555">
        <f>IF($B1555="","",IFERROR(IF(INDEX('Per Invoice'!$A$2:$A$801,MATCH($B1555,'Per Invoice'!$B$2:$B$801,0))=0,"",INDEX('Per Invoice'!$A$2:$A$801,MATCH($B1555,'Per Invoice'!$B$2:$B$801,0))),""))</f>
        <v/>
      </c>
      <c r="J1555" s="7">
        <f>IF($B1555="","",I1555*Q1555/100)</f>
        <v/>
      </c>
      <c r="N1555" s="7" t="n"/>
      <c r="O1555" s="7" t="n"/>
      <c r="P1555" s="7">
        <f>IF($B1555="","",O1555*X1555/100)</f>
        <v/>
      </c>
      <c r="Q1555" s="7">
        <f>IF($B1555="","",O1555-P1555)</f>
        <v/>
      </c>
      <c r="R1555" s="7">
        <f>IF($B1555="","",Q1555-J1555)</f>
        <v/>
      </c>
      <c r="S1555" s="7" t="n"/>
      <c r="T1555" s="7" t="n"/>
      <c r="V1555" s="14" t="n"/>
      <c r="Z1555">
        <f>IF($B1555="","",IF(COUNTIF($B$2:$B1555,$B1555)=1,1,0))</f>
        <v/>
      </c>
      <c r="AA1555">
        <f>IF($Z1555=1,SUMPRODUCT(--($AC$2:$AC$3001&lt;$AC1555))+1,"")</f>
        <v/>
      </c>
      <c r="AB1555">
        <f>IF($B1555="","",IF(OR($Y1555=TRUE(),$Y1555="TRUE"),1,IF(AND($Y1555&lt;&gt;"",OR($Y1555=FALSE(),$Y1555="FALSE")),0,IF(MIN(ABS($X1555/100-Settings!$C$6),ABS($X1555/100-Settings!$G$6))&lt;=MIN(ABS($X1555/100-Settings!$C$7),ABS($X1555/100-Settings!$G$7)),1,0))))</f>
        <v/>
      </c>
      <c r="AC1555">
        <f>IF($Z1555=1,IFERROR(IF(VALUE($B1555)&lt;100000000,VALUE($B1555),1000000000),IFERROR(IF(VALUE(MID($B1555,2,20))&lt;100000000,VALUE(MID($B1555,2,20)),1000000000),1000000000))+ROW()/100000,"")</f>
        <v/>
      </c>
    </row>
    <row r="1556">
      <c r="A1556">
        <f>IF($B1556="","",IFERROR(IF(INDEX('Per Invoice'!$A$2:$A$801,MATCH($B1556,'Per Invoice'!$B$2:$B$801,0))=0,"",INDEX('Per Invoice'!$A$2:$A$801,MATCH($B1556,'Per Invoice'!$B$2:$B$801,0))),""))</f>
        <v/>
      </c>
      <c r="J1556" s="7">
        <f>IF($B1556="","",I1556*Q1556/100)</f>
        <v/>
      </c>
      <c r="N1556" s="7" t="n"/>
      <c r="O1556" s="7" t="n"/>
      <c r="P1556" s="7">
        <f>IF($B1556="","",O1556*X1556/100)</f>
        <v/>
      </c>
      <c r="Q1556" s="7">
        <f>IF($B1556="","",O1556-P1556)</f>
        <v/>
      </c>
      <c r="R1556" s="7">
        <f>IF($B1556="","",Q1556-J1556)</f>
        <v/>
      </c>
      <c r="S1556" s="7" t="n"/>
      <c r="T1556" s="7" t="n"/>
      <c r="V1556" s="14" t="n"/>
      <c r="Z1556">
        <f>IF($B1556="","",IF(COUNTIF($B$2:$B1556,$B1556)=1,1,0))</f>
        <v/>
      </c>
      <c r="AA1556">
        <f>IF($Z1556=1,SUMPRODUCT(--($AC$2:$AC$3001&lt;$AC1556))+1,"")</f>
        <v/>
      </c>
      <c r="AB1556">
        <f>IF($B1556="","",IF(OR($Y1556=TRUE(),$Y1556="TRUE"),1,IF(AND($Y1556&lt;&gt;"",OR($Y1556=FALSE(),$Y1556="FALSE")),0,IF(MIN(ABS($X1556/100-Settings!$C$6),ABS($X1556/100-Settings!$G$6))&lt;=MIN(ABS($X1556/100-Settings!$C$7),ABS($X1556/100-Settings!$G$7)),1,0))))</f>
        <v/>
      </c>
      <c r="AC1556">
        <f>IF($Z1556=1,IFERROR(IF(VALUE($B1556)&lt;100000000,VALUE($B1556),1000000000),IFERROR(IF(VALUE(MID($B1556,2,20))&lt;100000000,VALUE(MID($B1556,2,20)),1000000000),1000000000))+ROW()/100000,"")</f>
        <v/>
      </c>
    </row>
    <row r="1557">
      <c r="A1557">
        <f>IF($B1557="","",IFERROR(IF(INDEX('Per Invoice'!$A$2:$A$801,MATCH($B1557,'Per Invoice'!$B$2:$B$801,0))=0,"",INDEX('Per Invoice'!$A$2:$A$801,MATCH($B1557,'Per Invoice'!$B$2:$B$801,0))),""))</f>
        <v/>
      </c>
      <c r="J1557" s="7">
        <f>IF($B1557="","",I1557*Q1557/100)</f>
        <v/>
      </c>
      <c r="N1557" s="7" t="n"/>
      <c r="O1557" s="7" t="n"/>
      <c r="P1557" s="7">
        <f>IF($B1557="","",O1557*X1557/100)</f>
        <v/>
      </c>
      <c r="Q1557" s="7">
        <f>IF($B1557="","",O1557-P1557)</f>
        <v/>
      </c>
      <c r="R1557" s="7">
        <f>IF($B1557="","",Q1557-J1557)</f>
        <v/>
      </c>
      <c r="S1557" s="7" t="n"/>
      <c r="T1557" s="7" t="n"/>
      <c r="V1557" s="14" t="n"/>
      <c r="Z1557">
        <f>IF($B1557="","",IF(COUNTIF($B$2:$B1557,$B1557)=1,1,0))</f>
        <v/>
      </c>
      <c r="AA1557">
        <f>IF($Z1557=1,SUMPRODUCT(--($AC$2:$AC$3001&lt;$AC1557))+1,"")</f>
        <v/>
      </c>
      <c r="AB1557">
        <f>IF($B1557="","",IF(OR($Y1557=TRUE(),$Y1557="TRUE"),1,IF(AND($Y1557&lt;&gt;"",OR($Y1557=FALSE(),$Y1557="FALSE")),0,IF(MIN(ABS($X1557/100-Settings!$C$6),ABS($X1557/100-Settings!$G$6))&lt;=MIN(ABS($X1557/100-Settings!$C$7),ABS($X1557/100-Settings!$G$7)),1,0))))</f>
        <v/>
      </c>
      <c r="AC1557">
        <f>IF($Z1557=1,IFERROR(IF(VALUE($B1557)&lt;100000000,VALUE($B1557),1000000000),IFERROR(IF(VALUE(MID($B1557,2,20))&lt;100000000,VALUE(MID($B1557,2,20)),1000000000),1000000000))+ROW()/100000,"")</f>
        <v/>
      </c>
    </row>
    <row r="1558">
      <c r="A1558">
        <f>IF($B1558="","",IFERROR(IF(INDEX('Per Invoice'!$A$2:$A$801,MATCH($B1558,'Per Invoice'!$B$2:$B$801,0))=0,"",INDEX('Per Invoice'!$A$2:$A$801,MATCH($B1558,'Per Invoice'!$B$2:$B$801,0))),""))</f>
        <v/>
      </c>
      <c r="J1558" s="7">
        <f>IF($B1558="","",I1558*Q1558/100)</f>
        <v/>
      </c>
      <c r="N1558" s="7" t="n"/>
      <c r="O1558" s="7" t="n"/>
      <c r="P1558" s="7">
        <f>IF($B1558="","",O1558*X1558/100)</f>
        <v/>
      </c>
      <c r="Q1558" s="7">
        <f>IF($B1558="","",O1558-P1558)</f>
        <v/>
      </c>
      <c r="R1558" s="7">
        <f>IF($B1558="","",Q1558-J1558)</f>
        <v/>
      </c>
      <c r="S1558" s="7" t="n"/>
      <c r="T1558" s="7" t="n"/>
      <c r="V1558" s="14" t="n"/>
      <c r="Z1558">
        <f>IF($B1558="","",IF(COUNTIF($B$2:$B1558,$B1558)=1,1,0))</f>
        <v/>
      </c>
      <c r="AA1558">
        <f>IF($Z1558=1,SUMPRODUCT(--($AC$2:$AC$3001&lt;$AC1558))+1,"")</f>
        <v/>
      </c>
      <c r="AB1558">
        <f>IF($B1558="","",IF(OR($Y1558=TRUE(),$Y1558="TRUE"),1,IF(AND($Y1558&lt;&gt;"",OR($Y1558=FALSE(),$Y1558="FALSE")),0,IF(MIN(ABS($X1558/100-Settings!$C$6),ABS($X1558/100-Settings!$G$6))&lt;=MIN(ABS($X1558/100-Settings!$C$7),ABS($X1558/100-Settings!$G$7)),1,0))))</f>
        <v/>
      </c>
      <c r="AC1558">
        <f>IF($Z1558=1,IFERROR(IF(VALUE($B1558)&lt;100000000,VALUE($B1558),1000000000),IFERROR(IF(VALUE(MID($B1558,2,20))&lt;100000000,VALUE(MID($B1558,2,20)),1000000000),1000000000))+ROW()/100000,"")</f>
        <v/>
      </c>
    </row>
    <row r="1559">
      <c r="A1559">
        <f>IF($B1559="","",IFERROR(IF(INDEX('Per Invoice'!$A$2:$A$801,MATCH($B1559,'Per Invoice'!$B$2:$B$801,0))=0,"",INDEX('Per Invoice'!$A$2:$A$801,MATCH($B1559,'Per Invoice'!$B$2:$B$801,0))),""))</f>
        <v/>
      </c>
      <c r="J1559" s="7">
        <f>IF($B1559="","",I1559*Q1559/100)</f>
        <v/>
      </c>
      <c r="N1559" s="7" t="n"/>
      <c r="O1559" s="7" t="n"/>
      <c r="P1559" s="7">
        <f>IF($B1559="","",O1559*X1559/100)</f>
        <v/>
      </c>
      <c r="Q1559" s="7">
        <f>IF($B1559="","",O1559-P1559)</f>
        <v/>
      </c>
      <c r="R1559" s="7">
        <f>IF($B1559="","",Q1559-J1559)</f>
        <v/>
      </c>
      <c r="S1559" s="7" t="n"/>
      <c r="T1559" s="7" t="n"/>
      <c r="V1559" s="14" t="n"/>
      <c r="Z1559">
        <f>IF($B1559="","",IF(COUNTIF($B$2:$B1559,$B1559)=1,1,0))</f>
        <v/>
      </c>
      <c r="AA1559">
        <f>IF($Z1559=1,SUMPRODUCT(--($AC$2:$AC$3001&lt;$AC1559))+1,"")</f>
        <v/>
      </c>
      <c r="AB1559">
        <f>IF($B1559="","",IF(OR($Y1559=TRUE(),$Y1559="TRUE"),1,IF(AND($Y1559&lt;&gt;"",OR($Y1559=FALSE(),$Y1559="FALSE")),0,IF(MIN(ABS($X1559/100-Settings!$C$6),ABS($X1559/100-Settings!$G$6))&lt;=MIN(ABS($X1559/100-Settings!$C$7),ABS($X1559/100-Settings!$G$7)),1,0))))</f>
        <v/>
      </c>
      <c r="AC1559">
        <f>IF($Z1559=1,IFERROR(IF(VALUE($B1559)&lt;100000000,VALUE($B1559),1000000000),IFERROR(IF(VALUE(MID($B1559,2,20))&lt;100000000,VALUE(MID($B1559,2,20)),1000000000),1000000000))+ROW()/100000,"")</f>
        <v/>
      </c>
    </row>
    <row r="1560">
      <c r="A1560">
        <f>IF($B1560="","",IFERROR(IF(INDEX('Per Invoice'!$A$2:$A$801,MATCH($B1560,'Per Invoice'!$B$2:$B$801,0))=0,"",INDEX('Per Invoice'!$A$2:$A$801,MATCH($B1560,'Per Invoice'!$B$2:$B$801,0))),""))</f>
        <v/>
      </c>
      <c r="J1560" s="7">
        <f>IF($B1560="","",I1560*Q1560/100)</f>
        <v/>
      </c>
      <c r="N1560" s="7" t="n"/>
      <c r="O1560" s="7" t="n"/>
      <c r="P1560" s="7">
        <f>IF($B1560="","",O1560*X1560/100)</f>
        <v/>
      </c>
      <c r="Q1560" s="7">
        <f>IF($B1560="","",O1560-P1560)</f>
        <v/>
      </c>
      <c r="R1560" s="7">
        <f>IF($B1560="","",Q1560-J1560)</f>
        <v/>
      </c>
      <c r="S1560" s="7" t="n"/>
      <c r="T1560" s="7" t="n"/>
      <c r="V1560" s="14" t="n"/>
      <c r="Z1560">
        <f>IF($B1560="","",IF(COUNTIF($B$2:$B1560,$B1560)=1,1,0))</f>
        <v/>
      </c>
      <c r="AA1560">
        <f>IF($Z1560=1,SUMPRODUCT(--($AC$2:$AC$3001&lt;$AC1560))+1,"")</f>
        <v/>
      </c>
      <c r="AB1560">
        <f>IF($B1560="","",IF(OR($Y1560=TRUE(),$Y1560="TRUE"),1,IF(AND($Y1560&lt;&gt;"",OR($Y1560=FALSE(),$Y1560="FALSE")),0,IF(MIN(ABS($X1560/100-Settings!$C$6),ABS($X1560/100-Settings!$G$6))&lt;=MIN(ABS($X1560/100-Settings!$C$7),ABS($X1560/100-Settings!$G$7)),1,0))))</f>
        <v/>
      </c>
      <c r="AC1560">
        <f>IF($Z1560=1,IFERROR(IF(VALUE($B1560)&lt;100000000,VALUE($B1560),1000000000),IFERROR(IF(VALUE(MID($B1560,2,20))&lt;100000000,VALUE(MID($B1560,2,20)),1000000000),1000000000))+ROW()/100000,"")</f>
        <v/>
      </c>
    </row>
    <row r="1561">
      <c r="A1561">
        <f>IF($B1561="","",IFERROR(IF(INDEX('Per Invoice'!$A$2:$A$801,MATCH($B1561,'Per Invoice'!$B$2:$B$801,0))=0,"",INDEX('Per Invoice'!$A$2:$A$801,MATCH($B1561,'Per Invoice'!$B$2:$B$801,0))),""))</f>
        <v/>
      </c>
      <c r="J1561" s="7">
        <f>IF($B1561="","",I1561*Q1561/100)</f>
        <v/>
      </c>
      <c r="N1561" s="7" t="n"/>
      <c r="O1561" s="7" t="n"/>
      <c r="P1561" s="7">
        <f>IF($B1561="","",O1561*X1561/100)</f>
        <v/>
      </c>
      <c r="Q1561" s="7">
        <f>IF($B1561="","",O1561-P1561)</f>
        <v/>
      </c>
      <c r="R1561" s="7">
        <f>IF($B1561="","",Q1561-J1561)</f>
        <v/>
      </c>
      <c r="S1561" s="7" t="n"/>
      <c r="T1561" s="7" t="n"/>
      <c r="V1561" s="14" t="n"/>
      <c r="Z1561">
        <f>IF($B1561="","",IF(COUNTIF($B$2:$B1561,$B1561)=1,1,0))</f>
        <v/>
      </c>
      <c r="AA1561">
        <f>IF($Z1561=1,SUMPRODUCT(--($AC$2:$AC$3001&lt;$AC1561))+1,"")</f>
        <v/>
      </c>
      <c r="AB1561">
        <f>IF($B1561="","",IF(OR($Y1561=TRUE(),$Y1561="TRUE"),1,IF(AND($Y1561&lt;&gt;"",OR($Y1561=FALSE(),$Y1561="FALSE")),0,IF(MIN(ABS($X1561/100-Settings!$C$6),ABS($X1561/100-Settings!$G$6))&lt;=MIN(ABS($X1561/100-Settings!$C$7),ABS($X1561/100-Settings!$G$7)),1,0))))</f>
        <v/>
      </c>
      <c r="AC1561">
        <f>IF($Z1561=1,IFERROR(IF(VALUE($B1561)&lt;100000000,VALUE($B1561),1000000000),IFERROR(IF(VALUE(MID($B1561,2,20))&lt;100000000,VALUE(MID($B1561,2,20)),1000000000),1000000000))+ROW()/100000,"")</f>
        <v/>
      </c>
    </row>
    <row r="1562">
      <c r="A1562">
        <f>IF($B1562="","",IFERROR(IF(INDEX('Per Invoice'!$A$2:$A$801,MATCH($B1562,'Per Invoice'!$B$2:$B$801,0))=0,"",INDEX('Per Invoice'!$A$2:$A$801,MATCH($B1562,'Per Invoice'!$B$2:$B$801,0))),""))</f>
        <v/>
      </c>
      <c r="J1562" s="7">
        <f>IF($B1562="","",I1562*Q1562/100)</f>
        <v/>
      </c>
      <c r="N1562" s="7" t="n"/>
      <c r="O1562" s="7" t="n"/>
      <c r="P1562" s="7">
        <f>IF($B1562="","",O1562*X1562/100)</f>
        <v/>
      </c>
      <c r="Q1562" s="7">
        <f>IF($B1562="","",O1562-P1562)</f>
        <v/>
      </c>
      <c r="R1562" s="7">
        <f>IF($B1562="","",Q1562-J1562)</f>
        <v/>
      </c>
      <c r="S1562" s="7" t="n"/>
      <c r="T1562" s="7" t="n"/>
      <c r="V1562" s="14" t="n"/>
      <c r="Z1562">
        <f>IF($B1562="","",IF(COUNTIF($B$2:$B1562,$B1562)=1,1,0))</f>
        <v/>
      </c>
      <c r="AA1562">
        <f>IF($Z1562=1,SUMPRODUCT(--($AC$2:$AC$3001&lt;$AC1562))+1,"")</f>
        <v/>
      </c>
      <c r="AB1562">
        <f>IF($B1562="","",IF(OR($Y1562=TRUE(),$Y1562="TRUE"),1,IF(AND($Y1562&lt;&gt;"",OR($Y1562=FALSE(),$Y1562="FALSE")),0,IF(MIN(ABS($X1562/100-Settings!$C$6),ABS($X1562/100-Settings!$G$6))&lt;=MIN(ABS($X1562/100-Settings!$C$7),ABS($X1562/100-Settings!$G$7)),1,0))))</f>
        <v/>
      </c>
      <c r="AC1562">
        <f>IF($Z1562=1,IFERROR(IF(VALUE($B1562)&lt;100000000,VALUE($B1562),1000000000),IFERROR(IF(VALUE(MID($B1562,2,20))&lt;100000000,VALUE(MID($B1562,2,20)),1000000000),1000000000))+ROW()/100000,"")</f>
        <v/>
      </c>
    </row>
    <row r="1563">
      <c r="A1563">
        <f>IF($B1563="","",IFERROR(IF(INDEX('Per Invoice'!$A$2:$A$801,MATCH($B1563,'Per Invoice'!$B$2:$B$801,0))=0,"",INDEX('Per Invoice'!$A$2:$A$801,MATCH($B1563,'Per Invoice'!$B$2:$B$801,0))),""))</f>
        <v/>
      </c>
      <c r="J1563" s="7">
        <f>IF($B1563="","",I1563*Q1563/100)</f>
        <v/>
      </c>
      <c r="N1563" s="7" t="n"/>
      <c r="O1563" s="7" t="n"/>
      <c r="P1563" s="7">
        <f>IF($B1563="","",O1563*X1563/100)</f>
        <v/>
      </c>
      <c r="Q1563" s="7">
        <f>IF($B1563="","",O1563-P1563)</f>
        <v/>
      </c>
      <c r="R1563" s="7">
        <f>IF($B1563="","",Q1563-J1563)</f>
        <v/>
      </c>
      <c r="S1563" s="7" t="n"/>
      <c r="T1563" s="7" t="n"/>
      <c r="V1563" s="14" t="n"/>
      <c r="Z1563">
        <f>IF($B1563="","",IF(COUNTIF($B$2:$B1563,$B1563)=1,1,0))</f>
        <v/>
      </c>
      <c r="AA1563">
        <f>IF($Z1563=1,SUMPRODUCT(--($AC$2:$AC$3001&lt;$AC1563))+1,"")</f>
        <v/>
      </c>
      <c r="AB1563">
        <f>IF($B1563="","",IF(OR($Y1563=TRUE(),$Y1563="TRUE"),1,IF(AND($Y1563&lt;&gt;"",OR($Y1563=FALSE(),$Y1563="FALSE")),0,IF(MIN(ABS($X1563/100-Settings!$C$6),ABS($X1563/100-Settings!$G$6))&lt;=MIN(ABS($X1563/100-Settings!$C$7),ABS($X1563/100-Settings!$G$7)),1,0))))</f>
        <v/>
      </c>
      <c r="AC1563">
        <f>IF($Z1563=1,IFERROR(IF(VALUE($B1563)&lt;100000000,VALUE($B1563),1000000000),IFERROR(IF(VALUE(MID($B1563,2,20))&lt;100000000,VALUE(MID($B1563,2,20)),1000000000),1000000000))+ROW()/100000,"")</f>
        <v/>
      </c>
    </row>
    <row r="1564">
      <c r="A1564">
        <f>IF($B1564="","",IFERROR(IF(INDEX('Per Invoice'!$A$2:$A$801,MATCH($B1564,'Per Invoice'!$B$2:$B$801,0))=0,"",INDEX('Per Invoice'!$A$2:$A$801,MATCH($B1564,'Per Invoice'!$B$2:$B$801,0))),""))</f>
        <v/>
      </c>
      <c r="J1564" s="7">
        <f>IF($B1564="","",I1564*Q1564/100)</f>
        <v/>
      </c>
      <c r="N1564" s="7" t="n"/>
      <c r="O1564" s="7" t="n"/>
      <c r="P1564" s="7">
        <f>IF($B1564="","",O1564*X1564/100)</f>
        <v/>
      </c>
      <c r="Q1564" s="7">
        <f>IF($B1564="","",O1564-P1564)</f>
        <v/>
      </c>
      <c r="R1564" s="7">
        <f>IF($B1564="","",Q1564-J1564)</f>
        <v/>
      </c>
      <c r="S1564" s="7" t="n"/>
      <c r="T1564" s="7" t="n"/>
      <c r="V1564" s="14" t="n"/>
      <c r="Z1564">
        <f>IF($B1564="","",IF(COUNTIF($B$2:$B1564,$B1564)=1,1,0))</f>
        <v/>
      </c>
      <c r="AA1564">
        <f>IF($Z1564=1,SUMPRODUCT(--($AC$2:$AC$3001&lt;$AC1564))+1,"")</f>
        <v/>
      </c>
      <c r="AB1564">
        <f>IF($B1564="","",IF(OR($Y1564=TRUE(),$Y1564="TRUE"),1,IF(AND($Y1564&lt;&gt;"",OR($Y1564=FALSE(),$Y1564="FALSE")),0,IF(MIN(ABS($X1564/100-Settings!$C$6),ABS($X1564/100-Settings!$G$6))&lt;=MIN(ABS($X1564/100-Settings!$C$7),ABS($X1564/100-Settings!$G$7)),1,0))))</f>
        <v/>
      </c>
      <c r="AC1564">
        <f>IF($Z1564=1,IFERROR(IF(VALUE($B1564)&lt;100000000,VALUE($B1564),1000000000),IFERROR(IF(VALUE(MID($B1564,2,20))&lt;100000000,VALUE(MID($B1564,2,20)),1000000000),1000000000))+ROW()/100000,"")</f>
        <v/>
      </c>
    </row>
    <row r="1565">
      <c r="A1565">
        <f>IF($B1565="","",IFERROR(IF(INDEX('Per Invoice'!$A$2:$A$801,MATCH($B1565,'Per Invoice'!$B$2:$B$801,0))=0,"",INDEX('Per Invoice'!$A$2:$A$801,MATCH($B1565,'Per Invoice'!$B$2:$B$801,0))),""))</f>
        <v/>
      </c>
      <c r="J1565" s="7">
        <f>IF($B1565="","",I1565*Q1565/100)</f>
        <v/>
      </c>
      <c r="N1565" s="7" t="n"/>
      <c r="O1565" s="7" t="n"/>
      <c r="P1565" s="7">
        <f>IF($B1565="","",O1565*X1565/100)</f>
        <v/>
      </c>
      <c r="Q1565" s="7">
        <f>IF($B1565="","",O1565-P1565)</f>
        <v/>
      </c>
      <c r="R1565" s="7">
        <f>IF($B1565="","",Q1565-J1565)</f>
        <v/>
      </c>
      <c r="S1565" s="7" t="n"/>
      <c r="T1565" s="7" t="n"/>
      <c r="V1565" s="14" t="n"/>
      <c r="Z1565">
        <f>IF($B1565="","",IF(COUNTIF($B$2:$B1565,$B1565)=1,1,0))</f>
        <v/>
      </c>
      <c r="AA1565">
        <f>IF($Z1565=1,SUMPRODUCT(--($AC$2:$AC$3001&lt;$AC1565))+1,"")</f>
        <v/>
      </c>
      <c r="AB1565">
        <f>IF($B1565="","",IF(OR($Y1565=TRUE(),$Y1565="TRUE"),1,IF(AND($Y1565&lt;&gt;"",OR($Y1565=FALSE(),$Y1565="FALSE")),0,IF(MIN(ABS($X1565/100-Settings!$C$6),ABS($X1565/100-Settings!$G$6))&lt;=MIN(ABS($X1565/100-Settings!$C$7),ABS($X1565/100-Settings!$G$7)),1,0))))</f>
        <v/>
      </c>
      <c r="AC1565">
        <f>IF($Z1565=1,IFERROR(IF(VALUE($B1565)&lt;100000000,VALUE($B1565),1000000000),IFERROR(IF(VALUE(MID($B1565,2,20))&lt;100000000,VALUE(MID($B1565,2,20)),1000000000),1000000000))+ROW()/100000,"")</f>
        <v/>
      </c>
    </row>
    <row r="1566">
      <c r="A1566">
        <f>IF($B1566="","",IFERROR(IF(INDEX('Per Invoice'!$A$2:$A$801,MATCH($B1566,'Per Invoice'!$B$2:$B$801,0))=0,"",INDEX('Per Invoice'!$A$2:$A$801,MATCH($B1566,'Per Invoice'!$B$2:$B$801,0))),""))</f>
        <v/>
      </c>
      <c r="J1566" s="7">
        <f>IF($B1566="","",I1566*Q1566/100)</f>
        <v/>
      </c>
      <c r="N1566" s="7" t="n"/>
      <c r="O1566" s="7" t="n"/>
      <c r="P1566" s="7">
        <f>IF($B1566="","",O1566*X1566/100)</f>
        <v/>
      </c>
      <c r="Q1566" s="7">
        <f>IF($B1566="","",O1566-P1566)</f>
        <v/>
      </c>
      <c r="R1566" s="7">
        <f>IF($B1566="","",Q1566-J1566)</f>
        <v/>
      </c>
      <c r="S1566" s="7" t="n"/>
      <c r="T1566" s="7" t="n"/>
      <c r="V1566" s="14" t="n"/>
      <c r="Z1566">
        <f>IF($B1566="","",IF(COUNTIF($B$2:$B1566,$B1566)=1,1,0))</f>
        <v/>
      </c>
      <c r="AA1566">
        <f>IF($Z1566=1,SUMPRODUCT(--($AC$2:$AC$3001&lt;$AC1566))+1,"")</f>
        <v/>
      </c>
      <c r="AB1566">
        <f>IF($B1566="","",IF(OR($Y1566=TRUE(),$Y1566="TRUE"),1,IF(AND($Y1566&lt;&gt;"",OR($Y1566=FALSE(),$Y1566="FALSE")),0,IF(MIN(ABS($X1566/100-Settings!$C$6),ABS($X1566/100-Settings!$G$6))&lt;=MIN(ABS($X1566/100-Settings!$C$7),ABS($X1566/100-Settings!$G$7)),1,0))))</f>
        <v/>
      </c>
      <c r="AC1566">
        <f>IF($Z1566=1,IFERROR(IF(VALUE($B1566)&lt;100000000,VALUE($B1566),1000000000),IFERROR(IF(VALUE(MID($B1566,2,20))&lt;100000000,VALUE(MID($B1566,2,20)),1000000000),1000000000))+ROW()/100000,"")</f>
        <v/>
      </c>
    </row>
    <row r="1567">
      <c r="A1567">
        <f>IF($B1567="","",IFERROR(IF(INDEX('Per Invoice'!$A$2:$A$801,MATCH($B1567,'Per Invoice'!$B$2:$B$801,0))=0,"",INDEX('Per Invoice'!$A$2:$A$801,MATCH($B1567,'Per Invoice'!$B$2:$B$801,0))),""))</f>
        <v/>
      </c>
      <c r="J1567" s="7">
        <f>IF($B1567="","",I1567*Q1567/100)</f>
        <v/>
      </c>
      <c r="N1567" s="7" t="n"/>
      <c r="O1567" s="7" t="n"/>
      <c r="P1567" s="7">
        <f>IF($B1567="","",O1567*X1567/100)</f>
        <v/>
      </c>
      <c r="Q1567" s="7">
        <f>IF($B1567="","",O1567-P1567)</f>
        <v/>
      </c>
      <c r="R1567" s="7">
        <f>IF($B1567="","",Q1567-J1567)</f>
        <v/>
      </c>
      <c r="S1567" s="7" t="n"/>
      <c r="T1567" s="7" t="n"/>
      <c r="V1567" s="14" t="n"/>
      <c r="Z1567">
        <f>IF($B1567="","",IF(COUNTIF($B$2:$B1567,$B1567)=1,1,0))</f>
        <v/>
      </c>
      <c r="AA1567">
        <f>IF($Z1567=1,SUMPRODUCT(--($AC$2:$AC$3001&lt;$AC1567))+1,"")</f>
        <v/>
      </c>
      <c r="AB1567">
        <f>IF($B1567="","",IF(OR($Y1567=TRUE(),$Y1567="TRUE"),1,IF(AND($Y1567&lt;&gt;"",OR($Y1567=FALSE(),$Y1567="FALSE")),0,IF(MIN(ABS($X1567/100-Settings!$C$6),ABS($X1567/100-Settings!$G$6))&lt;=MIN(ABS($X1567/100-Settings!$C$7),ABS($X1567/100-Settings!$G$7)),1,0))))</f>
        <v/>
      </c>
      <c r="AC1567">
        <f>IF($Z1567=1,IFERROR(IF(VALUE($B1567)&lt;100000000,VALUE($B1567),1000000000),IFERROR(IF(VALUE(MID($B1567,2,20))&lt;100000000,VALUE(MID($B1567,2,20)),1000000000),1000000000))+ROW()/100000,"")</f>
        <v/>
      </c>
    </row>
    <row r="1568">
      <c r="A1568">
        <f>IF($B1568="","",IFERROR(IF(INDEX('Per Invoice'!$A$2:$A$801,MATCH($B1568,'Per Invoice'!$B$2:$B$801,0))=0,"",INDEX('Per Invoice'!$A$2:$A$801,MATCH($B1568,'Per Invoice'!$B$2:$B$801,0))),""))</f>
        <v/>
      </c>
      <c r="J1568" s="7">
        <f>IF($B1568="","",I1568*Q1568/100)</f>
        <v/>
      </c>
      <c r="N1568" s="7" t="n"/>
      <c r="O1568" s="7" t="n"/>
      <c r="P1568" s="7">
        <f>IF($B1568="","",O1568*X1568/100)</f>
        <v/>
      </c>
      <c r="Q1568" s="7">
        <f>IF($B1568="","",O1568-P1568)</f>
        <v/>
      </c>
      <c r="R1568" s="7">
        <f>IF($B1568="","",Q1568-J1568)</f>
        <v/>
      </c>
      <c r="S1568" s="7" t="n"/>
      <c r="T1568" s="7" t="n"/>
      <c r="V1568" s="14" t="n"/>
      <c r="Z1568">
        <f>IF($B1568="","",IF(COUNTIF($B$2:$B1568,$B1568)=1,1,0))</f>
        <v/>
      </c>
      <c r="AA1568">
        <f>IF($Z1568=1,SUMPRODUCT(--($AC$2:$AC$3001&lt;$AC1568))+1,"")</f>
        <v/>
      </c>
      <c r="AB1568">
        <f>IF($B1568="","",IF(OR($Y1568=TRUE(),$Y1568="TRUE"),1,IF(AND($Y1568&lt;&gt;"",OR($Y1568=FALSE(),$Y1568="FALSE")),0,IF(MIN(ABS($X1568/100-Settings!$C$6),ABS($X1568/100-Settings!$G$6))&lt;=MIN(ABS($X1568/100-Settings!$C$7),ABS($X1568/100-Settings!$G$7)),1,0))))</f>
        <v/>
      </c>
      <c r="AC1568">
        <f>IF($Z1568=1,IFERROR(IF(VALUE($B1568)&lt;100000000,VALUE($B1568),1000000000),IFERROR(IF(VALUE(MID($B1568,2,20))&lt;100000000,VALUE(MID($B1568,2,20)),1000000000),1000000000))+ROW()/100000,"")</f>
        <v/>
      </c>
    </row>
    <row r="1569">
      <c r="A1569">
        <f>IF($B1569="","",IFERROR(IF(INDEX('Per Invoice'!$A$2:$A$801,MATCH($B1569,'Per Invoice'!$B$2:$B$801,0))=0,"",INDEX('Per Invoice'!$A$2:$A$801,MATCH($B1569,'Per Invoice'!$B$2:$B$801,0))),""))</f>
        <v/>
      </c>
      <c r="J1569" s="7">
        <f>IF($B1569="","",I1569*Q1569/100)</f>
        <v/>
      </c>
      <c r="N1569" s="7" t="n"/>
      <c r="O1569" s="7" t="n"/>
      <c r="P1569" s="7">
        <f>IF($B1569="","",O1569*X1569/100)</f>
        <v/>
      </c>
      <c r="Q1569" s="7">
        <f>IF($B1569="","",O1569-P1569)</f>
        <v/>
      </c>
      <c r="R1569" s="7">
        <f>IF($B1569="","",Q1569-J1569)</f>
        <v/>
      </c>
      <c r="S1569" s="7" t="n"/>
      <c r="T1569" s="7" t="n"/>
      <c r="V1569" s="14" t="n"/>
      <c r="Z1569">
        <f>IF($B1569="","",IF(COUNTIF($B$2:$B1569,$B1569)=1,1,0))</f>
        <v/>
      </c>
      <c r="AA1569">
        <f>IF($Z1569=1,SUMPRODUCT(--($AC$2:$AC$3001&lt;$AC1569))+1,"")</f>
        <v/>
      </c>
      <c r="AB1569">
        <f>IF($B1569="","",IF(OR($Y1569=TRUE(),$Y1569="TRUE"),1,IF(AND($Y1569&lt;&gt;"",OR($Y1569=FALSE(),$Y1569="FALSE")),0,IF(MIN(ABS($X1569/100-Settings!$C$6),ABS($X1569/100-Settings!$G$6))&lt;=MIN(ABS($X1569/100-Settings!$C$7),ABS($X1569/100-Settings!$G$7)),1,0))))</f>
        <v/>
      </c>
      <c r="AC1569">
        <f>IF($Z1569=1,IFERROR(IF(VALUE($B1569)&lt;100000000,VALUE($B1569),1000000000),IFERROR(IF(VALUE(MID($B1569,2,20))&lt;100000000,VALUE(MID($B1569,2,20)),1000000000),1000000000))+ROW()/100000,"")</f>
        <v/>
      </c>
    </row>
    <row r="1570">
      <c r="A1570">
        <f>IF($B1570="","",IFERROR(IF(INDEX('Per Invoice'!$A$2:$A$801,MATCH($B1570,'Per Invoice'!$B$2:$B$801,0))=0,"",INDEX('Per Invoice'!$A$2:$A$801,MATCH($B1570,'Per Invoice'!$B$2:$B$801,0))),""))</f>
        <v/>
      </c>
      <c r="J1570" s="7">
        <f>IF($B1570="","",I1570*Q1570/100)</f>
        <v/>
      </c>
      <c r="N1570" s="7" t="n"/>
      <c r="O1570" s="7" t="n"/>
      <c r="P1570" s="7">
        <f>IF($B1570="","",O1570*X1570/100)</f>
        <v/>
      </c>
      <c r="Q1570" s="7">
        <f>IF($B1570="","",O1570-P1570)</f>
        <v/>
      </c>
      <c r="R1570" s="7">
        <f>IF($B1570="","",Q1570-J1570)</f>
        <v/>
      </c>
      <c r="S1570" s="7" t="n"/>
      <c r="T1570" s="7" t="n"/>
      <c r="V1570" s="14" t="n"/>
      <c r="Z1570">
        <f>IF($B1570="","",IF(COUNTIF($B$2:$B1570,$B1570)=1,1,0))</f>
        <v/>
      </c>
      <c r="AA1570">
        <f>IF($Z1570=1,SUMPRODUCT(--($AC$2:$AC$3001&lt;$AC1570))+1,"")</f>
        <v/>
      </c>
      <c r="AB1570">
        <f>IF($B1570="","",IF(OR($Y1570=TRUE(),$Y1570="TRUE"),1,IF(AND($Y1570&lt;&gt;"",OR($Y1570=FALSE(),$Y1570="FALSE")),0,IF(MIN(ABS($X1570/100-Settings!$C$6),ABS($X1570/100-Settings!$G$6))&lt;=MIN(ABS($X1570/100-Settings!$C$7),ABS($X1570/100-Settings!$G$7)),1,0))))</f>
        <v/>
      </c>
      <c r="AC1570">
        <f>IF($Z1570=1,IFERROR(IF(VALUE($B1570)&lt;100000000,VALUE($B1570),1000000000),IFERROR(IF(VALUE(MID($B1570,2,20))&lt;100000000,VALUE(MID($B1570,2,20)),1000000000),1000000000))+ROW()/100000,"")</f>
        <v/>
      </c>
    </row>
    <row r="1571">
      <c r="A1571">
        <f>IF($B1571="","",IFERROR(IF(INDEX('Per Invoice'!$A$2:$A$801,MATCH($B1571,'Per Invoice'!$B$2:$B$801,0))=0,"",INDEX('Per Invoice'!$A$2:$A$801,MATCH($B1571,'Per Invoice'!$B$2:$B$801,0))),""))</f>
        <v/>
      </c>
      <c r="J1571" s="7">
        <f>IF($B1571="","",I1571*Q1571/100)</f>
        <v/>
      </c>
      <c r="N1571" s="7" t="n"/>
      <c r="O1571" s="7" t="n"/>
      <c r="P1571" s="7">
        <f>IF($B1571="","",O1571*X1571/100)</f>
        <v/>
      </c>
      <c r="Q1571" s="7">
        <f>IF($B1571="","",O1571-P1571)</f>
        <v/>
      </c>
      <c r="R1571" s="7">
        <f>IF($B1571="","",Q1571-J1571)</f>
        <v/>
      </c>
      <c r="S1571" s="7" t="n"/>
      <c r="T1571" s="7" t="n"/>
      <c r="V1571" s="14" t="n"/>
      <c r="Z1571">
        <f>IF($B1571="","",IF(COUNTIF($B$2:$B1571,$B1571)=1,1,0))</f>
        <v/>
      </c>
      <c r="AA1571">
        <f>IF($Z1571=1,SUMPRODUCT(--($AC$2:$AC$3001&lt;$AC1571))+1,"")</f>
        <v/>
      </c>
      <c r="AB1571">
        <f>IF($B1571="","",IF(OR($Y1571=TRUE(),$Y1571="TRUE"),1,IF(AND($Y1571&lt;&gt;"",OR($Y1571=FALSE(),$Y1571="FALSE")),0,IF(MIN(ABS($X1571/100-Settings!$C$6),ABS($X1571/100-Settings!$G$6))&lt;=MIN(ABS($X1571/100-Settings!$C$7),ABS($X1571/100-Settings!$G$7)),1,0))))</f>
        <v/>
      </c>
      <c r="AC1571">
        <f>IF($Z1571=1,IFERROR(IF(VALUE($B1571)&lt;100000000,VALUE($B1571),1000000000),IFERROR(IF(VALUE(MID($B1571,2,20))&lt;100000000,VALUE(MID($B1571,2,20)),1000000000),1000000000))+ROW()/100000,"")</f>
        <v/>
      </c>
    </row>
    <row r="1572">
      <c r="A1572">
        <f>IF($B1572="","",IFERROR(IF(INDEX('Per Invoice'!$A$2:$A$801,MATCH($B1572,'Per Invoice'!$B$2:$B$801,0))=0,"",INDEX('Per Invoice'!$A$2:$A$801,MATCH($B1572,'Per Invoice'!$B$2:$B$801,0))),""))</f>
        <v/>
      </c>
      <c r="J1572" s="7">
        <f>IF($B1572="","",I1572*Q1572/100)</f>
        <v/>
      </c>
      <c r="N1572" s="7" t="n"/>
      <c r="O1572" s="7" t="n"/>
      <c r="P1572" s="7">
        <f>IF($B1572="","",O1572*X1572/100)</f>
        <v/>
      </c>
      <c r="Q1572" s="7">
        <f>IF($B1572="","",O1572-P1572)</f>
        <v/>
      </c>
      <c r="R1572" s="7">
        <f>IF($B1572="","",Q1572-J1572)</f>
        <v/>
      </c>
      <c r="S1572" s="7" t="n"/>
      <c r="T1572" s="7" t="n"/>
      <c r="V1572" s="14" t="n"/>
      <c r="Z1572">
        <f>IF($B1572="","",IF(COUNTIF($B$2:$B1572,$B1572)=1,1,0))</f>
        <v/>
      </c>
      <c r="AA1572">
        <f>IF($Z1572=1,SUMPRODUCT(--($AC$2:$AC$3001&lt;$AC1572))+1,"")</f>
        <v/>
      </c>
      <c r="AB1572">
        <f>IF($B1572="","",IF(OR($Y1572=TRUE(),$Y1572="TRUE"),1,IF(AND($Y1572&lt;&gt;"",OR($Y1572=FALSE(),$Y1572="FALSE")),0,IF(MIN(ABS($X1572/100-Settings!$C$6),ABS($X1572/100-Settings!$G$6))&lt;=MIN(ABS($X1572/100-Settings!$C$7),ABS($X1572/100-Settings!$G$7)),1,0))))</f>
        <v/>
      </c>
      <c r="AC1572">
        <f>IF($Z1572=1,IFERROR(IF(VALUE($B1572)&lt;100000000,VALUE($B1572),1000000000),IFERROR(IF(VALUE(MID($B1572,2,20))&lt;100000000,VALUE(MID($B1572,2,20)),1000000000),1000000000))+ROW()/100000,"")</f>
        <v/>
      </c>
    </row>
    <row r="1573">
      <c r="A1573">
        <f>IF($B1573="","",IFERROR(IF(INDEX('Per Invoice'!$A$2:$A$801,MATCH($B1573,'Per Invoice'!$B$2:$B$801,0))=0,"",INDEX('Per Invoice'!$A$2:$A$801,MATCH($B1573,'Per Invoice'!$B$2:$B$801,0))),""))</f>
        <v/>
      </c>
      <c r="J1573" s="7">
        <f>IF($B1573="","",I1573*Q1573/100)</f>
        <v/>
      </c>
      <c r="N1573" s="7" t="n"/>
      <c r="O1573" s="7" t="n"/>
      <c r="P1573" s="7">
        <f>IF($B1573="","",O1573*X1573/100)</f>
        <v/>
      </c>
      <c r="Q1573" s="7">
        <f>IF($B1573="","",O1573-P1573)</f>
        <v/>
      </c>
      <c r="R1573" s="7">
        <f>IF($B1573="","",Q1573-J1573)</f>
        <v/>
      </c>
      <c r="S1573" s="7" t="n"/>
      <c r="T1573" s="7" t="n"/>
      <c r="V1573" s="14" t="n"/>
      <c r="Z1573">
        <f>IF($B1573="","",IF(COUNTIF($B$2:$B1573,$B1573)=1,1,0))</f>
        <v/>
      </c>
      <c r="AA1573">
        <f>IF($Z1573=1,SUMPRODUCT(--($AC$2:$AC$3001&lt;$AC1573))+1,"")</f>
        <v/>
      </c>
      <c r="AB1573">
        <f>IF($B1573="","",IF(OR($Y1573=TRUE(),$Y1573="TRUE"),1,IF(AND($Y1573&lt;&gt;"",OR($Y1573=FALSE(),$Y1573="FALSE")),0,IF(MIN(ABS($X1573/100-Settings!$C$6),ABS($X1573/100-Settings!$G$6))&lt;=MIN(ABS($X1573/100-Settings!$C$7),ABS($X1573/100-Settings!$G$7)),1,0))))</f>
        <v/>
      </c>
      <c r="AC1573">
        <f>IF($Z1573=1,IFERROR(IF(VALUE($B1573)&lt;100000000,VALUE($B1573),1000000000),IFERROR(IF(VALUE(MID($B1573,2,20))&lt;100000000,VALUE(MID($B1573,2,20)),1000000000),1000000000))+ROW()/100000,"")</f>
        <v/>
      </c>
    </row>
    <row r="1574">
      <c r="A1574">
        <f>IF($B1574="","",IFERROR(IF(INDEX('Per Invoice'!$A$2:$A$801,MATCH($B1574,'Per Invoice'!$B$2:$B$801,0))=0,"",INDEX('Per Invoice'!$A$2:$A$801,MATCH($B1574,'Per Invoice'!$B$2:$B$801,0))),""))</f>
        <v/>
      </c>
      <c r="J1574" s="7">
        <f>IF($B1574="","",I1574*Q1574/100)</f>
        <v/>
      </c>
      <c r="N1574" s="7" t="n"/>
      <c r="O1574" s="7" t="n"/>
      <c r="P1574" s="7">
        <f>IF($B1574="","",O1574*X1574/100)</f>
        <v/>
      </c>
      <c r="Q1574" s="7">
        <f>IF($B1574="","",O1574-P1574)</f>
        <v/>
      </c>
      <c r="R1574" s="7">
        <f>IF($B1574="","",Q1574-J1574)</f>
        <v/>
      </c>
      <c r="S1574" s="7" t="n"/>
      <c r="T1574" s="7" t="n"/>
      <c r="V1574" s="14" t="n"/>
      <c r="Z1574">
        <f>IF($B1574="","",IF(COUNTIF($B$2:$B1574,$B1574)=1,1,0))</f>
        <v/>
      </c>
      <c r="AA1574">
        <f>IF($Z1574=1,SUMPRODUCT(--($AC$2:$AC$3001&lt;$AC1574))+1,"")</f>
        <v/>
      </c>
      <c r="AB1574">
        <f>IF($B1574="","",IF(OR($Y1574=TRUE(),$Y1574="TRUE"),1,IF(AND($Y1574&lt;&gt;"",OR($Y1574=FALSE(),$Y1574="FALSE")),0,IF(MIN(ABS($X1574/100-Settings!$C$6),ABS($X1574/100-Settings!$G$6))&lt;=MIN(ABS($X1574/100-Settings!$C$7),ABS($X1574/100-Settings!$G$7)),1,0))))</f>
        <v/>
      </c>
      <c r="AC1574">
        <f>IF($Z1574=1,IFERROR(IF(VALUE($B1574)&lt;100000000,VALUE($B1574),1000000000),IFERROR(IF(VALUE(MID($B1574,2,20))&lt;100000000,VALUE(MID($B1574,2,20)),1000000000),1000000000))+ROW()/100000,"")</f>
        <v/>
      </c>
    </row>
    <row r="1575">
      <c r="A1575">
        <f>IF($B1575="","",IFERROR(IF(INDEX('Per Invoice'!$A$2:$A$801,MATCH($B1575,'Per Invoice'!$B$2:$B$801,0))=0,"",INDEX('Per Invoice'!$A$2:$A$801,MATCH($B1575,'Per Invoice'!$B$2:$B$801,0))),""))</f>
        <v/>
      </c>
      <c r="J1575" s="7">
        <f>IF($B1575="","",I1575*Q1575/100)</f>
        <v/>
      </c>
      <c r="N1575" s="7" t="n"/>
      <c r="O1575" s="7" t="n"/>
      <c r="P1575" s="7">
        <f>IF($B1575="","",O1575*X1575/100)</f>
        <v/>
      </c>
      <c r="Q1575" s="7">
        <f>IF($B1575="","",O1575-P1575)</f>
        <v/>
      </c>
      <c r="R1575" s="7">
        <f>IF($B1575="","",Q1575-J1575)</f>
        <v/>
      </c>
      <c r="S1575" s="7" t="n"/>
      <c r="T1575" s="7" t="n"/>
      <c r="V1575" s="14" t="n"/>
      <c r="Z1575">
        <f>IF($B1575="","",IF(COUNTIF($B$2:$B1575,$B1575)=1,1,0))</f>
        <v/>
      </c>
      <c r="AA1575">
        <f>IF($Z1575=1,SUMPRODUCT(--($AC$2:$AC$3001&lt;$AC1575))+1,"")</f>
        <v/>
      </c>
      <c r="AB1575">
        <f>IF($B1575="","",IF(OR($Y1575=TRUE(),$Y1575="TRUE"),1,IF(AND($Y1575&lt;&gt;"",OR($Y1575=FALSE(),$Y1575="FALSE")),0,IF(MIN(ABS($X1575/100-Settings!$C$6),ABS($X1575/100-Settings!$G$6))&lt;=MIN(ABS($X1575/100-Settings!$C$7),ABS($X1575/100-Settings!$G$7)),1,0))))</f>
        <v/>
      </c>
      <c r="AC1575">
        <f>IF($Z1575=1,IFERROR(IF(VALUE($B1575)&lt;100000000,VALUE($B1575),1000000000),IFERROR(IF(VALUE(MID($B1575,2,20))&lt;100000000,VALUE(MID($B1575,2,20)),1000000000),1000000000))+ROW()/100000,"")</f>
        <v/>
      </c>
    </row>
    <row r="1576">
      <c r="A1576">
        <f>IF($B1576="","",IFERROR(IF(INDEX('Per Invoice'!$A$2:$A$801,MATCH($B1576,'Per Invoice'!$B$2:$B$801,0))=0,"",INDEX('Per Invoice'!$A$2:$A$801,MATCH($B1576,'Per Invoice'!$B$2:$B$801,0))),""))</f>
        <v/>
      </c>
      <c r="J1576" s="7">
        <f>IF($B1576="","",I1576*Q1576/100)</f>
        <v/>
      </c>
      <c r="N1576" s="7" t="n"/>
      <c r="O1576" s="7" t="n"/>
      <c r="P1576" s="7">
        <f>IF($B1576="","",O1576*X1576/100)</f>
        <v/>
      </c>
      <c r="Q1576" s="7">
        <f>IF($B1576="","",O1576-P1576)</f>
        <v/>
      </c>
      <c r="R1576" s="7">
        <f>IF($B1576="","",Q1576-J1576)</f>
        <v/>
      </c>
      <c r="S1576" s="7" t="n"/>
      <c r="T1576" s="7" t="n"/>
      <c r="V1576" s="14" t="n"/>
      <c r="Z1576">
        <f>IF($B1576="","",IF(COUNTIF($B$2:$B1576,$B1576)=1,1,0))</f>
        <v/>
      </c>
      <c r="AA1576">
        <f>IF($Z1576=1,SUMPRODUCT(--($AC$2:$AC$3001&lt;$AC1576))+1,"")</f>
        <v/>
      </c>
      <c r="AB1576">
        <f>IF($B1576="","",IF(OR($Y1576=TRUE(),$Y1576="TRUE"),1,IF(AND($Y1576&lt;&gt;"",OR($Y1576=FALSE(),$Y1576="FALSE")),0,IF(MIN(ABS($X1576/100-Settings!$C$6),ABS($X1576/100-Settings!$G$6))&lt;=MIN(ABS($X1576/100-Settings!$C$7),ABS($X1576/100-Settings!$G$7)),1,0))))</f>
        <v/>
      </c>
      <c r="AC1576">
        <f>IF($Z1576=1,IFERROR(IF(VALUE($B1576)&lt;100000000,VALUE($B1576),1000000000),IFERROR(IF(VALUE(MID($B1576,2,20))&lt;100000000,VALUE(MID($B1576,2,20)),1000000000),1000000000))+ROW()/100000,"")</f>
        <v/>
      </c>
    </row>
    <row r="1577">
      <c r="A1577">
        <f>IF($B1577="","",IFERROR(IF(INDEX('Per Invoice'!$A$2:$A$801,MATCH($B1577,'Per Invoice'!$B$2:$B$801,0))=0,"",INDEX('Per Invoice'!$A$2:$A$801,MATCH($B1577,'Per Invoice'!$B$2:$B$801,0))),""))</f>
        <v/>
      </c>
      <c r="J1577" s="7">
        <f>IF($B1577="","",I1577*Q1577/100)</f>
        <v/>
      </c>
      <c r="N1577" s="7" t="n"/>
      <c r="O1577" s="7" t="n"/>
      <c r="P1577" s="7">
        <f>IF($B1577="","",O1577*X1577/100)</f>
        <v/>
      </c>
      <c r="Q1577" s="7">
        <f>IF($B1577="","",O1577-P1577)</f>
        <v/>
      </c>
      <c r="R1577" s="7">
        <f>IF($B1577="","",Q1577-J1577)</f>
        <v/>
      </c>
      <c r="S1577" s="7" t="n"/>
      <c r="T1577" s="7" t="n"/>
      <c r="V1577" s="14" t="n"/>
      <c r="Z1577">
        <f>IF($B1577="","",IF(COUNTIF($B$2:$B1577,$B1577)=1,1,0))</f>
        <v/>
      </c>
      <c r="AA1577">
        <f>IF($Z1577=1,SUMPRODUCT(--($AC$2:$AC$3001&lt;$AC1577))+1,"")</f>
        <v/>
      </c>
      <c r="AB1577">
        <f>IF($B1577="","",IF(OR($Y1577=TRUE(),$Y1577="TRUE"),1,IF(AND($Y1577&lt;&gt;"",OR($Y1577=FALSE(),$Y1577="FALSE")),0,IF(MIN(ABS($X1577/100-Settings!$C$6),ABS($X1577/100-Settings!$G$6))&lt;=MIN(ABS($X1577/100-Settings!$C$7),ABS($X1577/100-Settings!$G$7)),1,0))))</f>
        <v/>
      </c>
      <c r="AC1577">
        <f>IF($Z1577=1,IFERROR(IF(VALUE($B1577)&lt;100000000,VALUE($B1577),1000000000),IFERROR(IF(VALUE(MID($B1577,2,20))&lt;100000000,VALUE(MID($B1577,2,20)),1000000000),1000000000))+ROW()/100000,"")</f>
        <v/>
      </c>
    </row>
    <row r="1578">
      <c r="A1578">
        <f>IF($B1578="","",IFERROR(IF(INDEX('Per Invoice'!$A$2:$A$801,MATCH($B1578,'Per Invoice'!$B$2:$B$801,0))=0,"",INDEX('Per Invoice'!$A$2:$A$801,MATCH($B1578,'Per Invoice'!$B$2:$B$801,0))),""))</f>
        <v/>
      </c>
      <c r="J1578" s="7">
        <f>IF($B1578="","",I1578*Q1578/100)</f>
        <v/>
      </c>
      <c r="N1578" s="7" t="n"/>
      <c r="O1578" s="7" t="n"/>
      <c r="P1578" s="7">
        <f>IF($B1578="","",O1578*X1578/100)</f>
        <v/>
      </c>
      <c r="Q1578" s="7">
        <f>IF($B1578="","",O1578-P1578)</f>
        <v/>
      </c>
      <c r="R1578" s="7">
        <f>IF($B1578="","",Q1578-J1578)</f>
        <v/>
      </c>
      <c r="S1578" s="7" t="n"/>
      <c r="T1578" s="7" t="n"/>
      <c r="V1578" s="14" t="n"/>
      <c r="Z1578">
        <f>IF($B1578="","",IF(COUNTIF($B$2:$B1578,$B1578)=1,1,0))</f>
        <v/>
      </c>
      <c r="AA1578">
        <f>IF($Z1578=1,SUMPRODUCT(--($AC$2:$AC$3001&lt;$AC1578))+1,"")</f>
        <v/>
      </c>
      <c r="AB1578">
        <f>IF($B1578="","",IF(OR($Y1578=TRUE(),$Y1578="TRUE"),1,IF(AND($Y1578&lt;&gt;"",OR($Y1578=FALSE(),$Y1578="FALSE")),0,IF(MIN(ABS($X1578/100-Settings!$C$6),ABS($X1578/100-Settings!$G$6))&lt;=MIN(ABS($X1578/100-Settings!$C$7),ABS($X1578/100-Settings!$G$7)),1,0))))</f>
        <v/>
      </c>
      <c r="AC1578">
        <f>IF($Z1578=1,IFERROR(IF(VALUE($B1578)&lt;100000000,VALUE($B1578),1000000000),IFERROR(IF(VALUE(MID($B1578,2,20))&lt;100000000,VALUE(MID($B1578,2,20)),1000000000),1000000000))+ROW()/100000,"")</f>
        <v/>
      </c>
    </row>
    <row r="1579">
      <c r="A1579">
        <f>IF($B1579="","",IFERROR(IF(INDEX('Per Invoice'!$A$2:$A$801,MATCH($B1579,'Per Invoice'!$B$2:$B$801,0))=0,"",INDEX('Per Invoice'!$A$2:$A$801,MATCH($B1579,'Per Invoice'!$B$2:$B$801,0))),""))</f>
        <v/>
      </c>
      <c r="J1579" s="7">
        <f>IF($B1579="","",I1579*Q1579/100)</f>
        <v/>
      </c>
      <c r="N1579" s="7" t="n"/>
      <c r="O1579" s="7" t="n"/>
      <c r="P1579" s="7">
        <f>IF($B1579="","",O1579*X1579/100)</f>
        <v/>
      </c>
      <c r="Q1579" s="7">
        <f>IF($B1579="","",O1579-P1579)</f>
        <v/>
      </c>
      <c r="R1579" s="7">
        <f>IF($B1579="","",Q1579-J1579)</f>
        <v/>
      </c>
      <c r="S1579" s="7" t="n"/>
      <c r="T1579" s="7" t="n"/>
      <c r="V1579" s="14" t="n"/>
      <c r="Z1579">
        <f>IF($B1579="","",IF(COUNTIF($B$2:$B1579,$B1579)=1,1,0))</f>
        <v/>
      </c>
      <c r="AA1579">
        <f>IF($Z1579=1,SUMPRODUCT(--($AC$2:$AC$3001&lt;$AC1579))+1,"")</f>
        <v/>
      </c>
      <c r="AB1579">
        <f>IF($B1579="","",IF(OR($Y1579=TRUE(),$Y1579="TRUE"),1,IF(AND($Y1579&lt;&gt;"",OR($Y1579=FALSE(),$Y1579="FALSE")),0,IF(MIN(ABS($X1579/100-Settings!$C$6),ABS($X1579/100-Settings!$G$6))&lt;=MIN(ABS($X1579/100-Settings!$C$7),ABS($X1579/100-Settings!$G$7)),1,0))))</f>
        <v/>
      </c>
      <c r="AC1579">
        <f>IF($Z1579=1,IFERROR(IF(VALUE($B1579)&lt;100000000,VALUE($B1579),1000000000),IFERROR(IF(VALUE(MID($B1579,2,20))&lt;100000000,VALUE(MID($B1579,2,20)),1000000000),1000000000))+ROW()/100000,"")</f>
        <v/>
      </c>
    </row>
    <row r="1580">
      <c r="A1580">
        <f>IF($B1580="","",IFERROR(IF(INDEX('Per Invoice'!$A$2:$A$801,MATCH($B1580,'Per Invoice'!$B$2:$B$801,0))=0,"",INDEX('Per Invoice'!$A$2:$A$801,MATCH($B1580,'Per Invoice'!$B$2:$B$801,0))),""))</f>
        <v/>
      </c>
      <c r="J1580" s="7">
        <f>IF($B1580="","",I1580*Q1580/100)</f>
        <v/>
      </c>
      <c r="N1580" s="7" t="n"/>
      <c r="O1580" s="7" t="n"/>
      <c r="P1580" s="7">
        <f>IF($B1580="","",O1580*X1580/100)</f>
        <v/>
      </c>
      <c r="Q1580" s="7">
        <f>IF($B1580="","",O1580-P1580)</f>
        <v/>
      </c>
      <c r="R1580" s="7">
        <f>IF($B1580="","",Q1580-J1580)</f>
        <v/>
      </c>
      <c r="S1580" s="7" t="n"/>
      <c r="T1580" s="7" t="n"/>
      <c r="V1580" s="14" t="n"/>
      <c r="Z1580">
        <f>IF($B1580="","",IF(COUNTIF($B$2:$B1580,$B1580)=1,1,0))</f>
        <v/>
      </c>
      <c r="AA1580">
        <f>IF($Z1580=1,SUMPRODUCT(--($AC$2:$AC$3001&lt;$AC1580))+1,"")</f>
        <v/>
      </c>
      <c r="AB1580">
        <f>IF($B1580="","",IF(OR($Y1580=TRUE(),$Y1580="TRUE"),1,IF(AND($Y1580&lt;&gt;"",OR($Y1580=FALSE(),$Y1580="FALSE")),0,IF(MIN(ABS($X1580/100-Settings!$C$6),ABS($X1580/100-Settings!$G$6))&lt;=MIN(ABS($X1580/100-Settings!$C$7),ABS($X1580/100-Settings!$G$7)),1,0))))</f>
        <v/>
      </c>
      <c r="AC1580">
        <f>IF($Z1580=1,IFERROR(IF(VALUE($B1580)&lt;100000000,VALUE($B1580),1000000000),IFERROR(IF(VALUE(MID($B1580,2,20))&lt;100000000,VALUE(MID($B1580,2,20)),1000000000),1000000000))+ROW()/100000,"")</f>
        <v/>
      </c>
    </row>
    <row r="1581">
      <c r="A1581">
        <f>IF($B1581="","",IFERROR(IF(INDEX('Per Invoice'!$A$2:$A$801,MATCH($B1581,'Per Invoice'!$B$2:$B$801,0))=0,"",INDEX('Per Invoice'!$A$2:$A$801,MATCH($B1581,'Per Invoice'!$B$2:$B$801,0))),""))</f>
        <v/>
      </c>
      <c r="J1581" s="7">
        <f>IF($B1581="","",I1581*Q1581/100)</f>
        <v/>
      </c>
      <c r="N1581" s="7" t="n"/>
      <c r="O1581" s="7" t="n"/>
      <c r="P1581" s="7">
        <f>IF($B1581="","",O1581*X1581/100)</f>
        <v/>
      </c>
      <c r="Q1581" s="7">
        <f>IF($B1581="","",O1581-P1581)</f>
        <v/>
      </c>
      <c r="R1581" s="7">
        <f>IF($B1581="","",Q1581-J1581)</f>
        <v/>
      </c>
      <c r="S1581" s="7" t="n"/>
      <c r="T1581" s="7" t="n"/>
      <c r="V1581" s="14" t="n"/>
      <c r="Z1581">
        <f>IF($B1581="","",IF(COUNTIF($B$2:$B1581,$B1581)=1,1,0))</f>
        <v/>
      </c>
      <c r="AA1581">
        <f>IF($Z1581=1,SUMPRODUCT(--($AC$2:$AC$3001&lt;$AC1581))+1,"")</f>
        <v/>
      </c>
      <c r="AB1581">
        <f>IF($B1581="","",IF(OR($Y1581=TRUE(),$Y1581="TRUE"),1,IF(AND($Y1581&lt;&gt;"",OR($Y1581=FALSE(),$Y1581="FALSE")),0,IF(MIN(ABS($X1581/100-Settings!$C$6),ABS($X1581/100-Settings!$G$6))&lt;=MIN(ABS($X1581/100-Settings!$C$7),ABS($X1581/100-Settings!$G$7)),1,0))))</f>
        <v/>
      </c>
      <c r="AC1581">
        <f>IF($Z1581=1,IFERROR(IF(VALUE($B1581)&lt;100000000,VALUE($B1581),1000000000),IFERROR(IF(VALUE(MID($B1581,2,20))&lt;100000000,VALUE(MID($B1581,2,20)),1000000000),1000000000))+ROW()/100000,"")</f>
        <v/>
      </c>
    </row>
    <row r="1582">
      <c r="A1582">
        <f>IF($B1582="","",IFERROR(IF(INDEX('Per Invoice'!$A$2:$A$801,MATCH($B1582,'Per Invoice'!$B$2:$B$801,0))=0,"",INDEX('Per Invoice'!$A$2:$A$801,MATCH($B1582,'Per Invoice'!$B$2:$B$801,0))),""))</f>
        <v/>
      </c>
      <c r="J1582" s="7">
        <f>IF($B1582="","",I1582*Q1582/100)</f>
        <v/>
      </c>
      <c r="N1582" s="7" t="n"/>
      <c r="O1582" s="7" t="n"/>
      <c r="P1582" s="7">
        <f>IF($B1582="","",O1582*X1582/100)</f>
        <v/>
      </c>
      <c r="Q1582" s="7">
        <f>IF($B1582="","",O1582-P1582)</f>
        <v/>
      </c>
      <c r="R1582" s="7">
        <f>IF($B1582="","",Q1582-J1582)</f>
        <v/>
      </c>
      <c r="S1582" s="7" t="n"/>
      <c r="T1582" s="7" t="n"/>
      <c r="V1582" s="14" t="n"/>
      <c r="Z1582">
        <f>IF($B1582="","",IF(COUNTIF($B$2:$B1582,$B1582)=1,1,0))</f>
        <v/>
      </c>
      <c r="AA1582">
        <f>IF($Z1582=1,SUMPRODUCT(--($AC$2:$AC$3001&lt;$AC1582))+1,"")</f>
        <v/>
      </c>
      <c r="AB1582">
        <f>IF($B1582="","",IF(OR($Y1582=TRUE(),$Y1582="TRUE"),1,IF(AND($Y1582&lt;&gt;"",OR($Y1582=FALSE(),$Y1582="FALSE")),0,IF(MIN(ABS($X1582/100-Settings!$C$6),ABS($X1582/100-Settings!$G$6))&lt;=MIN(ABS($X1582/100-Settings!$C$7),ABS($X1582/100-Settings!$G$7)),1,0))))</f>
        <v/>
      </c>
      <c r="AC1582">
        <f>IF($Z1582=1,IFERROR(IF(VALUE($B1582)&lt;100000000,VALUE($B1582),1000000000),IFERROR(IF(VALUE(MID($B1582,2,20))&lt;100000000,VALUE(MID($B1582,2,20)),1000000000),1000000000))+ROW()/100000,"")</f>
        <v/>
      </c>
    </row>
    <row r="1583">
      <c r="A1583">
        <f>IF($B1583="","",IFERROR(IF(INDEX('Per Invoice'!$A$2:$A$801,MATCH($B1583,'Per Invoice'!$B$2:$B$801,0))=0,"",INDEX('Per Invoice'!$A$2:$A$801,MATCH($B1583,'Per Invoice'!$B$2:$B$801,0))),""))</f>
        <v/>
      </c>
      <c r="J1583" s="7">
        <f>IF($B1583="","",I1583*Q1583/100)</f>
        <v/>
      </c>
      <c r="N1583" s="7" t="n"/>
      <c r="O1583" s="7" t="n"/>
      <c r="P1583" s="7">
        <f>IF($B1583="","",O1583*X1583/100)</f>
        <v/>
      </c>
      <c r="Q1583" s="7">
        <f>IF($B1583="","",O1583-P1583)</f>
        <v/>
      </c>
      <c r="R1583" s="7">
        <f>IF($B1583="","",Q1583-J1583)</f>
        <v/>
      </c>
      <c r="S1583" s="7" t="n"/>
      <c r="T1583" s="7" t="n"/>
      <c r="V1583" s="14" t="n"/>
      <c r="Z1583">
        <f>IF($B1583="","",IF(COUNTIF($B$2:$B1583,$B1583)=1,1,0))</f>
        <v/>
      </c>
      <c r="AA1583">
        <f>IF($Z1583=1,SUMPRODUCT(--($AC$2:$AC$3001&lt;$AC1583))+1,"")</f>
        <v/>
      </c>
      <c r="AB1583">
        <f>IF($B1583="","",IF(OR($Y1583=TRUE(),$Y1583="TRUE"),1,IF(AND($Y1583&lt;&gt;"",OR($Y1583=FALSE(),$Y1583="FALSE")),0,IF(MIN(ABS($X1583/100-Settings!$C$6),ABS($X1583/100-Settings!$G$6))&lt;=MIN(ABS($X1583/100-Settings!$C$7),ABS($X1583/100-Settings!$G$7)),1,0))))</f>
        <v/>
      </c>
      <c r="AC1583">
        <f>IF($Z1583=1,IFERROR(IF(VALUE($B1583)&lt;100000000,VALUE($B1583),1000000000),IFERROR(IF(VALUE(MID($B1583,2,20))&lt;100000000,VALUE(MID($B1583,2,20)),1000000000),1000000000))+ROW()/100000,"")</f>
        <v/>
      </c>
    </row>
    <row r="1584">
      <c r="A1584">
        <f>IF($B1584="","",IFERROR(IF(INDEX('Per Invoice'!$A$2:$A$801,MATCH($B1584,'Per Invoice'!$B$2:$B$801,0))=0,"",INDEX('Per Invoice'!$A$2:$A$801,MATCH($B1584,'Per Invoice'!$B$2:$B$801,0))),""))</f>
        <v/>
      </c>
      <c r="J1584" s="7">
        <f>IF($B1584="","",I1584*Q1584/100)</f>
        <v/>
      </c>
      <c r="N1584" s="7" t="n"/>
      <c r="O1584" s="7" t="n"/>
      <c r="P1584" s="7">
        <f>IF($B1584="","",O1584*X1584/100)</f>
        <v/>
      </c>
      <c r="Q1584" s="7">
        <f>IF($B1584="","",O1584-P1584)</f>
        <v/>
      </c>
      <c r="R1584" s="7">
        <f>IF($B1584="","",Q1584-J1584)</f>
        <v/>
      </c>
      <c r="S1584" s="7" t="n"/>
      <c r="T1584" s="7" t="n"/>
      <c r="V1584" s="14" t="n"/>
      <c r="Z1584">
        <f>IF($B1584="","",IF(COUNTIF($B$2:$B1584,$B1584)=1,1,0))</f>
        <v/>
      </c>
      <c r="AA1584">
        <f>IF($Z1584=1,SUMPRODUCT(--($AC$2:$AC$3001&lt;$AC1584))+1,"")</f>
        <v/>
      </c>
      <c r="AB1584">
        <f>IF($B1584="","",IF(OR($Y1584=TRUE(),$Y1584="TRUE"),1,IF(AND($Y1584&lt;&gt;"",OR($Y1584=FALSE(),$Y1584="FALSE")),0,IF(MIN(ABS($X1584/100-Settings!$C$6),ABS($X1584/100-Settings!$G$6))&lt;=MIN(ABS($X1584/100-Settings!$C$7),ABS($X1584/100-Settings!$G$7)),1,0))))</f>
        <v/>
      </c>
      <c r="AC1584">
        <f>IF($Z1584=1,IFERROR(IF(VALUE($B1584)&lt;100000000,VALUE($B1584),1000000000),IFERROR(IF(VALUE(MID($B1584,2,20))&lt;100000000,VALUE(MID($B1584,2,20)),1000000000),1000000000))+ROW()/100000,"")</f>
        <v/>
      </c>
    </row>
    <row r="1585">
      <c r="A1585">
        <f>IF($B1585="","",IFERROR(IF(INDEX('Per Invoice'!$A$2:$A$801,MATCH($B1585,'Per Invoice'!$B$2:$B$801,0))=0,"",INDEX('Per Invoice'!$A$2:$A$801,MATCH($B1585,'Per Invoice'!$B$2:$B$801,0))),""))</f>
        <v/>
      </c>
      <c r="J1585" s="7">
        <f>IF($B1585="","",I1585*Q1585/100)</f>
        <v/>
      </c>
      <c r="N1585" s="7" t="n"/>
      <c r="O1585" s="7" t="n"/>
      <c r="P1585" s="7">
        <f>IF($B1585="","",O1585*X1585/100)</f>
        <v/>
      </c>
      <c r="Q1585" s="7">
        <f>IF($B1585="","",O1585-P1585)</f>
        <v/>
      </c>
      <c r="R1585" s="7">
        <f>IF($B1585="","",Q1585-J1585)</f>
        <v/>
      </c>
      <c r="S1585" s="7" t="n"/>
      <c r="T1585" s="7" t="n"/>
      <c r="V1585" s="14" t="n"/>
      <c r="Z1585">
        <f>IF($B1585="","",IF(COUNTIF($B$2:$B1585,$B1585)=1,1,0))</f>
        <v/>
      </c>
      <c r="AA1585">
        <f>IF($Z1585=1,SUMPRODUCT(--($AC$2:$AC$3001&lt;$AC1585))+1,"")</f>
        <v/>
      </c>
      <c r="AB1585">
        <f>IF($B1585="","",IF(OR($Y1585=TRUE(),$Y1585="TRUE"),1,IF(AND($Y1585&lt;&gt;"",OR($Y1585=FALSE(),$Y1585="FALSE")),0,IF(MIN(ABS($X1585/100-Settings!$C$6),ABS($X1585/100-Settings!$G$6))&lt;=MIN(ABS($X1585/100-Settings!$C$7),ABS($X1585/100-Settings!$G$7)),1,0))))</f>
        <v/>
      </c>
      <c r="AC1585">
        <f>IF($Z1585=1,IFERROR(IF(VALUE($B1585)&lt;100000000,VALUE($B1585),1000000000),IFERROR(IF(VALUE(MID($B1585,2,20))&lt;100000000,VALUE(MID($B1585,2,20)),1000000000),1000000000))+ROW()/100000,"")</f>
        <v/>
      </c>
    </row>
    <row r="1586">
      <c r="A1586">
        <f>IF($B1586="","",IFERROR(IF(INDEX('Per Invoice'!$A$2:$A$801,MATCH($B1586,'Per Invoice'!$B$2:$B$801,0))=0,"",INDEX('Per Invoice'!$A$2:$A$801,MATCH($B1586,'Per Invoice'!$B$2:$B$801,0))),""))</f>
        <v/>
      </c>
      <c r="J1586" s="7">
        <f>IF($B1586="","",I1586*Q1586/100)</f>
        <v/>
      </c>
      <c r="N1586" s="7" t="n"/>
      <c r="O1586" s="7" t="n"/>
      <c r="P1586" s="7">
        <f>IF($B1586="","",O1586*X1586/100)</f>
        <v/>
      </c>
      <c r="Q1586" s="7">
        <f>IF($B1586="","",O1586-P1586)</f>
        <v/>
      </c>
      <c r="R1586" s="7">
        <f>IF($B1586="","",Q1586-J1586)</f>
        <v/>
      </c>
      <c r="S1586" s="7" t="n"/>
      <c r="T1586" s="7" t="n"/>
      <c r="V1586" s="14" t="n"/>
      <c r="Z1586">
        <f>IF($B1586="","",IF(COUNTIF($B$2:$B1586,$B1586)=1,1,0))</f>
        <v/>
      </c>
      <c r="AA1586">
        <f>IF($Z1586=1,SUMPRODUCT(--($AC$2:$AC$3001&lt;$AC1586))+1,"")</f>
        <v/>
      </c>
      <c r="AB1586">
        <f>IF($B1586="","",IF(OR($Y1586=TRUE(),$Y1586="TRUE"),1,IF(AND($Y1586&lt;&gt;"",OR($Y1586=FALSE(),$Y1586="FALSE")),0,IF(MIN(ABS($X1586/100-Settings!$C$6),ABS($X1586/100-Settings!$G$6))&lt;=MIN(ABS($X1586/100-Settings!$C$7),ABS($X1586/100-Settings!$G$7)),1,0))))</f>
        <v/>
      </c>
      <c r="AC1586">
        <f>IF($Z1586=1,IFERROR(IF(VALUE($B1586)&lt;100000000,VALUE($B1586),1000000000),IFERROR(IF(VALUE(MID($B1586,2,20))&lt;100000000,VALUE(MID($B1586,2,20)),1000000000),1000000000))+ROW()/100000,"")</f>
        <v/>
      </c>
    </row>
    <row r="1587">
      <c r="A1587">
        <f>IF($B1587="","",IFERROR(IF(INDEX('Per Invoice'!$A$2:$A$801,MATCH($B1587,'Per Invoice'!$B$2:$B$801,0))=0,"",INDEX('Per Invoice'!$A$2:$A$801,MATCH($B1587,'Per Invoice'!$B$2:$B$801,0))),""))</f>
        <v/>
      </c>
      <c r="J1587" s="7">
        <f>IF($B1587="","",I1587*Q1587/100)</f>
        <v/>
      </c>
      <c r="N1587" s="7" t="n"/>
      <c r="O1587" s="7" t="n"/>
      <c r="P1587" s="7">
        <f>IF($B1587="","",O1587*X1587/100)</f>
        <v/>
      </c>
      <c r="Q1587" s="7">
        <f>IF($B1587="","",O1587-P1587)</f>
        <v/>
      </c>
      <c r="R1587" s="7">
        <f>IF($B1587="","",Q1587-J1587)</f>
        <v/>
      </c>
      <c r="S1587" s="7" t="n"/>
      <c r="T1587" s="7" t="n"/>
      <c r="V1587" s="14" t="n"/>
      <c r="Z1587">
        <f>IF($B1587="","",IF(COUNTIF($B$2:$B1587,$B1587)=1,1,0))</f>
        <v/>
      </c>
      <c r="AA1587">
        <f>IF($Z1587=1,SUMPRODUCT(--($AC$2:$AC$3001&lt;$AC1587))+1,"")</f>
        <v/>
      </c>
      <c r="AB1587">
        <f>IF($B1587="","",IF(OR($Y1587=TRUE(),$Y1587="TRUE"),1,IF(AND($Y1587&lt;&gt;"",OR($Y1587=FALSE(),$Y1587="FALSE")),0,IF(MIN(ABS($X1587/100-Settings!$C$6),ABS($X1587/100-Settings!$G$6))&lt;=MIN(ABS($X1587/100-Settings!$C$7),ABS($X1587/100-Settings!$G$7)),1,0))))</f>
        <v/>
      </c>
      <c r="AC1587">
        <f>IF($Z1587=1,IFERROR(IF(VALUE($B1587)&lt;100000000,VALUE($B1587),1000000000),IFERROR(IF(VALUE(MID($B1587,2,20))&lt;100000000,VALUE(MID($B1587,2,20)),1000000000),1000000000))+ROW()/100000,"")</f>
        <v/>
      </c>
    </row>
    <row r="1588">
      <c r="A1588">
        <f>IF($B1588="","",IFERROR(IF(INDEX('Per Invoice'!$A$2:$A$801,MATCH($B1588,'Per Invoice'!$B$2:$B$801,0))=0,"",INDEX('Per Invoice'!$A$2:$A$801,MATCH($B1588,'Per Invoice'!$B$2:$B$801,0))),""))</f>
        <v/>
      </c>
      <c r="J1588" s="7">
        <f>IF($B1588="","",I1588*Q1588/100)</f>
        <v/>
      </c>
      <c r="N1588" s="7" t="n"/>
      <c r="O1588" s="7" t="n"/>
      <c r="P1588" s="7">
        <f>IF($B1588="","",O1588*X1588/100)</f>
        <v/>
      </c>
      <c r="Q1588" s="7">
        <f>IF($B1588="","",O1588-P1588)</f>
        <v/>
      </c>
      <c r="R1588" s="7">
        <f>IF($B1588="","",Q1588-J1588)</f>
        <v/>
      </c>
      <c r="S1588" s="7" t="n"/>
      <c r="T1588" s="7" t="n"/>
      <c r="V1588" s="14" t="n"/>
      <c r="Z1588">
        <f>IF($B1588="","",IF(COUNTIF($B$2:$B1588,$B1588)=1,1,0))</f>
        <v/>
      </c>
      <c r="AA1588">
        <f>IF($Z1588=1,SUMPRODUCT(--($AC$2:$AC$3001&lt;$AC1588))+1,"")</f>
        <v/>
      </c>
      <c r="AB1588">
        <f>IF($B1588="","",IF(OR($Y1588=TRUE(),$Y1588="TRUE"),1,IF(AND($Y1588&lt;&gt;"",OR($Y1588=FALSE(),$Y1588="FALSE")),0,IF(MIN(ABS($X1588/100-Settings!$C$6),ABS($X1588/100-Settings!$G$6))&lt;=MIN(ABS($X1588/100-Settings!$C$7),ABS($X1588/100-Settings!$G$7)),1,0))))</f>
        <v/>
      </c>
      <c r="AC1588">
        <f>IF($Z1588=1,IFERROR(IF(VALUE($B1588)&lt;100000000,VALUE($B1588),1000000000),IFERROR(IF(VALUE(MID($B1588,2,20))&lt;100000000,VALUE(MID($B1588,2,20)),1000000000),1000000000))+ROW()/100000,"")</f>
        <v/>
      </c>
    </row>
    <row r="1589">
      <c r="A1589">
        <f>IF($B1589="","",IFERROR(IF(INDEX('Per Invoice'!$A$2:$A$801,MATCH($B1589,'Per Invoice'!$B$2:$B$801,0))=0,"",INDEX('Per Invoice'!$A$2:$A$801,MATCH($B1589,'Per Invoice'!$B$2:$B$801,0))),""))</f>
        <v/>
      </c>
      <c r="J1589" s="7">
        <f>IF($B1589="","",I1589*Q1589/100)</f>
        <v/>
      </c>
      <c r="N1589" s="7" t="n"/>
      <c r="O1589" s="7" t="n"/>
      <c r="P1589" s="7">
        <f>IF($B1589="","",O1589*X1589/100)</f>
        <v/>
      </c>
      <c r="Q1589" s="7">
        <f>IF($B1589="","",O1589-P1589)</f>
        <v/>
      </c>
      <c r="R1589" s="7">
        <f>IF($B1589="","",Q1589-J1589)</f>
        <v/>
      </c>
      <c r="S1589" s="7" t="n"/>
      <c r="T1589" s="7" t="n"/>
      <c r="V1589" s="14" t="n"/>
      <c r="Z1589">
        <f>IF($B1589="","",IF(COUNTIF($B$2:$B1589,$B1589)=1,1,0))</f>
        <v/>
      </c>
      <c r="AA1589">
        <f>IF($Z1589=1,SUMPRODUCT(--($AC$2:$AC$3001&lt;$AC1589))+1,"")</f>
        <v/>
      </c>
      <c r="AB1589">
        <f>IF($B1589="","",IF(OR($Y1589=TRUE(),$Y1589="TRUE"),1,IF(AND($Y1589&lt;&gt;"",OR($Y1589=FALSE(),$Y1589="FALSE")),0,IF(MIN(ABS($X1589/100-Settings!$C$6),ABS($X1589/100-Settings!$G$6))&lt;=MIN(ABS($X1589/100-Settings!$C$7),ABS($X1589/100-Settings!$G$7)),1,0))))</f>
        <v/>
      </c>
      <c r="AC1589">
        <f>IF($Z1589=1,IFERROR(IF(VALUE($B1589)&lt;100000000,VALUE($B1589),1000000000),IFERROR(IF(VALUE(MID($B1589,2,20))&lt;100000000,VALUE(MID($B1589,2,20)),1000000000),1000000000))+ROW()/100000,"")</f>
        <v/>
      </c>
    </row>
    <row r="1590">
      <c r="A1590">
        <f>IF($B1590="","",IFERROR(IF(INDEX('Per Invoice'!$A$2:$A$801,MATCH($B1590,'Per Invoice'!$B$2:$B$801,0))=0,"",INDEX('Per Invoice'!$A$2:$A$801,MATCH($B1590,'Per Invoice'!$B$2:$B$801,0))),""))</f>
        <v/>
      </c>
      <c r="J1590" s="7">
        <f>IF($B1590="","",I1590*Q1590/100)</f>
        <v/>
      </c>
      <c r="N1590" s="7" t="n"/>
      <c r="O1590" s="7" t="n"/>
      <c r="P1590" s="7">
        <f>IF($B1590="","",O1590*X1590/100)</f>
        <v/>
      </c>
      <c r="Q1590" s="7">
        <f>IF($B1590="","",O1590-P1590)</f>
        <v/>
      </c>
      <c r="R1590" s="7">
        <f>IF($B1590="","",Q1590-J1590)</f>
        <v/>
      </c>
      <c r="S1590" s="7" t="n"/>
      <c r="T1590" s="7" t="n"/>
      <c r="V1590" s="14" t="n"/>
      <c r="Z1590">
        <f>IF($B1590="","",IF(COUNTIF($B$2:$B1590,$B1590)=1,1,0))</f>
        <v/>
      </c>
      <c r="AA1590">
        <f>IF($Z1590=1,SUMPRODUCT(--($AC$2:$AC$3001&lt;$AC1590))+1,"")</f>
        <v/>
      </c>
      <c r="AB1590">
        <f>IF($B1590="","",IF(OR($Y1590=TRUE(),$Y1590="TRUE"),1,IF(AND($Y1590&lt;&gt;"",OR($Y1590=FALSE(),$Y1590="FALSE")),0,IF(MIN(ABS($X1590/100-Settings!$C$6),ABS($X1590/100-Settings!$G$6))&lt;=MIN(ABS($X1590/100-Settings!$C$7),ABS($X1590/100-Settings!$G$7)),1,0))))</f>
        <v/>
      </c>
      <c r="AC1590">
        <f>IF($Z1590=1,IFERROR(IF(VALUE($B1590)&lt;100000000,VALUE($B1590),1000000000),IFERROR(IF(VALUE(MID($B1590,2,20))&lt;100000000,VALUE(MID($B1590,2,20)),1000000000),1000000000))+ROW()/100000,"")</f>
        <v/>
      </c>
    </row>
    <row r="1591">
      <c r="A1591">
        <f>IF($B1591="","",IFERROR(IF(INDEX('Per Invoice'!$A$2:$A$801,MATCH($B1591,'Per Invoice'!$B$2:$B$801,0))=0,"",INDEX('Per Invoice'!$A$2:$A$801,MATCH($B1591,'Per Invoice'!$B$2:$B$801,0))),""))</f>
        <v/>
      </c>
      <c r="J1591" s="7">
        <f>IF($B1591="","",I1591*Q1591/100)</f>
        <v/>
      </c>
      <c r="N1591" s="7" t="n"/>
      <c r="O1591" s="7" t="n"/>
      <c r="P1591" s="7">
        <f>IF($B1591="","",O1591*X1591/100)</f>
        <v/>
      </c>
      <c r="Q1591" s="7">
        <f>IF($B1591="","",O1591-P1591)</f>
        <v/>
      </c>
      <c r="R1591" s="7">
        <f>IF($B1591="","",Q1591-J1591)</f>
        <v/>
      </c>
      <c r="S1591" s="7" t="n"/>
      <c r="T1591" s="7" t="n"/>
      <c r="V1591" s="14" t="n"/>
      <c r="Z1591">
        <f>IF($B1591="","",IF(COUNTIF($B$2:$B1591,$B1591)=1,1,0))</f>
        <v/>
      </c>
      <c r="AA1591">
        <f>IF($Z1591=1,SUMPRODUCT(--($AC$2:$AC$3001&lt;$AC1591))+1,"")</f>
        <v/>
      </c>
      <c r="AB1591">
        <f>IF($B1591="","",IF(OR($Y1591=TRUE(),$Y1591="TRUE"),1,IF(AND($Y1591&lt;&gt;"",OR($Y1591=FALSE(),$Y1591="FALSE")),0,IF(MIN(ABS($X1591/100-Settings!$C$6),ABS($X1591/100-Settings!$G$6))&lt;=MIN(ABS($X1591/100-Settings!$C$7),ABS($X1591/100-Settings!$G$7)),1,0))))</f>
        <v/>
      </c>
      <c r="AC1591">
        <f>IF($Z1591=1,IFERROR(IF(VALUE($B1591)&lt;100000000,VALUE($B1591),1000000000),IFERROR(IF(VALUE(MID($B1591,2,20))&lt;100000000,VALUE(MID($B1591,2,20)),1000000000),1000000000))+ROW()/100000,"")</f>
        <v/>
      </c>
    </row>
    <row r="1592">
      <c r="A1592">
        <f>IF($B1592="","",IFERROR(IF(INDEX('Per Invoice'!$A$2:$A$801,MATCH($B1592,'Per Invoice'!$B$2:$B$801,0))=0,"",INDEX('Per Invoice'!$A$2:$A$801,MATCH($B1592,'Per Invoice'!$B$2:$B$801,0))),""))</f>
        <v/>
      </c>
      <c r="J1592" s="7">
        <f>IF($B1592="","",I1592*Q1592/100)</f>
        <v/>
      </c>
      <c r="N1592" s="7" t="n"/>
      <c r="O1592" s="7" t="n"/>
      <c r="P1592" s="7">
        <f>IF($B1592="","",O1592*X1592/100)</f>
        <v/>
      </c>
      <c r="Q1592" s="7">
        <f>IF($B1592="","",O1592-P1592)</f>
        <v/>
      </c>
      <c r="R1592" s="7">
        <f>IF($B1592="","",Q1592-J1592)</f>
        <v/>
      </c>
      <c r="S1592" s="7" t="n"/>
      <c r="T1592" s="7" t="n"/>
      <c r="V1592" s="14" t="n"/>
      <c r="Z1592">
        <f>IF($B1592="","",IF(COUNTIF($B$2:$B1592,$B1592)=1,1,0))</f>
        <v/>
      </c>
      <c r="AA1592">
        <f>IF($Z1592=1,SUMPRODUCT(--($AC$2:$AC$3001&lt;$AC1592))+1,"")</f>
        <v/>
      </c>
      <c r="AB1592">
        <f>IF($B1592="","",IF(OR($Y1592=TRUE(),$Y1592="TRUE"),1,IF(AND($Y1592&lt;&gt;"",OR($Y1592=FALSE(),$Y1592="FALSE")),0,IF(MIN(ABS($X1592/100-Settings!$C$6),ABS($X1592/100-Settings!$G$6))&lt;=MIN(ABS($X1592/100-Settings!$C$7),ABS($X1592/100-Settings!$G$7)),1,0))))</f>
        <v/>
      </c>
      <c r="AC1592">
        <f>IF($Z1592=1,IFERROR(IF(VALUE($B1592)&lt;100000000,VALUE($B1592),1000000000),IFERROR(IF(VALUE(MID($B1592,2,20))&lt;100000000,VALUE(MID($B1592,2,20)),1000000000),1000000000))+ROW()/100000,"")</f>
        <v/>
      </c>
    </row>
    <row r="1593">
      <c r="A1593">
        <f>IF($B1593="","",IFERROR(IF(INDEX('Per Invoice'!$A$2:$A$801,MATCH($B1593,'Per Invoice'!$B$2:$B$801,0))=0,"",INDEX('Per Invoice'!$A$2:$A$801,MATCH($B1593,'Per Invoice'!$B$2:$B$801,0))),""))</f>
        <v/>
      </c>
      <c r="J1593" s="7">
        <f>IF($B1593="","",I1593*Q1593/100)</f>
        <v/>
      </c>
      <c r="N1593" s="7" t="n"/>
      <c r="O1593" s="7" t="n"/>
      <c r="P1593" s="7">
        <f>IF($B1593="","",O1593*X1593/100)</f>
        <v/>
      </c>
      <c r="Q1593" s="7">
        <f>IF($B1593="","",O1593-P1593)</f>
        <v/>
      </c>
      <c r="R1593" s="7">
        <f>IF($B1593="","",Q1593-J1593)</f>
        <v/>
      </c>
      <c r="S1593" s="7" t="n"/>
      <c r="T1593" s="7" t="n"/>
      <c r="V1593" s="14" t="n"/>
      <c r="Z1593">
        <f>IF($B1593="","",IF(COUNTIF($B$2:$B1593,$B1593)=1,1,0))</f>
        <v/>
      </c>
      <c r="AA1593">
        <f>IF($Z1593=1,SUMPRODUCT(--($AC$2:$AC$3001&lt;$AC1593))+1,"")</f>
        <v/>
      </c>
      <c r="AB1593">
        <f>IF($B1593="","",IF(OR($Y1593=TRUE(),$Y1593="TRUE"),1,IF(AND($Y1593&lt;&gt;"",OR($Y1593=FALSE(),$Y1593="FALSE")),0,IF(MIN(ABS($X1593/100-Settings!$C$6),ABS($X1593/100-Settings!$G$6))&lt;=MIN(ABS($X1593/100-Settings!$C$7),ABS($X1593/100-Settings!$G$7)),1,0))))</f>
        <v/>
      </c>
      <c r="AC1593">
        <f>IF($Z1593=1,IFERROR(IF(VALUE($B1593)&lt;100000000,VALUE($B1593),1000000000),IFERROR(IF(VALUE(MID($B1593,2,20))&lt;100000000,VALUE(MID($B1593,2,20)),1000000000),1000000000))+ROW()/100000,"")</f>
        <v/>
      </c>
    </row>
    <row r="1594">
      <c r="A1594">
        <f>IF($B1594="","",IFERROR(IF(INDEX('Per Invoice'!$A$2:$A$801,MATCH($B1594,'Per Invoice'!$B$2:$B$801,0))=0,"",INDEX('Per Invoice'!$A$2:$A$801,MATCH($B1594,'Per Invoice'!$B$2:$B$801,0))),""))</f>
        <v/>
      </c>
      <c r="J1594" s="7">
        <f>IF($B1594="","",I1594*Q1594/100)</f>
        <v/>
      </c>
      <c r="N1594" s="7" t="n"/>
      <c r="O1594" s="7" t="n"/>
      <c r="P1594" s="7">
        <f>IF($B1594="","",O1594*X1594/100)</f>
        <v/>
      </c>
      <c r="Q1594" s="7">
        <f>IF($B1594="","",O1594-P1594)</f>
        <v/>
      </c>
      <c r="R1594" s="7">
        <f>IF($B1594="","",Q1594-J1594)</f>
        <v/>
      </c>
      <c r="S1594" s="7" t="n"/>
      <c r="T1594" s="7" t="n"/>
      <c r="V1594" s="14" t="n"/>
      <c r="Z1594">
        <f>IF($B1594="","",IF(COUNTIF($B$2:$B1594,$B1594)=1,1,0))</f>
        <v/>
      </c>
      <c r="AA1594">
        <f>IF($Z1594=1,SUMPRODUCT(--($AC$2:$AC$3001&lt;$AC1594))+1,"")</f>
        <v/>
      </c>
      <c r="AB1594">
        <f>IF($B1594="","",IF(OR($Y1594=TRUE(),$Y1594="TRUE"),1,IF(AND($Y1594&lt;&gt;"",OR($Y1594=FALSE(),$Y1594="FALSE")),0,IF(MIN(ABS($X1594/100-Settings!$C$6),ABS($X1594/100-Settings!$G$6))&lt;=MIN(ABS($X1594/100-Settings!$C$7),ABS($X1594/100-Settings!$G$7)),1,0))))</f>
        <v/>
      </c>
      <c r="AC1594">
        <f>IF($Z1594=1,IFERROR(IF(VALUE($B1594)&lt;100000000,VALUE($B1594),1000000000),IFERROR(IF(VALUE(MID($B1594,2,20))&lt;100000000,VALUE(MID($B1594,2,20)),1000000000),1000000000))+ROW()/100000,"")</f>
        <v/>
      </c>
    </row>
    <row r="1595">
      <c r="A1595">
        <f>IF($B1595="","",IFERROR(IF(INDEX('Per Invoice'!$A$2:$A$801,MATCH($B1595,'Per Invoice'!$B$2:$B$801,0))=0,"",INDEX('Per Invoice'!$A$2:$A$801,MATCH($B1595,'Per Invoice'!$B$2:$B$801,0))),""))</f>
        <v/>
      </c>
      <c r="J1595" s="7">
        <f>IF($B1595="","",I1595*Q1595/100)</f>
        <v/>
      </c>
      <c r="N1595" s="7" t="n"/>
      <c r="O1595" s="7" t="n"/>
      <c r="P1595" s="7">
        <f>IF($B1595="","",O1595*X1595/100)</f>
        <v/>
      </c>
      <c r="Q1595" s="7">
        <f>IF($B1595="","",O1595-P1595)</f>
        <v/>
      </c>
      <c r="R1595" s="7">
        <f>IF($B1595="","",Q1595-J1595)</f>
        <v/>
      </c>
      <c r="S1595" s="7" t="n"/>
      <c r="T1595" s="7" t="n"/>
      <c r="V1595" s="14" t="n"/>
      <c r="Z1595">
        <f>IF($B1595="","",IF(COUNTIF($B$2:$B1595,$B1595)=1,1,0))</f>
        <v/>
      </c>
      <c r="AA1595">
        <f>IF($Z1595=1,SUMPRODUCT(--($AC$2:$AC$3001&lt;$AC1595))+1,"")</f>
        <v/>
      </c>
      <c r="AB1595">
        <f>IF($B1595="","",IF(OR($Y1595=TRUE(),$Y1595="TRUE"),1,IF(AND($Y1595&lt;&gt;"",OR($Y1595=FALSE(),$Y1595="FALSE")),0,IF(MIN(ABS($X1595/100-Settings!$C$6),ABS($X1595/100-Settings!$G$6))&lt;=MIN(ABS($X1595/100-Settings!$C$7),ABS($X1595/100-Settings!$G$7)),1,0))))</f>
        <v/>
      </c>
      <c r="AC1595">
        <f>IF($Z1595=1,IFERROR(IF(VALUE($B1595)&lt;100000000,VALUE($B1595),1000000000),IFERROR(IF(VALUE(MID($B1595,2,20))&lt;100000000,VALUE(MID($B1595,2,20)),1000000000),1000000000))+ROW()/100000,"")</f>
        <v/>
      </c>
    </row>
    <row r="1596">
      <c r="A1596">
        <f>IF($B1596="","",IFERROR(IF(INDEX('Per Invoice'!$A$2:$A$801,MATCH($B1596,'Per Invoice'!$B$2:$B$801,0))=0,"",INDEX('Per Invoice'!$A$2:$A$801,MATCH($B1596,'Per Invoice'!$B$2:$B$801,0))),""))</f>
        <v/>
      </c>
      <c r="J1596" s="7">
        <f>IF($B1596="","",I1596*Q1596/100)</f>
        <v/>
      </c>
      <c r="N1596" s="7" t="n"/>
      <c r="O1596" s="7" t="n"/>
      <c r="P1596" s="7">
        <f>IF($B1596="","",O1596*X1596/100)</f>
        <v/>
      </c>
      <c r="Q1596" s="7">
        <f>IF($B1596="","",O1596-P1596)</f>
        <v/>
      </c>
      <c r="R1596" s="7">
        <f>IF($B1596="","",Q1596-J1596)</f>
        <v/>
      </c>
      <c r="S1596" s="7" t="n"/>
      <c r="T1596" s="7" t="n"/>
      <c r="V1596" s="14" t="n"/>
      <c r="Z1596">
        <f>IF($B1596="","",IF(COUNTIF($B$2:$B1596,$B1596)=1,1,0))</f>
        <v/>
      </c>
      <c r="AA1596">
        <f>IF($Z1596=1,SUMPRODUCT(--($AC$2:$AC$3001&lt;$AC1596))+1,"")</f>
        <v/>
      </c>
      <c r="AB1596">
        <f>IF($B1596="","",IF(OR($Y1596=TRUE(),$Y1596="TRUE"),1,IF(AND($Y1596&lt;&gt;"",OR($Y1596=FALSE(),$Y1596="FALSE")),0,IF(MIN(ABS($X1596/100-Settings!$C$6),ABS($X1596/100-Settings!$G$6))&lt;=MIN(ABS($X1596/100-Settings!$C$7),ABS($X1596/100-Settings!$G$7)),1,0))))</f>
        <v/>
      </c>
      <c r="AC1596">
        <f>IF($Z1596=1,IFERROR(IF(VALUE($B1596)&lt;100000000,VALUE($B1596),1000000000),IFERROR(IF(VALUE(MID($B1596,2,20))&lt;100000000,VALUE(MID($B1596,2,20)),1000000000),1000000000))+ROW()/100000,"")</f>
        <v/>
      </c>
    </row>
    <row r="1597">
      <c r="A1597">
        <f>IF($B1597="","",IFERROR(IF(INDEX('Per Invoice'!$A$2:$A$801,MATCH($B1597,'Per Invoice'!$B$2:$B$801,0))=0,"",INDEX('Per Invoice'!$A$2:$A$801,MATCH($B1597,'Per Invoice'!$B$2:$B$801,0))),""))</f>
        <v/>
      </c>
      <c r="J1597" s="7">
        <f>IF($B1597="","",I1597*Q1597/100)</f>
        <v/>
      </c>
      <c r="N1597" s="7" t="n"/>
      <c r="O1597" s="7" t="n"/>
      <c r="P1597" s="7">
        <f>IF($B1597="","",O1597*X1597/100)</f>
        <v/>
      </c>
      <c r="Q1597" s="7">
        <f>IF($B1597="","",O1597-P1597)</f>
        <v/>
      </c>
      <c r="R1597" s="7">
        <f>IF($B1597="","",Q1597-J1597)</f>
        <v/>
      </c>
      <c r="S1597" s="7" t="n"/>
      <c r="T1597" s="7" t="n"/>
      <c r="V1597" s="14" t="n"/>
      <c r="Z1597">
        <f>IF($B1597="","",IF(COUNTIF($B$2:$B1597,$B1597)=1,1,0))</f>
        <v/>
      </c>
      <c r="AA1597">
        <f>IF($Z1597=1,SUMPRODUCT(--($AC$2:$AC$3001&lt;$AC1597))+1,"")</f>
        <v/>
      </c>
      <c r="AB1597">
        <f>IF($B1597="","",IF(OR($Y1597=TRUE(),$Y1597="TRUE"),1,IF(AND($Y1597&lt;&gt;"",OR($Y1597=FALSE(),$Y1597="FALSE")),0,IF(MIN(ABS($X1597/100-Settings!$C$6),ABS($X1597/100-Settings!$G$6))&lt;=MIN(ABS($X1597/100-Settings!$C$7),ABS($X1597/100-Settings!$G$7)),1,0))))</f>
        <v/>
      </c>
      <c r="AC1597">
        <f>IF($Z1597=1,IFERROR(IF(VALUE($B1597)&lt;100000000,VALUE($B1597),1000000000),IFERROR(IF(VALUE(MID($B1597,2,20))&lt;100000000,VALUE(MID($B1597,2,20)),1000000000),1000000000))+ROW()/100000,"")</f>
        <v/>
      </c>
    </row>
    <row r="1598">
      <c r="A1598">
        <f>IF($B1598="","",IFERROR(IF(INDEX('Per Invoice'!$A$2:$A$801,MATCH($B1598,'Per Invoice'!$B$2:$B$801,0))=0,"",INDEX('Per Invoice'!$A$2:$A$801,MATCH($B1598,'Per Invoice'!$B$2:$B$801,0))),""))</f>
        <v/>
      </c>
      <c r="J1598" s="7">
        <f>IF($B1598="","",I1598*Q1598/100)</f>
        <v/>
      </c>
      <c r="N1598" s="7" t="n"/>
      <c r="O1598" s="7" t="n"/>
      <c r="P1598" s="7">
        <f>IF($B1598="","",O1598*X1598/100)</f>
        <v/>
      </c>
      <c r="Q1598" s="7">
        <f>IF($B1598="","",O1598-P1598)</f>
        <v/>
      </c>
      <c r="R1598" s="7">
        <f>IF($B1598="","",Q1598-J1598)</f>
        <v/>
      </c>
      <c r="S1598" s="7" t="n"/>
      <c r="T1598" s="7" t="n"/>
      <c r="V1598" s="14" t="n"/>
      <c r="Z1598">
        <f>IF($B1598="","",IF(COUNTIF($B$2:$B1598,$B1598)=1,1,0))</f>
        <v/>
      </c>
      <c r="AA1598">
        <f>IF($Z1598=1,SUMPRODUCT(--($AC$2:$AC$3001&lt;$AC1598))+1,"")</f>
        <v/>
      </c>
      <c r="AB1598">
        <f>IF($B1598="","",IF(OR($Y1598=TRUE(),$Y1598="TRUE"),1,IF(AND($Y1598&lt;&gt;"",OR($Y1598=FALSE(),$Y1598="FALSE")),0,IF(MIN(ABS($X1598/100-Settings!$C$6),ABS($X1598/100-Settings!$G$6))&lt;=MIN(ABS($X1598/100-Settings!$C$7),ABS($X1598/100-Settings!$G$7)),1,0))))</f>
        <v/>
      </c>
      <c r="AC1598">
        <f>IF($Z1598=1,IFERROR(IF(VALUE($B1598)&lt;100000000,VALUE($B1598),1000000000),IFERROR(IF(VALUE(MID($B1598,2,20))&lt;100000000,VALUE(MID($B1598,2,20)),1000000000),1000000000))+ROW()/100000,"")</f>
        <v/>
      </c>
    </row>
    <row r="1599">
      <c r="A1599">
        <f>IF($B1599="","",IFERROR(IF(INDEX('Per Invoice'!$A$2:$A$801,MATCH($B1599,'Per Invoice'!$B$2:$B$801,0))=0,"",INDEX('Per Invoice'!$A$2:$A$801,MATCH($B1599,'Per Invoice'!$B$2:$B$801,0))),""))</f>
        <v/>
      </c>
      <c r="J1599" s="7">
        <f>IF($B1599="","",I1599*Q1599/100)</f>
        <v/>
      </c>
      <c r="N1599" s="7" t="n"/>
      <c r="O1599" s="7" t="n"/>
      <c r="P1599" s="7">
        <f>IF($B1599="","",O1599*X1599/100)</f>
        <v/>
      </c>
      <c r="Q1599" s="7">
        <f>IF($B1599="","",O1599-P1599)</f>
        <v/>
      </c>
      <c r="R1599" s="7">
        <f>IF($B1599="","",Q1599-J1599)</f>
        <v/>
      </c>
      <c r="S1599" s="7" t="n"/>
      <c r="T1599" s="7" t="n"/>
      <c r="V1599" s="14" t="n"/>
      <c r="Z1599">
        <f>IF($B1599="","",IF(COUNTIF($B$2:$B1599,$B1599)=1,1,0))</f>
        <v/>
      </c>
      <c r="AA1599">
        <f>IF($Z1599=1,SUMPRODUCT(--($AC$2:$AC$3001&lt;$AC1599))+1,"")</f>
        <v/>
      </c>
      <c r="AB1599">
        <f>IF($B1599="","",IF(OR($Y1599=TRUE(),$Y1599="TRUE"),1,IF(AND($Y1599&lt;&gt;"",OR($Y1599=FALSE(),$Y1599="FALSE")),0,IF(MIN(ABS($X1599/100-Settings!$C$6),ABS($X1599/100-Settings!$G$6))&lt;=MIN(ABS($X1599/100-Settings!$C$7),ABS($X1599/100-Settings!$G$7)),1,0))))</f>
        <v/>
      </c>
      <c r="AC1599">
        <f>IF($Z1599=1,IFERROR(IF(VALUE($B1599)&lt;100000000,VALUE($B1599),1000000000),IFERROR(IF(VALUE(MID($B1599,2,20))&lt;100000000,VALUE(MID($B1599,2,20)),1000000000),1000000000))+ROW()/100000,"")</f>
        <v/>
      </c>
    </row>
    <row r="1600">
      <c r="A1600">
        <f>IF($B1600="","",IFERROR(IF(INDEX('Per Invoice'!$A$2:$A$801,MATCH($B1600,'Per Invoice'!$B$2:$B$801,0))=0,"",INDEX('Per Invoice'!$A$2:$A$801,MATCH($B1600,'Per Invoice'!$B$2:$B$801,0))),""))</f>
        <v/>
      </c>
      <c r="J1600" s="7">
        <f>IF($B1600="","",I1600*Q1600/100)</f>
        <v/>
      </c>
      <c r="N1600" s="7" t="n"/>
      <c r="O1600" s="7" t="n"/>
      <c r="P1600" s="7">
        <f>IF($B1600="","",O1600*X1600/100)</f>
        <v/>
      </c>
      <c r="Q1600" s="7">
        <f>IF($B1600="","",O1600-P1600)</f>
        <v/>
      </c>
      <c r="R1600" s="7">
        <f>IF($B1600="","",Q1600-J1600)</f>
        <v/>
      </c>
      <c r="S1600" s="7" t="n"/>
      <c r="T1600" s="7" t="n"/>
      <c r="V1600" s="14" t="n"/>
      <c r="Z1600">
        <f>IF($B1600="","",IF(COUNTIF($B$2:$B1600,$B1600)=1,1,0))</f>
        <v/>
      </c>
      <c r="AA1600">
        <f>IF($Z1600=1,SUMPRODUCT(--($AC$2:$AC$3001&lt;$AC1600))+1,"")</f>
        <v/>
      </c>
      <c r="AB1600">
        <f>IF($B1600="","",IF(OR($Y1600=TRUE(),$Y1600="TRUE"),1,IF(AND($Y1600&lt;&gt;"",OR($Y1600=FALSE(),$Y1600="FALSE")),0,IF(MIN(ABS($X1600/100-Settings!$C$6),ABS($X1600/100-Settings!$G$6))&lt;=MIN(ABS($X1600/100-Settings!$C$7),ABS($X1600/100-Settings!$G$7)),1,0))))</f>
        <v/>
      </c>
      <c r="AC1600">
        <f>IF($Z1600=1,IFERROR(IF(VALUE($B1600)&lt;100000000,VALUE($B1600),1000000000),IFERROR(IF(VALUE(MID($B1600,2,20))&lt;100000000,VALUE(MID($B1600,2,20)),1000000000),1000000000))+ROW()/100000,"")</f>
        <v/>
      </c>
    </row>
    <row r="1601">
      <c r="A1601">
        <f>IF($B1601="","",IFERROR(IF(INDEX('Per Invoice'!$A$2:$A$801,MATCH($B1601,'Per Invoice'!$B$2:$B$801,0))=0,"",INDEX('Per Invoice'!$A$2:$A$801,MATCH($B1601,'Per Invoice'!$B$2:$B$801,0))),""))</f>
        <v/>
      </c>
      <c r="J1601" s="7">
        <f>IF($B1601="","",I1601*Q1601/100)</f>
        <v/>
      </c>
      <c r="N1601" s="7" t="n"/>
      <c r="O1601" s="7" t="n"/>
      <c r="P1601" s="7">
        <f>IF($B1601="","",O1601*X1601/100)</f>
        <v/>
      </c>
      <c r="Q1601" s="7">
        <f>IF($B1601="","",O1601-P1601)</f>
        <v/>
      </c>
      <c r="R1601" s="7">
        <f>IF($B1601="","",Q1601-J1601)</f>
        <v/>
      </c>
      <c r="S1601" s="7" t="n"/>
      <c r="T1601" s="7" t="n"/>
      <c r="V1601" s="14" t="n"/>
      <c r="Z1601">
        <f>IF($B1601="","",IF(COUNTIF($B$2:$B1601,$B1601)=1,1,0))</f>
        <v/>
      </c>
      <c r="AA1601">
        <f>IF($Z1601=1,SUMPRODUCT(--($AC$2:$AC$3001&lt;$AC1601))+1,"")</f>
        <v/>
      </c>
      <c r="AB1601">
        <f>IF($B1601="","",IF(OR($Y1601=TRUE(),$Y1601="TRUE"),1,IF(AND($Y1601&lt;&gt;"",OR($Y1601=FALSE(),$Y1601="FALSE")),0,IF(MIN(ABS($X1601/100-Settings!$C$6),ABS($X1601/100-Settings!$G$6))&lt;=MIN(ABS($X1601/100-Settings!$C$7),ABS($X1601/100-Settings!$G$7)),1,0))))</f>
        <v/>
      </c>
      <c r="AC1601">
        <f>IF($Z1601=1,IFERROR(IF(VALUE($B1601)&lt;100000000,VALUE($B1601),1000000000),IFERROR(IF(VALUE(MID($B1601,2,20))&lt;100000000,VALUE(MID($B1601,2,20)),1000000000),1000000000))+ROW()/100000,"")</f>
        <v/>
      </c>
    </row>
    <row r="1602">
      <c r="A1602">
        <f>IF($B1602="","",IFERROR(IF(INDEX('Per Invoice'!$A$2:$A$801,MATCH($B1602,'Per Invoice'!$B$2:$B$801,0))=0,"",INDEX('Per Invoice'!$A$2:$A$801,MATCH($B1602,'Per Invoice'!$B$2:$B$801,0))),""))</f>
        <v/>
      </c>
      <c r="J1602" s="7">
        <f>IF($B1602="","",I1602*Q1602/100)</f>
        <v/>
      </c>
      <c r="N1602" s="7" t="n"/>
      <c r="O1602" s="7" t="n"/>
      <c r="P1602" s="7">
        <f>IF($B1602="","",O1602*X1602/100)</f>
        <v/>
      </c>
      <c r="Q1602" s="7">
        <f>IF($B1602="","",O1602-P1602)</f>
        <v/>
      </c>
      <c r="R1602" s="7">
        <f>IF($B1602="","",Q1602-J1602)</f>
        <v/>
      </c>
      <c r="S1602" s="7" t="n"/>
      <c r="T1602" s="7" t="n"/>
      <c r="V1602" s="14" t="n"/>
      <c r="Z1602">
        <f>IF($B1602="","",IF(COUNTIF($B$2:$B1602,$B1602)=1,1,0))</f>
        <v/>
      </c>
      <c r="AA1602">
        <f>IF($Z1602=1,SUMPRODUCT(--($AC$2:$AC$3001&lt;$AC1602))+1,"")</f>
        <v/>
      </c>
      <c r="AB1602">
        <f>IF($B1602="","",IF(OR($Y1602=TRUE(),$Y1602="TRUE"),1,IF(AND($Y1602&lt;&gt;"",OR($Y1602=FALSE(),$Y1602="FALSE")),0,IF(MIN(ABS($X1602/100-Settings!$C$6),ABS($X1602/100-Settings!$G$6))&lt;=MIN(ABS($X1602/100-Settings!$C$7),ABS($X1602/100-Settings!$G$7)),1,0))))</f>
        <v/>
      </c>
      <c r="AC1602">
        <f>IF($Z1602=1,IFERROR(IF(VALUE($B1602)&lt;100000000,VALUE($B1602),1000000000),IFERROR(IF(VALUE(MID($B1602,2,20))&lt;100000000,VALUE(MID($B1602,2,20)),1000000000),1000000000))+ROW()/100000,"")</f>
        <v/>
      </c>
    </row>
    <row r="1603">
      <c r="A1603">
        <f>IF($B1603="","",IFERROR(IF(INDEX('Per Invoice'!$A$2:$A$801,MATCH($B1603,'Per Invoice'!$B$2:$B$801,0))=0,"",INDEX('Per Invoice'!$A$2:$A$801,MATCH($B1603,'Per Invoice'!$B$2:$B$801,0))),""))</f>
        <v/>
      </c>
      <c r="J1603" s="7">
        <f>IF($B1603="","",I1603*Q1603/100)</f>
        <v/>
      </c>
      <c r="N1603" s="7" t="n"/>
      <c r="O1603" s="7" t="n"/>
      <c r="P1603" s="7">
        <f>IF($B1603="","",O1603*X1603/100)</f>
        <v/>
      </c>
      <c r="Q1603" s="7">
        <f>IF($B1603="","",O1603-P1603)</f>
        <v/>
      </c>
      <c r="R1603" s="7">
        <f>IF($B1603="","",Q1603-J1603)</f>
        <v/>
      </c>
      <c r="S1603" s="7" t="n"/>
      <c r="T1603" s="7" t="n"/>
      <c r="V1603" s="14" t="n"/>
      <c r="Z1603">
        <f>IF($B1603="","",IF(COUNTIF($B$2:$B1603,$B1603)=1,1,0))</f>
        <v/>
      </c>
      <c r="AA1603">
        <f>IF($Z1603=1,SUMPRODUCT(--($AC$2:$AC$3001&lt;$AC1603))+1,"")</f>
        <v/>
      </c>
      <c r="AB1603">
        <f>IF($B1603="","",IF(OR($Y1603=TRUE(),$Y1603="TRUE"),1,IF(AND($Y1603&lt;&gt;"",OR($Y1603=FALSE(),$Y1603="FALSE")),0,IF(MIN(ABS($X1603/100-Settings!$C$6),ABS($X1603/100-Settings!$G$6))&lt;=MIN(ABS($X1603/100-Settings!$C$7),ABS($X1603/100-Settings!$G$7)),1,0))))</f>
        <v/>
      </c>
      <c r="AC1603">
        <f>IF($Z1603=1,IFERROR(IF(VALUE($B1603)&lt;100000000,VALUE($B1603),1000000000),IFERROR(IF(VALUE(MID($B1603,2,20))&lt;100000000,VALUE(MID($B1603,2,20)),1000000000),1000000000))+ROW()/100000,"")</f>
        <v/>
      </c>
    </row>
    <row r="1604">
      <c r="A1604">
        <f>IF($B1604="","",IFERROR(IF(INDEX('Per Invoice'!$A$2:$A$801,MATCH($B1604,'Per Invoice'!$B$2:$B$801,0))=0,"",INDEX('Per Invoice'!$A$2:$A$801,MATCH($B1604,'Per Invoice'!$B$2:$B$801,0))),""))</f>
        <v/>
      </c>
      <c r="J1604" s="7">
        <f>IF($B1604="","",I1604*Q1604/100)</f>
        <v/>
      </c>
      <c r="N1604" s="7" t="n"/>
      <c r="O1604" s="7" t="n"/>
      <c r="P1604" s="7">
        <f>IF($B1604="","",O1604*X1604/100)</f>
        <v/>
      </c>
      <c r="Q1604" s="7">
        <f>IF($B1604="","",O1604-P1604)</f>
        <v/>
      </c>
      <c r="R1604" s="7">
        <f>IF($B1604="","",Q1604-J1604)</f>
        <v/>
      </c>
      <c r="S1604" s="7" t="n"/>
      <c r="T1604" s="7" t="n"/>
      <c r="V1604" s="14" t="n"/>
      <c r="Z1604">
        <f>IF($B1604="","",IF(COUNTIF($B$2:$B1604,$B1604)=1,1,0))</f>
        <v/>
      </c>
      <c r="AA1604">
        <f>IF($Z1604=1,SUMPRODUCT(--($AC$2:$AC$3001&lt;$AC1604))+1,"")</f>
        <v/>
      </c>
      <c r="AB1604">
        <f>IF($B1604="","",IF(OR($Y1604=TRUE(),$Y1604="TRUE"),1,IF(AND($Y1604&lt;&gt;"",OR($Y1604=FALSE(),$Y1604="FALSE")),0,IF(MIN(ABS($X1604/100-Settings!$C$6),ABS($X1604/100-Settings!$G$6))&lt;=MIN(ABS($X1604/100-Settings!$C$7),ABS($X1604/100-Settings!$G$7)),1,0))))</f>
        <v/>
      </c>
      <c r="AC1604">
        <f>IF($Z1604=1,IFERROR(IF(VALUE($B1604)&lt;100000000,VALUE($B1604),1000000000),IFERROR(IF(VALUE(MID($B1604,2,20))&lt;100000000,VALUE(MID($B1604,2,20)),1000000000),1000000000))+ROW()/100000,"")</f>
        <v/>
      </c>
    </row>
    <row r="1605">
      <c r="A1605">
        <f>IF($B1605="","",IFERROR(IF(INDEX('Per Invoice'!$A$2:$A$801,MATCH($B1605,'Per Invoice'!$B$2:$B$801,0))=0,"",INDEX('Per Invoice'!$A$2:$A$801,MATCH($B1605,'Per Invoice'!$B$2:$B$801,0))),""))</f>
        <v/>
      </c>
      <c r="J1605" s="7">
        <f>IF($B1605="","",I1605*Q1605/100)</f>
        <v/>
      </c>
      <c r="N1605" s="7" t="n"/>
      <c r="O1605" s="7" t="n"/>
      <c r="P1605" s="7">
        <f>IF($B1605="","",O1605*X1605/100)</f>
        <v/>
      </c>
      <c r="Q1605" s="7">
        <f>IF($B1605="","",O1605-P1605)</f>
        <v/>
      </c>
      <c r="R1605" s="7">
        <f>IF($B1605="","",Q1605-J1605)</f>
        <v/>
      </c>
      <c r="S1605" s="7" t="n"/>
      <c r="T1605" s="7" t="n"/>
      <c r="V1605" s="14" t="n"/>
      <c r="Z1605">
        <f>IF($B1605="","",IF(COUNTIF($B$2:$B1605,$B1605)=1,1,0))</f>
        <v/>
      </c>
      <c r="AA1605">
        <f>IF($Z1605=1,SUMPRODUCT(--($AC$2:$AC$3001&lt;$AC1605))+1,"")</f>
        <v/>
      </c>
      <c r="AB1605">
        <f>IF($B1605="","",IF(OR($Y1605=TRUE(),$Y1605="TRUE"),1,IF(AND($Y1605&lt;&gt;"",OR($Y1605=FALSE(),$Y1605="FALSE")),0,IF(MIN(ABS($X1605/100-Settings!$C$6),ABS($X1605/100-Settings!$G$6))&lt;=MIN(ABS($X1605/100-Settings!$C$7),ABS($X1605/100-Settings!$G$7)),1,0))))</f>
        <v/>
      </c>
      <c r="AC1605">
        <f>IF($Z1605=1,IFERROR(IF(VALUE($B1605)&lt;100000000,VALUE($B1605),1000000000),IFERROR(IF(VALUE(MID($B1605,2,20))&lt;100000000,VALUE(MID($B1605,2,20)),1000000000),1000000000))+ROW()/100000,"")</f>
        <v/>
      </c>
    </row>
    <row r="1606">
      <c r="A1606">
        <f>IF($B1606="","",IFERROR(IF(INDEX('Per Invoice'!$A$2:$A$801,MATCH($B1606,'Per Invoice'!$B$2:$B$801,0))=0,"",INDEX('Per Invoice'!$A$2:$A$801,MATCH($B1606,'Per Invoice'!$B$2:$B$801,0))),""))</f>
        <v/>
      </c>
      <c r="J1606" s="7">
        <f>IF($B1606="","",I1606*Q1606/100)</f>
        <v/>
      </c>
      <c r="N1606" s="7" t="n"/>
      <c r="O1606" s="7" t="n"/>
      <c r="P1606" s="7">
        <f>IF($B1606="","",O1606*X1606/100)</f>
        <v/>
      </c>
      <c r="Q1606" s="7">
        <f>IF($B1606="","",O1606-P1606)</f>
        <v/>
      </c>
      <c r="R1606" s="7">
        <f>IF($B1606="","",Q1606-J1606)</f>
        <v/>
      </c>
      <c r="S1606" s="7" t="n"/>
      <c r="T1606" s="7" t="n"/>
      <c r="V1606" s="14" t="n"/>
      <c r="Z1606">
        <f>IF($B1606="","",IF(COUNTIF($B$2:$B1606,$B1606)=1,1,0))</f>
        <v/>
      </c>
      <c r="AA1606">
        <f>IF($Z1606=1,SUMPRODUCT(--($AC$2:$AC$3001&lt;$AC1606))+1,"")</f>
        <v/>
      </c>
      <c r="AB1606">
        <f>IF($B1606="","",IF(OR($Y1606=TRUE(),$Y1606="TRUE"),1,IF(AND($Y1606&lt;&gt;"",OR($Y1606=FALSE(),$Y1606="FALSE")),0,IF(MIN(ABS($X1606/100-Settings!$C$6),ABS($X1606/100-Settings!$G$6))&lt;=MIN(ABS($X1606/100-Settings!$C$7),ABS($X1606/100-Settings!$G$7)),1,0))))</f>
        <v/>
      </c>
      <c r="AC1606">
        <f>IF($Z1606=1,IFERROR(IF(VALUE($B1606)&lt;100000000,VALUE($B1606),1000000000),IFERROR(IF(VALUE(MID($B1606,2,20))&lt;100000000,VALUE(MID($B1606,2,20)),1000000000),1000000000))+ROW()/100000,"")</f>
        <v/>
      </c>
    </row>
    <row r="1607">
      <c r="A1607">
        <f>IF($B1607="","",IFERROR(IF(INDEX('Per Invoice'!$A$2:$A$801,MATCH($B1607,'Per Invoice'!$B$2:$B$801,0))=0,"",INDEX('Per Invoice'!$A$2:$A$801,MATCH($B1607,'Per Invoice'!$B$2:$B$801,0))),""))</f>
        <v/>
      </c>
      <c r="J1607" s="7">
        <f>IF($B1607="","",I1607*Q1607/100)</f>
        <v/>
      </c>
      <c r="N1607" s="7" t="n"/>
      <c r="O1607" s="7" t="n"/>
      <c r="P1607" s="7">
        <f>IF($B1607="","",O1607*X1607/100)</f>
        <v/>
      </c>
      <c r="Q1607" s="7">
        <f>IF($B1607="","",O1607-P1607)</f>
        <v/>
      </c>
      <c r="R1607" s="7">
        <f>IF($B1607="","",Q1607-J1607)</f>
        <v/>
      </c>
      <c r="S1607" s="7" t="n"/>
      <c r="T1607" s="7" t="n"/>
      <c r="V1607" s="14" t="n"/>
      <c r="Z1607">
        <f>IF($B1607="","",IF(COUNTIF($B$2:$B1607,$B1607)=1,1,0))</f>
        <v/>
      </c>
      <c r="AA1607">
        <f>IF($Z1607=1,SUMPRODUCT(--($AC$2:$AC$3001&lt;$AC1607))+1,"")</f>
        <v/>
      </c>
      <c r="AB1607">
        <f>IF($B1607="","",IF(OR($Y1607=TRUE(),$Y1607="TRUE"),1,IF(AND($Y1607&lt;&gt;"",OR($Y1607=FALSE(),$Y1607="FALSE")),0,IF(MIN(ABS($X1607/100-Settings!$C$6),ABS($X1607/100-Settings!$G$6))&lt;=MIN(ABS($X1607/100-Settings!$C$7),ABS($X1607/100-Settings!$G$7)),1,0))))</f>
        <v/>
      </c>
      <c r="AC1607">
        <f>IF($Z1607=1,IFERROR(IF(VALUE($B1607)&lt;100000000,VALUE($B1607),1000000000),IFERROR(IF(VALUE(MID($B1607,2,20))&lt;100000000,VALUE(MID($B1607,2,20)),1000000000),1000000000))+ROW()/100000,"")</f>
        <v/>
      </c>
    </row>
    <row r="1608">
      <c r="A1608">
        <f>IF($B1608="","",IFERROR(IF(INDEX('Per Invoice'!$A$2:$A$801,MATCH($B1608,'Per Invoice'!$B$2:$B$801,0))=0,"",INDEX('Per Invoice'!$A$2:$A$801,MATCH($B1608,'Per Invoice'!$B$2:$B$801,0))),""))</f>
        <v/>
      </c>
      <c r="J1608" s="7">
        <f>IF($B1608="","",I1608*Q1608/100)</f>
        <v/>
      </c>
      <c r="N1608" s="7" t="n"/>
      <c r="O1608" s="7" t="n"/>
      <c r="P1608" s="7">
        <f>IF($B1608="","",O1608*X1608/100)</f>
        <v/>
      </c>
      <c r="Q1608" s="7">
        <f>IF($B1608="","",O1608-P1608)</f>
        <v/>
      </c>
      <c r="R1608" s="7">
        <f>IF($B1608="","",Q1608-J1608)</f>
        <v/>
      </c>
      <c r="S1608" s="7" t="n"/>
      <c r="T1608" s="7" t="n"/>
      <c r="V1608" s="14" t="n"/>
      <c r="Z1608">
        <f>IF($B1608="","",IF(COUNTIF($B$2:$B1608,$B1608)=1,1,0))</f>
        <v/>
      </c>
      <c r="AA1608">
        <f>IF($Z1608=1,SUMPRODUCT(--($AC$2:$AC$3001&lt;$AC1608))+1,"")</f>
        <v/>
      </c>
      <c r="AB1608">
        <f>IF($B1608="","",IF(OR($Y1608=TRUE(),$Y1608="TRUE"),1,IF(AND($Y1608&lt;&gt;"",OR($Y1608=FALSE(),$Y1608="FALSE")),0,IF(MIN(ABS($X1608/100-Settings!$C$6),ABS($X1608/100-Settings!$G$6))&lt;=MIN(ABS($X1608/100-Settings!$C$7),ABS($X1608/100-Settings!$G$7)),1,0))))</f>
        <v/>
      </c>
      <c r="AC1608">
        <f>IF($Z1608=1,IFERROR(IF(VALUE($B1608)&lt;100000000,VALUE($B1608),1000000000),IFERROR(IF(VALUE(MID($B1608,2,20))&lt;100000000,VALUE(MID($B1608,2,20)),1000000000),1000000000))+ROW()/100000,"")</f>
        <v/>
      </c>
    </row>
    <row r="1609">
      <c r="A1609">
        <f>IF($B1609="","",IFERROR(IF(INDEX('Per Invoice'!$A$2:$A$801,MATCH($B1609,'Per Invoice'!$B$2:$B$801,0))=0,"",INDEX('Per Invoice'!$A$2:$A$801,MATCH($B1609,'Per Invoice'!$B$2:$B$801,0))),""))</f>
        <v/>
      </c>
      <c r="J1609" s="7">
        <f>IF($B1609="","",I1609*Q1609/100)</f>
        <v/>
      </c>
      <c r="N1609" s="7" t="n"/>
      <c r="O1609" s="7" t="n"/>
      <c r="P1609" s="7">
        <f>IF($B1609="","",O1609*X1609/100)</f>
        <v/>
      </c>
      <c r="Q1609" s="7">
        <f>IF($B1609="","",O1609-P1609)</f>
        <v/>
      </c>
      <c r="R1609" s="7">
        <f>IF($B1609="","",Q1609-J1609)</f>
        <v/>
      </c>
      <c r="S1609" s="7" t="n"/>
      <c r="T1609" s="7" t="n"/>
      <c r="V1609" s="14" t="n"/>
      <c r="Z1609">
        <f>IF($B1609="","",IF(COUNTIF($B$2:$B1609,$B1609)=1,1,0))</f>
        <v/>
      </c>
      <c r="AA1609">
        <f>IF($Z1609=1,SUMPRODUCT(--($AC$2:$AC$3001&lt;$AC1609))+1,"")</f>
        <v/>
      </c>
      <c r="AB1609">
        <f>IF($B1609="","",IF(OR($Y1609=TRUE(),$Y1609="TRUE"),1,IF(AND($Y1609&lt;&gt;"",OR($Y1609=FALSE(),$Y1609="FALSE")),0,IF(MIN(ABS($X1609/100-Settings!$C$6),ABS($X1609/100-Settings!$G$6))&lt;=MIN(ABS($X1609/100-Settings!$C$7),ABS($X1609/100-Settings!$G$7)),1,0))))</f>
        <v/>
      </c>
      <c r="AC1609">
        <f>IF($Z1609=1,IFERROR(IF(VALUE($B1609)&lt;100000000,VALUE($B1609),1000000000),IFERROR(IF(VALUE(MID($B1609,2,20))&lt;100000000,VALUE(MID($B1609,2,20)),1000000000),1000000000))+ROW()/100000,"")</f>
        <v/>
      </c>
    </row>
    <row r="1610">
      <c r="A1610">
        <f>IF($B1610="","",IFERROR(IF(INDEX('Per Invoice'!$A$2:$A$801,MATCH($B1610,'Per Invoice'!$B$2:$B$801,0))=0,"",INDEX('Per Invoice'!$A$2:$A$801,MATCH($B1610,'Per Invoice'!$B$2:$B$801,0))),""))</f>
        <v/>
      </c>
      <c r="J1610" s="7">
        <f>IF($B1610="","",I1610*Q1610/100)</f>
        <v/>
      </c>
      <c r="N1610" s="7" t="n"/>
      <c r="O1610" s="7" t="n"/>
      <c r="P1610" s="7">
        <f>IF($B1610="","",O1610*X1610/100)</f>
        <v/>
      </c>
      <c r="Q1610" s="7">
        <f>IF($B1610="","",O1610-P1610)</f>
        <v/>
      </c>
      <c r="R1610" s="7">
        <f>IF($B1610="","",Q1610-J1610)</f>
        <v/>
      </c>
      <c r="S1610" s="7" t="n"/>
      <c r="T1610" s="7" t="n"/>
      <c r="V1610" s="14" t="n"/>
      <c r="Z1610">
        <f>IF($B1610="","",IF(COUNTIF($B$2:$B1610,$B1610)=1,1,0))</f>
        <v/>
      </c>
      <c r="AA1610">
        <f>IF($Z1610=1,SUMPRODUCT(--($AC$2:$AC$3001&lt;$AC1610))+1,"")</f>
        <v/>
      </c>
      <c r="AB1610">
        <f>IF($B1610="","",IF(OR($Y1610=TRUE(),$Y1610="TRUE"),1,IF(AND($Y1610&lt;&gt;"",OR($Y1610=FALSE(),$Y1610="FALSE")),0,IF(MIN(ABS($X1610/100-Settings!$C$6),ABS($X1610/100-Settings!$G$6))&lt;=MIN(ABS($X1610/100-Settings!$C$7),ABS($X1610/100-Settings!$G$7)),1,0))))</f>
        <v/>
      </c>
      <c r="AC1610">
        <f>IF($Z1610=1,IFERROR(IF(VALUE($B1610)&lt;100000000,VALUE($B1610),1000000000),IFERROR(IF(VALUE(MID($B1610,2,20))&lt;100000000,VALUE(MID($B1610,2,20)),1000000000),1000000000))+ROW()/100000,"")</f>
        <v/>
      </c>
    </row>
    <row r="1611">
      <c r="A1611">
        <f>IF($B1611="","",IFERROR(IF(INDEX('Per Invoice'!$A$2:$A$801,MATCH($B1611,'Per Invoice'!$B$2:$B$801,0))=0,"",INDEX('Per Invoice'!$A$2:$A$801,MATCH($B1611,'Per Invoice'!$B$2:$B$801,0))),""))</f>
        <v/>
      </c>
      <c r="J1611" s="7">
        <f>IF($B1611="","",I1611*Q1611/100)</f>
        <v/>
      </c>
      <c r="N1611" s="7" t="n"/>
      <c r="O1611" s="7" t="n"/>
      <c r="P1611" s="7">
        <f>IF($B1611="","",O1611*X1611/100)</f>
        <v/>
      </c>
      <c r="Q1611" s="7">
        <f>IF($B1611="","",O1611-P1611)</f>
        <v/>
      </c>
      <c r="R1611" s="7">
        <f>IF($B1611="","",Q1611-J1611)</f>
        <v/>
      </c>
      <c r="S1611" s="7" t="n"/>
      <c r="T1611" s="7" t="n"/>
      <c r="V1611" s="14" t="n"/>
      <c r="Z1611">
        <f>IF($B1611="","",IF(COUNTIF($B$2:$B1611,$B1611)=1,1,0))</f>
        <v/>
      </c>
      <c r="AA1611">
        <f>IF($Z1611=1,SUMPRODUCT(--($AC$2:$AC$3001&lt;$AC1611))+1,"")</f>
        <v/>
      </c>
      <c r="AB1611">
        <f>IF($B1611="","",IF(OR($Y1611=TRUE(),$Y1611="TRUE"),1,IF(AND($Y1611&lt;&gt;"",OR($Y1611=FALSE(),$Y1611="FALSE")),0,IF(MIN(ABS($X1611/100-Settings!$C$6),ABS($X1611/100-Settings!$G$6))&lt;=MIN(ABS($X1611/100-Settings!$C$7),ABS($X1611/100-Settings!$G$7)),1,0))))</f>
        <v/>
      </c>
      <c r="AC1611">
        <f>IF($Z1611=1,IFERROR(IF(VALUE($B1611)&lt;100000000,VALUE($B1611),1000000000),IFERROR(IF(VALUE(MID($B1611,2,20))&lt;100000000,VALUE(MID($B1611,2,20)),1000000000),1000000000))+ROW()/100000,"")</f>
        <v/>
      </c>
    </row>
    <row r="1612">
      <c r="A1612">
        <f>IF($B1612="","",IFERROR(IF(INDEX('Per Invoice'!$A$2:$A$801,MATCH($B1612,'Per Invoice'!$B$2:$B$801,0))=0,"",INDEX('Per Invoice'!$A$2:$A$801,MATCH($B1612,'Per Invoice'!$B$2:$B$801,0))),""))</f>
        <v/>
      </c>
      <c r="J1612" s="7">
        <f>IF($B1612="","",I1612*Q1612/100)</f>
        <v/>
      </c>
      <c r="N1612" s="7" t="n"/>
      <c r="O1612" s="7" t="n"/>
      <c r="P1612" s="7">
        <f>IF($B1612="","",O1612*X1612/100)</f>
        <v/>
      </c>
      <c r="Q1612" s="7">
        <f>IF($B1612="","",O1612-P1612)</f>
        <v/>
      </c>
      <c r="R1612" s="7">
        <f>IF($B1612="","",Q1612-J1612)</f>
        <v/>
      </c>
      <c r="S1612" s="7" t="n"/>
      <c r="T1612" s="7" t="n"/>
      <c r="V1612" s="14" t="n"/>
      <c r="Z1612">
        <f>IF($B1612="","",IF(COUNTIF($B$2:$B1612,$B1612)=1,1,0))</f>
        <v/>
      </c>
      <c r="AA1612">
        <f>IF($Z1612=1,SUMPRODUCT(--($AC$2:$AC$3001&lt;$AC1612))+1,"")</f>
        <v/>
      </c>
      <c r="AB1612">
        <f>IF($B1612="","",IF(OR($Y1612=TRUE(),$Y1612="TRUE"),1,IF(AND($Y1612&lt;&gt;"",OR($Y1612=FALSE(),$Y1612="FALSE")),0,IF(MIN(ABS($X1612/100-Settings!$C$6),ABS($X1612/100-Settings!$G$6))&lt;=MIN(ABS($X1612/100-Settings!$C$7),ABS($X1612/100-Settings!$G$7)),1,0))))</f>
        <v/>
      </c>
      <c r="AC1612">
        <f>IF($Z1612=1,IFERROR(IF(VALUE($B1612)&lt;100000000,VALUE($B1612),1000000000),IFERROR(IF(VALUE(MID($B1612,2,20))&lt;100000000,VALUE(MID($B1612,2,20)),1000000000),1000000000))+ROW()/100000,"")</f>
        <v/>
      </c>
    </row>
    <row r="1613">
      <c r="A1613">
        <f>IF($B1613="","",IFERROR(IF(INDEX('Per Invoice'!$A$2:$A$801,MATCH($B1613,'Per Invoice'!$B$2:$B$801,0))=0,"",INDEX('Per Invoice'!$A$2:$A$801,MATCH($B1613,'Per Invoice'!$B$2:$B$801,0))),""))</f>
        <v/>
      </c>
      <c r="J1613" s="7">
        <f>IF($B1613="","",I1613*Q1613/100)</f>
        <v/>
      </c>
      <c r="N1613" s="7" t="n"/>
      <c r="O1613" s="7" t="n"/>
      <c r="P1613" s="7">
        <f>IF($B1613="","",O1613*X1613/100)</f>
        <v/>
      </c>
      <c r="Q1613" s="7">
        <f>IF($B1613="","",O1613-P1613)</f>
        <v/>
      </c>
      <c r="R1613" s="7">
        <f>IF($B1613="","",Q1613-J1613)</f>
        <v/>
      </c>
      <c r="S1613" s="7" t="n"/>
      <c r="T1613" s="7" t="n"/>
      <c r="V1613" s="14" t="n"/>
      <c r="Z1613">
        <f>IF($B1613="","",IF(COUNTIF($B$2:$B1613,$B1613)=1,1,0))</f>
        <v/>
      </c>
      <c r="AA1613">
        <f>IF($Z1613=1,SUMPRODUCT(--($AC$2:$AC$3001&lt;$AC1613))+1,"")</f>
        <v/>
      </c>
      <c r="AB1613">
        <f>IF($B1613="","",IF(OR($Y1613=TRUE(),$Y1613="TRUE"),1,IF(AND($Y1613&lt;&gt;"",OR($Y1613=FALSE(),$Y1613="FALSE")),0,IF(MIN(ABS($X1613/100-Settings!$C$6),ABS($X1613/100-Settings!$G$6))&lt;=MIN(ABS($X1613/100-Settings!$C$7),ABS($X1613/100-Settings!$G$7)),1,0))))</f>
        <v/>
      </c>
      <c r="AC1613">
        <f>IF($Z1613=1,IFERROR(IF(VALUE($B1613)&lt;100000000,VALUE($B1613),1000000000),IFERROR(IF(VALUE(MID($B1613,2,20))&lt;100000000,VALUE(MID($B1613,2,20)),1000000000),1000000000))+ROW()/100000,"")</f>
        <v/>
      </c>
    </row>
    <row r="1614">
      <c r="A1614">
        <f>IF($B1614="","",IFERROR(IF(INDEX('Per Invoice'!$A$2:$A$801,MATCH($B1614,'Per Invoice'!$B$2:$B$801,0))=0,"",INDEX('Per Invoice'!$A$2:$A$801,MATCH($B1614,'Per Invoice'!$B$2:$B$801,0))),""))</f>
        <v/>
      </c>
      <c r="J1614" s="7">
        <f>IF($B1614="","",I1614*Q1614/100)</f>
        <v/>
      </c>
      <c r="N1614" s="7" t="n"/>
      <c r="O1614" s="7" t="n"/>
      <c r="P1614" s="7">
        <f>IF($B1614="","",O1614*X1614/100)</f>
        <v/>
      </c>
      <c r="Q1614" s="7">
        <f>IF($B1614="","",O1614-P1614)</f>
        <v/>
      </c>
      <c r="R1614" s="7">
        <f>IF($B1614="","",Q1614-J1614)</f>
        <v/>
      </c>
      <c r="S1614" s="7" t="n"/>
      <c r="T1614" s="7" t="n"/>
      <c r="V1614" s="14" t="n"/>
      <c r="Z1614">
        <f>IF($B1614="","",IF(COUNTIF($B$2:$B1614,$B1614)=1,1,0))</f>
        <v/>
      </c>
      <c r="AA1614">
        <f>IF($Z1614=1,SUMPRODUCT(--($AC$2:$AC$3001&lt;$AC1614))+1,"")</f>
        <v/>
      </c>
      <c r="AB1614">
        <f>IF($B1614="","",IF(OR($Y1614=TRUE(),$Y1614="TRUE"),1,IF(AND($Y1614&lt;&gt;"",OR($Y1614=FALSE(),$Y1614="FALSE")),0,IF(MIN(ABS($X1614/100-Settings!$C$6),ABS($X1614/100-Settings!$G$6))&lt;=MIN(ABS($X1614/100-Settings!$C$7),ABS($X1614/100-Settings!$G$7)),1,0))))</f>
        <v/>
      </c>
      <c r="AC1614">
        <f>IF($Z1614=1,IFERROR(IF(VALUE($B1614)&lt;100000000,VALUE($B1614),1000000000),IFERROR(IF(VALUE(MID($B1614,2,20))&lt;100000000,VALUE(MID($B1614,2,20)),1000000000),1000000000))+ROW()/100000,"")</f>
        <v/>
      </c>
    </row>
    <row r="1615">
      <c r="A1615">
        <f>IF($B1615="","",IFERROR(IF(INDEX('Per Invoice'!$A$2:$A$801,MATCH($B1615,'Per Invoice'!$B$2:$B$801,0))=0,"",INDEX('Per Invoice'!$A$2:$A$801,MATCH($B1615,'Per Invoice'!$B$2:$B$801,0))),""))</f>
        <v/>
      </c>
      <c r="J1615" s="7">
        <f>IF($B1615="","",I1615*Q1615/100)</f>
        <v/>
      </c>
      <c r="N1615" s="7" t="n"/>
      <c r="O1615" s="7" t="n"/>
      <c r="P1615" s="7">
        <f>IF($B1615="","",O1615*X1615/100)</f>
        <v/>
      </c>
      <c r="Q1615" s="7">
        <f>IF($B1615="","",O1615-P1615)</f>
        <v/>
      </c>
      <c r="R1615" s="7">
        <f>IF($B1615="","",Q1615-J1615)</f>
        <v/>
      </c>
      <c r="S1615" s="7" t="n"/>
      <c r="T1615" s="7" t="n"/>
      <c r="V1615" s="14" t="n"/>
      <c r="Z1615">
        <f>IF($B1615="","",IF(COUNTIF($B$2:$B1615,$B1615)=1,1,0))</f>
        <v/>
      </c>
      <c r="AA1615">
        <f>IF($Z1615=1,SUMPRODUCT(--($AC$2:$AC$3001&lt;$AC1615))+1,"")</f>
        <v/>
      </c>
      <c r="AB1615">
        <f>IF($B1615="","",IF(OR($Y1615=TRUE(),$Y1615="TRUE"),1,IF(AND($Y1615&lt;&gt;"",OR($Y1615=FALSE(),$Y1615="FALSE")),0,IF(MIN(ABS($X1615/100-Settings!$C$6),ABS($X1615/100-Settings!$G$6))&lt;=MIN(ABS($X1615/100-Settings!$C$7),ABS($X1615/100-Settings!$G$7)),1,0))))</f>
        <v/>
      </c>
      <c r="AC1615">
        <f>IF($Z1615=1,IFERROR(IF(VALUE($B1615)&lt;100000000,VALUE($B1615),1000000000),IFERROR(IF(VALUE(MID($B1615,2,20))&lt;100000000,VALUE(MID($B1615,2,20)),1000000000),1000000000))+ROW()/100000,"")</f>
        <v/>
      </c>
    </row>
    <row r="1616">
      <c r="A1616">
        <f>IF($B1616="","",IFERROR(IF(INDEX('Per Invoice'!$A$2:$A$801,MATCH($B1616,'Per Invoice'!$B$2:$B$801,0))=0,"",INDEX('Per Invoice'!$A$2:$A$801,MATCH($B1616,'Per Invoice'!$B$2:$B$801,0))),""))</f>
        <v/>
      </c>
      <c r="J1616" s="7">
        <f>IF($B1616="","",I1616*Q1616/100)</f>
        <v/>
      </c>
      <c r="N1616" s="7" t="n"/>
      <c r="O1616" s="7" t="n"/>
      <c r="P1616" s="7">
        <f>IF($B1616="","",O1616*X1616/100)</f>
        <v/>
      </c>
      <c r="Q1616" s="7">
        <f>IF($B1616="","",O1616-P1616)</f>
        <v/>
      </c>
      <c r="R1616" s="7">
        <f>IF($B1616="","",Q1616-J1616)</f>
        <v/>
      </c>
      <c r="S1616" s="7" t="n"/>
      <c r="T1616" s="7" t="n"/>
      <c r="V1616" s="14" t="n"/>
      <c r="Z1616">
        <f>IF($B1616="","",IF(COUNTIF($B$2:$B1616,$B1616)=1,1,0))</f>
        <v/>
      </c>
      <c r="AA1616">
        <f>IF($Z1616=1,SUMPRODUCT(--($AC$2:$AC$3001&lt;$AC1616))+1,"")</f>
        <v/>
      </c>
      <c r="AB1616">
        <f>IF($B1616="","",IF(OR($Y1616=TRUE(),$Y1616="TRUE"),1,IF(AND($Y1616&lt;&gt;"",OR($Y1616=FALSE(),$Y1616="FALSE")),0,IF(MIN(ABS($X1616/100-Settings!$C$6),ABS($X1616/100-Settings!$G$6))&lt;=MIN(ABS($X1616/100-Settings!$C$7),ABS($X1616/100-Settings!$G$7)),1,0))))</f>
        <v/>
      </c>
      <c r="AC1616">
        <f>IF($Z1616=1,IFERROR(IF(VALUE($B1616)&lt;100000000,VALUE($B1616),1000000000),IFERROR(IF(VALUE(MID($B1616,2,20))&lt;100000000,VALUE(MID($B1616,2,20)),1000000000),1000000000))+ROW()/100000,"")</f>
        <v/>
      </c>
    </row>
    <row r="1617">
      <c r="A1617">
        <f>IF($B1617="","",IFERROR(IF(INDEX('Per Invoice'!$A$2:$A$801,MATCH($B1617,'Per Invoice'!$B$2:$B$801,0))=0,"",INDEX('Per Invoice'!$A$2:$A$801,MATCH($B1617,'Per Invoice'!$B$2:$B$801,0))),""))</f>
        <v/>
      </c>
      <c r="J1617" s="7">
        <f>IF($B1617="","",I1617*Q1617/100)</f>
        <v/>
      </c>
      <c r="N1617" s="7" t="n"/>
      <c r="O1617" s="7" t="n"/>
      <c r="P1617" s="7">
        <f>IF($B1617="","",O1617*X1617/100)</f>
        <v/>
      </c>
      <c r="Q1617" s="7">
        <f>IF($B1617="","",O1617-P1617)</f>
        <v/>
      </c>
      <c r="R1617" s="7">
        <f>IF($B1617="","",Q1617-J1617)</f>
        <v/>
      </c>
      <c r="S1617" s="7" t="n"/>
      <c r="T1617" s="7" t="n"/>
      <c r="V1617" s="14" t="n"/>
      <c r="Z1617">
        <f>IF($B1617="","",IF(COUNTIF($B$2:$B1617,$B1617)=1,1,0))</f>
        <v/>
      </c>
      <c r="AA1617">
        <f>IF($Z1617=1,SUMPRODUCT(--($AC$2:$AC$3001&lt;$AC1617))+1,"")</f>
        <v/>
      </c>
      <c r="AB1617">
        <f>IF($B1617="","",IF(OR($Y1617=TRUE(),$Y1617="TRUE"),1,IF(AND($Y1617&lt;&gt;"",OR($Y1617=FALSE(),$Y1617="FALSE")),0,IF(MIN(ABS($X1617/100-Settings!$C$6),ABS($X1617/100-Settings!$G$6))&lt;=MIN(ABS($X1617/100-Settings!$C$7),ABS($X1617/100-Settings!$G$7)),1,0))))</f>
        <v/>
      </c>
      <c r="AC1617">
        <f>IF($Z1617=1,IFERROR(IF(VALUE($B1617)&lt;100000000,VALUE($B1617),1000000000),IFERROR(IF(VALUE(MID($B1617,2,20))&lt;100000000,VALUE(MID($B1617,2,20)),1000000000),1000000000))+ROW()/100000,"")</f>
        <v/>
      </c>
    </row>
    <row r="1618">
      <c r="A1618">
        <f>IF($B1618="","",IFERROR(IF(INDEX('Per Invoice'!$A$2:$A$801,MATCH($B1618,'Per Invoice'!$B$2:$B$801,0))=0,"",INDEX('Per Invoice'!$A$2:$A$801,MATCH($B1618,'Per Invoice'!$B$2:$B$801,0))),""))</f>
        <v/>
      </c>
      <c r="J1618" s="7">
        <f>IF($B1618="","",I1618*Q1618/100)</f>
        <v/>
      </c>
      <c r="N1618" s="7" t="n"/>
      <c r="O1618" s="7" t="n"/>
      <c r="P1618" s="7">
        <f>IF($B1618="","",O1618*X1618/100)</f>
        <v/>
      </c>
      <c r="Q1618" s="7">
        <f>IF($B1618="","",O1618-P1618)</f>
        <v/>
      </c>
      <c r="R1618" s="7">
        <f>IF($B1618="","",Q1618-J1618)</f>
        <v/>
      </c>
      <c r="S1618" s="7" t="n"/>
      <c r="T1618" s="7" t="n"/>
      <c r="V1618" s="14" t="n"/>
      <c r="Z1618">
        <f>IF($B1618="","",IF(COUNTIF($B$2:$B1618,$B1618)=1,1,0))</f>
        <v/>
      </c>
      <c r="AA1618">
        <f>IF($Z1618=1,SUMPRODUCT(--($AC$2:$AC$3001&lt;$AC1618))+1,"")</f>
        <v/>
      </c>
      <c r="AB1618">
        <f>IF($B1618="","",IF(OR($Y1618=TRUE(),$Y1618="TRUE"),1,IF(AND($Y1618&lt;&gt;"",OR($Y1618=FALSE(),$Y1618="FALSE")),0,IF(MIN(ABS($X1618/100-Settings!$C$6),ABS($X1618/100-Settings!$G$6))&lt;=MIN(ABS($X1618/100-Settings!$C$7),ABS($X1618/100-Settings!$G$7)),1,0))))</f>
        <v/>
      </c>
      <c r="AC1618">
        <f>IF($Z1618=1,IFERROR(IF(VALUE($B1618)&lt;100000000,VALUE($B1618),1000000000),IFERROR(IF(VALUE(MID($B1618,2,20))&lt;100000000,VALUE(MID($B1618,2,20)),1000000000),1000000000))+ROW()/100000,"")</f>
        <v/>
      </c>
    </row>
    <row r="1619">
      <c r="A1619">
        <f>IF($B1619="","",IFERROR(IF(INDEX('Per Invoice'!$A$2:$A$801,MATCH($B1619,'Per Invoice'!$B$2:$B$801,0))=0,"",INDEX('Per Invoice'!$A$2:$A$801,MATCH($B1619,'Per Invoice'!$B$2:$B$801,0))),""))</f>
        <v/>
      </c>
      <c r="J1619" s="7">
        <f>IF($B1619="","",I1619*Q1619/100)</f>
        <v/>
      </c>
      <c r="N1619" s="7" t="n"/>
      <c r="O1619" s="7" t="n"/>
      <c r="P1619" s="7">
        <f>IF($B1619="","",O1619*X1619/100)</f>
        <v/>
      </c>
      <c r="Q1619" s="7">
        <f>IF($B1619="","",O1619-P1619)</f>
        <v/>
      </c>
      <c r="R1619" s="7">
        <f>IF($B1619="","",Q1619-J1619)</f>
        <v/>
      </c>
      <c r="S1619" s="7" t="n"/>
      <c r="T1619" s="7" t="n"/>
      <c r="V1619" s="14" t="n"/>
      <c r="Z1619">
        <f>IF($B1619="","",IF(COUNTIF($B$2:$B1619,$B1619)=1,1,0))</f>
        <v/>
      </c>
      <c r="AA1619">
        <f>IF($Z1619=1,SUMPRODUCT(--($AC$2:$AC$3001&lt;$AC1619))+1,"")</f>
        <v/>
      </c>
      <c r="AB1619">
        <f>IF($B1619="","",IF(OR($Y1619=TRUE(),$Y1619="TRUE"),1,IF(AND($Y1619&lt;&gt;"",OR($Y1619=FALSE(),$Y1619="FALSE")),0,IF(MIN(ABS($X1619/100-Settings!$C$6),ABS($X1619/100-Settings!$G$6))&lt;=MIN(ABS($X1619/100-Settings!$C$7),ABS($X1619/100-Settings!$G$7)),1,0))))</f>
        <v/>
      </c>
      <c r="AC1619">
        <f>IF($Z1619=1,IFERROR(IF(VALUE($B1619)&lt;100000000,VALUE($B1619),1000000000),IFERROR(IF(VALUE(MID($B1619,2,20))&lt;100000000,VALUE(MID($B1619,2,20)),1000000000),1000000000))+ROW()/100000,"")</f>
        <v/>
      </c>
    </row>
    <row r="1620">
      <c r="A1620">
        <f>IF($B1620="","",IFERROR(IF(INDEX('Per Invoice'!$A$2:$A$801,MATCH($B1620,'Per Invoice'!$B$2:$B$801,0))=0,"",INDEX('Per Invoice'!$A$2:$A$801,MATCH($B1620,'Per Invoice'!$B$2:$B$801,0))),""))</f>
        <v/>
      </c>
      <c r="J1620" s="7">
        <f>IF($B1620="","",I1620*Q1620/100)</f>
        <v/>
      </c>
      <c r="N1620" s="7" t="n"/>
      <c r="O1620" s="7" t="n"/>
      <c r="P1620" s="7">
        <f>IF($B1620="","",O1620*X1620/100)</f>
        <v/>
      </c>
      <c r="Q1620" s="7">
        <f>IF($B1620="","",O1620-P1620)</f>
        <v/>
      </c>
      <c r="R1620" s="7">
        <f>IF($B1620="","",Q1620-J1620)</f>
        <v/>
      </c>
      <c r="S1620" s="7" t="n"/>
      <c r="T1620" s="7" t="n"/>
      <c r="V1620" s="14" t="n"/>
      <c r="Z1620">
        <f>IF($B1620="","",IF(COUNTIF($B$2:$B1620,$B1620)=1,1,0))</f>
        <v/>
      </c>
      <c r="AA1620">
        <f>IF($Z1620=1,SUMPRODUCT(--($AC$2:$AC$3001&lt;$AC1620))+1,"")</f>
        <v/>
      </c>
      <c r="AB1620">
        <f>IF($B1620="","",IF(OR($Y1620=TRUE(),$Y1620="TRUE"),1,IF(AND($Y1620&lt;&gt;"",OR($Y1620=FALSE(),$Y1620="FALSE")),0,IF(MIN(ABS($X1620/100-Settings!$C$6),ABS($X1620/100-Settings!$G$6))&lt;=MIN(ABS($X1620/100-Settings!$C$7),ABS($X1620/100-Settings!$G$7)),1,0))))</f>
        <v/>
      </c>
      <c r="AC1620">
        <f>IF($Z1620=1,IFERROR(IF(VALUE($B1620)&lt;100000000,VALUE($B1620),1000000000),IFERROR(IF(VALUE(MID($B1620,2,20))&lt;100000000,VALUE(MID($B1620,2,20)),1000000000),1000000000))+ROW()/100000,"")</f>
        <v/>
      </c>
    </row>
    <row r="1621">
      <c r="A1621">
        <f>IF($B1621="","",IFERROR(IF(INDEX('Per Invoice'!$A$2:$A$801,MATCH($B1621,'Per Invoice'!$B$2:$B$801,0))=0,"",INDEX('Per Invoice'!$A$2:$A$801,MATCH($B1621,'Per Invoice'!$B$2:$B$801,0))),""))</f>
        <v/>
      </c>
      <c r="J1621" s="7">
        <f>IF($B1621="","",I1621*Q1621/100)</f>
        <v/>
      </c>
      <c r="N1621" s="7" t="n"/>
      <c r="O1621" s="7" t="n"/>
      <c r="P1621" s="7">
        <f>IF($B1621="","",O1621*X1621/100)</f>
        <v/>
      </c>
      <c r="Q1621" s="7">
        <f>IF($B1621="","",O1621-P1621)</f>
        <v/>
      </c>
      <c r="R1621" s="7">
        <f>IF($B1621="","",Q1621-J1621)</f>
        <v/>
      </c>
      <c r="S1621" s="7" t="n"/>
      <c r="T1621" s="7" t="n"/>
      <c r="V1621" s="14" t="n"/>
      <c r="Z1621">
        <f>IF($B1621="","",IF(COUNTIF($B$2:$B1621,$B1621)=1,1,0))</f>
        <v/>
      </c>
      <c r="AA1621">
        <f>IF($Z1621=1,SUMPRODUCT(--($AC$2:$AC$3001&lt;$AC1621))+1,"")</f>
        <v/>
      </c>
      <c r="AB1621">
        <f>IF($B1621="","",IF(OR($Y1621=TRUE(),$Y1621="TRUE"),1,IF(AND($Y1621&lt;&gt;"",OR($Y1621=FALSE(),$Y1621="FALSE")),0,IF(MIN(ABS($X1621/100-Settings!$C$6),ABS($X1621/100-Settings!$G$6))&lt;=MIN(ABS($X1621/100-Settings!$C$7),ABS($X1621/100-Settings!$G$7)),1,0))))</f>
        <v/>
      </c>
      <c r="AC1621">
        <f>IF($Z1621=1,IFERROR(IF(VALUE($B1621)&lt;100000000,VALUE($B1621),1000000000),IFERROR(IF(VALUE(MID($B1621,2,20))&lt;100000000,VALUE(MID($B1621,2,20)),1000000000),1000000000))+ROW()/100000,"")</f>
        <v/>
      </c>
    </row>
    <row r="1622">
      <c r="A1622">
        <f>IF($B1622="","",IFERROR(IF(INDEX('Per Invoice'!$A$2:$A$801,MATCH($B1622,'Per Invoice'!$B$2:$B$801,0))=0,"",INDEX('Per Invoice'!$A$2:$A$801,MATCH($B1622,'Per Invoice'!$B$2:$B$801,0))),""))</f>
        <v/>
      </c>
      <c r="J1622" s="7">
        <f>IF($B1622="","",I1622*Q1622/100)</f>
        <v/>
      </c>
      <c r="N1622" s="7" t="n"/>
      <c r="O1622" s="7" t="n"/>
      <c r="P1622" s="7">
        <f>IF($B1622="","",O1622*X1622/100)</f>
        <v/>
      </c>
      <c r="Q1622" s="7">
        <f>IF($B1622="","",O1622-P1622)</f>
        <v/>
      </c>
      <c r="R1622" s="7">
        <f>IF($B1622="","",Q1622-J1622)</f>
        <v/>
      </c>
      <c r="S1622" s="7" t="n"/>
      <c r="T1622" s="7" t="n"/>
      <c r="V1622" s="14" t="n"/>
      <c r="Z1622">
        <f>IF($B1622="","",IF(COUNTIF($B$2:$B1622,$B1622)=1,1,0))</f>
        <v/>
      </c>
      <c r="AA1622">
        <f>IF($Z1622=1,SUMPRODUCT(--($AC$2:$AC$3001&lt;$AC1622))+1,"")</f>
        <v/>
      </c>
      <c r="AB1622">
        <f>IF($B1622="","",IF(OR($Y1622=TRUE(),$Y1622="TRUE"),1,IF(AND($Y1622&lt;&gt;"",OR($Y1622=FALSE(),$Y1622="FALSE")),0,IF(MIN(ABS($X1622/100-Settings!$C$6),ABS($X1622/100-Settings!$G$6))&lt;=MIN(ABS($X1622/100-Settings!$C$7),ABS($X1622/100-Settings!$G$7)),1,0))))</f>
        <v/>
      </c>
      <c r="AC1622">
        <f>IF($Z1622=1,IFERROR(IF(VALUE($B1622)&lt;100000000,VALUE($B1622),1000000000),IFERROR(IF(VALUE(MID($B1622,2,20))&lt;100000000,VALUE(MID($B1622,2,20)),1000000000),1000000000))+ROW()/100000,"")</f>
        <v/>
      </c>
    </row>
    <row r="1623">
      <c r="A1623">
        <f>IF($B1623="","",IFERROR(IF(INDEX('Per Invoice'!$A$2:$A$801,MATCH($B1623,'Per Invoice'!$B$2:$B$801,0))=0,"",INDEX('Per Invoice'!$A$2:$A$801,MATCH($B1623,'Per Invoice'!$B$2:$B$801,0))),""))</f>
        <v/>
      </c>
      <c r="J1623" s="7">
        <f>IF($B1623="","",I1623*Q1623/100)</f>
        <v/>
      </c>
      <c r="N1623" s="7" t="n"/>
      <c r="O1623" s="7" t="n"/>
      <c r="P1623" s="7">
        <f>IF($B1623="","",O1623*X1623/100)</f>
        <v/>
      </c>
      <c r="Q1623" s="7">
        <f>IF($B1623="","",O1623-P1623)</f>
        <v/>
      </c>
      <c r="R1623" s="7">
        <f>IF($B1623="","",Q1623-J1623)</f>
        <v/>
      </c>
      <c r="S1623" s="7" t="n"/>
      <c r="T1623" s="7" t="n"/>
      <c r="V1623" s="14" t="n"/>
      <c r="Z1623">
        <f>IF($B1623="","",IF(COUNTIF($B$2:$B1623,$B1623)=1,1,0))</f>
        <v/>
      </c>
      <c r="AA1623">
        <f>IF($Z1623=1,SUMPRODUCT(--($AC$2:$AC$3001&lt;$AC1623))+1,"")</f>
        <v/>
      </c>
      <c r="AB1623">
        <f>IF($B1623="","",IF(OR($Y1623=TRUE(),$Y1623="TRUE"),1,IF(AND($Y1623&lt;&gt;"",OR($Y1623=FALSE(),$Y1623="FALSE")),0,IF(MIN(ABS($X1623/100-Settings!$C$6),ABS($X1623/100-Settings!$G$6))&lt;=MIN(ABS($X1623/100-Settings!$C$7),ABS($X1623/100-Settings!$G$7)),1,0))))</f>
        <v/>
      </c>
      <c r="AC1623">
        <f>IF($Z1623=1,IFERROR(IF(VALUE($B1623)&lt;100000000,VALUE($B1623),1000000000),IFERROR(IF(VALUE(MID($B1623,2,20))&lt;100000000,VALUE(MID($B1623,2,20)),1000000000),1000000000))+ROW()/100000,"")</f>
        <v/>
      </c>
    </row>
    <row r="1624">
      <c r="A1624">
        <f>IF($B1624="","",IFERROR(IF(INDEX('Per Invoice'!$A$2:$A$801,MATCH($B1624,'Per Invoice'!$B$2:$B$801,0))=0,"",INDEX('Per Invoice'!$A$2:$A$801,MATCH($B1624,'Per Invoice'!$B$2:$B$801,0))),""))</f>
        <v/>
      </c>
      <c r="J1624" s="7">
        <f>IF($B1624="","",I1624*Q1624/100)</f>
        <v/>
      </c>
      <c r="N1624" s="7" t="n"/>
      <c r="O1624" s="7" t="n"/>
      <c r="P1624" s="7">
        <f>IF($B1624="","",O1624*X1624/100)</f>
        <v/>
      </c>
      <c r="Q1624" s="7">
        <f>IF($B1624="","",O1624-P1624)</f>
        <v/>
      </c>
      <c r="R1624" s="7">
        <f>IF($B1624="","",Q1624-J1624)</f>
        <v/>
      </c>
      <c r="S1624" s="7" t="n"/>
      <c r="T1624" s="7" t="n"/>
      <c r="V1624" s="14" t="n"/>
      <c r="Z1624">
        <f>IF($B1624="","",IF(COUNTIF($B$2:$B1624,$B1624)=1,1,0))</f>
        <v/>
      </c>
      <c r="AA1624">
        <f>IF($Z1624=1,SUMPRODUCT(--($AC$2:$AC$3001&lt;$AC1624))+1,"")</f>
        <v/>
      </c>
      <c r="AB1624">
        <f>IF($B1624="","",IF(OR($Y1624=TRUE(),$Y1624="TRUE"),1,IF(AND($Y1624&lt;&gt;"",OR($Y1624=FALSE(),$Y1624="FALSE")),0,IF(MIN(ABS($X1624/100-Settings!$C$6),ABS($X1624/100-Settings!$G$6))&lt;=MIN(ABS($X1624/100-Settings!$C$7),ABS($X1624/100-Settings!$G$7)),1,0))))</f>
        <v/>
      </c>
      <c r="AC1624">
        <f>IF($Z1624=1,IFERROR(IF(VALUE($B1624)&lt;100000000,VALUE($B1624),1000000000),IFERROR(IF(VALUE(MID($B1624,2,20))&lt;100000000,VALUE(MID($B1624,2,20)),1000000000),1000000000))+ROW()/100000,"")</f>
        <v/>
      </c>
    </row>
    <row r="1625">
      <c r="A1625">
        <f>IF($B1625="","",IFERROR(IF(INDEX('Per Invoice'!$A$2:$A$801,MATCH($B1625,'Per Invoice'!$B$2:$B$801,0))=0,"",INDEX('Per Invoice'!$A$2:$A$801,MATCH($B1625,'Per Invoice'!$B$2:$B$801,0))),""))</f>
        <v/>
      </c>
      <c r="J1625" s="7">
        <f>IF($B1625="","",I1625*Q1625/100)</f>
        <v/>
      </c>
      <c r="N1625" s="7" t="n"/>
      <c r="O1625" s="7" t="n"/>
      <c r="P1625" s="7">
        <f>IF($B1625="","",O1625*X1625/100)</f>
        <v/>
      </c>
      <c r="Q1625" s="7">
        <f>IF($B1625="","",O1625-P1625)</f>
        <v/>
      </c>
      <c r="R1625" s="7">
        <f>IF($B1625="","",Q1625-J1625)</f>
        <v/>
      </c>
      <c r="S1625" s="7" t="n"/>
      <c r="T1625" s="7" t="n"/>
      <c r="V1625" s="14" t="n"/>
      <c r="Z1625">
        <f>IF($B1625="","",IF(COUNTIF($B$2:$B1625,$B1625)=1,1,0))</f>
        <v/>
      </c>
      <c r="AA1625">
        <f>IF($Z1625=1,SUMPRODUCT(--($AC$2:$AC$3001&lt;$AC1625))+1,"")</f>
        <v/>
      </c>
      <c r="AB1625">
        <f>IF($B1625="","",IF(OR($Y1625=TRUE(),$Y1625="TRUE"),1,IF(AND($Y1625&lt;&gt;"",OR($Y1625=FALSE(),$Y1625="FALSE")),0,IF(MIN(ABS($X1625/100-Settings!$C$6),ABS($X1625/100-Settings!$G$6))&lt;=MIN(ABS($X1625/100-Settings!$C$7),ABS($X1625/100-Settings!$G$7)),1,0))))</f>
        <v/>
      </c>
      <c r="AC1625">
        <f>IF($Z1625=1,IFERROR(IF(VALUE($B1625)&lt;100000000,VALUE($B1625),1000000000),IFERROR(IF(VALUE(MID($B1625,2,20))&lt;100000000,VALUE(MID($B1625,2,20)),1000000000),1000000000))+ROW()/100000,"")</f>
        <v/>
      </c>
    </row>
    <row r="1626">
      <c r="A1626">
        <f>IF($B1626="","",IFERROR(IF(INDEX('Per Invoice'!$A$2:$A$801,MATCH($B1626,'Per Invoice'!$B$2:$B$801,0))=0,"",INDEX('Per Invoice'!$A$2:$A$801,MATCH($B1626,'Per Invoice'!$B$2:$B$801,0))),""))</f>
        <v/>
      </c>
      <c r="J1626" s="7">
        <f>IF($B1626="","",I1626*Q1626/100)</f>
        <v/>
      </c>
      <c r="N1626" s="7" t="n"/>
      <c r="O1626" s="7" t="n"/>
      <c r="P1626" s="7">
        <f>IF($B1626="","",O1626*X1626/100)</f>
        <v/>
      </c>
      <c r="Q1626" s="7">
        <f>IF($B1626="","",O1626-P1626)</f>
        <v/>
      </c>
      <c r="R1626" s="7">
        <f>IF($B1626="","",Q1626-J1626)</f>
        <v/>
      </c>
      <c r="S1626" s="7" t="n"/>
      <c r="T1626" s="7" t="n"/>
      <c r="V1626" s="14" t="n"/>
      <c r="Z1626">
        <f>IF($B1626="","",IF(COUNTIF($B$2:$B1626,$B1626)=1,1,0))</f>
        <v/>
      </c>
      <c r="AA1626">
        <f>IF($Z1626=1,SUMPRODUCT(--($AC$2:$AC$3001&lt;$AC1626))+1,"")</f>
        <v/>
      </c>
      <c r="AB1626">
        <f>IF($B1626="","",IF(OR($Y1626=TRUE(),$Y1626="TRUE"),1,IF(AND($Y1626&lt;&gt;"",OR($Y1626=FALSE(),$Y1626="FALSE")),0,IF(MIN(ABS($X1626/100-Settings!$C$6),ABS($X1626/100-Settings!$G$6))&lt;=MIN(ABS($X1626/100-Settings!$C$7),ABS($X1626/100-Settings!$G$7)),1,0))))</f>
        <v/>
      </c>
      <c r="AC1626">
        <f>IF($Z1626=1,IFERROR(IF(VALUE($B1626)&lt;100000000,VALUE($B1626),1000000000),IFERROR(IF(VALUE(MID($B1626,2,20))&lt;100000000,VALUE(MID($B1626,2,20)),1000000000),1000000000))+ROW()/100000,"")</f>
        <v/>
      </c>
    </row>
    <row r="1627">
      <c r="A1627">
        <f>IF($B1627="","",IFERROR(IF(INDEX('Per Invoice'!$A$2:$A$801,MATCH($B1627,'Per Invoice'!$B$2:$B$801,0))=0,"",INDEX('Per Invoice'!$A$2:$A$801,MATCH($B1627,'Per Invoice'!$B$2:$B$801,0))),""))</f>
        <v/>
      </c>
      <c r="J1627" s="7">
        <f>IF($B1627="","",I1627*Q1627/100)</f>
        <v/>
      </c>
      <c r="N1627" s="7" t="n"/>
      <c r="O1627" s="7" t="n"/>
      <c r="P1627" s="7">
        <f>IF($B1627="","",O1627*X1627/100)</f>
        <v/>
      </c>
      <c r="Q1627" s="7">
        <f>IF($B1627="","",O1627-P1627)</f>
        <v/>
      </c>
      <c r="R1627" s="7">
        <f>IF($B1627="","",Q1627-J1627)</f>
        <v/>
      </c>
      <c r="S1627" s="7" t="n"/>
      <c r="T1627" s="7" t="n"/>
      <c r="V1627" s="14" t="n"/>
      <c r="Z1627">
        <f>IF($B1627="","",IF(COUNTIF($B$2:$B1627,$B1627)=1,1,0))</f>
        <v/>
      </c>
      <c r="AA1627">
        <f>IF($Z1627=1,SUMPRODUCT(--($AC$2:$AC$3001&lt;$AC1627))+1,"")</f>
        <v/>
      </c>
      <c r="AB1627">
        <f>IF($B1627="","",IF(OR($Y1627=TRUE(),$Y1627="TRUE"),1,IF(AND($Y1627&lt;&gt;"",OR($Y1627=FALSE(),$Y1627="FALSE")),0,IF(MIN(ABS($X1627/100-Settings!$C$6),ABS($X1627/100-Settings!$G$6))&lt;=MIN(ABS($X1627/100-Settings!$C$7),ABS($X1627/100-Settings!$G$7)),1,0))))</f>
        <v/>
      </c>
      <c r="AC1627">
        <f>IF($Z1627=1,IFERROR(IF(VALUE($B1627)&lt;100000000,VALUE($B1627),1000000000),IFERROR(IF(VALUE(MID($B1627,2,20))&lt;100000000,VALUE(MID($B1627,2,20)),1000000000),1000000000))+ROW()/100000,"")</f>
        <v/>
      </c>
    </row>
    <row r="1628">
      <c r="A1628">
        <f>IF($B1628="","",IFERROR(IF(INDEX('Per Invoice'!$A$2:$A$801,MATCH($B1628,'Per Invoice'!$B$2:$B$801,0))=0,"",INDEX('Per Invoice'!$A$2:$A$801,MATCH($B1628,'Per Invoice'!$B$2:$B$801,0))),""))</f>
        <v/>
      </c>
      <c r="J1628" s="7">
        <f>IF($B1628="","",I1628*Q1628/100)</f>
        <v/>
      </c>
      <c r="N1628" s="7" t="n"/>
      <c r="O1628" s="7" t="n"/>
      <c r="P1628" s="7">
        <f>IF($B1628="","",O1628*X1628/100)</f>
        <v/>
      </c>
      <c r="Q1628" s="7">
        <f>IF($B1628="","",O1628-P1628)</f>
        <v/>
      </c>
      <c r="R1628" s="7">
        <f>IF($B1628="","",Q1628-J1628)</f>
        <v/>
      </c>
      <c r="S1628" s="7" t="n"/>
      <c r="T1628" s="7" t="n"/>
      <c r="V1628" s="14" t="n"/>
      <c r="Z1628">
        <f>IF($B1628="","",IF(COUNTIF($B$2:$B1628,$B1628)=1,1,0))</f>
        <v/>
      </c>
      <c r="AA1628">
        <f>IF($Z1628=1,SUMPRODUCT(--($AC$2:$AC$3001&lt;$AC1628))+1,"")</f>
        <v/>
      </c>
      <c r="AB1628">
        <f>IF($B1628="","",IF(OR($Y1628=TRUE(),$Y1628="TRUE"),1,IF(AND($Y1628&lt;&gt;"",OR($Y1628=FALSE(),$Y1628="FALSE")),0,IF(MIN(ABS($X1628/100-Settings!$C$6),ABS($X1628/100-Settings!$G$6))&lt;=MIN(ABS($X1628/100-Settings!$C$7),ABS($X1628/100-Settings!$G$7)),1,0))))</f>
        <v/>
      </c>
      <c r="AC1628">
        <f>IF($Z1628=1,IFERROR(IF(VALUE($B1628)&lt;100000000,VALUE($B1628),1000000000),IFERROR(IF(VALUE(MID($B1628,2,20))&lt;100000000,VALUE(MID($B1628,2,20)),1000000000),1000000000))+ROW()/100000,"")</f>
        <v/>
      </c>
    </row>
    <row r="1629">
      <c r="A1629">
        <f>IF($B1629="","",IFERROR(IF(INDEX('Per Invoice'!$A$2:$A$801,MATCH($B1629,'Per Invoice'!$B$2:$B$801,0))=0,"",INDEX('Per Invoice'!$A$2:$A$801,MATCH($B1629,'Per Invoice'!$B$2:$B$801,0))),""))</f>
        <v/>
      </c>
      <c r="J1629" s="7">
        <f>IF($B1629="","",I1629*Q1629/100)</f>
        <v/>
      </c>
      <c r="N1629" s="7" t="n"/>
      <c r="O1629" s="7" t="n"/>
      <c r="P1629" s="7">
        <f>IF($B1629="","",O1629*X1629/100)</f>
        <v/>
      </c>
      <c r="Q1629" s="7">
        <f>IF($B1629="","",O1629-P1629)</f>
        <v/>
      </c>
      <c r="R1629" s="7">
        <f>IF($B1629="","",Q1629-J1629)</f>
        <v/>
      </c>
      <c r="S1629" s="7" t="n"/>
      <c r="T1629" s="7" t="n"/>
      <c r="V1629" s="14" t="n"/>
      <c r="Z1629">
        <f>IF($B1629="","",IF(COUNTIF($B$2:$B1629,$B1629)=1,1,0))</f>
        <v/>
      </c>
      <c r="AA1629">
        <f>IF($Z1629=1,SUMPRODUCT(--($AC$2:$AC$3001&lt;$AC1629))+1,"")</f>
        <v/>
      </c>
      <c r="AB1629">
        <f>IF($B1629="","",IF(OR($Y1629=TRUE(),$Y1629="TRUE"),1,IF(AND($Y1629&lt;&gt;"",OR($Y1629=FALSE(),$Y1629="FALSE")),0,IF(MIN(ABS($X1629/100-Settings!$C$6),ABS($X1629/100-Settings!$G$6))&lt;=MIN(ABS($X1629/100-Settings!$C$7),ABS($X1629/100-Settings!$G$7)),1,0))))</f>
        <v/>
      </c>
      <c r="AC1629">
        <f>IF($Z1629=1,IFERROR(IF(VALUE($B1629)&lt;100000000,VALUE($B1629),1000000000),IFERROR(IF(VALUE(MID($B1629,2,20))&lt;100000000,VALUE(MID($B1629,2,20)),1000000000),1000000000))+ROW()/100000,"")</f>
        <v/>
      </c>
    </row>
    <row r="1630">
      <c r="A1630">
        <f>IF($B1630="","",IFERROR(IF(INDEX('Per Invoice'!$A$2:$A$801,MATCH($B1630,'Per Invoice'!$B$2:$B$801,0))=0,"",INDEX('Per Invoice'!$A$2:$A$801,MATCH($B1630,'Per Invoice'!$B$2:$B$801,0))),""))</f>
        <v/>
      </c>
      <c r="J1630" s="7">
        <f>IF($B1630="","",I1630*Q1630/100)</f>
        <v/>
      </c>
      <c r="N1630" s="7" t="n"/>
      <c r="O1630" s="7" t="n"/>
      <c r="P1630" s="7">
        <f>IF($B1630="","",O1630*X1630/100)</f>
        <v/>
      </c>
      <c r="Q1630" s="7">
        <f>IF($B1630="","",O1630-P1630)</f>
        <v/>
      </c>
      <c r="R1630" s="7">
        <f>IF($B1630="","",Q1630-J1630)</f>
        <v/>
      </c>
      <c r="S1630" s="7" t="n"/>
      <c r="T1630" s="7" t="n"/>
      <c r="V1630" s="14" t="n"/>
      <c r="Z1630">
        <f>IF($B1630="","",IF(COUNTIF($B$2:$B1630,$B1630)=1,1,0))</f>
        <v/>
      </c>
      <c r="AA1630">
        <f>IF($Z1630=1,SUMPRODUCT(--($AC$2:$AC$3001&lt;$AC1630))+1,"")</f>
        <v/>
      </c>
      <c r="AB1630">
        <f>IF($B1630="","",IF(OR($Y1630=TRUE(),$Y1630="TRUE"),1,IF(AND($Y1630&lt;&gt;"",OR($Y1630=FALSE(),$Y1630="FALSE")),0,IF(MIN(ABS($X1630/100-Settings!$C$6),ABS($X1630/100-Settings!$G$6))&lt;=MIN(ABS($X1630/100-Settings!$C$7),ABS($X1630/100-Settings!$G$7)),1,0))))</f>
        <v/>
      </c>
      <c r="AC1630">
        <f>IF($Z1630=1,IFERROR(IF(VALUE($B1630)&lt;100000000,VALUE($B1630),1000000000),IFERROR(IF(VALUE(MID($B1630,2,20))&lt;100000000,VALUE(MID($B1630,2,20)),1000000000),1000000000))+ROW()/100000,"")</f>
        <v/>
      </c>
    </row>
    <row r="1631">
      <c r="A1631">
        <f>IF($B1631="","",IFERROR(IF(INDEX('Per Invoice'!$A$2:$A$801,MATCH($B1631,'Per Invoice'!$B$2:$B$801,0))=0,"",INDEX('Per Invoice'!$A$2:$A$801,MATCH($B1631,'Per Invoice'!$B$2:$B$801,0))),""))</f>
        <v/>
      </c>
      <c r="J1631" s="7">
        <f>IF($B1631="","",I1631*Q1631/100)</f>
        <v/>
      </c>
      <c r="N1631" s="7" t="n"/>
      <c r="O1631" s="7" t="n"/>
      <c r="P1631" s="7">
        <f>IF($B1631="","",O1631*X1631/100)</f>
        <v/>
      </c>
      <c r="Q1631" s="7">
        <f>IF($B1631="","",O1631-P1631)</f>
        <v/>
      </c>
      <c r="R1631" s="7">
        <f>IF($B1631="","",Q1631-J1631)</f>
        <v/>
      </c>
      <c r="S1631" s="7" t="n"/>
      <c r="T1631" s="7" t="n"/>
      <c r="V1631" s="14" t="n"/>
      <c r="Z1631">
        <f>IF($B1631="","",IF(COUNTIF($B$2:$B1631,$B1631)=1,1,0))</f>
        <v/>
      </c>
      <c r="AA1631">
        <f>IF($Z1631=1,SUMPRODUCT(--($AC$2:$AC$3001&lt;$AC1631))+1,"")</f>
        <v/>
      </c>
      <c r="AB1631">
        <f>IF($B1631="","",IF(OR($Y1631=TRUE(),$Y1631="TRUE"),1,IF(AND($Y1631&lt;&gt;"",OR($Y1631=FALSE(),$Y1631="FALSE")),0,IF(MIN(ABS($X1631/100-Settings!$C$6),ABS($X1631/100-Settings!$G$6))&lt;=MIN(ABS($X1631/100-Settings!$C$7),ABS($X1631/100-Settings!$G$7)),1,0))))</f>
        <v/>
      </c>
      <c r="AC1631">
        <f>IF($Z1631=1,IFERROR(IF(VALUE($B1631)&lt;100000000,VALUE($B1631),1000000000),IFERROR(IF(VALUE(MID($B1631,2,20))&lt;100000000,VALUE(MID($B1631,2,20)),1000000000),1000000000))+ROW()/100000,"")</f>
        <v/>
      </c>
    </row>
    <row r="1632">
      <c r="A1632">
        <f>IF($B1632="","",IFERROR(IF(INDEX('Per Invoice'!$A$2:$A$801,MATCH($B1632,'Per Invoice'!$B$2:$B$801,0))=0,"",INDEX('Per Invoice'!$A$2:$A$801,MATCH($B1632,'Per Invoice'!$B$2:$B$801,0))),""))</f>
        <v/>
      </c>
      <c r="J1632" s="7">
        <f>IF($B1632="","",I1632*Q1632/100)</f>
        <v/>
      </c>
      <c r="N1632" s="7" t="n"/>
      <c r="O1632" s="7" t="n"/>
      <c r="P1632" s="7">
        <f>IF($B1632="","",O1632*X1632/100)</f>
        <v/>
      </c>
      <c r="Q1632" s="7">
        <f>IF($B1632="","",O1632-P1632)</f>
        <v/>
      </c>
      <c r="R1632" s="7">
        <f>IF($B1632="","",Q1632-J1632)</f>
        <v/>
      </c>
      <c r="S1632" s="7" t="n"/>
      <c r="T1632" s="7" t="n"/>
      <c r="V1632" s="14" t="n"/>
      <c r="Z1632">
        <f>IF($B1632="","",IF(COUNTIF($B$2:$B1632,$B1632)=1,1,0))</f>
        <v/>
      </c>
      <c r="AA1632">
        <f>IF($Z1632=1,SUMPRODUCT(--($AC$2:$AC$3001&lt;$AC1632))+1,"")</f>
        <v/>
      </c>
      <c r="AB1632">
        <f>IF($B1632="","",IF(OR($Y1632=TRUE(),$Y1632="TRUE"),1,IF(AND($Y1632&lt;&gt;"",OR($Y1632=FALSE(),$Y1632="FALSE")),0,IF(MIN(ABS($X1632/100-Settings!$C$6),ABS($X1632/100-Settings!$G$6))&lt;=MIN(ABS($X1632/100-Settings!$C$7),ABS($X1632/100-Settings!$G$7)),1,0))))</f>
        <v/>
      </c>
      <c r="AC1632">
        <f>IF($Z1632=1,IFERROR(IF(VALUE($B1632)&lt;100000000,VALUE($B1632),1000000000),IFERROR(IF(VALUE(MID($B1632,2,20))&lt;100000000,VALUE(MID($B1632,2,20)),1000000000),1000000000))+ROW()/100000,"")</f>
        <v/>
      </c>
    </row>
    <row r="1633">
      <c r="A1633">
        <f>IF($B1633="","",IFERROR(IF(INDEX('Per Invoice'!$A$2:$A$801,MATCH($B1633,'Per Invoice'!$B$2:$B$801,0))=0,"",INDEX('Per Invoice'!$A$2:$A$801,MATCH($B1633,'Per Invoice'!$B$2:$B$801,0))),""))</f>
        <v/>
      </c>
      <c r="J1633" s="7">
        <f>IF($B1633="","",I1633*Q1633/100)</f>
        <v/>
      </c>
      <c r="N1633" s="7" t="n"/>
      <c r="O1633" s="7" t="n"/>
      <c r="P1633" s="7">
        <f>IF($B1633="","",O1633*X1633/100)</f>
        <v/>
      </c>
      <c r="Q1633" s="7">
        <f>IF($B1633="","",O1633-P1633)</f>
        <v/>
      </c>
      <c r="R1633" s="7">
        <f>IF($B1633="","",Q1633-J1633)</f>
        <v/>
      </c>
      <c r="S1633" s="7" t="n"/>
      <c r="T1633" s="7" t="n"/>
      <c r="V1633" s="14" t="n"/>
      <c r="Z1633">
        <f>IF($B1633="","",IF(COUNTIF($B$2:$B1633,$B1633)=1,1,0))</f>
        <v/>
      </c>
      <c r="AA1633">
        <f>IF($Z1633=1,SUMPRODUCT(--($AC$2:$AC$3001&lt;$AC1633))+1,"")</f>
        <v/>
      </c>
      <c r="AB1633">
        <f>IF($B1633="","",IF(OR($Y1633=TRUE(),$Y1633="TRUE"),1,IF(AND($Y1633&lt;&gt;"",OR($Y1633=FALSE(),$Y1633="FALSE")),0,IF(MIN(ABS($X1633/100-Settings!$C$6),ABS($X1633/100-Settings!$G$6))&lt;=MIN(ABS($X1633/100-Settings!$C$7),ABS($X1633/100-Settings!$G$7)),1,0))))</f>
        <v/>
      </c>
      <c r="AC1633">
        <f>IF($Z1633=1,IFERROR(IF(VALUE($B1633)&lt;100000000,VALUE($B1633),1000000000),IFERROR(IF(VALUE(MID($B1633,2,20))&lt;100000000,VALUE(MID($B1633,2,20)),1000000000),1000000000))+ROW()/100000,"")</f>
        <v/>
      </c>
    </row>
    <row r="1634">
      <c r="A1634">
        <f>IF($B1634="","",IFERROR(IF(INDEX('Per Invoice'!$A$2:$A$801,MATCH($B1634,'Per Invoice'!$B$2:$B$801,0))=0,"",INDEX('Per Invoice'!$A$2:$A$801,MATCH($B1634,'Per Invoice'!$B$2:$B$801,0))),""))</f>
        <v/>
      </c>
      <c r="J1634" s="7">
        <f>IF($B1634="","",I1634*Q1634/100)</f>
        <v/>
      </c>
      <c r="N1634" s="7" t="n"/>
      <c r="O1634" s="7" t="n"/>
      <c r="P1634" s="7">
        <f>IF($B1634="","",O1634*X1634/100)</f>
        <v/>
      </c>
      <c r="Q1634" s="7">
        <f>IF($B1634="","",O1634-P1634)</f>
        <v/>
      </c>
      <c r="R1634" s="7">
        <f>IF($B1634="","",Q1634-J1634)</f>
        <v/>
      </c>
      <c r="S1634" s="7" t="n"/>
      <c r="T1634" s="7" t="n"/>
      <c r="V1634" s="14" t="n"/>
      <c r="Z1634">
        <f>IF($B1634="","",IF(COUNTIF($B$2:$B1634,$B1634)=1,1,0))</f>
        <v/>
      </c>
      <c r="AA1634">
        <f>IF($Z1634=1,SUMPRODUCT(--($AC$2:$AC$3001&lt;$AC1634))+1,"")</f>
        <v/>
      </c>
      <c r="AB1634">
        <f>IF($B1634="","",IF(OR($Y1634=TRUE(),$Y1634="TRUE"),1,IF(AND($Y1634&lt;&gt;"",OR($Y1634=FALSE(),$Y1634="FALSE")),0,IF(MIN(ABS($X1634/100-Settings!$C$6),ABS($X1634/100-Settings!$G$6))&lt;=MIN(ABS($X1634/100-Settings!$C$7),ABS($X1634/100-Settings!$G$7)),1,0))))</f>
        <v/>
      </c>
      <c r="AC1634">
        <f>IF($Z1634=1,IFERROR(IF(VALUE($B1634)&lt;100000000,VALUE($B1634),1000000000),IFERROR(IF(VALUE(MID($B1634,2,20))&lt;100000000,VALUE(MID($B1634,2,20)),1000000000),1000000000))+ROW()/100000,"")</f>
        <v/>
      </c>
    </row>
    <row r="1635">
      <c r="A1635">
        <f>IF($B1635="","",IFERROR(IF(INDEX('Per Invoice'!$A$2:$A$801,MATCH($B1635,'Per Invoice'!$B$2:$B$801,0))=0,"",INDEX('Per Invoice'!$A$2:$A$801,MATCH($B1635,'Per Invoice'!$B$2:$B$801,0))),""))</f>
        <v/>
      </c>
      <c r="J1635" s="7">
        <f>IF($B1635="","",I1635*Q1635/100)</f>
        <v/>
      </c>
      <c r="N1635" s="7" t="n"/>
      <c r="O1635" s="7" t="n"/>
      <c r="P1635" s="7">
        <f>IF($B1635="","",O1635*X1635/100)</f>
        <v/>
      </c>
      <c r="Q1635" s="7">
        <f>IF($B1635="","",O1635-P1635)</f>
        <v/>
      </c>
      <c r="R1635" s="7">
        <f>IF($B1635="","",Q1635-J1635)</f>
        <v/>
      </c>
      <c r="S1635" s="7" t="n"/>
      <c r="T1635" s="7" t="n"/>
      <c r="V1635" s="14" t="n"/>
      <c r="Z1635">
        <f>IF($B1635="","",IF(COUNTIF($B$2:$B1635,$B1635)=1,1,0))</f>
        <v/>
      </c>
      <c r="AA1635">
        <f>IF($Z1635=1,SUMPRODUCT(--($AC$2:$AC$3001&lt;$AC1635))+1,"")</f>
        <v/>
      </c>
      <c r="AB1635">
        <f>IF($B1635="","",IF(OR($Y1635=TRUE(),$Y1635="TRUE"),1,IF(AND($Y1635&lt;&gt;"",OR($Y1635=FALSE(),$Y1635="FALSE")),0,IF(MIN(ABS($X1635/100-Settings!$C$6),ABS($X1635/100-Settings!$G$6))&lt;=MIN(ABS($X1635/100-Settings!$C$7),ABS($X1635/100-Settings!$G$7)),1,0))))</f>
        <v/>
      </c>
      <c r="AC1635">
        <f>IF($Z1635=1,IFERROR(IF(VALUE($B1635)&lt;100000000,VALUE($B1635),1000000000),IFERROR(IF(VALUE(MID($B1635,2,20))&lt;100000000,VALUE(MID($B1635,2,20)),1000000000),1000000000))+ROW()/100000,"")</f>
        <v/>
      </c>
    </row>
    <row r="1636">
      <c r="A1636">
        <f>IF($B1636="","",IFERROR(IF(INDEX('Per Invoice'!$A$2:$A$801,MATCH($B1636,'Per Invoice'!$B$2:$B$801,0))=0,"",INDEX('Per Invoice'!$A$2:$A$801,MATCH($B1636,'Per Invoice'!$B$2:$B$801,0))),""))</f>
        <v/>
      </c>
      <c r="J1636" s="7">
        <f>IF($B1636="","",I1636*Q1636/100)</f>
        <v/>
      </c>
      <c r="N1636" s="7" t="n"/>
      <c r="O1636" s="7" t="n"/>
      <c r="P1636" s="7">
        <f>IF($B1636="","",O1636*X1636/100)</f>
        <v/>
      </c>
      <c r="Q1636" s="7">
        <f>IF($B1636="","",O1636-P1636)</f>
        <v/>
      </c>
      <c r="R1636" s="7">
        <f>IF($B1636="","",Q1636-J1636)</f>
        <v/>
      </c>
      <c r="S1636" s="7" t="n"/>
      <c r="T1636" s="7" t="n"/>
      <c r="V1636" s="14" t="n"/>
      <c r="Z1636">
        <f>IF($B1636="","",IF(COUNTIF($B$2:$B1636,$B1636)=1,1,0))</f>
        <v/>
      </c>
      <c r="AA1636">
        <f>IF($Z1636=1,SUMPRODUCT(--($AC$2:$AC$3001&lt;$AC1636))+1,"")</f>
        <v/>
      </c>
      <c r="AB1636">
        <f>IF($B1636="","",IF(OR($Y1636=TRUE(),$Y1636="TRUE"),1,IF(AND($Y1636&lt;&gt;"",OR($Y1636=FALSE(),$Y1636="FALSE")),0,IF(MIN(ABS($X1636/100-Settings!$C$6),ABS($X1636/100-Settings!$G$6))&lt;=MIN(ABS($X1636/100-Settings!$C$7),ABS($X1636/100-Settings!$G$7)),1,0))))</f>
        <v/>
      </c>
      <c r="AC1636">
        <f>IF($Z1636=1,IFERROR(IF(VALUE($B1636)&lt;100000000,VALUE($B1636),1000000000),IFERROR(IF(VALUE(MID($B1636,2,20))&lt;100000000,VALUE(MID($B1636,2,20)),1000000000),1000000000))+ROW()/100000,"")</f>
        <v/>
      </c>
    </row>
    <row r="1637">
      <c r="A1637">
        <f>IF($B1637="","",IFERROR(IF(INDEX('Per Invoice'!$A$2:$A$801,MATCH($B1637,'Per Invoice'!$B$2:$B$801,0))=0,"",INDEX('Per Invoice'!$A$2:$A$801,MATCH($B1637,'Per Invoice'!$B$2:$B$801,0))),""))</f>
        <v/>
      </c>
      <c r="J1637" s="7">
        <f>IF($B1637="","",I1637*Q1637/100)</f>
        <v/>
      </c>
      <c r="N1637" s="7" t="n"/>
      <c r="O1637" s="7" t="n"/>
      <c r="P1637" s="7">
        <f>IF($B1637="","",O1637*X1637/100)</f>
        <v/>
      </c>
      <c r="Q1637" s="7">
        <f>IF($B1637="","",O1637-P1637)</f>
        <v/>
      </c>
      <c r="R1637" s="7">
        <f>IF($B1637="","",Q1637-J1637)</f>
        <v/>
      </c>
      <c r="S1637" s="7" t="n"/>
      <c r="T1637" s="7" t="n"/>
      <c r="V1637" s="14" t="n"/>
      <c r="Z1637">
        <f>IF($B1637="","",IF(COUNTIF($B$2:$B1637,$B1637)=1,1,0))</f>
        <v/>
      </c>
      <c r="AA1637">
        <f>IF($Z1637=1,SUMPRODUCT(--($AC$2:$AC$3001&lt;$AC1637))+1,"")</f>
        <v/>
      </c>
      <c r="AB1637">
        <f>IF($B1637="","",IF(OR($Y1637=TRUE(),$Y1637="TRUE"),1,IF(AND($Y1637&lt;&gt;"",OR($Y1637=FALSE(),$Y1637="FALSE")),0,IF(MIN(ABS($X1637/100-Settings!$C$6),ABS($X1637/100-Settings!$G$6))&lt;=MIN(ABS($X1637/100-Settings!$C$7),ABS($X1637/100-Settings!$G$7)),1,0))))</f>
        <v/>
      </c>
      <c r="AC1637">
        <f>IF($Z1637=1,IFERROR(IF(VALUE($B1637)&lt;100000000,VALUE($B1637),1000000000),IFERROR(IF(VALUE(MID($B1637,2,20))&lt;100000000,VALUE(MID($B1637,2,20)),1000000000),1000000000))+ROW()/100000,"")</f>
        <v/>
      </c>
    </row>
    <row r="1638">
      <c r="A1638">
        <f>IF($B1638="","",IFERROR(IF(INDEX('Per Invoice'!$A$2:$A$801,MATCH($B1638,'Per Invoice'!$B$2:$B$801,0))=0,"",INDEX('Per Invoice'!$A$2:$A$801,MATCH($B1638,'Per Invoice'!$B$2:$B$801,0))),""))</f>
        <v/>
      </c>
      <c r="J1638" s="7">
        <f>IF($B1638="","",I1638*Q1638/100)</f>
        <v/>
      </c>
      <c r="N1638" s="7" t="n"/>
      <c r="O1638" s="7" t="n"/>
      <c r="P1638" s="7">
        <f>IF($B1638="","",O1638*X1638/100)</f>
        <v/>
      </c>
      <c r="Q1638" s="7">
        <f>IF($B1638="","",O1638-P1638)</f>
        <v/>
      </c>
      <c r="R1638" s="7">
        <f>IF($B1638="","",Q1638-J1638)</f>
        <v/>
      </c>
      <c r="S1638" s="7" t="n"/>
      <c r="T1638" s="7" t="n"/>
      <c r="V1638" s="14" t="n"/>
      <c r="Z1638">
        <f>IF($B1638="","",IF(COUNTIF($B$2:$B1638,$B1638)=1,1,0))</f>
        <v/>
      </c>
      <c r="AA1638">
        <f>IF($Z1638=1,SUMPRODUCT(--($AC$2:$AC$3001&lt;$AC1638))+1,"")</f>
        <v/>
      </c>
      <c r="AB1638">
        <f>IF($B1638="","",IF(OR($Y1638=TRUE(),$Y1638="TRUE"),1,IF(AND($Y1638&lt;&gt;"",OR($Y1638=FALSE(),$Y1638="FALSE")),0,IF(MIN(ABS($X1638/100-Settings!$C$6),ABS($X1638/100-Settings!$G$6))&lt;=MIN(ABS($X1638/100-Settings!$C$7),ABS($X1638/100-Settings!$G$7)),1,0))))</f>
        <v/>
      </c>
      <c r="AC1638">
        <f>IF($Z1638=1,IFERROR(IF(VALUE($B1638)&lt;100000000,VALUE($B1638),1000000000),IFERROR(IF(VALUE(MID($B1638,2,20))&lt;100000000,VALUE(MID($B1638,2,20)),1000000000),1000000000))+ROW()/100000,"")</f>
        <v/>
      </c>
    </row>
    <row r="1639">
      <c r="A1639">
        <f>IF($B1639="","",IFERROR(IF(INDEX('Per Invoice'!$A$2:$A$801,MATCH($B1639,'Per Invoice'!$B$2:$B$801,0))=0,"",INDEX('Per Invoice'!$A$2:$A$801,MATCH($B1639,'Per Invoice'!$B$2:$B$801,0))),""))</f>
        <v/>
      </c>
      <c r="J1639" s="7">
        <f>IF($B1639="","",I1639*Q1639/100)</f>
        <v/>
      </c>
      <c r="N1639" s="7" t="n"/>
      <c r="O1639" s="7" t="n"/>
      <c r="P1639" s="7">
        <f>IF($B1639="","",O1639*X1639/100)</f>
        <v/>
      </c>
      <c r="Q1639" s="7">
        <f>IF($B1639="","",O1639-P1639)</f>
        <v/>
      </c>
      <c r="R1639" s="7">
        <f>IF($B1639="","",Q1639-J1639)</f>
        <v/>
      </c>
      <c r="S1639" s="7" t="n"/>
      <c r="T1639" s="7" t="n"/>
      <c r="V1639" s="14" t="n"/>
      <c r="Z1639">
        <f>IF($B1639="","",IF(COUNTIF($B$2:$B1639,$B1639)=1,1,0))</f>
        <v/>
      </c>
      <c r="AA1639">
        <f>IF($Z1639=1,SUMPRODUCT(--($AC$2:$AC$3001&lt;$AC1639))+1,"")</f>
        <v/>
      </c>
      <c r="AB1639">
        <f>IF($B1639="","",IF(OR($Y1639=TRUE(),$Y1639="TRUE"),1,IF(AND($Y1639&lt;&gt;"",OR($Y1639=FALSE(),$Y1639="FALSE")),0,IF(MIN(ABS($X1639/100-Settings!$C$6),ABS($X1639/100-Settings!$G$6))&lt;=MIN(ABS($X1639/100-Settings!$C$7),ABS($X1639/100-Settings!$G$7)),1,0))))</f>
        <v/>
      </c>
      <c r="AC1639">
        <f>IF($Z1639=1,IFERROR(IF(VALUE($B1639)&lt;100000000,VALUE($B1639),1000000000),IFERROR(IF(VALUE(MID($B1639,2,20))&lt;100000000,VALUE(MID($B1639,2,20)),1000000000),1000000000))+ROW()/100000,"")</f>
        <v/>
      </c>
    </row>
    <row r="1640">
      <c r="A1640">
        <f>IF($B1640="","",IFERROR(IF(INDEX('Per Invoice'!$A$2:$A$801,MATCH($B1640,'Per Invoice'!$B$2:$B$801,0))=0,"",INDEX('Per Invoice'!$A$2:$A$801,MATCH($B1640,'Per Invoice'!$B$2:$B$801,0))),""))</f>
        <v/>
      </c>
      <c r="J1640" s="7">
        <f>IF($B1640="","",I1640*Q1640/100)</f>
        <v/>
      </c>
      <c r="N1640" s="7" t="n"/>
      <c r="O1640" s="7" t="n"/>
      <c r="P1640" s="7">
        <f>IF($B1640="","",O1640*X1640/100)</f>
        <v/>
      </c>
      <c r="Q1640" s="7">
        <f>IF($B1640="","",O1640-P1640)</f>
        <v/>
      </c>
      <c r="R1640" s="7">
        <f>IF($B1640="","",Q1640-J1640)</f>
        <v/>
      </c>
      <c r="S1640" s="7" t="n"/>
      <c r="T1640" s="7" t="n"/>
      <c r="V1640" s="14" t="n"/>
      <c r="Z1640">
        <f>IF($B1640="","",IF(COUNTIF($B$2:$B1640,$B1640)=1,1,0))</f>
        <v/>
      </c>
      <c r="AA1640">
        <f>IF($Z1640=1,SUMPRODUCT(--($AC$2:$AC$3001&lt;$AC1640))+1,"")</f>
        <v/>
      </c>
      <c r="AB1640">
        <f>IF($B1640="","",IF(OR($Y1640=TRUE(),$Y1640="TRUE"),1,IF(AND($Y1640&lt;&gt;"",OR($Y1640=FALSE(),$Y1640="FALSE")),0,IF(MIN(ABS($X1640/100-Settings!$C$6),ABS($X1640/100-Settings!$G$6))&lt;=MIN(ABS($X1640/100-Settings!$C$7),ABS($X1640/100-Settings!$G$7)),1,0))))</f>
        <v/>
      </c>
      <c r="AC1640">
        <f>IF($Z1640=1,IFERROR(IF(VALUE($B1640)&lt;100000000,VALUE($B1640),1000000000),IFERROR(IF(VALUE(MID($B1640,2,20))&lt;100000000,VALUE(MID($B1640,2,20)),1000000000),1000000000))+ROW()/100000,"")</f>
        <v/>
      </c>
    </row>
    <row r="1641">
      <c r="A1641">
        <f>IF($B1641="","",IFERROR(IF(INDEX('Per Invoice'!$A$2:$A$801,MATCH($B1641,'Per Invoice'!$B$2:$B$801,0))=0,"",INDEX('Per Invoice'!$A$2:$A$801,MATCH($B1641,'Per Invoice'!$B$2:$B$801,0))),""))</f>
        <v/>
      </c>
      <c r="J1641" s="7">
        <f>IF($B1641="","",I1641*Q1641/100)</f>
        <v/>
      </c>
      <c r="N1641" s="7" t="n"/>
      <c r="O1641" s="7" t="n"/>
      <c r="P1641" s="7">
        <f>IF($B1641="","",O1641*X1641/100)</f>
        <v/>
      </c>
      <c r="Q1641" s="7">
        <f>IF($B1641="","",O1641-P1641)</f>
        <v/>
      </c>
      <c r="R1641" s="7">
        <f>IF($B1641="","",Q1641-J1641)</f>
        <v/>
      </c>
      <c r="S1641" s="7" t="n"/>
      <c r="T1641" s="7" t="n"/>
      <c r="V1641" s="14" t="n"/>
      <c r="Z1641">
        <f>IF($B1641="","",IF(COUNTIF($B$2:$B1641,$B1641)=1,1,0))</f>
        <v/>
      </c>
      <c r="AA1641">
        <f>IF($Z1641=1,SUMPRODUCT(--($AC$2:$AC$3001&lt;$AC1641))+1,"")</f>
        <v/>
      </c>
      <c r="AB1641">
        <f>IF($B1641="","",IF(OR($Y1641=TRUE(),$Y1641="TRUE"),1,IF(AND($Y1641&lt;&gt;"",OR($Y1641=FALSE(),$Y1641="FALSE")),0,IF(MIN(ABS($X1641/100-Settings!$C$6),ABS($X1641/100-Settings!$G$6))&lt;=MIN(ABS($X1641/100-Settings!$C$7),ABS($X1641/100-Settings!$G$7)),1,0))))</f>
        <v/>
      </c>
      <c r="AC1641">
        <f>IF($Z1641=1,IFERROR(IF(VALUE($B1641)&lt;100000000,VALUE($B1641),1000000000),IFERROR(IF(VALUE(MID($B1641,2,20))&lt;100000000,VALUE(MID($B1641,2,20)),1000000000),1000000000))+ROW()/100000,"")</f>
        <v/>
      </c>
    </row>
    <row r="1642">
      <c r="A1642">
        <f>IF($B1642="","",IFERROR(IF(INDEX('Per Invoice'!$A$2:$A$801,MATCH($B1642,'Per Invoice'!$B$2:$B$801,0))=0,"",INDEX('Per Invoice'!$A$2:$A$801,MATCH($B1642,'Per Invoice'!$B$2:$B$801,0))),""))</f>
        <v/>
      </c>
      <c r="J1642" s="7">
        <f>IF($B1642="","",I1642*Q1642/100)</f>
        <v/>
      </c>
      <c r="N1642" s="7" t="n"/>
      <c r="O1642" s="7" t="n"/>
      <c r="P1642" s="7">
        <f>IF($B1642="","",O1642*X1642/100)</f>
        <v/>
      </c>
      <c r="Q1642" s="7">
        <f>IF($B1642="","",O1642-P1642)</f>
        <v/>
      </c>
      <c r="R1642" s="7">
        <f>IF($B1642="","",Q1642-J1642)</f>
        <v/>
      </c>
      <c r="S1642" s="7" t="n"/>
      <c r="T1642" s="7" t="n"/>
      <c r="V1642" s="14" t="n"/>
      <c r="Z1642">
        <f>IF($B1642="","",IF(COUNTIF($B$2:$B1642,$B1642)=1,1,0))</f>
        <v/>
      </c>
      <c r="AA1642">
        <f>IF($Z1642=1,SUMPRODUCT(--($AC$2:$AC$3001&lt;$AC1642))+1,"")</f>
        <v/>
      </c>
      <c r="AB1642">
        <f>IF($B1642="","",IF(OR($Y1642=TRUE(),$Y1642="TRUE"),1,IF(AND($Y1642&lt;&gt;"",OR($Y1642=FALSE(),$Y1642="FALSE")),0,IF(MIN(ABS($X1642/100-Settings!$C$6),ABS($X1642/100-Settings!$G$6))&lt;=MIN(ABS($X1642/100-Settings!$C$7),ABS($X1642/100-Settings!$G$7)),1,0))))</f>
        <v/>
      </c>
      <c r="AC1642">
        <f>IF($Z1642=1,IFERROR(IF(VALUE($B1642)&lt;100000000,VALUE($B1642),1000000000),IFERROR(IF(VALUE(MID($B1642,2,20))&lt;100000000,VALUE(MID($B1642,2,20)),1000000000),1000000000))+ROW()/100000,"")</f>
        <v/>
      </c>
    </row>
    <row r="1643">
      <c r="A1643">
        <f>IF($B1643="","",IFERROR(IF(INDEX('Per Invoice'!$A$2:$A$801,MATCH($B1643,'Per Invoice'!$B$2:$B$801,0))=0,"",INDEX('Per Invoice'!$A$2:$A$801,MATCH($B1643,'Per Invoice'!$B$2:$B$801,0))),""))</f>
        <v/>
      </c>
      <c r="J1643" s="7">
        <f>IF($B1643="","",I1643*Q1643/100)</f>
        <v/>
      </c>
      <c r="N1643" s="7" t="n"/>
      <c r="O1643" s="7" t="n"/>
      <c r="P1643" s="7">
        <f>IF($B1643="","",O1643*X1643/100)</f>
        <v/>
      </c>
      <c r="Q1643" s="7">
        <f>IF($B1643="","",O1643-P1643)</f>
        <v/>
      </c>
      <c r="R1643" s="7">
        <f>IF($B1643="","",Q1643-J1643)</f>
        <v/>
      </c>
      <c r="S1643" s="7" t="n"/>
      <c r="T1643" s="7" t="n"/>
      <c r="V1643" s="14" t="n"/>
      <c r="Z1643">
        <f>IF($B1643="","",IF(COUNTIF($B$2:$B1643,$B1643)=1,1,0))</f>
        <v/>
      </c>
      <c r="AA1643">
        <f>IF($Z1643=1,SUMPRODUCT(--($AC$2:$AC$3001&lt;$AC1643))+1,"")</f>
        <v/>
      </c>
      <c r="AB1643">
        <f>IF($B1643="","",IF(OR($Y1643=TRUE(),$Y1643="TRUE"),1,IF(AND($Y1643&lt;&gt;"",OR($Y1643=FALSE(),$Y1643="FALSE")),0,IF(MIN(ABS($X1643/100-Settings!$C$6),ABS($X1643/100-Settings!$G$6))&lt;=MIN(ABS($X1643/100-Settings!$C$7),ABS($X1643/100-Settings!$G$7)),1,0))))</f>
        <v/>
      </c>
      <c r="AC1643">
        <f>IF($Z1643=1,IFERROR(IF(VALUE($B1643)&lt;100000000,VALUE($B1643),1000000000),IFERROR(IF(VALUE(MID($B1643,2,20))&lt;100000000,VALUE(MID($B1643,2,20)),1000000000),1000000000))+ROW()/100000,"")</f>
        <v/>
      </c>
    </row>
    <row r="1644">
      <c r="A1644">
        <f>IF($B1644="","",IFERROR(IF(INDEX('Per Invoice'!$A$2:$A$801,MATCH($B1644,'Per Invoice'!$B$2:$B$801,0))=0,"",INDEX('Per Invoice'!$A$2:$A$801,MATCH($B1644,'Per Invoice'!$B$2:$B$801,0))),""))</f>
        <v/>
      </c>
      <c r="J1644" s="7">
        <f>IF($B1644="","",I1644*Q1644/100)</f>
        <v/>
      </c>
      <c r="N1644" s="7" t="n"/>
      <c r="O1644" s="7" t="n"/>
      <c r="P1644" s="7">
        <f>IF($B1644="","",O1644*X1644/100)</f>
        <v/>
      </c>
      <c r="Q1644" s="7">
        <f>IF($B1644="","",O1644-P1644)</f>
        <v/>
      </c>
      <c r="R1644" s="7">
        <f>IF($B1644="","",Q1644-J1644)</f>
        <v/>
      </c>
      <c r="S1644" s="7" t="n"/>
      <c r="T1644" s="7" t="n"/>
      <c r="V1644" s="14" t="n"/>
      <c r="Z1644">
        <f>IF($B1644="","",IF(COUNTIF($B$2:$B1644,$B1644)=1,1,0))</f>
        <v/>
      </c>
      <c r="AA1644">
        <f>IF($Z1644=1,SUMPRODUCT(--($AC$2:$AC$3001&lt;$AC1644))+1,"")</f>
        <v/>
      </c>
      <c r="AB1644">
        <f>IF($B1644="","",IF(OR($Y1644=TRUE(),$Y1644="TRUE"),1,IF(AND($Y1644&lt;&gt;"",OR($Y1644=FALSE(),$Y1644="FALSE")),0,IF(MIN(ABS($X1644/100-Settings!$C$6),ABS($X1644/100-Settings!$G$6))&lt;=MIN(ABS($X1644/100-Settings!$C$7),ABS($X1644/100-Settings!$G$7)),1,0))))</f>
        <v/>
      </c>
      <c r="AC1644">
        <f>IF($Z1644=1,IFERROR(IF(VALUE($B1644)&lt;100000000,VALUE($B1644),1000000000),IFERROR(IF(VALUE(MID($B1644,2,20))&lt;100000000,VALUE(MID($B1644,2,20)),1000000000),1000000000))+ROW()/100000,"")</f>
        <v/>
      </c>
    </row>
    <row r="1645">
      <c r="A1645">
        <f>IF($B1645="","",IFERROR(IF(INDEX('Per Invoice'!$A$2:$A$801,MATCH($B1645,'Per Invoice'!$B$2:$B$801,0))=0,"",INDEX('Per Invoice'!$A$2:$A$801,MATCH($B1645,'Per Invoice'!$B$2:$B$801,0))),""))</f>
        <v/>
      </c>
      <c r="J1645" s="7">
        <f>IF($B1645="","",I1645*Q1645/100)</f>
        <v/>
      </c>
      <c r="N1645" s="7" t="n"/>
      <c r="O1645" s="7" t="n"/>
      <c r="P1645" s="7">
        <f>IF($B1645="","",O1645*X1645/100)</f>
        <v/>
      </c>
      <c r="Q1645" s="7">
        <f>IF($B1645="","",O1645-P1645)</f>
        <v/>
      </c>
      <c r="R1645" s="7">
        <f>IF($B1645="","",Q1645-J1645)</f>
        <v/>
      </c>
      <c r="S1645" s="7" t="n"/>
      <c r="T1645" s="7" t="n"/>
      <c r="V1645" s="14" t="n"/>
      <c r="Z1645">
        <f>IF($B1645="","",IF(COUNTIF($B$2:$B1645,$B1645)=1,1,0))</f>
        <v/>
      </c>
      <c r="AA1645">
        <f>IF($Z1645=1,SUMPRODUCT(--($AC$2:$AC$3001&lt;$AC1645))+1,"")</f>
        <v/>
      </c>
      <c r="AB1645">
        <f>IF($B1645="","",IF(OR($Y1645=TRUE(),$Y1645="TRUE"),1,IF(AND($Y1645&lt;&gt;"",OR($Y1645=FALSE(),$Y1645="FALSE")),0,IF(MIN(ABS($X1645/100-Settings!$C$6),ABS($X1645/100-Settings!$G$6))&lt;=MIN(ABS($X1645/100-Settings!$C$7),ABS($X1645/100-Settings!$G$7)),1,0))))</f>
        <v/>
      </c>
      <c r="AC1645">
        <f>IF($Z1645=1,IFERROR(IF(VALUE($B1645)&lt;100000000,VALUE($B1645),1000000000),IFERROR(IF(VALUE(MID($B1645,2,20))&lt;100000000,VALUE(MID($B1645,2,20)),1000000000),1000000000))+ROW()/100000,"")</f>
        <v/>
      </c>
    </row>
    <row r="1646">
      <c r="A1646">
        <f>IF($B1646="","",IFERROR(IF(INDEX('Per Invoice'!$A$2:$A$801,MATCH($B1646,'Per Invoice'!$B$2:$B$801,0))=0,"",INDEX('Per Invoice'!$A$2:$A$801,MATCH($B1646,'Per Invoice'!$B$2:$B$801,0))),""))</f>
        <v/>
      </c>
      <c r="J1646" s="7">
        <f>IF($B1646="","",I1646*Q1646/100)</f>
        <v/>
      </c>
      <c r="N1646" s="7" t="n"/>
      <c r="O1646" s="7" t="n"/>
      <c r="P1646" s="7">
        <f>IF($B1646="","",O1646*X1646/100)</f>
        <v/>
      </c>
      <c r="Q1646" s="7">
        <f>IF($B1646="","",O1646-P1646)</f>
        <v/>
      </c>
      <c r="R1646" s="7">
        <f>IF($B1646="","",Q1646-J1646)</f>
        <v/>
      </c>
      <c r="S1646" s="7" t="n"/>
      <c r="T1646" s="7" t="n"/>
      <c r="V1646" s="14" t="n"/>
      <c r="Z1646">
        <f>IF($B1646="","",IF(COUNTIF($B$2:$B1646,$B1646)=1,1,0))</f>
        <v/>
      </c>
      <c r="AA1646">
        <f>IF($Z1646=1,SUMPRODUCT(--($AC$2:$AC$3001&lt;$AC1646))+1,"")</f>
        <v/>
      </c>
      <c r="AB1646">
        <f>IF($B1646="","",IF(OR($Y1646=TRUE(),$Y1646="TRUE"),1,IF(AND($Y1646&lt;&gt;"",OR($Y1646=FALSE(),$Y1646="FALSE")),0,IF(MIN(ABS($X1646/100-Settings!$C$6),ABS($X1646/100-Settings!$G$6))&lt;=MIN(ABS($X1646/100-Settings!$C$7),ABS($X1646/100-Settings!$G$7)),1,0))))</f>
        <v/>
      </c>
      <c r="AC1646">
        <f>IF($Z1646=1,IFERROR(IF(VALUE($B1646)&lt;100000000,VALUE($B1646),1000000000),IFERROR(IF(VALUE(MID($B1646,2,20))&lt;100000000,VALUE(MID($B1646,2,20)),1000000000),1000000000))+ROW()/100000,"")</f>
        <v/>
      </c>
    </row>
    <row r="1647">
      <c r="A1647">
        <f>IF($B1647="","",IFERROR(IF(INDEX('Per Invoice'!$A$2:$A$801,MATCH($B1647,'Per Invoice'!$B$2:$B$801,0))=0,"",INDEX('Per Invoice'!$A$2:$A$801,MATCH($B1647,'Per Invoice'!$B$2:$B$801,0))),""))</f>
        <v/>
      </c>
      <c r="J1647" s="7">
        <f>IF($B1647="","",I1647*Q1647/100)</f>
        <v/>
      </c>
      <c r="N1647" s="7" t="n"/>
      <c r="O1647" s="7" t="n"/>
      <c r="P1647" s="7">
        <f>IF($B1647="","",O1647*X1647/100)</f>
        <v/>
      </c>
      <c r="Q1647" s="7">
        <f>IF($B1647="","",O1647-P1647)</f>
        <v/>
      </c>
      <c r="R1647" s="7">
        <f>IF($B1647="","",Q1647-J1647)</f>
        <v/>
      </c>
      <c r="S1647" s="7" t="n"/>
      <c r="T1647" s="7" t="n"/>
      <c r="V1647" s="14" t="n"/>
      <c r="Z1647">
        <f>IF($B1647="","",IF(COUNTIF($B$2:$B1647,$B1647)=1,1,0))</f>
        <v/>
      </c>
      <c r="AA1647">
        <f>IF($Z1647=1,SUMPRODUCT(--($AC$2:$AC$3001&lt;$AC1647))+1,"")</f>
        <v/>
      </c>
      <c r="AB1647">
        <f>IF($B1647="","",IF(OR($Y1647=TRUE(),$Y1647="TRUE"),1,IF(AND($Y1647&lt;&gt;"",OR($Y1647=FALSE(),$Y1647="FALSE")),0,IF(MIN(ABS($X1647/100-Settings!$C$6),ABS($X1647/100-Settings!$G$6))&lt;=MIN(ABS($X1647/100-Settings!$C$7),ABS($X1647/100-Settings!$G$7)),1,0))))</f>
        <v/>
      </c>
      <c r="AC1647">
        <f>IF($Z1647=1,IFERROR(IF(VALUE($B1647)&lt;100000000,VALUE($B1647),1000000000),IFERROR(IF(VALUE(MID($B1647,2,20))&lt;100000000,VALUE(MID($B1647,2,20)),1000000000),1000000000))+ROW()/100000,"")</f>
        <v/>
      </c>
    </row>
    <row r="1648">
      <c r="A1648">
        <f>IF($B1648="","",IFERROR(IF(INDEX('Per Invoice'!$A$2:$A$801,MATCH($B1648,'Per Invoice'!$B$2:$B$801,0))=0,"",INDEX('Per Invoice'!$A$2:$A$801,MATCH($B1648,'Per Invoice'!$B$2:$B$801,0))),""))</f>
        <v/>
      </c>
      <c r="J1648" s="7">
        <f>IF($B1648="","",I1648*Q1648/100)</f>
        <v/>
      </c>
      <c r="N1648" s="7" t="n"/>
      <c r="O1648" s="7" t="n"/>
      <c r="P1648" s="7">
        <f>IF($B1648="","",O1648*X1648/100)</f>
        <v/>
      </c>
      <c r="Q1648" s="7">
        <f>IF($B1648="","",O1648-P1648)</f>
        <v/>
      </c>
      <c r="R1648" s="7">
        <f>IF($B1648="","",Q1648-J1648)</f>
        <v/>
      </c>
      <c r="S1648" s="7" t="n"/>
      <c r="T1648" s="7" t="n"/>
      <c r="V1648" s="14" t="n"/>
      <c r="Z1648">
        <f>IF($B1648="","",IF(COUNTIF($B$2:$B1648,$B1648)=1,1,0))</f>
        <v/>
      </c>
      <c r="AA1648">
        <f>IF($Z1648=1,SUMPRODUCT(--($AC$2:$AC$3001&lt;$AC1648))+1,"")</f>
        <v/>
      </c>
      <c r="AB1648">
        <f>IF($B1648="","",IF(OR($Y1648=TRUE(),$Y1648="TRUE"),1,IF(AND($Y1648&lt;&gt;"",OR($Y1648=FALSE(),$Y1648="FALSE")),0,IF(MIN(ABS($X1648/100-Settings!$C$6),ABS($X1648/100-Settings!$G$6))&lt;=MIN(ABS($X1648/100-Settings!$C$7),ABS($X1648/100-Settings!$G$7)),1,0))))</f>
        <v/>
      </c>
      <c r="AC1648">
        <f>IF($Z1648=1,IFERROR(IF(VALUE($B1648)&lt;100000000,VALUE($B1648),1000000000),IFERROR(IF(VALUE(MID($B1648,2,20))&lt;100000000,VALUE(MID($B1648,2,20)),1000000000),1000000000))+ROW()/100000,"")</f>
        <v/>
      </c>
    </row>
    <row r="1649">
      <c r="A1649">
        <f>IF($B1649="","",IFERROR(IF(INDEX('Per Invoice'!$A$2:$A$801,MATCH($B1649,'Per Invoice'!$B$2:$B$801,0))=0,"",INDEX('Per Invoice'!$A$2:$A$801,MATCH($B1649,'Per Invoice'!$B$2:$B$801,0))),""))</f>
        <v/>
      </c>
      <c r="J1649" s="7">
        <f>IF($B1649="","",I1649*Q1649/100)</f>
        <v/>
      </c>
      <c r="N1649" s="7" t="n"/>
      <c r="O1649" s="7" t="n"/>
      <c r="P1649" s="7">
        <f>IF($B1649="","",O1649*X1649/100)</f>
        <v/>
      </c>
      <c r="Q1649" s="7">
        <f>IF($B1649="","",O1649-P1649)</f>
        <v/>
      </c>
      <c r="R1649" s="7">
        <f>IF($B1649="","",Q1649-J1649)</f>
        <v/>
      </c>
      <c r="S1649" s="7" t="n"/>
      <c r="T1649" s="7" t="n"/>
      <c r="V1649" s="14" t="n"/>
      <c r="Z1649">
        <f>IF($B1649="","",IF(COUNTIF($B$2:$B1649,$B1649)=1,1,0))</f>
        <v/>
      </c>
      <c r="AA1649">
        <f>IF($Z1649=1,SUMPRODUCT(--($AC$2:$AC$3001&lt;$AC1649))+1,"")</f>
        <v/>
      </c>
      <c r="AB1649">
        <f>IF($B1649="","",IF(OR($Y1649=TRUE(),$Y1649="TRUE"),1,IF(AND($Y1649&lt;&gt;"",OR($Y1649=FALSE(),$Y1649="FALSE")),0,IF(MIN(ABS($X1649/100-Settings!$C$6),ABS($X1649/100-Settings!$G$6))&lt;=MIN(ABS($X1649/100-Settings!$C$7),ABS($X1649/100-Settings!$G$7)),1,0))))</f>
        <v/>
      </c>
      <c r="AC1649">
        <f>IF($Z1649=1,IFERROR(IF(VALUE($B1649)&lt;100000000,VALUE($B1649),1000000000),IFERROR(IF(VALUE(MID($B1649,2,20))&lt;100000000,VALUE(MID($B1649,2,20)),1000000000),1000000000))+ROW()/100000,"")</f>
        <v/>
      </c>
    </row>
    <row r="1650">
      <c r="A1650">
        <f>IF($B1650="","",IFERROR(IF(INDEX('Per Invoice'!$A$2:$A$801,MATCH($B1650,'Per Invoice'!$B$2:$B$801,0))=0,"",INDEX('Per Invoice'!$A$2:$A$801,MATCH($B1650,'Per Invoice'!$B$2:$B$801,0))),""))</f>
        <v/>
      </c>
      <c r="J1650" s="7">
        <f>IF($B1650="","",I1650*Q1650/100)</f>
        <v/>
      </c>
      <c r="N1650" s="7" t="n"/>
      <c r="O1650" s="7" t="n"/>
      <c r="P1650" s="7">
        <f>IF($B1650="","",O1650*X1650/100)</f>
        <v/>
      </c>
      <c r="Q1650" s="7">
        <f>IF($B1650="","",O1650-P1650)</f>
        <v/>
      </c>
      <c r="R1650" s="7">
        <f>IF($B1650="","",Q1650-J1650)</f>
        <v/>
      </c>
      <c r="S1650" s="7" t="n"/>
      <c r="T1650" s="7" t="n"/>
      <c r="V1650" s="14" t="n"/>
      <c r="Z1650">
        <f>IF($B1650="","",IF(COUNTIF($B$2:$B1650,$B1650)=1,1,0))</f>
        <v/>
      </c>
      <c r="AA1650">
        <f>IF($Z1650=1,SUMPRODUCT(--($AC$2:$AC$3001&lt;$AC1650))+1,"")</f>
        <v/>
      </c>
      <c r="AB1650">
        <f>IF($B1650="","",IF(OR($Y1650=TRUE(),$Y1650="TRUE"),1,IF(AND($Y1650&lt;&gt;"",OR($Y1650=FALSE(),$Y1650="FALSE")),0,IF(MIN(ABS($X1650/100-Settings!$C$6),ABS($X1650/100-Settings!$G$6))&lt;=MIN(ABS($X1650/100-Settings!$C$7),ABS($X1650/100-Settings!$G$7)),1,0))))</f>
        <v/>
      </c>
      <c r="AC1650">
        <f>IF($Z1650=1,IFERROR(IF(VALUE($B1650)&lt;100000000,VALUE($B1650),1000000000),IFERROR(IF(VALUE(MID($B1650,2,20))&lt;100000000,VALUE(MID($B1650,2,20)),1000000000),1000000000))+ROW()/100000,"")</f>
        <v/>
      </c>
    </row>
    <row r="1651">
      <c r="A1651">
        <f>IF($B1651="","",IFERROR(IF(INDEX('Per Invoice'!$A$2:$A$801,MATCH($B1651,'Per Invoice'!$B$2:$B$801,0))=0,"",INDEX('Per Invoice'!$A$2:$A$801,MATCH($B1651,'Per Invoice'!$B$2:$B$801,0))),""))</f>
        <v/>
      </c>
      <c r="J1651" s="7">
        <f>IF($B1651="","",I1651*Q1651/100)</f>
        <v/>
      </c>
      <c r="N1651" s="7" t="n"/>
      <c r="O1651" s="7" t="n"/>
      <c r="P1651" s="7">
        <f>IF($B1651="","",O1651*X1651/100)</f>
        <v/>
      </c>
      <c r="Q1651" s="7">
        <f>IF($B1651="","",O1651-P1651)</f>
        <v/>
      </c>
      <c r="R1651" s="7">
        <f>IF($B1651="","",Q1651-J1651)</f>
        <v/>
      </c>
      <c r="S1651" s="7" t="n"/>
      <c r="T1651" s="7" t="n"/>
      <c r="V1651" s="14" t="n"/>
      <c r="Z1651">
        <f>IF($B1651="","",IF(COUNTIF($B$2:$B1651,$B1651)=1,1,0))</f>
        <v/>
      </c>
      <c r="AA1651">
        <f>IF($Z1651=1,SUMPRODUCT(--($AC$2:$AC$3001&lt;$AC1651))+1,"")</f>
        <v/>
      </c>
      <c r="AB1651">
        <f>IF($B1651="","",IF(OR($Y1651=TRUE(),$Y1651="TRUE"),1,IF(AND($Y1651&lt;&gt;"",OR($Y1651=FALSE(),$Y1651="FALSE")),0,IF(MIN(ABS($X1651/100-Settings!$C$6),ABS($X1651/100-Settings!$G$6))&lt;=MIN(ABS($X1651/100-Settings!$C$7),ABS($X1651/100-Settings!$G$7)),1,0))))</f>
        <v/>
      </c>
      <c r="AC1651">
        <f>IF($Z1651=1,IFERROR(IF(VALUE($B1651)&lt;100000000,VALUE($B1651),1000000000),IFERROR(IF(VALUE(MID($B1651,2,20))&lt;100000000,VALUE(MID($B1651,2,20)),1000000000),1000000000))+ROW()/100000,"")</f>
        <v/>
      </c>
    </row>
    <row r="1652">
      <c r="A1652">
        <f>IF($B1652="","",IFERROR(IF(INDEX('Per Invoice'!$A$2:$A$801,MATCH($B1652,'Per Invoice'!$B$2:$B$801,0))=0,"",INDEX('Per Invoice'!$A$2:$A$801,MATCH($B1652,'Per Invoice'!$B$2:$B$801,0))),""))</f>
        <v/>
      </c>
      <c r="J1652" s="7">
        <f>IF($B1652="","",I1652*Q1652/100)</f>
        <v/>
      </c>
      <c r="N1652" s="7" t="n"/>
      <c r="O1652" s="7" t="n"/>
      <c r="P1652" s="7">
        <f>IF($B1652="","",O1652*X1652/100)</f>
        <v/>
      </c>
      <c r="Q1652" s="7">
        <f>IF($B1652="","",O1652-P1652)</f>
        <v/>
      </c>
      <c r="R1652" s="7">
        <f>IF($B1652="","",Q1652-J1652)</f>
        <v/>
      </c>
      <c r="S1652" s="7" t="n"/>
      <c r="T1652" s="7" t="n"/>
      <c r="V1652" s="14" t="n"/>
      <c r="Z1652">
        <f>IF($B1652="","",IF(COUNTIF($B$2:$B1652,$B1652)=1,1,0))</f>
        <v/>
      </c>
      <c r="AA1652">
        <f>IF($Z1652=1,SUMPRODUCT(--($AC$2:$AC$3001&lt;$AC1652))+1,"")</f>
        <v/>
      </c>
      <c r="AB1652">
        <f>IF($B1652="","",IF(OR($Y1652=TRUE(),$Y1652="TRUE"),1,IF(AND($Y1652&lt;&gt;"",OR($Y1652=FALSE(),$Y1652="FALSE")),0,IF(MIN(ABS($X1652/100-Settings!$C$6),ABS($X1652/100-Settings!$G$6))&lt;=MIN(ABS($X1652/100-Settings!$C$7),ABS($X1652/100-Settings!$G$7)),1,0))))</f>
        <v/>
      </c>
      <c r="AC1652">
        <f>IF($Z1652=1,IFERROR(IF(VALUE($B1652)&lt;100000000,VALUE($B1652),1000000000),IFERROR(IF(VALUE(MID($B1652,2,20))&lt;100000000,VALUE(MID($B1652,2,20)),1000000000),1000000000))+ROW()/100000,"")</f>
        <v/>
      </c>
    </row>
    <row r="1653">
      <c r="A1653">
        <f>IF($B1653="","",IFERROR(IF(INDEX('Per Invoice'!$A$2:$A$801,MATCH($B1653,'Per Invoice'!$B$2:$B$801,0))=0,"",INDEX('Per Invoice'!$A$2:$A$801,MATCH($B1653,'Per Invoice'!$B$2:$B$801,0))),""))</f>
        <v/>
      </c>
      <c r="J1653" s="7">
        <f>IF($B1653="","",I1653*Q1653/100)</f>
        <v/>
      </c>
      <c r="N1653" s="7" t="n"/>
      <c r="O1653" s="7" t="n"/>
      <c r="P1653" s="7">
        <f>IF($B1653="","",O1653*X1653/100)</f>
        <v/>
      </c>
      <c r="Q1653" s="7">
        <f>IF($B1653="","",O1653-P1653)</f>
        <v/>
      </c>
      <c r="R1653" s="7">
        <f>IF($B1653="","",Q1653-J1653)</f>
        <v/>
      </c>
      <c r="S1653" s="7" t="n"/>
      <c r="T1653" s="7" t="n"/>
      <c r="V1653" s="14" t="n"/>
      <c r="Z1653">
        <f>IF($B1653="","",IF(COUNTIF($B$2:$B1653,$B1653)=1,1,0))</f>
        <v/>
      </c>
      <c r="AA1653">
        <f>IF($Z1653=1,SUMPRODUCT(--($AC$2:$AC$3001&lt;$AC1653))+1,"")</f>
        <v/>
      </c>
      <c r="AB1653">
        <f>IF($B1653="","",IF(OR($Y1653=TRUE(),$Y1653="TRUE"),1,IF(AND($Y1653&lt;&gt;"",OR($Y1653=FALSE(),$Y1653="FALSE")),0,IF(MIN(ABS($X1653/100-Settings!$C$6),ABS($X1653/100-Settings!$G$6))&lt;=MIN(ABS($X1653/100-Settings!$C$7),ABS($X1653/100-Settings!$G$7)),1,0))))</f>
        <v/>
      </c>
      <c r="AC1653">
        <f>IF($Z1653=1,IFERROR(IF(VALUE($B1653)&lt;100000000,VALUE($B1653),1000000000),IFERROR(IF(VALUE(MID($B1653,2,20))&lt;100000000,VALUE(MID($B1653,2,20)),1000000000),1000000000))+ROW()/100000,"")</f>
        <v/>
      </c>
    </row>
    <row r="1654">
      <c r="A1654">
        <f>IF($B1654="","",IFERROR(IF(INDEX('Per Invoice'!$A$2:$A$801,MATCH($B1654,'Per Invoice'!$B$2:$B$801,0))=0,"",INDEX('Per Invoice'!$A$2:$A$801,MATCH($B1654,'Per Invoice'!$B$2:$B$801,0))),""))</f>
        <v/>
      </c>
      <c r="J1654" s="7">
        <f>IF($B1654="","",I1654*Q1654/100)</f>
        <v/>
      </c>
      <c r="N1654" s="7" t="n"/>
      <c r="O1654" s="7" t="n"/>
      <c r="P1654" s="7">
        <f>IF($B1654="","",O1654*X1654/100)</f>
        <v/>
      </c>
      <c r="Q1654" s="7">
        <f>IF($B1654="","",O1654-P1654)</f>
        <v/>
      </c>
      <c r="R1654" s="7">
        <f>IF($B1654="","",Q1654-J1654)</f>
        <v/>
      </c>
      <c r="S1654" s="7" t="n"/>
      <c r="T1654" s="7" t="n"/>
      <c r="V1654" s="14" t="n"/>
      <c r="Z1654">
        <f>IF($B1654="","",IF(COUNTIF($B$2:$B1654,$B1654)=1,1,0))</f>
        <v/>
      </c>
      <c r="AA1654">
        <f>IF($Z1654=1,SUMPRODUCT(--($AC$2:$AC$3001&lt;$AC1654))+1,"")</f>
        <v/>
      </c>
      <c r="AB1654">
        <f>IF($B1654="","",IF(OR($Y1654=TRUE(),$Y1654="TRUE"),1,IF(AND($Y1654&lt;&gt;"",OR($Y1654=FALSE(),$Y1654="FALSE")),0,IF(MIN(ABS($X1654/100-Settings!$C$6),ABS($X1654/100-Settings!$G$6))&lt;=MIN(ABS($X1654/100-Settings!$C$7),ABS($X1654/100-Settings!$G$7)),1,0))))</f>
        <v/>
      </c>
      <c r="AC1654">
        <f>IF($Z1654=1,IFERROR(IF(VALUE($B1654)&lt;100000000,VALUE($B1654),1000000000),IFERROR(IF(VALUE(MID($B1654,2,20))&lt;100000000,VALUE(MID($B1654,2,20)),1000000000),1000000000))+ROW()/100000,"")</f>
        <v/>
      </c>
    </row>
    <row r="1655">
      <c r="A1655">
        <f>IF($B1655="","",IFERROR(IF(INDEX('Per Invoice'!$A$2:$A$801,MATCH($B1655,'Per Invoice'!$B$2:$B$801,0))=0,"",INDEX('Per Invoice'!$A$2:$A$801,MATCH($B1655,'Per Invoice'!$B$2:$B$801,0))),""))</f>
        <v/>
      </c>
      <c r="J1655" s="7">
        <f>IF($B1655="","",I1655*Q1655/100)</f>
        <v/>
      </c>
      <c r="N1655" s="7" t="n"/>
      <c r="O1655" s="7" t="n"/>
      <c r="P1655" s="7">
        <f>IF($B1655="","",O1655*X1655/100)</f>
        <v/>
      </c>
      <c r="Q1655" s="7">
        <f>IF($B1655="","",O1655-P1655)</f>
        <v/>
      </c>
      <c r="R1655" s="7">
        <f>IF($B1655="","",Q1655-J1655)</f>
        <v/>
      </c>
      <c r="S1655" s="7" t="n"/>
      <c r="T1655" s="7" t="n"/>
      <c r="V1655" s="14" t="n"/>
      <c r="Z1655">
        <f>IF($B1655="","",IF(COUNTIF($B$2:$B1655,$B1655)=1,1,0))</f>
        <v/>
      </c>
      <c r="AA1655">
        <f>IF($Z1655=1,SUMPRODUCT(--($AC$2:$AC$3001&lt;$AC1655))+1,"")</f>
        <v/>
      </c>
      <c r="AB1655">
        <f>IF($B1655="","",IF(OR($Y1655=TRUE(),$Y1655="TRUE"),1,IF(AND($Y1655&lt;&gt;"",OR($Y1655=FALSE(),$Y1655="FALSE")),0,IF(MIN(ABS($X1655/100-Settings!$C$6),ABS($X1655/100-Settings!$G$6))&lt;=MIN(ABS($X1655/100-Settings!$C$7),ABS($X1655/100-Settings!$G$7)),1,0))))</f>
        <v/>
      </c>
      <c r="AC1655">
        <f>IF($Z1655=1,IFERROR(IF(VALUE($B1655)&lt;100000000,VALUE($B1655),1000000000),IFERROR(IF(VALUE(MID($B1655,2,20))&lt;100000000,VALUE(MID($B1655,2,20)),1000000000),1000000000))+ROW()/100000,"")</f>
        <v/>
      </c>
    </row>
    <row r="1656">
      <c r="A1656">
        <f>IF($B1656="","",IFERROR(IF(INDEX('Per Invoice'!$A$2:$A$801,MATCH($B1656,'Per Invoice'!$B$2:$B$801,0))=0,"",INDEX('Per Invoice'!$A$2:$A$801,MATCH($B1656,'Per Invoice'!$B$2:$B$801,0))),""))</f>
        <v/>
      </c>
      <c r="J1656" s="7">
        <f>IF($B1656="","",I1656*Q1656/100)</f>
        <v/>
      </c>
      <c r="N1656" s="7" t="n"/>
      <c r="O1656" s="7" t="n"/>
      <c r="P1656" s="7">
        <f>IF($B1656="","",O1656*X1656/100)</f>
        <v/>
      </c>
      <c r="Q1656" s="7">
        <f>IF($B1656="","",O1656-P1656)</f>
        <v/>
      </c>
      <c r="R1656" s="7">
        <f>IF($B1656="","",Q1656-J1656)</f>
        <v/>
      </c>
      <c r="S1656" s="7" t="n"/>
      <c r="T1656" s="7" t="n"/>
      <c r="V1656" s="14" t="n"/>
      <c r="Z1656">
        <f>IF($B1656="","",IF(COUNTIF($B$2:$B1656,$B1656)=1,1,0))</f>
        <v/>
      </c>
      <c r="AA1656">
        <f>IF($Z1656=1,SUMPRODUCT(--($AC$2:$AC$3001&lt;$AC1656))+1,"")</f>
        <v/>
      </c>
      <c r="AB1656">
        <f>IF($B1656="","",IF(OR($Y1656=TRUE(),$Y1656="TRUE"),1,IF(AND($Y1656&lt;&gt;"",OR($Y1656=FALSE(),$Y1656="FALSE")),0,IF(MIN(ABS($X1656/100-Settings!$C$6),ABS($X1656/100-Settings!$G$6))&lt;=MIN(ABS($X1656/100-Settings!$C$7),ABS($X1656/100-Settings!$G$7)),1,0))))</f>
        <v/>
      </c>
      <c r="AC1656">
        <f>IF($Z1656=1,IFERROR(IF(VALUE($B1656)&lt;100000000,VALUE($B1656),1000000000),IFERROR(IF(VALUE(MID($B1656,2,20))&lt;100000000,VALUE(MID($B1656,2,20)),1000000000),1000000000))+ROW()/100000,"")</f>
        <v/>
      </c>
    </row>
    <row r="1657">
      <c r="A1657">
        <f>IF($B1657="","",IFERROR(IF(INDEX('Per Invoice'!$A$2:$A$801,MATCH($B1657,'Per Invoice'!$B$2:$B$801,0))=0,"",INDEX('Per Invoice'!$A$2:$A$801,MATCH($B1657,'Per Invoice'!$B$2:$B$801,0))),""))</f>
        <v/>
      </c>
      <c r="J1657" s="7">
        <f>IF($B1657="","",I1657*Q1657/100)</f>
        <v/>
      </c>
      <c r="N1657" s="7" t="n"/>
      <c r="O1657" s="7" t="n"/>
      <c r="P1657" s="7">
        <f>IF($B1657="","",O1657*X1657/100)</f>
        <v/>
      </c>
      <c r="Q1657" s="7">
        <f>IF($B1657="","",O1657-P1657)</f>
        <v/>
      </c>
      <c r="R1657" s="7">
        <f>IF($B1657="","",Q1657-J1657)</f>
        <v/>
      </c>
      <c r="S1657" s="7" t="n"/>
      <c r="T1657" s="7" t="n"/>
      <c r="V1657" s="14" t="n"/>
      <c r="Z1657">
        <f>IF($B1657="","",IF(COUNTIF($B$2:$B1657,$B1657)=1,1,0))</f>
        <v/>
      </c>
      <c r="AA1657">
        <f>IF($Z1657=1,SUMPRODUCT(--($AC$2:$AC$3001&lt;$AC1657))+1,"")</f>
        <v/>
      </c>
      <c r="AB1657">
        <f>IF($B1657="","",IF(OR($Y1657=TRUE(),$Y1657="TRUE"),1,IF(AND($Y1657&lt;&gt;"",OR($Y1657=FALSE(),$Y1657="FALSE")),0,IF(MIN(ABS($X1657/100-Settings!$C$6),ABS($X1657/100-Settings!$G$6))&lt;=MIN(ABS($X1657/100-Settings!$C$7),ABS($X1657/100-Settings!$G$7)),1,0))))</f>
        <v/>
      </c>
      <c r="AC1657">
        <f>IF($Z1657=1,IFERROR(IF(VALUE($B1657)&lt;100000000,VALUE($B1657),1000000000),IFERROR(IF(VALUE(MID($B1657,2,20))&lt;100000000,VALUE(MID($B1657,2,20)),1000000000),1000000000))+ROW()/100000,"")</f>
        <v/>
      </c>
    </row>
    <row r="1658">
      <c r="A1658">
        <f>IF($B1658="","",IFERROR(IF(INDEX('Per Invoice'!$A$2:$A$801,MATCH($B1658,'Per Invoice'!$B$2:$B$801,0))=0,"",INDEX('Per Invoice'!$A$2:$A$801,MATCH($B1658,'Per Invoice'!$B$2:$B$801,0))),""))</f>
        <v/>
      </c>
      <c r="J1658" s="7">
        <f>IF($B1658="","",I1658*Q1658/100)</f>
        <v/>
      </c>
      <c r="N1658" s="7" t="n"/>
      <c r="O1658" s="7" t="n"/>
      <c r="P1658" s="7">
        <f>IF($B1658="","",O1658*X1658/100)</f>
        <v/>
      </c>
      <c r="Q1658" s="7">
        <f>IF($B1658="","",O1658-P1658)</f>
        <v/>
      </c>
      <c r="R1658" s="7">
        <f>IF($B1658="","",Q1658-J1658)</f>
        <v/>
      </c>
      <c r="S1658" s="7" t="n"/>
      <c r="T1658" s="7" t="n"/>
      <c r="V1658" s="14" t="n"/>
      <c r="Z1658">
        <f>IF($B1658="","",IF(COUNTIF($B$2:$B1658,$B1658)=1,1,0))</f>
        <v/>
      </c>
      <c r="AA1658">
        <f>IF($Z1658=1,SUMPRODUCT(--($AC$2:$AC$3001&lt;$AC1658))+1,"")</f>
        <v/>
      </c>
      <c r="AB1658">
        <f>IF($B1658="","",IF(OR($Y1658=TRUE(),$Y1658="TRUE"),1,IF(AND($Y1658&lt;&gt;"",OR($Y1658=FALSE(),$Y1658="FALSE")),0,IF(MIN(ABS($X1658/100-Settings!$C$6),ABS($X1658/100-Settings!$G$6))&lt;=MIN(ABS($X1658/100-Settings!$C$7),ABS($X1658/100-Settings!$G$7)),1,0))))</f>
        <v/>
      </c>
      <c r="AC1658">
        <f>IF($Z1658=1,IFERROR(IF(VALUE($B1658)&lt;100000000,VALUE($B1658),1000000000),IFERROR(IF(VALUE(MID($B1658,2,20))&lt;100000000,VALUE(MID($B1658,2,20)),1000000000),1000000000))+ROW()/100000,"")</f>
        <v/>
      </c>
    </row>
    <row r="1659">
      <c r="A1659">
        <f>IF($B1659="","",IFERROR(IF(INDEX('Per Invoice'!$A$2:$A$801,MATCH($B1659,'Per Invoice'!$B$2:$B$801,0))=0,"",INDEX('Per Invoice'!$A$2:$A$801,MATCH($B1659,'Per Invoice'!$B$2:$B$801,0))),""))</f>
        <v/>
      </c>
      <c r="J1659" s="7">
        <f>IF($B1659="","",I1659*Q1659/100)</f>
        <v/>
      </c>
      <c r="N1659" s="7" t="n"/>
      <c r="O1659" s="7" t="n"/>
      <c r="P1659" s="7">
        <f>IF($B1659="","",O1659*X1659/100)</f>
        <v/>
      </c>
      <c r="Q1659" s="7">
        <f>IF($B1659="","",O1659-P1659)</f>
        <v/>
      </c>
      <c r="R1659" s="7">
        <f>IF($B1659="","",Q1659-J1659)</f>
        <v/>
      </c>
      <c r="S1659" s="7" t="n"/>
      <c r="T1659" s="7" t="n"/>
      <c r="V1659" s="14" t="n"/>
      <c r="Z1659">
        <f>IF($B1659="","",IF(COUNTIF($B$2:$B1659,$B1659)=1,1,0))</f>
        <v/>
      </c>
      <c r="AA1659">
        <f>IF($Z1659=1,SUMPRODUCT(--($AC$2:$AC$3001&lt;$AC1659))+1,"")</f>
        <v/>
      </c>
      <c r="AB1659">
        <f>IF($B1659="","",IF(OR($Y1659=TRUE(),$Y1659="TRUE"),1,IF(AND($Y1659&lt;&gt;"",OR($Y1659=FALSE(),$Y1659="FALSE")),0,IF(MIN(ABS($X1659/100-Settings!$C$6),ABS($X1659/100-Settings!$G$6))&lt;=MIN(ABS($X1659/100-Settings!$C$7),ABS($X1659/100-Settings!$G$7)),1,0))))</f>
        <v/>
      </c>
      <c r="AC1659">
        <f>IF($Z1659=1,IFERROR(IF(VALUE($B1659)&lt;100000000,VALUE($B1659),1000000000),IFERROR(IF(VALUE(MID($B1659,2,20))&lt;100000000,VALUE(MID($B1659,2,20)),1000000000),1000000000))+ROW()/100000,"")</f>
        <v/>
      </c>
    </row>
    <row r="1660">
      <c r="A1660">
        <f>IF($B1660="","",IFERROR(IF(INDEX('Per Invoice'!$A$2:$A$801,MATCH($B1660,'Per Invoice'!$B$2:$B$801,0))=0,"",INDEX('Per Invoice'!$A$2:$A$801,MATCH($B1660,'Per Invoice'!$B$2:$B$801,0))),""))</f>
        <v/>
      </c>
      <c r="J1660" s="7">
        <f>IF($B1660="","",I1660*Q1660/100)</f>
        <v/>
      </c>
      <c r="N1660" s="7" t="n"/>
      <c r="O1660" s="7" t="n"/>
      <c r="P1660" s="7">
        <f>IF($B1660="","",O1660*X1660/100)</f>
        <v/>
      </c>
      <c r="Q1660" s="7">
        <f>IF($B1660="","",O1660-P1660)</f>
        <v/>
      </c>
      <c r="R1660" s="7">
        <f>IF($B1660="","",Q1660-J1660)</f>
        <v/>
      </c>
      <c r="S1660" s="7" t="n"/>
      <c r="T1660" s="7" t="n"/>
      <c r="V1660" s="14" t="n"/>
      <c r="Z1660">
        <f>IF($B1660="","",IF(COUNTIF($B$2:$B1660,$B1660)=1,1,0))</f>
        <v/>
      </c>
      <c r="AA1660">
        <f>IF($Z1660=1,SUMPRODUCT(--($AC$2:$AC$3001&lt;$AC1660))+1,"")</f>
        <v/>
      </c>
      <c r="AB1660">
        <f>IF($B1660="","",IF(OR($Y1660=TRUE(),$Y1660="TRUE"),1,IF(AND($Y1660&lt;&gt;"",OR($Y1660=FALSE(),$Y1660="FALSE")),0,IF(MIN(ABS($X1660/100-Settings!$C$6),ABS($X1660/100-Settings!$G$6))&lt;=MIN(ABS($X1660/100-Settings!$C$7),ABS($X1660/100-Settings!$G$7)),1,0))))</f>
        <v/>
      </c>
      <c r="AC1660">
        <f>IF($Z1660=1,IFERROR(IF(VALUE($B1660)&lt;100000000,VALUE($B1660),1000000000),IFERROR(IF(VALUE(MID($B1660,2,20))&lt;100000000,VALUE(MID($B1660,2,20)),1000000000),1000000000))+ROW()/100000,"")</f>
        <v/>
      </c>
    </row>
    <row r="1661">
      <c r="A1661">
        <f>IF($B1661="","",IFERROR(IF(INDEX('Per Invoice'!$A$2:$A$801,MATCH($B1661,'Per Invoice'!$B$2:$B$801,0))=0,"",INDEX('Per Invoice'!$A$2:$A$801,MATCH($B1661,'Per Invoice'!$B$2:$B$801,0))),""))</f>
        <v/>
      </c>
      <c r="J1661" s="7">
        <f>IF($B1661="","",I1661*Q1661/100)</f>
        <v/>
      </c>
      <c r="N1661" s="7" t="n"/>
      <c r="O1661" s="7" t="n"/>
      <c r="P1661" s="7">
        <f>IF($B1661="","",O1661*X1661/100)</f>
        <v/>
      </c>
      <c r="Q1661" s="7">
        <f>IF($B1661="","",O1661-P1661)</f>
        <v/>
      </c>
      <c r="R1661" s="7">
        <f>IF($B1661="","",Q1661-J1661)</f>
        <v/>
      </c>
      <c r="S1661" s="7" t="n"/>
      <c r="T1661" s="7" t="n"/>
      <c r="V1661" s="14" t="n"/>
      <c r="Z1661">
        <f>IF($B1661="","",IF(COUNTIF($B$2:$B1661,$B1661)=1,1,0))</f>
        <v/>
      </c>
      <c r="AA1661">
        <f>IF($Z1661=1,SUMPRODUCT(--($AC$2:$AC$3001&lt;$AC1661))+1,"")</f>
        <v/>
      </c>
      <c r="AB1661">
        <f>IF($B1661="","",IF(OR($Y1661=TRUE(),$Y1661="TRUE"),1,IF(AND($Y1661&lt;&gt;"",OR($Y1661=FALSE(),$Y1661="FALSE")),0,IF(MIN(ABS($X1661/100-Settings!$C$6),ABS($X1661/100-Settings!$G$6))&lt;=MIN(ABS($X1661/100-Settings!$C$7),ABS($X1661/100-Settings!$G$7)),1,0))))</f>
        <v/>
      </c>
      <c r="AC1661">
        <f>IF($Z1661=1,IFERROR(IF(VALUE($B1661)&lt;100000000,VALUE($B1661),1000000000),IFERROR(IF(VALUE(MID($B1661,2,20))&lt;100000000,VALUE(MID($B1661,2,20)),1000000000),1000000000))+ROW()/100000,"")</f>
        <v/>
      </c>
    </row>
    <row r="1662">
      <c r="A1662">
        <f>IF($B1662="","",IFERROR(IF(INDEX('Per Invoice'!$A$2:$A$801,MATCH($B1662,'Per Invoice'!$B$2:$B$801,0))=0,"",INDEX('Per Invoice'!$A$2:$A$801,MATCH($B1662,'Per Invoice'!$B$2:$B$801,0))),""))</f>
        <v/>
      </c>
      <c r="J1662" s="7">
        <f>IF($B1662="","",I1662*Q1662/100)</f>
        <v/>
      </c>
      <c r="N1662" s="7" t="n"/>
      <c r="O1662" s="7" t="n"/>
      <c r="P1662" s="7">
        <f>IF($B1662="","",O1662*X1662/100)</f>
        <v/>
      </c>
      <c r="Q1662" s="7">
        <f>IF($B1662="","",O1662-P1662)</f>
        <v/>
      </c>
      <c r="R1662" s="7">
        <f>IF($B1662="","",Q1662-J1662)</f>
        <v/>
      </c>
      <c r="S1662" s="7" t="n"/>
      <c r="T1662" s="7" t="n"/>
      <c r="V1662" s="14" t="n"/>
      <c r="Z1662">
        <f>IF($B1662="","",IF(COUNTIF($B$2:$B1662,$B1662)=1,1,0))</f>
        <v/>
      </c>
      <c r="AA1662">
        <f>IF($Z1662=1,SUMPRODUCT(--($AC$2:$AC$3001&lt;$AC1662))+1,"")</f>
        <v/>
      </c>
      <c r="AB1662">
        <f>IF($B1662="","",IF(OR($Y1662=TRUE(),$Y1662="TRUE"),1,IF(AND($Y1662&lt;&gt;"",OR($Y1662=FALSE(),$Y1662="FALSE")),0,IF(MIN(ABS($X1662/100-Settings!$C$6),ABS($X1662/100-Settings!$G$6))&lt;=MIN(ABS($X1662/100-Settings!$C$7),ABS($X1662/100-Settings!$G$7)),1,0))))</f>
        <v/>
      </c>
      <c r="AC1662">
        <f>IF($Z1662=1,IFERROR(IF(VALUE($B1662)&lt;100000000,VALUE($B1662),1000000000),IFERROR(IF(VALUE(MID($B1662,2,20))&lt;100000000,VALUE(MID($B1662,2,20)),1000000000),1000000000))+ROW()/100000,"")</f>
        <v/>
      </c>
    </row>
    <row r="1663">
      <c r="A1663">
        <f>IF($B1663="","",IFERROR(IF(INDEX('Per Invoice'!$A$2:$A$801,MATCH($B1663,'Per Invoice'!$B$2:$B$801,0))=0,"",INDEX('Per Invoice'!$A$2:$A$801,MATCH($B1663,'Per Invoice'!$B$2:$B$801,0))),""))</f>
        <v/>
      </c>
      <c r="J1663" s="7">
        <f>IF($B1663="","",I1663*Q1663/100)</f>
        <v/>
      </c>
      <c r="N1663" s="7" t="n"/>
      <c r="O1663" s="7" t="n"/>
      <c r="P1663" s="7">
        <f>IF($B1663="","",O1663*X1663/100)</f>
        <v/>
      </c>
      <c r="Q1663" s="7">
        <f>IF($B1663="","",O1663-P1663)</f>
        <v/>
      </c>
      <c r="R1663" s="7">
        <f>IF($B1663="","",Q1663-J1663)</f>
        <v/>
      </c>
      <c r="S1663" s="7" t="n"/>
      <c r="T1663" s="7" t="n"/>
      <c r="V1663" s="14" t="n"/>
      <c r="Z1663">
        <f>IF($B1663="","",IF(COUNTIF($B$2:$B1663,$B1663)=1,1,0))</f>
        <v/>
      </c>
      <c r="AA1663">
        <f>IF($Z1663=1,SUMPRODUCT(--($AC$2:$AC$3001&lt;$AC1663))+1,"")</f>
        <v/>
      </c>
      <c r="AB1663">
        <f>IF($B1663="","",IF(OR($Y1663=TRUE(),$Y1663="TRUE"),1,IF(AND($Y1663&lt;&gt;"",OR($Y1663=FALSE(),$Y1663="FALSE")),0,IF(MIN(ABS($X1663/100-Settings!$C$6),ABS($X1663/100-Settings!$G$6))&lt;=MIN(ABS($X1663/100-Settings!$C$7),ABS($X1663/100-Settings!$G$7)),1,0))))</f>
        <v/>
      </c>
      <c r="AC1663">
        <f>IF($Z1663=1,IFERROR(IF(VALUE($B1663)&lt;100000000,VALUE($B1663),1000000000),IFERROR(IF(VALUE(MID($B1663,2,20))&lt;100000000,VALUE(MID($B1663,2,20)),1000000000),1000000000))+ROW()/100000,"")</f>
        <v/>
      </c>
    </row>
    <row r="1664">
      <c r="A1664">
        <f>IF($B1664="","",IFERROR(IF(INDEX('Per Invoice'!$A$2:$A$801,MATCH($B1664,'Per Invoice'!$B$2:$B$801,0))=0,"",INDEX('Per Invoice'!$A$2:$A$801,MATCH($B1664,'Per Invoice'!$B$2:$B$801,0))),""))</f>
        <v/>
      </c>
      <c r="J1664" s="7">
        <f>IF($B1664="","",I1664*Q1664/100)</f>
        <v/>
      </c>
      <c r="N1664" s="7" t="n"/>
      <c r="O1664" s="7" t="n"/>
      <c r="P1664" s="7">
        <f>IF($B1664="","",O1664*X1664/100)</f>
        <v/>
      </c>
      <c r="Q1664" s="7">
        <f>IF($B1664="","",O1664-P1664)</f>
        <v/>
      </c>
      <c r="R1664" s="7">
        <f>IF($B1664="","",Q1664-J1664)</f>
        <v/>
      </c>
      <c r="S1664" s="7" t="n"/>
      <c r="T1664" s="7" t="n"/>
      <c r="V1664" s="14" t="n"/>
      <c r="Z1664">
        <f>IF($B1664="","",IF(COUNTIF($B$2:$B1664,$B1664)=1,1,0))</f>
        <v/>
      </c>
      <c r="AA1664">
        <f>IF($Z1664=1,SUMPRODUCT(--($AC$2:$AC$3001&lt;$AC1664))+1,"")</f>
        <v/>
      </c>
      <c r="AB1664">
        <f>IF($B1664="","",IF(OR($Y1664=TRUE(),$Y1664="TRUE"),1,IF(AND($Y1664&lt;&gt;"",OR($Y1664=FALSE(),$Y1664="FALSE")),0,IF(MIN(ABS($X1664/100-Settings!$C$6),ABS($X1664/100-Settings!$G$6))&lt;=MIN(ABS($X1664/100-Settings!$C$7),ABS($X1664/100-Settings!$G$7)),1,0))))</f>
        <v/>
      </c>
      <c r="AC1664">
        <f>IF($Z1664=1,IFERROR(IF(VALUE($B1664)&lt;100000000,VALUE($B1664),1000000000),IFERROR(IF(VALUE(MID($B1664,2,20))&lt;100000000,VALUE(MID($B1664,2,20)),1000000000),1000000000))+ROW()/100000,"")</f>
        <v/>
      </c>
    </row>
    <row r="1665">
      <c r="A1665">
        <f>IF($B1665="","",IFERROR(IF(INDEX('Per Invoice'!$A$2:$A$801,MATCH($B1665,'Per Invoice'!$B$2:$B$801,0))=0,"",INDEX('Per Invoice'!$A$2:$A$801,MATCH($B1665,'Per Invoice'!$B$2:$B$801,0))),""))</f>
        <v/>
      </c>
      <c r="J1665" s="7">
        <f>IF($B1665="","",I1665*Q1665/100)</f>
        <v/>
      </c>
      <c r="N1665" s="7" t="n"/>
      <c r="O1665" s="7" t="n"/>
      <c r="P1665" s="7">
        <f>IF($B1665="","",O1665*X1665/100)</f>
        <v/>
      </c>
      <c r="Q1665" s="7">
        <f>IF($B1665="","",O1665-P1665)</f>
        <v/>
      </c>
      <c r="R1665" s="7">
        <f>IF($B1665="","",Q1665-J1665)</f>
        <v/>
      </c>
      <c r="S1665" s="7" t="n"/>
      <c r="T1665" s="7" t="n"/>
      <c r="V1665" s="14" t="n"/>
      <c r="Z1665">
        <f>IF($B1665="","",IF(COUNTIF($B$2:$B1665,$B1665)=1,1,0))</f>
        <v/>
      </c>
      <c r="AA1665">
        <f>IF($Z1665=1,SUMPRODUCT(--($AC$2:$AC$3001&lt;$AC1665))+1,"")</f>
        <v/>
      </c>
      <c r="AB1665">
        <f>IF($B1665="","",IF(OR($Y1665=TRUE(),$Y1665="TRUE"),1,IF(AND($Y1665&lt;&gt;"",OR($Y1665=FALSE(),$Y1665="FALSE")),0,IF(MIN(ABS($X1665/100-Settings!$C$6),ABS($X1665/100-Settings!$G$6))&lt;=MIN(ABS($X1665/100-Settings!$C$7),ABS($X1665/100-Settings!$G$7)),1,0))))</f>
        <v/>
      </c>
      <c r="AC1665">
        <f>IF($Z1665=1,IFERROR(IF(VALUE($B1665)&lt;100000000,VALUE($B1665),1000000000),IFERROR(IF(VALUE(MID($B1665,2,20))&lt;100000000,VALUE(MID($B1665,2,20)),1000000000),1000000000))+ROW()/100000,"")</f>
        <v/>
      </c>
    </row>
    <row r="1666">
      <c r="A1666">
        <f>IF($B1666="","",IFERROR(IF(INDEX('Per Invoice'!$A$2:$A$801,MATCH($B1666,'Per Invoice'!$B$2:$B$801,0))=0,"",INDEX('Per Invoice'!$A$2:$A$801,MATCH($B1666,'Per Invoice'!$B$2:$B$801,0))),""))</f>
        <v/>
      </c>
      <c r="J1666" s="7">
        <f>IF($B1666="","",I1666*Q1666/100)</f>
        <v/>
      </c>
      <c r="N1666" s="7" t="n"/>
      <c r="O1666" s="7" t="n"/>
      <c r="P1666" s="7">
        <f>IF($B1666="","",O1666*X1666/100)</f>
        <v/>
      </c>
      <c r="Q1666" s="7">
        <f>IF($B1666="","",O1666-P1666)</f>
        <v/>
      </c>
      <c r="R1666" s="7">
        <f>IF($B1666="","",Q1666-J1666)</f>
        <v/>
      </c>
      <c r="S1666" s="7" t="n"/>
      <c r="T1666" s="7" t="n"/>
      <c r="V1666" s="14" t="n"/>
      <c r="Z1666">
        <f>IF($B1666="","",IF(COUNTIF($B$2:$B1666,$B1666)=1,1,0))</f>
        <v/>
      </c>
      <c r="AA1666">
        <f>IF($Z1666=1,SUMPRODUCT(--($AC$2:$AC$3001&lt;$AC1666))+1,"")</f>
        <v/>
      </c>
      <c r="AB1666">
        <f>IF($B1666="","",IF(OR($Y1666=TRUE(),$Y1666="TRUE"),1,IF(AND($Y1666&lt;&gt;"",OR($Y1666=FALSE(),$Y1666="FALSE")),0,IF(MIN(ABS($X1666/100-Settings!$C$6),ABS($X1666/100-Settings!$G$6))&lt;=MIN(ABS($X1666/100-Settings!$C$7),ABS($X1666/100-Settings!$G$7)),1,0))))</f>
        <v/>
      </c>
      <c r="AC1666">
        <f>IF($Z1666=1,IFERROR(IF(VALUE($B1666)&lt;100000000,VALUE($B1666),1000000000),IFERROR(IF(VALUE(MID($B1666,2,20))&lt;100000000,VALUE(MID($B1666,2,20)),1000000000),1000000000))+ROW()/100000,"")</f>
        <v/>
      </c>
    </row>
    <row r="1667">
      <c r="A1667">
        <f>IF($B1667="","",IFERROR(IF(INDEX('Per Invoice'!$A$2:$A$801,MATCH($B1667,'Per Invoice'!$B$2:$B$801,0))=0,"",INDEX('Per Invoice'!$A$2:$A$801,MATCH($B1667,'Per Invoice'!$B$2:$B$801,0))),""))</f>
        <v/>
      </c>
      <c r="J1667" s="7">
        <f>IF($B1667="","",I1667*Q1667/100)</f>
        <v/>
      </c>
      <c r="N1667" s="7" t="n"/>
      <c r="O1667" s="7" t="n"/>
      <c r="P1667" s="7">
        <f>IF($B1667="","",O1667*X1667/100)</f>
        <v/>
      </c>
      <c r="Q1667" s="7">
        <f>IF($B1667="","",O1667-P1667)</f>
        <v/>
      </c>
      <c r="R1667" s="7">
        <f>IF($B1667="","",Q1667-J1667)</f>
        <v/>
      </c>
      <c r="S1667" s="7" t="n"/>
      <c r="T1667" s="7" t="n"/>
      <c r="V1667" s="14" t="n"/>
      <c r="Z1667">
        <f>IF($B1667="","",IF(COUNTIF($B$2:$B1667,$B1667)=1,1,0))</f>
        <v/>
      </c>
      <c r="AA1667">
        <f>IF($Z1667=1,SUMPRODUCT(--($AC$2:$AC$3001&lt;$AC1667))+1,"")</f>
        <v/>
      </c>
      <c r="AB1667">
        <f>IF($B1667="","",IF(OR($Y1667=TRUE(),$Y1667="TRUE"),1,IF(AND($Y1667&lt;&gt;"",OR($Y1667=FALSE(),$Y1667="FALSE")),0,IF(MIN(ABS($X1667/100-Settings!$C$6),ABS($X1667/100-Settings!$G$6))&lt;=MIN(ABS($X1667/100-Settings!$C$7),ABS($X1667/100-Settings!$G$7)),1,0))))</f>
        <v/>
      </c>
      <c r="AC1667">
        <f>IF($Z1667=1,IFERROR(IF(VALUE($B1667)&lt;100000000,VALUE($B1667),1000000000),IFERROR(IF(VALUE(MID($B1667,2,20))&lt;100000000,VALUE(MID($B1667,2,20)),1000000000),1000000000))+ROW()/100000,"")</f>
        <v/>
      </c>
    </row>
    <row r="1668">
      <c r="A1668">
        <f>IF($B1668="","",IFERROR(IF(INDEX('Per Invoice'!$A$2:$A$801,MATCH($B1668,'Per Invoice'!$B$2:$B$801,0))=0,"",INDEX('Per Invoice'!$A$2:$A$801,MATCH($B1668,'Per Invoice'!$B$2:$B$801,0))),""))</f>
        <v/>
      </c>
      <c r="J1668" s="7">
        <f>IF($B1668="","",I1668*Q1668/100)</f>
        <v/>
      </c>
      <c r="N1668" s="7" t="n"/>
      <c r="O1668" s="7" t="n"/>
      <c r="P1668" s="7">
        <f>IF($B1668="","",O1668*X1668/100)</f>
        <v/>
      </c>
      <c r="Q1668" s="7">
        <f>IF($B1668="","",O1668-P1668)</f>
        <v/>
      </c>
      <c r="R1668" s="7">
        <f>IF($B1668="","",Q1668-J1668)</f>
        <v/>
      </c>
      <c r="S1668" s="7" t="n"/>
      <c r="T1668" s="7" t="n"/>
      <c r="V1668" s="14" t="n"/>
      <c r="Z1668">
        <f>IF($B1668="","",IF(COUNTIF($B$2:$B1668,$B1668)=1,1,0))</f>
        <v/>
      </c>
      <c r="AA1668">
        <f>IF($Z1668=1,SUMPRODUCT(--($AC$2:$AC$3001&lt;$AC1668))+1,"")</f>
        <v/>
      </c>
      <c r="AB1668">
        <f>IF($B1668="","",IF(OR($Y1668=TRUE(),$Y1668="TRUE"),1,IF(AND($Y1668&lt;&gt;"",OR($Y1668=FALSE(),$Y1668="FALSE")),0,IF(MIN(ABS($X1668/100-Settings!$C$6),ABS($X1668/100-Settings!$G$6))&lt;=MIN(ABS($X1668/100-Settings!$C$7),ABS($X1668/100-Settings!$G$7)),1,0))))</f>
        <v/>
      </c>
      <c r="AC1668">
        <f>IF($Z1668=1,IFERROR(IF(VALUE($B1668)&lt;100000000,VALUE($B1668),1000000000),IFERROR(IF(VALUE(MID($B1668,2,20))&lt;100000000,VALUE(MID($B1668,2,20)),1000000000),1000000000))+ROW()/100000,"")</f>
        <v/>
      </c>
    </row>
    <row r="1669">
      <c r="A1669">
        <f>IF($B1669="","",IFERROR(IF(INDEX('Per Invoice'!$A$2:$A$801,MATCH($B1669,'Per Invoice'!$B$2:$B$801,0))=0,"",INDEX('Per Invoice'!$A$2:$A$801,MATCH($B1669,'Per Invoice'!$B$2:$B$801,0))),""))</f>
        <v/>
      </c>
      <c r="J1669" s="7">
        <f>IF($B1669="","",I1669*Q1669/100)</f>
        <v/>
      </c>
      <c r="N1669" s="7" t="n"/>
      <c r="O1669" s="7" t="n"/>
      <c r="P1669" s="7">
        <f>IF($B1669="","",O1669*X1669/100)</f>
        <v/>
      </c>
      <c r="Q1669" s="7">
        <f>IF($B1669="","",O1669-P1669)</f>
        <v/>
      </c>
      <c r="R1669" s="7">
        <f>IF($B1669="","",Q1669-J1669)</f>
        <v/>
      </c>
      <c r="S1669" s="7" t="n"/>
      <c r="T1669" s="7" t="n"/>
      <c r="V1669" s="14" t="n"/>
      <c r="Z1669">
        <f>IF($B1669="","",IF(COUNTIF($B$2:$B1669,$B1669)=1,1,0))</f>
        <v/>
      </c>
      <c r="AA1669">
        <f>IF($Z1669=1,SUMPRODUCT(--($AC$2:$AC$3001&lt;$AC1669))+1,"")</f>
        <v/>
      </c>
      <c r="AB1669">
        <f>IF($B1669="","",IF(OR($Y1669=TRUE(),$Y1669="TRUE"),1,IF(AND($Y1669&lt;&gt;"",OR($Y1669=FALSE(),$Y1669="FALSE")),0,IF(MIN(ABS($X1669/100-Settings!$C$6),ABS($X1669/100-Settings!$G$6))&lt;=MIN(ABS($X1669/100-Settings!$C$7),ABS($X1669/100-Settings!$G$7)),1,0))))</f>
        <v/>
      </c>
      <c r="AC1669">
        <f>IF($Z1669=1,IFERROR(IF(VALUE($B1669)&lt;100000000,VALUE($B1669),1000000000),IFERROR(IF(VALUE(MID($B1669,2,20))&lt;100000000,VALUE(MID($B1669,2,20)),1000000000),1000000000))+ROW()/100000,"")</f>
        <v/>
      </c>
    </row>
    <row r="1670">
      <c r="A1670">
        <f>IF($B1670="","",IFERROR(IF(INDEX('Per Invoice'!$A$2:$A$801,MATCH($B1670,'Per Invoice'!$B$2:$B$801,0))=0,"",INDEX('Per Invoice'!$A$2:$A$801,MATCH($B1670,'Per Invoice'!$B$2:$B$801,0))),""))</f>
        <v/>
      </c>
      <c r="J1670" s="7">
        <f>IF($B1670="","",I1670*Q1670/100)</f>
        <v/>
      </c>
      <c r="N1670" s="7" t="n"/>
      <c r="O1670" s="7" t="n"/>
      <c r="P1670" s="7">
        <f>IF($B1670="","",O1670*X1670/100)</f>
        <v/>
      </c>
      <c r="Q1670" s="7">
        <f>IF($B1670="","",O1670-P1670)</f>
        <v/>
      </c>
      <c r="R1670" s="7">
        <f>IF($B1670="","",Q1670-J1670)</f>
        <v/>
      </c>
      <c r="S1670" s="7" t="n"/>
      <c r="T1670" s="7" t="n"/>
      <c r="V1670" s="14" t="n"/>
      <c r="Z1670">
        <f>IF($B1670="","",IF(COUNTIF($B$2:$B1670,$B1670)=1,1,0))</f>
        <v/>
      </c>
      <c r="AA1670">
        <f>IF($Z1670=1,SUMPRODUCT(--($AC$2:$AC$3001&lt;$AC1670))+1,"")</f>
        <v/>
      </c>
      <c r="AB1670">
        <f>IF($B1670="","",IF(OR($Y1670=TRUE(),$Y1670="TRUE"),1,IF(AND($Y1670&lt;&gt;"",OR($Y1670=FALSE(),$Y1670="FALSE")),0,IF(MIN(ABS($X1670/100-Settings!$C$6),ABS($X1670/100-Settings!$G$6))&lt;=MIN(ABS($X1670/100-Settings!$C$7),ABS($X1670/100-Settings!$G$7)),1,0))))</f>
        <v/>
      </c>
      <c r="AC1670">
        <f>IF($Z1670=1,IFERROR(IF(VALUE($B1670)&lt;100000000,VALUE($B1670),1000000000),IFERROR(IF(VALUE(MID($B1670,2,20))&lt;100000000,VALUE(MID($B1670,2,20)),1000000000),1000000000))+ROW()/100000,"")</f>
        <v/>
      </c>
    </row>
    <row r="1671">
      <c r="A1671">
        <f>IF($B1671="","",IFERROR(IF(INDEX('Per Invoice'!$A$2:$A$801,MATCH($B1671,'Per Invoice'!$B$2:$B$801,0))=0,"",INDEX('Per Invoice'!$A$2:$A$801,MATCH($B1671,'Per Invoice'!$B$2:$B$801,0))),""))</f>
        <v/>
      </c>
      <c r="J1671" s="7">
        <f>IF($B1671="","",I1671*Q1671/100)</f>
        <v/>
      </c>
      <c r="N1671" s="7" t="n"/>
      <c r="O1671" s="7" t="n"/>
      <c r="P1671" s="7">
        <f>IF($B1671="","",O1671*X1671/100)</f>
        <v/>
      </c>
      <c r="Q1671" s="7">
        <f>IF($B1671="","",O1671-P1671)</f>
        <v/>
      </c>
      <c r="R1671" s="7">
        <f>IF($B1671="","",Q1671-J1671)</f>
        <v/>
      </c>
      <c r="S1671" s="7" t="n"/>
      <c r="T1671" s="7" t="n"/>
      <c r="V1671" s="14" t="n"/>
      <c r="Z1671">
        <f>IF($B1671="","",IF(COUNTIF($B$2:$B1671,$B1671)=1,1,0))</f>
        <v/>
      </c>
      <c r="AA1671">
        <f>IF($Z1671=1,SUMPRODUCT(--($AC$2:$AC$3001&lt;$AC1671))+1,"")</f>
        <v/>
      </c>
      <c r="AB1671">
        <f>IF($B1671="","",IF(OR($Y1671=TRUE(),$Y1671="TRUE"),1,IF(AND($Y1671&lt;&gt;"",OR($Y1671=FALSE(),$Y1671="FALSE")),0,IF(MIN(ABS($X1671/100-Settings!$C$6),ABS($X1671/100-Settings!$G$6))&lt;=MIN(ABS($X1671/100-Settings!$C$7),ABS($X1671/100-Settings!$G$7)),1,0))))</f>
        <v/>
      </c>
      <c r="AC1671">
        <f>IF($Z1671=1,IFERROR(IF(VALUE($B1671)&lt;100000000,VALUE($B1671),1000000000),IFERROR(IF(VALUE(MID($B1671,2,20))&lt;100000000,VALUE(MID($B1671,2,20)),1000000000),1000000000))+ROW()/100000,"")</f>
        <v/>
      </c>
    </row>
    <row r="1672">
      <c r="A1672">
        <f>IF($B1672="","",IFERROR(IF(INDEX('Per Invoice'!$A$2:$A$801,MATCH($B1672,'Per Invoice'!$B$2:$B$801,0))=0,"",INDEX('Per Invoice'!$A$2:$A$801,MATCH($B1672,'Per Invoice'!$B$2:$B$801,0))),""))</f>
        <v/>
      </c>
      <c r="J1672" s="7">
        <f>IF($B1672="","",I1672*Q1672/100)</f>
        <v/>
      </c>
      <c r="N1672" s="7" t="n"/>
      <c r="O1672" s="7" t="n"/>
      <c r="P1672" s="7">
        <f>IF($B1672="","",O1672*X1672/100)</f>
        <v/>
      </c>
      <c r="Q1672" s="7">
        <f>IF($B1672="","",O1672-P1672)</f>
        <v/>
      </c>
      <c r="R1672" s="7">
        <f>IF($B1672="","",Q1672-J1672)</f>
        <v/>
      </c>
      <c r="S1672" s="7" t="n"/>
      <c r="T1672" s="7" t="n"/>
      <c r="V1672" s="14" t="n"/>
      <c r="Z1672">
        <f>IF($B1672="","",IF(COUNTIF($B$2:$B1672,$B1672)=1,1,0))</f>
        <v/>
      </c>
      <c r="AA1672">
        <f>IF($Z1672=1,SUMPRODUCT(--($AC$2:$AC$3001&lt;$AC1672))+1,"")</f>
        <v/>
      </c>
      <c r="AB1672">
        <f>IF($B1672="","",IF(OR($Y1672=TRUE(),$Y1672="TRUE"),1,IF(AND($Y1672&lt;&gt;"",OR($Y1672=FALSE(),$Y1672="FALSE")),0,IF(MIN(ABS($X1672/100-Settings!$C$6),ABS($X1672/100-Settings!$G$6))&lt;=MIN(ABS($X1672/100-Settings!$C$7),ABS($X1672/100-Settings!$G$7)),1,0))))</f>
        <v/>
      </c>
      <c r="AC1672">
        <f>IF($Z1672=1,IFERROR(IF(VALUE($B1672)&lt;100000000,VALUE($B1672),1000000000),IFERROR(IF(VALUE(MID($B1672,2,20))&lt;100000000,VALUE(MID($B1672,2,20)),1000000000),1000000000))+ROW()/100000,"")</f>
        <v/>
      </c>
    </row>
    <row r="1673">
      <c r="A1673">
        <f>IF($B1673="","",IFERROR(IF(INDEX('Per Invoice'!$A$2:$A$801,MATCH($B1673,'Per Invoice'!$B$2:$B$801,0))=0,"",INDEX('Per Invoice'!$A$2:$A$801,MATCH($B1673,'Per Invoice'!$B$2:$B$801,0))),""))</f>
        <v/>
      </c>
      <c r="J1673" s="7">
        <f>IF($B1673="","",I1673*Q1673/100)</f>
        <v/>
      </c>
      <c r="N1673" s="7" t="n"/>
      <c r="O1673" s="7" t="n"/>
      <c r="P1673" s="7">
        <f>IF($B1673="","",O1673*X1673/100)</f>
        <v/>
      </c>
      <c r="Q1673" s="7">
        <f>IF($B1673="","",O1673-P1673)</f>
        <v/>
      </c>
      <c r="R1673" s="7">
        <f>IF($B1673="","",Q1673-J1673)</f>
        <v/>
      </c>
      <c r="S1673" s="7" t="n"/>
      <c r="T1673" s="7" t="n"/>
      <c r="V1673" s="14" t="n"/>
      <c r="Z1673">
        <f>IF($B1673="","",IF(COUNTIF($B$2:$B1673,$B1673)=1,1,0))</f>
        <v/>
      </c>
      <c r="AA1673">
        <f>IF($Z1673=1,SUMPRODUCT(--($AC$2:$AC$3001&lt;$AC1673))+1,"")</f>
        <v/>
      </c>
      <c r="AB1673">
        <f>IF($B1673="","",IF(OR($Y1673=TRUE(),$Y1673="TRUE"),1,IF(AND($Y1673&lt;&gt;"",OR($Y1673=FALSE(),$Y1673="FALSE")),0,IF(MIN(ABS($X1673/100-Settings!$C$6),ABS($X1673/100-Settings!$G$6))&lt;=MIN(ABS($X1673/100-Settings!$C$7),ABS($X1673/100-Settings!$G$7)),1,0))))</f>
        <v/>
      </c>
      <c r="AC1673">
        <f>IF($Z1673=1,IFERROR(IF(VALUE($B1673)&lt;100000000,VALUE($B1673),1000000000),IFERROR(IF(VALUE(MID($B1673,2,20))&lt;100000000,VALUE(MID($B1673,2,20)),1000000000),1000000000))+ROW()/100000,"")</f>
        <v/>
      </c>
    </row>
    <row r="1674">
      <c r="A1674">
        <f>IF($B1674="","",IFERROR(IF(INDEX('Per Invoice'!$A$2:$A$801,MATCH($B1674,'Per Invoice'!$B$2:$B$801,0))=0,"",INDEX('Per Invoice'!$A$2:$A$801,MATCH($B1674,'Per Invoice'!$B$2:$B$801,0))),""))</f>
        <v/>
      </c>
      <c r="J1674" s="7">
        <f>IF($B1674="","",I1674*Q1674/100)</f>
        <v/>
      </c>
      <c r="N1674" s="7" t="n"/>
      <c r="O1674" s="7" t="n"/>
      <c r="P1674" s="7">
        <f>IF($B1674="","",O1674*X1674/100)</f>
        <v/>
      </c>
      <c r="Q1674" s="7">
        <f>IF($B1674="","",O1674-P1674)</f>
        <v/>
      </c>
      <c r="R1674" s="7">
        <f>IF($B1674="","",Q1674-J1674)</f>
        <v/>
      </c>
      <c r="S1674" s="7" t="n"/>
      <c r="T1674" s="7" t="n"/>
      <c r="V1674" s="14" t="n"/>
      <c r="Z1674">
        <f>IF($B1674="","",IF(COUNTIF($B$2:$B1674,$B1674)=1,1,0))</f>
        <v/>
      </c>
      <c r="AA1674">
        <f>IF($Z1674=1,SUMPRODUCT(--($AC$2:$AC$3001&lt;$AC1674))+1,"")</f>
        <v/>
      </c>
      <c r="AB1674">
        <f>IF($B1674="","",IF(OR($Y1674=TRUE(),$Y1674="TRUE"),1,IF(AND($Y1674&lt;&gt;"",OR($Y1674=FALSE(),$Y1674="FALSE")),0,IF(MIN(ABS($X1674/100-Settings!$C$6),ABS($X1674/100-Settings!$G$6))&lt;=MIN(ABS($X1674/100-Settings!$C$7),ABS($X1674/100-Settings!$G$7)),1,0))))</f>
        <v/>
      </c>
      <c r="AC1674">
        <f>IF($Z1674=1,IFERROR(IF(VALUE($B1674)&lt;100000000,VALUE($B1674),1000000000),IFERROR(IF(VALUE(MID($B1674,2,20))&lt;100000000,VALUE(MID($B1674,2,20)),1000000000),1000000000))+ROW()/100000,"")</f>
        <v/>
      </c>
    </row>
    <row r="1675">
      <c r="A1675">
        <f>IF($B1675="","",IFERROR(IF(INDEX('Per Invoice'!$A$2:$A$801,MATCH($B1675,'Per Invoice'!$B$2:$B$801,0))=0,"",INDEX('Per Invoice'!$A$2:$A$801,MATCH($B1675,'Per Invoice'!$B$2:$B$801,0))),""))</f>
        <v/>
      </c>
      <c r="J1675" s="7">
        <f>IF($B1675="","",I1675*Q1675/100)</f>
        <v/>
      </c>
      <c r="N1675" s="7" t="n"/>
      <c r="O1675" s="7" t="n"/>
      <c r="P1675" s="7">
        <f>IF($B1675="","",O1675*X1675/100)</f>
        <v/>
      </c>
      <c r="Q1675" s="7">
        <f>IF($B1675="","",O1675-P1675)</f>
        <v/>
      </c>
      <c r="R1675" s="7">
        <f>IF($B1675="","",Q1675-J1675)</f>
        <v/>
      </c>
      <c r="S1675" s="7" t="n"/>
      <c r="T1675" s="7" t="n"/>
      <c r="V1675" s="14" t="n"/>
      <c r="Z1675">
        <f>IF($B1675="","",IF(COUNTIF($B$2:$B1675,$B1675)=1,1,0))</f>
        <v/>
      </c>
      <c r="AA1675">
        <f>IF($Z1675=1,SUMPRODUCT(--($AC$2:$AC$3001&lt;$AC1675))+1,"")</f>
        <v/>
      </c>
      <c r="AB1675">
        <f>IF($B1675="","",IF(OR($Y1675=TRUE(),$Y1675="TRUE"),1,IF(AND($Y1675&lt;&gt;"",OR($Y1675=FALSE(),$Y1675="FALSE")),0,IF(MIN(ABS($X1675/100-Settings!$C$6),ABS($X1675/100-Settings!$G$6))&lt;=MIN(ABS($X1675/100-Settings!$C$7),ABS($X1675/100-Settings!$G$7)),1,0))))</f>
        <v/>
      </c>
      <c r="AC1675">
        <f>IF($Z1675=1,IFERROR(IF(VALUE($B1675)&lt;100000000,VALUE($B1675),1000000000),IFERROR(IF(VALUE(MID($B1675,2,20))&lt;100000000,VALUE(MID($B1675,2,20)),1000000000),1000000000))+ROW()/100000,"")</f>
        <v/>
      </c>
    </row>
    <row r="1676">
      <c r="A1676">
        <f>IF($B1676="","",IFERROR(IF(INDEX('Per Invoice'!$A$2:$A$801,MATCH($B1676,'Per Invoice'!$B$2:$B$801,0))=0,"",INDEX('Per Invoice'!$A$2:$A$801,MATCH($B1676,'Per Invoice'!$B$2:$B$801,0))),""))</f>
        <v/>
      </c>
      <c r="J1676" s="7">
        <f>IF($B1676="","",I1676*Q1676/100)</f>
        <v/>
      </c>
      <c r="N1676" s="7" t="n"/>
      <c r="O1676" s="7" t="n"/>
      <c r="P1676" s="7">
        <f>IF($B1676="","",O1676*X1676/100)</f>
        <v/>
      </c>
      <c r="Q1676" s="7">
        <f>IF($B1676="","",O1676-P1676)</f>
        <v/>
      </c>
      <c r="R1676" s="7">
        <f>IF($B1676="","",Q1676-J1676)</f>
        <v/>
      </c>
      <c r="S1676" s="7" t="n"/>
      <c r="T1676" s="7" t="n"/>
      <c r="V1676" s="14" t="n"/>
      <c r="Z1676">
        <f>IF($B1676="","",IF(COUNTIF($B$2:$B1676,$B1676)=1,1,0))</f>
        <v/>
      </c>
      <c r="AA1676">
        <f>IF($Z1676=1,SUMPRODUCT(--($AC$2:$AC$3001&lt;$AC1676))+1,"")</f>
        <v/>
      </c>
      <c r="AB1676">
        <f>IF($B1676="","",IF(OR($Y1676=TRUE(),$Y1676="TRUE"),1,IF(AND($Y1676&lt;&gt;"",OR($Y1676=FALSE(),$Y1676="FALSE")),0,IF(MIN(ABS($X1676/100-Settings!$C$6),ABS($X1676/100-Settings!$G$6))&lt;=MIN(ABS($X1676/100-Settings!$C$7),ABS($X1676/100-Settings!$G$7)),1,0))))</f>
        <v/>
      </c>
      <c r="AC1676">
        <f>IF($Z1676=1,IFERROR(IF(VALUE($B1676)&lt;100000000,VALUE($B1676),1000000000),IFERROR(IF(VALUE(MID($B1676,2,20))&lt;100000000,VALUE(MID($B1676,2,20)),1000000000),1000000000))+ROW()/100000,"")</f>
        <v/>
      </c>
    </row>
    <row r="1677">
      <c r="A1677">
        <f>IF($B1677="","",IFERROR(IF(INDEX('Per Invoice'!$A$2:$A$801,MATCH($B1677,'Per Invoice'!$B$2:$B$801,0))=0,"",INDEX('Per Invoice'!$A$2:$A$801,MATCH($B1677,'Per Invoice'!$B$2:$B$801,0))),""))</f>
        <v/>
      </c>
      <c r="J1677" s="7">
        <f>IF($B1677="","",I1677*Q1677/100)</f>
        <v/>
      </c>
      <c r="N1677" s="7" t="n"/>
      <c r="O1677" s="7" t="n"/>
      <c r="P1677" s="7">
        <f>IF($B1677="","",O1677*X1677/100)</f>
        <v/>
      </c>
      <c r="Q1677" s="7">
        <f>IF($B1677="","",O1677-P1677)</f>
        <v/>
      </c>
      <c r="R1677" s="7">
        <f>IF($B1677="","",Q1677-J1677)</f>
        <v/>
      </c>
      <c r="S1677" s="7" t="n"/>
      <c r="T1677" s="7" t="n"/>
      <c r="V1677" s="14" t="n"/>
      <c r="Z1677">
        <f>IF($B1677="","",IF(COUNTIF($B$2:$B1677,$B1677)=1,1,0))</f>
        <v/>
      </c>
      <c r="AA1677">
        <f>IF($Z1677=1,SUMPRODUCT(--($AC$2:$AC$3001&lt;$AC1677))+1,"")</f>
        <v/>
      </c>
      <c r="AB1677">
        <f>IF($B1677="","",IF(OR($Y1677=TRUE(),$Y1677="TRUE"),1,IF(AND($Y1677&lt;&gt;"",OR($Y1677=FALSE(),$Y1677="FALSE")),0,IF(MIN(ABS($X1677/100-Settings!$C$6),ABS($X1677/100-Settings!$G$6))&lt;=MIN(ABS($X1677/100-Settings!$C$7),ABS($X1677/100-Settings!$G$7)),1,0))))</f>
        <v/>
      </c>
      <c r="AC1677">
        <f>IF($Z1677=1,IFERROR(IF(VALUE($B1677)&lt;100000000,VALUE($B1677),1000000000),IFERROR(IF(VALUE(MID($B1677,2,20))&lt;100000000,VALUE(MID($B1677,2,20)),1000000000),1000000000))+ROW()/100000,"")</f>
        <v/>
      </c>
    </row>
    <row r="1678">
      <c r="A1678">
        <f>IF($B1678="","",IFERROR(IF(INDEX('Per Invoice'!$A$2:$A$801,MATCH($B1678,'Per Invoice'!$B$2:$B$801,0))=0,"",INDEX('Per Invoice'!$A$2:$A$801,MATCH($B1678,'Per Invoice'!$B$2:$B$801,0))),""))</f>
        <v/>
      </c>
      <c r="J1678" s="7">
        <f>IF($B1678="","",I1678*Q1678/100)</f>
        <v/>
      </c>
      <c r="N1678" s="7" t="n"/>
      <c r="O1678" s="7" t="n"/>
      <c r="P1678" s="7">
        <f>IF($B1678="","",O1678*X1678/100)</f>
        <v/>
      </c>
      <c r="Q1678" s="7">
        <f>IF($B1678="","",O1678-P1678)</f>
        <v/>
      </c>
      <c r="R1678" s="7">
        <f>IF($B1678="","",Q1678-J1678)</f>
        <v/>
      </c>
      <c r="S1678" s="7" t="n"/>
      <c r="T1678" s="7" t="n"/>
      <c r="V1678" s="14" t="n"/>
      <c r="Z1678">
        <f>IF($B1678="","",IF(COUNTIF($B$2:$B1678,$B1678)=1,1,0))</f>
        <v/>
      </c>
      <c r="AA1678">
        <f>IF($Z1678=1,SUMPRODUCT(--($AC$2:$AC$3001&lt;$AC1678))+1,"")</f>
        <v/>
      </c>
      <c r="AB1678">
        <f>IF($B1678="","",IF(OR($Y1678=TRUE(),$Y1678="TRUE"),1,IF(AND($Y1678&lt;&gt;"",OR($Y1678=FALSE(),$Y1678="FALSE")),0,IF(MIN(ABS($X1678/100-Settings!$C$6),ABS($X1678/100-Settings!$G$6))&lt;=MIN(ABS($X1678/100-Settings!$C$7),ABS($X1678/100-Settings!$G$7)),1,0))))</f>
        <v/>
      </c>
      <c r="AC1678">
        <f>IF($Z1678=1,IFERROR(IF(VALUE($B1678)&lt;100000000,VALUE($B1678),1000000000),IFERROR(IF(VALUE(MID($B1678,2,20))&lt;100000000,VALUE(MID($B1678,2,20)),1000000000),1000000000))+ROW()/100000,"")</f>
        <v/>
      </c>
    </row>
    <row r="1679">
      <c r="A1679">
        <f>IF($B1679="","",IFERROR(IF(INDEX('Per Invoice'!$A$2:$A$801,MATCH($B1679,'Per Invoice'!$B$2:$B$801,0))=0,"",INDEX('Per Invoice'!$A$2:$A$801,MATCH($B1679,'Per Invoice'!$B$2:$B$801,0))),""))</f>
        <v/>
      </c>
      <c r="J1679" s="7">
        <f>IF($B1679="","",I1679*Q1679/100)</f>
        <v/>
      </c>
      <c r="N1679" s="7" t="n"/>
      <c r="O1679" s="7" t="n"/>
      <c r="P1679" s="7">
        <f>IF($B1679="","",O1679*X1679/100)</f>
        <v/>
      </c>
      <c r="Q1679" s="7">
        <f>IF($B1679="","",O1679-P1679)</f>
        <v/>
      </c>
      <c r="R1679" s="7">
        <f>IF($B1679="","",Q1679-J1679)</f>
        <v/>
      </c>
      <c r="S1679" s="7" t="n"/>
      <c r="T1679" s="7" t="n"/>
      <c r="V1679" s="14" t="n"/>
      <c r="Z1679">
        <f>IF($B1679="","",IF(COUNTIF($B$2:$B1679,$B1679)=1,1,0))</f>
        <v/>
      </c>
      <c r="AA1679">
        <f>IF($Z1679=1,SUMPRODUCT(--($AC$2:$AC$3001&lt;$AC1679))+1,"")</f>
        <v/>
      </c>
      <c r="AB1679">
        <f>IF($B1679="","",IF(OR($Y1679=TRUE(),$Y1679="TRUE"),1,IF(AND($Y1679&lt;&gt;"",OR($Y1679=FALSE(),$Y1679="FALSE")),0,IF(MIN(ABS($X1679/100-Settings!$C$6),ABS($X1679/100-Settings!$G$6))&lt;=MIN(ABS($X1679/100-Settings!$C$7),ABS($X1679/100-Settings!$G$7)),1,0))))</f>
        <v/>
      </c>
      <c r="AC1679">
        <f>IF($Z1679=1,IFERROR(IF(VALUE($B1679)&lt;100000000,VALUE($B1679),1000000000),IFERROR(IF(VALUE(MID($B1679,2,20))&lt;100000000,VALUE(MID($B1679,2,20)),1000000000),1000000000))+ROW()/100000,"")</f>
        <v/>
      </c>
    </row>
    <row r="1680">
      <c r="A1680">
        <f>IF($B1680="","",IFERROR(IF(INDEX('Per Invoice'!$A$2:$A$801,MATCH($B1680,'Per Invoice'!$B$2:$B$801,0))=0,"",INDEX('Per Invoice'!$A$2:$A$801,MATCH($B1680,'Per Invoice'!$B$2:$B$801,0))),""))</f>
        <v/>
      </c>
      <c r="J1680" s="7">
        <f>IF($B1680="","",I1680*Q1680/100)</f>
        <v/>
      </c>
      <c r="N1680" s="7" t="n"/>
      <c r="O1680" s="7" t="n"/>
      <c r="P1680" s="7">
        <f>IF($B1680="","",O1680*X1680/100)</f>
        <v/>
      </c>
      <c r="Q1680" s="7">
        <f>IF($B1680="","",O1680-P1680)</f>
        <v/>
      </c>
      <c r="R1680" s="7">
        <f>IF($B1680="","",Q1680-J1680)</f>
        <v/>
      </c>
      <c r="S1680" s="7" t="n"/>
      <c r="T1680" s="7" t="n"/>
      <c r="V1680" s="14" t="n"/>
      <c r="Z1680">
        <f>IF($B1680="","",IF(COUNTIF($B$2:$B1680,$B1680)=1,1,0))</f>
        <v/>
      </c>
      <c r="AA1680">
        <f>IF($Z1680=1,SUMPRODUCT(--($AC$2:$AC$3001&lt;$AC1680))+1,"")</f>
        <v/>
      </c>
      <c r="AB1680">
        <f>IF($B1680="","",IF(OR($Y1680=TRUE(),$Y1680="TRUE"),1,IF(AND($Y1680&lt;&gt;"",OR($Y1680=FALSE(),$Y1680="FALSE")),0,IF(MIN(ABS($X1680/100-Settings!$C$6),ABS($X1680/100-Settings!$G$6))&lt;=MIN(ABS($X1680/100-Settings!$C$7),ABS($X1680/100-Settings!$G$7)),1,0))))</f>
        <v/>
      </c>
      <c r="AC1680">
        <f>IF($Z1680=1,IFERROR(IF(VALUE($B1680)&lt;100000000,VALUE($B1680),1000000000),IFERROR(IF(VALUE(MID($B1680,2,20))&lt;100000000,VALUE(MID($B1680,2,20)),1000000000),1000000000))+ROW()/100000,"")</f>
        <v/>
      </c>
    </row>
    <row r="1681">
      <c r="A1681">
        <f>IF($B1681="","",IFERROR(IF(INDEX('Per Invoice'!$A$2:$A$801,MATCH($B1681,'Per Invoice'!$B$2:$B$801,0))=0,"",INDEX('Per Invoice'!$A$2:$A$801,MATCH($B1681,'Per Invoice'!$B$2:$B$801,0))),""))</f>
        <v/>
      </c>
      <c r="J1681" s="7">
        <f>IF($B1681="","",I1681*Q1681/100)</f>
        <v/>
      </c>
      <c r="N1681" s="7" t="n"/>
      <c r="O1681" s="7" t="n"/>
      <c r="P1681" s="7">
        <f>IF($B1681="","",O1681*X1681/100)</f>
        <v/>
      </c>
      <c r="Q1681" s="7">
        <f>IF($B1681="","",O1681-P1681)</f>
        <v/>
      </c>
      <c r="R1681" s="7">
        <f>IF($B1681="","",Q1681-J1681)</f>
        <v/>
      </c>
      <c r="S1681" s="7" t="n"/>
      <c r="T1681" s="7" t="n"/>
      <c r="V1681" s="14" t="n"/>
      <c r="Z1681">
        <f>IF($B1681="","",IF(COUNTIF($B$2:$B1681,$B1681)=1,1,0))</f>
        <v/>
      </c>
      <c r="AA1681">
        <f>IF($Z1681=1,SUMPRODUCT(--($AC$2:$AC$3001&lt;$AC1681))+1,"")</f>
        <v/>
      </c>
      <c r="AB1681">
        <f>IF($B1681="","",IF(OR($Y1681=TRUE(),$Y1681="TRUE"),1,IF(AND($Y1681&lt;&gt;"",OR($Y1681=FALSE(),$Y1681="FALSE")),0,IF(MIN(ABS($X1681/100-Settings!$C$6),ABS($X1681/100-Settings!$G$6))&lt;=MIN(ABS($X1681/100-Settings!$C$7),ABS($X1681/100-Settings!$G$7)),1,0))))</f>
        <v/>
      </c>
      <c r="AC1681">
        <f>IF($Z1681=1,IFERROR(IF(VALUE($B1681)&lt;100000000,VALUE($B1681),1000000000),IFERROR(IF(VALUE(MID($B1681,2,20))&lt;100000000,VALUE(MID($B1681,2,20)),1000000000),1000000000))+ROW()/100000,"")</f>
        <v/>
      </c>
    </row>
    <row r="1682">
      <c r="A1682">
        <f>IF($B1682="","",IFERROR(IF(INDEX('Per Invoice'!$A$2:$A$801,MATCH($B1682,'Per Invoice'!$B$2:$B$801,0))=0,"",INDEX('Per Invoice'!$A$2:$A$801,MATCH($B1682,'Per Invoice'!$B$2:$B$801,0))),""))</f>
        <v/>
      </c>
      <c r="J1682" s="7">
        <f>IF($B1682="","",I1682*Q1682/100)</f>
        <v/>
      </c>
      <c r="N1682" s="7" t="n"/>
      <c r="O1682" s="7" t="n"/>
      <c r="P1682" s="7">
        <f>IF($B1682="","",O1682*X1682/100)</f>
        <v/>
      </c>
      <c r="Q1682" s="7">
        <f>IF($B1682="","",O1682-P1682)</f>
        <v/>
      </c>
      <c r="R1682" s="7">
        <f>IF($B1682="","",Q1682-J1682)</f>
        <v/>
      </c>
      <c r="S1682" s="7" t="n"/>
      <c r="T1682" s="7" t="n"/>
      <c r="V1682" s="14" t="n"/>
      <c r="Z1682">
        <f>IF($B1682="","",IF(COUNTIF($B$2:$B1682,$B1682)=1,1,0))</f>
        <v/>
      </c>
      <c r="AA1682">
        <f>IF($Z1682=1,SUMPRODUCT(--($AC$2:$AC$3001&lt;$AC1682))+1,"")</f>
        <v/>
      </c>
      <c r="AB1682">
        <f>IF($B1682="","",IF(OR($Y1682=TRUE(),$Y1682="TRUE"),1,IF(AND($Y1682&lt;&gt;"",OR($Y1682=FALSE(),$Y1682="FALSE")),0,IF(MIN(ABS($X1682/100-Settings!$C$6),ABS($X1682/100-Settings!$G$6))&lt;=MIN(ABS($X1682/100-Settings!$C$7),ABS($X1682/100-Settings!$G$7)),1,0))))</f>
        <v/>
      </c>
      <c r="AC1682">
        <f>IF($Z1682=1,IFERROR(IF(VALUE($B1682)&lt;100000000,VALUE($B1682),1000000000),IFERROR(IF(VALUE(MID($B1682,2,20))&lt;100000000,VALUE(MID($B1682,2,20)),1000000000),1000000000))+ROW()/100000,"")</f>
        <v/>
      </c>
    </row>
    <row r="1683">
      <c r="A1683">
        <f>IF($B1683="","",IFERROR(IF(INDEX('Per Invoice'!$A$2:$A$801,MATCH($B1683,'Per Invoice'!$B$2:$B$801,0))=0,"",INDEX('Per Invoice'!$A$2:$A$801,MATCH($B1683,'Per Invoice'!$B$2:$B$801,0))),""))</f>
        <v/>
      </c>
      <c r="J1683" s="7">
        <f>IF($B1683="","",I1683*Q1683/100)</f>
        <v/>
      </c>
      <c r="N1683" s="7" t="n"/>
      <c r="O1683" s="7" t="n"/>
      <c r="P1683" s="7">
        <f>IF($B1683="","",O1683*X1683/100)</f>
        <v/>
      </c>
      <c r="Q1683" s="7">
        <f>IF($B1683="","",O1683-P1683)</f>
        <v/>
      </c>
      <c r="R1683" s="7">
        <f>IF($B1683="","",Q1683-J1683)</f>
        <v/>
      </c>
      <c r="S1683" s="7" t="n"/>
      <c r="T1683" s="7" t="n"/>
      <c r="V1683" s="14" t="n"/>
      <c r="Z1683">
        <f>IF($B1683="","",IF(COUNTIF($B$2:$B1683,$B1683)=1,1,0))</f>
        <v/>
      </c>
      <c r="AA1683">
        <f>IF($Z1683=1,SUMPRODUCT(--($AC$2:$AC$3001&lt;$AC1683))+1,"")</f>
        <v/>
      </c>
      <c r="AB1683">
        <f>IF($B1683="","",IF(OR($Y1683=TRUE(),$Y1683="TRUE"),1,IF(AND($Y1683&lt;&gt;"",OR($Y1683=FALSE(),$Y1683="FALSE")),0,IF(MIN(ABS($X1683/100-Settings!$C$6),ABS($X1683/100-Settings!$G$6))&lt;=MIN(ABS($X1683/100-Settings!$C$7),ABS($X1683/100-Settings!$G$7)),1,0))))</f>
        <v/>
      </c>
      <c r="AC1683">
        <f>IF($Z1683=1,IFERROR(IF(VALUE($B1683)&lt;100000000,VALUE($B1683),1000000000),IFERROR(IF(VALUE(MID($B1683,2,20))&lt;100000000,VALUE(MID($B1683,2,20)),1000000000),1000000000))+ROW()/100000,"")</f>
        <v/>
      </c>
    </row>
    <row r="1684">
      <c r="A1684">
        <f>IF($B1684="","",IFERROR(IF(INDEX('Per Invoice'!$A$2:$A$801,MATCH($B1684,'Per Invoice'!$B$2:$B$801,0))=0,"",INDEX('Per Invoice'!$A$2:$A$801,MATCH($B1684,'Per Invoice'!$B$2:$B$801,0))),""))</f>
        <v/>
      </c>
      <c r="J1684" s="7">
        <f>IF($B1684="","",I1684*Q1684/100)</f>
        <v/>
      </c>
      <c r="N1684" s="7" t="n"/>
      <c r="O1684" s="7" t="n"/>
      <c r="P1684" s="7">
        <f>IF($B1684="","",O1684*X1684/100)</f>
        <v/>
      </c>
      <c r="Q1684" s="7">
        <f>IF($B1684="","",O1684-P1684)</f>
        <v/>
      </c>
      <c r="R1684" s="7">
        <f>IF($B1684="","",Q1684-J1684)</f>
        <v/>
      </c>
      <c r="S1684" s="7" t="n"/>
      <c r="T1684" s="7" t="n"/>
      <c r="V1684" s="14" t="n"/>
      <c r="Z1684">
        <f>IF($B1684="","",IF(COUNTIF($B$2:$B1684,$B1684)=1,1,0))</f>
        <v/>
      </c>
      <c r="AA1684">
        <f>IF($Z1684=1,SUMPRODUCT(--($AC$2:$AC$3001&lt;$AC1684))+1,"")</f>
        <v/>
      </c>
      <c r="AB1684">
        <f>IF($B1684="","",IF(OR($Y1684=TRUE(),$Y1684="TRUE"),1,IF(AND($Y1684&lt;&gt;"",OR($Y1684=FALSE(),$Y1684="FALSE")),0,IF(MIN(ABS($X1684/100-Settings!$C$6),ABS($X1684/100-Settings!$G$6))&lt;=MIN(ABS($X1684/100-Settings!$C$7),ABS($X1684/100-Settings!$G$7)),1,0))))</f>
        <v/>
      </c>
      <c r="AC1684">
        <f>IF($Z1684=1,IFERROR(IF(VALUE($B1684)&lt;100000000,VALUE($B1684),1000000000),IFERROR(IF(VALUE(MID($B1684,2,20))&lt;100000000,VALUE(MID($B1684,2,20)),1000000000),1000000000))+ROW()/100000,"")</f>
        <v/>
      </c>
    </row>
    <row r="1685">
      <c r="A1685">
        <f>IF($B1685="","",IFERROR(IF(INDEX('Per Invoice'!$A$2:$A$801,MATCH($B1685,'Per Invoice'!$B$2:$B$801,0))=0,"",INDEX('Per Invoice'!$A$2:$A$801,MATCH($B1685,'Per Invoice'!$B$2:$B$801,0))),""))</f>
        <v/>
      </c>
      <c r="J1685" s="7">
        <f>IF($B1685="","",I1685*Q1685/100)</f>
        <v/>
      </c>
      <c r="N1685" s="7" t="n"/>
      <c r="O1685" s="7" t="n"/>
      <c r="P1685" s="7">
        <f>IF($B1685="","",O1685*X1685/100)</f>
        <v/>
      </c>
      <c r="Q1685" s="7">
        <f>IF($B1685="","",O1685-P1685)</f>
        <v/>
      </c>
      <c r="R1685" s="7">
        <f>IF($B1685="","",Q1685-J1685)</f>
        <v/>
      </c>
      <c r="S1685" s="7" t="n"/>
      <c r="T1685" s="7" t="n"/>
      <c r="V1685" s="14" t="n"/>
      <c r="Z1685">
        <f>IF($B1685="","",IF(COUNTIF($B$2:$B1685,$B1685)=1,1,0))</f>
        <v/>
      </c>
      <c r="AA1685">
        <f>IF($Z1685=1,SUMPRODUCT(--($AC$2:$AC$3001&lt;$AC1685))+1,"")</f>
        <v/>
      </c>
      <c r="AB1685">
        <f>IF($B1685="","",IF(OR($Y1685=TRUE(),$Y1685="TRUE"),1,IF(AND($Y1685&lt;&gt;"",OR($Y1685=FALSE(),$Y1685="FALSE")),0,IF(MIN(ABS($X1685/100-Settings!$C$6),ABS($X1685/100-Settings!$G$6))&lt;=MIN(ABS($X1685/100-Settings!$C$7),ABS($X1685/100-Settings!$G$7)),1,0))))</f>
        <v/>
      </c>
      <c r="AC1685">
        <f>IF($Z1685=1,IFERROR(IF(VALUE($B1685)&lt;100000000,VALUE($B1685),1000000000),IFERROR(IF(VALUE(MID($B1685,2,20))&lt;100000000,VALUE(MID($B1685,2,20)),1000000000),1000000000))+ROW()/100000,"")</f>
        <v/>
      </c>
    </row>
    <row r="1686">
      <c r="A1686">
        <f>IF($B1686="","",IFERROR(IF(INDEX('Per Invoice'!$A$2:$A$801,MATCH($B1686,'Per Invoice'!$B$2:$B$801,0))=0,"",INDEX('Per Invoice'!$A$2:$A$801,MATCH($B1686,'Per Invoice'!$B$2:$B$801,0))),""))</f>
        <v/>
      </c>
      <c r="J1686" s="7">
        <f>IF($B1686="","",I1686*Q1686/100)</f>
        <v/>
      </c>
      <c r="N1686" s="7" t="n"/>
      <c r="O1686" s="7" t="n"/>
      <c r="P1686" s="7">
        <f>IF($B1686="","",O1686*X1686/100)</f>
        <v/>
      </c>
      <c r="Q1686" s="7">
        <f>IF($B1686="","",O1686-P1686)</f>
        <v/>
      </c>
      <c r="R1686" s="7">
        <f>IF($B1686="","",Q1686-J1686)</f>
        <v/>
      </c>
      <c r="S1686" s="7" t="n"/>
      <c r="T1686" s="7" t="n"/>
      <c r="V1686" s="14" t="n"/>
      <c r="Z1686">
        <f>IF($B1686="","",IF(COUNTIF($B$2:$B1686,$B1686)=1,1,0))</f>
        <v/>
      </c>
      <c r="AA1686">
        <f>IF($Z1686=1,SUMPRODUCT(--($AC$2:$AC$3001&lt;$AC1686))+1,"")</f>
        <v/>
      </c>
      <c r="AB1686">
        <f>IF($B1686="","",IF(OR($Y1686=TRUE(),$Y1686="TRUE"),1,IF(AND($Y1686&lt;&gt;"",OR($Y1686=FALSE(),$Y1686="FALSE")),0,IF(MIN(ABS($X1686/100-Settings!$C$6),ABS($X1686/100-Settings!$G$6))&lt;=MIN(ABS($X1686/100-Settings!$C$7),ABS($X1686/100-Settings!$G$7)),1,0))))</f>
        <v/>
      </c>
      <c r="AC1686">
        <f>IF($Z1686=1,IFERROR(IF(VALUE($B1686)&lt;100000000,VALUE($B1686),1000000000),IFERROR(IF(VALUE(MID($B1686,2,20))&lt;100000000,VALUE(MID($B1686,2,20)),1000000000),1000000000))+ROW()/100000,"")</f>
        <v/>
      </c>
    </row>
    <row r="1687">
      <c r="A1687">
        <f>IF($B1687="","",IFERROR(IF(INDEX('Per Invoice'!$A$2:$A$801,MATCH($B1687,'Per Invoice'!$B$2:$B$801,0))=0,"",INDEX('Per Invoice'!$A$2:$A$801,MATCH($B1687,'Per Invoice'!$B$2:$B$801,0))),""))</f>
        <v/>
      </c>
      <c r="J1687" s="7">
        <f>IF($B1687="","",I1687*Q1687/100)</f>
        <v/>
      </c>
      <c r="N1687" s="7" t="n"/>
      <c r="O1687" s="7" t="n"/>
      <c r="P1687" s="7">
        <f>IF($B1687="","",O1687*X1687/100)</f>
        <v/>
      </c>
      <c r="Q1687" s="7">
        <f>IF($B1687="","",O1687-P1687)</f>
        <v/>
      </c>
      <c r="R1687" s="7">
        <f>IF($B1687="","",Q1687-J1687)</f>
        <v/>
      </c>
      <c r="S1687" s="7" t="n"/>
      <c r="T1687" s="7" t="n"/>
      <c r="V1687" s="14" t="n"/>
      <c r="Z1687">
        <f>IF($B1687="","",IF(COUNTIF($B$2:$B1687,$B1687)=1,1,0))</f>
        <v/>
      </c>
      <c r="AA1687">
        <f>IF($Z1687=1,SUMPRODUCT(--($AC$2:$AC$3001&lt;$AC1687))+1,"")</f>
        <v/>
      </c>
      <c r="AB1687">
        <f>IF($B1687="","",IF(OR($Y1687=TRUE(),$Y1687="TRUE"),1,IF(AND($Y1687&lt;&gt;"",OR($Y1687=FALSE(),$Y1687="FALSE")),0,IF(MIN(ABS($X1687/100-Settings!$C$6),ABS($X1687/100-Settings!$G$6))&lt;=MIN(ABS($X1687/100-Settings!$C$7),ABS($X1687/100-Settings!$G$7)),1,0))))</f>
        <v/>
      </c>
      <c r="AC1687">
        <f>IF($Z1687=1,IFERROR(IF(VALUE($B1687)&lt;100000000,VALUE($B1687),1000000000),IFERROR(IF(VALUE(MID($B1687,2,20))&lt;100000000,VALUE(MID($B1687,2,20)),1000000000),1000000000))+ROW()/100000,"")</f>
        <v/>
      </c>
    </row>
    <row r="1688">
      <c r="A1688">
        <f>IF($B1688="","",IFERROR(IF(INDEX('Per Invoice'!$A$2:$A$801,MATCH($B1688,'Per Invoice'!$B$2:$B$801,0))=0,"",INDEX('Per Invoice'!$A$2:$A$801,MATCH($B1688,'Per Invoice'!$B$2:$B$801,0))),""))</f>
        <v/>
      </c>
      <c r="J1688" s="7">
        <f>IF($B1688="","",I1688*Q1688/100)</f>
        <v/>
      </c>
      <c r="N1688" s="7" t="n"/>
      <c r="O1688" s="7" t="n"/>
      <c r="P1688" s="7">
        <f>IF($B1688="","",O1688*X1688/100)</f>
        <v/>
      </c>
      <c r="Q1688" s="7">
        <f>IF($B1688="","",O1688-P1688)</f>
        <v/>
      </c>
      <c r="R1688" s="7">
        <f>IF($B1688="","",Q1688-J1688)</f>
        <v/>
      </c>
      <c r="S1688" s="7" t="n"/>
      <c r="T1688" s="7" t="n"/>
      <c r="V1688" s="14" t="n"/>
      <c r="Z1688">
        <f>IF($B1688="","",IF(COUNTIF($B$2:$B1688,$B1688)=1,1,0))</f>
        <v/>
      </c>
      <c r="AA1688">
        <f>IF($Z1688=1,SUMPRODUCT(--($AC$2:$AC$3001&lt;$AC1688))+1,"")</f>
        <v/>
      </c>
      <c r="AB1688">
        <f>IF($B1688="","",IF(OR($Y1688=TRUE(),$Y1688="TRUE"),1,IF(AND($Y1688&lt;&gt;"",OR($Y1688=FALSE(),$Y1688="FALSE")),0,IF(MIN(ABS($X1688/100-Settings!$C$6),ABS($X1688/100-Settings!$G$6))&lt;=MIN(ABS($X1688/100-Settings!$C$7),ABS($X1688/100-Settings!$G$7)),1,0))))</f>
        <v/>
      </c>
      <c r="AC1688">
        <f>IF($Z1688=1,IFERROR(IF(VALUE($B1688)&lt;100000000,VALUE($B1688),1000000000),IFERROR(IF(VALUE(MID($B1688,2,20))&lt;100000000,VALUE(MID($B1688,2,20)),1000000000),1000000000))+ROW()/100000,"")</f>
        <v/>
      </c>
    </row>
    <row r="1689">
      <c r="A1689">
        <f>IF($B1689="","",IFERROR(IF(INDEX('Per Invoice'!$A$2:$A$801,MATCH($B1689,'Per Invoice'!$B$2:$B$801,0))=0,"",INDEX('Per Invoice'!$A$2:$A$801,MATCH($B1689,'Per Invoice'!$B$2:$B$801,0))),""))</f>
        <v/>
      </c>
      <c r="J1689" s="7">
        <f>IF($B1689="","",I1689*Q1689/100)</f>
        <v/>
      </c>
      <c r="N1689" s="7" t="n"/>
      <c r="O1689" s="7" t="n"/>
      <c r="P1689" s="7">
        <f>IF($B1689="","",O1689*X1689/100)</f>
        <v/>
      </c>
      <c r="Q1689" s="7">
        <f>IF($B1689="","",O1689-P1689)</f>
        <v/>
      </c>
      <c r="R1689" s="7">
        <f>IF($B1689="","",Q1689-J1689)</f>
        <v/>
      </c>
      <c r="S1689" s="7" t="n"/>
      <c r="T1689" s="7" t="n"/>
      <c r="V1689" s="14" t="n"/>
      <c r="Z1689">
        <f>IF($B1689="","",IF(COUNTIF($B$2:$B1689,$B1689)=1,1,0))</f>
        <v/>
      </c>
      <c r="AA1689">
        <f>IF($Z1689=1,SUMPRODUCT(--($AC$2:$AC$3001&lt;$AC1689))+1,"")</f>
        <v/>
      </c>
      <c r="AB1689">
        <f>IF($B1689="","",IF(OR($Y1689=TRUE(),$Y1689="TRUE"),1,IF(AND($Y1689&lt;&gt;"",OR($Y1689=FALSE(),$Y1689="FALSE")),0,IF(MIN(ABS($X1689/100-Settings!$C$6),ABS($X1689/100-Settings!$G$6))&lt;=MIN(ABS($X1689/100-Settings!$C$7),ABS($X1689/100-Settings!$G$7)),1,0))))</f>
        <v/>
      </c>
      <c r="AC1689">
        <f>IF($Z1689=1,IFERROR(IF(VALUE($B1689)&lt;100000000,VALUE($B1689),1000000000),IFERROR(IF(VALUE(MID($B1689,2,20))&lt;100000000,VALUE(MID($B1689,2,20)),1000000000),1000000000))+ROW()/100000,"")</f>
        <v/>
      </c>
    </row>
    <row r="1690">
      <c r="A1690">
        <f>IF($B1690="","",IFERROR(IF(INDEX('Per Invoice'!$A$2:$A$801,MATCH($B1690,'Per Invoice'!$B$2:$B$801,0))=0,"",INDEX('Per Invoice'!$A$2:$A$801,MATCH($B1690,'Per Invoice'!$B$2:$B$801,0))),""))</f>
        <v/>
      </c>
      <c r="J1690" s="7">
        <f>IF($B1690="","",I1690*Q1690/100)</f>
        <v/>
      </c>
      <c r="N1690" s="7" t="n"/>
      <c r="O1690" s="7" t="n"/>
      <c r="P1690" s="7">
        <f>IF($B1690="","",O1690*X1690/100)</f>
        <v/>
      </c>
      <c r="Q1690" s="7">
        <f>IF($B1690="","",O1690-P1690)</f>
        <v/>
      </c>
      <c r="R1690" s="7">
        <f>IF($B1690="","",Q1690-J1690)</f>
        <v/>
      </c>
      <c r="S1690" s="7" t="n"/>
      <c r="T1690" s="7" t="n"/>
      <c r="V1690" s="14" t="n"/>
      <c r="Z1690">
        <f>IF($B1690="","",IF(COUNTIF($B$2:$B1690,$B1690)=1,1,0))</f>
        <v/>
      </c>
      <c r="AA1690">
        <f>IF($Z1690=1,SUMPRODUCT(--($AC$2:$AC$3001&lt;$AC1690))+1,"")</f>
        <v/>
      </c>
      <c r="AB1690">
        <f>IF($B1690="","",IF(OR($Y1690=TRUE(),$Y1690="TRUE"),1,IF(AND($Y1690&lt;&gt;"",OR($Y1690=FALSE(),$Y1690="FALSE")),0,IF(MIN(ABS($X1690/100-Settings!$C$6),ABS($X1690/100-Settings!$G$6))&lt;=MIN(ABS($X1690/100-Settings!$C$7),ABS($X1690/100-Settings!$G$7)),1,0))))</f>
        <v/>
      </c>
      <c r="AC1690">
        <f>IF($Z1690=1,IFERROR(IF(VALUE($B1690)&lt;100000000,VALUE($B1690),1000000000),IFERROR(IF(VALUE(MID($B1690,2,20))&lt;100000000,VALUE(MID($B1690,2,20)),1000000000),1000000000))+ROW()/100000,"")</f>
        <v/>
      </c>
    </row>
    <row r="1691">
      <c r="A1691">
        <f>IF($B1691="","",IFERROR(IF(INDEX('Per Invoice'!$A$2:$A$801,MATCH($B1691,'Per Invoice'!$B$2:$B$801,0))=0,"",INDEX('Per Invoice'!$A$2:$A$801,MATCH($B1691,'Per Invoice'!$B$2:$B$801,0))),""))</f>
        <v/>
      </c>
      <c r="J1691" s="7">
        <f>IF($B1691="","",I1691*Q1691/100)</f>
        <v/>
      </c>
      <c r="N1691" s="7" t="n"/>
      <c r="O1691" s="7" t="n"/>
      <c r="P1691" s="7">
        <f>IF($B1691="","",O1691*X1691/100)</f>
        <v/>
      </c>
      <c r="Q1691" s="7">
        <f>IF($B1691="","",O1691-P1691)</f>
        <v/>
      </c>
      <c r="R1691" s="7">
        <f>IF($B1691="","",Q1691-J1691)</f>
        <v/>
      </c>
      <c r="S1691" s="7" t="n"/>
      <c r="T1691" s="7" t="n"/>
      <c r="V1691" s="14" t="n"/>
      <c r="Z1691">
        <f>IF($B1691="","",IF(COUNTIF($B$2:$B1691,$B1691)=1,1,0))</f>
        <v/>
      </c>
      <c r="AA1691">
        <f>IF($Z1691=1,SUMPRODUCT(--($AC$2:$AC$3001&lt;$AC1691))+1,"")</f>
        <v/>
      </c>
      <c r="AB1691">
        <f>IF($B1691="","",IF(OR($Y1691=TRUE(),$Y1691="TRUE"),1,IF(AND($Y1691&lt;&gt;"",OR($Y1691=FALSE(),$Y1691="FALSE")),0,IF(MIN(ABS($X1691/100-Settings!$C$6),ABS($X1691/100-Settings!$G$6))&lt;=MIN(ABS($X1691/100-Settings!$C$7),ABS($X1691/100-Settings!$G$7)),1,0))))</f>
        <v/>
      </c>
      <c r="AC1691">
        <f>IF($Z1691=1,IFERROR(IF(VALUE($B1691)&lt;100000000,VALUE($B1691),1000000000),IFERROR(IF(VALUE(MID($B1691,2,20))&lt;100000000,VALUE(MID($B1691,2,20)),1000000000),1000000000))+ROW()/100000,"")</f>
        <v/>
      </c>
    </row>
    <row r="1692">
      <c r="A1692">
        <f>IF($B1692="","",IFERROR(IF(INDEX('Per Invoice'!$A$2:$A$801,MATCH($B1692,'Per Invoice'!$B$2:$B$801,0))=0,"",INDEX('Per Invoice'!$A$2:$A$801,MATCH($B1692,'Per Invoice'!$B$2:$B$801,0))),""))</f>
        <v/>
      </c>
      <c r="J1692" s="7">
        <f>IF($B1692="","",I1692*Q1692/100)</f>
        <v/>
      </c>
      <c r="N1692" s="7" t="n"/>
      <c r="O1692" s="7" t="n"/>
      <c r="P1692" s="7">
        <f>IF($B1692="","",O1692*X1692/100)</f>
        <v/>
      </c>
      <c r="Q1692" s="7">
        <f>IF($B1692="","",O1692-P1692)</f>
        <v/>
      </c>
      <c r="R1692" s="7">
        <f>IF($B1692="","",Q1692-J1692)</f>
        <v/>
      </c>
      <c r="S1692" s="7" t="n"/>
      <c r="T1692" s="7" t="n"/>
      <c r="V1692" s="14" t="n"/>
      <c r="Z1692">
        <f>IF($B1692="","",IF(COUNTIF($B$2:$B1692,$B1692)=1,1,0))</f>
        <v/>
      </c>
      <c r="AA1692">
        <f>IF($Z1692=1,SUMPRODUCT(--($AC$2:$AC$3001&lt;$AC1692))+1,"")</f>
        <v/>
      </c>
      <c r="AB1692">
        <f>IF($B1692="","",IF(OR($Y1692=TRUE(),$Y1692="TRUE"),1,IF(AND($Y1692&lt;&gt;"",OR($Y1692=FALSE(),$Y1692="FALSE")),0,IF(MIN(ABS($X1692/100-Settings!$C$6),ABS($X1692/100-Settings!$G$6))&lt;=MIN(ABS($X1692/100-Settings!$C$7),ABS($X1692/100-Settings!$G$7)),1,0))))</f>
        <v/>
      </c>
      <c r="AC1692">
        <f>IF($Z1692=1,IFERROR(IF(VALUE($B1692)&lt;100000000,VALUE($B1692),1000000000),IFERROR(IF(VALUE(MID($B1692,2,20))&lt;100000000,VALUE(MID($B1692,2,20)),1000000000),1000000000))+ROW()/100000,"")</f>
        <v/>
      </c>
    </row>
    <row r="1693">
      <c r="A1693">
        <f>IF($B1693="","",IFERROR(IF(INDEX('Per Invoice'!$A$2:$A$801,MATCH($B1693,'Per Invoice'!$B$2:$B$801,0))=0,"",INDEX('Per Invoice'!$A$2:$A$801,MATCH($B1693,'Per Invoice'!$B$2:$B$801,0))),""))</f>
        <v/>
      </c>
      <c r="J1693" s="7">
        <f>IF($B1693="","",I1693*Q1693/100)</f>
        <v/>
      </c>
      <c r="N1693" s="7" t="n"/>
      <c r="O1693" s="7" t="n"/>
      <c r="P1693" s="7">
        <f>IF($B1693="","",O1693*X1693/100)</f>
        <v/>
      </c>
      <c r="Q1693" s="7">
        <f>IF($B1693="","",O1693-P1693)</f>
        <v/>
      </c>
      <c r="R1693" s="7">
        <f>IF($B1693="","",Q1693-J1693)</f>
        <v/>
      </c>
      <c r="S1693" s="7" t="n"/>
      <c r="T1693" s="7" t="n"/>
      <c r="V1693" s="14" t="n"/>
      <c r="Z1693">
        <f>IF($B1693="","",IF(COUNTIF($B$2:$B1693,$B1693)=1,1,0))</f>
        <v/>
      </c>
      <c r="AA1693">
        <f>IF($Z1693=1,SUMPRODUCT(--($AC$2:$AC$3001&lt;$AC1693))+1,"")</f>
        <v/>
      </c>
      <c r="AB1693">
        <f>IF($B1693="","",IF(OR($Y1693=TRUE(),$Y1693="TRUE"),1,IF(AND($Y1693&lt;&gt;"",OR($Y1693=FALSE(),$Y1693="FALSE")),0,IF(MIN(ABS($X1693/100-Settings!$C$6),ABS($X1693/100-Settings!$G$6))&lt;=MIN(ABS($X1693/100-Settings!$C$7),ABS($X1693/100-Settings!$G$7)),1,0))))</f>
        <v/>
      </c>
      <c r="AC1693">
        <f>IF($Z1693=1,IFERROR(IF(VALUE($B1693)&lt;100000000,VALUE($B1693),1000000000),IFERROR(IF(VALUE(MID($B1693,2,20))&lt;100000000,VALUE(MID($B1693,2,20)),1000000000),1000000000))+ROW()/100000,"")</f>
        <v/>
      </c>
    </row>
    <row r="1694">
      <c r="A1694">
        <f>IF($B1694="","",IFERROR(IF(INDEX('Per Invoice'!$A$2:$A$801,MATCH($B1694,'Per Invoice'!$B$2:$B$801,0))=0,"",INDEX('Per Invoice'!$A$2:$A$801,MATCH($B1694,'Per Invoice'!$B$2:$B$801,0))),""))</f>
        <v/>
      </c>
      <c r="J1694" s="7">
        <f>IF($B1694="","",I1694*Q1694/100)</f>
        <v/>
      </c>
      <c r="N1694" s="7" t="n"/>
      <c r="O1694" s="7" t="n"/>
      <c r="P1694" s="7">
        <f>IF($B1694="","",O1694*X1694/100)</f>
        <v/>
      </c>
      <c r="Q1694" s="7">
        <f>IF($B1694="","",O1694-P1694)</f>
        <v/>
      </c>
      <c r="R1694" s="7">
        <f>IF($B1694="","",Q1694-J1694)</f>
        <v/>
      </c>
      <c r="S1694" s="7" t="n"/>
      <c r="T1694" s="7" t="n"/>
      <c r="V1694" s="14" t="n"/>
      <c r="Z1694">
        <f>IF($B1694="","",IF(COUNTIF($B$2:$B1694,$B1694)=1,1,0))</f>
        <v/>
      </c>
      <c r="AA1694">
        <f>IF($Z1694=1,SUMPRODUCT(--($AC$2:$AC$3001&lt;$AC1694))+1,"")</f>
        <v/>
      </c>
      <c r="AB1694">
        <f>IF($B1694="","",IF(OR($Y1694=TRUE(),$Y1694="TRUE"),1,IF(AND($Y1694&lt;&gt;"",OR($Y1694=FALSE(),$Y1694="FALSE")),0,IF(MIN(ABS($X1694/100-Settings!$C$6),ABS($X1694/100-Settings!$G$6))&lt;=MIN(ABS($X1694/100-Settings!$C$7),ABS($X1694/100-Settings!$G$7)),1,0))))</f>
        <v/>
      </c>
      <c r="AC1694">
        <f>IF($Z1694=1,IFERROR(IF(VALUE($B1694)&lt;100000000,VALUE($B1694),1000000000),IFERROR(IF(VALUE(MID($B1694,2,20))&lt;100000000,VALUE(MID($B1694,2,20)),1000000000),1000000000))+ROW()/100000,"")</f>
        <v/>
      </c>
    </row>
    <row r="1695">
      <c r="A1695">
        <f>IF($B1695="","",IFERROR(IF(INDEX('Per Invoice'!$A$2:$A$801,MATCH($B1695,'Per Invoice'!$B$2:$B$801,0))=0,"",INDEX('Per Invoice'!$A$2:$A$801,MATCH($B1695,'Per Invoice'!$B$2:$B$801,0))),""))</f>
        <v/>
      </c>
      <c r="J1695" s="7">
        <f>IF($B1695="","",I1695*Q1695/100)</f>
        <v/>
      </c>
      <c r="N1695" s="7" t="n"/>
      <c r="O1695" s="7" t="n"/>
      <c r="P1695" s="7">
        <f>IF($B1695="","",O1695*X1695/100)</f>
        <v/>
      </c>
      <c r="Q1695" s="7">
        <f>IF($B1695="","",O1695-P1695)</f>
        <v/>
      </c>
      <c r="R1695" s="7">
        <f>IF($B1695="","",Q1695-J1695)</f>
        <v/>
      </c>
      <c r="S1695" s="7" t="n"/>
      <c r="T1695" s="7" t="n"/>
      <c r="V1695" s="14" t="n"/>
      <c r="Z1695">
        <f>IF($B1695="","",IF(COUNTIF($B$2:$B1695,$B1695)=1,1,0))</f>
        <v/>
      </c>
      <c r="AA1695">
        <f>IF($Z1695=1,SUMPRODUCT(--($AC$2:$AC$3001&lt;$AC1695))+1,"")</f>
        <v/>
      </c>
      <c r="AB1695">
        <f>IF($B1695="","",IF(OR($Y1695=TRUE(),$Y1695="TRUE"),1,IF(AND($Y1695&lt;&gt;"",OR($Y1695=FALSE(),$Y1695="FALSE")),0,IF(MIN(ABS($X1695/100-Settings!$C$6),ABS($X1695/100-Settings!$G$6))&lt;=MIN(ABS($X1695/100-Settings!$C$7),ABS($X1695/100-Settings!$G$7)),1,0))))</f>
        <v/>
      </c>
      <c r="AC1695">
        <f>IF($Z1695=1,IFERROR(IF(VALUE($B1695)&lt;100000000,VALUE($B1695),1000000000),IFERROR(IF(VALUE(MID($B1695,2,20))&lt;100000000,VALUE(MID($B1695,2,20)),1000000000),1000000000))+ROW()/100000,"")</f>
        <v/>
      </c>
    </row>
    <row r="1696">
      <c r="A1696">
        <f>IF($B1696="","",IFERROR(IF(INDEX('Per Invoice'!$A$2:$A$801,MATCH($B1696,'Per Invoice'!$B$2:$B$801,0))=0,"",INDEX('Per Invoice'!$A$2:$A$801,MATCH($B1696,'Per Invoice'!$B$2:$B$801,0))),""))</f>
        <v/>
      </c>
      <c r="J1696" s="7">
        <f>IF($B1696="","",I1696*Q1696/100)</f>
        <v/>
      </c>
      <c r="N1696" s="7" t="n"/>
      <c r="O1696" s="7" t="n"/>
      <c r="P1696" s="7">
        <f>IF($B1696="","",O1696*X1696/100)</f>
        <v/>
      </c>
      <c r="Q1696" s="7">
        <f>IF($B1696="","",O1696-P1696)</f>
        <v/>
      </c>
      <c r="R1696" s="7">
        <f>IF($B1696="","",Q1696-J1696)</f>
        <v/>
      </c>
      <c r="S1696" s="7" t="n"/>
      <c r="T1696" s="7" t="n"/>
      <c r="V1696" s="14" t="n"/>
      <c r="Z1696">
        <f>IF($B1696="","",IF(COUNTIF($B$2:$B1696,$B1696)=1,1,0))</f>
        <v/>
      </c>
      <c r="AA1696">
        <f>IF($Z1696=1,SUMPRODUCT(--($AC$2:$AC$3001&lt;$AC1696))+1,"")</f>
        <v/>
      </c>
      <c r="AB1696">
        <f>IF($B1696="","",IF(OR($Y1696=TRUE(),$Y1696="TRUE"),1,IF(AND($Y1696&lt;&gt;"",OR($Y1696=FALSE(),$Y1696="FALSE")),0,IF(MIN(ABS($X1696/100-Settings!$C$6),ABS($X1696/100-Settings!$G$6))&lt;=MIN(ABS($X1696/100-Settings!$C$7),ABS($X1696/100-Settings!$G$7)),1,0))))</f>
        <v/>
      </c>
      <c r="AC1696">
        <f>IF($Z1696=1,IFERROR(IF(VALUE($B1696)&lt;100000000,VALUE($B1696),1000000000),IFERROR(IF(VALUE(MID($B1696,2,20))&lt;100000000,VALUE(MID($B1696,2,20)),1000000000),1000000000))+ROW()/100000,"")</f>
        <v/>
      </c>
    </row>
    <row r="1697">
      <c r="A1697">
        <f>IF($B1697="","",IFERROR(IF(INDEX('Per Invoice'!$A$2:$A$801,MATCH($B1697,'Per Invoice'!$B$2:$B$801,0))=0,"",INDEX('Per Invoice'!$A$2:$A$801,MATCH($B1697,'Per Invoice'!$B$2:$B$801,0))),""))</f>
        <v/>
      </c>
      <c r="J1697" s="7">
        <f>IF($B1697="","",I1697*Q1697/100)</f>
        <v/>
      </c>
      <c r="N1697" s="7" t="n"/>
      <c r="O1697" s="7" t="n"/>
      <c r="P1697" s="7">
        <f>IF($B1697="","",O1697*X1697/100)</f>
        <v/>
      </c>
      <c r="Q1697" s="7">
        <f>IF($B1697="","",O1697-P1697)</f>
        <v/>
      </c>
      <c r="R1697" s="7">
        <f>IF($B1697="","",Q1697-J1697)</f>
        <v/>
      </c>
      <c r="S1697" s="7" t="n"/>
      <c r="T1697" s="7" t="n"/>
      <c r="V1697" s="14" t="n"/>
      <c r="Z1697">
        <f>IF($B1697="","",IF(COUNTIF($B$2:$B1697,$B1697)=1,1,0))</f>
        <v/>
      </c>
      <c r="AA1697">
        <f>IF($Z1697=1,SUMPRODUCT(--($AC$2:$AC$3001&lt;$AC1697))+1,"")</f>
        <v/>
      </c>
      <c r="AB1697">
        <f>IF($B1697="","",IF(OR($Y1697=TRUE(),$Y1697="TRUE"),1,IF(AND($Y1697&lt;&gt;"",OR($Y1697=FALSE(),$Y1697="FALSE")),0,IF(MIN(ABS($X1697/100-Settings!$C$6),ABS($X1697/100-Settings!$G$6))&lt;=MIN(ABS($X1697/100-Settings!$C$7),ABS($X1697/100-Settings!$G$7)),1,0))))</f>
        <v/>
      </c>
      <c r="AC1697">
        <f>IF($Z1697=1,IFERROR(IF(VALUE($B1697)&lt;100000000,VALUE($B1697),1000000000),IFERROR(IF(VALUE(MID($B1697,2,20))&lt;100000000,VALUE(MID($B1697,2,20)),1000000000),1000000000))+ROW()/100000,"")</f>
        <v/>
      </c>
    </row>
    <row r="1698">
      <c r="A1698">
        <f>IF($B1698="","",IFERROR(IF(INDEX('Per Invoice'!$A$2:$A$801,MATCH($B1698,'Per Invoice'!$B$2:$B$801,0))=0,"",INDEX('Per Invoice'!$A$2:$A$801,MATCH($B1698,'Per Invoice'!$B$2:$B$801,0))),""))</f>
        <v/>
      </c>
      <c r="J1698" s="7">
        <f>IF($B1698="","",I1698*Q1698/100)</f>
        <v/>
      </c>
      <c r="N1698" s="7" t="n"/>
      <c r="O1698" s="7" t="n"/>
      <c r="P1698" s="7">
        <f>IF($B1698="","",O1698*X1698/100)</f>
        <v/>
      </c>
      <c r="Q1698" s="7">
        <f>IF($B1698="","",O1698-P1698)</f>
        <v/>
      </c>
      <c r="R1698" s="7">
        <f>IF($B1698="","",Q1698-J1698)</f>
        <v/>
      </c>
      <c r="S1698" s="7" t="n"/>
      <c r="T1698" s="7" t="n"/>
      <c r="V1698" s="14" t="n"/>
      <c r="Z1698">
        <f>IF($B1698="","",IF(COUNTIF($B$2:$B1698,$B1698)=1,1,0))</f>
        <v/>
      </c>
      <c r="AA1698">
        <f>IF($Z1698=1,SUMPRODUCT(--($AC$2:$AC$3001&lt;$AC1698))+1,"")</f>
        <v/>
      </c>
      <c r="AB1698">
        <f>IF($B1698="","",IF(OR($Y1698=TRUE(),$Y1698="TRUE"),1,IF(AND($Y1698&lt;&gt;"",OR($Y1698=FALSE(),$Y1698="FALSE")),0,IF(MIN(ABS($X1698/100-Settings!$C$6),ABS($X1698/100-Settings!$G$6))&lt;=MIN(ABS($X1698/100-Settings!$C$7),ABS($X1698/100-Settings!$G$7)),1,0))))</f>
        <v/>
      </c>
      <c r="AC1698">
        <f>IF($Z1698=1,IFERROR(IF(VALUE($B1698)&lt;100000000,VALUE($B1698),1000000000),IFERROR(IF(VALUE(MID($B1698,2,20))&lt;100000000,VALUE(MID($B1698,2,20)),1000000000),1000000000))+ROW()/100000,"")</f>
        <v/>
      </c>
    </row>
    <row r="1699">
      <c r="A1699">
        <f>IF($B1699="","",IFERROR(IF(INDEX('Per Invoice'!$A$2:$A$801,MATCH($B1699,'Per Invoice'!$B$2:$B$801,0))=0,"",INDEX('Per Invoice'!$A$2:$A$801,MATCH($B1699,'Per Invoice'!$B$2:$B$801,0))),""))</f>
        <v/>
      </c>
      <c r="J1699" s="7">
        <f>IF($B1699="","",I1699*Q1699/100)</f>
        <v/>
      </c>
      <c r="N1699" s="7" t="n"/>
      <c r="O1699" s="7" t="n"/>
      <c r="P1699" s="7">
        <f>IF($B1699="","",O1699*X1699/100)</f>
        <v/>
      </c>
      <c r="Q1699" s="7">
        <f>IF($B1699="","",O1699-P1699)</f>
        <v/>
      </c>
      <c r="R1699" s="7">
        <f>IF($B1699="","",Q1699-J1699)</f>
        <v/>
      </c>
      <c r="S1699" s="7" t="n"/>
      <c r="T1699" s="7" t="n"/>
      <c r="V1699" s="14" t="n"/>
      <c r="Z1699">
        <f>IF($B1699="","",IF(COUNTIF($B$2:$B1699,$B1699)=1,1,0))</f>
        <v/>
      </c>
      <c r="AA1699">
        <f>IF($Z1699=1,SUMPRODUCT(--($AC$2:$AC$3001&lt;$AC1699))+1,"")</f>
        <v/>
      </c>
      <c r="AB1699">
        <f>IF($B1699="","",IF(OR($Y1699=TRUE(),$Y1699="TRUE"),1,IF(AND($Y1699&lt;&gt;"",OR($Y1699=FALSE(),$Y1699="FALSE")),0,IF(MIN(ABS($X1699/100-Settings!$C$6),ABS($X1699/100-Settings!$G$6))&lt;=MIN(ABS($X1699/100-Settings!$C$7),ABS($X1699/100-Settings!$G$7)),1,0))))</f>
        <v/>
      </c>
      <c r="AC1699">
        <f>IF($Z1699=1,IFERROR(IF(VALUE($B1699)&lt;100000000,VALUE($B1699),1000000000),IFERROR(IF(VALUE(MID($B1699,2,20))&lt;100000000,VALUE(MID($B1699,2,20)),1000000000),1000000000))+ROW()/100000,"")</f>
        <v/>
      </c>
    </row>
    <row r="1700">
      <c r="A1700">
        <f>IF($B1700="","",IFERROR(IF(INDEX('Per Invoice'!$A$2:$A$801,MATCH($B1700,'Per Invoice'!$B$2:$B$801,0))=0,"",INDEX('Per Invoice'!$A$2:$A$801,MATCH($B1700,'Per Invoice'!$B$2:$B$801,0))),""))</f>
        <v/>
      </c>
      <c r="J1700" s="7">
        <f>IF($B1700="","",I1700*Q1700/100)</f>
        <v/>
      </c>
      <c r="N1700" s="7" t="n"/>
      <c r="O1700" s="7" t="n"/>
      <c r="P1700" s="7">
        <f>IF($B1700="","",O1700*X1700/100)</f>
        <v/>
      </c>
      <c r="Q1700" s="7">
        <f>IF($B1700="","",O1700-P1700)</f>
        <v/>
      </c>
      <c r="R1700" s="7">
        <f>IF($B1700="","",Q1700-J1700)</f>
        <v/>
      </c>
      <c r="S1700" s="7" t="n"/>
      <c r="T1700" s="7" t="n"/>
      <c r="V1700" s="14" t="n"/>
      <c r="Z1700">
        <f>IF($B1700="","",IF(COUNTIF($B$2:$B1700,$B1700)=1,1,0))</f>
        <v/>
      </c>
      <c r="AA1700">
        <f>IF($Z1700=1,SUMPRODUCT(--($AC$2:$AC$3001&lt;$AC1700))+1,"")</f>
        <v/>
      </c>
      <c r="AB1700">
        <f>IF($B1700="","",IF(OR($Y1700=TRUE(),$Y1700="TRUE"),1,IF(AND($Y1700&lt;&gt;"",OR($Y1700=FALSE(),$Y1700="FALSE")),0,IF(MIN(ABS($X1700/100-Settings!$C$6),ABS($X1700/100-Settings!$G$6))&lt;=MIN(ABS($X1700/100-Settings!$C$7),ABS($X1700/100-Settings!$G$7)),1,0))))</f>
        <v/>
      </c>
      <c r="AC1700">
        <f>IF($Z1700=1,IFERROR(IF(VALUE($B1700)&lt;100000000,VALUE($B1700),1000000000),IFERROR(IF(VALUE(MID($B1700,2,20))&lt;100000000,VALUE(MID($B1700,2,20)),1000000000),1000000000))+ROW()/100000,"")</f>
        <v/>
      </c>
    </row>
    <row r="1701">
      <c r="A1701">
        <f>IF($B1701="","",IFERROR(IF(INDEX('Per Invoice'!$A$2:$A$801,MATCH($B1701,'Per Invoice'!$B$2:$B$801,0))=0,"",INDEX('Per Invoice'!$A$2:$A$801,MATCH($B1701,'Per Invoice'!$B$2:$B$801,0))),""))</f>
        <v/>
      </c>
      <c r="J1701" s="7">
        <f>IF($B1701="","",I1701*Q1701/100)</f>
        <v/>
      </c>
      <c r="N1701" s="7" t="n"/>
      <c r="O1701" s="7" t="n"/>
      <c r="P1701" s="7">
        <f>IF($B1701="","",O1701*X1701/100)</f>
        <v/>
      </c>
      <c r="Q1701" s="7">
        <f>IF($B1701="","",O1701-P1701)</f>
        <v/>
      </c>
      <c r="R1701" s="7">
        <f>IF($B1701="","",Q1701-J1701)</f>
        <v/>
      </c>
      <c r="S1701" s="7" t="n"/>
      <c r="T1701" s="7" t="n"/>
      <c r="V1701" s="14" t="n"/>
      <c r="Z1701">
        <f>IF($B1701="","",IF(COUNTIF($B$2:$B1701,$B1701)=1,1,0))</f>
        <v/>
      </c>
      <c r="AA1701">
        <f>IF($Z1701=1,SUMPRODUCT(--($AC$2:$AC$3001&lt;$AC1701))+1,"")</f>
        <v/>
      </c>
      <c r="AB1701">
        <f>IF($B1701="","",IF(OR($Y1701=TRUE(),$Y1701="TRUE"),1,IF(AND($Y1701&lt;&gt;"",OR($Y1701=FALSE(),$Y1701="FALSE")),0,IF(MIN(ABS($X1701/100-Settings!$C$6),ABS($X1701/100-Settings!$G$6))&lt;=MIN(ABS($X1701/100-Settings!$C$7),ABS($X1701/100-Settings!$G$7)),1,0))))</f>
        <v/>
      </c>
      <c r="AC1701">
        <f>IF($Z1701=1,IFERROR(IF(VALUE($B1701)&lt;100000000,VALUE($B1701),1000000000),IFERROR(IF(VALUE(MID($B1701,2,20))&lt;100000000,VALUE(MID($B1701,2,20)),1000000000),1000000000))+ROW()/100000,"")</f>
        <v/>
      </c>
    </row>
    <row r="1702">
      <c r="A1702">
        <f>IF($B1702="","",IFERROR(IF(INDEX('Per Invoice'!$A$2:$A$801,MATCH($B1702,'Per Invoice'!$B$2:$B$801,0))=0,"",INDEX('Per Invoice'!$A$2:$A$801,MATCH($B1702,'Per Invoice'!$B$2:$B$801,0))),""))</f>
        <v/>
      </c>
      <c r="J1702" s="7">
        <f>IF($B1702="","",I1702*Q1702/100)</f>
        <v/>
      </c>
      <c r="N1702" s="7" t="n"/>
      <c r="O1702" s="7" t="n"/>
      <c r="P1702" s="7">
        <f>IF($B1702="","",O1702*X1702/100)</f>
        <v/>
      </c>
      <c r="Q1702" s="7">
        <f>IF($B1702="","",O1702-P1702)</f>
        <v/>
      </c>
      <c r="R1702" s="7">
        <f>IF($B1702="","",Q1702-J1702)</f>
        <v/>
      </c>
      <c r="S1702" s="7" t="n"/>
      <c r="T1702" s="7" t="n"/>
      <c r="V1702" s="14" t="n"/>
      <c r="Z1702">
        <f>IF($B1702="","",IF(COUNTIF($B$2:$B1702,$B1702)=1,1,0))</f>
        <v/>
      </c>
      <c r="AA1702">
        <f>IF($Z1702=1,SUMPRODUCT(--($AC$2:$AC$3001&lt;$AC1702))+1,"")</f>
        <v/>
      </c>
      <c r="AB1702">
        <f>IF($B1702="","",IF(OR($Y1702=TRUE(),$Y1702="TRUE"),1,IF(AND($Y1702&lt;&gt;"",OR($Y1702=FALSE(),$Y1702="FALSE")),0,IF(MIN(ABS($X1702/100-Settings!$C$6),ABS($X1702/100-Settings!$G$6))&lt;=MIN(ABS($X1702/100-Settings!$C$7),ABS($X1702/100-Settings!$G$7)),1,0))))</f>
        <v/>
      </c>
      <c r="AC1702">
        <f>IF($Z1702=1,IFERROR(IF(VALUE($B1702)&lt;100000000,VALUE($B1702),1000000000),IFERROR(IF(VALUE(MID($B1702,2,20))&lt;100000000,VALUE(MID($B1702,2,20)),1000000000),1000000000))+ROW()/100000,"")</f>
        <v/>
      </c>
    </row>
    <row r="1703">
      <c r="A1703">
        <f>IF($B1703="","",IFERROR(IF(INDEX('Per Invoice'!$A$2:$A$801,MATCH($B1703,'Per Invoice'!$B$2:$B$801,0))=0,"",INDEX('Per Invoice'!$A$2:$A$801,MATCH($B1703,'Per Invoice'!$B$2:$B$801,0))),""))</f>
        <v/>
      </c>
      <c r="J1703" s="7">
        <f>IF($B1703="","",I1703*Q1703/100)</f>
        <v/>
      </c>
      <c r="N1703" s="7" t="n"/>
      <c r="O1703" s="7" t="n"/>
      <c r="P1703" s="7">
        <f>IF($B1703="","",O1703*X1703/100)</f>
        <v/>
      </c>
      <c r="Q1703" s="7">
        <f>IF($B1703="","",O1703-P1703)</f>
        <v/>
      </c>
      <c r="R1703" s="7">
        <f>IF($B1703="","",Q1703-J1703)</f>
        <v/>
      </c>
      <c r="S1703" s="7" t="n"/>
      <c r="T1703" s="7" t="n"/>
      <c r="V1703" s="14" t="n"/>
      <c r="Z1703">
        <f>IF($B1703="","",IF(COUNTIF($B$2:$B1703,$B1703)=1,1,0))</f>
        <v/>
      </c>
      <c r="AA1703">
        <f>IF($Z1703=1,SUMPRODUCT(--($AC$2:$AC$3001&lt;$AC1703))+1,"")</f>
        <v/>
      </c>
      <c r="AB1703">
        <f>IF($B1703="","",IF(OR($Y1703=TRUE(),$Y1703="TRUE"),1,IF(AND($Y1703&lt;&gt;"",OR($Y1703=FALSE(),$Y1703="FALSE")),0,IF(MIN(ABS($X1703/100-Settings!$C$6),ABS($X1703/100-Settings!$G$6))&lt;=MIN(ABS($X1703/100-Settings!$C$7),ABS($X1703/100-Settings!$G$7)),1,0))))</f>
        <v/>
      </c>
      <c r="AC1703">
        <f>IF($Z1703=1,IFERROR(IF(VALUE($B1703)&lt;100000000,VALUE($B1703),1000000000),IFERROR(IF(VALUE(MID($B1703,2,20))&lt;100000000,VALUE(MID($B1703,2,20)),1000000000),1000000000))+ROW()/100000,"")</f>
        <v/>
      </c>
    </row>
    <row r="1704">
      <c r="A1704">
        <f>IF($B1704="","",IFERROR(IF(INDEX('Per Invoice'!$A$2:$A$801,MATCH($B1704,'Per Invoice'!$B$2:$B$801,0))=0,"",INDEX('Per Invoice'!$A$2:$A$801,MATCH($B1704,'Per Invoice'!$B$2:$B$801,0))),""))</f>
        <v/>
      </c>
      <c r="J1704" s="7">
        <f>IF($B1704="","",I1704*Q1704/100)</f>
        <v/>
      </c>
      <c r="N1704" s="7" t="n"/>
      <c r="O1704" s="7" t="n"/>
      <c r="P1704" s="7">
        <f>IF($B1704="","",O1704*X1704/100)</f>
        <v/>
      </c>
      <c r="Q1704" s="7">
        <f>IF($B1704="","",O1704-P1704)</f>
        <v/>
      </c>
      <c r="R1704" s="7">
        <f>IF($B1704="","",Q1704-J1704)</f>
        <v/>
      </c>
      <c r="S1704" s="7" t="n"/>
      <c r="T1704" s="7" t="n"/>
      <c r="V1704" s="14" t="n"/>
      <c r="Z1704">
        <f>IF($B1704="","",IF(COUNTIF($B$2:$B1704,$B1704)=1,1,0))</f>
        <v/>
      </c>
      <c r="AA1704">
        <f>IF($Z1704=1,SUMPRODUCT(--($AC$2:$AC$3001&lt;$AC1704))+1,"")</f>
        <v/>
      </c>
      <c r="AB1704">
        <f>IF($B1704="","",IF(OR($Y1704=TRUE(),$Y1704="TRUE"),1,IF(AND($Y1704&lt;&gt;"",OR($Y1704=FALSE(),$Y1704="FALSE")),0,IF(MIN(ABS($X1704/100-Settings!$C$6),ABS($X1704/100-Settings!$G$6))&lt;=MIN(ABS($X1704/100-Settings!$C$7),ABS($X1704/100-Settings!$G$7)),1,0))))</f>
        <v/>
      </c>
      <c r="AC1704">
        <f>IF($Z1704=1,IFERROR(IF(VALUE($B1704)&lt;100000000,VALUE($B1704),1000000000),IFERROR(IF(VALUE(MID($B1704,2,20))&lt;100000000,VALUE(MID($B1704,2,20)),1000000000),1000000000))+ROW()/100000,"")</f>
        <v/>
      </c>
    </row>
    <row r="1705">
      <c r="A1705">
        <f>IF($B1705="","",IFERROR(IF(INDEX('Per Invoice'!$A$2:$A$801,MATCH($B1705,'Per Invoice'!$B$2:$B$801,0))=0,"",INDEX('Per Invoice'!$A$2:$A$801,MATCH($B1705,'Per Invoice'!$B$2:$B$801,0))),""))</f>
        <v/>
      </c>
      <c r="J1705" s="7">
        <f>IF($B1705="","",I1705*Q1705/100)</f>
        <v/>
      </c>
      <c r="N1705" s="7" t="n"/>
      <c r="O1705" s="7" t="n"/>
      <c r="P1705" s="7">
        <f>IF($B1705="","",O1705*X1705/100)</f>
        <v/>
      </c>
      <c r="Q1705" s="7">
        <f>IF($B1705="","",O1705-P1705)</f>
        <v/>
      </c>
      <c r="R1705" s="7">
        <f>IF($B1705="","",Q1705-J1705)</f>
        <v/>
      </c>
      <c r="S1705" s="7" t="n"/>
      <c r="T1705" s="7" t="n"/>
      <c r="V1705" s="14" t="n"/>
      <c r="Z1705">
        <f>IF($B1705="","",IF(COUNTIF($B$2:$B1705,$B1705)=1,1,0))</f>
        <v/>
      </c>
      <c r="AA1705">
        <f>IF($Z1705=1,SUMPRODUCT(--($AC$2:$AC$3001&lt;$AC1705))+1,"")</f>
        <v/>
      </c>
      <c r="AB1705">
        <f>IF($B1705="","",IF(OR($Y1705=TRUE(),$Y1705="TRUE"),1,IF(AND($Y1705&lt;&gt;"",OR($Y1705=FALSE(),$Y1705="FALSE")),0,IF(MIN(ABS($X1705/100-Settings!$C$6),ABS($X1705/100-Settings!$G$6))&lt;=MIN(ABS($X1705/100-Settings!$C$7),ABS($X1705/100-Settings!$G$7)),1,0))))</f>
        <v/>
      </c>
      <c r="AC1705">
        <f>IF($Z1705=1,IFERROR(IF(VALUE($B1705)&lt;100000000,VALUE($B1705),1000000000),IFERROR(IF(VALUE(MID($B1705,2,20))&lt;100000000,VALUE(MID($B1705,2,20)),1000000000),1000000000))+ROW()/100000,"")</f>
        <v/>
      </c>
    </row>
    <row r="1706">
      <c r="A1706">
        <f>IF($B1706="","",IFERROR(IF(INDEX('Per Invoice'!$A$2:$A$801,MATCH($B1706,'Per Invoice'!$B$2:$B$801,0))=0,"",INDEX('Per Invoice'!$A$2:$A$801,MATCH($B1706,'Per Invoice'!$B$2:$B$801,0))),""))</f>
        <v/>
      </c>
      <c r="J1706" s="7">
        <f>IF($B1706="","",I1706*Q1706/100)</f>
        <v/>
      </c>
      <c r="N1706" s="7" t="n"/>
      <c r="O1706" s="7" t="n"/>
      <c r="P1706" s="7">
        <f>IF($B1706="","",O1706*X1706/100)</f>
        <v/>
      </c>
      <c r="Q1706" s="7">
        <f>IF($B1706="","",O1706-P1706)</f>
        <v/>
      </c>
      <c r="R1706" s="7">
        <f>IF($B1706="","",Q1706-J1706)</f>
        <v/>
      </c>
      <c r="S1706" s="7" t="n"/>
      <c r="T1706" s="7" t="n"/>
      <c r="V1706" s="14" t="n"/>
      <c r="Z1706">
        <f>IF($B1706="","",IF(COUNTIF($B$2:$B1706,$B1706)=1,1,0))</f>
        <v/>
      </c>
      <c r="AA1706">
        <f>IF($Z1706=1,SUMPRODUCT(--($AC$2:$AC$3001&lt;$AC1706))+1,"")</f>
        <v/>
      </c>
      <c r="AB1706">
        <f>IF($B1706="","",IF(OR($Y1706=TRUE(),$Y1706="TRUE"),1,IF(AND($Y1706&lt;&gt;"",OR($Y1706=FALSE(),$Y1706="FALSE")),0,IF(MIN(ABS($X1706/100-Settings!$C$6),ABS($X1706/100-Settings!$G$6))&lt;=MIN(ABS($X1706/100-Settings!$C$7),ABS($X1706/100-Settings!$G$7)),1,0))))</f>
        <v/>
      </c>
      <c r="AC1706">
        <f>IF($Z1706=1,IFERROR(IF(VALUE($B1706)&lt;100000000,VALUE($B1706),1000000000),IFERROR(IF(VALUE(MID($B1706,2,20))&lt;100000000,VALUE(MID($B1706,2,20)),1000000000),1000000000))+ROW()/100000,"")</f>
        <v/>
      </c>
    </row>
    <row r="1707">
      <c r="A1707">
        <f>IF($B1707="","",IFERROR(IF(INDEX('Per Invoice'!$A$2:$A$801,MATCH($B1707,'Per Invoice'!$B$2:$B$801,0))=0,"",INDEX('Per Invoice'!$A$2:$A$801,MATCH($B1707,'Per Invoice'!$B$2:$B$801,0))),""))</f>
        <v/>
      </c>
      <c r="J1707" s="7">
        <f>IF($B1707="","",I1707*Q1707/100)</f>
        <v/>
      </c>
      <c r="N1707" s="7" t="n"/>
      <c r="O1707" s="7" t="n"/>
      <c r="P1707" s="7">
        <f>IF($B1707="","",O1707*X1707/100)</f>
        <v/>
      </c>
      <c r="Q1707" s="7">
        <f>IF($B1707="","",O1707-P1707)</f>
        <v/>
      </c>
      <c r="R1707" s="7">
        <f>IF($B1707="","",Q1707-J1707)</f>
        <v/>
      </c>
      <c r="S1707" s="7" t="n"/>
      <c r="T1707" s="7" t="n"/>
      <c r="V1707" s="14" t="n"/>
      <c r="Z1707">
        <f>IF($B1707="","",IF(COUNTIF($B$2:$B1707,$B1707)=1,1,0))</f>
        <v/>
      </c>
      <c r="AA1707">
        <f>IF($Z1707=1,SUMPRODUCT(--($AC$2:$AC$3001&lt;$AC1707))+1,"")</f>
        <v/>
      </c>
      <c r="AB1707">
        <f>IF($B1707="","",IF(OR($Y1707=TRUE(),$Y1707="TRUE"),1,IF(AND($Y1707&lt;&gt;"",OR($Y1707=FALSE(),$Y1707="FALSE")),0,IF(MIN(ABS($X1707/100-Settings!$C$6),ABS($X1707/100-Settings!$G$6))&lt;=MIN(ABS($X1707/100-Settings!$C$7),ABS($X1707/100-Settings!$G$7)),1,0))))</f>
        <v/>
      </c>
      <c r="AC1707">
        <f>IF($Z1707=1,IFERROR(IF(VALUE($B1707)&lt;100000000,VALUE($B1707),1000000000),IFERROR(IF(VALUE(MID($B1707,2,20))&lt;100000000,VALUE(MID($B1707,2,20)),1000000000),1000000000))+ROW()/100000,"")</f>
        <v/>
      </c>
    </row>
    <row r="1708">
      <c r="A1708">
        <f>IF($B1708="","",IFERROR(IF(INDEX('Per Invoice'!$A$2:$A$801,MATCH($B1708,'Per Invoice'!$B$2:$B$801,0))=0,"",INDEX('Per Invoice'!$A$2:$A$801,MATCH($B1708,'Per Invoice'!$B$2:$B$801,0))),""))</f>
        <v/>
      </c>
      <c r="J1708" s="7">
        <f>IF($B1708="","",I1708*Q1708/100)</f>
        <v/>
      </c>
      <c r="N1708" s="7" t="n"/>
      <c r="O1708" s="7" t="n"/>
      <c r="P1708" s="7">
        <f>IF($B1708="","",O1708*X1708/100)</f>
        <v/>
      </c>
      <c r="Q1708" s="7">
        <f>IF($B1708="","",O1708-P1708)</f>
        <v/>
      </c>
      <c r="R1708" s="7">
        <f>IF($B1708="","",Q1708-J1708)</f>
        <v/>
      </c>
      <c r="S1708" s="7" t="n"/>
      <c r="T1708" s="7" t="n"/>
      <c r="V1708" s="14" t="n"/>
      <c r="Z1708">
        <f>IF($B1708="","",IF(COUNTIF($B$2:$B1708,$B1708)=1,1,0))</f>
        <v/>
      </c>
      <c r="AA1708">
        <f>IF($Z1708=1,SUMPRODUCT(--($AC$2:$AC$3001&lt;$AC1708))+1,"")</f>
        <v/>
      </c>
      <c r="AB1708">
        <f>IF($B1708="","",IF(OR($Y1708=TRUE(),$Y1708="TRUE"),1,IF(AND($Y1708&lt;&gt;"",OR($Y1708=FALSE(),$Y1708="FALSE")),0,IF(MIN(ABS($X1708/100-Settings!$C$6),ABS($X1708/100-Settings!$G$6))&lt;=MIN(ABS($X1708/100-Settings!$C$7),ABS($X1708/100-Settings!$G$7)),1,0))))</f>
        <v/>
      </c>
      <c r="AC1708">
        <f>IF($Z1708=1,IFERROR(IF(VALUE($B1708)&lt;100000000,VALUE($B1708),1000000000),IFERROR(IF(VALUE(MID($B1708,2,20))&lt;100000000,VALUE(MID($B1708,2,20)),1000000000),1000000000))+ROW()/100000,"")</f>
        <v/>
      </c>
    </row>
    <row r="1709">
      <c r="A1709">
        <f>IF($B1709="","",IFERROR(IF(INDEX('Per Invoice'!$A$2:$A$801,MATCH($B1709,'Per Invoice'!$B$2:$B$801,0))=0,"",INDEX('Per Invoice'!$A$2:$A$801,MATCH($B1709,'Per Invoice'!$B$2:$B$801,0))),""))</f>
        <v/>
      </c>
      <c r="J1709" s="7">
        <f>IF($B1709="","",I1709*Q1709/100)</f>
        <v/>
      </c>
      <c r="N1709" s="7" t="n"/>
      <c r="O1709" s="7" t="n"/>
      <c r="P1709" s="7">
        <f>IF($B1709="","",O1709*X1709/100)</f>
        <v/>
      </c>
      <c r="Q1709" s="7">
        <f>IF($B1709="","",O1709-P1709)</f>
        <v/>
      </c>
      <c r="R1709" s="7">
        <f>IF($B1709="","",Q1709-J1709)</f>
        <v/>
      </c>
      <c r="S1709" s="7" t="n"/>
      <c r="T1709" s="7" t="n"/>
      <c r="V1709" s="14" t="n"/>
      <c r="Z1709">
        <f>IF($B1709="","",IF(COUNTIF($B$2:$B1709,$B1709)=1,1,0))</f>
        <v/>
      </c>
      <c r="AA1709">
        <f>IF($Z1709=1,SUMPRODUCT(--($AC$2:$AC$3001&lt;$AC1709))+1,"")</f>
        <v/>
      </c>
      <c r="AB1709">
        <f>IF($B1709="","",IF(OR($Y1709=TRUE(),$Y1709="TRUE"),1,IF(AND($Y1709&lt;&gt;"",OR($Y1709=FALSE(),$Y1709="FALSE")),0,IF(MIN(ABS($X1709/100-Settings!$C$6),ABS($X1709/100-Settings!$G$6))&lt;=MIN(ABS($X1709/100-Settings!$C$7),ABS($X1709/100-Settings!$G$7)),1,0))))</f>
        <v/>
      </c>
      <c r="AC1709">
        <f>IF($Z1709=1,IFERROR(IF(VALUE($B1709)&lt;100000000,VALUE($B1709),1000000000),IFERROR(IF(VALUE(MID($B1709,2,20))&lt;100000000,VALUE(MID($B1709,2,20)),1000000000),1000000000))+ROW()/100000,"")</f>
        <v/>
      </c>
    </row>
    <row r="1710">
      <c r="A1710">
        <f>IF($B1710="","",IFERROR(IF(INDEX('Per Invoice'!$A$2:$A$801,MATCH($B1710,'Per Invoice'!$B$2:$B$801,0))=0,"",INDEX('Per Invoice'!$A$2:$A$801,MATCH($B1710,'Per Invoice'!$B$2:$B$801,0))),""))</f>
        <v/>
      </c>
      <c r="J1710" s="7">
        <f>IF($B1710="","",I1710*Q1710/100)</f>
        <v/>
      </c>
      <c r="N1710" s="7" t="n"/>
      <c r="O1710" s="7" t="n"/>
      <c r="P1710" s="7">
        <f>IF($B1710="","",O1710*X1710/100)</f>
        <v/>
      </c>
      <c r="Q1710" s="7">
        <f>IF($B1710="","",O1710-P1710)</f>
        <v/>
      </c>
      <c r="R1710" s="7">
        <f>IF($B1710="","",Q1710-J1710)</f>
        <v/>
      </c>
      <c r="S1710" s="7" t="n"/>
      <c r="T1710" s="7" t="n"/>
      <c r="V1710" s="14" t="n"/>
      <c r="Z1710">
        <f>IF($B1710="","",IF(COUNTIF($B$2:$B1710,$B1710)=1,1,0))</f>
        <v/>
      </c>
      <c r="AA1710">
        <f>IF($Z1710=1,SUMPRODUCT(--($AC$2:$AC$3001&lt;$AC1710))+1,"")</f>
        <v/>
      </c>
      <c r="AB1710">
        <f>IF($B1710="","",IF(OR($Y1710=TRUE(),$Y1710="TRUE"),1,IF(AND($Y1710&lt;&gt;"",OR($Y1710=FALSE(),$Y1710="FALSE")),0,IF(MIN(ABS($X1710/100-Settings!$C$6),ABS($X1710/100-Settings!$G$6))&lt;=MIN(ABS($X1710/100-Settings!$C$7),ABS($X1710/100-Settings!$G$7)),1,0))))</f>
        <v/>
      </c>
      <c r="AC1710">
        <f>IF($Z1710=1,IFERROR(IF(VALUE($B1710)&lt;100000000,VALUE($B1710),1000000000),IFERROR(IF(VALUE(MID($B1710,2,20))&lt;100000000,VALUE(MID($B1710,2,20)),1000000000),1000000000))+ROW()/100000,"")</f>
        <v/>
      </c>
    </row>
    <row r="1711">
      <c r="A1711">
        <f>IF($B1711="","",IFERROR(IF(INDEX('Per Invoice'!$A$2:$A$801,MATCH($B1711,'Per Invoice'!$B$2:$B$801,0))=0,"",INDEX('Per Invoice'!$A$2:$A$801,MATCH($B1711,'Per Invoice'!$B$2:$B$801,0))),""))</f>
        <v/>
      </c>
      <c r="J1711" s="7">
        <f>IF($B1711="","",I1711*Q1711/100)</f>
        <v/>
      </c>
      <c r="N1711" s="7" t="n"/>
      <c r="O1711" s="7" t="n"/>
      <c r="P1711" s="7">
        <f>IF($B1711="","",O1711*X1711/100)</f>
        <v/>
      </c>
      <c r="Q1711" s="7">
        <f>IF($B1711="","",O1711-P1711)</f>
        <v/>
      </c>
      <c r="R1711" s="7">
        <f>IF($B1711="","",Q1711-J1711)</f>
        <v/>
      </c>
      <c r="S1711" s="7" t="n"/>
      <c r="T1711" s="7" t="n"/>
      <c r="V1711" s="14" t="n"/>
      <c r="Z1711">
        <f>IF($B1711="","",IF(COUNTIF($B$2:$B1711,$B1711)=1,1,0))</f>
        <v/>
      </c>
      <c r="AA1711">
        <f>IF($Z1711=1,SUMPRODUCT(--($AC$2:$AC$3001&lt;$AC1711))+1,"")</f>
        <v/>
      </c>
      <c r="AB1711">
        <f>IF($B1711="","",IF(OR($Y1711=TRUE(),$Y1711="TRUE"),1,IF(AND($Y1711&lt;&gt;"",OR($Y1711=FALSE(),$Y1711="FALSE")),0,IF(MIN(ABS($X1711/100-Settings!$C$6),ABS($X1711/100-Settings!$G$6))&lt;=MIN(ABS($X1711/100-Settings!$C$7),ABS($X1711/100-Settings!$G$7)),1,0))))</f>
        <v/>
      </c>
      <c r="AC1711">
        <f>IF($Z1711=1,IFERROR(IF(VALUE($B1711)&lt;100000000,VALUE($B1711),1000000000),IFERROR(IF(VALUE(MID($B1711,2,20))&lt;100000000,VALUE(MID($B1711,2,20)),1000000000),1000000000))+ROW()/100000,"")</f>
        <v/>
      </c>
    </row>
    <row r="1712">
      <c r="A1712">
        <f>IF($B1712="","",IFERROR(IF(INDEX('Per Invoice'!$A$2:$A$801,MATCH($B1712,'Per Invoice'!$B$2:$B$801,0))=0,"",INDEX('Per Invoice'!$A$2:$A$801,MATCH($B1712,'Per Invoice'!$B$2:$B$801,0))),""))</f>
        <v/>
      </c>
      <c r="J1712" s="7">
        <f>IF($B1712="","",I1712*Q1712/100)</f>
        <v/>
      </c>
      <c r="N1712" s="7" t="n"/>
      <c r="O1712" s="7" t="n"/>
      <c r="P1712" s="7">
        <f>IF($B1712="","",O1712*X1712/100)</f>
        <v/>
      </c>
      <c r="Q1712" s="7">
        <f>IF($B1712="","",O1712-P1712)</f>
        <v/>
      </c>
      <c r="R1712" s="7">
        <f>IF($B1712="","",Q1712-J1712)</f>
        <v/>
      </c>
      <c r="S1712" s="7" t="n"/>
      <c r="T1712" s="7" t="n"/>
      <c r="V1712" s="14" t="n"/>
      <c r="Z1712">
        <f>IF($B1712="","",IF(COUNTIF($B$2:$B1712,$B1712)=1,1,0))</f>
        <v/>
      </c>
      <c r="AA1712">
        <f>IF($Z1712=1,SUMPRODUCT(--($AC$2:$AC$3001&lt;$AC1712))+1,"")</f>
        <v/>
      </c>
      <c r="AB1712">
        <f>IF($B1712="","",IF(OR($Y1712=TRUE(),$Y1712="TRUE"),1,IF(AND($Y1712&lt;&gt;"",OR($Y1712=FALSE(),$Y1712="FALSE")),0,IF(MIN(ABS($X1712/100-Settings!$C$6),ABS($X1712/100-Settings!$G$6))&lt;=MIN(ABS($X1712/100-Settings!$C$7),ABS($X1712/100-Settings!$G$7)),1,0))))</f>
        <v/>
      </c>
      <c r="AC1712">
        <f>IF($Z1712=1,IFERROR(IF(VALUE($B1712)&lt;100000000,VALUE($B1712),1000000000),IFERROR(IF(VALUE(MID($B1712,2,20))&lt;100000000,VALUE(MID($B1712,2,20)),1000000000),1000000000))+ROW()/100000,"")</f>
        <v/>
      </c>
    </row>
    <row r="1713">
      <c r="A1713">
        <f>IF($B1713="","",IFERROR(IF(INDEX('Per Invoice'!$A$2:$A$801,MATCH($B1713,'Per Invoice'!$B$2:$B$801,0))=0,"",INDEX('Per Invoice'!$A$2:$A$801,MATCH($B1713,'Per Invoice'!$B$2:$B$801,0))),""))</f>
        <v/>
      </c>
      <c r="J1713" s="7">
        <f>IF($B1713="","",I1713*Q1713/100)</f>
        <v/>
      </c>
      <c r="N1713" s="7" t="n"/>
      <c r="O1713" s="7" t="n"/>
      <c r="P1713" s="7">
        <f>IF($B1713="","",O1713*X1713/100)</f>
        <v/>
      </c>
      <c r="Q1713" s="7">
        <f>IF($B1713="","",O1713-P1713)</f>
        <v/>
      </c>
      <c r="R1713" s="7">
        <f>IF($B1713="","",Q1713-J1713)</f>
        <v/>
      </c>
      <c r="S1713" s="7" t="n"/>
      <c r="T1713" s="7" t="n"/>
      <c r="V1713" s="14" t="n"/>
      <c r="Z1713">
        <f>IF($B1713="","",IF(COUNTIF($B$2:$B1713,$B1713)=1,1,0))</f>
        <v/>
      </c>
      <c r="AA1713">
        <f>IF($Z1713=1,SUMPRODUCT(--($AC$2:$AC$3001&lt;$AC1713))+1,"")</f>
        <v/>
      </c>
      <c r="AB1713">
        <f>IF($B1713="","",IF(OR($Y1713=TRUE(),$Y1713="TRUE"),1,IF(AND($Y1713&lt;&gt;"",OR($Y1713=FALSE(),$Y1713="FALSE")),0,IF(MIN(ABS($X1713/100-Settings!$C$6),ABS($X1713/100-Settings!$G$6))&lt;=MIN(ABS($X1713/100-Settings!$C$7),ABS($X1713/100-Settings!$G$7)),1,0))))</f>
        <v/>
      </c>
      <c r="AC1713">
        <f>IF($Z1713=1,IFERROR(IF(VALUE($B1713)&lt;100000000,VALUE($B1713),1000000000),IFERROR(IF(VALUE(MID($B1713,2,20))&lt;100000000,VALUE(MID($B1713,2,20)),1000000000),1000000000))+ROW()/100000,"")</f>
        <v/>
      </c>
    </row>
    <row r="1714">
      <c r="A1714">
        <f>IF($B1714="","",IFERROR(IF(INDEX('Per Invoice'!$A$2:$A$801,MATCH($B1714,'Per Invoice'!$B$2:$B$801,0))=0,"",INDEX('Per Invoice'!$A$2:$A$801,MATCH($B1714,'Per Invoice'!$B$2:$B$801,0))),""))</f>
        <v/>
      </c>
      <c r="J1714" s="7">
        <f>IF($B1714="","",I1714*Q1714/100)</f>
        <v/>
      </c>
      <c r="N1714" s="7" t="n"/>
      <c r="O1714" s="7" t="n"/>
      <c r="P1714" s="7">
        <f>IF($B1714="","",O1714*X1714/100)</f>
        <v/>
      </c>
      <c r="Q1714" s="7">
        <f>IF($B1714="","",O1714-P1714)</f>
        <v/>
      </c>
      <c r="R1714" s="7">
        <f>IF($B1714="","",Q1714-J1714)</f>
        <v/>
      </c>
      <c r="S1714" s="7" t="n"/>
      <c r="T1714" s="7" t="n"/>
      <c r="V1714" s="14" t="n"/>
      <c r="Z1714">
        <f>IF($B1714="","",IF(COUNTIF($B$2:$B1714,$B1714)=1,1,0))</f>
        <v/>
      </c>
      <c r="AA1714">
        <f>IF($Z1714=1,SUMPRODUCT(--($AC$2:$AC$3001&lt;$AC1714))+1,"")</f>
        <v/>
      </c>
      <c r="AB1714">
        <f>IF($B1714="","",IF(OR($Y1714=TRUE(),$Y1714="TRUE"),1,IF(AND($Y1714&lt;&gt;"",OR($Y1714=FALSE(),$Y1714="FALSE")),0,IF(MIN(ABS($X1714/100-Settings!$C$6),ABS($X1714/100-Settings!$G$6))&lt;=MIN(ABS($X1714/100-Settings!$C$7),ABS($X1714/100-Settings!$G$7)),1,0))))</f>
        <v/>
      </c>
      <c r="AC1714">
        <f>IF($Z1714=1,IFERROR(IF(VALUE($B1714)&lt;100000000,VALUE($B1714),1000000000),IFERROR(IF(VALUE(MID($B1714,2,20))&lt;100000000,VALUE(MID($B1714,2,20)),1000000000),1000000000))+ROW()/100000,"")</f>
        <v/>
      </c>
    </row>
    <row r="1715">
      <c r="A1715">
        <f>IF($B1715="","",IFERROR(IF(INDEX('Per Invoice'!$A$2:$A$801,MATCH($B1715,'Per Invoice'!$B$2:$B$801,0))=0,"",INDEX('Per Invoice'!$A$2:$A$801,MATCH($B1715,'Per Invoice'!$B$2:$B$801,0))),""))</f>
        <v/>
      </c>
      <c r="J1715" s="7">
        <f>IF($B1715="","",I1715*Q1715/100)</f>
        <v/>
      </c>
      <c r="N1715" s="7" t="n"/>
      <c r="O1715" s="7" t="n"/>
      <c r="P1715" s="7">
        <f>IF($B1715="","",O1715*X1715/100)</f>
        <v/>
      </c>
      <c r="Q1715" s="7">
        <f>IF($B1715="","",O1715-P1715)</f>
        <v/>
      </c>
      <c r="R1715" s="7">
        <f>IF($B1715="","",Q1715-J1715)</f>
        <v/>
      </c>
      <c r="S1715" s="7" t="n"/>
      <c r="T1715" s="7" t="n"/>
      <c r="V1715" s="14" t="n"/>
      <c r="Z1715">
        <f>IF($B1715="","",IF(COUNTIF($B$2:$B1715,$B1715)=1,1,0))</f>
        <v/>
      </c>
      <c r="AA1715">
        <f>IF($Z1715=1,SUMPRODUCT(--($AC$2:$AC$3001&lt;$AC1715))+1,"")</f>
        <v/>
      </c>
      <c r="AB1715">
        <f>IF($B1715="","",IF(OR($Y1715=TRUE(),$Y1715="TRUE"),1,IF(AND($Y1715&lt;&gt;"",OR($Y1715=FALSE(),$Y1715="FALSE")),0,IF(MIN(ABS($X1715/100-Settings!$C$6),ABS($X1715/100-Settings!$G$6))&lt;=MIN(ABS($X1715/100-Settings!$C$7),ABS($X1715/100-Settings!$G$7)),1,0))))</f>
        <v/>
      </c>
      <c r="AC1715">
        <f>IF($Z1715=1,IFERROR(IF(VALUE($B1715)&lt;100000000,VALUE($B1715),1000000000),IFERROR(IF(VALUE(MID($B1715,2,20))&lt;100000000,VALUE(MID($B1715,2,20)),1000000000),1000000000))+ROW()/100000,"")</f>
        <v/>
      </c>
    </row>
    <row r="1716">
      <c r="A1716">
        <f>IF($B1716="","",IFERROR(IF(INDEX('Per Invoice'!$A$2:$A$801,MATCH($B1716,'Per Invoice'!$B$2:$B$801,0))=0,"",INDEX('Per Invoice'!$A$2:$A$801,MATCH($B1716,'Per Invoice'!$B$2:$B$801,0))),""))</f>
        <v/>
      </c>
      <c r="J1716" s="7">
        <f>IF($B1716="","",I1716*Q1716/100)</f>
        <v/>
      </c>
      <c r="N1716" s="7" t="n"/>
      <c r="O1716" s="7" t="n"/>
      <c r="P1716" s="7">
        <f>IF($B1716="","",O1716*X1716/100)</f>
        <v/>
      </c>
      <c r="Q1716" s="7">
        <f>IF($B1716="","",O1716-P1716)</f>
        <v/>
      </c>
      <c r="R1716" s="7">
        <f>IF($B1716="","",Q1716-J1716)</f>
        <v/>
      </c>
      <c r="S1716" s="7" t="n"/>
      <c r="T1716" s="7" t="n"/>
      <c r="V1716" s="14" t="n"/>
      <c r="Z1716">
        <f>IF($B1716="","",IF(COUNTIF($B$2:$B1716,$B1716)=1,1,0))</f>
        <v/>
      </c>
      <c r="AA1716">
        <f>IF($Z1716=1,SUMPRODUCT(--($AC$2:$AC$3001&lt;$AC1716))+1,"")</f>
        <v/>
      </c>
      <c r="AB1716">
        <f>IF($B1716="","",IF(OR($Y1716=TRUE(),$Y1716="TRUE"),1,IF(AND($Y1716&lt;&gt;"",OR($Y1716=FALSE(),$Y1716="FALSE")),0,IF(MIN(ABS($X1716/100-Settings!$C$6),ABS($X1716/100-Settings!$G$6))&lt;=MIN(ABS($X1716/100-Settings!$C$7),ABS($X1716/100-Settings!$G$7)),1,0))))</f>
        <v/>
      </c>
      <c r="AC1716">
        <f>IF($Z1716=1,IFERROR(IF(VALUE($B1716)&lt;100000000,VALUE($B1716),1000000000),IFERROR(IF(VALUE(MID($B1716,2,20))&lt;100000000,VALUE(MID($B1716,2,20)),1000000000),1000000000))+ROW()/100000,"")</f>
        <v/>
      </c>
    </row>
    <row r="1717">
      <c r="A1717">
        <f>IF($B1717="","",IFERROR(IF(INDEX('Per Invoice'!$A$2:$A$801,MATCH($B1717,'Per Invoice'!$B$2:$B$801,0))=0,"",INDEX('Per Invoice'!$A$2:$A$801,MATCH($B1717,'Per Invoice'!$B$2:$B$801,0))),""))</f>
        <v/>
      </c>
      <c r="J1717" s="7">
        <f>IF($B1717="","",I1717*Q1717/100)</f>
        <v/>
      </c>
      <c r="N1717" s="7" t="n"/>
      <c r="O1717" s="7" t="n"/>
      <c r="P1717" s="7">
        <f>IF($B1717="","",O1717*X1717/100)</f>
        <v/>
      </c>
      <c r="Q1717" s="7">
        <f>IF($B1717="","",O1717-P1717)</f>
        <v/>
      </c>
      <c r="R1717" s="7">
        <f>IF($B1717="","",Q1717-J1717)</f>
        <v/>
      </c>
      <c r="S1717" s="7" t="n"/>
      <c r="T1717" s="7" t="n"/>
      <c r="V1717" s="14" t="n"/>
      <c r="Z1717">
        <f>IF($B1717="","",IF(COUNTIF($B$2:$B1717,$B1717)=1,1,0))</f>
        <v/>
      </c>
      <c r="AA1717">
        <f>IF($Z1717=1,SUMPRODUCT(--($AC$2:$AC$3001&lt;$AC1717))+1,"")</f>
        <v/>
      </c>
      <c r="AB1717">
        <f>IF($B1717="","",IF(OR($Y1717=TRUE(),$Y1717="TRUE"),1,IF(AND($Y1717&lt;&gt;"",OR($Y1717=FALSE(),$Y1717="FALSE")),0,IF(MIN(ABS($X1717/100-Settings!$C$6),ABS($X1717/100-Settings!$G$6))&lt;=MIN(ABS($X1717/100-Settings!$C$7),ABS($X1717/100-Settings!$G$7)),1,0))))</f>
        <v/>
      </c>
      <c r="AC1717">
        <f>IF($Z1717=1,IFERROR(IF(VALUE($B1717)&lt;100000000,VALUE($B1717),1000000000),IFERROR(IF(VALUE(MID($B1717,2,20))&lt;100000000,VALUE(MID($B1717,2,20)),1000000000),1000000000))+ROW()/100000,"")</f>
        <v/>
      </c>
    </row>
    <row r="1718">
      <c r="A1718">
        <f>IF($B1718="","",IFERROR(IF(INDEX('Per Invoice'!$A$2:$A$801,MATCH($B1718,'Per Invoice'!$B$2:$B$801,0))=0,"",INDEX('Per Invoice'!$A$2:$A$801,MATCH($B1718,'Per Invoice'!$B$2:$B$801,0))),""))</f>
        <v/>
      </c>
      <c r="J1718" s="7">
        <f>IF($B1718="","",I1718*Q1718/100)</f>
        <v/>
      </c>
      <c r="N1718" s="7" t="n"/>
      <c r="O1718" s="7" t="n"/>
      <c r="P1718" s="7">
        <f>IF($B1718="","",O1718*X1718/100)</f>
        <v/>
      </c>
      <c r="Q1718" s="7">
        <f>IF($B1718="","",O1718-P1718)</f>
        <v/>
      </c>
      <c r="R1718" s="7">
        <f>IF($B1718="","",Q1718-J1718)</f>
        <v/>
      </c>
      <c r="S1718" s="7" t="n"/>
      <c r="T1718" s="7" t="n"/>
      <c r="V1718" s="14" t="n"/>
      <c r="Z1718">
        <f>IF($B1718="","",IF(COUNTIF($B$2:$B1718,$B1718)=1,1,0))</f>
        <v/>
      </c>
      <c r="AA1718">
        <f>IF($Z1718=1,SUMPRODUCT(--($AC$2:$AC$3001&lt;$AC1718))+1,"")</f>
        <v/>
      </c>
      <c r="AB1718">
        <f>IF($B1718="","",IF(OR($Y1718=TRUE(),$Y1718="TRUE"),1,IF(AND($Y1718&lt;&gt;"",OR($Y1718=FALSE(),$Y1718="FALSE")),0,IF(MIN(ABS($X1718/100-Settings!$C$6),ABS($X1718/100-Settings!$G$6))&lt;=MIN(ABS($X1718/100-Settings!$C$7),ABS($X1718/100-Settings!$G$7)),1,0))))</f>
        <v/>
      </c>
      <c r="AC1718">
        <f>IF($Z1718=1,IFERROR(IF(VALUE($B1718)&lt;100000000,VALUE($B1718),1000000000),IFERROR(IF(VALUE(MID($B1718,2,20))&lt;100000000,VALUE(MID($B1718,2,20)),1000000000),1000000000))+ROW()/100000,"")</f>
        <v/>
      </c>
    </row>
    <row r="1719">
      <c r="A1719">
        <f>IF($B1719="","",IFERROR(IF(INDEX('Per Invoice'!$A$2:$A$801,MATCH($B1719,'Per Invoice'!$B$2:$B$801,0))=0,"",INDEX('Per Invoice'!$A$2:$A$801,MATCH($B1719,'Per Invoice'!$B$2:$B$801,0))),""))</f>
        <v/>
      </c>
      <c r="J1719" s="7">
        <f>IF($B1719="","",I1719*Q1719/100)</f>
        <v/>
      </c>
      <c r="N1719" s="7" t="n"/>
      <c r="O1719" s="7" t="n"/>
      <c r="P1719" s="7">
        <f>IF($B1719="","",O1719*X1719/100)</f>
        <v/>
      </c>
      <c r="Q1719" s="7">
        <f>IF($B1719="","",O1719-P1719)</f>
        <v/>
      </c>
      <c r="R1719" s="7">
        <f>IF($B1719="","",Q1719-J1719)</f>
        <v/>
      </c>
      <c r="S1719" s="7" t="n"/>
      <c r="T1719" s="7" t="n"/>
      <c r="V1719" s="14" t="n"/>
      <c r="Z1719">
        <f>IF($B1719="","",IF(COUNTIF($B$2:$B1719,$B1719)=1,1,0))</f>
        <v/>
      </c>
      <c r="AA1719">
        <f>IF($Z1719=1,SUMPRODUCT(--($AC$2:$AC$3001&lt;$AC1719))+1,"")</f>
        <v/>
      </c>
      <c r="AB1719">
        <f>IF($B1719="","",IF(OR($Y1719=TRUE(),$Y1719="TRUE"),1,IF(AND($Y1719&lt;&gt;"",OR($Y1719=FALSE(),$Y1719="FALSE")),0,IF(MIN(ABS($X1719/100-Settings!$C$6),ABS($X1719/100-Settings!$G$6))&lt;=MIN(ABS($X1719/100-Settings!$C$7),ABS($X1719/100-Settings!$G$7)),1,0))))</f>
        <v/>
      </c>
      <c r="AC1719">
        <f>IF($Z1719=1,IFERROR(IF(VALUE($B1719)&lt;100000000,VALUE($B1719),1000000000),IFERROR(IF(VALUE(MID($B1719,2,20))&lt;100000000,VALUE(MID($B1719,2,20)),1000000000),1000000000))+ROW()/100000,"")</f>
        <v/>
      </c>
    </row>
    <row r="1720">
      <c r="A1720">
        <f>IF($B1720="","",IFERROR(IF(INDEX('Per Invoice'!$A$2:$A$801,MATCH($B1720,'Per Invoice'!$B$2:$B$801,0))=0,"",INDEX('Per Invoice'!$A$2:$A$801,MATCH($B1720,'Per Invoice'!$B$2:$B$801,0))),""))</f>
        <v/>
      </c>
      <c r="J1720" s="7">
        <f>IF($B1720="","",I1720*Q1720/100)</f>
        <v/>
      </c>
      <c r="N1720" s="7" t="n"/>
      <c r="O1720" s="7" t="n"/>
      <c r="P1720" s="7">
        <f>IF($B1720="","",O1720*X1720/100)</f>
        <v/>
      </c>
      <c r="Q1720" s="7">
        <f>IF($B1720="","",O1720-P1720)</f>
        <v/>
      </c>
      <c r="R1720" s="7">
        <f>IF($B1720="","",Q1720-J1720)</f>
        <v/>
      </c>
      <c r="S1720" s="7" t="n"/>
      <c r="T1720" s="7" t="n"/>
      <c r="V1720" s="14" t="n"/>
      <c r="Z1720">
        <f>IF($B1720="","",IF(COUNTIF($B$2:$B1720,$B1720)=1,1,0))</f>
        <v/>
      </c>
      <c r="AA1720">
        <f>IF($Z1720=1,SUMPRODUCT(--($AC$2:$AC$3001&lt;$AC1720))+1,"")</f>
        <v/>
      </c>
      <c r="AB1720">
        <f>IF($B1720="","",IF(OR($Y1720=TRUE(),$Y1720="TRUE"),1,IF(AND($Y1720&lt;&gt;"",OR($Y1720=FALSE(),$Y1720="FALSE")),0,IF(MIN(ABS($X1720/100-Settings!$C$6),ABS($X1720/100-Settings!$G$6))&lt;=MIN(ABS($X1720/100-Settings!$C$7),ABS($X1720/100-Settings!$G$7)),1,0))))</f>
        <v/>
      </c>
      <c r="AC1720">
        <f>IF($Z1720=1,IFERROR(IF(VALUE($B1720)&lt;100000000,VALUE($B1720),1000000000),IFERROR(IF(VALUE(MID($B1720,2,20))&lt;100000000,VALUE(MID($B1720,2,20)),1000000000),1000000000))+ROW()/100000,"")</f>
        <v/>
      </c>
    </row>
    <row r="1721">
      <c r="A1721">
        <f>IF($B1721="","",IFERROR(IF(INDEX('Per Invoice'!$A$2:$A$801,MATCH($B1721,'Per Invoice'!$B$2:$B$801,0))=0,"",INDEX('Per Invoice'!$A$2:$A$801,MATCH($B1721,'Per Invoice'!$B$2:$B$801,0))),""))</f>
        <v/>
      </c>
      <c r="J1721" s="7">
        <f>IF($B1721="","",I1721*Q1721/100)</f>
        <v/>
      </c>
      <c r="N1721" s="7" t="n"/>
      <c r="O1721" s="7" t="n"/>
      <c r="P1721" s="7">
        <f>IF($B1721="","",O1721*X1721/100)</f>
        <v/>
      </c>
      <c r="Q1721" s="7">
        <f>IF($B1721="","",O1721-P1721)</f>
        <v/>
      </c>
      <c r="R1721" s="7">
        <f>IF($B1721="","",Q1721-J1721)</f>
        <v/>
      </c>
      <c r="S1721" s="7" t="n"/>
      <c r="T1721" s="7" t="n"/>
      <c r="V1721" s="14" t="n"/>
      <c r="Z1721">
        <f>IF($B1721="","",IF(COUNTIF($B$2:$B1721,$B1721)=1,1,0))</f>
        <v/>
      </c>
      <c r="AA1721">
        <f>IF($Z1721=1,SUMPRODUCT(--($AC$2:$AC$3001&lt;$AC1721))+1,"")</f>
        <v/>
      </c>
      <c r="AB1721">
        <f>IF($B1721="","",IF(OR($Y1721=TRUE(),$Y1721="TRUE"),1,IF(AND($Y1721&lt;&gt;"",OR($Y1721=FALSE(),$Y1721="FALSE")),0,IF(MIN(ABS($X1721/100-Settings!$C$6),ABS($X1721/100-Settings!$G$6))&lt;=MIN(ABS($X1721/100-Settings!$C$7),ABS($X1721/100-Settings!$G$7)),1,0))))</f>
        <v/>
      </c>
      <c r="AC1721">
        <f>IF($Z1721=1,IFERROR(IF(VALUE($B1721)&lt;100000000,VALUE($B1721),1000000000),IFERROR(IF(VALUE(MID($B1721,2,20))&lt;100000000,VALUE(MID($B1721,2,20)),1000000000),1000000000))+ROW()/100000,"")</f>
        <v/>
      </c>
    </row>
    <row r="1722">
      <c r="A1722">
        <f>IF($B1722="","",IFERROR(IF(INDEX('Per Invoice'!$A$2:$A$801,MATCH($B1722,'Per Invoice'!$B$2:$B$801,0))=0,"",INDEX('Per Invoice'!$A$2:$A$801,MATCH($B1722,'Per Invoice'!$B$2:$B$801,0))),""))</f>
        <v/>
      </c>
      <c r="J1722" s="7">
        <f>IF($B1722="","",I1722*Q1722/100)</f>
        <v/>
      </c>
      <c r="N1722" s="7" t="n"/>
      <c r="O1722" s="7" t="n"/>
      <c r="P1722" s="7">
        <f>IF($B1722="","",O1722*X1722/100)</f>
        <v/>
      </c>
      <c r="Q1722" s="7">
        <f>IF($B1722="","",O1722-P1722)</f>
        <v/>
      </c>
      <c r="R1722" s="7">
        <f>IF($B1722="","",Q1722-J1722)</f>
        <v/>
      </c>
      <c r="S1722" s="7" t="n"/>
      <c r="T1722" s="7" t="n"/>
      <c r="V1722" s="14" t="n"/>
      <c r="Z1722">
        <f>IF($B1722="","",IF(COUNTIF($B$2:$B1722,$B1722)=1,1,0))</f>
        <v/>
      </c>
      <c r="AA1722">
        <f>IF($Z1722=1,SUMPRODUCT(--($AC$2:$AC$3001&lt;$AC1722))+1,"")</f>
        <v/>
      </c>
      <c r="AB1722">
        <f>IF($B1722="","",IF(OR($Y1722=TRUE(),$Y1722="TRUE"),1,IF(AND($Y1722&lt;&gt;"",OR($Y1722=FALSE(),$Y1722="FALSE")),0,IF(MIN(ABS($X1722/100-Settings!$C$6),ABS($X1722/100-Settings!$G$6))&lt;=MIN(ABS($X1722/100-Settings!$C$7),ABS($X1722/100-Settings!$G$7)),1,0))))</f>
        <v/>
      </c>
      <c r="AC1722">
        <f>IF($Z1722=1,IFERROR(IF(VALUE($B1722)&lt;100000000,VALUE($B1722),1000000000),IFERROR(IF(VALUE(MID($B1722,2,20))&lt;100000000,VALUE(MID($B1722,2,20)),1000000000),1000000000))+ROW()/100000,"")</f>
        <v/>
      </c>
    </row>
    <row r="1723">
      <c r="A1723">
        <f>IF($B1723="","",IFERROR(IF(INDEX('Per Invoice'!$A$2:$A$801,MATCH($B1723,'Per Invoice'!$B$2:$B$801,0))=0,"",INDEX('Per Invoice'!$A$2:$A$801,MATCH($B1723,'Per Invoice'!$B$2:$B$801,0))),""))</f>
        <v/>
      </c>
      <c r="J1723" s="7">
        <f>IF($B1723="","",I1723*Q1723/100)</f>
        <v/>
      </c>
      <c r="N1723" s="7" t="n"/>
      <c r="O1723" s="7" t="n"/>
      <c r="P1723" s="7">
        <f>IF($B1723="","",O1723*X1723/100)</f>
        <v/>
      </c>
      <c r="Q1723" s="7">
        <f>IF($B1723="","",O1723-P1723)</f>
        <v/>
      </c>
      <c r="R1723" s="7">
        <f>IF($B1723="","",Q1723-J1723)</f>
        <v/>
      </c>
      <c r="S1723" s="7" t="n"/>
      <c r="T1723" s="7" t="n"/>
      <c r="V1723" s="14" t="n"/>
      <c r="Z1723">
        <f>IF($B1723="","",IF(COUNTIF($B$2:$B1723,$B1723)=1,1,0))</f>
        <v/>
      </c>
      <c r="AA1723">
        <f>IF($Z1723=1,SUMPRODUCT(--($AC$2:$AC$3001&lt;$AC1723))+1,"")</f>
        <v/>
      </c>
      <c r="AB1723">
        <f>IF($B1723="","",IF(OR($Y1723=TRUE(),$Y1723="TRUE"),1,IF(AND($Y1723&lt;&gt;"",OR($Y1723=FALSE(),$Y1723="FALSE")),0,IF(MIN(ABS($X1723/100-Settings!$C$6),ABS($X1723/100-Settings!$G$6))&lt;=MIN(ABS($X1723/100-Settings!$C$7),ABS($X1723/100-Settings!$G$7)),1,0))))</f>
        <v/>
      </c>
      <c r="AC1723">
        <f>IF($Z1723=1,IFERROR(IF(VALUE($B1723)&lt;100000000,VALUE($B1723),1000000000),IFERROR(IF(VALUE(MID($B1723,2,20))&lt;100000000,VALUE(MID($B1723,2,20)),1000000000),1000000000))+ROW()/100000,"")</f>
        <v/>
      </c>
    </row>
    <row r="1724">
      <c r="A1724">
        <f>IF($B1724="","",IFERROR(IF(INDEX('Per Invoice'!$A$2:$A$801,MATCH($B1724,'Per Invoice'!$B$2:$B$801,0))=0,"",INDEX('Per Invoice'!$A$2:$A$801,MATCH($B1724,'Per Invoice'!$B$2:$B$801,0))),""))</f>
        <v/>
      </c>
      <c r="J1724" s="7">
        <f>IF($B1724="","",I1724*Q1724/100)</f>
        <v/>
      </c>
      <c r="N1724" s="7" t="n"/>
      <c r="O1724" s="7" t="n"/>
      <c r="P1724" s="7">
        <f>IF($B1724="","",O1724*X1724/100)</f>
        <v/>
      </c>
      <c r="Q1724" s="7">
        <f>IF($B1724="","",O1724-P1724)</f>
        <v/>
      </c>
      <c r="R1724" s="7">
        <f>IF($B1724="","",Q1724-J1724)</f>
        <v/>
      </c>
      <c r="S1724" s="7" t="n"/>
      <c r="T1724" s="7" t="n"/>
      <c r="V1724" s="14" t="n"/>
      <c r="Z1724">
        <f>IF($B1724="","",IF(COUNTIF($B$2:$B1724,$B1724)=1,1,0))</f>
        <v/>
      </c>
      <c r="AA1724">
        <f>IF($Z1724=1,SUMPRODUCT(--($AC$2:$AC$3001&lt;$AC1724))+1,"")</f>
        <v/>
      </c>
      <c r="AB1724">
        <f>IF($B1724="","",IF(OR($Y1724=TRUE(),$Y1724="TRUE"),1,IF(AND($Y1724&lt;&gt;"",OR($Y1724=FALSE(),$Y1724="FALSE")),0,IF(MIN(ABS($X1724/100-Settings!$C$6),ABS($X1724/100-Settings!$G$6))&lt;=MIN(ABS($X1724/100-Settings!$C$7),ABS($X1724/100-Settings!$G$7)),1,0))))</f>
        <v/>
      </c>
      <c r="AC1724">
        <f>IF($Z1724=1,IFERROR(IF(VALUE($B1724)&lt;100000000,VALUE($B1724),1000000000),IFERROR(IF(VALUE(MID($B1724,2,20))&lt;100000000,VALUE(MID($B1724,2,20)),1000000000),1000000000))+ROW()/100000,"")</f>
        <v/>
      </c>
    </row>
    <row r="1725">
      <c r="A1725">
        <f>IF($B1725="","",IFERROR(IF(INDEX('Per Invoice'!$A$2:$A$801,MATCH($B1725,'Per Invoice'!$B$2:$B$801,0))=0,"",INDEX('Per Invoice'!$A$2:$A$801,MATCH($B1725,'Per Invoice'!$B$2:$B$801,0))),""))</f>
        <v/>
      </c>
      <c r="J1725" s="7">
        <f>IF($B1725="","",I1725*Q1725/100)</f>
        <v/>
      </c>
      <c r="N1725" s="7" t="n"/>
      <c r="O1725" s="7" t="n"/>
      <c r="P1725" s="7">
        <f>IF($B1725="","",O1725*X1725/100)</f>
        <v/>
      </c>
      <c r="Q1725" s="7">
        <f>IF($B1725="","",O1725-P1725)</f>
        <v/>
      </c>
      <c r="R1725" s="7">
        <f>IF($B1725="","",Q1725-J1725)</f>
        <v/>
      </c>
      <c r="S1725" s="7" t="n"/>
      <c r="T1725" s="7" t="n"/>
      <c r="V1725" s="14" t="n"/>
      <c r="Z1725">
        <f>IF($B1725="","",IF(COUNTIF($B$2:$B1725,$B1725)=1,1,0))</f>
        <v/>
      </c>
      <c r="AA1725">
        <f>IF($Z1725=1,SUMPRODUCT(--($AC$2:$AC$3001&lt;$AC1725))+1,"")</f>
        <v/>
      </c>
      <c r="AB1725">
        <f>IF($B1725="","",IF(OR($Y1725=TRUE(),$Y1725="TRUE"),1,IF(AND($Y1725&lt;&gt;"",OR($Y1725=FALSE(),$Y1725="FALSE")),0,IF(MIN(ABS($X1725/100-Settings!$C$6),ABS($X1725/100-Settings!$G$6))&lt;=MIN(ABS($X1725/100-Settings!$C$7),ABS($X1725/100-Settings!$G$7)),1,0))))</f>
        <v/>
      </c>
      <c r="AC1725">
        <f>IF($Z1725=1,IFERROR(IF(VALUE($B1725)&lt;100000000,VALUE($B1725),1000000000),IFERROR(IF(VALUE(MID($B1725,2,20))&lt;100000000,VALUE(MID($B1725,2,20)),1000000000),1000000000))+ROW()/100000,"")</f>
        <v/>
      </c>
    </row>
    <row r="1726">
      <c r="A1726">
        <f>IF($B1726="","",IFERROR(IF(INDEX('Per Invoice'!$A$2:$A$801,MATCH($B1726,'Per Invoice'!$B$2:$B$801,0))=0,"",INDEX('Per Invoice'!$A$2:$A$801,MATCH($B1726,'Per Invoice'!$B$2:$B$801,0))),""))</f>
        <v/>
      </c>
      <c r="J1726" s="7">
        <f>IF($B1726="","",I1726*Q1726/100)</f>
        <v/>
      </c>
      <c r="N1726" s="7" t="n"/>
      <c r="O1726" s="7" t="n"/>
      <c r="P1726" s="7">
        <f>IF($B1726="","",O1726*X1726/100)</f>
        <v/>
      </c>
      <c r="Q1726" s="7">
        <f>IF($B1726="","",O1726-P1726)</f>
        <v/>
      </c>
      <c r="R1726" s="7">
        <f>IF($B1726="","",Q1726-J1726)</f>
        <v/>
      </c>
      <c r="S1726" s="7" t="n"/>
      <c r="T1726" s="7" t="n"/>
      <c r="V1726" s="14" t="n"/>
      <c r="Z1726">
        <f>IF($B1726="","",IF(COUNTIF($B$2:$B1726,$B1726)=1,1,0))</f>
        <v/>
      </c>
      <c r="AA1726">
        <f>IF($Z1726=1,SUMPRODUCT(--($AC$2:$AC$3001&lt;$AC1726))+1,"")</f>
        <v/>
      </c>
      <c r="AB1726">
        <f>IF($B1726="","",IF(OR($Y1726=TRUE(),$Y1726="TRUE"),1,IF(AND($Y1726&lt;&gt;"",OR($Y1726=FALSE(),$Y1726="FALSE")),0,IF(MIN(ABS($X1726/100-Settings!$C$6),ABS($X1726/100-Settings!$G$6))&lt;=MIN(ABS($X1726/100-Settings!$C$7),ABS($X1726/100-Settings!$G$7)),1,0))))</f>
        <v/>
      </c>
      <c r="AC1726">
        <f>IF($Z1726=1,IFERROR(IF(VALUE($B1726)&lt;100000000,VALUE($B1726),1000000000),IFERROR(IF(VALUE(MID($B1726,2,20))&lt;100000000,VALUE(MID($B1726,2,20)),1000000000),1000000000))+ROW()/100000,"")</f>
        <v/>
      </c>
    </row>
    <row r="1727">
      <c r="A1727">
        <f>IF($B1727="","",IFERROR(IF(INDEX('Per Invoice'!$A$2:$A$801,MATCH($B1727,'Per Invoice'!$B$2:$B$801,0))=0,"",INDEX('Per Invoice'!$A$2:$A$801,MATCH($B1727,'Per Invoice'!$B$2:$B$801,0))),""))</f>
        <v/>
      </c>
      <c r="J1727" s="7">
        <f>IF($B1727="","",I1727*Q1727/100)</f>
        <v/>
      </c>
      <c r="N1727" s="7" t="n"/>
      <c r="O1727" s="7" t="n"/>
      <c r="P1727" s="7">
        <f>IF($B1727="","",O1727*X1727/100)</f>
        <v/>
      </c>
      <c r="Q1727" s="7">
        <f>IF($B1727="","",O1727-P1727)</f>
        <v/>
      </c>
      <c r="R1727" s="7">
        <f>IF($B1727="","",Q1727-J1727)</f>
        <v/>
      </c>
      <c r="S1727" s="7" t="n"/>
      <c r="T1727" s="7" t="n"/>
      <c r="V1727" s="14" t="n"/>
      <c r="Z1727">
        <f>IF($B1727="","",IF(COUNTIF($B$2:$B1727,$B1727)=1,1,0))</f>
        <v/>
      </c>
      <c r="AA1727">
        <f>IF($Z1727=1,SUMPRODUCT(--($AC$2:$AC$3001&lt;$AC1727))+1,"")</f>
        <v/>
      </c>
      <c r="AB1727">
        <f>IF($B1727="","",IF(OR($Y1727=TRUE(),$Y1727="TRUE"),1,IF(AND($Y1727&lt;&gt;"",OR($Y1727=FALSE(),$Y1727="FALSE")),0,IF(MIN(ABS($X1727/100-Settings!$C$6),ABS($X1727/100-Settings!$G$6))&lt;=MIN(ABS($X1727/100-Settings!$C$7),ABS($X1727/100-Settings!$G$7)),1,0))))</f>
        <v/>
      </c>
      <c r="AC1727">
        <f>IF($Z1727=1,IFERROR(IF(VALUE($B1727)&lt;100000000,VALUE($B1727),1000000000),IFERROR(IF(VALUE(MID($B1727,2,20))&lt;100000000,VALUE(MID($B1727,2,20)),1000000000),1000000000))+ROW()/100000,"")</f>
        <v/>
      </c>
    </row>
    <row r="1728">
      <c r="A1728">
        <f>IF($B1728="","",IFERROR(IF(INDEX('Per Invoice'!$A$2:$A$801,MATCH($B1728,'Per Invoice'!$B$2:$B$801,0))=0,"",INDEX('Per Invoice'!$A$2:$A$801,MATCH($B1728,'Per Invoice'!$B$2:$B$801,0))),""))</f>
        <v/>
      </c>
      <c r="J1728" s="7">
        <f>IF($B1728="","",I1728*Q1728/100)</f>
        <v/>
      </c>
      <c r="N1728" s="7" t="n"/>
      <c r="O1728" s="7" t="n"/>
      <c r="P1728" s="7">
        <f>IF($B1728="","",O1728*X1728/100)</f>
        <v/>
      </c>
      <c r="Q1728" s="7">
        <f>IF($B1728="","",O1728-P1728)</f>
        <v/>
      </c>
      <c r="R1728" s="7">
        <f>IF($B1728="","",Q1728-J1728)</f>
        <v/>
      </c>
      <c r="S1728" s="7" t="n"/>
      <c r="T1728" s="7" t="n"/>
      <c r="V1728" s="14" t="n"/>
      <c r="Z1728">
        <f>IF($B1728="","",IF(COUNTIF($B$2:$B1728,$B1728)=1,1,0))</f>
        <v/>
      </c>
      <c r="AA1728">
        <f>IF($Z1728=1,SUMPRODUCT(--($AC$2:$AC$3001&lt;$AC1728))+1,"")</f>
        <v/>
      </c>
      <c r="AB1728">
        <f>IF($B1728="","",IF(OR($Y1728=TRUE(),$Y1728="TRUE"),1,IF(AND($Y1728&lt;&gt;"",OR($Y1728=FALSE(),$Y1728="FALSE")),0,IF(MIN(ABS($X1728/100-Settings!$C$6),ABS($X1728/100-Settings!$G$6))&lt;=MIN(ABS($X1728/100-Settings!$C$7),ABS($X1728/100-Settings!$G$7)),1,0))))</f>
        <v/>
      </c>
      <c r="AC1728">
        <f>IF($Z1728=1,IFERROR(IF(VALUE($B1728)&lt;100000000,VALUE($B1728),1000000000),IFERROR(IF(VALUE(MID($B1728,2,20))&lt;100000000,VALUE(MID($B1728,2,20)),1000000000),1000000000))+ROW()/100000,"")</f>
        <v/>
      </c>
    </row>
    <row r="1729">
      <c r="A1729">
        <f>IF($B1729="","",IFERROR(IF(INDEX('Per Invoice'!$A$2:$A$801,MATCH($B1729,'Per Invoice'!$B$2:$B$801,0))=0,"",INDEX('Per Invoice'!$A$2:$A$801,MATCH($B1729,'Per Invoice'!$B$2:$B$801,0))),""))</f>
        <v/>
      </c>
      <c r="J1729" s="7">
        <f>IF($B1729="","",I1729*Q1729/100)</f>
        <v/>
      </c>
      <c r="N1729" s="7" t="n"/>
      <c r="O1729" s="7" t="n"/>
      <c r="P1729" s="7">
        <f>IF($B1729="","",O1729*X1729/100)</f>
        <v/>
      </c>
      <c r="Q1729" s="7">
        <f>IF($B1729="","",O1729-P1729)</f>
        <v/>
      </c>
      <c r="R1729" s="7">
        <f>IF($B1729="","",Q1729-J1729)</f>
        <v/>
      </c>
      <c r="S1729" s="7" t="n"/>
      <c r="T1729" s="7" t="n"/>
      <c r="V1729" s="14" t="n"/>
      <c r="Z1729">
        <f>IF($B1729="","",IF(COUNTIF($B$2:$B1729,$B1729)=1,1,0))</f>
        <v/>
      </c>
      <c r="AA1729">
        <f>IF($Z1729=1,SUMPRODUCT(--($AC$2:$AC$3001&lt;$AC1729))+1,"")</f>
        <v/>
      </c>
      <c r="AB1729">
        <f>IF($B1729="","",IF(OR($Y1729=TRUE(),$Y1729="TRUE"),1,IF(AND($Y1729&lt;&gt;"",OR($Y1729=FALSE(),$Y1729="FALSE")),0,IF(MIN(ABS($X1729/100-Settings!$C$6),ABS($X1729/100-Settings!$G$6))&lt;=MIN(ABS($X1729/100-Settings!$C$7),ABS($X1729/100-Settings!$G$7)),1,0))))</f>
        <v/>
      </c>
      <c r="AC1729">
        <f>IF($Z1729=1,IFERROR(IF(VALUE($B1729)&lt;100000000,VALUE($B1729),1000000000),IFERROR(IF(VALUE(MID($B1729,2,20))&lt;100000000,VALUE(MID($B1729,2,20)),1000000000),1000000000))+ROW()/100000,"")</f>
        <v/>
      </c>
    </row>
    <row r="1730">
      <c r="A1730">
        <f>IF($B1730="","",IFERROR(IF(INDEX('Per Invoice'!$A$2:$A$801,MATCH($B1730,'Per Invoice'!$B$2:$B$801,0))=0,"",INDEX('Per Invoice'!$A$2:$A$801,MATCH($B1730,'Per Invoice'!$B$2:$B$801,0))),""))</f>
        <v/>
      </c>
      <c r="J1730" s="7">
        <f>IF($B1730="","",I1730*Q1730/100)</f>
        <v/>
      </c>
      <c r="N1730" s="7" t="n"/>
      <c r="O1730" s="7" t="n"/>
      <c r="P1730" s="7">
        <f>IF($B1730="","",O1730*X1730/100)</f>
        <v/>
      </c>
      <c r="Q1730" s="7">
        <f>IF($B1730="","",O1730-P1730)</f>
        <v/>
      </c>
      <c r="R1730" s="7">
        <f>IF($B1730="","",Q1730-J1730)</f>
        <v/>
      </c>
      <c r="S1730" s="7" t="n"/>
      <c r="T1730" s="7" t="n"/>
      <c r="V1730" s="14" t="n"/>
      <c r="Z1730">
        <f>IF($B1730="","",IF(COUNTIF($B$2:$B1730,$B1730)=1,1,0))</f>
        <v/>
      </c>
      <c r="AA1730">
        <f>IF($Z1730=1,SUMPRODUCT(--($AC$2:$AC$3001&lt;$AC1730))+1,"")</f>
        <v/>
      </c>
      <c r="AB1730">
        <f>IF($B1730="","",IF(OR($Y1730=TRUE(),$Y1730="TRUE"),1,IF(AND($Y1730&lt;&gt;"",OR($Y1730=FALSE(),$Y1730="FALSE")),0,IF(MIN(ABS($X1730/100-Settings!$C$6),ABS($X1730/100-Settings!$G$6))&lt;=MIN(ABS($X1730/100-Settings!$C$7),ABS($X1730/100-Settings!$G$7)),1,0))))</f>
        <v/>
      </c>
      <c r="AC1730">
        <f>IF($Z1730=1,IFERROR(IF(VALUE($B1730)&lt;100000000,VALUE($B1730),1000000000),IFERROR(IF(VALUE(MID($B1730,2,20))&lt;100000000,VALUE(MID($B1730,2,20)),1000000000),1000000000))+ROW()/100000,"")</f>
        <v/>
      </c>
    </row>
    <row r="1731">
      <c r="A1731">
        <f>IF($B1731="","",IFERROR(IF(INDEX('Per Invoice'!$A$2:$A$801,MATCH($B1731,'Per Invoice'!$B$2:$B$801,0))=0,"",INDEX('Per Invoice'!$A$2:$A$801,MATCH($B1731,'Per Invoice'!$B$2:$B$801,0))),""))</f>
        <v/>
      </c>
      <c r="J1731" s="7">
        <f>IF($B1731="","",I1731*Q1731/100)</f>
        <v/>
      </c>
      <c r="N1731" s="7" t="n"/>
      <c r="O1731" s="7" t="n"/>
      <c r="P1731" s="7">
        <f>IF($B1731="","",O1731*X1731/100)</f>
        <v/>
      </c>
      <c r="Q1731" s="7">
        <f>IF($B1731="","",O1731-P1731)</f>
        <v/>
      </c>
      <c r="R1731" s="7">
        <f>IF($B1731="","",Q1731-J1731)</f>
        <v/>
      </c>
      <c r="S1731" s="7" t="n"/>
      <c r="T1731" s="7" t="n"/>
      <c r="V1731" s="14" t="n"/>
      <c r="Z1731">
        <f>IF($B1731="","",IF(COUNTIF($B$2:$B1731,$B1731)=1,1,0))</f>
        <v/>
      </c>
      <c r="AA1731">
        <f>IF($Z1731=1,SUMPRODUCT(--($AC$2:$AC$3001&lt;$AC1731))+1,"")</f>
        <v/>
      </c>
      <c r="AB1731">
        <f>IF($B1731="","",IF(OR($Y1731=TRUE(),$Y1731="TRUE"),1,IF(AND($Y1731&lt;&gt;"",OR($Y1731=FALSE(),$Y1731="FALSE")),0,IF(MIN(ABS($X1731/100-Settings!$C$6),ABS($X1731/100-Settings!$G$6))&lt;=MIN(ABS($X1731/100-Settings!$C$7),ABS($X1731/100-Settings!$G$7)),1,0))))</f>
        <v/>
      </c>
      <c r="AC1731">
        <f>IF($Z1731=1,IFERROR(IF(VALUE($B1731)&lt;100000000,VALUE($B1731),1000000000),IFERROR(IF(VALUE(MID($B1731,2,20))&lt;100000000,VALUE(MID($B1731,2,20)),1000000000),1000000000))+ROW()/100000,"")</f>
        <v/>
      </c>
    </row>
    <row r="1732">
      <c r="A1732">
        <f>IF($B1732="","",IFERROR(IF(INDEX('Per Invoice'!$A$2:$A$801,MATCH($B1732,'Per Invoice'!$B$2:$B$801,0))=0,"",INDEX('Per Invoice'!$A$2:$A$801,MATCH($B1732,'Per Invoice'!$B$2:$B$801,0))),""))</f>
        <v/>
      </c>
      <c r="J1732" s="7">
        <f>IF($B1732="","",I1732*Q1732/100)</f>
        <v/>
      </c>
      <c r="N1732" s="7" t="n"/>
      <c r="O1732" s="7" t="n"/>
      <c r="P1732" s="7">
        <f>IF($B1732="","",O1732*X1732/100)</f>
        <v/>
      </c>
      <c r="Q1732" s="7">
        <f>IF($B1732="","",O1732-P1732)</f>
        <v/>
      </c>
      <c r="R1732" s="7">
        <f>IF($B1732="","",Q1732-J1732)</f>
        <v/>
      </c>
      <c r="S1732" s="7" t="n"/>
      <c r="T1732" s="7" t="n"/>
      <c r="V1732" s="14" t="n"/>
      <c r="Z1732">
        <f>IF($B1732="","",IF(COUNTIF($B$2:$B1732,$B1732)=1,1,0))</f>
        <v/>
      </c>
      <c r="AA1732">
        <f>IF($Z1732=1,SUMPRODUCT(--($AC$2:$AC$3001&lt;$AC1732))+1,"")</f>
        <v/>
      </c>
      <c r="AB1732">
        <f>IF($B1732="","",IF(OR($Y1732=TRUE(),$Y1732="TRUE"),1,IF(AND($Y1732&lt;&gt;"",OR($Y1732=FALSE(),$Y1732="FALSE")),0,IF(MIN(ABS($X1732/100-Settings!$C$6),ABS($X1732/100-Settings!$G$6))&lt;=MIN(ABS($X1732/100-Settings!$C$7),ABS($X1732/100-Settings!$G$7)),1,0))))</f>
        <v/>
      </c>
      <c r="AC1732">
        <f>IF($Z1732=1,IFERROR(IF(VALUE($B1732)&lt;100000000,VALUE($B1732),1000000000),IFERROR(IF(VALUE(MID($B1732,2,20))&lt;100000000,VALUE(MID($B1732,2,20)),1000000000),1000000000))+ROW()/100000,"")</f>
        <v/>
      </c>
    </row>
    <row r="1733">
      <c r="A1733">
        <f>IF($B1733="","",IFERROR(IF(INDEX('Per Invoice'!$A$2:$A$801,MATCH($B1733,'Per Invoice'!$B$2:$B$801,0))=0,"",INDEX('Per Invoice'!$A$2:$A$801,MATCH($B1733,'Per Invoice'!$B$2:$B$801,0))),""))</f>
        <v/>
      </c>
      <c r="J1733" s="7">
        <f>IF($B1733="","",I1733*Q1733/100)</f>
        <v/>
      </c>
      <c r="N1733" s="7" t="n"/>
      <c r="O1733" s="7" t="n"/>
      <c r="P1733" s="7">
        <f>IF($B1733="","",O1733*X1733/100)</f>
        <v/>
      </c>
      <c r="Q1733" s="7">
        <f>IF($B1733="","",O1733-P1733)</f>
        <v/>
      </c>
      <c r="R1733" s="7">
        <f>IF($B1733="","",Q1733-J1733)</f>
        <v/>
      </c>
      <c r="S1733" s="7" t="n"/>
      <c r="T1733" s="7" t="n"/>
      <c r="V1733" s="14" t="n"/>
      <c r="Z1733">
        <f>IF($B1733="","",IF(COUNTIF($B$2:$B1733,$B1733)=1,1,0))</f>
        <v/>
      </c>
      <c r="AA1733">
        <f>IF($Z1733=1,SUMPRODUCT(--($AC$2:$AC$3001&lt;$AC1733))+1,"")</f>
        <v/>
      </c>
      <c r="AB1733">
        <f>IF($B1733="","",IF(OR($Y1733=TRUE(),$Y1733="TRUE"),1,IF(AND($Y1733&lt;&gt;"",OR($Y1733=FALSE(),$Y1733="FALSE")),0,IF(MIN(ABS($X1733/100-Settings!$C$6),ABS($X1733/100-Settings!$G$6))&lt;=MIN(ABS($X1733/100-Settings!$C$7),ABS($X1733/100-Settings!$G$7)),1,0))))</f>
        <v/>
      </c>
      <c r="AC1733">
        <f>IF($Z1733=1,IFERROR(IF(VALUE($B1733)&lt;100000000,VALUE($B1733),1000000000),IFERROR(IF(VALUE(MID($B1733,2,20))&lt;100000000,VALUE(MID($B1733,2,20)),1000000000),1000000000))+ROW()/100000,"")</f>
        <v/>
      </c>
    </row>
    <row r="1734">
      <c r="A1734">
        <f>IF($B1734="","",IFERROR(IF(INDEX('Per Invoice'!$A$2:$A$801,MATCH($B1734,'Per Invoice'!$B$2:$B$801,0))=0,"",INDEX('Per Invoice'!$A$2:$A$801,MATCH($B1734,'Per Invoice'!$B$2:$B$801,0))),""))</f>
        <v/>
      </c>
      <c r="J1734" s="7">
        <f>IF($B1734="","",I1734*Q1734/100)</f>
        <v/>
      </c>
      <c r="N1734" s="7" t="n"/>
      <c r="O1734" s="7" t="n"/>
      <c r="P1734" s="7">
        <f>IF($B1734="","",O1734*X1734/100)</f>
        <v/>
      </c>
      <c r="Q1734" s="7">
        <f>IF($B1734="","",O1734-P1734)</f>
        <v/>
      </c>
      <c r="R1734" s="7">
        <f>IF($B1734="","",Q1734-J1734)</f>
        <v/>
      </c>
      <c r="S1734" s="7" t="n"/>
      <c r="T1734" s="7" t="n"/>
      <c r="V1734" s="14" t="n"/>
      <c r="Z1734">
        <f>IF($B1734="","",IF(COUNTIF($B$2:$B1734,$B1734)=1,1,0))</f>
        <v/>
      </c>
      <c r="AA1734">
        <f>IF($Z1734=1,SUMPRODUCT(--($AC$2:$AC$3001&lt;$AC1734))+1,"")</f>
        <v/>
      </c>
      <c r="AB1734">
        <f>IF($B1734="","",IF(OR($Y1734=TRUE(),$Y1734="TRUE"),1,IF(AND($Y1734&lt;&gt;"",OR($Y1734=FALSE(),$Y1734="FALSE")),0,IF(MIN(ABS($X1734/100-Settings!$C$6),ABS($X1734/100-Settings!$G$6))&lt;=MIN(ABS($X1734/100-Settings!$C$7),ABS($X1734/100-Settings!$G$7)),1,0))))</f>
        <v/>
      </c>
      <c r="AC1734">
        <f>IF($Z1734=1,IFERROR(IF(VALUE($B1734)&lt;100000000,VALUE($B1734),1000000000),IFERROR(IF(VALUE(MID($B1734,2,20))&lt;100000000,VALUE(MID($B1734,2,20)),1000000000),1000000000))+ROW()/100000,"")</f>
        <v/>
      </c>
    </row>
    <row r="1735">
      <c r="A1735">
        <f>IF($B1735="","",IFERROR(IF(INDEX('Per Invoice'!$A$2:$A$801,MATCH($B1735,'Per Invoice'!$B$2:$B$801,0))=0,"",INDEX('Per Invoice'!$A$2:$A$801,MATCH($B1735,'Per Invoice'!$B$2:$B$801,0))),""))</f>
        <v/>
      </c>
      <c r="J1735" s="7">
        <f>IF($B1735="","",I1735*Q1735/100)</f>
        <v/>
      </c>
      <c r="N1735" s="7" t="n"/>
      <c r="O1735" s="7" t="n"/>
      <c r="P1735" s="7">
        <f>IF($B1735="","",O1735*X1735/100)</f>
        <v/>
      </c>
      <c r="Q1735" s="7">
        <f>IF($B1735="","",O1735-P1735)</f>
        <v/>
      </c>
      <c r="R1735" s="7">
        <f>IF($B1735="","",Q1735-J1735)</f>
        <v/>
      </c>
      <c r="S1735" s="7" t="n"/>
      <c r="T1735" s="7" t="n"/>
      <c r="V1735" s="14" t="n"/>
      <c r="Z1735">
        <f>IF($B1735="","",IF(COUNTIF($B$2:$B1735,$B1735)=1,1,0))</f>
        <v/>
      </c>
      <c r="AA1735">
        <f>IF($Z1735=1,SUMPRODUCT(--($AC$2:$AC$3001&lt;$AC1735))+1,"")</f>
        <v/>
      </c>
      <c r="AB1735">
        <f>IF($B1735="","",IF(OR($Y1735=TRUE(),$Y1735="TRUE"),1,IF(AND($Y1735&lt;&gt;"",OR($Y1735=FALSE(),$Y1735="FALSE")),0,IF(MIN(ABS($X1735/100-Settings!$C$6),ABS($X1735/100-Settings!$G$6))&lt;=MIN(ABS($X1735/100-Settings!$C$7),ABS($X1735/100-Settings!$G$7)),1,0))))</f>
        <v/>
      </c>
      <c r="AC1735">
        <f>IF($Z1735=1,IFERROR(IF(VALUE($B1735)&lt;100000000,VALUE($B1735),1000000000),IFERROR(IF(VALUE(MID($B1735,2,20))&lt;100000000,VALUE(MID($B1735,2,20)),1000000000),1000000000))+ROW()/100000,"")</f>
        <v/>
      </c>
    </row>
    <row r="1736">
      <c r="A1736">
        <f>IF($B1736="","",IFERROR(IF(INDEX('Per Invoice'!$A$2:$A$801,MATCH($B1736,'Per Invoice'!$B$2:$B$801,0))=0,"",INDEX('Per Invoice'!$A$2:$A$801,MATCH($B1736,'Per Invoice'!$B$2:$B$801,0))),""))</f>
        <v/>
      </c>
      <c r="J1736" s="7">
        <f>IF($B1736="","",I1736*Q1736/100)</f>
        <v/>
      </c>
      <c r="N1736" s="7" t="n"/>
      <c r="O1736" s="7" t="n"/>
      <c r="P1736" s="7">
        <f>IF($B1736="","",O1736*X1736/100)</f>
        <v/>
      </c>
      <c r="Q1736" s="7">
        <f>IF($B1736="","",O1736-P1736)</f>
        <v/>
      </c>
      <c r="R1736" s="7">
        <f>IF($B1736="","",Q1736-J1736)</f>
        <v/>
      </c>
      <c r="S1736" s="7" t="n"/>
      <c r="T1736" s="7" t="n"/>
      <c r="V1736" s="14" t="n"/>
      <c r="Z1736">
        <f>IF($B1736="","",IF(COUNTIF($B$2:$B1736,$B1736)=1,1,0))</f>
        <v/>
      </c>
      <c r="AA1736">
        <f>IF($Z1736=1,SUMPRODUCT(--($AC$2:$AC$3001&lt;$AC1736))+1,"")</f>
        <v/>
      </c>
      <c r="AB1736">
        <f>IF($B1736="","",IF(OR($Y1736=TRUE(),$Y1736="TRUE"),1,IF(AND($Y1736&lt;&gt;"",OR($Y1736=FALSE(),$Y1736="FALSE")),0,IF(MIN(ABS($X1736/100-Settings!$C$6),ABS($X1736/100-Settings!$G$6))&lt;=MIN(ABS($X1736/100-Settings!$C$7),ABS($X1736/100-Settings!$G$7)),1,0))))</f>
        <v/>
      </c>
      <c r="AC1736">
        <f>IF($Z1736=1,IFERROR(IF(VALUE($B1736)&lt;100000000,VALUE($B1736),1000000000),IFERROR(IF(VALUE(MID($B1736,2,20))&lt;100000000,VALUE(MID($B1736,2,20)),1000000000),1000000000))+ROW()/100000,"")</f>
        <v/>
      </c>
    </row>
    <row r="1737">
      <c r="A1737">
        <f>IF($B1737="","",IFERROR(IF(INDEX('Per Invoice'!$A$2:$A$801,MATCH($B1737,'Per Invoice'!$B$2:$B$801,0))=0,"",INDEX('Per Invoice'!$A$2:$A$801,MATCH($B1737,'Per Invoice'!$B$2:$B$801,0))),""))</f>
        <v/>
      </c>
      <c r="J1737" s="7">
        <f>IF($B1737="","",I1737*Q1737/100)</f>
        <v/>
      </c>
      <c r="N1737" s="7" t="n"/>
      <c r="O1737" s="7" t="n"/>
      <c r="P1737" s="7">
        <f>IF($B1737="","",O1737*X1737/100)</f>
        <v/>
      </c>
      <c r="Q1737" s="7">
        <f>IF($B1737="","",O1737-P1737)</f>
        <v/>
      </c>
      <c r="R1737" s="7">
        <f>IF($B1737="","",Q1737-J1737)</f>
        <v/>
      </c>
      <c r="S1737" s="7" t="n"/>
      <c r="T1737" s="7" t="n"/>
      <c r="V1737" s="14" t="n"/>
      <c r="Z1737">
        <f>IF($B1737="","",IF(COUNTIF($B$2:$B1737,$B1737)=1,1,0))</f>
        <v/>
      </c>
      <c r="AA1737">
        <f>IF($Z1737=1,SUMPRODUCT(--($AC$2:$AC$3001&lt;$AC1737))+1,"")</f>
        <v/>
      </c>
      <c r="AB1737">
        <f>IF($B1737="","",IF(OR($Y1737=TRUE(),$Y1737="TRUE"),1,IF(AND($Y1737&lt;&gt;"",OR($Y1737=FALSE(),$Y1737="FALSE")),0,IF(MIN(ABS($X1737/100-Settings!$C$6),ABS($X1737/100-Settings!$G$6))&lt;=MIN(ABS($X1737/100-Settings!$C$7),ABS($X1737/100-Settings!$G$7)),1,0))))</f>
        <v/>
      </c>
      <c r="AC1737">
        <f>IF($Z1737=1,IFERROR(IF(VALUE($B1737)&lt;100000000,VALUE($B1737),1000000000),IFERROR(IF(VALUE(MID($B1737,2,20))&lt;100000000,VALUE(MID($B1737,2,20)),1000000000),1000000000))+ROW()/100000,"")</f>
        <v/>
      </c>
    </row>
    <row r="1738">
      <c r="A1738">
        <f>IF($B1738="","",IFERROR(IF(INDEX('Per Invoice'!$A$2:$A$801,MATCH($B1738,'Per Invoice'!$B$2:$B$801,0))=0,"",INDEX('Per Invoice'!$A$2:$A$801,MATCH($B1738,'Per Invoice'!$B$2:$B$801,0))),""))</f>
        <v/>
      </c>
      <c r="J1738" s="7">
        <f>IF($B1738="","",I1738*Q1738/100)</f>
        <v/>
      </c>
      <c r="N1738" s="7" t="n"/>
      <c r="O1738" s="7" t="n"/>
      <c r="P1738" s="7">
        <f>IF($B1738="","",O1738*X1738/100)</f>
        <v/>
      </c>
      <c r="Q1738" s="7">
        <f>IF($B1738="","",O1738-P1738)</f>
        <v/>
      </c>
      <c r="R1738" s="7">
        <f>IF($B1738="","",Q1738-J1738)</f>
        <v/>
      </c>
      <c r="S1738" s="7" t="n"/>
      <c r="T1738" s="7" t="n"/>
      <c r="V1738" s="14" t="n"/>
      <c r="Z1738">
        <f>IF($B1738="","",IF(COUNTIF($B$2:$B1738,$B1738)=1,1,0))</f>
        <v/>
      </c>
      <c r="AA1738">
        <f>IF($Z1738=1,SUMPRODUCT(--($AC$2:$AC$3001&lt;$AC1738))+1,"")</f>
        <v/>
      </c>
      <c r="AB1738">
        <f>IF($B1738="","",IF(OR($Y1738=TRUE(),$Y1738="TRUE"),1,IF(AND($Y1738&lt;&gt;"",OR($Y1738=FALSE(),$Y1738="FALSE")),0,IF(MIN(ABS($X1738/100-Settings!$C$6),ABS($X1738/100-Settings!$G$6))&lt;=MIN(ABS($X1738/100-Settings!$C$7),ABS($X1738/100-Settings!$G$7)),1,0))))</f>
        <v/>
      </c>
      <c r="AC1738">
        <f>IF($Z1738=1,IFERROR(IF(VALUE($B1738)&lt;100000000,VALUE($B1738),1000000000),IFERROR(IF(VALUE(MID($B1738,2,20))&lt;100000000,VALUE(MID($B1738,2,20)),1000000000),1000000000))+ROW()/100000,"")</f>
        <v/>
      </c>
    </row>
    <row r="1739">
      <c r="A1739">
        <f>IF($B1739="","",IFERROR(IF(INDEX('Per Invoice'!$A$2:$A$801,MATCH($B1739,'Per Invoice'!$B$2:$B$801,0))=0,"",INDEX('Per Invoice'!$A$2:$A$801,MATCH($B1739,'Per Invoice'!$B$2:$B$801,0))),""))</f>
        <v/>
      </c>
      <c r="J1739" s="7">
        <f>IF($B1739="","",I1739*Q1739/100)</f>
        <v/>
      </c>
      <c r="N1739" s="7" t="n"/>
      <c r="O1739" s="7" t="n"/>
      <c r="P1739" s="7">
        <f>IF($B1739="","",O1739*X1739/100)</f>
        <v/>
      </c>
      <c r="Q1739" s="7">
        <f>IF($B1739="","",O1739-P1739)</f>
        <v/>
      </c>
      <c r="R1739" s="7">
        <f>IF($B1739="","",Q1739-J1739)</f>
        <v/>
      </c>
      <c r="S1739" s="7" t="n"/>
      <c r="T1739" s="7" t="n"/>
      <c r="V1739" s="14" t="n"/>
      <c r="Z1739">
        <f>IF($B1739="","",IF(COUNTIF($B$2:$B1739,$B1739)=1,1,0))</f>
        <v/>
      </c>
      <c r="AA1739">
        <f>IF($Z1739=1,SUMPRODUCT(--($AC$2:$AC$3001&lt;$AC1739))+1,"")</f>
        <v/>
      </c>
      <c r="AB1739">
        <f>IF($B1739="","",IF(OR($Y1739=TRUE(),$Y1739="TRUE"),1,IF(AND($Y1739&lt;&gt;"",OR($Y1739=FALSE(),$Y1739="FALSE")),0,IF(MIN(ABS($X1739/100-Settings!$C$6),ABS($X1739/100-Settings!$G$6))&lt;=MIN(ABS($X1739/100-Settings!$C$7),ABS($X1739/100-Settings!$G$7)),1,0))))</f>
        <v/>
      </c>
      <c r="AC1739">
        <f>IF($Z1739=1,IFERROR(IF(VALUE($B1739)&lt;100000000,VALUE($B1739),1000000000),IFERROR(IF(VALUE(MID($B1739,2,20))&lt;100000000,VALUE(MID($B1739,2,20)),1000000000),1000000000))+ROW()/100000,"")</f>
        <v/>
      </c>
    </row>
    <row r="1740">
      <c r="A1740">
        <f>IF($B1740="","",IFERROR(IF(INDEX('Per Invoice'!$A$2:$A$801,MATCH($B1740,'Per Invoice'!$B$2:$B$801,0))=0,"",INDEX('Per Invoice'!$A$2:$A$801,MATCH($B1740,'Per Invoice'!$B$2:$B$801,0))),""))</f>
        <v/>
      </c>
      <c r="J1740" s="7">
        <f>IF($B1740="","",I1740*Q1740/100)</f>
        <v/>
      </c>
      <c r="N1740" s="7" t="n"/>
      <c r="O1740" s="7" t="n"/>
      <c r="P1740" s="7">
        <f>IF($B1740="","",O1740*X1740/100)</f>
        <v/>
      </c>
      <c r="Q1740" s="7">
        <f>IF($B1740="","",O1740-P1740)</f>
        <v/>
      </c>
      <c r="R1740" s="7">
        <f>IF($B1740="","",Q1740-J1740)</f>
        <v/>
      </c>
      <c r="S1740" s="7" t="n"/>
      <c r="T1740" s="7" t="n"/>
      <c r="V1740" s="14" t="n"/>
      <c r="Z1740">
        <f>IF($B1740="","",IF(COUNTIF($B$2:$B1740,$B1740)=1,1,0))</f>
        <v/>
      </c>
      <c r="AA1740">
        <f>IF($Z1740=1,SUMPRODUCT(--($AC$2:$AC$3001&lt;$AC1740))+1,"")</f>
        <v/>
      </c>
      <c r="AB1740">
        <f>IF($B1740="","",IF(OR($Y1740=TRUE(),$Y1740="TRUE"),1,IF(AND($Y1740&lt;&gt;"",OR($Y1740=FALSE(),$Y1740="FALSE")),0,IF(MIN(ABS($X1740/100-Settings!$C$6),ABS($X1740/100-Settings!$G$6))&lt;=MIN(ABS($X1740/100-Settings!$C$7),ABS($X1740/100-Settings!$G$7)),1,0))))</f>
        <v/>
      </c>
      <c r="AC1740">
        <f>IF($Z1740=1,IFERROR(IF(VALUE($B1740)&lt;100000000,VALUE($B1740),1000000000),IFERROR(IF(VALUE(MID($B1740,2,20))&lt;100000000,VALUE(MID($B1740,2,20)),1000000000),1000000000))+ROW()/100000,"")</f>
        <v/>
      </c>
    </row>
    <row r="1741">
      <c r="A1741">
        <f>IF($B1741="","",IFERROR(IF(INDEX('Per Invoice'!$A$2:$A$801,MATCH($B1741,'Per Invoice'!$B$2:$B$801,0))=0,"",INDEX('Per Invoice'!$A$2:$A$801,MATCH($B1741,'Per Invoice'!$B$2:$B$801,0))),""))</f>
        <v/>
      </c>
      <c r="J1741" s="7">
        <f>IF($B1741="","",I1741*Q1741/100)</f>
        <v/>
      </c>
      <c r="N1741" s="7" t="n"/>
      <c r="O1741" s="7" t="n"/>
      <c r="P1741" s="7">
        <f>IF($B1741="","",O1741*X1741/100)</f>
        <v/>
      </c>
      <c r="Q1741" s="7">
        <f>IF($B1741="","",O1741-P1741)</f>
        <v/>
      </c>
      <c r="R1741" s="7">
        <f>IF($B1741="","",Q1741-J1741)</f>
        <v/>
      </c>
      <c r="S1741" s="7" t="n"/>
      <c r="T1741" s="7" t="n"/>
      <c r="V1741" s="14" t="n"/>
      <c r="Z1741">
        <f>IF($B1741="","",IF(COUNTIF($B$2:$B1741,$B1741)=1,1,0))</f>
        <v/>
      </c>
      <c r="AA1741">
        <f>IF($Z1741=1,SUMPRODUCT(--($AC$2:$AC$3001&lt;$AC1741))+1,"")</f>
        <v/>
      </c>
      <c r="AB1741">
        <f>IF($B1741="","",IF(OR($Y1741=TRUE(),$Y1741="TRUE"),1,IF(AND($Y1741&lt;&gt;"",OR($Y1741=FALSE(),$Y1741="FALSE")),0,IF(MIN(ABS($X1741/100-Settings!$C$6),ABS($X1741/100-Settings!$G$6))&lt;=MIN(ABS($X1741/100-Settings!$C$7),ABS($X1741/100-Settings!$G$7)),1,0))))</f>
        <v/>
      </c>
      <c r="AC1741">
        <f>IF($Z1741=1,IFERROR(IF(VALUE($B1741)&lt;100000000,VALUE($B1741),1000000000),IFERROR(IF(VALUE(MID($B1741,2,20))&lt;100000000,VALUE(MID($B1741,2,20)),1000000000),1000000000))+ROW()/100000,"")</f>
        <v/>
      </c>
    </row>
    <row r="1742">
      <c r="A1742">
        <f>IF($B1742="","",IFERROR(IF(INDEX('Per Invoice'!$A$2:$A$801,MATCH($B1742,'Per Invoice'!$B$2:$B$801,0))=0,"",INDEX('Per Invoice'!$A$2:$A$801,MATCH($B1742,'Per Invoice'!$B$2:$B$801,0))),""))</f>
        <v/>
      </c>
      <c r="J1742" s="7">
        <f>IF($B1742="","",I1742*Q1742/100)</f>
        <v/>
      </c>
      <c r="N1742" s="7" t="n"/>
      <c r="O1742" s="7" t="n"/>
      <c r="P1742" s="7">
        <f>IF($B1742="","",O1742*X1742/100)</f>
        <v/>
      </c>
      <c r="Q1742" s="7">
        <f>IF($B1742="","",O1742-P1742)</f>
        <v/>
      </c>
      <c r="R1742" s="7">
        <f>IF($B1742="","",Q1742-J1742)</f>
        <v/>
      </c>
      <c r="S1742" s="7" t="n"/>
      <c r="T1742" s="7" t="n"/>
      <c r="V1742" s="14" t="n"/>
      <c r="Z1742">
        <f>IF($B1742="","",IF(COUNTIF($B$2:$B1742,$B1742)=1,1,0))</f>
        <v/>
      </c>
      <c r="AA1742">
        <f>IF($Z1742=1,SUMPRODUCT(--($AC$2:$AC$3001&lt;$AC1742))+1,"")</f>
        <v/>
      </c>
      <c r="AB1742">
        <f>IF($B1742="","",IF(OR($Y1742=TRUE(),$Y1742="TRUE"),1,IF(AND($Y1742&lt;&gt;"",OR($Y1742=FALSE(),$Y1742="FALSE")),0,IF(MIN(ABS($X1742/100-Settings!$C$6),ABS($X1742/100-Settings!$G$6))&lt;=MIN(ABS($X1742/100-Settings!$C$7),ABS($X1742/100-Settings!$G$7)),1,0))))</f>
        <v/>
      </c>
      <c r="AC1742">
        <f>IF($Z1742=1,IFERROR(IF(VALUE($B1742)&lt;100000000,VALUE($B1742),1000000000),IFERROR(IF(VALUE(MID($B1742,2,20))&lt;100000000,VALUE(MID($B1742,2,20)),1000000000),1000000000))+ROW()/100000,"")</f>
        <v/>
      </c>
    </row>
    <row r="1743">
      <c r="A1743">
        <f>IF($B1743="","",IFERROR(IF(INDEX('Per Invoice'!$A$2:$A$801,MATCH($B1743,'Per Invoice'!$B$2:$B$801,0))=0,"",INDEX('Per Invoice'!$A$2:$A$801,MATCH($B1743,'Per Invoice'!$B$2:$B$801,0))),""))</f>
        <v/>
      </c>
      <c r="J1743" s="7">
        <f>IF($B1743="","",I1743*Q1743/100)</f>
        <v/>
      </c>
      <c r="N1743" s="7" t="n"/>
      <c r="O1743" s="7" t="n"/>
      <c r="P1743" s="7">
        <f>IF($B1743="","",O1743*X1743/100)</f>
        <v/>
      </c>
      <c r="Q1743" s="7">
        <f>IF($B1743="","",O1743-P1743)</f>
        <v/>
      </c>
      <c r="R1743" s="7">
        <f>IF($B1743="","",Q1743-J1743)</f>
        <v/>
      </c>
      <c r="S1743" s="7" t="n"/>
      <c r="T1743" s="7" t="n"/>
      <c r="V1743" s="14" t="n"/>
      <c r="Z1743">
        <f>IF($B1743="","",IF(COUNTIF($B$2:$B1743,$B1743)=1,1,0))</f>
        <v/>
      </c>
      <c r="AA1743">
        <f>IF($Z1743=1,SUMPRODUCT(--($AC$2:$AC$3001&lt;$AC1743))+1,"")</f>
        <v/>
      </c>
      <c r="AB1743">
        <f>IF($B1743="","",IF(OR($Y1743=TRUE(),$Y1743="TRUE"),1,IF(AND($Y1743&lt;&gt;"",OR($Y1743=FALSE(),$Y1743="FALSE")),0,IF(MIN(ABS($X1743/100-Settings!$C$6),ABS($X1743/100-Settings!$G$6))&lt;=MIN(ABS($X1743/100-Settings!$C$7),ABS($X1743/100-Settings!$G$7)),1,0))))</f>
        <v/>
      </c>
      <c r="AC1743">
        <f>IF($Z1743=1,IFERROR(IF(VALUE($B1743)&lt;100000000,VALUE($B1743),1000000000),IFERROR(IF(VALUE(MID($B1743,2,20))&lt;100000000,VALUE(MID($B1743,2,20)),1000000000),1000000000))+ROW()/100000,"")</f>
        <v/>
      </c>
    </row>
    <row r="1744">
      <c r="A1744">
        <f>IF($B1744="","",IFERROR(IF(INDEX('Per Invoice'!$A$2:$A$801,MATCH($B1744,'Per Invoice'!$B$2:$B$801,0))=0,"",INDEX('Per Invoice'!$A$2:$A$801,MATCH($B1744,'Per Invoice'!$B$2:$B$801,0))),""))</f>
        <v/>
      </c>
      <c r="J1744" s="7">
        <f>IF($B1744="","",I1744*Q1744/100)</f>
        <v/>
      </c>
      <c r="N1744" s="7" t="n"/>
      <c r="O1744" s="7" t="n"/>
      <c r="P1744" s="7">
        <f>IF($B1744="","",O1744*X1744/100)</f>
        <v/>
      </c>
      <c r="Q1744" s="7">
        <f>IF($B1744="","",O1744-P1744)</f>
        <v/>
      </c>
      <c r="R1744" s="7">
        <f>IF($B1744="","",Q1744-J1744)</f>
        <v/>
      </c>
      <c r="S1744" s="7" t="n"/>
      <c r="T1744" s="7" t="n"/>
      <c r="V1744" s="14" t="n"/>
      <c r="Z1744">
        <f>IF($B1744="","",IF(COUNTIF($B$2:$B1744,$B1744)=1,1,0))</f>
        <v/>
      </c>
      <c r="AA1744">
        <f>IF($Z1744=1,SUMPRODUCT(--($AC$2:$AC$3001&lt;$AC1744))+1,"")</f>
        <v/>
      </c>
      <c r="AB1744">
        <f>IF($B1744="","",IF(OR($Y1744=TRUE(),$Y1744="TRUE"),1,IF(AND($Y1744&lt;&gt;"",OR($Y1744=FALSE(),$Y1744="FALSE")),0,IF(MIN(ABS($X1744/100-Settings!$C$6),ABS($X1744/100-Settings!$G$6))&lt;=MIN(ABS($X1744/100-Settings!$C$7),ABS($X1744/100-Settings!$G$7)),1,0))))</f>
        <v/>
      </c>
      <c r="AC1744">
        <f>IF($Z1744=1,IFERROR(IF(VALUE($B1744)&lt;100000000,VALUE($B1744),1000000000),IFERROR(IF(VALUE(MID($B1744,2,20))&lt;100000000,VALUE(MID($B1744,2,20)),1000000000),1000000000))+ROW()/100000,"")</f>
        <v/>
      </c>
    </row>
    <row r="1745">
      <c r="A1745">
        <f>IF($B1745="","",IFERROR(IF(INDEX('Per Invoice'!$A$2:$A$801,MATCH($B1745,'Per Invoice'!$B$2:$B$801,0))=0,"",INDEX('Per Invoice'!$A$2:$A$801,MATCH($B1745,'Per Invoice'!$B$2:$B$801,0))),""))</f>
        <v/>
      </c>
      <c r="J1745" s="7">
        <f>IF($B1745="","",I1745*Q1745/100)</f>
        <v/>
      </c>
      <c r="N1745" s="7" t="n"/>
      <c r="O1745" s="7" t="n"/>
      <c r="P1745" s="7">
        <f>IF($B1745="","",O1745*X1745/100)</f>
        <v/>
      </c>
      <c r="Q1745" s="7">
        <f>IF($B1745="","",O1745-P1745)</f>
        <v/>
      </c>
      <c r="R1745" s="7">
        <f>IF($B1745="","",Q1745-J1745)</f>
        <v/>
      </c>
      <c r="S1745" s="7" t="n"/>
      <c r="T1745" s="7" t="n"/>
      <c r="V1745" s="14" t="n"/>
      <c r="Z1745">
        <f>IF($B1745="","",IF(COUNTIF($B$2:$B1745,$B1745)=1,1,0))</f>
        <v/>
      </c>
      <c r="AA1745">
        <f>IF($Z1745=1,SUMPRODUCT(--($AC$2:$AC$3001&lt;$AC1745))+1,"")</f>
        <v/>
      </c>
      <c r="AB1745">
        <f>IF($B1745="","",IF(OR($Y1745=TRUE(),$Y1745="TRUE"),1,IF(AND($Y1745&lt;&gt;"",OR($Y1745=FALSE(),$Y1745="FALSE")),0,IF(MIN(ABS($X1745/100-Settings!$C$6),ABS($X1745/100-Settings!$G$6))&lt;=MIN(ABS($X1745/100-Settings!$C$7),ABS($X1745/100-Settings!$G$7)),1,0))))</f>
        <v/>
      </c>
      <c r="AC1745">
        <f>IF($Z1745=1,IFERROR(IF(VALUE($B1745)&lt;100000000,VALUE($B1745),1000000000),IFERROR(IF(VALUE(MID($B1745,2,20))&lt;100000000,VALUE(MID($B1745,2,20)),1000000000),1000000000))+ROW()/100000,"")</f>
        <v/>
      </c>
    </row>
    <row r="1746">
      <c r="A1746">
        <f>IF($B1746="","",IFERROR(IF(INDEX('Per Invoice'!$A$2:$A$801,MATCH($B1746,'Per Invoice'!$B$2:$B$801,0))=0,"",INDEX('Per Invoice'!$A$2:$A$801,MATCH($B1746,'Per Invoice'!$B$2:$B$801,0))),""))</f>
        <v/>
      </c>
      <c r="J1746" s="7">
        <f>IF($B1746="","",I1746*Q1746/100)</f>
        <v/>
      </c>
      <c r="N1746" s="7" t="n"/>
      <c r="O1746" s="7" t="n"/>
      <c r="P1746" s="7">
        <f>IF($B1746="","",O1746*X1746/100)</f>
        <v/>
      </c>
      <c r="Q1746" s="7">
        <f>IF($B1746="","",O1746-P1746)</f>
        <v/>
      </c>
      <c r="R1746" s="7">
        <f>IF($B1746="","",Q1746-J1746)</f>
        <v/>
      </c>
      <c r="S1746" s="7" t="n"/>
      <c r="T1746" s="7" t="n"/>
      <c r="V1746" s="14" t="n"/>
      <c r="Z1746">
        <f>IF($B1746="","",IF(COUNTIF($B$2:$B1746,$B1746)=1,1,0))</f>
        <v/>
      </c>
      <c r="AA1746">
        <f>IF($Z1746=1,SUMPRODUCT(--($AC$2:$AC$3001&lt;$AC1746))+1,"")</f>
        <v/>
      </c>
      <c r="AB1746">
        <f>IF($B1746="","",IF(OR($Y1746=TRUE(),$Y1746="TRUE"),1,IF(AND($Y1746&lt;&gt;"",OR($Y1746=FALSE(),$Y1746="FALSE")),0,IF(MIN(ABS($X1746/100-Settings!$C$6),ABS($X1746/100-Settings!$G$6))&lt;=MIN(ABS($X1746/100-Settings!$C$7),ABS($X1746/100-Settings!$G$7)),1,0))))</f>
        <v/>
      </c>
      <c r="AC1746">
        <f>IF($Z1746=1,IFERROR(IF(VALUE($B1746)&lt;100000000,VALUE($B1746),1000000000),IFERROR(IF(VALUE(MID($B1746,2,20))&lt;100000000,VALUE(MID($B1746,2,20)),1000000000),1000000000))+ROW()/100000,"")</f>
        <v/>
      </c>
    </row>
    <row r="1747">
      <c r="A1747">
        <f>IF($B1747="","",IFERROR(IF(INDEX('Per Invoice'!$A$2:$A$801,MATCH($B1747,'Per Invoice'!$B$2:$B$801,0))=0,"",INDEX('Per Invoice'!$A$2:$A$801,MATCH($B1747,'Per Invoice'!$B$2:$B$801,0))),""))</f>
        <v/>
      </c>
      <c r="J1747" s="7">
        <f>IF($B1747="","",I1747*Q1747/100)</f>
        <v/>
      </c>
      <c r="N1747" s="7" t="n"/>
      <c r="O1747" s="7" t="n"/>
      <c r="P1747" s="7">
        <f>IF($B1747="","",O1747*X1747/100)</f>
        <v/>
      </c>
      <c r="Q1747" s="7">
        <f>IF($B1747="","",O1747-P1747)</f>
        <v/>
      </c>
      <c r="R1747" s="7">
        <f>IF($B1747="","",Q1747-J1747)</f>
        <v/>
      </c>
      <c r="S1747" s="7" t="n"/>
      <c r="T1747" s="7" t="n"/>
      <c r="V1747" s="14" t="n"/>
      <c r="Z1747">
        <f>IF($B1747="","",IF(COUNTIF($B$2:$B1747,$B1747)=1,1,0))</f>
        <v/>
      </c>
      <c r="AA1747">
        <f>IF($Z1747=1,SUMPRODUCT(--($AC$2:$AC$3001&lt;$AC1747))+1,"")</f>
        <v/>
      </c>
      <c r="AB1747">
        <f>IF($B1747="","",IF(OR($Y1747=TRUE(),$Y1747="TRUE"),1,IF(AND($Y1747&lt;&gt;"",OR($Y1747=FALSE(),$Y1747="FALSE")),0,IF(MIN(ABS($X1747/100-Settings!$C$6),ABS($X1747/100-Settings!$G$6))&lt;=MIN(ABS($X1747/100-Settings!$C$7),ABS($X1747/100-Settings!$G$7)),1,0))))</f>
        <v/>
      </c>
      <c r="AC1747">
        <f>IF($Z1747=1,IFERROR(IF(VALUE($B1747)&lt;100000000,VALUE($B1747),1000000000),IFERROR(IF(VALUE(MID($B1747,2,20))&lt;100000000,VALUE(MID($B1747,2,20)),1000000000),1000000000))+ROW()/100000,"")</f>
        <v/>
      </c>
    </row>
    <row r="1748">
      <c r="A1748">
        <f>IF($B1748="","",IFERROR(IF(INDEX('Per Invoice'!$A$2:$A$801,MATCH($B1748,'Per Invoice'!$B$2:$B$801,0))=0,"",INDEX('Per Invoice'!$A$2:$A$801,MATCH($B1748,'Per Invoice'!$B$2:$B$801,0))),""))</f>
        <v/>
      </c>
      <c r="J1748" s="7">
        <f>IF($B1748="","",I1748*Q1748/100)</f>
        <v/>
      </c>
      <c r="N1748" s="7" t="n"/>
      <c r="O1748" s="7" t="n"/>
      <c r="P1748" s="7">
        <f>IF($B1748="","",O1748*X1748/100)</f>
        <v/>
      </c>
      <c r="Q1748" s="7">
        <f>IF($B1748="","",O1748-P1748)</f>
        <v/>
      </c>
      <c r="R1748" s="7">
        <f>IF($B1748="","",Q1748-J1748)</f>
        <v/>
      </c>
      <c r="S1748" s="7" t="n"/>
      <c r="T1748" s="7" t="n"/>
      <c r="V1748" s="14" t="n"/>
      <c r="Z1748">
        <f>IF($B1748="","",IF(COUNTIF($B$2:$B1748,$B1748)=1,1,0))</f>
        <v/>
      </c>
      <c r="AA1748">
        <f>IF($Z1748=1,SUMPRODUCT(--($AC$2:$AC$3001&lt;$AC1748))+1,"")</f>
        <v/>
      </c>
      <c r="AB1748">
        <f>IF($B1748="","",IF(OR($Y1748=TRUE(),$Y1748="TRUE"),1,IF(AND($Y1748&lt;&gt;"",OR($Y1748=FALSE(),$Y1748="FALSE")),0,IF(MIN(ABS($X1748/100-Settings!$C$6),ABS($X1748/100-Settings!$G$6))&lt;=MIN(ABS($X1748/100-Settings!$C$7),ABS($X1748/100-Settings!$G$7)),1,0))))</f>
        <v/>
      </c>
      <c r="AC1748">
        <f>IF($Z1748=1,IFERROR(IF(VALUE($B1748)&lt;100000000,VALUE($B1748),1000000000),IFERROR(IF(VALUE(MID($B1748,2,20))&lt;100000000,VALUE(MID($B1748,2,20)),1000000000),1000000000))+ROW()/100000,"")</f>
        <v/>
      </c>
    </row>
    <row r="1749">
      <c r="A1749">
        <f>IF($B1749="","",IFERROR(IF(INDEX('Per Invoice'!$A$2:$A$801,MATCH($B1749,'Per Invoice'!$B$2:$B$801,0))=0,"",INDEX('Per Invoice'!$A$2:$A$801,MATCH($B1749,'Per Invoice'!$B$2:$B$801,0))),""))</f>
        <v/>
      </c>
      <c r="J1749" s="7">
        <f>IF($B1749="","",I1749*Q1749/100)</f>
        <v/>
      </c>
      <c r="N1749" s="7" t="n"/>
      <c r="O1749" s="7" t="n"/>
      <c r="P1749" s="7">
        <f>IF($B1749="","",O1749*X1749/100)</f>
        <v/>
      </c>
      <c r="Q1749" s="7">
        <f>IF($B1749="","",O1749-P1749)</f>
        <v/>
      </c>
      <c r="R1749" s="7">
        <f>IF($B1749="","",Q1749-J1749)</f>
        <v/>
      </c>
      <c r="S1749" s="7" t="n"/>
      <c r="T1749" s="7" t="n"/>
      <c r="V1749" s="14" t="n"/>
      <c r="Z1749">
        <f>IF($B1749="","",IF(COUNTIF($B$2:$B1749,$B1749)=1,1,0))</f>
        <v/>
      </c>
      <c r="AA1749">
        <f>IF($Z1749=1,SUMPRODUCT(--($AC$2:$AC$3001&lt;$AC1749))+1,"")</f>
        <v/>
      </c>
      <c r="AB1749">
        <f>IF($B1749="","",IF(OR($Y1749=TRUE(),$Y1749="TRUE"),1,IF(AND($Y1749&lt;&gt;"",OR($Y1749=FALSE(),$Y1749="FALSE")),0,IF(MIN(ABS($X1749/100-Settings!$C$6),ABS($X1749/100-Settings!$G$6))&lt;=MIN(ABS($X1749/100-Settings!$C$7),ABS($X1749/100-Settings!$G$7)),1,0))))</f>
        <v/>
      </c>
      <c r="AC1749">
        <f>IF($Z1749=1,IFERROR(IF(VALUE($B1749)&lt;100000000,VALUE($B1749),1000000000),IFERROR(IF(VALUE(MID($B1749,2,20))&lt;100000000,VALUE(MID($B1749,2,20)),1000000000),1000000000))+ROW()/100000,"")</f>
        <v/>
      </c>
    </row>
    <row r="1750">
      <c r="A1750">
        <f>IF($B1750="","",IFERROR(IF(INDEX('Per Invoice'!$A$2:$A$801,MATCH($B1750,'Per Invoice'!$B$2:$B$801,0))=0,"",INDEX('Per Invoice'!$A$2:$A$801,MATCH($B1750,'Per Invoice'!$B$2:$B$801,0))),""))</f>
        <v/>
      </c>
      <c r="J1750" s="7">
        <f>IF($B1750="","",I1750*Q1750/100)</f>
        <v/>
      </c>
      <c r="N1750" s="7" t="n"/>
      <c r="O1750" s="7" t="n"/>
      <c r="P1750" s="7">
        <f>IF($B1750="","",O1750*X1750/100)</f>
        <v/>
      </c>
      <c r="Q1750" s="7">
        <f>IF($B1750="","",O1750-P1750)</f>
        <v/>
      </c>
      <c r="R1750" s="7">
        <f>IF($B1750="","",Q1750-J1750)</f>
        <v/>
      </c>
      <c r="S1750" s="7" t="n"/>
      <c r="T1750" s="7" t="n"/>
      <c r="V1750" s="14" t="n"/>
      <c r="Z1750">
        <f>IF($B1750="","",IF(COUNTIF($B$2:$B1750,$B1750)=1,1,0))</f>
        <v/>
      </c>
      <c r="AA1750">
        <f>IF($Z1750=1,SUMPRODUCT(--($AC$2:$AC$3001&lt;$AC1750))+1,"")</f>
        <v/>
      </c>
      <c r="AB1750">
        <f>IF($B1750="","",IF(OR($Y1750=TRUE(),$Y1750="TRUE"),1,IF(AND($Y1750&lt;&gt;"",OR($Y1750=FALSE(),$Y1750="FALSE")),0,IF(MIN(ABS($X1750/100-Settings!$C$6),ABS($X1750/100-Settings!$G$6))&lt;=MIN(ABS($X1750/100-Settings!$C$7),ABS($X1750/100-Settings!$G$7)),1,0))))</f>
        <v/>
      </c>
      <c r="AC1750">
        <f>IF($Z1750=1,IFERROR(IF(VALUE($B1750)&lt;100000000,VALUE($B1750),1000000000),IFERROR(IF(VALUE(MID($B1750,2,20))&lt;100000000,VALUE(MID($B1750,2,20)),1000000000),1000000000))+ROW()/100000,"")</f>
        <v/>
      </c>
    </row>
    <row r="1751">
      <c r="A1751">
        <f>IF($B1751="","",IFERROR(IF(INDEX('Per Invoice'!$A$2:$A$801,MATCH($B1751,'Per Invoice'!$B$2:$B$801,0))=0,"",INDEX('Per Invoice'!$A$2:$A$801,MATCH($B1751,'Per Invoice'!$B$2:$B$801,0))),""))</f>
        <v/>
      </c>
      <c r="J1751" s="7">
        <f>IF($B1751="","",I1751*Q1751/100)</f>
        <v/>
      </c>
      <c r="N1751" s="7" t="n"/>
      <c r="O1751" s="7" t="n"/>
      <c r="P1751" s="7">
        <f>IF($B1751="","",O1751*X1751/100)</f>
        <v/>
      </c>
      <c r="Q1751" s="7">
        <f>IF($B1751="","",O1751-P1751)</f>
        <v/>
      </c>
      <c r="R1751" s="7">
        <f>IF($B1751="","",Q1751-J1751)</f>
        <v/>
      </c>
      <c r="S1751" s="7" t="n"/>
      <c r="T1751" s="7" t="n"/>
      <c r="V1751" s="14" t="n"/>
      <c r="Z1751">
        <f>IF($B1751="","",IF(COUNTIF($B$2:$B1751,$B1751)=1,1,0))</f>
        <v/>
      </c>
      <c r="AA1751">
        <f>IF($Z1751=1,SUMPRODUCT(--($AC$2:$AC$3001&lt;$AC1751))+1,"")</f>
        <v/>
      </c>
      <c r="AB1751">
        <f>IF($B1751="","",IF(OR($Y1751=TRUE(),$Y1751="TRUE"),1,IF(AND($Y1751&lt;&gt;"",OR($Y1751=FALSE(),$Y1751="FALSE")),0,IF(MIN(ABS($X1751/100-Settings!$C$6),ABS($X1751/100-Settings!$G$6))&lt;=MIN(ABS($X1751/100-Settings!$C$7),ABS($X1751/100-Settings!$G$7)),1,0))))</f>
        <v/>
      </c>
      <c r="AC1751">
        <f>IF($Z1751=1,IFERROR(IF(VALUE($B1751)&lt;100000000,VALUE($B1751),1000000000),IFERROR(IF(VALUE(MID($B1751,2,20))&lt;100000000,VALUE(MID($B1751,2,20)),1000000000),1000000000))+ROW()/100000,"")</f>
        <v/>
      </c>
    </row>
    <row r="1752">
      <c r="A1752">
        <f>IF($B1752="","",IFERROR(IF(INDEX('Per Invoice'!$A$2:$A$801,MATCH($B1752,'Per Invoice'!$B$2:$B$801,0))=0,"",INDEX('Per Invoice'!$A$2:$A$801,MATCH($B1752,'Per Invoice'!$B$2:$B$801,0))),""))</f>
        <v/>
      </c>
      <c r="J1752" s="7">
        <f>IF($B1752="","",I1752*Q1752/100)</f>
        <v/>
      </c>
      <c r="N1752" s="7" t="n"/>
      <c r="O1752" s="7" t="n"/>
      <c r="P1752" s="7">
        <f>IF($B1752="","",O1752*X1752/100)</f>
        <v/>
      </c>
      <c r="Q1752" s="7">
        <f>IF($B1752="","",O1752-P1752)</f>
        <v/>
      </c>
      <c r="R1752" s="7">
        <f>IF($B1752="","",Q1752-J1752)</f>
        <v/>
      </c>
      <c r="S1752" s="7" t="n"/>
      <c r="T1752" s="7" t="n"/>
      <c r="V1752" s="14" t="n"/>
      <c r="Z1752">
        <f>IF($B1752="","",IF(COUNTIF($B$2:$B1752,$B1752)=1,1,0))</f>
        <v/>
      </c>
      <c r="AA1752">
        <f>IF($Z1752=1,SUMPRODUCT(--($AC$2:$AC$3001&lt;$AC1752))+1,"")</f>
        <v/>
      </c>
      <c r="AB1752">
        <f>IF($B1752="","",IF(OR($Y1752=TRUE(),$Y1752="TRUE"),1,IF(AND($Y1752&lt;&gt;"",OR($Y1752=FALSE(),$Y1752="FALSE")),0,IF(MIN(ABS($X1752/100-Settings!$C$6),ABS($X1752/100-Settings!$G$6))&lt;=MIN(ABS($X1752/100-Settings!$C$7),ABS($X1752/100-Settings!$G$7)),1,0))))</f>
        <v/>
      </c>
      <c r="AC1752">
        <f>IF($Z1752=1,IFERROR(IF(VALUE($B1752)&lt;100000000,VALUE($B1752),1000000000),IFERROR(IF(VALUE(MID($B1752,2,20))&lt;100000000,VALUE(MID($B1752,2,20)),1000000000),1000000000))+ROW()/100000,"")</f>
        <v/>
      </c>
    </row>
    <row r="1753">
      <c r="A1753">
        <f>IF($B1753="","",IFERROR(IF(INDEX('Per Invoice'!$A$2:$A$801,MATCH($B1753,'Per Invoice'!$B$2:$B$801,0))=0,"",INDEX('Per Invoice'!$A$2:$A$801,MATCH($B1753,'Per Invoice'!$B$2:$B$801,0))),""))</f>
        <v/>
      </c>
      <c r="J1753" s="7">
        <f>IF($B1753="","",I1753*Q1753/100)</f>
        <v/>
      </c>
      <c r="N1753" s="7" t="n"/>
      <c r="O1753" s="7" t="n"/>
      <c r="P1753" s="7">
        <f>IF($B1753="","",O1753*X1753/100)</f>
        <v/>
      </c>
      <c r="Q1753" s="7">
        <f>IF($B1753="","",O1753-P1753)</f>
        <v/>
      </c>
      <c r="R1753" s="7">
        <f>IF($B1753="","",Q1753-J1753)</f>
        <v/>
      </c>
      <c r="S1753" s="7" t="n"/>
      <c r="T1753" s="7" t="n"/>
      <c r="V1753" s="14" t="n"/>
      <c r="Z1753">
        <f>IF($B1753="","",IF(COUNTIF($B$2:$B1753,$B1753)=1,1,0))</f>
        <v/>
      </c>
      <c r="AA1753">
        <f>IF($Z1753=1,SUMPRODUCT(--($AC$2:$AC$3001&lt;$AC1753))+1,"")</f>
        <v/>
      </c>
      <c r="AB1753">
        <f>IF($B1753="","",IF(OR($Y1753=TRUE(),$Y1753="TRUE"),1,IF(AND($Y1753&lt;&gt;"",OR($Y1753=FALSE(),$Y1753="FALSE")),0,IF(MIN(ABS($X1753/100-Settings!$C$6),ABS($X1753/100-Settings!$G$6))&lt;=MIN(ABS($X1753/100-Settings!$C$7),ABS($X1753/100-Settings!$G$7)),1,0))))</f>
        <v/>
      </c>
      <c r="AC1753">
        <f>IF($Z1753=1,IFERROR(IF(VALUE($B1753)&lt;100000000,VALUE($B1753),1000000000),IFERROR(IF(VALUE(MID($B1753,2,20))&lt;100000000,VALUE(MID($B1753,2,20)),1000000000),1000000000))+ROW()/100000,"")</f>
        <v/>
      </c>
    </row>
    <row r="1754">
      <c r="A1754">
        <f>IF($B1754="","",IFERROR(IF(INDEX('Per Invoice'!$A$2:$A$801,MATCH($B1754,'Per Invoice'!$B$2:$B$801,0))=0,"",INDEX('Per Invoice'!$A$2:$A$801,MATCH($B1754,'Per Invoice'!$B$2:$B$801,0))),""))</f>
        <v/>
      </c>
      <c r="J1754" s="7">
        <f>IF($B1754="","",I1754*Q1754/100)</f>
        <v/>
      </c>
      <c r="N1754" s="7" t="n"/>
      <c r="O1754" s="7" t="n"/>
      <c r="P1754" s="7">
        <f>IF($B1754="","",O1754*X1754/100)</f>
        <v/>
      </c>
      <c r="Q1754" s="7">
        <f>IF($B1754="","",O1754-P1754)</f>
        <v/>
      </c>
      <c r="R1754" s="7">
        <f>IF($B1754="","",Q1754-J1754)</f>
        <v/>
      </c>
      <c r="S1754" s="7" t="n"/>
      <c r="T1754" s="7" t="n"/>
      <c r="V1754" s="14" t="n"/>
      <c r="Z1754">
        <f>IF($B1754="","",IF(COUNTIF($B$2:$B1754,$B1754)=1,1,0))</f>
        <v/>
      </c>
      <c r="AA1754">
        <f>IF($Z1754=1,SUMPRODUCT(--($AC$2:$AC$3001&lt;$AC1754))+1,"")</f>
        <v/>
      </c>
      <c r="AB1754">
        <f>IF($B1754="","",IF(OR($Y1754=TRUE(),$Y1754="TRUE"),1,IF(AND($Y1754&lt;&gt;"",OR($Y1754=FALSE(),$Y1754="FALSE")),0,IF(MIN(ABS($X1754/100-Settings!$C$6),ABS($X1754/100-Settings!$G$6))&lt;=MIN(ABS($X1754/100-Settings!$C$7),ABS($X1754/100-Settings!$G$7)),1,0))))</f>
        <v/>
      </c>
      <c r="AC1754">
        <f>IF($Z1754=1,IFERROR(IF(VALUE($B1754)&lt;100000000,VALUE($B1754),1000000000),IFERROR(IF(VALUE(MID($B1754,2,20))&lt;100000000,VALUE(MID($B1754,2,20)),1000000000),1000000000))+ROW()/100000,"")</f>
        <v/>
      </c>
    </row>
    <row r="1755">
      <c r="A1755">
        <f>IF($B1755="","",IFERROR(IF(INDEX('Per Invoice'!$A$2:$A$801,MATCH($B1755,'Per Invoice'!$B$2:$B$801,0))=0,"",INDEX('Per Invoice'!$A$2:$A$801,MATCH($B1755,'Per Invoice'!$B$2:$B$801,0))),""))</f>
        <v/>
      </c>
      <c r="J1755" s="7">
        <f>IF($B1755="","",I1755*Q1755/100)</f>
        <v/>
      </c>
      <c r="N1755" s="7" t="n"/>
      <c r="O1755" s="7" t="n"/>
      <c r="P1755" s="7">
        <f>IF($B1755="","",O1755*X1755/100)</f>
        <v/>
      </c>
      <c r="Q1755" s="7">
        <f>IF($B1755="","",O1755-P1755)</f>
        <v/>
      </c>
      <c r="R1755" s="7">
        <f>IF($B1755="","",Q1755-J1755)</f>
        <v/>
      </c>
      <c r="S1755" s="7" t="n"/>
      <c r="T1755" s="7" t="n"/>
      <c r="V1755" s="14" t="n"/>
      <c r="Z1755">
        <f>IF($B1755="","",IF(COUNTIF($B$2:$B1755,$B1755)=1,1,0))</f>
        <v/>
      </c>
      <c r="AA1755">
        <f>IF($Z1755=1,SUMPRODUCT(--($AC$2:$AC$3001&lt;$AC1755))+1,"")</f>
        <v/>
      </c>
      <c r="AB1755">
        <f>IF($B1755="","",IF(OR($Y1755=TRUE(),$Y1755="TRUE"),1,IF(AND($Y1755&lt;&gt;"",OR($Y1755=FALSE(),$Y1755="FALSE")),0,IF(MIN(ABS($X1755/100-Settings!$C$6),ABS($X1755/100-Settings!$G$6))&lt;=MIN(ABS($X1755/100-Settings!$C$7),ABS($X1755/100-Settings!$G$7)),1,0))))</f>
        <v/>
      </c>
      <c r="AC1755">
        <f>IF($Z1755=1,IFERROR(IF(VALUE($B1755)&lt;100000000,VALUE($B1755),1000000000),IFERROR(IF(VALUE(MID($B1755,2,20))&lt;100000000,VALUE(MID($B1755,2,20)),1000000000),1000000000))+ROW()/100000,"")</f>
        <v/>
      </c>
    </row>
    <row r="1756">
      <c r="A1756">
        <f>IF($B1756="","",IFERROR(IF(INDEX('Per Invoice'!$A$2:$A$801,MATCH($B1756,'Per Invoice'!$B$2:$B$801,0))=0,"",INDEX('Per Invoice'!$A$2:$A$801,MATCH($B1756,'Per Invoice'!$B$2:$B$801,0))),""))</f>
        <v/>
      </c>
      <c r="J1756" s="7">
        <f>IF($B1756="","",I1756*Q1756/100)</f>
        <v/>
      </c>
      <c r="N1756" s="7" t="n"/>
      <c r="O1756" s="7" t="n"/>
      <c r="P1756" s="7">
        <f>IF($B1756="","",O1756*X1756/100)</f>
        <v/>
      </c>
      <c r="Q1756" s="7">
        <f>IF($B1756="","",O1756-P1756)</f>
        <v/>
      </c>
      <c r="R1756" s="7">
        <f>IF($B1756="","",Q1756-J1756)</f>
        <v/>
      </c>
      <c r="S1756" s="7" t="n"/>
      <c r="T1756" s="7" t="n"/>
      <c r="V1756" s="14" t="n"/>
      <c r="Z1756">
        <f>IF($B1756="","",IF(COUNTIF($B$2:$B1756,$B1756)=1,1,0))</f>
        <v/>
      </c>
      <c r="AA1756">
        <f>IF($Z1756=1,SUMPRODUCT(--($AC$2:$AC$3001&lt;$AC1756))+1,"")</f>
        <v/>
      </c>
      <c r="AB1756">
        <f>IF($B1756="","",IF(OR($Y1756=TRUE(),$Y1756="TRUE"),1,IF(AND($Y1756&lt;&gt;"",OR($Y1756=FALSE(),$Y1756="FALSE")),0,IF(MIN(ABS($X1756/100-Settings!$C$6),ABS($X1756/100-Settings!$G$6))&lt;=MIN(ABS($X1756/100-Settings!$C$7),ABS($X1756/100-Settings!$G$7)),1,0))))</f>
        <v/>
      </c>
      <c r="AC1756">
        <f>IF($Z1756=1,IFERROR(IF(VALUE($B1756)&lt;100000000,VALUE($B1756),1000000000),IFERROR(IF(VALUE(MID($B1756,2,20))&lt;100000000,VALUE(MID($B1756,2,20)),1000000000),1000000000))+ROW()/100000,"")</f>
        <v/>
      </c>
    </row>
    <row r="1757">
      <c r="A1757">
        <f>IF($B1757="","",IFERROR(IF(INDEX('Per Invoice'!$A$2:$A$801,MATCH($B1757,'Per Invoice'!$B$2:$B$801,0))=0,"",INDEX('Per Invoice'!$A$2:$A$801,MATCH($B1757,'Per Invoice'!$B$2:$B$801,0))),""))</f>
        <v/>
      </c>
      <c r="J1757" s="7">
        <f>IF($B1757="","",I1757*Q1757/100)</f>
        <v/>
      </c>
      <c r="N1757" s="7" t="n"/>
      <c r="O1757" s="7" t="n"/>
      <c r="P1757" s="7">
        <f>IF($B1757="","",O1757*X1757/100)</f>
        <v/>
      </c>
      <c r="Q1757" s="7">
        <f>IF($B1757="","",O1757-P1757)</f>
        <v/>
      </c>
      <c r="R1757" s="7">
        <f>IF($B1757="","",Q1757-J1757)</f>
        <v/>
      </c>
      <c r="S1757" s="7" t="n"/>
      <c r="T1757" s="7" t="n"/>
      <c r="V1757" s="14" t="n"/>
      <c r="Z1757">
        <f>IF($B1757="","",IF(COUNTIF($B$2:$B1757,$B1757)=1,1,0))</f>
        <v/>
      </c>
      <c r="AA1757">
        <f>IF($Z1757=1,SUMPRODUCT(--($AC$2:$AC$3001&lt;$AC1757))+1,"")</f>
        <v/>
      </c>
      <c r="AB1757">
        <f>IF($B1757="","",IF(OR($Y1757=TRUE(),$Y1757="TRUE"),1,IF(AND($Y1757&lt;&gt;"",OR($Y1757=FALSE(),$Y1757="FALSE")),0,IF(MIN(ABS($X1757/100-Settings!$C$6),ABS($X1757/100-Settings!$G$6))&lt;=MIN(ABS($X1757/100-Settings!$C$7),ABS($X1757/100-Settings!$G$7)),1,0))))</f>
        <v/>
      </c>
      <c r="AC1757">
        <f>IF($Z1757=1,IFERROR(IF(VALUE($B1757)&lt;100000000,VALUE($B1757),1000000000),IFERROR(IF(VALUE(MID($B1757,2,20))&lt;100000000,VALUE(MID($B1757,2,20)),1000000000),1000000000))+ROW()/100000,"")</f>
        <v/>
      </c>
    </row>
    <row r="1758">
      <c r="A1758">
        <f>IF($B1758="","",IFERROR(IF(INDEX('Per Invoice'!$A$2:$A$801,MATCH($B1758,'Per Invoice'!$B$2:$B$801,0))=0,"",INDEX('Per Invoice'!$A$2:$A$801,MATCH($B1758,'Per Invoice'!$B$2:$B$801,0))),""))</f>
        <v/>
      </c>
      <c r="J1758" s="7">
        <f>IF($B1758="","",I1758*Q1758/100)</f>
        <v/>
      </c>
      <c r="N1758" s="7" t="n"/>
      <c r="O1758" s="7" t="n"/>
      <c r="P1758" s="7">
        <f>IF($B1758="","",O1758*X1758/100)</f>
        <v/>
      </c>
      <c r="Q1758" s="7">
        <f>IF($B1758="","",O1758-P1758)</f>
        <v/>
      </c>
      <c r="R1758" s="7">
        <f>IF($B1758="","",Q1758-J1758)</f>
        <v/>
      </c>
      <c r="S1758" s="7" t="n"/>
      <c r="T1758" s="7" t="n"/>
      <c r="V1758" s="14" t="n"/>
      <c r="Z1758">
        <f>IF($B1758="","",IF(COUNTIF($B$2:$B1758,$B1758)=1,1,0))</f>
        <v/>
      </c>
      <c r="AA1758">
        <f>IF($Z1758=1,SUMPRODUCT(--($AC$2:$AC$3001&lt;$AC1758))+1,"")</f>
        <v/>
      </c>
      <c r="AB1758">
        <f>IF($B1758="","",IF(OR($Y1758=TRUE(),$Y1758="TRUE"),1,IF(AND($Y1758&lt;&gt;"",OR($Y1758=FALSE(),$Y1758="FALSE")),0,IF(MIN(ABS($X1758/100-Settings!$C$6),ABS($X1758/100-Settings!$G$6))&lt;=MIN(ABS($X1758/100-Settings!$C$7),ABS($X1758/100-Settings!$G$7)),1,0))))</f>
        <v/>
      </c>
      <c r="AC1758">
        <f>IF($Z1758=1,IFERROR(IF(VALUE($B1758)&lt;100000000,VALUE($B1758),1000000000),IFERROR(IF(VALUE(MID($B1758,2,20))&lt;100000000,VALUE(MID($B1758,2,20)),1000000000),1000000000))+ROW()/100000,"")</f>
        <v/>
      </c>
    </row>
    <row r="1759">
      <c r="A1759">
        <f>IF($B1759="","",IFERROR(IF(INDEX('Per Invoice'!$A$2:$A$801,MATCH($B1759,'Per Invoice'!$B$2:$B$801,0))=0,"",INDEX('Per Invoice'!$A$2:$A$801,MATCH($B1759,'Per Invoice'!$B$2:$B$801,0))),""))</f>
        <v/>
      </c>
      <c r="J1759" s="7">
        <f>IF($B1759="","",I1759*Q1759/100)</f>
        <v/>
      </c>
      <c r="N1759" s="7" t="n"/>
      <c r="O1759" s="7" t="n"/>
      <c r="P1759" s="7">
        <f>IF($B1759="","",O1759*X1759/100)</f>
        <v/>
      </c>
      <c r="Q1759" s="7">
        <f>IF($B1759="","",O1759-P1759)</f>
        <v/>
      </c>
      <c r="R1759" s="7">
        <f>IF($B1759="","",Q1759-J1759)</f>
        <v/>
      </c>
      <c r="S1759" s="7" t="n"/>
      <c r="T1759" s="7" t="n"/>
      <c r="V1759" s="14" t="n"/>
      <c r="Z1759">
        <f>IF($B1759="","",IF(COUNTIF($B$2:$B1759,$B1759)=1,1,0))</f>
        <v/>
      </c>
      <c r="AA1759">
        <f>IF($Z1759=1,SUMPRODUCT(--($AC$2:$AC$3001&lt;$AC1759))+1,"")</f>
        <v/>
      </c>
      <c r="AB1759">
        <f>IF($B1759="","",IF(OR($Y1759=TRUE(),$Y1759="TRUE"),1,IF(AND($Y1759&lt;&gt;"",OR($Y1759=FALSE(),$Y1759="FALSE")),0,IF(MIN(ABS($X1759/100-Settings!$C$6),ABS($X1759/100-Settings!$G$6))&lt;=MIN(ABS($X1759/100-Settings!$C$7),ABS($X1759/100-Settings!$G$7)),1,0))))</f>
        <v/>
      </c>
      <c r="AC1759">
        <f>IF($Z1759=1,IFERROR(IF(VALUE($B1759)&lt;100000000,VALUE($B1759),1000000000),IFERROR(IF(VALUE(MID($B1759,2,20))&lt;100000000,VALUE(MID($B1759,2,20)),1000000000),1000000000))+ROW()/100000,"")</f>
        <v/>
      </c>
    </row>
    <row r="1760">
      <c r="A1760">
        <f>IF($B1760="","",IFERROR(IF(INDEX('Per Invoice'!$A$2:$A$801,MATCH($B1760,'Per Invoice'!$B$2:$B$801,0))=0,"",INDEX('Per Invoice'!$A$2:$A$801,MATCH($B1760,'Per Invoice'!$B$2:$B$801,0))),""))</f>
        <v/>
      </c>
      <c r="J1760" s="7">
        <f>IF($B1760="","",I1760*Q1760/100)</f>
        <v/>
      </c>
      <c r="N1760" s="7" t="n"/>
      <c r="O1760" s="7" t="n"/>
      <c r="P1760" s="7">
        <f>IF($B1760="","",O1760*X1760/100)</f>
        <v/>
      </c>
      <c r="Q1760" s="7">
        <f>IF($B1760="","",O1760-P1760)</f>
        <v/>
      </c>
      <c r="R1760" s="7">
        <f>IF($B1760="","",Q1760-J1760)</f>
        <v/>
      </c>
      <c r="S1760" s="7" t="n"/>
      <c r="T1760" s="7" t="n"/>
      <c r="V1760" s="14" t="n"/>
      <c r="Z1760">
        <f>IF($B1760="","",IF(COUNTIF($B$2:$B1760,$B1760)=1,1,0))</f>
        <v/>
      </c>
      <c r="AA1760">
        <f>IF($Z1760=1,SUMPRODUCT(--($AC$2:$AC$3001&lt;$AC1760))+1,"")</f>
        <v/>
      </c>
      <c r="AB1760">
        <f>IF($B1760="","",IF(OR($Y1760=TRUE(),$Y1760="TRUE"),1,IF(AND($Y1760&lt;&gt;"",OR($Y1760=FALSE(),$Y1760="FALSE")),0,IF(MIN(ABS($X1760/100-Settings!$C$6),ABS($X1760/100-Settings!$G$6))&lt;=MIN(ABS($X1760/100-Settings!$C$7),ABS($X1760/100-Settings!$G$7)),1,0))))</f>
        <v/>
      </c>
      <c r="AC1760">
        <f>IF($Z1760=1,IFERROR(IF(VALUE($B1760)&lt;100000000,VALUE($B1760),1000000000),IFERROR(IF(VALUE(MID($B1760,2,20))&lt;100000000,VALUE(MID($B1760,2,20)),1000000000),1000000000))+ROW()/100000,"")</f>
        <v/>
      </c>
    </row>
    <row r="1761">
      <c r="A1761">
        <f>IF($B1761="","",IFERROR(IF(INDEX('Per Invoice'!$A$2:$A$801,MATCH($B1761,'Per Invoice'!$B$2:$B$801,0))=0,"",INDEX('Per Invoice'!$A$2:$A$801,MATCH($B1761,'Per Invoice'!$B$2:$B$801,0))),""))</f>
        <v/>
      </c>
      <c r="J1761" s="7">
        <f>IF($B1761="","",I1761*Q1761/100)</f>
        <v/>
      </c>
      <c r="N1761" s="7" t="n"/>
      <c r="O1761" s="7" t="n"/>
      <c r="P1761" s="7">
        <f>IF($B1761="","",O1761*X1761/100)</f>
        <v/>
      </c>
      <c r="Q1761" s="7">
        <f>IF($B1761="","",O1761-P1761)</f>
        <v/>
      </c>
      <c r="R1761" s="7">
        <f>IF($B1761="","",Q1761-J1761)</f>
        <v/>
      </c>
      <c r="S1761" s="7" t="n"/>
      <c r="T1761" s="7" t="n"/>
      <c r="V1761" s="14" t="n"/>
      <c r="Z1761">
        <f>IF($B1761="","",IF(COUNTIF($B$2:$B1761,$B1761)=1,1,0))</f>
        <v/>
      </c>
      <c r="AA1761">
        <f>IF($Z1761=1,SUMPRODUCT(--($AC$2:$AC$3001&lt;$AC1761))+1,"")</f>
        <v/>
      </c>
      <c r="AB1761">
        <f>IF($B1761="","",IF(OR($Y1761=TRUE(),$Y1761="TRUE"),1,IF(AND($Y1761&lt;&gt;"",OR($Y1761=FALSE(),$Y1761="FALSE")),0,IF(MIN(ABS($X1761/100-Settings!$C$6),ABS($X1761/100-Settings!$G$6))&lt;=MIN(ABS($X1761/100-Settings!$C$7),ABS($X1761/100-Settings!$G$7)),1,0))))</f>
        <v/>
      </c>
      <c r="AC1761">
        <f>IF($Z1761=1,IFERROR(IF(VALUE($B1761)&lt;100000000,VALUE($B1761),1000000000),IFERROR(IF(VALUE(MID($B1761,2,20))&lt;100000000,VALUE(MID($B1761,2,20)),1000000000),1000000000))+ROW()/100000,"")</f>
        <v/>
      </c>
    </row>
    <row r="1762">
      <c r="A1762">
        <f>IF($B1762="","",IFERROR(IF(INDEX('Per Invoice'!$A$2:$A$801,MATCH($B1762,'Per Invoice'!$B$2:$B$801,0))=0,"",INDEX('Per Invoice'!$A$2:$A$801,MATCH($B1762,'Per Invoice'!$B$2:$B$801,0))),""))</f>
        <v/>
      </c>
      <c r="J1762" s="7">
        <f>IF($B1762="","",I1762*Q1762/100)</f>
        <v/>
      </c>
      <c r="N1762" s="7" t="n"/>
      <c r="O1762" s="7" t="n"/>
      <c r="P1762" s="7">
        <f>IF($B1762="","",O1762*X1762/100)</f>
        <v/>
      </c>
      <c r="Q1762" s="7">
        <f>IF($B1762="","",O1762-P1762)</f>
        <v/>
      </c>
      <c r="R1762" s="7">
        <f>IF($B1762="","",Q1762-J1762)</f>
        <v/>
      </c>
      <c r="S1762" s="7" t="n"/>
      <c r="T1762" s="7" t="n"/>
      <c r="V1762" s="14" t="n"/>
      <c r="Z1762">
        <f>IF($B1762="","",IF(COUNTIF($B$2:$B1762,$B1762)=1,1,0))</f>
        <v/>
      </c>
      <c r="AA1762">
        <f>IF($Z1762=1,SUMPRODUCT(--($AC$2:$AC$3001&lt;$AC1762))+1,"")</f>
        <v/>
      </c>
      <c r="AB1762">
        <f>IF($B1762="","",IF(OR($Y1762=TRUE(),$Y1762="TRUE"),1,IF(AND($Y1762&lt;&gt;"",OR($Y1762=FALSE(),$Y1762="FALSE")),0,IF(MIN(ABS($X1762/100-Settings!$C$6),ABS($X1762/100-Settings!$G$6))&lt;=MIN(ABS($X1762/100-Settings!$C$7),ABS($X1762/100-Settings!$G$7)),1,0))))</f>
        <v/>
      </c>
      <c r="AC1762">
        <f>IF($Z1762=1,IFERROR(IF(VALUE($B1762)&lt;100000000,VALUE($B1762),1000000000),IFERROR(IF(VALUE(MID($B1762,2,20))&lt;100000000,VALUE(MID($B1762,2,20)),1000000000),1000000000))+ROW()/100000,"")</f>
        <v/>
      </c>
    </row>
    <row r="1763">
      <c r="A1763">
        <f>IF($B1763="","",IFERROR(IF(INDEX('Per Invoice'!$A$2:$A$801,MATCH($B1763,'Per Invoice'!$B$2:$B$801,0))=0,"",INDEX('Per Invoice'!$A$2:$A$801,MATCH($B1763,'Per Invoice'!$B$2:$B$801,0))),""))</f>
        <v/>
      </c>
      <c r="J1763" s="7">
        <f>IF($B1763="","",I1763*Q1763/100)</f>
        <v/>
      </c>
      <c r="N1763" s="7" t="n"/>
      <c r="O1763" s="7" t="n"/>
      <c r="P1763" s="7">
        <f>IF($B1763="","",O1763*X1763/100)</f>
        <v/>
      </c>
      <c r="Q1763" s="7">
        <f>IF($B1763="","",O1763-P1763)</f>
        <v/>
      </c>
      <c r="R1763" s="7">
        <f>IF($B1763="","",Q1763-J1763)</f>
        <v/>
      </c>
      <c r="S1763" s="7" t="n"/>
      <c r="T1763" s="7" t="n"/>
      <c r="V1763" s="14" t="n"/>
      <c r="Z1763">
        <f>IF($B1763="","",IF(COUNTIF($B$2:$B1763,$B1763)=1,1,0))</f>
        <v/>
      </c>
      <c r="AA1763">
        <f>IF($Z1763=1,SUMPRODUCT(--($AC$2:$AC$3001&lt;$AC1763))+1,"")</f>
        <v/>
      </c>
      <c r="AB1763">
        <f>IF($B1763="","",IF(OR($Y1763=TRUE(),$Y1763="TRUE"),1,IF(AND($Y1763&lt;&gt;"",OR($Y1763=FALSE(),$Y1763="FALSE")),0,IF(MIN(ABS($X1763/100-Settings!$C$6),ABS($X1763/100-Settings!$G$6))&lt;=MIN(ABS($X1763/100-Settings!$C$7),ABS($X1763/100-Settings!$G$7)),1,0))))</f>
        <v/>
      </c>
      <c r="AC1763">
        <f>IF($Z1763=1,IFERROR(IF(VALUE($B1763)&lt;100000000,VALUE($B1763),1000000000),IFERROR(IF(VALUE(MID($B1763,2,20))&lt;100000000,VALUE(MID($B1763,2,20)),1000000000),1000000000))+ROW()/100000,"")</f>
        <v/>
      </c>
    </row>
    <row r="1764">
      <c r="A1764">
        <f>IF($B1764="","",IFERROR(IF(INDEX('Per Invoice'!$A$2:$A$801,MATCH($B1764,'Per Invoice'!$B$2:$B$801,0))=0,"",INDEX('Per Invoice'!$A$2:$A$801,MATCH($B1764,'Per Invoice'!$B$2:$B$801,0))),""))</f>
        <v/>
      </c>
      <c r="J1764" s="7">
        <f>IF($B1764="","",I1764*Q1764/100)</f>
        <v/>
      </c>
      <c r="N1764" s="7" t="n"/>
      <c r="O1764" s="7" t="n"/>
      <c r="P1764" s="7">
        <f>IF($B1764="","",O1764*X1764/100)</f>
        <v/>
      </c>
      <c r="Q1764" s="7">
        <f>IF($B1764="","",O1764-P1764)</f>
        <v/>
      </c>
      <c r="R1764" s="7">
        <f>IF($B1764="","",Q1764-J1764)</f>
        <v/>
      </c>
      <c r="S1764" s="7" t="n"/>
      <c r="T1764" s="7" t="n"/>
      <c r="V1764" s="14" t="n"/>
      <c r="Z1764">
        <f>IF($B1764="","",IF(COUNTIF($B$2:$B1764,$B1764)=1,1,0))</f>
        <v/>
      </c>
      <c r="AA1764">
        <f>IF($Z1764=1,SUMPRODUCT(--($AC$2:$AC$3001&lt;$AC1764))+1,"")</f>
        <v/>
      </c>
      <c r="AB1764">
        <f>IF($B1764="","",IF(OR($Y1764=TRUE(),$Y1764="TRUE"),1,IF(AND($Y1764&lt;&gt;"",OR($Y1764=FALSE(),$Y1764="FALSE")),0,IF(MIN(ABS($X1764/100-Settings!$C$6),ABS($X1764/100-Settings!$G$6))&lt;=MIN(ABS($X1764/100-Settings!$C$7),ABS($X1764/100-Settings!$G$7)),1,0))))</f>
        <v/>
      </c>
      <c r="AC1764">
        <f>IF($Z1764=1,IFERROR(IF(VALUE($B1764)&lt;100000000,VALUE($B1764),1000000000),IFERROR(IF(VALUE(MID($B1764,2,20))&lt;100000000,VALUE(MID($B1764,2,20)),1000000000),1000000000))+ROW()/100000,"")</f>
        <v/>
      </c>
    </row>
    <row r="1765">
      <c r="A1765">
        <f>IF($B1765="","",IFERROR(IF(INDEX('Per Invoice'!$A$2:$A$801,MATCH($B1765,'Per Invoice'!$B$2:$B$801,0))=0,"",INDEX('Per Invoice'!$A$2:$A$801,MATCH($B1765,'Per Invoice'!$B$2:$B$801,0))),""))</f>
        <v/>
      </c>
      <c r="J1765" s="7">
        <f>IF($B1765="","",I1765*Q1765/100)</f>
        <v/>
      </c>
      <c r="N1765" s="7" t="n"/>
      <c r="O1765" s="7" t="n"/>
      <c r="P1765" s="7">
        <f>IF($B1765="","",O1765*X1765/100)</f>
        <v/>
      </c>
      <c r="Q1765" s="7">
        <f>IF($B1765="","",O1765-P1765)</f>
        <v/>
      </c>
      <c r="R1765" s="7">
        <f>IF($B1765="","",Q1765-J1765)</f>
        <v/>
      </c>
      <c r="S1765" s="7" t="n"/>
      <c r="T1765" s="7" t="n"/>
      <c r="V1765" s="14" t="n"/>
      <c r="Z1765">
        <f>IF($B1765="","",IF(COUNTIF($B$2:$B1765,$B1765)=1,1,0))</f>
        <v/>
      </c>
      <c r="AA1765">
        <f>IF($Z1765=1,SUMPRODUCT(--($AC$2:$AC$3001&lt;$AC1765))+1,"")</f>
        <v/>
      </c>
      <c r="AB1765">
        <f>IF($B1765="","",IF(OR($Y1765=TRUE(),$Y1765="TRUE"),1,IF(AND($Y1765&lt;&gt;"",OR($Y1765=FALSE(),$Y1765="FALSE")),0,IF(MIN(ABS($X1765/100-Settings!$C$6),ABS($X1765/100-Settings!$G$6))&lt;=MIN(ABS($X1765/100-Settings!$C$7),ABS($X1765/100-Settings!$G$7)),1,0))))</f>
        <v/>
      </c>
      <c r="AC1765">
        <f>IF($Z1765=1,IFERROR(IF(VALUE($B1765)&lt;100000000,VALUE($B1765),1000000000),IFERROR(IF(VALUE(MID($B1765,2,20))&lt;100000000,VALUE(MID($B1765,2,20)),1000000000),1000000000))+ROW()/100000,"")</f>
        <v/>
      </c>
    </row>
    <row r="1766">
      <c r="A1766">
        <f>IF($B1766="","",IFERROR(IF(INDEX('Per Invoice'!$A$2:$A$801,MATCH($B1766,'Per Invoice'!$B$2:$B$801,0))=0,"",INDEX('Per Invoice'!$A$2:$A$801,MATCH($B1766,'Per Invoice'!$B$2:$B$801,0))),""))</f>
        <v/>
      </c>
      <c r="J1766" s="7">
        <f>IF($B1766="","",I1766*Q1766/100)</f>
        <v/>
      </c>
      <c r="N1766" s="7" t="n"/>
      <c r="O1766" s="7" t="n"/>
      <c r="P1766" s="7">
        <f>IF($B1766="","",O1766*X1766/100)</f>
        <v/>
      </c>
      <c r="Q1766" s="7">
        <f>IF($B1766="","",O1766-P1766)</f>
        <v/>
      </c>
      <c r="R1766" s="7">
        <f>IF($B1766="","",Q1766-J1766)</f>
        <v/>
      </c>
      <c r="S1766" s="7" t="n"/>
      <c r="T1766" s="7" t="n"/>
      <c r="V1766" s="14" t="n"/>
      <c r="Z1766">
        <f>IF($B1766="","",IF(COUNTIF($B$2:$B1766,$B1766)=1,1,0))</f>
        <v/>
      </c>
      <c r="AA1766">
        <f>IF($Z1766=1,SUMPRODUCT(--($AC$2:$AC$3001&lt;$AC1766))+1,"")</f>
        <v/>
      </c>
      <c r="AB1766">
        <f>IF($B1766="","",IF(OR($Y1766=TRUE(),$Y1766="TRUE"),1,IF(AND($Y1766&lt;&gt;"",OR($Y1766=FALSE(),$Y1766="FALSE")),0,IF(MIN(ABS($X1766/100-Settings!$C$6),ABS($X1766/100-Settings!$G$6))&lt;=MIN(ABS($X1766/100-Settings!$C$7),ABS($X1766/100-Settings!$G$7)),1,0))))</f>
        <v/>
      </c>
      <c r="AC1766">
        <f>IF($Z1766=1,IFERROR(IF(VALUE($B1766)&lt;100000000,VALUE($B1766),1000000000),IFERROR(IF(VALUE(MID($B1766,2,20))&lt;100000000,VALUE(MID($B1766,2,20)),1000000000),1000000000))+ROW()/100000,"")</f>
        <v/>
      </c>
    </row>
    <row r="1767">
      <c r="A1767">
        <f>IF($B1767="","",IFERROR(IF(INDEX('Per Invoice'!$A$2:$A$801,MATCH($B1767,'Per Invoice'!$B$2:$B$801,0))=0,"",INDEX('Per Invoice'!$A$2:$A$801,MATCH($B1767,'Per Invoice'!$B$2:$B$801,0))),""))</f>
        <v/>
      </c>
      <c r="J1767" s="7">
        <f>IF($B1767="","",I1767*Q1767/100)</f>
        <v/>
      </c>
      <c r="N1767" s="7" t="n"/>
      <c r="O1767" s="7" t="n"/>
      <c r="P1767" s="7">
        <f>IF($B1767="","",O1767*X1767/100)</f>
        <v/>
      </c>
      <c r="Q1767" s="7">
        <f>IF($B1767="","",O1767-P1767)</f>
        <v/>
      </c>
      <c r="R1767" s="7">
        <f>IF($B1767="","",Q1767-J1767)</f>
        <v/>
      </c>
      <c r="S1767" s="7" t="n"/>
      <c r="T1767" s="7" t="n"/>
      <c r="V1767" s="14" t="n"/>
      <c r="Z1767">
        <f>IF($B1767="","",IF(COUNTIF($B$2:$B1767,$B1767)=1,1,0))</f>
        <v/>
      </c>
      <c r="AA1767">
        <f>IF($Z1767=1,SUMPRODUCT(--($AC$2:$AC$3001&lt;$AC1767))+1,"")</f>
        <v/>
      </c>
      <c r="AB1767">
        <f>IF($B1767="","",IF(OR($Y1767=TRUE(),$Y1767="TRUE"),1,IF(AND($Y1767&lt;&gt;"",OR($Y1767=FALSE(),$Y1767="FALSE")),0,IF(MIN(ABS($X1767/100-Settings!$C$6),ABS($X1767/100-Settings!$G$6))&lt;=MIN(ABS($X1767/100-Settings!$C$7),ABS($X1767/100-Settings!$G$7)),1,0))))</f>
        <v/>
      </c>
      <c r="AC1767">
        <f>IF($Z1767=1,IFERROR(IF(VALUE($B1767)&lt;100000000,VALUE($B1767),1000000000),IFERROR(IF(VALUE(MID($B1767,2,20))&lt;100000000,VALUE(MID($B1767,2,20)),1000000000),1000000000))+ROW()/100000,"")</f>
        <v/>
      </c>
    </row>
    <row r="1768">
      <c r="A1768">
        <f>IF($B1768="","",IFERROR(IF(INDEX('Per Invoice'!$A$2:$A$801,MATCH($B1768,'Per Invoice'!$B$2:$B$801,0))=0,"",INDEX('Per Invoice'!$A$2:$A$801,MATCH($B1768,'Per Invoice'!$B$2:$B$801,0))),""))</f>
        <v/>
      </c>
      <c r="J1768" s="7">
        <f>IF($B1768="","",I1768*Q1768/100)</f>
        <v/>
      </c>
      <c r="N1768" s="7" t="n"/>
      <c r="O1768" s="7" t="n"/>
      <c r="P1768" s="7">
        <f>IF($B1768="","",O1768*X1768/100)</f>
        <v/>
      </c>
      <c r="Q1768" s="7">
        <f>IF($B1768="","",O1768-P1768)</f>
        <v/>
      </c>
      <c r="R1768" s="7">
        <f>IF($B1768="","",Q1768-J1768)</f>
        <v/>
      </c>
      <c r="S1768" s="7" t="n"/>
      <c r="T1768" s="7" t="n"/>
      <c r="V1768" s="14" t="n"/>
      <c r="Z1768">
        <f>IF($B1768="","",IF(COUNTIF($B$2:$B1768,$B1768)=1,1,0))</f>
        <v/>
      </c>
      <c r="AA1768">
        <f>IF($Z1768=1,SUMPRODUCT(--($AC$2:$AC$3001&lt;$AC1768))+1,"")</f>
        <v/>
      </c>
      <c r="AB1768">
        <f>IF($B1768="","",IF(OR($Y1768=TRUE(),$Y1768="TRUE"),1,IF(AND($Y1768&lt;&gt;"",OR($Y1768=FALSE(),$Y1768="FALSE")),0,IF(MIN(ABS($X1768/100-Settings!$C$6),ABS($X1768/100-Settings!$G$6))&lt;=MIN(ABS($X1768/100-Settings!$C$7),ABS($X1768/100-Settings!$G$7)),1,0))))</f>
        <v/>
      </c>
      <c r="AC1768">
        <f>IF($Z1768=1,IFERROR(IF(VALUE($B1768)&lt;100000000,VALUE($B1768),1000000000),IFERROR(IF(VALUE(MID($B1768,2,20))&lt;100000000,VALUE(MID($B1768,2,20)),1000000000),1000000000))+ROW()/100000,"")</f>
        <v/>
      </c>
    </row>
    <row r="1769">
      <c r="A1769">
        <f>IF($B1769="","",IFERROR(IF(INDEX('Per Invoice'!$A$2:$A$801,MATCH($B1769,'Per Invoice'!$B$2:$B$801,0))=0,"",INDEX('Per Invoice'!$A$2:$A$801,MATCH($B1769,'Per Invoice'!$B$2:$B$801,0))),""))</f>
        <v/>
      </c>
      <c r="J1769" s="7">
        <f>IF($B1769="","",I1769*Q1769/100)</f>
        <v/>
      </c>
      <c r="N1769" s="7" t="n"/>
      <c r="O1769" s="7" t="n"/>
      <c r="P1769" s="7">
        <f>IF($B1769="","",O1769*X1769/100)</f>
        <v/>
      </c>
      <c r="Q1769" s="7">
        <f>IF($B1769="","",O1769-P1769)</f>
        <v/>
      </c>
      <c r="R1769" s="7">
        <f>IF($B1769="","",Q1769-J1769)</f>
        <v/>
      </c>
      <c r="S1769" s="7" t="n"/>
      <c r="T1769" s="7" t="n"/>
      <c r="V1769" s="14" t="n"/>
      <c r="Z1769">
        <f>IF($B1769="","",IF(COUNTIF($B$2:$B1769,$B1769)=1,1,0))</f>
        <v/>
      </c>
      <c r="AA1769">
        <f>IF($Z1769=1,SUMPRODUCT(--($AC$2:$AC$3001&lt;$AC1769))+1,"")</f>
        <v/>
      </c>
      <c r="AB1769">
        <f>IF($B1769="","",IF(OR($Y1769=TRUE(),$Y1769="TRUE"),1,IF(AND($Y1769&lt;&gt;"",OR($Y1769=FALSE(),$Y1769="FALSE")),0,IF(MIN(ABS($X1769/100-Settings!$C$6),ABS($X1769/100-Settings!$G$6))&lt;=MIN(ABS($X1769/100-Settings!$C$7),ABS($X1769/100-Settings!$G$7)),1,0))))</f>
        <v/>
      </c>
      <c r="AC1769">
        <f>IF($Z1769=1,IFERROR(IF(VALUE($B1769)&lt;100000000,VALUE($B1769),1000000000),IFERROR(IF(VALUE(MID($B1769,2,20))&lt;100000000,VALUE(MID($B1769,2,20)),1000000000),1000000000))+ROW()/100000,"")</f>
        <v/>
      </c>
    </row>
    <row r="1770">
      <c r="A1770">
        <f>IF($B1770="","",IFERROR(IF(INDEX('Per Invoice'!$A$2:$A$801,MATCH($B1770,'Per Invoice'!$B$2:$B$801,0))=0,"",INDEX('Per Invoice'!$A$2:$A$801,MATCH($B1770,'Per Invoice'!$B$2:$B$801,0))),""))</f>
        <v/>
      </c>
      <c r="J1770" s="7">
        <f>IF($B1770="","",I1770*Q1770/100)</f>
        <v/>
      </c>
      <c r="N1770" s="7" t="n"/>
      <c r="O1770" s="7" t="n"/>
      <c r="P1770" s="7">
        <f>IF($B1770="","",O1770*X1770/100)</f>
        <v/>
      </c>
      <c r="Q1770" s="7">
        <f>IF($B1770="","",O1770-P1770)</f>
        <v/>
      </c>
      <c r="R1770" s="7">
        <f>IF($B1770="","",Q1770-J1770)</f>
        <v/>
      </c>
      <c r="S1770" s="7" t="n"/>
      <c r="T1770" s="7" t="n"/>
      <c r="V1770" s="14" t="n"/>
      <c r="Z1770">
        <f>IF($B1770="","",IF(COUNTIF($B$2:$B1770,$B1770)=1,1,0))</f>
        <v/>
      </c>
      <c r="AA1770">
        <f>IF($Z1770=1,SUMPRODUCT(--($AC$2:$AC$3001&lt;$AC1770))+1,"")</f>
        <v/>
      </c>
      <c r="AB1770">
        <f>IF($B1770="","",IF(OR($Y1770=TRUE(),$Y1770="TRUE"),1,IF(AND($Y1770&lt;&gt;"",OR($Y1770=FALSE(),$Y1770="FALSE")),0,IF(MIN(ABS($X1770/100-Settings!$C$6),ABS($X1770/100-Settings!$G$6))&lt;=MIN(ABS($X1770/100-Settings!$C$7),ABS($X1770/100-Settings!$G$7)),1,0))))</f>
        <v/>
      </c>
      <c r="AC1770">
        <f>IF($Z1770=1,IFERROR(IF(VALUE($B1770)&lt;100000000,VALUE($B1770),1000000000),IFERROR(IF(VALUE(MID($B1770,2,20))&lt;100000000,VALUE(MID($B1770,2,20)),1000000000),1000000000))+ROW()/100000,"")</f>
        <v/>
      </c>
    </row>
    <row r="1771">
      <c r="A1771">
        <f>IF($B1771="","",IFERROR(IF(INDEX('Per Invoice'!$A$2:$A$801,MATCH($B1771,'Per Invoice'!$B$2:$B$801,0))=0,"",INDEX('Per Invoice'!$A$2:$A$801,MATCH($B1771,'Per Invoice'!$B$2:$B$801,0))),""))</f>
        <v/>
      </c>
      <c r="J1771" s="7">
        <f>IF($B1771="","",I1771*Q1771/100)</f>
        <v/>
      </c>
      <c r="N1771" s="7" t="n"/>
      <c r="O1771" s="7" t="n"/>
      <c r="P1771" s="7">
        <f>IF($B1771="","",O1771*X1771/100)</f>
        <v/>
      </c>
      <c r="Q1771" s="7">
        <f>IF($B1771="","",O1771-P1771)</f>
        <v/>
      </c>
      <c r="R1771" s="7">
        <f>IF($B1771="","",Q1771-J1771)</f>
        <v/>
      </c>
      <c r="S1771" s="7" t="n"/>
      <c r="T1771" s="7" t="n"/>
      <c r="V1771" s="14" t="n"/>
      <c r="Z1771">
        <f>IF($B1771="","",IF(COUNTIF($B$2:$B1771,$B1771)=1,1,0))</f>
        <v/>
      </c>
      <c r="AA1771">
        <f>IF($Z1771=1,SUMPRODUCT(--($AC$2:$AC$3001&lt;$AC1771))+1,"")</f>
        <v/>
      </c>
      <c r="AB1771">
        <f>IF($B1771="","",IF(OR($Y1771=TRUE(),$Y1771="TRUE"),1,IF(AND($Y1771&lt;&gt;"",OR($Y1771=FALSE(),$Y1771="FALSE")),0,IF(MIN(ABS($X1771/100-Settings!$C$6),ABS($X1771/100-Settings!$G$6))&lt;=MIN(ABS($X1771/100-Settings!$C$7),ABS($X1771/100-Settings!$G$7)),1,0))))</f>
        <v/>
      </c>
      <c r="AC1771">
        <f>IF($Z1771=1,IFERROR(IF(VALUE($B1771)&lt;100000000,VALUE($B1771),1000000000),IFERROR(IF(VALUE(MID($B1771,2,20))&lt;100000000,VALUE(MID($B1771,2,20)),1000000000),1000000000))+ROW()/100000,"")</f>
        <v/>
      </c>
    </row>
    <row r="1772">
      <c r="A1772">
        <f>IF($B1772="","",IFERROR(IF(INDEX('Per Invoice'!$A$2:$A$801,MATCH($B1772,'Per Invoice'!$B$2:$B$801,0))=0,"",INDEX('Per Invoice'!$A$2:$A$801,MATCH($B1772,'Per Invoice'!$B$2:$B$801,0))),""))</f>
        <v/>
      </c>
      <c r="J1772" s="7">
        <f>IF($B1772="","",I1772*Q1772/100)</f>
        <v/>
      </c>
      <c r="N1772" s="7" t="n"/>
      <c r="O1772" s="7" t="n"/>
      <c r="P1772" s="7">
        <f>IF($B1772="","",O1772*X1772/100)</f>
        <v/>
      </c>
      <c r="Q1772" s="7">
        <f>IF($B1772="","",O1772-P1772)</f>
        <v/>
      </c>
      <c r="R1772" s="7">
        <f>IF($B1772="","",Q1772-J1772)</f>
        <v/>
      </c>
      <c r="S1772" s="7" t="n"/>
      <c r="T1772" s="7" t="n"/>
      <c r="V1772" s="14" t="n"/>
      <c r="Z1772">
        <f>IF($B1772="","",IF(COUNTIF($B$2:$B1772,$B1772)=1,1,0))</f>
        <v/>
      </c>
      <c r="AA1772">
        <f>IF($Z1772=1,SUMPRODUCT(--($AC$2:$AC$3001&lt;$AC1772))+1,"")</f>
        <v/>
      </c>
      <c r="AB1772">
        <f>IF($B1772="","",IF(OR($Y1772=TRUE(),$Y1772="TRUE"),1,IF(AND($Y1772&lt;&gt;"",OR($Y1772=FALSE(),$Y1772="FALSE")),0,IF(MIN(ABS($X1772/100-Settings!$C$6),ABS($X1772/100-Settings!$G$6))&lt;=MIN(ABS($X1772/100-Settings!$C$7),ABS($X1772/100-Settings!$G$7)),1,0))))</f>
        <v/>
      </c>
      <c r="AC1772">
        <f>IF($Z1772=1,IFERROR(IF(VALUE($B1772)&lt;100000000,VALUE($B1772),1000000000),IFERROR(IF(VALUE(MID($B1772,2,20))&lt;100000000,VALUE(MID($B1772,2,20)),1000000000),1000000000))+ROW()/100000,"")</f>
        <v/>
      </c>
    </row>
    <row r="1773">
      <c r="A1773">
        <f>IF($B1773="","",IFERROR(IF(INDEX('Per Invoice'!$A$2:$A$801,MATCH($B1773,'Per Invoice'!$B$2:$B$801,0))=0,"",INDEX('Per Invoice'!$A$2:$A$801,MATCH($B1773,'Per Invoice'!$B$2:$B$801,0))),""))</f>
        <v/>
      </c>
      <c r="J1773" s="7">
        <f>IF($B1773="","",I1773*Q1773/100)</f>
        <v/>
      </c>
      <c r="N1773" s="7" t="n"/>
      <c r="O1773" s="7" t="n"/>
      <c r="P1773" s="7">
        <f>IF($B1773="","",O1773*X1773/100)</f>
        <v/>
      </c>
      <c r="Q1773" s="7">
        <f>IF($B1773="","",O1773-P1773)</f>
        <v/>
      </c>
      <c r="R1773" s="7">
        <f>IF($B1773="","",Q1773-J1773)</f>
        <v/>
      </c>
      <c r="S1773" s="7" t="n"/>
      <c r="T1773" s="7" t="n"/>
      <c r="V1773" s="14" t="n"/>
      <c r="Z1773">
        <f>IF($B1773="","",IF(COUNTIF($B$2:$B1773,$B1773)=1,1,0))</f>
        <v/>
      </c>
      <c r="AA1773">
        <f>IF($Z1773=1,SUMPRODUCT(--($AC$2:$AC$3001&lt;$AC1773))+1,"")</f>
        <v/>
      </c>
      <c r="AB1773">
        <f>IF($B1773="","",IF(OR($Y1773=TRUE(),$Y1773="TRUE"),1,IF(AND($Y1773&lt;&gt;"",OR($Y1773=FALSE(),$Y1773="FALSE")),0,IF(MIN(ABS($X1773/100-Settings!$C$6),ABS($X1773/100-Settings!$G$6))&lt;=MIN(ABS($X1773/100-Settings!$C$7),ABS($X1773/100-Settings!$G$7)),1,0))))</f>
        <v/>
      </c>
      <c r="AC1773">
        <f>IF($Z1773=1,IFERROR(IF(VALUE($B1773)&lt;100000000,VALUE($B1773),1000000000),IFERROR(IF(VALUE(MID($B1773,2,20))&lt;100000000,VALUE(MID($B1773,2,20)),1000000000),1000000000))+ROW()/100000,"")</f>
        <v/>
      </c>
    </row>
    <row r="1774">
      <c r="A1774">
        <f>IF($B1774="","",IFERROR(IF(INDEX('Per Invoice'!$A$2:$A$801,MATCH($B1774,'Per Invoice'!$B$2:$B$801,0))=0,"",INDEX('Per Invoice'!$A$2:$A$801,MATCH($B1774,'Per Invoice'!$B$2:$B$801,0))),""))</f>
        <v/>
      </c>
      <c r="J1774" s="7">
        <f>IF($B1774="","",I1774*Q1774/100)</f>
        <v/>
      </c>
      <c r="N1774" s="7" t="n"/>
      <c r="O1774" s="7" t="n"/>
      <c r="P1774" s="7">
        <f>IF($B1774="","",O1774*X1774/100)</f>
        <v/>
      </c>
      <c r="Q1774" s="7">
        <f>IF($B1774="","",O1774-P1774)</f>
        <v/>
      </c>
      <c r="R1774" s="7">
        <f>IF($B1774="","",Q1774-J1774)</f>
        <v/>
      </c>
      <c r="S1774" s="7" t="n"/>
      <c r="T1774" s="7" t="n"/>
      <c r="V1774" s="14" t="n"/>
      <c r="Z1774">
        <f>IF($B1774="","",IF(COUNTIF($B$2:$B1774,$B1774)=1,1,0))</f>
        <v/>
      </c>
      <c r="AA1774">
        <f>IF($Z1774=1,SUMPRODUCT(--($AC$2:$AC$3001&lt;$AC1774))+1,"")</f>
        <v/>
      </c>
      <c r="AB1774">
        <f>IF($B1774="","",IF(OR($Y1774=TRUE(),$Y1774="TRUE"),1,IF(AND($Y1774&lt;&gt;"",OR($Y1774=FALSE(),$Y1774="FALSE")),0,IF(MIN(ABS($X1774/100-Settings!$C$6),ABS($X1774/100-Settings!$G$6))&lt;=MIN(ABS($X1774/100-Settings!$C$7),ABS($X1774/100-Settings!$G$7)),1,0))))</f>
        <v/>
      </c>
      <c r="AC1774">
        <f>IF($Z1774=1,IFERROR(IF(VALUE($B1774)&lt;100000000,VALUE($B1774),1000000000),IFERROR(IF(VALUE(MID($B1774,2,20))&lt;100000000,VALUE(MID($B1774,2,20)),1000000000),1000000000))+ROW()/100000,"")</f>
        <v/>
      </c>
    </row>
    <row r="1775">
      <c r="A1775">
        <f>IF($B1775="","",IFERROR(IF(INDEX('Per Invoice'!$A$2:$A$801,MATCH($B1775,'Per Invoice'!$B$2:$B$801,0))=0,"",INDEX('Per Invoice'!$A$2:$A$801,MATCH($B1775,'Per Invoice'!$B$2:$B$801,0))),""))</f>
        <v/>
      </c>
      <c r="J1775" s="7">
        <f>IF($B1775="","",I1775*Q1775/100)</f>
        <v/>
      </c>
      <c r="N1775" s="7" t="n"/>
      <c r="O1775" s="7" t="n"/>
      <c r="P1775" s="7">
        <f>IF($B1775="","",O1775*X1775/100)</f>
        <v/>
      </c>
      <c r="Q1775" s="7">
        <f>IF($B1775="","",O1775-P1775)</f>
        <v/>
      </c>
      <c r="R1775" s="7">
        <f>IF($B1775="","",Q1775-J1775)</f>
        <v/>
      </c>
      <c r="S1775" s="7" t="n"/>
      <c r="T1775" s="7" t="n"/>
      <c r="V1775" s="14" t="n"/>
      <c r="Z1775">
        <f>IF($B1775="","",IF(COUNTIF($B$2:$B1775,$B1775)=1,1,0))</f>
        <v/>
      </c>
      <c r="AA1775">
        <f>IF($Z1775=1,SUMPRODUCT(--($AC$2:$AC$3001&lt;$AC1775))+1,"")</f>
        <v/>
      </c>
      <c r="AB1775">
        <f>IF($B1775="","",IF(OR($Y1775=TRUE(),$Y1775="TRUE"),1,IF(AND($Y1775&lt;&gt;"",OR($Y1775=FALSE(),$Y1775="FALSE")),0,IF(MIN(ABS($X1775/100-Settings!$C$6),ABS($X1775/100-Settings!$G$6))&lt;=MIN(ABS($X1775/100-Settings!$C$7),ABS($X1775/100-Settings!$G$7)),1,0))))</f>
        <v/>
      </c>
      <c r="AC1775">
        <f>IF($Z1775=1,IFERROR(IF(VALUE($B1775)&lt;100000000,VALUE($B1775),1000000000),IFERROR(IF(VALUE(MID($B1775,2,20))&lt;100000000,VALUE(MID($B1775,2,20)),1000000000),1000000000))+ROW()/100000,"")</f>
        <v/>
      </c>
    </row>
    <row r="1776">
      <c r="A1776">
        <f>IF($B1776="","",IFERROR(IF(INDEX('Per Invoice'!$A$2:$A$801,MATCH($B1776,'Per Invoice'!$B$2:$B$801,0))=0,"",INDEX('Per Invoice'!$A$2:$A$801,MATCH($B1776,'Per Invoice'!$B$2:$B$801,0))),""))</f>
        <v/>
      </c>
      <c r="J1776" s="7">
        <f>IF($B1776="","",I1776*Q1776/100)</f>
        <v/>
      </c>
      <c r="N1776" s="7" t="n"/>
      <c r="O1776" s="7" t="n"/>
      <c r="P1776" s="7">
        <f>IF($B1776="","",O1776*X1776/100)</f>
        <v/>
      </c>
      <c r="Q1776" s="7">
        <f>IF($B1776="","",O1776-P1776)</f>
        <v/>
      </c>
      <c r="R1776" s="7">
        <f>IF($B1776="","",Q1776-J1776)</f>
        <v/>
      </c>
      <c r="S1776" s="7" t="n"/>
      <c r="T1776" s="7" t="n"/>
      <c r="V1776" s="14" t="n"/>
      <c r="Z1776">
        <f>IF($B1776="","",IF(COUNTIF($B$2:$B1776,$B1776)=1,1,0))</f>
        <v/>
      </c>
      <c r="AA1776">
        <f>IF($Z1776=1,SUMPRODUCT(--($AC$2:$AC$3001&lt;$AC1776))+1,"")</f>
        <v/>
      </c>
      <c r="AB1776">
        <f>IF($B1776="","",IF(OR($Y1776=TRUE(),$Y1776="TRUE"),1,IF(AND($Y1776&lt;&gt;"",OR($Y1776=FALSE(),$Y1776="FALSE")),0,IF(MIN(ABS($X1776/100-Settings!$C$6),ABS($X1776/100-Settings!$G$6))&lt;=MIN(ABS($X1776/100-Settings!$C$7),ABS($X1776/100-Settings!$G$7)),1,0))))</f>
        <v/>
      </c>
      <c r="AC1776">
        <f>IF($Z1776=1,IFERROR(IF(VALUE($B1776)&lt;100000000,VALUE($B1776),1000000000),IFERROR(IF(VALUE(MID($B1776,2,20))&lt;100000000,VALUE(MID($B1776,2,20)),1000000000),1000000000))+ROW()/100000,"")</f>
        <v/>
      </c>
    </row>
    <row r="1777">
      <c r="A1777">
        <f>IF($B1777="","",IFERROR(IF(INDEX('Per Invoice'!$A$2:$A$801,MATCH($B1777,'Per Invoice'!$B$2:$B$801,0))=0,"",INDEX('Per Invoice'!$A$2:$A$801,MATCH($B1777,'Per Invoice'!$B$2:$B$801,0))),""))</f>
        <v/>
      </c>
      <c r="J1777" s="7">
        <f>IF($B1777="","",I1777*Q1777/100)</f>
        <v/>
      </c>
      <c r="N1777" s="7" t="n"/>
      <c r="O1777" s="7" t="n"/>
      <c r="P1777" s="7">
        <f>IF($B1777="","",O1777*X1777/100)</f>
        <v/>
      </c>
      <c r="Q1777" s="7">
        <f>IF($B1777="","",O1777-P1777)</f>
        <v/>
      </c>
      <c r="R1777" s="7">
        <f>IF($B1777="","",Q1777-J1777)</f>
        <v/>
      </c>
      <c r="S1777" s="7" t="n"/>
      <c r="T1777" s="7" t="n"/>
      <c r="V1777" s="14" t="n"/>
      <c r="Z1777">
        <f>IF($B1777="","",IF(COUNTIF($B$2:$B1777,$B1777)=1,1,0))</f>
        <v/>
      </c>
      <c r="AA1777">
        <f>IF($Z1777=1,SUMPRODUCT(--($AC$2:$AC$3001&lt;$AC1777))+1,"")</f>
        <v/>
      </c>
      <c r="AB1777">
        <f>IF($B1777="","",IF(OR($Y1777=TRUE(),$Y1777="TRUE"),1,IF(AND($Y1777&lt;&gt;"",OR($Y1777=FALSE(),$Y1777="FALSE")),0,IF(MIN(ABS($X1777/100-Settings!$C$6),ABS($X1777/100-Settings!$G$6))&lt;=MIN(ABS($X1777/100-Settings!$C$7),ABS($X1777/100-Settings!$G$7)),1,0))))</f>
        <v/>
      </c>
      <c r="AC1777">
        <f>IF($Z1777=1,IFERROR(IF(VALUE($B1777)&lt;100000000,VALUE($B1777),1000000000),IFERROR(IF(VALUE(MID($B1777,2,20))&lt;100000000,VALUE(MID($B1777,2,20)),1000000000),1000000000))+ROW()/100000,"")</f>
        <v/>
      </c>
    </row>
    <row r="1778">
      <c r="A1778">
        <f>IF($B1778="","",IFERROR(IF(INDEX('Per Invoice'!$A$2:$A$801,MATCH($B1778,'Per Invoice'!$B$2:$B$801,0))=0,"",INDEX('Per Invoice'!$A$2:$A$801,MATCH($B1778,'Per Invoice'!$B$2:$B$801,0))),""))</f>
        <v/>
      </c>
      <c r="J1778" s="7">
        <f>IF($B1778="","",I1778*Q1778/100)</f>
        <v/>
      </c>
      <c r="N1778" s="7" t="n"/>
      <c r="O1778" s="7" t="n"/>
      <c r="P1778" s="7">
        <f>IF($B1778="","",O1778*X1778/100)</f>
        <v/>
      </c>
      <c r="Q1778" s="7">
        <f>IF($B1778="","",O1778-P1778)</f>
        <v/>
      </c>
      <c r="R1778" s="7">
        <f>IF($B1778="","",Q1778-J1778)</f>
        <v/>
      </c>
      <c r="S1778" s="7" t="n"/>
      <c r="T1778" s="7" t="n"/>
      <c r="V1778" s="14" t="n"/>
      <c r="Z1778">
        <f>IF($B1778="","",IF(COUNTIF($B$2:$B1778,$B1778)=1,1,0))</f>
        <v/>
      </c>
      <c r="AA1778">
        <f>IF($Z1778=1,SUMPRODUCT(--($AC$2:$AC$3001&lt;$AC1778))+1,"")</f>
        <v/>
      </c>
      <c r="AB1778">
        <f>IF($B1778="","",IF(OR($Y1778=TRUE(),$Y1778="TRUE"),1,IF(AND($Y1778&lt;&gt;"",OR($Y1778=FALSE(),$Y1778="FALSE")),0,IF(MIN(ABS($X1778/100-Settings!$C$6),ABS($X1778/100-Settings!$G$6))&lt;=MIN(ABS($X1778/100-Settings!$C$7),ABS($X1778/100-Settings!$G$7)),1,0))))</f>
        <v/>
      </c>
      <c r="AC1778">
        <f>IF($Z1778=1,IFERROR(IF(VALUE($B1778)&lt;100000000,VALUE($B1778),1000000000),IFERROR(IF(VALUE(MID($B1778,2,20))&lt;100000000,VALUE(MID($B1778,2,20)),1000000000),1000000000))+ROW()/100000,"")</f>
        <v/>
      </c>
    </row>
    <row r="1779">
      <c r="A1779">
        <f>IF($B1779="","",IFERROR(IF(INDEX('Per Invoice'!$A$2:$A$801,MATCH($B1779,'Per Invoice'!$B$2:$B$801,0))=0,"",INDEX('Per Invoice'!$A$2:$A$801,MATCH($B1779,'Per Invoice'!$B$2:$B$801,0))),""))</f>
        <v/>
      </c>
      <c r="J1779" s="7">
        <f>IF($B1779="","",I1779*Q1779/100)</f>
        <v/>
      </c>
      <c r="N1779" s="7" t="n"/>
      <c r="O1779" s="7" t="n"/>
      <c r="P1779" s="7">
        <f>IF($B1779="","",O1779*X1779/100)</f>
        <v/>
      </c>
      <c r="Q1779" s="7">
        <f>IF($B1779="","",O1779-P1779)</f>
        <v/>
      </c>
      <c r="R1779" s="7">
        <f>IF($B1779="","",Q1779-J1779)</f>
        <v/>
      </c>
      <c r="S1779" s="7" t="n"/>
      <c r="T1779" s="7" t="n"/>
      <c r="V1779" s="14" t="n"/>
      <c r="Z1779">
        <f>IF($B1779="","",IF(COUNTIF($B$2:$B1779,$B1779)=1,1,0))</f>
        <v/>
      </c>
      <c r="AA1779">
        <f>IF($Z1779=1,SUMPRODUCT(--($AC$2:$AC$3001&lt;$AC1779))+1,"")</f>
        <v/>
      </c>
      <c r="AB1779">
        <f>IF($B1779="","",IF(OR($Y1779=TRUE(),$Y1779="TRUE"),1,IF(AND($Y1779&lt;&gt;"",OR($Y1779=FALSE(),$Y1779="FALSE")),0,IF(MIN(ABS($X1779/100-Settings!$C$6),ABS($X1779/100-Settings!$G$6))&lt;=MIN(ABS($X1779/100-Settings!$C$7),ABS($X1779/100-Settings!$G$7)),1,0))))</f>
        <v/>
      </c>
      <c r="AC1779">
        <f>IF($Z1779=1,IFERROR(IF(VALUE($B1779)&lt;100000000,VALUE($B1779),1000000000),IFERROR(IF(VALUE(MID($B1779,2,20))&lt;100000000,VALUE(MID($B1779,2,20)),1000000000),1000000000))+ROW()/100000,"")</f>
        <v/>
      </c>
    </row>
    <row r="1780">
      <c r="A1780">
        <f>IF($B1780="","",IFERROR(IF(INDEX('Per Invoice'!$A$2:$A$801,MATCH($B1780,'Per Invoice'!$B$2:$B$801,0))=0,"",INDEX('Per Invoice'!$A$2:$A$801,MATCH($B1780,'Per Invoice'!$B$2:$B$801,0))),""))</f>
        <v/>
      </c>
      <c r="J1780" s="7">
        <f>IF($B1780="","",I1780*Q1780/100)</f>
        <v/>
      </c>
      <c r="N1780" s="7" t="n"/>
      <c r="O1780" s="7" t="n"/>
      <c r="P1780" s="7">
        <f>IF($B1780="","",O1780*X1780/100)</f>
        <v/>
      </c>
      <c r="Q1780" s="7">
        <f>IF($B1780="","",O1780-P1780)</f>
        <v/>
      </c>
      <c r="R1780" s="7">
        <f>IF($B1780="","",Q1780-J1780)</f>
        <v/>
      </c>
      <c r="S1780" s="7" t="n"/>
      <c r="T1780" s="7" t="n"/>
      <c r="V1780" s="14" t="n"/>
      <c r="Z1780">
        <f>IF($B1780="","",IF(COUNTIF($B$2:$B1780,$B1780)=1,1,0))</f>
        <v/>
      </c>
      <c r="AA1780">
        <f>IF($Z1780=1,SUMPRODUCT(--($AC$2:$AC$3001&lt;$AC1780))+1,"")</f>
        <v/>
      </c>
      <c r="AB1780">
        <f>IF($B1780="","",IF(OR($Y1780=TRUE(),$Y1780="TRUE"),1,IF(AND($Y1780&lt;&gt;"",OR($Y1780=FALSE(),$Y1780="FALSE")),0,IF(MIN(ABS($X1780/100-Settings!$C$6),ABS($X1780/100-Settings!$G$6))&lt;=MIN(ABS($X1780/100-Settings!$C$7),ABS($X1780/100-Settings!$G$7)),1,0))))</f>
        <v/>
      </c>
      <c r="AC1780">
        <f>IF($Z1780=1,IFERROR(IF(VALUE($B1780)&lt;100000000,VALUE($B1780),1000000000),IFERROR(IF(VALUE(MID($B1780,2,20))&lt;100000000,VALUE(MID($B1780,2,20)),1000000000),1000000000))+ROW()/100000,"")</f>
        <v/>
      </c>
    </row>
    <row r="1781">
      <c r="A1781">
        <f>IF($B1781="","",IFERROR(IF(INDEX('Per Invoice'!$A$2:$A$801,MATCH($B1781,'Per Invoice'!$B$2:$B$801,0))=0,"",INDEX('Per Invoice'!$A$2:$A$801,MATCH($B1781,'Per Invoice'!$B$2:$B$801,0))),""))</f>
        <v/>
      </c>
      <c r="J1781" s="7">
        <f>IF($B1781="","",I1781*Q1781/100)</f>
        <v/>
      </c>
      <c r="N1781" s="7" t="n"/>
      <c r="O1781" s="7" t="n"/>
      <c r="P1781" s="7">
        <f>IF($B1781="","",O1781*X1781/100)</f>
        <v/>
      </c>
      <c r="Q1781" s="7">
        <f>IF($B1781="","",O1781-P1781)</f>
        <v/>
      </c>
      <c r="R1781" s="7">
        <f>IF($B1781="","",Q1781-J1781)</f>
        <v/>
      </c>
      <c r="S1781" s="7" t="n"/>
      <c r="T1781" s="7" t="n"/>
      <c r="V1781" s="14" t="n"/>
      <c r="Z1781">
        <f>IF($B1781="","",IF(COUNTIF($B$2:$B1781,$B1781)=1,1,0))</f>
        <v/>
      </c>
      <c r="AA1781">
        <f>IF($Z1781=1,SUMPRODUCT(--($AC$2:$AC$3001&lt;$AC1781))+1,"")</f>
        <v/>
      </c>
      <c r="AB1781">
        <f>IF($B1781="","",IF(OR($Y1781=TRUE(),$Y1781="TRUE"),1,IF(AND($Y1781&lt;&gt;"",OR($Y1781=FALSE(),$Y1781="FALSE")),0,IF(MIN(ABS($X1781/100-Settings!$C$6),ABS($X1781/100-Settings!$G$6))&lt;=MIN(ABS($X1781/100-Settings!$C$7),ABS($X1781/100-Settings!$G$7)),1,0))))</f>
        <v/>
      </c>
      <c r="AC1781">
        <f>IF($Z1781=1,IFERROR(IF(VALUE($B1781)&lt;100000000,VALUE($B1781),1000000000),IFERROR(IF(VALUE(MID($B1781,2,20))&lt;100000000,VALUE(MID($B1781,2,20)),1000000000),1000000000))+ROW()/100000,"")</f>
        <v/>
      </c>
    </row>
    <row r="1782">
      <c r="A1782">
        <f>IF($B1782="","",IFERROR(IF(INDEX('Per Invoice'!$A$2:$A$801,MATCH($B1782,'Per Invoice'!$B$2:$B$801,0))=0,"",INDEX('Per Invoice'!$A$2:$A$801,MATCH($B1782,'Per Invoice'!$B$2:$B$801,0))),""))</f>
        <v/>
      </c>
      <c r="J1782" s="7">
        <f>IF($B1782="","",I1782*Q1782/100)</f>
        <v/>
      </c>
      <c r="N1782" s="7" t="n"/>
      <c r="O1782" s="7" t="n"/>
      <c r="P1782" s="7">
        <f>IF($B1782="","",O1782*X1782/100)</f>
        <v/>
      </c>
      <c r="Q1782" s="7">
        <f>IF($B1782="","",O1782-P1782)</f>
        <v/>
      </c>
      <c r="R1782" s="7">
        <f>IF($B1782="","",Q1782-J1782)</f>
        <v/>
      </c>
      <c r="S1782" s="7" t="n"/>
      <c r="T1782" s="7" t="n"/>
      <c r="V1782" s="14" t="n"/>
      <c r="Z1782">
        <f>IF($B1782="","",IF(COUNTIF($B$2:$B1782,$B1782)=1,1,0))</f>
        <v/>
      </c>
      <c r="AA1782">
        <f>IF($Z1782=1,SUMPRODUCT(--($AC$2:$AC$3001&lt;$AC1782))+1,"")</f>
        <v/>
      </c>
      <c r="AB1782">
        <f>IF($B1782="","",IF(OR($Y1782=TRUE(),$Y1782="TRUE"),1,IF(AND($Y1782&lt;&gt;"",OR($Y1782=FALSE(),$Y1782="FALSE")),0,IF(MIN(ABS($X1782/100-Settings!$C$6),ABS($X1782/100-Settings!$G$6))&lt;=MIN(ABS($X1782/100-Settings!$C$7),ABS($X1782/100-Settings!$G$7)),1,0))))</f>
        <v/>
      </c>
      <c r="AC1782">
        <f>IF($Z1782=1,IFERROR(IF(VALUE($B1782)&lt;100000000,VALUE($B1782),1000000000),IFERROR(IF(VALUE(MID($B1782,2,20))&lt;100000000,VALUE(MID($B1782,2,20)),1000000000),1000000000))+ROW()/100000,"")</f>
        <v/>
      </c>
    </row>
    <row r="1783">
      <c r="A1783">
        <f>IF($B1783="","",IFERROR(IF(INDEX('Per Invoice'!$A$2:$A$801,MATCH($B1783,'Per Invoice'!$B$2:$B$801,0))=0,"",INDEX('Per Invoice'!$A$2:$A$801,MATCH($B1783,'Per Invoice'!$B$2:$B$801,0))),""))</f>
        <v/>
      </c>
      <c r="J1783" s="7">
        <f>IF($B1783="","",I1783*Q1783/100)</f>
        <v/>
      </c>
      <c r="N1783" s="7" t="n"/>
      <c r="O1783" s="7" t="n"/>
      <c r="P1783" s="7">
        <f>IF($B1783="","",O1783*X1783/100)</f>
        <v/>
      </c>
      <c r="Q1783" s="7">
        <f>IF($B1783="","",O1783-P1783)</f>
        <v/>
      </c>
      <c r="R1783" s="7">
        <f>IF($B1783="","",Q1783-J1783)</f>
        <v/>
      </c>
      <c r="S1783" s="7" t="n"/>
      <c r="T1783" s="7" t="n"/>
      <c r="V1783" s="14" t="n"/>
      <c r="Z1783">
        <f>IF($B1783="","",IF(COUNTIF($B$2:$B1783,$B1783)=1,1,0))</f>
        <v/>
      </c>
      <c r="AA1783">
        <f>IF($Z1783=1,SUMPRODUCT(--($AC$2:$AC$3001&lt;$AC1783))+1,"")</f>
        <v/>
      </c>
      <c r="AB1783">
        <f>IF($B1783="","",IF(OR($Y1783=TRUE(),$Y1783="TRUE"),1,IF(AND($Y1783&lt;&gt;"",OR($Y1783=FALSE(),$Y1783="FALSE")),0,IF(MIN(ABS($X1783/100-Settings!$C$6),ABS($X1783/100-Settings!$G$6))&lt;=MIN(ABS($X1783/100-Settings!$C$7),ABS($X1783/100-Settings!$G$7)),1,0))))</f>
        <v/>
      </c>
      <c r="AC1783">
        <f>IF($Z1783=1,IFERROR(IF(VALUE($B1783)&lt;100000000,VALUE($B1783),1000000000),IFERROR(IF(VALUE(MID($B1783,2,20))&lt;100000000,VALUE(MID($B1783,2,20)),1000000000),1000000000))+ROW()/100000,"")</f>
        <v/>
      </c>
    </row>
    <row r="1784">
      <c r="A1784">
        <f>IF($B1784="","",IFERROR(IF(INDEX('Per Invoice'!$A$2:$A$801,MATCH($B1784,'Per Invoice'!$B$2:$B$801,0))=0,"",INDEX('Per Invoice'!$A$2:$A$801,MATCH($B1784,'Per Invoice'!$B$2:$B$801,0))),""))</f>
        <v/>
      </c>
      <c r="J1784" s="7">
        <f>IF($B1784="","",I1784*Q1784/100)</f>
        <v/>
      </c>
      <c r="N1784" s="7" t="n"/>
      <c r="O1784" s="7" t="n"/>
      <c r="P1784" s="7">
        <f>IF($B1784="","",O1784*X1784/100)</f>
        <v/>
      </c>
      <c r="Q1784" s="7">
        <f>IF($B1784="","",O1784-P1784)</f>
        <v/>
      </c>
      <c r="R1784" s="7">
        <f>IF($B1784="","",Q1784-J1784)</f>
        <v/>
      </c>
      <c r="S1784" s="7" t="n"/>
      <c r="T1784" s="7" t="n"/>
      <c r="V1784" s="14" t="n"/>
      <c r="Z1784">
        <f>IF($B1784="","",IF(COUNTIF($B$2:$B1784,$B1784)=1,1,0))</f>
        <v/>
      </c>
      <c r="AA1784">
        <f>IF($Z1784=1,SUMPRODUCT(--($AC$2:$AC$3001&lt;$AC1784))+1,"")</f>
        <v/>
      </c>
      <c r="AB1784">
        <f>IF($B1784="","",IF(OR($Y1784=TRUE(),$Y1784="TRUE"),1,IF(AND($Y1784&lt;&gt;"",OR($Y1784=FALSE(),$Y1784="FALSE")),0,IF(MIN(ABS($X1784/100-Settings!$C$6),ABS($X1784/100-Settings!$G$6))&lt;=MIN(ABS($X1784/100-Settings!$C$7),ABS($X1784/100-Settings!$G$7)),1,0))))</f>
        <v/>
      </c>
      <c r="AC1784">
        <f>IF($Z1784=1,IFERROR(IF(VALUE($B1784)&lt;100000000,VALUE($B1784),1000000000),IFERROR(IF(VALUE(MID($B1784,2,20))&lt;100000000,VALUE(MID($B1784,2,20)),1000000000),1000000000))+ROW()/100000,"")</f>
        <v/>
      </c>
    </row>
    <row r="1785">
      <c r="A1785">
        <f>IF($B1785="","",IFERROR(IF(INDEX('Per Invoice'!$A$2:$A$801,MATCH($B1785,'Per Invoice'!$B$2:$B$801,0))=0,"",INDEX('Per Invoice'!$A$2:$A$801,MATCH($B1785,'Per Invoice'!$B$2:$B$801,0))),""))</f>
        <v/>
      </c>
      <c r="J1785" s="7">
        <f>IF($B1785="","",I1785*Q1785/100)</f>
        <v/>
      </c>
      <c r="N1785" s="7" t="n"/>
      <c r="O1785" s="7" t="n"/>
      <c r="P1785" s="7">
        <f>IF($B1785="","",O1785*X1785/100)</f>
        <v/>
      </c>
      <c r="Q1785" s="7">
        <f>IF($B1785="","",O1785-P1785)</f>
        <v/>
      </c>
      <c r="R1785" s="7">
        <f>IF($B1785="","",Q1785-J1785)</f>
        <v/>
      </c>
      <c r="S1785" s="7" t="n"/>
      <c r="T1785" s="7" t="n"/>
      <c r="V1785" s="14" t="n"/>
      <c r="Z1785">
        <f>IF($B1785="","",IF(COUNTIF($B$2:$B1785,$B1785)=1,1,0))</f>
        <v/>
      </c>
      <c r="AA1785">
        <f>IF($Z1785=1,SUMPRODUCT(--($AC$2:$AC$3001&lt;$AC1785))+1,"")</f>
        <v/>
      </c>
      <c r="AB1785">
        <f>IF($B1785="","",IF(OR($Y1785=TRUE(),$Y1785="TRUE"),1,IF(AND($Y1785&lt;&gt;"",OR($Y1785=FALSE(),$Y1785="FALSE")),0,IF(MIN(ABS($X1785/100-Settings!$C$6),ABS($X1785/100-Settings!$G$6))&lt;=MIN(ABS($X1785/100-Settings!$C$7),ABS($X1785/100-Settings!$G$7)),1,0))))</f>
        <v/>
      </c>
      <c r="AC1785">
        <f>IF($Z1785=1,IFERROR(IF(VALUE($B1785)&lt;100000000,VALUE($B1785),1000000000),IFERROR(IF(VALUE(MID($B1785,2,20))&lt;100000000,VALUE(MID($B1785,2,20)),1000000000),1000000000))+ROW()/100000,"")</f>
        <v/>
      </c>
    </row>
    <row r="1786">
      <c r="A1786">
        <f>IF($B1786="","",IFERROR(IF(INDEX('Per Invoice'!$A$2:$A$801,MATCH($B1786,'Per Invoice'!$B$2:$B$801,0))=0,"",INDEX('Per Invoice'!$A$2:$A$801,MATCH($B1786,'Per Invoice'!$B$2:$B$801,0))),""))</f>
        <v/>
      </c>
      <c r="J1786" s="7">
        <f>IF($B1786="","",I1786*Q1786/100)</f>
        <v/>
      </c>
      <c r="N1786" s="7" t="n"/>
      <c r="O1786" s="7" t="n"/>
      <c r="P1786" s="7">
        <f>IF($B1786="","",O1786*X1786/100)</f>
        <v/>
      </c>
      <c r="Q1786" s="7">
        <f>IF($B1786="","",O1786-P1786)</f>
        <v/>
      </c>
      <c r="R1786" s="7">
        <f>IF($B1786="","",Q1786-J1786)</f>
        <v/>
      </c>
      <c r="S1786" s="7" t="n"/>
      <c r="T1786" s="7" t="n"/>
      <c r="V1786" s="14" t="n"/>
      <c r="Z1786">
        <f>IF($B1786="","",IF(COUNTIF($B$2:$B1786,$B1786)=1,1,0))</f>
        <v/>
      </c>
      <c r="AA1786">
        <f>IF($Z1786=1,SUMPRODUCT(--($AC$2:$AC$3001&lt;$AC1786))+1,"")</f>
        <v/>
      </c>
      <c r="AB1786">
        <f>IF($B1786="","",IF(OR($Y1786=TRUE(),$Y1786="TRUE"),1,IF(AND($Y1786&lt;&gt;"",OR($Y1786=FALSE(),$Y1786="FALSE")),0,IF(MIN(ABS($X1786/100-Settings!$C$6),ABS($X1786/100-Settings!$G$6))&lt;=MIN(ABS($X1786/100-Settings!$C$7),ABS($X1786/100-Settings!$G$7)),1,0))))</f>
        <v/>
      </c>
      <c r="AC1786">
        <f>IF($Z1786=1,IFERROR(IF(VALUE($B1786)&lt;100000000,VALUE($B1786),1000000000),IFERROR(IF(VALUE(MID($B1786,2,20))&lt;100000000,VALUE(MID($B1786,2,20)),1000000000),1000000000))+ROW()/100000,"")</f>
        <v/>
      </c>
    </row>
    <row r="1787">
      <c r="A1787">
        <f>IF($B1787="","",IFERROR(IF(INDEX('Per Invoice'!$A$2:$A$801,MATCH($B1787,'Per Invoice'!$B$2:$B$801,0))=0,"",INDEX('Per Invoice'!$A$2:$A$801,MATCH($B1787,'Per Invoice'!$B$2:$B$801,0))),""))</f>
        <v/>
      </c>
      <c r="J1787" s="7">
        <f>IF($B1787="","",I1787*Q1787/100)</f>
        <v/>
      </c>
      <c r="N1787" s="7" t="n"/>
      <c r="O1787" s="7" t="n"/>
      <c r="P1787" s="7">
        <f>IF($B1787="","",O1787*X1787/100)</f>
        <v/>
      </c>
      <c r="Q1787" s="7">
        <f>IF($B1787="","",O1787-P1787)</f>
        <v/>
      </c>
      <c r="R1787" s="7">
        <f>IF($B1787="","",Q1787-J1787)</f>
        <v/>
      </c>
      <c r="S1787" s="7" t="n"/>
      <c r="T1787" s="7" t="n"/>
      <c r="V1787" s="14" t="n"/>
      <c r="Z1787">
        <f>IF($B1787="","",IF(COUNTIF($B$2:$B1787,$B1787)=1,1,0))</f>
        <v/>
      </c>
      <c r="AA1787">
        <f>IF($Z1787=1,SUMPRODUCT(--($AC$2:$AC$3001&lt;$AC1787))+1,"")</f>
        <v/>
      </c>
      <c r="AB1787">
        <f>IF($B1787="","",IF(OR($Y1787=TRUE(),$Y1787="TRUE"),1,IF(AND($Y1787&lt;&gt;"",OR($Y1787=FALSE(),$Y1787="FALSE")),0,IF(MIN(ABS($X1787/100-Settings!$C$6),ABS($X1787/100-Settings!$G$6))&lt;=MIN(ABS($X1787/100-Settings!$C$7),ABS($X1787/100-Settings!$G$7)),1,0))))</f>
        <v/>
      </c>
      <c r="AC1787">
        <f>IF($Z1787=1,IFERROR(IF(VALUE($B1787)&lt;100000000,VALUE($B1787),1000000000),IFERROR(IF(VALUE(MID($B1787,2,20))&lt;100000000,VALUE(MID($B1787,2,20)),1000000000),1000000000))+ROW()/100000,"")</f>
        <v/>
      </c>
    </row>
    <row r="1788">
      <c r="A1788">
        <f>IF($B1788="","",IFERROR(IF(INDEX('Per Invoice'!$A$2:$A$801,MATCH($B1788,'Per Invoice'!$B$2:$B$801,0))=0,"",INDEX('Per Invoice'!$A$2:$A$801,MATCH($B1788,'Per Invoice'!$B$2:$B$801,0))),""))</f>
        <v/>
      </c>
      <c r="J1788" s="7">
        <f>IF($B1788="","",I1788*Q1788/100)</f>
        <v/>
      </c>
      <c r="N1788" s="7" t="n"/>
      <c r="O1788" s="7" t="n"/>
      <c r="P1788" s="7">
        <f>IF($B1788="","",O1788*X1788/100)</f>
        <v/>
      </c>
      <c r="Q1788" s="7">
        <f>IF($B1788="","",O1788-P1788)</f>
        <v/>
      </c>
      <c r="R1788" s="7">
        <f>IF($B1788="","",Q1788-J1788)</f>
        <v/>
      </c>
      <c r="S1788" s="7" t="n"/>
      <c r="T1788" s="7" t="n"/>
      <c r="V1788" s="14" t="n"/>
      <c r="Z1788">
        <f>IF($B1788="","",IF(COUNTIF($B$2:$B1788,$B1788)=1,1,0))</f>
        <v/>
      </c>
      <c r="AA1788">
        <f>IF($Z1788=1,SUMPRODUCT(--($AC$2:$AC$3001&lt;$AC1788))+1,"")</f>
        <v/>
      </c>
      <c r="AB1788">
        <f>IF($B1788="","",IF(OR($Y1788=TRUE(),$Y1788="TRUE"),1,IF(AND($Y1788&lt;&gt;"",OR($Y1788=FALSE(),$Y1788="FALSE")),0,IF(MIN(ABS($X1788/100-Settings!$C$6),ABS($X1788/100-Settings!$G$6))&lt;=MIN(ABS($X1788/100-Settings!$C$7),ABS($X1788/100-Settings!$G$7)),1,0))))</f>
        <v/>
      </c>
      <c r="AC1788">
        <f>IF($Z1788=1,IFERROR(IF(VALUE($B1788)&lt;100000000,VALUE($B1788),1000000000),IFERROR(IF(VALUE(MID($B1788,2,20))&lt;100000000,VALUE(MID($B1788,2,20)),1000000000),1000000000))+ROW()/100000,"")</f>
        <v/>
      </c>
    </row>
    <row r="1789">
      <c r="A1789">
        <f>IF($B1789="","",IFERROR(IF(INDEX('Per Invoice'!$A$2:$A$801,MATCH($B1789,'Per Invoice'!$B$2:$B$801,0))=0,"",INDEX('Per Invoice'!$A$2:$A$801,MATCH($B1789,'Per Invoice'!$B$2:$B$801,0))),""))</f>
        <v/>
      </c>
      <c r="J1789" s="7">
        <f>IF($B1789="","",I1789*Q1789/100)</f>
        <v/>
      </c>
      <c r="N1789" s="7" t="n"/>
      <c r="O1789" s="7" t="n"/>
      <c r="P1789" s="7">
        <f>IF($B1789="","",O1789*X1789/100)</f>
        <v/>
      </c>
      <c r="Q1789" s="7">
        <f>IF($B1789="","",O1789-P1789)</f>
        <v/>
      </c>
      <c r="R1789" s="7">
        <f>IF($B1789="","",Q1789-J1789)</f>
        <v/>
      </c>
      <c r="S1789" s="7" t="n"/>
      <c r="T1789" s="7" t="n"/>
      <c r="V1789" s="14" t="n"/>
      <c r="Z1789">
        <f>IF($B1789="","",IF(COUNTIF($B$2:$B1789,$B1789)=1,1,0))</f>
        <v/>
      </c>
      <c r="AA1789">
        <f>IF($Z1789=1,SUMPRODUCT(--($AC$2:$AC$3001&lt;$AC1789))+1,"")</f>
        <v/>
      </c>
      <c r="AB1789">
        <f>IF($B1789="","",IF(OR($Y1789=TRUE(),$Y1789="TRUE"),1,IF(AND($Y1789&lt;&gt;"",OR($Y1789=FALSE(),$Y1789="FALSE")),0,IF(MIN(ABS($X1789/100-Settings!$C$6),ABS($X1789/100-Settings!$G$6))&lt;=MIN(ABS($X1789/100-Settings!$C$7),ABS($X1789/100-Settings!$G$7)),1,0))))</f>
        <v/>
      </c>
      <c r="AC1789">
        <f>IF($Z1789=1,IFERROR(IF(VALUE($B1789)&lt;100000000,VALUE($B1789),1000000000),IFERROR(IF(VALUE(MID($B1789,2,20))&lt;100000000,VALUE(MID($B1789,2,20)),1000000000),1000000000))+ROW()/100000,"")</f>
        <v/>
      </c>
    </row>
    <row r="1790">
      <c r="A1790">
        <f>IF($B1790="","",IFERROR(IF(INDEX('Per Invoice'!$A$2:$A$801,MATCH($B1790,'Per Invoice'!$B$2:$B$801,0))=0,"",INDEX('Per Invoice'!$A$2:$A$801,MATCH($B1790,'Per Invoice'!$B$2:$B$801,0))),""))</f>
        <v/>
      </c>
      <c r="J1790" s="7">
        <f>IF($B1790="","",I1790*Q1790/100)</f>
        <v/>
      </c>
      <c r="N1790" s="7" t="n"/>
      <c r="O1790" s="7" t="n"/>
      <c r="P1790" s="7">
        <f>IF($B1790="","",O1790*X1790/100)</f>
        <v/>
      </c>
      <c r="Q1790" s="7">
        <f>IF($B1790="","",O1790-P1790)</f>
        <v/>
      </c>
      <c r="R1790" s="7">
        <f>IF($B1790="","",Q1790-J1790)</f>
        <v/>
      </c>
      <c r="S1790" s="7" t="n"/>
      <c r="T1790" s="7" t="n"/>
      <c r="V1790" s="14" t="n"/>
      <c r="Z1790">
        <f>IF($B1790="","",IF(COUNTIF($B$2:$B1790,$B1790)=1,1,0))</f>
        <v/>
      </c>
      <c r="AA1790">
        <f>IF($Z1790=1,SUMPRODUCT(--($AC$2:$AC$3001&lt;$AC1790))+1,"")</f>
        <v/>
      </c>
      <c r="AB1790">
        <f>IF($B1790="","",IF(OR($Y1790=TRUE(),$Y1790="TRUE"),1,IF(AND($Y1790&lt;&gt;"",OR($Y1790=FALSE(),$Y1790="FALSE")),0,IF(MIN(ABS($X1790/100-Settings!$C$6),ABS($X1790/100-Settings!$G$6))&lt;=MIN(ABS($X1790/100-Settings!$C$7),ABS($X1790/100-Settings!$G$7)),1,0))))</f>
        <v/>
      </c>
      <c r="AC1790">
        <f>IF($Z1790=1,IFERROR(IF(VALUE($B1790)&lt;100000000,VALUE($B1790),1000000000),IFERROR(IF(VALUE(MID($B1790,2,20))&lt;100000000,VALUE(MID($B1790,2,20)),1000000000),1000000000))+ROW()/100000,"")</f>
        <v/>
      </c>
    </row>
    <row r="1791">
      <c r="A1791">
        <f>IF($B1791="","",IFERROR(IF(INDEX('Per Invoice'!$A$2:$A$801,MATCH($B1791,'Per Invoice'!$B$2:$B$801,0))=0,"",INDEX('Per Invoice'!$A$2:$A$801,MATCH($B1791,'Per Invoice'!$B$2:$B$801,0))),""))</f>
        <v/>
      </c>
      <c r="J1791" s="7">
        <f>IF($B1791="","",I1791*Q1791/100)</f>
        <v/>
      </c>
      <c r="N1791" s="7" t="n"/>
      <c r="O1791" s="7" t="n"/>
      <c r="P1791" s="7">
        <f>IF($B1791="","",O1791*X1791/100)</f>
        <v/>
      </c>
      <c r="Q1791" s="7">
        <f>IF($B1791="","",O1791-P1791)</f>
        <v/>
      </c>
      <c r="R1791" s="7">
        <f>IF($B1791="","",Q1791-J1791)</f>
        <v/>
      </c>
      <c r="S1791" s="7" t="n"/>
      <c r="T1791" s="7" t="n"/>
      <c r="V1791" s="14" t="n"/>
      <c r="Z1791">
        <f>IF($B1791="","",IF(COUNTIF($B$2:$B1791,$B1791)=1,1,0))</f>
        <v/>
      </c>
      <c r="AA1791">
        <f>IF($Z1791=1,SUMPRODUCT(--($AC$2:$AC$3001&lt;$AC1791))+1,"")</f>
        <v/>
      </c>
      <c r="AB1791">
        <f>IF($B1791="","",IF(OR($Y1791=TRUE(),$Y1791="TRUE"),1,IF(AND($Y1791&lt;&gt;"",OR($Y1791=FALSE(),$Y1791="FALSE")),0,IF(MIN(ABS($X1791/100-Settings!$C$6),ABS($X1791/100-Settings!$G$6))&lt;=MIN(ABS($X1791/100-Settings!$C$7),ABS($X1791/100-Settings!$G$7)),1,0))))</f>
        <v/>
      </c>
      <c r="AC1791">
        <f>IF($Z1791=1,IFERROR(IF(VALUE($B1791)&lt;100000000,VALUE($B1791),1000000000),IFERROR(IF(VALUE(MID($B1791,2,20))&lt;100000000,VALUE(MID($B1791,2,20)),1000000000),1000000000))+ROW()/100000,"")</f>
        <v/>
      </c>
    </row>
    <row r="1792">
      <c r="A1792">
        <f>IF($B1792="","",IFERROR(IF(INDEX('Per Invoice'!$A$2:$A$801,MATCH($B1792,'Per Invoice'!$B$2:$B$801,0))=0,"",INDEX('Per Invoice'!$A$2:$A$801,MATCH($B1792,'Per Invoice'!$B$2:$B$801,0))),""))</f>
        <v/>
      </c>
      <c r="J1792" s="7">
        <f>IF($B1792="","",I1792*Q1792/100)</f>
        <v/>
      </c>
      <c r="N1792" s="7" t="n"/>
      <c r="O1792" s="7" t="n"/>
      <c r="P1792" s="7">
        <f>IF($B1792="","",O1792*X1792/100)</f>
        <v/>
      </c>
      <c r="Q1792" s="7">
        <f>IF($B1792="","",O1792-P1792)</f>
        <v/>
      </c>
      <c r="R1792" s="7">
        <f>IF($B1792="","",Q1792-J1792)</f>
        <v/>
      </c>
      <c r="S1792" s="7" t="n"/>
      <c r="T1792" s="7" t="n"/>
      <c r="V1792" s="14" t="n"/>
      <c r="Z1792">
        <f>IF($B1792="","",IF(COUNTIF($B$2:$B1792,$B1792)=1,1,0))</f>
        <v/>
      </c>
      <c r="AA1792">
        <f>IF($Z1792=1,SUMPRODUCT(--($AC$2:$AC$3001&lt;$AC1792))+1,"")</f>
        <v/>
      </c>
      <c r="AB1792">
        <f>IF($B1792="","",IF(OR($Y1792=TRUE(),$Y1792="TRUE"),1,IF(AND($Y1792&lt;&gt;"",OR($Y1792=FALSE(),$Y1792="FALSE")),0,IF(MIN(ABS($X1792/100-Settings!$C$6),ABS($X1792/100-Settings!$G$6))&lt;=MIN(ABS($X1792/100-Settings!$C$7),ABS($X1792/100-Settings!$G$7)),1,0))))</f>
        <v/>
      </c>
      <c r="AC1792">
        <f>IF($Z1792=1,IFERROR(IF(VALUE($B1792)&lt;100000000,VALUE($B1792),1000000000),IFERROR(IF(VALUE(MID($B1792,2,20))&lt;100000000,VALUE(MID($B1792,2,20)),1000000000),1000000000))+ROW()/100000,"")</f>
        <v/>
      </c>
    </row>
    <row r="1793">
      <c r="A1793">
        <f>IF($B1793="","",IFERROR(IF(INDEX('Per Invoice'!$A$2:$A$801,MATCH($B1793,'Per Invoice'!$B$2:$B$801,0))=0,"",INDEX('Per Invoice'!$A$2:$A$801,MATCH($B1793,'Per Invoice'!$B$2:$B$801,0))),""))</f>
        <v/>
      </c>
      <c r="J1793" s="7">
        <f>IF($B1793="","",I1793*Q1793/100)</f>
        <v/>
      </c>
      <c r="N1793" s="7" t="n"/>
      <c r="O1793" s="7" t="n"/>
      <c r="P1793" s="7">
        <f>IF($B1793="","",O1793*X1793/100)</f>
        <v/>
      </c>
      <c r="Q1793" s="7">
        <f>IF($B1793="","",O1793-P1793)</f>
        <v/>
      </c>
      <c r="R1793" s="7">
        <f>IF($B1793="","",Q1793-J1793)</f>
        <v/>
      </c>
      <c r="S1793" s="7" t="n"/>
      <c r="T1793" s="7" t="n"/>
      <c r="V1793" s="14" t="n"/>
      <c r="Z1793">
        <f>IF($B1793="","",IF(COUNTIF($B$2:$B1793,$B1793)=1,1,0))</f>
        <v/>
      </c>
      <c r="AA1793">
        <f>IF($Z1793=1,SUMPRODUCT(--($AC$2:$AC$3001&lt;$AC1793))+1,"")</f>
        <v/>
      </c>
      <c r="AB1793">
        <f>IF($B1793="","",IF(OR($Y1793=TRUE(),$Y1793="TRUE"),1,IF(AND($Y1793&lt;&gt;"",OR($Y1793=FALSE(),$Y1793="FALSE")),0,IF(MIN(ABS($X1793/100-Settings!$C$6),ABS($X1793/100-Settings!$G$6))&lt;=MIN(ABS($X1793/100-Settings!$C$7),ABS($X1793/100-Settings!$G$7)),1,0))))</f>
        <v/>
      </c>
      <c r="AC1793">
        <f>IF($Z1793=1,IFERROR(IF(VALUE($B1793)&lt;100000000,VALUE($B1793),1000000000),IFERROR(IF(VALUE(MID($B1793,2,20))&lt;100000000,VALUE(MID($B1793,2,20)),1000000000),1000000000))+ROW()/100000,"")</f>
        <v/>
      </c>
    </row>
    <row r="1794">
      <c r="A1794">
        <f>IF($B1794="","",IFERROR(IF(INDEX('Per Invoice'!$A$2:$A$801,MATCH($B1794,'Per Invoice'!$B$2:$B$801,0))=0,"",INDEX('Per Invoice'!$A$2:$A$801,MATCH($B1794,'Per Invoice'!$B$2:$B$801,0))),""))</f>
        <v/>
      </c>
      <c r="J1794" s="7">
        <f>IF($B1794="","",I1794*Q1794/100)</f>
        <v/>
      </c>
      <c r="N1794" s="7" t="n"/>
      <c r="O1794" s="7" t="n"/>
      <c r="P1794" s="7">
        <f>IF($B1794="","",O1794*X1794/100)</f>
        <v/>
      </c>
      <c r="Q1794" s="7">
        <f>IF($B1794="","",O1794-P1794)</f>
        <v/>
      </c>
      <c r="R1794" s="7">
        <f>IF($B1794="","",Q1794-J1794)</f>
        <v/>
      </c>
      <c r="S1794" s="7" t="n"/>
      <c r="T1794" s="7" t="n"/>
      <c r="V1794" s="14" t="n"/>
      <c r="Z1794">
        <f>IF($B1794="","",IF(COUNTIF($B$2:$B1794,$B1794)=1,1,0))</f>
        <v/>
      </c>
      <c r="AA1794">
        <f>IF($Z1794=1,SUMPRODUCT(--($AC$2:$AC$3001&lt;$AC1794))+1,"")</f>
        <v/>
      </c>
      <c r="AB1794">
        <f>IF($B1794="","",IF(OR($Y1794=TRUE(),$Y1794="TRUE"),1,IF(AND($Y1794&lt;&gt;"",OR($Y1794=FALSE(),$Y1794="FALSE")),0,IF(MIN(ABS($X1794/100-Settings!$C$6),ABS($X1794/100-Settings!$G$6))&lt;=MIN(ABS($X1794/100-Settings!$C$7),ABS($X1794/100-Settings!$G$7)),1,0))))</f>
        <v/>
      </c>
      <c r="AC1794">
        <f>IF($Z1794=1,IFERROR(IF(VALUE($B1794)&lt;100000000,VALUE($B1794),1000000000),IFERROR(IF(VALUE(MID($B1794,2,20))&lt;100000000,VALUE(MID($B1794,2,20)),1000000000),1000000000))+ROW()/100000,"")</f>
        <v/>
      </c>
    </row>
    <row r="1795">
      <c r="A1795">
        <f>IF($B1795="","",IFERROR(IF(INDEX('Per Invoice'!$A$2:$A$801,MATCH($B1795,'Per Invoice'!$B$2:$B$801,0))=0,"",INDEX('Per Invoice'!$A$2:$A$801,MATCH($B1795,'Per Invoice'!$B$2:$B$801,0))),""))</f>
        <v/>
      </c>
      <c r="J1795" s="7">
        <f>IF($B1795="","",I1795*Q1795/100)</f>
        <v/>
      </c>
      <c r="N1795" s="7" t="n"/>
      <c r="O1795" s="7" t="n"/>
      <c r="P1795" s="7">
        <f>IF($B1795="","",O1795*X1795/100)</f>
        <v/>
      </c>
      <c r="Q1795" s="7">
        <f>IF($B1795="","",O1795-P1795)</f>
        <v/>
      </c>
      <c r="R1795" s="7">
        <f>IF($B1795="","",Q1795-J1795)</f>
        <v/>
      </c>
      <c r="S1795" s="7" t="n"/>
      <c r="T1795" s="7" t="n"/>
      <c r="V1795" s="14" t="n"/>
      <c r="Z1795">
        <f>IF($B1795="","",IF(COUNTIF($B$2:$B1795,$B1795)=1,1,0))</f>
        <v/>
      </c>
      <c r="AA1795">
        <f>IF($Z1795=1,SUMPRODUCT(--($AC$2:$AC$3001&lt;$AC1795))+1,"")</f>
        <v/>
      </c>
      <c r="AB1795">
        <f>IF($B1795="","",IF(OR($Y1795=TRUE(),$Y1795="TRUE"),1,IF(AND($Y1795&lt;&gt;"",OR($Y1795=FALSE(),$Y1795="FALSE")),0,IF(MIN(ABS($X1795/100-Settings!$C$6),ABS($X1795/100-Settings!$G$6))&lt;=MIN(ABS($X1795/100-Settings!$C$7),ABS($X1795/100-Settings!$G$7)),1,0))))</f>
        <v/>
      </c>
      <c r="AC1795">
        <f>IF($Z1795=1,IFERROR(IF(VALUE($B1795)&lt;100000000,VALUE($B1795),1000000000),IFERROR(IF(VALUE(MID($B1795,2,20))&lt;100000000,VALUE(MID($B1795,2,20)),1000000000),1000000000))+ROW()/100000,"")</f>
        <v/>
      </c>
    </row>
    <row r="1796">
      <c r="A1796">
        <f>IF($B1796="","",IFERROR(IF(INDEX('Per Invoice'!$A$2:$A$801,MATCH($B1796,'Per Invoice'!$B$2:$B$801,0))=0,"",INDEX('Per Invoice'!$A$2:$A$801,MATCH($B1796,'Per Invoice'!$B$2:$B$801,0))),""))</f>
        <v/>
      </c>
      <c r="J1796" s="7">
        <f>IF($B1796="","",I1796*Q1796/100)</f>
        <v/>
      </c>
      <c r="N1796" s="7" t="n"/>
      <c r="O1796" s="7" t="n"/>
      <c r="P1796" s="7">
        <f>IF($B1796="","",O1796*X1796/100)</f>
        <v/>
      </c>
      <c r="Q1796" s="7">
        <f>IF($B1796="","",O1796-P1796)</f>
        <v/>
      </c>
      <c r="R1796" s="7">
        <f>IF($B1796="","",Q1796-J1796)</f>
        <v/>
      </c>
      <c r="S1796" s="7" t="n"/>
      <c r="T1796" s="7" t="n"/>
      <c r="V1796" s="14" t="n"/>
      <c r="Z1796">
        <f>IF($B1796="","",IF(COUNTIF($B$2:$B1796,$B1796)=1,1,0))</f>
        <v/>
      </c>
      <c r="AA1796">
        <f>IF($Z1796=1,SUMPRODUCT(--($AC$2:$AC$3001&lt;$AC1796))+1,"")</f>
        <v/>
      </c>
      <c r="AB1796">
        <f>IF($B1796="","",IF(OR($Y1796=TRUE(),$Y1796="TRUE"),1,IF(AND($Y1796&lt;&gt;"",OR($Y1796=FALSE(),$Y1796="FALSE")),0,IF(MIN(ABS($X1796/100-Settings!$C$6),ABS($X1796/100-Settings!$G$6))&lt;=MIN(ABS($X1796/100-Settings!$C$7),ABS($X1796/100-Settings!$G$7)),1,0))))</f>
        <v/>
      </c>
      <c r="AC1796">
        <f>IF($Z1796=1,IFERROR(IF(VALUE($B1796)&lt;100000000,VALUE($B1796),1000000000),IFERROR(IF(VALUE(MID($B1796,2,20))&lt;100000000,VALUE(MID($B1796,2,20)),1000000000),1000000000))+ROW()/100000,"")</f>
        <v/>
      </c>
    </row>
    <row r="1797">
      <c r="A1797">
        <f>IF($B1797="","",IFERROR(IF(INDEX('Per Invoice'!$A$2:$A$801,MATCH($B1797,'Per Invoice'!$B$2:$B$801,0))=0,"",INDEX('Per Invoice'!$A$2:$A$801,MATCH($B1797,'Per Invoice'!$B$2:$B$801,0))),""))</f>
        <v/>
      </c>
      <c r="J1797" s="7">
        <f>IF($B1797="","",I1797*Q1797/100)</f>
        <v/>
      </c>
      <c r="N1797" s="7" t="n"/>
      <c r="O1797" s="7" t="n"/>
      <c r="P1797" s="7">
        <f>IF($B1797="","",O1797*X1797/100)</f>
        <v/>
      </c>
      <c r="Q1797" s="7">
        <f>IF($B1797="","",O1797-P1797)</f>
        <v/>
      </c>
      <c r="R1797" s="7">
        <f>IF($B1797="","",Q1797-J1797)</f>
        <v/>
      </c>
      <c r="S1797" s="7" t="n"/>
      <c r="T1797" s="7" t="n"/>
      <c r="V1797" s="14" t="n"/>
      <c r="Z1797">
        <f>IF($B1797="","",IF(COUNTIF($B$2:$B1797,$B1797)=1,1,0))</f>
        <v/>
      </c>
      <c r="AA1797">
        <f>IF($Z1797=1,SUMPRODUCT(--($AC$2:$AC$3001&lt;$AC1797))+1,"")</f>
        <v/>
      </c>
      <c r="AB1797">
        <f>IF($B1797="","",IF(OR($Y1797=TRUE(),$Y1797="TRUE"),1,IF(AND($Y1797&lt;&gt;"",OR($Y1797=FALSE(),$Y1797="FALSE")),0,IF(MIN(ABS($X1797/100-Settings!$C$6),ABS($X1797/100-Settings!$G$6))&lt;=MIN(ABS($X1797/100-Settings!$C$7),ABS($X1797/100-Settings!$G$7)),1,0))))</f>
        <v/>
      </c>
      <c r="AC1797">
        <f>IF($Z1797=1,IFERROR(IF(VALUE($B1797)&lt;100000000,VALUE($B1797),1000000000),IFERROR(IF(VALUE(MID($B1797,2,20))&lt;100000000,VALUE(MID($B1797,2,20)),1000000000),1000000000))+ROW()/100000,"")</f>
        <v/>
      </c>
    </row>
    <row r="1798">
      <c r="A1798">
        <f>IF($B1798="","",IFERROR(IF(INDEX('Per Invoice'!$A$2:$A$801,MATCH($B1798,'Per Invoice'!$B$2:$B$801,0))=0,"",INDEX('Per Invoice'!$A$2:$A$801,MATCH($B1798,'Per Invoice'!$B$2:$B$801,0))),""))</f>
        <v/>
      </c>
      <c r="J1798" s="7">
        <f>IF($B1798="","",I1798*Q1798/100)</f>
        <v/>
      </c>
      <c r="N1798" s="7" t="n"/>
      <c r="O1798" s="7" t="n"/>
      <c r="P1798" s="7">
        <f>IF($B1798="","",O1798*X1798/100)</f>
        <v/>
      </c>
      <c r="Q1798" s="7">
        <f>IF($B1798="","",O1798-P1798)</f>
        <v/>
      </c>
      <c r="R1798" s="7">
        <f>IF($B1798="","",Q1798-J1798)</f>
        <v/>
      </c>
      <c r="S1798" s="7" t="n"/>
      <c r="T1798" s="7" t="n"/>
      <c r="V1798" s="14" t="n"/>
      <c r="Z1798">
        <f>IF($B1798="","",IF(COUNTIF($B$2:$B1798,$B1798)=1,1,0))</f>
        <v/>
      </c>
      <c r="AA1798">
        <f>IF($Z1798=1,SUMPRODUCT(--($AC$2:$AC$3001&lt;$AC1798))+1,"")</f>
        <v/>
      </c>
      <c r="AB1798">
        <f>IF($B1798="","",IF(OR($Y1798=TRUE(),$Y1798="TRUE"),1,IF(AND($Y1798&lt;&gt;"",OR($Y1798=FALSE(),$Y1798="FALSE")),0,IF(MIN(ABS($X1798/100-Settings!$C$6),ABS($X1798/100-Settings!$G$6))&lt;=MIN(ABS($X1798/100-Settings!$C$7),ABS($X1798/100-Settings!$G$7)),1,0))))</f>
        <v/>
      </c>
      <c r="AC1798">
        <f>IF($Z1798=1,IFERROR(IF(VALUE($B1798)&lt;100000000,VALUE($B1798),1000000000),IFERROR(IF(VALUE(MID($B1798,2,20))&lt;100000000,VALUE(MID($B1798,2,20)),1000000000),1000000000))+ROW()/100000,"")</f>
        <v/>
      </c>
    </row>
    <row r="1799">
      <c r="A1799">
        <f>IF($B1799="","",IFERROR(IF(INDEX('Per Invoice'!$A$2:$A$801,MATCH($B1799,'Per Invoice'!$B$2:$B$801,0))=0,"",INDEX('Per Invoice'!$A$2:$A$801,MATCH($B1799,'Per Invoice'!$B$2:$B$801,0))),""))</f>
        <v/>
      </c>
      <c r="J1799" s="7">
        <f>IF($B1799="","",I1799*Q1799/100)</f>
        <v/>
      </c>
      <c r="N1799" s="7" t="n"/>
      <c r="O1799" s="7" t="n"/>
      <c r="P1799" s="7">
        <f>IF($B1799="","",O1799*X1799/100)</f>
        <v/>
      </c>
      <c r="Q1799" s="7">
        <f>IF($B1799="","",O1799-P1799)</f>
        <v/>
      </c>
      <c r="R1799" s="7">
        <f>IF($B1799="","",Q1799-J1799)</f>
        <v/>
      </c>
      <c r="S1799" s="7" t="n"/>
      <c r="T1799" s="7" t="n"/>
      <c r="V1799" s="14" t="n"/>
      <c r="Z1799">
        <f>IF($B1799="","",IF(COUNTIF($B$2:$B1799,$B1799)=1,1,0))</f>
        <v/>
      </c>
      <c r="AA1799">
        <f>IF($Z1799=1,SUMPRODUCT(--($AC$2:$AC$3001&lt;$AC1799))+1,"")</f>
        <v/>
      </c>
      <c r="AB1799">
        <f>IF($B1799="","",IF(OR($Y1799=TRUE(),$Y1799="TRUE"),1,IF(AND($Y1799&lt;&gt;"",OR($Y1799=FALSE(),$Y1799="FALSE")),0,IF(MIN(ABS($X1799/100-Settings!$C$6),ABS($X1799/100-Settings!$G$6))&lt;=MIN(ABS($X1799/100-Settings!$C$7),ABS($X1799/100-Settings!$G$7)),1,0))))</f>
        <v/>
      </c>
      <c r="AC1799">
        <f>IF($Z1799=1,IFERROR(IF(VALUE($B1799)&lt;100000000,VALUE($B1799),1000000000),IFERROR(IF(VALUE(MID($B1799,2,20))&lt;100000000,VALUE(MID($B1799,2,20)),1000000000),1000000000))+ROW()/100000,"")</f>
        <v/>
      </c>
    </row>
    <row r="1800">
      <c r="A1800">
        <f>IF($B1800="","",IFERROR(IF(INDEX('Per Invoice'!$A$2:$A$801,MATCH($B1800,'Per Invoice'!$B$2:$B$801,0))=0,"",INDEX('Per Invoice'!$A$2:$A$801,MATCH($B1800,'Per Invoice'!$B$2:$B$801,0))),""))</f>
        <v/>
      </c>
      <c r="J1800" s="7">
        <f>IF($B1800="","",I1800*Q1800/100)</f>
        <v/>
      </c>
      <c r="N1800" s="7" t="n"/>
      <c r="O1800" s="7" t="n"/>
      <c r="P1800" s="7">
        <f>IF($B1800="","",O1800*X1800/100)</f>
        <v/>
      </c>
      <c r="Q1800" s="7">
        <f>IF($B1800="","",O1800-P1800)</f>
        <v/>
      </c>
      <c r="R1800" s="7">
        <f>IF($B1800="","",Q1800-J1800)</f>
        <v/>
      </c>
      <c r="S1800" s="7" t="n"/>
      <c r="T1800" s="7" t="n"/>
      <c r="V1800" s="14" t="n"/>
      <c r="Z1800">
        <f>IF($B1800="","",IF(COUNTIF($B$2:$B1800,$B1800)=1,1,0))</f>
        <v/>
      </c>
      <c r="AA1800">
        <f>IF($Z1800=1,SUMPRODUCT(--($AC$2:$AC$3001&lt;$AC1800))+1,"")</f>
        <v/>
      </c>
      <c r="AB1800">
        <f>IF($B1800="","",IF(OR($Y1800=TRUE(),$Y1800="TRUE"),1,IF(AND($Y1800&lt;&gt;"",OR($Y1800=FALSE(),$Y1800="FALSE")),0,IF(MIN(ABS($X1800/100-Settings!$C$6),ABS($X1800/100-Settings!$G$6))&lt;=MIN(ABS($X1800/100-Settings!$C$7),ABS($X1800/100-Settings!$G$7)),1,0))))</f>
        <v/>
      </c>
      <c r="AC1800">
        <f>IF($Z1800=1,IFERROR(IF(VALUE($B1800)&lt;100000000,VALUE($B1800),1000000000),IFERROR(IF(VALUE(MID($B1800,2,20))&lt;100000000,VALUE(MID($B1800,2,20)),1000000000),1000000000))+ROW()/100000,"")</f>
        <v/>
      </c>
    </row>
    <row r="1801">
      <c r="A1801">
        <f>IF($B1801="","",IFERROR(IF(INDEX('Per Invoice'!$A$2:$A$801,MATCH($B1801,'Per Invoice'!$B$2:$B$801,0))=0,"",INDEX('Per Invoice'!$A$2:$A$801,MATCH($B1801,'Per Invoice'!$B$2:$B$801,0))),""))</f>
        <v/>
      </c>
      <c r="J1801" s="7">
        <f>IF($B1801="","",I1801*Q1801/100)</f>
        <v/>
      </c>
      <c r="N1801" s="7" t="n"/>
      <c r="O1801" s="7" t="n"/>
      <c r="P1801" s="7">
        <f>IF($B1801="","",O1801*X1801/100)</f>
        <v/>
      </c>
      <c r="Q1801" s="7">
        <f>IF($B1801="","",O1801-P1801)</f>
        <v/>
      </c>
      <c r="R1801" s="7">
        <f>IF($B1801="","",Q1801-J1801)</f>
        <v/>
      </c>
      <c r="S1801" s="7" t="n"/>
      <c r="T1801" s="7" t="n"/>
      <c r="V1801" s="14" t="n"/>
      <c r="Z1801">
        <f>IF($B1801="","",IF(COUNTIF($B$2:$B1801,$B1801)=1,1,0))</f>
        <v/>
      </c>
      <c r="AA1801">
        <f>IF($Z1801=1,SUMPRODUCT(--($AC$2:$AC$3001&lt;$AC1801))+1,"")</f>
        <v/>
      </c>
      <c r="AB1801">
        <f>IF($B1801="","",IF(OR($Y1801=TRUE(),$Y1801="TRUE"),1,IF(AND($Y1801&lt;&gt;"",OR($Y1801=FALSE(),$Y1801="FALSE")),0,IF(MIN(ABS($X1801/100-Settings!$C$6),ABS($X1801/100-Settings!$G$6))&lt;=MIN(ABS($X1801/100-Settings!$C$7),ABS($X1801/100-Settings!$G$7)),1,0))))</f>
        <v/>
      </c>
      <c r="AC1801">
        <f>IF($Z1801=1,IFERROR(IF(VALUE($B1801)&lt;100000000,VALUE($B1801),1000000000),IFERROR(IF(VALUE(MID($B1801,2,20))&lt;100000000,VALUE(MID($B1801,2,20)),1000000000),1000000000))+ROW()/100000,"")</f>
        <v/>
      </c>
    </row>
    <row r="1802">
      <c r="A1802">
        <f>IF($B1802="","",IFERROR(IF(INDEX('Per Invoice'!$A$2:$A$801,MATCH($B1802,'Per Invoice'!$B$2:$B$801,0))=0,"",INDEX('Per Invoice'!$A$2:$A$801,MATCH($B1802,'Per Invoice'!$B$2:$B$801,0))),""))</f>
        <v/>
      </c>
      <c r="J1802" s="7">
        <f>IF($B1802="","",I1802*Q1802/100)</f>
        <v/>
      </c>
      <c r="N1802" s="7" t="n"/>
      <c r="O1802" s="7" t="n"/>
      <c r="P1802" s="7">
        <f>IF($B1802="","",O1802*X1802/100)</f>
        <v/>
      </c>
      <c r="Q1802" s="7">
        <f>IF($B1802="","",O1802-P1802)</f>
        <v/>
      </c>
      <c r="R1802" s="7">
        <f>IF($B1802="","",Q1802-J1802)</f>
        <v/>
      </c>
      <c r="S1802" s="7" t="n"/>
      <c r="T1802" s="7" t="n"/>
      <c r="V1802" s="14" t="n"/>
      <c r="Z1802">
        <f>IF($B1802="","",IF(COUNTIF($B$2:$B1802,$B1802)=1,1,0))</f>
        <v/>
      </c>
      <c r="AA1802">
        <f>IF($Z1802=1,SUMPRODUCT(--($AC$2:$AC$3001&lt;$AC1802))+1,"")</f>
        <v/>
      </c>
      <c r="AB1802">
        <f>IF($B1802="","",IF(OR($Y1802=TRUE(),$Y1802="TRUE"),1,IF(AND($Y1802&lt;&gt;"",OR($Y1802=FALSE(),$Y1802="FALSE")),0,IF(MIN(ABS($X1802/100-Settings!$C$6),ABS($X1802/100-Settings!$G$6))&lt;=MIN(ABS($X1802/100-Settings!$C$7),ABS($X1802/100-Settings!$G$7)),1,0))))</f>
        <v/>
      </c>
      <c r="AC1802">
        <f>IF($Z1802=1,IFERROR(IF(VALUE($B1802)&lt;100000000,VALUE($B1802),1000000000),IFERROR(IF(VALUE(MID($B1802,2,20))&lt;100000000,VALUE(MID($B1802,2,20)),1000000000),1000000000))+ROW()/100000,"")</f>
        <v/>
      </c>
    </row>
    <row r="1803">
      <c r="A1803">
        <f>IF($B1803="","",IFERROR(IF(INDEX('Per Invoice'!$A$2:$A$801,MATCH($B1803,'Per Invoice'!$B$2:$B$801,0))=0,"",INDEX('Per Invoice'!$A$2:$A$801,MATCH($B1803,'Per Invoice'!$B$2:$B$801,0))),""))</f>
        <v/>
      </c>
      <c r="J1803" s="7">
        <f>IF($B1803="","",I1803*Q1803/100)</f>
        <v/>
      </c>
      <c r="N1803" s="7" t="n"/>
      <c r="O1803" s="7" t="n"/>
      <c r="P1803" s="7">
        <f>IF($B1803="","",O1803*X1803/100)</f>
        <v/>
      </c>
      <c r="Q1803" s="7">
        <f>IF($B1803="","",O1803-P1803)</f>
        <v/>
      </c>
      <c r="R1803" s="7">
        <f>IF($B1803="","",Q1803-J1803)</f>
        <v/>
      </c>
      <c r="S1803" s="7" t="n"/>
      <c r="T1803" s="7" t="n"/>
      <c r="V1803" s="14" t="n"/>
      <c r="Z1803">
        <f>IF($B1803="","",IF(COUNTIF($B$2:$B1803,$B1803)=1,1,0))</f>
        <v/>
      </c>
      <c r="AA1803">
        <f>IF($Z1803=1,SUMPRODUCT(--($AC$2:$AC$3001&lt;$AC1803))+1,"")</f>
        <v/>
      </c>
      <c r="AB1803">
        <f>IF($B1803="","",IF(OR($Y1803=TRUE(),$Y1803="TRUE"),1,IF(AND($Y1803&lt;&gt;"",OR($Y1803=FALSE(),$Y1803="FALSE")),0,IF(MIN(ABS($X1803/100-Settings!$C$6),ABS($X1803/100-Settings!$G$6))&lt;=MIN(ABS($X1803/100-Settings!$C$7),ABS($X1803/100-Settings!$G$7)),1,0))))</f>
        <v/>
      </c>
      <c r="AC1803">
        <f>IF($Z1803=1,IFERROR(IF(VALUE($B1803)&lt;100000000,VALUE($B1803),1000000000),IFERROR(IF(VALUE(MID($B1803,2,20))&lt;100000000,VALUE(MID($B1803,2,20)),1000000000),1000000000))+ROW()/100000,"")</f>
        <v/>
      </c>
    </row>
    <row r="1804">
      <c r="A1804">
        <f>IF($B1804="","",IFERROR(IF(INDEX('Per Invoice'!$A$2:$A$801,MATCH($B1804,'Per Invoice'!$B$2:$B$801,0))=0,"",INDEX('Per Invoice'!$A$2:$A$801,MATCH($B1804,'Per Invoice'!$B$2:$B$801,0))),""))</f>
        <v/>
      </c>
      <c r="J1804" s="7">
        <f>IF($B1804="","",I1804*Q1804/100)</f>
        <v/>
      </c>
      <c r="N1804" s="7" t="n"/>
      <c r="O1804" s="7" t="n"/>
      <c r="P1804" s="7">
        <f>IF($B1804="","",O1804*X1804/100)</f>
        <v/>
      </c>
      <c r="Q1804" s="7">
        <f>IF($B1804="","",O1804-P1804)</f>
        <v/>
      </c>
      <c r="R1804" s="7">
        <f>IF($B1804="","",Q1804-J1804)</f>
        <v/>
      </c>
      <c r="S1804" s="7" t="n"/>
      <c r="T1804" s="7" t="n"/>
      <c r="V1804" s="14" t="n"/>
      <c r="Z1804">
        <f>IF($B1804="","",IF(COUNTIF($B$2:$B1804,$B1804)=1,1,0))</f>
        <v/>
      </c>
      <c r="AA1804">
        <f>IF($Z1804=1,SUMPRODUCT(--($AC$2:$AC$3001&lt;$AC1804))+1,"")</f>
        <v/>
      </c>
      <c r="AB1804">
        <f>IF($B1804="","",IF(OR($Y1804=TRUE(),$Y1804="TRUE"),1,IF(AND($Y1804&lt;&gt;"",OR($Y1804=FALSE(),$Y1804="FALSE")),0,IF(MIN(ABS($X1804/100-Settings!$C$6),ABS($X1804/100-Settings!$G$6))&lt;=MIN(ABS($X1804/100-Settings!$C$7),ABS($X1804/100-Settings!$G$7)),1,0))))</f>
        <v/>
      </c>
      <c r="AC1804">
        <f>IF($Z1804=1,IFERROR(IF(VALUE($B1804)&lt;100000000,VALUE($B1804),1000000000),IFERROR(IF(VALUE(MID($B1804,2,20))&lt;100000000,VALUE(MID($B1804,2,20)),1000000000),1000000000))+ROW()/100000,"")</f>
        <v/>
      </c>
    </row>
    <row r="1805">
      <c r="A1805">
        <f>IF($B1805="","",IFERROR(IF(INDEX('Per Invoice'!$A$2:$A$801,MATCH($B1805,'Per Invoice'!$B$2:$B$801,0))=0,"",INDEX('Per Invoice'!$A$2:$A$801,MATCH($B1805,'Per Invoice'!$B$2:$B$801,0))),""))</f>
        <v/>
      </c>
      <c r="J1805" s="7">
        <f>IF($B1805="","",I1805*Q1805/100)</f>
        <v/>
      </c>
      <c r="N1805" s="7" t="n"/>
      <c r="O1805" s="7" t="n"/>
      <c r="P1805" s="7">
        <f>IF($B1805="","",O1805*X1805/100)</f>
        <v/>
      </c>
      <c r="Q1805" s="7">
        <f>IF($B1805="","",O1805-P1805)</f>
        <v/>
      </c>
      <c r="R1805" s="7">
        <f>IF($B1805="","",Q1805-J1805)</f>
        <v/>
      </c>
      <c r="S1805" s="7" t="n"/>
      <c r="T1805" s="7" t="n"/>
      <c r="V1805" s="14" t="n"/>
      <c r="Z1805">
        <f>IF($B1805="","",IF(COUNTIF($B$2:$B1805,$B1805)=1,1,0))</f>
        <v/>
      </c>
      <c r="AA1805">
        <f>IF($Z1805=1,SUMPRODUCT(--($AC$2:$AC$3001&lt;$AC1805))+1,"")</f>
        <v/>
      </c>
      <c r="AB1805">
        <f>IF($B1805="","",IF(OR($Y1805=TRUE(),$Y1805="TRUE"),1,IF(AND($Y1805&lt;&gt;"",OR($Y1805=FALSE(),$Y1805="FALSE")),0,IF(MIN(ABS($X1805/100-Settings!$C$6),ABS($X1805/100-Settings!$G$6))&lt;=MIN(ABS($X1805/100-Settings!$C$7),ABS($X1805/100-Settings!$G$7)),1,0))))</f>
        <v/>
      </c>
      <c r="AC1805">
        <f>IF($Z1805=1,IFERROR(IF(VALUE($B1805)&lt;100000000,VALUE($B1805),1000000000),IFERROR(IF(VALUE(MID($B1805,2,20))&lt;100000000,VALUE(MID($B1805,2,20)),1000000000),1000000000))+ROW()/100000,"")</f>
        <v/>
      </c>
    </row>
    <row r="1806">
      <c r="A1806">
        <f>IF($B1806="","",IFERROR(IF(INDEX('Per Invoice'!$A$2:$A$801,MATCH($B1806,'Per Invoice'!$B$2:$B$801,0))=0,"",INDEX('Per Invoice'!$A$2:$A$801,MATCH($B1806,'Per Invoice'!$B$2:$B$801,0))),""))</f>
        <v/>
      </c>
      <c r="J1806" s="7">
        <f>IF($B1806="","",I1806*Q1806/100)</f>
        <v/>
      </c>
      <c r="N1806" s="7" t="n"/>
      <c r="O1806" s="7" t="n"/>
      <c r="P1806" s="7">
        <f>IF($B1806="","",O1806*X1806/100)</f>
        <v/>
      </c>
      <c r="Q1806" s="7">
        <f>IF($B1806="","",O1806-P1806)</f>
        <v/>
      </c>
      <c r="R1806" s="7">
        <f>IF($B1806="","",Q1806-J1806)</f>
        <v/>
      </c>
      <c r="S1806" s="7" t="n"/>
      <c r="T1806" s="7" t="n"/>
      <c r="V1806" s="14" t="n"/>
      <c r="Z1806">
        <f>IF($B1806="","",IF(COUNTIF($B$2:$B1806,$B1806)=1,1,0))</f>
        <v/>
      </c>
      <c r="AA1806">
        <f>IF($Z1806=1,SUMPRODUCT(--($AC$2:$AC$3001&lt;$AC1806))+1,"")</f>
        <v/>
      </c>
      <c r="AB1806">
        <f>IF($B1806="","",IF(OR($Y1806=TRUE(),$Y1806="TRUE"),1,IF(AND($Y1806&lt;&gt;"",OR($Y1806=FALSE(),$Y1806="FALSE")),0,IF(MIN(ABS($X1806/100-Settings!$C$6),ABS($X1806/100-Settings!$G$6))&lt;=MIN(ABS($X1806/100-Settings!$C$7),ABS($X1806/100-Settings!$G$7)),1,0))))</f>
        <v/>
      </c>
      <c r="AC1806">
        <f>IF($Z1806=1,IFERROR(IF(VALUE($B1806)&lt;100000000,VALUE($B1806),1000000000),IFERROR(IF(VALUE(MID($B1806,2,20))&lt;100000000,VALUE(MID($B1806,2,20)),1000000000),1000000000))+ROW()/100000,"")</f>
        <v/>
      </c>
    </row>
    <row r="1807">
      <c r="A1807">
        <f>IF($B1807="","",IFERROR(IF(INDEX('Per Invoice'!$A$2:$A$801,MATCH($B1807,'Per Invoice'!$B$2:$B$801,0))=0,"",INDEX('Per Invoice'!$A$2:$A$801,MATCH($B1807,'Per Invoice'!$B$2:$B$801,0))),""))</f>
        <v/>
      </c>
      <c r="J1807" s="7">
        <f>IF($B1807="","",I1807*Q1807/100)</f>
        <v/>
      </c>
      <c r="N1807" s="7" t="n"/>
      <c r="O1807" s="7" t="n"/>
      <c r="P1807" s="7">
        <f>IF($B1807="","",O1807*X1807/100)</f>
        <v/>
      </c>
      <c r="Q1807" s="7">
        <f>IF($B1807="","",O1807-P1807)</f>
        <v/>
      </c>
      <c r="R1807" s="7">
        <f>IF($B1807="","",Q1807-J1807)</f>
        <v/>
      </c>
      <c r="S1807" s="7" t="n"/>
      <c r="T1807" s="7" t="n"/>
      <c r="V1807" s="14" t="n"/>
      <c r="Z1807">
        <f>IF($B1807="","",IF(COUNTIF($B$2:$B1807,$B1807)=1,1,0))</f>
        <v/>
      </c>
      <c r="AA1807">
        <f>IF($Z1807=1,SUMPRODUCT(--($AC$2:$AC$3001&lt;$AC1807))+1,"")</f>
        <v/>
      </c>
      <c r="AB1807">
        <f>IF($B1807="","",IF(OR($Y1807=TRUE(),$Y1807="TRUE"),1,IF(AND($Y1807&lt;&gt;"",OR($Y1807=FALSE(),$Y1807="FALSE")),0,IF(MIN(ABS($X1807/100-Settings!$C$6),ABS($X1807/100-Settings!$G$6))&lt;=MIN(ABS($X1807/100-Settings!$C$7),ABS($X1807/100-Settings!$G$7)),1,0))))</f>
        <v/>
      </c>
      <c r="AC1807">
        <f>IF($Z1807=1,IFERROR(IF(VALUE($B1807)&lt;100000000,VALUE($B1807),1000000000),IFERROR(IF(VALUE(MID($B1807,2,20))&lt;100000000,VALUE(MID($B1807,2,20)),1000000000),1000000000))+ROW()/100000,"")</f>
        <v/>
      </c>
    </row>
    <row r="1808">
      <c r="A1808">
        <f>IF($B1808="","",IFERROR(IF(INDEX('Per Invoice'!$A$2:$A$801,MATCH($B1808,'Per Invoice'!$B$2:$B$801,0))=0,"",INDEX('Per Invoice'!$A$2:$A$801,MATCH($B1808,'Per Invoice'!$B$2:$B$801,0))),""))</f>
        <v/>
      </c>
      <c r="J1808" s="7">
        <f>IF($B1808="","",I1808*Q1808/100)</f>
        <v/>
      </c>
      <c r="N1808" s="7" t="n"/>
      <c r="O1808" s="7" t="n"/>
      <c r="P1808" s="7">
        <f>IF($B1808="","",O1808*X1808/100)</f>
        <v/>
      </c>
      <c r="Q1808" s="7">
        <f>IF($B1808="","",O1808-P1808)</f>
        <v/>
      </c>
      <c r="R1808" s="7">
        <f>IF($B1808="","",Q1808-J1808)</f>
        <v/>
      </c>
      <c r="S1808" s="7" t="n"/>
      <c r="T1808" s="7" t="n"/>
      <c r="V1808" s="14" t="n"/>
      <c r="Z1808">
        <f>IF($B1808="","",IF(COUNTIF($B$2:$B1808,$B1808)=1,1,0))</f>
        <v/>
      </c>
      <c r="AA1808">
        <f>IF($Z1808=1,SUMPRODUCT(--($AC$2:$AC$3001&lt;$AC1808))+1,"")</f>
        <v/>
      </c>
      <c r="AB1808">
        <f>IF($B1808="","",IF(OR($Y1808=TRUE(),$Y1808="TRUE"),1,IF(AND($Y1808&lt;&gt;"",OR($Y1808=FALSE(),$Y1808="FALSE")),0,IF(MIN(ABS($X1808/100-Settings!$C$6),ABS($X1808/100-Settings!$G$6))&lt;=MIN(ABS($X1808/100-Settings!$C$7),ABS($X1808/100-Settings!$G$7)),1,0))))</f>
        <v/>
      </c>
      <c r="AC1808">
        <f>IF($Z1808=1,IFERROR(IF(VALUE($B1808)&lt;100000000,VALUE($B1808),1000000000),IFERROR(IF(VALUE(MID($B1808,2,20))&lt;100000000,VALUE(MID($B1808,2,20)),1000000000),1000000000))+ROW()/100000,"")</f>
        <v/>
      </c>
    </row>
    <row r="1809">
      <c r="A1809">
        <f>IF($B1809="","",IFERROR(IF(INDEX('Per Invoice'!$A$2:$A$801,MATCH($B1809,'Per Invoice'!$B$2:$B$801,0))=0,"",INDEX('Per Invoice'!$A$2:$A$801,MATCH($B1809,'Per Invoice'!$B$2:$B$801,0))),""))</f>
        <v/>
      </c>
      <c r="J1809" s="7">
        <f>IF($B1809="","",I1809*Q1809/100)</f>
        <v/>
      </c>
      <c r="N1809" s="7" t="n"/>
      <c r="O1809" s="7" t="n"/>
      <c r="P1809" s="7">
        <f>IF($B1809="","",O1809*X1809/100)</f>
        <v/>
      </c>
      <c r="Q1809" s="7">
        <f>IF($B1809="","",O1809-P1809)</f>
        <v/>
      </c>
      <c r="R1809" s="7">
        <f>IF($B1809="","",Q1809-J1809)</f>
        <v/>
      </c>
      <c r="S1809" s="7" t="n"/>
      <c r="T1809" s="7" t="n"/>
      <c r="V1809" s="14" t="n"/>
      <c r="Z1809">
        <f>IF($B1809="","",IF(COUNTIF($B$2:$B1809,$B1809)=1,1,0))</f>
        <v/>
      </c>
      <c r="AA1809">
        <f>IF($Z1809=1,SUMPRODUCT(--($AC$2:$AC$3001&lt;$AC1809))+1,"")</f>
        <v/>
      </c>
      <c r="AB1809">
        <f>IF($B1809="","",IF(OR($Y1809=TRUE(),$Y1809="TRUE"),1,IF(AND($Y1809&lt;&gt;"",OR($Y1809=FALSE(),$Y1809="FALSE")),0,IF(MIN(ABS($X1809/100-Settings!$C$6),ABS($X1809/100-Settings!$G$6))&lt;=MIN(ABS($X1809/100-Settings!$C$7),ABS($X1809/100-Settings!$G$7)),1,0))))</f>
        <v/>
      </c>
      <c r="AC1809">
        <f>IF($Z1809=1,IFERROR(IF(VALUE($B1809)&lt;100000000,VALUE($B1809),1000000000),IFERROR(IF(VALUE(MID($B1809,2,20))&lt;100000000,VALUE(MID($B1809,2,20)),1000000000),1000000000))+ROW()/100000,"")</f>
        <v/>
      </c>
    </row>
    <row r="1810">
      <c r="A1810">
        <f>IF($B1810="","",IFERROR(IF(INDEX('Per Invoice'!$A$2:$A$801,MATCH($B1810,'Per Invoice'!$B$2:$B$801,0))=0,"",INDEX('Per Invoice'!$A$2:$A$801,MATCH($B1810,'Per Invoice'!$B$2:$B$801,0))),""))</f>
        <v/>
      </c>
      <c r="J1810" s="7">
        <f>IF($B1810="","",I1810*Q1810/100)</f>
        <v/>
      </c>
      <c r="N1810" s="7" t="n"/>
      <c r="O1810" s="7" t="n"/>
      <c r="P1810" s="7">
        <f>IF($B1810="","",O1810*X1810/100)</f>
        <v/>
      </c>
      <c r="Q1810" s="7">
        <f>IF($B1810="","",O1810-P1810)</f>
        <v/>
      </c>
      <c r="R1810" s="7">
        <f>IF($B1810="","",Q1810-J1810)</f>
        <v/>
      </c>
      <c r="S1810" s="7" t="n"/>
      <c r="T1810" s="7" t="n"/>
      <c r="V1810" s="14" t="n"/>
      <c r="Z1810">
        <f>IF($B1810="","",IF(COUNTIF($B$2:$B1810,$B1810)=1,1,0))</f>
        <v/>
      </c>
      <c r="AA1810">
        <f>IF($Z1810=1,SUMPRODUCT(--($AC$2:$AC$3001&lt;$AC1810))+1,"")</f>
        <v/>
      </c>
      <c r="AB1810">
        <f>IF($B1810="","",IF(OR($Y1810=TRUE(),$Y1810="TRUE"),1,IF(AND($Y1810&lt;&gt;"",OR($Y1810=FALSE(),$Y1810="FALSE")),0,IF(MIN(ABS($X1810/100-Settings!$C$6),ABS($X1810/100-Settings!$G$6))&lt;=MIN(ABS($X1810/100-Settings!$C$7),ABS($X1810/100-Settings!$G$7)),1,0))))</f>
        <v/>
      </c>
      <c r="AC1810">
        <f>IF($Z1810=1,IFERROR(IF(VALUE($B1810)&lt;100000000,VALUE($B1810),1000000000),IFERROR(IF(VALUE(MID($B1810,2,20))&lt;100000000,VALUE(MID($B1810,2,20)),1000000000),1000000000))+ROW()/100000,"")</f>
        <v/>
      </c>
    </row>
    <row r="1811">
      <c r="A1811">
        <f>IF($B1811="","",IFERROR(IF(INDEX('Per Invoice'!$A$2:$A$801,MATCH($B1811,'Per Invoice'!$B$2:$B$801,0))=0,"",INDEX('Per Invoice'!$A$2:$A$801,MATCH($B1811,'Per Invoice'!$B$2:$B$801,0))),""))</f>
        <v/>
      </c>
      <c r="J1811" s="7">
        <f>IF($B1811="","",I1811*Q1811/100)</f>
        <v/>
      </c>
      <c r="N1811" s="7" t="n"/>
      <c r="O1811" s="7" t="n"/>
      <c r="P1811" s="7">
        <f>IF($B1811="","",O1811*X1811/100)</f>
        <v/>
      </c>
      <c r="Q1811" s="7">
        <f>IF($B1811="","",O1811-P1811)</f>
        <v/>
      </c>
      <c r="R1811" s="7">
        <f>IF($B1811="","",Q1811-J1811)</f>
        <v/>
      </c>
      <c r="S1811" s="7" t="n"/>
      <c r="T1811" s="7" t="n"/>
      <c r="V1811" s="14" t="n"/>
      <c r="Z1811">
        <f>IF($B1811="","",IF(COUNTIF($B$2:$B1811,$B1811)=1,1,0))</f>
        <v/>
      </c>
      <c r="AA1811">
        <f>IF($Z1811=1,SUMPRODUCT(--($AC$2:$AC$3001&lt;$AC1811))+1,"")</f>
        <v/>
      </c>
      <c r="AB1811">
        <f>IF($B1811="","",IF(OR($Y1811=TRUE(),$Y1811="TRUE"),1,IF(AND($Y1811&lt;&gt;"",OR($Y1811=FALSE(),$Y1811="FALSE")),0,IF(MIN(ABS($X1811/100-Settings!$C$6),ABS($X1811/100-Settings!$G$6))&lt;=MIN(ABS($X1811/100-Settings!$C$7),ABS($X1811/100-Settings!$G$7)),1,0))))</f>
        <v/>
      </c>
      <c r="AC1811">
        <f>IF($Z1811=1,IFERROR(IF(VALUE($B1811)&lt;100000000,VALUE($B1811),1000000000),IFERROR(IF(VALUE(MID($B1811,2,20))&lt;100000000,VALUE(MID($B1811,2,20)),1000000000),1000000000))+ROW()/100000,"")</f>
        <v/>
      </c>
    </row>
    <row r="1812">
      <c r="A1812">
        <f>IF($B1812="","",IFERROR(IF(INDEX('Per Invoice'!$A$2:$A$801,MATCH($B1812,'Per Invoice'!$B$2:$B$801,0))=0,"",INDEX('Per Invoice'!$A$2:$A$801,MATCH($B1812,'Per Invoice'!$B$2:$B$801,0))),""))</f>
        <v/>
      </c>
      <c r="J1812" s="7">
        <f>IF($B1812="","",I1812*Q1812/100)</f>
        <v/>
      </c>
      <c r="N1812" s="7" t="n"/>
      <c r="O1812" s="7" t="n"/>
      <c r="P1812" s="7">
        <f>IF($B1812="","",O1812*X1812/100)</f>
        <v/>
      </c>
      <c r="Q1812" s="7">
        <f>IF($B1812="","",O1812-P1812)</f>
        <v/>
      </c>
      <c r="R1812" s="7">
        <f>IF($B1812="","",Q1812-J1812)</f>
        <v/>
      </c>
      <c r="S1812" s="7" t="n"/>
      <c r="T1812" s="7" t="n"/>
      <c r="V1812" s="14" t="n"/>
      <c r="Z1812">
        <f>IF($B1812="","",IF(COUNTIF($B$2:$B1812,$B1812)=1,1,0))</f>
        <v/>
      </c>
      <c r="AA1812">
        <f>IF($Z1812=1,SUMPRODUCT(--($AC$2:$AC$3001&lt;$AC1812))+1,"")</f>
        <v/>
      </c>
      <c r="AB1812">
        <f>IF($B1812="","",IF(OR($Y1812=TRUE(),$Y1812="TRUE"),1,IF(AND($Y1812&lt;&gt;"",OR($Y1812=FALSE(),$Y1812="FALSE")),0,IF(MIN(ABS($X1812/100-Settings!$C$6),ABS($X1812/100-Settings!$G$6))&lt;=MIN(ABS($X1812/100-Settings!$C$7),ABS($X1812/100-Settings!$G$7)),1,0))))</f>
        <v/>
      </c>
      <c r="AC1812">
        <f>IF($Z1812=1,IFERROR(IF(VALUE($B1812)&lt;100000000,VALUE($B1812),1000000000),IFERROR(IF(VALUE(MID($B1812,2,20))&lt;100000000,VALUE(MID($B1812,2,20)),1000000000),1000000000))+ROW()/100000,"")</f>
        <v/>
      </c>
    </row>
    <row r="1813">
      <c r="A1813">
        <f>IF($B1813="","",IFERROR(IF(INDEX('Per Invoice'!$A$2:$A$801,MATCH($B1813,'Per Invoice'!$B$2:$B$801,0))=0,"",INDEX('Per Invoice'!$A$2:$A$801,MATCH($B1813,'Per Invoice'!$B$2:$B$801,0))),""))</f>
        <v/>
      </c>
      <c r="J1813" s="7">
        <f>IF($B1813="","",I1813*Q1813/100)</f>
        <v/>
      </c>
      <c r="N1813" s="7" t="n"/>
      <c r="O1813" s="7" t="n"/>
      <c r="P1813" s="7">
        <f>IF($B1813="","",O1813*X1813/100)</f>
        <v/>
      </c>
      <c r="Q1813" s="7">
        <f>IF($B1813="","",O1813-P1813)</f>
        <v/>
      </c>
      <c r="R1813" s="7">
        <f>IF($B1813="","",Q1813-J1813)</f>
        <v/>
      </c>
      <c r="S1813" s="7" t="n"/>
      <c r="T1813" s="7" t="n"/>
      <c r="V1813" s="14" t="n"/>
      <c r="Z1813">
        <f>IF($B1813="","",IF(COUNTIF($B$2:$B1813,$B1813)=1,1,0))</f>
        <v/>
      </c>
      <c r="AA1813">
        <f>IF($Z1813=1,SUMPRODUCT(--($AC$2:$AC$3001&lt;$AC1813))+1,"")</f>
        <v/>
      </c>
      <c r="AB1813">
        <f>IF($B1813="","",IF(OR($Y1813=TRUE(),$Y1813="TRUE"),1,IF(AND($Y1813&lt;&gt;"",OR($Y1813=FALSE(),$Y1813="FALSE")),0,IF(MIN(ABS($X1813/100-Settings!$C$6),ABS($X1813/100-Settings!$G$6))&lt;=MIN(ABS($X1813/100-Settings!$C$7),ABS($X1813/100-Settings!$G$7)),1,0))))</f>
        <v/>
      </c>
      <c r="AC1813">
        <f>IF($Z1813=1,IFERROR(IF(VALUE($B1813)&lt;100000000,VALUE($B1813),1000000000),IFERROR(IF(VALUE(MID($B1813,2,20))&lt;100000000,VALUE(MID($B1813,2,20)),1000000000),1000000000))+ROW()/100000,"")</f>
        <v/>
      </c>
    </row>
    <row r="1814">
      <c r="A1814">
        <f>IF($B1814="","",IFERROR(IF(INDEX('Per Invoice'!$A$2:$A$801,MATCH($B1814,'Per Invoice'!$B$2:$B$801,0))=0,"",INDEX('Per Invoice'!$A$2:$A$801,MATCH($B1814,'Per Invoice'!$B$2:$B$801,0))),""))</f>
        <v/>
      </c>
      <c r="J1814" s="7">
        <f>IF($B1814="","",I1814*Q1814/100)</f>
        <v/>
      </c>
      <c r="N1814" s="7" t="n"/>
      <c r="O1814" s="7" t="n"/>
      <c r="P1814" s="7">
        <f>IF($B1814="","",O1814*X1814/100)</f>
        <v/>
      </c>
      <c r="Q1814" s="7">
        <f>IF($B1814="","",O1814-P1814)</f>
        <v/>
      </c>
      <c r="R1814" s="7">
        <f>IF($B1814="","",Q1814-J1814)</f>
        <v/>
      </c>
      <c r="S1814" s="7" t="n"/>
      <c r="T1814" s="7" t="n"/>
      <c r="V1814" s="14" t="n"/>
      <c r="Z1814">
        <f>IF($B1814="","",IF(COUNTIF($B$2:$B1814,$B1814)=1,1,0))</f>
        <v/>
      </c>
      <c r="AA1814">
        <f>IF($Z1814=1,SUMPRODUCT(--($AC$2:$AC$3001&lt;$AC1814))+1,"")</f>
        <v/>
      </c>
      <c r="AB1814">
        <f>IF($B1814="","",IF(OR($Y1814=TRUE(),$Y1814="TRUE"),1,IF(AND($Y1814&lt;&gt;"",OR($Y1814=FALSE(),$Y1814="FALSE")),0,IF(MIN(ABS($X1814/100-Settings!$C$6),ABS($X1814/100-Settings!$G$6))&lt;=MIN(ABS($X1814/100-Settings!$C$7),ABS($X1814/100-Settings!$G$7)),1,0))))</f>
        <v/>
      </c>
      <c r="AC1814">
        <f>IF($Z1814=1,IFERROR(IF(VALUE($B1814)&lt;100000000,VALUE($B1814),1000000000),IFERROR(IF(VALUE(MID($B1814,2,20))&lt;100000000,VALUE(MID($B1814,2,20)),1000000000),1000000000))+ROW()/100000,"")</f>
        <v/>
      </c>
    </row>
    <row r="1815">
      <c r="A1815">
        <f>IF($B1815="","",IFERROR(IF(INDEX('Per Invoice'!$A$2:$A$801,MATCH($B1815,'Per Invoice'!$B$2:$B$801,0))=0,"",INDEX('Per Invoice'!$A$2:$A$801,MATCH($B1815,'Per Invoice'!$B$2:$B$801,0))),""))</f>
        <v/>
      </c>
      <c r="J1815" s="7">
        <f>IF($B1815="","",I1815*Q1815/100)</f>
        <v/>
      </c>
      <c r="N1815" s="7" t="n"/>
      <c r="O1815" s="7" t="n"/>
      <c r="P1815" s="7">
        <f>IF($B1815="","",O1815*X1815/100)</f>
        <v/>
      </c>
      <c r="Q1815" s="7">
        <f>IF($B1815="","",O1815-P1815)</f>
        <v/>
      </c>
      <c r="R1815" s="7">
        <f>IF($B1815="","",Q1815-J1815)</f>
        <v/>
      </c>
      <c r="S1815" s="7" t="n"/>
      <c r="T1815" s="7" t="n"/>
      <c r="V1815" s="14" t="n"/>
      <c r="Z1815">
        <f>IF($B1815="","",IF(COUNTIF($B$2:$B1815,$B1815)=1,1,0))</f>
        <v/>
      </c>
      <c r="AA1815">
        <f>IF($Z1815=1,SUMPRODUCT(--($AC$2:$AC$3001&lt;$AC1815))+1,"")</f>
        <v/>
      </c>
      <c r="AB1815">
        <f>IF($B1815="","",IF(OR($Y1815=TRUE(),$Y1815="TRUE"),1,IF(AND($Y1815&lt;&gt;"",OR($Y1815=FALSE(),$Y1815="FALSE")),0,IF(MIN(ABS($X1815/100-Settings!$C$6),ABS($X1815/100-Settings!$G$6))&lt;=MIN(ABS($X1815/100-Settings!$C$7),ABS($X1815/100-Settings!$G$7)),1,0))))</f>
        <v/>
      </c>
      <c r="AC1815">
        <f>IF($Z1815=1,IFERROR(IF(VALUE($B1815)&lt;100000000,VALUE($B1815),1000000000),IFERROR(IF(VALUE(MID($B1815,2,20))&lt;100000000,VALUE(MID($B1815,2,20)),1000000000),1000000000))+ROW()/100000,"")</f>
        <v/>
      </c>
    </row>
    <row r="1816">
      <c r="A1816">
        <f>IF($B1816="","",IFERROR(IF(INDEX('Per Invoice'!$A$2:$A$801,MATCH($B1816,'Per Invoice'!$B$2:$B$801,0))=0,"",INDEX('Per Invoice'!$A$2:$A$801,MATCH($B1816,'Per Invoice'!$B$2:$B$801,0))),""))</f>
        <v/>
      </c>
      <c r="J1816" s="7">
        <f>IF($B1816="","",I1816*Q1816/100)</f>
        <v/>
      </c>
      <c r="N1816" s="7" t="n"/>
      <c r="O1816" s="7" t="n"/>
      <c r="P1816" s="7">
        <f>IF($B1816="","",O1816*X1816/100)</f>
        <v/>
      </c>
      <c r="Q1816" s="7">
        <f>IF($B1816="","",O1816-P1816)</f>
        <v/>
      </c>
      <c r="R1816" s="7">
        <f>IF($B1816="","",Q1816-J1816)</f>
        <v/>
      </c>
      <c r="S1816" s="7" t="n"/>
      <c r="T1816" s="7" t="n"/>
      <c r="V1816" s="14" t="n"/>
      <c r="Z1816">
        <f>IF($B1816="","",IF(COUNTIF($B$2:$B1816,$B1816)=1,1,0))</f>
        <v/>
      </c>
      <c r="AA1816">
        <f>IF($Z1816=1,SUMPRODUCT(--($AC$2:$AC$3001&lt;$AC1816))+1,"")</f>
        <v/>
      </c>
      <c r="AB1816">
        <f>IF($B1816="","",IF(OR($Y1816=TRUE(),$Y1816="TRUE"),1,IF(AND($Y1816&lt;&gt;"",OR($Y1816=FALSE(),$Y1816="FALSE")),0,IF(MIN(ABS($X1816/100-Settings!$C$6),ABS($X1816/100-Settings!$G$6))&lt;=MIN(ABS($X1816/100-Settings!$C$7),ABS($X1816/100-Settings!$G$7)),1,0))))</f>
        <v/>
      </c>
      <c r="AC1816">
        <f>IF($Z1816=1,IFERROR(IF(VALUE($B1816)&lt;100000000,VALUE($B1816),1000000000),IFERROR(IF(VALUE(MID($B1816,2,20))&lt;100000000,VALUE(MID($B1816,2,20)),1000000000),1000000000))+ROW()/100000,"")</f>
        <v/>
      </c>
    </row>
    <row r="1817">
      <c r="A1817">
        <f>IF($B1817="","",IFERROR(IF(INDEX('Per Invoice'!$A$2:$A$801,MATCH($B1817,'Per Invoice'!$B$2:$B$801,0))=0,"",INDEX('Per Invoice'!$A$2:$A$801,MATCH($B1817,'Per Invoice'!$B$2:$B$801,0))),""))</f>
        <v/>
      </c>
      <c r="J1817" s="7">
        <f>IF($B1817="","",I1817*Q1817/100)</f>
        <v/>
      </c>
      <c r="N1817" s="7" t="n"/>
      <c r="O1817" s="7" t="n"/>
      <c r="P1817" s="7">
        <f>IF($B1817="","",O1817*X1817/100)</f>
        <v/>
      </c>
      <c r="Q1817" s="7">
        <f>IF($B1817="","",O1817-P1817)</f>
        <v/>
      </c>
      <c r="R1817" s="7">
        <f>IF($B1817="","",Q1817-J1817)</f>
        <v/>
      </c>
      <c r="S1817" s="7" t="n"/>
      <c r="T1817" s="7" t="n"/>
      <c r="V1817" s="14" t="n"/>
      <c r="Z1817">
        <f>IF($B1817="","",IF(COUNTIF($B$2:$B1817,$B1817)=1,1,0))</f>
        <v/>
      </c>
      <c r="AA1817">
        <f>IF($Z1817=1,SUMPRODUCT(--($AC$2:$AC$3001&lt;$AC1817))+1,"")</f>
        <v/>
      </c>
      <c r="AB1817">
        <f>IF($B1817="","",IF(OR($Y1817=TRUE(),$Y1817="TRUE"),1,IF(AND($Y1817&lt;&gt;"",OR($Y1817=FALSE(),$Y1817="FALSE")),0,IF(MIN(ABS($X1817/100-Settings!$C$6),ABS($X1817/100-Settings!$G$6))&lt;=MIN(ABS($X1817/100-Settings!$C$7),ABS($X1817/100-Settings!$G$7)),1,0))))</f>
        <v/>
      </c>
      <c r="AC1817">
        <f>IF($Z1817=1,IFERROR(IF(VALUE($B1817)&lt;100000000,VALUE($B1817),1000000000),IFERROR(IF(VALUE(MID($B1817,2,20))&lt;100000000,VALUE(MID($B1817,2,20)),1000000000),1000000000))+ROW()/100000,"")</f>
        <v/>
      </c>
    </row>
    <row r="1818">
      <c r="A1818">
        <f>IF($B1818="","",IFERROR(IF(INDEX('Per Invoice'!$A$2:$A$801,MATCH($B1818,'Per Invoice'!$B$2:$B$801,0))=0,"",INDEX('Per Invoice'!$A$2:$A$801,MATCH($B1818,'Per Invoice'!$B$2:$B$801,0))),""))</f>
        <v/>
      </c>
      <c r="J1818" s="7">
        <f>IF($B1818="","",I1818*Q1818/100)</f>
        <v/>
      </c>
      <c r="N1818" s="7" t="n"/>
      <c r="O1818" s="7" t="n"/>
      <c r="P1818" s="7">
        <f>IF($B1818="","",O1818*X1818/100)</f>
        <v/>
      </c>
      <c r="Q1818" s="7">
        <f>IF($B1818="","",O1818-P1818)</f>
        <v/>
      </c>
      <c r="R1818" s="7">
        <f>IF($B1818="","",Q1818-J1818)</f>
        <v/>
      </c>
      <c r="S1818" s="7" t="n"/>
      <c r="T1818" s="7" t="n"/>
      <c r="V1818" s="14" t="n"/>
      <c r="Z1818">
        <f>IF($B1818="","",IF(COUNTIF($B$2:$B1818,$B1818)=1,1,0))</f>
        <v/>
      </c>
      <c r="AA1818">
        <f>IF($Z1818=1,SUMPRODUCT(--($AC$2:$AC$3001&lt;$AC1818))+1,"")</f>
        <v/>
      </c>
      <c r="AB1818">
        <f>IF($B1818="","",IF(OR($Y1818=TRUE(),$Y1818="TRUE"),1,IF(AND($Y1818&lt;&gt;"",OR($Y1818=FALSE(),$Y1818="FALSE")),0,IF(MIN(ABS($X1818/100-Settings!$C$6),ABS($X1818/100-Settings!$G$6))&lt;=MIN(ABS($X1818/100-Settings!$C$7),ABS($X1818/100-Settings!$G$7)),1,0))))</f>
        <v/>
      </c>
      <c r="AC1818">
        <f>IF($Z1818=1,IFERROR(IF(VALUE($B1818)&lt;100000000,VALUE($B1818),1000000000),IFERROR(IF(VALUE(MID($B1818,2,20))&lt;100000000,VALUE(MID($B1818,2,20)),1000000000),1000000000))+ROW()/100000,"")</f>
        <v/>
      </c>
    </row>
    <row r="1819">
      <c r="A1819">
        <f>IF($B1819="","",IFERROR(IF(INDEX('Per Invoice'!$A$2:$A$801,MATCH($B1819,'Per Invoice'!$B$2:$B$801,0))=0,"",INDEX('Per Invoice'!$A$2:$A$801,MATCH($B1819,'Per Invoice'!$B$2:$B$801,0))),""))</f>
        <v/>
      </c>
      <c r="J1819" s="7">
        <f>IF($B1819="","",I1819*Q1819/100)</f>
        <v/>
      </c>
      <c r="N1819" s="7" t="n"/>
      <c r="O1819" s="7" t="n"/>
      <c r="P1819" s="7">
        <f>IF($B1819="","",O1819*X1819/100)</f>
        <v/>
      </c>
      <c r="Q1819" s="7">
        <f>IF($B1819="","",O1819-P1819)</f>
        <v/>
      </c>
      <c r="R1819" s="7">
        <f>IF($B1819="","",Q1819-J1819)</f>
        <v/>
      </c>
      <c r="S1819" s="7" t="n"/>
      <c r="T1819" s="7" t="n"/>
      <c r="V1819" s="14" t="n"/>
      <c r="Z1819">
        <f>IF($B1819="","",IF(COUNTIF($B$2:$B1819,$B1819)=1,1,0))</f>
        <v/>
      </c>
      <c r="AA1819">
        <f>IF($Z1819=1,SUMPRODUCT(--($AC$2:$AC$3001&lt;$AC1819))+1,"")</f>
        <v/>
      </c>
      <c r="AB1819">
        <f>IF($B1819="","",IF(OR($Y1819=TRUE(),$Y1819="TRUE"),1,IF(AND($Y1819&lt;&gt;"",OR($Y1819=FALSE(),$Y1819="FALSE")),0,IF(MIN(ABS($X1819/100-Settings!$C$6),ABS($X1819/100-Settings!$G$6))&lt;=MIN(ABS($X1819/100-Settings!$C$7),ABS($X1819/100-Settings!$G$7)),1,0))))</f>
        <v/>
      </c>
      <c r="AC1819">
        <f>IF($Z1819=1,IFERROR(IF(VALUE($B1819)&lt;100000000,VALUE($B1819),1000000000),IFERROR(IF(VALUE(MID($B1819,2,20))&lt;100000000,VALUE(MID($B1819,2,20)),1000000000),1000000000))+ROW()/100000,"")</f>
        <v/>
      </c>
    </row>
    <row r="1820">
      <c r="A1820">
        <f>IF($B1820="","",IFERROR(IF(INDEX('Per Invoice'!$A$2:$A$801,MATCH($B1820,'Per Invoice'!$B$2:$B$801,0))=0,"",INDEX('Per Invoice'!$A$2:$A$801,MATCH($B1820,'Per Invoice'!$B$2:$B$801,0))),""))</f>
        <v/>
      </c>
      <c r="J1820" s="7">
        <f>IF($B1820="","",I1820*Q1820/100)</f>
        <v/>
      </c>
      <c r="N1820" s="7" t="n"/>
      <c r="O1820" s="7" t="n"/>
      <c r="P1820" s="7">
        <f>IF($B1820="","",O1820*X1820/100)</f>
        <v/>
      </c>
      <c r="Q1820" s="7">
        <f>IF($B1820="","",O1820-P1820)</f>
        <v/>
      </c>
      <c r="R1820" s="7">
        <f>IF($B1820="","",Q1820-J1820)</f>
        <v/>
      </c>
      <c r="S1820" s="7" t="n"/>
      <c r="T1820" s="7" t="n"/>
      <c r="V1820" s="14" t="n"/>
      <c r="Z1820">
        <f>IF($B1820="","",IF(COUNTIF($B$2:$B1820,$B1820)=1,1,0))</f>
        <v/>
      </c>
      <c r="AA1820">
        <f>IF($Z1820=1,SUMPRODUCT(--($AC$2:$AC$3001&lt;$AC1820))+1,"")</f>
        <v/>
      </c>
      <c r="AB1820">
        <f>IF($B1820="","",IF(OR($Y1820=TRUE(),$Y1820="TRUE"),1,IF(AND($Y1820&lt;&gt;"",OR($Y1820=FALSE(),$Y1820="FALSE")),0,IF(MIN(ABS($X1820/100-Settings!$C$6),ABS($X1820/100-Settings!$G$6))&lt;=MIN(ABS($X1820/100-Settings!$C$7),ABS($X1820/100-Settings!$G$7)),1,0))))</f>
        <v/>
      </c>
      <c r="AC1820">
        <f>IF($Z1820=1,IFERROR(IF(VALUE($B1820)&lt;100000000,VALUE($B1820),1000000000),IFERROR(IF(VALUE(MID($B1820,2,20))&lt;100000000,VALUE(MID($B1820,2,20)),1000000000),1000000000))+ROW()/100000,"")</f>
        <v/>
      </c>
    </row>
    <row r="1821">
      <c r="A1821">
        <f>IF($B1821="","",IFERROR(IF(INDEX('Per Invoice'!$A$2:$A$801,MATCH($B1821,'Per Invoice'!$B$2:$B$801,0))=0,"",INDEX('Per Invoice'!$A$2:$A$801,MATCH($B1821,'Per Invoice'!$B$2:$B$801,0))),""))</f>
        <v/>
      </c>
      <c r="J1821" s="7">
        <f>IF($B1821="","",I1821*Q1821/100)</f>
        <v/>
      </c>
      <c r="N1821" s="7" t="n"/>
      <c r="O1821" s="7" t="n"/>
      <c r="P1821" s="7">
        <f>IF($B1821="","",O1821*X1821/100)</f>
        <v/>
      </c>
      <c r="Q1821" s="7">
        <f>IF($B1821="","",O1821-P1821)</f>
        <v/>
      </c>
      <c r="R1821" s="7">
        <f>IF($B1821="","",Q1821-J1821)</f>
        <v/>
      </c>
      <c r="S1821" s="7" t="n"/>
      <c r="T1821" s="7" t="n"/>
      <c r="V1821" s="14" t="n"/>
      <c r="Z1821">
        <f>IF($B1821="","",IF(COUNTIF($B$2:$B1821,$B1821)=1,1,0))</f>
        <v/>
      </c>
      <c r="AA1821">
        <f>IF($Z1821=1,SUMPRODUCT(--($AC$2:$AC$3001&lt;$AC1821))+1,"")</f>
        <v/>
      </c>
      <c r="AB1821">
        <f>IF($B1821="","",IF(OR($Y1821=TRUE(),$Y1821="TRUE"),1,IF(AND($Y1821&lt;&gt;"",OR($Y1821=FALSE(),$Y1821="FALSE")),0,IF(MIN(ABS($X1821/100-Settings!$C$6),ABS($X1821/100-Settings!$G$6))&lt;=MIN(ABS($X1821/100-Settings!$C$7),ABS($X1821/100-Settings!$G$7)),1,0))))</f>
        <v/>
      </c>
      <c r="AC1821">
        <f>IF($Z1821=1,IFERROR(IF(VALUE($B1821)&lt;100000000,VALUE($B1821),1000000000),IFERROR(IF(VALUE(MID($B1821,2,20))&lt;100000000,VALUE(MID($B1821,2,20)),1000000000),1000000000))+ROW()/100000,"")</f>
        <v/>
      </c>
    </row>
    <row r="1822">
      <c r="A1822">
        <f>IF($B1822="","",IFERROR(IF(INDEX('Per Invoice'!$A$2:$A$801,MATCH($B1822,'Per Invoice'!$B$2:$B$801,0))=0,"",INDEX('Per Invoice'!$A$2:$A$801,MATCH($B1822,'Per Invoice'!$B$2:$B$801,0))),""))</f>
        <v/>
      </c>
      <c r="J1822" s="7">
        <f>IF($B1822="","",I1822*Q1822/100)</f>
        <v/>
      </c>
      <c r="N1822" s="7" t="n"/>
      <c r="O1822" s="7" t="n"/>
      <c r="P1822" s="7">
        <f>IF($B1822="","",O1822*X1822/100)</f>
        <v/>
      </c>
      <c r="Q1822" s="7">
        <f>IF($B1822="","",O1822-P1822)</f>
        <v/>
      </c>
      <c r="R1822" s="7">
        <f>IF($B1822="","",Q1822-J1822)</f>
        <v/>
      </c>
      <c r="S1822" s="7" t="n"/>
      <c r="T1822" s="7" t="n"/>
      <c r="V1822" s="14" t="n"/>
      <c r="Z1822">
        <f>IF($B1822="","",IF(COUNTIF($B$2:$B1822,$B1822)=1,1,0))</f>
        <v/>
      </c>
      <c r="AA1822">
        <f>IF($Z1822=1,SUMPRODUCT(--($AC$2:$AC$3001&lt;$AC1822))+1,"")</f>
        <v/>
      </c>
      <c r="AB1822">
        <f>IF($B1822="","",IF(OR($Y1822=TRUE(),$Y1822="TRUE"),1,IF(AND($Y1822&lt;&gt;"",OR($Y1822=FALSE(),$Y1822="FALSE")),0,IF(MIN(ABS($X1822/100-Settings!$C$6),ABS($X1822/100-Settings!$G$6))&lt;=MIN(ABS($X1822/100-Settings!$C$7),ABS($X1822/100-Settings!$G$7)),1,0))))</f>
        <v/>
      </c>
      <c r="AC1822">
        <f>IF($Z1822=1,IFERROR(IF(VALUE($B1822)&lt;100000000,VALUE($B1822),1000000000),IFERROR(IF(VALUE(MID($B1822,2,20))&lt;100000000,VALUE(MID($B1822,2,20)),1000000000),1000000000))+ROW()/100000,"")</f>
        <v/>
      </c>
    </row>
    <row r="1823">
      <c r="A1823">
        <f>IF($B1823="","",IFERROR(IF(INDEX('Per Invoice'!$A$2:$A$801,MATCH($B1823,'Per Invoice'!$B$2:$B$801,0))=0,"",INDEX('Per Invoice'!$A$2:$A$801,MATCH($B1823,'Per Invoice'!$B$2:$B$801,0))),""))</f>
        <v/>
      </c>
      <c r="J1823" s="7">
        <f>IF($B1823="","",I1823*Q1823/100)</f>
        <v/>
      </c>
      <c r="N1823" s="7" t="n"/>
      <c r="O1823" s="7" t="n"/>
      <c r="P1823" s="7">
        <f>IF($B1823="","",O1823*X1823/100)</f>
        <v/>
      </c>
      <c r="Q1823" s="7">
        <f>IF($B1823="","",O1823-P1823)</f>
        <v/>
      </c>
      <c r="R1823" s="7">
        <f>IF($B1823="","",Q1823-J1823)</f>
        <v/>
      </c>
      <c r="S1823" s="7" t="n"/>
      <c r="T1823" s="7" t="n"/>
      <c r="V1823" s="14" t="n"/>
      <c r="Z1823">
        <f>IF($B1823="","",IF(COUNTIF($B$2:$B1823,$B1823)=1,1,0))</f>
        <v/>
      </c>
      <c r="AA1823">
        <f>IF($Z1823=1,SUMPRODUCT(--($AC$2:$AC$3001&lt;$AC1823))+1,"")</f>
        <v/>
      </c>
      <c r="AB1823">
        <f>IF($B1823="","",IF(OR($Y1823=TRUE(),$Y1823="TRUE"),1,IF(AND($Y1823&lt;&gt;"",OR($Y1823=FALSE(),$Y1823="FALSE")),0,IF(MIN(ABS($X1823/100-Settings!$C$6),ABS($X1823/100-Settings!$G$6))&lt;=MIN(ABS($X1823/100-Settings!$C$7),ABS($X1823/100-Settings!$G$7)),1,0))))</f>
        <v/>
      </c>
      <c r="AC1823">
        <f>IF($Z1823=1,IFERROR(IF(VALUE($B1823)&lt;100000000,VALUE($B1823),1000000000),IFERROR(IF(VALUE(MID($B1823,2,20))&lt;100000000,VALUE(MID($B1823,2,20)),1000000000),1000000000))+ROW()/100000,"")</f>
        <v/>
      </c>
    </row>
    <row r="1824">
      <c r="A1824">
        <f>IF($B1824="","",IFERROR(IF(INDEX('Per Invoice'!$A$2:$A$801,MATCH($B1824,'Per Invoice'!$B$2:$B$801,0))=0,"",INDEX('Per Invoice'!$A$2:$A$801,MATCH($B1824,'Per Invoice'!$B$2:$B$801,0))),""))</f>
        <v/>
      </c>
      <c r="J1824" s="7">
        <f>IF($B1824="","",I1824*Q1824/100)</f>
        <v/>
      </c>
      <c r="N1824" s="7" t="n"/>
      <c r="O1824" s="7" t="n"/>
      <c r="P1824" s="7">
        <f>IF($B1824="","",O1824*X1824/100)</f>
        <v/>
      </c>
      <c r="Q1824" s="7">
        <f>IF($B1824="","",O1824-P1824)</f>
        <v/>
      </c>
      <c r="R1824" s="7">
        <f>IF($B1824="","",Q1824-J1824)</f>
        <v/>
      </c>
      <c r="S1824" s="7" t="n"/>
      <c r="T1824" s="7" t="n"/>
      <c r="V1824" s="14" t="n"/>
      <c r="Z1824">
        <f>IF($B1824="","",IF(COUNTIF($B$2:$B1824,$B1824)=1,1,0))</f>
        <v/>
      </c>
      <c r="AA1824">
        <f>IF($Z1824=1,SUMPRODUCT(--($AC$2:$AC$3001&lt;$AC1824))+1,"")</f>
        <v/>
      </c>
      <c r="AB1824">
        <f>IF($B1824="","",IF(OR($Y1824=TRUE(),$Y1824="TRUE"),1,IF(AND($Y1824&lt;&gt;"",OR($Y1824=FALSE(),$Y1824="FALSE")),0,IF(MIN(ABS($X1824/100-Settings!$C$6),ABS($X1824/100-Settings!$G$6))&lt;=MIN(ABS($X1824/100-Settings!$C$7),ABS($X1824/100-Settings!$G$7)),1,0))))</f>
        <v/>
      </c>
      <c r="AC1824">
        <f>IF($Z1824=1,IFERROR(IF(VALUE($B1824)&lt;100000000,VALUE($B1824),1000000000),IFERROR(IF(VALUE(MID($B1824,2,20))&lt;100000000,VALUE(MID($B1824,2,20)),1000000000),1000000000))+ROW()/100000,"")</f>
        <v/>
      </c>
    </row>
    <row r="1825">
      <c r="A1825">
        <f>IF($B1825="","",IFERROR(IF(INDEX('Per Invoice'!$A$2:$A$801,MATCH($B1825,'Per Invoice'!$B$2:$B$801,0))=0,"",INDEX('Per Invoice'!$A$2:$A$801,MATCH($B1825,'Per Invoice'!$B$2:$B$801,0))),""))</f>
        <v/>
      </c>
      <c r="J1825" s="7">
        <f>IF($B1825="","",I1825*Q1825/100)</f>
        <v/>
      </c>
      <c r="N1825" s="7" t="n"/>
      <c r="O1825" s="7" t="n"/>
      <c r="P1825" s="7">
        <f>IF($B1825="","",O1825*X1825/100)</f>
        <v/>
      </c>
      <c r="Q1825" s="7">
        <f>IF($B1825="","",O1825-P1825)</f>
        <v/>
      </c>
      <c r="R1825" s="7">
        <f>IF($B1825="","",Q1825-J1825)</f>
        <v/>
      </c>
      <c r="S1825" s="7" t="n"/>
      <c r="T1825" s="7" t="n"/>
      <c r="V1825" s="14" t="n"/>
      <c r="Z1825">
        <f>IF($B1825="","",IF(COUNTIF($B$2:$B1825,$B1825)=1,1,0))</f>
        <v/>
      </c>
      <c r="AA1825">
        <f>IF($Z1825=1,SUMPRODUCT(--($AC$2:$AC$3001&lt;$AC1825))+1,"")</f>
        <v/>
      </c>
      <c r="AB1825">
        <f>IF($B1825="","",IF(OR($Y1825=TRUE(),$Y1825="TRUE"),1,IF(AND($Y1825&lt;&gt;"",OR($Y1825=FALSE(),$Y1825="FALSE")),0,IF(MIN(ABS($X1825/100-Settings!$C$6),ABS($X1825/100-Settings!$G$6))&lt;=MIN(ABS($X1825/100-Settings!$C$7),ABS($X1825/100-Settings!$G$7)),1,0))))</f>
        <v/>
      </c>
      <c r="AC1825">
        <f>IF($Z1825=1,IFERROR(IF(VALUE($B1825)&lt;100000000,VALUE($B1825),1000000000),IFERROR(IF(VALUE(MID($B1825,2,20))&lt;100000000,VALUE(MID($B1825,2,20)),1000000000),1000000000))+ROW()/100000,"")</f>
        <v/>
      </c>
    </row>
    <row r="1826">
      <c r="A1826">
        <f>IF($B1826="","",IFERROR(IF(INDEX('Per Invoice'!$A$2:$A$801,MATCH($B1826,'Per Invoice'!$B$2:$B$801,0))=0,"",INDEX('Per Invoice'!$A$2:$A$801,MATCH($B1826,'Per Invoice'!$B$2:$B$801,0))),""))</f>
        <v/>
      </c>
      <c r="J1826" s="7">
        <f>IF($B1826="","",I1826*Q1826/100)</f>
        <v/>
      </c>
      <c r="N1826" s="7" t="n"/>
      <c r="O1826" s="7" t="n"/>
      <c r="P1826" s="7">
        <f>IF($B1826="","",O1826*X1826/100)</f>
        <v/>
      </c>
      <c r="Q1826" s="7">
        <f>IF($B1826="","",O1826-P1826)</f>
        <v/>
      </c>
      <c r="R1826" s="7">
        <f>IF($B1826="","",Q1826-J1826)</f>
        <v/>
      </c>
      <c r="S1826" s="7" t="n"/>
      <c r="T1826" s="7" t="n"/>
      <c r="V1826" s="14" t="n"/>
      <c r="Z1826">
        <f>IF($B1826="","",IF(COUNTIF($B$2:$B1826,$B1826)=1,1,0))</f>
        <v/>
      </c>
      <c r="AA1826">
        <f>IF($Z1826=1,SUMPRODUCT(--($AC$2:$AC$3001&lt;$AC1826))+1,"")</f>
        <v/>
      </c>
      <c r="AB1826">
        <f>IF($B1826="","",IF(OR($Y1826=TRUE(),$Y1826="TRUE"),1,IF(AND($Y1826&lt;&gt;"",OR($Y1826=FALSE(),$Y1826="FALSE")),0,IF(MIN(ABS($X1826/100-Settings!$C$6),ABS($X1826/100-Settings!$G$6))&lt;=MIN(ABS($X1826/100-Settings!$C$7),ABS($X1826/100-Settings!$G$7)),1,0))))</f>
        <v/>
      </c>
      <c r="AC1826">
        <f>IF($Z1826=1,IFERROR(IF(VALUE($B1826)&lt;100000000,VALUE($B1826),1000000000),IFERROR(IF(VALUE(MID($B1826,2,20))&lt;100000000,VALUE(MID($B1826,2,20)),1000000000),1000000000))+ROW()/100000,"")</f>
        <v/>
      </c>
    </row>
    <row r="1827">
      <c r="A1827">
        <f>IF($B1827="","",IFERROR(IF(INDEX('Per Invoice'!$A$2:$A$801,MATCH($B1827,'Per Invoice'!$B$2:$B$801,0))=0,"",INDEX('Per Invoice'!$A$2:$A$801,MATCH($B1827,'Per Invoice'!$B$2:$B$801,0))),""))</f>
        <v/>
      </c>
      <c r="J1827" s="7">
        <f>IF($B1827="","",I1827*Q1827/100)</f>
        <v/>
      </c>
      <c r="N1827" s="7" t="n"/>
      <c r="O1827" s="7" t="n"/>
      <c r="P1827" s="7">
        <f>IF($B1827="","",O1827*X1827/100)</f>
        <v/>
      </c>
      <c r="Q1827" s="7">
        <f>IF($B1827="","",O1827-P1827)</f>
        <v/>
      </c>
      <c r="R1827" s="7">
        <f>IF($B1827="","",Q1827-J1827)</f>
        <v/>
      </c>
      <c r="S1827" s="7" t="n"/>
      <c r="T1827" s="7" t="n"/>
      <c r="V1827" s="14" t="n"/>
      <c r="Z1827">
        <f>IF($B1827="","",IF(COUNTIF($B$2:$B1827,$B1827)=1,1,0))</f>
        <v/>
      </c>
      <c r="AA1827">
        <f>IF($Z1827=1,SUMPRODUCT(--($AC$2:$AC$3001&lt;$AC1827))+1,"")</f>
        <v/>
      </c>
      <c r="AB1827">
        <f>IF($B1827="","",IF(OR($Y1827=TRUE(),$Y1827="TRUE"),1,IF(AND($Y1827&lt;&gt;"",OR($Y1827=FALSE(),$Y1827="FALSE")),0,IF(MIN(ABS($X1827/100-Settings!$C$6),ABS($X1827/100-Settings!$G$6))&lt;=MIN(ABS($X1827/100-Settings!$C$7),ABS($X1827/100-Settings!$G$7)),1,0))))</f>
        <v/>
      </c>
      <c r="AC1827">
        <f>IF($Z1827=1,IFERROR(IF(VALUE($B1827)&lt;100000000,VALUE($B1827),1000000000),IFERROR(IF(VALUE(MID($B1827,2,20))&lt;100000000,VALUE(MID($B1827,2,20)),1000000000),1000000000))+ROW()/100000,"")</f>
        <v/>
      </c>
    </row>
    <row r="1828">
      <c r="A1828">
        <f>IF($B1828="","",IFERROR(IF(INDEX('Per Invoice'!$A$2:$A$801,MATCH($B1828,'Per Invoice'!$B$2:$B$801,0))=0,"",INDEX('Per Invoice'!$A$2:$A$801,MATCH($B1828,'Per Invoice'!$B$2:$B$801,0))),""))</f>
        <v/>
      </c>
      <c r="J1828" s="7">
        <f>IF($B1828="","",I1828*Q1828/100)</f>
        <v/>
      </c>
      <c r="N1828" s="7" t="n"/>
      <c r="O1828" s="7" t="n"/>
      <c r="P1828" s="7">
        <f>IF($B1828="","",O1828*X1828/100)</f>
        <v/>
      </c>
      <c r="Q1828" s="7">
        <f>IF($B1828="","",O1828-P1828)</f>
        <v/>
      </c>
      <c r="R1828" s="7">
        <f>IF($B1828="","",Q1828-J1828)</f>
        <v/>
      </c>
      <c r="S1828" s="7" t="n"/>
      <c r="T1828" s="7" t="n"/>
      <c r="V1828" s="14" t="n"/>
      <c r="Z1828">
        <f>IF($B1828="","",IF(COUNTIF($B$2:$B1828,$B1828)=1,1,0))</f>
        <v/>
      </c>
      <c r="AA1828">
        <f>IF($Z1828=1,SUMPRODUCT(--($AC$2:$AC$3001&lt;$AC1828))+1,"")</f>
        <v/>
      </c>
      <c r="AB1828">
        <f>IF($B1828="","",IF(OR($Y1828=TRUE(),$Y1828="TRUE"),1,IF(AND($Y1828&lt;&gt;"",OR($Y1828=FALSE(),$Y1828="FALSE")),0,IF(MIN(ABS($X1828/100-Settings!$C$6),ABS($X1828/100-Settings!$G$6))&lt;=MIN(ABS($X1828/100-Settings!$C$7),ABS($X1828/100-Settings!$G$7)),1,0))))</f>
        <v/>
      </c>
      <c r="AC1828">
        <f>IF($Z1828=1,IFERROR(IF(VALUE($B1828)&lt;100000000,VALUE($B1828),1000000000),IFERROR(IF(VALUE(MID($B1828,2,20))&lt;100000000,VALUE(MID($B1828,2,20)),1000000000),1000000000))+ROW()/100000,"")</f>
        <v/>
      </c>
    </row>
    <row r="1829">
      <c r="A1829">
        <f>IF($B1829="","",IFERROR(IF(INDEX('Per Invoice'!$A$2:$A$801,MATCH($B1829,'Per Invoice'!$B$2:$B$801,0))=0,"",INDEX('Per Invoice'!$A$2:$A$801,MATCH($B1829,'Per Invoice'!$B$2:$B$801,0))),""))</f>
        <v/>
      </c>
      <c r="J1829" s="7">
        <f>IF($B1829="","",I1829*Q1829/100)</f>
        <v/>
      </c>
      <c r="N1829" s="7" t="n"/>
      <c r="O1829" s="7" t="n"/>
      <c r="P1829" s="7">
        <f>IF($B1829="","",O1829*X1829/100)</f>
        <v/>
      </c>
      <c r="Q1829" s="7">
        <f>IF($B1829="","",O1829-P1829)</f>
        <v/>
      </c>
      <c r="R1829" s="7">
        <f>IF($B1829="","",Q1829-J1829)</f>
        <v/>
      </c>
      <c r="S1829" s="7" t="n"/>
      <c r="T1829" s="7" t="n"/>
      <c r="V1829" s="14" t="n"/>
      <c r="Z1829">
        <f>IF($B1829="","",IF(COUNTIF($B$2:$B1829,$B1829)=1,1,0))</f>
        <v/>
      </c>
      <c r="AA1829">
        <f>IF($Z1829=1,SUMPRODUCT(--($AC$2:$AC$3001&lt;$AC1829))+1,"")</f>
        <v/>
      </c>
      <c r="AB1829">
        <f>IF($B1829="","",IF(OR($Y1829=TRUE(),$Y1829="TRUE"),1,IF(AND($Y1829&lt;&gt;"",OR($Y1829=FALSE(),$Y1829="FALSE")),0,IF(MIN(ABS($X1829/100-Settings!$C$6),ABS($X1829/100-Settings!$G$6))&lt;=MIN(ABS($X1829/100-Settings!$C$7),ABS($X1829/100-Settings!$G$7)),1,0))))</f>
        <v/>
      </c>
      <c r="AC1829">
        <f>IF($Z1829=1,IFERROR(IF(VALUE($B1829)&lt;100000000,VALUE($B1829),1000000000),IFERROR(IF(VALUE(MID($B1829,2,20))&lt;100000000,VALUE(MID($B1829,2,20)),1000000000),1000000000))+ROW()/100000,"")</f>
        <v/>
      </c>
    </row>
    <row r="1830">
      <c r="A1830">
        <f>IF($B1830="","",IFERROR(IF(INDEX('Per Invoice'!$A$2:$A$801,MATCH($B1830,'Per Invoice'!$B$2:$B$801,0))=0,"",INDEX('Per Invoice'!$A$2:$A$801,MATCH($B1830,'Per Invoice'!$B$2:$B$801,0))),""))</f>
        <v/>
      </c>
      <c r="J1830" s="7">
        <f>IF($B1830="","",I1830*Q1830/100)</f>
        <v/>
      </c>
      <c r="N1830" s="7" t="n"/>
      <c r="O1830" s="7" t="n"/>
      <c r="P1830" s="7">
        <f>IF($B1830="","",O1830*X1830/100)</f>
        <v/>
      </c>
      <c r="Q1830" s="7">
        <f>IF($B1830="","",O1830-P1830)</f>
        <v/>
      </c>
      <c r="R1830" s="7">
        <f>IF($B1830="","",Q1830-J1830)</f>
        <v/>
      </c>
      <c r="S1830" s="7" t="n"/>
      <c r="T1830" s="7" t="n"/>
      <c r="V1830" s="14" t="n"/>
      <c r="Z1830">
        <f>IF($B1830="","",IF(COUNTIF($B$2:$B1830,$B1830)=1,1,0))</f>
        <v/>
      </c>
      <c r="AA1830">
        <f>IF($Z1830=1,SUMPRODUCT(--($AC$2:$AC$3001&lt;$AC1830))+1,"")</f>
        <v/>
      </c>
      <c r="AB1830">
        <f>IF($B1830="","",IF(OR($Y1830=TRUE(),$Y1830="TRUE"),1,IF(AND($Y1830&lt;&gt;"",OR($Y1830=FALSE(),$Y1830="FALSE")),0,IF(MIN(ABS($X1830/100-Settings!$C$6),ABS($X1830/100-Settings!$G$6))&lt;=MIN(ABS($X1830/100-Settings!$C$7),ABS($X1830/100-Settings!$G$7)),1,0))))</f>
        <v/>
      </c>
      <c r="AC1830">
        <f>IF($Z1830=1,IFERROR(IF(VALUE($B1830)&lt;100000000,VALUE($B1830),1000000000),IFERROR(IF(VALUE(MID($B1830,2,20))&lt;100000000,VALUE(MID($B1830,2,20)),1000000000),1000000000))+ROW()/100000,"")</f>
        <v/>
      </c>
    </row>
    <row r="1831">
      <c r="A1831">
        <f>IF($B1831="","",IFERROR(IF(INDEX('Per Invoice'!$A$2:$A$801,MATCH($B1831,'Per Invoice'!$B$2:$B$801,0))=0,"",INDEX('Per Invoice'!$A$2:$A$801,MATCH($B1831,'Per Invoice'!$B$2:$B$801,0))),""))</f>
        <v/>
      </c>
      <c r="J1831" s="7">
        <f>IF($B1831="","",I1831*Q1831/100)</f>
        <v/>
      </c>
      <c r="N1831" s="7" t="n"/>
      <c r="O1831" s="7" t="n"/>
      <c r="P1831" s="7">
        <f>IF($B1831="","",O1831*X1831/100)</f>
        <v/>
      </c>
      <c r="Q1831" s="7">
        <f>IF($B1831="","",O1831-P1831)</f>
        <v/>
      </c>
      <c r="R1831" s="7">
        <f>IF($B1831="","",Q1831-J1831)</f>
        <v/>
      </c>
      <c r="S1831" s="7" t="n"/>
      <c r="T1831" s="7" t="n"/>
      <c r="V1831" s="14" t="n"/>
      <c r="Z1831">
        <f>IF($B1831="","",IF(COUNTIF($B$2:$B1831,$B1831)=1,1,0))</f>
        <v/>
      </c>
      <c r="AA1831">
        <f>IF($Z1831=1,SUMPRODUCT(--($AC$2:$AC$3001&lt;$AC1831))+1,"")</f>
        <v/>
      </c>
      <c r="AB1831">
        <f>IF($B1831="","",IF(OR($Y1831=TRUE(),$Y1831="TRUE"),1,IF(AND($Y1831&lt;&gt;"",OR($Y1831=FALSE(),$Y1831="FALSE")),0,IF(MIN(ABS($X1831/100-Settings!$C$6),ABS($X1831/100-Settings!$G$6))&lt;=MIN(ABS($X1831/100-Settings!$C$7),ABS($X1831/100-Settings!$G$7)),1,0))))</f>
        <v/>
      </c>
      <c r="AC1831">
        <f>IF($Z1831=1,IFERROR(IF(VALUE($B1831)&lt;100000000,VALUE($B1831),1000000000),IFERROR(IF(VALUE(MID($B1831,2,20))&lt;100000000,VALUE(MID($B1831,2,20)),1000000000),1000000000))+ROW()/100000,"")</f>
        <v/>
      </c>
    </row>
    <row r="1832">
      <c r="A1832">
        <f>IF($B1832="","",IFERROR(IF(INDEX('Per Invoice'!$A$2:$A$801,MATCH($B1832,'Per Invoice'!$B$2:$B$801,0))=0,"",INDEX('Per Invoice'!$A$2:$A$801,MATCH($B1832,'Per Invoice'!$B$2:$B$801,0))),""))</f>
        <v/>
      </c>
      <c r="J1832" s="7">
        <f>IF($B1832="","",I1832*Q1832/100)</f>
        <v/>
      </c>
      <c r="N1832" s="7" t="n"/>
      <c r="O1832" s="7" t="n"/>
      <c r="P1832" s="7">
        <f>IF($B1832="","",O1832*X1832/100)</f>
        <v/>
      </c>
      <c r="Q1832" s="7">
        <f>IF($B1832="","",O1832-P1832)</f>
        <v/>
      </c>
      <c r="R1832" s="7">
        <f>IF($B1832="","",Q1832-J1832)</f>
        <v/>
      </c>
      <c r="S1832" s="7" t="n"/>
      <c r="T1832" s="7" t="n"/>
      <c r="V1832" s="14" t="n"/>
      <c r="Z1832">
        <f>IF($B1832="","",IF(COUNTIF($B$2:$B1832,$B1832)=1,1,0))</f>
        <v/>
      </c>
      <c r="AA1832">
        <f>IF($Z1832=1,SUMPRODUCT(--($AC$2:$AC$3001&lt;$AC1832))+1,"")</f>
        <v/>
      </c>
      <c r="AB1832">
        <f>IF($B1832="","",IF(OR($Y1832=TRUE(),$Y1832="TRUE"),1,IF(AND($Y1832&lt;&gt;"",OR($Y1832=FALSE(),$Y1832="FALSE")),0,IF(MIN(ABS($X1832/100-Settings!$C$6),ABS($X1832/100-Settings!$G$6))&lt;=MIN(ABS($X1832/100-Settings!$C$7),ABS($X1832/100-Settings!$G$7)),1,0))))</f>
        <v/>
      </c>
      <c r="AC1832">
        <f>IF($Z1832=1,IFERROR(IF(VALUE($B1832)&lt;100000000,VALUE($B1832),1000000000),IFERROR(IF(VALUE(MID($B1832,2,20))&lt;100000000,VALUE(MID($B1832,2,20)),1000000000),1000000000))+ROW()/100000,"")</f>
        <v/>
      </c>
    </row>
    <row r="1833">
      <c r="A1833">
        <f>IF($B1833="","",IFERROR(IF(INDEX('Per Invoice'!$A$2:$A$801,MATCH($B1833,'Per Invoice'!$B$2:$B$801,0))=0,"",INDEX('Per Invoice'!$A$2:$A$801,MATCH($B1833,'Per Invoice'!$B$2:$B$801,0))),""))</f>
        <v/>
      </c>
      <c r="J1833" s="7">
        <f>IF($B1833="","",I1833*Q1833/100)</f>
        <v/>
      </c>
      <c r="N1833" s="7" t="n"/>
      <c r="O1833" s="7" t="n"/>
      <c r="P1833" s="7">
        <f>IF($B1833="","",O1833*X1833/100)</f>
        <v/>
      </c>
      <c r="Q1833" s="7">
        <f>IF($B1833="","",O1833-P1833)</f>
        <v/>
      </c>
      <c r="R1833" s="7">
        <f>IF($B1833="","",Q1833-J1833)</f>
        <v/>
      </c>
      <c r="S1833" s="7" t="n"/>
      <c r="T1833" s="7" t="n"/>
      <c r="V1833" s="14" t="n"/>
      <c r="Z1833">
        <f>IF($B1833="","",IF(COUNTIF($B$2:$B1833,$B1833)=1,1,0))</f>
        <v/>
      </c>
      <c r="AA1833">
        <f>IF($Z1833=1,SUMPRODUCT(--($AC$2:$AC$3001&lt;$AC1833))+1,"")</f>
        <v/>
      </c>
      <c r="AB1833">
        <f>IF($B1833="","",IF(OR($Y1833=TRUE(),$Y1833="TRUE"),1,IF(AND($Y1833&lt;&gt;"",OR($Y1833=FALSE(),$Y1833="FALSE")),0,IF(MIN(ABS($X1833/100-Settings!$C$6),ABS($X1833/100-Settings!$G$6))&lt;=MIN(ABS($X1833/100-Settings!$C$7),ABS($X1833/100-Settings!$G$7)),1,0))))</f>
        <v/>
      </c>
      <c r="AC1833">
        <f>IF($Z1833=1,IFERROR(IF(VALUE($B1833)&lt;100000000,VALUE($B1833),1000000000),IFERROR(IF(VALUE(MID($B1833,2,20))&lt;100000000,VALUE(MID($B1833,2,20)),1000000000),1000000000))+ROW()/100000,"")</f>
        <v/>
      </c>
    </row>
    <row r="1834">
      <c r="A1834">
        <f>IF($B1834="","",IFERROR(IF(INDEX('Per Invoice'!$A$2:$A$801,MATCH($B1834,'Per Invoice'!$B$2:$B$801,0))=0,"",INDEX('Per Invoice'!$A$2:$A$801,MATCH($B1834,'Per Invoice'!$B$2:$B$801,0))),""))</f>
        <v/>
      </c>
      <c r="J1834" s="7">
        <f>IF($B1834="","",I1834*Q1834/100)</f>
        <v/>
      </c>
      <c r="N1834" s="7" t="n"/>
      <c r="O1834" s="7" t="n"/>
      <c r="P1834" s="7">
        <f>IF($B1834="","",O1834*X1834/100)</f>
        <v/>
      </c>
      <c r="Q1834" s="7">
        <f>IF($B1834="","",O1834-P1834)</f>
        <v/>
      </c>
      <c r="R1834" s="7">
        <f>IF($B1834="","",Q1834-J1834)</f>
        <v/>
      </c>
      <c r="S1834" s="7" t="n"/>
      <c r="T1834" s="7" t="n"/>
      <c r="V1834" s="14" t="n"/>
      <c r="Z1834">
        <f>IF($B1834="","",IF(COUNTIF($B$2:$B1834,$B1834)=1,1,0))</f>
        <v/>
      </c>
      <c r="AA1834">
        <f>IF($Z1834=1,SUMPRODUCT(--($AC$2:$AC$3001&lt;$AC1834))+1,"")</f>
        <v/>
      </c>
      <c r="AB1834">
        <f>IF($B1834="","",IF(OR($Y1834=TRUE(),$Y1834="TRUE"),1,IF(AND($Y1834&lt;&gt;"",OR($Y1834=FALSE(),$Y1834="FALSE")),0,IF(MIN(ABS($X1834/100-Settings!$C$6),ABS($X1834/100-Settings!$G$6))&lt;=MIN(ABS($X1834/100-Settings!$C$7),ABS($X1834/100-Settings!$G$7)),1,0))))</f>
        <v/>
      </c>
      <c r="AC1834">
        <f>IF($Z1834=1,IFERROR(IF(VALUE($B1834)&lt;100000000,VALUE($B1834),1000000000),IFERROR(IF(VALUE(MID($B1834,2,20))&lt;100000000,VALUE(MID($B1834,2,20)),1000000000),1000000000))+ROW()/100000,"")</f>
        <v/>
      </c>
    </row>
    <row r="1835">
      <c r="A1835">
        <f>IF($B1835="","",IFERROR(IF(INDEX('Per Invoice'!$A$2:$A$801,MATCH($B1835,'Per Invoice'!$B$2:$B$801,0))=0,"",INDEX('Per Invoice'!$A$2:$A$801,MATCH($B1835,'Per Invoice'!$B$2:$B$801,0))),""))</f>
        <v/>
      </c>
      <c r="J1835" s="7">
        <f>IF($B1835="","",I1835*Q1835/100)</f>
        <v/>
      </c>
      <c r="N1835" s="7" t="n"/>
      <c r="O1835" s="7" t="n"/>
      <c r="P1835" s="7">
        <f>IF($B1835="","",O1835*X1835/100)</f>
        <v/>
      </c>
      <c r="Q1835" s="7">
        <f>IF($B1835="","",O1835-P1835)</f>
        <v/>
      </c>
      <c r="R1835" s="7">
        <f>IF($B1835="","",Q1835-J1835)</f>
        <v/>
      </c>
      <c r="S1835" s="7" t="n"/>
      <c r="T1835" s="7" t="n"/>
      <c r="V1835" s="14" t="n"/>
      <c r="Z1835">
        <f>IF($B1835="","",IF(COUNTIF($B$2:$B1835,$B1835)=1,1,0))</f>
        <v/>
      </c>
      <c r="AA1835">
        <f>IF($Z1835=1,SUMPRODUCT(--($AC$2:$AC$3001&lt;$AC1835))+1,"")</f>
        <v/>
      </c>
      <c r="AB1835">
        <f>IF($B1835="","",IF(OR($Y1835=TRUE(),$Y1835="TRUE"),1,IF(AND($Y1835&lt;&gt;"",OR($Y1835=FALSE(),$Y1835="FALSE")),0,IF(MIN(ABS($X1835/100-Settings!$C$6),ABS($X1835/100-Settings!$G$6))&lt;=MIN(ABS($X1835/100-Settings!$C$7),ABS($X1835/100-Settings!$G$7)),1,0))))</f>
        <v/>
      </c>
      <c r="AC1835">
        <f>IF($Z1835=1,IFERROR(IF(VALUE($B1835)&lt;100000000,VALUE($B1835),1000000000),IFERROR(IF(VALUE(MID($B1835,2,20))&lt;100000000,VALUE(MID($B1835,2,20)),1000000000),1000000000))+ROW()/100000,"")</f>
        <v/>
      </c>
    </row>
    <row r="1836">
      <c r="A1836">
        <f>IF($B1836="","",IFERROR(IF(INDEX('Per Invoice'!$A$2:$A$801,MATCH($B1836,'Per Invoice'!$B$2:$B$801,0))=0,"",INDEX('Per Invoice'!$A$2:$A$801,MATCH($B1836,'Per Invoice'!$B$2:$B$801,0))),""))</f>
        <v/>
      </c>
      <c r="J1836" s="7">
        <f>IF($B1836="","",I1836*Q1836/100)</f>
        <v/>
      </c>
      <c r="N1836" s="7" t="n"/>
      <c r="O1836" s="7" t="n"/>
      <c r="P1836" s="7">
        <f>IF($B1836="","",O1836*X1836/100)</f>
        <v/>
      </c>
      <c r="Q1836" s="7">
        <f>IF($B1836="","",O1836-P1836)</f>
        <v/>
      </c>
      <c r="R1836" s="7">
        <f>IF($B1836="","",Q1836-J1836)</f>
        <v/>
      </c>
      <c r="S1836" s="7" t="n"/>
      <c r="T1836" s="7" t="n"/>
      <c r="V1836" s="14" t="n"/>
      <c r="Z1836">
        <f>IF($B1836="","",IF(COUNTIF($B$2:$B1836,$B1836)=1,1,0))</f>
        <v/>
      </c>
      <c r="AA1836">
        <f>IF($Z1836=1,SUMPRODUCT(--($AC$2:$AC$3001&lt;$AC1836))+1,"")</f>
        <v/>
      </c>
      <c r="AB1836">
        <f>IF($B1836="","",IF(OR($Y1836=TRUE(),$Y1836="TRUE"),1,IF(AND($Y1836&lt;&gt;"",OR($Y1836=FALSE(),$Y1836="FALSE")),0,IF(MIN(ABS($X1836/100-Settings!$C$6),ABS($X1836/100-Settings!$G$6))&lt;=MIN(ABS($X1836/100-Settings!$C$7),ABS($X1836/100-Settings!$G$7)),1,0))))</f>
        <v/>
      </c>
      <c r="AC1836">
        <f>IF($Z1836=1,IFERROR(IF(VALUE($B1836)&lt;100000000,VALUE($B1836),1000000000),IFERROR(IF(VALUE(MID($B1836,2,20))&lt;100000000,VALUE(MID($B1836,2,20)),1000000000),1000000000))+ROW()/100000,"")</f>
        <v/>
      </c>
    </row>
    <row r="1837">
      <c r="A1837">
        <f>IF($B1837="","",IFERROR(IF(INDEX('Per Invoice'!$A$2:$A$801,MATCH($B1837,'Per Invoice'!$B$2:$B$801,0))=0,"",INDEX('Per Invoice'!$A$2:$A$801,MATCH($B1837,'Per Invoice'!$B$2:$B$801,0))),""))</f>
        <v/>
      </c>
      <c r="J1837" s="7">
        <f>IF($B1837="","",I1837*Q1837/100)</f>
        <v/>
      </c>
      <c r="N1837" s="7" t="n"/>
      <c r="O1837" s="7" t="n"/>
      <c r="P1837" s="7">
        <f>IF($B1837="","",O1837*X1837/100)</f>
        <v/>
      </c>
      <c r="Q1837" s="7">
        <f>IF($B1837="","",O1837-P1837)</f>
        <v/>
      </c>
      <c r="R1837" s="7">
        <f>IF($B1837="","",Q1837-J1837)</f>
        <v/>
      </c>
      <c r="S1837" s="7" t="n"/>
      <c r="T1837" s="7" t="n"/>
      <c r="V1837" s="14" t="n"/>
      <c r="Z1837">
        <f>IF($B1837="","",IF(COUNTIF($B$2:$B1837,$B1837)=1,1,0))</f>
        <v/>
      </c>
      <c r="AA1837">
        <f>IF($Z1837=1,SUMPRODUCT(--($AC$2:$AC$3001&lt;$AC1837))+1,"")</f>
        <v/>
      </c>
      <c r="AB1837">
        <f>IF($B1837="","",IF(OR($Y1837=TRUE(),$Y1837="TRUE"),1,IF(AND($Y1837&lt;&gt;"",OR($Y1837=FALSE(),$Y1837="FALSE")),0,IF(MIN(ABS($X1837/100-Settings!$C$6),ABS($X1837/100-Settings!$G$6))&lt;=MIN(ABS($X1837/100-Settings!$C$7),ABS($X1837/100-Settings!$G$7)),1,0))))</f>
        <v/>
      </c>
      <c r="AC1837">
        <f>IF($Z1837=1,IFERROR(IF(VALUE($B1837)&lt;100000000,VALUE($B1837),1000000000),IFERROR(IF(VALUE(MID($B1837,2,20))&lt;100000000,VALUE(MID($B1837,2,20)),1000000000),1000000000))+ROW()/100000,"")</f>
        <v/>
      </c>
    </row>
    <row r="1838">
      <c r="A1838">
        <f>IF($B1838="","",IFERROR(IF(INDEX('Per Invoice'!$A$2:$A$801,MATCH($B1838,'Per Invoice'!$B$2:$B$801,0))=0,"",INDEX('Per Invoice'!$A$2:$A$801,MATCH($B1838,'Per Invoice'!$B$2:$B$801,0))),""))</f>
        <v/>
      </c>
      <c r="J1838" s="7">
        <f>IF($B1838="","",I1838*Q1838/100)</f>
        <v/>
      </c>
      <c r="N1838" s="7" t="n"/>
      <c r="O1838" s="7" t="n"/>
      <c r="P1838" s="7">
        <f>IF($B1838="","",O1838*X1838/100)</f>
        <v/>
      </c>
      <c r="Q1838" s="7">
        <f>IF($B1838="","",O1838-P1838)</f>
        <v/>
      </c>
      <c r="R1838" s="7">
        <f>IF($B1838="","",Q1838-J1838)</f>
        <v/>
      </c>
      <c r="S1838" s="7" t="n"/>
      <c r="T1838" s="7" t="n"/>
      <c r="V1838" s="14" t="n"/>
      <c r="Z1838">
        <f>IF($B1838="","",IF(COUNTIF($B$2:$B1838,$B1838)=1,1,0))</f>
        <v/>
      </c>
      <c r="AA1838">
        <f>IF($Z1838=1,SUMPRODUCT(--($AC$2:$AC$3001&lt;$AC1838))+1,"")</f>
        <v/>
      </c>
      <c r="AB1838">
        <f>IF($B1838="","",IF(OR($Y1838=TRUE(),$Y1838="TRUE"),1,IF(AND($Y1838&lt;&gt;"",OR($Y1838=FALSE(),$Y1838="FALSE")),0,IF(MIN(ABS($X1838/100-Settings!$C$6),ABS($X1838/100-Settings!$G$6))&lt;=MIN(ABS($X1838/100-Settings!$C$7),ABS($X1838/100-Settings!$G$7)),1,0))))</f>
        <v/>
      </c>
      <c r="AC1838">
        <f>IF($Z1838=1,IFERROR(IF(VALUE($B1838)&lt;100000000,VALUE($B1838),1000000000),IFERROR(IF(VALUE(MID($B1838,2,20))&lt;100000000,VALUE(MID($B1838,2,20)),1000000000),1000000000))+ROW()/100000,"")</f>
        <v/>
      </c>
    </row>
    <row r="1839">
      <c r="A1839">
        <f>IF($B1839="","",IFERROR(IF(INDEX('Per Invoice'!$A$2:$A$801,MATCH($B1839,'Per Invoice'!$B$2:$B$801,0))=0,"",INDEX('Per Invoice'!$A$2:$A$801,MATCH($B1839,'Per Invoice'!$B$2:$B$801,0))),""))</f>
        <v/>
      </c>
      <c r="J1839" s="7">
        <f>IF($B1839="","",I1839*Q1839/100)</f>
        <v/>
      </c>
      <c r="N1839" s="7" t="n"/>
      <c r="O1839" s="7" t="n"/>
      <c r="P1839" s="7">
        <f>IF($B1839="","",O1839*X1839/100)</f>
        <v/>
      </c>
      <c r="Q1839" s="7">
        <f>IF($B1839="","",O1839-P1839)</f>
        <v/>
      </c>
      <c r="R1839" s="7">
        <f>IF($B1839="","",Q1839-J1839)</f>
        <v/>
      </c>
      <c r="S1839" s="7" t="n"/>
      <c r="T1839" s="7" t="n"/>
      <c r="V1839" s="14" t="n"/>
      <c r="Z1839">
        <f>IF($B1839="","",IF(COUNTIF($B$2:$B1839,$B1839)=1,1,0))</f>
        <v/>
      </c>
      <c r="AA1839">
        <f>IF($Z1839=1,SUMPRODUCT(--($AC$2:$AC$3001&lt;$AC1839))+1,"")</f>
        <v/>
      </c>
      <c r="AB1839">
        <f>IF($B1839="","",IF(OR($Y1839=TRUE(),$Y1839="TRUE"),1,IF(AND($Y1839&lt;&gt;"",OR($Y1839=FALSE(),$Y1839="FALSE")),0,IF(MIN(ABS($X1839/100-Settings!$C$6),ABS($X1839/100-Settings!$G$6))&lt;=MIN(ABS($X1839/100-Settings!$C$7),ABS($X1839/100-Settings!$G$7)),1,0))))</f>
        <v/>
      </c>
      <c r="AC1839">
        <f>IF($Z1839=1,IFERROR(IF(VALUE($B1839)&lt;100000000,VALUE($B1839),1000000000),IFERROR(IF(VALUE(MID($B1839,2,20))&lt;100000000,VALUE(MID($B1839,2,20)),1000000000),1000000000))+ROW()/100000,"")</f>
        <v/>
      </c>
    </row>
    <row r="1840">
      <c r="A1840">
        <f>IF($B1840="","",IFERROR(IF(INDEX('Per Invoice'!$A$2:$A$801,MATCH($B1840,'Per Invoice'!$B$2:$B$801,0))=0,"",INDEX('Per Invoice'!$A$2:$A$801,MATCH($B1840,'Per Invoice'!$B$2:$B$801,0))),""))</f>
        <v/>
      </c>
      <c r="J1840" s="7">
        <f>IF($B1840="","",I1840*Q1840/100)</f>
        <v/>
      </c>
      <c r="N1840" s="7" t="n"/>
      <c r="O1840" s="7" t="n"/>
      <c r="P1840" s="7">
        <f>IF($B1840="","",O1840*X1840/100)</f>
        <v/>
      </c>
      <c r="Q1840" s="7">
        <f>IF($B1840="","",O1840-P1840)</f>
        <v/>
      </c>
      <c r="R1840" s="7">
        <f>IF($B1840="","",Q1840-J1840)</f>
        <v/>
      </c>
      <c r="S1840" s="7" t="n"/>
      <c r="T1840" s="7" t="n"/>
      <c r="V1840" s="14" t="n"/>
      <c r="Z1840">
        <f>IF($B1840="","",IF(COUNTIF($B$2:$B1840,$B1840)=1,1,0))</f>
        <v/>
      </c>
      <c r="AA1840">
        <f>IF($Z1840=1,SUMPRODUCT(--($AC$2:$AC$3001&lt;$AC1840))+1,"")</f>
        <v/>
      </c>
      <c r="AB1840">
        <f>IF($B1840="","",IF(OR($Y1840=TRUE(),$Y1840="TRUE"),1,IF(AND($Y1840&lt;&gt;"",OR($Y1840=FALSE(),$Y1840="FALSE")),0,IF(MIN(ABS($X1840/100-Settings!$C$6),ABS($X1840/100-Settings!$G$6))&lt;=MIN(ABS($X1840/100-Settings!$C$7),ABS($X1840/100-Settings!$G$7)),1,0))))</f>
        <v/>
      </c>
      <c r="AC1840">
        <f>IF($Z1840=1,IFERROR(IF(VALUE($B1840)&lt;100000000,VALUE($B1840),1000000000),IFERROR(IF(VALUE(MID($B1840,2,20))&lt;100000000,VALUE(MID($B1840,2,20)),1000000000),1000000000))+ROW()/100000,"")</f>
        <v/>
      </c>
    </row>
    <row r="1841">
      <c r="A1841">
        <f>IF($B1841="","",IFERROR(IF(INDEX('Per Invoice'!$A$2:$A$801,MATCH($B1841,'Per Invoice'!$B$2:$B$801,0))=0,"",INDEX('Per Invoice'!$A$2:$A$801,MATCH($B1841,'Per Invoice'!$B$2:$B$801,0))),""))</f>
        <v/>
      </c>
      <c r="J1841" s="7">
        <f>IF($B1841="","",I1841*Q1841/100)</f>
        <v/>
      </c>
      <c r="N1841" s="7" t="n"/>
      <c r="O1841" s="7" t="n"/>
      <c r="P1841" s="7">
        <f>IF($B1841="","",O1841*X1841/100)</f>
        <v/>
      </c>
      <c r="Q1841" s="7">
        <f>IF($B1841="","",O1841-P1841)</f>
        <v/>
      </c>
      <c r="R1841" s="7">
        <f>IF($B1841="","",Q1841-J1841)</f>
        <v/>
      </c>
      <c r="S1841" s="7" t="n"/>
      <c r="T1841" s="7" t="n"/>
      <c r="V1841" s="14" t="n"/>
      <c r="Z1841">
        <f>IF($B1841="","",IF(COUNTIF($B$2:$B1841,$B1841)=1,1,0))</f>
        <v/>
      </c>
      <c r="AA1841">
        <f>IF($Z1841=1,SUMPRODUCT(--($AC$2:$AC$3001&lt;$AC1841))+1,"")</f>
        <v/>
      </c>
      <c r="AB1841">
        <f>IF($B1841="","",IF(OR($Y1841=TRUE(),$Y1841="TRUE"),1,IF(AND($Y1841&lt;&gt;"",OR($Y1841=FALSE(),$Y1841="FALSE")),0,IF(MIN(ABS($X1841/100-Settings!$C$6),ABS($X1841/100-Settings!$G$6))&lt;=MIN(ABS($X1841/100-Settings!$C$7),ABS($X1841/100-Settings!$G$7)),1,0))))</f>
        <v/>
      </c>
      <c r="AC1841">
        <f>IF($Z1841=1,IFERROR(IF(VALUE($B1841)&lt;100000000,VALUE($B1841),1000000000),IFERROR(IF(VALUE(MID($B1841,2,20))&lt;100000000,VALUE(MID($B1841,2,20)),1000000000),1000000000))+ROW()/100000,"")</f>
        <v/>
      </c>
    </row>
    <row r="1842">
      <c r="A1842">
        <f>IF($B1842="","",IFERROR(IF(INDEX('Per Invoice'!$A$2:$A$801,MATCH($B1842,'Per Invoice'!$B$2:$B$801,0))=0,"",INDEX('Per Invoice'!$A$2:$A$801,MATCH($B1842,'Per Invoice'!$B$2:$B$801,0))),""))</f>
        <v/>
      </c>
      <c r="J1842" s="7">
        <f>IF($B1842="","",I1842*Q1842/100)</f>
        <v/>
      </c>
      <c r="N1842" s="7" t="n"/>
      <c r="O1842" s="7" t="n"/>
      <c r="P1842" s="7">
        <f>IF($B1842="","",O1842*X1842/100)</f>
        <v/>
      </c>
      <c r="Q1842" s="7">
        <f>IF($B1842="","",O1842-P1842)</f>
        <v/>
      </c>
      <c r="R1842" s="7">
        <f>IF($B1842="","",Q1842-J1842)</f>
        <v/>
      </c>
      <c r="S1842" s="7" t="n"/>
      <c r="T1842" s="7" t="n"/>
      <c r="V1842" s="14" t="n"/>
      <c r="Z1842">
        <f>IF($B1842="","",IF(COUNTIF($B$2:$B1842,$B1842)=1,1,0))</f>
        <v/>
      </c>
      <c r="AA1842">
        <f>IF($Z1842=1,SUMPRODUCT(--($AC$2:$AC$3001&lt;$AC1842))+1,"")</f>
        <v/>
      </c>
      <c r="AB1842">
        <f>IF($B1842="","",IF(OR($Y1842=TRUE(),$Y1842="TRUE"),1,IF(AND($Y1842&lt;&gt;"",OR($Y1842=FALSE(),$Y1842="FALSE")),0,IF(MIN(ABS($X1842/100-Settings!$C$6),ABS($X1842/100-Settings!$G$6))&lt;=MIN(ABS($X1842/100-Settings!$C$7),ABS($X1842/100-Settings!$G$7)),1,0))))</f>
        <v/>
      </c>
      <c r="AC1842">
        <f>IF($Z1842=1,IFERROR(IF(VALUE($B1842)&lt;100000000,VALUE($B1842),1000000000),IFERROR(IF(VALUE(MID($B1842,2,20))&lt;100000000,VALUE(MID($B1842,2,20)),1000000000),1000000000))+ROW()/100000,"")</f>
        <v/>
      </c>
    </row>
    <row r="1843">
      <c r="A1843">
        <f>IF($B1843="","",IFERROR(IF(INDEX('Per Invoice'!$A$2:$A$801,MATCH($B1843,'Per Invoice'!$B$2:$B$801,0))=0,"",INDEX('Per Invoice'!$A$2:$A$801,MATCH($B1843,'Per Invoice'!$B$2:$B$801,0))),""))</f>
        <v/>
      </c>
      <c r="J1843" s="7">
        <f>IF($B1843="","",I1843*Q1843/100)</f>
        <v/>
      </c>
      <c r="N1843" s="7" t="n"/>
      <c r="O1843" s="7" t="n"/>
      <c r="P1843" s="7">
        <f>IF($B1843="","",O1843*X1843/100)</f>
        <v/>
      </c>
      <c r="Q1843" s="7">
        <f>IF($B1843="","",O1843-P1843)</f>
        <v/>
      </c>
      <c r="R1843" s="7">
        <f>IF($B1843="","",Q1843-J1843)</f>
        <v/>
      </c>
      <c r="S1843" s="7" t="n"/>
      <c r="T1843" s="7" t="n"/>
      <c r="V1843" s="14" t="n"/>
      <c r="Z1843">
        <f>IF($B1843="","",IF(COUNTIF($B$2:$B1843,$B1843)=1,1,0))</f>
        <v/>
      </c>
      <c r="AA1843">
        <f>IF($Z1843=1,SUMPRODUCT(--($AC$2:$AC$3001&lt;$AC1843))+1,"")</f>
        <v/>
      </c>
      <c r="AB1843">
        <f>IF($B1843="","",IF(OR($Y1843=TRUE(),$Y1843="TRUE"),1,IF(AND($Y1843&lt;&gt;"",OR($Y1843=FALSE(),$Y1843="FALSE")),0,IF(MIN(ABS($X1843/100-Settings!$C$6),ABS($X1843/100-Settings!$G$6))&lt;=MIN(ABS($X1843/100-Settings!$C$7),ABS($X1843/100-Settings!$G$7)),1,0))))</f>
        <v/>
      </c>
      <c r="AC1843">
        <f>IF($Z1843=1,IFERROR(IF(VALUE($B1843)&lt;100000000,VALUE($B1843),1000000000),IFERROR(IF(VALUE(MID($B1843,2,20))&lt;100000000,VALUE(MID($B1843,2,20)),1000000000),1000000000))+ROW()/100000,"")</f>
        <v/>
      </c>
    </row>
    <row r="1844">
      <c r="A1844">
        <f>IF($B1844="","",IFERROR(IF(INDEX('Per Invoice'!$A$2:$A$801,MATCH($B1844,'Per Invoice'!$B$2:$B$801,0))=0,"",INDEX('Per Invoice'!$A$2:$A$801,MATCH($B1844,'Per Invoice'!$B$2:$B$801,0))),""))</f>
        <v/>
      </c>
      <c r="J1844" s="7">
        <f>IF($B1844="","",I1844*Q1844/100)</f>
        <v/>
      </c>
      <c r="N1844" s="7" t="n"/>
      <c r="O1844" s="7" t="n"/>
      <c r="P1844" s="7">
        <f>IF($B1844="","",O1844*X1844/100)</f>
        <v/>
      </c>
      <c r="Q1844" s="7">
        <f>IF($B1844="","",O1844-P1844)</f>
        <v/>
      </c>
      <c r="R1844" s="7">
        <f>IF($B1844="","",Q1844-J1844)</f>
        <v/>
      </c>
      <c r="S1844" s="7" t="n"/>
      <c r="T1844" s="7" t="n"/>
      <c r="V1844" s="14" t="n"/>
      <c r="Z1844">
        <f>IF($B1844="","",IF(COUNTIF($B$2:$B1844,$B1844)=1,1,0))</f>
        <v/>
      </c>
      <c r="AA1844">
        <f>IF($Z1844=1,SUMPRODUCT(--($AC$2:$AC$3001&lt;$AC1844))+1,"")</f>
        <v/>
      </c>
      <c r="AB1844">
        <f>IF($B1844="","",IF(OR($Y1844=TRUE(),$Y1844="TRUE"),1,IF(AND($Y1844&lt;&gt;"",OR($Y1844=FALSE(),$Y1844="FALSE")),0,IF(MIN(ABS($X1844/100-Settings!$C$6),ABS($X1844/100-Settings!$G$6))&lt;=MIN(ABS($X1844/100-Settings!$C$7),ABS($X1844/100-Settings!$G$7)),1,0))))</f>
        <v/>
      </c>
      <c r="AC1844">
        <f>IF($Z1844=1,IFERROR(IF(VALUE($B1844)&lt;100000000,VALUE($B1844),1000000000),IFERROR(IF(VALUE(MID($B1844,2,20))&lt;100000000,VALUE(MID($B1844,2,20)),1000000000),1000000000))+ROW()/100000,"")</f>
        <v/>
      </c>
    </row>
    <row r="1845">
      <c r="A1845">
        <f>IF($B1845="","",IFERROR(IF(INDEX('Per Invoice'!$A$2:$A$801,MATCH($B1845,'Per Invoice'!$B$2:$B$801,0))=0,"",INDEX('Per Invoice'!$A$2:$A$801,MATCH($B1845,'Per Invoice'!$B$2:$B$801,0))),""))</f>
        <v/>
      </c>
      <c r="J1845" s="7">
        <f>IF($B1845="","",I1845*Q1845/100)</f>
        <v/>
      </c>
      <c r="N1845" s="7" t="n"/>
      <c r="O1845" s="7" t="n"/>
      <c r="P1845" s="7">
        <f>IF($B1845="","",O1845*X1845/100)</f>
        <v/>
      </c>
      <c r="Q1845" s="7">
        <f>IF($B1845="","",O1845-P1845)</f>
        <v/>
      </c>
      <c r="R1845" s="7">
        <f>IF($B1845="","",Q1845-J1845)</f>
        <v/>
      </c>
      <c r="S1845" s="7" t="n"/>
      <c r="T1845" s="7" t="n"/>
      <c r="V1845" s="14" t="n"/>
      <c r="Z1845">
        <f>IF($B1845="","",IF(COUNTIF($B$2:$B1845,$B1845)=1,1,0))</f>
        <v/>
      </c>
      <c r="AA1845">
        <f>IF($Z1845=1,SUMPRODUCT(--($AC$2:$AC$3001&lt;$AC1845))+1,"")</f>
        <v/>
      </c>
      <c r="AB1845">
        <f>IF($B1845="","",IF(OR($Y1845=TRUE(),$Y1845="TRUE"),1,IF(AND($Y1845&lt;&gt;"",OR($Y1845=FALSE(),$Y1845="FALSE")),0,IF(MIN(ABS($X1845/100-Settings!$C$6),ABS($X1845/100-Settings!$G$6))&lt;=MIN(ABS($X1845/100-Settings!$C$7),ABS($X1845/100-Settings!$G$7)),1,0))))</f>
        <v/>
      </c>
      <c r="AC1845">
        <f>IF($Z1845=1,IFERROR(IF(VALUE($B1845)&lt;100000000,VALUE($B1845),1000000000),IFERROR(IF(VALUE(MID($B1845,2,20))&lt;100000000,VALUE(MID($B1845,2,20)),1000000000),1000000000))+ROW()/100000,"")</f>
        <v/>
      </c>
    </row>
    <row r="1846">
      <c r="A1846">
        <f>IF($B1846="","",IFERROR(IF(INDEX('Per Invoice'!$A$2:$A$801,MATCH($B1846,'Per Invoice'!$B$2:$B$801,0))=0,"",INDEX('Per Invoice'!$A$2:$A$801,MATCH($B1846,'Per Invoice'!$B$2:$B$801,0))),""))</f>
        <v/>
      </c>
      <c r="J1846" s="7">
        <f>IF($B1846="","",I1846*Q1846/100)</f>
        <v/>
      </c>
      <c r="N1846" s="7" t="n"/>
      <c r="O1846" s="7" t="n"/>
      <c r="P1846" s="7">
        <f>IF($B1846="","",O1846*X1846/100)</f>
        <v/>
      </c>
      <c r="Q1846" s="7">
        <f>IF($B1846="","",O1846-P1846)</f>
        <v/>
      </c>
      <c r="R1846" s="7">
        <f>IF($B1846="","",Q1846-J1846)</f>
        <v/>
      </c>
      <c r="S1846" s="7" t="n"/>
      <c r="T1846" s="7" t="n"/>
      <c r="V1846" s="14" t="n"/>
      <c r="Z1846">
        <f>IF($B1846="","",IF(COUNTIF($B$2:$B1846,$B1846)=1,1,0))</f>
        <v/>
      </c>
      <c r="AA1846">
        <f>IF($Z1846=1,SUMPRODUCT(--($AC$2:$AC$3001&lt;$AC1846))+1,"")</f>
        <v/>
      </c>
      <c r="AB1846">
        <f>IF($B1846="","",IF(OR($Y1846=TRUE(),$Y1846="TRUE"),1,IF(AND($Y1846&lt;&gt;"",OR($Y1846=FALSE(),$Y1846="FALSE")),0,IF(MIN(ABS($X1846/100-Settings!$C$6),ABS($X1846/100-Settings!$G$6))&lt;=MIN(ABS($X1846/100-Settings!$C$7),ABS($X1846/100-Settings!$G$7)),1,0))))</f>
        <v/>
      </c>
      <c r="AC1846">
        <f>IF($Z1846=1,IFERROR(IF(VALUE($B1846)&lt;100000000,VALUE($B1846),1000000000),IFERROR(IF(VALUE(MID($B1846,2,20))&lt;100000000,VALUE(MID($B1846,2,20)),1000000000),1000000000))+ROW()/100000,"")</f>
        <v/>
      </c>
    </row>
    <row r="1847">
      <c r="A1847">
        <f>IF($B1847="","",IFERROR(IF(INDEX('Per Invoice'!$A$2:$A$801,MATCH($B1847,'Per Invoice'!$B$2:$B$801,0))=0,"",INDEX('Per Invoice'!$A$2:$A$801,MATCH($B1847,'Per Invoice'!$B$2:$B$801,0))),""))</f>
        <v/>
      </c>
      <c r="J1847" s="7">
        <f>IF($B1847="","",I1847*Q1847/100)</f>
        <v/>
      </c>
      <c r="N1847" s="7" t="n"/>
      <c r="O1847" s="7" t="n"/>
      <c r="P1847" s="7">
        <f>IF($B1847="","",O1847*X1847/100)</f>
        <v/>
      </c>
      <c r="Q1847" s="7">
        <f>IF($B1847="","",O1847-P1847)</f>
        <v/>
      </c>
      <c r="R1847" s="7">
        <f>IF($B1847="","",Q1847-J1847)</f>
        <v/>
      </c>
      <c r="S1847" s="7" t="n"/>
      <c r="T1847" s="7" t="n"/>
      <c r="V1847" s="14" t="n"/>
      <c r="Z1847">
        <f>IF($B1847="","",IF(COUNTIF($B$2:$B1847,$B1847)=1,1,0))</f>
        <v/>
      </c>
      <c r="AA1847">
        <f>IF($Z1847=1,SUMPRODUCT(--($AC$2:$AC$3001&lt;$AC1847))+1,"")</f>
        <v/>
      </c>
      <c r="AB1847">
        <f>IF($B1847="","",IF(OR($Y1847=TRUE(),$Y1847="TRUE"),1,IF(AND($Y1847&lt;&gt;"",OR($Y1847=FALSE(),$Y1847="FALSE")),0,IF(MIN(ABS($X1847/100-Settings!$C$6),ABS($X1847/100-Settings!$G$6))&lt;=MIN(ABS($X1847/100-Settings!$C$7),ABS($X1847/100-Settings!$G$7)),1,0))))</f>
        <v/>
      </c>
      <c r="AC1847">
        <f>IF($Z1847=1,IFERROR(IF(VALUE($B1847)&lt;100000000,VALUE($B1847),1000000000),IFERROR(IF(VALUE(MID($B1847,2,20))&lt;100000000,VALUE(MID($B1847,2,20)),1000000000),1000000000))+ROW()/100000,"")</f>
        <v/>
      </c>
    </row>
    <row r="1848">
      <c r="A1848">
        <f>IF($B1848="","",IFERROR(IF(INDEX('Per Invoice'!$A$2:$A$801,MATCH($B1848,'Per Invoice'!$B$2:$B$801,0))=0,"",INDEX('Per Invoice'!$A$2:$A$801,MATCH($B1848,'Per Invoice'!$B$2:$B$801,0))),""))</f>
        <v/>
      </c>
      <c r="J1848" s="7">
        <f>IF($B1848="","",I1848*Q1848/100)</f>
        <v/>
      </c>
      <c r="N1848" s="7" t="n"/>
      <c r="O1848" s="7" t="n"/>
      <c r="P1848" s="7">
        <f>IF($B1848="","",O1848*X1848/100)</f>
        <v/>
      </c>
      <c r="Q1848" s="7">
        <f>IF($B1848="","",O1848-P1848)</f>
        <v/>
      </c>
      <c r="R1848" s="7">
        <f>IF($B1848="","",Q1848-J1848)</f>
        <v/>
      </c>
      <c r="S1848" s="7" t="n"/>
      <c r="T1848" s="7" t="n"/>
      <c r="V1848" s="14" t="n"/>
      <c r="Z1848">
        <f>IF($B1848="","",IF(COUNTIF($B$2:$B1848,$B1848)=1,1,0))</f>
        <v/>
      </c>
      <c r="AA1848">
        <f>IF($Z1848=1,SUMPRODUCT(--($AC$2:$AC$3001&lt;$AC1848))+1,"")</f>
        <v/>
      </c>
      <c r="AB1848">
        <f>IF($B1848="","",IF(OR($Y1848=TRUE(),$Y1848="TRUE"),1,IF(AND($Y1848&lt;&gt;"",OR($Y1848=FALSE(),$Y1848="FALSE")),0,IF(MIN(ABS($X1848/100-Settings!$C$6),ABS($X1848/100-Settings!$G$6))&lt;=MIN(ABS($X1848/100-Settings!$C$7),ABS($X1848/100-Settings!$G$7)),1,0))))</f>
        <v/>
      </c>
      <c r="AC1848">
        <f>IF($Z1848=1,IFERROR(IF(VALUE($B1848)&lt;100000000,VALUE($B1848),1000000000),IFERROR(IF(VALUE(MID($B1848,2,20))&lt;100000000,VALUE(MID($B1848,2,20)),1000000000),1000000000))+ROW()/100000,"")</f>
        <v/>
      </c>
    </row>
    <row r="1849">
      <c r="A1849">
        <f>IF($B1849="","",IFERROR(IF(INDEX('Per Invoice'!$A$2:$A$801,MATCH($B1849,'Per Invoice'!$B$2:$B$801,0))=0,"",INDEX('Per Invoice'!$A$2:$A$801,MATCH($B1849,'Per Invoice'!$B$2:$B$801,0))),""))</f>
        <v/>
      </c>
      <c r="J1849" s="7">
        <f>IF($B1849="","",I1849*Q1849/100)</f>
        <v/>
      </c>
      <c r="N1849" s="7" t="n"/>
      <c r="O1849" s="7" t="n"/>
      <c r="P1849" s="7">
        <f>IF($B1849="","",O1849*X1849/100)</f>
        <v/>
      </c>
      <c r="Q1849" s="7">
        <f>IF($B1849="","",O1849-P1849)</f>
        <v/>
      </c>
      <c r="R1849" s="7">
        <f>IF($B1849="","",Q1849-J1849)</f>
        <v/>
      </c>
      <c r="S1849" s="7" t="n"/>
      <c r="T1849" s="7" t="n"/>
      <c r="V1849" s="14" t="n"/>
      <c r="Z1849">
        <f>IF($B1849="","",IF(COUNTIF($B$2:$B1849,$B1849)=1,1,0))</f>
        <v/>
      </c>
      <c r="AA1849">
        <f>IF($Z1849=1,SUMPRODUCT(--($AC$2:$AC$3001&lt;$AC1849))+1,"")</f>
        <v/>
      </c>
      <c r="AB1849">
        <f>IF($B1849="","",IF(OR($Y1849=TRUE(),$Y1849="TRUE"),1,IF(AND($Y1849&lt;&gt;"",OR($Y1849=FALSE(),$Y1849="FALSE")),0,IF(MIN(ABS($X1849/100-Settings!$C$6),ABS($X1849/100-Settings!$G$6))&lt;=MIN(ABS($X1849/100-Settings!$C$7),ABS($X1849/100-Settings!$G$7)),1,0))))</f>
        <v/>
      </c>
      <c r="AC1849">
        <f>IF($Z1849=1,IFERROR(IF(VALUE($B1849)&lt;100000000,VALUE($B1849),1000000000),IFERROR(IF(VALUE(MID($B1849,2,20))&lt;100000000,VALUE(MID($B1849,2,20)),1000000000),1000000000))+ROW()/100000,"")</f>
        <v/>
      </c>
    </row>
    <row r="1850">
      <c r="A1850">
        <f>IF($B1850="","",IFERROR(IF(INDEX('Per Invoice'!$A$2:$A$801,MATCH($B1850,'Per Invoice'!$B$2:$B$801,0))=0,"",INDEX('Per Invoice'!$A$2:$A$801,MATCH($B1850,'Per Invoice'!$B$2:$B$801,0))),""))</f>
        <v/>
      </c>
      <c r="J1850" s="7">
        <f>IF($B1850="","",I1850*Q1850/100)</f>
        <v/>
      </c>
      <c r="N1850" s="7" t="n"/>
      <c r="O1850" s="7" t="n"/>
      <c r="P1850" s="7">
        <f>IF($B1850="","",O1850*X1850/100)</f>
        <v/>
      </c>
      <c r="Q1850" s="7">
        <f>IF($B1850="","",O1850-P1850)</f>
        <v/>
      </c>
      <c r="R1850" s="7">
        <f>IF($B1850="","",Q1850-J1850)</f>
        <v/>
      </c>
      <c r="S1850" s="7" t="n"/>
      <c r="T1850" s="7" t="n"/>
      <c r="V1850" s="14" t="n"/>
      <c r="Z1850">
        <f>IF($B1850="","",IF(COUNTIF($B$2:$B1850,$B1850)=1,1,0))</f>
        <v/>
      </c>
      <c r="AA1850">
        <f>IF($Z1850=1,SUMPRODUCT(--($AC$2:$AC$3001&lt;$AC1850))+1,"")</f>
        <v/>
      </c>
      <c r="AB1850">
        <f>IF($B1850="","",IF(OR($Y1850=TRUE(),$Y1850="TRUE"),1,IF(AND($Y1850&lt;&gt;"",OR($Y1850=FALSE(),$Y1850="FALSE")),0,IF(MIN(ABS($X1850/100-Settings!$C$6),ABS($X1850/100-Settings!$G$6))&lt;=MIN(ABS($X1850/100-Settings!$C$7),ABS($X1850/100-Settings!$G$7)),1,0))))</f>
        <v/>
      </c>
      <c r="AC1850">
        <f>IF($Z1850=1,IFERROR(IF(VALUE($B1850)&lt;100000000,VALUE($B1850),1000000000),IFERROR(IF(VALUE(MID($B1850,2,20))&lt;100000000,VALUE(MID($B1850,2,20)),1000000000),1000000000))+ROW()/100000,"")</f>
        <v/>
      </c>
    </row>
    <row r="1851">
      <c r="A1851">
        <f>IF($B1851="","",IFERROR(IF(INDEX('Per Invoice'!$A$2:$A$801,MATCH($B1851,'Per Invoice'!$B$2:$B$801,0))=0,"",INDEX('Per Invoice'!$A$2:$A$801,MATCH($B1851,'Per Invoice'!$B$2:$B$801,0))),""))</f>
        <v/>
      </c>
      <c r="J1851" s="7">
        <f>IF($B1851="","",I1851*Q1851/100)</f>
        <v/>
      </c>
      <c r="N1851" s="7" t="n"/>
      <c r="O1851" s="7" t="n"/>
      <c r="P1851" s="7">
        <f>IF($B1851="","",O1851*X1851/100)</f>
        <v/>
      </c>
      <c r="Q1851" s="7">
        <f>IF($B1851="","",O1851-P1851)</f>
        <v/>
      </c>
      <c r="R1851" s="7">
        <f>IF($B1851="","",Q1851-J1851)</f>
        <v/>
      </c>
      <c r="S1851" s="7" t="n"/>
      <c r="T1851" s="7" t="n"/>
      <c r="V1851" s="14" t="n"/>
      <c r="Z1851">
        <f>IF($B1851="","",IF(COUNTIF($B$2:$B1851,$B1851)=1,1,0))</f>
        <v/>
      </c>
      <c r="AA1851">
        <f>IF($Z1851=1,SUMPRODUCT(--($AC$2:$AC$3001&lt;$AC1851))+1,"")</f>
        <v/>
      </c>
      <c r="AB1851">
        <f>IF($B1851="","",IF(OR($Y1851=TRUE(),$Y1851="TRUE"),1,IF(AND($Y1851&lt;&gt;"",OR($Y1851=FALSE(),$Y1851="FALSE")),0,IF(MIN(ABS($X1851/100-Settings!$C$6),ABS($X1851/100-Settings!$G$6))&lt;=MIN(ABS($X1851/100-Settings!$C$7),ABS($X1851/100-Settings!$G$7)),1,0))))</f>
        <v/>
      </c>
      <c r="AC1851">
        <f>IF($Z1851=1,IFERROR(IF(VALUE($B1851)&lt;100000000,VALUE($B1851),1000000000),IFERROR(IF(VALUE(MID($B1851,2,20))&lt;100000000,VALUE(MID($B1851,2,20)),1000000000),1000000000))+ROW()/100000,"")</f>
        <v/>
      </c>
    </row>
    <row r="1852">
      <c r="A1852">
        <f>IF($B1852="","",IFERROR(IF(INDEX('Per Invoice'!$A$2:$A$801,MATCH($B1852,'Per Invoice'!$B$2:$B$801,0))=0,"",INDEX('Per Invoice'!$A$2:$A$801,MATCH($B1852,'Per Invoice'!$B$2:$B$801,0))),""))</f>
        <v/>
      </c>
      <c r="J1852" s="7">
        <f>IF($B1852="","",I1852*Q1852/100)</f>
        <v/>
      </c>
      <c r="N1852" s="7" t="n"/>
      <c r="O1852" s="7" t="n"/>
      <c r="P1852" s="7">
        <f>IF($B1852="","",O1852*X1852/100)</f>
        <v/>
      </c>
      <c r="Q1852" s="7">
        <f>IF($B1852="","",O1852-P1852)</f>
        <v/>
      </c>
      <c r="R1852" s="7">
        <f>IF($B1852="","",Q1852-J1852)</f>
        <v/>
      </c>
      <c r="S1852" s="7" t="n"/>
      <c r="T1852" s="7" t="n"/>
      <c r="V1852" s="14" t="n"/>
      <c r="Z1852">
        <f>IF($B1852="","",IF(COUNTIF($B$2:$B1852,$B1852)=1,1,0))</f>
        <v/>
      </c>
      <c r="AA1852">
        <f>IF($Z1852=1,SUMPRODUCT(--($AC$2:$AC$3001&lt;$AC1852))+1,"")</f>
        <v/>
      </c>
      <c r="AB1852">
        <f>IF($B1852="","",IF(OR($Y1852=TRUE(),$Y1852="TRUE"),1,IF(AND($Y1852&lt;&gt;"",OR($Y1852=FALSE(),$Y1852="FALSE")),0,IF(MIN(ABS($X1852/100-Settings!$C$6),ABS($X1852/100-Settings!$G$6))&lt;=MIN(ABS($X1852/100-Settings!$C$7),ABS($X1852/100-Settings!$G$7)),1,0))))</f>
        <v/>
      </c>
      <c r="AC1852">
        <f>IF($Z1852=1,IFERROR(IF(VALUE($B1852)&lt;100000000,VALUE($B1852),1000000000),IFERROR(IF(VALUE(MID($B1852,2,20))&lt;100000000,VALUE(MID($B1852,2,20)),1000000000),1000000000))+ROW()/100000,"")</f>
        <v/>
      </c>
    </row>
    <row r="1853">
      <c r="A1853">
        <f>IF($B1853="","",IFERROR(IF(INDEX('Per Invoice'!$A$2:$A$801,MATCH($B1853,'Per Invoice'!$B$2:$B$801,0))=0,"",INDEX('Per Invoice'!$A$2:$A$801,MATCH($B1853,'Per Invoice'!$B$2:$B$801,0))),""))</f>
        <v/>
      </c>
      <c r="J1853" s="7">
        <f>IF($B1853="","",I1853*Q1853/100)</f>
        <v/>
      </c>
      <c r="N1853" s="7" t="n"/>
      <c r="O1853" s="7" t="n"/>
      <c r="P1853" s="7">
        <f>IF($B1853="","",O1853*X1853/100)</f>
        <v/>
      </c>
      <c r="Q1853" s="7">
        <f>IF($B1853="","",O1853-P1853)</f>
        <v/>
      </c>
      <c r="R1853" s="7">
        <f>IF($B1853="","",Q1853-J1853)</f>
        <v/>
      </c>
      <c r="S1853" s="7" t="n"/>
      <c r="T1853" s="7" t="n"/>
      <c r="V1853" s="14" t="n"/>
      <c r="Z1853">
        <f>IF($B1853="","",IF(COUNTIF($B$2:$B1853,$B1853)=1,1,0))</f>
        <v/>
      </c>
      <c r="AA1853">
        <f>IF($Z1853=1,SUMPRODUCT(--($AC$2:$AC$3001&lt;$AC1853))+1,"")</f>
        <v/>
      </c>
      <c r="AB1853">
        <f>IF($B1853="","",IF(OR($Y1853=TRUE(),$Y1853="TRUE"),1,IF(AND($Y1853&lt;&gt;"",OR($Y1853=FALSE(),$Y1853="FALSE")),0,IF(MIN(ABS($X1853/100-Settings!$C$6),ABS($X1853/100-Settings!$G$6))&lt;=MIN(ABS($X1853/100-Settings!$C$7),ABS($X1853/100-Settings!$G$7)),1,0))))</f>
        <v/>
      </c>
      <c r="AC1853">
        <f>IF($Z1853=1,IFERROR(IF(VALUE($B1853)&lt;100000000,VALUE($B1853),1000000000),IFERROR(IF(VALUE(MID($B1853,2,20))&lt;100000000,VALUE(MID($B1853,2,20)),1000000000),1000000000))+ROW()/100000,"")</f>
        <v/>
      </c>
    </row>
    <row r="1854">
      <c r="A1854">
        <f>IF($B1854="","",IFERROR(IF(INDEX('Per Invoice'!$A$2:$A$801,MATCH($B1854,'Per Invoice'!$B$2:$B$801,0))=0,"",INDEX('Per Invoice'!$A$2:$A$801,MATCH($B1854,'Per Invoice'!$B$2:$B$801,0))),""))</f>
        <v/>
      </c>
      <c r="J1854" s="7">
        <f>IF($B1854="","",I1854*Q1854/100)</f>
        <v/>
      </c>
      <c r="N1854" s="7" t="n"/>
      <c r="O1854" s="7" t="n"/>
      <c r="P1854" s="7">
        <f>IF($B1854="","",O1854*X1854/100)</f>
        <v/>
      </c>
      <c r="Q1854" s="7">
        <f>IF($B1854="","",O1854-P1854)</f>
        <v/>
      </c>
      <c r="R1854" s="7">
        <f>IF($B1854="","",Q1854-J1854)</f>
        <v/>
      </c>
      <c r="S1854" s="7" t="n"/>
      <c r="T1854" s="7" t="n"/>
      <c r="V1854" s="14" t="n"/>
      <c r="Z1854">
        <f>IF($B1854="","",IF(COUNTIF($B$2:$B1854,$B1854)=1,1,0))</f>
        <v/>
      </c>
      <c r="AA1854">
        <f>IF($Z1854=1,SUMPRODUCT(--($AC$2:$AC$3001&lt;$AC1854))+1,"")</f>
        <v/>
      </c>
      <c r="AB1854">
        <f>IF($B1854="","",IF(OR($Y1854=TRUE(),$Y1854="TRUE"),1,IF(AND($Y1854&lt;&gt;"",OR($Y1854=FALSE(),$Y1854="FALSE")),0,IF(MIN(ABS($X1854/100-Settings!$C$6),ABS($X1854/100-Settings!$G$6))&lt;=MIN(ABS($X1854/100-Settings!$C$7),ABS($X1854/100-Settings!$G$7)),1,0))))</f>
        <v/>
      </c>
      <c r="AC1854">
        <f>IF($Z1854=1,IFERROR(IF(VALUE($B1854)&lt;100000000,VALUE($B1854),1000000000),IFERROR(IF(VALUE(MID($B1854,2,20))&lt;100000000,VALUE(MID($B1854,2,20)),1000000000),1000000000))+ROW()/100000,"")</f>
        <v/>
      </c>
    </row>
    <row r="1855">
      <c r="A1855">
        <f>IF($B1855="","",IFERROR(IF(INDEX('Per Invoice'!$A$2:$A$801,MATCH($B1855,'Per Invoice'!$B$2:$B$801,0))=0,"",INDEX('Per Invoice'!$A$2:$A$801,MATCH($B1855,'Per Invoice'!$B$2:$B$801,0))),""))</f>
        <v/>
      </c>
      <c r="J1855" s="7">
        <f>IF($B1855="","",I1855*Q1855/100)</f>
        <v/>
      </c>
      <c r="N1855" s="7" t="n"/>
      <c r="O1855" s="7" t="n"/>
      <c r="P1855" s="7">
        <f>IF($B1855="","",O1855*X1855/100)</f>
        <v/>
      </c>
      <c r="Q1855" s="7">
        <f>IF($B1855="","",O1855-P1855)</f>
        <v/>
      </c>
      <c r="R1855" s="7">
        <f>IF($B1855="","",Q1855-J1855)</f>
        <v/>
      </c>
      <c r="S1855" s="7" t="n"/>
      <c r="T1855" s="7" t="n"/>
      <c r="V1855" s="14" t="n"/>
      <c r="Z1855">
        <f>IF($B1855="","",IF(COUNTIF($B$2:$B1855,$B1855)=1,1,0))</f>
        <v/>
      </c>
      <c r="AA1855">
        <f>IF($Z1855=1,SUMPRODUCT(--($AC$2:$AC$3001&lt;$AC1855))+1,"")</f>
        <v/>
      </c>
      <c r="AB1855">
        <f>IF($B1855="","",IF(OR($Y1855=TRUE(),$Y1855="TRUE"),1,IF(AND($Y1855&lt;&gt;"",OR($Y1855=FALSE(),$Y1855="FALSE")),0,IF(MIN(ABS($X1855/100-Settings!$C$6),ABS($X1855/100-Settings!$G$6))&lt;=MIN(ABS($X1855/100-Settings!$C$7),ABS($X1855/100-Settings!$G$7)),1,0))))</f>
        <v/>
      </c>
      <c r="AC1855">
        <f>IF($Z1855=1,IFERROR(IF(VALUE($B1855)&lt;100000000,VALUE($B1855),1000000000),IFERROR(IF(VALUE(MID($B1855,2,20))&lt;100000000,VALUE(MID($B1855,2,20)),1000000000),1000000000))+ROW()/100000,"")</f>
        <v/>
      </c>
    </row>
    <row r="1856">
      <c r="A1856">
        <f>IF($B1856="","",IFERROR(IF(INDEX('Per Invoice'!$A$2:$A$801,MATCH($B1856,'Per Invoice'!$B$2:$B$801,0))=0,"",INDEX('Per Invoice'!$A$2:$A$801,MATCH($B1856,'Per Invoice'!$B$2:$B$801,0))),""))</f>
        <v/>
      </c>
      <c r="J1856" s="7">
        <f>IF($B1856="","",I1856*Q1856/100)</f>
        <v/>
      </c>
      <c r="N1856" s="7" t="n"/>
      <c r="O1856" s="7" t="n"/>
      <c r="P1856" s="7">
        <f>IF($B1856="","",O1856*X1856/100)</f>
        <v/>
      </c>
      <c r="Q1856" s="7">
        <f>IF($B1856="","",O1856-P1856)</f>
        <v/>
      </c>
      <c r="R1856" s="7">
        <f>IF($B1856="","",Q1856-J1856)</f>
        <v/>
      </c>
      <c r="S1856" s="7" t="n"/>
      <c r="T1856" s="7" t="n"/>
      <c r="V1856" s="14" t="n"/>
      <c r="Z1856">
        <f>IF($B1856="","",IF(COUNTIF($B$2:$B1856,$B1856)=1,1,0))</f>
        <v/>
      </c>
      <c r="AA1856">
        <f>IF($Z1856=1,SUMPRODUCT(--($AC$2:$AC$3001&lt;$AC1856))+1,"")</f>
        <v/>
      </c>
      <c r="AB1856">
        <f>IF($B1856="","",IF(OR($Y1856=TRUE(),$Y1856="TRUE"),1,IF(AND($Y1856&lt;&gt;"",OR($Y1856=FALSE(),$Y1856="FALSE")),0,IF(MIN(ABS($X1856/100-Settings!$C$6),ABS($X1856/100-Settings!$G$6))&lt;=MIN(ABS($X1856/100-Settings!$C$7),ABS($X1856/100-Settings!$G$7)),1,0))))</f>
        <v/>
      </c>
      <c r="AC1856">
        <f>IF($Z1856=1,IFERROR(IF(VALUE($B1856)&lt;100000000,VALUE($B1856),1000000000),IFERROR(IF(VALUE(MID($B1856,2,20))&lt;100000000,VALUE(MID($B1856,2,20)),1000000000),1000000000))+ROW()/100000,"")</f>
        <v/>
      </c>
    </row>
    <row r="1857">
      <c r="A1857">
        <f>IF($B1857="","",IFERROR(IF(INDEX('Per Invoice'!$A$2:$A$801,MATCH($B1857,'Per Invoice'!$B$2:$B$801,0))=0,"",INDEX('Per Invoice'!$A$2:$A$801,MATCH($B1857,'Per Invoice'!$B$2:$B$801,0))),""))</f>
        <v/>
      </c>
      <c r="J1857" s="7">
        <f>IF($B1857="","",I1857*Q1857/100)</f>
        <v/>
      </c>
      <c r="N1857" s="7" t="n"/>
      <c r="O1857" s="7" t="n"/>
      <c r="P1857" s="7">
        <f>IF($B1857="","",O1857*X1857/100)</f>
        <v/>
      </c>
      <c r="Q1857" s="7">
        <f>IF($B1857="","",O1857-P1857)</f>
        <v/>
      </c>
      <c r="R1857" s="7">
        <f>IF($B1857="","",Q1857-J1857)</f>
        <v/>
      </c>
      <c r="S1857" s="7" t="n"/>
      <c r="T1857" s="7" t="n"/>
      <c r="V1857" s="14" t="n"/>
      <c r="Z1857">
        <f>IF($B1857="","",IF(COUNTIF($B$2:$B1857,$B1857)=1,1,0))</f>
        <v/>
      </c>
      <c r="AA1857">
        <f>IF($Z1857=1,SUMPRODUCT(--($AC$2:$AC$3001&lt;$AC1857))+1,"")</f>
        <v/>
      </c>
      <c r="AB1857">
        <f>IF($B1857="","",IF(OR($Y1857=TRUE(),$Y1857="TRUE"),1,IF(AND($Y1857&lt;&gt;"",OR($Y1857=FALSE(),$Y1857="FALSE")),0,IF(MIN(ABS($X1857/100-Settings!$C$6),ABS($X1857/100-Settings!$G$6))&lt;=MIN(ABS($X1857/100-Settings!$C$7),ABS($X1857/100-Settings!$G$7)),1,0))))</f>
        <v/>
      </c>
      <c r="AC1857">
        <f>IF($Z1857=1,IFERROR(IF(VALUE($B1857)&lt;100000000,VALUE($B1857),1000000000),IFERROR(IF(VALUE(MID($B1857,2,20))&lt;100000000,VALUE(MID($B1857,2,20)),1000000000),1000000000))+ROW()/100000,"")</f>
        <v/>
      </c>
    </row>
    <row r="1858">
      <c r="A1858">
        <f>IF($B1858="","",IFERROR(IF(INDEX('Per Invoice'!$A$2:$A$801,MATCH($B1858,'Per Invoice'!$B$2:$B$801,0))=0,"",INDEX('Per Invoice'!$A$2:$A$801,MATCH($B1858,'Per Invoice'!$B$2:$B$801,0))),""))</f>
        <v/>
      </c>
      <c r="J1858" s="7">
        <f>IF($B1858="","",I1858*Q1858/100)</f>
        <v/>
      </c>
      <c r="N1858" s="7" t="n"/>
      <c r="O1858" s="7" t="n"/>
      <c r="P1858" s="7">
        <f>IF($B1858="","",O1858*X1858/100)</f>
        <v/>
      </c>
      <c r="Q1858" s="7">
        <f>IF($B1858="","",O1858-P1858)</f>
        <v/>
      </c>
      <c r="R1858" s="7">
        <f>IF($B1858="","",Q1858-J1858)</f>
        <v/>
      </c>
      <c r="S1858" s="7" t="n"/>
      <c r="T1858" s="7" t="n"/>
      <c r="V1858" s="14" t="n"/>
      <c r="Z1858">
        <f>IF($B1858="","",IF(COUNTIF($B$2:$B1858,$B1858)=1,1,0))</f>
        <v/>
      </c>
      <c r="AA1858">
        <f>IF($Z1858=1,SUMPRODUCT(--($AC$2:$AC$3001&lt;$AC1858))+1,"")</f>
        <v/>
      </c>
      <c r="AB1858">
        <f>IF($B1858="","",IF(OR($Y1858=TRUE(),$Y1858="TRUE"),1,IF(AND($Y1858&lt;&gt;"",OR($Y1858=FALSE(),$Y1858="FALSE")),0,IF(MIN(ABS($X1858/100-Settings!$C$6),ABS($X1858/100-Settings!$G$6))&lt;=MIN(ABS($X1858/100-Settings!$C$7),ABS($X1858/100-Settings!$G$7)),1,0))))</f>
        <v/>
      </c>
      <c r="AC1858">
        <f>IF($Z1858=1,IFERROR(IF(VALUE($B1858)&lt;100000000,VALUE($B1858),1000000000),IFERROR(IF(VALUE(MID($B1858,2,20))&lt;100000000,VALUE(MID($B1858,2,20)),1000000000),1000000000))+ROW()/100000,"")</f>
        <v/>
      </c>
    </row>
    <row r="1859">
      <c r="A1859">
        <f>IF($B1859="","",IFERROR(IF(INDEX('Per Invoice'!$A$2:$A$801,MATCH($B1859,'Per Invoice'!$B$2:$B$801,0))=0,"",INDEX('Per Invoice'!$A$2:$A$801,MATCH($B1859,'Per Invoice'!$B$2:$B$801,0))),""))</f>
        <v/>
      </c>
      <c r="J1859" s="7">
        <f>IF($B1859="","",I1859*Q1859/100)</f>
        <v/>
      </c>
      <c r="N1859" s="7" t="n"/>
      <c r="O1859" s="7" t="n"/>
      <c r="P1859" s="7">
        <f>IF($B1859="","",O1859*X1859/100)</f>
        <v/>
      </c>
      <c r="Q1859" s="7">
        <f>IF($B1859="","",O1859-P1859)</f>
        <v/>
      </c>
      <c r="R1859" s="7">
        <f>IF($B1859="","",Q1859-J1859)</f>
        <v/>
      </c>
      <c r="S1859" s="7" t="n"/>
      <c r="T1859" s="7" t="n"/>
      <c r="V1859" s="14" t="n"/>
      <c r="Z1859">
        <f>IF($B1859="","",IF(COUNTIF($B$2:$B1859,$B1859)=1,1,0))</f>
        <v/>
      </c>
      <c r="AA1859">
        <f>IF($Z1859=1,SUMPRODUCT(--($AC$2:$AC$3001&lt;$AC1859))+1,"")</f>
        <v/>
      </c>
      <c r="AB1859">
        <f>IF($B1859="","",IF(OR($Y1859=TRUE(),$Y1859="TRUE"),1,IF(AND($Y1859&lt;&gt;"",OR($Y1859=FALSE(),$Y1859="FALSE")),0,IF(MIN(ABS($X1859/100-Settings!$C$6),ABS($X1859/100-Settings!$G$6))&lt;=MIN(ABS($X1859/100-Settings!$C$7),ABS($X1859/100-Settings!$G$7)),1,0))))</f>
        <v/>
      </c>
      <c r="AC1859">
        <f>IF($Z1859=1,IFERROR(IF(VALUE($B1859)&lt;100000000,VALUE($B1859),1000000000),IFERROR(IF(VALUE(MID($B1859,2,20))&lt;100000000,VALUE(MID($B1859,2,20)),1000000000),1000000000))+ROW()/100000,"")</f>
        <v/>
      </c>
    </row>
    <row r="1860">
      <c r="A1860">
        <f>IF($B1860="","",IFERROR(IF(INDEX('Per Invoice'!$A$2:$A$801,MATCH($B1860,'Per Invoice'!$B$2:$B$801,0))=0,"",INDEX('Per Invoice'!$A$2:$A$801,MATCH($B1860,'Per Invoice'!$B$2:$B$801,0))),""))</f>
        <v/>
      </c>
      <c r="J1860" s="7">
        <f>IF($B1860="","",I1860*Q1860/100)</f>
        <v/>
      </c>
      <c r="N1860" s="7" t="n"/>
      <c r="O1860" s="7" t="n"/>
      <c r="P1860" s="7">
        <f>IF($B1860="","",O1860*X1860/100)</f>
        <v/>
      </c>
      <c r="Q1860" s="7">
        <f>IF($B1860="","",O1860-P1860)</f>
        <v/>
      </c>
      <c r="R1860" s="7">
        <f>IF($B1860="","",Q1860-J1860)</f>
        <v/>
      </c>
      <c r="S1860" s="7" t="n"/>
      <c r="T1860" s="7" t="n"/>
      <c r="V1860" s="14" t="n"/>
      <c r="Z1860">
        <f>IF($B1860="","",IF(COUNTIF($B$2:$B1860,$B1860)=1,1,0))</f>
        <v/>
      </c>
      <c r="AA1860">
        <f>IF($Z1860=1,SUMPRODUCT(--($AC$2:$AC$3001&lt;$AC1860))+1,"")</f>
        <v/>
      </c>
      <c r="AB1860">
        <f>IF($B1860="","",IF(OR($Y1860=TRUE(),$Y1860="TRUE"),1,IF(AND($Y1860&lt;&gt;"",OR($Y1860=FALSE(),$Y1860="FALSE")),0,IF(MIN(ABS($X1860/100-Settings!$C$6),ABS($X1860/100-Settings!$G$6))&lt;=MIN(ABS($X1860/100-Settings!$C$7),ABS($X1860/100-Settings!$G$7)),1,0))))</f>
        <v/>
      </c>
      <c r="AC1860">
        <f>IF($Z1860=1,IFERROR(IF(VALUE($B1860)&lt;100000000,VALUE($B1860),1000000000),IFERROR(IF(VALUE(MID($B1860,2,20))&lt;100000000,VALUE(MID($B1860,2,20)),1000000000),1000000000))+ROW()/100000,"")</f>
        <v/>
      </c>
    </row>
    <row r="1861">
      <c r="A1861">
        <f>IF($B1861="","",IFERROR(IF(INDEX('Per Invoice'!$A$2:$A$801,MATCH($B1861,'Per Invoice'!$B$2:$B$801,0))=0,"",INDEX('Per Invoice'!$A$2:$A$801,MATCH($B1861,'Per Invoice'!$B$2:$B$801,0))),""))</f>
        <v/>
      </c>
      <c r="J1861" s="7">
        <f>IF($B1861="","",I1861*Q1861/100)</f>
        <v/>
      </c>
      <c r="N1861" s="7" t="n"/>
      <c r="O1861" s="7" t="n"/>
      <c r="P1861" s="7">
        <f>IF($B1861="","",O1861*X1861/100)</f>
        <v/>
      </c>
      <c r="Q1861" s="7">
        <f>IF($B1861="","",O1861-P1861)</f>
        <v/>
      </c>
      <c r="R1861" s="7">
        <f>IF($B1861="","",Q1861-J1861)</f>
        <v/>
      </c>
      <c r="S1861" s="7" t="n"/>
      <c r="T1861" s="7" t="n"/>
      <c r="V1861" s="14" t="n"/>
      <c r="Z1861">
        <f>IF($B1861="","",IF(COUNTIF($B$2:$B1861,$B1861)=1,1,0))</f>
        <v/>
      </c>
      <c r="AA1861">
        <f>IF($Z1861=1,SUMPRODUCT(--($AC$2:$AC$3001&lt;$AC1861))+1,"")</f>
        <v/>
      </c>
      <c r="AB1861">
        <f>IF($B1861="","",IF(OR($Y1861=TRUE(),$Y1861="TRUE"),1,IF(AND($Y1861&lt;&gt;"",OR($Y1861=FALSE(),$Y1861="FALSE")),0,IF(MIN(ABS($X1861/100-Settings!$C$6),ABS($X1861/100-Settings!$G$6))&lt;=MIN(ABS($X1861/100-Settings!$C$7),ABS($X1861/100-Settings!$G$7)),1,0))))</f>
        <v/>
      </c>
      <c r="AC1861">
        <f>IF($Z1861=1,IFERROR(IF(VALUE($B1861)&lt;100000000,VALUE($B1861),1000000000),IFERROR(IF(VALUE(MID($B1861,2,20))&lt;100000000,VALUE(MID($B1861,2,20)),1000000000),1000000000))+ROW()/100000,"")</f>
        <v/>
      </c>
    </row>
    <row r="1862">
      <c r="A1862">
        <f>IF($B1862="","",IFERROR(IF(INDEX('Per Invoice'!$A$2:$A$801,MATCH($B1862,'Per Invoice'!$B$2:$B$801,0))=0,"",INDEX('Per Invoice'!$A$2:$A$801,MATCH($B1862,'Per Invoice'!$B$2:$B$801,0))),""))</f>
        <v/>
      </c>
      <c r="J1862" s="7">
        <f>IF($B1862="","",I1862*Q1862/100)</f>
        <v/>
      </c>
      <c r="N1862" s="7" t="n"/>
      <c r="O1862" s="7" t="n"/>
      <c r="P1862" s="7">
        <f>IF($B1862="","",O1862*X1862/100)</f>
        <v/>
      </c>
      <c r="Q1862" s="7">
        <f>IF($B1862="","",O1862-P1862)</f>
        <v/>
      </c>
      <c r="R1862" s="7">
        <f>IF($B1862="","",Q1862-J1862)</f>
        <v/>
      </c>
      <c r="S1862" s="7" t="n"/>
      <c r="T1862" s="7" t="n"/>
      <c r="V1862" s="14" t="n"/>
      <c r="Z1862">
        <f>IF($B1862="","",IF(COUNTIF($B$2:$B1862,$B1862)=1,1,0))</f>
        <v/>
      </c>
      <c r="AA1862">
        <f>IF($Z1862=1,SUMPRODUCT(--($AC$2:$AC$3001&lt;$AC1862))+1,"")</f>
        <v/>
      </c>
      <c r="AB1862">
        <f>IF($B1862="","",IF(OR($Y1862=TRUE(),$Y1862="TRUE"),1,IF(AND($Y1862&lt;&gt;"",OR($Y1862=FALSE(),$Y1862="FALSE")),0,IF(MIN(ABS($X1862/100-Settings!$C$6),ABS($X1862/100-Settings!$G$6))&lt;=MIN(ABS($X1862/100-Settings!$C$7),ABS($X1862/100-Settings!$G$7)),1,0))))</f>
        <v/>
      </c>
      <c r="AC1862">
        <f>IF($Z1862=1,IFERROR(IF(VALUE($B1862)&lt;100000000,VALUE($B1862),1000000000),IFERROR(IF(VALUE(MID($B1862,2,20))&lt;100000000,VALUE(MID($B1862,2,20)),1000000000),1000000000))+ROW()/100000,"")</f>
        <v/>
      </c>
    </row>
    <row r="1863">
      <c r="A1863">
        <f>IF($B1863="","",IFERROR(IF(INDEX('Per Invoice'!$A$2:$A$801,MATCH($B1863,'Per Invoice'!$B$2:$B$801,0))=0,"",INDEX('Per Invoice'!$A$2:$A$801,MATCH($B1863,'Per Invoice'!$B$2:$B$801,0))),""))</f>
        <v/>
      </c>
      <c r="J1863" s="7">
        <f>IF($B1863="","",I1863*Q1863/100)</f>
        <v/>
      </c>
      <c r="N1863" s="7" t="n"/>
      <c r="O1863" s="7" t="n"/>
      <c r="P1863" s="7">
        <f>IF($B1863="","",O1863*X1863/100)</f>
        <v/>
      </c>
      <c r="Q1863" s="7">
        <f>IF($B1863="","",O1863-P1863)</f>
        <v/>
      </c>
      <c r="R1863" s="7">
        <f>IF($B1863="","",Q1863-J1863)</f>
        <v/>
      </c>
      <c r="S1863" s="7" t="n"/>
      <c r="T1863" s="7" t="n"/>
      <c r="V1863" s="14" t="n"/>
      <c r="Z1863">
        <f>IF($B1863="","",IF(COUNTIF($B$2:$B1863,$B1863)=1,1,0))</f>
        <v/>
      </c>
      <c r="AA1863">
        <f>IF($Z1863=1,SUMPRODUCT(--($AC$2:$AC$3001&lt;$AC1863))+1,"")</f>
        <v/>
      </c>
      <c r="AB1863">
        <f>IF($B1863="","",IF(OR($Y1863=TRUE(),$Y1863="TRUE"),1,IF(AND($Y1863&lt;&gt;"",OR($Y1863=FALSE(),$Y1863="FALSE")),0,IF(MIN(ABS($X1863/100-Settings!$C$6),ABS($X1863/100-Settings!$G$6))&lt;=MIN(ABS($X1863/100-Settings!$C$7),ABS($X1863/100-Settings!$G$7)),1,0))))</f>
        <v/>
      </c>
      <c r="AC1863">
        <f>IF($Z1863=1,IFERROR(IF(VALUE($B1863)&lt;100000000,VALUE($B1863),1000000000),IFERROR(IF(VALUE(MID($B1863,2,20))&lt;100000000,VALUE(MID($B1863,2,20)),1000000000),1000000000))+ROW()/100000,"")</f>
        <v/>
      </c>
    </row>
    <row r="1864">
      <c r="A1864">
        <f>IF($B1864="","",IFERROR(IF(INDEX('Per Invoice'!$A$2:$A$801,MATCH($B1864,'Per Invoice'!$B$2:$B$801,0))=0,"",INDEX('Per Invoice'!$A$2:$A$801,MATCH($B1864,'Per Invoice'!$B$2:$B$801,0))),""))</f>
        <v/>
      </c>
      <c r="J1864" s="7">
        <f>IF($B1864="","",I1864*Q1864/100)</f>
        <v/>
      </c>
      <c r="N1864" s="7" t="n"/>
      <c r="O1864" s="7" t="n"/>
      <c r="P1864" s="7">
        <f>IF($B1864="","",O1864*X1864/100)</f>
        <v/>
      </c>
      <c r="Q1864" s="7">
        <f>IF($B1864="","",O1864-P1864)</f>
        <v/>
      </c>
      <c r="R1864" s="7">
        <f>IF($B1864="","",Q1864-J1864)</f>
        <v/>
      </c>
      <c r="S1864" s="7" t="n"/>
      <c r="T1864" s="7" t="n"/>
      <c r="V1864" s="14" t="n"/>
      <c r="Z1864">
        <f>IF($B1864="","",IF(COUNTIF($B$2:$B1864,$B1864)=1,1,0))</f>
        <v/>
      </c>
      <c r="AA1864">
        <f>IF($Z1864=1,SUMPRODUCT(--($AC$2:$AC$3001&lt;$AC1864))+1,"")</f>
        <v/>
      </c>
      <c r="AB1864">
        <f>IF($B1864="","",IF(OR($Y1864=TRUE(),$Y1864="TRUE"),1,IF(AND($Y1864&lt;&gt;"",OR($Y1864=FALSE(),$Y1864="FALSE")),0,IF(MIN(ABS($X1864/100-Settings!$C$6),ABS($X1864/100-Settings!$G$6))&lt;=MIN(ABS($X1864/100-Settings!$C$7),ABS($X1864/100-Settings!$G$7)),1,0))))</f>
        <v/>
      </c>
      <c r="AC1864">
        <f>IF($Z1864=1,IFERROR(IF(VALUE($B1864)&lt;100000000,VALUE($B1864),1000000000),IFERROR(IF(VALUE(MID($B1864,2,20))&lt;100000000,VALUE(MID($B1864,2,20)),1000000000),1000000000))+ROW()/100000,"")</f>
        <v/>
      </c>
    </row>
    <row r="1865">
      <c r="A1865">
        <f>IF($B1865="","",IFERROR(IF(INDEX('Per Invoice'!$A$2:$A$801,MATCH($B1865,'Per Invoice'!$B$2:$B$801,0))=0,"",INDEX('Per Invoice'!$A$2:$A$801,MATCH($B1865,'Per Invoice'!$B$2:$B$801,0))),""))</f>
        <v/>
      </c>
      <c r="J1865" s="7">
        <f>IF($B1865="","",I1865*Q1865/100)</f>
        <v/>
      </c>
      <c r="N1865" s="7" t="n"/>
      <c r="O1865" s="7" t="n"/>
      <c r="P1865" s="7">
        <f>IF($B1865="","",O1865*X1865/100)</f>
        <v/>
      </c>
      <c r="Q1865" s="7">
        <f>IF($B1865="","",O1865-P1865)</f>
        <v/>
      </c>
      <c r="R1865" s="7">
        <f>IF($B1865="","",Q1865-J1865)</f>
        <v/>
      </c>
      <c r="S1865" s="7" t="n"/>
      <c r="T1865" s="7" t="n"/>
      <c r="V1865" s="14" t="n"/>
      <c r="Z1865">
        <f>IF($B1865="","",IF(COUNTIF($B$2:$B1865,$B1865)=1,1,0))</f>
        <v/>
      </c>
      <c r="AA1865">
        <f>IF($Z1865=1,SUMPRODUCT(--($AC$2:$AC$3001&lt;$AC1865))+1,"")</f>
        <v/>
      </c>
      <c r="AB1865">
        <f>IF($B1865="","",IF(OR($Y1865=TRUE(),$Y1865="TRUE"),1,IF(AND($Y1865&lt;&gt;"",OR($Y1865=FALSE(),$Y1865="FALSE")),0,IF(MIN(ABS($X1865/100-Settings!$C$6),ABS($X1865/100-Settings!$G$6))&lt;=MIN(ABS($X1865/100-Settings!$C$7),ABS($X1865/100-Settings!$G$7)),1,0))))</f>
        <v/>
      </c>
      <c r="AC1865">
        <f>IF($Z1865=1,IFERROR(IF(VALUE($B1865)&lt;100000000,VALUE($B1865),1000000000),IFERROR(IF(VALUE(MID($B1865,2,20))&lt;100000000,VALUE(MID($B1865,2,20)),1000000000),1000000000))+ROW()/100000,"")</f>
        <v/>
      </c>
    </row>
    <row r="1866">
      <c r="A1866">
        <f>IF($B1866="","",IFERROR(IF(INDEX('Per Invoice'!$A$2:$A$801,MATCH($B1866,'Per Invoice'!$B$2:$B$801,0))=0,"",INDEX('Per Invoice'!$A$2:$A$801,MATCH($B1866,'Per Invoice'!$B$2:$B$801,0))),""))</f>
        <v/>
      </c>
      <c r="J1866" s="7">
        <f>IF($B1866="","",I1866*Q1866/100)</f>
        <v/>
      </c>
      <c r="N1866" s="7" t="n"/>
      <c r="O1866" s="7" t="n"/>
      <c r="P1866" s="7">
        <f>IF($B1866="","",O1866*X1866/100)</f>
        <v/>
      </c>
      <c r="Q1866" s="7">
        <f>IF($B1866="","",O1866-P1866)</f>
        <v/>
      </c>
      <c r="R1866" s="7">
        <f>IF($B1866="","",Q1866-J1866)</f>
        <v/>
      </c>
      <c r="S1866" s="7" t="n"/>
      <c r="T1866" s="7" t="n"/>
      <c r="V1866" s="14" t="n"/>
      <c r="Z1866">
        <f>IF($B1866="","",IF(COUNTIF($B$2:$B1866,$B1866)=1,1,0))</f>
        <v/>
      </c>
      <c r="AA1866">
        <f>IF($Z1866=1,SUMPRODUCT(--($AC$2:$AC$3001&lt;$AC1866))+1,"")</f>
        <v/>
      </c>
      <c r="AB1866">
        <f>IF($B1866="","",IF(OR($Y1866=TRUE(),$Y1866="TRUE"),1,IF(AND($Y1866&lt;&gt;"",OR($Y1866=FALSE(),$Y1866="FALSE")),0,IF(MIN(ABS($X1866/100-Settings!$C$6),ABS($X1866/100-Settings!$G$6))&lt;=MIN(ABS($X1866/100-Settings!$C$7),ABS($X1866/100-Settings!$G$7)),1,0))))</f>
        <v/>
      </c>
      <c r="AC1866">
        <f>IF($Z1866=1,IFERROR(IF(VALUE($B1866)&lt;100000000,VALUE($B1866),1000000000),IFERROR(IF(VALUE(MID($B1866,2,20))&lt;100000000,VALUE(MID($B1866,2,20)),1000000000),1000000000))+ROW()/100000,"")</f>
        <v/>
      </c>
    </row>
    <row r="1867">
      <c r="A1867">
        <f>IF($B1867="","",IFERROR(IF(INDEX('Per Invoice'!$A$2:$A$801,MATCH($B1867,'Per Invoice'!$B$2:$B$801,0))=0,"",INDEX('Per Invoice'!$A$2:$A$801,MATCH($B1867,'Per Invoice'!$B$2:$B$801,0))),""))</f>
        <v/>
      </c>
      <c r="J1867" s="7">
        <f>IF($B1867="","",I1867*Q1867/100)</f>
        <v/>
      </c>
      <c r="N1867" s="7" t="n"/>
      <c r="O1867" s="7" t="n"/>
      <c r="P1867" s="7">
        <f>IF($B1867="","",O1867*X1867/100)</f>
        <v/>
      </c>
      <c r="Q1867" s="7">
        <f>IF($B1867="","",O1867-P1867)</f>
        <v/>
      </c>
      <c r="R1867" s="7">
        <f>IF($B1867="","",Q1867-J1867)</f>
        <v/>
      </c>
      <c r="S1867" s="7" t="n"/>
      <c r="T1867" s="7" t="n"/>
      <c r="V1867" s="14" t="n"/>
      <c r="Z1867">
        <f>IF($B1867="","",IF(COUNTIF($B$2:$B1867,$B1867)=1,1,0))</f>
        <v/>
      </c>
      <c r="AA1867">
        <f>IF($Z1867=1,SUMPRODUCT(--($AC$2:$AC$3001&lt;$AC1867))+1,"")</f>
        <v/>
      </c>
      <c r="AB1867">
        <f>IF($B1867="","",IF(OR($Y1867=TRUE(),$Y1867="TRUE"),1,IF(AND($Y1867&lt;&gt;"",OR($Y1867=FALSE(),$Y1867="FALSE")),0,IF(MIN(ABS($X1867/100-Settings!$C$6),ABS($X1867/100-Settings!$G$6))&lt;=MIN(ABS($X1867/100-Settings!$C$7),ABS($X1867/100-Settings!$G$7)),1,0))))</f>
        <v/>
      </c>
      <c r="AC1867">
        <f>IF($Z1867=1,IFERROR(IF(VALUE($B1867)&lt;100000000,VALUE($B1867),1000000000),IFERROR(IF(VALUE(MID($B1867,2,20))&lt;100000000,VALUE(MID($B1867,2,20)),1000000000),1000000000))+ROW()/100000,"")</f>
        <v/>
      </c>
    </row>
    <row r="1868">
      <c r="A1868">
        <f>IF($B1868="","",IFERROR(IF(INDEX('Per Invoice'!$A$2:$A$801,MATCH($B1868,'Per Invoice'!$B$2:$B$801,0))=0,"",INDEX('Per Invoice'!$A$2:$A$801,MATCH($B1868,'Per Invoice'!$B$2:$B$801,0))),""))</f>
        <v/>
      </c>
      <c r="J1868" s="7">
        <f>IF($B1868="","",I1868*Q1868/100)</f>
        <v/>
      </c>
      <c r="N1868" s="7" t="n"/>
      <c r="O1868" s="7" t="n"/>
      <c r="P1868" s="7">
        <f>IF($B1868="","",O1868*X1868/100)</f>
        <v/>
      </c>
      <c r="Q1868" s="7">
        <f>IF($B1868="","",O1868-P1868)</f>
        <v/>
      </c>
      <c r="R1868" s="7">
        <f>IF($B1868="","",Q1868-J1868)</f>
        <v/>
      </c>
      <c r="S1868" s="7" t="n"/>
      <c r="T1868" s="7" t="n"/>
      <c r="V1868" s="14" t="n"/>
      <c r="Z1868">
        <f>IF($B1868="","",IF(COUNTIF($B$2:$B1868,$B1868)=1,1,0))</f>
        <v/>
      </c>
      <c r="AA1868">
        <f>IF($Z1868=1,SUMPRODUCT(--($AC$2:$AC$3001&lt;$AC1868))+1,"")</f>
        <v/>
      </c>
      <c r="AB1868">
        <f>IF($B1868="","",IF(OR($Y1868=TRUE(),$Y1868="TRUE"),1,IF(AND($Y1868&lt;&gt;"",OR($Y1868=FALSE(),$Y1868="FALSE")),0,IF(MIN(ABS($X1868/100-Settings!$C$6),ABS($X1868/100-Settings!$G$6))&lt;=MIN(ABS($X1868/100-Settings!$C$7),ABS($X1868/100-Settings!$G$7)),1,0))))</f>
        <v/>
      </c>
      <c r="AC1868">
        <f>IF($Z1868=1,IFERROR(IF(VALUE($B1868)&lt;100000000,VALUE($B1868),1000000000),IFERROR(IF(VALUE(MID($B1868,2,20))&lt;100000000,VALUE(MID($B1868,2,20)),1000000000),1000000000))+ROW()/100000,"")</f>
        <v/>
      </c>
    </row>
    <row r="1869">
      <c r="A1869">
        <f>IF($B1869="","",IFERROR(IF(INDEX('Per Invoice'!$A$2:$A$801,MATCH($B1869,'Per Invoice'!$B$2:$B$801,0))=0,"",INDEX('Per Invoice'!$A$2:$A$801,MATCH($B1869,'Per Invoice'!$B$2:$B$801,0))),""))</f>
        <v/>
      </c>
      <c r="J1869" s="7">
        <f>IF($B1869="","",I1869*Q1869/100)</f>
        <v/>
      </c>
      <c r="N1869" s="7" t="n"/>
      <c r="O1869" s="7" t="n"/>
      <c r="P1869" s="7">
        <f>IF($B1869="","",O1869*X1869/100)</f>
        <v/>
      </c>
      <c r="Q1869" s="7">
        <f>IF($B1869="","",O1869-P1869)</f>
        <v/>
      </c>
      <c r="R1869" s="7">
        <f>IF($B1869="","",Q1869-J1869)</f>
        <v/>
      </c>
      <c r="S1869" s="7" t="n"/>
      <c r="T1869" s="7" t="n"/>
      <c r="V1869" s="14" t="n"/>
      <c r="Z1869">
        <f>IF($B1869="","",IF(COUNTIF($B$2:$B1869,$B1869)=1,1,0))</f>
        <v/>
      </c>
      <c r="AA1869">
        <f>IF($Z1869=1,SUMPRODUCT(--($AC$2:$AC$3001&lt;$AC1869))+1,"")</f>
        <v/>
      </c>
      <c r="AB1869">
        <f>IF($B1869="","",IF(OR($Y1869=TRUE(),$Y1869="TRUE"),1,IF(AND($Y1869&lt;&gt;"",OR($Y1869=FALSE(),$Y1869="FALSE")),0,IF(MIN(ABS($X1869/100-Settings!$C$6),ABS($X1869/100-Settings!$G$6))&lt;=MIN(ABS($X1869/100-Settings!$C$7),ABS($X1869/100-Settings!$G$7)),1,0))))</f>
        <v/>
      </c>
      <c r="AC1869">
        <f>IF($Z1869=1,IFERROR(IF(VALUE($B1869)&lt;100000000,VALUE($B1869),1000000000),IFERROR(IF(VALUE(MID($B1869,2,20))&lt;100000000,VALUE(MID($B1869,2,20)),1000000000),1000000000))+ROW()/100000,"")</f>
        <v/>
      </c>
    </row>
    <row r="1870">
      <c r="A1870">
        <f>IF($B1870="","",IFERROR(IF(INDEX('Per Invoice'!$A$2:$A$801,MATCH($B1870,'Per Invoice'!$B$2:$B$801,0))=0,"",INDEX('Per Invoice'!$A$2:$A$801,MATCH($B1870,'Per Invoice'!$B$2:$B$801,0))),""))</f>
        <v/>
      </c>
      <c r="J1870" s="7">
        <f>IF($B1870="","",I1870*Q1870/100)</f>
        <v/>
      </c>
      <c r="N1870" s="7" t="n"/>
      <c r="O1870" s="7" t="n"/>
      <c r="P1870" s="7">
        <f>IF($B1870="","",O1870*X1870/100)</f>
        <v/>
      </c>
      <c r="Q1870" s="7">
        <f>IF($B1870="","",O1870-P1870)</f>
        <v/>
      </c>
      <c r="R1870" s="7">
        <f>IF($B1870="","",Q1870-J1870)</f>
        <v/>
      </c>
      <c r="S1870" s="7" t="n"/>
      <c r="T1870" s="7" t="n"/>
      <c r="V1870" s="14" t="n"/>
      <c r="Z1870">
        <f>IF($B1870="","",IF(COUNTIF($B$2:$B1870,$B1870)=1,1,0))</f>
        <v/>
      </c>
      <c r="AA1870">
        <f>IF($Z1870=1,SUMPRODUCT(--($AC$2:$AC$3001&lt;$AC1870))+1,"")</f>
        <v/>
      </c>
      <c r="AB1870">
        <f>IF($B1870="","",IF(OR($Y1870=TRUE(),$Y1870="TRUE"),1,IF(AND($Y1870&lt;&gt;"",OR($Y1870=FALSE(),$Y1870="FALSE")),0,IF(MIN(ABS($X1870/100-Settings!$C$6),ABS($X1870/100-Settings!$G$6))&lt;=MIN(ABS($X1870/100-Settings!$C$7),ABS($X1870/100-Settings!$G$7)),1,0))))</f>
        <v/>
      </c>
      <c r="AC1870">
        <f>IF($Z1870=1,IFERROR(IF(VALUE($B1870)&lt;100000000,VALUE($B1870),1000000000),IFERROR(IF(VALUE(MID($B1870,2,20))&lt;100000000,VALUE(MID($B1870,2,20)),1000000000),1000000000))+ROW()/100000,"")</f>
        <v/>
      </c>
    </row>
    <row r="1871">
      <c r="A1871">
        <f>IF($B1871="","",IFERROR(IF(INDEX('Per Invoice'!$A$2:$A$801,MATCH($B1871,'Per Invoice'!$B$2:$B$801,0))=0,"",INDEX('Per Invoice'!$A$2:$A$801,MATCH($B1871,'Per Invoice'!$B$2:$B$801,0))),""))</f>
        <v/>
      </c>
      <c r="J1871" s="7">
        <f>IF($B1871="","",I1871*Q1871/100)</f>
        <v/>
      </c>
      <c r="N1871" s="7" t="n"/>
      <c r="O1871" s="7" t="n"/>
      <c r="P1871" s="7">
        <f>IF($B1871="","",O1871*X1871/100)</f>
        <v/>
      </c>
      <c r="Q1871" s="7">
        <f>IF($B1871="","",O1871-P1871)</f>
        <v/>
      </c>
      <c r="R1871" s="7">
        <f>IF($B1871="","",Q1871-J1871)</f>
        <v/>
      </c>
      <c r="S1871" s="7" t="n"/>
      <c r="T1871" s="7" t="n"/>
      <c r="V1871" s="14" t="n"/>
      <c r="Z1871">
        <f>IF($B1871="","",IF(COUNTIF($B$2:$B1871,$B1871)=1,1,0))</f>
        <v/>
      </c>
      <c r="AA1871">
        <f>IF($Z1871=1,SUMPRODUCT(--($AC$2:$AC$3001&lt;$AC1871))+1,"")</f>
        <v/>
      </c>
      <c r="AB1871">
        <f>IF($B1871="","",IF(OR($Y1871=TRUE(),$Y1871="TRUE"),1,IF(AND($Y1871&lt;&gt;"",OR($Y1871=FALSE(),$Y1871="FALSE")),0,IF(MIN(ABS($X1871/100-Settings!$C$6),ABS($X1871/100-Settings!$G$6))&lt;=MIN(ABS($X1871/100-Settings!$C$7),ABS($X1871/100-Settings!$G$7)),1,0))))</f>
        <v/>
      </c>
      <c r="AC1871">
        <f>IF($Z1871=1,IFERROR(IF(VALUE($B1871)&lt;100000000,VALUE($B1871),1000000000),IFERROR(IF(VALUE(MID($B1871,2,20))&lt;100000000,VALUE(MID($B1871,2,20)),1000000000),1000000000))+ROW()/100000,"")</f>
        <v/>
      </c>
    </row>
    <row r="1872">
      <c r="A1872">
        <f>IF($B1872="","",IFERROR(IF(INDEX('Per Invoice'!$A$2:$A$801,MATCH($B1872,'Per Invoice'!$B$2:$B$801,0))=0,"",INDEX('Per Invoice'!$A$2:$A$801,MATCH($B1872,'Per Invoice'!$B$2:$B$801,0))),""))</f>
        <v/>
      </c>
      <c r="J1872" s="7">
        <f>IF($B1872="","",I1872*Q1872/100)</f>
        <v/>
      </c>
      <c r="N1872" s="7" t="n"/>
      <c r="O1872" s="7" t="n"/>
      <c r="P1872" s="7">
        <f>IF($B1872="","",O1872*X1872/100)</f>
        <v/>
      </c>
      <c r="Q1872" s="7">
        <f>IF($B1872="","",O1872-P1872)</f>
        <v/>
      </c>
      <c r="R1872" s="7">
        <f>IF($B1872="","",Q1872-J1872)</f>
        <v/>
      </c>
      <c r="S1872" s="7" t="n"/>
      <c r="T1872" s="7" t="n"/>
      <c r="V1872" s="14" t="n"/>
      <c r="Z1872">
        <f>IF($B1872="","",IF(COUNTIF($B$2:$B1872,$B1872)=1,1,0))</f>
        <v/>
      </c>
      <c r="AA1872">
        <f>IF($Z1872=1,SUMPRODUCT(--($AC$2:$AC$3001&lt;$AC1872))+1,"")</f>
        <v/>
      </c>
      <c r="AB1872">
        <f>IF($B1872="","",IF(OR($Y1872=TRUE(),$Y1872="TRUE"),1,IF(AND($Y1872&lt;&gt;"",OR($Y1872=FALSE(),$Y1872="FALSE")),0,IF(MIN(ABS($X1872/100-Settings!$C$6),ABS($X1872/100-Settings!$G$6))&lt;=MIN(ABS($X1872/100-Settings!$C$7),ABS($X1872/100-Settings!$G$7)),1,0))))</f>
        <v/>
      </c>
      <c r="AC1872">
        <f>IF($Z1872=1,IFERROR(IF(VALUE($B1872)&lt;100000000,VALUE($B1872),1000000000),IFERROR(IF(VALUE(MID($B1872,2,20))&lt;100000000,VALUE(MID($B1872,2,20)),1000000000),1000000000))+ROW()/100000,"")</f>
        <v/>
      </c>
    </row>
    <row r="1873">
      <c r="A1873">
        <f>IF($B1873="","",IFERROR(IF(INDEX('Per Invoice'!$A$2:$A$801,MATCH($B1873,'Per Invoice'!$B$2:$B$801,0))=0,"",INDEX('Per Invoice'!$A$2:$A$801,MATCH($B1873,'Per Invoice'!$B$2:$B$801,0))),""))</f>
        <v/>
      </c>
      <c r="J1873" s="7">
        <f>IF($B1873="","",I1873*Q1873/100)</f>
        <v/>
      </c>
      <c r="N1873" s="7" t="n"/>
      <c r="O1873" s="7" t="n"/>
      <c r="P1873" s="7">
        <f>IF($B1873="","",O1873*X1873/100)</f>
        <v/>
      </c>
      <c r="Q1873" s="7">
        <f>IF($B1873="","",O1873-P1873)</f>
        <v/>
      </c>
      <c r="R1873" s="7">
        <f>IF($B1873="","",Q1873-J1873)</f>
        <v/>
      </c>
      <c r="S1873" s="7" t="n"/>
      <c r="T1873" s="7" t="n"/>
      <c r="V1873" s="14" t="n"/>
      <c r="Z1873">
        <f>IF($B1873="","",IF(COUNTIF($B$2:$B1873,$B1873)=1,1,0))</f>
        <v/>
      </c>
      <c r="AA1873">
        <f>IF($Z1873=1,SUMPRODUCT(--($AC$2:$AC$3001&lt;$AC1873))+1,"")</f>
        <v/>
      </c>
      <c r="AB1873">
        <f>IF($B1873="","",IF(OR($Y1873=TRUE(),$Y1873="TRUE"),1,IF(AND($Y1873&lt;&gt;"",OR($Y1873=FALSE(),$Y1873="FALSE")),0,IF(MIN(ABS($X1873/100-Settings!$C$6),ABS($X1873/100-Settings!$G$6))&lt;=MIN(ABS($X1873/100-Settings!$C$7),ABS($X1873/100-Settings!$G$7)),1,0))))</f>
        <v/>
      </c>
      <c r="AC1873">
        <f>IF($Z1873=1,IFERROR(IF(VALUE($B1873)&lt;100000000,VALUE($B1873),1000000000),IFERROR(IF(VALUE(MID($B1873,2,20))&lt;100000000,VALUE(MID($B1873,2,20)),1000000000),1000000000))+ROW()/100000,"")</f>
        <v/>
      </c>
    </row>
    <row r="1874">
      <c r="A1874">
        <f>IF($B1874="","",IFERROR(IF(INDEX('Per Invoice'!$A$2:$A$801,MATCH($B1874,'Per Invoice'!$B$2:$B$801,0))=0,"",INDEX('Per Invoice'!$A$2:$A$801,MATCH($B1874,'Per Invoice'!$B$2:$B$801,0))),""))</f>
        <v/>
      </c>
      <c r="J1874" s="7">
        <f>IF($B1874="","",I1874*Q1874/100)</f>
        <v/>
      </c>
      <c r="N1874" s="7" t="n"/>
      <c r="O1874" s="7" t="n"/>
      <c r="P1874" s="7">
        <f>IF($B1874="","",O1874*X1874/100)</f>
        <v/>
      </c>
      <c r="Q1874" s="7">
        <f>IF($B1874="","",O1874-P1874)</f>
        <v/>
      </c>
      <c r="R1874" s="7">
        <f>IF($B1874="","",Q1874-J1874)</f>
        <v/>
      </c>
      <c r="S1874" s="7" t="n"/>
      <c r="T1874" s="7" t="n"/>
      <c r="V1874" s="14" t="n"/>
      <c r="Z1874">
        <f>IF($B1874="","",IF(COUNTIF($B$2:$B1874,$B1874)=1,1,0))</f>
        <v/>
      </c>
      <c r="AA1874">
        <f>IF($Z1874=1,SUMPRODUCT(--($AC$2:$AC$3001&lt;$AC1874))+1,"")</f>
        <v/>
      </c>
      <c r="AB1874">
        <f>IF($B1874="","",IF(OR($Y1874=TRUE(),$Y1874="TRUE"),1,IF(AND($Y1874&lt;&gt;"",OR($Y1874=FALSE(),$Y1874="FALSE")),0,IF(MIN(ABS($X1874/100-Settings!$C$6),ABS($X1874/100-Settings!$G$6))&lt;=MIN(ABS($X1874/100-Settings!$C$7),ABS($X1874/100-Settings!$G$7)),1,0))))</f>
        <v/>
      </c>
      <c r="AC1874">
        <f>IF($Z1874=1,IFERROR(IF(VALUE($B1874)&lt;100000000,VALUE($B1874),1000000000),IFERROR(IF(VALUE(MID($B1874,2,20))&lt;100000000,VALUE(MID($B1874,2,20)),1000000000),1000000000))+ROW()/100000,"")</f>
        <v/>
      </c>
    </row>
    <row r="1875">
      <c r="A1875">
        <f>IF($B1875="","",IFERROR(IF(INDEX('Per Invoice'!$A$2:$A$801,MATCH($B1875,'Per Invoice'!$B$2:$B$801,0))=0,"",INDEX('Per Invoice'!$A$2:$A$801,MATCH($B1875,'Per Invoice'!$B$2:$B$801,0))),""))</f>
        <v/>
      </c>
      <c r="J1875" s="7">
        <f>IF($B1875="","",I1875*Q1875/100)</f>
        <v/>
      </c>
      <c r="N1875" s="7" t="n"/>
      <c r="O1875" s="7" t="n"/>
      <c r="P1875" s="7">
        <f>IF($B1875="","",O1875*X1875/100)</f>
        <v/>
      </c>
      <c r="Q1875" s="7">
        <f>IF($B1875="","",O1875-P1875)</f>
        <v/>
      </c>
      <c r="R1875" s="7">
        <f>IF($B1875="","",Q1875-J1875)</f>
        <v/>
      </c>
      <c r="S1875" s="7" t="n"/>
      <c r="T1875" s="7" t="n"/>
      <c r="V1875" s="14" t="n"/>
      <c r="Z1875">
        <f>IF($B1875="","",IF(COUNTIF($B$2:$B1875,$B1875)=1,1,0))</f>
        <v/>
      </c>
      <c r="AA1875">
        <f>IF($Z1875=1,SUMPRODUCT(--($AC$2:$AC$3001&lt;$AC1875))+1,"")</f>
        <v/>
      </c>
      <c r="AB1875">
        <f>IF($B1875="","",IF(OR($Y1875=TRUE(),$Y1875="TRUE"),1,IF(AND($Y1875&lt;&gt;"",OR($Y1875=FALSE(),$Y1875="FALSE")),0,IF(MIN(ABS($X1875/100-Settings!$C$6),ABS($X1875/100-Settings!$G$6))&lt;=MIN(ABS($X1875/100-Settings!$C$7),ABS($X1875/100-Settings!$G$7)),1,0))))</f>
        <v/>
      </c>
      <c r="AC1875">
        <f>IF($Z1875=1,IFERROR(IF(VALUE($B1875)&lt;100000000,VALUE($B1875),1000000000),IFERROR(IF(VALUE(MID($B1875,2,20))&lt;100000000,VALUE(MID($B1875,2,20)),1000000000),1000000000))+ROW()/100000,"")</f>
        <v/>
      </c>
    </row>
    <row r="1876">
      <c r="A1876">
        <f>IF($B1876="","",IFERROR(IF(INDEX('Per Invoice'!$A$2:$A$801,MATCH($B1876,'Per Invoice'!$B$2:$B$801,0))=0,"",INDEX('Per Invoice'!$A$2:$A$801,MATCH($B1876,'Per Invoice'!$B$2:$B$801,0))),""))</f>
        <v/>
      </c>
      <c r="J1876" s="7">
        <f>IF($B1876="","",I1876*Q1876/100)</f>
        <v/>
      </c>
      <c r="N1876" s="7" t="n"/>
      <c r="O1876" s="7" t="n"/>
      <c r="P1876" s="7">
        <f>IF($B1876="","",O1876*X1876/100)</f>
        <v/>
      </c>
      <c r="Q1876" s="7">
        <f>IF($B1876="","",O1876-P1876)</f>
        <v/>
      </c>
      <c r="R1876" s="7">
        <f>IF($B1876="","",Q1876-J1876)</f>
        <v/>
      </c>
      <c r="S1876" s="7" t="n"/>
      <c r="T1876" s="7" t="n"/>
      <c r="V1876" s="14" t="n"/>
      <c r="Z1876">
        <f>IF($B1876="","",IF(COUNTIF($B$2:$B1876,$B1876)=1,1,0))</f>
        <v/>
      </c>
      <c r="AA1876">
        <f>IF($Z1876=1,SUMPRODUCT(--($AC$2:$AC$3001&lt;$AC1876))+1,"")</f>
        <v/>
      </c>
      <c r="AB1876">
        <f>IF($B1876="","",IF(OR($Y1876=TRUE(),$Y1876="TRUE"),1,IF(AND($Y1876&lt;&gt;"",OR($Y1876=FALSE(),$Y1876="FALSE")),0,IF(MIN(ABS($X1876/100-Settings!$C$6),ABS($X1876/100-Settings!$G$6))&lt;=MIN(ABS($X1876/100-Settings!$C$7),ABS($X1876/100-Settings!$G$7)),1,0))))</f>
        <v/>
      </c>
      <c r="AC1876">
        <f>IF($Z1876=1,IFERROR(IF(VALUE($B1876)&lt;100000000,VALUE($B1876),1000000000),IFERROR(IF(VALUE(MID($B1876,2,20))&lt;100000000,VALUE(MID($B1876,2,20)),1000000000),1000000000))+ROW()/100000,"")</f>
        <v/>
      </c>
    </row>
    <row r="1877">
      <c r="A1877">
        <f>IF($B1877="","",IFERROR(IF(INDEX('Per Invoice'!$A$2:$A$801,MATCH($B1877,'Per Invoice'!$B$2:$B$801,0))=0,"",INDEX('Per Invoice'!$A$2:$A$801,MATCH($B1877,'Per Invoice'!$B$2:$B$801,0))),""))</f>
        <v/>
      </c>
      <c r="J1877" s="7">
        <f>IF($B1877="","",I1877*Q1877/100)</f>
        <v/>
      </c>
      <c r="N1877" s="7" t="n"/>
      <c r="O1877" s="7" t="n"/>
      <c r="P1877" s="7">
        <f>IF($B1877="","",O1877*X1877/100)</f>
        <v/>
      </c>
      <c r="Q1877" s="7">
        <f>IF($B1877="","",O1877-P1877)</f>
        <v/>
      </c>
      <c r="R1877" s="7">
        <f>IF($B1877="","",Q1877-J1877)</f>
        <v/>
      </c>
      <c r="S1877" s="7" t="n"/>
      <c r="T1877" s="7" t="n"/>
      <c r="V1877" s="14" t="n"/>
      <c r="Z1877">
        <f>IF($B1877="","",IF(COUNTIF($B$2:$B1877,$B1877)=1,1,0))</f>
        <v/>
      </c>
      <c r="AA1877">
        <f>IF($Z1877=1,SUMPRODUCT(--($AC$2:$AC$3001&lt;$AC1877))+1,"")</f>
        <v/>
      </c>
      <c r="AB1877">
        <f>IF($B1877="","",IF(OR($Y1877=TRUE(),$Y1877="TRUE"),1,IF(AND($Y1877&lt;&gt;"",OR($Y1877=FALSE(),$Y1877="FALSE")),0,IF(MIN(ABS($X1877/100-Settings!$C$6),ABS($X1877/100-Settings!$G$6))&lt;=MIN(ABS($X1877/100-Settings!$C$7),ABS($X1877/100-Settings!$G$7)),1,0))))</f>
        <v/>
      </c>
      <c r="AC1877">
        <f>IF($Z1877=1,IFERROR(IF(VALUE($B1877)&lt;100000000,VALUE($B1877),1000000000),IFERROR(IF(VALUE(MID($B1877,2,20))&lt;100000000,VALUE(MID($B1877,2,20)),1000000000),1000000000))+ROW()/100000,"")</f>
        <v/>
      </c>
    </row>
    <row r="1878">
      <c r="A1878">
        <f>IF($B1878="","",IFERROR(IF(INDEX('Per Invoice'!$A$2:$A$801,MATCH($B1878,'Per Invoice'!$B$2:$B$801,0))=0,"",INDEX('Per Invoice'!$A$2:$A$801,MATCH($B1878,'Per Invoice'!$B$2:$B$801,0))),""))</f>
        <v/>
      </c>
      <c r="J1878" s="7">
        <f>IF($B1878="","",I1878*Q1878/100)</f>
        <v/>
      </c>
      <c r="N1878" s="7" t="n"/>
      <c r="O1878" s="7" t="n"/>
      <c r="P1878" s="7">
        <f>IF($B1878="","",O1878*X1878/100)</f>
        <v/>
      </c>
      <c r="Q1878" s="7">
        <f>IF($B1878="","",O1878-P1878)</f>
        <v/>
      </c>
      <c r="R1878" s="7">
        <f>IF($B1878="","",Q1878-J1878)</f>
        <v/>
      </c>
      <c r="S1878" s="7" t="n"/>
      <c r="T1878" s="7" t="n"/>
      <c r="V1878" s="14" t="n"/>
      <c r="Z1878">
        <f>IF($B1878="","",IF(COUNTIF($B$2:$B1878,$B1878)=1,1,0))</f>
        <v/>
      </c>
      <c r="AA1878">
        <f>IF($Z1878=1,SUMPRODUCT(--($AC$2:$AC$3001&lt;$AC1878))+1,"")</f>
        <v/>
      </c>
      <c r="AB1878">
        <f>IF($B1878="","",IF(OR($Y1878=TRUE(),$Y1878="TRUE"),1,IF(AND($Y1878&lt;&gt;"",OR($Y1878=FALSE(),$Y1878="FALSE")),0,IF(MIN(ABS($X1878/100-Settings!$C$6),ABS($X1878/100-Settings!$G$6))&lt;=MIN(ABS($X1878/100-Settings!$C$7),ABS($X1878/100-Settings!$G$7)),1,0))))</f>
        <v/>
      </c>
      <c r="AC1878">
        <f>IF($Z1878=1,IFERROR(IF(VALUE($B1878)&lt;100000000,VALUE($B1878),1000000000),IFERROR(IF(VALUE(MID($B1878,2,20))&lt;100000000,VALUE(MID($B1878,2,20)),1000000000),1000000000))+ROW()/100000,"")</f>
        <v/>
      </c>
    </row>
    <row r="1879">
      <c r="A1879">
        <f>IF($B1879="","",IFERROR(IF(INDEX('Per Invoice'!$A$2:$A$801,MATCH($B1879,'Per Invoice'!$B$2:$B$801,0))=0,"",INDEX('Per Invoice'!$A$2:$A$801,MATCH($B1879,'Per Invoice'!$B$2:$B$801,0))),""))</f>
        <v/>
      </c>
      <c r="J1879" s="7">
        <f>IF($B1879="","",I1879*Q1879/100)</f>
        <v/>
      </c>
      <c r="N1879" s="7" t="n"/>
      <c r="O1879" s="7" t="n"/>
      <c r="P1879" s="7">
        <f>IF($B1879="","",O1879*X1879/100)</f>
        <v/>
      </c>
      <c r="Q1879" s="7">
        <f>IF($B1879="","",O1879-P1879)</f>
        <v/>
      </c>
      <c r="R1879" s="7">
        <f>IF($B1879="","",Q1879-J1879)</f>
        <v/>
      </c>
      <c r="S1879" s="7" t="n"/>
      <c r="T1879" s="7" t="n"/>
      <c r="V1879" s="14" t="n"/>
      <c r="Z1879">
        <f>IF($B1879="","",IF(COUNTIF($B$2:$B1879,$B1879)=1,1,0))</f>
        <v/>
      </c>
      <c r="AA1879">
        <f>IF($Z1879=1,SUMPRODUCT(--($AC$2:$AC$3001&lt;$AC1879))+1,"")</f>
        <v/>
      </c>
      <c r="AB1879">
        <f>IF($B1879="","",IF(OR($Y1879=TRUE(),$Y1879="TRUE"),1,IF(AND($Y1879&lt;&gt;"",OR($Y1879=FALSE(),$Y1879="FALSE")),0,IF(MIN(ABS($X1879/100-Settings!$C$6),ABS($X1879/100-Settings!$G$6))&lt;=MIN(ABS($X1879/100-Settings!$C$7),ABS($X1879/100-Settings!$G$7)),1,0))))</f>
        <v/>
      </c>
      <c r="AC1879">
        <f>IF($Z1879=1,IFERROR(IF(VALUE($B1879)&lt;100000000,VALUE($B1879),1000000000),IFERROR(IF(VALUE(MID($B1879,2,20))&lt;100000000,VALUE(MID($B1879,2,20)),1000000000),1000000000))+ROW()/100000,"")</f>
        <v/>
      </c>
    </row>
    <row r="1880">
      <c r="A1880">
        <f>IF($B1880="","",IFERROR(IF(INDEX('Per Invoice'!$A$2:$A$801,MATCH($B1880,'Per Invoice'!$B$2:$B$801,0))=0,"",INDEX('Per Invoice'!$A$2:$A$801,MATCH($B1880,'Per Invoice'!$B$2:$B$801,0))),""))</f>
        <v/>
      </c>
      <c r="J1880" s="7">
        <f>IF($B1880="","",I1880*Q1880/100)</f>
        <v/>
      </c>
      <c r="N1880" s="7" t="n"/>
      <c r="O1880" s="7" t="n"/>
      <c r="P1880" s="7">
        <f>IF($B1880="","",O1880*X1880/100)</f>
        <v/>
      </c>
      <c r="Q1880" s="7">
        <f>IF($B1880="","",O1880-P1880)</f>
        <v/>
      </c>
      <c r="R1880" s="7">
        <f>IF($B1880="","",Q1880-J1880)</f>
        <v/>
      </c>
      <c r="S1880" s="7" t="n"/>
      <c r="T1880" s="7" t="n"/>
      <c r="V1880" s="14" t="n"/>
      <c r="Z1880">
        <f>IF($B1880="","",IF(COUNTIF($B$2:$B1880,$B1880)=1,1,0))</f>
        <v/>
      </c>
      <c r="AA1880">
        <f>IF($Z1880=1,SUMPRODUCT(--($AC$2:$AC$3001&lt;$AC1880))+1,"")</f>
        <v/>
      </c>
      <c r="AB1880">
        <f>IF($B1880="","",IF(OR($Y1880=TRUE(),$Y1880="TRUE"),1,IF(AND($Y1880&lt;&gt;"",OR($Y1880=FALSE(),$Y1880="FALSE")),0,IF(MIN(ABS($X1880/100-Settings!$C$6),ABS($X1880/100-Settings!$G$6))&lt;=MIN(ABS($X1880/100-Settings!$C$7),ABS($X1880/100-Settings!$G$7)),1,0))))</f>
        <v/>
      </c>
      <c r="AC1880">
        <f>IF($Z1880=1,IFERROR(IF(VALUE($B1880)&lt;100000000,VALUE($B1880),1000000000),IFERROR(IF(VALUE(MID($B1880,2,20))&lt;100000000,VALUE(MID($B1880,2,20)),1000000000),1000000000))+ROW()/100000,"")</f>
        <v/>
      </c>
    </row>
    <row r="1881">
      <c r="A1881">
        <f>IF($B1881="","",IFERROR(IF(INDEX('Per Invoice'!$A$2:$A$801,MATCH($B1881,'Per Invoice'!$B$2:$B$801,0))=0,"",INDEX('Per Invoice'!$A$2:$A$801,MATCH($B1881,'Per Invoice'!$B$2:$B$801,0))),""))</f>
        <v/>
      </c>
      <c r="J1881" s="7">
        <f>IF($B1881="","",I1881*Q1881/100)</f>
        <v/>
      </c>
      <c r="N1881" s="7" t="n"/>
      <c r="O1881" s="7" t="n"/>
      <c r="P1881" s="7">
        <f>IF($B1881="","",O1881*X1881/100)</f>
        <v/>
      </c>
      <c r="Q1881" s="7">
        <f>IF($B1881="","",O1881-P1881)</f>
        <v/>
      </c>
      <c r="R1881" s="7">
        <f>IF($B1881="","",Q1881-J1881)</f>
        <v/>
      </c>
      <c r="S1881" s="7" t="n"/>
      <c r="T1881" s="7" t="n"/>
      <c r="V1881" s="14" t="n"/>
      <c r="Z1881">
        <f>IF($B1881="","",IF(COUNTIF($B$2:$B1881,$B1881)=1,1,0))</f>
        <v/>
      </c>
      <c r="AA1881">
        <f>IF($Z1881=1,SUMPRODUCT(--($AC$2:$AC$3001&lt;$AC1881))+1,"")</f>
        <v/>
      </c>
      <c r="AB1881">
        <f>IF($B1881="","",IF(OR($Y1881=TRUE(),$Y1881="TRUE"),1,IF(AND($Y1881&lt;&gt;"",OR($Y1881=FALSE(),$Y1881="FALSE")),0,IF(MIN(ABS($X1881/100-Settings!$C$6),ABS($X1881/100-Settings!$G$6))&lt;=MIN(ABS($X1881/100-Settings!$C$7),ABS($X1881/100-Settings!$G$7)),1,0))))</f>
        <v/>
      </c>
      <c r="AC1881">
        <f>IF($Z1881=1,IFERROR(IF(VALUE($B1881)&lt;100000000,VALUE($B1881),1000000000),IFERROR(IF(VALUE(MID($B1881,2,20))&lt;100000000,VALUE(MID($B1881,2,20)),1000000000),1000000000))+ROW()/100000,"")</f>
        <v/>
      </c>
    </row>
    <row r="1882">
      <c r="A1882">
        <f>IF($B1882="","",IFERROR(IF(INDEX('Per Invoice'!$A$2:$A$801,MATCH($B1882,'Per Invoice'!$B$2:$B$801,0))=0,"",INDEX('Per Invoice'!$A$2:$A$801,MATCH($B1882,'Per Invoice'!$B$2:$B$801,0))),""))</f>
        <v/>
      </c>
      <c r="J1882" s="7">
        <f>IF($B1882="","",I1882*Q1882/100)</f>
        <v/>
      </c>
      <c r="N1882" s="7" t="n"/>
      <c r="O1882" s="7" t="n"/>
      <c r="P1882" s="7">
        <f>IF($B1882="","",O1882*X1882/100)</f>
        <v/>
      </c>
      <c r="Q1882" s="7">
        <f>IF($B1882="","",O1882-P1882)</f>
        <v/>
      </c>
      <c r="R1882" s="7">
        <f>IF($B1882="","",Q1882-J1882)</f>
        <v/>
      </c>
      <c r="S1882" s="7" t="n"/>
      <c r="T1882" s="7" t="n"/>
      <c r="V1882" s="14" t="n"/>
      <c r="Z1882">
        <f>IF($B1882="","",IF(COUNTIF($B$2:$B1882,$B1882)=1,1,0))</f>
        <v/>
      </c>
      <c r="AA1882">
        <f>IF($Z1882=1,SUMPRODUCT(--($AC$2:$AC$3001&lt;$AC1882))+1,"")</f>
        <v/>
      </c>
      <c r="AB1882">
        <f>IF($B1882="","",IF(OR($Y1882=TRUE(),$Y1882="TRUE"),1,IF(AND($Y1882&lt;&gt;"",OR($Y1882=FALSE(),$Y1882="FALSE")),0,IF(MIN(ABS($X1882/100-Settings!$C$6),ABS($X1882/100-Settings!$G$6))&lt;=MIN(ABS($X1882/100-Settings!$C$7),ABS($X1882/100-Settings!$G$7)),1,0))))</f>
        <v/>
      </c>
      <c r="AC1882">
        <f>IF($Z1882=1,IFERROR(IF(VALUE($B1882)&lt;100000000,VALUE($B1882),1000000000),IFERROR(IF(VALUE(MID($B1882,2,20))&lt;100000000,VALUE(MID($B1882,2,20)),1000000000),1000000000))+ROW()/100000,"")</f>
        <v/>
      </c>
    </row>
    <row r="1883">
      <c r="A1883">
        <f>IF($B1883="","",IFERROR(IF(INDEX('Per Invoice'!$A$2:$A$801,MATCH($B1883,'Per Invoice'!$B$2:$B$801,0))=0,"",INDEX('Per Invoice'!$A$2:$A$801,MATCH($B1883,'Per Invoice'!$B$2:$B$801,0))),""))</f>
        <v/>
      </c>
      <c r="J1883" s="7">
        <f>IF($B1883="","",I1883*Q1883/100)</f>
        <v/>
      </c>
      <c r="N1883" s="7" t="n"/>
      <c r="O1883" s="7" t="n"/>
      <c r="P1883" s="7">
        <f>IF($B1883="","",O1883*X1883/100)</f>
        <v/>
      </c>
      <c r="Q1883" s="7">
        <f>IF($B1883="","",O1883-P1883)</f>
        <v/>
      </c>
      <c r="R1883" s="7">
        <f>IF($B1883="","",Q1883-J1883)</f>
        <v/>
      </c>
      <c r="S1883" s="7" t="n"/>
      <c r="T1883" s="7" t="n"/>
      <c r="V1883" s="14" t="n"/>
      <c r="Z1883">
        <f>IF($B1883="","",IF(COUNTIF($B$2:$B1883,$B1883)=1,1,0))</f>
        <v/>
      </c>
      <c r="AA1883">
        <f>IF($Z1883=1,SUMPRODUCT(--($AC$2:$AC$3001&lt;$AC1883))+1,"")</f>
        <v/>
      </c>
      <c r="AB1883">
        <f>IF($B1883="","",IF(OR($Y1883=TRUE(),$Y1883="TRUE"),1,IF(AND($Y1883&lt;&gt;"",OR($Y1883=FALSE(),$Y1883="FALSE")),0,IF(MIN(ABS($X1883/100-Settings!$C$6),ABS($X1883/100-Settings!$G$6))&lt;=MIN(ABS($X1883/100-Settings!$C$7),ABS($X1883/100-Settings!$G$7)),1,0))))</f>
        <v/>
      </c>
      <c r="AC1883">
        <f>IF($Z1883=1,IFERROR(IF(VALUE($B1883)&lt;100000000,VALUE($B1883),1000000000),IFERROR(IF(VALUE(MID($B1883,2,20))&lt;100000000,VALUE(MID($B1883,2,20)),1000000000),1000000000))+ROW()/100000,"")</f>
        <v/>
      </c>
    </row>
    <row r="1884">
      <c r="A1884">
        <f>IF($B1884="","",IFERROR(IF(INDEX('Per Invoice'!$A$2:$A$801,MATCH($B1884,'Per Invoice'!$B$2:$B$801,0))=0,"",INDEX('Per Invoice'!$A$2:$A$801,MATCH($B1884,'Per Invoice'!$B$2:$B$801,0))),""))</f>
        <v/>
      </c>
      <c r="J1884" s="7">
        <f>IF($B1884="","",I1884*Q1884/100)</f>
        <v/>
      </c>
      <c r="N1884" s="7" t="n"/>
      <c r="O1884" s="7" t="n"/>
      <c r="P1884" s="7">
        <f>IF($B1884="","",O1884*X1884/100)</f>
        <v/>
      </c>
      <c r="Q1884" s="7">
        <f>IF($B1884="","",O1884-P1884)</f>
        <v/>
      </c>
      <c r="R1884" s="7">
        <f>IF($B1884="","",Q1884-J1884)</f>
        <v/>
      </c>
      <c r="S1884" s="7" t="n"/>
      <c r="T1884" s="7" t="n"/>
      <c r="V1884" s="14" t="n"/>
      <c r="Z1884">
        <f>IF($B1884="","",IF(COUNTIF($B$2:$B1884,$B1884)=1,1,0))</f>
        <v/>
      </c>
      <c r="AA1884">
        <f>IF($Z1884=1,SUMPRODUCT(--($AC$2:$AC$3001&lt;$AC1884))+1,"")</f>
        <v/>
      </c>
      <c r="AB1884">
        <f>IF($B1884="","",IF(OR($Y1884=TRUE(),$Y1884="TRUE"),1,IF(AND($Y1884&lt;&gt;"",OR($Y1884=FALSE(),$Y1884="FALSE")),0,IF(MIN(ABS($X1884/100-Settings!$C$6),ABS($X1884/100-Settings!$G$6))&lt;=MIN(ABS($X1884/100-Settings!$C$7),ABS($X1884/100-Settings!$G$7)),1,0))))</f>
        <v/>
      </c>
      <c r="AC1884">
        <f>IF($Z1884=1,IFERROR(IF(VALUE($B1884)&lt;100000000,VALUE($B1884),1000000000),IFERROR(IF(VALUE(MID($B1884,2,20))&lt;100000000,VALUE(MID($B1884,2,20)),1000000000),1000000000))+ROW()/100000,"")</f>
        <v/>
      </c>
    </row>
    <row r="1885">
      <c r="A1885">
        <f>IF($B1885="","",IFERROR(IF(INDEX('Per Invoice'!$A$2:$A$801,MATCH($B1885,'Per Invoice'!$B$2:$B$801,0))=0,"",INDEX('Per Invoice'!$A$2:$A$801,MATCH($B1885,'Per Invoice'!$B$2:$B$801,0))),""))</f>
        <v/>
      </c>
      <c r="J1885" s="7">
        <f>IF($B1885="","",I1885*Q1885/100)</f>
        <v/>
      </c>
      <c r="N1885" s="7" t="n"/>
      <c r="O1885" s="7" t="n"/>
      <c r="P1885" s="7">
        <f>IF($B1885="","",O1885*X1885/100)</f>
        <v/>
      </c>
      <c r="Q1885" s="7">
        <f>IF($B1885="","",O1885-P1885)</f>
        <v/>
      </c>
      <c r="R1885" s="7">
        <f>IF($B1885="","",Q1885-J1885)</f>
        <v/>
      </c>
      <c r="S1885" s="7" t="n"/>
      <c r="T1885" s="7" t="n"/>
      <c r="V1885" s="14" t="n"/>
      <c r="Z1885">
        <f>IF($B1885="","",IF(COUNTIF($B$2:$B1885,$B1885)=1,1,0))</f>
        <v/>
      </c>
      <c r="AA1885">
        <f>IF($Z1885=1,SUMPRODUCT(--($AC$2:$AC$3001&lt;$AC1885))+1,"")</f>
        <v/>
      </c>
      <c r="AB1885">
        <f>IF($B1885="","",IF(OR($Y1885=TRUE(),$Y1885="TRUE"),1,IF(AND($Y1885&lt;&gt;"",OR($Y1885=FALSE(),$Y1885="FALSE")),0,IF(MIN(ABS($X1885/100-Settings!$C$6),ABS($X1885/100-Settings!$G$6))&lt;=MIN(ABS($X1885/100-Settings!$C$7),ABS($X1885/100-Settings!$G$7)),1,0))))</f>
        <v/>
      </c>
      <c r="AC1885">
        <f>IF($Z1885=1,IFERROR(IF(VALUE($B1885)&lt;100000000,VALUE($B1885),1000000000),IFERROR(IF(VALUE(MID($B1885,2,20))&lt;100000000,VALUE(MID($B1885,2,20)),1000000000),1000000000))+ROW()/100000,"")</f>
        <v/>
      </c>
    </row>
    <row r="1886">
      <c r="A1886">
        <f>IF($B1886="","",IFERROR(IF(INDEX('Per Invoice'!$A$2:$A$801,MATCH($B1886,'Per Invoice'!$B$2:$B$801,0))=0,"",INDEX('Per Invoice'!$A$2:$A$801,MATCH($B1886,'Per Invoice'!$B$2:$B$801,0))),""))</f>
        <v/>
      </c>
      <c r="J1886" s="7">
        <f>IF($B1886="","",I1886*Q1886/100)</f>
        <v/>
      </c>
      <c r="N1886" s="7" t="n"/>
      <c r="O1886" s="7" t="n"/>
      <c r="P1886" s="7">
        <f>IF($B1886="","",O1886*X1886/100)</f>
        <v/>
      </c>
      <c r="Q1886" s="7">
        <f>IF($B1886="","",O1886-P1886)</f>
        <v/>
      </c>
      <c r="R1886" s="7">
        <f>IF($B1886="","",Q1886-J1886)</f>
        <v/>
      </c>
      <c r="S1886" s="7" t="n"/>
      <c r="T1886" s="7" t="n"/>
      <c r="V1886" s="14" t="n"/>
      <c r="Z1886">
        <f>IF($B1886="","",IF(COUNTIF($B$2:$B1886,$B1886)=1,1,0))</f>
        <v/>
      </c>
      <c r="AA1886">
        <f>IF($Z1886=1,SUMPRODUCT(--($AC$2:$AC$3001&lt;$AC1886))+1,"")</f>
        <v/>
      </c>
      <c r="AB1886">
        <f>IF($B1886="","",IF(OR($Y1886=TRUE(),$Y1886="TRUE"),1,IF(AND($Y1886&lt;&gt;"",OR($Y1886=FALSE(),$Y1886="FALSE")),0,IF(MIN(ABS($X1886/100-Settings!$C$6),ABS($X1886/100-Settings!$G$6))&lt;=MIN(ABS($X1886/100-Settings!$C$7),ABS($X1886/100-Settings!$G$7)),1,0))))</f>
        <v/>
      </c>
      <c r="AC1886">
        <f>IF($Z1886=1,IFERROR(IF(VALUE($B1886)&lt;100000000,VALUE($B1886),1000000000),IFERROR(IF(VALUE(MID($B1886,2,20))&lt;100000000,VALUE(MID($B1886,2,20)),1000000000),1000000000))+ROW()/100000,"")</f>
        <v/>
      </c>
    </row>
    <row r="1887">
      <c r="A1887">
        <f>IF($B1887="","",IFERROR(IF(INDEX('Per Invoice'!$A$2:$A$801,MATCH($B1887,'Per Invoice'!$B$2:$B$801,0))=0,"",INDEX('Per Invoice'!$A$2:$A$801,MATCH($B1887,'Per Invoice'!$B$2:$B$801,0))),""))</f>
        <v/>
      </c>
      <c r="J1887" s="7">
        <f>IF($B1887="","",I1887*Q1887/100)</f>
        <v/>
      </c>
      <c r="N1887" s="7" t="n"/>
      <c r="O1887" s="7" t="n"/>
      <c r="P1887" s="7">
        <f>IF($B1887="","",O1887*X1887/100)</f>
        <v/>
      </c>
      <c r="Q1887" s="7">
        <f>IF($B1887="","",O1887-P1887)</f>
        <v/>
      </c>
      <c r="R1887" s="7">
        <f>IF($B1887="","",Q1887-J1887)</f>
        <v/>
      </c>
      <c r="S1887" s="7" t="n"/>
      <c r="T1887" s="7" t="n"/>
      <c r="V1887" s="14" t="n"/>
      <c r="Z1887">
        <f>IF($B1887="","",IF(COUNTIF($B$2:$B1887,$B1887)=1,1,0))</f>
        <v/>
      </c>
      <c r="AA1887">
        <f>IF($Z1887=1,SUMPRODUCT(--($AC$2:$AC$3001&lt;$AC1887))+1,"")</f>
        <v/>
      </c>
      <c r="AB1887">
        <f>IF($B1887="","",IF(OR($Y1887=TRUE(),$Y1887="TRUE"),1,IF(AND($Y1887&lt;&gt;"",OR($Y1887=FALSE(),$Y1887="FALSE")),0,IF(MIN(ABS($X1887/100-Settings!$C$6),ABS($X1887/100-Settings!$G$6))&lt;=MIN(ABS($X1887/100-Settings!$C$7),ABS($X1887/100-Settings!$G$7)),1,0))))</f>
        <v/>
      </c>
      <c r="AC1887">
        <f>IF($Z1887=1,IFERROR(IF(VALUE($B1887)&lt;100000000,VALUE($B1887),1000000000),IFERROR(IF(VALUE(MID($B1887,2,20))&lt;100000000,VALUE(MID($B1887,2,20)),1000000000),1000000000))+ROW()/100000,"")</f>
        <v/>
      </c>
    </row>
    <row r="1888">
      <c r="A1888">
        <f>IF($B1888="","",IFERROR(IF(INDEX('Per Invoice'!$A$2:$A$801,MATCH($B1888,'Per Invoice'!$B$2:$B$801,0))=0,"",INDEX('Per Invoice'!$A$2:$A$801,MATCH($B1888,'Per Invoice'!$B$2:$B$801,0))),""))</f>
        <v/>
      </c>
      <c r="J1888" s="7">
        <f>IF($B1888="","",I1888*Q1888/100)</f>
        <v/>
      </c>
      <c r="N1888" s="7" t="n"/>
      <c r="O1888" s="7" t="n"/>
      <c r="P1888" s="7">
        <f>IF($B1888="","",O1888*X1888/100)</f>
        <v/>
      </c>
      <c r="Q1888" s="7">
        <f>IF($B1888="","",O1888-P1888)</f>
        <v/>
      </c>
      <c r="R1888" s="7">
        <f>IF($B1888="","",Q1888-J1888)</f>
        <v/>
      </c>
      <c r="S1888" s="7" t="n"/>
      <c r="T1888" s="7" t="n"/>
      <c r="V1888" s="14" t="n"/>
      <c r="Z1888">
        <f>IF($B1888="","",IF(COUNTIF($B$2:$B1888,$B1888)=1,1,0))</f>
        <v/>
      </c>
      <c r="AA1888">
        <f>IF($Z1888=1,SUMPRODUCT(--($AC$2:$AC$3001&lt;$AC1888))+1,"")</f>
        <v/>
      </c>
      <c r="AB1888">
        <f>IF($B1888="","",IF(OR($Y1888=TRUE(),$Y1888="TRUE"),1,IF(AND($Y1888&lt;&gt;"",OR($Y1888=FALSE(),$Y1888="FALSE")),0,IF(MIN(ABS($X1888/100-Settings!$C$6),ABS($X1888/100-Settings!$G$6))&lt;=MIN(ABS($X1888/100-Settings!$C$7),ABS($X1888/100-Settings!$G$7)),1,0))))</f>
        <v/>
      </c>
      <c r="AC1888">
        <f>IF($Z1888=1,IFERROR(IF(VALUE($B1888)&lt;100000000,VALUE($B1888),1000000000),IFERROR(IF(VALUE(MID($B1888,2,20))&lt;100000000,VALUE(MID($B1888,2,20)),1000000000),1000000000))+ROW()/100000,"")</f>
        <v/>
      </c>
    </row>
    <row r="1889">
      <c r="A1889">
        <f>IF($B1889="","",IFERROR(IF(INDEX('Per Invoice'!$A$2:$A$801,MATCH($B1889,'Per Invoice'!$B$2:$B$801,0))=0,"",INDEX('Per Invoice'!$A$2:$A$801,MATCH($B1889,'Per Invoice'!$B$2:$B$801,0))),""))</f>
        <v/>
      </c>
      <c r="J1889" s="7">
        <f>IF($B1889="","",I1889*Q1889/100)</f>
        <v/>
      </c>
      <c r="N1889" s="7" t="n"/>
      <c r="O1889" s="7" t="n"/>
      <c r="P1889" s="7">
        <f>IF($B1889="","",O1889*X1889/100)</f>
        <v/>
      </c>
      <c r="Q1889" s="7">
        <f>IF($B1889="","",O1889-P1889)</f>
        <v/>
      </c>
      <c r="R1889" s="7">
        <f>IF($B1889="","",Q1889-J1889)</f>
        <v/>
      </c>
      <c r="S1889" s="7" t="n"/>
      <c r="T1889" s="7" t="n"/>
      <c r="V1889" s="14" t="n"/>
      <c r="Z1889">
        <f>IF($B1889="","",IF(COUNTIF($B$2:$B1889,$B1889)=1,1,0))</f>
        <v/>
      </c>
      <c r="AA1889">
        <f>IF($Z1889=1,SUMPRODUCT(--($AC$2:$AC$3001&lt;$AC1889))+1,"")</f>
        <v/>
      </c>
      <c r="AB1889">
        <f>IF($B1889="","",IF(OR($Y1889=TRUE(),$Y1889="TRUE"),1,IF(AND($Y1889&lt;&gt;"",OR($Y1889=FALSE(),$Y1889="FALSE")),0,IF(MIN(ABS($X1889/100-Settings!$C$6),ABS($X1889/100-Settings!$G$6))&lt;=MIN(ABS($X1889/100-Settings!$C$7),ABS($X1889/100-Settings!$G$7)),1,0))))</f>
        <v/>
      </c>
      <c r="AC1889">
        <f>IF($Z1889=1,IFERROR(IF(VALUE($B1889)&lt;100000000,VALUE($B1889),1000000000),IFERROR(IF(VALUE(MID($B1889,2,20))&lt;100000000,VALUE(MID($B1889,2,20)),1000000000),1000000000))+ROW()/100000,"")</f>
        <v/>
      </c>
    </row>
    <row r="1890">
      <c r="A1890">
        <f>IF($B1890="","",IFERROR(IF(INDEX('Per Invoice'!$A$2:$A$801,MATCH($B1890,'Per Invoice'!$B$2:$B$801,0))=0,"",INDEX('Per Invoice'!$A$2:$A$801,MATCH($B1890,'Per Invoice'!$B$2:$B$801,0))),""))</f>
        <v/>
      </c>
      <c r="J1890" s="7">
        <f>IF($B1890="","",I1890*Q1890/100)</f>
        <v/>
      </c>
      <c r="N1890" s="7" t="n"/>
      <c r="O1890" s="7" t="n"/>
      <c r="P1890" s="7">
        <f>IF($B1890="","",O1890*X1890/100)</f>
        <v/>
      </c>
      <c r="Q1890" s="7">
        <f>IF($B1890="","",O1890-P1890)</f>
        <v/>
      </c>
      <c r="R1890" s="7">
        <f>IF($B1890="","",Q1890-J1890)</f>
        <v/>
      </c>
      <c r="S1890" s="7" t="n"/>
      <c r="T1890" s="7" t="n"/>
      <c r="V1890" s="14" t="n"/>
      <c r="Z1890">
        <f>IF($B1890="","",IF(COUNTIF($B$2:$B1890,$B1890)=1,1,0))</f>
        <v/>
      </c>
      <c r="AA1890">
        <f>IF($Z1890=1,SUMPRODUCT(--($AC$2:$AC$3001&lt;$AC1890))+1,"")</f>
        <v/>
      </c>
      <c r="AB1890">
        <f>IF($B1890="","",IF(OR($Y1890=TRUE(),$Y1890="TRUE"),1,IF(AND($Y1890&lt;&gt;"",OR($Y1890=FALSE(),$Y1890="FALSE")),0,IF(MIN(ABS($X1890/100-Settings!$C$6),ABS($X1890/100-Settings!$G$6))&lt;=MIN(ABS($X1890/100-Settings!$C$7),ABS($X1890/100-Settings!$G$7)),1,0))))</f>
        <v/>
      </c>
      <c r="AC1890">
        <f>IF($Z1890=1,IFERROR(IF(VALUE($B1890)&lt;100000000,VALUE($B1890),1000000000),IFERROR(IF(VALUE(MID($B1890,2,20))&lt;100000000,VALUE(MID($B1890,2,20)),1000000000),1000000000))+ROW()/100000,"")</f>
        <v/>
      </c>
    </row>
    <row r="1891">
      <c r="A1891">
        <f>IF($B1891="","",IFERROR(IF(INDEX('Per Invoice'!$A$2:$A$801,MATCH($B1891,'Per Invoice'!$B$2:$B$801,0))=0,"",INDEX('Per Invoice'!$A$2:$A$801,MATCH($B1891,'Per Invoice'!$B$2:$B$801,0))),""))</f>
        <v/>
      </c>
      <c r="J1891" s="7">
        <f>IF($B1891="","",I1891*Q1891/100)</f>
        <v/>
      </c>
      <c r="N1891" s="7" t="n"/>
      <c r="O1891" s="7" t="n"/>
      <c r="P1891" s="7">
        <f>IF($B1891="","",O1891*X1891/100)</f>
        <v/>
      </c>
      <c r="Q1891" s="7">
        <f>IF($B1891="","",O1891-P1891)</f>
        <v/>
      </c>
      <c r="R1891" s="7">
        <f>IF($B1891="","",Q1891-J1891)</f>
        <v/>
      </c>
      <c r="S1891" s="7" t="n"/>
      <c r="T1891" s="7" t="n"/>
      <c r="V1891" s="14" t="n"/>
      <c r="Z1891">
        <f>IF($B1891="","",IF(COUNTIF($B$2:$B1891,$B1891)=1,1,0))</f>
        <v/>
      </c>
      <c r="AA1891">
        <f>IF($Z1891=1,SUMPRODUCT(--($AC$2:$AC$3001&lt;$AC1891))+1,"")</f>
        <v/>
      </c>
      <c r="AB1891">
        <f>IF($B1891="","",IF(OR($Y1891=TRUE(),$Y1891="TRUE"),1,IF(AND($Y1891&lt;&gt;"",OR($Y1891=FALSE(),$Y1891="FALSE")),0,IF(MIN(ABS($X1891/100-Settings!$C$6),ABS($X1891/100-Settings!$G$6))&lt;=MIN(ABS($X1891/100-Settings!$C$7),ABS($X1891/100-Settings!$G$7)),1,0))))</f>
        <v/>
      </c>
      <c r="AC1891">
        <f>IF($Z1891=1,IFERROR(IF(VALUE($B1891)&lt;100000000,VALUE($B1891),1000000000),IFERROR(IF(VALUE(MID($B1891,2,20))&lt;100000000,VALUE(MID($B1891,2,20)),1000000000),1000000000))+ROW()/100000,"")</f>
        <v/>
      </c>
    </row>
    <row r="1892">
      <c r="A1892">
        <f>IF($B1892="","",IFERROR(IF(INDEX('Per Invoice'!$A$2:$A$801,MATCH($B1892,'Per Invoice'!$B$2:$B$801,0))=0,"",INDEX('Per Invoice'!$A$2:$A$801,MATCH($B1892,'Per Invoice'!$B$2:$B$801,0))),""))</f>
        <v/>
      </c>
      <c r="J1892" s="7">
        <f>IF($B1892="","",I1892*Q1892/100)</f>
        <v/>
      </c>
      <c r="N1892" s="7" t="n"/>
      <c r="O1892" s="7" t="n"/>
      <c r="P1892" s="7">
        <f>IF($B1892="","",O1892*X1892/100)</f>
        <v/>
      </c>
      <c r="Q1892" s="7">
        <f>IF($B1892="","",O1892-P1892)</f>
        <v/>
      </c>
      <c r="R1892" s="7">
        <f>IF($B1892="","",Q1892-J1892)</f>
        <v/>
      </c>
      <c r="S1892" s="7" t="n"/>
      <c r="T1892" s="7" t="n"/>
      <c r="V1892" s="14" t="n"/>
      <c r="Z1892">
        <f>IF($B1892="","",IF(COUNTIF($B$2:$B1892,$B1892)=1,1,0))</f>
        <v/>
      </c>
      <c r="AA1892">
        <f>IF($Z1892=1,SUMPRODUCT(--($AC$2:$AC$3001&lt;$AC1892))+1,"")</f>
        <v/>
      </c>
      <c r="AB1892">
        <f>IF($B1892="","",IF(OR($Y1892=TRUE(),$Y1892="TRUE"),1,IF(AND($Y1892&lt;&gt;"",OR($Y1892=FALSE(),$Y1892="FALSE")),0,IF(MIN(ABS($X1892/100-Settings!$C$6),ABS($X1892/100-Settings!$G$6))&lt;=MIN(ABS($X1892/100-Settings!$C$7),ABS($X1892/100-Settings!$G$7)),1,0))))</f>
        <v/>
      </c>
      <c r="AC1892">
        <f>IF($Z1892=1,IFERROR(IF(VALUE($B1892)&lt;100000000,VALUE($B1892),1000000000),IFERROR(IF(VALUE(MID($B1892,2,20))&lt;100000000,VALUE(MID($B1892,2,20)),1000000000),1000000000))+ROW()/100000,"")</f>
        <v/>
      </c>
    </row>
    <row r="1893">
      <c r="A1893">
        <f>IF($B1893="","",IFERROR(IF(INDEX('Per Invoice'!$A$2:$A$801,MATCH($B1893,'Per Invoice'!$B$2:$B$801,0))=0,"",INDEX('Per Invoice'!$A$2:$A$801,MATCH($B1893,'Per Invoice'!$B$2:$B$801,0))),""))</f>
        <v/>
      </c>
      <c r="J1893" s="7">
        <f>IF($B1893="","",I1893*Q1893/100)</f>
        <v/>
      </c>
      <c r="N1893" s="7" t="n"/>
      <c r="O1893" s="7" t="n"/>
      <c r="P1893" s="7">
        <f>IF($B1893="","",O1893*X1893/100)</f>
        <v/>
      </c>
      <c r="Q1893" s="7">
        <f>IF($B1893="","",O1893-P1893)</f>
        <v/>
      </c>
      <c r="R1893" s="7">
        <f>IF($B1893="","",Q1893-J1893)</f>
        <v/>
      </c>
      <c r="S1893" s="7" t="n"/>
      <c r="T1893" s="7" t="n"/>
      <c r="V1893" s="14" t="n"/>
      <c r="Z1893">
        <f>IF($B1893="","",IF(COUNTIF($B$2:$B1893,$B1893)=1,1,0))</f>
        <v/>
      </c>
      <c r="AA1893">
        <f>IF($Z1893=1,SUMPRODUCT(--($AC$2:$AC$3001&lt;$AC1893))+1,"")</f>
        <v/>
      </c>
      <c r="AB1893">
        <f>IF($B1893="","",IF(OR($Y1893=TRUE(),$Y1893="TRUE"),1,IF(AND($Y1893&lt;&gt;"",OR($Y1893=FALSE(),$Y1893="FALSE")),0,IF(MIN(ABS($X1893/100-Settings!$C$6),ABS($X1893/100-Settings!$G$6))&lt;=MIN(ABS($X1893/100-Settings!$C$7),ABS($X1893/100-Settings!$G$7)),1,0))))</f>
        <v/>
      </c>
      <c r="AC1893">
        <f>IF($Z1893=1,IFERROR(IF(VALUE($B1893)&lt;100000000,VALUE($B1893),1000000000),IFERROR(IF(VALUE(MID($B1893,2,20))&lt;100000000,VALUE(MID($B1893,2,20)),1000000000),1000000000))+ROW()/100000,"")</f>
        <v/>
      </c>
    </row>
    <row r="1894">
      <c r="A1894">
        <f>IF($B1894="","",IFERROR(IF(INDEX('Per Invoice'!$A$2:$A$801,MATCH($B1894,'Per Invoice'!$B$2:$B$801,0))=0,"",INDEX('Per Invoice'!$A$2:$A$801,MATCH($B1894,'Per Invoice'!$B$2:$B$801,0))),""))</f>
        <v/>
      </c>
      <c r="J1894" s="7">
        <f>IF($B1894="","",I1894*Q1894/100)</f>
        <v/>
      </c>
      <c r="N1894" s="7" t="n"/>
      <c r="O1894" s="7" t="n"/>
      <c r="P1894" s="7">
        <f>IF($B1894="","",O1894*X1894/100)</f>
        <v/>
      </c>
      <c r="Q1894" s="7">
        <f>IF($B1894="","",O1894-P1894)</f>
        <v/>
      </c>
      <c r="R1894" s="7">
        <f>IF($B1894="","",Q1894-J1894)</f>
        <v/>
      </c>
      <c r="S1894" s="7" t="n"/>
      <c r="T1894" s="7" t="n"/>
      <c r="V1894" s="14" t="n"/>
      <c r="Z1894">
        <f>IF($B1894="","",IF(COUNTIF($B$2:$B1894,$B1894)=1,1,0))</f>
        <v/>
      </c>
      <c r="AA1894">
        <f>IF($Z1894=1,SUMPRODUCT(--($AC$2:$AC$3001&lt;$AC1894))+1,"")</f>
        <v/>
      </c>
      <c r="AB1894">
        <f>IF($B1894="","",IF(OR($Y1894=TRUE(),$Y1894="TRUE"),1,IF(AND($Y1894&lt;&gt;"",OR($Y1894=FALSE(),$Y1894="FALSE")),0,IF(MIN(ABS($X1894/100-Settings!$C$6),ABS($X1894/100-Settings!$G$6))&lt;=MIN(ABS($X1894/100-Settings!$C$7),ABS($X1894/100-Settings!$G$7)),1,0))))</f>
        <v/>
      </c>
      <c r="AC1894">
        <f>IF($Z1894=1,IFERROR(IF(VALUE($B1894)&lt;100000000,VALUE($B1894),1000000000),IFERROR(IF(VALUE(MID($B1894,2,20))&lt;100000000,VALUE(MID($B1894,2,20)),1000000000),1000000000))+ROW()/100000,"")</f>
        <v/>
      </c>
    </row>
    <row r="1895">
      <c r="A1895">
        <f>IF($B1895="","",IFERROR(IF(INDEX('Per Invoice'!$A$2:$A$801,MATCH($B1895,'Per Invoice'!$B$2:$B$801,0))=0,"",INDEX('Per Invoice'!$A$2:$A$801,MATCH($B1895,'Per Invoice'!$B$2:$B$801,0))),""))</f>
        <v/>
      </c>
      <c r="J1895" s="7">
        <f>IF($B1895="","",I1895*Q1895/100)</f>
        <v/>
      </c>
      <c r="N1895" s="7" t="n"/>
      <c r="O1895" s="7" t="n"/>
      <c r="P1895" s="7">
        <f>IF($B1895="","",O1895*X1895/100)</f>
        <v/>
      </c>
      <c r="Q1895" s="7">
        <f>IF($B1895="","",O1895-P1895)</f>
        <v/>
      </c>
      <c r="R1895" s="7">
        <f>IF($B1895="","",Q1895-J1895)</f>
        <v/>
      </c>
      <c r="S1895" s="7" t="n"/>
      <c r="T1895" s="7" t="n"/>
      <c r="V1895" s="14" t="n"/>
      <c r="Z1895">
        <f>IF($B1895="","",IF(COUNTIF($B$2:$B1895,$B1895)=1,1,0))</f>
        <v/>
      </c>
      <c r="AA1895">
        <f>IF($Z1895=1,SUMPRODUCT(--($AC$2:$AC$3001&lt;$AC1895))+1,"")</f>
        <v/>
      </c>
      <c r="AB1895">
        <f>IF($B1895="","",IF(OR($Y1895=TRUE(),$Y1895="TRUE"),1,IF(AND($Y1895&lt;&gt;"",OR($Y1895=FALSE(),$Y1895="FALSE")),0,IF(MIN(ABS($X1895/100-Settings!$C$6),ABS($X1895/100-Settings!$G$6))&lt;=MIN(ABS($X1895/100-Settings!$C$7),ABS($X1895/100-Settings!$G$7)),1,0))))</f>
        <v/>
      </c>
      <c r="AC1895">
        <f>IF($Z1895=1,IFERROR(IF(VALUE($B1895)&lt;100000000,VALUE($B1895),1000000000),IFERROR(IF(VALUE(MID($B1895,2,20))&lt;100000000,VALUE(MID($B1895,2,20)),1000000000),1000000000))+ROW()/100000,"")</f>
        <v/>
      </c>
    </row>
    <row r="1896">
      <c r="A1896">
        <f>IF($B1896="","",IFERROR(IF(INDEX('Per Invoice'!$A$2:$A$801,MATCH($B1896,'Per Invoice'!$B$2:$B$801,0))=0,"",INDEX('Per Invoice'!$A$2:$A$801,MATCH($B1896,'Per Invoice'!$B$2:$B$801,0))),""))</f>
        <v/>
      </c>
      <c r="J1896" s="7">
        <f>IF($B1896="","",I1896*Q1896/100)</f>
        <v/>
      </c>
      <c r="N1896" s="7" t="n"/>
      <c r="O1896" s="7" t="n"/>
      <c r="P1896" s="7">
        <f>IF($B1896="","",O1896*X1896/100)</f>
        <v/>
      </c>
      <c r="Q1896" s="7">
        <f>IF($B1896="","",O1896-P1896)</f>
        <v/>
      </c>
      <c r="R1896" s="7">
        <f>IF($B1896="","",Q1896-J1896)</f>
        <v/>
      </c>
      <c r="S1896" s="7" t="n"/>
      <c r="T1896" s="7" t="n"/>
      <c r="V1896" s="14" t="n"/>
      <c r="Z1896">
        <f>IF($B1896="","",IF(COUNTIF($B$2:$B1896,$B1896)=1,1,0))</f>
        <v/>
      </c>
      <c r="AA1896">
        <f>IF($Z1896=1,SUMPRODUCT(--($AC$2:$AC$3001&lt;$AC1896))+1,"")</f>
        <v/>
      </c>
      <c r="AB1896">
        <f>IF($B1896="","",IF(OR($Y1896=TRUE(),$Y1896="TRUE"),1,IF(AND($Y1896&lt;&gt;"",OR($Y1896=FALSE(),$Y1896="FALSE")),0,IF(MIN(ABS($X1896/100-Settings!$C$6),ABS($X1896/100-Settings!$G$6))&lt;=MIN(ABS($X1896/100-Settings!$C$7),ABS($X1896/100-Settings!$G$7)),1,0))))</f>
        <v/>
      </c>
      <c r="AC1896">
        <f>IF($Z1896=1,IFERROR(IF(VALUE($B1896)&lt;100000000,VALUE($B1896),1000000000),IFERROR(IF(VALUE(MID($B1896,2,20))&lt;100000000,VALUE(MID($B1896,2,20)),1000000000),1000000000))+ROW()/100000,"")</f>
        <v/>
      </c>
    </row>
    <row r="1897">
      <c r="A1897">
        <f>IF($B1897="","",IFERROR(IF(INDEX('Per Invoice'!$A$2:$A$801,MATCH($B1897,'Per Invoice'!$B$2:$B$801,0))=0,"",INDEX('Per Invoice'!$A$2:$A$801,MATCH($B1897,'Per Invoice'!$B$2:$B$801,0))),""))</f>
        <v/>
      </c>
      <c r="J1897" s="7">
        <f>IF($B1897="","",I1897*Q1897/100)</f>
        <v/>
      </c>
      <c r="N1897" s="7" t="n"/>
      <c r="O1897" s="7" t="n"/>
      <c r="P1897" s="7">
        <f>IF($B1897="","",O1897*X1897/100)</f>
        <v/>
      </c>
      <c r="Q1897" s="7">
        <f>IF($B1897="","",O1897-P1897)</f>
        <v/>
      </c>
      <c r="R1897" s="7">
        <f>IF($B1897="","",Q1897-J1897)</f>
        <v/>
      </c>
      <c r="S1897" s="7" t="n"/>
      <c r="T1897" s="7" t="n"/>
      <c r="V1897" s="14" t="n"/>
      <c r="Z1897">
        <f>IF($B1897="","",IF(COUNTIF($B$2:$B1897,$B1897)=1,1,0))</f>
        <v/>
      </c>
      <c r="AA1897">
        <f>IF($Z1897=1,SUMPRODUCT(--($AC$2:$AC$3001&lt;$AC1897))+1,"")</f>
        <v/>
      </c>
      <c r="AB1897">
        <f>IF($B1897="","",IF(OR($Y1897=TRUE(),$Y1897="TRUE"),1,IF(AND($Y1897&lt;&gt;"",OR($Y1897=FALSE(),$Y1897="FALSE")),0,IF(MIN(ABS($X1897/100-Settings!$C$6),ABS($X1897/100-Settings!$G$6))&lt;=MIN(ABS($X1897/100-Settings!$C$7),ABS($X1897/100-Settings!$G$7)),1,0))))</f>
        <v/>
      </c>
      <c r="AC1897">
        <f>IF($Z1897=1,IFERROR(IF(VALUE($B1897)&lt;100000000,VALUE($B1897),1000000000),IFERROR(IF(VALUE(MID($B1897,2,20))&lt;100000000,VALUE(MID($B1897,2,20)),1000000000),1000000000))+ROW()/100000,"")</f>
        <v/>
      </c>
    </row>
    <row r="1898">
      <c r="A1898">
        <f>IF($B1898="","",IFERROR(IF(INDEX('Per Invoice'!$A$2:$A$801,MATCH($B1898,'Per Invoice'!$B$2:$B$801,0))=0,"",INDEX('Per Invoice'!$A$2:$A$801,MATCH($B1898,'Per Invoice'!$B$2:$B$801,0))),""))</f>
        <v/>
      </c>
      <c r="J1898" s="7">
        <f>IF($B1898="","",I1898*Q1898/100)</f>
        <v/>
      </c>
      <c r="N1898" s="7" t="n"/>
      <c r="O1898" s="7" t="n"/>
      <c r="P1898" s="7">
        <f>IF($B1898="","",O1898*X1898/100)</f>
        <v/>
      </c>
      <c r="Q1898" s="7">
        <f>IF($B1898="","",O1898-P1898)</f>
        <v/>
      </c>
      <c r="R1898" s="7">
        <f>IF($B1898="","",Q1898-J1898)</f>
        <v/>
      </c>
      <c r="S1898" s="7" t="n"/>
      <c r="T1898" s="7" t="n"/>
      <c r="V1898" s="14" t="n"/>
      <c r="Z1898">
        <f>IF($B1898="","",IF(COUNTIF($B$2:$B1898,$B1898)=1,1,0))</f>
        <v/>
      </c>
      <c r="AA1898">
        <f>IF($Z1898=1,SUMPRODUCT(--($AC$2:$AC$3001&lt;$AC1898))+1,"")</f>
        <v/>
      </c>
      <c r="AB1898">
        <f>IF($B1898="","",IF(OR($Y1898=TRUE(),$Y1898="TRUE"),1,IF(AND($Y1898&lt;&gt;"",OR($Y1898=FALSE(),$Y1898="FALSE")),0,IF(MIN(ABS($X1898/100-Settings!$C$6),ABS($X1898/100-Settings!$G$6))&lt;=MIN(ABS($X1898/100-Settings!$C$7),ABS($X1898/100-Settings!$G$7)),1,0))))</f>
        <v/>
      </c>
      <c r="AC1898">
        <f>IF($Z1898=1,IFERROR(IF(VALUE($B1898)&lt;100000000,VALUE($B1898),1000000000),IFERROR(IF(VALUE(MID($B1898,2,20))&lt;100000000,VALUE(MID($B1898,2,20)),1000000000),1000000000))+ROW()/100000,"")</f>
        <v/>
      </c>
    </row>
    <row r="1899">
      <c r="A1899">
        <f>IF($B1899="","",IFERROR(IF(INDEX('Per Invoice'!$A$2:$A$801,MATCH($B1899,'Per Invoice'!$B$2:$B$801,0))=0,"",INDEX('Per Invoice'!$A$2:$A$801,MATCH($B1899,'Per Invoice'!$B$2:$B$801,0))),""))</f>
        <v/>
      </c>
      <c r="J1899" s="7">
        <f>IF($B1899="","",I1899*Q1899/100)</f>
        <v/>
      </c>
      <c r="N1899" s="7" t="n"/>
      <c r="O1899" s="7" t="n"/>
      <c r="P1899" s="7">
        <f>IF($B1899="","",O1899*X1899/100)</f>
        <v/>
      </c>
      <c r="Q1899" s="7">
        <f>IF($B1899="","",O1899-P1899)</f>
        <v/>
      </c>
      <c r="R1899" s="7">
        <f>IF($B1899="","",Q1899-J1899)</f>
        <v/>
      </c>
      <c r="S1899" s="7" t="n"/>
      <c r="T1899" s="7" t="n"/>
      <c r="V1899" s="14" t="n"/>
      <c r="Z1899">
        <f>IF($B1899="","",IF(COUNTIF($B$2:$B1899,$B1899)=1,1,0))</f>
        <v/>
      </c>
      <c r="AA1899">
        <f>IF($Z1899=1,SUMPRODUCT(--($AC$2:$AC$3001&lt;$AC1899))+1,"")</f>
        <v/>
      </c>
      <c r="AB1899">
        <f>IF($B1899="","",IF(OR($Y1899=TRUE(),$Y1899="TRUE"),1,IF(AND($Y1899&lt;&gt;"",OR($Y1899=FALSE(),$Y1899="FALSE")),0,IF(MIN(ABS($X1899/100-Settings!$C$6),ABS($X1899/100-Settings!$G$6))&lt;=MIN(ABS($X1899/100-Settings!$C$7),ABS($X1899/100-Settings!$G$7)),1,0))))</f>
        <v/>
      </c>
      <c r="AC1899">
        <f>IF($Z1899=1,IFERROR(IF(VALUE($B1899)&lt;100000000,VALUE($B1899),1000000000),IFERROR(IF(VALUE(MID($B1899,2,20))&lt;100000000,VALUE(MID($B1899,2,20)),1000000000),1000000000))+ROW()/100000,"")</f>
        <v/>
      </c>
    </row>
    <row r="1900">
      <c r="A1900">
        <f>IF($B1900="","",IFERROR(IF(INDEX('Per Invoice'!$A$2:$A$801,MATCH($B1900,'Per Invoice'!$B$2:$B$801,0))=0,"",INDEX('Per Invoice'!$A$2:$A$801,MATCH($B1900,'Per Invoice'!$B$2:$B$801,0))),""))</f>
        <v/>
      </c>
      <c r="J1900" s="7">
        <f>IF($B1900="","",I1900*Q1900/100)</f>
        <v/>
      </c>
      <c r="N1900" s="7" t="n"/>
      <c r="O1900" s="7" t="n"/>
      <c r="P1900" s="7">
        <f>IF($B1900="","",O1900*X1900/100)</f>
        <v/>
      </c>
      <c r="Q1900" s="7">
        <f>IF($B1900="","",O1900-P1900)</f>
        <v/>
      </c>
      <c r="R1900" s="7">
        <f>IF($B1900="","",Q1900-J1900)</f>
        <v/>
      </c>
      <c r="S1900" s="7" t="n"/>
      <c r="T1900" s="7" t="n"/>
      <c r="V1900" s="14" t="n"/>
      <c r="Z1900">
        <f>IF($B1900="","",IF(COUNTIF($B$2:$B1900,$B1900)=1,1,0))</f>
        <v/>
      </c>
      <c r="AA1900">
        <f>IF($Z1900=1,SUMPRODUCT(--($AC$2:$AC$3001&lt;$AC1900))+1,"")</f>
        <v/>
      </c>
      <c r="AB1900">
        <f>IF($B1900="","",IF(OR($Y1900=TRUE(),$Y1900="TRUE"),1,IF(AND($Y1900&lt;&gt;"",OR($Y1900=FALSE(),$Y1900="FALSE")),0,IF(MIN(ABS($X1900/100-Settings!$C$6),ABS($X1900/100-Settings!$G$6))&lt;=MIN(ABS($X1900/100-Settings!$C$7),ABS($X1900/100-Settings!$G$7)),1,0))))</f>
        <v/>
      </c>
      <c r="AC1900">
        <f>IF($Z1900=1,IFERROR(IF(VALUE($B1900)&lt;100000000,VALUE($B1900),1000000000),IFERROR(IF(VALUE(MID($B1900,2,20))&lt;100000000,VALUE(MID($B1900,2,20)),1000000000),1000000000))+ROW()/100000,"")</f>
        <v/>
      </c>
    </row>
    <row r="1901">
      <c r="A1901">
        <f>IF($B1901="","",IFERROR(IF(INDEX('Per Invoice'!$A$2:$A$801,MATCH($B1901,'Per Invoice'!$B$2:$B$801,0))=0,"",INDEX('Per Invoice'!$A$2:$A$801,MATCH($B1901,'Per Invoice'!$B$2:$B$801,0))),""))</f>
        <v/>
      </c>
      <c r="J1901" s="7">
        <f>IF($B1901="","",I1901*Q1901/100)</f>
        <v/>
      </c>
      <c r="N1901" s="7" t="n"/>
      <c r="O1901" s="7" t="n"/>
      <c r="P1901" s="7">
        <f>IF($B1901="","",O1901*X1901/100)</f>
        <v/>
      </c>
      <c r="Q1901" s="7">
        <f>IF($B1901="","",O1901-P1901)</f>
        <v/>
      </c>
      <c r="R1901" s="7">
        <f>IF($B1901="","",Q1901-J1901)</f>
        <v/>
      </c>
      <c r="S1901" s="7" t="n"/>
      <c r="T1901" s="7" t="n"/>
      <c r="V1901" s="14" t="n"/>
      <c r="Z1901">
        <f>IF($B1901="","",IF(COUNTIF($B$2:$B1901,$B1901)=1,1,0))</f>
        <v/>
      </c>
      <c r="AA1901">
        <f>IF($Z1901=1,SUMPRODUCT(--($AC$2:$AC$3001&lt;$AC1901))+1,"")</f>
        <v/>
      </c>
      <c r="AB1901">
        <f>IF($B1901="","",IF(OR($Y1901=TRUE(),$Y1901="TRUE"),1,IF(AND($Y1901&lt;&gt;"",OR($Y1901=FALSE(),$Y1901="FALSE")),0,IF(MIN(ABS($X1901/100-Settings!$C$6),ABS($X1901/100-Settings!$G$6))&lt;=MIN(ABS($X1901/100-Settings!$C$7),ABS($X1901/100-Settings!$G$7)),1,0))))</f>
        <v/>
      </c>
      <c r="AC1901">
        <f>IF($Z1901=1,IFERROR(IF(VALUE($B1901)&lt;100000000,VALUE($B1901),1000000000),IFERROR(IF(VALUE(MID($B1901,2,20))&lt;100000000,VALUE(MID($B1901,2,20)),1000000000),1000000000))+ROW()/100000,"")</f>
        <v/>
      </c>
    </row>
    <row r="1902">
      <c r="A1902">
        <f>IF($B1902="","",IFERROR(IF(INDEX('Per Invoice'!$A$2:$A$801,MATCH($B1902,'Per Invoice'!$B$2:$B$801,0))=0,"",INDEX('Per Invoice'!$A$2:$A$801,MATCH($B1902,'Per Invoice'!$B$2:$B$801,0))),""))</f>
        <v/>
      </c>
      <c r="J1902" s="7">
        <f>IF($B1902="","",I1902*Q1902/100)</f>
        <v/>
      </c>
      <c r="N1902" s="7" t="n"/>
      <c r="O1902" s="7" t="n"/>
      <c r="P1902" s="7">
        <f>IF($B1902="","",O1902*X1902/100)</f>
        <v/>
      </c>
      <c r="Q1902" s="7">
        <f>IF($B1902="","",O1902-P1902)</f>
        <v/>
      </c>
      <c r="R1902" s="7">
        <f>IF($B1902="","",Q1902-J1902)</f>
        <v/>
      </c>
      <c r="S1902" s="7" t="n"/>
      <c r="T1902" s="7" t="n"/>
      <c r="V1902" s="14" t="n"/>
      <c r="Z1902">
        <f>IF($B1902="","",IF(COUNTIF($B$2:$B1902,$B1902)=1,1,0))</f>
        <v/>
      </c>
      <c r="AA1902">
        <f>IF($Z1902=1,SUMPRODUCT(--($AC$2:$AC$3001&lt;$AC1902))+1,"")</f>
        <v/>
      </c>
      <c r="AB1902">
        <f>IF($B1902="","",IF(OR($Y1902=TRUE(),$Y1902="TRUE"),1,IF(AND($Y1902&lt;&gt;"",OR($Y1902=FALSE(),$Y1902="FALSE")),0,IF(MIN(ABS($X1902/100-Settings!$C$6),ABS($X1902/100-Settings!$G$6))&lt;=MIN(ABS($X1902/100-Settings!$C$7),ABS($X1902/100-Settings!$G$7)),1,0))))</f>
        <v/>
      </c>
      <c r="AC1902">
        <f>IF($Z1902=1,IFERROR(IF(VALUE($B1902)&lt;100000000,VALUE($B1902),1000000000),IFERROR(IF(VALUE(MID($B1902,2,20))&lt;100000000,VALUE(MID($B1902,2,20)),1000000000),1000000000))+ROW()/100000,"")</f>
        <v/>
      </c>
    </row>
    <row r="1903">
      <c r="A1903">
        <f>IF($B1903="","",IFERROR(IF(INDEX('Per Invoice'!$A$2:$A$801,MATCH($B1903,'Per Invoice'!$B$2:$B$801,0))=0,"",INDEX('Per Invoice'!$A$2:$A$801,MATCH($B1903,'Per Invoice'!$B$2:$B$801,0))),""))</f>
        <v/>
      </c>
      <c r="J1903" s="7">
        <f>IF($B1903="","",I1903*Q1903/100)</f>
        <v/>
      </c>
      <c r="N1903" s="7" t="n"/>
      <c r="O1903" s="7" t="n"/>
      <c r="P1903" s="7">
        <f>IF($B1903="","",O1903*X1903/100)</f>
        <v/>
      </c>
      <c r="Q1903" s="7">
        <f>IF($B1903="","",O1903-P1903)</f>
        <v/>
      </c>
      <c r="R1903" s="7">
        <f>IF($B1903="","",Q1903-J1903)</f>
        <v/>
      </c>
      <c r="S1903" s="7" t="n"/>
      <c r="T1903" s="7" t="n"/>
      <c r="V1903" s="14" t="n"/>
      <c r="Z1903">
        <f>IF($B1903="","",IF(COUNTIF($B$2:$B1903,$B1903)=1,1,0))</f>
        <v/>
      </c>
      <c r="AA1903">
        <f>IF($Z1903=1,SUMPRODUCT(--($AC$2:$AC$3001&lt;$AC1903))+1,"")</f>
        <v/>
      </c>
      <c r="AB1903">
        <f>IF($B1903="","",IF(OR($Y1903=TRUE(),$Y1903="TRUE"),1,IF(AND($Y1903&lt;&gt;"",OR($Y1903=FALSE(),$Y1903="FALSE")),0,IF(MIN(ABS($X1903/100-Settings!$C$6),ABS($X1903/100-Settings!$G$6))&lt;=MIN(ABS($X1903/100-Settings!$C$7),ABS($X1903/100-Settings!$G$7)),1,0))))</f>
        <v/>
      </c>
      <c r="AC1903">
        <f>IF($Z1903=1,IFERROR(IF(VALUE($B1903)&lt;100000000,VALUE($B1903),1000000000),IFERROR(IF(VALUE(MID($B1903,2,20))&lt;100000000,VALUE(MID($B1903,2,20)),1000000000),1000000000))+ROW()/100000,"")</f>
        <v/>
      </c>
    </row>
    <row r="1904">
      <c r="A1904">
        <f>IF($B1904="","",IFERROR(IF(INDEX('Per Invoice'!$A$2:$A$801,MATCH($B1904,'Per Invoice'!$B$2:$B$801,0))=0,"",INDEX('Per Invoice'!$A$2:$A$801,MATCH($B1904,'Per Invoice'!$B$2:$B$801,0))),""))</f>
        <v/>
      </c>
      <c r="J1904" s="7">
        <f>IF($B1904="","",I1904*Q1904/100)</f>
        <v/>
      </c>
      <c r="N1904" s="7" t="n"/>
      <c r="O1904" s="7" t="n"/>
      <c r="P1904" s="7">
        <f>IF($B1904="","",O1904*X1904/100)</f>
        <v/>
      </c>
      <c r="Q1904" s="7">
        <f>IF($B1904="","",O1904-P1904)</f>
        <v/>
      </c>
      <c r="R1904" s="7">
        <f>IF($B1904="","",Q1904-J1904)</f>
        <v/>
      </c>
      <c r="S1904" s="7" t="n"/>
      <c r="T1904" s="7" t="n"/>
      <c r="V1904" s="14" t="n"/>
      <c r="Z1904">
        <f>IF($B1904="","",IF(COUNTIF($B$2:$B1904,$B1904)=1,1,0))</f>
        <v/>
      </c>
      <c r="AA1904">
        <f>IF($Z1904=1,SUMPRODUCT(--($AC$2:$AC$3001&lt;$AC1904))+1,"")</f>
        <v/>
      </c>
      <c r="AB1904">
        <f>IF($B1904="","",IF(OR($Y1904=TRUE(),$Y1904="TRUE"),1,IF(AND($Y1904&lt;&gt;"",OR($Y1904=FALSE(),$Y1904="FALSE")),0,IF(MIN(ABS($X1904/100-Settings!$C$6),ABS($X1904/100-Settings!$G$6))&lt;=MIN(ABS($X1904/100-Settings!$C$7),ABS($X1904/100-Settings!$G$7)),1,0))))</f>
        <v/>
      </c>
      <c r="AC1904">
        <f>IF($Z1904=1,IFERROR(IF(VALUE($B1904)&lt;100000000,VALUE($B1904),1000000000),IFERROR(IF(VALUE(MID($B1904,2,20))&lt;100000000,VALUE(MID($B1904,2,20)),1000000000),1000000000))+ROW()/100000,"")</f>
        <v/>
      </c>
    </row>
    <row r="1905">
      <c r="A1905">
        <f>IF($B1905="","",IFERROR(IF(INDEX('Per Invoice'!$A$2:$A$801,MATCH($B1905,'Per Invoice'!$B$2:$B$801,0))=0,"",INDEX('Per Invoice'!$A$2:$A$801,MATCH($B1905,'Per Invoice'!$B$2:$B$801,0))),""))</f>
        <v/>
      </c>
      <c r="J1905" s="7">
        <f>IF($B1905="","",I1905*Q1905/100)</f>
        <v/>
      </c>
      <c r="N1905" s="7" t="n"/>
      <c r="O1905" s="7" t="n"/>
      <c r="P1905" s="7">
        <f>IF($B1905="","",O1905*X1905/100)</f>
        <v/>
      </c>
      <c r="Q1905" s="7">
        <f>IF($B1905="","",O1905-P1905)</f>
        <v/>
      </c>
      <c r="R1905" s="7">
        <f>IF($B1905="","",Q1905-J1905)</f>
        <v/>
      </c>
      <c r="S1905" s="7" t="n"/>
      <c r="T1905" s="7" t="n"/>
      <c r="V1905" s="14" t="n"/>
      <c r="Z1905">
        <f>IF($B1905="","",IF(COUNTIF($B$2:$B1905,$B1905)=1,1,0))</f>
        <v/>
      </c>
      <c r="AA1905">
        <f>IF($Z1905=1,SUMPRODUCT(--($AC$2:$AC$3001&lt;$AC1905))+1,"")</f>
        <v/>
      </c>
      <c r="AB1905">
        <f>IF($B1905="","",IF(OR($Y1905=TRUE(),$Y1905="TRUE"),1,IF(AND($Y1905&lt;&gt;"",OR($Y1905=FALSE(),$Y1905="FALSE")),0,IF(MIN(ABS($X1905/100-Settings!$C$6),ABS($X1905/100-Settings!$G$6))&lt;=MIN(ABS($X1905/100-Settings!$C$7),ABS($X1905/100-Settings!$G$7)),1,0))))</f>
        <v/>
      </c>
      <c r="AC1905">
        <f>IF($Z1905=1,IFERROR(IF(VALUE($B1905)&lt;100000000,VALUE($B1905),1000000000),IFERROR(IF(VALUE(MID($B1905,2,20))&lt;100000000,VALUE(MID($B1905,2,20)),1000000000),1000000000))+ROW()/100000,"")</f>
        <v/>
      </c>
    </row>
    <row r="1906">
      <c r="A1906">
        <f>IF($B1906="","",IFERROR(IF(INDEX('Per Invoice'!$A$2:$A$801,MATCH($B1906,'Per Invoice'!$B$2:$B$801,0))=0,"",INDEX('Per Invoice'!$A$2:$A$801,MATCH($B1906,'Per Invoice'!$B$2:$B$801,0))),""))</f>
        <v/>
      </c>
      <c r="J1906" s="7">
        <f>IF($B1906="","",I1906*Q1906/100)</f>
        <v/>
      </c>
      <c r="N1906" s="7" t="n"/>
      <c r="O1906" s="7" t="n"/>
      <c r="P1906" s="7">
        <f>IF($B1906="","",O1906*X1906/100)</f>
        <v/>
      </c>
      <c r="Q1906" s="7">
        <f>IF($B1906="","",O1906-P1906)</f>
        <v/>
      </c>
      <c r="R1906" s="7">
        <f>IF($B1906="","",Q1906-J1906)</f>
        <v/>
      </c>
      <c r="S1906" s="7" t="n"/>
      <c r="T1906" s="7" t="n"/>
      <c r="V1906" s="14" t="n"/>
      <c r="Z1906">
        <f>IF($B1906="","",IF(COUNTIF($B$2:$B1906,$B1906)=1,1,0))</f>
        <v/>
      </c>
      <c r="AA1906">
        <f>IF($Z1906=1,SUMPRODUCT(--($AC$2:$AC$3001&lt;$AC1906))+1,"")</f>
        <v/>
      </c>
      <c r="AB1906">
        <f>IF($B1906="","",IF(OR($Y1906=TRUE(),$Y1906="TRUE"),1,IF(AND($Y1906&lt;&gt;"",OR($Y1906=FALSE(),$Y1906="FALSE")),0,IF(MIN(ABS($X1906/100-Settings!$C$6),ABS($X1906/100-Settings!$G$6))&lt;=MIN(ABS($X1906/100-Settings!$C$7),ABS($X1906/100-Settings!$G$7)),1,0))))</f>
        <v/>
      </c>
      <c r="AC1906">
        <f>IF($Z1906=1,IFERROR(IF(VALUE($B1906)&lt;100000000,VALUE($B1906),1000000000),IFERROR(IF(VALUE(MID($B1906,2,20))&lt;100000000,VALUE(MID($B1906,2,20)),1000000000),1000000000))+ROW()/100000,"")</f>
        <v/>
      </c>
    </row>
    <row r="1907">
      <c r="A1907">
        <f>IF($B1907="","",IFERROR(IF(INDEX('Per Invoice'!$A$2:$A$801,MATCH($B1907,'Per Invoice'!$B$2:$B$801,0))=0,"",INDEX('Per Invoice'!$A$2:$A$801,MATCH($B1907,'Per Invoice'!$B$2:$B$801,0))),""))</f>
        <v/>
      </c>
      <c r="J1907" s="7">
        <f>IF($B1907="","",I1907*Q1907/100)</f>
        <v/>
      </c>
      <c r="N1907" s="7" t="n"/>
      <c r="O1907" s="7" t="n"/>
      <c r="P1907" s="7">
        <f>IF($B1907="","",O1907*X1907/100)</f>
        <v/>
      </c>
      <c r="Q1907" s="7">
        <f>IF($B1907="","",O1907-P1907)</f>
        <v/>
      </c>
      <c r="R1907" s="7">
        <f>IF($B1907="","",Q1907-J1907)</f>
        <v/>
      </c>
      <c r="S1907" s="7" t="n"/>
      <c r="T1907" s="7" t="n"/>
      <c r="V1907" s="14" t="n"/>
      <c r="Z1907">
        <f>IF($B1907="","",IF(COUNTIF($B$2:$B1907,$B1907)=1,1,0))</f>
        <v/>
      </c>
      <c r="AA1907">
        <f>IF($Z1907=1,SUMPRODUCT(--($AC$2:$AC$3001&lt;$AC1907))+1,"")</f>
        <v/>
      </c>
      <c r="AB1907">
        <f>IF($B1907="","",IF(OR($Y1907=TRUE(),$Y1907="TRUE"),1,IF(AND($Y1907&lt;&gt;"",OR($Y1907=FALSE(),$Y1907="FALSE")),0,IF(MIN(ABS($X1907/100-Settings!$C$6),ABS($X1907/100-Settings!$G$6))&lt;=MIN(ABS($X1907/100-Settings!$C$7),ABS($X1907/100-Settings!$G$7)),1,0))))</f>
        <v/>
      </c>
      <c r="AC1907">
        <f>IF($Z1907=1,IFERROR(IF(VALUE($B1907)&lt;100000000,VALUE($B1907),1000000000),IFERROR(IF(VALUE(MID($B1907,2,20))&lt;100000000,VALUE(MID($B1907,2,20)),1000000000),1000000000))+ROW()/100000,"")</f>
        <v/>
      </c>
    </row>
    <row r="1908">
      <c r="A1908">
        <f>IF($B1908="","",IFERROR(IF(INDEX('Per Invoice'!$A$2:$A$801,MATCH($B1908,'Per Invoice'!$B$2:$B$801,0))=0,"",INDEX('Per Invoice'!$A$2:$A$801,MATCH($B1908,'Per Invoice'!$B$2:$B$801,0))),""))</f>
        <v/>
      </c>
      <c r="J1908" s="7">
        <f>IF($B1908="","",I1908*Q1908/100)</f>
        <v/>
      </c>
      <c r="N1908" s="7" t="n"/>
      <c r="O1908" s="7" t="n"/>
      <c r="P1908" s="7">
        <f>IF($B1908="","",O1908*X1908/100)</f>
        <v/>
      </c>
      <c r="Q1908" s="7">
        <f>IF($B1908="","",O1908-P1908)</f>
        <v/>
      </c>
      <c r="R1908" s="7">
        <f>IF($B1908="","",Q1908-J1908)</f>
        <v/>
      </c>
      <c r="S1908" s="7" t="n"/>
      <c r="T1908" s="7" t="n"/>
      <c r="V1908" s="14" t="n"/>
      <c r="Z1908">
        <f>IF($B1908="","",IF(COUNTIF($B$2:$B1908,$B1908)=1,1,0))</f>
        <v/>
      </c>
      <c r="AA1908">
        <f>IF($Z1908=1,SUMPRODUCT(--($AC$2:$AC$3001&lt;$AC1908))+1,"")</f>
        <v/>
      </c>
      <c r="AB1908">
        <f>IF($B1908="","",IF(OR($Y1908=TRUE(),$Y1908="TRUE"),1,IF(AND($Y1908&lt;&gt;"",OR($Y1908=FALSE(),$Y1908="FALSE")),0,IF(MIN(ABS($X1908/100-Settings!$C$6),ABS($X1908/100-Settings!$G$6))&lt;=MIN(ABS($X1908/100-Settings!$C$7),ABS($X1908/100-Settings!$G$7)),1,0))))</f>
        <v/>
      </c>
      <c r="AC1908">
        <f>IF($Z1908=1,IFERROR(IF(VALUE($B1908)&lt;100000000,VALUE($B1908),1000000000),IFERROR(IF(VALUE(MID($B1908,2,20))&lt;100000000,VALUE(MID($B1908,2,20)),1000000000),1000000000))+ROW()/100000,"")</f>
        <v/>
      </c>
    </row>
    <row r="1909">
      <c r="A1909">
        <f>IF($B1909="","",IFERROR(IF(INDEX('Per Invoice'!$A$2:$A$801,MATCH($B1909,'Per Invoice'!$B$2:$B$801,0))=0,"",INDEX('Per Invoice'!$A$2:$A$801,MATCH($B1909,'Per Invoice'!$B$2:$B$801,0))),""))</f>
        <v/>
      </c>
      <c r="J1909" s="7">
        <f>IF($B1909="","",I1909*Q1909/100)</f>
        <v/>
      </c>
      <c r="N1909" s="7" t="n"/>
      <c r="O1909" s="7" t="n"/>
      <c r="P1909" s="7">
        <f>IF($B1909="","",O1909*X1909/100)</f>
        <v/>
      </c>
      <c r="Q1909" s="7">
        <f>IF($B1909="","",O1909-P1909)</f>
        <v/>
      </c>
      <c r="R1909" s="7">
        <f>IF($B1909="","",Q1909-J1909)</f>
        <v/>
      </c>
      <c r="S1909" s="7" t="n"/>
      <c r="T1909" s="7" t="n"/>
      <c r="V1909" s="14" t="n"/>
      <c r="Z1909">
        <f>IF($B1909="","",IF(COUNTIF($B$2:$B1909,$B1909)=1,1,0))</f>
        <v/>
      </c>
      <c r="AA1909">
        <f>IF($Z1909=1,SUMPRODUCT(--($AC$2:$AC$3001&lt;$AC1909))+1,"")</f>
        <v/>
      </c>
      <c r="AB1909">
        <f>IF($B1909="","",IF(OR($Y1909=TRUE(),$Y1909="TRUE"),1,IF(AND($Y1909&lt;&gt;"",OR($Y1909=FALSE(),$Y1909="FALSE")),0,IF(MIN(ABS($X1909/100-Settings!$C$6),ABS($X1909/100-Settings!$G$6))&lt;=MIN(ABS($X1909/100-Settings!$C$7),ABS($X1909/100-Settings!$G$7)),1,0))))</f>
        <v/>
      </c>
      <c r="AC1909">
        <f>IF($Z1909=1,IFERROR(IF(VALUE($B1909)&lt;100000000,VALUE($B1909),1000000000),IFERROR(IF(VALUE(MID($B1909,2,20))&lt;100000000,VALUE(MID($B1909,2,20)),1000000000),1000000000))+ROW()/100000,"")</f>
        <v/>
      </c>
    </row>
    <row r="1910">
      <c r="A1910">
        <f>IF($B1910="","",IFERROR(IF(INDEX('Per Invoice'!$A$2:$A$801,MATCH($B1910,'Per Invoice'!$B$2:$B$801,0))=0,"",INDEX('Per Invoice'!$A$2:$A$801,MATCH($B1910,'Per Invoice'!$B$2:$B$801,0))),""))</f>
        <v/>
      </c>
      <c r="J1910" s="7">
        <f>IF($B1910="","",I1910*Q1910/100)</f>
        <v/>
      </c>
      <c r="N1910" s="7" t="n"/>
      <c r="O1910" s="7" t="n"/>
      <c r="P1910" s="7">
        <f>IF($B1910="","",O1910*X1910/100)</f>
        <v/>
      </c>
      <c r="Q1910" s="7">
        <f>IF($B1910="","",O1910-P1910)</f>
        <v/>
      </c>
      <c r="R1910" s="7">
        <f>IF($B1910="","",Q1910-J1910)</f>
        <v/>
      </c>
      <c r="S1910" s="7" t="n"/>
      <c r="T1910" s="7" t="n"/>
      <c r="V1910" s="14" t="n"/>
      <c r="Z1910">
        <f>IF($B1910="","",IF(COUNTIF($B$2:$B1910,$B1910)=1,1,0))</f>
        <v/>
      </c>
      <c r="AA1910">
        <f>IF($Z1910=1,SUMPRODUCT(--($AC$2:$AC$3001&lt;$AC1910))+1,"")</f>
        <v/>
      </c>
      <c r="AB1910">
        <f>IF($B1910="","",IF(OR($Y1910=TRUE(),$Y1910="TRUE"),1,IF(AND($Y1910&lt;&gt;"",OR($Y1910=FALSE(),$Y1910="FALSE")),0,IF(MIN(ABS($X1910/100-Settings!$C$6),ABS($X1910/100-Settings!$G$6))&lt;=MIN(ABS($X1910/100-Settings!$C$7),ABS($X1910/100-Settings!$G$7)),1,0))))</f>
        <v/>
      </c>
      <c r="AC1910">
        <f>IF($Z1910=1,IFERROR(IF(VALUE($B1910)&lt;100000000,VALUE($B1910),1000000000),IFERROR(IF(VALUE(MID($B1910,2,20))&lt;100000000,VALUE(MID($B1910,2,20)),1000000000),1000000000))+ROW()/100000,"")</f>
        <v/>
      </c>
    </row>
    <row r="1911">
      <c r="A1911">
        <f>IF($B1911="","",IFERROR(IF(INDEX('Per Invoice'!$A$2:$A$801,MATCH($B1911,'Per Invoice'!$B$2:$B$801,0))=0,"",INDEX('Per Invoice'!$A$2:$A$801,MATCH($B1911,'Per Invoice'!$B$2:$B$801,0))),""))</f>
        <v/>
      </c>
      <c r="J1911" s="7">
        <f>IF($B1911="","",I1911*Q1911/100)</f>
        <v/>
      </c>
      <c r="N1911" s="7" t="n"/>
      <c r="O1911" s="7" t="n"/>
      <c r="P1911" s="7">
        <f>IF($B1911="","",O1911*X1911/100)</f>
        <v/>
      </c>
      <c r="Q1911" s="7">
        <f>IF($B1911="","",O1911-P1911)</f>
        <v/>
      </c>
      <c r="R1911" s="7">
        <f>IF($B1911="","",Q1911-J1911)</f>
        <v/>
      </c>
      <c r="S1911" s="7" t="n"/>
      <c r="T1911" s="7" t="n"/>
      <c r="V1911" s="14" t="n"/>
      <c r="Z1911">
        <f>IF($B1911="","",IF(COUNTIF($B$2:$B1911,$B1911)=1,1,0))</f>
        <v/>
      </c>
      <c r="AA1911">
        <f>IF($Z1911=1,SUMPRODUCT(--($AC$2:$AC$3001&lt;$AC1911))+1,"")</f>
        <v/>
      </c>
      <c r="AB1911">
        <f>IF($B1911="","",IF(OR($Y1911=TRUE(),$Y1911="TRUE"),1,IF(AND($Y1911&lt;&gt;"",OR($Y1911=FALSE(),$Y1911="FALSE")),0,IF(MIN(ABS($X1911/100-Settings!$C$6),ABS($X1911/100-Settings!$G$6))&lt;=MIN(ABS($X1911/100-Settings!$C$7),ABS($X1911/100-Settings!$G$7)),1,0))))</f>
        <v/>
      </c>
      <c r="AC1911">
        <f>IF($Z1911=1,IFERROR(IF(VALUE($B1911)&lt;100000000,VALUE($B1911),1000000000),IFERROR(IF(VALUE(MID($B1911,2,20))&lt;100000000,VALUE(MID($B1911,2,20)),1000000000),1000000000))+ROW()/100000,"")</f>
        <v/>
      </c>
    </row>
    <row r="1912">
      <c r="A1912">
        <f>IF($B1912="","",IFERROR(IF(INDEX('Per Invoice'!$A$2:$A$801,MATCH($B1912,'Per Invoice'!$B$2:$B$801,0))=0,"",INDEX('Per Invoice'!$A$2:$A$801,MATCH($B1912,'Per Invoice'!$B$2:$B$801,0))),""))</f>
        <v/>
      </c>
      <c r="J1912" s="7">
        <f>IF($B1912="","",I1912*Q1912/100)</f>
        <v/>
      </c>
      <c r="N1912" s="7" t="n"/>
      <c r="O1912" s="7" t="n"/>
      <c r="P1912" s="7">
        <f>IF($B1912="","",O1912*X1912/100)</f>
        <v/>
      </c>
      <c r="Q1912" s="7">
        <f>IF($B1912="","",O1912-P1912)</f>
        <v/>
      </c>
      <c r="R1912" s="7">
        <f>IF($B1912="","",Q1912-J1912)</f>
        <v/>
      </c>
      <c r="S1912" s="7" t="n"/>
      <c r="T1912" s="7" t="n"/>
      <c r="V1912" s="14" t="n"/>
      <c r="Z1912">
        <f>IF($B1912="","",IF(COUNTIF($B$2:$B1912,$B1912)=1,1,0))</f>
        <v/>
      </c>
      <c r="AA1912">
        <f>IF($Z1912=1,SUMPRODUCT(--($AC$2:$AC$3001&lt;$AC1912))+1,"")</f>
        <v/>
      </c>
      <c r="AB1912">
        <f>IF($B1912="","",IF(OR($Y1912=TRUE(),$Y1912="TRUE"),1,IF(AND($Y1912&lt;&gt;"",OR($Y1912=FALSE(),$Y1912="FALSE")),0,IF(MIN(ABS($X1912/100-Settings!$C$6),ABS($X1912/100-Settings!$G$6))&lt;=MIN(ABS($X1912/100-Settings!$C$7),ABS($X1912/100-Settings!$G$7)),1,0))))</f>
        <v/>
      </c>
      <c r="AC1912">
        <f>IF($Z1912=1,IFERROR(IF(VALUE($B1912)&lt;100000000,VALUE($B1912),1000000000),IFERROR(IF(VALUE(MID($B1912,2,20))&lt;100000000,VALUE(MID($B1912,2,20)),1000000000),1000000000))+ROW()/100000,"")</f>
        <v/>
      </c>
    </row>
    <row r="1913">
      <c r="A1913">
        <f>IF($B1913="","",IFERROR(IF(INDEX('Per Invoice'!$A$2:$A$801,MATCH($B1913,'Per Invoice'!$B$2:$B$801,0))=0,"",INDEX('Per Invoice'!$A$2:$A$801,MATCH($B1913,'Per Invoice'!$B$2:$B$801,0))),""))</f>
        <v/>
      </c>
      <c r="J1913" s="7">
        <f>IF($B1913="","",I1913*Q1913/100)</f>
        <v/>
      </c>
      <c r="N1913" s="7" t="n"/>
      <c r="O1913" s="7" t="n"/>
      <c r="P1913" s="7">
        <f>IF($B1913="","",O1913*X1913/100)</f>
        <v/>
      </c>
      <c r="Q1913" s="7">
        <f>IF($B1913="","",O1913-P1913)</f>
        <v/>
      </c>
      <c r="R1913" s="7">
        <f>IF($B1913="","",Q1913-J1913)</f>
        <v/>
      </c>
      <c r="S1913" s="7" t="n"/>
      <c r="T1913" s="7" t="n"/>
      <c r="V1913" s="14" t="n"/>
      <c r="Z1913">
        <f>IF($B1913="","",IF(COUNTIF($B$2:$B1913,$B1913)=1,1,0))</f>
        <v/>
      </c>
      <c r="AA1913">
        <f>IF($Z1913=1,SUMPRODUCT(--($AC$2:$AC$3001&lt;$AC1913))+1,"")</f>
        <v/>
      </c>
      <c r="AB1913">
        <f>IF($B1913="","",IF(OR($Y1913=TRUE(),$Y1913="TRUE"),1,IF(AND($Y1913&lt;&gt;"",OR($Y1913=FALSE(),$Y1913="FALSE")),0,IF(MIN(ABS($X1913/100-Settings!$C$6),ABS($X1913/100-Settings!$G$6))&lt;=MIN(ABS($X1913/100-Settings!$C$7),ABS($X1913/100-Settings!$G$7)),1,0))))</f>
        <v/>
      </c>
      <c r="AC1913">
        <f>IF($Z1913=1,IFERROR(IF(VALUE($B1913)&lt;100000000,VALUE($B1913),1000000000),IFERROR(IF(VALUE(MID($B1913,2,20))&lt;100000000,VALUE(MID($B1913,2,20)),1000000000),1000000000))+ROW()/100000,"")</f>
        <v/>
      </c>
    </row>
    <row r="1914">
      <c r="A1914">
        <f>IF($B1914="","",IFERROR(IF(INDEX('Per Invoice'!$A$2:$A$801,MATCH($B1914,'Per Invoice'!$B$2:$B$801,0))=0,"",INDEX('Per Invoice'!$A$2:$A$801,MATCH($B1914,'Per Invoice'!$B$2:$B$801,0))),""))</f>
        <v/>
      </c>
      <c r="J1914" s="7">
        <f>IF($B1914="","",I1914*Q1914/100)</f>
        <v/>
      </c>
      <c r="N1914" s="7" t="n"/>
      <c r="O1914" s="7" t="n"/>
      <c r="P1914" s="7">
        <f>IF($B1914="","",O1914*X1914/100)</f>
        <v/>
      </c>
      <c r="Q1914" s="7">
        <f>IF($B1914="","",O1914-P1914)</f>
        <v/>
      </c>
      <c r="R1914" s="7">
        <f>IF($B1914="","",Q1914-J1914)</f>
        <v/>
      </c>
      <c r="S1914" s="7" t="n"/>
      <c r="T1914" s="7" t="n"/>
      <c r="V1914" s="14" t="n"/>
      <c r="Z1914">
        <f>IF($B1914="","",IF(COUNTIF($B$2:$B1914,$B1914)=1,1,0))</f>
        <v/>
      </c>
      <c r="AA1914">
        <f>IF($Z1914=1,SUMPRODUCT(--($AC$2:$AC$3001&lt;$AC1914))+1,"")</f>
        <v/>
      </c>
      <c r="AB1914">
        <f>IF($B1914="","",IF(OR($Y1914=TRUE(),$Y1914="TRUE"),1,IF(AND($Y1914&lt;&gt;"",OR($Y1914=FALSE(),$Y1914="FALSE")),0,IF(MIN(ABS($X1914/100-Settings!$C$6),ABS($X1914/100-Settings!$G$6))&lt;=MIN(ABS($X1914/100-Settings!$C$7),ABS($X1914/100-Settings!$G$7)),1,0))))</f>
        <v/>
      </c>
      <c r="AC1914">
        <f>IF($Z1914=1,IFERROR(IF(VALUE($B1914)&lt;100000000,VALUE($B1914),1000000000),IFERROR(IF(VALUE(MID($B1914,2,20))&lt;100000000,VALUE(MID($B1914,2,20)),1000000000),1000000000))+ROW()/100000,"")</f>
        <v/>
      </c>
    </row>
    <row r="1915">
      <c r="A1915">
        <f>IF($B1915="","",IFERROR(IF(INDEX('Per Invoice'!$A$2:$A$801,MATCH($B1915,'Per Invoice'!$B$2:$B$801,0))=0,"",INDEX('Per Invoice'!$A$2:$A$801,MATCH($B1915,'Per Invoice'!$B$2:$B$801,0))),""))</f>
        <v/>
      </c>
      <c r="J1915" s="7">
        <f>IF($B1915="","",I1915*Q1915/100)</f>
        <v/>
      </c>
      <c r="N1915" s="7" t="n"/>
      <c r="O1915" s="7" t="n"/>
      <c r="P1915" s="7">
        <f>IF($B1915="","",O1915*X1915/100)</f>
        <v/>
      </c>
      <c r="Q1915" s="7">
        <f>IF($B1915="","",O1915-P1915)</f>
        <v/>
      </c>
      <c r="R1915" s="7">
        <f>IF($B1915="","",Q1915-J1915)</f>
        <v/>
      </c>
      <c r="S1915" s="7" t="n"/>
      <c r="T1915" s="7" t="n"/>
      <c r="V1915" s="14" t="n"/>
      <c r="Z1915">
        <f>IF($B1915="","",IF(COUNTIF($B$2:$B1915,$B1915)=1,1,0))</f>
        <v/>
      </c>
      <c r="AA1915">
        <f>IF($Z1915=1,SUMPRODUCT(--($AC$2:$AC$3001&lt;$AC1915))+1,"")</f>
        <v/>
      </c>
      <c r="AB1915">
        <f>IF($B1915="","",IF(OR($Y1915=TRUE(),$Y1915="TRUE"),1,IF(AND($Y1915&lt;&gt;"",OR($Y1915=FALSE(),$Y1915="FALSE")),0,IF(MIN(ABS($X1915/100-Settings!$C$6),ABS($X1915/100-Settings!$G$6))&lt;=MIN(ABS($X1915/100-Settings!$C$7),ABS($X1915/100-Settings!$G$7)),1,0))))</f>
        <v/>
      </c>
      <c r="AC1915">
        <f>IF($Z1915=1,IFERROR(IF(VALUE($B1915)&lt;100000000,VALUE($B1915),1000000000),IFERROR(IF(VALUE(MID($B1915,2,20))&lt;100000000,VALUE(MID($B1915,2,20)),1000000000),1000000000))+ROW()/100000,"")</f>
        <v/>
      </c>
    </row>
    <row r="1916">
      <c r="A1916">
        <f>IF($B1916="","",IFERROR(IF(INDEX('Per Invoice'!$A$2:$A$801,MATCH($B1916,'Per Invoice'!$B$2:$B$801,0))=0,"",INDEX('Per Invoice'!$A$2:$A$801,MATCH($B1916,'Per Invoice'!$B$2:$B$801,0))),""))</f>
        <v/>
      </c>
      <c r="J1916" s="7">
        <f>IF($B1916="","",I1916*Q1916/100)</f>
        <v/>
      </c>
      <c r="N1916" s="7" t="n"/>
      <c r="O1916" s="7" t="n"/>
      <c r="P1916" s="7">
        <f>IF($B1916="","",O1916*X1916/100)</f>
        <v/>
      </c>
      <c r="Q1916" s="7">
        <f>IF($B1916="","",O1916-P1916)</f>
        <v/>
      </c>
      <c r="R1916" s="7">
        <f>IF($B1916="","",Q1916-J1916)</f>
        <v/>
      </c>
      <c r="S1916" s="7" t="n"/>
      <c r="T1916" s="7" t="n"/>
      <c r="V1916" s="14" t="n"/>
      <c r="Z1916">
        <f>IF($B1916="","",IF(COUNTIF($B$2:$B1916,$B1916)=1,1,0))</f>
        <v/>
      </c>
      <c r="AA1916">
        <f>IF($Z1916=1,SUMPRODUCT(--($AC$2:$AC$3001&lt;$AC1916))+1,"")</f>
        <v/>
      </c>
      <c r="AB1916">
        <f>IF($B1916="","",IF(OR($Y1916=TRUE(),$Y1916="TRUE"),1,IF(AND($Y1916&lt;&gt;"",OR($Y1916=FALSE(),$Y1916="FALSE")),0,IF(MIN(ABS($X1916/100-Settings!$C$6),ABS($X1916/100-Settings!$G$6))&lt;=MIN(ABS($X1916/100-Settings!$C$7),ABS($X1916/100-Settings!$G$7)),1,0))))</f>
        <v/>
      </c>
      <c r="AC1916">
        <f>IF($Z1916=1,IFERROR(IF(VALUE($B1916)&lt;100000000,VALUE($B1916),1000000000),IFERROR(IF(VALUE(MID($B1916,2,20))&lt;100000000,VALUE(MID($B1916,2,20)),1000000000),1000000000))+ROW()/100000,"")</f>
        <v/>
      </c>
    </row>
    <row r="1917">
      <c r="A1917">
        <f>IF($B1917="","",IFERROR(IF(INDEX('Per Invoice'!$A$2:$A$801,MATCH($B1917,'Per Invoice'!$B$2:$B$801,0))=0,"",INDEX('Per Invoice'!$A$2:$A$801,MATCH($B1917,'Per Invoice'!$B$2:$B$801,0))),""))</f>
        <v/>
      </c>
      <c r="J1917" s="7">
        <f>IF($B1917="","",I1917*Q1917/100)</f>
        <v/>
      </c>
      <c r="N1917" s="7" t="n"/>
      <c r="O1917" s="7" t="n"/>
      <c r="P1917" s="7">
        <f>IF($B1917="","",O1917*X1917/100)</f>
        <v/>
      </c>
      <c r="Q1917" s="7">
        <f>IF($B1917="","",O1917-P1917)</f>
        <v/>
      </c>
      <c r="R1917" s="7">
        <f>IF($B1917="","",Q1917-J1917)</f>
        <v/>
      </c>
      <c r="S1917" s="7" t="n"/>
      <c r="T1917" s="7" t="n"/>
      <c r="V1917" s="14" t="n"/>
      <c r="Z1917">
        <f>IF($B1917="","",IF(COUNTIF($B$2:$B1917,$B1917)=1,1,0))</f>
        <v/>
      </c>
      <c r="AA1917">
        <f>IF($Z1917=1,SUMPRODUCT(--($AC$2:$AC$3001&lt;$AC1917))+1,"")</f>
        <v/>
      </c>
      <c r="AB1917">
        <f>IF($B1917="","",IF(OR($Y1917=TRUE(),$Y1917="TRUE"),1,IF(AND($Y1917&lt;&gt;"",OR($Y1917=FALSE(),$Y1917="FALSE")),0,IF(MIN(ABS($X1917/100-Settings!$C$6),ABS($X1917/100-Settings!$G$6))&lt;=MIN(ABS($X1917/100-Settings!$C$7),ABS($X1917/100-Settings!$G$7)),1,0))))</f>
        <v/>
      </c>
      <c r="AC1917">
        <f>IF($Z1917=1,IFERROR(IF(VALUE($B1917)&lt;100000000,VALUE($B1917),1000000000),IFERROR(IF(VALUE(MID($B1917,2,20))&lt;100000000,VALUE(MID($B1917,2,20)),1000000000),1000000000))+ROW()/100000,"")</f>
        <v/>
      </c>
    </row>
    <row r="1918">
      <c r="A1918">
        <f>IF($B1918="","",IFERROR(IF(INDEX('Per Invoice'!$A$2:$A$801,MATCH($B1918,'Per Invoice'!$B$2:$B$801,0))=0,"",INDEX('Per Invoice'!$A$2:$A$801,MATCH($B1918,'Per Invoice'!$B$2:$B$801,0))),""))</f>
        <v/>
      </c>
      <c r="J1918" s="7">
        <f>IF($B1918="","",I1918*Q1918/100)</f>
        <v/>
      </c>
      <c r="N1918" s="7" t="n"/>
      <c r="O1918" s="7" t="n"/>
      <c r="P1918" s="7">
        <f>IF($B1918="","",O1918*X1918/100)</f>
        <v/>
      </c>
      <c r="Q1918" s="7">
        <f>IF($B1918="","",O1918-P1918)</f>
        <v/>
      </c>
      <c r="R1918" s="7">
        <f>IF($B1918="","",Q1918-J1918)</f>
        <v/>
      </c>
      <c r="S1918" s="7" t="n"/>
      <c r="T1918" s="7" t="n"/>
      <c r="V1918" s="14" t="n"/>
      <c r="Z1918">
        <f>IF($B1918="","",IF(COUNTIF($B$2:$B1918,$B1918)=1,1,0))</f>
        <v/>
      </c>
      <c r="AA1918">
        <f>IF($Z1918=1,SUMPRODUCT(--($AC$2:$AC$3001&lt;$AC1918))+1,"")</f>
        <v/>
      </c>
      <c r="AB1918">
        <f>IF($B1918="","",IF(OR($Y1918=TRUE(),$Y1918="TRUE"),1,IF(AND($Y1918&lt;&gt;"",OR($Y1918=FALSE(),$Y1918="FALSE")),0,IF(MIN(ABS($X1918/100-Settings!$C$6),ABS($X1918/100-Settings!$G$6))&lt;=MIN(ABS($X1918/100-Settings!$C$7),ABS($X1918/100-Settings!$G$7)),1,0))))</f>
        <v/>
      </c>
      <c r="AC1918">
        <f>IF($Z1918=1,IFERROR(IF(VALUE($B1918)&lt;100000000,VALUE($B1918),1000000000),IFERROR(IF(VALUE(MID($B1918,2,20))&lt;100000000,VALUE(MID($B1918,2,20)),1000000000),1000000000))+ROW()/100000,"")</f>
        <v/>
      </c>
    </row>
    <row r="1919">
      <c r="A1919">
        <f>IF($B1919="","",IFERROR(IF(INDEX('Per Invoice'!$A$2:$A$801,MATCH($B1919,'Per Invoice'!$B$2:$B$801,0))=0,"",INDEX('Per Invoice'!$A$2:$A$801,MATCH($B1919,'Per Invoice'!$B$2:$B$801,0))),""))</f>
        <v/>
      </c>
      <c r="J1919" s="7">
        <f>IF($B1919="","",I1919*Q1919/100)</f>
        <v/>
      </c>
      <c r="N1919" s="7" t="n"/>
      <c r="O1919" s="7" t="n"/>
      <c r="P1919" s="7">
        <f>IF($B1919="","",O1919*X1919/100)</f>
        <v/>
      </c>
      <c r="Q1919" s="7">
        <f>IF($B1919="","",O1919-P1919)</f>
        <v/>
      </c>
      <c r="R1919" s="7">
        <f>IF($B1919="","",Q1919-J1919)</f>
        <v/>
      </c>
      <c r="S1919" s="7" t="n"/>
      <c r="T1919" s="7" t="n"/>
      <c r="V1919" s="14" t="n"/>
      <c r="Z1919">
        <f>IF($B1919="","",IF(COUNTIF($B$2:$B1919,$B1919)=1,1,0))</f>
        <v/>
      </c>
      <c r="AA1919">
        <f>IF($Z1919=1,SUMPRODUCT(--($AC$2:$AC$3001&lt;$AC1919))+1,"")</f>
        <v/>
      </c>
      <c r="AB1919">
        <f>IF($B1919="","",IF(OR($Y1919=TRUE(),$Y1919="TRUE"),1,IF(AND($Y1919&lt;&gt;"",OR($Y1919=FALSE(),$Y1919="FALSE")),0,IF(MIN(ABS($X1919/100-Settings!$C$6),ABS($X1919/100-Settings!$G$6))&lt;=MIN(ABS($X1919/100-Settings!$C$7),ABS($X1919/100-Settings!$G$7)),1,0))))</f>
        <v/>
      </c>
      <c r="AC1919">
        <f>IF($Z1919=1,IFERROR(IF(VALUE($B1919)&lt;100000000,VALUE($B1919),1000000000),IFERROR(IF(VALUE(MID($B1919,2,20))&lt;100000000,VALUE(MID($B1919,2,20)),1000000000),1000000000))+ROW()/100000,"")</f>
        <v/>
      </c>
    </row>
    <row r="1920">
      <c r="A1920">
        <f>IF($B1920="","",IFERROR(IF(INDEX('Per Invoice'!$A$2:$A$801,MATCH($B1920,'Per Invoice'!$B$2:$B$801,0))=0,"",INDEX('Per Invoice'!$A$2:$A$801,MATCH($B1920,'Per Invoice'!$B$2:$B$801,0))),""))</f>
        <v/>
      </c>
      <c r="J1920" s="7">
        <f>IF($B1920="","",I1920*Q1920/100)</f>
        <v/>
      </c>
      <c r="N1920" s="7" t="n"/>
      <c r="O1920" s="7" t="n"/>
      <c r="P1920" s="7">
        <f>IF($B1920="","",O1920*X1920/100)</f>
        <v/>
      </c>
      <c r="Q1920" s="7">
        <f>IF($B1920="","",O1920-P1920)</f>
        <v/>
      </c>
      <c r="R1920" s="7">
        <f>IF($B1920="","",Q1920-J1920)</f>
        <v/>
      </c>
      <c r="S1920" s="7" t="n"/>
      <c r="T1920" s="7" t="n"/>
      <c r="V1920" s="14" t="n"/>
      <c r="Z1920">
        <f>IF($B1920="","",IF(COUNTIF($B$2:$B1920,$B1920)=1,1,0))</f>
        <v/>
      </c>
      <c r="AA1920">
        <f>IF($Z1920=1,SUMPRODUCT(--($AC$2:$AC$3001&lt;$AC1920))+1,"")</f>
        <v/>
      </c>
      <c r="AB1920">
        <f>IF($B1920="","",IF(OR($Y1920=TRUE(),$Y1920="TRUE"),1,IF(AND($Y1920&lt;&gt;"",OR($Y1920=FALSE(),$Y1920="FALSE")),0,IF(MIN(ABS($X1920/100-Settings!$C$6),ABS($X1920/100-Settings!$G$6))&lt;=MIN(ABS($X1920/100-Settings!$C$7),ABS($X1920/100-Settings!$G$7)),1,0))))</f>
        <v/>
      </c>
      <c r="AC1920">
        <f>IF($Z1920=1,IFERROR(IF(VALUE($B1920)&lt;100000000,VALUE($B1920),1000000000),IFERROR(IF(VALUE(MID($B1920,2,20))&lt;100000000,VALUE(MID($B1920,2,20)),1000000000),1000000000))+ROW()/100000,"")</f>
        <v/>
      </c>
    </row>
    <row r="1921">
      <c r="A1921">
        <f>IF($B1921="","",IFERROR(IF(INDEX('Per Invoice'!$A$2:$A$801,MATCH($B1921,'Per Invoice'!$B$2:$B$801,0))=0,"",INDEX('Per Invoice'!$A$2:$A$801,MATCH($B1921,'Per Invoice'!$B$2:$B$801,0))),""))</f>
        <v/>
      </c>
      <c r="J1921" s="7">
        <f>IF($B1921="","",I1921*Q1921/100)</f>
        <v/>
      </c>
      <c r="N1921" s="7" t="n"/>
      <c r="O1921" s="7" t="n"/>
      <c r="P1921" s="7">
        <f>IF($B1921="","",O1921*X1921/100)</f>
        <v/>
      </c>
      <c r="Q1921" s="7">
        <f>IF($B1921="","",O1921-P1921)</f>
        <v/>
      </c>
      <c r="R1921" s="7">
        <f>IF($B1921="","",Q1921-J1921)</f>
        <v/>
      </c>
      <c r="S1921" s="7" t="n"/>
      <c r="T1921" s="7" t="n"/>
      <c r="V1921" s="14" t="n"/>
      <c r="Z1921">
        <f>IF($B1921="","",IF(COUNTIF($B$2:$B1921,$B1921)=1,1,0))</f>
        <v/>
      </c>
      <c r="AA1921">
        <f>IF($Z1921=1,SUMPRODUCT(--($AC$2:$AC$3001&lt;$AC1921))+1,"")</f>
        <v/>
      </c>
      <c r="AB1921">
        <f>IF($B1921="","",IF(OR($Y1921=TRUE(),$Y1921="TRUE"),1,IF(AND($Y1921&lt;&gt;"",OR($Y1921=FALSE(),$Y1921="FALSE")),0,IF(MIN(ABS($X1921/100-Settings!$C$6),ABS($X1921/100-Settings!$G$6))&lt;=MIN(ABS($X1921/100-Settings!$C$7),ABS($X1921/100-Settings!$G$7)),1,0))))</f>
        <v/>
      </c>
      <c r="AC1921">
        <f>IF($Z1921=1,IFERROR(IF(VALUE($B1921)&lt;100000000,VALUE($B1921),1000000000),IFERROR(IF(VALUE(MID($B1921,2,20))&lt;100000000,VALUE(MID($B1921,2,20)),1000000000),1000000000))+ROW()/100000,"")</f>
        <v/>
      </c>
    </row>
    <row r="1922">
      <c r="A1922">
        <f>IF($B1922="","",IFERROR(IF(INDEX('Per Invoice'!$A$2:$A$801,MATCH($B1922,'Per Invoice'!$B$2:$B$801,0))=0,"",INDEX('Per Invoice'!$A$2:$A$801,MATCH($B1922,'Per Invoice'!$B$2:$B$801,0))),""))</f>
        <v/>
      </c>
      <c r="J1922" s="7">
        <f>IF($B1922="","",I1922*Q1922/100)</f>
        <v/>
      </c>
      <c r="N1922" s="7" t="n"/>
      <c r="O1922" s="7" t="n"/>
      <c r="P1922" s="7">
        <f>IF($B1922="","",O1922*X1922/100)</f>
        <v/>
      </c>
      <c r="Q1922" s="7">
        <f>IF($B1922="","",O1922-P1922)</f>
        <v/>
      </c>
      <c r="R1922" s="7">
        <f>IF($B1922="","",Q1922-J1922)</f>
        <v/>
      </c>
      <c r="S1922" s="7" t="n"/>
      <c r="T1922" s="7" t="n"/>
      <c r="V1922" s="14" t="n"/>
      <c r="Z1922">
        <f>IF($B1922="","",IF(COUNTIF($B$2:$B1922,$B1922)=1,1,0))</f>
        <v/>
      </c>
      <c r="AA1922">
        <f>IF($Z1922=1,SUMPRODUCT(--($AC$2:$AC$3001&lt;$AC1922))+1,"")</f>
        <v/>
      </c>
      <c r="AB1922">
        <f>IF($B1922="","",IF(OR($Y1922=TRUE(),$Y1922="TRUE"),1,IF(AND($Y1922&lt;&gt;"",OR($Y1922=FALSE(),$Y1922="FALSE")),0,IF(MIN(ABS($X1922/100-Settings!$C$6),ABS($X1922/100-Settings!$G$6))&lt;=MIN(ABS($X1922/100-Settings!$C$7),ABS($X1922/100-Settings!$G$7)),1,0))))</f>
        <v/>
      </c>
      <c r="AC1922">
        <f>IF($Z1922=1,IFERROR(IF(VALUE($B1922)&lt;100000000,VALUE($B1922),1000000000),IFERROR(IF(VALUE(MID($B1922,2,20))&lt;100000000,VALUE(MID($B1922,2,20)),1000000000),1000000000))+ROW()/100000,"")</f>
        <v/>
      </c>
    </row>
    <row r="1923">
      <c r="A1923">
        <f>IF($B1923="","",IFERROR(IF(INDEX('Per Invoice'!$A$2:$A$801,MATCH($B1923,'Per Invoice'!$B$2:$B$801,0))=0,"",INDEX('Per Invoice'!$A$2:$A$801,MATCH($B1923,'Per Invoice'!$B$2:$B$801,0))),""))</f>
        <v/>
      </c>
      <c r="J1923" s="7">
        <f>IF($B1923="","",I1923*Q1923/100)</f>
        <v/>
      </c>
      <c r="N1923" s="7" t="n"/>
      <c r="O1923" s="7" t="n"/>
      <c r="P1923" s="7">
        <f>IF($B1923="","",O1923*X1923/100)</f>
        <v/>
      </c>
      <c r="Q1923" s="7">
        <f>IF($B1923="","",O1923-P1923)</f>
        <v/>
      </c>
      <c r="R1923" s="7">
        <f>IF($B1923="","",Q1923-J1923)</f>
        <v/>
      </c>
      <c r="S1923" s="7" t="n"/>
      <c r="T1923" s="7" t="n"/>
      <c r="V1923" s="14" t="n"/>
      <c r="Z1923">
        <f>IF($B1923="","",IF(COUNTIF($B$2:$B1923,$B1923)=1,1,0))</f>
        <v/>
      </c>
      <c r="AA1923">
        <f>IF($Z1923=1,SUMPRODUCT(--($AC$2:$AC$3001&lt;$AC1923))+1,"")</f>
        <v/>
      </c>
      <c r="AB1923">
        <f>IF($B1923="","",IF(OR($Y1923=TRUE(),$Y1923="TRUE"),1,IF(AND($Y1923&lt;&gt;"",OR($Y1923=FALSE(),$Y1923="FALSE")),0,IF(MIN(ABS($X1923/100-Settings!$C$6),ABS($X1923/100-Settings!$G$6))&lt;=MIN(ABS($X1923/100-Settings!$C$7),ABS($X1923/100-Settings!$G$7)),1,0))))</f>
        <v/>
      </c>
      <c r="AC1923">
        <f>IF($Z1923=1,IFERROR(IF(VALUE($B1923)&lt;100000000,VALUE($B1923),1000000000),IFERROR(IF(VALUE(MID($B1923,2,20))&lt;100000000,VALUE(MID($B1923,2,20)),1000000000),1000000000))+ROW()/100000,"")</f>
        <v/>
      </c>
    </row>
    <row r="1924">
      <c r="A1924">
        <f>IF($B1924="","",IFERROR(IF(INDEX('Per Invoice'!$A$2:$A$801,MATCH($B1924,'Per Invoice'!$B$2:$B$801,0))=0,"",INDEX('Per Invoice'!$A$2:$A$801,MATCH($B1924,'Per Invoice'!$B$2:$B$801,0))),""))</f>
        <v/>
      </c>
      <c r="J1924" s="7">
        <f>IF($B1924="","",I1924*Q1924/100)</f>
        <v/>
      </c>
      <c r="N1924" s="7" t="n"/>
      <c r="O1924" s="7" t="n"/>
      <c r="P1924" s="7">
        <f>IF($B1924="","",O1924*X1924/100)</f>
        <v/>
      </c>
      <c r="Q1924" s="7">
        <f>IF($B1924="","",O1924-P1924)</f>
        <v/>
      </c>
      <c r="R1924" s="7">
        <f>IF($B1924="","",Q1924-J1924)</f>
        <v/>
      </c>
      <c r="S1924" s="7" t="n"/>
      <c r="T1924" s="7" t="n"/>
      <c r="V1924" s="14" t="n"/>
      <c r="Z1924">
        <f>IF($B1924="","",IF(COUNTIF($B$2:$B1924,$B1924)=1,1,0))</f>
        <v/>
      </c>
      <c r="AA1924">
        <f>IF($Z1924=1,SUMPRODUCT(--($AC$2:$AC$3001&lt;$AC1924))+1,"")</f>
        <v/>
      </c>
      <c r="AB1924">
        <f>IF($B1924="","",IF(OR($Y1924=TRUE(),$Y1924="TRUE"),1,IF(AND($Y1924&lt;&gt;"",OR($Y1924=FALSE(),$Y1924="FALSE")),0,IF(MIN(ABS($X1924/100-Settings!$C$6),ABS($X1924/100-Settings!$G$6))&lt;=MIN(ABS($X1924/100-Settings!$C$7),ABS($X1924/100-Settings!$G$7)),1,0))))</f>
        <v/>
      </c>
      <c r="AC1924">
        <f>IF($Z1924=1,IFERROR(IF(VALUE($B1924)&lt;100000000,VALUE($B1924),1000000000),IFERROR(IF(VALUE(MID($B1924,2,20))&lt;100000000,VALUE(MID($B1924,2,20)),1000000000),1000000000))+ROW()/100000,"")</f>
        <v/>
      </c>
    </row>
    <row r="1925">
      <c r="A1925">
        <f>IF($B1925="","",IFERROR(IF(INDEX('Per Invoice'!$A$2:$A$801,MATCH($B1925,'Per Invoice'!$B$2:$B$801,0))=0,"",INDEX('Per Invoice'!$A$2:$A$801,MATCH($B1925,'Per Invoice'!$B$2:$B$801,0))),""))</f>
        <v/>
      </c>
      <c r="J1925" s="7">
        <f>IF($B1925="","",I1925*Q1925/100)</f>
        <v/>
      </c>
      <c r="N1925" s="7" t="n"/>
      <c r="O1925" s="7" t="n"/>
      <c r="P1925" s="7">
        <f>IF($B1925="","",O1925*X1925/100)</f>
        <v/>
      </c>
      <c r="Q1925" s="7">
        <f>IF($B1925="","",O1925-P1925)</f>
        <v/>
      </c>
      <c r="R1925" s="7">
        <f>IF($B1925="","",Q1925-J1925)</f>
        <v/>
      </c>
      <c r="S1925" s="7" t="n"/>
      <c r="T1925" s="7" t="n"/>
      <c r="V1925" s="14" t="n"/>
      <c r="Z1925">
        <f>IF($B1925="","",IF(COUNTIF($B$2:$B1925,$B1925)=1,1,0))</f>
        <v/>
      </c>
      <c r="AA1925">
        <f>IF($Z1925=1,SUMPRODUCT(--($AC$2:$AC$3001&lt;$AC1925))+1,"")</f>
        <v/>
      </c>
      <c r="AB1925">
        <f>IF($B1925="","",IF(OR($Y1925=TRUE(),$Y1925="TRUE"),1,IF(AND($Y1925&lt;&gt;"",OR($Y1925=FALSE(),$Y1925="FALSE")),0,IF(MIN(ABS($X1925/100-Settings!$C$6),ABS($X1925/100-Settings!$G$6))&lt;=MIN(ABS($X1925/100-Settings!$C$7),ABS($X1925/100-Settings!$G$7)),1,0))))</f>
        <v/>
      </c>
      <c r="AC1925">
        <f>IF($Z1925=1,IFERROR(IF(VALUE($B1925)&lt;100000000,VALUE($B1925),1000000000),IFERROR(IF(VALUE(MID($B1925,2,20))&lt;100000000,VALUE(MID($B1925,2,20)),1000000000),1000000000))+ROW()/100000,"")</f>
        <v/>
      </c>
    </row>
    <row r="1926">
      <c r="A1926">
        <f>IF($B1926="","",IFERROR(IF(INDEX('Per Invoice'!$A$2:$A$801,MATCH($B1926,'Per Invoice'!$B$2:$B$801,0))=0,"",INDEX('Per Invoice'!$A$2:$A$801,MATCH($B1926,'Per Invoice'!$B$2:$B$801,0))),""))</f>
        <v/>
      </c>
      <c r="J1926" s="7">
        <f>IF($B1926="","",I1926*Q1926/100)</f>
        <v/>
      </c>
      <c r="N1926" s="7" t="n"/>
      <c r="O1926" s="7" t="n"/>
      <c r="P1926" s="7">
        <f>IF($B1926="","",O1926*X1926/100)</f>
        <v/>
      </c>
      <c r="Q1926" s="7">
        <f>IF($B1926="","",O1926-P1926)</f>
        <v/>
      </c>
      <c r="R1926" s="7">
        <f>IF($B1926="","",Q1926-J1926)</f>
        <v/>
      </c>
      <c r="S1926" s="7" t="n"/>
      <c r="T1926" s="7" t="n"/>
      <c r="V1926" s="14" t="n"/>
      <c r="Z1926">
        <f>IF($B1926="","",IF(COUNTIF($B$2:$B1926,$B1926)=1,1,0))</f>
        <v/>
      </c>
      <c r="AA1926">
        <f>IF($Z1926=1,SUMPRODUCT(--($AC$2:$AC$3001&lt;$AC1926))+1,"")</f>
        <v/>
      </c>
      <c r="AB1926">
        <f>IF($B1926="","",IF(OR($Y1926=TRUE(),$Y1926="TRUE"),1,IF(AND($Y1926&lt;&gt;"",OR($Y1926=FALSE(),$Y1926="FALSE")),0,IF(MIN(ABS($X1926/100-Settings!$C$6),ABS($X1926/100-Settings!$G$6))&lt;=MIN(ABS($X1926/100-Settings!$C$7),ABS($X1926/100-Settings!$G$7)),1,0))))</f>
        <v/>
      </c>
      <c r="AC1926">
        <f>IF($Z1926=1,IFERROR(IF(VALUE($B1926)&lt;100000000,VALUE($B1926),1000000000),IFERROR(IF(VALUE(MID($B1926,2,20))&lt;100000000,VALUE(MID($B1926,2,20)),1000000000),1000000000))+ROW()/100000,"")</f>
        <v/>
      </c>
    </row>
    <row r="1927">
      <c r="A1927">
        <f>IF($B1927="","",IFERROR(IF(INDEX('Per Invoice'!$A$2:$A$801,MATCH($B1927,'Per Invoice'!$B$2:$B$801,0))=0,"",INDEX('Per Invoice'!$A$2:$A$801,MATCH($B1927,'Per Invoice'!$B$2:$B$801,0))),""))</f>
        <v/>
      </c>
      <c r="J1927" s="7">
        <f>IF($B1927="","",I1927*Q1927/100)</f>
        <v/>
      </c>
      <c r="N1927" s="7" t="n"/>
      <c r="O1927" s="7" t="n"/>
      <c r="P1927" s="7">
        <f>IF($B1927="","",O1927*X1927/100)</f>
        <v/>
      </c>
      <c r="Q1927" s="7">
        <f>IF($B1927="","",O1927-P1927)</f>
        <v/>
      </c>
      <c r="R1927" s="7">
        <f>IF($B1927="","",Q1927-J1927)</f>
        <v/>
      </c>
      <c r="S1927" s="7" t="n"/>
      <c r="T1927" s="7" t="n"/>
      <c r="V1927" s="14" t="n"/>
      <c r="Z1927">
        <f>IF($B1927="","",IF(COUNTIF($B$2:$B1927,$B1927)=1,1,0))</f>
        <v/>
      </c>
      <c r="AA1927">
        <f>IF($Z1927=1,SUMPRODUCT(--($AC$2:$AC$3001&lt;$AC1927))+1,"")</f>
        <v/>
      </c>
      <c r="AB1927">
        <f>IF($B1927="","",IF(OR($Y1927=TRUE(),$Y1927="TRUE"),1,IF(AND($Y1927&lt;&gt;"",OR($Y1927=FALSE(),$Y1927="FALSE")),0,IF(MIN(ABS($X1927/100-Settings!$C$6),ABS($X1927/100-Settings!$G$6))&lt;=MIN(ABS($X1927/100-Settings!$C$7),ABS($X1927/100-Settings!$G$7)),1,0))))</f>
        <v/>
      </c>
      <c r="AC1927">
        <f>IF($Z1927=1,IFERROR(IF(VALUE($B1927)&lt;100000000,VALUE($B1927),1000000000),IFERROR(IF(VALUE(MID($B1927,2,20))&lt;100000000,VALUE(MID($B1927,2,20)),1000000000),1000000000))+ROW()/100000,"")</f>
        <v/>
      </c>
    </row>
    <row r="1928">
      <c r="A1928">
        <f>IF($B1928="","",IFERROR(IF(INDEX('Per Invoice'!$A$2:$A$801,MATCH($B1928,'Per Invoice'!$B$2:$B$801,0))=0,"",INDEX('Per Invoice'!$A$2:$A$801,MATCH($B1928,'Per Invoice'!$B$2:$B$801,0))),""))</f>
        <v/>
      </c>
      <c r="J1928" s="7">
        <f>IF($B1928="","",I1928*Q1928/100)</f>
        <v/>
      </c>
      <c r="N1928" s="7" t="n"/>
      <c r="O1928" s="7" t="n"/>
      <c r="P1928" s="7">
        <f>IF($B1928="","",O1928*X1928/100)</f>
        <v/>
      </c>
      <c r="Q1928" s="7">
        <f>IF($B1928="","",O1928-P1928)</f>
        <v/>
      </c>
      <c r="R1928" s="7">
        <f>IF($B1928="","",Q1928-J1928)</f>
        <v/>
      </c>
      <c r="S1928" s="7" t="n"/>
      <c r="T1928" s="7" t="n"/>
      <c r="V1928" s="14" t="n"/>
      <c r="Z1928">
        <f>IF($B1928="","",IF(COUNTIF($B$2:$B1928,$B1928)=1,1,0))</f>
        <v/>
      </c>
      <c r="AA1928">
        <f>IF($Z1928=1,SUMPRODUCT(--($AC$2:$AC$3001&lt;$AC1928))+1,"")</f>
        <v/>
      </c>
      <c r="AB1928">
        <f>IF($B1928="","",IF(OR($Y1928=TRUE(),$Y1928="TRUE"),1,IF(AND($Y1928&lt;&gt;"",OR($Y1928=FALSE(),$Y1928="FALSE")),0,IF(MIN(ABS($X1928/100-Settings!$C$6),ABS($X1928/100-Settings!$G$6))&lt;=MIN(ABS($X1928/100-Settings!$C$7),ABS($X1928/100-Settings!$G$7)),1,0))))</f>
        <v/>
      </c>
      <c r="AC1928">
        <f>IF($Z1928=1,IFERROR(IF(VALUE($B1928)&lt;100000000,VALUE($B1928),1000000000),IFERROR(IF(VALUE(MID($B1928,2,20))&lt;100000000,VALUE(MID($B1928,2,20)),1000000000),1000000000))+ROW()/100000,"")</f>
        <v/>
      </c>
    </row>
    <row r="1929">
      <c r="A1929">
        <f>IF($B1929="","",IFERROR(IF(INDEX('Per Invoice'!$A$2:$A$801,MATCH($B1929,'Per Invoice'!$B$2:$B$801,0))=0,"",INDEX('Per Invoice'!$A$2:$A$801,MATCH($B1929,'Per Invoice'!$B$2:$B$801,0))),""))</f>
        <v/>
      </c>
      <c r="J1929" s="7">
        <f>IF($B1929="","",I1929*Q1929/100)</f>
        <v/>
      </c>
      <c r="N1929" s="7" t="n"/>
      <c r="O1929" s="7" t="n"/>
      <c r="P1929" s="7">
        <f>IF($B1929="","",O1929*X1929/100)</f>
        <v/>
      </c>
      <c r="Q1929" s="7">
        <f>IF($B1929="","",O1929-P1929)</f>
        <v/>
      </c>
      <c r="R1929" s="7">
        <f>IF($B1929="","",Q1929-J1929)</f>
        <v/>
      </c>
      <c r="S1929" s="7" t="n"/>
      <c r="T1929" s="7" t="n"/>
      <c r="V1929" s="14" t="n"/>
      <c r="Z1929">
        <f>IF($B1929="","",IF(COUNTIF($B$2:$B1929,$B1929)=1,1,0))</f>
        <v/>
      </c>
      <c r="AA1929">
        <f>IF($Z1929=1,SUMPRODUCT(--($AC$2:$AC$3001&lt;$AC1929))+1,"")</f>
        <v/>
      </c>
      <c r="AB1929">
        <f>IF($B1929="","",IF(OR($Y1929=TRUE(),$Y1929="TRUE"),1,IF(AND($Y1929&lt;&gt;"",OR($Y1929=FALSE(),$Y1929="FALSE")),0,IF(MIN(ABS($X1929/100-Settings!$C$6),ABS($X1929/100-Settings!$G$6))&lt;=MIN(ABS($X1929/100-Settings!$C$7),ABS($X1929/100-Settings!$G$7)),1,0))))</f>
        <v/>
      </c>
      <c r="AC1929">
        <f>IF($Z1929=1,IFERROR(IF(VALUE($B1929)&lt;100000000,VALUE($B1929),1000000000),IFERROR(IF(VALUE(MID($B1929,2,20))&lt;100000000,VALUE(MID($B1929,2,20)),1000000000),1000000000))+ROW()/100000,"")</f>
        <v/>
      </c>
    </row>
    <row r="1930">
      <c r="A1930">
        <f>IF($B1930="","",IFERROR(IF(INDEX('Per Invoice'!$A$2:$A$801,MATCH($B1930,'Per Invoice'!$B$2:$B$801,0))=0,"",INDEX('Per Invoice'!$A$2:$A$801,MATCH($B1930,'Per Invoice'!$B$2:$B$801,0))),""))</f>
        <v/>
      </c>
      <c r="J1930" s="7">
        <f>IF($B1930="","",I1930*Q1930/100)</f>
        <v/>
      </c>
      <c r="N1930" s="7" t="n"/>
      <c r="O1930" s="7" t="n"/>
      <c r="P1930" s="7">
        <f>IF($B1930="","",O1930*X1930/100)</f>
        <v/>
      </c>
      <c r="Q1930" s="7">
        <f>IF($B1930="","",O1930-P1930)</f>
        <v/>
      </c>
      <c r="R1930" s="7">
        <f>IF($B1930="","",Q1930-J1930)</f>
        <v/>
      </c>
      <c r="S1930" s="7" t="n"/>
      <c r="T1930" s="7" t="n"/>
      <c r="V1930" s="14" t="n"/>
      <c r="Z1930">
        <f>IF($B1930="","",IF(COUNTIF($B$2:$B1930,$B1930)=1,1,0))</f>
        <v/>
      </c>
      <c r="AA1930">
        <f>IF($Z1930=1,SUMPRODUCT(--($AC$2:$AC$3001&lt;$AC1930))+1,"")</f>
        <v/>
      </c>
      <c r="AB1930">
        <f>IF($B1930="","",IF(OR($Y1930=TRUE(),$Y1930="TRUE"),1,IF(AND($Y1930&lt;&gt;"",OR($Y1930=FALSE(),$Y1930="FALSE")),0,IF(MIN(ABS($X1930/100-Settings!$C$6),ABS($X1930/100-Settings!$G$6))&lt;=MIN(ABS($X1930/100-Settings!$C$7),ABS($X1930/100-Settings!$G$7)),1,0))))</f>
        <v/>
      </c>
      <c r="AC1930">
        <f>IF($Z1930=1,IFERROR(IF(VALUE($B1930)&lt;100000000,VALUE($B1930),1000000000),IFERROR(IF(VALUE(MID($B1930,2,20))&lt;100000000,VALUE(MID($B1930,2,20)),1000000000),1000000000))+ROW()/100000,"")</f>
        <v/>
      </c>
    </row>
    <row r="1931">
      <c r="A1931">
        <f>IF($B1931="","",IFERROR(IF(INDEX('Per Invoice'!$A$2:$A$801,MATCH($B1931,'Per Invoice'!$B$2:$B$801,0))=0,"",INDEX('Per Invoice'!$A$2:$A$801,MATCH($B1931,'Per Invoice'!$B$2:$B$801,0))),""))</f>
        <v/>
      </c>
      <c r="J1931" s="7">
        <f>IF($B1931="","",I1931*Q1931/100)</f>
        <v/>
      </c>
      <c r="N1931" s="7" t="n"/>
      <c r="O1931" s="7" t="n"/>
      <c r="P1931" s="7">
        <f>IF($B1931="","",O1931*X1931/100)</f>
        <v/>
      </c>
      <c r="Q1931" s="7">
        <f>IF($B1931="","",O1931-P1931)</f>
        <v/>
      </c>
      <c r="R1931" s="7">
        <f>IF($B1931="","",Q1931-J1931)</f>
        <v/>
      </c>
      <c r="S1931" s="7" t="n"/>
      <c r="T1931" s="7" t="n"/>
      <c r="V1931" s="14" t="n"/>
      <c r="Z1931">
        <f>IF($B1931="","",IF(COUNTIF($B$2:$B1931,$B1931)=1,1,0))</f>
        <v/>
      </c>
      <c r="AA1931">
        <f>IF($Z1931=1,SUMPRODUCT(--($AC$2:$AC$3001&lt;$AC1931))+1,"")</f>
        <v/>
      </c>
      <c r="AB1931">
        <f>IF($B1931="","",IF(OR($Y1931=TRUE(),$Y1931="TRUE"),1,IF(AND($Y1931&lt;&gt;"",OR($Y1931=FALSE(),$Y1931="FALSE")),0,IF(MIN(ABS($X1931/100-Settings!$C$6),ABS($X1931/100-Settings!$G$6))&lt;=MIN(ABS($X1931/100-Settings!$C$7),ABS($X1931/100-Settings!$G$7)),1,0))))</f>
        <v/>
      </c>
      <c r="AC1931">
        <f>IF($Z1931=1,IFERROR(IF(VALUE($B1931)&lt;100000000,VALUE($B1931),1000000000),IFERROR(IF(VALUE(MID($B1931,2,20))&lt;100000000,VALUE(MID($B1931,2,20)),1000000000),1000000000))+ROW()/100000,"")</f>
        <v/>
      </c>
    </row>
    <row r="1932">
      <c r="A1932">
        <f>IF($B1932="","",IFERROR(IF(INDEX('Per Invoice'!$A$2:$A$801,MATCH($B1932,'Per Invoice'!$B$2:$B$801,0))=0,"",INDEX('Per Invoice'!$A$2:$A$801,MATCH($B1932,'Per Invoice'!$B$2:$B$801,0))),""))</f>
        <v/>
      </c>
      <c r="J1932" s="7">
        <f>IF($B1932="","",I1932*Q1932/100)</f>
        <v/>
      </c>
      <c r="N1932" s="7" t="n"/>
      <c r="O1932" s="7" t="n"/>
      <c r="P1932" s="7">
        <f>IF($B1932="","",O1932*X1932/100)</f>
        <v/>
      </c>
      <c r="Q1932" s="7">
        <f>IF($B1932="","",O1932-P1932)</f>
        <v/>
      </c>
      <c r="R1932" s="7">
        <f>IF($B1932="","",Q1932-J1932)</f>
        <v/>
      </c>
      <c r="S1932" s="7" t="n"/>
      <c r="T1932" s="7" t="n"/>
      <c r="V1932" s="14" t="n"/>
      <c r="Z1932">
        <f>IF($B1932="","",IF(COUNTIF($B$2:$B1932,$B1932)=1,1,0))</f>
        <v/>
      </c>
      <c r="AA1932">
        <f>IF($Z1932=1,SUMPRODUCT(--($AC$2:$AC$3001&lt;$AC1932))+1,"")</f>
        <v/>
      </c>
      <c r="AB1932">
        <f>IF($B1932="","",IF(OR($Y1932=TRUE(),$Y1932="TRUE"),1,IF(AND($Y1932&lt;&gt;"",OR($Y1932=FALSE(),$Y1932="FALSE")),0,IF(MIN(ABS($X1932/100-Settings!$C$6),ABS($X1932/100-Settings!$G$6))&lt;=MIN(ABS($X1932/100-Settings!$C$7),ABS($X1932/100-Settings!$G$7)),1,0))))</f>
        <v/>
      </c>
      <c r="AC1932">
        <f>IF($Z1932=1,IFERROR(IF(VALUE($B1932)&lt;100000000,VALUE($B1932),1000000000),IFERROR(IF(VALUE(MID($B1932,2,20))&lt;100000000,VALUE(MID($B1932,2,20)),1000000000),1000000000))+ROW()/100000,"")</f>
        <v/>
      </c>
    </row>
    <row r="1933">
      <c r="A1933">
        <f>IF($B1933="","",IFERROR(IF(INDEX('Per Invoice'!$A$2:$A$801,MATCH($B1933,'Per Invoice'!$B$2:$B$801,0))=0,"",INDEX('Per Invoice'!$A$2:$A$801,MATCH($B1933,'Per Invoice'!$B$2:$B$801,0))),""))</f>
        <v/>
      </c>
      <c r="J1933" s="7">
        <f>IF($B1933="","",I1933*Q1933/100)</f>
        <v/>
      </c>
      <c r="N1933" s="7" t="n"/>
      <c r="O1933" s="7" t="n"/>
      <c r="P1933" s="7">
        <f>IF($B1933="","",O1933*X1933/100)</f>
        <v/>
      </c>
      <c r="Q1933" s="7">
        <f>IF($B1933="","",O1933-P1933)</f>
        <v/>
      </c>
      <c r="R1933" s="7">
        <f>IF($B1933="","",Q1933-J1933)</f>
        <v/>
      </c>
      <c r="S1933" s="7" t="n"/>
      <c r="T1933" s="7" t="n"/>
      <c r="V1933" s="14" t="n"/>
      <c r="Z1933">
        <f>IF($B1933="","",IF(COUNTIF($B$2:$B1933,$B1933)=1,1,0))</f>
        <v/>
      </c>
      <c r="AA1933">
        <f>IF($Z1933=1,SUMPRODUCT(--($AC$2:$AC$3001&lt;$AC1933))+1,"")</f>
        <v/>
      </c>
      <c r="AB1933">
        <f>IF($B1933="","",IF(OR($Y1933=TRUE(),$Y1933="TRUE"),1,IF(AND($Y1933&lt;&gt;"",OR($Y1933=FALSE(),$Y1933="FALSE")),0,IF(MIN(ABS($X1933/100-Settings!$C$6),ABS($X1933/100-Settings!$G$6))&lt;=MIN(ABS($X1933/100-Settings!$C$7),ABS($X1933/100-Settings!$G$7)),1,0))))</f>
        <v/>
      </c>
      <c r="AC1933">
        <f>IF($Z1933=1,IFERROR(IF(VALUE($B1933)&lt;100000000,VALUE($B1933),1000000000),IFERROR(IF(VALUE(MID($B1933,2,20))&lt;100000000,VALUE(MID($B1933,2,20)),1000000000),1000000000))+ROW()/100000,"")</f>
        <v/>
      </c>
    </row>
    <row r="1934">
      <c r="A1934">
        <f>IF($B1934="","",IFERROR(IF(INDEX('Per Invoice'!$A$2:$A$801,MATCH($B1934,'Per Invoice'!$B$2:$B$801,0))=0,"",INDEX('Per Invoice'!$A$2:$A$801,MATCH($B1934,'Per Invoice'!$B$2:$B$801,0))),""))</f>
        <v/>
      </c>
      <c r="J1934" s="7">
        <f>IF($B1934="","",I1934*Q1934/100)</f>
        <v/>
      </c>
      <c r="N1934" s="7" t="n"/>
      <c r="O1934" s="7" t="n"/>
      <c r="P1934" s="7">
        <f>IF($B1934="","",O1934*X1934/100)</f>
        <v/>
      </c>
      <c r="Q1934" s="7">
        <f>IF($B1934="","",O1934-P1934)</f>
        <v/>
      </c>
      <c r="R1934" s="7">
        <f>IF($B1934="","",Q1934-J1934)</f>
        <v/>
      </c>
      <c r="S1934" s="7" t="n"/>
      <c r="T1934" s="7" t="n"/>
      <c r="V1934" s="14" t="n"/>
      <c r="Z1934">
        <f>IF($B1934="","",IF(COUNTIF($B$2:$B1934,$B1934)=1,1,0))</f>
        <v/>
      </c>
      <c r="AA1934">
        <f>IF($Z1934=1,SUMPRODUCT(--($AC$2:$AC$3001&lt;$AC1934))+1,"")</f>
        <v/>
      </c>
      <c r="AB1934">
        <f>IF($B1934="","",IF(OR($Y1934=TRUE(),$Y1934="TRUE"),1,IF(AND($Y1934&lt;&gt;"",OR($Y1934=FALSE(),$Y1934="FALSE")),0,IF(MIN(ABS($X1934/100-Settings!$C$6),ABS($X1934/100-Settings!$G$6))&lt;=MIN(ABS($X1934/100-Settings!$C$7),ABS($X1934/100-Settings!$G$7)),1,0))))</f>
        <v/>
      </c>
      <c r="AC1934">
        <f>IF($Z1934=1,IFERROR(IF(VALUE($B1934)&lt;100000000,VALUE($B1934),1000000000),IFERROR(IF(VALUE(MID($B1934,2,20))&lt;100000000,VALUE(MID($B1934,2,20)),1000000000),1000000000))+ROW()/100000,"")</f>
        <v/>
      </c>
    </row>
    <row r="1935">
      <c r="A1935">
        <f>IF($B1935="","",IFERROR(IF(INDEX('Per Invoice'!$A$2:$A$801,MATCH($B1935,'Per Invoice'!$B$2:$B$801,0))=0,"",INDEX('Per Invoice'!$A$2:$A$801,MATCH($B1935,'Per Invoice'!$B$2:$B$801,0))),""))</f>
        <v/>
      </c>
      <c r="J1935" s="7">
        <f>IF($B1935="","",I1935*Q1935/100)</f>
        <v/>
      </c>
      <c r="N1935" s="7" t="n"/>
      <c r="O1935" s="7" t="n"/>
      <c r="P1935" s="7">
        <f>IF($B1935="","",O1935*X1935/100)</f>
        <v/>
      </c>
      <c r="Q1935" s="7">
        <f>IF($B1935="","",O1935-P1935)</f>
        <v/>
      </c>
      <c r="R1935" s="7">
        <f>IF($B1935="","",Q1935-J1935)</f>
        <v/>
      </c>
      <c r="S1935" s="7" t="n"/>
      <c r="T1935" s="7" t="n"/>
      <c r="V1935" s="14" t="n"/>
      <c r="Z1935">
        <f>IF($B1935="","",IF(COUNTIF($B$2:$B1935,$B1935)=1,1,0))</f>
        <v/>
      </c>
      <c r="AA1935">
        <f>IF($Z1935=1,SUMPRODUCT(--($AC$2:$AC$3001&lt;$AC1935))+1,"")</f>
        <v/>
      </c>
      <c r="AB1935">
        <f>IF($B1935="","",IF(OR($Y1935=TRUE(),$Y1935="TRUE"),1,IF(AND($Y1935&lt;&gt;"",OR($Y1935=FALSE(),$Y1935="FALSE")),0,IF(MIN(ABS($X1935/100-Settings!$C$6),ABS($X1935/100-Settings!$G$6))&lt;=MIN(ABS($X1935/100-Settings!$C$7),ABS($X1935/100-Settings!$G$7)),1,0))))</f>
        <v/>
      </c>
      <c r="AC1935">
        <f>IF($Z1935=1,IFERROR(IF(VALUE($B1935)&lt;100000000,VALUE($B1935),1000000000),IFERROR(IF(VALUE(MID($B1935,2,20))&lt;100000000,VALUE(MID($B1935,2,20)),1000000000),1000000000))+ROW()/100000,"")</f>
        <v/>
      </c>
    </row>
    <row r="1936">
      <c r="A1936">
        <f>IF($B1936="","",IFERROR(IF(INDEX('Per Invoice'!$A$2:$A$801,MATCH($B1936,'Per Invoice'!$B$2:$B$801,0))=0,"",INDEX('Per Invoice'!$A$2:$A$801,MATCH($B1936,'Per Invoice'!$B$2:$B$801,0))),""))</f>
        <v/>
      </c>
      <c r="J1936" s="7">
        <f>IF($B1936="","",I1936*Q1936/100)</f>
        <v/>
      </c>
      <c r="N1936" s="7" t="n"/>
      <c r="O1936" s="7" t="n"/>
      <c r="P1936" s="7">
        <f>IF($B1936="","",O1936*X1936/100)</f>
        <v/>
      </c>
      <c r="Q1936" s="7">
        <f>IF($B1936="","",O1936-P1936)</f>
        <v/>
      </c>
      <c r="R1936" s="7">
        <f>IF($B1936="","",Q1936-J1936)</f>
        <v/>
      </c>
      <c r="S1936" s="7" t="n"/>
      <c r="T1936" s="7" t="n"/>
      <c r="V1936" s="14" t="n"/>
      <c r="Z1936">
        <f>IF($B1936="","",IF(COUNTIF($B$2:$B1936,$B1936)=1,1,0))</f>
        <v/>
      </c>
      <c r="AA1936">
        <f>IF($Z1936=1,SUMPRODUCT(--($AC$2:$AC$3001&lt;$AC1936))+1,"")</f>
        <v/>
      </c>
      <c r="AB1936">
        <f>IF($B1936="","",IF(OR($Y1936=TRUE(),$Y1936="TRUE"),1,IF(AND($Y1936&lt;&gt;"",OR($Y1936=FALSE(),$Y1936="FALSE")),0,IF(MIN(ABS($X1936/100-Settings!$C$6),ABS($X1936/100-Settings!$G$6))&lt;=MIN(ABS($X1936/100-Settings!$C$7),ABS($X1936/100-Settings!$G$7)),1,0))))</f>
        <v/>
      </c>
      <c r="AC1936">
        <f>IF($Z1936=1,IFERROR(IF(VALUE($B1936)&lt;100000000,VALUE($B1936),1000000000),IFERROR(IF(VALUE(MID($B1936,2,20))&lt;100000000,VALUE(MID($B1936,2,20)),1000000000),1000000000))+ROW()/100000,"")</f>
        <v/>
      </c>
    </row>
    <row r="1937">
      <c r="A1937">
        <f>IF($B1937="","",IFERROR(IF(INDEX('Per Invoice'!$A$2:$A$801,MATCH($B1937,'Per Invoice'!$B$2:$B$801,0))=0,"",INDEX('Per Invoice'!$A$2:$A$801,MATCH($B1937,'Per Invoice'!$B$2:$B$801,0))),""))</f>
        <v/>
      </c>
      <c r="J1937" s="7">
        <f>IF($B1937="","",I1937*Q1937/100)</f>
        <v/>
      </c>
      <c r="N1937" s="7" t="n"/>
      <c r="O1937" s="7" t="n"/>
      <c r="P1937" s="7">
        <f>IF($B1937="","",O1937*X1937/100)</f>
        <v/>
      </c>
      <c r="Q1937" s="7">
        <f>IF($B1937="","",O1937-P1937)</f>
        <v/>
      </c>
      <c r="R1937" s="7">
        <f>IF($B1937="","",Q1937-J1937)</f>
        <v/>
      </c>
      <c r="S1937" s="7" t="n"/>
      <c r="T1937" s="7" t="n"/>
      <c r="V1937" s="14" t="n"/>
      <c r="Z1937">
        <f>IF($B1937="","",IF(COUNTIF($B$2:$B1937,$B1937)=1,1,0))</f>
        <v/>
      </c>
      <c r="AA1937">
        <f>IF($Z1937=1,SUMPRODUCT(--($AC$2:$AC$3001&lt;$AC1937))+1,"")</f>
        <v/>
      </c>
      <c r="AB1937">
        <f>IF($B1937="","",IF(OR($Y1937=TRUE(),$Y1937="TRUE"),1,IF(AND($Y1937&lt;&gt;"",OR($Y1937=FALSE(),$Y1937="FALSE")),0,IF(MIN(ABS($X1937/100-Settings!$C$6),ABS($X1937/100-Settings!$G$6))&lt;=MIN(ABS($X1937/100-Settings!$C$7),ABS($X1937/100-Settings!$G$7)),1,0))))</f>
        <v/>
      </c>
      <c r="AC1937">
        <f>IF($Z1937=1,IFERROR(IF(VALUE($B1937)&lt;100000000,VALUE($B1937),1000000000),IFERROR(IF(VALUE(MID($B1937,2,20))&lt;100000000,VALUE(MID($B1937,2,20)),1000000000),1000000000))+ROW()/100000,"")</f>
        <v/>
      </c>
    </row>
    <row r="1938">
      <c r="A1938">
        <f>IF($B1938="","",IFERROR(IF(INDEX('Per Invoice'!$A$2:$A$801,MATCH($B1938,'Per Invoice'!$B$2:$B$801,0))=0,"",INDEX('Per Invoice'!$A$2:$A$801,MATCH($B1938,'Per Invoice'!$B$2:$B$801,0))),""))</f>
        <v/>
      </c>
      <c r="J1938" s="7">
        <f>IF($B1938="","",I1938*Q1938/100)</f>
        <v/>
      </c>
      <c r="N1938" s="7" t="n"/>
      <c r="O1938" s="7" t="n"/>
      <c r="P1938" s="7">
        <f>IF($B1938="","",O1938*X1938/100)</f>
        <v/>
      </c>
      <c r="Q1938" s="7">
        <f>IF($B1938="","",O1938-P1938)</f>
        <v/>
      </c>
      <c r="R1938" s="7">
        <f>IF($B1938="","",Q1938-J1938)</f>
        <v/>
      </c>
      <c r="S1938" s="7" t="n"/>
      <c r="T1938" s="7" t="n"/>
      <c r="V1938" s="14" t="n"/>
      <c r="Z1938">
        <f>IF($B1938="","",IF(COUNTIF($B$2:$B1938,$B1938)=1,1,0))</f>
        <v/>
      </c>
      <c r="AA1938">
        <f>IF($Z1938=1,SUMPRODUCT(--($AC$2:$AC$3001&lt;$AC1938))+1,"")</f>
        <v/>
      </c>
      <c r="AB1938">
        <f>IF($B1938="","",IF(OR($Y1938=TRUE(),$Y1938="TRUE"),1,IF(AND($Y1938&lt;&gt;"",OR($Y1938=FALSE(),$Y1938="FALSE")),0,IF(MIN(ABS($X1938/100-Settings!$C$6),ABS($X1938/100-Settings!$G$6))&lt;=MIN(ABS($X1938/100-Settings!$C$7),ABS($X1938/100-Settings!$G$7)),1,0))))</f>
        <v/>
      </c>
      <c r="AC1938">
        <f>IF($Z1938=1,IFERROR(IF(VALUE($B1938)&lt;100000000,VALUE($B1938),1000000000),IFERROR(IF(VALUE(MID($B1938,2,20))&lt;100000000,VALUE(MID($B1938,2,20)),1000000000),1000000000))+ROW()/100000,"")</f>
        <v/>
      </c>
    </row>
    <row r="1939">
      <c r="A1939">
        <f>IF($B1939="","",IFERROR(IF(INDEX('Per Invoice'!$A$2:$A$801,MATCH($B1939,'Per Invoice'!$B$2:$B$801,0))=0,"",INDEX('Per Invoice'!$A$2:$A$801,MATCH($B1939,'Per Invoice'!$B$2:$B$801,0))),""))</f>
        <v/>
      </c>
      <c r="J1939" s="7">
        <f>IF($B1939="","",I1939*Q1939/100)</f>
        <v/>
      </c>
      <c r="N1939" s="7" t="n"/>
      <c r="O1939" s="7" t="n"/>
      <c r="P1939" s="7">
        <f>IF($B1939="","",O1939*X1939/100)</f>
        <v/>
      </c>
      <c r="Q1939" s="7">
        <f>IF($B1939="","",O1939-P1939)</f>
        <v/>
      </c>
      <c r="R1939" s="7">
        <f>IF($B1939="","",Q1939-J1939)</f>
        <v/>
      </c>
      <c r="S1939" s="7" t="n"/>
      <c r="T1939" s="7" t="n"/>
      <c r="V1939" s="14" t="n"/>
      <c r="Z1939">
        <f>IF($B1939="","",IF(COUNTIF($B$2:$B1939,$B1939)=1,1,0))</f>
        <v/>
      </c>
      <c r="AA1939">
        <f>IF($Z1939=1,SUMPRODUCT(--($AC$2:$AC$3001&lt;$AC1939))+1,"")</f>
        <v/>
      </c>
      <c r="AB1939">
        <f>IF($B1939="","",IF(OR($Y1939=TRUE(),$Y1939="TRUE"),1,IF(AND($Y1939&lt;&gt;"",OR($Y1939=FALSE(),$Y1939="FALSE")),0,IF(MIN(ABS($X1939/100-Settings!$C$6),ABS($X1939/100-Settings!$G$6))&lt;=MIN(ABS($X1939/100-Settings!$C$7),ABS($X1939/100-Settings!$G$7)),1,0))))</f>
        <v/>
      </c>
      <c r="AC1939">
        <f>IF($Z1939=1,IFERROR(IF(VALUE($B1939)&lt;100000000,VALUE($B1939),1000000000),IFERROR(IF(VALUE(MID($B1939,2,20))&lt;100000000,VALUE(MID($B1939,2,20)),1000000000),1000000000))+ROW()/100000,"")</f>
        <v/>
      </c>
    </row>
    <row r="1940">
      <c r="A1940">
        <f>IF($B1940="","",IFERROR(IF(INDEX('Per Invoice'!$A$2:$A$801,MATCH($B1940,'Per Invoice'!$B$2:$B$801,0))=0,"",INDEX('Per Invoice'!$A$2:$A$801,MATCH($B1940,'Per Invoice'!$B$2:$B$801,0))),""))</f>
        <v/>
      </c>
      <c r="J1940" s="7">
        <f>IF($B1940="","",I1940*Q1940/100)</f>
        <v/>
      </c>
      <c r="N1940" s="7" t="n"/>
      <c r="O1940" s="7" t="n"/>
      <c r="P1940" s="7">
        <f>IF($B1940="","",O1940*X1940/100)</f>
        <v/>
      </c>
      <c r="Q1940" s="7">
        <f>IF($B1940="","",O1940-P1940)</f>
        <v/>
      </c>
      <c r="R1940" s="7">
        <f>IF($B1940="","",Q1940-J1940)</f>
        <v/>
      </c>
      <c r="S1940" s="7" t="n"/>
      <c r="T1940" s="7" t="n"/>
      <c r="V1940" s="14" t="n"/>
      <c r="Z1940">
        <f>IF($B1940="","",IF(COUNTIF($B$2:$B1940,$B1940)=1,1,0))</f>
        <v/>
      </c>
      <c r="AA1940">
        <f>IF($Z1940=1,SUMPRODUCT(--($AC$2:$AC$3001&lt;$AC1940))+1,"")</f>
        <v/>
      </c>
      <c r="AB1940">
        <f>IF($B1940="","",IF(OR($Y1940=TRUE(),$Y1940="TRUE"),1,IF(AND($Y1940&lt;&gt;"",OR($Y1940=FALSE(),$Y1940="FALSE")),0,IF(MIN(ABS($X1940/100-Settings!$C$6),ABS($X1940/100-Settings!$G$6))&lt;=MIN(ABS($X1940/100-Settings!$C$7),ABS($X1940/100-Settings!$G$7)),1,0))))</f>
        <v/>
      </c>
      <c r="AC1940">
        <f>IF($Z1940=1,IFERROR(IF(VALUE($B1940)&lt;100000000,VALUE($B1940),1000000000),IFERROR(IF(VALUE(MID($B1940,2,20))&lt;100000000,VALUE(MID($B1940,2,20)),1000000000),1000000000))+ROW()/100000,"")</f>
        <v/>
      </c>
    </row>
    <row r="1941">
      <c r="A1941">
        <f>IF($B1941="","",IFERROR(IF(INDEX('Per Invoice'!$A$2:$A$801,MATCH($B1941,'Per Invoice'!$B$2:$B$801,0))=0,"",INDEX('Per Invoice'!$A$2:$A$801,MATCH($B1941,'Per Invoice'!$B$2:$B$801,0))),""))</f>
        <v/>
      </c>
      <c r="J1941" s="7">
        <f>IF($B1941="","",I1941*Q1941/100)</f>
        <v/>
      </c>
      <c r="N1941" s="7" t="n"/>
      <c r="O1941" s="7" t="n"/>
      <c r="P1941" s="7">
        <f>IF($B1941="","",O1941*X1941/100)</f>
        <v/>
      </c>
      <c r="Q1941" s="7">
        <f>IF($B1941="","",O1941-P1941)</f>
        <v/>
      </c>
      <c r="R1941" s="7">
        <f>IF($B1941="","",Q1941-J1941)</f>
        <v/>
      </c>
      <c r="S1941" s="7" t="n"/>
      <c r="T1941" s="7" t="n"/>
      <c r="V1941" s="14" t="n"/>
      <c r="Z1941">
        <f>IF($B1941="","",IF(COUNTIF($B$2:$B1941,$B1941)=1,1,0))</f>
        <v/>
      </c>
      <c r="AA1941">
        <f>IF($Z1941=1,SUMPRODUCT(--($AC$2:$AC$3001&lt;$AC1941))+1,"")</f>
        <v/>
      </c>
      <c r="AB1941">
        <f>IF($B1941="","",IF(OR($Y1941=TRUE(),$Y1941="TRUE"),1,IF(AND($Y1941&lt;&gt;"",OR($Y1941=FALSE(),$Y1941="FALSE")),0,IF(MIN(ABS($X1941/100-Settings!$C$6),ABS($X1941/100-Settings!$G$6))&lt;=MIN(ABS($X1941/100-Settings!$C$7),ABS($X1941/100-Settings!$G$7)),1,0))))</f>
        <v/>
      </c>
      <c r="AC1941">
        <f>IF($Z1941=1,IFERROR(IF(VALUE($B1941)&lt;100000000,VALUE($B1941),1000000000),IFERROR(IF(VALUE(MID($B1941,2,20))&lt;100000000,VALUE(MID($B1941,2,20)),1000000000),1000000000))+ROW()/100000,"")</f>
        <v/>
      </c>
    </row>
    <row r="1942">
      <c r="A1942">
        <f>IF($B1942="","",IFERROR(IF(INDEX('Per Invoice'!$A$2:$A$801,MATCH($B1942,'Per Invoice'!$B$2:$B$801,0))=0,"",INDEX('Per Invoice'!$A$2:$A$801,MATCH($B1942,'Per Invoice'!$B$2:$B$801,0))),""))</f>
        <v/>
      </c>
      <c r="J1942" s="7">
        <f>IF($B1942="","",I1942*Q1942/100)</f>
        <v/>
      </c>
      <c r="N1942" s="7" t="n"/>
      <c r="O1942" s="7" t="n"/>
      <c r="P1942" s="7">
        <f>IF($B1942="","",O1942*X1942/100)</f>
        <v/>
      </c>
      <c r="Q1942" s="7">
        <f>IF($B1942="","",O1942-P1942)</f>
        <v/>
      </c>
      <c r="R1942" s="7">
        <f>IF($B1942="","",Q1942-J1942)</f>
        <v/>
      </c>
      <c r="S1942" s="7" t="n"/>
      <c r="T1942" s="7" t="n"/>
      <c r="V1942" s="14" t="n"/>
      <c r="Z1942">
        <f>IF($B1942="","",IF(COUNTIF($B$2:$B1942,$B1942)=1,1,0))</f>
        <v/>
      </c>
      <c r="AA1942">
        <f>IF($Z1942=1,SUMPRODUCT(--($AC$2:$AC$3001&lt;$AC1942))+1,"")</f>
        <v/>
      </c>
      <c r="AB1942">
        <f>IF($B1942="","",IF(OR($Y1942=TRUE(),$Y1942="TRUE"),1,IF(AND($Y1942&lt;&gt;"",OR($Y1942=FALSE(),$Y1942="FALSE")),0,IF(MIN(ABS($X1942/100-Settings!$C$6),ABS($X1942/100-Settings!$G$6))&lt;=MIN(ABS($X1942/100-Settings!$C$7),ABS($X1942/100-Settings!$G$7)),1,0))))</f>
        <v/>
      </c>
      <c r="AC1942">
        <f>IF($Z1942=1,IFERROR(IF(VALUE($B1942)&lt;100000000,VALUE($B1942),1000000000),IFERROR(IF(VALUE(MID($B1942,2,20))&lt;100000000,VALUE(MID($B1942,2,20)),1000000000),1000000000))+ROW()/100000,"")</f>
        <v/>
      </c>
    </row>
    <row r="1943">
      <c r="A1943">
        <f>IF($B1943="","",IFERROR(IF(INDEX('Per Invoice'!$A$2:$A$801,MATCH($B1943,'Per Invoice'!$B$2:$B$801,0))=0,"",INDEX('Per Invoice'!$A$2:$A$801,MATCH($B1943,'Per Invoice'!$B$2:$B$801,0))),""))</f>
        <v/>
      </c>
      <c r="J1943" s="7">
        <f>IF($B1943="","",I1943*Q1943/100)</f>
        <v/>
      </c>
      <c r="N1943" s="7" t="n"/>
      <c r="O1943" s="7" t="n"/>
      <c r="P1943" s="7">
        <f>IF($B1943="","",O1943*X1943/100)</f>
        <v/>
      </c>
      <c r="Q1943" s="7">
        <f>IF($B1943="","",O1943-P1943)</f>
        <v/>
      </c>
      <c r="R1943" s="7">
        <f>IF($B1943="","",Q1943-J1943)</f>
        <v/>
      </c>
      <c r="S1943" s="7" t="n"/>
      <c r="T1943" s="7" t="n"/>
      <c r="V1943" s="14" t="n"/>
      <c r="Z1943">
        <f>IF($B1943="","",IF(COUNTIF($B$2:$B1943,$B1943)=1,1,0))</f>
        <v/>
      </c>
      <c r="AA1943">
        <f>IF($Z1943=1,SUMPRODUCT(--($AC$2:$AC$3001&lt;$AC1943))+1,"")</f>
        <v/>
      </c>
      <c r="AB1943">
        <f>IF($B1943="","",IF(OR($Y1943=TRUE(),$Y1943="TRUE"),1,IF(AND($Y1943&lt;&gt;"",OR($Y1943=FALSE(),$Y1943="FALSE")),0,IF(MIN(ABS($X1943/100-Settings!$C$6),ABS($X1943/100-Settings!$G$6))&lt;=MIN(ABS($X1943/100-Settings!$C$7),ABS($X1943/100-Settings!$G$7)),1,0))))</f>
        <v/>
      </c>
      <c r="AC1943">
        <f>IF($Z1943=1,IFERROR(IF(VALUE($B1943)&lt;100000000,VALUE($B1943),1000000000),IFERROR(IF(VALUE(MID($B1943,2,20))&lt;100000000,VALUE(MID($B1943,2,20)),1000000000),1000000000))+ROW()/100000,"")</f>
        <v/>
      </c>
    </row>
    <row r="1944">
      <c r="A1944">
        <f>IF($B1944="","",IFERROR(IF(INDEX('Per Invoice'!$A$2:$A$801,MATCH($B1944,'Per Invoice'!$B$2:$B$801,0))=0,"",INDEX('Per Invoice'!$A$2:$A$801,MATCH($B1944,'Per Invoice'!$B$2:$B$801,0))),""))</f>
        <v/>
      </c>
      <c r="J1944" s="7">
        <f>IF($B1944="","",I1944*Q1944/100)</f>
        <v/>
      </c>
      <c r="N1944" s="7" t="n"/>
      <c r="O1944" s="7" t="n"/>
      <c r="P1944" s="7">
        <f>IF($B1944="","",O1944*X1944/100)</f>
        <v/>
      </c>
      <c r="Q1944" s="7">
        <f>IF($B1944="","",O1944-P1944)</f>
        <v/>
      </c>
      <c r="R1944" s="7">
        <f>IF($B1944="","",Q1944-J1944)</f>
        <v/>
      </c>
      <c r="S1944" s="7" t="n"/>
      <c r="T1944" s="7" t="n"/>
      <c r="V1944" s="14" t="n"/>
      <c r="Z1944">
        <f>IF($B1944="","",IF(COUNTIF($B$2:$B1944,$B1944)=1,1,0))</f>
        <v/>
      </c>
      <c r="AA1944">
        <f>IF($Z1944=1,SUMPRODUCT(--($AC$2:$AC$3001&lt;$AC1944))+1,"")</f>
        <v/>
      </c>
      <c r="AB1944">
        <f>IF($B1944="","",IF(OR($Y1944=TRUE(),$Y1944="TRUE"),1,IF(AND($Y1944&lt;&gt;"",OR($Y1944=FALSE(),$Y1944="FALSE")),0,IF(MIN(ABS($X1944/100-Settings!$C$6),ABS($X1944/100-Settings!$G$6))&lt;=MIN(ABS($X1944/100-Settings!$C$7),ABS($X1944/100-Settings!$G$7)),1,0))))</f>
        <v/>
      </c>
      <c r="AC1944">
        <f>IF($Z1944=1,IFERROR(IF(VALUE($B1944)&lt;100000000,VALUE($B1944),1000000000),IFERROR(IF(VALUE(MID($B1944,2,20))&lt;100000000,VALUE(MID($B1944,2,20)),1000000000),1000000000))+ROW()/100000,"")</f>
        <v/>
      </c>
    </row>
    <row r="1945">
      <c r="A1945">
        <f>IF($B1945="","",IFERROR(IF(INDEX('Per Invoice'!$A$2:$A$801,MATCH($B1945,'Per Invoice'!$B$2:$B$801,0))=0,"",INDEX('Per Invoice'!$A$2:$A$801,MATCH($B1945,'Per Invoice'!$B$2:$B$801,0))),""))</f>
        <v/>
      </c>
      <c r="J1945" s="7">
        <f>IF($B1945="","",I1945*Q1945/100)</f>
        <v/>
      </c>
      <c r="N1945" s="7" t="n"/>
      <c r="O1945" s="7" t="n"/>
      <c r="P1945" s="7">
        <f>IF($B1945="","",O1945*X1945/100)</f>
        <v/>
      </c>
      <c r="Q1945" s="7">
        <f>IF($B1945="","",O1945-P1945)</f>
        <v/>
      </c>
      <c r="R1945" s="7">
        <f>IF($B1945="","",Q1945-J1945)</f>
        <v/>
      </c>
      <c r="S1945" s="7" t="n"/>
      <c r="T1945" s="7" t="n"/>
      <c r="V1945" s="14" t="n"/>
      <c r="Z1945">
        <f>IF($B1945="","",IF(COUNTIF($B$2:$B1945,$B1945)=1,1,0))</f>
        <v/>
      </c>
      <c r="AA1945">
        <f>IF($Z1945=1,SUMPRODUCT(--($AC$2:$AC$3001&lt;$AC1945))+1,"")</f>
        <v/>
      </c>
      <c r="AB1945">
        <f>IF($B1945="","",IF(OR($Y1945=TRUE(),$Y1945="TRUE"),1,IF(AND($Y1945&lt;&gt;"",OR($Y1945=FALSE(),$Y1945="FALSE")),0,IF(MIN(ABS($X1945/100-Settings!$C$6),ABS($X1945/100-Settings!$G$6))&lt;=MIN(ABS($X1945/100-Settings!$C$7),ABS($X1945/100-Settings!$G$7)),1,0))))</f>
        <v/>
      </c>
      <c r="AC1945">
        <f>IF($Z1945=1,IFERROR(IF(VALUE($B1945)&lt;100000000,VALUE($B1945),1000000000),IFERROR(IF(VALUE(MID($B1945,2,20))&lt;100000000,VALUE(MID($B1945,2,20)),1000000000),1000000000))+ROW()/100000,"")</f>
        <v/>
      </c>
    </row>
    <row r="1946">
      <c r="A1946">
        <f>IF($B1946="","",IFERROR(IF(INDEX('Per Invoice'!$A$2:$A$801,MATCH($B1946,'Per Invoice'!$B$2:$B$801,0))=0,"",INDEX('Per Invoice'!$A$2:$A$801,MATCH($B1946,'Per Invoice'!$B$2:$B$801,0))),""))</f>
        <v/>
      </c>
      <c r="J1946" s="7">
        <f>IF($B1946="","",I1946*Q1946/100)</f>
        <v/>
      </c>
      <c r="N1946" s="7" t="n"/>
      <c r="O1946" s="7" t="n"/>
      <c r="P1946" s="7">
        <f>IF($B1946="","",O1946*X1946/100)</f>
        <v/>
      </c>
      <c r="Q1946" s="7">
        <f>IF($B1946="","",O1946-P1946)</f>
        <v/>
      </c>
      <c r="R1946" s="7">
        <f>IF($B1946="","",Q1946-J1946)</f>
        <v/>
      </c>
      <c r="S1946" s="7" t="n"/>
      <c r="T1946" s="7" t="n"/>
      <c r="V1946" s="14" t="n"/>
      <c r="Z1946">
        <f>IF($B1946="","",IF(COUNTIF($B$2:$B1946,$B1946)=1,1,0))</f>
        <v/>
      </c>
      <c r="AA1946">
        <f>IF($Z1946=1,SUMPRODUCT(--($AC$2:$AC$3001&lt;$AC1946))+1,"")</f>
        <v/>
      </c>
      <c r="AB1946">
        <f>IF($B1946="","",IF(OR($Y1946=TRUE(),$Y1946="TRUE"),1,IF(AND($Y1946&lt;&gt;"",OR($Y1946=FALSE(),$Y1946="FALSE")),0,IF(MIN(ABS($X1946/100-Settings!$C$6),ABS($X1946/100-Settings!$G$6))&lt;=MIN(ABS($X1946/100-Settings!$C$7),ABS($X1946/100-Settings!$G$7)),1,0))))</f>
        <v/>
      </c>
      <c r="AC1946">
        <f>IF($Z1946=1,IFERROR(IF(VALUE($B1946)&lt;100000000,VALUE($B1946),1000000000),IFERROR(IF(VALUE(MID($B1946,2,20))&lt;100000000,VALUE(MID($B1946,2,20)),1000000000),1000000000))+ROW()/100000,"")</f>
        <v/>
      </c>
    </row>
    <row r="1947">
      <c r="A1947">
        <f>IF($B1947="","",IFERROR(IF(INDEX('Per Invoice'!$A$2:$A$801,MATCH($B1947,'Per Invoice'!$B$2:$B$801,0))=0,"",INDEX('Per Invoice'!$A$2:$A$801,MATCH($B1947,'Per Invoice'!$B$2:$B$801,0))),""))</f>
        <v/>
      </c>
      <c r="J1947" s="7">
        <f>IF($B1947="","",I1947*Q1947/100)</f>
        <v/>
      </c>
      <c r="N1947" s="7" t="n"/>
      <c r="O1947" s="7" t="n"/>
      <c r="P1947" s="7">
        <f>IF($B1947="","",O1947*X1947/100)</f>
        <v/>
      </c>
      <c r="Q1947" s="7">
        <f>IF($B1947="","",O1947-P1947)</f>
        <v/>
      </c>
      <c r="R1947" s="7">
        <f>IF($B1947="","",Q1947-J1947)</f>
        <v/>
      </c>
      <c r="S1947" s="7" t="n"/>
      <c r="T1947" s="7" t="n"/>
      <c r="V1947" s="14" t="n"/>
      <c r="Z1947">
        <f>IF($B1947="","",IF(COUNTIF($B$2:$B1947,$B1947)=1,1,0))</f>
        <v/>
      </c>
      <c r="AA1947">
        <f>IF($Z1947=1,SUMPRODUCT(--($AC$2:$AC$3001&lt;$AC1947))+1,"")</f>
        <v/>
      </c>
      <c r="AB1947">
        <f>IF($B1947="","",IF(OR($Y1947=TRUE(),$Y1947="TRUE"),1,IF(AND($Y1947&lt;&gt;"",OR($Y1947=FALSE(),$Y1947="FALSE")),0,IF(MIN(ABS($X1947/100-Settings!$C$6),ABS($X1947/100-Settings!$G$6))&lt;=MIN(ABS($X1947/100-Settings!$C$7),ABS($X1947/100-Settings!$G$7)),1,0))))</f>
        <v/>
      </c>
      <c r="AC1947">
        <f>IF($Z1947=1,IFERROR(IF(VALUE($B1947)&lt;100000000,VALUE($B1947),1000000000),IFERROR(IF(VALUE(MID($B1947,2,20))&lt;100000000,VALUE(MID($B1947,2,20)),1000000000),1000000000))+ROW()/100000,"")</f>
        <v/>
      </c>
    </row>
    <row r="1948">
      <c r="A1948">
        <f>IF($B1948="","",IFERROR(IF(INDEX('Per Invoice'!$A$2:$A$801,MATCH($B1948,'Per Invoice'!$B$2:$B$801,0))=0,"",INDEX('Per Invoice'!$A$2:$A$801,MATCH($B1948,'Per Invoice'!$B$2:$B$801,0))),""))</f>
        <v/>
      </c>
      <c r="J1948" s="7">
        <f>IF($B1948="","",I1948*Q1948/100)</f>
        <v/>
      </c>
      <c r="N1948" s="7" t="n"/>
      <c r="O1948" s="7" t="n"/>
      <c r="P1948" s="7">
        <f>IF($B1948="","",O1948*X1948/100)</f>
        <v/>
      </c>
      <c r="Q1948" s="7">
        <f>IF($B1948="","",O1948-P1948)</f>
        <v/>
      </c>
      <c r="R1948" s="7">
        <f>IF($B1948="","",Q1948-J1948)</f>
        <v/>
      </c>
      <c r="S1948" s="7" t="n"/>
      <c r="T1948" s="7" t="n"/>
      <c r="V1948" s="14" t="n"/>
      <c r="Z1948">
        <f>IF($B1948="","",IF(COUNTIF($B$2:$B1948,$B1948)=1,1,0))</f>
        <v/>
      </c>
      <c r="AA1948">
        <f>IF($Z1948=1,SUMPRODUCT(--($AC$2:$AC$3001&lt;$AC1948))+1,"")</f>
        <v/>
      </c>
      <c r="AB1948">
        <f>IF($B1948="","",IF(OR($Y1948=TRUE(),$Y1948="TRUE"),1,IF(AND($Y1948&lt;&gt;"",OR($Y1948=FALSE(),$Y1948="FALSE")),0,IF(MIN(ABS($X1948/100-Settings!$C$6),ABS($X1948/100-Settings!$G$6))&lt;=MIN(ABS($X1948/100-Settings!$C$7),ABS($X1948/100-Settings!$G$7)),1,0))))</f>
        <v/>
      </c>
      <c r="AC1948">
        <f>IF($Z1948=1,IFERROR(IF(VALUE($B1948)&lt;100000000,VALUE($B1948),1000000000),IFERROR(IF(VALUE(MID($B1948,2,20))&lt;100000000,VALUE(MID($B1948,2,20)),1000000000),1000000000))+ROW()/100000,"")</f>
        <v/>
      </c>
    </row>
    <row r="1949">
      <c r="A1949">
        <f>IF($B1949="","",IFERROR(IF(INDEX('Per Invoice'!$A$2:$A$801,MATCH($B1949,'Per Invoice'!$B$2:$B$801,0))=0,"",INDEX('Per Invoice'!$A$2:$A$801,MATCH($B1949,'Per Invoice'!$B$2:$B$801,0))),""))</f>
        <v/>
      </c>
      <c r="J1949" s="7">
        <f>IF($B1949="","",I1949*Q1949/100)</f>
        <v/>
      </c>
      <c r="N1949" s="7" t="n"/>
      <c r="O1949" s="7" t="n"/>
      <c r="P1949" s="7">
        <f>IF($B1949="","",O1949*X1949/100)</f>
        <v/>
      </c>
      <c r="Q1949" s="7">
        <f>IF($B1949="","",O1949-P1949)</f>
        <v/>
      </c>
      <c r="R1949" s="7">
        <f>IF($B1949="","",Q1949-J1949)</f>
        <v/>
      </c>
      <c r="S1949" s="7" t="n"/>
      <c r="T1949" s="7" t="n"/>
      <c r="V1949" s="14" t="n"/>
      <c r="Z1949">
        <f>IF($B1949="","",IF(COUNTIF($B$2:$B1949,$B1949)=1,1,0))</f>
        <v/>
      </c>
      <c r="AA1949">
        <f>IF($Z1949=1,SUMPRODUCT(--($AC$2:$AC$3001&lt;$AC1949))+1,"")</f>
        <v/>
      </c>
      <c r="AB1949">
        <f>IF($B1949="","",IF(OR($Y1949=TRUE(),$Y1949="TRUE"),1,IF(AND($Y1949&lt;&gt;"",OR($Y1949=FALSE(),$Y1949="FALSE")),0,IF(MIN(ABS($X1949/100-Settings!$C$6),ABS($X1949/100-Settings!$G$6))&lt;=MIN(ABS($X1949/100-Settings!$C$7),ABS($X1949/100-Settings!$G$7)),1,0))))</f>
        <v/>
      </c>
      <c r="AC1949">
        <f>IF($Z1949=1,IFERROR(IF(VALUE($B1949)&lt;100000000,VALUE($B1949),1000000000),IFERROR(IF(VALUE(MID($B1949,2,20))&lt;100000000,VALUE(MID($B1949,2,20)),1000000000),1000000000))+ROW()/100000,"")</f>
        <v/>
      </c>
    </row>
    <row r="1950">
      <c r="A1950">
        <f>IF($B1950="","",IFERROR(IF(INDEX('Per Invoice'!$A$2:$A$801,MATCH($B1950,'Per Invoice'!$B$2:$B$801,0))=0,"",INDEX('Per Invoice'!$A$2:$A$801,MATCH($B1950,'Per Invoice'!$B$2:$B$801,0))),""))</f>
        <v/>
      </c>
      <c r="J1950" s="7">
        <f>IF($B1950="","",I1950*Q1950/100)</f>
        <v/>
      </c>
      <c r="N1950" s="7" t="n"/>
      <c r="O1950" s="7" t="n"/>
      <c r="P1950" s="7">
        <f>IF($B1950="","",O1950*X1950/100)</f>
        <v/>
      </c>
      <c r="Q1950" s="7">
        <f>IF($B1950="","",O1950-P1950)</f>
        <v/>
      </c>
      <c r="R1950" s="7">
        <f>IF($B1950="","",Q1950-J1950)</f>
        <v/>
      </c>
      <c r="S1950" s="7" t="n"/>
      <c r="T1950" s="7" t="n"/>
      <c r="V1950" s="14" t="n"/>
      <c r="Z1950">
        <f>IF($B1950="","",IF(COUNTIF($B$2:$B1950,$B1950)=1,1,0))</f>
        <v/>
      </c>
      <c r="AA1950">
        <f>IF($Z1950=1,SUMPRODUCT(--($AC$2:$AC$3001&lt;$AC1950))+1,"")</f>
        <v/>
      </c>
      <c r="AB1950">
        <f>IF($B1950="","",IF(OR($Y1950=TRUE(),$Y1950="TRUE"),1,IF(AND($Y1950&lt;&gt;"",OR($Y1950=FALSE(),$Y1950="FALSE")),0,IF(MIN(ABS($X1950/100-Settings!$C$6),ABS($X1950/100-Settings!$G$6))&lt;=MIN(ABS($X1950/100-Settings!$C$7),ABS($X1950/100-Settings!$G$7)),1,0))))</f>
        <v/>
      </c>
      <c r="AC1950">
        <f>IF($Z1950=1,IFERROR(IF(VALUE($B1950)&lt;100000000,VALUE($B1950),1000000000),IFERROR(IF(VALUE(MID($B1950,2,20))&lt;100000000,VALUE(MID($B1950,2,20)),1000000000),1000000000))+ROW()/100000,"")</f>
        <v/>
      </c>
    </row>
    <row r="1951">
      <c r="A1951">
        <f>IF($B1951="","",IFERROR(IF(INDEX('Per Invoice'!$A$2:$A$801,MATCH($B1951,'Per Invoice'!$B$2:$B$801,0))=0,"",INDEX('Per Invoice'!$A$2:$A$801,MATCH($B1951,'Per Invoice'!$B$2:$B$801,0))),""))</f>
        <v/>
      </c>
      <c r="J1951" s="7">
        <f>IF($B1951="","",I1951*Q1951/100)</f>
        <v/>
      </c>
      <c r="N1951" s="7" t="n"/>
      <c r="O1951" s="7" t="n"/>
      <c r="P1951" s="7">
        <f>IF($B1951="","",O1951*X1951/100)</f>
        <v/>
      </c>
      <c r="Q1951" s="7">
        <f>IF($B1951="","",O1951-P1951)</f>
        <v/>
      </c>
      <c r="R1951" s="7">
        <f>IF($B1951="","",Q1951-J1951)</f>
        <v/>
      </c>
      <c r="S1951" s="7" t="n"/>
      <c r="T1951" s="7" t="n"/>
      <c r="V1951" s="14" t="n"/>
      <c r="Z1951">
        <f>IF($B1951="","",IF(COUNTIF($B$2:$B1951,$B1951)=1,1,0))</f>
        <v/>
      </c>
      <c r="AA1951">
        <f>IF($Z1951=1,SUMPRODUCT(--($AC$2:$AC$3001&lt;$AC1951))+1,"")</f>
        <v/>
      </c>
      <c r="AB1951">
        <f>IF($B1951="","",IF(OR($Y1951=TRUE(),$Y1951="TRUE"),1,IF(AND($Y1951&lt;&gt;"",OR($Y1951=FALSE(),$Y1951="FALSE")),0,IF(MIN(ABS($X1951/100-Settings!$C$6),ABS($X1951/100-Settings!$G$6))&lt;=MIN(ABS($X1951/100-Settings!$C$7),ABS($X1951/100-Settings!$G$7)),1,0))))</f>
        <v/>
      </c>
      <c r="AC1951">
        <f>IF($Z1951=1,IFERROR(IF(VALUE($B1951)&lt;100000000,VALUE($B1951),1000000000),IFERROR(IF(VALUE(MID($B1951,2,20))&lt;100000000,VALUE(MID($B1951,2,20)),1000000000),1000000000))+ROW()/100000,"")</f>
        <v/>
      </c>
    </row>
    <row r="1952">
      <c r="A1952">
        <f>IF($B1952="","",IFERROR(IF(INDEX('Per Invoice'!$A$2:$A$801,MATCH($B1952,'Per Invoice'!$B$2:$B$801,0))=0,"",INDEX('Per Invoice'!$A$2:$A$801,MATCH($B1952,'Per Invoice'!$B$2:$B$801,0))),""))</f>
        <v/>
      </c>
      <c r="J1952" s="7">
        <f>IF($B1952="","",I1952*Q1952/100)</f>
        <v/>
      </c>
      <c r="N1952" s="7" t="n"/>
      <c r="O1952" s="7" t="n"/>
      <c r="P1952" s="7">
        <f>IF($B1952="","",O1952*X1952/100)</f>
        <v/>
      </c>
      <c r="Q1952" s="7">
        <f>IF($B1952="","",O1952-P1952)</f>
        <v/>
      </c>
      <c r="R1952" s="7">
        <f>IF($B1952="","",Q1952-J1952)</f>
        <v/>
      </c>
      <c r="S1952" s="7" t="n"/>
      <c r="T1952" s="7" t="n"/>
      <c r="V1952" s="14" t="n"/>
      <c r="Z1952">
        <f>IF($B1952="","",IF(COUNTIF($B$2:$B1952,$B1952)=1,1,0))</f>
        <v/>
      </c>
      <c r="AA1952">
        <f>IF($Z1952=1,SUMPRODUCT(--($AC$2:$AC$3001&lt;$AC1952))+1,"")</f>
        <v/>
      </c>
      <c r="AB1952">
        <f>IF($B1952="","",IF(OR($Y1952=TRUE(),$Y1952="TRUE"),1,IF(AND($Y1952&lt;&gt;"",OR($Y1952=FALSE(),$Y1952="FALSE")),0,IF(MIN(ABS($X1952/100-Settings!$C$6),ABS($X1952/100-Settings!$G$6))&lt;=MIN(ABS($X1952/100-Settings!$C$7),ABS($X1952/100-Settings!$G$7)),1,0))))</f>
        <v/>
      </c>
      <c r="AC1952">
        <f>IF($Z1952=1,IFERROR(IF(VALUE($B1952)&lt;100000000,VALUE($B1952),1000000000),IFERROR(IF(VALUE(MID($B1952,2,20))&lt;100000000,VALUE(MID($B1952,2,20)),1000000000),1000000000))+ROW()/100000,"")</f>
        <v/>
      </c>
    </row>
    <row r="1953">
      <c r="A1953">
        <f>IF($B1953="","",IFERROR(IF(INDEX('Per Invoice'!$A$2:$A$801,MATCH($B1953,'Per Invoice'!$B$2:$B$801,0))=0,"",INDEX('Per Invoice'!$A$2:$A$801,MATCH($B1953,'Per Invoice'!$B$2:$B$801,0))),""))</f>
        <v/>
      </c>
      <c r="J1953" s="7">
        <f>IF($B1953="","",I1953*Q1953/100)</f>
        <v/>
      </c>
      <c r="N1953" s="7" t="n"/>
      <c r="O1953" s="7" t="n"/>
      <c r="P1953" s="7">
        <f>IF($B1953="","",O1953*X1953/100)</f>
        <v/>
      </c>
      <c r="Q1953" s="7">
        <f>IF($B1953="","",O1953-P1953)</f>
        <v/>
      </c>
      <c r="R1953" s="7">
        <f>IF($B1953="","",Q1953-J1953)</f>
        <v/>
      </c>
      <c r="S1953" s="7" t="n"/>
      <c r="T1953" s="7" t="n"/>
      <c r="V1953" s="14" t="n"/>
      <c r="Z1953">
        <f>IF($B1953="","",IF(COUNTIF($B$2:$B1953,$B1953)=1,1,0))</f>
        <v/>
      </c>
      <c r="AA1953">
        <f>IF($Z1953=1,SUMPRODUCT(--($AC$2:$AC$3001&lt;$AC1953))+1,"")</f>
        <v/>
      </c>
      <c r="AB1953">
        <f>IF($B1953="","",IF(OR($Y1953=TRUE(),$Y1953="TRUE"),1,IF(AND($Y1953&lt;&gt;"",OR($Y1953=FALSE(),$Y1953="FALSE")),0,IF(MIN(ABS($X1953/100-Settings!$C$6),ABS($X1953/100-Settings!$G$6))&lt;=MIN(ABS($X1953/100-Settings!$C$7),ABS($X1953/100-Settings!$G$7)),1,0))))</f>
        <v/>
      </c>
      <c r="AC1953">
        <f>IF($Z1953=1,IFERROR(IF(VALUE($B1953)&lt;100000000,VALUE($B1953),1000000000),IFERROR(IF(VALUE(MID($B1953,2,20))&lt;100000000,VALUE(MID($B1953,2,20)),1000000000),1000000000))+ROW()/100000,"")</f>
        <v/>
      </c>
    </row>
    <row r="1954">
      <c r="A1954">
        <f>IF($B1954="","",IFERROR(IF(INDEX('Per Invoice'!$A$2:$A$801,MATCH($B1954,'Per Invoice'!$B$2:$B$801,0))=0,"",INDEX('Per Invoice'!$A$2:$A$801,MATCH($B1954,'Per Invoice'!$B$2:$B$801,0))),""))</f>
        <v/>
      </c>
      <c r="J1954" s="7">
        <f>IF($B1954="","",I1954*Q1954/100)</f>
        <v/>
      </c>
      <c r="N1954" s="7" t="n"/>
      <c r="O1954" s="7" t="n"/>
      <c r="P1954" s="7">
        <f>IF($B1954="","",O1954*X1954/100)</f>
        <v/>
      </c>
      <c r="Q1954" s="7">
        <f>IF($B1954="","",O1954-P1954)</f>
        <v/>
      </c>
      <c r="R1954" s="7">
        <f>IF($B1954="","",Q1954-J1954)</f>
        <v/>
      </c>
      <c r="S1954" s="7" t="n"/>
      <c r="T1954" s="7" t="n"/>
      <c r="V1954" s="14" t="n"/>
      <c r="Z1954">
        <f>IF($B1954="","",IF(COUNTIF($B$2:$B1954,$B1954)=1,1,0))</f>
        <v/>
      </c>
      <c r="AA1954">
        <f>IF($Z1954=1,SUMPRODUCT(--($AC$2:$AC$3001&lt;$AC1954))+1,"")</f>
        <v/>
      </c>
      <c r="AB1954">
        <f>IF($B1954="","",IF(OR($Y1954=TRUE(),$Y1954="TRUE"),1,IF(AND($Y1954&lt;&gt;"",OR($Y1954=FALSE(),$Y1954="FALSE")),0,IF(MIN(ABS($X1954/100-Settings!$C$6),ABS($X1954/100-Settings!$G$6))&lt;=MIN(ABS($X1954/100-Settings!$C$7),ABS($X1954/100-Settings!$G$7)),1,0))))</f>
        <v/>
      </c>
      <c r="AC1954">
        <f>IF($Z1954=1,IFERROR(IF(VALUE($B1954)&lt;100000000,VALUE($B1954),1000000000),IFERROR(IF(VALUE(MID($B1954,2,20))&lt;100000000,VALUE(MID($B1954,2,20)),1000000000),1000000000))+ROW()/100000,"")</f>
        <v/>
      </c>
    </row>
    <row r="1955">
      <c r="A1955">
        <f>IF($B1955="","",IFERROR(IF(INDEX('Per Invoice'!$A$2:$A$801,MATCH($B1955,'Per Invoice'!$B$2:$B$801,0))=0,"",INDEX('Per Invoice'!$A$2:$A$801,MATCH($B1955,'Per Invoice'!$B$2:$B$801,0))),""))</f>
        <v/>
      </c>
      <c r="J1955" s="7">
        <f>IF($B1955="","",I1955*Q1955/100)</f>
        <v/>
      </c>
      <c r="N1955" s="7" t="n"/>
      <c r="O1955" s="7" t="n"/>
      <c r="P1955" s="7">
        <f>IF($B1955="","",O1955*X1955/100)</f>
        <v/>
      </c>
      <c r="Q1955" s="7">
        <f>IF($B1955="","",O1955-P1955)</f>
        <v/>
      </c>
      <c r="R1955" s="7">
        <f>IF($B1955="","",Q1955-J1955)</f>
        <v/>
      </c>
      <c r="S1955" s="7" t="n"/>
      <c r="T1955" s="7" t="n"/>
      <c r="V1955" s="14" t="n"/>
      <c r="Z1955">
        <f>IF($B1955="","",IF(COUNTIF($B$2:$B1955,$B1955)=1,1,0))</f>
        <v/>
      </c>
      <c r="AA1955">
        <f>IF($Z1955=1,SUMPRODUCT(--($AC$2:$AC$3001&lt;$AC1955))+1,"")</f>
        <v/>
      </c>
      <c r="AB1955">
        <f>IF($B1955="","",IF(OR($Y1955=TRUE(),$Y1955="TRUE"),1,IF(AND($Y1955&lt;&gt;"",OR($Y1955=FALSE(),$Y1955="FALSE")),0,IF(MIN(ABS($X1955/100-Settings!$C$6),ABS($X1955/100-Settings!$G$6))&lt;=MIN(ABS($X1955/100-Settings!$C$7),ABS($X1955/100-Settings!$G$7)),1,0))))</f>
        <v/>
      </c>
      <c r="AC1955">
        <f>IF($Z1955=1,IFERROR(IF(VALUE($B1955)&lt;100000000,VALUE($B1955),1000000000),IFERROR(IF(VALUE(MID($B1955,2,20))&lt;100000000,VALUE(MID($B1955,2,20)),1000000000),1000000000))+ROW()/100000,"")</f>
        <v/>
      </c>
    </row>
    <row r="1956">
      <c r="A1956">
        <f>IF($B1956="","",IFERROR(IF(INDEX('Per Invoice'!$A$2:$A$801,MATCH($B1956,'Per Invoice'!$B$2:$B$801,0))=0,"",INDEX('Per Invoice'!$A$2:$A$801,MATCH($B1956,'Per Invoice'!$B$2:$B$801,0))),""))</f>
        <v/>
      </c>
      <c r="J1956" s="7">
        <f>IF($B1956="","",I1956*Q1956/100)</f>
        <v/>
      </c>
      <c r="N1956" s="7" t="n"/>
      <c r="O1956" s="7" t="n"/>
      <c r="P1956" s="7">
        <f>IF($B1956="","",O1956*X1956/100)</f>
        <v/>
      </c>
      <c r="Q1956" s="7">
        <f>IF($B1956="","",O1956-P1956)</f>
        <v/>
      </c>
      <c r="R1956" s="7">
        <f>IF($B1956="","",Q1956-J1956)</f>
        <v/>
      </c>
      <c r="S1956" s="7" t="n"/>
      <c r="T1956" s="7" t="n"/>
      <c r="V1956" s="14" t="n"/>
      <c r="Z1956">
        <f>IF($B1956="","",IF(COUNTIF($B$2:$B1956,$B1956)=1,1,0))</f>
        <v/>
      </c>
      <c r="AA1956">
        <f>IF($Z1956=1,SUMPRODUCT(--($AC$2:$AC$3001&lt;$AC1956))+1,"")</f>
        <v/>
      </c>
      <c r="AB1956">
        <f>IF($B1956="","",IF(OR($Y1956=TRUE(),$Y1956="TRUE"),1,IF(AND($Y1956&lt;&gt;"",OR($Y1956=FALSE(),$Y1956="FALSE")),0,IF(MIN(ABS($X1956/100-Settings!$C$6),ABS($X1956/100-Settings!$G$6))&lt;=MIN(ABS($X1956/100-Settings!$C$7),ABS($X1956/100-Settings!$G$7)),1,0))))</f>
        <v/>
      </c>
      <c r="AC1956">
        <f>IF($Z1956=1,IFERROR(IF(VALUE($B1956)&lt;100000000,VALUE($B1956),1000000000),IFERROR(IF(VALUE(MID($B1956,2,20))&lt;100000000,VALUE(MID($B1956,2,20)),1000000000),1000000000))+ROW()/100000,"")</f>
        <v/>
      </c>
    </row>
    <row r="1957">
      <c r="A1957">
        <f>IF($B1957="","",IFERROR(IF(INDEX('Per Invoice'!$A$2:$A$801,MATCH($B1957,'Per Invoice'!$B$2:$B$801,0))=0,"",INDEX('Per Invoice'!$A$2:$A$801,MATCH($B1957,'Per Invoice'!$B$2:$B$801,0))),""))</f>
        <v/>
      </c>
      <c r="J1957" s="7">
        <f>IF($B1957="","",I1957*Q1957/100)</f>
        <v/>
      </c>
      <c r="N1957" s="7" t="n"/>
      <c r="O1957" s="7" t="n"/>
      <c r="P1957" s="7">
        <f>IF($B1957="","",O1957*X1957/100)</f>
        <v/>
      </c>
      <c r="Q1957" s="7">
        <f>IF($B1957="","",O1957-P1957)</f>
        <v/>
      </c>
      <c r="R1957" s="7">
        <f>IF($B1957="","",Q1957-J1957)</f>
        <v/>
      </c>
      <c r="S1957" s="7" t="n"/>
      <c r="T1957" s="7" t="n"/>
      <c r="V1957" s="14" t="n"/>
      <c r="Z1957">
        <f>IF($B1957="","",IF(COUNTIF($B$2:$B1957,$B1957)=1,1,0))</f>
        <v/>
      </c>
      <c r="AA1957">
        <f>IF($Z1957=1,SUMPRODUCT(--($AC$2:$AC$3001&lt;$AC1957))+1,"")</f>
        <v/>
      </c>
      <c r="AB1957">
        <f>IF($B1957="","",IF(OR($Y1957=TRUE(),$Y1957="TRUE"),1,IF(AND($Y1957&lt;&gt;"",OR($Y1957=FALSE(),$Y1957="FALSE")),0,IF(MIN(ABS($X1957/100-Settings!$C$6),ABS($X1957/100-Settings!$G$6))&lt;=MIN(ABS($X1957/100-Settings!$C$7),ABS($X1957/100-Settings!$G$7)),1,0))))</f>
        <v/>
      </c>
      <c r="AC1957">
        <f>IF($Z1957=1,IFERROR(IF(VALUE($B1957)&lt;100000000,VALUE($B1957),1000000000),IFERROR(IF(VALUE(MID($B1957,2,20))&lt;100000000,VALUE(MID($B1957,2,20)),1000000000),1000000000))+ROW()/100000,"")</f>
        <v/>
      </c>
    </row>
    <row r="1958">
      <c r="A1958">
        <f>IF($B1958="","",IFERROR(IF(INDEX('Per Invoice'!$A$2:$A$801,MATCH($B1958,'Per Invoice'!$B$2:$B$801,0))=0,"",INDEX('Per Invoice'!$A$2:$A$801,MATCH($B1958,'Per Invoice'!$B$2:$B$801,0))),""))</f>
        <v/>
      </c>
      <c r="J1958" s="7">
        <f>IF($B1958="","",I1958*Q1958/100)</f>
        <v/>
      </c>
      <c r="N1958" s="7" t="n"/>
      <c r="O1958" s="7" t="n"/>
      <c r="P1958" s="7">
        <f>IF($B1958="","",O1958*X1958/100)</f>
        <v/>
      </c>
      <c r="Q1958" s="7">
        <f>IF($B1958="","",O1958-P1958)</f>
        <v/>
      </c>
      <c r="R1958" s="7">
        <f>IF($B1958="","",Q1958-J1958)</f>
        <v/>
      </c>
      <c r="S1958" s="7" t="n"/>
      <c r="T1958" s="7" t="n"/>
      <c r="V1958" s="14" t="n"/>
      <c r="Z1958">
        <f>IF($B1958="","",IF(COUNTIF($B$2:$B1958,$B1958)=1,1,0))</f>
        <v/>
      </c>
      <c r="AA1958">
        <f>IF($Z1958=1,SUMPRODUCT(--($AC$2:$AC$3001&lt;$AC1958))+1,"")</f>
        <v/>
      </c>
      <c r="AB1958">
        <f>IF($B1958="","",IF(OR($Y1958=TRUE(),$Y1958="TRUE"),1,IF(AND($Y1958&lt;&gt;"",OR($Y1958=FALSE(),$Y1958="FALSE")),0,IF(MIN(ABS($X1958/100-Settings!$C$6),ABS($X1958/100-Settings!$G$6))&lt;=MIN(ABS($X1958/100-Settings!$C$7),ABS($X1958/100-Settings!$G$7)),1,0))))</f>
        <v/>
      </c>
      <c r="AC1958">
        <f>IF($Z1958=1,IFERROR(IF(VALUE($B1958)&lt;100000000,VALUE($B1958),1000000000),IFERROR(IF(VALUE(MID($B1958,2,20))&lt;100000000,VALUE(MID($B1958,2,20)),1000000000),1000000000))+ROW()/100000,"")</f>
        <v/>
      </c>
    </row>
    <row r="1959">
      <c r="A1959">
        <f>IF($B1959="","",IFERROR(IF(INDEX('Per Invoice'!$A$2:$A$801,MATCH($B1959,'Per Invoice'!$B$2:$B$801,0))=0,"",INDEX('Per Invoice'!$A$2:$A$801,MATCH($B1959,'Per Invoice'!$B$2:$B$801,0))),""))</f>
        <v/>
      </c>
      <c r="J1959" s="7">
        <f>IF($B1959="","",I1959*Q1959/100)</f>
        <v/>
      </c>
      <c r="N1959" s="7" t="n"/>
      <c r="O1959" s="7" t="n"/>
      <c r="P1959" s="7">
        <f>IF($B1959="","",O1959*X1959/100)</f>
        <v/>
      </c>
      <c r="Q1959" s="7">
        <f>IF($B1959="","",O1959-P1959)</f>
        <v/>
      </c>
      <c r="R1959" s="7">
        <f>IF($B1959="","",Q1959-J1959)</f>
        <v/>
      </c>
      <c r="S1959" s="7" t="n"/>
      <c r="T1959" s="7" t="n"/>
      <c r="V1959" s="14" t="n"/>
      <c r="Z1959">
        <f>IF($B1959="","",IF(COUNTIF($B$2:$B1959,$B1959)=1,1,0))</f>
        <v/>
      </c>
      <c r="AA1959">
        <f>IF($Z1959=1,SUMPRODUCT(--($AC$2:$AC$3001&lt;$AC1959))+1,"")</f>
        <v/>
      </c>
      <c r="AB1959">
        <f>IF($B1959="","",IF(OR($Y1959=TRUE(),$Y1959="TRUE"),1,IF(AND($Y1959&lt;&gt;"",OR($Y1959=FALSE(),$Y1959="FALSE")),0,IF(MIN(ABS($X1959/100-Settings!$C$6),ABS($X1959/100-Settings!$G$6))&lt;=MIN(ABS($X1959/100-Settings!$C$7),ABS($X1959/100-Settings!$G$7)),1,0))))</f>
        <v/>
      </c>
      <c r="AC1959">
        <f>IF($Z1959=1,IFERROR(IF(VALUE($B1959)&lt;100000000,VALUE($B1959),1000000000),IFERROR(IF(VALUE(MID($B1959,2,20))&lt;100000000,VALUE(MID($B1959,2,20)),1000000000),1000000000))+ROW()/100000,"")</f>
        <v/>
      </c>
    </row>
    <row r="1960">
      <c r="A1960">
        <f>IF($B1960="","",IFERROR(IF(INDEX('Per Invoice'!$A$2:$A$801,MATCH($B1960,'Per Invoice'!$B$2:$B$801,0))=0,"",INDEX('Per Invoice'!$A$2:$A$801,MATCH($B1960,'Per Invoice'!$B$2:$B$801,0))),""))</f>
        <v/>
      </c>
      <c r="J1960" s="7">
        <f>IF($B1960="","",I1960*Q1960/100)</f>
        <v/>
      </c>
      <c r="N1960" s="7" t="n"/>
      <c r="O1960" s="7" t="n"/>
      <c r="P1960" s="7">
        <f>IF($B1960="","",O1960*X1960/100)</f>
        <v/>
      </c>
      <c r="Q1960" s="7">
        <f>IF($B1960="","",O1960-P1960)</f>
        <v/>
      </c>
      <c r="R1960" s="7">
        <f>IF($B1960="","",Q1960-J1960)</f>
        <v/>
      </c>
      <c r="S1960" s="7" t="n"/>
      <c r="T1960" s="7" t="n"/>
      <c r="V1960" s="14" t="n"/>
      <c r="Z1960">
        <f>IF($B1960="","",IF(COUNTIF($B$2:$B1960,$B1960)=1,1,0))</f>
        <v/>
      </c>
      <c r="AA1960">
        <f>IF($Z1960=1,SUMPRODUCT(--($AC$2:$AC$3001&lt;$AC1960))+1,"")</f>
        <v/>
      </c>
      <c r="AB1960">
        <f>IF($B1960="","",IF(OR($Y1960=TRUE(),$Y1960="TRUE"),1,IF(AND($Y1960&lt;&gt;"",OR($Y1960=FALSE(),$Y1960="FALSE")),0,IF(MIN(ABS($X1960/100-Settings!$C$6),ABS($X1960/100-Settings!$G$6))&lt;=MIN(ABS($X1960/100-Settings!$C$7),ABS($X1960/100-Settings!$G$7)),1,0))))</f>
        <v/>
      </c>
      <c r="AC1960">
        <f>IF($Z1960=1,IFERROR(IF(VALUE($B1960)&lt;100000000,VALUE($B1960),1000000000),IFERROR(IF(VALUE(MID($B1960,2,20))&lt;100000000,VALUE(MID($B1960,2,20)),1000000000),1000000000))+ROW()/100000,"")</f>
        <v/>
      </c>
    </row>
    <row r="1961">
      <c r="A1961">
        <f>IF($B1961="","",IFERROR(IF(INDEX('Per Invoice'!$A$2:$A$801,MATCH($B1961,'Per Invoice'!$B$2:$B$801,0))=0,"",INDEX('Per Invoice'!$A$2:$A$801,MATCH($B1961,'Per Invoice'!$B$2:$B$801,0))),""))</f>
        <v/>
      </c>
      <c r="J1961" s="7">
        <f>IF($B1961="","",I1961*Q1961/100)</f>
        <v/>
      </c>
      <c r="N1961" s="7" t="n"/>
      <c r="O1961" s="7" t="n"/>
      <c r="P1961" s="7">
        <f>IF($B1961="","",O1961*X1961/100)</f>
        <v/>
      </c>
      <c r="Q1961" s="7">
        <f>IF($B1961="","",O1961-P1961)</f>
        <v/>
      </c>
      <c r="R1961" s="7">
        <f>IF($B1961="","",Q1961-J1961)</f>
        <v/>
      </c>
      <c r="S1961" s="7" t="n"/>
      <c r="T1961" s="7" t="n"/>
      <c r="V1961" s="14" t="n"/>
      <c r="Z1961">
        <f>IF($B1961="","",IF(COUNTIF($B$2:$B1961,$B1961)=1,1,0))</f>
        <v/>
      </c>
      <c r="AA1961">
        <f>IF($Z1961=1,SUMPRODUCT(--($AC$2:$AC$3001&lt;$AC1961))+1,"")</f>
        <v/>
      </c>
      <c r="AB1961">
        <f>IF($B1961="","",IF(OR($Y1961=TRUE(),$Y1961="TRUE"),1,IF(AND($Y1961&lt;&gt;"",OR($Y1961=FALSE(),$Y1961="FALSE")),0,IF(MIN(ABS($X1961/100-Settings!$C$6),ABS($X1961/100-Settings!$G$6))&lt;=MIN(ABS($X1961/100-Settings!$C$7),ABS($X1961/100-Settings!$G$7)),1,0))))</f>
        <v/>
      </c>
      <c r="AC1961">
        <f>IF($Z1961=1,IFERROR(IF(VALUE($B1961)&lt;100000000,VALUE($B1961),1000000000),IFERROR(IF(VALUE(MID($B1961,2,20))&lt;100000000,VALUE(MID($B1961,2,20)),1000000000),1000000000))+ROW()/100000,"")</f>
        <v/>
      </c>
    </row>
    <row r="1962">
      <c r="A1962">
        <f>IF($B1962="","",IFERROR(IF(INDEX('Per Invoice'!$A$2:$A$801,MATCH($B1962,'Per Invoice'!$B$2:$B$801,0))=0,"",INDEX('Per Invoice'!$A$2:$A$801,MATCH($B1962,'Per Invoice'!$B$2:$B$801,0))),""))</f>
        <v/>
      </c>
      <c r="J1962" s="7">
        <f>IF($B1962="","",I1962*Q1962/100)</f>
        <v/>
      </c>
      <c r="N1962" s="7" t="n"/>
      <c r="O1962" s="7" t="n"/>
      <c r="P1962" s="7">
        <f>IF($B1962="","",O1962*X1962/100)</f>
        <v/>
      </c>
      <c r="Q1962" s="7">
        <f>IF($B1962="","",O1962-P1962)</f>
        <v/>
      </c>
      <c r="R1962" s="7">
        <f>IF($B1962="","",Q1962-J1962)</f>
        <v/>
      </c>
      <c r="S1962" s="7" t="n"/>
      <c r="T1962" s="7" t="n"/>
      <c r="V1962" s="14" t="n"/>
      <c r="Z1962">
        <f>IF($B1962="","",IF(COUNTIF($B$2:$B1962,$B1962)=1,1,0))</f>
        <v/>
      </c>
      <c r="AA1962">
        <f>IF($Z1962=1,SUMPRODUCT(--($AC$2:$AC$3001&lt;$AC1962))+1,"")</f>
        <v/>
      </c>
      <c r="AB1962">
        <f>IF($B1962="","",IF(OR($Y1962=TRUE(),$Y1962="TRUE"),1,IF(AND($Y1962&lt;&gt;"",OR($Y1962=FALSE(),$Y1962="FALSE")),0,IF(MIN(ABS($X1962/100-Settings!$C$6),ABS($X1962/100-Settings!$G$6))&lt;=MIN(ABS($X1962/100-Settings!$C$7),ABS($X1962/100-Settings!$G$7)),1,0))))</f>
        <v/>
      </c>
      <c r="AC1962">
        <f>IF($Z1962=1,IFERROR(IF(VALUE($B1962)&lt;100000000,VALUE($B1962),1000000000),IFERROR(IF(VALUE(MID($B1962,2,20))&lt;100000000,VALUE(MID($B1962,2,20)),1000000000),1000000000))+ROW()/100000,"")</f>
        <v/>
      </c>
    </row>
    <row r="1963">
      <c r="A1963">
        <f>IF($B1963="","",IFERROR(IF(INDEX('Per Invoice'!$A$2:$A$801,MATCH($B1963,'Per Invoice'!$B$2:$B$801,0))=0,"",INDEX('Per Invoice'!$A$2:$A$801,MATCH($B1963,'Per Invoice'!$B$2:$B$801,0))),""))</f>
        <v/>
      </c>
      <c r="J1963" s="7">
        <f>IF($B1963="","",I1963*Q1963/100)</f>
        <v/>
      </c>
      <c r="N1963" s="7" t="n"/>
      <c r="O1963" s="7" t="n"/>
      <c r="P1963" s="7">
        <f>IF($B1963="","",O1963*X1963/100)</f>
        <v/>
      </c>
      <c r="Q1963" s="7">
        <f>IF($B1963="","",O1963-P1963)</f>
        <v/>
      </c>
      <c r="R1963" s="7">
        <f>IF($B1963="","",Q1963-J1963)</f>
        <v/>
      </c>
      <c r="S1963" s="7" t="n"/>
      <c r="T1963" s="7" t="n"/>
      <c r="V1963" s="14" t="n"/>
      <c r="Z1963">
        <f>IF($B1963="","",IF(COUNTIF($B$2:$B1963,$B1963)=1,1,0))</f>
        <v/>
      </c>
      <c r="AA1963">
        <f>IF($Z1963=1,SUMPRODUCT(--($AC$2:$AC$3001&lt;$AC1963))+1,"")</f>
        <v/>
      </c>
      <c r="AB1963">
        <f>IF($B1963="","",IF(OR($Y1963=TRUE(),$Y1963="TRUE"),1,IF(AND($Y1963&lt;&gt;"",OR($Y1963=FALSE(),$Y1963="FALSE")),0,IF(MIN(ABS($X1963/100-Settings!$C$6),ABS($X1963/100-Settings!$G$6))&lt;=MIN(ABS($X1963/100-Settings!$C$7),ABS($X1963/100-Settings!$G$7)),1,0))))</f>
        <v/>
      </c>
      <c r="AC1963">
        <f>IF($Z1963=1,IFERROR(IF(VALUE($B1963)&lt;100000000,VALUE($B1963),1000000000),IFERROR(IF(VALUE(MID($B1963,2,20))&lt;100000000,VALUE(MID($B1963,2,20)),1000000000),1000000000))+ROW()/100000,"")</f>
        <v/>
      </c>
    </row>
    <row r="1964">
      <c r="A1964">
        <f>IF($B1964="","",IFERROR(IF(INDEX('Per Invoice'!$A$2:$A$801,MATCH($B1964,'Per Invoice'!$B$2:$B$801,0))=0,"",INDEX('Per Invoice'!$A$2:$A$801,MATCH($B1964,'Per Invoice'!$B$2:$B$801,0))),""))</f>
        <v/>
      </c>
      <c r="J1964" s="7">
        <f>IF($B1964="","",I1964*Q1964/100)</f>
        <v/>
      </c>
      <c r="N1964" s="7" t="n"/>
      <c r="O1964" s="7" t="n"/>
      <c r="P1964" s="7">
        <f>IF($B1964="","",O1964*X1964/100)</f>
        <v/>
      </c>
      <c r="Q1964" s="7">
        <f>IF($B1964="","",O1964-P1964)</f>
        <v/>
      </c>
      <c r="R1964" s="7">
        <f>IF($B1964="","",Q1964-J1964)</f>
        <v/>
      </c>
      <c r="S1964" s="7" t="n"/>
      <c r="T1964" s="7" t="n"/>
      <c r="V1964" s="14" t="n"/>
      <c r="Z1964">
        <f>IF($B1964="","",IF(COUNTIF($B$2:$B1964,$B1964)=1,1,0))</f>
        <v/>
      </c>
      <c r="AA1964">
        <f>IF($Z1964=1,SUMPRODUCT(--($AC$2:$AC$3001&lt;$AC1964))+1,"")</f>
        <v/>
      </c>
      <c r="AB1964">
        <f>IF($B1964="","",IF(OR($Y1964=TRUE(),$Y1964="TRUE"),1,IF(AND($Y1964&lt;&gt;"",OR($Y1964=FALSE(),$Y1964="FALSE")),0,IF(MIN(ABS($X1964/100-Settings!$C$6),ABS($X1964/100-Settings!$G$6))&lt;=MIN(ABS($X1964/100-Settings!$C$7),ABS($X1964/100-Settings!$G$7)),1,0))))</f>
        <v/>
      </c>
      <c r="AC1964">
        <f>IF($Z1964=1,IFERROR(IF(VALUE($B1964)&lt;100000000,VALUE($B1964),1000000000),IFERROR(IF(VALUE(MID($B1964,2,20))&lt;100000000,VALUE(MID($B1964,2,20)),1000000000),1000000000))+ROW()/100000,"")</f>
        <v/>
      </c>
    </row>
    <row r="1965">
      <c r="A1965">
        <f>IF($B1965="","",IFERROR(IF(INDEX('Per Invoice'!$A$2:$A$801,MATCH($B1965,'Per Invoice'!$B$2:$B$801,0))=0,"",INDEX('Per Invoice'!$A$2:$A$801,MATCH($B1965,'Per Invoice'!$B$2:$B$801,0))),""))</f>
        <v/>
      </c>
      <c r="J1965" s="7">
        <f>IF($B1965="","",I1965*Q1965/100)</f>
        <v/>
      </c>
      <c r="N1965" s="7" t="n"/>
      <c r="O1965" s="7" t="n"/>
      <c r="P1965" s="7">
        <f>IF($B1965="","",O1965*X1965/100)</f>
        <v/>
      </c>
      <c r="Q1965" s="7">
        <f>IF($B1965="","",O1965-P1965)</f>
        <v/>
      </c>
      <c r="R1965" s="7">
        <f>IF($B1965="","",Q1965-J1965)</f>
        <v/>
      </c>
      <c r="S1965" s="7" t="n"/>
      <c r="T1965" s="7" t="n"/>
      <c r="V1965" s="14" t="n"/>
      <c r="Z1965">
        <f>IF($B1965="","",IF(COUNTIF($B$2:$B1965,$B1965)=1,1,0))</f>
        <v/>
      </c>
      <c r="AA1965">
        <f>IF($Z1965=1,SUMPRODUCT(--($AC$2:$AC$3001&lt;$AC1965))+1,"")</f>
        <v/>
      </c>
      <c r="AB1965">
        <f>IF($B1965="","",IF(OR($Y1965=TRUE(),$Y1965="TRUE"),1,IF(AND($Y1965&lt;&gt;"",OR($Y1965=FALSE(),$Y1965="FALSE")),0,IF(MIN(ABS($X1965/100-Settings!$C$6),ABS($X1965/100-Settings!$G$6))&lt;=MIN(ABS($X1965/100-Settings!$C$7),ABS($X1965/100-Settings!$G$7)),1,0))))</f>
        <v/>
      </c>
      <c r="AC1965">
        <f>IF($Z1965=1,IFERROR(IF(VALUE($B1965)&lt;100000000,VALUE($B1965),1000000000),IFERROR(IF(VALUE(MID($B1965,2,20))&lt;100000000,VALUE(MID($B1965,2,20)),1000000000),1000000000))+ROW()/100000,"")</f>
        <v/>
      </c>
    </row>
    <row r="1966">
      <c r="A1966">
        <f>IF($B1966="","",IFERROR(IF(INDEX('Per Invoice'!$A$2:$A$801,MATCH($B1966,'Per Invoice'!$B$2:$B$801,0))=0,"",INDEX('Per Invoice'!$A$2:$A$801,MATCH($B1966,'Per Invoice'!$B$2:$B$801,0))),""))</f>
        <v/>
      </c>
      <c r="J1966" s="7">
        <f>IF($B1966="","",I1966*Q1966/100)</f>
        <v/>
      </c>
      <c r="N1966" s="7" t="n"/>
      <c r="O1966" s="7" t="n"/>
      <c r="P1966" s="7">
        <f>IF($B1966="","",O1966*X1966/100)</f>
        <v/>
      </c>
      <c r="Q1966" s="7">
        <f>IF($B1966="","",O1966-P1966)</f>
        <v/>
      </c>
      <c r="R1966" s="7">
        <f>IF($B1966="","",Q1966-J1966)</f>
        <v/>
      </c>
      <c r="S1966" s="7" t="n"/>
      <c r="T1966" s="7" t="n"/>
      <c r="V1966" s="14" t="n"/>
      <c r="Z1966">
        <f>IF($B1966="","",IF(COUNTIF($B$2:$B1966,$B1966)=1,1,0))</f>
        <v/>
      </c>
      <c r="AA1966">
        <f>IF($Z1966=1,SUMPRODUCT(--($AC$2:$AC$3001&lt;$AC1966))+1,"")</f>
        <v/>
      </c>
      <c r="AB1966">
        <f>IF($B1966="","",IF(OR($Y1966=TRUE(),$Y1966="TRUE"),1,IF(AND($Y1966&lt;&gt;"",OR($Y1966=FALSE(),$Y1966="FALSE")),0,IF(MIN(ABS($X1966/100-Settings!$C$6),ABS($X1966/100-Settings!$G$6))&lt;=MIN(ABS($X1966/100-Settings!$C$7),ABS($X1966/100-Settings!$G$7)),1,0))))</f>
        <v/>
      </c>
      <c r="AC1966">
        <f>IF($Z1966=1,IFERROR(IF(VALUE($B1966)&lt;100000000,VALUE($B1966),1000000000),IFERROR(IF(VALUE(MID($B1966,2,20))&lt;100000000,VALUE(MID($B1966,2,20)),1000000000),1000000000))+ROW()/100000,"")</f>
        <v/>
      </c>
    </row>
    <row r="1967">
      <c r="A1967">
        <f>IF($B1967="","",IFERROR(IF(INDEX('Per Invoice'!$A$2:$A$801,MATCH($B1967,'Per Invoice'!$B$2:$B$801,0))=0,"",INDEX('Per Invoice'!$A$2:$A$801,MATCH($B1967,'Per Invoice'!$B$2:$B$801,0))),""))</f>
        <v/>
      </c>
      <c r="J1967" s="7">
        <f>IF($B1967="","",I1967*Q1967/100)</f>
        <v/>
      </c>
      <c r="N1967" s="7" t="n"/>
      <c r="O1967" s="7" t="n"/>
      <c r="P1967" s="7">
        <f>IF($B1967="","",O1967*X1967/100)</f>
        <v/>
      </c>
      <c r="Q1967" s="7">
        <f>IF($B1967="","",O1967-P1967)</f>
        <v/>
      </c>
      <c r="R1967" s="7">
        <f>IF($B1967="","",Q1967-J1967)</f>
        <v/>
      </c>
      <c r="S1967" s="7" t="n"/>
      <c r="T1967" s="7" t="n"/>
      <c r="V1967" s="14" t="n"/>
      <c r="Z1967">
        <f>IF($B1967="","",IF(COUNTIF($B$2:$B1967,$B1967)=1,1,0))</f>
        <v/>
      </c>
      <c r="AA1967">
        <f>IF($Z1967=1,SUMPRODUCT(--($AC$2:$AC$3001&lt;$AC1967))+1,"")</f>
        <v/>
      </c>
      <c r="AB1967">
        <f>IF($B1967="","",IF(OR($Y1967=TRUE(),$Y1967="TRUE"),1,IF(AND($Y1967&lt;&gt;"",OR($Y1967=FALSE(),$Y1967="FALSE")),0,IF(MIN(ABS($X1967/100-Settings!$C$6),ABS($X1967/100-Settings!$G$6))&lt;=MIN(ABS($X1967/100-Settings!$C$7),ABS($X1967/100-Settings!$G$7)),1,0))))</f>
        <v/>
      </c>
      <c r="AC1967">
        <f>IF($Z1967=1,IFERROR(IF(VALUE($B1967)&lt;100000000,VALUE($B1967),1000000000),IFERROR(IF(VALUE(MID($B1967,2,20))&lt;100000000,VALUE(MID($B1967,2,20)),1000000000),1000000000))+ROW()/100000,"")</f>
        <v/>
      </c>
    </row>
    <row r="1968">
      <c r="A1968">
        <f>IF($B1968="","",IFERROR(IF(INDEX('Per Invoice'!$A$2:$A$801,MATCH($B1968,'Per Invoice'!$B$2:$B$801,0))=0,"",INDEX('Per Invoice'!$A$2:$A$801,MATCH($B1968,'Per Invoice'!$B$2:$B$801,0))),""))</f>
        <v/>
      </c>
      <c r="J1968" s="7">
        <f>IF($B1968="","",I1968*Q1968/100)</f>
        <v/>
      </c>
      <c r="N1968" s="7" t="n"/>
      <c r="O1968" s="7" t="n"/>
      <c r="P1968" s="7">
        <f>IF($B1968="","",O1968*X1968/100)</f>
        <v/>
      </c>
      <c r="Q1968" s="7">
        <f>IF($B1968="","",O1968-P1968)</f>
        <v/>
      </c>
      <c r="R1968" s="7">
        <f>IF($B1968="","",Q1968-J1968)</f>
        <v/>
      </c>
      <c r="S1968" s="7" t="n"/>
      <c r="T1968" s="7" t="n"/>
      <c r="V1968" s="14" t="n"/>
      <c r="Z1968">
        <f>IF($B1968="","",IF(COUNTIF($B$2:$B1968,$B1968)=1,1,0))</f>
        <v/>
      </c>
      <c r="AA1968">
        <f>IF($Z1968=1,SUMPRODUCT(--($AC$2:$AC$3001&lt;$AC1968))+1,"")</f>
        <v/>
      </c>
      <c r="AB1968">
        <f>IF($B1968="","",IF(OR($Y1968=TRUE(),$Y1968="TRUE"),1,IF(AND($Y1968&lt;&gt;"",OR($Y1968=FALSE(),$Y1968="FALSE")),0,IF(MIN(ABS($X1968/100-Settings!$C$6),ABS($X1968/100-Settings!$G$6))&lt;=MIN(ABS($X1968/100-Settings!$C$7),ABS($X1968/100-Settings!$G$7)),1,0))))</f>
        <v/>
      </c>
      <c r="AC1968">
        <f>IF($Z1968=1,IFERROR(IF(VALUE($B1968)&lt;100000000,VALUE($B1968),1000000000),IFERROR(IF(VALUE(MID($B1968,2,20))&lt;100000000,VALUE(MID($B1968,2,20)),1000000000),1000000000))+ROW()/100000,"")</f>
        <v/>
      </c>
    </row>
    <row r="1969">
      <c r="A1969">
        <f>IF($B1969="","",IFERROR(IF(INDEX('Per Invoice'!$A$2:$A$801,MATCH($B1969,'Per Invoice'!$B$2:$B$801,0))=0,"",INDEX('Per Invoice'!$A$2:$A$801,MATCH($B1969,'Per Invoice'!$B$2:$B$801,0))),""))</f>
        <v/>
      </c>
      <c r="J1969" s="7">
        <f>IF($B1969="","",I1969*Q1969/100)</f>
        <v/>
      </c>
      <c r="N1969" s="7" t="n"/>
      <c r="O1969" s="7" t="n"/>
      <c r="P1969" s="7">
        <f>IF($B1969="","",O1969*X1969/100)</f>
        <v/>
      </c>
      <c r="Q1969" s="7">
        <f>IF($B1969="","",O1969-P1969)</f>
        <v/>
      </c>
      <c r="R1969" s="7">
        <f>IF($B1969="","",Q1969-J1969)</f>
        <v/>
      </c>
      <c r="S1969" s="7" t="n"/>
      <c r="T1969" s="7" t="n"/>
      <c r="V1969" s="14" t="n"/>
      <c r="Z1969">
        <f>IF($B1969="","",IF(COUNTIF($B$2:$B1969,$B1969)=1,1,0))</f>
        <v/>
      </c>
      <c r="AA1969">
        <f>IF($Z1969=1,SUMPRODUCT(--($AC$2:$AC$3001&lt;$AC1969))+1,"")</f>
        <v/>
      </c>
      <c r="AB1969">
        <f>IF($B1969="","",IF(OR($Y1969=TRUE(),$Y1969="TRUE"),1,IF(AND($Y1969&lt;&gt;"",OR($Y1969=FALSE(),$Y1969="FALSE")),0,IF(MIN(ABS($X1969/100-Settings!$C$6),ABS($X1969/100-Settings!$G$6))&lt;=MIN(ABS($X1969/100-Settings!$C$7),ABS($X1969/100-Settings!$G$7)),1,0))))</f>
        <v/>
      </c>
      <c r="AC1969">
        <f>IF($Z1969=1,IFERROR(IF(VALUE($B1969)&lt;100000000,VALUE($B1969),1000000000),IFERROR(IF(VALUE(MID($B1969,2,20))&lt;100000000,VALUE(MID($B1969,2,20)),1000000000),1000000000))+ROW()/100000,"")</f>
        <v/>
      </c>
    </row>
    <row r="1970">
      <c r="A1970">
        <f>IF($B1970="","",IFERROR(IF(INDEX('Per Invoice'!$A$2:$A$801,MATCH($B1970,'Per Invoice'!$B$2:$B$801,0))=0,"",INDEX('Per Invoice'!$A$2:$A$801,MATCH($B1970,'Per Invoice'!$B$2:$B$801,0))),""))</f>
        <v/>
      </c>
      <c r="J1970" s="7">
        <f>IF($B1970="","",I1970*Q1970/100)</f>
        <v/>
      </c>
      <c r="N1970" s="7" t="n"/>
      <c r="O1970" s="7" t="n"/>
      <c r="P1970" s="7">
        <f>IF($B1970="","",O1970*X1970/100)</f>
        <v/>
      </c>
      <c r="Q1970" s="7">
        <f>IF($B1970="","",O1970-P1970)</f>
        <v/>
      </c>
      <c r="R1970" s="7">
        <f>IF($B1970="","",Q1970-J1970)</f>
        <v/>
      </c>
      <c r="S1970" s="7" t="n"/>
      <c r="T1970" s="7" t="n"/>
      <c r="V1970" s="14" t="n"/>
      <c r="Z1970">
        <f>IF($B1970="","",IF(COUNTIF($B$2:$B1970,$B1970)=1,1,0))</f>
        <v/>
      </c>
      <c r="AA1970">
        <f>IF($Z1970=1,SUMPRODUCT(--($AC$2:$AC$3001&lt;$AC1970))+1,"")</f>
        <v/>
      </c>
      <c r="AB1970">
        <f>IF($B1970="","",IF(OR($Y1970=TRUE(),$Y1970="TRUE"),1,IF(AND($Y1970&lt;&gt;"",OR($Y1970=FALSE(),$Y1970="FALSE")),0,IF(MIN(ABS($X1970/100-Settings!$C$6),ABS($X1970/100-Settings!$G$6))&lt;=MIN(ABS($X1970/100-Settings!$C$7),ABS($X1970/100-Settings!$G$7)),1,0))))</f>
        <v/>
      </c>
      <c r="AC1970">
        <f>IF($Z1970=1,IFERROR(IF(VALUE($B1970)&lt;100000000,VALUE($B1970),1000000000),IFERROR(IF(VALUE(MID($B1970,2,20))&lt;100000000,VALUE(MID($B1970,2,20)),1000000000),1000000000))+ROW()/100000,"")</f>
        <v/>
      </c>
    </row>
    <row r="1971">
      <c r="A1971">
        <f>IF($B1971="","",IFERROR(IF(INDEX('Per Invoice'!$A$2:$A$801,MATCH($B1971,'Per Invoice'!$B$2:$B$801,0))=0,"",INDEX('Per Invoice'!$A$2:$A$801,MATCH($B1971,'Per Invoice'!$B$2:$B$801,0))),""))</f>
        <v/>
      </c>
      <c r="J1971" s="7">
        <f>IF($B1971="","",I1971*Q1971/100)</f>
        <v/>
      </c>
      <c r="N1971" s="7" t="n"/>
      <c r="O1971" s="7" t="n"/>
      <c r="P1971" s="7">
        <f>IF($B1971="","",O1971*X1971/100)</f>
        <v/>
      </c>
      <c r="Q1971" s="7">
        <f>IF($B1971="","",O1971-P1971)</f>
        <v/>
      </c>
      <c r="R1971" s="7">
        <f>IF($B1971="","",Q1971-J1971)</f>
        <v/>
      </c>
      <c r="S1971" s="7" t="n"/>
      <c r="T1971" s="7" t="n"/>
      <c r="V1971" s="14" t="n"/>
      <c r="Z1971">
        <f>IF($B1971="","",IF(COUNTIF($B$2:$B1971,$B1971)=1,1,0))</f>
        <v/>
      </c>
      <c r="AA1971">
        <f>IF($Z1971=1,SUMPRODUCT(--($AC$2:$AC$3001&lt;$AC1971))+1,"")</f>
        <v/>
      </c>
      <c r="AB1971">
        <f>IF($B1971="","",IF(OR($Y1971=TRUE(),$Y1971="TRUE"),1,IF(AND($Y1971&lt;&gt;"",OR($Y1971=FALSE(),$Y1971="FALSE")),0,IF(MIN(ABS($X1971/100-Settings!$C$6),ABS($X1971/100-Settings!$G$6))&lt;=MIN(ABS($X1971/100-Settings!$C$7),ABS($X1971/100-Settings!$G$7)),1,0))))</f>
        <v/>
      </c>
      <c r="AC1971">
        <f>IF($Z1971=1,IFERROR(IF(VALUE($B1971)&lt;100000000,VALUE($B1971),1000000000),IFERROR(IF(VALUE(MID($B1971,2,20))&lt;100000000,VALUE(MID($B1971,2,20)),1000000000),1000000000))+ROW()/100000,"")</f>
        <v/>
      </c>
    </row>
    <row r="1972">
      <c r="A1972">
        <f>IF($B1972="","",IFERROR(IF(INDEX('Per Invoice'!$A$2:$A$801,MATCH($B1972,'Per Invoice'!$B$2:$B$801,0))=0,"",INDEX('Per Invoice'!$A$2:$A$801,MATCH($B1972,'Per Invoice'!$B$2:$B$801,0))),""))</f>
        <v/>
      </c>
      <c r="J1972" s="7">
        <f>IF($B1972="","",I1972*Q1972/100)</f>
        <v/>
      </c>
      <c r="N1972" s="7" t="n"/>
      <c r="O1972" s="7" t="n"/>
      <c r="P1972" s="7">
        <f>IF($B1972="","",O1972*X1972/100)</f>
        <v/>
      </c>
      <c r="Q1972" s="7">
        <f>IF($B1972="","",O1972-P1972)</f>
        <v/>
      </c>
      <c r="R1972" s="7">
        <f>IF($B1972="","",Q1972-J1972)</f>
        <v/>
      </c>
      <c r="S1972" s="7" t="n"/>
      <c r="T1972" s="7" t="n"/>
      <c r="V1972" s="14" t="n"/>
      <c r="Z1972">
        <f>IF($B1972="","",IF(COUNTIF($B$2:$B1972,$B1972)=1,1,0))</f>
        <v/>
      </c>
      <c r="AA1972">
        <f>IF($Z1972=1,SUMPRODUCT(--($AC$2:$AC$3001&lt;$AC1972))+1,"")</f>
        <v/>
      </c>
      <c r="AB1972">
        <f>IF($B1972="","",IF(OR($Y1972=TRUE(),$Y1972="TRUE"),1,IF(AND($Y1972&lt;&gt;"",OR($Y1972=FALSE(),$Y1972="FALSE")),0,IF(MIN(ABS($X1972/100-Settings!$C$6),ABS($X1972/100-Settings!$G$6))&lt;=MIN(ABS($X1972/100-Settings!$C$7),ABS($X1972/100-Settings!$G$7)),1,0))))</f>
        <v/>
      </c>
      <c r="AC1972">
        <f>IF($Z1972=1,IFERROR(IF(VALUE($B1972)&lt;100000000,VALUE($B1972),1000000000),IFERROR(IF(VALUE(MID($B1972,2,20))&lt;100000000,VALUE(MID($B1972,2,20)),1000000000),1000000000))+ROW()/100000,"")</f>
        <v/>
      </c>
    </row>
    <row r="1973">
      <c r="A1973">
        <f>IF($B1973="","",IFERROR(IF(INDEX('Per Invoice'!$A$2:$A$801,MATCH($B1973,'Per Invoice'!$B$2:$B$801,0))=0,"",INDEX('Per Invoice'!$A$2:$A$801,MATCH($B1973,'Per Invoice'!$B$2:$B$801,0))),""))</f>
        <v/>
      </c>
      <c r="J1973" s="7">
        <f>IF($B1973="","",I1973*Q1973/100)</f>
        <v/>
      </c>
      <c r="N1973" s="7" t="n"/>
      <c r="O1973" s="7" t="n"/>
      <c r="P1973" s="7">
        <f>IF($B1973="","",O1973*X1973/100)</f>
        <v/>
      </c>
      <c r="Q1973" s="7">
        <f>IF($B1973="","",O1973-P1973)</f>
        <v/>
      </c>
      <c r="R1973" s="7">
        <f>IF($B1973="","",Q1973-J1973)</f>
        <v/>
      </c>
      <c r="S1973" s="7" t="n"/>
      <c r="T1973" s="7" t="n"/>
      <c r="V1973" s="14" t="n"/>
      <c r="Z1973">
        <f>IF($B1973="","",IF(COUNTIF($B$2:$B1973,$B1973)=1,1,0))</f>
        <v/>
      </c>
      <c r="AA1973">
        <f>IF($Z1973=1,SUMPRODUCT(--($AC$2:$AC$3001&lt;$AC1973))+1,"")</f>
        <v/>
      </c>
      <c r="AB1973">
        <f>IF($B1973="","",IF(OR($Y1973=TRUE(),$Y1973="TRUE"),1,IF(AND($Y1973&lt;&gt;"",OR($Y1973=FALSE(),$Y1973="FALSE")),0,IF(MIN(ABS($X1973/100-Settings!$C$6),ABS($X1973/100-Settings!$G$6))&lt;=MIN(ABS($X1973/100-Settings!$C$7),ABS($X1973/100-Settings!$G$7)),1,0))))</f>
        <v/>
      </c>
      <c r="AC1973">
        <f>IF($Z1973=1,IFERROR(IF(VALUE($B1973)&lt;100000000,VALUE($B1973),1000000000),IFERROR(IF(VALUE(MID($B1973,2,20))&lt;100000000,VALUE(MID($B1973,2,20)),1000000000),1000000000))+ROW()/100000,"")</f>
        <v/>
      </c>
    </row>
    <row r="1974">
      <c r="A1974">
        <f>IF($B1974="","",IFERROR(IF(INDEX('Per Invoice'!$A$2:$A$801,MATCH($B1974,'Per Invoice'!$B$2:$B$801,0))=0,"",INDEX('Per Invoice'!$A$2:$A$801,MATCH($B1974,'Per Invoice'!$B$2:$B$801,0))),""))</f>
        <v/>
      </c>
      <c r="J1974" s="7">
        <f>IF($B1974="","",I1974*Q1974/100)</f>
        <v/>
      </c>
      <c r="N1974" s="7" t="n"/>
      <c r="O1974" s="7" t="n"/>
      <c r="P1974" s="7">
        <f>IF($B1974="","",O1974*X1974/100)</f>
        <v/>
      </c>
      <c r="Q1974" s="7">
        <f>IF($B1974="","",O1974-P1974)</f>
        <v/>
      </c>
      <c r="R1974" s="7">
        <f>IF($B1974="","",Q1974-J1974)</f>
        <v/>
      </c>
      <c r="S1974" s="7" t="n"/>
      <c r="T1974" s="7" t="n"/>
      <c r="V1974" s="14" t="n"/>
      <c r="Z1974">
        <f>IF($B1974="","",IF(COUNTIF($B$2:$B1974,$B1974)=1,1,0))</f>
        <v/>
      </c>
      <c r="AA1974">
        <f>IF($Z1974=1,SUMPRODUCT(--($AC$2:$AC$3001&lt;$AC1974))+1,"")</f>
        <v/>
      </c>
      <c r="AB1974">
        <f>IF($B1974="","",IF(OR($Y1974=TRUE(),$Y1974="TRUE"),1,IF(AND($Y1974&lt;&gt;"",OR($Y1974=FALSE(),$Y1974="FALSE")),0,IF(MIN(ABS($X1974/100-Settings!$C$6),ABS($X1974/100-Settings!$G$6))&lt;=MIN(ABS($X1974/100-Settings!$C$7),ABS($X1974/100-Settings!$G$7)),1,0))))</f>
        <v/>
      </c>
      <c r="AC1974">
        <f>IF($Z1974=1,IFERROR(IF(VALUE($B1974)&lt;100000000,VALUE($B1974),1000000000),IFERROR(IF(VALUE(MID($B1974,2,20))&lt;100000000,VALUE(MID($B1974,2,20)),1000000000),1000000000))+ROW()/100000,"")</f>
        <v/>
      </c>
    </row>
    <row r="1975">
      <c r="A1975">
        <f>IF($B1975="","",IFERROR(IF(INDEX('Per Invoice'!$A$2:$A$801,MATCH($B1975,'Per Invoice'!$B$2:$B$801,0))=0,"",INDEX('Per Invoice'!$A$2:$A$801,MATCH($B1975,'Per Invoice'!$B$2:$B$801,0))),""))</f>
        <v/>
      </c>
      <c r="J1975" s="7">
        <f>IF($B1975="","",I1975*Q1975/100)</f>
        <v/>
      </c>
      <c r="N1975" s="7" t="n"/>
      <c r="O1975" s="7" t="n"/>
      <c r="P1975" s="7">
        <f>IF($B1975="","",O1975*X1975/100)</f>
        <v/>
      </c>
      <c r="Q1975" s="7">
        <f>IF($B1975="","",O1975-P1975)</f>
        <v/>
      </c>
      <c r="R1975" s="7">
        <f>IF($B1975="","",Q1975-J1975)</f>
        <v/>
      </c>
      <c r="S1975" s="7" t="n"/>
      <c r="T1975" s="7" t="n"/>
      <c r="V1975" s="14" t="n"/>
      <c r="Z1975">
        <f>IF($B1975="","",IF(COUNTIF($B$2:$B1975,$B1975)=1,1,0))</f>
        <v/>
      </c>
      <c r="AA1975">
        <f>IF($Z1975=1,SUMPRODUCT(--($AC$2:$AC$3001&lt;$AC1975))+1,"")</f>
        <v/>
      </c>
      <c r="AB1975">
        <f>IF($B1975="","",IF(OR($Y1975=TRUE(),$Y1975="TRUE"),1,IF(AND($Y1975&lt;&gt;"",OR($Y1975=FALSE(),$Y1975="FALSE")),0,IF(MIN(ABS($X1975/100-Settings!$C$6),ABS($X1975/100-Settings!$G$6))&lt;=MIN(ABS($X1975/100-Settings!$C$7),ABS($X1975/100-Settings!$G$7)),1,0))))</f>
        <v/>
      </c>
      <c r="AC1975">
        <f>IF($Z1975=1,IFERROR(IF(VALUE($B1975)&lt;100000000,VALUE($B1975),1000000000),IFERROR(IF(VALUE(MID($B1975,2,20))&lt;100000000,VALUE(MID($B1975,2,20)),1000000000),1000000000))+ROW()/100000,"")</f>
        <v/>
      </c>
    </row>
    <row r="1976">
      <c r="A1976">
        <f>IF($B1976="","",IFERROR(IF(INDEX('Per Invoice'!$A$2:$A$801,MATCH($B1976,'Per Invoice'!$B$2:$B$801,0))=0,"",INDEX('Per Invoice'!$A$2:$A$801,MATCH($B1976,'Per Invoice'!$B$2:$B$801,0))),""))</f>
        <v/>
      </c>
      <c r="J1976" s="7">
        <f>IF($B1976="","",I1976*Q1976/100)</f>
        <v/>
      </c>
      <c r="N1976" s="7" t="n"/>
      <c r="O1976" s="7" t="n"/>
      <c r="P1976" s="7">
        <f>IF($B1976="","",O1976*X1976/100)</f>
        <v/>
      </c>
      <c r="Q1976" s="7">
        <f>IF($B1976="","",O1976-P1976)</f>
        <v/>
      </c>
      <c r="R1976" s="7">
        <f>IF($B1976="","",Q1976-J1976)</f>
        <v/>
      </c>
      <c r="S1976" s="7" t="n"/>
      <c r="T1976" s="7" t="n"/>
      <c r="V1976" s="14" t="n"/>
      <c r="Z1976">
        <f>IF($B1976="","",IF(COUNTIF($B$2:$B1976,$B1976)=1,1,0))</f>
        <v/>
      </c>
      <c r="AA1976">
        <f>IF($Z1976=1,SUMPRODUCT(--($AC$2:$AC$3001&lt;$AC1976))+1,"")</f>
        <v/>
      </c>
      <c r="AB1976">
        <f>IF($B1976="","",IF(OR($Y1976=TRUE(),$Y1976="TRUE"),1,IF(AND($Y1976&lt;&gt;"",OR($Y1976=FALSE(),$Y1976="FALSE")),0,IF(MIN(ABS($X1976/100-Settings!$C$6),ABS($X1976/100-Settings!$G$6))&lt;=MIN(ABS($X1976/100-Settings!$C$7),ABS($X1976/100-Settings!$G$7)),1,0))))</f>
        <v/>
      </c>
      <c r="AC1976">
        <f>IF($Z1976=1,IFERROR(IF(VALUE($B1976)&lt;100000000,VALUE($B1976),1000000000),IFERROR(IF(VALUE(MID($B1976,2,20))&lt;100000000,VALUE(MID($B1976,2,20)),1000000000),1000000000))+ROW()/100000,"")</f>
        <v/>
      </c>
    </row>
    <row r="1977">
      <c r="A1977">
        <f>IF($B1977="","",IFERROR(IF(INDEX('Per Invoice'!$A$2:$A$801,MATCH($B1977,'Per Invoice'!$B$2:$B$801,0))=0,"",INDEX('Per Invoice'!$A$2:$A$801,MATCH($B1977,'Per Invoice'!$B$2:$B$801,0))),""))</f>
        <v/>
      </c>
      <c r="J1977" s="7">
        <f>IF($B1977="","",I1977*Q1977/100)</f>
        <v/>
      </c>
      <c r="N1977" s="7" t="n"/>
      <c r="O1977" s="7" t="n"/>
      <c r="P1977" s="7">
        <f>IF($B1977="","",O1977*X1977/100)</f>
        <v/>
      </c>
      <c r="Q1977" s="7">
        <f>IF($B1977="","",O1977-P1977)</f>
        <v/>
      </c>
      <c r="R1977" s="7">
        <f>IF($B1977="","",Q1977-J1977)</f>
        <v/>
      </c>
      <c r="S1977" s="7" t="n"/>
      <c r="T1977" s="7" t="n"/>
      <c r="V1977" s="14" t="n"/>
      <c r="Z1977">
        <f>IF($B1977="","",IF(COUNTIF($B$2:$B1977,$B1977)=1,1,0))</f>
        <v/>
      </c>
      <c r="AA1977">
        <f>IF($Z1977=1,SUMPRODUCT(--($AC$2:$AC$3001&lt;$AC1977))+1,"")</f>
        <v/>
      </c>
      <c r="AB1977">
        <f>IF($B1977="","",IF(OR($Y1977=TRUE(),$Y1977="TRUE"),1,IF(AND($Y1977&lt;&gt;"",OR($Y1977=FALSE(),$Y1977="FALSE")),0,IF(MIN(ABS($X1977/100-Settings!$C$6),ABS($X1977/100-Settings!$G$6))&lt;=MIN(ABS($X1977/100-Settings!$C$7),ABS($X1977/100-Settings!$G$7)),1,0))))</f>
        <v/>
      </c>
      <c r="AC1977">
        <f>IF($Z1977=1,IFERROR(IF(VALUE($B1977)&lt;100000000,VALUE($B1977),1000000000),IFERROR(IF(VALUE(MID($B1977,2,20))&lt;100000000,VALUE(MID($B1977,2,20)),1000000000),1000000000))+ROW()/100000,"")</f>
        <v/>
      </c>
    </row>
    <row r="1978">
      <c r="A1978">
        <f>IF($B1978="","",IFERROR(IF(INDEX('Per Invoice'!$A$2:$A$801,MATCH($B1978,'Per Invoice'!$B$2:$B$801,0))=0,"",INDEX('Per Invoice'!$A$2:$A$801,MATCH($B1978,'Per Invoice'!$B$2:$B$801,0))),""))</f>
        <v/>
      </c>
      <c r="J1978" s="7">
        <f>IF($B1978="","",I1978*Q1978/100)</f>
        <v/>
      </c>
      <c r="N1978" s="7" t="n"/>
      <c r="O1978" s="7" t="n"/>
      <c r="P1978" s="7">
        <f>IF($B1978="","",O1978*X1978/100)</f>
        <v/>
      </c>
      <c r="Q1978" s="7">
        <f>IF($B1978="","",O1978-P1978)</f>
        <v/>
      </c>
      <c r="R1978" s="7">
        <f>IF($B1978="","",Q1978-J1978)</f>
        <v/>
      </c>
      <c r="S1978" s="7" t="n"/>
      <c r="T1978" s="7" t="n"/>
      <c r="V1978" s="14" t="n"/>
      <c r="Z1978">
        <f>IF($B1978="","",IF(COUNTIF($B$2:$B1978,$B1978)=1,1,0))</f>
        <v/>
      </c>
      <c r="AA1978">
        <f>IF($Z1978=1,SUMPRODUCT(--($AC$2:$AC$3001&lt;$AC1978))+1,"")</f>
        <v/>
      </c>
      <c r="AB1978">
        <f>IF($B1978="","",IF(OR($Y1978=TRUE(),$Y1978="TRUE"),1,IF(AND($Y1978&lt;&gt;"",OR($Y1978=FALSE(),$Y1978="FALSE")),0,IF(MIN(ABS($X1978/100-Settings!$C$6),ABS($X1978/100-Settings!$G$6))&lt;=MIN(ABS($X1978/100-Settings!$C$7),ABS($X1978/100-Settings!$G$7)),1,0))))</f>
        <v/>
      </c>
      <c r="AC1978">
        <f>IF($Z1978=1,IFERROR(IF(VALUE($B1978)&lt;100000000,VALUE($B1978),1000000000),IFERROR(IF(VALUE(MID($B1978,2,20))&lt;100000000,VALUE(MID($B1978,2,20)),1000000000),1000000000))+ROW()/100000,"")</f>
        <v/>
      </c>
    </row>
    <row r="1979">
      <c r="A1979">
        <f>IF($B1979="","",IFERROR(IF(INDEX('Per Invoice'!$A$2:$A$801,MATCH($B1979,'Per Invoice'!$B$2:$B$801,0))=0,"",INDEX('Per Invoice'!$A$2:$A$801,MATCH($B1979,'Per Invoice'!$B$2:$B$801,0))),""))</f>
        <v/>
      </c>
      <c r="J1979" s="7">
        <f>IF($B1979="","",I1979*Q1979/100)</f>
        <v/>
      </c>
      <c r="N1979" s="7" t="n"/>
      <c r="O1979" s="7" t="n"/>
      <c r="P1979" s="7">
        <f>IF($B1979="","",O1979*X1979/100)</f>
        <v/>
      </c>
      <c r="Q1979" s="7">
        <f>IF($B1979="","",O1979-P1979)</f>
        <v/>
      </c>
      <c r="R1979" s="7">
        <f>IF($B1979="","",Q1979-J1979)</f>
        <v/>
      </c>
      <c r="S1979" s="7" t="n"/>
      <c r="T1979" s="7" t="n"/>
      <c r="V1979" s="14" t="n"/>
      <c r="Z1979">
        <f>IF($B1979="","",IF(COUNTIF($B$2:$B1979,$B1979)=1,1,0))</f>
        <v/>
      </c>
      <c r="AA1979">
        <f>IF($Z1979=1,SUMPRODUCT(--($AC$2:$AC$3001&lt;$AC1979))+1,"")</f>
        <v/>
      </c>
      <c r="AB1979">
        <f>IF($B1979="","",IF(OR($Y1979=TRUE(),$Y1979="TRUE"),1,IF(AND($Y1979&lt;&gt;"",OR($Y1979=FALSE(),$Y1979="FALSE")),0,IF(MIN(ABS($X1979/100-Settings!$C$6),ABS($X1979/100-Settings!$G$6))&lt;=MIN(ABS($X1979/100-Settings!$C$7),ABS($X1979/100-Settings!$G$7)),1,0))))</f>
        <v/>
      </c>
      <c r="AC1979">
        <f>IF($Z1979=1,IFERROR(IF(VALUE($B1979)&lt;100000000,VALUE($B1979),1000000000),IFERROR(IF(VALUE(MID($B1979,2,20))&lt;100000000,VALUE(MID($B1979,2,20)),1000000000),1000000000))+ROW()/100000,"")</f>
        <v/>
      </c>
    </row>
    <row r="1980">
      <c r="A1980">
        <f>IF($B1980="","",IFERROR(IF(INDEX('Per Invoice'!$A$2:$A$801,MATCH($B1980,'Per Invoice'!$B$2:$B$801,0))=0,"",INDEX('Per Invoice'!$A$2:$A$801,MATCH($B1980,'Per Invoice'!$B$2:$B$801,0))),""))</f>
        <v/>
      </c>
      <c r="J1980" s="7">
        <f>IF($B1980="","",I1980*Q1980/100)</f>
        <v/>
      </c>
      <c r="N1980" s="7" t="n"/>
      <c r="O1980" s="7" t="n"/>
      <c r="P1980" s="7">
        <f>IF($B1980="","",O1980*X1980/100)</f>
        <v/>
      </c>
      <c r="Q1980" s="7">
        <f>IF($B1980="","",O1980-P1980)</f>
        <v/>
      </c>
      <c r="R1980" s="7">
        <f>IF($B1980="","",Q1980-J1980)</f>
        <v/>
      </c>
      <c r="S1980" s="7" t="n"/>
      <c r="T1980" s="7" t="n"/>
      <c r="V1980" s="14" t="n"/>
      <c r="Z1980">
        <f>IF($B1980="","",IF(COUNTIF($B$2:$B1980,$B1980)=1,1,0))</f>
        <v/>
      </c>
      <c r="AA1980">
        <f>IF($Z1980=1,SUMPRODUCT(--($AC$2:$AC$3001&lt;$AC1980))+1,"")</f>
        <v/>
      </c>
      <c r="AB1980">
        <f>IF($B1980="","",IF(OR($Y1980=TRUE(),$Y1980="TRUE"),1,IF(AND($Y1980&lt;&gt;"",OR($Y1980=FALSE(),$Y1980="FALSE")),0,IF(MIN(ABS($X1980/100-Settings!$C$6),ABS($X1980/100-Settings!$G$6))&lt;=MIN(ABS($X1980/100-Settings!$C$7),ABS($X1980/100-Settings!$G$7)),1,0))))</f>
        <v/>
      </c>
      <c r="AC1980">
        <f>IF($Z1980=1,IFERROR(IF(VALUE($B1980)&lt;100000000,VALUE($B1980),1000000000),IFERROR(IF(VALUE(MID($B1980,2,20))&lt;100000000,VALUE(MID($B1980,2,20)),1000000000),1000000000))+ROW()/100000,"")</f>
        <v/>
      </c>
    </row>
    <row r="1981">
      <c r="A1981">
        <f>IF($B1981="","",IFERROR(IF(INDEX('Per Invoice'!$A$2:$A$801,MATCH($B1981,'Per Invoice'!$B$2:$B$801,0))=0,"",INDEX('Per Invoice'!$A$2:$A$801,MATCH($B1981,'Per Invoice'!$B$2:$B$801,0))),""))</f>
        <v/>
      </c>
      <c r="J1981" s="7">
        <f>IF($B1981="","",I1981*Q1981/100)</f>
        <v/>
      </c>
      <c r="N1981" s="7" t="n"/>
      <c r="O1981" s="7" t="n"/>
      <c r="P1981" s="7">
        <f>IF($B1981="","",O1981*X1981/100)</f>
        <v/>
      </c>
      <c r="Q1981" s="7">
        <f>IF($B1981="","",O1981-P1981)</f>
        <v/>
      </c>
      <c r="R1981" s="7">
        <f>IF($B1981="","",Q1981-J1981)</f>
        <v/>
      </c>
      <c r="S1981" s="7" t="n"/>
      <c r="T1981" s="7" t="n"/>
      <c r="V1981" s="14" t="n"/>
      <c r="Z1981">
        <f>IF($B1981="","",IF(COUNTIF($B$2:$B1981,$B1981)=1,1,0))</f>
        <v/>
      </c>
      <c r="AA1981">
        <f>IF($Z1981=1,SUMPRODUCT(--($AC$2:$AC$3001&lt;$AC1981))+1,"")</f>
        <v/>
      </c>
      <c r="AB1981">
        <f>IF($B1981="","",IF(OR($Y1981=TRUE(),$Y1981="TRUE"),1,IF(AND($Y1981&lt;&gt;"",OR($Y1981=FALSE(),$Y1981="FALSE")),0,IF(MIN(ABS($X1981/100-Settings!$C$6),ABS($X1981/100-Settings!$G$6))&lt;=MIN(ABS($X1981/100-Settings!$C$7),ABS($X1981/100-Settings!$G$7)),1,0))))</f>
        <v/>
      </c>
      <c r="AC1981">
        <f>IF($Z1981=1,IFERROR(IF(VALUE($B1981)&lt;100000000,VALUE($B1981),1000000000),IFERROR(IF(VALUE(MID($B1981,2,20))&lt;100000000,VALUE(MID($B1981,2,20)),1000000000),1000000000))+ROW()/100000,"")</f>
        <v/>
      </c>
    </row>
    <row r="1982">
      <c r="A1982">
        <f>IF($B1982="","",IFERROR(IF(INDEX('Per Invoice'!$A$2:$A$801,MATCH($B1982,'Per Invoice'!$B$2:$B$801,0))=0,"",INDEX('Per Invoice'!$A$2:$A$801,MATCH($B1982,'Per Invoice'!$B$2:$B$801,0))),""))</f>
        <v/>
      </c>
      <c r="J1982" s="7">
        <f>IF($B1982="","",I1982*Q1982/100)</f>
        <v/>
      </c>
      <c r="N1982" s="7" t="n"/>
      <c r="O1982" s="7" t="n"/>
      <c r="P1982" s="7">
        <f>IF($B1982="","",O1982*X1982/100)</f>
        <v/>
      </c>
      <c r="Q1982" s="7">
        <f>IF($B1982="","",O1982-P1982)</f>
        <v/>
      </c>
      <c r="R1982" s="7">
        <f>IF($B1982="","",Q1982-J1982)</f>
        <v/>
      </c>
      <c r="S1982" s="7" t="n"/>
      <c r="T1982" s="7" t="n"/>
      <c r="V1982" s="14" t="n"/>
      <c r="Z1982">
        <f>IF($B1982="","",IF(COUNTIF($B$2:$B1982,$B1982)=1,1,0))</f>
        <v/>
      </c>
      <c r="AA1982">
        <f>IF($Z1982=1,SUMPRODUCT(--($AC$2:$AC$3001&lt;$AC1982))+1,"")</f>
        <v/>
      </c>
      <c r="AB1982">
        <f>IF($B1982="","",IF(OR($Y1982=TRUE(),$Y1982="TRUE"),1,IF(AND($Y1982&lt;&gt;"",OR($Y1982=FALSE(),$Y1982="FALSE")),0,IF(MIN(ABS($X1982/100-Settings!$C$6),ABS($X1982/100-Settings!$G$6))&lt;=MIN(ABS($X1982/100-Settings!$C$7),ABS($X1982/100-Settings!$G$7)),1,0))))</f>
        <v/>
      </c>
      <c r="AC1982">
        <f>IF($Z1982=1,IFERROR(IF(VALUE($B1982)&lt;100000000,VALUE($B1982),1000000000),IFERROR(IF(VALUE(MID($B1982,2,20))&lt;100000000,VALUE(MID($B1982,2,20)),1000000000),1000000000))+ROW()/100000,"")</f>
        <v/>
      </c>
    </row>
    <row r="1983">
      <c r="A1983">
        <f>IF($B1983="","",IFERROR(IF(INDEX('Per Invoice'!$A$2:$A$801,MATCH($B1983,'Per Invoice'!$B$2:$B$801,0))=0,"",INDEX('Per Invoice'!$A$2:$A$801,MATCH($B1983,'Per Invoice'!$B$2:$B$801,0))),""))</f>
        <v/>
      </c>
      <c r="J1983" s="7">
        <f>IF($B1983="","",I1983*Q1983/100)</f>
        <v/>
      </c>
      <c r="N1983" s="7" t="n"/>
      <c r="O1983" s="7" t="n"/>
      <c r="P1983" s="7">
        <f>IF($B1983="","",O1983*X1983/100)</f>
        <v/>
      </c>
      <c r="Q1983" s="7">
        <f>IF($B1983="","",O1983-P1983)</f>
        <v/>
      </c>
      <c r="R1983" s="7">
        <f>IF($B1983="","",Q1983-J1983)</f>
        <v/>
      </c>
      <c r="S1983" s="7" t="n"/>
      <c r="T1983" s="7" t="n"/>
      <c r="V1983" s="14" t="n"/>
      <c r="Z1983">
        <f>IF($B1983="","",IF(COUNTIF($B$2:$B1983,$B1983)=1,1,0))</f>
        <v/>
      </c>
      <c r="AA1983">
        <f>IF($Z1983=1,SUMPRODUCT(--($AC$2:$AC$3001&lt;$AC1983))+1,"")</f>
        <v/>
      </c>
      <c r="AB1983">
        <f>IF($B1983="","",IF(OR($Y1983=TRUE(),$Y1983="TRUE"),1,IF(AND($Y1983&lt;&gt;"",OR($Y1983=FALSE(),$Y1983="FALSE")),0,IF(MIN(ABS($X1983/100-Settings!$C$6),ABS($X1983/100-Settings!$G$6))&lt;=MIN(ABS($X1983/100-Settings!$C$7),ABS($X1983/100-Settings!$G$7)),1,0))))</f>
        <v/>
      </c>
      <c r="AC1983">
        <f>IF($Z1983=1,IFERROR(IF(VALUE($B1983)&lt;100000000,VALUE($B1983),1000000000),IFERROR(IF(VALUE(MID($B1983,2,20))&lt;100000000,VALUE(MID($B1983,2,20)),1000000000),1000000000))+ROW()/100000,"")</f>
        <v/>
      </c>
    </row>
    <row r="1984">
      <c r="A1984">
        <f>IF($B1984="","",IFERROR(IF(INDEX('Per Invoice'!$A$2:$A$801,MATCH($B1984,'Per Invoice'!$B$2:$B$801,0))=0,"",INDEX('Per Invoice'!$A$2:$A$801,MATCH($B1984,'Per Invoice'!$B$2:$B$801,0))),""))</f>
        <v/>
      </c>
      <c r="J1984" s="7">
        <f>IF($B1984="","",I1984*Q1984/100)</f>
        <v/>
      </c>
      <c r="N1984" s="7" t="n"/>
      <c r="O1984" s="7" t="n"/>
      <c r="P1984" s="7">
        <f>IF($B1984="","",O1984*X1984/100)</f>
        <v/>
      </c>
      <c r="Q1984" s="7">
        <f>IF($B1984="","",O1984-P1984)</f>
        <v/>
      </c>
      <c r="R1984" s="7">
        <f>IF($B1984="","",Q1984-J1984)</f>
        <v/>
      </c>
      <c r="S1984" s="7" t="n"/>
      <c r="T1984" s="7" t="n"/>
      <c r="V1984" s="14" t="n"/>
      <c r="Z1984">
        <f>IF($B1984="","",IF(COUNTIF($B$2:$B1984,$B1984)=1,1,0))</f>
        <v/>
      </c>
      <c r="AA1984">
        <f>IF($Z1984=1,SUMPRODUCT(--($AC$2:$AC$3001&lt;$AC1984))+1,"")</f>
        <v/>
      </c>
      <c r="AB1984">
        <f>IF($B1984="","",IF(OR($Y1984=TRUE(),$Y1984="TRUE"),1,IF(AND($Y1984&lt;&gt;"",OR($Y1984=FALSE(),$Y1984="FALSE")),0,IF(MIN(ABS($X1984/100-Settings!$C$6),ABS($X1984/100-Settings!$G$6))&lt;=MIN(ABS($X1984/100-Settings!$C$7),ABS($X1984/100-Settings!$G$7)),1,0))))</f>
        <v/>
      </c>
      <c r="AC1984">
        <f>IF($Z1984=1,IFERROR(IF(VALUE($B1984)&lt;100000000,VALUE($B1984),1000000000),IFERROR(IF(VALUE(MID($B1984,2,20))&lt;100000000,VALUE(MID($B1984,2,20)),1000000000),1000000000))+ROW()/100000,"")</f>
        <v/>
      </c>
    </row>
    <row r="1985">
      <c r="A1985">
        <f>IF($B1985="","",IFERROR(IF(INDEX('Per Invoice'!$A$2:$A$801,MATCH($B1985,'Per Invoice'!$B$2:$B$801,0))=0,"",INDEX('Per Invoice'!$A$2:$A$801,MATCH($B1985,'Per Invoice'!$B$2:$B$801,0))),""))</f>
        <v/>
      </c>
      <c r="J1985" s="7">
        <f>IF($B1985="","",I1985*Q1985/100)</f>
        <v/>
      </c>
      <c r="N1985" s="7" t="n"/>
      <c r="O1985" s="7" t="n"/>
      <c r="P1985" s="7">
        <f>IF($B1985="","",O1985*X1985/100)</f>
        <v/>
      </c>
      <c r="Q1985" s="7">
        <f>IF($B1985="","",O1985-P1985)</f>
        <v/>
      </c>
      <c r="R1985" s="7">
        <f>IF($B1985="","",Q1985-J1985)</f>
        <v/>
      </c>
      <c r="S1985" s="7" t="n"/>
      <c r="T1985" s="7" t="n"/>
      <c r="V1985" s="14" t="n"/>
      <c r="Z1985">
        <f>IF($B1985="","",IF(COUNTIF($B$2:$B1985,$B1985)=1,1,0))</f>
        <v/>
      </c>
      <c r="AA1985">
        <f>IF($Z1985=1,SUMPRODUCT(--($AC$2:$AC$3001&lt;$AC1985))+1,"")</f>
        <v/>
      </c>
      <c r="AB1985">
        <f>IF($B1985="","",IF(OR($Y1985=TRUE(),$Y1985="TRUE"),1,IF(AND($Y1985&lt;&gt;"",OR($Y1985=FALSE(),$Y1985="FALSE")),0,IF(MIN(ABS($X1985/100-Settings!$C$6),ABS($X1985/100-Settings!$G$6))&lt;=MIN(ABS($X1985/100-Settings!$C$7),ABS($X1985/100-Settings!$G$7)),1,0))))</f>
        <v/>
      </c>
      <c r="AC1985">
        <f>IF($Z1985=1,IFERROR(IF(VALUE($B1985)&lt;100000000,VALUE($B1985),1000000000),IFERROR(IF(VALUE(MID($B1985,2,20))&lt;100000000,VALUE(MID($B1985,2,20)),1000000000),1000000000))+ROW()/100000,"")</f>
        <v/>
      </c>
    </row>
    <row r="1986">
      <c r="A1986">
        <f>IF($B1986="","",IFERROR(IF(INDEX('Per Invoice'!$A$2:$A$801,MATCH($B1986,'Per Invoice'!$B$2:$B$801,0))=0,"",INDEX('Per Invoice'!$A$2:$A$801,MATCH($B1986,'Per Invoice'!$B$2:$B$801,0))),""))</f>
        <v/>
      </c>
      <c r="J1986" s="7">
        <f>IF($B1986="","",I1986*Q1986/100)</f>
        <v/>
      </c>
      <c r="N1986" s="7" t="n"/>
      <c r="O1986" s="7" t="n"/>
      <c r="P1986" s="7">
        <f>IF($B1986="","",O1986*X1986/100)</f>
        <v/>
      </c>
      <c r="Q1986" s="7">
        <f>IF($B1986="","",O1986-P1986)</f>
        <v/>
      </c>
      <c r="R1986" s="7">
        <f>IF($B1986="","",Q1986-J1986)</f>
        <v/>
      </c>
      <c r="S1986" s="7" t="n"/>
      <c r="T1986" s="7" t="n"/>
      <c r="V1986" s="14" t="n"/>
      <c r="Z1986">
        <f>IF($B1986="","",IF(COUNTIF($B$2:$B1986,$B1986)=1,1,0))</f>
        <v/>
      </c>
      <c r="AA1986">
        <f>IF($Z1986=1,SUMPRODUCT(--($AC$2:$AC$3001&lt;$AC1986))+1,"")</f>
        <v/>
      </c>
      <c r="AB1986">
        <f>IF($B1986="","",IF(OR($Y1986=TRUE(),$Y1986="TRUE"),1,IF(AND($Y1986&lt;&gt;"",OR($Y1986=FALSE(),$Y1986="FALSE")),0,IF(MIN(ABS($X1986/100-Settings!$C$6),ABS($X1986/100-Settings!$G$6))&lt;=MIN(ABS($X1986/100-Settings!$C$7),ABS($X1986/100-Settings!$G$7)),1,0))))</f>
        <v/>
      </c>
      <c r="AC1986">
        <f>IF($Z1986=1,IFERROR(IF(VALUE($B1986)&lt;100000000,VALUE($B1986),1000000000),IFERROR(IF(VALUE(MID($B1986,2,20))&lt;100000000,VALUE(MID($B1986,2,20)),1000000000),1000000000))+ROW()/100000,"")</f>
        <v/>
      </c>
    </row>
    <row r="1987">
      <c r="A1987">
        <f>IF($B1987="","",IFERROR(IF(INDEX('Per Invoice'!$A$2:$A$801,MATCH($B1987,'Per Invoice'!$B$2:$B$801,0))=0,"",INDEX('Per Invoice'!$A$2:$A$801,MATCH($B1987,'Per Invoice'!$B$2:$B$801,0))),""))</f>
        <v/>
      </c>
      <c r="J1987" s="7">
        <f>IF($B1987="","",I1987*Q1987/100)</f>
        <v/>
      </c>
      <c r="N1987" s="7" t="n"/>
      <c r="O1987" s="7" t="n"/>
      <c r="P1987" s="7">
        <f>IF($B1987="","",O1987*X1987/100)</f>
        <v/>
      </c>
      <c r="Q1987" s="7">
        <f>IF($B1987="","",O1987-P1987)</f>
        <v/>
      </c>
      <c r="R1987" s="7">
        <f>IF($B1987="","",Q1987-J1987)</f>
        <v/>
      </c>
      <c r="S1987" s="7" t="n"/>
      <c r="T1987" s="7" t="n"/>
      <c r="V1987" s="14" t="n"/>
      <c r="Z1987">
        <f>IF($B1987="","",IF(COUNTIF($B$2:$B1987,$B1987)=1,1,0))</f>
        <v/>
      </c>
      <c r="AA1987">
        <f>IF($Z1987=1,SUMPRODUCT(--($AC$2:$AC$3001&lt;$AC1987))+1,"")</f>
        <v/>
      </c>
      <c r="AB1987">
        <f>IF($B1987="","",IF(OR($Y1987=TRUE(),$Y1987="TRUE"),1,IF(AND($Y1987&lt;&gt;"",OR($Y1987=FALSE(),$Y1987="FALSE")),0,IF(MIN(ABS($X1987/100-Settings!$C$6),ABS($X1987/100-Settings!$G$6))&lt;=MIN(ABS($X1987/100-Settings!$C$7),ABS($X1987/100-Settings!$G$7)),1,0))))</f>
        <v/>
      </c>
      <c r="AC1987">
        <f>IF($Z1987=1,IFERROR(IF(VALUE($B1987)&lt;100000000,VALUE($B1987),1000000000),IFERROR(IF(VALUE(MID($B1987,2,20))&lt;100000000,VALUE(MID($B1987,2,20)),1000000000),1000000000))+ROW()/100000,"")</f>
        <v/>
      </c>
    </row>
    <row r="1988">
      <c r="A1988">
        <f>IF($B1988="","",IFERROR(IF(INDEX('Per Invoice'!$A$2:$A$801,MATCH($B1988,'Per Invoice'!$B$2:$B$801,0))=0,"",INDEX('Per Invoice'!$A$2:$A$801,MATCH($B1988,'Per Invoice'!$B$2:$B$801,0))),""))</f>
        <v/>
      </c>
      <c r="J1988" s="7">
        <f>IF($B1988="","",I1988*Q1988/100)</f>
        <v/>
      </c>
      <c r="N1988" s="7" t="n"/>
      <c r="O1988" s="7" t="n"/>
      <c r="P1988" s="7">
        <f>IF($B1988="","",O1988*X1988/100)</f>
        <v/>
      </c>
      <c r="Q1988" s="7">
        <f>IF($B1988="","",O1988-P1988)</f>
        <v/>
      </c>
      <c r="R1988" s="7">
        <f>IF($B1988="","",Q1988-J1988)</f>
        <v/>
      </c>
      <c r="S1988" s="7" t="n"/>
      <c r="T1988" s="7" t="n"/>
      <c r="V1988" s="14" t="n"/>
      <c r="Z1988">
        <f>IF($B1988="","",IF(COUNTIF($B$2:$B1988,$B1988)=1,1,0))</f>
        <v/>
      </c>
      <c r="AA1988">
        <f>IF($Z1988=1,SUMPRODUCT(--($AC$2:$AC$3001&lt;$AC1988))+1,"")</f>
        <v/>
      </c>
      <c r="AB1988">
        <f>IF($B1988="","",IF(OR($Y1988=TRUE(),$Y1988="TRUE"),1,IF(AND($Y1988&lt;&gt;"",OR($Y1988=FALSE(),$Y1988="FALSE")),0,IF(MIN(ABS($X1988/100-Settings!$C$6),ABS($X1988/100-Settings!$G$6))&lt;=MIN(ABS($X1988/100-Settings!$C$7),ABS($X1988/100-Settings!$G$7)),1,0))))</f>
        <v/>
      </c>
      <c r="AC1988">
        <f>IF($Z1988=1,IFERROR(IF(VALUE($B1988)&lt;100000000,VALUE($B1988),1000000000),IFERROR(IF(VALUE(MID($B1988,2,20))&lt;100000000,VALUE(MID($B1988,2,20)),1000000000),1000000000))+ROW()/100000,"")</f>
        <v/>
      </c>
    </row>
    <row r="1989">
      <c r="A1989">
        <f>IF($B1989="","",IFERROR(IF(INDEX('Per Invoice'!$A$2:$A$801,MATCH($B1989,'Per Invoice'!$B$2:$B$801,0))=0,"",INDEX('Per Invoice'!$A$2:$A$801,MATCH($B1989,'Per Invoice'!$B$2:$B$801,0))),""))</f>
        <v/>
      </c>
      <c r="J1989" s="7">
        <f>IF($B1989="","",I1989*Q1989/100)</f>
        <v/>
      </c>
      <c r="N1989" s="7" t="n"/>
      <c r="O1989" s="7" t="n"/>
      <c r="P1989" s="7">
        <f>IF($B1989="","",O1989*X1989/100)</f>
        <v/>
      </c>
      <c r="Q1989" s="7">
        <f>IF($B1989="","",O1989-P1989)</f>
        <v/>
      </c>
      <c r="R1989" s="7">
        <f>IF($B1989="","",Q1989-J1989)</f>
        <v/>
      </c>
      <c r="S1989" s="7" t="n"/>
      <c r="T1989" s="7" t="n"/>
      <c r="V1989" s="14" t="n"/>
      <c r="Z1989">
        <f>IF($B1989="","",IF(COUNTIF($B$2:$B1989,$B1989)=1,1,0))</f>
        <v/>
      </c>
      <c r="AA1989">
        <f>IF($Z1989=1,SUMPRODUCT(--($AC$2:$AC$3001&lt;$AC1989))+1,"")</f>
        <v/>
      </c>
      <c r="AB1989">
        <f>IF($B1989="","",IF(OR($Y1989=TRUE(),$Y1989="TRUE"),1,IF(AND($Y1989&lt;&gt;"",OR($Y1989=FALSE(),$Y1989="FALSE")),0,IF(MIN(ABS($X1989/100-Settings!$C$6),ABS($X1989/100-Settings!$G$6))&lt;=MIN(ABS($X1989/100-Settings!$C$7),ABS($X1989/100-Settings!$G$7)),1,0))))</f>
        <v/>
      </c>
      <c r="AC1989">
        <f>IF($Z1989=1,IFERROR(IF(VALUE($B1989)&lt;100000000,VALUE($B1989),1000000000),IFERROR(IF(VALUE(MID($B1989,2,20))&lt;100000000,VALUE(MID($B1989,2,20)),1000000000),1000000000))+ROW()/100000,"")</f>
        <v/>
      </c>
    </row>
    <row r="1990">
      <c r="A1990">
        <f>IF($B1990="","",IFERROR(IF(INDEX('Per Invoice'!$A$2:$A$801,MATCH($B1990,'Per Invoice'!$B$2:$B$801,0))=0,"",INDEX('Per Invoice'!$A$2:$A$801,MATCH($B1990,'Per Invoice'!$B$2:$B$801,0))),""))</f>
        <v/>
      </c>
      <c r="J1990" s="7">
        <f>IF($B1990="","",I1990*Q1990/100)</f>
        <v/>
      </c>
      <c r="N1990" s="7" t="n"/>
      <c r="O1990" s="7" t="n"/>
      <c r="P1990" s="7">
        <f>IF($B1990="","",O1990*X1990/100)</f>
        <v/>
      </c>
      <c r="Q1990" s="7">
        <f>IF($B1990="","",O1990-P1990)</f>
        <v/>
      </c>
      <c r="R1990" s="7">
        <f>IF($B1990="","",Q1990-J1990)</f>
        <v/>
      </c>
      <c r="S1990" s="7" t="n"/>
      <c r="T1990" s="7" t="n"/>
      <c r="V1990" s="14" t="n"/>
      <c r="Z1990">
        <f>IF($B1990="","",IF(COUNTIF($B$2:$B1990,$B1990)=1,1,0))</f>
        <v/>
      </c>
      <c r="AA1990">
        <f>IF($Z1990=1,SUMPRODUCT(--($AC$2:$AC$3001&lt;$AC1990))+1,"")</f>
        <v/>
      </c>
      <c r="AB1990">
        <f>IF($B1990="","",IF(OR($Y1990=TRUE(),$Y1990="TRUE"),1,IF(AND($Y1990&lt;&gt;"",OR($Y1990=FALSE(),$Y1990="FALSE")),0,IF(MIN(ABS($X1990/100-Settings!$C$6),ABS($X1990/100-Settings!$G$6))&lt;=MIN(ABS($X1990/100-Settings!$C$7),ABS($X1990/100-Settings!$G$7)),1,0))))</f>
        <v/>
      </c>
      <c r="AC1990">
        <f>IF($Z1990=1,IFERROR(IF(VALUE($B1990)&lt;100000000,VALUE($B1990),1000000000),IFERROR(IF(VALUE(MID($B1990,2,20))&lt;100000000,VALUE(MID($B1990,2,20)),1000000000),1000000000))+ROW()/100000,"")</f>
        <v/>
      </c>
    </row>
    <row r="1991">
      <c r="A1991">
        <f>IF($B1991="","",IFERROR(IF(INDEX('Per Invoice'!$A$2:$A$801,MATCH($B1991,'Per Invoice'!$B$2:$B$801,0))=0,"",INDEX('Per Invoice'!$A$2:$A$801,MATCH($B1991,'Per Invoice'!$B$2:$B$801,0))),""))</f>
        <v/>
      </c>
      <c r="J1991" s="7">
        <f>IF($B1991="","",I1991*Q1991/100)</f>
        <v/>
      </c>
      <c r="N1991" s="7" t="n"/>
      <c r="O1991" s="7" t="n"/>
      <c r="P1991" s="7">
        <f>IF($B1991="","",O1991*X1991/100)</f>
        <v/>
      </c>
      <c r="Q1991" s="7">
        <f>IF($B1991="","",O1991-P1991)</f>
        <v/>
      </c>
      <c r="R1991" s="7">
        <f>IF($B1991="","",Q1991-J1991)</f>
        <v/>
      </c>
      <c r="S1991" s="7" t="n"/>
      <c r="T1991" s="7" t="n"/>
      <c r="V1991" s="14" t="n"/>
      <c r="Z1991">
        <f>IF($B1991="","",IF(COUNTIF($B$2:$B1991,$B1991)=1,1,0))</f>
        <v/>
      </c>
      <c r="AA1991">
        <f>IF($Z1991=1,SUMPRODUCT(--($AC$2:$AC$3001&lt;$AC1991))+1,"")</f>
        <v/>
      </c>
      <c r="AB1991">
        <f>IF($B1991="","",IF(OR($Y1991=TRUE(),$Y1991="TRUE"),1,IF(AND($Y1991&lt;&gt;"",OR($Y1991=FALSE(),$Y1991="FALSE")),0,IF(MIN(ABS($X1991/100-Settings!$C$6),ABS($X1991/100-Settings!$G$6))&lt;=MIN(ABS($X1991/100-Settings!$C$7),ABS($X1991/100-Settings!$G$7)),1,0))))</f>
        <v/>
      </c>
      <c r="AC1991">
        <f>IF($Z1991=1,IFERROR(IF(VALUE($B1991)&lt;100000000,VALUE($B1991),1000000000),IFERROR(IF(VALUE(MID($B1991,2,20))&lt;100000000,VALUE(MID($B1991,2,20)),1000000000),1000000000))+ROW()/100000,"")</f>
        <v/>
      </c>
    </row>
    <row r="1992">
      <c r="A1992">
        <f>IF($B1992="","",IFERROR(IF(INDEX('Per Invoice'!$A$2:$A$801,MATCH($B1992,'Per Invoice'!$B$2:$B$801,0))=0,"",INDEX('Per Invoice'!$A$2:$A$801,MATCH($B1992,'Per Invoice'!$B$2:$B$801,0))),""))</f>
        <v/>
      </c>
      <c r="J1992" s="7">
        <f>IF($B1992="","",I1992*Q1992/100)</f>
        <v/>
      </c>
      <c r="N1992" s="7" t="n"/>
      <c r="O1992" s="7" t="n"/>
      <c r="P1992" s="7">
        <f>IF($B1992="","",O1992*X1992/100)</f>
        <v/>
      </c>
      <c r="Q1992" s="7">
        <f>IF($B1992="","",O1992-P1992)</f>
        <v/>
      </c>
      <c r="R1992" s="7">
        <f>IF($B1992="","",Q1992-J1992)</f>
        <v/>
      </c>
      <c r="S1992" s="7" t="n"/>
      <c r="T1992" s="7" t="n"/>
      <c r="V1992" s="14" t="n"/>
      <c r="Z1992">
        <f>IF($B1992="","",IF(COUNTIF($B$2:$B1992,$B1992)=1,1,0))</f>
        <v/>
      </c>
      <c r="AA1992">
        <f>IF($Z1992=1,SUMPRODUCT(--($AC$2:$AC$3001&lt;$AC1992))+1,"")</f>
        <v/>
      </c>
      <c r="AB1992">
        <f>IF($B1992="","",IF(OR($Y1992=TRUE(),$Y1992="TRUE"),1,IF(AND($Y1992&lt;&gt;"",OR($Y1992=FALSE(),$Y1992="FALSE")),0,IF(MIN(ABS($X1992/100-Settings!$C$6),ABS($X1992/100-Settings!$G$6))&lt;=MIN(ABS($X1992/100-Settings!$C$7),ABS($X1992/100-Settings!$G$7)),1,0))))</f>
        <v/>
      </c>
      <c r="AC1992">
        <f>IF($Z1992=1,IFERROR(IF(VALUE($B1992)&lt;100000000,VALUE($B1992),1000000000),IFERROR(IF(VALUE(MID($B1992,2,20))&lt;100000000,VALUE(MID($B1992,2,20)),1000000000),1000000000))+ROW()/100000,"")</f>
        <v/>
      </c>
    </row>
    <row r="1993">
      <c r="A1993">
        <f>IF($B1993="","",IFERROR(IF(INDEX('Per Invoice'!$A$2:$A$801,MATCH($B1993,'Per Invoice'!$B$2:$B$801,0))=0,"",INDEX('Per Invoice'!$A$2:$A$801,MATCH($B1993,'Per Invoice'!$B$2:$B$801,0))),""))</f>
        <v/>
      </c>
      <c r="J1993" s="7">
        <f>IF($B1993="","",I1993*Q1993/100)</f>
        <v/>
      </c>
      <c r="N1993" s="7" t="n"/>
      <c r="O1993" s="7" t="n"/>
      <c r="P1993" s="7">
        <f>IF($B1993="","",O1993*X1993/100)</f>
        <v/>
      </c>
      <c r="Q1993" s="7">
        <f>IF($B1993="","",O1993-P1993)</f>
        <v/>
      </c>
      <c r="R1993" s="7">
        <f>IF($B1993="","",Q1993-J1993)</f>
        <v/>
      </c>
      <c r="S1993" s="7" t="n"/>
      <c r="T1993" s="7" t="n"/>
      <c r="V1993" s="14" t="n"/>
      <c r="Z1993">
        <f>IF($B1993="","",IF(COUNTIF($B$2:$B1993,$B1993)=1,1,0))</f>
        <v/>
      </c>
      <c r="AA1993">
        <f>IF($Z1993=1,SUMPRODUCT(--($AC$2:$AC$3001&lt;$AC1993))+1,"")</f>
        <v/>
      </c>
      <c r="AB1993">
        <f>IF($B1993="","",IF(OR($Y1993=TRUE(),$Y1993="TRUE"),1,IF(AND($Y1993&lt;&gt;"",OR($Y1993=FALSE(),$Y1993="FALSE")),0,IF(MIN(ABS($X1993/100-Settings!$C$6),ABS($X1993/100-Settings!$G$6))&lt;=MIN(ABS($X1993/100-Settings!$C$7),ABS($X1993/100-Settings!$G$7)),1,0))))</f>
        <v/>
      </c>
      <c r="AC1993">
        <f>IF($Z1993=1,IFERROR(IF(VALUE($B1993)&lt;100000000,VALUE($B1993),1000000000),IFERROR(IF(VALUE(MID($B1993,2,20))&lt;100000000,VALUE(MID($B1993,2,20)),1000000000),1000000000))+ROW()/100000,"")</f>
        <v/>
      </c>
    </row>
    <row r="1994">
      <c r="A1994">
        <f>IF($B1994="","",IFERROR(IF(INDEX('Per Invoice'!$A$2:$A$801,MATCH($B1994,'Per Invoice'!$B$2:$B$801,0))=0,"",INDEX('Per Invoice'!$A$2:$A$801,MATCH($B1994,'Per Invoice'!$B$2:$B$801,0))),""))</f>
        <v/>
      </c>
      <c r="J1994" s="7">
        <f>IF($B1994="","",I1994*Q1994/100)</f>
        <v/>
      </c>
      <c r="N1994" s="7" t="n"/>
      <c r="O1994" s="7" t="n"/>
      <c r="P1994" s="7">
        <f>IF($B1994="","",O1994*X1994/100)</f>
        <v/>
      </c>
      <c r="Q1994" s="7">
        <f>IF($B1994="","",O1994-P1994)</f>
        <v/>
      </c>
      <c r="R1994" s="7">
        <f>IF($B1994="","",Q1994-J1994)</f>
        <v/>
      </c>
      <c r="S1994" s="7" t="n"/>
      <c r="T1994" s="7" t="n"/>
      <c r="V1994" s="14" t="n"/>
      <c r="Z1994">
        <f>IF($B1994="","",IF(COUNTIF($B$2:$B1994,$B1994)=1,1,0))</f>
        <v/>
      </c>
      <c r="AA1994">
        <f>IF($Z1994=1,SUMPRODUCT(--($AC$2:$AC$3001&lt;$AC1994))+1,"")</f>
        <v/>
      </c>
      <c r="AB1994">
        <f>IF($B1994="","",IF(OR($Y1994=TRUE(),$Y1994="TRUE"),1,IF(AND($Y1994&lt;&gt;"",OR($Y1994=FALSE(),$Y1994="FALSE")),0,IF(MIN(ABS($X1994/100-Settings!$C$6),ABS($X1994/100-Settings!$G$6))&lt;=MIN(ABS($X1994/100-Settings!$C$7),ABS($X1994/100-Settings!$G$7)),1,0))))</f>
        <v/>
      </c>
      <c r="AC1994">
        <f>IF($Z1994=1,IFERROR(IF(VALUE($B1994)&lt;100000000,VALUE($B1994),1000000000),IFERROR(IF(VALUE(MID($B1994,2,20))&lt;100000000,VALUE(MID($B1994,2,20)),1000000000),1000000000))+ROW()/100000,"")</f>
        <v/>
      </c>
    </row>
    <row r="1995">
      <c r="A1995">
        <f>IF($B1995="","",IFERROR(IF(INDEX('Per Invoice'!$A$2:$A$801,MATCH($B1995,'Per Invoice'!$B$2:$B$801,0))=0,"",INDEX('Per Invoice'!$A$2:$A$801,MATCH($B1995,'Per Invoice'!$B$2:$B$801,0))),""))</f>
        <v/>
      </c>
      <c r="J1995" s="7">
        <f>IF($B1995="","",I1995*Q1995/100)</f>
        <v/>
      </c>
      <c r="N1995" s="7" t="n"/>
      <c r="O1995" s="7" t="n"/>
      <c r="P1995" s="7">
        <f>IF($B1995="","",O1995*X1995/100)</f>
        <v/>
      </c>
      <c r="Q1995" s="7">
        <f>IF($B1995="","",O1995-P1995)</f>
        <v/>
      </c>
      <c r="R1995" s="7">
        <f>IF($B1995="","",Q1995-J1995)</f>
        <v/>
      </c>
      <c r="S1995" s="7" t="n"/>
      <c r="T1995" s="7" t="n"/>
      <c r="V1995" s="14" t="n"/>
      <c r="Z1995">
        <f>IF($B1995="","",IF(COUNTIF($B$2:$B1995,$B1995)=1,1,0))</f>
        <v/>
      </c>
      <c r="AA1995">
        <f>IF($Z1995=1,SUMPRODUCT(--($AC$2:$AC$3001&lt;$AC1995))+1,"")</f>
        <v/>
      </c>
      <c r="AB1995">
        <f>IF($B1995="","",IF(OR($Y1995=TRUE(),$Y1995="TRUE"),1,IF(AND($Y1995&lt;&gt;"",OR($Y1995=FALSE(),$Y1995="FALSE")),0,IF(MIN(ABS($X1995/100-Settings!$C$6),ABS($X1995/100-Settings!$G$6))&lt;=MIN(ABS($X1995/100-Settings!$C$7),ABS($X1995/100-Settings!$G$7)),1,0))))</f>
        <v/>
      </c>
      <c r="AC1995">
        <f>IF($Z1995=1,IFERROR(IF(VALUE($B1995)&lt;100000000,VALUE($B1995),1000000000),IFERROR(IF(VALUE(MID($B1995,2,20))&lt;100000000,VALUE(MID($B1995,2,20)),1000000000),1000000000))+ROW()/100000,"")</f>
        <v/>
      </c>
    </row>
    <row r="1996">
      <c r="A1996">
        <f>IF($B1996="","",IFERROR(IF(INDEX('Per Invoice'!$A$2:$A$801,MATCH($B1996,'Per Invoice'!$B$2:$B$801,0))=0,"",INDEX('Per Invoice'!$A$2:$A$801,MATCH($B1996,'Per Invoice'!$B$2:$B$801,0))),""))</f>
        <v/>
      </c>
      <c r="J1996" s="7">
        <f>IF($B1996="","",I1996*Q1996/100)</f>
        <v/>
      </c>
      <c r="N1996" s="7" t="n"/>
      <c r="O1996" s="7" t="n"/>
      <c r="P1996" s="7">
        <f>IF($B1996="","",O1996*X1996/100)</f>
        <v/>
      </c>
      <c r="Q1996" s="7">
        <f>IF($B1996="","",O1996-P1996)</f>
        <v/>
      </c>
      <c r="R1996" s="7">
        <f>IF($B1996="","",Q1996-J1996)</f>
        <v/>
      </c>
      <c r="S1996" s="7" t="n"/>
      <c r="T1996" s="7" t="n"/>
      <c r="V1996" s="14" t="n"/>
      <c r="Z1996">
        <f>IF($B1996="","",IF(COUNTIF($B$2:$B1996,$B1996)=1,1,0))</f>
        <v/>
      </c>
      <c r="AA1996">
        <f>IF($Z1996=1,SUMPRODUCT(--($AC$2:$AC$3001&lt;$AC1996))+1,"")</f>
        <v/>
      </c>
      <c r="AB1996">
        <f>IF($B1996="","",IF(OR($Y1996=TRUE(),$Y1996="TRUE"),1,IF(AND($Y1996&lt;&gt;"",OR($Y1996=FALSE(),$Y1996="FALSE")),0,IF(MIN(ABS($X1996/100-Settings!$C$6),ABS($X1996/100-Settings!$G$6))&lt;=MIN(ABS($X1996/100-Settings!$C$7),ABS($X1996/100-Settings!$G$7)),1,0))))</f>
        <v/>
      </c>
      <c r="AC1996">
        <f>IF($Z1996=1,IFERROR(IF(VALUE($B1996)&lt;100000000,VALUE($B1996),1000000000),IFERROR(IF(VALUE(MID($B1996,2,20))&lt;100000000,VALUE(MID($B1996,2,20)),1000000000),1000000000))+ROW()/100000,"")</f>
        <v/>
      </c>
    </row>
    <row r="1997">
      <c r="A1997">
        <f>IF($B1997="","",IFERROR(IF(INDEX('Per Invoice'!$A$2:$A$801,MATCH($B1997,'Per Invoice'!$B$2:$B$801,0))=0,"",INDEX('Per Invoice'!$A$2:$A$801,MATCH($B1997,'Per Invoice'!$B$2:$B$801,0))),""))</f>
        <v/>
      </c>
      <c r="J1997" s="7">
        <f>IF($B1997="","",I1997*Q1997/100)</f>
        <v/>
      </c>
      <c r="N1997" s="7" t="n"/>
      <c r="O1997" s="7" t="n"/>
      <c r="P1997" s="7">
        <f>IF($B1997="","",O1997*X1997/100)</f>
        <v/>
      </c>
      <c r="Q1997" s="7">
        <f>IF($B1997="","",O1997-P1997)</f>
        <v/>
      </c>
      <c r="R1997" s="7">
        <f>IF($B1997="","",Q1997-J1997)</f>
        <v/>
      </c>
      <c r="S1997" s="7" t="n"/>
      <c r="T1997" s="7" t="n"/>
      <c r="V1997" s="14" t="n"/>
      <c r="Z1997">
        <f>IF($B1997="","",IF(COUNTIF($B$2:$B1997,$B1997)=1,1,0))</f>
        <v/>
      </c>
      <c r="AA1997">
        <f>IF($Z1997=1,SUMPRODUCT(--($AC$2:$AC$3001&lt;$AC1997))+1,"")</f>
        <v/>
      </c>
      <c r="AB1997">
        <f>IF($B1997="","",IF(OR($Y1997=TRUE(),$Y1997="TRUE"),1,IF(AND($Y1997&lt;&gt;"",OR($Y1997=FALSE(),$Y1997="FALSE")),0,IF(MIN(ABS($X1997/100-Settings!$C$6),ABS($X1997/100-Settings!$G$6))&lt;=MIN(ABS($X1997/100-Settings!$C$7),ABS($X1997/100-Settings!$G$7)),1,0))))</f>
        <v/>
      </c>
      <c r="AC1997">
        <f>IF($Z1997=1,IFERROR(IF(VALUE($B1997)&lt;100000000,VALUE($B1997),1000000000),IFERROR(IF(VALUE(MID($B1997,2,20))&lt;100000000,VALUE(MID($B1997,2,20)),1000000000),1000000000))+ROW()/100000,"")</f>
        <v/>
      </c>
    </row>
    <row r="1998">
      <c r="A1998">
        <f>IF($B1998="","",IFERROR(IF(INDEX('Per Invoice'!$A$2:$A$801,MATCH($B1998,'Per Invoice'!$B$2:$B$801,0))=0,"",INDEX('Per Invoice'!$A$2:$A$801,MATCH($B1998,'Per Invoice'!$B$2:$B$801,0))),""))</f>
        <v/>
      </c>
      <c r="J1998" s="7">
        <f>IF($B1998="","",I1998*Q1998/100)</f>
        <v/>
      </c>
      <c r="N1998" s="7" t="n"/>
      <c r="O1998" s="7" t="n"/>
      <c r="P1998" s="7">
        <f>IF($B1998="","",O1998*X1998/100)</f>
        <v/>
      </c>
      <c r="Q1998" s="7">
        <f>IF($B1998="","",O1998-P1998)</f>
        <v/>
      </c>
      <c r="R1998" s="7">
        <f>IF($B1998="","",Q1998-J1998)</f>
        <v/>
      </c>
      <c r="S1998" s="7" t="n"/>
      <c r="T1998" s="7" t="n"/>
      <c r="V1998" s="14" t="n"/>
      <c r="Z1998">
        <f>IF($B1998="","",IF(COUNTIF($B$2:$B1998,$B1998)=1,1,0))</f>
        <v/>
      </c>
      <c r="AA1998">
        <f>IF($Z1998=1,SUMPRODUCT(--($AC$2:$AC$3001&lt;$AC1998))+1,"")</f>
        <v/>
      </c>
      <c r="AB1998">
        <f>IF($B1998="","",IF(OR($Y1998=TRUE(),$Y1998="TRUE"),1,IF(AND($Y1998&lt;&gt;"",OR($Y1998=FALSE(),$Y1998="FALSE")),0,IF(MIN(ABS($X1998/100-Settings!$C$6),ABS($X1998/100-Settings!$G$6))&lt;=MIN(ABS($X1998/100-Settings!$C$7),ABS($X1998/100-Settings!$G$7)),1,0))))</f>
        <v/>
      </c>
      <c r="AC1998">
        <f>IF($Z1998=1,IFERROR(IF(VALUE($B1998)&lt;100000000,VALUE($B1998),1000000000),IFERROR(IF(VALUE(MID($B1998,2,20))&lt;100000000,VALUE(MID($B1998,2,20)),1000000000),1000000000))+ROW()/100000,"")</f>
        <v/>
      </c>
    </row>
    <row r="1999">
      <c r="A1999">
        <f>IF($B1999="","",IFERROR(IF(INDEX('Per Invoice'!$A$2:$A$801,MATCH($B1999,'Per Invoice'!$B$2:$B$801,0))=0,"",INDEX('Per Invoice'!$A$2:$A$801,MATCH($B1999,'Per Invoice'!$B$2:$B$801,0))),""))</f>
        <v/>
      </c>
      <c r="J1999" s="7">
        <f>IF($B1999="","",I1999*Q1999/100)</f>
        <v/>
      </c>
      <c r="N1999" s="7" t="n"/>
      <c r="O1999" s="7" t="n"/>
      <c r="P1999" s="7">
        <f>IF($B1999="","",O1999*X1999/100)</f>
        <v/>
      </c>
      <c r="Q1999" s="7">
        <f>IF($B1999="","",O1999-P1999)</f>
        <v/>
      </c>
      <c r="R1999" s="7">
        <f>IF($B1999="","",Q1999-J1999)</f>
        <v/>
      </c>
      <c r="S1999" s="7" t="n"/>
      <c r="T1999" s="7" t="n"/>
      <c r="V1999" s="14" t="n"/>
      <c r="Z1999">
        <f>IF($B1999="","",IF(COUNTIF($B$2:$B1999,$B1999)=1,1,0))</f>
        <v/>
      </c>
      <c r="AA1999">
        <f>IF($Z1999=1,SUMPRODUCT(--($AC$2:$AC$3001&lt;$AC1999))+1,"")</f>
        <v/>
      </c>
      <c r="AB1999">
        <f>IF($B1999="","",IF(OR($Y1999=TRUE(),$Y1999="TRUE"),1,IF(AND($Y1999&lt;&gt;"",OR($Y1999=FALSE(),$Y1999="FALSE")),0,IF(MIN(ABS($X1999/100-Settings!$C$6),ABS($X1999/100-Settings!$G$6))&lt;=MIN(ABS($X1999/100-Settings!$C$7),ABS($X1999/100-Settings!$G$7)),1,0))))</f>
        <v/>
      </c>
      <c r="AC1999">
        <f>IF($Z1999=1,IFERROR(IF(VALUE($B1999)&lt;100000000,VALUE($B1999),1000000000),IFERROR(IF(VALUE(MID($B1999,2,20))&lt;100000000,VALUE(MID($B1999,2,20)),1000000000),1000000000))+ROW()/100000,"")</f>
        <v/>
      </c>
    </row>
    <row r="2000">
      <c r="A2000">
        <f>IF($B2000="","",IFERROR(IF(INDEX('Per Invoice'!$A$2:$A$801,MATCH($B2000,'Per Invoice'!$B$2:$B$801,0))=0,"",INDEX('Per Invoice'!$A$2:$A$801,MATCH($B2000,'Per Invoice'!$B$2:$B$801,0))),""))</f>
        <v/>
      </c>
      <c r="J2000" s="7">
        <f>IF($B2000="","",I2000*Q2000/100)</f>
        <v/>
      </c>
      <c r="N2000" s="7" t="n"/>
      <c r="O2000" s="7" t="n"/>
      <c r="P2000" s="7">
        <f>IF($B2000="","",O2000*X2000/100)</f>
        <v/>
      </c>
      <c r="Q2000" s="7">
        <f>IF($B2000="","",O2000-P2000)</f>
        <v/>
      </c>
      <c r="R2000" s="7">
        <f>IF($B2000="","",Q2000-J2000)</f>
        <v/>
      </c>
      <c r="S2000" s="7" t="n"/>
      <c r="T2000" s="7" t="n"/>
      <c r="V2000" s="14" t="n"/>
      <c r="Z2000">
        <f>IF($B2000="","",IF(COUNTIF($B$2:$B2000,$B2000)=1,1,0))</f>
        <v/>
      </c>
      <c r="AA2000">
        <f>IF($Z2000=1,SUMPRODUCT(--($AC$2:$AC$3001&lt;$AC2000))+1,"")</f>
        <v/>
      </c>
      <c r="AB2000">
        <f>IF($B2000="","",IF(OR($Y2000=TRUE(),$Y2000="TRUE"),1,IF(AND($Y2000&lt;&gt;"",OR($Y2000=FALSE(),$Y2000="FALSE")),0,IF(MIN(ABS($X2000/100-Settings!$C$6),ABS($X2000/100-Settings!$G$6))&lt;=MIN(ABS($X2000/100-Settings!$C$7),ABS($X2000/100-Settings!$G$7)),1,0))))</f>
        <v/>
      </c>
      <c r="AC2000">
        <f>IF($Z2000=1,IFERROR(IF(VALUE($B2000)&lt;100000000,VALUE($B2000),1000000000),IFERROR(IF(VALUE(MID($B2000,2,20))&lt;100000000,VALUE(MID($B2000,2,20)),1000000000),1000000000))+ROW()/100000,"")</f>
        <v/>
      </c>
    </row>
    <row r="2001">
      <c r="A2001">
        <f>IF($B2001="","",IFERROR(IF(INDEX('Per Invoice'!$A$2:$A$801,MATCH($B2001,'Per Invoice'!$B$2:$B$801,0))=0,"",INDEX('Per Invoice'!$A$2:$A$801,MATCH($B2001,'Per Invoice'!$B$2:$B$801,0))),""))</f>
        <v/>
      </c>
      <c r="J2001" s="7">
        <f>IF($B2001="","",I2001*Q2001/100)</f>
        <v/>
      </c>
      <c r="N2001" s="7" t="n"/>
      <c r="O2001" s="7" t="n"/>
      <c r="P2001" s="7">
        <f>IF($B2001="","",O2001*X2001/100)</f>
        <v/>
      </c>
      <c r="Q2001" s="7">
        <f>IF($B2001="","",O2001-P2001)</f>
        <v/>
      </c>
      <c r="R2001" s="7">
        <f>IF($B2001="","",Q2001-J2001)</f>
        <v/>
      </c>
      <c r="S2001" s="7" t="n"/>
      <c r="T2001" s="7" t="n"/>
      <c r="V2001" s="14" t="n"/>
      <c r="Z2001">
        <f>IF($B2001="","",IF(COUNTIF($B$2:$B2001,$B2001)=1,1,0))</f>
        <v/>
      </c>
      <c r="AA2001">
        <f>IF($Z2001=1,SUMPRODUCT(--($AC$2:$AC$3001&lt;$AC2001))+1,"")</f>
        <v/>
      </c>
      <c r="AB2001">
        <f>IF($B2001="","",IF(OR($Y2001=TRUE(),$Y2001="TRUE"),1,IF(AND($Y2001&lt;&gt;"",OR($Y2001=FALSE(),$Y2001="FALSE")),0,IF(MIN(ABS($X2001/100-Settings!$C$6),ABS($X2001/100-Settings!$G$6))&lt;=MIN(ABS($X2001/100-Settings!$C$7),ABS($X2001/100-Settings!$G$7)),1,0))))</f>
        <v/>
      </c>
      <c r="AC2001">
        <f>IF($Z2001=1,IFERROR(IF(VALUE($B2001)&lt;100000000,VALUE($B2001),1000000000),IFERROR(IF(VALUE(MID($B2001,2,20))&lt;100000000,VALUE(MID($B2001,2,20)),1000000000),1000000000))+ROW()/100000,"")</f>
        <v/>
      </c>
    </row>
    <row r="2002">
      <c r="A2002">
        <f>IF($B2002="","",IFERROR(IF(INDEX('Per Invoice'!$A$2:$A$801,MATCH($B2002,'Per Invoice'!$B$2:$B$801,0))=0,"",INDEX('Per Invoice'!$A$2:$A$801,MATCH($B2002,'Per Invoice'!$B$2:$B$801,0))),""))</f>
        <v/>
      </c>
      <c r="J2002" s="7">
        <f>IF($B2002="","",I2002*Q2002/100)</f>
        <v/>
      </c>
      <c r="N2002" s="7" t="n"/>
      <c r="O2002" s="7" t="n"/>
      <c r="P2002" s="7">
        <f>IF($B2002="","",O2002*X2002/100)</f>
        <v/>
      </c>
      <c r="Q2002" s="7">
        <f>IF($B2002="","",O2002-P2002)</f>
        <v/>
      </c>
      <c r="R2002" s="7">
        <f>IF($B2002="","",Q2002-J2002)</f>
        <v/>
      </c>
      <c r="S2002" s="7" t="n"/>
      <c r="T2002" s="7" t="n"/>
      <c r="V2002" s="14" t="n"/>
      <c r="Z2002">
        <f>IF($B2002="","",IF(COUNTIF($B$2:$B2002,$B2002)=1,1,0))</f>
        <v/>
      </c>
      <c r="AA2002">
        <f>IF($Z2002=1,SUMPRODUCT(--($AC$2:$AC$3001&lt;$AC2002))+1,"")</f>
        <v/>
      </c>
      <c r="AB2002">
        <f>IF($B2002="","",IF(OR($Y2002=TRUE(),$Y2002="TRUE"),1,IF(AND($Y2002&lt;&gt;"",OR($Y2002=FALSE(),$Y2002="FALSE")),0,IF(MIN(ABS($X2002/100-Settings!$C$6),ABS($X2002/100-Settings!$G$6))&lt;=MIN(ABS($X2002/100-Settings!$C$7),ABS($X2002/100-Settings!$G$7)),1,0))))</f>
        <v/>
      </c>
      <c r="AC2002">
        <f>IF($Z2002=1,IFERROR(IF(VALUE($B2002)&lt;100000000,VALUE($B2002),1000000000),IFERROR(IF(VALUE(MID($B2002,2,20))&lt;100000000,VALUE(MID($B2002,2,20)),1000000000),1000000000))+ROW()/100000,"")</f>
        <v/>
      </c>
    </row>
    <row r="2003">
      <c r="A2003">
        <f>IF($B2003="","",IFERROR(IF(INDEX('Per Invoice'!$A$2:$A$801,MATCH($B2003,'Per Invoice'!$B$2:$B$801,0))=0,"",INDEX('Per Invoice'!$A$2:$A$801,MATCH($B2003,'Per Invoice'!$B$2:$B$801,0))),""))</f>
        <v/>
      </c>
      <c r="J2003" s="7">
        <f>IF($B2003="","",I2003*Q2003/100)</f>
        <v/>
      </c>
      <c r="N2003" s="7" t="n"/>
      <c r="O2003" s="7" t="n"/>
      <c r="P2003" s="7">
        <f>IF($B2003="","",O2003*X2003/100)</f>
        <v/>
      </c>
      <c r="Q2003" s="7">
        <f>IF($B2003="","",O2003-P2003)</f>
        <v/>
      </c>
      <c r="R2003" s="7">
        <f>IF($B2003="","",Q2003-J2003)</f>
        <v/>
      </c>
      <c r="S2003" s="7" t="n"/>
      <c r="T2003" s="7" t="n"/>
      <c r="V2003" s="14" t="n"/>
      <c r="Z2003">
        <f>IF($B2003="","",IF(COUNTIF($B$2:$B2003,$B2003)=1,1,0))</f>
        <v/>
      </c>
      <c r="AA2003">
        <f>IF($Z2003=1,SUMPRODUCT(--($AC$2:$AC$3001&lt;$AC2003))+1,"")</f>
        <v/>
      </c>
      <c r="AB2003">
        <f>IF($B2003="","",IF(OR($Y2003=TRUE(),$Y2003="TRUE"),1,IF(AND($Y2003&lt;&gt;"",OR($Y2003=FALSE(),$Y2003="FALSE")),0,IF(MIN(ABS($X2003/100-Settings!$C$6),ABS($X2003/100-Settings!$G$6))&lt;=MIN(ABS($X2003/100-Settings!$C$7),ABS($X2003/100-Settings!$G$7)),1,0))))</f>
        <v/>
      </c>
      <c r="AC2003">
        <f>IF($Z2003=1,IFERROR(IF(VALUE($B2003)&lt;100000000,VALUE($B2003),1000000000),IFERROR(IF(VALUE(MID($B2003,2,20))&lt;100000000,VALUE(MID($B2003,2,20)),1000000000),1000000000))+ROW()/100000,"")</f>
        <v/>
      </c>
    </row>
    <row r="2004">
      <c r="A2004">
        <f>IF($B2004="","",IFERROR(IF(INDEX('Per Invoice'!$A$2:$A$801,MATCH($B2004,'Per Invoice'!$B$2:$B$801,0))=0,"",INDEX('Per Invoice'!$A$2:$A$801,MATCH($B2004,'Per Invoice'!$B$2:$B$801,0))),""))</f>
        <v/>
      </c>
      <c r="J2004" s="7">
        <f>IF($B2004="","",I2004*Q2004/100)</f>
        <v/>
      </c>
      <c r="N2004" s="7" t="n"/>
      <c r="O2004" s="7" t="n"/>
      <c r="P2004" s="7">
        <f>IF($B2004="","",O2004*X2004/100)</f>
        <v/>
      </c>
      <c r="Q2004" s="7">
        <f>IF($B2004="","",O2004-P2004)</f>
        <v/>
      </c>
      <c r="R2004" s="7">
        <f>IF($B2004="","",Q2004-J2004)</f>
        <v/>
      </c>
      <c r="S2004" s="7" t="n"/>
      <c r="T2004" s="7" t="n"/>
      <c r="V2004" s="14" t="n"/>
      <c r="Z2004">
        <f>IF($B2004="","",IF(COUNTIF($B$2:$B2004,$B2004)=1,1,0))</f>
        <v/>
      </c>
      <c r="AA2004">
        <f>IF($Z2004=1,SUMPRODUCT(--($AC$2:$AC$3001&lt;$AC2004))+1,"")</f>
        <v/>
      </c>
      <c r="AB2004">
        <f>IF($B2004="","",IF(OR($Y2004=TRUE(),$Y2004="TRUE"),1,IF(AND($Y2004&lt;&gt;"",OR($Y2004=FALSE(),$Y2004="FALSE")),0,IF(MIN(ABS($X2004/100-Settings!$C$6),ABS($X2004/100-Settings!$G$6))&lt;=MIN(ABS($X2004/100-Settings!$C$7),ABS($X2004/100-Settings!$G$7)),1,0))))</f>
        <v/>
      </c>
      <c r="AC2004">
        <f>IF($Z2004=1,IFERROR(IF(VALUE($B2004)&lt;100000000,VALUE($B2004),1000000000),IFERROR(IF(VALUE(MID($B2004,2,20))&lt;100000000,VALUE(MID($B2004,2,20)),1000000000),1000000000))+ROW()/100000,"")</f>
        <v/>
      </c>
    </row>
    <row r="2005">
      <c r="A2005">
        <f>IF($B2005="","",IFERROR(IF(INDEX('Per Invoice'!$A$2:$A$801,MATCH($B2005,'Per Invoice'!$B$2:$B$801,0))=0,"",INDEX('Per Invoice'!$A$2:$A$801,MATCH($B2005,'Per Invoice'!$B$2:$B$801,0))),""))</f>
        <v/>
      </c>
      <c r="J2005" s="7">
        <f>IF($B2005="","",I2005*Q2005/100)</f>
        <v/>
      </c>
      <c r="N2005" s="7" t="n"/>
      <c r="O2005" s="7" t="n"/>
      <c r="P2005" s="7">
        <f>IF($B2005="","",O2005*X2005/100)</f>
        <v/>
      </c>
      <c r="Q2005" s="7">
        <f>IF($B2005="","",O2005-P2005)</f>
        <v/>
      </c>
      <c r="R2005" s="7">
        <f>IF($B2005="","",Q2005-J2005)</f>
        <v/>
      </c>
      <c r="S2005" s="7" t="n"/>
      <c r="T2005" s="7" t="n"/>
      <c r="V2005" s="14" t="n"/>
      <c r="Z2005">
        <f>IF($B2005="","",IF(COUNTIF($B$2:$B2005,$B2005)=1,1,0))</f>
        <v/>
      </c>
      <c r="AA2005">
        <f>IF($Z2005=1,SUMPRODUCT(--($AC$2:$AC$3001&lt;$AC2005))+1,"")</f>
        <v/>
      </c>
      <c r="AB2005">
        <f>IF($B2005="","",IF(OR($Y2005=TRUE(),$Y2005="TRUE"),1,IF(AND($Y2005&lt;&gt;"",OR($Y2005=FALSE(),$Y2005="FALSE")),0,IF(MIN(ABS($X2005/100-Settings!$C$6),ABS($X2005/100-Settings!$G$6))&lt;=MIN(ABS($X2005/100-Settings!$C$7),ABS($X2005/100-Settings!$G$7)),1,0))))</f>
        <v/>
      </c>
      <c r="AC2005">
        <f>IF($Z2005=1,IFERROR(IF(VALUE($B2005)&lt;100000000,VALUE($B2005),1000000000),IFERROR(IF(VALUE(MID($B2005,2,20))&lt;100000000,VALUE(MID($B2005,2,20)),1000000000),1000000000))+ROW()/100000,"")</f>
        <v/>
      </c>
    </row>
    <row r="2006">
      <c r="A2006">
        <f>IF($B2006="","",IFERROR(IF(INDEX('Per Invoice'!$A$2:$A$801,MATCH($B2006,'Per Invoice'!$B$2:$B$801,0))=0,"",INDEX('Per Invoice'!$A$2:$A$801,MATCH($B2006,'Per Invoice'!$B$2:$B$801,0))),""))</f>
        <v/>
      </c>
      <c r="J2006" s="7">
        <f>IF($B2006="","",I2006*Q2006/100)</f>
        <v/>
      </c>
      <c r="N2006" s="7" t="n"/>
      <c r="O2006" s="7" t="n"/>
      <c r="P2006" s="7">
        <f>IF($B2006="","",O2006*X2006/100)</f>
        <v/>
      </c>
      <c r="Q2006" s="7">
        <f>IF($B2006="","",O2006-P2006)</f>
        <v/>
      </c>
      <c r="R2006" s="7">
        <f>IF($B2006="","",Q2006-J2006)</f>
        <v/>
      </c>
      <c r="S2006" s="7" t="n"/>
      <c r="T2006" s="7" t="n"/>
      <c r="V2006" s="14" t="n"/>
      <c r="Z2006">
        <f>IF($B2006="","",IF(COUNTIF($B$2:$B2006,$B2006)=1,1,0))</f>
        <v/>
      </c>
      <c r="AA2006">
        <f>IF($Z2006=1,SUMPRODUCT(--($AC$2:$AC$3001&lt;$AC2006))+1,"")</f>
        <v/>
      </c>
      <c r="AB2006">
        <f>IF($B2006="","",IF(OR($Y2006=TRUE(),$Y2006="TRUE"),1,IF(AND($Y2006&lt;&gt;"",OR($Y2006=FALSE(),$Y2006="FALSE")),0,IF(MIN(ABS($X2006/100-Settings!$C$6),ABS($X2006/100-Settings!$G$6))&lt;=MIN(ABS($X2006/100-Settings!$C$7),ABS($X2006/100-Settings!$G$7)),1,0))))</f>
        <v/>
      </c>
      <c r="AC2006">
        <f>IF($Z2006=1,IFERROR(IF(VALUE($B2006)&lt;100000000,VALUE($B2006),1000000000),IFERROR(IF(VALUE(MID($B2006,2,20))&lt;100000000,VALUE(MID($B2006,2,20)),1000000000),1000000000))+ROW()/100000,"")</f>
        <v/>
      </c>
    </row>
    <row r="2007">
      <c r="A2007">
        <f>IF($B2007="","",IFERROR(IF(INDEX('Per Invoice'!$A$2:$A$801,MATCH($B2007,'Per Invoice'!$B$2:$B$801,0))=0,"",INDEX('Per Invoice'!$A$2:$A$801,MATCH($B2007,'Per Invoice'!$B$2:$B$801,0))),""))</f>
        <v/>
      </c>
      <c r="J2007" s="7">
        <f>IF($B2007="","",I2007*Q2007/100)</f>
        <v/>
      </c>
      <c r="N2007" s="7" t="n"/>
      <c r="O2007" s="7" t="n"/>
      <c r="P2007" s="7">
        <f>IF($B2007="","",O2007*X2007/100)</f>
        <v/>
      </c>
      <c r="Q2007" s="7">
        <f>IF($B2007="","",O2007-P2007)</f>
        <v/>
      </c>
      <c r="R2007" s="7">
        <f>IF($B2007="","",Q2007-J2007)</f>
        <v/>
      </c>
      <c r="S2007" s="7" t="n"/>
      <c r="T2007" s="7" t="n"/>
      <c r="V2007" s="14" t="n"/>
      <c r="Z2007">
        <f>IF($B2007="","",IF(COUNTIF($B$2:$B2007,$B2007)=1,1,0))</f>
        <v/>
      </c>
      <c r="AA2007">
        <f>IF($Z2007=1,SUMPRODUCT(--($AC$2:$AC$3001&lt;$AC2007))+1,"")</f>
        <v/>
      </c>
      <c r="AB2007">
        <f>IF($B2007="","",IF(OR($Y2007=TRUE(),$Y2007="TRUE"),1,IF(AND($Y2007&lt;&gt;"",OR($Y2007=FALSE(),$Y2007="FALSE")),0,IF(MIN(ABS($X2007/100-Settings!$C$6),ABS($X2007/100-Settings!$G$6))&lt;=MIN(ABS($X2007/100-Settings!$C$7),ABS($X2007/100-Settings!$G$7)),1,0))))</f>
        <v/>
      </c>
      <c r="AC2007">
        <f>IF($Z2007=1,IFERROR(IF(VALUE($B2007)&lt;100000000,VALUE($B2007),1000000000),IFERROR(IF(VALUE(MID($B2007,2,20))&lt;100000000,VALUE(MID($B2007,2,20)),1000000000),1000000000))+ROW()/100000,"")</f>
        <v/>
      </c>
    </row>
    <row r="2008">
      <c r="A2008">
        <f>IF($B2008="","",IFERROR(IF(INDEX('Per Invoice'!$A$2:$A$801,MATCH($B2008,'Per Invoice'!$B$2:$B$801,0))=0,"",INDEX('Per Invoice'!$A$2:$A$801,MATCH($B2008,'Per Invoice'!$B$2:$B$801,0))),""))</f>
        <v/>
      </c>
      <c r="J2008" s="7">
        <f>IF($B2008="","",I2008*Q2008/100)</f>
        <v/>
      </c>
      <c r="N2008" s="7" t="n"/>
      <c r="O2008" s="7" t="n"/>
      <c r="P2008" s="7">
        <f>IF($B2008="","",O2008*X2008/100)</f>
        <v/>
      </c>
      <c r="Q2008" s="7">
        <f>IF($B2008="","",O2008-P2008)</f>
        <v/>
      </c>
      <c r="R2008" s="7">
        <f>IF($B2008="","",Q2008-J2008)</f>
        <v/>
      </c>
      <c r="S2008" s="7" t="n"/>
      <c r="T2008" s="7" t="n"/>
      <c r="V2008" s="14" t="n"/>
      <c r="Z2008">
        <f>IF($B2008="","",IF(COUNTIF($B$2:$B2008,$B2008)=1,1,0))</f>
        <v/>
      </c>
      <c r="AA2008">
        <f>IF($Z2008=1,SUMPRODUCT(--($AC$2:$AC$3001&lt;$AC2008))+1,"")</f>
        <v/>
      </c>
      <c r="AB2008">
        <f>IF($B2008="","",IF(OR($Y2008=TRUE(),$Y2008="TRUE"),1,IF(AND($Y2008&lt;&gt;"",OR($Y2008=FALSE(),$Y2008="FALSE")),0,IF(MIN(ABS($X2008/100-Settings!$C$6),ABS($X2008/100-Settings!$G$6))&lt;=MIN(ABS($X2008/100-Settings!$C$7),ABS($X2008/100-Settings!$G$7)),1,0))))</f>
        <v/>
      </c>
      <c r="AC2008">
        <f>IF($Z2008=1,IFERROR(IF(VALUE($B2008)&lt;100000000,VALUE($B2008),1000000000),IFERROR(IF(VALUE(MID($B2008,2,20))&lt;100000000,VALUE(MID($B2008,2,20)),1000000000),1000000000))+ROW()/100000,"")</f>
        <v/>
      </c>
    </row>
    <row r="2009">
      <c r="A2009">
        <f>IF($B2009="","",IFERROR(IF(INDEX('Per Invoice'!$A$2:$A$801,MATCH($B2009,'Per Invoice'!$B$2:$B$801,0))=0,"",INDEX('Per Invoice'!$A$2:$A$801,MATCH($B2009,'Per Invoice'!$B$2:$B$801,0))),""))</f>
        <v/>
      </c>
      <c r="J2009" s="7">
        <f>IF($B2009="","",I2009*Q2009/100)</f>
        <v/>
      </c>
      <c r="N2009" s="7" t="n"/>
      <c r="O2009" s="7" t="n"/>
      <c r="P2009" s="7">
        <f>IF($B2009="","",O2009*X2009/100)</f>
        <v/>
      </c>
      <c r="Q2009" s="7">
        <f>IF($B2009="","",O2009-P2009)</f>
        <v/>
      </c>
      <c r="R2009" s="7">
        <f>IF($B2009="","",Q2009-J2009)</f>
        <v/>
      </c>
      <c r="S2009" s="7" t="n"/>
      <c r="T2009" s="7" t="n"/>
      <c r="V2009" s="14" t="n"/>
      <c r="Z2009">
        <f>IF($B2009="","",IF(COUNTIF($B$2:$B2009,$B2009)=1,1,0))</f>
        <v/>
      </c>
      <c r="AA2009">
        <f>IF($Z2009=1,SUMPRODUCT(--($AC$2:$AC$3001&lt;$AC2009))+1,"")</f>
        <v/>
      </c>
      <c r="AB2009">
        <f>IF($B2009="","",IF(OR($Y2009=TRUE(),$Y2009="TRUE"),1,IF(AND($Y2009&lt;&gt;"",OR($Y2009=FALSE(),$Y2009="FALSE")),0,IF(MIN(ABS($X2009/100-Settings!$C$6),ABS($X2009/100-Settings!$G$6))&lt;=MIN(ABS($X2009/100-Settings!$C$7),ABS($X2009/100-Settings!$G$7)),1,0))))</f>
        <v/>
      </c>
      <c r="AC2009">
        <f>IF($Z2009=1,IFERROR(IF(VALUE($B2009)&lt;100000000,VALUE($B2009),1000000000),IFERROR(IF(VALUE(MID($B2009,2,20))&lt;100000000,VALUE(MID($B2009,2,20)),1000000000),1000000000))+ROW()/100000,"")</f>
        <v/>
      </c>
    </row>
    <row r="2010">
      <c r="A2010">
        <f>IF($B2010="","",IFERROR(IF(INDEX('Per Invoice'!$A$2:$A$801,MATCH($B2010,'Per Invoice'!$B$2:$B$801,0))=0,"",INDEX('Per Invoice'!$A$2:$A$801,MATCH($B2010,'Per Invoice'!$B$2:$B$801,0))),""))</f>
        <v/>
      </c>
      <c r="J2010" s="7">
        <f>IF($B2010="","",I2010*Q2010/100)</f>
        <v/>
      </c>
      <c r="N2010" s="7" t="n"/>
      <c r="O2010" s="7" t="n"/>
      <c r="P2010" s="7">
        <f>IF($B2010="","",O2010*X2010/100)</f>
        <v/>
      </c>
      <c r="Q2010" s="7">
        <f>IF($B2010="","",O2010-P2010)</f>
        <v/>
      </c>
      <c r="R2010" s="7">
        <f>IF($B2010="","",Q2010-J2010)</f>
        <v/>
      </c>
      <c r="S2010" s="7" t="n"/>
      <c r="T2010" s="7" t="n"/>
      <c r="V2010" s="14" t="n"/>
      <c r="Z2010">
        <f>IF($B2010="","",IF(COUNTIF($B$2:$B2010,$B2010)=1,1,0))</f>
        <v/>
      </c>
      <c r="AA2010">
        <f>IF($Z2010=1,SUMPRODUCT(--($AC$2:$AC$3001&lt;$AC2010))+1,"")</f>
        <v/>
      </c>
      <c r="AB2010">
        <f>IF($B2010="","",IF(OR($Y2010=TRUE(),$Y2010="TRUE"),1,IF(AND($Y2010&lt;&gt;"",OR($Y2010=FALSE(),$Y2010="FALSE")),0,IF(MIN(ABS($X2010/100-Settings!$C$6),ABS($X2010/100-Settings!$G$6))&lt;=MIN(ABS($X2010/100-Settings!$C$7),ABS($X2010/100-Settings!$G$7)),1,0))))</f>
        <v/>
      </c>
      <c r="AC2010">
        <f>IF($Z2010=1,IFERROR(IF(VALUE($B2010)&lt;100000000,VALUE($B2010),1000000000),IFERROR(IF(VALUE(MID($B2010,2,20))&lt;100000000,VALUE(MID($B2010,2,20)),1000000000),1000000000))+ROW()/100000,"")</f>
        <v/>
      </c>
    </row>
    <row r="2011">
      <c r="A2011">
        <f>IF($B2011="","",IFERROR(IF(INDEX('Per Invoice'!$A$2:$A$801,MATCH($B2011,'Per Invoice'!$B$2:$B$801,0))=0,"",INDEX('Per Invoice'!$A$2:$A$801,MATCH($B2011,'Per Invoice'!$B$2:$B$801,0))),""))</f>
        <v/>
      </c>
      <c r="J2011" s="7">
        <f>IF($B2011="","",I2011*Q2011/100)</f>
        <v/>
      </c>
      <c r="N2011" s="7" t="n"/>
      <c r="O2011" s="7" t="n"/>
      <c r="P2011" s="7">
        <f>IF($B2011="","",O2011*X2011/100)</f>
        <v/>
      </c>
      <c r="Q2011" s="7">
        <f>IF($B2011="","",O2011-P2011)</f>
        <v/>
      </c>
      <c r="R2011" s="7">
        <f>IF($B2011="","",Q2011-J2011)</f>
        <v/>
      </c>
      <c r="S2011" s="7" t="n"/>
      <c r="T2011" s="7" t="n"/>
      <c r="V2011" s="14" t="n"/>
      <c r="Z2011">
        <f>IF($B2011="","",IF(COUNTIF($B$2:$B2011,$B2011)=1,1,0))</f>
        <v/>
      </c>
      <c r="AA2011">
        <f>IF($Z2011=1,SUMPRODUCT(--($AC$2:$AC$3001&lt;$AC2011))+1,"")</f>
        <v/>
      </c>
      <c r="AB2011">
        <f>IF($B2011="","",IF(OR($Y2011=TRUE(),$Y2011="TRUE"),1,IF(AND($Y2011&lt;&gt;"",OR($Y2011=FALSE(),$Y2011="FALSE")),0,IF(MIN(ABS($X2011/100-Settings!$C$6),ABS($X2011/100-Settings!$G$6))&lt;=MIN(ABS($X2011/100-Settings!$C$7),ABS($X2011/100-Settings!$G$7)),1,0))))</f>
        <v/>
      </c>
      <c r="AC2011">
        <f>IF($Z2011=1,IFERROR(IF(VALUE($B2011)&lt;100000000,VALUE($B2011),1000000000),IFERROR(IF(VALUE(MID($B2011,2,20))&lt;100000000,VALUE(MID($B2011,2,20)),1000000000),1000000000))+ROW()/100000,"")</f>
        <v/>
      </c>
    </row>
    <row r="2012">
      <c r="A2012">
        <f>IF($B2012="","",IFERROR(IF(INDEX('Per Invoice'!$A$2:$A$801,MATCH($B2012,'Per Invoice'!$B$2:$B$801,0))=0,"",INDEX('Per Invoice'!$A$2:$A$801,MATCH($B2012,'Per Invoice'!$B$2:$B$801,0))),""))</f>
        <v/>
      </c>
      <c r="J2012" s="7">
        <f>IF($B2012="","",I2012*Q2012/100)</f>
        <v/>
      </c>
      <c r="N2012" s="7" t="n"/>
      <c r="O2012" s="7" t="n"/>
      <c r="P2012" s="7">
        <f>IF($B2012="","",O2012*X2012/100)</f>
        <v/>
      </c>
      <c r="Q2012" s="7">
        <f>IF($B2012="","",O2012-P2012)</f>
        <v/>
      </c>
      <c r="R2012" s="7">
        <f>IF($B2012="","",Q2012-J2012)</f>
        <v/>
      </c>
      <c r="S2012" s="7" t="n"/>
      <c r="T2012" s="7" t="n"/>
      <c r="V2012" s="14" t="n"/>
      <c r="Z2012">
        <f>IF($B2012="","",IF(COUNTIF($B$2:$B2012,$B2012)=1,1,0))</f>
        <v/>
      </c>
      <c r="AA2012">
        <f>IF($Z2012=1,SUMPRODUCT(--($AC$2:$AC$3001&lt;$AC2012))+1,"")</f>
        <v/>
      </c>
      <c r="AB2012">
        <f>IF($B2012="","",IF(OR($Y2012=TRUE(),$Y2012="TRUE"),1,IF(AND($Y2012&lt;&gt;"",OR($Y2012=FALSE(),$Y2012="FALSE")),0,IF(MIN(ABS($X2012/100-Settings!$C$6),ABS($X2012/100-Settings!$G$6))&lt;=MIN(ABS($X2012/100-Settings!$C$7),ABS($X2012/100-Settings!$G$7)),1,0))))</f>
        <v/>
      </c>
      <c r="AC2012">
        <f>IF($Z2012=1,IFERROR(IF(VALUE($B2012)&lt;100000000,VALUE($B2012),1000000000),IFERROR(IF(VALUE(MID($B2012,2,20))&lt;100000000,VALUE(MID($B2012,2,20)),1000000000),1000000000))+ROW()/100000,"")</f>
        <v/>
      </c>
    </row>
    <row r="2013">
      <c r="A2013">
        <f>IF($B2013="","",IFERROR(IF(INDEX('Per Invoice'!$A$2:$A$801,MATCH($B2013,'Per Invoice'!$B$2:$B$801,0))=0,"",INDEX('Per Invoice'!$A$2:$A$801,MATCH($B2013,'Per Invoice'!$B$2:$B$801,0))),""))</f>
        <v/>
      </c>
      <c r="J2013" s="7">
        <f>IF($B2013="","",I2013*Q2013/100)</f>
        <v/>
      </c>
      <c r="N2013" s="7" t="n"/>
      <c r="O2013" s="7" t="n"/>
      <c r="P2013" s="7">
        <f>IF($B2013="","",O2013*X2013/100)</f>
        <v/>
      </c>
      <c r="Q2013" s="7">
        <f>IF($B2013="","",O2013-P2013)</f>
        <v/>
      </c>
      <c r="R2013" s="7">
        <f>IF($B2013="","",Q2013-J2013)</f>
        <v/>
      </c>
      <c r="S2013" s="7" t="n"/>
      <c r="T2013" s="7" t="n"/>
      <c r="V2013" s="14" t="n"/>
      <c r="Z2013">
        <f>IF($B2013="","",IF(COUNTIF($B$2:$B2013,$B2013)=1,1,0))</f>
        <v/>
      </c>
      <c r="AA2013">
        <f>IF($Z2013=1,SUMPRODUCT(--($AC$2:$AC$3001&lt;$AC2013))+1,"")</f>
        <v/>
      </c>
      <c r="AB2013">
        <f>IF($B2013="","",IF(OR($Y2013=TRUE(),$Y2013="TRUE"),1,IF(AND($Y2013&lt;&gt;"",OR($Y2013=FALSE(),$Y2013="FALSE")),0,IF(MIN(ABS($X2013/100-Settings!$C$6),ABS($X2013/100-Settings!$G$6))&lt;=MIN(ABS($X2013/100-Settings!$C$7),ABS($X2013/100-Settings!$G$7)),1,0))))</f>
        <v/>
      </c>
      <c r="AC2013">
        <f>IF($Z2013=1,IFERROR(IF(VALUE($B2013)&lt;100000000,VALUE($B2013),1000000000),IFERROR(IF(VALUE(MID($B2013,2,20))&lt;100000000,VALUE(MID($B2013,2,20)),1000000000),1000000000))+ROW()/100000,"")</f>
        <v/>
      </c>
    </row>
    <row r="2014">
      <c r="A2014">
        <f>IF($B2014="","",IFERROR(IF(INDEX('Per Invoice'!$A$2:$A$801,MATCH($B2014,'Per Invoice'!$B$2:$B$801,0))=0,"",INDEX('Per Invoice'!$A$2:$A$801,MATCH($B2014,'Per Invoice'!$B$2:$B$801,0))),""))</f>
        <v/>
      </c>
      <c r="J2014" s="7">
        <f>IF($B2014="","",I2014*Q2014/100)</f>
        <v/>
      </c>
      <c r="N2014" s="7" t="n"/>
      <c r="O2014" s="7" t="n"/>
      <c r="P2014" s="7">
        <f>IF($B2014="","",O2014*X2014/100)</f>
        <v/>
      </c>
      <c r="Q2014" s="7">
        <f>IF($B2014="","",O2014-P2014)</f>
        <v/>
      </c>
      <c r="R2014" s="7">
        <f>IF($B2014="","",Q2014-J2014)</f>
        <v/>
      </c>
      <c r="S2014" s="7" t="n"/>
      <c r="T2014" s="7" t="n"/>
      <c r="V2014" s="14" t="n"/>
      <c r="Z2014">
        <f>IF($B2014="","",IF(COUNTIF($B$2:$B2014,$B2014)=1,1,0))</f>
        <v/>
      </c>
      <c r="AA2014">
        <f>IF($Z2014=1,SUMPRODUCT(--($AC$2:$AC$3001&lt;$AC2014))+1,"")</f>
        <v/>
      </c>
      <c r="AB2014">
        <f>IF($B2014="","",IF(OR($Y2014=TRUE(),$Y2014="TRUE"),1,IF(AND($Y2014&lt;&gt;"",OR($Y2014=FALSE(),$Y2014="FALSE")),0,IF(MIN(ABS($X2014/100-Settings!$C$6),ABS($X2014/100-Settings!$G$6))&lt;=MIN(ABS($X2014/100-Settings!$C$7),ABS($X2014/100-Settings!$G$7)),1,0))))</f>
        <v/>
      </c>
      <c r="AC2014">
        <f>IF($Z2014=1,IFERROR(IF(VALUE($B2014)&lt;100000000,VALUE($B2014),1000000000),IFERROR(IF(VALUE(MID($B2014,2,20))&lt;100000000,VALUE(MID($B2014,2,20)),1000000000),1000000000))+ROW()/100000,"")</f>
        <v/>
      </c>
    </row>
    <row r="2015">
      <c r="A2015">
        <f>IF($B2015="","",IFERROR(IF(INDEX('Per Invoice'!$A$2:$A$801,MATCH($B2015,'Per Invoice'!$B$2:$B$801,0))=0,"",INDEX('Per Invoice'!$A$2:$A$801,MATCH($B2015,'Per Invoice'!$B$2:$B$801,0))),""))</f>
        <v/>
      </c>
      <c r="J2015" s="7">
        <f>IF($B2015="","",I2015*Q2015/100)</f>
        <v/>
      </c>
      <c r="N2015" s="7" t="n"/>
      <c r="O2015" s="7" t="n"/>
      <c r="P2015" s="7">
        <f>IF($B2015="","",O2015*X2015/100)</f>
        <v/>
      </c>
      <c r="Q2015" s="7">
        <f>IF($B2015="","",O2015-P2015)</f>
        <v/>
      </c>
      <c r="R2015" s="7">
        <f>IF($B2015="","",Q2015-J2015)</f>
        <v/>
      </c>
      <c r="S2015" s="7" t="n"/>
      <c r="T2015" s="7" t="n"/>
      <c r="V2015" s="14" t="n"/>
      <c r="Z2015">
        <f>IF($B2015="","",IF(COUNTIF($B$2:$B2015,$B2015)=1,1,0))</f>
        <v/>
      </c>
      <c r="AA2015">
        <f>IF($Z2015=1,SUMPRODUCT(--($AC$2:$AC$3001&lt;$AC2015))+1,"")</f>
        <v/>
      </c>
      <c r="AB2015">
        <f>IF($B2015="","",IF(OR($Y2015=TRUE(),$Y2015="TRUE"),1,IF(AND($Y2015&lt;&gt;"",OR($Y2015=FALSE(),$Y2015="FALSE")),0,IF(MIN(ABS($X2015/100-Settings!$C$6),ABS($X2015/100-Settings!$G$6))&lt;=MIN(ABS($X2015/100-Settings!$C$7),ABS($X2015/100-Settings!$G$7)),1,0))))</f>
        <v/>
      </c>
      <c r="AC2015">
        <f>IF($Z2015=1,IFERROR(IF(VALUE($B2015)&lt;100000000,VALUE($B2015),1000000000),IFERROR(IF(VALUE(MID($B2015,2,20))&lt;100000000,VALUE(MID($B2015,2,20)),1000000000),1000000000))+ROW()/100000,"")</f>
        <v/>
      </c>
    </row>
    <row r="2016">
      <c r="A2016">
        <f>IF($B2016="","",IFERROR(IF(INDEX('Per Invoice'!$A$2:$A$801,MATCH($B2016,'Per Invoice'!$B$2:$B$801,0))=0,"",INDEX('Per Invoice'!$A$2:$A$801,MATCH($B2016,'Per Invoice'!$B$2:$B$801,0))),""))</f>
        <v/>
      </c>
      <c r="J2016" s="7">
        <f>IF($B2016="","",I2016*Q2016/100)</f>
        <v/>
      </c>
      <c r="N2016" s="7" t="n"/>
      <c r="O2016" s="7" t="n"/>
      <c r="P2016" s="7">
        <f>IF($B2016="","",O2016*X2016/100)</f>
        <v/>
      </c>
      <c r="Q2016" s="7">
        <f>IF($B2016="","",O2016-P2016)</f>
        <v/>
      </c>
      <c r="R2016" s="7">
        <f>IF($B2016="","",Q2016-J2016)</f>
        <v/>
      </c>
      <c r="S2016" s="7" t="n"/>
      <c r="T2016" s="7" t="n"/>
      <c r="V2016" s="14" t="n"/>
      <c r="Z2016">
        <f>IF($B2016="","",IF(COUNTIF($B$2:$B2016,$B2016)=1,1,0))</f>
        <v/>
      </c>
      <c r="AA2016">
        <f>IF($Z2016=1,SUMPRODUCT(--($AC$2:$AC$3001&lt;$AC2016))+1,"")</f>
        <v/>
      </c>
      <c r="AB2016">
        <f>IF($B2016="","",IF(OR($Y2016=TRUE(),$Y2016="TRUE"),1,IF(AND($Y2016&lt;&gt;"",OR($Y2016=FALSE(),$Y2016="FALSE")),0,IF(MIN(ABS($X2016/100-Settings!$C$6),ABS($X2016/100-Settings!$G$6))&lt;=MIN(ABS($X2016/100-Settings!$C$7),ABS($X2016/100-Settings!$G$7)),1,0))))</f>
        <v/>
      </c>
      <c r="AC2016">
        <f>IF($Z2016=1,IFERROR(IF(VALUE($B2016)&lt;100000000,VALUE($B2016),1000000000),IFERROR(IF(VALUE(MID($B2016,2,20))&lt;100000000,VALUE(MID($B2016,2,20)),1000000000),1000000000))+ROW()/100000,"")</f>
        <v/>
      </c>
    </row>
    <row r="2017">
      <c r="A2017">
        <f>IF($B2017="","",IFERROR(IF(INDEX('Per Invoice'!$A$2:$A$801,MATCH($B2017,'Per Invoice'!$B$2:$B$801,0))=0,"",INDEX('Per Invoice'!$A$2:$A$801,MATCH($B2017,'Per Invoice'!$B$2:$B$801,0))),""))</f>
        <v/>
      </c>
      <c r="J2017" s="7">
        <f>IF($B2017="","",I2017*Q2017/100)</f>
        <v/>
      </c>
      <c r="N2017" s="7" t="n"/>
      <c r="O2017" s="7" t="n"/>
      <c r="P2017" s="7">
        <f>IF($B2017="","",O2017*X2017/100)</f>
        <v/>
      </c>
      <c r="Q2017" s="7">
        <f>IF($B2017="","",O2017-P2017)</f>
        <v/>
      </c>
      <c r="R2017" s="7">
        <f>IF($B2017="","",Q2017-J2017)</f>
        <v/>
      </c>
      <c r="S2017" s="7" t="n"/>
      <c r="T2017" s="7" t="n"/>
      <c r="V2017" s="14" t="n"/>
      <c r="Z2017">
        <f>IF($B2017="","",IF(COUNTIF($B$2:$B2017,$B2017)=1,1,0))</f>
        <v/>
      </c>
      <c r="AA2017">
        <f>IF($Z2017=1,SUMPRODUCT(--($AC$2:$AC$3001&lt;$AC2017))+1,"")</f>
        <v/>
      </c>
      <c r="AB2017">
        <f>IF($B2017="","",IF(OR($Y2017=TRUE(),$Y2017="TRUE"),1,IF(AND($Y2017&lt;&gt;"",OR($Y2017=FALSE(),$Y2017="FALSE")),0,IF(MIN(ABS($X2017/100-Settings!$C$6),ABS($X2017/100-Settings!$G$6))&lt;=MIN(ABS($X2017/100-Settings!$C$7),ABS($X2017/100-Settings!$G$7)),1,0))))</f>
        <v/>
      </c>
      <c r="AC2017">
        <f>IF($Z2017=1,IFERROR(IF(VALUE($B2017)&lt;100000000,VALUE($B2017),1000000000),IFERROR(IF(VALUE(MID($B2017,2,20))&lt;100000000,VALUE(MID($B2017,2,20)),1000000000),1000000000))+ROW()/100000,"")</f>
        <v/>
      </c>
    </row>
    <row r="2018">
      <c r="A2018">
        <f>IF($B2018="","",IFERROR(IF(INDEX('Per Invoice'!$A$2:$A$801,MATCH($B2018,'Per Invoice'!$B$2:$B$801,0))=0,"",INDEX('Per Invoice'!$A$2:$A$801,MATCH($B2018,'Per Invoice'!$B$2:$B$801,0))),""))</f>
        <v/>
      </c>
      <c r="J2018" s="7">
        <f>IF($B2018="","",I2018*Q2018/100)</f>
        <v/>
      </c>
      <c r="N2018" s="7" t="n"/>
      <c r="O2018" s="7" t="n"/>
      <c r="P2018" s="7">
        <f>IF($B2018="","",O2018*X2018/100)</f>
        <v/>
      </c>
      <c r="Q2018" s="7">
        <f>IF($B2018="","",O2018-P2018)</f>
        <v/>
      </c>
      <c r="R2018" s="7">
        <f>IF($B2018="","",Q2018-J2018)</f>
        <v/>
      </c>
      <c r="S2018" s="7" t="n"/>
      <c r="T2018" s="7" t="n"/>
      <c r="V2018" s="14" t="n"/>
      <c r="Z2018">
        <f>IF($B2018="","",IF(COUNTIF($B$2:$B2018,$B2018)=1,1,0))</f>
        <v/>
      </c>
      <c r="AA2018">
        <f>IF($Z2018=1,SUMPRODUCT(--($AC$2:$AC$3001&lt;$AC2018))+1,"")</f>
        <v/>
      </c>
      <c r="AB2018">
        <f>IF($B2018="","",IF(OR($Y2018=TRUE(),$Y2018="TRUE"),1,IF(AND($Y2018&lt;&gt;"",OR($Y2018=FALSE(),$Y2018="FALSE")),0,IF(MIN(ABS($X2018/100-Settings!$C$6),ABS($X2018/100-Settings!$G$6))&lt;=MIN(ABS($X2018/100-Settings!$C$7),ABS($X2018/100-Settings!$G$7)),1,0))))</f>
        <v/>
      </c>
      <c r="AC2018">
        <f>IF($Z2018=1,IFERROR(IF(VALUE($B2018)&lt;100000000,VALUE($B2018),1000000000),IFERROR(IF(VALUE(MID($B2018,2,20))&lt;100000000,VALUE(MID($B2018,2,20)),1000000000),1000000000))+ROW()/100000,"")</f>
        <v/>
      </c>
    </row>
    <row r="2019">
      <c r="A2019">
        <f>IF($B2019="","",IFERROR(IF(INDEX('Per Invoice'!$A$2:$A$801,MATCH($B2019,'Per Invoice'!$B$2:$B$801,0))=0,"",INDEX('Per Invoice'!$A$2:$A$801,MATCH($B2019,'Per Invoice'!$B$2:$B$801,0))),""))</f>
        <v/>
      </c>
      <c r="J2019" s="7">
        <f>IF($B2019="","",I2019*Q2019/100)</f>
        <v/>
      </c>
      <c r="N2019" s="7" t="n"/>
      <c r="O2019" s="7" t="n"/>
      <c r="P2019" s="7">
        <f>IF($B2019="","",O2019*X2019/100)</f>
        <v/>
      </c>
      <c r="Q2019" s="7">
        <f>IF($B2019="","",O2019-P2019)</f>
        <v/>
      </c>
      <c r="R2019" s="7">
        <f>IF($B2019="","",Q2019-J2019)</f>
        <v/>
      </c>
      <c r="S2019" s="7" t="n"/>
      <c r="T2019" s="7" t="n"/>
      <c r="V2019" s="14" t="n"/>
      <c r="Z2019">
        <f>IF($B2019="","",IF(COUNTIF($B$2:$B2019,$B2019)=1,1,0))</f>
        <v/>
      </c>
      <c r="AA2019">
        <f>IF($Z2019=1,SUMPRODUCT(--($AC$2:$AC$3001&lt;$AC2019))+1,"")</f>
        <v/>
      </c>
      <c r="AB2019">
        <f>IF($B2019="","",IF(OR($Y2019=TRUE(),$Y2019="TRUE"),1,IF(AND($Y2019&lt;&gt;"",OR($Y2019=FALSE(),$Y2019="FALSE")),0,IF(MIN(ABS($X2019/100-Settings!$C$6),ABS($X2019/100-Settings!$G$6))&lt;=MIN(ABS($X2019/100-Settings!$C$7),ABS($X2019/100-Settings!$G$7)),1,0))))</f>
        <v/>
      </c>
      <c r="AC2019">
        <f>IF($Z2019=1,IFERROR(IF(VALUE($B2019)&lt;100000000,VALUE($B2019),1000000000),IFERROR(IF(VALUE(MID($B2019,2,20))&lt;100000000,VALUE(MID($B2019,2,20)),1000000000),1000000000))+ROW()/100000,"")</f>
        <v/>
      </c>
    </row>
    <row r="2020">
      <c r="A2020">
        <f>IF($B2020="","",IFERROR(IF(INDEX('Per Invoice'!$A$2:$A$801,MATCH($B2020,'Per Invoice'!$B$2:$B$801,0))=0,"",INDEX('Per Invoice'!$A$2:$A$801,MATCH($B2020,'Per Invoice'!$B$2:$B$801,0))),""))</f>
        <v/>
      </c>
      <c r="J2020" s="7">
        <f>IF($B2020="","",I2020*Q2020/100)</f>
        <v/>
      </c>
      <c r="N2020" s="7" t="n"/>
      <c r="O2020" s="7" t="n"/>
      <c r="P2020" s="7">
        <f>IF($B2020="","",O2020*X2020/100)</f>
        <v/>
      </c>
      <c r="Q2020" s="7">
        <f>IF($B2020="","",O2020-P2020)</f>
        <v/>
      </c>
      <c r="R2020" s="7">
        <f>IF($B2020="","",Q2020-J2020)</f>
        <v/>
      </c>
      <c r="S2020" s="7" t="n"/>
      <c r="T2020" s="7" t="n"/>
      <c r="V2020" s="14" t="n"/>
      <c r="Z2020">
        <f>IF($B2020="","",IF(COUNTIF($B$2:$B2020,$B2020)=1,1,0))</f>
        <v/>
      </c>
      <c r="AA2020">
        <f>IF($Z2020=1,SUMPRODUCT(--($AC$2:$AC$3001&lt;$AC2020))+1,"")</f>
        <v/>
      </c>
      <c r="AB2020">
        <f>IF($B2020="","",IF(OR($Y2020=TRUE(),$Y2020="TRUE"),1,IF(AND($Y2020&lt;&gt;"",OR($Y2020=FALSE(),$Y2020="FALSE")),0,IF(MIN(ABS($X2020/100-Settings!$C$6),ABS($X2020/100-Settings!$G$6))&lt;=MIN(ABS($X2020/100-Settings!$C$7),ABS($X2020/100-Settings!$G$7)),1,0))))</f>
        <v/>
      </c>
      <c r="AC2020">
        <f>IF($Z2020=1,IFERROR(IF(VALUE($B2020)&lt;100000000,VALUE($B2020),1000000000),IFERROR(IF(VALUE(MID($B2020,2,20))&lt;100000000,VALUE(MID($B2020,2,20)),1000000000),1000000000))+ROW()/100000,"")</f>
        <v/>
      </c>
    </row>
    <row r="2021">
      <c r="A2021">
        <f>IF($B2021="","",IFERROR(IF(INDEX('Per Invoice'!$A$2:$A$801,MATCH($B2021,'Per Invoice'!$B$2:$B$801,0))=0,"",INDEX('Per Invoice'!$A$2:$A$801,MATCH($B2021,'Per Invoice'!$B$2:$B$801,0))),""))</f>
        <v/>
      </c>
      <c r="J2021" s="7">
        <f>IF($B2021="","",I2021*Q2021/100)</f>
        <v/>
      </c>
      <c r="N2021" s="7" t="n"/>
      <c r="O2021" s="7" t="n"/>
      <c r="P2021" s="7">
        <f>IF($B2021="","",O2021*X2021/100)</f>
        <v/>
      </c>
      <c r="Q2021" s="7">
        <f>IF($B2021="","",O2021-P2021)</f>
        <v/>
      </c>
      <c r="R2021" s="7">
        <f>IF($B2021="","",Q2021-J2021)</f>
        <v/>
      </c>
      <c r="S2021" s="7" t="n"/>
      <c r="T2021" s="7" t="n"/>
      <c r="V2021" s="14" t="n"/>
      <c r="Z2021">
        <f>IF($B2021="","",IF(COUNTIF($B$2:$B2021,$B2021)=1,1,0))</f>
        <v/>
      </c>
      <c r="AA2021">
        <f>IF($Z2021=1,SUMPRODUCT(--($AC$2:$AC$3001&lt;$AC2021))+1,"")</f>
        <v/>
      </c>
      <c r="AB2021">
        <f>IF($B2021="","",IF(OR($Y2021=TRUE(),$Y2021="TRUE"),1,IF(AND($Y2021&lt;&gt;"",OR($Y2021=FALSE(),$Y2021="FALSE")),0,IF(MIN(ABS($X2021/100-Settings!$C$6),ABS($X2021/100-Settings!$G$6))&lt;=MIN(ABS($X2021/100-Settings!$C$7),ABS($X2021/100-Settings!$G$7)),1,0))))</f>
        <v/>
      </c>
      <c r="AC2021">
        <f>IF($Z2021=1,IFERROR(IF(VALUE($B2021)&lt;100000000,VALUE($B2021),1000000000),IFERROR(IF(VALUE(MID($B2021,2,20))&lt;100000000,VALUE(MID($B2021,2,20)),1000000000),1000000000))+ROW()/100000,"")</f>
        <v/>
      </c>
    </row>
    <row r="2022">
      <c r="A2022">
        <f>IF($B2022="","",IFERROR(IF(INDEX('Per Invoice'!$A$2:$A$801,MATCH($B2022,'Per Invoice'!$B$2:$B$801,0))=0,"",INDEX('Per Invoice'!$A$2:$A$801,MATCH($B2022,'Per Invoice'!$B$2:$B$801,0))),""))</f>
        <v/>
      </c>
      <c r="J2022" s="7">
        <f>IF($B2022="","",I2022*Q2022/100)</f>
        <v/>
      </c>
      <c r="N2022" s="7" t="n"/>
      <c r="O2022" s="7" t="n"/>
      <c r="P2022" s="7">
        <f>IF($B2022="","",O2022*X2022/100)</f>
        <v/>
      </c>
      <c r="Q2022" s="7">
        <f>IF($B2022="","",O2022-P2022)</f>
        <v/>
      </c>
      <c r="R2022" s="7">
        <f>IF($B2022="","",Q2022-J2022)</f>
        <v/>
      </c>
      <c r="S2022" s="7" t="n"/>
      <c r="T2022" s="7" t="n"/>
      <c r="V2022" s="14" t="n"/>
      <c r="Z2022">
        <f>IF($B2022="","",IF(COUNTIF($B$2:$B2022,$B2022)=1,1,0))</f>
        <v/>
      </c>
      <c r="AA2022">
        <f>IF($Z2022=1,SUMPRODUCT(--($AC$2:$AC$3001&lt;$AC2022))+1,"")</f>
        <v/>
      </c>
      <c r="AB2022">
        <f>IF($B2022="","",IF(OR($Y2022=TRUE(),$Y2022="TRUE"),1,IF(AND($Y2022&lt;&gt;"",OR($Y2022=FALSE(),$Y2022="FALSE")),0,IF(MIN(ABS($X2022/100-Settings!$C$6),ABS($X2022/100-Settings!$G$6))&lt;=MIN(ABS($X2022/100-Settings!$C$7),ABS($X2022/100-Settings!$G$7)),1,0))))</f>
        <v/>
      </c>
      <c r="AC2022">
        <f>IF($Z2022=1,IFERROR(IF(VALUE($B2022)&lt;100000000,VALUE($B2022),1000000000),IFERROR(IF(VALUE(MID($B2022,2,20))&lt;100000000,VALUE(MID($B2022,2,20)),1000000000),1000000000))+ROW()/100000,"")</f>
        <v/>
      </c>
    </row>
    <row r="2023">
      <c r="A2023">
        <f>IF($B2023="","",IFERROR(IF(INDEX('Per Invoice'!$A$2:$A$801,MATCH($B2023,'Per Invoice'!$B$2:$B$801,0))=0,"",INDEX('Per Invoice'!$A$2:$A$801,MATCH($B2023,'Per Invoice'!$B$2:$B$801,0))),""))</f>
        <v/>
      </c>
      <c r="J2023" s="7">
        <f>IF($B2023="","",I2023*Q2023/100)</f>
        <v/>
      </c>
      <c r="N2023" s="7" t="n"/>
      <c r="O2023" s="7" t="n"/>
      <c r="P2023" s="7">
        <f>IF($B2023="","",O2023*X2023/100)</f>
        <v/>
      </c>
      <c r="Q2023" s="7">
        <f>IF($B2023="","",O2023-P2023)</f>
        <v/>
      </c>
      <c r="R2023" s="7">
        <f>IF($B2023="","",Q2023-J2023)</f>
        <v/>
      </c>
      <c r="S2023" s="7" t="n"/>
      <c r="T2023" s="7" t="n"/>
      <c r="V2023" s="14" t="n"/>
      <c r="Z2023">
        <f>IF($B2023="","",IF(COUNTIF($B$2:$B2023,$B2023)=1,1,0))</f>
        <v/>
      </c>
      <c r="AA2023">
        <f>IF($Z2023=1,SUMPRODUCT(--($AC$2:$AC$3001&lt;$AC2023))+1,"")</f>
        <v/>
      </c>
      <c r="AB2023">
        <f>IF($B2023="","",IF(OR($Y2023=TRUE(),$Y2023="TRUE"),1,IF(AND($Y2023&lt;&gt;"",OR($Y2023=FALSE(),$Y2023="FALSE")),0,IF(MIN(ABS($X2023/100-Settings!$C$6),ABS($X2023/100-Settings!$G$6))&lt;=MIN(ABS($X2023/100-Settings!$C$7),ABS($X2023/100-Settings!$G$7)),1,0))))</f>
        <v/>
      </c>
      <c r="AC2023">
        <f>IF($Z2023=1,IFERROR(IF(VALUE($B2023)&lt;100000000,VALUE($B2023),1000000000),IFERROR(IF(VALUE(MID($B2023,2,20))&lt;100000000,VALUE(MID($B2023,2,20)),1000000000),1000000000))+ROW()/100000,"")</f>
        <v/>
      </c>
    </row>
    <row r="2024">
      <c r="A2024">
        <f>IF($B2024="","",IFERROR(IF(INDEX('Per Invoice'!$A$2:$A$801,MATCH($B2024,'Per Invoice'!$B$2:$B$801,0))=0,"",INDEX('Per Invoice'!$A$2:$A$801,MATCH($B2024,'Per Invoice'!$B$2:$B$801,0))),""))</f>
        <v/>
      </c>
      <c r="J2024" s="7">
        <f>IF($B2024="","",I2024*Q2024/100)</f>
        <v/>
      </c>
      <c r="N2024" s="7" t="n"/>
      <c r="O2024" s="7" t="n"/>
      <c r="P2024" s="7">
        <f>IF($B2024="","",O2024*X2024/100)</f>
        <v/>
      </c>
      <c r="Q2024" s="7">
        <f>IF($B2024="","",O2024-P2024)</f>
        <v/>
      </c>
      <c r="R2024" s="7">
        <f>IF($B2024="","",Q2024-J2024)</f>
        <v/>
      </c>
      <c r="S2024" s="7" t="n"/>
      <c r="T2024" s="7" t="n"/>
      <c r="V2024" s="14" t="n"/>
      <c r="Z2024">
        <f>IF($B2024="","",IF(COUNTIF($B$2:$B2024,$B2024)=1,1,0))</f>
        <v/>
      </c>
      <c r="AA2024">
        <f>IF($Z2024=1,SUMPRODUCT(--($AC$2:$AC$3001&lt;$AC2024))+1,"")</f>
        <v/>
      </c>
      <c r="AB2024">
        <f>IF($B2024="","",IF(OR($Y2024=TRUE(),$Y2024="TRUE"),1,IF(AND($Y2024&lt;&gt;"",OR($Y2024=FALSE(),$Y2024="FALSE")),0,IF(MIN(ABS($X2024/100-Settings!$C$6),ABS($X2024/100-Settings!$G$6))&lt;=MIN(ABS($X2024/100-Settings!$C$7),ABS($X2024/100-Settings!$G$7)),1,0))))</f>
        <v/>
      </c>
      <c r="AC2024">
        <f>IF($Z2024=1,IFERROR(IF(VALUE($B2024)&lt;100000000,VALUE($B2024),1000000000),IFERROR(IF(VALUE(MID($B2024,2,20))&lt;100000000,VALUE(MID($B2024,2,20)),1000000000),1000000000))+ROW()/100000,"")</f>
        <v/>
      </c>
    </row>
    <row r="2025">
      <c r="A2025">
        <f>IF($B2025="","",IFERROR(IF(INDEX('Per Invoice'!$A$2:$A$801,MATCH($B2025,'Per Invoice'!$B$2:$B$801,0))=0,"",INDEX('Per Invoice'!$A$2:$A$801,MATCH($B2025,'Per Invoice'!$B$2:$B$801,0))),""))</f>
        <v/>
      </c>
      <c r="J2025" s="7">
        <f>IF($B2025="","",I2025*Q2025/100)</f>
        <v/>
      </c>
      <c r="N2025" s="7" t="n"/>
      <c r="O2025" s="7" t="n"/>
      <c r="P2025" s="7">
        <f>IF($B2025="","",O2025*X2025/100)</f>
        <v/>
      </c>
      <c r="Q2025" s="7">
        <f>IF($B2025="","",O2025-P2025)</f>
        <v/>
      </c>
      <c r="R2025" s="7">
        <f>IF($B2025="","",Q2025-J2025)</f>
        <v/>
      </c>
      <c r="S2025" s="7" t="n"/>
      <c r="T2025" s="7" t="n"/>
      <c r="V2025" s="14" t="n"/>
      <c r="Z2025">
        <f>IF($B2025="","",IF(COUNTIF($B$2:$B2025,$B2025)=1,1,0))</f>
        <v/>
      </c>
      <c r="AA2025">
        <f>IF($Z2025=1,SUMPRODUCT(--($AC$2:$AC$3001&lt;$AC2025))+1,"")</f>
        <v/>
      </c>
      <c r="AB2025">
        <f>IF($B2025="","",IF(OR($Y2025=TRUE(),$Y2025="TRUE"),1,IF(AND($Y2025&lt;&gt;"",OR($Y2025=FALSE(),$Y2025="FALSE")),0,IF(MIN(ABS($X2025/100-Settings!$C$6),ABS($X2025/100-Settings!$G$6))&lt;=MIN(ABS($X2025/100-Settings!$C$7),ABS($X2025/100-Settings!$G$7)),1,0))))</f>
        <v/>
      </c>
      <c r="AC2025">
        <f>IF($Z2025=1,IFERROR(IF(VALUE($B2025)&lt;100000000,VALUE($B2025),1000000000),IFERROR(IF(VALUE(MID($B2025,2,20))&lt;100000000,VALUE(MID($B2025,2,20)),1000000000),1000000000))+ROW()/100000,"")</f>
        <v/>
      </c>
    </row>
    <row r="2026">
      <c r="A2026">
        <f>IF($B2026="","",IFERROR(IF(INDEX('Per Invoice'!$A$2:$A$801,MATCH($B2026,'Per Invoice'!$B$2:$B$801,0))=0,"",INDEX('Per Invoice'!$A$2:$A$801,MATCH($B2026,'Per Invoice'!$B$2:$B$801,0))),""))</f>
        <v/>
      </c>
      <c r="J2026" s="7">
        <f>IF($B2026="","",I2026*Q2026/100)</f>
        <v/>
      </c>
      <c r="N2026" s="7" t="n"/>
      <c r="O2026" s="7" t="n"/>
      <c r="P2026" s="7">
        <f>IF($B2026="","",O2026*X2026/100)</f>
        <v/>
      </c>
      <c r="Q2026" s="7">
        <f>IF($B2026="","",O2026-P2026)</f>
        <v/>
      </c>
      <c r="R2026" s="7">
        <f>IF($B2026="","",Q2026-J2026)</f>
        <v/>
      </c>
      <c r="S2026" s="7" t="n"/>
      <c r="T2026" s="7" t="n"/>
      <c r="V2026" s="14" t="n"/>
      <c r="Z2026">
        <f>IF($B2026="","",IF(COUNTIF($B$2:$B2026,$B2026)=1,1,0))</f>
        <v/>
      </c>
      <c r="AA2026">
        <f>IF($Z2026=1,SUMPRODUCT(--($AC$2:$AC$3001&lt;$AC2026))+1,"")</f>
        <v/>
      </c>
      <c r="AB2026">
        <f>IF($B2026="","",IF(OR($Y2026=TRUE(),$Y2026="TRUE"),1,IF(AND($Y2026&lt;&gt;"",OR($Y2026=FALSE(),$Y2026="FALSE")),0,IF(MIN(ABS($X2026/100-Settings!$C$6),ABS($X2026/100-Settings!$G$6))&lt;=MIN(ABS($X2026/100-Settings!$C$7),ABS($X2026/100-Settings!$G$7)),1,0))))</f>
        <v/>
      </c>
      <c r="AC2026">
        <f>IF($Z2026=1,IFERROR(IF(VALUE($B2026)&lt;100000000,VALUE($B2026),1000000000),IFERROR(IF(VALUE(MID($B2026,2,20))&lt;100000000,VALUE(MID($B2026,2,20)),1000000000),1000000000))+ROW()/100000,"")</f>
        <v/>
      </c>
    </row>
    <row r="2027">
      <c r="A2027">
        <f>IF($B2027="","",IFERROR(IF(INDEX('Per Invoice'!$A$2:$A$801,MATCH($B2027,'Per Invoice'!$B$2:$B$801,0))=0,"",INDEX('Per Invoice'!$A$2:$A$801,MATCH($B2027,'Per Invoice'!$B$2:$B$801,0))),""))</f>
        <v/>
      </c>
      <c r="J2027" s="7">
        <f>IF($B2027="","",I2027*Q2027/100)</f>
        <v/>
      </c>
      <c r="N2027" s="7" t="n"/>
      <c r="O2027" s="7" t="n"/>
      <c r="P2027" s="7">
        <f>IF($B2027="","",O2027*X2027/100)</f>
        <v/>
      </c>
      <c r="Q2027" s="7">
        <f>IF($B2027="","",O2027-P2027)</f>
        <v/>
      </c>
      <c r="R2027" s="7">
        <f>IF($B2027="","",Q2027-J2027)</f>
        <v/>
      </c>
      <c r="S2027" s="7" t="n"/>
      <c r="T2027" s="7" t="n"/>
      <c r="V2027" s="14" t="n"/>
      <c r="Z2027">
        <f>IF($B2027="","",IF(COUNTIF($B$2:$B2027,$B2027)=1,1,0))</f>
        <v/>
      </c>
      <c r="AA2027">
        <f>IF($Z2027=1,SUMPRODUCT(--($AC$2:$AC$3001&lt;$AC2027))+1,"")</f>
        <v/>
      </c>
      <c r="AB2027">
        <f>IF($B2027="","",IF(OR($Y2027=TRUE(),$Y2027="TRUE"),1,IF(AND($Y2027&lt;&gt;"",OR($Y2027=FALSE(),$Y2027="FALSE")),0,IF(MIN(ABS($X2027/100-Settings!$C$6),ABS($X2027/100-Settings!$G$6))&lt;=MIN(ABS($X2027/100-Settings!$C$7),ABS($X2027/100-Settings!$G$7)),1,0))))</f>
        <v/>
      </c>
      <c r="AC2027">
        <f>IF($Z2027=1,IFERROR(IF(VALUE($B2027)&lt;100000000,VALUE($B2027),1000000000),IFERROR(IF(VALUE(MID($B2027,2,20))&lt;100000000,VALUE(MID($B2027,2,20)),1000000000),1000000000))+ROW()/100000,"")</f>
        <v/>
      </c>
    </row>
    <row r="2028">
      <c r="A2028">
        <f>IF($B2028="","",IFERROR(IF(INDEX('Per Invoice'!$A$2:$A$801,MATCH($B2028,'Per Invoice'!$B$2:$B$801,0))=0,"",INDEX('Per Invoice'!$A$2:$A$801,MATCH($B2028,'Per Invoice'!$B$2:$B$801,0))),""))</f>
        <v/>
      </c>
      <c r="J2028" s="7">
        <f>IF($B2028="","",I2028*Q2028/100)</f>
        <v/>
      </c>
      <c r="N2028" s="7" t="n"/>
      <c r="O2028" s="7" t="n"/>
      <c r="P2028" s="7">
        <f>IF($B2028="","",O2028*X2028/100)</f>
        <v/>
      </c>
      <c r="Q2028" s="7">
        <f>IF($B2028="","",O2028-P2028)</f>
        <v/>
      </c>
      <c r="R2028" s="7">
        <f>IF($B2028="","",Q2028-J2028)</f>
        <v/>
      </c>
      <c r="S2028" s="7" t="n"/>
      <c r="T2028" s="7" t="n"/>
      <c r="V2028" s="14" t="n"/>
      <c r="Z2028">
        <f>IF($B2028="","",IF(COUNTIF($B$2:$B2028,$B2028)=1,1,0))</f>
        <v/>
      </c>
      <c r="AA2028">
        <f>IF($Z2028=1,SUMPRODUCT(--($AC$2:$AC$3001&lt;$AC2028))+1,"")</f>
        <v/>
      </c>
      <c r="AB2028">
        <f>IF($B2028="","",IF(OR($Y2028=TRUE(),$Y2028="TRUE"),1,IF(AND($Y2028&lt;&gt;"",OR($Y2028=FALSE(),$Y2028="FALSE")),0,IF(MIN(ABS($X2028/100-Settings!$C$6),ABS($X2028/100-Settings!$G$6))&lt;=MIN(ABS($X2028/100-Settings!$C$7),ABS($X2028/100-Settings!$G$7)),1,0))))</f>
        <v/>
      </c>
      <c r="AC2028">
        <f>IF($Z2028=1,IFERROR(IF(VALUE($B2028)&lt;100000000,VALUE($B2028),1000000000),IFERROR(IF(VALUE(MID($B2028,2,20))&lt;100000000,VALUE(MID($B2028,2,20)),1000000000),1000000000))+ROW()/100000,"")</f>
        <v/>
      </c>
    </row>
    <row r="2029">
      <c r="A2029">
        <f>IF($B2029="","",IFERROR(IF(INDEX('Per Invoice'!$A$2:$A$801,MATCH($B2029,'Per Invoice'!$B$2:$B$801,0))=0,"",INDEX('Per Invoice'!$A$2:$A$801,MATCH($B2029,'Per Invoice'!$B$2:$B$801,0))),""))</f>
        <v/>
      </c>
      <c r="J2029" s="7">
        <f>IF($B2029="","",I2029*Q2029/100)</f>
        <v/>
      </c>
      <c r="N2029" s="7" t="n"/>
      <c r="O2029" s="7" t="n"/>
      <c r="P2029" s="7">
        <f>IF($B2029="","",O2029*X2029/100)</f>
        <v/>
      </c>
      <c r="Q2029" s="7">
        <f>IF($B2029="","",O2029-P2029)</f>
        <v/>
      </c>
      <c r="R2029" s="7">
        <f>IF($B2029="","",Q2029-J2029)</f>
        <v/>
      </c>
      <c r="S2029" s="7" t="n"/>
      <c r="T2029" s="7" t="n"/>
      <c r="V2029" s="14" t="n"/>
      <c r="Z2029">
        <f>IF($B2029="","",IF(COUNTIF($B$2:$B2029,$B2029)=1,1,0))</f>
        <v/>
      </c>
      <c r="AA2029">
        <f>IF($Z2029=1,SUMPRODUCT(--($AC$2:$AC$3001&lt;$AC2029))+1,"")</f>
        <v/>
      </c>
      <c r="AB2029">
        <f>IF($B2029="","",IF(OR($Y2029=TRUE(),$Y2029="TRUE"),1,IF(AND($Y2029&lt;&gt;"",OR($Y2029=FALSE(),$Y2029="FALSE")),0,IF(MIN(ABS($X2029/100-Settings!$C$6),ABS($X2029/100-Settings!$G$6))&lt;=MIN(ABS($X2029/100-Settings!$C$7),ABS($X2029/100-Settings!$G$7)),1,0))))</f>
        <v/>
      </c>
      <c r="AC2029">
        <f>IF($Z2029=1,IFERROR(IF(VALUE($B2029)&lt;100000000,VALUE($B2029),1000000000),IFERROR(IF(VALUE(MID($B2029,2,20))&lt;100000000,VALUE(MID($B2029,2,20)),1000000000),1000000000))+ROW()/100000,"")</f>
        <v/>
      </c>
    </row>
    <row r="2030">
      <c r="A2030">
        <f>IF($B2030="","",IFERROR(IF(INDEX('Per Invoice'!$A$2:$A$801,MATCH($B2030,'Per Invoice'!$B$2:$B$801,0))=0,"",INDEX('Per Invoice'!$A$2:$A$801,MATCH($B2030,'Per Invoice'!$B$2:$B$801,0))),""))</f>
        <v/>
      </c>
      <c r="J2030" s="7">
        <f>IF($B2030="","",I2030*Q2030/100)</f>
        <v/>
      </c>
      <c r="N2030" s="7" t="n"/>
      <c r="O2030" s="7" t="n"/>
      <c r="P2030" s="7">
        <f>IF($B2030="","",O2030*X2030/100)</f>
        <v/>
      </c>
      <c r="Q2030" s="7">
        <f>IF($B2030="","",O2030-P2030)</f>
        <v/>
      </c>
      <c r="R2030" s="7">
        <f>IF($B2030="","",Q2030-J2030)</f>
        <v/>
      </c>
      <c r="S2030" s="7" t="n"/>
      <c r="T2030" s="7" t="n"/>
      <c r="V2030" s="14" t="n"/>
      <c r="Z2030">
        <f>IF($B2030="","",IF(COUNTIF($B$2:$B2030,$B2030)=1,1,0))</f>
        <v/>
      </c>
      <c r="AA2030">
        <f>IF($Z2030=1,SUMPRODUCT(--($AC$2:$AC$3001&lt;$AC2030))+1,"")</f>
        <v/>
      </c>
      <c r="AB2030">
        <f>IF($B2030="","",IF(OR($Y2030=TRUE(),$Y2030="TRUE"),1,IF(AND($Y2030&lt;&gt;"",OR($Y2030=FALSE(),$Y2030="FALSE")),0,IF(MIN(ABS($X2030/100-Settings!$C$6),ABS($X2030/100-Settings!$G$6))&lt;=MIN(ABS($X2030/100-Settings!$C$7),ABS($X2030/100-Settings!$G$7)),1,0))))</f>
        <v/>
      </c>
      <c r="AC2030">
        <f>IF($Z2030=1,IFERROR(IF(VALUE($B2030)&lt;100000000,VALUE($B2030),1000000000),IFERROR(IF(VALUE(MID($B2030,2,20))&lt;100000000,VALUE(MID($B2030,2,20)),1000000000),1000000000))+ROW()/100000,"")</f>
        <v/>
      </c>
    </row>
    <row r="2031">
      <c r="A2031">
        <f>IF($B2031="","",IFERROR(IF(INDEX('Per Invoice'!$A$2:$A$801,MATCH($B2031,'Per Invoice'!$B$2:$B$801,0))=0,"",INDEX('Per Invoice'!$A$2:$A$801,MATCH($B2031,'Per Invoice'!$B$2:$B$801,0))),""))</f>
        <v/>
      </c>
      <c r="J2031" s="7">
        <f>IF($B2031="","",I2031*Q2031/100)</f>
        <v/>
      </c>
      <c r="N2031" s="7" t="n"/>
      <c r="O2031" s="7" t="n"/>
      <c r="P2031" s="7">
        <f>IF($B2031="","",O2031*X2031/100)</f>
        <v/>
      </c>
      <c r="Q2031" s="7">
        <f>IF($B2031="","",O2031-P2031)</f>
        <v/>
      </c>
      <c r="R2031" s="7">
        <f>IF($B2031="","",Q2031-J2031)</f>
        <v/>
      </c>
      <c r="S2031" s="7" t="n"/>
      <c r="T2031" s="7" t="n"/>
      <c r="V2031" s="14" t="n"/>
      <c r="Z2031">
        <f>IF($B2031="","",IF(COUNTIF($B$2:$B2031,$B2031)=1,1,0))</f>
        <v/>
      </c>
      <c r="AA2031">
        <f>IF($Z2031=1,SUMPRODUCT(--($AC$2:$AC$3001&lt;$AC2031))+1,"")</f>
        <v/>
      </c>
      <c r="AB2031">
        <f>IF($B2031="","",IF(OR($Y2031=TRUE(),$Y2031="TRUE"),1,IF(AND($Y2031&lt;&gt;"",OR($Y2031=FALSE(),$Y2031="FALSE")),0,IF(MIN(ABS($X2031/100-Settings!$C$6),ABS($X2031/100-Settings!$G$6))&lt;=MIN(ABS($X2031/100-Settings!$C$7),ABS($X2031/100-Settings!$G$7)),1,0))))</f>
        <v/>
      </c>
      <c r="AC2031">
        <f>IF($Z2031=1,IFERROR(IF(VALUE($B2031)&lt;100000000,VALUE($B2031),1000000000),IFERROR(IF(VALUE(MID($B2031,2,20))&lt;100000000,VALUE(MID($B2031,2,20)),1000000000),1000000000))+ROW()/100000,"")</f>
        <v/>
      </c>
    </row>
    <row r="2032">
      <c r="A2032">
        <f>IF($B2032="","",IFERROR(IF(INDEX('Per Invoice'!$A$2:$A$801,MATCH($B2032,'Per Invoice'!$B$2:$B$801,0))=0,"",INDEX('Per Invoice'!$A$2:$A$801,MATCH($B2032,'Per Invoice'!$B$2:$B$801,0))),""))</f>
        <v/>
      </c>
      <c r="J2032" s="7">
        <f>IF($B2032="","",I2032*Q2032/100)</f>
        <v/>
      </c>
      <c r="N2032" s="7" t="n"/>
      <c r="O2032" s="7" t="n"/>
      <c r="P2032" s="7">
        <f>IF($B2032="","",O2032*X2032/100)</f>
        <v/>
      </c>
      <c r="Q2032" s="7">
        <f>IF($B2032="","",O2032-P2032)</f>
        <v/>
      </c>
      <c r="R2032" s="7">
        <f>IF($B2032="","",Q2032-J2032)</f>
        <v/>
      </c>
      <c r="S2032" s="7" t="n"/>
      <c r="T2032" s="7" t="n"/>
      <c r="V2032" s="14" t="n"/>
      <c r="Z2032">
        <f>IF($B2032="","",IF(COUNTIF($B$2:$B2032,$B2032)=1,1,0))</f>
        <v/>
      </c>
      <c r="AA2032">
        <f>IF($Z2032=1,SUMPRODUCT(--($AC$2:$AC$3001&lt;$AC2032))+1,"")</f>
        <v/>
      </c>
      <c r="AB2032">
        <f>IF($B2032="","",IF(OR($Y2032=TRUE(),$Y2032="TRUE"),1,IF(AND($Y2032&lt;&gt;"",OR($Y2032=FALSE(),$Y2032="FALSE")),0,IF(MIN(ABS($X2032/100-Settings!$C$6),ABS($X2032/100-Settings!$G$6))&lt;=MIN(ABS($X2032/100-Settings!$C$7),ABS($X2032/100-Settings!$G$7)),1,0))))</f>
        <v/>
      </c>
      <c r="AC2032">
        <f>IF($Z2032=1,IFERROR(IF(VALUE($B2032)&lt;100000000,VALUE($B2032),1000000000),IFERROR(IF(VALUE(MID($B2032,2,20))&lt;100000000,VALUE(MID($B2032,2,20)),1000000000),1000000000))+ROW()/100000,"")</f>
        <v/>
      </c>
    </row>
    <row r="2033">
      <c r="A2033">
        <f>IF($B2033="","",IFERROR(IF(INDEX('Per Invoice'!$A$2:$A$801,MATCH($B2033,'Per Invoice'!$B$2:$B$801,0))=0,"",INDEX('Per Invoice'!$A$2:$A$801,MATCH($B2033,'Per Invoice'!$B$2:$B$801,0))),""))</f>
        <v/>
      </c>
      <c r="J2033" s="7">
        <f>IF($B2033="","",I2033*Q2033/100)</f>
        <v/>
      </c>
      <c r="N2033" s="7" t="n"/>
      <c r="O2033" s="7" t="n"/>
      <c r="P2033" s="7">
        <f>IF($B2033="","",O2033*X2033/100)</f>
        <v/>
      </c>
      <c r="Q2033" s="7">
        <f>IF($B2033="","",O2033-P2033)</f>
        <v/>
      </c>
      <c r="R2033" s="7">
        <f>IF($B2033="","",Q2033-J2033)</f>
        <v/>
      </c>
      <c r="S2033" s="7" t="n"/>
      <c r="T2033" s="7" t="n"/>
      <c r="V2033" s="14" t="n"/>
      <c r="Z2033">
        <f>IF($B2033="","",IF(COUNTIF($B$2:$B2033,$B2033)=1,1,0))</f>
        <v/>
      </c>
      <c r="AA2033">
        <f>IF($Z2033=1,SUMPRODUCT(--($AC$2:$AC$3001&lt;$AC2033))+1,"")</f>
        <v/>
      </c>
      <c r="AB2033">
        <f>IF($B2033="","",IF(OR($Y2033=TRUE(),$Y2033="TRUE"),1,IF(AND($Y2033&lt;&gt;"",OR($Y2033=FALSE(),$Y2033="FALSE")),0,IF(MIN(ABS($X2033/100-Settings!$C$6),ABS($X2033/100-Settings!$G$6))&lt;=MIN(ABS($X2033/100-Settings!$C$7),ABS($X2033/100-Settings!$G$7)),1,0))))</f>
        <v/>
      </c>
      <c r="AC2033">
        <f>IF($Z2033=1,IFERROR(IF(VALUE($B2033)&lt;100000000,VALUE($B2033),1000000000),IFERROR(IF(VALUE(MID($B2033,2,20))&lt;100000000,VALUE(MID($B2033,2,20)),1000000000),1000000000))+ROW()/100000,"")</f>
        <v/>
      </c>
    </row>
    <row r="2034">
      <c r="A2034">
        <f>IF($B2034="","",IFERROR(IF(INDEX('Per Invoice'!$A$2:$A$801,MATCH($B2034,'Per Invoice'!$B$2:$B$801,0))=0,"",INDEX('Per Invoice'!$A$2:$A$801,MATCH($B2034,'Per Invoice'!$B$2:$B$801,0))),""))</f>
        <v/>
      </c>
      <c r="J2034" s="7">
        <f>IF($B2034="","",I2034*Q2034/100)</f>
        <v/>
      </c>
      <c r="N2034" s="7" t="n"/>
      <c r="O2034" s="7" t="n"/>
      <c r="P2034" s="7">
        <f>IF($B2034="","",O2034*X2034/100)</f>
        <v/>
      </c>
      <c r="Q2034" s="7">
        <f>IF($B2034="","",O2034-P2034)</f>
        <v/>
      </c>
      <c r="R2034" s="7">
        <f>IF($B2034="","",Q2034-J2034)</f>
        <v/>
      </c>
      <c r="S2034" s="7" t="n"/>
      <c r="T2034" s="7" t="n"/>
      <c r="V2034" s="14" t="n"/>
      <c r="Z2034">
        <f>IF($B2034="","",IF(COUNTIF($B$2:$B2034,$B2034)=1,1,0))</f>
        <v/>
      </c>
      <c r="AA2034">
        <f>IF($Z2034=1,SUMPRODUCT(--($AC$2:$AC$3001&lt;$AC2034))+1,"")</f>
        <v/>
      </c>
      <c r="AB2034">
        <f>IF($B2034="","",IF(OR($Y2034=TRUE(),$Y2034="TRUE"),1,IF(AND($Y2034&lt;&gt;"",OR($Y2034=FALSE(),$Y2034="FALSE")),0,IF(MIN(ABS($X2034/100-Settings!$C$6),ABS($X2034/100-Settings!$G$6))&lt;=MIN(ABS($X2034/100-Settings!$C$7),ABS($X2034/100-Settings!$G$7)),1,0))))</f>
        <v/>
      </c>
      <c r="AC2034">
        <f>IF($Z2034=1,IFERROR(IF(VALUE($B2034)&lt;100000000,VALUE($B2034),1000000000),IFERROR(IF(VALUE(MID($B2034,2,20))&lt;100000000,VALUE(MID($B2034,2,20)),1000000000),1000000000))+ROW()/100000,"")</f>
        <v/>
      </c>
    </row>
    <row r="2035">
      <c r="A2035">
        <f>IF($B2035="","",IFERROR(IF(INDEX('Per Invoice'!$A$2:$A$801,MATCH($B2035,'Per Invoice'!$B$2:$B$801,0))=0,"",INDEX('Per Invoice'!$A$2:$A$801,MATCH($B2035,'Per Invoice'!$B$2:$B$801,0))),""))</f>
        <v/>
      </c>
      <c r="J2035" s="7">
        <f>IF($B2035="","",I2035*Q2035/100)</f>
        <v/>
      </c>
      <c r="N2035" s="7" t="n"/>
      <c r="O2035" s="7" t="n"/>
      <c r="P2035" s="7">
        <f>IF($B2035="","",O2035*X2035/100)</f>
        <v/>
      </c>
      <c r="Q2035" s="7">
        <f>IF($B2035="","",O2035-P2035)</f>
        <v/>
      </c>
      <c r="R2035" s="7">
        <f>IF($B2035="","",Q2035-J2035)</f>
        <v/>
      </c>
      <c r="S2035" s="7" t="n"/>
      <c r="T2035" s="7" t="n"/>
      <c r="V2035" s="14" t="n"/>
      <c r="Z2035">
        <f>IF($B2035="","",IF(COUNTIF($B$2:$B2035,$B2035)=1,1,0))</f>
        <v/>
      </c>
      <c r="AA2035">
        <f>IF($Z2035=1,SUMPRODUCT(--($AC$2:$AC$3001&lt;$AC2035))+1,"")</f>
        <v/>
      </c>
      <c r="AB2035">
        <f>IF($B2035="","",IF(OR($Y2035=TRUE(),$Y2035="TRUE"),1,IF(AND($Y2035&lt;&gt;"",OR($Y2035=FALSE(),$Y2035="FALSE")),0,IF(MIN(ABS($X2035/100-Settings!$C$6),ABS($X2035/100-Settings!$G$6))&lt;=MIN(ABS($X2035/100-Settings!$C$7),ABS($X2035/100-Settings!$G$7)),1,0))))</f>
        <v/>
      </c>
      <c r="AC2035">
        <f>IF($Z2035=1,IFERROR(IF(VALUE($B2035)&lt;100000000,VALUE($B2035),1000000000),IFERROR(IF(VALUE(MID($B2035,2,20))&lt;100000000,VALUE(MID($B2035,2,20)),1000000000),1000000000))+ROW()/100000,"")</f>
        <v/>
      </c>
    </row>
    <row r="2036">
      <c r="A2036">
        <f>IF($B2036="","",IFERROR(IF(INDEX('Per Invoice'!$A$2:$A$801,MATCH($B2036,'Per Invoice'!$B$2:$B$801,0))=0,"",INDEX('Per Invoice'!$A$2:$A$801,MATCH($B2036,'Per Invoice'!$B$2:$B$801,0))),""))</f>
        <v/>
      </c>
      <c r="J2036" s="7">
        <f>IF($B2036="","",I2036*Q2036/100)</f>
        <v/>
      </c>
      <c r="N2036" s="7" t="n"/>
      <c r="O2036" s="7" t="n"/>
      <c r="P2036" s="7">
        <f>IF($B2036="","",O2036*X2036/100)</f>
        <v/>
      </c>
      <c r="Q2036" s="7">
        <f>IF($B2036="","",O2036-P2036)</f>
        <v/>
      </c>
      <c r="R2036" s="7">
        <f>IF($B2036="","",Q2036-J2036)</f>
        <v/>
      </c>
      <c r="S2036" s="7" t="n"/>
      <c r="T2036" s="7" t="n"/>
      <c r="V2036" s="14" t="n"/>
      <c r="Z2036">
        <f>IF($B2036="","",IF(COUNTIF($B$2:$B2036,$B2036)=1,1,0))</f>
        <v/>
      </c>
      <c r="AA2036">
        <f>IF($Z2036=1,SUMPRODUCT(--($AC$2:$AC$3001&lt;$AC2036))+1,"")</f>
        <v/>
      </c>
      <c r="AB2036">
        <f>IF($B2036="","",IF(OR($Y2036=TRUE(),$Y2036="TRUE"),1,IF(AND($Y2036&lt;&gt;"",OR($Y2036=FALSE(),$Y2036="FALSE")),0,IF(MIN(ABS($X2036/100-Settings!$C$6),ABS($X2036/100-Settings!$G$6))&lt;=MIN(ABS($X2036/100-Settings!$C$7),ABS($X2036/100-Settings!$G$7)),1,0))))</f>
        <v/>
      </c>
      <c r="AC2036">
        <f>IF($Z2036=1,IFERROR(IF(VALUE($B2036)&lt;100000000,VALUE($B2036),1000000000),IFERROR(IF(VALUE(MID($B2036,2,20))&lt;100000000,VALUE(MID($B2036,2,20)),1000000000),1000000000))+ROW()/100000,"")</f>
        <v/>
      </c>
    </row>
    <row r="2037">
      <c r="A2037">
        <f>IF($B2037="","",IFERROR(IF(INDEX('Per Invoice'!$A$2:$A$801,MATCH($B2037,'Per Invoice'!$B$2:$B$801,0))=0,"",INDEX('Per Invoice'!$A$2:$A$801,MATCH($B2037,'Per Invoice'!$B$2:$B$801,0))),""))</f>
        <v/>
      </c>
      <c r="J2037" s="7">
        <f>IF($B2037="","",I2037*Q2037/100)</f>
        <v/>
      </c>
      <c r="N2037" s="7" t="n"/>
      <c r="O2037" s="7" t="n"/>
      <c r="P2037" s="7">
        <f>IF($B2037="","",O2037*X2037/100)</f>
        <v/>
      </c>
      <c r="Q2037" s="7">
        <f>IF($B2037="","",O2037-P2037)</f>
        <v/>
      </c>
      <c r="R2037" s="7">
        <f>IF($B2037="","",Q2037-J2037)</f>
        <v/>
      </c>
      <c r="S2037" s="7" t="n"/>
      <c r="T2037" s="7" t="n"/>
      <c r="V2037" s="14" t="n"/>
      <c r="Z2037">
        <f>IF($B2037="","",IF(COUNTIF($B$2:$B2037,$B2037)=1,1,0))</f>
        <v/>
      </c>
      <c r="AA2037">
        <f>IF($Z2037=1,SUMPRODUCT(--($AC$2:$AC$3001&lt;$AC2037))+1,"")</f>
        <v/>
      </c>
      <c r="AB2037">
        <f>IF($B2037="","",IF(OR($Y2037=TRUE(),$Y2037="TRUE"),1,IF(AND($Y2037&lt;&gt;"",OR($Y2037=FALSE(),$Y2037="FALSE")),0,IF(MIN(ABS($X2037/100-Settings!$C$6),ABS($X2037/100-Settings!$G$6))&lt;=MIN(ABS($X2037/100-Settings!$C$7),ABS($X2037/100-Settings!$G$7)),1,0))))</f>
        <v/>
      </c>
      <c r="AC2037">
        <f>IF($Z2037=1,IFERROR(IF(VALUE($B2037)&lt;100000000,VALUE($B2037),1000000000),IFERROR(IF(VALUE(MID($B2037,2,20))&lt;100000000,VALUE(MID($B2037,2,20)),1000000000),1000000000))+ROW()/100000,"")</f>
        <v/>
      </c>
    </row>
    <row r="2038">
      <c r="A2038">
        <f>IF($B2038="","",IFERROR(IF(INDEX('Per Invoice'!$A$2:$A$801,MATCH($B2038,'Per Invoice'!$B$2:$B$801,0))=0,"",INDEX('Per Invoice'!$A$2:$A$801,MATCH($B2038,'Per Invoice'!$B$2:$B$801,0))),""))</f>
        <v/>
      </c>
      <c r="J2038" s="7">
        <f>IF($B2038="","",I2038*Q2038/100)</f>
        <v/>
      </c>
      <c r="N2038" s="7" t="n"/>
      <c r="O2038" s="7" t="n"/>
      <c r="P2038" s="7">
        <f>IF($B2038="","",O2038*X2038/100)</f>
        <v/>
      </c>
      <c r="Q2038" s="7">
        <f>IF($B2038="","",O2038-P2038)</f>
        <v/>
      </c>
      <c r="R2038" s="7">
        <f>IF($B2038="","",Q2038-J2038)</f>
        <v/>
      </c>
      <c r="S2038" s="7" t="n"/>
      <c r="T2038" s="7" t="n"/>
      <c r="V2038" s="14" t="n"/>
      <c r="Z2038">
        <f>IF($B2038="","",IF(COUNTIF($B$2:$B2038,$B2038)=1,1,0))</f>
        <v/>
      </c>
      <c r="AA2038">
        <f>IF($Z2038=1,SUMPRODUCT(--($AC$2:$AC$3001&lt;$AC2038))+1,"")</f>
        <v/>
      </c>
      <c r="AB2038">
        <f>IF($B2038="","",IF(OR($Y2038=TRUE(),$Y2038="TRUE"),1,IF(AND($Y2038&lt;&gt;"",OR($Y2038=FALSE(),$Y2038="FALSE")),0,IF(MIN(ABS($X2038/100-Settings!$C$6),ABS($X2038/100-Settings!$G$6))&lt;=MIN(ABS($X2038/100-Settings!$C$7),ABS($X2038/100-Settings!$G$7)),1,0))))</f>
        <v/>
      </c>
      <c r="AC2038">
        <f>IF($Z2038=1,IFERROR(IF(VALUE($B2038)&lt;100000000,VALUE($B2038),1000000000),IFERROR(IF(VALUE(MID($B2038,2,20))&lt;100000000,VALUE(MID($B2038,2,20)),1000000000),1000000000))+ROW()/100000,"")</f>
        <v/>
      </c>
    </row>
    <row r="2039">
      <c r="A2039">
        <f>IF($B2039="","",IFERROR(IF(INDEX('Per Invoice'!$A$2:$A$801,MATCH($B2039,'Per Invoice'!$B$2:$B$801,0))=0,"",INDEX('Per Invoice'!$A$2:$A$801,MATCH($B2039,'Per Invoice'!$B$2:$B$801,0))),""))</f>
        <v/>
      </c>
      <c r="J2039" s="7">
        <f>IF($B2039="","",I2039*Q2039/100)</f>
        <v/>
      </c>
      <c r="N2039" s="7" t="n"/>
      <c r="O2039" s="7" t="n"/>
      <c r="P2039" s="7">
        <f>IF($B2039="","",O2039*X2039/100)</f>
        <v/>
      </c>
      <c r="Q2039" s="7">
        <f>IF($B2039="","",O2039-P2039)</f>
        <v/>
      </c>
      <c r="R2039" s="7">
        <f>IF($B2039="","",Q2039-J2039)</f>
        <v/>
      </c>
      <c r="S2039" s="7" t="n"/>
      <c r="T2039" s="7" t="n"/>
      <c r="V2039" s="14" t="n"/>
      <c r="Z2039">
        <f>IF($B2039="","",IF(COUNTIF($B$2:$B2039,$B2039)=1,1,0))</f>
        <v/>
      </c>
      <c r="AA2039">
        <f>IF($Z2039=1,SUMPRODUCT(--($AC$2:$AC$3001&lt;$AC2039))+1,"")</f>
        <v/>
      </c>
      <c r="AB2039">
        <f>IF($B2039="","",IF(OR($Y2039=TRUE(),$Y2039="TRUE"),1,IF(AND($Y2039&lt;&gt;"",OR($Y2039=FALSE(),$Y2039="FALSE")),0,IF(MIN(ABS($X2039/100-Settings!$C$6),ABS($X2039/100-Settings!$G$6))&lt;=MIN(ABS($X2039/100-Settings!$C$7),ABS($X2039/100-Settings!$G$7)),1,0))))</f>
        <v/>
      </c>
      <c r="AC2039">
        <f>IF($Z2039=1,IFERROR(IF(VALUE($B2039)&lt;100000000,VALUE($B2039),1000000000),IFERROR(IF(VALUE(MID($B2039,2,20))&lt;100000000,VALUE(MID($B2039,2,20)),1000000000),1000000000))+ROW()/100000,"")</f>
        <v/>
      </c>
    </row>
    <row r="2040">
      <c r="A2040">
        <f>IF($B2040="","",IFERROR(IF(INDEX('Per Invoice'!$A$2:$A$801,MATCH($B2040,'Per Invoice'!$B$2:$B$801,0))=0,"",INDEX('Per Invoice'!$A$2:$A$801,MATCH($B2040,'Per Invoice'!$B$2:$B$801,0))),""))</f>
        <v/>
      </c>
      <c r="J2040" s="7">
        <f>IF($B2040="","",I2040*Q2040/100)</f>
        <v/>
      </c>
      <c r="N2040" s="7" t="n"/>
      <c r="O2040" s="7" t="n"/>
      <c r="P2040" s="7">
        <f>IF($B2040="","",O2040*X2040/100)</f>
        <v/>
      </c>
      <c r="Q2040" s="7">
        <f>IF($B2040="","",O2040-P2040)</f>
        <v/>
      </c>
      <c r="R2040" s="7">
        <f>IF($B2040="","",Q2040-J2040)</f>
        <v/>
      </c>
      <c r="S2040" s="7" t="n"/>
      <c r="T2040" s="7" t="n"/>
      <c r="V2040" s="14" t="n"/>
      <c r="Z2040">
        <f>IF($B2040="","",IF(COUNTIF($B$2:$B2040,$B2040)=1,1,0))</f>
        <v/>
      </c>
      <c r="AA2040">
        <f>IF($Z2040=1,SUMPRODUCT(--($AC$2:$AC$3001&lt;$AC2040))+1,"")</f>
        <v/>
      </c>
      <c r="AB2040">
        <f>IF($B2040="","",IF(OR($Y2040=TRUE(),$Y2040="TRUE"),1,IF(AND($Y2040&lt;&gt;"",OR($Y2040=FALSE(),$Y2040="FALSE")),0,IF(MIN(ABS($X2040/100-Settings!$C$6),ABS($X2040/100-Settings!$G$6))&lt;=MIN(ABS($X2040/100-Settings!$C$7),ABS($X2040/100-Settings!$G$7)),1,0))))</f>
        <v/>
      </c>
      <c r="AC2040">
        <f>IF($Z2040=1,IFERROR(IF(VALUE($B2040)&lt;100000000,VALUE($B2040),1000000000),IFERROR(IF(VALUE(MID($B2040,2,20))&lt;100000000,VALUE(MID($B2040,2,20)),1000000000),1000000000))+ROW()/100000,"")</f>
        <v/>
      </c>
    </row>
    <row r="2041">
      <c r="A2041">
        <f>IF($B2041="","",IFERROR(IF(INDEX('Per Invoice'!$A$2:$A$801,MATCH($B2041,'Per Invoice'!$B$2:$B$801,0))=0,"",INDEX('Per Invoice'!$A$2:$A$801,MATCH($B2041,'Per Invoice'!$B$2:$B$801,0))),""))</f>
        <v/>
      </c>
      <c r="J2041" s="7">
        <f>IF($B2041="","",I2041*Q2041/100)</f>
        <v/>
      </c>
      <c r="N2041" s="7" t="n"/>
      <c r="O2041" s="7" t="n"/>
      <c r="P2041" s="7">
        <f>IF($B2041="","",O2041*X2041/100)</f>
        <v/>
      </c>
      <c r="Q2041" s="7">
        <f>IF($B2041="","",O2041-P2041)</f>
        <v/>
      </c>
      <c r="R2041" s="7">
        <f>IF($B2041="","",Q2041-J2041)</f>
        <v/>
      </c>
      <c r="S2041" s="7" t="n"/>
      <c r="T2041" s="7" t="n"/>
      <c r="V2041" s="14" t="n"/>
      <c r="Z2041">
        <f>IF($B2041="","",IF(COUNTIF($B$2:$B2041,$B2041)=1,1,0))</f>
        <v/>
      </c>
      <c r="AA2041">
        <f>IF($Z2041=1,SUMPRODUCT(--($AC$2:$AC$3001&lt;$AC2041))+1,"")</f>
        <v/>
      </c>
      <c r="AB2041">
        <f>IF($B2041="","",IF(OR($Y2041=TRUE(),$Y2041="TRUE"),1,IF(AND($Y2041&lt;&gt;"",OR($Y2041=FALSE(),$Y2041="FALSE")),0,IF(MIN(ABS($X2041/100-Settings!$C$6),ABS($X2041/100-Settings!$G$6))&lt;=MIN(ABS($X2041/100-Settings!$C$7),ABS($X2041/100-Settings!$G$7)),1,0))))</f>
        <v/>
      </c>
      <c r="AC2041">
        <f>IF($Z2041=1,IFERROR(IF(VALUE($B2041)&lt;100000000,VALUE($B2041),1000000000),IFERROR(IF(VALUE(MID($B2041,2,20))&lt;100000000,VALUE(MID($B2041,2,20)),1000000000),1000000000))+ROW()/100000,"")</f>
        <v/>
      </c>
    </row>
    <row r="2042">
      <c r="A2042">
        <f>IF($B2042="","",IFERROR(IF(INDEX('Per Invoice'!$A$2:$A$801,MATCH($B2042,'Per Invoice'!$B$2:$B$801,0))=0,"",INDEX('Per Invoice'!$A$2:$A$801,MATCH($B2042,'Per Invoice'!$B$2:$B$801,0))),""))</f>
        <v/>
      </c>
      <c r="J2042" s="7">
        <f>IF($B2042="","",I2042*Q2042/100)</f>
        <v/>
      </c>
      <c r="N2042" s="7" t="n"/>
      <c r="O2042" s="7" t="n"/>
      <c r="P2042" s="7">
        <f>IF($B2042="","",O2042*X2042/100)</f>
        <v/>
      </c>
      <c r="Q2042" s="7">
        <f>IF($B2042="","",O2042-P2042)</f>
        <v/>
      </c>
      <c r="R2042" s="7">
        <f>IF($B2042="","",Q2042-J2042)</f>
        <v/>
      </c>
      <c r="S2042" s="7" t="n"/>
      <c r="T2042" s="7" t="n"/>
      <c r="V2042" s="14" t="n"/>
      <c r="Z2042">
        <f>IF($B2042="","",IF(COUNTIF($B$2:$B2042,$B2042)=1,1,0))</f>
        <v/>
      </c>
      <c r="AA2042">
        <f>IF($Z2042=1,SUMPRODUCT(--($AC$2:$AC$3001&lt;$AC2042))+1,"")</f>
        <v/>
      </c>
      <c r="AB2042">
        <f>IF($B2042="","",IF(OR($Y2042=TRUE(),$Y2042="TRUE"),1,IF(AND($Y2042&lt;&gt;"",OR($Y2042=FALSE(),$Y2042="FALSE")),0,IF(MIN(ABS($X2042/100-Settings!$C$6),ABS($X2042/100-Settings!$G$6))&lt;=MIN(ABS($X2042/100-Settings!$C$7),ABS($X2042/100-Settings!$G$7)),1,0))))</f>
        <v/>
      </c>
      <c r="AC2042">
        <f>IF($Z2042=1,IFERROR(IF(VALUE($B2042)&lt;100000000,VALUE($B2042),1000000000),IFERROR(IF(VALUE(MID($B2042,2,20))&lt;100000000,VALUE(MID($B2042,2,20)),1000000000),1000000000))+ROW()/100000,"")</f>
        <v/>
      </c>
    </row>
    <row r="2043">
      <c r="A2043">
        <f>IF($B2043="","",IFERROR(IF(INDEX('Per Invoice'!$A$2:$A$801,MATCH($B2043,'Per Invoice'!$B$2:$B$801,0))=0,"",INDEX('Per Invoice'!$A$2:$A$801,MATCH($B2043,'Per Invoice'!$B$2:$B$801,0))),""))</f>
        <v/>
      </c>
      <c r="J2043" s="7">
        <f>IF($B2043="","",I2043*Q2043/100)</f>
        <v/>
      </c>
      <c r="N2043" s="7" t="n"/>
      <c r="O2043" s="7" t="n"/>
      <c r="P2043" s="7">
        <f>IF($B2043="","",O2043*X2043/100)</f>
        <v/>
      </c>
      <c r="Q2043" s="7">
        <f>IF($B2043="","",O2043-P2043)</f>
        <v/>
      </c>
      <c r="R2043" s="7">
        <f>IF($B2043="","",Q2043-J2043)</f>
        <v/>
      </c>
      <c r="S2043" s="7" t="n"/>
      <c r="T2043" s="7" t="n"/>
      <c r="V2043" s="14" t="n"/>
      <c r="Z2043">
        <f>IF($B2043="","",IF(COUNTIF($B$2:$B2043,$B2043)=1,1,0))</f>
        <v/>
      </c>
      <c r="AA2043">
        <f>IF($Z2043=1,SUMPRODUCT(--($AC$2:$AC$3001&lt;$AC2043))+1,"")</f>
        <v/>
      </c>
      <c r="AB2043">
        <f>IF($B2043="","",IF(OR($Y2043=TRUE(),$Y2043="TRUE"),1,IF(AND($Y2043&lt;&gt;"",OR($Y2043=FALSE(),$Y2043="FALSE")),0,IF(MIN(ABS($X2043/100-Settings!$C$6),ABS($X2043/100-Settings!$G$6))&lt;=MIN(ABS($X2043/100-Settings!$C$7),ABS($X2043/100-Settings!$G$7)),1,0))))</f>
        <v/>
      </c>
      <c r="AC2043">
        <f>IF($Z2043=1,IFERROR(IF(VALUE($B2043)&lt;100000000,VALUE($B2043),1000000000),IFERROR(IF(VALUE(MID($B2043,2,20))&lt;100000000,VALUE(MID($B2043,2,20)),1000000000),1000000000))+ROW()/100000,"")</f>
        <v/>
      </c>
    </row>
    <row r="2044">
      <c r="A2044">
        <f>IF($B2044="","",IFERROR(IF(INDEX('Per Invoice'!$A$2:$A$801,MATCH($B2044,'Per Invoice'!$B$2:$B$801,0))=0,"",INDEX('Per Invoice'!$A$2:$A$801,MATCH($B2044,'Per Invoice'!$B$2:$B$801,0))),""))</f>
        <v/>
      </c>
      <c r="J2044" s="7">
        <f>IF($B2044="","",I2044*Q2044/100)</f>
        <v/>
      </c>
      <c r="N2044" s="7" t="n"/>
      <c r="O2044" s="7" t="n"/>
      <c r="P2044" s="7">
        <f>IF($B2044="","",O2044*X2044/100)</f>
        <v/>
      </c>
      <c r="Q2044" s="7">
        <f>IF($B2044="","",O2044-P2044)</f>
        <v/>
      </c>
      <c r="R2044" s="7">
        <f>IF($B2044="","",Q2044-J2044)</f>
        <v/>
      </c>
      <c r="S2044" s="7" t="n"/>
      <c r="T2044" s="7" t="n"/>
      <c r="V2044" s="14" t="n"/>
      <c r="Z2044">
        <f>IF($B2044="","",IF(COUNTIF($B$2:$B2044,$B2044)=1,1,0))</f>
        <v/>
      </c>
      <c r="AA2044">
        <f>IF($Z2044=1,SUMPRODUCT(--($AC$2:$AC$3001&lt;$AC2044))+1,"")</f>
        <v/>
      </c>
      <c r="AB2044">
        <f>IF($B2044="","",IF(OR($Y2044=TRUE(),$Y2044="TRUE"),1,IF(AND($Y2044&lt;&gt;"",OR($Y2044=FALSE(),$Y2044="FALSE")),0,IF(MIN(ABS($X2044/100-Settings!$C$6),ABS($X2044/100-Settings!$G$6))&lt;=MIN(ABS($X2044/100-Settings!$C$7),ABS($X2044/100-Settings!$G$7)),1,0))))</f>
        <v/>
      </c>
      <c r="AC2044">
        <f>IF($Z2044=1,IFERROR(IF(VALUE($B2044)&lt;100000000,VALUE($B2044),1000000000),IFERROR(IF(VALUE(MID($B2044,2,20))&lt;100000000,VALUE(MID($B2044,2,20)),1000000000),1000000000))+ROW()/100000,"")</f>
        <v/>
      </c>
    </row>
    <row r="2045">
      <c r="A2045">
        <f>IF($B2045="","",IFERROR(IF(INDEX('Per Invoice'!$A$2:$A$801,MATCH($B2045,'Per Invoice'!$B$2:$B$801,0))=0,"",INDEX('Per Invoice'!$A$2:$A$801,MATCH($B2045,'Per Invoice'!$B$2:$B$801,0))),""))</f>
        <v/>
      </c>
      <c r="J2045" s="7">
        <f>IF($B2045="","",I2045*Q2045/100)</f>
        <v/>
      </c>
      <c r="N2045" s="7" t="n"/>
      <c r="O2045" s="7" t="n"/>
      <c r="P2045" s="7">
        <f>IF($B2045="","",O2045*X2045/100)</f>
        <v/>
      </c>
      <c r="Q2045" s="7">
        <f>IF($B2045="","",O2045-P2045)</f>
        <v/>
      </c>
      <c r="R2045" s="7">
        <f>IF($B2045="","",Q2045-J2045)</f>
        <v/>
      </c>
      <c r="S2045" s="7" t="n"/>
      <c r="T2045" s="7" t="n"/>
      <c r="V2045" s="14" t="n"/>
      <c r="Z2045">
        <f>IF($B2045="","",IF(COUNTIF($B$2:$B2045,$B2045)=1,1,0))</f>
        <v/>
      </c>
      <c r="AA2045">
        <f>IF($Z2045=1,SUMPRODUCT(--($AC$2:$AC$3001&lt;$AC2045))+1,"")</f>
        <v/>
      </c>
      <c r="AB2045">
        <f>IF($B2045="","",IF(OR($Y2045=TRUE(),$Y2045="TRUE"),1,IF(AND($Y2045&lt;&gt;"",OR($Y2045=FALSE(),$Y2045="FALSE")),0,IF(MIN(ABS($X2045/100-Settings!$C$6),ABS($X2045/100-Settings!$G$6))&lt;=MIN(ABS($X2045/100-Settings!$C$7),ABS($X2045/100-Settings!$G$7)),1,0))))</f>
        <v/>
      </c>
      <c r="AC2045">
        <f>IF($Z2045=1,IFERROR(IF(VALUE($B2045)&lt;100000000,VALUE($B2045),1000000000),IFERROR(IF(VALUE(MID($B2045,2,20))&lt;100000000,VALUE(MID($B2045,2,20)),1000000000),1000000000))+ROW()/100000,"")</f>
        <v/>
      </c>
    </row>
    <row r="2046">
      <c r="A2046">
        <f>IF($B2046="","",IFERROR(IF(INDEX('Per Invoice'!$A$2:$A$801,MATCH($B2046,'Per Invoice'!$B$2:$B$801,0))=0,"",INDEX('Per Invoice'!$A$2:$A$801,MATCH($B2046,'Per Invoice'!$B$2:$B$801,0))),""))</f>
        <v/>
      </c>
      <c r="J2046" s="7">
        <f>IF($B2046="","",I2046*Q2046/100)</f>
        <v/>
      </c>
      <c r="N2046" s="7" t="n"/>
      <c r="O2046" s="7" t="n"/>
      <c r="P2046" s="7">
        <f>IF($B2046="","",O2046*X2046/100)</f>
        <v/>
      </c>
      <c r="Q2046" s="7">
        <f>IF($B2046="","",O2046-P2046)</f>
        <v/>
      </c>
      <c r="R2046" s="7">
        <f>IF($B2046="","",Q2046-J2046)</f>
        <v/>
      </c>
      <c r="S2046" s="7" t="n"/>
      <c r="T2046" s="7" t="n"/>
      <c r="V2046" s="14" t="n"/>
      <c r="Z2046">
        <f>IF($B2046="","",IF(COUNTIF($B$2:$B2046,$B2046)=1,1,0))</f>
        <v/>
      </c>
      <c r="AA2046">
        <f>IF($Z2046=1,SUMPRODUCT(--($AC$2:$AC$3001&lt;$AC2046))+1,"")</f>
        <v/>
      </c>
      <c r="AB2046">
        <f>IF($B2046="","",IF(OR($Y2046=TRUE(),$Y2046="TRUE"),1,IF(AND($Y2046&lt;&gt;"",OR($Y2046=FALSE(),$Y2046="FALSE")),0,IF(MIN(ABS($X2046/100-Settings!$C$6),ABS($X2046/100-Settings!$G$6))&lt;=MIN(ABS($X2046/100-Settings!$C$7),ABS($X2046/100-Settings!$G$7)),1,0))))</f>
        <v/>
      </c>
      <c r="AC2046">
        <f>IF($Z2046=1,IFERROR(IF(VALUE($B2046)&lt;100000000,VALUE($B2046),1000000000),IFERROR(IF(VALUE(MID($B2046,2,20))&lt;100000000,VALUE(MID($B2046,2,20)),1000000000),1000000000))+ROW()/100000,"")</f>
        <v/>
      </c>
    </row>
    <row r="2047">
      <c r="A2047">
        <f>IF($B2047="","",IFERROR(IF(INDEX('Per Invoice'!$A$2:$A$801,MATCH($B2047,'Per Invoice'!$B$2:$B$801,0))=0,"",INDEX('Per Invoice'!$A$2:$A$801,MATCH($B2047,'Per Invoice'!$B$2:$B$801,0))),""))</f>
        <v/>
      </c>
      <c r="J2047" s="7">
        <f>IF($B2047="","",I2047*Q2047/100)</f>
        <v/>
      </c>
      <c r="N2047" s="7" t="n"/>
      <c r="O2047" s="7" t="n"/>
      <c r="P2047" s="7">
        <f>IF($B2047="","",O2047*X2047/100)</f>
        <v/>
      </c>
      <c r="Q2047" s="7">
        <f>IF($B2047="","",O2047-P2047)</f>
        <v/>
      </c>
      <c r="R2047" s="7">
        <f>IF($B2047="","",Q2047-J2047)</f>
        <v/>
      </c>
      <c r="S2047" s="7" t="n"/>
      <c r="T2047" s="7" t="n"/>
      <c r="V2047" s="14" t="n"/>
      <c r="Z2047">
        <f>IF($B2047="","",IF(COUNTIF($B$2:$B2047,$B2047)=1,1,0))</f>
        <v/>
      </c>
      <c r="AA2047">
        <f>IF($Z2047=1,SUMPRODUCT(--($AC$2:$AC$3001&lt;$AC2047))+1,"")</f>
        <v/>
      </c>
      <c r="AB2047">
        <f>IF($B2047="","",IF(OR($Y2047=TRUE(),$Y2047="TRUE"),1,IF(AND($Y2047&lt;&gt;"",OR($Y2047=FALSE(),$Y2047="FALSE")),0,IF(MIN(ABS($X2047/100-Settings!$C$6),ABS($X2047/100-Settings!$G$6))&lt;=MIN(ABS($X2047/100-Settings!$C$7),ABS($X2047/100-Settings!$G$7)),1,0))))</f>
        <v/>
      </c>
      <c r="AC2047">
        <f>IF($Z2047=1,IFERROR(IF(VALUE($B2047)&lt;100000000,VALUE($B2047),1000000000),IFERROR(IF(VALUE(MID($B2047,2,20))&lt;100000000,VALUE(MID($B2047,2,20)),1000000000),1000000000))+ROW()/100000,"")</f>
        <v/>
      </c>
    </row>
    <row r="2048">
      <c r="A2048">
        <f>IF($B2048="","",IFERROR(IF(INDEX('Per Invoice'!$A$2:$A$801,MATCH($B2048,'Per Invoice'!$B$2:$B$801,0))=0,"",INDEX('Per Invoice'!$A$2:$A$801,MATCH($B2048,'Per Invoice'!$B$2:$B$801,0))),""))</f>
        <v/>
      </c>
      <c r="J2048" s="7">
        <f>IF($B2048="","",I2048*Q2048/100)</f>
        <v/>
      </c>
      <c r="N2048" s="7" t="n"/>
      <c r="O2048" s="7" t="n"/>
      <c r="P2048" s="7">
        <f>IF($B2048="","",O2048*X2048/100)</f>
        <v/>
      </c>
      <c r="Q2048" s="7">
        <f>IF($B2048="","",O2048-P2048)</f>
        <v/>
      </c>
      <c r="R2048" s="7">
        <f>IF($B2048="","",Q2048-J2048)</f>
        <v/>
      </c>
      <c r="S2048" s="7" t="n"/>
      <c r="T2048" s="7" t="n"/>
      <c r="V2048" s="14" t="n"/>
      <c r="Z2048">
        <f>IF($B2048="","",IF(COUNTIF($B$2:$B2048,$B2048)=1,1,0))</f>
        <v/>
      </c>
      <c r="AA2048">
        <f>IF($Z2048=1,SUMPRODUCT(--($AC$2:$AC$3001&lt;$AC2048))+1,"")</f>
        <v/>
      </c>
      <c r="AB2048">
        <f>IF($B2048="","",IF(OR($Y2048=TRUE(),$Y2048="TRUE"),1,IF(AND($Y2048&lt;&gt;"",OR($Y2048=FALSE(),$Y2048="FALSE")),0,IF(MIN(ABS($X2048/100-Settings!$C$6),ABS($X2048/100-Settings!$G$6))&lt;=MIN(ABS($X2048/100-Settings!$C$7),ABS($X2048/100-Settings!$G$7)),1,0))))</f>
        <v/>
      </c>
      <c r="AC2048">
        <f>IF($Z2048=1,IFERROR(IF(VALUE($B2048)&lt;100000000,VALUE($B2048),1000000000),IFERROR(IF(VALUE(MID($B2048,2,20))&lt;100000000,VALUE(MID($B2048,2,20)),1000000000),1000000000))+ROW()/100000,"")</f>
        <v/>
      </c>
    </row>
    <row r="2049">
      <c r="A2049">
        <f>IF($B2049="","",IFERROR(IF(INDEX('Per Invoice'!$A$2:$A$801,MATCH($B2049,'Per Invoice'!$B$2:$B$801,0))=0,"",INDEX('Per Invoice'!$A$2:$A$801,MATCH($B2049,'Per Invoice'!$B$2:$B$801,0))),""))</f>
        <v/>
      </c>
      <c r="J2049" s="7">
        <f>IF($B2049="","",I2049*Q2049/100)</f>
        <v/>
      </c>
      <c r="N2049" s="7" t="n"/>
      <c r="O2049" s="7" t="n"/>
      <c r="P2049" s="7">
        <f>IF($B2049="","",O2049*X2049/100)</f>
        <v/>
      </c>
      <c r="Q2049" s="7">
        <f>IF($B2049="","",O2049-P2049)</f>
        <v/>
      </c>
      <c r="R2049" s="7">
        <f>IF($B2049="","",Q2049-J2049)</f>
        <v/>
      </c>
      <c r="S2049" s="7" t="n"/>
      <c r="T2049" s="7" t="n"/>
      <c r="V2049" s="14" t="n"/>
      <c r="Z2049">
        <f>IF($B2049="","",IF(COUNTIF($B$2:$B2049,$B2049)=1,1,0))</f>
        <v/>
      </c>
      <c r="AA2049">
        <f>IF($Z2049=1,SUMPRODUCT(--($AC$2:$AC$3001&lt;$AC2049))+1,"")</f>
        <v/>
      </c>
      <c r="AB2049">
        <f>IF($B2049="","",IF(OR($Y2049=TRUE(),$Y2049="TRUE"),1,IF(AND($Y2049&lt;&gt;"",OR($Y2049=FALSE(),$Y2049="FALSE")),0,IF(MIN(ABS($X2049/100-Settings!$C$6),ABS($X2049/100-Settings!$G$6))&lt;=MIN(ABS($X2049/100-Settings!$C$7),ABS($X2049/100-Settings!$G$7)),1,0))))</f>
        <v/>
      </c>
      <c r="AC2049">
        <f>IF($Z2049=1,IFERROR(IF(VALUE($B2049)&lt;100000000,VALUE($B2049),1000000000),IFERROR(IF(VALUE(MID($B2049,2,20))&lt;100000000,VALUE(MID($B2049,2,20)),1000000000),1000000000))+ROW()/100000,"")</f>
        <v/>
      </c>
    </row>
    <row r="2050">
      <c r="A2050">
        <f>IF($B2050="","",IFERROR(IF(INDEX('Per Invoice'!$A$2:$A$801,MATCH($B2050,'Per Invoice'!$B$2:$B$801,0))=0,"",INDEX('Per Invoice'!$A$2:$A$801,MATCH($B2050,'Per Invoice'!$B$2:$B$801,0))),""))</f>
        <v/>
      </c>
      <c r="J2050" s="7">
        <f>IF($B2050="","",I2050*Q2050/100)</f>
        <v/>
      </c>
      <c r="N2050" s="7" t="n"/>
      <c r="O2050" s="7" t="n"/>
      <c r="P2050" s="7">
        <f>IF($B2050="","",O2050*X2050/100)</f>
        <v/>
      </c>
      <c r="Q2050" s="7">
        <f>IF($B2050="","",O2050-P2050)</f>
        <v/>
      </c>
      <c r="R2050" s="7">
        <f>IF($B2050="","",Q2050-J2050)</f>
        <v/>
      </c>
      <c r="S2050" s="7" t="n"/>
      <c r="T2050" s="7" t="n"/>
      <c r="V2050" s="14" t="n"/>
      <c r="Z2050">
        <f>IF($B2050="","",IF(COUNTIF($B$2:$B2050,$B2050)=1,1,0))</f>
        <v/>
      </c>
      <c r="AA2050">
        <f>IF($Z2050=1,SUMPRODUCT(--($AC$2:$AC$3001&lt;$AC2050))+1,"")</f>
        <v/>
      </c>
      <c r="AB2050">
        <f>IF($B2050="","",IF(OR($Y2050=TRUE(),$Y2050="TRUE"),1,IF(AND($Y2050&lt;&gt;"",OR($Y2050=FALSE(),$Y2050="FALSE")),0,IF(MIN(ABS($X2050/100-Settings!$C$6),ABS($X2050/100-Settings!$G$6))&lt;=MIN(ABS($X2050/100-Settings!$C$7),ABS($X2050/100-Settings!$G$7)),1,0))))</f>
        <v/>
      </c>
      <c r="AC2050">
        <f>IF($Z2050=1,IFERROR(IF(VALUE($B2050)&lt;100000000,VALUE($B2050),1000000000),IFERROR(IF(VALUE(MID($B2050,2,20))&lt;100000000,VALUE(MID($B2050,2,20)),1000000000),1000000000))+ROW()/100000,"")</f>
        <v/>
      </c>
    </row>
    <row r="2051">
      <c r="A2051">
        <f>IF($B2051="","",IFERROR(IF(INDEX('Per Invoice'!$A$2:$A$801,MATCH($B2051,'Per Invoice'!$B$2:$B$801,0))=0,"",INDEX('Per Invoice'!$A$2:$A$801,MATCH($B2051,'Per Invoice'!$B$2:$B$801,0))),""))</f>
        <v/>
      </c>
      <c r="J2051" s="7">
        <f>IF($B2051="","",I2051*Q2051/100)</f>
        <v/>
      </c>
      <c r="N2051" s="7" t="n"/>
      <c r="O2051" s="7" t="n"/>
      <c r="P2051" s="7">
        <f>IF($B2051="","",O2051*X2051/100)</f>
        <v/>
      </c>
      <c r="Q2051" s="7">
        <f>IF($B2051="","",O2051-P2051)</f>
        <v/>
      </c>
      <c r="R2051" s="7">
        <f>IF($B2051="","",Q2051-J2051)</f>
        <v/>
      </c>
      <c r="S2051" s="7" t="n"/>
      <c r="T2051" s="7" t="n"/>
      <c r="V2051" s="14" t="n"/>
      <c r="Z2051">
        <f>IF($B2051="","",IF(COUNTIF($B$2:$B2051,$B2051)=1,1,0))</f>
        <v/>
      </c>
      <c r="AA2051">
        <f>IF($Z2051=1,SUMPRODUCT(--($AC$2:$AC$3001&lt;$AC2051))+1,"")</f>
        <v/>
      </c>
      <c r="AB2051">
        <f>IF($B2051="","",IF(OR($Y2051=TRUE(),$Y2051="TRUE"),1,IF(AND($Y2051&lt;&gt;"",OR($Y2051=FALSE(),$Y2051="FALSE")),0,IF(MIN(ABS($X2051/100-Settings!$C$6),ABS($X2051/100-Settings!$G$6))&lt;=MIN(ABS($X2051/100-Settings!$C$7),ABS($X2051/100-Settings!$G$7)),1,0))))</f>
        <v/>
      </c>
      <c r="AC2051">
        <f>IF($Z2051=1,IFERROR(IF(VALUE($B2051)&lt;100000000,VALUE($B2051),1000000000),IFERROR(IF(VALUE(MID($B2051,2,20))&lt;100000000,VALUE(MID($B2051,2,20)),1000000000),1000000000))+ROW()/100000,"")</f>
        <v/>
      </c>
    </row>
    <row r="2052">
      <c r="A2052">
        <f>IF($B2052="","",IFERROR(IF(INDEX('Per Invoice'!$A$2:$A$801,MATCH($B2052,'Per Invoice'!$B$2:$B$801,0))=0,"",INDEX('Per Invoice'!$A$2:$A$801,MATCH($B2052,'Per Invoice'!$B$2:$B$801,0))),""))</f>
        <v/>
      </c>
      <c r="J2052" s="7">
        <f>IF($B2052="","",I2052*Q2052/100)</f>
        <v/>
      </c>
      <c r="N2052" s="7" t="n"/>
      <c r="O2052" s="7" t="n"/>
      <c r="P2052" s="7">
        <f>IF($B2052="","",O2052*X2052/100)</f>
        <v/>
      </c>
      <c r="Q2052" s="7">
        <f>IF($B2052="","",O2052-P2052)</f>
        <v/>
      </c>
      <c r="R2052" s="7">
        <f>IF($B2052="","",Q2052-J2052)</f>
        <v/>
      </c>
      <c r="S2052" s="7" t="n"/>
      <c r="T2052" s="7" t="n"/>
      <c r="V2052" s="14" t="n"/>
      <c r="Z2052">
        <f>IF($B2052="","",IF(COUNTIF($B$2:$B2052,$B2052)=1,1,0))</f>
        <v/>
      </c>
      <c r="AA2052">
        <f>IF($Z2052=1,SUMPRODUCT(--($AC$2:$AC$3001&lt;$AC2052))+1,"")</f>
        <v/>
      </c>
      <c r="AB2052">
        <f>IF($B2052="","",IF(OR($Y2052=TRUE(),$Y2052="TRUE"),1,IF(AND($Y2052&lt;&gt;"",OR($Y2052=FALSE(),$Y2052="FALSE")),0,IF(MIN(ABS($X2052/100-Settings!$C$6),ABS($X2052/100-Settings!$G$6))&lt;=MIN(ABS($X2052/100-Settings!$C$7),ABS($X2052/100-Settings!$G$7)),1,0))))</f>
        <v/>
      </c>
      <c r="AC2052">
        <f>IF($Z2052=1,IFERROR(IF(VALUE($B2052)&lt;100000000,VALUE($B2052),1000000000),IFERROR(IF(VALUE(MID($B2052,2,20))&lt;100000000,VALUE(MID($B2052,2,20)),1000000000),1000000000))+ROW()/100000,"")</f>
        <v/>
      </c>
    </row>
    <row r="2053">
      <c r="A2053">
        <f>IF($B2053="","",IFERROR(IF(INDEX('Per Invoice'!$A$2:$A$801,MATCH($B2053,'Per Invoice'!$B$2:$B$801,0))=0,"",INDEX('Per Invoice'!$A$2:$A$801,MATCH($B2053,'Per Invoice'!$B$2:$B$801,0))),""))</f>
        <v/>
      </c>
      <c r="J2053" s="7">
        <f>IF($B2053="","",I2053*Q2053/100)</f>
        <v/>
      </c>
      <c r="N2053" s="7" t="n"/>
      <c r="O2053" s="7" t="n"/>
      <c r="P2053" s="7">
        <f>IF($B2053="","",O2053*X2053/100)</f>
        <v/>
      </c>
      <c r="Q2053" s="7">
        <f>IF($B2053="","",O2053-P2053)</f>
        <v/>
      </c>
      <c r="R2053" s="7">
        <f>IF($B2053="","",Q2053-J2053)</f>
        <v/>
      </c>
      <c r="S2053" s="7" t="n"/>
      <c r="T2053" s="7" t="n"/>
      <c r="V2053" s="14" t="n"/>
      <c r="Z2053">
        <f>IF($B2053="","",IF(COUNTIF($B$2:$B2053,$B2053)=1,1,0))</f>
        <v/>
      </c>
      <c r="AA2053">
        <f>IF($Z2053=1,SUMPRODUCT(--($AC$2:$AC$3001&lt;$AC2053))+1,"")</f>
        <v/>
      </c>
      <c r="AB2053">
        <f>IF($B2053="","",IF(OR($Y2053=TRUE(),$Y2053="TRUE"),1,IF(AND($Y2053&lt;&gt;"",OR($Y2053=FALSE(),$Y2053="FALSE")),0,IF(MIN(ABS($X2053/100-Settings!$C$6),ABS($X2053/100-Settings!$G$6))&lt;=MIN(ABS($X2053/100-Settings!$C$7),ABS($X2053/100-Settings!$G$7)),1,0))))</f>
        <v/>
      </c>
      <c r="AC2053">
        <f>IF($Z2053=1,IFERROR(IF(VALUE($B2053)&lt;100000000,VALUE($B2053),1000000000),IFERROR(IF(VALUE(MID($B2053,2,20))&lt;100000000,VALUE(MID($B2053,2,20)),1000000000),1000000000))+ROW()/100000,"")</f>
        <v/>
      </c>
    </row>
    <row r="2054">
      <c r="A2054">
        <f>IF($B2054="","",IFERROR(IF(INDEX('Per Invoice'!$A$2:$A$801,MATCH($B2054,'Per Invoice'!$B$2:$B$801,0))=0,"",INDEX('Per Invoice'!$A$2:$A$801,MATCH($B2054,'Per Invoice'!$B$2:$B$801,0))),""))</f>
        <v/>
      </c>
      <c r="J2054" s="7">
        <f>IF($B2054="","",I2054*Q2054/100)</f>
        <v/>
      </c>
      <c r="N2054" s="7" t="n"/>
      <c r="O2054" s="7" t="n"/>
      <c r="P2054" s="7">
        <f>IF($B2054="","",O2054*X2054/100)</f>
        <v/>
      </c>
      <c r="Q2054" s="7">
        <f>IF($B2054="","",O2054-P2054)</f>
        <v/>
      </c>
      <c r="R2054" s="7">
        <f>IF($B2054="","",Q2054-J2054)</f>
        <v/>
      </c>
      <c r="S2054" s="7" t="n"/>
      <c r="T2054" s="7" t="n"/>
      <c r="V2054" s="14" t="n"/>
      <c r="Z2054">
        <f>IF($B2054="","",IF(COUNTIF($B$2:$B2054,$B2054)=1,1,0))</f>
        <v/>
      </c>
      <c r="AA2054">
        <f>IF($Z2054=1,SUMPRODUCT(--($AC$2:$AC$3001&lt;$AC2054))+1,"")</f>
        <v/>
      </c>
      <c r="AB2054">
        <f>IF($B2054="","",IF(OR($Y2054=TRUE(),$Y2054="TRUE"),1,IF(AND($Y2054&lt;&gt;"",OR($Y2054=FALSE(),$Y2054="FALSE")),0,IF(MIN(ABS($X2054/100-Settings!$C$6),ABS($X2054/100-Settings!$G$6))&lt;=MIN(ABS($X2054/100-Settings!$C$7),ABS($X2054/100-Settings!$G$7)),1,0))))</f>
        <v/>
      </c>
      <c r="AC2054">
        <f>IF($Z2054=1,IFERROR(IF(VALUE($B2054)&lt;100000000,VALUE($B2054),1000000000),IFERROR(IF(VALUE(MID($B2054,2,20))&lt;100000000,VALUE(MID($B2054,2,20)),1000000000),1000000000))+ROW()/100000,"")</f>
        <v/>
      </c>
    </row>
    <row r="2055">
      <c r="A2055">
        <f>IF($B2055="","",IFERROR(IF(INDEX('Per Invoice'!$A$2:$A$801,MATCH($B2055,'Per Invoice'!$B$2:$B$801,0))=0,"",INDEX('Per Invoice'!$A$2:$A$801,MATCH($B2055,'Per Invoice'!$B$2:$B$801,0))),""))</f>
        <v/>
      </c>
      <c r="J2055" s="7">
        <f>IF($B2055="","",I2055*Q2055/100)</f>
        <v/>
      </c>
      <c r="N2055" s="7" t="n"/>
      <c r="O2055" s="7" t="n"/>
      <c r="P2055" s="7">
        <f>IF($B2055="","",O2055*X2055/100)</f>
        <v/>
      </c>
      <c r="Q2055" s="7">
        <f>IF($B2055="","",O2055-P2055)</f>
        <v/>
      </c>
      <c r="R2055" s="7">
        <f>IF($B2055="","",Q2055-J2055)</f>
        <v/>
      </c>
      <c r="S2055" s="7" t="n"/>
      <c r="T2055" s="7" t="n"/>
      <c r="V2055" s="14" t="n"/>
      <c r="Z2055">
        <f>IF($B2055="","",IF(COUNTIF($B$2:$B2055,$B2055)=1,1,0))</f>
        <v/>
      </c>
      <c r="AA2055">
        <f>IF($Z2055=1,SUMPRODUCT(--($AC$2:$AC$3001&lt;$AC2055))+1,"")</f>
        <v/>
      </c>
      <c r="AB2055">
        <f>IF($B2055="","",IF(OR($Y2055=TRUE(),$Y2055="TRUE"),1,IF(AND($Y2055&lt;&gt;"",OR($Y2055=FALSE(),$Y2055="FALSE")),0,IF(MIN(ABS($X2055/100-Settings!$C$6),ABS($X2055/100-Settings!$G$6))&lt;=MIN(ABS($X2055/100-Settings!$C$7),ABS($X2055/100-Settings!$G$7)),1,0))))</f>
        <v/>
      </c>
      <c r="AC2055">
        <f>IF($Z2055=1,IFERROR(IF(VALUE($B2055)&lt;100000000,VALUE($B2055),1000000000),IFERROR(IF(VALUE(MID($B2055,2,20))&lt;100000000,VALUE(MID($B2055,2,20)),1000000000),1000000000))+ROW()/100000,"")</f>
        <v/>
      </c>
    </row>
    <row r="2056">
      <c r="A2056">
        <f>IF($B2056="","",IFERROR(IF(INDEX('Per Invoice'!$A$2:$A$801,MATCH($B2056,'Per Invoice'!$B$2:$B$801,0))=0,"",INDEX('Per Invoice'!$A$2:$A$801,MATCH($B2056,'Per Invoice'!$B$2:$B$801,0))),""))</f>
        <v/>
      </c>
      <c r="J2056" s="7">
        <f>IF($B2056="","",I2056*Q2056/100)</f>
        <v/>
      </c>
      <c r="N2056" s="7" t="n"/>
      <c r="O2056" s="7" t="n"/>
      <c r="P2056" s="7">
        <f>IF($B2056="","",O2056*X2056/100)</f>
        <v/>
      </c>
      <c r="Q2056" s="7">
        <f>IF($B2056="","",O2056-P2056)</f>
        <v/>
      </c>
      <c r="R2056" s="7">
        <f>IF($B2056="","",Q2056-J2056)</f>
        <v/>
      </c>
      <c r="S2056" s="7" t="n"/>
      <c r="T2056" s="7" t="n"/>
      <c r="V2056" s="14" t="n"/>
      <c r="Z2056">
        <f>IF($B2056="","",IF(COUNTIF($B$2:$B2056,$B2056)=1,1,0))</f>
        <v/>
      </c>
      <c r="AA2056">
        <f>IF($Z2056=1,SUMPRODUCT(--($AC$2:$AC$3001&lt;$AC2056))+1,"")</f>
        <v/>
      </c>
      <c r="AB2056">
        <f>IF($B2056="","",IF(OR($Y2056=TRUE(),$Y2056="TRUE"),1,IF(AND($Y2056&lt;&gt;"",OR($Y2056=FALSE(),$Y2056="FALSE")),0,IF(MIN(ABS($X2056/100-Settings!$C$6),ABS($X2056/100-Settings!$G$6))&lt;=MIN(ABS($X2056/100-Settings!$C$7),ABS($X2056/100-Settings!$G$7)),1,0))))</f>
        <v/>
      </c>
      <c r="AC2056">
        <f>IF($Z2056=1,IFERROR(IF(VALUE($B2056)&lt;100000000,VALUE($B2056),1000000000),IFERROR(IF(VALUE(MID($B2056,2,20))&lt;100000000,VALUE(MID($B2056,2,20)),1000000000),1000000000))+ROW()/100000,"")</f>
        <v/>
      </c>
    </row>
    <row r="2057">
      <c r="A2057">
        <f>IF($B2057="","",IFERROR(IF(INDEX('Per Invoice'!$A$2:$A$801,MATCH($B2057,'Per Invoice'!$B$2:$B$801,0))=0,"",INDEX('Per Invoice'!$A$2:$A$801,MATCH($B2057,'Per Invoice'!$B$2:$B$801,0))),""))</f>
        <v/>
      </c>
      <c r="J2057" s="7">
        <f>IF($B2057="","",I2057*Q2057/100)</f>
        <v/>
      </c>
      <c r="N2057" s="7" t="n"/>
      <c r="O2057" s="7" t="n"/>
      <c r="P2057" s="7">
        <f>IF($B2057="","",O2057*X2057/100)</f>
        <v/>
      </c>
      <c r="Q2057" s="7">
        <f>IF($B2057="","",O2057-P2057)</f>
        <v/>
      </c>
      <c r="R2057" s="7">
        <f>IF($B2057="","",Q2057-J2057)</f>
        <v/>
      </c>
      <c r="S2057" s="7" t="n"/>
      <c r="T2057" s="7" t="n"/>
      <c r="V2057" s="14" t="n"/>
      <c r="Z2057">
        <f>IF($B2057="","",IF(COUNTIF($B$2:$B2057,$B2057)=1,1,0))</f>
        <v/>
      </c>
      <c r="AA2057">
        <f>IF($Z2057=1,SUMPRODUCT(--($AC$2:$AC$3001&lt;$AC2057))+1,"")</f>
        <v/>
      </c>
      <c r="AB2057">
        <f>IF($B2057="","",IF(OR($Y2057=TRUE(),$Y2057="TRUE"),1,IF(AND($Y2057&lt;&gt;"",OR($Y2057=FALSE(),$Y2057="FALSE")),0,IF(MIN(ABS($X2057/100-Settings!$C$6),ABS($X2057/100-Settings!$G$6))&lt;=MIN(ABS($X2057/100-Settings!$C$7),ABS($X2057/100-Settings!$G$7)),1,0))))</f>
        <v/>
      </c>
      <c r="AC2057">
        <f>IF($Z2057=1,IFERROR(IF(VALUE($B2057)&lt;100000000,VALUE($B2057),1000000000),IFERROR(IF(VALUE(MID($B2057,2,20))&lt;100000000,VALUE(MID($B2057,2,20)),1000000000),1000000000))+ROW()/100000,"")</f>
        <v/>
      </c>
    </row>
    <row r="2058">
      <c r="A2058">
        <f>IF($B2058="","",IFERROR(IF(INDEX('Per Invoice'!$A$2:$A$801,MATCH($B2058,'Per Invoice'!$B$2:$B$801,0))=0,"",INDEX('Per Invoice'!$A$2:$A$801,MATCH($B2058,'Per Invoice'!$B$2:$B$801,0))),""))</f>
        <v/>
      </c>
      <c r="J2058" s="7">
        <f>IF($B2058="","",I2058*Q2058/100)</f>
        <v/>
      </c>
      <c r="N2058" s="7" t="n"/>
      <c r="O2058" s="7" t="n"/>
      <c r="P2058" s="7">
        <f>IF($B2058="","",O2058*X2058/100)</f>
        <v/>
      </c>
      <c r="Q2058" s="7">
        <f>IF($B2058="","",O2058-P2058)</f>
        <v/>
      </c>
      <c r="R2058" s="7">
        <f>IF($B2058="","",Q2058-J2058)</f>
        <v/>
      </c>
      <c r="S2058" s="7" t="n"/>
      <c r="T2058" s="7" t="n"/>
      <c r="V2058" s="14" t="n"/>
      <c r="Z2058">
        <f>IF($B2058="","",IF(COUNTIF($B$2:$B2058,$B2058)=1,1,0))</f>
        <v/>
      </c>
      <c r="AA2058">
        <f>IF($Z2058=1,SUMPRODUCT(--($AC$2:$AC$3001&lt;$AC2058))+1,"")</f>
        <v/>
      </c>
      <c r="AB2058">
        <f>IF($B2058="","",IF(OR($Y2058=TRUE(),$Y2058="TRUE"),1,IF(AND($Y2058&lt;&gt;"",OR($Y2058=FALSE(),$Y2058="FALSE")),0,IF(MIN(ABS($X2058/100-Settings!$C$6),ABS($X2058/100-Settings!$G$6))&lt;=MIN(ABS($X2058/100-Settings!$C$7),ABS($X2058/100-Settings!$G$7)),1,0))))</f>
        <v/>
      </c>
      <c r="AC2058">
        <f>IF($Z2058=1,IFERROR(IF(VALUE($B2058)&lt;100000000,VALUE($B2058),1000000000),IFERROR(IF(VALUE(MID($B2058,2,20))&lt;100000000,VALUE(MID($B2058,2,20)),1000000000),1000000000))+ROW()/100000,"")</f>
        <v/>
      </c>
    </row>
    <row r="2059">
      <c r="A2059">
        <f>IF($B2059="","",IFERROR(IF(INDEX('Per Invoice'!$A$2:$A$801,MATCH($B2059,'Per Invoice'!$B$2:$B$801,0))=0,"",INDEX('Per Invoice'!$A$2:$A$801,MATCH($B2059,'Per Invoice'!$B$2:$B$801,0))),""))</f>
        <v/>
      </c>
      <c r="J2059" s="7">
        <f>IF($B2059="","",I2059*Q2059/100)</f>
        <v/>
      </c>
      <c r="N2059" s="7" t="n"/>
      <c r="O2059" s="7" t="n"/>
      <c r="P2059" s="7">
        <f>IF($B2059="","",O2059*X2059/100)</f>
        <v/>
      </c>
      <c r="Q2059" s="7">
        <f>IF($B2059="","",O2059-P2059)</f>
        <v/>
      </c>
      <c r="R2059" s="7">
        <f>IF($B2059="","",Q2059-J2059)</f>
        <v/>
      </c>
      <c r="S2059" s="7" t="n"/>
      <c r="T2059" s="7" t="n"/>
      <c r="V2059" s="14" t="n"/>
      <c r="Z2059">
        <f>IF($B2059="","",IF(COUNTIF($B$2:$B2059,$B2059)=1,1,0))</f>
        <v/>
      </c>
      <c r="AA2059">
        <f>IF($Z2059=1,SUMPRODUCT(--($AC$2:$AC$3001&lt;$AC2059))+1,"")</f>
        <v/>
      </c>
      <c r="AB2059">
        <f>IF($B2059="","",IF(OR($Y2059=TRUE(),$Y2059="TRUE"),1,IF(AND($Y2059&lt;&gt;"",OR($Y2059=FALSE(),$Y2059="FALSE")),0,IF(MIN(ABS($X2059/100-Settings!$C$6),ABS($X2059/100-Settings!$G$6))&lt;=MIN(ABS($X2059/100-Settings!$C$7),ABS($X2059/100-Settings!$G$7)),1,0))))</f>
        <v/>
      </c>
      <c r="AC2059">
        <f>IF($Z2059=1,IFERROR(IF(VALUE($B2059)&lt;100000000,VALUE($B2059),1000000000),IFERROR(IF(VALUE(MID($B2059,2,20))&lt;100000000,VALUE(MID($B2059,2,20)),1000000000),1000000000))+ROW()/100000,"")</f>
        <v/>
      </c>
    </row>
    <row r="2060">
      <c r="A2060">
        <f>IF($B2060="","",IFERROR(IF(INDEX('Per Invoice'!$A$2:$A$801,MATCH($B2060,'Per Invoice'!$B$2:$B$801,0))=0,"",INDEX('Per Invoice'!$A$2:$A$801,MATCH($B2060,'Per Invoice'!$B$2:$B$801,0))),""))</f>
        <v/>
      </c>
      <c r="J2060" s="7">
        <f>IF($B2060="","",I2060*Q2060/100)</f>
        <v/>
      </c>
      <c r="N2060" s="7" t="n"/>
      <c r="O2060" s="7" t="n"/>
      <c r="P2060" s="7">
        <f>IF($B2060="","",O2060*X2060/100)</f>
        <v/>
      </c>
      <c r="Q2060" s="7">
        <f>IF($B2060="","",O2060-P2060)</f>
        <v/>
      </c>
      <c r="R2060" s="7">
        <f>IF($B2060="","",Q2060-J2060)</f>
        <v/>
      </c>
      <c r="S2060" s="7" t="n"/>
      <c r="T2060" s="7" t="n"/>
      <c r="V2060" s="14" t="n"/>
      <c r="Z2060">
        <f>IF($B2060="","",IF(COUNTIF($B$2:$B2060,$B2060)=1,1,0))</f>
        <v/>
      </c>
      <c r="AA2060">
        <f>IF($Z2060=1,SUMPRODUCT(--($AC$2:$AC$3001&lt;$AC2060))+1,"")</f>
        <v/>
      </c>
      <c r="AB2060">
        <f>IF($B2060="","",IF(OR($Y2060=TRUE(),$Y2060="TRUE"),1,IF(AND($Y2060&lt;&gt;"",OR($Y2060=FALSE(),$Y2060="FALSE")),0,IF(MIN(ABS($X2060/100-Settings!$C$6),ABS($X2060/100-Settings!$G$6))&lt;=MIN(ABS($X2060/100-Settings!$C$7),ABS($X2060/100-Settings!$G$7)),1,0))))</f>
        <v/>
      </c>
      <c r="AC2060">
        <f>IF($Z2060=1,IFERROR(IF(VALUE($B2060)&lt;100000000,VALUE($B2060),1000000000),IFERROR(IF(VALUE(MID($B2060,2,20))&lt;100000000,VALUE(MID($B2060,2,20)),1000000000),1000000000))+ROW()/100000,"")</f>
        <v/>
      </c>
    </row>
    <row r="2061">
      <c r="A2061">
        <f>IF($B2061="","",IFERROR(IF(INDEX('Per Invoice'!$A$2:$A$801,MATCH($B2061,'Per Invoice'!$B$2:$B$801,0))=0,"",INDEX('Per Invoice'!$A$2:$A$801,MATCH($B2061,'Per Invoice'!$B$2:$B$801,0))),""))</f>
        <v/>
      </c>
      <c r="J2061" s="7">
        <f>IF($B2061="","",I2061*Q2061/100)</f>
        <v/>
      </c>
      <c r="N2061" s="7" t="n"/>
      <c r="O2061" s="7" t="n"/>
      <c r="P2061" s="7">
        <f>IF($B2061="","",O2061*X2061/100)</f>
        <v/>
      </c>
      <c r="Q2061" s="7">
        <f>IF($B2061="","",O2061-P2061)</f>
        <v/>
      </c>
      <c r="R2061" s="7">
        <f>IF($B2061="","",Q2061-J2061)</f>
        <v/>
      </c>
      <c r="S2061" s="7" t="n"/>
      <c r="T2061" s="7" t="n"/>
      <c r="V2061" s="14" t="n"/>
      <c r="Z2061">
        <f>IF($B2061="","",IF(COUNTIF($B$2:$B2061,$B2061)=1,1,0))</f>
        <v/>
      </c>
      <c r="AA2061">
        <f>IF($Z2061=1,SUMPRODUCT(--($AC$2:$AC$3001&lt;$AC2061))+1,"")</f>
        <v/>
      </c>
      <c r="AB2061">
        <f>IF($B2061="","",IF(OR($Y2061=TRUE(),$Y2061="TRUE"),1,IF(AND($Y2061&lt;&gt;"",OR($Y2061=FALSE(),$Y2061="FALSE")),0,IF(MIN(ABS($X2061/100-Settings!$C$6),ABS($X2061/100-Settings!$G$6))&lt;=MIN(ABS($X2061/100-Settings!$C$7),ABS($X2061/100-Settings!$G$7)),1,0))))</f>
        <v/>
      </c>
      <c r="AC2061">
        <f>IF($Z2061=1,IFERROR(IF(VALUE($B2061)&lt;100000000,VALUE($B2061),1000000000),IFERROR(IF(VALUE(MID($B2061,2,20))&lt;100000000,VALUE(MID($B2061,2,20)),1000000000),1000000000))+ROW()/100000,"")</f>
        <v/>
      </c>
    </row>
    <row r="2062">
      <c r="A2062">
        <f>IF($B2062="","",IFERROR(IF(INDEX('Per Invoice'!$A$2:$A$801,MATCH($B2062,'Per Invoice'!$B$2:$B$801,0))=0,"",INDEX('Per Invoice'!$A$2:$A$801,MATCH($B2062,'Per Invoice'!$B$2:$B$801,0))),""))</f>
        <v/>
      </c>
      <c r="J2062" s="7">
        <f>IF($B2062="","",I2062*Q2062/100)</f>
        <v/>
      </c>
      <c r="N2062" s="7" t="n"/>
      <c r="O2062" s="7" t="n"/>
      <c r="P2062" s="7">
        <f>IF($B2062="","",O2062*X2062/100)</f>
        <v/>
      </c>
      <c r="Q2062" s="7">
        <f>IF($B2062="","",O2062-P2062)</f>
        <v/>
      </c>
      <c r="R2062" s="7">
        <f>IF($B2062="","",Q2062-J2062)</f>
        <v/>
      </c>
      <c r="S2062" s="7" t="n"/>
      <c r="T2062" s="7" t="n"/>
      <c r="V2062" s="14" t="n"/>
      <c r="Z2062">
        <f>IF($B2062="","",IF(COUNTIF($B$2:$B2062,$B2062)=1,1,0))</f>
        <v/>
      </c>
      <c r="AA2062">
        <f>IF($Z2062=1,SUMPRODUCT(--($AC$2:$AC$3001&lt;$AC2062))+1,"")</f>
        <v/>
      </c>
      <c r="AB2062">
        <f>IF($B2062="","",IF(OR($Y2062=TRUE(),$Y2062="TRUE"),1,IF(AND($Y2062&lt;&gt;"",OR($Y2062=FALSE(),$Y2062="FALSE")),0,IF(MIN(ABS($X2062/100-Settings!$C$6),ABS($X2062/100-Settings!$G$6))&lt;=MIN(ABS($X2062/100-Settings!$C$7),ABS($X2062/100-Settings!$G$7)),1,0))))</f>
        <v/>
      </c>
      <c r="AC2062">
        <f>IF($Z2062=1,IFERROR(IF(VALUE($B2062)&lt;100000000,VALUE($B2062),1000000000),IFERROR(IF(VALUE(MID($B2062,2,20))&lt;100000000,VALUE(MID($B2062,2,20)),1000000000),1000000000))+ROW()/100000,"")</f>
        <v/>
      </c>
    </row>
    <row r="2063">
      <c r="A2063">
        <f>IF($B2063="","",IFERROR(IF(INDEX('Per Invoice'!$A$2:$A$801,MATCH($B2063,'Per Invoice'!$B$2:$B$801,0))=0,"",INDEX('Per Invoice'!$A$2:$A$801,MATCH($B2063,'Per Invoice'!$B$2:$B$801,0))),""))</f>
        <v/>
      </c>
      <c r="J2063" s="7">
        <f>IF($B2063="","",I2063*Q2063/100)</f>
        <v/>
      </c>
      <c r="N2063" s="7" t="n"/>
      <c r="O2063" s="7" t="n"/>
      <c r="P2063" s="7">
        <f>IF($B2063="","",O2063*X2063/100)</f>
        <v/>
      </c>
      <c r="Q2063" s="7">
        <f>IF($B2063="","",O2063-P2063)</f>
        <v/>
      </c>
      <c r="R2063" s="7">
        <f>IF($B2063="","",Q2063-J2063)</f>
        <v/>
      </c>
      <c r="S2063" s="7" t="n"/>
      <c r="T2063" s="7" t="n"/>
      <c r="V2063" s="14" t="n"/>
      <c r="Z2063">
        <f>IF($B2063="","",IF(COUNTIF($B$2:$B2063,$B2063)=1,1,0))</f>
        <v/>
      </c>
      <c r="AA2063">
        <f>IF($Z2063=1,SUMPRODUCT(--($AC$2:$AC$3001&lt;$AC2063))+1,"")</f>
        <v/>
      </c>
      <c r="AB2063">
        <f>IF($B2063="","",IF(OR($Y2063=TRUE(),$Y2063="TRUE"),1,IF(AND($Y2063&lt;&gt;"",OR($Y2063=FALSE(),$Y2063="FALSE")),0,IF(MIN(ABS($X2063/100-Settings!$C$6),ABS($X2063/100-Settings!$G$6))&lt;=MIN(ABS($X2063/100-Settings!$C$7),ABS($X2063/100-Settings!$G$7)),1,0))))</f>
        <v/>
      </c>
      <c r="AC2063">
        <f>IF($Z2063=1,IFERROR(IF(VALUE($B2063)&lt;100000000,VALUE($B2063),1000000000),IFERROR(IF(VALUE(MID($B2063,2,20))&lt;100000000,VALUE(MID($B2063,2,20)),1000000000),1000000000))+ROW()/100000,"")</f>
        <v/>
      </c>
    </row>
    <row r="2064">
      <c r="A2064">
        <f>IF($B2064="","",IFERROR(IF(INDEX('Per Invoice'!$A$2:$A$801,MATCH($B2064,'Per Invoice'!$B$2:$B$801,0))=0,"",INDEX('Per Invoice'!$A$2:$A$801,MATCH($B2064,'Per Invoice'!$B$2:$B$801,0))),""))</f>
        <v/>
      </c>
      <c r="J2064" s="7">
        <f>IF($B2064="","",I2064*Q2064/100)</f>
        <v/>
      </c>
      <c r="N2064" s="7" t="n"/>
      <c r="O2064" s="7" t="n"/>
      <c r="P2064" s="7">
        <f>IF($B2064="","",O2064*X2064/100)</f>
        <v/>
      </c>
      <c r="Q2064" s="7">
        <f>IF($B2064="","",O2064-P2064)</f>
        <v/>
      </c>
      <c r="R2064" s="7">
        <f>IF($B2064="","",Q2064-J2064)</f>
        <v/>
      </c>
      <c r="S2064" s="7" t="n"/>
      <c r="T2064" s="7" t="n"/>
      <c r="V2064" s="14" t="n"/>
      <c r="Z2064">
        <f>IF($B2064="","",IF(COUNTIF($B$2:$B2064,$B2064)=1,1,0))</f>
        <v/>
      </c>
      <c r="AA2064">
        <f>IF($Z2064=1,SUMPRODUCT(--($AC$2:$AC$3001&lt;$AC2064))+1,"")</f>
        <v/>
      </c>
      <c r="AB2064">
        <f>IF($B2064="","",IF(OR($Y2064=TRUE(),$Y2064="TRUE"),1,IF(AND($Y2064&lt;&gt;"",OR($Y2064=FALSE(),$Y2064="FALSE")),0,IF(MIN(ABS($X2064/100-Settings!$C$6),ABS($X2064/100-Settings!$G$6))&lt;=MIN(ABS($X2064/100-Settings!$C$7),ABS($X2064/100-Settings!$G$7)),1,0))))</f>
        <v/>
      </c>
      <c r="AC2064">
        <f>IF($Z2064=1,IFERROR(IF(VALUE($B2064)&lt;100000000,VALUE($B2064),1000000000),IFERROR(IF(VALUE(MID($B2064,2,20))&lt;100000000,VALUE(MID($B2064,2,20)),1000000000),1000000000))+ROW()/100000,"")</f>
        <v/>
      </c>
    </row>
    <row r="2065">
      <c r="A2065">
        <f>IF($B2065="","",IFERROR(IF(INDEX('Per Invoice'!$A$2:$A$801,MATCH($B2065,'Per Invoice'!$B$2:$B$801,0))=0,"",INDEX('Per Invoice'!$A$2:$A$801,MATCH($B2065,'Per Invoice'!$B$2:$B$801,0))),""))</f>
        <v/>
      </c>
      <c r="J2065" s="7">
        <f>IF($B2065="","",I2065*Q2065/100)</f>
        <v/>
      </c>
      <c r="N2065" s="7" t="n"/>
      <c r="O2065" s="7" t="n"/>
      <c r="P2065" s="7">
        <f>IF($B2065="","",O2065*X2065/100)</f>
        <v/>
      </c>
      <c r="Q2065" s="7">
        <f>IF($B2065="","",O2065-P2065)</f>
        <v/>
      </c>
      <c r="R2065" s="7">
        <f>IF($B2065="","",Q2065-J2065)</f>
        <v/>
      </c>
      <c r="S2065" s="7" t="n"/>
      <c r="T2065" s="7" t="n"/>
      <c r="V2065" s="14" t="n"/>
      <c r="Z2065">
        <f>IF($B2065="","",IF(COUNTIF($B$2:$B2065,$B2065)=1,1,0))</f>
        <v/>
      </c>
      <c r="AA2065">
        <f>IF($Z2065=1,SUMPRODUCT(--($AC$2:$AC$3001&lt;$AC2065))+1,"")</f>
        <v/>
      </c>
      <c r="AB2065">
        <f>IF($B2065="","",IF(OR($Y2065=TRUE(),$Y2065="TRUE"),1,IF(AND($Y2065&lt;&gt;"",OR($Y2065=FALSE(),$Y2065="FALSE")),0,IF(MIN(ABS($X2065/100-Settings!$C$6),ABS($X2065/100-Settings!$G$6))&lt;=MIN(ABS($X2065/100-Settings!$C$7),ABS($X2065/100-Settings!$G$7)),1,0))))</f>
        <v/>
      </c>
      <c r="AC2065">
        <f>IF($Z2065=1,IFERROR(IF(VALUE($B2065)&lt;100000000,VALUE($B2065),1000000000),IFERROR(IF(VALUE(MID($B2065,2,20))&lt;100000000,VALUE(MID($B2065,2,20)),1000000000),1000000000))+ROW()/100000,"")</f>
        <v/>
      </c>
    </row>
    <row r="2066">
      <c r="A2066">
        <f>IF($B2066="","",IFERROR(IF(INDEX('Per Invoice'!$A$2:$A$801,MATCH($B2066,'Per Invoice'!$B$2:$B$801,0))=0,"",INDEX('Per Invoice'!$A$2:$A$801,MATCH($B2066,'Per Invoice'!$B$2:$B$801,0))),""))</f>
        <v/>
      </c>
      <c r="J2066" s="7">
        <f>IF($B2066="","",I2066*Q2066/100)</f>
        <v/>
      </c>
      <c r="N2066" s="7" t="n"/>
      <c r="O2066" s="7" t="n"/>
      <c r="P2066" s="7">
        <f>IF($B2066="","",O2066*X2066/100)</f>
        <v/>
      </c>
      <c r="Q2066" s="7">
        <f>IF($B2066="","",O2066-P2066)</f>
        <v/>
      </c>
      <c r="R2066" s="7">
        <f>IF($B2066="","",Q2066-J2066)</f>
        <v/>
      </c>
      <c r="S2066" s="7" t="n"/>
      <c r="T2066" s="7" t="n"/>
      <c r="V2066" s="14" t="n"/>
      <c r="Z2066">
        <f>IF($B2066="","",IF(COUNTIF($B$2:$B2066,$B2066)=1,1,0))</f>
        <v/>
      </c>
      <c r="AA2066">
        <f>IF($Z2066=1,SUMPRODUCT(--($AC$2:$AC$3001&lt;$AC2066))+1,"")</f>
        <v/>
      </c>
      <c r="AB2066">
        <f>IF($B2066="","",IF(OR($Y2066=TRUE(),$Y2066="TRUE"),1,IF(AND($Y2066&lt;&gt;"",OR($Y2066=FALSE(),$Y2066="FALSE")),0,IF(MIN(ABS($X2066/100-Settings!$C$6),ABS($X2066/100-Settings!$G$6))&lt;=MIN(ABS($X2066/100-Settings!$C$7),ABS($X2066/100-Settings!$G$7)),1,0))))</f>
        <v/>
      </c>
      <c r="AC2066">
        <f>IF($Z2066=1,IFERROR(IF(VALUE($B2066)&lt;100000000,VALUE($B2066),1000000000),IFERROR(IF(VALUE(MID($B2066,2,20))&lt;100000000,VALUE(MID($B2066,2,20)),1000000000),1000000000))+ROW()/100000,"")</f>
        <v/>
      </c>
    </row>
    <row r="2067">
      <c r="A2067">
        <f>IF($B2067="","",IFERROR(IF(INDEX('Per Invoice'!$A$2:$A$801,MATCH($B2067,'Per Invoice'!$B$2:$B$801,0))=0,"",INDEX('Per Invoice'!$A$2:$A$801,MATCH($B2067,'Per Invoice'!$B$2:$B$801,0))),""))</f>
        <v/>
      </c>
      <c r="J2067" s="7">
        <f>IF($B2067="","",I2067*Q2067/100)</f>
        <v/>
      </c>
      <c r="N2067" s="7" t="n"/>
      <c r="O2067" s="7" t="n"/>
      <c r="P2067" s="7">
        <f>IF($B2067="","",O2067*X2067/100)</f>
        <v/>
      </c>
      <c r="Q2067" s="7">
        <f>IF($B2067="","",O2067-P2067)</f>
        <v/>
      </c>
      <c r="R2067" s="7">
        <f>IF($B2067="","",Q2067-J2067)</f>
        <v/>
      </c>
      <c r="S2067" s="7" t="n"/>
      <c r="T2067" s="7" t="n"/>
      <c r="V2067" s="14" t="n"/>
      <c r="Z2067">
        <f>IF($B2067="","",IF(COUNTIF($B$2:$B2067,$B2067)=1,1,0))</f>
        <v/>
      </c>
      <c r="AA2067">
        <f>IF($Z2067=1,SUMPRODUCT(--($AC$2:$AC$3001&lt;$AC2067))+1,"")</f>
        <v/>
      </c>
      <c r="AB2067">
        <f>IF($B2067="","",IF(OR($Y2067=TRUE(),$Y2067="TRUE"),1,IF(AND($Y2067&lt;&gt;"",OR($Y2067=FALSE(),$Y2067="FALSE")),0,IF(MIN(ABS($X2067/100-Settings!$C$6),ABS($X2067/100-Settings!$G$6))&lt;=MIN(ABS($X2067/100-Settings!$C$7),ABS($X2067/100-Settings!$G$7)),1,0))))</f>
        <v/>
      </c>
      <c r="AC2067">
        <f>IF($Z2067=1,IFERROR(IF(VALUE($B2067)&lt;100000000,VALUE($B2067),1000000000),IFERROR(IF(VALUE(MID($B2067,2,20))&lt;100000000,VALUE(MID($B2067,2,20)),1000000000),1000000000))+ROW()/100000,"")</f>
        <v/>
      </c>
    </row>
    <row r="2068">
      <c r="A2068">
        <f>IF($B2068="","",IFERROR(IF(INDEX('Per Invoice'!$A$2:$A$801,MATCH($B2068,'Per Invoice'!$B$2:$B$801,0))=0,"",INDEX('Per Invoice'!$A$2:$A$801,MATCH($B2068,'Per Invoice'!$B$2:$B$801,0))),""))</f>
        <v/>
      </c>
      <c r="J2068" s="7">
        <f>IF($B2068="","",I2068*Q2068/100)</f>
        <v/>
      </c>
      <c r="N2068" s="7" t="n"/>
      <c r="O2068" s="7" t="n"/>
      <c r="P2068" s="7">
        <f>IF($B2068="","",O2068*X2068/100)</f>
        <v/>
      </c>
      <c r="Q2068" s="7">
        <f>IF($B2068="","",O2068-P2068)</f>
        <v/>
      </c>
      <c r="R2068" s="7">
        <f>IF($B2068="","",Q2068-J2068)</f>
        <v/>
      </c>
      <c r="S2068" s="7" t="n"/>
      <c r="T2068" s="7" t="n"/>
      <c r="V2068" s="14" t="n"/>
      <c r="Z2068">
        <f>IF($B2068="","",IF(COUNTIF($B$2:$B2068,$B2068)=1,1,0))</f>
        <v/>
      </c>
      <c r="AA2068">
        <f>IF($Z2068=1,SUMPRODUCT(--($AC$2:$AC$3001&lt;$AC2068))+1,"")</f>
        <v/>
      </c>
      <c r="AB2068">
        <f>IF($B2068="","",IF(OR($Y2068=TRUE(),$Y2068="TRUE"),1,IF(AND($Y2068&lt;&gt;"",OR($Y2068=FALSE(),$Y2068="FALSE")),0,IF(MIN(ABS($X2068/100-Settings!$C$6),ABS($X2068/100-Settings!$G$6))&lt;=MIN(ABS($X2068/100-Settings!$C$7),ABS($X2068/100-Settings!$G$7)),1,0))))</f>
        <v/>
      </c>
      <c r="AC2068">
        <f>IF($Z2068=1,IFERROR(IF(VALUE($B2068)&lt;100000000,VALUE($B2068),1000000000),IFERROR(IF(VALUE(MID($B2068,2,20))&lt;100000000,VALUE(MID($B2068,2,20)),1000000000),1000000000))+ROW()/100000,"")</f>
        <v/>
      </c>
    </row>
    <row r="2069">
      <c r="A2069">
        <f>IF($B2069="","",IFERROR(IF(INDEX('Per Invoice'!$A$2:$A$801,MATCH($B2069,'Per Invoice'!$B$2:$B$801,0))=0,"",INDEX('Per Invoice'!$A$2:$A$801,MATCH($B2069,'Per Invoice'!$B$2:$B$801,0))),""))</f>
        <v/>
      </c>
      <c r="J2069" s="7">
        <f>IF($B2069="","",I2069*Q2069/100)</f>
        <v/>
      </c>
      <c r="N2069" s="7" t="n"/>
      <c r="O2069" s="7" t="n"/>
      <c r="P2069" s="7">
        <f>IF($B2069="","",O2069*X2069/100)</f>
        <v/>
      </c>
      <c r="Q2069" s="7">
        <f>IF($B2069="","",O2069-P2069)</f>
        <v/>
      </c>
      <c r="R2069" s="7">
        <f>IF($B2069="","",Q2069-J2069)</f>
        <v/>
      </c>
      <c r="S2069" s="7" t="n"/>
      <c r="T2069" s="7" t="n"/>
      <c r="V2069" s="14" t="n"/>
      <c r="Z2069">
        <f>IF($B2069="","",IF(COUNTIF($B$2:$B2069,$B2069)=1,1,0))</f>
        <v/>
      </c>
      <c r="AA2069">
        <f>IF($Z2069=1,SUMPRODUCT(--($AC$2:$AC$3001&lt;$AC2069))+1,"")</f>
        <v/>
      </c>
      <c r="AB2069">
        <f>IF($B2069="","",IF(OR($Y2069=TRUE(),$Y2069="TRUE"),1,IF(AND($Y2069&lt;&gt;"",OR($Y2069=FALSE(),$Y2069="FALSE")),0,IF(MIN(ABS($X2069/100-Settings!$C$6),ABS($X2069/100-Settings!$G$6))&lt;=MIN(ABS($X2069/100-Settings!$C$7),ABS($X2069/100-Settings!$G$7)),1,0))))</f>
        <v/>
      </c>
      <c r="AC2069">
        <f>IF($Z2069=1,IFERROR(IF(VALUE($B2069)&lt;100000000,VALUE($B2069),1000000000),IFERROR(IF(VALUE(MID($B2069,2,20))&lt;100000000,VALUE(MID($B2069,2,20)),1000000000),1000000000))+ROW()/100000,"")</f>
        <v/>
      </c>
    </row>
    <row r="2070">
      <c r="A2070">
        <f>IF($B2070="","",IFERROR(IF(INDEX('Per Invoice'!$A$2:$A$801,MATCH($B2070,'Per Invoice'!$B$2:$B$801,0))=0,"",INDEX('Per Invoice'!$A$2:$A$801,MATCH($B2070,'Per Invoice'!$B$2:$B$801,0))),""))</f>
        <v/>
      </c>
      <c r="J2070" s="7">
        <f>IF($B2070="","",I2070*Q2070/100)</f>
        <v/>
      </c>
      <c r="N2070" s="7" t="n"/>
      <c r="O2070" s="7" t="n"/>
      <c r="P2070" s="7">
        <f>IF($B2070="","",O2070*X2070/100)</f>
        <v/>
      </c>
      <c r="Q2070" s="7">
        <f>IF($B2070="","",O2070-P2070)</f>
        <v/>
      </c>
      <c r="R2070" s="7">
        <f>IF($B2070="","",Q2070-J2070)</f>
        <v/>
      </c>
      <c r="S2070" s="7" t="n"/>
      <c r="T2070" s="7" t="n"/>
      <c r="V2070" s="14" t="n"/>
      <c r="Z2070">
        <f>IF($B2070="","",IF(COUNTIF($B$2:$B2070,$B2070)=1,1,0))</f>
        <v/>
      </c>
      <c r="AA2070">
        <f>IF($Z2070=1,SUMPRODUCT(--($AC$2:$AC$3001&lt;$AC2070))+1,"")</f>
        <v/>
      </c>
      <c r="AB2070">
        <f>IF($B2070="","",IF(OR($Y2070=TRUE(),$Y2070="TRUE"),1,IF(AND($Y2070&lt;&gt;"",OR($Y2070=FALSE(),$Y2070="FALSE")),0,IF(MIN(ABS($X2070/100-Settings!$C$6),ABS($X2070/100-Settings!$G$6))&lt;=MIN(ABS($X2070/100-Settings!$C$7),ABS($X2070/100-Settings!$G$7)),1,0))))</f>
        <v/>
      </c>
      <c r="AC2070">
        <f>IF($Z2070=1,IFERROR(IF(VALUE($B2070)&lt;100000000,VALUE($B2070),1000000000),IFERROR(IF(VALUE(MID($B2070,2,20))&lt;100000000,VALUE(MID($B2070,2,20)),1000000000),1000000000))+ROW()/100000,"")</f>
        <v/>
      </c>
    </row>
    <row r="2071">
      <c r="A2071">
        <f>IF($B2071="","",IFERROR(IF(INDEX('Per Invoice'!$A$2:$A$801,MATCH($B2071,'Per Invoice'!$B$2:$B$801,0))=0,"",INDEX('Per Invoice'!$A$2:$A$801,MATCH($B2071,'Per Invoice'!$B$2:$B$801,0))),""))</f>
        <v/>
      </c>
      <c r="J2071" s="7">
        <f>IF($B2071="","",I2071*Q2071/100)</f>
        <v/>
      </c>
      <c r="N2071" s="7" t="n"/>
      <c r="O2071" s="7" t="n"/>
      <c r="P2071" s="7">
        <f>IF($B2071="","",O2071*X2071/100)</f>
        <v/>
      </c>
      <c r="Q2071" s="7">
        <f>IF($B2071="","",O2071-P2071)</f>
        <v/>
      </c>
      <c r="R2071" s="7">
        <f>IF($B2071="","",Q2071-J2071)</f>
        <v/>
      </c>
      <c r="S2071" s="7" t="n"/>
      <c r="T2071" s="7" t="n"/>
      <c r="V2071" s="14" t="n"/>
      <c r="Z2071">
        <f>IF($B2071="","",IF(COUNTIF($B$2:$B2071,$B2071)=1,1,0))</f>
        <v/>
      </c>
      <c r="AA2071">
        <f>IF($Z2071=1,SUMPRODUCT(--($AC$2:$AC$3001&lt;$AC2071))+1,"")</f>
        <v/>
      </c>
      <c r="AB2071">
        <f>IF($B2071="","",IF(OR($Y2071=TRUE(),$Y2071="TRUE"),1,IF(AND($Y2071&lt;&gt;"",OR($Y2071=FALSE(),$Y2071="FALSE")),0,IF(MIN(ABS($X2071/100-Settings!$C$6),ABS($X2071/100-Settings!$G$6))&lt;=MIN(ABS($X2071/100-Settings!$C$7),ABS($X2071/100-Settings!$G$7)),1,0))))</f>
        <v/>
      </c>
      <c r="AC2071">
        <f>IF($Z2071=1,IFERROR(IF(VALUE($B2071)&lt;100000000,VALUE($B2071),1000000000),IFERROR(IF(VALUE(MID($B2071,2,20))&lt;100000000,VALUE(MID($B2071,2,20)),1000000000),1000000000))+ROW()/100000,"")</f>
        <v/>
      </c>
    </row>
    <row r="2072">
      <c r="A2072">
        <f>IF($B2072="","",IFERROR(IF(INDEX('Per Invoice'!$A$2:$A$801,MATCH($B2072,'Per Invoice'!$B$2:$B$801,0))=0,"",INDEX('Per Invoice'!$A$2:$A$801,MATCH($B2072,'Per Invoice'!$B$2:$B$801,0))),""))</f>
        <v/>
      </c>
      <c r="J2072" s="7">
        <f>IF($B2072="","",I2072*Q2072/100)</f>
        <v/>
      </c>
      <c r="N2072" s="7" t="n"/>
      <c r="O2072" s="7" t="n"/>
      <c r="P2072" s="7">
        <f>IF($B2072="","",O2072*X2072/100)</f>
        <v/>
      </c>
      <c r="Q2072" s="7">
        <f>IF($B2072="","",O2072-P2072)</f>
        <v/>
      </c>
      <c r="R2072" s="7">
        <f>IF($B2072="","",Q2072-J2072)</f>
        <v/>
      </c>
      <c r="S2072" s="7" t="n"/>
      <c r="T2072" s="7" t="n"/>
      <c r="V2072" s="14" t="n"/>
      <c r="Z2072">
        <f>IF($B2072="","",IF(COUNTIF($B$2:$B2072,$B2072)=1,1,0))</f>
        <v/>
      </c>
      <c r="AA2072">
        <f>IF($Z2072=1,SUMPRODUCT(--($AC$2:$AC$3001&lt;$AC2072))+1,"")</f>
        <v/>
      </c>
      <c r="AB2072">
        <f>IF($B2072="","",IF(OR($Y2072=TRUE(),$Y2072="TRUE"),1,IF(AND($Y2072&lt;&gt;"",OR($Y2072=FALSE(),$Y2072="FALSE")),0,IF(MIN(ABS($X2072/100-Settings!$C$6),ABS($X2072/100-Settings!$G$6))&lt;=MIN(ABS($X2072/100-Settings!$C$7),ABS($X2072/100-Settings!$G$7)),1,0))))</f>
        <v/>
      </c>
      <c r="AC2072">
        <f>IF($Z2072=1,IFERROR(IF(VALUE($B2072)&lt;100000000,VALUE($B2072),1000000000),IFERROR(IF(VALUE(MID($B2072,2,20))&lt;100000000,VALUE(MID($B2072,2,20)),1000000000),1000000000))+ROW()/100000,"")</f>
        <v/>
      </c>
    </row>
    <row r="2073">
      <c r="A2073">
        <f>IF($B2073="","",IFERROR(IF(INDEX('Per Invoice'!$A$2:$A$801,MATCH($B2073,'Per Invoice'!$B$2:$B$801,0))=0,"",INDEX('Per Invoice'!$A$2:$A$801,MATCH($B2073,'Per Invoice'!$B$2:$B$801,0))),""))</f>
        <v/>
      </c>
      <c r="J2073" s="7">
        <f>IF($B2073="","",I2073*Q2073/100)</f>
        <v/>
      </c>
      <c r="N2073" s="7" t="n"/>
      <c r="O2073" s="7" t="n"/>
      <c r="P2073" s="7">
        <f>IF($B2073="","",O2073*X2073/100)</f>
        <v/>
      </c>
      <c r="Q2073" s="7">
        <f>IF($B2073="","",O2073-P2073)</f>
        <v/>
      </c>
      <c r="R2073" s="7">
        <f>IF($B2073="","",Q2073-J2073)</f>
        <v/>
      </c>
      <c r="S2073" s="7" t="n"/>
      <c r="T2073" s="7" t="n"/>
      <c r="V2073" s="14" t="n"/>
      <c r="Z2073">
        <f>IF($B2073="","",IF(COUNTIF($B$2:$B2073,$B2073)=1,1,0))</f>
        <v/>
      </c>
      <c r="AA2073">
        <f>IF($Z2073=1,SUMPRODUCT(--($AC$2:$AC$3001&lt;$AC2073))+1,"")</f>
        <v/>
      </c>
      <c r="AB2073">
        <f>IF($B2073="","",IF(OR($Y2073=TRUE(),$Y2073="TRUE"),1,IF(AND($Y2073&lt;&gt;"",OR($Y2073=FALSE(),$Y2073="FALSE")),0,IF(MIN(ABS($X2073/100-Settings!$C$6),ABS($X2073/100-Settings!$G$6))&lt;=MIN(ABS($X2073/100-Settings!$C$7),ABS($X2073/100-Settings!$G$7)),1,0))))</f>
        <v/>
      </c>
      <c r="AC2073">
        <f>IF($Z2073=1,IFERROR(IF(VALUE($B2073)&lt;100000000,VALUE($B2073),1000000000),IFERROR(IF(VALUE(MID($B2073,2,20))&lt;100000000,VALUE(MID($B2073,2,20)),1000000000),1000000000))+ROW()/100000,"")</f>
        <v/>
      </c>
    </row>
    <row r="2074">
      <c r="A2074">
        <f>IF($B2074="","",IFERROR(IF(INDEX('Per Invoice'!$A$2:$A$801,MATCH($B2074,'Per Invoice'!$B$2:$B$801,0))=0,"",INDEX('Per Invoice'!$A$2:$A$801,MATCH($B2074,'Per Invoice'!$B$2:$B$801,0))),""))</f>
        <v/>
      </c>
      <c r="J2074" s="7">
        <f>IF($B2074="","",I2074*Q2074/100)</f>
        <v/>
      </c>
      <c r="N2074" s="7" t="n"/>
      <c r="O2074" s="7" t="n"/>
      <c r="P2074" s="7">
        <f>IF($B2074="","",O2074*X2074/100)</f>
        <v/>
      </c>
      <c r="Q2074" s="7">
        <f>IF($B2074="","",O2074-P2074)</f>
        <v/>
      </c>
      <c r="R2074" s="7">
        <f>IF($B2074="","",Q2074-J2074)</f>
        <v/>
      </c>
      <c r="S2074" s="7" t="n"/>
      <c r="T2074" s="7" t="n"/>
      <c r="V2074" s="14" t="n"/>
      <c r="Z2074">
        <f>IF($B2074="","",IF(COUNTIF($B$2:$B2074,$B2074)=1,1,0))</f>
        <v/>
      </c>
      <c r="AA2074">
        <f>IF($Z2074=1,SUMPRODUCT(--($AC$2:$AC$3001&lt;$AC2074))+1,"")</f>
        <v/>
      </c>
      <c r="AB2074">
        <f>IF($B2074="","",IF(OR($Y2074=TRUE(),$Y2074="TRUE"),1,IF(AND($Y2074&lt;&gt;"",OR($Y2074=FALSE(),$Y2074="FALSE")),0,IF(MIN(ABS($X2074/100-Settings!$C$6),ABS($X2074/100-Settings!$G$6))&lt;=MIN(ABS($X2074/100-Settings!$C$7),ABS($X2074/100-Settings!$G$7)),1,0))))</f>
        <v/>
      </c>
      <c r="AC2074">
        <f>IF($Z2074=1,IFERROR(IF(VALUE($B2074)&lt;100000000,VALUE($B2074),1000000000),IFERROR(IF(VALUE(MID($B2074,2,20))&lt;100000000,VALUE(MID($B2074,2,20)),1000000000),1000000000))+ROW()/100000,"")</f>
        <v/>
      </c>
    </row>
    <row r="2075">
      <c r="A2075">
        <f>IF($B2075="","",IFERROR(IF(INDEX('Per Invoice'!$A$2:$A$801,MATCH($B2075,'Per Invoice'!$B$2:$B$801,0))=0,"",INDEX('Per Invoice'!$A$2:$A$801,MATCH($B2075,'Per Invoice'!$B$2:$B$801,0))),""))</f>
        <v/>
      </c>
      <c r="J2075" s="7">
        <f>IF($B2075="","",I2075*Q2075/100)</f>
        <v/>
      </c>
      <c r="N2075" s="7" t="n"/>
      <c r="O2075" s="7" t="n"/>
      <c r="P2075" s="7">
        <f>IF($B2075="","",O2075*X2075/100)</f>
        <v/>
      </c>
      <c r="Q2075" s="7">
        <f>IF($B2075="","",O2075-P2075)</f>
        <v/>
      </c>
      <c r="R2075" s="7">
        <f>IF($B2075="","",Q2075-J2075)</f>
        <v/>
      </c>
      <c r="S2075" s="7" t="n"/>
      <c r="T2075" s="7" t="n"/>
      <c r="V2075" s="14" t="n"/>
      <c r="Z2075">
        <f>IF($B2075="","",IF(COUNTIF($B$2:$B2075,$B2075)=1,1,0))</f>
        <v/>
      </c>
      <c r="AA2075">
        <f>IF($Z2075=1,SUMPRODUCT(--($AC$2:$AC$3001&lt;$AC2075))+1,"")</f>
        <v/>
      </c>
      <c r="AB2075">
        <f>IF($B2075="","",IF(OR($Y2075=TRUE(),$Y2075="TRUE"),1,IF(AND($Y2075&lt;&gt;"",OR($Y2075=FALSE(),$Y2075="FALSE")),0,IF(MIN(ABS($X2075/100-Settings!$C$6),ABS($X2075/100-Settings!$G$6))&lt;=MIN(ABS($X2075/100-Settings!$C$7),ABS($X2075/100-Settings!$G$7)),1,0))))</f>
        <v/>
      </c>
      <c r="AC2075">
        <f>IF($Z2075=1,IFERROR(IF(VALUE($B2075)&lt;100000000,VALUE($B2075),1000000000),IFERROR(IF(VALUE(MID($B2075,2,20))&lt;100000000,VALUE(MID($B2075,2,20)),1000000000),1000000000))+ROW()/100000,"")</f>
        <v/>
      </c>
    </row>
    <row r="2076">
      <c r="A2076">
        <f>IF($B2076="","",IFERROR(IF(INDEX('Per Invoice'!$A$2:$A$801,MATCH($B2076,'Per Invoice'!$B$2:$B$801,0))=0,"",INDEX('Per Invoice'!$A$2:$A$801,MATCH($B2076,'Per Invoice'!$B$2:$B$801,0))),""))</f>
        <v/>
      </c>
      <c r="J2076" s="7">
        <f>IF($B2076="","",I2076*Q2076/100)</f>
        <v/>
      </c>
      <c r="N2076" s="7" t="n"/>
      <c r="O2076" s="7" t="n"/>
      <c r="P2076" s="7">
        <f>IF($B2076="","",O2076*X2076/100)</f>
        <v/>
      </c>
      <c r="Q2076" s="7">
        <f>IF($B2076="","",O2076-P2076)</f>
        <v/>
      </c>
      <c r="R2076" s="7">
        <f>IF($B2076="","",Q2076-J2076)</f>
        <v/>
      </c>
      <c r="S2076" s="7" t="n"/>
      <c r="T2076" s="7" t="n"/>
      <c r="V2076" s="14" t="n"/>
      <c r="Z2076">
        <f>IF($B2076="","",IF(COUNTIF($B$2:$B2076,$B2076)=1,1,0))</f>
        <v/>
      </c>
      <c r="AA2076">
        <f>IF($Z2076=1,SUMPRODUCT(--($AC$2:$AC$3001&lt;$AC2076))+1,"")</f>
        <v/>
      </c>
      <c r="AB2076">
        <f>IF($B2076="","",IF(OR($Y2076=TRUE(),$Y2076="TRUE"),1,IF(AND($Y2076&lt;&gt;"",OR($Y2076=FALSE(),$Y2076="FALSE")),0,IF(MIN(ABS($X2076/100-Settings!$C$6),ABS($X2076/100-Settings!$G$6))&lt;=MIN(ABS($X2076/100-Settings!$C$7),ABS($X2076/100-Settings!$G$7)),1,0))))</f>
        <v/>
      </c>
      <c r="AC2076">
        <f>IF($Z2076=1,IFERROR(IF(VALUE($B2076)&lt;100000000,VALUE($B2076),1000000000),IFERROR(IF(VALUE(MID($B2076,2,20))&lt;100000000,VALUE(MID($B2076,2,20)),1000000000),1000000000))+ROW()/100000,"")</f>
        <v/>
      </c>
    </row>
    <row r="2077">
      <c r="A2077">
        <f>IF($B2077="","",IFERROR(IF(INDEX('Per Invoice'!$A$2:$A$801,MATCH($B2077,'Per Invoice'!$B$2:$B$801,0))=0,"",INDEX('Per Invoice'!$A$2:$A$801,MATCH($B2077,'Per Invoice'!$B$2:$B$801,0))),""))</f>
        <v/>
      </c>
      <c r="J2077" s="7">
        <f>IF($B2077="","",I2077*Q2077/100)</f>
        <v/>
      </c>
      <c r="N2077" s="7" t="n"/>
      <c r="O2077" s="7" t="n"/>
      <c r="P2077" s="7">
        <f>IF($B2077="","",O2077*X2077/100)</f>
        <v/>
      </c>
      <c r="Q2077" s="7">
        <f>IF($B2077="","",O2077-P2077)</f>
        <v/>
      </c>
      <c r="R2077" s="7">
        <f>IF($B2077="","",Q2077-J2077)</f>
        <v/>
      </c>
      <c r="S2077" s="7" t="n"/>
      <c r="T2077" s="7" t="n"/>
      <c r="V2077" s="14" t="n"/>
      <c r="Z2077">
        <f>IF($B2077="","",IF(COUNTIF($B$2:$B2077,$B2077)=1,1,0))</f>
        <v/>
      </c>
      <c r="AA2077">
        <f>IF($Z2077=1,SUMPRODUCT(--($AC$2:$AC$3001&lt;$AC2077))+1,"")</f>
        <v/>
      </c>
      <c r="AB2077">
        <f>IF($B2077="","",IF(OR($Y2077=TRUE(),$Y2077="TRUE"),1,IF(AND($Y2077&lt;&gt;"",OR($Y2077=FALSE(),$Y2077="FALSE")),0,IF(MIN(ABS($X2077/100-Settings!$C$6),ABS($X2077/100-Settings!$G$6))&lt;=MIN(ABS($X2077/100-Settings!$C$7),ABS($X2077/100-Settings!$G$7)),1,0))))</f>
        <v/>
      </c>
      <c r="AC2077">
        <f>IF($Z2077=1,IFERROR(IF(VALUE($B2077)&lt;100000000,VALUE($B2077),1000000000),IFERROR(IF(VALUE(MID($B2077,2,20))&lt;100000000,VALUE(MID($B2077,2,20)),1000000000),1000000000))+ROW()/100000,"")</f>
        <v/>
      </c>
    </row>
    <row r="2078">
      <c r="A2078">
        <f>IF($B2078="","",IFERROR(IF(INDEX('Per Invoice'!$A$2:$A$801,MATCH($B2078,'Per Invoice'!$B$2:$B$801,0))=0,"",INDEX('Per Invoice'!$A$2:$A$801,MATCH($B2078,'Per Invoice'!$B$2:$B$801,0))),""))</f>
        <v/>
      </c>
      <c r="J2078" s="7">
        <f>IF($B2078="","",I2078*Q2078/100)</f>
        <v/>
      </c>
      <c r="N2078" s="7" t="n"/>
      <c r="O2078" s="7" t="n"/>
      <c r="P2078" s="7">
        <f>IF($B2078="","",O2078*X2078/100)</f>
        <v/>
      </c>
      <c r="Q2078" s="7">
        <f>IF($B2078="","",O2078-P2078)</f>
        <v/>
      </c>
      <c r="R2078" s="7">
        <f>IF($B2078="","",Q2078-J2078)</f>
        <v/>
      </c>
      <c r="S2078" s="7" t="n"/>
      <c r="T2078" s="7" t="n"/>
      <c r="V2078" s="14" t="n"/>
      <c r="Z2078">
        <f>IF($B2078="","",IF(COUNTIF($B$2:$B2078,$B2078)=1,1,0))</f>
        <v/>
      </c>
      <c r="AA2078">
        <f>IF($Z2078=1,SUMPRODUCT(--($AC$2:$AC$3001&lt;$AC2078))+1,"")</f>
        <v/>
      </c>
      <c r="AB2078">
        <f>IF($B2078="","",IF(OR($Y2078=TRUE(),$Y2078="TRUE"),1,IF(AND($Y2078&lt;&gt;"",OR($Y2078=FALSE(),$Y2078="FALSE")),0,IF(MIN(ABS($X2078/100-Settings!$C$6),ABS($X2078/100-Settings!$G$6))&lt;=MIN(ABS($X2078/100-Settings!$C$7),ABS($X2078/100-Settings!$G$7)),1,0))))</f>
        <v/>
      </c>
      <c r="AC2078">
        <f>IF($Z2078=1,IFERROR(IF(VALUE($B2078)&lt;100000000,VALUE($B2078),1000000000),IFERROR(IF(VALUE(MID($B2078,2,20))&lt;100000000,VALUE(MID($B2078,2,20)),1000000000),1000000000))+ROW()/100000,"")</f>
        <v/>
      </c>
    </row>
    <row r="2079">
      <c r="A2079">
        <f>IF($B2079="","",IFERROR(IF(INDEX('Per Invoice'!$A$2:$A$801,MATCH($B2079,'Per Invoice'!$B$2:$B$801,0))=0,"",INDEX('Per Invoice'!$A$2:$A$801,MATCH($B2079,'Per Invoice'!$B$2:$B$801,0))),""))</f>
        <v/>
      </c>
      <c r="J2079" s="7">
        <f>IF($B2079="","",I2079*Q2079/100)</f>
        <v/>
      </c>
      <c r="N2079" s="7" t="n"/>
      <c r="O2079" s="7" t="n"/>
      <c r="P2079" s="7">
        <f>IF($B2079="","",O2079*X2079/100)</f>
        <v/>
      </c>
      <c r="Q2079" s="7">
        <f>IF($B2079="","",O2079-P2079)</f>
        <v/>
      </c>
      <c r="R2079" s="7">
        <f>IF($B2079="","",Q2079-J2079)</f>
        <v/>
      </c>
      <c r="S2079" s="7" t="n"/>
      <c r="T2079" s="7" t="n"/>
      <c r="V2079" s="14" t="n"/>
      <c r="Z2079">
        <f>IF($B2079="","",IF(COUNTIF($B$2:$B2079,$B2079)=1,1,0))</f>
        <v/>
      </c>
      <c r="AA2079">
        <f>IF($Z2079=1,SUMPRODUCT(--($AC$2:$AC$3001&lt;$AC2079))+1,"")</f>
        <v/>
      </c>
      <c r="AB2079">
        <f>IF($B2079="","",IF(OR($Y2079=TRUE(),$Y2079="TRUE"),1,IF(AND($Y2079&lt;&gt;"",OR($Y2079=FALSE(),$Y2079="FALSE")),0,IF(MIN(ABS($X2079/100-Settings!$C$6),ABS($X2079/100-Settings!$G$6))&lt;=MIN(ABS($X2079/100-Settings!$C$7),ABS($X2079/100-Settings!$G$7)),1,0))))</f>
        <v/>
      </c>
      <c r="AC2079">
        <f>IF($Z2079=1,IFERROR(IF(VALUE($B2079)&lt;100000000,VALUE($B2079),1000000000),IFERROR(IF(VALUE(MID($B2079,2,20))&lt;100000000,VALUE(MID($B2079,2,20)),1000000000),1000000000))+ROW()/100000,"")</f>
        <v/>
      </c>
    </row>
    <row r="2080">
      <c r="A2080">
        <f>IF($B2080="","",IFERROR(IF(INDEX('Per Invoice'!$A$2:$A$801,MATCH($B2080,'Per Invoice'!$B$2:$B$801,0))=0,"",INDEX('Per Invoice'!$A$2:$A$801,MATCH($B2080,'Per Invoice'!$B$2:$B$801,0))),""))</f>
        <v/>
      </c>
      <c r="J2080" s="7">
        <f>IF($B2080="","",I2080*Q2080/100)</f>
        <v/>
      </c>
      <c r="N2080" s="7" t="n"/>
      <c r="O2080" s="7" t="n"/>
      <c r="P2080" s="7">
        <f>IF($B2080="","",O2080*X2080/100)</f>
        <v/>
      </c>
      <c r="Q2080" s="7">
        <f>IF($B2080="","",O2080-P2080)</f>
        <v/>
      </c>
      <c r="R2080" s="7">
        <f>IF($B2080="","",Q2080-J2080)</f>
        <v/>
      </c>
      <c r="S2080" s="7" t="n"/>
      <c r="T2080" s="7" t="n"/>
      <c r="V2080" s="14" t="n"/>
      <c r="Z2080">
        <f>IF($B2080="","",IF(COUNTIF($B$2:$B2080,$B2080)=1,1,0))</f>
        <v/>
      </c>
      <c r="AA2080">
        <f>IF($Z2080=1,SUMPRODUCT(--($AC$2:$AC$3001&lt;$AC2080))+1,"")</f>
        <v/>
      </c>
      <c r="AB2080">
        <f>IF($B2080="","",IF(OR($Y2080=TRUE(),$Y2080="TRUE"),1,IF(AND($Y2080&lt;&gt;"",OR($Y2080=FALSE(),$Y2080="FALSE")),0,IF(MIN(ABS($X2080/100-Settings!$C$6),ABS($X2080/100-Settings!$G$6))&lt;=MIN(ABS($X2080/100-Settings!$C$7),ABS($X2080/100-Settings!$G$7)),1,0))))</f>
        <v/>
      </c>
      <c r="AC2080">
        <f>IF($Z2080=1,IFERROR(IF(VALUE($B2080)&lt;100000000,VALUE($B2080),1000000000),IFERROR(IF(VALUE(MID($B2080,2,20))&lt;100000000,VALUE(MID($B2080,2,20)),1000000000),1000000000))+ROW()/100000,"")</f>
        <v/>
      </c>
    </row>
    <row r="2081">
      <c r="A2081">
        <f>IF($B2081="","",IFERROR(IF(INDEX('Per Invoice'!$A$2:$A$801,MATCH($B2081,'Per Invoice'!$B$2:$B$801,0))=0,"",INDEX('Per Invoice'!$A$2:$A$801,MATCH($B2081,'Per Invoice'!$B$2:$B$801,0))),""))</f>
        <v/>
      </c>
      <c r="J2081" s="7">
        <f>IF($B2081="","",I2081*Q2081/100)</f>
        <v/>
      </c>
      <c r="N2081" s="7" t="n"/>
      <c r="O2081" s="7" t="n"/>
      <c r="P2081" s="7">
        <f>IF($B2081="","",O2081*X2081/100)</f>
        <v/>
      </c>
      <c r="Q2081" s="7">
        <f>IF($B2081="","",O2081-P2081)</f>
        <v/>
      </c>
      <c r="R2081" s="7">
        <f>IF($B2081="","",Q2081-J2081)</f>
        <v/>
      </c>
      <c r="S2081" s="7" t="n"/>
      <c r="T2081" s="7" t="n"/>
      <c r="V2081" s="14" t="n"/>
      <c r="Z2081">
        <f>IF($B2081="","",IF(COUNTIF($B$2:$B2081,$B2081)=1,1,0))</f>
        <v/>
      </c>
      <c r="AA2081">
        <f>IF($Z2081=1,SUMPRODUCT(--($AC$2:$AC$3001&lt;$AC2081))+1,"")</f>
        <v/>
      </c>
      <c r="AB2081">
        <f>IF($B2081="","",IF(OR($Y2081=TRUE(),$Y2081="TRUE"),1,IF(AND($Y2081&lt;&gt;"",OR($Y2081=FALSE(),$Y2081="FALSE")),0,IF(MIN(ABS($X2081/100-Settings!$C$6),ABS($X2081/100-Settings!$G$6))&lt;=MIN(ABS($X2081/100-Settings!$C$7),ABS($X2081/100-Settings!$G$7)),1,0))))</f>
        <v/>
      </c>
      <c r="AC2081">
        <f>IF($Z2081=1,IFERROR(IF(VALUE($B2081)&lt;100000000,VALUE($B2081),1000000000),IFERROR(IF(VALUE(MID($B2081,2,20))&lt;100000000,VALUE(MID($B2081,2,20)),1000000000),1000000000))+ROW()/100000,"")</f>
        <v/>
      </c>
    </row>
    <row r="2082">
      <c r="A2082">
        <f>IF($B2082="","",IFERROR(IF(INDEX('Per Invoice'!$A$2:$A$801,MATCH($B2082,'Per Invoice'!$B$2:$B$801,0))=0,"",INDEX('Per Invoice'!$A$2:$A$801,MATCH($B2082,'Per Invoice'!$B$2:$B$801,0))),""))</f>
        <v/>
      </c>
      <c r="J2082" s="7">
        <f>IF($B2082="","",I2082*Q2082/100)</f>
        <v/>
      </c>
      <c r="N2082" s="7" t="n"/>
      <c r="O2082" s="7" t="n"/>
      <c r="P2082" s="7">
        <f>IF($B2082="","",O2082*X2082/100)</f>
        <v/>
      </c>
      <c r="Q2082" s="7">
        <f>IF($B2082="","",O2082-P2082)</f>
        <v/>
      </c>
      <c r="R2082" s="7">
        <f>IF($B2082="","",Q2082-J2082)</f>
        <v/>
      </c>
      <c r="S2082" s="7" t="n"/>
      <c r="T2082" s="7" t="n"/>
      <c r="V2082" s="14" t="n"/>
      <c r="Z2082">
        <f>IF($B2082="","",IF(COUNTIF($B$2:$B2082,$B2082)=1,1,0))</f>
        <v/>
      </c>
      <c r="AA2082">
        <f>IF($Z2082=1,SUMPRODUCT(--($AC$2:$AC$3001&lt;$AC2082))+1,"")</f>
        <v/>
      </c>
      <c r="AB2082">
        <f>IF($B2082="","",IF(OR($Y2082=TRUE(),$Y2082="TRUE"),1,IF(AND($Y2082&lt;&gt;"",OR($Y2082=FALSE(),$Y2082="FALSE")),0,IF(MIN(ABS($X2082/100-Settings!$C$6),ABS($X2082/100-Settings!$G$6))&lt;=MIN(ABS($X2082/100-Settings!$C$7),ABS($X2082/100-Settings!$G$7)),1,0))))</f>
        <v/>
      </c>
      <c r="AC2082">
        <f>IF($Z2082=1,IFERROR(IF(VALUE($B2082)&lt;100000000,VALUE($B2082),1000000000),IFERROR(IF(VALUE(MID($B2082,2,20))&lt;100000000,VALUE(MID($B2082,2,20)),1000000000),1000000000))+ROW()/100000,"")</f>
        <v/>
      </c>
    </row>
    <row r="2083">
      <c r="A2083">
        <f>IF($B2083="","",IFERROR(IF(INDEX('Per Invoice'!$A$2:$A$801,MATCH($B2083,'Per Invoice'!$B$2:$B$801,0))=0,"",INDEX('Per Invoice'!$A$2:$A$801,MATCH($B2083,'Per Invoice'!$B$2:$B$801,0))),""))</f>
        <v/>
      </c>
      <c r="J2083" s="7">
        <f>IF($B2083="","",I2083*Q2083/100)</f>
        <v/>
      </c>
      <c r="N2083" s="7" t="n"/>
      <c r="O2083" s="7" t="n"/>
      <c r="P2083" s="7">
        <f>IF($B2083="","",O2083*X2083/100)</f>
        <v/>
      </c>
      <c r="Q2083" s="7">
        <f>IF($B2083="","",O2083-P2083)</f>
        <v/>
      </c>
      <c r="R2083" s="7">
        <f>IF($B2083="","",Q2083-J2083)</f>
        <v/>
      </c>
      <c r="S2083" s="7" t="n"/>
      <c r="T2083" s="7" t="n"/>
      <c r="V2083" s="14" t="n"/>
      <c r="Z2083">
        <f>IF($B2083="","",IF(COUNTIF($B$2:$B2083,$B2083)=1,1,0))</f>
        <v/>
      </c>
      <c r="AA2083">
        <f>IF($Z2083=1,SUMPRODUCT(--($AC$2:$AC$3001&lt;$AC2083))+1,"")</f>
        <v/>
      </c>
      <c r="AB2083">
        <f>IF($B2083="","",IF(OR($Y2083=TRUE(),$Y2083="TRUE"),1,IF(AND($Y2083&lt;&gt;"",OR($Y2083=FALSE(),$Y2083="FALSE")),0,IF(MIN(ABS($X2083/100-Settings!$C$6),ABS($X2083/100-Settings!$G$6))&lt;=MIN(ABS($X2083/100-Settings!$C$7),ABS($X2083/100-Settings!$G$7)),1,0))))</f>
        <v/>
      </c>
      <c r="AC2083">
        <f>IF($Z2083=1,IFERROR(IF(VALUE($B2083)&lt;100000000,VALUE($B2083),1000000000),IFERROR(IF(VALUE(MID($B2083,2,20))&lt;100000000,VALUE(MID($B2083,2,20)),1000000000),1000000000))+ROW()/100000,"")</f>
        <v/>
      </c>
    </row>
    <row r="2084">
      <c r="A2084">
        <f>IF($B2084="","",IFERROR(IF(INDEX('Per Invoice'!$A$2:$A$801,MATCH($B2084,'Per Invoice'!$B$2:$B$801,0))=0,"",INDEX('Per Invoice'!$A$2:$A$801,MATCH($B2084,'Per Invoice'!$B$2:$B$801,0))),""))</f>
        <v/>
      </c>
      <c r="J2084" s="7">
        <f>IF($B2084="","",I2084*Q2084/100)</f>
        <v/>
      </c>
      <c r="N2084" s="7" t="n"/>
      <c r="O2084" s="7" t="n"/>
      <c r="P2084" s="7">
        <f>IF($B2084="","",O2084*X2084/100)</f>
        <v/>
      </c>
      <c r="Q2084" s="7">
        <f>IF($B2084="","",O2084-P2084)</f>
        <v/>
      </c>
      <c r="R2084" s="7">
        <f>IF($B2084="","",Q2084-J2084)</f>
        <v/>
      </c>
      <c r="S2084" s="7" t="n"/>
      <c r="T2084" s="7" t="n"/>
      <c r="V2084" s="14" t="n"/>
      <c r="Z2084">
        <f>IF($B2084="","",IF(COUNTIF($B$2:$B2084,$B2084)=1,1,0))</f>
        <v/>
      </c>
      <c r="AA2084">
        <f>IF($Z2084=1,SUMPRODUCT(--($AC$2:$AC$3001&lt;$AC2084))+1,"")</f>
        <v/>
      </c>
      <c r="AB2084">
        <f>IF($B2084="","",IF(OR($Y2084=TRUE(),$Y2084="TRUE"),1,IF(AND($Y2084&lt;&gt;"",OR($Y2084=FALSE(),$Y2084="FALSE")),0,IF(MIN(ABS($X2084/100-Settings!$C$6),ABS($X2084/100-Settings!$G$6))&lt;=MIN(ABS($X2084/100-Settings!$C$7),ABS($X2084/100-Settings!$G$7)),1,0))))</f>
        <v/>
      </c>
      <c r="AC2084">
        <f>IF($Z2084=1,IFERROR(IF(VALUE($B2084)&lt;100000000,VALUE($B2084),1000000000),IFERROR(IF(VALUE(MID($B2084,2,20))&lt;100000000,VALUE(MID($B2084,2,20)),1000000000),1000000000))+ROW()/100000,"")</f>
        <v/>
      </c>
    </row>
    <row r="2085">
      <c r="A2085">
        <f>IF($B2085="","",IFERROR(IF(INDEX('Per Invoice'!$A$2:$A$801,MATCH($B2085,'Per Invoice'!$B$2:$B$801,0))=0,"",INDEX('Per Invoice'!$A$2:$A$801,MATCH($B2085,'Per Invoice'!$B$2:$B$801,0))),""))</f>
        <v/>
      </c>
      <c r="J2085" s="7">
        <f>IF($B2085="","",I2085*Q2085/100)</f>
        <v/>
      </c>
      <c r="N2085" s="7" t="n"/>
      <c r="O2085" s="7" t="n"/>
      <c r="P2085" s="7">
        <f>IF($B2085="","",O2085*X2085/100)</f>
        <v/>
      </c>
      <c r="Q2085" s="7">
        <f>IF($B2085="","",O2085-P2085)</f>
        <v/>
      </c>
      <c r="R2085" s="7">
        <f>IF($B2085="","",Q2085-J2085)</f>
        <v/>
      </c>
      <c r="S2085" s="7" t="n"/>
      <c r="T2085" s="7" t="n"/>
      <c r="V2085" s="14" t="n"/>
      <c r="Z2085">
        <f>IF($B2085="","",IF(COUNTIF($B$2:$B2085,$B2085)=1,1,0))</f>
        <v/>
      </c>
      <c r="AA2085">
        <f>IF($Z2085=1,SUMPRODUCT(--($AC$2:$AC$3001&lt;$AC2085))+1,"")</f>
        <v/>
      </c>
      <c r="AB2085">
        <f>IF($B2085="","",IF(OR($Y2085=TRUE(),$Y2085="TRUE"),1,IF(AND($Y2085&lt;&gt;"",OR($Y2085=FALSE(),$Y2085="FALSE")),0,IF(MIN(ABS($X2085/100-Settings!$C$6),ABS($X2085/100-Settings!$G$6))&lt;=MIN(ABS($X2085/100-Settings!$C$7),ABS($X2085/100-Settings!$G$7)),1,0))))</f>
        <v/>
      </c>
      <c r="AC2085">
        <f>IF($Z2085=1,IFERROR(IF(VALUE($B2085)&lt;100000000,VALUE($B2085),1000000000),IFERROR(IF(VALUE(MID($B2085,2,20))&lt;100000000,VALUE(MID($B2085,2,20)),1000000000),1000000000))+ROW()/100000,"")</f>
        <v/>
      </c>
    </row>
    <row r="2086">
      <c r="A2086">
        <f>IF($B2086="","",IFERROR(IF(INDEX('Per Invoice'!$A$2:$A$801,MATCH($B2086,'Per Invoice'!$B$2:$B$801,0))=0,"",INDEX('Per Invoice'!$A$2:$A$801,MATCH($B2086,'Per Invoice'!$B$2:$B$801,0))),""))</f>
        <v/>
      </c>
      <c r="J2086" s="7">
        <f>IF($B2086="","",I2086*Q2086/100)</f>
        <v/>
      </c>
      <c r="N2086" s="7" t="n"/>
      <c r="O2086" s="7" t="n"/>
      <c r="P2086" s="7">
        <f>IF($B2086="","",O2086*X2086/100)</f>
        <v/>
      </c>
      <c r="Q2086" s="7">
        <f>IF($B2086="","",O2086-P2086)</f>
        <v/>
      </c>
      <c r="R2086" s="7">
        <f>IF($B2086="","",Q2086-J2086)</f>
        <v/>
      </c>
      <c r="S2086" s="7" t="n"/>
      <c r="T2086" s="7" t="n"/>
      <c r="V2086" s="14" t="n"/>
      <c r="Z2086">
        <f>IF($B2086="","",IF(COUNTIF($B$2:$B2086,$B2086)=1,1,0))</f>
        <v/>
      </c>
      <c r="AA2086">
        <f>IF($Z2086=1,SUMPRODUCT(--($AC$2:$AC$3001&lt;$AC2086))+1,"")</f>
        <v/>
      </c>
      <c r="AB2086">
        <f>IF($B2086="","",IF(OR($Y2086=TRUE(),$Y2086="TRUE"),1,IF(AND($Y2086&lt;&gt;"",OR($Y2086=FALSE(),$Y2086="FALSE")),0,IF(MIN(ABS($X2086/100-Settings!$C$6),ABS($X2086/100-Settings!$G$6))&lt;=MIN(ABS($X2086/100-Settings!$C$7),ABS($X2086/100-Settings!$G$7)),1,0))))</f>
        <v/>
      </c>
      <c r="AC2086">
        <f>IF($Z2086=1,IFERROR(IF(VALUE($B2086)&lt;100000000,VALUE($B2086),1000000000),IFERROR(IF(VALUE(MID($B2086,2,20))&lt;100000000,VALUE(MID($B2086,2,20)),1000000000),1000000000))+ROW()/100000,"")</f>
        <v/>
      </c>
    </row>
    <row r="2087">
      <c r="A2087">
        <f>IF($B2087="","",IFERROR(IF(INDEX('Per Invoice'!$A$2:$A$801,MATCH($B2087,'Per Invoice'!$B$2:$B$801,0))=0,"",INDEX('Per Invoice'!$A$2:$A$801,MATCH($B2087,'Per Invoice'!$B$2:$B$801,0))),""))</f>
        <v/>
      </c>
      <c r="J2087" s="7">
        <f>IF($B2087="","",I2087*Q2087/100)</f>
        <v/>
      </c>
      <c r="N2087" s="7" t="n"/>
      <c r="O2087" s="7" t="n"/>
      <c r="P2087" s="7">
        <f>IF($B2087="","",O2087*X2087/100)</f>
        <v/>
      </c>
      <c r="Q2087" s="7">
        <f>IF($B2087="","",O2087-P2087)</f>
        <v/>
      </c>
      <c r="R2087" s="7">
        <f>IF($B2087="","",Q2087-J2087)</f>
        <v/>
      </c>
      <c r="S2087" s="7" t="n"/>
      <c r="T2087" s="7" t="n"/>
      <c r="V2087" s="14" t="n"/>
      <c r="Z2087">
        <f>IF($B2087="","",IF(COUNTIF($B$2:$B2087,$B2087)=1,1,0))</f>
        <v/>
      </c>
      <c r="AA2087">
        <f>IF($Z2087=1,SUMPRODUCT(--($AC$2:$AC$3001&lt;$AC2087))+1,"")</f>
        <v/>
      </c>
      <c r="AB2087">
        <f>IF($B2087="","",IF(OR($Y2087=TRUE(),$Y2087="TRUE"),1,IF(AND($Y2087&lt;&gt;"",OR($Y2087=FALSE(),$Y2087="FALSE")),0,IF(MIN(ABS($X2087/100-Settings!$C$6),ABS($X2087/100-Settings!$G$6))&lt;=MIN(ABS($X2087/100-Settings!$C$7),ABS($X2087/100-Settings!$G$7)),1,0))))</f>
        <v/>
      </c>
      <c r="AC2087">
        <f>IF($Z2087=1,IFERROR(IF(VALUE($B2087)&lt;100000000,VALUE($B2087),1000000000),IFERROR(IF(VALUE(MID($B2087,2,20))&lt;100000000,VALUE(MID($B2087,2,20)),1000000000),1000000000))+ROW()/100000,"")</f>
        <v/>
      </c>
    </row>
    <row r="2088">
      <c r="A2088">
        <f>IF($B2088="","",IFERROR(IF(INDEX('Per Invoice'!$A$2:$A$801,MATCH($B2088,'Per Invoice'!$B$2:$B$801,0))=0,"",INDEX('Per Invoice'!$A$2:$A$801,MATCH($B2088,'Per Invoice'!$B$2:$B$801,0))),""))</f>
        <v/>
      </c>
      <c r="J2088" s="7">
        <f>IF($B2088="","",I2088*Q2088/100)</f>
        <v/>
      </c>
      <c r="N2088" s="7" t="n"/>
      <c r="O2088" s="7" t="n"/>
      <c r="P2088" s="7">
        <f>IF($B2088="","",O2088*X2088/100)</f>
        <v/>
      </c>
      <c r="Q2088" s="7">
        <f>IF($B2088="","",O2088-P2088)</f>
        <v/>
      </c>
      <c r="R2088" s="7">
        <f>IF($B2088="","",Q2088-J2088)</f>
        <v/>
      </c>
      <c r="S2088" s="7" t="n"/>
      <c r="T2088" s="7" t="n"/>
      <c r="V2088" s="14" t="n"/>
      <c r="Z2088">
        <f>IF($B2088="","",IF(COUNTIF($B$2:$B2088,$B2088)=1,1,0))</f>
        <v/>
      </c>
      <c r="AA2088">
        <f>IF($Z2088=1,SUMPRODUCT(--($AC$2:$AC$3001&lt;$AC2088))+1,"")</f>
        <v/>
      </c>
      <c r="AB2088">
        <f>IF($B2088="","",IF(OR($Y2088=TRUE(),$Y2088="TRUE"),1,IF(AND($Y2088&lt;&gt;"",OR($Y2088=FALSE(),$Y2088="FALSE")),0,IF(MIN(ABS($X2088/100-Settings!$C$6),ABS($X2088/100-Settings!$G$6))&lt;=MIN(ABS($X2088/100-Settings!$C$7),ABS($X2088/100-Settings!$G$7)),1,0))))</f>
        <v/>
      </c>
      <c r="AC2088">
        <f>IF($Z2088=1,IFERROR(IF(VALUE($B2088)&lt;100000000,VALUE($B2088),1000000000),IFERROR(IF(VALUE(MID($B2088,2,20))&lt;100000000,VALUE(MID($B2088,2,20)),1000000000),1000000000))+ROW()/100000,"")</f>
        <v/>
      </c>
    </row>
    <row r="2089">
      <c r="A2089">
        <f>IF($B2089="","",IFERROR(IF(INDEX('Per Invoice'!$A$2:$A$801,MATCH($B2089,'Per Invoice'!$B$2:$B$801,0))=0,"",INDEX('Per Invoice'!$A$2:$A$801,MATCH($B2089,'Per Invoice'!$B$2:$B$801,0))),""))</f>
        <v/>
      </c>
      <c r="J2089" s="7">
        <f>IF($B2089="","",I2089*Q2089/100)</f>
        <v/>
      </c>
      <c r="N2089" s="7" t="n"/>
      <c r="O2089" s="7" t="n"/>
      <c r="P2089" s="7">
        <f>IF($B2089="","",O2089*X2089/100)</f>
        <v/>
      </c>
      <c r="Q2089" s="7">
        <f>IF($B2089="","",O2089-P2089)</f>
        <v/>
      </c>
      <c r="R2089" s="7">
        <f>IF($B2089="","",Q2089-J2089)</f>
        <v/>
      </c>
      <c r="S2089" s="7" t="n"/>
      <c r="T2089" s="7" t="n"/>
      <c r="V2089" s="14" t="n"/>
      <c r="Z2089">
        <f>IF($B2089="","",IF(COUNTIF($B$2:$B2089,$B2089)=1,1,0))</f>
        <v/>
      </c>
      <c r="AA2089">
        <f>IF($Z2089=1,SUMPRODUCT(--($AC$2:$AC$3001&lt;$AC2089))+1,"")</f>
        <v/>
      </c>
      <c r="AB2089">
        <f>IF($B2089="","",IF(OR($Y2089=TRUE(),$Y2089="TRUE"),1,IF(AND($Y2089&lt;&gt;"",OR($Y2089=FALSE(),$Y2089="FALSE")),0,IF(MIN(ABS($X2089/100-Settings!$C$6),ABS($X2089/100-Settings!$G$6))&lt;=MIN(ABS($X2089/100-Settings!$C$7),ABS($X2089/100-Settings!$G$7)),1,0))))</f>
        <v/>
      </c>
      <c r="AC2089">
        <f>IF($Z2089=1,IFERROR(IF(VALUE($B2089)&lt;100000000,VALUE($B2089),1000000000),IFERROR(IF(VALUE(MID($B2089,2,20))&lt;100000000,VALUE(MID($B2089,2,20)),1000000000),1000000000))+ROW()/100000,"")</f>
        <v/>
      </c>
    </row>
    <row r="2090">
      <c r="A2090">
        <f>IF($B2090="","",IFERROR(IF(INDEX('Per Invoice'!$A$2:$A$801,MATCH($B2090,'Per Invoice'!$B$2:$B$801,0))=0,"",INDEX('Per Invoice'!$A$2:$A$801,MATCH($B2090,'Per Invoice'!$B$2:$B$801,0))),""))</f>
        <v/>
      </c>
      <c r="J2090" s="7">
        <f>IF($B2090="","",I2090*Q2090/100)</f>
        <v/>
      </c>
      <c r="N2090" s="7" t="n"/>
      <c r="O2090" s="7" t="n"/>
      <c r="P2090" s="7">
        <f>IF($B2090="","",O2090*X2090/100)</f>
        <v/>
      </c>
      <c r="Q2090" s="7">
        <f>IF($B2090="","",O2090-P2090)</f>
        <v/>
      </c>
      <c r="R2090" s="7">
        <f>IF($B2090="","",Q2090-J2090)</f>
        <v/>
      </c>
      <c r="S2090" s="7" t="n"/>
      <c r="T2090" s="7" t="n"/>
      <c r="V2090" s="14" t="n"/>
      <c r="Z2090">
        <f>IF($B2090="","",IF(COUNTIF($B$2:$B2090,$B2090)=1,1,0))</f>
        <v/>
      </c>
      <c r="AA2090">
        <f>IF($Z2090=1,SUMPRODUCT(--($AC$2:$AC$3001&lt;$AC2090))+1,"")</f>
        <v/>
      </c>
      <c r="AB2090">
        <f>IF($B2090="","",IF(OR($Y2090=TRUE(),$Y2090="TRUE"),1,IF(AND($Y2090&lt;&gt;"",OR($Y2090=FALSE(),$Y2090="FALSE")),0,IF(MIN(ABS($X2090/100-Settings!$C$6),ABS($X2090/100-Settings!$G$6))&lt;=MIN(ABS($X2090/100-Settings!$C$7),ABS($X2090/100-Settings!$G$7)),1,0))))</f>
        <v/>
      </c>
      <c r="AC2090">
        <f>IF($Z2090=1,IFERROR(IF(VALUE($B2090)&lt;100000000,VALUE($B2090),1000000000),IFERROR(IF(VALUE(MID($B2090,2,20))&lt;100000000,VALUE(MID($B2090,2,20)),1000000000),1000000000))+ROW()/100000,"")</f>
        <v/>
      </c>
    </row>
    <row r="2091">
      <c r="A2091">
        <f>IF($B2091="","",IFERROR(IF(INDEX('Per Invoice'!$A$2:$A$801,MATCH($B2091,'Per Invoice'!$B$2:$B$801,0))=0,"",INDEX('Per Invoice'!$A$2:$A$801,MATCH($B2091,'Per Invoice'!$B$2:$B$801,0))),""))</f>
        <v/>
      </c>
      <c r="J2091" s="7">
        <f>IF($B2091="","",I2091*Q2091/100)</f>
        <v/>
      </c>
      <c r="N2091" s="7" t="n"/>
      <c r="O2091" s="7" t="n"/>
      <c r="P2091" s="7">
        <f>IF($B2091="","",O2091*X2091/100)</f>
        <v/>
      </c>
      <c r="Q2091" s="7">
        <f>IF($B2091="","",O2091-P2091)</f>
        <v/>
      </c>
      <c r="R2091" s="7">
        <f>IF($B2091="","",Q2091-J2091)</f>
        <v/>
      </c>
      <c r="S2091" s="7" t="n"/>
      <c r="T2091" s="7" t="n"/>
      <c r="V2091" s="14" t="n"/>
      <c r="Z2091">
        <f>IF($B2091="","",IF(COUNTIF($B$2:$B2091,$B2091)=1,1,0))</f>
        <v/>
      </c>
      <c r="AA2091">
        <f>IF($Z2091=1,SUMPRODUCT(--($AC$2:$AC$3001&lt;$AC2091))+1,"")</f>
        <v/>
      </c>
      <c r="AB2091">
        <f>IF($B2091="","",IF(OR($Y2091=TRUE(),$Y2091="TRUE"),1,IF(AND($Y2091&lt;&gt;"",OR($Y2091=FALSE(),$Y2091="FALSE")),0,IF(MIN(ABS($X2091/100-Settings!$C$6),ABS($X2091/100-Settings!$G$6))&lt;=MIN(ABS($X2091/100-Settings!$C$7),ABS($X2091/100-Settings!$G$7)),1,0))))</f>
        <v/>
      </c>
      <c r="AC2091">
        <f>IF($Z2091=1,IFERROR(IF(VALUE($B2091)&lt;100000000,VALUE($B2091),1000000000),IFERROR(IF(VALUE(MID($B2091,2,20))&lt;100000000,VALUE(MID($B2091,2,20)),1000000000),1000000000))+ROW()/100000,"")</f>
        <v/>
      </c>
    </row>
    <row r="2092">
      <c r="A2092">
        <f>IF($B2092="","",IFERROR(IF(INDEX('Per Invoice'!$A$2:$A$801,MATCH($B2092,'Per Invoice'!$B$2:$B$801,0))=0,"",INDEX('Per Invoice'!$A$2:$A$801,MATCH($B2092,'Per Invoice'!$B$2:$B$801,0))),""))</f>
        <v/>
      </c>
      <c r="J2092" s="7">
        <f>IF($B2092="","",I2092*Q2092/100)</f>
        <v/>
      </c>
      <c r="N2092" s="7" t="n"/>
      <c r="O2092" s="7" t="n"/>
      <c r="P2092" s="7">
        <f>IF($B2092="","",O2092*X2092/100)</f>
        <v/>
      </c>
      <c r="Q2092" s="7">
        <f>IF($B2092="","",O2092-P2092)</f>
        <v/>
      </c>
      <c r="R2092" s="7">
        <f>IF($B2092="","",Q2092-J2092)</f>
        <v/>
      </c>
      <c r="S2092" s="7" t="n"/>
      <c r="T2092" s="7" t="n"/>
      <c r="V2092" s="14" t="n"/>
      <c r="Z2092">
        <f>IF($B2092="","",IF(COUNTIF($B$2:$B2092,$B2092)=1,1,0))</f>
        <v/>
      </c>
      <c r="AA2092">
        <f>IF($Z2092=1,SUMPRODUCT(--($AC$2:$AC$3001&lt;$AC2092))+1,"")</f>
        <v/>
      </c>
      <c r="AB2092">
        <f>IF($B2092="","",IF(OR($Y2092=TRUE(),$Y2092="TRUE"),1,IF(AND($Y2092&lt;&gt;"",OR($Y2092=FALSE(),$Y2092="FALSE")),0,IF(MIN(ABS($X2092/100-Settings!$C$6),ABS($X2092/100-Settings!$G$6))&lt;=MIN(ABS($X2092/100-Settings!$C$7),ABS($X2092/100-Settings!$G$7)),1,0))))</f>
        <v/>
      </c>
      <c r="AC2092">
        <f>IF($Z2092=1,IFERROR(IF(VALUE($B2092)&lt;100000000,VALUE($B2092),1000000000),IFERROR(IF(VALUE(MID($B2092,2,20))&lt;100000000,VALUE(MID($B2092,2,20)),1000000000),1000000000))+ROW()/100000,"")</f>
        <v/>
      </c>
    </row>
    <row r="2093">
      <c r="A2093">
        <f>IF($B2093="","",IFERROR(IF(INDEX('Per Invoice'!$A$2:$A$801,MATCH($B2093,'Per Invoice'!$B$2:$B$801,0))=0,"",INDEX('Per Invoice'!$A$2:$A$801,MATCH($B2093,'Per Invoice'!$B$2:$B$801,0))),""))</f>
        <v/>
      </c>
      <c r="J2093" s="7">
        <f>IF($B2093="","",I2093*Q2093/100)</f>
        <v/>
      </c>
      <c r="N2093" s="7" t="n"/>
      <c r="O2093" s="7" t="n"/>
      <c r="P2093" s="7">
        <f>IF($B2093="","",O2093*X2093/100)</f>
        <v/>
      </c>
      <c r="Q2093" s="7">
        <f>IF($B2093="","",O2093-P2093)</f>
        <v/>
      </c>
      <c r="R2093" s="7">
        <f>IF($B2093="","",Q2093-J2093)</f>
        <v/>
      </c>
      <c r="S2093" s="7" t="n"/>
      <c r="T2093" s="7" t="n"/>
      <c r="V2093" s="14" t="n"/>
      <c r="Z2093">
        <f>IF($B2093="","",IF(COUNTIF($B$2:$B2093,$B2093)=1,1,0))</f>
        <v/>
      </c>
      <c r="AA2093">
        <f>IF($Z2093=1,SUMPRODUCT(--($AC$2:$AC$3001&lt;$AC2093))+1,"")</f>
        <v/>
      </c>
      <c r="AB2093">
        <f>IF($B2093="","",IF(OR($Y2093=TRUE(),$Y2093="TRUE"),1,IF(AND($Y2093&lt;&gt;"",OR($Y2093=FALSE(),$Y2093="FALSE")),0,IF(MIN(ABS($X2093/100-Settings!$C$6),ABS($X2093/100-Settings!$G$6))&lt;=MIN(ABS($X2093/100-Settings!$C$7),ABS($X2093/100-Settings!$G$7)),1,0))))</f>
        <v/>
      </c>
      <c r="AC2093">
        <f>IF($Z2093=1,IFERROR(IF(VALUE($B2093)&lt;100000000,VALUE($B2093),1000000000),IFERROR(IF(VALUE(MID($B2093,2,20))&lt;100000000,VALUE(MID($B2093,2,20)),1000000000),1000000000))+ROW()/100000,"")</f>
        <v/>
      </c>
    </row>
    <row r="2094">
      <c r="A2094">
        <f>IF($B2094="","",IFERROR(IF(INDEX('Per Invoice'!$A$2:$A$801,MATCH($B2094,'Per Invoice'!$B$2:$B$801,0))=0,"",INDEX('Per Invoice'!$A$2:$A$801,MATCH($B2094,'Per Invoice'!$B$2:$B$801,0))),""))</f>
        <v/>
      </c>
      <c r="J2094" s="7">
        <f>IF($B2094="","",I2094*Q2094/100)</f>
        <v/>
      </c>
      <c r="N2094" s="7" t="n"/>
      <c r="O2094" s="7" t="n"/>
      <c r="P2094" s="7">
        <f>IF($B2094="","",O2094*X2094/100)</f>
        <v/>
      </c>
      <c r="Q2094" s="7">
        <f>IF($B2094="","",O2094-P2094)</f>
        <v/>
      </c>
      <c r="R2094" s="7">
        <f>IF($B2094="","",Q2094-J2094)</f>
        <v/>
      </c>
      <c r="S2094" s="7" t="n"/>
      <c r="T2094" s="7" t="n"/>
      <c r="V2094" s="14" t="n"/>
      <c r="Z2094">
        <f>IF($B2094="","",IF(COUNTIF($B$2:$B2094,$B2094)=1,1,0))</f>
        <v/>
      </c>
      <c r="AA2094">
        <f>IF($Z2094=1,SUMPRODUCT(--($AC$2:$AC$3001&lt;$AC2094))+1,"")</f>
        <v/>
      </c>
      <c r="AB2094">
        <f>IF($B2094="","",IF(OR($Y2094=TRUE(),$Y2094="TRUE"),1,IF(AND($Y2094&lt;&gt;"",OR($Y2094=FALSE(),$Y2094="FALSE")),0,IF(MIN(ABS($X2094/100-Settings!$C$6),ABS($X2094/100-Settings!$G$6))&lt;=MIN(ABS($X2094/100-Settings!$C$7),ABS($X2094/100-Settings!$G$7)),1,0))))</f>
        <v/>
      </c>
      <c r="AC2094">
        <f>IF($Z2094=1,IFERROR(IF(VALUE($B2094)&lt;100000000,VALUE($B2094),1000000000),IFERROR(IF(VALUE(MID($B2094,2,20))&lt;100000000,VALUE(MID($B2094,2,20)),1000000000),1000000000))+ROW()/100000,"")</f>
        <v/>
      </c>
    </row>
    <row r="2095">
      <c r="A2095">
        <f>IF($B2095="","",IFERROR(IF(INDEX('Per Invoice'!$A$2:$A$801,MATCH($B2095,'Per Invoice'!$B$2:$B$801,0))=0,"",INDEX('Per Invoice'!$A$2:$A$801,MATCH($B2095,'Per Invoice'!$B$2:$B$801,0))),""))</f>
        <v/>
      </c>
      <c r="J2095" s="7">
        <f>IF($B2095="","",I2095*Q2095/100)</f>
        <v/>
      </c>
      <c r="N2095" s="7" t="n"/>
      <c r="O2095" s="7" t="n"/>
      <c r="P2095" s="7">
        <f>IF($B2095="","",O2095*X2095/100)</f>
        <v/>
      </c>
      <c r="Q2095" s="7">
        <f>IF($B2095="","",O2095-P2095)</f>
        <v/>
      </c>
      <c r="R2095" s="7">
        <f>IF($B2095="","",Q2095-J2095)</f>
        <v/>
      </c>
      <c r="S2095" s="7" t="n"/>
      <c r="T2095" s="7" t="n"/>
      <c r="V2095" s="14" t="n"/>
      <c r="Z2095">
        <f>IF($B2095="","",IF(COUNTIF($B$2:$B2095,$B2095)=1,1,0))</f>
        <v/>
      </c>
      <c r="AA2095">
        <f>IF($Z2095=1,SUMPRODUCT(--($AC$2:$AC$3001&lt;$AC2095))+1,"")</f>
        <v/>
      </c>
      <c r="AB2095">
        <f>IF($B2095="","",IF(OR($Y2095=TRUE(),$Y2095="TRUE"),1,IF(AND($Y2095&lt;&gt;"",OR($Y2095=FALSE(),$Y2095="FALSE")),0,IF(MIN(ABS($X2095/100-Settings!$C$6),ABS($X2095/100-Settings!$G$6))&lt;=MIN(ABS($X2095/100-Settings!$C$7),ABS($X2095/100-Settings!$G$7)),1,0))))</f>
        <v/>
      </c>
      <c r="AC2095">
        <f>IF($Z2095=1,IFERROR(IF(VALUE($B2095)&lt;100000000,VALUE($B2095),1000000000),IFERROR(IF(VALUE(MID($B2095,2,20))&lt;100000000,VALUE(MID($B2095,2,20)),1000000000),1000000000))+ROW()/100000,"")</f>
        <v/>
      </c>
    </row>
    <row r="2096">
      <c r="A2096">
        <f>IF($B2096="","",IFERROR(IF(INDEX('Per Invoice'!$A$2:$A$801,MATCH($B2096,'Per Invoice'!$B$2:$B$801,0))=0,"",INDEX('Per Invoice'!$A$2:$A$801,MATCH($B2096,'Per Invoice'!$B$2:$B$801,0))),""))</f>
        <v/>
      </c>
      <c r="J2096" s="7">
        <f>IF($B2096="","",I2096*Q2096/100)</f>
        <v/>
      </c>
      <c r="N2096" s="7" t="n"/>
      <c r="O2096" s="7" t="n"/>
      <c r="P2096" s="7">
        <f>IF($B2096="","",O2096*X2096/100)</f>
        <v/>
      </c>
      <c r="Q2096" s="7">
        <f>IF($B2096="","",O2096-P2096)</f>
        <v/>
      </c>
      <c r="R2096" s="7">
        <f>IF($B2096="","",Q2096-J2096)</f>
        <v/>
      </c>
      <c r="S2096" s="7" t="n"/>
      <c r="T2096" s="7" t="n"/>
      <c r="V2096" s="14" t="n"/>
      <c r="Z2096">
        <f>IF($B2096="","",IF(COUNTIF($B$2:$B2096,$B2096)=1,1,0))</f>
        <v/>
      </c>
      <c r="AA2096">
        <f>IF($Z2096=1,SUMPRODUCT(--($AC$2:$AC$3001&lt;$AC2096))+1,"")</f>
        <v/>
      </c>
      <c r="AB2096">
        <f>IF($B2096="","",IF(OR($Y2096=TRUE(),$Y2096="TRUE"),1,IF(AND($Y2096&lt;&gt;"",OR($Y2096=FALSE(),$Y2096="FALSE")),0,IF(MIN(ABS($X2096/100-Settings!$C$6),ABS($X2096/100-Settings!$G$6))&lt;=MIN(ABS($X2096/100-Settings!$C$7),ABS($X2096/100-Settings!$G$7)),1,0))))</f>
        <v/>
      </c>
      <c r="AC2096">
        <f>IF($Z2096=1,IFERROR(IF(VALUE($B2096)&lt;100000000,VALUE($B2096),1000000000),IFERROR(IF(VALUE(MID($B2096,2,20))&lt;100000000,VALUE(MID($B2096,2,20)),1000000000),1000000000))+ROW()/100000,"")</f>
        <v/>
      </c>
    </row>
    <row r="2097">
      <c r="A2097">
        <f>IF($B2097="","",IFERROR(IF(INDEX('Per Invoice'!$A$2:$A$801,MATCH($B2097,'Per Invoice'!$B$2:$B$801,0))=0,"",INDEX('Per Invoice'!$A$2:$A$801,MATCH($B2097,'Per Invoice'!$B$2:$B$801,0))),""))</f>
        <v/>
      </c>
      <c r="J2097" s="7">
        <f>IF($B2097="","",I2097*Q2097/100)</f>
        <v/>
      </c>
      <c r="N2097" s="7" t="n"/>
      <c r="O2097" s="7" t="n"/>
      <c r="P2097" s="7">
        <f>IF($B2097="","",O2097*X2097/100)</f>
        <v/>
      </c>
      <c r="Q2097" s="7">
        <f>IF($B2097="","",O2097-P2097)</f>
        <v/>
      </c>
      <c r="R2097" s="7">
        <f>IF($B2097="","",Q2097-J2097)</f>
        <v/>
      </c>
      <c r="S2097" s="7" t="n"/>
      <c r="T2097" s="7" t="n"/>
      <c r="V2097" s="14" t="n"/>
      <c r="Z2097">
        <f>IF($B2097="","",IF(COUNTIF($B$2:$B2097,$B2097)=1,1,0))</f>
        <v/>
      </c>
      <c r="AA2097">
        <f>IF($Z2097=1,SUMPRODUCT(--($AC$2:$AC$3001&lt;$AC2097))+1,"")</f>
        <v/>
      </c>
      <c r="AB2097">
        <f>IF($B2097="","",IF(OR($Y2097=TRUE(),$Y2097="TRUE"),1,IF(AND($Y2097&lt;&gt;"",OR($Y2097=FALSE(),$Y2097="FALSE")),0,IF(MIN(ABS($X2097/100-Settings!$C$6),ABS($X2097/100-Settings!$G$6))&lt;=MIN(ABS($X2097/100-Settings!$C$7),ABS($X2097/100-Settings!$G$7)),1,0))))</f>
        <v/>
      </c>
      <c r="AC2097">
        <f>IF($Z2097=1,IFERROR(IF(VALUE($B2097)&lt;100000000,VALUE($B2097),1000000000),IFERROR(IF(VALUE(MID($B2097,2,20))&lt;100000000,VALUE(MID($B2097,2,20)),1000000000),1000000000))+ROW()/100000,"")</f>
        <v/>
      </c>
    </row>
    <row r="2098">
      <c r="A2098">
        <f>IF($B2098="","",IFERROR(IF(INDEX('Per Invoice'!$A$2:$A$801,MATCH($B2098,'Per Invoice'!$B$2:$B$801,0))=0,"",INDEX('Per Invoice'!$A$2:$A$801,MATCH($B2098,'Per Invoice'!$B$2:$B$801,0))),""))</f>
        <v/>
      </c>
      <c r="J2098" s="7">
        <f>IF($B2098="","",I2098*Q2098/100)</f>
        <v/>
      </c>
      <c r="N2098" s="7" t="n"/>
      <c r="O2098" s="7" t="n"/>
      <c r="P2098" s="7">
        <f>IF($B2098="","",O2098*X2098/100)</f>
        <v/>
      </c>
      <c r="Q2098" s="7">
        <f>IF($B2098="","",O2098-P2098)</f>
        <v/>
      </c>
      <c r="R2098" s="7">
        <f>IF($B2098="","",Q2098-J2098)</f>
        <v/>
      </c>
      <c r="S2098" s="7" t="n"/>
      <c r="T2098" s="7" t="n"/>
      <c r="V2098" s="14" t="n"/>
      <c r="Z2098">
        <f>IF($B2098="","",IF(COUNTIF($B$2:$B2098,$B2098)=1,1,0))</f>
        <v/>
      </c>
      <c r="AA2098">
        <f>IF($Z2098=1,SUMPRODUCT(--($AC$2:$AC$3001&lt;$AC2098))+1,"")</f>
        <v/>
      </c>
      <c r="AB2098">
        <f>IF($B2098="","",IF(OR($Y2098=TRUE(),$Y2098="TRUE"),1,IF(AND($Y2098&lt;&gt;"",OR($Y2098=FALSE(),$Y2098="FALSE")),0,IF(MIN(ABS($X2098/100-Settings!$C$6),ABS($X2098/100-Settings!$G$6))&lt;=MIN(ABS($X2098/100-Settings!$C$7),ABS($X2098/100-Settings!$G$7)),1,0))))</f>
        <v/>
      </c>
      <c r="AC2098">
        <f>IF($Z2098=1,IFERROR(IF(VALUE($B2098)&lt;100000000,VALUE($B2098),1000000000),IFERROR(IF(VALUE(MID($B2098,2,20))&lt;100000000,VALUE(MID($B2098,2,20)),1000000000),1000000000))+ROW()/100000,"")</f>
        <v/>
      </c>
    </row>
    <row r="2099">
      <c r="A2099">
        <f>IF($B2099="","",IFERROR(IF(INDEX('Per Invoice'!$A$2:$A$801,MATCH($B2099,'Per Invoice'!$B$2:$B$801,0))=0,"",INDEX('Per Invoice'!$A$2:$A$801,MATCH($B2099,'Per Invoice'!$B$2:$B$801,0))),""))</f>
        <v/>
      </c>
      <c r="J2099" s="7">
        <f>IF($B2099="","",I2099*Q2099/100)</f>
        <v/>
      </c>
      <c r="N2099" s="7" t="n"/>
      <c r="O2099" s="7" t="n"/>
      <c r="P2099" s="7">
        <f>IF($B2099="","",O2099*X2099/100)</f>
        <v/>
      </c>
      <c r="Q2099" s="7">
        <f>IF($B2099="","",O2099-P2099)</f>
        <v/>
      </c>
      <c r="R2099" s="7">
        <f>IF($B2099="","",Q2099-J2099)</f>
        <v/>
      </c>
      <c r="S2099" s="7" t="n"/>
      <c r="T2099" s="7" t="n"/>
      <c r="V2099" s="14" t="n"/>
      <c r="Z2099">
        <f>IF($B2099="","",IF(COUNTIF($B$2:$B2099,$B2099)=1,1,0))</f>
        <v/>
      </c>
      <c r="AA2099">
        <f>IF($Z2099=1,SUMPRODUCT(--($AC$2:$AC$3001&lt;$AC2099))+1,"")</f>
        <v/>
      </c>
      <c r="AB2099">
        <f>IF($B2099="","",IF(OR($Y2099=TRUE(),$Y2099="TRUE"),1,IF(AND($Y2099&lt;&gt;"",OR($Y2099=FALSE(),$Y2099="FALSE")),0,IF(MIN(ABS($X2099/100-Settings!$C$6),ABS($X2099/100-Settings!$G$6))&lt;=MIN(ABS($X2099/100-Settings!$C$7),ABS($X2099/100-Settings!$G$7)),1,0))))</f>
        <v/>
      </c>
      <c r="AC2099">
        <f>IF($Z2099=1,IFERROR(IF(VALUE($B2099)&lt;100000000,VALUE($B2099),1000000000),IFERROR(IF(VALUE(MID($B2099,2,20))&lt;100000000,VALUE(MID($B2099,2,20)),1000000000),1000000000))+ROW()/100000,"")</f>
        <v/>
      </c>
    </row>
    <row r="2100">
      <c r="A2100">
        <f>IF($B2100="","",IFERROR(IF(INDEX('Per Invoice'!$A$2:$A$801,MATCH($B2100,'Per Invoice'!$B$2:$B$801,0))=0,"",INDEX('Per Invoice'!$A$2:$A$801,MATCH($B2100,'Per Invoice'!$B$2:$B$801,0))),""))</f>
        <v/>
      </c>
      <c r="J2100" s="7">
        <f>IF($B2100="","",I2100*Q2100/100)</f>
        <v/>
      </c>
      <c r="N2100" s="7" t="n"/>
      <c r="O2100" s="7" t="n"/>
      <c r="P2100" s="7">
        <f>IF($B2100="","",O2100*X2100/100)</f>
        <v/>
      </c>
      <c r="Q2100" s="7">
        <f>IF($B2100="","",O2100-P2100)</f>
        <v/>
      </c>
      <c r="R2100" s="7">
        <f>IF($B2100="","",Q2100-J2100)</f>
        <v/>
      </c>
      <c r="S2100" s="7" t="n"/>
      <c r="T2100" s="7" t="n"/>
      <c r="V2100" s="14" t="n"/>
      <c r="Z2100">
        <f>IF($B2100="","",IF(COUNTIF($B$2:$B2100,$B2100)=1,1,0))</f>
        <v/>
      </c>
      <c r="AA2100">
        <f>IF($Z2100=1,SUMPRODUCT(--($AC$2:$AC$3001&lt;$AC2100))+1,"")</f>
        <v/>
      </c>
      <c r="AB2100">
        <f>IF($B2100="","",IF(OR($Y2100=TRUE(),$Y2100="TRUE"),1,IF(AND($Y2100&lt;&gt;"",OR($Y2100=FALSE(),$Y2100="FALSE")),0,IF(MIN(ABS($X2100/100-Settings!$C$6),ABS($X2100/100-Settings!$G$6))&lt;=MIN(ABS($X2100/100-Settings!$C$7),ABS($X2100/100-Settings!$G$7)),1,0))))</f>
        <v/>
      </c>
      <c r="AC2100">
        <f>IF($Z2100=1,IFERROR(IF(VALUE($B2100)&lt;100000000,VALUE($B2100),1000000000),IFERROR(IF(VALUE(MID($B2100,2,20))&lt;100000000,VALUE(MID($B2100,2,20)),1000000000),1000000000))+ROW()/100000,"")</f>
        <v/>
      </c>
    </row>
    <row r="2101">
      <c r="A2101">
        <f>IF($B2101="","",IFERROR(IF(INDEX('Per Invoice'!$A$2:$A$801,MATCH($B2101,'Per Invoice'!$B$2:$B$801,0))=0,"",INDEX('Per Invoice'!$A$2:$A$801,MATCH($B2101,'Per Invoice'!$B$2:$B$801,0))),""))</f>
        <v/>
      </c>
      <c r="J2101" s="7">
        <f>IF($B2101="","",I2101*Q2101/100)</f>
        <v/>
      </c>
      <c r="N2101" s="7" t="n"/>
      <c r="O2101" s="7" t="n"/>
      <c r="P2101" s="7">
        <f>IF($B2101="","",O2101*X2101/100)</f>
        <v/>
      </c>
      <c r="Q2101" s="7">
        <f>IF($B2101="","",O2101-P2101)</f>
        <v/>
      </c>
      <c r="R2101" s="7">
        <f>IF($B2101="","",Q2101-J2101)</f>
        <v/>
      </c>
      <c r="S2101" s="7" t="n"/>
      <c r="T2101" s="7" t="n"/>
      <c r="V2101" s="14" t="n"/>
      <c r="Z2101">
        <f>IF($B2101="","",IF(COUNTIF($B$2:$B2101,$B2101)=1,1,0))</f>
        <v/>
      </c>
      <c r="AA2101">
        <f>IF($Z2101=1,SUMPRODUCT(--($AC$2:$AC$3001&lt;$AC2101))+1,"")</f>
        <v/>
      </c>
      <c r="AB2101">
        <f>IF($B2101="","",IF(OR($Y2101=TRUE(),$Y2101="TRUE"),1,IF(AND($Y2101&lt;&gt;"",OR($Y2101=FALSE(),$Y2101="FALSE")),0,IF(MIN(ABS($X2101/100-Settings!$C$6),ABS($X2101/100-Settings!$G$6))&lt;=MIN(ABS($X2101/100-Settings!$C$7),ABS($X2101/100-Settings!$G$7)),1,0))))</f>
        <v/>
      </c>
      <c r="AC2101">
        <f>IF($Z2101=1,IFERROR(IF(VALUE($B2101)&lt;100000000,VALUE($B2101),1000000000),IFERROR(IF(VALUE(MID($B2101,2,20))&lt;100000000,VALUE(MID($B2101,2,20)),1000000000),1000000000))+ROW()/100000,"")</f>
        <v/>
      </c>
    </row>
    <row r="2102">
      <c r="A2102">
        <f>IF($B2102="","",IFERROR(IF(INDEX('Per Invoice'!$A$2:$A$801,MATCH($B2102,'Per Invoice'!$B$2:$B$801,0))=0,"",INDEX('Per Invoice'!$A$2:$A$801,MATCH($B2102,'Per Invoice'!$B$2:$B$801,0))),""))</f>
        <v/>
      </c>
      <c r="J2102" s="7">
        <f>IF($B2102="","",I2102*Q2102/100)</f>
        <v/>
      </c>
      <c r="N2102" s="7" t="n"/>
      <c r="O2102" s="7" t="n"/>
      <c r="P2102" s="7">
        <f>IF($B2102="","",O2102*X2102/100)</f>
        <v/>
      </c>
      <c r="Q2102" s="7">
        <f>IF($B2102="","",O2102-P2102)</f>
        <v/>
      </c>
      <c r="R2102" s="7">
        <f>IF($B2102="","",Q2102-J2102)</f>
        <v/>
      </c>
      <c r="S2102" s="7" t="n"/>
      <c r="T2102" s="7" t="n"/>
      <c r="V2102" s="14" t="n"/>
      <c r="Z2102">
        <f>IF($B2102="","",IF(COUNTIF($B$2:$B2102,$B2102)=1,1,0))</f>
        <v/>
      </c>
      <c r="AA2102">
        <f>IF($Z2102=1,SUMPRODUCT(--($AC$2:$AC$3001&lt;$AC2102))+1,"")</f>
        <v/>
      </c>
      <c r="AB2102">
        <f>IF($B2102="","",IF(OR($Y2102=TRUE(),$Y2102="TRUE"),1,IF(AND($Y2102&lt;&gt;"",OR($Y2102=FALSE(),$Y2102="FALSE")),0,IF(MIN(ABS($X2102/100-Settings!$C$6),ABS($X2102/100-Settings!$G$6))&lt;=MIN(ABS($X2102/100-Settings!$C$7),ABS($X2102/100-Settings!$G$7)),1,0))))</f>
        <v/>
      </c>
      <c r="AC2102">
        <f>IF($Z2102=1,IFERROR(IF(VALUE($B2102)&lt;100000000,VALUE($B2102),1000000000),IFERROR(IF(VALUE(MID($B2102,2,20))&lt;100000000,VALUE(MID($B2102,2,20)),1000000000),1000000000))+ROW()/100000,"")</f>
        <v/>
      </c>
    </row>
    <row r="2103">
      <c r="A2103">
        <f>IF($B2103="","",IFERROR(IF(INDEX('Per Invoice'!$A$2:$A$801,MATCH($B2103,'Per Invoice'!$B$2:$B$801,0))=0,"",INDEX('Per Invoice'!$A$2:$A$801,MATCH($B2103,'Per Invoice'!$B$2:$B$801,0))),""))</f>
        <v/>
      </c>
      <c r="J2103" s="7">
        <f>IF($B2103="","",I2103*Q2103/100)</f>
        <v/>
      </c>
      <c r="N2103" s="7" t="n"/>
      <c r="O2103" s="7" t="n"/>
      <c r="P2103" s="7">
        <f>IF($B2103="","",O2103*X2103/100)</f>
        <v/>
      </c>
      <c r="Q2103" s="7">
        <f>IF($B2103="","",O2103-P2103)</f>
        <v/>
      </c>
      <c r="R2103" s="7">
        <f>IF($B2103="","",Q2103-J2103)</f>
        <v/>
      </c>
      <c r="S2103" s="7" t="n"/>
      <c r="T2103" s="7" t="n"/>
      <c r="V2103" s="14" t="n"/>
      <c r="Z2103">
        <f>IF($B2103="","",IF(COUNTIF($B$2:$B2103,$B2103)=1,1,0))</f>
        <v/>
      </c>
      <c r="AA2103">
        <f>IF($Z2103=1,SUMPRODUCT(--($AC$2:$AC$3001&lt;$AC2103))+1,"")</f>
        <v/>
      </c>
      <c r="AB2103">
        <f>IF($B2103="","",IF(OR($Y2103=TRUE(),$Y2103="TRUE"),1,IF(AND($Y2103&lt;&gt;"",OR($Y2103=FALSE(),$Y2103="FALSE")),0,IF(MIN(ABS($X2103/100-Settings!$C$6),ABS($X2103/100-Settings!$G$6))&lt;=MIN(ABS($X2103/100-Settings!$C$7),ABS($X2103/100-Settings!$G$7)),1,0))))</f>
        <v/>
      </c>
      <c r="AC2103">
        <f>IF($Z2103=1,IFERROR(IF(VALUE($B2103)&lt;100000000,VALUE($B2103),1000000000),IFERROR(IF(VALUE(MID($B2103,2,20))&lt;100000000,VALUE(MID($B2103,2,20)),1000000000),1000000000))+ROW()/100000,"")</f>
        <v/>
      </c>
    </row>
    <row r="2104">
      <c r="A2104">
        <f>IF($B2104="","",IFERROR(IF(INDEX('Per Invoice'!$A$2:$A$801,MATCH($B2104,'Per Invoice'!$B$2:$B$801,0))=0,"",INDEX('Per Invoice'!$A$2:$A$801,MATCH($B2104,'Per Invoice'!$B$2:$B$801,0))),""))</f>
        <v/>
      </c>
      <c r="J2104" s="7">
        <f>IF($B2104="","",I2104*Q2104/100)</f>
        <v/>
      </c>
      <c r="N2104" s="7" t="n"/>
      <c r="O2104" s="7" t="n"/>
      <c r="P2104" s="7">
        <f>IF($B2104="","",O2104*X2104/100)</f>
        <v/>
      </c>
      <c r="Q2104" s="7">
        <f>IF($B2104="","",O2104-P2104)</f>
        <v/>
      </c>
      <c r="R2104" s="7">
        <f>IF($B2104="","",Q2104-J2104)</f>
        <v/>
      </c>
      <c r="S2104" s="7" t="n"/>
      <c r="T2104" s="7" t="n"/>
      <c r="V2104" s="14" t="n"/>
      <c r="Z2104">
        <f>IF($B2104="","",IF(COUNTIF($B$2:$B2104,$B2104)=1,1,0))</f>
        <v/>
      </c>
      <c r="AA2104">
        <f>IF($Z2104=1,SUMPRODUCT(--($AC$2:$AC$3001&lt;$AC2104))+1,"")</f>
        <v/>
      </c>
      <c r="AB2104">
        <f>IF($B2104="","",IF(OR($Y2104=TRUE(),$Y2104="TRUE"),1,IF(AND($Y2104&lt;&gt;"",OR($Y2104=FALSE(),$Y2104="FALSE")),0,IF(MIN(ABS($X2104/100-Settings!$C$6),ABS($X2104/100-Settings!$G$6))&lt;=MIN(ABS($X2104/100-Settings!$C$7),ABS($X2104/100-Settings!$G$7)),1,0))))</f>
        <v/>
      </c>
      <c r="AC2104">
        <f>IF($Z2104=1,IFERROR(IF(VALUE($B2104)&lt;100000000,VALUE($B2104),1000000000),IFERROR(IF(VALUE(MID($B2104,2,20))&lt;100000000,VALUE(MID($B2104,2,20)),1000000000),1000000000))+ROW()/100000,"")</f>
        <v/>
      </c>
    </row>
    <row r="2105">
      <c r="A2105">
        <f>IF($B2105="","",IFERROR(IF(INDEX('Per Invoice'!$A$2:$A$801,MATCH($B2105,'Per Invoice'!$B$2:$B$801,0))=0,"",INDEX('Per Invoice'!$A$2:$A$801,MATCH($B2105,'Per Invoice'!$B$2:$B$801,0))),""))</f>
        <v/>
      </c>
      <c r="J2105" s="7">
        <f>IF($B2105="","",I2105*Q2105/100)</f>
        <v/>
      </c>
      <c r="N2105" s="7" t="n"/>
      <c r="O2105" s="7" t="n"/>
      <c r="P2105" s="7">
        <f>IF($B2105="","",O2105*X2105/100)</f>
        <v/>
      </c>
      <c r="Q2105" s="7">
        <f>IF($B2105="","",O2105-P2105)</f>
        <v/>
      </c>
      <c r="R2105" s="7">
        <f>IF($B2105="","",Q2105-J2105)</f>
        <v/>
      </c>
      <c r="S2105" s="7" t="n"/>
      <c r="T2105" s="7" t="n"/>
      <c r="V2105" s="14" t="n"/>
      <c r="Z2105">
        <f>IF($B2105="","",IF(COUNTIF($B$2:$B2105,$B2105)=1,1,0))</f>
        <v/>
      </c>
      <c r="AA2105">
        <f>IF($Z2105=1,SUMPRODUCT(--($AC$2:$AC$3001&lt;$AC2105))+1,"")</f>
        <v/>
      </c>
      <c r="AB2105">
        <f>IF($B2105="","",IF(OR($Y2105=TRUE(),$Y2105="TRUE"),1,IF(AND($Y2105&lt;&gt;"",OR($Y2105=FALSE(),$Y2105="FALSE")),0,IF(MIN(ABS($X2105/100-Settings!$C$6),ABS($X2105/100-Settings!$G$6))&lt;=MIN(ABS($X2105/100-Settings!$C$7),ABS($X2105/100-Settings!$G$7)),1,0))))</f>
        <v/>
      </c>
      <c r="AC2105">
        <f>IF($Z2105=1,IFERROR(IF(VALUE($B2105)&lt;100000000,VALUE($B2105),1000000000),IFERROR(IF(VALUE(MID($B2105,2,20))&lt;100000000,VALUE(MID($B2105,2,20)),1000000000),1000000000))+ROW()/100000,"")</f>
        <v/>
      </c>
    </row>
    <row r="2106">
      <c r="A2106">
        <f>IF($B2106="","",IFERROR(IF(INDEX('Per Invoice'!$A$2:$A$801,MATCH($B2106,'Per Invoice'!$B$2:$B$801,0))=0,"",INDEX('Per Invoice'!$A$2:$A$801,MATCH($B2106,'Per Invoice'!$B$2:$B$801,0))),""))</f>
        <v/>
      </c>
      <c r="J2106" s="7">
        <f>IF($B2106="","",I2106*Q2106/100)</f>
        <v/>
      </c>
      <c r="N2106" s="7" t="n"/>
      <c r="O2106" s="7" t="n"/>
      <c r="P2106" s="7">
        <f>IF($B2106="","",O2106*X2106/100)</f>
        <v/>
      </c>
      <c r="Q2106" s="7">
        <f>IF($B2106="","",O2106-P2106)</f>
        <v/>
      </c>
      <c r="R2106" s="7">
        <f>IF($B2106="","",Q2106-J2106)</f>
        <v/>
      </c>
      <c r="S2106" s="7" t="n"/>
      <c r="T2106" s="7" t="n"/>
      <c r="V2106" s="14" t="n"/>
      <c r="Z2106">
        <f>IF($B2106="","",IF(COUNTIF($B$2:$B2106,$B2106)=1,1,0))</f>
        <v/>
      </c>
      <c r="AA2106">
        <f>IF($Z2106=1,SUMPRODUCT(--($AC$2:$AC$3001&lt;$AC2106))+1,"")</f>
        <v/>
      </c>
      <c r="AB2106">
        <f>IF($B2106="","",IF(OR($Y2106=TRUE(),$Y2106="TRUE"),1,IF(AND($Y2106&lt;&gt;"",OR($Y2106=FALSE(),$Y2106="FALSE")),0,IF(MIN(ABS($X2106/100-Settings!$C$6),ABS($X2106/100-Settings!$G$6))&lt;=MIN(ABS($X2106/100-Settings!$C$7),ABS($X2106/100-Settings!$G$7)),1,0))))</f>
        <v/>
      </c>
      <c r="AC2106">
        <f>IF($Z2106=1,IFERROR(IF(VALUE($B2106)&lt;100000000,VALUE($B2106),1000000000),IFERROR(IF(VALUE(MID($B2106,2,20))&lt;100000000,VALUE(MID($B2106,2,20)),1000000000),1000000000))+ROW()/100000,"")</f>
        <v/>
      </c>
    </row>
    <row r="2107">
      <c r="A2107">
        <f>IF($B2107="","",IFERROR(IF(INDEX('Per Invoice'!$A$2:$A$801,MATCH($B2107,'Per Invoice'!$B$2:$B$801,0))=0,"",INDEX('Per Invoice'!$A$2:$A$801,MATCH($B2107,'Per Invoice'!$B$2:$B$801,0))),""))</f>
        <v/>
      </c>
      <c r="J2107" s="7">
        <f>IF($B2107="","",I2107*Q2107/100)</f>
        <v/>
      </c>
      <c r="N2107" s="7" t="n"/>
      <c r="O2107" s="7" t="n"/>
      <c r="P2107" s="7">
        <f>IF($B2107="","",O2107*X2107/100)</f>
        <v/>
      </c>
      <c r="Q2107" s="7">
        <f>IF($B2107="","",O2107-P2107)</f>
        <v/>
      </c>
      <c r="R2107" s="7">
        <f>IF($B2107="","",Q2107-J2107)</f>
        <v/>
      </c>
      <c r="S2107" s="7" t="n"/>
      <c r="T2107" s="7" t="n"/>
      <c r="V2107" s="14" t="n"/>
      <c r="Z2107">
        <f>IF($B2107="","",IF(COUNTIF($B$2:$B2107,$B2107)=1,1,0))</f>
        <v/>
      </c>
      <c r="AA2107">
        <f>IF($Z2107=1,SUMPRODUCT(--($AC$2:$AC$3001&lt;$AC2107))+1,"")</f>
        <v/>
      </c>
      <c r="AB2107">
        <f>IF($B2107="","",IF(OR($Y2107=TRUE(),$Y2107="TRUE"),1,IF(AND($Y2107&lt;&gt;"",OR($Y2107=FALSE(),$Y2107="FALSE")),0,IF(MIN(ABS($X2107/100-Settings!$C$6),ABS($X2107/100-Settings!$G$6))&lt;=MIN(ABS($X2107/100-Settings!$C$7),ABS($X2107/100-Settings!$G$7)),1,0))))</f>
        <v/>
      </c>
      <c r="AC2107">
        <f>IF($Z2107=1,IFERROR(IF(VALUE($B2107)&lt;100000000,VALUE($B2107),1000000000),IFERROR(IF(VALUE(MID($B2107,2,20))&lt;100000000,VALUE(MID($B2107,2,20)),1000000000),1000000000))+ROW()/100000,"")</f>
        <v/>
      </c>
    </row>
    <row r="2108">
      <c r="A2108">
        <f>IF($B2108="","",IFERROR(IF(INDEX('Per Invoice'!$A$2:$A$801,MATCH($B2108,'Per Invoice'!$B$2:$B$801,0))=0,"",INDEX('Per Invoice'!$A$2:$A$801,MATCH($B2108,'Per Invoice'!$B$2:$B$801,0))),""))</f>
        <v/>
      </c>
      <c r="J2108" s="7">
        <f>IF($B2108="","",I2108*Q2108/100)</f>
        <v/>
      </c>
      <c r="N2108" s="7" t="n"/>
      <c r="O2108" s="7" t="n"/>
      <c r="P2108" s="7">
        <f>IF($B2108="","",O2108*X2108/100)</f>
        <v/>
      </c>
      <c r="Q2108" s="7">
        <f>IF($B2108="","",O2108-P2108)</f>
        <v/>
      </c>
      <c r="R2108" s="7">
        <f>IF($B2108="","",Q2108-J2108)</f>
        <v/>
      </c>
      <c r="S2108" s="7" t="n"/>
      <c r="T2108" s="7" t="n"/>
      <c r="V2108" s="14" t="n"/>
      <c r="Z2108">
        <f>IF($B2108="","",IF(COUNTIF($B$2:$B2108,$B2108)=1,1,0))</f>
        <v/>
      </c>
      <c r="AA2108">
        <f>IF($Z2108=1,SUMPRODUCT(--($AC$2:$AC$3001&lt;$AC2108))+1,"")</f>
        <v/>
      </c>
      <c r="AB2108">
        <f>IF($B2108="","",IF(OR($Y2108=TRUE(),$Y2108="TRUE"),1,IF(AND($Y2108&lt;&gt;"",OR($Y2108=FALSE(),$Y2108="FALSE")),0,IF(MIN(ABS($X2108/100-Settings!$C$6),ABS($X2108/100-Settings!$G$6))&lt;=MIN(ABS($X2108/100-Settings!$C$7),ABS($X2108/100-Settings!$G$7)),1,0))))</f>
        <v/>
      </c>
      <c r="AC2108">
        <f>IF($Z2108=1,IFERROR(IF(VALUE($B2108)&lt;100000000,VALUE($B2108),1000000000),IFERROR(IF(VALUE(MID($B2108,2,20))&lt;100000000,VALUE(MID($B2108,2,20)),1000000000),1000000000))+ROW()/100000,"")</f>
        <v/>
      </c>
    </row>
    <row r="2109">
      <c r="A2109">
        <f>IF($B2109="","",IFERROR(IF(INDEX('Per Invoice'!$A$2:$A$801,MATCH($B2109,'Per Invoice'!$B$2:$B$801,0))=0,"",INDEX('Per Invoice'!$A$2:$A$801,MATCH($B2109,'Per Invoice'!$B$2:$B$801,0))),""))</f>
        <v/>
      </c>
      <c r="J2109" s="7">
        <f>IF($B2109="","",I2109*Q2109/100)</f>
        <v/>
      </c>
      <c r="N2109" s="7" t="n"/>
      <c r="O2109" s="7" t="n"/>
      <c r="P2109" s="7">
        <f>IF($B2109="","",O2109*X2109/100)</f>
        <v/>
      </c>
      <c r="Q2109" s="7">
        <f>IF($B2109="","",O2109-P2109)</f>
        <v/>
      </c>
      <c r="R2109" s="7">
        <f>IF($B2109="","",Q2109-J2109)</f>
        <v/>
      </c>
      <c r="S2109" s="7" t="n"/>
      <c r="T2109" s="7" t="n"/>
      <c r="V2109" s="14" t="n"/>
      <c r="Z2109">
        <f>IF($B2109="","",IF(COUNTIF($B$2:$B2109,$B2109)=1,1,0))</f>
        <v/>
      </c>
      <c r="AA2109">
        <f>IF($Z2109=1,SUMPRODUCT(--($AC$2:$AC$3001&lt;$AC2109))+1,"")</f>
        <v/>
      </c>
      <c r="AB2109">
        <f>IF($B2109="","",IF(OR($Y2109=TRUE(),$Y2109="TRUE"),1,IF(AND($Y2109&lt;&gt;"",OR($Y2109=FALSE(),$Y2109="FALSE")),0,IF(MIN(ABS($X2109/100-Settings!$C$6),ABS($X2109/100-Settings!$G$6))&lt;=MIN(ABS($X2109/100-Settings!$C$7),ABS($X2109/100-Settings!$G$7)),1,0))))</f>
        <v/>
      </c>
      <c r="AC2109">
        <f>IF($Z2109=1,IFERROR(IF(VALUE($B2109)&lt;100000000,VALUE($B2109),1000000000),IFERROR(IF(VALUE(MID($B2109,2,20))&lt;100000000,VALUE(MID($B2109,2,20)),1000000000),1000000000))+ROW()/100000,"")</f>
        <v/>
      </c>
    </row>
    <row r="2110">
      <c r="A2110">
        <f>IF($B2110="","",IFERROR(IF(INDEX('Per Invoice'!$A$2:$A$801,MATCH($B2110,'Per Invoice'!$B$2:$B$801,0))=0,"",INDEX('Per Invoice'!$A$2:$A$801,MATCH($B2110,'Per Invoice'!$B$2:$B$801,0))),""))</f>
        <v/>
      </c>
      <c r="J2110" s="7">
        <f>IF($B2110="","",I2110*Q2110/100)</f>
        <v/>
      </c>
      <c r="N2110" s="7" t="n"/>
      <c r="O2110" s="7" t="n"/>
      <c r="P2110" s="7">
        <f>IF($B2110="","",O2110*X2110/100)</f>
        <v/>
      </c>
      <c r="Q2110" s="7">
        <f>IF($B2110="","",O2110-P2110)</f>
        <v/>
      </c>
      <c r="R2110" s="7">
        <f>IF($B2110="","",Q2110-J2110)</f>
        <v/>
      </c>
      <c r="S2110" s="7" t="n"/>
      <c r="T2110" s="7" t="n"/>
      <c r="V2110" s="14" t="n"/>
      <c r="Z2110">
        <f>IF($B2110="","",IF(COUNTIF($B$2:$B2110,$B2110)=1,1,0))</f>
        <v/>
      </c>
      <c r="AA2110">
        <f>IF($Z2110=1,SUMPRODUCT(--($AC$2:$AC$3001&lt;$AC2110))+1,"")</f>
        <v/>
      </c>
      <c r="AB2110">
        <f>IF($B2110="","",IF(OR($Y2110=TRUE(),$Y2110="TRUE"),1,IF(AND($Y2110&lt;&gt;"",OR($Y2110=FALSE(),$Y2110="FALSE")),0,IF(MIN(ABS($X2110/100-Settings!$C$6),ABS($X2110/100-Settings!$G$6))&lt;=MIN(ABS($X2110/100-Settings!$C$7),ABS($X2110/100-Settings!$G$7)),1,0))))</f>
        <v/>
      </c>
      <c r="AC2110">
        <f>IF($Z2110=1,IFERROR(IF(VALUE($B2110)&lt;100000000,VALUE($B2110),1000000000),IFERROR(IF(VALUE(MID($B2110,2,20))&lt;100000000,VALUE(MID($B2110,2,20)),1000000000),1000000000))+ROW()/100000,"")</f>
        <v/>
      </c>
    </row>
    <row r="2111">
      <c r="A2111">
        <f>IF($B2111="","",IFERROR(IF(INDEX('Per Invoice'!$A$2:$A$801,MATCH($B2111,'Per Invoice'!$B$2:$B$801,0))=0,"",INDEX('Per Invoice'!$A$2:$A$801,MATCH($B2111,'Per Invoice'!$B$2:$B$801,0))),""))</f>
        <v/>
      </c>
      <c r="J2111" s="7">
        <f>IF($B2111="","",I2111*Q2111/100)</f>
        <v/>
      </c>
      <c r="N2111" s="7" t="n"/>
      <c r="O2111" s="7" t="n"/>
      <c r="P2111" s="7">
        <f>IF($B2111="","",O2111*X2111/100)</f>
        <v/>
      </c>
      <c r="Q2111" s="7">
        <f>IF($B2111="","",O2111-P2111)</f>
        <v/>
      </c>
      <c r="R2111" s="7">
        <f>IF($B2111="","",Q2111-J2111)</f>
        <v/>
      </c>
      <c r="S2111" s="7" t="n"/>
      <c r="T2111" s="7" t="n"/>
      <c r="V2111" s="14" t="n"/>
      <c r="Z2111">
        <f>IF($B2111="","",IF(COUNTIF($B$2:$B2111,$B2111)=1,1,0))</f>
        <v/>
      </c>
      <c r="AA2111">
        <f>IF($Z2111=1,SUMPRODUCT(--($AC$2:$AC$3001&lt;$AC2111))+1,"")</f>
        <v/>
      </c>
      <c r="AB2111">
        <f>IF($B2111="","",IF(OR($Y2111=TRUE(),$Y2111="TRUE"),1,IF(AND($Y2111&lt;&gt;"",OR($Y2111=FALSE(),$Y2111="FALSE")),0,IF(MIN(ABS($X2111/100-Settings!$C$6),ABS($X2111/100-Settings!$G$6))&lt;=MIN(ABS($X2111/100-Settings!$C$7),ABS($X2111/100-Settings!$G$7)),1,0))))</f>
        <v/>
      </c>
      <c r="AC2111">
        <f>IF($Z2111=1,IFERROR(IF(VALUE($B2111)&lt;100000000,VALUE($B2111),1000000000),IFERROR(IF(VALUE(MID($B2111,2,20))&lt;100000000,VALUE(MID($B2111,2,20)),1000000000),1000000000))+ROW()/100000,"")</f>
        <v/>
      </c>
    </row>
    <row r="2112">
      <c r="A2112">
        <f>IF($B2112="","",IFERROR(IF(INDEX('Per Invoice'!$A$2:$A$801,MATCH($B2112,'Per Invoice'!$B$2:$B$801,0))=0,"",INDEX('Per Invoice'!$A$2:$A$801,MATCH($B2112,'Per Invoice'!$B$2:$B$801,0))),""))</f>
        <v/>
      </c>
      <c r="J2112" s="7">
        <f>IF($B2112="","",I2112*Q2112/100)</f>
        <v/>
      </c>
      <c r="N2112" s="7" t="n"/>
      <c r="O2112" s="7" t="n"/>
      <c r="P2112" s="7">
        <f>IF($B2112="","",O2112*X2112/100)</f>
        <v/>
      </c>
      <c r="Q2112" s="7">
        <f>IF($B2112="","",O2112-P2112)</f>
        <v/>
      </c>
      <c r="R2112" s="7">
        <f>IF($B2112="","",Q2112-J2112)</f>
        <v/>
      </c>
      <c r="S2112" s="7" t="n"/>
      <c r="T2112" s="7" t="n"/>
      <c r="V2112" s="14" t="n"/>
      <c r="Z2112">
        <f>IF($B2112="","",IF(COUNTIF($B$2:$B2112,$B2112)=1,1,0))</f>
        <v/>
      </c>
      <c r="AA2112">
        <f>IF($Z2112=1,SUMPRODUCT(--($AC$2:$AC$3001&lt;$AC2112))+1,"")</f>
        <v/>
      </c>
      <c r="AB2112">
        <f>IF($B2112="","",IF(OR($Y2112=TRUE(),$Y2112="TRUE"),1,IF(AND($Y2112&lt;&gt;"",OR($Y2112=FALSE(),$Y2112="FALSE")),0,IF(MIN(ABS($X2112/100-Settings!$C$6),ABS($X2112/100-Settings!$G$6))&lt;=MIN(ABS($X2112/100-Settings!$C$7),ABS($X2112/100-Settings!$G$7)),1,0))))</f>
        <v/>
      </c>
      <c r="AC2112">
        <f>IF($Z2112=1,IFERROR(IF(VALUE($B2112)&lt;100000000,VALUE($B2112),1000000000),IFERROR(IF(VALUE(MID($B2112,2,20))&lt;100000000,VALUE(MID($B2112,2,20)),1000000000),1000000000))+ROW()/100000,"")</f>
        <v/>
      </c>
    </row>
    <row r="2113">
      <c r="A2113">
        <f>IF($B2113="","",IFERROR(IF(INDEX('Per Invoice'!$A$2:$A$801,MATCH($B2113,'Per Invoice'!$B$2:$B$801,0))=0,"",INDEX('Per Invoice'!$A$2:$A$801,MATCH($B2113,'Per Invoice'!$B$2:$B$801,0))),""))</f>
        <v/>
      </c>
      <c r="J2113" s="7">
        <f>IF($B2113="","",I2113*Q2113/100)</f>
        <v/>
      </c>
      <c r="N2113" s="7" t="n"/>
      <c r="O2113" s="7" t="n"/>
      <c r="P2113" s="7">
        <f>IF($B2113="","",O2113*X2113/100)</f>
        <v/>
      </c>
      <c r="Q2113" s="7">
        <f>IF($B2113="","",O2113-P2113)</f>
        <v/>
      </c>
      <c r="R2113" s="7">
        <f>IF($B2113="","",Q2113-J2113)</f>
        <v/>
      </c>
      <c r="S2113" s="7" t="n"/>
      <c r="T2113" s="7" t="n"/>
      <c r="V2113" s="14" t="n"/>
      <c r="Z2113">
        <f>IF($B2113="","",IF(COUNTIF($B$2:$B2113,$B2113)=1,1,0))</f>
        <v/>
      </c>
      <c r="AA2113">
        <f>IF($Z2113=1,SUMPRODUCT(--($AC$2:$AC$3001&lt;$AC2113))+1,"")</f>
        <v/>
      </c>
      <c r="AB2113">
        <f>IF($B2113="","",IF(OR($Y2113=TRUE(),$Y2113="TRUE"),1,IF(AND($Y2113&lt;&gt;"",OR($Y2113=FALSE(),$Y2113="FALSE")),0,IF(MIN(ABS($X2113/100-Settings!$C$6),ABS($X2113/100-Settings!$G$6))&lt;=MIN(ABS($X2113/100-Settings!$C$7),ABS($X2113/100-Settings!$G$7)),1,0))))</f>
        <v/>
      </c>
      <c r="AC2113">
        <f>IF($Z2113=1,IFERROR(IF(VALUE($B2113)&lt;100000000,VALUE($B2113),1000000000),IFERROR(IF(VALUE(MID($B2113,2,20))&lt;100000000,VALUE(MID($B2113,2,20)),1000000000),1000000000))+ROW()/100000,"")</f>
        <v/>
      </c>
    </row>
    <row r="2114">
      <c r="A2114">
        <f>IF($B2114="","",IFERROR(IF(INDEX('Per Invoice'!$A$2:$A$801,MATCH($B2114,'Per Invoice'!$B$2:$B$801,0))=0,"",INDEX('Per Invoice'!$A$2:$A$801,MATCH($B2114,'Per Invoice'!$B$2:$B$801,0))),""))</f>
        <v/>
      </c>
      <c r="J2114" s="7">
        <f>IF($B2114="","",I2114*Q2114/100)</f>
        <v/>
      </c>
      <c r="N2114" s="7" t="n"/>
      <c r="O2114" s="7" t="n"/>
      <c r="P2114" s="7">
        <f>IF($B2114="","",O2114*X2114/100)</f>
        <v/>
      </c>
      <c r="Q2114" s="7">
        <f>IF($B2114="","",O2114-P2114)</f>
        <v/>
      </c>
      <c r="R2114" s="7">
        <f>IF($B2114="","",Q2114-J2114)</f>
        <v/>
      </c>
      <c r="S2114" s="7" t="n"/>
      <c r="T2114" s="7" t="n"/>
      <c r="V2114" s="14" t="n"/>
      <c r="Z2114">
        <f>IF($B2114="","",IF(COUNTIF($B$2:$B2114,$B2114)=1,1,0))</f>
        <v/>
      </c>
      <c r="AA2114">
        <f>IF($Z2114=1,SUMPRODUCT(--($AC$2:$AC$3001&lt;$AC2114))+1,"")</f>
        <v/>
      </c>
      <c r="AB2114">
        <f>IF($B2114="","",IF(OR($Y2114=TRUE(),$Y2114="TRUE"),1,IF(AND($Y2114&lt;&gt;"",OR($Y2114=FALSE(),$Y2114="FALSE")),0,IF(MIN(ABS($X2114/100-Settings!$C$6),ABS($X2114/100-Settings!$G$6))&lt;=MIN(ABS($X2114/100-Settings!$C$7),ABS($X2114/100-Settings!$G$7)),1,0))))</f>
        <v/>
      </c>
      <c r="AC2114">
        <f>IF($Z2114=1,IFERROR(IF(VALUE($B2114)&lt;100000000,VALUE($B2114),1000000000),IFERROR(IF(VALUE(MID($B2114,2,20))&lt;100000000,VALUE(MID($B2114,2,20)),1000000000),1000000000))+ROW()/100000,"")</f>
        <v/>
      </c>
    </row>
    <row r="2115">
      <c r="A2115">
        <f>IF($B2115="","",IFERROR(IF(INDEX('Per Invoice'!$A$2:$A$801,MATCH($B2115,'Per Invoice'!$B$2:$B$801,0))=0,"",INDEX('Per Invoice'!$A$2:$A$801,MATCH($B2115,'Per Invoice'!$B$2:$B$801,0))),""))</f>
        <v/>
      </c>
      <c r="J2115" s="7">
        <f>IF($B2115="","",I2115*Q2115/100)</f>
        <v/>
      </c>
      <c r="N2115" s="7" t="n"/>
      <c r="O2115" s="7" t="n"/>
      <c r="P2115" s="7">
        <f>IF($B2115="","",O2115*X2115/100)</f>
        <v/>
      </c>
      <c r="Q2115" s="7">
        <f>IF($B2115="","",O2115-P2115)</f>
        <v/>
      </c>
      <c r="R2115" s="7">
        <f>IF($B2115="","",Q2115-J2115)</f>
        <v/>
      </c>
      <c r="S2115" s="7" t="n"/>
      <c r="T2115" s="7" t="n"/>
      <c r="V2115" s="14" t="n"/>
      <c r="Z2115">
        <f>IF($B2115="","",IF(COUNTIF($B$2:$B2115,$B2115)=1,1,0))</f>
        <v/>
      </c>
      <c r="AA2115">
        <f>IF($Z2115=1,SUMPRODUCT(--($AC$2:$AC$3001&lt;$AC2115))+1,"")</f>
        <v/>
      </c>
      <c r="AB2115">
        <f>IF($B2115="","",IF(OR($Y2115=TRUE(),$Y2115="TRUE"),1,IF(AND($Y2115&lt;&gt;"",OR($Y2115=FALSE(),$Y2115="FALSE")),0,IF(MIN(ABS($X2115/100-Settings!$C$6),ABS($X2115/100-Settings!$G$6))&lt;=MIN(ABS($X2115/100-Settings!$C$7),ABS($X2115/100-Settings!$G$7)),1,0))))</f>
        <v/>
      </c>
      <c r="AC2115">
        <f>IF($Z2115=1,IFERROR(IF(VALUE($B2115)&lt;100000000,VALUE($B2115),1000000000),IFERROR(IF(VALUE(MID($B2115,2,20))&lt;100000000,VALUE(MID($B2115,2,20)),1000000000),1000000000))+ROW()/100000,"")</f>
        <v/>
      </c>
    </row>
    <row r="2116">
      <c r="A2116">
        <f>IF($B2116="","",IFERROR(IF(INDEX('Per Invoice'!$A$2:$A$801,MATCH($B2116,'Per Invoice'!$B$2:$B$801,0))=0,"",INDEX('Per Invoice'!$A$2:$A$801,MATCH($B2116,'Per Invoice'!$B$2:$B$801,0))),""))</f>
        <v/>
      </c>
      <c r="J2116" s="7">
        <f>IF($B2116="","",I2116*Q2116/100)</f>
        <v/>
      </c>
      <c r="N2116" s="7" t="n"/>
      <c r="O2116" s="7" t="n"/>
      <c r="P2116" s="7">
        <f>IF($B2116="","",O2116*X2116/100)</f>
        <v/>
      </c>
      <c r="Q2116" s="7">
        <f>IF($B2116="","",O2116-P2116)</f>
        <v/>
      </c>
      <c r="R2116" s="7">
        <f>IF($B2116="","",Q2116-J2116)</f>
        <v/>
      </c>
      <c r="S2116" s="7" t="n"/>
      <c r="T2116" s="7" t="n"/>
      <c r="V2116" s="14" t="n"/>
      <c r="Z2116">
        <f>IF($B2116="","",IF(COUNTIF($B$2:$B2116,$B2116)=1,1,0))</f>
        <v/>
      </c>
      <c r="AA2116">
        <f>IF($Z2116=1,SUMPRODUCT(--($AC$2:$AC$3001&lt;$AC2116))+1,"")</f>
        <v/>
      </c>
      <c r="AB2116">
        <f>IF($B2116="","",IF(OR($Y2116=TRUE(),$Y2116="TRUE"),1,IF(AND($Y2116&lt;&gt;"",OR($Y2116=FALSE(),$Y2116="FALSE")),0,IF(MIN(ABS($X2116/100-Settings!$C$6),ABS($X2116/100-Settings!$G$6))&lt;=MIN(ABS($X2116/100-Settings!$C$7),ABS($X2116/100-Settings!$G$7)),1,0))))</f>
        <v/>
      </c>
      <c r="AC2116">
        <f>IF($Z2116=1,IFERROR(IF(VALUE($B2116)&lt;100000000,VALUE($B2116),1000000000),IFERROR(IF(VALUE(MID($B2116,2,20))&lt;100000000,VALUE(MID($B2116,2,20)),1000000000),1000000000))+ROW()/100000,"")</f>
        <v/>
      </c>
    </row>
    <row r="2117">
      <c r="A2117">
        <f>IF($B2117="","",IFERROR(IF(INDEX('Per Invoice'!$A$2:$A$801,MATCH($B2117,'Per Invoice'!$B$2:$B$801,0))=0,"",INDEX('Per Invoice'!$A$2:$A$801,MATCH($B2117,'Per Invoice'!$B$2:$B$801,0))),""))</f>
        <v/>
      </c>
      <c r="J2117" s="7">
        <f>IF($B2117="","",I2117*Q2117/100)</f>
        <v/>
      </c>
      <c r="N2117" s="7" t="n"/>
      <c r="O2117" s="7" t="n"/>
      <c r="P2117" s="7">
        <f>IF($B2117="","",O2117*X2117/100)</f>
        <v/>
      </c>
      <c r="Q2117" s="7">
        <f>IF($B2117="","",O2117-P2117)</f>
        <v/>
      </c>
      <c r="R2117" s="7">
        <f>IF($B2117="","",Q2117-J2117)</f>
        <v/>
      </c>
      <c r="S2117" s="7" t="n"/>
      <c r="T2117" s="7" t="n"/>
      <c r="V2117" s="14" t="n"/>
      <c r="Z2117">
        <f>IF($B2117="","",IF(COUNTIF($B$2:$B2117,$B2117)=1,1,0))</f>
        <v/>
      </c>
      <c r="AA2117">
        <f>IF($Z2117=1,SUMPRODUCT(--($AC$2:$AC$3001&lt;$AC2117))+1,"")</f>
        <v/>
      </c>
      <c r="AB2117">
        <f>IF($B2117="","",IF(OR($Y2117=TRUE(),$Y2117="TRUE"),1,IF(AND($Y2117&lt;&gt;"",OR($Y2117=FALSE(),$Y2117="FALSE")),0,IF(MIN(ABS($X2117/100-Settings!$C$6),ABS($X2117/100-Settings!$G$6))&lt;=MIN(ABS($X2117/100-Settings!$C$7),ABS($X2117/100-Settings!$G$7)),1,0))))</f>
        <v/>
      </c>
      <c r="AC2117">
        <f>IF($Z2117=1,IFERROR(IF(VALUE($B2117)&lt;100000000,VALUE($B2117),1000000000),IFERROR(IF(VALUE(MID($B2117,2,20))&lt;100000000,VALUE(MID($B2117,2,20)),1000000000),1000000000))+ROW()/100000,"")</f>
        <v/>
      </c>
    </row>
    <row r="2118">
      <c r="A2118">
        <f>IF($B2118="","",IFERROR(IF(INDEX('Per Invoice'!$A$2:$A$801,MATCH($B2118,'Per Invoice'!$B$2:$B$801,0))=0,"",INDEX('Per Invoice'!$A$2:$A$801,MATCH($B2118,'Per Invoice'!$B$2:$B$801,0))),""))</f>
        <v/>
      </c>
      <c r="J2118" s="7">
        <f>IF($B2118="","",I2118*Q2118/100)</f>
        <v/>
      </c>
      <c r="N2118" s="7" t="n"/>
      <c r="O2118" s="7" t="n"/>
      <c r="P2118" s="7">
        <f>IF($B2118="","",O2118*X2118/100)</f>
        <v/>
      </c>
      <c r="Q2118" s="7">
        <f>IF($B2118="","",O2118-P2118)</f>
        <v/>
      </c>
      <c r="R2118" s="7">
        <f>IF($B2118="","",Q2118-J2118)</f>
        <v/>
      </c>
      <c r="S2118" s="7" t="n"/>
      <c r="T2118" s="7" t="n"/>
      <c r="V2118" s="14" t="n"/>
      <c r="Z2118">
        <f>IF($B2118="","",IF(COUNTIF($B$2:$B2118,$B2118)=1,1,0))</f>
        <v/>
      </c>
      <c r="AA2118">
        <f>IF($Z2118=1,SUMPRODUCT(--($AC$2:$AC$3001&lt;$AC2118))+1,"")</f>
        <v/>
      </c>
      <c r="AB2118">
        <f>IF($B2118="","",IF(OR($Y2118=TRUE(),$Y2118="TRUE"),1,IF(AND($Y2118&lt;&gt;"",OR($Y2118=FALSE(),$Y2118="FALSE")),0,IF(MIN(ABS($X2118/100-Settings!$C$6),ABS($X2118/100-Settings!$G$6))&lt;=MIN(ABS($X2118/100-Settings!$C$7),ABS($X2118/100-Settings!$G$7)),1,0))))</f>
        <v/>
      </c>
      <c r="AC2118">
        <f>IF($Z2118=1,IFERROR(IF(VALUE($B2118)&lt;100000000,VALUE($B2118),1000000000),IFERROR(IF(VALUE(MID($B2118,2,20))&lt;100000000,VALUE(MID($B2118,2,20)),1000000000),1000000000))+ROW()/100000,"")</f>
        <v/>
      </c>
    </row>
    <row r="2119">
      <c r="A2119">
        <f>IF($B2119="","",IFERROR(IF(INDEX('Per Invoice'!$A$2:$A$801,MATCH($B2119,'Per Invoice'!$B$2:$B$801,0))=0,"",INDEX('Per Invoice'!$A$2:$A$801,MATCH($B2119,'Per Invoice'!$B$2:$B$801,0))),""))</f>
        <v/>
      </c>
      <c r="J2119" s="7">
        <f>IF($B2119="","",I2119*Q2119/100)</f>
        <v/>
      </c>
      <c r="N2119" s="7" t="n"/>
      <c r="O2119" s="7" t="n"/>
      <c r="P2119" s="7">
        <f>IF($B2119="","",O2119*X2119/100)</f>
        <v/>
      </c>
      <c r="Q2119" s="7">
        <f>IF($B2119="","",O2119-P2119)</f>
        <v/>
      </c>
      <c r="R2119" s="7">
        <f>IF($B2119="","",Q2119-J2119)</f>
        <v/>
      </c>
      <c r="S2119" s="7" t="n"/>
      <c r="T2119" s="7" t="n"/>
      <c r="V2119" s="14" t="n"/>
      <c r="Z2119">
        <f>IF($B2119="","",IF(COUNTIF($B$2:$B2119,$B2119)=1,1,0))</f>
        <v/>
      </c>
      <c r="AA2119">
        <f>IF($Z2119=1,SUMPRODUCT(--($AC$2:$AC$3001&lt;$AC2119))+1,"")</f>
        <v/>
      </c>
      <c r="AB2119">
        <f>IF($B2119="","",IF(OR($Y2119=TRUE(),$Y2119="TRUE"),1,IF(AND($Y2119&lt;&gt;"",OR($Y2119=FALSE(),$Y2119="FALSE")),0,IF(MIN(ABS($X2119/100-Settings!$C$6),ABS($X2119/100-Settings!$G$6))&lt;=MIN(ABS($X2119/100-Settings!$C$7),ABS($X2119/100-Settings!$G$7)),1,0))))</f>
        <v/>
      </c>
      <c r="AC2119">
        <f>IF($Z2119=1,IFERROR(IF(VALUE($B2119)&lt;100000000,VALUE($B2119),1000000000),IFERROR(IF(VALUE(MID($B2119,2,20))&lt;100000000,VALUE(MID($B2119,2,20)),1000000000),1000000000))+ROW()/100000,"")</f>
        <v/>
      </c>
    </row>
    <row r="2120">
      <c r="A2120">
        <f>IF($B2120="","",IFERROR(IF(INDEX('Per Invoice'!$A$2:$A$801,MATCH($B2120,'Per Invoice'!$B$2:$B$801,0))=0,"",INDEX('Per Invoice'!$A$2:$A$801,MATCH($B2120,'Per Invoice'!$B$2:$B$801,0))),""))</f>
        <v/>
      </c>
      <c r="J2120" s="7">
        <f>IF($B2120="","",I2120*Q2120/100)</f>
        <v/>
      </c>
      <c r="N2120" s="7" t="n"/>
      <c r="O2120" s="7" t="n"/>
      <c r="P2120" s="7">
        <f>IF($B2120="","",O2120*X2120/100)</f>
        <v/>
      </c>
      <c r="Q2120" s="7">
        <f>IF($B2120="","",O2120-P2120)</f>
        <v/>
      </c>
      <c r="R2120" s="7">
        <f>IF($B2120="","",Q2120-J2120)</f>
        <v/>
      </c>
      <c r="S2120" s="7" t="n"/>
      <c r="T2120" s="7" t="n"/>
      <c r="V2120" s="14" t="n"/>
      <c r="Z2120">
        <f>IF($B2120="","",IF(COUNTIF($B$2:$B2120,$B2120)=1,1,0))</f>
        <v/>
      </c>
      <c r="AA2120">
        <f>IF($Z2120=1,SUMPRODUCT(--($AC$2:$AC$3001&lt;$AC2120))+1,"")</f>
        <v/>
      </c>
      <c r="AB2120">
        <f>IF($B2120="","",IF(OR($Y2120=TRUE(),$Y2120="TRUE"),1,IF(AND($Y2120&lt;&gt;"",OR($Y2120=FALSE(),$Y2120="FALSE")),0,IF(MIN(ABS($X2120/100-Settings!$C$6),ABS($X2120/100-Settings!$G$6))&lt;=MIN(ABS($X2120/100-Settings!$C$7),ABS($X2120/100-Settings!$G$7)),1,0))))</f>
        <v/>
      </c>
      <c r="AC2120">
        <f>IF($Z2120=1,IFERROR(IF(VALUE($B2120)&lt;100000000,VALUE($B2120),1000000000),IFERROR(IF(VALUE(MID($B2120,2,20))&lt;100000000,VALUE(MID($B2120,2,20)),1000000000),1000000000))+ROW()/100000,"")</f>
        <v/>
      </c>
    </row>
    <row r="2121">
      <c r="A2121">
        <f>IF($B2121="","",IFERROR(IF(INDEX('Per Invoice'!$A$2:$A$801,MATCH($B2121,'Per Invoice'!$B$2:$B$801,0))=0,"",INDEX('Per Invoice'!$A$2:$A$801,MATCH($B2121,'Per Invoice'!$B$2:$B$801,0))),""))</f>
        <v/>
      </c>
      <c r="J2121" s="7">
        <f>IF($B2121="","",I2121*Q2121/100)</f>
        <v/>
      </c>
      <c r="N2121" s="7" t="n"/>
      <c r="O2121" s="7" t="n"/>
      <c r="P2121" s="7">
        <f>IF($B2121="","",O2121*X2121/100)</f>
        <v/>
      </c>
      <c r="Q2121" s="7">
        <f>IF($B2121="","",O2121-P2121)</f>
        <v/>
      </c>
      <c r="R2121" s="7">
        <f>IF($B2121="","",Q2121-J2121)</f>
        <v/>
      </c>
      <c r="S2121" s="7" t="n"/>
      <c r="T2121" s="7" t="n"/>
      <c r="V2121" s="14" t="n"/>
      <c r="Z2121">
        <f>IF($B2121="","",IF(COUNTIF($B$2:$B2121,$B2121)=1,1,0))</f>
        <v/>
      </c>
      <c r="AA2121">
        <f>IF($Z2121=1,SUMPRODUCT(--($AC$2:$AC$3001&lt;$AC2121))+1,"")</f>
        <v/>
      </c>
      <c r="AB2121">
        <f>IF($B2121="","",IF(OR($Y2121=TRUE(),$Y2121="TRUE"),1,IF(AND($Y2121&lt;&gt;"",OR($Y2121=FALSE(),$Y2121="FALSE")),0,IF(MIN(ABS($X2121/100-Settings!$C$6),ABS($X2121/100-Settings!$G$6))&lt;=MIN(ABS($X2121/100-Settings!$C$7),ABS($X2121/100-Settings!$G$7)),1,0))))</f>
        <v/>
      </c>
      <c r="AC2121">
        <f>IF($Z2121=1,IFERROR(IF(VALUE($B2121)&lt;100000000,VALUE($B2121),1000000000),IFERROR(IF(VALUE(MID($B2121,2,20))&lt;100000000,VALUE(MID($B2121,2,20)),1000000000),1000000000))+ROW()/100000,"")</f>
        <v/>
      </c>
    </row>
    <row r="2122">
      <c r="A2122">
        <f>IF($B2122="","",IFERROR(IF(INDEX('Per Invoice'!$A$2:$A$801,MATCH($B2122,'Per Invoice'!$B$2:$B$801,0))=0,"",INDEX('Per Invoice'!$A$2:$A$801,MATCH($B2122,'Per Invoice'!$B$2:$B$801,0))),""))</f>
        <v/>
      </c>
      <c r="J2122" s="7">
        <f>IF($B2122="","",I2122*Q2122/100)</f>
        <v/>
      </c>
      <c r="N2122" s="7" t="n"/>
      <c r="O2122" s="7" t="n"/>
      <c r="P2122" s="7">
        <f>IF($B2122="","",O2122*X2122/100)</f>
        <v/>
      </c>
      <c r="Q2122" s="7">
        <f>IF($B2122="","",O2122-P2122)</f>
        <v/>
      </c>
      <c r="R2122" s="7">
        <f>IF($B2122="","",Q2122-J2122)</f>
        <v/>
      </c>
      <c r="S2122" s="7" t="n"/>
      <c r="T2122" s="7" t="n"/>
      <c r="V2122" s="14" t="n"/>
      <c r="Z2122">
        <f>IF($B2122="","",IF(COUNTIF($B$2:$B2122,$B2122)=1,1,0))</f>
        <v/>
      </c>
      <c r="AA2122">
        <f>IF($Z2122=1,SUMPRODUCT(--($AC$2:$AC$3001&lt;$AC2122))+1,"")</f>
        <v/>
      </c>
      <c r="AB2122">
        <f>IF($B2122="","",IF(OR($Y2122=TRUE(),$Y2122="TRUE"),1,IF(AND($Y2122&lt;&gt;"",OR($Y2122=FALSE(),$Y2122="FALSE")),0,IF(MIN(ABS($X2122/100-Settings!$C$6),ABS($X2122/100-Settings!$G$6))&lt;=MIN(ABS($X2122/100-Settings!$C$7),ABS($X2122/100-Settings!$G$7)),1,0))))</f>
        <v/>
      </c>
      <c r="AC2122">
        <f>IF($Z2122=1,IFERROR(IF(VALUE($B2122)&lt;100000000,VALUE($B2122),1000000000),IFERROR(IF(VALUE(MID($B2122,2,20))&lt;100000000,VALUE(MID($B2122,2,20)),1000000000),1000000000))+ROW()/100000,"")</f>
        <v/>
      </c>
    </row>
    <row r="2123">
      <c r="A2123">
        <f>IF($B2123="","",IFERROR(IF(INDEX('Per Invoice'!$A$2:$A$801,MATCH($B2123,'Per Invoice'!$B$2:$B$801,0))=0,"",INDEX('Per Invoice'!$A$2:$A$801,MATCH($B2123,'Per Invoice'!$B$2:$B$801,0))),""))</f>
        <v/>
      </c>
      <c r="J2123" s="7">
        <f>IF($B2123="","",I2123*Q2123/100)</f>
        <v/>
      </c>
      <c r="N2123" s="7" t="n"/>
      <c r="O2123" s="7" t="n"/>
      <c r="P2123" s="7">
        <f>IF($B2123="","",O2123*X2123/100)</f>
        <v/>
      </c>
      <c r="Q2123" s="7">
        <f>IF($B2123="","",O2123-P2123)</f>
        <v/>
      </c>
      <c r="R2123" s="7">
        <f>IF($B2123="","",Q2123-J2123)</f>
        <v/>
      </c>
      <c r="S2123" s="7" t="n"/>
      <c r="T2123" s="7" t="n"/>
      <c r="V2123" s="14" t="n"/>
      <c r="Z2123">
        <f>IF($B2123="","",IF(COUNTIF($B$2:$B2123,$B2123)=1,1,0))</f>
        <v/>
      </c>
      <c r="AA2123">
        <f>IF($Z2123=1,SUMPRODUCT(--($AC$2:$AC$3001&lt;$AC2123))+1,"")</f>
        <v/>
      </c>
      <c r="AB2123">
        <f>IF($B2123="","",IF(OR($Y2123=TRUE(),$Y2123="TRUE"),1,IF(AND($Y2123&lt;&gt;"",OR($Y2123=FALSE(),$Y2123="FALSE")),0,IF(MIN(ABS($X2123/100-Settings!$C$6),ABS($X2123/100-Settings!$G$6))&lt;=MIN(ABS($X2123/100-Settings!$C$7),ABS($X2123/100-Settings!$G$7)),1,0))))</f>
        <v/>
      </c>
      <c r="AC2123">
        <f>IF($Z2123=1,IFERROR(IF(VALUE($B2123)&lt;100000000,VALUE($B2123),1000000000),IFERROR(IF(VALUE(MID($B2123,2,20))&lt;100000000,VALUE(MID($B2123,2,20)),1000000000),1000000000))+ROW()/100000,"")</f>
        <v/>
      </c>
    </row>
    <row r="2124">
      <c r="A2124">
        <f>IF($B2124="","",IFERROR(IF(INDEX('Per Invoice'!$A$2:$A$801,MATCH($B2124,'Per Invoice'!$B$2:$B$801,0))=0,"",INDEX('Per Invoice'!$A$2:$A$801,MATCH($B2124,'Per Invoice'!$B$2:$B$801,0))),""))</f>
        <v/>
      </c>
      <c r="J2124" s="7">
        <f>IF($B2124="","",I2124*Q2124/100)</f>
        <v/>
      </c>
      <c r="N2124" s="7" t="n"/>
      <c r="O2124" s="7" t="n"/>
      <c r="P2124" s="7">
        <f>IF($B2124="","",O2124*X2124/100)</f>
        <v/>
      </c>
      <c r="Q2124" s="7">
        <f>IF($B2124="","",O2124-P2124)</f>
        <v/>
      </c>
      <c r="R2124" s="7">
        <f>IF($B2124="","",Q2124-J2124)</f>
        <v/>
      </c>
      <c r="S2124" s="7" t="n"/>
      <c r="T2124" s="7" t="n"/>
      <c r="V2124" s="14" t="n"/>
      <c r="Z2124">
        <f>IF($B2124="","",IF(COUNTIF($B$2:$B2124,$B2124)=1,1,0))</f>
        <v/>
      </c>
      <c r="AA2124">
        <f>IF($Z2124=1,SUMPRODUCT(--($AC$2:$AC$3001&lt;$AC2124))+1,"")</f>
        <v/>
      </c>
      <c r="AB2124">
        <f>IF($B2124="","",IF(OR($Y2124=TRUE(),$Y2124="TRUE"),1,IF(AND($Y2124&lt;&gt;"",OR($Y2124=FALSE(),$Y2124="FALSE")),0,IF(MIN(ABS($X2124/100-Settings!$C$6),ABS($X2124/100-Settings!$G$6))&lt;=MIN(ABS($X2124/100-Settings!$C$7),ABS($X2124/100-Settings!$G$7)),1,0))))</f>
        <v/>
      </c>
      <c r="AC2124">
        <f>IF($Z2124=1,IFERROR(IF(VALUE($B2124)&lt;100000000,VALUE($B2124),1000000000),IFERROR(IF(VALUE(MID($B2124,2,20))&lt;100000000,VALUE(MID($B2124,2,20)),1000000000),1000000000))+ROW()/100000,"")</f>
        <v/>
      </c>
    </row>
    <row r="2125">
      <c r="A2125">
        <f>IF($B2125="","",IFERROR(IF(INDEX('Per Invoice'!$A$2:$A$801,MATCH($B2125,'Per Invoice'!$B$2:$B$801,0))=0,"",INDEX('Per Invoice'!$A$2:$A$801,MATCH($B2125,'Per Invoice'!$B$2:$B$801,0))),""))</f>
        <v/>
      </c>
      <c r="J2125" s="7">
        <f>IF($B2125="","",I2125*Q2125/100)</f>
        <v/>
      </c>
      <c r="N2125" s="7" t="n"/>
      <c r="O2125" s="7" t="n"/>
      <c r="P2125" s="7">
        <f>IF($B2125="","",O2125*X2125/100)</f>
        <v/>
      </c>
      <c r="Q2125" s="7">
        <f>IF($B2125="","",O2125-P2125)</f>
        <v/>
      </c>
      <c r="R2125" s="7">
        <f>IF($B2125="","",Q2125-J2125)</f>
        <v/>
      </c>
      <c r="S2125" s="7" t="n"/>
      <c r="T2125" s="7" t="n"/>
      <c r="V2125" s="14" t="n"/>
      <c r="Z2125">
        <f>IF($B2125="","",IF(COUNTIF($B$2:$B2125,$B2125)=1,1,0))</f>
        <v/>
      </c>
      <c r="AA2125">
        <f>IF($Z2125=1,SUMPRODUCT(--($AC$2:$AC$3001&lt;$AC2125))+1,"")</f>
        <v/>
      </c>
      <c r="AB2125">
        <f>IF($B2125="","",IF(OR($Y2125=TRUE(),$Y2125="TRUE"),1,IF(AND($Y2125&lt;&gt;"",OR($Y2125=FALSE(),$Y2125="FALSE")),0,IF(MIN(ABS($X2125/100-Settings!$C$6),ABS($X2125/100-Settings!$G$6))&lt;=MIN(ABS($X2125/100-Settings!$C$7),ABS($X2125/100-Settings!$G$7)),1,0))))</f>
        <v/>
      </c>
      <c r="AC2125">
        <f>IF($Z2125=1,IFERROR(IF(VALUE($B2125)&lt;100000000,VALUE($B2125),1000000000),IFERROR(IF(VALUE(MID($B2125,2,20))&lt;100000000,VALUE(MID($B2125,2,20)),1000000000),1000000000))+ROW()/100000,"")</f>
        <v/>
      </c>
    </row>
    <row r="2126">
      <c r="A2126">
        <f>IF($B2126="","",IFERROR(IF(INDEX('Per Invoice'!$A$2:$A$801,MATCH($B2126,'Per Invoice'!$B$2:$B$801,0))=0,"",INDEX('Per Invoice'!$A$2:$A$801,MATCH($B2126,'Per Invoice'!$B$2:$B$801,0))),""))</f>
        <v/>
      </c>
      <c r="J2126" s="7">
        <f>IF($B2126="","",I2126*Q2126/100)</f>
        <v/>
      </c>
      <c r="N2126" s="7" t="n"/>
      <c r="O2126" s="7" t="n"/>
      <c r="P2126" s="7">
        <f>IF($B2126="","",O2126*X2126/100)</f>
        <v/>
      </c>
      <c r="Q2126" s="7">
        <f>IF($B2126="","",O2126-P2126)</f>
        <v/>
      </c>
      <c r="R2126" s="7">
        <f>IF($B2126="","",Q2126-J2126)</f>
        <v/>
      </c>
      <c r="S2126" s="7" t="n"/>
      <c r="T2126" s="7" t="n"/>
      <c r="V2126" s="14" t="n"/>
      <c r="Z2126">
        <f>IF($B2126="","",IF(COUNTIF($B$2:$B2126,$B2126)=1,1,0))</f>
        <v/>
      </c>
      <c r="AA2126">
        <f>IF($Z2126=1,SUMPRODUCT(--($AC$2:$AC$3001&lt;$AC2126))+1,"")</f>
        <v/>
      </c>
      <c r="AB2126">
        <f>IF($B2126="","",IF(OR($Y2126=TRUE(),$Y2126="TRUE"),1,IF(AND($Y2126&lt;&gt;"",OR($Y2126=FALSE(),$Y2126="FALSE")),0,IF(MIN(ABS($X2126/100-Settings!$C$6),ABS($X2126/100-Settings!$G$6))&lt;=MIN(ABS($X2126/100-Settings!$C$7),ABS($X2126/100-Settings!$G$7)),1,0))))</f>
        <v/>
      </c>
      <c r="AC2126">
        <f>IF($Z2126=1,IFERROR(IF(VALUE($B2126)&lt;100000000,VALUE($B2126),1000000000),IFERROR(IF(VALUE(MID($B2126,2,20))&lt;100000000,VALUE(MID($B2126,2,20)),1000000000),1000000000))+ROW()/100000,"")</f>
        <v/>
      </c>
    </row>
    <row r="2127">
      <c r="A2127">
        <f>IF($B2127="","",IFERROR(IF(INDEX('Per Invoice'!$A$2:$A$801,MATCH($B2127,'Per Invoice'!$B$2:$B$801,0))=0,"",INDEX('Per Invoice'!$A$2:$A$801,MATCH($B2127,'Per Invoice'!$B$2:$B$801,0))),""))</f>
        <v/>
      </c>
      <c r="J2127" s="7">
        <f>IF($B2127="","",I2127*Q2127/100)</f>
        <v/>
      </c>
      <c r="N2127" s="7" t="n"/>
      <c r="O2127" s="7" t="n"/>
      <c r="P2127" s="7">
        <f>IF($B2127="","",O2127*X2127/100)</f>
        <v/>
      </c>
      <c r="Q2127" s="7">
        <f>IF($B2127="","",O2127-P2127)</f>
        <v/>
      </c>
      <c r="R2127" s="7">
        <f>IF($B2127="","",Q2127-J2127)</f>
        <v/>
      </c>
      <c r="S2127" s="7" t="n"/>
      <c r="T2127" s="7" t="n"/>
      <c r="V2127" s="14" t="n"/>
      <c r="Z2127">
        <f>IF($B2127="","",IF(COUNTIF($B$2:$B2127,$B2127)=1,1,0))</f>
        <v/>
      </c>
      <c r="AA2127">
        <f>IF($Z2127=1,SUMPRODUCT(--($AC$2:$AC$3001&lt;$AC2127))+1,"")</f>
        <v/>
      </c>
      <c r="AB2127">
        <f>IF($B2127="","",IF(OR($Y2127=TRUE(),$Y2127="TRUE"),1,IF(AND($Y2127&lt;&gt;"",OR($Y2127=FALSE(),$Y2127="FALSE")),0,IF(MIN(ABS($X2127/100-Settings!$C$6),ABS($X2127/100-Settings!$G$6))&lt;=MIN(ABS($X2127/100-Settings!$C$7),ABS($X2127/100-Settings!$G$7)),1,0))))</f>
        <v/>
      </c>
      <c r="AC2127">
        <f>IF($Z2127=1,IFERROR(IF(VALUE($B2127)&lt;100000000,VALUE($B2127),1000000000),IFERROR(IF(VALUE(MID($B2127,2,20))&lt;100000000,VALUE(MID($B2127,2,20)),1000000000),1000000000))+ROW()/100000,"")</f>
        <v/>
      </c>
    </row>
    <row r="2128">
      <c r="A2128">
        <f>IF($B2128="","",IFERROR(IF(INDEX('Per Invoice'!$A$2:$A$801,MATCH($B2128,'Per Invoice'!$B$2:$B$801,0))=0,"",INDEX('Per Invoice'!$A$2:$A$801,MATCH($B2128,'Per Invoice'!$B$2:$B$801,0))),""))</f>
        <v/>
      </c>
      <c r="J2128" s="7">
        <f>IF($B2128="","",I2128*Q2128/100)</f>
        <v/>
      </c>
      <c r="N2128" s="7" t="n"/>
      <c r="O2128" s="7" t="n"/>
      <c r="P2128" s="7">
        <f>IF($B2128="","",O2128*X2128/100)</f>
        <v/>
      </c>
      <c r="Q2128" s="7">
        <f>IF($B2128="","",O2128-P2128)</f>
        <v/>
      </c>
      <c r="R2128" s="7">
        <f>IF($B2128="","",Q2128-J2128)</f>
        <v/>
      </c>
      <c r="S2128" s="7" t="n"/>
      <c r="T2128" s="7" t="n"/>
      <c r="V2128" s="14" t="n"/>
      <c r="Z2128">
        <f>IF($B2128="","",IF(COUNTIF($B$2:$B2128,$B2128)=1,1,0))</f>
        <v/>
      </c>
      <c r="AA2128">
        <f>IF($Z2128=1,SUMPRODUCT(--($AC$2:$AC$3001&lt;$AC2128))+1,"")</f>
        <v/>
      </c>
      <c r="AB2128">
        <f>IF($B2128="","",IF(OR($Y2128=TRUE(),$Y2128="TRUE"),1,IF(AND($Y2128&lt;&gt;"",OR($Y2128=FALSE(),$Y2128="FALSE")),0,IF(MIN(ABS($X2128/100-Settings!$C$6),ABS($X2128/100-Settings!$G$6))&lt;=MIN(ABS($X2128/100-Settings!$C$7),ABS($X2128/100-Settings!$G$7)),1,0))))</f>
        <v/>
      </c>
      <c r="AC2128">
        <f>IF($Z2128=1,IFERROR(IF(VALUE($B2128)&lt;100000000,VALUE($B2128),1000000000),IFERROR(IF(VALUE(MID($B2128,2,20))&lt;100000000,VALUE(MID($B2128,2,20)),1000000000),1000000000))+ROW()/100000,"")</f>
        <v/>
      </c>
    </row>
    <row r="2129">
      <c r="A2129">
        <f>IF($B2129="","",IFERROR(IF(INDEX('Per Invoice'!$A$2:$A$801,MATCH($B2129,'Per Invoice'!$B$2:$B$801,0))=0,"",INDEX('Per Invoice'!$A$2:$A$801,MATCH($B2129,'Per Invoice'!$B$2:$B$801,0))),""))</f>
        <v/>
      </c>
      <c r="J2129" s="7">
        <f>IF($B2129="","",I2129*Q2129/100)</f>
        <v/>
      </c>
      <c r="N2129" s="7" t="n"/>
      <c r="O2129" s="7" t="n"/>
      <c r="P2129" s="7">
        <f>IF($B2129="","",O2129*X2129/100)</f>
        <v/>
      </c>
      <c r="Q2129" s="7">
        <f>IF($B2129="","",O2129-P2129)</f>
        <v/>
      </c>
      <c r="R2129" s="7">
        <f>IF($B2129="","",Q2129-J2129)</f>
        <v/>
      </c>
      <c r="S2129" s="7" t="n"/>
      <c r="T2129" s="7" t="n"/>
      <c r="V2129" s="14" t="n"/>
      <c r="Z2129">
        <f>IF($B2129="","",IF(COUNTIF($B$2:$B2129,$B2129)=1,1,0))</f>
        <v/>
      </c>
      <c r="AA2129">
        <f>IF($Z2129=1,SUMPRODUCT(--($AC$2:$AC$3001&lt;$AC2129))+1,"")</f>
        <v/>
      </c>
      <c r="AB2129">
        <f>IF($B2129="","",IF(OR($Y2129=TRUE(),$Y2129="TRUE"),1,IF(AND($Y2129&lt;&gt;"",OR($Y2129=FALSE(),$Y2129="FALSE")),0,IF(MIN(ABS($X2129/100-Settings!$C$6),ABS($X2129/100-Settings!$G$6))&lt;=MIN(ABS($X2129/100-Settings!$C$7),ABS($X2129/100-Settings!$G$7)),1,0))))</f>
        <v/>
      </c>
      <c r="AC2129">
        <f>IF($Z2129=1,IFERROR(IF(VALUE($B2129)&lt;100000000,VALUE($B2129),1000000000),IFERROR(IF(VALUE(MID($B2129,2,20))&lt;100000000,VALUE(MID($B2129,2,20)),1000000000),1000000000))+ROW()/100000,"")</f>
        <v/>
      </c>
    </row>
    <row r="2130">
      <c r="A2130">
        <f>IF($B2130="","",IFERROR(IF(INDEX('Per Invoice'!$A$2:$A$801,MATCH($B2130,'Per Invoice'!$B$2:$B$801,0))=0,"",INDEX('Per Invoice'!$A$2:$A$801,MATCH($B2130,'Per Invoice'!$B$2:$B$801,0))),""))</f>
        <v/>
      </c>
      <c r="J2130" s="7">
        <f>IF($B2130="","",I2130*Q2130/100)</f>
        <v/>
      </c>
      <c r="N2130" s="7" t="n"/>
      <c r="O2130" s="7" t="n"/>
      <c r="P2130" s="7">
        <f>IF($B2130="","",O2130*X2130/100)</f>
        <v/>
      </c>
      <c r="Q2130" s="7">
        <f>IF($B2130="","",O2130-P2130)</f>
        <v/>
      </c>
      <c r="R2130" s="7">
        <f>IF($B2130="","",Q2130-J2130)</f>
        <v/>
      </c>
      <c r="S2130" s="7" t="n"/>
      <c r="T2130" s="7" t="n"/>
      <c r="V2130" s="14" t="n"/>
      <c r="Z2130">
        <f>IF($B2130="","",IF(COUNTIF($B$2:$B2130,$B2130)=1,1,0))</f>
        <v/>
      </c>
      <c r="AA2130">
        <f>IF($Z2130=1,SUMPRODUCT(--($AC$2:$AC$3001&lt;$AC2130))+1,"")</f>
        <v/>
      </c>
      <c r="AB2130">
        <f>IF($B2130="","",IF(OR($Y2130=TRUE(),$Y2130="TRUE"),1,IF(AND($Y2130&lt;&gt;"",OR($Y2130=FALSE(),$Y2130="FALSE")),0,IF(MIN(ABS($X2130/100-Settings!$C$6),ABS($X2130/100-Settings!$G$6))&lt;=MIN(ABS($X2130/100-Settings!$C$7),ABS($X2130/100-Settings!$G$7)),1,0))))</f>
        <v/>
      </c>
      <c r="AC2130">
        <f>IF($Z2130=1,IFERROR(IF(VALUE($B2130)&lt;100000000,VALUE($B2130),1000000000),IFERROR(IF(VALUE(MID($B2130,2,20))&lt;100000000,VALUE(MID($B2130,2,20)),1000000000),1000000000))+ROW()/100000,"")</f>
        <v/>
      </c>
    </row>
    <row r="2131">
      <c r="A2131">
        <f>IF($B2131="","",IFERROR(IF(INDEX('Per Invoice'!$A$2:$A$801,MATCH($B2131,'Per Invoice'!$B$2:$B$801,0))=0,"",INDEX('Per Invoice'!$A$2:$A$801,MATCH($B2131,'Per Invoice'!$B$2:$B$801,0))),""))</f>
        <v/>
      </c>
      <c r="J2131" s="7">
        <f>IF($B2131="","",I2131*Q2131/100)</f>
        <v/>
      </c>
      <c r="N2131" s="7" t="n"/>
      <c r="O2131" s="7" t="n"/>
      <c r="P2131" s="7">
        <f>IF($B2131="","",O2131*X2131/100)</f>
        <v/>
      </c>
      <c r="Q2131" s="7">
        <f>IF($B2131="","",O2131-P2131)</f>
        <v/>
      </c>
      <c r="R2131" s="7">
        <f>IF($B2131="","",Q2131-J2131)</f>
        <v/>
      </c>
      <c r="S2131" s="7" t="n"/>
      <c r="T2131" s="7" t="n"/>
      <c r="V2131" s="14" t="n"/>
      <c r="Z2131">
        <f>IF($B2131="","",IF(COUNTIF($B$2:$B2131,$B2131)=1,1,0))</f>
        <v/>
      </c>
      <c r="AA2131">
        <f>IF($Z2131=1,SUMPRODUCT(--($AC$2:$AC$3001&lt;$AC2131))+1,"")</f>
        <v/>
      </c>
      <c r="AB2131">
        <f>IF($B2131="","",IF(OR($Y2131=TRUE(),$Y2131="TRUE"),1,IF(AND($Y2131&lt;&gt;"",OR($Y2131=FALSE(),$Y2131="FALSE")),0,IF(MIN(ABS($X2131/100-Settings!$C$6),ABS($X2131/100-Settings!$G$6))&lt;=MIN(ABS($X2131/100-Settings!$C$7),ABS($X2131/100-Settings!$G$7)),1,0))))</f>
        <v/>
      </c>
      <c r="AC2131">
        <f>IF($Z2131=1,IFERROR(IF(VALUE($B2131)&lt;100000000,VALUE($B2131),1000000000),IFERROR(IF(VALUE(MID($B2131,2,20))&lt;100000000,VALUE(MID($B2131,2,20)),1000000000),1000000000))+ROW()/100000,"")</f>
        <v/>
      </c>
    </row>
    <row r="2132">
      <c r="A2132">
        <f>IF($B2132="","",IFERROR(IF(INDEX('Per Invoice'!$A$2:$A$801,MATCH($B2132,'Per Invoice'!$B$2:$B$801,0))=0,"",INDEX('Per Invoice'!$A$2:$A$801,MATCH($B2132,'Per Invoice'!$B$2:$B$801,0))),""))</f>
        <v/>
      </c>
      <c r="J2132" s="7">
        <f>IF($B2132="","",I2132*Q2132/100)</f>
        <v/>
      </c>
      <c r="N2132" s="7" t="n"/>
      <c r="O2132" s="7" t="n"/>
      <c r="P2132" s="7">
        <f>IF($B2132="","",O2132*X2132/100)</f>
        <v/>
      </c>
      <c r="Q2132" s="7">
        <f>IF($B2132="","",O2132-P2132)</f>
        <v/>
      </c>
      <c r="R2132" s="7">
        <f>IF($B2132="","",Q2132-J2132)</f>
        <v/>
      </c>
      <c r="S2132" s="7" t="n"/>
      <c r="T2132" s="7" t="n"/>
      <c r="V2132" s="14" t="n"/>
      <c r="Z2132">
        <f>IF($B2132="","",IF(COUNTIF($B$2:$B2132,$B2132)=1,1,0))</f>
        <v/>
      </c>
      <c r="AA2132">
        <f>IF($Z2132=1,SUMPRODUCT(--($AC$2:$AC$3001&lt;$AC2132))+1,"")</f>
        <v/>
      </c>
      <c r="AB2132">
        <f>IF($B2132="","",IF(OR($Y2132=TRUE(),$Y2132="TRUE"),1,IF(AND($Y2132&lt;&gt;"",OR($Y2132=FALSE(),$Y2132="FALSE")),0,IF(MIN(ABS($X2132/100-Settings!$C$6),ABS($X2132/100-Settings!$G$6))&lt;=MIN(ABS($X2132/100-Settings!$C$7),ABS($X2132/100-Settings!$G$7)),1,0))))</f>
        <v/>
      </c>
      <c r="AC2132">
        <f>IF($Z2132=1,IFERROR(IF(VALUE($B2132)&lt;100000000,VALUE($B2132),1000000000),IFERROR(IF(VALUE(MID($B2132,2,20))&lt;100000000,VALUE(MID($B2132,2,20)),1000000000),1000000000))+ROW()/100000,"")</f>
        <v/>
      </c>
    </row>
    <row r="2133">
      <c r="A2133">
        <f>IF($B2133="","",IFERROR(IF(INDEX('Per Invoice'!$A$2:$A$801,MATCH($B2133,'Per Invoice'!$B$2:$B$801,0))=0,"",INDEX('Per Invoice'!$A$2:$A$801,MATCH($B2133,'Per Invoice'!$B$2:$B$801,0))),""))</f>
        <v/>
      </c>
      <c r="J2133" s="7">
        <f>IF($B2133="","",I2133*Q2133/100)</f>
        <v/>
      </c>
      <c r="N2133" s="7" t="n"/>
      <c r="O2133" s="7" t="n"/>
      <c r="P2133" s="7">
        <f>IF($B2133="","",O2133*X2133/100)</f>
        <v/>
      </c>
      <c r="Q2133" s="7">
        <f>IF($B2133="","",O2133-P2133)</f>
        <v/>
      </c>
      <c r="R2133" s="7">
        <f>IF($B2133="","",Q2133-J2133)</f>
        <v/>
      </c>
      <c r="S2133" s="7" t="n"/>
      <c r="T2133" s="7" t="n"/>
      <c r="V2133" s="14" t="n"/>
      <c r="Z2133">
        <f>IF($B2133="","",IF(COUNTIF($B$2:$B2133,$B2133)=1,1,0))</f>
        <v/>
      </c>
      <c r="AA2133">
        <f>IF($Z2133=1,SUMPRODUCT(--($AC$2:$AC$3001&lt;$AC2133))+1,"")</f>
        <v/>
      </c>
      <c r="AB2133">
        <f>IF($B2133="","",IF(OR($Y2133=TRUE(),$Y2133="TRUE"),1,IF(AND($Y2133&lt;&gt;"",OR($Y2133=FALSE(),$Y2133="FALSE")),0,IF(MIN(ABS($X2133/100-Settings!$C$6),ABS($X2133/100-Settings!$G$6))&lt;=MIN(ABS($X2133/100-Settings!$C$7),ABS($X2133/100-Settings!$G$7)),1,0))))</f>
        <v/>
      </c>
      <c r="AC2133">
        <f>IF($Z2133=1,IFERROR(IF(VALUE($B2133)&lt;100000000,VALUE($B2133),1000000000),IFERROR(IF(VALUE(MID($B2133,2,20))&lt;100000000,VALUE(MID($B2133,2,20)),1000000000),1000000000))+ROW()/100000,"")</f>
        <v/>
      </c>
    </row>
    <row r="2134">
      <c r="A2134">
        <f>IF($B2134="","",IFERROR(IF(INDEX('Per Invoice'!$A$2:$A$801,MATCH($B2134,'Per Invoice'!$B$2:$B$801,0))=0,"",INDEX('Per Invoice'!$A$2:$A$801,MATCH($B2134,'Per Invoice'!$B$2:$B$801,0))),""))</f>
        <v/>
      </c>
      <c r="J2134" s="7">
        <f>IF($B2134="","",I2134*Q2134/100)</f>
        <v/>
      </c>
      <c r="N2134" s="7" t="n"/>
      <c r="O2134" s="7" t="n"/>
      <c r="P2134" s="7">
        <f>IF($B2134="","",O2134*X2134/100)</f>
        <v/>
      </c>
      <c r="Q2134" s="7">
        <f>IF($B2134="","",O2134-P2134)</f>
        <v/>
      </c>
      <c r="R2134" s="7">
        <f>IF($B2134="","",Q2134-J2134)</f>
        <v/>
      </c>
      <c r="S2134" s="7" t="n"/>
      <c r="T2134" s="7" t="n"/>
      <c r="V2134" s="14" t="n"/>
      <c r="Z2134">
        <f>IF($B2134="","",IF(COUNTIF($B$2:$B2134,$B2134)=1,1,0))</f>
        <v/>
      </c>
      <c r="AA2134">
        <f>IF($Z2134=1,SUMPRODUCT(--($AC$2:$AC$3001&lt;$AC2134))+1,"")</f>
        <v/>
      </c>
      <c r="AB2134">
        <f>IF($B2134="","",IF(OR($Y2134=TRUE(),$Y2134="TRUE"),1,IF(AND($Y2134&lt;&gt;"",OR($Y2134=FALSE(),$Y2134="FALSE")),0,IF(MIN(ABS($X2134/100-Settings!$C$6),ABS($X2134/100-Settings!$G$6))&lt;=MIN(ABS($X2134/100-Settings!$C$7),ABS($X2134/100-Settings!$G$7)),1,0))))</f>
        <v/>
      </c>
      <c r="AC2134">
        <f>IF($Z2134=1,IFERROR(IF(VALUE($B2134)&lt;100000000,VALUE($B2134),1000000000),IFERROR(IF(VALUE(MID($B2134,2,20))&lt;100000000,VALUE(MID($B2134,2,20)),1000000000),1000000000))+ROW()/100000,"")</f>
        <v/>
      </c>
    </row>
    <row r="2135">
      <c r="A2135">
        <f>IF($B2135="","",IFERROR(IF(INDEX('Per Invoice'!$A$2:$A$801,MATCH($B2135,'Per Invoice'!$B$2:$B$801,0))=0,"",INDEX('Per Invoice'!$A$2:$A$801,MATCH($B2135,'Per Invoice'!$B$2:$B$801,0))),""))</f>
        <v/>
      </c>
      <c r="J2135" s="7">
        <f>IF($B2135="","",I2135*Q2135/100)</f>
        <v/>
      </c>
      <c r="N2135" s="7" t="n"/>
      <c r="O2135" s="7" t="n"/>
      <c r="P2135" s="7">
        <f>IF($B2135="","",O2135*X2135/100)</f>
        <v/>
      </c>
      <c r="Q2135" s="7">
        <f>IF($B2135="","",O2135-P2135)</f>
        <v/>
      </c>
      <c r="R2135" s="7">
        <f>IF($B2135="","",Q2135-J2135)</f>
        <v/>
      </c>
      <c r="S2135" s="7" t="n"/>
      <c r="T2135" s="7" t="n"/>
      <c r="V2135" s="14" t="n"/>
      <c r="Z2135">
        <f>IF($B2135="","",IF(COUNTIF($B$2:$B2135,$B2135)=1,1,0))</f>
        <v/>
      </c>
      <c r="AA2135">
        <f>IF($Z2135=1,SUMPRODUCT(--($AC$2:$AC$3001&lt;$AC2135))+1,"")</f>
        <v/>
      </c>
      <c r="AB2135">
        <f>IF($B2135="","",IF(OR($Y2135=TRUE(),$Y2135="TRUE"),1,IF(AND($Y2135&lt;&gt;"",OR($Y2135=FALSE(),$Y2135="FALSE")),0,IF(MIN(ABS($X2135/100-Settings!$C$6),ABS($X2135/100-Settings!$G$6))&lt;=MIN(ABS($X2135/100-Settings!$C$7),ABS($X2135/100-Settings!$G$7)),1,0))))</f>
        <v/>
      </c>
      <c r="AC2135">
        <f>IF($Z2135=1,IFERROR(IF(VALUE($B2135)&lt;100000000,VALUE($B2135),1000000000),IFERROR(IF(VALUE(MID($B2135,2,20))&lt;100000000,VALUE(MID($B2135,2,20)),1000000000),1000000000))+ROW()/100000,"")</f>
        <v/>
      </c>
    </row>
    <row r="2136">
      <c r="A2136">
        <f>IF($B2136="","",IFERROR(IF(INDEX('Per Invoice'!$A$2:$A$801,MATCH($B2136,'Per Invoice'!$B$2:$B$801,0))=0,"",INDEX('Per Invoice'!$A$2:$A$801,MATCH($B2136,'Per Invoice'!$B$2:$B$801,0))),""))</f>
        <v/>
      </c>
      <c r="J2136" s="7">
        <f>IF($B2136="","",I2136*Q2136/100)</f>
        <v/>
      </c>
      <c r="N2136" s="7" t="n"/>
      <c r="O2136" s="7" t="n"/>
      <c r="P2136" s="7">
        <f>IF($B2136="","",O2136*X2136/100)</f>
        <v/>
      </c>
      <c r="Q2136" s="7">
        <f>IF($B2136="","",O2136-P2136)</f>
        <v/>
      </c>
      <c r="R2136" s="7">
        <f>IF($B2136="","",Q2136-J2136)</f>
        <v/>
      </c>
      <c r="S2136" s="7" t="n"/>
      <c r="T2136" s="7" t="n"/>
      <c r="V2136" s="14" t="n"/>
      <c r="Z2136">
        <f>IF($B2136="","",IF(COUNTIF($B$2:$B2136,$B2136)=1,1,0))</f>
        <v/>
      </c>
      <c r="AA2136">
        <f>IF($Z2136=1,SUMPRODUCT(--($AC$2:$AC$3001&lt;$AC2136))+1,"")</f>
        <v/>
      </c>
      <c r="AB2136">
        <f>IF($B2136="","",IF(OR($Y2136=TRUE(),$Y2136="TRUE"),1,IF(AND($Y2136&lt;&gt;"",OR($Y2136=FALSE(),$Y2136="FALSE")),0,IF(MIN(ABS($X2136/100-Settings!$C$6),ABS($X2136/100-Settings!$G$6))&lt;=MIN(ABS($X2136/100-Settings!$C$7),ABS($X2136/100-Settings!$G$7)),1,0))))</f>
        <v/>
      </c>
      <c r="AC2136">
        <f>IF($Z2136=1,IFERROR(IF(VALUE($B2136)&lt;100000000,VALUE($B2136),1000000000),IFERROR(IF(VALUE(MID($B2136,2,20))&lt;100000000,VALUE(MID($B2136,2,20)),1000000000),1000000000))+ROW()/100000,"")</f>
        <v/>
      </c>
    </row>
    <row r="2137">
      <c r="A2137">
        <f>IF($B2137="","",IFERROR(IF(INDEX('Per Invoice'!$A$2:$A$801,MATCH($B2137,'Per Invoice'!$B$2:$B$801,0))=0,"",INDEX('Per Invoice'!$A$2:$A$801,MATCH($B2137,'Per Invoice'!$B$2:$B$801,0))),""))</f>
        <v/>
      </c>
      <c r="J2137" s="7">
        <f>IF($B2137="","",I2137*Q2137/100)</f>
        <v/>
      </c>
      <c r="N2137" s="7" t="n"/>
      <c r="O2137" s="7" t="n"/>
      <c r="P2137" s="7">
        <f>IF($B2137="","",O2137*X2137/100)</f>
        <v/>
      </c>
      <c r="Q2137" s="7">
        <f>IF($B2137="","",O2137-P2137)</f>
        <v/>
      </c>
      <c r="R2137" s="7">
        <f>IF($B2137="","",Q2137-J2137)</f>
        <v/>
      </c>
      <c r="S2137" s="7" t="n"/>
      <c r="T2137" s="7" t="n"/>
      <c r="V2137" s="14" t="n"/>
      <c r="Z2137">
        <f>IF($B2137="","",IF(COUNTIF($B$2:$B2137,$B2137)=1,1,0))</f>
        <v/>
      </c>
      <c r="AA2137">
        <f>IF($Z2137=1,SUMPRODUCT(--($AC$2:$AC$3001&lt;$AC2137))+1,"")</f>
        <v/>
      </c>
      <c r="AB2137">
        <f>IF($B2137="","",IF(OR($Y2137=TRUE(),$Y2137="TRUE"),1,IF(AND($Y2137&lt;&gt;"",OR($Y2137=FALSE(),$Y2137="FALSE")),0,IF(MIN(ABS($X2137/100-Settings!$C$6),ABS($X2137/100-Settings!$G$6))&lt;=MIN(ABS($X2137/100-Settings!$C$7),ABS($X2137/100-Settings!$G$7)),1,0))))</f>
        <v/>
      </c>
      <c r="AC2137">
        <f>IF($Z2137=1,IFERROR(IF(VALUE($B2137)&lt;100000000,VALUE($B2137),1000000000),IFERROR(IF(VALUE(MID($B2137,2,20))&lt;100000000,VALUE(MID($B2137,2,20)),1000000000),1000000000))+ROW()/100000,"")</f>
        <v/>
      </c>
    </row>
    <row r="2138">
      <c r="A2138">
        <f>IF($B2138="","",IFERROR(IF(INDEX('Per Invoice'!$A$2:$A$801,MATCH($B2138,'Per Invoice'!$B$2:$B$801,0))=0,"",INDEX('Per Invoice'!$A$2:$A$801,MATCH($B2138,'Per Invoice'!$B$2:$B$801,0))),""))</f>
        <v/>
      </c>
      <c r="J2138" s="7">
        <f>IF($B2138="","",I2138*Q2138/100)</f>
        <v/>
      </c>
      <c r="N2138" s="7" t="n"/>
      <c r="O2138" s="7" t="n"/>
      <c r="P2138" s="7">
        <f>IF($B2138="","",O2138*X2138/100)</f>
        <v/>
      </c>
      <c r="Q2138" s="7">
        <f>IF($B2138="","",O2138-P2138)</f>
        <v/>
      </c>
      <c r="R2138" s="7">
        <f>IF($B2138="","",Q2138-J2138)</f>
        <v/>
      </c>
      <c r="S2138" s="7" t="n"/>
      <c r="T2138" s="7" t="n"/>
      <c r="V2138" s="14" t="n"/>
      <c r="Z2138">
        <f>IF($B2138="","",IF(COUNTIF($B$2:$B2138,$B2138)=1,1,0))</f>
        <v/>
      </c>
      <c r="AA2138">
        <f>IF($Z2138=1,SUMPRODUCT(--($AC$2:$AC$3001&lt;$AC2138))+1,"")</f>
        <v/>
      </c>
      <c r="AB2138">
        <f>IF($B2138="","",IF(OR($Y2138=TRUE(),$Y2138="TRUE"),1,IF(AND($Y2138&lt;&gt;"",OR($Y2138=FALSE(),$Y2138="FALSE")),0,IF(MIN(ABS($X2138/100-Settings!$C$6),ABS($X2138/100-Settings!$G$6))&lt;=MIN(ABS($X2138/100-Settings!$C$7),ABS($X2138/100-Settings!$G$7)),1,0))))</f>
        <v/>
      </c>
      <c r="AC2138">
        <f>IF($Z2138=1,IFERROR(IF(VALUE($B2138)&lt;100000000,VALUE($B2138),1000000000),IFERROR(IF(VALUE(MID($B2138,2,20))&lt;100000000,VALUE(MID($B2138,2,20)),1000000000),1000000000))+ROW()/100000,"")</f>
        <v/>
      </c>
    </row>
    <row r="2139">
      <c r="A2139">
        <f>IF($B2139="","",IFERROR(IF(INDEX('Per Invoice'!$A$2:$A$801,MATCH($B2139,'Per Invoice'!$B$2:$B$801,0))=0,"",INDEX('Per Invoice'!$A$2:$A$801,MATCH($B2139,'Per Invoice'!$B$2:$B$801,0))),""))</f>
        <v/>
      </c>
      <c r="J2139" s="7">
        <f>IF($B2139="","",I2139*Q2139/100)</f>
        <v/>
      </c>
      <c r="N2139" s="7" t="n"/>
      <c r="O2139" s="7" t="n"/>
      <c r="P2139" s="7">
        <f>IF($B2139="","",O2139*X2139/100)</f>
        <v/>
      </c>
      <c r="Q2139" s="7">
        <f>IF($B2139="","",O2139-P2139)</f>
        <v/>
      </c>
      <c r="R2139" s="7">
        <f>IF($B2139="","",Q2139-J2139)</f>
        <v/>
      </c>
      <c r="S2139" s="7" t="n"/>
      <c r="T2139" s="7" t="n"/>
      <c r="V2139" s="14" t="n"/>
      <c r="Z2139">
        <f>IF($B2139="","",IF(COUNTIF($B$2:$B2139,$B2139)=1,1,0))</f>
        <v/>
      </c>
      <c r="AA2139">
        <f>IF($Z2139=1,SUMPRODUCT(--($AC$2:$AC$3001&lt;$AC2139))+1,"")</f>
        <v/>
      </c>
      <c r="AB2139">
        <f>IF($B2139="","",IF(OR($Y2139=TRUE(),$Y2139="TRUE"),1,IF(AND($Y2139&lt;&gt;"",OR($Y2139=FALSE(),$Y2139="FALSE")),0,IF(MIN(ABS($X2139/100-Settings!$C$6),ABS($X2139/100-Settings!$G$6))&lt;=MIN(ABS($X2139/100-Settings!$C$7),ABS($X2139/100-Settings!$G$7)),1,0))))</f>
        <v/>
      </c>
      <c r="AC2139">
        <f>IF($Z2139=1,IFERROR(IF(VALUE($B2139)&lt;100000000,VALUE($B2139),1000000000),IFERROR(IF(VALUE(MID($B2139,2,20))&lt;100000000,VALUE(MID($B2139,2,20)),1000000000),1000000000))+ROW()/100000,"")</f>
        <v/>
      </c>
    </row>
    <row r="2140">
      <c r="A2140">
        <f>IF($B2140="","",IFERROR(IF(INDEX('Per Invoice'!$A$2:$A$801,MATCH($B2140,'Per Invoice'!$B$2:$B$801,0))=0,"",INDEX('Per Invoice'!$A$2:$A$801,MATCH($B2140,'Per Invoice'!$B$2:$B$801,0))),""))</f>
        <v/>
      </c>
      <c r="J2140" s="7">
        <f>IF($B2140="","",I2140*Q2140/100)</f>
        <v/>
      </c>
      <c r="N2140" s="7" t="n"/>
      <c r="O2140" s="7" t="n"/>
      <c r="P2140" s="7">
        <f>IF($B2140="","",O2140*X2140/100)</f>
        <v/>
      </c>
      <c r="Q2140" s="7">
        <f>IF($B2140="","",O2140-P2140)</f>
        <v/>
      </c>
      <c r="R2140" s="7">
        <f>IF($B2140="","",Q2140-J2140)</f>
        <v/>
      </c>
      <c r="S2140" s="7" t="n"/>
      <c r="T2140" s="7" t="n"/>
      <c r="V2140" s="14" t="n"/>
      <c r="Z2140">
        <f>IF($B2140="","",IF(COUNTIF($B$2:$B2140,$B2140)=1,1,0))</f>
        <v/>
      </c>
      <c r="AA2140">
        <f>IF($Z2140=1,SUMPRODUCT(--($AC$2:$AC$3001&lt;$AC2140))+1,"")</f>
        <v/>
      </c>
      <c r="AB2140">
        <f>IF($B2140="","",IF(OR($Y2140=TRUE(),$Y2140="TRUE"),1,IF(AND($Y2140&lt;&gt;"",OR($Y2140=FALSE(),$Y2140="FALSE")),0,IF(MIN(ABS($X2140/100-Settings!$C$6),ABS($X2140/100-Settings!$G$6))&lt;=MIN(ABS($X2140/100-Settings!$C$7),ABS($X2140/100-Settings!$G$7)),1,0))))</f>
        <v/>
      </c>
      <c r="AC2140">
        <f>IF($Z2140=1,IFERROR(IF(VALUE($B2140)&lt;100000000,VALUE($B2140),1000000000),IFERROR(IF(VALUE(MID($B2140,2,20))&lt;100000000,VALUE(MID($B2140,2,20)),1000000000),1000000000))+ROW()/100000,"")</f>
        <v/>
      </c>
    </row>
    <row r="2141">
      <c r="A2141">
        <f>IF($B2141="","",IFERROR(IF(INDEX('Per Invoice'!$A$2:$A$801,MATCH($B2141,'Per Invoice'!$B$2:$B$801,0))=0,"",INDEX('Per Invoice'!$A$2:$A$801,MATCH($B2141,'Per Invoice'!$B$2:$B$801,0))),""))</f>
        <v/>
      </c>
      <c r="J2141" s="7">
        <f>IF($B2141="","",I2141*Q2141/100)</f>
        <v/>
      </c>
      <c r="N2141" s="7" t="n"/>
      <c r="O2141" s="7" t="n"/>
      <c r="P2141" s="7">
        <f>IF($B2141="","",O2141*X2141/100)</f>
        <v/>
      </c>
      <c r="Q2141" s="7">
        <f>IF($B2141="","",O2141-P2141)</f>
        <v/>
      </c>
      <c r="R2141" s="7">
        <f>IF($B2141="","",Q2141-J2141)</f>
        <v/>
      </c>
      <c r="S2141" s="7" t="n"/>
      <c r="T2141" s="7" t="n"/>
      <c r="V2141" s="14" t="n"/>
      <c r="Z2141">
        <f>IF($B2141="","",IF(COUNTIF($B$2:$B2141,$B2141)=1,1,0))</f>
        <v/>
      </c>
      <c r="AA2141">
        <f>IF($Z2141=1,SUMPRODUCT(--($AC$2:$AC$3001&lt;$AC2141))+1,"")</f>
        <v/>
      </c>
      <c r="AB2141">
        <f>IF($B2141="","",IF(OR($Y2141=TRUE(),$Y2141="TRUE"),1,IF(AND($Y2141&lt;&gt;"",OR($Y2141=FALSE(),$Y2141="FALSE")),0,IF(MIN(ABS($X2141/100-Settings!$C$6),ABS($X2141/100-Settings!$G$6))&lt;=MIN(ABS($X2141/100-Settings!$C$7),ABS($X2141/100-Settings!$G$7)),1,0))))</f>
        <v/>
      </c>
      <c r="AC2141">
        <f>IF($Z2141=1,IFERROR(IF(VALUE($B2141)&lt;100000000,VALUE($B2141),1000000000),IFERROR(IF(VALUE(MID($B2141,2,20))&lt;100000000,VALUE(MID($B2141,2,20)),1000000000),1000000000))+ROW()/100000,"")</f>
        <v/>
      </c>
    </row>
    <row r="2142">
      <c r="A2142">
        <f>IF($B2142="","",IFERROR(IF(INDEX('Per Invoice'!$A$2:$A$801,MATCH($B2142,'Per Invoice'!$B$2:$B$801,0))=0,"",INDEX('Per Invoice'!$A$2:$A$801,MATCH($B2142,'Per Invoice'!$B$2:$B$801,0))),""))</f>
        <v/>
      </c>
      <c r="J2142" s="7">
        <f>IF($B2142="","",I2142*Q2142/100)</f>
        <v/>
      </c>
      <c r="N2142" s="7" t="n"/>
      <c r="O2142" s="7" t="n"/>
      <c r="P2142" s="7">
        <f>IF($B2142="","",O2142*X2142/100)</f>
        <v/>
      </c>
      <c r="Q2142" s="7">
        <f>IF($B2142="","",O2142-P2142)</f>
        <v/>
      </c>
      <c r="R2142" s="7">
        <f>IF($B2142="","",Q2142-J2142)</f>
        <v/>
      </c>
      <c r="S2142" s="7" t="n"/>
      <c r="T2142" s="7" t="n"/>
      <c r="V2142" s="14" t="n"/>
      <c r="Z2142">
        <f>IF($B2142="","",IF(COUNTIF($B$2:$B2142,$B2142)=1,1,0))</f>
        <v/>
      </c>
      <c r="AA2142">
        <f>IF($Z2142=1,SUMPRODUCT(--($AC$2:$AC$3001&lt;$AC2142))+1,"")</f>
        <v/>
      </c>
      <c r="AB2142">
        <f>IF($B2142="","",IF(OR($Y2142=TRUE(),$Y2142="TRUE"),1,IF(AND($Y2142&lt;&gt;"",OR($Y2142=FALSE(),$Y2142="FALSE")),0,IF(MIN(ABS($X2142/100-Settings!$C$6),ABS($X2142/100-Settings!$G$6))&lt;=MIN(ABS($X2142/100-Settings!$C$7),ABS($X2142/100-Settings!$G$7)),1,0))))</f>
        <v/>
      </c>
      <c r="AC2142">
        <f>IF($Z2142=1,IFERROR(IF(VALUE($B2142)&lt;100000000,VALUE($B2142),1000000000),IFERROR(IF(VALUE(MID($B2142,2,20))&lt;100000000,VALUE(MID($B2142,2,20)),1000000000),1000000000))+ROW()/100000,"")</f>
        <v/>
      </c>
    </row>
    <row r="2143">
      <c r="A2143">
        <f>IF($B2143="","",IFERROR(IF(INDEX('Per Invoice'!$A$2:$A$801,MATCH($B2143,'Per Invoice'!$B$2:$B$801,0))=0,"",INDEX('Per Invoice'!$A$2:$A$801,MATCH($B2143,'Per Invoice'!$B$2:$B$801,0))),""))</f>
        <v/>
      </c>
      <c r="J2143" s="7">
        <f>IF($B2143="","",I2143*Q2143/100)</f>
        <v/>
      </c>
      <c r="N2143" s="7" t="n"/>
      <c r="O2143" s="7" t="n"/>
      <c r="P2143" s="7">
        <f>IF($B2143="","",O2143*X2143/100)</f>
        <v/>
      </c>
      <c r="Q2143" s="7">
        <f>IF($B2143="","",O2143-P2143)</f>
        <v/>
      </c>
      <c r="R2143" s="7">
        <f>IF($B2143="","",Q2143-J2143)</f>
        <v/>
      </c>
      <c r="S2143" s="7" t="n"/>
      <c r="T2143" s="7" t="n"/>
      <c r="V2143" s="14" t="n"/>
      <c r="Z2143">
        <f>IF($B2143="","",IF(COUNTIF($B$2:$B2143,$B2143)=1,1,0))</f>
        <v/>
      </c>
      <c r="AA2143">
        <f>IF($Z2143=1,SUMPRODUCT(--($AC$2:$AC$3001&lt;$AC2143))+1,"")</f>
        <v/>
      </c>
      <c r="AB2143">
        <f>IF($B2143="","",IF(OR($Y2143=TRUE(),$Y2143="TRUE"),1,IF(AND($Y2143&lt;&gt;"",OR($Y2143=FALSE(),$Y2143="FALSE")),0,IF(MIN(ABS($X2143/100-Settings!$C$6),ABS($X2143/100-Settings!$G$6))&lt;=MIN(ABS($X2143/100-Settings!$C$7),ABS($X2143/100-Settings!$G$7)),1,0))))</f>
        <v/>
      </c>
      <c r="AC2143">
        <f>IF($Z2143=1,IFERROR(IF(VALUE($B2143)&lt;100000000,VALUE($B2143),1000000000),IFERROR(IF(VALUE(MID($B2143,2,20))&lt;100000000,VALUE(MID($B2143,2,20)),1000000000),1000000000))+ROW()/100000,"")</f>
        <v/>
      </c>
    </row>
    <row r="2144">
      <c r="A2144">
        <f>IF($B2144="","",IFERROR(IF(INDEX('Per Invoice'!$A$2:$A$801,MATCH($B2144,'Per Invoice'!$B$2:$B$801,0))=0,"",INDEX('Per Invoice'!$A$2:$A$801,MATCH($B2144,'Per Invoice'!$B$2:$B$801,0))),""))</f>
        <v/>
      </c>
      <c r="J2144" s="7">
        <f>IF($B2144="","",I2144*Q2144/100)</f>
        <v/>
      </c>
      <c r="N2144" s="7" t="n"/>
      <c r="O2144" s="7" t="n"/>
      <c r="P2144" s="7">
        <f>IF($B2144="","",O2144*X2144/100)</f>
        <v/>
      </c>
      <c r="Q2144" s="7">
        <f>IF($B2144="","",O2144-P2144)</f>
        <v/>
      </c>
      <c r="R2144" s="7">
        <f>IF($B2144="","",Q2144-J2144)</f>
        <v/>
      </c>
      <c r="S2144" s="7" t="n"/>
      <c r="T2144" s="7" t="n"/>
      <c r="V2144" s="14" t="n"/>
      <c r="Z2144">
        <f>IF($B2144="","",IF(COUNTIF($B$2:$B2144,$B2144)=1,1,0))</f>
        <v/>
      </c>
      <c r="AA2144">
        <f>IF($Z2144=1,SUMPRODUCT(--($AC$2:$AC$3001&lt;$AC2144))+1,"")</f>
        <v/>
      </c>
      <c r="AB2144">
        <f>IF($B2144="","",IF(OR($Y2144=TRUE(),$Y2144="TRUE"),1,IF(AND($Y2144&lt;&gt;"",OR($Y2144=FALSE(),$Y2144="FALSE")),0,IF(MIN(ABS($X2144/100-Settings!$C$6),ABS($X2144/100-Settings!$G$6))&lt;=MIN(ABS($X2144/100-Settings!$C$7),ABS($X2144/100-Settings!$G$7)),1,0))))</f>
        <v/>
      </c>
      <c r="AC2144">
        <f>IF($Z2144=1,IFERROR(IF(VALUE($B2144)&lt;100000000,VALUE($B2144),1000000000),IFERROR(IF(VALUE(MID($B2144,2,20))&lt;100000000,VALUE(MID($B2144,2,20)),1000000000),1000000000))+ROW()/100000,"")</f>
        <v/>
      </c>
    </row>
    <row r="2145">
      <c r="A2145">
        <f>IF($B2145="","",IFERROR(IF(INDEX('Per Invoice'!$A$2:$A$801,MATCH($B2145,'Per Invoice'!$B$2:$B$801,0))=0,"",INDEX('Per Invoice'!$A$2:$A$801,MATCH($B2145,'Per Invoice'!$B$2:$B$801,0))),""))</f>
        <v/>
      </c>
      <c r="J2145" s="7">
        <f>IF($B2145="","",I2145*Q2145/100)</f>
        <v/>
      </c>
      <c r="N2145" s="7" t="n"/>
      <c r="O2145" s="7" t="n"/>
      <c r="P2145" s="7">
        <f>IF($B2145="","",O2145*X2145/100)</f>
        <v/>
      </c>
      <c r="Q2145" s="7">
        <f>IF($B2145="","",O2145-P2145)</f>
        <v/>
      </c>
      <c r="R2145" s="7">
        <f>IF($B2145="","",Q2145-J2145)</f>
        <v/>
      </c>
      <c r="S2145" s="7" t="n"/>
      <c r="T2145" s="7" t="n"/>
      <c r="V2145" s="14" t="n"/>
      <c r="Z2145">
        <f>IF($B2145="","",IF(COUNTIF($B$2:$B2145,$B2145)=1,1,0))</f>
        <v/>
      </c>
      <c r="AA2145">
        <f>IF($Z2145=1,SUMPRODUCT(--($AC$2:$AC$3001&lt;$AC2145))+1,"")</f>
        <v/>
      </c>
      <c r="AB2145">
        <f>IF($B2145="","",IF(OR($Y2145=TRUE(),$Y2145="TRUE"),1,IF(AND($Y2145&lt;&gt;"",OR($Y2145=FALSE(),$Y2145="FALSE")),0,IF(MIN(ABS($X2145/100-Settings!$C$6),ABS($X2145/100-Settings!$G$6))&lt;=MIN(ABS($X2145/100-Settings!$C$7),ABS($X2145/100-Settings!$G$7)),1,0))))</f>
        <v/>
      </c>
      <c r="AC2145">
        <f>IF($Z2145=1,IFERROR(IF(VALUE($B2145)&lt;100000000,VALUE($B2145),1000000000),IFERROR(IF(VALUE(MID($B2145,2,20))&lt;100000000,VALUE(MID($B2145,2,20)),1000000000),1000000000))+ROW()/100000,"")</f>
        <v/>
      </c>
    </row>
    <row r="2146">
      <c r="A2146">
        <f>IF($B2146="","",IFERROR(IF(INDEX('Per Invoice'!$A$2:$A$801,MATCH($B2146,'Per Invoice'!$B$2:$B$801,0))=0,"",INDEX('Per Invoice'!$A$2:$A$801,MATCH($B2146,'Per Invoice'!$B$2:$B$801,0))),""))</f>
        <v/>
      </c>
      <c r="J2146" s="7">
        <f>IF($B2146="","",I2146*Q2146/100)</f>
        <v/>
      </c>
      <c r="N2146" s="7" t="n"/>
      <c r="O2146" s="7" t="n"/>
      <c r="P2146" s="7">
        <f>IF($B2146="","",O2146*X2146/100)</f>
        <v/>
      </c>
      <c r="Q2146" s="7">
        <f>IF($B2146="","",O2146-P2146)</f>
        <v/>
      </c>
      <c r="R2146" s="7">
        <f>IF($B2146="","",Q2146-J2146)</f>
        <v/>
      </c>
      <c r="S2146" s="7" t="n"/>
      <c r="T2146" s="7" t="n"/>
      <c r="V2146" s="14" t="n"/>
      <c r="Z2146">
        <f>IF($B2146="","",IF(COUNTIF($B$2:$B2146,$B2146)=1,1,0))</f>
        <v/>
      </c>
      <c r="AA2146">
        <f>IF($Z2146=1,SUMPRODUCT(--($AC$2:$AC$3001&lt;$AC2146))+1,"")</f>
        <v/>
      </c>
      <c r="AB2146">
        <f>IF($B2146="","",IF(OR($Y2146=TRUE(),$Y2146="TRUE"),1,IF(AND($Y2146&lt;&gt;"",OR($Y2146=FALSE(),$Y2146="FALSE")),0,IF(MIN(ABS($X2146/100-Settings!$C$6),ABS($X2146/100-Settings!$G$6))&lt;=MIN(ABS($X2146/100-Settings!$C$7),ABS($X2146/100-Settings!$G$7)),1,0))))</f>
        <v/>
      </c>
      <c r="AC2146">
        <f>IF($Z2146=1,IFERROR(IF(VALUE($B2146)&lt;100000000,VALUE($B2146),1000000000),IFERROR(IF(VALUE(MID($B2146,2,20))&lt;100000000,VALUE(MID($B2146,2,20)),1000000000),1000000000))+ROW()/100000,"")</f>
        <v/>
      </c>
    </row>
    <row r="2147">
      <c r="A2147">
        <f>IF($B2147="","",IFERROR(IF(INDEX('Per Invoice'!$A$2:$A$801,MATCH($B2147,'Per Invoice'!$B$2:$B$801,0))=0,"",INDEX('Per Invoice'!$A$2:$A$801,MATCH($B2147,'Per Invoice'!$B$2:$B$801,0))),""))</f>
        <v/>
      </c>
      <c r="J2147" s="7">
        <f>IF($B2147="","",I2147*Q2147/100)</f>
        <v/>
      </c>
      <c r="N2147" s="7" t="n"/>
      <c r="O2147" s="7" t="n"/>
      <c r="P2147" s="7">
        <f>IF($B2147="","",O2147*X2147/100)</f>
        <v/>
      </c>
      <c r="Q2147" s="7">
        <f>IF($B2147="","",O2147-P2147)</f>
        <v/>
      </c>
      <c r="R2147" s="7">
        <f>IF($B2147="","",Q2147-J2147)</f>
        <v/>
      </c>
      <c r="S2147" s="7" t="n"/>
      <c r="T2147" s="7" t="n"/>
      <c r="V2147" s="14" t="n"/>
      <c r="Z2147">
        <f>IF($B2147="","",IF(COUNTIF($B$2:$B2147,$B2147)=1,1,0))</f>
        <v/>
      </c>
      <c r="AA2147">
        <f>IF($Z2147=1,SUMPRODUCT(--($AC$2:$AC$3001&lt;$AC2147))+1,"")</f>
        <v/>
      </c>
      <c r="AB2147">
        <f>IF($B2147="","",IF(OR($Y2147=TRUE(),$Y2147="TRUE"),1,IF(AND($Y2147&lt;&gt;"",OR($Y2147=FALSE(),$Y2147="FALSE")),0,IF(MIN(ABS($X2147/100-Settings!$C$6),ABS($X2147/100-Settings!$G$6))&lt;=MIN(ABS($X2147/100-Settings!$C$7),ABS($X2147/100-Settings!$G$7)),1,0))))</f>
        <v/>
      </c>
      <c r="AC2147">
        <f>IF($Z2147=1,IFERROR(IF(VALUE($B2147)&lt;100000000,VALUE($B2147),1000000000),IFERROR(IF(VALUE(MID($B2147,2,20))&lt;100000000,VALUE(MID($B2147,2,20)),1000000000),1000000000))+ROW()/100000,"")</f>
        <v/>
      </c>
    </row>
    <row r="2148">
      <c r="A2148">
        <f>IF($B2148="","",IFERROR(IF(INDEX('Per Invoice'!$A$2:$A$801,MATCH($B2148,'Per Invoice'!$B$2:$B$801,0))=0,"",INDEX('Per Invoice'!$A$2:$A$801,MATCH($B2148,'Per Invoice'!$B$2:$B$801,0))),""))</f>
        <v/>
      </c>
      <c r="J2148" s="7">
        <f>IF($B2148="","",I2148*Q2148/100)</f>
        <v/>
      </c>
      <c r="N2148" s="7" t="n"/>
      <c r="O2148" s="7" t="n"/>
      <c r="P2148" s="7">
        <f>IF($B2148="","",O2148*X2148/100)</f>
        <v/>
      </c>
      <c r="Q2148" s="7">
        <f>IF($B2148="","",O2148-P2148)</f>
        <v/>
      </c>
      <c r="R2148" s="7">
        <f>IF($B2148="","",Q2148-J2148)</f>
        <v/>
      </c>
      <c r="S2148" s="7" t="n"/>
      <c r="T2148" s="7" t="n"/>
      <c r="V2148" s="14" t="n"/>
      <c r="Z2148">
        <f>IF($B2148="","",IF(COUNTIF($B$2:$B2148,$B2148)=1,1,0))</f>
        <v/>
      </c>
      <c r="AA2148">
        <f>IF($Z2148=1,SUMPRODUCT(--($AC$2:$AC$3001&lt;$AC2148))+1,"")</f>
        <v/>
      </c>
      <c r="AB2148">
        <f>IF($B2148="","",IF(OR($Y2148=TRUE(),$Y2148="TRUE"),1,IF(AND($Y2148&lt;&gt;"",OR($Y2148=FALSE(),$Y2148="FALSE")),0,IF(MIN(ABS($X2148/100-Settings!$C$6),ABS($X2148/100-Settings!$G$6))&lt;=MIN(ABS($X2148/100-Settings!$C$7),ABS($X2148/100-Settings!$G$7)),1,0))))</f>
        <v/>
      </c>
      <c r="AC2148">
        <f>IF($Z2148=1,IFERROR(IF(VALUE($B2148)&lt;100000000,VALUE($B2148),1000000000),IFERROR(IF(VALUE(MID($B2148,2,20))&lt;100000000,VALUE(MID($B2148,2,20)),1000000000),1000000000))+ROW()/100000,"")</f>
        <v/>
      </c>
    </row>
    <row r="2149">
      <c r="A2149">
        <f>IF($B2149="","",IFERROR(IF(INDEX('Per Invoice'!$A$2:$A$801,MATCH($B2149,'Per Invoice'!$B$2:$B$801,0))=0,"",INDEX('Per Invoice'!$A$2:$A$801,MATCH($B2149,'Per Invoice'!$B$2:$B$801,0))),""))</f>
        <v/>
      </c>
      <c r="J2149" s="7">
        <f>IF($B2149="","",I2149*Q2149/100)</f>
        <v/>
      </c>
      <c r="N2149" s="7" t="n"/>
      <c r="O2149" s="7" t="n"/>
      <c r="P2149" s="7">
        <f>IF($B2149="","",O2149*X2149/100)</f>
        <v/>
      </c>
      <c r="Q2149" s="7">
        <f>IF($B2149="","",O2149-P2149)</f>
        <v/>
      </c>
      <c r="R2149" s="7">
        <f>IF($B2149="","",Q2149-J2149)</f>
        <v/>
      </c>
      <c r="S2149" s="7" t="n"/>
      <c r="T2149" s="7" t="n"/>
      <c r="V2149" s="14" t="n"/>
      <c r="Z2149">
        <f>IF($B2149="","",IF(COUNTIF($B$2:$B2149,$B2149)=1,1,0))</f>
        <v/>
      </c>
      <c r="AA2149">
        <f>IF($Z2149=1,SUMPRODUCT(--($AC$2:$AC$3001&lt;$AC2149))+1,"")</f>
        <v/>
      </c>
      <c r="AB2149">
        <f>IF($B2149="","",IF(OR($Y2149=TRUE(),$Y2149="TRUE"),1,IF(AND($Y2149&lt;&gt;"",OR($Y2149=FALSE(),$Y2149="FALSE")),0,IF(MIN(ABS($X2149/100-Settings!$C$6),ABS($X2149/100-Settings!$G$6))&lt;=MIN(ABS($X2149/100-Settings!$C$7),ABS($X2149/100-Settings!$G$7)),1,0))))</f>
        <v/>
      </c>
      <c r="AC2149">
        <f>IF($Z2149=1,IFERROR(IF(VALUE($B2149)&lt;100000000,VALUE($B2149),1000000000),IFERROR(IF(VALUE(MID($B2149,2,20))&lt;100000000,VALUE(MID($B2149,2,20)),1000000000),1000000000))+ROW()/100000,"")</f>
        <v/>
      </c>
    </row>
    <row r="2150">
      <c r="A2150">
        <f>IF($B2150="","",IFERROR(IF(INDEX('Per Invoice'!$A$2:$A$801,MATCH($B2150,'Per Invoice'!$B$2:$B$801,0))=0,"",INDEX('Per Invoice'!$A$2:$A$801,MATCH($B2150,'Per Invoice'!$B$2:$B$801,0))),""))</f>
        <v/>
      </c>
      <c r="J2150" s="7">
        <f>IF($B2150="","",I2150*Q2150/100)</f>
        <v/>
      </c>
      <c r="N2150" s="7" t="n"/>
      <c r="O2150" s="7" t="n"/>
      <c r="P2150" s="7">
        <f>IF($B2150="","",O2150*X2150/100)</f>
        <v/>
      </c>
      <c r="Q2150" s="7">
        <f>IF($B2150="","",O2150-P2150)</f>
        <v/>
      </c>
      <c r="R2150" s="7">
        <f>IF($B2150="","",Q2150-J2150)</f>
        <v/>
      </c>
      <c r="S2150" s="7" t="n"/>
      <c r="T2150" s="7" t="n"/>
      <c r="V2150" s="14" t="n"/>
      <c r="Z2150">
        <f>IF($B2150="","",IF(COUNTIF($B$2:$B2150,$B2150)=1,1,0))</f>
        <v/>
      </c>
      <c r="AA2150">
        <f>IF($Z2150=1,SUMPRODUCT(--($AC$2:$AC$3001&lt;$AC2150))+1,"")</f>
        <v/>
      </c>
      <c r="AB2150">
        <f>IF($B2150="","",IF(OR($Y2150=TRUE(),$Y2150="TRUE"),1,IF(AND($Y2150&lt;&gt;"",OR($Y2150=FALSE(),$Y2150="FALSE")),0,IF(MIN(ABS($X2150/100-Settings!$C$6),ABS($X2150/100-Settings!$G$6))&lt;=MIN(ABS($X2150/100-Settings!$C$7),ABS($X2150/100-Settings!$G$7)),1,0))))</f>
        <v/>
      </c>
      <c r="AC2150">
        <f>IF($Z2150=1,IFERROR(IF(VALUE($B2150)&lt;100000000,VALUE($B2150),1000000000),IFERROR(IF(VALUE(MID($B2150,2,20))&lt;100000000,VALUE(MID($B2150,2,20)),1000000000),1000000000))+ROW()/100000,"")</f>
        <v/>
      </c>
    </row>
    <row r="2151">
      <c r="A2151">
        <f>IF($B2151="","",IFERROR(IF(INDEX('Per Invoice'!$A$2:$A$801,MATCH($B2151,'Per Invoice'!$B$2:$B$801,0))=0,"",INDEX('Per Invoice'!$A$2:$A$801,MATCH($B2151,'Per Invoice'!$B$2:$B$801,0))),""))</f>
        <v/>
      </c>
      <c r="J2151" s="7">
        <f>IF($B2151="","",I2151*Q2151/100)</f>
        <v/>
      </c>
      <c r="N2151" s="7" t="n"/>
      <c r="O2151" s="7" t="n"/>
      <c r="P2151" s="7">
        <f>IF($B2151="","",O2151*X2151/100)</f>
        <v/>
      </c>
      <c r="Q2151" s="7">
        <f>IF($B2151="","",O2151-P2151)</f>
        <v/>
      </c>
      <c r="R2151" s="7">
        <f>IF($B2151="","",Q2151-J2151)</f>
        <v/>
      </c>
      <c r="S2151" s="7" t="n"/>
      <c r="T2151" s="7" t="n"/>
      <c r="V2151" s="14" t="n"/>
      <c r="Z2151">
        <f>IF($B2151="","",IF(COUNTIF($B$2:$B2151,$B2151)=1,1,0))</f>
        <v/>
      </c>
      <c r="AA2151">
        <f>IF($Z2151=1,SUMPRODUCT(--($AC$2:$AC$3001&lt;$AC2151))+1,"")</f>
        <v/>
      </c>
      <c r="AB2151">
        <f>IF($B2151="","",IF(OR($Y2151=TRUE(),$Y2151="TRUE"),1,IF(AND($Y2151&lt;&gt;"",OR($Y2151=FALSE(),$Y2151="FALSE")),0,IF(MIN(ABS($X2151/100-Settings!$C$6),ABS($X2151/100-Settings!$G$6))&lt;=MIN(ABS($X2151/100-Settings!$C$7),ABS($X2151/100-Settings!$G$7)),1,0))))</f>
        <v/>
      </c>
      <c r="AC2151">
        <f>IF($Z2151=1,IFERROR(IF(VALUE($B2151)&lt;100000000,VALUE($B2151),1000000000),IFERROR(IF(VALUE(MID($B2151,2,20))&lt;100000000,VALUE(MID($B2151,2,20)),1000000000),1000000000))+ROW()/100000,"")</f>
        <v/>
      </c>
    </row>
    <row r="2152">
      <c r="A2152">
        <f>IF($B2152="","",IFERROR(IF(INDEX('Per Invoice'!$A$2:$A$801,MATCH($B2152,'Per Invoice'!$B$2:$B$801,0))=0,"",INDEX('Per Invoice'!$A$2:$A$801,MATCH($B2152,'Per Invoice'!$B$2:$B$801,0))),""))</f>
        <v/>
      </c>
      <c r="J2152" s="7">
        <f>IF($B2152="","",I2152*Q2152/100)</f>
        <v/>
      </c>
      <c r="N2152" s="7" t="n"/>
      <c r="O2152" s="7" t="n"/>
      <c r="P2152" s="7">
        <f>IF($B2152="","",O2152*X2152/100)</f>
        <v/>
      </c>
      <c r="Q2152" s="7">
        <f>IF($B2152="","",O2152-P2152)</f>
        <v/>
      </c>
      <c r="R2152" s="7">
        <f>IF($B2152="","",Q2152-J2152)</f>
        <v/>
      </c>
      <c r="S2152" s="7" t="n"/>
      <c r="T2152" s="7" t="n"/>
      <c r="V2152" s="14" t="n"/>
      <c r="Z2152">
        <f>IF($B2152="","",IF(COUNTIF($B$2:$B2152,$B2152)=1,1,0))</f>
        <v/>
      </c>
      <c r="AA2152">
        <f>IF($Z2152=1,SUMPRODUCT(--($AC$2:$AC$3001&lt;$AC2152))+1,"")</f>
        <v/>
      </c>
      <c r="AB2152">
        <f>IF($B2152="","",IF(OR($Y2152=TRUE(),$Y2152="TRUE"),1,IF(AND($Y2152&lt;&gt;"",OR($Y2152=FALSE(),$Y2152="FALSE")),0,IF(MIN(ABS($X2152/100-Settings!$C$6),ABS($X2152/100-Settings!$G$6))&lt;=MIN(ABS($X2152/100-Settings!$C$7),ABS($X2152/100-Settings!$G$7)),1,0))))</f>
        <v/>
      </c>
      <c r="AC2152">
        <f>IF($Z2152=1,IFERROR(IF(VALUE($B2152)&lt;100000000,VALUE($B2152),1000000000),IFERROR(IF(VALUE(MID($B2152,2,20))&lt;100000000,VALUE(MID($B2152,2,20)),1000000000),1000000000))+ROW()/100000,"")</f>
        <v/>
      </c>
    </row>
    <row r="2153">
      <c r="A2153">
        <f>IF($B2153="","",IFERROR(IF(INDEX('Per Invoice'!$A$2:$A$801,MATCH($B2153,'Per Invoice'!$B$2:$B$801,0))=0,"",INDEX('Per Invoice'!$A$2:$A$801,MATCH($B2153,'Per Invoice'!$B$2:$B$801,0))),""))</f>
        <v/>
      </c>
      <c r="J2153" s="7">
        <f>IF($B2153="","",I2153*Q2153/100)</f>
        <v/>
      </c>
      <c r="N2153" s="7" t="n"/>
      <c r="O2153" s="7" t="n"/>
      <c r="P2153" s="7">
        <f>IF($B2153="","",O2153*X2153/100)</f>
        <v/>
      </c>
      <c r="Q2153" s="7">
        <f>IF($B2153="","",O2153-P2153)</f>
        <v/>
      </c>
      <c r="R2153" s="7">
        <f>IF($B2153="","",Q2153-J2153)</f>
        <v/>
      </c>
      <c r="S2153" s="7" t="n"/>
      <c r="T2153" s="7" t="n"/>
      <c r="V2153" s="14" t="n"/>
      <c r="Z2153">
        <f>IF($B2153="","",IF(COUNTIF($B$2:$B2153,$B2153)=1,1,0))</f>
        <v/>
      </c>
      <c r="AA2153">
        <f>IF($Z2153=1,SUMPRODUCT(--($AC$2:$AC$3001&lt;$AC2153))+1,"")</f>
        <v/>
      </c>
      <c r="AB2153">
        <f>IF($B2153="","",IF(OR($Y2153=TRUE(),$Y2153="TRUE"),1,IF(AND($Y2153&lt;&gt;"",OR($Y2153=FALSE(),$Y2153="FALSE")),0,IF(MIN(ABS($X2153/100-Settings!$C$6),ABS($X2153/100-Settings!$G$6))&lt;=MIN(ABS($X2153/100-Settings!$C$7),ABS($X2153/100-Settings!$G$7)),1,0))))</f>
        <v/>
      </c>
      <c r="AC2153">
        <f>IF($Z2153=1,IFERROR(IF(VALUE($B2153)&lt;100000000,VALUE($B2153),1000000000),IFERROR(IF(VALUE(MID($B2153,2,20))&lt;100000000,VALUE(MID($B2153,2,20)),1000000000),1000000000))+ROW()/100000,"")</f>
        <v/>
      </c>
    </row>
    <row r="2154">
      <c r="A2154">
        <f>IF($B2154="","",IFERROR(IF(INDEX('Per Invoice'!$A$2:$A$801,MATCH($B2154,'Per Invoice'!$B$2:$B$801,0))=0,"",INDEX('Per Invoice'!$A$2:$A$801,MATCH($B2154,'Per Invoice'!$B$2:$B$801,0))),""))</f>
        <v/>
      </c>
      <c r="J2154" s="7">
        <f>IF($B2154="","",I2154*Q2154/100)</f>
        <v/>
      </c>
      <c r="N2154" s="7" t="n"/>
      <c r="O2154" s="7" t="n"/>
      <c r="P2154" s="7">
        <f>IF($B2154="","",O2154*X2154/100)</f>
        <v/>
      </c>
      <c r="Q2154" s="7">
        <f>IF($B2154="","",O2154-P2154)</f>
        <v/>
      </c>
      <c r="R2154" s="7">
        <f>IF($B2154="","",Q2154-J2154)</f>
        <v/>
      </c>
      <c r="S2154" s="7" t="n"/>
      <c r="T2154" s="7" t="n"/>
      <c r="V2154" s="14" t="n"/>
      <c r="Z2154">
        <f>IF($B2154="","",IF(COUNTIF($B$2:$B2154,$B2154)=1,1,0))</f>
        <v/>
      </c>
      <c r="AA2154">
        <f>IF($Z2154=1,SUMPRODUCT(--($AC$2:$AC$3001&lt;$AC2154))+1,"")</f>
        <v/>
      </c>
      <c r="AB2154">
        <f>IF($B2154="","",IF(OR($Y2154=TRUE(),$Y2154="TRUE"),1,IF(AND($Y2154&lt;&gt;"",OR($Y2154=FALSE(),$Y2154="FALSE")),0,IF(MIN(ABS($X2154/100-Settings!$C$6),ABS($X2154/100-Settings!$G$6))&lt;=MIN(ABS($X2154/100-Settings!$C$7),ABS($X2154/100-Settings!$G$7)),1,0))))</f>
        <v/>
      </c>
      <c r="AC2154">
        <f>IF($Z2154=1,IFERROR(IF(VALUE($B2154)&lt;100000000,VALUE($B2154),1000000000),IFERROR(IF(VALUE(MID($B2154,2,20))&lt;100000000,VALUE(MID($B2154,2,20)),1000000000),1000000000))+ROW()/100000,"")</f>
        <v/>
      </c>
    </row>
    <row r="2155">
      <c r="A2155">
        <f>IF($B2155="","",IFERROR(IF(INDEX('Per Invoice'!$A$2:$A$801,MATCH($B2155,'Per Invoice'!$B$2:$B$801,0))=0,"",INDEX('Per Invoice'!$A$2:$A$801,MATCH($B2155,'Per Invoice'!$B$2:$B$801,0))),""))</f>
        <v/>
      </c>
      <c r="J2155" s="7">
        <f>IF($B2155="","",I2155*Q2155/100)</f>
        <v/>
      </c>
      <c r="N2155" s="7" t="n"/>
      <c r="O2155" s="7" t="n"/>
      <c r="P2155" s="7">
        <f>IF($B2155="","",O2155*X2155/100)</f>
        <v/>
      </c>
      <c r="Q2155" s="7">
        <f>IF($B2155="","",O2155-P2155)</f>
        <v/>
      </c>
      <c r="R2155" s="7">
        <f>IF($B2155="","",Q2155-J2155)</f>
        <v/>
      </c>
      <c r="S2155" s="7" t="n"/>
      <c r="T2155" s="7" t="n"/>
      <c r="V2155" s="14" t="n"/>
      <c r="Z2155">
        <f>IF($B2155="","",IF(COUNTIF($B$2:$B2155,$B2155)=1,1,0))</f>
        <v/>
      </c>
      <c r="AA2155">
        <f>IF($Z2155=1,SUMPRODUCT(--($AC$2:$AC$3001&lt;$AC2155))+1,"")</f>
        <v/>
      </c>
      <c r="AB2155">
        <f>IF($B2155="","",IF(OR($Y2155=TRUE(),$Y2155="TRUE"),1,IF(AND($Y2155&lt;&gt;"",OR($Y2155=FALSE(),$Y2155="FALSE")),0,IF(MIN(ABS($X2155/100-Settings!$C$6),ABS($X2155/100-Settings!$G$6))&lt;=MIN(ABS($X2155/100-Settings!$C$7),ABS($X2155/100-Settings!$G$7)),1,0))))</f>
        <v/>
      </c>
      <c r="AC2155">
        <f>IF($Z2155=1,IFERROR(IF(VALUE($B2155)&lt;100000000,VALUE($B2155),1000000000),IFERROR(IF(VALUE(MID($B2155,2,20))&lt;100000000,VALUE(MID($B2155,2,20)),1000000000),1000000000))+ROW()/100000,"")</f>
        <v/>
      </c>
    </row>
    <row r="2156">
      <c r="A2156">
        <f>IF($B2156="","",IFERROR(IF(INDEX('Per Invoice'!$A$2:$A$801,MATCH($B2156,'Per Invoice'!$B$2:$B$801,0))=0,"",INDEX('Per Invoice'!$A$2:$A$801,MATCH($B2156,'Per Invoice'!$B$2:$B$801,0))),""))</f>
        <v/>
      </c>
      <c r="J2156" s="7">
        <f>IF($B2156="","",I2156*Q2156/100)</f>
        <v/>
      </c>
      <c r="N2156" s="7" t="n"/>
      <c r="O2156" s="7" t="n"/>
      <c r="P2156" s="7">
        <f>IF($B2156="","",O2156*X2156/100)</f>
        <v/>
      </c>
      <c r="Q2156" s="7">
        <f>IF($B2156="","",O2156-P2156)</f>
        <v/>
      </c>
      <c r="R2156" s="7">
        <f>IF($B2156="","",Q2156-J2156)</f>
        <v/>
      </c>
      <c r="S2156" s="7" t="n"/>
      <c r="T2156" s="7" t="n"/>
      <c r="V2156" s="14" t="n"/>
      <c r="Z2156">
        <f>IF($B2156="","",IF(COUNTIF($B$2:$B2156,$B2156)=1,1,0))</f>
        <v/>
      </c>
      <c r="AA2156">
        <f>IF($Z2156=1,SUMPRODUCT(--($AC$2:$AC$3001&lt;$AC2156))+1,"")</f>
        <v/>
      </c>
      <c r="AB2156">
        <f>IF($B2156="","",IF(OR($Y2156=TRUE(),$Y2156="TRUE"),1,IF(AND($Y2156&lt;&gt;"",OR($Y2156=FALSE(),$Y2156="FALSE")),0,IF(MIN(ABS($X2156/100-Settings!$C$6),ABS($X2156/100-Settings!$G$6))&lt;=MIN(ABS($X2156/100-Settings!$C$7),ABS($X2156/100-Settings!$G$7)),1,0))))</f>
        <v/>
      </c>
      <c r="AC2156">
        <f>IF($Z2156=1,IFERROR(IF(VALUE($B2156)&lt;100000000,VALUE($B2156),1000000000),IFERROR(IF(VALUE(MID($B2156,2,20))&lt;100000000,VALUE(MID($B2156,2,20)),1000000000),1000000000))+ROW()/100000,"")</f>
        <v/>
      </c>
    </row>
    <row r="2157">
      <c r="A2157">
        <f>IF($B2157="","",IFERROR(IF(INDEX('Per Invoice'!$A$2:$A$801,MATCH($B2157,'Per Invoice'!$B$2:$B$801,0))=0,"",INDEX('Per Invoice'!$A$2:$A$801,MATCH($B2157,'Per Invoice'!$B$2:$B$801,0))),""))</f>
        <v/>
      </c>
      <c r="J2157" s="7">
        <f>IF($B2157="","",I2157*Q2157/100)</f>
        <v/>
      </c>
      <c r="N2157" s="7" t="n"/>
      <c r="O2157" s="7" t="n"/>
      <c r="P2157" s="7">
        <f>IF($B2157="","",O2157*X2157/100)</f>
        <v/>
      </c>
      <c r="Q2157" s="7">
        <f>IF($B2157="","",O2157-P2157)</f>
        <v/>
      </c>
      <c r="R2157" s="7">
        <f>IF($B2157="","",Q2157-J2157)</f>
        <v/>
      </c>
      <c r="S2157" s="7" t="n"/>
      <c r="T2157" s="7" t="n"/>
      <c r="V2157" s="14" t="n"/>
      <c r="Z2157">
        <f>IF($B2157="","",IF(COUNTIF($B$2:$B2157,$B2157)=1,1,0))</f>
        <v/>
      </c>
      <c r="AA2157">
        <f>IF($Z2157=1,SUMPRODUCT(--($AC$2:$AC$3001&lt;$AC2157))+1,"")</f>
        <v/>
      </c>
      <c r="AB2157">
        <f>IF($B2157="","",IF(OR($Y2157=TRUE(),$Y2157="TRUE"),1,IF(AND($Y2157&lt;&gt;"",OR($Y2157=FALSE(),$Y2157="FALSE")),0,IF(MIN(ABS($X2157/100-Settings!$C$6),ABS($X2157/100-Settings!$G$6))&lt;=MIN(ABS($X2157/100-Settings!$C$7),ABS($X2157/100-Settings!$G$7)),1,0))))</f>
        <v/>
      </c>
      <c r="AC2157">
        <f>IF($Z2157=1,IFERROR(IF(VALUE($B2157)&lt;100000000,VALUE($B2157),1000000000),IFERROR(IF(VALUE(MID($B2157,2,20))&lt;100000000,VALUE(MID($B2157,2,20)),1000000000),1000000000))+ROW()/100000,"")</f>
        <v/>
      </c>
    </row>
    <row r="2158">
      <c r="A2158">
        <f>IF($B2158="","",IFERROR(IF(INDEX('Per Invoice'!$A$2:$A$801,MATCH($B2158,'Per Invoice'!$B$2:$B$801,0))=0,"",INDEX('Per Invoice'!$A$2:$A$801,MATCH($B2158,'Per Invoice'!$B$2:$B$801,0))),""))</f>
        <v/>
      </c>
      <c r="J2158" s="7">
        <f>IF($B2158="","",I2158*Q2158/100)</f>
        <v/>
      </c>
      <c r="N2158" s="7" t="n"/>
      <c r="O2158" s="7" t="n"/>
      <c r="P2158" s="7">
        <f>IF($B2158="","",O2158*X2158/100)</f>
        <v/>
      </c>
      <c r="Q2158" s="7">
        <f>IF($B2158="","",O2158-P2158)</f>
        <v/>
      </c>
      <c r="R2158" s="7">
        <f>IF($B2158="","",Q2158-J2158)</f>
        <v/>
      </c>
      <c r="S2158" s="7" t="n"/>
      <c r="T2158" s="7" t="n"/>
      <c r="V2158" s="14" t="n"/>
      <c r="Z2158">
        <f>IF($B2158="","",IF(COUNTIF($B$2:$B2158,$B2158)=1,1,0))</f>
        <v/>
      </c>
      <c r="AA2158">
        <f>IF($Z2158=1,SUMPRODUCT(--($AC$2:$AC$3001&lt;$AC2158))+1,"")</f>
        <v/>
      </c>
      <c r="AB2158">
        <f>IF($B2158="","",IF(OR($Y2158=TRUE(),$Y2158="TRUE"),1,IF(AND($Y2158&lt;&gt;"",OR($Y2158=FALSE(),$Y2158="FALSE")),0,IF(MIN(ABS($X2158/100-Settings!$C$6),ABS($X2158/100-Settings!$G$6))&lt;=MIN(ABS($X2158/100-Settings!$C$7),ABS($X2158/100-Settings!$G$7)),1,0))))</f>
        <v/>
      </c>
      <c r="AC2158">
        <f>IF($Z2158=1,IFERROR(IF(VALUE($B2158)&lt;100000000,VALUE($B2158),1000000000),IFERROR(IF(VALUE(MID($B2158,2,20))&lt;100000000,VALUE(MID($B2158,2,20)),1000000000),1000000000))+ROW()/100000,"")</f>
        <v/>
      </c>
    </row>
    <row r="2159">
      <c r="A2159">
        <f>IF($B2159="","",IFERROR(IF(INDEX('Per Invoice'!$A$2:$A$801,MATCH($B2159,'Per Invoice'!$B$2:$B$801,0))=0,"",INDEX('Per Invoice'!$A$2:$A$801,MATCH($B2159,'Per Invoice'!$B$2:$B$801,0))),""))</f>
        <v/>
      </c>
      <c r="J2159" s="7">
        <f>IF($B2159="","",I2159*Q2159/100)</f>
        <v/>
      </c>
      <c r="N2159" s="7" t="n"/>
      <c r="O2159" s="7" t="n"/>
      <c r="P2159" s="7">
        <f>IF($B2159="","",O2159*X2159/100)</f>
        <v/>
      </c>
      <c r="Q2159" s="7">
        <f>IF($B2159="","",O2159-P2159)</f>
        <v/>
      </c>
      <c r="R2159" s="7">
        <f>IF($B2159="","",Q2159-J2159)</f>
        <v/>
      </c>
      <c r="S2159" s="7" t="n"/>
      <c r="T2159" s="7" t="n"/>
      <c r="V2159" s="14" t="n"/>
      <c r="Z2159">
        <f>IF($B2159="","",IF(COUNTIF($B$2:$B2159,$B2159)=1,1,0))</f>
        <v/>
      </c>
      <c r="AA2159">
        <f>IF($Z2159=1,SUMPRODUCT(--($AC$2:$AC$3001&lt;$AC2159))+1,"")</f>
        <v/>
      </c>
      <c r="AB2159">
        <f>IF($B2159="","",IF(OR($Y2159=TRUE(),$Y2159="TRUE"),1,IF(AND($Y2159&lt;&gt;"",OR($Y2159=FALSE(),$Y2159="FALSE")),0,IF(MIN(ABS($X2159/100-Settings!$C$6),ABS($X2159/100-Settings!$G$6))&lt;=MIN(ABS($X2159/100-Settings!$C$7),ABS($X2159/100-Settings!$G$7)),1,0))))</f>
        <v/>
      </c>
      <c r="AC2159">
        <f>IF($Z2159=1,IFERROR(IF(VALUE($B2159)&lt;100000000,VALUE($B2159),1000000000),IFERROR(IF(VALUE(MID($B2159,2,20))&lt;100000000,VALUE(MID($B2159,2,20)),1000000000),1000000000))+ROW()/100000,"")</f>
        <v/>
      </c>
    </row>
    <row r="2160">
      <c r="A2160">
        <f>IF($B2160="","",IFERROR(IF(INDEX('Per Invoice'!$A$2:$A$801,MATCH($B2160,'Per Invoice'!$B$2:$B$801,0))=0,"",INDEX('Per Invoice'!$A$2:$A$801,MATCH($B2160,'Per Invoice'!$B$2:$B$801,0))),""))</f>
        <v/>
      </c>
      <c r="J2160" s="7">
        <f>IF($B2160="","",I2160*Q2160/100)</f>
        <v/>
      </c>
      <c r="N2160" s="7" t="n"/>
      <c r="O2160" s="7" t="n"/>
      <c r="P2160" s="7">
        <f>IF($B2160="","",O2160*X2160/100)</f>
        <v/>
      </c>
      <c r="Q2160" s="7">
        <f>IF($B2160="","",O2160-P2160)</f>
        <v/>
      </c>
      <c r="R2160" s="7">
        <f>IF($B2160="","",Q2160-J2160)</f>
        <v/>
      </c>
      <c r="S2160" s="7" t="n"/>
      <c r="T2160" s="7" t="n"/>
      <c r="V2160" s="14" t="n"/>
      <c r="Z2160">
        <f>IF($B2160="","",IF(COUNTIF($B$2:$B2160,$B2160)=1,1,0))</f>
        <v/>
      </c>
      <c r="AA2160">
        <f>IF($Z2160=1,SUMPRODUCT(--($AC$2:$AC$3001&lt;$AC2160))+1,"")</f>
        <v/>
      </c>
      <c r="AB2160">
        <f>IF($B2160="","",IF(OR($Y2160=TRUE(),$Y2160="TRUE"),1,IF(AND($Y2160&lt;&gt;"",OR($Y2160=FALSE(),$Y2160="FALSE")),0,IF(MIN(ABS($X2160/100-Settings!$C$6),ABS($X2160/100-Settings!$G$6))&lt;=MIN(ABS($X2160/100-Settings!$C$7),ABS($X2160/100-Settings!$G$7)),1,0))))</f>
        <v/>
      </c>
      <c r="AC2160">
        <f>IF($Z2160=1,IFERROR(IF(VALUE($B2160)&lt;100000000,VALUE($B2160),1000000000),IFERROR(IF(VALUE(MID($B2160,2,20))&lt;100000000,VALUE(MID($B2160,2,20)),1000000000),1000000000))+ROW()/100000,"")</f>
        <v/>
      </c>
    </row>
    <row r="2161">
      <c r="A2161">
        <f>IF($B2161="","",IFERROR(IF(INDEX('Per Invoice'!$A$2:$A$801,MATCH($B2161,'Per Invoice'!$B$2:$B$801,0))=0,"",INDEX('Per Invoice'!$A$2:$A$801,MATCH($B2161,'Per Invoice'!$B$2:$B$801,0))),""))</f>
        <v/>
      </c>
      <c r="J2161" s="7">
        <f>IF($B2161="","",I2161*Q2161/100)</f>
        <v/>
      </c>
      <c r="N2161" s="7" t="n"/>
      <c r="O2161" s="7" t="n"/>
      <c r="P2161" s="7">
        <f>IF($B2161="","",O2161*X2161/100)</f>
        <v/>
      </c>
      <c r="Q2161" s="7">
        <f>IF($B2161="","",O2161-P2161)</f>
        <v/>
      </c>
      <c r="R2161" s="7">
        <f>IF($B2161="","",Q2161-J2161)</f>
        <v/>
      </c>
      <c r="S2161" s="7" t="n"/>
      <c r="T2161" s="7" t="n"/>
      <c r="V2161" s="14" t="n"/>
      <c r="Z2161">
        <f>IF($B2161="","",IF(COUNTIF($B$2:$B2161,$B2161)=1,1,0))</f>
        <v/>
      </c>
      <c r="AA2161">
        <f>IF($Z2161=1,SUMPRODUCT(--($AC$2:$AC$3001&lt;$AC2161))+1,"")</f>
        <v/>
      </c>
      <c r="AB2161">
        <f>IF($B2161="","",IF(OR($Y2161=TRUE(),$Y2161="TRUE"),1,IF(AND($Y2161&lt;&gt;"",OR($Y2161=FALSE(),$Y2161="FALSE")),0,IF(MIN(ABS($X2161/100-Settings!$C$6),ABS($X2161/100-Settings!$G$6))&lt;=MIN(ABS($X2161/100-Settings!$C$7),ABS($X2161/100-Settings!$G$7)),1,0))))</f>
        <v/>
      </c>
      <c r="AC2161">
        <f>IF($Z2161=1,IFERROR(IF(VALUE($B2161)&lt;100000000,VALUE($B2161),1000000000),IFERROR(IF(VALUE(MID($B2161,2,20))&lt;100000000,VALUE(MID($B2161,2,20)),1000000000),1000000000))+ROW()/100000,"")</f>
        <v/>
      </c>
    </row>
    <row r="2162">
      <c r="A2162">
        <f>IF($B2162="","",IFERROR(IF(INDEX('Per Invoice'!$A$2:$A$801,MATCH($B2162,'Per Invoice'!$B$2:$B$801,0))=0,"",INDEX('Per Invoice'!$A$2:$A$801,MATCH($B2162,'Per Invoice'!$B$2:$B$801,0))),""))</f>
        <v/>
      </c>
      <c r="J2162" s="7">
        <f>IF($B2162="","",I2162*Q2162/100)</f>
        <v/>
      </c>
      <c r="N2162" s="7" t="n"/>
      <c r="O2162" s="7" t="n"/>
      <c r="P2162" s="7">
        <f>IF($B2162="","",O2162*X2162/100)</f>
        <v/>
      </c>
      <c r="Q2162" s="7">
        <f>IF($B2162="","",O2162-P2162)</f>
        <v/>
      </c>
      <c r="R2162" s="7">
        <f>IF($B2162="","",Q2162-J2162)</f>
        <v/>
      </c>
      <c r="S2162" s="7" t="n"/>
      <c r="T2162" s="7" t="n"/>
      <c r="V2162" s="14" t="n"/>
      <c r="Z2162">
        <f>IF($B2162="","",IF(COUNTIF($B$2:$B2162,$B2162)=1,1,0))</f>
        <v/>
      </c>
      <c r="AA2162">
        <f>IF($Z2162=1,SUMPRODUCT(--($AC$2:$AC$3001&lt;$AC2162))+1,"")</f>
        <v/>
      </c>
      <c r="AB2162">
        <f>IF($B2162="","",IF(OR($Y2162=TRUE(),$Y2162="TRUE"),1,IF(AND($Y2162&lt;&gt;"",OR($Y2162=FALSE(),$Y2162="FALSE")),0,IF(MIN(ABS($X2162/100-Settings!$C$6),ABS($X2162/100-Settings!$G$6))&lt;=MIN(ABS($X2162/100-Settings!$C$7),ABS($X2162/100-Settings!$G$7)),1,0))))</f>
        <v/>
      </c>
      <c r="AC2162">
        <f>IF($Z2162=1,IFERROR(IF(VALUE($B2162)&lt;100000000,VALUE($B2162),1000000000),IFERROR(IF(VALUE(MID($B2162,2,20))&lt;100000000,VALUE(MID($B2162,2,20)),1000000000),1000000000))+ROW()/100000,"")</f>
        <v/>
      </c>
    </row>
    <row r="2163">
      <c r="A2163">
        <f>IF($B2163="","",IFERROR(IF(INDEX('Per Invoice'!$A$2:$A$801,MATCH($B2163,'Per Invoice'!$B$2:$B$801,0))=0,"",INDEX('Per Invoice'!$A$2:$A$801,MATCH($B2163,'Per Invoice'!$B$2:$B$801,0))),""))</f>
        <v/>
      </c>
      <c r="J2163" s="7">
        <f>IF($B2163="","",I2163*Q2163/100)</f>
        <v/>
      </c>
      <c r="N2163" s="7" t="n"/>
      <c r="O2163" s="7" t="n"/>
      <c r="P2163" s="7">
        <f>IF($B2163="","",O2163*X2163/100)</f>
        <v/>
      </c>
      <c r="Q2163" s="7">
        <f>IF($B2163="","",O2163-P2163)</f>
        <v/>
      </c>
      <c r="R2163" s="7">
        <f>IF($B2163="","",Q2163-J2163)</f>
        <v/>
      </c>
      <c r="S2163" s="7" t="n"/>
      <c r="T2163" s="7" t="n"/>
      <c r="V2163" s="14" t="n"/>
      <c r="Z2163">
        <f>IF($B2163="","",IF(COUNTIF($B$2:$B2163,$B2163)=1,1,0))</f>
        <v/>
      </c>
      <c r="AA2163">
        <f>IF($Z2163=1,SUMPRODUCT(--($AC$2:$AC$3001&lt;$AC2163))+1,"")</f>
        <v/>
      </c>
      <c r="AB2163">
        <f>IF($B2163="","",IF(OR($Y2163=TRUE(),$Y2163="TRUE"),1,IF(AND($Y2163&lt;&gt;"",OR($Y2163=FALSE(),$Y2163="FALSE")),0,IF(MIN(ABS($X2163/100-Settings!$C$6),ABS($X2163/100-Settings!$G$6))&lt;=MIN(ABS($X2163/100-Settings!$C$7),ABS($X2163/100-Settings!$G$7)),1,0))))</f>
        <v/>
      </c>
      <c r="AC2163">
        <f>IF($Z2163=1,IFERROR(IF(VALUE($B2163)&lt;100000000,VALUE($B2163),1000000000),IFERROR(IF(VALUE(MID($B2163,2,20))&lt;100000000,VALUE(MID($B2163,2,20)),1000000000),1000000000))+ROW()/100000,"")</f>
        <v/>
      </c>
    </row>
    <row r="2164">
      <c r="A2164">
        <f>IF($B2164="","",IFERROR(IF(INDEX('Per Invoice'!$A$2:$A$801,MATCH($B2164,'Per Invoice'!$B$2:$B$801,0))=0,"",INDEX('Per Invoice'!$A$2:$A$801,MATCH($B2164,'Per Invoice'!$B$2:$B$801,0))),""))</f>
        <v/>
      </c>
      <c r="J2164" s="7">
        <f>IF($B2164="","",I2164*Q2164/100)</f>
        <v/>
      </c>
      <c r="N2164" s="7" t="n"/>
      <c r="O2164" s="7" t="n"/>
      <c r="P2164" s="7">
        <f>IF($B2164="","",O2164*X2164/100)</f>
        <v/>
      </c>
      <c r="Q2164" s="7">
        <f>IF($B2164="","",O2164-P2164)</f>
        <v/>
      </c>
      <c r="R2164" s="7">
        <f>IF($B2164="","",Q2164-J2164)</f>
        <v/>
      </c>
      <c r="S2164" s="7" t="n"/>
      <c r="T2164" s="7" t="n"/>
      <c r="V2164" s="14" t="n"/>
      <c r="Z2164">
        <f>IF($B2164="","",IF(COUNTIF($B$2:$B2164,$B2164)=1,1,0))</f>
        <v/>
      </c>
      <c r="AA2164">
        <f>IF($Z2164=1,SUMPRODUCT(--($AC$2:$AC$3001&lt;$AC2164))+1,"")</f>
        <v/>
      </c>
      <c r="AB2164">
        <f>IF($B2164="","",IF(OR($Y2164=TRUE(),$Y2164="TRUE"),1,IF(AND($Y2164&lt;&gt;"",OR($Y2164=FALSE(),$Y2164="FALSE")),0,IF(MIN(ABS($X2164/100-Settings!$C$6),ABS($X2164/100-Settings!$G$6))&lt;=MIN(ABS($X2164/100-Settings!$C$7),ABS($X2164/100-Settings!$G$7)),1,0))))</f>
        <v/>
      </c>
      <c r="AC2164">
        <f>IF($Z2164=1,IFERROR(IF(VALUE($B2164)&lt;100000000,VALUE($B2164),1000000000),IFERROR(IF(VALUE(MID($B2164,2,20))&lt;100000000,VALUE(MID($B2164,2,20)),1000000000),1000000000))+ROW()/100000,"")</f>
        <v/>
      </c>
    </row>
    <row r="2165">
      <c r="A2165">
        <f>IF($B2165="","",IFERROR(IF(INDEX('Per Invoice'!$A$2:$A$801,MATCH($B2165,'Per Invoice'!$B$2:$B$801,0))=0,"",INDEX('Per Invoice'!$A$2:$A$801,MATCH($B2165,'Per Invoice'!$B$2:$B$801,0))),""))</f>
        <v/>
      </c>
      <c r="J2165" s="7">
        <f>IF($B2165="","",I2165*Q2165/100)</f>
        <v/>
      </c>
      <c r="N2165" s="7" t="n"/>
      <c r="O2165" s="7" t="n"/>
      <c r="P2165" s="7">
        <f>IF($B2165="","",O2165*X2165/100)</f>
        <v/>
      </c>
      <c r="Q2165" s="7">
        <f>IF($B2165="","",O2165-P2165)</f>
        <v/>
      </c>
      <c r="R2165" s="7">
        <f>IF($B2165="","",Q2165-J2165)</f>
        <v/>
      </c>
      <c r="S2165" s="7" t="n"/>
      <c r="T2165" s="7" t="n"/>
      <c r="V2165" s="14" t="n"/>
      <c r="Z2165">
        <f>IF($B2165="","",IF(COUNTIF($B$2:$B2165,$B2165)=1,1,0))</f>
        <v/>
      </c>
      <c r="AA2165">
        <f>IF($Z2165=1,SUMPRODUCT(--($AC$2:$AC$3001&lt;$AC2165))+1,"")</f>
        <v/>
      </c>
      <c r="AB2165">
        <f>IF($B2165="","",IF(OR($Y2165=TRUE(),$Y2165="TRUE"),1,IF(AND($Y2165&lt;&gt;"",OR($Y2165=FALSE(),$Y2165="FALSE")),0,IF(MIN(ABS($X2165/100-Settings!$C$6),ABS($X2165/100-Settings!$G$6))&lt;=MIN(ABS($X2165/100-Settings!$C$7),ABS($X2165/100-Settings!$G$7)),1,0))))</f>
        <v/>
      </c>
      <c r="AC2165">
        <f>IF($Z2165=1,IFERROR(IF(VALUE($B2165)&lt;100000000,VALUE($B2165),1000000000),IFERROR(IF(VALUE(MID($B2165,2,20))&lt;100000000,VALUE(MID($B2165,2,20)),1000000000),1000000000))+ROW()/100000,"")</f>
        <v/>
      </c>
    </row>
    <row r="2166">
      <c r="A2166">
        <f>IF($B2166="","",IFERROR(IF(INDEX('Per Invoice'!$A$2:$A$801,MATCH($B2166,'Per Invoice'!$B$2:$B$801,0))=0,"",INDEX('Per Invoice'!$A$2:$A$801,MATCH($B2166,'Per Invoice'!$B$2:$B$801,0))),""))</f>
        <v/>
      </c>
      <c r="J2166" s="7">
        <f>IF($B2166="","",I2166*Q2166/100)</f>
        <v/>
      </c>
      <c r="N2166" s="7" t="n"/>
      <c r="O2166" s="7" t="n"/>
      <c r="P2166" s="7">
        <f>IF($B2166="","",O2166*X2166/100)</f>
        <v/>
      </c>
      <c r="Q2166" s="7">
        <f>IF($B2166="","",O2166-P2166)</f>
        <v/>
      </c>
      <c r="R2166" s="7">
        <f>IF($B2166="","",Q2166-J2166)</f>
        <v/>
      </c>
      <c r="S2166" s="7" t="n"/>
      <c r="T2166" s="7" t="n"/>
      <c r="V2166" s="14" t="n"/>
      <c r="Z2166">
        <f>IF($B2166="","",IF(COUNTIF($B$2:$B2166,$B2166)=1,1,0))</f>
        <v/>
      </c>
      <c r="AA2166">
        <f>IF($Z2166=1,SUMPRODUCT(--($AC$2:$AC$3001&lt;$AC2166))+1,"")</f>
        <v/>
      </c>
      <c r="AB2166">
        <f>IF($B2166="","",IF(OR($Y2166=TRUE(),$Y2166="TRUE"),1,IF(AND($Y2166&lt;&gt;"",OR($Y2166=FALSE(),$Y2166="FALSE")),0,IF(MIN(ABS($X2166/100-Settings!$C$6),ABS($X2166/100-Settings!$G$6))&lt;=MIN(ABS($X2166/100-Settings!$C$7),ABS($X2166/100-Settings!$G$7)),1,0))))</f>
        <v/>
      </c>
      <c r="AC2166">
        <f>IF($Z2166=1,IFERROR(IF(VALUE($B2166)&lt;100000000,VALUE($B2166),1000000000),IFERROR(IF(VALUE(MID($B2166,2,20))&lt;100000000,VALUE(MID($B2166,2,20)),1000000000),1000000000))+ROW()/100000,"")</f>
        <v/>
      </c>
    </row>
    <row r="2167">
      <c r="A2167">
        <f>IF($B2167="","",IFERROR(IF(INDEX('Per Invoice'!$A$2:$A$801,MATCH($B2167,'Per Invoice'!$B$2:$B$801,0))=0,"",INDEX('Per Invoice'!$A$2:$A$801,MATCH($B2167,'Per Invoice'!$B$2:$B$801,0))),""))</f>
        <v/>
      </c>
      <c r="J2167" s="7">
        <f>IF($B2167="","",I2167*Q2167/100)</f>
        <v/>
      </c>
      <c r="N2167" s="7" t="n"/>
      <c r="O2167" s="7" t="n"/>
      <c r="P2167" s="7">
        <f>IF($B2167="","",O2167*X2167/100)</f>
        <v/>
      </c>
      <c r="Q2167" s="7">
        <f>IF($B2167="","",O2167-P2167)</f>
        <v/>
      </c>
      <c r="R2167" s="7">
        <f>IF($B2167="","",Q2167-J2167)</f>
        <v/>
      </c>
      <c r="S2167" s="7" t="n"/>
      <c r="T2167" s="7" t="n"/>
      <c r="V2167" s="14" t="n"/>
      <c r="Z2167">
        <f>IF($B2167="","",IF(COUNTIF($B$2:$B2167,$B2167)=1,1,0))</f>
        <v/>
      </c>
      <c r="AA2167">
        <f>IF($Z2167=1,SUMPRODUCT(--($AC$2:$AC$3001&lt;$AC2167))+1,"")</f>
        <v/>
      </c>
      <c r="AB2167">
        <f>IF($B2167="","",IF(OR($Y2167=TRUE(),$Y2167="TRUE"),1,IF(AND($Y2167&lt;&gt;"",OR($Y2167=FALSE(),$Y2167="FALSE")),0,IF(MIN(ABS($X2167/100-Settings!$C$6),ABS($X2167/100-Settings!$G$6))&lt;=MIN(ABS($X2167/100-Settings!$C$7),ABS($X2167/100-Settings!$G$7)),1,0))))</f>
        <v/>
      </c>
      <c r="AC2167">
        <f>IF($Z2167=1,IFERROR(IF(VALUE($B2167)&lt;100000000,VALUE($B2167),1000000000),IFERROR(IF(VALUE(MID($B2167,2,20))&lt;100000000,VALUE(MID($B2167,2,20)),1000000000),1000000000))+ROW()/100000,"")</f>
        <v/>
      </c>
    </row>
    <row r="2168">
      <c r="A2168">
        <f>IF($B2168="","",IFERROR(IF(INDEX('Per Invoice'!$A$2:$A$801,MATCH($B2168,'Per Invoice'!$B$2:$B$801,0))=0,"",INDEX('Per Invoice'!$A$2:$A$801,MATCH($B2168,'Per Invoice'!$B$2:$B$801,0))),""))</f>
        <v/>
      </c>
      <c r="J2168" s="7">
        <f>IF($B2168="","",I2168*Q2168/100)</f>
        <v/>
      </c>
      <c r="N2168" s="7" t="n"/>
      <c r="O2168" s="7" t="n"/>
      <c r="P2168" s="7">
        <f>IF($B2168="","",O2168*X2168/100)</f>
        <v/>
      </c>
      <c r="Q2168" s="7">
        <f>IF($B2168="","",O2168-P2168)</f>
        <v/>
      </c>
      <c r="R2168" s="7">
        <f>IF($B2168="","",Q2168-J2168)</f>
        <v/>
      </c>
      <c r="S2168" s="7" t="n"/>
      <c r="T2168" s="7" t="n"/>
      <c r="V2168" s="14" t="n"/>
      <c r="Z2168">
        <f>IF($B2168="","",IF(COUNTIF($B$2:$B2168,$B2168)=1,1,0))</f>
        <v/>
      </c>
      <c r="AA2168">
        <f>IF($Z2168=1,SUMPRODUCT(--($AC$2:$AC$3001&lt;$AC2168))+1,"")</f>
        <v/>
      </c>
      <c r="AB2168">
        <f>IF($B2168="","",IF(OR($Y2168=TRUE(),$Y2168="TRUE"),1,IF(AND($Y2168&lt;&gt;"",OR($Y2168=FALSE(),$Y2168="FALSE")),0,IF(MIN(ABS($X2168/100-Settings!$C$6),ABS($X2168/100-Settings!$G$6))&lt;=MIN(ABS($X2168/100-Settings!$C$7),ABS($X2168/100-Settings!$G$7)),1,0))))</f>
        <v/>
      </c>
      <c r="AC2168">
        <f>IF($Z2168=1,IFERROR(IF(VALUE($B2168)&lt;100000000,VALUE($B2168),1000000000),IFERROR(IF(VALUE(MID($B2168,2,20))&lt;100000000,VALUE(MID($B2168,2,20)),1000000000),1000000000))+ROW()/100000,"")</f>
        <v/>
      </c>
    </row>
    <row r="2169">
      <c r="A2169">
        <f>IF($B2169="","",IFERROR(IF(INDEX('Per Invoice'!$A$2:$A$801,MATCH($B2169,'Per Invoice'!$B$2:$B$801,0))=0,"",INDEX('Per Invoice'!$A$2:$A$801,MATCH($B2169,'Per Invoice'!$B$2:$B$801,0))),""))</f>
        <v/>
      </c>
      <c r="J2169" s="7">
        <f>IF($B2169="","",I2169*Q2169/100)</f>
        <v/>
      </c>
      <c r="N2169" s="7" t="n"/>
      <c r="O2169" s="7" t="n"/>
      <c r="P2169" s="7">
        <f>IF($B2169="","",O2169*X2169/100)</f>
        <v/>
      </c>
      <c r="Q2169" s="7">
        <f>IF($B2169="","",O2169-P2169)</f>
        <v/>
      </c>
      <c r="R2169" s="7">
        <f>IF($B2169="","",Q2169-J2169)</f>
        <v/>
      </c>
      <c r="S2169" s="7" t="n"/>
      <c r="T2169" s="7" t="n"/>
      <c r="V2169" s="14" t="n"/>
      <c r="Z2169">
        <f>IF($B2169="","",IF(COUNTIF($B$2:$B2169,$B2169)=1,1,0))</f>
        <v/>
      </c>
      <c r="AA2169">
        <f>IF($Z2169=1,SUMPRODUCT(--($AC$2:$AC$3001&lt;$AC2169))+1,"")</f>
        <v/>
      </c>
      <c r="AB2169">
        <f>IF($B2169="","",IF(OR($Y2169=TRUE(),$Y2169="TRUE"),1,IF(AND($Y2169&lt;&gt;"",OR($Y2169=FALSE(),$Y2169="FALSE")),0,IF(MIN(ABS($X2169/100-Settings!$C$6),ABS($X2169/100-Settings!$G$6))&lt;=MIN(ABS($X2169/100-Settings!$C$7),ABS($X2169/100-Settings!$G$7)),1,0))))</f>
        <v/>
      </c>
      <c r="AC2169">
        <f>IF($Z2169=1,IFERROR(IF(VALUE($B2169)&lt;100000000,VALUE($B2169),1000000000),IFERROR(IF(VALUE(MID($B2169,2,20))&lt;100000000,VALUE(MID($B2169,2,20)),1000000000),1000000000))+ROW()/100000,"")</f>
        <v/>
      </c>
    </row>
    <row r="2170">
      <c r="A2170">
        <f>IF($B2170="","",IFERROR(IF(INDEX('Per Invoice'!$A$2:$A$801,MATCH($B2170,'Per Invoice'!$B$2:$B$801,0))=0,"",INDEX('Per Invoice'!$A$2:$A$801,MATCH($B2170,'Per Invoice'!$B$2:$B$801,0))),""))</f>
        <v/>
      </c>
      <c r="J2170" s="7">
        <f>IF($B2170="","",I2170*Q2170/100)</f>
        <v/>
      </c>
      <c r="N2170" s="7" t="n"/>
      <c r="O2170" s="7" t="n"/>
      <c r="P2170" s="7">
        <f>IF($B2170="","",O2170*X2170/100)</f>
        <v/>
      </c>
      <c r="Q2170" s="7">
        <f>IF($B2170="","",O2170-P2170)</f>
        <v/>
      </c>
      <c r="R2170" s="7">
        <f>IF($B2170="","",Q2170-J2170)</f>
        <v/>
      </c>
      <c r="S2170" s="7" t="n"/>
      <c r="T2170" s="7" t="n"/>
      <c r="V2170" s="14" t="n"/>
      <c r="Z2170">
        <f>IF($B2170="","",IF(COUNTIF($B$2:$B2170,$B2170)=1,1,0))</f>
        <v/>
      </c>
      <c r="AA2170">
        <f>IF($Z2170=1,SUMPRODUCT(--($AC$2:$AC$3001&lt;$AC2170))+1,"")</f>
        <v/>
      </c>
      <c r="AB2170">
        <f>IF($B2170="","",IF(OR($Y2170=TRUE(),$Y2170="TRUE"),1,IF(AND($Y2170&lt;&gt;"",OR($Y2170=FALSE(),$Y2170="FALSE")),0,IF(MIN(ABS($X2170/100-Settings!$C$6),ABS($X2170/100-Settings!$G$6))&lt;=MIN(ABS($X2170/100-Settings!$C$7),ABS($X2170/100-Settings!$G$7)),1,0))))</f>
        <v/>
      </c>
      <c r="AC2170">
        <f>IF($Z2170=1,IFERROR(IF(VALUE($B2170)&lt;100000000,VALUE($B2170),1000000000),IFERROR(IF(VALUE(MID($B2170,2,20))&lt;100000000,VALUE(MID($B2170,2,20)),1000000000),1000000000))+ROW()/100000,"")</f>
        <v/>
      </c>
    </row>
    <row r="2171">
      <c r="A2171">
        <f>IF($B2171="","",IFERROR(IF(INDEX('Per Invoice'!$A$2:$A$801,MATCH($B2171,'Per Invoice'!$B$2:$B$801,0))=0,"",INDEX('Per Invoice'!$A$2:$A$801,MATCH($B2171,'Per Invoice'!$B$2:$B$801,0))),""))</f>
        <v/>
      </c>
      <c r="J2171" s="7">
        <f>IF($B2171="","",I2171*Q2171/100)</f>
        <v/>
      </c>
      <c r="N2171" s="7" t="n"/>
      <c r="O2171" s="7" t="n"/>
      <c r="P2171" s="7">
        <f>IF($B2171="","",O2171*X2171/100)</f>
        <v/>
      </c>
      <c r="Q2171" s="7">
        <f>IF($B2171="","",O2171-P2171)</f>
        <v/>
      </c>
      <c r="R2171" s="7">
        <f>IF($B2171="","",Q2171-J2171)</f>
        <v/>
      </c>
      <c r="S2171" s="7" t="n"/>
      <c r="T2171" s="7" t="n"/>
      <c r="V2171" s="14" t="n"/>
      <c r="Z2171">
        <f>IF($B2171="","",IF(COUNTIF($B$2:$B2171,$B2171)=1,1,0))</f>
        <v/>
      </c>
      <c r="AA2171">
        <f>IF($Z2171=1,SUMPRODUCT(--($AC$2:$AC$3001&lt;$AC2171))+1,"")</f>
        <v/>
      </c>
      <c r="AB2171">
        <f>IF($B2171="","",IF(OR($Y2171=TRUE(),$Y2171="TRUE"),1,IF(AND($Y2171&lt;&gt;"",OR($Y2171=FALSE(),$Y2171="FALSE")),0,IF(MIN(ABS($X2171/100-Settings!$C$6),ABS($X2171/100-Settings!$G$6))&lt;=MIN(ABS($X2171/100-Settings!$C$7),ABS($X2171/100-Settings!$G$7)),1,0))))</f>
        <v/>
      </c>
      <c r="AC2171">
        <f>IF($Z2171=1,IFERROR(IF(VALUE($B2171)&lt;100000000,VALUE($B2171),1000000000),IFERROR(IF(VALUE(MID($B2171,2,20))&lt;100000000,VALUE(MID($B2171,2,20)),1000000000),1000000000))+ROW()/100000,"")</f>
        <v/>
      </c>
    </row>
    <row r="2172">
      <c r="A2172">
        <f>IF($B2172="","",IFERROR(IF(INDEX('Per Invoice'!$A$2:$A$801,MATCH($B2172,'Per Invoice'!$B$2:$B$801,0))=0,"",INDEX('Per Invoice'!$A$2:$A$801,MATCH($B2172,'Per Invoice'!$B$2:$B$801,0))),""))</f>
        <v/>
      </c>
      <c r="J2172" s="7">
        <f>IF($B2172="","",I2172*Q2172/100)</f>
        <v/>
      </c>
      <c r="N2172" s="7" t="n"/>
      <c r="O2172" s="7" t="n"/>
      <c r="P2172" s="7">
        <f>IF($B2172="","",O2172*X2172/100)</f>
        <v/>
      </c>
      <c r="Q2172" s="7">
        <f>IF($B2172="","",O2172-P2172)</f>
        <v/>
      </c>
      <c r="R2172" s="7">
        <f>IF($B2172="","",Q2172-J2172)</f>
        <v/>
      </c>
      <c r="S2172" s="7" t="n"/>
      <c r="T2172" s="7" t="n"/>
      <c r="V2172" s="14" t="n"/>
      <c r="Z2172">
        <f>IF($B2172="","",IF(COUNTIF($B$2:$B2172,$B2172)=1,1,0))</f>
        <v/>
      </c>
      <c r="AA2172">
        <f>IF($Z2172=1,SUMPRODUCT(--($AC$2:$AC$3001&lt;$AC2172))+1,"")</f>
        <v/>
      </c>
      <c r="AB2172">
        <f>IF($B2172="","",IF(OR($Y2172=TRUE(),$Y2172="TRUE"),1,IF(AND($Y2172&lt;&gt;"",OR($Y2172=FALSE(),$Y2172="FALSE")),0,IF(MIN(ABS($X2172/100-Settings!$C$6),ABS($X2172/100-Settings!$G$6))&lt;=MIN(ABS($X2172/100-Settings!$C$7),ABS($X2172/100-Settings!$G$7)),1,0))))</f>
        <v/>
      </c>
      <c r="AC2172">
        <f>IF($Z2172=1,IFERROR(IF(VALUE($B2172)&lt;100000000,VALUE($B2172),1000000000),IFERROR(IF(VALUE(MID($B2172,2,20))&lt;100000000,VALUE(MID($B2172,2,20)),1000000000),1000000000))+ROW()/100000,"")</f>
        <v/>
      </c>
    </row>
    <row r="2173">
      <c r="A2173">
        <f>IF($B2173="","",IFERROR(IF(INDEX('Per Invoice'!$A$2:$A$801,MATCH($B2173,'Per Invoice'!$B$2:$B$801,0))=0,"",INDEX('Per Invoice'!$A$2:$A$801,MATCH($B2173,'Per Invoice'!$B$2:$B$801,0))),""))</f>
        <v/>
      </c>
      <c r="J2173" s="7">
        <f>IF($B2173="","",I2173*Q2173/100)</f>
        <v/>
      </c>
      <c r="N2173" s="7" t="n"/>
      <c r="O2173" s="7" t="n"/>
      <c r="P2173" s="7">
        <f>IF($B2173="","",O2173*X2173/100)</f>
        <v/>
      </c>
      <c r="Q2173" s="7">
        <f>IF($B2173="","",O2173-P2173)</f>
        <v/>
      </c>
      <c r="R2173" s="7">
        <f>IF($B2173="","",Q2173-J2173)</f>
        <v/>
      </c>
      <c r="S2173" s="7" t="n"/>
      <c r="T2173" s="7" t="n"/>
      <c r="V2173" s="14" t="n"/>
      <c r="Z2173">
        <f>IF($B2173="","",IF(COUNTIF($B$2:$B2173,$B2173)=1,1,0))</f>
        <v/>
      </c>
      <c r="AA2173">
        <f>IF($Z2173=1,SUMPRODUCT(--($AC$2:$AC$3001&lt;$AC2173))+1,"")</f>
        <v/>
      </c>
      <c r="AB2173">
        <f>IF($B2173="","",IF(OR($Y2173=TRUE(),$Y2173="TRUE"),1,IF(AND($Y2173&lt;&gt;"",OR($Y2173=FALSE(),$Y2173="FALSE")),0,IF(MIN(ABS($X2173/100-Settings!$C$6),ABS($X2173/100-Settings!$G$6))&lt;=MIN(ABS($X2173/100-Settings!$C$7),ABS($X2173/100-Settings!$G$7)),1,0))))</f>
        <v/>
      </c>
      <c r="AC2173">
        <f>IF($Z2173=1,IFERROR(IF(VALUE($B2173)&lt;100000000,VALUE($B2173),1000000000),IFERROR(IF(VALUE(MID($B2173,2,20))&lt;100000000,VALUE(MID($B2173,2,20)),1000000000),1000000000))+ROW()/100000,"")</f>
        <v/>
      </c>
    </row>
    <row r="2174">
      <c r="A2174">
        <f>IF($B2174="","",IFERROR(IF(INDEX('Per Invoice'!$A$2:$A$801,MATCH($B2174,'Per Invoice'!$B$2:$B$801,0))=0,"",INDEX('Per Invoice'!$A$2:$A$801,MATCH($B2174,'Per Invoice'!$B$2:$B$801,0))),""))</f>
        <v/>
      </c>
      <c r="J2174" s="7">
        <f>IF($B2174="","",I2174*Q2174/100)</f>
        <v/>
      </c>
      <c r="N2174" s="7" t="n"/>
      <c r="O2174" s="7" t="n"/>
      <c r="P2174" s="7">
        <f>IF($B2174="","",O2174*X2174/100)</f>
        <v/>
      </c>
      <c r="Q2174" s="7">
        <f>IF($B2174="","",O2174-P2174)</f>
        <v/>
      </c>
      <c r="R2174" s="7">
        <f>IF($B2174="","",Q2174-J2174)</f>
        <v/>
      </c>
      <c r="S2174" s="7" t="n"/>
      <c r="T2174" s="7" t="n"/>
      <c r="V2174" s="14" t="n"/>
      <c r="Z2174">
        <f>IF($B2174="","",IF(COUNTIF($B$2:$B2174,$B2174)=1,1,0))</f>
        <v/>
      </c>
      <c r="AA2174">
        <f>IF($Z2174=1,SUMPRODUCT(--($AC$2:$AC$3001&lt;$AC2174))+1,"")</f>
        <v/>
      </c>
      <c r="AB2174">
        <f>IF($B2174="","",IF(OR($Y2174=TRUE(),$Y2174="TRUE"),1,IF(AND($Y2174&lt;&gt;"",OR($Y2174=FALSE(),$Y2174="FALSE")),0,IF(MIN(ABS($X2174/100-Settings!$C$6),ABS($X2174/100-Settings!$G$6))&lt;=MIN(ABS($X2174/100-Settings!$C$7),ABS($X2174/100-Settings!$G$7)),1,0))))</f>
        <v/>
      </c>
      <c r="AC2174">
        <f>IF($Z2174=1,IFERROR(IF(VALUE($B2174)&lt;100000000,VALUE($B2174),1000000000),IFERROR(IF(VALUE(MID($B2174,2,20))&lt;100000000,VALUE(MID($B2174,2,20)),1000000000),1000000000))+ROW()/100000,"")</f>
        <v/>
      </c>
    </row>
    <row r="2175">
      <c r="A2175">
        <f>IF($B2175="","",IFERROR(IF(INDEX('Per Invoice'!$A$2:$A$801,MATCH($B2175,'Per Invoice'!$B$2:$B$801,0))=0,"",INDEX('Per Invoice'!$A$2:$A$801,MATCH($B2175,'Per Invoice'!$B$2:$B$801,0))),""))</f>
        <v/>
      </c>
      <c r="J2175" s="7">
        <f>IF($B2175="","",I2175*Q2175/100)</f>
        <v/>
      </c>
      <c r="N2175" s="7" t="n"/>
      <c r="O2175" s="7" t="n"/>
      <c r="P2175" s="7">
        <f>IF($B2175="","",O2175*X2175/100)</f>
        <v/>
      </c>
      <c r="Q2175" s="7">
        <f>IF($B2175="","",O2175-P2175)</f>
        <v/>
      </c>
      <c r="R2175" s="7">
        <f>IF($B2175="","",Q2175-J2175)</f>
        <v/>
      </c>
      <c r="S2175" s="7" t="n"/>
      <c r="T2175" s="7" t="n"/>
      <c r="V2175" s="14" t="n"/>
      <c r="Z2175">
        <f>IF($B2175="","",IF(COUNTIF($B$2:$B2175,$B2175)=1,1,0))</f>
        <v/>
      </c>
      <c r="AA2175">
        <f>IF($Z2175=1,SUMPRODUCT(--($AC$2:$AC$3001&lt;$AC2175))+1,"")</f>
        <v/>
      </c>
      <c r="AB2175">
        <f>IF($B2175="","",IF(OR($Y2175=TRUE(),$Y2175="TRUE"),1,IF(AND($Y2175&lt;&gt;"",OR($Y2175=FALSE(),$Y2175="FALSE")),0,IF(MIN(ABS($X2175/100-Settings!$C$6),ABS($X2175/100-Settings!$G$6))&lt;=MIN(ABS($X2175/100-Settings!$C$7),ABS($X2175/100-Settings!$G$7)),1,0))))</f>
        <v/>
      </c>
      <c r="AC2175">
        <f>IF($Z2175=1,IFERROR(IF(VALUE($B2175)&lt;100000000,VALUE($B2175),1000000000),IFERROR(IF(VALUE(MID($B2175,2,20))&lt;100000000,VALUE(MID($B2175,2,20)),1000000000),1000000000))+ROW()/100000,"")</f>
        <v/>
      </c>
    </row>
    <row r="2176">
      <c r="A2176">
        <f>IF($B2176="","",IFERROR(IF(INDEX('Per Invoice'!$A$2:$A$801,MATCH($B2176,'Per Invoice'!$B$2:$B$801,0))=0,"",INDEX('Per Invoice'!$A$2:$A$801,MATCH($B2176,'Per Invoice'!$B$2:$B$801,0))),""))</f>
        <v/>
      </c>
      <c r="J2176" s="7">
        <f>IF($B2176="","",I2176*Q2176/100)</f>
        <v/>
      </c>
      <c r="N2176" s="7" t="n"/>
      <c r="O2176" s="7" t="n"/>
      <c r="P2176" s="7">
        <f>IF($B2176="","",O2176*X2176/100)</f>
        <v/>
      </c>
      <c r="Q2176" s="7">
        <f>IF($B2176="","",O2176-P2176)</f>
        <v/>
      </c>
      <c r="R2176" s="7">
        <f>IF($B2176="","",Q2176-J2176)</f>
        <v/>
      </c>
      <c r="S2176" s="7" t="n"/>
      <c r="T2176" s="7" t="n"/>
      <c r="V2176" s="14" t="n"/>
      <c r="Z2176">
        <f>IF($B2176="","",IF(COUNTIF($B$2:$B2176,$B2176)=1,1,0))</f>
        <v/>
      </c>
      <c r="AA2176">
        <f>IF($Z2176=1,SUMPRODUCT(--($AC$2:$AC$3001&lt;$AC2176))+1,"")</f>
        <v/>
      </c>
      <c r="AB2176">
        <f>IF($B2176="","",IF(OR($Y2176=TRUE(),$Y2176="TRUE"),1,IF(AND($Y2176&lt;&gt;"",OR($Y2176=FALSE(),$Y2176="FALSE")),0,IF(MIN(ABS($X2176/100-Settings!$C$6),ABS($X2176/100-Settings!$G$6))&lt;=MIN(ABS($X2176/100-Settings!$C$7),ABS($X2176/100-Settings!$G$7)),1,0))))</f>
        <v/>
      </c>
      <c r="AC2176">
        <f>IF($Z2176=1,IFERROR(IF(VALUE($B2176)&lt;100000000,VALUE($B2176),1000000000),IFERROR(IF(VALUE(MID($B2176,2,20))&lt;100000000,VALUE(MID($B2176,2,20)),1000000000),1000000000))+ROW()/100000,"")</f>
        <v/>
      </c>
    </row>
    <row r="2177">
      <c r="A2177">
        <f>IF($B2177="","",IFERROR(IF(INDEX('Per Invoice'!$A$2:$A$801,MATCH($B2177,'Per Invoice'!$B$2:$B$801,0))=0,"",INDEX('Per Invoice'!$A$2:$A$801,MATCH($B2177,'Per Invoice'!$B$2:$B$801,0))),""))</f>
        <v/>
      </c>
      <c r="J2177" s="7">
        <f>IF($B2177="","",I2177*Q2177/100)</f>
        <v/>
      </c>
      <c r="N2177" s="7" t="n"/>
      <c r="O2177" s="7" t="n"/>
      <c r="P2177" s="7">
        <f>IF($B2177="","",O2177*X2177/100)</f>
        <v/>
      </c>
      <c r="Q2177" s="7">
        <f>IF($B2177="","",O2177-P2177)</f>
        <v/>
      </c>
      <c r="R2177" s="7">
        <f>IF($B2177="","",Q2177-J2177)</f>
        <v/>
      </c>
      <c r="S2177" s="7" t="n"/>
      <c r="T2177" s="7" t="n"/>
      <c r="V2177" s="14" t="n"/>
      <c r="Z2177">
        <f>IF($B2177="","",IF(COUNTIF($B$2:$B2177,$B2177)=1,1,0))</f>
        <v/>
      </c>
      <c r="AA2177">
        <f>IF($Z2177=1,SUMPRODUCT(--($AC$2:$AC$3001&lt;$AC2177))+1,"")</f>
        <v/>
      </c>
      <c r="AB2177">
        <f>IF($B2177="","",IF(OR($Y2177=TRUE(),$Y2177="TRUE"),1,IF(AND($Y2177&lt;&gt;"",OR($Y2177=FALSE(),$Y2177="FALSE")),0,IF(MIN(ABS($X2177/100-Settings!$C$6),ABS($X2177/100-Settings!$G$6))&lt;=MIN(ABS($X2177/100-Settings!$C$7),ABS($X2177/100-Settings!$G$7)),1,0))))</f>
        <v/>
      </c>
      <c r="AC2177">
        <f>IF($Z2177=1,IFERROR(IF(VALUE($B2177)&lt;100000000,VALUE($B2177),1000000000),IFERROR(IF(VALUE(MID($B2177,2,20))&lt;100000000,VALUE(MID($B2177,2,20)),1000000000),1000000000))+ROW()/100000,"")</f>
        <v/>
      </c>
    </row>
    <row r="2178">
      <c r="A2178">
        <f>IF($B2178="","",IFERROR(IF(INDEX('Per Invoice'!$A$2:$A$801,MATCH($B2178,'Per Invoice'!$B$2:$B$801,0))=0,"",INDEX('Per Invoice'!$A$2:$A$801,MATCH($B2178,'Per Invoice'!$B$2:$B$801,0))),""))</f>
        <v/>
      </c>
      <c r="J2178" s="7">
        <f>IF($B2178="","",I2178*Q2178/100)</f>
        <v/>
      </c>
      <c r="N2178" s="7" t="n"/>
      <c r="O2178" s="7" t="n"/>
      <c r="P2178" s="7">
        <f>IF($B2178="","",O2178*X2178/100)</f>
        <v/>
      </c>
      <c r="Q2178" s="7">
        <f>IF($B2178="","",O2178-P2178)</f>
        <v/>
      </c>
      <c r="R2178" s="7">
        <f>IF($B2178="","",Q2178-J2178)</f>
        <v/>
      </c>
      <c r="S2178" s="7" t="n"/>
      <c r="T2178" s="7" t="n"/>
      <c r="V2178" s="14" t="n"/>
      <c r="Z2178">
        <f>IF($B2178="","",IF(COUNTIF($B$2:$B2178,$B2178)=1,1,0))</f>
        <v/>
      </c>
      <c r="AA2178">
        <f>IF($Z2178=1,SUMPRODUCT(--($AC$2:$AC$3001&lt;$AC2178))+1,"")</f>
        <v/>
      </c>
      <c r="AB2178">
        <f>IF($B2178="","",IF(OR($Y2178=TRUE(),$Y2178="TRUE"),1,IF(AND($Y2178&lt;&gt;"",OR($Y2178=FALSE(),$Y2178="FALSE")),0,IF(MIN(ABS($X2178/100-Settings!$C$6),ABS($X2178/100-Settings!$G$6))&lt;=MIN(ABS($X2178/100-Settings!$C$7),ABS($X2178/100-Settings!$G$7)),1,0))))</f>
        <v/>
      </c>
      <c r="AC2178">
        <f>IF($Z2178=1,IFERROR(IF(VALUE($B2178)&lt;100000000,VALUE($B2178),1000000000),IFERROR(IF(VALUE(MID($B2178,2,20))&lt;100000000,VALUE(MID($B2178,2,20)),1000000000),1000000000))+ROW()/100000,"")</f>
        <v/>
      </c>
    </row>
    <row r="2179">
      <c r="A2179">
        <f>IF($B2179="","",IFERROR(IF(INDEX('Per Invoice'!$A$2:$A$801,MATCH($B2179,'Per Invoice'!$B$2:$B$801,0))=0,"",INDEX('Per Invoice'!$A$2:$A$801,MATCH($B2179,'Per Invoice'!$B$2:$B$801,0))),""))</f>
        <v/>
      </c>
      <c r="J2179" s="7">
        <f>IF($B2179="","",I2179*Q2179/100)</f>
        <v/>
      </c>
      <c r="N2179" s="7" t="n"/>
      <c r="O2179" s="7" t="n"/>
      <c r="P2179" s="7">
        <f>IF($B2179="","",O2179*X2179/100)</f>
        <v/>
      </c>
      <c r="Q2179" s="7">
        <f>IF($B2179="","",O2179-P2179)</f>
        <v/>
      </c>
      <c r="R2179" s="7">
        <f>IF($B2179="","",Q2179-J2179)</f>
        <v/>
      </c>
      <c r="S2179" s="7" t="n"/>
      <c r="T2179" s="7" t="n"/>
      <c r="V2179" s="14" t="n"/>
      <c r="Z2179">
        <f>IF($B2179="","",IF(COUNTIF($B$2:$B2179,$B2179)=1,1,0))</f>
        <v/>
      </c>
      <c r="AA2179">
        <f>IF($Z2179=1,SUMPRODUCT(--($AC$2:$AC$3001&lt;$AC2179))+1,"")</f>
        <v/>
      </c>
      <c r="AB2179">
        <f>IF($B2179="","",IF(OR($Y2179=TRUE(),$Y2179="TRUE"),1,IF(AND($Y2179&lt;&gt;"",OR($Y2179=FALSE(),$Y2179="FALSE")),0,IF(MIN(ABS($X2179/100-Settings!$C$6),ABS($X2179/100-Settings!$G$6))&lt;=MIN(ABS($X2179/100-Settings!$C$7),ABS($X2179/100-Settings!$G$7)),1,0))))</f>
        <v/>
      </c>
      <c r="AC2179">
        <f>IF($Z2179=1,IFERROR(IF(VALUE($B2179)&lt;100000000,VALUE($B2179),1000000000),IFERROR(IF(VALUE(MID($B2179,2,20))&lt;100000000,VALUE(MID($B2179,2,20)),1000000000),1000000000))+ROW()/100000,"")</f>
        <v/>
      </c>
    </row>
    <row r="2180">
      <c r="A2180">
        <f>IF($B2180="","",IFERROR(IF(INDEX('Per Invoice'!$A$2:$A$801,MATCH($B2180,'Per Invoice'!$B$2:$B$801,0))=0,"",INDEX('Per Invoice'!$A$2:$A$801,MATCH($B2180,'Per Invoice'!$B$2:$B$801,0))),""))</f>
        <v/>
      </c>
      <c r="J2180" s="7">
        <f>IF($B2180="","",I2180*Q2180/100)</f>
        <v/>
      </c>
      <c r="N2180" s="7" t="n"/>
      <c r="O2180" s="7" t="n"/>
      <c r="P2180" s="7">
        <f>IF($B2180="","",O2180*X2180/100)</f>
        <v/>
      </c>
      <c r="Q2180" s="7">
        <f>IF($B2180="","",O2180-P2180)</f>
        <v/>
      </c>
      <c r="R2180" s="7">
        <f>IF($B2180="","",Q2180-J2180)</f>
        <v/>
      </c>
      <c r="S2180" s="7" t="n"/>
      <c r="T2180" s="7" t="n"/>
      <c r="V2180" s="14" t="n"/>
      <c r="Z2180">
        <f>IF($B2180="","",IF(COUNTIF($B$2:$B2180,$B2180)=1,1,0))</f>
        <v/>
      </c>
      <c r="AA2180">
        <f>IF($Z2180=1,SUMPRODUCT(--($AC$2:$AC$3001&lt;$AC2180))+1,"")</f>
        <v/>
      </c>
      <c r="AB2180">
        <f>IF($B2180="","",IF(OR($Y2180=TRUE(),$Y2180="TRUE"),1,IF(AND($Y2180&lt;&gt;"",OR($Y2180=FALSE(),$Y2180="FALSE")),0,IF(MIN(ABS($X2180/100-Settings!$C$6),ABS($X2180/100-Settings!$G$6))&lt;=MIN(ABS($X2180/100-Settings!$C$7),ABS($X2180/100-Settings!$G$7)),1,0))))</f>
        <v/>
      </c>
      <c r="AC2180">
        <f>IF($Z2180=1,IFERROR(IF(VALUE($B2180)&lt;100000000,VALUE($B2180),1000000000),IFERROR(IF(VALUE(MID($B2180,2,20))&lt;100000000,VALUE(MID($B2180,2,20)),1000000000),1000000000))+ROW()/100000,"")</f>
        <v/>
      </c>
    </row>
    <row r="2181">
      <c r="A2181">
        <f>IF($B2181="","",IFERROR(IF(INDEX('Per Invoice'!$A$2:$A$801,MATCH($B2181,'Per Invoice'!$B$2:$B$801,0))=0,"",INDEX('Per Invoice'!$A$2:$A$801,MATCH($B2181,'Per Invoice'!$B$2:$B$801,0))),""))</f>
        <v/>
      </c>
      <c r="J2181" s="7">
        <f>IF($B2181="","",I2181*Q2181/100)</f>
        <v/>
      </c>
      <c r="N2181" s="7" t="n"/>
      <c r="O2181" s="7" t="n"/>
      <c r="P2181" s="7">
        <f>IF($B2181="","",O2181*X2181/100)</f>
        <v/>
      </c>
      <c r="Q2181" s="7">
        <f>IF($B2181="","",O2181-P2181)</f>
        <v/>
      </c>
      <c r="R2181" s="7">
        <f>IF($B2181="","",Q2181-J2181)</f>
        <v/>
      </c>
      <c r="S2181" s="7" t="n"/>
      <c r="T2181" s="7" t="n"/>
      <c r="V2181" s="14" t="n"/>
      <c r="Z2181">
        <f>IF($B2181="","",IF(COUNTIF($B$2:$B2181,$B2181)=1,1,0))</f>
        <v/>
      </c>
      <c r="AA2181">
        <f>IF($Z2181=1,SUMPRODUCT(--($AC$2:$AC$3001&lt;$AC2181))+1,"")</f>
        <v/>
      </c>
      <c r="AB2181">
        <f>IF($B2181="","",IF(OR($Y2181=TRUE(),$Y2181="TRUE"),1,IF(AND($Y2181&lt;&gt;"",OR($Y2181=FALSE(),$Y2181="FALSE")),0,IF(MIN(ABS($X2181/100-Settings!$C$6),ABS($X2181/100-Settings!$G$6))&lt;=MIN(ABS($X2181/100-Settings!$C$7),ABS($X2181/100-Settings!$G$7)),1,0))))</f>
        <v/>
      </c>
      <c r="AC2181">
        <f>IF($Z2181=1,IFERROR(IF(VALUE($B2181)&lt;100000000,VALUE($B2181),1000000000),IFERROR(IF(VALUE(MID($B2181,2,20))&lt;100000000,VALUE(MID($B2181,2,20)),1000000000),1000000000))+ROW()/100000,"")</f>
        <v/>
      </c>
    </row>
    <row r="2182">
      <c r="A2182">
        <f>IF($B2182="","",IFERROR(IF(INDEX('Per Invoice'!$A$2:$A$801,MATCH($B2182,'Per Invoice'!$B$2:$B$801,0))=0,"",INDEX('Per Invoice'!$A$2:$A$801,MATCH($B2182,'Per Invoice'!$B$2:$B$801,0))),""))</f>
        <v/>
      </c>
      <c r="J2182" s="7">
        <f>IF($B2182="","",I2182*Q2182/100)</f>
        <v/>
      </c>
      <c r="N2182" s="7" t="n"/>
      <c r="O2182" s="7" t="n"/>
      <c r="P2182" s="7">
        <f>IF($B2182="","",O2182*X2182/100)</f>
        <v/>
      </c>
      <c r="Q2182" s="7">
        <f>IF($B2182="","",O2182-P2182)</f>
        <v/>
      </c>
      <c r="R2182" s="7">
        <f>IF($B2182="","",Q2182-J2182)</f>
        <v/>
      </c>
      <c r="S2182" s="7" t="n"/>
      <c r="T2182" s="7" t="n"/>
      <c r="V2182" s="14" t="n"/>
      <c r="Z2182">
        <f>IF($B2182="","",IF(COUNTIF($B$2:$B2182,$B2182)=1,1,0))</f>
        <v/>
      </c>
      <c r="AA2182">
        <f>IF($Z2182=1,SUMPRODUCT(--($AC$2:$AC$3001&lt;$AC2182))+1,"")</f>
        <v/>
      </c>
      <c r="AB2182">
        <f>IF($B2182="","",IF(OR($Y2182=TRUE(),$Y2182="TRUE"),1,IF(AND($Y2182&lt;&gt;"",OR($Y2182=FALSE(),$Y2182="FALSE")),0,IF(MIN(ABS($X2182/100-Settings!$C$6),ABS($X2182/100-Settings!$G$6))&lt;=MIN(ABS($X2182/100-Settings!$C$7),ABS($X2182/100-Settings!$G$7)),1,0))))</f>
        <v/>
      </c>
      <c r="AC2182">
        <f>IF($Z2182=1,IFERROR(IF(VALUE($B2182)&lt;100000000,VALUE($B2182),1000000000),IFERROR(IF(VALUE(MID($B2182,2,20))&lt;100000000,VALUE(MID($B2182,2,20)),1000000000),1000000000))+ROW()/100000,"")</f>
        <v/>
      </c>
    </row>
    <row r="2183">
      <c r="A2183">
        <f>IF($B2183="","",IFERROR(IF(INDEX('Per Invoice'!$A$2:$A$801,MATCH($B2183,'Per Invoice'!$B$2:$B$801,0))=0,"",INDEX('Per Invoice'!$A$2:$A$801,MATCH($B2183,'Per Invoice'!$B$2:$B$801,0))),""))</f>
        <v/>
      </c>
      <c r="J2183" s="7">
        <f>IF($B2183="","",I2183*Q2183/100)</f>
        <v/>
      </c>
      <c r="N2183" s="7" t="n"/>
      <c r="O2183" s="7" t="n"/>
      <c r="P2183" s="7">
        <f>IF($B2183="","",O2183*X2183/100)</f>
        <v/>
      </c>
      <c r="Q2183" s="7">
        <f>IF($B2183="","",O2183-P2183)</f>
        <v/>
      </c>
      <c r="R2183" s="7">
        <f>IF($B2183="","",Q2183-J2183)</f>
        <v/>
      </c>
      <c r="S2183" s="7" t="n"/>
      <c r="T2183" s="7" t="n"/>
      <c r="V2183" s="14" t="n"/>
      <c r="Z2183">
        <f>IF($B2183="","",IF(COUNTIF($B$2:$B2183,$B2183)=1,1,0))</f>
        <v/>
      </c>
      <c r="AA2183">
        <f>IF($Z2183=1,SUMPRODUCT(--($AC$2:$AC$3001&lt;$AC2183))+1,"")</f>
        <v/>
      </c>
      <c r="AB2183">
        <f>IF($B2183="","",IF(OR($Y2183=TRUE(),$Y2183="TRUE"),1,IF(AND($Y2183&lt;&gt;"",OR($Y2183=FALSE(),$Y2183="FALSE")),0,IF(MIN(ABS($X2183/100-Settings!$C$6),ABS($X2183/100-Settings!$G$6))&lt;=MIN(ABS($X2183/100-Settings!$C$7),ABS($X2183/100-Settings!$G$7)),1,0))))</f>
        <v/>
      </c>
      <c r="AC2183">
        <f>IF($Z2183=1,IFERROR(IF(VALUE($B2183)&lt;100000000,VALUE($B2183),1000000000),IFERROR(IF(VALUE(MID($B2183,2,20))&lt;100000000,VALUE(MID($B2183,2,20)),1000000000),1000000000))+ROW()/100000,"")</f>
        <v/>
      </c>
    </row>
    <row r="2184">
      <c r="A2184">
        <f>IF($B2184="","",IFERROR(IF(INDEX('Per Invoice'!$A$2:$A$801,MATCH($B2184,'Per Invoice'!$B$2:$B$801,0))=0,"",INDEX('Per Invoice'!$A$2:$A$801,MATCH($B2184,'Per Invoice'!$B$2:$B$801,0))),""))</f>
        <v/>
      </c>
      <c r="J2184" s="7">
        <f>IF($B2184="","",I2184*Q2184/100)</f>
        <v/>
      </c>
      <c r="N2184" s="7" t="n"/>
      <c r="O2184" s="7" t="n"/>
      <c r="P2184" s="7">
        <f>IF($B2184="","",O2184*X2184/100)</f>
        <v/>
      </c>
      <c r="Q2184" s="7">
        <f>IF($B2184="","",O2184-P2184)</f>
        <v/>
      </c>
      <c r="R2184" s="7">
        <f>IF($B2184="","",Q2184-J2184)</f>
        <v/>
      </c>
      <c r="S2184" s="7" t="n"/>
      <c r="T2184" s="7" t="n"/>
      <c r="V2184" s="14" t="n"/>
      <c r="Z2184">
        <f>IF($B2184="","",IF(COUNTIF($B$2:$B2184,$B2184)=1,1,0))</f>
        <v/>
      </c>
      <c r="AA2184">
        <f>IF($Z2184=1,SUMPRODUCT(--($AC$2:$AC$3001&lt;$AC2184))+1,"")</f>
        <v/>
      </c>
      <c r="AB2184">
        <f>IF($B2184="","",IF(OR($Y2184=TRUE(),$Y2184="TRUE"),1,IF(AND($Y2184&lt;&gt;"",OR($Y2184=FALSE(),$Y2184="FALSE")),0,IF(MIN(ABS($X2184/100-Settings!$C$6),ABS($X2184/100-Settings!$G$6))&lt;=MIN(ABS($X2184/100-Settings!$C$7),ABS($X2184/100-Settings!$G$7)),1,0))))</f>
        <v/>
      </c>
      <c r="AC2184">
        <f>IF($Z2184=1,IFERROR(IF(VALUE($B2184)&lt;100000000,VALUE($B2184),1000000000),IFERROR(IF(VALUE(MID($B2184,2,20))&lt;100000000,VALUE(MID($B2184,2,20)),1000000000),1000000000))+ROW()/100000,"")</f>
        <v/>
      </c>
    </row>
    <row r="2185">
      <c r="A2185">
        <f>IF($B2185="","",IFERROR(IF(INDEX('Per Invoice'!$A$2:$A$801,MATCH($B2185,'Per Invoice'!$B$2:$B$801,0))=0,"",INDEX('Per Invoice'!$A$2:$A$801,MATCH($B2185,'Per Invoice'!$B$2:$B$801,0))),""))</f>
        <v/>
      </c>
      <c r="J2185" s="7">
        <f>IF($B2185="","",I2185*Q2185/100)</f>
        <v/>
      </c>
      <c r="N2185" s="7" t="n"/>
      <c r="O2185" s="7" t="n"/>
      <c r="P2185" s="7">
        <f>IF($B2185="","",O2185*X2185/100)</f>
        <v/>
      </c>
      <c r="Q2185" s="7">
        <f>IF($B2185="","",O2185-P2185)</f>
        <v/>
      </c>
      <c r="R2185" s="7">
        <f>IF($B2185="","",Q2185-J2185)</f>
        <v/>
      </c>
      <c r="S2185" s="7" t="n"/>
      <c r="T2185" s="7" t="n"/>
      <c r="V2185" s="14" t="n"/>
      <c r="Z2185">
        <f>IF($B2185="","",IF(COUNTIF($B$2:$B2185,$B2185)=1,1,0))</f>
        <v/>
      </c>
      <c r="AA2185">
        <f>IF($Z2185=1,SUMPRODUCT(--($AC$2:$AC$3001&lt;$AC2185))+1,"")</f>
        <v/>
      </c>
      <c r="AB2185">
        <f>IF($B2185="","",IF(OR($Y2185=TRUE(),$Y2185="TRUE"),1,IF(AND($Y2185&lt;&gt;"",OR($Y2185=FALSE(),$Y2185="FALSE")),0,IF(MIN(ABS($X2185/100-Settings!$C$6),ABS($X2185/100-Settings!$G$6))&lt;=MIN(ABS($X2185/100-Settings!$C$7),ABS($X2185/100-Settings!$G$7)),1,0))))</f>
        <v/>
      </c>
      <c r="AC2185">
        <f>IF($Z2185=1,IFERROR(IF(VALUE($B2185)&lt;100000000,VALUE($B2185),1000000000),IFERROR(IF(VALUE(MID($B2185,2,20))&lt;100000000,VALUE(MID($B2185,2,20)),1000000000),1000000000))+ROW()/100000,"")</f>
        <v/>
      </c>
    </row>
    <row r="2186">
      <c r="A2186">
        <f>IF($B2186="","",IFERROR(IF(INDEX('Per Invoice'!$A$2:$A$801,MATCH($B2186,'Per Invoice'!$B$2:$B$801,0))=0,"",INDEX('Per Invoice'!$A$2:$A$801,MATCH($B2186,'Per Invoice'!$B$2:$B$801,0))),""))</f>
        <v/>
      </c>
      <c r="J2186" s="7">
        <f>IF($B2186="","",I2186*Q2186/100)</f>
        <v/>
      </c>
      <c r="N2186" s="7" t="n"/>
      <c r="O2186" s="7" t="n"/>
      <c r="P2186" s="7">
        <f>IF($B2186="","",O2186*X2186/100)</f>
        <v/>
      </c>
      <c r="Q2186" s="7">
        <f>IF($B2186="","",O2186-P2186)</f>
        <v/>
      </c>
      <c r="R2186" s="7">
        <f>IF($B2186="","",Q2186-J2186)</f>
        <v/>
      </c>
      <c r="S2186" s="7" t="n"/>
      <c r="T2186" s="7" t="n"/>
      <c r="V2186" s="14" t="n"/>
      <c r="Z2186">
        <f>IF($B2186="","",IF(COUNTIF($B$2:$B2186,$B2186)=1,1,0))</f>
        <v/>
      </c>
      <c r="AA2186">
        <f>IF($Z2186=1,SUMPRODUCT(--($AC$2:$AC$3001&lt;$AC2186))+1,"")</f>
        <v/>
      </c>
      <c r="AB2186">
        <f>IF($B2186="","",IF(OR($Y2186=TRUE(),$Y2186="TRUE"),1,IF(AND($Y2186&lt;&gt;"",OR($Y2186=FALSE(),$Y2186="FALSE")),0,IF(MIN(ABS($X2186/100-Settings!$C$6),ABS($X2186/100-Settings!$G$6))&lt;=MIN(ABS($X2186/100-Settings!$C$7),ABS($X2186/100-Settings!$G$7)),1,0))))</f>
        <v/>
      </c>
      <c r="AC2186">
        <f>IF($Z2186=1,IFERROR(IF(VALUE($B2186)&lt;100000000,VALUE($B2186),1000000000),IFERROR(IF(VALUE(MID($B2186,2,20))&lt;100000000,VALUE(MID($B2186,2,20)),1000000000),1000000000))+ROW()/100000,"")</f>
        <v/>
      </c>
    </row>
    <row r="2187">
      <c r="A2187">
        <f>IF($B2187="","",IFERROR(IF(INDEX('Per Invoice'!$A$2:$A$801,MATCH($B2187,'Per Invoice'!$B$2:$B$801,0))=0,"",INDEX('Per Invoice'!$A$2:$A$801,MATCH($B2187,'Per Invoice'!$B$2:$B$801,0))),""))</f>
        <v/>
      </c>
      <c r="J2187" s="7">
        <f>IF($B2187="","",I2187*Q2187/100)</f>
        <v/>
      </c>
      <c r="N2187" s="7" t="n"/>
      <c r="O2187" s="7" t="n"/>
      <c r="P2187" s="7">
        <f>IF($B2187="","",O2187*X2187/100)</f>
        <v/>
      </c>
      <c r="Q2187" s="7">
        <f>IF($B2187="","",O2187-P2187)</f>
        <v/>
      </c>
      <c r="R2187" s="7">
        <f>IF($B2187="","",Q2187-J2187)</f>
        <v/>
      </c>
      <c r="S2187" s="7" t="n"/>
      <c r="T2187" s="7" t="n"/>
      <c r="V2187" s="14" t="n"/>
      <c r="Z2187">
        <f>IF($B2187="","",IF(COUNTIF($B$2:$B2187,$B2187)=1,1,0))</f>
        <v/>
      </c>
      <c r="AA2187">
        <f>IF($Z2187=1,SUMPRODUCT(--($AC$2:$AC$3001&lt;$AC2187))+1,"")</f>
        <v/>
      </c>
      <c r="AB2187">
        <f>IF($B2187="","",IF(OR($Y2187=TRUE(),$Y2187="TRUE"),1,IF(AND($Y2187&lt;&gt;"",OR($Y2187=FALSE(),$Y2187="FALSE")),0,IF(MIN(ABS($X2187/100-Settings!$C$6),ABS($X2187/100-Settings!$G$6))&lt;=MIN(ABS($X2187/100-Settings!$C$7),ABS($X2187/100-Settings!$G$7)),1,0))))</f>
        <v/>
      </c>
      <c r="AC2187">
        <f>IF($Z2187=1,IFERROR(IF(VALUE($B2187)&lt;100000000,VALUE($B2187),1000000000),IFERROR(IF(VALUE(MID($B2187,2,20))&lt;100000000,VALUE(MID($B2187,2,20)),1000000000),1000000000))+ROW()/100000,"")</f>
        <v/>
      </c>
    </row>
    <row r="2188">
      <c r="A2188">
        <f>IF($B2188="","",IFERROR(IF(INDEX('Per Invoice'!$A$2:$A$801,MATCH($B2188,'Per Invoice'!$B$2:$B$801,0))=0,"",INDEX('Per Invoice'!$A$2:$A$801,MATCH($B2188,'Per Invoice'!$B$2:$B$801,0))),""))</f>
        <v/>
      </c>
      <c r="J2188" s="7">
        <f>IF($B2188="","",I2188*Q2188/100)</f>
        <v/>
      </c>
      <c r="N2188" s="7" t="n"/>
      <c r="O2188" s="7" t="n"/>
      <c r="P2188" s="7">
        <f>IF($B2188="","",O2188*X2188/100)</f>
        <v/>
      </c>
      <c r="Q2188" s="7">
        <f>IF($B2188="","",O2188-P2188)</f>
        <v/>
      </c>
      <c r="R2188" s="7">
        <f>IF($B2188="","",Q2188-J2188)</f>
        <v/>
      </c>
      <c r="S2188" s="7" t="n"/>
      <c r="T2188" s="7" t="n"/>
      <c r="V2188" s="14" t="n"/>
      <c r="Z2188">
        <f>IF($B2188="","",IF(COUNTIF($B$2:$B2188,$B2188)=1,1,0))</f>
        <v/>
      </c>
      <c r="AA2188">
        <f>IF($Z2188=1,SUMPRODUCT(--($AC$2:$AC$3001&lt;$AC2188))+1,"")</f>
        <v/>
      </c>
      <c r="AB2188">
        <f>IF($B2188="","",IF(OR($Y2188=TRUE(),$Y2188="TRUE"),1,IF(AND($Y2188&lt;&gt;"",OR($Y2188=FALSE(),$Y2188="FALSE")),0,IF(MIN(ABS($X2188/100-Settings!$C$6),ABS($X2188/100-Settings!$G$6))&lt;=MIN(ABS($X2188/100-Settings!$C$7),ABS($X2188/100-Settings!$G$7)),1,0))))</f>
        <v/>
      </c>
      <c r="AC2188">
        <f>IF($Z2188=1,IFERROR(IF(VALUE($B2188)&lt;100000000,VALUE($B2188),1000000000),IFERROR(IF(VALUE(MID($B2188,2,20))&lt;100000000,VALUE(MID($B2188,2,20)),1000000000),1000000000))+ROW()/100000,"")</f>
        <v/>
      </c>
    </row>
    <row r="2189">
      <c r="A2189">
        <f>IF($B2189="","",IFERROR(IF(INDEX('Per Invoice'!$A$2:$A$801,MATCH($B2189,'Per Invoice'!$B$2:$B$801,0))=0,"",INDEX('Per Invoice'!$A$2:$A$801,MATCH($B2189,'Per Invoice'!$B$2:$B$801,0))),""))</f>
        <v/>
      </c>
      <c r="J2189" s="7">
        <f>IF($B2189="","",I2189*Q2189/100)</f>
        <v/>
      </c>
      <c r="N2189" s="7" t="n"/>
      <c r="O2189" s="7" t="n"/>
      <c r="P2189" s="7">
        <f>IF($B2189="","",O2189*X2189/100)</f>
        <v/>
      </c>
      <c r="Q2189" s="7">
        <f>IF($B2189="","",O2189-P2189)</f>
        <v/>
      </c>
      <c r="R2189" s="7">
        <f>IF($B2189="","",Q2189-J2189)</f>
        <v/>
      </c>
      <c r="S2189" s="7" t="n"/>
      <c r="T2189" s="7" t="n"/>
      <c r="V2189" s="14" t="n"/>
      <c r="Z2189">
        <f>IF($B2189="","",IF(COUNTIF($B$2:$B2189,$B2189)=1,1,0))</f>
        <v/>
      </c>
      <c r="AA2189">
        <f>IF($Z2189=1,SUMPRODUCT(--($AC$2:$AC$3001&lt;$AC2189))+1,"")</f>
        <v/>
      </c>
      <c r="AB2189">
        <f>IF($B2189="","",IF(OR($Y2189=TRUE(),$Y2189="TRUE"),1,IF(AND($Y2189&lt;&gt;"",OR($Y2189=FALSE(),$Y2189="FALSE")),0,IF(MIN(ABS($X2189/100-Settings!$C$6),ABS($X2189/100-Settings!$G$6))&lt;=MIN(ABS($X2189/100-Settings!$C$7),ABS($X2189/100-Settings!$G$7)),1,0))))</f>
        <v/>
      </c>
      <c r="AC2189">
        <f>IF($Z2189=1,IFERROR(IF(VALUE($B2189)&lt;100000000,VALUE($B2189),1000000000),IFERROR(IF(VALUE(MID($B2189,2,20))&lt;100000000,VALUE(MID($B2189,2,20)),1000000000),1000000000))+ROW()/100000,"")</f>
        <v/>
      </c>
    </row>
    <row r="2190">
      <c r="A2190">
        <f>IF($B2190="","",IFERROR(IF(INDEX('Per Invoice'!$A$2:$A$801,MATCH($B2190,'Per Invoice'!$B$2:$B$801,0))=0,"",INDEX('Per Invoice'!$A$2:$A$801,MATCH($B2190,'Per Invoice'!$B$2:$B$801,0))),""))</f>
        <v/>
      </c>
      <c r="J2190" s="7">
        <f>IF($B2190="","",I2190*Q2190/100)</f>
        <v/>
      </c>
      <c r="N2190" s="7" t="n"/>
      <c r="O2190" s="7" t="n"/>
      <c r="P2190" s="7">
        <f>IF($B2190="","",O2190*X2190/100)</f>
        <v/>
      </c>
      <c r="Q2190" s="7">
        <f>IF($B2190="","",O2190-P2190)</f>
        <v/>
      </c>
      <c r="R2190" s="7">
        <f>IF($B2190="","",Q2190-J2190)</f>
        <v/>
      </c>
      <c r="S2190" s="7" t="n"/>
      <c r="T2190" s="7" t="n"/>
      <c r="V2190" s="14" t="n"/>
      <c r="Z2190">
        <f>IF($B2190="","",IF(COUNTIF($B$2:$B2190,$B2190)=1,1,0))</f>
        <v/>
      </c>
      <c r="AA2190">
        <f>IF($Z2190=1,SUMPRODUCT(--($AC$2:$AC$3001&lt;$AC2190))+1,"")</f>
        <v/>
      </c>
      <c r="AB2190">
        <f>IF($B2190="","",IF(OR($Y2190=TRUE(),$Y2190="TRUE"),1,IF(AND($Y2190&lt;&gt;"",OR($Y2190=FALSE(),$Y2190="FALSE")),0,IF(MIN(ABS($X2190/100-Settings!$C$6),ABS($X2190/100-Settings!$G$6))&lt;=MIN(ABS($X2190/100-Settings!$C$7),ABS($X2190/100-Settings!$G$7)),1,0))))</f>
        <v/>
      </c>
      <c r="AC2190">
        <f>IF($Z2190=1,IFERROR(IF(VALUE($B2190)&lt;100000000,VALUE($B2190),1000000000),IFERROR(IF(VALUE(MID($B2190,2,20))&lt;100000000,VALUE(MID($B2190,2,20)),1000000000),1000000000))+ROW()/100000,"")</f>
        <v/>
      </c>
    </row>
    <row r="2191">
      <c r="A2191">
        <f>IF($B2191="","",IFERROR(IF(INDEX('Per Invoice'!$A$2:$A$801,MATCH($B2191,'Per Invoice'!$B$2:$B$801,0))=0,"",INDEX('Per Invoice'!$A$2:$A$801,MATCH($B2191,'Per Invoice'!$B$2:$B$801,0))),""))</f>
        <v/>
      </c>
      <c r="J2191" s="7">
        <f>IF($B2191="","",I2191*Q2191/100)</f>
        <v/>
      </c>
      <c r="N2191" s="7" t="n"/>
      <c r="O2191" s="7" t="n"/>
      <c r="P2191" s="7">
        <f>IF($B2191="","",O2191*X2191/100)</f>
        <v/>
      </c>
      <c r="Q2191" s="7">
        <f>IF($B2191="","",O2191-P2191)</f>
        <v/>
      </c>
      <c r="R2191" s="7">
        <f>IF($B2191="","",Q2191-J2191)</f>
        <v/>
      </c>
      <c r="S2191" s="7" t="n"/>
      <c r="T2191" s="7" t="n"/>
      <c r="V2191" s="14" t="n"/>
      <c r="Z2191">
        <f>IF($B2191="","",IF(COUNTIF($B$2:$B2191,$B2191)=1,1,0))</f>
        <v/>
      </c>
      <c r="AA2191">
        <f>IF($Z2191=1,SUMPRODUCT(--($AC$2:$AC$3001&lt;$AC2191))+1,"")</f>
        <v/>
      </c>
      <c r="AB2191">
        <f>IF($B2191="","",IF(OR($Y2191=TRUE(),$Y2191="TRUE"),1,IF(AND($Y2191&lt;&gt;"",OR($Y2191=FALSE(),$Y2191="FALSE")),0,IF(MIN(ABS($X2191/100-Settings!$C$6),ABS($X2191/100-Settings!$G$6))&lt;=MIN(ABS($X2191/100-Settings!$C$7),ABS($X2191/100-Settings!$G$7)),1,0))))</f>
        <v/>
      </c>
      <c r="AC2191">
        <f>IF($Z2191=1,IFERROR(IF(VALUE($B2191)&lt;100000000,VALUE($B2191),1000000000),IFERROR(IF(VALUE(MID($B2191,2,20))&lt;100000000,VALUE(MID($B2191,2,20)),1000000000),1000000000))+ROW()/100000,"")</f>
        <v/>
      </c>
    </row>
    <row r="2192">
      <c r="A2192">
        <f>IF($B2192="","",IFERROR(IF(INDEX('Per Invoice'!$A$2:$A$801,MATCH($B2192,'Per Invoice'!$B$2:$B$801,0))=0,"",INDEX('Per Invoice'!$A$2:$A$801,MATCH($B2192,'Per Invoice'!$B$2:$B$801,0))),""))</f>
        <v/>
      </c>
      <c r="J2192" s="7">
        <f>IF($B2192="","",I2192*Q2192/100)</f>
        <v/>
      </c>
      <c r="N2192" s="7" t="n"/>
      <c r="O2192" s="7" t="n"/>
      <c r="P2192" s="7">
        <f>IF($B2192="","",O2192*X2192/100)</f>
        <v/>
      </c>
      <c r="Q2192" s="7">
        <f>IF($B2192="","",O2192-P2192)</f>
        <v/>
      </c>
      <c r="R2192" s="7">
        <f>IF($B2192="","",Q2192-J2192)</f>
        <v/>
      </c>
      <c r="S2192" s="7" t="n"/>
      <c r="T2192" s="7" t="n"/>
      <c r="V2192" s="14" t="n"/>
      <c r="Z2192">
        <f>IF($B2192="","",IF(COUNTIF($B$2:$B2192,$B2192)=1,1,0))</f>
        <v/>
      </c>
      <c r="AA2192">
        <f>IF($Z2192=1,SUMPRODUCT(--($AC$2:$AC$3001&lt;$AC2192))+1,"")</f>
        <v/>
      </c>
      <c r="AB2192">
        <f>IF($B2192="","",IF(OR($Y2192=TRUE(),$Y2192="TRUE"),1,IF(AND($Y2192&lt;&gt;"",OR($Y2192=FALSE(),$Y2192="FALSE")),0,IF(MIN(ABS($X2192/100-Settings!$C$6),ABS($X2192/100-Settings!$G$6))&lt;=MIN(ABS($X2192/100-Settings!$C$7),ABS($X2192/100-Settings!$G$7)),1,0))))</f>
        <v/>
      </c>
      <c r="AC2192">
        <f>IF($Z2192=1,IFERROR(IF(VALUE($B2192)&lt;100000000,VALUE($B2192),1000000000),IFERROR(IF(VALUE(MID($B2192,2,20))&lt;100000000,VALUE(MID($B2192,2,20)),1000000000),1000000000))+ROW()/100000,"")</f>
        <v/>
      </c>
    </row>
    <row r="2193">
      <c r="A2193">
        <f>IF($B2193="","",IFERROR(IF(INDEX('Per Invoice'!$A$2:$A$801,MATCH($B2193,'Per Invoice'!$B$2:$B$801,0))=0,"",INDEX('Per Invoice'!$A$2:$A$801,MATCH($B2193,'Per Invoice'!$B$2:$B$801,0))),""))</f>
        <v/>
      </c>
      <c r="J2193" s="7">
        <f>IF($B2193="","",I2193*Q2193/100)</f>
        <v/>
      </c>
      <c r="N2193" s="7" t="n"/>
      <c r="O2193" s="7" t="n"/>
      <c r="P2193" s="7">
        <f>IF($B2193="","",O2193*X2193/100)</f>
        <v/>
      </c>
      <c r="Q2193" s="7">
        <f>IF($B2193="","",O2193-P2193)</f>
        <v/>
      </c>
      <c r="R2193" s="7">
        <f>IF($B2193="","",Q2193-J2193)</f>
        <v/>
      </c>
      <c r="S2193" s="7" t="n"/>
      <c r="T2193" s="7" t="n"/>
      <c r="V2193" s="14" t="n"/>
      <c r="Z2193">
        <f>IF($B2193="","",IF(COUNTIF($B$2:$B2193,$B2193)=1,1,0))</f>
        <v/>
      </c>
      <c r="AA2193">
        <f>IF($Z2193=1,SUMPRODUCT(--($AC$2:$AC$3001&lt;$AC2193))+1,"")</f>
        <v/>
      </c>
      <c r="AB2193">
        <f>IF($B2193="","",IF(OR($Y2193=TRUE(),$Y2193="TRUE"),1,IF(AND($Y2193&lt;&gt;"",OR($Y2193=FALSE(),$Y2193="FALSE")),0,IF(MIN(ABS($X2193/100-Settings!$C$6),ABS($X2193/100-Settings!$G$6))&lt;=MIN(ABS($X2193/100-Settings!$C$7),ABS($X2193/100-Settings!$G$7)),1,0))))</f>
        <v/>
      </c>
      <c r="AC2193">
        <f>IF($Z2193=1,IFERROR(IF(VALUE($B2193)&lt;100000000,VALUE($B2193),1000000000),IFERROR(IF(VALUE(MID($B2193,2,20))&lt;100000000,VALUE(MID($B2193,2,20)),1000000000),1000000000))+ROW()/100000,"")</f>
        <v/>
      </c>
    </row>
    <row r="2194">
      <c r="A2194">
        <f>IF($B2194="","",IFERROR(IF(INDEX('Per Invoice'!$A$2:$A$801,MATCH($B2194,'Per Invoice'!$B$2:$B$801,0))=0,"",INDEX('Per Invoice'!$A$2:$A$801,MATCH($B2194,'Per Invoice'!$B$2:$B$801,0))),""))</f>
        <v/>
      </c>
      <c r="J2194" s="7">
        <f>IF($B2194="","",I2194*Q2194/100)</f>
        <v/>
      </c>
      <c r="N2194" s="7" t="n"/>
      <c r="O2194" s="7" t="n"/>
      <c r="P2194" s="7">
        <f>IF($B2194="","",O2194*X2194/100)</f>
        <v/>
      </c>
      <c r="Q2194" s="7">
        <f>IF($B2194="","",O2194-P2194)</f>
        <v/>
      </c>
      <c r="R2194" s="7">
        <f>IF($B2194="","",Q2194-J2194)</f>
        <v/>
      </c>
      <c r="S2194" s="7" t="n"/>
      <c r="T2194" s="7" t="n"/>
      <c r="V2194" s="14" t="n"/>
      <c r="Z2194">
        <f>IF($B2194="","",IF(COUNTIF($B$2:$B2194,$B2194)=1,1,0))</f>
        <v/>
      </c>
      <c r="AA2194">
        <f>IF($Z2194=1,SUMPRODUCT(--($AC$2:$AC$3001&lt;$AC2194))+1,"")</f>
        <v/>
      </c>
      <c r="AB2194">
        <f>IF($B2194="","",IF(OR($Y2194=TRUE(),$Y2194="TRUE"),1,IF(AND($Y2194&lt;&gt;"",OR($Y2194=FALSE(),$Y2194="FALSE")),0,IF(MIN(ABS($X2194/100-Settings!$C$6),ABS($X2194/100-Settings!$G$6))&lt;=MIN(ABS($X2194/100-Settings!$C$7),ABS($X2194/100-Settings!$G$7)),1,0))))</f>
        <v/>
      </c>
      <c r="AC2194">
        <f>IF($Z2194=1,IFERROR(IF(VALUE($B2194)&lt;100000000,VALUE($B2194),1000000000),IFERROR(IF(VALUE(MID($B2194,2,20))&lt;100000000,VALUE(MID($B2194,2,20)),1000000000),1000000000))+ROW()/100000,"")</f>
        <v/>
      </c>
    </row>
    <row r="2195">
      <c r="A2195">
        <f>IF($B2195="","",IFERROR(IF(INDEX('Per Invoice'!$A$2:$A$801,MATCH($B2195,'Per Invoice'!$B$2:$B$801,0))=0,"",INDEX('Per Invoice'!$A$2:$A$801,MATCH($B2195,'Per Invoice'!$B$2:$B$801,0))),""))</f>
        <v/>
      </c>
      <c r="J2195" s="7">
        <f>IF($B2195="","",I2195*Q2195/100)</f>
        <v/>
      </c>
      <c r="N2195" s="7" t="n"/>
      <c r="O2195" s="7" t="n"/>
      <c r="P2195" s="7">
        <f>IF($B2195="","",O2195*X2195/100)</f>
        <v/>
      </c>
      <c r="Q2195" s="7">
        <f>IF($B2195="","",O2195-P2195)</f>
        <v/>
      </c>
      <c r="R2195" s="7">
        <f>IF($B2195="","",Q2195-J2195)</f>
        <v/>
      </c>
      <c r="S2195" s="7" t="n"/>
      <c r="T2195" s="7" t="n"/>
      <c r="V2195" s="14" t="n"/>
      <c r="Z2195">
        <f>IF($B2195="","",IF(COUNTIF($B$2:$B2195,$B2195)=1,1,0))</f>
        <v/>
      </c>
      <c r="AA2195">
        <f>IF($Z2195=1,SUMPRODUCT(--($AC$2:$AC$3001&lt;$AC2195))+1,"")</f>
        <v/>
      </c>
      <c r="AB2195">
        <f>IF($B2195="","",IF(OR($Y2195=TRUE(),$Y2195="TRUE"),1,IF(AND($Y2195&lt;&gt;"",OR($Y2195=FALSE(),$Y2195="FALSE")),0,IF(MIN(ABS($X2195/100-Settings!$C$6),ABS($X2195/100-Settings!$G$6))&lt;=MIN(ABS($X2195/100-Settings!$C$7),ABS($X2195/100-Settings!$G$7)),1,0))))</f>
        <v/>
      </c>
      <c r="AC2195">
        <f>IF($Z2195=1,IFERROR(IF(VALUE($B2195)&lt;100000000,VALUE($B2195),1000000000),IFERROR(IF(VALUE(MID($B2195,2,20))&lt;100000000,VALUE(MID($B2195,2,20)),1000000000),1000000000))+ROW()/100000,"")</f>
        <v/>
      </c>
    </row>
    <row r="2196">
      <c r="A2196">
        <f>IF($B2196="","",IFERROR(IF(INDEX('Per Invoice'!$A$2:$A$801,MATCH($B2196,'Per Invoice'!$B$2:$B$801,0))=0,"",INDEX('Per Invoice'!$A$2:$A$801,MATCH($B2196,'Per Invoice'!$B$2:$B$801,0))),""))</f>
        <v/>
      </c>
      <c r="J2196" s="7">
        <f>IF($B2196="","",I2196*Q2196/100)</f>
        <v/>
      </c>
      <c r="N2196" s="7" t="n"/>
      <c r="O2196" s="7" t="n"/>
      <c r="P2196" s="7">
        <f>IF($B2196="","",O2196*X2196/100)</f>
        <v/>
      </c>
      <c r="Q2196" s="7">
        <f>IF($B2196="","",O2196-P2196)</f>
        <v/>
      </c>
      <c r="R2196" s="7">
        <f>IF($B2196="","",Q2196-J2196)</f>
        <v/>
      </c>
      <c r="S2196" s="7" t="n"/>
      <c r="T2196" s="7" t="n"/>
      <c r="V2196" s="14" t="n"/>
      <c r="Z2196">
        <f>IF($B2196="","",IF(COUNTIF($B$2:$B2196,$B2196)=1,1,0))</f>
        <v/>
      </c>
      <c r="AA2196">
        <f>IF($Z2196=1,SUMPRODUCT(--($AC$2:$AC$3001&lt;$AC2196))+1,"")</f>
        <v/>
      </c>
      <c r="AB2196">
        <f>IF($B2196="","",IF(OR($Y2196=TRUE(),$Y2196="TRUE"),1,IF(AND($Y2196&lt;&gt;"",OR($Y2196=FALSE(),$Y2196="FALSE")),0,IF(MIN(ABS($X2196/100-Settings!$C$6),ABS($X2196/100-Settings!$G$6))&lt;=MIN(ABS($X2196/100-Settings!$C$7),ABS($X2196/100-Settings!$G$7)),1,0))))</f>
        <v/>
      </c>
      <c r="AC2196">
        <f>IF($Z2196=1,IFERROR(IF(VALUE($B2196)&lt;100000000,VALUE($B2196),1000000000),IFERROR(IF(VALUE(MID($B2196,2,20))&lt;100000000,VALUE(MID($B2196,2,20)),1000000000),1000000000))+ROW()/100000,"")</f>
        <v/>
      </c>
    </row>
    <row r="2197">
      <c r="A2197">
        <f>IF($B2197="","",IFERROR(IF(INDEX('Per Invoice'!$A$2:$A$801,MATCH($B2197,'Per Invoice'!$B$2:$B$801,0))=0,"",INDEX('Per Invoice'!$A$2:$A$801,MATCH($B2197,'Per Invoice'!$B$2:$B$801,0))),""))</f>
        <v/>
      </c>
      <c r="J2197" s="7">
        <f>IF($B2197="","",I2197*Q2197/100)</f>
        <v/>
      </c>
      <c r="N2197" s="7" t="n"/>
      <c r="O2197" s="7" t="n"/>
      <c r="P2197" s="7">
        <f>IF($B2197="","",O2197*X2197/100)</f>
        <v/>
      </c>
      <c r="Q2197" s="7">
        <f>IF($B2197="","",O2197-P2197)</f>
        <v/>
      </c>
      <c r="R2197" s="7">
        <f>IF($B2197="","",Q2197-J2197)</f>
        <v/>
      </c>
      <c r="S2197" s="7" t="n"/>
      <c r="T2197" s="7" t="n"/>
      <c r="V2197" s="14" t="n"/>
      <c r="Z2197">
        <f>IF($B2197="","",IF(COUNTIF($B$2:$B2197,$B2197)=1,1,0))</f>
        <v/>
      </c>
      <c r="AA2197">
        <f>IF($Z2197=1,SUMPRODUCT(--($AC$2:$AC$3001&lt;$AC2197))+1,"")</f>
        <v/>
      </c>
      <c r="AB2197">
        <f>IF($B2197="","",IF(OR($Y2197=TRUE(),$Y2197="TRUE"),1,IF(AND($Y2197&lt;&gt;"",OR($Y2197=FALSE(),$Y2197="FALSE")),0,IF(MIN(ABS($X2197/100-Settings!$C$6),ABS($X2197/100-Settings!$G$6))&lt;=MIN(ABS($X2197/100-Settings!$C$7),ABS($X2197/100-Settings!$G$7)),1,0))))</f>
        <v/>
      </c>
      <c r="AC2197">
        <f>IF($Z2197=1,IFERROR(IF(VALUE($B2197)&lt;100000000,VALUE($B2197),1000000000),IFERROR(IF(VALUE(MID($B2197,2,20))&lt;100000000,VALUE(MID($B2197,2,20)),1000000000),1000000000))+ROW()/100000,"")</f>
        <v/>
      </c>
    </row>
    <row r="2198">
      <c r="A2198">
        <f>IF($B2198="","",IFERROR(IF(INDEX('Per Invoice'!$A$2:$A$801,MATCH($B2198,'Per Invoice'!$B$2:$B$801,0))=0,"",INDEX('Per Invoice'!$A$2:$A$801,MATCH($B2198,'Per Invoice'!$B$2:$B$801,0))),""))</f>
        <v/>
      </c>
      <c r="J2198" s="7">
        <f>IF($B2198="","",I2198*Q2198/100)</f>
        <v/>
      </c>
      <c r="N2198" s="7" t="n"/>
      <c r="O2198" s="7" t="n"/>
      <c r="P2198" s="7">
        <f>IF($B2198="","",O2198*X2198/100)</f>
        <v/>
      </c>
      <c r="Q2198" s="7">
        <f>IF($B2198="","",O2198-P2198)</f>
        <v/>
      </c>
      <c r="R2198" s="7">
        <f>IF($B2198="","",Q2198-J2198)</f>
        <v/>
      </c>
      <c r="S2198" s="7" t="n"/>
      <c r="T2198" s="7" t="n"/>
      <c r="V2198" s="14" t="n"/>
      <c r="Z2198">
        <f>IF($B2198="","",IF(COUNTIF($B$2:$B2198,$B2198)=1,1,0))</f>
        <v/>
      </c>
      <c r="AA2198">
        <f>IF($Z2198=1,SUMPRODUCT(--($AC$2:$AC$3001&lt;$AC2198))+1,"")</f>
        <v/>
      </c>
      <c r="AB2198">
        <f>IF($B2198="","",IF(OR($Y2198=TRUE(),$Y2198="TRUE"),1,IF(AND($Y2198&lt;&gt;"",OR($Y2198=FALSE(),$Y2198="FALSE")),0,IF(MIN(ABS($X2198/100-Settings!$C$6),ABS($X2198/100-Settings!$G$6))&lt;=MIN(ABS($X2198/100-Settings!$C$7),ABS($X2198/100-Settings!$G$7)),1,0))))</f>
        <v/>
      </c>
      <c r="AC2198">
        <f>IF($Z2198=1,IFERROR(IF(VALUE($B2198)&lt;100000000,VALUE($B2198),1000000000),IFERROR(IF(VALUE(MID($B2198,2,20))&lt;100000000,VALUE(MID($B2198,2,20)),1000000000),1000000000))+ROW()/100000,"")</f>
        <v/>
      </c>
    </row>
    <row r="2199">
      <c r="A2199">
        <f>IF($B2199="","",IFERROR(IF(INDEX('Per Invoice'!$A$2:$A$801,MATCH($B2199,'Per Invoice'!$B$2:$B$801,0))=0,"",INDEX('Per Invoice'!$A$2:$A$801,MATCH($B2199,'Per Invoice'!$B$2:$B$801,0))),""))</f>
        <v/>
      </c>
      <c r="J2199" s="7">
        <f>IF($B2199="","",I2199*Q2199/100)</f>
        <v/>
      </c>
      <c r="N2199" s="7" t="n"/>
      <c r="O2199" s="7" t="n"/>
      <c r="P2199" s="7">
        <f>IF($B2199="","",O2199*X2199/100)</f>
        <v/>
      </c>
      <c r="Q2199" s="7">
        <f>IF($B2199="","",O2199-P2199)</f>
        <v/>
      </c>
      <c r="R2199" s="7">
        <f>IF($B2199="","",Q2199-J2199)</f>
        <v/>
      </c>
      <c r="S2199" s="7" t="n"/>
      <c r="T2199" s="7" t="n"/>
      <c r="V2199" s="14" t="n"/>
      <c r="Z2199">
        <f>IF($B2199="","",IF(COUNTIF($B$2:$B2199,$B2199)=1,1,0))</f>
        <v/>
      </c>
      <c r="AA2199">
        <f>IF($Z2199=1,SUMPRODUCT(--($AC$2:$AC$3001&lt;$AC2199))+1,"")</f>
        <v/>
      </c>
      <c r="AB2199">
        <f>IF($B2199="","",IF(OR($Y2199=TRUE(),$Y2199="TRUE"),1,IF(AND($Y2199&lt;&gt;"",OR($Y2199=FALSE(),$Y2199="FALSE")),0,IF(MIN(ABS($X2199/100-Settings!$C$6),ABS($X2199/100-Settings!$G$6))&lt;=MIN(ABS($X2199/100-Settings!$C$7),ABS($X2199/100-Settings!$G$7)),1,0))))</f>
        <v/>
      </c>
      <c r="AC2199">
        <f>IF($Z2199=1,IFERROR(IF(VALUE($B2199)&lt;100000000,VALUE($B2199),1000000000),IFERROR(IF(VALUE(MID($B2199,2,20))&lt;100000000,VALUE(MID($B2199,2,20)),1000000000),1000000000))+ROW()/100000,"")</f>
        <v/>
      </c>
    </row>
    <row r="2200">
      <c r="A2200">
        <f>IF($B2200="","",IFERROR(IF(INDEX('Per Invoice'!$A$2:$A$801,MATCH($B2200,'Per Invoice'!$B$2:$B$801,0))=0,"",INDEX('Per Invoice'!$A$2:$A$801,MATCH($B2200,'Per Invoice'!$B$2:$B$801,0))),""))</f>
        <v/>
      </c>
      <c r="J2200" s="7">
        <f>IF($B2200="","",I2200*Q2200/100)</f>
        <v/>
      </c>
      <c r="N2200" s="7" t="n"/>
      <c r="O2200" s="7" t="n"/>
      <c r="P2200" s="7">
        <f>IF($B2200="","",O2200*X2200/100)</f>
        <v/>
      </c>
      <c r="Q2200" s="7">
        <f>IF($B2200="","",O2200-P2200)</f>
        <v/>
      </c>
      <c r="R2200" s="7">
        <f>IF($B2200="","",Q2200-J2200)</f>
        <v/>
      </c>
      <c r="S2200" s="7" t="n"/>
      <c r="T2200" s="7" t="n"/>
      <c r="V2200" s="14" t="n"/>
      <c r="Z2200">
        <f>IF($B2200="","",IF(COUNTIF($B$2:$B2200,$B2200)=1,1,0))</f>
        <v/>
      </c>
      <c r="AA2200">
        <f>IF($Z2200=1,SUMPRODUCT(--($AC$2:$AC$3001&lt;$AC2200))+1,"")</f>
        <v/>
      </c>
      <c r="AB2200">
        <f>IF($B2200="","",IF(OR($Y2200=TRUE(),$Y2200="TRUE"),1,IF(AND($Y2200&lt;&gt;"",OR($Y2200=FALSE(),$Y2200="FALSE")),0,IF(MIN(ABS($X2200/100-Settings!$C$6),ABS($X2200/100-Settings!$G$6))&lt;=MIN(ABS($X2200/100-Settings!$C$7),ABS($X2200/100-Settings!$G$7)),1,0))))</f>
        <v/>
      </c>
      <c r="AC2200">
        <f>IF($Z2200=1,IFERROR(IF(VALUE($B2200)&lt;100000000,VALUE($B2200),1000000000),IFERROR(IF(VALUE(MID($B2200,2,20))&lt;100000000,VALUE(MID($B2200,2,20)),1000000000),1000000000))+ROW()/100000,"")</f>
        <v/>
      </c>
    </row>
    <row r="2201">
      <c r="A2201">
        <f>IF($B2201="","",IFERROR(IF(INDEX('Per Invoice'!$A$2:$A$801,MATCH($B2201,'Per Invoice'!$B$2:$B$801,0))=0,"",INDEX('Per Invoice'!$A$2:$A$801,MATCH($B2201,'Per Invoice'!$B$2:$B$801,0))),""))</f>
        <v/>
      </c>
      <c r="J2201" s="7">
        <f>IF($B2201="","",I2201*Q2201/100)</f>
        <v/>
      </c>
      <c r="N2201" s="7" t="n"/>
      <c r="O2201" s="7" t="n"/>
      <c r="P2201" s="7">
        <f>IF($B2201="","",O2201*X2201/100)</f>
        <v/>
      </c>
      <c r="Q2201" s="7">
        <f>IF($B2201="","",O2201-P2201)</f>
        <v/>
      </c>
      <c r="R2201" s="7">
        <f>IF($B2201="","",Q2201-J2201)</f>
        <v/>
      </c>
      <c r="S2201" s="7" t="n"/>
      <c r="T2201" s="7" t="n"/>
      <c r="V2201" s="14" t="n"/>
      <c r="Z2201">
        <f>IF($B2201="","",IF(COUNTIF($B$2:$B2201,$B2201)=1,1,0))</f>
        <v/>
      </c>
      <c r="AA2201">
        <f>IF($Z2201=1,SUMPRODUCT(--($AC$2:$AC$3001&lt;$AC2201))+1,"")</f>
        <v/>
      </c>
      <c r="AB2201">
        <f>IF($B2201="","",IF(OR($Y2201=TRUE(),$Y2201="TRUE"),1,IF(AND($Y2201&lt;&gt;"",OR($Y2201=FALSE(),$Y2201="FALSE")),0,IF(MIN(ABS($X2201/100-Settings!$C$6),ABS($X2201/100-Settings!$G$6))&lt;=MIN(ABS($X2201/100-Settings!$C$7),ABS($X2201/100-Settings!$G$7)),1,0))))</f>
        <v/>
      </c>
      <c r="AC2201">
        <f>IF($Z2201=1,IFERROR(IF(VALUE($B2201)&lt;100000000,VALUE($B2201),1000000000),IFERROR(IF(VALUE(MID($B2201,2,20))&lt;100000000,VALUE(MID($B2201,2,20)),1000000000),1000000000))+ROW()/100000,"")</f>
        <v/>
      </c>
    </row>
    <row r="2202">
      <c r="A2202">
        <f>IF($B2202="","",IFERROR(IF(INDEX('Per Invoice'!$A$2:$A$801,MATCH($B2202,'Per Invoice'!$B$2:$B$801,0))=0,"",INDEX('Per Invoice'!$A$2:$A$801,MATCH($B2202,'Per Invoice'!$B$2:$B$801,0))),""))</f>
        <v/>
      </c>
      <c r="J2202" s="7">
        <f>IF($B2202="","",I2202*Q2202/100)</f>
        <v/>
      </c>
      <c r="N2202" s="7" t="n"/>
      <c r="O2202" s="7" t="n"/>
      <c r="P2202" s="7">
        <f>IF($B2202="","",O2202*X2202/100)</f>
        <v/>
      </c>
      <c r="Q2202" s="7">
        <f>IF($B2202="","",O2202-P2202)</f>
        <v/>
      </c>
      <c r="R2202" s="7">
        <f>IF($B2202="","",Q2202-J2202)</f>
        <v/>
      </c>
      <c r="S2202" s="7" t="n"/>
      <c r="T2202" s="7" t="n"/>
      <c r="V2202" s="14" t="n"/>
      <c r="Z2202">
        <f>IF($B2202="","",IF(COUNTIF($B$2:$B2202,$B2202)=1,1,0))</f>
        <v/>
      </c>
      <c r="AA2202">
        <f>IF($Z2202=1,SUMPRODUCT(--($AC$2:$AC$3001&lt;$AC2202))+1,"")</f>
        <v/>
      </c>
      <c r="AB2202">
        <f>IF($B2202="","",IF(OR($Y2202=TRUE(),$Y2202="TRUE"),1,IF(AND($Y2202&lt;&gt;"",OR($Y2202=FALSE(),$Y2202="FALSE")),0,IF(MIN(ABS($X2202/100-Settings!$C$6),ABS($X2202/100-Settings!$G$6))&lt;=MIN(ABS($X2202/100-Settings!$C$7),ABS($X2202/100-Settings!$G$7)),1,0))))</f>
        <v/>
      </c>
      <c r="AC2202">
        <f>IF($Z2202=1,IFERROR(IF(VALUE($B2202)&lt;100000000,VALUE($B2202),1000000000),IFERROR(IF(VALUE(MID($B2202,2,20))&lt;100000000,VALUE(MID($B2202,2,20)),1000000000),1000000000))+ROW()/100000,"")</f>
        <v/>
      </c>
    </row>
    <row r="2203">
      <c r="A2203">
        <f>IF($B2203="","",IFERROR(IF(INDEX('Per Invoice'!$A$2:$A$801,MATCH($B2203,'Per Invoice'!$B$2:$B$801,0))=0,"",INDEX('Per Invoice'!$A$2:$A$801,MATCH($B2203,'Per Invoice'!$B$2:$B$801,0))),""))</f>
        <v/>
      </c>
      <c r="J2203" s="7">
        <f>IF($B2203="","",I2203*Q2203/100)</f>
        <v/>
      </c>
      <c r="N2203" s="7" t="n"/>
      <c r="O2203" s="7" t="n"/>
      <c r="P2203" s="7">
        <f>IF($B2203="","",O2203*X2203/100)</f>
        <v/>
      </c>
      <c r="Q2203" s="7">
        <f>IF($B2203="","",O2203-P2203)</f>
        <v/>
      </c>
      <c r="R2203" s="7">
        <f>IF($B2203="","",Q2203-J2203)</f>
        <v/>
      </c>
      <c r="S2203" s="7" t="n"/>
      <c r="T2203" s="7" t="n"/>
      <c r="V2203" s="14" t="n"/>
      <c r="Z2203">
        <f>IF($B2203="","",IF(COUNTIF($B$2:$B2203,$B2203)=1,1,0))</f>
        <v/>
      </c>
      <c r="AA2203">
        <f>IF($Z2203=1,SUMPRODUCT(--($AC$2:$AC$3001&lt;$AC2203))+1,"")</f>
        <v/>
      </c>
      <c r="AB2203">
        <f>IF($B2203="","",IF(OR($Y2203=TRUE(),$Y2203="TRUE"),1,IF(AND($Y2203&lt;&gt;"",OR($Y2203=FALSE(),$Y2203="FALSE")),0,IF(MIN(ABS($X2203/100-Settings!$C$6),ABS($X2203/100-Settings!$G$6))&lt;=MIN(ABS($X2203/100-Settings!$C$7),ABS($X2203/100-Settings!$G$7)),1,0))))</f>
        <v/>
      </c>
      <c r="AC2203">
        <f>IF($Z2203=1,IFERROR(IF(VALUE($B2203)&lt;100000000,VALUE($B2203),1000000000),IFERROR(IF(VALUE(MID($B2203,2,20))&lt;100000000,VALUE(MID($B2203,2,20)),1000000000),1000000000))+ROW()/100000,"")</f>
        <v/>
      </c>
    </row>
    <row r="2204">
      <c r="A2204">
        <f>IF($B2204="","",IFERROR(IF(INDEX('Per Invoice'!$A$2:$A$801,MATCH($B2204,'Per Invoice'!$B$2:$B$801,0))=0,"",INDEX('Per Invoice'!$A$2:$A$801,MATCH($B2204,'Per Invoice'!$B$2:$B$801,0))),""))</f>
        <v/>
      </c>
      <c r="J2204" s="7">
        <f>IF($B2204="","",I2204*Q2204/100)</f>
        <v/>
      </c>
      <c r="N2204" s="7" t="n"/>
      <c r="O2204" s="7" t="n"/>
      <c r="P2204" s="7">
        <f>IF($B2204="","",O2204*X2204/100)</f>
        <v/>
      </c>
      <c r="Q2204" s="7">
        <f>IF($B2204="","",O2204-P2204)</f>
        <v/>
      </c>
      <c r="R2204" s="7">
        <f>IF($B2204="","",Q2204-J2204)</f>
        <v/>
      </c>
      <c r="S2204" s="7" t="n"/>
      <c r="T2204" s="7" t="n"/>
      <c r="V2204" s="14" t="n"/>
      <c r="Z2204">
        <f>IF($B2204="","",IF(COUNTIF($B$2:$B2204,$B2204)=1,1,0))</f>
        <v/>
      </c>
      <c r="AA2204">
        <f>IF($Z2204=1,SUMPRODUCT(--($AC$2:$AC$3001&lt;$AC2204))+1,"")</f>
        <v/>
      </c>
      <c r="AB2204">
        <f>IF($B2204="","",IF(OR($Y2204=TRUE(),$Y2204="TRUE"),1,IF(AND($Y2204&lt;&gt;"",OR($Y2204=FALSE(),$Y2204="FALSE")),0,IF(MIN(ABS($X2204/100-Settings!$C$6),ABS($X2204/100-Settings!$G$6))&lt;=MIN(ABS($X2204/100-Settings!$C$7),ABS($X2204/100-Settings!$G$7)),1,0))))</f>
        <v/>
      </c>
      <c r="AC2204">
        <f>IF($Z2204=1,IFERROR(IF(VALUE($B2204)&lt;100000000,VALUE($B2204),1000000000),IFERROR(IF(VALUE(MID($B2204,2,20))&lt;100000000,VALUE(MID($B2204,2,20)),1000000000),1000000000))+ROW()/100000,"")</f>
        <v/>
      </c>
    </row>
    <row r="2205">
      <c r="A2205">
        <f>IF($B2205="","",IFERROR(IF(INDEX('Per Invoice'!$A$2:$A$801,MATCH($B2205,'Per Invoice'!$B$2:$B$801,0))=0,"",INDEX('Per Invoice'!$A$2:$A$801,MATCH($B2205,'Per Invoice'!$B$2:$B$801,0))),""))</f>
        <v/>
      </c>
      <c r="J2205" s="7">
        <f>IF($B2205="","",I2205*Q2205/100)</f>
        <v/>
      </c>
      <c r="N2205" s="7" t="n"/>
      <c r="O2205" s="7" t="n"/>
      <c r="P2205" s="7">
        <f>IF($B2205="","",O2205*X2205/100)</f>
        <v/>
      </c>
      <c r="Q2205" s="7">
        <f>IF($B2205="","",O2205-P2205)</f>
        <v/>
      </c>
      <c r="R2205" s="7">
        <f>IF($B2205="","",Q2205-J2205)</f>
        <v/>
      </c>
      <c r="S2205" s="7" t="n"/>
      <c r="T2205" s="7" t="n"/>
      <c r="V2205" s="14" t="n"/>
      <c r="Z2205">
        <f>IF($B2205="","",IF(COUNTIF($B$2:$B2205,$B2205)=1,1,0))</f>
        <v/>
      </c>
      <c r="AA2205">
        <f>IF($Z2205=1,SUMPRODUCT(--($AC$2:$AC$3001&lt;$AC2205))+1,"")</f>
        <v/>
      </c>
      <c r="AB2205">
        <f>IF($B2205="","",IF(OR($Y2205=TRUE(),$Y2205="TRUE"),1,IF(AND($Y2205&lt;&gt;"",OR($Y2205=FALSE(),$Y2205="FALSE")),0,IF(MIN(ABS($X2205/100-Settings!$C$6),ABS($X2205/100-Settings!$G$6))&lt;=MIN(ABS($X2205/100-Settings!$C$7),ABS($X2205/100-Settings!$G$7)),1,0))))</f>
        <v/>
      </c>
      <c r="AC2205">
        <f>IF($Z2205=1,IFERROR(IF(VALUE($B2205)&lt;100000000,VALUE($B2205),1000000000),IFERROR(IF(VALUE(MID($B2205,2,20))&lt;100000000,VALUE(MID($B2205,2,20)),1000000000),1000000000))+ROW()/100000,"")</f>
        <v/>
      </c>
    </row>
    <row r="2206">
      <c r="A2206">
        <f>IF($B2206="","",IFERROR(IF(INDEX('Per Invoice'!$A$2:$A$801,MATCH($B2206,'Per Invoice'!$B$2:$B$801,0))=0,"",INDEX('Per Invoice'!$A$2:$A$801,MATCH($B2206,'Per Invoice'!$B$2:$B$801,0))),""))</f>
        <v/>
      </c>
      <c r="J2206" s="7">
        <f>IF($B2206="","",I2206*Q2206/100)</f>
        <v/>
      </c>
      <c r="N2206" s="7" t="n"/>
      <c r="O2206" s="7" t="n"/>
      <c r="P2206" s="7">
        <f>IF($B2206="","",O2206*X2206/100)</f>
        <v/>
      </c>
      <c r="Q2206" s="7">
        <f>IF($B2206="","",O2206-P2206)</f>
        <v/>
      </c>
      <c r="R2206" s="7">
        <f>IF($B2206="","",Q2206-J2206)</f>
        <v/>
      </c>
      <c r="S2206" s="7" t="n"/>
      <c r="T2206" s="7" t="n"/>
      <c r="V2206" s="14" t="n"/>
      <c r="Z2206">
        <f>IF($B2206="","",IF(COUNTIF($B$2:$B2206,$B2206)=1,1,0))</f>
        <v/>
      </c>
      <c r="AA2206">
        <f>IF($Z2206=1,SUMPRODUCT(--($AC$2:$AC$3001&lt;$AC2206))+1,"")</f>
        <v/>
      </c>
      <c r="AB2206">
        <f>IF($B2206="","",IF(OR($Y2206=TRUE(),$Y2206="TRUE"),1,IF(AND($Y2206&lt;&gt;"",OR($Y2206=FALSE(),$Y2206="FALSE")),0,IF(MIN(ABS($X2206/100-Settings!$C$6),ABS($X2206/100-Settings!$G$6))&lt;=MIN(ABS($X2206/100-Settings!$C$7),ABS($X2206/100-Settings!$G$7)),1,0))))</f>
        <v/>
      </c>
      <c r="AC2206">
        <f>IF($Z2206=1,IFERROR(IF(VALUE($B2206)&lt;100000000,VALUE($B2206),1000000000),IFERROR(IF(VALUE(MID($B2206,2,20))&lt;100000000,VALUE(MID($B2206,2,20)),1000000000),1000000000))+ROW()/100000,"")</f>
        <v/>
      </c>
    </row>
    <row r="2207">
      <c r="A2207">
        <f>IF($B2207="","",IFERROR(IF(INDEX('Per Invoice'!$A$2:$A$801,MATCH($B2207,'Per Invoice'!$B$2:$B$801,0))=0,"",INDEX('Per Invoice'!$A$2:$A$801,MATCH($B2207,'Per Invoice'!$B$2:$B$801,0))),""))</f>
        <v/>
      </c>
      <c r="J2207" s="7">
        <f>IF($B2207="","",I2207*Q2207/100)</f>
        <v/>
      </c>
      <c r="N2207" s="7" t="n"/>
      <c r="O2207" s="7" t="n"/>
      <c r="P2207" s="7">
        <f>IF($B2207="","",O2207*X2207/100)</f>
        <v/>
      </c>
      <c r="Q2207" s="7">
        <f>IF($B2207="","",O2207-P2207)</f>
        <v/>
      </c>
      <c r="R2207" s="7">
        <f>IF($B2207="","",Q2207-J2207)</f>
        <v/>
      </c>
      <c r="S2207" s="7" t="n"/>
      <c r="T2207" s="7" t="n"/>
      <c r="V2207" s="14" t="n"/>
      <c r="Z2207">
        <f>IF($B2207="","",IF(COUNTIF($B$2:$B2207,$B2207)=1,1,0))</f>
        <v/>
      </c>
      <c r="AA2207">
        <f>IF($Z2207=1,SUMPRODUCT(--($AC$2:$AC$3001&lt;$AC2207))+1,"")</f>
        <v/>
      </c>
      <c r="AB2207">
        <f>IF($B2207="","",IF(OR($Y2207=TRUE(),$Y2207="TRUE"),1,IF(AND($Y2207&lt;&gt;"",OR($Y2207=FALSE(),$Y2207="FALSE")),0,IF(MIN(ABS($X2207/100-Settings!$C$6),ABS($X2207/100-Settings!$G$6))&lt;=MIN(ABS($X2207/100-Settings!$C$7),ABS($X2207/100-Settings!$G$7)),1,0))))</f>
        <v/>
      </c>
      <c r="AC2207">
        <f>IF($Z2207=1,IFERROR(IF(VALUE($B2207)&lt;100000000,VALUE($B2207),1000000000),IFERROR(IF(VALUE(MID($B2207,2,20))&lt;100000000,VALUE(MID($B2207,2,20)),1000000000),1000000000))+ROW()/100000,"")</f>
        <v/>
      </c>
    </row>
    <row r="2208">
      <c r="A2208">
        <f>IF($B2208="","",IFERROR(IF(INDEX('Per Invoice'!$A$2:$A$801,MATCH($B2208,'Per Invoice'!$B$2:$B$801,0))=0,"",INDEX('Per Invoice'!$A$2:$A$801,MATCH($B2208,'Per Invoice'!$B$2:$B$801,0))),""))</f>
        <v/>
      </c>
      <c r="J2208" s="7">
        <f>IF($B2208="","",I2208*Q2208/100)</f>
        <v/>
      </c>
      <c r="N2208" s="7" t="n"/>
      <c r="O2208" s="7" t="n"/>
      <c r="P2208" s="7">
        <f>IF($B2208="","",O2208*X2208/100)</f>
        <v/>
      </c>
      <c r="Q2208" s="7">
        <f>IF($B2208="","",O2208-P2208)</f>
        <v/>
      </c>
      <c r="R2208" s="7">
        <f>IF($B2208="","",Q2208-J2208)</f>
        <v/>
      </c>
      <c r="S2208" s="7" t="n"/>
      <c r="T2208" s="7" t="n"/>
      <c r="V2208" s="14" t="n"/>
      <c r="Z2208">
        <f>IF($B2208="","",IF(COUNTIF($B$2:$B2208,$B2208)=1,1,0))</f>
        <v/>
      </c>
      <c r="AA2208">
        <f>IF($Z2208=1,SUMPRODUCT(--($AC$2:$AC$3001&lt;$AC2208))+1,"")</f>
        <v/>
      </c>
      <c r="AB2208">
        <f>IF($B2208="","",IF(OR($Y2208=TRUE(),$Y2208="TRUE"),1,IF(AND($Y2208&lt;&gt;"",OR($Y2208=FALSE(),$Y2208="FALSE")),0,IF(MIN(ABS($X2208/100-Settings!$C$6),ABS($X2208/100-Settings!$G$6))&lt;=MIN(ABS($X2208/100-Settings!$C$7),ABS($X2208/100-Settings!$G$7)),1,0))))</f>
        <v/>
      </c>
      <c r="AC2208">
        <f>IF($Z2208=1,IFERROR(IF(VALUE($B2208)&lt;100000000,VALUE($B2208),1000000000),IFERROR(IF(VALUE(MID($B2208,2,20))&lt;100000000,VALUE(MID($B2208,2,20)),1000000000),1000000000))+ROW()/100000,"")</f>
        <v/>
      </c>
    </row>
    <row r="2209">
      <c r="A2209">
        <f>IF($B2209="","",IFERROR(IF(INDEX('Per Invoice'!$A$2:$A$801,MATCH($B2209,'Per Invoice'!$B$2:$B$801,0))=0,"",INDEX('Per Invoice'!$A$2:$A$801,MATCH($B2209,'Per Invoice'!$B$2:$B$801,0))),""))</f>
        <v/>
      </c>
      <c r="J2209" s="7">
        <f>IF($B2209="","",I2209*Q2209/100)</f>
        <v/>
      </c>
      <c r="N2209" s="7" t="n"/>
      <c r="O2209" s="7" t="n"/>
      <c r="P2209" s="7">
        <f>IF($B2209="","",O2209*X2209/100)</f>
        <v/>
      </c>
      <c r="Q2209" s="7">
        <f>IF($B2209="","",O2209-P2209)</f>
        <v/>
      </c>
      <c r="R2209" s="7">
        <f>IF($B2209="","",Q2209-J2209)</f>
        <v/>
      </c>
      <c r="S2209" s="7" t="n"/>
      <c r="T2209" s="7" t="n"/>
      <c r="V2209" s="14" t="n"/>
      <c r="Z2209">
        <f>IF($B2209="","",IF(COUNTIF($B$2:$B2209,$B2209)=1,1,0))</f>
        <v/>
      </c>
      <c r="AA2209">
        <f>IF($Z2209=1,SUMPRODUCT(--($AC$2:$AC$3001&lt;$AC2209))+1,"")</f>
        <v/>
      </c>
      <c r="AB2209">
        <f>IF($B2209="","",IF(OR($Y2209=TRUE(),$Y2209="TRUE"),1,IF(AND($Y2209&lt;&gt;"",OR($Y2209=FALSE(),$Y2209="FALSE")),0,IF(MIN(ABS($X2209/100-Settings!$C$6),ABS($X2209/100-Settings!$G$6))&lt;=MIN(ABS($X2209/100-Settings!$C$7),ABS($X2209/100-Settings!$G$7)),1,0))))</f>
        <v/>
      </c>
      <c r="AC2209">
        <f>IF($Z2209=1,IFERROR(IF(VALUE($B2209)&lt;100000000,VALUE($B2209),1000000000),IFERROR(IF(VALUE(MID($B2209,2,20))&lt;100000000,VALUE(MID($B2209,2,20)),1000000000),1000000000))+ROW()/100000,"")</f>
        <v/>
      </c>
    </row>
    <row r="2210">
      <c r="A2210">
        <f>IF($B2210="","",IFERROR(IF(INDEX('Per Invoice'!$A$2:$A$801,MATCH($B2210,'Per Invoice'!$B$2:$B$801,0))=0,"",INDEX('Per Invoice'!$A$2:$A$801,MATCH($B2210,'Per Invoice'!$B$2:$B$801,0))),""))</f>
        <v/>
      </c>
      <c r="J2210" s="7">
        <f>IF($B2210="","",I2210*Q2210/100)</f>
        <v/>
      </c>
      <c r="N2210" s="7" t="n"/>
      <c r="O2210" s="7" t="n"/>
      <c r="P2210" s="7">
        <f>IF($B2210="","",O2210*X2210/100)</f>
        <v/>
      </c>
      <c r="Q2210" s="7">
        <f>IF($B2210="","",O2210-P2210)</f>
        <v/>
      </c>
      <c r="R2210" s="7">
        <f>IF($B2210="","",Q2210-J2210)</f>
        <v/>
      </c>
      <c r="S2210" s="7" t="n"/>
      <c r="T2210" s="7" t="n"/>
      <c r="V2210" s="14" t="n"/>
      <c r="Z2210">
        <f>IF($B2210="","",IF(COUNTIF($B$2:$B2210,$B2210)=1,1,0))</f>
        <v/>
      </c>
      <c r="AA2210">
        <f>IF($Z2210=1,SUMPRODUCT(--($AC$2:$AC$3001&lt;$AC2210))+1,"")</f>
        <v/>
      </c>
      <c r="AB2210">
        <f>IF($B2210="","",IF(OR($Y2210=TRUE(),$Y2210="TRUE"),1,IF(AND($Y2210&lt;&gt;"",OR($Y2210=FALSE(),$Y2210="FALSE")),0,IF(MIN(ABS($X2210/100-Settings!$C$6),ABS($X2210/100-Settings!$G$6))&lt;=MIN(ABS($X2210/100-Settings!$C$7),ABS($X2210/100-Settings!$G$7)),1,0))))</f>
        <v/>
      </c>
      <c r="AC2210">
        <f>IF($Z2210=1,IFERROR(IF(VALUE($B2210)&lt;100000000,VALUE($B2210),1000000000),IFERROR(IF(VALUE(MID($B2210,2,20))&lt;100000000,VALUE(MID($B2210,2,20)),1000000000),1000000000))+ROW()/100000,"")</f>
        <v/>
      </c>
    </row>
    <row r="2211">
      <c r="A2211">
        <f>IF($B2211="","",IFERROR(IF(INDEX('Per Invoice'!$A$2:$A$801,MATCH($B2211,'Per Invoice'!$B$2:$B$801,0))=0,"",INDEX('Per Invoice'!$A$2:$A$801,MATCH($B2211,'Per Invoice'!$B$2:$B$801,0))),""))</f>
        <v/>
      </c>
      <c r="J2211" s="7">
        <f>IF($B2211="","",I2211*Q2211/100)</f>
        <v/>
      </c>
      <c r="N2211" s="7" t="n"/>
      <c r="O2211" s="7" t="n"/>
      <c r="P2211" s="7">
        <f>IF($B2211="","",O2211*X2211/100)</f>
        <v/>
      </c>
      <c r="Q2211" s="7">
        <f>IF($B2211="","",O2211-P2211)</f>
        <v/>
      </c>
      <c r="R2211" s="7">
        <f>IF($B2211="","",Q2211-J2211)</f>
        <v/>
      </c>
      <c r="S2211" s="7" t="n"/>
      <c r="T2211" s="7" t="n"/>
      <c r="V2211" s="14" t="n"/>
      <c r="Z2211">
        <f>IF($B2211="","",IF(COUNTIF($B$2:$B2211,$B2211)=1,1,0))</f>
        <v/>
      </c>
      <c r="AA2211">
        <f>IF($Z2211=1,SUMPRODUCT(--($AC$2:$AC$3001&lt;$AC2211))+1,"")</f>
        <v/>
      </c>
      <c r="AB2211">
        <f>IF($B2211="","",IF(OR($Y2211=TRUE(),$Y2211="TRUE"),1,IF(AND($Y2211&lt;&gt;"",OR($Y2211=FALSE(),$Y2211="FALSE")),0,IF(MIN(ABS($X2211/100-Settings!$C$6),ABS($X2211/100-Settings!$G$6))&lt;=MIN(ABS($X2211/100-Settings!$C$7),ABS($X2211/100-Settings!$G$7)),1,0))))</f>
        <v/>
      </c>
      <c r="AC2211">
        <f>IF($Z2211=1,IFERROR(IF(VALUE($B2211)&lt;100000000,VALUE($B2211),1000000000),IFERROR(IF(VALUE(MID($B2211,2,20))&lt;100000000,VALUE(MID($B2211,2,20)),1000000000),1000000000))+ROW()/100000,"")</f>
        <v/>
      </c>
    </row>
    <row r="2212">
      <c r="A2212">
        <f>IF($B2212="","",IFERROR(IF(INDEX('Per Invoice'!$A$2:$A$801,MATCH($B2212,'Per Invoice'!$B$2:$B$801,0))=0,"",INDEX('Per Invoice'!$A$2:$A$801,MATCH($B2212,'Per Invoice'!$B$2:$B$801,0))),""))</f>
        <v/>
      </c>
      <c r="J2212" s="7">
        <f>IF($B2212="","",I2212*Q2212/100)</f>
        <v/>
      </c>
      <c r="N2212" s="7" t="n"/>
      <c r="O2212" s="7" t="n"/>
      <c r="P2212" s="7">
        <f>IF($B2212="","",O2212*X2212/100)</f>
        <v/>
      </c>
      <c r="Q2212" s="7">
        <f>IF($B2212="","",O2212-P2212)</f>
        <v/>
      </c>
      <c r="R2212" s="7">
        <f>IF($B2212="","",Q2212-J2212)</f>
        <v/>
      </c>
      <c r="S2212" s="7" t="n"/>
      <c r="T2212" s="7" t="n"/>
      <c r="V2212" s="14" t="n"/>
      <c r="Z2212">
        <f>IF($B2212="","",IF(COUNTIF($B$2:$B2212,$B2212)=1,1,0))</f>
        <v/>
      </c>
      <c r="AA2212">
        <f>IF($Z2212=1,SUMPRODUCT(--($AC$2:$AC$3001&lt;$AC2212))+1,"")</f>
        <v/>
      </c>
      <c r="AB2212">
        <f>IF($B2212="","",IF(OR($Y2212=TRUE(),$Y2212="TRUE"),1,IF(AND($Y2212&lt;&gt;"",OR($Y2212=FALSE(),$Y2212="FALSE")),0,IF(MIN(ABS($X2212/100-Settings!$C$6),ABS($X2212/100-Settings!$G$6))&lt;=MIN(ABS($X2212/100-Settings!$C$7),ABS($X2212/100-Settings!$G$7)),1,0))))</f>
        <v/>
      </c>
      <c r="AC2212">
        <f>IF($Z2212=1,IFERROR(IF(VALUE($B2212)&lt;100000000,VALUE($B2212),1000000000),IFERROR(IF(VALUE(MID($B2212,2,20))&lt;100000000,VALUE(MID($B2212,2,20)),1000000000),1000000000))+ROW()/100000,"")</f>
        <v/>
      </c>
    </row>
    <row r="2213">
      <c r="A2213">
        <f>IF($B2213="","",IFERROR(IF(INDEX('Per Invoice'!$A$2:$A$801,MATCH($B2213,'Per Invoice'!$B$2:$B$801,0))=0,"",INDEX('Per Invoice'!$A$2:$A$801,MATCH($B2213,'Per Invoice'!$B$2:$B$801,0))),""))</f>
        <v/>
      </c>
      <c r="J2213" s="7">
        <f>IF($B2213="","",I2213*Q2213/100)</f>
        <v/>
      </c>
      <c r="N2213" s="7" t="n"/>
      <c r="O2213" s="7" t="n"/>
      <c r="P2213" s="7">
        <f>IF($B2213="","",O2213*X2213/100)</f>
        <v/>
      </c>
      <c r="Q2213" s="7">
        <f>IF($B2213="","",O2213-P2213)</f>
        <v/>
      </c>
      <c r="R2213" s="7">
        <f>IF($B2213="","",Q2213-J2213)</f>
        <v/>
      </c>
      <c r="S2213" s="7" t="n"/>
      <c r="T2213" s="7" t="n"/>
      <c r="V2213" s="14" t="n"/>
      <c r="Z2213">
        <f>IF($B2213="","",IF(COUNTIF($B$2:$B2213,$B2213)=1,1,0))</f>
        <v/>
      </c>
      <c r="AA2213">
        <f>IF($Z2213=1,SUMPRODUCT(--($AC$2:$AC$3001&lt;$AC2213))+1,"")</f>
        <v/>
      </c>
      <c r="AB2213">
        <f>IF($B2213="","",IF(OR($Y2213=TRUE(),$Y2213="TRUE"),1,IF(AND($Y2213&lt;&gt;"",OR($Y2213=FALSE(),$Y2213="FALSE")),0,IF(MIN(ABS($X2213/100-Settings!$C$6),ABS($X2213/100-Settings!$G$6))&lt;=MIN(ABS($X2213/100-Settings!$C$7),ABS($X2213/100-Settings!$G$7)),1,0))))</f>
        <v/>
      </c>
      <c r="AC2213">
        <f>IF($Z2213=1,IFERROR(IF(VALUE($B2213)&lt;100000000,VALUE($B2213),1000000000),IFERROR(IF(VALUE(MID($B2213,2,20))&lt;100000000,VALUE(MID($B2213,2,20)),1000000000),1000000000))+ROW()/100000,"")</f>
        <v/>
      </c>
    </row>
    <row r="2214">
      <c r="A2214">
        <f>IF($B2214="","",IFERROR(IF(INDEX('Per Invoice'!$A$2:$A$801,MATCH($B2214,'Per Invoice'!$B$2:$B$801,0))=0,"",INDEX('Per Invoice'!$A$2:$A$801,MATCH($B2214,'Per Invoice'!$B$2:$B$801,0))),""))</f>
        <v/>
      </c>
      <c r="J2214" s="7">
        <f>IF($B2214="","",I2214*Q2214/100)</f>
        <v/>
      </c>
      <c r="N2214" s="7" t="n"/>
      <c r="O2214" s="7" t="n"/>
      <c r="P2214" s="7">
        <f>IF($B2214="","",O2214*X2214/100)</f>
        <v/>
      </c>
      <c r="Q2214" s="7">
        <f>IF($B2214="","",O2214-P2214)</f>
        <v/>
      </c>
      <c r="R2214" s="7">
        <f>IF($B2214="","",Q2214-J2214)</f>
        <v/>
      </c>
      <c r="S2214" s="7" t="n"/>
      <c r="T2214" s="7" t="n"/>
      <c r="V2214" s="14" t="n"/>
      <c r="Z2214">
        <f>IF($B2214="","",IF(COUNTIF($B$2:$B2214,$B2214)=1,1,0))</f>
        <v/>
      </c>
      <c r="AA2214">
        <f>IF($Z2214=1,SUMPRODUCT(--($AC$2:$AC$3001&lt;$AC2214))+1,"")</f>
        <v/>
      </c>
      <c r="AB2214">
        <f>IF($B2214="","",IF(OR($Y2214=TRUE(),$Y2214="TRUE"),1,IF(AND($Y2214&lt;&gt;"",OR($Y2214=FALSE(),$Y2214="FALSE")),0,IF(MIN(ABS($X2214/100-Settings!$C$6),ABS($X2214/100-Settings!$G$6))&lt;=MIN(ABS($X2214/100-Settings!$C$7),ABS($X2214/100-Settings!$G$7)),1,0))))</f>
        <v/>
      </c>
      <c r="AC2214">
        <f>IF($Z2214=1,IFERROR(IF(VALUE($B2214)&lt;100000000,VALUE($B2214),1000000000),IFERROR(IF(VALUE(MID($B2214,2,20))&lt;100000000,VALUE(MID($B2214,2,20)),1000000000),1000000000))+ROW()/100000,"")</f>
        <v/>
      </c>
    </row>
    <row r="2215">
      <c r="A2215">
        <f>IF($B2215="","",IFERROR(IF(INDEX('Per Invoice'!$A$2:$A$801,MATCH($B2215,'Per Invoice'!$B$2:$B$801,0))=0,"",INDEX('Per Invoice'!$A$2:$A$801,MATCH($B2215,'Per Invoice'!$B$2:$B$801,0))),""))</f>
        <v/>
      </c>
      <c r="J2215" s="7">
        <f>IF($B2215="","",I2215*Q2215/100)</f>
        <v/>
      </c>
      <c r="N2215" s="7" t="n"/>
      <c r="O2215" s="7" t="n"/>
      <c r="P2215" s="7">
        <f>IF($B2215="","",O2215*X2215/100)</f>
        <v/>
      </c>
      <c r="Q2215" s="7">
        <f>IF($B2215="","",O2215-P2215)</f>
        <v/>
      </c>
      <c r="R2215" s="7">
        <f>IF($B2215="","",Q2215-J2215)</f>
        <v/>
      </c>
      <c r="S2215" s="7" t="n"/>
      <c r="T2215" s="7" t="n"/>
      <c r="V2215" s="14" t="n"/>
      <c r="Z2215">
        <f>IF($B2215="","",IF(COUNTIF($B$2:$B2215,$B2215)=1,1,0))</f>
        <v/>
      </c>
      <c r="AA2215">
        <f>IF($Z2215=1,SUMPRODUCT(--($AC$2:$AC$3001&lt;$AC2215))+1,"")</f>
        <v/>
      </c>
      <c r="AB2215">
        <f>IF($B2215="","",IF(OR($Y2215=TRUE(),$Y2215="TRUE"),1,IF(AND($Y2215&lt;&gt;"",OR($Y2215=FALSE(),$Y2215="FALSE")),0,IF(MIN(ABS($X2215/100-Settings!$C$6),ABS($X2215/100-Settings!$G$6))&lt;=MIN(ABS($X2215/100-Settings!$C$7),ABS($X2215/100-Settings!$G$7)),1,0))))</f>
        <v/>
      </c>
      <c r="AC2215">
        <f>IF($Z2215=1,IFERROR(IF(VALUE($B2215)&lt;100000000,VALUE($B2215),1000000000),IFERROR(IF(VALUE(MID($B2215,2,20))&lt;100000000,VALUE(MID($B2215,2,20)),1000000000),1000000000))+ROW()/100000,"")</f>
        <v/>
      </c>
    </row>
    <row r="2216">
      <c r="A2216">
        <f>IF($B2216="","",IFERROR(IF(INDEX('Per Invoice'!$A$2:$A$801,MATCH($B2216,'Per Invoice'!$B$2:$B$801,0))=0,"",INDEX('Per Invoice'!$A$2:$A$801,MATCH($B2216,'Per Invoice'!$B$2:$B$801,0))),""))</f>
        <v/>
      </c>
      <c r="J2216" s="7">
        <f>IF($B2216="","",I2216*Q2216/100)</f>
        <v/>
      </c>
      <c r="N2216" s="7" t="n"/>
      <c r="O2216" s="7" t="n"/>
      <c r="P2216" s="7">
        <f>IF($B2216="","",O2216*X2216/100)</f>
        <v/>
      </c>
      <c r="Q2216" s="7">
        <f>IF($B2216="","",O2216-P2216)</f>
        <v/>
      </c>
      <c r="R2216" s="7">
        <f>IF($B2216="","",Q2216-J2216)</f>
        <v/>
      </c>
      <c r="S2216" s="7" t="n"/>
      <c r="T2216" s="7" t="n"/>
      <c r="V2216" s="14" t="n"/>
      <c r="Z2216">
        <f>IF($B2216="","",IF(COUNTIF($B$2:$B2216,$B2216)=1,1,0))</f>
        <v/>
      </c>
      <c r="AA2216">
        <f>IF($Z2216=1,SUMPRODUCT(--($AC$2:$AC$3001&lt;$AC2216))+1,"")</f>
        <v/>
      </c>
      <c r="AB2216">
        <f>IF($B2216="","",IF(OR($Y2216=TRUE(),$Y2216="TRUE"),1,IF(AND($Y2216&lt;&gt;"",OR($Y2216=FALSE(),$Y2216="FALSE")),0,IF(MIN(ABS($X2216/100-Settings!$C$6),ABS($X2216/100-Settings!$G$6))&lt;=MIN(ABS($X2216/100-Settings!$C$7),ABS($X2216/100-Settings!$G$7)),1,0))))</f>
        <v/>
      </c>
      <c r="AC2216">
        <f>IF($Z2216=1,IFERROR(IF(VALUE($B2216)&lt;100000000,VALUE($B2216),1000000000),IFERROR(IF(VALUE(MID($B2216,2,20))&lt;100000000,VALUE(MID($B2216,2,20)),1000000000),1000000000))+ROW()/100000,"")</f>
        <v/>
      </c>
    </row>
    <row r="2217">
      <c r="A2217">
        <f>IF($B2217="","",IFERROR(IF(INDEX('Per Invoice'!$A$2:$A$801,MATCH($B2217,'Per Invoice'!$B$2:$B$801,0))=0,"",INDEX('Per Invoice'!$A$2:$A$801,MATCH($B2217,'Per Invoice'!$B$2:$B$801,0))),""))</f>
        <v/>
      </c>
      <c r="J2217" s="7">
        <f>IF($B2217="","",I2217*Q2217/100)</f>
        <v/>
      </c>
      <c r="N2217" s="7" t="n"/>
      <c r="O2217" s="7" t="n"/>
      <c r="P2217" s="7">
        <f>IF($B2217="","",O2217*X2217/100)</f>
        <v/>
      </c>
      <c r="Q2217" s="7">
        <f>IF($B2217="","",O2217-P2217)</f>
        <v/>
      </c>
      <c r="R2217" s="7">
        <f>IF($B2217="","",Q2217-J2217)</f>
        <v/>
      </c>
      <c r="S2217" s="7" t="n"/>
      <c r="T2217" s="7" t="n"/>
      <c r="V2217" s="14" t="n"/>
      <c r="Z2217">
        <f>IF($B2217="","",IF(COUNTIF($B$2:$B2217,$B2217)=1,1,0))</f>
        <v/>
      </c>
      <c r="AA2217">
        <f>IF($Z2217=1,SUMPRODUCT(--($AC$2:$AC$3001&lt;$AC2217))+1,"")</f>
        <v/>
      </c>
      <c r="AB2217">
        <f>IF($B2217="","",IF(OR($Y2217=TRUE(),$Y2217="TRUE"),1,IF(AND($Y2217&lt;&gt;"",OR($Y2217=FALSE(),$Y2217="FALSE")),0,IF(MIN(ABS($X2217/100-Settings!$C$6),ABS($X2217/100-Settings!$G$6))&lt;=MIN(ABS($X2217/100-Settings!$C$7),ABS($X2217/100-Settings!$G$7)),1,0))))</f>
        <v/>
      </c>
      <c r="AC2217">
        <f>IF($Z2217=1,IFERROR(IF(VALUE($B2217)&lt;100000000,VALUE($B2217),1000000000),IFERROR(IF(VALUE(MID($B2217,2,20))&lt;100000000,VALUE(MID($B2217,2,20)),1000000000),1000000000))+ROW()/100000,"")</f>
        <v/>
      </c>
    </row>
    <row r="2218">
      <c r="A2218">
        <f>IF($B2218="","",IFERROR(IF(INDEX('Per Invoice'!$A$2:$A$801,MATCH($B2218,'Per Invoice'!$B$2:$B$801,0))=0,"",INDEX('Per Invoice'!$A$2:$A$801,MATCH($B2218,'Per Invoice'!$B$2:$B$801,0))),""))</f>
        <v/>
      </c>
      <c r="J2218" s="7">
        <f>IF($B2218="","",I2218*Q2218/100)</f>
        <v/>
      </c>
      <c r="N2218" s="7" t="n"/>
      <c r="O2218" s="7" t="n"/>
      <c r="P2218" s="7">
        <f>IF($B2218="","",O2218*X2218/100)</f>
        <v/>
      </c>
      <c r="Q2218" s="7">
        <f>IF($B2218="","",O2218-P2218)</f>
        <v/>
      </c>
      <c r="R2218" s="7">
        <f>IF($B2218="","",Q2218-J2218)</f>
        <v/>
      </c>
      <c r="S2218" s="7" t="n"/>
      <c r="T2218" s="7" t="n"/>
      <c r="V2218" s="14" t="n"/>
      <c r="Z2218">
        <f>IF($B2218="","",IF(COUNTIF($B$2:$B2218,$B2218)=1,1,0))</f>
        <v/>
      </c>
      <c r="AA2218">
        <f>IF($Z2218=1,SUMPRODUCT(--($AC$2:$AC$3001&lt;$AC2218))+1,"")</f>
        <v/>
      </c>
      <c r="AB2218">
        <f>IF($B2218="","",IF(OR($Y2218=TRUE(),$Y2218="TRUE"),1,IF(AND($Y2218&lt;&gt;"",OR($Y2218=FALSE(),$Y2218="FALSE")),0,IF(MIN(ABS($X2218/100-Settings!$C$6),ABS($X2218/100-Settings!$G$6))&lt;=MIN(ABS($X2218/100-Settings!$C$7),ABS($X2218/100-Settings!$G$7)),1,0))))</f>
        <v/>
      </c>
      <c r="AC2218">
        <f>IF($Z2218=1,IFERROR(IF(VALUE($B2218)&lt;100000000,VALUE($B2218),1000000000),IFERROR(IF(VALUE(MID($B2218,2,20))&lt;100000000,VALUE(MID($B2218,2,20)),1000000000),1000000000))+ROW()/100000,"")</f>
        <v/>
      </c>
    </row>
    <row r="2219">
      <c r="A2219">
        <f>IF($B2219="","",IFERROR(IF(INDEX('Per Invoice'!$A$2:$A$801,MATCH($B2219,'Per Invoice'!$B$2:$B$801,0))=0,"",INDEX('Per Invoice'!$A$2:$A$801,MATCH($B2219,'Per Invoice'!$B$2:$B$801,0))),""))</f>
        <v/>
      </c>
      <c r="J2219" s="7">
        <f>IF($B2219="","",I2219*Q2219/100)</f>
        <v/>
      </c>
      <c r="N2219" s="7" t="n"/>
      <c r="O2219" s="7" t="n"/>
      <c r="P2219" s="7">
        <f>IF($B2219="","",O2219*X2219/100)</f>
        <v/>
      </c>
      <c r="Q2219" s="7">
        <f>IF($B2219="","",O2219-P2219)</f>
        <v/>
      </c>
      <c r="R2219" s="7">
        <f>IF($B2219="","",Q2219-J2219)</f>
        <v/>
      </c>
      <c r="S2219" s="7" t="n"/>
      <c r="T2219" s="7" t="n"/>
      <c r="V2219" s="14" t="n"/>
      <c r="Z2219">
        <f>IF($B2219="","",IF(COUNTIF($B$2:$B2219,$B2219)=1,1,0))</f>
        <v/>
      </c>
      <c r="AA2219">
        <f>IF($Z2219=1,SUMPRODUCT(--($AC$2:$AC$3001&lt;$AC2219))+1,"")</f>
        <v/>
      </c>
      <c r="AB2219">
        <f>IF($B2219="","",IF(OR($Y2219=TRUE(),$Y2219="TRUE"),1,IF(AND($Y2219&lt;&gt;"",OR($Y2219=FALSE(),$Y2219="FALSE")),0,IF(MIN(ABS($X2219/100-Settings!$C$6),ABS($X2219/100-Settings!$G$6))&lt;=MIN(ABS($X2219/100-Settings!$C$7),ABS($X2219/100-Settings!$G$7)),1,0))))</f>
        <v/>
      </c>
      <c r="AC2219">
        <f>IF($Z2219=1,IFERROR(IF(VALUE($B2219)&lt;100000000,VALUE($B2219),1000000000),IFERROR(IF(VALUE(MID($B2219,2,20))&lt;100000000,VALUE(MID($B2219,2,20)),1000000000),1000000000))+ROW()/100000,"")</f>
        <v/>
      </c>
    </row>
    <row r="2220">
      <c r="A2220">
        <f>IF($B2220="","",IFERROR(IF(INDEX('Per Invoice'!$A$2:$A$801,MATCH($B2220,'Per Invoice'!$B$2:$B$801,0))=0,"",INDEX('Per Invoice'!$A$2:$A$801,MATCH($B2220,'Per Invoice'!$B$2:$B$801,0))),""))</f>
        <v/>
      </c>
      <c r="J2220" s="7">
        <f>IF($B2220="","",I2220*Q2220/100)</f>
        <v/>
      </c>
      <c r="N2220" s="7" t="n"/>
      <c r="O2220" s="7" t="n"/>
      <c r="P2220" s="7">
        <f>IF($B2220="","",O2220*X2220/100)</f>
        <v/>
      </c>
      <c r="Q2220" s="7">
        <f>IF($B2220="","",O2220-P2220)</f>
        <v/>
      </c>
      <c r="R2220" s="7">
        <f>IF($B2220="","",Q2220-J2220)</f>
        <v/>
      </c>
      <c r="S2220" s="7" t="n"/>
      <c r="T2220" s="7" t="n"/>
      <c r="V2220" s="14" t="n"/>
      <c r="Z2220">
        <f>IF($B2220="","",IF(COUNTIF($B$2:$B2220,$B2220)=1,1,0))</f>
        <v/>
      </c>
      <c r="AA2220">
        <f>IF($Z2220=1,SUMPRODUCT(--($AC$2:$AC$3001&lt;$AC2220))+1,"")</f>
        <v/>
      </c>
      <c r="AB2220">
        <f>IF($B2220="","",IF(OR($Y2220=TRUE(),$Y2220="TRUE"),1,IF(AND($Y2220&lt;&gt;"",OR($Y2220=FALSE(),$Y2220="FALSE")),0,IF(MIN(ABS($X2220/100-Settings!$C$6),ABS($X2220/100-Settings!$G$6))&lt;=MIN(ABS($X2220/100-Settings!$C$7),ABS($X2220/100-Settings!$G$7)),1,0))))</f>
        <v/>
      </c>
      <c r="AC2220">
        <f>IF($Z2220=1,IFERROR(IF(VALUE($B2220)&lt;100000000,VALUE($B2220),1000000000),IFERROR(IF(VALUE(MID($B2220,2,20))&lt;100000000,VALUE(MID($B2220,2,20)),1000000000),1000000000))+ROW()/100000,"")</f>
        <v/>
      </c>
    </row>
    <row r="2221">
      <c r="A2221">
        <f>IF($B2221="","",IFERROR(IF(INDEX('Per Invoice'!$A$2:$A$801,MATCH($B2221,'Per Invoice'!$B$2:$B$801,0))=0,"",INDEX('Per Invoice'!$A$2:$A$801,MATCH($B2221,'Per Invoice'!$B$2:$B$801,0))),""))</f>
        <v/>
      </c>
      <c r="J2221" s="7">
        <f>IF($B2221="","",I2221*Q2221/100)</f>
        <v/>
      </c>
      <c r="N2221" s="7" t="n"/>
      <c r="O2221" s="7" t="n"/>
      <c r="P2221" s="7">
        <f>IF($B2221="","",O2221*X2221/100)</f>
        <v/>
      </c>
      <c r="Q2221" s="7">
        <f>IF($B2221="","",O2221-P2221)</f>
        <v/>
      </c>
      <c r="R2221" s="7">
        <f>IF($B2221="","",Q2221-J2221)</f>
        <v/>
      </c>
      <c r="S2221" s="7" t="n"/>
      <c r="T2221" s="7" t="n"/>
      <c r="V2221" s="14" t="n"/>
      <c r="Z2221">
        <f>IF($B2221="","",IF(COUNTIF($B$2:$B2221,$B2221)=1,1,0))</f>
        <v/>
      </c>
      <c r="AA2221">
        <f>IF($Z2221=1,SUMPRODUCT(--($AC$2:$AC$3001&lt;$AC2221))+1,"")</f>
        <v/>
      </c>
      <c r="AB2221">
        <f>IF($B2221="","",IF(OR($Y2221=TRUE(),$Y2221="TRUE"),1,IF(AND($Y2221&lt;&gt;"",OR($Y2221=FALSE(),$Y2221="FALSE")),0,IF(MIN(ABS($X2221/100-Settings!$C$6),ABS($X2221/100-Settings!$G$6))&lt;=MIN(ABS($X2221/100-Settings!$C$7),ABS($X2221/100-Settings!$G$7)),1,0))))</f>
        <v/>
      </c>
      <c r="AC2221">
        <f>IF($Z2221=1,IFERROR(IF(VALUE($B2221)&lt;100000000,VALUE($B2221),1000000000),IFERROR(IF(VALUE(MID($B2221,2,20))&lt;100000000,VALUE(MID($B2221,2,20)),1000000000),1000000000))+ROW()/100000,"")</f>
        <v/>
      </c>
    </row>
    <row r="2222">
      <c r="A2222">
        <f>IF($B2222="","",IFERROR(IF(INDEX('Per Invoice'!$A$2:$A$801,MATCH($B2222,'Per Invoice'!$B$2:$B$801,0))=0,"",INDEX('Per Invoice'!$A$2:$A$801,MATCH($B2222,'Per Invoice'!$B$2:$B$801,0))),""))</f>
        <v/>
      </c>
      <c r="J2222" s="7">
        <f>IF($B2222="","",I2222*Q2222/100)</f>
        <v/>
      </c>
      <c r="N2222" s="7" t="n"/>
      <c r="O2222" s="7" t="n"/>
      <c r="P2222" s="7">
        <f>IF($B2222="","",O2222*X2222/100)</f>
        <v/>
      </c>
      <c r="Q2222" s="7">
        <f>IF($B2222="","",O2222-P2222)</f>
        <v/>
      </c>
      <c r="R2222" s="7">
        <f>IF($B2222="","",Q2222-J2222)</f>
        <v/>
      </c>
      <c r="S2222" s="7" t="n"/>
      <c r="T2222" s="7" t="n"/>
      <c r="V2222" s="14" t="n"/>
      <c r="Z2222">
        <f>IF($B2222="","",IF(COUNTIF($B$2:$B2222,$B2222)=1,1,0))</f>
        <v/>
      </c>
      <c r="AA2222">
        <f>IF($Z2222=1,SUMPRODUCT(--($AC$2:$AC$3001&lt;$AC2222))+1,"")</f>
        <v/>
      </c>
      <c r="AB2222">
        <f>IF($B2222="","",IF(OR($Y2222=TRUE(),$Y2222="TRUE"),1,IF(AND($Y2222&lt;&gt;"",OR($Y2222=FALSE(),$Y2222="FALSE")),0,IF(MIN(ABS($X2222/100-Settings!$C$6),ABS($X2222/100-Settings!$G$6))&lt;=MIN(ABS($X2222/100-Settings!$C$7),ABS($X2222/100-Settings!$G$7)),1,0))))</f>
        <v/>
      </c>
      <c r="AC2222">
        <f>IF($Z2222=1,IFERROR(IF(VALUE($B2222)&lt;100000000,VALUE($B2222),1000000000),IFERROR(IF(VALUE(MID($B2222,2,20))&lt;100000000,VALUE(MID($B2222,2,20)),1000000000),1000000000))+ROW()/100000,"")</f>
        <v/>
      </c>
    </row>
    <row r="2223">
      <c r="A2223">
        <f>IF($B2223="","",IFERROR(IF(INDEX('Per Invoice'!$A$2:$A$801,MATCH($B2223,'Per Invoice'!$B$2:$B$801,0))=0,"",INDEX('Per Invoice'!$A$2:$A$801,MATCH($B2223,'Per Invoice'!$B$2:$B$801,0))),""))</f>
        <v/>
      </c>
      <c r="J2223" s="7">
        <f>IF($B2223="","",I2223*Q2223/100)</f>
        <v/>
      </c>
      <c r="N2223" s="7" t="n"/>
      <c r="O2223" s="7" t="n"/>
      <c r="P2223" s="7">
        <f>IF($B2223="","",O2223*X2223/100)</f>
        <v/>
      </c>
      <c r="Q2223" s="7">
        <f>IF($B2223="","",O2223-P2223)</f>
        <v/>
      </c>
      <c r="R2223" s="7">
        <f>IF($B2223="","",Q2223-J2223)</f>
        <v/>
      </c>
      <c r="S2223" s="7" t="n"/>
      <c r="T2223" s="7" t="n"/>
      <c r="V2223" s="14" t="n"/>
      <c r="Z2223">
        <f>IF($B2223="","",IF(COUNTIF($B$2:$B2223,$B2223)=1,1,0))</f>
        <v/>
      </c>
      <c r="AA2223">
        <f>IF($Z2223=1,SUMPRODUCT(--($AC$2:$AC$3001&lt;$AC2223))+1,"")</f>
        <v/>
      </c>
      <c r="AB2223">
        <f>IF($B2223="","",IF(OR($Y2223=TRUE(),$Y2223="TRUE"),1,IF(AND($Y2223&lt;&gt;"",OR($Y2223=FALSE(),$Y2223="FALSE")),0,IF(MIN(ABS($X2223/100-Settings!$C$6),ABS($X2223/100-Settings!$G$6))&lt;=MIN(ABS($X2223/100-Settings!$C$7),ABS($X2223/100-Settings!$G$7)),1,0))))</f>
        <v/>
      </c>
      <c r="AC2223">
        <f>IF($Z2223=1,IFERROR(IF(VALUE($B2223)&lt;100000000,VALUE($B2223),1000000000),IFERROR(IF(VALUE(MID($B2223,2,20))&lt;100000000,VALUE(MID($B2223,2,20)),1000000000),1000000000))+ROW()/100000,"")</f>
        <v/>
      </c>
    </row>
    <row r="2224">
      <c r="A2224">
        <f>IF($B2224="","",IFERROR(IF(INDEX('Per Invoice'!$A$2:$A$801,MATCH($B2224,'Per Invoice'!$B$2:$B$801,0))=0,"",INDEX('Per Invoice'!$A$2:$A$801,MATCH($B2224,'Per Invoice'!$B$2:$B$801,0))),""))</f>
        <v/>
      </c>
      <c r="J2224" s="7">
        <f>IF($B2224="","",I2224*Q2224/100)</f>
        <v/>
      </c>
      <c r="N2224" s="7" t="n"/>
      <c r="O2224" s="7" t="n"/>
      <c r="P2224" s="7">
        <f>IF($B2224="","",O2224*X2224/100)</f>
        <v/>
      </c>
      <c r="Q2224" s="7">
        <f>IF($B2224="","",O2224-P2224)</f>
        <v/>
      </c>
      <c r="R2224" s="7">
        <f>IF($B2224="","",Q2224-J2224)</f>
        <v/>
      </c>
      <c r="S2224" s="7" t="n"/>
      <c r="T2224" s="7" t="n"/>
      <c r="V2224" s="14" t="n"/>
      <c r="Z2224">
        <f>IF($B2224="","",IF(COUNTIF($B$2:$B2224,$B2224)=1,1,0))</f>
        <v/>
      </c>
      <c r="AA2224">
        <f>IF($Z2224=1,SUMPRODUCT(--($AC$2:$AC$3001&lt;$AC2224))+1,"")</f>
        <v/>
      </c>
      <c r="AB2224">
        <f>IF($B2224="","",IF(OR($Y2224=TRUE(),$Y2224="TRUE"),1,IF(AND($Y2224&lt;&gt;"",OR($Y2224=FALSE(),$Y2224="FALSE")),0,IF(MIN(ABS($X2224/100-Settings!$C$6),ABS($X2224/100-Settings!$G$6))&lt;=MIN(ABS($X2224/100-Settings!$C$7),ABS($X2224/100-Settings!$G$7)),1,0))))</f>
        <v/>
      </c>
      <c r="AC2224">
        <f>IF($Z2224=1,IFERROR(IF(VALUE($B2224)&lt;100000000,VALUE($B2224),1000000000),IFERROR(IF(VALUE(MID($B2224,2,20))&lt;100000000,VALUE(MID($B2224,2,20)),1000000000),1000000000))+ROW()/100000,"")</f>
        <v/>
      </c>
    </row>
    <row r="2225">
      <c r="A2225">
        <f>IF($B2225="","",IFERROR(IF(INDEX('Per Invoice'!$A$2:$A$801,MATCH($B2225,'Per Invoice'!$B$2:$B$801,0))=0,"",INDEX('Per Invoice'!$A$2:$A$801,MATCH($B2225,'Per Invoice'!$B$2:$B$801,0))),""))</f>
        <v/>
      </c>
      <c r="J2225" s="7">
        <f>IF($B2225="","",I2225*Q2225/100)</f>
        <v/>
      </c>
      <c r="N2225" s="7" t="n"/>
      <c r="O2225" s="7" t="n"/>
      <c r="P2225" s="7">
        <f>IF($B2225="","",O2225*X2225/100)</f>
        <v/>
      </c>
      <c r="Q2225" s="7">
        <f>IF($B2225="","",O2225-P2225)</f>
        <v/>
      </c>
      <c r="R2225" s="7">
        <f>IF($B2225="","",Q2225-J2225)</f>
        <v/>
      </c>
      <c r="S2225" s="7" t="n"/>
      <c r="T2225" s="7" t="n"/>
      <c r="V2225" s="14" t="n"/>
      <c r="Z2225">
        <f>IF($B2225="","",IF(COUNTIF($B$2:$B2225,$B2225)=1,1,0))</f>
        <v/>
      </c>
      <c r="AA2225">
        <f>IF($Z2225=1,SUMPRODUCT(--($AC$2:$AC$3001&lt;$AC2225))+1,"")</f>
        <v/>
      </c>
      <c r="AB2225">
        <f>IF($B2225="","",IF(OR($Y2225=TRUE(),$Y2225="TRUE"),1,IF(AND($Y2225&lt;&gt;"",OR($Y2225=FALSE(),$Y2225="FALSE")),0,IF(MIN(ABS($X2225/100-Settings!$C$6),ABS($X2225/100-Settings!$G$6))&lt;=MIN(ABS($X2225/100-Settings!$C$7),ABS($X2225/100-Settings!$G$7)),1,0))))</f>
        <v/>
      </c>
      <c r="AC2225">
        <f>IF($Z2225=1,IFERROR(IF(VALUE($B2225)&lt;100000000,VALUE($B2225),1000000000),IFERROR(IF(VALUE(MID($B2225,2,20))&lt;100000000,VALUE(MID($B2225,2,20)),1000000000),1000000000))+ROW()/100000,"")</f>
        <v/>
      </c>
    </row>
    <row r="2226">
      <c r="A2226">
        <f>IF($B2226="","",IFERROR(IF(INDEX('Per Invoice'!$A$2:$A$801,MATCH($B2226,'Per Invoice'!$B$2:$B$801,0))=0,"",INDEX('Per Invoice'!$A$2:$A$801,MATCH($B2226,'Per Invoice'!$B$2:$B$801,0))),""))</f>
        <v/>
      </c>
      <c r="J2226" s="7">
        <f>IF($B2226="","",I2226*Q2226/100)</f>
        <v/>
      </c>
      <c r="N2226" s="7" t="n"/>
      <c r="O2226" s="7" t="n"/>
      <c r="P2226" s="7">
        <f>IF($B2226="","",O2226*X2226/100)</f>
        <v/>
      </c>
      <c r="Q2226" s="7">
        <f>IF($B2226="","",O2226-P2226)</f>
        <v/>
      </c>
      <c r="R2226" s="7">
        <f>IF($B2226="","",Q2226-J2226)</f>
        <v/>
      </c>
      <c r="S2226" s="7" t="n"/>
      <c r="T2226" s="7" t="n"/>
      <c r="V2226" s="14" t="n"/>
      <c r="Z2226">
        <f>IF($B2226="","",IF(COUNTIF($B$2:$B2226,$B2226)=1,1,0))</f>
        <v/>
      </c>
      <c r="AA2226">
        <f>IF($Z2226=1,SUMPRODUCT(--($AC$2:$AC$3001&lt;$AC2226))+1,"")</f>
        <v/>
      </c>
      <c r="AB2226">
        <f>IF($B2226="","",IF(OR($Y2226=TRUE(),$Y2226="TRUE"),1,IF(AND($Y2226&lt;&gt;"",OR($Y2226=FALSE(),$Y2226="FALSE")),0,IF(MIN(ABS($X2226/100-Settings!$C$6),ABS($X2226/100-Settings!$G$6))&lt;=MIN(ABS($X2226/100-Settings!$C$7),ABS($X2226/100-Settings!$G$7)),1,0))))</f>
        <v/>
      </c>
      <c r="AC2226">
        <f>IF($Z2226=1,IFERROR(IF(VALUE($B2226)&lt;100000000,VALUE($B2226),1000000000),IFERROR(IF(VALUE(MID($B2226,2,20))&lt;100000000,VALUE(MID($B2226,2,20)),1000000000),1000000000))+ROW()/100000,"")</f>
        <v/>
      </c>
    </row>
    <row r="2227">
      <c r="A2227">
        <f>IF($B2227="","",IFERROR(IF(INDEX('Per Invoice'!$A$2:$A$801,MATCH($B2227,'Per Invoice'!$B$2:$B$801,0))=0,"",INDEX('Per Invoice'!$A$2:$A$801,MATCH($B2227,'Per Invoice'!$B$2:$B$801,0))),""))</f>
        <v/>
      </c>
      <c r="J2227" s="7">
        <f>IF($B2227="","",I2227*Q2227/100)</f>
        <v/>
      </c>
      <c r="N2227" s="7" t="n"/>
      <c r="O2227" s="7" t="n"/>
      <c r="P2227" s="7">
        <f>IF($B2227="","",O2227*X2227/100)</f>
        <v/>
      </c>
      <c r="Q2227" s="7">
        <f>IF($B2227="","",O2227-P2227)</f>
        <v/>
      </c>
      <c r="R2227" s="7">
        <f>IF($B2227="","",Q2227-J2227)</f>
        <v/>
      </c>
      <c r="S2227" s="7" t="n"/>
      <c r="T2227" s="7" t="n"/>
      <c r="V2227" s="14" t="n"/>
      <c r="Z2227">
        <f>IF($B2227="","",IF(COUNTIF($B$2:$B2227,$B2227)=1,1,0))</f>
        <v/>
      </c>
      <c r="AA2227">
        <f>IF($Z2227=1,SUMPRODUCT(--($AC$2:$AC$3001&lt;$AC2227))+1,"")</f>
        <v/>
      </c>
      <c r="AB2227">
        <f>IF($B2227="","",IF(OR($Y2227=TRUE(),$Y2227="TRUE"),1,IF(AND($Y2227&lt;&gt;"",OR($Y2227=FALSE(),$Y2227="FALSE")),0,IF(MIN(ABS($X2227/100-Settings!$C$6),ABS($X2227/100-Settings!$G$6))&lt;=MIN(ABS($X2227/100-Settings!$C$7),ABS($X2227/100-Settings!$G$7)),1,0))))</f>
        <v/>
      </c>
      <c r="AC2227">
        <f>IF($Z2227=1,IFERROR(IF(VALUE($B2227)&lt;100000000,VALUE($B2227),1000000000),IFERROR(IF(VALUE(MID($B2227,2,20))&lt;100000000,VALUE(MID($B2227,2,20)),1000000000),1000000000))+ROW()/100000,"")</f>
        <v/>
      </c>
    </row>
    <row r="2228">
      <c r="A2228">
        <f>IF($B2228="","",IFERROR(IF(INDEX('Per Invoice'!$A$2:$A$801,MATCH($B2228,'Per Invoice'!$B$2:$B$801,0))=0,"",INDEX('Per Invoice'!$A$2:$A$801,MATCH($B2228,'Per Invoice'!$B$2:$B$801,0))),""))</f>
        <v/>
      </c>
      <c r="J2228" s="7">
        <f>IF($B2228="","",I2228*Q2228/100)</f>
        <v/>
      </c>
      <c r="N2228" s="7" t="n"/>
      <c r="O2228" s="7" t="n"/>
      <c r="P2228" s="7">
        <f>IF($B2228="","",O2228*X2228/100)</f>
        <v/>
      </c>
      <c r="Q2228" s="7">
        <f>IF($B2228="","",O2228-P2228)</f>
        <v/>
      </c>
      <c r="R2228" s="7">
        <f>IF($B2228="","",Q2228-J2228)</f>
        <v/>
      </c>
      <c r="S2228" s="7" t="n"/>
      <c r="T2228" s="7" t="n"/>
      <c r="V2228" s="14" t="n"/>
      <c r="Z2228">
        <f>IF($B2228="","",IF(COUNTIF($B$2:$B2228,$B2228)=1,1,0))</f>
        <v/>
      </c>
      <c r="AA2228">
        <f>IF($Z2228=1,SUMPRODUCT(--($AC$2:$AC$3001&lt;$AC2228))+1,"")</f>
        <v/>
      </c>
      <c r="AB2228">
        <f>IF($B2228="","",IF(OR($Y2228=TRUE(),$Y2228="TRUE"),1,IF(AND($Y2228&lt;&gt;"",OR($Y2228=FALSE(),$Y2228="FALSE")),0,IF(MIN(ABS($X2228/100-Settings!$C$6),ABS($X2228/100-Settings!$G$6))&lt;=MIN(ABS($X2228/100-Settings!$C$7),ABS($X2228/100-Settings!$G$7)),1,0))))</f>
        <v/>
      </c>
      <c r="AC2228">
        <f>IF($Z2228=1,IFERROR(IF(VALUE($B2228)&lt;100000000,VALUE($B2228),1000000000),IFERROR(IF(VALUE(MID($B2228,2,20))&lt;100000000,VALUE(MID($B2228,2,20)),1000000000),1000000000))+ROW()/100000,"")</f>
        <v/>
      </c>
    </row>
    <row r="2229">
      <c r="A2229">
        <f>IF($B2229="","",IFERROR(IF(INDEX('Per Invoice'!$A$2:$A$801,MATCH($B2229,'Per Invoice'!$B$2:$B$801,0))=0,"",INDEX('Per Invoice'!$A$2:$A$801,MATCH($B2229,'Per Invoice'!$B$2:$B$801,0))),""))</f>
        <v/>
      </c>
      <c r="J2229" s="7">
        <f>IF($B2229="","",I2229*Q2229/100)</f>
        <v/>
      </c>
      <c r="N2229" s="7" t="n"/>
      <c r="O2229" s="7" t="n"/>
      <c r="P2229" s="7">
        <f>IF($B2229="","",O2229*X2229/100)</f>
        <v/>
      </c>
      <c r="Q2229" s="7">
        <f>IF($B2229="","",O2229-P2229)</f>
        <v/>
      </c>
      <c r="R2229" s="7">
        <f>IF($B2229="","",Q2229-J2229)</f>
        <v/>
      </c>
      <c r="S2229" s="7" t="n"/>
      <c r="T2229" s="7" t="n"/>
      <c r="V2229" s="14" t="n"/>
      <c r="Z2229">
        <f>IF($B2229="","",IF(COUNTIF($B$2:$B2229,$B2229)=1,1,0))</f>
        <v/>
      </c>
      <c r="AA2229">
        <f>IF($Z2229=1,SUMPRODUCT(--($AC$2:$AC$3001&lt;$AC2229))+1,"")</f>
        <v/>
      </c>
      <c r="AB2229">
        <f>IF($B2229="","",IF(OR($Y2229=TRUE(),$Y2229="TRUE"),1,IF(AND($Y2229&lt;&gt;"",OR($Y2229=FALSE(),$Y2229="FALSE")),0,IF(MIN(ABS($X2229/100-Settings!$C$6),ABS($X2229/100-Settings!$G$6))&lt;=MIN(ABS($X2229/100-Settings!$C$7),ABS($X2229/100-Settings!$G$7)),1,0))))</f>
        <v/>
      </c>
      <c r="AC2229">
        <f>IF($Z2229=1,IFERROR(IF(VALUE($B2229)&lt;100000000,VALUE($B2229),1000000000),IFERROR(IF(VALUE(MID($B2229,2,20))&lt;100000000,VALUE(MID($B2229,2,20)),1000000000),1000000000))+ROW()/100000,"")</f>
        <v/>
      </c>
    </row>
    <row r="2230">
      <c r="A2230">
        <f>IF($B2230="","",IFERROR(IF(INDEX('Per Invoice'!$A$2:$A$801,MATCH($B2230,'Per Invoice'!$B$2:$B$801,0))=0,"",INDEX('Per Invoice'!$A$2:$A$801,MATCH($B2230,'Per Invoice'!$B$2:$B$801,0))),""))</f>
        <v/>
      </c>
      <c r="J2230" s="7">
        <f>IF($B2230="","",I2230*Q2230/100)</f>
        <v/>
      </c>
      <c r="N2230" s="7" t="n"/>
      <c r="O2230" s="7" t="n"/>
      <c r="P2230" s="7">
        <f>IF($B2230="","",O2230*X2230/100)</f>
        <v/>
      </c>
      <c r="Q2230" s="7">
        <f>IF($B2230="","",O2230-P2230)</f>
        <v/>
      </c>
      <c r="R2230" s="7">
        <f>IF($B2230="","",Q2230-J2230)</f>
        <v/>
      </c>
      <c r="S2230" s="7" t="n"/>
      <c r="T2230" s="7" t="n"/>
      <c r="V2230" s="14" t="n"/>
      <c r="Z2230">
        <f>IF($B2230="","",IF(COUNTIF($B$2:$B2230,$B2230)=1,1,0))</f>
        <v/>
      </c>
      <c r="AA2230">
        <f>IF($Z2230=1,SUMPRODUCT(--($AC$2:$AC$3001&lt;$AC2230))+1,"")</f>
        <v/>
      </c>
      <c r="AB2230">
        <f>IF($B2230="","",IF(OR($Y2230=TRUE(),$Y2230="TRUE"),1,IF(AND($Y2230&lt;&gt;"",OR($Y2230=FALSE(),$Y2230="FALSE")),0,IF(MIN(ABS($X2230/100-Settings!$C$6),ABS($X2230/100-Settings!$G$6))&lt;=MIN(ABS($X2230/100-Settings!$C$7),ABS($X2230/100-Settings!$G$7)),1,0))))</f>
        <v/>
      </c>
      <c r="AC2230">
        <f>IF($Z2230=1,IFERROR(IF(VALUE($B2230)&lt;100000000,VALUE($B2230),1000000000),IFERROR(IF(VALUE(MID($B2230,2,20))&lt;100000000,VALUE(MID($B2230,2,20)),1000000000),1000000000))+ROW()/100000,"")</f>
        <v/>
      </c>
    </row>
    <row r="2231">
      <c r="A2231">
        <f>IF($B2231="","",IFERROR(IF(INDEX('Per Invoice'!$A$2:$A$801,MATCH($B2231,'Per Invoice'!$B$2:$B$801,0))=0,"",INDEX('Per Invoice'!$A$2:$A$801,MATCH($B2231,'Per Invoice'!$B$2:$B$801,0))),""))</f>
        <v/>
      </c>
      <c r="J2231" s="7">
        <f>IF($B2231="","",I2231*Q2231/100)</f>
        <v/>
      </c>
      <c r="N2231" s="7" t="n"/>
      <c r="O2231" s="7" t="n"/>
      <c r="P2231" s="7">
        <f>IF($B2231="","",O2231*X2231/100)</f>
        <v/>
      </c>
      <c r="Q2231" s="7">
        <f>IF($B2231="","",O2231-P2231)</f>
        <v/>
      </c>
      <c r="R2231" s="7">
        <f>IF($B2231="","",Q2231-J2231)</f>
        <v/>
      </c>
      <c r="S2231" s="7" t="n"/>
      <c r="T2231" s="7" t="n"/>
      <c r="V2231" s="14" t="n"/>
      <c r="Z2231">
        <f>IF($B2231="","",IF(COUNTIF($B$2:$B2231,$B2231)=1,1,0))</f>
        <v/>
      </c>
      <c r="AA2231">
        <f>IF($Z2231=1,SUMPRODUCT(--($AC$2:$AC$3001&lt;$AC2231))+1,"")</f>
        <v/>
      </c>
      <c r="AB2231">
        <f>IF($B2231="","",IF(OR($Y2231=TRUE(),$Y2231="TRUE"),1,IF(AND($Y2231&lt;&gt;"",OR($Y2231=FALSE(),$Y2231="FALSE")),0,IF(MIN(ABS($X2231/100-Settings!$C$6),ABS($X2231/100-Settings!$G$6))&lt;=MIN(ABS($X2231/100-Settings!$C$7),ABS($X2231/100-Settings!$G$7)),1,0))))</f>
        <v/>
      </c>
      <c r="AC2231">
        <f>IF($Z2231=1,IFERROR(IF(VALUE($B2231)&lt;100000000,VALUE($B2231),1000000000),IFERROR(IF(VALUE(MID($B2231,2,20))&lt;100000000,VALUE(MID($B2231,2,20)),1000000000),1000000000))+ROW()/100000,"")</f>
        <v/>
      </c>
    </row>
    <row r="2232">
      <c r="A2232">
        <f>IF($B2232="","",IFERROR(IF(INDEX('Per Invoice'!$A$2:$A$801,MATCH($B2232,'Per Invoice'!$B$2:$B$801,0))=0,"",INDEX('Per Invoice'!$A$2:$A$801,MATCH($B2232,'Per Invoice'!$B$2:$B$801,0))),""))</f>
        <v/>
      </c>
      <c r="J2232" s="7">
        <f>IF($B2232="","",I2232*Q2232/100)</f>
        <v/>
      </c>
      <c r="N2232" s="7" t="n"/>
      <c r="O2232" s="7" t="n"/>
      <c r="P2232" s="7">
        <f>IF($B2232="","",O2232*X2232/100)</f>
        <v/>
      </c>
      <c r="Q2232" s="7">
        <f>IF($B2232="","",O2232-P2232)</f>
        <v/>
      </c>
      <c r="R2232" s="7">
        <f>IF($B2232="","",Q2232-J2232)</f>
        <v/>
      </c>
      <c r="S2232" s="7" t="n"/>
      <c r="T2232" s="7" t="n"/>
      <c r="V2232" s="14" t="n"/>
      <c r="Z2232">
        <f>IF($B2232="","",IF(COUNTIF($B$2:$B2232,$B2232)=1,1,0))</f>
        <v/>
      </c>
      <c r="AA2232">
        <f>IF($Z2232=1,SUMPRODUCT(--($AC$2:$AC$3001&lt;$AC2232))+1,"")</f>
        <v/>
      </c>
      <c r="AB2232">
        <f>IF($B2232="","",IF(OR($Y2232=TRUE(),$Y2232="TRUE"),1,IF(AND($Y2232&lt;&gt;"",OR($Y2232=FALSE(),$Y2232="FALSE")),0,IF(MIN(ABS($X2232/100-Settings!$C$6),ABS($X2232/100-Settings!$G$6))&lt;=MIN(ABS($X2232/100-Settings!$C$7),ABS($X2232/100-Settings!$G$7)),1,0))))</f>
        <v/>
      </c>
      <c r="AC2232">
        <f>IF($Z2232=1,IFERROR(IF(VALUE($B2232)&lt;100000000,VALUE($B2232),1000000000),IFERROR(IF(VALUE(MID($B2232,2,20))&lt;100000000,VALUE(MID($B2232,2,20)),1000000000),1000000000))+ROW()/100000,"")</f>
        <v/>
      </c>
    </row>
    <row r="2233">
      <c r="A2233">
        <f>IF($B2233="","",IFERROR(IF(INDEX('Per Invoice'!$A$2:$A$801,MATCH($B2233,'Per Invoice'!$B$2:$B$801,0))=0,"",INDEX('Per Invoice'!$A$2:$A$801,MATCH($B2233,'Per Invoice'!$B$2:$B$801,0))),""))</f>
        <v/>
      </c>
      <c r="J2233" s="7">
        <f>IF($B2233="","",I2233*Q2233/100)</f>
        <v/>
      </c>
      <c r="N2233" s="7" t="n"/>
      <c r="O2233" s="7" t="n"/>
      <c r="P2233" s="7">
        <f>IF($B2233="","",O2233*X2233/100)</f>
        <v/>
      </c>
      <c r="Q2233" s="7">
        <f>IF($B2233="","",O2233-P2233)</f>
        <v/>
      </c>
      <c r="R2233" s="7">
        <f>IF($B2233="","",Q2233-J2233)</f>
        <v/>
      </c>
      <c r="S2233" s="7" t="n"/>
      <c r="T2233" s="7" t="n"/>
      <c r="V2233" s="14" t="n"/>
      <c r="Z2233">
        <f>IF($B2233="","",IF(COUNTIF($B$2:$B2233,$B2233)=1,1,0))</f>
        <v/>
      </c>
      <c r="AA2233">
        <f>IF($Z2233=1,SUMPRODUCT(--($AC$2:$AC$3001&lt;$AC2233))+1,"")</f>
        <v/>
      </c>
      <c r="AB2233">
        <f>IF($B2233="","",IF(OR($Y2233=TRUE(),$Y2233="TRUE"),1,IF(AND($Y2233&lt;&gt;"",OR($Y2233=FALSE(),$Y2233="FALSE")),0,IF(MIN(ABS($X2233/100-Settings!$C$6),ABS($X2233/100-Settings!$G$6))&lt;=MIN(ABS($X2233/100-Settings!$C$7),ABS($X2233/100-Settings!$G$7)),1,0))))</f>
        <v/>
      </c>
      <c r="AC2233">
        <f>IF($Z2233=1,IFERROR(IF(VALUE($B2233)&lt;100000000,VALUE($B2233),1000000000),IFERROR(IF(VALUE(MID($B2233,2,20))&lt;100000000,VALUE(MID($B2233,2,20)),1000000000),1000000000))+ROW()/100000,"")</f>
        <v/>
      </c>
    </row>
    <row r="2234">
      <c r="A2234">
        <f>IF($B2234="","",IFERROR(IF(INDEX('Per Invoice'!$A$2:$A$801,MATCH($B2234,'Per Invoice'!$B$2:$B$801,0))=0,"",INDEX('Per Invoice'!$A$2:$A$801,MATCH($B2234,'Per Invoice'!$B$2:$B$801,0))),""))</f>
        <v/>
      </c>
      <c r="J2234" s="7">
        <f>IF($B2234="","",I2234*Q2234/100)</f>
        <v/>
      </c>
      <c r="N2234" s="7" t="n"/>
      <c r="O2234" s="7" t="n"/>
      <c r="P2234" s="7">
        <f>IF($B2234="","",O2234*X2234/100)</f>
        <v/>
      </c>
      <c r="Q2234" s="7">
        <f>IF($B2234="","",O2234-P2234)</f>
        <v/>
      </c>
      <c r="R2234" s="7">
        <f>IF($B2234="","",Q2234-J2234)</f>
        <v/>
      </c>
      <c r="S2234" s="7" t="n"/>
      <c r="T2234" s="7" t="n"/>
      <c r="V2234" s="14" t="n"/>
      <c r="Z2234">
        <f>IF($B2234="","",IF(COUNTIF($B$2:$B2234,$B2234)=1,1,0))</f>
        <v/>
      </c>
      <c r="AA2234">
        <f>IF($Z2234=1,SUMPRODUCT(--($AC$2:$AC$3001&lt;$AC2234))+1,"")</f>
        <v/>
      </c>
      <c r="AB2234">
        <f>IF($B2234="","",IF(OR($Y2234=TRUE(),$Y2234="TRUE"),1,IF(AND($Y2234&lt;&gt;"",OR($Y2234=FALSE(),$Y2234="FALSE")),0,IF(MIN(ABS($X2234/100-Settings!$C$6),ABS($X2234/100-Settings!$G$6))&lt;=MIN(ABS($X2234/100-Settings!$C$7),ABS($X2234/100-Settings!$G$7)),1,0))))</f>
        <v/>
      </c>
      <c r="AC2234">
        <f>IF($Z2234=1,IFERROR(IF(VALUE($B2234)&lt;100000000,VALUE($B2234),1000000000),IFERROR(IF(VALUE(MID($B2234,2,20))&lt;100000000,VALUE(MID($B2234,2,20)),1000000000),1000000000))+ROW()/100000,"")</f>
        <v/>
      </c>
    </row>
    <row r="2235">
      <c r="A2235">
        <f>IF($B2235="","",IFERROR(IF(INDEX('Per Invoice'!$A$2:$A$801,MATCH($B2235,'Per Invoice'!$B$2:$B$801,0))=0,"",INDEX('Per Invoice'!$A$2:$A$801,MATCH($B2235,'Per Invoice'!$B$2:$B$801,0))),""))</f>
        <v/>
      </c>
      <c r="J2235" s="7">
        <f>IF($B2235="","",I2235*Q2235/100)</f>
        <v/>
      </c>
      <c r="N2235" s="7" t="n"/>
      <c r="O2235" s="7" t="n"/>
      <c r="P2235" s="7">
        <f>IF($B2235="","",O2235*X2235/100)</f>
        <v/>
      </c>
      <c r="Q2235" s="7">
        <f>IF($B2235="","",O2235-P2235)</f>
        <v/>
      </c>
      <c r="R2235" s="7">
        <f>IF($B2235="","",Q2235-J2235)</f>
        <v/>
      </c>
      <c r="S2235" s="7" t="n"/>
      <c r="T2235" s="7" t="n"/>
      <c r="V2235" s="14" t="n"/>
      <c r="Z2235">
        <f>IF($B2235="","",IF(COUNTIF($B$2:$B2235,$B2235)=1,1,0))</f>
        <v/>
      </c>
      <c r="AA2235">
        <f>IF($Z2235=1,SUMPRODUCT(--($AC$2:$AC$3001&lt;$AC2235))+1,"")</f>
        <v/>
      </c>
      <c r="AB2235">
        <f>IF($B2235="","",IF(OR($Y2235=TRUE(),$Y2235="TRUE"),1,IF(AND($Y2235&lt;&gt;"",OR($Y2235=FALSE(),$Y2235="FALSE")),0,IF(MIN(ABS($X2235/100-Settings!$C$6),ABS($X2235/100-Settings!$G$6))&lt;=MIN(ABS($X2235/100-Settings!$C$7),ABS($X2235/100-Settings!$G$7)),1,0))))</f>
        <v/>
      </c>
      <c r="AC2235">
        <f>IF($Z2235=1,IFERROR(IF(VALUE($B2235)&lt;100000000,VALUE($B2235),1000000000),IFERROR(IF(VALUE(MID($B2235,2,20))&lt;100000000,VALUE(MID($B2235,2,20)),1000000000),1000000000))+ROW()/100000,"")</f>
        <v/>
      </c>
    </row>
    <row r="2236">
      <c r="A2236">
        <f>IF($B2236="","",IFERROR(IF(INDEX('Per Invoice'!$A$2:$A$801,MATCH($B2236,'Per Invoice'!$B$2:$B$801,0))=0,"",INDEX('Per Invoice'!$A$2:$A$801,MATCH($B2236,'Per Invoice'!$B$2:$B$801,0))),""))</f>
        <v/>
      </c>
      <c r="J2236" s="7">
        <f>IF($B2236="","",I2236*Q2236/100)</f>
        <v/>
      </c>
      <c r="N2236" s="7" t="n"/>
      <c r="O2236" s="7" t="n"/>
      <c r="P2236" s="7">
        <f>IF($B2236="","",O2236*X2236/100)</f>
        <v/>
      </c>
      <c r="Q2236" s="7">
        <f>IF($B2236="","",O2236-P2236)</f>
        <v/>
      </c>
      <c r="R2236" s="7">
        <f>IF($B2236="","",Q2236-J2236)</f>
        <v/>
      </c>
      <c r="S2236" s="7" t="n"/>
      <c r="T2236" s="7" t="n"/>
      <c r="V2236" s="14" t="n"/>
      <c r="Z2236">
        <f>IF($B2236="","",IF(COUNTIF($B$2:$B2236,$B2236)=1,1,0))</f>
        <v/>
      </c>
      <c r="AA2236">
        <f>IF($Z2236=1,SUMPRODUCT(--($AC$2:$AC$3001&lt;$AC2236))+1,"")</f>
        <v/>
      </c>
      <c r="AB2236">
        <f>IF($B2236="","",IF(OR($Y2236=TRUE(),$Y2236="TRUE"),1,IF(AND($Y2236&lt;&gt;"",OR($Y2236=FALSE(),$Y2236="FALSE")),0,IF(MIN(ABS($X2236/100-Settings!$C$6),ABS($X2236/100-Settings!$G$6))&lt;=MIN(ABS($X2236/100-Settings!$C$7),ABS($X2236/100-Settings!$G$7)),1,0))))</f>
        <v/>
      </c>
      <c r="AC2236">
        <f>IF($Z2236=1,IFERROR(IF(VALUE($B2236)&lt;100000000,VALUE($B2236),1000000000),IFERROR(IF(VALUE(MID($B2236,2,20))&lt;100000000,VALUE(MID($B2236,2,20)),1000000000),1000000000))+ROW()/100000,"")</f>
        <v/>
      </c>
    </row>
    <row r="2237">
      <c r="A2237">
        <f>IF($B2237="","",IFERROR(IF(INDEX('Per Invoice'!$A$2:$A$801,MATCH($B2237,'Per Invoice'!$B$2:$B$801,0))=0,"",INDEX('Per Invoice'!$A$2:$A$801,MATCH($B2237,'Per Invoice'!$B$2:$B$801,0))),""))</f>
        <v/>
      </c>
      <c r="J2237" s="7">
        <f>IF($B2237="","",I2237*Q2237/100)</f>
        <v/>
      </c>
      <c r="N2237" s="7" t="n"/>
      <c r="O2237" s="7" t="n"/>
      <c r="P2237" s="7">
        <f>IF($B2237="","",O2237*X2237/100)</f>
        <v/>
      </c>
      <c r="Q2237" s="7">
        <f>IF($B2237="","",O2237-P2237)</f>
        <v/>
      </c>
      <c r="R2237" s="7">
        <f>IF($B2237="","",Q2237-J2237)</f>
        <v/>
      </c>
      <c r="S2237" s="7" t="n"/>
      <c r="T2237" s="7" t="n"/>
      <c r="V2237" s="14" t="n"/>
      <c r="Z2237">
        <f>IF($B2237="","",IF(COUNTIF($B$2:$B2237,$B2237)=1,1,0))</f>
        <v/>
      </c>
      <c r="AA2237">
        <f>IF($Z2237=1,SUMPRODUCT(--($AC$2:$AC$3001&lt;$AC2237))+1,"")</f>
        <v/>
      </c>
      <c r="AB2237">
        <f>IF($B2237="","",IF(OR($Y2237=TRUE(),$Y2237="TRUE"),1,IF(AND($Y2237&lt;&gt;"",OR($Y2237=FALSE(),$Y2237="FALSE")),0,IF(MIN(ABS($X2237/100-Settings!$C$6),ABS($X2237/100-Settings!$G$6))&lt;=MIN(ABS($X2237/100-Settings!$C$7),ABS($X2237/100-Settings!$G$7)),1,0))))</f>
        <v/>
      </c>
      <c r="AC2237">
        <f>IF($Z2237=1,IFERROR(IF(VALUE($B2237)&lt;100000000,VALUE($B2237),1000000000),IFERROR(IF(VALUE(MID($B2237,2,20))&lt;100000000,VALUE(MID($B2237,2,20)),1000000000),1000000000))+ROW()/100000,"")</f>
        <v/>
      </c>
    </row>
    <row r="2238">
      <c r="A2238">
        <f>IF($B2238="","",IFERROR(IF(INDEX('Per Invoice'!$A$2:$A$801,MATCH($B2238,'Per Invoice'!$B$2:$B$801,0))=0,"",INDEX('Per Invoice'!$A$2:$A$801,MATCH($B2238,'Per Invoice'!$B$2:$B$801,0))),""))</f>
        <v/>
      </c>
      <c r="J2238" s="7">
        <f>IF($B2238="","",I2238*Q2238/100)</f>
        <v/>
      </c>
      <c r="N2238" s="7" t="n"/>
      <c r="O2238" s="7" t="n"/>
      <c r="P2238" s="7">
        <f>IF($B2238="","",O2238*X2238/100)</f>
        <v/>
      </c>
      <c r="Q2238" s="7">
        <f>IF($B2238="","",O2238-P2238)</f>
        <v/>
      </c>
      <c r="R2238" s="7">
        <f>IF($B2238="","",Q2238-J2238)</f>
        <v/>
      </c>
      <c r="S2238" s="7" t="n"/>
      <c r="T2238" s="7" t="n"/>
      <c r="V2238" s="14" t="n"/>
      <c r="Z2238">
        <f>IF($B2238="","",IF(COUNTIF($B$2:$B2238,$B2238)=1,1,0))</f>
        <v/>
      </c>
      <c r="AA2238">
        <f>IF($Z2238=1,SUMPRODUCT(--($AC$2:$AC$3001&lt;$AC2238))+1,"")</f>
        <v/>
      </c>
      <c r="AB2238">
        <f>IF($B2238="","",IF(OR($Y2238=TRUE(),$Y2238="TRUE"),1,IF(AND($Y2238&lt;&gt;"",OR($Y2238=FALSE(),$Y2238="FALSE")),0,IF(MIN(ABS($X2238/100-Settings!$C$6),ABS($X2238/100-Settings!$G$6))&lt;=MIN(ABS($X2238/100-Settings!$C$7),ABS($X2238/100-Settings!$G$7)),1,0))))</f>
        <v/>
      </c>
      <c r="AC2238">
        <f>IF($Z2238=1,IFERROR(IF(VALUE($B2238)&lt;100000000,VALUE($B2238),1000000000),IFERROR(IF(VALUE(MID($B2238,2,20))&lt;100000000,VALUE(MID($B2238,2,20)),1000000000),1000000000))+ROW()/100000,"")</f>
        <v/>
      </c>
    </row>
    <row r="2239">
      <c r="A2239">
        <f>IF($B2239="","",IFERROR(IF(INDEX('Per Invoice'!$A$2:$A$801,MATCH($B2239,'Per Invoice'!$B$2:$B$801,0))=0,"",INDEX('Per Invoice'!$A$2:$A$801,MATCH($B2239,'Per Invoice'!$B$2:$B$801,0))),""))</f>
        <v/>
      </c>
      <c r="J2239" s="7">
        <f>IF($B2239="","",I2239*Q2239/100)</f>
        <v/>
      </c>
      <c r="N2239" s="7" t="n"/>
      <c r="O2239" s="7" t="n"/>
      <c r="P2239" s="7">
        <f>IF($B2239="","",O2239*X2239/100)</f>
        <v/>
      </c>
      <c r="Q2239" s="7">
        <f>IF($B2239="","",O2239-P2239)</f>
        <v/>
      </c>
      <c r="R2239" s="7">
        <f>IF($B2239="","",Q2239-J2239)</f>
        <v/>
      </c>
      <c r="S2239" s="7" t="n"/>
      <c r="T2239" s="7" t="n"/>
      <c r="V2239" s="14" t="n"/>
      <c r="Z2239">
        <f>IF($B2239="","",IF(COUNTIF($B$2:$B2239,$B2239)=1,1,0))</f>
        <v/>
      </c>
      <c r="AA2239">
        <f>IF($Z2239=1,SUMPRODUCT(--($AC$2:$AC$3001&lt;$AC2239))+1,"")</f>
        <v/>
      </c>
      <c r="AB2239">
        <f>IF($B2239="","",IF(OR($Y2239=TRUE(),$Y2239="TRUE"),1,IF(AND($Y2239&lt;&gt;"",OR($Y2239=FALSE(),$Y2239="FALSE")),0,IF(MIN(ABS($X2239/100-Settings!$C$6),ABS($X2239/100-Settings!$G$6))&lt;=MIN(ABS($X2239/100-Settings!$C$7),ABS($X2239/100-Settings!$G$7)),1,0))))</f>
        <v/>
      </c>
      <c r="AC2239">
        <f>IF($Z2239=1,IFERROR(IF(VALUE($B2239)&lt;100000000,VALUE($B2239),1000000000),IFERROR(IF(VALUE(MID($B2239,2,20))&lt;100000000,VALUE(MID($B2239,2,20)),1000000000),1000000000))+ROW()/100000,"")</f>
        <v/>
      </c>
    </row>
    <row r="2240">
      <c r="A2240">
        <f>IF($B2240="","",IFERROR(IF(INDEX('Per Invoice'!$A$2:$A$801,MATCH($B2240,'Per Invoice'!$B$2:$B$801,0))=0,"",INDEX('Per Invoice'!$A$2:$A$801,MATCH($B2240,'Per Invoice'!$B$2:$B$801,0))),""))</f>
        <v/>
      </c>
      <c r="J2240" s="7">
        <f>IF($B2240="","",I2240*Q2240/100)</f>
        <v/>
      </c>
      <c r="N2240" s="7" t="n"/>
      <c r="O2240" s="7" t="n"/>
      <c r="P2240" s="7">
        <f>IF($B2240="","",O2240*X2240/100)</f>
        <v/>
      </c>
      <c r="Q2240" s="7">
        <f>IF($B2240="","",O2240-P2240)</f>
        <v/>
      </c>
      <c r="R2240" s="7">
        <f>IF($B2240="","",Q2240-J2240)</f>
        <v/>
      </c>
      <c r="S2240" s="7" t="n"/>
      <c r="T2240" s="7" t="n"/>
      <c r="V2240" s="14" t="n"/>
      <c r="Z2240">
        <f>IF($B2240="","",IF(COUNTIF($B$2:$B2240,$B2240)=1,1,0))</f>
        <v/>
      </c>
      <c r="AA2240">
        <f>IF($Z2240=1,SUMPRODUCT(--($AC$2:$AC$3001&lt;$AC2240))+1,"")</f>
        <v/>
      </c>
      <c r="AB2240">
        <f>IF($B2240="","",IF(OR($Y2240=TRUE(),$Y2240="TRUE"),1,IF(AND($Y2240&lt;&gt;"",OR($Y2240=FALSE(),$Y2240="FALSE")),0,IF(MIN(ABS($X2240/100-Settings!$C$6),ABS($X2240/100-Settings!$G$6))&lt;=MIN(ABS($X2240/100-Settings!$C$7),ABS($X2240/100-Settings!$G$7)),1,0))))</f>
        <v/>
      </c>
      <c r="AC2240">
        <f>IF($Z2240=1,IFERROR(IF(VALUE($B2240)&lt;100000000,VALUE($B2240),1000000000),IFERROR(IF(VALUE(MID($B2240,2,20))&lt;100000000,VALUE(MID($B2240,2,20)),1000000000),1000000000))+ROW()/100000,"")</f>
        <v/>
      </c>
    </row>
    <row r="2241">
      <c r="A2241">
        <f>IF($B2241="","",IFERROR(IF(INDEX('Per Invoice'!$A$2:$A$801,MATCH($B2241,'Per Invoice'!$B$2:$B$801,0))=0,"",INDEX('Per Invoice'!$A$2:$A$801,MATCH($B2241,'Per Invoice'!$B$2:$B$801,0))),""))</f>
        <v/>
      </c>
      <c r="J2241" s="7">
        <f>IF($B2241="","",I2241*Q2241/100)</f>
        <v/>
      </c>
      <c r="N2241" s="7" t="n"/>
      <c r="O2241" s="7" t="n"/>
      <c r="P2241" s="7">
        <f>IF($B2241="","",O2241*X2241/100)</f>
        <v/>
      </c>
      <c r="Q2241" s="7">
        <f>IF($B2241="","",O2241-P2241)</f>
        <v/>
      </c>
      <c r="R2241" s="7">
        <f>IF($B2241="","",Q2241-J2241)</f>
        <v/>
      </c>
      <c r="S2241" s="7" t="n"/>
      <c r="T2241" s="7" t="n"/>
      <c r="V2241" s="14" t="n"/>
      <c r="Z2241">
        <f>IF($B2241="","",IF(COUNTIF($B$2:$B2241,$B2241)=1,1,0))</f>
        <v/>
      </c>
      <c r="AA2241">
        <f>IF($Z2241=1,SUMPRODUCT(--($AC$2:$AC$3001&lt;$AC2241))+1,"")</f>
        <v/>
      </c>
      <c r="AB2241">
        <f>IF($B2241="","",IF(OR($Y2241=TRUE(),$Y2241="TRUE"),1,IF(AND($Y2241&lt;&gt;"",OR($Y2241=FALSE(),$Y2241="FALSE")),0,IF(MIN(ABS($X2241/100-Settings!$C$6),ABS($X2241/100-Settings!$G$6))&lt;=MIN(ABS($X2241/100-Settings!$C$7),ABS($X2241/100-Settings!$G$7)),1,0))))</f>
        <v/>
      </c>
      <c r="AC2241">
        <f>IF($Z2241=1,IFERROR(IF(VALUE($B2241)&lt;100000000,VALUE($B2241),1000000000),IFERROR(IF(VALUE(MID($B2241,2,20))&lt;100000000,VALUE(MID($B2241,2,20)),1000000000),1000000000))+ROW()/100000,"")</f>
        <v/>
      </c>
    </row>
    <row r="2242">
      <c r="A2242">
        <f>IF($B2242="","",IFERROR(IF(INDEX('Per Invoice'!$A$2:$A$801,MATCH($B2242,'Per Invoice'!$B$2:$B$801,0))=0,"",INDEX('Per Invoice'!$A$2:$A$801,MATCH($B2242,'Per Invoice'!$B$2:$B$801,0))),""))</f>
        <v/>
      </c>
      <c r="J2242" s="7">
        <f>IF($B2242="","",I2242*Q2242/100)</f>
        <v/>
      </c>
      <c r="N2242" s="7" t="n"/>
      <c r="O2242" s="7" t="n"/>
      <c r="P2242" s="7">
        <f>IF($B2242="","",O2242*X2242/100)</f>
        <v/>
      </c>
      <c r="Q2242" s="7">
        <f>IF($B2242="","",O2242-P2242)</f>
        <v/>
      </c>
      <c r="R2242" s="7">
        <f>IF($B2242="","",Q2242-J2242)</f>
        <v/>
      </c>
      <c r="S2242" s="7" t="n"/>
      <c r="T2242" s="7" t="n"/>
      <c r="V2242" s="14" t="n"/>
      <c r="Z2242">
        <f>IF($B2242="","",IF(COUNTIF($B$2:$B2242,$B2242)=1,1,0))</f>
        <v/>
      </c>
      <c r="AA2242">
        <f>IF($Z2242=1,SUMPRODUCT(--($AC$2:$AC$3001&lt;$AC2242))+1,"")</f>
        <v/>
      </c>
      <c r="AB2242">
        <f>IF($B2242="","",IF(OR($Y2242=TRUE(),$Y2242="TRUE"),1,IF(AND($Y2242&lt;&gt;"",OR($Y2242=FALSE(),$Y2242="FALSE")),0,IF(MIN(ABS($X2242/100-Settings!$C$6),ABS($X2242/100-Settings!$G$6))&lt;=MIN(ABS($X2242/100-Settings!$C$7),ABS($X2242/100-Settings!$G$7)),1,0))))</f>
        <v/>
      </c>
      <c r="AC2242">
        <f>IF($Z2242=1,IFERROR(IF(VALUE($B2242)&lt;100000000,VALUE($B2242),1000000000),IFERROR(IF(VALUE(MID($B2242,2,20))&lt;100000000,VALUE(MID($B2242,2,20)),1000000000),1000000000))+ROW()/100000,"")</f>
        <v/>
      </c>
    </row>
    <row r="2243">
      <c r="A2243">
        <f>IF($B2243="","",IFERROR(IF(INDEX('Per Invoice'!$A$2:$A$801,MATCH($B2243,'Per Invoice'!$B$2:$B$801,0))=0,"",INDEX('Per Invoice'!$A$2:$A$801,MATCH($B2243,'Per Invoice'!$B$2:$B$801,0))),""))</f>
        <v/>
      </c>
      <c r="J2243" s="7">
        <f>IF($B2243="","",I2243*Q2243/100)</f>
        <v/>
      </c>
      <c r="N2243" s="7" t="n"/>
      <c r="O2243" s="7" t="n"/>
      <c r="P2243" s="7">
        <f>IF($B2243="","",O2243*X2243/100)</f>
        <v/>
      </c>
      <c r="Q2243" s="7">
        <f>IF($B2243="","",O2243-P2243)</f>
        <v/>
      </c>
      <c r="R2243" s="7">
        <f>IF($B2243="","",Q2243-J2243)</f>
        <v/>
      </c>
      <c r="S2243" s="7" t="n"/>
      <c r="T2243" s="7" t="n"/>
      <c r="V2243" s="14" t="n"/>
      <c r="Z2243">
        <f>IF($B2243="","",IF(COUNTIF($B$2:$B2243,$B2243)=1,1,0))</f>
        <v/>
      </c>
      <c r="AA2243">
        <f>IF($Z2243=1,SUMPRODUCT(--($AC$2:$AC$3001&lt;$AC2243))+1,"")</f>
        <v/>
      </c>
      <c r="AB2243">
        <f>IF($B2243="","",IF(OR($Y2243=TRUE(),$Y2243="TRUE"),1,IF(AND($Y2243&lt;&gt;"",OR($Y2243=FALSE(),$Y2243="FALSE")),0,IF(MIN(ABS($X2243/100-Settings!$C$6),ABS($X2243/100-Settings!$G$6))&lt;=MIN(ABS($X2243/100-Settings!$C$7),ABS($X2243/100-Settings!$G$7)),1,0))))</f>
        <v/>
      </c>
      <c r="AC2243">
        <f>IF($Z2243=1,IFERROR(IF(VALUE($B2243)&lt;100000000,VALUE($B2243),1000000000),IFERROR(IF(VALUE(MID($B2243,2,20))&lt;100000000,VALUE(MID($B2243,2,20)),1000000000),1000000000))+ROW()/100000,"")</f>
        <v/>
      </c>
    </row>
    <row r="2244">
      <c r="A2244">
        <f>IF($B2244="","",IFERROR(IF(INDEX('Per Invoice'!$A$2:$A$801,MATCH($B2244,'Per Invoice'!$B$2:$B$801,0))=0,"",INDEX('Per Invoice'!$A$2:$A$801,MATCH($B2244,'Per Invoice'!$B$2:$B$801,0))),""))</f>
        <v/>
      </c>
      <c r="J2244" s="7">
        <f>IF($B2244="","",I2244*Q2244/100)</f>
        <v/>
      </c>
      <c r="N2244" s="7" t="n"/>
      <c r="O2244" s="7" t="n"/>
      <c r="P2244" s="7">
        <f>IF($B2244="","",O2244*X2244/100)</f>
        <v/>
      </c>
      <c r="Q2244" s="7">
        <f>IF($B2244="","",O2244-P2244)</f>
        <v/>
      </c>
      <c r="R2244" s="7">
        <f>IF($B2244="","",Q2244-J2244)</f>
        <v/>
      </c>
      <c r="S2244" s="7" t="n"/>
      <c r="T2244" s="7" t="n"/>
      <c r="V2244" s="14" t="n"/>
      <c r="Z2244">
        <f>IF($B2244="","",IF(COUNTIF($B$2:$B2244,$B2244)=1,1,0))</f>
        <v/>
      </c>
      <c r="AA2244">
        <f>IF($Z2244=1,SUMPRODUCT(--($AC$2:$AC$3001&lt;$AC2244))+1,"")</f>
        <v/>
      </c>
      <c r="AB2244">
        <f>IF($B2244="","",IF(OR($Y2244=TRUE(),$Y2244="TRUE"),1,IF(AND($Y2244&lt;&gt;"",OR($Y2244=FALSE(),$Y2244="FALSE")),0,IF(MIN(ABS($X2244/100-Settings!$C$6),ABS($X2244/100-Settings!$G$6))&lt;=MIN(ABS($X2244/100-Settings!$C$7),ABS($X2244/100-Settings!$G$7)),1,0))))</f>
        <v/>
      </c>
      <c r="AC2244">
        <f>IF($Z2244=1,IFERROR(IF(VALUE($B2244)&lt;100000000,VALUE($B2244),1000000000),IFERROR(IF(VALUE(MID($B2244,2,20))&lt;100000000,VALUE(MID($B2244,2,20)),1000000000),1000000000))+ROW()/100000,"")</f>
        <v/>
      </c>
    </row>
    <row r="2245">
      <c r="A2245">
        <f>IF($B2245="","",IFERROR(IF(INDEX('Per Invoice'!$A$2:$A$801,MATCH($B2245,'Per Invoice'!$B$2:$B$801,0))=0,"",INDEX('Per Invoice'!$A$2:$A$801,MATCH($B2245,'Per Invoice'!$B$2:$B$801,0))),""))</f>
        <v/>
      </c>
      <c r="J2245" s="7">
        <f>IF($B2245="","",I2245*Q2245/100)</f>
        <v/>
      </c>
      <c r="N2245" s="7" t="n"/>
      <c r="O2245" s="7" t="n"/>
      <c r="P2245" s="7">
        <f>IF($B2245="","",O2245*X2245/100)</f>
        <v/>
      </c>
      <c r="Q2245" s="7">
        <f>IF($B2245="","",O2245-P2245)</f>
        <v/>
      </c>
      <c r="R2245" s="7">
        <f>IF($B2245="","",Q2245-J2245)</f>
        <v/>
      </c>
      <c r="S2245" s="7" t="n"/>
      <c r="T2245" s="7" t="n"/>
      <c r="V2245" s="14" t="n"/>
      <c r="Z2245">
        <f>IF($B2245="","",IF(COUNTIF($B$2:$B2245,$B2245)=1,1,0))</f>
        <v/>
      </c>
      <c r="AA2245">
        <f>IF($Z2245=1,SUMPRODUCT(--($AC$2:$AC$3001&lt;$AC2245))+1,"")</f>
        <v/>
      </c>
      <c r="AB2245">
        <f>IF($B2245="","",IF(OR($Y2245=TRUE(),$Y2245="TRUE"),1,IF(AND($Y2245&lt;&gt;"",OR($Y2245=FALSE(),$Y2245="FALSE")),0,IF(MIN(ABS($X2245/100-Settings!$C$6),ABS($X2245/100-Settings!$G$6))&lt;=MIN(ABS($X2245/100-Settings!$C$7),ABS($X2245/100-Settings!$G$7)),1,0))))</f>
        <v/>
      </c>
      <c r="AC2245">
        <f>IF($Z2245=1,IFERROR(IF(VALUE($B2245)&lt;100000000,VALUE($B2245),1000000000),IFERROR(IF(VALUE(MID($B2245,2,20))&lt;100000000,VALUE(MID($B2245,2,20)),1000000000),1000000000))+ROW()/100000,"")</f>
        <v/>
      </c>
    </row>
    <row r="2246">
      <c r="A2246">
        <f>IF($B2246="","",IFERROR(IF(INDEX('Per Invoice'!$A$2:$A$801,MATCH($B2246,'Per Invoice'!$B$2:$B$801,0))=0,"",INDEX('Per Invoice'!$A$2:$A$801,MATCH($B2246,'Per Invoice'!$B$2:$B$801,0))),""))</f>
        <v/>
      </c>
      <c r="J2246" s="7">
        <f>IF($B2246="","",I2246*Q2246/100)</f>
        <v/>
      </c>
      <c r="N2246" s="7" t="n"/>
      <c r="O2246" s="7" t="n"/>
      <c r="P2246" s="7">
        <f>IF($B2246="","",O2246*X2246/100)</f>
        <v/>
      </c>
      <c r="Q2246" s="7">
        <f>IF($B2246="","",O2246-P2246)</f>
        <v/>
      </c>
      <c r="R2246" s="7">
        <f>IF($B2246="","",Q2246-J2246)</f>
        <v/>
      </c>
      <c r="S2246" s="7" t="n"/>
      <c r="T2246" s="7" t="n"/>
      <c r="V2246" s="14" t="n"/>
      <c r="Z2246">
        <f>IF($B2246="","",IF(COUNTIF($B$2:$B2246,$B2246)=1,1,0))</f>
        <v/>
      </c>
      <c r="AA2246">
        <f>IF($Z2246=1,SUMPRODUCT(--($AC$2:$AC$3001&lt;$AC2246))+1,"")</f>
        <v/>
      </c>
      <c r="AB2246">
        <f>IF($B2246="","",IF(OR($Y2246=TRUE(),$Y2246="TRUE"),1,IF(AND($Y2246&lt;&gt;"",OR($Y2246=FALSE(),$Y2246="FALSE")),0,IF(MIN(ABS($X2246/100-Settings!$C$6),ABS($X2246/100-Settings!$G$6))&lt;=MIN(ABS($X2246/100-Settings!$C$7),ABS($X2246/100-Settings!$G$7)),1,0))))</f>
        <v/>
      </c>
      <c r="AC2246">
        <f>IF($Z2246=1,IFERROR(IF(VALUE($B2246)&lt;100000000,VALUE($B2246),1000000000),IFERROR(IF(VALUE(MID($B2246,2,20))&lt;100000000,VALUE(MID($B2246,2,20)),1000000000),1000000000))+ROW()/100000,"")</f>
        <v/>
      </c>
    </row>
    <row r="2247">
      <c r="A2247">
        <f>IF($B2247="","",IFERROR(IF(INDEX('Per Invoice'!$A$2:$A$801,MATCH($B2247,'Per Invoice'!$B$2:$B$801,0))=0,"",INDEX('Per Invoice'!$A$2:$A$801,MATCH($B2247,'Per Invoice'!$B$2:$B$801,0))),""))</f>
        <v/>
      </c>
      <c r="J2247" s="7">
        <f>IF($B2247="","",I2247*Q2247/100)</f>
        <v/>
      </c>
      <c r="N2247" s="7" t="n"/>
      <c r="O2247" s="7" t="n"/>
      <c r="P2247" s="7">
        <f>IF($B2247="","",O2247*X2247/100)</f>
        <v/>
      </c>
      <c r="Q2247" s="7">
        <f>IF($B2247="","",O2247-P2247)</f>
        <v/>
      </c>
      <c r="R2247" s="7">
        <f>IF($B2247="","",Q2247-J2247)</f>
        <v/>
      </c>
      <c r="S2247" s="7" t="n"/>
      <c r="T2247" s="7" t="n"/>
      <c r="V2247" s="14" t="n"/>
      <c r="Z2247">
        <f>IF($B2247="","",IF(COUNTIF($B$2:$B2247,$B2247)=1,1,0))</f>
        <v/>
      </c>
      <c r="AA2247">
        <f>IF($Z2247=1,SUMPRODUCT(--($AC$2:$AC$3001&lt;$AC2247))+1,"")</f>
        <v/>
      </c>
      <c r="AB2247">
        <f>IF($B2247="","",IF(OR($Y2247=TRUE(),$Y2247="TRUE"),1,IF(AND($Y2247&lt;&gt;"",OR($Y2247=FALSE(),$Y2247="FALSE")),0,IF(MIN(ABS($X2247/100-Settings!$C$6),ABS($X2247/100-Settings!$G$6))&lt;=MIN(ABS($X2247/100-Settings!$C$7),ABS($X2247/100-Settings!$G$7)),1,0))))</f>
        <v/>
      </c>
      <c r="AC2247">
        <f>IF($Z2247=1,IFERROR(IF(VALUE($B2247)&lt;100000000,VALUE($B2247),1000000000),IFERROR(IF(VALUE(MID($B2247,2,20))&lt;100000000,VALUE(MID($B2247,2,20)),1000000000),1000000000))+ROW()/100000,"")</f>
        <v/>
      </c>
    </row>
    <row r="2248">
      <c r="A2248">
        <f>IF($B2248="","",IFERROR(IF(INDEX('Per Invoice'!$A$2:$A$801,MATCH($B2248,'Per Invoice'!$B$2:$B$801,0))=0,"",INDEX('Per Invoice'!$A$2:$A$801,MATCH($B2248,'Per Invoice'!$B$2:$B$801,0))),""))</f>
        <v/>
      </c>
      <c r="J2248" s="7">
        <f>IF($B2248="","",I2248*Q2248/100)</f>
        <v/>
      </c>
      <c r="N2248" s="7" t="n"/>
      <c r="O2248" s="7" t="n"/>
      <c r="P2248" s="7">
        <f>IF($B2248="","",O2248*X2248/100)</f>
        <v/>
      </c>
      <c r="Q2248" s="7">
        <f>IF($B2248="","",O2248-P2248)</f>
        <v/>
      </c>
      <c r="R2248" s="7">
        <f>IF($B2248="","",Q2248-J2248)</f>
        <v/>
      </c>
      <c r="S2248" s="7" t="n"/>
      <c r="T2248" s="7" t="n"/>
      <c r="V2248" s="14" t="n"/>
      <c r="Z2248">
        <f>IF($B2248="","",IF(COUNTIF($B$2:$B2248,$B2248)=1,1,0))</f>
        <v/>
      </c>
      <c r="AA2248">
        <f>IF($Z2248=1,SUMPRODUCT(--($AC$2:$AC$3001&lt;$AC2248))+1,"")</f>
        <v/>
      </c>
      <c r="AB2248">
        <f>IF($B2248="","",IF(OR($Y2248=TRUE(),$Y2248="TRUE"),1,IF(AND($Y2248&lt;&gt;"",OR($Y2248=FALSE(),$Y2248="FALSE")),0,IF(MIN(ABS($X2248/100-Settings!$C$6),ABS($X2248/100-Settings!$G$6))&lt;=MIN(ABS($X2248/100-Settings!$C$7),ABS($X2248/100-Settings!$G$7)),1,0))))</f>
        <v/>
      </c>
      <c r="AC2248">
        <f>IF($Z2248=1,IFERROR(IF(VALUE($B2248)&lt;100000000,VALUE($B2248),1000000000),IFERROR(IF(VALUE(MID($B2248,2,20))&lt;100000000,VALUE(MID($B2248,2,20)),1000000000),1000000000))+ROW()/100000,"")</f>
        <v/>
      </c>
    </row>
    <row r="2249">
      <c r="A2249">
        <f>IF($B2249="","",IFERROR(IF(INDEX('Per Invoice'!$A$2:$A$801,MATCH($B2249,'Per Invoice'!$B$2:$B$801,0))=0,"",INDEX('Per Invoice'!$A$2:$A$801,MATCH($B2249,'Per Invoice'!$B$2:$B$801,0))),""))</f>
        <v/>
      </c>
      <c r="J2249" s="7">
        <f>IF($B2249="","",I2249*Q2249/100)</f>
        <v/>
      </c>
      <c r="N2249" s="7" t="n"/>
      <c r="O2249" s="7" t="n"/>
      <c r="P2249" s="7">
        <f>IF($B2249="","",O2249*X2249/100)</f>
        <v/>
      </c>
      <c r="Q2249" s="7">
        <f>IF($B2249="","",O2249-P2249)</f>
        <v/>
      </c>
      <c r="R2249" s="7">
        <f>IF($B2249="","",Q2249-J2249)</f>
        <v/>
      </c>
      <c r="S2249" s="7" t="n"/>
      <c r="T2249" s="7" t="n"/>
      <c r="V2249" s="14" t="n"/>
      <c r="Z2249">
        <f>IF($B2249="","",IF(COUNTIF($B$2:$B2249,$B2249)=1,1,0))</f>
        <v/>
      </c>
      <c r="AA2249">
        <f>IF($Z2249=1,SUMPRODUCT(--($AC$2:$AC$3001&lt;$AC2249))+1,"")</f>
        <v/>
      </c>
      <c r="AB2249">
        <f>IF($B2249="","",IF(OR($Y2249=TRUE(),$Y2249="TRUE"),1,IF(AND($Y2249&lt;&gt;"",OR($Y2249=FALSE(),$Y2249="FALSE")),0,IF(MIN(ABS($X2249/100-Settings!$C$6),ABS($X2249/100-Settings!$G$6))&lt;=MIN(ABS($X2249/100-Settings!$C$7),ABS($X2249/100-Settings!$G$7)),1,0))))</f>
        <v/>
      </c>
      <c r="AC2249">
        <f>IF($Z2249=1,IFERROR(IF(VALUE($B2249)&lt;100000000,VALUE($B2249),1000000000),IFERROR(IF(VALUE(MID($B2249,2,20))&lt;100000000,VALUE(MID($B2249,2,20)),1000000000),1000000000))+ROW()/100000,"")</f>
        <v/>
      </c>
    </row>
    <row r="2250">
      <c r="A2250">
        <f>IF($B2250="","",IFERROR(IF(INDEX('Per Invoice'!$A$2:$A$801,MATCH($B2250,'Per Invoice'!$B$2:$B$801,0))=0,"",INDEX('Per Invoice'!$A$2:$A$801,MATCH($B2250,'Per Invoice'!$B$2:$B$801,0))),""))</f>
        <v/>
      </c>
      <c r="J2250" s="7">
        <f>IF($B2250="","",I2250*Q2250/100)</f>
        <v/>
      </c>
      <c r="N2250" s="7" t="n"/>
      <c r="O2250" s="7" t="n"/>
      <c r="P2250" s="7">
        <f>IF($B2250="","",O2250*X2250/100)</f>
        <v/>
      </c>
      <c r="Q2250" s="7">
        <f>IF($B2250="","",O2250-P2250)</f>
        <v/>
      </c>
      <c r="R2250" s="7">
        <f>IF($B2250="","",Q2250-J2250)</f>
        <v/>
      </c>
      <c r="S2250" s="7" t="n"/>
      <c r="T2250" s="7" t="n"/>
      <c r="V2250" s="14" t="n"/>
      <c r="Z2250">
        <f>IF($B2250="","",IF(COUNTIF($B$2:$B2250,$B2250)=1,1,0))</f>
        <v/>
      </c>
      <c r="AA2250">
        <f>IF($Z2250=1,SUMPRODUCT(--($AC$2:$AC$3001&lt;$AC2250))+1,"")</f>
        <v/>
      </c>
      <c r="AB2250">
        <f>IF($B2250="","",IF(OR($Y2250=TRUE(),$Y2250="TRUE"),1,IF(AND($Y2250&lt;&gt;"",OR($Y2250=FALSE(),$Y2250="FALSE")),0,IF(MIN(ABS($X2250/100-Settings!$C$6),ABS($X2250/100-Settings!$G$6))&lt;=MIN(ABS($X2250/100-Settings!$C$7),ABS($X2250/100-Settings!$G$7)),1,0))))</f>
        <v/>
      </c>
      <c r="AC2250">
        <f>IF($Z2250=1,IFERROR(IF(VALUE($B2250)&lt;100000000,VALUE($B2250),1000000000),IFERROR(IF(VALUE(MID($B2250,2,20))&lt;100000000,VALUE(MID($B2250,2,20)),1000000000),1000000000))+ROW()/100000,"")</f>
        <v/>
      </c>
    </row>
    <row r="2251">
      <c r="A2251">
        <f>IF($B2251="","",IFERROR(IF(INDEX('Per Invoice'!$A$2:$A$801,MATCH($B2251,'Per Invoice'!$B$2:$B$801,0))=0,"",INDEX('Per Invoice'!$A$2:$A$801,MATCH($B2251,'Per Invoice'!$B$2:$B$801,0))),""))</f>
        <v/>
      </c>
      <c r="J2251" s="7">
        <f>IF($B2251="","",I2251*Q2251/100)</f>
        <v/>
      </c>
      <c r="N2251" s="7" t="n"/>
      <c r="O2251" s="7" t="n"/>
      <c r="P2251" s="7">
        <f>IF($B2251="","",O2251*X2251/100)</f>
        <v/>
      </c>
      <c r="Q2251" s="7">
        <f>IF($B2251="","",O2251-P2251)</f>
        <v/>
      </c>
      <c r="R2251" s="7">
        <f>IF($B2251="","",Q2251-J2251)</f>
        <v/>
      </c>
      <c r="S2251" s="7" t="n"/>
      <c r="T2251" s="7" t="n"/>
      <c r="V2251" s="14" t="n"/>
      <c r="Z2251">
        <f>IF($B2251="","",IF(COUNTIF($B$2:$B2251,$B2251)=1,1,0))</f>
        <v/>
      </c>
      <c r="AA2251">
        <f>IF($Z2251=1,SUMPRODUCT(--($AC$2:$AC$3001&lt;$AC2251))+1,"")</f>
        <v/>
      </c>
      <c r="AB2251">
        <f>IF($B2251="","",IF(OR($Y2251=TRUE(),$Y2251="TRUE"),1,IF(AND($Y2251&lt;&gt;"",OR($Y2251=FALSE(),$Y2251="FALSE")),0,IF(MIN(ABS($X2251/100-Settings!$C$6),ABS($X2251/100-Settings!$G$6))&lt;=MIN(ABS($X2251/100-Settings!$C$7),ABS($X2251/100-Settings!$G$7)),1,0))))</f>
        <v/>
      </c>
      <c r="AC2251">
        <f>IF($Z2251=1,IFERROR(IF(VALUE($B2251)&lt;100000000,VALUE($B2251),1000000000),IFERROR(IF(VALUE(MID($B2251,2,20))&lt;100000000,VALUE(MID($B2251,2,20)),1000000000),1000000000))+ROW()/100000,"")</f>
        <v/>
      </c>
    </row>
    <row r="2252">
      <c r="A2252">
        <f>IF($B2252="","",IFERROR(IF(INDEX('Per Invoice'!$A$2:$A$801,MATCH($B2252,'Per Invoice'!$B$2:$B$801,0))=0,"",INDEX('Per Invoice'!$A$2:$A$801,MATCH($B2252,'Per Invoice'!$B$2:$B$801,0))),""))</f>
        <v/>
      </c>
      <c r="J2252" s="7">
        <f>IF($B2252="","",I2252*Q2252/100)</f>
        <v/>
      </c>
      <c r="N2252" s="7" t="n"/>
      <c r="O2252" s="7" t="n"/>
      <c r="P2252" s="7">
        <f>IF($B2252="","",O2252*X2252/100)</f>
        <v/>
      </c>
      <c r="Q2252" s="7">
        <f>IF($B2252="","",O2252-P2252)</f>
        <v/>
      </c>
      <c r="R2252" s="7">
        <f>IF($B2252="","",Q2252-J2252)</f>
        <v/>
      </c>
      <c r="S2252" s="7" t="n"/>
      <c r="T2252" s="7" t="n"/>
      <c r="V2252" s="14" t="n"/>
      <c r="Z2252">
        <f>IF($B2252="","",IF(COUNTIF($B$2:$B2252,$B2252)=1,1,0))</f>
        <v/>
      </c>
      <c r="AA2252">
        <f>IF($Z2252=1,SUMPRODUCT(--($AC$2:$AC$3001&lt;$AC2252))+1,"")</f>
        <v/>
      </c>
      <c r="AB2252">
        <f>IF($B2252="","",IF(OR($Y2252=TRUE(),$Y2252="TRUE"),1,IF(AND($Y2252&lt;&gt;"",OR($Y2252=FALSE(),$Y2252="FALSE")),0,IF(MIN(ABS($X2252/100-Settings!$C$6),ABS($X2252/100-Settings!$G$6))&lt;=MIN(ABS($X2252/100-Settings!$C$7),ABS($X2252/100-Settings!$G$7)),1,0))))</f>
        <v/>
      </c>
      <c r="AC2252">
        <f>IF($Z2252=1,IFERROR(IF(VALUE($B2252)&lt;100000000,VALUE($B2252),1000000000),IFERROR(IF(VALUE(MID($B2252,2,20))&lt;100000000,VALUE(MID($B2252,2,20)),1000000000),1000000000))+ROW()/100000,"")</f>
        <v/>
      </c>
    </row>
    <row r="2253">
      <c r="A2253">
        <f>IF($B2253="","",IFERROR(IF(INDEX('Per Invoice'!$A$2:$A$801,MATCH($B2253,'Per Invoice'!$B$2:$B$801,0))=0,"",INDEX('Per Invoice'!$A$2:$A$801,MATCH($B2253,'Per Invoice'!$B$2:$B$801,0))),""))</f>
        <v/>
      </c>
      <c r="J2253" s="7">
        <f>IF($B2253="","",I2253*Q2253/100)</f>
        <v/>
      </c>
      <c r="N2253" s="7" t="n"/>
      <c r="O2253" s="7" t="n"/>
      <c r="P2253" s="7">
        <f>IF($B2253="","",O2253*X2253/100)</f>
        <v/>
      </c>
      <c r="Q2253" s="7">
        <f>IF($B2253="","",O2253-P2253)</f>
        <v/>
      </c>
      <c r="R2253" s="7">
        <f>IF($B2253="","",Q2253-J2253)</f>
        <v/>
      </c>
      <c r="S2253" s="7" t="n"/>
      <c r="T2253" s="7" t="n"/>
      <c r="V2253" s="14" t="n"/>
      <c r="Z2253">
        <f>IF($B2253="","",IF(COUNTIF($B$2:$B2253,$B2253)=1,1,0))</f>
        <v/>
      </c>
      <c r="AA2253">
        <f>IF($Z2253=1,SUMPRODUCT(--($AC$2:$AC$3001&lt;$AC2253))+1,"")</f>
        <v/>
      </c>
      <c r="AB2253">
        <f>IF($B2253="","",IF(OR($Y2253=TRUE(),$Y2253="TRUE"),1,IF(AND($Y2253&lt;&gt;"",OR($Y2253=FALSE(),$Y2253="FALSE")),0,IF(MIN(ABS($X2253/100-Settings!$C$6),ABS($X2253/100-Settings!$G$6))&lt;=MIN(ABS($X2253/100-Settings!$C$7),ABS($X2253/100-Settings!$G$7)),1,0))))</f>
        <v/>
      </c>
      <c r="AC2253">
        <f>IF($Z2253=1,IFERROR(IF(VALUE($B2253)&lt;100000000,VALUE($B2253),1000000000),IFERROR(IF(VALUE(MID($B2253,2,20))&lt;100000000,VALUE(MID($B2253,2,20)),1000000000),1000000000))+ROW()/100000,"")</f>
        <v/>
      </c>
    </row>
    <row r="2254">
      <c r="A2254">
        <f>IF($B2254="","",IFERROR(IF(INDEX('Per Invoice'!$A$2:$A$801,MATCH($B2254,'Per Invoice'!$B$2:$B$801,0))=0,"",INDEX('Per Invoice'!$A$2:$A$801,MATCH($B2254,'Per Invoice'!$B$2:$B$801,0))),""))</f>
        <v/>
      </c>
      <c r="J2254" s="7">
        <f>IF($B2254="","",I2254*Q2254/100)</f>
        <v/>
      </c>
      <c r="N2254" s="7" t="n"/>
      <c r="O2254" s="7" t="n"/>
      <c r="P2254" s="7">
        <f>IF($B2254="","",O2254*X2254/100)</f>
        <v/>
      </c>
      <c r="Q2254" s="7">
        <f>IF($B2254="","",O2254-P2254)</f>
        <v/>
      </c>
      <c r="R2254" s="7">
        <f>IF($B2254="","",Q2254-J2254)</f>
        <v/>
      </c>
      <c r="S2254" s="7" t="n"/>
      <c r="T2254" s="7" t="n"/>
      <c r="V2254" s="14" t="n"/>
      <c r="Z2254">
        <f>IF($B2254="","",IF(COUNTIF($B$2:$B2254,$B2254)=1,1,0))</f>
        <v/>
      </c>
      <c r="AA2254">
        <f>IF($Z2254=1,SUMPRODUCT(--($AC$2:$AC$3001&lt;$AC2254))+1,"")</f>
        <v/>
      </c>
      <c r="AB2254">
        <f>IF($B2254="","",IF(OR($Y2254=TRUE(),$Y2254="TRUE"),1,IF(AND($Y2254&lt;&gt;"",OR($Y2254=FALSE(),$Y2254="FALSE")),0,IF(MIN(ABS($X2254/100-Settings!$C$6),ABS($X2254/100-Settings!$G$6))&lt;=MIN(ABS($X2254/100-Settings!$C$7),ABS($X2254/100-Settings!$G$7)),1,0))))</f>
        <v/>
      </c>
      <c r="AC2254">
        <f>IF($Z2254=1,IFERROR(IF(VALUE($B2254)&lt;100000000,VALUE($B2254),1000000000),IFERROR(IF(VALUE(MID($B2254,2,20))&lt;100000000,VALUE(MID($B2254,2,20)),1000000000),1000000000))+ROW()/100000,"")</f>
        <v/>
      </c>
    </row>
    <row r="2255">
      <c r="A2255">
        <f>IF($B2255="","",IFERROR(IF(INDEX('Per Invoice'!$A$2:$A$801,MATCH($B2255,'Per Invoice'!$B$2:$B$801,0))=0,"",INDEX('Per Invoice'!$A$2:$A$801,MATCH($B2255,'Per Invoice'!$B$2:$B$801,0))),""))</f>
        <v/>
      </c>
      <c r="J2255" s="7">
        <f>IF($B2255="","",I2255*Q2255/100)</f>
        <v/>
      </c>
      <c r="N2255" s="7" t="n"/>
      <c r="O2255" s="7" t="n"/>
      <c r="P2255" s="7">
        <f>IF($B2255="","",O2255*X2255/100)</f>
        <v/>
      </c>
      <c r="Q2255" s="7">
        <f>IF($B2255="","",O2255-P2255)</f>
        <v/>
      </c>
      <c r="R2255" s="7">
        <f>IF($B2255="","",Q2255-J2255)</f>
        <v/>
      </c>
      <c r="S2255" s="7" t="n"/>
      <c r="T2255" s="7" t="n"/>
      <c r="V2255" s="14" t="n"/>
      <c r="Z2255">
        <f>IF($B2255="","",IF(COUNTIF($B$2:$B2255,$B2255)=1,1,0))</f>
        <v/>
      </c>
      <c r="AA2255">
        <f>IF($Z2255=1,SUMPRODUCT(--($AC$2:$AC$3001&lt;$AC2255))+1,"")</f>
        <v/>
      </c>
      <c r="AB2255">
        <f>IF($B2255="","",IF(OR($Y2255=TRUE(),$Y2255="TRUE"),1,IF(AND($Y2255&lt;&gt;"",OR($Y2255=FALSE(),$Y2255="FALSE")),0,IF(MIN(ABS($X2255/100-Settings!$C$6),ABS($X2255/100-Settings!$G$6))&lt;=MIN(ABS($X2255/100-Settings!$C$7),ABS($X2255/100-Settings!$G$7)),1,0))))</f>
        <v/>
      </c>
      <c r="AC2255">
        <f>IF($Z2255=1,IFERROR(IF(VALUE($B2255)&lt;100000000,VALUE($B2255),1000000000),IFERROR(IF(VALUE(MID($B2255,2,20))&lt;100000000,VALUE(MID($B2255,2,20)),1000000000),1000000000))+ROW()/100000,"")</f>
        <v/>
      </c>
    </row>
    <row r="2256">
      <c r="A2256">
        <f>IF($B2256="","",IFERROR(IF(INDEX('Per Invoice'!$A$2:$A$801,MATCH($B2256,'Per Invoice'!$B$2:$B$801,0))=0,"",INDEX('Per Invoice'!$A$2:$A$801,MATCH($B2256,'Per Invoice'!$B$2:$B$801,0))),""))</f>
        <v/>
      </c>
      <c r="J2256" s="7">
        <f>IF($B2256="","",I2256*Q2256/100)</f>
        <v/>
      </c>
      <c r="N2256" s="7" t="n"/>
      <c r="O2256" s="7" t="n"/>
      <c r="P2256" s="7">
        <f>IF($B2256="","",O2256*X2256/100)</f>
        <v/>
      </c>
      <c r="Q2256" s="7">
        <f>IF($B2256="","",O2256-P2256)</f>
        <v/>
      </c>
      <c r="R2256" s="7">
        <f>IF($B2256="","",Q2256-J2256)</f>
        <v/>
      </c>
      <c r="S2256" s="7" t="n"/>
      <c r="T2256" s="7" t="n"/>
      <c r="V2256" s="14" t="n"/>
      <c r="Z2256">
        <f>IF($B2256="","",IF(COUNTIF($B$2:$B2256,$B2256)=1,1,0))</f>
        <v/>
      </c>
      <c r="AA2256">
        <f>IF($Z2256=1,SUMPRODUCT(--($AC$2:$AC$3001&lt;$AC2256))+1,"")</f>
        <v/>
      </c>
      <c r="AB2256">
        <f>IF($B2256="","",IF(OR($Y2256=TRUE(),$Y2256="TRUE"),1,IF(AND($Y2256&lt;&gt;"",OR($Y2256=FALSE(),$Y2256="FALSE")),0,IF(MIN(ABS($X2256/100-Settings!$C$6),ABS($X2256/100-Settings!$G$6))&lt;=MIN(ABS($X2256/100-Settings!$C$7),ABS($X2256/100-Settings!$G$7)),1,0))))</f>
        <v/>
      </c>
      <c r="AC2256">
        <f>IF($Z2256=1,IFERROR(IF(VALUE($B2256)&lt;100000000,VALUE($B2256),1000000000),IFERROR(IF(VALUE(MID($B2256,2,20))&lt;100000000,VALUE(MID($B2256,2,20)),1000000000),1000000000))+ROW()/100000,"")</f>
        <v/>
      </c>
    </row>
    <row r="2257">
      <c r="A2257">
        <f>IF($B2257="","",IFERROR(IF(INDEX('Per Invoice'!$A$2:$A$801,MATCH($B2257,'Per Invoice'!$B$2:$B$801,0))=0,"",INDEX('Per Invoice'!$A$2:$A$801,MATCH($B2257,'Per Invoice'!$B$2:$B$801,0))),""))</f>
        <v/>
      </c>
      <c r="J2257" s="7">
        <f>IF($B2257="","",I2257*Q2257/100)</f>
        <v/>
      </c>
      <c r="N2257" s="7" t="n"/>
      <c r="O2257" s="7" t="n"/>
      <c r="P2257" s="7">
        <f>IF($B2257="","",O2257*X2257/100)</f>
        <v/>
      </c>
      <c r="Q2257" s="7">
        <f>IF($B2257="","",O2257-P2257)</f>
        <v/>
      </c>
      <c r="R2257" s="7">
        <f>IF($B2257="","",Q2257-J2257)</f>
        <v/>
      </c>
      <c r="S2257" s="7" t="n"/>
      <c r="T2257" s="7" t="n"/>
      <c r="V2257" s="14" t="n"/>
      <c r="Z2257">
        <f>IF($B2257="","",IF(COUNTIF($B$2:$B2257,$B2257)=1,1,0))</f>
        <v/>
      </c>
      <c r="AA2257">
        <f>IF($Z2257=1,SUMPRODUCT(--($AC$2:$AC$3001&lt;$AC2257))+1,"")</f>
        <v/>
      </c>
      <c r="AB2257">
        <f>IF($B2257="","",IF(OR($Y2257=TRUE(),$Y2257="TRUE"),1,IF(AND($Y2257&lt;&gt;"",OR($Y2257=FALSE(),$Y2257="FALSE")),0,IF(MIN(ABS($X2257/100-Settings!$C$6),ABS($X2257/100-Settings!$G$6))&lt;=MIN(ABS($X2257/100-Settings!$C$7),ABS($X2257/100-Settings!$G$7)),1,0))))</f>
        <v/>
      </c>
      <c r="AC2257">
        <f>IF($Z2257=1,IFERROR(IF(VALUE($B2257)&lt;100000000,VALUE($B2257),1000000000),IFERROR(IF(VALUE(MID($B2257,2,20))&lt;100000000,VALUE(MID($B2257,2,20)),1000000000),1000000000))+ROW()/100000,"")</f>
        <v/>
      </c>
    </row>
    <row r="2258">
      <c r="A2258">
        <f>IF($B2258="","",IFERROR(IF(INDEX('Per Invoice'!$A$2:$A$801,MATCH($B2258,'Per Invoice'!$B$2:$B$801,0))=0,"",INDEX('Per Invoice'!$A$2:$A$801,MATCH($B2258,'Per Invoice'!$B$2:$B$801,0))),""))</f>
        <v/>
      </c>
      <c r="J2258" s="7">
        <f>IF($B2258="","",I2258*Q2258/100)</f>
        <v/>
      </c>
      <c r="N2258" s="7" t="n"/>
      <c r="O2258" s="7" t="n"/>
      <c r="P2258" s="7">
        <f>IF($B2258="","",O2258*X2258/100)</f>
        <v/>
      </c>
      <c r="Q2258" s="7">
        <f>IF($B2258="","",O2258-P2258)</f>
        <v/>
      </c>
      <c r="R2258" s="7">
        <f>IF($B2258="","",Q2258-J2258)</f>
        <v/>
      </c>
      <c r="S2258" s="7" t="n"/>
      <c r="T2258" s="7" t="n"/>
      <c r="V2258" s="14" t="n"/>
      <c r="Z2258">
        <f>IF($B2258="","",IF(COUNTIF($B$2:$B2258,$B2258)=1,1,0))</f>
        <v/>
      </c>
      <c r="AA2258">
        <f>IF($Z2258=1,SUMPRODUCT(--($AC$2:$AC$3001&lt;$AC2258))+1,"")</f>
        <v/>
      </c>
      <c r="AB2258">
        <f>IF($B2258="","",IF(OR($Y2258=TRUE(),$Y2258="TRUE"),1,IF(AND($Y2258&lt;&gt;"",OR($Y2258=FALSE(),$Y2258="FALSE")),0,IF(MIN(ABS($X2258/100-Settings!$C$6),ABS($X2258/100-Settings!$G$6))&lt;=MIN(ABS($X2258/100-Settings!$C$7),ABS($X2258/100-Settings!$G$7)),1,0))))</f>
        <v/>
      </c>
      <c r="AC2258">
        <f>IF($Z2258=1,IFERROR(IF(VALUE($B2258)&lt;100000000,VALUE($B2258),1000000000),IFERROR(IF(VALUE(MID($B2258,2,20))&lt;100000000,VALUE(MID($B2258,2,20)),1000000000),1000000000))+ROW()/100000,"")</f>
        <v/>
      </c>
    </row>
    <row r="2259">
      <c r="A2259">
        <f>IF($B2259="","",IFERROR(IF(INDEX('Per Invoice'!$A$2:$A$801,MATCH($B2259,'Per Invoice'!$B$2:$B$801,0))=0,"",INDEX('Per Invoice'!$A$2:$A$801,MATCH($B2259,'Per Invoice'!$B$2:$B$801,0))),""))</f>
        <v/>
      </c>
      <c r="J2259" s="7">
        <f>IF($B2259="","",I2259*Q2259/100)</f>
        <v/>
      </c>
      <c r="N2259" s="7" t="n"/>
      <c r="O2259" s="7" t="n"/>
      <c r="P2259" s="7">
        <f>IF($B2259="","",O2259*X2259/100)</f>
        <v/>
      </c>
      <c r="Q2259" s="7">
        <f>IF($B2259="","",O2259-P2259)</f>
        <v/>
      </c>
      <c r="R2259" s="7">
        <f>IF($B2259="","",Q2259-J2259)</f>
        <v/>
      </c>
      <c r="S2259" s="7" t="n"/>
      <c r="T2259" s="7" t="n"/>
      <c r="V2259" s="14" t="n"/>
      <c r="Z2259">
        <f>IF($B2259="","",IF(COUNTIF($B$2:$B2259,$B2259)=1,1,0))</f>
        <v/>
      </c>
      <c r="AA2259">
        <f>IF($Z2259=1,SUMPRODUCT(--($AC$2:$AC$3001&lt;$AC2259))+1,"")</f>
        <v/>
      </c>
      <c r="AB2259">
        <f>IF($B2259="","",IF(OR($Y2259=TRUE(),$Y2259="TRUE"),1,IF(AND($Y2259&lt;&gt;"",OR($Y2259=FALSE(),$Y2259="FALSE")),0,IF(MIN(ABS($X2259/100-Settings!$C$6),ABS($X2259/100-Settings!$G$6))&lt;=MIN(ABS($X2259/100-Settings!$C$7),ABS($X2259/100-Settings!$G$7)),1,0))))</f>
        <v/>
      </c>
      <c r="AC2259">
        <f>IF($Z2259=1,IFERROR(IF(VALUE($B2259)&lt;100000000,VALUE($B2259),1000000000),IFERROR(IF(VALUE(MID($B2259,2,20))&lt;100000000,VALUE(MID($B2259,2,20)),1000000000),1000000000))+ROW()/100000,"")</f>
        <v/>
      </c>
    </row>
    <row r="2260">
      <c r="A2260">
        <f>IF($B2260="","",IFERROR(IF(INDEX('Per Invoice'!$A$2:$A$801,MATCH($B2260,'Per Invoice'!$B$2:$B$801,0))=0,"",INDEX('Per Invoice'!$A$2:$A$801,MATCH($B2260,'Per Invoice'!$B$2:$B$801,0))),""))</f>
        <v/>
      </c>
      <c r="J2260" s="7">
        <f>IF($B2260="","",I2260*Q2260/100)</f>
        <v/>
      </c>
      <c r="N2260" s="7" t="n"/>
      <c r="O2260" s="7" t="n"/>
      <c r="P2260" s="7">
        <f>IF($B2260="","",O2260*X2260/100)</f>
        <v/>
      </c>
      <c r="Q2260" s="7">
        <f>IF($B2260="","",O2260-P2260)</f>
        <v/>
      </c>
      <c r="R2260" s="7">
        <f>IF($B2260="","",Q2260-J2260)</f>
        <v/>
      </c>
      <c r="S2260" s="7" t="n"/>
      <c r="T2260" s="7" t="n"/>
      <c r="V2260" s="14" t="n"/>
      <c r="Z2260">
        <f>IF($B2260="","",IF(COUNTIF($B$2:$B2260,$B2260)=1,1,0))</f>
        <v/>
      </c>
      <c r="AA2260">
        <f>IF($Z2260=1,SUMPRODUCT(--($AC$2:$AC$3001&lt;$AC2260))+1,"")</f>
        <v/>
      </c>
      <c r="AB2260">
        <f>IF($B2260="","",IF(OR($Y2260=TRUE(),$Y2260="TRUE"),1,IF(AND($Y2260&lt;&gt;"",OR($Y2260=FALSE(),$Y2260="FALSE")),0,IF(MIN(ABS($X2260/100-Settings!$C$6),ABS($X2260/100-Settings!$G$6))&lt;=MIN(ABS($X2260/100-Settings!$C$7),ABS($X2260/100-Settings!$G$7)),1,0))))</f>
        <v/>
      </c>
      <c r="AC2260">
        <f>IF($Z2260=1,IFERROR(IF(VALUE($B2260)&lt;100000000,VALUE($B2260),1000000000),IFERROR(IF(VALUE(MID($B2260,2,20))&lt;100000000,VALUE(MID($B2260,2,20)),1000000000),1000000000))+ROW()/100000,"")</f>
        <v/>
      </c>
    </row>
    <row r="2261">
      <c r="A2261">
        <f>IF($B2261="","",IFERROR(IF(INDEX('Per Invoice'!$A$2:$A$801,MATCH($B2261,'Per Invoice'!$B$2:$B$801,0))=0,"",INDEX('Per Invoice'!$A$2:$A$801,MATCH($B2261,'Per Invoice'!$B$2:$B$801,0))),""))</f>
        <v/>
      </c>
      <c r="J2261" s="7">
        <f>IF($B2261="","",I2261*Q2261/100)</f>
        <v/>
      </c>
      <c r="N2261" s="7" t="n"/>
      <c r="O2261" s="7" t="n"/>
      <c r="P2261" s="7">
        <f>IF($B2261="","",O2261*X2261/100)</f>
        <v/>
      </c>
      <c r="Q2261" s="7">
        <f>IF($B2261="","",O2261-P2261)</f>
        <v/>
      </c>
      <c r="R2261" s="7">
        <f>IF($B2261="","",Q2261-J2261)</f>
        <v/>
      </c>
      <c r="S2261" s="7" t="n"/>
      <c r="T2261" s="7" t="n"/>
      <c r="V2261" s="14" t="n"/>
      <c r="Z2261">
        <f>IF($B2261="","",IF(COUNTIF($B$2:$B2261,$B2261)=1,1,0))</f>
        <v/>
      </c>
      <c r="AA2261">
        <f>IF($Z2261=1,SUMPRODUCT(--($AC$2:$AC$3001&lt;$AC2261))+1,"")</f>
        <v/>
      </c>
      <c r="AB2261">
        <f>IF($B2261="","",IF(OR($Y2261=TRUE(),$Y2261="TRUE"),1,IF(AND($Y2261&lt;&gt;"",OR($Y2261=FALSE(),$Y2261="FALSE")),0,IF(MIN(ABS($X2261/100-Settings!$C$6),ABS($X2261/100-Settings!$G$6))&lt;=MIN(ABS($X2261/100-Settings!$C$7),ABS($X2261/100-Settings!$G$7)),1,0))))</f>
        <v/>
      </c>
      <c r="AC2261">
        <f>IF($Z2261=1,IFERROR(IF(VALUE($B2261)&lt;100000000,VALUE($B2261),1000000000),IFERROR(IF(VALUE(MID($B2261,2,20))&lt;100000000,VALUE(MID($B2261,2,20)),1000000000),1000000000))+ROW()/100000,"")</f>
        <v/>
      </c>
    </row>
    <row r="2262">
      <c r="A2262">
        <f>IF($B2262="","",IFERROR(IF(INDEX('Per Invoice'!$A$2:$A$801,MATCH($B2262,'Per Invoice'!$B$2:$B$801,0))=0,"",INDEX('Per Invoice'!$A$2:$A$801,MATCH($B2262,'Per Invoice'!$B$2:$B$801,0))),""))</f>
        <v/>
      </c>
      <c r="J2262" s="7">
        <f>IF($B2262="","",I2262*Q2262/100)</f>
        <v/>
      </c>
      <c r="N2262" s="7" t="n"/>
      <c r="O2262" s="7" t="n"/>
      <c r="P2262" s="7">
        <f>IF($B2262="","",O2262*X2262/100)</f>
        <v/>
      </c>
      <c r="Q2262" s="7">
        <f>IF($B2262="","",O2262-P2262)</f>
        <v/>
      </c>
      <c r="R2262" s="7">
        <f>IF($B2262="","",Q2262-J2262)</f>
        <v/>
      </c>
      <c r="S2262" s="7" t="n"/>
      <c r="T2262" s="7" t="n"/>
      <c r="V2262" s="14" t="n"/>
      <c r="Z2262">
        <f>IF($B2262="","",IF(COUNTIF($B$2:$B2262,$B2262)=1,1,0))</f>
        <v/>
      </c>
      <c r="AA2262">
        <f>IF($Z2262=1,SUMPRODUCT(--($AC$2:$AC$3001&lt;$AC2262))+1,"")</f>
        <v/>
      </c>
      <c r="AB2262">
        <f>IF($B2262="","",IF(OR($Y2262=TRUE(),$Y2262="TRUE"),1,IF(AND($Y2262&lt;&gt;"",OR($Y2262=FALSE(),$Y2262="FALSE")),0,IF(MIN(ABS($X2262/100-Settings!$C$6),ABS($X2262/100-Settings!$G$6))&lt;=MIN(ABS($X2262/100-Settings!$C$7),ABS($X2262/100-Settings!$G$7)),1,0))))</f>
        <v/>
      </c>
      <c r="AC2262">
        <f>IF($Z2262=1,IFERROR(IF(VALUE($B2262)&lt;100000000,VALUE($B2262),1000000000),IFERROR(IF(VALUE(MID($B2262,2,20))&lt;100000000,VALUE(MID($B2262,2,20)),1000000000),1000000000))+ROW()/100000,"")</f>
        <v/>
      </c>
    </row>
    <row r="2263">
      <c r="A2263">
        <f>IF($B2263="","",IFERROR(IF(INDEX('Per Invoice'!$A$2:$A$801,MATCH($B2263,'Per Invoice'!$B$2:$B$801,0))=0,"",INDEX('Per Invoice'!$A$2:$A$801,MATCH($B2263,'Per Invoice'!$B$2:$B$801,0))),""))</f>
        <v/>
      </c>
      <c r="J2263" s="7">
        <f>IF($B2263="","",I2263*Q2263/100)</f>
        <v/>
      </c>
      <c r="N2263" s="7" t="n"/>
      <c r="O2263" s="7" t="n"/>
      <c r="P2263" s="7">
        <f>IF($B2263="","",O2263*X2263/100)</f>
        <v/>
      </c>
      <c r="Q2263" s="7">
        <f>IF($B2263="","",O2263-P2263)</f>
        <v/>
      </c>
      <c r="R2263" s="7">
        <f>IF($B2263="","",Q2263-J2263)</f>
        <v/>
      </c>
      <c r="S2263" s="7" t="n"/>
      <c r="T2263" s="7" t="n"/>
      <c r="V2263" s="14" t="n"/>
      <c r="Z2263">
        <f>IF($B2263="","",IF(COUNTIF($B$2:$B2263,$B2263)=1,1,0))</f>
        <v/>
      </c>
      <c r="AA2263">
        <f>IF($Z2263=1,SUMPRODUCT(--($AC$2:$AC$3001&lt;$AC2263))+1,"")</f>
        <v/>
      </c>
      <c r="AB2263">
        <f>IF($B2263="","",IF(OR($Y2263=TRUE(),$Y2263="TRUE"),1,IF(AND($Y2263&lt;&gt;"",OR($Y2263=FALSE(),$Y2263="FALSE")),0,IF(MIN(ABS($X2263/100-Settings!$C$6),ABS($X2263/100-Settings!$G$6))&lt;=MIN(ABS($X2263/100-Settings!$C$7),ABS($X2263/100-Settings!$G$7)),1,0))))</f>
        <v/>
      </c>
      <c r="AC2263">
        <f>IF($Z2263=1,IFERROR(IF(VALUE($B2263)&lt;100000000,VALUE($B2263),1000000000),IFERROR(IF(VALUE(MID($B2263,2,20))&lt;100000000,VALUE(MID($B2263,2,20)),1000000000),1000000000))+ROW()/100000,"")</f>
        <v/>
      </c>
    </row>
    <row r="2264">
      <c r="A2264">
        <f>IF($B2264="","",IFERROR(IF(INDEX('Per Invoice'!$A$2:$A$801,MATCH($B2264,'Per Invoice'!$B$2:$B$801,0))=0,"",INDEX('Per Invoice'!$A$2:$A$801,MATCH($B2264,'Per Invoice'!$B$2:$B$801,0))),""))</f>
        <v/>
      </c>
      <c r="J2264" s="7">
        <f>IF($B2264="","",I2264*Q2264/100)</f>
        <v/>
      </c>
      <c r="N2264" s="7" t="n"/>
      <c r="O2264" s="7" t="n"/>
      <c r="P2264" s="7">
        <f>IF($B2264="","",O2264*X2264/100)</f>
        <v/>
      </c>
      <c r="Q2264" s="7">
        <f>IF($B2264="","",O2264-P2264)</f>
        <v/>
      </c>
      <c r="R2264" s="7">
        <f>IF($B2264="","",Q2264-J2264)</f>
        <v/>
      </c>
      <c r="S2264" s="7" t="n"/>
      <c r="T2264" s="7" t="n"/>
      <c r="V2264" s="14" t="n"/>
      <c r="Z2264">
        <f>IF($B2264="","",IF(COUNTIF($B$2:$B2264,$B2264)=1,1,0))</f>
        <v/>
      </c>
      <c r="AA2264">
        <f>IF($Z2264=1,SUMPRODUCT(--($AC$2:$AC$3001&lt;$AC2264))+1,"")</f>
        <v/>
      </c>
      <c r="AB2264">
        <f>IF($B2264="","",IF(OR($Y2264=TRUE(),$Y2264="TRUE"),1,IF(AND($Y2264&lt;&gt;"",OR($Y2264=FALSE(),$Y2264="FALSE")),0,IF(MIN(ABS($X2264/100-Settings!$C$6),ABS($X2264/100-Settings!$G$6))&lt;=MIN(ABS($X2264/100-Settings!$C$7),ABS($X2264/100-Settings!$G$7)),1,0))))</f>
        <v/>
      </c>
      <c r="AC2264">
        <f>IF($Z2264=1,IFERROR(IF(VALUE($B2264)&lt;100000000,VALUE($B2264),1000000000),IFERROR(IF(VALUE(MID($B2264,2,20))&lt;100000000,VALUE(MID($B2264,2,20)),1000000000),1000000000))+ROW()/100000,"")</f>
        <v/>
      </c>
    </row>
    <row r="2265">
      <c r="A2265">
        <f>IF($B2265="","",IFERROR(IF(INDEX('Per Invoice'!$A$2:$A$801,MATCH($B2265,'Per Invoice'!$B$2:$B$801,0))=0,"",INDEX('Per Invoice'!$A$2:$A$801,MATCH($B2265,'Per Invoice'!$B$2:$B$801,0))),""))</f>
        <v/>
      </c>
      <c r="J2265" s="7">
        <f>IF($B2265="","",I2265*Q2265/100)</f>
        <v/>
      </c>
      <c r="N2265" s="7" t="n"/>
      <c r="O2265" s="7" t="n"/>
      <c r="P2265" s="7">
        <f>IF($B2265="","",O2265*X2265/100)</f>
        <v/>
      </c>
      <c r="Q2265" s="7">
        <f>IF($B2265="","",O2265-P2265)</f>
        <v/>
      </c>
      <c r="R2265" s="7">
        <f>IF($B2265="","",Q2265-J2265)</f>
        <v/>
      </c>
      <c r="S2265" s="7" t="n"/>
      <c r="T2265" s="7" t="n"/>
      <c r="V2265" s="14" t="n"/>
      <c r="Z2265">
        <f>IF($B2265="","",IF(COUNTIF($B$2:$B2265,$B2265)=1,1,0))</f>
        <v/>
      </c>
      <c r="AA2265">
        <f>IF($Z2265=1,SUMPRODUCT(--($AC$2:$AC$3001&lt;$AC2265))+1,"")</f>
        <v/>
      </c>
      <c r="AB2265">
        <f>IF($B2265="","",IF(OR($Y2265=TRUE(),$Y2265="TRUE"),1,IF(AND($Y2265&lt;&gt;"",OR($Y2265=FALSE(),$Y2265="FALSE")),0,IF(MIN(ABS($X2265/100-Settings!$C$6),ABS($X2265/100-Settings!$G$6))&lt;=MIN(ABS($X2265/100-Settings!$C$7),ABS($X2265/100-Settings!$G$7)),1,0))))</f>
        <v/>
      </c>
      <c r="AC2265">
        <f>IF($Z2265=1,IFERROR(IF(VALUE($B2265)&lt;100000000,VALUE($B2265),1000000000),IFERROR(IF(VALUE(MID($B2265,2,20))&lt;100000000,VALUE(MID($B2265,2,20)),1000000000),1000000000))+ROW()/100000,"")</f>
        <v/>
      </c>
    </row>
    <row r="2266">
      <c r="A2266">
        <f>IF($B2266="","",IFERROR(IF(INDEX('Per Invoice'!$A$2:$A$801,MATCH($B2266,'Per Invoice'!$B$2:$B$801,0))=0,"",INDEX('Per Invoice'!$A$2:$A$801,MATCH($B2266,'Per Invoice'!$B$2:$B$801,0))),""))</f>
        <v/>
      </c>
      <c r="J2266" s="7">
        <f>IF($B2266="","",I2266*Q2266/100)</f>
        <v/>
      </c>
      <c r="N2266" s="7" t="n"/>
      <c r="O2266" s="7" t="n"/>
      <c r="P2266" s="7">
        <f>IF($B2266="","",O2266*X2266/100)</f>
        <v/>
      </c>
      <c r="Q2266" s="7">
        <f>IF($B2266="","",O2266-P2266)</f>
        <v/>
      </c>
      <c r="R2266" s="7">
        <f>IF($B2266="","",Q2266-J2266)</f>
        <v/>
      </c>
      <c r="S2266" s="7" t="n"/>
      <c r="T2266" s="7" t="n"/>
      <c r="V2266" s="14" t="n"/>
      <c r="Z2266">
        <f>IF($B2266="","",IF(COUNTIF($B$2:$B2266,$B2266)=1,1,0))</f>
        <v/>
      </c>
      <c r="AA2266">
        <f>IF($Z2266=1,SUMPRODUCT(--($AC$2:$AC$3001&lt;$AC2266))+1,"")</f>
        <v/>
      </c>
      <c r="AB2266">
        <f>IF($B2266="","",IF(OR($Y2266=TRUE(),$Y2266="TRUE"),1,IF(AND($Y2266&lt;&gt;"",OR($Y2266=FALSE(),$Y2266="FALSE")),0,IF(MIN(ABS($X2266/100-Settings!$C$6),ABS($X2266/100-Settings!$G$6))&lt;=MIN(ABS($X2266/100-Settings!$C$7),ABS($X2266/100-Settings!$G$7)),1,0))))</f>
        <v/>
      </c>
      <c r="AC2266">
        <f>IF($Z2266=1,IFERROR(IF(VALUE($B2266)&lt;100000000,VALUE($B2266),1000000000),IFERROR(IF(VALUE(MID($B2266,2,20))&lt;100000000,VALUE(MID($B2266,2,20)),1000000000),1000000000))+ROW()/100000,"")</f>
        <v/>
      </c>
    </row>
    <row r="2267">
      <c r="A2267">
        <f>IF($B2267="","",IFERROR(IF(INDEX('Per Invoice'!$A$2:$A$801,MATCH($B2267,'Per Invoice'!$B$2:$B$801,0))=0,"",INDEX('Per Invoice'!$A$2:$A$801,MATCH($B2267,'Per Invoice'!$B$2:$B$801,0))),""))</f>
        <v/>
      </c>
      <c r="J2267" s="7">
        <f>IF($B2267="","",I2267*Q2267/100)</f>
        <v/>
      </c>
      <c r="N2267" s="7" t="n"/>
      <c r="O2267" s="7" t="n"/>
      <c r="P2267" s="7">
        <f>IF($B2267="","",O2267*X2267/100)</f>
        <v/>
      </c>
      <c r="Q2267" s="7">
        <f>IF($B2267="","",O2267-P2267)</f>
        <v/>
      </c>
      <c r="R2267" s="7">
        <f>IF($B2267="","",Q2267-J2267)</f>
        <v/>
      </c>
      <c r="S2267" s="7" t="n"/>
      <c r="T2267" s="7" t="n"/>
      <c r="V2267" s="14" t="n"/>
      <c r="Z2267">
        <f>IF($B2267="","",IF(COUNTIF($B$2:$B2267,$B2267)=1,1,0))</f>
        <v/>
      </c>
      <c r="AA2267">
        <f>IF($Z2267=1,SUMPRODUCT(--($AC$2:$AC$3001&lt;$AC2267))+1,"")</f>
        <v/>
      </c>
      <c r="AB2267">
        <f>IF($B2267="","",IF(OR($Y2267=TRUE(),$Y2267="TRUE"),1,IF(AND($Y2267&lt;&gt;"",OR($Y2267=FALSE(),$Y2267="FALSE")),0,IF(MIN(ABS($X2267/100-Settings!$C$6),ABS($X2267/100-Settings!$G$6))&lt;=MIN(ABS($X2267/100-Settings!$C$7),ABS($X2267/100-Settings!$G$7)),1,0))))</f>
        <v/>
      </c>
      <c r="AC2267">
        <f>IF($Z2267=1,IFERROR(IF(VALUE($B2267)&lt;100000000,VALUE($B2267),1000000000),IFERROR(IF(VALUE(MID($B2267,2,20))&lt;100000000,VALUE(MID($B2267,2,20)),1000000000),1000000000))+ROW()/100000,"")</f>
        <v/>
      </c>
    </row>
    <row r="2268">
      <c r="A2268">
        <f>IF($B2268="","",IFERROR(IF(INDEX('Per Invoice'!$A$2:$A$801,MATCH($B2268,'Per Invoice'!$B$2:$B$801,0))=0,"",INDEX('Per Invoice'!$A$2:$A$801,MATCH($B2268,'Per Invoice'!$B$2:$B$801,0))),""))</f>
        <v/>
      </c>
      <c r="J2268" s="7">
        <f>IF($B2268="","",I2268*Q2268/100)</f>
        <v/>
      </c>
      <c r="N2268" s="7" t="n"/>
      <c r="O2268" s="7" t="n"/>
      <c r="P2268" s="7">
        <f>IF($B2268="","",O2268*X2268/100)</f>
        <v/>
      </c>
      <c r="Q2268" s="7">
        <f>IF($B2268="","",O2268-P2268)</f>
        <v/>
      </c>
      <c r="R2268" s="7">
        <f>IF($B2268="","",Q2268-J2268)</f>
        <v/>
      </c>
      <c r="S2268" s="7" t="n"/>
      <c r="T2268" s="7" t="n"/>
      <c r="V2268" s="14" t="n"/>
      <c r="Z2268">
        <f>IF($B2268="","",IF(COUNTIF($B$2:$B2268,$B2268)=1,1,0))</f>
        <v/>
      </c>
      <c r="AA2268">
        <f>IF($Z2268=1,SUMPRODUCT(--($AC$2:$AC$3001&lt;$AC2268))+1,"")</f>
        <v/>
      </c>
      <c r="AB2268">
        <f>IF($B2268="","",IF(OR($Y2268=TRUE(),$Y2268="TRUE"),1,IF(AND($Y2268&lt;&gt;"",OR($Y2268=FALSE(),$Y2268="FALSE")),0,IF(MIN(ABS($X2268/100-Settings!$C$6),ABS($X2268/100-Settings!$G$6))&lt;=MIN(ABS($X2268/100-Settings!$C$7),ABS($X2268/100-Settings!$G$7)),1,0))))</f>
        <v/>
      </c>
      <c r="AC2268">
        <f>IF($Z2268=1,IFERROR(IF(VALUE($B2268)&lt;100000000,VALUE($B2268),1000000000),IFERROR(IF(VALUE(MID($B2268,2,20))&lt;100000000,VALUE(MID($B2268,2,20)),1000000000),1000000000))+ROW()/100000,"")</f>
        <v/>
      </c>
    </row>
    <row r="2269">
      <c r="A2269">
        <f>IF($B2269="","",IFERROR(IF(INDEX('Per Invoice'!$A$2:$A$801,MATCH($B2269,'Per Invoice'!$B$2:$B$801,0))=0,"",INDEX('Per Invoice'!$A$2:$A$801,MATCH($B2269,'Per Invoice'!$B$2:$B$801,0))),""))</f>
        <v/>
      </c>
      <c r="J2269" s="7">
        <f>IF($B2269="","",I2269*Q2269/100)</f>
        <v/>
      </c>
      <c r="N2269" s="7" t="n"/>
      <c r="O2269" s="7" t="n"/>
      <c r="P2269" s="7">
        <f>IF($B2269="","",O2269*X2269/100)</f>
        <v/>
      </c>
      <c r="Q2269" s="7">
        <f>IF($B2269="","",O2269-P2269)</f>
        <v/>
      </c>
      <c r="R2269" s="7">
        <f>IF($B2269="","",Q2269-J2269)</f>
        <v/>
      </c>
      <c r="S2269" s="7" t="n"/>
      <c r="T2269" s="7" t="n"/>
      <c r="V2269" s="14" t="n"/>
      <c r="Z2269">
        <f>IF($B2269="","",IF(COUNTIF($B$2:$B2269,$B2269)=1,1,0))</f>
        <v/>
      </c>
      <c r="AA2269">
        <f>IF($Z2269=1,SUMPRODUCT(--($AC$2:$AC$3001&lt;$AC2269))+1,"")</f>
        <v/>
      </c>
      <c r="AB2269">
        <f>IF($B2269="","",IF(OR($Y2269=TRUE(),$Y2269="TRUE"),1,IF(AND($Y2269&lt;&gt;"",OR($Y2269=FALSE(),$Y2269="FALSE")),0,IF(MIN(ABS($X2269/100-Settings!$C$6),ABS($X2269/100-Settings!$G$6))&lt;=MIN(ABS($X2269/100-Settings!$C$7),ABS($X2269/100-Settings!$G$7)),1,0))))</f>
        <v/>
      </c>
      <c r="AC2269">
        <f>IF($Z2269=1,IFERROR(IF(VALUE($B2269)&lt;100000000,VALUE($B2269),1000000000),IFERROR(IF(VALUE(MID($B2269,2,20))&lt;100000000,VALUE(MID($B2269,2,20)),1000000000),1000000000))+ROW()/100000,"")</f>
        <v/>
      </c>
    </row>
    <row r="2270">
      <c r="A2270">
        <f>IF($B2270="","",IFERROR(IF(INDEX('Per Invoice'!$A$2:$A$801,MATCH($B2270,'Per Invoice'!$B$2:$B$801,0))=0,"",INDEX('Per Invoice'!$A$2:$A$801,MATCH($B2270,'Per Invoice'!$B$2:$B$801,0))),""))</f>
        <v/>
      </c>
      <c r="J2270" s="7">
        <f>IF($B2270="","",I2270*Q2270/100)</f>
        <v/>
      </c>
      <c r="N2270" s="7" t="n"/>
      <c r="O2270" s="7" t="n"/>
      <c r="P2270" s="7">
        <f>IF($B2270="","",O2270*X2270/100)</f>
        <v/>
      </c>
      <c r="Q2270" s="7">
        <f>IF($B2270="","",O2270-P2270)</f>
        <v/>
      </c>
      <c r="R2270" s="7">
        <f>IF($B2270="","",Q2270-J2270)</f>
        <v/>
      </c>
      <c r="S2270" s="7" t="n"/>
      <c r="T2270" s="7" t="n"/>
      <c r="V2270" s="14" t="n"/>
      <c r="Z2270">
        <f>IF($B2270="","",IF(COUNTIF($B$2:$B2270,$B2270)=1,1,0))</f>
        <v/>
      </c>
      <c r="AA2270">
        <f>IF($Z2270=1,SUMPRODUCT(--($AC$2:$AC$3001&lt;$AC2270))+1,"")</f>
        <v/>
      </c>
      <c r="AB2270">
        <f>IF($B2270="","",IF(OR($Y2270=TRUE(),$Y2270="TRUE"),1,IF(AND($Y2270&lt;&gt;"",OR($Y2270=FALSE(),$Y2270="FALSE")),0,IF(MIN(ABS($X2270/100-Settings!$C$6),ABS($X2270/100-Settings!$G$6))&lt;=MIN(ABS($X2270/100-Settings!$C$7),ABS($X2270/100-Settings!$G$7)),1,0))))</f>
        <v/>
      </c>
      <c r="AC2270">
        <f>IF($Z2270=1,IFERROR(IF(VALUE($B2270)&lt;100000000,VALUE($B2270),1000000000),IFERROR(IF(VALUE(MID($B2270,2,20))&lt;100000000,VALUE(MID($B2270,2,20)),1000000000),1000000000))+ROW()/100000,"")</f>
        <v/>
      </c>
    </row>
    <row r="2271">
      <c r="A2271">
        <f>IF($B2271="","",IFERROR(IF(INDEX('Per Invoice'!$A$2:$A$801,MATCH($B2271,'Per Invoice'!$B$2:$B$801,0))=0,"",INDEX('Per Invoice'!$A$2:$A$801,MATCH($B2271,'Per Invoice'!$B$2:$B$801,0))),""))</f>
        <v/>
      </c>
      <c r="J2271" s="7">
        <f>IF($B2271="","",I2271*Q2271/100)</f>
        <v/>
      </c>
      <c r="N2271" s="7" t="n"/>
      <c r="O2271" s="7" t="n"/>
      <c r="P2271" s="7">
        <f>IF($B2271="","",O2271*X2271/100)</f>
        <v/>
      </c>
      <c r="Q2271" s="7">
        <f>IF($B2271="","",O2271-P2271)</f>
        <v/>
      </c>
      <c r="R2271" s="7">
        <f>IF($B2271="","",Q2271-J2271)</f>
        <v/>
      </c>
      <c r="S2271" s="7" t="n"/>
      <c r="T2271" s="7" t="n"/>
      <c r="V2271" s="14" t="n"/>
      <c r="Z2271">
        <f>IF($B2271="","",IF(COUNTIF($B$2:$B2271,$B2271)=1,1,0))</f>
        <v/>
      </c>
      <c r="AA2271">
        <f>IF($Z2271=1,SUMPRODUCT(--($AC$2:$AC$3001&lt;$AC2271))+1,"")</f>
        <v/>
      </c>
      <c r="AB2271">
        <f>IF($B2271="","",IF(OR($Y2271=TRUE(),$Y2271="TRUE"),1,IF(AND($Y2271&lt;&gt;"",OR($Y2271=FALSE(),$Y2271="FALSE")),0,IF(MIN(ABS($X2271/100-Settings!$C$6),ABS($X2271/100-Settings!$G$6))&lt;=MIN(ABS($X2271/100-Settings!$C$7),ABS($X2271/100-Settings!$G$7)),1,0))))</f>
        <v/>
      </c>
      <c r="AC2271">
        <f>IF($Z2271=1,IFERROR(IF(VALUE($B2271)&lt;100000000,VALUE($B2271),1000000000),IFERROR(IF(VALUE(MID($B2271,2,20))&lt;100000000,VALUE(MID($B2271,2,20)),1000000000),1000000000))+ROW()/100000,"")</f>
        <v/>
      </c>
    </row>
    <row r="2272">
      <c r="A2272">
        <f>IF($B2272="","",IFERROR(IF(INDEX('Per Invoice'!$A$2:$A$801,MATCH($B2272,'Per Invoice'!$B$2:$B$801,0))=0,"",INDEX('Per Invoice'!$A$2:$A$801,MATCH($B2272,'Per Invoice'!$B$2:$B$801,0))),""))</f>
        <v/>
      </c>
      <c r="J2272" s="7">
        <f>IF($B2272="","",I2272*Q2272/100)</f>
        <v/>
      </c>
      <c r="N2272" s="7" t="n"/>
      <c r="O2272" s="7" t="n"/>
      <c r="P2272" s="7">
        <f>IF($B2272="","",O2272*X2272/100)</f>
        <v/>
      </c>
      <c r="Q2272" s="7">
        <f>IF($B2272="","",O2272-P2272)</f>
        <v/>
      </c>
      <c r="R2272" s="7">
        <f>IF($B2272="","",Q2272-J2272)</f>
        <v/>
      </c>
      <c r="S2272" s="7" t="n"/>
      <c r="T2272" s="7" t="n"/>
      <c r="V2272" s="14" t="n"/>
      <c r="Z2272">
        <f>IF($B2272="","",IF(COUNTIF($B$2:$B2272,$B2272)=1,1,0))</f>
        <v/>
      </c>
      <c r="AA2272">
        <f>IF($Z2272=1,SUMPRODUCT(--($AC$2:$AC$3001&lt;$AC2272))+1,"")</f>
        <v/>
      </c>
      <c r="AB2272">
        <f>IF($B2272="","",IF(OR($Y2272=TRUE(),$Y2272="TRUE"),1,IF(AND($Y2272&lt;&gt;"",OR($Y2272=FALSE(),$Y2272="FALSE")),0,IF(MIN(ABS($X2272/100-Settings!$C$6),ABS($X2272/100-Settings!$G$6))&lt;=MIN(ABS($X2272/100-Settings!$C$7),ABS($X2272/100-Settings!$G$7)),1,0))))</f>
        <v/>
      </c>
      <c r="AC2272">
        <f>IF($Z2272=1,IFERROR(IF(VALUE($B2272)&lt;100000000,VALUE($B2272),1000000000),IFERROR(IF(VALUE(MID($B2272,2,20))&lt;100000000,VALUE(MID($B2272,2,20)),1000000000),1000000000))+ROW()/100000,"")</f>
        <v/>
      </c>
    </row>
    <row r="2273">
      <c r="A2273">
        <f>IF($B2273="","",IFERROR(IF(INDEX('Per Invoice'!$A$2:$A$801,MATCH($B2273,'Per Invoice'!$B$2:$B$801,0))=0,"",INDEX('Per Invoice'!$A$2:$A$801,MATCH($B2273,'Per Invoice'!$B$2:$B$801,0))),""))</f>
        <v/>
      </c>
      <c r="J2273" s="7">
        <f>IF($B2273="","",I2273*Q2273/100)</f>
        <v/>
      </c>
      <c r="N2273" s="7" t="n"/>
      <c r="O2273" s="7" t="n"/>
      <c r="P2273" s="7">
        <f>IF($B2273="","",O2273*X2273/100)</f>
        <v/>
      </c>
      <c r="Q2273" s="7">
        <f>IF($B2273="","",O2273-P2273)</f>
        <v/>
      </c>
      <c r="R2273" s="7">
        <f>IF($B2273="","",Q2273-J2273)</f>
        <v/>
      </c>
      <c r="S2273" s="7" t="n"/>
      <c r="T2273" s="7" t="n"/>
      <c r="V2273" s="14" t="n"/>
      <c r="Z2273">
        <f>IF($B2273="","",IF(COUNTIF($B$2:$B2273,$B2273)=1,1,0))</f>
        <v/>
      </c>
      <c r="AA2273">
        <f>IF($Z2273=1,SUMPRODUCT(--($AC$2:$AC$3001&lt;$AC2273))+1,"")</f>
        <v/>
      </c>
      <c r="AB2273">
        <f>IF($B2273="","",IF(OR($Y2273=TRUE(),$Y2273="TRUE"),1,IF(AND($Y2273&lt;&gt;"",OR($Y2273=FALSE(),$Y2273="FALSE")),0,IF(MIN(ABS($X2273/100-Settings!$C$6),ABS($X2273/100-Settings!$G$6))&lt;=MIN(ABS($X2273/100-Settings!$C$7),ABS($X2273/100-Settings!$G$7)),1,0))))</f>
        <v/>
      </c>
      <c r="AC2273">
        <f>IF($Z2273=1,IFERROR(IF(VALUE($B2273)&lt;100000000,VALUE($B2273),1000000000),IFERROR(IF(VALUE(MID($B2273,2,20))&lt;100000000,VALUE(MID($B2273,2,20)),1000000000),1000000000))+ROW()/100000,"")</f>
        <v/>
      </c>
    </row>
    <row r="2274">
      <c r="A2274">
        <f>IF($B2274="","",IFERROR(IF(INDEX('Per Invoice'!$A$2:$A$801,MATCH($B2274,'Per Invoice'!$B$2:$B$801,0))=0,"",INDEX('Per Invoice'!$A$2:$A$801,MATCH($B2274,'Per Invoice'!$B$2:$B$801,0))),""))</f>
        <v/>
      </c>
      <c r="J2274" s="7">
        <f>IF($B2274="","",I2274*Q2274/100)</f>
        <v/>
      </c>
      <c r="N2274" s="7" t="n"/>
      <c r="O2274" s="7" t="n"/>
      <c r="P2274" s="7">
        <f>IF($B2274="","",O2274*X2274/100)</f>
        <v/>
      </c>
      <c r="Q2274" s="7">
        <f>IF($B2274="","",O2274-P2274)</f>
        <v/>
      </c>
      <c r="R2274" s="7">
        <f>IF($B2274="","",Q2274-J2274)</f>
        <v/>
      </c>
      <c r="S2274" s="7" t="n"/>
      <c r="T2274" s="7" t="n"/>
      <c r="V2274" s="14" t="n"/>
      <c r="Z2274">
        <f>IF($B2274="","",IF(COUNTIF($B$2:$B2274,$B2274)=1,1,0))</f>
        <v/>
      </c>
      <c r="AA2274">
        <f>IF($Z2274=1,SUMPRODUCT(--($AC$2:$AC$3001&lt;$AC2274))+1,"")</f>
        <v/>
      </c>
      <c r="AB2274">
        <f>IF($B2274="","",IF(OR($Y2274=TRUE(),$Y2274="TRUE"),1,IF(AND($Y2274&lt;&gt;"",OR($Y2274=FALSE(),$Y2274="FALSE")),0,IF(MIN(ABS($X2274/100-Settings!$C$6),ABS($X2274/100-Settings!$G$6))&lt;=MIN(ABS($X2274/100-Settings!$C$7),ABS($X2274/100-Settings!$G$7)),1,0))))</f>
        <v/>
      </c>
      <c r="AC2274">
        <f>IF($Z2274=1,IFERROR(IF(VALUE($B2274)&lt;100000000,VALUE($B2274),1000000000),IFERROR(IF(VALUE(MID($B2274,2,20))&lt;100000000,VALUE(MID($B2274,2,20)),1000000000),1000000000))+ROW()/100000,"")</f>
        <v/>
      </c>
    </row>
    <row r="2275">
      <c r="A2275">
        <f>IF($B2275="","",IFERROR(IF(INDEX('Per Invoice'!$A$2:$A$801,MATCH($B2275,'Per Invoice'!$B$2:$B$801,0))=0,"",INDEX('Per Invoice'!$A$2:$A$801,MATCH($B2275,'Per Invoice'!$B$2:$B$801,0))),""))</f>
        <v/>
      </c>
      <c r="J2275" s="7">
        <f>IF($B2275="","",I2275*Q2275/100)</f>
        <v/>
      </c>
      <c r="N2275" s="7" t="n"/>
      <c r="O2275" s="7" t="n"/>
      <c r="P2275" s="7">
        <f>IF($B2275="","",O2275*X2275/100)</f>
        <v/>
      </c>
      <c r="Q2275" s="7">
        <f>IF($B2275="","",O2275-P2275)</f>
        <v/>
      </c>
      <c r="R2275" s="7">
        <f>IF($B2275="","",Q2275-J2275)</f>
        <v/>
      </c>
      <c r="S2275" s="7" t="n"/>
      <c r="T2275" s="7" t="n"/>
      <c r="V2275" s="14" t="n"/>
      <c r="Z2275">
        <f>IF($B2275="","",IF(COUNTIF($B$2:$B2275,$B2275)=1,1,0))</f>
        <v/>
      </c>
      <c r="AA2275">
        <f>IF($Z2275=1,SUMPRODUCT(--($AC$2:$AC$3001&lt;$AC2275))+1,"")</f>
        <v/>
      </c>
      <c r="AB2275">
        <f>IF($B2275="","",IF(OR($Y2275=TRUE(),$Y2275="TRUE"),1,IF(AND($Y2275&lt;&gt;"",OR($Y2275=FALSE(),$Y2275="FALSE")),0,IF(MIN(ABS($X2275/100-Settings!$C$6),ABS($X2275/100-Settings!$G$6))&lt;=MIN(ABS($X2275/100-Settings!$C$7),ABS($X2275/100-Settings!$G$7)),1,0))))</f>
        <v/>
      </c>
      <c r="AC2275">
        <f>IF($Z2275=1,IFERROR(IF(VALUE($B2275)&lt;100000000,VALUE($B2275),1000000000),IFERROR(IF(VALUE(MID($B2275,2,20))&lt;100000000,VALUE(MID($B2275,2,20)),1000000000),1000000000))+ROW()/100000,"")</f>
        <v/>
      </c>
    </row>
    <row r="2276">
      <c r="A2276">
        <f>IF($B2276="","",IFERROR(IF(INDEX('Per Invoice'!$A$2:$A$801,MATCH($B2276,'Per Invoice'!$B$2:$B$801,0))=0,"",INDEX('Per Invoice'!$A$2:$A$801,MATCH($B2276,'Per Invoice'!$B$2:$B$801,0))),""))</f>
        <v/>
      </c>
      <c r="J2276" s="7">
        <f>IF($B2276="","",I2276*Q2276/100)</f>
        <v/>
      </c>
      <c r="N2276" s="7" t="n"/>
      <c r="O2276" s="7" t="n"/>
      <c r="P2276" s="7">
        <f>IF($B2276="","",O2276*X2276/100)</f>
        <v/>
      </c>
      <c r="Q2276" s="7">
        <f>IF($B2276="","",O2276-P2276)</f>
        <v/>
      </c>
      <c r="R2276" s="7">
        <f>IF($B2276="","",Q2276-J2276)</f>
        <v/>
      </c>
      <c r="S2276" s="7" t="n"/>
      <c r="T2276" s="7" t="n"/>
      <c r="V2276" s="14" t="n"/>
      <c r="Z2276">
        <f>IF($B2276="","",IF(COUNTIF($B$2:$B2276,$B2276)=1,1,0))</f>
        <v/>
      </c>
      <c r="AA2276">
        <f>IF($Z2276=1,SUMPRODUCT(--($AC$2:$AC$3001&lt;$AC2276))+1,"")</f>
        <v/>
      </c>
      <c r="AB2276">
        <f>IF($B2276="","",IF(OR($Y2276=TRUE(),$Y2276="TRUE"),1,IF(AND($Y2276&lt;&gt;"",OR($Y2276=FALSE(),$Y2276="FALSE")),0,IF(MIN(ABS($X2276/100-Settings!$C$6),ABS($X2276/100-Settings!$G$6))&lt;=MIN(ABS($X2276/100-Settings!$C$7),ABS($X2276/100-Settings!$G$7)),1,0))))</f>
        <v/>
      </c>
      <c r="AC2276">
        <f>IF($Z2276=1,IFERROR(IF(VALUE($B2276)&lt;100000000,VALUE($B2276),1000000000),IFERROR(IF(VALUE(MID($B2276,2,20))&lt;100000000,VALUE(MID($B2276,2,20)),1000000000),1000000000))+ROW()/100000,"")</f>
        <v/>
      </c>
    </row>
    <row r="2277">
      <c r="A2277">
        <f>IF($B2277="","",IFERROR(IF(INDEX('Per Invoice'!$A$2:$A$801,MATCH($B2277,'Per Invoice'!$B$2:$B$801,0))=0,"",INDEX('Per Invoice'!$A$2:$A$801,MATCH($B2277,'Per Invoice'!$B$2:$B$801,0))),""))</f>
        <v/>
      </c>
      <c r="J2277" s="7">
        <f>IF($B2277="","",I2277*Q2277/100)</f>
        <v/>
      </c>
      <c r="N2277" s="7" t="n"/>
      <c r="O2277" s="7" t="n"/>
      <c r="P2277" s="7">
        <f>IF($B2277="","",O2277*X2277/100)</f>
        <v/>
      </c>
      <c r="Q2277" s="7">
        <f>IF($B2277="","",O2277-P2277)</f>
        <v/>
      </c>
      <c r="R2277" s="7">
        <f>IF($B2277="","",Q2277-J2277)</f>
        <v/>
      </c>
      <c r="S2277" s="7" t="n"/>
      <c r="T2277" s="7" t="n"/>
      <c r="V2277" s="14" t="n"/>
      <c r="Z2277">
        <f>IF($B2277="","",IF(COUNTIF($B$2:$B2277,$B2277)=1,1,0))</f>
        <v/>
      </c>
      <c r="AA2277">
        <f>IF($Z2277=1,SUMPRODUCT(--($AC$2:$AC$3001&lt;$AC2277))+1,"")</f>
        <v/>
      </c>
      <c r="AB2277">
        <f>IF($B2277="","",IF(OR($Y2277=TRUE(),$Y2277="TRUE"),1,IF(AND($Y2277&lt;&gt;"",OR($Y2277=FALSE(),$Y2277="FALSE")),0,IF(MIN(ABS($X2277/100-Settings!$C$6),ABS($X2277/100-Settings!$G$6))&lt;=MIN(ABS($X2277/100-Settings!$C$7),ABS($X2277/100-Settings!$G$7)),1,0))))</f>
        <v/>
      </c>
      <c r="AC2277">
        <f>IF($Z2277=1,IFERROR(IF(VALUE($B2277)&lt;100000000,VALUE($B2277),1000000000),IFERROR(IF(VALUE(MID($B2277,2,20))&lt;100000000,VALUE(MID($B2277,2,20)),1000000000),1000000000))+ROW()/100000,"")</f>
        <v/>
      </c>
    </row>
    <row r="2278">
      <c r="A2278">
        <f>IF($B2278="","",IFERROR(IF(INDEX('Per Invoice'!$A$2:$A$801,MATCH($B2278,'Per Invoice'!$B$2:$B$801,0))=0,"",INDEX('Per Invoice'!$A$2:$A$801,MATCH($B2278,'Per Invoice'!$B$2:$B$801,0))),""))</f>
        <v/>
      </c>
      <c r="J2278" s="7">
        <f>IF($B2278="","",I2278*Q2278/100)</f>
        <v/>
      </c>
      <c r="N2278" s="7" t="n"/>
      <c r="O2278" s="7" t="n"/>
      <c r="P2278" s="7">
        <f>IF($B2278="","",O2278*X2278/100)</f>
        <v/>
      </c>
      <c r="Q2278" s="7">
        <f>IF($B2278="","",O2278-P2278)</f>
        <v/>
      </c>
      <c r="R2278" s="7">
        <f>IF($B2278="","",Q2278-J2278)</f>
        <v/>
      </c>
      <c r="S2278" s="7" t="n"/>
      <c r="T2278" s="7" t="n"/>
      <c r="V2278" s="14" t="n"/>
      <c r="Z2278">
        <f>IF($B2278="","",IF(COUNTIF($B$2:$B2278,$B2278)=1,1,0))</f>
        <v/>
      </c>
      <c r="AA2278">
        <f>IF($Z2278=1,SUMPRODUCT(--($AC$2:$AC$3001&lt;$AC2278))+1,"")</f>
        <v/>
      </c>
      <c r="AB2278">
        <f>IF($B2278="","",IF(OR($Y2278=TRUE(),$Y2278="TRUE"),1,IF(AND($Y2278&lt;&gt;"",OR($Y2278=FALSE(),$Y2278="FALSE")),0,IF(MIN(ABS($X2278/100-Settings!$C$6),ABS($X2278/100-Settings!$G$6))&lt;=MIN(ABS($X2278/100-Settings!$C$7),ABS($X2278/100-Settings!$G$7)),1,0))))</f>
        <v/>
      </c>
      <c r="AC2278">
        <f>IF($Z2278=1,IFERROR(IF(VALUE($B2278)&lt;100000000,VALUE($B2278),1000000000),IFERROR(IF(VALUE(MID($B2278,2,20))&lt;100000000,VALUE(MID($B2278,2,20)),1000000000),1000000000))+ROW()/100000,"")</f>
        <v/>
      </c>
    </row>
    <row r="2279">
      <c r="A2279">
        <f>IF($B2279="","",IFERROR(IF(INDEX('Per Invoice'!$A$2:$A$801,MATCH($B2279,'Per Invoice'!$B$2:$B$801,0))=0,"",INDEX('Per Invoice'!$A$2:$A$801,MATCH($B2279,'Per Invoice'!$B$2:$B$801,0))),""))</f>
        <v/>
      </c>
      <c r="J2279" s="7">
        <f>IF($B2279="","",I2279*Q2279/100)</f>
        <v/>
      </c>
      <c r="N2279" s="7" t="n"/>
      <c r="O2279" s="7" t="n"/>
      <c r="P2279" s="7">
        <f>IF($B2279="","",O2279*X2279/100)</f>
        <v/>
      </c>
      <c r="Q2279" s="7">
        <f>IF($B2279="","",O2279-P2279)</f>
        <v/>
      </c>
      <c r="R2279" s="7">
        <f>IF($B2279="","",Q2279-J2279)</f>
        <v/>
      </c>
      <c r="S2279" s="7" t="n"/>
      <c r="T2279" s="7" t="n"/>
      <c r="V2279" s="14" t="n"/>
      <c r="Z2279">
        <f>IF($B2279="","",IF(COUNTIF($B$2:$B2279,$B2279)=1,1,0))</f>
        <v/>
      </c>
      <c r="AA2279">
        <f>IF($Z2279=1,SUMPRODUCT(--($AC$2:$AC$3001&lt;$AC2279))+1,"")</f>
        <v/>
      </c>
      <c r="AB2279">
        <f>IF($B2279="","",IF(OR($Y2279=TRUE(),$Y2279="TRUE"),1,IF(AND($Y2279&lt;&gt;"",OR($Y2279=FALSE(),$Y2279="FALSE")),0,IF(MIN(ABS($X2279/100-Settings!$C$6),ABS($X2279/100-Settings!$G$6))&lt;=MIN(ABS($X2279/100-Settings!$C$7),ABS($X2279/100-Settings!$G$7)),1,0))))</f>
        <v/>
      </c>
      <c r="AC2279">
        <f>IF($Z2279=1,IFERROR(IF(VALUE($B2279)&lt;100000000,VALUE($B2279),1000000000),IFERROR(IF(VALUE(MID($B2279,2,20))&lt;100000000,VALUE(MID($B2279,2,20)),1000000000),1000000000))+ROW()/100000,"")</f>
        <v/>
      </c>
    </row>
    <row r="2280">
      <c r="A2280">
        <f>IF($B2280="","",IFERROR(IF(INDEX('Per Invoice'!$A$2:$A$801,MATCH($B2280,'Per Invoice'!$B$2:$B$801,0))=0,"",INDEX('Per Invoice'!$A$2:$A$801,MATCH($B2280,'Per Invoice'!$B$2:$B$801,0))),""))</f>
        <v/>
      </c>
      <c r="J2280" s="7">
        <f>IF($B2280="","",I2280*Q2280/100)</f>
        <v/>
      </c>
      <c r="N2280" s="7" t="n"/>
      <c r="O2280" s="7" t="n"/>
      <c r="P2280" s="7">
        <f>IF($B2280="","",O2280*X2280/100)</f>
        <v/>
      </c>
      <c r="Q2280" s="7">
        <f>IF($B2280="","",O2280-P2280)</f>
        <v/>
      </c>
      <c r="R2280" s="7">
        <f>IF($B2280="","",Q2280-J2280)</f>
        <v/>
      </c>
      <c r="S2280" s="7" t="n"/>
      <c r="T2280" s="7" t="n"/>
      <c r="V2280" s="14" t="n"/>
      <c r="Z2280">
        <f>IF($B2280="","",IF(COUNTIF($B$2:$B2280,$B2280)=1,1,0))</f>
        <v/>
      </c>
      <c r="AA2280">
        <f>IF($Z2280=1,SUMPRODUCT(--($AC$2:$AC$3001&lt;$AC2280))+1,"")</f>
        <v/>
      </c>
      <c r="AB2280">
        <f>IF($B2280="","",IF(OR($Y2280=TRUE(),$Y2280="TRUE"),1,IF(AND($Y2280&lt;&gt;"",OR($Y2280=FALSE(),$Y2280="FALSE")),0,IF(MIN(ABS($X2280/100-Settings!$C$6),ABS($X2280/100-Settings!$G$6))&lt;=MIN(ABS($X2280/100-Settings!$C$7),ABS($X2280/100-Settings!$G$7)),1,0))))</f>
        <v/>
      </c>
      <c r="AC2280">
        <f>IF($Z2280=1,IFERROR(IF(VALUE($B2280)&lt;100000000,VALUE($B2280),1000000000),IFERROR(IF(VALUE(MID($B2280,2,20))&lt;100000000,VALUE(MID($B2280,2,20)),1000000000),1000000000))+ROW()/100000,"")</f>
        <v/>
      </c>
    </row>
    <row r="2281">
      <c r="A2281">
        <f>IF($B2281="","",IFERROR(IF(INDEX('Per Invoice'!$A$2:$A$801,MATCH($B2281,'Per Invoice'!$B$2:$B$801,0))=0,"",INDEX('Per Invoice'!$A$2:$A$801,MATCH($B2281,'Per Invoice'!$B$2:$B$801,0))),""))</f>
        <v/>
      </c>
      <c r="J2281" s="7">
        <f>IF($B2281="","",I2281*Q2281/100)</f>
        <v/>
      </c>
      <c r="N2281" s="7" t="n"/>
      <c r="O2281" s="7" t="n"/>
      <c r="P2281" s="7">
        <f>IF($B2281="","",O2281*X2281/100)</f>
        <v/>
      </c>
      <c r="Q2281" s="7">
        <f>IF($B2281="","",O2281-P2281)</f>
        <v/>
      </c>
      <c r="R2281" s="7">
        <f>IF($B2281="","",Q2281-J2281)</f>
        <v/>
      </c>
      <c r="S2281" s="7" t="n"/>
      <c r="T2281" s="7" t="n"/>
      <c r="V2281" s="14" t="n"/>
      <c r="Z2281">
        <f>IF($B2281="","",IF(COUNTIF($B$2:$B2281,$B2281)=1,1,0))</f>
        <v/>
      </c>
      <c r="AA2281">
        <f>IF($Z2281=1,SUMPRODUCT(--($AC$2:$AC$3001&lt;$AC2281))+1,"")</f>
        <v/>
      </c>
      <c r="AB2281">
        <f>IF($B2281="","",IF(OR($Y2281=TRUE(),$Y2281="TRUE"),1,IF(AND($Y2281&lt;&gt;"",OR($Y2281=FALSE(),$Y2281="FALSE")),0,IF(MIN(ABS($X2281/100-Settings!$C$6),ABS($X2281/100-Settings!$G$6))&lt;=MIN(ABS($X2281/100-Settings!$C$7),ABS($X2281/100-Settings!$G$7)),1,0))))</f>
        <v/>
      </c>
      <c r="AC2281">
        <f>IF($Z2281=1,IFERROR(IF(VALUE($B2281)&lt;100000000,VALUE($B2281),1000000000),IFERROR(IF(VALUE(MID($B2281,2,20))&lt;100000000,VALUE(MID($B2281,2,20)),1000000000),1000000000))+ROW()/100000,"")</f>
        <v/>
      </c>
    </row>
    <row r="2282">
      <c r="A2282">
        <f>IF($B2282="","",IFERROR(IF(INDEX('Per Invoice'!$A$2:$A$801,MATCH($B2282,'Per Invoice'!$B$2:$B$801,0))=0,"",INDEX('Per Invoice'!$A$2:$A$801,MATCH($B2282,'Per Invoice'!$B$2:$B$801,0))),""))</f>
        <v/>
      </c>
      <c r="J2282" s="7">
        <f>IF($B2282="","",I2282*Q2282/100)</f>
        <v/>
      </c>
      <c r="N2282" s="7" t="n"/>
      <c r="O2282" s="7" t="n"/>
      <c r="P2282" s="7">
        <f>IF($B2282="","",O2282*X2282/100)</f>
        <v/>
      </c>
      <c r="Q2282" s="7">
        <f>IF($B2282="","",O2282-P2282)</f>
        <v/>
      </c>
      <c r="R2282" s="7">
        <f>IF($B2282="","",Q2282-J2282)</f>
        <v/>
      </c>
      <c r="S2282" s="7" t="n"/>
      <c r="T2282" s="7" t="n"/>
      <c r="V2282" s="14" t="n"/>
      <c r="Z2282">
        <f>IF($B2282="","",IF(COUNTIF($B$2:$B2282,$B2282)=1,1,0))</f>
        <v/>
      </c>
      <c r="AA2282">
        <f>IF($Z2282=1,SUMPRODUCT(--($AC$2:$AC$3001&lt;$AC2282))+1,"")</f>
        <v/>
      </c>
      <c r="AB2282">
        <f>IF($B2282="","",IF(OR($Y2282=TRUE(),$Y2282="TRUE"),1,IF(AND($Y2282&lt;&gt;"",OR($Y2282=FALSE(),$Y2282="FALSE")),0,IF(MIN(ABS($X2282/100-Settings!$C$6),ABS($X2282/100-Settings!$G$6))&lt;=MIN(ABS($X2282/100-Settings!$C$7),ABS($X2282/100-Settings!$G$7)),1,0))))</f>
        <v/>
      </c>
      <c r="AC2282">
        <f>IF($Z2282=1,IFERROR(IF(VALUE($B2282)&lt;100000000,VALUE($B2282),1000000000),IFERROR(IF(VALUE(MID($B2282,2,20))&lt;100000000,VALUE(MID($B2282,2,20)),1000000000),1000000000))+ROW()/100000,"")</f>
        <v/>
      </c>
    </row>
    <row r="2283">
      <c r="A2283">
        <f>IF($B2283="","",IFERROR(IF(INDEX('Per Invoice'!$A$2:$A$801,MATCH($B2283,'Per Invoice'!$B$2:$B$801,0))=0,"",INDEX('Per Invoice'!$A$2:$A$801,MATCH($B2283,'Per Invoice'!$B$2:$B$801,0))),""))</f>
        <v/>
      </c>
      <c r="J2283" s="7">
        <f>IF($B2283="","",I2283*Q2283/100)</f>
        <v/>
      </c>
      <c r="N2283" s="7" t="n"/>
      <c r="O2283" s="7" t="n"/>
      <c r="P2283" s="7">
        <f>IF($B2283="","",O2283*X2283/100)</f>
        <v/>
      </c>
      <c r="Q2283" s="7">
        <f>IF($B2283="","",O2283-P2283)</f>
        <v/>
      </c>
      <c r="R2283" s="7">
        <f>IF($B2283="","",Q2283-J2283)</f>
        <v/>
      </c>
      <c r="S2283" s="7" t="n"/>
      <c r="T2283" s="7" t="n"/>
      <c r="V2283" s="14" t="n"/>
      <c r="Z2283">
        <f>IF($B2283="","",IF(COUNTIF($B$2:$B2283,$B2283)=1,1,0))</f>
        <v/>
      </c>
      <c r="AA2283">
        <f>IF($Z2283=1,SUMPRODUCT(--($AC$2:$AC$3001&lt;$AC2283))+1,"")</f>
        <v/>
      </c>
      <c r="AB2283">
        <f>IF($B2283="","",IF(OR($Y2283=TRUE(),$Y2283="TRUE"),1,IF(AND($Y2283&lt;&gt;"",OR($Y2283=FALSE(),$Y2283="FALSE")),0,IF(MIN(ABS($X2283/100-Settings!$C$6),ABS($X2283/100-Settings!$G$6))&lt;=MIN(ABS($X2283/100-Settings!$C$7),ABS($X2283/100-Settings!$G$7)),1,0))))</f>
        <v/>
      </c>
      <c r="AC2283">
        <f>IF($Z2283=1,IFERROR(IF(VALUE($B2283)&lt;100000000,VALUE($B2283),1000000000),IFERROR(IF(VALUE(MID($B2283,2,20))&lt;100000000,VALUE(MID($B2283,2,20)),1000000000),1000000000))+ROW()/100000,"")</f>
        <v/>
      </c>
    </row>
    <row r="2284">
      <c r="A2284">
        <f>IF($B2284="","",IFERROR(IF(INDEX('Per Invoice'!$A$2:$A$801,MATCH($B2284,'Per Invoice'!$B$2:$B$801,0))=0,"",INDEX('Per Invoice'!$A$2:$A$801,MATCH($B2284,'Per Invoice'!$B$2:$B$801,0))),""))</f>
        <v/>
      </c>
      <c r="J2284" s="7">
        <f>IF($B2284="","",I2284*Q2284/100)</f>
        <v/>
      </c>
      <c r="N2284" s="7" t="n"/>
      <c r="O2284" s="7" t="n"/>
      <c r="P2284" s="7">
        <f>IF($B2284="","",O2284*X2284/100)</f>
        <v/>
      </c>
      <c r="Q2284" s="7">
        <f>IF($B2284="","",O2284-P2284)</f>
        <v/>
      </c>
      <c r="R2284" s="7">
        <f>IF($B2284="","",Q2284-J2284)</f>
        <v/>
      </c>
      <c r="S2284" s="7" t="n"/>
      <c r="T2284" s="7" t="n"/>
      <c r="V2284" s="14" t="n"/>
      <c r="Z2284">
        <f>IF($B2284="","",IF(COUNTIF($B$2:$B2284,$B2284)=1,1,0))</f>
        <v/>
      </c>
      <c r="AA2284">
        <f>IF($Z2284=1,SUMPRODUCT(--($AC$2:$AC$3001&lt;$AC2284))+1,"")</f>
        <v/>
      </c>
      <c r="AB2284">
        <f>IF($B2284="","",IF(OR($Y2284=TRUE(),$Y2284="TRUE"),1,IF(AND($Y2284&lt;&gt;"",OR($Y2284=FALSE(),$Y2284="FALSE")),0,IF(MIN(ABS($X2284/100-Settings!$C$6),ABS($X2284/100-Settings!$G$6))&lt;=MIN(ABS($X2284/100-Settings!$C$7),ABS($X2284/100-Settings!$G$7)),1,0))))</f>
        <v/>
      </c>
      <c r="AC2284">
        <f>IF($Z2284=1,IFERROR(IF(VALUE($B2284)&lt;100000000,VALUE($B2284),1000000000),IFERROR(IF(VALUE(MID($B2284,2,20))&lt;100000000,VALUE(MID($B2284,2,20)),1000000000),1000000000))+ROW()/100000,"")</f>
        <v/>
      </c>
    </row>
    <row r="2285">
      <c r="A2285">
        <f>IF($B2285="","",IFERROR(IF(INDEX('Per Invoice'!$A$2:$A$801,MATCH($B2285,'Per Invoice'!$B$2:$B$801,0))=0,"",INDEX('Per Invoice'!$A$2:$A$801,MATCH($B2285,'Per Invoice'!$B$2:$B$801,0))),""))</f>
        <v/>
      </c>
      <c r="J2285" s="7">
        <f>IF($B2285="","",I2285*Q2285/100)</f>
        <v/>
      </c>
      <c r="N2285" s="7" t="n"/>
      <c r="O2285" s="7" t="n"/>
      <c r="P2285" s="7">
        <f>IF($B2285="","",O2285*X2285/100)</f>
        <v/>
      </c>
      <c r="Q2285" s="7">
        <f>IF($B2285="","",O2285-P2285)</f>
        <v/>
      </c>
      <c r="R2285" s="7">
        <f>IF($B2285="","",Q2285-J2285)</f>
        <v/>
      </c>
      <c r="S2285" s="7" t="n"/>
      <c r="T2285" s="7" t="n"/>
      <c r="V2285" s="14" t="n"/>
      <c r="Z2285">
        <f>IF($B2285="","",IF(COUNTIF($B$2:$B2285,$B2285)=1,1,0))</f>
        <v/>
      </c>
      <c r="AA2285">
        <f>IF($Z2285=1,SUMPRODUCT(--($AC$2:$AC$3001&lt;$AC2285))+1,"")</f>
        <v/>
      </c>
      <c r="AB2285">
        <f>IF($B2285="","",IF(OR($Y2285=TRUE(),$Y2285="TRUE"),1,IF(AND($Y2285&lt;&gt;"",OR($Y2285=FALSE(),$Y2285="FALSE")),0,IF(MIN(ABS($X2285/100-Settings!$C$6),ABS($X2285/100-Settings!$G$6))&lt;=MIN(ABS($X2285/100-Settings!$C$7),ABS($X2285/100-Settings!$G$7)),1,0))))</f>
        <v/>
      </c>
      <c r="AC2285">
        <f>IF($Z2285=1,IFERROR(IF(VALUE($B2285)&lt;100000000,VALUE($B2285),1000000000),IFERROR(IF(VALUE(MID($B2285,2,20))&lt;100000000,VALUE(MID($B2285,2,20)),1000000000),1000000000))+ROW()/100000,"")</f>
        <v/>
      </c>
    </row>
    <row r="2286">
      <c r="A2286">
        <f>IF($B2286="","",IFERROR(IF(INDEX('Per Invoice'!$A$2:$A$801,MATCH($B2286,'Per Invoice'!$B$2:$B$801,0))=0,"",INDEX('Per Invoice'!$A$2:$A$801,MATCH($B2286,'Per Invoice'!$B$2:$B$801,0))),""))</f>
        <v/>
      </c>
      <c r="J2286" s="7">
        <f>IF($B2286="","",I2286*Q2286/100)</f>
        <v/>
      </c>
      <c r="N2286" s="7" t="n"/>
      <c r="O2286" s="7" t="n"/>
      <c r="P2286" s="7">
        <f>IF($B2286="","",O2286*X2286/100)</f>
        <v/>
      </c>
      <c r="Q2286" s="7">
        <f>IF($B2286="","",O2286-P2286)</f>
        <v/>
      </c>
      <c r="R2286" s="7">
        <f>IF($B2286="","",Q2286-J2286)</f>
        <v/>
      </c>
      <c r="S2286" s="7" t="n"/>
      <c r="T2286" s="7" t="n"/>
      <c r="V2286" s="14" t="n"/>
      <c r="Z2286">
        <f>IF($B2286="","",IF(COUNTIF($B$2:$B2286,$B2286)=1,1,0))</f>
        <v/>
      </c>
      <c r="AA2286">
        <f>IF($Z2286=1,SUMPRODUCT(--($AC$2:$AC$3001&lt;$AC2286))+1,"")</f>
        <v/>
      </c>
      <c r="AB2286">
        <f>IF($B2286="","",IF(OR($Y2286=TRUE(),$Y2286="TRUE"),1,IF(AND($Y2286&lt;&gt;"",OR($Y2286=FALSE(),$Y2286="FALSE")),0,IF(MIN(ABS($X2286/100-Settings!$C$6),ABS($X2286/100-Settings!$G$6))&lt;=MIN(ABS($X2286/100-Settings!$C$7),ABS($X2286/100-Settings!$G$7)),1,0))))</f>
        <v/>
      </c>
      <c r="AC2286">
        <f>IF($Z2286=1,IFERROR(IF(VALUE($B2286)&lt;100000000,VALUE($B2286),1000000000),IFERROR(IF(VALUE(MID($B2286,2,20))&lt;100000000,VALUE(MID($B2286,2,20)),1000000000),1000000000))+ROW()/100000,"")</f>
        <v/>
      </c>
    </row>
    <row r="2287">
      <c r="A2287">
        <f>IF($B2287="","",IFERROR(IF(INDEX('Per Invoice'!$A$2:$A$801,MATCH($B2287,'Per Invoice'!$B$2:$B$801,0))=0,"",INDEX('Per Invoice'!$A$2:$A$801,MATCH($B2287,'Per Invoice'!$B$2:$B$801,0))),""))</f>
        <v/>
      </c>
      <c r="J2287" s="7">
        <f>IF($B2287="","",I2287*Q2287/100)</f>
        <v/>
      </c>
      <c r="N2287" s="7" t="n"/>
      <c r="O2287" s="7" t="n"/>
      <c r="P2287" s="7">
        <f>IF($B2287="","",O2287*X2287/100)</f>
        <v/>
      </c>
      <c r="Q2287" s="7">
        <f>IF($B2287="","",O2287-P2287)</f>
        <v/>
      </c>
      <c r="R2287" s="7">
        <f>IF($B2287="","",Q2287-J2287)</f>
        <v/>
      </c>
      <c r="S2287" s="7" t="n"/>
      <c r="T2287" s="7" t="n"/>
      <c r="V2287" s="14" t="n"/>
      <c r="Z2287">
        <f>IF($B2287="","",IF(COUNTIF($B$2:$B2287,$B2287)=1,1,0))</f>
        <v/>
      </c>
      <c r="AA2287">
        <f>IF($Z2287=1,SUMPRODUCT(--($AC$2:$AC$3001&lt;$AC2287))+1,"")</f>
        <v/>
      </c>
      <c r="AB2287">
        <f>IF($B2287="","",IF(OR($Y2287=TRUE(),$Y2287="TRUE"),1,IF(AND($Y2287&lt;&gt;"",OR($Y2287=FALSE(),$Y2287="FALSE")),0,IF(MIN(ABS($X2287/100-Settings!$C$6),ABS($X2287/100-Settings!$G$6))&lt;=MIN(ABS($X2287/100-Settings!$C$7),ABS($X2287/100-Settings!$G$7)),1,0))))</f>
        <v/>
      </c>
      <c r="AC2287">
        <f>IF($Z2287=1,IFERROR(IF(VALUE($B2287)&lt;100000000,VALUE($B2287),1000000000),IFERROR(IF(VALUE(MID($B2287,2,20))&lt;100000000,VALUE(MID($B2287,2,20)),1000000000),1000000000))+ROW()/100000,"")</f>
        <v/>
      </c>
    </row>
    <row r="2288">
      <c r="A2288">
        <f>IF($B2288="","",IFERROR(IF(INDEX('Per Invoice'!$A$2:$A$801,MATCH($B2288,'Per Invoice'!$B$2:$B$801,0))=0,"",INDEX('Per Invoice'!$A$2:$A$801,MATCH($B2288,'Per Invoice'!$B$2:$B$801,0))),""))</f>
        <v/>
      </c>
      <c r="J2288" s="7">
        <f>IF($B2288="","",I2288*Q2288/100)</f>
        <v/>
      </c>
      <c r="N2288" s="7" t="n"/>
      <c r="O2288" s="7" t="n"/>
      <c r="P2288" s="7">
        <f>IF($B2288="","",O2288*X2288/100)</f>
        <v/>
      </c>
      <c r="Q2288" s="7">
        <f>IF($B2288="","",O2288-P2288)</f>
        <v/>
      </c>
      <c r="R2288" s="7">
        <f>IF($B2288="","",Q2288-J2288)</f>
        <v/>
      </c>
      <c r="S2288" s="7" t="n"/>
      <c r="T2288" s="7" t="n"/>
      <c r="V2288" s="14" t="n"/>
      <c r="Z2288">
        <f>IF($B2288="","",IF(COUNTIF($B$2:$B2288,$B2288)=1,1,0))</f>
        <v/>
      </c>
      <c r="AA2288">
        <f>IF($Z2288=1,SUMPRODUCT(--($AC$2:$AC$3001&lt;$AC2288))+1,"")</f>
        <v/>
      </c>
      <c r="AB2288">
        <f>IF($B2288="","",IF(OR($Y2288=TRUE(),$Y2288="TRUE"),1,IF(AND($Y2288&lt;&gt;"",OR($Y2288=FALSE(),$Y2288="FALSE")),0,IF(MIN(ABS($X2288/100-Settings!$C$6),ABS($X2288/100-Settings!$G$6))&lt;=MIN(ABS($X2288/100-Settings!$C$7),ABS($X2288/100-Settings!$G$7)),1,0))))</f>
        <v/>
      </c>
      <c r="AC2288">
        <f>IF($Z2288=1,IFERROR(IF(VALUE($B2288)&lt;100000000,VALUE($B2288),1000000000),IFERROR(IF(VALUE(MID($B2288,2,20))&lt;100000000,VALUE(MID($B2288,2,20)),1000000000),1000000000))+ROW()/100000,"")</f>
        <v/>
      </c>
    </row>
    <row r="2289">
      <c r="A2289">
        <f>IF($B2289="","",IFERROR(IF(INDEX('Per Invoice'!$A$2:$A$801,MATCH($B2289,'Per Invoice'!$B$2:$B$801,0))=0,"",INDEX('Per Invoice'!$A$2:$A$801,MATCH($B2289,'Per Invoice'!$B$2:$B$801,0))),""))</f>
        <v/>
      </c>
      <c r="J2289" s="7">
        <f>IF($B2289="","",I2289*Q2289/100)</f>
        <v/>
      </c>
      <c r="N2289" s="7" t="n"/>
      <c r="O2289" s="7" t="n"/>
      <c r="P2289" s="7">
        <f>IF($B2289="","",O2289*X2289/100)</f>
        <v/>
      </c>
      <c r="Q2289" s="7">
        <f>IF($B2289="","",O2289-P2289)</f>
        <v/>
      </c>
      <c r="R2289" s="7">
        <f>IF($B2289="","",Q2289-J2289)</f>
        <v/>
      </c>
      <c r="S2289" s="7" t="n"/>
      <c r="T2289" s="7" t="n"/>
      <c r="V2289" s="14" t="n"/>
      <c r="Z2289">
        <f>IF($B2289="","",IF(COUNTIF($B$2:$B2289,$B2289)=1,1,0))</f>
        <v/>
      </c>
      <c r="AA2289">
        <f>IF($Z2289=1,SUMPRODUCT(--($AC$2:$AC$3001&lt;$AC2289))+1,"")</f>
        <v/>
      </c>
      <c r="AB2289">
        <f>IF($B2289="","",IF(OR($Y2289=TRUE(),$Y2289="TRUE"),1,IF(AND($Y2289&lt;&gt;"",OR($Y2289=FALSE(),$Y2289="FALSE")),0,IF(MIN(ABS($X2289/100-Settings!$C$6),ABS($X2289/100-Settings!$G$6))&lt;=MIN(ABS($X2289/100-Settings!$C$7),ABS($X2289/100-Settings!$G$7)),1,0))))</f>
        <v/>
      </c>
      <c r="AC2289">
        <f>IF($Z2289=1,IFERROR(IF(VALUE($B2289)&lt;100000000,VALUE($B2289),1000000000),IFERROR(IF(VALUE(MID($B2289,2,20))&lt;100000000,VALUE(MID($B2289,2,20)),1000000000),1000000000))+ROW()/100000,"")</f>
        <v/>
      </c>
    </row>
    <row r="2290">
      <c r="A2290">
        <f>IF($B2290="","",IFERROR(IF(INDEX('Per Invoice'!$A$2:$A$801,MATCH($B2290,'Per Invoice'!$B$2:$B$801,0))=0,"",INDEX('Per Invoice'!$A$2:$A$801,MATCH($B2290,'Per Invoice'!$B$2:$B$801,0))),""))</f>
        <v/>
      </c>
      <c r="J2290" s="7">
        <f>IF($B2290="","",I2290*Q2290/100)</f>
        <v/>
      </c>
      <c r="N2290" s="7" t="n"/>
      <c r="O2290" s="7" t="n"/>
      <c r="P2290" s="7">
        <f>IF($B2290="","",O2290*X2290/100)</f>
        <v/>
      </c>
      <c r="Q2290" s="7">
        <f>IF($B2290="","",O2290-P2290)</f>
        <v/>
      </c>
      <c r="R2290" s="7">
        <f>IF($B2290="","",Q2290-J2290)</f>
        <v/>
      </c>
      <c r="S2290" s="7" t="n"/>
      <c r="T2290" s="7" t="n"/>
      <c r="V2290" s="14" t="n"/>
      <c r="Z2290">
        <f>IF($B2290="","",IF(COUNTIF($B$2:$B2290,$B2290)=1,1,0))</f>
        <v/>
      </c>
      <c r="AA2290">
        <f>IF($Z2290=1,SUMPRODUCT(--($AC$2:$AC$3001&lt;$AC2290))+1,"")</f>
        <v/>
      </c>
      <c r="AB2290">
        <f>IF($B2290="","",IF(OR($Y2290=TRUE(),$Y2290="TRUE"),1,IF(AND($Y2290&lt;&gt;"",OR($Y2290=FALSE(),$Y2290="FALSE")),0,IF(MIN(ABS($X2290/100-Settings!$C$6),ABS($X2290/100-Settings!$G$6))&lt;=MIN(ABS($X2290/100-Settings!$C$7),ABS($X2290/100-Settings!$G$7)),1,0))))</f>
        <v/>
      </c>
      <c r="AC2290">
        <f>IF($Z2290=1,IFERROR(IF(VALUE($B2290)&lt;100000000,VALUE($B2290),1000000000),IFERROR(IF(VALUE(MID($B2290,2,20))&lt;100000000,VALUE(MID($B2290,2,20)),1000000000),1000000000))+ROW()/100000,"")</f>
        <v/>
      </c>
    </row>
    <row r="2291">
      <c r="A2291">
        <f>IF($B2291="","",IFERROR(IF(INDEX('Per Invoice'!$A$2:$A$801,MATCH($B2291,'Per Invoice'!$B$2:$B$801,0))=0,"",INDEX('Per Invoice'!$A$2:$A$801,MATCH($B2291,'Per Invoice'!$B$2:$B$801,0))),""))</f>
        <v/>
      </c>
      <c r="J2291" s="7">
        <f>IF($B2291="","",I2291*Q2291/100)</f>
        <v/>
      </c>
      <c r="N2291" s="7" t="n"/>
      <c r="O2291" s="7" t="n"/>
      <c r="P2291" s="7">
        <f>IF($B2291="","",O2291*X2291/100)</f>
        <v/>
      </c>
      <c r="Q2291" s="7">
        <f>IF($B2291="","",O2291-P2291)</f>
        <v/>
      </c>
      <c r="R2291" s="7">
        <f>IF($B2291="","",Q2291-J2291)</f>
        <v/>
      </c>
      <c r="S2291" s="7" t="n"/>
      <c r="T2291" s="7" t="n"/>
      <c r="V2291" s="14" t="n"/>
      <c r="Z2291">
        <f>IF($B2291="","",IF(COUNTIF($B$2:$B2291,$B2291)=1,1,0))</f>
        <v/>
      </c>
      <c r="AA2291">
        <f>IF($Z2291=1,SUMPRODUCT(--($AC$2:$AC$3001&lt;$AC2291))+1,"")</f>
        <v/>
      </c>
      <c r="AB2291">
        <f>IF($B2291="","",IF(OR($Y2291=TRUE(),$Y2291="TRUE"),1,IF(AND($Y2291&lt;&gt;"",OR($Y2291=FALSE(),$Y2291="FALSE")),0,IF(MIN(ABS($X2291/100-Settings!$C$6),ABS($X2291/100-Settings!$G$6))&lt;=MIN(ABS($X2291/100-Settings!$C$7),ABS($X2291/100-Settings!$G$7)),1,0))))</f>
        <v/>
      </c>
      <c r="AC2291">
        <f>IF($Z2291=1,IFERROR(IF(VALUE($B2291)&lt;100000000,VALUE($B2291),1000000000),IFERROR(IF(VALUE(MID($B2291,2,20))&lt;100000000,VALUE(MID($B2291,2,20)),1000000000),1000000000))+ROW()/100000,"")</f>
        <v/>
      </c>
    </row>
    <row r="2292">
      <c r="A2292">
        <f>IF($B2292="","",IFERROR(IF(INDEX('Per Invoice'!$A$2:$A$801,MATCH($B2292,'Per Invoice'!$B$2:$B$801,0))=0,"",INDEX('Per Invoice'!$A$2:$A$801,MATCH($B2292,'Per Invoice'!$B$2:$B$801,0))),""))</f>
        <v/>
      </c>
      <c r="J2292" s="7">
        <f>IF($B2292="","",I2292*Q2292/100)</f>
        <v/>
      </c>
      <c r="N2292" s="7" t="n"/>
      <c r="O2292" s="7" t="n"/>
      <c r="P2292" s="7">
        <f>IF($B2292="","",O2292*X2292/100)</f>
        <v/>
      </c>
      <c r="Q2292" s="7">
        <f>IF($B2292="","",O2292-P2292)</f>
        <v/>
      </c>
      <c r="R2292" s="7">
        <f>IF($B2292="","",Q2292-J2292)</f>
        <v/>
      </c>
      <c r="S2292" s="7" t="n"/>
      <c r="T2292" s="7" t="n"/>
      <c r="V2292" s="14" t="n"/>
      <c r="Z2292">
        <f>IF($B2292="","",IF(COUNTIF($B$2:$B2292,$B2292)=1,1,0))</f>
        <v/>
      </c>
      <c r="AA2292">
        <f>IF($Z2292=1,SUMPRODUCT(--($AC$2:$AC$3001&lt;$AC2292))+1,"")</f>
        <v/>
      </c>
      <c r="AB2292">
        <f>IF($B2292="","",IF(OR($Y2292=TRUE(),$Y2292="TRUE"),1,IF(AND($Y2292&lt;&gt;"",OR($Y2292=FALSE(),$Y2292="FALSE")),0,IF(MIN(ABS($X2292/100-Settings!$C$6),ABS($X2292/100-Settings!$G$6))&lt;=MIN(ABS($X2292/100-Settings!$C$7),ABS($X2292/100-Settings!$G$7)),1,0))))</f>
        <v/>
      </c>
      <c r="AC2292">
        <f>IF($Z2292=1,IFERROR(IF(VALUE($B2292)&lt;100000000,VALUE($B2292),1000000000),IFERROR(IF(VALUE(MID($B2292,2,20))&lt;100000000,VALUE(MID($B2292,2,20)),1000000000),1000000000))+ROW()/100000,"")</f>
        <v/>
      </c>
    </row>
    <row r="2293">
      <c r="A2293">
        <f>IF($B2293="","",IFERROR(IF(INDEX('Per Invoice'!$A$2:$A$801,MATCH($B2293,'Per Invoice'!$B$2:$B$801,0))=0,"",INDEX('Per Invoice'!$A$2:$A$801,MATCH($B2293,'Per Invoice'!$B$2:$B$801,0))),""))</f>
        <v/>
      </c>
      <c r="J2293" s="7">
        <f>IF($B2293="","",I2293*Q2293/100)</f>
        <v/>
      </c>
      <c r="N2293" s="7" t="n"/>
      <c r="O2293" s="7" t="n"/>
      <c r="P2293" s="7">
        <f>IF($B2293="","",O2293*X2293/100)</f>
        <v/>
      </c>
      <c r="Q2293" s="7">
        <f>IF($B2293="","",O2293-P2293)</f>
        <v/>
      </c>
      <c r="R2293" s="7">
        <f>IF($B2293="","",Q2293-J2293)</f>
        <v/>
      </c>
      <c r="S2293" s="7" t="n"/>
      <c r="T2293" s="7" t="n"/>
      <c r="V2293" s="14" t="n"/>
      <c r="Z2293">
        <f>IF($B2293="","",IF(COUNTIF($B$2:$B2293,$B2293)=1,1,0))</f>
        <v/>
      </c>
      <c r="AA2293">
        <f>IF($Z2293=1,SUMPRODUCT(--($AC$2:$AC$3001&lt;$AC2293))+1,"")</f>
        <v/>
      </c>
      <c r="AB2293">
        <f>IF($B2293="","",IF(OR($Y2293=TRUE(),$Y2293="TRUE"),1,IF(AND($Y2293&lt;&gt;"",OR($Y2293=FALSE(),$Y2293="FALSE")),0,IF(MIN(ABS($X2293/100-Settings!$C$6),ABS($X2293/100-Settings!$G$6))&lt;=MIN(ABS($X2293/100-Settings!$C$7),ABS($X2293/100-Settings!$G$7)),1,0))))</f>
        <v/>
      </c>
      <c r="AC2293">
        <f>IF($Z2293=1,IFERROR(IF(VALUE($B2293)&lt;100000000,VALUE($B2293),1000000000),IFERROR(IF(VALUE(MID($B2293,2,20))&lt;100000000,VALUE(MID($B2293,2,20)),1000000000),1000000000))+ROW()/100000,"")</f>
        <v/>
      </c>
    </row>
    <row r="2294">
      <c r="A2294">
        <f>IF($B2294="","",IFERROR(IF(INDEX('Per Invoice'!$A$2:$A$801,MATCH($B2294,'Per Invoice'!$B$2:$B$801,0))=0,"",INDEX('Per Invoice'!$A$2:$A$801,MATCH($B2294,'Per Invoice'!$B$2:$B$801,0))),""))</f>
        <v/>
      </c>
      <c r="J2294" s="7">
        <f>IF($B2294="","",I2294*Q2294/100)</f>
        <v/>
      </c>
      <c r="N2294" s="7" t="n"/>
      <c r="O2294" s="7" t="n"/>
      <c r="P2294" s="7">
        <f>IF($B2294="","",O2294*X2294/100)</f>
        <v/>
      </c>
      <c r="Q2294" s="7">
        <f>IF($B2294="","",O2294-P2294)</f>
        <v/>
      </c>
      <c r="R2294" s="7">
        <f>IF($B2294="","",Q2294-J2294)</f>
        <v/>
      </c>
      <c r="S2294" s="7" t="n"/>
      <c r="T2294" s="7" t="n"/>
      <c r="V2294" s="14" t="n"/>
      <c r="Z2294">
        <f>IF($B2294="","",IF(COUNTIF($B$2:$B2294,$B2294)=1,1,0))</f>
        <v/>
      </c>
      <c r="AA2294">
        <f>IF($Z2294=1,SUMPRODUCT(--($AC$2:$AC$3001&lt;$AC2294))+1,"")</f>
        <v/>
      </c>
      <c r="AB2294">
        <f>IF($B2294="","",IF(OR($Y2294=TRUE(),$Y2294="TRUE"),1,IF(AND($Y2294&lt;&gt;"",OR($Y2294=FALSE(),$Y2294="FALSE")),0,IF(MIN(ABS($X2294/100-Settings!$C$6),ABS($X2294/100-Settings!$G$6))&lt;=MIN(ABS($X2294/100-Settings!$C$7),ABS($X2294/100-Settings!$G$7)),1,0))))</f>
        <v/>
      </c>
      <c r="AC2294">
        <f>IF($Z2294=1,IFERROR(IF(VALUE($B2294)&lt;100000000,VALUE($B2294),1000000000),IFERROR(IF(VALUE(MID($B2294,2,20))&lt;100000000,VALUE(MID($B2294,2,20)),1000000000),1000000000))+ROW()/100000,"")</f>
        <v/>
      </c>
    </row>
    <row r="2295">
      <c r="A2295">
        <f>IF($B2295="","",IFERROR(IF(INDEX('Per Invoice'!$A$2:$A$801,MATCH($B2295,'Per Invoice'!$B$2:$B$801,0))=0,"",INDEX('Per Invoice'!$A$2:$A$801,MATCH($B2295,'Per Invoice'!$B$2:$B$801,0))),""))</f>
        <v/>
      </c>
      <c r="J2295" s="7">
        <f>IF($B2295="","",I2295*Q2295/100)</f>
        <v/>
      </c>
      <c r="N2295" s="7" t="n"/>
      <c r="O2295" s="7" t="n"/>
      <c r="P2295" s="7">
        <f>IF($B2295="","",O2295*X2295/100)</f>
        <v/>
      </c>
      <c r="Q2295" s="7">
        <f>IF($B2295="","",O2295-P2295)</f>
        <v/>
      </c>
      <c r="R2295" s="7">
        <f>IF($B2295="","",Q2295-J2295)</f>
        <v/>
      </c>
      <c r="S2295" s="7" t="n"/>
      <c r="T2295" s="7" t="n"/>
      <c r="V2295" s="14" t="n"/>
      <c r="Z2295">
        <f>IF($B2295="","",IF(COUNTIF($B$2:$B2295,$B2295)=1,1,0))</f>
        <v/>
      </c>
      <c r="AA2295">
        <f>IF($Z2295=1,SUMPRODUCT(--($AC$2:$AC$3001&lt;$AC2295))+1,"")</f>
        <v/>
      </c>
      <c r="AB2295">
        <f>IF($B2295="","",IF(OR($Y2295=TRUE(),$Y2295="TRUE"),1,IF(AND($Y2295&lt;&gt;"",OR($Y2295=FALSE(),$Y2295="FALSE")),0,IF(MIN(ABS($X2295/100-Settings!$C$6),ABS($X2295/100-Settings!$G$6))&lt;=MIN(ABS($X2295/100-Settings!$C$7),ABS($X2295/100-Settings!$G$7)),1,0))))</f>
        <v/>
      </c>
      <c r="AC2295">
        <f>IF($Z2295=1,IFERROR(IF(VALUE($B2295)&lt;100000000,VALUE($B2295),1000000000),IFERROR(IF(VALUE(MID($B2295,2,20))&lt;100000000,VALUE(MID($B2295,2,20)),1000000000),1000000000))+ROW()/100000,"")</f>
        <v/>
      </c>
    </row>
    <row r="2296">
      <c r="A2296">
        <f>IF($B2296="","",IFERROR(IF(INDEX('Per Invoice'!$A$2:$A$801,MATCH($B2296,'Per Invoice'!$B$2:$B$801,0))=0,"",INDEX('Per Invoice'!$A$2:$A$801,MATCH($B2296,'Per Invoice'!$B$2:$B$801,0))),""))</f>
        <v/>
      </c>
      <c r="J2296" s="7">
        <f>IF($B2296="","",I2296*Q2296/100)</f>
        <v/>
      </c>
      <c r="N2296" s="7" t="n"/>
      <c r="O2296" s="7" t="n"/>
      <c r="P2296" s="7">
        <f>IF($B2296="","",O2296*X2296/100)</f>
        <v/>
      </c>
      <c r="Q2296" s="7">
        <f>IF($B2296="","",O2296-P2296)</f>
        <v/>
      </c>
      <c r="R2296" s="7">
        <f>IF($B2296="","",Q2296-J2296)</f>
        <v/>
      </c>
      <c r="S2296" s="7" t="n"/>
      <c r="T2296" s="7" t="n"/>
      <c r="V2296" s="14" t="n"/>
      <c r="Z2296">
        <f>IF($B2296="","",IF(COUNTIF($B$2:$B2296,$B2296)=1,1,0))</f>
        <v/>
      </c>
      <c r="AA2296">
        <f>IF($Z2296=1,SUMPRODUCT(--($AC$2:$AC$3001&lt;$AC2296))+1,"")</f>
        <v/>
      </c>
      <c r="AB2296">
        <f>IF($B2296="","",IF(OR($Y2296=TRUE(),$Y2296="TRUE"),1,IF(AND($Y2296&lt;&gt;"",OR($Y2296=FALSE(),$Y2296="FALSE")),0,IF(MIN(ABS($X2296/100-Settings!$C$6),ABS($X2296/100-Settings!$G$6))&lt;=MIN(ABS($X2296/100-Settings!$C$7),ABS($X2296/100-Settings!$G$7)),1,0))))</f>
        <v/>
      </c>
      <c r="AC2296">
        <f>IF($Z2296=1,IFERROR(IF(VALUE($B2296)&lt;100000000,VALUE($B2296),1000000000),IFERROR(IF(VALUE(MID($B2296,2,20))&lt;100000000,VALUE(MID($B2296,2,20)),1000000000),1000000000))+ROW()/100000,"")</f>
        <v/>
      </c>
    </row>
    <row r="2297">
      <c r="A2297">
        <f>IF($B2297="","",IFERROR(IF(INDEX('Per Invoice'!$A$2:$A$801,MATCH($B2297,'Per Invoice'!$B$2:$B$801,0))=0,"",INDEX('Per Invoice'!$A$2:$A$801,MATCH($B2297,'Per Invoice'!$B$2:$B$801,0))),""))</f>
        <v/>
      </c>
      <c r="J2297" s="7">
        <f>IF($B2297="","",I2297*Q2297/100)</f>
        <v/>
      </c>
      <c r="N2297" s="7" t="n"/>
      <c r="O2297" s="7" t="n"/>
      <c r="P2297" s="7">
        <f>IF($B2297="","",O2297*X2297/100)</f>
        <v/>
      </c>
      <c r="Q2297" s="7">
        <f>IF($B2297="","",O2297-P2297)</f>
        <v/>
      </c>
      <c r="R2297" s="7">
        <f>IF($B2297="","",Q2297-J2297)</f>
        <v/>
      </c>
      <c r="S2297" s="7" t="n"/>
      <c r="T2297" s="7" t="n"/>
      <c r="V2297" s="14" t="n"/>
      <c r="Z2297">
        <f>IF($B2297="","",IF(COUNTIF($B$2:$B2297,$B2297)=1,1,0))</f>
        <v/>
      </c>
      <c r="AA2297">
        <f>IF($Z2297=1,SUMPRODUCT(--($AC$2:$AC$3001&lt;$AC2297))+1,"")</f>
        <v/>
      </c>
      <c r="AB2297">
        <f>IF($B2297="","",IF(OR($Y2297=TRUE(),$Y2297="TRUE"),1,IF(AND($Y2297&lt;&gt;"",OR($Y2297=FALSE(),$Y2297="FALSE")),0,IF(MIN(ABS($X2297/100-Settings!$C$6),ABS($X2297/100-Settings!$G$6))&lt;=MIN(ABS($X2297/100-Settings!$C$7),ABS($X2297/100-Settings!$G$7)),1,0))))</f>
        <v/>
      </c>
      <c r="AC2297">
        <f>IF($Z2297=1,IFERROR(IF(VALUE($B2297)&lt;100000000,VALUE($B2297),1000000000),IFERROR(IF(VALUE(MID($B2297,2,20))&lt;100000000,VALUE(MID($B2297,2,20)),1000000000),1000000000))+ROW()/100000,"")</f>
        <v/>
      </c>
    </row>
    <row r="2298">
      <c r="A2298">
        <f>IF($B2298="","",IFERROR(IF(INDEX('Per Invoice'!$A$2:$A$801,MATCH($B2298,'Per Invoice'!$B$2:$B$801,0))=0,"",INDEX('Per Invoice'!$A$2:$A$801,MATCH($B2298,'Per Invoice'!$B$2:$B$801,0))),""))</f>
        <v/>
      </c>
      <c r="J2298" s="7">
        <f>IF($B2298="","",I2298*Q2298/100)</f>
        <v/>
      </c>
      <c r="N2298" s="7" t="n"/>
      <c r="O2298" s="7" t="n"/>
      <c r="P2298" s="7">
        <f>IF($B2298="","",O2298*X2298/100)</f>
        <v/>
      </c>
      <c r="Q2298" s="7">
        <f>IF($B2298="","",O2298-P2298)</f>
        <v/>
      </c>
      <c r="R2298" s="7">
        <f>IF($B2298="","",Q2298-J2298)</f>
        <v/>
      </c>
      <c r="S2298" s="7" t="n"/>
      <c r="T2298" s="7" t="n"/>
      <c r="V2298" s="14" t="n"/>
      <c r="Z2298">
        <f>IF($B2298="","",IF(COUNTIF($B$2:$B2298,$B2298)=1,1,0))</f>
        <v/>
      </c>
      <c r="AA2298">
        <f>IF($Z2298=1,SUMPRODUCT(--($AC$2:$AC$3001&lt;$AC2298))+1,"")</f>
        <v/>
      </c>
      <c r="AB2298">
        <f>IF($B2298="","",IF(OR($Y2298=TRUE(),$Y2298="TRUE"),1,IF(AND($Y2298&lt;&gt;"",OR($Y2298=FALSE(),$Y2298="FALSE")),0,IF(MIN(ABS($X2298/100-Settings!$C$6),ABS($X2298/100-Settings!$G$6))&lt;=MIN(ABS($X2298/100-Settings!$C$7),ABS($X2298/100-Settings!$G$7)),1,0))))</f>
        <v/>
      </c>
      <c r="AC2298">
        <f>IF($Z2298=1,IFERROR(IF(VALUE($B2298)&lt;100000000,VALUE($B2298),1000000000),IFERROR(IF(VALUE(MID($B2298,2,20))&lt;100000000,VALUE(MID($B2298,2,20)),1000000000),1000000000))+ROW()/100000,"")</f>
        <v/>
      </c>
    </row>
    <row r="2299">
      <c r="A2299">
        <f>IF($B2299="","",IFERROR(IF(INDEX('Per Invoice'!$A$2:$A$801,MATCH($B2299,'Per Invoice'!$B$2:$B$801,0))=0,"",INDEX('Per Invoice'!$A$2:$A$801,MATCH($B2299,'Per Invoice'!$B$2:$B$801,0))),""))</f>
        <v/>
      </c>
      <c r="J2299" s="7">
        <f>IF($B2299="","",I2299*Q2299/100)</f>
        <v/>
      </c>
      <c r="N2299" s="7" t="n"/>
      <c r="O2299" s="7" t="n"/>
      <c r="P2299" s="7">
        <f>IF($B2299="","",O2299*X2299/100)</f>
        <v/>
      </c>
      <c r="Q2299" s="7">
        <f>IF($B2299="","",O2299-P2299)</f>
        <v/>
      </c>
      <c r="R2299" s="7">
        <f>IF($B2299="","",Q2299-J2299)</f>
        <v/>
      </c>
      <c r="S2299" s="7" t="n"/>
      <c r="T2299" s="7" t="n"/>
      <c r="V2299" s="14" t="n"/>
      <c r="Z2299">
        <f>IF($B2299="","",IF(COUNTIF($B$2:$B2299,$B2299)=1,1,0))</f>
        <v/>
      </c>
      <c r="AA2299">
        <f>IF($Z2299=1,SUMPRODUCT(--($AC$2:$AC$3001&lt;$AC2299))+1,"")</f>
        <v/>
      </c>
      <c r="AB2299">
        <f>IF($B2299="","",IF(OR($Y2299=TRUE(),$Y2299="TRUE"),1,IF(AND($Y2299&lt;&gt;"",OR($Y2299=FALSE(),$Y2299="FALSE")),0,IF(MIN(ABS($X2299/100-Settings!$C$6),ABS($X2299/100-Settings!$G$6))&lt;=MIN(ABS($X2299/100-Settings!$C$7),ABS($X2299/100-Settings!$G$7)),1,0))))</f>
        <v/>
      </c>
      <c r="AC2299">
        <f>IF($Z2299=1,IFERROR(IF(VALUE($B2299)&lt;100000000,VALUE($B2299),1000000000),IFERROR(IF(VALUE(MID($B2299,2,20))&lt;100000000,VALUE(MID($B2299,2,20)),1000000000),1000000000))+ROW()/100000,"")</f>
        <v/>
      </c>
    </row>
    <row r="2300">
      <c r="A2300">
        <f>IF($B2300="","",IFERROR(IF(INDEX('Per Invoice'!$A$2:$A$801,MATCH($B2300,'Per Invoice'!$B$2:$B$801,0))=0,"",INDEX('Per Invoice'!$A$2:$A$801,MATCH($B2300,'Per Invoice'!$B$2:$B$801,0))),""))</f>
        <v/>
      </c>
      <c r="J2300" s="7">
        <f>IF($B2300="","",I2300*Q2300/100)</f>
        <v/>
      </c>
      <c r="N2300" s="7" t="n"/>
      <c r="O2300" s="7" t="n"/>
      <c r="P2300" s="7">
        <f>IF($B2300="","",O2300*X2300/100)</f>
        <v/>
      </c>
      <c r="Q2300" s="7">
        <f>IF($B2300="","",O2300-P2300)</f>
        <v/>
      </c>
      <c r="R2300" s="7">
        <f>IF($B2300="","",Q2300-J2300)</f>
        <v/>
      </c>
      <c r="S2300" s="7" t="n"/>
      <c r="T2300" s="7" t="n"/>
      <c r="V2300" s="14" t="n"/>
      <c r="Z2300">
        <f>IF($B2300="","",IF(COUNTIF($B$2:$B2300,$B2300)=1,1,0))</f>
        <v/>
      </c>
      <c r="AA2300">
        <f>IF($Z2300=1,SUMPRODUCT(--($AC$2:$AC$3001&lt;$AC2300))+1,"")</f>
        <v/>
      </c>
      <c r="AB2300">
        <f>IF($B2300="","",IF(OR($Y2300=TRUE(),$Y2300="TRUE"),1,IF(AND($Y2300&lt;&gt;"",OR($Y2300=FALSE(),$Y2300="FALSE")),0,IF(MIN(ABS($X2300/100-Settings!$C$6),ABS($X2300/100-Settings!$G$6))&lt;=MIN(ABS($X2300/100-Settings!$C$7),ABS($X2300/100-Settings!$G$7)),1,0))))</f>
        <v/>
      </c>
      <c r="AC2300">
        <f>IF($Z2300=1,IFERROR(IF(VALUE($B2300)&lt;100000000,VALUE($B2300),1000000000),IFERROR(IF(VALUE(MID($B2300,2,20))&lt;100000000,VALUE(MID($B2300,2,20)),1000000000),1000000000))+ROW()/100000,"")</f>
        <v/>
      </c>
    </row>
    <row r="2301">
      <c r="A2301">
        <f>IF($B2301="","",IFERROR(IF(INDEX('Per Invoice'!$A$2:$A$801,MATCH($B2301,'Per Invoice'!$B$2:$B$801,0))=0,"",INDEX('Per Invoice'!$A$2:$A$801,MATCH($B2301,'Per Invoice'!$B$2:$B$801,0))),""))</f>
        <v/>
      </c>
      <c r="J2301" s="7">
        <f>IF($B2301="","",I2301*Q2301/100)</f>
        <v/>
      </c>
      <c r="N2301" s="7" t="n"/>
      <c r="O2301" s="7" t="n"/>
      <c r="P2301" s="7">
        <f>IF($B2301="","",O2301*X2301/100)</f>
        <v/>
      </c>
      <c r="Q2301" s="7">
        <f>IF($B2301="","",O2301-P2301)</f>
        <v/>
      </c>
      <c r="R2301" s="7">
        <f>IF($B2301="","",Q2301-J2301)</f>
        <v/>
      </c>
      <c r="S2301" s="7" t="n"/>
      <c r="T2301" s="7" t="n"/>
      <c r="V2301" s="14" t="n"/>
      <c r="Z2301">
        <f>IF($B2301="","",IF(COUNTIF($B$2:$B2301,$B2301)=1,1,0))</f>
        <v/>
      </c>
      <c r="AA2301">
        <f>IF($Z2301=1,SUMPRODUCT(--($AC$2:$AC$3001&lt;$AC2301))+1,"")</f>
        <v/>
      </c>
      <c r="AB2301">
        <f>IF($B2301="","",IF(OR($Y2301=TRUE(),$Y2301="TRUE"),1,IF(AND($Y2301&lt;&gt;"",OR($Y2301=FALSE(),$Y2301="FALSE")),0,IF(MIN(ABS($X2301/100-Settings!$C$6),ABS($X2301/100-Settings!$G$6))&lt;=MIN(ABS($X2301/100-Settings!$C$7),ABS($X2301/100-Settings!$G$7)),1,0))))</f>
        <v/>
      </c>
      <c r="AC2301">
        <f>IF($Z2301=1,IFERROR(IF(VALUE($B2301)&lt;100000000,VALUE($B2301),1000000000),IFERROR(IF(VALUE(MID($B2301,2,20))&lt;100000000,VALUE(MID($B2301,2,20)),1000000000),1000000000))+ROW()/100000,"")</f>
        <v/>
      </c>
    </row>
    <row r="2302">
      <c r="A2302">
        <f>IF($B2302="","",IFERROR(IF(INDEX('Per Invoice'!$A$2:$A$801,MATCH($B2302,'Per Invoice'!$B$2:$B$801,0))=0,"",INDEX('Per Invoice'!$A$2:$A$801,MATCH($B2302,'Per Invoice'!$B$2:$B$801,0))),""))</f>
        <v/>
      </c>
      <c r="J2302" s="7">
        <f>IF($B2302="","",I2302*Q2302/100)</f>
        <v/>
      </c>
      <c r="N2302" s="7" t="n"/>
      <c r="O2302" s="7" t="n"/>
      <c r="P2302" s="7">
        <f>IF($B2302="","",O2302*X2302/100)</f>
        <v/>
      </c>
      <c r="Q2302" s="7">
        <f>IF($B2302="","",O2302-P2302)</f>
        <v/>
      </c>
      <c r="R2302" s="7">
        <f>IF($B2302="","",Q2302-J2302)</f>
        <v/>
      </c>
      <c r="S2302" s="7" t="n"/>
      <c r="T2302" s="7" t="n"/>
      <c r="V2302" s="14" t="n"/>
      <c r="Z2302">
        <f>IF($B2302="","",IF(COUNTIF($B$2:$B2302,$B2302)=1,1,0))</f>
        <v/>
      </c>
      <c r="AA2302">
        <f>IF($Z2302=1,SUMPRODUCT(--($AC$2:$AC$3001&lt;$AC2302))+1,"")</f>
        <v/>
      </c>
      <c r="AB2302">
        <f>IF($B2302="","",IF(OR($Y2302=TRUE(),$Y2302="TRUE"),1,IF(AND($Y2302&lt;&gt;"",OR($Y2302=FALSE(),$Y2302="FALSE")),0,IF(MIN(ABS($X2302/100-Settings!$C$6),ABS($X2302/100-Settings!$G$6))&lt;=MIN(ABS($X2302/100-Settings!$C$7),ABS($X2302/100-Settings!$G$7)),1,0))))</f>
        <v/>
      </c>
      <c r="AC2302">
        <f>IF($Z2302=1,IFERROR(IF(VALUE($B2302)&lt;100000000,VALUE($B2302),1000000000),IFERROR(IF(VALUE(MID($B2302,2,20))&lt;100000000,VALUE(MID($B2302,2,20)),1000000000),1000000000))+ROW()/100000,"")</f>
        <v/>
      </c>
    </row>
    <row r="2303">
      <c r="A2303">
        <f>IF($B2303="","",IFERROR(IF(INDEX('Per Invoice'!$A$2:$A$801,MATCH($B2303,'Per Invoice'!$B$2:$B$801,0))=0,"",INDEX('Per Invoice'!$A$2:$A$801,MATCH($B2303,'Per Invoice'!$B$2:$B$801,0))),""))</f>
        <v/>
      </c>
      <c r="J2303" s="7">
        <f>IF($B2303="","",I2303*Q2303/100)</f>
        <v/>
      </c>
      <c r="N2303" s="7" t="n"/>
      <c r="O2303" s="7" t="n"/>
      <c r="P2303" s="7">
        <f>IF($B2303="","",O2303*X2303/100)</f>
        <v/>
      </c>
      <c r="Q2303" s="7">
        <f>IF($B2303="","",O2303-P2303)</f>
        <v/>
      </c>
      <c r="R2303" s="7">
        <f>IF($B2303="","",Q2303-J2303)</f>
        <v/>
      </c>
      <c r="S2303" s="7" t="n"/>
      <c r="T2303" s="7" t="n"/>
      <c r="V2303" s="14" t="n"/>
      <c r="Z2303">
        <f>IF($B2303="","",IF(COUNTIF($B$2:$B2303,$B2303)=1,1,0))</f>
        <v/>
      </c>
      <c r="AA2303">
        <f>IF($Z2303=1,SUMPRODUCT(--($AC$2:$AC$3001&lt;$AC2303))+1,"")</f>
        <v/>
      </c>
      <c r="AB2303">
        <f>IF($B2303="","",IF(OR($Y2303=TRUE(),$Y2303="TRUE"),1,IF(AND($Y2303&lt;&gt;"",OR($Y2303=FALSE(),$Y2303="FALSE")),0,IF(MIN(ABS($X2303/100-Settings!$C$6),ABS($X2303/100-Settings!$G$6))&lt;=MIN(ABS($X2303/100-Settings!$C$7),ABS($X2303/100-Settings!$G$7)),1,0))))</f>
        <v/>
      </c>
      <c r="AC2303">
        <f>IF($Z2303=1,IFERROR(IF(VALUE($B2303)&lt;100000000,VALUE($B2303),1000000000),IFERROR(IF(VALUE(MID($B2303,2,20))&lt;100000000,VALUE(MID($B2303,2,20)),1000000000),1000000000))+ROW()/100000,"")</f>
        <v/>
      </c>
    </row>
    <row r="2304">
      <c r="A2304">
        <f>IF($B2304="","",IFERROR(IF(INDEX('Per Invoice'!$A$2:$A$801,MATCH($B2304,'Per Invoice'!$B$2:$B$801,0))=0,"",INDEX('Per Invoice'!$A$2:$A$801,MATCH($B2304,'Per Invoice'!$B$2:$B$801,0))),""))</f>
        <v/>
      </c>
      <c r="J2304" s="7">
        <f>IF($B2304="","",I2304*Q2304/100)</f>
        <v/>
      </c>
      <c r="N2304" s="7" t="n"/>
      <c r="O2304" s="7" t="n"/>
      <c r="P2304" s="7">
        <f>IF($B2304="","",O2304*X2304/100)</f>
        <v/>
      </c>
      <c r="Q2304" s="7">
        <f>IF($B2304="","",O2304-P2304)</f>
        <v/>
      </c>
      <c r="R2304" s="7">
        <f>IF($B2304="","",Q2304-J2304)</f>
        <v/>
      </c>
      <c r="S2304" s="7" t="n"/>
      <c r="T2304" s="7" t="n"/>
      <c r="V2304" s="14" t="n"/>
      <c r="Z2304">
        <f>IF($B2304="","",IF(COUNTIF($B$2:$B2304,$B2304)=1,1,0))</f>
        <v/>
      </c>
      <c r="AA2304">
        <f>IF($Z2304=1,SUMPRODUCT(--($AC$2:$AC$3001&lt;$AC2304))+1,"")</f>
        <v/>
      </c>
      <c r="AB2304">
        <f>IF($B2304="","",IF(OR($Y2304=TRUE(),$Y2304="TRUE"),1,IF(AND($Y2304&lt;&gt;"",OR($Y2304=FALSE(),$Y2304="FALSE")),0,IF(MIN(ABS($X2304/100-Settings!$C$6),ABS($X2304/100-Settings!$G$6))&lt;=MIN(ABS($X2304/100-Settings!$C$7),ABS($X2304/100-Settings!$G$7)),1,0))))</f>
        <v/>
      </c>
      <c r="AC2304">
        <f>IF($Z2304=1,IFERROR(IF(VALUE($B2304)&lt;100000000,VALUE($B2304),1000000000),IFERROR(IF(VALUE(MID($B2304,2,20))&lt;100000000,VALUE(MID($B2304,2,20)),1000000000),1000000000))+ROW()/100000,"")</f>
        <v/>
      </c>
    </row>
    <row r="2305">
      <c r="A2305">
        <f>IF($B2305="","",IFERROR(IF(INDEX('Per Invoice'!$A$2:$A$801,MATCH($B2305,'Per Invoice'!$B$2:$B$801,0))=0,"",INDEX('Per Invoice'!$A$2:$A$801,MATCH($B2305,'Per Invoice'!$B$2:$B$801,0))),""))</f>
        <v/>
      </c>
      <c r="J2305" s="7">
        <f>IF($B2305="","",I2305*Q2305/100)</f>
        <v/>
      </c>
      <c r="N2305" s="7" t="n"/>
      <c r="O2305" s="7" t="n"/>
      <c r="P2305" s="7">
        <f>IF($B2305="","",O2305*X2305/100)</f>
        <v/>
      </c>
      <c r="Q2305" s="7">
        <f>IF($B2305="","",O2305-P2305)</f>
        <v/>
      </c>
      <c r="R2305" s="7">
        <f>IF($B2305="","",Q2305-J2305)</f>
        <v/>
      </c>
      <c r="S2305" s="7" t="n"/>
      <c r="T2305" s="7" t="n"/>
      <c r="V2305" s="14" t="n"/>
      <c r="Z2305">
        <f>IF($B2305="","",IF(COUNTIF($B$2:$B2305,$B2305)=1,1,0))</f>
        <v/>
      </c>
      <c r="AA2305">
        <f>IF($Z2305=1,SUMPRODUCT(--($AC$2:$AC$3001&lt;$AC2305))+1,"")</f>
        <v/>
      </c>
      <c r="AB2305">
        <f>IF($B2305="","",IF(OR($Y2305=TRUE(),$Y2305="TRUE"),1,IF(AND($Y2305&lt;&gt;"",OR($Y2305=FALSE(),$Y2305="FALSE")),0,IF(MIN(ABS($X2305/100-Settings!$C$6),ABS($X2305/100-Settings!$G$6))&lt;=MIN(ABS($X2305/100-Settings!$C$7),ABS($X2305/100-Settings!$G$7)),1,0))))</f>
        <v/>
      </c>
      <c r="AC2305">
        <f>IF($Z2305=1,IFERROR(IF(VALUE($B2305)&lt;100000000,VALUE($B2305),1000000000),IFERROR(IF(VALUE(MID($B2305,2,20))&lt;100000000,VALUE(MID($B2305,2,20)),1000000000),1000000000))+ROW()/100000,"")</f>
        <v/>
      </c>
    </row>
    <row r="2306">
      <c r="A2306">
        <f>IF($B2306="","",IFERROR(IF(INDEX('Per Invoice'!$A$2:$A$801,MATCH($B2306,'Per Invoice'!$B$2:$B$801,0))=0,"",INDEX('Per Invoice'!$A$2:$A$801,MATCH($B2306,'Per Invoice'!$B$2:$B$801,0))),""))</f>
        <v/>
      </c>
      <c r="J2306" s="7">
        <f>IF($B2306="","",I2306*Q2306/100)</f>
        <v/>
      </c>
      <c r="N2306" s="7" t="n"/>
      <c r="O2306" s="7" t="n"/>
      <c r="P2306" s="7">
        <f>IF($B2306="","",O2306*X2306/100)</f>
        <v/>
      </c>
      <c r="Q2306" s="7">
        <f>IF($B2306="","",O2306-P2306)</f>
        <v/>
      </c>
      <c r="R2306" s="7">
        <f>IF($B2306="","",Q2306-J2306)</f>
        <v/>
      </c>
      <c r="S2306" s="7" t="n"/>
      <c r="T2306" s="7" t="n"/>
      <c r="V2306" s="14" t="n"/>
      <c r="Z2306">
        <f>IF($B2306="","",IF(COUNTIF($B$2:$B2306,$B2306)=1,1,0))</f>
        <v/>
      </c>
      <c r="AA2306">
        <f>IF($Z2306=1,SUMPRODUCT(--($AC$2:$AC$3001&lt;$AC2306))+1,"")</f>
        <v/>
      </c>
      <c r="AB2306">
        <f>IF($B2306="","",IF(OR($Y2306=TRUE(),$Y2306="TRUE"),1,IF(AND($Y2306&lt;&gt;"",OR($Y2306=FALSE(),$Y2306="FALSE")),0,IF(MIN(ABS($X2306/100-Settings!$C$6),ABS($X2306/100-Settings!$G$6))&lt;=MIN(ABS($X2306/100-Settings!$C$7),ABS($X2306/100-Settings!$G$7)),1,0))))</f>
        <v/>
      </c>
      <c r="AC2306">
        <f>IF($Z2306=1,IFERROR(IF(VALUE($B2306)&lt;100000000,VALUE($B2306),1000000000),IFERROR(IF(VALUE(MID($B2306,2,20))&lt;100000000,VALUE(MID($B2306,2,20)),1000000000),1000000000))+ROW()/100000,"")</f>
        <v/>
      </c>
    </row>
    <row r="2307">
      <c r="A2307">
        <f>IF($B2307="","",IFERROR(IF(INDEX('Per Invoice'!$A$2:$A$801,MATCH($B2307,'Per Invoice'!$B$2:$B$801,0))=0,"",INDEX('Per Invoice'!$A$2:$A$801,MATCH($B2307,'Per Invoice'!$B$2:$B$801,0))),""))</f>
        <v/>
      </c>
      <c r="J2307" s="7">
        <f>IF($B2307="","",I2307*Q2307/100)</f>
        <v/>
      </c>
      <c r="N2307" s="7" t="n"/>
      <c r="O2307" s="7" t="n"/>
      <c r="P2307" s="7">
        <f>IF($B2307="","",O2307*X2307/100)</f>
        <v/>
      </c>
      <c r="Q2307" s="7">
        <f>IF($B2307="","",O2307-P2307)</f>
        <v/>
      </c>
      <c r="R2307" s="7">
        <f>IF($B2307="","",Q2307-J2307)</f>
        <v/>
      </c>
      <c r="S2307" s="7" t="n"/>
      <c r="T2307" s="7" t="n"/>
      <c r="V2307" s="14" t="n"/>
      <c r="Z2307">
        <f>IF($B2307="","",IF(COUNTIF($B$2:$B2307,$B2307)=1,1,0))</f>
        <v/>
      </c>
      <c r="AA2307">
        <f>IF($Z2307=1,SUMPRODUCT(--($AC$2:$AC$3001&lt;$AC2307))+1,"")</f>
        <v/>
      </c>
      <c r="AB2307">
        <f>IF($B2307="","",IF(OR($Y2307=TRUE(),$Y2307="TRUE"),1,IF(AND($Y2307&lt;&gt;"",OR($Y2307=FALSE(),$Y2307="FALSE")),0,IF(MIN(ABS($X2307/100-Settings!$C$6),ABS($X2307/100-Settings!$G$6))&lt;=MIN(ABS($X2307/100-Settings!$C$7),ABS($X2307/100-Settings!$G$7)),1,0))))</f>
        <v/>
      </c>
      <c r="AC2307">
        <f>IF($Z2307=1,IFERROR(IF(VALUE($B2307)&lt;100000000,VALUE($B2307),1000000000),IFERROR(IF(VALUE(MID($B2307,2,20))&lt;100000000,VALUE(MID($B2307,2,20)),1000000000),1000000000))+ROW()/100000,"")</f>
        <v/>
      </c>
    </row>
    <row r="2308">
      <c r="A2308">
        <f>IF($B2308="","",IFERROR(IF(INDEX('Per Invoice'!$A$2:$A$801,MATCH($B2308,'Per Invoice'!$B$2:$B$801,0))=0,"",INDEX('Per Invoice'!$A$2:$A$801,MATCH($B2308,'Per Invoice'!$B$2:$B$801,0))),""))</f>
        <v/>
      </c>
      <c r="J2308" s="7">
        <f>IF($B2308="","",I2308*Q2308/100)</f>
        <v/>
      </c>
      <c r="N2308" s="7" t="n"/>
      <c r="O2308" s="7" t="n"/>
      <c r="P2308" s="7">
        <f>IF($B2308="","",O2308*X2308/100)</f>
        <v/>
      </c>
      <c r="Q2308" s="7">
        <f>IF($B2308="","",O2308-P2308)</f>
        <v/>
      </c>
      <c r="R2308" s="7">
        <f>IF($B2308="","",Q2308-J2308)</f>
        <v/>
      </c>
      <c r="S2308" s="7" t="n"/>
      <c r="T2308" s="7" t="n"/>
      <c r="V2308" s="14" t="n"/>
      <c r="Z2308">
        <f>IF($B2308="","",IF(COUNTIF($B$2:$B2308,$B2308)=1,1,0))</f>
        <v/>
      </c>
      <c r="AA2308">
        <f>IF($Z2308=1,SUMPRODUCT(--($AC$2:$AC$3001&lt;$AC2308))+1,"")</f>
        <v/>
      </c>
      <c r="AB2308">
        <f>IF($B2308="","",IF(OR($Y2308=TRUE(),$Y2308="TRUE"),1,IF(AND($Y2308&lt;&gt;"",OR($Y2308=FALSE(),$Y2308="FALSE")),0,IF(MIN(ABS($X2308/100-Settings!$C$6),ABS($X2308/100-Settings!$G$6))&lt;=MIN(ABS($X2308/100-Settings!$C$7),ABS($X2308/100-Settings!$G$7)),1,0))))</f>
        <v/>
      </c>
      <c r="AC2308">
        <f>IF($Z2308=1,IFERROR(IF(VALUE($B2308)&lt;100000000,VALUE($B2308),1000000000),IFERROR(IF(VALUE(MID($B2308,2,20))&lt;100000000,VALUE(MID($B2308,2,20)),1000000000),1000000000))+ROW()/100000,"")</f>
        <v/>
      </c>
    </row>
    <row r="2309">
      <c r="A2309">
        <f>IF($B2309="","",IFERROR(IF(INDEX('Per Invoice'!$A$2:$A$801,MATCH($B2309,'Per Invoice'!$B$2:$B$801,0))=0,"",INDEX('Per Invoice'!$A$2:$A$801,MATCH($B2309,'Per Invoice'!$B$2:$B$801,0))),""))</f>
        <v/>
      </c>
      <c r="J2309" s="7">
        <f>IF($B2309="","",I2309*Q2309/100)</f>
        <v/>
      </c>
      <c r="N2309" s="7" t="n"/>
      <c r="O2309" s="7" t="n"/>
      <c r="P2309" s="7">
        <f>IF($B2309="","",O2309*X2309/100)</f>
        <v/>
      </c>
      <c r="Q2309" s="7">
        <f>IF($B2309="","",O2309-P2309)</f>
        <v/>
      </c>
      <c r="R2309" s="7">
        <f>IF($B2309="","",Q2309-J2309)</f>
        <v/>
      </c>
      <c r="S2309" s="7" t="n"/>
      <c r="T2309" s="7" t="n"/>
      <c r="V2309" s="14" t="n"/>
      <c r="Z2309">
        <f>IF($B2309="","",IF(COUNTIF($B$2:$B2309,$B2309)=1,1,0))</f>
        <v/>
      </c>
      <c r="AA2309">
        <f>IF($Z2309=1,SUMPRODUCT(--($AC$2:$AC$3001&lt;$AC2309))+1,"")</f>
        <v/>
      </c>
      <c r="AB2309">
        <f>IF($B2309="","",IF(OR($Y2309=TRUE(),$Y2309="TRUE"),1,IF(AND($Y2309&lt;&gt;"",OR($Y2309=FALSE(),$Y2309="FALSE")),0,IF(MIN(ABS($X2309/100-Settings!$C$6),ABS($X2309/100-Settings!$G$6))&lt;=MIN(ABS($X2309/100-Settings!$C$7),ABS($X2309/100-Settings!$G$7)),1,0))))</f>
        <v/>
      </c>
      <c r="AC2309">
        <f>IF($Z2309=1,IFERROR(IF(VALUE($B2309)&lt;100000000,VALUE($B2309),1000000000),IFERROR(IF(VALUE(MID($B2309,2,20))&lt;100000000,VALUE(MID($B2309,2,20)),1000000000),1000000000))+ROW()/100000,"")</f>
        <v/>
      </c>
    </row>
    <row r="2310">
      <c r="A2310">
        <f>IF($B2310="","",IFERROR(IF(INDEX('Per Invoice'!$A$2:$A$801,MATCH($B2310,'Per Invoice'!$B$2:$B$801,0))=0,"",INDEX('Per Invoice'!$A$2:$A$801,MATCH($B2310,'Per Invoice'!$B$2:$B$801,0))),""))</f>
        <v/>
      </c>
      <c r="J2310" s="7">
        <f>IF($B2310="","",I2310*Q2310/100)</f>
        <v/>
      </c>
      <c r="N2310" s="7" t="n"/>
      <c r="O2310" s="7" t="n"/>
      <c r="P2310" s="7">
        <f>IF($B2310="","",O2310*X2310/100)</f>
        <v/>
      </c>
      <c r="Q2310" s="7">
        <f>IF($B2310="","",O2310-P2310)</f>
        <v/>
      </c>
      <c r="R2310" s="7">
        <f>IF($B2310="","",Q2310-J2310)</f>
        <v/>
      </c>
      <c r="S2310" s="7" t="n"/>
      <c r="T2310" s="7" t="n"/>
      <c r="V2310" s="14" t="n"/>
      <c r="Z2310">
        <f>IF($B2310="","",IF(COUNTIF($B$2:$B2310,$B2310)=1,1,0))</f>
        <v/>
      </c>
      <c r="AA2310">
        <f>IF($Z2310=1,SUMPRODUCT(--($AC$2:$AC$3001&lt;$AC2310))+1,"")</f>
        <v/>
      </c>
      <c r="AB2310">
        <f>IF($B2310="","",IF(OR($Y2310=TRUE(),$Y2310="TRUE"),1,IF(AND($Y2310&lt;&gt;"",OR($Y2310=FALSE(),$Y2310="FALSE")),0,IF(MIN(ABS($X2310/100-Settings!$C$6),ABS($X2310/100-Settings!$G$6))&lt;=MIN(ABS($X2310/100-Settings!$C$7),ABS($X2310/100-Settings!$G$7)),1,0))))</f>
        <v/>
      </c>
      <c r="AC2310">
        <f>IF($Z2310=1,IFERROR(IF(VALUE($B2310)&lt;100000000,VALUE($B2310),1000000000),IFERROR(IF(VALUE(MID($B2310,2,20))&lt;100000000,VALUE(MID($B2310,2,20)),1000000000),1000000000))+ROW()/100000,"")</f>
        <v/>
      </c>
    </row>
    <row r="2311">
      <c r="A2311">
        <f>IF($B2311="","",IFERROR(IF(INDEX('Per Invoice'!$A$2:$A$801,MATCH($B2311,'Per Invoice'!$B$2:$B$801,0))=0,"",INDEX('Per Invoice'!$A$2:$A$801,MATCH($B2311,'Per Invoice'!$B$2:$B$801,0))),""))</f>
        <v/>
      </c>
      <c r="J2311" s="7">
        <f>IF($B2311="","",I2311*Q2311/100)</f>
        <v/>
      </c>
      <c r="N2311" s="7" t="n"/>
      <c r="O2311" s="7" t="n"/>
      <c r="P2311" s="7">
        <f>IF($B2311="","",O2311*X2311/100)</f>
        <v/>
      </c>
      <c r="Q2311" s="7">
        <f>IF($B2311="","",O2311-P2311)</f>
        <v/>
      </c>
      <c r="R2311" s="7">
        <f>IF($B2311="","",Q2311-J2311)</f>
        <v/>
      </c>
      <c r="S2311" s="7" t="n"/>
      <c r="T2311" s="7" t="n"/>
      <c r="V2311" s="14" t="n"/>
      <c r="Z2311">
        <f>IF($B2311="","",IF(COUNTIF($B$2:$B2311,$B2311)=1,1,0))</f>
        <v/>
      </c>
      <c r="AA2311">
        <f>IF($Z2311=1,SUMPRODUCT(--($AC$2:$AC$3001&lt;$AC2311))+1,"")</f>
        <v/>
      </c>
      <c r="AB2311">
        <f>IF($B2311="","",IF(OR($Y2311=TRUE(),$Y2311="TRUE"),1,IF(AND($Y2311&lt;&gt;"",OR($Y2311=FALSE(),$Y2311="FALSE")),0,IF(MIN(ABS($X2311/100-Settings!$C$6),ABS($X2311/100-Settings!$G$6))&lt;=MIN(ABS($X2311/100-Settings!$C$7),ABS($X2311/100-Settings!$G$7)),1,0))))</f>
        <v/>
      </c>
      <c r="AC2311">
        <f>IF($Z2311=1,IFERROR(IF(VALUE($B2311)&lt;100000000,VALUE($B2311),1000000000),IFERROR(IF(VALUE(MID($B2311,2,20))&lt;100000000,VALUE(MID($B2311,2,20)),1000000000),1000000000))+ROW()/100000,"")</f>
        <v/>
      </c>
    </row>
    <row r="2312">
      <c r="A2312">
        <f>IF($B2312="","",IFERROR(IF(INDEX('Per Invoice'!$A$2:$A$801,MATCH($B2312,'Per Invoice'!$B$2:$B$801,0))=0,"",INDEX('Per Invoice'!$A$2:$A$801,MATCH($B2312,'Per Invoice'!$B$2:$B$801,0))),""))</f>
        <v/>
      </c>
      <c r="J2312" s="7">
        <f>IF($B2312="","",I2312*Q2312/100)</f>
        <v/>
      </c>
      <c r="N2312" s="7" t="n"/>
      <c r="O2312" s="7" t="n"/>
      <c r="P2312" s="7">
        <f>IF($B2312="","",O2312*X2312/100)</f>
        <v/>
      </c>
      <c r="Q2312" s="7">
        <f>IF($B2312="","",O2312-P2312)</f>
        <v/>
      </c>
      <c r="R2312" s="7">
        <f>IF($B2312="","",Q2312-J2312)</f>
        <v/>
      </c>
      <c r="S2312" s="7" t="n"/>
      <c r="T2312" s="7" t="n"/>
      <c r="V2312" s="14" t="n"/>
      <c r="Z2312">
        <f>IF($B2312="","",IF(COUNTIF($B$2:$B2312,$B2312)=1,1,0))</f>
        <v/>
      </c>
      <c r="AA2312">
        <f>IF($Z2312=1,SUMPRODUCT(--($AC$2:$AC$3001&lt;$AC2312))+1,"")</f>
        <v/>
      </c>
      <c r="AB2312">
        <f>IF($B2312="","",IF(OR($Y2312=TRUE(),$Y2312="TRUE"),1,IF(AND($Y2312&lt;&gt;"",OR($Y2312=FALSE(),$Y2312="FALSE")),0,IF(MIN(ABS($X2312/100-Settings!$C$6),ABS($X2312/100-Settings!$G$6))&lt;=MIN(ABS($X2312/100-Settings!$C$7),ABS($X2312/100-Settings!$G$7)),1,0))))</f>
        <v/>
      </c>
      <c r="AC2312">
        <f>IF($Z2312=1,IFERROR(IF(VALUE($B2312)&lt;100000000,VALUE($B2312),1000000000),IFERROR(IF(VALUE(MID($B2312,2,20))&lt;100000000,VALUE(MID($B2312,2,20)),1000000000),1000000000))+ROW()/100000,"")</f>
        <v/>
      </c>
    </row>
    <row r="2313">
      <c r="A2313">
        <f>IF($B2313="","",IFERROR(IF(INDEX('Per Invoice'!$A$2:$A$801,MATCH($B2313,'Per Invoice'!$B$2:$B$801,0))=0,"",INDEX('Per Invoice'!$A$2:$A$801,MATCH($B2313,'Per Invoice'!$B$2:$B$801,0))),""))</f>
        <v/>
      </c>
      <c r="J2313" s="7">
        <f>IF($B2313="","",I2313*Q2313/100)</f>
        <v/>
      </c>
      <c r="N2313" s="7" t="n"/>
      <c r="O2313" s="7" t="n"/>
      <c r="P2313" s="7">
        <f>IF($B2313="","",O2313*X2313/100)</f>
        <v/>
      </c>
      <c r="Q2313" s="7">
        <f>IF($B2313="","",O2313-P2313)</f>
        <v/>
      </c>
      <c r="R2313" s="7">
        <f>IF($B2313="","",Q2313-J2313)</f>
        <v/>
      </c>
      <c r="S2313" s="7" t="n"/>
      <c r="T2313" s="7" t="n"/>
      <c r="V2313" s="14" t="n"/>
      <c r="Z2313">
        <f>IF($B2313="","",IF(COUNTIF($B$2:$B2313,$B2313)=1,1,0))</f>
        <v/>
      </c>
      <c r="AA2313">
        <f>IF($Z2313=1,SUMPRODUCT(--($AC$2:$AC$3001&lt;$AC2313))+1,"")</f>
        <v/>
      </c>
      <c r="AB2313">
        <f>IF($B2313="","",IF(OR($Y2313=TRUE(),$Y2313="TRUE"),1,IF(AND($Y2313&lt;&gt;"",OR($Y2313=FALSE(),$Y2313="FALSE")),0,IF(MIN(ABS($X2313/100-Settings!$C$6),ABS($X2313/100-Settings!$G$6))&lt;=MIN(ABS($X2313/100-Settings!$C$7),ABS($X2313/100-Settings!$G$7)),1,0))))</f>
        <v/>
      </c>
      <c r="AC2313">
        <f>IF($Z2313=1,IFERROR(IF(VALUE($B2313)&lt;100000000,VALUE($B2313),1000000000),IFERROR(IF(VALUE(MID($B2313,2,20))&lt;100000000,VALUE(MID($B2313,2,20)),1000000000),1000000000))+ROW()/100000,"")</f>
        <v/>
      </c>
    </row>
    <row r="2314">
      <c r="A2314">
        <f>IF($B2314="","",IFERROR(IF(INDEX('Per Invoice'!$A$2:$A$801,MATCH($B2314,'Per Invoice'!$B$2:$B$801,0))=0,"",INDEX('Per Invoice'!$A$2:$A$801,MATCH($B2314,'Per Invoice'!$B$2:$B$801,0))),""))</f>
        <v/>
      </c>
      <c r="J2314" s="7">
        <f>IF($B2314="","",I2314*Q2314/100)</f>
        <v/>
      </c>
      <c r="N2314" s="7" t="n"/>
      <c r="O2314" s="7" t="n"/>
      <c r="P2314" s="7">
        <f>IF($B2314="","",O2314*X2314/100)</f>
        <v/>
      </c>
      <c r="Q2314" s="7">
        <f>IF($B2314="","",O2314-P2314)</f>
        <v/>
      </c>
      <c r="R2314" s="7">
        <f>IF($B2314="","",Q2314-J2314)</f>
        <v/>
      </c>
      <c r="S2314" s="7" t="n"/>
      <c r="T2314" s="7" t="n"/>
      <c r="V2314" s="14" t="n"/>
      <c r="Z2314">
        <f>IF($B2314="","",IF(COUNTIF($B$2:$B2314,$B2314)=1,1,0))</f>
        <v/>
      </c>
      <c r="AA2314">
        <f>IF($Z2314=1,SUMPRODUCT(--($AC$2:$AC$3001&lt;$AC2314))+1,"")</f>
        <v/>
      </c>
      <c r="AB2314">
        <f>IF($B2314="","",IF(OR($Y2314=TRUE(),$Y2314="TRUE"),1,IF(AND($Y2314&lt;&gt;"",OR($Y2314=FALSE(),$Y2314="FALSE")),0,IF(MIN(ABS($X2314/100-Settings!$C$6),ABS($X2314/100-Settings!$G$6))&lt;=MIN(ABS($X2314/100-Settings!$C$7),ABS($X2314/100-Settings!$G$7)),1,0))))</f>
        <v/>
      </c>
      <c r="AC2314">
        <f>IF($Z2314=1,IFERROR(IF(VALUE($B2314)&lt;100000000,VALUE($B2314),1000000000),IFERROR(IF(VALUE(MID($B2314,2,20))&lt;100000000,VALUE(MID($B2314,2,20)),1000000000),1000000000))+ROW()/100000,"")</f>
        <v/>
      </c>
    </row>
    <row r="2315">
      <c r="A2315">
        <f>IF($B2315="","",IFERROR(IF(INDEX('Per Invoice'!$A$2:$A$801,MATCH($B2315,'Per Invoice'!$B$2:$B$801,0))=0,"",INDEX('Per Invoice'!$A$2:$A$801,MATCH($B2315,'Per Invoice'!$B$2:$B$801,0))),""))</f>
        <v/>
      </c>
      <c r="J2315" s="7">
        <f>IF($B2315="","",I2315*Q2315/100)</f>
        <v/>
      </c>
      <c r="N2315" s="7" t="n"/>
      <c r="O2315" s="7" t="n"/>
      <c r="P2315" s="7">
        <f>IF($B2315="","",O2315*X2315/100)</f>
        <v/>
      </c>
      <c r="Q2315" s="7">
        <f>IF($B2315="","",O2315-P2315)</f>
        <v/>
      </c>
      <c r="R2315" s="7">
        <f>IF($B2315="","",Q2315-J2315)</f>
        <v/>
      </c>
      <c r="S2315" s="7" t="n"/>
      <c r="T2315" s="7" t="n"/>
      <c r="V2315" s="14" t="n"/>
      <c r="Z2315">
        <f>IF($B2315="","",IF(COUNTIF($B$2:$B2315,$B2315)=1,1,0))</f>
        <v/>
      </c>
      <c r="AA2315">
        <f>IF($Z2315=1,SUMPRODUCT(--($AC$2:$AC$3001&lt;$AC2315))+1,"")</f>
        <v/>
      </c>
      <c r="AB2315">
        <f>IF($B2315="","",IF(OR($Y2315=TRUE(),$Y2315="TRUE"),1,IF(AND($Y2315&lt;&gt;"",OR($Y2315=FALSE(),$Y2315="FALSE")),0,IF(MIN(ABS($X2315/100-Settings!$C$6),ABS($X2315/100-Settings!$G$6))&lt;=MIN(ABS($X2315/100-Settings!$C$7),ABS($X2315/100-Settings!$G$7)),1,0))))</f>
        <v/>
      </c>
      <c r="AC2315">
        <f>IF($Z2315=1,IFERROR(IF(VALUE($B2315)&lt;100000000,VALUE($B2315),1000000000),IFERROR(IF(VALUE(MID($B2315,2,20))&lt;100000000,VALUE(MID($B2315,2,20)),1000000000),1000000000))+ROW()/100000,"")</f>
        <v/>
      </c>
    </row>
    <row r="2316">
      <c r="A2316">
        <f>IF($B2316="","",IFERROR(IF(INDEX('Per Invoice'!$A$2:$A$801,MATCH($B2316,'Per Invoice'!$B$2:$B$801,0))=0,"",INDEX('Per Invoice'!$A$2:$A$801,MATCH($B2316,'Per Invoice'!$B$2:$B$801,0))),""))</f>
        <v/>
      </c>
      <c r="J2316" s="7">
        <f>IF($B2316="","",I2316*Q2316/100)</f>
        <v/>
      </c>
      <c r="N2316" s="7" t="n"/>
      <c r="O2316" s="7" t="n"/>
      <c r="P2316" s="7">
        <f>IF($B2316="","",O2316*X2316/100)</f>
        <v/>
      </c>
      <c r="Q2316" s="7">
        <f>IF($B2316="","",O2316-P2316)</f>
        <v/>
      </c>
      <c r="R2316" s="7">
        <f>IF($B2316="","",Q2316-J2316)</f>
        <v/>
      </c>
      <c r="S2316" s="7" t="n"/>
      <c r="T2316" s="7" t="n"/>
      <c r="V2316" s="14" t="n"/>
      <c r="Z2316">
        <f>IF($B2316="","",IF(COUNTIF($B$2:$B2316,$B2316)=1,1,0))</f>
        <v/>
      </c>
      <c r="AA2316">
        <f>IF($Z2316=1,SUMPRODUCT(--($AC$2:$AC$3001&lt;$AC2316))+1,"")</f>
        <v/>
      </c>
      <c r="AB2316">
        <f>IF($B2316="","",IF(OR($Y2316=TRUE(),$Y2316="TRUE"),1,IF(AND($Y2316&lt;&gt;"",OR($Y2316=FALSE(),$Y2316="FALSE")),0,IF(MIN(ABS($X2316/100-Settings!$C$6),ABS($X2316/100-Settings!$G$6))&lt;=MIN(ABS($X2316/100-Settings!$C$7),ABS($X2316/100-Settings!$G$7)),1,0))))</f>
        <v/>
      </c>
      <c r="AC2316">
        <f>IF($Z2316=1,IFERROR(IF(VALUE($B2316)&lt;100000000,VALUE($B2316),1000000000),IFERROR(IF(VALUE(MID($B2316,2,20))&lt;100000000,VALUE(MID($B2316,2,20)),1000000000),1000000000))+ROW()/100000,"")</f>
        <v/>
      </c>
    </row>
    <row r="2317">
      <c r="A2317">
        <f>IF($B2317="","",IFERROR(IF(INDEX('Per Invoice'!$A$2:$A$801,MATCH($B2317,'Per Invoice'!$B$2:$B$801,0))=0,"",INDEX('Per Invoice'!$A$2:$A$801,MATCH($B2317,'Per Invoice'!$B$2:$B$801,0))),""))</f>
        <v/>
      </c>
      <c r="J2317" s="7">
        <f>IF($B2317="","",I2317*Q2317/100)</f>
        <v/>
      </c>
      <c r="N2317" s="7" t="n"/>
      <c r="O2317" s="7" t="n"/>
      <c r="P2317" s="7">
        <f>IF($B2317="","",O2317*X2317/100)</f>
        <v/>
      </c>
      <c r="Q2317" s="7">
        <f>IF($B2317="","",O2317-P2317)</f>
        <v/>
      </c>
      <c r="R2317" s="7">
        <f>IF($B2317="","",Q2317-J2317)</f>
        <v/>
      </c>
      <c r="S2317" s="7" t="n"/>
      <c r="T2317" s="7" t="n"/>
      <c r="V2317" s="14" t="n"/>
      <c r="Z2317">
        <f>IF($B2317="","",IF(COUNTIF($B$2:$B2317,$B2317)=1,1,0))</f>
        <v/>
      </c>
      <c r="AA2317">
        <f>IF($Z2317=1,SUMPRODUCT(--($AC$2:$AC$3001&lt;$AC2317))+1,"")</f>
        <v/>
      </c>
      <c r="AB2317">
        <f>IF($B2317="","",IF(OR($Y2317=TRUE(),$Y2317="TRUE"),1,IF(AND($Y2317&lt;&gt;"",OR($Y2317=FALSE(),$Y2317="FALSE")),0,IF(MIN(ABS($X2317/100-Settings!$C$6),ABS($X2317/100-Settings!$G$6))&lt;=MIN(ABS($X2317/100-Settings!$C$7),ABS($X2317/100-Settings!$G$7)),1,0))))</f>
        <v/>
      </c>
      <c r="AC2317">
        <f>IF($Z2317=1,IFERROR(IF(VALUE($B2317)&lt;100000000,VALUE($B2317),1000000000),IFERROR(IF(VALUE(MID($B2317,2,20))&lt;100000000,VALUE(MID($B2317,2,20)),1000000000),1000000000))+ROW()/100000,"")</f>
        <v/>
      </c>
    </row>
    <row r="2318">
      <c r="A2318">
        <f>IF($B2318="","",IFERROR(IF(INDEX('Per Invoice'!$A$2:$A$801,MATCH($B2318,'Per Invoice'!$B$2:$B$801,0))=0,"",INDEX('Per Invoice'!$A$2:$A$801,MATCH($B2318,'Per Invoice'!$B$2:$B$801,0))),""))</f>
        <v/>
      </c>
      <c r="J2318" s="7">
        <f>IF($B2318="","",I2318*Q2318/100)</f>
        <v/>
      </c>
      <c r="N2318" s="7" t="n"/>
      <c r="O2318" s="7" t="n"/>
      <c r="P2318" s="7">
        <f>IF($B2318="","",O2318*X2318/100)</f>
        <v/>
      </c>
      <c r="Q2318" s="7">
        <f>IF($B2318="","",O2318-P2318)</f>
        <v/>
      </c>
      <c r="R2318" s="7">
        <f>IF($B2318="","",Q2318-J2318)</f>
        <v/>
      </c>
      <c r="S2318" s="7" t="n"/>
      <c r="T2318" s="7" t="n"/>
      <c r="V2318" s="14" t="n"/>
      <c r="Z2318">
        <f>IF($B2318="","",IF(COUNTIF($B$2:$B2318,$B2318)=1,1,0))</f>
        <v/>
      </c>
      <c r="AA2318">
        <f>IF($Z2318=1,SUMPRODUCT(--($AC$2:$AC$3001&lt;$AC2318))+1,"")</f>
        <v/>
      </c>
      <c r="AB2318">
        <f>IF($B2318="","",IF(OR($Y2318=TRUE(),$Y2318="TRUE"),1,IF(AND($Y2318&lt;&gt;"",OR($Y2318=FALSE(),$Y2318="FALSE")),0,IF(MIN(ABS($X2318/100-Settings!$C$6),ABS($X2318/100-Settings!$G$6))&lt;=MIN(ABS($X2318/100-Settings!$C$7),ABS($X2318/100-Settings!$G$7)),1,0))))</f>
        <v/>
      </c>
      <c r="AC2318">
        <f>IF($Z2318=1,IFERROR(IF(VALUE($B2318)&lt;100000000,VALUE($B2318),1000000000),IFERROR(IF(VALUE(MID($B2318,2,20))&lt;100000000,VALUE(MID($B2318,2,20)),1000000000),1000000000))+ROW()/100000,"")</f>
        <v/>
      </c>
    </row>
    <row r="2319">
      <c r="A2319">
        <f>IF($B2319="","",IFERROR(IF(INDEX('Per Invoice'!$A$2:$A$801,MATCH($B2319,'Per Invoice'!$B$2:$B$801,0))=0,"",INDEX('Per Invoice'!$A$2:$A$801,MATCH($B2319,'Per Invoice'!$B$2:$B$801,0))),""))</f>
        <v/>
      </c>
      <c r="J2319" s="7">
        <f>IF($B2319="","",I2319*Q2319/100)</f>
        <v/>
      </c>
      <c r="N2319" s="7" t="n"/>
      <c r="O2319" s="7" t="n"/>
      <c r="P2319" s="7">
        <f>IF($B2319="","",O2319*X2319/100)</f>
        <v/>
      </c>
      <c r="Q2319" s="7">
        <f>IF($B2319="","",O2319-P2319)</f>
        <v/>
      </c>
      <c r="R2319" s="7">
        <f>IF($B2319="","",Q2319-J2319)</f>
        <v/>
      </c>
      <c r="S2319" s="7" t="n"/>
      <c r="T2319" s="7" t="n"/>
      <c r="V2319" s="14" t="n"/>
      <c r="Z2319">
        <f>IF($B2319="","",IF(COUNTIF($B$2:$B2319,$B2319)=1,1,0))</f>
        <v/>
      </c>
      <c r="AA2319">
        <f>IF($Z2319=1,SUMPRODUCT(--($AC$2:$AC$3001&lt;$AC2319))+1,"")</f>
        <v/>
      </c>
      <c r="AB2319">
        <f>IF($B2319="","",IF(OR($Y2319=TRUE(),$Y2319="TRUE"),1,IF(AND($Y2319&lt;&gt;"",OR($Y2319=FALSE(),$Y2319="FALSE")),0,IF(MIN(ABS($X2319/100-Settings!$C$6),ABS($X2319/100-Settings!$G$6))&lt;=MIN(ABS($X2319/100-Settings!$C$7),ABS($X2319/100-Settings!$G$7)),1,0))))</f>
        <v/>
      </c>
      <c r="AC2319">
        <f>IF($Z2319=1,IFERROR(IF(VALUE($B2319)&lt;100000000,VALUE($B2319),1000000000),IFERROR(IF(VALUE(MID($B2319,2,20))&lt;100000000,VALUE(MID($B2319,2,20)),1000000000),1000000000))+ROW()/100000,"")</f>
        <v/>
      </c>
    </row>
    <row r="2320">
      <c r="A2320">
        <f>IF($B2320="","",IFERROR(IF(INDEX('Per Invoice'!$A$2:$A$801,MATCH($B2320,'Per Invoice'!$B$2:$B$801,0))=0,"",INDEX('Per Invoice'!$A$2:$A$801,MATCH($B2320,'Per Invoice'!$B$2:$B$801,0))),""))</f>
        <v/>
      </c>
      <c r="J2320" s="7">
        <f>IF($B2320="","",I2320*Q2320/100)</f>
        <v/>
      </c>
      <c r="N2320" s="7" t="n"/>
      <c r="O2320" s="7" t="n"/>
      <c r="P2320" s="7">
        <f>IF($B2320="","",O2320*X2320/100)</f>
        <v/>
      </c>
      <c r="Q2320" s="7">
        <f>IF($B2320="","",O2320-P2320)</f>
        <v/>
      </c>
      <c r="R2320" s="7">
        <f>IF($B2320="","",Q2320-J2320)</f>
        <v/>
      </c>
      <c r="S2320" s="7" t="n"/>
      <c r="T2320" s="7" t="n"/>
      <c r="V2320" s="14" t="n"/>
      <c r="Z2320">
        <f>IF($B2320="","",IF(COUNTIF($B$2:$B2320,$B2320)=1,1,0))</f>
        <v/>
      </c>
      <c r="AA2320">
        <f>IF($Z2320=1,SUMPRODUCT(--($AC$2:$AC$3001&lt;$AC2320))+1,"")</f>
        <v/>
      </c>
      <c r="AB2320">
        <f>IF($B2320="","",IF(OR($Y2320=TRUE(),$Y2320="TRUE"),1,IF(AND($Y2320&lt;&gt;"",OR($Y2320=FALSE(),$Y2320="FALSE")),0,IF(MIN(ABS($X2320/100-Settings!$C$6),ABS($X2320/100-Settings!$G$6))&lt;=MIN(ABS($X2320/100-Settings!$C$7),ABS($X2320/100-Settings!$G$7)),1,0))))</f>
        <v/>
      </c>
      <c r="AC2320">
        <f>IF($Z2320=1,IFERROR(IF(VALUE($B2320)&lt;100000000,VALUE($B2320),1000000000),IFERROR(IF(VALUE(MID($B2320,2,20))&lt;100000000,VALUE(MID($B2320,2,20)),1000000000),1000000000))+ROW()/100000,"")</f>
        <v/>
      </c>
    </row>
    <row r="2321">
      <c r="A2321">
        <f>IF($B2321="","",IFERROR(IF(INDEX('Per Invoice'!$A$2:$A$801,MATCH($B2321,'Per Invoice'!$B$2:$B$801,0))=0,"",INDEX('Per Invoice'!$A$2:$A$801,MATCH($B2321,'Per Invoice'!$B$2:$B$801,0))),""))</f>
        <v/>
      </c>
      <c r="J2321" s="7">
        <f>IF($B2321="","",I2321*Q2321/100)</f>
        <v/>
      </c>
      <c r="N2321" s="7" t="n"/>
      <c r="O2321" s="7" t="n"/>
      <c r="P2321" s="7">
        <f>IF($B2321="","",O2321*X2321/100)</f>
        <v/>
      </c>
      <c r="Q2321" s="7">
        <f>IF($B2321="","",O2321-P2321)</f>
        <v/>
      </c>
      <c r="R2321" s="7">
        <f>IF($B2321="","",Q2321-J2321)</f>
        <v/>
      </c>
      <c r="S2321" s="7" t="n"/>
      <c r="T2321" s="7" t="n"/>
      <c r="V2321" s="14" t="n"/>
      <c r="Z2321">
        <f>IF($B2321="","",IF(COUNTIF($B$2:$B2321,$B2321)=1,1,0))</f>
        <v/>
      </c>
      <c r="AA2321">
        <f>IF($Z2321=1,SUMPRODUCT(--($AC$2:$AC$3001&lt;$AC2321))+1,"")</f>
        <v/>
      </c>
      <c r="AB2321">
        <f>IF($B2321="","",IF(OR($Y2321=TRUE(),$Y2321="TRUE"),1,IF(AND($Y2321&lt;&gt;"",OR($Y2321=FALSE(),$Y2321="FALSE")),0,IF(MIN(ABS($X2321/100-Settings!$C$6),ABS($X2321/100-Settings!$G$6))&lt;=MIN(ABS($X2321/100-Settings!$C$7),ABS($X2321/100-Settings!$G$7)),1,0))))</f>
        <v/>
      </c>
      <c r="AC2321">
        <f>IF($Z2321=1,IFERROR(IF(VALUE($B2321)&lt;100000000,VALUE($B2321),1000000000),IFERROR(IF(VALUE(MID($B2321,2,20))&lt;100000000,VALUE(MID($B2321,2,20)),1000000000),1000000000))+ROW()/100000,"")</f>
        <v/>
      </c>
    </row>
    <row r="2322">
      <c r="A2322">
        <f>IF($B2322="","",IFERROR(IF(INDEX('Per Invoice'!$A$2:$A$801,MATCH($B2322,'Per Invoice'!$B$2:$B$801,0))=0,"",INDEX('Per Invoice'!$A$2:$A$801,MATCH($B2322,'Per Invoice'!$B$2:$B$801,0))),""))</f>
        <v/>
      </c>
      <c r="J2322" s="7">
        <f>IF($B2322="","",I2322*Q2322/100)</f>
        <v/>
      </c>
      <c r="N2322" s="7" t="n"/>
      <c r="O2322" s="7" t="n"/>
      <c r="P2322" s="7">
        <f>IF($B2322="","",O2322*X2322/100)</f>
        <v/>
      </c>
      <c r="Q2322" s="7">
        <f>IF($B2322="","",O2322-P2322)</f>
        <v/>
      </c>
      <c r="R2322" s="7">
        <f>IF($B2322="","",Q2322-J2322)</f>
        <v/>
      </c>
      <c r="S2322" s="7" t="n"/>
      <c r="T2322" s="7" t="n"/>
      <c r="V2322" s="14" t="n"/>
      <c r="Z2322">
        <f>IF($B2322="","",IF(COUNTIF($B$2:$B2322,$B2322)=1,1,0))</f>
        <v/>
      </c>
      <c r="AA2322">
        <f>IF($Z2322=1,SUMPRODUCT(--($AC$2:$AC$3001&lt;$AC2322))+1,"")</f>
        <v/>
      </c>
      <c r="AB2322">
        <f>IF($B2322="","",IF(OR($Y2322=TRUE(),$Y2322="TRUE"),1,IF(AND($Y2322&lt;&gt;"",OR($Y2322=FALSE(),$Y2322="FALSE")),0,IF(MIN(ABS($X2322/100-Settings!$C$6),ABS($X2322/100-Settings!$G$6))&lt;=MIN(ABS($X2322/100-Settings!$C$7),ABS($X2322/100-Settings!$G$7)),1,0))))</f>
        <v/>
      </c>
      <c r="AC2322">
        <f>IF($Z2322=1,IFERROR(IF(VALUE($B2322)&lt;100000000,VALUE($B2322),1000000000),IFERROR(IF(VALUE(MID($B2322,2,20))&lt;100000000,VALUE(MID($B2322,2,20)),1000000000),1000000000))+ROW()/100000,"")</f>
        <v/>
      </c>
    </row>
    <row r="2323">
      <c r="A2323">
        <f>IF($B2323="","",IFERROR(IF(INDEX('Per Invoice'!$A$2:$A$801,MATCH($B2323,'Per Invoice'!$B$2:$B$801,0))=0,"",INDEX('Per Invoice'!$A$2:$A$801,MATCH($B2323,'Per Invoice'!$B$2:$B$801,0))),""))</f>
        <v/>
      </c>
      <c r="J2323" s="7">
        <f>IF($B2323="","",I2323*Q2323/100)</f>
        <v/>
      </c>
      <c r="N2323" s="7" t="n"/>
      <c r="O2323" s="7" t="n"/>
      <c r="P2323" s="7">
        <f>IF($B2323="","",O2323*X2323/100)</f>
        <v/>
      </c>
      <c r="Q2323" s="7">
        <f>IF($B2323="","",O2323-P2323)</f>
        <v/>
      </c>
      <c r="R2323" s="7">
        <f>IF($B2323="","",Q2323-J2323)</f>
        <v/>
      </c>
      <c r="S2323" s="7" t="n"/>
      <c r="T2323" s="7" t="n"/>
      <c r="V2323" s="14" t="n"/>
      <c r="Z2323">
        <f>IF($B2323="","",IF(COUNTIF($B$2:$B2323,$B2323)=1,1,0))</f>
        <v/>
      </c>
      <c r="AA2323">
        <f>IF($Z2323=1,SUMPRODUCT(--($AC$2:$AC$3001&lt;$AC2323))+1,"")</f>
        <v/>
      </c>
      <c r="AB2323">
        <f>IF($B2323="","",IF(OR($Y2323=TRUE(),$Y2323="TRUE"),1,IF(AND($Y2323&lt;&gt;"",OR($Y2323=FALSE(),$Y2323="FALSE")),0,IF(MIN(ABS($X2323/100-Settings!$C$6),ABS($X2323/100-Settings!$G$6))&lt;=MIN(ABS($X2323/100-Settings!$C$7),ABS($X2323/100-Settings!$G$7)),1,0))))</f>
        <v/>
      </c>
      <c r="AC2323">
        <f>IF($Z2323=1,IFERROR(IF(VALUE($B2323)&lt;100000000,VALUE($B2323),1000000000),IFERROR(IF(VALUE(MID($B2323,2,20))&lt;100000000,VALUE(MID($B2323,2,20)),1000000000),1000000000))+ROW()/100000,"")</f>
        <v/>
      </c>
    </row>
    <row r="2324">
      <c r="A2324">
        <f>IF($B2324="","",IFERROR(IF(INDEX('Per Invoice'!$A$2:$A$801,MATCH($B2324,'Per Invoice'!$B$2:$B$801,0))=0,"",INDEX('Per Invoice'!$A$2:$A$801,MATCH($B2324,'Per Invoice'!$B$2:$B$801,0))),""))</f>
        <v/>
      </c>
      <c r="J2324" s="7">
        <f>IF($B2324="","",I2324*Q2324/100)</f>
        <v/>
      </c>
      <c r="N2324" s="7" t="n"/>
      <c r="O2324" s="7" t="n"/>
      <c r="P2324" s="7">
        <f>IF($B2324="","",O2324*X2324/100)</f>
        <v/>
      </c>
      <c r="Q2324" s="7">
        <f>IF($B2324="","",O2324-P2324)</f>
        <v/>
      </c>
      <c r="R2324" s="7">
        <f>IF($B2324="","",Q2324-J2324)</f>
        <v/>
      </c>
      <c r="S2324" s="7" t="n"/>
      <c r="T2324" s="7" t="n"/>
      <c r="V2324" s="14" t="n"/>
      <c r="Z2324">
        <f>IF($B2324="","",IF(COUNTIF($B$2:$B2324,$B2324)=1,1,0))</f>
        <v/>
      </c>
      <c r="AA2324">
        <f>IF($Z2324=1,SUMPRODUCT(--($AC$2:$AC$3001&lt;$AC2324))+1,"")</f>
        <v/>
      </c>
      <c r="AB2324">
        <f>IF($B2324="","",IF(OR($Y2324=TRUE(),$Y2324="TRUE"),1,IF(AND($Y2324&lt;&gt;"",OR($Y2324=FALSE(),$Y2324="FALSE")),0,IF(MIN(ABS($X2324/100-Settings!$C$6),ABS($X2324/100-Settings!$G$6))&lt;=MIN(ABS($X2324/100-Settings!$C$7),ABS($X2324/100-Settings!$G$7)),1,0))))</f>
        <v/>
      </c>
      <c r="AC2324">
        <f>IF($Z2324=1,IFERROR(IF(VALUE($B2324)&lt;100000000,VALUE($B2324),1000000000),IFERROR(IF(VALUE(MID($B2324,2,20))&lt;100000000,VALUE(MID($B2324,2,20)),1000000000),1000000000))+ROW()/100000,"")</f>
        <v/>
      </c>
    </row>
    <row r="2325">
      <c r="A2325">
        <f>IF($B2325="","",IFERROR(IF(INDEX('Per Invoice'!$A$2:$A$801,MATCH($B2325,'Per Invoice'!$B$2:$B$801,0))=0,"",INDEX('Per Invoice'!$A$2:$A$801,MATCH($B2325,'Per Invoice'!$B$2:$B$801,0))),""))</f>
        <v/>
      </c>
      <c r="J2325" s="7">
        <f>IF($B2325="","",I2325*Q2325/100)</f>
        <v/>
      </c>
      <c r="N2325" s="7" t="n"/>
      <c r="O2325" s="7" t="n"/>
      <c r="P2325" s="7">
        <f>IF($B2325="","",O2325*X2325/100)</f>
        <v/>
      </c>
      <c r="Q2325" s="7">
        <f>IF($B2325="","",O2325-P2325)</f>
        <v/>
      </c>
      <c r="R2325" s="7">
        <f>IF($B2325="","",Q2325-J2325)</f>
        <v/>
      </c>
      <c r="S2325" s="7" t="n"/>
      <c r="T2325" s="7" t="n"/>
      <c r="V2325" s="14" t="n"/>
      <c r="Z2325">
        <f>IF($B2325="","",IF(COUNTIF($B$2:$B2325,$B2325)=1,1,0))</f>
        <v/>
      </c>
      <c r="AA2325">
        <f>IF($Z2325=1,SUMPRODUCT(--($AC$2:$AC$3001&lt;$AC2325))+1,"")</f>
        <v/>
      </c>
      <c r="AB2325">
        <f>IF($B2325="","",IF(OR($Y2325=TRUE(),$Y2325="TRUE"),1,IF(AND($Y2325&lt;&gt;"",OR($Y2325=FALSE(),$Y2325="FALSE")),0,IF(MIN(ABS($X2325/100-Settings!$C$6),ABS($X2325/100-Settings!$G$6))&lt;=MIN(ABS($X2325/100-Settings!$C$7),ABS($X2325/100-Settings!$G$7)),1,0))))</f>
        <v/>
      </c>
      <c r="AC2325">
        <f>IF($Z2325=1,IFERROR(IF(VALUE($B2325)&lt;100000000,VALUE($B2325),1000000000),IFERROR(IF(VALUE(MID($B2325,2,20))&lt;100000000,VALUE(MID($B2325,2,20)),1000000000),1000000000))+ROW()/100000,"")</f>
        <v/>
      </c>
    </row>
    <row r="2326">
      <c r="A2326">
        <f>IF($B2326="","",IFERROR(IF(INDEX('Per Invoice'!$A$2:$A$801,MATCH($B2326,'Per Invoice'!$B$2:$B$801,0))=0,"",INDEX('Per Invoice'!$A$2:$A$801,MATCH($B2326,'Per Invoice'!$B$2:$B$801,0))),""))</f>
        <v/>
      </c>
      <c r="J2326" s="7">
        <f>IF($B2326="","",I2326*Q2326/100)</f>
        <v/>
      </c>
      <c r="N2326" s="7" t="n"/>
      <c r="O2326" s="7" t="n"/>
      <c r="P2326" s="7">
        <f>IF($B2326="","",O2326*X2326/100)</f>
        <v/>
      </c>
      <c r="Q2326" s="7">
        <f>IF($B2326="","",O2326-P2326)</f>
        <v/>
      </c>
      <c r="R2326" s="7">
        <f>IF($B2326="","",Q2326-J2326)</f>
        <v/>
      </c>
      <c r="S2326" s="7" t="n"/>
      <c r="T2326" s="7" t="n"/>
      <c r="V2326" s="14" t="n"/>
      <c r="Z2326">
        <f>IF($B2326="","",IF(COUNTIF($B$2:$B2326,$B2326)=1,1,0))</f>
        <v/>
      </c>
      <c r="AA2326">
        <f>IF($Z2326=1,SUMPRODUCT(--($AC$2:$AC$3001&lt;$AC2326))+1,"")</f>
        <v/>
      </c>
      <c r="AB2326">
        <f>IF($B2326="","",IF(OR($Y2326=TRUE(),$Y2326="TRUE"),1,IF(AND($Y2326&lt;&gt;"",OR($Y2326=FALSE(),$Y2326="FALSE")),0,IF(MIN(ABS($X2326/100-Settings!$C$6),ABS($X2326/100-Settings!$G$6))&lt;=MIN(ABS($X2326/100-Settings!$C$7),ABS($X2326/100-Settings!$G$7)),1,0))))</f>
        <v/>
      </c>
      <c r="AC2326">
        <f>IF($Z2326=1,IFERROR(IF(VALUE($B2326)&lt;100000000,VALUE($B2326),1000000000),IFERROR(IF(VALUE(MID($B2326,2,20))&lt;100000000,VALUE(MID($B2326,2,20)),1000000000),1000000000))+ROW()/100000,"")</f>
        <v/>
      </c>
    </row>
    <row r="2327">
      <c r="A2327">
        <f>IF($B2327="","",IFERROR(IF(INDEX('Per Invoice'!$A$2:$A$801,MATCH($B2327,'Per Invoice'!$B$2:$B$801,0))=0,"",INDEX('Per Invoice'!$A$2:$A$801,MATCH($B2327,'Per Invoice'!$B$2:$B$801,0))),""))</f>
        <v/>
      </c>
      <c r="J2327" s="7">
        <f>IF($B2327="","",I2327*Q2327/100)</f>
        <v/>
      </c>
      <c r="N2327" s="7" t="n"/>
      <c r="O2327" s="7" t="n"/>
      <c r="P2327" s="7">
        <f>IF($B2327="","",O2327*X2327/100)</f>
        <v/>
      </c>
      <c r="Q2327" s="7">
        <f>IF($B2327="","",O2327-P2327)</f>
        <v/>
      </c>
      <c r="R2327" s="7">
        <f>IF($B2327="","",Q2327-J2327)</f>
        <v/>
      </c>
      <c r="S2327" s="7" t="n"/>
      <c r="T2327" s="7" t="n"/>
      <c r="V2327" s="14" t="n"/>
      <c r="Z2327">
        <f>IF($B2327="","",IF(COUNTIF($B$2:$B2327,$B2327)=1,1,0))</f>
        <v/>
      </c>
      <c r="AA2327">
        <f>IF($Z2327=1,SUMPRODUCT(--($AC$2:$AC$3001&lt;$AC2327))+1,"")</f>
        <v/>
      </c>
      <c r="AB2327">
        <f>IF($B2327="","",IF(OR($Y2327=TRUE(),$Y2327="TRUE"),1,IF(AND($Y2327&lt;&gt;"",OR($Y2327=FALSE(),$Y2327="FALSE")),0,IF(MIN(ABS($X2327/100-Settings!$C$6),ABS($X2327/100-Settings!$G$6))&lt;=MIN(ABS($X2327/100-Settings!$C$7),ABS($X2327/100-Settings!$G$7)),1,0))))</f>
        <v/>
      </c>
      <c r="AC2327">
        <f>IF($Z2327=1,IFERROR(IF(VALUE($B2327)&lt;100000000,VALUE($B2327),1000000000),IFERROR(IF(VALUE(MID($B2327,2,20))&lt;100000000,VALUE(MID($B2327,2,20)),1000000000),1000000000))+ROW()/100000,"")</f>
        <v/>
      </c>
    </row>
    <row r="2328">
      <c r="A2328">
        <f>IF($B2328="","",IFERROR(IF(INDEX('Per Invoice'!$A$2:$A$801,MATCH($B2328,'Per Invoice'!$B$2:$B$801,0))=0,"",INDEX('Per Invoice'!$A$2:$A$801,MATCH($B2328,'Per Invoice'!$B$2:$B$801,0))),""))</f>
        <v/>
      </c>
      <c r="J2328" s="7">
        <f>IF($B2328="","",I2328*Q2328/100)</f>
        <v/>
      </c>
      <c r="N2328" s="7" t="n"/>
      <c r="O2328" s="7" t="n"/>
      <c r="P2328" s="7">
        <f>IF($B2328="","",O2328*X2328/100)</f>
        <v/>
      </c>
      <c r="Q2328" s="7">
        <f>IF($B2328="","",O2328-P2328)</f>
        <v/>
      </c>
      <c r="R2328" s="7">
        <f>IF($B2328="","",Q2328-J2328)</f>
        <v/>
      </c>
      <c r="S2328" s="7" t="n"/>
      <c r="T2328" s="7" t="n"/>
      <c r="V2328" s="14" t="n"/>
      <c r="Z2328">
        <f>IF($B2328="","",IF(COUNTIF($B$2:$B2328,$B2328)=1,1,0))</f>
        <v/>
      </c>
      <c r="AA2328">
        <f>IF($Z2328=1,SUMPRODUCT(--($AC$2:$AC$3001&lt;$AC2328))+1,"")</f>
        <v/>
      </c>
      <c r="AB2328">
        <f>IF($B2328="","",IF(OR($Y2328=TRUE(),$Y2328="TRUE"),1,IF(AND($Y2328&lt;&gt;"",OR($Y2328=FALSE(),$Y2328="FALSE")),0,IF(MIN(ABS($X2328/100-Settings!$C$6),ABS($X2328/100-Settings!$G$6))&lt;=MIN(ABS($X2328/100-Settings!$C$7),ABS($X2328/100-Settings!$G$7)),1,0))))</f>
        <v/>
      </c>
      <c r="AC2328">
        <f>IF($Z2328=1,IFERROR(IF(VALUE($B2328)&lt;100000000,VALUE($B2328),1000000000),IFERROR(IF(VALUE(MID($B2328,2,20))&lt;100000000,VALUE(MID($B2328,2,20)),1000000000),1000000000))+ROW()/100000,"")</f>
        <v/>
      </c>
    </row>
    <row r="2329">
      <c r="A2329">
        <f>IF($B2329="","",IFERROR(IF(INDEX('Per Invoice'!$A$2:$A$801,MATCH($B2329,'Per Invoice'!$B$2:$B$801,0))=0,"",INDEX('Per Invoice'!$A$2:$A$801,MATCH($B2329,'Per Invoice'!$B$2:$B$801,0))),""))</f>
        <v/>
      </c>
      <c r="J2329" s="7">
        <f>IF($B2329="","",I2329*Q2329/100)</f>
        <v/>
      </c>
      <c r="N2329" s="7" t="n"/>
      <c r="O2329" s="7" t="n"/>
      <c r="P2329" s="7">
        <f>IF($B2329="","",O2329*X2329/100)</f>
        <v/>
      </c>
      <c r="Q2329" s="7">
        <f>IF($B2329="","",O2329-P2329)</f>
        <v/>
      </c>
      <c r="R2329" s="7">
        <f>IF($B2329="","",Q2329-J2329)</f>
        <v/>
      </c>
      <c r="S2329" s="7" t="n"/>
      <c r="T2329" s="7" t="n"/>
      <c r="V2329" s="14" t="n"/>
      <c r="Z2329">
        <f>IF($B2329="","",IF(COUNTIF($B$2:$B2329,$B2329)=1,1,0))</f>
        <v/>
      </c>
      <c r="AA2329">
        <f>IF($Z2329=1,SUMPRODUCT(--($AC$2:$AC$3001&lt;$AC2329))+1,"")</f>
        <v/>
      </c>
      <c r="AB2329">
        <f>IF($B2329="","",IF(OR($Y2329=TRUE(),$Y2329="TRUE"),1,IF(AND($Y2329&lt;&gt;"",OR($Y2329=FALSE(),$Y2329="FALSE")),0,IF(MIN(ABS($X2329/100-Settings!$C$6),ABS($X2329/100-Settings!$G$6))&lt;=MIN(ABS($X2329/100-Settings!$C$7),ABS($X2329/100-Settings!$G$7)),1,0))))</f>
        <v/>
      </c>
      <c r="AC2329">
        <f>IF($Z2329=1,IFERROR(IF(VALUE($B2329)&lt;100000000,VALUE($B2329),1000000000),IFERROR(IF(VALUE(MID($B2329,2,20))&lt;100000000,VALUE(MID($B2329,2,20)),1000000000),1000000000))+ROW()/100000,"")</f>
        <v/>
      </c>
    </row>
    <row r="2330">
      <c r="A2330">
        <f>IF($B2330="","",IFERROR(IF(INDEX('Per Invoice'!$A$2:$A$801,MATCH($B2330,'Per Invoice'!$B$2:$B$801,0))=0,"",INDEX('Per Invoice'!$A$2:$A$801,MATCH($B2330,'Per Invoice'!$B$2:$B$801,0))),""))</f>
        <v/>
      </c>
      <c r="J2330" s="7">
        <f>IF($B2330="","",I2330*Q2330/100)</f>
        <v/>
      </c>
      <c r="N2330" s="7" t="n"/>
      <c r="O2330" s="7" t="n"/>
      <c r="P2330" s="7">
        <f>IF($B2330="","",O2330*X2330/100)</f>
        <v/>
      </c>
      <c r="Q2330" s="7">
        <f>IF($B2330="","",O2330-P2330)</f>
        <v/>
      </c>
      <c r="R2330" s="7">
        <f>IF($B2330="","",Q2330-J2330)</f>
        <v/>
      </c>
      <c r="S2330" s="7" t="n"/>
      <c r="T2330" s="7" t="n"/>
      <c r="V2330" s="14" t="n"/>
      <c r="Z2330">
        <f>IF($B2330="","",IF(COUNTIF($B$2:$B2330,$B2330)=1,1,0))</f>
        <v/>
      </c>
      <c r="AA2330">
        <f>IF($Z2330=1,SUMPRODUCT(--($AC$2:$AC$3001&lt;$AC2330))+1,"")</f>
        <v/>
      </c>
      <c r="AB2330">
        <f>IF($B2330="","",IF(OR($Y2330=TRUE(),$Y2330="TRUE"),1,IF(AND($Y2330&lt;&gt;"",OR($Y2330=FALSE(),$Y2330="FALSE")),0,IF(MIN(ABS($X2330/100-Settings!$C$6),ABS($X2330/100-Settings!$G$6))&lt;=MIN(ABS($X2330/100-Settings!$C$7),ABS($X2330/100-Settings!$G$7)),1,0))))</f>
        <v/>
      </c>
      <c r="AC2330">
        <f>IF($Z2330=1,IFERROR(IF(VALUE($B2330)&lt;100000000,VALUE($B2330),1000000000),IFERROR(IF(VALUE(MID($B2330,2,20))&lt;100000000,VALUE(MID($B2330,2,20)),1000000000),1000000000))+ROW()/100000,"")</f>
        <v/>
      </c>
    </row>
    <row r="2331">
      <c r="A2331">
        <f>IF($B2331="","",IFERROR(IF(INDEX('Per Invoice'!$A$2:$A$801,MATCH($B2331,'Per Invoice'!$B$2:$B$801,0))=0,"",INDEX('Per Invoice'!$A$2:$A$801,MATCH($B2331,'Per Invoice'!$B$2:$B$801,0))),""))</f>
        <v/>
      </c>
      <c r="J2331" s="7">
        <f>IF($B2331="","",I2331*Q2331/100)</f>
        <v/>
      </c>
      <c r="N2331" s="7" t="n"/>
      <c r="O2331" s="7" t="n"/>
      <c r="P2331" s="7">
        <f>IF($B2331="","",O2331*X2331/100)</f>
        <v/>
      </c>
      <c r="Q2331" s="7">
        <f>IF($B2331="","",O2331-P2331)</f>
        <v/>
      </c>
      <c r="R2331" s="7">
        <f>IF($B2331="","",Q2331-J2331)</f>
        <v/>
      </c>
      <c r="S2331" s="7" t="n"/>
      <c r="T2331" s="7" t="n"/>
      <c r="V2331" s="14" t="n"/>
      <c r="Z2331">
        <f>IF($B2331="","",IF(COUNTIF($B$2:$B2331,$B2331)=1,1,0))</f>
        <v/>
      </c>
      <c r="AA2331">
        <f>IF($Z2331=1,SUMPRODUCT(--($AC$2:$AC$3001&lt;$AC2331))+1,"")</f>
        <v/>
      </c>
      <c r="AB2331">
        <f>IF($B2331="","",IF(OR($Y2331=TRUE(),$Y2331="TRUE"),1,IF(AND($Y2331&lt;&gt;"",OR($Y2331=FALSE(),$Y2331="FALSE")),0,IF(MIN(ABS($X2331/100-Settings!$C$6),ABS($X2331/100-Settings!$G$6))&lt;=MIN(ABS($X2331/100-Settings!$C$7),ABS($X2331/100-Settings!$G$7)),1,0))))</f>
        <v/>
      </c>
      <c r="AC2331">
        <f>IF($Z2331=1,IFERROR(IF(VALUE($B2331)&lt;100000000,VALUE($B2331),1000000000),IFERROR(IF(VALUE(MID($B2331,2,20))&lt;100000000,VALUE(MID($B2331,2,20)),1000000000),1000000000))+ROW()/100000,"")</f>
        <v/>
      </c>
    </row>
    <row r="2332">
      <c r="A2332">
        <f>IF($B2332="","",IFERROR(IF(INDEX('Per Invoice'!$A$2:$A$801,MATCH($B2332,'Per Invoice'!$B$2:$B$801,0))=0,"",INDEX('Per Invoice'!$A$2:$A$801,MATCH($B2332,'Per Invoice'!$B$2:$B$801,0))),""))</f>
        <v/>
      </c>
      <c r="J2332" s="7">
        <f>IF($B2332="","",I2332*Q2332/100)</f>
        <v/>
      </c>
      <c r="N2332" s="7" t="n"/>
      <c r="O2332" s="7" t="n"/>
      <c r="P2332" s="7">
        <f>IF($B2332="","",O2332*X2332/100)</f>
        <v/>
      </c>
      <c r="Q2332" s="7">
        <f>IF($B2332="","",O2332-P2332)</f>
        <v/>
      </c>
      <c r="R2332" s="7">
        <f>IF($B2332="","",Q2332-J2332)</f>
        <v/>
      </c>
      <c r="S2332" s="7" t="n"/>
      <c r="T2332" s="7" t="n"/>
      <c r="V2332" s="14" t="n"/>
      <c r="Z2332">
        <f>IF($B2332="","",IF(COUNTIF($B$2:$B2332,$B2332)=1,1,0))</f>
        <v/>
      </c>
      <c r="AA2332">
        <f>IF($Z2332=1,SUMPRODUCT(--($AC$2:$AC$3001&lt;$AC2332))+1,"")</f>
        <v/>
      </c>
      <c r="AB2332">
        <f>IF($B2332="","",IF(OR($Y2332=TRUE(),$Y2332="TRUE"),1,IF(AND($Y2332&lt;&gt;"",OR($Y2332=FALSE(),$Y2332="FALSE")),0,IF(MIN(ABS($X2332/100-Settings!$C$6),ABS($X2332/100-Settings!$G$6))&lt;=MIN(ABS($X2332/100-Settings!$C$7),ABS($X2332/100-Settings!$G$7)),1,0))))</f>
        <v/>
      </c>
      <c r="AC2332">
        <f>IF($Z2332=1,IFERROR(IF(VALUE($B2332)&lt;100000000,VALUE($B2332),1000000000),IFERROR(IF(VALUE(MID($B2332,2,20))&lt;100000000,VALUE(MID($B2332,2,20)),1000000000),1000000000))+ROW()/100000,"")</f>
        <v/>
      </c>
    </row>
    <row r="2333">
      <c r="A2333">
        <f>IF($B2333="","",IFERROR(IF(INDEX('Per Invoice'!$A$2:$A$801,MATCH($B2333,'Per Invoice'!$B$2:$B$801,0))=0,"",INDEX('Per Invoice'!$A$2:$A$801,MATCH($B2333,'Per Invoice'!$B$2:$B$801,0))),""))</f>
        <v/>
      </c>
      <c r="J2333" s="7">
        <f>IF($B2333="","",I2333*Q2333/100)</f>
        <v/>
      </c>
      <c r="N2333" s="7" t="n"/>
      <c r="O2333" s="7" t="n"/>
      <c r="P2333" s="7">
        <f>IF($B2333="","",O2333*X2333/100)</f>
        <v/>
      </c>
      <c r="Q2333" s="7">
        <f>IF($B2333="","",O2333-P2333)</f>
        <v/>
      </c>
      <c r="R2333" s="7">
        <f>IF($B2333="","",Q2333-J2333)</f>
        <v/>
      </c>
      <c r="S2333" s="7" t="n"/>
      <c r="T2333" s="7" t="n"/>
      <c r="V2333" s="14" t="n"/>
      <c r="Z2333">
        <f>IF($B2333="","",IF(COUNTIF($B$2:$B2333,$B2333)=1,1,0))</f>
        <v/>
      </c>
      <c r="AA2333">
        <f>IF($Z2333=1,SUMPRODUCT(--($AC$2:$AC$3001&lt;$AC2333))+1,"")</f>
        <v/>
      </c>
      <c r="AB2333">
        <f>IF($B2333="","",IF(OR($Y2333=TRUE(),$Y2333="TRUE"),1,IF(AND($Y2333&lt;&gt;"",OR($Y2333=FALSE(),$Y2333="FALSE")),0,IF(MIN(ABS($X2333/100-Settings!$C$6),ABS($X2333/100-Settings!$G$6))&lt;=MIN(ABS($X2333/100-Settings!$C$7),ABS($X2333/100-Settings!$G$7)),1,0))))</f>
        <v/>
      </c>
      <c r="AC2333">
        <f>IF($Z2333=1,IFERROR(IF(VALUE($B2333)&lt;100000000,VALUE($B2333),1000000000),IFERROR(IF(VALUE(MID($B2333,2,20))&lt;100000000,VALUE(MID($B2333,2,20)),1000000000),1000000000))+ROW()/100000,"")</f>
        <v/>
      </c>
    </row>
    <row r="2334">
      <c r="A2334">
        <f>IF($B2334="","",IFERROR(IF(INDEX('Per Invoice'!$A$2:$A$801,MATCH($B2334,'Per Invoice'!$B$2:$B$801,0))=0,"",INDEX('Per Invoice'!$A$2:$A$801,MATCH($B2334,'Per Invoice'!$B$2:$B$801,0))),""))</f>
        <v/>
      </c>
      <c r="J2334" s="7">
        <f>IF($B2334="","",I2334*Q2334/100)</f>
        <v/>
      </c>
      <c r="N2334" s="7" t="n"/>
      <c r="O2334" s="7" t="n"/>
      <c r="P2334" s="7">
        <f>IF($B2334="","",O2334*X2334/100)</f>
        <v/>
      </c>
      <c r="Q2334" s="7">
        <f>IF($B2334="","",O2334-P2334)</f>
        <v/>
      </c>
      <c r="R2334" s="7">
        <f>IF($B2334="","",Q2334-J2334)</f>
        <v/>
      </c>
      <c r="S2334" s="7" t="n"/>
      <c r="T2334" s="7" t="n"/>
      <c r="V2334" s="14" t="n"/>
      <c r="Z2334">
        <f>IF($B2334="","",IF(COUNTIF($B$2:$B2334,$B2334)=1,1,0))</f>
        <v/>
      </c>
      <c r="AA2334">
        <f>IF($Z2334=1,SUMPRODUCT(--($AC$2:$AC$3001&lt;$AC2334))+1,"")</f>
        <v/>
      </c>
      <c r="AB2334">
        <f>IF($B2334="","",IF(OR($Y2334=TRUE(),$Y2334="TRUE"),1,IF(AND($Y2334&lt;&gt;"",OR($Y2334=FALSE(),$Y2334="FALSE")),0,IF(MIN(ABS($X2334/100-Settings!$C$6),ABS($X2334/100-Settings!$G$6))&lt;=MIN(ABS($X2334/100-Settings!$C$7),ABS($X2334/100-Settings!$G$7)),1,0))))</f>
        <v/>
      </c>
      <c r="AC2334">
        <f>IF($Z2334=1,IFERROR(IF(VALUE($B2334)&lt;100000000,VALUE($B2334),1000000000),IFERROR(IF(VALUE(MID($B2334,2,20))&lt;100000000,VALUE(MID($B2334,2,20)),1000000000),1000000000))+ROW()/100000,"")</f>
        <v/>
      </c>
    </row>
    <row r="2335">
      <c r="A2335">
        <f>IF($B2335="","",IFERROR(IF(INDEX('Per Invoice'!$A$2:$A$801,MATCH($B2335,'Per Invoice'!$B$2:$B$801,0))=0,"",INDEX('Per Invoice'!$A$2:$A$801,MATCH($B2335,'Per Invoice'!$B$2:$B$801,0))),""))</f>
        <v/>
      </c>
      <c r="J2335" s="7">
        <f>IF($B2335="","",I2335*Q2335/100)</f>
        <v/>
      </c>
      <c r="N2335" s="7" t="n"/>
      <c r="O2335" s="7" t="n"/>
      <c r="P2335" s="7">
        <f>IF($B2335="","",O2335*X2335/100)</f>
        <v/>
      </c>
      <c r="Q2335" s="7">
        <f>IF($B2335="","",O2335-P2335)</f>
        <v/>
      </c>
      <c r="R2335" s="7">
        <f>IF($B2335="","",Q2335-J2335)</f>
        <v/>
      </c>
      <c r="S2335" s="7" t="n"/>
      <c r="T2335" s="7" t="n"/>
      <c r="V2335" s="14" t="n"/>
      <c r="Z2335">
        <f>IF($B2335="","",IF(COUNTIF($B$2:$B2335,$B2335)=1,1,0))</f>
        <v/>
      </c>
      <c r="AA2335">
        <f>IF($Z2335=1,SUMPRODUCT(--($AC$2:$AC$3001&lt;$AC2335))+1,"")</f>
        <v/>
      </c>
      <c r="AB2335">
        <f>IF($B2335="","",IF(OR($Y2335=TRUE(),$Y2335="TRUE"),1,IF(AND($Y2335&lt;&gt;"",OR($Y2335=FALSE(),$Y2335="FALSE")),0,IF(MIN(ABS($X2335/100-Settings!$C$6),ABS($X2335/100-Settings!$G$6))&lt;=MIN(ABS($X2335/100-Settings!$C$7),ABS($X2335/100-Settings!$G$7)),1,0))))</f>
        <v/>
      </c>
      <c r="AC2335">
        <f>IF($Z2335=1,IFERROR(IF(VALUE($B2335)&lt;100000000,VALUE($B2335),1000000000),IFERROR(IF(VALUE(MID($B2335,2,20))&lt;100000000,VALUE(MID($B2335,2,20)),1000000000),1000000000))+ROW()/100000,"")</f>
        <v/>
      </c>
    </row>
    <row r="2336">
      <c r="A2336">
        <f>IF($B2336="","",IFERROR(IF(INDEX('Per Invoice'!$A$2:$A$801,MATCH($B2336,'Per Invoice'!$B$2:$B$801,0))=0,"",INDEX('Per Invoice'!$A$2:$A$801,MATCH($B2336,'Per Invoice'!$B$2:$B$801,0))),""))</f>
        <v/>
      </c>
      <c r="J2336" s="7">
        <f>IF($B2336="","",I2336*Q2336/100)</f>
        <v/>
      </c>
      <c r="N2336" s="7" t="n"/>
      <c r="O2336" s="7" t="n"/>
      <c r="P2336" s="7">
        <f>IF($B2336="","",O2336*X2336/100)</f>
        <v/>
      </c>
      <c r="Q2336" s="7">
        <f>IF($B2336="","",O2336-P2336)</f>
        <v/>
      </c>
      <c r="R2336" s="7">
        <f>IF($B2336="","",Q2336-J2336)</f>
        <v/>
      </c>
      <c r="S2336" s="7" t="n"/>
      <c r="T2336" s="7" t="n"/>
      <c r="V2336" s="14" t="n"/>
      <c r="Z2336">
        <f>IF($B2336="","",IF(COUNTIF($B$2:$B2336,$B2336)=1,1,0))</f>
        <v/>
      </c>
      <c r="AA2336">
        <f>IF($Z2336=1,SUMPRODUCT(--($AC$2:$AC$3001&lt;$AC2336))+1,"")</f>
        <v/>
      </c>
      <c r="AB2336">
        <f>IF($B2336="","",IF(OR($Y2336=TRUE(),$Y2336="TRUE"),1,IF(AND($Y2336&lt;&gt;"",OR($Y2336=FALSE(),$Y2336="FALSE")),0,IF(MIN(ABS($X2336/100-Settings!$C$6),ABS($X2336/100-Settings!$G$6))&lt;=MIN(ABS($X2336/100-Settings!$C$7),ABS($X2336/100-Settings!$G$7)),1,0))))</f>
        <v/>
      </c>
      <c r="AC2336">
        <f>IF($Z2336=1,IFERROR(IF(VALUE($B2336)&lt;100000000,VALUE($B2336),1000000000),IFERROR(IF(VALUE(MID($B2336,2,20))&lt;100000000,VALUE(MID($B2336,2,20)),1000000000),1000000000))+ROW()/100000,"")</f>
        <v/>
      </c>
    </row>
    <row r="2337">
      <c r="A2337">
        <f>IF($B2337="","",IFERROR(IF(INDEX('Per Invoice'!$A$2:$A$801,MATCH($B2337,'Per Invoice'!$B$2:$B$801,0))=0,"",INDEX('Per Invoice'!$A$2:$A$801,MATCH($B2337,'Per Invoice'!$B$2:$B$801,0))),""))</f>
        <v/>
      </c>
      <c r="J2337" s="7">
        <f>IF($B2337="","",I2337*Q2337/100)</f>
        <v/>
      </c>
      <c r="N2337" s="7" t="n"/>
      <c r="O2337" s="7" t="n"/>
      <c r="P2337" s="7">
        <f>IF($B2337="","",O2337*X2337/100)</f>
        <v/>
      </c>
      <c r="Q2337" s="7">
        <f>IF($B2337="","",O2337-P2337)</f>
        <v/>
      </c>
      <c r="R2337" s="7">
        <f>IF($B2337="","",Q2337-J2337)</f>
        <v/>
      </c>
      <c r="S2337" s="7" t="n"/>
      <c r="T2337" s="7" t="n"/>
      <c r="V2337" s="14" t="n"/>
      <c r="Z2337">
        <f>IF($B2337="","",IF(COUNTIF($B$2:$B2337,$B2337)=1,1,0))</f>
        <v/>
      </c>
      <c r="AA2337">
        <f>IF($Z2337=1,SUMPRODUCT(--($AC$2:$AC$3001&lt;$AC2337))+1,"")</f>
        <v/>
      </c>
      <c r="AB2337">
        <f>IF($B2337="","",IF(OR($Y2337=TRUE(),$Y2337="TRUE"),1,IF(AND($Y2337&lt;&gt;"",OR($Y2337=FALSE(),$Y2337="FALSE")),0,IF(MIN(ABS($X2337/100-Settings!$C$6),ABS($X2337/100-Settings!$G$6))&lt;=MIN(ABS($X2337/100-Settings!$C$7),ABS($X2337/100-Settings!$G$7)),1,0))))</f>
        <v/>
      </c>
      <c r="AC2337">
        <f>IF($Z2337=1,IFERROR(IF(VALUE($B2337)&lt;100000000,VALUE($B2337),1000000000),IFERROR(IF(VALUE(MID($B2337,2,20))&lt;100000000,VALUE(MID($B2337,2,20)),1000000000),1000000000))+ROW()/100000,"")</f>
        <v/>
      </c>
    </row>
    <row r="2338">
      <c r="A2338">
        <f>IF($B2338="","",IFERROR(IF(INDEX('Per Invoice'!$A$2:$A$801,MATCH($B2338,'Per Invoice'!$B$2:$B$801,0))=0,"",INDEX('Per Invoice'!$A$2:$A$801,MATCH($B2338,'Per Invoice'!$B$2:$B$801,0))),""))</f>
        <v/>
      </c>
      <c r="J2338" s="7">
        <f>IF($B2338="","",I2338*Q2338/100)</f>
        <v/>
      </c>
      <c r="N2338" s="7" t="n"/>
      <c r="O2338" s="7" t="n"/>
      <c r="P2338" s="7">
        <f>IF($B2338="","",O2338*X2338/100)</f>
        <v/>
      </c>
      <c r="Q2338" s="7">
        <f>IF($B2338="","",O2338-P2338)</f>
        <v/>
      </c>
      <c r="R2338" s="7">
        <f>IF($B2338="","",Q2338-J2338)</f>
        <v/>
      </c>
      <c r="S2338" s="7" t="n"/>
      <c r="T2338" s="7" t="n"/>
      <c r="V2338" s="14" t="n"/>
      <c r="Z2338">
        <f>IF($B2338="","",IF(COUNTIF($B$2:$B2338,$B2338)=1,1,0))</f>
        <v/>
      </c>
      <c r="AA2338">
        <f>IF($Z2338=1,SUMPRODUCT(--($AC$2:$AC$3001&lt;$AC2338))+1,"")</f>
        <v/>
      </c>
      <c r="AB2338">
        <f>IF($B2338="","",IF(OR($Y2338=TRUE(),$Y2338="TRUE"),1,IF(AND($Y2338&lt;&gt;"",OR($Y2338=FALSE(),$Y2338="FALSE")),0,IF(MIN(ABS($X2338/100-Settings!$C$6),ABS($X2338/100-Settings!$G$6))&lt;=MIN(ABS($X2338/100-Settings!$C$7),ABS($X2338/100-Settings!$G$7)),1,0))))</f>
        <v/>
      </c>
      <c r="AC2338">
        <f>IF($Z2338=1,IFERROR(IF(VALUE($B2338)&lt;100000000,VALUE($B2338),1000000000),IFERROR(IF(VALUE(MID($B2338,2,20))&lt;100000000,VALUE(MID($B2338,2,20)),1000000000),1000000000))+ROW()/100000,"")</f>
        <v/>
      </c>
    </row>
    <row r="2339">
      <c r="A2339">
        <f>IF($B2339="","",IFERROR(IF(INDEX('Per Invoice'!$A$2:$A$801,MATCH($B2339,'Per Invoice'!$B$2:$B$801,0))=0,"",INDEX('Per Invoice'!$A$2:$A$801,MATCH($B2339,'Per Invoice'!$B$2:$B$801,0))),""))</f>
        <v/>
      </c>
      <c r="J2339" s="7">
        <f>IF($B2339="","",I2339*Q2339/100)</f>
        <v/>
      </c>
      <c r="N2339" s="7" t="n"/>
      <c r="O2339" s="7" t="n"/>
      <c r="P2339" s="7">
        <f>IF($B2339="","",O2339*X2339/100)</f>
        <v/>
      </c>
      <c r="Q2339" s="7">
        <f>IF($B2339="","",O2339-P2339)</f>
        <v/>
      </c>
      <c r="R2339" s="7">
        <f>IF($B2339="","",Q2339-J2339)</f>
        <v/>
      </c>
      <c r="S2339" s="7" t="n"/>
      <c r="T2339" s="7" t="n"/>
      <c r="V2339" s="14" t="n"/>
      <c r="Z2339">
        <f>IF($B2339="","",IF(COUNTIF($B$2:$B2339,$B2339)=1,1,0))</f>
        <v/>
      </c>
      <c r="AA2339">
        <f>IF($Z2339=1,SUMPRODUCT(--($AC$2:$AC$3001&lt;$AC2339))+1,"")</f>
        <v/>
      </c>
      <c r="AB2339">
        <f>IF($B2339="","",IF(OR($Y2339=TRUE(),$Y2339="TRUE"),1,IF(AND($Y2339&lt;&gt;"",OR($Y2339=FALSE(),$Y2339="FALSE")),0,IF(MIN(ABS($X2339/100-Settings!$C$6),ABS($X2339/100-Settings!$G$6))&lt;=MIN(ABS($X2339/100-Settings!$C$7),ABS($X2339/100-Settings!$G$7)),1,0))))</f>
        <v/>
      </c>
      <c r="AC2339">
        <f>IF($Z2339=1,IFERROR(IF(VALUE($B2339)&lt;100000000,VALUE($B2339),1000000000),IFERROR(IF(VALUE(MID($B2339,2,20))&lt;100000000,VALUE(MID($B2339,2,20)),1000000000),1000000000))+ROW()/100000,"")</f>
        <v/>
      </c>
    </row>
    <row r="2340">
      <c r="A2340">
        <f>IF($B2340="","",IFERROR(IF(INDEX('Per Invoice'!$A$2:$A$801,MATCH($B2340,'Per Invoice'!$B$2:$B$801,0))=0,"",INDEX('Per Invoice'!$A$2:$A$801,MATCH($B2340,'Per Invoice'!$B$2:$B$801,0))),""))</f>
        <v/>
      </c>
      <c r="J2340" s="7">
        <f>IF($B2340="","",I2340*Q2340/100)</f>
        <v/>
      </c>
      <c r="N2340" s="7" t="n"/>
      <c r="O2340" s="7" t="n"/>
      <c r="P2340" s="7">
        <f>IF($B2340="","",O2340*X2340/100)</f>
        <v/>
      </c>
      <c r="Q2340" s="7">
        <f>IF($B2340="","",O2340-P2340)</f>
        <v/>
      </c>
      <c r="R2340" s="7">
        <f>IF($B2340="","",Q2340-J2340)</f>
        <v/>
      </c>
      <c r="S2340" s="7" t="n"/>
      <c r="T2340" s="7" t="n"/>
      <c r="V2340" s="14" t="n"/>
      <c r="Z2340">
        <f>IF($B2340="","",IF(COUNTIF($B$2:$B2340,$B2340)=1,1,0))</f>
        <v/>
      </c>
      <c r="AA2340">
        <f>IF($Z2340=1,SUMPRODUCT(--($AC$2:$AC$3001&lt;$AC2340))+1,"")</f>
        <v/>
      </c>
      <c r="AB2340">
        <f>IF($B2340="","",IF(OR($Y2340=TRUE(),$Y2340="TRUE"),1,IF(AND($Y2340&lt;&gt;"",OR($Y2340=FALSE(),$Y2340="FALSE")),0,IF(MIN(ABS($X2340/100-Settings!$C$6),ABS($X2340/100-Settings!$G$6))&lt;=MIN(ABS($X2340/100-Settings!$C$7),ABS($X2340/100-Settings!$G$7)),1,0))))</f>
        <v/>
      </c>
      <c r="AC2340">
        <f>IF($Z2340=1,IFERROR(IF(VALUE($B2340)&lt;100000000,VALUE($B2340),1000000000),IFERROR(IF(VALUE(MID($B2340,2,20))&lt;100000000,VALUE(MID($B2340,2,20)),1000000000),1000000000))+ROW()/100000,"")</f>
        <v/>
      </c>
    </row>
    <row r="2341">
      <c r="A2341">
        <f>IF($B2341="","",IFERROR(IF(INDEX('Per Invoice'!$A$2:$A$801,MATCH($B2341,'Per Invoice'!$B$2:$B$801,0))=0,"",INDEX('Per Invoice'!$A$2:$A$801,MATCH($B2341,'Per Invoice'!$B$2:$B$801,0))),""))</f>
        <v/>
      </c>
      <c r="J2341" s="7">
        <f>IF($B2341="","",I2341*Q2341/100)</f>
        <v/>
      </c>
      <c r="N2341" s="7" t="n"/>
      <c r="O2341" s="7" t="n"/>
      <c r="P2341" s="7">
        <f>IF($B2341="","",O2341*X2341/100)</f>
        <v/>
      </c>
      <c r="Q2341" s="7">
        <f>IF($B2341="","",O2341-P2341)</f>
        <v/>
      </c>
      <c r="R2341" s="7">
        <f>IF($B2341="","",Q2341-J2341)</f>
        <v/>
      </c>
      <c r="S2341" s="7" t="n"/>
      <c r="T2341" s="7" t="n"/>
      <c r="V2341" s="14" t="n"/>
      <c r="Z2341">
        <f>IF($B2341="","",IF(COUNTIF($B$2:$B2341,$B2341)=1,1,0))</f>
        <v/>
      </c>
      <c r="AA2341">
        <f>IF($Z2341=1,SUMPRODUCT(--($AC$2:$AC$3001&lt;$AC2341))+1,"")</f>
        <v/>
      </c>
      <c r="AB2341">
        <f>IF($B2341="","",IF(OR($Y2341=TRUE(),$Y2341="TRUE"),1,IF(AND($Y2341&lt;&gt;"",OR($Y2341=FALSE(),$Y2341="FALSE")),0,IF(MIN(ABS($X2341/100-Settings!$C$6),ABS($X2341/100-Settings!$G$6))&lt;=MIN(ABS($X2341/100-Settings!$C$7),ABS($X2341/100-Settings!$G$7)),1,0))))</f>
        <v/>
      </c>
      <c r="AC2341">
        <f>IF($Z2341=1,IFERROR(IF(VALUE($B2341)&lt;100000000,VALUE($B2341),1000000000),IFERROR(IF(VALUE(MID($B2341,2,20))&lt;100000000,VALUE(MID($B2341,2,20)),1000000000),1000000000))+ROW()/100000,"")</f>
        <v/>
      </c>
    </row>
    <row r="2342">
      <c r="A2342">
        <f>IF($B2342="","",IFERROR(IF(INDEX('Per Invoice'!$A$2:$A$801,MATCH($B2342,'Per Invoice'!$B$2:$B$801,0))=0,"",INDEX('Per Invoice'!$A$2:$A$801,MATCH($B2342,'Per Invoice'!$B$2:$B$801,0))),""))</f>
        <v/>
      </c>
      <c r="J2342" s="7">
        <f>IF($B2342="","",I2342*Q2342/100)</f>
        <v/>
      </c>
      <c r="N2342" s="7" t="n"/>
      <c r="O2342" s="7" t="n"/>
      <c r="P2342" s="7">
        <f>IF($B2342="","",O2342*X2342/100)</f>
        <v/>
      </c>
      <c r="Q2342" s="7">
        <f>IF($B2342="","",O2342-P2342)</f>
        <v/>
      </c>
      <c r="R2342" s="7">
        <f>IF($B2342="","",Q2342-J2342)</f>
        <v/>
      </c>
      <c r="S2342" s="7" t="n"/>
      <c r="T2342" s="7" t="n"/>
      <c r="V2342" s="14" t="n"/>
      <c r="Z2342">
        <f>IF($B2342="","",IF(COUNTIF($B$2:$B2342,$B2342)=1,1,0))</f>
        <v/>
      </c>
      <c r="AA2342">
        <f>IF($Z2342=1,SUMPRODUCT(--($AC$2:$AC$3001&lt;$AC2342))+1,"")</f>
        <v/>
      </c>
      <c r="AB2342">
        <f>IF($B2342="","",IF(OR($Y2342=TRUE(),$Y2342="TRUE"),1,IF(AND($Y2342&lt;&gt;"",OR($Y2342=FALSE(),$Y2342="FALSE")),0,IF(MIN(ABS($X2342/100-Settings!$C$6),ABS($X2342/100-Settings!$G$6))&lt;=MIN(ABS($X2342/100-Settings!$C$7),ABS($X2342/100-Settings!$G$7)),1,0))))</f>
        <v/>
      </c>
      <c r="AC2342">
        <f>IF($Z2342=1,IFERROR(IF(VALUE($B2342)&lt;100000000,VALUE($B2342),1000000000),IFERROR(IF(VALUE(MID($B2342,2,20))&lt;100000000,VALUE(MID($B2342,2,20)),1000000000),1000000000))+ROW()/100000,"")</f>
        <v/>
      </c>
    </row>
    <row r="2343">
      <c r="A2343">
        <f>IF($B2343="","",IFERROR(IF(INDEX('Per Invoice'!$A$2:$A$801,MATCH($B2343,'Per Invoice'!$B$2:$B$801,0))=0,"",INDEX('Per Invoice'!$A$2:$A$801,MATCH($B2343,'Per Invoice'!$B$2:$B$801,0))),""))</f>
        <v/>
      </c>
      <c r="J2343" s="7">
        <f>IF($B2343="","",I2343*Q2343/100)</f>
        <v/>
      </c>
      <c r="N2343" s="7" t="n"/>
      <c r="O2343" s="7" t="n"/>
      <c r="P2343" s="7">
        <f>IF($B2343="","",O2343*X2343/100)</f>
        <v/>
      </c>
      <c r="Q2343" s="7">
        <f>IF($B2343="","",O2343-P2343)</f>
        <v/>
      </c>
      <c r="R2343" s="7">
        <f>IF($B2343="","",Q2343-J2343)</f>
        <v/>
      </c>
      <c r="S2343" s="7" t="n"/>
      <c r="T2343" s="7" t="n"/>
      <c r="V2343" s="14" t="n"/>
      <c r="Z2343">
        <f>IF($B2343="","",IF(COUNTIF($B$2:$B2343,$B2343)=1,1,0))</f>
        <v/>
      </c>
      <c r="AA2343">
        <f>IF($Z2343=1,SUMPRODUCT(--($AC$2:$AC$3001&lt;$AC2343))+1,"")</f>
        <v/>
      </c>
      <c r="AB2343">
        <f>IF($B2343="","",IF(OR($Y2343=TRUE(),$Y2343="TRUE"),1,IF(AND($Y2343&lt;&gt;"",OR($Y2343=FALSE(),$Y2343="FALSE")),0,IF(MIN(ABS($X2343/100-Settings!$C$6),ABS($X2343/100-Settings!$G$6))&lt;=MIN(ABS($X2343/100-Settings!$C$7),ABS($X2343/100-Settings!$G$7)),1,0))))</f>
        <v/>
      </c>
      <c r="AC2343">
        <f>IF($Z2343=1,IFERROR(IF(VALUE($B2343)&lt;100000000,VALUE($B2343),1000000000),IFERROR(IF(VALUE(MID($B2343,2,20))&lt;100000000,VALUE(MID($B2343,2,20)),1000000000),1000000000))+ROW()/100000,"")</f>
        <v/>
      </c>
    </row>
    <row r="2344">
      <c r="A2344">
        <f>IF($B2344="","",IFERROR(IF(INDEX('Per Invoice'!$A$2:$A$801,MATCH($B2344,'Per Invoice'!$B$2:$B$801,0))=0,"",INDEX('Per Invoice'!$A$2:$A$801,MATCH($B2344,'Per Invoice'!$B$2:$B$801,0))),""))</f>
        <v/>
      </c>
      <c r="J2344" s="7">
        <f>IF($B2344="","",I2344*Q2344/100)</f>
        <v/>
      </c>
      <c r="N2344" s="7" t="n"/>
      <c r="O2344" s="7" t="n"/>
      <c r="P2344" s="7">
        <f>IF($B2344="","",O2344*X2344/100)</f>
        <v/>
      </c>
      <c r="Q2344" s="7">
        <f>IF($B2344="","",O2344-P2344)</f>
        <v/>
      </c>
      <c r="R2344" s="7">
        <f>IF($B2344="","",Q2344-J2344)</f>
        <v/>
      </c>
      <c r="S2344" s="7" t="n"/>
      <c r="T2344" s="7" t="n"/>
      <c r="V2344" s="14" t="n"/>
      <c r="Z2344">
        <f>IF($B2344="","",IF(COUNTIF($B$2:$B2344,$B2344)=1,1,0))</f>
        <v/>
      </c>
      <c r="AA2344">
        <f>IF($Z2344=1,SUMPRODUCT(--($AC$2:$AC$3001&lt;$AC2344))+1,"")</f>
        <v/>
      </c>
      <c r="AB2344">
        <f>IF($B2344="","",IF(OR($Y2344=TRUE(),$Y2344="TRUE"),1,IF(AND($Y2344&lt;&gt;"",OR($Y2344=FALSE(),$Y2344="FALSE")),0,IF(MIN(ABS($X2344/100-Settings!$C$6),ABS($X2344/100-Settings!$G$6))&lt;=MIN(ABS($X2344/100-Settings!$C$7),ABS($X2344/100-Settings!$G$7)),1,0))))</f>
        <v/>
      </c>
      <c r="AC2344">
        <f>IF($Z2344=1,IFERROR(IF(VALUE($B2344)&lt;100000000,VALUE($B2344),1000000000),IFERROR(IF(VALUE(MID($B2344,2,20))&lt;100000000,VALUE(MID($B2344,2,20)),1000000000),1000000000))+ROW()/100000,"")</f>
        <v/>
      </c>
    </row>
    <row r="2345">
      <c r="A2345">
        <f>IF($B2345="","",IFERROR(IF(INDEX('Per Invoice'!$A$2:$A$801,MATCH($B2345,'Per Invoice'!$B$2:$B$801,0))=0,"",INDEX('Per Invoice'!$A$2:$A$801,MATCH($B2345,'Per Invoice'!$B$2:$B$801,0))),""))</f>
        <v/>
      </c>
      <c r="J2345" s="7">
        <f>IF($B2345="","",I2345*Q2345/100)</f>
        <v/>
      </c>
      <c r="N2345" s="7" t="n"/>
      <c r="O2345" s="7" t="n"/>
      <c r="P2345" s="7">
        <f>IF($B2345="","",O2345*X2345/100)</f>
        <v/>
      </c>
      <c r="Q2345" s="7">
        <f>IF($B2345="","",O2345-P2345)</f>
        <v/>
      </c>
      <c r="R2345" s="7">
        <f>IF($B2345="","",Q2345-J2345)</f>
        <v/>
      </c>
      <c r="S2345" s="7" t="n"/>
      <c r="T2345" s="7" t="n"/>
      <c r="V2345" s="14" t="n"/>
      <c r="Z2345">
        <f>IF($B2345="","",IF(COUNTIF($B$2:$B2345,$B2345)=1,1,0))</f>
        <v/>
      </c>
      <c r="AA2345">
        <f>IF($Z2345=1,SUMPRODUCT(--($AC$2:$AC$3001&lt;$AC2345))+1,"")</f>
        <v/>
      </c>
      <c r="AB2345">
        <f>IF($B2345="","",IF(OR($Y2345=TRUE(),$Y2345="TRUE"),1,IF(AND($Y2345&lt;&gt;"",OR($Y2345=FALSE(),$Y2345="FALSE")),0,IF(MIN(ABS($X2345/100-Settings!$C$6),ABS($X2345/100-Settings!$G$6))&lt;=MIN(ABS($X2345/100-Settings!$C$7),ABS($X2345/100-Settings!$G$7)),1,0))))</f>
        <v/>
      </c>
      <c r="AC2345">
        <f>IF($Z2345=1,IFERROR(IF(VALUE($B2345)&lt;100000000,VALUE($B2345),1000000000),IFERROR(IF(VALUE(MID($B2345,2,20))&lt;100000000,VALUE(MID($B2345,2,20)),1000000000),1000000000))+ROW()/100000,"")</f>
        <v/>
      </c>
    </row>
    <row r="2346">
      <c r="A2346">
        <f>IF($B2346="","",IFERROR(IF(INDEX('Per Invoice'!$A$2:$A$801,MATCH($B2346,'Per Invoice'!$B$2:$B$801,0))=0,"",INDEX('Per Invoice'!$A$2:$A$801,MATCH($B2346,'Per Invoice'!$B$2:$B$801,0))),""))</f>
        <v/>
      </c>
      <c r="J2346" s="7">
        <f>IF($B2346="","",I2346*Q2346/100)</f>
        <v/>
      </c>
      <c r="N2346" s="7" t="n"/>
      <c r="O2346" s="7" t="n"/>
      <c r="P2346" s="7">
        <f>IF($B2346="","",O2346*X2346/100)</f>
        <v/>
      </c>
      <c r="Q2346" s="7">
        <f>IF($B2346="","",O2346-P2346)</f>
        <v/>
      </c>
      <c r="R2346" s="7">
        <f>IF($B2346="","",Q2346-J2346)</f>
        <v/>
      </c>
      <c r="S2346" s="7" t="n"/>
      <c r="T2346" s="7" t="n"/>
      <c r="V2346" s="14" t="n"/>
      <c r="Z2346">
        <f>IF($B2346="","",IF(COUNTIF($B$2:$B2346,$B2346)=1,1,0))</f>
        <v/>
      </c>
      <c r="AA2346">
        <f>IF($Z2346=1,SUMPRODUCT(--($AC$2:$AC$3001&lt;$AC2346))+1,"")</f>
        <v/>
      </c>
      <c r="AB2346">
        <f>IF($B2346="","",IF(OR($Y2346=TRUE(),$Y2346="TRUE"),1,IF(AND($Y2346&lt;&gt;"",OR($Y2346=FALSE(),$Y2346="FALSE")),0,IF(MIN(ABS($X2346/100-Settings!$C$6),ABS($X2346/100-Settings!$G$6))&lt;=MIN(ABS($X2346/100-Settings!$C$7),ABS($X2346/100-Settings!$G$7)),1,0))))</f>
        <v/>
      </c>
      <c r="AC2346">
        <f>IF($Z2346=1,IFERROR(IF(VALUE($B2346)&lt;100000000,VALUE($B2346),1000000000),IFERROR(IF(VALUE(MID($B2346,2,20))&lt;100000000,VALUE(MID($B2346,2,20)),1000000000),1000000000))+ROW()/100000,"")</f>
        <v/>
      </c>
    </row>
    <row r="2347">
      <c r="A2347">
        <f>IF($B2347="","",IFERROR(IF(INDEX('Per Invoice'!$A$2:$A$801,MATCH($B2347,'Per Invoice'!$B$2:$B$801,0))=0,"",INDEX('Per Invoice'!$A$2:$A$801,MATCH($B2347,'Per Invoice'!$B$2:$B$801,0))),""))</f>
        <v/>
      </c>
      <c r="J2347" s="7">
        <f>IF($B2347="","",I2347*Q2347/100)</f>
        <v/>
      </c>
      <c r="N2347" s="7" t="n"/>
      <c r="O2347" s="7" t="n"/>
      <c r="P2347" s="7">
        <f>IF($B2347="","",O2347*X2347/100)</f>
        <v/>
      </c>
      <c r="Q2347" s="7">
        <f>IF($B2347="","",O2347-P2347)</f>
        <v/>
      </c>
      <c r="R2347" s="7">
        <f>IF($B2347="","",Q2347-J2347)</f>
        <v/>
      </c>
      <c r="S2347" s="7" t="n"/>
      <c r="T2347" s="7" t="n"/>
      <c r="V2347" s="14" t="n"/>
      <c r="Z2347">
        <f>IF($B2347="","",IF(COUNTIF($B$2:$B2347,$B2347)=1,1,0))</f>
        <v/>
      </c>
      <c r="AA2347">
        <f>IF($Z2347=1,SUMPRODUCT(--($AC$2:$AC$3001&lt;$AC2347))+1,"")</f>
        <v/>
      </c>
      <c r="AB2347">
        <f>IF($B2347="","",IF(OR($Y2347=TRUE(),$Y2347="TRUE"),1,IF(AND($Y2347&lt;&gt;"",OR($Y2347=FALSE(),$Y2347="FALSE")),0,IF(MIN(ABS($X2347/100-Settings!$C$6),ABS($X2347/100-Settings!$G$6))&lt;=MIN(ABS($X2347/100-Settings!$C$7),ABS($X2347/100-Settings!$G$7)),1,0))))</f>
        <v/>
      </c>
      <c r="AC2347">
        <f>IF($Z2347=1,IFERROR(IF(VALUE($B2347)&lt;100000000,VALUE($B2347),1000000000),IFERROR(IF(VALUE(MID($B2347,2,20))&lt;100000000,VALUE(MID($B2347,2,20)),1000000000),1000000000))+ROW()/100000,"")</f>
        <v/>
      </c>
    </row>
    <row r="2348">
      <c r="A2348">
        <f>IF($B2348="","",IFERROR(IF(INDEX('Per Invoice'!$A$2:$A$801,MATCH($B2348,'Per Invoice'!$B$2:$B$801,0))=0,"",INDEX('Per Invoice'!$A$2:$A$801,MATCH($B2348,'Per Invoice'!$B$2:$B$801,0))),""))</f>
        <v/>
      </c>
      <c r="J2348" s="7">
        <f>IF($B2348="","",I2348*Q2348/100)</f>
        <v/>
      </c>
      <c r="N2348" s="7" t="n"/>
      <c r="O2348" s="7" t="n"/>
      <c r="P2348" s="7">
        <f>IF($B2348="","",O2348*X2348/100)</f>
        <v/>
      </c>
      <c r="Q2348" s="7">
        <f>IF($B2348="","",O2348-P2348)</f>
        <v/>
      </c>
      <c r="R2348" s="7">
        <f>IF($B2348="","",Q2348-J2348)</f>
        <v/>
      </c>
      <c r="S2348" s="7" t="n"/>
      <c r="T2348" s="7" t="n"/>
      <c r="V2348" s="14" t="n"/>
      <c r="Z2348">
        <f>IF($B2348="","",IF(COUNTIF($B$2:$B2348,$B2348)=1,1,0))</f>
        <v/>
      </c>
      <c r="AA2348">
        <f>IF($Z2348=1,SUMPRODUCT(--($AC$2:$AC$3001&lt;$AC2348))+1,"")</f>
        <v/>
      </c>
      <c r="AB2348">
        <f>IF($B2348="","",IF(OR($Y2348=TRUE(),$Y2348="TRUE"),1,IF(AND($Y2348&lt;&gt;"",OR($Y2348=FALSE(),$Y2348="FALSE")),0,IF(MIN(ABS($X2348/100-Settings!$C$6),ABS($X2348/100-Settings!$G$6))&lt;=MIN(ABS($X2348/100-Settings!$C$7),ABS($X2348/100-Settings!$G$7)),1,0))))</f>
        <v/>
      </c>
      <c r="AC2348">
        <f>IF($Z2348=1,IFERROR(IF(VALUE($B2348)&lt;100000000,VALUE($B2348),1000000000),IFERROR(IF(VALUE(MID($B2348,2,20))&lt;100000000,VALUE(MID($B2348,2,20)),1000000000),1000000000))+ROW()/100000,"")</f>
        <v/>
      </c>
    </row>
    <row r="2349">
      <c r="A2349">
        <f>IF($B2349="","",IFERROR(IF(INDEX('Per Invoice'!$A$2:$A$801,MATCH($B2349,'Per Invoice'!$B$2:$B$801,0))=0,"",INDEX('Per Invoice'!$A$2:$A$801,MATCH($B2349,'Per Invoice'!$B$2:$B$801,0))),""))</f>
        <v/>
      </c>
      <c r="J2349" s="7">
        <f>IF($B2349="","",I2349*Q2349/100)</f>
        <v/>
      </c>
      <c r="N2349" s="7" t="n"/>
      <c r="O2349" s="7" t="n"/>
      <c r="P2349" s="7">
        <f>IF($B2349="","",O2349*X2349/100)</f>
        <v/>
      </c>
      <c r="Q2349" s="7">
        <f>IF($B2349="","",O2349-P2349)</f>
        <v/>
      </c>
      <c r="R2349" s="7">
        <f>IF($B2349="","",Q2349-J2349)</f>
        <v/>
      </c>
      <c r="S2349" s="7" t="n"/>
      <c r="T2349" s="7" t="n"/>
      <c r="V2349" s="14" t="n"/>
      <c r="Z2349">
        <f>IF($B2349="","",IF(COUNTIF($B$2:$B2349,$B2349)=1,1,0))</f>
        <v/>
      </c>
      <c r="AA2349">
        <f>IF($Z2349=1,SUMPRODUCT(--($AC$2:$AC$3001&lt;$AC2349))+1,"")</f>
        <v/>
      </c>
      <c r="AB2349">
        <f>IF($B2349="","",IF(OR($Y2349=TRUE(),$Y2349="TRUE"),1,IF(AND($Y2349&lt;&gt;"",OR($Y2349=FALSE(),$Y2349="FALSE")),0,IF(MIN(ABS($X2349/100-Settings!$C$6),ABS($X2349/100-Settings!$G$6))&lt;=MIN(ABS($X2349/100-Settings!$C$7),ABS($X2349/100-Settings!$G$7)),1,0))))</f>
        <v/>
      </c>
      <c r="AC2349">
        <f>IF($Z2349=1,IFERROR(IF(VALUE($B2349)&lt;100000000,VALUE($B2349),1000000000),IFERROR(IF(VALUE(MID($B2349,2,20))&lt;100000000,VALUE(MID($B2349,2,20)),1000000000),1000000000))+ROW()/100000,"")</f>
        <v/>
      </c>
    </row>
    <row r="2350">
      <c r="A2350">
        <f>IF($B2350="","",IFERROR(IF(INDEX('Per Invoice'!$A$2:$A$801,MATCH($B2350,'Per Invoice'!$B$2:$B$801,0))=0,"",INDEX('Per Invoice'!$A$2:$A$801,MATCH($B2350,'Per Invoice'!$B$2:$B$801,0))),""))</f>
        <v/>
      </c>
      <c r="J2350" s="7">
        <f>IF($B2350="","",I2350*Q2350/100)</f>
        <v/>
      </c>
      <c r="N2350" s="7" t="n"/>
      <c r="O2350" s="7" t="n"/>
      <c r="P2350" s="7">
        <f>IF($B2350="","",O2350*X2350/100)</f>
        <v/>
      </c>
      <c r="Q2350" s="7">
        <f>IF($B2350="","",O2350-P2350)</f>
        <v/>
      </c>
      <c r="R2350" s="7">
        <f>IF($B2350="","",Q2350-J2350)</f>
        <v/>
      </c>
      <c r="S2350" s="7" t="n"/>
      <c r="T2350" s="7" t="n"/>
      <c r="V2350" s="14" t="n"/>
      <c r="Z2350">
        <f>IF($B2350="","",IF(COUNTIF($B$2:$B2350,$B2350)=1,1,0))</f>
        <v/>
      </c>
      <c r="AA2350">
        <f>IF($Z2350=1,SUMPRODUCT(--($AC$2:$AC$3001&lt;$AC2350))+1,"")</f>
        <v/>
      </c>
      <c r="AB2350">
        <f>IF($B2350="","",IF(OR($Y2350=TRUE(),$Y2350="TRUE"),1,IF(AND($Y2350&lt;&gt;"",OR($Y2350=FALSE(),$Y2350="FALSE")),0,IF(MIN(ABS($X2350/100-Settings!$C$6),ABS($X2350/100-Settings!$G$6))&lt;=MIN(ABS($X2350/100-Settings!$C$7),ABS($X2350/100-Settings!$G$7)),1,0))))</f>
        <v/>
      </c>
      <c r="AC2350">
        <f>IF($Z2350=1,IFERROR(IF(VALUE($B2350)&lt;100000000,VALUE($B2350),1000000000),IFERROR(IF(VALUE(MID($B2350,2,20))&lt;100000000,VALUE(MID($B2350,2,20)),1000000000),1000000000))+ROW()/100000,"")</f>
        <v/>
      </c>
    </row>
    <row r="2351">
      <c r="A2351">
        <f>IF($B2351="","",IFERROR(IF(INDEX('Per Invoice'!$A$2:$A$801,MATCH($B2351,'Per Invoice'!$B$2:$B$801,0))=0,"",INDEX('Per Invoice'!$A$2:$A$801,MATCH($B2351,'Per Invoice'!$B$2:$B$801,0))),""))</f>
        <v/>
      </c>
      <c r="J2351" s="7">
        <f>IF($B2351="","",I2351*Q2351/100)</f>
        <v/>
      </c>
      <c r="N2351" s="7" t="n"/>
      <c r="O2351" s="7" t="n"/>
      <c r="P2351" s="7">
        <f>IF($B2351="","",O2351*X2351/100)</f>
        <v/>
      </c>
      <c r="Q2351" s="7">
        <f>IF($B2351="","",O2351-P2351)</f>
        <v/>
      </c>
      <c r="R2351" s="7">
        <f>IF($B2351="","",Q2351-J2351)</f>
        <v/>
      </c>
      <c r="S2351" s="7" t="n"/>
      <c r="T2351" s="7" t="n"/>
      <c r="V2351" s="14" t="n"/>
      <c r="Z2351">
        <f>IF($B2351="","",IF(COUNTIF($B$2:$B2351,$B2351)=1,1,0))</f>
        <v/>
      </c>
      <c r="AA2351">
        <f>IF($Z2351=1,SUMPRODUCT(--($AC$2:$AC$3001&lt;$AC2351))+1,"")</f>
        <v/>
      </c>
      <c r="AB2351">
        <f>IF($B2351="","",IF(OR($Y2351=TRUE(),$Y2351="TRUE"),1,IF(AND($Y2351&lt;&gt;"",OR($Y2351=FALSE(),$Y2351="FALSE")),0,IF(MIN(ABS($X2351/100-Settings!$C$6),ABS($X2351/100-Settings!$G$6))&lt;=MIN(ABS($X2351/100-Settings!$C$7),ABS($X2351/100-Settings!$G$7)),1,0))))</f>
        <v/>
      </c>
      <c r="AC2351">
        <f>IF($Z2351=1,IFERROR(IF(VALUE($B2351)&lt;100000000,VALUE($B2351),1000000000),IFERROR(IF(VALUE(MID($B2351,2,20))&lt;100000000,VALUE(MID($B2351,2,20)),1000000000),1000000000))+ROW()/100000,"")</f>
        <v/>
      </c>
    </row>
    <row r="2352">
      <c r="A2352">
        <f>IF($B2352="","",IFERROR(IF(INDEX('Per Invoice'!$A$2:$A$801,MATCH($B2352,'Per Invoice'!$B$2:$B$801,0))=0,"",INDEX('Per Invoice'!$A$2:$A$801,MATCH($B2352,'Per Invoice'!$B$2:$B$801,0))),""))</f>
        <v/>
      </c>
      <c r="J2352" s="7">
        <f>IF($B2352="","",I2352*Q2352/100)</f>
        <v/>
      </c>
      <c r="N2352" s="7" t="n"/>
      <c r="O2352" s="7" t="n"/>
      <c r="P2352" s="7">
        <f>IF($B2352="","",O2352*X2352/100)</f>
        <v/>
      </c>
      <c r="Q2352" s="7">
        <f>IF($B2352="","",O2352-P2352)</f>
        <v/>
      </c>
      <c r="R2352" s="7">
        <f>IF($B2352="","",Q2352-J2352)</f>
        <v/>
      </c>
      <c r="S2352" s="7" t="n"/>
      <c r="T2352" s="7" t="n"/>
      <c r="V2352" s="14" t="n"/>
      <c r="Z2352">
        <f>IF($B2352="","",IF(COUNTIF($B$2:$B2352,$B2352)=1,1,0))</f>
        <v/>
      </c>
      <c r="AA2352">
        <f>IF($Z2352=1,SUMPRODUCT(--($AC$2:$AC$3001&lt;$AC2352))+1,"")</f>
        <v/>
      </c>
      <c r="AB2352">
        <f>IF($B2352="","",IF(OR($Y2352=TRUE(),$Y2352="TRUE"),1,IF(AND($Y2352&lt;&gt;"",OR($Y2352=FALSE(),$Y2352="FALSE")),0,IF(MIN(ABS($X2352/100-Settings!$C$6),ABS($X2352/100-Settings!$G$6))&lt;=MIN(ABS($X2352/100-Settings!$C$7),ABS($X2352/100-Settings!$G$7)),1,0))))</f>
        <v/>
      </c>
      <c r="AC2352">
        <f>IF($Z2352=1,IFERROR(IF(VALUE($B2352)&lt;100000000,VALUE($B2352),1000000000),IFERROR(IF(VALUE(MID($B2352,2,20))&lt;100000000,VALUE(MID($B2352,2,20)),1000000000),1000000000))+ROW()/100000,"")</f>
        <v/>
      </c>
    </row>
    <row r="2353">
      <c r="A2353">
        <f>IF($B2353="","",IFERROR(IF(INDEX('Per Invoice'!$A$2:$A$801,MATCH($B2353,'Per Invoice'!$B$2:$B$801,0))=0,"",INDEX('Per Invoice'!$A$2:$A$801,MATCH($B2353,'Per Invoice'!$B$2:$B$801,0))),""))</f>
        <v/>
      </c>
      <c r="J2353" s="7">
        <f>IF($B2353="","",I2353*Q2353/100)</f>
        <v/>
      </c>
      <c r="N2353" s="7" t="n"/>
      <c r="O2353" s="7" t="n"/>
      <c r="P2353" s="7">
        <f>IF($B2353="","",O2353*X2353/100)</f>
        <v/>
      </c>
      <c r="Q2353" s="7">
        <f>IF($B2353="","",O2353-P2353)</f>
        <v/>
      </c>
      <c r="R2353" s="7">
        <f>IF($B2353="","",Q2353-J2353)</f>
        <v/>
      </c>
      <c r="S2353" s="7" t="n"/>
      <c r="T2353" s="7" t="n"/>
      <c r="V2353" s="14" t="n"/>
      <c r="Z2353">
        <f>IF($B2353="","",IF(COUNTIF($B$2:$B2353,$B2353)=1,1,0))</f>
        <v/>
      </c>
      <c r="AA2353">
        <f>IF($Z2353=1,SUMPRODUCT(--($AC$2:$AC$3001&lt;$AC2353))+1,"")</f>
        <v/>
      </c>
      <c r="AB2353">
        <f>IF($B2353="","",IF(OR($Y2353=TRUE(),$Y2353="TRUE"),1,IF(AND($Y2353&lt;&gt;"",OR($Y2353=FALSE(),$Y2353="FALSE")),0,IF(MIN(ABS($X2353/100-Settings!$C$6),ABS($X2353/100-Settings!$G$6))&lt;=MIN(ABS($X2353/100-Settings!$C$7),ABS($X2353/100-Settings!$G$7)),1,0))))</f>
        <v/>
      </c>
      <c r="AC2353">
        <f>IF($Z2353=1,IFERROR(IF(VALUE($B2353)&lt;100000000,VALUE($B2353),1000000000),IFERROR(IF(VALUE(MID($B2353,2,20))&lt;100000000,VALUE(MID($B2353,2,20)),1000000000),1000000000))+ROW()/100000,"")</f>
        <v/>
      </c>
    </row>
    <row r="2354">
      <c r="A2354">
        <f>IF($B2354="","",IFERROR(IF(INDEX('Per Invoice'!$A$2:$A$801,MATCH($B2354,'Per Invoice'!$B$2:$B$801,0))=0,"",INDEX('Per Invoice'!$A$2:$A$801,MATCH($B2354,'Per Invoice'!$B$2:$B$801,0))),""))</f>
        <v/>
      </c>
      <c r="J2354" s="7">
        <f>IF($B2354="","",I2354*Q2354/100)</f>
        <v/>
      </c>
      <c r="N2354" s="7" t="n"/>
      <c r="O2354" s="7" t="n"/>
      <c r="P2354" s="7">
        <f>IF($B2354="","",O2354*X2354/100)</f>
        <v/>
      </c>
      <c r="Q2354" s="7">
        <f>IF($B2354="","",O2354-P2354)</f>
        <v/>
      </c>
      <c r="R2354" s="7">
        <f>IF($B2354="","",Q2354-J2354)</f>
        <v/>
      </c>
      <c r="S2354" s="7" t="n"/>
      <c r="T2354" s="7" t="n"/>
      <c r="V2354" s="14" t="n"/>
      <c r="Z2354">
        <f>IF($B2354="","",IF(COUNTIF($B$2:$B2354,$B2354)=1,1,0))</f>
        <v/>
      </c>
      <c r="AA2354">
        <f>IF($Z2354=1,SUMPRODUCT(--($AC$2:$AC$3001&lt;$AC2354))+1,"")</f>
        <v/>
      </c>
      <c r="AB2354">
        <f>IF($B2354="","",IF(OR($Y2354=TRUE(),$Y2354="TRUE"),1,IF(AND($Y2354&lt;&gt;"",OR($Y2354=FALSE(),$Y2354="FALSE")),0,IF(MIN(ABS($X2354/100-Settings!$C$6),ABS($X2354/100-Settings!$G$6))&lt;=MIN(ABS($X2354/100-Settings!$C$7),ABS($X2354/100-Settings!$G$7)),1,0))))</f>
        <v/>
      </c>
      <c r="AC2354">
        <f>IF($Z2354=1,IFERROR(IF(VALUE($B2354)&lt;100000000,VALUE($B2354),1000000000),IFERROR(IF(VALUE(MID($B2354,2,20))&lt;100000000,VALUE(MID($B2354,2,20)),1000000000),1000000000))+ROW()/100000,"")</f>
        <v/>
      </c>
    </row>
    <row r="2355">
      <c r="A2355">
        <f>IF($B2355="","",IFERROR(IF(INDEX('Per Invoice'!$A$2:$A$801,MATCH($B2355,'Per Invoice'!$B$2:$B$801,0))=0,"",INDEX('Per Invoice'!$A$2:$A$801,MATCH($B2355,'Per Invoice'!$B$2:$B$801,0))),""))</f>
        <v/>
      </c>
      <c r="J2355" s="7">
        <f>IF($B2355="","",I2355*Q2355/100)</f>
        <v/>
      </c>
      <c r="N2355" s="7" t="n"/>
      <c r="O2355" s="7" t="n"/>
      <c r="P2355" s="7">
        <f>IF($B2355="","",O2355*X2355/100)</f>
        <v/>
      </c>
      <c r="Q2355" s="7">
        <f>IF($B2355="","",O2355-P2355)</f>
        <v/>
      </c>
      <c r="R2355" s="7">
        <f>IF($B2355="","",Q2355-J2355)</f>
        <v/>
      </c>
      <c r="S2355" s="7" t="n"/>
      <c r="T2355" s="7" t="n"/>
      <c r="V2355" s="14" t="n"/>
      <c r="Z2355">
        <f>IF($B2355="","",IF(COUNTIF($B$2:$B2355,$B2355)=1,1,0))</f>
        <v/>
      </c>
      <c r="AA2355">
        <f>IF($Z2355=1,SUMPRODUCT(--($AC$2:$AC$3001&lt;$AC2355))+1,"")</f>
        <v/>
      </c>
      <c r="AB2355">
        <f>IF($B2355="","",IF(OR($Y2355=TRUE(),$Y2355="TRUE"),1,IF(AND($Y2355&lt;&gt;"",OR($Y2355=FALSE(),$Y2355="FALSE")),0,IF(MIN(ABS($X2355/100-Settings!$C$6),ABS($X2355/100-Settings!$G$6))&lt;=MIN(ABS($X2355/100-Settings!$C$7),ABS($X2355/100-Settings!$G$7)),1,0))))</f>
        <v/>
      </c>
      <c r="AC2355">
        <f>IF($Z2355=1,IFERROR(IF(VALUE($B2355)&lt;100000000,VALUE($B2355),1000000000),IFERROR(IF(VALUE(MID($B2355,2,20))&lt;100000000,VALUE(MID($B2355,2,20)),1000000000),1000000000))+ROW()/100000,"")</f>
        <v/>
      </c>
    </row>
    <row r="2356">
      <c r="A2356">
        <f>IF($B2356="","",IFERROR(IF(INDEX('Per Invoice'!$A$2:$A$801,MATCH($B2356,'Per Invoice'!$B$2:$B$801,0))=0,"",INDEX('Per Invoice'!$A$2:$A$801,MATCH($B2356,'Per Invoice'!$B$2:$B$801,0))),""))</f>
        <v/>
      </c>
      <c r="J2356" s="7">
        <f>IF($B2356="","",I2356*Q2356/100)</f>
        <v/>
      </c>
      <c r="N2356" s="7" t="n"/>
      <c r="O2356" s="7" t="n"/>
      <c r="P2356" s="7">
        <f>IF($B2356="","",O2356*X2356/100)</f>
        <v/>
      </c>
      <c r="Q2356" s="7">
        <f>IF($B2356="","",O2356-P2356)</f>
        <v/>
      </c>
      <c r="R2356" s="7">
        <f>IF($B2356="","",Q2356-J2356)</f>
        <v/>
      </c>
      <c r="S2356" s="7" t="n"/>
      <c r="T2356" s="7" t="n"/>
      <c r="V2356" s="14" t="n"/>
      <c r="Z2356">
        <f>IF($B2356="","",IF(COUNTIF($B$2:$B2356,$B2356)=1,1,0))</f>
        <v/>
      </c>
      <c r="AA2356">
        <f>IF($Z2356=1,SUMPRODUCT(--($AC$2:$AC$3001&lt;$AC2356))+1,"")</f>
        <v/>
      </c>
      <c r="AB2356">
        <f>IF($B2356="","",IF(OR($Y2356=TRUE(),$Y2356="TRUE"),1,IF(AND($Y2356&lt;&gt;"",OR($Y2356=FALSE(),$Y2356="FALSE")),0,IF(MIN(ABS($X2356/100-Settings!$C$6),ABS($X2356/100-Settings!$G$6))&lt;=MIN(ABS($X2356/100-Settings!$C$7),ABS($X2356/100-Settings!$G$7)),1,0))))</f>
        <v/>
      </c>
      <c r="AC2356">
        <f>IF($Z2356=1,IFERROR(IF(VALUE($B2356)&lt;100000000,VALUE($B2356),1000000000),IFERROR(IF(VALUE(MID($B2356,2,20))&lt;100000000,VALUE(MID($B2356,2,20)),1000000000),1000000000))+ROW()/100000,"")</f>
        <v/>
      </c>
    </row>
    <row r="2357">
      <c r="A2357">
        <f>IF($B2357="","",IFERROR(IF(INDEX('Per Invoice'!$A$2:$A$801,MATCH($B2357,'Per Invoice'!$B$2:$B$801,0))=0,"",INDEX('Per Invoice'!$A$2:$A$801,MATCH($B2357,'Per Invoice'!$B$2:$B$801,0))),""))</f>
        <v/>
      </c>
      <c r="J2357" s="7">
        <f>IF($B2357="","",I2357*Q2357/100)</f>
        <v/>
      </c>
      <c r="N2357" s="7" t="n"/>
      <c r="O2357" s="7" t="n"/>
      <c r="P2357" s="7">
        <f>IF($B2357="","",O2357*X2357/100)</f>
        <v/>
      </c>
      <c r="Q2357" s="7">
        <f>IF($B2357="","",O2357-P2357)</f>
        <v/>
      </c>
      <c r="R2357" s="7">
        <f>IF($B2357="","",Q2357-J2357)</f>
        <v/>
      </c>
      <c r="S2357" s="7" t="n"/>
      <c r="T2357" s="7" t="n"/>
      <c r="V2357" s="14" t="n"/>
      <c r="Z2357">
        <f>IF($B2357="","",IF(COUNTIF($B$2:$B2357,$B2357)=1,1,0))</f>
        <v/>
      </c>
      <c r="AA2357">
        <f>IF($Z2357=1,SUMPRODUCT(--($AC$2:$AC$3001&lt;$AC2357))+1,"")</f>
        <v/>
      </c>
      <c r="AB2357">
        <f>IF($B2357="","",IF(OR($Y2357=TRUE(),$Y2357="TRUE"),1,IF(AND($Y2357&lt;&gt;"",OR($Y2357=FALSE(),$Y2357="FALSE")),0,IF(MIN(ABS($X2357/100-Settings!$C$6),ABS($X2357/100-Settings!$G$6))&lt;=MIN(ABS($X2357/100-Settings!$C$7),ABS($X2357/100-Settings!$G$7)),1,0))))</f>
        <v/>
      </c>
      <c r="AC2357">
        <f>IF($Z2357=1,IFERROR(IF(VALUE($B2357)&lt;100000000,VALUE($B2357),1000000000),IFERROR(IF(VALUE(MID($B2357,2,20))&lt;100000000,VALUE(MID($B2357,2,20)),1000000000),1000000000))+ROW()/100000,"")</f>
        <v/>
      </c>
    </row>
    <row r="2358">
      <c r="A2358">
        <f>IF($B2358="","",IFERROR(IF(INDEX('Per Invoice'!$A$2:$A$801,MATCH($B2358,'Per Invoice'!$B$2:$B$801,0))=0,"",INDEX('Per Invoice'!$A$2:$A$801,MATCH($B2358,'Per Invoice'!$B$2:$B$801,0))),""))</f>
        <v/>
      </c>
      <c r="J2358" s="7">
        <f>IF($B2358="","",I2358*Q2358/100)</f>
        <v/>
      </c>
      <c r="N2358" s="7" t="n"/>
      <c r="O2358" s="7" t="n"/>
      <c r="P2358" s="7">
        <f>IF($B2358="","",O2358*X2358/100)</f>
        <v/>
      </c>
      <c r="Q2358" s="7">
        <f>IF($B2358="","",O2358-P2358)</f>
        <v/>
      </c>
      <c r="R2358" s="7">
        <f>IF($B2358="","",Q2358-J2358)</f>
        <v/>
      </c>
      <c r="S2358" s="7" t="n"/>
      <c r="T2358" s="7" t="n"/>
      <c r="V2358" s="14" t="n"/>
      <c r="Z2358">
        <f>IF($B2358="","",IF(COUNTIF($B$2:$B2358,$B2358)=1,1,0))</f>
        <v/>
      </c>
      <c r="AA2358">
        <f>IF($Z2358=1,SUMPRODUCT(--($AC$2:$AC$3001&lt;$AC2358))+1,"")</f>
        <v/>
      </c>
      <c r="AB2358">
        <f>IF($B2358="","",IF(OR($Y2358=TRUE(),$Y2358="TRUE"),1,IF(AND($Y2358&lt;&gt;"",OR($Y2358=FALSE(),$Y2358="FALSE")),0,IF(MIN(ABS($X2358/100-Settings!$C$6),ABS($X2358/100-Settings!$G$6))&lt;=MIN(ABS($X2358/100-Settings!$C$7),ABS($X2358/100-Settings!$G$7)),1,0))))</f>
        <v/>
      </c>
      <c r="AC2358">
        <f>IF($Z2358=1,IFERROR(IF(VALUE($B2358)&lt;100000000,VALUE($B2358),1000000000),IFERROR(IF(VALUE(MID($B2358,2,20))&lt;100000000,VALUE(MID($B2358,2,20)),1000000000),1000000000))+ROW()/100000,"")</f>
        <v/>
      </c>
    </row>
    <row r="2359">
      <c r="A2359">
        <f>IF($B2359="","",IFERROR(IF(INDEX('Per Invoice'!$A$2:$A$801,MATCH($B2359,'Per Invoice'!$B$2:$B$801,0))=0,"",INDEX('Per Invoice'!$A$2:$A$801,MATCH($B2359,'Per Invoice'!$B$2:$B$801,0))),""))</f>
        <v/>
      </c>
      <c r="J2359" s="7">
        <f>IF($B2359="","",I2359*Q2359/100)</f>
        <v/>
      </c>
      <c r="N2359" s="7" t="n"/>
      <c r="O2359" s="7" t="n"/>
      <c r="P2359" s="7">
        <f>IF($B2359="","",O2359*X2359/100)</f>
        <v/>
      </c>
      <c r="Q2359" s="7">
        <f>IF($B2359="","",O2359-P2359)</f>
        <v/>
      </c>
      <c r="R2359" s="7">
        <f>IF($B2359="","",Q2359-J2359)</f>
        <v/>
      </c>
      <c r="S2359" s="7" t="n"/>
      <c r="T2359" s="7" t="n"/>
      <c r="V2359" s="14" t="n"/>
      <c r="Z2359">
        <f>IF($B2359="","",IF(COUNTIF($B$2:$B2359,$B2359)=1,1,0))</f>
        <v/>
      </c>
      <c r="AA2359">
        <f>IF($Z2359=1,SUMPRODUCT(--($AC$2:$AC$3001&lt;$AC2359))+1,"")</f>
        <v/>
      </c>
      <c r="AB2359">
        <f>IF($B2359="","",IF(OR($Y2359=TRUE(),$Y2359="TRUE"),1,IF(AND($Y2359&lt;&gt;"",OR($Y2359=FALSE(),$Y2359="FALSE")),0,IF(MIN(ABS($X2359/100-Settings!$C$6),ABS($X2359/100-Settings!$G$6))&lt;=MIN(ABS($X2359/100-Settings!$C$7),ABS($X2359/100-Settings!$G$7)),1,0))))</f>
        <v/>
      </c>
      <c r="AC2359">
        <f>IF($Z2359=1,IFERROR(IF(VALUE($B2359)&lt;100000000,VALUE($B2359),1000000000),IFERROR(IF(VALUE(MID($B2359,2,20))&lt;100000000,VALUE(MID($B2359,2,20)),1000000000),1000000000))+ROW()/100000,"")</f>
        <v/>
      </c>
    </row>
    <row r="2360">
      <c r="A2360">
        <f>IF($B2360="","",IFERROR(IF(INDEX('Per Invoice'!$A$2:$A$801,MATCH($B2360,'Per Invoice'!$B$2:$B$801,0))=0,"",INDEX('Per Invoice'!$A$2:$A$801,MATCH($B2360,'Per Invoice'!$B$2:$B$801,0))),""))</f>
        <v/>
      </c>
      <c r="J2360" s="7">
        <f>IF($B2360="","",I2360*Q2360/100)</f>
        <v/>
      </c>
      <c r="N2360" s="7" t="n"/>
      <c r="O2360" s="7" t="n"/>
      <c r="P2360" s="7">
        <f>IF($B2360="","",O2360*X2360/100)</f>
        <v/>
      </c>
      <c r="Q2360" s="7">
        <f>IF($B2360="","",O2360-P2360)</f>
        <v/>
      </c>
      <c r="R2360" s="7">
        <f>IF($B2360="","",Q2360-J2360)</f>
        <v/>
      </c>
      <c r="S2360" s="7" t="n"/>
      <c r="T2360" s="7" t="n"/>
      <c r="V2360" s="14" t="n"/>
      <c r="Z2360">
        <f>IF($B2360="","",IF(COUNTIF($B$2:$B2360,$B2360)=1,1,0))</f>
        <v/>
      </c>
      <c r="AA2360">
        <f>IF($Z2360=1,SUMPRODUCT(--($AC$2:$AC$3001&lt;$AC2360))+1,"")</f>
        <v/>
      </c>
      <c r="AB2360">
        <f>IF($B2360="","",IF(OR($Y2360=TRUE(),$Y2360="TRUE"),1,IF(AND($Y2360&lt;&gt;"",OR($Y2360=FALSE(),$Y2360="FALSE")),0,IF(MIN(ABS($X2360/100-Settings!$C$6),ABS($X2360/100-Settings!$G$6))&lt;=MIN(ABS($X2360/100-Settings!$C$7),ABS($X2360/100-Settings!$G$7)),1,0))))</f>
        <v/>
      </c>
      <c r="AC2360">
        <f>IF($Z2360=1,IFERROR(IF(VALUE($B2360)&lt;100000000,VALUE($B2360),1000000000),IFERROR(IF(VALUE(MID($B2360,2,20))&lt;100000000,VALUE(MID($B2360,2,20)),1000000000),1000000000))+ROW()/100000,"")</f>
        <v/>
      </c>
    </row>
    <row r="2361">
      <c r="A2361">
        <f>IF($B2361="","",IFERROR(IF(INDEX('Per Invoice'!$A$2:$A$801,MATCH($B2361,'Per Invoice'!$B$2:$B$801,0))=0,"",INDEX('Per Invoice'!$A$2:$A$801,MATCH($B2361,'Per Invoice'!$B$2:$B$801,0))),""))</f>
        <v/>
      </c>
      <c r="J2361" s="7">
        <f>IF($B2361="","",I2361*Q2361/100)</f>
        <v/>
      </c>
      <c r="N2361" s="7" t="n"/>
      <c r="O2361" s="7" t="n"/>
      <c r="P2361" s="7">
        <f>IF($B2361="","",O2361*X2361/100)</f>
        <v/>
      </c>
      <c r="Q2361" s="7">
        <f>IF($B2361="","",O2361-P2361)</f>
        <v/>
      </c>
      <c r="R2361" s="7">
        <f>IF($B2361="","",Q2361-J2361)</f>
        <v/>
      </c>
      <c r="S2361" s="7" t="n"/>
      <c r="T2361" s="7" t="n"/>
      <c r="V2361" s="14" t="n"/>
      <c r="Z2361">
        <f>IF($B2361="","",IF(COUNTIF($B$2:$B2361,$B2361)=1,1,0))</f>
        <v/>
      </c>
      <c r="AA2361">
        <f>IF($Z2361=1,SUMPRODUCT(--($AC$2:$AC$3001&lt;$AC2361))+1,"")</f>
        <v/>
      </c>
      <c r="AB2361">
        <f>IF($B2361="","",IF(OR($Y2361=TRUE(),$Y2361="TRUE"),1,IF(AND($Y2361&lt;&gt;"",OR($Y2361=FALSE(),$Y2361="FALSE")),0,IF(MIN(ABS($X2361/100-Settings!$C$6),ABS($X2361/100-Settings!$G$6))&lt;=MIN(ABS($X2361/100-Settings!$C$7),ABS($X2361/100-Settings!$G$7)),1,0))))</f>
        <v/>
      </c>
      <c r="AC2361">
        <f>IF($Z2361=1,IFERROR(IF(VALUE($B2361)&lt;100000000,VALUE($B2361),1000000000),IFERROR(IF(VALUE(MID($B2361,2,20))&lt;100000000,VALUE(MID($B2361,2,20)),1000000000),1000000000))+ROW()/100000,"")</f>
        <v/>
      </c>
    </row>
    <row r="2362">
      <c r="A2362">
        <f>IF($B2362="","",IFERROR(IF(INDEX('Per Invoice'!$A$2:$A$801,MATCH($B2362,'Per Invoice'!$B$2:$B$801,0))=0,"",INDEX('Per Invoice'!$A$2:$A$801,MATCH($B2362,'Per Invoice'!$B$2:$B$801,0))),""))</f>
        <v/>
      </c>
      <c r="J2362" s="7">
        <f>IF($B2362="","",I2362*Q2362/100)</f>
        <v/>
      </c>
      <c r="N2362" s="7" t="n"/>
      <c r="O2362" s="7" t="n"/>
      <c r="P2362" s="7">
        <f>IF($B2362="","",O2362*X2362/100)</f>
        <v/>
      </c>
      <c r="Q2362" s="7">
        <f>IF($B2362="","",O2362-P2362)</f>
        <v/>
      </c>
      <c r="R2362" s="7">
        <f>IF($B2362="","",Q2362-J2362)</f>
        <v/>
      </c>
      <c r="S2362" s="7" t="n"/>
      <c r="T2362" s="7" t="n"/>
      <c r="V2362" s="14" t="n"/>
      <c r="Z2362">
        <f>IF($B2362="","",IF(COUNTIF($B$2:$B2362,$B2362)=1,1,0))</f>
        <v/>
      </c>
      <c r="AA2362">
        <f>IF($Z2362=1,SUMPRODUCT(--($AC$2:$AC$3001&lt;$AC2362))+1,"")</f>
        <v/>
      </c>
      <c r="AB2362">
        <f>IF($B2362="","",IF(OR($Y2362=TRUE(),$Y2362="TRUE"),1,IF(AND($Y2362&lt;&gt;"",OR($Y2362=FALSE(),$Y2362="FALSE")),0,IF(MIN(ABS($X2362/100-Settings!$C$6),ABS($X2362/100-Settings!$G$6))&lt;=MIN(ABS($X2362/100-Settings!$C$7),ABS($X2362/100-Settings!$G$7)),1,0))))</f>
        <v/>
      </c>
      <c r="AC2362">
        <f>IF($Z2362=1,IFERROR(IF(VALUE($B2362)&lt;100000000,VALUE($B2362),1000000000),IFERROR(IF(VALUE(MID($B2362,2,20))&lt;100000000,VALUE(MID($B2362,2,20)),1000000000),1000000000))+ROW()/100000,"")</f>
        <v/>
      </c>
    </row>
    <row r="2363">
      <c r="A2363">
        <f>IF($B2363="","",IFERROR(IF(INDEX('Per Invoice'!$A$2:$A$801,MATCH($B2363,'Per Invoice'!$B$2:$B$801,0))=0,"",INDEX('Per Invoice'!$A$2:$A$801,MATCH($B2363,'Per Invoice'!$B$2:$B$801,0))),""))</f>
        <v/>
      </c>
      <c r="J2363" s="7">
        <f>IF($B2363="","",I2363*Q2363/100)</f>
        <v/>
      </c>
      <c r="N2363" s="7" t="n"/>
      <c r="O2363" s="7" t="n"/>
      <c r="P2363" s="7">
        <f>IF($B2363="","",O2363*X2363/100)</f>
        <v/>
      </c>
      <c r="Q2363" s="7">
        <f>IF($B2363="","",O2363-P2363)</f>
        <v/>
      </c>
      <c r="R2363" s="7">
        <f>IF($B2363="","",Q2363-J2363)</f>
        <v/>
      </c>
      <c r="S2363" s="7" t="n"/>
      <c r="T2363" s="7" t="n"/>
      <c r="V2363" s="14" t="n"/>
      <c r="Z2363">
        <f>IF($B2363="","",IF(COUNTIF($B$2:$B2363,$B2363)=1,1,0))</f>
        <v/>
      </c>
      <c r="AA2363">
        <f>IF($Z2363=1,SUMPRODUCT(--($AC$2:$AC$3001&lt;$AC2363))+1,"")</f>
        <v/>
      </c>
      <c r="AB2363">
        <f>IF($B2363="","",IF(OR($Y2363=TRUE(),$Y2363="TRUE"),1,IF(AND($Y2363&lt;&gt;"",OR($Y2363=FALSE(),$Y2363="FALSE")),0,IF(MIN(ABS($X2363/100-Settings!$C$6),ABS($X2363/100-Settings!$G$6))&lt;=MIN(ABS($X2363/100-Settings!$C$7),ABS($X2363/100-Settings!$G$7)),1,0))))</f>
        <v/>
      </c>
      <c r="AC2363">
        <f>IF($Z2363=1,IFERROR(IF(VALUE($B2363)&lt;100000000,VALUE($B2363),1000000000),IFERROR(IF(VALUE(MID($B2363,2,20))&lt;100000000,VALUE(MID($B2363,2,20)),1000000000),1000000000))+ROW()/100000,"")</f>
        <v/>
      </c>
    </row>
    <row r="2364">
      <c r="A2364">
        <f>IF($B2364="","",IFERROR(IF(INDEX('Per Invoice'!$A$2:$A$801,MATCH($B2364,'Per Invoice'!$B$2:$B$801,0))=0,"",INDEX('Per Invoice'!$A$2:$A$801,MATCH($B2364,'Per Invoice'!$B$2:$B$801,0))),""))</f>
        <v/>
      </c>
      <c r="J2364" s="7">
        <f>IF($B2364="","",I2364*Q2364/100)</f>
        <v/>
      </c>
      <c r="N2364" s="7" t="n"/>
      <c r="O2364" s="7" t="n"/>
      <c r="P2364" s="7">
        <f>IF($B2364="","",O2364*X2364/100)</f>
        <v/>
      </c>
      <c r="Q2364" s="7">
        <f>IF($B2364="","",O2364-P2364)</f>
        <v/>
      </c>
      <c r="R2364" s="7">
        <f>IF($B2364="","",Q2364-J2364)</f>
        <v/>
      </c>
      <c r="S2364" s="7" t="n"/>
      <c r="T2364" s="7" t="n"/>
      <c r="V2364" s="14" t="n"/>
      <c r="Z2364">
        <f>IF($B2364="","",IF(COUNTIF($B$2:$B2364,$B2364)=1,1,0))</f>
        <v/>
      </c>
      <c r="AA2364">
        <f>IF($Z2364=1,SUMPRODUCT(--($AC$2:$AC$3001&lt;$AC2364))+1,"")</f>
        <v/>
      </c>
      <c r="AB2364">
        <f>IF($B2364="","",IF(OR($Y2364=TRUE(),$Y2364="TRUE"),1,IF(AND($Y2364&lt;&gt;"",OR($Y2364=FALSE(),$Y2364="FALSE")),0,IF(MIN(ABS($X2364/100-Settings!$C$6),ABS($X2364/100-Settings!$G$6))&lt;=MIN(ABS($X2364/100-Settings!$C$7),ABS($X2364/100-Settings!$G$7)),1,0))))</f>
        <v/>
      </c>
      <c r="AC2364">
        <f>IF($Z2364=1,IFERROR(IF(VALUE($B2364)&lt;100000000,VALUE($B2364),1000000000),IFERROR(IF(VALUE(MID($B2364,2,20))&lt;100000000,VALUE(MID($B2364,2,20)),1000000000),1000000000))+ROW()/100000,"")</f>
        <v/>
      </c>
    </row>
    <row r="2365">
      <c r="A2365">
        <f>IF($B2365="","",IFERROR(IF(INDEX('Per Invoice'!$A$2:$A$801,MATCH($B2365,'Per Invoice'!$B$2:$B$801,0))=0,"",INDEX('Per Invoice'!$A$2:$A$801,MATCH($B2365,'Per Invoice'!$B$2:$B$801,0))),""))</f>
        <v/>
      </c>
      <c r="J2365" s="7">
        <f>IF($B2365="","",I2365*Q2365/100)</f>
        <v/>
      </c>
      <c r="N2365" s="7" t="n"/>
      <c r="O2365" s="7" t="n"/>
      <c r="P2365" s="7">
        <f>IF($B2365="","",O2365*X2365/100)</f>
        <v/>
      </c>
      <c r="Q2365" s="7">
        <f>IF($B2365="","",O2365-P2365)</f>
        <v/>
      </c>
      <c r="R2365" s="7">
        <f>IF($B2365="","",Q2365-J2365)</f>
        <v/>
      </c>
      <c r="S2365" s="7" t="n"/>
      <c r="T2365" s="7" t="n"/>
      <c r="V2365" s="14" t="n"/>
      <c r="Z2365">
        <f>IF($B2365="","",IF(COUNTIF($B$2:$B2365,$B2365)=1,1,0))</f>
        <v/>
      </c>
      <c r="AA2365">
        <f>IF($Z2365=1,SUMPRODUCT(--($AC$2:$AC$3001&lt;$AC2365))+1,"")</f>
        <v/>
      </c>
      <c r="AB2365">
        <f>IF($B2365="","",IF(OR($Y2365=TRUE(),$Y2365="TRUE"),1,IF(AND($Y2365&lt;&gt;"",OR($Y2365=FALSE(),$Y2365="FALSE")),0,IF(MIN(ABS($X2365/100-Settings!$C$6),ABS($X2365/100-Settings!$G$6))&lt;=MIN(ABS($X2365/100-Settings!$C$7),ABS($X2365/100-Settings!$G$7)),1,0))))</f>
        <v/>
      </c>
      <c r="AC2365">
        <f>IF($Z2365=1,IFERROR(IF(VALUE($B2365)&lt;100000000,VALUE($B2365),1000000000),IFERROR(IF(VALUE(MID($B2365,2,20))&lt;100000000,VALUE(MID($B2365,2,20)),1000000000),1000000000))+ROW()/100000,"")</f>
        <v/>
      </c>
    </row>
    <row r="2366">
      <c r="A2366">
        <f>IF($B2366="","",IFERROR(IF(INDEX('Per Invoice'!$A$2:$A$801,MATCH($B2366,'Per Invoice'!$B$2:$B$801,0))=0,"",INDEX('Per Invoice'!$A$2:$A$801,MATCH($B2366,'Per Invoice'!$B$2:$B$801,0))),""))</f>
        <v/>
      </c>
      <c r="J2366" s="7">
        <f>IF($B2366="","",I2366*Q2366/100)</f>
        <v/>
      </c>
      <c r="N2366" s="7" t="n"/>
      <c r="O2366" s="7" t="n"/>
      <c r="P2366" s="7">
        <f>IF($B2366="","",O2366*X2366/100)</f>
        <v/>
      </c>
      <c r="Q2366" s="7">
        <f>IF($B2366="","",O2366-P2366)</f>
        <v/>
      </c>
      <c r="R2366" s="7">
        <f>IF($B2366="","",Q2366-J2366)</f>
        <v/>
      </c>
      <c r="S2366" s="7" t="n"/>
      <c r="T2366" s="7" t="n"/>
      <c r="V2366" s="14" t="n"/>
      <c r="Z2366">
        <f>IF($B2366="","",IF(COUNTIF($B$2:$B2366,$B2366)=1,1,0))</f>
        <v/>
      </c>
      <c r="AA2366">
        <f>IF($Z2366=1,SUMPRODUCT(--($AC$2:$AC$3001&lt;$AC2366))+1,"")</f>
        <v/>
      </c>
      <c r="AB2366">
        <f>IF($B2366="","",IF(OR($Y2366=TRUE(),$Y2366="TRUE"),1,IF(AND($Y2366&lt;&gt;"",OR($Y2366=FALSE(),$Y2366="FALSE")),0,IF(MIN(ABS($X2366/100-Settings!$C$6),ABS($X2366/100-Settings!$G$6))&lt;=MIN(ABS($X2366/100-Settings!$C$7),ABS($X2366/100-Settings!$G$7)),1,0))))</f>
        <v/>
      </c>
      <c r="AC2366">
        <f>IF($Z2366=1,IFERROR(IF(VALUE($B2366)&lt;100000000,VALUE($B2366),1000000000),IFERROR(IF(VALUE(MID($B2366,2,20))&lt;100000000,VALUE(MID($B2366,2,20)),1000000000),1000000000))+ROW()/100000,"")</f>
        <v/>
      </c>
    </row>
    <row r="2367">
      <c r="A2367">
        <f>IF($B2367="","",IFERROR(IF(INDEX('Per Invoice'!$A$2:$A$801,MATCH($B2367,'Per Invoice'!$B$2:$B$801,0))=0,"",INDEX('Per Invoice'!$A$2:$A$801,MATCH($B2367,'Per Invoice'!$B$2:$B$801,0))),""))</f>
        <v/>
      </c>
      <c r="J2367" s="7">
        <f>IF($B2367="","",I2367*Q2367/100)</f>
        <v/>
      </c>
      <c r="N2367" s="7" t="n"/>
      <c r="O2367" s="7" t="n"/>
      <c r="P2367" s="7">
        <f>IF($B2367="","",O2367*X2367/100)</f>
        <v/>
      </c>
      <c r="Q2367" s="7">
        <f>IF($B2367="","",O2367-P2367)</f>
        <v/>
      </c>
      <c r="R2367" s="7">
        <f>IF($B2367="","",Q2367-J2367)</f>
        <v/>
      </c>
      <c r="S2367" s="7" t="n"/>
      <c r="T2367" s="7" t="n"/>
      <c r="V2367" s="14" t="n"/>
      <c r="Z2367">
        <f>IF($B2367="","",IF(COUNTIF($B$2:$B2367,$B2367)=1,1,0))</f>
        <v/>
      </c>
      <c r="AA2367">
        <f>IF($Z2367=1,SUMPRODUCT(--($AC$2:$AC$3001&lt;$AC2367))+1,"")</f>
        <v/>
      </c>
      <c r="AB2367">
        <f>IF($B2367="","",IF(OR($Y2367=TRUE(),$Y2367="TRUE"),1,IF(AND($Y2367&lt;&gt;"",OR($Y2367=FALSE(),$Y2367="FALSE")),0,IF(MIN(ABS($X2367/100-Settings!$C$6),ABS($X2367/100-Settings!$G$6))&lt;=MIN(ABS($X2367/100-Settings!$C$7),ABS($X2367/100-Settings!$G$7)),1,0))))</f>
        <v/>
      </c>
      <c r="AC2367">
        <f>IF($Z2367=1,IFERROR(IF(VALUE($B2367)&lt;100000000,VALUE($B2367),1000000000),IFERROR(IF(VALUE(MID($B2367,2,20))&lt;100000000,VALUE(MID($B2367,2,20)),1000000000),1000000000))+ROW()/100000,"")</f>
        <v/>
      </c>
    </row>
    <row r="2368">
      <c r="A2368">
        <f>IF($B2368="","",IFERROR(IF(INDEX('Per Invoice'!$A$2:$A$801,MATCH($B2368,'Per Invoice'!$B$2:$B$801,0))=0,"",INDEX('Per Invoice'!$A$2:$A$801,MATCH($B2368,'Per Invoice'!$B$2:$B$801,0))),""))</f>
        <v/>
      </c>
      <c r="J2368" s="7">
        <f>IF($B2368="","",I2368*Q2368/100)</f>
        <v/>
      </c>
      <c r="N2368" s="7" t="n"/>
      <c r="O2368" s="7" t="n"/>
      <c r="P2368" s="7">
        <f>IF($B2368="","",O2368*X2368/100)</f>
        <v/>
      </c>
      <c r="Q2368" s="7">
        <f>IF($B2368="","",O2368-P2368)</f>
        <v/>
      </c>
      <c r="R2368" s="7">
        <f>IF($B2368="","",Q2368-J2368)</f>
        <v/>
      </c>
      <c r="S2368" s="7" t="n"/>
      <c r="T2368" s="7" t="n"/>
      <c r="V2368" s="14" t="n"/>
      <c r="Z2368">
        <f>IF($B2368="","",IF(COUNTIF($B$2:$B2368,$B2368)=1,1,0))</f>
        <v/>
      </c>
      <c r="AA2368">
        <f>IF($Z2368=1,SUMPRODUCT(--($AC$2:$AC$3001&lt;$AC2368))+1,"")</f>
        <v/>
      </c>
      <c r="AB2368">
        <f>IF($B2368="","",IF(OR($Y2368=TRUE(),$Y2368="TRUE"),1,IF(AND($Y2368&lt;&gt;"",OR($Y2368=FALSE(),$Y2368="FALSE")),0,IF(MIN(ABS($X2368/100-Settings!$C$6),ABS($X2368/100-Settings!$G$6))&lt;=MIN(ABS($X2368/100-Settings!$C$7),ABS($X2368/100-Settings!$G$7)),1,0))))</f>
        <v/>
      </c>
      <c r="AC2368">
        <f>IF($Z2368=1,IFERROR(IF(VALUE($B2368)&lt;100000000,VALUE($B2368),1000000000),IFERROR(IF(VALUE(MID($B2368,2,20))&lt;100000000,VALUE(MID($B2368,2,20)),1000000000),1000000000))+ROW()/100000,"")</f>
        <v/>
      </c>
    </row>
    <row r="2369">
      <c r="A2369">
        <f>IF($B2369="","",IFERROR(IF(INDEX('Per Invoice'!$A$2:$A$801,MATCH($B2369,'Per Invoice'!$B$2:$B$801,0))=0,"",INDEX('Per Invoice'!$A$2:$A$801,MATCH($B2369,'Per Invoice'!$B$2:$B$801,0))),""))</f>
        <v/>
      </c>
      <c r="J2369" s="7">
        <f>IF($B2369="","",I2369*Q2369/100)</f>
        <v/>
      </c>
      <c r="N2369" s="7" t="n"/>
      <c r="O2369" s="7" t="n"/>
      <c r="P2369" s="7">
        <f>IF($B2369="","",O2369*X2369/100)</f>
        <v/>
      </c>
      <c r="Q2369" s="7">
        <f>IF($B2369="","",O2369-P2369)</f>
        <v/>
      </c>
      <c r="R2369" s="7">
        <f>IF($B2369="","",Q2369-J2369)</f>
        <v/>
      </c>
      <c r="S2369" s="7" t="n"/>
      <c r="T2369" s="7" t="n"/>
      <c r="V2369" s="14" t="n"/>
      <c r="Z2369">
        <f>IF($B2369="","",IF(COUNTIF($B$2:$B2369,$B2369)=1,1,0))</f>
        <v/>
      </c>
      <c r="AA2369">
        <f>IF($Z2369=1,SUMPRODUCT(--($AC$2:$AC$3001&lt;$AC2369))+1,"")</f>
        <v/>
      </c>
      <c r="AB2369">
        <f>IF($B2369="","",IF(OR($Y2369=TRUE(),$Y2369="TRUE"),1,IF(AND($Y2369&lt;&gt;"",OR($Y2369=FALSE(),$Y2369="FALSE")),0,IF(MIN(ABS($X2369/100-Settings!$C$6),ABS($X2369/100-Settings!$G$6))&lt;=MIN(ABS($X2369/100-Settings!$C$7),ABS($X2369/100-Settings!$G$7)),1,0))))</f>
        <v/>
      </c>
      <c r="AC2369">
        <f>IF($Z2369=1,IFERROR(IF(VALUE($B2369)&lt;100000000,VALUE($B2369),1000000000),IFERROR(IF(VALUE(MID($B2369,2,20))&lt;100000000,VALUE(MID($B2369,2,20)),1000000000),1000000000))+ROW()/100000,"")</f>
        <v/>
      </c>
    </row>
    <row r="2370">
      <c r="A2370">
        <f>IF($B2370="","",IFERROR(IF(INDEX('Per Invoice'!$A$2:$A$801,MATCH($B2370,'Per Invoice'!$B$2:$B$801,0))=0,"",INDEX('Per Invoice'!$A$2:$A$801,MATCH($B2370,'Per Invoice'!$B$2:$B$801,0))),""))</f>
        <v/>
      </c>
      <c r="J2370" s="7">
        <f>IF($B2370="","",I2370*Q2370/100)</f>
        <v/>
      </c>
      <c r="N2370" s="7" t="n"/>
      <c r="O2370" s="7" t="n"/>
      <c r="P2370" s="7">
        <f>IF($B2370="","",O2370*X2370/100)</f>
        <v/>
      </c>
      <c r="Q2370" s="7">
        <f>IF($B2370="","",O2370-P2370)</f>
        <v/>
      </c>
      <c r="R2370" s="7">
        <f>IF($B2370="","",Q2370-J2370)</f>
        <v/>
      </c>
      <c r="S2370" s="7" t="n"/>
      <c r="T2370" s="7" t="n"/>
      <c r="V2370" s="14" t="n"/>
      <c r="Z2370">
        <f>IF($B2370="","",IF(COUNTIF($B$2:$B2370,$B2370)=1,1,0))</f>
        <v/>
      </c>
      <c r="AA2370">
        <f>IF($Z2370=1,SUMPRODUCT(--($AC$2:$AC$3001&lt;$AC2370))+1,"")</f>
        <v/>
      </c>
      <c r="AB2370">
        <f>IF($B2370="","",IF(OR($Y2370=TRUE(),$Y2370="TRUE"),1,IF(AND($Y2370&lt;&gt;"",OR($Y2370=FALSE(),$Y2370="FALSE")),0,IF(MIN(ABS($X2370/100-Settings!$C$6),ABS($X2370/100-Settings!$G$6))&lt;=MIN(ABS($X2370/100-Settings!$C$7),ABS($X2370/100-Settings!$G$7)),1,0))))</f>
        <v/>
      </c>
      <c r="AC2370">
        <f>IF($Z2370=1,IFERROR(IF(VALUE($B2370)&lt;100000000,VALUE($B2370),1000000000),IFERROR(IF(VALUE(MID($B2370,2,20))&lt;100000000,VALUE(MID($B2370,2,20)),1000000000),1000000000))+ROW()/100000,"")</f>
        <v/>
      </c>
    </row>
    <row r="2371">
      <c r="A2371">
        <f>IF($B2371="","",IFERROR(IF(INDEX('Per Invoice'!$A$2:$A$801,MATCH($B2371,'Per Invoice'!$B$2:$B$801,0))=0,"",INDEX('Per Invoice'!$A$2:$A$801,MATCH($B2371,'Per Invoice'!$B$2:$B$801,0))),""))</f>
        <v/>
      </c>
      <c r="J2371" s="7">
        <f>IF($B2371="","",I2371*Q2371/100)</f>
        <v/>
      </c>
      <c r="N2371" s="7" t="n"/>
      <c r="O2371" s="7" t="n"/>
      <c r="P2371" s="7">
        <f>IF($B2371="","",O2371*X2371/100)</f>
        <v/>
      </c>
      <c r="Q2371" s="7">
        <f>IF($B2371="","",O2371-P2371)</f>
        <v/>
      </c>
      <c r="R2371" s="7">
        <f>IF($B2371="","",Q2371-J2371)</f>
        <v/>
      </c>
      <c r="S2371" s="7" t="n"/>
      <c r="T2371" s="7" t="n"/>
      <c r="V2371" s="14" t="n"/>
      <c r="Z2371">
        <f>IF($B2371="","",IF(COUNTIF($B$2:$B2371,$B2371)=1,1,0))</f>
        <v/>
      </c>
      <c r="AA2371">
        <f>IF($Z2371=1,SUMPRODUCT(--($AC$2:$AC$3001&lt;$AC2371))+1,"")</f>
        <v/>
      </c>
      <c r="AB2371">
        <f>IF($B2371="","",IF(OR($Y2371=TRUE(),$Y2371="TRUE"),1,IF(AND($Y2371&lt;&gt;"",OR($Y2371=FALSE(),$Y2371="FALSE")),0,IF(MIN(ABS($X2371/100-Settings!$C$6),ABS($X2371/100-Settings!$G$6))&lt;=MIN(ABS($X2371/100-Settings!$C$7),ABS($X2371/100-Settings!$G$7)),1,0))))</f>
        <v/>
      </c>
      <c r="AC2371">
        <f>IF($Z2371=1,IFERROR(IF(VALUE($B2371)&lt;100000000,VALUE($B2371),1000000000),IFERROR(IF(VALUE(MID($B2371,2,20))&lt;100000000,VALUE(MID($B2371,2,20)),1000000000),1000000000))+ROW()/100000,"")</f>
        <v/>
      </c>
    </row>
    <row r="2372">
      <c r="A2372">
        <f>IF($B2372="","",IFERROR(IF(INDEX('Per Invoice'!$A$2:$A$801,MATCH($B2372,'Per Invoice'!$B$2:$B$801,0))=0,"",INDEX('Per Invoice'!$A$2:$A$801,MATCH($B2372,'Per Invoice'!$B$2:$B$801,0))),""))</f>
        <v/>
      </c>
      <c r="J2372" s="7">
        <f>IF($B2372="","",I2372*Q2372/100)</f>
        <v/>
      </c>
      <c r="N2372" s="7" t="n"/>
      <c r="O2372" s="7" t="n"/>
      <c r="P2372" s="7">
        <f>IF($B2372="","",O2372*X2372/100)</f>
        <v/>
      </c>
      <c r="Q2372" s="7">
        <f>IF($B2372="","",O2372-P2372)</f>
        <v/>
      </c>
      <c r="R2372" s="7">
        <f>IF($B2372="","",Q2372-J2372)</f>
        <v/>
      </c>
      <c r="S2372" s="7" t="n"/>
      <c r="T2372" s="7" t="n"/>
      <c r="V2372" s="14" t="n"/>
      <c r="Z2372">
        <f>IF($B2372="","",IF(COUNTIF($B$2:$B2372,$B2372)=1,1,0))</f>
        <v/>
      </c>
      <c r="AA2372">
        <f>IF($Z2372=1,SUMPRODUCT(--($AC$2:$AC$3001&lt;$AC2372))+1,"")</f>
        <v/>
      </c>
      <c r="AB2372">
        <f>IF($B2372="","",IF(OR($Y2372=TRUE(),$Y2372="TRUE"),1,IF(AND($Y2372&lt;&gt;"",OR($Y2372=FALSE(),$Y2372="FALSE")),0,IF(MIN(ABS($X2372/100-Settings!$C$6),ABS($X2372/100-Settings!$G$6))&lt;=MIN(ABS($X2372/100-Settings!$C$7),ABS($X2372/100-Settings!$G$7)),1,0))))</f>
        <v/>
      </c>
      <c r="AC2372">
        <f>IF($Z2372=1,IFERROR(IF(VALUE($B2372)&lt;100000000,VALUE($B2372),1000000000),IFERROR(IF(VALUE(MID($B2372,2,20))&lt;100000000,VALUE(MID($B2372,2,20)),1000000000),1000000000))+ROW()/100000,"")</f>
        <v/>
      </c>
    </row>
    <row r="2373">
      <c r="A2373">
        <f>IF($B2373="","",IFERROR(IF(INDEX('Per Invoice'!$A$2:$A$801,MATCH($B2373,'Per Invoice'!$B$2:$B$801,0))=0,"",INDEX('Per Invoice'!$A$2:$A$801,MATCH($B2373,'Per Invoice'!$B$2:$B$801,0))),""))</f>
        <v/>
      </c>
      <c r="J2373" s="7">
        <f>IF($B2373="","",I2373*Q2373/100)</f>
        <v/>
      </c>
      <c r="N2373" s="7" t="n"/>
      <c r="O2373" s="7" t="n"/>
      <c r="P2373" s="7">
        <f>IF($B2373="","",O2373*X2373/100)</f>
        <v/>
      </c>
      <c r="Q2373" s="7">
        <f>IF($B2373="","",O2373-P2373)</f>
        <v/>
      </c>
      <c r="R2373" s="7">
        <f>IF($B2373="","",Q2373-J2373)</f>
        <v/>
      </c>
      <c r="S2373" s="7" t="n"/>
      <c r="T2373" s="7" t="n"/>
      <c r="V2373" s="14" t="n"/>
      <c r="Z2373">
        <f>IF($B2373="","",IF(COUNTIF($B$2:$B2373,$B2373)=1,1,0))</f>
        <v/>
      </c>
      <c r="AA2373">
        <f>IF($Z2373=1,SUMPRODUCT(--($AC$2:$AC$3001&lt;$AC2373))+1,"")</f>
        <v/>
      </c>
      <c r="AB2373">
        <f>IF($B2373="","",IF(OR($Y2373=TRUE(),$Y2373="TRUE"),1,IF(AND($Y2373&lt;&gt;"",OR($Y2373=FALSE(),$Y2373="FALSE")),0,IF(MIN(ABS($X2373/100-Settings!$C$6),ABS($X2373/100-Settings!$G$6))&lt;=MIN(ABS($X2373/100-Settings!$C$7),ABS($X2373/100-Settings!$G$7)),1,0))))</f>
        <v/>
      </c>
      <c r="AC2373">
        <f>IF($Z2373=1,IFERROR(IF(VALUE($B2373)&lt;100000000,VALUE($B2373),1000000000),IFERROR(IF(VALUE(MID($B2373,2,20))&lt;100000000,VALUE(MID($B2373,2,20)),1000000000),1000000000))+ROW()/100000,"")</f>
        <v/>
      </c>
    </row>
    <row r="2374">
      <c r="A2374">
        <f>IF($B2374="","",IFERROR(IF(INDEX('Per Invoice'!$A$2:$A$801,MATCH($B2374,'Per Invoice'!$B$2:$B$801,0))=0,"",INDEX('Per Invoice'!$A$2:$A$801,MATCH($B2374,'Per Invoice'!$B$2:$B$801,0))),""))</f>
        <v/>
      </c>
      <c r="J2374" s="7">
        <f>IF($B2374="","",I2374*Q2374/100)</f>
        <v/>
      </c>
      <c r="N2374" s="7" t="n"/>
      <c r="O2374" s="7" t="n"/>
      <c r="P2374" s="7">
        <f>IF($B2374="","",O2374*X2374/100)</f>
        <v/>
      </c>
      <c r="Q2374" s="7">
        <f>IF($B2374="","",O2374-P2374)</f>
        <v/>
      </c>
      <c r="R2374" s="7">
        <f>IF($B2374="","",Q2374-J2374)</f>
        <v/>
      </c>
      <c r="S2374" s="7" t="n"/>
      <c r="T2374" s="7" t="n"/>
      <c r="V2374" s="14" t="n"/>
      <c r="Z2374">
        <f>IF($B2374="","",IF(COUNTIF($B$2:$B2374,$B2374)=1,1,0))</f>
        <v/>
      </c>
      <c r="AA2374">
        <f>IF($Z2374=1,SUMPRODUCT(--($AC$2:$AC$3001&lt;$AC2374))+1,"")</f>
        <v/>
      </c>
      <c r="AB2374">
        <f>IF($B2374="","",IF(OR($Y2374=TRUE(),$Y2374="TRUE"),1,IF(AND($Y2374&lt;&gt;"",OR($Y2374=FALSE(),$Y2374="FALSE")),0,IF(MIN(ABS($X2374/100-Settings!$C$6),ABS($X2374/100-Settings!$G$6))&lt;=MIN(ABS($X2374/100-Settings!$C$7),ABS($X2374/100-Settings!$G$7)),1,0))))</f>
        <v/>
      </c>
      <c r="AC2374">
        <f>IF($Z2374=1,IFERROR(IF(VALUE($B2374)&lt;100000000,VALUE($B2374),1000000000),IFERROR(IF(VALUE(MID($B2374,2,20))&lt;100000000,VALUE(MID($B2374,2,20)),1000000000),1000000000))+ROW()/100000,"")</f>
        <v/>
      </c>
    </row>
    <row r="2375">
      <c r="A2375">
        <f>IF($B2375="","",IFERROR(IF(INDEX('Per Invoice'!$A$2:$A$801,MATCH($B2375,'Per Invoice'!$B$2:$B$801,0))=0,"",INDEX('Per Invoice'!$A$2:$A$801,MATCH($B2375,'Per Invoice'!$B$2:$B$801,0))),""))</f>
        <v/>
      </c>
      <c r="J2375" s="7">
        <f>IF($B2375="","",I2375*Q2375/100)</f>
        <v/>
      </c>
      <c r="N2375" s="7" t="n"/>
      <c r="O2375" s="7" t="n"/>
      <c r="P2375" s="7">
        <f>IF($B2375="","",O2375*X2375/100)</f>
        <v/>
      </c>
      <c r="Q2375" s="7">
        <f>IF($B2375="","",O2375-P2375)</f>
        <v/>
      </c>
      <c r="R2375" s="7">
        <f>IF($B2375="","",Q2375-J2375)</f>
        <v/>
      </c>
      <c r="S2375" s="7" t="n"/>
      <c r="T2375" s="7" t="n"/>
      <c r="V2375" s="14" t="n"/>
      <c r="Z2375">
        <f>IF($B2375="","",IF(COUNTIF($B$2:$B2375,$B2375)=1,1,0))</f>
        <v/>
      </c>
      <c r="AA2375">
        <f>IF($Z2375=1,SUMPRODUCT(--($AC$2:$AC$3001&lt;$AC2375))+1,"")</f>
        <v/>
      </c>
      <c r="AB2375">
        <f>IF($B2375="","",IF(OR($Y2375=TRUE(),$Y2375="TRUE"),1,IF(AND($Y2375&lt;&gt;"",OR($Y2375=FALSE(),$Y2375="FALSE")),0,IF(MIN(ABS($X2375/100-Settings!$C$6),ABS($X2375/100-Settings!$G$6))&lt;=MIN(ABS($X2375/100-Settings!$C$7),ABS($X2375/100-Settings!$G$7)),1,0))))</f>
        <v/>
      </c>
      <c r="AC2375">
        <f>IF($Z2375=1,IFERROR(IF(VALUE($B2375)&lt;100000000,VALUE($B2375),1000000000),IFERROR(IF(VALUE(MID($B2375,2,20))&lt;100000000,VALUE(MID($B2375,2,20)),1000000000),1000000000))+ROW()/100000,"")</f>
        <v/>
      </c>
    </row>
    <row r="2376">
      <c r="A2376">
        <f>IF($B2376="","",IFERROR(IF(INDEX('Per Invoice'!$A$2:$A$801,MATCH($B2376,'Per Invoice'!$B$2:$B$801,0))=0,"",INDEX('Per Invoice'!$A$2:$A$801,MATCH($B2376,'Per Invoice'!$B$2:$B$801,0))),""))</f>
        <v/>
      </c>
      <c r="J2376" s="7">
        <f>IF($B2376="","",I2376*Q2376/100)</f>
        <v/>
      </c>
      <c r="N2376" s="7" t="n"/>
      <c r="O2376" s="7" t="n"/>
      <c r="P2376" s="7">
        <f>IF($B2376="","",O2376*X2376/100)</f>
        <v/>
      </c>
      <c r="Q2376" s="7">
        <f>IF($B2376="","",O2376-P2376)</f>
        <v/>
      </c>
      <c r="R2376" s="7">
        <f>IF($B2376="","",Q2376-J2376)</f>
        <v/>
      </c>
      <c r="S2376" s="7" t="n"/>
      <c r="T2376" s="7" t="n"/>
      <c r="V2376" s="14" t="n"/>
      <c r="Z2376">
        <f>IF($B2376="","",IF(COUNTIF($B$2:$B2376,$B2376)=1,1,0))</f>
        <v/>
      </c>
      <c r="AA2376">
        <f>IF($Z2376=1,SUMPRODUCT(--($AC$2:$AC$3001&lt;$AC2376))+1,"")</f>
        <v/>
      </c>
      <c r="AB2376">
        <f>IF($B2376="","",IF(OR($Y2376=TRUE(),$Y2376="TRUE"),1,IF(AND($Y2376&lt;&gt;"",OR($Y2376=FALSE(),$Y2376="FALSE")),0,IF(MIN(ABS($X2376/100-Settings!$C$6),ABS($X2376/100-Settings!$G$6))&lt;=MIN(ABS($X2376/100-Settings!$C$7),ABS($X2376/100-Settings!$G$7)),1,0))))</f>
        <v/>
      </c>
      <c r="AC2376">
        <f>IF($Z2376=1,IFERROR(IF(VALUE($B2376)&lt;100000000,VALUE($B2376),1000000000),IFERROR(IF(VALUE(MID($B2376,2,20))&lt;100000000,VALUE(MID($B2376,2,20)),1000000000),1000000000))+ROW()/100000,"")</f>
        <v/>
      </c>
    </row>
    <row r="2377">
      <c r="A2377">
        <f>IF($B2377="","",IFERROR(IF(INDEX('Per Invoice'!$A$2:$A$801,MATCH($B2377,'Per Invoice'!$B$2:$B$801,0))=0,"",INDEX('Per Invoice'!$A$2:$A$801,MATCH($B2377,'Per Invoice'!$B$2:$B$801,0))),""))</f>
        <v/>
      </c>
      <c r="J2377" s="7">
        <f>IF($B2377="","",I2377*Q2377/100)</f>
        <v/>
      </c>
      <c r="N2377" s="7" t="n"/>
      <c r="O2377" s="7" t="n"/>
      <c r="P2377" s="7">
        <f>IF($B2377="","",O2377*X2377/100)</f>
        <v/>
      </c>
      <c r="Q2377" s="7">
        <f>IF($B2377="","",O2377-P2377)</f>
        <v/>
      </c>
      <c r="R2377" s="7">
        <f>IF($B2377="","",Q2377-J2377)</f>
        <v/>
      </c>
      <c r="S2377" s="7" t="n"/>
      <c r="T2377" s="7" t="n"/>
      <c r="V2377" s="14" t="n"/>
      <c r="Z2377">
        <f>IF($B2377="","",IF(COUNTIF($B$2:$B2377,$B2377)=1,1,0))</f>
        <v/>
      </c>
      <c r="AA2377">
        <f>IF($Z2377=1,SUMPRODUCT(--($AC$2:$AC$3001&lt;$AC2377))+1,"")</f>
        <v/>
      </c>
      <c r="AB2377">
        <f>IF($B2377="","",IF(OR($Y2377=TRUE(),$Y2377="TRUE"),1,IF(AND($Y2377&lt;&gt;"",OR($Y2377=FALSE(),$Y2377="FALSE")),0,IF(MIN(ABS($X2377/100-Settings!$C$6),ABS($X2377/100-Settings!$G$6))&lt;=MIN(ABS($X2377/100-Settings!$C$7),ABS($X2377/100-Settings!$G$7)),1,0))))</f>
        <v/>
      </c>
      <c r="AC2377">
        <f>IF($Z2377=1,IFERROR(IF(VALUE($B2377)&lt;100000000,VALUE($B2377),1000000000),IFERROR(IF(VALUE(MID($B2377,2,20))&lt;100000000,VALUE(MID($B2377,2,20)),1000000000),1000000000))+ROW()/100000,"")</f>
        <v/>
      </c>
    </row>
    <row r="2378">
      <c r="A2378">
        <f>IF($B2378="","",IFERROR(IF(INDEX('Per Invoice'!$A$2:$A$801,MATCH($B2378,'Per Invoice'!$B$2:$B$801,0))=0,"",INDEX('Per Invoice'!$A$2:$A$801,MATCH($B2378,'Per Invoice'!$B$2:$B$801,0))),""))</f>
        <v/>
      </c>
      <c r="J2378" s="7">
        <f>IF($B2378="","",I2378*Q2378/100)</f>
        <v/>
      </c>
      <c r="N2378" s="7" t="n"/>
      <c r="O2378" s="7" t="n"/>
      <c r="P2378" s="7">
        <f>IF($B2378="","",O2378*X2378/100)</f>
        <v/>
      </c>
      <c r="Q2378" s="7">
        <f>IF($B2378="","",O2378-P2378)</f>
        <v/>
      </c>
      <c r="R2378" s="7">
        <f>IF($B2378="","",Q2378-J2378)</f>
        <v/>
      </c>
      <c r="S2378" s="7" t="n"/>
      <c r="T2378" s="7" t="n"/>
      <c r="V2378" s="14" t="n"/>
      <c r="Z2378">
        <f>IF($B2378="","",IF(COUNTIF($B$2:$B2378,$B2378)=1,1,0))</f>
        <v/>
      </c>
      <c r="AA2378">
        <f>IF($Z2378=1,SUMPRODUCT(--($AC$2:$AC$3001&lt;$AC2378))+1,"")</f>
        <v/>
      </c>
      <c r="AB2378">
        <f>IF($B2378="","",IF(OR($Y2378=TRUE(),$Y2378="TRUE"),1,IF(AND($Y2378&lt;&gt;"",OR($Y2378=FALSE(),$Y2378="FALSE")),0,IF(MIN(ABS($X2378/100-Settings!$C$6),ABS($X2378/100-Settings!$G$6))&lt;=MIN(ABS($X2378/100-Settings!$C$7),ABS($X2378/100-Settings!$G$7)),1,0))))</f>
        <v/>
      </c>
      <c r="AC2378">
        <f>IF($Z2378=1,IFERROR(IF(VALUE($B2378)&lt;100000000,VALUE($B2378),1000000000),IFERROR(IF(VALUE(MID($B2378,2,20))&lt;100000000,VALUE(MID($B2378,2,20)),1000000000),1000000000))+ROW()/100000,"")</f>
        <v/>
      </c>
    </row>
    <row r="2379">
      <c r="A2379">
        <f>IF($B2379="","",IFERROR(IF(INDEX('Per Invoice'!$A$2:$A$801,MATCH($B2379,'Per Invoice'!$B$2:$B$801,0))=0,"",INDEX('Per Invoice'!$A$2:$A$801,MATCH($B2379,'Per Invoice'!$B$2:$B$801,0))),""))</f>
        <v/>
      </c>
      <c r="J2379" s="7">
        <f>IF($B2379="","",I2379*Q2379/100)</f>
        <v/>
      </c>
      <c r="N2379" s="7" t="n"/>
      <c r="O2379" s="7" t="n"/>
      <c r="P2379" s="7">
        <f>IF($B2379="","",O2379*X2379/100)</f>
        <v/>
      </c>
      <c r="Q2379" s="7">
        <f>IF($B2379="","",O2379-P2379)</f>
        <v/>
      </c>
      <c r="R2379" s="7">
        <f>IF($B2379="","",Q2379-J2379)</f>
        <v/>
      </c>
      <c r="S2379" s="7" t="n"/>
      <c r="T2379" s="7" t="n"/>
      <c r="V2379" s="14" t="n"/>
      <c r="Z2379">
        <f>IF($B2379="","",IF(COUNTIF($B$2:$B2379,$B2379)=1,1,0))</f>
        <v/>
      </c>
      <c r="AA2379">
        <f>IF($Z2379=1,SUMPRODUCT(--($AC$2:$AC$3001&lt;$AC2379))+1,"")</f>
        <v/>
      </c>
      <c r="AB2379">
        <f>IF($B2379="","",IF(OR($Y2379=TRUE(),$Y2379="TRUE"),1,IF(AND($Y2379&lt;&gt;"",OR($Y2379=FALSE(),$Y2379="FALSE")),0,IF(MIN(ABS($X2379/100-Settings!$C$6),ABS($X2379/100-Settings!$G$6))&lt;=MIN(ABS($X2379/100-Settings!$C$7),ABS($X2379/100-Settings!$G$7)),1,0))))</f>
        <v/>
      </c>
      <c r="AC2379">
        <f>IF($Z2379=1,IFERROR(IF(VALUE($B2379)&lt;100000000,VALUE($B2379),1000000000),IFERROR(IF(VALUE(MID($B2379,2,20))&lt;100000000,VALUE(MID($B2379,2,20)),1000000000),1000000000))+ROW()/100000,"")</f>
        <v/>
      </c>
    </row>
    <row r="2380">
      <c r="A2380">
        <f>IF($B2380="","",IFERROR(IF(INDEX('Per Invoice'!$A$2:$A$801,MATCH($B2380,'Per Invoice'!$B$2:$B$801,0))=0,"",INDEX('Per Invoice'!$A$2:$A$801,MATCH($B2380,'Per Invoice'!$B$2:$B$801,0))),""))</f>
        <v/>
      </c>
      <c r="J2380" s="7">
        <f>IF($B2380="","",I2380*Q2380/100)</f>
        <v/>
      </c>
      <c r="N2380" s="7" t="n"/>
      <c r="O2380" s="7" t="n"/>
      <c r="P2380" s="7">
        <f>IF($B2380="","",O2380*X2380/100)</f>
        <v/>
      </c>
      <c r="Q2380" s="7">
        <f>IF($B2380="","",O2380-P2380)</f>
        <v/>
      </c>
      <c r="R2380" s="7">
        <f>IF($B2380="","",Q2380-J2380)</f>
        <v/>
      </c>
      <c r="S2380" s="7" t="n"/>
      <c r="T2380" s="7" t="n"/>
      <c r="V2380" s="14" t="n"/>
      <c r="Z2380">
        <f>IF($B2380="","",IF(COUNTIF($B$2:$B2380,$B2380)=1,1,0))</f>
        <v/>
      </c>
      <c r="AA2380">
        <f>IF($Z2380=1,SUMPRODUCT(--($AC$2:$AC$3001&lt;$AC2380))+1,"")</f>
        <v/>
      </c>
      <c r="AB2380">
        <f>IF($B2380="","",IF(OR($Y2380=TRUE(),$Y2380="TRUE"),1,IF(AND($Y2380&lt;&gt;"",OR($Y2380=FALSE(),$Y2380="FALSE")),0,IF(MIN(ABS($X2380/100-Settings!$C$6),ABS($X2380/100-Settings!$G$6))&lt;=MIN(ABS($X2380/100-Settings!$C$7),ABS($X2380/100-Settings!$G$7)),1,0))))</f>
        <v/>
      </c>
      <c r="AC2380">
        <f>IF($Z2380=1,IFERROR(IF(VALUE($B2380)&lt;100000000,VALUE($B2380),1000000000),IFERROR(IF(VALUE(MID($B2380,2,20))&lt;100000000,VALUE(MID($B2380,2,20)),1000000000),1000000000))+ROW()/100000,"")</f>
        <v/>
      </c>
    </row>
    <row r="2381">
      <c r="A2381">
        <f>IF($B2381="","",IFERROR(IF(INDEX('Per Invoice'!$A$2:$A$801,MATCH($B2381,'Per Invoice'!$B$2:$B$801,0))=0,"",INDEX('Per Invoice'!$A$2:$A$801,MATCH($B2381,'Per Invoice'!$B$2:$B$801,0))),""))</f>
        <v/>
      </c>
      <c r="J2381" s="7">
        <f>IF($B2381="","",I2381*Q2381/100)</f>
        <v/>
      </c>
      <c r="N2381" s="7" t="n"/>
      <c r="O2381" s="7" t="n"/>
      <c r="P2381" s="7">
        <f>IF($B2381="","",O2381*X2381/100)</f>
        <v/>
      </c>
      <c r="Q2381" s="7">
        <f>IF($B2381="","",O2381-P2381)</f>
        <v/>
      </c>
      <c r="R2381" s="7">
        <f>IF($B2381="","",Q2381-J2381)</f>
        <v/>
      </c>
      <c r="S2381" s="7" t="n"/>
      <c r="T2381" s="7" t="n"/>
      <c r="V2381" s="14" t="n"/>
      <c r="Z2381">
        <f>IF($B2381="","",IF(COUNTIF($B$2:$B2381,$B2381)=1,1,0))</f>
        <v/>
      </c>
      <c r="AA2381">
        <f>IF($Z2381=1,SUMPRODUCT(--($AC$2:$AC$3001&lt;$AC2381))+1,"")</f>
        <v/>
      </c>
      <c r="AB2381">
        <f>IF($B2381="","",IF(OR($Y2381=TRUE(),$Y2381="TRUE"),1,IF(AND($Y2381&lt;&gt;"",OR($Y2381=FALSE(),$Y2381="FALSE")),0,IF(MIN(ABS($X2381/100-Settings!$C$6),ABS($X2381/100-Settings!$G$6))&lt;=MIN(ABS($X2381/100-Settings!$C$7),ABS($X2381/100-Settings!$G$7)),1,0))))</f>
        <v/>
      </c>
      <c r="AC2381">
        <f>IF($Z2381=1,IFERROR(IF(VALUE($B2381)&lt;100000000,VALUE($B2381),1000000000),IFERROR(IF(VALUE(MID($B2381,2,20))&lt;100000000,VALUE(MID($B2381,2,20)),1000000000),1000000000))+ROW()/100000,"")</f>
        <v/>
      </c>
    </row>
    <row r="2382">
      <c r="A2382">
        <f>IF($B2382="","",IFERROR(IF(INDEX('Per Invoice'!$A$2:$A$801,MATCH($B2382,'Per Invoice'!$B$2:$B$801,0))=0,"",INDEX('Per Invoice'!$A$2:$A$801,MATCH($B2382,'Per Invoice'!$B$2:$B$801,0))),""))</f>
        <v/>
      </c>
      <c r="J2382" s="7">
        <f>IF($B2382="","",I2382*Q2382/100)</f>
        <v/>
      </c>
      <c r="N2382" s="7" t="n"/>
      <c r="O2382" s="7" t="n"/>
      <c r="P2382" s="7">
        <f>IF($B2382="","",O2382*X2382/100)</f>
        <v/>
      </c>
      <c r="Q2382" s="7">
        <f>IF($B2382="","",O2382-P2382)</f>
        <v/>
      </c>
      <c r="R2382" s="7">
        <f>IF($B2382="","",Q2382-J2382)</f>
        <v/>
      </c>
      <c r="S2382" s="7" t="n"/>
      <c r="T2382" s="7" t="n"/>
      <c r="V2382" s="14" t="n"/>
      <c r="Z2382">
        <f>IF($B2382="","",IF(COUNTIF($B$2:$B2382,$B2382)=1,1,0))</f>
        <v/>
      </c>
      <c r="AA2382">
        <f>IF($Z2382=1,SUMPRODUCT(--($AC$2:$AC$3001&lt;$AC2382))+1,"")</f>
        <v/>
      </c>
      <c r="AB2382">
        <f>IF($B2382="","",IF(OR($Y2382=TRUE(),$Y2382="TRUE"),1,IF(AND($Y2382&lt;&gt;"",OR($Y2382=FALSE(),$Y2382="FALSE")),0,IF(MIN(ABS($X2382/100-Settings!$C$6),ABS($X2382/100-Settings!$G$6))&lt;=MIN(ABS($X2382/100-Settings!$C$7),ABS($X2382/100-Settings!$G$7)),1,0))))</f>
        <v/>
      </c>
      <c r="AC2382">
        <f>IF($Z2382=1,IFERROR(IF(VALUE($B2382)&lt;100000000,VALUE($B2382),1000000000),IFERROR(IF(VALUE(MID($B2382,2,20))&lt;100000000,VALUE(MID($B2382,2,20)),1000000000),1000000000))+ROW()/100000,"")</f>
        <v/>
      </c>
    </row>
    <row r="2383">
      <c r="A2383">
        <f>IF($B2383="","",IFERROR(IF(INDEX('Per Invoice'!$A$2:$A$801,MATCH($B2383,'Per Invoice'!$B$2:$B$801,0))=0,"",INDEX('Per Invoice'!$A$2:$A$801,MATCH($B2383,'Per Invoice'!$B$2:$B$801,0))),""))</f>
        <v/>
      </c>
      <c r="J2383" s="7">
        <f>IF($B2383="","",I2383*Q2383/100)</f>
        <v/>
      </c>
      <c r="N2383" s="7" t="n"/>
      <c r="O2383" s="7" t="n"/>
      <c r="P2383" s="7">
        <f>IF($B2383="","",O2383*X2383/100)</f>
        <v/>
      </c>
      <c r="Q2383" s="7">
        <f>IF($B2383="","",O2383-P2383)</f>
        <v/>
      </c>
      <c r="R2383" s="7">
        <f>IF($B2383="","",Q2383-J2383)</f>
        <v/>
      </c>
      <c r="S2383" s="7" t="n"/>
      <c r="T2383" s="7" t="n"/>
      <c r="V2383" s="14" t="n"/>
      <c r="Z2383">
        <f>IF($B2383="","",IF(COUNTIF($B$2:$B2383,$B2383)=1,1,0))</f>
        <v/>
      </c>
      <c r="AA2383">
        <f>IF($Z2383=1,SUMPRODUCT(--($AC$2:$AC$3001&lt;$AC2383))+1,"")</f>
        <v/>
      </c>
      <c r="AB2383">
        <f>IF($B2383="","",IF(OR($Y2383=TRUE(),$Y2383="TRUE"),1,IF(AND($Y2383&lt;&gt;"",OR($Y2383=FALSE(),$Y2383="FALSE")),0,IF(MIN(ABS($X2383/100-Settings!$C$6),ABS($X2383/100-Settings!$G$6))&lt;=MIN(ABS($X2383/100-Settings!$C$7),ABS($X2383/100-Settings!$G$7)),1,0))))</f>
        <v/>
      </c>
      <c r="AC2383">
        <f>IF($Z2383=1,IFERROR(IF(VALUE($B2383)&lt;100000000,VALUE($B2383),1000000000),IFERROR(IF(VALUE(MID($B2383,2,20))&lt;100000000,VALUE(MID($B2383,2,20)),1000000000),1000000000))+ROW()/100000,"")</f>
        <v/>
      </c>
    </row>
    <row r="2384">
      <c r="A2384">
        <f>IF($B2384="","",IFERROR(IF(INDEX('Per Invoice'!$A$2:$A$801,MATCH($B2384,'Per Invoice'!$B$2:$B$801,0))=0,"",INDEX('Per Invoice'!$A$2:$A$801,MATCH($B2384,'Per Invoice'!$B$2:$B$801,0))),""))</f>
        <v/>
      </c>
      <c r="J2384" s="7">
        <f>IF($B2384="","",I2384*Q2384/100)</f>
        <v/>
      </c>
      <c r="N2384" s="7" t="n"/>
      <c r="O2384" s="7" t="n"/>
      <c r="P2384" s="7">
        <f>IF($B2384="","",O2384*X2384/100)</f>
        <v/>
      </c>
      <c r="Q2384" s="7">
        <f>IF($B2384="","",O2384-P2384)</f>
        <v/>
      </c>
      <c r="R2384" s="7">
        <f>IF($B2384="","",Q2384-J2384)</f>
        <v/>
      </c>
      <c r="S2384" s="7" t="n"/>
      <c r="T2384" s="7" t="n"/>
      <c r="V2384" s="14" t="n"/>
      <c r="Z2384">
        <f>IF($B2384="","",IF(COUNTIF($B$2:$B2384,$B2384)=1,1,0))</f>
        <v/>
      </c>
      <c r="AA2384">
        <f>IF($Z2384=1,SUMPRODUCT(--($AC$2:$AC$3001&lt;$AC2384))+1,"")</f>
        <v/>
      </c>
      <c r="AB2384">
        <f>IF($B2384="","",IF(OR($Y2384=TRUE(),$Y2384="TRUE"),1,IF(AND($Y2384&lt;&gt;"",OR($Y2384=FALSE(),$Y2384="FALSE")),0,IF(MIN(ABS($X2384/100-Settings!$C$6),ABS($X2384/100-Settings!$G$6))&lt;=MIN(ABS($X2384/100-Settings!$C$7),ABS($X2384/100-Settings!$G$7)),1,0))))</f>
        <v/>
      </c>
      <c r="AC2384">
        <f>IF($Z2384=1,IFERROR(IF(VALUE($B2384)&lt;100000000,VALUE($B2384),1000000000),IFERROR(IF(VALUE(MID($B2384,2,20))&lt;100000000,VALUE(MID($B2384,2,20)),1000000000),1000000000))+ROW()/100000,"")</f>
        <v/>
      </c>
    </row>
    <row r="2385">
      <c r="A2385">
        <f>IF($B2385="","",IFERROR(IF(INDEX('Per Invoice'!$A$2:$A$801,MATCH($B2385,'Per Invoice'!$B$2:$B$801,0))=0,"",INDEX('Per Invoice'!$A$2:$A$801,MATCH($B2385,'Per Invoice'!$B$2:$B$801,0))),""))</f>
        <v/>
      </c>
      <c r="J2385" s="7">
        <f>IF($B2385="","",I2385*Q2385/100)</f>
        <v/>
      </c>
      <c r="N2385" s="7" t="n"/>
      <c r="O2385" s="7" t="n"/>
      <c r="P2385" s="7">
        <f>IF($B2385="","",O2385*X2385/100)</f>
        <v/>
      </c>
      <c r="Q2385" s="7">
        <f>IF($B2385="","",O2385-P2385)</f>
        <v/>
      </c>
      <c r="R2385" s="7">
        <f>IF($B2385="","",Q2385-J2385)</f>
        <v/>
      </c>
      <c r="S2385" s="7" t="n"/>
      <c r="T2385" s="7" t="n"/>
      <c r="V2385" s="14" t="n"/>
      <c r="Z2385">
        <f>IF($B2385="","",IF(COUNTIF($B$2:$B2385,$B2385)=1,1,0))</f>
        <v/>
      </c>
      <c r="AA2385">
        <f>IF($Z2385=1,SUMPRODUCT(--($AC$2:$AC$3001&lt;$AC2385))+1,"")</f>
        <v/>
      </c>
      <c r="AB2385">
        <f>IF($B2385="","",IF(OR($Y2385=TRUE(),$Y2385="TRUE"),1,IF(AND($Y2385&lt;&gt;"",OR($Y2385=FALSE(),$Y2385="FALSE")),0,IF(MIN(ABS($X2385/100-Settings!$C$6),ABS($X2385/100-Settings!$G$6))&lt;=MIN(ABS($X2385/100-Settings!$C$7),ABS($X2385/100-Settings!$G$7)),1,0))))</f>
        <v/>
      </c>
      <c r="AC2385">
        <f>IF($Z2385=1,IFERROR(IF(VALUE($B2385)&lt;100000000,VALUE($B2385),1000000000),IFERROR(IF(VALUE(MID($B2385,2,20))&lt;100000000,VALUE(MID($B2385,2,20)),1000000000),1000000000))+ROW()/100000,"")</f>
        <v/>
      </c>
    </row>
    <row r="2386">
      <c r="A2386">
        <f>IF($B2386="","",IFERROR(IF(INDEX('Per Invoice'!$A$2:$A$801,MATCH($B2386,'Per Invoice'!$B$2:$B$801,0))=0,"",INDEX('Per Invoice'!$A$2:$A$801,MATCH($B2386,'Per Invoice'!$B$2:$B$801,0))),""))</f>
        <v/>
      </c>
      <c r="J2386" s="7">
        <f>IF($B2386="","",I2386*Q2386/100)</f>
        <v/>
      </c>
      <c r="N2386" s="7" t="n"/>
      <c r="O2386" s="7" t="n"/>
      <c r="P2386" s="7">
        <f>IF($B2386="","",O2386*X2386/100)</f>
        <v/>
      </c>
      <c r="Q2386" s="7">
        <f>IF($B2386="","",O2386-P2386)</f>
        <v/>
      </c>
      <c r="R2386" s="7">
        <f>IF($B2386="","",Q2386-J2386)</f>
        <v/>
      </c>
      <c r="S2386" s="7" t="n"/>
      <c r="T2386" s="7" t="n"/>
      <c r="V2386" s="14" t="n"/>
      <c r="Z2386">
        <f>IF($B2386="","",IF(COUNTIF($B$2:$B2386,$B2386)=1,1,0))</f>
        <v/>
      </c>
      <c r="AA2386">
        <f>IF($Z2386=1,SUMPRODUCT(--($AC$2:$AC$3001&lt;$AC2386))+1,"")</f>
        <v/>
      </c>
      <c r="AB2386">
        <f>IF($B2386="","",IF(OR($Y2386=TRUE(),$Y2386="TRUE"),1,IF(AND($Y2386&lt;&gt;"",OR($Y2386=FALSE(),$Y2386="FALSE")),0,IF(MIN(ABS($X2386/100-Settings!$C$6),ABS($X2386/100-Settings!$G$6))&lt;=MIN(ABS($X2386/100-Settings!$C$7),ABS($X2386/100-Settings!$G$7)),1,0))))</f>
        <v/>
      </c>
      <c r="AC2386">
        <f>IF($Z2386=1,IFERROR(IF(VALUE($B2386)&lt;100000000,VALUE($B2386),1000000000),IFERROR(IF(VALUE(MID($B2386,2,20))&lt;100000000,VALUE(MID($B2386,2,20)),1000000000),1000000000))+ROW()/100000,"")</f>
        <v/>
      </c>
    </row>
    <row r="2387">
      <c r="A2387">
        <f>IF($B2387="","",IFERROR(IF(INDEX('Per Invoice'!$A$2:$A$801,MATCH($B2387,'Per Invoice'!$B$2:$B$801,0))=0,"",INDEX('Per Invoice'!$A$2:$A$801,MATCH($B2387,'Per Invoice'!$B$2:$B$801,0))),""))</f>
        <v/>
      </c>
      <c r="J2387" s="7">
        <f>IF($B2387="","",I2387*Q2387/100)</f>
        <v/>
      </c>
      <c r="N2387" s="7" t="n"/>
      <c r="O2387" s="7" t="n"/>
      <c r="P2387" s="7">
        <f>IF($B2387="","",O2387*X2387/100)</f>
        <v/>
      </c>
      <c r="Q2387" s="7">
        <f>IF($B2387="","",O2387-P2387)</f>
        <v/>
      </c>
      <c r="R2387" s="7">
        <f>IF($B2387="","",Q2387-J2387)</f>
        <v/>
      </c>
      <c r="S2387" s="7" t="n"/>
      <c r="T2387" s="7" t="n"/>
      <c r="V2387" s="14" t="n"/>
      <c r="Z2387">
        <f>IF($B2387="","",IF(COUNTIF($B$2:$B2387,$B2387)=1,1,0))</f>
        <v/>
      </c>
      <c r="AA2387">
        <f>IF($Z2387=1,SUMPRODUCT(--($AC$2:$AC$3001&lt;$AC2387))+1,"")</f>
        <v/>
      </c>
      <c r="AB2387">
        <f>IF($B2387="","",IF(OR($Y2387=TRUE(),$Y2387="TRUE"),1,IF(AND($Y2387&lt;&gt;"",OR($Y2387=FALSE(),$Y2387="FALSE")),0,IF(MIN(ABS($X2387/100-Settings!$C$6),ABS($X2387/100-Settings!$G$6))&lt;=MIN(ABS($X2387/100-Settings!$C$7),ABS($X2387/100-Settings!$G$7)),1,0))))</f>
        <v/>
      </c>
      <c r="AC2387">
        <f>IF($Z2387=1,IFERROR(IF(VALUE($B2387)&lt;100000000,VALUE($B2387),1000000000),IFERROR(IF(VALUE(MID($B2387,2,20))&lt;100000000,VALUE(MID($B2387,2,20)),1000000000),1000000000))+ROW()/100000,"")</f>
        <v/>
      </c>
    </row>
    <row r="2388">
      <c r="A2388">
        <f>IF($B2388="","",IFERROR(IF(INDEX('Per Invoice'!$A$2:$A$801,MATCH($B2388,'Per Invoice'!$B$2:$B$801,0))=0,"",INDEX('Per Invoice'!$A$2:$A$801,MATCH($B2388,'Per Invoice'!$B$2:$B$801,0))),""))</f>
        <v/>
      </c>
      <c r="J2388" s="7">
        <f>IF($B2388="","",I2388*Q2388/100)</f>
        <v/>
      </c>
      <c r="N2388" s="7" t="n"/>
      <c r="O2388" s="7" t="n"/>
      <c r="P2388" s="7">
        <f>IF($B2388="","",O2388*X2388/100)</f>
        <v/>
      </c>
      <c r="Q2388" s="7">
        <f>IF($B2388="","",O2388-P2388)</f>
        <v/>
      </c>
      <c r="R2388" s="7">
        <f>IF($B2388="","",Q2388-J2388)</f>
        <v/>
      </c>
      <c r="S2388" s="7" t="n"/>
      <c r="T2388" s="7" t="n"/>
      <c r="V2388" s="14" t="n"/>
      <c r="Z2388">
        <f>IF($B2388="","",IF(COUNTIF($B$2:$B2388,$B2388)=1,1,0))</f>
        <v/>
      </c>
      <c r="AA2388">
        <f>IF($Z2388=1,SUMPRODUCT(--($AC$2:$AC$3001&lt;$AC2388))+1,"")</f>
        <v/>
      </c>
      <c r="AB2388">
        <f>IF($B2388="","",IF(OR($Y2388=TRUE(),$Y2388="TRUE"),1,IF(AND($Y2388&lt;&gt;"",OR($Y2388=FALSE(),$Y2388="FALSE")),0,IF(MIN(ABS($X2388/100-Settings!$C$6),ABS($X2388/100-Settings!$G$6))&lt;=MIN(ABS($X2388/100-Settings!$C$7),ABS($X2388/100-Settings!$G$7)),1,0))))</f>
        <v/>
      </c>
      <c r="AC2388">
        <f>IF($Z2388=1,IFERROR(IF(VALUE($B2388)&lt;100000000,VALUE($B2388),1000000000),IFERROR(IF(VALUE(MID($B2388,2,20))&lt;100000000,VALUE(MID($B2388,2,20)),1000000000),1000000000))+ROW()/100000,"")</f>
        <v/>
      </c>
    </row>
    <row r="2389">
      <c r="A2389">
        <f>IF($B2389="","",IFERROR(IF(INDEX('Per Invoice'!$A$2:$A$801,MATCH($B2389,'Per Invoice'!$B$2:$B$801,0))=0,"",INDEX('Per Invoice'!$A$2:$A$801,MATCH($B2389,'Per Invoice'!$B$2:$B$801,0))),""))</f>
        <v/>
      </c>
      <c r="J2389" s="7">
        <f>IF($B2389="","",I2389*Q2389/100)</f>
        <v/>
      </c>
      <c r="N2389" s="7" t="n"/>
      <c r="O2389" s="7" t="n"/>
      <c r="P2389" s="7">
        <f>IF($B2389="","",O2389*X2389/100)</f>
        <v/>
      </c>
      <c r="Q2389" s="7">
        <f>IF($B2389="","",O2389-P2389)</f>
        <v/>
      </c>
      <c r="R2389" s="7">
        <f>IF($B2389="","",Q2389-J2389)</f>
        <v/>
      </c>
      <c r="S2389" s="7" t="n"/>
      <c r="T2389" s="7" t="n"/>
      <c r="V2389" s="14" t="n"/>
      <c r="Z2389">
        <f>IF($B2389="","",IF(COUNTIF($B$2:$B2389,$B2389)=1,1,0))</f>
        <v/>
      </c>
      <c r="AA2389">
        <f>IF($Z2389=1,SUMPRODUCT(--($AC$2:$AC$3001&lt;$AC2389))+1,"")</f>
        <v/>
      </c>
      <c r="AB2389">
        <f>IF($B2389="","",IF(OR($Y2389=TRUE(),$Y2389="TRUE"),1,IF(AND($Y2389&lt;&gt;"",OR($Y2389=FALSE(),$Y2389="FALSE")),0,IF(MIN(ABS($X2389/100-Settings!$C$6),ABS($X2389/100-Settings!$G$6))&lt;=MIN(ABS($X2389/100-Settings!$C$7),ABS($X2389/100-Settings!$G$7)),1,0))))</f>
        <v/>
      </c>
      <c r="AC2389">
        <f>IF($Z2389=1,IFERROR(IF(VALUE($B2389)&lt;100000000,VALUE($B2389),1000000000),IFERROR(IF(VALUE(MID($B2389,2,20))&lt;100000000,VALUE(MID($B2389,2,20)),1000000000),1000000000))+ROW()/100000,"")</f>
        <v/>
      </c>
    </row>
    <row r="2390">
      <c r="A2390">
        <f>IF($B2390="","",IFERROR(IF(INDEX('Per Invoice'!$A$2:$A$801,MATCH($B2390,'Per Invoice'!$B$2:$B$801,0))=0,"",INDEX('Per Invoice'!$A$2:$A$801,MATCH($B2390,'Per Invoice'!$B$2:$B$801,0))),""))</f>
        <v/>
      </c>
      <c r="J2390" s="7">
        <f>IF($B2390="","",I2390*Q2390/100)</f>
        <v/>
      </c>
      <c r="N2390" s="7" t="n"/>
      <c r="O2390" s="7" t="n"/>
      <c r="P2390" s="7">
        <f>IF($B2390="","",O2390*X2390/100)</f>
        <v/>
      </c>
      <c r="Q2390" s="7">
        <f>IF($B2390="","",O2390-P2390)</f>
        <v/>
      </c>
      <c r="R2390" s="7">
        <f>IF($B2390="","",Q2390-J2390)</f>
        <v/>
      </c>
      <c r="S2390" s="7" t="n"/>
      <c r="T2390" s="7" t="n"/>
      <c r="V2390" s="14" t="n"/>
      <c r="Z2390">
        <f>IF($B2390="","",IF(COUNTIF($B$2:$B2390,$B2390)=1,1,0))</f>
        <v/>
      </c>
      <c r="AA2390">
        <f>IF($Z2390=1,SUMPRODUCT(--($AC$2:$AC$3001&lt;$AC2390))+1,"")</f>
        <v/>
      </c>
      <c r="AB2390">
        <f>IF($B2390="","",IF(OR($Y2390=TRUE(),$Y2390="TRUE"),1,IF(AND($Y2390&lt;&gt;"",OR($Y2390=FALSE(),$Y2390="FALSE")),0,IF(MIN(ABS($X2390/100-Settings!$C$6),ABS($X2390/100-Settings!$G$6))&lt;=MIN(ABS($X2390/100-Settings!$C$7),ABS($X2390/100-Settings!$G$7)),1,0))))</f>
        <v/>
      </c>
      <c r="AC2390">
        <f>IF($Z2390=1,IFERROR(IF(VALUE($B2390)&lt;100000000,VALUE($B2390),1000000000),IFERROR(IF(VALUE(MID($B2390,2,20))&lt;100000000,VALUE(MID($B2390,2,20)),1000000000),1000000000))+ROW()/100000,"")</f>
        <v/>
      </c>
    </row>
    <row r="2391">
      <c r="A2391">
        <f>IF($B2391="","",IFERROR(IF(INDEX('Per Invoice'!$A$2:$A$801,MATCH($B2391,'Per Invoice'!$B$2:$B$801,0))=0,"",INDEX('Per Invoice'!$A$2:$A$801,MATCH($B2391,'Per Invoice'!$B$2:$B$801,0))),""))</f>
        <v/>
      </c>
      <c r="J2391" s="7">
        <f>IF($B2391="","",I2391*Q2391/100)</f>
        <v/>
      </c>
      <c r="N2391" s="7" t="n"/>
      <c r="O2391" s="7" t="n"/>
      <c r="P2391" s="7">
        <f>IF($B2391="","",O2391*X2391/100)</f>
        <v/>
      </c>
      <c r="Q2391" s="7">
        <f>IF($B2391="","",O2391-P2391)</f>
        <v/>
      </c>
      <c r="R2391" s="7">
        <f>IF($B2391="","",Q2391-J2391)</f>
        <v/>
      </c>
      <c r="S2391" s="7" t="n"/>
      <c r="T2391" s="7" t="n"/>
      <c r="V2391" s="14" t="n"/>
      <c r="Z2391">
        <f>IF($B2391="","",IF(COUNTIF($B$2:$B2391,$B2391)=1,1,0))</f>
        <v/>
      </c>
      <c r="AA2391">
        <f>IF($Z2391=1,SUMPRODUCT(--($AC$2:$AC$3001&lt;$AC2391))+1,"")</f>
        <v/>
      </c>
      <c r="AB2391">
        <f>IF($B2391="","",IF(OR($Y2391=TRUE(),$Y2391="TRUE"),1,IF(AND($Y2391&lt;&gt;"",OR($Y2391=FALSE(),$Y2391="FALSE")),0,IF(MIN(ABS($X2391/100-Settings!$C$6),ABS($X2391/100-Settings!$G$6))&lt;=MIN(ABS($X2391/100-Settings!$C$7),ABS($X2391/100-Settings!$G$7)),1,0))))</f>
        <v/>
      </c>
      <c r="AC2391">
        <f>IF($Z2391=1,IFERROR(IF(VALUE($B2391)&lt;100000000,VALUE($B2391),1000000000),IFERROR(IF(VALUE(MID($B2391,2,20))&lt;100000000,VALUE(MID($B2391,2,20)),1000000000),1000000000))+ROW()/100000,"")</f>
        <v/>
      </c>
    </row>
    <row r="2392">
      <c r="A2392">
        <f>IF($B2392="","",IFERROR(IF(INDEX('Per Invoice'!$A$2:$A$801,MATCH($B2392,'Per Invoice'!$B$2:$B$801,0))=0,"",INDEX('Per Invoice'!$A$2:$A$801,MATCH($B2392,'Per Invoice'!$B$2:$B$801,0))),""))</f>
        <v/>
      </c>
      <c r="J2392" s="7">
        <f>IF($B2392="","",I2392*Q2392/100)</f>
        <v/>
      </c>
      <c r="N2392" s="7" t="n"/>
      <c r="O2392" s="7" t="n"/>
      <c r="P2392" s="7">
        <f>IF($B2392="","",O2392*X2392/100)</f>
        <v/>
      </c>
      <c r="Q2392" s="7">
        <f>IF($B2392="","",O2392-P2392)</f>
        <v/>
      </c>
      <c r="R2392" s="7">
        <f>IF($B2392="","",Q2392-J2392)</f>
        <v/>
      </c>
      <c r="S2392" s="7" t="n"/>
      <c r="T2392" s="7" t="n"/>
      <c r="V2392" s="14" t="n"/>
      <c r="Z2392">
        <f>IF($B2392="","",IF(COUNTIF($B$2:$B2392,$B2392)=1,1,0))</f>
        <v/>
      </c>
      <c r="AA2392">
        <f>IF($Z2392=1,SUMPRODUCT(--($AC$2:$AC$3001&lt;$AC2392))+1,"")</f>
        <v/>
      </c>
      <c r="AB2392">
        <f>IF($B2392="","",IF(OR($Y2392=TRUE(),$Y2392="TRUE"),1,IF(AND($Y2392&lt;&gt;"",OR($Y2392=FALSE(),$Y2392="FALSE")),0,IF(MIN(ABS($X2392/100-Settings!$C$6),ABS($X2392/100-Settings!$G$6))&lt;=MIN(ABS($X2392/100-Settings!$C$7),ABS($X2392/100-Settings!$G$7)),1,0))))</f>
        <v/>
      </c>
      <c r="AC2392">
        <f>IF($Z2392=1,IFERROR(IF(VALUE($B2392)&lt;100000000,VALUE($B2392),1000000000),IFERROR(IF(VALUE(MID($B2392,2,20))&lt;100000000,VALUE(MID($B2392,2,20)),1000000000),1000000000))+ROW()/100000,"")</f>
        <v/>
      </c>
    </row>
    <row r="2393">
      <c r="A2393">
        <f>IF($B2393="","",IFERROR(IF(INDEX('Per Invoice'!$A$2:$A$801,MATCH($B2393,'Per Invoice'!$B$2:$B$801,0))=0,"",INDEX('Per Invoice'!$A$2:$A$801,MATCH($B2393,'Per Invoice'!$B$2:$B$801,0))),""))</f>
        <v/>
      </c>
      <c r="J2393" s="7">
        <f>IF($B2393="","",I2393*Q2393/100)</f>
        <v/>
      </c>
      <c r="N2393" s="7" t="n"/>
      <c r="O2393" s="7" t="n"/>
      <c r="P2393" s="7">
        <f>IF($B2393="","",O2393*X2393/100)</f>
        <v/>
      </c>
      <c r="Q2393" s="7">
        <f>IF($B2393="","",O2393-P2393)</f>
        <v/>
      </c>
      <c r="R2393" s="7">
        <f>IF($B2393="","",Q2393-J2393)</f>
        <v/>
      </c>
      <c r="S2393" s="7" t="n"/>
      <c r="T2393" s="7" t="n"/>
      <c r="V2393" s="14" t="n"/>
      <c r="Z2393">
        <f>IF($B2393="","",IF(COUNTIF($B$2:$B2393,$B2393)=1,1,0))</f>
        <v/>
      </c>
      <c r="AA2393">
        <f>IF($Z2393=1,SUMPRODUCT(--($AC$2:$AC$3001&lt;$AC2393))+1,"")</f>
        <v/>
      </c>
      <c r="AB2393">
        <f>IF($B2393="","",IF(OR($Y2393=TRUE(),$Y2393="TRUE"),1,IF(AND($Y2393&lt;&gt;"",OR($Y2393=FALSE(),$Y2393="FALSE")),0,IF(MIN(ABS($X2393/100-Settings!$C$6),ABS($X2393/100-Settings!$G$6))&lt;=MIN(ABS($X2393/100-Settings!$C$7),ABS($X2393/100-Settings!$G$7)),1,0))))</f>
        <v/>
      </c>
      <c r="AC2393">
        <f>IF($Z2393=1,IFERROR(IF(VALUE($B2393)&lt;100000000,VALUE($B2393),1000000000),IFERROR(IF(VALUE(MID($B2393,2,20))&lt;100000000,VALUE(MID($B2393,2,20)),1000000000),1000000000))+ROW()/100000,"")</f>
        <v/>
      </c>
    </row>
    <row r="2394">
      <c r="A2394">
        <f>IF($B2394="","",IFERROR(IF(INDEX('Per Invoice'!$A$2:$A$801,MATCH($B2394,'Per Invoice'!$B$2:$B$801,0))=0,"",INDEX('Per Invoice'!$A$2:$A$801,MATCH($B2394,'Per Invoice'!$B$2:$B$801,0))),""))</f>
        <v/>
      </c>
      <c r="J2394" s="7">
        <f>IF($B2394="","",I2394*Q2394/100)</f>
        <v/>
      </c>
      <c r="N2394" s="7" t="n"/>
      <c r="O2394" s="7" t="n"/>
      <c r="P2394" s="7">
        <f>IF($B2394="","",O2394*X2394/100)</f>
        <v/>
      </c>
      <c r="Q2394" s="7">
        <f>IF($B2394="","",O2394-P2394)</f>
        <v/>
      </c>
      <c r="R2394" s="7">
        <f>IF($B2394="","",Q2394-J2394)</f>
        <v/>
      </c>
      <c r="S2394" s="7" t="n"/>
      <c r="T2394" s="7" t="n"/>
      <c r="V2394" s="14" t="n"/>
      <c r="Z2394">
        <f>IF($B2394="","",IF(COUNTIF($B$2:$B2394,$B2394)=1,1,0))</f>
        <v/>
      </c>
      <c r="AA2394">
        <f>IF($Z2394=1,SUMPRODUCT(--($AC$2:$AC$3001&lt;$AC2394))+1,"")</f>
        <v/>
      </c>
      <c r="AB2394">
        <f>IF($B2394="","",IF(OR($Y2394=TRUE(),$Y2394="TRUE"),1,IF(AND($Y2394&lt;&gt;"",OR($Y2394=FALSE(),$Y2394="FALSE")),0,IF(MIN(ABS($X2394/100-Settings!$C$6),ABS($X2394/100-Settings!$G$6))&lt;=MIN(ABS($X2394/100-Settings!$C$7),ABS($X2394/100-Settings!$G$7)),1,0))))</f>
        <v/>
      </c>
      <c r="AC2394">
        <f>IF($Z2394=1,IFERROR(IF(VALUE($B2394)&lt;100000000,VALUE($B2394),1000000000),IFERROR(IF(VALUE(MID($B2394,2,20))&lt;100000000,VALUE(MID($B2394,2,20)),1000000000),1000000000))+ROW()/100000,"")</f>
        <v/>
      </c>
    </row>
    <row r="2395">
      <c r="A2395">
        <f>IF($B2395="","",IFERROR(IF(INDEX('Per Invoice'!$A$2:$A$801,MATCH($B2395,'Per Invoice'!$B$2:$B$801,0))=0,"",INDEX('Per Invoice'!$A$2:$A$801,MATCH($B2395,'Per Invoice'!$B$2:$B$801,0))),""))</f>
        <v/>
      </c>
      <c r="J2395" s="7">
        <f>IF($B2395="","",I2395*Q2395/100)</f>
        <v/>
      </c>
      <c r="N2395" s="7" t="n"/>
      <c r="O2395" s="7" t="n"/>
      <c r="P2395" s="7">
        <f>IF($B2395="","",O2395*X2395/100)</f>
        <v/>
      </c>
      <c r="Q2395" s="7">
        <f>IF($B2395="","",O2395-P2395)</f>
        <v/>
      </c>
      <c r="R2395" s="7">
        <f>IF($B2395="","",Q2395-J2395)</f>
        <v/>
      </c>
      <c r="S2395" s="7" t="n"/>
      <c r="T2395" s="7" t="n"/>
      <c r="V2395" s="14" t="n"/>
      <c r="Z2395">
        <f>IF($B2395="","",IF(COUNTIF($B$2:$B2395,$B2395)=1,1,0))</f>
        <v/>
      </c>
      <c r="AA2395">
        <f>IF($Z2395=1,SUMPRODUCT(--($AC$2:$AC$3001&lt;$AC2395))+1,"")</f>
        <v/>
      </c>
      <c r="AB2395">
        <f>IF($B2395="","",IF(OR($Y2395=TRUE(),$Y2395="TRUE"),1,IF(AND($Y2395&lt;&gt;"",OR($Y2395=FALSE(),$Y2395="FALSE")),0,IF(MIN(ABS($X2395/100-Settings!$C$6),ABS($X2395/100-Settings!$G$6))&lt;=MIN(ABS($X2395/100-Settings!$C$7),ABS($X2395/100-Settings!$G$7)),1,0))))</f>
        <v/>
      </c>
      <c r="AC2395">
        <f>IF($Z2395=1,IFERROR(IF(VALUE($B2395)&lt;100000000,VALUE($B2395),1000000000),IFERROR(IF(VALUE(MID($B2395,2,20))&lt;100000000,VALUE(MID($B2395,2,20)),1000000000),1000000000))+ROW()/100000,"")</f>
        <v/>
      </c>
    </row>
    <row r="2396">
      <c r="A2396">
        <f>IF($B2396="","",IFERROR(IF(INDEX('Per Invoice'!$A$2:$A$801,MATCH($B2396,'Per Invoice'!$B$2:$B$801,0))=0,"",INDEX('Per Invoice'!$A$2:$A$801,MATCH($B2396,'Per Invoice'!$B$2:$B$801,0))),""))</f>
        <v/>
      </c>
      <c r="J2396" s="7">
        <f>IF($B2396="","",I2396*Q2396/100)</f>
        <v/>
      </c>
      <c r="N2396" s="7" t="n"/>
      <c r="O2396" s="7" t="n"/>
      <c r="P2396" s="7">
        <f>IF($B2396="","",O2396*X2396/100)</f>
        <v/>
      </c>
      <c r="Q2396" s="7">
        <f>IF($B2396="","",O2396-P2396)</f>
        <v/>
      </c>
      <c r="R2396" s="7">
        <f>IF($B2396="","",Q2396-J2396)</f>
        <v/>
      </c>
      <c r="S2396" s="7" t="n"/>
      <c r="T2396" s="7" t="n"/>
      <c r="V2396" s="14" t="n"/>
      <c r="Z2396">
        <f>IF($B2396="","",IF(COUNTIF($B$2:$B2396,$B2396)=1,1,0))</f>
        <v/>
      </c>
      <c r="AA2396">
        <f>IF($Z2396=1,SUMPRODUCT(--($AC$2:$AC$3001&lt;$AC2396))+1,"")</f>
        <v/>
      </c>
      <c r="AB2396">
        <f>IF($B2396="","",IF(OR($Y2396=TRUE(),$Y2396="TRUE"),1,IF(AND($Y2396&lt;&gt;"",OR($Y2396=FALSE(),$Y2396="FALSE")),0,IF(MIN(ABS($X2396/100-Settings!$C$6),ABS($X2396/100-Settings!$G$6))&lt;=MIN(ABS($X2396/100-Settings!$C$7),ABS($X2396/100-Settings!$G$7)),1,0))))</f>
        <v/>
      </c>
      <c r="AC2396">
        <f>IF($Z2396=1,IFERROR(IF(VALUE($B2396)&lt;100000000,VALUE($B2396),1000000000),IFERROR(IF(VALUE(MID($B2396,2,20))&lt;100000000,VALUE(MID($B2396,2,20)),1000000000),1000000000))+ROW()/100000,"")</f>
        <v/>
      </c>
    </row>
    <row r="2397">
      <c r="A2397">
        <f>IF($B2397="","",IFERROR(IF(INDEX('Per Invoice'!$A$2:$A$801,MATCH($B2397,'Per Invoice'!$B$2:$B$801,0))=0,"",INDEX('Per Invoice'!$A$2:$A$801,MATCH($B2397,'Per Invoice'!$B$2:$B$801,0))),""))</f>
        <v/>
      </c>
      <c r="J2397" s="7">
        <f>IF($B2397="","",I2397*Q2397/100)</f>
        <v/>
      </c>
      <c r="N2397" s="7" t="n"/>
      <c r="O2397" s="7" t="n"/>
      <c r="P2397" s="7">
        <f>IF($B2397="","",O2397*X2397/100)</f>
        <v/>
      </c>
      <c r="Q2397" s="7">
        <f>IF($B2397="","",O2397-P2397)</f>
        <v/>
      </c>
      <c r="R2397" s="7">
        <f>IF($B2397="","",Q2397-J2397)</f>
        <v/>
      </c>
      <c r="S2397" s="7" t="n"/>
      <c r="T2397" s="7" t="n"/>
      <c r="V2397" s="14" t="n"/>
      <c r="Z2397">
        <f>IF($B2397="","",IF(COUNTIF($B$2:$B2397,$B2397)=1,1,0))</f>
        <v/>
      </c>
      <c r="AA2397">
        <f>IF($Z2397=1,SUMPRODUCT(--($AC$2:$AC$3001&lt;$AC2397))+1,"")</f>
        <v/>
      </c>
      <c r="AB2397">
        <f>IF($B2397="","",IF(OR($Y2397=TRUE(),$Y2397="TRUE"),1,IF(AND($Y2397&lt;&gt;"",OR($Y2397=FALSE(),$Y2397="FALSE")),0,IF(MIN(ABS($X2397/100-Settings!$C$6),ABS($X2397/100-Settings!$G$6))&lt;=MIN(ABS($X2397/100-Settings!$C$7),ABS($X2397/100-Settings!$G$7)),1,0))))</f>
        <v/>
      </c>
      <c r="AC2397">
        <f>IF($Z2397=1,IFERROR(IF(VALUE($B2397)&lt;100000000,VALUE($B2397),1000000000),IFERROR(IF(VALUE(MID($B2397,2,20))&lt;100000000,VALUE(MID($B2397,2,20)),1000000000),1000000000))+ROW()/100000,"")</f>
        <v/>
      </c>
    </row>
    <row r="2398">
      <c r="A2398">
        <f>IF($B2398="","",IFERROR(IF(INDEX('Per Invoice'!$A$2:$A$801,MATCH($B2398,'Per Invoice'!$B$2:$B$801,0))=0,"",INDEX('Per Invoice'!$A$2:$A$801,MATCH($B2398,'Per Invoice'!$B$2:$B$801,0))),""))</f>
        <v/>
      </c>
      <c r="J2398" s="7">
        <f>IF($B2398="","",I2398*Q2398/100)</f>
        <v/>
      </c>
      <c r="N2398" s="7" t="n"/>
      <c r="O2398" s="7" t="n"/>
      <c r="P2398" s="7">
        <f>IF($B2398="","",O2398*X2398/100)</f>
        <v/>
      </c>
      <c r="Q2398" s="7">
        <f>IF($B2398="","",O2398-P2398)</f>
        <v/>
      </c>
      <c r="R2398" s="7">
        <f>IF($B2398="","",Q2398-J2398)</f>
        <v/>
      </c>
      <c r="S2398" s="7" t="n"/>
      <c r="T2398" s="7" t="n"/>
      <c r="V2398" s="14" t="n"/>
      <c r="Z2398">
        <f>IF($B2398="","",IF(COUNTIF($B$2:$B2398,$B2398)=1,1,0))</f>
        <v/>
      </c>
      <c r="AA2398">
        <f>IF($Z2398=1,SUMPRODUCT(--($AC$2:$AC$3001&lt;$AC2398))+1,"")</f>
        <v/>
      </c>
      <c r="AB2398">
        <f>IF($B2398="","",IF(OR($Y2398=TRUE(),$Y2398="TRUE"),1,IF(AND($Y2398&lt;&gt;"",OR($Y2398=FALSE(),$Y2398="FALSE")),0,IF(MIN(ABS($X2398/100-Settings!$C$6),ABS($X2398/100-Settings!$G$6))&lt;=MIN(ABS($X2398/100-Settings!$C$7),ABS($X2398/100-Settings!$G$7)),1,0))))</f>
        <v/>
      </c>
      <c r="AC2398">
        <f>IF($Z2398=1,IFERROR(IF(VALUE($B2398)&lt;100000000,VALUE($B2398),1000000000),IFERROR(IF(VALUE(MID($B2398,2,20))&lt;100000000,VALUE(MID($B2398,2,20)),1000000000),1000000000))+ROW()/100000,"")</f>
        <v/>
      </c>
    </row>
    <row r="2399">
      <c r="A2399">
        <f>IF($B2399="","",IFERROR(IF(INDEX('Per Invoice'!$A$2:$A$801,MATCH($B2399,'Per Invoice'!$B$2:$B$801,0))=0,"",INDEX('Per Invoice'!$A$2:$A$801,MATCH($B2399,'Per Invoice'!$B$2:$B$801,0))),""))</f>
        <v/>
      </c>
      <c r="J2399" s="7">
        <f>IF($B2399="","",I2399*Q2399/100)</f>
        <v/>
      </c>
      <c r="N2399" s="7" t="n"/>
      <c r="O2399" s="7" t="n"/>
      <c r="P2399" s="7">
        <f>IF($B2399="","",O2399*X2399/100)</f>
        <v/>
      </c>
      <c r="Q2399" s="7">
        <f>IF($B2399="","",O2399-P2399)</f>
        <v/>
      </c>
      <c r="R2399" s="7">
        <f>IF($B2399="","",Q2399-J2399)</f>
        <v/>
      </c>
      <c r="S2399" s="7" t="n"/>
      <c r="T2399" s="7" t="n"/>
      <c r="V2399" s="14" t="n"/>
      <c r="Z2399">
        <f>IF($B2399="","",IF(COUNTIF($B$2:$B2399,$B2399)=1,1,0))</f>
        <v/>
      </c>
      <c r="AA2399">
        <f>IF($Z2399=1,SUMPRODUCT(--($AC$2:$AC$3001&lt;$AC2399))+1,"")</f>
        <v/>
      </c>
      <c r="AB2399">
        <f>IF($B2399="","",IF(OR($Y2399=TRUE(),$Y2399="TRUE"),1,IF(AND($Y2399&lt;&gt;"",OR($Y2399=FALSE(),$Y2399="FALSE")),0,IF(MIN(ABS($X2399/100-Settings!$C$6),ABS($X2399/100-Settings!$G$6))&lt;=MIN(ABS($X2399/100-Settings!$C$7),ABS($X2399/100-Settings!$G$7)),1,0))))</f>
        <v/>
      </c>
      <c r="AC2399">
        <f>IF($Z2399=1,IFERROR(IF(VALUE($B2399)&lt;100000000,VALUE($B2399),1000000000),IFERROR(IF(VALUE(MID($B2399,2,20))&lt;100000000,VALUE(MID($B2399,2,20)),1000000000),1000000000))+ROW()/100000,"")</f>
        <v/>
      </c>
    </row>
    <row r="2400">
      <c r="A2400">
        <f>IF($B2400="","",IFERROR(IF(INDEX('Per Invoice'!$A$2:$A$801,MATCH($B2400,'Per Invoice'!$B$2:$B$801,0))=0,"",INDEX('Per Invoice'!$A$2:$A$801,MATCH($B2400,'Per Invoice'!$B$2:$B$801,0))),""))</f>
        <v/>
      </c>
      <c r="J2400" s="7">
        <f>IF($B2400="","",I2400*Q2400/100)</f>
        <v/>
      </c>
      <c r="N2400" s="7" t="n"/>
      <c r="O2400" s="7" t="n"/>
      <c r="P2400" s="7">
        <f>IF($B2400="","",O2400*X2400/100)</f>
        <v/>
      </c>
      <c r="Q2400" s="7">
        <f>IF($B2400="","",O2400-P2400)</f>
        <v/>
      </c>
      <c r="R2400" s="7">
        <f>IF($B2400="","",Q2400-J2400)</f>
        <v/>
      </c>
      <c r="S2400" s="7" t="n"/>
      <c r="T2400" s="7" t="n"/>
      <c r="V2400" s="14" t="n"/>
      <c r="Z2400">
        <f>IF($B2400="","",IF(COUNTIF($B$2:$B2400,$B2400)=1,1,0))</f>
        <v/>
      </c>
      <c r="AA2400">
        <f>IF($Z2400=1,SUMPRODUCT(--($AC$2:$AC$3001&lt;$AC2400))+1,"")</f>
        <v/>
      </c>
      <c r="AB2400">
        <f>IF($B2400="","",IF(OR($Y2400=TRUE(),$Y2400="TRUE"),1,IF(AND($Y2400&lt;&gt;"",OR($Y2400=FALSE(),$Y2400="FALSE")),0,IF(MIN(ABS($X2400/100-Settings!$C$6),ABS($X2400/100-Settings!$G$6))&lt;=MIN(ABS($X2400/100-Settings!$C$7),ABS($X2400/100-Settings!$G$7)),1,0))))</f>
        <v/>
      </c>
      <c r="AC2400">
        <f>IF($Z2400=1,IFERROR(IF(VALUE($B2400)&lt;100000000,VALUE($B2400),1000000000),IFERROR(IF(VALUE(MID($B2400,2,20))&lt;100000000,VALUE(MID($B2400,2,20)),1000000000),1000000000))+ROW()/100000,"")</f>
        <v/>
      </c>
    </row>
    <row r="2401">
      <c r="A2401">
        <f>IF($B2401="","",IFERROR(IF(INDEX('Per Invoice'!$A$2:$A$801,MATCH($B2401,'Per Invoice'!$B$2:$B$801,0))=0,"",INDEX('Per Invoice'!$A$2:$A$801,MATCH($B2401,'Per Invoice'!$B$2:$B$801,0))),""))</f>
        <v/>
      </c>
      <c r="J2401" s="7">
        <f>IF($B2401="","",I2401*Q2401/100)</f>
        <v/>
      </c>
      <c r="N2401" s="7" t="n"/>
      <c r="O2401" s="7" t="n"/>
      <c r="P2401" s="7">
        <f>IF($B2401="","",O2401*X2401/100)</f>
        <v/>
      </c>
      <c r="Q2401" s="7">
        <f>IF($B2401="","",O2401-P2401)</f>
        <v/>
      </c>
      <c r="R2401" s="7">
        <f>IF($B2401="","",Q2401-J2401)</f>
        <v/>
      </c>
      <c r="S2401" s="7" t="n"/>
      <c r="T2401" s="7" t="n"/>
      <c r="V2401" s="14" t="n"/>
      <c r="Z2401">
        <f>IF($B2401="","",IF(COUNTIF($B$2:$B2401,$B2401)=1,1,0))</f>
        <v/>
      </c>
      <c r="AA2401">
        <f>IF($Z2401=1,SUMPRODUCT(--($AC$2:$AC$3001&lt;$AC2401))+1,"")</f>
        <v/>
      </c>
      <c r="AB2401">
        <f>IF($B2401="","",IF(OR($Y2401=TRUE(),$Y2401="TRUE"),1,IF(AND($Y2401&lt;&gt;"",OR($Y2401=FALSE(),$Y2401="FALSE")),0,IF(MIN(ABS($X2401/100-Settings!$C$6),ABS($X2401/100-Settings!$G$6))&lt;=MIN(ABS($X2401/100-Settings!$C$7),ABS($X2401/100-Settings!$G$7)),1,0))))</f>
        <v/>
      </c>
      <c r="AC2401">
        <f>IF($Z2401=1,IFERROR(IF(VALUE($B2401)&lt;100000000,VALUE($B2401),1000000000),IFERROR(IF(VALUE(MID($B2401,2,20))&lt;100000000,VALUE(MID($B2401,2,20)),1000000000),1000000000))+ROW()/100000,"")</f>
        <v/>
      </c>
    </row>
    <row r="2402">
      <c r="A2402">
        <f>IF($B2402="","",IFERROR(IF(INDEX('Per Invoice'!$A$2:$A$801,MATCH($B2402,'Per Invoice'!$B$2:$B$801,0))=0,"",INDEX('Per Invoice'!$A$2:$A$801,MATCH($B2402,'Per Invoice'!$B$2:$B$801,0))),""))</f>
        <v/>
      </c>
      <c r="J2402" s="7">
        <f>IF($B2402="","",I2402*Q2402/100)</f>
        <v/>
      </c>
      <c r="N2402" s="7" t="n"/>
      <c r="O2402" s="7" t="n"/>
      <c r="P2402" s="7">
        <f>IF($B2402="","",O2402*X2402/100)</f>
        <v/>
      </c>
      <c r="Q2402" s="7">
        <f>IF($B2402="","",O2402-P2402)</f>
        <v/>
      </c>
      <c r="R2402" s="7">
        <f>IF($B2402="","",Q2402-J2402)</f>
        <v/>
      </c>
      <c r="S2402" s="7" t="n"/>
      <c r="T2402" s="7" t="n"/>
      <c r="V2402" s="14" t="n"/>
      <c r="Z2402">
        <f>IF($B2402="","",IF(COUNTIF($B$2:$B2402,$B2402)=1,1,0))</f>
        <v/>
      </c>
      <c r="AA2402">
        <f>IF($Z2402=1,SUMPRODUCT(--($AC$2:$AC$3001&lt;$AC2402))+1,"")</f>
        <v/>
      </c>
      <c r="AB2402">
        <f>IF($B2402="","",IF(OR($Y2402=TRUE(),$Y2402="TRUE"),1,IF(AND($Y2402&lt;&gt;"",OR($Y2402=FALSE(),$Y2402="FALSE")),0,IF(MIN(ABS($X2402/100-Settings!$C$6),ABS($X2402/100-Settings!$G$6))&lt;=MIN(ABS($X2402/100-Settings!$C$7),ABS($X2402/100-Settings!$G$7)),1,0))))</f>
        <v/>
      </c>
      <c r="AC2402">
        <f>IF($Z2402=1,IFERROR(IF(VALUE($B2402)&lt;100000000,VALUE($B2402),1000000000),IFERROR(IF(VALUE(MID($B2402,2,20))&lt;100000000,VALUE(MID($B2402,2,20)),1000000000),1000000000))+ROW()/100000,"")</f>
        <v/>
      </c>
    </row>
    <row r="2403">
      <c r="A2403">
        <f>IF($B2403="","",IFERROR(IF(INDEX('Per Invoice'!$A$2:$A$801,MATCH($B2403,'Per Invoice'!$B$2:$B$801,0))=0,"",INDEX('Per Invoice'!$A$2:$A$801,MATCH($B2403,'Per Invoice'!$B$2:$B$801,0))),""))</f>
        <v/>
      </c>
      <c r="J2403" s="7">
        <f>IF($B2403="","",I2403*Q2403/100)</f>
        <v/>
      </c>
      <c r="N2403" s="7" t="n"/>
      <c r="O2403" s="7" t="n"/>
      <c r="P2403" s="7">
        <f>IF($B2403="","",O2403*X2403/100)</f>
        <v/>
      </c>
      <c r="Q2403" s="7">
        <f>IF($B2403="","",O2403-P2403)</f>
        <v/>
      </c>
      <c r="R2403" s="7">
        <f>IF($B2403="","",Q2403-J2403)</f>
        <v/>
      </c>
      <c r="S2403" s="7" t="n"/>
      <c r="T2403" s="7" t="n"/>
      <c r="V2403" s="14" t="n"/>
      <c r="Z2403">
        <f>IF($B2403="","",IF(COUNTIF($B$2:$B2403,$B2403)=1,1,0))</f>
        <v/>
      </c>
      <c r="AA2403">
        <f>IF($Z2403=1,SUMPRODUCT(--($AC$2:$AC$3001&lt;$AC2403))+1,"")</f>
        <v/>
      </c>
      <c r="AB2403">
        <f>IF($B2403="","",IF(OR($Y2403=TRUE(),$Y2403="TRUE"),1,IF(AND($Y2403&lt;&gt;"",OR($Y2403=FALSE(),$Y2403="FALSE")),0,IF(MIN(ABS($X2403/100-Settings!$C$6),ABS($X2403/100-Settings!$G$6))&lt;=MIN(ABS($X2403/100-Settings!$C$7),ABS($X2403/100-Settings!$G$7)),1,0))))</f>
        <v/>
      </c>
      <c r="AC2403">
        <f>IF($Z2403=1,IFERROR(IF(VALUE($B2403)&lt;100000000,VALUE($B2403),1000000000),IFERROR(IF(VALUE(MID($B2403,2,20))&lt;100000000,VALUE(MID($B2403,2,20)),1000000000),1000000000))+ROW()/100000,"")</f>
        <v/>
      </c>
    </row>
    <row r="2404">
      <c r="A2404">
        <f>IF($B2404="","",IFERROR(IF(INDEX('Per Invoice'!$A$2:$A$801,MATCH($B2404,'Per Invoice'!$B$2:$B$801,0))=0,"",INDEX('Per Invoice'!$A$2:$A$801,MATCH($B2404,'Per Invoice'!$B$2:$B$801,0))),""))</f>
        <v/>
      </c>
      <c r="J2404" s="7">
        <f>IF($B2404="","",I2404*Q2404/100)</f>
        <v/>
      </c>
      <c r="N2404" s="7" t="n"/>
      <c r="O2404" s="7" t="n"/>
      <c r="P2404" s="7">
        <f>IF($B2404="","",O2404*X2404/100)</f>
        <v/>
      </c>
      <c r="Q2404" s="7">
        <f>IF($B2404="","",O2404-P2404)</f>
        <v/>
      </c>
      <c r="R2404" s="7">
        <f>IF($B2404="","",Q2404-J2404)</f>
        <v/>
      </c>
      <c r="S2404" s="7" t="n"/>
      <c r="T2404" s="7" t="n"/>
      <c r="V2404" s="14" t="n"/>
      <c r="Z2404">
        <f>IF($B2404="","",IF(COUNTIF($B$2:$B2404,$B2404)=1,1,0))</f>
        <v/>
      </c>
      <c r="AA2404">
        <f>IF($Z2404=1,SUMPRODUCT(--($AC$2:$AC$3001&lt;$AC2404))+1,"")</f>
        <v/>
      </c>
      <c r="AB2404">
        <f>IF($B2404="","",IF(OR($Y2404=TRUE(),$Y2404="TRUE"),1,IF(AND($Y2404&lt;&gt;"",OR($Y2404=FALSE(),$Y2404="FALSE")),0,IF(MIN(ABS($X2404/100-Settings!$C$6),ABS($X2404/100-Settings!$G$6))&lt;=MIN(ABS($X2404/100-Settings!$C$7),ABS($X2404/100-Settings!$G$7)),1,0))))</f>
        <v/>
      </c>
      <c r="AC2404">
        <f>IF($Z2404=1,IFERROR(IF(VALUE($B2404)&lt;100000000,VALUE($B2404),1000000000),IFERROR(IF(VALUE(MID($B2404,2,20))&lt;100000000,VALUE(MID($B2404,2,20)),1000000000),1000000000))+ROW()/100000,"")</f>
        <v/>
      </c>
    </row>
    <row r="2405">
      <c r="A2405">
        <f>IF($B2405="","",IFERROR(IF(INDEX('Per Invoice'!$A$2:$A$801,MATCH($B2405,'Per Invoice'!$B$2:$B$801,0))=0,"",INDEX('Per Invoice'!$A$2:$A$801,MATCH($B2405,'Per Invoice'!$B$2:$B$801,0))),""))</f>
        <v/>
      </c>
      <c r="J2405" s="7">
        <f>IF($B2405="","",I2405*Q2405/100)</f>
        <v/>
      </c>
      <c r="N2405" s="7" t="n"/>
      <c r="O2405" s="7" t="n"/>
      <c r="P2405" s="7">
        <f>IF($B2405="","",O2405*X2405/100)</f>
        <v/>
      </c>
      <c r="Q2405" s="7">
        <f>IF($B2405="","",O2405-P2405)</f>
        <v/>
      </c>
      <c r="R2405" s="7">
        <f>IF($B2405="","",Q2405-J2405)</f>
        <v/>
      </c>
      <c r="S2405" s="7" t="n"/>
      <c r="T2405" s="7" t="n"/>
      <c r="V2405" s="14" t="n"/>
      <c r="Z2405">
        <f>IF($B2405="","",IF(COUNTIF($B$2:$B2405,$B2405)=1,1,0))</f>
        <v/>
      </c>
      <c r="AA2405">
        <f>IF($Z2405=1,SUMPRODUCT(--($AC$2:$AC$3001&lt;$AC2405))+1,"")</f>
        <v/>
      </c>
      <c r="AB2405">
        <f>IF($B2405="","",IF(OR($Y2405=TRUE(),$Y2405="TRUE"),1,IF(AND($Y2405&lt;&gt;"",OR($Y2405=FALSE(),$Y2405="FALSE")),0,IF(MIN(ABS($X2405/100-Settings!$C$6),ABS($X2405/100-Settings!$G$6))&lt;=MIN(ABS($X2405/100-Settings!$C$7),ABS($X2405/100-Settings!$G$7)),1,0))))</f>
        <v/>
      </c>
      <c r="AC2405">
        <f>IF($Z2405=1,IFERROR(IF(VALUE($B2405)&lt;100000000,VALUE($B2405),1000000000),IFERROR(IF(VALUE(MID($B2405,2,20))&lt;100000000,VALUE(MID($B2405,2,20)),1000000000),1000000000))+ROW()/100000,"")</f>
        <v/>
      </c>
    </row>
    <row r="2406">
      <c r="A2406">
        <f>IF($B2406="","",IFERROR(IF(INDEX('Per Invoice'!$A$2:$A$801,MATCH($B2406,'Per Invoice'!$B$2:$B$801,0))=0,"",INDEX('Per Invoice'!$A$2:$A$801,MATCH($B2406,'Per Invoice'!$B$2:$B$801,0))),""))</f>
        <v/>
      </c>
      <c r="J2406" s="7">
        <f>IF($B2406="","",I2406*Q2406/100)</f>
        <v/>
      </c>
      <c r="N2406" s="7" t="n"/>
      <c r="O2406" s="7" t="n"/>
      <c r="P2406" s="7">
        <f>IF($B2406="","",O2406*X2406/100)</f>
        <v/>
      </c>
      <c r="Q2406" s="7">
        <f>IF($B2406="","",O2406-P2406)</f>
        <v/>
      </c>
      <c r="R2406" s="7">
        <f>IF($B2406="","",Q2406-J2406)</f>
        <v/>
      </c>
      <c r="S2406" s="7" t="n"/>
      <c r="T2406" s="7" t="n"/>
      <c r="V2406" s="14" t="n"/>
      <c r="Z2406">
        <f>IF($B2406="","",IF(COUNTIF($B$2:$B2406,$B2406)=1,1,0))</f>
        <v/>
      </c>
      <c r="AA2406">
        <f>IF($Z2406=1,SUMPRODUCT(--($AC$2:$AC$3001&lt;$AC2406))+1,"")</f>
        <v/>
      </c>
      <c r="AB2406">
        <f>IF($B2406="","",IF(OR($Y2406=TRUE(),$Y2406="TRUE"),1,IF(AND($Y2406&lt;&gt;"",OR($Y2406=FALSE(),$Y2406="FALSE")),0,IF(MIN(ABS($X2406/100-Settings!$C$6),ABS($X2406/100-Settings!$G$6))&lt;=MIN(ABS($X2406/100-Settings!$C$7),ABS($X2406/100-Settings!$G$7)),1,0))))</f>
        <v/>
      </c>
      <c r="AC2406">
        <f>IF($Z2406=1,IFERROR(IF(VALUE($B2406)&lt;100000000,VALUE($B2406),1000000000),IFERROR(IF(VALUE(MID($B2406,2,20))&lt;100000000,VALUE(MID($B2406,2,20)),1000000000),1000000000))+ROW()/100000,"")</f>
        <v/>
      </c>
    </row>
    <row r="2407">
      <c r="A2407">
        <f>IF($B2407="","",IFERROR(IF(INDEX('Per Invoice'!$A$2:$A$801,MATCH($B2407,'Per Invoice'!$B$2:$B$801,0))=0,"",INDEX('Per Invoice'!$A$2:$A$801,MATCH($B2407,'Per Invoice'!$B$2:$B$801,0))),""))</f>
        <v/>
      </c>
      <c r="J2407" s="7">
        <f>IF($B2407="","",I2407*Q2407/100)</f>
        <v/>
      </c>
      <c r="N2407" s="7" t="n"/>
      <c r="O2407" s="7" t="n"/>
      <c r="P2407" s="7">
        <f>IF($B2407="","",O2407*X2407/100)</f>
        <v/>
      </c>
      <c r="Q2407" s="7">
        <f>IF($B2407="","",O2407-P2407)</f>
        <v/>
      </c>
      <c r="R2407" s="7">
        <f>IF($B2407="","",Q2407-J2407)</f>
        <v/>
      </c>
      <c r="S2407" s="7" t="n"/>
      <c r="T2407" s="7" t="n"/>
      <c r="V2407" s="14" t="n"/>
      <c r="Z2407">
        <f>IF($B2407="","",IF(COUNTIF($B$2:$B2407,$B2407)=1,1,0))</f>
        <v/>
      </c>
      <c r="AA2407">
        <f>IF($Z2407=1,SUMPRODUCT(--($AC$2:$AC$3001&lt;$AC2407))+1,"")</f>
        <v/>
      </c>
      <c r="AB2407">
        <f>IF($B2407="","",IF(OR($Y2407=TRUE(),$Y2407="TRUE"),1,IF(AND($Y2407&lt;&gt;"",OR($Y2407=FALSE(),$Y2407="FALSE")),0,IF(MIN(ABS($X2407/100-Settings!$C$6),ABS($X2407/100-Settings!$G$6))&lt;=MIN(ABS($X2407/100-Settings!$C$7),ABS($X2407/100-Settings!$G$7)),1,0))))</f>
        <v/>
      </c>
      <c r="AC2407">
        <f>IF($Z2407=1,IFERROR(IF(VALUE($B2407)&lt;100000000,VALUE($B2407),1000000000),IFERROR(IF(VALUE(MID($B2407,2,20))&lt;100000000,VALUE(MID($B2407,2,20)),1000000000),1000000000))+ROW()/100000,"")</f>
        <v/>
      </c>
    </row>
    <row r="2408">
      <c r="A2408">
        <f>IF($B2408="","",IFERROR(IF(INDEX('Per Invoice'!$A$2:$A$801,MATCH($B2408,'Per Invoice'!$B$2:$B$801,0))=0,"",INDEX('Per Invoice'!$A$2:$A$801,MATCH($B2408,'Per Invoice'!$B$2:$B$801,0))),""))</f>
        <v/>
      </c>
      <c r="J2408" s="7">
        <f>IF($B2408="","",I2408*Q2408/100)</f>
        <v/>
      </c>
      <c r="N2408" s="7" t="n"/>
      <c r="O2408" s="7" t="n"/>
      <c r="P2408" s="7">
        <f>IF($B2408="","",O2408*X2408/100)</f>
        <v/>
      </c>
      <c r="Q2408" s="7">
        <f>IF($B2408="","",O2408-P2408)</f>
        <v/>
      </c>
      <c r="R2408" s="7">
        <f>IF($B2408="","",Q2408-J2408)</f>
        <v/>
      </c>
      <c r="S2408" s="7" t="n"/>
      <c r="T2408" s="7" t="n"/>
      <c r="V2408" s="14" t="n"/>
      <c r="Z2408">
        <f>IF($B2408="","",IF(COUNTIF($B$2:$B2408,$B2408)=1,1,0))</f>
        <v/>
      </c>
      <c r="AA2408">
        <f>IF($Z2408=1,SUMPRODUCT(--($AC$2:$AC$3001&lt;$AC2408))+1,"")</f>
        <v/>
      </c>
      <c r="AB2408">
        <f>IF($B2408="","",IF(OR($Y2408=TRUE(),$Y2408="TRUE"),1,IF(AND($Y2408&lt;&gt;"",OR($Y2408=FALSE(),$Y2408="FALSE")),0,IF(MIN(ABS($X2408/100-Settings!$C$6),ABS($X2408/100-Settings!$G$6))&lt;=MIN(ABS($X2408/100-Settings!$C$7),ABS($X2408/100-Settings!$G$7)),1,0))))</f>
        <v/>
      </c>
      <c r="AC2408">
        <f>IF($Z2408=1,IFERROR(IF(VALUE($B2408)&lt;100000000,VALUE($B2408),1000000000),IFERROR(IF(VALUE(MID($B2408,2,20))&lt;100000000,VALUE(MID($B2408,2,20)),1000000000),1000000000))+ROW()/100000,"")</f>
        <v/>
      </c>
    </row>
    <row r="2409">
      <c r="A2409">
        <f>IF($B2409="","",IFERROR(IF(INDEX('Per Invoice'!$A$2:$A$801,MATCH($B2409,'Per Invoice'!$B$2:$B$801,0))=0,"",INDEX('Per Invoice'!$A$2:$A$801,MATCH($B2409,'Per Invoice'!$B$2:$B$801,0))),""))</f>
        <v/>
      </c>
      <c r="J2409" s="7">
        <f>IF($B2409="","",I2409*Q2409/100)</f>
        <v/>
      </c>
      <c r="N2409" s="7" t="n"/>
      <c r="O2409" s="7" t="n"/>
      <c r="P2409" s="7">
        <f>IF($B2409="","",O2409*X2409/100)</f>
        <v/>
      </c>
      <c r="Q2409" s="7">
        <f>IF($B2409="","",O2409-P2409)</f>
        <v/>
      </c>
      <c r="R2409" s="7">
        <f>IF($B2409="","",Q2409-J2409)</f>
        <v/>
      </c>
      <c r="S2409" s="7" t="n"/>
      <c r="T2409" s="7" t="n"/>
      <c r="V2409" s="14" t="n"/>
      <c r="Z2409">
        <f>IF($B2409="","",IF(COUNTIF($B$2:$B2409,$B2409)=1,1,0))</f>
        <v/>
      </c>
      <c r="AA2409">
        <f>IF($Z2409=1,SUMPRODUCT(--($AC$2:$AC$3001&lt;$AC2409))+1,"")</f>
        <v/>
      </c>
      <c r="AB2409">
        <f>IF($B2409="","",IF(OR($Y2409=TRUE(),$Y2409="TRUE"),1,IF(AND($Y2409&lt;&gt;"",OR($Y2409=FALSE(),$Y2409="FALSE")),0,IF(MIN(ABS($X2409/100-Settings!$C$6),ABS($X2409/100-Settings!$G$6))&lt;=MIN(ABS($X2409/100-Settings!$C$7),ABS($X2409/100-Settings!$G$7)),1,0))))</f>
        <v/>
      </c>
      <c r="AC2409">
        <f>IF($Z2409=1,IFERROR(IF(VALUE($B2409)&lt;100000000,VALUE($B2409),1000000000),IFERROR(IF(VALUE(MID($B2409,2,20))&lt;100000000,VALUE(MID($B2409,2,20)),1000000000),1000000000))+ROW()/100000,"")</f>
        <v/>
      </c>
    </row>
    <row r="2410">
      <c r="A2410">
        <f>IF($B2410="","",IFERROR(IF(INDEX('Per Invoice'!$A$2:$A$801,MATCH($B2410,'Per Invoice'!$B$2:$B$801,0))=0,"",INDEX('Per Invoice'!$A$2:$A$801,MATCH($B2410,'Per Invoice'!$B$2:$B$801,0))),""))</f>
        <v/>
      </c>
      <c r="J2410" s="7">
        <f>IF($B2410="","",I2410*Q2410/100)</f>
        <v/>
      </c>
      <c r="N2410" s="7" t="n"/>
      <c r="O2410" s="7" t="n"/>
      <c r="P2410" s="7">
        <f>IF($B2410="","",O2410*X2410/100)</f>
        <v/>
      </c>
      <c r="Q2410" s="7">
        <f>IF($B2410="","",O2410-P2410)</f>
        <v/>
      </c>
      <c r="R2410" s="7">
        <f>IF($B2410="","",Q2410-J2410)</f>
        <v/>
      </c>
      <c r="S2410" s="7" t="n"/>
      <c r="T2410" s="7" t="n"/>
      <c r="V2410" s="14" t="n"/>
      <c r="Z2410">
        <f>IF($B2410="","",IF(COUNTIF($B$2:$B2410,$B2410)=1,1,0))</f>
        <v/>
      </c>
      <c r="AA2410">
        <f>IF($Z2410=1,SUMPRODUCT(--($AC$2:$AC$3001&lt;$AC2410))+1,"")</f>
        <v/>
      </c>
      <c r="AB2410">
        <f>IF($B2410="","",IF(OR($Y2410=TRUE(),$Y2410="TRUE"),1,IF(AND($Y2410&lt;&gt;"",OR($Y2410=FALSE(),$Y2410="FALSE")),0,IF(MIN(ABS($X2410/100-Settings!$C$6),ABS($X2410/100-Settings!$G$6))&lt;=MIN(ABS($X2410/100-Settings!$C$7),ABS($X2410/100-Settings!$G$7)),1,0))))</f>
        <v/>
      </c>
      <c r="AC2410">
        <f>IF($Z2410=1,IFERROR(IF(VALUE($B2410)&lt;100000000,VALUE($B2410),1000000000),IFERROR(IF(VALUE(MID($B2410,2,20))&lt;100000000,VALUE(MID($B2410,2,20)),1000000000),1000000000))+ROW()/100000,"")</f>
        <v/>
      </c>
    </row>
    <row r="2411">
      <c r="A2411">
        <f>IF($B2411="","",IFERROR(IF(INDEX('Per Invoice'!$A$2:$A$801,MATCH($B2411,'Per Invoice'!$B$2:$B$801,0))=0,"",INDEX('Per Invoice'!$A$2:$A$801,MATCH($B2411,'Per Invoice'!$B$2:$B$801,0))),""))</f>
        <v/>
      </c>
      <c r="J2411" s="7">
        <f>IF($B2411="","",I2411*Q2411/100)</f>
        <v/>
      </c>
      <c r="N2411" s="7" t="n"/>
      <c r="O2411" s="7" t="n"/>
      <c r="P2411" s="7">
        <f>IF($B2411="","",O2411*X2411/100)</f>
        <v/>
      </c>
      <c r="Q2411" s="7">
        <f>IF($B2411="","",O2411-P2411)</f>
        <v/>
      </c>
      <c r="R2411" s="7">
        <f>IF($B2411="","",Q2411-J2411)</f>
        <v/>
      </c>
      <c r="S2411" s="7" t="n"/>
      <c r="T2411" s="7" t="n"/>
      <c r="V2411" s="14" t="n"/>
      <c r="Z2411">
        <f>IF($B2411="","",IF(COUNTIF($B$2:$B2411,$B2411)=1,1,0))</f>
        <v/>
      </c>
      <c r="AA2411">
        <f>IF($Z2411=1,SUMPRODUCT(--($AC$2:$AC$3001&lt;$AC2411))+1,"")</f>
        <v/>
      </c>
      <c r="AB2411">
        <f>IF($B2411="","",IF(OR($Y2411=TRUE(),$Y2411="TRUE"),1,IF(AND($Y2411&lt;&gt;"",OR($Y2411=FALSE(),$Y2411="FALSE")),0,IF(MIN(ABS($X2411/100-Settings!$C$6),ABS($X2411/100-Settings!$G$6))&lt;=MIN(ABS($X2411/100-Settings!$C$7),ABS($X2411/100-Settings!$G$7)),1,0))))</f>
        <v/>
      </c>
      <c r="AC2411">
        <f>IF($Z2411=1,IFERROR(IF(VALUE($B2411)&lt;100000000,VALUE($B2411),1000000000),IFERROR(IF(VALUE(MID($B2411,2,20))&lt;100000000,VALUE(MID($B2411,2,20)),1000000000),1000000000))+ROW()/100000,"")</f>
        <v/>
      </c>
    </row>
    <row r="2412">
      <c r="A2412">
        <f>IF($B2412="","",IFERROR(IF(INDEX('Per Invoice'!$A$2:$A$801,MATCH($B2412,'Per Invoice'!$B$2:$B$801,0))=0,"",INDEX('Per Invoice'!$A$2:$A$801,MATCH($B2412,'Per Invoice'!$B$2:$B$801,0))),""))</f>
        <v/>
      </c>
      <c r="J2412" s="7">
        <f>IF($B2412="","",I2412*Q2412/100)</f>
        <v/>
      </c>
      <c r="N2412" s="7" t="n"/>
      <c r="O2412" s="7" t="n"/>
      <c r="P2412" s="7">
        <f>IF($B2412="","",O2412*X2412/100)</f>
        <v/>
      </c>
      <c r="Q2412" s="7">
        <f>IF($B2412="","",O2412-P2412)</f>
        <v/>
      </c>
      <c r="R2412" s="7">
        <f>IF($B2412="","",Q2412-J2412)</f>
        <v/>
      </c>
      <c r="S2412" s="7" t="n"/>
      <c r="T2412" s="7" t="n"/>
      <c r="V2412" s="14" t="n"/>
      <c r="Z2412">
        <f>IF($B2412="","",IF(COUNTIF($B$2:$B2412,$B2412)=1,1,0))</f>
        <v/>
      </c>
      <c r="AA2412">
        <f>IF($Z2412=1,SUMPRODUCT(--($AC$2:$AC$3001&lt;$AC2412))+1,"")</f>
        <v/>
      </c>
      <c r="AB2412">
        <f>IF($B2412="","",IF(OR($Y2412=TRUE(),$Y2412="TRUE"),1,IF(AND($Y2412&lt;&gt;"",OR($Y2412=FALSE(),$Y2412="FALSE")),0,IF(MIN(ABS($X2412/100-Settings!$C$6),ABS($X2412/100-Settings!$G$6))&lt;=MIN(ABS($X2412/100-Settings!$C$7),ABS($X2412/100-Settings!$G$7)),1,0))))</f>
        <v/>
      </c>
      <c r="AC2412">
        <f>IF($Z2412=1,IFERROR(IF(VALUE($B2412)&lt;100000000,VALUE($B2412),1000000000),IFERROR(IF(VALUE(MID($B2412,2,20))&lt;100000000,VALUE(MID($B2412,2,20)),1000000000),1000000000))+ROW()/100000,"")</f>
        <v/>
      </c>
    </row>
    <row r="2413">
      <c r="A2413">
        <f>IF($B2413="","",IFERROR(IF(INDEX('Per Invoice'!$A$2:$A$801,MATCH($B2413,'Per Invoice'!$B$2:$B$801,0))=0,"",INDEX('Per Invoice'!$A$2:$A$801,MATCH($B2413,'Per Invoice'!$B$2:$B$801,0))),""))</f>
        <v/>
      </c>
      <c r="J2413" s="7">
        <f>IF($B2413="","",I2413*Q2413/100)</f>
        <v/>
      </c>
      <c r="N2413" s="7" t="n"/>
      <c r="O2413" s="7" t="n"/>
      <c r="P2413" s="7">
        <f>IF($B2413="","",O2413*X2413/100)</f>
        <v/>
      </c>
      <c r="Q2413" s="7">
        <f>IF($B2413="","",O2413-P2413)</f>
        <v/>
      </c>
      <c r="R2413" s="7">
        <f>IF($B2413="","",Q2413-J2413)</f>
        <v/>
      </c>
      <c r="S2413" s="7" t="n"/>
      <c r="T2413" s="7" t="n"/>
      <c r="V2413" s="14" t="n"/>
      <c r="Z2413">
        <f>IF($B2413="","",IF(COUNTIF($B$2:$B2413,$B2413)=1,1,0))</f>
        <v/>
      </c>
      <c r="AA2413">
        <f>IF($Z2413=1,SUMPRODUCT(--($AC$2:$AC$3001&lt;$AC2413))+1,"")</f>
        <v/>
      </c>
      <c r="AB2413">
        <f>IF($B2413="","",IF(OR($Y2413=TRUE(),$Y2413="TRUE"),1,IF(AND($Y2413&lt;&gt;"",OR($Y2413=FALSE(),$Y2413="FALSE")),0,IF(MIN(ABS($X2413/100-Settings!$C$6),ABS($X2413/100-Settings!$G$6))&lt;=MIN(ABS($X2413/100-Settings!$C$7),ABS($X2413/100-Settings!$G$7)),1,0))))</f>
        <v/>
      </c>
      <c r="AC2413">
        <f>IF($Z2413=1,IFERROR(IF(VALUE($B2413)&lt;100000000,VALUE($B2413),1000000000),IFERROR(IF(VALUE(MID($B2413,2,20))&lt;100000000,VALUE(MID($B2413,2,20)),1000000000),1000000000))+ROW()/100000,"")</f>
        <v/>
      </c>
    </row>
    <row r="2414">
      <c r="A2414">
        <f>IF($B2414="","",IFERROR(IF(INDEX('Per Invoice'!$A$2:$A$801,MATCH($B2414,'Per Invoice'!$B$2:$B$801,0))=0,"",INDEX('Per Invoice'!$A$2:$A$801,MATCH($B2414,'Per Invoice'!$B$2:$B$801,0))),""))</f>
        <v/>
      </c>
      <c r="J2414" s="7">
        <f>IF($B2414="","",I2414*Q2414/100)</f>
        <v/>
      </c>
      <c r="N2414" s="7" t="n"/>
      <c r="O2414" s="7" t="n"/>
      <c r="P2414" s="7">
        <f>IF($B2414="","",O2414*X2414/100)</f>
        <v/>
      </c>
      <c r="Q2414" s="7">
        <f>IF($B2414="","",O2414-P2414)</f>
        <v/>
      </c>
      <c r="R2414" s="7">
        <f>IF($B2414="","",Q2414-J2414)</f>
        <v/>
      </c>
      <c r="S2414" s="7" t="n"/>
      <c r="T2414" s="7" t="n"/>
      <c r="V2414" s="14" t="n"/>
      <c r="Z2414">
        <f>IF($B2414="","",IF(COUNTIF($B$2:$B2414,$B2414)=1,1,0))</f>
        <v/>
      </c>
      <c r="AA2414">
        <f>IF($Z2414=1,SUMPRODUCT(--($AC$2:$AC$3001&lt;$AC2414))+1,"")</f>
        <v/>
      </c>
      <c r="AB2414">
        <f>IF($B2414="","",IF(OR($Y2414=TRUE(),$Y2414="TRUE"),1,IF(AND($Y2414&lt;&gt;"",OR($Y2414=FALSE(),$Y2414="FALSE")),0,IF(MIN(ABS($X2414/100-Settings!$C$6),ABS($X2414/100-Settings!$G$6))&lt;=MIN(ABS($X2414/100-Settings!$C$7),ABS($X2414/100-Settings!$G$7)),1,0))))</f>
        <v/>
      </c>
      <c r="AC2414">
        <f>IF($Z2414=1,IFERROR(IF(VALUE($B2414)&lt;100000000,VALUE($B2414),1000000000),IFERROR(IF(VALUE(MID($B2414,2,20))&lt;100000000,VALUE(MID($B2414,2,20)),1000000000),1000000000))+ROW()/100000,"")</f>
        <v/>
      </c>
    </row>
    <row r="2415">
      <c r="A2415">
        <f>IF($B2415="","",IFERROR(IF(INDEX('Per Invoice'!$A$2:$A$801,MATCH($B2415,'Per Invoice'!$B$2:$B$801,0))=0,"",INDEX('Per Invoice'!$A$2:$A$801,MATCH($B2415,'Per Invoice'!$B$2:$B$801,0))),""))</f>
        <v/>
      </c>
      <c r="J2415" s="7">
        <f>IF($B2415="","",I2415*Q2415/100)</f>
        <v/>
      </c>
      <c r="N2415" s="7" t="n"/>
      <c r="O2415" s="7" t="n"/>
      <c r="P2415" s="7">
        <f>IF($B2415="","",O2415*X2415/100)</f>
        <v/>
      </c>
      <c r="Q2415" s="7">
        <f>IF($B2415="","",O2415-P2415)</f>
        <v/>
      </c>
      <c r="R2415" s="7">
        <f>IF($B2415="","",Q2415-J2415)</f>
        <v/>
      </c>
      <c r="S2415" s="7" t="n"/>
      <c r="T2415" s="7" t="n"/>
      <c r="V2415" s="14" t="n"/>
      <c r="Z2415">
        <f>IF($B2415="","",IF(COUNTIF($B$2:$B2415,$B2415)=1,1,0))</f>
        <v/>
      </c>
      <c r="AA2415">
        <f>IF($Z2415=1,SUMPRODUCT(--($AC$2:$AC$3001&lt;$AC2415))+1,"")</f>
        <v/>
      </c>
      <c r="AB2415">
        <f>IF($B2415="","",IF(OR($Y2415=TRUE(),$Y2415="TRUE"),1,IF(AND($Y2415&lt;&gt;"",OR($Y2415=FALSE(),$Y2415="FALSE")),0,IF(MIN(ABS($X2415/100-Settings!$C$6),ABS($X2415/100-Settings!$G$6))&lt;=MIN(ABS($X2415/100-Settings!$C$7),ABS($X2415/100-Settings!$G$7)),1,0))))</f>
        <v/>
      </c>
      <c r="AC2415">
        <f>IF($Z2415=1,IFERROR(IF(VALUE($B2415)&lt;100000000,VALUE($B2415),1000000000),IFERROR(IF(VALUE(MID($B2415,2,20))&lt;100000000,VALUE(MID($B2415,2,20)),1000000000),1000000000))+ROW()/100000,"")</f>
        <v/>
      </c>
    </row>
    <row r="2416">
      <c r="A2416">
        <f>IF($B2416="","",IFERROR(IF(INDEX('Per Invoice'!$A$2:$A$801,MATCH($B2416,'Per Invoice'!$B$2:$B$801,0))=0,"",INDEX('Per Invoice'!$A$2:$A$801,MATCH($B2416,'Per Invoice'!$B$2:$B$801,0))),""))</f>
        <v/>
      </c>
      <c r="J2416" s="7">
        <f>IF($B2416="","",I2416*Q2416/100)</f>
        <v/>
      </c>
      <c r="N2416" s="7" t="n"/>
      <c r="O2416" s="7" t="n"/>
      <c r="P2416" s="7">
        <f>IF($B2416="","",O2416*X2416/100)</f>
        <v/>
      </c>
      <c r="Q2416" s="7">
        <f>IF($B2416="","",O2416-P2416)</f>
        <v/>
      </c>
      <c r="R2416" s="7">
        <f>IF($B2416="","",Q2416-J2416)</f>
        <v/>
      </c>
      <c r="S2416" s="7" t="n"/>
      <c r="T2416" s="7" t="n"/>
      <c r="V2416" s="14" t="n"/>
      <c r="Z2416">
        <f>IF($B2416="","",IF(COUNTIF($B$2:$B2416,$B2416)=1,1,0))</f>
        <v/>
      </c>
      <c r="AA2416">
        <f>IF($Z2416=1,SUMPRODUCT(--($AC$2:$AC$3001&lt;$AC2416))+1,"")</f>
        <v/>
      </c>
      <c r="AB2416">
        <f>IF($B2416="","",IF(OR($Y2416=TRUE(),$Y2416="TRUE"),1,IF(AND($Y2416&lt;&gt;"",OR($Y2416=FALSE(),$Y2416="FALSE")),0,IF(MIN(ABS($X2416/100-Settings!$C$6),ABS($X2416/100-Settings!$G$6))&lt;=MIN(ABS($X2416/100-Settings!$C$7),ABS($X2416/100-Settings!$G$7)),1,0))))</f>
        <v/>
      </c>
      <c r="AC2416">
        <f>IF($Z2416=1,IFERROR(IF(VALUE($B2416)&lt;100000000,VALUE($B2416),1000000000),IFERROR(IF(VALUE(MID($B2416,2,20))&lt;100000000,VALUE(MID($B2416,2,20)),1000000000),1000000000))+ROW()/100000,"")</f>
        <v/>
      </c>
    </row>
    <row r="2417">
      <c r="A2417">
        <f>IF($B2417="","",IFERROR(IF(INDEX('Per Invoice'!$A$2:$A$801,MATCH($B2417,'Per Invoice'!$B$2:$B$801,0))=0,"",INDEX('Per Invoice'!$A$2:$A$801,MATCH($B2417,'Per Invoice'!$B$2:$B$801,0))),""))</f>
        <v/>
      </c>
      <c r="J2417" s="7">
        <f>IF($B2417="","",I2417*Q2417/100)</f>
        <v/>
      </c>
      <c r="N2417" s="7" t="n"/>
      <c r="O2417" s="7" t="n"/>
      <c r="P2417" s="7">
        <f>IF($B2417="","",O2417*X2417/100)</f>
        <v/>
      </c>
      <c r="Q2417" s="7">
        <f>IF($B2417="","",O2417-P2417)</f>
        <v/>
      </c>
      <c r="R2417" s="7">
        <f>IF($B2417="","",Q2417-J2417)</f>
        <v/>
      </c>
      <c r="S2417" s="7" t="n"/>
      <c r="T2417" s="7" t="n"/>
      <c r="V2417" s="14" t="n"/>
      <c r="Z2417">
        <f>IF($B2417="","",IF(COUNTIF($B$2:$B2417,$B2417)=1,1,0))</f>
        <v/>
      </c>
      <c r="AA2417">
        <f>IF($Z2417=1,SUMPRODUCT(--($AC$2:$AC$3001&lt;$AC2417))+1,"")</f>
        <v/>
      </c>
      <c r="AB2417">
        <f>IF($B2417="","",IF(OR($Y2417=TRUE(),$Y2417="TRUE"),1,IF(AND($Y2417&lt;&gt;"",OR($Y2417=FALSE(),$Y2417="FALSE")),0,IF(MIN(ABS($X2417/100-Settings!$C$6),ABS($X2417/100-Settings!$G$6))&lt;=MIN(ABS($X2417/100-Settings!$C$7),ABS($X2417/100-Settings!$G$7)),1,0))))</f>
        <v/>
      </c>
      <c r="AC2417">
        <f>IF($Z2417=1,IFERROR(IF(VALUE($B2417)&lt;100000000,VALUE($B2417),1000000000),IFERROR(IF(VALUE(MID($B2417,2,20))&lt;100000000,VALUE(MID($B2417,2,20)),1000000000),1000000000))+ROW()/100000,"")</f>
        <v/>
      </c>
    </row>
    <row r="2418">
      <c r="A2418">
        <f>IF($B2418="","",IFERROR(IF(INDEX('Per Invoice'!$A$2:$A$801,MATCH($B2418,'Per Invoice'!$B$2:$B$801,0))=0,"",INDEX('Per Invoice'!$A$2:$A$801,MATCH($B2418,'Per Invoice'!$B$2:$B$801,0))),""))</f>
        <v/>
      </c>
      <c r="J2418" s="7">
        <f>IF($B2418="","",I2418*Q2418/100)</f>
        <v/>
      </c>
      <c r="N2418" s="7" t="n"/>
      <c r="O2418" s="7" t="n"/>
      <c r="P2418" s="7">
        <f>IF($B2418="","",O2418*X2418/100)</f>
        <v/>
      </c>
      <c r="Q2418" s="7">
        <f>IF($B2418="","",O2418-P2418)</f>
        <v/>
      </c>
      <c r="R2418" s="7">
        <f>IF($B2418="","",Q2418-J2418)</f>
        <v/>
      </c>
      <c r="S2418" s="7" t="n"/>
      <c r="T2418" s="7" t="n"/>
      <c r="V2418" s="14" t="n"/>
      <c r="Z2418">
        <f>IF($B2418="","",IF(COUNTIF($B$2:$B2418,$B2418)=1,1,0))</f>
        <v/>
      </c>
      <c r="AA2418">
        <f>IF($Z2418=1,SUMPRODUCT(--($AC$2:$AC$3001&lt;$AC2418))+1,"")</f>
        <v/>
      </c>
      <c r="AB2418">
        <f>IF($B2418="","",IF(OR($Y2418=TRUE(),$Y2418="TRUE"),1,IF(AND($Y2418&lt;&gt;"",OR($Y2418=FALSE(),$Y2418="FALSE")),0,IF(MIN(ABS($X2418/100-Settings!$C$6),ABS($X2418/100-Settings!$G$6))&lt;=MIN(ABS($X2418/100-Settings!$C$7),ABS($X2418/100-Settings!$G$7)),1,0))))</f>
        <v/>
      </c>
      <c r="AC2418">
        <f>IF($Z2418=1,IFERROR(IF(VALUE($B2418)&lt;100000000,VALUE($B2418),1000000000),IFERROR(IF(VALUE(MID($B2418,2,20))&lt;100000000,VALUE(MID($B2418,2,20)),1000000000),1000000000))+ROW()/100000,"")</f>
        <v/>
      </c>
    </row>
    <row r="2419">
      <c r="A2419">
        <f>IF($B2419="","",IFERROR(IF(INDEX('Per Invoice'!$A$2:$A$801,MATCH($B2419,'Per Invoice'!$B$2:$B$801,0))=0,"",INDEX('Per Invoice'!$A$2:$A$801,MATCH($B2419,'Per Invoice'!$B$2:$B$801,0))),""))</f>
        <v/>
      </c>
      <c r="J2419" s="7">
        <f>IF($B2419="","",I2419*Q2419/100)</f>
        <v/>
      </c>
      <c r="N2419" s="7" t="n"/>
      <c r="O2419" s="7" t="n"/>
      <c r="P2419" s="7">
        <f>IF($B2419="","",O2419*X2419/100)</f>
        <v/>
      </c>
      <c r="Q2419" s="7">
        <f>IF($B2419="","",O2419-P2419)</f>
        <v/>
      </c>
      <c r="R2419" s="7">
        <f>IF($B2419="","",Q2419-J2419)</f>
        <v/>
      </c>
      <c r="S2419" s="7" t="n"/>
      <c r="T2419" s="7" t="n"/>
      <c r="V2419" s="14" t="n"/>
      <c r="Z2419">
        <f>IF($B2419="","",IF(COUNTIF($B$2:$B2419,$B2419)=1,1,0))</f>
        <v/>
      </c>
      <c r="AA2419">
        <f>IF($Z2419=1,SUMPRODUCT(--($AC$2:$AC$3001&lt;$AC2419))+1,"")</f>
        <v/>
      </c>
      <c r="AB2419">
        <f>IF($B2419="","",IF(OR($Y2419=TRUE(),$Y2419="TRUE"),1,IF(AND($Y2419&lt;&gt;"",OR($Y2419=FALSE(),$Y2419="FALSE")),0,IF(MIN(ABS($X2419/100-Settings!$C$6),ABS($X2419/100-Settings!$G$6))&lt;=MIN(ABS($X2419/100-Settings!$C$7),ABS($X2419/100-Settings!$G$7)),1,0))))</f>
        <v/>
      </c>
      <c r="AC2419">
        <f>IF($Z2419=1,IFERROR(IF(VALUE($B2419)&lt;100000000,VALUE($B2419),1000000000),IFERROR(IF(VALUE(MID($B2419,2,20))&lt;100000000,VALUE(MID($B2419,2,20)),1000000000),1000000000))+ROW()/100000,"")</f>
        <v/>
      </c>
    </row>
    <row r="2420">
      <c r="A2420">
        <f>IF($B2420="","",IFERROR(IF(INDEX('Per Invoice'!$A$2:$A$801,MATCH($B2420,'Per Invoice'!$B$2:$B$801,0))=0,"",INDEX('Per Invoice'!$A$2:$A$801,MATCH($B2420,'Per Invoice'!$B$2:$B$801,0))),""))</f>
        <v/>
      </c>
      <c r="J2420" s="7">
        <f>IF($B2420="","",I2420*Q2420/100)</f>
        <v/>
      </c>
      <c r="N2420" s="7" t="n"/>
      <c r="O2420" s="7" t="n"/>
      <c r="P2420" s="7">
        <f>IF($B2420="","",O2420*X2420/100)</f>
        <v/>
      </c>
      <c r="Q2420" s="7">
        <f>IF($B2420="","",O2420-P2420)</f>
        <v/>
      </c>
      <c r="R2420" s="7">
        <f>IF($B2420="","",Q2420-J2420)</f>
        <v/>
      </c>
      <c r="S2420" s="7" t="n"/>
      <c r="T2420" s="7" t="n"/>
      <c r="V2420" s="14" t="n"/>
      <c r="Z2420">
        <f>IF($B2420="","",IF(COUNTIF($B$2:$B2420,$B2420)=1,1,0))</f>
        <v/>
      </c>
      <c r="AA2420">
        <f>IF($Z2420=1,SUMPRODUCT(--($AC$2:$AC$3001&lt;$AC2420))+1,"")</f>
        <v/>
      </c>
      <c r="AB2420">
        <f>IF($B2420="","",IF(OR($Y2420=TRUE(),$Y2420="TRUE"),1,IF(AND($Y2420&lt;&gt;"",OR($Y2420=FALSE(),$Y2420="FALSE")),0,IF(MIN(ABS($X2420/100-Settings!$C$6),ABS($X2420/100-Settings!$G$6))&lt;=MIN(ABS($X2420/100-Settings!$C$7),ABS($X2420/100-Settings!$G$7)),1,0))))</f>
        <v/>
      </c>
      <c r="AC2420">
        <f>IF($Z2420=1,IFERROR(IF(VALUE($B2420)&lt;100000000,VALUE($B2420),1000000000),IFERROR(IF(VALUE(MID($B2420,2,20))&lt;100000000,VALUE(MID($B2420,2,20)),1000000000),1000000000))+ROW()/100000,"")</f>
        <v/>
      </c>
    </row>
    <row r="2421">
      <c r="A2421">
        <f>IF($B2421="","",IFERROR(IF(INDEX('Per Invoice'!$A$2:$A$801,MATCH($B2421,'Per Invoice'!$B$2:$B$801,0))=0,"",INDEX('Per Invoice'!$A$2:$A$801,MATCH($B2421,'Per Invoice'!$B$2:$B$801,0))),""))</f>
        <v/>
      </c>
      <c r="J2421" s="7">
        <f>IF($B2421="","",I2421*Q2421/100)</f>
        <v/>
      </c>
      <c r="N2421" s="7" t="n"/>
      <c r="O2421" s="7" t="n"/>
      <c r="P2421" s="7">
        <f>IF($B2421="","",O2421*X2421/100)</f>
        <v/>
      </c>
      <c r="Q2421" s="7">
        <f>IF($B2421="","",O2421-P2421)</f>
        <v/>
      </c>
      <c r="R2421" s="7">
        <f>IF($B2421="","",Q2421-J2421)</f>
        <v/>
      </c>
      <c r="S2421" s="7" t="n"/>
      <c r="T2421" s="7" t="n"/>
      <c r="V2421" s="14" t="n"/>
      <c r="Z2421">
        <f>IF($B2421="","",IF(COUNTIF($B$2:$B2421,$B2421)=1,1,0))</f>
        <v/>
      </c>
      <c r="AA2421">
        <f>IF($Z2421=1,SUMPRODUCT(--($AC$2:$AC$3001&lt;$AC2421))+1,"")</f>
        <v/>
      </c>
      <c r="AB2421">
        <f>IF($B2421="","",IF(OR($Y2421=TRUE(),$Y2421="TRUE"),1,IF(AND($Y2421&lt;&gt;"",OR($Y2421=FALSE(),$Y2421="FALSE")),0,IF(MIN(ABS($X2421/100-Settings!$C$6),ABS($X2421/100-Settings!$G$6))&lt;=MIN(ABS($X2421/100-Settings!$C$7),ABS($X2421/100-Settings!$G$7)),1,0))))</f>
        <v/>
      </c>
      <c r="AC2421">
        <f>IF($Z2421=1,IFERROR(IF(VALUE($B2421)&lt;100000000,VALUE($B2421),1000000000),IFERROR(IF(VALUE(MID($B2421,2,20))&lt;100000000,VALUE(MID($B2421,2,20)),1000000000),1000000000))+ROW()/100000,"")</f>
        <v/>
      </c>
    </row>
    <row r="2422">
      <c r="A2422">
        <f>IF($B2422="","",IFERROR(IF(INDEX('Per Invoice'!$A$2:$A$801,MATCH($B2422,'Per Invoice'!$B$2:$B$801,0))=0,"",INDEX('Per Invoice'!$A$2:$A$801,MATCH($B2422,'Per Invoice'!$B$2:$B$801,0))),""))</f>
        <v/>
      </c>
      <c r="J2422" s="7">
        <f>IF($B2422="","",I2422*Q2422/100)</f>
        <v/>
      </c>
      <c r="N2422" s="7" t="n"/>
      <c r="O2422" s="7" t="n"/>
      <c r="P2422" s="7">
        <f>IF($B2422="","",O2422*X2422/100)</f>
        <v/>
      </c>
      <c r="Q2422" s="7">
        <f>IF($B2422="","",O2422-P2422)</f>
        <v/>
      </c>
      <c r="R2422" s="7">
        <f>IF($B2422="","",Q2422-J2422)</f>
        <v/>
      </c>
      <c r="S2422" s="7" t="n"/>
      <c r="T2422" s="7" t="n"/>
      <c r="V2422" s="14" t="n"/>
      <c r="Z2422">
        <f>IF($B2422="","",IF(COUNTIF($B$2:$B2422,$B2422)=1,1,0))</f>
        <v/>
      </c>
      <c r="AA2422">
        <f>IF($Z2422=1,SUMPRODUCT(--($AC$2:$AC$3001&lt;$AC2422))+1,"")</f>
        <v/>
      </c>
      <c r="AB2422">
        <f>IF($B2422="","",IF(OR($Y2422=TRUE(),$Y2422="TRUE"),1,IF(AND($Y2422&lt;&gt;"",OR($Y2422=FALSE(),$Y2422="FALSE")),0,IF(MIN(ABS($X2422/100-Settings!$C$6),ABS($X2422/100-Settings!$G$6))&lt;=MIN(ABS($X2422/100-Settings!$C$7),ABS($X2422/100-Settings!$G$7)),1,0))))</f>
        <v/>
      </c>
      <c r="AC2422">
        <f>IF($Z2422=1,IFERROR(IF(VALUE($B2422)&lt;100000000,VALUE($B2422),1000000000),IFERROR(IF(VALUE(MID($B2422,2,20))&lt;100000000,VALUE(MID($B2422,2,20)),1000000000),1000000000))+ROW()/100000,"")</f>
        <v/>
      </c>
    </row>
    <row r="2423">
      <c r="A2423">
        <f>IF($B2423="","",IFERROR(IF(INDEX('Per Invoice'!$A$2:$A$801,MATCH($B2423,'Per Invoice'!$B$2:$B$801,0))=0,"",INDEX('Per Invoice'!$A$2:$A$801,MATCH($B2423,'Per Invoice'!$B$2:$B$801,0))),""))</f>
        <v/>
      </c>
      <c r="J2423" s="7">
        <f>IF($B2423="","",I2423*Q2423/100)</f>
        <v/>
      </c>
      <c r="N2423" s="7" t="n"/>
      <c r="O2423" s="7" t="n"/>
      <c r="P2423" s="7">
        <f>IF($B2423="","",O2423*X2423/100)</f>
        <v/>
      </c>
      <c r="Q2423" s="7">
        <f>IF($B2423="","",O2423-P2423)</f>
        <v/>
      </c>
      <c r="R2423" s="7">
        <f>IF($B2423="","",Q2423-J2423)</f>
        <v/>
      </c>
      <c r="S2423" s="7" t="n"/>
      <c r="T2423" s="7" t="n"/>
      <c r="V2423" s="14" t="n"/>
      <c r="Z2423">
        <f>IF($B2423="","",IF(COUNTIF($B$2:$B2423,$B2423)=1,1,0))</f>
        <v/>
      </c>
      <c r="AA2423">
        <f>IF($Z2423=1,SUMPRODUCT(--($AC$2:$AC$3001&lt;$AC2423))+1,"")</f>
        <v/>
      </c>
      <c r="AB2423">
        <f>IF($B2423="","",IF(OR($Y2423=TRUE(),$Y2423="TRUE"),1,IF(AND($Y2423&lt;&gt;"",OR($Y2423=FALSE(),$Y2423="FALSE")),0,IF(MIN(ABS($X2423/100-Settings!$C$6),ABS($X2423/100-Settings!$G$6))&lt;=MIN(ABS($X2423/100-Settings!$C$7),ABS($X2423/100-Settings!$G$7)),1,0))))</f>
        <v/>
      </c>
      <c r="AC2423">
        <f>IF($Z2423=1,IFERROR(IF(VALUE($B2423)&lt;100000000,VALUE($B2423),1000000000),IFERROR(IF(VALUE(MID($B2423,2,20))&lt;100000000,VALUE(MID($B2423,2,20)),1000000000),1000000000))+ROW()/100000,"")</f>
        <v/>
      </c>
    </row>
    <row r="2424">
      <c r="A2424">
        <f>IF($B2424="","",IFERROR(IF(INDEX('Per Invoice'!$A$2:$A$801,MATCH($B2424,'Per Invoice'!$B$2:$B$801,0))=0,"",INDEX('Per Invoice'!$A$2:$A$801,MATCH($B2424,'Per Invoice'!$B$2:$B$801,0))),""))</f>
        <v/>
      </c>
      <c r="J2424" s="7">
        <f>IF($B2424="","",I2424*Q2424/100)</f>
        <v/>
      </c>
      <c r="N2424" s="7" t="n"/>
      <c r="O2424" s="7" t="n"/>
      <c r="P2424" s="7">
        <f>IF($B2424="","",O2424*X2424/100)</f>
        <v/>
      </c>
      <c r="Q2424" s="7">
        <f>IF($B2424="","",O2424-P2424)</f>
        <v/>
      </c>
      <c r="R2424" s="7">
        <f>IF($B2424="","",Q2424-J2424)</f>
        <v/>
      </c>
      <c r="S2424" s="7" t="n"/>
      <c r="T2424" s="7" t="n"/>
      <c r="V2424" s="14" t="n"/>
      <c r="Z2424">
        <f>IF($B2424="","",IF(COUNTIF($B$2:$B2424,$B2424)=1,1,0))</f>
        <v/>
      </c>
      <c r="AA2424">
        <f>IF($Z2424=1,SUMPRODUCT(--($AC$2:$AC$3001&lt;$AC2424))+1,"")</f>
        <v/>
      </c>
      <c r="AB2424">
        <f>IF($B2424="","",IF(OR($Y2424=TRUE(),$Y2424="TRUE"),1,IF(AND($Y2424&lt;&gt;"",OR($Y2424=FALSE(),$Y2424="FALSE")),0,IF(MIN(ABS($X2424/100-Settings!$C$6),ABS($X2424/100-Settings!$G$6))&lt;=MIN(ABS($X2424/100-Settings!$C$7),ABS($X2424/100-Settings!$G$7)),1,0))))</f>
        <v/>
      </c>
      <c r="AC2424">
        <f>IF($Z2424=1,IFERROR(IF(VALUE($B2424)&lt;100000000,VALUE($B2424),1000000000),IFERROR(IF(VALUE(MID($B2424,2,20))&lt;100000000,VALUE(MID($B2424,2,20)),1000000000),1000000000))+ROW()/100000,"")</f>
        <v/>
      </c>
    </row>
    <row r="2425">
      <c r="A2425">
        <f>IF($B2425="","",IFERROR(IF(INDEX('Per Invoice'!$A$2:$A$801,MATCH($B2425,'Per Invoice'!$B$2:$B$801,0))=0,"",INDEX('Per Invoice'!$A$2:$A$801,MATCH($B2425,'Per Invoice'!$B$2:$B$801,0))),""))</f>
        <v/>
      </c>
      <c r="J2425" s="7">
        <f>IF($B2425="","",I2425*Q2425/100)</f>
        <v/>
      </c>
      <c r="N2425" s="7" t="n"/>
      <c r="O2425" s="7" t="n"/>
      <c r="P2425" s="7">
        <f>IF($B2425="","",O2425*X2425/100)</f>
        <v/>
      </c>
      <c r="Q2425" s="7">
        <f>IF($B2425="","",O2425-P2425)</f>
        <v/>
      </c>
      <c r="R2425" s="7">
        <f>IF($B2425="","",Q2425-J2425)</f>
        <v/>
      </c>
      <c r="S2425" s="7" t="n"/>
      <c r="T2425" s="7" t="n"/>
      <c r="V2425" s="14" t="n"/>
      <c r="Z2425">
        <f>IF($B2425="","",IF(COUNTIF($B$2:$B2425,$B2425)=1,1,0))</f>
        <v/>
      </c>
      <c r="AA2425">
        <f>IF($Z2425=1,SUMPRODUCT(--($AC$2:$AC$3001&lt;$AC2425))+1,"")</f>
        <v/>
      </c>
      <c r="AB2425">
        <f>IF($B2425="","",IF(OR($Y2425=TRUE(),$Y2425="TRUE"),1,IF(AND($Y2425&lt;&gt;"",OR($Y2425=FALSE(),$Y2425="FALSE")),0,IF(MIN(ABS($X2425/100-Settings!$C$6),ABS($X2425/100-Settings!$G$6))&lt;=MIN(ABS($X2425/100-Settings!$C$7),ABS($X2425/100-Settings!$G$7)),1,0))))</f>
        <v/>
      </c>
      <c r="AC2425">
        <f>IF($Z2425=1,IFERROR(IF(VALUE($B2425)&lt;100000000,VALUE($B2425),1000000000),IFERROR(IF(VALUE(MID($B2425,2,20))&lt;100000000,VALUE(MID($B2425,2,20)),1000000000),1000000000))+ROW()/100000,"")</f>
        <v/>
      </c>
    </row>
    <row r="2426">
      <c r="A2426">
        <f>IF($B2426="","",IFERROR(IF(INDEX('Per Invoice'!$A$2:$A$801,MATCH($B2426,'Per Invoice'!$B$2:$B$801,0))=0,"",INDEX('Per Invoice'!$A$2:$A$801,MATCH($B2426,'Per Invoice'!$B$2:$B$801,0))),""))</f>
        <v/>
      </c>
      <c r="J2426" s="7">
        <f>IF($B2426="","",I2426*Q2426/100)</f>
        <v/>
      </c>
      <c r="N2426" s="7" t="n"/>
      <c r="O2426" s="7" t="n"/>
      <c r="P2426" s="7">
        <f>IF($B2426="","",O2426*X2426/100)</f>
        <v/>
      </c>
      <c r="Q2426" s="7">
        <f>IF($B2426="","",O2426-P2426)</f>
        <v/>
      </c>
      <c r="R2426" s="7">
        <f>IF($B2426="","",Q2426-J2426)</f>
        <v/>
      </c>
      <c r="S2426" s="7" t="n"/>
      <c r="T2426" s="7" t="n"/>
      <c r="V2426" s="14" t="n"/>
      <c r="Z2426">
        <f>IF($B2426="","",IF(COUNTIF($B$2:$B2426,$B2426)=1,1,0))</f>
        <v/>
      </c>
      <c r="AA2426">
        <f>IF($Z2426=1,SUMPRODUCT(--($AC$2:$AC$3001&lt;$AC2426))+1,"")</f>
        <v/>
      </c>
      <c r="AB2426">
        <f>IF($B2426="","",IF(OR($Y2426=TRUE(),$Y2426="TRUE"),1,IF(AND($Y2426&lt;&gt;"",OR($Y2426=FALSE(),$Y2426="FALSE")),0,IF(MIN(ABS($X2426/100-Settings!$C$6),ABS($X2426/100-Settings!$G$6))&lt;=MIN(ABS($X2426/100-Settings!$C$7),ABS($X2426/100-Settings!$G$7)),1,0))))</f>
        <v/>
      </c>
      <c r="AC2426">
        <f>IF($Z2426=1,IFERROR(IF(VALUE($B2426)&lt;100000000,VALUE($B2426),1000000000),IFERROR(IF(VALUE(MID($B2426,2,20))&lt;100000000,VALUE(MID($B2426,2,20)),1000000000),1000000000))+ROW()/100000,"")</f>
        <v/>
      </c>
    </row>
    <row r="2427">
      <c r="A2427">
        <f>IF($B2427="","",IFERROR(IF(INDEX('Per Invoice'!$A$2:$A$801,MATCH($B2427,'Per Invoice'!$B$2:$B$801,0))=0,"",INDEX('Per Invoice'!$A$2:$A$801,MATCH($B2427,'Per Invoice'!$B$2:$B$801,0))),""))</f>
        <v/>
      </c>
      <c r="J2427" s="7">
        <f>IF($B2427="","",I2427*Q2427/100)</f>
        <v/>
      </c>
      <c r="N2427" s="7" t="n"/>
      <c r="O2427" s="7" t="n"/>
      <c r="P2427" s="7">
        <f>IF($B2427="","",O2427*X2427/100)</f>
        <v/>
      </c>
      <c r="Q2427" s="7">
        <f>IF($B2427="","",O2427-P2427)</f>
        <v/>
      </c>
      <c r="R2427" s="7">
        <f>IF($B2427="","",Q2427-J2427)</f>
        <v/>
      </c>
      <c r="S2427" s="7" t="n"/>
      <c r="T2427" s="7" t="n"/>
      <c r="V2427" s="14" t="n"/>
      <c r="Z2427">
        <f>IF($B2427="","",IF(COUNTIF($B$2:$B2427,$B2427)=1,1,0))</f>
        <v/>
      </c>
      <c r="AA2427">
        <f>IF($Z2427=1,SUMPRODUCT(--($AC$2:$AC$3001&lt;$AC2427))+1,"")</f>
        <v/>
      </c>
      <c r="AB2427">
        <f>IF($B2427="","",IF(OR($Y2427=TRUE(),$Y2427="TRUE"),1,IF(AND($Y2427&lt;&gt;"",OR($Y2427=FALSE(),$Y2427="FALSE")),0,IF(MIN(ABS($X2427/100-Settings!$C$6),ABS($X2427/100-Settings!$G$6))&lt;=MIN(ABS($X2427/100-Settings!$C$7),ABS($X2427/100-Settings!$G$7)),1,0))))</f>
        <v/>
      </c>
      <c r="AC2427">
        <f>IF($Z2427=1,IFERROR(IF(VALUE($B2427)&lt;100000000,VALUE($B2427),1000000000),IFERROR(IF(VALUE(MID($B2427,2,20))&lt;100000000,VALUE(MID($B2427,2,20)),1000000000),1000000000))+ROW()/100000,"")</f>
        <v/>
      </c>
    </row>
    <row r="2428">
      <c r="A2428">
        <f>IF($B2428="","",IFERROR(IF(INDEX('Per Invoice'!$A$2:$A$801,MATCH($B2428,'Per Invoice'!$B$2:$B$801,0))=0,"",INDEX('Per Invoice'!$A$2:$A$801,MATCH($B2428,'Per Invoice'!$B$2:$B$801,0))),""))</f>
        <v/>
      </c>
      <c r="J2428" s="7">
        <f>IF($B2428="","",I2428*Q2428/100)</f>
        <v/>
      </c>
      <c r="N2428" s="7" t="n"/>
      <c r="O2428" s="7" t="n"/>
      <c r="P2428" s="7">
        <f>IF($B2428="","",O2428*X2428/100)</f>
        <v/>
      </c>
      <c r="Q2428" s="7">
        <f>IF($B2428="","",O2428-P2428)</f>
        <v/>
      </c>
      <c r="R2428" s="7">
        <f>IF($B2428="","",Q2428-J2428)</f>
        <v/>
      </c>
      <c r="S2428" s="7" t="n"/>
      <c r="T2428" s="7" t="n"/>
      <c r="V2428" s="14" t="n"/>
      <c r="Z2428">
        <f>IF($B2428="","",IF(COUNTIF($B$2:$B2428,$B2428)=1,1,0))</f>
        <v/>
      </c>
      <c r="AA2428">
        <f>IF($Z2428=1,SUMPRODUCT(--($AC$2:$AC$3001&lt;$AC2428))+1,"")</f>
        <v/>
      </c>
      <c r="AB2428">
        <f>IF($B2428="","",IF(OR($Y2428=TRUE(),$Y2428="TRUE"),1,IF(AND($Y2428&lt;&gt;"",OR($Y2428=FALSE(),$Y2428="FALSE")),0,IF(MIN(ABS($X2428/100-Settings!$C$6),ABS($X2428/100-Settings!$G$6))&lt;=MIN(ABS($X2428/100-Settings!$C$7),ABS($X2428/100-Settings!$G$7)),1,0))))</f>
        <v/>
      </c>
      <c r="AC2428">
        <f>IF($Z2428=1,IFERROR(IF(VALUE($B2428)&lt;100000000,VALUE($B2428),1000000000),IFERROR(IF(VALUE(MID($B2428,2,20))&lt;100000000,VALUE(MID($B2428,2,20)),1000000000),1000000000))+ROW()/100000,"")</f>
        <v/>
      </c>
    </row>
    <row r="2429">
      <c r="A2429">
        <f>IF($B2429="","",IFERROR(IF(INDEX('Per Invoice'!$A$2:$A$801,MATCH($B2429,'Per Invoice'!$B$2:$B$801,0))=0,"",INDEX('Per Invoice'!$A$2:$A$801,MATCH($B2429,'Per Invoice'!$B$2:$B$801,0))),""))</f>
        <v/>
      </c>
      <c r="J2429" s="7">
        <f>IF($B2429="","",I2429*Q2429/100)</f>
        <v/>
      </c>
      <c r="N2429" s="7" t="n"/>
      <c r="O2429" s="7" t="n"/>
      <c r="P2429" s="7">
        <f>IF($B2429="","",O2429*X2429/100)</f>
        <v/>
      </c>
      <c r="Q2429" s="7">
        <f>IF($B2429="","",O2429-P2429)</f>
        <v/>
      </c>
      <c r="R2429" s="7">
        <f>IF($B2429="","",Q2429-J2429)</f>
        <v/>
      </c>
      <c r="S2429" s="7" t="n"/>
      <c r="T2429" s="7" t="n"/>
      <c r="V2429" s="14" t="n"/>
      <c r="Z2429">
        <f>IF($B2429="","",IF(COUNTIF($B$2:$B2429,$B2429)=1,1,0))</f>
        <v/>
      </c>
      <c r="AA2429">
        <f>IF($Z2429=1,SUMPRODUCT(--($AC$2:$AC$3001&lt;$AC2429))+1,"")</f>
        <v/>
      </c>
      <c r="AB2429">
        <f>IF($B2429="","",IF(OR($Y2429=TRUE(),$Y2429="TRUE"),1,IF(AND($Y2429&lt;&gt;"",OR($Y2429=FALSE(),$Y2429="FALSE")),0,IF(MIN(ABS($X2429/100-Settings!$C$6),ABS($X2429/100-Settings!$G$6))&lt;=MIN(ABS($X2429/100-Settings!$C$7),ABS($X2429/100-Settings!$G$7)),1,0))))</f>
        <v/>
      </c>
      <c r="AC2429">
        <f>IF($Z2429=1,IFERROR(IF(VALUE($B2429)&lt;100000000,VALUE($B2429),1000000000),IFERROR(IF(VALUE(MID($B2429,2,20))&lt;100000000,VALUE(MID($B2429,2,20)),1000000000),1000000000))+ROW()/100000,"")</f>
        <v/>
      </c>
    </row>
    <row r="2430">
      <c r="A2430">
        <f>IF($B2430="","",IFERROR(IF(INDEX('Per Invoice'!$A$2:$A$801,MATCH($B2430,'Per Invoice'!$B$2:$B$801,0))=0,"",INDEX('Per Invoice'!$A$2:$A$801,MATCH($B2430,'Per Invoice'!$B$2:$B$801,0))),""))</f>
        <v/>
      </c>
      <c r="J2430" s="7">
        <f>IF($B2430="","",I2430*Q2430/100)</f>
        <v/>
      </c>
      <c r="N2430" s="7" t="n"/>
      <c r="O2430" s="7" t="n"/>
      <c r="P2430" s="7">
        <f>IF($B2430="","",O2430*X2430/100)</f>
        <v/>
      </c>
      <c r="Q2430" s="7">
        <f>IF($B2430="","",O2430-P2430)</f>
        <v/>
      </c>
      <c r="R2430" s="7">
        <f>IF($B2430="","",Q2430-J2430)</f>
        <v/>
      </c>
      <c r="S2430" s="7" t="n"/>
      <c r="T2430" s="7" t="n"/>
      <c r="V2430" s="14" t="n"/>
      <c r="Z2430">
        <f>IF($B2430="","",IF(COUNTIF($B$2:$B2430,$B2430)=1,1,0))</f>
        <v/>
      </c>
      <c r="AA2430">
        <f>IF($Z2430=1,SUMPRODUCT(--($AC$2:$AC$3001&lt;$AC2430))+1,"")</f>
        <v/>
      </c>
      <c r="AB2430">
        <f>IF($B2430="","",IF(OR($Y2430=TRUE(),$Y2430="TRUE"),1,IF(AND($Y2430&lt;&gt;"",OR($Y2430=FALSE(),$Y2430="FALSE")),0,IF(MIN(ABS($X2430/100-Settings!$C$6),ABS($X2430/100-Settings!$G$6))&lt;=MIN(ABS($X2430/100-Settings!$C$7),ABS($X2430/100-Settings!$G$7)),1,0))))</f>
        <v/>
      </c>
      <c r="AC2430">
        <f>IF($Z2430=1,IFERROR(IF(VALUE($B2430)&lt;100000000,VALUE($B2430),1000000000),IFERROR(IF(VALUE(MID($B2430,2,20))&lt;100000000,VALUE(MID($B2430,2,20)),1000000000),1000000000))+ROW()/100000,"")</f>
        <v/>
      </c>
    </row>
    <row r="2431">
      <c r="A2431">
        <f>IF($B2431="","",IFERROR(IF(INDEX('Per Invoice'!$A$2:$A$801,MATCH($B2431,'Per Invoice'!$B$2:$B$801,0))=0,"",INDEX('Per Invoice'!$A$2:$A$801,MATCH($B2431,'Per Invoice'!$B$2:$B$801,0))),""))</f>
        <v/>
      </c>
      <c r="J2431" s="7">
        <f>IF($B2431="","",I2431*Q2431/100)</f>
        <v/>
      </c>
      <c r="N2431" s="7" t="n"/>
      <c r="O2431" s="7" t="n"/>
      <c r="P2431" s="7">
        <f>IF($B2431="","",O2431*X2431/100)</f>
        <v/>
      </c>
      <c r="Q2431" s="7">
        <f>IF($B2431="","",O2431-P2431)</f>
        <v/>
      </c>
      <c r="R2431" s="7">
        <f>IF($B2431="","",Q2431-J2431)</f>
        <v/>
      </c>
      <c r="S2431" s="7" t="n"/>
      <c r="T2431" s="7" t="n"/>
      <c r="V2431" s="14" t="n"/>
      <c r="Z2431">
        <f>IF($B2431="","",IF(COUNTIF($B$2:$B2431,$B2431)=1,1,0))</f>
        <v/>
      </c>
      <c r="AA2431">
        <f>IF($Z2431=1,SUMPRODUCT(--($AC$2:$AC$3001&lt;$AC2431))+1,"")</f>
        <v/>
      </c>
      <c r="AB2431">
        <f>IF($B2431="","",IF(OR($Y2431=TRUE(),$Y2431="TRUE"),1,IF(AND($Y2431&lt;&gt;"",OR($Y2431=FALSE(),$Y2431="FALSE")),0,IF(MIN(ABS($X2431/100-Settings!$C$6),ABS($X2431/100-Settings!$G$6))&lt;=MIN(ABS($X2431/100-Settings!$C$7),ABS($X2431/100-Settings!$G$7)),1,0))))</f>
        <v/>
      </c>
      <c r="AC2431">
        <f>IF($Z2431=1,IFERROR(IF(VALUE($B2431)&lt;100000000,VALUE($B2431),1000000000),IFERROR(IF(VALUE(MID($B2431,2,20))&lt;100000000,VALUE(MID($B2431,2,20)),1000000000),1000000000))+ROW()/100000,"")</f>
        <v/>
      </c>
    </row>
    <row r="2432">
      <c r="A2432">
        <f>IF($B2432="","",IFERROR(IF(INDEX('Per Invoice'!$A$2:$A$801,MATCH($B2432,'Per Invoice'!$B$2:$B$801,0))=0,"",INDEX('Per Invoice'!$A$2:$A$801,MATCH($B2432,'Per Invoice'!$B$2:$B$801,0))),""))</f>
        <v/>
      </c>
      <c r="J2432" s="7">
        <f>IF($B2432="","",I2432*Q2432/100)</f>
        <v/>
      </c>
      <c r="N2432" s="7" t="n"/>
      <c r="O2432" s="7" t="n"/>
      <c r="P2432" s="7">
        <f>IF($B2432="","",O2432*X2432/100)</f>
        <v/>
      </c>
      <c r="Q2432" s="7">
        <f>IF($B2432="","",O2432-P2432)</f>
        <v/>
      </c>
      <c r="R2432" s="7">
        <f>IF($B2432="","",Q2432-J2432)</f>
        <v/>
      </c>
      <c r="S2432" s="7" t="n"/>
      <c r="T2432" s="7" t="n"/>
      <c r="V2432" s="14" t="n"/>
      <c r="Z2432">
        <f>IF($B2432="","",IF(COUNTIF($B$2:$B2432,$B2432)=1,1,0))</f>
        <v/>
      </c>
      <c r="AA2432">
        <f>IF($Z2432=1,SUMPRODUCT(--($AC$2:$AC$3001&lt;$AC2432))+1,"")</f>
        <v/>
      </c>
      <c r="AB2432">
        <f>IF($B2432="","",IF(OR($Y2432=TRUE(),$Y2432="TRUE"),1,IF(AND($Y2432&lt;&gt;"",OR($Y2432=FALSE(),$Y2432="FALSE")),0,IF(MIN(ABS($X2432/100-Settings!$C$6),ABS($X2432/100-Settings!$G$6))&lt;=MIN(ABS($X2432/100-Settings!$C$7),ABS($X2432/100-Settings!$G$7)),1,0))))</f>
        <v/>
      </c>
      <c r="AC2432">
        <f>IF($Z2432=1,IFERROR(IF(VALUE($B2432)&lt;100000000,VALUE($B2432),1000000000),IFERROR(IF(VALUE(MID($B2432,2,20))&lt;100000000,VALUE(MID($B2432,2,20)),1000000000),1000000000))+ROW()/100000,"")</f>
        <v/>
      </c>
    </row>
    <row r="2433">
      <c r="A2433">
        <f>IF($B2433="","",IFERROR(IF(INDEX('Per Invoice'!$A$2:$A$801,MATCH($B2433,'Per Invoice'!$B$2:$B$801,0))=0,"",INDEX('Per Invoice'!$A$2:$A$801,MATCH($B2433,'Per Invoice'!$B$2:$B$801,0))),""))</f>
        <v/>
      </c>
      <c r="J2433" s="7">
        <f>IF($B2433="","",I2433*Q2433/100)</f>
        <v/>
      </c>
      <c r="N2433" s="7" t="n"/>
      <c r="O2433" s="7" t="n"/>
      <c r="P2433" s="7">
        <f>IF($B2433="","",O2433*X2433/100)</f>
        <v/>
      </c>
      <c r="Q2433" s="7">
        <f>IF($B2433="","",O2433-P2433)</f>
        <v/>
      </c>
      <c r="R2433" s="7">
        <f>IF($B2433="","",Q2433-J2433)</f>
        <v/>
      </c>
      <c r="S2433" s="7" t="n"/>
      <c r="T2433" s="7" t="n"/>
      <c r="V2433" s="14" t="n"/>
      <c r="Z2433">
        <f>IF($B2433="","",IF(COUNTIF($B$2:$B2433,$B2433)=1,1,0))</f>
        <v/>
      </c>
      <c r="AA2433">
        <f>IF($Z2433=1,SUMPRODUCT(--($AC$2:$AC$3001&lt;$AC2433))+1,"")</f>
        <v/>
      </c>
      <c r="AB2433">
        <f>IF($B2433="","",IF(OR($Y2433=TRUE(),$Y2433="TRUE"),1,IF(AND($Y2433&lt;&gt;"",OR($Y2433=FALSE(),$Y2433="FALSE")),0,IF(MIN(ABS($X2433/100-Settings!$C$6),ABS($X2433/100-Settings!$G$6))&lt;=MIN(ABS($X2433/100-Settings!$C$7),ABS($X2433/100-Settings!$G$7)),1,0))))</f>
        <v/>
      </c>
      <c r="AC2433">
        <f>IF($Z2433=1,IFERROR(IF(VALUE($B2433)&lt;100000000,VALUE($B2433),1000000000),IFERROR(IF(VALUE(MID($B2433,2,20))&lt;100000000,VALUE(MID($B2433,2,20)),1000000000),1000000000))+ROW()/100000,"")</f>
        <v/>
      </c>
    </row>
    <row r="2434">
      <c r="A2434">
        <f>IF($B2434="","",IFERROR(IF(INDEX('Per Invoice'!$A$2:$A$801,MATCH($B2434,'Per Invoice'!$B$2:$B$801,0))=0,"",INDEX('Per Invoice'!$A$2:$A$801,MATCH($B2434,'Per Invoice'!$B$2:$B$801,0))),""))</f>
        <v/>
      </c>
      <c r="J2434" s="7">
        <f>IF($B2434="","",I2434*Q2434/100)</f>
        <v/>
      </c>
      <c r="N2434" s="7" t="n"/>
      <c r="O2434" s="7" t="n"/>
      <c r="P2434" s="7">
        <f>IF($B2434="","",O2434*X2434/100)</f>
        <v/>
      </c>
      <c r="Q2434" s="7">
        <f>IF($B2434="","",O2434-P2434)</f>
        <v/>
      </c>
      <c r="R2434" s="7">
        <f>IF($B2434="","",Q2434-J2434)</f>
        <v/>
      </c>
      <c r="S2434" s="7" t="n"/>
      <c r="T2434" s="7" t="n"/>
      <c r="V2434" s="14" t="n"/>
      <c r="Z2434">
        <f>IF($B2434="","",IF(COUNTIF($B$2:$B2434,$B2434)=1,1,0))</f>
        <v/>
      </c>
      <c r="AA2434">
        <f>IF($Z2434=1,SUMPRODUCT(--($AC$2:$AC$3001&lt;$AC2434))+1,"")</f>
        <v/>
      </c>
      <c r="AB2434">
        <f>IF($B2434="","",IF(OR($Y2434=TRUE(),$Y2434="TRUE"),1,IF(AND($Y2434&lt;&gt;"",OR($Y2434=FALSE(),$Y2434="FALSE")),0,IF(MIN(ABS($X2434/100-Settings!$C$6),ABS($X2434/100-Settings!$G$6))&lt;=MIN(ABS($X2434/100-Settings!$C$7),ABS($X2434/100-Settings!$G$7)),1,0))))</f>
        <v/>
      </c>
      <c r="AC2434">
        <f>IF($Z2434=1,IFERROR(IF(VALUE($B2434)&lt;100000000,VALUE($B2434),1000000000),IFERROR(IF(VALUE(MID($B2434,2,20))&lt;100000000,VALUE(MID($B2434,2,20)),1000000000),1000000000))+ROW()/100000,"")</f>
        <v/>
      </c>
    </row>
    <row r="2435">
      <c r="A2435">
        <f>IF($B2435="","",IFERROR(IF(INDEX('Per Invoice'!$A$2:$A$801,MATCH($B2435,'Per Invoice'!$B$2:$B$801,0))=0,"",INDEX('Per Invoice'!$A$2:$A$801,MATCH($B2435,'Per Invoice'!$B$2:$B$801,0))),""))</f>
        <v/>
      </c>
      <c r="J2435" s="7">
        <f>IF($B2435="","",I2435*Q2435/100)</f>
        <v/>
      </c>
      <c r="N2435" s="7" t="n"/>
      <c r="O2435" s="7" t="n"/>
      <c r="P2435" s="7">
        <f>IF($B2435="","",O2435*X2435/100)</f>
        <v/>
      </c>
      <c r="Q2435" s="7">
        <f>IF($B2435="","",O2435-P2435)</f>
        <v/>
      </c>
      <c r="R2435" s="7">
        <f>IF($B2435="","",Q2435-J2435)</f>
        <v/>
      </c>
      <c r="S2435" s="7" t="n"/>
      <c r="T2435" s="7" t="n"/>
      <c r="V2435" s="14" t="n"/>
      <c r="Z2435">
        <f>IF($B2435="","",IF(COUNTIF($B$2:$B2435,$B2435)=1,1,0))</f>
        <v/>
      </c>
      <c r="AA2435">
        <f>IF($Z2435=1,SUMPRODUCT(--($AC$2:$AC$3001&lt;$AC2435))+1,"")</f>
        <v/>
      </c>
      <c r="AB2435">
        <f>IF($B2435="","",IF(OR($Y2435=TRUE(),$Y2435="TRUE"),1,IF(AND($Y2435&lt;&gt;"",OR($Y2435=FALSE(),$Y2435="FALSE")),0,IF(MIN(ABS($X2435/100-Settings!$C$6),ABS($X2435/100-Settings!$G$6))&lt;=MIN(ABS($X2435/100-Settings!$C$7),ABS($X2435/100-Settings!$G$7)),1,0))))</f>
        <v/>
      </c>
      <c r="AC2435">
        <f>IF($Z2435=1,IFERROR(IF(VALUE($B2435)&lt;100000000,VALUE($B2435),1000000000),IFERROR(IF(VALUE(MID($B2435,2,20))&lt;100000000,VALUE(MID($B2435,2,20)),1000000000),1000000000))+ROW()/100000,"")</f>
        <v/>
      </c>
    </row>
    <row r="2436">
      <c r="A2436">
        <f>IF($B2436="","",IFERROR(IF(INDEX('Per Invoice'!$A$2:$A$801,MATCH($B2436,'Per Invoice'!$B$2:$B$801,0))=0,"",INDEX('Per Invoice'!$A$2:$A$801,MATCH($B2436,'Per Invoice'!$B$2:$B$801,0))),""))</f>
        <v/>
      </c>
      <c r="J2436" s="7">
        <f>IF($B2436="","",I2436*Q2436/100)</f>
        <v/>
      </c>
      <c r="N2436" s="7" t="n"/>
      <c r="O2436" s="7" t="n"/>
      <c r="P2436" s="7">
        <f>IF($B2436="","",O2436*X2436/100)</f>
        <v/>
      </c>
      <c r="Q2436" s="7">
        <f>IF($B2436="","",O2436-P2436)</f>
        <v/>
      </c>
      <c r="R2436" s="7">
        <f>IF($B2436="","",Q2436-J2436)</f>
        <v/>
      </c>
      <c r="S2436" s="7" t="n"/>
      <c r="T2436" s="7" t="n"/>
      <c r="V2436" s="14" t="n"/>
      <c r="Z2436">
        <f>IF($B2436="","",IF(COUNTIF($B$2:$B2436,$B2436)=1,1,0))</f>
        <v/>
      </c>
      <c r="AA2436">
        <f>IF($Z2436=1,SUMPRODUCT(--($AC$2:$AC$3001&lt;$AC2436))+1,"")</f>
        <v/>
      </c>
      <c r="AB2436">
        <f>IF($B2436="","",IF(OR($Y2436=TRUE(),$Y2436="TRUE"),1,IF(AND($Y2436&lt;&gt;"",OR($Y2436=FALSE(),$Y2436="FALSE")),0,IF(MIN(ABS($X2436/100-Settings!$C$6),ABS($X2436/100-Settings!$G$6))&lt;=MIN(ABS($X2436/100-Settings!$C$7),ABS($X2436/100-Settings!$G$7)),1,0))))</f>
        <v/>
      </c>
      <c r="AC2436">
        <f>IF($Z2436=1,IFERROR(IF(VALUE($B2436)&lt;100000000,VALUE($B2436),1000000000),IFERROR(IF(VALUE(MID($B2436,2,20))&lt;100000000,VALUE(MID($B2436,2,20)),1000000000),1000000000))+ROW()/100000,"")</f>
        <v/>
      </c>
    </row>
    <row r="2437">
      <c r="A2437">
        <f>IF($B2437="","",IFERROR(IF(INDEX('Per Invoice'!$A$2:$A$801,MATCH($B2437,'Per Invoice'!$B$2:$B$801,0))=0,"",INDEX('Per Invoice'!$A$2:$A$801,MATCH($B2437,'Per Invoice'!$B$2:$B$801,0))),""))</f>
        <v/>
      </c>
      <c r="J2437" s="7">
        <f>IF($B2437="","",I2437*Q2437/100)</f>
        <v/>
      </c>
      <c r="N2437" s="7" t="n"/>
      <c r="O2437" s="7" t="n"/>
      <c r="P2437" s="7">
        <f>IF($B2437="","",O2437*X2437/100)</f>
        <v/>
      </c>
      <c r="Q2437" s="7">
        <f>IF($B2437="","",O2437-P2437)</f>
        <v/>
      </c>
      <c r="R2437" s="7">
        <f>IF($B2437="","",Q2437-J2437)</f>
        <v/>
      </c>
      <c r="S2437" s="7" t="n"/>
      <c r="T2437" s="7" t="n"/>
      <c r="V2437" s="14" t="n"/>
      <c r="Z2437">
        <f>IF($B2437="","",IF(COUNTIF($B$2:$B2437,$B2437)=1,1,0))</f>
        <v/>
      </c>
      <c r="AA2437">
        <f>IF($Z2437=1,SUMPRODUCT(--($AC$2:$AC$3001&lt;$AC2437))+1,"")</f>
        <v/>
      </c>
      <c r="AB2437">
        <f>IF($B2437="","",IF(OR($Y2437=TRUE(),$Y2437="TRUE"),1,IF(AND($Y2437&lt;&gt;"",OR($Y2437=FALSE(),$Y2437="FALSE")),0,IF(MIN(ABS($X2437/100-Settings!$C$6),ABS($X2437/100-Settings!$G$6))&lt;=MIN(ABS($X2437/100-Settings!$C$7),ABS($X2437/100-Settings!$G$7)),1,0))))</f>
        <v/>
      </c>
      <c r="AC2437">
        <f>IF($Z2437=1,IFERROR(IF(VALUE($B2437)&lt;100000000,VALUE($B2437),1000000000),IFERROR(IF(VALUE(MID($B2437,2,20))&lt;100000000,VALUE(MID($B2437,2,20)),1000000000),1000000000))+ROW()/100000,"")</f>
        <v/>
      </c>
    </row>
    <row r="2438">
      <c r="A2438">
        <f>IF($B2438="","",IFERROR(IF(INDEX('Per Invoice'!$A$2:$A$801,MATCH($B2438,'Per Invoice'!$B$2:$B$801,0))=0,"",INDEX('Per Invoice'!$A$2:$A$801,MATCH($B2438,'Per Invoice'!$B$2:$B$801,0))),""))</f>
        <v/>
      </c>
      <c r="J2438" s="7">
        <f>IF($B2438="","",I2438*Q2438/100)</f>
        <v/>
      </c>
      <c r="N2438" s="7" t="n"/>
      <c r="O2438" s="7" t="n"/>
      <c r="P2438" s="7">
        <f>IF($B2438="","",O2438*X2438/100)</f>
        <v/>
      </c>
      <c r="Q2438" s="7">
        <f>IF($B2438="","",O2438-P2438)</f>
        <v/>
      </c>
      <c r="R2438" s="7">
        <f>IF($B2438="","",Q2438-J2438)</f>
        <v/>
      </c>
      <c r="S2438" s="7" t="n"/>
      <c r="T2438" s="7" t="n"/>
      <c r="V2438" s="14" t="n"/>
      <c r="Z2438">
        <f>IF($B2438="","",IF(COUNTIF($B$2:$B2438,$B2438)=1,1,0))</f>
        <v/>
      </c>
      <c r="AA2438">
        <f>IF($Z2438=1,SUMPRODUCT(--($AC$2:$AC$3001&lt;$AC2438))+1,"")</f>
        <v/>
      </c>
      <c r="AB2438">
        <f>IF($B2438="","",IF(OR($Y2438=TRUE(),$Y2438="TRUE"),1,IF(AND($Y2438&lt;&gt;"",OR($Y2438=FALSE(),$Y2438="FALSE")),0,IF(MIN(ABS($X2438/100-Settings!$C$6),ABS($X2438/100-Settings!$G$6))&lt;=MIN(ABS($X2438/100-Settings!$C$7),ABS($X2438/100-Settings!$G$7)),1,0))))</f>
        <v/>
      </c>
      <c r="AC2438">
        <f>IF($Z2438=1,IFERROR(IF(VALUE($B2438)&lt;100000000,VALUE($B2438),1000000000),IFERROR(IF(VALUE(MID($B2438,2,20))&lt;100000000,VALUE(MID($B2438,2,20)),1000000000),1000000000))+ROW()/100000,"")</f>
        <v/>
      </c>
    </row>
    <row r="2439">
      <c r="A2439">
        <f>IF($B2439="","",IFERROR(IF(INDEX('Per Invoice'!$A$2:$A$801,MATCH($B2439,'Per Invoice'!$B$2:$B$801,0))=0,"",INDEX('Per Invoice'!$A$2:$A$801,MATCH($B2439,'Per Invoice'!$B$2:$B$801,0))),""))</f>
        <v/>
      </c>
      <c r="J2439" s="7">
        <f>IF($B2439="","",I2439*Q2439/100)</f>
        <v/>
      </c>
      <c r="N2439" s="7" t="n"/>
      <c r="O2439" s="7" t="n"/>
      <c r="P2439" s="7">
        <f>IF($B2439="","",O2439*X2439/100)</f>
        <v/>
      </c>
      <c r="Q2439" s="7">
        <f>IF($B2439="","",O2439-P2439)</f>
        <v/>
      </c>
      <c r="R2439" s="7">
        <f>IF($B2439="","",Q2439-J2439)</f>
        <v/>
      </c>
      <c r="S2439" s="7" t="n"/>
      <c r="T2439" s="7" t="n"/>
      <c r="V2439" s="14" t="n"/>
      <c r="Z2439">
        <f>IF($B2439="","",IF(COUNTIF($B$2:$B2439,$B2439)=1,1,0))</f>
        <v/>
      </c>
      <c r="AA2439">
        <f>IF($Z2439=1,SUMPRODUCT(--($AC$2:$AC$3001&lt;$AC2439))+1,"")</f>
        <v/>
      </c>
      <c r="AB2439">
        <f>IF($B2439="","",IF(OR($Y2439=TRUE(),$Y2439="TRUE"),1,IF(AND($Y2439&lt;&gt;"",OR($Y2439=FALSE(),$Y2439="FALSE")),0,IF(MIN(ABS($X2439/100-Settings!$C$6),ABS($X2439/100-Settings!$G$6))&lt;=MIN(ABS($X2439/100-Settings!$C$7),ABS($X2439/100-Settings!$G$7)),1,0))))</f>
        <v/>
      </c>
      <c r="AC2439">
        <f>IF($Z2439=1,IFERROR(IF(VALUE($B2439)&lt;100000000,VALUE($B2439),1000000000),IFERROR(IF(VALUE(MID($B2439,2,20))&lt;100000000,VALUE(MID($B2439,2,20)),1000000000),1000000000))+ROW()/100000,"")</f>
        <v/>
      </c>
    </row>
    <row r="2440">
      <c r="A2440">
        <f>IF($B2440="","",IFERROR(IF(INDEX('Per Invoice'!$A$2:$A$801,MATCH($B2440,'Per Invoice'!$B$2:$B$801,0))=0,"",INDEX('Per Invoice'!$A$2:$A$801,MATCH($B2440,'Per Invoice'!$B$2:$B$801,0))),""))</f>
        <v/>
      </c>
      <c r="J2440" s="7">
        <f>IF($B2440="","",I2440*Q2440/100)</f>
        <v/>
      </c>
      <c r="N2440" s="7" t="n"/>
      <c r="O2440" s="7" t="n"/>
      <c r="P2440" s="7">
        <f>IF($B2440="","",O2440*X2440/100)</f>
        <v/>
      </c>
      <c r="Q2440" s="7">
        <f>IF($B2440="","",O2440-P2440)</f>
        <v/>
      </c>
      <c r="R2440" s="7">
        <f>IF($B2440="","",Q2440-J2440)</f>
        <v/>
      </c>
      <c r="S2440" s="7" t="n"/>
      <c r="T2440" s="7" t="n"/>
      <c r="V2440" s="14" t="n"/>
      <c r="Z2440">
        <f>IF($B2440="","",IF(COUNTIF($B$2:$B2440,$B2440)=1,1,0))</f>
        <v/>
      </c>
      <c r="AA2440">
        <f>IF($Z2440=1,SUMPRODUCT(--($AC$2:$AC$3001&lt;$AC2440))+1,"")</f>
        <v/>
      </c>
      <c r="AB2440">
        <f>IF($B2440="","",IF(OR($Y2440=TRUE(),$Y2440="TRUE"),1,IF(AND($Y2440&lt;&gt;"",OR($Y2440=FALSE(),$Y2440="FALSE")),0,IF(MIN(ABS($X2440/100-Settings!$C$6),ABS($X2440/100-Settings!$G$6))&lt;=MIN(ABS($X2440/100-Settings!$C$7),ABS($X2440/100-Settings!$G$7)),1,0))))</f>
        <v/>
      </c>
      <c r="AC2440">
        <f>IF($Z2440=1,IFERROR(IF(VALUE($B2440)&lt;100000000,VALUE($B2440),1000000000),IFERROR(IF(VALUE(MID($B2440,2,20))&lt;100000000,VALUE(MID($B2440,2,20)),1000000000),1000000000))+ROW()/100000,"")</f>
        <v/>
      </c>
    </row>
    <row r="2441">
      <c r="A2441">
        <f>IF($B2441="","",IFERROR(IF(INDEX('Per Invoice'!$A$2:$A$801,MATCH($B2441,'Per Invoice'!$B$2:$B$801,0))=0,"",INDEX('Per Invoice'!$A$2:$A$801,MATCH($B2441,'Per Invoice'!$B$2:$B$801,0))),""))</f>
        <v/>
      </c>
      <c r="J2441" s="7">
        <f>IF($B2441="","",I2441*Q2441/100)</f>
        <v/>
      </c>
      <c r="N2441" s="7" t="n"/>
      <c r="O2441" s="7" t="n"/>
      <c r="P2441" s="7">
        <f>IF($B2441="","",O2441*X2441/100)</f>
        <v/>
      </c>
      <c r="Q2441" s="7">
        <f>IF($B2441="","",O2441-P2441)</f>
        <v/>
      </c>
      <c r="R2441" s="7">
        <f>IF($B2441="","",Q2441-J2441)</f>
        <v/>
      </c>
      <c r="S2441" s="7" t="n"/>
      <c r="T2441" s="7" t="n"/>
      <c r="V2441" s="14" t="n"/>
      <c r="Z2441">
        <f>IF($B2441="","",IF(COUNTIF($B$2:$B2441,$B2441)=1,1,0))</f>
        <v/>
      </c>
      <c r="AA2441">
        <f>IF($Z2441=1,SUMPRODUCT(--($AC$2:$AC$3001&lt;$AC2441))+1,"")</f>
        <v/>
      </c>
      <c r="AB2441">
        <f>IF($B2441="","",IF(OR($Y2441=TRUE(),$Y2441="TRUE"),1,IF(AND($Y2441&lt;&gt;"",OR($Y2441=FALSE(),$Y2441="FALSE")),0,IF(MIN(ABS($X2441/100-Settings!$C$6),ABS($X2441/100-Settings!$G$6))&lt;=MIN(ABS($X2441/100-Settings!$C$7),ABS($X2441/100-Settings!$G$7)),1,0))))</f>
        <v/>
      </c>
      <c r="AC2441">
        <f>IF($Z2441=1,IFERROR(IF(VALUE($B2441)&lt;100000000,VALUE($B2441),1000000000),IFERROR(IF(VALUE(MID($B2441,2,20))&lt;100000000,VALUE(MID($B2441,2,20)),1000000000),1000000000))+ROW()/100000,"")</f>
        <v/>
      </c>
    </row>
    <row r="2442">
      <c r="A2442">
        <f>IF($B2442="","",IFERROR(IF(INDEX('Per Invoice'!$A$2:$A$801,MATCH($B2442,'Per Invoice'!$B$2:$B$801,0))=0,"",INDEX('Per Invoice'!$A$2:$A$801,MATCH($B2442,'Per Invoice'!$B$2:$B$801,0))),""))</f>
        <v/>
      </c>
      <c r="J2442" s="7">
        <f>IF($B2442="","",I2442*Q2442/100)</f>
        <v/>
      </c>
      <c r="N2442" s="7" t="n"/>
      <c r="O2442" s="7" t="n"/>
      <c r="P2442" s="7">
        <f>IF($B2442="","",O2442*X2442/100)</f>
        <v/>
      </c>
      <c r="Q2442" s="7">
        <f>IF($B2442="","",O2442-P2442)</f>
        <v/>
      </c>
      <c r="R2442" s="7">
        <f>IF($B2442="","",Q2442-J2442)</f>
        <v/>
      </c>
      <c r="S2442" s="7" t="n"/>
      <c r="T2442" s="7" t="n"/>
      <c r="V2442" s="14" t="n"/>
      <c r="Z2442">
        <f>IF($B2442="","",IF(COUNTIF($B$2:$B2442,$B2442)=1,1,0))</f>
        <v/>
      </c>
      <c r="AA2442">
        <f>IF($Z2442=1,SUMPRODUCT(--($AC$2:$AC$3001&lt;$AC2442))+1,"")</f>
        <v/>
      </c>
      <c r="AB2442">
        <f>IF($B2442="","",IF(OR($Y2442=TRUE(),$Y2442="TRUE"),1,IF(AND($Y2442&lt;&gt;"",OR($Y2442=FALSE(),$Y2442="FALSE")),0,IF(MIN(ABS($X2442/100-Settings!$C$6),ABS($X2442/100-Settings!$G$6))&lt;=MIN(ABS($X2442/100-Settings!$C$7),ABS($X2442/100-Settings!$G$7)),1,0))))</f>
        <v/>
      </c>
      <c r="AC2442">
        <f>IF($Z2442=1,IFERROR(IF(VALUE($B2442)&lt;100000000,VALUE($B2442),1000000000),IFERROR(IF(VALUE(MID($B2442,2,20))&lt;100000000,VALUE(MID($B2442,2,20)),1000000000),1000000000))+ROW()/100000,"")</f>
        <v/>
      </c>
    </row>
    <row r="2443">
      <c r="A2443">
        <f>IF($B2443="","",IFERROR(IF(INDEX('Per Invoice'!$A$2:$A$801,MATCH($B2443,'Per Invoice'!$B$2:$B$801,0))=0,"",INDEX('Per Invoice'!$A$2:$A$801,MATCH($B2443,'Per Invoice'!$B$2:$B$801,0))),""))</f>
        <v/>
      </c>
      <c r="J2443" s="7">
        <f>IF($B2443="","",I2443*Q2443/100)</f>
        <v/>
      </c>
      <c r="N2443" s="7" t="n"/>
      <c r="O2443" s="7" t="n"/>
      <c r="P2443" s="7">
        <f>IF($B2443="","",O2443*X2443/100)</f>
        <v/>
      </c>
      <c r="Q2443" s="7">
        <f>IF($B2443="","",O2443-P2443)</f>
        <v/>
      </c>
      <c r="R2443" s="7">
        <f>IF($B2443="","",Q2443-J2443)</f>
        <v/>
      </c>
      <c r="S2443" s="7" t="n"/>
      <c r="T2443" s="7" t="n"/>
      <c r="V2443" s="14" t="n"/>
      <c r="Z2443">
        <f>IF($B2443="","",IF(COUNTIF($B$2:$B2443,$B2443)=1,1,0))</f>
        <v/>
      </c>
      <c r="AA2443">
        <f>IF($Z2443=1,SUMPRODUCT(--($AC$2:$AC$3001&lt;$AC2443))+1,"")</f>
        <v/>
      </c>
      <c r="AB2443">
        <f>IF($B2443="","",IF(OR($Y2443=TRUE(),$Y2443="TRUE"),1,IF(AND($Y2443&lt;&gt;"",OR($Y2443=FALSE(),$Y2443="FALSE")),0,IF(MIN(ABS($X2443/100-Settings!$C$6),ABS($X2443/100-Settings!$G$6))&lt;=MIN(ABS($X2443/100-Settings!$C$7),ABS($X2443/100-Settings!$G$7)),1,0))))</f>
        <v/>
      </c>
      <c r="AC2443">
        <f>IF($Z2443=1,IFERROR(IF(VALUE($B2443)&lt;100000000,VALUE($B2443),1000000000),IFERROR(IF(VALUE(MID($B2443,2,20))&lt;100000000,VALUE(MID($B2443,2,20)),1000000000),1000000000))+ROW()/100000,"")</f>
        <v/>
      </c>
    </row>
    <row r="2444">
      <c r="A2444">
        <f>IF($B2444="","",IFERROR(IF(INDEX('Per Invoice'!$A$2:$A$801,MATCH($B2444,'Per Invoice'!$B$2:$B$801,0))=0,"",INDEX('Per Invoice'!$A$2:$A$801,MATCH($B2444,'Per Invoice'!$B$2:$B$801,0))),""))</f>
        <v/>
      </c>
      <c r="J2444" s="7">
        <f>IF($B2444="","",I2444*Q2444/100)</f>
        <v/>
      </c>
      <c r="N2444" s="7" t="n"/>
      <c r="O2444" s="7" t="n"/>
      <c r="P2444" s="7">
        <f>IF($B2444="","",O2444*X2444/100)</f>
        <v/>
      </c>
      <c r="Q2444" s="7">
        <f>IF($B2444="","",O2444-P2444)</f>
        <v/>
      </c>
      <c r="R2444" s="7">
        <f>IF($B2444="","",Q2444-J2444)</f>
        <v/>
      </c>
      <c r="S2444" s="7" t="n"/>
      <c r="T2444" s="7" t="n"/>
      <c r="V2444" s="14" t="n"/>
      <c r="Z2444">
        <f>IF($B2444="","",IF(COUNTIF($B$2:$B2444,$B2444)=1,1,0))</f>
        <v/>
      </c>
      <c r="AA2444">
        <f>IF($Z2444=1,SUMPRODUCT(--($AC$2:$AC$3001&lt;$AC2444))+1,"")</f>
        <v/>
      </c>
      <c r="AB2444">
        <f>IF($B2444="","",IF(OR($Y2444=TRUE(),$Y2444="TRUE"),1,IF(AND($Y2444&lt;&gt;"",OR($Y2444=FALSE(),$Y2444="FALSE")),0,IF(MIN(ABS($X2444/100-Settings!$C$6),ABS($X2444/100-Settings!$G$6))&lt;=MIN(ABS($X2444/100-Settings!$C$7),ABS($X2444/100-Settings!$G$7)),1,0))))</f>
        <v/>
      </c>
      <c r="AC2444">
        <f>IF($Z2444=1,IFERROR(IF(VALUE($B2444)&lt;100000000,VALUE($B2444),1000000000),IFERROR(IF(VALUE(MID($B2444,2,20))&lt;100000000,VALUE(MID($B2444,2,20)),1000000000),1000000000))+ROW()/100000,"")</f>
        <v/>
      </c>
    </row>
    <row r="2445">
      <c r="A2445">
        <f>IF($B2445="","",IFERROR(IF(INDEX('Per Invoice'!$A$2:$A$801,MATCH($B2445,'Per Invoice'!$B$2:$B$801,0))=0,"",INDEX('Per Invoice'!$A$2:$A$801,MATCH($B2445,'Per Invoice'!$B$2:$B$801,0))),""))</f>
        <v/>
      </c>
      <c r="J2445" s="7">
        <f>IF($B2445="","",I2445*Q2445/100)</f>
        <v/>
      </c>
      <c r="N2445" s="7" t="n"/>
      <c r="O2445" s="7" t="n"/>
      <c r="P2445" s="7">
        <f>IF($B2445="","",O2445*X2445/100)</f>
        <v/>
      </c>
      <c r="Q2445" s="7">
        <f>IF($B2445="","",O2445-P2445)</f>
        <v/>
      </c>
      <c r="R2445" s="7">
        <f>IF($B2445="","",Q2445-J2445)</f>
        <v/>
      </c>
      <c r="S2445" s="7" t="n"/>
      <c r="T2445" s="7" t="n"/>
      <c r="V2445" s="14" t="n"/>
      <c r="Z2445">
        <f>IF($B2445="","",IF(COUNTIF($B$2:$B2445,$B2445)=1,1,0))</f>
        <v/>
      </c>
      <c r="AA2445">
        <f>IF($Z2445=1,SUMPRODUCT(--($AC$2:$AC$3001&lt;$AC2445))+1,"")</f>
        <v/>
      </c>
      <c r="AB2445">
        <f>IF($B2445="","",IF(OR($Y2445=TRUE(),$Y2445="TRUE"),1,IF(AND($Y2445&lt;&gt;"",OR($Y2445=FALSE(),$Y2445="FALSE")),0,IF(MIN(ABS($X2445/100-Settings!$C$6),ABS($X2445/100-Settings!$G$6))&lt;=MIN(ABS($X2445/100-Settings!$C$7),ABS($X2445/100-Settings!$G$7)),1,0))))</f>
        <v/>
      </c>
      <c r="AC2445">
        <f>IF($Z2445=1,IFERROR(IF(VALUE($B2445)&lt;100000000,VALUE($B2445),1000000000),IFERROR(IF(VALUE(MID($B2445,2,20))&lt;100000000,VALUE(MID($B2445,2,20)),1000000000),1000000000))+ROW()/100000,"")</f>
        <v/>
      </c>
    </row>
    <row r="2446">
      <c r="A2446">
        <f>IF($B2446="","",IFERROR(IF(INDEX('Per Invoice'!$A$2:$A$801,MATCH($B2446,'Per Invoice'!$B$2:$B$801,0))=0,"",INDEX('Per Invoice'!$A$2:$A$801,MATCH($B2446,'Per Invoice'!$B$2:$B$801,0))),""))</f>
        <v/>
      </c>
      <c r="J2446" s="7">
        <f>IF($B2446="","",I2446*Q2446/100)</f>
        <v/>
      </c>
      <c r="N2446" s="7" t="n"/>
      <c r="O2446" s="7" t="n"/>
      <c r="P2446" s="7">
        <f>IF($B2446="","",O2446*X2446/100)</f>
        <v/>
      </c>
      <c r="Q2446" s="7">
        <f>IF($B2446="","",O2446-P2446)</f>
        <v/>
      </c>
      <c r="R2446" s="7">
        <f>IF($B2446="","",Q2446-J2446)</f>
        <v/>
      </c>
      <c r="S2446" s="7" t="n"/>
      <c r="T2446" s="7" t="n"/>
      <c r="V2446" s="14" t="n"/>
      <c r="Z2446">
        <f>IF($B2446="","",IF(COUNTIF($B$2:$B2446,$B2446)=1,1,0))</f>
        <v/>
      </c>
      <c r="AA2446">
        <f>IF($Z2446=1,SUMPRODUCT(--($AC$2:$AC$3001&lt;$AC2446))+1,"")</f>
        <v/>
      </c>
      <c r="AB2446">
        <f>IF($B2446="","",IF(OR($Y2446=TRUE(),$Y2446="TRUE"),1,IF(AND($Y2446&lt;&gt;"",OR($Y2446=FALSE(),$Y2446="FALSE")),0,IF(MIN(ABS($X2446/100-Settings!$C$6),ABS($X2446/100-Settings!$G$6))&lt;=MIN(ABS($X2446/100-Settings!$C$7),ABS($X2446/100-Settings!$G$7)),1,0))))</f>
        <v/>
      </c>
      <c r="AC2446">
        <f>IF($Z2446=1,IFERROR(IF(VALUE($B2446)&lt;100000000,VALUE($B2446),1000000000),IFERROR(IF(VALUE(MID($B2446,2,20))&lt;100000000,VALUE(MID($B2446,2,20)),1000000000),1000000000))+ROW()/100000,"")</f>
        <v/>
      </c>
    </row>
    <row r="2447">
      <c r="A2447">
        <f>IF($B2447="","",IFERROR(IF(INDEX('Per Invoice'!$A$2:$A$801,MATCH($B2447,'Per Invoice'!$B$2:$B$801,0))=0,"",INDEX('Per Invoice'!$A$2:$A$801,MATCH($B2447,'Per Invoice'!$B$2:$B$801,0))),""))</f>
        <v/>
      </c>
      <c r="J2447" s="7">
        <f>IF($B2447="","",I2447*Q2447/100)</f>
        <v/>
      </c>
      <c r="N2447" s="7" t="n"/>
      <c r="O2447" s="7" t="n"/>
      <c r="P2447" s="7">
        <f>IF($B2447="","",O2447*X2447/100)</f>
        <v/>
      </c>
      <c r="Q2447" s="7">
        <f>IF($B2447="","",O2447-P2447)</f>
        <v/>
      </c>
      <c r="R2447" s="7">
        <f>IF($B2447="","",Q2447-J2447)</f>
        <v/>
      </c>
      <c r="S2447" s="7" t="n"/>
      <c r="T2447" s="7" t="n"/>
      <c r="V2447" s="14" t="n"/>
      <c r="Z2447">
        <f>IF($B2447="","",IF(COUNTIF($B$2:$B2447,$B2447)=1,1,0))</f>
        <v/>
      </c>
      <c r="AA2447">
        <f>IF($Z2447=1,SUMPRODUCT(--($AC$2:$AC$3001&lt;$AC2447))+1,"")</f>
        <v/>
      </c>
      <c r="AB2447">
        <f>IF($B2447="","",IF(OR($Y2447=TRUE(),$Y2447="TRUE"),1,IF(AND($Y2447&lt;&gt;"",OR($Y2447=FALSE(),$Y2447="FALSE")),0,IF(MIN(ABS($X2447/100-Settings!$C$6),ABS($X2447/100-Settings!$G$6))&lt;=MIN(ABS($X2447/100-Settings!$C$7),ABS($X2447/100-Settings!$G$7)),1,0))))</f>
        <v/>
      </c>
      <c r="AC2447">
        <f>IF($Z2447=1,IFERROR(IF(VALUE($B2447)&lt;100000000,VALUE($B2447),1000000000),IFERROR(IF(VALUE(MID($B2447,2,20))&lt;100000000,VALUE(MID($B2447,2,20)),1000000000),1000000000))+ROW()/100000,"")</f>
        <v/>
      </c>
    </row>
    <row r="2448">
      <c r="A2448">
        <f>IF($B2448="","",IFERROR(IF(INDEX('Per Invoice'!$A$2:$A$801,MATCH($B2448,'Per Invoice'!$B$2:$B$801,0))=0,"",INDEX('Per Invoice'!$A$2:$A$801,MATCH($B2448,'Per Invoice'!$B$2:$B$801,0))),""))</f>
        <v/>
      </c>
      <c r="J2448" s="7">
        <f>IF($B2448="","",I2448*Q2448/100)</f>
        <v/>
      </c>
      <c r="N2448" s="7" t="n"/>
      <c r="O2448" s="7" t="n"/>
      <c r="P2448" s="7">
        <f>IF($B2448="","",O2448*X2448/100)</f>
        <v/>
      </c>
      <c r="Q2448" s="7">
        <f>IF($B2448="","",O2448-P2448)</f>
        <v/>
      </c>
      <c r="R2448" s="7">
        <f>IF($B2448="","",Q2448-J2448)</f>
        <v/>
      </c>
      <c r="S2448" s="7" t="n"/>
      <c r="T2448" s="7" t="n"/>
      <c r="V2448" s="14" t="n"/>
      <c r="Z2448">
        <f>IF($B2448="","",IF(COUNTIF($B$2:$B2448,$B2448)=1,1,0))</f>
        <v/>
      </c>
      <c r="AA2448">
        <f>IF($Z2448=1,SUMPRODUCT(--($AC$2:$AC$3001&lt;$AC2448))+1,"")</f>
        <v/>
      </c>
      <c r="AB2448">
        <f>IF($B2448="","",IF(OR($Y2448=TRUE(),$Y2448="TRUE"),1,IF(AND($Y2448&lt;&gt;"",OR($Y2448=FALSE(),$Y2448="FALSE")),0,IF(MIN(ABS($X2448/100-Settings!$C$6),ABS($X2448/100-Settings!$G$6))&lt;=MIN(ABS($X2448/100-Settings!$C$7),ABS($X2448/100-Settings!$G$7)),1,0))))</f>
        <v/>
      </c>
      <c r="AC2448">
        <f>IF($Z2448=1,IFERROR(IF(VALUE($B2448)&lt;100000000,VALUE($B2448),1000000000),IFERROR(IF(VALUE(MID($B2448,2,20))&lt;100000000,VALUE(MID($B2448,2,20)),1000000000),1000000000))+ROW()/100000,"")</f>
        <v/>
      </c>
    </row>
    <row r="2449">
      <c r="A2449">
        <f>IF($B2449="","",IFERROR(IF(INDEX('Per Invoice'!$A$2:$A$801,MATCH($B2449,'Per Invoice'!$B$2:$B$801,0))=0,"",INDEX('Per Invoice'!$A$2:$A$801,MATCH($B2449,'Per Invoice'!$B$2:$B$801,0))),""))</f>
        <v/>
      </c>
      <c r="J2449" s="7">
        <f>IF($B2449="","",I2449*Q2449/100)</f>
        <v/>
      </c>
      <c r="N2449" s="7" t="n"/>
      <c r="O2449" s="7" t="n"/>
      <c r="P2449" s="7">
        <f>IF($B2449="","",O2449*X2449/100)</f>
        <v/>
      </c>
      <c r="Q2449" s="7">
        <f>IF($B2449="","",O2449-P2449)</f>
        <v/>
      </c>
      <c r="R2449" s="7">
        <f>IF($B2449="","",Q2449-J2449)</f>
        <v/>
      </c>
      <c r="S2449" s="7" t="n"/>
      <c r="T2449" s="7" t="n"/>
      <c r="V2449" s="14" t="n"/>
      <c r="Z2449">
        <f>IF($B2449="","",IF(COUNTIF($B$2:$B2449,$B2449)=1,1,0))</f>
        <v/>
      </c>
      <c r="AA2449">
        <f>IF($Z2449=1,SUMPRODUCT(--($AC$2:$AC$3001&lt;$AC2449))+1,"")</f>
        <v/>
      </c>
      <c r="AB2449">
        <f>IF($B2449="","",IF(OR($Y2449=TRUE(),$Y2449="TRUE"),1,IF(AND($Y2449&lt;&gt;"",OR($Y2449=FALSE(),$Y2449="FALSE")),0,IF(MIN(ABS($X2449/100-Settings!$C$6),ABS($X2449/100-Settings!$G$6))&lt;=MIN(ABS($X2449/100-Settings!$C$7),ABS($X2449/100-Settings!$G$7)),1,0))))</f>
        <v/>
      </c>
      <c r="AC2449">
        <f>IF($Z2449=1,IFERROR(IF(VALUE($B2449)&lt;100000000,VALUE($B2449),1000000000),IFERROR(IF(VALUE(MID($B2449,2,20))&lt;100000000,VALUE(MID($B2449,2,20)),1000000000),1000000000))+ROW()/100000,"")</f>
        <v/>
      </c>
    </row>
    <row r="2450">
      <c r="A2450">
        <f>IF($B2450="","",IFERROR(IF(INDEX('Per Invoice'!$A$2:$A$801,MATCH($B2450,'Per Invoice'!$B$2:$B$801,0))=0,"",INDEX('Per Invoice'!$A$2:$A$801,MATCH($B2450,'Per Invoice'!$B$2:$B$801,0))),""))</f>
        <v/>
      </c>
      <c r="J2450" s="7">
        <f>IF($B2450="","",I2450*Q2450/100)</f>
        <v/>
      </c>
      <c r="N2450" s="7" t="n"/>
      <c r="O2450" s="7" t="n"/>
      <c r="P2450" s="7">
        <f>IF($B2450="","",O2450*X2450/100)</f>
        <v/>
      </c>
      <c r="Q2450" s="7">
        <f>IF($B2450="","",O2450-P2450)</f>
        <v/>
      </c>
      <c r="R2450" s="7">
        <f>IF($B2450="","",Q2450-J2450)</f>
        <v/>
      </c>
      <c r="S2450" s="7" t="n"/>
      <c r="T2450" s="7" t="n"/>
      <c r="V2450" s="14" t="n"/>
      <c r="Z2450">
        <f>IF($B2450="","",IF(COUNTIF($B$2:$B2450,$B2450)=1,1,0))</f>
        <v/>
      </c>
      <c r="AA2450">
        <f>IF($Z2450=1,SUMPRODUCT(--($AC$2:$AC$3001&lt;$AC2450))+1,"")</f>
        <v/>
      </c>
      <c r="AB2450">
        <f>IF($B2450="","",IF(OR($Y2450=TRUE(),$Y2450="TRUE"),1,IF(AND($Y2450&lt;&gt;"",OR($Y2450=FALSE(),$Y2450="FALSE")),0,IF(MIN(ABS($X2450/100-Settings!$C$6),ABS($X2450/100-Settings!$G$6))&lt;=MIN(ABS($X2450/100-Settings!$C$7),ABS($X2450/100-Settings!$G$7)),1,0))))</f>
        <v/>
      </c>
      <c r="AC2450">
        <f>IF($Z2450=1,IFERROR(IF(VALUE($B2450)&lt;100000000,VALUE($B2450),1000000000),IFERROR(IF(VALUE(MID($B2450,2,20))&lt;100000000,VALUE(MID($B2450,2,20)),1000000000),1000000000))+ROW()/100000,"")</f>
        <v/>
      </c>
    </row>
    <row r="2451">
      <c r="A2451">
        <f>IF($B2451="","",IFERROR(IF(INDEX('Per Invoice'!$A$2:$A$801,MATCH($B2451,'Per Invoice'!$B$2:$B$801,0))=0,"",INDEX('Per Invoice'!$A$2:$A$801,MATCH($B2451,'Per Invoice'!$B$2:$B$801,0))),""))</f>
        <v/>
      </c>
      <c r="J2451" s="7">
        <f>IF($B2451="","",I2451*Q2451/100)</f>
        <v/>
      </c>
      <c r="N2451" s="7" t="n"/>
      <c r="O2451" s="7" t="n"/>
      <c r="P2451" s="7">
        <f>IF($B2451="","",O2451*X2451/100)</f>
        <v/>
      </c>
      <c r="Q2451" s="7">
        <f>IF($B2451="","",O2451-P2451)</f>
        <v/>
      </c>
      <c r="R2451" s="7">
        <f>IF($B2451="","",Q2451-J2451)</f>
        <v/>
      </c>
      <c r="S2451" s="7" t="n"/>
      <c r="T2451" s="7" t="n"/>
      <c r="V2451" s="14" t="n"/>
      <c r="Z2451">
        <f>IF($B2451="","",IF(COUNTIF($B$2:$B2451,$B2451)=1,1,0))</f>
        <v/>
      </c>
      <c r="AA2451">
        <f>IF($Z2451=1,SUMPRODUCT(--($AC$2:$AC$3001&lt;$AC2451))+1,"")</f>
        <v/>
      </c>
      <c r="AB2451">
        <f>IF($B2451="","",IF(OR($Y2451=TRUE(),$Y2451="TRUE"),1,IF(AND($Y2451&lt;&gt;"",OR($Y2451=FALSE(),$Y2451="FALSE")),0,IF(MIN(ABS($X2451/100-Settings!$C$6),ABS($X2451/100-Settings!$G$6))&lt;=MIN(ABS($X2451/100-Settings!$C$7),ABS($X2451/100-Settings!$G$7)),1,0))))</f>
        <v/>
      </c>
      <c r="AC2451">
        <f>IF($Z2451=1,IFERROR(IF(VALUE($B2451)&lt;100000000,VALUE($B2451),1000000000),IFERROR(IF(VALUE(MID($B2451,2,20))&lt;100000000,VALUE(MID($B2451,2,20)),1000000000),1000000000))+ROW()/100000,"")</f>
        <v/>
      </c>
    </row>
    <row r="2452">
      <c r="A2452">
        <f>IF($B2452="","",IFERROR(IF(INDEX('Per Invoice'!$A$2:$A$801,MATCH($B2452,'Per Invoice'!$B$2:$B$801,0))=0,"",INDEX('Per Invoice'!$A$2:$A$801,MATCH($B2452,'Per Invoice'!$B$2:$B$801,0))),""))</f>
        <v/>
      </c>
      <c r="J2452" s="7">
        <f>IF($B2452="","",I2452*Q2452/100)</f>
        <v/>
      </c>
      <c r="N2452" s="7" t="n"/>
      <c r="O2452" s="7" t="n"/>
      <c r="P2452" s="7">
        <f>IF($B2452="","",O2452*X2452/100)</f>
        <v/>
      </c>
      <c r="Q2452" s="7">
        <f>IF($B2452="","",O2452-P2452)</f>
        <v/>
      </c>
      <c r="R2452" s="7">
        <f>IF($B2452="","",Q2452-J2452)</f>
        <v/>
      </c>
      <c r="S2452" s="7" t="n"/>
      <c r="T2452" s="7" t="n"/>
      <c r="V2452" s="14" t="n"/>
      <c r="Z2452">
        <f>IF($B2452="","",IF(COUNTIF($B$2:$B2452,$B2452)=1,1,0))</f>
        <v/>
      </c>
      <c r="AA2452">
        <f>IF($Z2452=1,SUMPRODUCT(--($AC$2:$AC$3001&lt;$AC2452))+1,"")</f>
        <v/>
      </c>
      <c r="AB2452">
        <f>IF($B2452="","",IF(OR($Y2452=TRUE(),$Y2452="TRUE"),1,IF(AND($Y2452&lt;&gt;"",OR($Y2452=FALSE(),$Y2452="FALSE")),0,IF(MIN(ABS($X2452/100-Settings!$C$6),ABS($X2452/100-Settings!$G$6))&lt;=MIN(ABS($X2452/100-Settings!$C$7),ABS($X2452/100-Settings!$G$7)),1,0))))</f>
        <v/>
      </c>
      <c r="AC2452">
        <f>IF($Z2452=1,IFERROR(IF(VALUE($B2452)&lt;100000000,VALUE($B2452),1000000000),IFERROR(IF(VALUE(MID($B2452,2,20))&lt;100000000,VALUE(MID($B2452,2,20)),1000000000),1000000000))+ROW()/100000,"")</f>
        <v/>
      </c>
    </row>
    <row r="2453">
      <c r="A2453">
        <f>IF($B2453="","",IFERROR(IF(INDEX('Per Invoice'!$A$2:$A$801,MATCH($B2453,'Per Invoice'!$B$2:$B$801,0))=0,"",INDEX('Per Invoice'!$A$2:$A$801,MATCH($B2453,'Per Invoice'!$B$2:$B$801,0))),""))</f>
        <v/>
      </c>
      <c r="J2453" s="7">
        <f>IF($B2453="","",I2453*Q2453/100)</f>
        <v/>
      </c>
      <c r="N2453" s="7" t="n"/>
      <c r="O2453" s="7" t="n"/>
      <c r="P2453" s="7">
        <f>IF($B2453="","",O2453*X2453/100)</f>
        <v/>
      </c>
      <c r="Q2453" s="7">
        <f>IF($B2453="","",O2453-P2453)</f>
        <v/>
      </c>
      <c r="R2453" s="7">
        <f>IF($B2453="","",Q2453-J2453)</f>
        <v/>
      </c>
      <c r="S2453" s="7" t="n"/>
      <c r="T2453" s="7" t="n"/>
      <c r="V2453" s="14" t="n"/>
      <c r="Z2453">
        <f>IF($B2453="","",IF(COUNTIF($B$2:$B2453,$B2453)=1,1,0))</f>
        <v/>
      </c>
      <c r="AA2453">
        <f>IF($Z2453=1,SUMPRODUCT(--($AC$2:$AC$3001&lt;$AC2453))+1,"")</f>
        <v/>
      </c>
      <c r="AB2453">
        <f>IF($B2453="","",IF(OR($Y2453=TRUE(),$Y2453="TRUE"),1,IF(AND($Y2453&lt;&gt;"",OR($Y2453=FALSE(),$Y2453="FALSE")),0,IF(MIN(ABS($X2453/100-Settings!$C$6),ABS($X2453/100-Settings!$G$6))&lt;=MIN(ABS($X2453/100-Settings!$C$7),ABS($X2453/100-Settings!$G$7)),1,0))))</f>
        <v/>
      </c>
      <c r="AC2453">
        <f>IF($Z2453=1,IFERROR(IF(VALUE($B2453)&lt;100000000,VALUE($B2453),1000000000),IFERROR(IF(VALUE(MID($B2453,2,20))&lt;100000000,VALUE(MID($B2453,2,20)),1000000000),1000000000))+ROW()/100000,"")</f>
        <v/>
      </c>
    </row>
    <row r="2454">
      <c r="A2454">
        <f>IF($B2454="","",IFERROR(IF(INDEX('Per Invoice'!$A$2:$A$801,MATCH($B2454,'Per Invoice'!$B$2:$B$801,0))=0,"",INDEX('Per Invoice'!$A$2:$A$801,MATCH($B2454,'Per Invoice'!$B$2:$B$801,0))),""))</f>
        <v/>
      </c>
      <c r="J2454" s="7">
        <f>IF($B2454="","",I2454*Q2454/100)</f>
        <v/>
      </c>
      <c r="N2454" s="7" t="n"/>
      <c r="O2454" s="7" t="n"/>
      <c r="P2454" s="7">
        <f>IF($B2454="","",O2454*X2454/100)</f>
        <v/>
      </c>
      <c r="Q2454" s="7">
        <f>IF($B2454="","",O2454-P2454)</f>
        <v/>
      </c>
      <c r="R2454" s="7">
        <f>IF($B2454="","",Q2454-J2454)</f>
        <v/>
      </c>
      <c r="S2454" s="7" t="n"/>
      <c r="T2454" s="7" t="n"/>
      <c r="V2454" s="14" t="n"/>
      <c r="Z2454">
        <f>IF($B2454="","",IF(COUNTIF($B$2:$B2454,$B2454)=1,1,0))</f>
        <v/>
      </c>
      <c r="AA2454">
        <f>IF($Z2454=1,SUMPRODUCT(--($AC$2:$AC$3001&lt;$AC2454))+1,"")</f>
        <v/>
      </c>
      <c r="AB2454">
        <f>IF($B2454="","",IF(OR($Y2454=TRUE(),$Y2454="TRUE"),1,IF(AND($Y2454&lt;&gt;"",OR($Y2454=FALSE(),$Y2454="FALSE")),0,IF(MIN(ABS($X2454/100-Settings!$C$6),ABS($X2454/100-Settings!$G$6))&lt;=MIN(ABS($X2454/100-Settings!$C$7),ABS($X2454/100-Settings!$G$7)),1,0))))</f>
        <v/>
      </c>
      <c r="AC2454">
        <f>IF($Z2454=1,IFERROR(IF(VALUE($B2454)&lt;100000000,VALUE($B2454),1000000000),IFERROR(IF(VALUE(MID($B2454,2,20))&lt;100000000,VALUE(MID($B2454,2,20)),1000000000),1000000000))+ROW()/100000,"")</f>
        <v/>
      </c>
    </row>
    <row r="2455">
      <c r="A2455">
        <f>IF($B2455="","",IFERROR(IF(INDEX('Per Invoice'!$A$2:$A$801,MATCH($B2455,'Per Invoice'!$B$2:$B$801,0))=0,"",INDEX('Per Invoice'!$A$2:$A$801,MATCH($B2455,'Per Invoice'!$B$2:$B$801,0))),""))</f>
        <v/>
      </c>
      <c r="J2455" s="7">
        <f>IF($B2455="","",I2455*Q2455/100)</f>
        <v/>
      </c>
      <c r="N2455" s="7" t="n"/>
      <c r="O2455" s="7" t="n"/>
      <c r="P2455" s="7">
        <f>IF($B2455="","",O2455*X2455/100)</f>
        <v/>
      </c>
      <c r="Q2455" s="7">
        <f>IF($B2455="","",O2455-P2455)</f>
        <v/>
      </c>
      <c r="R2455" s="7">
        <f>IF($B2455="","",Q2455-J2455)</f>
        <v/>
      </c>
      <c r="S2455" s="7" t="n"/>
      <c r="T2455" s="7" t="n"/>
      <c r="V2455" s="14" t="n"/>
      <c r="Z2455">
        <f>IF($B2455="","",IF(COUNTIF($B$2:$B2455,$B2455)=1,1,0))</f>
        <v/>
      </c>
      <c r="AA2455">
        <f>IF($Z2455=1,SUMPRODUCT(--($AC$2:$AC$3001&lt;$AC2455))+1,"")</f>
        <v/>
      </c>
      <c r="AB2455">
        <f>IF($B2455="","",IF(OR($Y2455=TRUE(),$Y2455="TRUE"),1,IF(AND($Y2455&lt;&gt;"",OR($Y2455=FALSE(),$Y2455="FALSE")),0,IF(MIN(ABS($X2455/100-Settings!$C$6),ABS($X2455/100-Settings!$G$6))&lt;=MIN(ABS($X2455/100-Settings!$C$7),ABS($X2455/100-Settings!$G$7)),1,0))))</f>
        <v/>
      </c>
      <c r="AC2455">
        <f>IF($Z2455=1,IFERROR(IF(VALUE($B2455)&lt;100000000,VALUE($B2455),1000000000),IFERROR(IF(VALUE(MID($B2455,2,20))&lt;100000000,VALUE(MID($B2455,2,20)),1000000000),1000000000))+ROW()/100000,"")</f>
        <v/>
      </c>
    </row>
    <row r="2456">
      <c r="A2456">
        <f>IF($B2456="","",IFERROR(IF(INDEX('Per Invoice'!$A$2:$A$801,MATCH($B2456,'Per Invoice'!$B$2:$B$801,0))=0,"",INDEX('Per Invoice'!$A$2:$A$801,MATCH($B2456,'Per Invoice'!$B$2:$B$801,0))),""))</f>
        <v/>
      </c>
      <c r="J2456" s="7">
        <f>IF($B2456="","",I2456*Q2456/100)</f>
        <v/>
      </c>
      <c r="N2456" s="7" t="n"/>
      <c r="O2456" s="7" t="n"/>
      <c r="P2456" s="7">
        <f>IF($B2456="","",O2456*X2456/100)</f>
        <v/>
      </c>
      <c r="Q2456" s="7">
        <f>IF($B2456="","",O2456-P2456)</f>
        <v/>
      </c>
      <c r="R2456" s="7">
        <f>IF($B2456="","",Q2456-J2456)</f>
        <v/>
      </c>
      <c r="S2456" s="7" t="n"/>
      <c r="T2456" s="7" t="n"/>
      <c r="V2456" s="14" t="n"/>
      <c r="Z2456">
        <f>IF($B2456="","",IF(COUNTIF($B$2:$B2456,$B2456)=1,1,0))</f>
        <v/>
      </c>
      <c r="AA2456">
        <f>IF($Z2456=1,SUMPRODUCT(--($AC$2:$AC$3001&lt;$AC2456))+1,"")</f>
        <v/>
      </c>
      <c r="AB2456">
        <f>IF($B2456="","",IF(OR($Y2456=TRUE(),$Y2456="TRUE"),1,IF(AND($Y2456&lt;&gt;"",OR($Y2456=FALSE(),$Y2456="FALSE")),0,IF(MIN(ABS($X2456/100-Settings!$C$6),ABS($X2456/100-Settings!$G$6))&lt;=MIN(ABS($X2456/100-Settings!$C$7),ABS($X2456/100-Settings!$G$7)),1,0))))</f>
        <v/>
      </c>
      <c r="AC2456">
        <f>IF($Z2456=1,IFERROR(IF(VALUE($B2456)&lt;100000000,VALUE($B2456),1000000000),IFERROR(IF(VALUE(MID($B2456,2,20))&lt;100000000,VALUE(MID($B2456,2,20)),1000000000),1000000000))+ROW()/100000,"")</f>
        <v/>
      </c>
    </row>
    <row r="2457">
      <c r="A2457">
        <f>IF($B2457="","",IFERROR(IF(INDEX('Per Invoice'!$A$2:$A$801,MATCH($B2457,'Per Invoice'!$B$2:$B$801,0))=0,"",INDEX('Per Invoice'!$A$2:$A$801,MATCH($B2457,'Per Invoice'!$B$2:$B$801,0))),""))</f>
        <v/>
      </c>
      <c r="J2457" s="7">
        <f>IF($B2457="","",I2457*Q2457/100)</f>
        <v/>
      </c>
      <c r="N2457" s="7" t="n"/>
      <c r="O2457" s="7" t="n"/>
      <c r="P2457" s="7">
        <f>IF($B2457="","",O2457*X2457/100)</f>
        <v/>
      </c>
      <c r="Q2457" s="7">
        <f>IF($B2457="","",O2457-P2457)</f>
        <v/>
      </c>
      <c r="R2457" s="7">
        <f>IF($B2457="","",Q2457-J2457)</f>
        <v/>
      </c>
      <c r="S2457" s="7" t="n"/>
      <c r="T2457" s="7" t="n"/>
      <c r="V2457" s="14" t="n"/>
      <c r="Z2457">
        <f>IF($B2457="","",IF(COUNTIF($B$2:$B2457,$B2457)=1,1,0))</f>
        <v/>
      </c>
      <c r="AA2457">
        <f>IF($Z2457=1,SUMPRODUCT(--($AC$2:$AC$3001&lt;$AC2457))+1,"")</f>
        <v/>
      </c>
      <c r="AB2457">
        <f>IF($B2457="","",IF(OR($Y2457=TRUE(),$Y2457="TRUE"),1,IF(AND($Y2457&lt;&gt;"",OR($Y2457=FALSE(),$Y2457="FALSE")),0,IF(MIN(ABS($X2457/100-Settings!$C$6),ABS($X2457/100-Settings!$G$6))&lt;=MIN(ABS($X2457/100-Settings!$C$7),ABS($X2457/100-Settings!$G$7)),1,0))))</f>
        <v/>
      </c>
      <c r="AC2457">
        <f>IF($Z2457=1,IFERROR(IF(VALUE($B2457)&lt;100000000,VALUE($B2457),1000000000),IFERROR(IF(VALUE(MID($B2457,2,20))&lt;100000000,VALUE(MID($B2457,2,20)),1000000000),1000000000))+ROW()/100000,"")</f>
        <v/>
      </c>
    </row>
    <row r="2458">
      <c r="A2458">
        <f>IF($B2458="","",IFERROR(IF(INDEX('Per Invoice'!$A$2:$A$801,MATCH($B2458,'Per Invoice'!$B$2:$B$801,0))=0,"",INDEX('Per Invoice'!$A$2:$A$801,MATCH($B2458,'Per Invoice'!$B$2:$B$801,0))),""))</f>
        <v/>
      </c>
      <c r="J2458" s="7">
        <f>IF($B2458="","",I2458*Q2458/100)</f>
        <v/>
      </c>
      <c r="N2458" s="7" t="n"/>
      <c r="O2458" s="7" t="n"/>
      <c r="P2458" s="7">
        <f>IF($B2458="","",O2458*X2458/100)</f>
        <v/>
      </c>
      <c r="Q2458" s="7">
        <f>IF($B2458="","",O2458-P2458)</f>
        <v/>
      </c>
      <c r="R2458" s="7">
        <f>IF($B2458="","",Q2458-J2458)</f>
        <v/>
      </c>
      <c r="S2458" s="7" t="n"/>
      <c r="T2458" s="7" t="n"/>
      <c r="V2458" s="14" t="n"/>
      <c r="Z2458">
        <f>IF($B2458="","",IF(COUNTIF($B$2:$B2458,$B2458)=1,1,0))</f>
        <v/>
      </c>
      <c r="AA2458">
        <f>IF($Z2458=1,SUMPRODUCT(--($AC$2:$AC$3001&lt;$AC2458))+1,"")</f>
        <v/>
      </c>
      <c r="AB2458">
        <f>IF($B2458="","",IF(OR($Y2458=TRUE(),$Y2458="TRUE"),1,IF(AND($Y2458&lt;&gt;"",OR($Y2458=FALSE(),$Y2458="FALSE")),0,IF(MIN(ABS($X2458/100-Settings!$C$6),ABS($X2458/100-Settings!$G$6))&lt;=MIN(ABS($X2458/100-Settings!$C$7),ABS($X2458/100-Settings!$G$7)),1,0))))</f>
        <v/>
      </c>
      <c r="AC2458">
        <f>IF($Z2458=1,IFERROR(IF(VALUE($B2458)&lt;100000000,VALUE($B2458),1000000000),IFERROR(IF(VALUE(MID($B2458,2,20))&lt;100000000,VALUE(MID($B2458,2,20)),1000000000),1000000000))+ROW()/100000,"")</f>
        <v/>
      </c>
    </row>
    <row r="2459">
      <c r="A2459">
        <f>IF($B2459="","",IFERROR(IF(INDEX('Per Invoice'!$A$2:$A$801,MATCH($B2459,'Per Invoice'!$B$2:$B$801,0))=0,"",INDEX('Per Invoice'!$A$2:$A$801,MATCH($B2459,'Per Invoice'!$B$2:$B$801,0))),""))</f>
        <v/>
      </c>
      <c r="J2459" s="7">
        <f>IF($B2459="","",I2459*Q2459/100)</f>
        <v/>
      </c>
      <c r="N2459" s="7" t="n"/>
      <c r="O2459" s="7" t="n"/>
      <c r="P2459" s="7">
        <f>IF($B2459="","",O2459*X2459/100)</f>
        <v/>
      </c>
      <c r="Q2459" s="7">
        <f>IF($B2459="","",O2459-P2459)</f>
        <v/>
      </c>
      <c r="R2459" s="7">
        <f>IF($B2459="","",Q2459-J2459)</f>
        <v/>
      </c>
      <c r="S2459" s="7" t="n"/>
      <c r="T2459" s="7" t="n"/>
      <c r="V2459" s="14" t="n"/>
      <c r="Z2459">
        <f>IF($B2459="","",IF(COUNTIF($B$2:$B2459,$B2459)=1,1,0))</f>
        <v/>
      </c>
      <c r="AA2459">
        <f>IF($Z2459=1,SUMPRODUCT(--($AC$2:$AC$3001&lt;$AC2459))+1,"")</f>
        <v/>
      </c>
      <c r="AB2459">
        <f>IF($B2459="","",IF(OR($Y2459=TRUE(),$Y2459="TRUE"),1,IF(AND($Y2459&lt;&gt;"",OR($Y2459=FALSE(),$Y2459="FALSE")),0,IF(MIN(ABS($X2459/100-Settings!$C$6),ABS($X2459/100-Settings!$G$6))&lt;=MIN(ABS($X2459/100-Settings!$C$7),ABS($X2459/100-Settings!$G$7)),1,0))))</f>
        <v/>
      </c>
      <c r="AC2459">
        <f>IF($Z2459=1,IFERROR(IF(VALUE($B2459)&lt;100000000,VALUE($B2459),1000000000),IFERROR(IF(VALUE(MID($B2459,2,20))&lt;100000000,VALUE(MID($B2459,2,20)),1000000000),1000000000))+ROW()/100000,"")</f>
        <v/>
      </c>
    </row>
    <row r="2460">
      <c r="A2460">
        <f>IF($B2460="","",IFERROR(IF(INDEX('Per Invoice'!$A$2:$A$801,MATCH($B2460,'Per Invoice'!$B$2:$B$801,0))=0,"",INDEX('Per Invoice'!$A$2:$A$801,MATCH($B2460,'Per Invoice'!$B$2:$B$801,0))),""))</f>
        <v/>
      </c>
      <c r="J2460" s="7">
        <f>IF($B2460="","",I2460*Q2460/100)</f>
        <v/>
      </c>
      <c r="N2460" s="7" t="n"/>
      <c r="O2460" s="7" t="n"/>
      <c r="P2460" s="7">
        <f>IF($B2460="","",O2460*X2460/100)</f>
        <v/>
      </c>
      <c r="Q2460" s="7">
        <f>IF($B2460="","",O2460-P2460)</f>
        <v/>
      </c>
      <c r="R2460" s="7">
        <f>IF($B2460="","",Q2460-J2460)</f>
        <v/>
      </c>
      <c r="S2460" s="7" t="n"/>
      <c r="T2460" s="7" t="n"/>
      <c r="V2460" s="14" t="n"/>
      <c r="Z2460">
        <f>IF($B2460="","",IF(COUNTIF($B$2:$B2460,$B2460)=1,1,0))</f>
        <v/>
      </c>
      <c r="AA2460">
        <f>IF($Z2460=1,SUMPRODUCT(--($AC$2:$AC$3001&lt;$AC2460))+1,"")</f>
        <v/>
      </c>
      <c r="AB2460">
        <f>IF($B2460="","",IF(OR($Y2460=TRUE(),$Y2460="TRUE"),1,IF(AND($Y2460&lt;&gt;"",OR($Y2460=FALSE(),$Y2460="FALSE")),0,IF(MIN(ABS($X2460/100-Settings!$C$6),ABS($X2460/100-Settings!$G$6))&lt;=MIN(ABS($X2460/100-Settings!$C$7),ABS($X2460/100-Settings!$G$7)),1,0))))</f>
        <v/>
      </c>
      <c r="AC2460">
        <f>IF($Z2460=1,IFERROR(IF(VALUE($B2460)&lt;100000000,VALUE($B2460),1000000000),IFERROR(IF(VALUE(MID($B2460,2,20))&lt;100000000,VALUE(MID($B2460,2,20)),1000000000),1000000000))+ROW()/100000,"")</f>
        <v/>
      </c>
    </row>
    <row r="2461">
      <c r="A2461">
        <f>IF($B2461="","",IFERROR(IF(INDEX('Per Invoice'!$A$2:$A$801,MATCH($B2461,'Per Invoice'!$B$2:$B$801,0))=0,"",INDEX('Per Invoice'!$A$2:$A$801,MATCH($B2461,'Per Invoice'!$B$2:$B$801,0))),""))</f>
        <v/>
      </c>
      <c r="J2461" s="7">
        <f>IF($B2461="","",I2461*Q2461/100)</f>
        <v/>
      </c>
      <c r="N2461" s="7" t="n"/>
      <c r="O2461" s="7" t="n"/>
      <c r="P2461" s="7">
        <f>IF($B2461="","",O2461*X2461/100)</f>
        <v/>
      </c>
      <c r="Q2461" s="7">
        <f>IF($B2461="","",O2461-P2461)</f>
        <v/>
      </c>
      <c r="R2461" s="7">
        <f>IF($B2461="","",Q2461-J2461)</f>
        <v/>
      </c>
      <c r="S2461" s="7" t="n"/>
      <c r="T2461" s="7" t="n"/>
      <c r="V2461" s="14" t="n"/>
      <c r="Z2461">
        <f>IF($B2461="","",IF(COUNTIF($B$2:$B2461,$B2461)=1,1,0))</f>
        <v/>
      </c>
      <c r="AA2461">
        <f>IF($Z2461=1,SUMPRODUCT(--($AC$2:$AC$3001&lt;$AC2461))+1,"")</f>
        <v/>
      </c>
      <c r="AB2461">
        <f>IF($B2461="","",IF(OR($Y2461=TRUE(),$Y2461="TRUE"),1,IF(AND($Y2461&lt;&gt;"",OR($Y2461=FALSE(),$Y2461="FALSE")),0,IF(MIN(ABS($X2461/100-Settings!$C$6),ABS($X2461/100-Settings!$G$6))&lt;=MIN(ABS($X2461/100-Settings!$C$7),ABS($X2461/100-Settings!$G$7)),1,0))))</f>
        <v/>
      </c>
      <c r="AC2461">
        <f>IF($Z2461=1,IFERROR(IF(VALUE($B2461)&lt;100000000,VALUE($B2461),1000000000),IFERROR(IF(VALUE(MID($B2461,2,20))&lt;100000000,VALUE(MID($B2461,2,20)),1000000000),1000000000))+ROW()/100000,"")</f>
        <v/>
      </c>
    </row>
    <row r="2462">
      <c r="A2462">
        <f>IF($B2462="","",IFERROR(IF(INDEX('Per Invoice'!$A$2:$A$801,MATCH($B2462,'Per Invoice'!$B$2:$B$801,0))=0,"",INDEX('Per Invoice'!$A$2:$A$801,MATCH($B2462,'Per Invoice'!$B$2:$B$801,0))),""))</f>
        <v/>
      </c>
      <c r="J2462" s="7">
        <f>IF($B2462="","",I2462*Q2462/100)</f>
        <v/>
      </c>
      <c r="N2462" s="7" t="n"/>
      <c r="O2462" s="7" t="n"/>
      <c r="P2462" s="7">
        <f>IF($B2462="","",O2462*X2462/100)</f>
        <v/>
      </c>
      <c r="Q2462" s="7">
        <f>IF($B2462="","",O2462-P2462)</f>
        <v/>
      </c>
      <c r="R2462" s="7">
        <f>IF($B2462="","",Q2462-J2462)</f>
        <v/>
      </c>
      <c r="S2462" s="7" t="n"/>
      <c r="T2462" s="7" t="n"/>
      <c r="V2462" s="14" t="n"/>
      <c r="Z2462">
        <f>IF($B2462="","",IF(COUNTIF($B$2:$B2462,$B2462)=1,1,0))</f>
        <v/>
      </c>
      <c r="AA2462">
        <f>IF($Z2462=1,SUMPRODUCT(--($AC$2:$AC$3001&lt;$AC2462))+1,"")</f>
        <v/>
      </c>
      <c r="AB2462">
        <f>IF($B2462="","",IF(OR($Y2462=TRUE(),$Y2462="TRUE"),1,IF(AND($Y2462&lt;&gt;"",OR($Y2462=FALSE(),$Y2462="FALSE")),0,IF(MIN(ABS($X2462/100-Settings!$C$6),ABS($X2462/100-Settings!$G$6))&lt;=MIN(ABS($X2462/100-Settings!$C$7),ABS($X2462/100-Settings!$G$7)),1,0))))</f>
        <v/>
      </c>
      <c r="AC2462">
        <f>IF($Z2462=1,IFERROR(IF(VALUE($B2462)&lt;100000000,VALUE($B2462),1000000000),IFERROR(IF(VALUE(MID($B2462,2,20))&lt;100000000,VALUE(MID($B2462,2,20)),1000000000),1000000000))+ROW()/100000,"")</f>
        <v/>
      </c>
    </row>
    <row r="2463">
      <c r="A2463">
        <f>IF($B2463="","",IFERROR(IF(INDEX('Per Invoice'!$A$2:$A$801,MATCH($B2463,'Per Invoice'!$B$2:$B$801,0))=0,"",INDEX('Per Invoice'!$A$2:$A$801,MATCH($B2463,'Per Invoice'!$B$2:$B$801,0))),""))</f>
        <v/>
      </c>
      <c r="J2463" s="7">
        <f>IF($B2463="","",I2463*Q2463/100)</f>
        <v/>
      </c>
      <c r="N2463" s="7" t="n"/>
      <c r="O2463" s="7" t="n"/>
      <c r="P2463" s="7">
        <f>IF($B2463="","",O2463*X2463/100)</f>
        <v/>
      </c>
      <c r="Q2463" s="7">
        <f>IF($B2463="","",O2463-P2463)</f>
        <v/>
      </c>
      <c r="R2463" s="7">
        <f>IF($B2463="","",Q2463-J2463)</f>
        <v/>
      </c>
      <c r="S2463" s="7" t="n"/>
      <c r="T2463" s="7" t="n"/>
      <c r="V2463" s="14" t="n"/>
      <c r="Z2463">
        <f>IF($B2463="","",IF(COUNTIF($B$2:$B2463,$B2463)=1,1,0))</f>
        <v/>
      </c>
      <c r="AA2463">
        <f>IF($Z2463=1,SUMPRODUCT(--($AC$2:$AC$3001&lt;$AC2463))+1,"")</f>
        <v/>
      </c>
      <c r="AB2463">
        <f>IF($B2463="","",IF(OR($Y2463=TRUE(),$Y2463="TRUE"),1,IF(AND($Y2463&lt;&gt;"",OR($Y2463=FALSE(),$Y2463="FALSE")),0,IF(MIN(ABS($X2463/100-Settings!$C$6),ABS($X2463/100-Settings!$G$6))&lt;=MIN(ABS($X2463/100-Settings!$C$7),ABS($X2463/100-Settings!$G$7)),1,0))))</f>
        <v/>
      </c>
      <c r="AC2463">
        <f>IF($Z2463=1,IFERROR(IF(VALUE($B2463)&lt;100000000,VALUE($B2463),1000000000),IFERROR(IF(VALUE(MID($B2463,2,20))&lt;100000000,VALUE(MID($B2463,2,20)),1000000000),1000000000))+ROW()/100000,"")</f>
        <v/>
      </c>
    </row>
    <row r="2464">
      <c r="A2464">
        <f>IF($B2464="","",IFERROR(IF(INDEX('Per Invoice'!$A$2:$A$801,MATCH($B2464,'Per Invoice'!$B$2:$B$801,0))=0,"",INDEX('Per Invoice'!$A$2:$A$801,MATCH($B2464,'Per Invoice'!$B$2:$B$801,0))),""))</f>
        <v/>
      </c>
      <c r="J2464" s="7">
        <f>IF($B2464="","",I2464*Q2464/100)</f>
        <v/>
      </c>
      <c r="N2464" s="7" t="n"/>
      <c r="O2464" s="7" t="n"/>
      <c r="P2464" s="7">
        <f>IF($B2464="","",O2464*X2464/100)</f>
        <v/>
      </c>
      <c r="Q2464" s="7">
        <f>IF($B2464="","",O2464-P2464)</f>
        <v/>
      </c>
      <c r="R2464" s="7">
        <f>IF($B2464="","",Q2464-J2464)</f>
        <v/>
      </c>
      <c r="S2464" s="7" t="n"/>
      <c r="T2464" s="7" t="n"/>
      <c r="V2464" s="14" t="n"/>
      <c r="Z2464">
        <f>IF($B2464="","",IF(COUNTIF($B$2:$B2464,$B2464)=1,1,0))</f>
        <v/>
      </c>
      <c r="AA2464">
        <f>IF($Z2464=1,SUMPRODUCT(--($AC$2:$AC$3001&lt;$AC2464))+1,"")</f>
        <v/>
      </c>
      <c r="AB2464">
        <f>IF($B2464="","",IF(OR($Y2464=TRUE(),$Y2464="TRUE"),1,IF(AND($Y2464&lt;&gt;"",OR($Y2464=FALSE(),$Y2464="FALSE")),0,IF(MIN(ABS($X2464/100-Settings!$C$6),ABS($X2464/100-Settings!$G$6))&lt;=MIN(ABS($X2464/100-Settings!$C$7),ABS($X2464/100-Settings!$G$7)),1,0))))</f>
        <v/>
      </c>
      <c r="AC2464">
        <f>IF($Z2464=1,IFERROR(IF(VALUE($B2464)&lt;100000000,VALUE($B2464),1000000000),IFERROR(IF(VALUE(MID($B2464,2,20))&lt;100000000,VALUE(MID($B2464,2,20)),1000000000),1000000000))+ROW()/100000,"")</f>
        <v/>
      </c>
    </row>
    <row r="2465">
      <c r="A2465">
        <f>IF($B2465="","",IFERROR(IF(INDEX('Per Invoice'!$A$2:$A$801,MATCH($B2465,'Per Invoice'!$B$2:$B$801,0))=0,"",INDEX('Per Invoice'!$A$2:$A$801,MATCH($B2465,'Per Invoice'!$B$2:$B$801,0))),""))</f>
        <v/>
      </c>
      <c r="J2465" s="7">
        <f>IF($B2465="","",I2465*Q2465/100)</f>
        <v/>
      </c>
      <c r="N2465" s="7" t="n"/>
      <c r="O2465" s="7" t="n"/>
      <c r="P2465" s="7">
        <f>IF($B2465="","",O2465*X2465/100)</f>
        <v/>
      </c>
      <c r="Q2465" s="7">
        <f>IF($B2465="","",O2465-P2465)</f>
        <v/>
      </c>
      <c r="R2465" s="7">
        <f>IF($B2465="","",Q2465-J2465)</f>
        <v/>
      </c>
      <c r="S2465" s="7" t="n"/>
      <c r="T2465" s="7" t="n"/>
      <c r="V2465" s="14" t="n"/>
      <c r="Z2465">
        <f>IF($B2465="","",IF(COUNTIF($B$2:$B2465,$B2465)=1,1,0))</f>
        <v/>
      </c>
      <c r="AA2465">
        <f>IF($Z2465=1,SUMPRODUCT(--($AC$2:$AC$3001&lt;$AC2465))+1,"")</f>
        <v/>
      </c>
      <c r="AB2465">
        <f>IF($B2465="","",IF(OR($Y2465=TRUE(),$Y2465="TRUE"),1,IF(AND($Y2465&lt;&gt;"",OR($Y2465=FALSE(),$Y2465="FALSE")),0,IF(MIN(ABS($X2465/100-Settings!$C$6),ABS($X2465/100-Settings!$G$6))&lt;=MIN(ABS($X2465/100-Settings!$C$7),ABS($X2465/100-Settings!$G$7)),1,0))))</f>
        <v/>
      </c>
      <c r="AC2465">
        <f>IF($Z2465=1,IFERROR(IF(VALUE($B2465)&lt;100000000,VALUE($B2465),1000000000),IFERROR(IF(VALUE(MID($B2465,2,20))&lt;100000000,VALUE(MID($B2465,2,20)),1000000000),1000000000))+ROW()/100000,"")</f>
        <v/>
      </c>
    </row>
    <row r="2466">
      <c r="A2466">
        <f>IF($B2466="","",IFERROR(IF(INDEX('Per Invoice'!$A$2:$A$801,MATCH($B2466,'Per Invoice'!$B$2:$B$801,0))=0,"",INDEX('Per Invoice'!$A$2:$A$801,MATCH($B2466,'Per Invoice'!$B$2:$B$801,0))),""))</f>
        <v/>
      </c>
      <c r="J2466" s="7">
        <f>IF($B2466="","",I2466*Q2466/100)</f>
        <v/>
      </c>
      <c r="N2466" s="7" t="n"/>
      <c r="O2466" s="7" t="n"/>
      <c r="P2466" s="7">
        <f>IF($B2466="","",O2466*X2466/100)</f>
        <v/>
      </c>
      <c r="Q2466" s="7">
        <f>IF($B2466="","",O2466-P2466)</f>
        <v/>
      </c>
      <c r="R2466" s="7">
        <f>IF($B2466="","",Q2466-J2466)</f>
        <v/>
      </c>
      <c r="S2466" s="7" t="n"/>
      <c r="T2466" s="7" t="n"/>
      <c r="V2466" s="14" t="n"/>
      <c r="Z2466">
        <f>IF($B2466="","",IF(COUNTIF($B$2:$B2466,$B2466)=1,1,0))</f>
        <v/>
      </c>
      <c r="AA2466">
        <f>IF($Z2466=1,SUMPRODUCT(--($AC$2:$AC$3001&lt;$AC2466))+1,"")</f>
        <v/>
      </c>
      <c r="AB2466">
        <f>IF($B2466="","",IF(OR($Y2466=TRUE(),$Y2466="TRUE"),1,IF(AND($Y2466&lt;&gt;"",OR($Y2466=FALSE(),$Y2466="FALSE")),0,IF(MIN(ABS($X2466/100-Settings!$C$6),ABS($X2466/100-Settings!$G$6))&lt;=MIN(ABS($X2466/100-Settings!$C$7),ABS($X2466/100-Settings!$G$7)),1,0))))</f>
        <v/>
      </c>
      <c r="AC2466">
        <f>IF($Z2466=1,IFERROR(IF(VALUE($B2466)&lt;100000000,VALUE($B2466),1000000000),IFERROR(IF(VALUE(MID($B2466,2,20))&lt;100000000,VALUE(MID($B2466,2,20)),1000000000),1000000000))+ROW()/100000,"")</f>
        <v/>
      </c>
    </row>
    <row r="2467">
      <c r="A2467">
        <f>IF($B2467="","",IFERROR(IF(INDEX('Per Invoice'!$A$2:$A$801,MATCH($B2467,'Per Invoice'!$B$2:$B$801,0))=0,"",INDEX('Per Invoice'!$A$2:$A$801,MATCH($B2467,'Per Invoice'!$B$2:$B$801,0))),""))</f>
        <v/>
      </c>
      <c r="J2467" s="7">
        <f>IF($B2467="","",I2467*Q2467/100)</f>
        <v/>
      </c>
      <c r="N2467" s="7" t="n"/>
      <c r="O2467" s="7" t="n"/>
      <c r="P2467" s="7">
        <f>IF($B2467="","",O2467*X2467/100)</f>
        <v/>
      </c>
      <c r="Q2467" s="7">
        <f>IF($B2467="","",O2467-P2467)</f>
        <v/>
      </c>
      <c r="R2467" s="7">
        <f>IF($B2467="","",Q2467-J2467)</f>
        <v/>
      </c>
      <c r="S2467" s="7" t="n"/>
      <c r="T2467" s="7" t="n"/>
      <c r="V2467" s="14" t="n"/>
      <c r="Z2467">
        <f>IF($B2467="","",IF(COUNTIF($B$2:$B2467,$B2467)=1,1,0))</f>
        <v/>
      </c>
      <c r="AA2467">
        <f>IF($Z2467=1,SUMPRODUCT(--($AC$2:$AC$3001&lt;$AC2467))+1,"")</f>
        <v/>
      </c>
      <c r="AB2467">
        <f>IF($B2467="","",IF(OR($Y2467=TRUE(),$Y2467="TRUE"),1,IF(AND($Y2467&lt;&gt;"",OR($Y2467=FALSE(),$Y2467="FALSE")),0,IF(MIN(ABS($X2467/100-Settings!$C$6),ABS($X2467/100-Settings!$G$6))&lt;=MIN(ABS($X2467/100-Settings!$C$7),ABS($X2467/100-Settings!$G$7)),1,0))))</f>
        <v/>
      </c>
      <c r="AC2467">
        <f>IF($Z2467=1,IFERROR(IF(VALUE($B2467)&lt;100000000,VALUE($B2467),1000000000),IFERROR(IF(VALUE(MID($B2467,2,20))&lt;100000000,VALUE(MID($B2467,2,20)),1000000000),1000000000))+ROW()/100000,"")</f>
        <v/>
      </c>
    </row>
    <row r="2468">
      <c r="A2468">
        <f>IF($B2468="","",IFERROR(IF(INDEX('Per Invoice'!$A$2:$A$801,MATCH($B2468,'Per Invoice'!$B$2:$B$801,0))=0,"",INDEX('Per Invoice'!$A$2:$A$801,MATCH($B2468,'Per Invoice'!$B$2:$B$801,0))),""))</f>
        <v/>
      </c>
      <c r="J2468" s="7">
        <f>IF($B2468="","",I2468*Q2468/100)</f>
        <v/>
      </c>
      <c r="N2468" s="7" t="n"/>
      <c r="O2468" s="7" t="n"/>
      <c r="P2468" s="7">
        <f>IF($B2468="","",O2468*X2468/100)</f>
        <v/>
      </c>
      <c r="Q2468" s="7">
        <f>IF($B2468="","",O2468-P2468)</f>
        <v/>
      </c>
      <c r="R2468" s="7">
        <f>IF($B2468="","",Q2468-J2468)</f>
        <v/>
      </c>
      <c r="S2468" s="7" t="n"/>
      <c r="T2468" s="7" t="n"/>
      <c r="V2468" s="14" t="n"/>
      <c r="Z2468">
        <f>IF($B2468="","",IF(COUNTIF($B$2:$B2468,$B2468)=1,1,0))</f>
        <v/>
      </c>
      <c r="AA2468">
        <f>IF($Z2468=1,SUMPRODUCT(--($AC$2:$AC$3001&lt;$AC2468))+1,"")</f>
        <v/>
      </c>
      <c r="AB2468">
        <f>IF($B2468="","",IF(OR($Y2468=TRUE(),$Y2468="TRUE"),1,IF(AND($Y2468&lt;&gt;"",OR($Y2468=FALSE(),$Y2468="FALSE")),0,IF(MIN(ABS($X2468/100-Settings!$C$6),ABS($X2468/100-Settings!$G$6))&lt;=MIN(ABS($X2468/100-Settings!$C$7),ABS($X2468/100-Settings!$G$7)),1,0))))</f>
        <v/>
      </c>
      <c r="AC2468">
        <f>IF($Z2468=1,IFERROR(IF(VALUE($B2468)&lt;100000000,VALUE($B2468),1000000000),IFERROR(IF(VALUE(MID($B2468,2,20))&lt;100000000,VALUE(MID($B2468,2,20)),1000000000),1000000000))+ROW()/100000,"")</f>
        <v/>
      </c>
    </row>
    <row r="2469">
      <c r="A2469">
        <f>IF($B2469="","",IFERROR(IF(INDEX('Per Invoice'!$A$2:$A$801,MATCH($B2469,'Per Invoice'!$B$2:$B$801,0))=0,"",INDEX('Per Invoice'!$A$2:$A$801,MATCH($B2469,'Per Invoice'!$B$2:$B$801,0))),""))</f>
        <v/>
      </c>
      <c r="J2469" s="7">
        <f>IF($B2469="","",I2469*Q2469/100)</f>
        <v/>
      </c>
      <c r="N2469" s="7" t="n"/>
      <c r="O2469" s="7" t="n"/>
      <c r="P2469" s="7">
        <f>IF($B2469="","",O2469*X2469/100)</f>
        <v/>
      </c>
      <c r="Q2469" s="7">
        <f>IF($B2469="","",O2469-P2469)</f>
        <v/>
      </c>
      <c r="R2469" s="7">
        <f>IF($B2469="","",Q2469-J2469)</f>
        <v/>
      </c>
      <c r="S2469" s="7" t="n"/>
      <c r="T2469" s="7" t="n"/>
      <c r="V2469" s="14" t="n"/>
      <c r="Z2469">
        <f>IF($B2469="","",IF(COUNTIF($B$2:$B2469,$B2469)=1,1,0))</f>
        <v/>
      </c>
      <c r="AA2469">
        <f>IF($Z2469=1,SUMPRODUCT(--($AC$2:$AC$3001&lt;$AC2469))+1,"")</f>
        <v/>
      </c>
      <c r="AB2469">
        <f>IF($B2469="","",IF(OR($Y2469=TRUE(),$Y2469="TRUE"),1,IF(AND($Y2469&lt;&gt;"",OR($Y2469=FALSE(),$Y2469="FALSE")),0,IF(MIN(ABS($X2469/100-Settings!$C$6),ABS($X2469/100-Settings!$G$6))&lt;=MIN(ABS($X2469/100-Settings!$C$7),ABS($X2469/100-Settings!$G$7)),1,0))))</f>
        <v/>
      </c>
      <c r="AC2469">
        <f>IF($Z2469=1,IFERROR(IF(VALUE($B2469)&lt;100000000,VALUE($B2469),1000000000),IFERROR(IF(VALUE(MID($B2469,2,20))&lt;100000000,VALUE(MID($B2469,2,20)),1000000000),1000000000))+ROW()/100000,"")</f>
        <v/>
      </c>
    </row>
    <row r="2470">
      <c r="A2470">
        <f>IF($B2470="","",IFERROR(IF(INDEX('Per Invoice'!$A$2:$A$801,MATCH($B2470,'Per Invoice'!$B$2:$B$801,0))=0,"",INDEX('Per Invoice'!$A$2:$A$801,MATCH($B2470,'Per Invoice'!$B$2:$B$801,0))),""))</f>
        <v/>
      </c>
      <c r="J2470" s="7">
        <f>IF($B2470="","",I2470*Q2470/100)</f>
        <v/>
      </c>
      <c r="N2470" s="7" t="n"/>
      <c r="O2470" s="7" t="n"/>
      <c r="P2470" s="7">
        <f>IF($B2470="","",O2470*X2470/100)</f>
        <v/>
      </c>
      <c r="Q2470" s="7">
        <f>IF($B2470="","",O2470-P2470)</f>
        <v/>
      </c>
      <c r="R2470" s="7">
        <f>IF($B2470="","",Q2470-J2470)</f>
        <v/>
      </c>
      <c r="S2470" s="7" t="n"/>
      <c r="T2470" s="7" t="n"/>
      <c r="V2470" s="14" t="n"/>
      <c r="Z2470">
        <f>IF($B2470="","",IF(COUNTIF($B$2:$B2470,$B2470)=1,1,0))</f>
        <v/>
      </c>
      <c r="AA2470">
        <f>IF($Z2470=1,SUMPRODUCT(--($AC$2:$AC$3001&lt;$AC2470))+1,"")</f>
        <v/>
      </c>
      <c r="AB2470">
        <f>IF($B2470="","",IF(OR($Y2470=TRUE(),$Y2470="TRUE"),1,IF(AND($Y2470&lt;&gt;"",OR($Y2470=FALSE(),$Y2470="FALSE")),0,IF(MIN(ABS($X2470/100-Settings!$C$6),ABS($X2470/100-Settings!$G$6))&lt;=MIN(ABS($X2470/100-Settings!$C$7),ABS($X2470/100-Settings!$G$7)),1,0))))</f>
        <v/>
      </c>
      <c r="AC2470">
        <f>IF($Z2470=1,IFERROR(IF(VALUE($B2470)&lt;100000000,VALUE($B2470),1000000000),IFERROR(IF(VALUE(MID($B2470,2,20))&lt;100000000,VALUE(MID($B2470,2,20)),1000000000),1000000000))+ROW()/100000,"")</f>
        <v/>
      </c>
    </row>
    <row r="2471">
      <c r="A2471">
        <f>IF($B2471="","",IFERROR(IF(INDEX('Per Invoice'!$A$2:$A$801,MATCH($B2471,'Per Invoice'!$B$2:$B$801,0))=0,"",INDEX('Per Invoice'!$A$2:$A$801,MATCH($B2471,'Per Invoice'!$B$2:$B$801,0))),""))</f>
        <v/>
      </c>
      <c r="J2471" s="7">
        <f>IF($B2471="","",I2471*Q2471/100)</f>
        <v/>
      </c>
      <c r="N2471" s="7" t="n"/>
      <c r="O2471" s="7" t="n"/>
      <c r="P2471" s="7">
        <f>IF($B2471="","",O2471*X2471/100)</f>
        <v/>
      </c>
      <c r="Q2471" s="7">
        <f>IF($B2471="","",O2471-P2471)</f>
        <v/>
      </c>
      <c r="R2471" s="7">
        <f>IF($B2471="","",Q2471-J2471)</f>
        <v/>
      </c>
      <c r="S2471" s="7" t="n"/>
      <c r="T2471" s="7" t="n"/>
      <c r="V2471" s="14" t="n"/>
      <c r="Z2471">
        <f>IF($B2471="","",IF(COUNTIF($B$2:$B2471,$B2471)=1,1,0))</f>
        <v/>
      </c>
      <c r="AA2471">
        <f>IF($Z2471=1,SUMPRODUCT(--($AC$2:$AC$3001&lt;$AC2471))+1,"")</f>
        <v/>
      </c>
      <c r="AB2471">
        <f>IF($B2471="","",IF(OR($Y2471=TRUE(),$Y2471="TRUE"),1,IF(AND($Y2471&lt;&gt;"",OR($Y2471=FALSE(),$Y2471="FALSE")),0,IF(MIN(ABS($X2471/100-Settings!$C$6),ABS($X2471/100-Settings!$G$6))&lt;=MIN(ABS($X2471/100-Settings!$C$7),ABS($X2471/100-Settings!$G$7)),1,0))))</f>
        <v/>
      </c>
      <c r="AC2471">
        <f>IF($Z2471=1,IFERROR(IF(VALUE($B2471)&lt;100000000,VALUE($B2471),1000000000),IFERROR(IF(VALUE(MID($B2471,2,20))&lt;100000000,VALUE(MID($B2471,2,20)),1000000000),1000000000))+ROW()/100000,"")</f>
        <v/>
      </c>
    </row>
    <row r="2472">
      <c r="A2472">
        <f>IF($B2472="","",IFERROR(IF(INDEX('Per Invoice'!$A$2:$A$801,MATCH($B2472,'Per Invoice'!$B$2:$B$801,0))=0,"",INDEX('Per Invoice'!$A$2:$A$801,MATCH($B2472,'Per Invoice'!$B$2:$B$801,0))),""))</f>
        <v/>
      </c>
      <c r="J2472" s="7">
        <f>IF($B2472="","",I2472*Q2472/100)</f>
        <v/>
      </c>
      <c r="N2472" s="7" t="n"/>
      <c r="O2472" s="7" t="n"/>
      <c r="P2472" s="7">
        <f>IF($B2472="","",O2472*X2472/100)</f>
        <v/>
      </c>
      <c r="Q2472" s="7">
        <f>IF($B2472="","",O2472-P2472)</f>
        <v/>
      </c>
      <c r="R2472" s="7">
        <f>IF($B2472="","",Q2472-J2472)</f>
        <v/>
      </c>
      <c r="S2472" s="7" t="n"/>
      <c r="T2472" s="7" t="n"/>
      <c r="V2472" s="14" t="n"/>
      <c r="Z2472">
        <f>IF($B2472="","",IF(COUNTIF($B$2:$B2472,$B2472)=1,1,0))</f>
        <v/>
      </c>
      <c r="AA2472">
        <f>IF($Z2472=1,SUMPRODUCT(--($AC$2:$AC$3001&lt;$AC2472))+1,"")</f>
        <v/>
      </c>
      <c r="AB2472">
        <f>IF($B2472="","",IF(OR($Y2472=TRUE(),$Y2472="TRUE"),1,IF(AND($Y2472&lt;&gt;"",OR($Y2472=FALSE(),$Y2472="FALSE")),0,IF(MIN(ABS($X2472/100-Settings!$C$6),ABS($X2472/100-Settings!$G$6))&lt;=MIN(ABS($X2472/100-Settings!$C$7),ABS($X2472/100-Settings!$G$7)),1,0))))</f>
        <v/>
      </c>
      <c r="AC2472">
        <f>IF($Z2472=1,IFERROR(IF(VALUE($B2472)&lt;100000000,VALUE($B2472),1000000000),IFERROR(IF(VALUE(MID($B2472,2,20))&lt;100000000,VALUE(MID($B2472,2,20)),1000000000),1000000000))+ROW()/100000,"")</f>
        <v/>
      </c>
    </row>
    <row r="2473">
      <c r="A2473">
        <f>IF($B2473="","",IFERROR(IF(INDEX('Per Invoice'!$A$2:$A$801,MATCH($B2473,'Per Invoice'!$B$2:$B$801,0))=0,"",INDEX('Per Invoice'!$A$2:$A$801,MATCH($B2473,'Per Invoice'!$B$2:$B$801,0))),""))</f>
        <v/>
      </c>
      <c r="J2473" s="7">
        <f>IF($B2473="","",I2473*Q2473/100)</f>
        <v/>
      </c>
      <c r="N2473" s="7" t="n"/>
      <c r="O2473" s="7" t="n"/>
      <c r="P2473" s="7">
        <f>IF($B2473="","",O2473*X2473/100)</f>
        <v/>
      </c>
      <c r="Q2473" s="7">
        <f>IF($B2473="","",O2473-P2473)</f>
        <v/>
      </c>
      <c r="R2473" s="7">
        <f>IF($B2473="","",Q2473-J2473)</f>
        <v/>
      </c>
      <c r="S2473" s="7" t="n"/>
      <c r="T2473" s="7" t="n"/>
      <c r="V2473" s="14" t="n"/>
      <c r="Z2473">
        <f>IF($B2473="","",IF(COUNTIF($B$2:$B2473,$B2473)=1,1,0))</f>
        <v/>
      </c>
      <c r="AA2473">
        <f>IF($Z2473=1,SUMPRODUCT(--($AC$2:$AC$3001&lt;$AC2473))+1,"")</f>
        <v/>
      </c>
      <c r="AB2473">
        <f>IF($B2473="","",IF(OR($Y2473=TRUE(),$Y2473="TRUE"),1,IF(AND($Y2473&lt;&gt;"",OR($Y2473=FALSE(),$Y2473="FALSE")),0,IF(MIN(ABS($X2473/100-Settings!$C$6),ABS($X2473/100-Settings!$G$6))&lt;=MIN(ABS($X2473/100-Settings!$C$7),ABS($X2473/100-Settings!$G$7)),1,0))))</f>
        <v/>
      </c>
      <c r="AC2473">
        <f>IF($Z2473=1,IFERROR(IF(VALUE($B2473)&lt;100000000,VALUE($B2473),1000000000),IFERROR(IF(VALUE(MID($B2473,2,20))&lt;100000000,VALUE(MID($B2473,2,20)),1000000000),1000000000))+ROW()/100000,"")</f>
        <v/>
      </c>
    </row>
    <row r="2474">
      <c r="A2474">
        <f>IF($B2474="","",IFERROR(IF(INDEX('Per Invoice'!$A$2:$A$801,MATCH($B2474,'Per Invoice'!$B$2:$B$801,0))=0,"",INDEX('Per Invoice'!$A$2:$A$801,MATCH($B2474,'Per Invoice'!$B$2:$B$801,0))),""))</f>
        <v/>
      </c>
      <c r="J2474" s="7">
        <f>IF($B2474="","",I2474*Q2474/100)</f>
        <v/>
      </c>
      <c r="N2474" s="7" t="n"/>
      <c r="O2474" s="7" t="n"/>
      <c r="P2474" s="7">
        <f>IF($B2474="","",O2474*X2474/100)</f>
        <v/>
      </c>
      <c r="Q2474" s="7">
        <f>IF($B2474="","",O2474-P2474)</f>
        <v/>
      </c>
      <c r="R2474" s="7">
        <f>IF($B2474="","",Q2474-J2474)</f>
        <v/>
      </c>
      <c r="S2474" s="7" t="n"/>
      <c r="T2474" s="7" t="n"/>
      <c r="V2474" s="14" t="n"/>
      <c r="Z2474">
        <f>IF($B2474="","",IF(COUNTIF($B$2:$B2474,$B2474)=1,1,0))</f>
        <v/>
      </c>
      <c r="AA2474">
        <f>IF($Z2474=1,SUMPRODUCT(--($AC$2:$AC$3001&lt;$AC2474))+1,"")</f>
        <v/>
      </c>
      <c r="AB2474">
        <f>IF($B2474="","",IF(OR($Y2474=TRUE(),$Y2474="TRUE"),1,IF(AND($Y2474&lt;&gt;"",OR($Y2474=FALSE(),$Y2474="FALSE")),0,IF(MIN(ABS($X2474/100-Settings!$C$6),ABS($X2474/100-Settings!$G$6))&lt;=MIN(ABS($X2474/100-Settings!$C$7),ABS($X2474/100-Settings!$G$7)),1,0))))</f>
        <v/>
      </c>
      <c r="AC2474">
        <f>IF($Z2474=1,IFERROR(IF(VALUE($B2474)&lt;100000000,VALUE($B2474),1000000000),IFERROR(IF(VALUE(MID($B2474,2,20))&lt;100000000,VALUE(MID($B2474,2,20)),1000000000),1000000000))+ROW()/100000,"")</f>
        <v/>
      </c>
    </row>
    <row r="2475">
      <c r="A2475">
        <f>IF($B2475="","",IFERROR(IF(INDEX('Per Invoice'!$A$2:$A$801,MATCH($B2475,'Per Invoice'!$B$2:$B$801,0))=0,"",INDEX('Per Invoice'!$A$2:$A$801,MATCH($B2475,'Per Invoice'!$B$2:$B$801,0))),""))</f>
        <v/>
      </c>
      <c r="J2475" s="7">
        <f>IF($B2475="","",I2475*Q2475/100)</f>
        <v/>
      </c>
      <c r="N2475" s="7" t="n"/>
      <c r="O2475" s="7" t="n"/>
      <c r="P2475" s="7">
        <f>IF($B2475="","",O2475*X2475/100)</f>
        <v/>
      </c>
      <c r="Q2475" s="7">
        <f>IF($B2475="","",O2475-P2475)</f>
        <v/>
      </c>
      <c r="R2475" s="7">
        <f>IF($B2475="","",Q2475-J2475)</f>
        <v/>
      </c>
      <c r="S2475" s="7" t="n"/>
      <c r="T2475" s="7" t="n"/>
      <c r="V2475" s="14" t="n"/>
      <c r="Z2475">
        <f>IF($B2475="","",IF(COUNTIF($B$2:$B2475,$B2475)=1,1,0))</f>
        <v/>
      </c>
      <c r="AA2475">
        <f>IF($Z2475=1,SUMPRODUCT(--($AC$2:$AC$3001&lt;$AC2475))+1,"")</f>
        <v/>
      </c>
      <c r="AB2475">
        <f>IF($B2475="","",IF(OR($Y2475=TRUE(),$Y2475="TRUE"),1,IF(AND($Y2475&lt;&gt;"",OR($Y2475=FALSE(),$Y2475="FALSE")),0,IF(MIN(ABS($X2475/100-Settings!$C$6),ABS($X2475/100-Settings!$G$6))&lt;=MIN(ABS($X2475/100-Settings!$C$7),ABS($X2475/100-Settings!$G$7)),1,0))))</f>
        <v/>
      </c>
      <c r="AC2475">
        <f>IF($Z2475=1,IFERROR(IF(VALUE($B2475)&lt;100000000,VALUE($B2475),1000000000),IFERROR(IF(VALUE(MID($B2475,2,20))&lt;100000000,VALUE(MID($B2475,2,20)),1000000000),1000000000))+ROW()/100000,"")</f>
        <v/>
      </c>
    </row>
    <row r="2476">
      <c r="A2476">
        <f>IF($B2476="","",IFERROR(IF(INDEX('Per Invoice'!$A$2:$A$801,MATCH($B2476,'Per Invoice'!$B$2:$B$801,0))=0,"",INDEX('Per Invoice'!$A$2:$A$801,MATCH($B2476,'Per Invoice'!$B$2:$B$801,0))),""))</f>
        <v/>
      </c>
      <c r="J2476" s="7">
        <f>IF($B2476="","",I2476*Q2476/100)</f>
        <v/>
      </c>
      <c r="N2476" s="7" t="n"/>
      <c r="O2476" s="7" t="n"/>
      <c r="P2476" s="7">
        <f>IF($B2476="","",O2476*X2476/100)</f>
        <v/>
      </c>
      <c r="Q2476" s="7">
        <f>IF($B2476="","",O2476-P2476)</f>
        <v/>
      </c>
      <c r="R2476" s="7">
        <f>IF($B2476="","",Q2476-J2476)</f>
        <v/>
      </c>
      <c r="S2476" s="7" t="n"/>
      <c r="T2476" s="7" t="n"/>
      <c r="V2476" s="14" t="n"/>
      <c r="Z2476">
        <f>IF($B2476="","",IF(COUNTIF($B$2:$B2476,$B2476)=1,1,0))</f>
        <v/>
      </c>
      <c r="AA2476">
        <f>IF($Z2476=1,SUMPRODUCT(--($AC$2:$AC$3001&lt;$AC2476))+1,"")</f>
        <v/>
      </c>
      <c r="AB2476">
        <f>IF($B2476="","",IF(OR($Y2476=TRUE(),$Y2476="TRUE"),1,IF(AND($Y2476&lt;&gt;"",OR($Y2476=FALSE(),$Y2476="FALSE")),0,IF(MIN(ABS($X2476/100-Settings!$C$6),ABS($X2476/100-Settings!$G$6))&lt;=MIN(ABS($X2476/100-Settings!$C$7),ABS($X2476/100-Settings!$G$7)),1,0))))</f>
        <v/>
      </c>
      <c r="AC2476">
        <f>IF($Z2476=1,IFERROR(IF(VALUE($B2476)&lt;100000000,VALUE($B2476),1000000000),IFERROR(IF(VALUE(MID($B2476,2,20))&lt;100000000,VALUE(MID($B2476,2,20)),1000000000),1000000000))+ROW()/100000,"")</f>
        <v/>
      </c>
    </row>
    <row r="2477">
      <c r="A2477">
        <f>IF($B2477="","",IFERROR(IF(INDEX('Per Invoice'!$A$2:$A$801,MATCH($B2477,'Per Invoice'!$B$2:$B$801,0))=0,"",INDEX('Per Invoice'!$A$2:$A$801,MATCH($B2477,'Per Invoice'!$B$2:$B$801,0))),""))</f>
        <v/>
      </c>
      <c r="J2477" s="7">
        <f>IF($B2477="","",I2477*Q2477/100)</f>
        <v/>
      </c>
      <c r="N2477" s="7" t="n"/>
      <c r="O2477" s="7" t="n"/>
      <c r="P2477" s="7">
        <f>IF($B2477="","",O2477*X2477/100)</f>
        <v/>
      </c>
      <c r="Q2477" s="7">
        <f>IF($B2477="","",O2477-P2477)</f>
        <v/>
      </c>
      <c r="R2477" s="7">
        <f>IF($B2477="","",Q2477-J2477)</f>
        <v/>
      </c>
      <c r="S2477" s="7" t="n"/>
      <c r="T2477" s="7" t="n"/>
      <c r="V2477" s="14" t="n"/>
      <c r="Z2477">
        <f>IF($B2477="","",IF(COUNTIF($B$2:$B2477,$B2477)=1,1,0))</f>
        <v/>
      </c>
      <c r="AA2477">
        <f>IF($Z2477=1,SUMPRODUCT(--($AC$2:$AC$3001&lt;$AC2477))+1,"")</f>
        <v/>
      </c>
      <c r="AB2477">
        <f>IF($B2477="","",IF(OR($Y2477=TRUE(),$Y2477="TRUE"),1,IF(AND($Y2477&lt;&gt;"",OR($Y2477=FALSE(),$Y2477="FALSE")),0,IF(MIN(ABS($X2477/100-Settings!$C$6),ABS($X2477/100-Settings!$G$6))&lt;=MIN(ABS($X2477/100-Settings!$C$7),ABS($X2477/100-Settings!$G$7)),1,0))))</f>
        <v/>
      </c>
      <c r="AC2477">
        <f>IF($Z2477=1,IFERROR(IF(VALUE($B2477)&lt;100000000,VALUE($B2477),1000000000),IFERROR(IF(VALUE(MID($B2477,2,20))&lt;100000000,VALUE(MID($B2477,2,20)),1000000000),1000000000))+ROW()/100000,"")</f>
        <v/>
      </c>
    </row>
    <row r="2478">
      <c r="A2478">
        <f>IF($B2478="","",IFERROR(IF(INDEX('Per Invoice'!$A$2:$A$801,MATCH($B2478,'Per Invoice'!$B$2:$B$801,0))=0,"",INDEX('Per Invoice'!$A$2:$A$801,MATCH($B2478,'Per Invoice'!$B$2:$B$801,0))),""))</f>
        <v/>
      </c>
      <c r="J2478" s="7">
        <f>IF($B2478="","",I2478*Q2478/100)</f>
        <v/>
      </c>
      <c r="N2478" s="7" t="n"/>
      <c r="O2478" s="7" t="n"/>
      <c r="P2478" s="7">
        <f>IF($B2478="","",O2478*X2478/100)</f>
        <v/>
      </c>
      <c r="Q2478" s="7">
        <f>IF($B2478="","",O2478-P2478)</f>
        <v/>
      </c>
      <c r="R2478" s="7">
        <f>IF($B2478="","",Q2478-J2478)</f>
        <v/>
      </c>
      <c r="S2478" s="7" t="n"/>
      <c r="T2478" s="7" t="n"/>
      <c r="V2478" s="14" t="n"/>
      <c r="Z2478">
        <f>IF($B2478="","",IF(COUNTIF($B$2:$B2478,$B2478)=1,1,0))</f>
        <v/>
      </c>
      <c r="AA2478">
        <f>IF($Z2478=1,SUMPRODUCT(--($AC$2:$AC$3001&lt;$AC2478))+1,"")</f>
        <v/>
      </c>
      <c r="AB2478">
        <f>IF($B2478="","",IF(OR($Y2478=TRUE(),$Y2478="TRUE"),1,IF(AND($Y2478&lt;&gt;"",OR($Y2478=FALSE(),$Y2478="FALSE")),0,IF(MIN(ABS($X2478/100-Settings!$C$6),ABS($X2478/100-Settings!$G$6))&lt;=MIN(ABS($X2478/100-Settings!$C$7),ABS($X2478/100-Settings!$G$7)),1,0))))</f>
        <v/>
      </c>
      <c r="AC2478">
        <f>IF($Z2478=1,IFERROR(IF(VALUE($B2478)&lt;100000000,VALUE($B2478),1000000000),IFERROR(IF(VALUE(MID($B2478,2,20))&lt;100000000,VALUE(MID($B2478,2,20)),1000000000),1000000000))+ROW()/100000,"")</f>
        <v/>
      </c>
    </row>
    <row r="2479">
      <c r="A2479">
        <f>IF($B2479="","",IFERROR(IF(INDEX('Per Invoice'!$A$2:$A$801,MATCH($B2479,'Per Invoice'!$B$2:$B$801,0))=0,"",INDEX('Per Invoice'!$A$2:$A$801,MATCH($B2479,'Per Invoice'!$B$2:$B$801,0))),""))</f>
        <v/>
      </c>
      <c r="J2479" s="7">
        <f>IF($B2479="","",I2479*Q2479/100)</f>
        <v/>
      </c>
      <c r="N2479" s="7" t="n"/>
      <c r="O2479" s="7" t="n"/>
      <c r="P2479" s="7">
        <f>IF($B2479="","",O2479*X2479/100)</f>
        <v/>
      </c>
      <c r="Q2479" s="7">
        <f>IF($B2479="","",O2479-P2479)</f>
        <v/>
      </c>
      <c r="R2479" s="7">
        <f>IF($B2479="","",Q2479-J2479)</f>
        <v/>
      </c>
      <c r="S2479" s="7" t="n"/>
      <c r="T2479" s="7" t="n"/>
      <c r="V2479" s="14" t="n"/>
      <c r="Z2479">
        <f>IF($B2479="","",IF(COUNTIF($B$2:$B2479,$B2479)=1,1,0))</f>
        <v/>
      </c>
      <c r="AA2479">
        <f>IF($Z2479=1,SUMPRODUCT(--($AC$2:$AC$3001&lt;$AC2479))+1,"")</f>
        <v/>
      </c>
      <c r="AB2479">
        <f>IF($B2479="","",IF(OR($Y2479=TRUE(),$Y2479="TRUE"),1,IF(AND($Y2479&lt;&gt;"",OR($Y2479=FALSE(),$Y2479="FALSE")),0,IF(MIN(ABS($X2479/100-Settings!$C$6),ABS($X2479/100-Settings!$G$6))&lt;=MIN(ABS($X2479/100-Settings!$C$7),ABS($X2479/100-Settings!$G$7)),1,0))))</f>
        <v/>
      </c>
      <c r="AC2479">
        <f>IF($Z2479=1,IFERROR(IF(VALUE($B2479)&lt;100000000,VALUE($B2479),1000000000),IFERROR(IF(VALUE(MID($B2479,2,20))&lt;100000000,VALUE(MID($B2479,2,20)),1000000000),1000000000))+ROW()/100000,"")</f>
        <v/>
      </c>
    </row>
    <row r="2480">
      <c r="A2480">
        <f>IF($B2480="","",IFERROR(IF(INDEX('Per Invoice'!$A$2:$A$801,MATCH($B2480,'Per Invoice'!$B$2:$B$801,0))=0,"",INDEX('Per Invoice'!$A$2:$A$801,MATCH($B2480,'Per Invoice'!$B$2:$B$801,0))),""))</f>
        <v/>
      </c>
      <c r="J2480" s="7">
        <f>IF($B2480="","",I2480*Q2480/100)</f>
        <v/>
      </c>
      <c r="N2480" s="7" t="n"/>
      <c r="O2480" s="7" t="n"/>
      <c r="P2480" s="7">
        <f>IF($B2480="","",O2480*X2480/100)</f>
        <v/>
      </c>
      <c r="Q2480" s="7">
        <f>IF($B2480="","",O2480-P2480)</f>
        <v/>
      </c>
      <c r="R2480" s="7">
        <f>IF($B2480="","",Q2480-J2480)</f>
        <v/>
      </c>
      <c r="S2480" s="7" t="n"/>
      <c r="T2480" s="7" t="n"/>
      <c r="V2480" s="14" t="n"/>
      <c r="Z2480">
        <f>IF($B2480="","",IF(COUNTIF($B$2:$B2480,$B2480)=1,1,0))</f>
        <v/>
      </c>
      <c r="AA2480">
        <f>IF($Z2480=1,SUMPRODUCT(--($AC$2:$AC$3001&lt;$AC2480))+1,"")</f>
        <v/>
      </c>
      <c r="AB2480">
        <f>IF($B2480="","",IF(OR($Y2480=TRUE(),$Y2480="TRUE"),1,IF(AND($Y2480&lt;&gt;"",OR($Y2480=FALSE(),$Y2480="FALSE")),0,IF(MIN(ABS($X2480/100-Settings!$C$6),ABS($X2480/100-Settings!$G$6))&lt;=MIN(ABS($X2480/100-Settings!$C$7),ABS($X2480/100-Settings!$G$7)),1,0))))</f>
        <v/>
      </c>
      <c r="AC2480">
        <f>IF($Z2480=1,IFERROR(IF(VALUE($B2480)&lt;100000000,VALUE($B2480),1000000000),IFERROR(IF(VALUE(MID($B2480,2,20))&lt;100000000,VALUE(MID($B2480,2,20)),1000000000),1000000000))+ROW()/100000,"")</f>
        <v/>
      </c>
    </row>
    <row r="2481">
      <c r="A2481">
        <f>IF($B2481="","",IFERROR(IF(INDEX('Per Invoice'!$A$2:$A$801,MATCH($B2481,'Per Invoice'!$B$2:$B$801,0))=0,"",INDEX('Per Invoice'!$A$2:$A$801,MATCH($B2481,'Per Invoice'!$B$2:$B$801,0))),""))</f>
        <v/>
      </c>
      <c r="J2481" s="7">
        <f>IF($B2481="","",I2481*Q2481/100)</f>
        <v/>
      </c>
      <c r="N2481" s="7" t="n"/>
      <c r="O2481" s="7" t="n"/>
      <c r="P2481" s="7">
        <f>IF($B2481="","",O2481*X2481/100)</f>
        <v/>
      </c>
      <c r="Q2481" s="7">
        <f>IF($B2481="","",O2481-P2481)</f>
        <v/>
      </c>
      <c r="R2481" s="7">
        <f>IF($B2481="","",Q2481-J2481)</f>
        <v/>
      </c>
      <c r="S2481" s="7" t="n"/>
      <c r="T2481" s="7" t="n"/>
      <c r="V2481" s="14" t="n"/>
      <c r="Z2481">
        <f>IF($B2481="","",IF(COUNTIF($B$2:$B2481,$B2481)=1,1,0))</f>
        <v/>
      </c>
      <c r="AA2481">
        <f>IF($Z2481=1,SUMPRODUCT(--($AC$2:$AC$3001&lt;$AC2481))+1,"")</f>
        <v/>
      </c>
      <c r="AB2481">
        <f>IF($B2481="","",IF(OR($Y2481=TRUE(),$Y2481="TRUE"),1,IF(AND($Y2481&lt;&gt;"",OR($Y2481=FALSE(),$Y2481="FALSE")),0,IF(MIN(ABS($X2481/100-Settings!$C$6),ABS($X2481/100-Settings!$G$6))&lt;=MIN(ABS($X2481/100-Settings!$C$7),ABS($X2481/100-Settings!$G$7)),1,0))))</f>
        <v/>
      </c>
      <c r="AC2481">
        <f>IF($Z2481=1,IFERROR(IF(VALUE($B2481)&lt;100000000,VALUE($B2481),1000000000),IFERROR(IF(VALUE(MID($B2481,2,20))&lt;100000000,VALUE(MID($B2481,2,20)),1000000000),1000000000))+ROW()/100000,"")</f>
        <v/>
      </c>
    </row>
    <row r="2482">
      <c r="A2482">
        <f>IF($B2482="","",IFERROR(IF(INDEX('Per Invoice'!$A$2:$A$801,MATCH($B2482,'Per Invoice'!$B$2:$B$801,0))=0,"",INDEX('Per Invoice'!$A$2:$A$801,MATCH($B2482,'Per Invoice'!$B$2:$B$801,0))),""))</f>
        <v/>
      </c>
      <c r="J2482" s="7">
        <f>IF($B2482="","",I2482*Q2482/100)</f>
        <v/>
      </c>
      <c r="N2482" s="7" t="n"/>
      <c r="O2482" s="7" t="n"/>
      <c r="P2482" s="7">
        <f>IF($B2482="","",O2482*X2482/100)</f>
        <v/>
      </c>
      <c r="Q2482" s="7">
        <f>IF($B2482="","",O2482-P2482)</f>
        <v/>
      </c>
      <c r="R2482" s="7">
        <f>IF($B2482="","",Q2482-J2482)</f>
        <v/>
      </c>
      <c r="S2482" s="7" t="n"/>
      <c r="T2482" s="7" t="n"/>
      <c r="V2482" s="14" t="n"/>
      <c r="Z2482">
        <f>IF($B2482="","",IF(COUNTIF($B$2:$B2482,$B2482)=1,1,0))</f>
        <v/>
      </c>
      <c r="AA2482">
        <f>IF($Z2482=1,SUMPRODUCT(--($AC$2:$AC$3001&lt;$AC2482))+1,"")</f>
        <v/>
      </c>
      <c r="AB2482">
        <f>IF($B2482="","",IF(OR($Y2482=TRUE(),$Y2482="TRUE"),1,IF(AND($Y2482&lt;&gt;"",OR($Y2482=FALSE(),$Y2482="FALSE")),0,IF(MIN(ABS($X2482/100-Settings!$C$6),ABS($X2482/100-Settings!$G$6))&lt;=MIN(ABS($X2482/100-Settings!$C$7),ABS($X2482/100-Settings!$G$7)),1,0))))</f>
        <v/>
      </c>
      <c r="AC2482">
        <f>IF($Z2482=1,IFERROR(IF(VALUE($B2482)&lt;100000000,VALUE($B2482),1000000000),IFERROR(IF(VALUE(MID($B2482,2,20))&lt;100000000,VALUE(MID($B2482,2,20)),1000000000),1000000000))+ROW()/100000,"")</f>
        <v/>
      </c>
    </row>
    <row r="2483">
      <c r="A2483">
        <f>IF($B2483="","",IFERROR(IF(INDEX('Per Invoice'!$A$2:$A$801,MATCH($B2483,'Per Invoice'!$B$2:$B$801,0))=0,"",INDEX('Per Invoice'!$A$2:$A$801,MATCH($B2483,'Per Invoice'!$B$2:$B$801,0))),""))</f>
        <v/>
      </c>
      <c r="J2483" s="7">
        <f>IF($B2483="","",I2483*Q2483/100)</f>
        <v/>
      </c>
      <c r="N2483" s="7" t="n"/>
      <c r="O2483" s="7" t="n"/>
      <c r="P2483" s="7">
        <f>IF($B2483="","",O2483*X2483/100)</f>
        <v/>
      </c>
      <c r="Q2483" s="7">
        <f>IF($B2483="","",O2483-P2483)</f>
        <v/>
      </c>
      <c r="R2483" s="7">
        <f>IF($B2483="","",Q2483-J2483)</f>
        <v/>
      </c>
      <c r="S2483" s="7" t="n"/>
      <c r="T2483" s="7" t="n"/>
      <c r="V2483" s="14" t="n"/>
      <c r="Z2483">
        <f>IF($B2483="","",IF(COUNTIF($B$2:$B2483,$B2483)=1,1,0))</f>
        <v/>
      </c>
      <c r="AA2483">
        <f>IF($Z2483=1,SUMPRODUCT(--($AC$2:$AC$3001&lt;$AC2483))+1,"")</f>
        <v/>
      </c>
      <c r="AB2483">
        <f>IF($B2483="","",IF(OR($Y2483=TRUE(),$Y2483="TRUE"),1,IF(AND($Y2483&lt;&gt;"",OR($Y2483=FALSE(),$Y2483="FALSE")),0,IF(MIN(ABS($X2483/100-Settings!$C$6),ABS($X2483/100-Settings!$G$6))&lt;=MIN(ABS($X2483/100-Settings!$C$7),ABS($X2483/100-Settings!$G$7)),1,0))))</f>
        <v/>
      </c>
      <c r="AC2483">
        <f>IF($Z2483=1,IFERROR(IF(VALUE($B2483)&lt;100000000,VALUE($B2483),1000000000),IFERROR(IF(VALUE(MID($B2483,2,20))&lt;100000000,VALUE(MID($B2483,2,20)),1000000000),1000000000))+ROW()/100000,"")</f>
        <v/>
      </c>
    </row>
    <row r="2484">
      <c r="A2484">
        <f>IF($B2484="","",IFERROR(IF(INDEX('Per Invoice'!$A$2:$A$801,MATCH($B2484,'Per Invoice'!$B$2:$B$801,0))=0,"",INDEX('Per Invoice'!$A$2:$A$801,MATCH($B2484,'Per Invoice'!$B$2:$B$801,0))),""))</f>
        <v/>
      </c>
      <c r="J2484" s="7">
        <f>IF($B2484="","",I2484*Q2484/100)</f>
        <v/>
      </c>
      <c r="N2484" s="7" t="n"/>
      <c r="O2484" s="7" t="n"/>
      <c r="P2484" s="7">
        <f>IF($B2484="","",O2484*X2484/100)</f>
        <v/>
      </c>
      <c r="Q2484" s="7">
        <f>IF($B2484="","",O2484-P2484)</f>
        <v/>
      </c>
      <c r="R2484" s="7">
        <f>IF($B2484="","",Q2484-J2484)</f>
        <v/>
      </c>
      <c r="S2484" s="7" t="n"/>
      <c r="T2484" s="7" t="n"/>
      <c r="V2484" s="14" t="n"/>
      <c r="Z2484">
        <f>IF($B2484="","",IF(COUNTIF($B$2:$B2484,$B2484)=1,1,0))</f>
        <v/>
      </c>
      <c r="AA2484">
        <f>IF($Z2484=1,SUMPRODUCT(--($AC$2:$AC$3001&lt;$AC2484))+1,"")</f>
        <v/>
      </c>
      <c r="AB2484">
        <f>IF($B2484="","",IF(OR($Y2484=TRUE(),$Y2484="TRUE"),1,IF(AND($Y2484&lt;&gt;"",OR($Y2484=FALSE(),$Y2484="FALSE")),0,IF(MIN(ABS($X2484/100-Settings!$C$6),ABS($X2484/100-Settings!$G$6))&lt;=MIN(ABS($X2484/100-Settings!$C$7),ABS($X2484/100-Settings!$G$7)),1,0))))</f>
        <v/>
      </c>
      <c r="AC2484">
        <f>IF($Z2484=1,IFERROR(IF(VALUE($B2484)&lt;100000000,VALUE($B2484),1000000000),IFERROR(IF(VALUE(MID($B2484,2,20))&lt;100000000,VALUE(MID($B2484,2,20)),1000000000),1000000000))+ROW()/100000,"")</f>
        <v/>
      </c>
    </row>
    <row r="2485">
      <c r="A2485">
        <f>IF($B2485="","",IFERROR(IF(INDEX('Per Invoice'!$A$2:$A$801,MATCH($B2485,'Per Invoice'!$B$2:$B$801,0))=0,"",INDEX('Per Invoice'!$A$2:$A$801,MATCH($B2485,'Per Invoice'!$B$2:$B$801,0))),""))</f>
        <v/>
      </c>
      <c r="J2485" s="7">
        <f>IF($B2485="","",I2485*Q2485/100)</f>
        <v/>
      </c>
      <c r="N2485" s="7" t="n"/>
      <c r="O2485" s="7" t="n"/>
      <c r="P2485" s="7">
        <f>IF($B2485="","",O2485*X2485/100)</f>
        <v/>
      </c>
      <c r="Q2485" s="7">
        <f>IF($B2485="","",O2485-P2485)</f>
        <v/>
      </c>
      <c r="R2485" s="7">
        <f>IF($B2485="","",Q2485-J2485)</f>
        <v/>
      </c>
      <c r="S2485" s="7" t="n"/>
      <c r="T2485" s="7" t="n"/>
      <c r="V2485" s="14" t="n"/>
      <c r="Z2485">
        <f>IF($B2485="","",IF(COUNTIF($B$2:$B2485,$B2485)=1,1,0))</f>
        <v/>
      </c>
      <c r="AA2485">
        <f>IF($Z2485=1,SUMPRODUCT(--($AC$2:$AC$3001&lt;$AC2485))+1,"")</f>
        <v/>
      </c>
      <c r="AB2485">
        <f>IF($B2485="","",IF(OR($Y2485=TRUE(),$Y2485="TRUE"),1,IF(AND($Y2485&lt;&gt;"",OR($Y2485=FALSE(),$Y2485="FALSE")),0,IF(MIN(ABS($X2485/100-Settings!$C$6),ABS($X2485/100-Settings!$G$6))&lt;=MIN(ABS($X2485/100-Settings!$C$7),ABS($X2485/100-Settings!$G$7)),1,0))))</f>
        <v/>
      </c>
      <c r="AC2485">
        <f>IF($Z2485=1,IFERROR(IF(VALUE($B2485)&lt;100000000,VALUE($B2485),1000000000),IFERROR(IF(VALUE(MID($B2485,2,20))&lt;100000000,VALUE(MID($B2485,2,20)),1000000000),1000000000))+ROW()/100000,"")</f>
        <v/>
      </c>
    </row>
    <row r="2486">
      <c r="A2486">
        <f>IF($B2486="","",IFERROR(IF(INDEX('Per Invoice'!$A$2:$A$801,MATCH($B2486,'Per Invoice'!$B$2:$B$801,0))=0,"",INDEX('Per Invoice'!$A$2:$A$801,MATCH($B2486,'Per Invoice'!$B$2:$B$801,0))),""))</f>
        <v/>
      </c>
      <c r="J2486" s="7">
        <f>IF($B2486="","",I2486*Q2486/100)</f>
        <v/>
      </c>
      <c r="N2486" s="7" t="n"/>
      <c r="O2486" s="7" t="n"/>
      <c r="P2486" s="7">
        <f>IF($B2486="","",O2486*X2486/100)</f>
        <v/>
      </c>
      <c r="Q2486" s="7">
        <f>IF($B2486="","",O2486-P2486)</f>
        <v/>
      </c>
      <c r="R2486" s="7">
        <f>IF($B2486="","",Q2486-J2486)</f>
        <v/>
      </c>
      <c r="S2486" s="7" t="n"/>
      <c r="T2486" s="7" t="n"/>
      <c r="V2486" s="14" t="n"/>
      <c r="Z2486">
        <f>IF($B2486="","",IF(COUNTIF($B$2:$B2486,$B2486)=1,1,0))</f>
        <v/>
      </c>
      <c r="AA2486">
        <f>IF($Z2486=1,SUMPRODUCT(--($AC$2:$AC$3001&lt;$AC2486))+1,"")</f>
        <v/>
      </c>
      <c r="AB2486">
        <f>IF($B2486="","",IF(OR($Y2486=TRUE(),$Y2486="TRUE"),1,IF(AND($Y2486&lt;&gt;"",OR($Y2486=FALSE(),$Y2486="FALSE")),0,IF(MIN(ABS($X2486/100-Settings!$C$6),ABS($X2486/100-Settings!$G$6))&lt;=MIN(ABS($X2486/100-Settings!$C$7),ABS($X2486/100-Settings!$G$7)),1,0))))</f>
        <v/>
      </c>
      <c r="AC2486">
        <f>IF($Z2486=1,IFERROR(IF(VALUE($B2486)&lt;100000000,VALUE($B2486),1000000000),IFERROR(IF(VALUE(MID($B2486,2,20))&lt;100000000,VALUE(MID($B2486,2,20)),1000000000),1000000000))+ROW()/100000,"")</f>
        <v/>
      </c>
    </row>
    <row r="2487">
      <c r="A2487">
        <f>IF($B2487="","",IFERROR(IF(INDEX('Per Invoice'!$A$2:$A$801,MATCH($B2487,'Per Invoice'!$B$2:$B$801,0))=0,"",INDEX('Per Invoice'!$A$2:$A$801,MATCH($B2487,'Per Invoice'!$B$2:$B$801,0))),""))</f>
        <v/>
      </c>
      <c r="J2487" s="7">
        <f>IF($B2487="","",I2487*Q2487/100)</f>
        <v/>
      </c>
      <c r="N2487" s="7" t="n"/>
      <c r="O2487" s="7" t="n"/>
      <c r="P2487" s="7">
        <f>IF($B2487="","",O2487*X2487/100)</f>
        <v/>
      </c>
      <c r="Q2487" s="7">
        <f>IF($B2487="","",O2487-P2487)</f>
        <v/>
      </c>
      <c r="R2487" s="7">
        <f>IF($B2487="","",Q2487-J2487)</f>
        <v/>
      </c>
      <c r="S2487" s="7" t="n"/>
      <c r="T2487" s="7" t="n"/>
      <c r="V2487" s="14" t="n"/>
      <c r="Z2487">
        <f>IF($B2487="","",IF(COUNTIF($B$2:$B2487,$B2487)=1,1,0))</f>
        <v/>
      </c>
      <c r="AA2487">
        <f>IF($Z2487=1,SUMPRODUCT(--($AC$2:$AC$3001&lt;$AC2487))+1,"")</f>
        <v/>
      </c>
      <c r="AB2487">
        <f>IF($B2487="","",IF(OR($Y2487=TRUE(),$Y2487="TRUE"),1,IF(AND($Y2487&lt;&gt;"",OR($Y2487=FALSE(),$Y2487="FALSE")),0,IF(MIN(ABS($X2487/100-Settings!$C$6),ABS($X2487/100-Settings!$G$6))&lt;=MIN(ABS($X2487/100-Settings!$C$7),ABS($X2487/100-Settings!$G$7)),1,0))))</f>
        <v/>
      </c>
      <c r="AC2487">
        <f>IF($Z2487=1,IFERROR(IF(VALUE($B2487)&lt;100000000,VALUE($B2487),1000000000),IFERROR(IF(VALUE(MID($B2487,2,20))&lt;100000000,VALUE(MID($B2487,2,20)),1000000000),1000000000))+ROW()/100000,"")</f>
        <v/>
      </c>
    </row>
    <row r="2488">
      <c r="A2488">
        <f>IF($B2488="","",IFERROR(IF(INDEX('Per Invoice'!$A$2:$A$801,MATCH($B2488,'Per Invoice'!$B$2:$B$801,0))=0,"",INDEX('Per Invoice'!$A$2:$A$801,MATCH($B2488,'Per Invoice'!$B$2:$B$801,0))),""))</f>
        <v/>
      </c>
      <c r="J2488" s="7">
        <f>IF($B2488="","",I2488*Q2488/100)</f>
        <v/>
      </c>
      <c r="N2488" s="7" t="n"/>
      <c r="O2488" s="7" t="n"/>
      <c r="P2488" s="7">
        <f>IF($B2488="","",O2488*X2488/100)</f>
        <v/>
      </c>
      <c r="Q2488" s="7">
        <f>IF($B2488="","",O2488-P2488)</f>
        <v/>
      </c>
      <c r="R2488" s="7">
        <f>IF($B2488="","",Q2488-J2488)</f>
        <v/>
      </c>
      <c r="S2488" s="7" t="n"/>
      <c r="T2488" s="7" t="n"/>
      <c r="V2488" s="14" t="n"/>
      <c r="Z2488">
        <f>IF($B2488="","",IF(COUNTIF($B$2:$B2488,$B2488)=1,1,0))</f>
        <v/>
      </c>
      <c r="AA2488">
        <f>IF($Z2488=1,SUMPRODUCT(--($AC$2:$AC$3001&lt;$AC2488))+1,"")</f>
        <v/>
      </c>
      <c r="AB2488">
        <f>IF($B2488="","",IF(OR($Y2488=TRUE(),$Y2488="TRUE"),1,IF(AND($Y2488&lt;&gt;"",OR($Y2488=FALSE(),$Y2488="FALSE")),0,IF(MIN(ABS($X2488/100-Settings!$C$6),ABS($X2488/100-Settings!$G$6))&lt;=MIN(ABS($X2488/100-Settings!$C$7),ABS($X2488/100-Settings!$G$7)),1,0))))</f>
        <v/>
      </c>
      <c r="AC2488">
        <f>IF($Z2488=1,IFERROR(IF(VALUE($B2488)&lt;100000000,VALUE($B2488),1000000000),IFERROR(IF(VALUE(MID($B2488,2,20))&lt;100000000,VALUE(MID($B2488,2,20)),1000000000),1000000000))+ROW()/100000,"")</f>
        <v/>
      </c>
    </row>
    <row r="2489">
      <c r="A2489">
        <f>IF($B2489="","",IFERROR(IF(INDEX('Per Invoice'!$A$2:$A$801,MATCH($B2489,'Per Invoice'!$B$2:$B$801,0))=0,"",INDEX('Per Invoice'!$A$2:$A$801,MATCH($B2489,'Per Invoice'!$B$2:$B$801,0))),""))</f>
        <v/>
      </c>
      <c r="J2489" s="7">
        <f>IF($B2489="","",I2489*Q2489/100)</f>
        <v/>
      </c>
      <c r="N2489" s="7" t="n"/>
      <c r="O2489" s="7" t="n"/>
      <c r="P2489" s="7">
        <f>IF($B2489="","",O2489*X2489/100)</f>
        <v/>
      </c>
      <c r="Q2489" s="7">
        <f>IF($B2489="","",O2489-P2489)</f>
        <v/>
      </c>
      <c r="R2489" s="7">
        <f>IF($B2489="","",Q2489-J2489)</f>
        <v/>
      </c>
      <c r="S2489" s="7" t="n"/>
      <c r="T2489" s="7" t="n"/>
      <c r="V2489" s="14" t="n"/>
      <c r="Z2489">
        <f>IF($B2489="","",IF(COUNTIF($B$2:$B2489,$B2489)=1,1,0))</f>
        <v/>
      </c>
      <c r="AA2489">
        <f>IF($Z2489=1,SUMPRODUCT(--($AC$2:$AC$3001&lt;$AC2489))+1,"")</f>
        <v/>
      </c>
      <c r="AB2489">
        <f>IF($B2489="","",IF(OR($Y2489=TRUE(),$Y2489="TRUE"),1,IF(AND($Y2489&lt;&gt;"",OR($Y2489=FALSE(),$Y2489="FALSE")),0,IF(MIN(ABS($X2489/100-Settings!$C$6),ABS($X2489/100-Settings!$G$6))&lt;=MIN(ABS($X2489/100-Settings!$C$7),ABS($X2489/100-Settings!$G$7)),1,0))))</f>
        <v/>
      </c>
      <c r="AC2489">
        <f>IF($Z2489=1,IFERROR(IF(VALUE($B2489)&lt;100000000,VALUE($B2489),1000000000),IFERROR(IF(VALUE(MID($B2489,2,20))&lt;100000000,VALUE(MID($B2489,2,20)),1000000000),1000000000))+ROW()/100000,"")</f>
        <v/>
      </c>
    </row>
    <row r="2490">
      <c r="A2490">
        <f>IF($B2490="","",IFERROR(IF(INDEX('Per Invoice'!$A$2:$A$801,MATCH($B2490,'Per Invoice'!$B$2:$B$801,0))=0,"",INDEX('Per Invoice'!$A$2:$A$801,MATCH($B2490,'Per Invoice'!$B$2:$B$801,0))),""))</f>
        <v/>
      </c>
      <c r="J2490" s="7">
        <f>IF($B2490="","",I2490*Q2490/100)</f>
        <v/>
      </c>
      <c r="N2490" s="7" t="n"/>
      <c r="O2490" s="7" t="n"/>
      <c r="P2490" s="7">
        <f>IF($B2490="","",O2490*X2490/100)</f>
        <v/>
      </c>
      <c r="Q2490" s="7">
        <f>IF($B2490="","",O2490-P2490)</f>
        <v/>
      </c>
      <c r="R2490" s="7">
        <f>IF($B2490="","",Q2490-J2490)</f>
        <v/>
      </c>
      <c r="S2490" s="7" t="n"/>
      <c r="T2490" s="7" t="n"/>
      <c r="V2490" s="14" t="n"/>
      <c r="Z2490">
        <f>IF($B2490="","",IF(COUNTIF($B$2:$B2490,$B2490)=1,1,0))</f>
        <v/>
      </c>
      <c r="AA2490">
        <f>IF($Z2490=1,SUMPRODUCT(--($AC$2:$AC$3001&lt;$AC2490))+1,"")</f>
        <v/>
      </c>
      <c r="AB2490">
        <f>IF($B2490="","",IF(OR($Y2490=TRUE(),$Y2490="TRUE"),1,IF(AND($Y2490&lt;&gt;"",OR($Y2490=FALSE(),$Y2490="FALSE")),0,IF(MIN(ABS($X2490/100-Settings!$C$6),ABS($X2490/100-Settings!$G$6))&lt;=MIN(ABS($X2490/100-Settings!$C$7),ABS($X2490/100-Settings!$G$7)),1,0))))</f>
        <v/>
      </c>
      <c r="AC2490">
        <f>IF($Z2490=1,IFERROR(IF(VALUE($B2490)&lt;100000000,VALUE($B2490),1000000000),IFERROR(IF(VALUE(MID($B2490,2,20))&lt;100000000,VALUE(MID($B2490,2,20)),1000000000),1000000000))+ROW()/100000,"")</f>
        <v/>
      </c>
    </row>
    <row r="2491">
      <c r="A2491">
        <f>IF($B2491="","",IFERROR(IF(INDEX('Per Invoice'!$A$2:$A$801,MATCH($B2491,'Per Invoice'!$B$2:$B$801,0))=0,"",INDEX('Per Invoice'!$A$2:$A$801,MATCH($B2491,'Per Invoice'!$B$2:$B$801,0))),""))</f>
        <v/>
      </c>
      <c r="J2491" s="7">
        <f>IF($B2491="","",I2491*Q2491/100)</f>
        <v/>
      </c>
      <c r="N2491" s="7" t="n"/>
      <c r="O2491" s="7" t="n"/>
      <c r="P2491" s="7">
        <f>IF($B2491="","",O2491*X2491/100)</f>
        <v/>
      </c>
      <c r="Q2491" s="7">
        <f>IF($B2491="","",O2491-P2491)</f>
        <v/>
      </c>
      <c r="R2491" s="7">
        <f>IF($B2491="","",Q2491-J2491)</f>
        <v/>
      </c>
      <c r="S2491" s="7" t="n"/>
      <c r="T2491" s="7" t="n"/>
      <c r="V2491" s="14" t="n"/>
      <c r="Z2491">
        <f>IF($B2491="","",IF(COUNTIF($B$2:$B2491,$B2491)=1,1,0))</f>
        <v/>
      </c>
      <c r="AA2491">
        <f>IF($Z2491=1,SUMPRODUCT(--($AC$2:$AC$3001&lt;$AC2491))+1,"")</f>
        <v/>
      </c>
      <c r="AB2491">
        <f>IF($B2491="","",IF(OR($Y2491=TRUE(),$Y2491="TRUE"),1,IF(AND($Y2491&lt;&gt;"",OR($Y2491=FALSE(),$Y2491="FALSE")),0,IF(MIN(ABS($X2491/100-Settings!$C$6),ABS($X2491/100-Settings!$G$6))&lt;=MIN(ABS($X2491/100-Settings!$C$7),ABS($X2491/100-Settings!$G$7)),1,0))))</f>
        <v/>
      </c>
      <c r="AC2491">
        <f>IF($Z2491=1,IFERROR(IF(VALUE($B2491)&lt;100000000,VALUE($B2491),1000000000),IFERROR(IF(VALUE(MID($B2491,2,20))&lt;100000000,VALUE(MID($B2491,2,20)),1000000000),1000000000))+ROW()/100000,"")</f>
        <v/>
      </c>
    </row>
    <row r="2492">
      <c r="A2492">
        <f>IF($B2492="","",IFERROR(IF(INDEX('Per Invoice'!$A$2:$A$801,MATCH($B2492,'Per Invoice'!$B$2:$B$801,0))=0,"",INDEX('Per Invoice'!$A$2:$A$801,MATCH($B2492,'Per Invoice'!$B$2:$B$801,0))),""))</f>
        <v/>
      </c>
      <c r="J2492" s="7">
        <f>IF($B2492="","",I2492*Q2492/100)</f>
        <v/>
      </c>
      <c r="N2492" s="7" t="n"/>
      <c r="O2492" s="7" t="n"/>
      <c r="P2492" s="7">
        <f>IF($B2492="","",O2492*X2492/100)</f>
        <v/>
      </c>
      <c r="Q2492" s="7">
        <f>IF($B2492="","",O2492-P2492)</f>
        <v/>
      </c>
      <c r="R2492" s="7">
        <f>IF($B2492="","",Q2492-J2492)</f>
        <v/>
      </c>
      <c r="S2492" s="7" t="n"/>
      <c r="T2492" s="7" t="n"/>
      <c r="V2492" s="14" t="n"/>
      <c r="Z2492">
        <f>IF($B2492="","",IF(COUNTIF($B$2:$B2492,$B2492)=1,1,0))</f>
        <v/>
      </c>
      <c r="AA2492">
        <f>IF($Z2492=1,SUMPRODUCT(--($AC$2:$AC$3001&lt;$AC2492))+1,"")</f>
        <v/>
      </c>
      <c r="AB2492">
        <f>IF($B2492="","",IF(OR($Y2492=TRUE(),$Y2492="TRUE"),1,IF(AND($Y2492&lt;&gt;"",OR($Y2492=FALSE(),$Y2492="FALSE")),0,IF(MIN(ABS($X2492/100-Settings!$C$6),ABS($X2492/100-Settings!$G$6))&lt;=MIN(ABS($X2492/100-Settings!$C$7),ABS($X2492/100-Settings!$G$7)),1,0))))</f>
        <v/>
      </c>
      <c r="AC2492">
        <f>IF($Z2492=1,IFERROR(IF(VALUE($B2492)&lt;100000000,VALUE($B2492),1000000000),IFERROR(IF(VALUE(MID($B2492,2,20))&lt;100000000,VALUE(MID($B2492,2,20)),1000000000),1000000000))+ROW()/100000,"")</f>
        <v/>
      </c>
    </row>
    <row r="2493">
      <c r="A2493">
        <f>IF($B2493="","",IFERROR(IF(INDEX('Per Invoice'!$A$2:$A$801,MATCH($B2493,'Per Invoice'!$B$2:$B$801,0))=0,"",INDEX('Per Invoice'!$A$2:$A$801,MATCH($B2493,'Per Invoice'!$B$2:$B$801,0))),""))</f>
        <v/>
      </c>
      <c r="J2493" s="7">
        <f>IF($B2493="","",I2493*Q2493/100)</f>
        <v/>
      </c>
      <c r="N2493" s="7" t="n"/>
      <c r="O2493" s="7" t="n"/>
      <c r="P2493" s="7">
        <f>IF($B2493="","",O2493*X2493/100)</f>
        <v/>
      </c>
      <c r="Q2493" s="7">
        <f>IF($B2493="","",O2493-P2493)</f>
        <v/>
      </c>
      <c r="R2493" s="7">
        <f>IF($B2493="","",Q2493-J2493)</f>
        <v/>
      </c>
      <c r="S2493" s="7" t="n"/>
      <c r="T2493" s="7" t="n"/>
      <c r="V2493" s="14" t="n"/>
      <c r="Z2493">
        <f>IF($B2493="","",IF(COUNTIF($B$2:$B2493,$B2493)=1,1,0))</f>
        <v/>
      </c>
      <c r="AA2493">
        <f>IF($Z2493=1,SUMPRODUCT(--($AC$2:$AC$3001&lt;$AC2493))+1,"")</f>
        <v/>
      </c>
      <c r="AB2493">
        <f>IF($B2493="","",IF(OR($Y2493=TRUE(),$Y2493="TRUE"),1,IF(AND($Y2493&lt;&gt;"",OR($Y2493=FALSE(),$Y2493="FALSE")),0,IF(MIN(ABS($X2493/100-Settings!$C$6),ABS($X2493/100-Settings!$G$6))&lt;=MIN(ABS($X2493/100-Settings!$C$7),ABS($X2493/100-Settings!$G$7)),1,0))))</f>
        <v/>
      </c>
      <c r="AC2493">
        <f>IF($Z2493=1,IFERROR(IF(VALUE($B2493)&lt;100000000,VALUE($B2493),1000000000),IFERROR(IF(VALUE(MID($B2493,2,20))&lt;100000000,VALUE(MID($B2493,2,20)),1000000000),1000000000))+ROW()/100000,"")</f>
        <v/>
      </c>
    </row>
    <row r="2494">
      <c r="A2494">
        <f>IF($B2494="","",IFERROR(IF(INDEX('Per Invoice'!$A$2:$A$801,MATCH($B2494,'Per Invoice'!$B$2:$B$801,0))=0,"",INDEX('Per Invoice'!$A$2:$A$801,MATCH($B2494,'Per Invoice'!$B$2:$B$801,0))),""))</f>
        <v/>
      </c>
      <c r="J2494" s="7">
        <f>IF($B2494="","",I2494*Q2494/100)</f>
        <v/>
      </c>
      <c r="N2494" s="7" t="n"/>
      <c r="O2494" s="7" t="n"/>
      <c r="P2494" s="7">
        <f>IF($B2494="","",O2494*X2494/100)</f>
        <v/>
      </c>
      <c r="Q2494" s="7">
        <f>IF($B2494="","",O2494-P2494)</f>
        <v/>
      </c>
      <c r="R2494" s="7">
        <f>IF($B2494="","",Q2494-J2494)</f>
        <v/>
      </c>
      <c r="S2494" s="7" t="n"/>
      <c r="T2494" s="7" t="n"/>
      <c r="V2494" s="14" t="n"/>
      <c r="Z2494">
        <f>IF($B2494="","",IF(COUNTIF($B$2:$B2494,$B2494)=1,1,0))</f>
        <v/>
      </c>
      <c r="AA2494">
        <f>IF($Z2494=1,SUMPRODUCT(--($AC$2:$AC$3001&lt;$AC2494))+1,"")</f>
        <v/>
      </c>
      <c r="AB2494">
        <f>IF($B2494="","",IF(OR($Y2494=TRUE(),$Y2494="TRUE"),1,IF(AND($Y2494&lt;&gt;"",OR($Y2494=FALSE(),$Y2494="FALSE")),0,IF(MIN(ABS($X2494/100-Settings!$C$6),ABS($X2494/100-Settings!$G$6))&lt;=MIN(ABS($X2494/100-Settings!$C$7),ABS($X2494/100-Settings!$G$7)),1,0))))</f>
        <v/>
      </c>
      <c r="AC2494">
        <f>IF($Z2494=1,IFERROR(IF(VALUE($B2494)&lt;100000000,VALUE($B2494),1000000000),IFERROR(IF(VALUE(MID($B2494,2,20))&lt;100000000,VALUE(MID($B2494,2,20)),1000000000),1000000000))+ROW()/100000,"")</f>
        <v/>
      </c>
    </row>
    <row r="2495">
      <c r="A2495">
        <f>IF($B2495="","",IFERROR(IF(INDEX('Per Invoice'!$A$2:$A$801,MATCH($B2495,'Per Invoice'!$B$2:$B$801,0))=0,"",INDEX('Per Invoice'!$A$2:$A$801,MATCH($B2495,'Per Invoice'!$B$2:$B$801,0))),""))</f>
        <v/>
      </c>
      <c r="J2495" s="7">
        <f>IF($B2495="","",I2495*Q2495/100)</f>
        <v/>
      </c>
      <c r="N2495" s="7" t="n"/>
      <c r="O2495" s="7" t="n"/>
      <c r="P2495" s="7">
        <f>IF($B2495="","",O2495*X2495/100)</f>
        <v/>
      </c>
      <c r="Q2495" s="7">
        <f>IF($B2495="","",O2495-P2495)</f>
        <v/>
      </c>
      <c r="R2495" s="7">
        <f>IF($B2495="","",Q2495-J2495)</f>
        <v/>
      </c>
      <c r="S2495" s="7" t="n"/>
      <c r="T2495" s="7" t="n"/>
      <c r="V2495" s="14" t="n"/>
      <c r="Z2495">
        <f>IF($B2495="","",IF(COUNTIF($B$2:$B2495,$B2495)=1,1,0))</f>
        <v/>
      </c>
      <c r="AA2495">
        <f>IF($Z2495=1,SUMPRODUCT(--($AC$2:$AC$3001&lt;$AC2495))+1,"")</f>
        <v/>
      </c>
      <c r="AB2495">
        <f>IF($B2495="","",IF(OR($Y2495=TRUE(),$Y2495="TRUE"),1,IF(AND($Y2495&lt;&gt;"",OR($Y2495=FALSE(),$Y2495="FALSE")),0,IF(MIN(ABS($X2495/100-Settings!$C$6),ABS($X2495/100-Settings!$G$6))&lt;=MIN(ABS($X2495/100-Settings!$C$7),ABS($X2495/100-Settings!$G$7)),1,0))))</f>
        <v/>
      </c>
      <c r="AC2495">
        <f>IF($Z2495=1,IFERROR(IF(VALUE($B2495)&lt;100000000,VALUE($B2495),1000000000),IFERROR(IF(VALUE(MID($B2495,2,20))&lt;100000000,VALUE(MID($B2495,2,20)),1000000000),1000000000))+ROW()/100000,"")</f>
        <v/>
      </c>
    </row>
    <row r="2496">
      <c r="A2496">
        <f>IF($B2496="","",IFERROR(IF(INDEX('Per Invoice'!$A$2:$A$801,MATCH($B2496,'Per Invoice'!$B$2:$B$801,0))=0,"",INDEX('Per Invoice'!$A$2:$A$801,MATCH($B2496,'Per Invoice'!$B$2:$B$801,0))),""))</f>
        <v/>
      </c>
      <c r="J2496" s="7">
        <f>IF($B2496="","",I2496*Q2496/100)</f>
        <v/>
      </c>
      <c r="N2496" s="7" t="n"/>
      <c r="O2496" s="7" t="n"/>
      <c r="P2496" s="7">
        <f>IF($B2496="","",O2496*X2496/100)</f>
        <v/>
      </c>
      <c r="Q2496" s="7">
        <f>IF($B2496="","",O2496-P2496)</f>
        <v/>
      </c>
      <c r="R2496" s="7">
        <f>IF($B2496="","",Q2496-J2496)</f>
        <v/>
      </c>
      <c r="S2496" s="7" t="n"/>
      <c r="T2496" s="7" t="n"/>
      <c r="V2496" s="14" t="n"/>
      <c r="Z2496">
        <f>IF($B2496="","",IF(COUNTIF($B$2:$B2496,$B2496)=1,1,0))</f>
        <v/>
      </c>
      <c r="AA2496">
        <f>IF($Z2496=1,SUMPRODUCT(--($AC$2:$AC$3001&lt;$AC2496))+1,"")</f>
        <v/>
      </c>
      <c r="AB2496">
        <f>IF($B2496="","",IF(OR($Y2496=TRUE(),$Y2496="TRUE"),1,IF(AND($Y2496&lt;&gt;"",OR($Y2496=FALSE(),$Y2496="FALSE")),0,IF(MIN(ABS($X2496/100-Settings!$C$6),ABS($X2496/100-Settings!$G$6))&lt;=MIN(ABS($X2496/100-Settings!$C$7),ABS($X2496/100-Settings!$G$7)),1,0))))</f>
        <v/>
      </c>
      <c r="AC2496">
        <f>IF($Z2496=1,IFERROR(IF(VALUE($B2496)&lt;100000000,VALUE($B2496),1000000000),IFERROR(IF(VALUE(MID($B2496,2,20))&lt;100000000,VALUE(MID($B2496,2,20)),1000000000),1000000000))+ROW()/100000,"")</f>
        <v/>
      </c>
    </row>
    <row r="2497">
      <c r="A2497">
        <f>IF($B2497="","",IFERROR(IF(INDEX('Per Invoice'!$A$2:$A$801,MATCH($B2497,'Per Invoice'!$B$2:$B$801,0))=0,"",INDEX('Per Invoice'!$A$2:$A$801,MATCH($B2497,'Per Invoice'!$B$2:$B$801,0))),""))</f>
        <v/>
      </c>
      <c r="J2497" s="7">
        <f>IF($B2497="","",I2497*Q2497/100)</f>
        <v/>
      </c>
      <c r="N2497" s="7" t="n"/>
      <c r="O2497" s="7" t="n"/>
      <c r="P2497" s="7">
        <f>IF($B2497="","",O2497*X2497/100)</f>
        <v/>
      </c>
      <c r="Q2497" s="7">
        <f>IF($B2497="","",O2497-P2497)</f>
        <v/>
      </c>
      <c r="R2497" s="7">
        <f>IF($B2497="","",Q2497-J2497)</f>
        <v/>
      </c>
      <c r="S2497" s="7" t="n"/>
      <c r="T2497" s="7" t="n"/>
      <c r="V2497" s="14" t="n"/>
      <c r="Z2497">
        <f>IF($B2497="","",IF(COUNTIF($B$2:$B2497,$B2497)=1,1,0))</f>
        <v/>
      </c>
      <c r="AA2497">
        <f>IF($Z2497=1,SUMPRODUCT(--($AC$2:$AC$3001&lt;$AC2497))+1,"")</f>
        <v/>
      </c>
      <c r="AB2497">
        <f>IF($B2497="","",IF(OR($Y2497=TRUE(),$Y2497="TRUE"),1,IF(AND($Y2497&lt;&gt;"",OR($Y2497=FALSE(),$Y2497="FALSE")),0,IF(MIN(ABS($X2497/100-Settings!$C$6),ABS($X2497/100-Settings!$G$6))&lt;=MIN(ABS($X2497/100-Settings!$C$7),ABS($X2497/100-Settings!$G$7)),1,0))))</f>
        <v/>
      </c>
      <c r="AC2497">
        <f>IF($Z2497=1,IFERROR(IF(VALUE($B2497)&lt;100000000,VALUE($B2497),1000000000),IFERROR(IF(VALUE(MID($B2497,2,20))&lt;100000000,VALUE(MID($B2497,2,20)),1000000000),1000000000))+ROW()/100000,"")</f>
        <v/>
      </c>
    </row>
    <row r="2498">
      <c r="A2498">
        <f>IF($B2498="","",IFERROR(IF(INDEX('Per Invoice'!$A$2:$A$801,MATCH($B2498,'Per Invoice'!$B$2:$B$801,0))=0,"",INDEX('Per Invoice'!$A$2:$A$801,MATCH($B2498,'Per Invoice'!$B$2:$B$801,0))),""))</f>
        <v/>
      </c>
      <c r="J2498" s="7">
        <f>IF($B2498="","",I2498*Q2498/100)</f>
        <v/>
      </c>
      <c r="N2498" s="7" t="n"/>
      <c r="O2498" s="7" t="n"/>
      <c r="P2498" s="7">
        <f>IF($B2498="","",O2498*X2498/100)</f>
        <v/>
      </c>
      <c r="Q2498" s="7">
        <f>IF($B2498="","",O2498-P2498)</f>
        <v/>
      </c>
      <c r="R2498" s="7">
        <f>IF($B2498="","",Q2498-J2498)</f>
        <v/>
      </c>
      <c r="S2498" s="7" t="n"/>
      <c r="T2498" s="7" t="n"/>
      <c r="V2498" s="14" t="n"/>
      <c r="Z2498">
        <f>IF($B2498="","",IF(COUNTIF($B$2:$B2498,$B2498)=1,1,0))</f>
        <v/>
      </c>
      <c r="AA2498">
        <f>IF($Z2498=1,SUMPRODUCT(--($AC$2:$AC$3001&lt;$AC2498))+1,"")</f>
        <v/>
      </c>
      <c r="AB2498">
        <f>IF($B2498="","",IF(OR($Y2498=TRUE(),$Y2498="TRUE"),1,IF(AND($Y2498&lt;&gt;"",OR($Y2498=FALSE(),$Y2498="FALSE")),0,IF(MIN(ABS($X2498/100-Settings!$C$6),ABS($X2498/100-Settings!$G$6))&lt;=MIN(ABS($X2498/100-Settings!$C$7),ABS($X2498/100-Settings!$G$7)),1,0))))</f>
        <v/>
      </c>
      <c r="AC2498">
        <f>IF($Z2498=1,IFERROR(IF(VALUE($B2498)&lt;100000000,VALUE($B2498),1000000000),IFERROR(IF(VALUE(MID($B2498,2,20))&lt;100000000,VALUE(MID($B2498,2,20)),1000000000),1000000000))+ROW()/100000,"")</f>
        <v/>
      </c>
    </row>
    <row r="2499">
      <c r="A2499">
        <f>IF($B2499="","",IFERROR(IF(INDEX('Per Invoice'!$A$2:$A$801,MATCH($B2499,'Per Invoice'!$B$2:$B$801,0))=0,"",INDEX('Per Invoice'!$A$2:$A$801,MATCH($B2499,'Per Invoice'!$B$2:$B$801,0))),""))</f>
        <v/>
      </c>
      <c r="J2499" s="7">
        <f>IF($B2499="","",I2499*Q2499/100)</f>
        <v/>
      </c>
      <c r="N2499" s="7" t="n"/>
      <c r="O2499" s="7" t="n"/>
      <c r="P2499" s="7">
        <f>IF($B2499="","",O2499*X2499/100)</f>
        <v/>
      </c>
      <c r="Q2499" s="7">
        <f>IF($B2499="","",O2499-P2499)</f>
        <v/>
      </c>
      <c r="R2499" s="7">
        <f>IF($B2499="","",Q2499-J2499)</f>
        <v/>
      </c>
      <c r="S2499" s="7" t="n"/>
      <c r="T2499" s="7" t="n"/>
      <c r="V2499" s="14" t="n"/>
      <c r="Z2499">
        <f>IF($B2499="","",IF(COUNTIF($B$2:$B2499,$B2499)=1,1,0))</f>
        <v/>
      </c>
      <c r="AA2499">
        <f>IF($Z2499=1,SUMPRODUCT(--($AC$2:$AC$3001&lt;$AC2499))+1,"")</f>
        <v/>
      </c>
      <c r="AB2499">
        <f>IF($B2499="","",IF(OR($Y2499=TRUE(),$Y2499="TRUE"),1,IF(AND($Y2499&lt;&gt;"",OR($Y2499=FALSE(),$Y2499="FALSE")),0,IF(MIN(ABS($X2499/100-Settings!$C$6),ABS($X2499/100-Settings!$G$6))&lt;=MIN(ABS($X2499/100-Settings!$C$7),ABS($X2499/100-Settings!$G$7)),1,0))))</f>
        <v/>
      </c>
      <c r="AC2499">
        <f>IF($Z2499=1,IFERROR(IF(VALUE($B2499)&lt;100000000,VALUE($B2499),1000000000),IFERROR(IF(VALUE(MID($B2499,2,20))&lt;100000000,VALUE(MID($B2499,2,20)),1000000000),1000000000))+ROW()/100000,"")</f>
        <v/>
      </c>
    </row>
    <row r="2500">
      <c r="A2500">
        <f>IF($B2500="","",IFERROR(IF(INDEX('Per Invoice'!$A$2:$A$801,MATCH($B2500,'Per Invoice'!$B$2:$B$801,0))=0,"",INDEX('Per Invoice'!$A$2:$A$801,MATCH($B2500,'Per Invoice'!$B$2:$B$801,0))),""))</f>
        <v/>
      </c>
      <c r="J2500" s="7">
        <f>IF($B2500="","",I2500*Q2500/100)</f>
        <v/>
      </c>
      <c r="N2500" s="7" t="n"/>
      <c r="O2500" s="7" t="n"/>
      <c r="P2500" s="7">
        <f>IF($B2500="","",O2500*X2500/100)</f>
        <v/>
      </c>
      <c r="Q2500" s="7">
        <f>IF($B2500="","",O2500-P2500)</f>
        <v/>
      </c>
      <c r="R2500" s="7">
        <f>IF($B2500="","",Q2500-J2500)</f>
        <v/>
      </c>
      <c r="S2500" s="7" t="n"/>
      <c r="T2500" s="7" t="n"/>
      <c r="V2500" s="14" t="n"/>
      <c r="Z2500">
        <f>IF($B2500="","",IF(COUNTIF($B$2:$B2500,$B2500)=1,1,0))</f>
        <v/>
      </c>
      <c r="AA2500">
        <f>IF($Z2500=1,SUMPRODUCT(--($AC$2:$AC$3001&lt;$AC2500))+1,"")</f>
        <v/>
      </c>
      <c r="AB2500">
        <f>IF($B2500="","",IF(OR($Y2500=TRUE(),$Y2500="TRUE"),1,IF(AND($Y2500&lt;&gt;"",OR($Y2500=FALSE(),$Y2500="FALSE")),0,IF(MIN(ABS($X2500/100-Settings!$C$6),ABS($X2500/100-Settings!$G$6))&lt;=MIN(ABS($X2500/100-Settings!$C$7),ABS($X2500/100-Settings!$G$7)),1,0))))</f>
        <v/>
      </c>
      <c r="AC2500">
        <f>IF($Z2500=1,IFERROR(IF(VALUE($B2500)&lt;100000000,VALUE($B2500),1000000000),IFERROR(IF(VALUE(MID($B2500,2,20))&lt;100000000,VALUE(MID($B2500,2,20)),1000000000),1000000000))+ROW()/100000,"")</f>
        <v/>
      </c>
    </row>
    <row r="2501">
      <c r="A2501">
        <f>IF($B2501="","",IFERROR(IF(INDEX('Per Invoice'!$A$2:$A$801,MATCH($B2501,'Per Invoice'!$B$2:$B$801,0))=0,"",INDEX('Per Invoice'!$A$2:$A$801,MATCH($B2501,'Per Invoice'!$B$2:$B$801,0))),""))</f>
        <v/>
      </c>
      <c r="J2501" s="7">
        <f>IF($B2501="","",I2501*Q2501/100)</f>
        <v/>
      </c>
      <c r="N2501" s="7" t="n"/>
      <c r="O2501" s="7" t="n"/>
      <c r="P2501" s="7">
        <f>IF($B2501="","",O2501*X2501/100)</f>
        <v/>
      </c>
      <c r="Q2501" s="7">
        <f>IF($B2501="","",O2501-P2501)</f>
        <v/>
      </c>
      <c r="R2501" s="7">
        <f>IF($B2501="","",Q2501-J2501)</f>
        <v/>
      </c>
      <c r="S2501" s="7" t="n"/>
      <c r="T2501" s="7" t="n"/>
      <c r="V2501" s="14" t="n"/>
      <c r="Z2501">
        <f>IF($B2501="","",IF(COUNTIF($B$2:$B2501,$B2501)=1,1,0))</f>
        <v/>
      </c>
      <c r="AA2501">
        <f>IF($Z2501=1,SUMPRODUCT(--($AC$2:$AC$3001&lt;$AC2501))+1,"")</f>
        <v/>
      </c>
      <c r="AB2501">
        <f>IF($B2501="","",IF(OR($Y2501=TRUE(),$Y2501="TRUE"),1,IF(AND($Y2501&lt;&gt;"",OR($Y2501=FALSE(),$Y2501="FALSE")),0,IF(MIN(ABS($X2501/100-Settings!$C$6),ABS($X2501/100-Settings!$G$6))&lt;=MIN(ABS($X2501/100-Settings!$C$7),ABS($X2501/100-Settings!$G$7)),1,0))))</f>
        <v/>
      </c>
      <c r="AC2501">
        <f>IF($Z2501=1,IFERROR(IF(VALUE($B2501)&lt;100000000,VALUE($B2501),1000000000),IFERROR(IF(VALUE(MID($B2501,2,20))&lt;100000000,VALUE(MID($B2501,2,20)),1000000000),1000000000))+ROW()/100000,"")</f>
        <v/>
      </c>
    </row>
    <row r="2502">
      <c r="A2502">
        <f>IF($B2502="","",IFERROR(IF(INDEX('Per Invoice'!$A$2:$A$801,MATCH($B2502,'Per Invoice'!$B$2:$B$801,0))=0,"",INDEX('Per Invoice'!$A$2:$A$801,MATCH($B2502,'Per Invoice'!$B$2:$B$801,0))),""))</f>
        <v/>
      </c>
      <c r="J2502" s="7">
        <f>IF($B2502="","",I2502*Q2502/100)</f>
        <v/>
      </c>
      <c r="N2502" s="7" t="n"/>
      <c r="O2502" s="7" t="n"/>
      <c r="P2502" s="7">
        <f>IF($B2502="","",O2502*X2502/100)</f>
        <v/>
      </c>
      <c r="Q2502" s="7">
        <f>IF($B2502="","",O2502-P2502)</f>
        <v/>
      </c>
      <c r="R2502" s="7">
        <f>IF($B2502="","",Q2502-J2502)</f>
        <v/>
      </c>
      <c r="S2502" s="7" t="n"/>
      <c r="T2502" s="7" t="n"/>
      <c r="V2502" s="14" t="n"/>
      <c r="Z2502">
        <f>IF($B2502="","",IF(COUNTIF($B$2:$B2502,$B2502)=1,1,0))</f>
        <v/>
      </c>
      <c r="AA2502">
        <f>IF($Z2502=1,SUMPRODUCT(--($AC$2:$AC$3001&lt;$AC2502))+1,"")</f>
        <v/>
      </c>
      <c r="AB2502">
        <f>IF($B2502="","",IF(OR($Y2502=TRUE(),$Y2502="TRUE"),1,IF(AND($Y2502&lt;&gt;"",OR($Y2502=FALSE(),$Y2502="FALSE")),0,IF(MIN(ABS($X2502/100-Settings!$C$6),ABS($X2502/100-Settings!$G$6))&lt;=MIN(ABS($X2502/100-Settings!$C$7),ABS($X2502/100-Settings!$G$7)),1,0))))</f>
        <v/>
      </c>
      <c r="AC2502">
        <f>IF($Z2502=1,IFERROR(IF(VALUE($B2502)&lt;100000000,VALUE($B2502),1000000000),IFERROR(IF(VALUE(MID($B2502,2,20))&lt;100000000,VALUE(MID($B2502,2,20)),1000000000),1000000000))+ROW()/100000,"")</f>
        <v/>
      </c>
    </row>
    <row r="2503">
      <c r="A2503">
        <f>IF($B2503="","",IFERROR(IF(INDEX('Per Invoice'!$A$2:$A$801,MATCH($B2503,'Per Invoice'!$B$2:$B$801,0))=0,"",INDEX('Per Invoice'!$A$2:$A$801,MATCH($B2503,'Per Invoice'!$B$2:$B$801,0))),""))</f>
        <v/>
      </c>
      <c r="J2503" s="7">
        <f>IF($B2503="","",I2503*Q2503/100)</f>
        <v/>
      </c>
      <c r="N2503" s="7" t="n"/>
      <c r="O2503" s="7" t="n"/>
      <c r="P2503" s="7">
        <f>IF($B2503="","",O2503*X2503/100)</f>
        <v/>
      </c>
      <c r="Q2503" s="7">
        <f>IF($B2503="","",O2503-P2503)</f>
        <v/>
      </c>
      <c r="R2503" s="7">
        <f>IF($B2503="","",Q2503-J2503)</f>
        <v/>
      </c>
      <c r="S2503" s="7" t="n"/>
      <c r="T2503" s="7" t="n"/>
      <c r="V2503" s="14" t="n"/>
      <c r="Z2503">
        <f>IF($B2503="","",IF(COUNTIF($B$2:$B2503,$B2503)=1,1,0))</f>
        <v/>
      </c>
      <c r="AA2503">
        <f>IF($Z2503=1,SUMPRODUCT(--($AC$2:$AC$3001&lt;$AC2503))+1,"")</f>
        <v/>
      </c>
      <c r="AB2503">
        <f>IF($B2503="","",IF(OR($Y2503=TRUE(),$Y2503="TRUE"),1,IF(AND($Y2503&lt;&gt;"",OR($Y2503=FALSE(),$Y2503="FALSE")),0,IF(MIN(ABS($X2503/100-Settings!$C$6),ABS($X2503/100-Settings!$G$6))&lt;=MIN(ABS($X2503/100-Settings!$C$7),ABS($X2503/100-Settings!$G$7)),1,0))))</f>
        <v/>
      </c>
      <c r="AC2503">
        <f>IF($Z2503=1,IFERROR(IF(VALUE($B2503)&lt;100000000,VALUE($B2503),1000000000),IFERROR(IF(VALUE(MID($B2503,2,20))&lt;100000000,VALUE(MID($B2503,2,20)),1000000000),1000000000))+ROW()/100000,"")</f>
        <v/>
      </c>
    </row>
    <row r="2504">
      <c r="A2504">
        <f>IF($B2504="","",IFERROR(IF(INDEX('Per Invoice'!$A$2:$A$801,MATCH($B2504,'Per Invoice'!$B$2:$B$801,0))=0,"",INDEX('Per Invoice'!$A$2:$A$801,MATCH($B2504,'Per Invoice'!$B$2:$B$801,0))),""))</f>
        <v/>
      </c>
      <c r="J2504" s="7">
        <f>IF($B2504="","",I2504*Q2504/100)</f>
        <v/>
      </c>
      <c r="N2504" s="7" t="n"/>
      <c r="O2504" s="7" t="n"/>
      <c r="P2504" s="7">
        <f>IF($B2504="","",O2504*X2504/100)</f>
        <v/>
      </c>
      <c r="Q2504" s="7">
        <f>IF($B2504="","",O2504-P2504)</f>
        <v/>
      </c>
      <c r="R2504" s="7">
        <f>IF($B2504="","",Q2504-J2504)</f>
        <v/>
      </c>
      <c r="S2504" s="7" t="n"/>
      <c r="T2504" s="7" t="n"/>
      <c r="V2504" s="14" t="n"/>
      <c r="Z2504">
        <f>IF($B2504="","",IF(COUNTIF($B$2:$B2504,$B2504)=1,1,0))</f>
        <v/>
      </c>
      <c r="AA2504">
        <f>IF($Z2504=1,SUMPRODUCT(--($AC$2:$AC$3001&lt;$AC2504))+1,"")</f>
        <v/>
      </c>
      <c r="AB2504">
        <f>IF($B2504="","",IF(OR($Y2504=TRUE(),$Y2504="TRUE"),1,IF(AND($Y2504&lt;&gt;"",OR($Y2504=FALSE(),$Y2504="FALSE")),0,IF(MIN(ABS($X2504/100-Settings!$C$6),ABS($X2504/100-Settings!$G$6))&lt;=MIN(ABS($X2504/100-Settings!$C$7),ABS($X2504/100-Settings!$G$7)),1,0))))</f>
        <v/>
      </c>
      <c r="AC2504">
        <f>IF($Z2504=1,IFERROR(IF(VALUE($B2504)&lt;100000000,VALUE($B2504),1000000000),IFERROR(IF(VALUE(MID($B2504,2,20))&lt;100000000,VALUE(MID($B2504,2,20)),1000000000),1000000000))+ROW()/100000,"")</f>
        <v/>
      </c>
    </row>
    <row r="2505">
      <c r="A2505">
        <f>IF($B2505="","",IFERROR(IF(INDEX('Per Invoice'!$A$2:$A$801,MATCH($B2505,'Per Invoice'!$B$2:$B$801,0))=0,"",INDEX('Per Invoice'!$A$2:$A$801,MATCH($B2505,'Per Invoice'!$B$2:$B$801,0))),""))</f>
        <v/>
      </c>
      <c r="J2505" s="7">
        <f>IF($B2505="","",I2505*Q2505/100)</f>
        <v/>
      </c>
      <c r="N2505" s="7" t="n"/>
      <c r="O2505" s="7" t="n"/>
      <c r="P2505" s="7">
        <f>IF($B2505="","",O2505*X2505/100)</f>
        <v/>
      </c>
      <c r="Q2505" s="7">
        <f>IF($B2505="","",O2505-P2505)</f>
        <v/>
      </c>
      <c r="R2505" s="7">
        <f>IF($B2505="","",Q2505-J2505)</f>
        <v/>
      </c>
      <c r="S2505" s="7" t="n"/>
      <c r="T2505" s="7" t="n"/>
      <c r="V2505" s="14" t="n"/>
      <c r="Z2505">
        <f>IF($B2505="","",IF(COUNTIF($B$2:$B2505,$B2505)=1,1,0))</f>
        <v/>
      </c>
      <c r="AA2505">
        <f>IF($Z2505=1,SUMPRODUCT(--($AC$2:$AC$3001&lt;$AC2505))+1,"")</f>
        <v/>
      </c>
      <c r="AB2505">
        <f>IF($B2505="","",IF(OR($Y2505=TRUE(),$Y2505="TRUE"),1,IF(AND($Y2505&lt;&gt;"",OR($Y2505=FALSE(),$Y2505="FALSE")),0,IF(MIN(ABS($X2505/100-Settings!$C$6),ABS($X2505/100-Settings!$G$6))&lt;=MIN(ABS($X2505/100-Settings!$C$7),ABS($X2505/100-Settings!$G$7)),1,0))))</f>
        <v/>
      </c>
      <c r="AC2505">
        <f>IF($Z2505=1,IFERROR(IF(VALUE($B2505)&lt;100000000,VALUE($B2505),1000000000),IFERROR(IF(VALUE(MID($B2505,2,20))&lt;100000000,VALUE(MID($B2505,2,20)),1000000000),1000000000))+ROW()/100000,"")</f>
        <v/>
      </c>
    </row>
    <row r="2506">
      <c r="A2506">
        <f>IF($B2506="","",IFERROR(IF(INDEX('Per Invoice'!$A$2:$A$801,MATCH($B2506,'Per Invoice'!$B$2:$B$801,0))=0,"",INDEX('Per Invoice'!$A$2:$A$801,MATCH($B2506,'Per Invoice'!$B$2:$B$801,0))),""))</f>
        <v/>
      </c>
      <c r="J2506" s="7">
        <f>IF($B2506="","",I2506*Q2506/100)</f>
        <v/>
      </c>
      <c r="N2506" s="7" t="n"/>
      <c r="O2506" s="7" t="n"/>
      <c r="P2506" s="7">
        <f>IF($B2506="","",O2506*X2506/100)</f>
        <v/>
      </c>
      <c r="Q2506" s="7">
        <f>IF($B2506="","",O2506-P2506)</f>
        <v/>
      </c>
      <c r="R2506" s="7">
        <f>IF($B2506="","",Q2506-J2506)</f>
        <v/>
      </c>
      <c r="S2506" s="7" t="n"/>
      <c r="T2506" s="7" t="n"/>
      <c r="V2506" s="14" t="n"/>
      <c r="Z2506">
        <f>IF($B2506="","",IF(COUNTIF($B$2:$B2506,$B2506)=1,1,0))</f>
        <v/>
      </c>
      <c r="AA2506">
        <f>IF($Z2506=1,SUMPRODUCT(--($AC$2:$AC$3001&lt;$AC2506))+1,"")</f>
        <v/>
      </c>
      <c r="AB2506">
        <f>IF($B2506="","",IF(OR($Y2506=TRUE(),$Y2506="TRUE"),1,IF(AND($Y2506&lt;&gt;"",OR($Y2506=FALSE(),$Y2506="FALSE")),0,IF(MIN(ABS($X2506/100-Settings!$C$6),ABS($X2506/100-Settings!$G$6))&lt;=MIN(ABS($X2506/100-Settings!$C$7),ABS($X2506/100-Settings!$G$7)),1,0))))</f>
        <v/>
      </c>
      <c r="AC2506">
        <f>IF($Z2506=1,IFERROR(IF(VALUE($B2506)&lt;100000000,VALUE($B2506),1000000000),IFERROR(IF(VALUE(MID($B2506,2,20))&lt;100000000,VALUE(MID($B2506,2,20)),1000000000),1000000000))+ROW()/100000,"")</f>
        <v/>
      </c>
    </row>
    <row r="2507">
      <c r="A2507">
        <f>IF($B2507="","",IFERROR(IF(INDEX('Per Invoice'!$A$2:$A$801,MATCH($B2507,'Per Invoice'!$B$2:$B$801,0))=0,"",INDEX('Per Invoice'!$A$2:$A$801,MATCH($B2507,'Per Invoice'!$B$2:$B$801,0))),""))</f>
        <v/>
      </c>
      <c r="J2507" s="7">
        <f>IF($B2507="","",I2507*Q2507/100)</f>
        <v/>
      </c>
      <c r="N2507" s="7" t="n"/>
      <c r="O2507" s="7" t="n"/>
      <c r="P2507" s="7">
        <f>IF($B2507="","",O2507*X2507/100)</f>
        <v/>
      </c>
      <c r="Q2507" s="7">
        <f>IF($B2507="","",O2507-P2507)</f>
        <v/>
      </c>
      <c r="R2507" s="7">
        <f>IF($B2507="","",Q2507-J2507)</f>
        <v/>
      </c>
      <c r="S2507" s="7" t="n"/>
      <c r="T2507" s="7" t="n"/>
      <c r="V2507" s="14" t="n"/>
      <c r="Z2507">
        <f>IF($B2507="","",IF(COUNTIF($B$2:$B2507,$B2507)=1,1,0))</f>
        <v/>
      </c>
      <c r="AA2507">
        <f>IF($Z2507=1,SUMPRODUCT(--($AC$2:$AC$3001&lt;$AC2507))+1,"")</f>
        <v/>
      </c>
      <c r="AB2507">
        <f>IF($B2507="","",IF(OR($Y2507=TRUE(),$Y2507="TRUE"),1,IF(AND($Y2507&lt;&gt;"",OR($Y2507=FALSE(),$Y2507="FALSE")),0,IF(MIN(ABS($X2507/100-Settings!$C$6),ABS($X2507/100-Settings!$G$6))&lt;=MIN(ABS($X2507/100-Settings!$C$7),ABS($X2507/100-Settings!$G$7)),1,0))))</f>
        <v/>
      </c>
      <c r="AC2507">
        <f>IF($Z2507=1,IFERROR(IF(VALUE($B2507)&lt;100000000,VALUE($B2507),1000000000),IFERROR(IF(VALUE(MID($B2507,2,20))&lt;100000000,VALUE(MID($B2507,2,20)),1000000000),1000000000))+ROW()/100000,"")</f>
        <v/>
      </c>
    </row>
    <row r="2508">
      <c r="A2508">
        <f>IF($B2508="","",IFERROR(IF(INDEX('Per Invoice'!$A$2:$A$801,MATCH($B2508,'Per Invoice'!$B$2:$B$801,0))=0,"",INDEX('Per Invoice'!$A$2:$A$801,MATCH($B2508,'Per Invoice'!$B$2:$B$801,0))),""))</f>
        <v/>
      </c>
      <c r="J2508" s="7">
        <f>IF($B2508="","",I2508*Q2508/100)</f>
        <v/>
      </c>
      <c r="N2508" s="7" t="n"/>
      <c r="O2508" s="7" t="n"/>
      <c r="P2508" s="7">
        <f>IF($B2508="","",O2508*X2508/100)</f>
        <v/>
      </c>
      <c r="Q2508" s="7">
        <f>IF($B2508="","",O2508-P2508)</f>
        <v/>
      </c>
      <c r="R2508" s="7">
        <f>IF($B2508="","",Q2508-J2508)</f>
        <v/>
      </c>
      <c r="S2508" s="7" t="n"/>
      <c r="T2508" s="7" t="n"/>
      <c r="V2508" s="14" t="n"/>
      <c r="Z2508">
        <f>IF($B2508="","",IF(COUNTIF($B$2:$B2508,$B2508)=1,1,0))</f>
        <v/>
      </c>
      <c r="AA2508">
        <f>IF($Z2508=1,SUMPRODUCT(--($AC$2:$AC$3001&lt;$AC2508))+1,"")</f>
        <v/>
      </c>
      <c r="AB2508">
        <f>IF($B2508="","",IF(OR($Y2508=TRUE(),$Y2508="TRUE"),1,IF(AND($Y2508&lt;&gt;"",OR($Y2508=FALSE(),$Y2508="FALSE")),0,IF(MIN(ABS($X2508/100-Settings!$C$6),ABS($X2508/100-Settings!$G$6))&lt;=MIN(ABS($X2508/100-Settings!$C$7),ABS($X2508/100-Settings!$G$7)),1,0))))</f>
        <v/>
      </c>
      <c r="AC2508">
        <f>IF($Z2508=1,IFERROR(IF(VALUE($B2508)&lt;100000000,VALUE($B2508),1000000000),IFERROR(IF(VALUE(MID($B2508,2,20))&lt;100000000,VALUE(MID($B2508,2,20)),1000000000),1000000000))+ROW()/100000,"")</f>
        <v/>
      </c>
    </row>
    <row r="2509">
      <c r="A2509">
        <f>IF($B2509="","",IFERROR(IF(INDEX('Per Invoice'!$A$2:$A$801,MATCH($B2509,'Per Invoice'!$B$2:$B$801,0))=0,"",INDEX('Per Invoice'!$A$2:$A$801,MATCH($B2509,'Per Invoice'!$B$2:$B$801,0))),""))</f>
        <v/>
      </c>
      <c r="J2509" s="7">
        <f>IF($B2509="","",I2509*Q2509/100)</f>
        <v/>
      </c>
      <c r="N2509" s="7" t="n"/>
      <c r="O2509" s="7" t="n"/>
      <c r="P2509" s="7">
        <f>IF($B2509="","",O2509*X2509/100)</f>
        <v/>
      </c>
      <c r="Q2509" s="7">
        <f>IF($B2509="","",O2509-P2509)</f>
        <v/>
      </c>
      <c r="R2509" s="7">
        <f>IF($B2509="","",Q2509-J2509)</f>
        <v/>
      </c>
      <c r="S2509" s="7" t="n"/>
      <c r="T2509" s="7" t="n"/>
      <c r="V2509" s="14" t="n"/>
      <c r="Z2509">
        <f>IF($B2509="","",IF(COUNTIF($B$2:$B2509,$B2509)=1,1,0))</f>
        <v/>
      </c>
      <c r="AA2509">
        <f>IF($Z2509=1,SUMPRODUCT(--($AC$2:$AC$3001&lt;$AC2509))+1,"")</f>
        <v/>
      </c>
      <c r="AB2509">
        <f>IF($B2509="","",IF(OR($Y2509=TRUE(),$Y2509="TRUE"),1,IF(AND($Y2509&lt;&gt;"",OR($Y2509=FALSE(),$Y2509="FALSE")),0,IF(MIN(ABS($X2509/100-Settings!$C$6),ABS($X2509/100-Settings!$G$6))&lt;=MIN(ABS($X2509/100-Settings!$C$7),ABS($X2509/100-Settings!$G$7)),1,0))))</f>
        <v/>
      </c>
      <c r="AC2509">
        <f>IF($Z2509=1,IFERROR(IF(VALUE($B2509)&lt;100000000,VALUE($B2509),1000000000),IFERROR(IF(VALUE(MID($B2509,2,20))&lt;100000000,VALUE(MID($B2509,2,20)),1000000000),1000000000))+ROW()/100000,"")</f>
        <v/>
      </c>
    </row>
    <row r="2510">
      <c r="A2510">
        <f>IF($B2510="","",IFERROR(IF(INDEX('Per Invoice'!$A$2:$A$801,MATCH($B2510,'Per Invoice'!$B$2:$B$801,0))=0,"",INDEX('Per Invoice'!$A$2:$A$801,MATCH($B2510,'Per Invoice'!$B$2:$B$801,0))),""))</f>
        <v/>
      </c>
      <c r="J2510" s="7">
        <f>IF($B2510="","",I2510*Q2510/100)</f>
        <v/>
      </c>
      <c r="N2510" s="7" t="n"/>
      <c r="O2510" s="7" t="n"/>
      <c r="P2510" s="7">
        <f>IF($B2510="","",O2510*X2510/100)</f>
        <v/>
      </c>
      <c r="Q2510" s="7">
        <f>IF($B2510="","",O2510-P2510)</f>
        <v/>
      </c>
      <c r="R2510" s="7">
        <f>IF($B2510="","",Q2510-J2510)</f>
        <v/>
      </c>
      <c r="S2510" s="7" t="n"/>
      <c r="T2510" s="7" t="n"/>
      <c r="V2510" s="14" t="n"/>
      <c r="Z2510">
        <f>IF($B2510="","",IF(COUNTIF($B$2:$B2510,$B2510)=1,1,0))</f>
        <v/>
      </c>
      <c r="AA2510">
        <f>IF($Z2510=1,SUMPRODUCT(--($AC$2:$AC$3001&lt;$AC2510))+1,"")</f>
        <v/>
      </c>
      <c r="AB2510">
        <f>IF($B2510="","",IF(OR($Y2510=TRUE(),$Y2510="TRUE"),1,IF(AND($Y2510&lt;&gt;"",OR($Y2510=FALSE(),$Y2510="FALSE")),0,IF(MIN(ABS($X2510/100-Settings!$C$6),ABS($X2510/100-Settings!$G$6))&lt;=MIN(ABS($X2510/100-Settings!$C$7),ABS($X2510/100-Settings!$G$7)),1,0))))</f>
        <v/>
      </c>
      <c r="AC2510">
        <f>IF($Z2510=1,IFERROR(IF(VALUE($B2510)&lt;100000000,VALUE($B2510),1000000000),IFERROR(IF(VALUE(MID($B2510,2,20))&lt;100000000,VALUE(MID($B2510,2,20)),1000000000),1000000000))+ROW()/100000,"")</f>
        <v/>
      </c>
    </row>
    <row r="2511">
      <c r="A2511">
        <f>IF($B2511="","",IFERROR(IF(INDEX('Per Invoice'!$A$2:$A$801,MATCH($B2511,'Per Invoice'!$B$2:$B$801,0))=0,"",INDEX('Per Invoice'!$A$2:$A$801,MATCH($B2511,'Per Invoice'!$B$2:$B$801,0))),""))</f>
        <v/>
      </c>
      <c r="J2511" s="7">
        <f>IF($B2511="","",I2511*Q2511/100)</f>
        <v/>
      </c>
      <c r="N2511" s="7" t="n"/>
      <c r="O2511" s="7" t="n"/>
      <c r="P2511" s="7">
        <f>IF($B2511="","",O2511*X2511/100)</f>
        <v/>
      </c>
      <c r="Q2511" s="7">
        <f>IF($B2511="","",O2511-P2511)</f>
        <v/>
      </c>
      <c r="R2511" s="7">
        <f>IF($B2511="","",Q2511-J2511)</f>
        <v/>
      </c>
      <c r="S2511" s="7" t="n"/>
      <c r="T2511" s="7" t="n"/>
      <c r="V2511" s="14" t="n"/>
      <c r="Z2511">
        <f>IF($B2511="","",IF(COUNTIF($B$2:$B2511,$B2511)=1,1,0))</f>
        <v/>
      </c>
      <c r="AA2511">
        <f>IF($Z2511=1,SUMPRODUCT(--($AC$2:$AC$3001&lt;$AC2511))+1,"")</f>
        <v/>
      </c>
      <c r="AB2511">
        <f>IF($B2511="","",IF(OR($Y2511=TRUE(),$Y2511="TRUE"),1,IF(AND($Y2511&lt;&gt;"",OR($Y2511=FALSE(),$Y2511="FALSE")),0,IF(MIN(ABS($X2511/100-Settings!$C$6),ABS($X2511/100-Settings!$G$6))&lt;=MIN(ABS($X2511/100-Settings!$C$7),ABS($X2511/100-Settings!$G$7)),1,0))))</f>
        <v/>
      </c>
      <c r="AC2511">
        <f>IF($Z2511=1,IFERROR(IF(VALUE($B2511)&lt;100000000,VALUE($B2511),1000000000),IFERROR(IF(VALUE(MID($B2511,2,20))&lt;100000000,VALUE(MID($B2511,2,20)),1000000000),1000000000))+ROW()/100000,"")</f>
        <v/>
      </c>
    </row>
    <row r="2512">
      <c r="A2512">
        <f>IF($B2512="","",IFERROR(IF(INDEX('Per Invoice'!$A$2:$A$801,MATCH($B2512,'Per Invoice'!$B$2:$B$801,0))=0,"",INDEX('Per Invoice'!$A$2:$A$801,MATCH($B2512,'Per Invoice'!$B$2:$B$801,0))),""))</f>
        <v/>
      </c>
      <c r="J2512" s="7">
        <f>IF($B2512="","",I2512*Q2512/100)</f>
        <v/>
      </c>
      <c r="N2512" s="7" t="n"/>
      <c r="O2512" s="7" t="n"/>
      <c r="P2512" s="7">
        <f>IF($B2512="","",O2512*X2512/100)</f>
        <v/>
      </c>
      <c r="Q2512" s="7">
        <f>IF($B2512="","",O2512-P2512)</f>
        <v/>
      </c>
      <c r="R2512" s="7">
        <f>IF($B2512="","",Q2512-J2512)</f>
        <v/>
      </c>
      <c r="S2512" s="7" t="n"/>
      <c r="T2512" s="7" t="n"/>
      <c r="V2512" s="14" t="n"/>
      <c r="Z2512">
        <f>IF($B2512="","",IF(COUNTIF($B$2:$B2512,$B2512)=1,1,0))</f>
        <v/>
      </c>
      <c r="AA2512">
        <f>IF($Z2512=1,SUMPRODUCT(--($AC$2:$AC$3001&lt;$AC2512))+1,"")</f>
        <v/>
      </c>
      <c r="AB2512">
        <f>IF($B2512="","",IF(OR($Y2512=TRUE(),$Y2512="TRUE"),1,IF(AND($Y2512&lt;&gt;"",OR($Y2512=FALSE(),$Y2512="FALSE")),0,IF(MIN(ABS($X2512/100-Settings!$C$6),ABS($X2512/100-Settings!$G$6))&lt;=MIN(ABS($X2512/100-Settings!$C$7),ABS($X2512/100-Settings!$G$7)),1,0))))</f>
        <v/>
      </c>
      <c r="AC2512">
        <f>IF($Z2512=1,IFERROR(IF(VALUE($B2512)&lt;100000000,VALUE($B2512),1000000000),IFERROR(IF(VALUE(MID($B2512,2,20))&lt;100000000,VALUE(MID($B2512,2,20)),1000000000),1000000000))+ROW()/100000,"")</f>
        <v/>
      </c>
    </row>
    <row r="2513">
      <c r="A2513">
        <f>IF($B2513="","",IFERROR(IF(INDEX('Per Invoice'!$A$2:$A$801,MATCH($B2513,'Per Invoice'!$B$2:$B$801,0))=0,"",INDEX('Per Invoice'!$A$2:$A$801,MATCH($B2513,'Per Invoice'!$B$2:$B$801,0))),""))</f>
        <v/>
      </c>
      <c r="J2513" s="7">
        <f>IF($B2513="","",I2513*Q2513/100)</f>
        <v/>
      </c>
      <c r="N2513" s="7" t="n"/>
      <c r="O2513" s="7" t="n"/>
      <c r="P2513" s="7">
        <f>IF($B2513="","",O2513*X2513/100)</f>
        <v/>
      </c>
      <c r="Q2513" s="7">
        <f>IF($B2513="","",O2513-P2513)</f>
        <v/>
      </c>
      <c r="R2513" s="7">
        <f>IF($B2513="","",Q2513-J2513)</f>
        <v/>
      </c>
      <c r="S2513" s="7" t="n"/>
      <c r="T2513" s="7" t="n"/>
      <c r="V2513" s="14" t="n"/>
      <c r="Z2513">
        <f>IF($B2513="","",IF(COUNTIF($B$2:$B2513,$B2513)=1,1,0))</f>
        <v/>
      </c>
      <c r="AA2513">
        <f>IF($Z2513=1,SUMPRODUCT(--($AC$2:$AC$3001&lt;$AC2513))+1,"")</f>
        <v/>
      </c>
      <c r="AB2513">
        <f>IF($B2513="","",IF(OR($Y2513=TRUE(),$Y2513="TRUE"),1,IF(AND($Y2513&lt;&gt;"",OR($Y2513=FALSE(),$Y2513="FALSE")),0,IF(MIN(ABS($X2513/100-Settings!$C$6),ABS($X2513/100-Settings!$G$6))&lt;=MIN(ABS($X2513/100-Settings!$C$7),ABS($X2513/100-Settings!$G$7)),1,0))))</f>
        <v/>
      </c>
      <c r="AC2513">
        <f>IF($Z2513=1,IFERROR(IF(VALUE($B2513)&lt;100000000,VALUE($B2513),1000000000),IFERROR(IF(VALUE(MID($B2513,2,20))&lt;100000000,VALUE(MID($B2513,2,20)),1000000000),1000000000))+ROW()/100000,"")</f>
        <v/>
      </c>
    </row>
    <row r="2514">
      <c r="A2514">
        <f>IF($B2514="","",IFERROR(IF(INDEX('Per Invoice'!$A$2:$A$801,MATCH($B2514,'Per Invoice'!$B$2:$B$801,0))=0,"",INDEX('Per Invoice'!$A$2:$A$801,MATCH($B2514,'Per Invoice'!$B$2:$B$801,0))),""))</f>
        <v/>
      </c>
      <c r="J2514" s="7">
        <f>IF($B2514="","",I2514*Q2514/100)</f>
        <v/>
      </c>
      <c r="N2514" s="7" t="n"/>
      <c r="O2514" s="7" t="n"/>
      <c r="P2514" s="7">
        <f>IF($B2514="","",O2514*X2514/100)</f>
        <v/>
      </c>
      <c r="Q2514" s="7">
        <f>IF($B2514="","",O2514-P2514)</f>
        <v/>
      </c>
      <c r="R2514" s="7">
        <f>IF($B2514="","",Q2514-J2514)</f>
        <v/>
      </c>
      <c r="S2514" s="7" t="n"/>
      <c r="T2514" s="7" t="n"/>
      <c r="V2514" s="14" t="n"/>
      <c r="Z2514">
        <f>IF($B2514="","",IF(COUNTIF($B$2:$B2514,$B2514)=1,1,0))</f>
        <v/>
      </c>
      <c r="AA2514">
        <f>IF($Z2514=1,SUMPRODUCT(--($AC$2:$AC$3001&lt;$AC2514))+1,"")</f>
        <v/>
      </c>
      <c r="AB2514">
        <f>IF($B2514="","",IF(OR($Y2514=TRUE(),$Y2514="TRUE"),1,IF(AND($Y2514&lt;&gt;"",OR($Y2514=FALSE(),$Y2514="FALSE")),0,IF(MIN(ABS($X2514/100-Settings!$C$6),ABS($X2514/100-Settings!$G$6))&lt;=MIN(ABS($X2514/100-Settings!$C$7),ABS($X2514/100-Settings!$G$7)),1,0))))</f>
        <v/>
      </c>
      <c r="AC2514">
        <f>IF($Z2514=1,IFERROR(IF(VALUE($B2514)&lt;100000000,VALUE($B2514),1000000000),IFERROR(IF(VALUE(MID($B2514,2,20))&lt;100000000,VALUE(MID($B2514,2,20)),1000000000),1000000000))+ROW()/100000,"")</f>
        <v/>
      </c>
    </row>
    <row r="2515">
      <c r="A2515">
        <f>IF($B2515="","",IFERROR(IF(INDEX('Per Invoice'!$A$2:$A$801,MATCH($B2515,'Per Invoice'!$B$2:$B$801,0))=0,"",INDEX('Per Invoice'!$A$2:$A$801,MATCH($B2515,'Per Invoice'!$B$2:$B$801,0))),""))</f>
        <v/>
      </c>
      <c r="J2515" s="7">
        <f>IF($B2515="","",I2515*Q2515/100)</f>
        <v/>
      </c>
      <c r="N2515" s="7" t="n"/>
      <c r="O2515" s="7" t="n"/>
      <c r="P2515" s="7">
        <f>IF($B2515="","",O2515*X2515/100)</f>
        <v/>
      </c>
      <c r="Q2515" s="7">
        <f>IF($B2515="","",O2515-P2515)</f>
        <v/>
      </c>
      <c r="R2515" s="7">
        <f>IF($B2515="","",Q2515-J2515)</f>
        <v/>
      </c>
      <c r="S2515" s="7" t="n"/>
      <c r="T2515" s="7" t="n"/>
      <c r="V2515" s="14" t="n"/>
      <c r="Z2515">
        <f>IF($B2515="","",IF(COUNTIF($B$2:$B2515,$B2515)=1,1,0))</f>
        <v/>
      </c>
      <c r="AA2515">
        <f>IF($Z2515=1,SUMPRODUCT(--($AC$2:$AC$3001&lt;$AC2515))+1,"")</f>
        <v/>
      </c>
      <c r="AB2515">
        <f>IF($B2515="","",IF(OR($Y2515=TRUE(),$Y2515="TRUE"),1,IF(AND($Y2515&lt;&gt;"",OR($Y2515=FALSE(),$Y2515="FALSE")),0,IF(MIN(ABS($X2515/100-Settings!$C$6),ABS($X2515/100-Settings!$G$6))&lt;=MIN(ABS($X2515/100-Settings!$C$7),ABS($X2515/100-Settings!$G$7)),1,0))))</f>
        <v/>
      </c>
      <c r="AC2515">
        <f>IF($Z2515=1,IFERROR(IF(VALUE($B2515)&lt;100000000,VALUE($B2515),1000000000),IFERROR(IF(VALUE(MID($B2515,2,20))&lt;100000000,VALUE(MID($B2515,2,20)),1000000000),1000000000))+ROW()/100000,"")</f>
        <v/>
      </c>
    </row>
    <row r="2516">
      <c r="A2516">
        <f>IF($B2516="","",IFERROR(IF(INDEX('Per Invoice'!$A$2:$A$801,MATCH($B2516,'Per Invoice'!$B$2:$B$801,0))=0,"",INDEX('Per Invoice'!$A$2:$A$801,MATCH($B2516,'Per Invoice'!$B$2:$B$801,0))),""))</f>
        <v/>
      </c>
      <c r="J2516" s="7">
        <f>IF($B2516="","",I2516*Q2516/100)</f>
        <v/>
      </c>
      <c r="N2516" s="7" t="n"/>
      <c r="O2516" s="7" t="n"/>
      <c r="P2516" s="7">
        <f>IF($B2516="","",O2516*X2516/100)</f>
        <v/>
      </c>
      <c r="Q2516" s="7">
        <f>IF($B2516="","",O2516-P2516)</f>
        <v/>
      </c>
      <c r="R2516" s="7">
        <f>IF($B2516="","",Q2516-J2516)</f>
        <v/>
      </c>
      <c r="S2516" s="7" t="n"/>
      <c r="T2516" s="7" t="n"/>
      <c r="V2516" s="14" t="n"/>
      <c r="Z2516">
        <f>IF($B2516="","",IF(COUNTIF($B$2:$B2516,$B2516)=1,1,0))</f>
        <v/>
      </c>
      <c r="AA2516">
        <f>IF($Z2516=1,SUMPRODUCT(--($AC$2:$AC$3001&lt;$AC2516))+1,"")</f>
        <v/>
      </c>
      <c r="AB2516">
        <f>IF($B2516="","",IF(OR($Y2516=TRUE(),$Y2516="TRUE"),1,IF(AND($Y2516&lt;&gt;"",OR($Y2516=FALSE(),$Y2516="FALSE")),0,IF(MIN(ABS($X2516/100-Settings!$C$6),ABS($X2516/100-Settings!$G$6))&lt;=MIN(ABS($X2516/100-Settings!$C$7),ABS($X2516/100-Settings!$G$7)),1,0))))</f>
        <v/>
      </c>
      <c r="AC2516">
        <f>IF($Z2516=1,IFERROR(IF(VALUE($B2516)&lt;100000000,VALUE($B2516),1000000000),IFERROR(IF(VALUE(MID($B2516,2,20))&lt;100000000,VALUE(MID($B2516,2,20)),1000000000),1000000000))+ROW()/100000,"")</f>
        <v/>
      </c>
    </row>
    <row r="2517">
      <c r="A2517">
        <f>IF($B2517="","",IFERROR(IF(INDEX('Per Invoice'!$A$2:$A$801,MATCH($B2517,'Per Invoice'!$B$2:$B$801,0))=0,"",INDEX('Per Invoice'!$A$2:$A$801,MATCH($B2517,'Per Invoice'!$B$2:$B$801,0))),""))</f>
        <v/>
      </c>
      <c r="J2517" s="7">
        <f>IF($B2517="","",I2517*Q2517/100)</f>
        <v/>
      </c>
      <c r="N2517" s="7" t="n"/>
      <c r="O2517" s="7" t="n"/>
      <c r="P2517" s="7">
        <f>IF($B2517="","",O2517*X2517/100)</f>
        <v/>
      </c>
      <c r="Q2517" s="7">
        <f>IF($B2517="","",O2517-P2517)</f>
        <v/>
      </c>
      <c r="R2517" s="7">
        <f>IF($B2517="","",Q2517-J2517)</f>
        <v/>
      </c>
      <c r="S2517" s="7" t="n"/>
      <c r="T2517" s="7" t="n"/>
      <c r="V2517" s="14" t="n"/>
      <c r="Z2517">
        <f>IF($B2517="","",IF(COUNTIF($B$2:$B2517,$B2517)=1,1,0))</f>
        <v/>
      </c>
      <c r="AA2517">
        <f>IF($Z2517=1,SUMPRODUCT(--($AC$2:$AC$3001&lt;$AC2517))+1,"")</f>
        <v/>
      </c>
      <c r="AB2517">
        <f>IF($B2517="","",IF(OR($Y2517=TRUE(),$Y2517="TRUE"),1,IF(AND($Y2517&lt;&gt;"",OR($Y2517=FALSE(),$Y2517="FALSE")),0,IF(MIN(ABS($X2517/100-Settings!$C$6),ABS($X2517/100-Settings!$G$6))&lt;=MIN(ABS($X2517/100-Settings!$C$7),ABS($X2517/100-Settings!$G$7)),1,0))))</f>
        <v/>
      </c>
      <c r="AC2517">
        <f>IF($Z2517=1,IFERROR(IF(VALUE($B2517)&lt;100000000,VALUE($B2517),1000000000),IFERROR(IF(VALUE(MID($B2517,2,20))&lt;100000000,VALUE(MID($B2517,2,20)),1000000000),1000000000))+ROW()/100000,"")</f>
        <v/>
      </c>
    </row>
    <row r="2518">
      <c r="A2518">
        <f>IF($B2518="","",IFERROR(IF(INDEX('Per Invoice'!$A$2:$A$801,MATCH($B2518,'Per Invoice'!$B$2:$B$801,0))=0,"",INDEX('Per Invoice'!$A$2:$A$801,MATCH($B2518,'Per Invoice'!$B$2:$B$801,0))),""))</f>
        <v/>
      </c>
      <c r="J2518" s="7">
        <f>IF($B2518="","",I2518*Q2518/100)</f>
        <v/>
      </c>
      <c r="N2518" s="7" t="n"/>
      <c r="O2518" s="7" t="n"/>
      <c r="P2518" s="7">
        <f>IF($B2518="","",O2518*X2518/100)</f>
        <v/>
      </c>
      <c r="Q2518" s="7">
        <f>IF($B2518="","",O2518-P2518)</f>
        <v/>
      </c>
      <c r="R2518" s="7">
        <f>IF($B2518="","",Q2518-J2518)</f>
        <v/>
      </c>
      <c r="S2518" s="7" t="n"/>
      <c r="T2518" s="7" t="n"/>
      <c r="V2518" s="14" t="n"/>
      <c r="Z2518">
        <f>IF($B2518="","",IF(COUNTIF($B$2:$B2518,$B2518)=1,1,0))</f>
        <v/>
      </c>
      <c r="AA2518">
        <f>IF($Z2518=1,SUMPRODUCT(--($AC$2:$AC$3001&lt;$AC2518))+1,"")</f>
        <v/>
      </c>
      <c r="AB2518">
        <f>IF($B2518="","",IF(OR($Y2518=TRUE(),$Y2518="TRUE"),1,IF(AND($Y2518&lt;&gt;"",OR($Y2518=FALSE(),$Y2518="FALSE")),0,IF(MIN(ABS($X2518/100-Settings!$C$6),ABS($X2518/100-Settings!$G$6))&lt;=MIN(ABS($X2518/100-Settings!$C$7),ABS($X2518/100-Settings!$G$7)),1,0))))</f>
        <v/>
      </c>
      <c r="AC2518">
        <f>IF($Z2518=1,IFERROR(IF(VALUE($B2518)&lt;100000000,VALUE($B2518),1000000000),IFERROR(IF(VALUE(MID($B2518,2,20))&lt;100000000,VALUE(MID($B2518,2,20)),1000000000),1000000000))+ROW()/100000,"")</f>
        <v/>
      </c>
    </row>
    <row r="2519">
      <c r="A2519">
        <f>IF($B2519="","",IFERROR(IF(INDEX('Per Invoice'!$A$2:$A$801,MATCH($B2519,'Per Invoice'!$B$2:$B$801,0))=0,"",INDEX('Per Invoice'!$A$2:$A$801,MATCH($B2519,'Per Invoice'!$B$2:$B$801,0))),""))</f>
        <v/>
      </c>
      <c r="J2519" s="7">
        <f>IF($B2519="","",I2519*Q2519/100)</f>
        <v/>
      </c>
      <c r="N2519" s="7" t="n"/>
      <c r="O2519" s="7" t="n"/>
      <c r="P2519" s="7">
        <f>IF($B2519="","",O2519*X2519/100)</f>
        <v/>
      </c>
      <c r="Q2519" s="7">
        <f>IF($B2519="","",O2519-P2519)</f>
        <v/>
      </c>
      <c r="R2519" s="7">
        <f>IF($B2519="","",Q2519-J2519)</f>
        <v/>
      </c>
      <c r="S2519" s="7" t="n"/>
      <c r="T2519" s="7" t="n"/>
      <c r="V2519" s="14" t="n"/>
      <c r="Z2519">
        <f>IF($B2519="","",IF(COUNTIF($B$2:$B2519,$B2519)=1,1,0))</f>
        <v/>
      </c>
      <c r="AA2519">
        <f>IF($Z2519=1,SUMPRODUCT(--($AC$2:$AC$3001&lt;$AC2519))+1,"")</f>
        <v/>
      </c>
      <c r="AB2519">
        <f>IF($B2519="","",IF(OR($Y2519=TRUE(),$Y2519="TRUE"),1,IF(AND($Y2519&lt;&gt;"",OR($Y2519=FALSE(),$Y2519="FALSE")),0,IF(MIN(ABS($X2519/100-Settings!$C$6),ABS($X2519/100-Settings!$G$6))&lt;=MIN(ABS($X2519/100-Settings!$C$7),ABS($X2519/100-Settings!$G$7)),1,0))))</f>
        <v/>
      </c>
      <c r="AC2519">
        <f>IF($Z2519=1,IFERROR(IF(VALUE($B2519)&lt;100000000,VALUE($B2519),1000000000),IFERROR(IF(VALUE(MID($B2519,2,20))&lt;100000000,VALUE(MID($B2519,2,20)),1000000000),1000000000))+ROW()/100000,"")</f>
        <v/>
      </c>
    </row>
    <row r="2520">
      <c r="A2520">
        <f>IF($B2520="","",IFERROR(IF(INDEX('Per Invoice'!$A$2:$A$801,MATCH($B2520,'Per Invoice'!$B$2:$B$801,0))=0,"",INDEX('Per Invoice'!$A$2:$A$801,MATCH($B2520,'Per Invoice'!$B$2:$B$801,0))),""))</f>
        <v/>
      </c>
      <c r="J2520" s="7">
        <f>IF($B2520="","",I2520*Q2520/100)</f>
        <v/>
      </c>
      <c r="N2520" s="7" t="n"/>
      <c r="O2520" s="7" t="n"/>
      <c r="P2520" s="7">
        <f>IF($B2520="","",O2520*X2520/100)</f>
        <v/>
      </c>
      <c r="Q2520" s="7">
        <f>IF($B2520="","",O2520-P2520)</f>
        <v/>
      </c>
      <c r="R2520" s="7">
        <f>IF($B2520="","",Q2520-J2520)</f>
        <v/>
      </c>
      <c r="S2520" s="7" t="n"/>
      <c r="T2520" s="7" t="n"/>
      <c r="V2520" s="14" t="n"/>
      <c r="Z2520">
        <f>IF($B2520="","",IF(COUNTIF($B$2:$B2520,$B2520)=1,1,0))</f>
        <v/>
      </c>
      <c r="AA2520">
        <f>IF($Z2520=1,SUMPRODUCT(--($AC$2:$AC$3001&lt;$AC2520))+1,"")</f>
        <v/>
      </c>
      <c r="AB2520">
        <f>IF($B2520="","",IF(OR($Y2520=TRUE(),$Y2520="TRUE"),1,IF(AND($Y2520&lt;&gt;"",OR($Y2520=FALSE(),$Y2520="FALSE")),0,IF(MIN(ABS($X2520/100-Settings!$C$6),ABS($X2520/100-Settings!$G$6))&lt;=MIN(ABS($X2520/100-Settings!$C$7),ABS($X2520/100-Settings!$G$7)),1,0))))</f>
        <v/>
      </c>
      <c r="AC2520">
        <f>IF($Z2520=1,IFERROR(IF(VALUE($B2520)&lt;100000000,VALUE($B2520),1000000000),IFERROR(IF(VALUE(MID($B2520,2,20))&lt;100000000,VALUE(MID($B2520,2,20)),1000000000),1000000000))+ROW()/100000,"")</f>
        <v/>
      </c>
    </row>
    <row r="2521">
      <c r="A2521">
        <f>IF($B2521="","",IFERROR(IF(INDEX('Per Invoice'!$A$2:$A$801,MATCH($B2521,'Per Invoice'!$B$2:$B$801,0))=0,"",INDEX('Per Invoice'!$A$2:$A$801,MATCH($B2521,'Per Invoice'!$B$2:$B$801,0))),""))</f>
        <v/>
      </c>
      <c r="J2521" s="7">
        <f>IF($B2521="","",I2521*Q2521/100)</f>
        <v/>
      </c>
      <c r="N2521" s="7" t="n"/>
      <c r="O2521" s="7" t="n"/>
      <c r="P2521" s="7">
        <f>IF($B2521="","",O2521*X2521/100)</f>
        <v/>
      </c>
      <c r="Q2521" s="7">
        <f>IF($B2521="","",O2521-P2521)</f>
        <v/>
      </c>
      <c r="R2521" s="7">
        <f>IF($B2521="","",Q2521-J2521)</f>
        <v/>
      </c>
      <c r="S2521" s="7" t="n"/>
      <c r="T2521" s="7" t="n"/>
      <c r="V2521" s="14" t="n"/>
      <c r="Z2521">
        <f>IF($B2521="","",IF(COUNTIF($B$2:$B2521,$B2521)=1,1,0))</f>
        <v/>
      </c>
      <c r="AA2521">
        <f>IF($Z2521=1,SUMPRODUCT(--($AC$2:$AC$3001&lt;$AC2521))+1,"")</f>
        <v/>
      </c>
      <c r="AB2521">
        <f>IF($B2521="","",IF(OR($Y2521=TRUE(),$Y2521="TRUE"),1,IF(AND($Y2521&lt;&gt;"",OR($Y2521=FALSE(),$Y2521="FALSE")),0,IF(MIN(ABS($X2521/100-Settings!$C$6),ABS($X2521/100-Settings!$G$6))&lt;=MIN(ABS($X2521/100-Settings!$C$7),ABS($X2521/100-Settings!$G$7)),1,0))))</f>
        <v/>
      </c>
      <c r="AC2521">
        <f>IF($Z2521=1,IFERROR(IF(VALUE($B2521)&lt;100000000,VALUE($B2521),1000000000),IFERROR(IF(VALUE(MID($B2521,2,20))&lt;100000000,VALUE(MID($B2521,2,20)),1000000000),1000000000))+ROW()/100000,"")</f>
        <v/>
      </c>
    </row>
    <row r="2522">
      <c r="A2522">
        <f>IF($B2522="","",IFERROR(IF(INDEX('Per Invoice'!$A$2:$A$801,MATCH($B2522,'Per Invoice'!$B$2:$B$801,0))=0,"",INDEX('Per Invoice'!$A$2:$A$801,MATCH($B2522,'Per Invoice'!$B$2:$B$801,0))),""))</f>
        <v/>
      </c>
      <c r="J2522" s="7">
        <f>IF($B2522="","",I2522*Q2522/100)</f>
        <v/>
      </c>
      <c r="N2522" s="7" t="n"/>
      <c r="O2522" s="7" t="n"/>
      <c r="P2522" s="7">
        <f>IF($B2522="","",O2522*X2522/100)</f>
        <v/>
      </c>
      <c r="Q2522" s="7">
        <f>IF($B2522="","",O2522-P2522)</f>
        <v/>
      </c>
      <c r="R2522" s="7">
        <f>IF($B2522="","",Q2522-J2522)</f>
        <v/>
      </c>
      <c r="S2522" s="7" t="n"/>
      <c r="T2522" s="7" t="n"/>
      <c r="V2522" s="14" t="n"/>
      <c r="Z2522">
        <f>IF($B2522="","",IF(COUNTIF($B$2:$B2522,$B2522)=1,1,0))</f>
        <v/>
      </c>
      <c r="AA2522">
        <f>IF($Z2522=1,SUMPRODUCT(--($AC$2:$AC$3001&lt;$AC2522))+1,"")</f>
        <v/>
      </c>
      <c r="AB2522">
        <f>IF($B2522="","",IF(OR($Y2522=TRUE(),$Y2522="TRUE"),1,IF(AND($Y2522&lt;&gt;"",OR($Y2522=FALSE(),$Y2522="FALSE")),0,IF(MIN(ABS($X2522/100-Settings!$C$6),ABS($X2522/100-Settings!$G$6))&lt;=MIN(ABS($X2522/100-Settings!$C$7),ABS($X2522/100-Settings!$G$7)),1,0))))</f>
        <v/>
      </c>
      <c r="AC2522">
        <f>IF($Z2522=1,IFERROR(IF(VALUE($B2522)&lt;100000000,VALUE($B2522),1000000000),IFERROR(IF(VALUE(MID($B2522,2,20))&lt;100000000,VALUE(MID($B2522,2,20)),1000000000),1000000000))+ROW()/100000,"")</f>
        <v/>
      </c>
    </row>
    <row r="2523">
      <c r="A2523">
        <f>IF($B2523="","",IFERROR(IF(INDEX('Per Invoice'!$A$2:$A$801,MATCH($B2523,'Per Invoice'!$B$2:$B$801,0))=0,"",INDEX('Per Invoice'!$A$2:$A$801,MATCH($B2523,'Per Invoice'!$B$2:$B$801,0))),""))</f>
        <v/>
      </c>
      <c r="J2523" s="7">
        <f>IF($B2523="","",I2523*Q2523/100)</f>
        <v/>
      </c>
      <c r="N2523" s="7" t="n"/>
      <c r="O2523" s="7" t="n"/>
      <c r="P2523" s="7">
        <f>IF($B2523="","",O2523*X2523/100)</f>
        <v/>
      </c>
      <c r="Q2523" s="7">
        <f>IF($B2523="","",O2523-P2523)</f>
        <v/>
      </c>
      <c r="R2523" s="7">
        <f>IF($B2523="","",Q2523-J2523)</f>
        <v/>
      </c>
      <c r="S2523" s="7" t="n"/>
      <c r="T2523" s="7" t="n"/>
      <c r="V2523" s="14" t="n"/>
      <c r="Z2523">
        <f>IF($B2523="","",IF(COUNTIF($B$2:$B2523,$B2523)=1,1,0))</f>
        <v/>
      </c>
      <c r="AA2523">
        <f>IF($Z2523=1,SUMPRODUCT(--($AC$2:$AC$3001&lt;$AC2523))+1,"")</f>
        <v/>
      </c>
      <c r="AB2523">
        <f>IF($B2523="","",IF(OR($Y2523=TRUE(),$Y2523="TRUE"),1,IF(AND($Y2523&lt;&gt;"",OR($Y2523=FALSE(),$Y2523="FALSE")),0,IF(MIN(ABS($X2523/100-Settings!$C$6),ABS($X2523/100-Settings!$G$6))&lt;=MIN(ABS($X2523/100-Settings!$C$7),ABS($X2523/100-Settings!$G$7)),1,0))))</f>
        <v/>
      </c>
      <c r="AC2523">
        <f>IF($Z2523=1,IFERROR(IF(VALUE($B2523)&lt;100000000,VALUE($B2523),1000000000),IFERROR(IF(VALUE(MID($B2523,2,20))&lt;100000000,VALUE(MID($B2523,2,20)),1000000000),1000000000))+ROW()/100000,"")</f>
        <v/>
      </c>
    </row>
    <row r="2524">
      <c r="A2524">
        <f>IF($B2524="","",IFERROR(IF(INDEX('Per Invoice'!$A$2:$A$801,MATCH($B2524,'Per Invoice'!$B$2:$B$801,0))=0,"",INDEX('Per Invoice'!$A$2:$A$801,MATCH($B2524,'Per Invoice'!$B$2:$B$801,0))),""))</f>
        <v/>
      </c>
      <c r="J2524" s="7">
        <f>IF($B2524="","",I2524*Q2524/100)</f>
        <v/>
      </c>
      <c r="N2524" s="7" t="n"/>
      <c r="O2524" s="7" t="n"/>
      <c r="P2524" s="7">
        <f>IF($B2524="","",O2524*X2524/100)</f>
        <v/>
      </c>
      <c r="Q2524" s="7">
        <f>IF($B2524="","",O2524-P2524)</f>
        <v/>
      </c>
      <c r="R2524" s="7">
        <f>IF($B2524="","",Q2524-J2524)</f>
        <v/>
      </c>
      <c r="S2524" s="7" t="n"/>
      <c r="T2524" s="7" t="n"/>
      <c r="V2524" s="14" t="n"/>
      <c r="Z2524">
        <f>IF($B2524="","",IF(COUNTIF($B$2:$B2524,$B2524)=1,1,0))</f>
        <v/>
      </c>
      <c r="AA2524">
        <f>IF($Z2524=1,SUMPRODUCT(--($AC$2:$AC$3001&lt;$AC2524))+1,"")</f>
        <v/>
      </c>
      <c r="AB2524">
        <f>IF($B2524="","",IF(OR($Y2524=TRUE(),$Y2524="TRUE"),1,IF(AND($Y2524&lt;&gt;"",OR($Y2524=FALSE(),$Y2524="FALSE")),0,IF(MIN(ABS($X2524/100-Settings!$C$6),ABS($X2524/100-Settings!$G$6))&lt;=MIN(ABS($X2524/100-Settings!$C$7),ABS($X2524/100-Settings!$G$7)),1,0))))</f>
        <v/>
      </c>
      <c r="AC2524">
        <f>IF($Z2524=1,IFERROR(IF(VALUE($B2524)&lt;100000000,VALUE($B2524),1000000000),IFERROR(IF(VALUE(MID($B2524,2,20))&lt;100000000,VALUE(MID($B2524,2,20)),1000000000),1000000000))+ROW()/100000,"")</f>
        <v/>
      </c>
    </row>
    <row r="2525">
      <c r="A2525">
        <f>IF($B2525="","",IFERROR(IF(INDEX('Per Invoice'!$A$2:$A$801,MATCH($B2525,'Per Invoice'!$B$2:$B$801,0))=0,"",INDEX('Per Invoice'!$A$2:$A$801,MATCH($B2525,'Per Invoice'!$B$2:$B$801,0))),""))</f>
        <v/>
      </c>
      <c r="J2525" s="7">
        <f>IF($B2525="","",I2525*Q2525/100)</f>
        <v/>
      </c>
      <c r="N2525" s="7" t="n"/>
      <c r="O2525" s="7" t="n"/>
      <c r="P2525" s="7">
        <f>IF($B2525="","",O2525*X2525/100)</f>
        <v/>
      </c>
      <c r="Q2525" s="7">
        <f>IF($B2525="","",O2525-P2525)</f>
        <v/>
      </c>
      <c r="R2525" s="7">
        <f>IF($B2525="","",Q2525-J2525)</f>
        <v/>
      </c>
      <c r="S2525" s="7" t="n"/>
      <c r="T2525" s="7" t="n"/>
      <c r="V2525" s="14" t="n"/>
      <c r="Z2525">
        <f>IF($B2525="","",IF(COUNTIF($B$2:$B2525,$B2525)=1,1,0))</f>
        <v/>
      </c>
      <c r="AA2525">
        <f>IF($Z2525=1,SUMPRODUCT(--($AC$2:$AC$3001&lt;$AC2525))+1,"")</f>
        <v/>
      </c>
      <c r="AB2525">
        <f>IF($B2525="","",IF(OR($Y2525=TRUE(),$Y2525="TRUE"),1,IF(AND($Y2525&lt;&gt;"",OR($Y2525=FALSE(),$Y2525="FALSE")),0,IF(MIN(ABS($X2525/100-Settings!$C$6),ABS($X2525/100-Settings!$G$6))&lt;=MIN(ABS($X2525/100-Settings!$C$7),ABS($X2525/100-Settings!$G$7)),1,0))))</f>
        <v/>
      </c>
      <c r="AC2525">
        <f>IF($Z2525=1,IFERROR(IF(VALUE($B2525)&lt;100000000,VALUE($B2525),1000000000),IFERROR(IF(VALUE(MID($B2525,2,20))&lt;100000000,VALUE(MID($B2525,2,20)),1000000000),1000000000))+ROW()/100000,"")</f>
        <v/>
      </c>
    </row>
    <row r="2526">
      <c r="A2526">
        <f>IF($B2526="","",IFERROR(IF(INDEX('Per Invoice'!$A$2:$A$801,MATCH($B2526,'Per Invoice'!$B$2:$B$801,0))=0,"",INDEX('Per Invoice'!$A$2:$A$801,MATCH($B2526,'Per Invoice'!$B$2:$B$801,0))),""))</f>
        <v/>
      </c>
      <c r="J2526" s="7">
        <f>IF($B2526="","",I2526*Q2526/100)</f>
        <v/>
      </c>
      <c r="N2526" s="7" t="n"/>
      <c r="O2526" s="7" t="n"/>
      <c r="P2526" s="7">
        <f>IF($B2526="","",O2526*X2526/100)</f>
        <v/>
      </c>
      <c r="Q2526" s="7">
        <f>IF($B2526="","",O2526-P2526)</f>
        <v/>
      </c>
      <c r="R2526" s="7">
        <f>IF($B2526="","",Q2526-J2526)</f>
        <v/>
      </c>
      <c r="S2526" s="7" t="n"/>
      <c r="T2526" s="7" t="n"/>
      <c r="V2526" s="14" t="n"/>
      <c r="Z2526">
        <f>IF($B2526="","",IF(COUNTIF($B$2:$B2526,$B2526)=1,1,0))</f>
        <v/>
      </c>
      <c r="AA2526">
        <f>IF($Z2526=1,SUMPRODUCT(--($AC$2:$AC$3001&lt;$AC2526))+1,"")</f>
        <v/>
      </c>
      <c r="AB2526">
        <f>IF($B2526="","",IF(OR($Y2526=TRUE(),$Y2526="TRUE"),1,IF(AND($Y2526&lt;&gt;"",OR($Y2526=FALSE(),$Y2526="FALSE")),0,IF(MIN(ABS($X2526/100-Settings!$C$6),ABS($X2526/100-Settings!$G$6))&lt;=MIN(ABS($X2526/100-Settings!$C$7),ABS($X2526/100-Settings!$G$7)),1,0))))</f>
        <v/>
      </c>
      <c r="AC2526">
        <f>IF($Z2526=1,IFERROR(IF(VALUE($B2526)&lt;100000000,VALUE($B2526),1000000000),IFERROR(IF(VALUE(MID($B2526,2,20))&lt;100000000,VALUE(MID($B2526,2,20)),1000000000),1000000000))+ROW()/100000,"")</f>
        <v/>
      </c>
    </row>
    <row r="2527">
      <c r="A2527">
        <f>IF($B2527="","",IFERROR(IF(INDEX('Per Invoice'!$A$2:$A$801,MATCH($B2527,'Per Invoice'!$B$2:$B$801,0))=0,"",INDEX('Per Invoice'!$A$2:$A$801,MATCH($B2527,'Per Invoice'!$B$2:$B$801,0))),""))</f>
        <v/>
      </c>
      <c r="J2527" s="7">
        <f>IF($B2527="","",I2527*Q2527/100)</f>
        <v/>
      </c>
      <c r="N2527" s="7" t="n"/>
      <c r="O2527" s="7" t="n"/>
      <c r="P2527" s="7">
        <f>IF($B2527="","",O2527*X2527/100)</f>
        <v/>
      </c>
      <c r="Q2527" s="7">
        <f>IF($B2527="","",O2527-P2527)</f>
        <v/>
      </c>
      <c r="R2527" s="7">
        <f>IF($B2527="","",Q2527-J2527)</f>
        <v/>
      </c>
      <c r="S2527" s="7" t="n"/>
      <c r="T2527" s="7" t="n"/>
      <c r="V2527" s="14" t="n"/>
      <c r="Z2527">
        <f>IF($B2527="","",IF(COUNTIF($B$2:$B2527,$B2527)=1,1,0))</f>
        <v/>
      </c>
      <c r="AA2527">
        <f>IF($Z2527=1,SUMPRODUCT(--($AC$2:$AC$3001&lt;$AC2527))+1,"")</f>
        <v/>
      </c>
      <c r="AB2527">
        <f>IF($B2527="","",IF(OR($Y2527=TRUE(),$Y2527="TRUE"),1,IF(AND($Y2527&lt;&gt;"",OR($Y2527=FALSE(),$Y2527="FALSE")),0,IF(MIN(ABS($X2527/100-Settings!$C$6),ABS($X2527/100-Settings!$G$6))&lt;=MIN(ABS($X2527/100-Settings!$C$7),ABS($X2527/100-Settings!$G$7)),1,0))))</f>
        <v/>
      </c>
      <c r="AC2527">
        <f>IF($Z2527=1,IFERROR(IF(VALUE($B2527)&lt;100000000,VALUE($B2527),1000000000),IFERROR(IF(VALUE(MID($B2527,2,20))&lt;100000000,VALUE(MID($B2527,2,20)),1000000000),1000000000))+ROW()/100000,"")</f>
        <v/>
      </c>
    </row>
    <row r="2528">
      <c r="A2528">
        <f>IF($B2528="","",IFERROR(IF(INDEX('Per Invoice'!$A$2:$A$801,MATCH($B2528,'Per Invoice'!$B$2:$B$801,0))=0,"",INDEX('Per Invoice'!$A$2:$A$801,MATCH($B2528,'Per Invoice'!$B$2:$B$801,0))),""))</f>
        <v/>
      </c>
      <c r="J2528" s="7">
        <f>IF($B2528="","",I2528*Q2528/100)</f>
        <v/>
      </c>
      <c r="N2528" s="7" t="n"/>
      <c r="O2528" s="7" t="n"/>
      <c r="P2528" s="7">
        <f>IF($B2528="","",O2528*X2528/100)</f>
        <v/>
      </c>
      <c r="Q2528" s="7">
        <f>IF($B2528="","",O2528-P2528)</f>
        <v/>
      </c>
      <c r="R2528" s="7">
        <f>IF($B2528="","",Q2528-J2528)</f>
        <v/>
      </c>
      <c r="S2528" s="7" t="n"/>
      <c r="T2528" s="7" t="n"/>
      <c r="V2528" s="14" t="n"/>
      <c r="Z2528">
        <f>IF($B2528="","",IF(COUNTIF($B$2:$B2528,$B2528)=1,1,0))</f>
        <v/>
      </c>
      <c r="AA2528">
        <f>IF($Z2528=1,SUMPRODUCT(--($AC$2:$AC$3001&lt;$AC2528))+1,"")</f>
        <v/>
      </c>
      <c r="AB2528">
        <f>IF($B2528="","",IF(OR($Y2528=TRUE(),$Y2528="TRUE"),1,IF(AND($Y2528&lt;&gt;"",OR($Y2528=FALSE(),$Y2528="FALSE")),0,IF(MIN(ABS($X2528/100-Settings!$C$6),ABS($X2528/100-Settings!$G$6))&lt;=MIN(ABS($X2528/100-Settings!$C$7),ABS($X2528/100-Settings!$G$7)),1,0))))</f>
        <v/>
      </c>
      <c r="AC2528">
        <f>IF($Z2528=1,IFERROR(IF(VALUE($B2528)&lt;100000000,VALUE($B2528),1000000000),IFERROR(IF(VALUE(MID($B2528,2,20))&lt;100000000,VALUE(MID($B2528,2,20)),1000000000),1000000000))+ROW()/100000,"")</f>
        <v/>
      </c>
    </row>
    <row r="2529">
      <c r="A2529">
        <f>IF($B2529="","",IFERROR(IF(INDEX('Per Invoice'!$A$2:$A$801,MATCH($B2529,'Per Invoice'!$B$2:$B$801,0))=0,"",INDEX('Per Invoice'!$A$2:$A$801,MATCH($B2529,'Per Invoice'!$B$2:$B$801,0))),""))</f>
        <v/>
      </c>
      <c r="J2529" s="7">
        <f>IF($B2529="","",I2529*Q2529/100)</f>
        <v/>
      </c>
      <c r="N2529" s="7" t="n"/>
      <c r="O2529" s="7" t="n"/>
      <c r="P2529" s="7">
        <f>IF($B2529="","",O2529*X2529/100)</f>
        <v/>
      </c>
      <c r="Q2529" s="7">
        <f>IF($B2529="","",O2529-P2529)</f>
        <v/>
      </c>
      <c r="R2529" s="7">
        <f>IF($B2529="","",Q2529-J2529)</f>
        <v/>
      </c>
      <c r="S2529" s="7" t="n"/>
      <c r="T2529" s="7" t="n"/>
      <c r="V2529" s="14" t="n"/>
      <c r="Z2529">
        <f>IF($B2529="","",IF(COUNTIF($B$2:$B2529,$B2529)=1,1,0))</f>
        <v/>
      </c>
      <c r="AA2529">
        <f>IF($Z2529=1,SUMPRODUCT(--($AC$2:$AC$3001&lt;$AC2529))+1,"")</f>
        <v/>
      </c>
      <c r="AB2529">
        <f>IF($B2529="","",IF(OR($Y2529=TRUE(),$Y2529="TRUE"),1,IF(AND($Y2529&lt;&gt;"",OR($Y2529=FALSE(),$Y2529="FALSE")),0,IF(MIN(ABS($X2529/100-Settings!$C$6),ABS($X2529/100-Settings!$G$6))&lt;=MIN(ABS($X2529/100-Settings!$C$7),ABS($X2529/100-Settings!$G$7)),1,0))))</f>
        <v/>
      </c>
      <c r="AC2529">
        <f>IF($Z2529=1,IFERROR(IF(VALUE($B2529)&lt;100000000,VALUE($B2529),1000000000),IFERROR(IF(VALUE(MID($B2529,2,20))&lt;100000000,VALUE(MID($B2529,2,20)),1000000000),1000000000))+ROW()/100000,"")</f>
        <v/>
      </c>
    </row>
    <row r="2530">
      <c r="A2530">
        <f>IF($B2530="","",IFERROR(IF(INDEX('Per Invoice'!$A$2:$A$801,MATCH($B2530,'Per Invoice'!$B$2:$B$801,0))=0,"",INDEX('Per Invoice'!$A$2:$A$801,MATCH($B2530,'Per Invoice'!$B$2:$B$801,0))),""))</f>
        <v/>
      </c>
      <c r="J2530" s="7">
        <f>IF($B2530="","",I2530*Q2530/100)</f>
        <v/>
      </c>
      <c r="N2530" s="7" t="n"/>
      <c r="O2530" s="7" t="n"/>
      <c r="P2530" s="7">
        <f>IF($B2530="","",O2530*X2530/100)</f>
        <v/>
      </c>
      <c r="Q2530" s="7">
        <f>IF($B2530="","",O2530-P2530)</f>
        <v/>
      </c>
      <c r="R2530" s="7">
        <f>IF($B2530="","",Q2530-J2530)</f>
        <v/>
      </c>
      <c r="S2530" s="7" t="n"/>
      <c r="T2530" s="7" t="n"/>
      <c r="V2530" s="14" t="n"/>
      <c r="Z2530">
        <f>IF($B2530="","",IF(COUNTIF($B$2:$B2530,$B2530)=1,1,0))</f>
        <v/>
      </c>
      <c r="AA2530">
        <f>IF($Z2530=1,SUMPRODUCT(--($AC$2:$AC$3001&lt;$AC2530))+1,"")</f>
        <v/>
      </c>
      <c r="AB2530">
        <f>IF($B2530="","",IF(OR($Y2530=TRUE(),$Y2530="TRUE"),1,IF(AND($Y2530&lt;&gt;"",OR($Y2530=FALSE(),$Y2530="FALSE")),0,IF(MIN(ABS($X2530/100-Settings!$C$6),ABS($X2530/100-Settings!$G$6))&lt;=MIN(ABS($X2530/100-Settings!$C$7),ABS($X2530/100-Settings!$G$7)),1,0))))</f>
        <v/>
      </c>
      <c r="AC2530">
        <f>IF($Z2530=1,IFERROR(IF(VALUE($B2530)&lt;100000000,VALUE($B2530),1000000000),IFERROR(IF(VALUE(MID($B2530,2,20))&lt;100000000,VALUE(MID($B2530,2,20)),1000000000),1000000000))+ROW()/100000,"")</f>
        <v/>
      </c>
    </row>
    <row r="2531">
      <c r="A2531">
        <f>IF($B2531="","",IFERROR(IF(INDEX('Per Invoice'!$A$2:$A$801,MATCH($B2531,'Per Invoice'!$B$2:$B$801,0))=0,"",INDEX('Per Invoice'!$A$2:$A$801,MATCH($B2531,'Per Invoice'!$B$2:$B$801,0))),""))</f>
        <v/>
      </c>
      <c r="J2531" s="7">
        <f>IF($B2531="","",I2531*Q2531/100)</f>
        <v/>
      </c>
      <c r="N2531" s="7" t="n"/>
      <c r="O2531" s="7" t="n"/>
      <c r="P2531" s="7">
        <f>IF($B2531="","",O2531*X2531/100)</f>
        <v/>
      </c>
      <c r="Q2531" s="7">
        <f>IF($B2531="","",O2531-P2531)</f>
        <v/>
      </c>
      <c r="R2531" s="7">
        <f>IF($B2531="","",Q2531-J2531)</f>
        <v/>
      </c>
      <c r="S2531" s="7" t="n"/>
      <c r="T2531" s="7" t="n"/>
      <c r="V2531" s="14" t="n"/>
      <c r="Z2531">
        <f>IF($B2531="","",IF(COUNTIF($B$2:$B2531,$B2531)=1,1,0))</f>
        <v/>
      </c>
      <c r="AA2531">
        <f>IF($Z2531=1,SUMPRODUCT(--($AC$2:$AC$3001&lt;$AC2531))+1,"")</f>
        <v/>
      </c>
      <c r="AB2531">
        <f>IF($B2531="","",IF(OR($Y2531=TRUE(),$Y2531="TRUE"),1,IF(AND($Y2531&lt;&gt;"",OR($Y2531=FALSE(),$Y2531="FALSE")),0,IF(MIN(ABS($X2531/100-Settings!$C$6),ABS($X2531/100-Settings!$G$6))&lt;=MIN(ABS($X2531/100-Settings!$C$7),ABS($X2531/100-Settings!$G$7)),1,0))))</f>
        <v/>
      </c>
      <c r="AC2531">
        <f>IF($Z2531=1,IFERROR(IF(VALUE($B2531)&lt;100000000,VALUE($B2531),1000000000),IFERROR(IF(VALUE(MID($B2531,2,20))&lt;100000000,VALUE(MID($B2531,2,20)),1000000000),1000000000))+ROW()/100000,"")</f>
        <v/>
      </c>
    </row>
    <row r="2532">
      <c r="A2532">
        <f>IF($B2532="","",IFERROR(IF(INDEX('Per Invoice'!$A$2:$A$801,MATCH($B2532,'Per Invoice'!$B$2:$B$801,0))=0,"",INDEX('Per Invoice'!$A$2:$A$801,MATCH($B2532,'Per Invoice'!$B$2:$B$801,0))),""))</f>
        <v/>
      </c>
      <c r="J2532" s="7">
        <f>IF($B2532="","",I2532*Q2532/100)</f>
        <v/>
      </c>
      <c r="N2532" s="7" t="n"/>
      <c r="O2532" s="7" t="n"/>
      <c r="P2532" s="7">
        <f>IF($B2532="","",O2532*X2532/100)</f>
        <v/>
      </c>
      <c r="Q2532" s="7">
        <f>IF($B2532="","",O2532-P2532)</f>
        <v/>
      </c>
      <c r="R2532" s="7">
        <f>IF($B2532="","",Q2532-J2532)</f>
        <v/>
      </c>
      <c r="S2532" s="7" t="n"/>
      <c r="T2532" s="7" t="n"/>
      <c r="V2532" s="14" t="n"/>
      <c r="Z2532">
        <f>IF($B2532="","",IF(COUNTIF($B$2:$B2532,$B2532)=1,1,0))</f>
        <v/>
      </c>
      <c r="AA2532">
        <f>IF($Z2532=1,SUMPRODUCT(--($AC$2:$AC$3001&lt;$AC2532))+1,"")</f>
        <v/>
      </c>
      <c r="AB2532">
        <f>IF($B2532="","",IF(OR($Y2532=TRUE(),$Y2532="TRUE"),1,IF(AND($Y2532&lt;&gt;"",OR($Y2532=FALSE(),$Y2532="FALSE")),0,IF(MIN(ABS($X2532/100-Settings!$C$6),ABS($X2532/100-Settings!$G$6))&lt;=MIN(ABS($X2532/100-Settings!$C$7),ABS($X2532/100-Settings!$G$7)),1,0))))</f>
        <v/>
      </c>
      <c r="AC2532">
        <f>IF($Z2532=1,IFERROR(IF(VALUE($B2532)&lt;100000000,VALUE($B2532),1000000000),IFERROR(IF(VALUE(MID($B2532,2,20))&lt;100000000,VALUE(MID($B2532,2,20)),1000000000),1000000000))+ROW()/100000,"")</f>
        <v/>
      </c>
    </row>
    <row r="2533">
      <c r="A2533">
        <f>IF($B2533="","",IFERROR(IF(INDEX('Per Invoice'!$A$2:$A$801,MATCH($B2533,'Per Invoice'!$B$2:$B$801,0))=0,"",INDEX('Per Invoice'!$A$2:$A$801,MATCH($B2533,'Per Invoice'!$B$2:$B$801,0))),""))</f>
        <v/>
      </c>
      <c r="J2533" s="7">
        <f>IF($B2533="","",I2533*Q2533/100)</f>
        <v/>
      </c>
      <c r="N2533" s="7" t="n"/>
      <c r="O2533" s="7" t="n"/>
      <c r="P2533" s="7">
        <f>IF($B2533="","",O2533*X2533/100)</f>
        <v/>
      </c>
      <c r="Q2533" s="7">
        <f>IF($B2533="","",O2533-P2533)</f>
        <v/>
      </c>
      <c r="R2533" s="7">
        <f>IF($B2533="","",Q2533-J2533)</f>
        <v/>
      </c>
      <c r="S2533" s="7" t="n"/>
      <c r="T2533" s="7" t="n"/>
      <c r="V2533" s="14" t="n"/>
      <c r="Z2533">
        <f>IF($B2533="","",IF(COUNTIF($B$2:$B2533,$B2533)=1,1,0))</f>
        <v/>
      </c>
      <c r="AA2533">
        <f>IF($Z2533=1,SUMPRODUCT(--($AC$2:$AC$3001&lt;$AC2533))+1,"")</f>
        <v/>
      </c>
      <c r="AB2533">
        <f>IF($B2533="","",IF(OR($Y2533=TRUE(),$Y2533="TRUE"),1,IF(AND($Y2533&lt;&gt;"",OR($Y2533=FALSE(),$Y2533="FALSE")),0,IF(MIN(ABS($X2533/100-Settings!$C$6),ABS($X2533/100-Settings!$G$6))&lt;=MIN(ABS($X2533/100-Settings!$C$7),ABS($X2533/100-Settings!$G$7)),1,0))))</f>
        <v/>
      </c>
      <c r="AC2533">
        <f>IF($Z2533=1,IFERROR(IF(VALUE($B2533)&lt;100000000,VALUE($B2533),1000000000),IFERROR(IF(VALUE(MID($B2533,2,20))&lt;100000000,VALUE(MID($B2533,2,20)),1000000000),1000000000))+ROW()/100000,"")</f>
        <v/>
      </c>
    </row>
    <row r="2534">
      <c r="A2534">
        <f>IF($B2534="","",IFERROR(IF(INDEX('Per Invoice'!$A$2:$A$801,MATCH($B2534,'Per Invoice'!$B$2:$B$801,0))=0,"",INDEX('Per Invoice'!$A$2:$A$801,MATCH($B2534,'Per Invoice'!$B$2:$B$801,0))),""))</f>
        <v/>
      </c>
      <c r="J2534" s="7">
        <f>IF($B2534="","",I2534*Q2534/100)</f>
        <v/>
      </c>
      <c r="N2534" s="7" t="n"/>
      <c r="O2534" s="7" t="n"/>
      <c r="P2534" s="7">
        <f>IF($B2534="","",O2534*X2534/100)</f>
        <v/>
      </c>
      <c r="Q2534" s="7">
        <f>IF($B2534="","",O2534-P2534)</f>
        <v/>
      </c>
      <c r="R2534" s="7">
        <f>IF($B2534="","",Q2534-J2534)</f>
        <v/>
      </c>
      <c r="S2534" s="7" t="n"/>
      <c r="T2534" s="7" t="n"/>
      <c r="V2534" s="14" t="n"/>
      <c r="Z2534">
        <f>IF($B2534="","",IF(COUNTIF($B$2:$B2534,$B2534)=1,1,0))</f>
        <v/>
      </c>
      <c r="AA2534">
        <f>IF($Z2534=1,SUMPRODUCT(--($AC$2:$AC$3001&lt;$AC2534))+1,"")</f>
        <v/>
      </c>
      <c r="AB2534">
        <f>IF($B2534="","",IF(OR($Y2534=TRUE(),$Y2534="TRUE"),1,IF(AND($Y2534&lt;&gt;"",OR($Y2534=FALSE(),$Y2534="FALSE")),0,IF(MIN(ABS($X2534/100-Settings!$C$6),ABS($X2534/100-Settings!$G$6))&lt;=MIN(ABS($X2534/100-Settings!$C$7),ABS($X2534/100-Settings!$G$7)),1,0))))</f>
        <v/>
      </c>
      <c r="AC2534">
        <f>IF($Z2534=1,IFERROR(IF(VALUE($B2534)&lt;100000000,VALUE($B2534),1000000000),IFERROR(IF(VALUE(MID($B2534,2,20))&lt;100000000,VALUE(MID($B2534,2,20)),1000000000),1000000000))+ROW()/100000,"")</f>
        <v/>
      </c>
    </row>
    <row r="2535">
      <c r="A2535">
        <f>IF($B2535="","",IFERROR(IF(INDEX('Per Invoice'!$A$2:$A$801,MATCH($B2535,'Per Invoice'!$B$2:$B$801,0))=0,"",INDEX('Per Invoice'!$A$2:$A$801,MATCH($B2535,'Per Invoice'!$B$2:$B$801,0))),""))</f>
        <v/>
      </c>
      <c r="J2535" s="7">
        <f>IF($B2535="","",I2535*Q2535/100)</f>
        <v/>
      </c>
      <c r="N2535" s="7" t="n"/>
      <c r="O2535" s="7" t="n"/>
      <c r="P2535" s="7">
        <f>IF($B2535="","",O2535*X2535/100)</f>
        <v/>
      </c>
      <c r="Q2535" s="7">
        <f>IF($B2535="","",O2535-P2535)</f>
        <v/>
      </c>
      <c r="R2535" s="7">
        <f>IF($B2535="","",Q2535-J2535)</f>
        <v/>
      </c>
      <c r="S2535" s="7" t="n"/>
      <c r="T2535" s="7" t="n"/>
      <c r="V2535" s="14" t="n"/>
      <c r="Z2535">
        <f>IF($B2535="","",IF(COUNTIF($B$2:$B2535,$B2535)=1,1,0))</f>
        <v/>
      </c>
      <c r="AA2535">
        <f>IF($Z2535=1,SUMPRODUCT(--($AC$2:$AC$3001&lt;$AC2535))+1,"")</f>
        <v/>
      </c>
      <c r="AB2535">
        <f>IF($B2535="","",IF(OR($Y2535=TRUE(),$Y2535="TRUE"),1,IF(AND($Y2535&lt;&gt;"",OR($Y2535=FALSE(),$Y2535="FALSE")),0,IF(MIN(ABS($X2535/100-Settings!$C$6),ABS($X2535/100-Settings!$G$6))&lt;=MIN(ABS($X2535/100-Settings!$C$7),ABS($X2535/100-Settings!$G$7)),1,0))))</f>
        <v/>
      </c>
      <c r="AC2535">
        <f>IF($Z2535=1,IFERROR(IF(VALUE($B2535)&lt;100000000,VALUE($B2535),1000000000),IFERROR(IF(VALUE(MID($B2535,2,20))&lt;100000000,VALUE(MID($B2535,2,20)),1000000000),1000000000))+ROW()/100000,"")</f>
        <v/>
      </c>
    </row>
    <row r="2536">
      <c r="A2536">
        <f>IF($B2536="","",IFERROR(IF(INDEX('Per Invoice'!$A$2:$A$801,MATCH($B2536,'Per Invoice'!$B$2:$B$801,0))=0,"",INDEX('Per Invoice'!$A$2:$A$801,MATCH($B2536,'Per Invoice'!$B$2:$B$801,0))),""))</f>
        <v/>
      </c>
      <c r="J2536" s="7">
        <f>IF($B2536="","",I2536*Q2536/100)</f>
        <v/>
      </c>
      <c r="N2536" s="7" t="n"/>
      <c r="O2536" s="7" t="n"/>
      <c r="P2536" s="7">
        <f>IF($B2536="","",O2536*X2536/100)</f>
        <v/>
      </c>
      <c r="Q2536" s="7">
        <f>IF($B2536="","",O2536-P2536)</f>
        <v/>
      </c>
      <c r="R2536" s="7">
        <f>IF($B2536="","",Q2536-J2536)</f>
        <v/>
      </c>
      <c r="S2536" s="7" t="n"/>
      <c r="T2536" s="7" t="n"/>
      <c r="V2536" s="14" t="n"/>
      <c r="Z2536">
        <f>IF($B2536="","",IF(COUNTIF($B$2:$B2536,$B2536)=1,1,0))</f>
        <v/>
      </c>
      <c r="AA2536">
        <f>IF($Z2536=1,SUMPRODUCT(--($AC$2:$AC$3001&lt;$AC2536))+1,"")</f>
        <v/>
      </c>
      <c r="AB2536">
        <f>IF($B2536="","",IF(OR($Y2536=TRUE(),$Y2536="TRUE"),1,IF(AND($Y2536&lt;&gt;"",OR($Y2536=FALSE(),$Y2536="FALSE")),0,IF(MIN(ABS($X2536/100-Settings!$C$6),ABS($X2536/100-Settings!$G$6))&lt;=MIN(ABS($X2536/100-Settings!$C$7),ABS($X2536/100-Settings!$G$7)),1,0))))</f>
        <v/>
      </c>
      <c r="AC2536">
        <f>IF($Z2536=1,IFERROR(IF(VALUE($B2536)&lt;100000000,VALUE($B2536),1000000000),IFERROR(IF(VALUE(MID($B2536,2,20))&lt;100000000,VALUE(MID($B2536,2,20)),1000000000),1000000000))+ROW()/100000,"")</f>
        <v/>
      </c>
    </row>
    <row r="2537">
      <c r="A2537">
        <f>IF($B2537="","",IFERROR(IF(INDEX('Per Invoice'!$A$2:$A$801,MATCH($B2537,'Per Invoice'!$B$2:$B$801,0))=0,"",INDEX('Per Invoice'!$A$2:$A$801,MATCH($B2537,'Per Invoice'!$B$2:$B$801,0))),""))</f>
        <v/>
      </c>
      <c r="J2537" s="7">
        <f>IF($B2537="","",I2537*Q2537/100)</f>
        <v/>
      </c>
      <c r="N2537" s="7" t="n"/>
      <c r="O2537" s="7" t="n"/>
      <c r="P2537" s="7">
        <f>IF($B2537="","",O2537*X2537/100)</f>
        <v/>
      </c>
      <c r="Q2537" s="7">
        <f>IF($B2537="","",O2537-P2537)</f>
        <v/>
      </c>
      <c r="R2537" s="7">
        <f>IF($B2537="","",Q2537-J2537)</f>
        <v/>
      </c>
      <c r="S2537" s="7" t="n"/>
      <c r="T2537" s="7" t="n"/>
      <c r="V2537" s="14" t="n"/>
      <c r="Z2537">
        <f>IF($B2537="","",IF(COUNTIF($B$2:$B2537,$B2537)=1,1,0))</f>
        <v/>
      </c>
      <c r="AA2537">
        <f>IF($Z2537=1,SUMPRODUCT(--($AC$2:$AC$3001&lt;$AC2537))+1,"")</f>
        <v/>
      </c>
      <c r="AB2537">
        <f>IF($B2537="","",IF(OR($Y2537=TRUE(),$Y2537="TRUE"),1,IF(AND($Y2537&lt;&gt;"",OR($Y2537=FALSE(),$Y2537="FALSE")),0,IF(MIN(ABS($X2537/100-Settings!$C$6),ABS($X2537/100-Settings!$G$6))&lt;=MIN(ABS($X2537/100-Settings!$C$7),ABS($X2537/100-Settings!$G$7)),1,0))))</f>
        <v/>
      </c>
      <c r="AC2537">
        <f>IF($Z2537=1,IFERROR(IF(VALUE($B2537)&lt;100000000,VALUE($B2537),1000000000),IFERROR(IF(VALUE(MID($B2537,2,20))&lt;100000000,VALUE(MID($B2537,2,20)),1000000000),1000000000))+ROW()/100000,"")</f>
        <v/>
      </c>
    </row>
    <row r="2538">
      <c r="A2538">
        <f>IF($B2538="","",IFERROR(IF(INDEX('Per Invoice'!$A$2:$A$801,MATCH($B2538,'Per Invoice'!$B$2:$B$801,0))=0,"",INDEX('Per Invoice'!$A$2:$A$801,MATCH($B2538,'Per Invoice'!$B$2:$B$801,0))),""))</f>
        <v/>
      </c>
      <c r="J2538" s="7">
        <f>IF($B2538="","",I2538*Q2538/100)</f>
        <v/>
      </c>
      <c r="N2538" s="7" t="n"/>
      <c r="O2538" s="7" t="n"/>
      <c r="P2538" s="7">
        <f>IF($B2538="","",O2538*X2538/100)</f>
        <v/>
      </c>
      <c r="Q2538" s="7">
        <f>IF($B2538="","",O2538-P2538)</f>
        <v/>
      </c>
      <c r="R2538" s="7">
        <f>IF($B2538="","",Q2538-J2538)</f>
        <v/>
      </c>
      <c r="S2538" s="7" t="n"/>
      <c r="T2538" s="7" t="n"/>
      <c r="V2538" s="14" t="n"/>
      <c r="Z2538">
        <f>IF($B2538="","",IF(COUNTIF($B$2:$B2538,$B2538)=1,1,0))</f>
        <v/>
      </c>
      <c r="AA2538">
        <f>IF($Z2538=1,SUMPRODUCT(--($AC$2:$AC$3001&lt;$AC2538))+1,"")</f>
        <v/>
      </c>
      <c r="AB2538">
        <f>IF($B2538="","",IF(OR($Y2538=TRUE(),$Y2538="TRUE"),1,IF(AND($Y2538&lt;&gt;"",OR($Y2538=FALSE(),$Y2538="FALSE")),0,IF(MIN(ABS($X2538/100-Settings!$C$6),ABS($X2538/100-Settings!$G$6))&lt;=MIN(ABS($X2538/100-Settings!$C$7),ABS($X2538/100-Settings!$G$7)),1,0))))</f>
        <v/>
      </c>
      <c r="AC2538">
        <f>IF($Z2538=1,IFERROR(IF(VALUE($B2538)&lt;100000000,VALUE($B2538),1000000000),IFERROR(IF(VALUE(MID($B2538,2,20))&lt;100000000,VALUE(MID($B2538,2,20)),1000000000),1000000000))+ROW()/100000,"")</f>
        <v/>
      </c>
    </row>
    <row r="2539">
      <c r="A2539">
        <f>IF($B2539="","",IFERROR(IF(INDEX('Per Invoice'!$A$2:$A$801,MATCH($B2539,'Per Invoice'!$B$2:$B$801,0))=0,"",INDEX('Per Invoice'!$A$2:$A$801,MATCH($B2539,'Per Invoice'!$B$2:$B$801,0))),""))</f>
        <v/>
      </c>
      <c r="J2539" s="7">
        <f>IF($B2539="","",I2539*Q2539/100)</f>
        <v/>
      </c>
      <c r="N2539" s="7" t="n"/>
      <c r="O2539" s="7" t="n"/>
      <c r="P2539" s="7">
        <f>IF($B2539="","",O2539*X2539/100)</f>
        <v/>
      </c>
      <c r="Q2539" s="7">
        <f>IF($B2539="","",O2539-P2539)</f>
        <v/>
      </c>
      <c r="R2539" s="7">
        <f>IF($B2539="","",Q2539-J2539)</f>
        <v/>
      </c>
      <c r="S2539" s="7" t="n"/>
      <c r="T2539" s="7" t="n"/>
      <c r="V2539" s="14" t="n"/>
      <c r="Z2539">
        <f>IF($B2539="","",IF(COUNTIF($B$2:$B2539,$B2539)=1,1,0))</f>
        <v/>
      </c>
      <c r="AA2539">
        <f>IF($Z2539=1,SUMPRODUCT(--($AC$2:$AC$3001&lt;$AC2539))+1,"")</f>
        <v/>
      </c>
      <c r="AB2539">
        <f>IF($B2539="","",IF(OR($Y2539=TRUE(),$Y2539="TRUE"),1,IF(AND($Y2539&lt;&gt;"",OR($Y2539=FALSE(),$Y2539="FALSE")),0,IF(MIN(ABS($X2539/100-Settings!$C$6),ABS($X2539/100-Settings!$G$6))&lt;=MIN(ABS($X2539/100-Settings!$C$7),ABS($X2539/100-Settings!$G$7)),1,0))))</f>
        <v/>
      </c>
      <c r="AC2539">
        <f>IF($Z2539=1,IFERROR(IF(VALUE($B2539)&lt;100000000,VALUE($B2539),1000000000),IFERROR(IF(VALUE(MID($B2539,2,20))&lt;100000000,VALUE(MID($B2539,2,20)),1000000000),1000000000))+ROW()/100000,"")</f>
        <v/>
      </c>
    </row>
    <row r="2540">
      <c r="A2540">
        <f>IF($B2540="","",IFERROR(IF(INDEX('Per Invoice'!$A$2:$A$801,MATCH($B2540,'Per Invoice'!$B$2:$B$801,0))=0,"",INDEX('Per Invoice'!$A$2:$A$801,MATCH($B2540,'Per Invoice'!$B$2:$B$801,0))),""))</f>
        <v/>
      </c>
      <c r="J2540" s="7">
        <f>IF($B2540="","",I2540*Q2540/100)</f>
        <v/>
      </c>
      <c r="N2540" s="7" t="n"/>
      <c r="O2540" s="7" t="n"/>
      <c r="P2540" s="7">
        <f>IF($B2540="","",O2540*X2540/100)</f>
        <v/>
      </c>
      <c r="Q2540" s="7">
        <f>IF($B2540="","",O2540-P2540)</f>
        <v/>
      </c>
      <c r="R2540" s="7">
        <f>IF($B2540="","",Q2540-J2540)</f>
        <v/>
      </c>
      <c r="S2540" s="7" t="n"/>
      <c r="T2540" s="7" t="n"/>
      <c r="V2540" s="14" t="n"/>
      <c r="Z2540">
        <f>IF($B2540="","",IF(COUNTIF($B$2:$B2540,$B2540)=1,1,0))</f>
        <v/>
      </c>
      <c r="AA2540">
        <f>IF($Z2540=1,SUMPRODUCT(--($AC$2:$AC$3001&lt;$AC2540))+1,"")</f>
        <v/>
      </c>
      <c r="AB2540">
        <f>IF($B2540="","",IF(OR($Y2540=TRUE(),$Y2540="TRUE"),1,IF(AND($Y2540&lt;&gt;"",OR($Y2540=FALSE(),$Y2540="FALSE")),0,IF(MIN(ABS($X2540/100-Settings!$C$6),ABS($X2540/100-Settings!$G$6))&lt;=MIN(ABS($X2540/100-Settings!$C$7),ABS($X2540/100-Settings!$G$7)),1,0))))</f>
        <v/>
      </c>
      <c r="AC2540">
        <f>IF($Z2540=1,IFERROR(IF(VALUE($B2540)&lt;100000000,VALUE($B2540),1000000000),IFERROR(IF(VALUE(MID($B2540,2,20))&lt;100000000,VALUE(MID($B2540,2,20)),1000000000),1000000000))+ROW()/100000,"")</f>
        <v/>
      </c>
    </row>
    <row r="2541">
      <c r="A2541">
        <f>IF($B2541="","",IFERROR(IF(INDEX('Per Invoice'!$A$2:$A$801,MATCH($B2541,'Per Invoice'!$B$2:$B$801,0))=0,"",INDEX('Per Invoice'!$A$2:$A$801,MATCH($B2541,'Per Invoice'!$B$2:$B$801,0))),""))</f>
        <v/>
      </c>
      <c r="J2541" s="7">
        <f>IF($B2541="","",I2541*Q2541/100)</f>
        <v/>
      </c>
      <c r="N2541" s="7" t="n"/>
      <c r="O2541" s="7" t="n"/>
      <c r="P2541" s="7">
        <f>IF($B2541="","",O2541*X2541/100)</f>
        <v/>
      </c>
      <c r="Q2541" s="7">
        <f>IF($B2541="","",O2541-P2541)</f>
        <v/>
      </c>
      <c r="R2541" s="7">
        <f>IF($B2541="","",Q2541-J2541)</f>
        <v/>
      </c>
      <c r="S2541" s="7" t="n"/>
      <c r="T2541" s="7" t="n"/>
      <c r="V2541" s="14" t="n"/>
      <c r="Z2541">
        <f>IF($B2541="","",IF(COUNTIF($B$2:$B2541,$B2541)=1,1,0))</f>
        <v/>
      </c>
      <c r="AA2541">
        <f>IF($Z2541=1,SUMPRODUCT(--($AC$2:$AC$3001&lt;$AC2541))+1,"")</f>
        <v/>
      </c>
      <c r="AB2541">
        <f>IF($B2541="","",IF(OR($Y2541=TRUE(),$Y2541="TRUE"),1,IF(AND($Y2541&lt;&gt;"",OR($Y2541=FALSE(),$Y2541="FALSE")),0,IF(MIN(ABS($X2541/100-Settings!$C$6),ABS($X2541/100-Settings!$G$6))&lt;=MIN(ABS($X2541/100-Settings!$C$7),ABS($X2541/100-Settings!$G$7)),1,0))))</f>
        <v/>
      </c>
      <c r="AC2541">
        <f>IF($Z2541=1,IFERROR(IF(VALUE($B2541)&lt;100000000,VALUE($B2541),1000000000),IFERROR(IF(VALUE(MID($B2541,2,20))&lt;100000000,VALUE(MID($B2541,2,20)),1000000000),1000000000))+ROW()/100000,"")</f>
        <v/>
      </c>
    </row>
    <row r="2542">
      <c r="A2542">
        <f>IF($B2542="","",IFERROR(IF(INDEX('Per Invoice'!$A$2:$A$801,MATCH($B2542,'Per Invoice'!$B$2:$B$801,0))=0,"",INDEX('Per Invoice'!$A$2:$A$801,MATCH($B2542,'Per Invoice'!$B$2:$B$801,0))),""))</f>
        <v/>
      </c>
      <c r="J2542" s="7">
        <f>IF($B2542="","",I2542*Q2542/100)</f>
        <v/>
      </c>
      <c r="N2542" s="7" t="n"/>
      <c r="O2542" s="7" t="n"/>
      <c r="P2542" s="7">
        <f>IF($B2542="","",O2542*X2542/100)</f>
        <v/>
      </c>
      <c r="Q2542" s="7">
        <f>IF($B2542="","",O2542-P2542)</f>
        <v/>
      </c>
      <c r="R2542" s="7">
        <f>IF($B2542="","",Q2542-J2542)</f>
        <v/>
      </c>
      <c r="S2542" s="7" t="n"/>
      <c r="T2542" s="7" t="n"/>
      <c r="V2542" s="14" t="n"/>
      <c r="Z2542">
        <f>IF($B2542="","",IF(COUNTIF($B$2:$B2542,$B2542)=1,1,0))</f>
        <v/>
      </c>
      <c r="AA2542">
        <f>IF($Z2542=1,SUMPRODUCT(--($AC$2:$AC$3001&lt;$AC2542))+1,"")</f>
        <v/>
      </c>
      <c r="AB2542">
        <f>IF($B2542="","",IF(OR($Y2542=TRUE(),$Y2542="TRUE"),1,IF(AND($Y2542&lt;&gt;"",OR($Y2542=FALSE(),$Y2542="FALSE")),0,IF(MIN(ABS($X2542/100-Settings!$C$6),ABS($X2542/100-Settings!$G$6))&lt;=MIN(ABS($X2542/100-Settings!$C$7),ABS($X2542/100-Settings!$G$7)),1,0))))</f>
        <v/>
      </c>
      <c r="AC2542">
        <f>IF($Z2542=1,IFERROR(IF(VALUE($B2542)&lt;100000000,VALUE($B2542),1000000000),IFERROR(IF(VALUE(MID($B2542,2,20))&lt;100000000,VALUE(MID($B2542,2,20)),1000000000),1000000000))+ROW()/100000,"")</f>
        <v/>
      </c>
    </row>
    <row r="2543">
      <c r="A2543">
        <f>IF($B2543="","",IFERROR(IF(INDEX('Per Invoice'!$A$2:$A$801,MATCH($B2543,'Per Invoice'!$B$2:$B$801,0))=0,"",INDEX('Per Invoice'!$A$2:$A$801,MATCH($B2543,'Per Invoice'!$B$2:$B$801,0))),""))</f>
        <v/>
      </c>
      <c r="J2543" s="7">
        <f>IF($B2543="","",I2543*Q2543/100)</f>
        <v/>
      </c>
      <c r="N2543" s="7" t="n"/>
      <c r="O2543" s="7" t="n"/>
      <c r="P2543" s="7">
        <f>IF($B2543="","",O2543*X2543/100)</f>
        <v/>
      </c>
      <c r="Q2543" s="7">
        <f>IF($B2543="","",O2543-P2543)</f>
        <v/>
      </c>
      <c r="R2543" s="7">
        <f>IF($B2543="","",Q2543-J2543)</f>
        <v/>
      </c>
      <c r="S2543" s="7" t="n"/>
      <c r="T2543" s="7" t="n"/>
      <c r="V2543" s="14" t="n"/>
      <c r="Z2543">
        <f>IF($B2543="","",IF(COUNTIF($B$2:$B2543,$B2543)=1,1,0))</f>
        <v/>
      </c>
      <c r="AA2543">
        <f>IF($Z2543=1,SUMPRODUCT(--($AC$2:$AC$3001&lt;$AC2543))+1,"")</f>
        <v/>
      </c>
      <c r="AB2543">
        <f>IF($B2543="","",IF(OR($Y2543=TRUE(),$Y2543="TRUE"),1,IF(AND($Y2543&lt;&gt;"",OR($Y2543=FALSE(),$Y2543="FALSE")),0,IF(MIN(ABS($X2543/100-Settings!$C$6),ABS($X2543/100-Settings!$G$6))&lt;=MIN(ABS($X2543/100-Settings!$C$7),ABS($X2543/100-Settings!$G$7)),1,0))))</f>
        <v/>
      </c>
      <c r="AC2543">
        <f>IF($Z2543=1,IFERROR(IF(VALUE($B2543)&lt;100000000,VALUE($B2543),1000000000),IFERROR(IF(VALUE(MID($B2543,2,20))&lt;100000000,VALUE(MID($B2543,2,20)),1000000000),1000000000))+ROW()/100000,"")</f>
        <v/>
      </c>
    </row>
    <row r="2544">
      <c r="A2544">
        <f>IF($B2544="","",IFERROR(IF(INDEX('Per Invoice'!$A$2:$A$801,MATCH($B2544,'Per Invoice'!$B$2:$B$801,0))=0,"",INDEX('Per Invoice'!$A$2:$A$801,MATCH($B2544,'Per Invoice'!$B$2:$B$801,0))),""))</f>
        <v/>
      </c>
      <c r="J2544" s="7">
        <f>IF($B2544="","",I2544*Q2544/100)</f>
        <v/>
      </c>
      <c r="N2544" s="7" t="n"/>
      <c r="O2544" s="7" t="n"/>
      <c r="P2544" s="7">
        <f>IF($B2544="","",O2544*X2544/100)</f>
        <v/>
      </c>
      <c r="Q2544" s="7">
        <f>IF($B2544="","",O2544-P2544)</f>
        <v/>
      </c>
      <c r="R2544" s="7">
        <f>IF($B2544="","",Q2544-J2544)</f>
        <v/>
      </c>
      <c r="S2544" s="7" t="n"/>
      <c r="T2544" s="7" t="n"/>
      <c r="V2544" s="14" t="n"/>
      <c r="Z2544">
        <f>IF($B2544="","",IF(COUNTIF($B$2:$B2544,$B2544)=1,1,0))</f>
        <v/>
      </c>
      <c r="AA2544">
        <f>IF($Z2544=1,SUMPRODUCT(--($AC$2:$AC$3001&lt;$AC2544))+1,"")</f>
        <v/>
      </c>
      <c r="AB2544">
        <f>IF($B2544="","",IF(OR($Y2544=TRUE(),$Y2544="TRUE"),1,IF(AND($Y2544&lt;&gt;"",OR($Y2544=FALSE(),$Y2544="FALSE")),0,IF(MIN(ABS($X2544/100-Settings!$C$6),ABS($X2544/100-Settings!$G$6))&lt;=MIN(ABS($X2544/100-Settings!$C$7),ABS($X2544/100-Settings!$G$7)),1,0))))</f>
        <v/>
      </c>
      <c r="AC2544">
        <f>IF($Z2544=1,IFERROR(IF(VALUE($B2544)&lt;100000000,VALUE($B2544),1000000000),IFERROR(IF(VALUE(MID($B2544,2,20))&lt;100000000,VALUE(MID($B2544,2,20)),1000000000),1000000000))+ROW()/100000,"")</f>
        <v/>
      </c>
    </row>
    <row r="2545">
      <c r="A2545">
        <f>IF($B2545="","",IFERROR(IF(INDEX('Per Invoice'!$A$2:$A$801,MATCH($B2545,'Per Invoice'!$B$2:$B$801,0))=0,"",INDEX('Per Invoice'!$A$2:$A$801,MATCH($B2545,'Per Invoice'!$B$2:$B$801,0))),""))</f>
        <v/>
      </c>
      <c r="J2545" s="7">
        <f>IF($B2545="","",I2545*Q2545/100)</f>
        <v/>
      </c>
      <c r="N2545" s="7" t="n"/>
      <c r="O2545" s="7" t="n"/>
      <c r="P2545" s="7">
        <f>IF($B2545="","",O2545*X2545/100)</f>
        <v/>
      </c>
      <c r="Q2545" s="7">
        <f>IF($B2545="","",O2545-P2545)</f>
        <v/>
      </c>
      <c r="R2545" s="7">
        <f>IF($B2545="","",Q2545-J2545)</f>
        <v/>
      </c>
      <c r="S2545" s="7" t="n"/>
      <c r="T2545" s="7" t="n"/>
      <c r="V2545" s="14" t="n"/>
      <c r="Z2545">
        <f>IF($B2545="","",IF(COUNTIF($B$2:$B2545,$B2545)=1,1,0))</f>
        <v/>
      </c>
      <c r="AA2545">
        <f>IF($Z2545=1,SUMPRODUCT(--($AC$2:$AC$3001&lt;$AC2545))+1,"")</f>
        <v/>
      </c>
      <c r="AB2545">
        <f>IF($B2545="","",IF(OR($Y2545=TRUE(),$Y2545="TRUE"),1,IF(AND($Y2545&lt;&gt;"",OR($Y2545=FALSE(),$Y2545="FALSE")),0,IF(MIN(ABS($X2545/100-Settings!$C$6),ABS($X2545/100-Settings!$G$6))&lt;=MIN(ABS($X2545/100-Settings!$C$7),ABS($X2545/100-Settings!$G$7)),1,0))))</f>
        <v/>
      </c>
      <c r="AC2545">
        <f>IF($Z2545=1,IFERROR(IF(VALUE($B2545)&lt;100000000,VALUE($B2545),1000000000),IFERROR(IF(VALUE(MID($B2545,2,20))&lt;100000000,VALUE(MID($B2545,2,20)),1000000000),1000000000))+ROW()/100000,"")</f>
        <v/>
      </c>
    </row>
    <row r="2546">
      <c r="A2546">
        <f>IF($B2546="","",IFERROR(IF(INDEX('Per Invoice'!$A$2:$A$801,MATCH($B2546,'Per Invoice'!$B$2:$B$801,0))=0,"",INDEX('Per Invoice'!$A$2:$A$801,MATCH($B2546,'Per Invoice'!$B$2:$B$801,0))),""))</f>
        <v/>
      </c>
      <c r="J2546" s="7">
        <f>IF($B2546="","",I2546*Q2546/100)</f>
        <v/>
      </c>
      <c r="N2546" s="7" t="n"/>
      <c r="O2546" s="7" t="n"/>
      <c r="P2546" s="7">
        <f>IF($B2546="","",O2546*X2546/100)</f>
        <v/>
      </c>
      <c r="Q2546" s="7">
        <f>IF($B2546="","",O2546-P2546)</f>
        <v/>
      </c>
      <c r="R2546" s="7">
        <f>IF($B2546="","",Q2546-J2546)</f>
        <v/>
      </c>
      <c r="S2546" s="7" t="n"/>
      <c r="T2546" s="7" t="n"/>
      <c r="V2546" s="14" t="n"/>
      <c r="Z2546">
        <f>IF($B2546="","",IF(COUNTIF($B$2:$B2546,$B2546)=1,1,0))</f>
        <v/>
      </c>
      <c r="AA2546">
        <f>IF($Z2546=1,SUMPRODUCT(--($AC$2:$AC$3001&lt;$AC2546))+1,"")</f>
        <v/>
      </c>
      <c r="AB2546">
        <f>IF($B2546="","",IF(OR($Y2546=TRUE(),$Y2546="TRUE"),1,IF(AND($Y2546&lt;&gt;"",OR($Y2546=FALSE(),$Y2546="FALSE")),0,IF(MIN(ABS($X2546/100-Settings!$C$6),ABS($X2546/100-Settings!$G$6))&lt;=MIN(ABS($X2546/100-Settings!$C$7),ABS($X2546/100-Settings!$G$7)),1,0))))</f>
        <v/>
      </c>
      <c r="AC2546">
        <f>IF($Z2546=1,IFERROR(IF(VALUE($B2546)&lt;100000000,VALUE($B2546),1000000000),IFERROR(IF(VALUE(MID($B2546,2,20))&lt;100000000,VALUE(MID($B2546,2,20)),1000000000),1000000000))+ROW()/100000,"")</f>
        <v/>
      </c>
    </row>
    <row r="2547">
      <c r="A2547">
        <f>IF($B2547="","",IFERROR(IF(INDEX('Per Invoice'!$A$2:$A$801,MATCH($B2547,'Per Invoice'!$B$2:$B$801,0))=0,"",INDEX('Per Invoice'!$A$2:$A$801,MATCH($B2547,'Per Invoice'!$B$2:$B$801,0))),""))</f>
        <v/>
      </c>
      <c r="J2547" s="7">
        <f>IF($B2547="","",I2547*Q2547/100)</f>
        <v/>
      </c>
      <c r="N2547" s="7" t="n"/>
      <c r="O2547" s="7" t="n"/>
      <c r="P2547" s="7">
        <f>IF($B2547="","",O2547*X2547/100)</f>
        <v/>
      </c>
      <c r="Q2547" s="7">
        <f>IF($B2547="","",O2547-P2547)</f>
        <v/>
      </c>
      <c r="R2547" s="7">
        <f>IF($B2547="","",Q2547-J2547)</f>
        <v/>
      </c>
      <c r="S2547" s="7" t="n"/>
      <c r="T2547" s="7" t="n"/>
      <c r="V2547" s="14" t="n"/>
      <c r="Z2547">
        <f>IF($B2547="","",IF(COUNTIF($B$2:$B2547,$B2547)=1,1,0))</f>
        <v/>
      </c>
      <c r="AA2547">
        <f>IF($Z2547=1,SUMPRODUCT(--($AC$2:$AC$3001&lt;$AC2547))+1,"")</f>
        <v/>
      </c>
      <c r="AB2547">
        <f>IF($B2547="","",IF(OR($Y2547=TRUE(),$Y2547="TRUE"),1,IF(AND($Y2547&lt;&gt;"",OR($Y2547=FALSE(),$Y2547="FALSE")),0,IF(MIN(ABS($X2547/100-Settings!$C$6),ABS($X2547/100-Settings!$G$6))&lt;=MIN(ABS($X2547/100-Settings!$C$7),ABS($X2547/100-Settings!$G$7)),1,0))))</f>
        <v/>
      </c>
      <c r="AC2547">
        <f>IF($Z2547=1,IFERROR(IF(VALUE($B2547)&lt;100000000,VALUE($B2547),1000000000),IFERROR(IF(VALUE(MID($B2547,2,20))&lt;100000000,VALUE(MID($B2547,2,20)),1000000000),1000000000))+ROW()/100000,"")</f>
        <v/>
      </c>
    </row>
    <row r="2548">
      <c r="A2548">
        <f>IF($B2548="","",IFERROR(IF(INDEX('Per Invoice'!$A$2:$A$801,MATCH($B2548,'Per Invoice'!$B$2:$B$801,0))=0,"",INDEX('Per Invoice'!$A$2:$A$801,MATCH($B2548,'Per Invoice'!$B$2:$B$801,0))),""))</f>
        <v/>
      </c>
      <c r="J2548" s="7">
        <f>IF($B2548="","",I2548*Q2548/100)</f>
        <v/>
      </c>
      <c r="N2548" s="7" t="n"/>
      <c r="O2548" s="7" t="n"/>
      <c r="P2548" s="7">
        <f>IF($B2548="","",O2548*X2548/100)</f>
        <v/>
      </c>
      <c r="Q2548" s="7">
        <f>IF($B2548="","",O2548-P2548)</f>
        <v/>
      </c>
      <c r="R2548" s="7">
        <f>IF($B2548="","",Q2548-J2548)</f>
        <v/>
      </c>
      <c r="S2548" s="7" t="n"/>
      <c r="T2548" s="7" t="n"/>
      <c r="V2548" s="14" t="n"/>
      <c r="Z2548">
        <f>IF($B2548="","",IF(COUNTIF($B$2:$B2548,$B2548)=1,1,0))</f>
        <v/>
      </c>
      <c r="AA2548">
        <f>IF($Z2548=1,SUMPRODUCT(--($AC$2:$AC$3001&lt;$AC2548))+1,"")</f>
        <v/>
      </c>
      <c r="AB2548">
        <f>IF($B2548="","",IF(OR($Y2548=TRUE(),$Y2548="TRUE"),1,IF(AND($Y2548&lt;&gt;"",OR($Y2548=FALSE(),$Y2548="FALSE")),0,IF(MIN(ABS($X2548/100-Settings!$C$6),ABS($X2548/100-Settings!$G$6))&lt;=MIN(ABS($X2548/100-Settings!$C$7),ABS($X2548/100-Settings!$G$7)),1,0))))</f>
        <v/>
      </c>
      <c r="AC2548">
        <f>IF($Z2548=1,IFERROR(IF(VALUE($B2548)&lt;100000000,VALUE($B2548),1000000000),IFERROR(IF(VALUE(MID($B2548,2,20))&lt;100000000,VALUE(MID($B2548,2,20)),1000000000),1000000000))+ROW()/100000,"")</f>
        <v/>
      </c>
    </row>
    <row r="2549">
      <c r="A2549">
        <f>IF($B2549="","",IFERROR(IF(INDEX('Per Invoice'!$A$2:$A$801,MATCH($B2549,'Per Invoice'!$B$2:$B$801,0))=0,"",INDEX('Per Invoice'!$A$2:$A$801,MATCH($B2549,'Per Invoice'!$B$2:$B$801,0))),""))</f>
        <v/>
      </c>
      <c r="J2549" s="7">
        <f>IF($B2549="","",I2549*Q2549/100)</f>
        <v/>
      </c>
      <c r="N2549" s="7" t="n"/>
      <c r="O2549" s="7" t="n"/>
      <c r="P2549" s="7">
        <f>IF($B2549="","",O2549*X2549/100)</f>
        <v/>
      </c>
      <c r="Q2549" s="7">
        <f>IF($B2549="","",O2549-P2549)</f>
        <v/>
      </c>
      <c r="R2549" s="7">
        <f>IF($B2549="","",Q2549-J2549)</f>
        <v/>
      </c>
      <c r="S2549" s="7" t="n"/>
      <c r="T2549" s="7" t="n"/>
      <c r="V2549" s="14" t="n"/>
      <c r="Z2549">
        <f>IF($B2549="","",IF(COUNTIF($B$2:$B2549,$B2549)=1,1,0))</f>
        <v/>
      </c>
      <c r="AA2549">
        <f>IF($Z2549=1,SUMPRODUCT(--($AC$2:$AC$3001&lt;$AC2549))+1,"")</f>
        <v/>
      </c>
      <c r="AB2549">
        <f>IF($B2549="","",IF(OR($Y2549=TRUE(),$Y2549="TRUE"),1,IF(AND($Y2549&lt;&gt;"",OR($Y2549=FALSE(),$Y2549="FALSE")),0,IF(MIN(ABS($X2549/100-Settings!$C$6),ABS($X2549/100-Settings!$G$6))&lt;=MIN(ABS($X2549/100-Settings!$C$7),ABS($X2549/100-Settings!$G$7)),1,0))))</f>
        <v/>
      </c>
      <c r="AC2549">
        <f>IF($Z2549=1,IFERROR(IF(VALUE($B2549)&lt;100000000,VALUE($B2549),1000000000),IFERROR(IF(VALUE(MID($B2549,2,20))&lt;100000000,VALUE(MID($B2549,2,20)),1000000000),1000000000))+ROW()/100000,"")</f>
        <v/>
      </c>
    </row>
    <row r="2550">
      <c r="A2550">
        <f>IF($B2550="","",IFERROR(IF(INDEX('Per Invoice'!$A$2:$A$801,MATCH($B2550,'Per Invoice'!$B$2:$B$801,0))=0,"",INDEX('Per Invoice'!$A$2:$A$801,MATCH($B2550,'Per Invoice'!$B$2:$B$801,0))),""))</f>
        <v/>
      </c>
      <c r="J2550" s="7">
        <f>IF($B2550="","",I2550*Q2550/100)</f>
        <v/>
      </c>
      <c r="N2550" s="7" t="n"/>
      <c r="O2550" s="7" t="n"/>
      <c r="P2550" s="7">
        <f>IF($B2550="","",O2550*X2550/100)</f>
        <v/>
      </c>
      <c r="Q2550" s="7">
        <f>IF($B2550="","",O2550-P2550)</f>
        <v/>
      </c>
      <c r="R2550" s="7">
        <f>IF($B2550="","",Q2550-J2550)</f>
        <v/>
      </c>
      <c r="S2550" s="7" t="n"/>
      <c r="T2550" s="7" t="n"/>
      <c r="V2550" s="14" t="n"/>
      <c r="Z2550">
        <f>IF($B2550="","",IF(COUNTIF($B$2:$B2550,$B2550)=1,1,0))</f>
        <v/>
      </c>
      <c r="AA2550">
        <f>IF($Z2550=1,SUMPRODUCT(--($AC$2:$AC$3001&lt;$AC2550))+1,"")</f>
        <v/>
      </c>
      <c r="AB2550">
        <f>IF($B2550="","",IF(OR($Y2550=TRUE(),$Y2550="TRUE"),1,IF(AND($Y2550&lt;&gt;"",OR($Y2550=FALSE(),$Y2550="FALSE")),0,IF(MIN(ABS($X2550/100-Settings!$C$6),ABS($X2550/100-Settings!$G$6))&lt;=MIN(ABS($X2550/100-Settings!$C$7),ABS($X2550/100-Settings!$G$7)),1,0))))</f>
        <v/>
      </c>
      <c r="AC2550">
        <f>IF($Z2550=1,IFERROR(IF(VALUE($B2550)&lt;100000000,VALUE($B2550),1000000000),IFERROR(IF(VALUE(MID($B2550,2,20))&lt;100000000,VALUE(MID($B2550,2,20)),1000000000),1000000000))+ROW()/100000,"")</f>
        <v/>
      </c>
    </row>
    <row r="2551">
      <c r="A2551">
        <f>IF($B2551="","",IFERROR(IF(INDEX('Per Invoice'!$A$2:$A$801,MATCH($B2551,'Per Invoice'!$B$2:$B$801,0))=0,"",INDEX('Per Invoice'!$A$2:$A$801,MATCH($B2551,'Per Invoice'!$B$2:$B$801,0))),""))</f>
        <v/>
      </c>
      <c r="J2551" s="7">
        <f>IF($B2551="","",I2551*Q2551/100)</f>
        <v/>
      </c>
      <c r="N2551" s="7" t="n"/>
      <c r="O2551" s="7" t="n"/>
      <c r="P2551" s="7">
        <f>IF($B2551="","",O2551*X2551/100)</f>
        <v/>
      </c>
      <c r="Q2551" s="7">
        <f>IF($B2551="","",O2551-P2551)</f>
        <v/>
      </c>
      <c r="R2551" s="7">
        <f>IF($B2551="","",Q2551-J2551)</f>
        <v/>
      </c>
      <c r="S2551" s="7" t="n"/>
      <c r="T2551" s="7" t="n"/>
      <c r="V2551" s="14" t="n"/>
      <c r="Z2551">
        <f>IF($B2551="","",IF(COUNTIF($B$2:$B2551,$B2551)=1,1,0))</f>
        <v/>
      </c>
      <c r="AA2551">
        <f>IF($Z2551=1,SUMPRODUCT(--($AC$2:$AC$3001&lt;$AC2551))+1,"")</f>
        <v/>
      </c>
      <c r="AB2551">
        <f>IF($B2551="","",IF(OR($Y2551=TRUE(),$Y2551="TRUE"),1,IF(AND($Y2551&lt;&gt;"",OR($Y2551=FALSE(),$Y2551="FALSE")),0,IF(MIN(ABS($X2551/100-Settings!$C$6),ABS($X2551/100-Settings!$G$6))&lt;=MIN(ABS($X2551/100-Settings!$C$7),ABS($X2551/100-Settings!$G$7)),1,0))))</f>
        <v/>
      </c>
      <c r="AC2551">
        <f>IF($Z2551=1,IFERROR(IF(VALUE($B2551)&lt;100000000,VALUE($B2551),1000000000),IFERROR(IF(VALUE(MID($B2551,2,20))&lt;100000000,VALUE(MID($B2551,2,20)),1000000000),1000000000))+ROW()/100000,"")</f>
        <v/>
      </c>
    </row>
    <row r="2552">
      <c r="A2552">
        <f>IF($B2552="","",IFERROR(IF(INDEX('Per Invoice'!$A$2:$A$801,MATCH($B2552,'Per Invoice'!$B$2:$B$801,0))=0,"",INDEX('Per Invoice'!$A$2:$A$801,MATCH($B2552,'Per Invoice'!$B$2:$B$801,0))),""))</f>
        <v/>
      </c>
      <c r="J2552" s="7">
        <f>IF($B2552="","",I2552*Q2552/100)</f>
        <v/>
      </c>
      <c r="N2552" s="7" t="n"/>
      <c r="O2552" s="7" t="n"/>
      <c r="P2552" s="7">
        <f>IF($B2552="","",O2552*X2552/100)</f>
        <v/>
      </c>
      <c r="Q2552" s="7">
        <f>IF($B2552="","",O2552-P2552)</f>
        <v/>
      </c>
      <c r="R2552" s="7">
        <f>IF($B2552="","",Q2552-J2552)</f>
        <v/>
      </c>
      <c r="S2552" s="7" t="n"/>
      <c r="T2552" s="7" t="n"/>
      <c r="V2552" s="14" t="n"/>
      <c r="Z2552">
        <f>IF($B2552="","",IF(COUNTIF($B$2:$B2552,$B2552)=1,1,0))</f>
        <v/>
      </c>
      <c r="AA2552">
        <f>IF($Z2552=1,SUMPRODUCT(--($AC$2:$AC$3001&lt;$AC2552))+1,"")</f>
        <v/>
      </c>
      <c r="AB2552">
        <f>IF($B2552="","",IF(OR($Y2552=TRUE(),$Y2552="TRUE"),1,IF(AND($Y2552&lt;&gt;"",OR($Y2552=FALSE(),$Y2552="FALSE")),0,IF(MIN(ABS($X2552/100-Settings!$C$6),ABS($X2552/100-Settings!$G$6))&lt;=MIN(ABS($X2552/100-Settings!$C$7),ABS($X2552/100-Settings!$G$7)),1,0))))</f>
        <v/>
      </c>
      <c r="AC2552">
        <f>IF($Z2552=1,IFERROR(IF(VALUE($B2552)&lt;100000000,VALUE($B2552),1000000000),IFERROR(IF(VALUE(MID($B2552,2,20))&lt;100000000,VALUE(MID($B2552,2,20)),1000000000),1000000000))+ROW()/100000,"")</f>
        <v/>
      </c>
    </row>
    <row r="2553">
      <c r="A2553">
        <f>IF($B2553="","",IFERROR(IF(INDEX('Per Invoice'!$A$2:$A$801,MATCH($B2553,'Per Invoice'!$B$2:$B$801,0))=0,"",INDEX('Per Invoice'!$A$2:$A$801,MATCH($B2553,'Per Invoice'!$B$2:$B$801,0))),""))</f>
        <v/>
      </c>
      <c r="J2553" s="7">
        <f>IF($B2553="","",I2553*Q2553/100)</f>
        <v/>
      </c>
      <c r="N2553" s="7" t="n"/>
      <c r="O2553" s="7" t="n"/>
      <c r="P2553" s="7">
        <f>IF($B2553="","",O2553*X2553/100)</f>
        <v/>
      </c>
      <c r="Q2553" s="7">
        <f>IF($B2553="","",O2553-P2553)</f>
        <v/>
      </c>
      <c r="R2553" s="7">
        <f>IF($B2553="","",Q2553-J2553)</f>
        <v/>
      </c>
      <c r="S2553" s="7" t="n"/>
      <c r="T2553" s="7" t="n"/>
      <c r="V2553" s="14" t="n"/>
      <c r="Z2553">
        <f>IF($B2553="","",IF(COUNTIF($B$2:$B2553,$B2553)=1,1,0))</f>
        <v/>
      </c>
      <c r="AA2553">
        <f>IF($Z2553=1,SUMPRODUCT(--($AC$2:$AC$3001&lt;$AC2553))+1,"")</f>
        <v/>
      </c>
      <c r="AB2553">
        <f>IF($B2553="","",IF(OR($Y2553=TRUE(),$Y2553="TRUE"),1,IF(AND($Y2553&lt;&gt;"",OR($Y2553=FALSE(),$Y2553="FALSE")),0,IF(MIN(ABS($X2553/100-Settings!$C$6),ABS($X2553/100-Settings!$G$6))&lt;=MIN(ABS($X2553/100-Settings!$C$7),ABS($X2553/100-Settings!$G$7)),1,0))))</f>
        <v/>
      </c>
      <c r="AC2553">
        <f>IF($Z2553=1,IFERROR(IF(VALUE($B2553)&lt;100000000,VALUE($B2553),1000000000),IFERROR(IF(VALUE(MID($B2553,2,20))&lt;100000000,VALUE(MID($B2553,2,20)),1000000000),1000000000))+ROW()/100000,"")</f>
        <v/>
      </c>
    </row>
    <row r="2554">
      <c r="A2554">
        <f>IF($B2554="","",IFERROR(IF(INDEX('Per Invoice'!$A$2:$A$801,MATCH($B2554,'Per Invoice'!$B$2:$B$801,0))=0,"",INDEX('Per Invoice'!$A$2:$A$801,MATCH($B2554,'Per Invoice'!$B$2:$B$801,0))),""))</f>
        <v/>
      </c>
      <c r="J2554" s="7">
        <f>IF($B2554="","",I2554*Q2554/100)</f>
        <v/>
      </c>
      <c r="N2554" s="7" t="n"/>
      <c r="O2554" s="7" t="n"/>
      <c r="P2554" s="7">
        <f>IF($B2554="","",O2554*X2554/100)</f>
        <v/>
      </c>
      <c r="Q2554" s="7">
        <f>IF($B2554="","",O2554-P2554)</f>
        <v/>
      </c>
      <c r="R2554" s="7">
        <f>IF($B2554="","",Q2554-J2554)</f>
        <v/>
      </c>
      <c r="S2554" s="7" t="n"/>
      <c r="T2554" s="7" t="n"/>
      <c r="V2554" s="14" t="n"/>
      <c r="Z2554">
        <f>IF($B2554="","",IF(COUNTIF($B$2:$B2554,$B2554)=1,1,0))</f>
        <v/>
      </c>
      <c r="AA2554">
        <f>IF($Z2554=1,SUMPRODUCT(--($AC$2:$AC$3001&lt;$AC2554))+1,"")</f>
        <v/>
      </c>
      <c r="AB2554">
        <f>IF($B2554="","",IF(OR($Y2554=TRUE(),$Y2554="TRUE"),1,IF(AND($Y2554&lt;&gt;"",OR($Y2554=FALSE(),$Y2554="FALSE")),0,IF(MIN(ABS($X2554/100-Settings!$C$6),ABS($X2554/100-Settings!$G$6))&lt;=MIN(ABS($X2554/100-Settings!$C$7),ABS($X2554/100-Settings!$G$7)),1,0))))</f>
        <v/>
      </c>
      <c r="AC2554">
        <f>IF($Z2554=1,IFERROR(IF(VALUE($B2554)&lt;100000000,VALUE($B2554),1000000000),IFERROR(IF(VALUE(MID($B2554,2,20))&lt;100000000,VALUE(MID($B2554,2,20)),1000000000),1000000000))+ROW()/100000,"")</f>
        <v/>
      </c>
    </row>
    <row r="2555">
      <c r="A2555">
        <f>IF($B2555="","",IFERROR(IF(INDEX('Per Invoice'!$A$2:$A$801,MATCH($B2555,'Per Invoice'!$B$2:$B$801,0))=0,"",INDEX('Per Invoice'!$A$2:$A$801,MATCH($B2555,'Per Invoice'!$B$2:$B$801,0))),""))</f>
        <v/>
      </c>
      <c r="J2555" s="7">
        <f>IF($B2555="","",I2555*Q2555/100)</f>
        <v/>
      </c>
      <c r="N2555" s="7" t="n"/>
      <c r="O2555" s="7" t="n"/>
      <c r="P2555" s="7">
        <f>IF($B2555="","",O2555*X2555/100)</f>
        <v/>
      </c>
      <c r="Q2555" s="7">
        <f>IF($B2555="","",O2555-P2555)</f>
        <v/>
      </c>
      <c r="R2555" s="7">
        <f>IF($B2555="","",Q2555-J2555)</f>
        <v/>
      </c>
      <c r="S2555" s="7" t="n"/>
      <c r="T2555" s="7" t="n"/>
      <c r="V2555" s="14" t="n"/>
      <c r="Z2555">
        <f>IF($B2555="","",IF(COUNTIF($B$2:$B2555,$B2555)=1,1,0))</f>
        <v/>
      </c>
      <c r="AA2555">
        <f>IF($Z2555=1,SUMPRODUCT(--($AC$2:$AC$3001&lt;$AC2555))+1,"")</f>
        <v/>
      </c>
      <c r="AB2555">
        <f>IF($B2555="","",IF(OR($Y2555=TRUE(),$Y2555="TRUE"),1,IF(AND($Y2555&lt;&gt;"",OR($Y2555=FALSE(),$Y2555="FALSE")),0,IF(MIN(ABS($X2555/100-Settings!$C$6),ABS($X2555/100-Settings!$G$6))&lt;=MIN(ABS($X2555/100-Settings!$C$7),ABS($X2555/100-Settings!$G$7)),1,0))))</f>
        <v/>
      </c>
      <c r="AC2555">
        <f>IF($Z2555=1,IFERROR(IF(VALUE($B2555)&lt;100000000,VALUE($B2555),1000000000),IFERROR(IF(VALUE(MID($B2555,2,20))&lt;100000000,VALUE(MID($B2555,2,20)),1000000000),1000000000))+ROW()/100000,"")</f>
        <v/>
      </c>
    </row>
    <row r="2556">
      <c r="A2556">
        <f>IF($B2556="","",IFERROR(IF(INDEX('Per Invoice'!$A$2:$A$801,MATCH($B2556,'Per Invoice'!$B$2:$B$801,0))=0,"",INDEX('Per Invoice'!$A$2:$A$801,MATCH($B2556,'Per Invoice'!$B$2:$B$801,0))),""))</f>
        <v/>
      </c>
      <c r="J2556" s="7">
        <f>IF($B2556="","",I2556*Q2556/100)</f>
        <v/>
      </c>
      <c r="N2556" s="7" t="n"/>
      <c r="O2556" s="7" t="n"/>
      <c r="P2556" s="7">
        <f>IF($B2556="","",O2556*X2556/100)</f>
        <v/>
      </c>
      <c r="Q2556" s="7">
        <f>IF($B2556="","",O2556-P2556)</f>
        <v/>
      </c>
      <c r="R2556" s="7">
        <f>IF($B2556="","",Q2556-J2556)</f>
        <v/>
      </c>
      <c r="S2556" s="7" t="n"/>
      <c r="T2556" s="7" t="n"/>
      <c r="V2556" s="14" t="n"/>
      <c r="Z2556">
        <f>IF($B2556="","",IF(COUNTIF($B$2:$B2556,$B2556)=1,1,0))</f>
        <v/>
      </c>
      <c r="AA2556">
        <f>IF($Z2556=1,SUMPRODUCT(--($AC$2:$AC$3001&lt;$AC2556))+1,"")</f>
        <v/>
      </c>
      <c r="AB2556">
        <f>IF($B2556="","",IF(OR($Y2556=TRUE(),$Y2556="TRUE"),1,IF(AND($Y2556&lt;&gt;"",OR($Y2556=FALSE(),$Y2556="FALSE")),0,IF(MIN(ABS($X2556/100-Settings!$C$6),ABS($X2556/100-Settings!$G$6))&lt;=MIN(ABS($X2556/100-Settings!$C$7),ABS($X2556/100-Settings!$G$7)),1,0))))</f>
        <v/>
      </c>
      <c r="AC2556">
        <f>IF($Z2556=1,IFERROR(IF(VALUE($B2556)&lt;100000000,VALUE($B2556),1000000000),IFERROR(IF(VALUE(MID($B2556,2,20))&lt;100000000,VALUE(MID($B2556,2,20)),1000000000),1000000000))+ROW()/100000,"")</f>
        <v/>
      </c>
    </row>
    <row r="2557">
      <c r="A2557">
        <f>IF($B2557="","",IFERROR(IF(INDEX('Per Invoice'!$A$2:$A$801,MATCH($B2557,'Per Invoice'!$B$2:$B$801,0))=0,"",INDEX('Per Invoice'!$A$2:$A$801,MATCH($B2557,'Per Invoice'!$B$2:$B$801,0))),""))</f>
        <v/>
      </c>
      <c r="J2557" s="7">
        <f>IF($B2557="","",I2557*Q2557/100)</f>
        <v/>
      </c>
      <c r="N2557" s="7" t="n"/>
      <c r="O2557" s="7" t="n"/>
      <c r="P2557" s="7">
        <f>IF($B2557="","",O2557*X2557/100)</f>
        <v/>
      </c>
      <c r="Q2557" s="7">
        <f>IF($B2557="","",O2557-P2557)</f>
        <v/>
      </c>
      <c r="R2557" s="7">
        <f>IF($B2557="","",Q2557-J2557)</f>
        <v/>
      </c>
      <c r="S2557" s="7" t="n"/>
      <c r="T2557" s="7" t="n"/>
      <c r="V2557" s="14" t="n"/>
      <c r="Z2557">
        <f>IF($B2557="","",IF(COUNTIF($B$2:$B2557,$B2557)=1,1,0))</f>
        <v/>
      </c>
      <c r="AA2557">
        <f>IF($Z2557=1,SUMPRODUCT(--($AC$2:$AC$3001&lt;$AC2557))+1,"")</f>
        <v/>
      </c>
      <c r="AB2557">
        <f>IF($B2557="","",IF(OR($Y2557=TRUE(),$Y2557="TRUE"),1,IF(AND($Y2557&lt;&gt;"",OR($Y2557=FALSE(),$Y2557="FALSE")),0,IF(MIN(ABS($X2557/100-Settings!$C$6),ABS($X2557/100-Settings!$G$6))&lt;=MIN(ABS($X2557/100-Settings!$C$7),ABS($X2557/100-Settings!$G$7)),1,0))))</f>
        <v/>
      </c>
      <c r="AC2557">
        <f>IF($Z2557=1,IFERROR(IF(VALUE($B2557)&lt;100000000,VALUE($B2557),1000000000),IFERROR(IF(VALUE(MID($B2557,2,20))&lt;100000000,VALUE(MID($B2557,2,20)),1000000000),1000000000))+ROW()/100000,"")</f>
        <v/>
      </c>
    </row>
    <row r="2558">
      <c r="A2558">
        <f>IF($B2558="","",IFERROR(IF(INDEX('Per Invoice'!$A$2:$A$801,MATCH($B2558,'Per Invoice'!$B$2:$B$801,0))=0,"",INDEX('Per Invoice'!$A$2:$A$801,MATCH($B2558,'Per Invoice'!$B$2:$B$801,0))),""))</f>
        <v/>
      </c>
      <c r="J2558" s="7">
        <f>IF($B2558="","",I2558*Q2558/100)</f>
        <v/>
      </c>
      <c r="N2558" s="7" t="n"/>
      <c r="O2558" s="7" t="n"/>
      <c r="P2558" s="7">
        <f>IF($B2558="","",O2558*X2558/100)</f>
        <v/>
      </c>
      <c r="Q2558" s="7">
        <f>IF($B2558="","",O2558-P2558)</f>
        <v/>
      </c>
      <c r="R2558" s="7">
        <f>IF($B2558="","",Q2558-J2558)</f>
        <v/>
      </c>
      <c r="S2558" s="7" t="n"/>
      <c r="T2558" s="7" t="n"/>
      <c r="V2558" s="14" t="n"/>
      <c r="Z2558">
        <f>IF($B2558="","",IF(COUNTIF($B$2:$B2558,$B2558)=1,1,0))</f>
        <v/>
      </c>
      <c r="AA2558">
        <f>IF($Z2558=1,SUMPRODUCT(--($AC$2:$AC$3001&lt;$AC2558))+1,"")</f>
        <v/>
      </c>
      <c r="AB2558">
        <f>IF($B2558="","",IF(OR($Y2558=TRUE(),$Y2558="TRUE"),1,IF(AND($Y2558&lt;&gt;"",OR($Y2558=FALSE(),$Y2558="FALSE")),0,IF(MIN(ABS($X2558/100-Settings!$C$6),ABS($X2558/100-Settings!$G$6))&lt;=MIN(ABS($X2558/100-Settings!$C$7),ABS($X2558/100-Settings!$G$7)),1,0))))</f>
        <v/>
      </c>
      <c r="AC2558">
        <f>IF($Z2558=1,IFERROR(IF(VALUE($B2558)&lt;100000000,VALUE($B2558),1000000000),IFERROR(IF(VALUE(MID($B2558,2,20))&lt;100000000,VALUE(MID($B2558,2,20)),1000000000),1000000000))+ROW()/100000,"")</f>
        <v/>
      </c>
    </row>
    <row r="2559">
      <c r="A2559">
        <f>IF($B2559="","",IFERROR(IF(INDEX('Per Invoice'!$A$2:$A$801,MATCH($B2559,'Per Invoice'!$B$2:$B$801,0))=0,"",INDEX('Per Invoice'!$A$2:$A$801,MATCH($B2559,'Per Invoice'!$B$2:$B$801,0))),""))</f>
        <v/>
      </c>
      <c r="J2559" s="7">
        <f>IF($B2559="","",I2559*Q2559/100)</f>
        <v/>
      </c>
      <c r="N2559" s="7" t="n"/>
      <c r="O2559" s="7" t="n"/>
      <c r="P2559" s="7">
        <f>IF($B2559="","",O2559*X2559/100)</f>
        <v/>
      </c>
      <c r="Q2559" s="7">
        <f>IF($B2559="","",O2559-P2559)</f>
        <v/>
      </c>
      <c r="R2559" s="7">
        <f>IF($B2559="","",Q2559-J2559)</f>
        <v/>
      </c>
      <c r="S2559" s="7" t="n"/>
      <c r="T2559" s="7" t="n"/>
      <c r="V2559" s="14" t="n"/>
      <c r="Z2559">
        <f>IF($B2559="","",IF(COUNTIF($B$2:$B2559,$B2559)=1,1,0))</f>
        <v/>
      </c>
      <c r="AA2559">
        <f>IF($Z2559=1,SUMPRODUCT(--($AC$2:$AC$3001&lt;$AC2559))+1,"")</f>
        <v/>
      </c>
      <c r="AB2559">
        <f>IF($B2559="","",IF(OR($Y2559=TRUE(),$Y2559="TRUE"),1,IF(AND($Y2559&lt;&gt;"",OR($Y2559=FALSE(),$Y2559="FALSE")),0,IF(MIN(ABS($X2559/100-Settings!$C$6),ABS($X2559/100-Settings!$G$6))&lt;=MIN(ABS($X2559/100-Settings!$C$7),ABS($X2559/100-Settings!$G$7)),1,0))))</f>
        <v/>
      </c>
      <c r="AC2559">
        <f>IF($Z2559=1,IFERROR(IF(VALUE($B2559)&lt;100000000,VALUE($B2559),1000000000),IFERROR(IF(VALUE(MID($B2559,2,20))&lt;100000000,VALUE(MID($B2559,2,20)),1000000000),1000000000))+ROW()/100000,"")</f>
        <v/>
      </c>
    </row>
    <row r="2560">
      <c r="A2560">
        <f>IF($B2560="","",IFERROR(IF(INDEX('Per Invoice'!$A$2:$A$801,MATCH($B2560,'Per Invoice'!$B$2:$B$801,0))=0,"",INDEX('Per Invoice'!$A$2:$A$801,MATCH($B2560,'Per Invoice'!$B$2:$B$801,0))),""))</f>
        <v/>
      </c>
      <c r="J2560" s="7">
        <f>IF($B2560="","",I2560*Q2560/100)</f>
        <v/>
      </c>
      <c r="N2560" s="7" t="n"/>
      <c r="O2560" s="7" t="n"/>
      <c r="P2560" s="7">
        <f>IF($B2560="","",O2560*X2560/100)</f>
        <v/>
      </c>
      <c r="Q2560" s="7">
        <f>IF($B2560="","",O2560-P2560)</f>
        <v/>
      </c>
      <c r="R2560" s="7">
        <f>IF($B2560="","",Q2560-J2560)</f>
        <v/>
      </c>
      <c r="S2560" s="7" t="n"/>
      <c r="T2560" s="7" t="n"/>
      <c r="V2560" s="14" t="n"/>
      <c r="Z2560">
        <f>IF($B2560="","",IF(COUNTIF($B$2:$B2560,$B2560)=1,1,0))</f>
        <v/>
      </c>
      <c r="AA2560">
        <f>IF($Z2560=1,SUMPRODUCT(--($AC$2:$AC$3001&lt;$AC2560))+1,"")</f>
        <v/>
      </c>
      <c r="AB2560">
        <f>IF($B2560="","",IF(OR($Y2560=TRUE(),$Y2560="TRUE"),1,IF(AND($Y2560&lt;&gt;"",OR($Y2560=FALSE(),$Y2560="FALSE")),0,IF(MIN(ABS($X2560/100-Settings!$C$6),ABS($X2560/100-Settings!$G$6))&lt;=MIN(ABS($X2560/100-Settings!$C$7),ABS($X2560/100-Settings!$G$7)),1,0))))</f>
        <v/>
      </c>
      <c r="AC2560">
        <f>IF($Z2560=1,IFERROR(IF(VALUE($B2560)&lt;100000000,VALUE($B2560),1000000000),IFERROR(IF(VALUE(MID($B2560,2,20))&lt;100000000,VALUE(MID($B2560,2,20)),1000000000),1000000000))+ROW()/100000,"")</f>
        <v/>
      </c>
    </row>
    <row r="2561">
      <c r="A2561">
        <f>IF($B2561="","",IFERROR(IF(INDEX('Per Invoice'!$A$2:$A$801,MATCH($B2561,'Per Invoice'!$B$2:$B$801,0))=0,"",INDEX('Per Invoice'!$A$2:$A$801,MATCH($B2561,'Per Invoice'!$B$2:$B$801,0))),""))</f>
        <v/>
      </c>
      <c r="J2561" s="7">
        <f>IF($B2561="","",I2561*Q2561/100)</f>
        <v/>
      </c>
      <c r="N2561" s="7" t="n"/>
      <c r="O2561" s="7" t="n"/>
      <c r="P2561" s="7">
        <f>IF($B2561="","",O2561*X2561/100)</f>
        <v/>
      </c>
      <c r="Q2561" s="7">
        <f>IF($B2561="","",O2561-P2561)</f>
        <v/>
      </c>
      <c r="R2561" s="7">
        <f>IF($B2561="","",Q2561-J2561)</f>
        <v/>
      </c>
      <c r="S2561" s="7" t="n"/>
      <c r="T2561" s="7" t="n"/>
      <c r="V2561" s="14" t="n"/>
      <c r="Z2561">
        <f>IF($B2561="","",IF(COUNTIF($B$2:$B2561,$B2561)=1,1,0))</f>
        <v/>
      </c>
      <c r="AA2561">
        <f>IF($Z2561=1,SUMPRODUCT(--($AC$2:$AC$3001&lt;$AC2561))+1,"")</f>
        <v/>
      </c>
      <c r="AB2561">
        <f>IF($B2561="","",IF(OR($Y2561=TRUE(),$Y2561="TRUE"),1,IF(AND($Y2561&lt;&gt;"",OR($Y2561=FALSE(),$Y2561="FALSE")),0,IF(MIN(ABS($X2561/100-Settings!$C$6),ABS($X2561/100-Settings!$G$6))&lt;=MIN(ABS($X2561/100-Settings!$C$7),ABS($X2561/100-Settings!$G$7)),1,0))))</f>
        <v/>
      </c>
      <c r="AC2561">
        <f>IF($Z2561=1,IFERROR(IF(VALUE($B2561)&lt;100000000,VALUE($B2561),1000000000),IFERROR(IF(VALUE(MID($B2561,2,20))&lt;100000000,VALUE(MID($B2561,2,20)),1000000000),1000000000))+ROW()/100000,"")</f>
        <v/>
      </c>
    </row>
    <row r="2562">
      <c r="A2562">
        <f>IF($B2562="","",IFERROR(IF(INDEX('Per Invoice'!$A$2:$A$801,MATCH($B2562,'Per Invoice'!$B$2:$B$801,0))=0,"",INDEX('Per Invoice'!$A$2:$A$801,MATCH($B2562,'Per Invoice'!$B$2:$B$801,0))),""))</f>
        <v/>
      </c>
      <c r="J2562" s="7">
        <f>IF($B2562="","",I2562*Q2562/100)</f>
        <v/>
      </c>
      <c r="N2562" s="7" t="n"/>
      <c r="O2562" s="7" t="n"/>
      <c r="P2562" s="7">
        <f>IF($B2562="","",O2562*X2562/100)</f>
        <v/>
      </c>
      <c r="Q2562" s="7">
        <f>IF($B2562="","",O2562-P2562)</f>
        <v/>
      </c>
      <c r="R2562" s="7">
        <f>IF($B2562="","",Q2562-J2562)</f>
        <v/>
      </c>
      <c r="S2562" s="7" t="n"/>
      <c r="T2562" s="7" t="n"/>
      <c r="V2562" s="14" t="n"/>
      <c r="Z2562">
        <f>IF($B2562="","",IF(COUNTIF($B$2:$B2562,$B2562)=1,1,0))</f>
        <v/>
      </c>
      <c r="AA2562">
        <f>IF($Z2562=1,SUMPRODUCT(--($AC$2:$AC$3001&lt;$AC2562))+1,"")</f>
        <v/>
      </c>
      <c r="AB2562">
        <f>IF($B2562="","",IF(OR($Y2562=TRUE(),$Y2562="TRUE"),1,IF(AND($Y2562&lt;&gt;"",OR($Y2562=FALSE(),$Y2562="FALSE")),0,IF(MIN(ABS($X2562/100-Settings!$C$6),ABS($X2562/100-Settings!$G$6))&lt;=MIN(ABS($X2562/100-Settings!$C$7),ABS($X2562/100-Settings!$G$7)),1,0))))</f>
        <v/>
      </c>
      <c r="AC2562">
        <f>IF($Z2562=1,IFERROR(IF(VALUE($B2562)&lt;100000000,VALUE($B2562),1000000000),IFERROR(IF(VALUE(MID($B2562,2,20))&lt;100000000,VALUE(MID($B2562,2,20)),1000000000),1000000000))+ROW()/100000,"")</f>
        <v/>
      </c>
    </row>
    <row r="2563">
      <c r="A2563">
        <f>IF($B2563="","",IFERROR(IF(INDEX('Per Invoice'!$A$2:$A$801,MATCH($B2563,'Per Invoice'!$B$2:$B$801,0))=0,"",INDEX('Per Invoice'!$A$2:$A$801,MATCH($B2563,'Per Invoice'!$B$2:$B$801,0))),""))</f>
        <v/>
      </c>
      <c r="J2563" s="7">
        <f>IF($B2563="","",I2563*Q2563/100)</f>
        <v/>
      </c>
      <c r="N2563" s="7" t="n"/>
      <c r="O2563" s="7" t="n"/>
      <c r="P2563" s="7">
        <f>IF($B2563="","",O2563*X2563/100)</f>
        <v/>
      </c>
      <c r="Q2563" s="7">
        <f>IF($B2563="","",O2563-P2563)</f>
        <v/>
      </c>
      <c r="R2563" s="7">
        <f>IF($B2563="","",Q2563-J2563)</f>
        <v/>
      </c>
      <c r="S2563" s="7" t="n"/>
      <c r="T2563" s="7" t="n"/>
      <c r="V2563" s="14" t="n"/>
      <c r="Z2563">
        <f>IF($B2563="","",IF(COUNTIF($B$2:$B2563,$B2563)=1,1,0))</f>
        <v/>
      </c>
      <c r="AA2563">
        <f>IF($Z2563=1,SUMPRODUCT(--($AC$2:$AC$3001&lt;$AC2563))+1,"")</f>
        <v/>
      </c>
      <c r="AB2563">
        <f>IF($B2563="","",IF(OR($Y2563=TRUE(),$Y2563="TRUE"),1,IF(AND($Y2563&lt;&gt;"",OR($Y2563=FALSE(),$Y2563="FALSE")),0,IF(MIN(ABS($X2563/100-Settings!$C$6),ABS($X2563/100-Settings!$G$6))&lt;=MIN(ABS($X2563/100-Settings!$C$7),ABS($X2563/100-Settings!$G$7)),1,0))))</f>
        <v/>
      </c>
      <c r="AC2563">
        <f>IF($Z2563=1,IFERROR(IF(VALUE($B2563)&lt;100000000,VALUE($B2563),1000000000),IFERROR(IF(VALUE(MID($B2563,2,20))&lt;100000000,VALUE(MID($B2563,2,20)),1000000000),1000000000))+ROW()/100000,"")</f>
        <v/>
      </c>
    </row>
    <row r="2564">
      <c r="A2564">
        <f>IF($B2564="","",IFERROR(IF(INDEX('Per Invoice'!$A$2:$A$801,MATCH($B2564,'Per Invoice'!$B$2:$B$801,0))=0,"",INDEX('Per Invoice'!$A$2:$A$801,MATCH($B2564,'Per Invoice'!$B$2:$B$801,0))),""))</f>
        <v/>
      </c>
      <c r="J2564" s="7">
        <f>IF($B2564="","",I2564*Q2564/100)</f>
        <v/>
      </c>
      <c r="N2564" s="7" t="n"/>
      <c r="O2564" s="7" t="n"/>
      <c r="P2564" s="7">
        <f>IF($B2564="","",O2564*X2564/100)</f>
        <v/>
      </c>
      <c r="Q2564" s="7">
        <f>IF($B2564="","",O2564-P2564)</f>
        <v/>
      </c>
      <c r="R2564" s="7">
        <f>IF($B2564="","",Q2564-J2564)</f>
        <v/>
      </c>
      <c r="S2564" s="7" t="n"/>
      <c r="T2564" s="7" t="n"/>
      <c r="V2564" s="14" t="n"/>
      <c r="Z2564">
        <f>IF($B2564="","",IF(COUNTIF($B$2:$B2564,$B2564)=1,1,0))</f>
        <v/>
      </c>
      <c r="AA2564">
        <f>IF($Z2564=1,SUMPRODUCT(--($AC$2:$AC$3001&lt;$AC2564))+1,"")</f>
        <v/>
      </c>
      <c r="AB2564">
        <f>IF($B2564="","",IF(OR($Y2564=TRUE(),$Y2564="TRUE"),1,IF(AND($Y2564&lt;&gt;"",OR($Y2564=FALSE(),$Y2564="FALSE")),0,IF(MIN(ABS($X2564/100-Settings!$C$6),ABS($X2564/100-Settings!$G$6))&lt;=MIN(ABS($X2564/100-Settings!$C$7),ABS($X2564/100-Settings!$G$7)),1,0))))</f>
        <v/>
      </c>
      <c r="AC2564">
        <f>IF($Z2564=1,IFERROR(IF(VALUE($B2564)&lt;100000000,VALUE($B2564),1000000000),IFERROR(IF(VALUE(MID($B2564,2,20))&lt;100000000,VALUE(MID($B2564,2,20)),1000000000),1000000000))+ROW()/100000,"")</f>
        <v/>
      </c>
    </row>
    <row r="2565">
      <c r="A2565">
        <f>IF($B2565="","",IFERROR(IF(INDEX('Per Invoice'!$A$2:$A$801,MATCH($B2565,'Per Invoice'!$B$2:$B$801,0))=0,"",INDEX('Per Invoice'!$A$2:$A$801,MATCH($B2565,'Per Invoice'!$B$2:$B$801,0))),""))</f>
        <v/>
      </c>
      <c r="J2565" s="7">
        <f>IF($B2565="","",I2565*Q2565/100)</f>
        <v/>
      </c>
      <c r="N2565" s="7" t="n"/>
      <c r="O2565" s="7" t="n"/>
      <c r="P2565" s="7">
        <f>IF($B2565="","",O2565*X2565/100)</f>
        <v/>
      </c>
      <c r="Q2565" s="7">
        <f>IF($B2565="","",O2565-P2565)</f>
        <v/>
      </c>
      <c r="R2565" s="7">
        <f>IF($B2565="","",Q2565-J2565)</f>
        <v/>
      </c>
      <c r="S2565" s="7" t="n"/>
      <c r="T2565" s="7" t="n"/>
      <c r="V2565" s="14" t="n"/>
      <c r="Z2565">
        <f>IF($B2565="","",IF(COUNTIF($B$2:$B2565,$B2565)=1,1,0))</f>
        <v/>
      </c>
      <c r="AA2565">
        <f>IF($Z2565=1,SUMPRODUCT(--($AC$2:$AC$3001&lt;$AC2565))+1,"")</f>
        <v/>
      </c>
      <c r="AB2565">
        <f>IF($B2565="","",IF(OR($Y2565=TRUE(),$Y2565="TRUE"),1,IF(AND($Y2565&lt;&gt;"",OR($Y2565=FALSE(),$Y2565="FALSE")),0,IF(MIN(ABS($X2565/100-Settings!$C$6),ABS($X2565/100-Settings!$G$6))&lt;=MIN(ABS($X2565/100-Settings!$C$7),ABS($X2565/100-Settings!$G$7)),1,0))))</f>
        <v/>
      </c>
      <c r="AC2565">
        <f>IF($Z2565=1,IFERROR(IF(VALUE($B2565)&lt;100000000,VALUE($B2565),1000000000),IFERROR(IF(VALUE(MID($B2565,2,20))&lt;100000000,VALUE(MID($B2565,2,20)),1000000000),1000000000))+ROW()/100000,"")</f>
        <v/>
      </c>
    </row>
    <row r="2566">
      <c r="A2566">
        <f>IF($B2566="","",IFERROR(IF(INDEX('Per Invoice'!$A$2:$A$801,MATCH($B2566,'Per Invoice'!$B$2:$B$801,0))=0,"",INDEX('Per Invoice'!$A$2:$A$801,MATCH($B2566,'Per Invoice'!$B$2:$B$801,0))),""))</f>
        <v/>
      </c>
      <c r="J2566" s="7">
        <f>IF($B2566="","",I2566*Q2566/100)</f>
        <v/>
      </c>
      <c r="N2566" s="7" t="n"/>
      <c r="O2566" s="7" t="n"/>
      <c r="P2566" s="7">
        <f>IF($B2566="","",O2566*X2566/100)</f>
        <v/>
      </c>
      <c r="Q2566" s="7">
        <f>IF($B2566="","",O2566-P2566)</f>
        <v/>
      </c>
      <c r="R2566" s="7">
        <f>IF($B2566="","",Q2566-J2566)</f>
        <v/>
      </c>
      <c r="S2566" s="7" t="n"/>
      <c r="T2566" s="7" t="n"/>
      <c r="V2566" s="14" t="n"/>
      <c r="Z2566">
        <f>IF($B2566="","",IF(COUNTIF($B$2:$B2566,$B2566)=1,1,0))</f>
        <v/>
      </c>
      <c r="AA2566">
        <f>IF($Z2566=1,SUMPRODUCT(--($AC$2:$AC$3001&lt;$AC2566))+1,"")</f>
        <v/>
      </c>
      <c r="AB2566">
        <f>IF($B2566="","",IF(OR($Y2566=TRUE(),$Y2566="TRUE"),1,IF(AND($Y2566&lt;&gt;"",OR($Y2566=FALSE(),$Y2566="FALSE")),0,IF(MIN(ABS($X2566/100-Settings!$C$6),ABS($X2566/100-Settings!$G$6))&lt;=MIN(ABS($X2566/100-Settings!$C$7),ABS($X2566/100-Settings!$G$7)),1,0))))</f>
        <v/>
      </c>
      <c r="AC2566">
        <f>IF($Z2566=1,IFERROR(IF(VALUE($B2566)&lt;100000000,VALUE($B2566),1000000000),IFERROR(IF(VALUE(MID($B2566,2,20))&lt;100000000,VALUE(MID($B2566,2,20)),1000000000),1000000000))+ROW()/100000,"")</f>
        <v/>
      </c>
    </row>
    <row r="2567">
      <c r="A2567">
        <f>IF($B2567="","",IFERROR(IF(INDEX('Per Invoice'!$A$2:$A$801,MATCH($B2567,'Per Invoice'!$B$2:$B$801,0))=0,"",INDEX('Per Invoice'!$A$2:$A$801,MATCH($B2567,'Per Invoice'!$B$2:$B$801,0))),""))</f>
        <v/>
      </c>
      <c r="J2567" s="7">
        <f>IF($B2567="","",I2567*Q2567/100)</f>
        <v/>
      </c>
      <c r="N2567" s="7" t="n"/>
      <c r="O2567" s="7" t="n"/>
      <c r="P2567" s="7">
        <f>IF($B2567="","",O2567*X2567/100)</f>
        <v/>
      </c>
      <c r="Q2567" s="7">
        <f>IF($B2567="","",O2567-P2567)</f>
        <v/>
      </c>
      <c r="R2567" s="7">
        <f>IF($B2567="","",Q2567-J2567)</f>
        <v/>
      </c>
      <c r="S2567" s="7" t="n"/>
      <c r="T2567" s="7" t="n"/>
      <c r="V2567" s="14" t="n"/>
      <c r="Z2567">
        <f>IF($B2567="","",IF(COUNTIF($B$2:$B2567,$B2567)=1,1,0))</f>
        <v/>
      </c>
      <c r="AA2567">
        <f>IF($Z2567=1,SUMPRODUCT(--($AC$2:$AC$3001&lt;$AC2567))+1,"")</f>
        <v/>
      </c>
      <c r="AB2567">
        <f>IF($B2567="","",IF(OR($Y2567=TRUE(),$Y2567="TRUE"),1,IF(AND($Y2567&lt;&gt;"",OR($Y2567=FALSE(),$Y2567="FALSE")),0,IF(MIN(ABS($X2567/100-Settings!$C$6),ABS($X2567/100-Settings!$G$6))&lt;=MIN(ABS($X2567/100-Settings!$C$7),ABS($X2567/100-Settings!$G$7)),1,0))))</f>
        <v/>
      </c>
      <c r="AC2567">
        <f>IF($Z2567=1,IFERROR(IF(VALUE($B2567)&lt;100000000,VALUE($B2567),1000000000),IFERROR(IF(VALUE(MID($B2567,2,20))&lt;100000000,VALUE(MID($B2567,2,20)),1000000000),1000000000))+ROW()/100000,"")</f>
        <v/>
      </c>
    </row>
    <row r="2568">
      <c r="A2568">
        <f>IF($B2568="","",IFERROR(IF(INDEX('Per Invoice'!$A$2:$A$801,MATCH($B2568,'Per Invoice'!$B$2:$B$801,0))=0,"",INDEX('Per Invoice'!$A$2:$A$801,MATCH($B2568,'Per Invoice'!$B$2:$B$801,0))),""))</f>
        <v/>
      </c>
      <c r="J2568" s="7">
        <f>IF($B2568="","",I2568*Q2568/100)</f>
        <v/>
      </c>
      <c r="N2568" s="7" t="n"/>
      <c r="O2568" s="7" t="n"/>
      <c r="P2568" s="7">
        <f>IF($B2568="","",O2568*X2568/100)</f>
        <v/>
      </c>
      <c r="Q2568" s="7">
        <f>IF($B2568="","",O2568-P2568)</f>
        <v/>
      </c>
      <c r="R2568" s="7">
        <f>IF($B2568="","",Q2568-J2568)</f>
        <v/>
      </c>
      <c r="S2568" s="7" t="n"/>
      <c r="T2568" s="7" t="n"/>
      <c r="V2568" s="14" t="n"/>
      <c r="Z2568">
        <f>IF($B2568="","",IF(COUNTIF($B$2:$B2568,$B2568)=1,1,0))</f>
        <v/>
      </c>
      <c r="AA2568">
        <f>IF($Z2568=1,SUMPRODUCT(--($AC$2:$AC$3001&lt;$AC2568))+1,"")</f>
        <v/>
      </c>
      <c r="AB2568">
        <f>IF($B2568="","",IF(OR($Y2568=TRUE(),$Y2568="TRUE"),1,IF(AND($Y2568&lt;&gt;"",OR($Y2568=FALSE(),$Y2568="FALSE")),0,IF(MIN(ABS($X2568/100-Settings!$C$6),ABS($X2568/100-Settings!$G$6))&lt;=MIN(ABS($X2568/100-Settings!$C$7),ABS($X2568/100-Settings!$G$7)),1,0))))</f>
        <v/>
      </c>
      <c r="AC2568">
        <f>IF($Z2568=1,IFERROR(IF(VALUE($B2568)&lt;100000000,VALUE($B2568),1000000000),IFERROR(IF(VALUE(MID($B2568,2,20))&lt;100000000,VALUE(MID($B2568,2,20)),1000000000),1000000000))+ROW()/100000,"")</f>
        <v/>
      </c>
    </row>
    <row r="2569">
      <c r="A2569">
        <f>IF($B2569="","",IFERROR(IF(INDEX('Per Invoice'!$A$2:$A$801,MATCH($B2569,'Per Invoice'!$B$2:$B$801,0))=0,"",INDEX('Per Invoice'!$A$2:$A$801,MATCH($B2569,'Per Invoice'!$B$2:$B$801,0))),""))</f>
        <v/>
      </c>
      <c r="J2569" s="7">
        <f>IF($B2569="","",I2569*Q2569/100)</f>
        <v/>
      </c>
      <c r="N2569" s="7" t="n"/>
      <c r="O2569" s="7" t="n"/>
      <c r="P2569" s="7">
        <f>IF($B2569="","",O2569*X2569/100)</f>
        <v/>
      </c>
      <c r="Q2569" s="7">
        <f>IF($B2569="","",O2569-P2569)</f>
        <v/>
      </c>
      <c r="R2569" s="7">
        <f>IF($B2569="","",Q2569-J2569)</f>
        <v/>
      </c>
      <c r="S2569" s="7" t="n"/>
      <c r="T2569" s="7" t="n"/>
      <c r="V2569" s="14" t="n"/>
      <c r="Z2569">
        <f>IF($B2569="","",IF(COUNTIF($B$2:$B2569,$B2569)=1,1,0))</f>
        <v/>
      </c>
      <c r="AA2569">
        <f>IF($Z2569=1,SUMPRODUCT(--($AC$2:$AC$3001&lt;$AC2569))+1,"")</f>
        <v/>
      </c>
      <c r="AB2569">
        <f>IF($B2569="","",IF(OR($Y2569=TRUE(),$Y2569="TRUE"),1,IF(AND($Y2569&lt;&gt;"",OR($Y2569=FALSE(),$Y2569="FALSE")),0,IF(MIN(ABS($X2569/100-Settings!$C$6),ABS($X2569/100-Settings!$G$6))&lt;=MIN(ABS($X2569/100-Settings!$C$7),ABS($X2569/100-Settings!$G$7)),1,0))))</f>
        <v/>
      </c>
      <c r="AC2569">
        <f>IF($Z2569=1,IFERROR(IF(VALUE($B2569)&lt;100000000,VALUE($B2569),1000000000),IFERROR(IF(VALUE(MID($B2569,2,20))&lt;100000000,VALUE(MID($B2569,2,20)),1000000000),1000000000))+ROW()/100000,"")</f>
        <v/>
      </c>
    </row>
    <row r="2570">
      <c r="A2570">
        <f>IF($B2570="","",IFERROR(IF(INDEX('Per Invoice'!$A$2:$A$801,MATCH($B2570,'Per Invoice'!$B$2:$B$801,0))=0,"",INDEX('Per Invoice'!$A$2:$A$801,MATCH($B2570,'Per Invoice'!$B$2:$B$801,0))),""))</f>
        <v/>
      </c>
      <c r="J2570" s="7">
        <f>IF($B2570="","",I2570*Q2570/100)</f>
        <v/>
      </c>
      <c r="N2570" s="7" t="n"/>
      <c r="O2570" s="7" t="n"/>
      <c r="P2570" s="7">
        <f>IF($B2570="","",O2570*X2570/100)</f>
        <v/>
      </c>
      <c r="Q2570" s="7">
        <f>IF($B2570="","",O2570-P2570)</f>
        <v/>
      </c>
      <c r="R2570" s="7">
        <f>IF($B2570="","",Q2570-J2570)</f>
        <v/>
      </c>
      <c r="S2570" s="7" t="n"/>
      <c r="T2570" s="7" t="n"/>
      <c r="V2570" s="14" t="n"/>
      <c r="Z2570">
        <f>IF($B2570="","",IF(COUNTIF($B$2:$B2570,$B2570)=1,1,0))</f>
        <v/>
      </c>
      <c r="AA2570">
        <f>IF($Z2570=1,SUMPRODUCT(--($AC$2:$AC$3001&lt;$AC2570))+1,"")</f>
        <v/>
      </c>
      <c r="AB2570">
        <f>IF($B2570="","",IF(OR($Y2570=TRUE(),$Y2570="TRUE"),1,IF(AND($Y2570&lt;&gt;"",OR($Y2570=FALSE(),$Y2570="FALSE")),0,IF(MIN(ABS($X2570/100-Settings!$C$6),ABS($X2570/100-Settings!$G$6))&lt;=MIN(ABS($X2570/100-Settings!$C$7),ABS($X2570/100-Settings!$G$7)),1,0))))</f>
        <v/>
      </c>
      <c r="AC2570">
        <f>IF($Z2570=1,IFERROR(IF(VALUE($B2570)&lt;100000000,VALUE($B2570),1000000000),IFERROR(IF(VALUE(MID($B2570,2,20))&lt;100000000,VALUE(MID($B2570,2,20)),1000000000),1000000000))+ROW()/100000,"")</f>
        <v/>
      </c>
    </row>
    <row r="2571">
      <c r="A2571">
        <f>IF($B2571="","",IFERROR(IF(INDEX('Per Invoice'!$A$2:$A$801,MATCH($B2571,'Per Invoice'!$B$2:$B$801,0))=0,"",INDEX('Per Invoice'!$A$2:$A$801,MATCH($B2571,'Per Invoice'!$B$2:$B$801,0))),""))</f>
        <v/>
      </c>
      <c r="J2571" s="7">
        <f>IF($B2571="","",I2571*Q2571/100)</f>
        <v/>
      </c>
      <c r="N2571" s="7" t="n"/>
      <c r="O2571" s="7" t="n"/>
      <c r="P2571" s="7">
        <f>IF($B2571="","",O2571*X2571/100)</f>
        <v/>
      </c>
      <c r="Q2571" s="7">
        <f>IF($B2571="","",O2571-P2571)</f>
        <v/>
      </c>
      <c r="R2571" s="7">
        <f>IF($B2571="","",Q2571-J2571)</f>
        <v/>
      </c>
      <c r="S2571" s="7" t="n"/>
      <c r="T2571" s="7" t="n"/>
      <c r="V2571" s="14" t="n"/>
      <c r="Z2571">
        <f>IF($B2571="","",IF(COUNTIF($B$2:$B2571,$B2571)=1,1,0))</f>
        <v/>
      </c>
      <c r="AA2571">
        <f>IF($Z2571=1,SUMPRODUCT(--($AC$2:$AC$3001&lt;$AC2571))+1,"")</f>
        <v/>
      </c>
      <c r="AB2571">
        <f>IF($B2571="","",IF(OR($Y2571=TRUE(),$Y2571="TRUE"),1,IF(AND($Y2571&lt;&gt;"",OR($Y2571=FALSE(),$Y2571="FALSE")),0,IF(MIN(ABS($X2571/100-Settings!$C$6),ABS($X2571/100-Settings!$G$6))&lt;=MIN(ABS($X2571/100-Settings!$C$7),ABS($X2571/100-Settings!$G$7)),1,0))))</f>
        <v/>
      </c>
      <c r="AC2571">
        <f>IF($Z2571=1,IFERROR(IF(VALUE($B2571)&lt;100000000,VALUE($B2571),1000000000),IFERROR(IF(VALUE(MID($B2571,2,20))&lt;100000000,VALUE(MID($B2571,2,20)),1000000000),1000000000))+ROW()/100000,"")</f>
        <v/>
      </c>
    </row>
    <row r="2572">
      <c r="A2572">
        <f>IF($B2572="","",IFERROR(IF(INDEX('Per Invoice'!$A$2:$A$801,MATCH($B2572,'Per Invoice'!$B$2:$B$801,0))=0,"",INDEX('Per Invoice'!$A$2:$A$801,MATCH($B2572,'Per Invoice'!$B$2:$B$801,0))),""))</f>
        <v/>
      </c>
      <c r="J2572" s="7">
        <f>IF($B2572="","",I2572*Q2572/100)</f>
        <v/>
      </c>
      <c r="N2572" s="7" t="n"/>
      <c r="O2572" s="7" t="n"/>
      <c r="P2572" s="7">
        <f>IF($B2572="","",O2572*X2572/100)</f>
        <v/>
      </c>
      <c r="Q2572" s="7">
        <f>IF($B2572="","",O2572-P2572)</f>
        <v/>
      </c>
      <c r="R2572" s="7">
        <f>IF($B2572="","",Q2572-J2572)</f>
        <v/>
      </c>
      <c r="S2572" s="7" t="n"/>
      <c r="T2572" s="7" t="n"/>
      <c r="V2572" s="14" t="n"/>
      <c r="Z2572">
        <f>IF($B2572="","",IF(COUNTIF($B$2:$B2572,$B2572)=1,1,0))</f>
        <v/>
      </c>
      <c r="AA2572">
        <f>IF($Z2572=1,SUMPRODUCT(--($AC$2:$AC$3001&lt;$AC2572))+1,"")</f>
        <v/>
      </c>
      <c r="AB2572">
        <f>IF($B2572="","",IF(OR($Y2572=TRUE(),$Y2572="TRUE"),1,IF(AND($Y2572&lt;&gt;"",OR($Y2572=FALSE(),$Y2572="FALSE")),0,IF(MIN(ABS($X2572/100-Settings!$C$6),ABS($X2572/100-Settings!$G$6))&lt;=MIN(ABS($X2572/100-Settings!$C$7),ABS($X2572/100-Settings!$G$7)),1,0))))</f>
        <v/>
      </c>
      <c r="AC2572">
        <f>IF($Z2572=1,IFERROR(IF(VALUE($B2572)&lt;100000000,VALUE($B2572),1000000000),IFERROR(IF(VALUE(MID($B2572,2,20))&lt;100000000,VALUE(MID($B2572,2,20)),1000000000),1000000000))+ROW()/100000,"")</f>
        <v/>
      </c>
    </row>
    <row r="2573">
      <c r="A2573">
        <f>IF($B2573="","",IFERROR(IF(INDEX('Per Invoice'!$A$2:$A$801,MATCH($B2573,'Per Invoice'!$B$2:$B$801,0))=0,"",INDEX('Per Invoice'!$A$2:$A$801,MATCH($B2573,'Per Invoice'!$B$2:$B$801,0))),""))</f>
        <v/>
      </c>
      <c r="J2573" s="7">
        <f>IF($B2573="","",I2573*Q2573/100)</f>
        <v/>
      </c>
      <c r="N2573" s="7" t="n"/>
      <c r="O2573" s="7" t="n"/>
      <c r="P2573" s="7">
        <f>IF($B2573="","",O2573*X2573/100)</f>
        <v/>
      </c>
      <c r="Q2573" s="7">
        <f>IF($B2573="","",O2573-P2573)</f>
        <v/>
      </c>
      <c r="R2573" s="7">
        <f>IF($B2573="","",Q2573-J2573)</f>
        <v/>
      </c>
      <c r="S2573" s="7" t="n"/>
      <c r="T2573" s="7" t="n"/>
      <c r="V2573" s="14" t="n"/>
      <c r="Z2573">
        <f>IF($B2573="","",IF(COUNTIF($B$2:$B2573,$B2573)=1,1,0))</f>
        <v/>
      </c>
      <c r="AA2573">
        <f>IF($Z2573=1,SUMPRODUCT(--($AC$2:$AC$3001&lt;$AC2573))+1,"")</f>
        <v/>
      </c>
      <c r="AB2573">
        <f>IF($B2573="","",IF(OR($Y2573=TRUE(),$Y2573="TRUE"),1,IF(AND($Y2573&lt;&gt;"",OR($Y2573=FALSE(),$Y2573="FALSE")),0,IF(MIN(ABS($X2573/100-Settings!$C$6),ABS($X2573/100-Settings!$G$6))&lt;=MIN(ABS($X2573/100-Settings!$C$7),ABS($X2573/100-Settings!$G$7)),1,0))))</f>
        <v/>
      </c>
      <c r="AC2573">
        <f>IF($Z2573=1,IFERROR(IF(VALUE($B2573)&lt;100000000,VALUE($B2573),1000000000),IFERROR(IF(VALUE(MID($B2573,2,20))&lt;100000000,VALUE(MID($B2573,2,20)),1000000000),1000000000))+ROW()/100000,"")</f>
        <v/>
      </c>
    </row>
    <row r="2574">
      <c r="A2574">
        <f>IF($B2574="","",IFERROR(IF(INDEX('Per Invoice'!$A$2:$A$801,MATCH($B2574,'Per Invoice'!$B$2:$B$801,0))=0,"",INDEX('Per Invoice'!$A$2:$A$801,MATCH($B2574,'Per Invoice'!$B$2:$B$801,0))),""))</f>
        <v/>
      </c>
      <c r="J2574" s="7">
        <f>IF($B2574="","",I2574*Q2574/100)</f>
        <v/>
      </c>
      <c r="N2574" s="7" t="n"/>
      <c r="O2574" s="7" t="n"/>
      <c r="P2574" s="7">
        <f>IF($B2574="","",O2574*X2574/100)</f>
        <v/>
      </c>
      <c r="Q2574" s="7">
        <f>IF($B2574="","",O2574-P2574)</f>
        <v/>
      </c>
      <c r="R2574" s="7">
        <f>IF($B2574="","",Q2574-J2574)</f>
        <v/>
      </c>
      <c r="S2574" s="7" t="n"/>
      <c r="T2574" s="7" t="n"/>
      <c r="V2574" s="14" t="n"/>
      <c r="Z2574">
        <f>IF($B2574="","",IF(COUNTIF($B$2:$B2574,$B2574)=1,1,0))</f>
        <v/>
      </c>
      <c r="AA2574">
        <f>IF($Z2574=1,SUMPRODUCT(--($AC$2:$AC$3001&lt;$AC2574))+1,"")</f>
        <v/>
      </c>
      <c r="AB2574">
        <f>IF($B2574="","",IF(OR($Y2574=TRUE(),$Y2574="TRUE"),1,IF(AND($Y2574&lt;&gt;"",OR($Y2574=FALSE(),$Y2574="FALSE")),0,IF(MIN(ABS($X2574/100-Settings!$C$6),ABS($X2574/100-Settings!$G$6))&lt;=MIN(ABS($X2574/100-Settings!$C$7),ABS($X2574/100-Settings!$G$7)),1,0))))</f>
        <v/>
      </c>
      <c r="AC2574">
        <f>IF($Z2574=1,IFERROR(IF(VALUE($B2574)&lt;100000000,VALUE($B2574),1000000000),IFERROR(IF(VALUE(MID($B2574,2,20))&lt;100000000,VALUE(MID($B2574,2,20)),1000000000),1000000000))+ROW()/100000,"")</f>
        <v/>
      </c>
    </row>
    <row r="2575">
      <c r="A2575">
        <f>IF($B2575="","",IFERROR(IF(INDEX('Per Invoice'!$A$2:$A$801,MATCH($B2575,'Per Invoice'!$B$2:$B$801,0))=0,"",INDEX('Per Invoice'!$A$2:$A$801,MATCH($B2575,'Per Invoice'!$B$2:$B$801,0))),""))</f>
        <v/>
      </c>
      <c r="J2575" s="7">
        <f>IF($B2575="","",I2575*Q2575/100)</f>
        <v/>
      </c>
      <c r="N2575" s="7" t="n"/>
      <c r="O2575" s="7" t="n"/>
      <c r="P2575" s="7">
        <f>IF($B2575="","",O2575*X2575/100)</f>
        <v/>
      </c>
      <c r="Q2575" s="7">
        <f>IF($B2575="","",O2575-P2575)</f>
        <v/>
      </c>
      <c r="R2575" s="7">
        <f>IF($B2575="","",Q2575-J2575)</f>
        <v/>
      </c>
      <c r="S2575" s="7" t="n"/>
      <c r="T2575" s="7" t="n"/>
      <c r="V2575" s="14" t="n"/>
      <c r="Z2575">
        <f>IF($B2575="","",IF(COUNTIF($B$2:$B2575,$B2575)=1,1,0))</f>
        <v/>
      </c>
      <c r="AA2575">
        <f>IF($Z2575=1,SUMPRODUCT(--($AC$2:$AC$3001&lt;$AC2575))+1,"")</f>
        <v/>
      </c>
      <c r="AB2575">
        <f>IF($B2575="","",IF(OR($Y2575=TRUE(),$Y2575="TRUE"),1,IF(AND($Y2575&lt;&gt;"",OR($Y2575=FALSE(),$Y2575="FALSE")),0,IF(MIN(ABS($X2575/100-Settings!$C$6),ABS($X2575/100-Settings!$G$6))&lt;=MIN(ABS($X2575/100-Settings!$C$7),ABS($X2575/100-Settings!$G$7)),1,0))))</f>
        <v/>
      </c>
      <c r="AC2575">
        <f>IF($Z2575=1,IFERROR(IF(VALUE($B2575)&lt;100000000,VALUE($B2575),1000000000),IFERROR(IF(VALUE(MID($B2575,2,20))&lt;100000000,VALUE(MID($B2575,2,20)),1000000000),1000000000))+ROW()/100000,"")</f>
        <v/>
      </c>
    </row>
    <row r="2576">
      <c r="A2576">
        <f>IF($B2576="","",IFERROR(IF(INDEX('Per Invoice'!$A$2:$A$801,MATCH($B2576,'Per Invoice'!$B$2:$B$801,0))=0,"",INDEX('Per Invoice'!$A$2:$A$801,MATCH($B2576,'Per Invoice'!$B$2:$B$801,0))),""))</f>
        <v/>
      </c>
      <c r="J2576" s="7">
        <f>IF($B2576="","",I2576*Q2576/100)</f>
        <v/>
      </c>
      <c r="N2576" s="7" t="n"/>
      <c r="O2576" s="7" t="n"/>
      <c r="P2576" s="7">
        <f>IF($B2576="","",O2576*X2576/100)</f>
        <v/>
      </c>
      <c r="Q2576" s="7">
        <f>IF($B2576="","",O2576-P2576)</f>
        <v/>
      </c>
      <c r="R2576" s="7">
        <f>IF($B2576="","",Q2576-J2576)</f>
        <v/>
      </c>
      <c r="S2576" s="7" t="n"/>
      <c r="T2576" s="7" t="n"/>
      <c r="V2576" s="14" t="n"/>
      <c r="Z2576">
        <f>IF($B2576="","",IF(COUNTIF($B$2:$B2576,$B2576)=1,1,0))</f>
        <v/>
      </c>
      <c r="AA2576">
        <f>IF($Z2576=1,SUMPRODUCT(--($AC$2:$AC$3001&lt;$AC2576))+1,"")</f>
        <v/>
      </c>
      <c r="AB2576">
        <f>IF($B2576="","",IF(OR($Y2576=TRUE(),$Y2576="TRUE"),1,IF(AND($Y2576&lt;&gt;"",OR($Y2576=FALSE(),$Y2576="FALSE")),0,IF(MIN(ABS($X2576/100-Settings!$C$6),ABS($X2576/100-Settings!$G$6))&lt;=MIN(ABS($X2576/100-Settings!$C$7),ABS($X2576/100-Settings!$G$7)),1,0))))</f>
        <v/>
      </c>
      <c r="AC2576">
        <f>IF($Z2576=1,IFERROR(IF(VALUE($B2576)&lt;100000000,VALUE($B2576),1000000000),IFERROR(IF(VALUE(MID($B2576,2,20))&lt;100000000,VALUE(MID($B2576,2,20)),1000000000),1000000000))+ROW()/100000,"")</f>
        <v/>
      </c>
    </row>
    <row r="2577">
      <c r="A2577">
        <f>IF($B2577="","",IFERROR(IF(INDEX('Per Invoice'!$A$2:$A$801,MATCH($B2577,'Per Invoice'!$B$2:$B$801,0))=0,"",INDEX('Per Invoice'!$A$2:$A$801,MATCH($B2577,'Per Invoice'!$B$2:$B$801,0))),""))</f>
        <v/>
      </c>
      <c r="J2577" s="7">
        <f>IF($B2577="","",I2577*Q2577/100)</f>
        <v/>
      </c>
      <c r="N2577" s="7" t="n"/>
      <c r="O2577" s="7" t="n"/>
      <c r="P2577" s="7">
        <f>IF($B2577="","",O2577*X2577/100)</f>
        <v/>
      </c>
      <c r="Q2577" s="7">
        <f>IF($B2577="","",O2577-P2577)</f>
        <v/>
      </c>
      <c r="R2577" s="7">
        <f>IF($B2577="","",Q2577-J2577)</f>
        <v/>
      </c>
      <c r="S2577" s="7" t="n"/>
      <c r="T2577" s="7" t="n"/>
      <c r="V2577" s="14" t="n"/>
      <c r="Z2577">
        <f>IF($B2577="","",IF(COUNTIF($B$2:$B2577,$B2577)=1,1,0))</f>
        <v/>
      </c>
      <c r="AA2577">
        <f>IF($Z2577=1,SUMPRODUCT(--($AC$2:$AC$3001&lt;$AC2577))+1,"")</f>
        <v/>
      </c>
      <c r="AB2577">
        <f>IF($B2577="","",IF(OR($Y2577=TRUE(),$Y2577="TRUE"),1,IF(AND($Y2577&lt;&gt;"",OR($Y2577=FALSE(),$Y2577="FALSE")),0,IF(MIN(ABS($X2577/100-Settings!$C$6),ABS($X2577/100-Settings!$G$6))&lt;=MIN(ABS($X2577/100-Settings!$C$7),ABS($X2577/100-Settings!$G$7)),1,0))))</f>
        <v/>
      </c>
      <c r="AC2577">
        <f>IF($Z2577=1,IFERROR(IF(VALUE($B2577)&lt;100000000,VALUE($B2577),1000000000),IFERROR(IF(VALUE(MID($B2577,2,20))&lt;100000000,VALUE(MID($B2577,2,20)),1000000000),1000000000))+ROW()/100000,"")</f>
        <v/>
      </c>
    </row>
    <row r="2578">
      <c r="A2578">
        <f>IF($B2578="","",IFERROR(IF(INDEX('Per Invoice'!$A$2:$A$801,MATCH($B2578,'Per Invoice'!$B$2:$B$801,0))=0,"",INDEX('Per Invoice'!$A$2:$A$801,MATCH($B2578,'Per Invoice'!$B$2:$B$801,0))),""))</f>
        <v/>
      </c>
      <c r="J2578" s="7">
        <f>IF($B2578="","",I2578*Q2578/100)</f>
        <v/>
      </c>
      <c r="N2578" s="7" t="n"/>
      <c r="O2578" s="7" t="n"/>
      <c r="P2578" s="7">
        <f>IF($B2578="","",O2578*X2578/100)</f>
        <v/>
      </c>
      <c r="Q2578" s="7">
        <f>IF($B2578="","",O2578-P2578)</f>
        <v/>
      </c>
      <c r="R2578" s="7">
        <f>IF($B2578="","",Q2578-J2578)</f>
        <v/>
      </c>
      <c r="S2578" s="7" t="n"/>
      <c r="T2578" s="7" t="n"/>
      <c r="V2578" s="14" t="n"/>
      <c r="Z2578">
        <f>IF($B2578="","",IF(COUNTIF($B$2:$B2578,$B2578)=1,1,0))</f>
        <v/>
      </c>
      <c r="AA2578">
        <f>IF($Z2578=1,SUMPRODUCT(--($AC$2:$AC$3001&lt;$AC2578))+1,"")</f>
        <v/>
      </c>
      <c r="AB2578">
        <f>IF($B2578="","",IF(OR($Y2578=TRUE(),$Y2578="TRUE"),1,IF(AND($Y2578&lt;&gt;"",OR($Y2578=FALSE(),$Y2578="FALSE")),0,IF(MIN(ABS($X2578/100-Settings!$C$6),ABS($X2578/100-Settings!$G$6))&lt;=MIN(ABS($X2578/100-Settings!$C$7),ABS($X2578/100-Settings!$G$7)),1,0))))</f>
        <v/>
      </c>
      <c r="AC2578">
        <f>IF($Z2578=1,IFERROR(IF(VALUE($B2578)&lt;100000000,VALUE($B2578),1000000000),IFERROR(IF(VALUE(MID($B2578,2,20))&lt;100000000,VALUE(MID($B2578,2,20)),1000000000),1000000000))+ROW()/100000,"")</f>
        <v/>
      </c>
    </row>
    <row r="2579">
      <c r="A2579">
        <f>IF($B2579="","",IFERROR(IF(INDEX('Per Invoice'!$A$2:$A$801,MATCH($B2579,'Per Invoice'!$B$2:$B$801,0))=0,"",INDEX('Per Invoice'!$A$2:$A$801,MATCH($B2579,'Per Invoice'!$B$2:$B$801,0))),""))</f>
        <v/>
      </c>
      <c r="J2579" s="7">
        <f>IF($B2579="","",I2579*Q2579/100)</f>
        <v/>
      </c>
      <c r="N2579" s="7" t="n"/>
      <c r="O2579" s="7" t="n"/>
      <c r="P2579" s="7">
        <f>IF($B2579="","",O2579*X2579/100)</f>
        <v/>
      </c>
      <c r="Q2579" s="7">
        <f>IF($B2579="","",O2579-P2579)</f>
        <v/>
      </c>
      <c r="R2579" s="7">
        <f>IF($B2579="","",Q2579-J2579)</f>
        <v/>
      </c>
      <c r="S2579" s="7" t="n"/>
      <c r="T2579" s="7" t="n"/>
      <c r="V2579" s="14" t="n"/>
      <c r="Z2579">
        <f>IF($B2579="","",IF(COUNTIF($B$2:$B2579,$B2579)=1,1,0))</f>
        <v/>
      </c>
      <c r="AA2579">
        <f>IF($Z2579=1,SUMPRODUCT(--($AC$2:$AC$3001&lt;$AC2579))+1,"")</f>
        <v/>
      </c>
      <c r="AB2579">
        <f>IF($B2579="","",IF(OR($Y2579=TRUE(),$Y2579="TRUE"),1,IF(AND($Y2579&lt;&gt;"",OR($Y2579=FALSE(),$Y2579="FALSE")),0,IF(MIN(ABS($X2579/100-Settings!$C$6),ABS($X2579/100-Settings!$G$6))&lt;=MIN(ABS($X2579/100-Settings!$C$7),ABS($X2579/100-Settings!$G$7)),1,0))))</f>
        <v/>
      </c>
      <c r="AC2579">
        <f>IF($Z2579=1,IFERROR(IF(VALUE($B2579)&lt;100000000,VALUE($B2579),1000000000),IFERROR(IF(VALUE(MID($B2579,2,20))&lt;100000000,VALUE(MID($B2579,2,20)),1000000000),1000000000))+ROW()/100000,"")</f>
        <v/>
      </c>
    </row>
    <row r="2580">
      <c r="A2580">
        <f>IF($B2580="","",IFERROR(IF(INDEX('Per Invoice'!$A$2:$A$801,MATCH($B2580,'Per Invoice'!$B$2:$B$801,0))=0,"",INDEX('Per Invoice'!$A$2:$A$801,MATCH($B2580,'Per Invoice'!$B$2:$B$801,0))),""))</f>
        <v/>
      </c>
      <c r="J2580" s="7">
        <f>IF($B2580="","",I2580*Q2580/100)</f>
        <v/>
      </c>
      <c r="N2580" s="7" t="n"/>
      <c r="O2580" s="7" t="n"/>
      <c r="P2580" s="7">
        <f>IF($B2580="","",O2580*X2580/100)</f>
        <v/>
      </c>
      <c r="Q2580" s="7">
        <f>IF($B2580="","",O2580-P2580)</f>
        <v/>
      </c>
      <c r="R2580" s="7">
        <f>IF($B2580="","",Q2580-J2580)</f>
        <v/>
      </c>
      <c r="S2580" s="7" t="n"/>
      <c r="T2580" s="7" t="n"/>
      <c r="V2580" s="14" t="n"/>
      <c r="Z2580">
        <f>IF($B2580="","",IF(COUNTIF($B$2:$B2580,$B2580)=1,1,0))</f>
        <v/>
      </c>
      <c r="AA2580">
        <f>IF($Z2580=1,SUMPRODUCT(--($AC$2:$AC$3001&lt;$AC2580))+1,"")</f>
        <v/>
      </c>
      <c r="AB2580">
        <f>IF($B2580="","",IF(OR($Y2580=TRUE(),$Y2580="TRUE"),1,IF(AND($Y2580&lt;&gt;"",OR($Y2580=FALSE(),$Y2580="FALSE")),0,IF(MIN(ABS($X2580/100-Settings!$C$6),ABS($X2580/100-Settings!$G$6))&lt;=MIN(ABS($X2580/100-Settings!$C$7),ABS($X2580/100-Settings!$G$7)),1,0))))</f>
        <v/>
      </c>
      <c r="AC2580">
        <f>IF($Z2580=1,IFERROR(IF(VALUE($B2580)&lt;100000000,VALUE($B2580),1000000000),IFERROR(IF(VALUE(MID($B2580,2,20))&lt;100000000,VALUE(MID($B2580,2,20)),1000000000),1000000000))+ROW()/100000,"")</f>
        <v/>
      </c>
    </row>
    <row r="2581">
      <c r="A2581">
        <f>IF($B2581="","",IFERROR(IF(INDEX('Per Invoice'!$A$2:$A$801,MATCH($B2581,'Per Invoice'!$B$2:$B$801,0))=0,"",INDEX('Per Invoice'!$A$2:$A$801,MATCH($B2581,'Per Invoice'!$B$2:$B$801,0))),""))</f>
        <v/>
      </c>
      <c r="J2581" s="7">
        <f>IF($B2581="","",I2581*Q2581/100)</f>
        <v/>
      </c>
      <c r="N2581" s="7" t="n"/>
      <c r="O2581" s="7" t="n"/>
      <c r="P2581" s="7">
        <f>IF($B2581="","",O2581*X2581/100)</f>
        <v/>
      </c>
      <c r="Q2581" s="7">
        <f>IF($B2581="","",O2581-P2581)</f>
        <v/>
      </c>
      <c r="R2581" s="7">
        <f>IF($B2581="","",Q2581-J2581)</f>
        <v/>
      </c>
      <c r="S2581" s="7" t="n"/>
      <c r="T2581" s="7" t="n"/>
      <c r="V2581" s="14" t="n"/>
      <c r="Z2581">
        <f>IF($B2581="","",IF(COUNTIF($B$2:$B2581,$B2581)=1,1,0))</f>
        <v/>
      </c>
      <c r="AA2581">
        <f>IF($Z2581=1,SUMPRODUCT(--($AC$2:$AC$3001&lt;$AC2581))+1,"")</f>
        <v/>
      </c>
      <c r="AB2581">
        <f>IF($B2581="","",IF(OR($Y2581=TRUE(),$Y2581="TRUE"),1,IF(AND($Y2581&lt;&gt;"",OR($Y2581=FALSE(),$Y2581="FALSE")),0,IF(MIN(ABS($X2581/100-Settings!$C$6),ABS($X2581/100-Settings!$G$6))&lt;=MIN(ABS($X2581/100-Settings!$C$7),ABS($X2581/100-Settings!$G$7)),1,0))))</f>
        <v/>
      </c>
      <c r="AC2581">
        <f>IF($Z2581=1,IFERROR(IF(VALUE($B2581)&lt;100000000,VALUE($B2581),1000000000),IFERROR(IF(VALUE(MID($B2581,2,20))&lt;100000000,VALUE(MID($B2581,2,20)),1000000000),1000000000))+ROW()/100000,"")</f>
        <v/>
      </c>
    </row>
    <row r="2582">
      <c r="A2582">
        <f>IF($B2582="","",IFERROR(IF(INDEX('Per Invoice'!$A$2:$A$801,MATCH($B2582,'Per Invoice'!$B$2:$B$801,0))=0,"",INDEX('Per Invoice'!$A$2:$A$801,MATCH($B2582,'Per Invoice'!$B$2:$B$801,0))),""))</f>
        <v/>
      </c>
      <c r="J2582" s="7">
        <f>IF($B2582="","",I2582*Q2582/100)</f>
        <v/>
      </c>
      <c r="N2582" s="7" t="n"/>
      <c r="O2582" s="7" t="n"/>
      <c r="P2582" s="7">
        <f>IF($B2582="","",O2582*X2582/100)</f>
        <v/>
      </c>
      <c r="Q2582" s="7">
        <f>IF($B2582="","",O2582-P2582)</f>
        <v/>
      </c>
      <c r="R2582" s="7">
        <f>IF($B2582="","",Q2582-J2582)</f>
        <v/>
      </c>
      <c r="S2582" s="7" t="n"/>
      <c r="T2582" s="7" t="n"/>
      <c r="V2582" s="14" t="n"/>
      <c r="Z2582">
        <f>IF($B2582="","",IF(COUNTIF($B$2:$B2582,$B2582)=1,1,0))</f>
        <v/>
      </c>
      <c r="AA2582">
        <f>IF($Z2582=1,SUMPRODUCT(--($AC$2:$AC$3001&lt;$AC2582))+1,"")</f>
        <v/>
      </c>
      <c r="AB2582">
        <f>IF($B2582="","",IF(OR($Y2582=TRUE(),$Y2582="TRUE"),1,IF(AND($Y2582&lt;&gt;"",OR($Y2582=FALSE(),$Y2582="FALSE")),0,IF(MIN(ABS($X2582/100-Settings!$C$6),ABS($X2582/100-Settings!$G$6))&lt;=MIN(ABS($X2582/100-Settings!$C$7),ABS($X2582/100-Settings!$G$7)),1,0))))</f>
        <v/>
      </c>
      <c r="AC2582">
        <f>IF($Z2582=1,IFERROR(IF(VALUE($B2582)&lt;100000000,VALUE($B2582),1000000000),IFERROR(IF(VALUE(MID($B2582,2,20))&lt;100000000,VALUE(MID($B2582,2,20)),1000000000),1000000000))+ROW()/100000,"")</f>
        <v/>
      </c>
    </row>
    <row r="2583">
      <c r="A2583">
        <f>IF($B2583="","",IFERROR(IF(INDEX('Per Invoice'!$A$2:$A$801,MATCH($B2583,'Per Invoice'!$B$2:$B$801,0))=0,"",INDEX('Per Invoice'!$A$2:$A$801,MATCH($B2583,'Per Invoice'!$B$2:$B$801,0))),""))</f>
        <v/>
      </c>
      <c r="J2583" s="7">
        <f>IF($B2583="","",I2583*Q2583/100)</f>
        <v/>
      </c>
      <c r="N2583" s="7" t="n"/>
      <c r="O2583" s="7" t="n"/>
      <c r="P2583" s="7">
        <f>IF($B2583="","",O2583*X2583/100)</f>
        <v/>
      </c>
      <c r="Q2583" s="7">
        <f>IF($B2583="","",O2583-P2583)</f>
        <v/>
      </c>
      <c r="R2583" s="7">
        <f>IF($B2583="","",Q2583-J2583)</f>
        <v/>
      </c>
      <c r="S2583" s="7" t="n"/>
      <c r="T2583" s="7" t="n"/>
      <c r="V2583" s="14" t="n"/>
      <c r="Z2583">
        <f>IF($B2583="","",IF(COUNTIF($B$2:$B2583,$B2583)=1,1,0))</f>
        <v/>
      </c>
      <c r="AA2583">
        <f>IF($Z2583=1,SUMPRODUCT(--($AC$2:$AC$3001&lt;$AC2583))+1,"")</f>
        <v/>
      </c>
      <c r="AB2583">
        <f>IF($B2583="","",IF(OR($Y2583=TRUE(),$Y2583="TRUE"),1,IF(AND($Y2583&lt;&gt;"",OR($Y2583=FALSE(),$Y2583="FALSE")),0,IF(MIN(ABS($X2583/100-Settings!$C$6),ABS($X2583/100-Settings!$G$6))&lt;=MIN(ABS($X2583/100-Settings!$C$7),ABS($X2583/100-Settings!$G$7)),1,0))))</f>
        <v/>
      </c>
      <c r="AC2583">
        <f>IF($Z2583=1,IFERROR(IF(VALUE($B2583)&lt;100000000,VALUE($B2583),1000000000),IFERROR(IF(VALUE(MID($B2583,2,20))&lt;100000000,VALUE(MID($B2583,2,20)),1000000000),1000000000))+ROW()/100000,"")</f>
        <v/>
      </c>
    </row>
    <row r="2584">
      <c r="A2584">
        <f>IF($B2584="","",IFERROR(IF(INDEX('Per Invoice'!$A$2:$A$801,MATCH($B2584,'Per Invoice'!$B$2:$B$801,0))=0,"",INDEX('Per Invoice'!$A$2:$A$801,MATCH($B2584,'Per Invoice'!$B$2:$B$801,0))),""))</f>
        <v/>
      </c>
      <c r="J2584" s="7">
        <f>IF($B2584="","",I2584*Q2584/100)</f>
        <v/>
      </c>
      <c r="N2584" s="7" t="n"/>
      <c r="O2584" s="7" t="n"/>
      <c r="P2584" s="7">
        <f>IF($B2584="","",O2584*X2584/100)</f>
        <v/>
      </c>
      <c r="Q2584" s="7">
        <f>IF($B2584="","",O2584-P2584)</f>
        <v/>
      </c>
      <c r="R2584" s="7">
        <f>IF($B2584="","",Q2584-J2584)</f>
        <v/>
      </c>
      <c r="S2584" s="7" t="n"/>
      <c r="T2584" s="7" t="n"/>
      <c r="V2584" s="14" t="n"/>
      <c r="Z2584">
        <f>IF($B2584="","",IF(COUNTIF($B$2:$B2584,$B2584)=1,1,0))</f>
        <v/>
      </c>
      <c r="AA2584">
        <f>IF($Z2584=1,SUMPRODUCT(--($AC$2:$AC$3001&lt;$AC2584))+1,"")</f>
        <v/>
      </c>
      <c r="AB2584">
        <f>IF($B2584="","",IF(OR($Y2584=TRUE(),$Y2584="TRUE"),1,IF(AND($Y2584&lt;&gt;"",OR($Y2584=FALSE(),$Y2584="FALSE")),0,IF(MIN(ABS($X2584/100-Settings!$C$6),ABS($X2584/100-Settings!$G$6))&lt;=MIN(ABS($X2584/100-Settings!$C$7),ABS($X2584/100-Settings!$G$7)),1,0))))</f>
        <v/>
      </c>
      <c r="AC2584">
        <f>IF($Z2584=1,IFERROR(IF(VALUE($B2584)&lt;100000000,VALUE($B2584),1000000000),IFERROR(IF(VALUE(MID($B2584,2,20))&lt;100000000,VALUE(MID($B2584,2,20)),1000000000),1000000000))+ROW()/100000,"")</f>
        <v/>
      </c>
    </row>
    <row r="2585">
      <c r="A2585">
        <f>IF($B2585="","",IFERROR(IF(INDEX('Per Invoice'!$A$2:$A$801,MATCH($B2585,'Per Invoice'!$B$2:$B$801,0))=0,"",INDEX('Per Invoice'!$A$2:$A$801,MATCH($B2585,'Per Invoice'!$B$2:$B$801,0))),""))</f>
        <v/>
      </c>
      <c r="J2585" s="7">
        <f>IF($B2585="","",I2585*Q2585/100)</f>
        <v/>
      </c>
      <c r="N2585" s="7" t="n"/>
      <c r="O2585" s="7" t="n"/>
      <c r="P2585" s="7">
        <f>IF($B2585="","",O2585*X2585/100)</f>
        <v/>
      </c>
      <c r="Q2585" s="7">
        <f>IF($B2585="","",O2585-P2585)</f>
        <v/>
      </c>
      <c r="R2585" s="7">
        <f>IF($B2585="","",Q2585-J2585)</f>
        <v/>
      </c>
      <c r="S2585" s="7" t="n"/>
      <c r="T2585" s="7" t="n"/>
      <c r="V2585" s="14" t="n"/>
      <c r="Z2585">
        <f>IF($B2585="","",IF(COUNTIF($B$2:$B2585,$B2585)=1,1,0))</f>
        <v/>
      </c>
      <c r="AA2585">
        <f>IF($Z2585=1,SUMPRODUCT(--($AC$2:$AC$3001&lt;$AC2585))+1,"")</f>
        <v/>
      </c>
      <c r="AB2585">
        <f>IF($B2585="","",IF(OR($Y2585=TRUE(),$Y2585="TRUE"),1,IF(AND($Y2585&lt;&gt;"",OR($Y2585=FALSE(),$Y2585="FALSE")),0,IF(MIN(ABS($X2585/100-Settings!$C$6),ABS($X2585/100-Settings!$G$6))&lt;=MIN(ABS($X2585/100-Settings!$C$7),ABS($X2585/100-Settings!$G$7)),1,0))))</f>
        <v/>
      </c>
      <c r="AC2585">
        <f>IF($Z2585=1,IFERROR(IF(VALUE($B2585)&lt;100000000,VALUE($B2585),1000000000),IFERROR(IF(VALUE(MID($B2585,2,20))&lt;100000000,VALUE(MID($B2585,2,20)),1000000000),1000000000))+ROW()/100000,"")</f>
        <v/>
      </c>
    </row>
    <row r="2586">
      <c r="A2586">
        <f>IF($B2586="","",IFERROR(IF(INDEX('Per Invoice'!$A$2:$A$801,MATCH($B2586,'Per Invoice'!$B$2:$B$801,0))=0,"",INDEX('Per Invoice'!$A$2:$A$801,MATCH($B2586,'Per Invoice'!$B$2:$B$801,0))),""))</f>
        <v/>
      </c>
      <c r="J2586" s="7">
        <f>IF($B2586="","",I2586*Q2586/100)</f>
        <v/>
      </c>
      <c r="N2586" s="7" t="n"/>
      <c r="O2586" s="7" t="n"/>
      <c r="P2586" s="7">
        <f>IF($B2586="","",O2586*X2586/100)</f>
        <v/>
      </c>
      <c r="Q2586" s="7">
        <f>IF($B2586="","",O2586-P2586)</f>
        <v/>
      </c>
      <c r="R2586" s="7">
        <f>IF($B2586="","",Q2586-J2586)</f>
        <v/>
      </c>
      <c r="S2586" s="7" t="n"/>
      <c r="T2586" s="7" t="n"/>
      <c r="V2586" s="14" t="n"/>
      <c r="Z2586">
        <f>IF($B2586="","",IF(COUNTIF($B$2:$B2586,$B2586)=1,1,0))</f>
        <v/>
      </c>
      <c r="AA2586">
        <f>IF($Z2586=1,SUMPRODUCT(--($AC$2:$AC$3001&lt;$AC2586))+1,"")</f>
        <v/>
      </c>
      <c r="AB2586">
        <f>IF($B2586="","",IF(OR($Y2586=TRUE(),$Y2586="TRUE"),1,IF(AND($Y2586&lt;&gt;"",OR($Y2586=FALSE(),$Y2586="FALSE")),0,IF(MIN(ABS($X2586/100-Settings!$C$6),ABS($X2586/100-Settings!$G$6))&lt;=MIN(ABS($X2586/100-Settings!$C$7),ABS($X2586/100-Settings!$G$7)),1,0))))</f>
        <v/>
      </c>
      <c r="AC2586">
        <f>IF($Z2586=1,IFERROR(IF(VALUE($B2586)&lt;100000000,VALUE($B2586),1000000000),IFERROR(IF(VALUE(MID($B2586,2,20))&lt;100000000,VALUE(MID($B2586,2,20)),1000000000),1000000000))+ROW()/100000,"")</f>
        <v/>
      </c>
    </row>
    <row r="2587">
      <c r="A2587">
        <f>IF($B2587="","",IFERROR(IF(INDEX('Per Invoice'!$A$2:$A$801,MATCH($B2587,'Per Invoice'!$B$2:$B$801,0))=0,"",INDEX('Per Invoice'!$A$2:$A$801,MATCH($B2587,'Per Invoice'!$B$2:$B$801,0))),""))</f>
        <v/>
      </c>
      <c r="J2587" s="7">
        <f>IF($B2587="","",I2587*Q2587/100)</f>
        <v/>
      </c>
      <c r="N2587" s="7" t="n"/>
      <c r="O2587" s="7" t="n"/>
      <c r="P2587" s="7">
        <f>IF($B2587="","",O2587*X2587/100)</f>
        <v/>
      </c>
      <c r="Q2587" s="7">
        <f>IF($B2587="","",O2587-P2587)</f>
        <v/>
      </c>
      <c r="R2587" s="7">
        <f>IF($B2587="","",Q2587-J2587)</f>
        <v/>
      </c>
      <c r="S2587" s="7" t="n"/>
      <c r="T2587" s="7" t="n"/>
      <c r="V2587" s="14" t="n"/>
      <c r="Z2587">
        <f>IF($B2587="","",IF(COUNTIF($B$2:$B2587,$B2587)=1,1,0))</f>
        <v/>
      </c>
      <c r="AA2587">
        <f>IF($Z2587=1,SUMPRODUCT(--($AC$2:$AC$3001&lt;$AC2587))+1,"")</f>
        <v/>
      </c>
      <c r="AB2587">
        <f>IF($B2587="","",IF(OR($Y2587=TRUE(),$Y2587="TRUE"),1,IF(AND($Y2587&lt;&gt;"",OR($Y2587=FALSE(),$Y2587="FALSE")),0,IF(MIN(ABS($X2587/100-Settings!$C$6),ABS($X2587/100-Settings!$G$6))&lt;=MIN(ABS($X2587/100-Settings!$C$7),ABS($X2587/100-Settings!$G$7)),1,0))))</f>
        <v/>
      </c>
      <c r="AC2587">
        <f>IF($Z2587=1,IFERROR(IF(VALUE($B2587)&lt;100000000,VALUE($B2587),1000000000),IFERROR(IF(VALUE(MID($B2587,2,20))&lt;100000000,VALUE(MID($B2587,2,20)),1000000000),1000000000))+ROW()/100000,"")</f>
        <v/>
      </c>
    </row>
    <row r="2588">
      <c r="A2588">
        <f>IF($B2588="","",IFERROR(IF(INDEX('Per Invoice'!$A$2:$A$801,MATCH($B2588,'Per Invoice'!$B$2:$B$801,0))=0,"",INDEX('Per Invoice'!$A$2:$A$801,MATCH($B2588,'Per Invoice'!$B$2:$B$801,0))),""))</f>
        <v/>
      </c>
      <c r="J2588" s="7">
        <f>IF($B2588="","",I2588*Q2588/100)</f>
        <v/>
      </c>
      <c r="N2588" s="7" t="n"/>
      <c r="O2588" s="7" t="n"/>
      <c r="P2588" s="7">
        <f>IF($B2588="","",O2588*X2588/100)</f>
        <v/>
      </c>
      <c r="Q2588" s="7">
        <f>IF($B2588="","",O2588-P2588)</f>
        <v/>
      </c>
      <c r="R2588" s="7">
        <f>IF($B2588="","",Q2588-J2588)</f>
        <v/>
      </c>
      <c r="S2588" s="7" t="n"/>
      <c r="T2588" s="7" t="n"/>
      <c r="V2588" s="14" t="n"/>
      <c r="Z2588">
        <f>IF($B2588="","",IF(COUNTIF($B$2:$B2588,$B2588)=1,1,0))</f>
        <v/>
      </c>
      <c r="AA2588">
        <f>IF($Z2588=1,SUMPRODUCT(--($AC$2:$AC$3001&lt;$AC2588))+1,"")</f>
        <v/>
      </c>
      <c r="AB2588">
        <f>IF($B2588="","",IF(OR($Y2588=TRUE(),$Y2588="TRUE"),1,IF(AND($Y2588&lt;&gt;"",OR($Y2588=FALSE(),$Y2588="FALSE")),0,IF(MIN(ABS($X2588/100-Settings!$C$6),ABS($X2588/100-Settings!$G$6))&lt;=MIN(ABS($X2588/100-Settings!$C$7),ABS($X2588/100-Settings!$G$7)),1,0))))</f>
        <v/>
      </c>
      <c r="AC2588">
        <f>IF($Z2588=1,IFERROR(IF(VALUE($B2588)&lt;100000000,VALUE($B2588),1000000000),IFERROR(IF(VALUE(MID($B2588,2,20))&lt;100000000,VALUE(MID($B2588,2,20)),1000000000),1000000000))+ROW()/100000,"")</f>
        <v/>
      </c>
    </row>
    <row r="2589">
      <c r="A2589">
        <f>IF($B2589="","",IFERROR(IF(INDEX('Per Invoice'!$A$2:$A$801,MATCH($B2589,'Per Invoice'!$B$2:$B$801,0))=0,"",INDEX('Per Invoice'!$A$2:$A$801,MATCH($B2589,'Per Invoice'!$B$2:$B$801,0))),""))</f>
        <v/>
      </c>
      <c r="J2589" s="7">
        <f>IF($B2589="","",I2589*Q2589/100)</f>
        <v/>
      </c>
      <c r="N2589" s="7" t="n"/>
      <c r="O2589" s="7" t="n"/>
      <c r="P2589" s="7">
        <f>IF($B2589="","",O2589*X2589/100)</f>
        <v/>
      </c>
      <c r="Q2589" s="7">
        <f>IF($B2589="","",O2589-P2589)</f>
        <v/>
      </c>
      <c r="R2589" s="7">
        <f>IF($B2589="","",Q2589-J2589)</f>
        <v/>
      </c>
      <c r="S2589" s="7" t="n"/>
      <c r="T2589" s="7" t="n"/>
      <c r="V2589" s="14" t="n"/>
      <c r="Z2589">
        <f>IF($B2589="","",IF(COUNTIF($B$2:$B2589,$B2589)=1,1,0))</f>
        <v/>
      </c>
      <c r="AA2589">
        <f>IF($Z2589=1,SUMPRODUCT(--($AC$2:$AC$3001&lt;$AC2589))+1,"")</f>
        <v/>
      </c>
      <c r="AB2589">
        <f>IF($B2589="","",IF(OR($Y2589=TRUE(),$Y2589="TRUE"),1,IF(AND($Y2589&lt;&gt;"",OR($Y2589=FALSE(),$Y2589="FALSE")),0,IF(MIN(ABS($X2589/100-Settings!$C$6),ABS($X2589/100-Settings!$G$6))&lt;=MIN(ABS($X2589/100-Settings!$C$7),ABS($X2589/100-Settings!$G$7)),1,0))))</f>
        <v/>
      </c>
      <c r="AC2589">
        <f>IF($Z2589=1,IFERROR(IF(VALUE($B2589)&lt;100000000,VALUE($B2589),1000000000),IFERROR(IF(VALUE(MID($B2589,2,20))&lt;100000000,VALUE(MID($B2589,2,20)),1000000000),1000000000))+ROW()/100000,"")</f>
        <v/>
      </c>
    </row>
    <row r="2590">
      <c r="A2590">
        <f>IF($B2590="","",IFERROR(IF(INDEX('Per Invoice'!$A$2:$A$801,MATCH($B2590,'Per Invoice'!$B$2:$B$801,0))=0,"",INDEX('Per Invoice'!$A$2:$A$801,MATCH($B2590,'Per Invoice'!$B$2:$B$801,0))),""))</f>
        <v/>
      </c>
      <c r="J2590" s="7">
        <f>IF($B2590="","",I2590*Q2590/100)</f>
        <v/>
      </c>
      <c r="N2590" s="7" t="n"/>
      <c r="O2590" s="7" t="n"/>
      <c r="P2590" s="7">
        <f>IF($B2590="","",O2590*X2590/100)</f>
        <v/>
      </c>
      <c r="Q2590" s="7">
        <f>IF($B2590="","",O2590-P2590)</f>
        <v/>
      </c>
      <c r="R2590" s="7">
        <f>IF($B2590="","",Q2590-J2590)</f>
        <v/>
      </c>
      <c r="S2590" s="7" t="n"/>
      <c r="T2590" s="7" t="n"/>
      <c r="V2590" s="14" t="n"/>
      <c r="Z2590">
        <f>IF($B2590="","",IF(COUNTIF($B$2:$B2590,$B2590)=1,1,0))</f>
        <v/>
      </c>
      <c r="AA2590">
        <f>IF($Z2590=1,SUMPRODUCT(--($AC$2:$AC$3001&lt;$AC2590))+1,"")</f>
        <v/>
      </c>
      <c r="AB2590">
        <f>IF($B2590="","",IF(OR($Y2590=TRUE(),$Y2590="TRUE"),1,IF(AND($Y2590&lt;&gt;"",OR($Y2590=FALSE(),$Y2590="FALSE")),0,IF(MIN(ABS($X2590/100-Settings!$C$6),ABS($X2590/100-Settings!$G$6))&lt;=MIN(ABS($X2590/100-Settings!$C$7),ABS($X2590/100-Settings!$G$7)),1,0))))</f>
        <v/>
      </c>
      <c r="AC2590">
        <f>IF($Z2590=1,IFERROR(IF(VALUE($B2590)&lt;100000000,VALUE($B2590),1000000000),IFERROR(IF(VALUE(MID($B2590,2,20))&lt;100000000,VALUE(MID($B2590,2,20)),1000000000),1000000000))+ROW()/100000,"")</f>
        <v/>
      </c>
    </row>
    <row r="2591">
      <c r="A2591">
        <f>IF($B2591="","",IFERROR(IF(INDEX('Per Invoice'!$A$2:$A$801,MATCH($B2591,'Per Invoice'!$B$2:$B$801,0))=0,"",INDEX('Per Invoice'!$A$2:$A$801,MATCH($B2591,'Per Invoice'!$B$2:$B$801,0))),""))</f>
        <v/>
      </c>
      <c r="J2591" s="7">
        <f>IF($B2591="","",I2591*Q2591/100)</f>
        <v/>
      </c>
      <c r="N2591" s="7" t="n"/>
      <c r="O2591" s="7" t="n"/>
      <c r="P2591" s="7">
        <f>IF($B2591="","",O2591*X2591/100)</f>
        <v/>
      </c>
      <c r="Q2591" s="7">
        <f>IF($B2591="","",O2591-P2591)</f>
        <v/>
      </c>
      <c r="R2591" s="7">
        <f>IF($B2591="","",Q2591-J2591)</f>
        <v/>
      </c>
      <c r="S2591" s="7" t="n"/>
      <c r="T2591" s="7" t="n"/>
      <c r="V2591" s="14" t="n"/>
      <c r="Z2591">
        <f>IF($B2591="","",IF(COUNTIF($B$2:$B2591,$B2591)=1,1,0))</f>
        <v/>
      </c>
      <c r="AA2591">
        <f>IF($Z2591=1,SUMPRODUCT(--($AC$2:$AC$3001&lt;$AC2591))+1,"")</f>
        <v/>
      </c>
      <c r="AB2591">
        <f>IF($B2591="","",IF(OR($Y2591=TRUE(),$Y2591="TRUE"),1,IF(AND($Y2591&lt;&gt;"",OR($Y2591=FALSE(),$Y2591="FALSE")),0,IF(MIN(ABS($X2591/100-Settings!$C$6),ABS($X2591/100-Settings!$G$6))&lt;=MIN(ABS($X2591/100-Settings!$C$7),ABS($X2591/100-Settings!$G$7)),1,0))))</f>
        <v/>
      </c>
      <c r="AC2591">
        <f>IF($Z2591=1,IFERROR(IF(VALUE($B2591)&lt;100000000,VALUE($B2591),1000000000),IFERROR(IF(VALUE(MID($B2591,2,20))&lt;100000000,VALUE(MID($B2591,2,20)),1000000000),1000000000))+ROW()/100000,"")</f>
        <v/>
      </c>
    </row>
    <row r="2592">
      <c r="A2592">
        <f>IF($B2592="","",IFERROR(IF(INDEX('Per Invoice'!$A$2:$A$801,MATCH($B2592,'Per Invoice'!$B$2:$B$801,0))=0,"",INDEX('Per Invoice'!$A$2:$A$801,MATCH($B2592,'Per Invoice'!$B$2:$B$801,0))),""))</f>
        <v/>
      </c>
      <c r="J2592" s="7">
        <f>IF($B2592="","",I2592*Q2592/100)</f>
        <v/>
      </c>
      <c r="N2592" s="7" t="n"/>
      <c r="O2592" s="7" t="n"/>
      <c r="P2592" s="7">
        <f>IF($B2592="","",O2592*X2592/100)</f>
        <v/>
      </c>
      <c r="Q2592" s="7">
        <f>IF($B2592="","",O2592-P2592)</f>
        <v/>
      </c>
      <c r="R2592" s="7">
        <f>IF($B2592="","",Q2592-J2592)</f>
        <v/>
      </c>
      <c r="S2592" s="7" t="n"/>
      <c r="T2592" s="7" t="n"/>
      <c r="V2592" s="14" t="n"/>
      <c r="Z2592">
        <f>IF($B2592="","",IF(COUNTIF($B$2:$B2592,$B2592)=1,1,0))</f>
        <v/>
      </c>
      <c r="AA2592">
        <f>IF($Z2592=1,SUMPRODUCT(--($AC$2:$AC$3001&lt;$AC2592))+1,"")</f>
        <v/>
      </c>
      <c r="AB2592">
        <f>IF($B2592="","",IF(OR($Y2592=TRUE(),$Y2592="TRUE"),1,IF(AND($Y2592&lt;&gt;"",OR($Y2592=FALSE(),$Y2592="FALSE")),0,IF(MIN(ABS($X2592/100-Settings!$C$6),ABS($X2592/100-Settings!$G$6))&lt;=MIN(ABS($X2592/100-Settings!$C$7),ABS($X2592/100-Settings!$G$7)),1,0))))</f>
        <v/>
      </c>
      <c r="AC2592">
        <f>IF($Z2592=1,IFERROR(IF(VALUE($B2592)&lt;100000000,VALUE($B2592),1000000000),IFERROR(IF(VALUE(MID($B2592,2,20))&lt;100000000,VALUE(MID($B2592,2,20)),1000000000),1000000000))+ROW()/100000,"")</f>
        <v/>
      </c>
    </row>
    <row r="2593">
      <c r="A2593">
        <f>IF($B2593="","",IFERROR(IF(INDEX('Per Invoice'!$A$2:$A$801,MATCH($B2593,'Per Invoice'!$B$2:$B$801,0))=0,"",INDEX('Per Invoice'!$A$2:$A$801,MATCH($B2593,'Per Invoice'!$B$2:$B$801,0))),""))</f>
        <v/>
      </c>
      <c r="J2593" s="7">
        <f>IF($B2593="","",I2593*Q2593/100)</f>
        <v/>
      </c>
      <c r="N2593" s="7" t="n"/>
      <c r="O2593" s="7" t="n"/>
      <c r="P2593" s="7">
        <f>IF($B2593="","",O2593*X2593/100)</f>
        <v/>
      </c>
      <c r="Q2593" s="7">
        <f>IF($B2593="","",O2593-P2593)</f>
        <v/>
      </c>
      <c r="R2593" s="7">
        <f>IF($B2593="","",Q2593-J2593)</f>
        <v/>
      </c>
      <c r="S2593" s="7" t="n"/>
      <c r="T2593" s="7" t="n"/>
      <c r="V2593" s="14" t="n"/>
      <c r="Z2593">
        <f>IF($B2593="","",IF(COUNTIF($B$2:$B2593,$B2593)=1,1,0))</f>
        <v/>
      </c>
      <c r="AA2593">
        <f>IF($Z2593=1,SUMPRODUCT(--($AC$2:$AC$3001&lt;$AC2593))+1,"")</f>
        <v/>
      </c>
      <c r="AB2593">
        <f>IF($B2593="","",IF(OR($Y2593=TRUE(),$Y2593="TRUE"),1,IF(AND($Y2593&lt;&gt;"",OR($Y2593=FALSE(),$Y2593="FALSE")),0,IF(MIN(ABS($X2593/100-Settings!$C$6),ABS($X2593/100-Settings!$G$6))&lt;=MIN(ABS($X2593/100-Settings!$C$7),ABS($X2593/100-Settings!$G$7)),1,0))))</f>
        <v/>
      </c>
      <c r="AC2593">
        <f>IF($Z2593=1,IFERROR(IF(VALUE($B2593)&lt;100000000,VALUE($B2593),1000000000),IFERROR(IF(VALUE(MID($B2593,2,20))&lt;100000000,VALUE(MID($B2593,2,20)),1000000000),1000000000))+ROW()/100000,"")</f>
        <v/>
      </c>
    </row>
    <row r="2594">
      <c r="A2594">
        <f>IF($B2594="","",IFERROR(IF(INDEX('Per Invoice'!$A$2:$A$801,MATCH($B2594,'Per Invoice'!$B$2:$B$801,0))=0,"",INDEX('Per Invoice'!$A$2:$A$801,MATCH($B2594,'Per Invoice'!$B$2:$B$801,0))),""))</f>
        <v/>
      </c>
      <c r="J2594" s="7">
        <f>IF($B2594="","",I2594*Q2594/100)</f>
        <v/>
      </c>
      <c r="N2594" s="7" t="n"/>
      <c r="O2594" s="7" t="n"/>
      <c r="P2594" s="7">
        <f>IF($B2594="","",O2594*X2594/100)</f>
        <v/>
      </c>
      <c r="Q2594" s="7">
        <f>IF($B2594="","",O2594-P2594)</f>
        <v/>
      </c>
      <c r="R2594" s="7">
        <f>IF($B2594="","",Q2594-J2594)</f>
        <v/>
      </c>
      <c r="S2594" s="7" t="n"/>
      <c r="T2594" s="7" t="n"/>
      <c r="V2594" s="14" t="n"/>
      <c r="Z2594">
        <f>IF($B2594="","",IF(COUNTIF($B$2:$B2594,$B2594)=1,1,0))</f>
        <v/>
      </c>
      <c r="AA2594">
        <f>IF($Z2594=1,SUMPRODUCT(--($AC$2:$AC$3001&lt;$AC2594))+1,"")</f>
        <v/>
      </c>
      <c r="AB2594">
        <f>IF($B2594="","",IF(OR($Y2594=TRUE(),$Y2594="TRUE"),1,IF(AND($Y2594&lt;&gt;"",OR($Y2594=FALSE(),$Y2594="FALSE")),0,IF(MIN(ABS($X2594/100-Settings!$C$6),ABS($X2594/100-Settings!$G$6))&lt;=MIN(ABS($X2594/100-Settings!$C$7),ABS($X2594/100-Settings!$G$7)),1,0))))</f>
        <v/>
      </c>
      <c r="AC2594">
        <f>IF($Z2594=1,IFERROR(IF(VALUE($B2594)&lt;100000000,VALUE($B2594),1000000000),IFERROR(IF(VALUE(MID($B2594,2,20))&lt;100000000,VALUE(MID($B2594,2,20)),1000000000),1000000000))+ROW()/100000,"")</f>
        <v/>
      </c>
    </row>
    <row r="2595">
      <c r="A2595">
        <f>IF($B2595="","",IFERROR(IF(INDEX('Per Invoice'!$A$2:$A$801,MATCH($B2595,'Per Invoice'!$B$2:$B$801,0))=0,"",INDEX('Per Invoice'!$A$2:$A$801,MATCH($B2595,'Per Invoice'!$B$2:$B$801,0))),""))</f>
        <v/>
      </c>
      <c r="J2595" s="7">
        <f>IF($B2595="","",I2595*Q2595/100)</f>
        <v/>
      </c>
      <c r="N2595" s="7" t="n"/>
      <c r="O2595" s="7" t="n"/>
      <c r="P2595" s="7">
        <f>IF($B2595="","",O2595*X2595/100)</f>
        <v/>
      </c>
      <c r="Q2595" s="7">
        <f>IF($B2595="","",O2595-P2595)</f>
        <v/>
      </c>
      <c r="R2595" s="7">
        <f>IF($B2595="","",Q2595-J2595)</f>
        <v/>
      </c>
      <c r="S2595" s="7" t="n"/>
      <c r="T2595" s="7" t="n"/>
      <c r="V2595" s="14" t="n"/>
      <c r="Z2595">
        <f>IF($B2595="","",IF(COUNTIF($B$2:$B2595,$B2595)=1,1,0))</f>
        <v/>
      </c>
      <c r="AA2595">
        <f>IF($Z2595=1,SUMPRODUCT(--($AC$2:$AC$3001&lt;$AC2595))+1,"")</f>
        <v/>
      </c>
      <c r="AB2595">
        <f>IF($B2595="","",IF(OR($Y2595=TRUE(),$Y2595="TRUE"),1,IF(AND($Y2595&lt;&gt;"",OR($Y2595=FALSE(),$Y2595="FALSE")),0,IF(MIN(ABS($X2595/100-Settings!$C$6),ABS($X2595/100-Settings!$G$6))&lt;=MIN(ABS($X2595/100-Settings!$C$7),ABS($X2595/100-Settings!$G$7)),1,0))))</f>
        <v/>
      </c>
      <c r="AC2595">
        <f>IF($Z2595=1,IFERROR(IF(VALUE($B2595)&lt;100000000,VALUE($B2595),1000000000),IFERROR(IF(VALUE(MID($B2595,2,20))&lt;100000000,VALUE(MID($B2595,2,20)),1000000000),1000000000))+ROW()/100000,"")</f>
        <v/>
      </c>
    </row>
    <row r="2596">
      <c r="A2596">
        <f>IF($B2596="","",IFERROR(IF(INDEX('Per Invoice'!$A$2:$A$801,MATCH($B2596,'Per Invoice'!$B$2:$B$801,0))=0,"",INDEX('Per Invoice'!$A$2:$A$801,MATCH($B2596,'Per Invoice'!$B$2:$B$801,0))),""))</f>
        <v/>
      </c>
      <c r="J2596" s="7">
        <f>IF($B2596="","",I2596*Q2596/100)</f>
        <v/>
      </c>
      <c r="N2596" s="7" t="n"/>
      <c r="O2596" s="7" t="n"/>
      <c r="P2596" s="7">
        <f>IF($B2596="","",O2596*X2596/100)</f>
        <v/>
      </c>
      <c r="Q2596" s="7">
        <f>IF($B2596="","",O2596-P2596)</f>
        <v/>
      </c>
      <c r="R2596" s="7">
        <f>IF($B2596="","",Q2596-J2596)</f>
        <v/>
      </c>
      <c r="S2596" s="7" t="n"/>
      <c r="T2596" s="7" t="n"/>
      <c r="V2596" s="14" t="n"/>
      <c r="Z2596">
        <f>IF($B2596="","",IF(COUNTIF($B$2:$B2596,$B2596)=1,1,0))</f>
        <v/>
      </c>
      <c r="AA2596">
        <f>IF($Z2596=1,SUMPRODUCT(--($AC$2:$AC$3001&lt;$AC2596))+1,"")</f>
        <v/>
      </c>
      <c r="AB2596">
        <f>IF($B2596="","",IF(OR($Y2596=TRUE(),$Y2596="TRUE"),1,IF(AND($Y2596&lt;&gt;"",OR($Y2596=FALSE(),$Y2596="FALSE")),0,IF(MIN(ABS($X2596/100-Settings!$C$6),ABS($X2596/100-Settings!$G$6))&lt;=MIN(ABS($X2596/100-Settings!$C$7),ABS($X2596/100-Settings!$G$7)),1,0))))</f>
        <v/>
      </c>
      <c r="AC2596">
        <f>IF($Z2596=1,IFERROR(IF(VALUE($B2596)&lt;100000000,VALUE($B2596),1000000000),IFERROR(IF(VALUE(MID($B2596,2,20))&lt;100000000,VALUE(MID($B2596,2,20)),1000000000),1000000000))+ROW()/100000,"")</f>
        <v/>
      </c>
    </row>
    <row r="2597">
      <c r="A2597">
        <f>IF($B2597="","",IFERROR(IF(INDEX('Per Invoice'!$A$2:$A$801,MATCH($B2597,'Per Invoice'!$B$2:$B$801,0))=0,"",INDEX('Per Invoice'!$A$2:$A$801,MATCH($B2597,'Per Invoice'!$B$2:$B$801,0))),""))</f>
        <v/>
      </c>
      <c r="J2597" s="7">
        <f>IF($B2597="","",I2597*Q2597/100)</f>
        <v/>
      </c>
      <c r="N2597" s="7" t="n"/>
      <c r="O2597" s="7" t="n"/>
      <c r="P2597" s="7">
        <f>IF($B2597="","",O2597*X2597/100)</f>
        <v/>
      </c>
      <c r="Q2597" s="7">
        <f>IF($B2597="","",O2597-P2597)</f>
        <v/>
      </c>
      <c r="R2597" s="7">
        <f>IF($B2597="","",Q2597-J2597)</f>
        <v/>
      </c>
      <c r="S2597" s="7" t="n"/>
      <c r="T2597" s="7" t="n"/>
      <c r="V2597" s="14" t="n"/>
      <c r="Z2597">
        <f>IF($B2597="","",IF(COUNTIF($B$2:$B2597,$B2597)=1,1,0))</f>
        <v/>
      </c>
      <c r="AA2597">
        <f>IF($Z2597=1,SUMPRODUCT(--($AC$2:$AC$3001&lt;$AC2597))+1,"")</f>
        <v/>
      </c>
      <c r="AB2597">
        <f>IF($B2597="","",IF(OR($Y2597=TRUE(),$Y2597="TRUE"),1,IF(AND($Y2597&lt;&gt;"",OR($Y2597=FALSE(),$Y2597="FALSE")),0,IF(MIN(ABS($X2597/100-Settings!$C$6),ABS($X2597/100-Settings!$G$6))&lt;=MIN(ABS($X2597/100-Settings!$C$7),ABS($X2597/100-Settings!$G$7)),1,0))))</f>
        <v/>
      </c>
      <c r="AC2597">
        <f>IF($Z2597=1,IFERROR(IF(VALUE($B2597)&lt;100000000,VALUE($B2597),1000000000),IFERROR(IF(VALUE(MID($B2597,2,20))&lt;100000000,VALUE(MID($B2597,2,20)),1000000000),1000000000))+ROW()/100000,"")</f>
        <v/>
      </c>
    </row>
    <row r="2598">
      <c r="A2598">
        <f>IF($B2598="","",IFERROR(IF(INDEX('Per Invoice'!$A$2:$A$801,MATCH($B2598,'Per Invoice'!$B$2:$B$801,0))=0,"",INDEX('Per Invoice'!$A$2:$A$801,MATCH($B2598,'Per Invoice'!$B$2:$B$801,0))),""))</f>
        <v/>
      </c>
      <c r="J2598" s="7">
        <f>IF($B2598="","",I2598*Q2598/100)</f>
        <v/>
      </c>
      <c r="N2598" s="7" t="n"/>
      <c r="O2598" s="7" t="n"/>
      <c r="P2598" s="7">
        <f>IF($B2598="","",O2598*X2598/100)</f>
        <v/>
      </c>
      <c r="Q2598" s="7">
        <f>IF($B2598="","",O2598-P2598)</f>
        <v/>
      </c>
      <c r="R2598" s="7">
        <f>IF($B2598="","",Q2598-J2598)</f>
        <v/>
      </c>
      <c r="S2598" s="7" t="n"/>
      <c r="T2598" s="7" t="n"/>
      <c r="V2598" s="14" t="n"/>
      <c r="Z2598">
        <f>IF($B2598="","",IF(COUNTIF($B$2:$B2598,$B2598)=1,1,0))</f>
        <v/>
      </c>
      <c r="AA2598">
        <f>IF($Z2598=1,SUMPRODUCT(--($AC$2:$AC$3001&lt;$AC2598))+1,"")</f>
        <v/>
      </c>
      <c r="AB2598">
        <f>IF($B2598="","",IF(OR($Y2598=TRUE(),$Y2598="TRUE"),1,IF(AND($Y2598&lt;&gt;"",OR($Y2598=FALSE(),$Y2598="FALSE")),0,IF(MIN(ABS($X2598/100-Settings!$C$6),ABS($X2598/100-Settings!$G$6))&lt;=MIN(ABS($X2598/100-Settings!$C$7),ABS($X2598/100-Settings!$G$7)),1,0))))</f>
        <v/>
      </c>
      <c r="AC2598">
        <f>IF($Z2598=1,IFERROR(IF(VALUE($B2598)&lt;100000000,VALUE($B2598),1000000000),IFERROR(IF(VALUE(MID($B2598,2,20))&lt;100000000,VALUE(MID($B2598,2,20)),1000000000),1000000000))+ROW()/100000,"")</f>
        <v/>
      </c>
    </row>
    <row r="2599">
      <c r="A2599">
        <f>IF($B2599="","",IFERROR(IF(INDEX('Per Invoice'!$A$2:$A$801,MATCH($B2599,'Per Invoice'!$B$2:$B$801,0))=0,"",INDEX('Per Invoice'!$A$2:$A$801,MATCH($B2599,'Per Invoice'!$B$2:$B$801,0))),""))</f>
        <v/>
      </c>
      <c r="J2599" s="7">
        <f>IF($B2599="","",I2599*Q2599/100)</f>
        <v/>
      </c>
      <c r="N2599" s="7" t="n"/>
      <c r="O2599" s="7" t="n"/>
      <c r="P2599" s="7">
        <f>IF($B2599="","",O2599*X2599/100)</f>
        <v/>
      </c>
      <c r="Q2599" s="7">
        <f>IF($B2599="","",O2599-P2599)</f>
        <v/>
      </c>
      <c r="R2599" s="7">
        <f>IF($B2599="","",Q2599-J2599)</f>
        <v/>
      </c>
      <c r="S2599" s="7" t="n"/>
      <c r="T2599" s="7" t="n"/>
      <c r="V2599" s="14" t="n"/>
      <c r="Z2599">
        <f>IF($B2599="","",IF(COUNTIF($B$2:$B2599,$B2599)=1,1,0))</f>
        <v/>
      </c>
      <c r="AA2599">
        <f>IF($Z2599=1,SUMPRODUCT(--($AC$2:$AC$3001&lt;$AC2599))+1,"")</f>
        <v/>
      </c>
      <c r="AB2599">
        <f>IF($B2599="","",IF(OR($Y2599=TRUE(),$Y2599="TRUE"),1,IF(AND($Y2599&lt;&gt;"",OR($Y2599=FALSE(),$Y2599="FALSE")),0,IF(MIN(ABS($X2599/100-Settings!$C$6),ABS($X2599/100-Settings!$G$6))&lt;=MIN(ABS($X2599/100-Settings!$C$7),ABS($X2599/100-Settings!$G$7)),1,0))))</f>
        <v/>
      </c>
      <c r="AC2599">
        <f>IF($Z2599=1,IFERROR(IF(VALUE($B2599)&lt;100000000,VALUE($B2599),1000000000),IFERROR(IF(VALUE(MID($B2599,2,20))&lt;100000000,VALUE(MID($B2599,2,20)),1000000000),1000000000))+ROW()/100000,"")</f>
        <v/>
      </c>
    </row>
    <row r="2600">
      <c r="A2600">
        <f>IF($B2600="","",IFERROR(IF(INDEX('Per Invoice'!$A$2:$A$801,MATCH($B2600,'Per Invoice'!$B$2:$B$801,0))=0,"",INDEX('Per Invoice'!$A$2:$A$801,MATCH($B2600,'Per Invoice'!$B$2:$B$801,0))),""))</f>
        <v/>
      </c>
      <c r="J2600" s="7">
        <f>IF($B2600="","",I2600*Q2600/100)</f>
        <v/>
      </c>
      <c r="N2600" s="7" t="n"/>
      <c r="O2600" s="7" t="n"/>
      <c r="P2600" s="7">
        <f>IF($B2600="","",O2600*X2600/100)</f>
        <v/>
      </c>
      <c r="Q2600" s="7">
        <f>IF($B2600="","",O2600-P2600)</f>
        <v/>
      </c>
      <c r="R2600" s="7">
        <f>IF($B2600="","",Q2600-J2600)</f>
        <v/>
      </c>
      <c r="S2600" s="7" t="n"/>
      <c r="T2600" s="7" t="n"/>
      <c r="V2600" s="14" t="n"/>
      <c r="Z2600">
        <f>IF($B2600="","",IF(COUNTIF($B$2:$B2600,$B2600)=1,1,0))</f>
        <v/>
      </c>
      <c r="AA2600">
        <f>IF($Z2600=1,SUMPRODUCT(--($AC$2:$AC$3001&lt;$AC2600))+1,"")</f>
        <v/>
      </c>
      <c r="AB2600">
        <f>IF($B2600="","",IF(OR($Y2600=TRUE(),$Y2600="TRUE"),1,IF(AND($Y2600&lt;&gt;"",OR($Y2600=FALSE(),$Y2600="FALSE")),0,IF(MIN(ABS($X2600/100-Settings!$C$6),ABS($X2600/100-Settings!$G$6))&lt;=MIN(ABS($X2600/100-Settings!$C$7),ABS($X2600/100-Settings!$G$7)),1,0))))</f>
        <v/>
      </c>
      <c r="AC2600">
        <f>IF($Z2600=1,IFERROR(IF(VALUE($B2600)&lt;100000000,VALUE($B2600),1000000000),IFERROR(IF(VALUE(MID($B2600,2,20))&lt;100000000,VALUE(MID($B2600,2,20)),1000000000),1000000000))+ROW()/100000,"")</f>
        <v/>
      </c>
    </row>
    <row r="2601">
      <c r="A2601">
        <f>IF($B2601="","",IFERROR(IF(INDEX('Per Invoice'!$A$2:$A$801,MATCH($B2601,'Per Invoice'!$B$2:$B$801,0))=0,"",INDEX('Per Invoice'!$A$2:$A$801,MATCH($B2601,'Per Invoice'!$B$2:$B$801,0))),""))</f>
        <v/>
      </c>
      <c r="J2601" s="7">
        <f>IF($B2601="","",I2601*Q2601/100)</f>
        <v/>
      </c>
      <c r="N2601" s="7" t="n"/>
      <c r="O2601" s="7" t="n"/>
      <c r="P2601" s="7">
        <f>IF($B2601="","",O2601*X2601/100)</f>
        <v/>
      </c>
      <c r="Q2601" s="7">
        <f>IF($B2601="","",O2601-P2601)</f>
        <v/>
      </c>
      <c r="R2601" s="7">
        <f>IF($B2601="","",Q2601-J2601)</f>
        <v/>
      </c>
      <c r="S2601" s="7" t="n"/>
      <c r="T2601" s="7" t="n"/>
      <c r="V2601" s="14" t="n"/>
      <c r="Z2601">
        <f>IF($B2601="","",IF(COUNTIF($B$2:$B2601,$B2601)=1,1,0))</f>
        <v/>
      </c>
      <c r="AA2601">
        <f>IF($Z2601=1,SUMPRODUCT(--($AC$2:$AC$3001&lt;$AC2601))+1,"")</f>
        <v/>
      </c>
      <c r="AB2601">
        <f>IF($B2601="","",IF(OR($Y2601=TRUE(),$Y2601="TRUE"),1,IF(AND($Y2601&lt;&gt;"",OR($Y2601=FALSE(),$Y2601="FALSE")),0,IF(MIN(ABS($X2601/100-Settings!$C$6),ABS($X2601/100-Settings!$G$6))&lt;=MIN(ABS($X2601/100-Settings!$C$7),ABS($X2601/100-Settings!$G$7)),1,0))))</f>
        <v/>
      </c>
      <c r="AC2601">
        <f>IF($Z2601=1,IFERROR(IF(VALUE($B2601)&lt;100000000,VALUE($B2601),1000000000),IFERROR(IF(VALUE(MID($B2601,2,20))&lt;100000000,VALUE(MID($B2601,2,20)),1000000000),1000000000))+ROW()/100000,"")</f>
        <v/>
      </c>
    </row>
    <row r="2602">
      <c r="A2602">
        <f>IF($B2602="","",IFERROR(IF(INDEX('Per Invoice'!$A$2:$A$801,MATCH($B2602,'Per Invoice'!$B$2:$B$801,0))=0,"",INDEX('Per Invoice'!$A$2:$A$801,MATCH($B2602,'Per Invoice'!$B$2:$B$801,0))),""))</f>
        <v/>
      </c>
      <c r="J2602" s="7">
        <f>IF($B2602="","",I2602*Q2602/100)</f>
        <v/>
      </c>
      <c r="N2602" s="7" t="n"/>
      <c r="O2602" s="7" t="n"/>
      <c r="P2602" s="7">
        <f>IF($B2602="","",O2602*X2602/100)</f>
        <v/>
      </c>
      <c r="Q2602" s="7">
        <f>IF($B2602="","",O2602-P2602)</f>
        <v/>
      </c>
      <c r="R2602" s="7">
        <f>IF($B2602="","",Q2602-J2602)</f>
        <v/>
      </c>
      <c r="S2602" s="7" t="n"/>
      <c r="T2602" s="7" t="n"/>
      <c r="V2602" s="14" t="n"/>
      <c r="Z2602">
        <f>IF($B2602="","",IF(COUNTIF($B$2:$B2602,$B2602)=1,1,0))</f>
        <v/>
      </c>
      <c r="AA2602">
        <f>IF($Z2602=1,SUMPRODUCT(--($AC$2:$AC$3001&lt;$AC2602))+1,"")</f>
        <v/>
      </c>
      <c r="AB2602">
        <f>IF($B2602="","",IF(OR($Y2602=TRUE(),$Y2602="TRUE"),1,IF(AND($Y2602&lt;&gt;"",OR($Y2602=FALSE(),$Y2602="FALSE")),0,IF(MIN(ABS($X2602/100-Settings!$C$6),ABS($X2602/100-Settings!$G$6))&lt;=MIN(ABS($X2602/100-Settings!$C$7),ABS($X2602/100-Settings!$G$7)),1,0))))</f>
        <v/>
      </c>
      <c r="AC2602">
        <f>IF($Z2602=1,IFERROR(IF(VALUE($B2602)&lt;100000000,VALUE($B2602),1000000000),IFERROR(IF(VALUE(MID($B2602,2,20))&lt;100000000,VALUE(MID($B2602,2,20)),1000000000),1000000000))+ROW()/100000,"")</f>
        <v/>
      </c>
    </row>
    <row r="2603">
      <c r="A2603">
        <f>IF($B2603="","",IFERROR(IF(INDEX('Per Invoice'!$A$2:$A$801,MATCH($B2603,'Per Invoice'!$B$2:$B$801,0))=0,"",INDEX('Per Invoice'!$A$2:$A$801,MATCH($B2603,'Per Invoice'!$B$2:$B$801,0))),""))</f>
        <v/>
      </c>
      <c r="J2603" s="7">
        <f>IF($B2603="","",I2603*Q2603/100)</f>
        <v/>
      </c>
      <c r="N2603" s="7" t="n"/>
      <c r="O2603" s="7" t="n"/>
      <c r="P2603" s="7">
        <f>IF($B2603="","",O2603*X2603/100)</f>
        <v/>
      </c>
      <c r="Q2603" s="7">
        <f>IF($B2603="","",O2603-P2603)</f>
        <v/>
      </c>
      <c r="R2603" s="7">
        <f>IF($B2603="","",Q2603-J2603)</f>
        <v/>
      </c>
      <c r="S2603" s="7" t="n"/>
      <c r="T2603" s="7" t="n"/>
      <c r="V2603" s="14" t="n"/>
      <c r="Z2603">
        <f>IF($B2603="","",IF(COUNTIF($B$2:$B2603,$B2603)=1,1,0))</f>
        <v/>
      </c>
      <c r="AA2603">
        <f>IF($Z2603=1,SUMPRODUCT(--($AC$2:$AC$3001&lt;$AC2603))+1,"")</f>
        <v/>
      </c>
      <c r="AB2603">
        <f>IF($B2603="","",IF(OR($Y2603=TRUE(),$Y2603="TRUE"),1,IF(AND($Y2603&lt;&gt;"",OR($Y2603=FALSE(),$Y2603="FALSE")),0,IF(MIN(ABS($X2603/100-Settings!$C$6),ABS($X2603/100-Settings!$G$6))&lt;=MIN(ABS($X2603/100-Settings!$C$7),ABS($X2603/100-Settings!$G$7)),1,0))))</f>
        <v/>
      </c>
      <c r="AC2603">
        <f>IF($Z2603=1,IFERROR(IF(VALUE($B2603)&lt;100000000,VALUE($B2603),1000000000),IFERROR(IF(VALUE(MID($B2603,2,20))&lt;100000000,VALUE(MID($B2603,2,20)),1000000000),1000000000))+ROW()/100000,"")</f>
        <v/>
      </c>
    </row>
    <row r="2604">
      <c r="A2604">
        <f>IF($B2604="","",IFERROR(IF(INDEX('Per Invoice'!$A$2:$A$801,MATCH($B2604,'Per Invoice'!$B$2:$B$801,0))=0,"",INDEX('Per Invoice'!$A$2:$A$801,MATCH($B2604,'Per Invoice'!$B$2:$B$801,0))),""))</f>
        <v/>
      </c>
      <c r="J2604" s="7">
        <f>IF($B2604="","",I2604*Q2604/100)</f>
        <v/>
      </c>
      <c r="N2604" s="7" t="n"/>
      <c r="O2604" s="7" t="n"/>
      <c r="P2604" s="7">
        <f>IF($B2604="","",O2604*X2604/100)</f>
        <v/>
      </c>
      <c r="Q2604" s="7">
        <f>IF($B2604="","",O2604-P2604)</f>
        <v/>
      </c>
      <c r="R2604" s="7">
        <f>IF($B2604="","",Q2604-J2604)</f>
        <v/>
      </c>
      <c r="S2604" s="7" t="n"/>
      <c r="T2604" s="7" t="n"/>
      <c r="V2604" s="14" t="n"/>
      <c r="Z2604">
        <f>IF($B2604="","",IF(COUNTIF($B$2:$B2604,$B2604)=1,1,0))</f>
        <v/>
      </c>
      <c r="AA2604">
        <f>IF($Z2604=1,SUMPRODUCT(--($AC$2:$AC$3001&lt;$AC2604))+1,"")</f>
        <v/>
      </c>
      <c r="AB2604">
        <f>IF($B2604="","",IF(OR($Y2604=TRUE(),$Y2604="TRUE"),1,IF(AND($Y2604&lt;&gt;"",OR($Y2604=FALSE(),$Y2604="FALSE")),0,IF(MIN(ABS($X2604/100-Settings!$C$6),ABS($X2604/100-Settings!$G$6))&lt;=MIN(ABS($X2604/100-Settings!$C$7),ABS($X2604/100-Settings!$G$7)),1,0))))</f>
        <v/>
      </c>
      <c r="AC2604">
        <f>IF($Z2604=1,IFERROR(IF(VALUE($B2604)&lt;100000000,VALUE($B2604),1000000000),IFERROR(IF(VALUE(MID($B2604,2,20))&lt;100000000,VALUE(MID($B2604,2,20)),1000000000),1000000000))+ROW()/100000,"")</f>
        <v/>
      </c>
    </row>
    <row r="2605">
      <c r="A2605">
        <f>IF($B2605="","",IFERROR(IF(INDEX('Per Invoice'!$A$2:$A$801,MATCH($B2605,'Per Invoice'!$B$2:$B$801,0))=0,"",INDEX('Per Invoice'!$A$2:$A$801,MATCH($B2605,'Per Invoice'!$B$2:$B$801,0))),""))</f>
        <v/>
      </c>
      <c r="J2605" s="7">
        <f>IF($B2605="","",I2605*Q2605/100)</f>
        <v/>
      </c>
      <c r="N2605" s="7" t="n"/>
      <c r="O2605" s="7" t="n"/>
      <c r="P2605" s="7">
        <f>IF($B2605="","",O2605*X2605/100)</f>
        <v/>
      </c>
      <c r="Q2605" s="7">
        <f>IF($B2605="","",O2605-P2605)</f>
        <v/>
      </c>
      <c r="R2605" s="7">
        <f>IF($B2605="","",Q2605-J2605)</f>
        <v/>
      </c>
      <c r="S2605" s="7" t="n"/>
      <c r="T2605" s="7" t="n"/>
      <c r="V2605" s="14" t="n"/>
      <c r="Z2605">
        <f>IF($B2605="","",IF(COUNTIF($B$2:$B2605,$B2605)=1,1,0))</f>
        <v/>
      </c>
      <c r="AA2605">
        <f>IF($Z2605=1,SUMPRODUCT(--($AC$2:$AC$3001&lt;$AC2605))+1,"")</f>
        <v/>
      </c>
      <c r="AB2605">
        <f>IF($B2605="","",IF(OR($Y2605=TRUE(),$Y2605="TRUE"),1,IF(AND($Y2605&lt;&gt;"",OR($Y2605=FALSE(),$Y2605="FALSE")),0,IF(MIN(ABS($X2605/100-Settings!$C$6),ABS($X2605/100-Settings!$G$6))&lt;=MIN(ABS($X2605/100-Settings!$C$7),ABS($X2605/100-Settings!$G$7)),1,0))))</f>
        <v/>
      </c>
      <c r="AC2605">
        <f>IF($Z2605=1,IFERROR(IF(VALUE($B2605)&lt;100000000,VALUE($B2605),1000000000),IFERROR(IF(VALUE(MID($B2605,2,20))&lt;100000000,VALUE(MID($B2605,2,20)),1000000000),1000000000))+ROW()/100000,"")</f>
        <v/>
      </c>
    </row>
    <row r="2606">
      <c r="A2606">
        <f>IF($B2606="","",IFERROR(IF(INDEX('Per Invoice'!$A$2:$A$801,MATCH($B2606,'Per Invoice'!$B$2:$B$801,0))=0,"",INDEX('Per Invoice'!$A$2:$A$801,MATCH($B2606,'Per Invoice'!$B$2:$B$801,0))),""))</f>
        <v/>
      </c>
      <c r="J2606" s="7">
        <f>IF($B2606="","",I2606*Q2606/100)</f>
        <v/>
      </c>
      <c r="N2606" s="7" t="n"/>
      <c r="O2606" s="7" t="n"/>
      <c r="P2606" s="7">
        <f>IF($B2606="","",O2606*X2606/100)</f>
        <v/>
      </c>
      <c r="Q2606" s="7">
        <f>IF($B2606="","",O2606-P2606)</f>
        <v/>
      </c>
      <c r="R2606" s="7">
        <f>IF($B2606="","",Q2606-J2606)</f>
        <v/>
      </c>
      <c r="S2606" s="7" t="n"/>
      <c r="T2606" s="7" t="n"/>
      <c r="V2606" s="14" t="n"/>
      <c r="Z2606">
        <f>IF($B2606="","",IF(COUNTIF($B$2:$B2606,$B2606)=1,1,0))</f>
        <v/>
      </c>
      <c r="AA2606">
        <f>IF($Z2606=1,SUMPRODUCT(--($AC$2:$AC$3001&lt;$AC2606))+1,"")</f>
        <v/>
      </c>
      <c r="AB2606">
        <f>IF($B2606="","",IF(OR($Y2606=TRUE(),$Y2606="TRUE"),1,IF(AND($Y2606&lt;&gt;"",OR($Y2606=FALSE(),$Y2606="FALSE")),0,IF(MIN(ABS($X2606/100-Settings!$C$6),ABS($X2606/100-Settings!$G$6))&lt;=MIN(ABS($X2606/100-Settings!$C$7),ABS($X2606/100-Settings!$G$7)),1,0))))</f>
        <v/>
      </c>
      <c r="AC2606">
        <f>IF($Z2606=1,IFERROR(IF(VALUE($B2606)&lt;100000000,VALUE($B2606),1000000000),IFERROR(IF(VALUE(MID($B2606,2,20))&lt;100000000,VALUE(MID($B2606,2,20)),1000000000),1000000000))+ROW()/100000,"")</f>
        <v/>
      </c>
    </row>
    <row r="2607">
      <c r="A2607">
        <f>IF($B2607="","",IFERROR(IF(INDEX('Per Invoice'!$A$2:$A$801,MATCH($B2607,'Per Invoice'!$B$2:$B$801,0))=0,"",INDEX('Per Invoice'!$A$2:$A$801,MATCH($B2607,'Per Invoice'!$B$2:$B$801,0))),""))</f>
        <v/>
      </c>
      <c r="J2607" s="7">
        <f>IF($B2607="","",I2607*Q2607/100)</f>
        <v/>
      </c>
      <c r="N2607" s="7" t="n"/>
      <c r="O2607" s="7" t="n"/>
      <c r="P2607" s="7">
        <f>IF($B2607="","",O2607*X2607/100)</f>
        <v/>
      </c>
      <c r="Q2607" s="7">
        <f>IF($B2607="","",O2607-P2607)</f>
        <v/>
      </c>
      <c r="R2607" s="7">
        <f>IF($B2607="","",Q2607-J2607)</f>
        <v/>
      </c>
      <c r="S2607" s="7" t="n"/>
      <c r="T2607" s="7" t="n"/>
      <c r="V2607" s="14" t="n"/>
      <c r="Z2607">
        <f>IF($B2607="","",IF(COUNTIF($B$2:$B2607,$B2607)=1,1,0))</f>
        <v/>
      </c>
      <c r="AA2607">
        <f>IF($Z2607=1,SUMPRODUCT(--($AC$2:$AC$3001&lt;$AC2607))+1,"")</f>
        <v/>
      </c>
      <c r="AB2607">
        <f>IF($B2607="","",IF(OR($Y2607=TRUE(),$Y2607="TRUE"),1,IF(AND($Y2607&lt;&gt;"",OR($Y2607=FALSE(),$Y2607="FALSE")),0,IF(MIN(ABS($X2607/100-Settings!$C$6),ABS($X2607/100-Settings!$G$6))&lt;=MIN(ABS($X2607/100-Settings!$C$7),ABS($X2607/100-Settings!$G$7)),1,0))))</f>
        <v/>
      </c>
      <c r="AC2607">
        <f>IF($Z2607=1,IFERROR(IF(VALUE($B2607)&lt;100000000,VALUE($B2607),1000000000),IFERROR(IF(VALUE(MID($B2607,2,20))&lt;100000000,VALUE(MID($B2607,2,20)),1000000000),1000000000))+ROW()/100000,"")</f>
        <v/>
      </c>
    </row>
    <row r="2608">
      <c r="A2608">
        <f>IF($B2608="","",IFERROR(IF(INDEX('Per Invoice'!$A$2:$A$801,MATCH($B2608,'Per Invoice'!$B$2:$B$801,0))=0,"",INDEX('Per Invoice'!$A$2:$A$801,MATCH($B2608,'Per Invoice'!$B$2:$B$801,0))),""))</f>
        <v/>
      </c>
      <c r="J2608" s="7">
        <f>IF($B2608="","",I2608*Q2608/100)</f>
        <v/>
      </c>
      <c r="N2608" s="7" t="n"/>
      <c r="O2608" s="7" t="n"/>
      <c r="P2608" s="7">
        <f>IF($B2608="","",O2608*X2608/100)</f>
        <v/>
      </c>
      <c r="Q2608" s="7">
        <f>IF($B2608="","",O2608-P2608)</f>
        <v/>
      </c>
      <c r="R2608" s="7">
        <f>IF($B2608="","",Q2608-J2608)</f>
        <v/>
      </c>
      <c r="S2608" s="7" t="n"/>
      <c r="T2608" s="7" t="n"/>
      <c r="V2608" s="14" t="n"/>
      <c r="Z2608">
        <f>IF($B2608="","",IF(COUNTIF($B$2:$B2608,$B2608)=1,1,0))</f>
        <v/>
      </c>
      <c r="AA2608">
        <f>IF($Z2608=1,SUMPRODUCT(--($AC$2:$AC$3001&lt;$AC2608))+1,"")</f>
        <v/>
      </c>
      <c r="AB2608">
        <f>IF($B2608="","",IF(OR($Y2608=TRUE(),$Y2608="TRUE"),1,IF(AND($Y2608&lt;&gt;"",OR($Y2608=FALSE(),$Y2608="FALSE")),0,IF(MIN(ABS($X2608/100-Settings!$C$6),ABS($X2608/100-Settings!$G$6))&lt;=MIN(ABS($X2608/100-Settings!$C$7),ABS($X2608/100-Settings!$G$7)),1,0))))</f>
        <v/>
      </c>
      <c r="AC2608">
        <f>IF($Z2608=1,IFERROR(IF(VALUE($B2608)&lt;100000000,VALUE($B2608),1000000000),IFERROR(IF(VALUE(MID($B2608,2,20))&lt;100000000,VALUE(MID($B2608,2,20)),1000000000),1000000000))+ROW()/100000,"")</f>
        <v/>
      </c>
    </row>
    <row r="2609">
      <c r="A2609">
        <f>IF($B2609="","",IFERROR(IF(INDEX('Per Invoice'!$A$2:$A$801,MATCH($B2609,'Per Invoice'!$B$2:$B$801,0))=0,"",INDEX('Per Invoice'!$A$2:$A$801,MATCH($B2609,'Per Invoice'!$B$2:$B$801,0))),""))</f>
        <v/>
      </c>
      <c r="J2609" s="7">
        <f>IF($B2609="","",I2609*Q2609/100)</f>
        <v/>
      </c>
      <c r="N2609" s="7" t="n"/>
      <c r="O2609" s="7" t="n"/>
      <c r="P2609" s="7">
        <f>IF($B2609="","",O2609*X2609/100)</f>
        <v/>
      </c>
      <c r="Q2609" s="7">
        <f>IF($B2609="","",O2609-P2609)</f>
        <v/>
      </c>
      <c r="R2609" s="7">
        <f>IF($B2609="","",Q2609-J2609)</f>
        <v/>
      </c>
      <c r="S2609" s="7" t="n"/>
      <c r="T2609" s="7" t="n"/>
      <c r="V2609" s="14" t="n"/>
      <c r="Z2609">
        <f>IF($B2609="","",IF(COUNTIF($B$2:$B2609,$B2609)=1,1,0))</f>
        <v/>
      </c>
      <c r="AA2609">
        <f>IF($Z2609=1,SUMPRODUCT(--($AC$2:$AC$3001&lt;$AC2609))+1,"")</f>
        <v/>
      </c>
      <c r="AB2609">
        <f>IF($B2609="","",IF(OR($Y2609=TRUE(),$Y2609="TRUE"),1,IF(AND($Y2609&lt;&gt;"",OR($Y2609=FALSE(),$Y2609="FALSE")),0,IF(MIN(ABS($X2609/100-Settings!$C$6),ABS($X2609/100-Settings!$G$6))&lt;=MIN(ABS($X2609/100-Settings!$C$7),ABS($X2609/100-Settings!$G$7)),1,0))))</f>
        <v/>
      </c>
      <c r="AC2609">
        <f>IF($Z2609=1,IFERROR(IF(VALUE($B2609)&lt;100000000,VALUE($B2609),1000000000),IFERROR(IF(VALUE(MID($B2609,2,20))&lt;100000000,VALUE(MID($B2609,2,20)),1000000000),1000000000))+ROW()/100000,"")</f>
        <v/>
      </c>
    </row>
    <row r="2610">
      <c r="A2610">
        <f>IF($B2610="","",IFERROR(IF(INDEX('Per Invoice'!$A$2:$A$801,MATCH($B2610,'Per Invoice'!$B$2:$B$801,0))=0,"",INDEX('Per Invoice'!$A$2:$A$801,MATCH($B2610,'Per Invoice'!$B$2:$B$801,0))),""))</f>
        <v/>
      </c>
      <c r="J2610" s="7">
        <f>IF($B2610="","",I2610*Q2610/100)</f>
        <v/>
      </c>
      <c r="N2610" s="7" t="n"/>
      <c r="O2610" s="7" t="n"/>
      <c r="P2610" s="7">
        <f>IF($B2610="","",O2610*X2610/100)</f>
        <v/>
      </c>
      <c r="Q2610" s="7">
        <f>IF($B2610="","",O2610-P2610)</f>
        <v/>
      </c>
      <c r="R2610" s="7">
        <f>IF($B2610="","",Q2610-J2610)</f>
        <v/>
      </c>
      <c r="S2610" s="7" t="n"/>
      <c r="T2610" s="7" t="n"/>
      <c r="V2610" s="14" t="n"/>
      <c r="Z2610">
        <f>IF($B2610="","",IF(COUNTIF($B$2:$B2610,$B2610)=1,1,0))</f>
        <v/>
      </c>
      <c r="AA2610">
        <f>IF($Z2610=1,SUMPRODUCT(--($AC$2:$AC$3001&lt;$AC2610))+1,"")</f>
        <v/>
      </c>
      <c r="AB2610">
        <f>IF($B2610="","",IF(OR($Y2610=TRUE(),$Y2610="TRUE"),1,IF(AND($Y2610&lt;&gt;"",OR($Y2610=FALSE(),$Y2610="FALSE")),0,IF(MIN(ABS($X2610/100-Settings!$C$6),ABS($X2610/100-Settings!$G$6))&lt;=MIN(ABS($X2610/100-Settings!$C$7),ABS($X2610/100-Settings!$G$7)),1,0))))</f>
        <v/>
      </c>
      <c r="AC2610">
        <f>IF($Z2610=1,IFERROR(IF(VALUE($B2610)&lt;100000000,VALUE($B2610),1000000000),IFERROR(IF(VALUE(MID($B2610,2,20))&lt;100000000,VALUE(MID($B2610,2,20)),1000000000),1000000000))+ROW()/100000,"")</f>
        <v/>
      </c>
    </row>
    <row r="2611">
      <c r="A2611">
        <f>IF($B2611="","",IFERROR(IF(INDEX('Per Invoice'!$A$2:$A$801,MATCH($B2611,'Per Invoice'!$B$2:$B$801,0))=0,"",INDEX('Per Invoice'!$A$2:$A$801,MATCH($B2611,'Per Invoice'!$B$2:$B$801,0))),""))</f>
        <v/>
      </c>
      <c r="J2611" s="7">
        <f>IF($B2611="","",I2611*Q2611/100)</f>
        <v/>
      </c>
      <c r="N2611" s="7" t="n"/>
      <c r="O2611" s="7" t="n"/>
      <c r="P2611" s="7">
        <f>IF($B2611="","",O2611*X2611/100)</f>
        <v/>
      </c>
      <c r="Q2611" s="7">
        <f>IF($B2611="","",O2611-P2611)</f>
        <v/>
      </c>
      <c r="R2611" s="7">
        <f>IF($B2611="","",Q2611-J2611)</f>
        <v/>
      </c>
      <c r="S2611" s="7" t="n"/>
      <c r="T2611" s="7" t="n"/>
      <c r="V2611" s="14" t="n"/>
      <c r="Z2611">
        <f>IF($B2611="","",IF(COUNTIF($B$2:$B2611,$B2611)=1,1,0))</f>
        <v/>
      </c>
      <c r="AA2611">
        <f>IF($Z2611=1,SUMPRODUCT(--($AC$2:$AC$3001&lt;$AC2611))+1,"")</f>
        <v/>
      </c>
      <c r="AB2611">
        <f>IF($B2611="","",IF(OR($Y2611=TRUE(),$Y2611="TRUE"),1,IF(AND($Y2611&lt;&gt;"",OR($Y2611=FALSE(),$Y2611="FALSE")),0,IF(MIN(ABS($X2611/100-Settings!$C$6),ABS($X2611/100-Settings!$G$6))&lt;=MIN(ABS($X2611/100-Settings!$C$7),ABS($X2611/100-Settings!$G$7)),1,0))))</f>
        <v/>
      </c>
      <c r="AC2611">
        <f>IF($Z2611=1,IFERROR(IF(VALUE($B2611)&lt;100000000,VALUE($B2611),1000000000),IFERROR(IF(VALUE(MID($B2611,2,20))&lt;100000000,VALUE(MID($B2611,2,20)),1000000000),1000000000))+ROW()/100000,"")</f>
        <v/>
      </c>
    </row>
    <row r="2612">
      <c r="A2612">
        <f>IF($B2612="","",IFERROR(IF(INDEX('Per Invoice'!$A$2:$A$801,MATCH($B2612,'Per Invoice'!$B$2:$B$801,0))=0,"",INDEX('Per Invoice'!$A$2:$A$801,MATCH($B2612,'Per Invoice'!$B$2:$B$801,0))),""))</f>
        <v/>
      </c>
      <c r="J2612" s="7">
        <f>IF($B2612="","",I2612*Q2612/100)</f>
        <v/>
      </c>
      <c r="N2612" s="7" t="n"/>
      <c r="O2612" s="7" t="n"/>
      <c r="P2612" s="7">
        <f>IF($B2612="","",O2612*X2612/100)</f>
        <v/>
      </c>
      <c r="Q2612" s="7">
        <f>IF($B2612="","",O2612-P2612)</f>
        <v/>
      </c>
      <c r="R2612" s="7">
        <f>IF($B2612="","",Q2612-J2612)</f>
        <v/>
      </c>
      <c r="S2612" s="7" t="n"/>
      <c r="T2612" s="7" t="n"/>
      <c r="V2612" s="14" t="n"/>
      <c r="Z2612">
        <f>IF($B2612="","",IF(COUNTIF($B$2:$B2612,$B2612)=1,1,0))</f>
        <v/>
      </c>
      <c r="AA2612">
        <f>IF($Z2612=1,SUMPRODUCT(--($AC$2:$AC$3001&lt;$AC2612))+1,"")</f>
        <v/>
      </c>
      <c r="AB2612">
        <f>IF($B2612="","",IF(OR($Y2612=TRUE(),$Y2612="TRUE"),1,IF(AND($Y2612&lt;&gt;"",OR($Y2612=FALSE(),$Y2612="FALSE")),0,IF(MIN(ABS($X2612/100-Settings!$C$6),ABS($X2612/100-Settings!$G$6))&lt;=MIN(ABS($X2612/100-Settings!$C$7),ABS($X2612/100-Settings!$G$7)),1,0))))</f>
        <v/>
      </c>
      <c r="AC2612">
        <f>IF($Z2612=1,IFERROR(IF(VALUE($B2612)&lt;100000000,VALUE($B2612),1000000000),IFERROR(IF(VALUE(MID($B2612,2,20))&lt;100000000,VALUE(MID($B2612,2,20)),1000000000),1000000000))+ROW()/100000,"")</f>
        <v/>
      </c>
    </row>
    <row r="2613">
      <c r="A2613">
        <f>IF($B2613="","",IFERROR(IF(INDEX('Per Invoice'!$A$2:$A$801,MATCH($B2613,'Per Invoice'!$B$2:$B$801,0))=0,"",INDEX('Per Invoice'!$A$2:$A$801,MATCH($B2613,'Per Invoice'!$B$2:$B$801,0))),""))</f>
        <v/>
      </c>
      <c r="J2613" s="7">
        <f>IF($B2613="","",I2613*Q2613/100)</f>
        <v/>
      </c>
      <c r="N2613" s="7" t="n"/>
      <c r="O2613" s="7" t="n"/>
      <c r="P2613" s="7">
        <f>IF($B2613="","",O2613*X2613/100)</f>
        <v/>
      </c>
      <c r="Q2613" s="7">
        <f>IF($B2613="","",O2613-P2613)</f>
        <v/>
      </c>
      <c r="R2613" s="7">
        <f>IF($B2613="","",Q2613-J2613)</f>
        <v/>
      </c>
      <c r="S2613" s="7" t="n"/>
      <c r="T2613" s="7" t="n"/>
      <c r="V2613" s="14" t="n"/>
      <c r="Z2613">
        <f>IF($B2613="","",IF(COUNTIF($B$2:$B2613,$B2613)=1,1,0))</f>
        <v/>
      </c>
      <c r="AA2613">
        <f>IF($Z2613=1,SUMPRODUCT(--($AC$2:$AC$3001&lt;$AC2613))+1,"")</f>
        <v/>
      </c>
      <c r="AB2613">
        <f>IF($B2613="","",IF(OR($Y2613=TRUE(),$Y2613="TRUE"),1,IF(AND($Y2613&lt;&gt;"",OR($Y2613=FALSE(),$Y2613="FALSE")),0,IF(MIN(ABS($X2613/100-Settings!$C$6),ABS($X2613/100-Settings!$G$6))&lt;=MIN(ABS($X2613/100-Settings!$C$7),ABS($X2613/100-Settings!$G$7)),1,0))))</f>
        <v/>
      </c>
      <c r="AC2613">
        <f>IF($Z2613=1,IFERROR(IF(VALUE($B2613)&lt;100000000,VALUE($B2613),1000000000),IFERROR(IF(VALUE(MID($B2613,2,20))&lt;100000000,VALUE(MID($B2613,2,20)),1000000000),1000000000))+ROW()/100000,"")</f>
        <v/>
      </c>
    </row>
    <row r="2614">
      <c r="A2614">
        <f>IF($B2614="","",IFERROR(IF(INDEX('Per Invoice'!$A$2:$A$801,MATCH($B2614,'Per Invoice'!$B$2:$B$801,0))=0,"",INDEX('Per Invoice'!$A$2:$A$801,MATCH($B2614,'Per Invoice'!$B$2:$B$801,0))),""))</f>
        <v/>
      </c>
      <c r="J2614" s="7">
        <f>IF($B2614="","",I2614*Q2614/100)</f>
        <v/>
      </c>
      <c r="N2614" s="7" t="n"/>
      <c r="O2614" s="7" t="n"/>
      <c r="P2614" s="7">
        <f>IF($B2614="","",O2614*X2614/100)</f>
        <v/>
      </c>
      <c r="Q2614" s="7">
        <f>IF($B2614="","",O2614-P2614)</f>
        <v/>
      </c>
      <c r="R2614" s="7">
        <f>IF($B2614="","",Q2614-J2614)</f>
        <v/>
      </c>
      <c r="S2614" s="7" t="n"/>
      <c r="T2614" s="7" t="n"/>
      <c r="V2614" s="14" t="n"/>
      <c r="Z2614">
        <f>IF($B2614="","",IF(COUNTIF($B$2:$B2614,$B2614)=1,1,0))</f>
        <v/>
      </c>
      <c r="AA2614">
        <f>IF($Z2614=1,SUMPRODUCT(--($AC$2:$AC$3001&lt;$AC2614))+1,"")</f>
        <v/>
      </c>
      <c r="AB2614">
        <f>IF($B2614="","",IF(OR($Y2614=TRUE(),$Y2614="TRUE"),1,IF(AND($Y2614&lt;&gt;"",OR($Y2614=FALSE(),$Y2614="FALSE")),0,IF(MIN(ABS($X2614/100-Settings!$C$6),ABS($X2614/100-Settings!$G$6))&lt;=MIN(ABS($X2614/100-Settings!$C$7),ABS($X2614/100-Settings!$G$7)),1,0))))</f>
        <v/>
      </c>
      <c r="AC2614">
        <f>IF($Z2614=1,IFERROR(IF(VALUE($B2614)&lt;100000000,VALUE($B2614),1000000000),IFERROR(IF(VALUE(MID($B2614,2,20))&lt;100000000,VALUE(MID($B2614,2,20)),1000000000),1000000000))+ROW()/100000,"")</f>
        <v/>
      </c>
    </row>
    <row r="2615">
      <c r="A2615">
        <f>IF($B2615="","",IFERROR(IF(INDEX('Per Invoice'!$A$2:$A$801,MATCH($B2615,'Per Invoice'!$B$2:$B$801,0))=0,"",INDEX('Per Invoice'!$A$2:$A$801,MATCH($B2615,'Per Invoice'!$B$2:$B$801,0))),""))</f>
        <v/>
      </c>
      <c r="J2615" s="7">
        <f>IF($B2615="","",I2615*Q2615/100)</f>
        <v/>
      </c>
      <c r="N2615" s="7" t="n"/>
      <c r="O2615" s="7" t="n"/>
      <c r="P2615" s="7">
        <f>IF($B2615="","",O2615*X2615/100)</f>
        <v/>
      </c>
      <c r="Q2615" s="7">
        <f>IF($B2615="","",O2615-P2615)</f>
        <v/>
      </c>
      <c r="R2615" s="7">
        <f>IF($B2615="","",Q2615-J2615)</f>
        <v/>
      </c>
      <c r="S2615" s="7" t="n"/>
      <c r="T2615" s="7" t="n"/>
      <c r="V2615" s="14" t="n"/>
      <c r="Z2615">
        <f>IF($B2615="","",IF(COUNTIF($B$2:$B2615,$B2615)=1,1,0))</f>
        <v/>
      </c>
      <c r="AA2615">
        <f>IF($Z2615=1,SUMPRODUCT(--($AC$2:$AC$3001&lt;$AC2615))+1,"")</f>
        <v/>
      </c>
      <c r="AB2615">
        <f>IF($B2615="","",IF(OR($Y2615=TRUE(),$Y2615="TRUE"),1,IF(AND($Y2615&lt;&gt;"",OR($Y2615=FALSE(),$Y2615="FALSE")),0,IF(MIN(ABS($X2615/100-Settings!$C$6),ABS($X2615/100-Settings!$G$6))&lt;=MIN(ABS($X2615/100-Settings!$C$7),ABS($X2615/100-Settings!$G$7)),1,0))))</f>
        <v/>
      </c>
      <c r="AC2615">
        <f>IF($Z2615=1,IFERROR(IF(VALUE($B2615)&lt;100000000,VALUE($B2615),1000000000),IFERROR(IF(VALUE(MID($B2615,2,20))&lt;100000000,VALUE(MID($B2615,2,20)),1000000000),1000000000))+ROW()/100000,"")</f>
        <v/>
      </c>
    </row>
    <row r="2616">
      <c r="A2616">
        <f>IF($B2616="","",IFERROR(IF(INDEX('Per Invoice'!$A$2:$A$801,MATCH($B2616,'Per Invoice'!$B$2:$B$801,0))=0,"",INDEX('Per Invoice'!$A$2:$A$801,MATCH($B2616,'Per Invoice'!$B$2:$B$801,0))),""))</f>
        <v/>
      </c>
      <c r="J2616" s="7">
        <f>IF($B2616="","",I2616*Q2616/100)</f>
        <v/>
      </c>
      <c r="N2616" s="7" t="n"/>
      <c r="O2616" s="7" t="n"/>
      <c r="P2616" s="7">
        <f>IF($B2616="","",O2616*X2616/100)</f>
        <v/>
      </c>
      <c r="Q2616" s="7">
        <f>IF($B2616="","",O2616-P2616)</f>
        <v/>
      </c>
      <c r="R2616" s="7">
        <f>IF($B2616="","",Q2616-J2616)</f>
        <v/>
      </c>
      <c r="S2616" s="7" t="n"/>
      <c r="T2616" s="7" t="n"/>
      <c r="V2616" s="14" t="n"/>
      <c r="Z2616">
        <f>IF($B2616="","",IF(COUNTIF($B$2:$B2616,$B2616)=1,1,0))</f>
        <v/>
      </c>
      <c r="AA2616">
        <f>IF($Z2616=1,SUMPRODUCT(--($AC$2:$AC$3001&lt;$AC2616))+1,"")</f>
        <v/>
      </c>
      <c r="AB2616">
        <f>IF($B2616="","",IF(OR($Y2616=TRUE(),$Y2616="TRUE"),1,IF(AND($Y2616&lt;&gt;"",OR($Y2616=FALSE(),$Y2616="FALSE")),0,IF(MIN(ABS($X2616/100-Settings!$C$6),ABS($X2616/100-Settings!$G$6))&lt;=MIN(ABS($X2616/100-Settings!$C$7),ABS($X2616/100-Settings!$G$7)),1,0))))</f>
        <v/>
      </c>
      <c r="AC2616">
        <f>IF($Z2616=1,IFERROR(IF(VALUE($B2616)&lt;100000000,VALUE($B2616),1000000000),IFERROR(IF(VALUE(MID($B2616,2,20))&lt;100000000,VALUE(MID($B2616,2,20)),1000000000),1000000000))+ROW()/100000,"")</f>
        <v/>
      </c>
    </row>
    <row r="2617">
      <c r="A2617">
        <f>IF($B2617="","",IFERROR(IF(INDEX('Per Invoice'!$A$2:$A$801,MATCH($B2617,'Per Invoice'!$B$2:$B$801,0))=0,"",INDEX('Per Invoice'!$A$2:$A$801,MATCH($B2617,'Per Invoice'!$B$2:$B$801,0))),""))</f>
        <v/>
      </c>
      <c r="J2617" s="7">
        <f>IF($B2617="","",I2617*Q2617/100)</f>
        <v/>
      </c>
      <c r="N2617" s="7" t="n"/>
      <c r="O2617" s="7" t="n"/>
      <c r="P2617" s="7">
        <f>IF($B2617="","",O2617*X2617/100)</f>
        <v/>
      </c>
      <c r="Q2617" s="7">
        <f>IF($B2617="","",O2617-P2617)</f>
        <v/>
      </c>
      <c r="R2617" s="7">
        <f>IF($B2617="","",Q2617-J2617)</f>
        <v/>
      </c>
      <c r="S2617" s="7" t="n"/>
      <c r="T2617" s="7" t="n"/>
      <c r="V2617" s="14" t="n"/>
      <c r="Z2617">
        <f>IF($B2617="","",IF(COUNTIF($B$2:$B2617,$B2617)=1,1,0))</f>
        <v/>
      </c>
      <c r="AA2617">
        <f>IF($Z2617=1,SUMPRODUCT(--($AC$2:$AC$3001&lt;$AC2617))+1,"")</f>
        <v/>
      </c>
      <c r="AB2617">
        <f>IF($B2617="","",IF(OR($Y2617=TRUE(),$Y2617="TRUE"),1,IF(AND($Y2617&lt;&gt;"",OR($Y2617=FALSE(),$Y2617="FALSE")),0,IF(MIN(ABS($X2617/100-Settings!$C$6),ABS($X2617/100-Settings!$G$6))&lt;=MIN(ABS($X2617/100-Settings!$C$7),ABS($X2617/100-Settings!$G$7)),1,0))))</f>
        <v/>
      </c>
      <c r="AC2617">
        <f>IF($Z2617=1,IFERROR(IF(VALUE($B2617)&lt;100000000,VALUE($B2617),1000000000),IFERROR(IF(VALUE(MID($B2617,2,20))&lt;100000000,VALUE(MID($B2617,2,20)),1000000000),1000000000))+ROW()/100000,"")</f>
        <v/>
      </c>
    </row>
    <row r="2618">
      <c r="A2618">
        <f>IF($B2618="","",IFERROR(IF(INDEX('Per Invoice'!$A$2:$A$801,MATCH($B2618,'Per Invoice'!$B$2:$B$801,0))=0,"",INDEX('Per Invoice'!$A$2:$A$801,MATCH($B2618,'Per Invoice'!$B$2:$B$801,0))),""))</f>
        <v/>
      </c>
      <c r="J2618" s="7">
        <f>IF($B2618="","",I2618*Q2618/100)</f>
        <v/>
      </c>
      <c r="N2618" s="7" t="n"/>
      <c r="O2618" s="7" t="n"/>
      <c r="P2618" s="7">
        <f>IF($B2618="","",O2618*X2618/100)</f>
        <v/>
      </c>
      <c r="Q2618" s="7">
        <f>IF($B2618="","",O2618-P2618)</f>
        <v/>
      </c>
      <c r="R2618" s="7">
        <f>IF($B2618="","",Q2618-J2618)</f>
        <v/>
      </c>
      <c r="S2618" s="7" t="n"/>
      <c r="T2618" s="7" t="n"/>
      <c r="V2618" s="14" t="n"/>
      <c r="Z2618">
        <f>IF($B2618="","",IF(COUNTIF($B$2:$B2618,$B2618)=1,1,0))</f>
        <v/>
      </c>
      <c r="AA2618">
        <f>IF($Z2618=1,SUMPRODUCT(--($AC$2:$AC$3001&lt;$AC2618))+1,"")</f>
        <v/>
      </c>
      <c r="AB2618">
        <f>IF($B2618="","",IF(OR($Y2618=TRUE(),$Y2618="TRUE"),1,IF(AND($Y2618&lt;&gt;"",OR($Y2618=FALSE(),$Y2618="FALSE")),0,IF(MIN(ABS($X2618/100-Settings!$C$6),ABS($X2618/100-Settings!$G$6))&lt;=MIN(ABS($X2618/100-Settings!$C$7),ABS($X2618/100-Settings!$G$7)),1,0))))</f>
        <v/>
      </c>
      <c r="AC2618">
        <f>IF($Z2618=1,IFERROR(IF(VALUE($B2618)&lt;100000000,VALUE($B2618),1000000000),IFERROR(IF(VALUE(MID($B2618,2,20))&lt;100000000,VALUE(MID($B2618,2,20)),1000000000),1000000000))+ROW()/100000,"")</f>
        <v/>
      </c>
    </row>
    <row r="2619">
      <c r="A2619">
        <f>IF($B2619="","",IFERROR(IF(INDEX('Per Invoice'!$A$2:$A$801,MATCH($B2619,'Per Invoice'!$B$2:$B$801,0))=0,"",INDEX('Per Invoice'!$A$2:$A$801,MATCH($B2619,'Per Invoice'!$B$2:$B$801,0))),""))</f>
        <v/>
      </c>
      <c r="J2619" s="7">
        <f>IF($B2619="","",I2619*Q2619/100)</f>
        <v/>
      </c>
      <c r="N2619" s="7" t="n"/>
      <c r="O2619" s="7" t="n"/>
      <c r="P2619" s="7">
        <f>IF($B2619="","",O2619*X2619/100)</f>
        <v/>
      </c>
      <c r="Q2619" s="7">
        <f>IF($B2619="","",O2619-P2619)</f>
        <v/>
      </c>
      <c r="R2619" s="7">
        <f>IF($B2619="","",Q2619-J2619)</f>
        <v/>
      </c>
      <c r="S2619" s="7" t="n"/>
      <c r="T2619" s="7" t="n"/>
      <c r="V2619" s="14" t="n"/>
      <c r="Z2619">
        <f>IF($B2619="","",IF(COUNTIF($B$2:$B2619,$B2619)=1,1,0))</f>
        <v/>
      </c>
      <c r="AA2619">
        <f>IF($Z2619=1,SUMPRODUCT(--($AC$2:$AC$3001&lt;$AC2619))+1,"")</f>
        <v/>
      </c>
      <c r="AB2619">
        <f>IF($B2619="","",IF(OR($Y2619=TRUE(),$Y2619="TRUE"),1,IF(AND($Y2619&lt;&gt;"",OR($Y2619=FALSE(),$Y2619="FALSE")),0,IF(MIN(ABS($X2619/100-Settings!$C$6),ABS($X2619/100-Settings!$G$6))&lt;=MIN(ABS($X2619/100-Settings!$C$7),ABS($X2619/100-Settings!$G$7)),1,0))))</f>
        <v/>
      </c>
      <c r="AC2619">
        <f>IF($Z2619=1,IFERROR(IF(VALUE($B2619)&lt;100000000,VALUE($B2619),1000000000),IFERROR(IF(VALUE(MID($B2619,2,20))&lt;100000000,VALUE(MID($B2619,2,20)),1000000000),1000000000))+ROW()/100000,"")</f>
        <v/>
      </c>
    </row>
    <row r="2620">
      <c r="A2620">
        <f>IF($B2620="","",IFERROR(IF(INDEX('Per Invoice'!$A$2:$A$801,MATCH($B2620,'Per Invoice'!$B$2:$B$801,0))=0,"",INDEX('Per Invoice'!$A$2:$A$801,MATCH($B2620,'Per Invoice'!$B$2:$B$801,0))),""))</f>
        <v/>
      </c>
      <c r="J2620" s="7">
        <f>IF($B2620="","",I2620*Q2620/100)</f>
        <v/>
      </c>
      <c r="N2620" s="7" t="n"/>
      <c r="O2620" s="7" t="n"/>
      <c r="P2620" s="7">
        <f>IF($B2620="","",O2620*X2620/100)</f>
        <v/>
      </c>
      <c r="Q2620" s="7">
        <f>IF($B2620="","",O2620-P2620)</f>
        <v/>
      </c>
      <c r="R2620" s="7">
        <f>IF($B2620="","",Q2620-J2620)</f>
        <v/>
      </c>
      <c r="S2620" s="7" t="n"/>
      <c r="T2620" s="7" t="n"/>
      <c r="V2620" s="14" t="n"/>
      <c r="Z2620">
        <f>IF($B2620="","",IF(COUNTIF($B$2:$B2620,$B2620)=1,1,0))</f>
        <v/>
      </c>
      <c r="AA2620">
        <f>IF($Z2620=1,SUMPRODUCT(--($AC$2:$AC$3001&lt;$AC2620))+1,"")</f>
        <v/>
      </c>
      <c r="AB2620">
        <f>IF($B2620="","",IF(OR($Y2620=TRUE(),$Y2620="TRUE"),1,IF(AND($Y2620&lt;&gt;"",OR($Y2620=FALSE(),$Y2620="FALSE")),0,IF(MIN(ABS($X2620/100-Settings!$C$6),ABS($X2620/100-Settings!$G$6))&lt;=MIN(ABS($X2620/100-Settings!$C$7),ABS($X2620/100-Settings!$G$7)),1,0))))</f>
        <v/>
      </c>
      <c r="AC2620">
        <f>IF($Z2620=1,IFERROR(IF(VALUE($B2620)&lt;100000000,VALUE($B2620),1000000000),IFERROR(IF(VALUE(MID($B2620,2,20))&lt;100000000,VALUE(MID($B2620,2,20)),1000000000),1000000000))+ROW()/100000,"")</f>
        <v/>
      </c>
    </row>
    <row r="2621">
      <c r="A2621">
        <f>IF($B2621="","",IFERROR(IF(INDEX('Per Invoice'!$A$2:$A$801,MATCH($B2621,'Per Invoice'!$B$2:$B$801,0))=0,"",INDEX('Per Invoice'!$A$2:$A$801,MATCH($B2621,'Per Invoice'!$B$2:$B$801,0))),""))</f>
        <v/>
      </c>
      <c r="J2621" s="7">
        <f>IF($B2621="","",I2621*Q2621/100)</f>
        <v/>
      </c>
      <c r="N2621" s="7" t="n"/>
      <c r="O2621" s="7" t="n"/>
      <c r="P2621" s="7">
        <f>IF($B2621="","",O2621*X2621/100)</f>
        <v/>
      </c>
      <c r="Q2621" s="7">
        <f>IF($B2621="","",O2621-P2621)</f>
        <v/>
      </c>
      <c r="R2621" s="7">
        <f>IF($B2621="","",Q2621-J2621)</f>
        <v/>
      </c>
      <c r="S2621" s="7" t="n"/>
      <c r="T2621" s="7" t="n"/>
      <c r="V2621" s="14" t="n"/>
      <c r="Z2621">
        <f>IF($B2621="","",IF(COUNTIF($B$2:$B2621,$B2621)=1,1,0))</f>
        <v/>
      </c>
      <c r="AA2621">
        <f>IF($Z2621=1,SUMPRODUCT(--($AC$2:$AC$3001&lt;$AC2621))+1,"")</f>
        <v/>
      </c>
      <c r="AB2621">
        <f>IF($B2621="","",IF(OR($Y2621=TRUE(),$Y2621="TRUE"),1,IF(AND($Y2621&lt;&gt;"",OR($Y2621=FALSE(),$Y2621="FALSE")),0,IF(MIN(ABS($X2621/100-Settings!$C$6),ABS($X2621/100-Settings!$G$6))&lt;=MIN(ABS($X2621/100-Settings!$C$7),ABS($X2621/100-Settings!$G$7)),1,0))))</f>
        <v/>
      </c>
      <c r="AC2621">
        <f>IF($Z2621=1,IFERROR(IF(VALUE($B2621)&lt;100000000,VALUE($B2621),1000000000),IFERROR(IF(VALUE(MID($B2621,2,20))&lt;100000000,VALUE(MID($B2621,2,20)),1000000000),1000000000))+ROW()/100000,"")</f>
        <v/>
      </c>
    </row>
    <row r="2622">
      <c r="A2622">
        <f>IF($B2622="","",IFERROR(IF(INDEX('Per Invoice'!$A$2:$A$801,MATCH($B2622,'Per Invoice'!$B$2:$B$801,0))=0,"",INDEX('Per Invoice'!$A$2:$A$801,MATCH($B2622,'Per Invoice'!$B$2:$B$801,0))),""))</f>
        <v/>
      </c>
      <c r="J2622" s="7">
        <f>IF($B2622="","",I2622*Q2622/100)</f>
        <v/>
      </c>
      <c r="N2622" s="7" t="n"/>
      <c r="O2622" s="7" t="n"/>
      <c r="P2622" s="7">
        <f>IF($B2622="","",O2622*X2622/100)</f>
        <v/>
      </c>
      <c r="Q2622" s="7">
        <f>IF($B2622="","",O2622-P2622)</f>
        <v/>
      </c>
      <c r="R2622" s="7">
        <f>IF($B2622="","",Q2622-J2622)</f>
        <v/>
      </c>
      <c r="S2622" s="7" t="n"/>
      <c r="T2622" s="7" t="n"/>
      <c r="V2622" s="14" t="n"/>
      <c r="Z2622">
        <f>IF($B2622="","",IF(COUNTIF($B$2:$B2622,$B2622)=1,1,0))</f>
        <v/>
      </c>
      <c r="AA2622">
        <f>IF($Z2622=1,SUMPRODUCT(--($AC$2:$AC$3001&lt;$AC2622))+1,"")</f>
        <v/>
      </c>
      <c r="AB2622">
        <f>IF($B2622="","",IF(OR($Y2622=TRUE(),$Y2622="TRUE"),1,IF(AND($Y2622&lt;&gt;"",OR($Y2622=FALSE(),$Y2622="FALSE")),0,IF(MIN(ABS($X2622/100-Settings!$C$6),ABS($X2622/100-Settings!$G$6))&lt;=MIN(ABS($X2622/100-Settings!$C$7),ABS($X2622/100-Settings!$G$7)),1,0))))</f>
        <v/>
      </c>
      <c r="AC2622">
        <f>IF($Z2622=1,IFERROR(IF(VALUE($B2622)&lt;100000000,VALUE($B2622),1000000000),IFERROR(IF(VALUE(MID($B2622,2,20))&lt;100000000,VALUE(MID($B2622,2,20)),1000000000),1000000000))+ROW()/100000,"")</f>
        <v/>
      </c>
    </row>
    <row r="2623">
      <c r="A2623">
        <f>IF($B2623="","",IFERROR(IF(INDEX('Per Invoice'!$A$2:$A$801,MATCH($B2623,'Per Invoice'!$B$2:$B$801,0))=0,"",INDEX('Per Invoice'!$A$2:$A$801,MATCH($B2623,'Per Invoice'!$B$2:$B$801,0))),""))</f>
        <v/>
      </c>
      <c r="J2623" s="7">
        <f>IF($B2623="","",I2623*Q2623/100)</f>
        <v/>
      </c>
      <c r="N2623" s="7" t="n"/>
      <c r="O2623" s="7" t="n"/>
      <c r="P2623" s="7">
        <f>IF($B2623="","",O2623*X2623/100)</f>
        <v/>
      </c>
      <c r="Q2623" s="7">
        <f>IF($B2623="","",O2623-P2623)</f>
        <v/>
      </c>
      <c r="R2623" s="7">
        <f>IF($B2623="","",Q2623-J2623)</f>
        <v/>
      </c>
      <c r="S2623" s="7" t="n"/>
      <c r="T2623" s="7" t="n"/>
      <c r="V2623" s="14" t="n"/>
      <c r="Z2623">
        <f>IF($B2623="","",IF(COUNTIF($B$2:$B2623,$B2623)=1,1,0))</f>
        <v/>
      </c>
      <c r="AA2623">
        <f>IF($Z2623=1,SUMPRODUCT(--($AC$2:$AC$3001&lt;$AC2623))+1,"")</f>
        <v/>
      </c>
      <c r="AB2623">
        <f>IF($B2623="","",IF(OR($Y2623=TRUE(),$Y2623="TRUE"),1,IF(AND($Y2623&lt;&gt;"",OR($Y2623=FALSE(),$Y2623="FALSE")),0,IF(MIN(ABS($X2623/100-Settings!$C$6),ABS($X2623/100-Settings!$G$6))&lt;=MIN(ABS($X2623/100-Settings!$C$7),ABS($X2623/100-Settings!$G$7)),1,0))))</f>
        <v/>
      </c>
      <c r="AC2623">
        <f>IF($Z2623=1,IFERROR(IF(VALUE($B2623)&lt;100000000,VALUE($B2623),1000000000),IFERROR(IF(VALUE(MID($B2623,2,20))&lt;100000000,VALUE(MID($B2623,2,20)),1000000000),1000000000))+ROW()/100000,"")</f>
        <v/>
      </c>
    </row>
    <row r="2624">
      <c r="A2624">
        <f>IF($B2624="","",IFERROR(IF(INDEX('Per Invoice'!$A$2:$A$801,MATCH($B2624,'Per Invoice'!$B$2:$B$801,0))=0,"",INDEX('Per Invoice'!$A$2:$A$801,MATCH($B2624,'Per Invoice'!$B$2:$B$801,0))),""))</f>
        <v/>
      </c>
      <c r="J2624" s="7">
        <f>IF($B2624="","",I2624*Q2624/100)</f>
        <v/>
      </c>
      <c r="N2624" s="7" t="n"/>
      <c r="O2624" s="7" t="n"/>
      <c r="P2624" s="7">
        <f>IF($B2624="","",O2624*X2624/100)</f>
        <v/>
      </c>
      <c r="Q2624" s="7">
        <f>IF($B2624="","",O2624-P2624)</f>
        <v/>
      </c>
      <c r="R2624" s="7">
        <f>IF($B2624="","",Q2624-J2624)</f>
        <v/>
      </c>
      <c r="S2624" s="7" t="n"/>
      <c r="T2624" s="7" t="n"/>
      <c r="V2624" s="14" t="n"/>
      <c r="Z2624">
        <f>IF($B2624="","",IF(COUNTIF($B$2:$B2624,$B2624)=1,1,0))</f>
        <v/>
      </c>
      <c r="AA2624">
        <f>IF($Z2624=1,SUMPRODUCT(--($AC$2:$AC$3001&lt;$AC2624))+1,"")</f>
        <v/>
      </c>
      <c r="AB2624">
        <f>IF($B2624="","",IF(OR($Y2624=TRUE(),$Y2624="TRUE"),1,IF(AND($Y2624&lt;&gt;"",OR($Y2624=FALSE(),$Y2624="FALSE")),0,IF(MIN(ABS($X2624/100-Settings!$C$6),ABS($X2624/100-Settings!$G$6))&lt;=MIN(ABS($X2624/100-Settings!$C$7),ABS($X2624/100-Settings!$G$7)),1,0))))</f>
        <v/>
      </c>
      <c r="AC2624">
        <f>IF($Z2624=1,IFERROR(IF(VALUE($B2624)&lt;100000000,VALUE($B2624),1000000000),IFERROR(IF(VALUE(MID($B2624,2,20))&lt;100000000,VALUE(MID($B2624,2,20)),1000000000),1000000000))+ROW()/100000,"")</f>
        <v/>
      </c>
    </row>
    <row r="2625">
      <c r="A2625">
        <f>IF($B2625="","",IFERROR(IF(INDEX('Per Invoice'!$A$2:$A$801,MATCH($B2625,'Per Invoice'!$B$2:$B$801,0))=0,"",INDEX('Per Invoice'!$A$2:$A$801,MATCH($B2625,'Per Invoice'!$B$2:$B$801,0))),""))</f>
        <v/>
      </c>
      <c r="J2625" s="7">
        <f>IF($B2625="","",I2625*Q2625/100)</f>
        <v/>
      </c>
      <c r="N2625" s="7" t="n"/>
      <c r="O2625" s="7" t="n"/>
      <c r="P2625" s="7">
        <f>IF($B2625="","",O2625*X2625/100)</f>
        <v/>
      </c>
      <c r="Q2625" s="7">
        <f>IF($B2625="","",O2625-P2625)</f>
        <v/>
      </c>
      <c r="R2625" s="7">
        <f>IF($B2625="","",Q2625-J2625)</f>
        <v/>
      </c>
      <c r="S2625" s="7" t="n"/>
      <c r="T2625" s="7" t="n"/>
      <c r="V2625" s="14" t="n"/>
      <c r="Z2625">
        <f>IF($B2625="","",IF(COUNTIF($B$2:$B2625,$B2625)=1,1,0))</f>
        <v/>
      </c>
      <c r="AA2625">
        <f>IF($Z2625=1,SUMPRODUCT(--($AC$2:$AC$3001&lt;$AC2625))+1,"")</f>
        <v/>
      </c>
      <c r="AB2625">
        <f>IF($B2625="","",IF(OR($Y2625=TRUE(),$Y2625="TRUE"),1,IF(AND($Y2625&lt;&gt;"",OR($Y2625=FALSE(),$Y2625="FALSE")),0,IF(MIN(ABS($X2625/100-Settings!$C$6),ABS($X2625/100-Settings!$G$6))&lt;=MIN(ABS($X2625/100-Settings!$C$7),ABS($X2625/100-Settings!$G$7)),1,0))))</f>
        <v/>
      </c>
      <c r="AC2625">
        <f>IF($Z2625=1,IFERROR(IF(VALUE($B2625)&lt;100000000,VALUE($B2625),1000000000),IFERROR(IF(VALUE(MID($B2625,2,20))&lt;100000000,VALUE(MID($B2625,2,20)),1000000000),1000000000))+ROW()/100000,"")</f>
        <v/>
      </c>
    </row>
    <row r="2626">
      <c r="A2626">
        <f>IF($B2626="","",IFERROR(IF(INDEX('Per Invoice'!$A$2:$A$801,MATCH($B2626,'Per Invoice'!$B$2:$B$801,0))=0,"",INDEX('Per Invoice'!$A$2:$A$801,MATCH($B2626,'Per Invoice'!$B$2:$B$801,0))),""))</f>
        <v/>
      </c>
      <c r="J2626" s="7">
        <f>IF($B2626="","",I2626*Q2626/100)</f>
        <v/>
      </c>
      <c r="N2626" s="7" t="n"/>
      <c r="O2626" s="7" t="n"/>
      <c r="P2626" s="7">
        <f>IF($B2626="","",O2626*X2626/100)</f>
        <v/>
      </c>
      <c r="Q2626" s="7">
        <f>IF($B2626="","",O2626-P2626)</f>
        <v/>
      </c>
      <c r="R2626" s="7">
        <f>IF($B2626="","",Q2626-J2626)</f>
        <v/>
      </c>
      <c r="S2626" s="7" t="n"/>
      <c r="T2626" s="7" t="n"/>
      <c r="V2626" s="14" t="n"/>
      <c r="Z2626">
        <f>IF($B2626="","",IF(COUNTIF($B$2:$B2626,$B2626)=1,1,0))</f>
        <v/>
      </c>
      <c r="AA2626">
        <f>IF($Z2626=1,SUMPRODUCT(--($AC$2:$AC$3001&lt;$AC2626))+1,"")</f>
        <v/>
      </c>
      <c r="AB2626">
        <f>IF($B2626="","",IF(OR($Y2626=TRUE(),$Y2626="TRUE"),1,IF(AND($Y2626&lt;&gt;"",OR($Y2626=FALSE(),$Y2626="FALSE")),0,IF(MIN(ABS($X2626/100-Settings!$C$6),ABS($X2626/100-Settings!$G$6))&lt;=MIN(ABS($X2626/100-Settings!$C$7),ABS($X2626/100-Settings!$G$7)),1,0))))</f>
        <v/>
      </c>
      <c r="AC2626">
        <f>IF($Z2626=1,IFERROR(IF(VALUE($B2626)&lt;100000000,VALUE($B2626),1000000000),IFERROR(IF(VALUE(MID($B2626,2,20))&lt;100000000,VALUE(MID($B2626,2,20)),1000000000),1000000000))+ROW()/100000,"")</f>
        <v/>
      </c>
    </row>
    <row r="2627">
      <c r="A2627">
        <f>IF($B2627="","",IFERROR(IF(INDEX('Per Invoice'!$A$2:$A$801,MATCH($B2627,'Per Invoice'!$B$2:$B$801,0))=0,"",INDEX('Per Invoice'!$A$2:$A$801,MATCH($B2627,'Per Invoice'!$B$2:$B$801,0))),""))</f>
        <v/>
      </c>
      <c r="J2627" s="7">
        <f>IF($B2627="","",I2627*Q2627/100)</f>
        <v/>
      </c>
      <c r="N2627" s="7" t="n"/>
      <c r="O2627" s="7" t="n"/>
      <c r="P2627" s="7">
        <f>IF($B2627="","",O2627*X2627/100)</f>
        <v/>
      </c>
      <c r="Q2627" s="7">
        <f>IF($B2627="","",O2627-P2627)</f>
        <v/>
      </c>
      <c r="R2627" s="7">
        <f>IF($B2627="","",Q2627-J2627)</f>
        <v/>
      </c>
      <c r="S2627" s="7" t="n"/>
      <c r="T2627" s="7" t="n"/>
      <c r="V2627" s="14" t="n"/>
      <c r="Z2627">
        <f>IF($B2627="","",IF(COUNTIF($B$2:$B2627,$B2627)=1,1,0))</f>
        <v/>
      </c>
      <c r="AA2627">
        <f>IF($Z2627=1,SUMPRODUCT(--($AC$2:$AC$3001&lt;$AC2627))+1,"")</f>
        <v/>
      </c>
      <c r="AB2627">
        <f>IF($B2627="","",IF(OR($Y2627=TRUE(),$Y2627="TRUE"),1,IF(AND($Y2627&lt;&gt;"",OR($Y2627=FALSE(),$Y2627="FALSE")),0,IF(MIN(ABS($X2627/100-Settings!$C$6),ABS($X2627/100-Settings!$G$6))&lt;=MIN(ABS($X2627/100-Settings!$C$7),ABS($X2627/100-Settings!$G$7)),1,0))))</f>
        <v/>
      </c>
      <c r="AC2627">
        <f>IF($Z2627=1,IFERROR(IF(VALUE($B2627)&lt;100000000,VALUE($B2627),1000000000),IFERROR(IF(VALUE(MID($B2627,2,20))&lt;100000000,VALUE(MID($B2627,2,20)),1000000000),1000000000))+ROW()/100000,"")</f>
        <v/>
      </c>
    </row>
    <row r="2628">
      <c r="A2628">
        <f>IF($B2628="","",IFERROR(IF(INDEX('Per Invoice'!$A$2:$A$801,MATCH($B2628,'Per Invoice'!$B$2:$B$801,0))=0,"",INDEX('Per Invoice'!$A$2:$A$801,MATCH($B2628,'Per Invoice'!$B$2:$B$801,0))),""))</f>
        <v/>
      </c>
      <c r="J2628" s="7">
        <f>IF($B2628="","",I2628*Q2628/100)</f>
        <v/>
      </c>
      <c r="N2628" s="7" t="n"/>
      <c r="O2628" s="7" t="n"/>
      <c r="P2628" s="7">
        <f>IF($B2628="","",O2628*X2628/100)</f>
        <v/>
      </c>
      <c r="Q2628" s="7">
        <f>IF($B2628="","",O2628-P2628)</f>
        <v/>
      </c>
      <c r="R2628" s="7">
        <f>IF($B2628="","",Q2628-J2628)</f>
        <v/>
      </c>
      <c r="S2628" s="7" t="n"/>
      <c r="T2628" s="7" t="n"/>
      <c r="V2628" s="14" t="n"/>
      <c r="Z2628">
        <f>IF($B2628="","",IF(COUNTIF($B$2:$B2628,$B2628)=1,1,0))</f>
        <v/>
      </c>
      <c r="AA2628">
        <f>IF($Z2628=1,SUMPRODUCT(--($AC$2:$AC$3001&lt;$AC2628))+1,"")</f>
        <v/>
      </c>
      <c r="AB2628">
        <f>IF($B2628="","",IF(OR($Y2628=TRUE(),$Y2628="TRUE"),1,IF(AND($Y2628&lt;&gt;"",OR($Y2628=FALSE(),$Y2628="FALSE")),0,IF(MIN(ABS($X2628/100-Settings!$C$6),ABS($X2628/100-Settings!$G$6))&lt;=MIN(ABS($X2628/100-Settings!$C$7),ABS($X2628/100-Settings!$G$7)),1,0))))</f>
        <v/>
      </c>
      <c r="AC2628">
        <f>IF($Z2628=1,IFERROR(IF(VALUE($B2628)&lt;100000000,VALUE($B2628),1000000000),IFERROR(IF(VALUE(MID($B2628,2,20))&lt;100000000,VALUE(MID($B2628,2,20)),1000000000),1000000000))+ROW()/100000,"")</f>
        <v/>
      </c>
    </row>
    <row r="2629">
      <c r="A2629">
        <f>IF($B2629="","",IFERROR(IF(INDEX('Per Invoice'!$A$2:$A$801,MATCH($B2629,'Per Invoice'!$B$2:$B$801,0))=0,"",INDEX('Per Invoice'!$A$2:$A$801,MATCH($B2629,'Per Invoice'!$B$2:$B$801,0))),""))</f>
        <v/>
      </c>
      <c r="J2629" s="7">
        <f>IF($B2629="","",I2629*Q2629/100)</f>
        <v/>
      </c>
      <c r="N2629" s="7" t="n"/>
      <c r="O2629" s="7" t="n"/>
      <c r="P2629" s="7">
        <f>IF($B2629="","",O2629*X2629/100)</f>
        <v/>
      </c>
      <c r="Q2629" s="7">
        <f>IF($B2629="","",O2629-P2629)</f>
        <v/>
      </c>
      <c r="R2629" s="7">
        <f>IF($B2629="","",Q2629-J2629)</f>
        <v/>
      </c>
      <c r="S2629" s="7" t="n"/>
      <c r="T2629" s="7" t="n"/>
      <c r="V2629" s="14" t="n"/>
      <c r="Z2629">
        <f>IF($B2629="","",IF(COUNTIF($B$2:$B2629,$B2629)=1,1,0))</f>
        <v/>
      </c>
      <c r="AA2629">
        <f>IF($Z2629=1,SUMPRODUCT(--($AC$2:$AC$3001&lt;$AC2629))+1,"")</f>
        <v/>
      </c>
      <c r="AB2629">
        <f>IF($B2629="","",IF(OR($Y2629=TRUE(),$Y2629="TRUE"),1,IF(AND($Y2629&lt;&gt;"",OR($Y2629=FALSE(),$Y2629="FALSE")),0,IF(MIN(ABS($X2629/100-Settings!$C$6),ABS($X2629/100-Settings!$G$6))&lt;=MIN(ABS($X2629/100-Settings!$C$7),ABS($X2629/100-Settings!$G$7)),1,0))))</f>
        <v/>
      </c>
      <c r="AC2629">
        <f>IF($Z2629=1,IFERROR(IF(VALUE($B2629)&lt;100000000,VALUE($B2629),1000000000),IFERROR(IF(VALUE(MID($B2629,2,20))&lt;100000000,VALUE(MID($B2629,2,20)),1000000000),1000000000))+ROW()/100000,"")</f>
        <v/>
      </c>
    </row>
    <row r="2630">
      <c r="A2630">
        <f>IF($B2630="","",IFERROR(IF(INDEX('Per Invoice'!$A$2:$A$801,MATCH($B2630,'Per Invoice'!$B$2:$B$801,0))=0,"",INDEX('Per Invoice'!$A$2:$A$801,MATCH($B2630,'Per Invoice'!$B$2:$B$801,0))),""))</f>
        <v/>
      </c>
      <c r="J2630" s="7">
        <f>IF($B2630="","",I2630*Q2630/100)</f>
        <v/>
      </c>
      <c r="N2630" s="7" t="n"/>
      <c r="O2630" s="7" t="n"/>
      <c r="P2630" s="7">
        <f>IF($B2630="","",O2630*X2630/100)</f>
        <v/>
      </c>
      <c r="Q2630" s="7">
        <f>IF($B2630="","",O2630-P2630)</f>
        <v/>
      </c>
      <c r="R2630" s="7">
        <f>IF($B2630="","",Q2630-J2630)</f>
        <v/>
      </c>
      <c r="S2630" s="7" t="n"/>
      <c r="T2630" s="7" t="n"/>
      <c r="V2630" s="14" t="n"/>
      <c r="Z2630">
        <f>IF($B2630="","",IF(COUNTIF($B$2:$B2630,$B2630)=1,1,0))</f>
        <v/>
      </c>
      <c r="AA2630">
        <f>IF($Z2630=1,SUMPRODUCT(--($AC$2:$AC$3001&lt;$AC2630))+1,"")</f>
        <v/>
      </c>
      <c r="AB2630">
        <f>IF($B2630="","",IF(OR($Y2630=TRUE(),$Y2630="TRUE"),1,IF(AND($Y2630&lt;&gt;"",OR($Y2630=FALSE(),$Y2630="FALSE")),0,IF(MIN(ABS($X2630/100-Settings!$C$6),ABS($X2630/100-Settings!$G$6))&lt;=MIN(ABS($X2630/100-Settings!$C$7),ABS($X2630/100-Settings!$G$7)),1,0))))</f>
        <v/>
      </c>
      <c r="AC2630">
        <f>IF($Z2630=1,IFERROR(IF(VALUE($B2630)&lt;100000000,VALUE($B2630),1000000000),IFERROR(IF(VALUE(MID($B2630,2,20))&lt;100000000,VALUE(MID($B2630,2,20)),1000000000),1000000000))+ROW()/100000,"")</f>
        <v/>
      </c>
    </row>
    <row r="2631">
      <c r="A2631">
        <f>IF($B2631="","",IFERROR(IF(INDEX('Per Invoice'!$A$2:$A$801,MATCH($B2631,'Per Invoice'!$B$2:$B$801,0))=0,"",INDEX('Per Invoice'!$A$2:$A$801,MATCH($B2631,'Per Invoice'!$B$2:$B$801,0))),""))</f>
        <v/>
      </c>
      <c r="J2631" s="7">
        <f>IF($B2631="","",I2631*Q2631/100)</f>
        <v/>
      </c>
      <c r="N2631" s="7" t="n"/>
      <c r="O2631" s="7" t="n"/>
      <c r="P2631" s="7">
        <f>IF($B2631="","",O2631*X2631/100)</f>
        <v/>
      </c>
      <c r="Q2631" s="7">
        <f>IF($B2631="","",O2631-P2631)</f>
        <v/>
      </c>
      <c r="R2631" s="7">
        <f>IF($B2631="","",Q2631-J2631)</f>
        <v/>
      </c>
      <c r="S2631" s="7" t="n"/>
      <c r="T2631" s="7" t="n"/>
      <c r="V2631" s="14" t="n"/>
      <c r="Z2631">
        <f>IF($B2631="","",IF(COUNTIF($B$2:$B2631,$B2631)=1,1,0))</f>
        <v/>
      </c>
      <c r="AA2631">
        <f>IF($Z2631=1,SUMPRODUCT(--($AC$2:$AC$3001&lt;$AC2631))+1,"")</f>
        <v/>
      </c>
      <c r="AB2631">
        <f>IF($B2631="","",IF(OR($Y2631=TRUE(),$Y2631="TRUE"),1,IF(AND($Y2631&lt;&gt;"",OR($Y2631=FALSE(),$Y2631="FALSE")),0,IF(MIN(ABS($X2631/100-Settings!$C$6),ABS($X2631/100-Settings!$G$6))&lt;=MIN(ABS($X2631/100-Settings!$C$7),ABS($X2631/100-Settings!$G$7)),1,0))))</f>
        <v/>
      </c>
      <c r="AC2631">
        <f>IF($Z2631=1,IFERROR(IF(VALUE($B2631)&lt;100000000,VALUE($B2631),1000000000),IFERROR(IF(VALUE(MID($B2631,2,20))&lt;100000000,VALUE(MID($B2631,2,20)),1000000000),1000000000))+ROW()/100000,"")</f>
        <v/>
      </c>
    </row>
    <row r="2632">
      <c r="A2632">
        <f>IF($B2632="","",IFERROR(IF(INDEX('Per Invoice'!$A$2:$A$801,MATCH($B2632,'Per Invoice'!$B$2:$B$801,0))=0,"",INDEX('Per Invoice'!$A$2:$A$801,MATCH($B2632,'Per Invoice'!$B$2:$B$801,0))),""))</f>
        <v/>
      </c>
      <c r="J2632" s="7">
        <f>IF($B2632="","",I2632*Q2632/100)</f>
        <v/>
      </c>
      <c r="N2632" s="7" t="n"/>
      <c r="O2632" s="7" t="n"/>
      <c r="P2632" s="7">
        <f>IF($B2632="","",O2632*X2632/100)</f>
        <v/>
      </c>
      <c r="Q2632" s="7">
        <f>IF($B2632="","",O2632-P2632)</f>
        <v/>
      </c>
      <c r="R2632" s="7">
        <f>IF($B2632="","",Q2632-J2632)</f>
        <v/>
      </c>
      <c r="S2632" s="7" t="n"/>
      <c r="T2632" s="7" t="n"/>
      <c r="V2632" s="14" t="n"/>
      <c r="Z2632">
        <f>IF($B2632="","",IF(COUNTIF($B$2:$B2632,$B2632)=1,1,0))</f>
        <v/>
      </c>
      <c r="AA2632">
        <f>IF($Z2632=1,SUMPRODUCT(--($AC$2:$AC$3001&lt;$AC2632))+1,"")</f>
        <v/>
      </c>
      <c r="AB2632">
        <f>IF($B2632="","",IF(OR($Y2632=TRUE(),$Y2632="TRUE"),1,IF(AND($Y2632&lt;&gt;"",OR($Y2632=FALSE(),$Y2632="FALSE")),0,IF(MIN(ABS($X2632/100-Settings!$C$6),ABS($X2632/100-Settings!$G$6))&lt;=MIN(ABS($X2632/100-Settings!$C$7),ABS($X2632/100-Settings!$G$7)),1,0))))</f>
        <v/>
      </c>
      <c r="AC2632">
        <f>IF($Z2632=1,IFERROR(IF(VALUE($B2632)&lt;100000000,VALUE($B2632),1000000000),IFERROR(IF(VALUE(MID($B2632,2,20))&lt;100000000,VALUE(MID($B2632,2,20)),1000000000),1000000000))+ROW()/100000,"")</f>
        <v/>
      </c>
    </row>
    <row r="2633">
      <c r="A2633">
        <f>IF($B2633="","",IFERROR(IF(INDEX('Per Invoice'!$A$2:$A$801,MATCH($B2633,'Per Invoice'!$B$2:$B$801,0))=0,"",INDEX('Per Invoice'!$A$2:$A$801,MATCH($B2633,'Per Invoice'!$B$2:$B$801,0))),""))</f>
        <v/>
      </c>
      <c r="J2633" s="7">
        <f>IF($B2633="","",I2633*Q2633/100)</f>
        <v/>
      </c>
      <c r="N2633" s="7" t="n"/>
      <c r="O2633" s="7" t="n"/>
      <c r="P2633" s="7">
        <f>IF($B2633="","",O2633*X2633/100)</f>
        <v/>
      </c>
      <c r="Q2633" s="7">
        <f>IF($B2633="","",O2633-P2633)</f>
        <v/>
      </c>
      <c r="R2633" s="7">
        <f>IF($B2633="","",Q2633-J2633)</f>
        <v/>
      </c>
      <c r="S2633" s="7" t="n"/>
      <c r="T2633" s="7" t="n"/>
      <c r="V2633" s="14" t="n"/>
      <c r="Z2633">
        <f>IF($B2633="","",IF(COUNTIF($B$2:$B2633,$B2633)=1,1,0))</f>
        <v/>
      </c>
      <c r="AA2633">
        <f>IF($Z2633=1,SUMPRODUCT(--($AC$2:$AC$3001&lt;$AC2633))+1,"")</f>
        <v/>
      </c>
      <c r="AB2633">
        <f>IF($B2633="","",IF(OR($Y2633=TRUE(),$Y2633="TRUE"),1,IF(AND($Y2633&lt;&gt;"",OR($Y2633=FALSE(),$Y2633="FALSE")),0,IF(MIN(ABS($X2633/100-Settings!$C$6),ABS($X2633/100-Settings!$G$6))&lt;=MIN(ABS($X2633/100-Settings!$C$7),ABS($X2633/100-Settings!$G$7)),1,0))))</f>
        <v/>
      </c>
      <c r="AC2633">
        <f>IF($Z2633=1,IFERROR(IF(VALUE($B2633)&lt;100000000,VALUE($B2633),1000000000),IFERROR(IF(VALUE(MID($B2633,2,20))&lt;100000000,VALUE(MID($B2633,2,20)),1000000000),1000000000))+ROW()/100000,"")</f>
        <v/>
      </c>
    </row>
    <row r="2634">
      <c r="A2634">
        <f>IF($B2634="","",IFERROR(IF(INDEX('Per Invoice'!$A$2:$A$801,MATCH($B2634,'Per Invoice'!$B$2:$B$801,0))=0,"",INDEX('Per Invoice'!$A$2:$A$801,MATCH($B2634,'Per Invoice'!$B$2:$B$801,0))),""))</f>
        <v/>
      </c>
      <c r="J2634" s="7">
        <f>IF($B2634="","",I2634*Q2634/100)</f>
        <v/>
      </c>
      <c r="N2634" s="7" t="n"/>
      <c r="O2634" s="7" t="n"/>
      <c r="P2634" s="7">
        <f>IF($B2634="","",O2634*X2634/100)</f>
        <v/>
      </c>
      <c r="Q2634" s="7">
        <f>IF($B2634="","",O2634-P2634)</f>
        <v/>
      </c>
      <c r="R2634" s="7">
        <f>IF($B2634="","",Q2634-J2634)</f>
        <v/>
      </c>
      <c r="S2634" s="7" t="n"/>
      <c r="T2634" s="7" t="n"/>
      <c r="V2634" s="14" t="n"/>
      <c r="Z2634">
        <f>IF($B2634="","",IF(COUNTIF($B$2:$B2634,$B2634)=1,1,0))</f>
        <v/>
      </c>
      <c r="AA2634">
        <f>IF($Z2634=1,SUMPRODUCT(--($AC$2:$AC$3001&lt;$AC2634))+1,"")</f>
        <v/>
      </c>
      <c r="AB2634">
        <f>IF($B2634="","",IF(OR($Y2634=TRUE(),$Y2634="TRUE"),1,IF(AND($Y2634&lt;&gt;"",OR($Y2634=FALSE(),$Y2634="FALSE")),0,IF(MIN(ABS($X2634/100-Settings!$C$6),ABS($X2634/100-Settings!$G$6))&lt;=MIN(ABS($X2634/100-Settings!$C$7),ABS($X2634/100-Settings!$G$7)),1,0))))</f>
        <v/>
      </c>
      <c r="AC2634">
        <f>IF($Z2634=1,IFERROR(IF(VALUE($B2634)&lt;100000000,VALUE($B2634),1000000000),IFERROR(IF(VALUE(MID($B2634,2,20))&lt;100000000,VALUE(MID($B2634,2,20)),1000000000),1000000000))+ROW()/100000,"")</f>
        <v/>
      </c>
    </row>
    <row r="2635">
      <c r="A2635">
        <f>IF($B2635="","",IFERROR(IF(INDEX('Per Invoice'!$A$2:$A$801,MATCH($B2635,'Per Invoice'!$B$2:$B$801,0))=0,"",INDEX('Per Invoice'!$A$2:$A$801,MATCH($B2635,'Per Invoice'!$B$2:$B$801,0))),""))</f>
        <v/>
      </c>
      <c r="J2635" s="7">
        <f>IF($B2635="","",I2635*Q2635/100)</f>
        <v/>
      </c>
      <c r="N2635" s="7" t="n"/>
      <c r="O2635" s="7" t="n"/>
      <c r="P2635" s="7">
        <f>IF($B2635="","",O2635*X2635/100)</f>
        <v/>
      </c>
      <c r="Q2635" s="7">
        <f>IF($B2635="","",O2635-P2635)</f>
        <v/>
      </c>
      <c r="R2635" s="7">
        <f>IF($B2635="","",Q2635-J2635)</f>
        <v/>
      </c>
      <c r="S2635" s="7" t="n"/>
      <c r="T2635" s="7" t="n"/>
      <c r="V2635" s="14" t="n"/>
      <c r="Z2635">
        <f>IF($B2635="","",IF(COUNTIF($B$2:$B2635,$B2635)=1,1,0))</f>
        <v/>
      </c>
      <c r="AA2635">
        <f>IF($Z2635=1,SUMPRODUCT(--($AC$2:$AC$3001&lt;$AC2635))+1,"")</f>
        <v/>
      </c>
      <c r="AB2635">
        <f>IF($B2635="","",IF(OR($Y2635=TRUE(),$Y2635="TRUE"),1,IF(AND($Y2635&lt;&gt;"",OR($Y2635=FALSE(),$Y2635="FALSE")),0,IF(MIN(ABS($X2635/100-Settings!$C$6),ABS($X2635/100-Settings!$G$6))&lt;=MIN(ABS($X2635/100-Settings!$C$7),ABS($X2635/100-Settings!$G$7)),1,0))))</f>
        <v/>
      </c>
      <c r="AC2635">
        <f>IF($Z2635=1,IFERROR(IF(VALUE($B2635)&lt;100000000,VALUE($B2635),1000000000),IFERROR(IF(VALUE(MID($B2635,2,20))&lt;100000000,VALUE(MID($B2635,2,20)),1000000000),1000000000))+ROW()/100000,"")</f>
        <v/>
      </c>
    </row>
    <row r="2636">
      <c r="A2636">
        <f>IF($B2636="","",IFERROR(IF(INDEX('Per Invoice'!$A$2:$A$801,MATCH($B2636,'Per Invoice'!$B$2:$B$801,0))=0,"",INDEX('Per Invoice'!$A$2:$A$801,MATCH($B2636,'Per Invoice'!$B$2:$B$801,0))),""))</f>
        <v/>
      </c>
      <c r="J2636" s="7">
        <f>IF($B2636="","",I2636*Q2636/100)</f>
        <v/>
      </c>
      <c r="N2636" s="7" t="n"/>
      <c r="O2636" s="7" t="n"/>
      <c r="P2636" s="7">
        <f>IF($B2636="","",O2636*X2636/100)</f>
        <v/>
      </c>
      <c r="Q2636" s="7">
        <f>IF($B2636="","",O2636-P2636)</f>
        <v/>
      </c>
      <c r="R2636" s="7">
        <f>IF($B2636="","",Q2636-J2636)</f>
        <v/>
      </c>
      <c r="S2636" s="7" t="n"/>
      <c r="T2636" s="7" t="n"/>
      <c r="V2636" s="14" t="n"/>
      <c r="Z2636">
        <f>IF($B2636="","",IF(COUNTIF($B$2:$B2636,$B2636)=1,1,0))</f>
        <v/>
      </c>
      <c r="AA2636">
        <f>IF($Z2636=1,SUMPRODUCT(--($AC$2:$AC$3001&lt;$AC2636))+1,"")</f>
        <v/>
      </c>
      <c r="AB2636">
        <f>IF($B2636="","",IF(OR($Y2636=TRUE(),$Y2636="TRUE"),1,IF(AND($Y2636&lt;&gt;"",OR($Y2636=FALSE(),$Y2636="FALSE")),0,IF(MIN(ABS($X2636/100-Settings!$C$6),ABS($X2636/100-Settings!$G$6))&lt;=MIN(ABS($X2636/100-Settings!$C$7),ABS($X2636/100-Settings!$G$7)),1,0))))</f>
        <v/>
      </c>
      <c r="AC2636">
        <f>IF($Z2636=1,IFERROR(IF(VALUE($B2636)&lt;100000000,VALUE($B2636),1000000000),IFERROR(IF(VALUE(MID($B2636,2,20))&lt;100000000,VALUE(MID($B2636,2,20)),1000000000),1000000000))+ROW()/100000,"")</f>
        <v/>
      </c>
    </row>
    <row r="2637">
      <c r="A2637">
        <f>IF($B2637="","",IFERROR(IF(INDEX('Per Invoice'!$A$2:$A$801,MATCH($B2637,'Per Invoice'!$B$2:$B$801,0))=0,"",INDEX('Per Invoice'!$A$2:$A$801,MATCH($B2637,'Per Invoice'!$B$2:$B$801,0))),""))</f>
        <v/>
      </c>
      <c r="J2637" s="7">
        <f>IF($B2637="","",I2637*Q2637/100)</f>
        <v/>
      </c>
      <c r="N2637" s="7" t="n"/>
      <c r="O2637" s="7" t="n"/>
      <c r="P2637" s="7">
        <f>IF($B2637="","",O2637*X2637/100)</f>
        <v/>
      </c>
      <c r="Q2637" s="7">
        <f>IF($B2637="","",O2637-P2637)</f>
        <v/>
      </c>
      <c r="R2637" s="7">
        <f>IF($B2637="","",Q2637-J2637)</f>
        <v/>
      </c>
      <c r="S2637" s="7" t="n"/>
      <c r="T2637" s="7" t="n"/>
      <c r="V2637" s="14" t="n"/>
      <c r="Z2637">
        <f>IF($B2637="","",IF(COUNTIF($B$2:$B2637,$B2637)=1,1,0))</f>
        <v/>
      </c>
      <c r="AA2637">
        <f>IF($Z2637=1,SUMPRODUCT(--($AC$2:$AC$3001&lt;$AC2637))+1,"")</f>
        <v/>
      </c>
      <c r="AB2637">
        <f>IF($B2637="","",IF(OR($Y2637=TRUE(),$Y2637="TRUE"),1,IF(AND($Y2637&lt;&gt;"",OR($Y2637=FALSE(),$Y2637="FALSE")),0,IF(MIN(ABS($X2637/100-Settings!$C$6),ABS($X2637/100-Settings!$G$6))&lt;=MIN(ABS($X2637/100-Settings!$C$7),ABS($X2637/100-Settings!$G$7)),1,0))))</f>
        <v/>
      </c>
      <c r="AC2637">
        <f>IF($Z2637=1,IFERROR(IF(VALUE($B2637)&lt;100000000,VALUE($B2637),1000000000),IFERROR(IF(VALUE(MID($B2637,2,20))&lt;100000000,VALUE(MID($B2637,2,20)),1000000000),1000000000))+ROW()/100000,"")</f>
        <v/>
      </c>
    </row>
    <row r="2638">
      <c r="A2638">
        <f>IF($B2638="","",IFERROR(IF(INDEX('Per Invoice'!$A$2:$A$801,MATCH($B2638,'Per Invoice'!$B$2:$B$801,0))=0,"",INDEX('Per Invoice'!$A$2:$A$801,MATCH($B2638,'Per Invoice'!$B$2:$B$801,0))),""))</f>
        <v/>
      </c>
      <c r="J2638" s="7">
        <f>IF($B2638="","",I2638*Q2638/100)</f>
        <v/>
      </c>
      <c r="N2638" s="7" t="n"/>
      <c r="O2638" s="7" t="n"/>
      <c r="P2638" s="7">
        <f>IF($B2638="","",O2638*X2638/100)</f>
        <v/>
      </c>
      <c r="Q2638" s="7">
        <f>IF($B2638="","",O2638-P2638)</f>
        <v/>
      </c>
      <c r="R2638" s="7">
        <f>IF($B2638="","",Q2638-J2638)</f>
        <v/>
      </c>
      <c r="S2638" s="7" t="n"/>
      <c r="T2638" s="7" t="n"/>
      <c r="V2638" s="14" t="n"/>
      <c r="Z2638">
        <f>IF($B2638="","",IF(COUNTIF($B$2:$B2638,$B2638)=1,1,0))</f>
        <v/>
      </c>
      <c r="AA2638">
        <f>IF($Z2638=1,SUMPRODUCT(--($AC$2:$AC$3001&lt;$AC2638))+1,"")</f>
        <v/>
      </c>
      <c r="AB2638">
        <f>IF($B2638="","",IF(OR($Y2638=TRUE(),$Y2638="TRUE"),1,IF(AND($Y2638&lt;&gt;"",OR($Y2638=FALSE(),$Y2638="FALSE")),0,IF(MIN(ABS($X2638/100-Settings!$C$6),ABS($X2638/100-Settings!$G$6))&lt;=MIN(ABS($X2638/100-Settings!$C$7),ABS($X2638/100-Settings!$G$7)),1,0))))</f>
        <v/>
      </c>
      <c r="AC2638">
        <f>IF($Z2638=1,IFERROR(IF(VALUE($B2638)&lt;100000000,VALUE($B2638),1000000000),IFERROR(IF(VALUE(MID($B2638,2,20))&lt;100000000,VALUE(MID($B2638,2,20)),1000000000),1000000000))+ROW()/100000,"")</f>
        <v/>
      </c>
    </row>
    <row r="2639">
      <c r="A2639">
        <f>IF($B2639="","",IFERROR(IF(INDEX('Per Invoice'!$A$2:$A$801,MATCH($B2639,'Per Invoice'!$B$2:$B$801,0))=0,"",INDEX('Per Invoice'!$A$2:$A$801,MATCH($B2639,'Per Invoice'!$B$2:$B$801,0))),""))</f>
        <v/>
      </c>
      <c r="J2639" s="7">
        <f>IF($B2639="","",I2639*Q2639/100)</f>
        <v/>
      </c>
      <c r="N2639" s="7" t="n"/>
      <c r="O2639" s="7" t="n"/>
      <c r="P2639" s="7">
        <f>IF($B2639="","",O2639*X2639/100)</f>
        <v/>
      </c>
      <c r="Q2639" s="7">
        <f>IF($B2639="","",O2639-P2639)</f>
        <v/>
      </c>
      <c r="R2639" s="7">
        <f>IF($B2639="","",Q2639-J2639)</f>
        <v/>
      </c>
      <c r="S2639" s="7" t="n"/>
      <c r="T2639" s="7" t="n"/>
      <c r="V2639" s="14" t="n"/>
      <c r="Z2639">
        <f>IF($B2639="","",IF(COUNTIF($B$2:$B2639,$B2639)=1,1,0))</f>
        <v/>
      </c>
      <c r="AA2639">
        <f>IF($Z2639=1,SUMPRODUCT(--($AC$2:$AC$3001&lt;$AC2639))+1,"")</f>
        <v/>
      </c>
      <c r="AB2639">
        <f>IF($B2639="","",IF(OR($Y2639=TRUE(),$Y2639="TRUE"),1,IF(AND($Y2639&lt;&gt;"",OR($Y2639=FALSE(),$Y2639="FALSE")),0,IF(MIN(ABS($X2639/100-Settings!$C$6),ABS($X2639/100-Settings!$G$6))&lt;=MIN(ABS($X2639/100-Settings!$C$7),ABS($X2639/100-Settings!$G$7)),1,0))))</f>
        <v/>
      </c>
      <c r="AC2639">
        <f>IF($Z2639=1,IFERROR(IF(VALUE($B2639)&lt;100000000,VALUE($B2639),1000000000),IFERROR(IF(VALUE(MID($B2639,2,20))&lt;100000000,VALUE(MID($B2639,2,20)),1000000000),1000000000))+ROW()/100000,"")</f>
        <v/>
      </c>
    </row>
    <row r="2640">
      <c r="A2640">
        <f>IF($B2640="","",IFERROR(IF(INDEX('Per Invoice'!$A$2:$A$801,MATCH($B2640,'Per Invoice'!$B$2:$B$801,0))=0,"",INDEX('Per Invoice'!$A$2:$A$801,MATCH($B2640,'Per Invoice'!$B$2:$B$801,0))),""))</f>
        <v/>
      </c>
      <c r="J2640" s="7">
        <f>IF($B2640="","",I2640*Q2640/100)</f>
        <v/>
      </c>
      <c r="N2640" s="7" t="n"/>
      <c r="O2640" s="7" t="n"/>
      <c r="P2640" s="7">
        <f>IF($B2640="","",O2640*X2640/100)</f>
        <v/>
      </c>
      <c r="Q2640" s="7">
        <f>IF($B2640="","",O2640-P2640)</f>
        <v/>
      </c>
      <c r="R2640" s="7">
        <f>IF($B2640="","",Q2640-J2640)</f>
        <v/>
      </c>
      <c r="S2640" s="7" t="n"/>
      <c r="T2640" s="7" t="n"/>
      <c r="V2640" s="14" t="n"/>
      <c r="Z2640">
        <f>IF($B2640="","",IF(COUNTIF($B$2:$B2640,$B2640)=1,1,0))</f>
        <v/>
      </c>
      <c r="AA2640">
        <f>IF($Z2640=1,SUMPRODUCT(--($AC$2:$AC$3001&lt;$AC2640))+1,"")</f>
        <v/>
      </c>
      <c r="AB2640">
        <f>IF($B2640="","",IF(OR($Y2640=TRUE(),$Y2640="TRUE"),1,IF(AND($Y2640&lt;&gt;"",OR($Y2640=FALSE(),$Y2640="FALSE")),0,IF(MIN(ABS($X2640/100-Settings!$C$6),ABS($X2640/100-Settings!$G$6))&lt;=MIN(ABS($X2640/100-Settings!$C$7),ABS($X2640/100-Settings!$G$7)),1,0))))</f>
        <v/>
      </c>
      <c r="AC2640">
        <f>IF($Z2640=1,IFERROR(IF(VALUE($B2640)&lt;100000000,VALUE($B2640),1000000000),IFERROR(IF(VALUE(MID($B2640,2,20))&lt;100000000,VALUE(MID($B2640,2,20)),1000000000),1000000000))+ROW()/100000,"")</f>
        <v/>
      </c>
    </row>
    <row r="2641">
      <c r="A2641">
        <f>IF($B2641="","",IFERROR(IF(INDEX('Per Invoice'!$A$2:$A$801,MATCH($B2641,'Per Invoice'!$B$2:$B$801,0))=0,"",INDEX('Per Invoice'!$A$2:$A$801,MATCH($B2641,'Per Invoice'!$B$2:$B$801,0))),""))</f>
        <v/>
      </c>
      <c r="J2641" s="7">
        <f>IF($B2641="","",I2641*Q2641/100)</f>
        <v/>
      </c>
      <c r="N2641" s="7" t="n"/>
      <c r="O2641" s="7" t="n"/>
      <c r="P2641" s="7">
        <f>IF($B2641="","",O2641*X2641/100)</f>
        <v/>
      </c>
      <c r="Q2641" s="7">
        <f>IF($B2641="","",O2641-P2641)</f>
        <v/>
      </c>
      <c r="R2641" s="7">
        <f>IF($B2641="","",Q2641-J2641)</f>
        <v/>
      </c>
      <c r="S2641" s="7" t="n"/>
      <c r="T2641" s="7" t="n"/>
      <c r="V2641" s="14" t="n"/>
      <c r="Z2641">
        <f>IF($B2641="","",IF(COUNTIF($B$2:$B2641,$B2641)=1,1,0))</f>
        <v/>
      </c>
      <c r="AA2641">
        <f>IF($Z2641=1,SUMPRODUCT(--($AC$2:$AC$3001&lt;$AC2641))+1,"")</f>
        <v/>
      </c>
      <c r="AB2641">
        <f>IF($B2641="","",IF(OR($Y2641=TRUE(),$Y2641="TRUE"),1,IF(AND($Y2641&lt;&gt;"",OR($Y2641=FALSE(),$Y2641="FALSE")),0,IF(MIN(ABS($X2641/100-Settings!$C$6),ABS($X2641/100-Settings!$G$6))&lt;=MIN(ABS($X2641/100-Settings!$C$7),ABS($X2641/100-Settings!$G$7)),1,0))))</f>
        <v/>
      </c>
      <c r="AC2641">
        <f>IF($Z2641=1,IFERROR(IF(VALUE($B2641)&lt;100000000,VALUE($B2641),1000000000),IFERROR(IF(VALUE(MID($B2641,2,20))&lt;100000000,VALUE(MID($B2641,2,20)),1000000000),1000000000))+ROW()/100000,"")</f>
        <v/>
      </c>
    </row>
    <row r="2642">
      <c r="A2642">
        <f>IF($B2642="","",IFERROR(IF(INDEX('Per Invoice'!$A$2:$A$801,MATCH($B2642,'Per Invoice'!$B$2:$B$801,0))=0,"",INDEX('Per Invoice'!$A$2:$A$801,MATCH($B2642,'Per Invoice'!$B$2:$B$801,0))),""))</f>
        <v/>
      </c>
      <c r="J2642" s="7">
        <f>IF($B2642="","",I2642*Q2642/100)</f>
        <v/>
      </c>
      <c r="N2642" s="7" t="n"/>
      <c r="O2642" s="7" t="n"/>
      <c r="P2642" s="7">
        <f>IF($B2642="","",O2642*X2642/100)</f>
        <v/>
      </c>
      <c r="Q2642" s="7">
        <f>IF($B2642="","",O2642-P2642)</f>
        <v/>
      </c>
      <c r="R2642" s="7">
        <f>IF($B2642="","",Q2642-J2642)</f>
        <v/>
      </c>
      <c r="S2642" s="7" t="n"/>
      <c r="T2642" s="7" t="n"/>
      <c r="V2642" s="14" t="n"/>
      <c r="Z2642">
        <f>IF($B2642="","",IF(COUNTIF($B$2:$B2642,$B2642)=1,1,0))</f>
        <v/>
      </c>
      <c r="AA2642">
        <f>IF($Z2642=1,SUMPRODUCT(--($AC$2:$AC$3001&lt;$AC2642))+1,"")</f>
        <v/>
      </c>
      <c r="AB2642">
        <f>IF($B2642="","",IF(OR($Y2642=TRUE(),$Y2642="TRUE"),1,IF(AND($Y2642&lt;&gt;"",OR($Y2642=FALSE(),$Y2642="FALSE")),0,IF(MIN(ABS($X2642/100-Settings!$C$6),ABS($X2642/100-Settings!$G$6))&lt;=MIN(ABS($X2642/100-Settings!$C$7),ABS($X2642/100-Settings!$G$7)),1,0))))</f>
        <v/>
      </c>
      <c r="AC2642">
        <f>IF($Z2642=1,IFERROR(IF(VALUE($B2642)&lt;100000000,VALUE($B2642),1000000000),IFERROR(IF(VALUE(MID($B2642,2,20))&lt;100000000,VALUE(MID($B2642,2,20)),1000000000),1000000000))+ROW()/100000,"")</f>
        <v/>
      </c>
    </row>
    <row r="2643">
      <c r="A2643">
        <f>IF($B2643="","",IFERROR(IF(INDEX('Per Invoice'!$A$2:$A$801,MATCH($B2643,'Per Invoice'!$B$2:$B$801,0))=0,"",INDEX('Per Invoice'!$A$2:$A$801,MATCH($B2643,'Per Invoice'!$B$2:$B$801,0))),""))</f>
        <v/>
      </c>
      <c r="J2643" s="7">
        <f>IF($B2643="","",I2643*Q2643/100)</f>
        <v/>
      </c>
      <c r="N2643" s="7" t="n"/>
      <c r="O2643" s="7" t="n"/>
      <c r="P2643" s="7">
        <f>IF($B2643="","",O2643*X2643/100)</f>
        <v/>
      </c>
      <c r="Q2643" s="7">
        <f>IF($B2643="","",O2643-P2643)</f>
        <v/>
      </c>
      <c r="R2643" s="7">
        <f>IF($B2643="","",Q2643-J2643)</f>
        <v/>
      </c>
      <c r="S2643" s="7" t="n"/>
      <c r="T2643" s="7" t="n"/>
      <c r="V2643" s="14" t="n"/>
      <c r="Z2643">
        <f>IF($B2643="","",IF(COUNTIF($B$2:$B2643,$B2643)=1,1,0))</f>
        <v/>
      </c>
      <c r="AA2643">
        <f>IF($Z2643=1,SUMPRODUCT(--($AC$2:$AC$3001&lt;$AC2643))+1,"")</f>
        <v/>
      </c>
      <c r="AB2643">
        <f>IF($B2643="","",IF(OR($Y2643=TRUE(),$Y2643="TRUE"),1,IF(AND($Y2643&lt;&gt;"",OR($Y2643=FALSE(),$Y2643="FALSE")),0,IF(MIN(ABS($X2643/100-Settings!$C$6),ABS($X2643/100-Settings!$G$6))&lt;=MIN(ABS($X2643/100-Settings!$C$7),ABS($X2643/100-Settings!$G$7)),1,0))))</f>
        <v/>
      </c>
      <c r="AC2643">
        <f>IF($Z2643=1,IFERROR(IF(VALUE($B2643)&lt;100000000,VALUE($B2643),1000000000),IFERROR(IF(VALUE(MID($B2643,2,20))&lt;100000000,VALUE(MID($B2643,2,20)),1000000000),1000000000))+ROW()/100000,"")</f>
        <v/>
      </c>
    </row>
    <row r="2644">
      <c r="A2644">
        <f>IF($B2644="","",IFERROR(IF(INDEX('Per Invoice'!$A$2:$A$801,MATCH($B2644,'Per Invoice'!$B$2:$B$801,0))=0,"",INDEX('Per Invoice'!$A$2:$A$801,MATCH($B2644,'Per Invoice'!$B$2:$B$801,0))),""))</f>
        <v/>
      </c>
      <c r="J2644" s="7">
        <f>IF($B2644="","",I2644*Q2644/100)</f>
        <v/>
      </c>
      <c r="N2644" s="7" t="n"/>
      <c r="O2644" s="7" t="n"/>
      <c r="P2644" s="7">
        <f>IF($B2644="","",O2644*X2644/100)</f>
        <v/>
      </c>
      <c r="Q2644" s="7">
        <f>IF($B2644="","",O2644-P2644)</f>
        <v/>
      </c>
      <c r="R2644" s="7">
        <f>IF($B2644="","",Q2644-J2644)</f>
        <v/>
      </c>
      <c r="S2644" s="7" t="n"/>
      <c r="T2644" s="7" t="n"/>
      <c r="V2644" s="14" t="n"/>
      <c r="Z2644">
        <f>IF($B2644="","",IF(COUNTIF($B$2:$B2644,$B2644)=1,1,0))</f>
        <v/>
      </c>
      <c r="AA2644">
        <f>IF($Z2644=1,SUMPRODUCT(--($AC$2:$AC$3001&lt;$AC2644))+1,"")</f>
        <v/>
      </c>
      <c r="AB2644">
        <f>IF($B2644="","",IF(OR($Y2644=TRUE(),$Y2644="TRUE"),1,IF(AND($Y2644&lt;&gt;"",OR($Y2644=FALSE(),$Y2644="FALSE")),0,IF(MIN(ABS($X2644/100-Settings!$C$6),ABS($X2644/100-Settings!$G$6))&lt;=MIN(ABS($X2644/100-Settings!$C$7),ABS($X2644/100-Settings!$G$7)),1,0))))</f>
        <v/>
      </c>
      <c r="AC2644">
        <f>IF($Z2644=1,IFERROR(IF(VALUE($B2644)&lt;100000000,VALUE($B2644),1000000000),IFERROR(IF(VALUE(MID($B2644,2,20))&lt;100000000,VALUE(MID($B2644,2,20)),1000000000),1000000000))+ROW()/100000,"")</f>
        <v/>
      </c>
    </row>
    <row r="2645">
      <c r="A2645">
        <f>IF($B2645="","",IFERROR(IF(INDEX('Per Invoice'!$A$2:$A$801,MATCH($B2645,'Per Invoice'!$B$2:$B$801,0))=0,"",INDEX('Per Invoice'!$A$2:$A$801,MATCH($B2645,'Per Invoice'!$B$2:$B$801,0))),""))</f>
        <v/>
      </c>
      <c r="J2645" s="7">
        <f>IF($B2645="","",I2645*Q2645/100)</f>
        <v/>
      </c>
      <c r="N2645" s="7" t="n"/>
      <c r="O2645" s="7" t="n"/>
      <c r="P2645" s="7">
        <f>IF($B2645="","",O2645*X2645/100)</f>
        <v/>
      </c>
      <c r="Q2645" s="7">
        <f>IF($B2645="","",O2645-P2645)</f>
        <v/>
      </c>
      <c r="R2645" s="7">
        <f>IF($B2645="","",Q2645-J2645)</f>
        <v/>
      </c>
      <c r="S2645" s="7" t="n"/>
      <c r="T2645" s="7" t="n"/>
      <c r="V2645" s="14" t="n"/>
      <c r="Z2645">
        <f>IF($B2645="","",IF(COUNTIF($B$2:$B2645,$B2645)=1,1,0))</f>
        <v/>
      </c>
      <c r="AA2645">
        <f>IF($Z2645=1,SUMPRODUCT(--($AC$2:$AC$3001&lt;$AC2645))+1,"")</f>
        <v/>
      </c>
      <c r="AB2645">
        <f>IF($B2645="","",IF(OR($Y2645=TRUE(),$Y2645="TRUE"),1,IF(AND($Y2645&lt;&gt;"",OR($Y2645=FALSE(),$Y2645="FALSE")),0,IF(MIN(ABS($X2645/100-Settings!$C$6),ABS($X2645/100-Settings!$G$6))&lt;=MIN(ABS($X2645/100-Settings!$C$7),ABS($X2645/100-Settings!$G$7)),1,0))))</f>
        <v/>
      </c>
      <c r="AC2645">
        <f>IF($Z2645=1,IFERROR(IF(VALUE($B2645)&lt;100000000,VALUE($B2645),1000000000),IFERROR(IF(VALUE(MID($B2645,2,20))&lt;100000000,VALUE(MID($B2645,2,20)),1000000000),1000000000))+ROW()/100000,"")</f>
        <v/>
      </c>
    </row>
    <row r="2646">
      <c r="A2646">
        <f>IF($B2646="","",IFERROR(IF(INDEX('Per Invoice'!$A$2:$A$801,MATCH($B2646,'Per Invoice'!$B$2:$B$801,0))=0,"",INDEX('Per Invoice'!$A$2:$A$801,MATCH($B2646,'Per Invoice'!$B$2:$B$801,0))),""))</f>
        <v/>
      </c>
      <c r="J2646" s="7">
        <f>IF($B2646="","",I2646*Q2646/100)</f>
        <v/>
      </c>
      <c r="N2646" s="7" t="n"/>
      <c r="O2646" s="7" t="n"/>
      <c r="P2646" s="7">
        <f>IF($B2646="","",O2646*X2646/100)</f>
        <v/>
      </c>
      <c r="Q2646" s="7">
        <f>IF($B2646="","",O2646-P2646)</f>
        <v/>
      </c>
      <c r="R2646" s="7">
        <f>IF($B2646="","",Q2646-J2646)</f>
        <v/>
      </c>
      <c r="S2646" s="7" t="n"/>
      <c r="T2646" s="7" t="n"/>
      <c r="V2646" s="14" t="n"/>
      <c r="Z2646">
        <f>IF($B2646="","",IF(COUNTIF($B$2:$B2646,$B2646)=1,1,0))</f>
        <v/>
      </c>
      <c r="AA2646">
        <f>IF($Z2646=1,SUMPRODUCT(--($AC$2:$AC$3001&lt;$AC2646))+1,"")</f>
        <v/>
      </c>
      <c r="AB2646">
        <f>IF($B2646="","",IF(OR($Y2646=TRUE(),$Y2646="TRUE"),1,IF(AND($Y2646&lt;&gt;"",OR($Y2646=FALSE(),$Y2646="FALSE")),0,IF(MIN(ABS($X2646/100-Settings!$C$6),ABS($X2646/100-Settings!$G$6))&lt;=MIN(ABS($X2646/100-Settings!$C$7),ABS($X2646/100-Settings!$G$7)),1,0))))</f>
        <v/>
      </c>
      <c r="AC2646">
        <f>IF($Z2646=1,IFERROR(IF(VALUE($B2646)&lt;100000000,VALUE($B2646),1000000000),IFERROR(IF(VALUE(MID($B2646,2,20))&lt;100000000,VALUE(MID($B2646,2,20)),1000000000),1000000000))+ROW()/100000,"")</f>
        <v/>
      </c>
    </row>
    <row r="2647">
      <c r="A2647">
        <f>IF($B2647="","",IFERROR(IF(INDEX('Per Invoice'!$A$2:$A$801,MATCH($B2647,'Per Invoice'!$B$2:$B$801,0))=0,"",INDEX('Per Invoice'!$A$2:$A$801,MATCH($B2647,'Per Invoice'!$B$2:$B$801,0))),""))</f>
        <v/>
      </c>
      <c r="J2647" s="7">
        <f>IF($B2647="","",I2647*Q2647/100)</f>
        <v/>
      </c>
      <c r="N2647" s="7" t="n"/>
      <c r="O2647" s="7" t="n"/>
      <c r="P2647" s="7">
        <f>IF($B2647="","",O2647*X2647/100)</f>
        <v/>
      </c>
      <c r="Q2647" s="7">
        <f>IF($B2647="","",O2647-P2647)</f>
        <v/>
      </c>
      <c r="R2647" s="7">
        <f>IF($B2647="","",Q2647-J2647)</f>
        <v/>
      </c>
      <c r="S2647" s="7" t="n"/>
      <c r="T2647" s="7" t="n"/>
      <c r="V2647" s="14" t="n"/>
      <c r="Z2647">
        <f>IF($B2647="","",IF(COUNTIF($B$2:$B2647,$B2647)=1,1,0))</f>
        <v/>
      </c>
      <c r="AA2647">
        <f>IF($Z2647=1,SUMPRODUCT(--($AC$2:$AC$3001&lt;$AC2647))+1,"")</f>
        <v/>
      </c>
      <c r="AB2647">
        <f>IF($B2647="","",IF(OR($Y2647=TRUE(),$Y2647="TRUE"),1,IF(AND($Y2647&lt;&gt;"",OR($Y2647=FALSE(),$Y2647="FALSE")),0,IF(MIN(ABS($X2647/100-Settings!$C$6),ABS($X2647/100-Settings!$G$6))&lt;=MIN(ABS($X2647/100-Settings!$C$7),ABS($X2647/100-Settings!$G$7)),1,0))))</f>
        <v/>
      </c>
      <c r="AC2647">
        <f>IF($Z2647=1,IFERROR(IF(VALUE($B2647)&lt;100000000,VALUE($B2647),1000000000),IFERROR(IF(VALUE(MID($B2647,2,20))&lt;100000000,VALUE(MID($B2647,2,20)),1000000000),1000000000))+ROW()/100000,"")</f>
        <v/>
      </c>
    </row>
    <row r="2648">
      <c r="A2648">
        <f>IF($B2648="","",IFERROR(IF(INDEX('Per Invoice'!$A$2:$A$801,MATCH($B2648,'Per Invoice'!$B$2:$B$801,0))=0,"",INDEX('Per Invoice'!$A$2:$A$801,MATCH($B2648,'Per Invoice'!$B$2:$B$801,0))),""))</f>
        <v/>
      </c>
      <c r="J2648" s="7">
        <f>IF($B2648="","",I2648*Q2648/100)</f>
        <v/>
      </c>
      <c r="N2648" s="7" t="n"/>
      <c r="O2648" s="7" t="n"/>
      <c r="P2648" s="7">
        <f>IF($B2648="","",O2648*X2648/100)</f>
        <v/>
      </c>
      <c r="Q2648" s="7">
        <f>IF($B2648="","",O2648-P2648)</f>
        <v/>
      </c>
      <c r="R2648" s="7">
        <f>IF($B2648="","",Q2648-J2648)</f>
        <v/>
      </c>
      <c r="S2648" s="7" t="n"/>
      <c r="T2648" s="7" t="n"/>
      <c r="V2648" s="14" t="n"/>
      <c r="Z2648">
        <f>IF($B2648="","",IF(COUNTIF($B$2:$B2648,$B2648)=1,1,0))</f>
        <v/>
      </c>
      <c r="AA2648">
        <f>IF($Z2648=1,SUMPRODUCT(--($AC$2:$AC$3001&lt;$AC2648))+1,"")</f>
        <v/>
      </c>
      <c r="AB2648">
        <f>IF($B2648="","",IF(OR($Y2648=TRUE(),$Y2648="TRUE"),1,IF(AND($Y2648&lt;&gt;"",OR($Y2648=FALSE(),$Y2648="FALSE")),0,IF(MIN(ABS($X2648/100-Settings!$C$6),ABS($X2648/100-Settings!$G$6))&lt;=MIN(ABS($X2648/100-Settings!$C$7),ABS($X2648/100-Settings!$G$7)),1,0))))</f>
        <v/>
      </c>
      <c r="AC2648">
        <f>IF($Z2648=1,IFERROR(IF(VALUE($B2648)&lt;100000000,VALUE($B2648),1000000000),IFERROR(IF(VALUE(MID($B2648,2,20))&lt;100000000,VALUE(MID($B2648,2,20)),1000000000),1000000000))+ROW()/100000,"")</f>
        <v/>
      </c>
    </row>
    <row r="2649">
      <c r="A2649">
        <f>IF($B2649="","",IFERROR(IF(INDEX('Per Invoice'!$A$2:$A$801,MATCH($B2649,'Per Invoice'!$B$2:$B$801,0))=0,"",INDEX('Per Invoice'!$A$2:$A$801,MATCH($B2649,'Per Invoice'!$B$2:$B$801,0))),""))</f>
        <v/>
      </c>
      <c r="J2649" s="7">
        <f>IF($B2649="","",I2649*Q2649/100)</f>
        <v/>
      </c>
      <c r="N2649" s="7" t="n"/>
      <c r="O2649" s="7" t="n"/>
      <c r="P2649" s="7">
        <f>IF($B2649="","",O2649*X2649/100)</f>
        <v/>
      </c>
      <c r="Q2649" s="7">
        <f>IF($B2649="","",O2649-P2649)</f>
        <v/>
      </c>
      <c r="R2649" s="7">
        <f>IF($B2649="","",Q2649-J2649)</f>
        <v/>
      </c>
      <c r="S2649" s="7" t="n"/>
      <c r="T2649" s="7" t="n"/>
      <c r="V2649" s="14" t="n"/>
      <c r="Z2649">
        <f>IF($B2649="","",IF(COUNTIF($B$2:$B2649,$B2649)=1,1,0))</f>
        <v/>
      </c>
      <c r="AA2649">
        <f>IF($Z2649=1,SUMPRODUCT(--($AC$2:$AC$3001&lt;$AC2649))+1,"")</f>
        <v/>
      </c>
      <c r="AB2649">
        <f>IF($B2649="","",IF(OR($Y2649=TRUE(),$Y2649="TRUE"),1,IF(AND($Y2649&lt;&gt;"",OR($Y2649=FALSE(),$Y2649="FALSE")),0,IF(MIN(ABS($X2649/100-Settings!$C$6),ABS($X2649/100-Settings!$G$6))&lt;=MIN(ABS($X2649/100-Settings!$C$7),ABS($X2649/100-Settings!$G$7)),1,0))))</f>
        <v/>
      </c>
      <c r="AC2649">
        <f>IF($Z2649=1,IFERROR(IF(VALUE($B2649)&lt;100000000,VALUE($B2649),1000000000),IFERROR(IF(VALUE(MID($B2649,2,20))&lt;100000000,VALUE(MID($B2649,2,20)),1000000000),1000000000))+ROW()/100000,"")</f>
        <v/>
      </c>
    </row>
    <row r="2650">
      <c r="A2650">
        <f>IF($B2650="","",IFERROR(IF(INDEX('Per Invoice'!$A$2:$A$801,MATCH($B2650,'Per Invoice'!$B$2:$B$801,0))=0,"",INDEX('Per Invoice'!$A$2:$A$801,MATCH($B2650,'Per Invoice'!$B$2:$B$801,0))),""))</f>
        <v/>
      </c>
      <c r="J2650" s="7">
        <f>IF($B2650="","",I2650*Q2650/100)</f>
        <v/>
      </c>
      <c r="N2650" s="7" t="n"/>
      <c r="O2650" s="7" t="n"/>
      <c r="P2650" s="7">
        <f>IF($B2650="","",O2650*X2650/100)</f>
        <v/>
      </c>
      <c r="Q2650" s="7">
        <f>IF($B2650="","",O2650-P2650)</f>
        <v/>
      </c>
      <c r="R2650" s="7">
        <f>IF($B2650="","",Q2650-J2650)</f>
        <v/>
      </c>
      <c r="S2650" s="7" t="n"/>
      <c r="T2650" s="7" t="n"/>
      <c r="V2650" s="14" t="n"/>
      <c r="Z2650">
        <f>IF($B2650="","",IF(COUNTIF($B$2:$B2650,$B2650)=1,1,0))</f>
        <v/>
      </c>
      <c r="AA2650">
        <f>IF($Z2650=1,SUMPRODUCT(--($AC$2:$AC$3001&lt;$AC2650))+1,"")</f>
        <v/>
      </c>
      <c r="AB2650">
        <f>IF($B2650="","",IF(OR($Y2650=TRUE(),$Y2650="TRUE"),1,IF(AND($Y2650&lt;&gt;"",OR($Y2650=FALSE(),$Y2650="FALSE")),0,IF(MIN(ABS($X2650/100-Settings!$C$6),ABS($X2650/100-Settings!$G$6))&lt;=MIN(ABS($X2650/100-Settings!$C$7),ABS($X2650/100-Settings!$G$7)),1,0))))</f>
        <v/>
      </c>
      <c r="AC2650">
        <f>IF($Z2650=1,IFERROR(IF(VALUE($B2650)&lt;100000000,VALUE($B2650),1000000000),IFERROR(IF(VALUE(MID($B2650,2,20))&lt;100000000,VALUE(MID($B2650,2,20)),1000000000),1000000000))+ROW()/100000,"")</f>
        <v/>
      </c>
    </row>
    <row r="2651">
      <c r="A2651">
        <f>IF($B2651="","",IFERROR(IF(INDEX('Per Invoice'!$A$2:$A$801,MATCH($B2651,'Per Invoice'!$B$2:$B$801,0))=0,"",INDEX('Per Invoice'!$A$2:$A$801,MATCH($B2651,'Per Invoice'!$B$2:$B$801,0))),""))</f>
        <v/>
      </c>
      <c r="J2651" s="7">
        <f>IF($B2651="","",I2651*Q2651/100)</f>
        <v/>
      </c>
      <c r="N2651" s="7" t="n"/>
      <c r="O2651" s="7" t="n"/>
      <c r="P2651" s="7">
        <f>IF($B2651="","",O2651*X2651/100)</f>
        <v/>
      </c>
      <c r="Q2651" s="7">
        <f>IF($B2651="","",O2651-P2651)</f>
        <v/>
      </c>
      <c r="R2651" s="7">
        <f>IF($B2651="","",Q2651-J2651)</f>
        <v/>
      </c>
      <c r="S2651" s="7" t="n"/>
      <c r="T2651" s="7" t="n"/>
      <c r="V2651" s="14" t="n"/>
      <c r="Z2651">
        <f>IF($B2651="","",IF(COUNTIF($B$2:$B2651,$B2651)=1,1,0))</f>
        <v/>
      </c>
      <c r="AA2651">
        <f>IF($Z2651=1,SUMPRODUCT(--($AC$2:$AC$3001&lt;$AC2651))+1,"")</f>
        <v/>
      </c>
      <c r="AB2651">
        <f>IF($B2651="","",IF(OR($Y2651=TRUE(),$Y2651="TRUE"),1,IF(AND($Y2651&lt;&gt;"",OR($Y2651=FALSE(),$Y2651="FALSE")),0,IF(MIN(ABS($X2651/100-Settings!$C$6),ABS($X2651/100-Settings!$G$6))&lt;=MIN(ABS($X2651/100-Settings!$C$7),ABS($X2651/100-Settings!$G$7)),1,0))))</f>
        <v/>
      </c>
      <c r="AC2651">
        <f>IF($Z2651=1,IFERROR(IF(VALUE($B2651)&lt;100000000,VALUE($B2651),1000000000),IFERROR(IF(VALUE(MID($B2651,2,20))&lt;100000000,VALUE(MID($B2651,2,20)),1000000000),1000000000))+ROW()/100000,"")</f>
        <v/>
      </c>
    </row>
    <row r="2652">
      <c r="A2652">
        <f>IF($B2652="","",IFERROR(IF(INDEX('Per Invoice'!$A$2:$A$801,MATCH($B2652,'Per Invoice'!$B$2:$B$801,0))=0,"",INDEX('Per Invoice'!$A$2:$A$801,MATCH($B2652,'Per Invoice'!$B$2:$B$801,0))),""))</f>
        <v/>
      </c>
      <c r="J2652" s="7">
        <f>IF($B2652="","",I2652*Q2652/100)</f>
        <v/>
      </c>
      <c r="N2652" s="7" t="n"/>
      <c r="O2652" s="7" t="n"/>
      <c r="P2652" s="7">
        <f>IF($B2652="","",O2652*X2652/100)</f>
        <v/>
      </c>
      <c r="Q2652" s="7">
        <f>IF($B2652="","",O2652-P2652)</f>
        <v/>
      </c>
      <c r="R2652" s="7">
        <f>IF($B2652="","",Q2652-J2652)</f>
        <v/>
      </c>
      <c r="S2652" s="7" t="n"/>
      <c r="T2652" s="7" t="n"/>
      <c r="V2652" s="14" t="n"/>
      <c r="Z2652">
        <f>IF($B2652="","",IF(COUNTIF($B$2:$B2652,$B2652)=1,1,0))</f>
        <v/>
      </c>
      <c r="AA2652">
        <f>IF($Z2652=1,SUMPRODUCT(--($AC$2:$AC$3001&lt;$AC2652))+1,"")</f>
        <v/>
      </c>
      <c r="AB2652">
        <f>IF($B2652="","",IF(OR($Y2652=TRUE(),$Y2652="TRUE"),1,IF(AND($Y2652&lt;&gt;"",OR($Y2652=FALSE(),$Y2652="FALSE")),0,IF(MIN(ABS($X2652/100-Settings!$C$6),ABS($X2652/100-Settings!$G$6))&lt;=MIN(ABS($X2652/100-Settings!$C$7),ABS($X2652/100-Settings!$G$7)),1,0))))</f>
        <v/>
      </c>
      <c r="AC2652">
        <f>IF($Z2652=1,IFERROR(IF(VALUE($B2652)&lt;100000000,VALUE($B2652),1000000000),IFERROR(IF(VALUE(MID($B2652,2,20))&lt;100000000,VALUE(MID($B2652,2,20)),1000000000),1000000000))+ROW()/100000,"")</f>
        <v/>
      </c>
    </row>
    <row r="2653">
      <c r="A2653">
        <f>IF($B2653="","",IFERROR(IF(INDEX('Per Invoice'!$A$2:$A$801,MATCH($B2653,'Per Invoice'!$B$2:$B$801,0))=0,"",INDEX('Per Invoice'!$A$2:$A$801,MATCH($B2653,'Per Invoice'!$B$2:$B$801,0))),""))</f>
        <v/>
      </c>
      <c r="J2653" s="7">
        <f>IF($B2653="","",I2653*Q2653/100)</f>
        <v/>
      </c>
      <c r="N2653" s="7" t="n"/>
      <c r="O2653" s="7" t="n"/>
      <c r="P2653" s="7">
        <f>IF($B2653="","",O2653*X2653/100)</f>
        <v/>
      </c>
      <c r="Q2653" s="7">
        <f>IF($B2653="","",O2653-P2653)</f>
        <v/>
      </c>
      <c r="R2653" s="7">
        <f>IF($B2653="","",Q2653-J2653)</f>
        <v/>
      </c>
      <c r="S2653" s="7" t="n"/>
      <c r="T2653" s="7" t="n"/>
      <c r="V2653" s="14" t="n"/>
      <c r="Z2653">
        <f>IF($B2653="","",IF(COUNTIF($B$2:$B2653,$B2653)=1,1,0))</f>
        <v/>
      </c>
      <c r="AA2653">
        <f>IF($Z2653=1,SUMPRODUCT(--($AC$2:$AC$3001&lt;$AC2653))+1,"")</f>
        <v/>
      </c>
      <c r="AB2653">
        <f>IF($B2653="","",IF(OR($Y2653=TRUE(),$Y2653="TRUE"),1,IF(AND($Y2653&lt;&gt;"",OR($Y2653=FALSE(),$Y2653="FALSE")),0,IF(MIN(ABS($X2653/100-Settings!$C$6),ABS($X2653/100-Settings!$G$6))&lt;=MIN(ABS($X2653/100-Settings!$C$7),ABS($X2653/100-Settings!$G$7)),1,0))))</f>
        <v/>
      </c>
      <c r="AC2653">
        <f>IF($Z2653=1,IFERROR(IF(VALUE($B2653)&lt;100000000,VALUE($B2653),1000000000),IFERROR(IF(VALUE(MID($B2653,2,20))&lt;100000000,VALUE(MID($B2653,2,20)),1000000000),1000000000))+ROW()/100000,"")</f>
        <v/>
      </c>
    </row>
    <row r="2654">
      <c r="A2654">
        <f>IF($B2654="","",IFERROR(IF(INDEX('Per Invoice'!$A$2:$A$801,MATCH($B2654,'Per Invoice'!$B$2:$B$801,0))=0,"",INDEX('Per Invoice'!$A$2:$A$801,MATCH($B2654,'Per Invoice'!$B$2:$B$801,0))),""))</f>
        <v/>
      </c>
      <c r="J2654" s="7">
        <f>IF($B2654="","",I2654*Q2654/100)</f>
        <v/>
      </c>
      <c r="N2654" s="7" t="n"/>
      <c r="O2654" s="7" t="n"/>
      <c r="P2654" s="7">
        <f>IF($B2654="","",O2654*X2654/100)</f>
        <v/>
      </c>
      <c r="Q2654" s="7">
        <f>IF($B2654="","",O2654-P2654)</f>
        <v/>
      </c>
      <c r="R2654" s="7">
        <f>IF($B2654="","",Q2654-J2654)</f>
        <v/>
      </c>
      <c r="S2654" s="7" t="n"/>
      <c r="T2654" s="7" t="n"/>
      <c r="V2654" s="14" t="n"/>
      <c r="Z2654">
        <f>IF($B2654="","",IF(COUNTIF($B$2:$B2654,$B2654)=1,1,0))</f>
        <v/>
      </c>
      <c r="AA2654">
        <f>IF($Z2654=1,SUMPRODUCT(--($AC$2:$AC$3001&lt;$AC2654))+1,"")</f>
        <v/>
      </c>
      <c r="AB2654">
        <f>IF($B2654="","",IF(OR($Y2654=TRUE(),$Y2654="TRUE"),1,IF(AND($Y2654&lt;&gt;"",OR($Y2654=FALSE(),$Y2654="FALSE")),0,IF(MIN(ABS($X2654/100-Settings!$C$6),ABS($X2654/100-Settings!$G$6))&lt;=MIN(ABS($X2654/100-Settings!$C$7),ABS($X2654/100-Settings!$G$7)),1,0))))</f>
        <v/>
      </c>
      <c r="AC2654">
        <f>IF($Z2654=1,IFERROR(IF(VALUE($B2654)&lt;100000000,VALUE($B2654),1000000000),IFERROR(IF(VALUE(MID($B2654,2,20))&lt;100000000,VALUE(MID($B2654,2,20)),1000000000),1000000000))+ROW()/100000,"")</f>
        <v/>
      </c>
    </row>
    <row r="2655">
      <c r="A2655">
        <f>IF($B2655="","",IFERROR(IF(INDEX('Per Invoice'!$A$2:$A$801,MATCH($B2655,'Per Invoice'!$B$2:$B$801,0))=0,"",INDEX('Per Invoice'!$A$2:$A$801,MATCH($B2655,'Per Invoice'!$B$2:$B$801,0))),""))</f>
        <v/>
      </c>
      <c r="J2655" s="7">
        <f>IF($B2655="","",I2655*Q2655/100)</f>
        <v/>
      </c>
      <c r="N2655" s="7" t="n"/>
      <c r="O2655" s="7" t="n"/>
      <c r="P2655" s="7">
        <f>IF($B2655="","",O2655*X2655/100)</f>
        <v/>
      </c>
      <c r="Q2655" s="7">
        <f>IF($B2655="","",O2655-P2655)</f>
        <v/>
      </c>
      <c r="R2655" s="7">
        <f>IF($B2655="","",Q2655-J2655)</f>
        <v/>
      </c>
      <c r="S2655" s="7" t="n"/>
      <c r="T2655" s="7" t="n"/>
      <c r="V2655" s="14" t="n"/>
      <c r="Z2655">
        <f>IF($B2655="","",IF(COUNTIF($B$2:$B2655,$B2655)=1,1,0))</f>
        <v/>
      </c>
      <c r="AA2655">
        <f>IF($Z2655=1,SUMPRODUCT(--($AC$2:$AC$3001&lt;$AC2655))+1,"")</f>
        <v/>
      </c>
      <c r="AB2655">
        <f>IF($B2655="","",IF(OR($Y2655=TRUE(),$Y2655="TRUE"),1,IF(AND($Y2655&lt;&gt;"",OR($Y2655=FALSE(),$Y2655="FALSE")),0,IF(MIN(ABS($X2655/100-Settings!$C$6),ABS($X2655/100-Settings!$G$6))&lt;=MIN(ABS($X2655/100-Settings!$C$7),ABS($X2655/100-Settings!$G$7)),1,0))))</f>
        <v/>
      </c>
      <c r="AC2655">
        <f>IF($Z2655=1,IFERROR(IF(VALUE($B2655)&lt;100000000,VALUE($B2655),1000000000),IFERROR(IF(VALUE(MID($B2655,2,20))&lt;100000000,VALUE(MID($B2655,2,20)),1000000000),1000000000))+ROW()/100000,"")</f>
        <v/>
      </c>
    </row>
    <row r="2656">
      <c r="A2656">
        <f>IF($B2656="","",IFERROR(IF(INDEX('Per Invoice'!$A$2:$A$801,MATCH($B2656,'Per Invoice'!$B$2:$B$801,0))=0,"",INDEX('Per Invoice'!$A$2:$A$801,MATCH($B2656,'Per Invoice'!$B$2:$B$801,0))),""))</f>
        <v/>
      </c>
      <c r="J2656" s="7">
        <f>IF($B2656="","",I2656*Q2656/100)</f>
        <v/>
      </c>
      <c r="N2656" s="7" t="n"/>
      <c r="O2656" s="7" t="n"/>
      <c r="P2656" s="7">
        <f>IF($B2656="","",O2656*X2656/100)</f>
        <v/>
      </c>
      <c r="Q2656" s="7">
        <f>IF($B2656="","",O2656-P2656)</f>
        <v/>
      </c>
      <c r="R2656" s="7">
        <f>IF($B2656="","",Q2656-J2656)</f>
        <v/>
      </c>
      <c r="S2656" s="7" t="n"/>
      <c r="T2656" s="7" t="n"/>
      <c r="V2656" s="14" t="n"/>
      <c r="Z2656">
        <f>IF($B2656="","",IF(COUNTIF($B$2:$B2656,$B2656)=1,1,0))</f>
        <v/>
      </c>
      <c r="AA2656">
        <f>IF($Z2656=1,SUMPRODUCT(--($AC$2:$AC$3001&lt;$AC2656))+1,"")</f>
        <v/>
      </c>
      <c r="AB2656">
        <f>IF($B2656="","",IF(OR($Y2656=TRUE(),$Y2656="TRUE"),1,IF(AND($Y2656&lt;&gt;"",OR($Y2656=FALSE(),$Y2656="FALSE")),0,IF(MIN(ABS($X2656/100-Settings!$C$6),ABS($X2656/100-Settings!$G$6))&lt;=MIN(ABS($X2656/100-Settings!$C$7),ABS($X2656/100-Settings!$G$7)),1,0))))</f>
        <v/>
      </c>
      <c r="AC2656">
        <f>IF($Z2656=1,IFERROR(IF(VALUE($B2656)&lt;100000000,VALUE($B2656),1000000000),IFERROR(IF(VALUE(MID($B2656,2,20))&lt;100000000,VALUE(MID($B2656,2,20)),1000000000),1000000000))+ROW()/100000,"")</f>
        <v/>
      </c>
    </row>
    <row r="2657">
      <c r="A2657">
        <f>IF($B2657="","",IFERROR(IF(INDEX('Per Invoice'!$A$2:$A$801,MATCH($B2657,'Per Invoice'!$B$2:$B$801,0))=0,"",INDEX('Per Invoice'!$A$2:$A$801,MATCH($B2657,'Per Invoice'!$B$2:$B$801,0))),""))</f>
        <v/>
      </c>
      <c r="J2657" s="7">
        <f>IF($B2657="","",I2657*Q2657/100)</f>
        <v/>
      </c>
      <c r="N2657" s="7" t="n"/>
      <c r="O2657" s="7" t="n"/>
      <c r="P2657" s="7">
        <f>IF($B2657="","",O2657*X2657/100)</f>
        <v/>
      </c>
      <c r="Q2657" s="7">
        <f>IF($B2657="","",O2657-P2657)</f>
        <v/>
      </c>
      <c r="R2657" s="7">
        <f>IF($B2657="","",Q2657-J2657)</f>
        <v/>
      </c>
      <c r="S2657" s="7" t="n"/>
      <c r="T2657" s="7" t="n"/>
      <c r="V2657" s="14" t="n"/>
      <c r="Z2657">
        <f>IF($B2657="","",IF(COUNTIF($B$2:$B2657,$B2657)=1,1,0))</f>
        <v/>
      </c>
      <c r="AA2657">
        <f>IF($Z2657=1,SUMPRODUCT(--($AC$2:$AC$3001&lt;$AC2657))+1,"")</f>
        <v/>
      </c>
      <c r="AB2657">
        <f>IF($B2657="","",IF(OR($Y2657=TRUE(),$Y2657="TRUE"),1,IF(AND($Y2657&lt;&gt;"",OR($Y2657=FALSE(),$Y2657="FALSE")),0,IF(MIN(ABS($X2657/100-Settings!$C$6),ABS($X2657/100-Settings!$G$6))&lt;=MIN(ABS($X2657/100-Settings!$C$7),ABS($X2657/100-Settings!$G$7)),1,0))))</f>
        <v/>
      </c>
      <c r="AC2657">
        <f>IF($Z2657=1,IFERROR(IF(VALUE($B2657)&lt;100000000,VALUE($B2657),1000000000),IFERROR(IF(VALUE(MID($B2657,2,20))&lt;100000000,VALUE(MID($B2657,2,20)),1000000000),1000000000))+ROW()/100000,"")</f>
        <v/>
      </c>
    </row>
    <row r="2658">
      <c r="A2658">
        <f>IF($B2658="","",IFERROR(IF(INDEX('Per Invoice'!$A$2:$A$801,MATCH($B2658,'Per Invoice'!$B$2:$B$801,0))=0,"",INDEX('Per Invoice'!$A$2:$A$801,MATCH($B2658,'Per Invoice'!$B$2:$B$801,0))),""))</f>
        <v/>
      </c>
      <c r="J2658" s="7">
        <f>IF($B2658="","",I2658*Q2658/100)</f>
        <v/>
      </c>
      <c r="N2658" s="7" t="n"/>
      <c r="O2658" s="7" t="n"/>
      <c r="P2658" s="7">
        <f>IF($B2658="","",O2658*X2658/100)</f>
        <v/>
      </c>
      <c r="Q2658" s="7">
        <f>IF($B2658="","",O2658-P2658)</f>
        <v/>
      </c>
      <c r="R2658" s="7">
        <f>IF($B2658="","",Q2658-J2658)</f>
        <v/>
      </c>
      <c r="S2658" s="7" t="n"/>
      <c r="T2658" s="7" t="n"/>
      <c r="V2658" s="14" t="n"/>
      <c r="Z2658">
        <f>IF($B2658="","",IF(COUNTIF($B$2:$B2658,$B2658)=1,1,0))</f>
        <v/>
      </c>
      <c r="AA2658">
        <f>IF($Z2658=1,SUMPRODUCT(--($AC$2:$AC$3001&lt;$AC2658))+1,"")</f>
        <v/>
      </c>
      <c r="AB2658">
        <f>IF($B2658="","",IF(OR($Y2658=TRUE(),$Y2658="TRUE"),1,IF(AND($Y2658&lt;&gt;"",OR($Y2658=FALSE(),$Y2658="FALSE")),0,IF(MIN(ABS($X2658/100-Settings!$C$6),ABS($X2658/100-Settings!$G$6))&lt;=MIN(ABS($X2658/100-Settings!$C$7),ABS($X2658/100-Settings!$G$7)),1,0))))</f>
        <v/>
      </c>
      <c r="AC2658">
        <f>IF($Z2658=1,IFERROR(IF(VALUE($B2658)&lt;100000000,VALUE($B2658),1000000000),IFERROR(IF(VALUE(MID($B2658,2,20))&lt;100000000,VALUE(MID($B2658,2,20)),1000000000),1000000000))+ROW()/100000,"")</f>
        <v/>
      </c>
    </row>
    <row r="2659">
      <c r="A2659">
        <f>IF($B2659="","",IFERROR(IF(INDEX('Per Invoice'!$A$2:$A$801,MATCH($B2659,'Per Invoice'!$B$2:$B$801,0))=0,"",INDEX('Per Invoice'!$A$2:$A$801,MATCH($B2659,'Per Invoice'!$B$2:$B$801,0))),""))</f>
        <v/>
      </c>
      <c r="J2659" s="7">
        <f>IF($B2659="","",I2659*Q2659/100)</f>
        <v/>
      </c>
      <c r="N2659" s="7" t="n"/>
      <c r="O2659" s="7" t="n"/>
      <c r="P2659" s="7">
        <f>IF($B2659="","",O2659*X2659/100)</f>
        <v/>
      </c>
      <c r="Q2659" s="7">
        <f>IF($B2659="","",O2659-P2659)</f>
        <v/>
      </c>
      <c r="R2659" s="7">
        <f>IF($B2659="","",Q2659-J2659)</f>
        <v/>
      </c>
      <c r="S2659" s="7" t="n"/>
      <c r="T2659" s="7" t="n"/>
      <c r="V2659" s="14" t="n"/>
      <c r="Z2659">
        <f>IF($B2659="","",IF(COUNTIF($B$2:$B2659,$B2659)=1,1,0))</f>
        <v/>
      </c>
      <c r="AA2659">
        <f>IF($Z2659=1,SUMPRODUCT(--($AC$2:$AC$3001&lt;$AC2659))+1,"")</f>
        <v/>
      </c>
      <c r="AB2659">
        <f>IF($B2659="","",IF(OR($Y2659=TRUE(),$Y2659="TRUE"),1,IF(AND($Y2659&lt;&gt;"",OR($Y2659=FALSE(),$Y2659="FALSE")),0,IF(MIN(ABS($X2659/100-Settings!$C$6),ABS($X2659/100-Settings!$G$6))&lt;=MIN(ABS($X2659/100-Settings!$C$7),ABS($X2659/100-Settings!$G$7)),1,0))))</f>
        <v/>
      </c>
      <c r="AC2659">
        <f>IF($Z2659=1,IFERROR(IF(VALUE($B2659)&lt;100000000,VALUE($B2659),1000000000),IFERROR(IF(VALUE(MID($B2659,2,20))&lt;100000000,VALUE(MID($B2659,2,20)),1000000000),1000000000))+ROW()/100000,"")</f>
        <v/>
      </c>
    </row>
    <row r="2660">
      <c r="A2660">
        <f>IF($B2660="","",IFERROR(IF(INDEX('Per Invoice'!$A$2:$A$801,MATCH($B2660,'Per Invoice'!$B$2:$B$801,0))=0,"",INDEX('Per Invoice'!$A$2:$A$801,MATCH($B2660,'Per Invoice'!$B$2:$B$801,0))),""))</f>
        <v/>
      </c>
      <c r="J2660" s="7">
        <f>IF($B2660="","",I2660*Q2660/100)</f>
        <v/>
      </c>
      <c r="N2660" s="7" t="n"/>
      <c r="O2660" s="7" t="n"/>
      <c r="P2660" s="7">
        <f>IF($B2660="","",O2660*X2660/100)</f>
        <v/>
      </c>
      <c r="Q2660" s="7">
        <f>IF($B2660="","",O2660-P2660)</f>
        <v/>
      </c>
      <c r="R2660" s="7">
        <f>IF($B2660="","",Q2660-J2660)</f>
        <v/>
      </c>
      <c r="S2660" s="7" t="n"/>
      <c r="T2660" s="7" t="n"/>
      <c r="V2660" s="14" t="n"/>
      <c r="Z2660">
        <f>IF($B2660="","",IF(COUNTIF($B$2:$B2660,$B2660)=1,1,0))</f>
        <v/>
      </c>
      <c r="AA2660">
        <f>IF($Z2660=1,SUMPRODUCT(--($AC$2:$AC$3001&lt;$AC2660))+1,"")</f>
        <v/>
      </c>
      <c r="AB2660">
        <f>IF($B2660="","",IF(OR($Y2660=TRUE(),$Y2660="TRUE"),1,IF(AND($Y2660&lt;&gt;"",OR($Y2660=FALSE(),$Y2660="FALSE")),0,IF(MIN(ABS($X2660/100-Settings!$C$6),ABS($X2660/100-Settings!$G$6))&lt;=MIN(ABS($X2660/100-Settings!$C$7),ABS($X2660/100-Settings!$G$7)),1,0))))</f>
        <v/>
      </c>
      <c r="AC2660">
        <f>IF($Z2660=1,IFERROR(IF(VALUE($B2660)&lt;100000000,VALUE($B2660),1000000000),IFERROR(IF(VALUE(MID($B2660,2,20))&lt;100000000,VALUE(MID($B2660,2,20)),1000000000),1000000000))+ROW()/100000,"")</f>
        <v/>
      </c>
    </row>
    <row r="2661">
      <c r="A2661">
        <f>IF($B2661="","",IFERROR(IF(INDEX('Per Invoice'!$A$2:$A$801,MATCH($B2661,'Per Invoice'!$B$2:$B$801,0))=0,"",INDEX('Per Invoice'!$A$2:$A$801,MATCH($B2661,'Per Invoice'!$B$2:$B$801,0))),""))</f>
        <v/>
      </c>
      <c r="J2661" s="7">
        <f>IF($B2661="","",I2661*Q2661/100)</f>
        <v/>
      </c>
      <c r="N2661" s="7" t="n"/>
      <c r="O2661" s="7" t="n"/>
      <c r="P2661" s="7">
        <f>IF($B2661="","",O2661*X2661/100)</f>
        <v/>
      </c>
      <c r="Q2661" s="7">
        <f>IF($B2661="","",O2661-P2661)</f>
        <v/>
      </c>
      <c r="R2661" s="7">
        <f>IF($B2661="","",Q2661-J2661)</f>
        <v/>
      </c>
      <c r="S2661" s="7" t="n"/>
      <c r="T2661" s="7" t="n"/>
      <c r="V2661" s="14" t="n"/>
      <c r="Z2661">
        <f>IF($B2661="","",IF(COUNTIF($B$2:$B2661,$B2661)=1,1,0))</f>
        <v/>
      </c>
      <c r="AA2661">
        <f>IF($Z2661=1,SUMPRODUCT(--($AC$2:$AC$3001&lt;$AC2661))+1,"")</f>
        <v/>
      </c>
      <c r="AB2661">
        <f>IF($B2661="","",IF(OR($Y2661=TRUE(),$Y2661="TRUE"),1,IF(AND($Y2661&lt;&gt;"",OR($Y2661=FALSE(),$Y2661="FALSE")),0,IF(MIN(ABS($X2661/100-Settings!$C$6),ABS($X2661/100-Settings!$G$6))&lt;=MIN(ABS($X2661/100-Settings!$C$7),ABS($X2661/100-Settings!$G$7)),1,0))))</f>
        <v/>
      </c>
      <c r="AC2661">
        <f>IF($Z2661=1,IFERROR(IF(VALUE($B2661)&lt;100000000,VALUE($B2661),1000000000),IFERROR(IF(VALUE(MID($B2661,2,20))&lt;100000000,VALUE(MID($B2661,2,20)),1000000000),1000000000))+ROW()/100000,"")</f>
        <v/>
      </c>
    </row>
    <row r="2662">
      <c r="A2662">
        <f>IF($B2662="","",IFERROR(IF(INDEX('Per Invoice'!$A$2:$A$801,MATCH($B2662,'Per Invoice'!$B$2:$B$801,0))=0,"",INDEX('Per Invoice'!$A$2:$A$801,MATCH($B2662,'Per Invoice'!$B$2:$B$801,0))),""))</f>
        <v/>
      </c>
      <c r="J2662" s="7">
        <f>IF($B2662="","",I2662*Q2662/100)</f>
        <v/>
      </c>
      <c r="N2662" s="7" t="n"/>
      <c r="O2662" s="7" t="n"/>
      <c r="P2662" s="7">
        <f>IF($B2662="","",O2662*X2662/100)</f>
        <v/>
      </c>
      <c r="Q2662" s="7">
        <f>IF($B2662="","",O2662-P2662)</f>
        <v/>
      </c>
      <c r="R2662" s="7">
        <f>IF($B2662="","",Q2662-J2662)</f>
        <v/>
      </c>
      <c r="S2662" s="7" t="n"/>
      <c r="T2662" s="7" t="n"/>
      <c r="V2662" s="14" t="n"/>
      <c r="Z2662">
        <f>IF($B2662="","",IF(COUNTIF($B$2:$B2662,$B2662)=1,1,0))</f>
        <v/>
      </c>
      <c r="AA2662">
        <f>IF($Z2662=1,SUMPRODUCT(--($AC$2:$AC$3001&lt;$AC2662))+1,"")</f>
        <v/>
      </c>
      <c r="AB2662">
        <f>IF($B2662="","",IF(OR($Y2662=TRUE(),$Y2662="TRUE"),1,IF(AND($Y2662&lt;&gt;"",OR($Y2662=FALSE(),$Y2662="FALSE")),0,IF(MIN(ABS($X2662/100-Settings!$C$6),ABS($X2662/100-Settings!$G$6))&lt;=MIN(ABS($X2662/100-Settings!$C$7),ABS($X2662/100-Settings!$G$7)),1,0))))</f>
        <v/>
      </c>
      <c r="AC2662">
        <f>IF($Z2662=1,IFERROR(IF(VALUE($B2662)&lt;100000000,VALUE($B2662),1000000000),IFERROR(IF(VALUE(MID($B2662,2,20))&lt;100000000,VALUE(MID($B2662,2,20)),1000000000),1000000000))+ROW()/100000,"")</f>
        <v/>
      </c>
    </row>
    <row r="2663">
      <c r="A2663">
        <f>IF($B2663="","",IFERROR(IF(INDEX('Per Invoice'!$A$2:$A$801,MATCH($B2663,'Per Invoice'!$B$2:$B$801,0))=0,"",INDEX('Per Invoice'!$A$2:$A$801,MATCH($B2663,'Per Invoice'!$B$2:$B$801,0))),""))</f>
        <v/>
      </c>
      <c r="J2663" s="7">
        <f>IF($B2663="","",I2663*Q2663/100)</f>
        <v/>
      </c>
      <c r="N2663" s="7" t="n"/>
      <c r="O2663" s="7" t="n"/>
      <c r="P2663" s="7">
        <f>IF($B2663="","",O2663*X2663/100)</f>
        <v/>
      </c>
      <c r="Q2663" s="7">
        <f>IF($B2663="","",O2663-P2663)</f>
        <v/>
      </c>
      <c r="R2663" s="7">
        <f>IF($B2663="","",Q2663-J2663)</f>
        <v/>
      </c>
      <c r="S2663" s="7" t="n"/>
      <c r="T2663" s="7" t="n"/>
      <c r="V2663" s="14" t="n"/>
      <c r="Z2663">
        <f>IF($B2663="","",IF(COUNTIF($B$2:$B2663,$B2663)=1,1,0))</f>
        <v/>
      </c>
      <c r="AA2663">
        <f>IF($Z2663=1,SUMPRODUCT(--($AC$2:$AC$3001&lt;$AC2663))+1,"")</f>
        <v/>
      </c>
      <c r="AB2663">
        <f>IF($B2663="","",IF(OR($Y2663=TRUE(),$Y2663="TRUE"),1,IF(AND($Y2663&lt;&gt;"",OR($Y2663=FALSE(),$Y2663="FALSE")),0,IF(MIN(ABS($X2663/100-Settings!$C$6),ABS($X2663/100-Settings!$G$6))&lt;=MIN(ABS($X2663/100-Settings!$C$7),ABS($X2663/100-Settings!$G$7)),1,0))))</f>
        <v/>
      </c>
      <c r="AC2663">
        <f>IF($Z2663=1,IFERROR(IF(VALUE($B2663)&lt;100000000,VALUE($B2663),1000000000),IFERROR(IF(VALUE(MID($B2663,2,20))&lt;100000000,VALUE(MID($B2663,2,20)),1000000000),1000000000))+ROW()/100000,"")</f>
        <v/>
      </c>
    </row>
    <row r="2664">
      <c r="A2664">
        <f>IF($B2664="","",IFERROR(IF(INDEX('Per Invoice'!$A$2:$A$801,MATCH($B2664,'Per Invoice'!$B$2:$B$801,0))=0,"",INDEX('Per Invoice'!$A$2:$A$801,MATCH($B2664,'Per Invoice'!$B$2:$B$801,0))),""))</f>
        <v/>
      </c>
      <c r="J2664" s="7">
        <f>IF($B2664="","",I2664*Q2664/100)</f>
        <v/>
      </c>
      <c r="N2664" s="7" t="n"/>
      <c r="O2664" s="7" t="n"/>
      <c r="P2664" s="7">
        <f>IF($B2664="","",O2664*X2664/100)</f>
        <v/>
      </c>
      <c r="Q2664" s="7">
        <f>IF($B2664="","",O2664-P2664)</f>
        <v/>
      </c>
      <c r="R2664" s="7">
        <f>IF($B2664="","",Q2664-J2664)</f>
        <v/>
      </c>
      <c r="S2664" s="7" t="n"/>
      <c r="T2664" s="7" t="n"/>
      <c r="V2664" s="14" t="n"/>
      <c r="Z2664">
        <f>IF($B2664="","",IF(COUNTIF($B$2:$B2664,$B2664)=1,1,0))</f>
        <v/>
      </c>
      <c r="AA2664">
        <f>IF($Z2664=1,SUMPRODUCT(--($AC$2:$AC$3001&lt;$AC2664))+1,"")</f>
        <v/>
      </c>
      <c r="AB2664">
        <f>IF($B2664="","",IF(OR($Y2664=TRUE(),$Y2664="TRUE"),1,IF(AND($Y2664&lt;&gt;"",OR($Y2664=FALSE(),$Y2664="FALSE")),0,IF(MIN(ABS($X2664/100-Settings!$C$6),ABS($X2664/100-Settings!$G$6))&lt;=MIN(ABS($X2664/100-Settings!$C$7),ABS($X2664/100-Settings!$G$7)),1,0))))</f>
        <v/>
      </c>
      <c r="AC2664">
        <f>IF($Z2664=1,IFERROR(IF(VALUE($B2664)&lt;100000000,VALUE($B2664),1000000000),IFERROR(IF(VALUE(MID($B2664,2,20))&lt;100000000,VALUE(MID($B2664,2,20)),1000000000),1000000000))+ROW()/100000,"")</f>
        <v/>
      </c>
    </row>
    <row r="2665">
      <c r="A2665">
        <f>IF($B2665="","",IFERROR(IF(INDEX('Per Invoice'!$A$2:$A$801,MATCH($B2665,'Per Invoice'!$B$2:$B$801,0))=0,"",INDEX('Per Invoice'!$A$2:$A$801,MATCH($B2665,'Per Invoice'!$B$2:$B$801,0))),""))</f>
        <v/>
      </c>
      <c r="J2665" s="7">
        <f>IF($B2665="","",I2665*Q2665/100)</f>
        <v/>
      </c>
      <c r="N2665" s="7" t="n"/>
      <c r="O2665" s="7" t="n"/>
      <c r="P2665" s="7">
        <f>IF($B2665="","",O2665*X2665/100)</f>
        <v/>
      </c>
      <c r="Q2665" s="7">
        <f>IF($B2665="","",O2665-P2665)</f>
        <v/>
      </c>
      <c r="R2665" s="7">
        <f>IF($B2665="","",Q2665-J2665)</f>
        <v/>
      </c>
      <c r="S2665" s="7" t="n"/>
      <c r="T2665" s="7" t="n"/>
      <c r="V2665" s="14" t="n"/>
      <c r="Z2665">
        <f>IF($B2665="","",IF(COUNTIF($B$2:$B2665,$B2665)=1,1,0))</f>
        <v/>
      </c>
      <c r="AA2665">
        <f>IF($Z2665=1,SUMPRODUCT(--($AC$2:$AC$3001&lt;$AC2665))+1,"")</f>
        <v/>
      </c>
      <c r="AB2665">
        <f>IF($B2665="","",IF(OR($Y2665=TRUE(),$Y2665="TRUE"),1,IF(AND($Y2665&lt;&gt;"",OR($Y2665=FALSE(),$Y2665="FALSE")),0,IF(MIN(ABS($X2665/100-Settings!$C$6),ABS($X2665/100-Settings!$G$6))&lt;=MIN(ABS($X2665/100-Settings!$C$7),ABS($X2665/100-Settings!$G$7)),1,0))))</f>
        <v/>
      </c>
      <c r="AC2665">
        <f>IF($Z2665=1,IFERROR(IF(VALUE($B2665)&lt;100000000,VALUE($B2665),1000000000),IFERROR(IF(VALUE(MID($B2665,2,20))&lt;100000000,VALUE(MID($B2665,2,20)),1000000000),1000000000))+ROW()/100000,"")</f>
        <v/>
      </c>
    </row>
    <row r="2666">
      <c r="A2666">
        <f>IF($B2666="","",IFERROR(IF(INDEX('Per Invoice'!$A$2:$A$801,MATCH($B2666,'Per Invoice'!$B$2:$B$801,0))=0,"",INDEX('Per Invoice'!$A$2:$A$801,MATCH($B2666,'Per Invoice'!$B$2:$B$801,0))),""))</f>
        <v/>
      </c>
      <c r="J2666" s="7">
        <f>IF($B2666="","",I2666*Q2666/100)</f>
        <v/>
      </c>
      <c r="N2666" s="7" t="n"/>
      <c r="O2666" s="7" t="n"/>
      <c r="P2666" s="7">
        <f>IF($B2666="","",O2666*X2666/100)</f>
        <v/>
      </c>
      <c r="Q2666" s="7">
        <f>IF($B2666="","",O2666-P2666)</f>
        <v/>
      </c>
      <c r="R2666" s="7">
        <f>IF($B2666="","",Q2666-J2666)</f>
        <v/>
      </c>
      <c r="S2666" s="7" t="n"/>
      <c r="T2666" s="7" t="n"/>
      <c r="V2666" s="14" t="n"/>
      <c r="Z2666">
        <f>IF($B2666="","",IF(COUNTIF($B$2:$B2666,$B2666)=1,1,0))</f>
        <v/>
      </c>
      <c r="AA2666">
        <f>IF($Z2666=1,SUMPRODUCT(--($AC$2:$AC$3001&lt;$AC2666))+1,"")</f>
        <v/>
      </c>
      <c r="AB2666">
        <f>IF($B2666="","",IF(OR($Y2666=TRUE(),$Y2666="TRUE"),1,IF(AND($Y2666&lt;&gt;"",OR($Y2666=FALSE(),$Y2666="FALSE")),0,IF(MIN(ABS($X2666/100-Settings!$C$6),ABS($X2666/100-Settings!$G$6))&lt;=MIN(ABS($X2666/100-Settings!$C$7),ABS($X2666/100-Settings!$G$7)),1,0))))</f>
        <v/>
      </c>
      <c r="AC2666">
        <f>IF($Z2666=1,IFERROR(IF(VALUE($B2666)&lt;100000000,VALUE($B2666),1000000000),IFERROR(IF(VALUE(MID($B2666,2,20))&lt;100000000,VALUE(MID($B2666,2,20)),1000000000),1000000000))+ROW()/100000,"")</f>
        <v/>
      </c>
    </row>
    <row r="2667">
      <c r="A2667">
        <f>IF($B2667="","",IFERROR(IF(INDEX('Per Invoice'!$A$2:$A$801,MATCH($B2667,'Per Invoice'!$B$2:$B$801,0))=0,"",INDEX('Per Invoice'!$A$2:$A$801,MATCH($B2667,'Per Invoice'!$B$2:$B$801,0))),""))</f>
        <v/>
      </c>
      <c r="J2667" s="7">
        <f>IF($B2667="","",I2667*Q2667/100)</f>
        <v/>
      </c>
      <c r="N2667" s="7" t="n"/>
      <c r="O2667" s="7" t="n"/>
      <c r="P2667" s="7">
        <f>IF($B2667="","",O2667*X2667/100)</f>
        <v/>
      </c>
      <c r="Q2667" s="7">
        <f>IF($B2667="","",O2667-P2667)</f>
        <v/>
      </c>
      <c r="R2667" s="7">
        <f>IF($B2667="","",Q2667-J2667)</f>
        <v/>
      </c>
      <c r="S2667" s="7" t="n"/>
      <c r="T2667" s="7" t="n"/>
      <c r="V2667" s="14" t="n"/>
      <c r="Z2667">
        <f>IF($B2667="","",IF(COUNTIF($B$2:$B2667,$B2667)=1,1,0))</f>
        <v/>
      </c>
      <c r="AA2667">
        <f>IF($Z2667=1,SUMPRODUCT(--($AC$2:$AC$3001&lt;$AC2667))+1,"")</f>
        <v/>
      </c>
      <c r="AB2667">
        <f>IF($B2667="","",IF(OR($Y2667=TRUE(),$Y2667="TRUE"),1,IF(AND($Y2667&lt;&gt;"",OR($Y2667=FALSE(),$Y2667="FALSE")),0,IF(MIN(ABS($X2667/100-Settings!$C$6),ABS($X2667/100-Settings!$G$6))&lt;=MIN(ABS($X2667/100-Settings!$C$7),ABS($X2667/100-Settings!$G$7)),1,0))))</f>
        <v/>
      </c>
      <c r="AC2667">
        <f>IF($Z2667=1,IFERROR(IF(VALUE($B2667)&lt;100000000,VALUE($B2667),1000000000),IFERROR(IF(VALUE(MID($B2667,2,20))&lt;100000000,VALUE(MID($B2667,2,20)),1000000000),1000000000))+ROW()/100000,"")</f>
        <v/>
      </c>
    </row>
    <row r="2668">
      <c r="A2668">
        <f>IF($B2668="","",IFERROR(IF(INDEX('Per Invoice'!$A$2:$A$801,MATCH($B2668,'Per Invoice'!$B$2:$B$801,0))=0,"",INDEX('Per Invoice'!$A$2:$A$801,MATCH($B2668,'Per Invoice'!$B$2:$B$801,0))),""))</f>
        <v/>
      </c>
      <c r="J2668" s="7">
        <f>IF($B2668="","",I2668*Q2668/100)</f>
        <v/>
      </c>
      <c r="N2668" s="7" t="n"/>
      <c r="O2668" s="7" t="n"/>
      <c r="P2668" s="7">
        <f>IF($B2668="","",O2668*X2668/100)</f>
        <v/>
      </c>
      <c r="Q2668" s="7">
        <f>IF($B2668="","",O2668-P2668)</f>
        <v/>
      </c>
      <c r="R2668" s="7">
        <f>IF($B2668="","",Q2668-J2668)</f>
        <v/>
      </c>
      <c r="S2668" s="7" t="n"/>
      <c r="T2668" s="7" t="n"/>
      <c r="V2668" s="14" t="n"/>
      <c r="Z2668">
        <f>IF($B2668="","",IF(COUNTIF($B$2:$B2668,$B2668)=1,1,0))</f>
        <v/>
      </c>
      <c r="AA2668">
        <f>IF($Z2668=1,SUMPRODUCT(--($AC$2:$AC$3001&lt;$AC2668))+1,"")</f>
        <v/>
      </c>
      <c r="AB2668">
        <f>IF($B2668="","",IF(OR($Y2668=TRUE(),$Y2668="TRUE"),1,IF(AND($Y2668&lt;&gt;"",OR($Y2668=FALSE(),$Y2668="FALSE")),0,IF(MIN(ABS($X2668/100-Settings!$C$6),ABS($X2668/100-Settings!$G$6))&lt;=MIN(ABS($X2668/100-Settings!$C$7),ABS($X2668/100-Settings!$G$7)),1,0))))</f>
        <v/>
      </c>
      <c r="AC2668">
        <f>IF($Z2668=1,IFERROR(IF(VALUE($B2668)&lt;100000000,VALUE($B2668),1000000000),IFERROR(IF(VALUE(MID($B2668,2,20))&lt;100000000,VALUE(MID($B2668,2,20)),1000000000),1000000000))+ROW()/100000,"")</f>
        <v/>
      </c>
    </row>
    <row r="2669">
      <c r="A2669">
        <f>IF($B2669="","",IFERROR(IF(INDEX('Per Invoice'!$A$2:$A$801,MATCH($B2669,'Per Invoice'!$B$2:$B$801,0))=0,"",INDEX('Per Invoice'!$A$2:$A$801,MATCH($B2669,'Per Invoice'!$B$2:$B$801,0))),""))</f>
        <v/>
      </c>
      <c r="J2669" s="7">
        <f>IF($B2669="","",I2669*Q2669/100)</f>
        <v/>
      </c>
      <c r="N2669" s="7" t="n"/>
      <c r="O2669" s="7" t="n"/>
      <c r="P2669" s="7">
        <f>IF($B2669="","",O2669*X2669/100)</f>
        <v/>
      </c>
      <c r="Q2669" s="7">
        <f>IF($B2669="","",O2669-P2669)</f>
        <v/>
      </c>
      <c r="R2669" s="7">
        <f>IF($B2669="","",Q2669-J2669)</f>
        <v/>
      </c>
      <c r="S2669" s="7" t="n"/>
      <c r="T2669" s="7" t="n"/>
      <c r="V2669" s="14" t="n"/>
      <c r="Z2669">
        <f>IF($B2669="","",IF(COUNTIF($B$2:$B2669,$B2669)=1,1,0))</f>
        <v/>
      </c>
      <c r="AA2669">
        <f>IF($Z2669=1,SUMPRODUCT(--($AC$2:$AC$3001&lt;$AC2669))+1,"")</f>
        <v/>
      </c>
      <c r="AB2669">
        <f>IF($B2669="","",IF(OR($Y2669=TRUE(),$Y2669="TRUE"),1,IF(AND($Y2669&lt;&gt;"",OR($Y2669=FALSE(),$Y2669="FALSE")),0,IF(MIN(ABS($X2669/100-Settings!$C$6),ABS($X2669/100-Settings!$G$6))&lt;=MIN(ABS($X2669/100-Settings!$C$7),ABS($X2669/100-Settings!$G$7)),1,0))))</f>
        <v/>
      </c>
      <c r="AC2669">
        <f>IF($Z2669=1,IFERROR(IF(VALUE($B2669)&lt;100000000,VALUE($B2669),1000000000),IFERROR(IF(VALUE(MID($B2669,2,20))&lt;100000000,VALUE(MID($B2669,2,20)),1000000000),1000000000))+ROW()/100000,"")</f>
        <v/>
      </c>
    </row>
    <row r="2670">
      <c r="A2670">
        <f>IF($B2670="","",IFERROR(IF(INDEX('Per Invoice'!$A$2:$A$801,MATCH($B2670,'Per Invoice'!$B$2:$B$801,0))=0,"",INDEX('Per Invoice'!$A$2:$A$801,MATCH($B2670,'Per Invoice'!$B$2:$B$801,0))),""))</f>
        <v/>
      </c>
      <c r="J2670" s="7">
        <f>IF($B2670="","",I2670*Q2670/100)</f>
        <v/>
      </c>
      <c r="N2670" s="7" t="n"/>
      <c r="O2670" s="7" t="n"/>
      <c r="P2670" s="7">
        <f>IF($B2670="","",O2670*X2670/100)</f>
        <v/>
      </c>
      <c r="Q2670" s="7">
        <f>IF($B2670="","",O2670-P2670)</f>
        <v/>
      </c>
      <c r="R2670" s="7">
        <f>IF($B2670="","",Q2670-J2670)</f>
        <v/>
      </c>
      <c r="S2670" s="7" t="n"/>
      <c r="T2670" s="7" t="n"/>
      <c r="V2670" s="14" t="n"/>
      <c r="Z2670">
        <f>IF($B2670="","",IF(COUNTIF($B$2:$B2670,$B2670)=1,1,0))</f>
        <v/>
      </c>
      <c r="AA2670">
        <f>IF($Z2670=1,SUMPRODUCT(--($AC$2:$AC$3001&lt;$AC2670))+1,"")</f>
        <v/>
      </c>
      <c r="AB2670">
        <f>IF($B2670="","",IF(OR($Y2670=TRUE(),$Y2670="TRUE"),1,IF(AND($Y2670&lt;&gt;"",OR($Y2670=FALSE(),$Y2670="FALSE")),0,IF(MIN(ABS($X2670/100-Settings!$C$6),ABS($X2670/100-Settings!$G$6))&lt;=MIN(ABS($X2670/100-Settings!$C$7),ABS($X2670/100-Settings!$G$7)),1,0))))</f>
        <v/>
      </c>
      <c r="AC2670">
        <f>IF($Z2670=1,IFERROR(IF(VALUE($B2670)&lt;100000000,VALUE($B2670),1000000000),IFERROR(IF(VALUE(MID($B2670,2,20))&lt;100000000,VALUE(MID($B2670,2,20)),1000000000),1000000000))+ROW()/100000,"")</f>
        <v/>
      </c>
    </row>
    <row r="2671">
      <c r="A2671">
        <f>IF($B2671="","",IFERROR(IF(INDEX('Per Invoice'!$A$2:$A$801,MATCH($B2671,'Per Invoice'!$B$2:$B$801,0))=0,"",INDEX('Per Invoice'!$A$2:$A$801,MATCH($B2671,'Per Invoice'!$B$2:$B$801,0))),""))</f>
        <v/>
      </c>
      <c r="J2671" s="7">
        <f>IF($B2671="","",I2671*Q2671/100)</f>
        <v/>
      </c>
      <c r="N2671" s="7" t="n"/>
      <c r="O2671" s="7" t="n"/>
      <c r="P2671" s="7">
        <f>IF($B2671="","",O2671*X2671/100)</f>
        <v/>
      </c>
      <c r="Q2671" s="7">
        <f>IF($B2671="","",O2671-P2671)</f>
        <v/>
      </c>
      <c r="R2671" s="7">
        <f>IF($B2671="","",Q2671-J2671)</f>
        <v/>
      </c>
      <c r="S2671" s="7" t="n"/>
      <c r="T2671" s="7" t="n"/>
      <c r="V2671" s="14" t="n"/>
      <c r="Z2671">
        <f>IF($B2671="","",IF(COUNTIF($B$2:$B2671,$B2671)=1,1,0))</f>
        <v/>
      </c>
      <c r="AA2671">
        <f>IF($Z2671=1,SUMPRODUCT(--($AC$2:$AC$3001&lt;$AC2671))+1,"")</f>
        <v/>
      </c>
      <c r="AB2671">
        <f>IF($B2671="","",IF(OR($Y2671=TRUE(),$Y2671="TRUE"),1,IF(AND($Y2671&lt;&gt;"",OR($Y2671=FALSE(),$Y2671="FALSE")),0,IF(MIN(ABS($X2671/100-Settings!$C$6),ABS($X2671/100-Settings!$G$6))&lt;=MIN(ABS($X2671/100-Settings!$C$7),ABS($X2671/100-Settings!$G$7)),1,0))))</f>
        <v/>
      </c>
      <c r="AC2671">
        <f>IF($Z2671=1,IFERROR(IF(VALUE($B2671)&lt;100000000,VALUE($B2671),1000000000),IFERROR(IF(VALUE(MID($B2671,2,20))&lt;100000000,VALUE(MID($B2671,2,20)),1000000000),1000000000))+ROW()/100000,"")</f>
        <v/>
      </c>
    </row>
    <row r="2672">
      <c r="A2672">
        <f>IF($B2672="","",IFERROR(IF(INDEX('Per Invoice'!$A$2:$A$801,MATCH($B2672,'Per Invoice'!$B$2:$B$801,0))=0,"",INDEX('Per Invoice'!$A$2:$A$801,MATCH($B2672,'Per Invoice'!$B$2:$B$801,0))),""))</f>
        <v/>
      </c>
      <c r="J2672" s="7">
        <f>IF($B2672="","",I2672*Q2672/100)</f>
        <v/>
      </c>
      <c r="N2672" s="7" t="n"/>
      <c r="O2672" s="7" t="n"/>
      <c r="P2672" s="7">
        <f>IF($B2672="","",O2672*X2672/100)</f>
        <v/>
      </c>
      <c r="Q2672" s="7">
        <f>IF($B2672="","",O2672-P2672)</f>
        <v/>
      </c>
      <c r="R2672" s="7">
        <f>IF($B2672="","",Q2672-J2672)</f>
        <v/>
      </c>
      <c r="S2672" s="7" t="n"/>
      <c r="T2672" s="7" t="n"/>
      <c r="V2672" s="14" t="n"/>
      <c r="Z2672">
        <f>IF($B2672="","",IF(COUNTIF($B$2:$B2672,$B2672)=1,1,0))</f>
        <v/>
      </c>
      <c r="AA2672">
        <f>IF($Z2672=1,SUMPRODUCT(--($AC$2:$AC$3001&lt;$AC2672))+1,"")</f>
        <v/>
      </c>
      <c r="AB2672">
        <f>IF($B2672="","",IF(OR($Y2672=TRUE(),$Y2672="TRUE"),1,IF(AND($Y2672&lt;&gt;"",OR($Y2672=FALSE(),$Y2672="FALSE")),0,IF(MIN(ABS($X2672/100-Settings!$C$6),ABS($X2672/100-Settings!$G$6))&lt;=MIN(ABS($X2672/100-Settings!$C$7),ABS($X2672/100-Settings!$G$7)),1,0))))</f>
        <v/>
      </c>
      <c r="AC2672">
        <f>IF($Z2672=1,IFERROR(IF(VALUE($B2672)&lt;100000000,VALUE($B2672),1000000000),IFERROR(IF(VALUE(MID($B2672,2,20))&lt;100000000,VALUE(MID($B2672,2,20)),1000000000),1000000000))+ROW()/100000,"")</f>
        <v/>
      </c>
    </row>
    <row r="2673">
      <c r="A2673">
        <f>IF($B2673="","",IFERROR(IF(INDEX('Per Invoice'!$A$2:$A$801,MATCH($B2673,'Per Invoice'!$B$2:$B$801,0))=0,"",INDEX('Per Invoice'!$A$2:$A$801,MATCH($B2673,'Per Invoice'!$B$2:$B$801,0))),""))</f>
        <v/>
      </c>
      <c r="J2673" s="7">
        <f>IF($B2673="","",I2673*Q2673/100)</f>
        <v/>
      </c>
      <c r="N2673" s="7" t="n"/>
      <c r="O2673" s="7" t="n"/>
      <c r="P2673" s="7">
        <f>IF($B2673="","",O2673*X2673/100)</f>
        <v/>
      </c>
      <c r="Q2673" s="7">
        <f>IF($B2673="","",O2673-P2673)</f>
        <v/>
      </c>
      <c r="R2673" s="7">
        <f>IF($B2673="","",Q2673-J2673)</f>
        <v/>
      </c>
      <c r="S2673" s="7" t="n"/>
      <c r="T2673" s="7" t="n"/>
      <c r="V2673" s="14" t="n"/>
      <c r="Z2673">
        <f>IF($B2673="","",IF(COUNTIF($B$2:$B2673,$B2673)=1,1,0))</f>
        <v/>
      </c>
      <c r="AA2673">
        <f>IF($Z2673=1,SUMPRODUCT(--($AC$2:$AC$3001&lt;$AC2673))+1,"")</f>
        <v/>
      </c>
      <c r="AB2673">
        <f>IF($B2673="","",IF(OR($Y2673=TRUE(),$Y2673="TRUE"),1,IF(AND($Y2673&lt;&gt;"",OR($Y2673=FALSE(),$Y2673="FALSE")),0,IF(MIN(ABS($X2673/100-Settings!$C$6),ABS($X2673/100-Settings!$G$6))&lt;=MIN(ABS($X2673/100-Settings!$C$7),ABS($X2673/100-Settings!$G$7)),1,0))))</f>
        <v/>
      </c>
      <c r="AC2673">
        <f>IF($Z2673=1,IFERROR(IF(VALUE($B2673)&lt;100000000,VALUE($B2673),1000000000),IFERROR(IF(VALUE(MID($B2673,2,20))&lt;100000000,VALUE(MID($B2673,2,20)),1000000000),1000000000))+ROW()/100000,"")</f>
        <v/>
      </c>
    </row>
    <row r="2674">
      <c r="A2674">
        <f>IF($B2674="","",IFERROR(IF(INDEX('Per Invoice'!$A$2:$A$801,MATCH($B2674,'Per Invoice'!$B$2:$B$801,0))=0,"",INDEX('Per Invoice'!$A$2:$A$801,MATCH($B2674,'Per Invoice'!$B$2:$B$801,0))),""))</f>
        <v/>
      </c>
      <c r="J2674" s="7">
        <f>IF($B2674="","",I2674*Q2674/100)</f>
        <v/>
      </c>
      <c r="N2674" s="7" t="n"/>
      <c r="O2674" s="7" t="n"/>
      <c r="P2674" s="7">
        <f>IF($B2674="","",O2674*X2674/100)</f>
        <v/>
      </c>
      <c r="Q2674" s="7">
        <f>IF($B2674="","",O2674-P2674)</f>
        <v/>
      </c>
      <c r="R2674" s="7">
        <f>IF($B2674="","",Q2674-J2674)</f>
        <v/>
      </c>
      <c r="S2674" s="7" t="n"/>
      <c r="T2674" s="7" t="n"/>
      <c r="V2674" s="14" t="n"/>
      <c r="Z2674">
        <f>IF($B2674="","",IF(COUNTIF($B$2:$B2674,$B2674)=1,1,0))</f>
        <v/>
      </c>
      <c r="AA2674">
        <f>IF($Z2674=1,SUMPRODUCT(--($AC$2:$AC$3001&lt;$AC2674))+1,"")</f>
        <v/>
      </c>
      <c r="AB2674">
        <f>IF($B2674="","",IF(OR($Y2674=TRUE(),$Y2674="TRUE"),1,IF(AND($Y2674&lt;&gt;"",OR($Y2674=FALSE(),$Y2674="FALSE")),0,IF(MIN(ABS($X2674/100-Settings!$C$6),ABS($X2674/100-Settings!$G$6))&lt;=MIN(ABS($X2674/100-Settings!$C$7),ABS($X2674/100-Settings!$G$7)),1,0))))</f>
        <v/>
      </c>
      <c r="AC2674">
        <f>IF($Z2674=1,IFERROR(IF(VALUE($B2674)&lt;100000000,VALUE($B2674),1000000000),IFERROR(IF(VALUE(MID($B2674,2,20))&lt;100000000,VALUE(MID($B2674,2,20)),1000000000),1000000000))+ROW()/100000,"")</f>
        <v/>
      </c>
    </row>
    <row r="2675">
      <c r="A2675">
        <f>IF($B2675="","",IFERROR(IF(INDEX('Per Invoice'!$A$2:$A$801,MATCH($B2675,'Per Invoice'!$B$2:$B$801,0))=0,"",INDEX('Per Invoice'!$A$2:$A$801,MATCH($B2675,'Per Invoice'!$B$2:$B$801,0))),""))</f>
        <v/>
      </c>
      <c r="J2675" s="7">
        <f>IF($B2675="","",I2675*Q2675/100)</f>
        <v/>
      </c>
      <c r="N2675" s="7" t="n"/>
      <c r="O2675" s="7" t="n"/>
      <c r="P2675" s="7">
        <f>IF($B2675="","",O2675*X2675/100)</f>
        <v/>
      </c>
      <c r="Q2675" s="7">
        <f>IF($B2675="","",O2675-P2675)</f>
        <v/>
      </c>
      <c r="R2675" s="7">
        <f>IF($B2675="","",Q2675-J2675)</f>
        <v/>
      </c>
      <c r="S2675" s="7" t="n"/>
      <c r="T2675" s="7" t="n"/>
      <c r="V2675" s="14" t="n"/>
      <c r="Z2675">
        <f>IF($B2675="","",IF(COUNTIF($B$2:$B2675,$B2675)=1,1,0))</f>
        <v/>
      </c>
      <c r="AA2675">
        <f>IF($Z2675=1,SUMPRODUCT(--($AC$2:$AC$3001&lt;$AC2675))+1,"")</f>
        <v/>
      </c>
      <c r="AB2675">
        <f>IF($B2675="","",IF(OR($Y2675=TRUE(),$Y2675="TRUE"),1,IF(AND($Y2675&lt;&gt;"",OR($Y2675=FALSE(),$Y2675="FALSE")),0,IF(MIN(ABS($X2675/100-Settings!$C$6),ABS($X2675/100-Settings!$G$6))&lt;=MIN(ABS($X2675/100-Settings!$C$7),ABS($X2675/100-Settings!$G$7)),1,0))))</f>
        <v/>
      </c>
      <c r="AC2675">
        <f>IF($Z2675=1,IFERROR(IF(VALUE($B2675)&lt;100000000,VALUE($B2675),1000000000),IFERROR(IF(VALUE(MID($B2675,2,20))&lt;100000000,VALUE(MID($B2675,2,20)),1000000000),1000000000))+ROW()/100000,"")</f>
        <v/>
      </c>
    </row>
    <row r="2676">
      <c r="A2676">
        <f>IF($B2676="","",IFERROR(IF(INDEX('Per Invoice'!$A$2:$A$801,MATCH($B2676,'Per Invoice'!$B$2:$B$801,0))=0,"",INDEX('Per Invoice'!$A$2:$A$801,MATCH($B2676,'Per Invoice'!$B$2:$B$801,0))),""))</f>
        <v/>
      </c>
      <c r="J2676" s="7">
        <f>IF($B2676="","",I2676*Q2676/100)</f>
        <v/>
      </c>
      <c r="N2676" s="7" t="n"/>
      <c r="O2676" s="7" t="n"/>
      <c r="P2676" s="7">
        <f>IF($B2676="","",O2676*X2676/100)</f>
        <v/>
      </c>
      <c r="Q2676" s="7">
        <f>IF($B2676="","",O2676-P2676)</f>
        <v/>
      </c>
      <c r="R2676" s="7">
        <f>IF($B2676="","",Q2676-J2676)</f>
        <v/>
      </c>
      <c r="S2676" s="7" t="n"/>
      <c r="T2676" s="7" t="n"/>
      <c r="V2676" s="14" t="n"/>
      <c r="Z2676">
        <f>IF($B2676="","",IF(COUNTIF($B$2:$B2676,$B2676)=1,1,0))</f>
        <v/>
      </c>
      <c r="AA2676">
        <f>IF($Z2676=1,SUMPRODUCT(--($AC$2:$AC$3001&lt;$AC2676))+1,"")</f>
        <v/>
      </c>
      <c r="AB2676">
        <f>IF($B2676="","",IF(OR($Y2676=TRUE(),$Y2676="TRUE"),1,IF(AND($Y2676&lt;&gt;"",OR($Y2676=FALSE(),$Y2676="FALSE")),0,IF(MIN(ABS($X2676/100-Settings!$C$6),ABS($X2676/100-Settings!$G$6))&lt;=MIN(ABS($X2676/100-Settings!$C$7),ABS($X2676/100-Settings!$G$7)),1,0))))</f>
        <v/>
      </c>
      <c r="AC2676">
        <f>IF($Z2676=1,IFERROR(IF(VALUE($B2676)&lt;100000000,VALUE($B2676),1000000000),IFERROR(IF(VALUE(MID($B2676,2,20))&lt;100000000,VALUE(MID($B2676,2,20)),1000000000),1000000000))+ROW()/100000,"")</f>
        <v/>
      </c>
    </row>
    <row r="2677">
      <c r="A2677">
        <f>IF($B2677="","",IFERROR(IF(INDEX('Per Invoice'!$A$2:$A$801,MATCH($B2677,'Per Invoice'!$B$2:$B$801,0))=0,"",INDEX('Per Invoice'!$A$2:$A$801,MATCH($B2677,'Per Invoice'!$B$2:$B$801,0))),""))</f>
        <v/>
      </c>
      <c r="J2677" s="7">
        <f>IF($B2677="","",I2677*Q2677/100)</f>
        <v/>
      </c>
      <c r="N2677" s="7" t="n"/>
      <c r="O2677" s="7" t="n"/>
      <c r="P2677" s="7">
        <f>IF($B2677="","",O2677*X2677/100)</f>
        <v/>
      </c>
      <c r="Q2677" s="7">
        <f>IF($B2677="","",O2677-P2677)</f>
        <v/>
      </c>
      <c r="R2677" s="7">
        <f>IF($B2677="","",Q2677-J2677)</f>
        <v/>
      </c>
      <c r="S2677" s="7" t="n"/>
      <c r="T2677" s="7" t="n"/>
      <c r="V2677" s="14" t="n"/>
      <c r="Z2677">
        <f>IF($B2677="","",IF(COUNTIF($B$2:$B2677,$B2677)=1,1,0))</f>
        <v/>
      </c>
      <c r="AA2677">
        <f>IF($Z2677=1,SUMPRODUCT(--($AC$2:$AC$3001&lt;$AC2677))+1,"")</f>
        <v/>
      </c>
      <c r="AB2677">
        <f>IF($B2677="","",IF(OR($Y2677=TRUE(),$Y2677="TRUE"),1,IF(AND($Y2677&lt;&gt;"",OR($Y2677=FALSE(),$Y2677="FALSE")),0,IF(MIN(ABS($X2677/100-Settings!$C$6),ABS($X2677/100-Settings!$G$6))&lt;=MIN(ABS($X2677/100-Settings!$C$7),ABS($X2677/100-Settings!$G$7)),1,0))))</f>
        <v/>
      </c>
      <c r="AC2677">
        <f>IF($Z2677=1,IFERROR(IF(VALUE($B2677)&lt;100000000,VALUE($B2677),1000000000),IFERROR(IF(VALUE(MID($B2677,2,20))&lt;100000000,VALUE(MID($B2677,2,20)),1000000000),1000000000))+ROW()/100000,"")</f>
        <v/>
      </c>
    </row>
    <row r="2678">
      <c r="A2678">
        <f>IF($B2678="","",IFERROR(IF(INDEX('Per Invoice'!$A$2:$A$801,MATCH($B2678,'Per Invoice'!$B$2:$B$801,0))=0,"",INDEX('Per Invoice'!$A$2:$A$801,MATCH($B2678,'Per Invoice'!$B$2:$B$801,0))),""))</f>
        <v/>
      </c>
      <c r="J2678" s="7">
        <f>IF($B2678="","",I2678*Q2678/100)</f>
        <v/>
      </c>
      <c r="N2678" s="7" t="n"/>
      <c r="O2678" s="7" t="n"/>
      <c r="P2678" s="7">
        <f>IF($B2678="","",O2678*X2678/100)</f>
        <v/>
      </c>
      <c r="Q2678" s="7">
        <f>IF($B2678="","",O2678-P2678)</f>
        <v/>
      </c>
      <c r="R2678" s="7">
        <f>IF($B2678="","",Q2678-J2678)</f>
        <v/>
      </c>
      <c r="S2678" s="7" t="n"/>
      <c r="T2678" s="7" t="n"/>
      <c r="V2678" s="14" t="n"/>
      <c r="Z2678">
        <f>IF($B2678="","",IF(COUNTIF($B$2:$B2678,$B2678)=1,1,0))</f>
        <v/>
      </c>
      <c r="AA2678">
        <f>IF($Z2678=1,SUMPRODUCT(--($AC$2:$AC$3001&lt;$AC2678))+1,"")</f>
        <v/>
      </c>
      <c r="AB2678">
        <f>IF($B2678="","",IF(OR($Y2678=TRUE(),$Y2678="TRUE"),1,IF(AND($Y2678&lt;&gt;"",OR($Y2678=FALSE(),$Y2678="FALSE")),0,IF(MIN(ABS($X2678/100-Settings!$C$6),ABS($X2678/100-Settings!$G$6))&lt;=MIN(ABS($X2678/100-Settings!$C$7),ABS($X2678/100-Settings!$G$7)),1,0))))</f>
        <v/>
      </c>
      <c r="AC2678">
        <f>IF($Z2678=1,IFERROR(IF(VALUE($B2678)&lt;100000000,VALUE($B2678),1000000000),IFERROR(IF(VALUE(MID($B2678,2,20))&lt;100000000,VALUE(MID($B2678,2,20)),1000000000),1000000000))+ROW()/100000,"")</f>
        <v/>
      </c>
    </row>
    <row r="2679">
      <c r="A2679">
        <f>IF($B2679="","",IFERROR(IF(INDEX('Per Invoice'!$A$2:$A$801,MATCH($B2679,'Per Invoice'!$B$2:$B$801,0))=0,"",INDEX('Per Invoice'!$A$2:$A$801,MATCH($B2679,'Per Invoice'!$B$2:$B$801,0))),""))</f>
        <v/>
      </c>
      <c r="J2679" s="7">
        <f>IF($B2679="","",I2679*Q2679/100)</f>
        <v/>
      </c>
      <c r="N2679" s="7" t="n"/>
      <c r="O2679" s="7" t="n"/>
      <c r="P2679" s="7">
        <f>IF($B2679="","",O2679*X2679/100)</f>
        <v/>
      </c>
      <c r="Q2679" s="7">
        <f>IF($B2679="","",O2679-P2679)</f>
        <v/>
      </c>
      <c r="R2679" s="7">
        <f>IF($B2679="","",Q2679-J2679)</f>
        <v/>
      </c>
      <c r="S2679" s="7" t="n"/>
      <c r="T2679" s="7" t="n"/>
      <c r="V2679" s="14" t="n"/>
      <c r="Z2679">
        <f>IF($B2679="","",IF(COUNTIF($B$2:$B2679,$B2679)=1,1,0))</f>
        <v/>
      </c>
      <c r="AA2679">
        <f>IF($Z2679=1,SUMPRODUCT(--($AC$2:$AC$3001&lt;$AC2679))+1,"")</f>
        <v/>
      </c>
      <c r="AB2679">
        <f>IF($B2679="","",IF(OR($Y2679=TRUE(),$Y2679="TRUE"),1,IF(AND($Y2679&lt;&gt;"",OR($Y2679=FALSE(),$Y2679="FALSE")),0,IF(MIN(ABS($X2679/100-Settings!$C$6),ABS($X2679/100-Settings!$G$6))&lt;=MIN(ABS($X2679/100-Settings!$C$7),ABS($X2679/100-Settings!$G$7)),1,0))))</f>
        <v/>
      </c>
      <c r="AC2679">
        <f>IF($Z2679=1,IFERROR(IF(VALUE($B2679)&lt;100000000,VALUE($B2679),1000000000),IFERROR(IF(VALUE(MID($B2679,2,20))&lt;100000000,VALUE(MID($B2679,2,20)),1000000000),1000000000))+ROW()/100000,"")</f>
        <v/>
      </c>
    </row>
    <row r="2680">
      <c r="A2680">
        <f>IF($B2680="","",IFERROR(IF(INDEX('Per Invoice'!$A$2:$A$801,MATCH($B2680,'Per Invoice'!$B$2:$B$801,0))=0,"",INDEX('Per Invoice'!$A$2:$A$801,MATCH($B2680,'Per Invoice'!$B$2:$B$801,0))),""))</f>
        <v/>
      </c>
      <c r="J2680" s="7">
        <f>IF($B2680="","",I2680*Q2680/100)</f>
        <v/>
      </c>
      <c r="N2680" s="7" t="n"/>
      <c r="O2680" s="7" t="n"/>
      <c r="P2680" s="7">
        <f>IF($B2680="","",O2680*X2680/100)</f>
        <v/>
      </c>
      <c r="Q2680" s="7">
        <f>IF($B2680="","",O2680-P2680)</f>
        <v/>
      </c>
      <c r="R2680" s="7">
        <f>IF($B2680="","",Q2680-J2680)</f>
        <v/>
      </c>
      <c r="S2680" s="7" t="n"/>
      <c r="T2680" s="7" t="n"/>
      <c r="V2680" s="14" t="n"/>
      <c r="Z2680">
        <f>IF($B2680="","",IF(COUNTIF($B$2:$B2680,$B2680)=1,1,0))</f>
        <v/>
      </c>
      <c r="AA2680">
        <f>IF($Z2680=1,SUMPRODUCT(--($AC$2:$AC$3001&lt;$AC2680))+1,"")</f>
        <v/>
      </c>
      <c r="AB2680">
        <f>IF($B2680="","",IF(OR($Y2680=TRUE(),$Y2680="TRUE"),1,IF(AND($Y2680&lt;&gt;"",OR($Y2680=FALSE(),$Y2680="FALSE")),0,IF(MIN(ABS($X2680/100-Settings!$C$6),ABS($X2680/100-Settings!$G$6))&lt;=MIN(ABS($X2680/100-Settings!$C$7),ABS($X2680/100-Settings!$G$7)),1,0))))</f>
        <v/>
      </c>
      <c r="AC2680">
        <f>IF($Z2680=1,IFERROR(IF(VALUE($B2680)&lt;100000000,VALUE($B2680),1000000000),IFERROR(IF(VALUE(MID($B2680,2,20))&lt;100000000,VALUE(MID($B2680,2,20)),1000000000),1000000000))+ROW()/100000,"")</f>
        <v/>
      </c>
    </row>
    <row r="2681">
      <c r="A2681">
        <f>IF($B2681="","",IFERROR(IF(INDEX('Per Invoice'!$A$2:$A$801,MATCH($B2681,'Per Invoice'!$B$2:$B$801,0))=0,"",INDEX('Per Invoice'!$A$2:$A$801,MATCH($B2681,'Per Invoice'!$B$2:$B$801,0))),""))</f>
        <v/>
      </c>
      <c r="J2681" s="7">
        <f>IF($B2681="","",I2681*Q2681/100)</f>
        <v/>
      </c>
      <c r="N2681" s="7" t="n"/>
      <c r="O2681" s="7" t="n"/>
      <c r="P2681" s="7">
        <f>IF($B2681="","",O2681*X2681/100)</f>
        <v/>
      </c>
      <c r="Q2681" s="7">
        <f>IF($B2681="","",O2681-P2681)</f>
        <v/>
      </c>
      <c r="R2681" s="7">
        <f>IF($B2681="","",Q2681-J2681)</f>
        <v/>
      </c>
      <c r="S2681" s="7" t="n"/>
      <c r="T2681" s="7" t="n"/>
      <c r="V2681" s="14" t="n"/>
      <c r="Z2681">
        <f>IF($B2681="","",IF(COUNTIF($B$2:$B2681,$B2681)=1,1,0))</f>
        <v/>
      </c>
      <c r="AA2681">
        <f>IF($Z2681=1,SUMPRODUCT(--($AC$2:$AC$3001&lt;$AC2681))+1,"")</f>
        <v/>
      </c>
      <c r="AB2681">
        <f>IF($B2681="","",IF(OR($Y2681=TRUE(),$Y2681="TRUE"),1,IF(AND($Y2681&lt;&gt;"",OR($Y2681=FALSE(),$Y2681="FALSE")),0,IF(MIN(ABS($X2681/100-Settings!$C$6),ABS($X2681/100-Settings!$G$6))&lt;=MIN(ABS($X2681/100-Settings!$C$7),ABS($X2681/100-Settings!$G$7)),1,0))))</f>
        <v/>
      </c>
      <c r="AC2681">
        <f>IF($Z2681=1,IFERROR(IF(VALUE($B2681)&lt;100000000,VALUE($B2681),1000000000),IFERROR(IF(VALUE(MID($B2681,2,20))&lt;100000000,VALUE(MID($B2681,2,20)),1000000000),1000000000))+ROW()/100000,"")</f>
        <v/>
      </c>
    </row>
    <row r="2682">
      <c r="A2682">
        <f>IF($B2682="","",IFERROR(IF(INDEX('Per Invoice'!$A$2:$A$801,MATCH($B2682,'Per Invoice'!$B$2:$B$801,0))=0,"",INDEX('Per Invoice'!$A$2:$A$801,MATCH($B2682,'Per Invoice'!$B$2:$B$801,0))),""))</f>
        <v/>
      </c>
      <c r="J2682" s="7">
        <f>IF($B2682="","",I2682*Q2682/100)</f>
        <v/>
      </c>
      <c r="N2682" s="7" t="n"/>
      <c r="O2682" s="7" t="n"/>
      <c r="P2682" s="7">
        <f>IF($B2682="","",O2682*X2682/100)</f>
        <v/>
      </c>
      <c r="Q2682" s="7">
        <f>IF($B2682="","",O2682-P2682)</f>
        <v/>
      </c>
      <c r="R2682" s="7">
        <f>IF($B2682="","",Q2682-J2682)</f>
        <v/>
      </c>
      <c r="S2682" s="7" t="n"/>
      <c r="T2682" s="7" t="n"/>
      <c r="V2682" s="14" t="n"/>
      <c r="Z2682">
        <f>IF($B2682="","",IF(COUNTIF($B$2:$B2682,$B2682)=1,1,0))</f>
        <v/>
      </c>
      <c r="AA2682">
        <f>IF($Z2682=1,SUMPRODUCT(--($AC$2:$AC$3001&lt;$AC2682))+1,"")</f>
        <v/>
      </c>
      <c r="AB2682">
        <f>IF($B2682="","",IF(OR($Y2682=TRUE(),$Y2682="TRUE"),1,IF(AND($Y2682&lt;&gt;"",OR($Y2682=FALSE(),$Y2682="FALSE")),0,IF(MIN(ABS($X2682/100-Settings!$C$6),ABS($X2682/100-Settings!$G$6))&lt;=MIN(ABS($X2682/100-Settings!$C$7),ABS($X2682/100-Settings!$G$7)),1,0))))</f>
        <v/>
      </c>
      <c r="AC2682">
        <f>IF($Z2682=1,IFERROR(IF(VALUE($B2682)&lt;100000000,VALUE($B2682),1000000000),IFERROR(IF(VALUE(MID($B2682,2,20))&lt;100000000,VALUE(MID($B2682,2,20)),1000000000),1000000000))+ROW()/100000,"")</f>
        <v/>
      </c>
    </row>
    <row r="2683">
      <c r="A2683">
        <f>IF($B2683="","",IFERROR(IF(INDEX('Per Invoice'!$A$2:$A$801,MATCH($B2683,'Per Invoice'!$B$2:$B$801,0))=0,"",INDEX('Per Invoice'!$A$2:$A$801,MATCH($B2683,'Per Invoice'!$B$2:$B$801,0))),""))</f>
        <v/>
      </c>
      <c r="J2683" s="7">
        <f>IF($B2683="","",I2683*Q2683/100)</f>
        <v/>
      </c>
      <c r="N2683" s="7" t="n"/>
      <c r="O2683" s="7" t="n"/>
      <c r="P2683" s="7">
        <f>IF($B2683="","",O2683*X2683/100)</f>
        <v/>
      </c>
      <c r="Q2683" s="7">
        <f>IF($B2683="","",O2683-P2683)</f>
        <v/>
      </c>
      <c r="R2683" s="7">
        <f>IF($B2683="","",Q2683-J2683)</f>
        <v/>
      </c>
      <c r="S2683" s="7" t="n"/>
      <c r="T2683" s="7" t="n"/>
      <c r="V2683" s="14" t="n"/>
      <c r="Z2683">
        <f>IF($B2683="","",IF(COUNTIF($B$2:$B2683,$B2683)=1,1,0))</f>
        <v/>
      </c>
      <c r="AA2683">
        <f>IF($Z2683=1,SUMPRODUCT(--($AC$2:$AC$3001&lt;$AC2683))+1,"")</f>
        <v/>
      </c>
      <c r="AB2683">
        <f>IF($B2683="","",IF(OR($Y2683=TRUE(),$Y2683="TRUE"),1,IF(AND($Y2683&lt;&gt;"",OR($Y2683=FALSE(),$Y2683="FALSE")),0,IF(MIN(ABS($X2683/100-Settings!$C$6),ABS($X2683/100-Settings!$G$6))&lt;=MIN(ABS($X2683/100-Settings!$C$7),ABS($X2683/100-Settings!$G$7)),1,0))))</f>
        <v/>
      </c>
      <c r="AC2683">
        <f>IF($Z2683=1,IFERROR(IF(VALUE($B2683)&lt;100000000,VALUE($B2683),1000000000),IFERROR(IF(VALUE(MID($B2683,2,20))&lt;100000000,VALUE(MID($B2683,2,20)),1000000000),1000000000))+ROW()/100000,"")</f>
        <v/>
      </c>
    </row>
    <row r="2684">
      <c r="A2684">
        <f>IF($B2684="","",IFERROR(IF(INDEX('Per Invoice'!$A$2:$A$801,MATCH($B2684,'Per Invoice'!$B$2:$B$801,0))=0,"",INDEX('Per Invoice'!$A$2:$A$801,MATCH($B2684,'Per Invoice'!$B$2:$B$801,0))),""))</f>
        <v/>
      </c>
      <c r="J2684" s="7">
        <f>IF($B2684="","",I2684*Q2684/100)</f>
        <v/>
      </c>
      <c r="N2684" s="7" t="n"/>
      <c r="O2684" s="7" t="n"/>
      <c r="P2684" s="7">
        <f>IF($B2684="","",O2684*X2684/100)</f>
        <v/>
      </c>
      <c r="Q2684" s="7">
        <f>IF($B2684="","",O2684-P2684)</f>
        <v/>
      </c>
      <c r="R2684" s="7">
        <f>IF($B2684="","",Q2684-J2684)</f>
        <v/>
      </c>
      <c r="S2684" s="7" t="n"/>
      <c r="T2684" s="7" t="n"/>
      <c r="V2684" s="14" t="n"/>
      <c r="Z2684">
        <f>IF($B2684="","",IF(COUNTIF($B$2:$B2684,$B2684)=1,1,0))</f>
        <v/>
      </c>
      <c r="AA2684">
        <f>IF($Z2684=1,SUMPRODUCT(--($AC$2:$AC$3001&lt;$AC2684))+1,"")</f>
        <v/>
      </c>
      <c r="AB2684">
        <f>IF($B2684="","",IF(OR($Y2684=TRUE(),$Y2684="TRUE"),1,IF(AND($Y2684&lt;&gt;"",OR($Y2684=FALSE(),$Y2684="FALSE")),0,IF(MIN(ABS($X2684/100-Settings!$C$6),ABS($X2684/100-Settings!$G$6))&lt;=MIN(ABS($X2684/100-Settings!$C$7),ABS($X2684/100-Settings!$G$7)),1,0))))</f>
        <v/>
      </c>
      <c r="AC2684">
        <f>IF($Z2684=1,IFERROR(IF(VALUE($B2684)&lt;100000000,VALUE($B2684),1000000000),IFERROR(IF(VALUE(MID($B2684,2,20))&lt;100000000,VALUE(MID($B2684,2,20)),1000000000),1000000000))+ROW()/100000,"")</f>
        <v/>
      </c>
    </row>
    <row r="2685">
      <c r="A2685">
        <f>IF($B2685="","",IFERROR(IF(INDEX('Per Invoice'!$A$2:$A$801,MATCH($B2685,'Per Invoice'!$B$2:$B$801,0))=0,"",INDEX('Per Invoice'!$A$2:$A$801,MATCH($B2685,'Per Invoice'!$B$2:$B$801,0))),""))</f>
        <v/>
      </c>
      <c r="J2685" s="7">
        <f>IF($B2685="","",I2685*Q2685/100)</f>
        <v/>
      </c>
      <c r="N2685" s="7" t="n"/>
      <c r="O2685" s="7" t="n"/>
      <c r="P2685" s="7">
        <f>IF($B2685="","",O2685*X2685/100)</f>
        <v/>
      </c>
      <c r="Q2685" s="7">
        <f>IF($B2685="","",O2685-P2685)</f>
        <v/>
      </c>
      <c r="R2685" s="7">
        <f>IF($B2685="","",Q2685-J2685)</f>
        <v/>
      </c>
      <c r="S2685" s="7" t="n"/>
      <c r="T2685" s="7" t="n"/>
      <c r="V2685" s="14" t="n"/>
      <c r="Z2685">
        <f>IF($B2685="","",IF(COUNTIF($B$2:$B2685,$B2685)=1,1,0))</f>
        <v/>
      </c>
      <c r="AA2685">
        <f>IF($Z2685=1,SUMPRODUCT(--($AC$2:$AC$3001&lt;$AC2685))+1,"")</f>
        <v/>
      </c>
      <c r="AB2685">
        <f>IF($B2685="","",IF(OR($Y2685=TRUE(),$Y2685="TRUE"),1,IF(AND($Y2685&lt;&gt;"",OR($Y2685=FALSE(),$Y2685="FALSE")),0,IF(MIN(ABS($X2685/100-Settings!$C$6),ABS($X2685/100-Settings!$G$6))&lt;=MIN(ABS($X2685/100-Settings!$C$7),ABS($X2685/100-Settings!$G$7)),1,0))))</f>
        <v/>
      </c>
      <c r="AC2685">
        <f>IF($Z2685=1,IFERROR(IF(VALUE($B2685)&lt;100000000,VALUE($B2685),1000000000),IFERROR(IF(VALUE(MID($B2685,2,20))&lt;100000000,VALUE(MID($B2685,2,20)),1000000000),1000000000))+ROW()/100000,"")</f>
        <v/>
      </c>
    </row>
    <row r="2686">
      <c r="A2686">
        <f>IF($B2686="","",IFERROR(IF(INDEX('Per Invoice'!$A$2:$A$801,MATCH($B2686,'Per Invoice'!$B$2:$B$801,0))=0,"",INDEX('Per Invoice'!$A$2:$A$801,MATCH($B2686,'Per Invoice'!$B$2:$B$801,0))),""))</f>
        <v/>
      </c>
      <c r="J2686" s="7">
        <f>IF($B2686="","",I2686*Q2686/100)</f>
        <v/>
      </c>
      <c r="N2686" s="7" t="n"/>
      <c r="O2686" s="7" t="n"/>
      <c r="P2686" s="7">
        <f>IF($B2686="","",O2686*X2686/100)</f>
        <v/>
      </c>
      <c r="Q2686" s="7">
        <f>IF($B2686="","",O2686-P2686)</f>
        <v/>
      </c>
      <c r="R2686" s="7">
        <f>IF($B2686="","",Q2686-J2686)</f>
        <v/>
      </c>
      <c r="S2686" s="7" t="n"/>
      <c r="T2686" s="7" t="n"/>
      <c r="V2686" s="14" t="n"/>
      <c r="Z2686">
        <f>IF($B2686="","",IF(COUNTIF($B$2:$B2686,$B2686)=1,1,0))</f>
        <v/>
      </c>
      <c r="AA2686">
        <f>IF($Z2686=1,SUMPRODUCT(--($AC$2:$AC$3001&lt;$AC2686))+1,"")</f>
        <v/>
      </c>
      <c r="AB2686">
        <f>IF($B2686="","",IF(OR($Y2686=TRUE(),$Y2686="TRUE"),1,IF(AND($Y2686&lt;&gt;"",OR($Y2686=FALSE(),$Y2686="FALSE")),0,IF(MIN(ABS($X2686/100-Settings!$C$6),ABS($X2686/100-Settings!$G$6))&lt;=MIN(ABS($X2686/100-Settings!$C$7),ABS($X2686/100-Settings!$G$7)),1,0))))</f>
        <v/>
      </c>
      <c r="AC2686">
        <f>IF($Z2686=1,IFERROR(IF(VALUE($B2686)&lt;100000000,VALUE($B2686),1000000000),IFERROR(IF(VALUE(MID($B2686,2,20))&lt;100000000,VALUE(MID($B2686,2,20)),1000000000),1000000000))+ROW()/100000,"")</f>
        <v/>
      </c>
    </row>
    <row r="2687">
      <c r="A2687">
        <f>IF($B2687="","",IFERROR(IF(INDEX('Per Invoice'!$A$2:$A$801,MATCH($B2687,'Per Invoice'!$B$2:$B$801,0))=0,"",INDEX('Per Invoice'!$A$2:$A$801,MATCH($B2687,'Per Invoice'!$B$2:$B$801,0))),""))</f>
        <v/>
      </c>
      <c r="J2687" s="7">
        <f>IF($B2687="","",I2687*Q2687/100)</f>
        <v/>
      </c>
      <c r="N2687" s="7" t="n"/>
      <c r="O2687" s="7" t="n"/>
      <c r="P2687" s="7">
        <f>IF($B2687="","",O2687*X2687/100)</f>
        <v/>
      </c>
      <c r="Q2687" s="7">
        <f>IF($B2687="","",O2687-P2687)</f>
        <v/>
      </c>
      <c r="R2687" s="7">
        <f>IF($B2687="","",Q2687-J2687)</f>
        <v/>
      </c>
      <c r="S2687" s="7" t="n"/>
      <c r="T2687" s="7" t="n"/>
      <c r="V2687" s="14" t="n"/>
      <c r="Z2687">
        <f>IF($B2687="","",IF(COUNTIF($B$2:$B2687,$B2687)=1,1,0))</f>
        <v/>
      </c>
      <c r="AA2687">
        <f>IF($Z2687=1,SUMPRODUCT(--($AC$2:$AC$3001&lt;$AC2687))+1,"")</f>
        <v/>
      </c>
      <c r="AB2687">
        <f>IF($B2687="","",IF(OR($Y2687=TRUE(),$Y2687="TRUE"),1,IF(AND($Y2687&lt;&gt;"",OR($Y2687=FALSE(),$Y2687="FALSE")),0,IF(MIN(ABS($X2687/100-Settings!$C$6),ABS($X2687/100-Settings!$G$6))&lt;=MIN(ABS($X2687/100-Settings!$C$7),ABS($X2687/100-Settings!$G$7)),1,0))))</f>
        <v/>
      </c>
      <c r="AC2687">
        <f>IF($Z2687=1,IFERROR(IF(VALUE($B2687)&lt;100000000,VALUE($B2687),1000000000),IFERROR(IF(VALUE(MID($B2687,2,20))&lt;100000000,VALUE(MID($B2687,2,20)),1000000000),1000000000))+ROW()/100000,"")</f>
        <v/>
      </c>
    </row>
    <row r="2688">
      <c r="A2688">
        <f>IF($B2688="","",IFERROR(IF(INDEX('Per Invoice'!$A$2:$A$801,MATCH($B2688,'Per Invoice'!$B$2:$B$801,0))=0,"",INDEX('Per Invoice'!$A$2:$A$801,MATCH($B2688,'Per Invoice'!$B$2:$B$801,0))),""))</f>
        <v/>
      </c>
      <c r="J2688" s="7">
        <f>IF($B2688="","",I2688*Q2688/100)</f>
        <v/>
      </c>
      <c r="N2688" s="7" t="n"/>
      <c r="O2688" s="7" t="n"/>
      <c r="P2688" s="7">
        <f>IF($B2688="","",O2688*X2688/100)</f>
        <v/>
      </c>
      <c r="Q2688" s="7">
        <f>IF($B2688="","",O2688-P2688)</f>
        <v/>
      </c>
      <c r="R2688" s="7">
        <f>IF($B2688="","",Q2688-J2688)</f>
        <v/>
      </c>
      <c r="S2688" s="7" t="n"/>
      <c r="T2688" s="7" t="n"/>
      <c r="V2688" s="14" t="n"/>
      <c r="Z2688">
        <f>IF($B2688="","",IF(COUNTIF($B$2:$B2688,$B2688)=1,1,0))</f>
        <v/>
      </c>
      <c r="AA2688">
        <f>IF($Z2688=1,SUMPRODUCT(--($AC$2:$AC$3001&lt;$AC2688))+1,"")</f>
        <v/>
      </c>
      <c r="AB2688">
        <f>IF($B2688="","",IF(OR($Y2688=TRUE(),$Y2688="TRUE"),1,IF(AND($Y2688&lt;&gt;"",OR($Y2688=FALSE(),$Y2688="FALSE")),0,IF(MIN(ABS($X2688/100-Settings!$C$6),ABS($X2688/100-Settings!$G$6))&lt;=MIN(ABS($X2688/100-Settings!$C$7),ABS($X2688/100-Settings!$G$7)),1,0))))</f>
        <v/>
      </c>
      <c r="AC2688">
        <f>IF($Z2688=1,IFERROR(IF(VALUE($B2688)&lt;100000000,VALUE($B2688),1000000000),IFERROR(IF(VALUE(MID($B2688,2,20))&lt;100000000,VALUE(MID($B2688,2,20)),1000000000),1000000000))+ROW()/100000,"")</f>
        <v/>
      </c>
    </row>
    <row r="2689">
      <c r="A2689">
        <f>IF($B2689="","",IFERROR(IF(INDEX('Per Invoice'!$A$2:$A$801,MATCH($B2689,'Per Invoice'!$B$2:$B$801,0))=0,"",INDEX('Per Invoice'!$A$2:$A$801,MATCH($B2689,'Per Invoice'!$B$2:$B$801,0))),""))</f>
        <v/>
      </c>
      <c r="J2689" s="7">
        <f>IF($B2689="","",I2689*Q2689/100)</f>
        <v/>
      </c>
      <c r="N2689" s="7" t="n"/>
      <c r="O2689" s="7" t="n"/>
      <c r="P2689" s="7">
        <f>IF($B2689="","",O2689*X2689/100)</f>
        <v/>
      </c>
      <c r="Q2689" s="7">
        <f>IF($B2689="","",O2689-P2689)</f>
        <v/>
      </c>
      <c r="R2689" s="7">
        <f>IF($B2689="","",Q2689-J2689)</f>
        <v/>
      </c>
      <c r="S2689" s="7" t="n"/>
      <c r="T2689" s="7" t="n"/>
      <c r="V2689" s="14" t="n"/>
      <c r="Z2689">
        <f>IF($B2689="","",IF(COUNTIF($B$2:$B2689,$B2689)=1,1,0))</f>
        <v/>
      </c>
      <c r="AA2689">
        <f>IF($Z2689=1,SUMPRODUCT(--($AC$2:$AC$3001&lt;$AC2689))+1,"")</f>
        <v/>
      </c>
      <c r="AB2689">
        <f>IF($B2689="","",IF(OR($Y2689=TRUE(),$Y2689="TRUE"),1,IF(AND($Y2689&lt;&gt;"",OR($Y2689=FALSE(),$Y2689="FALSE")),0,IF(MIN(ABS($X2689/100-Settings!$C$6),ABS($X2689/100-Settings!$G$6))&lt;=MIN(ABS($X2689/100-Settings!$C$7),ABS($X2689/100-Settings!$G$7)),1,0))))</f>
        <v/>
      </c>
      <c r="AC2689">
        <f>IF($Z2689=1,IFERROR(IF(VALUE($B2689)&lt;100000000,VALUE($B2689),1000000000),IFERROR(IF(VALUE(MID($B2689,2,20))&lt;100000000,VALUE(MID($B2689,2,20)),1000000000),1000000000))+ROW()/100000,"")</f>
        <v/>
      </c>
    </row>
    <row r="2690">
      <c r="A2690">
        <f>IF($B2690="","",IFERROR(IF(INDEX('Per Invoice'!$A$2:$A$801,MATCH($B2690,'Per Invoice'!$B$2:$B$801,0))=0,"",INDEX('Per Invoice'!$A$2:$A$801,MATCH($B2690,'Per Invoice'!$B$2:$B$801,0))),""))</f>
        <v/>
      </c>
      <c r="J2690" s="7">
        <f>IF($B2690="","",I2690*Q2690/100)</f>
        <v/>
      </c>
      <c r="N2690" s="7" t="n"/>
      <c r="O2690" s="7" t="n"/>
      <c r="P2690" s="7">
        <f>IF($B2690="","",O2690*X2690/100)</f>
        <v/>
      </c>
      <c r="Q2690" s="7">
        <f>IF($B2690="","",O2690-P2690)</f>
        <v/>
      </c>
      <c r="R2690" s="7">
        <f>IF($B2690="","",Q2690-J2690)</f>
        <v/>
      </c>
      <c r="S2690" s="7" t="n"/>
      <c r="T2690" s="7" t="n"/>
      <c r="V2690" s="14" t="n"/>
      <c r="Z2690">
        <f>IF($B2690="","",IF(COUNTIF($B$2:$B2690,$B2690)=1,1,0))</f>
        <v/>
      </c>
      <c r="AA2690">
        <f>IF($Z2690=1,SUMPRODUCT(--($AC$2:$AC$3001&lt;$AC2690))+1,"")</f>
        <v/>
      </c>
      <c r="AB2690">
        <f>IF($B2690="","",IF(OR($Y2690=TRUE(),$Y2690="TRUE"),1,IF(AND($Y2690&lt;&gt;"",OR($Y2690=FALSE(),$Y2690="FALSE")),0,IF(MIN(ABS($X2690/100-Settings!$C$6),ABS($X2690/100-Settings!$G$6))&lt;=MIN(ABS($X2690/100-Settings!$C$7),ABS($X2690/100-Settings!$G$7)),1,0))))</f>
        <v/>
      </c>
      <c r="AC2690">
        <f>IF($Z2690=1,IFERROR(IF(VALUE($B2690)&lt;100000000,VALUE($B2690),1000000000),IFERROR(IF(VALUE(MID($B2690,2,20))&lt;100000000,VALUE(MID($B2690,2,20)),1000000000),1000000000))+ROW()/100000,"")</f>
        <v/>
      </c>
    </row>
    <row r="2691">
      <c r="A2691">
        <f>IF($B2691="","",IFERROR(IF(INDEX('Per Invoice'!$A$2:$A$801,MATCH($B2691,'Per Invoice'!$B$2:$B$801,0))=0,"",INDEX('Per Invoice'!$A$2:$A$801,MATCH($B2691,'Per Invoice'!$B$2:$B$801,0))),""))</f>
        <v/>
      </c>
      <c r="J2691" s="7">
        <f>IF($B2691="","",I2691*Q2691/100)</f>
        <v/>
      </c>
      <c r="N2691" s="7" t="n"/>
      <c r="O2691" s="7" t="n"/>
      <c r="P2691" s="7">
        <f>IF($B2691="","",O2691*X2691/100)</f>
        <v/>
      </c>
      <c r="Q2691" s="7">
        <f>IF($B2691="","",O2691-P2691)</f>
        <v/>
      </c>
      <c r="R2691" s="7">
        <f>IF($B2691="","",Q2691-J2691)</f>
        <v/>
      </c>
      <c r="S2691" s="7" t="n"/>
      <c r="T2691" s="7" t="n"/>
      <c r="V2691" s="14" t="n"/>
      <c r="Z2691">
        <f>IF($B2691="","",IF(COUNTIF($B$2:$B2691,$B2691)=1,1,0))</f>
        <v/>
      </c>
      <c r="AA2691">
        <f>IF($Z2691=1,SUMPRODUCT(--($AC$2:$AC$3001&lt;$AC2691))+1,"")</f>
        <v/>
      </c>
      <c r="AB2691">
        <f>IF($B2691="","",IF(OR($Y2691=TRUE(),$Y2691="TRUE"),1,IF(AND($Y2691&lt;&gt;"",OR($Y2691=FALSE(),$Y2691="FALSE")),0,IF(MIN(ABS($X2691/100-Settings!$C$6),ABS($X2691/100-Settings!$G$6))&lt;=MIN(ABS($X2691/100-Settings!$C$7),ABS($X2691/100-Settings!$G$7)),1,0))))</f>
        <v/>
      </c>
      <c r="AC2691">
        <f>IF($Z2691=1,IFERROR(IF(VALUE($B2691)&lt;100000000,VALUE($B2691),1000000000),IFERROR(IF(VALUE(MID($B2691,2,20))&lt;100000000,VALUE(MID($B2691,2,20)),1000000000),1000000000))+ROW()/100000,"")</f>
        <v/>
      </c>
    </row>
    <row r="2692">
      <c r="A2692">
        <f>IF($B2692="","",IFERROR(IF(INDEX('Per Invoice'!$A$2:$A$801,MATCH($B2692,'Per Invoice'!$B$2:$B$801,0))=0,"",INDEX('Per Invoice'!$A$2:$A$801,MATCH($B2692,'Per Invoice'!$B$2:$B$801,0))),""))</f>
        <v/>
      </c>
      <c r="J2692" s="7">
        <f>IF($B2692="","",I2692*Q2692/100)</f>
        <v/>
      </c>
      <c r="N2692" s="7" t="n"/>
      <c r="O2692" s="7" t="n"/>
      <c r="P2692" s="7">
        <f>IF($B2692="","",O2692*X2692/100)</f>
        <v/>
      </c>
      <c r="Q2692" s="7">
        <f>IF($B2692="","",O2692-P2692)</f>
        <v/>
      </c>
      <c r="R2692" s="7">
        <f>IF($B2692="","",Q2692-J2692)</f>
        <v/>
      </c>
      <c r="S2692" s="7" t="n"/>
      <c r="T2692" s="7" t="n"/>
      <c r="V2692" s="14" t="n"/>
      <c r="Z2692">
        <f>IF($B2692="","",IF(COUNTIF($B$2:$B2692,$B2692)=1,1,0))</f>
        <v/>
      </c>
      <c r="AA2692">
        <f>IF($Z2692=1,SUMPRODUCT(--($AC$2:$AC$3001&lt;$AC2692))+1,"")</f>
        <v/>
      </c>
      <c r="AB2692">
        <f>IF($B2692="","",IF(OR($Y2692=TRUE(),$Y2692="TRUE"),1,IF(AND($Y2692&lt;&gt;"",OR($Y2692=FALSE(),$Y2692="FALSE")),0,IF(MIN(ABS($X2692/100-Settings!$C$6),ABS($X2692/100-Settings!$G$6))&lt;=MIN(ABS($X2692/100-Settings!$C$7),ABS($X2692/100-Settings!$G$7)),1,0))))</f>
        <v/>
      </c>
      <c r="AC2692">
        <f>IF($Z2692=1,IFERROR(IF(VALUE($B2692)&lt;100000000,VALUE($B2692),1000000000),IFERROR(IF(VALUE(MID($B2692,2,20))&lt;100000000,VALUE(MID($B2692,2,20)),1000000000),1000000000))+ROW()/100000,"")</f>
        <v/>
      </c>
    </row>
    <row r="2693">
      <c r="A2693">
        <f>IF($B2693="","",IFERROR(IF(INDEX('Per Invoice'!$A$2:$A$801,MATCH($B2693,'Per Invoice'!$B$2:$B$801,0))=0,"",INDEX('Per Invoice'!$A$2:$A$801,MATCH($B2693,'Per Invoice'!$B$2:$B$801,0))),""))</f>
        <v/>
      </c>
      <c r="J2693" s="7">
        <f>IF($B2693="","",I2693*Q2693/100)</f>
        <v/>
      </c>
      <c r="N2693" s="7" t="n"/>
      <c r="O2693" s="7" t="n"/>
      <c r="P2693" s="7">
        <f>IF($B2693="","",O2693*X2693/100)</f>
        <v/>
      </c>
      <c r="Q2693" s="7">
        <f>IF($B2693="","",O2693-P2693)</f>
        <v/>
      </c>
      <c r="R2693" s="7">
        <f>IF($B2693="","",Q2693-J2693)</f>
        <v/>
      </c>
      <c r="S2693" s="7" t="n"/>
      <c r="T2693" s="7" t="n"/>
      <c r="V2693" s="14" t="n"/>
      <c r="Z2693">
        <f>IF($B2693="","",IF(COUNTIF($B$2:$B2693,$B2693)=1,1,0))</f>
        <v/>
      </c>
      <c r="AA2693">
        <f>IF($Z2693=1,SUMPRODUCT(--($AC$2:$AC$3001&lt;$AC2693))+1,"")</f>
        <v/>
      </c>
      <c r="AB2693">
        <f>IF($B2693="","",IF(OR($Y2693=TRUE(),$Y2693="TRUE"),1,IF(AND($Y2693&lt;&gt;"",OR($Y2693=FALSE(),$Y2693="FALSE")),0,IF(MIN(ABS($X2693/100-Settings!$C$6),ABS($X2693/100-Settings!$G$6))&lt;=MIN(ABS($X2693/100-Settings!$C$7),ABS($X2693/100-Settings!$G$7)),1,0))))</f>
        <v/>
      </c>
      <c r="AC2693">
        <f>IF($Z2693=1,IFERROR(IF(VALUE($B2693)&lt;100000000,VALUE($B2693),1000000000),IFERROR(IF(VALUE(MID($B2693,2,20))&lt;100000000,VALUE(MID($B2693,2,20)),1000000000),1000000000))+ROW()/100000,"")</f>
        <v/>
      </c>
    </row>
    <row r="2694">
      <c r="A2694">
        <f>IF($B2694="","",IFERROR(IF(INDEX('Per Invoice'!$A$2:$A$801,MATCH($B2694,'Per Invoice'!$B$2:$B$801,0))=0,"",INDEX('Per Invoice'!$A$2:$A$801,MATCH($B2694,'Per Invoice'!$B$2:$B$801,0))),""))</f>
        <v/>
      </c>
      <c r="J2694" s="7">
        <f>IF($B2694="","",I2694*Q2694/100)</f>
        <v/>
      </c>
      <c r="N2694" s="7" t="n"/>
      <c r="O2694" s="7" t="n"/>
      <c r="P2694" s="7">
        <f>IF($B2694="","",O2694*X2694/100)</f>
        <v/>
      </c>
      <c r="Q2694" s="7">
        <f>IF($B2694="","",O2694-P2694)</f>
        <v/>
      </c>
      <c r="R2694" s="7">
        <f>IF($B2694="","",Q2694-J2694)</f>
        <v/>
      </c>
      <c r="S2694" s="7" t="n"/>
      <c r="T2694" s="7" t="n"/>
      <c r="V2694" s="14" t="n"/>
      <c r="Z2694">
        <f>IF($B2694="","",IF(COUNTIF($B$2:$B2694,$B2694)=1,1,0))</f>
        <v/>
      </c>
      <c r="AA2694">
        <f>IF($Z2694=1,SUMPRODUCT(--($AC$2:$AC$3001&lt;$AC2694))+1,"")</f>
        <v/>
      </c>
      <c r="AB2694">
        <f>IF($B2694="","",IF(OR($Y2694=TRUE(),$Y2694="TRUE"),1,IF(AND($Y2694&lt;&gt;"",OR($Y2694=FALSE(),$Y2694="FALSE")),0,IF(MIN(ABS($X2694/100-Settings!$C$6),ABS($X2694/100-Settings!$G$6))&lt;=MIN(ABS($X2694/100-Settings!$C$7),ABS($X2694/100-Settings!$G$7)),1,0))))</f>
        <v/>
      </c>
      <c r="AC2694">
        <f>IF($Z2694=1,IFERROR(IF(VALUE($B2694)&lt;100000000,VALUE($B2694),1000000000),IFERROR(IF(VALUE(MID($B2694,2,20))&lt;100000000,VALUE(MID($B2694,2,20)),1000000000),1000000000))+ROW()/100000,"")</f>
        <v/>
      </c>
    </row>
    <row r="2695">
      <c r="A2695">
        <f>IF($B2695="","",IFERROR(IF(INDEX('Per Invoice'!$A$2:$A$801,MATCH($B2695,'Per Invoice'!$B$2:$B$801,0))=0,"",INDEX('Per Invoice'!$A$2:$A$801,MATCH($B2695,'Per Invoice'!$B$2:$B$801,0))),""))</f>
        <v/>
      </c>
      <c r="J2695" s="7">
        <f>IF($B2695="","",I2695*Q2695/100)</f>
        <v/>
      </c>
      <c r="N2695" s="7" t="n"/>
      <c r="O2695" s="7" t="n"/>
      <c r="P2695" s="7">
        <f>IF($B2695="","",O2695*X2695/100)</f>
        <v/>
      </c>
      <c r="Q2695" s="7">
        <f>IF($B2695="","",O2695-P2695)</f>
        <v/>
      </c>
      <c r="R2695" s="7">
        <f>IF($B2695="","",Q2695-J2695)</f>
        <v/>
      </c>
      <c r="S2695" s="7" t="n"/>
      <c r="T2695" s="7" t="n"/>
      <c r="V2695" s="14" t="n"/>
      <c r="Z2695">
        <f>IF($B2695="","",IF(COUNTIF($B$2:$B2695,$B2695)=1,1,0))</f>
        <v/>
      </c>
      <c r="AA2695">
        <f>IF($Z2695=1,SUMPRODUCT(--($AC$2:$AC$3001&lt;$AC2695))+1,"")</f>
        <v/>
      </c>
      <c r="AB2695">
        <f>IF($B2695="","",IF(OR($Y2695=TRUE(),$Y2695="TRUE"),1,IF(AND($Y2695&lt;&gt;"",OR($Y2695=FALSE(),$Y2695="FALSE")),0,IF(MIN(ABS($X2695/100-Settings!$C$6),ABS($X2695/100-Settings!$G$6))&lt;=MIN(ABS($X2695/100-Settings!$C$7),ABS($X2695/100-Settings!$G$7)),1,0))))</f>
        <v/>
      </c>
      <c r="AC2695">
        <f>IF($Z2695=1,IFERROR(IF(VALUE($B2695)&lt;100000000,VALUE($B2695),1000000000),IFERROR(IF(VALUE(MID($B2695,2,20))&lt;100000000,VALUE(MID($B2695,2,20)),1000000000),1000000000))+ROW()/100000,"")</f>
        <v/>
      </c>
    </row>
    <row r="2696">
      <c r="A2696">
        <f>IF($B2696="","",IFERROR(IF(INDEX('Per Invoice'!$A$2:$A$801,MATCH($B2696,'Per Invoice'!$B$2:$B$801,0))=0,"",INDEX('Per Invoice'!$A$2:$A$801,MATCH($B2696,'Per Invoice'!$B$2:$B$801,0))),""))</f>
        <v/>
      </c>
      <c r="J2696" s="7">
        <f>IF($B2696="","",I2696*Q2696/100)</f>
        <v/>
      </c>
      <c r="N2696" s="7" t="n"/>
      <c r="O2696" s="7" t="n"/>
      <c r="P2696" s="7">
        <f>IF($B2696="","",O2696*X2696/100)</f>
        <v/>
      </c>
      <c r="Q2696" s="7">
        <f>IF($B2696="","",O2696-P2696)</f>
        <v/>
      </c>
      <c r="R2696" s="7">
        <f>IF($B2696="","",Q2696-J2696)</f>
        <v/>
      </c>
      <c r="S2696" s="7" t="n"/>
      <c r="T2696" s="7" t="n"/>
      <c r="V2696" s="14" t="n"/>
      <c r="Z2696">
        <f>IF($B2696="","",IF(COUNTIF($B$2:$B2696,$B2696)=1,1,0))</f>
        <v/>
      </c>
      <c r="AA2696">
        <f>IF($Z2696=1,SUMPRODUCT(--($AC$2:$AC$3001&lt;$AC2696))+1,"")</f>
        <v/>
      </c>
      <c r="AB2696">
        <f>IF($B2696="","",IF(OR($Y2696=TRUE(),$Y2696="TRUE"),1,IF(AND($Y2696&lt;&gt;"",OR($Y2696=FALSE(),$Y2696="FALSE")),0,IF(MIN(ABS($X2696/100-Settings!$C$6),ABS($X2696/100-Settings!$G$6))&lt;=MIN(ABS($X2696/100-Settings!$C$7),ABS($X2696/100-Settings!$G$7)),1,0))))</f>
        <v/>
      </c>
      <c r="AC2696">
        <f>IF($Z2696=1,IFERROR(IF(VALUE($B2696)&lt;100000000,VALUE($B2696),1000000000),IFERROR(IF(VALUE(MID($B2696,2,20))&lt;100000000,VALUE(MID($B2696,2,20)),1000000000),1000000000))+ROW()/100000,"")</f>
        <v/>
      </c>
    </row>
    <row r="2697">
      <c r="A2697">
        <f>IF($B2697="","",IFERROR(IF(INDEX('Per Invoice'!$A$2:$A$801,MATCH($B2697,'Per Invoice'!$B$2:$B$801,0))=0,"",INDEX('Per Invoice'!$A$2:$A$801,MATCH($B2697,'Per Invoice'!$B$2:$B$801,0))),""))</f>
        <v/>
      </c>
      <c r="J2697" s="7">
        <f>IF($B2697="","",I2697*Q2697/100)</f>
        <v/>
      </c>
      <c r="N2697" s="7" t="n"/>
      <c r="O2697" s="7" t="n"/>
      <c r="P2697" s="7">
        <f>IF($B2697="","",O2697*X2697/100)</f>
        <v/>
      </c>
      <c r="Q2697" s="7">
        <f>IF($B2697="","",O2697-P2697)</f>
        <v/>
      </c>
      <c r="R2697" s="7">
        <f>IF($B2697="","",Q2697-J2697)</f>
        <v/>
      </c>
      <c r="S2697" s="7" t="n"/>
      <c r="T2697" s="7" t="n"/>
      <c r="V2697" s="14" t="n"/>
      <c r="Z2697">
        <f>IF($B2697="","",IF(COUNTIF($B$2:$B2697,$B2697)=1,1,0))</f>
        <v/>
      </c>
      <c r="AA2697">
        <f>IF($Z2697=1,SUMPRODUCT(--($AC$2:$AC$3001&lt;$AC2697))+1,"")</f>
        <v/>
      </c>
      <c r="AB2697">
        <f>IF($B2697="","",IF(OR($Y2697=TRUE(),$Y2697="TRUE"),1,IF(AND($Y2697&lt;&gt;"",OR($Y2697=FALSE(),$Y2697="FALSE")),0,IF(MIN(ABS($X2697/100-Settings!$C$6),ABS($X2697/100-Settings!$G$6))&lt;=MIN(ABS($X2697/100-Settings!$C$7),ABS($X2697/100-Settings!$G$7)),1,0))))</f>
        <v/>
      </c>
      <c r="AC2697">
        <f>IF($Z2697=1,IFERROR(IF(VALUE($B2697)&lt;100000000,VALUE($B2697),1000000000),IFERROR(IF(VALUE(MID($B2697,2,20))&lt;100000000,VALUE(MID($B2697,2,20)),1000000000),1000000000))+ROW()/100000,"")</f>
        <v/>
      </c>
    </row>
    <row r="2698">
      <c r="A2698">
        <f>IF($B2698="","",IFERROR(IF(INDEX('Per Invoice'!$A$2:$A$801,MATCH($B2698,'Per Invoice'!$B$2:$B$801,0))=0,"",INDEX('Per Invoice'!$A$2:$A$801,MATCH($B2698,'Per Invoice'!$B$2:$B$801,0))),""))</f>
        <v/>
      </c>
      <c r="J2698" s="7">
        <f>IF($B2698="","",I2698*Q2698/100)</f>
        <v/>
      </c>
      <c r="N2698" s="7" t="n"/>
      <c r="O2698" s="7" t="n"/>
      <c r="P2698" s="7">
        <f>IF($B2698="","",O2698*X2698/100)</f>
        <v/>
      </c>
      <c r="Q2698" s="7">
        <f>IF($B2698="","",O2698-P2698)</f>
        <v/>
      </c>
      <c r="R2698" s="7">
        <f>IF($B2698="","",Q2698-J2698)</f>
        <v/>
      </c>
      <c r="S2698" s="7" t="n"/>
      <c r="T2698" s="7" t="n"/>
      <c r="V2698" s="14" t="n"/>
      <c r="Z2698">
        <f>IF($B2698="","",IF(COUNTIF($B$2:$B2698,$B2698)=1,1,0))</f>
        <v/>
      </c>
      <c r="AA2698">
        <f>IF($Z2698=1,SUMPRODUCT(--($AC$2:$AC$3001&lt;$AC2698))+1,"")</f>
        <v/>
      </c>
      <c r="AB2698">
        <f>IF($B2698="","",IF(OR($Y2698=TRUE(),$Y2698="TRUE"),1,IF(AND($Y2698&lt;&gt;"",OR($Y2698=FALSE(),$Y2698="FALSE")),0,IF(MIN(ABS($X2698/100-Settings!$C$6),ABS($X2698/100-Settings!$G$6))&lt;=MIN(ABS($X2698/100-Settings!$C$7),ABS($X2698/100-Settings!$G$7)),1,0))))</f>
        <v/>
      </c>
      <c r="AC2698">
        <f>IF($Z2698=1,IFERROR(IF(VALUE($B2698)&lt;100000000,VALUE($B2698),1000000000),IFERROR(IF(VALUE(MID($B2698,2,20))&lt;100000000,VALUE(MID($B2698,2,20)),1000000000),1000000000))+ROW()/100000,"")</f>
        <v/>
      </c>
    </row>
    <row r="2699">
      <c r="A2699">
        <f>IF($B2699="","",IFERROR(IF(INDEX('Per Invoice'!$A$2:$A$801,MATCH($B2699,'Per Invoice'!$B$2:$B$801,0))=0,"",INDEX('Per Invoice'!$A$2:$A$801,MATCH($B2699,'Per Invoice'!$B$2:$B$801,0))),""))</f>
        <v/>
      </c>
      <c r="J2699" s="7">
        <f>IF($B2699="","",I2699*Q2699/100)</f>
        <v/>
      </c>
      <c r="N2699" s="7" t="n"/>
      <c r="O2699" s="7" t="n"/>
      <c r="P2699" s="7">
        <f>IF($B2699="","",O2699*X2699/100)</f>
        <v/>
      </c>
      <c r="Q2699" s="7">
        <f>IF($B2699="","",O2699-P2699)</f>
        <v/>
      </c>
      <c r="R2699" s="7">
        <f>IF($B2699="","",Q2699-J2699)</f>
        <v/>
      </c>
      <c r="S2699" s="7" t="n"/>
      <c r="T2699" s="7" t="n"/>
      <c r="V2699" s="14" t="n"/>
      <c r="Z2699">
        <f>IF($B2699="","",IF(COUNTIF($B$2:$B2699,$B2699)=1,1,0))</f>
        <v/>
      </c>
      <c r="AA2699">
        <f>IF($Z2699=1,SUMPRODUCT(--($AC$2:$AC$3001&lt;$AC2699))+1,"")</f>
        <v/>
      </c>
      <c r="AB2699">
        <f>IF($B2699="","",IF(OR($Y2699=TRUE(),$Y2699="TRUE"),1,IF(AND($Y2699&lt;&gt;"",OR($Y2699=FALSE(),$Y2699="FALSE")),0,IF(MIN(ABS($X2699/100-Settings!$C$6),ABS($X2699/100-Settings!$G$6))&lt;=MIN(ABS($X2699/100-Settings!$C$7),ABS($X2699/100-Settings!$G$7)),1,0))))</f>
        <v/>
      </c>
      <c r="AC2699">
        <f>IF($Z2699=1,IFERROR(IF(VALUE($B2699)&lt;100000000,VALUE($B2699),1000000000),IFERROR(IF(VALUE(MID($B2699,2,20))&lt;100000000,VALUE(MID($B2699,2,20)),1000000000),1000000000))+ROW()/100000,"")</f>
        <v/>
      </c>
    </row>
    <row r="2700">
      <c r="A2700">
        <f>IF($B2700="","",IFERROR(IF(INDEX('Per Invoice'!$A$2:$A$801,MATCH($B2700,'Per Invoice'!$B$2:$B$801,0))=0,"",INDEX('Per Invoice'!$A$2:$A$801,MATCH($B2700,'Per Invoice'!$B$2:$B$801,0))),""))</f>
        <v/>
      </c>
      <c r="J2700" s="7">
        <f>IF($B2700="","",I2700*Q2700/100)</f>
        <v/>
      </c>
      <c r="N2700" s="7" t="n"/>
      <c r="O2700" s="7" t="n"/>
      <c r="P2700" s="7">
        <f>IF($B2700="","",O2700*X2700/100)</f>
        <v/>
      </c>
      <c r="Q2700" s="7">
        <f>IF($B2700="","",O2700-P2700)</f>
        <v/>
      </c>
      <c r="R2700" s="7">
        <f>IF($B2700="","",Q2700-J2700)</f>
        <v/>
      </c>
      <c r="S2700" s="7" t="n"/>
      <c r="T2700" s="7" t="n"/>
      <c r="V2700" s="14" t="n"/>
      <c r="Z2700">
        <f>IF($B2700="","",IF(COUNTIF($B$2:$B2700,$B2700)=1,1,0))</f>
        <v/>
      </c>
      <c r="AA2700">
        <f>IF($Z2700=1,SUMPRODUCT(--($AC$2:$AC$3001&lt;$AC2700))+1,"")</f>
        <v/>
      </c>
      <c r="AB2700">
        <f>IF($B2700="","",IF(OR($Y2700=TRUE(),$Y2700="TRUE"),1,IF(AND($Y2700&lt;&gt;"",OR($Y2700=FALSE(),$Y2700="FALSE")),0,IF(MIN(ABS($X2700/100-Settings!$C$6),ABS($X2700/100-Settings!$G$6))&lt;=MIN(ABS($X2700/100-Settings!$C$7),ABS($X2700/100-Settings!$G$7)),1,0))))</f>
        <v/>
      </c>
      <c r="AC2700">
        <f>IF($Z2700=1,IFERROR(IF(VALUE($B2700)&lt;100000000,VALUE($B2700),1000000000),IFERROR(IF(VALUE(MID($B2700,2,20))&lt;100000000,VALUE(MID($B2700,2,20)),1000000000),1000000000))+ROW()/100000,"")</f>
        <v/>
      </c>
    </row>
    <row r="2701">
      <c r="A2701">
        <f>IF($B2701="","",IFERROR(IF(INDEX('Per Invoice'!$A$2:$A$801,MATCH($B2701,'Per Invoice'!$B$2:$B$801,0))=0,"",INDEX('Per Invoice'!$A$2:$A$801,MATCH($B2701,'Per Invoice'!$B$2:$B$801,0))),""))</f>
        <v/>
      </c>
      <c r="J2701" s="7">
        <f>IF($B2701="","",I2701*Q2701/100)</f>
        <v/>
      </c>
      <c r="N2701" s="7" t="n"/>
      <c r="O2701" s="7" t="n"/>
      <c r="P2701" s="7">
        <f>IF($B2701="","",O2701*X2701/100)</f>
        <v/>
      </c>
      <c r="Q2701" s="7">
        <f>IF($B2701="","",O2701-P2701)</f>
        <v/>
      </c>
      <c r="R2701" s="7">
        <f>IF($B2701="","",Q2701-J2701)</f>
        <v/>
      </c>
      <c r="S2701" s="7" t="n"/>
      <c r="T2701" s="7" t="n"/>
      <c r="V2701" s="14" t="n"/>
      <c r="Z2701">
        <f>IF($B2701="","",IF(COUNTIF($B$2:$B2701,$B2701)=1,1,0))</f>
        <v/>
      </c>
      <c r="AA2701">
        <f>IF($Z2701=1,SUMPRODUCT(--($AC$2:$AC$3001&lt;$AC2701))+1,"")</f>
        <v/>
      </c>
      <c r="AB2701">
        <f>IF($B2701="","",IF(OR($Y2701=TRUE(),$Y2701="TRUE"),1,IF(AND($Y2701&lt;&gt;"",OR($Y2701=FALSE(),$Y2701="FALSE")),0,IF(MIN(ABS($X2701/100-Settings!$C$6),ABS($X2701/100-Settings!$G$6))&lt;=MIN(ABS($X2701/100-Settings!$C$7),ABS($X2701/100-Settings!$G$7)),1,0))))</f>
        <v/>
      </c>
      <c r="AC2701">
        <f>IF($Z2701=1,IFERROR(IF(VALUE($B2701)&lt;100000000,VALUE($B2701),1000000000),IFERROR(IF(VALUE(MID($B2701,2,20))&lt;100000000,VALUE(MID($B2701,2,20)),1000000000),1000000000))+ROW()/100000,"")</f>
        <v/>
      </c>
    </row>
    <row r="2702">
      <c r="A2702">
        <f>IF($B2702="","",IFERROR(IF(INDEX('Per Invoice'!$A$2:$A$801,MATCH($B2702,'Per Invoice'!$B$2:$B$801,0))=0,"",INDEX('Per Invoice'!$A$2:$A$801,MATCH($B2702,'Per Invoice'!$B$2:$B$801,0))),""))</f>
        <v/>
      </c>
      <c r="J2702" s="7">
        <f>IF($B2702="","",I2702*Q2702/100)</f>
        <v/>
      </c>
      <c r="N2702" s="7" t="n"/>
      <c r="O2702" s="7" t="n"/>
      <c r="P2702" s="7">
        <f>IF($B2702="","",O2702*X2702/100)</f>
        <v/>
      </c>
      <c r="Q2702" s="7">
        <f>IF($B2702="","",O2702-P2702)</f>
        <v/>
      </c>
      <c r="R2702" s="7">
        <f>IF($B2702="","",Q2702-J2702)</f>
        <v/>
      </c>
      <c r="S2702" s="7" t="n"/>
      <c r="T2702" s="7" t="n"/>
      <c r="V2702" s="14" t="n"/>
      <c r="Z2702">
        <f>IF($B2702="","",IF(COUNTIF($B$2:$B2702,$B2702)=1,1,0))</f>
        <v/>
      </c>
      <c r="AA2702">
        <f>IF($Z2702=1,SUMPRODUCT(--($AC$2:$AC$3001&lt;$AC2702))+1,"")</f>
        <v/>
      </c>
      <c r="AB2702">
        <f>IF($B2702="","",IF(OR($Y2702=TRUE(),$Y2702="TRUE"),1,IF(AND($Y2702&lt;&gt;"",OR($Y2702=FALSE(),$Y2702="FALSE")),0,IF(MIN(ABS($X2702/100-Settings!$C$6),ABS($X2702/100-Settings!$G$6))&lt;=MIN(ABS($X2702/100-Settings!$C$7),ABS($X2702/100-Settings!$G$7)),1,0))))</f>
        <v/>
      </c>
      <c r="AC2702">
        <f>IF($Z2702=1,IFERROR(IF(VALUE($B2702)&lt;100000000,VALUE($B2702),1000000000),IFERROR(IF(VALUE(MID($B2702,2,20))&lt;100000000,VALUE(MID($B2702,2,20)),1000000000),1000000000))+ROW()/100000,"")</f>
        <v/>
      </c>
    </row>
    <row r="2703">
      <c r="A2703">
        <f>IF($B2703="","",IFERROR(IF(INDEX('Per Invoice'!$A$2:$A$801,MATCH($B2703,'Per Invoice'!$B$2:$B$801,0))=0,"",INDEX('Per Invoice'!$A$2:$A$801,MATCH($B2703,'Per Invoice'!$B$2:$B$801,0))),""))</f>
        <v/>
      </c>
      <c r="J2703" s="7">
        <f>IF($B2703="","",I2703*Q2703/100)</f>
        <v/>
      </c>
      <c r="N2703" s="7" t="n"/>
      <c r="O2703" s="7" t="n"/>
      <c r="P2703" s="7">
        <f>IF($B2703="","",O2703*X2703/100)</f>
        <v/>
      </c>
      <c r="Q2703" s="7">
        <f>IF($B2703="","",O2703-P2703)</f>
        <v/>
      </c>
      <c r="R2703" s="7">
        <f>IF($B2703="","",Q2703-J2703)</f>
        <v/>
      </c>
      <c r="S2703" s="7" t="n"/>
      <c r="T2703" s="7" t="n"/>
      <c r="V2703" s="14" t="n"/>
      <c r="Z2703">
        <f>IF($B2703="","",IF(COUNTIF($B$2:$B2703,$B2703)=1,1,0))</f>
        <v/>
      </c>
      <c r="AA2703">
        <f>IF($Z2703=1,SUMPRODUCT(--($AC$2:$AC$3001&lt;$AC2703))+1,"")</f>
        <v/>
      </c>
      <c r="AB2703">
        <f>IF($B2703="","",IF(OR($Y2703=TRUE(),$Y2703="TRUE"),1,IF(AND($Y2703&lt;&gt;"",OR($Y2703=FALSE(),$Y2703="FALSE")),0,IF(MIN(ABS($X2703/100-Settings!$C$6),ABS($X2703/100-Settings!$G$6))&lt;=MIN(ABS($X2703/100-Settings!$C$7),ABS($X2703/100-Settings!$G$7)),1,0))))</f>
        <v/>
      </c>
      <c r="AC2703">
        <f>IF($Z2703=1,IFERROR(IF(VALUE($B2703)&lt;100000000,VALUE($B2703),1000000000),IFERROR(IF(VALUE(MID($B2703,2,20))&lt;100000000,VALUE(MID($B2703,2,20)),1000000000),1000000000))+ROW()/100000,"")</f>
        <v/>
      </c>
    </row>
    <row r="2704">
      <c r="A2704">
        <f>IF($B2704="","",IFERROR(IF(INDEX('Per Invoice'!$A$2:$A$801,MATCH($B2704,'Per Invoice'!$B$2:$B$801,0))=0,"",INDEX('Per Invoice'!$A$2:$A$801,MATCH($B2704,'Per Invoice'!$B$2:$B$801,0))),""))</f>
        <v/>
      </c>
      <c r="J2704" s="7">
        <f>IF($B2704="","",I2704*Q2704/100)</f>
        <v/>
      </c>
      <c r="N2704" s="7" t="n"/>
      <c r="O2704" s="7" t="n"/>
      <c r="P2704" s="7">
        <f>IF($B2704="","",O2704*X2704/100)</f>
        <v/>
      </c>
      <c r="Q2704" s="7">
        <f>IF($B2704="","",O2704-P2704)</f>
        <v/>
      </c>
      <c r="R2704" s="7">
        <f>IF($B2704="","",Q2704-J2704)</f>
        <v/>
      </c>
      <c r="S2704" s="7" t="n"/>
      <c r="T2704" s="7" t="n"/>
      <c r="V2704" s="14" t="n"/>
      <c r="Z2704">
        <f>IF($B2704="","",IF(COUNTIF($B$2:$B2704,$B2704)=1,1,0))</f>
        <v/>
      </c>
      <c r="AA2704">
        <f>IF($Z2704=1,SUMPRODUCT(--($AC$2:$AC$3001&lt;$AC2704))+1,"")</f>
        <v/>
      </c>
      <c r="AB2704">
        <f>IF($B2704="","",IF(OR($Y2704=TRUE(),$Y2704="TRUE"),1,IF(AND($Y2704&lt;&gt;"",OR($Y2704=FALSE(),$Y2704="FALSE")),0,IF(MIN(ABS($X2704/100-Settings!$C$6),ABS($X2704/100-Settings!$G$6))&lt;=MIN(ABS($X2704/100-Settings!$C$7),ABS($X2704/100-Settings!$G$7)),1,0))))</f>
        <v/>
      </c>
      <c r="AC2704">
        <f>IF($Z2704=1,IFERROR(IF(VALUE($B2704)&lt;100000000,VALUE($B2704),1000000000),IFERROR(IF(VALUE(MID($B2704,2,20))&lt;100000000,VALUE(MID($B2704,2,20)),1000000000),1000000000))+ROW()/100000,"")</f>
        <v/>
      </c>
    </row>
    <row r="2705">
      <c r="A2705">
        <f>IF($B2705="","",IFERROR(IF(INDEX('Per Invoice'!$A$2:$A$801,MATCH($B2705,'Per Invoice'!$B$2:$B$801,0))=0,"",INDEX('Per Invoice'!$A$2:$A$801,MATCH($B2705,'Per Invoice'!$B$2:$B$801,0))),""))</f>
        <v/>
      </c>
      <c r="J2705" s="7">
        <f>IF($B2705="","",I2705*Q2705/100)</f>
        <v/>
      </c>
      <c r="N2705" s="7" t="n"/>
      <c r="O2705" s="7" t="n"/>
      <c r="P2705" s="7">
        <f>IF($B2705="","",O2705*X2705/100)</f>
        <v/>
      </c>
      <c r="Q2705" s="7">
        <f>IF($B2705="","",O2705-P2705)</f>
        <v/>
      </c>
      <c r="R2705" s="7">
        <f>IF($B2705="","",Q2705-J2705)</f>
        <v/>
      </c>
      <c r="S2705" s="7" t="n"/>
      <c r="T2705" s="7" t="n"/>
      <c r="V2705" s="14" t="n"/>
      <c r="Z2705">
        <f>IF($B2705="","",IF(COUNTIF($B$2:$B2705,$B2705)=1,1,0))</f>
        <v/>
      </c>
      <c r="AA2705">
        <f>IF($Z2705=1,SUMPRODUCT(--($AC$2:$AC$3001&lt;$AC2705))+1,"")</f>
        <v/>
      </c>
      <c r="AB2705">
        <f>IF($B2705="","",IF(OR($Y2705=TRUE(),$Y2705="TRUE"),1,IF(AND($Y2705&lt;&gt;"",OR($Y2705=FALSE(),$Y2705="FALSE")),0,IF(MIN(ABS($X2705/100-Settings!$C$6),ABS($X2705/100-Settings!$G$6))&lt;=MIN(ABS($X2705/100-Settings!$C$7),ABS($X2705/100-Settings!$G$7)),1,0))))</f>
        <v/>
      </c>
      <c r="AC2705">
        <f>IF($Z2705=1,IFERROR(IF(VALUE($B2705)&lt;100000000,VALUE($B2705),1000000000),IFERROR(IF(VALUE(MID($B2705,2,20))&lt;100000000,VALUE(MID($B2705,2,20)),1000000000),1000000000))+ROW()/100000,"")</f>
        <v/>
      </c>
    </row>
    <row r="2706">
      <c r="A2706">
        <f>IF($B2706="","",IFERROR(IF(INDEX('Per Invoice'!$A$2:$A$801,MATCH($B2706,'Per Invoice'!$B$2:$B$801,0))=0,"",INDEX('Per Invoice'!$A$2:$A$801,MATCH($B2706,'Per Invoice'!$B$2:$B$801,0))),""))</f>
        <v/>
      </c>
      <c r="J2706" s="7">
        <f>IF($B2706="","",I2706*Q2706/100)</f>
        <v/>
      </c>
      <c r="N2706" s="7" t="n"/>
      <c r="O2706" s="7" t="n"/>
      <c r="P2706" s="7">
        <f>IF($B2706="","",O2706*X2706/100)</f>
        <v/>
      </c>
      <c r="Q2706" s="7">
        <f>IF($B2706="","",O2706-P2706)</f>
        <v/>
      </c>
      <c r="R2706" s="7">
        <f>IF($B2706="","",Q2706-J2706)</f>
        <v/>
      </c>
      <c r="S2706" s="7" t="n"/>
      <c r="T2706" s="7" t="n"/>
      <c r="V2706" s="14" t="n"/>
      <c r="Z2706">
        <f>IF($B2706="","",IF(COUNTIF($B$2:$B2706,$B2706)=1,1,0))</f>
        <v/>
      </c>
      <c r="AA2706">
        <f>IF($Z2706=1,SUMPRODUCT(--($AC$2:$AC$3001&lt;$AC2706))+1,"")</f>
        <v/>
      </c>
      <c r="AB2706">
        <f>IF($B2706="","",IF(OR($Y2706=TRUE(),$Y2706="TRUE"),1,IF(AND($Y2706&lt;&gt;"",OR($Y2706=FALSE(),$Y2706="FALSE")),0,IF(MIN(ABS($X2706/100-Settings!$C$6),ABS($X2706/100-Settings!$G$6))&lt;=MIN(ABS($X2706/100-Settings!$C$7),ABS($X2706/100-Settings!$G$7)),1,0))))</f>
        <v/>
      </c>
      <c r="AC2706">
        <f>IF($Z2706=1,IFERROR(IF(VALUE($B2706)&lt;100000000,VALUE($B2706),1000000000),IFERROR(IF(VALUE(MID($B2706,2,20))&lt;100000000,VALUE(MID($B2706,2,20)),1000000000),1000000000))+ROW()/100000,"")</f>
        <v/>
      </c>
    </row>
    <row r="2707">
      <c r="A2707">
        <f>IF($B2707="","",IFERROR(IF(INDEX('Per Invoice'!$A$2:$A$801,MATCH($B2707,'Per Invoice'!$B$2:$B$801,0))=0,"",INDEX('Per Invoice'!$A$2:$A$801,MATCH($B2707,'Per Invoice'!$B$2:$B$801,0))),""))</f>
        <v/>
      </c>
      <c r="J2707" s="7">
        <f>IF($B2707="","",I2707*Q2707/100)</f>
        <v/>
      </c>
      <c r="N2707" s="7" t="n"/>
      <c r="O2707" s="7" t="n"/>
      <c r="P2707" s="7">
        <f>IF($B2707="","",O2707*X2707/100)</f>
        <v/>
      </c>
      <c r="Q2707" s="7">
        <f>IF($B2707="","",O2707-P2707)</f>
        <v/>
      </c>
      <c r="R2707" s="7">
        <f>IF($B2707="","",Q2707-J2707)</f>
        <v/>
      </c>
      <c r="S2707" s="7" t="n"/>
      <c r="T2707" s="7" t="n"/>
      <c r="V2707" s="14" t="n"/>
      <c r="Z2707">
        <f>IF($B2707="","",IF(COUNTIF($B$2:$B2707,$B2707)=1,1,0))</f>
        <v/>
      </c>
      <c r="AA2707">
        <f>IF($Z2707=1,SUMPRODUCT(--($AC$2:$AC$3001&lt;$AC2707))+1,"")</f>
        <v/>
      </c>
      <c r="AB2707">
        <f>IF($B2707="","",IF(OR($Y2707=TRUE(),$Y2707="TRUE"),1,IF(AND($Y2707&lt;&gt;"",OR($Y2707=FALSE(),$Y2707="FALSE")),0,IF(MIN(ABS($X2707/100-Settings!$C$6),ABS($X2707/100-Settings!$G$6))&lt;=MIN(ABS($X2707/100-Settings!$C$7),ABS($X2707/100-Settings!$G$7)),1,0))))</f>
        <v/>
      </c>
      <c r="AC2707">
        <f>IF($Z2707=1,IFERROR(IF(VALUE($B2707)&lt;100000000,VALUE($B2707),1000000000),IFERROR(IF(VALUE(MID($B2707,2,20))&lt;100000000,VALUE(MID($B2707,2,20)),1000000000),1000000000))+ROW()/100000,"")</f>
        <v/>
      </c>
    </row>
    <row r="2708">
      <c r="A2708">
        <f>IF($B2708="","",IFERROR(IF(INDEX('Per Invoice'!$A$2:$A$801,MATCH($B2708,'Per Invoice'!$B$2:$B$801,0))=0,"",INDEX('Per Invoice'!$A$2:$A$801,MATCH($B2708,'Per Invoice'!$B$2:$B$801,0))),""))</f>
        <v/>
      </c>
      <c r="J2708" s="7">
        <f>IF($B2708="","",I2708*Q2708/100)</f>
        <v/>
      </c>
      <c r="N2708" s="7" t="n"/>
      <c r="O2708" s="7" t="n"/>
      <c r="P2708" s="7">
        <f>IF($B2708="","",O2708*X2708/100)</f>
        <v/>
      </c>
      <c r="Q2708" s="7">
        <f>IF($B2708="","",O2708-P2708)</f>
        <v/>
      </c>
      <c r="R2708" s="7">
        <f>IF($B2708="","",Q2708-J2708)</f>
        <v/>
      </c>
      <c r="S2708" s="7" t="n"/>
      <c r="T2708" s="7" t="n"/>
      <c r="V2708" s="14" t="n"/>
      <c r="Z2708">
        <f>IF($B2708="","",IF(COUNTIF($B$2:$B2708,$B2708)=1,1,0))</f>
        <v/>
      </c>
      <c r="AA2708">
        <f>IF($Z2708=1,SUMPRODUCT(--($AC$2:$AC$3001&lt;$AC2708))+1,"")</f>
        <v/>
      </c>
      <c r="AB2708">
        <f>IF($B2708="","",IF(OR($Y2708=TRUE(),$Y2708="TRUE"),1,IF(AND($Y2708&lt;&gt;"",OR($Y2708=FALSE(),$Y2708="FALSE")),0,IF(MIN(ABS($X2708/100-Settings!$C$6),ABS($X2708/100-Settings!$G$6))&lt;=MIN(ABS($X2708/100-Settings!$C$7),ABS($X2708/100-Settings!$G$7)),1,0))))</f>
        <v/>
      </c>
      <c r="AC2708">
        <f>IF($Z2708=1,IFERROR(IF(VALUE($B2708)&lt;100000000,VALUE($B2708),1000000000),IFERROR(IF(VALUE(MID($B2708,2,20))&lt;100000000,VALUE(MID($B2708,2,20)),1000000000),1000000000))+ROW()/100000,"")</f>
        <v/>
      </c>
    </row>
    <row r="2709">
      <c r="A2709">
        <f>IF($B2709="","",IFERROR(IF(INDEX('Per Invoice'!$A$2:$A$801,MATCH($B2709,'Per Invoice'!$B$2:$B$801,0))=0,"",INDEX('Per Invoice'!$A$2:$A$801,MATCH($B2709,'Per Invoice'!$B$2:$B$801,0))),""))</f>
        <v/>
      </c>
      <c r="J2709" s="7">
        <f>IF($B2709="","",I2709*Q2709/100)</f>
        <v/>
      </c>
      <c r="N2709" s="7" t="n"/>
      <c r="O2709" s="7" t="n"/>
      <c r="P2709" s="7">
        <f>IF($B2709="","",O2709*X2709/100)</f>
        <v/>
      </c>
      <c r="Q2709" s="7">
        <f>IF($B2709="","",O2709-P2709)</f>
        <v/>
      </c>
      <c r="R2709" s="7">
        <f>IF($B2709="","",Q2709-J2709)</f>
        <v/>
      </c>
      <c r="S2709" s="7" t="n"/>
      <c r="T2709" s="7" t="n"/>
      <c r="V2709" s="14" t="n"/>
      <c r="Z2709">
        <f>IF($B2709="","",IF(COUNTIF($B$2:$B2709,$B2709)=1,1,0))</f>
        <v/>
      </c>
      <c r="AA2709">
        <f>IF($Z2709=1,SUMPRODUCT(--($AC$2:$AC$3001&lt;$AC2709))+1,"")</f>
        <v/>
      </c>
      <c r="AB2709">
        <f>IF($B2709="","",IF(OR($Y2709=TRUE(),$Y2709="TRUE"),1,IF(AND($Y2709&lt;&gt;"",OR($Y2709=FALSE(),$Y2709="FALSE")),0,IF(MIN(ABS($X2709/100-Settings!$C$6),ABS($X2709/100-Settings!$G$6))&lt;=MIN(ABS($X2709/100-Settings!$C$7),ABS($X2709/100-Settings!$G$7)),1,0))))</f>
        <v/>
      </c>
      <c r="AC2709">
        <f>IF($Z2709=1,IFERROR(IF(VALUE($B2709)&lt;100000000,VALUE($B2709),1000000000),IFERROR(IF(VALUE(MID($B2709,2,20))&lt;100000000,VALUE(MID($B2709,2,20)),1000000000),1000000000))+ROW()/100000,"")</f>
        <v/>
      </c>
    </row>
    <row r="2710">
      <c r="A2710">
        <f>IF($B2710="","",IFERROR(IF(INDEX('Per Invoice'!$A$2:$A$801,MATCH($B2710,'Per Invoice'!$B$2:$B$801,0))=0,"",INDEX('Per Invoice'!$A$2:$A$801,MATCH($B2710,'Per Invoice'!$B$2:$B$801,0))),""))</f>
        <v/>
      </c>
      <c r="J2710" s="7">
        <f>IF($B2710="","",I2710*Q2710/100)</f>
        <v/>
      </c>
      <c r="N2710" s="7" t="n"/>
      <c r="O2710" s="7" t="n"/>
      <c r="P2710" s="7">
        <f>IF($B2710="","",O2710*X2710/100)</f>
        <v/>
      </c>
      <c r="Q2710" s="7">
        <f>IF($B2710="","",O2710-P2710)</f>
        <v/>
      </c>
      <c r="R2710" s="7">
        <f>IF($B2710="","",Q2710-J2710)</f>
        <v/>
      </c>
      <c r="S2710" s="7" t="n"/>
      <c r="T2710" s="7" t="n"/>
      <c r="V2710" s="14" t="n"/>
      <c r="Z2710">
        <f>IF($B2710="","",IF(COUNTIF($B$2:$B2710,$B2710)=1,1,0))</f>
        <v/>
      </c>
      <c r="AA2710">
        <f>IF($Z2710=1,SUMPRODUCT(--($AC$2:$AC$3001&lt;$AC2710))+1,"")</f>
        <v/>
      </c>
      <c r="AB2710">
        <f>IF($B2710="","",IF(OR($Y2710=TRUE(),$Y2710="TRUE"),1,IF(AND($Y2710&lt;&gt;"",OR($Y2710=FALSE(),$Y2710="FALSE")),0,IF(MIN(ABS($X2710/100-Settings!$C$6),ABS($X2710/100-Settings!$G$6))&lt;=MIN(ABS($X2710/100-Settings!$C$7),ABS($X2710/100-Settings!$G$7)),1,0))))</f>
        <v/>
      </c>
      <c r="AC2710">
        <f>IF($Z2710=1,IFERROR(IF(VALUE($B2710)&lt;100000000,VALUE($B2710),1000000000),IFERROR(IF(VALUE(MID($B2710,2,20))&lt;100000000,VALUE(MID($B2710,2,20)),1000000000),1000000000))+ROW()/100000,"")</f>
        <v/>
      </c>
    </row>
    <row r="2711">
      <c r="A2711">
        <f>IF($B2711="","",IFERROR(IF(INDEX('Per Invoice'!$A$2:$A$801,MATCH($B2711,'Per Invoice'!$B$2:$B$801,0))=0,"",INDEX('Per Invoice'!$A$2:$A$801,MATCH($B2711,'Per Invoice'!$B$2:$B$801,0))),""))</f>
        <v/>
      </c>
      <c r="J2711" s="7">
        <f>IF($B2711="","",I2711*Q2711/100)</f>
        <v/>
      </c>
      <c r="N2711" s="7" t="n"/>
      <c r="O2711" s="7" t="n"/>
      <c r="P2711" s="7">
        <f>IF($B2711="","",O2711*X2711/100)</f>
        <v/>
      </c>
      <c r="Q2711" s="7">
        <f>IF($B2711="","",O2711-P2711)</f>
        <v/>
      </c>
      <c r="R2711" s="7">
        <f>IF($B2711="","",Q2711-J2711)</f>
        <v/>
      </c>
      <c r="S2711" s="7" t="n"/>
      <c r="T2711" s="7" t="n"/>
      <c r="V2711" s="14" t="n"/>
      <c r="Z2711">
        <f>IF($B2711="","",IF(COUNTIF($B$2:$B2711,$B2711)=1,1,0))</f>
        <v/>
      </c>
      <c r="AA2711">
        <f>IF($Z2711=1,SUMPRODUCT(--($AC$2:$AC$3001&lt;$AC2711))+1,"")</f>
        <v/>
      </c>
      <c r="AB2711">
        <f>IF($B2711="","",IF(OR($Y2711=TRUE(),$Y2711="TRUE"),1,IF(AND($Y2711&lt;&gt;"",OR($Y2711=FALSE(),$Y2711="FALSE")),0,IF(MIN(ABS($X2711/100-Settings!$C$6),ABS($X2711/100-Settings!$G$6))&lt;=MIN(ABS($X2711/100-Settings!$C$7),ABS($X2711/100-Settings!$G$7)),1,0))))</f>
        <v/>
      </c>
      <c r="AC2711">
        <f>IF($Z2711=1,IFERROR(IF(VALUE($B2711)&lt;100000000,VALUE($B2711),1000000000),IFERROR(IF(VALUE(MID($B2711,2,20))&lt;100000000,VALUE(MID($B2711,2,20)),1000000000),1000000000))+ROW()/100000,"")</f>
        <v/>
      </c>
    </row>
    <row r="2712">
      <c r="A2712">
        <f>IF($B2712="","",IFERROR(IF(INDEX('Per Invoice'!$A$2:$A$801,MATCH($B2712,'Per Invoice'!$B$2:$B$801,0))=0,"",INDEX('Per Invoice'!$A$2:$A$801,MATCH($B2712,'Per Invoice'!$B$2:$B$801,0))),""))</f>
        <v/>
      </c>
      <c r="J2712" s="7">
        <f>IF($B2712="","",I2712*Q2712/100)</f>
        <v/>
      </c>
      <c r="N2712" s="7" t="n"/>
      <c r="O2712" s="7" t="n"/>
      <c r="P2712" s="7">
        <f>IF($B2712="","",O2712*X2712/100)</f>
        <v/>
      </c>
      <c r="Q2712" s="7">
        <f>IF($B2712="","",O2712-P2712)</f>
        <v/>
      </c>
      <c r="R2712" s="7">
        <f>IF($B2712="","",Q2712-J2712)</f>
        <v/>
      </c>
      <c r="S2712" s="7" t="n"/>
      <c r="T2712" s="7" t="n"/>
      <c r="V2712" s="14" t="n"/>
      <c r="Z2712">
        <f>IF($B2712="","",IF(COUNTIF($B$2:$B2712,$B2712)=1,1,0))</f>
        <v/>
      </c>
      <c r="AA2712">
        <f>IF($Z2712=1,SUMPRODUCT(--($AC$2:$AC$3001&lt;$AC2712))+1,"")</f>
        <v/>
      </c>
      <c r="AB2712">
        <f>IF($B2712="","",IF(OR($Y2712=TRUE(),$Y2712="TRUE"),1,IF(AND($Y2712&lt;&gt;"",OR($Y2712=FALSE(),$Y2712="FALSE")),0,IF(MIN(ABS($X2712/100-Settings!$C$6),ABS($X2712/100-Settings!$G$6))&lt;=MIN(ABS($X2712/100-Settings!$C$7),ABS($X2712/100-Settings!$G$7)),1,0))))</f>
        <v/>
      </c>
      <c r="AC2712">
        <f>IF($Z2712=1,IFERROR(IF(VALUE($B2712)&lt;100000000,VALUE($B2712),1000000000),IFERROR(IF(VALUE(MID($B2712,2,20))&lt;100000000,VALUE(MID($B2712,2,20)),1000000000),1000000000))+ROW()/100000,"")</f>
        <v/>
      </c>
    </row>
    <row r="2713">
      <c r="A2713">
        <f>IF($B2713="","",IFERROR(IF(INDEX('Per Invoice'!$A$2:$A$801,MATCH($B2713,'Per Invoice'!$B$2:$B$801,0))=0,"",INDEX('Per Invoice'!$A$2:$A$801,MATCH($B2713,'Per Invoice'!$B$2:$B$801,0))),""))</f>
        <v/>
      </c>
      <c r="J2713" s="7">
        <f>IF($B2713="","",I2713*Q2713/100)</f>
        <v/>
      </c>
      <c r="N2713" s="7" t="n"/>
      <c r="O2713" s="7" t="n"/>
      <c r="P2713" s="7">
        <f>IF($B2713="","",O2713*X2713/100)</f>
        <v/>
      </c>
      <c r="Q2713" s="7">
        <f>IF($B2713="","",O2713-P2713)</f>
        <v/>
      </c>
      <c r="R2713" s="7">
        <f>IF($B2713="","",Q2713-J2713)</f>
        <v/>
      </c>
      <c r="S2713" s="7" t="n"/>
      <c r="T2713" s="7" t="n"/>
      <c r="V2713" s="14" t="n"/>
      <c r="Z2713">
        <f>IF($B2713="","",IF(COUNTIF($B$2:$B2713,$B2713)=1,1,0))</f>
        <v/>
      </c>
      <c r="AA2713">
        <f>IF($Z2713=1,SUMPRODUCT(--($AC$2:$AC$3001&lt;$AC2713))+1,"")</f>
        <v/>
      </c>
      <c r="AB2713">
        <f>IF($B2713="","",IF(OR($Y2713=TRUE(),$Y2713="TRUE"),1,IF(AND($Y2713&lt;&gt;"",OR($Y2713=FALSE(),$Y2713="FALSE")),0,IF(MIN(ABS($X2713/100-Settings!$C$6),ABS($X2713/100-Settings!$G$6))&lt;=MIN(ABS($X2713/100-Settings!$C$7),ABS($X2713/100-Settings!$G$7)),1,0))))</f>
        <v/>
      </c>
      <c r="AC2713">
        <f>IF($Z2713=1,IFERROR(IF(VALUE($B2713)&lt;100000000,VALUE($B2713),1000000000),IFERROR(IF(VALUE(MID($B2713,2,20))&lt;100000000,VALUE(MID($B2713,2,20)),1000000000),1000000000))+ROW()/100000,"")</f>
        <v/>
      </c>
    </row>
    <row r="2714">
      <c r="A2714">
        <f>IF($B2714="","",IFERROR(IF(INDEX('Per Invoice'!$A$2:$A$801,MATCH($B2714,'Per Invoice'!$B$2:$B$801,0))=0,"",INDEX('Per Invoice'!$A$2:$A$801,MATCH($B2714,'Per Invoice'!$B$2:$B$801,0))),""))</f>
        <v/>
      </c>
      <c r="J2714" s="7">
        <f>IF($B2714="","",I2714*Q2714/100)</f>
        <v/>
      </c>
      <c r="N2714" s="7" t="n"/>
      <c r="O2714" s="7" t="n"/>
      <c r="P2714" s="7">
        <f>IF($B2714="","",O2714*X2714/100)</f>
        <v/>
      </c>
      <c r="Q2714" s="7">
        <f>IF($B2714="","",O2714-P2714)</f>
        <v/>
      </c>
      <c r="R2714" s="7">
        <f>IF($B2714="","",Q2714-J2714)</f>
        <v/>
      </c>
      <c r="S2714" s="7" t="n"/>
      <c r="T2714" s="7" t="n"/>
      <c r="V2714" s="14" t="n"/>
      <c r="Z2714">
        <f>IF($B2714="","",IF(COUNTIF($B$2:$B2714,$B2714)=1,1,0))</f>
        <v/>
      </c>
      <c r="AA2714">
        <f>IF($Z2714=1,SUMPRODUCT(--($AC$2:$AC$3001&lt;$AC2714))+1,"")</f>
        <v/>
      </c>
      <c r="AB2714">
        <f>IF($B2714="","",IF(OR($Y2714=TRUE(),$Y2714="TRUE"),1,IF(AND($Y2714&lt;&gt;"",OR($Y2714=FALSE(),$Y2714="FALSE")),0,IF(MIN(ABS($X2714/100-Settings!$C$6),ABS($X2714/100-Settings!$G$6))&lt;=MIN(ABS($X2714/100-Settings!$C$7),ABS($X2714/100-Settings!$G$7)),1,0))))</f>
        <v/>
      </c>
      <c r="AC2714">
        <f>IF($Z2714=1,IFERROR(IF(VALUE($B2714)&lt;100000000,VALUE($B2714),1000000000),IFERROR(IF(VALUE(MID($B2714,2,20))&lt;100000000,VALUE(MID($B2714,2,20)),1000000000),1000000000))+ROW()/100000,"")</f>
        <v/>
      </c>
    </row>
    <row r="2715">
      <c r="A2715">
        <f>IF($B2715="","",IFERROR(IF(INDEX('Per Invoice'!$A$2:$A$801,MATCH($B2715,'Per Invoice'!$B$2:$B$801,0))=0,"",INDEX('Per Invoice'!$A$2:$A$801,MATCH($B2715,'Per Invoice'!$B$2:$B$801,0))),""))</f>
        <v/>
      </c>
      <c r="J2715" s="7">
        <f>IF($B2715="","",I2715*Q2715/100)</f>
        <v/>
      </c>
      <c r="N2715" s="7" t="n"/>
      <c r="O2715" s="7" t="n"/>
      <c r="P2715" s="7">
        <f>IF($B2715="","",O2715*X2715/100)</f>
        <v/>
      </c>
      <c r="Q2715" s="7">
        <f>IF($B2715="","",O2715-P2715)</f>
        <v/>
      </c>
      <c r="R2715" s="7">
        <f>IF($B2715="","",Q2715-J2715)</f>
        <v/>
      </c>
      <c r="S2715" s="7" t="n"/>
      <c r="T2715" s="7" t="n"/>
      <c r="V2715" s="14" t="n"/>
      <c r="Z2715">
        <f>IF($B2715="","",IF(COUNTIF($B$2:$B2715,$B2715)=1,1,0))</f>
        <v/>
      </c>
      <c r="AA2715">
        <f>IF($Z2715=1,SUMPRODUCT(--($AC$2:$AC$3001&lt;$AC2715))+1,"")</f>
        <v/>
      </c>
      <c r="AB2715">
        <f>IF($B2715="","",IF(OR($Y2715=TRUE(),$Y2715="TRUE"),1,IF(AND($Y2715&lt;&gt;"",OR($Y2715=FALSE(),$Y2715="FALSE")),0,IF(MIN(ABS($X2715/100-Settings!$C$6),ABS($X2715/100-Settings!$G$6))&lt;=MIN(ABS($X2715/100-Settings!$C$7),ABS($X2715/100-Settings!$G$7)),1,0))))</f>
        <v/>
      </c>
      <c r="AC2715">
        <f>IF($Z2715=1,IFERROR(IF(VALUE($B2715)&lt;100000000,VALUE($B2715),1000000000),IFERROR(IF(VALUE(MID($B2715,2,20))&lt;100000000,VALUE(MID($B2715,2,20)),1000000000),1000000000))+ROW()/100000,"")</f>
        <v/>
      </c>
    </row>
    <row r="2716">
      <c r="A2716">
        <f>IF($B2716="","",IFERROR(IF(INDEX('Per Invoice'!$A$2:$A$801,MATCH($B2716,'Per Invoice'!$B$2:$B$801,0))=0,"",INDEX('Per Invoice'!$A$2:$A$801,MATCH($B2716,'Per Invoice'!$B$2:$B$801,0))),""))</f>
        <v/>
      </c>
      <c r="J2716" s="7">
        <f>IF($B2716="","",I2716*Q2716/100)</f>
        <v/>
      </c>
      <c r="N2716" s="7" t="n"/>
      <c r="O2716" s="7" t="n"/>
      <c r="P2716" s="7">
        <f>IF($B2716="","",O2716*X2716/100)</f>
        <v/>
      </c>
      <c r="Q2716" s="7">
        <f>IF($B2716="","",O2716-P2716)</f>
        <v/>
      </c>
      <c r="R2716" s="7">
        <f>IF($B2716="","",Q2716-J2716)</f>
        <v/>
      </c>
      <c r="S2716" s="7" t="n"/>
      <c r="T2716" s="7" t="n"/>
      <c r="V2716" s="14" t="n"/>
      <c r="Z2716">
        <f>IF($B2716="","",IF(COUNTIF($B$2:$B2716,$B2716)=1,1,0))</f>
        <v/>
      </c>
      <c r="AA2716">
        <f>IF($Z2716=1,SUMPRODUCT(--($AC$2:$AC$3001&lt;$AC2716))+1,"")</f>
        <v/>
      </c>
      <c r="AB2716">
        <f>IF($B2716="","",IF(OR($Y2716=TRUE(),$Y2716="TRUE"),1,IF(AND($Y2716&lt;&gt;"",OR($Y2716=FALSE(),$Y2716="FALSE")),0,IF(MIN(ABS($X2716/100-Settings!$C$6),ABS($X2716/100-Settings!$G$6))&lt;=MIN(ABS($X2716/100-Settings!$C$7),ABS($X2716/100-Settings!$G$7)),1,0))))</f>
        <v/>
      </c>
      <c r="AC2716">
        <f>IF($Z2716=1,IFERROR(IF(VALUE($B2716)&lt;100000000,VALUE($B2716),1000000000),IFERROR(IF(VALUE(MID($B2716,2,20))&lt;100000000,VALUE(MID($B2716,2,20)),1000000000),1000000000))+ROW()/100000,"")</f>
        <v/>
      </c>
    </row>
    <row r="2717">
      <c r="A2717">
        <f>IF($B2717="","",IFERROR(IF(INDEX('Per Invoice'!$A$2:$A$801,MATCH($B2717,'Per Invoice'!$B$2:$B$801,0))=0,"",INDEX('Per Invoice'!$A$2:$A$801,MATCH($B2717,'Per Invoice'!$B$2:$B$801,0))),""))</f>
        <v/>
      </c>
      <c r="J2717" s="7">
        <f>IF($B2717="","",I2717*Q2717/100)</f>
        <v/>
      </c>
      <c r="N2717" s="7" t="n"/>
      <c r="O2717" s="7" t="n"/>
      <c r="P2717" s="7">
        <f>IF($B2717="","",O2717*X2717/100)</f>
        <v/>
      </c>
      <c r="Q2717" s="7">
        <f>IF($B2717="","",O2717-P2717)</f>
        <v/>
      </c>
      <c r="R2717" s="7">
        <f>IF($B2717="","",Q2717-J2717)</f>
        <v/>
      </c>
      <c r="S2717" s="7" t="n"/>
      <c r="T2717" s="7" t="n"/>
      <c r="V2717" s="14" t="n"/>
      <c r="Z2717">
        <f>IF($B2717="","",IF(COUNTIF($B$2:$B2717,$B2717)=1,1,0))</f>
        <v/>
      </c>
      <c r="AA2717">
        <f>IF($Z2717=1,SUMPRODUCT(--($AC$2:$AC$3001&lt;$AC2717))+1,"")</f>
        <v/>
      </c>
      <c r="AB2717">
        <f>IF($B2717="","",IF(OR($Y2717=TRUE(),$Y2717="TRUE"),1,IF(AND($Y2717&lt;&gt;"",OR($Y2717=FALSE(),$Y2717="FALSE")),0,IF(MIN(ABS($X2717/100-Settings!$C$6),ABS($X2717/100-Settings!$G$6))&lt;=MIN(ABS($X2717/100-Settings!$C$7),ABS($X2717/100-Settings!$G$7)),1,0))))</f>
        <v/>
      </c>
      <c r="AC2717">
        <f>IF($Z2717=1,IFERROR(IF(VALUE($B2717)&lt;100000000,VALUE($B2717),1000000000),IFERROR(IF(VALUE(MID($B2717,2,20))&lt;100000000,VALUE(MID($B2717,2,20)),1000000000),1000000000))+ROW()/100000,"")</f>
        <v/>
      </c>
    </row>
    <row r="2718">
      <c r="A2718">
        <f>IF($B2718="","",IFERROR(IF(INDEX('Per Invoice'!$A$2:$A$801,MATCH($B2718,'Per Invoice'!$B$2:$B$801,0))=0,"",INDEX('Per Invoice'!$A$2:$A$801,MATCH($B2718,'Per Invoice'!$B$2:$B$801,0))),""))</f>
        <v/>
      </c>
      <c r="J2718" s="7">
        <f>IF($B2718="","",I2718*Q2718/100)</f>
        <v/>
      </c>
      <c r="N2718" s="7" t="n"/>
      <c r="O2718" s="7" t="n"/>
      <c r="P2718" s="7">
        <f>IF($B2718="","",O2718*X2718/100)</f>
        <v/>
      </c>
      <c r="Q2718" s="7">
        <f>IF($B2718="","",O2718-P2718)</f>
        <v/>
      </c>
      <c r="R2718" s="7">
        <f>IF($B2718="","",Q2718-J2718)</f>
        <v/>
      </c>
      <c r="S2718" s="7" t="n"/>
      <c r="T2718" s="7" t="n"/>
      <c r="V2718" s="14" t="n"/>
      <c r="Z2718">
        <f>IF($B2718="","",IF(COUNTIF($B$2:$B2718,$B2718)=1,1,0))</f>
        <v/>
      </c>
      <c r="AA2718">
        <f>IF($Z2718=1,SUMPRODUCT(--($AC$2:$AC$3001&lt;$AC2718))+1,"")</f>
        <v/>
      </c>
      <c r="AB2718">
        <f>IF($B2718="","",IF(OR($Y2718=TRUE(),$Y2718="TRUE"),1,IF(AND($Y2718&lt;&gt;"",OR($Y2718=FALSE(),$Y2718="FALSE")),0,IF(MIN(ABS($X2718/100-Settings!$C$6),ABS($X2718/100-Settings!$G$6))&lt;=MIN(ABS($X2718/100-Settings!$C$7),ABS($X2718/100-Settings!$G$7)),1,0))))</f>
        <v/>
      </c>
      <c r="AC2718">
        <f>IF($Z2718=1,IFERROR(IF(VALUE($B2718)&lt;100000000,VALUE($B2718),1000000000),IFERROR(IF(VALUE(MID($B2718,2,20))&lt;100000000,VALUE(MID($B2718,2,20)),1000000000),1000000000))+ROW()/100000,"")</f>
        <v/>
      </c>
    </row>
    <row r="2719">
      <c r="A2719">
        <f>IF($B2719="","",IFERROR(IF(INDEX('Per Invoice'!$A$2:$A$801,MATCH($B2719,'Per Invoice'!$B$2:$B$801,0))=0,"",INDEX('Per Invoice'!$A$2:$A$801,MATCH($B2719,'Per Invoice'!$B$2:$B$801,0))),""))</f>
        <v/>
      </c>
      <c r="J2719" s="7">
        <f>IF($B2719="","",I2719*Q2719/100)</f>
        <v/>
      </c>
      <c r="N2719" s="7" t="n"/>
      <c r="O2719" s="7" t="n"/>
      <c r="P2719" s="7">
        <f>IF($B2719="","",O2719*X2719/100)</f>
        <v/>
      </c>
      <c r="Q2719" s="7">
        <f>IF($B2719="","",O2719-P2719)</f>
        <v/>
      </c>
      <c r="R2719" s="7">
        <f>IF($B2719="","",Q2719-J2719)</f>
        <v/>
      </c>
      <c r="S2719" s="7" t="n"/>
      <c r="T2719" s="7" t="n"/>
      <c r="V2719" s="14" t="n"/>
      <c r="Z2719">
        <f>IF($B2719="","",IF(COUNTIF($B$2:$B2719,$B2719)=1,1,0))</f>
        <v/>
      </c>
      <c r="AA2719">
        <f>IF($Z2719=1,SUMPRODUCT(--($AC$2:$AC$3001&lt;$AC2719))+1,"")</f>
        <v/>
      </c>
      <c r="AB2719">
        <f>IF($B2719="","",IF(OR($Y2719=TRUE(),$Y2719="TRUE"),1,IF(AND($Y2719&lt;&gt;"",OR($Y2719=FALSE(),$Y2719="FALSE")),0,IF(MIN(ABS($X2719/100-Settings!$C$6),ABS($X2719/100-Settings!$G$6))&lt;=MIN(ABS($X2719/100-Settings!$C$7),ABS($X2719/100-Settings!$G$7)),1,0))))</f>
        <v/>
      </c>
      <c r="AC2719">
        <f>IF($Z2719=1,IFERROR(IF(VALUE($B2719)&lt;100000000,VALUE($B2719),1000000000),IFERROR(IF(VALUE(MID($B2719,2,20))&lt;100000000,VALUE(MID($B2719,2,20)),1000000000),1000000000))+ROW()/100000,"")</f>
        <v/>
      </c>
    </row>
    <row r="2720">
      <c r="A2720">
        <f>IF($B2720="","",IFERROR(IF(INDEX('Per Invoice'!$A$2:$A$801,MATCH($B2720,'Per Invoice'!$B$2:$B$801,0))=0,"",INDEX('Per Invoice'!$A$2:$A$801,MATCH($B2720,'Per Invoice'!$B$2:$B$801,0))),""))</f>
        <v/>
      </c>
      <c r="J2720" s="7">
        <f>IF($B2720="","",I2720*Q2720/100)</f>
        <v/>
      </c>
      <c r="N2720" s="7" t="n"/>
      <c r="O2720" s="7" t="n"/>
      <c r="P2720" s="7">
        <f>IF($B2720="","",O2720*X2720/100)</f>
        <v/>
      </c>
      <c r="Q2720" s="7">
        <f>IF($B2720="","",O2720-P2720)</f>
        <v/>
      </c>
      <c r="R2720" s="7">
        <f>IF($B2720="","",Q2720-J2720)</f>
        <v/>
      </c>
      <c r="S2720" s="7" t="n"/>
      <c r="T2720" s="7" t="n"/>
      <c r="V2720" s="14" t="n"/>
      <c r="Z2720">
        <f>IF($B2720="","",IF(COUNTIF($B$2:$B2720,$B2720)=1,1,0))</f>
        <v/>
      </c>
      <c r="AA2720">
        <f>IF($Z2720=1,SUMPRODUCT(--($AC$2:$AC$3001&lt;$AC2720))+1,"")</f>
        <v/>
      </c>
      <c r="AB2720">
        <f>IF($B2720="","",IF(OR($Y2720=TRUE(),$Y2720="TRUE"),1,IF(AND($Y2720&lt;&gt;"",OR($Y2720=FALSE(),$Y2720="FALSE")),0,IF(MIN(ABS($X2720/100-Settings!$C$6),ABS($X2720/100-Settings!$G$6))&lt;=MIN(ABS($X2720/100-Settings!$C$7),ABS($X2720/100-Settings!$G$7)),1,0))))</f>
        <v/>
      </c>
      <c r="AC2720">
        <f>IF($Z2720=1,IFERROR(IF(VALUE($B2720)&lt;100000000,VALUE($B2720),1000000000),IFERROR(IF(VALUE(MID($B2720,2,20))&lt;100000000,VALUE(MID($B2720,2,20)),1000000000),1000000000))+ROW()/100000,"")</f>
        <v/>
      </c>
    </row>
    <row r="2721">
      <c r="A2721">
        <f>IF($B2721="","",IFERROR(IF(INDEX('Per Invoice'!$A$2:$A$801,MATCH($B2721,'Per Invoice'!$B$2:$B$801,0))=0,"",INDEX('Per Invoice'!$A$2:$A$801,MATCH($B2721,'Per Invoice'!$B$2:$B$801,0))),""))</f>
        <v/>
      </c>
      <c r="J2721" s="7">
        <f>IF($B2721="","",I2721*Q2721/100)</f>
        <v/>
      </c>
      <c r="N2721" s="7" t="n"/>
      <c r="O2721" s="7" t="n"/>
      <c r="P2721" s="7">
        <f>IF($B2721="","",O2721*X2721/100)</f>
        <v/>
      </c>
      <c r="Q2721" s="7">
        <f>IF($B2721="","",O2721-P2721)</f>
        <v/>
      </c>
      <c r="R2721" s="7">
        <f>IF($B2721="","",Q2721-J2721)</f>
        <v/>
      </c>
      <c r="S2721" s="7" t="n"/>
      <c r="T2721" s="7" t="n"/>
      <c r="V2721" s="14" t="n"/>
      <c r="Z2721">
        <f>IF($B2721="","",IF(COUNTIF($B$2:$B2721,$B2721)=1,1,0))</f>
        <v/>
      </c>
      <c r="AA2721">
        <f>IF($Z2721=1,SUMPRODUCT(--($AC$2:$AC$3001&lt;$AC2721))+1,"")</f>
        <v/>
      </c>
      <c r="AB2721">
        <f>IF($B2721="","",IF(OR($Y2721=TRUE(),$Y2721="TRUE"),1,IF(AND($Y2721&lt;&gt;"",OR($Y2721=FALSE(),$Y2721="FALSE")),0,IF(MIN(ABS($X2721/100-Settings!$C$6),ABS($X2721/100-Settings!$G$6))&lt;=MIN(ABS($X2721/100-Settings!$C$7),ABS($X2721/100-Settings!$G$7)),1,0))))</f>
        <v/>
      </c>
      <c r="AC2721">
        <f>IF($Z2721=1,IFERROR(IF(VALUE($B2721)&lt;100000000,VALUE($B2721),1000000000),IFERROR(IF(VALUE(MID($B2721,2,20))&lt;100000000,VALUE(MID($B2721,2,20)),1000000000),1000000000))+ROW()/100000,"")</f>
        <v/>
      </c>
    </row>
    <row r="2722">
      <c r="A2722">
        <f>IF($B2722="","",IFERROR(IF(INDEX('Per Invoice'!$A$2:$A$801,MATCH($B2722,'Per Invoice'!$B$2:$B$801,0))=0,"",INDEX('Per Invoice'!$A$2:$A$801,MATCH($B2722,'Per Invoice'!$B$2:$B$801,0))),""))</f>
        <v/>
      </c>
      <c r="J2722" s="7">
        <f>IF($B2722="","",I2722*Q2722/100)</f>
        <v/>
      </c>
      <c r="N2722" s="7" t="n"/>
      <c r="O2722" s="7" t="n"/>
      <c r="P2722" s="7">
        <f>IF($B2722="","",O2722*X2722/100)</f>
        <v/>
      </c>
      <c r="Q2722" s="7">
        <f>IF($B2722="","",O2722-P2722)</f>
        <v/>
      </c>
      <c r="R2722" s="7">
        <f>IF($B2722="","",Q2722-J2722)</f>
        <v/>
      </c>
      <c r="S2722" s="7" t="n"/>
      <c r="T2722" s="7" t="n"/>
      <c r="V2722" s="14" t="n"/>
      <c r="Z2722">
        <f>IF($B2722="","",IF(COUNTIF($B$2:$B2722,$B2722)=1,1,0))</f>
        <v/>
      </c>
      <c r="AA2722">
        <f>IF($Z2722=1,SUMPRODUCT(--($AC$2:$AC$3001&lt;$AC2722))+1,"")</f>
        <v/>
      </c>
      <c r="AB2722">
        <f>IF($B2722="","",IF(OR($Y2722=TRUE(),$Y2722="TRUE"),1,IF(AND($Y2722&lt;&gt;"",OR($Y2722=FALSE(),$Y2722="FALSE")),0,IF(MIN(ABS($X2722/100-Settings!$C$6),ABS($X2722/100-Settings!$G$6))&lt;=MIN(ABS($X2722/100-Settings!$C$7),ABS($X2722/100-Settings!$G$7)),1,0))))</f>
        <v/>
      </c>
      <c r="AC2722">
        <f>IF($Z2722=1,IFERROR(IF(VALUE($B2722)&lt;100000000,VALUE($B2722),1000000000),IFERROR(IF(VALUE(MID($B2722,2,20))&lt;100000000,VALUE(MID($B2722,2,20)),1000000000),1000000000))+ROW()/100000,"")</f>
        <v/>
      </c>
    </row>
    <row r="2723">
      <c r="A2723">
        <f>IF($B2723="","",IFERROR(IF(INDEX('Per Invoice'!$A$2:$A$801,MATCH($B2723,'Per Invoice'!$B$2:$B$801,0))=0,"",INDEX('Per Invoice'!$A$2:$A$801,MATCH($B2723,'Per Invoice'!$B$2:$B$801,0))),""))</f>
        <v/>
      </c>
      <c r="J2723" s="7">
        <f>IF($B2723="","",I2723*Q2723/100)</f>
        <v/>
      </c>
      <c r="N2723" s="7" t="n"/>
      <c r="O2723" s="7" t="n"/>
      <c r="P2723" s="7">
        <f>IF($B2723="","",O2723*X2723/100)</f>
        <v/>
      </c>
      <c r="Q2723" s="7">
        <f>IF($B2723="","",O2723-P2723)</f>
        <v/>
      </c>
      <c r="R2723" s="7">
        <f>IF($B2723="","",Q2723-J2723)</f>
        <v/>
      </c>
      <c r="S2723" s="7" t="n"/>
      <c r="T2723" s="7" t="n"/>
      <c r="V2723" s="14" t="n"/>
      <c r="Z2723">
        <f>IF($B2723="","",IF(COUNTIF($B$2:$B2723,$B2723)=1,1,0))</f>
        <v/>
      </c>
      <c r="AA2723">
        <f>IF($Z2723=1,SUMPRODUCT(--($AC$2:$AC$3001&lt;$AC2723))+1,"")</f>
        <v/>
      </c>
      <c r="AB2723">
        <f>IF($B2723="","",IF(OR($Y2723=TRUE(),$Y2723="TRUE"),1,IF(AND($Y2723&lt;&gt;"",OR($Y2723=FALSE(),$Y2723="FALSE")),0,IF(MIN(ABS($X2723/100-Settings!$C$6),ABS($X2723/100-Settings!$G$6))&lt;=MIN(ABS($X2723/100-Settings!$C$7),ABS($X2723/100-Settings!$G$7)),1,0))))</f>
        <v/>
      </c>
      <c r="AC2723">
        <f>IF($Z2723=1,IFERROR(IF(VALUE($B2723)&lt;100000000,VALUE($B2723),1000000000),IFERROR(IF(VALUE(MID($B2723,2,20))&lt;100000000,VALUE(MID($B2723,2,20)),1000000000),1000000000))+ROW()/100000,"")</f>
        <v/>
      </c>
    </row>
    <row r="2724">
      <c r="A2724">
        <f>IF($B2724="","",IFERROR(IF(INDEX('Per Invoice'!$A$2:$A$801,MATCH($B2724,'Per Invoice'!$B$2:$B$801,0))=0,"",INDEX('Per Invoice'!$A$2:$A$801,MATCH($B2724,'Per Invoice'!$B$2:$B$801,0))),""))</f>
        <v/>
      </c>
      <c r="J2724" s="7">
        <f>IF($B2724="","",I2724*Q2724/100)</f>
        <v/>
      </c>
      <c r="N2724" s="7" t="n"/>
      <c r="O2724" s="7" t="n"/>
      <c r="P2724" s="7">
        <f>IF($B2724="","",O2724*X2724/100)</f>
        <v/>
      </c>
      <c r="Q2724" s="7">
        <f>IF($B2724="","",O2724-P2724)</f>
        <v/>
      </c>
      <c r="R2724" s="7">
        <f>IF($B2724="","",Q2724-J2724)</f>
        <v/>
      </c>
      <c r="S2724" s="7" t="n"/>
      <c r="T2724" s="7" t="n"/>
      <c r="V2724" s="14" t="n"/>
      <c r="Z2724">
        <f>IF($B2724="","",IF(COUNTIF($B$2:$B2724,$B2724)=1,1,0))</f>
        <v/>
      </c>
      <c r="AA2724">
        <f>IF($Z2724=1,SUMPRODUCT(--($AC$2:$AC$3001&lt;$AC2724))+1,"")</f>
        <v/>
      </c>
      <c r="AB2724">
        <f>IF($B2724="","",IF(OR($Y2724=TRUE(),$Y2724="TRUE"),1,IF(AND($Y2724&lt;&gt;"",OR($Y2724=FALSE(),$Y2724="FALSE")),0,IF(MIN(ABS($X2724/100-Settings!$C$6),ABS($X2724/100-Settings!$G$6))&lt;=MIN(ABS($X2724/100-Settings!$C$7),ABS($X2724/100-Settings!$G$7)),1,0))))</f>
        <v/>
      </c>
      <c r="AC2724">
        <f>IF($Z2724=1,IFERROR(IF(VALUE($B2724)&lt;100000000,VALUE($B2724),1000000000),IFERROR(IF(VALUE(MID($B2724,2,20))&lt;100000000,VALUE(MID($B2724,2,20)),1000000000),1000000000))+ROW()/100000,"")</f>
        <v/>
      </c>
    </row>
    <row r="2725">
      <c r="A2725">
        <f>IF($B2725="","",IFERROR(IF(INDEX('Per Invoice'!$A$2:$A$801,MATCH($B2725,'Per Invoice'!$B$2:$B$801,0))=0,"",INDEX('Per Invoice'!$A$2:$A$801,MATCH($B2725,'Per Invoice'!$B$2:$B$801,0))),""))</f>
        <v/>
      </c>
      <c r="J2725" s="7">
        <f>IF($B2725="","",I2725*Q2725/100)</f>
        <v/>
      </c>
      <c r="N2725" s="7" t="n"/>
      <c r="O2725" s="7" t="n"/>
      <c r="P2725" s="7">
        <f>IF($B2725="","",O2725*X2725/100)</f>
        <v/>
      </c>
      <c r="Q2725" s="7">
        <f>IF($B2725="","",O2725-P2725)</f>
        <v/>
      </c>
      <c r="R2725" s="7">
        <f>IF($B2725="","",Q2725-J2725)</f>
        <v/>
      </c>
      <c r="S2725" s="7" t="n"/>
      <c r="T2725" s="7" t="n"/>
      <c r="V2725" s="14" t="n"/>
      <c r="Z2725">
        <f>IF($B2725="","",IF(COUNTIF($B$2:$B2725,$B2725)=1,1,0))</f>
        <v/>
      </c>
      <c r="AA2725">
        <f>IF($Z2725=1,SUMPRODUCT(--($AC$2:$AC$3001&lt;$AC2725))+1,"")</f>
        <v/>
      </c>
      <c r="AB2725">
        <f>IF($B2725="","",IF(OR($Y2725=TRUE(),$Y2725="TRUE"),1,IF(AND($Y2725&lt;&gt;"",OR($Y2725=FALSE(),$Y2725="FALSE")),0,IF(MIN(ABS($X2725/100-Settings!$C$6),ABS($X2725/100-Settings!$G$6))&lt;=MIN(ABS($X2725/100-Settings!$C$7),ABS($X2725/100-Settings!$G$7)),1,0))))</f>
        <v/>
      </c>
      <c r="AC2725">
        <f>IF($Z2725=1,IFERROR(IF(VALUE($B2725)&lt;100000000,VALUE($B2725),1000000000),IFERROR(IF(VALUE(MID($B2725,2,20))&lt;100000000,VALUE(MID($B2725,2,20)),1000000000),1000000000))+ROW()/100000,"")</f>
        <v/>
      </c>
    </row>
    <row r="2726">
      <c r="A2726">
        <f>IF($B2726="","",IFERROR(IF(INDEX('Per Invoice'!$A$2:$A$801,MATCH($B2726,'Per Invoice'!$B$2:$B$801,0))=0,"",INDEX('Per Invoice'!$A$2:$A$801,MATCH($B2726,'Per Invoice'!$B$2:$B$801,0))),""))</f>
        <v/>
      </c>
      <c r="J2726" s="7">
        <f>IF($B2726="","",I2726*Q2726/100)</f>
        <v/>
      </c>
      <c r="N2726" s="7" t="n"/>
      <c r="O2726" s="7" t="n"/>
      <c r="P2726" s="7">
        <f>IF($B2726="","",O2726*X2726/100)</f>
        <v/>
      </c>
      <c r="Q2726" s="7">
        <f>IF($B2726="","",O2726-P2726)</f>
        <v/>
      </c>
      <c r="R2726" s="7">
        <f>IF($B2726="","",Q2726-J2726)</f>
        <v/>
      </c>
      <c r="S2726" s="7" t="n"/>
      <c r="T2726" s="7" t="n"/>
      <c r="V2726" s="14" t="n"/>
      <c r="Z2726">
        <f>IF($B2726="","",IF(COUNTIF($B$2:$B2726,$B2726)=1,1,0))</f>
        <v/>
      </c>
      <c r="AA2726">
        <f>IF($Z2726=1,SUMPRODUCT(--($AC$2:$AC$3001&lt;$AC2726))+1,"")</f>
        <v/>
      </c>
      <c r="AB2726">
        <f>IF($B2726="","",IF(OR($Y2726=TRUE(),$Y2726="TRUE"),1,IF(AND($Y2726&lt;&gt;"",OR($Y2726=FALSE(),$Y2726="FALSE")),0,IF(MIN(ABS($X2726/100-Settings!$C$6),ABS($X2726/100-Settings!$G$6))&lt;=MIN(ABS($X2726/100-Settings!$C$7),ABS($X2726/100-Settings!$G$7)),1,0))))</f>
        <v/>
      </c>
      <c r="AC2726">
        <f>IF($Z2726=1,IFERROR(IF(VALUE($B2726)&lt;100000000,VALUE($B2726),1000000000),IFERROR(IF(VALUE(MID($B2726,2,20))&lt;100000000,VALUE(MID($B2726,2,20)),1000000000),1000000000))+ROW()/100000,"")</f>
        <v/>
      </c>
    </row>
    <row r="2727">
      <c r="A2727">
        <f>IF($B2727="","",IFERROR(IF(INDEX('Per Invoice'!$A$2:$A$801,MATCH($B2727,'Per Invoice'!$B$2:$B$801,0))=0,"",INDEX('Per Invoice'!$A$2:$A$801,MATCH($B2727,'Per Invoice'!$B$2:$B$801,0))),""))</f>
        <v/>
      </c>
      <c r="J2727" s="7">
        <f>IF($B2727="","",I2727*Q2727/100)</f>
        <v/>
      </c>
      <c r="N2727" s="7" t="n"/>
      <c r="O2727" s="7" t="n"/>
      <c r="P2727" s="7">
        <f>IF($B2727="","",O2727*X2727/100)</f>
        <v/>
      </c>
      <c r="Q2727" s="7">
        <f>IF($B2727="","",O2727-P2727)</f>
        <v/>
      </c>
      <c r="R2727" s="7">
        <f>IF($B2727="","",Q2727-J2727)</f>
        <v/>
      </c>
      <c r="S2727" s="7" t="n"/>
      <c r="T2727" s="7" t="n"/>
      <c r="V2727" s="14" t="n"/>
      <c r="Z2727">
        <f>IF($B2727="","",IF(COUNTIF($B$2:$B2727,$B2727)=1,1,0))</f>
        <v/>
      </c>
      <c r="AA2727">
        <f>IF($Z2727=1,SUMPRODUCT(--($AC$2:$AC$3001&lt;$AC2727))+1,"")</f>
        <v/>
      </c>
      <c r="AB2727">
        <f>IF($B2727="","",IF(OR($Y2727=TRUE(),$Y2727="TRUE"),1,IF(AND($Y2727&lt;&gt;"",OR($Y2727=FALSE(),$Y2727="FALSE")),0,IF(MIN(ABS($X2727/100-Settings!$C$6),ABS($X2727/100-Settings!$G$6))&lt;=MIN(ABS($X2727/100-Settings!$C$7),ABS($X2727/100-Settings!$G$7)),1,0))))</f>
        <v/>
      </c>
      <c r="AC2727">
        <f>IF($Z2727=1,IFERROR(IF(VALUE($B2727)&lt;100000000,VALUE($B2727),1000000000),IFERROR(IF(VALUE(MID($B2727,2,20))&lt;100000000,VALUE(MID($B2727,2,20)),1000000000),1000000000))+ROW()/100000,"")</f>
        <v/>
      </c>
    </row>
    <row r="2728">
      <c r="A2728">
        <f>IF($B2728="","",IFERROR(IF(INDEX('Per Invoice'!$A$2:$A$801,MATCH($B2728,'Per Invoice'!$B$2:$B$801,0))=0,"",INDEX('Per Invoice'!$A$2:$A$801,MATCH($B2728,'Per Invoice'!$B$2:$B$801,0))),""))</f>
        <v/>
      </c>
      <c r="J2728" s="7">
        <f>IF($B2728="","",I2728*Q2728/100)</f>
        <v/>
      </c>
      <c r="N2728" s="7" t="n"/>
      <c r="O2728" s="7" t="n"/>
      <c r="P2728" s="7">
        <f>IF($B2728="","",O2728*X2728/100)</f>
        <v/>
      </c>
      <c r="Q2728" s="7">
        <f>IF($B2728="","",O2728-P2728)</f>
        <v/>
      </c>
      <c r="R2728" s="7">
        <f>IF($B2728="","",Q2728-J2728)</f>
        <v/>
      </c>
      <c r="S2728" s="7" t="n"/>
      <c r="T2728" s="7" t="n"/>
      <c r="V2728" s="14" t="n"/>
      <c r="Z2728">
        <f>IF($B2728="","",IF(COUNTIF($B$2:$B2728,$B2728)=1,1,0))</f>
        <v/>
      </c>
      <c r="AA2728">
        <f>IF($Z2728=1,SUMPRODUCT(--($AC$2:$AC$3001&lt;$AC2728))+1,"")</f>
        <v/>
      </c>
      <c r="AB2728">
        <f>IF($B2728="","",IF(OR($Y2728=TRUE(),$Y2728="TRUE"),1,IF(AND($Y2728&lt;&gt;"",OR($Y2728=FALSE(),$Y2728="FALSE")),0,IF(MIN(ABS($X2728/100-Settings!$C$6),ABS($X2728/100-Settings!$G$6))&lt;=MIN(ABS($X2728/100-Settings!$C$7),ABS($X2728/100-Settings!$G$7)),1,0))))</f>
        <v/>
      </c>
      <c r="AC2728">
        <f>IF($Z2728=1,IFERROR(IF(VALUE($B2728)&lt;100000000,VALUE($B2728),1000000000),IFERROR(IF(VALUE(MID($B2728,2,20))&lt;100000000,VALUE(MID($B2728,2,20)),1000000000),1000000000))+ROW()/100000,"")</f>
        <v/>
      </c>
    </row>
    <row r="2729">
      <c r="A2729">
        <f>IF($B2729="","",IFERROR(IF(INDEX('Per Invoice'!$A$2:$A$801,MATCH($B2729,'Per Invoice'!$B$2:$B$801,0))=0,"",INDEX('Per Invoice'!$A$2:$A$801,MATCH($B2729,'Per Invoice'!$B$2:$B$801,0))),""))</f>
        <v/>
      </c>
      <c r="J2729" s="7">
        <f>IF($B2729="","",I2729*Q2729/100)</f>
        <v/>
      </c>
      <c r="N2729" s="7" t="n"/>
      <c r="O2729" s="7" t="n"/>
      <c r="P2729" s="7">
        <f>IF($B2729="","",O2729*X2729/100)</f>
        <v/>
      </c>
      <c r="Q2729" s="7">
        <f>IF($B2729="","",O2729-P2729)</f>
        <v/>
      </c>
      <c r="R2729" s="7">
        <f>IF($B2729="","",Q2729-J2729)</f>
        <v/>
      </c>
      <c r="S2729" s="7" t="n"/>
      <c r="T2729" s="7" t="n"/>
      <c r="V2729" s="14" t="n"/>
      <c r="Z2729">
        <f>IF($B2729="","",IF(COUNTIF($B$2:$B2729,$B2729)=1,1,0))</f>
        <v/>
      </c>
      <c r="AA2729">
        <f>IF($Z2729=1,SUMPRODUCT(--($AC$2:$AC$3001&lt;$AC2729))+1,"")</f>
        <v/>
      </c>
      <c r="AB2729">
        <f>IF($B2729="","",IF(OR($Y2729=TRUE(),$Y2729="TRUE"),1,IF(AND($Y2729&lt;&gt;"",OR($Y2729=FALSE(),$Y2729="FALSE")),0,IF(MIN(ABS($X2729/100-Settings!$C$6),ABS($X2729/100-Settings!$G$6))&lt;=MIN(ABS($X2729/100-Settings!$C$7),ABS($X2729/100-Settings!$G$7)),1,0))))</f>
        <v/>
      </c>
      <c r="AC2729">
        <f>IF($Z2729=1,IFERROR(IF(VALUE($B2729)&lt;100000000,VALUE($B2729),1000000000),IFERROR(IF(VALUE(MID($B2729,2,20))&lt;100000000,VALUE(MID($B2729,2,20)),1000000000),1000000000))+ROW()/100000,"")</f>
        <v/>
      </c>
    </row>
    <row r="2730">
      <c r="A2730">
        <f>IF($B2730="","",IFERROR(IF(INDEX('Per Invoice'!$A$2:$A$801,MATCH($B2730,'Per Invoice'!$B$2:$B$801,0))=0,"",INDEX('Per Invoice'!$A$2:$A$801,MATCH($B2730,'Per Invoice'!$B$2:$B$801,0))),""))</f>
        <v/>
      </c>
      <c r="J2730" s="7">
        <f>IF($B2730="","",I2730*Q2730/100)</f>
        <v/>
      </c>
      <c r="N2730" s="7" t="n"/>
      <c r="O2730" s="7" t="n"/>
      <c r="P2730" s="7">
        <f>IF($B2730="","",O2730*X2730/100)</f>
        <v/>
      </c>
      <c r="Q2730" s="7">
        <f>IF($B2730="","",O2730-P2730)</f>
        <v/>
      </c>
      <c r="R2730" s="7">
        <f>IF($B2730="","",Q2730-J2730)</f>
        <v/>
      </c>
      <c r="S2730" s="7" t="n"/>
      <c r="T2730" s="7" t="n"/>
      <c r="V2730" s="14" t="n"/>
      <c r="Z2730">
        <f>IF($B2730="","",IF(COUNTIF($B$2:$B2730,$B2730)=1,1,0))</f>
        <v/>
      </c>
      <c r="AA2730">
        <f>IF($Z2730=1,SUMPRODUCT(--($AC$2:$AC$3001&lt;$AC2730))+1,"")</f>
        <v/>
      </c>
      <c r="AB2730">
        <f>IF($B2730="","",IF(OR($Y2730=TRUE(),$Y2730="TRUE"),1,IF(AND($Y2730&lt;&gt;"",OR($Y2730=FALSE(),$Y2730="FALSE")),0,IF(MIN(ABS($X2730/100-Settings!$C$6),ABS($X2730/100-Settings!$G$6))&lt;=MIN(ABS($X2730/100-Settings!$C$7),ABS($X2730/100-Settings!$G$7)),1,0))))</f>
        <v/>
      </c>
      <c r="AC2730">
        <f>IF($Z2730=1,IFERROR(IF(VALUE($B2730)&lt;100000000,VALUE($B2730),1000000000),IFERROR(IF(VALUE(MID($B2730,2,20))&lt;100000000,VALUE(MID($B2730,2,20)),1000000000),1000000000))+ROW()/100000,"")</f>
        <v/>
      </c>
    </row>
    <row r="2731">
      <c r="A2731">
        <f>IF($B2731="","",IFERROR(IF(INDEX('Per Invoice'!$A$2:$A$801,MATCH($B2731,'Per Invoice'!$B$2:$B$801,0))=0,"",INDEX('Per Invoice'!$A$2:$A$801,MATCH($B2731,'Per Invoice'!$B$2:$B$801,0))),""))</f>
        <v/>
      </c>
      <c r="J2731" s="7">
        <f>IF($B2731="","",I2731*Q2731/100)</f>
        <v/>
      </c>
      <c r="N2731" s="7" t="n"/>
      <c r="O2731" s="7" t="n"/>
      <c r="P2731" s="7">
        <f>IF($B2731="","",O2731*X2731/100)</f>
        <v/>
      </c>
      <c r="Q2731" s="7">
        <f>IF($B2731="","",O2731-P2731)</f>
        <v/>
      </c>
      <c r="R2731" s="7">
        <f>IF($B2731="","",Q2731-J2731)</f>
        <v/>
      </c>
      <c r="S2731" s="7" t="n"/>
      <c r="T2731" s="7" t="n"/>
      <c r="V2731" s="14" t="n"/>
      <c r="Z2731">
        <f>IF($B2731="","",IF(COUNTIF($B$2:$B2731,$B2731)=1,1,0))</f>
        <v/>
      </c>
      <c r="AA2731">
        <f>IF($Z2731=1,SUMPRODUCT(--($AC$2:$AC$3001&lt;$AC2731))+1,"")</f>
        <v/>
      </c>
      <c r="AB2731">
        <f>IF($B2731="","",IF(OR($Y2731=TRUE(),$Y2731="TRUE"),1,IF(AND($Y2731&lt;&gt;"",OR($Y2731=FALSE(),$Y2731="FALSE")),0,IF(MIN(ABS($X2731/100-Settings!$C$6),ABS($X2731/100-Settings!$G$6))&lt;=MIN(ABS($X2731/100-Settings!$C$7),ABS($X2731/100-Settings!$G$7)),1,0))))</f>
        <v/>
      </c>
      <c r="AC2731">
        <f>IF($Z2731=1,IFERROR(IF(VALUE($B2731)&lt;100000000,VALUE($B2731),1000000000),IFERROR(IF(VALUE(MID($B2731,2,20))&lt;100000000,VALUE(MID($B2731,2,20)),1000000000),1000000000))+ROW()/100000,"")</f>
        <v/>
      </c>
    </row>
    <row r="2732">
      <c r="A2732">
        <f>IF($B2732="","",IFERROR(IF(INDEX('Per Invoice'!$A$2:$A$801,MATCH($B2732,'Per Invoice'!$B$2:$B$801,0))=0,"",INDEX('Per Invoice'!$A$2:$A$801,MATCH($B2732,'Per Invoice'!$B$2:$B$801,0))),""))</f>
        <v/>
      </c>
      <c r="J2732" s="7">
        <f>IF($B2732="","",I2732*Q2732/100)</f>
        <v/>
      </c>
      <c r="N2732" s="7" t="n"/>
      <c r="O2732" s="7" t="n"/>
      <c r="P2732" s="7">
        <f>IF($B2732="","",O2732*X2732/100)</f>
        <v/>
      </c>
      <c r="Q2732" s="7">
        <f>IF($B2732="","",O2732-P2732)</f>
        <v/>
      </c>
      <c r="R2732" s="7">
        <f>IF($B2732="","",Q2732-J2732)</f>
        <v/>
      </c>
      <c r="S2732" s="7" t="n"/>
      <c r="T2732" s="7" t="n"/>
      <c r="V2732" s="14" t="n"/>
      <c r="Z2732">
        <f>IF($B2732="","",IF(COUNTIF($B$2:$B2732,$B2732)=1,1,0))</f>
        <v/>
      </c>
      <c r="AA2732">
        <f>IF($Z2732=1,SUMPRODUCT(--($AC$2:$AC$3001&lt;$AC2732))+1,"")</f>
        <v/>
      </c>
      <c r="AB2732">
        <f>IF($B2732="","",IF(OR($Y2732=TRUE(),$Y2732="TRUE"),1,IF(AND($Y2732&lt;&gt;"",OR($Y2732=FALSE(),$Y2732="FALSE")),0,IF(MIN(ABS($X2732/100-Settings!$C$6),ABS($X2732/100-Settings!$G$6))&lt;=MIN(ABS($X2732/100-Settings!$C$7),ABS($X2732/100-Settings!$G$7)),1,0))))</f>
        <v/>
      </c>
      <c r="AC2732">
        <f>IF($Z2732=1,IFERROR(IF(VALUE($B2732)&lt;100000000,VALUE($B2732),1000000000),IFERROR(IF(VALUE(MID($B2732,2,20))&lt;100000000,VALUE(MID($B2732,2,20)),1000000000),1000000000))+ROW()/100000,"")</f>
        <v/>
      </c>
    </row>
    <row r="2733">
      <c r="A2733">
        <f>IF($B2733="","",IFERROR(IF(INDEX('Per Invoice'!$A$2:$A$801,MATCH($B2733,'Per Invoice'!$B$2:$B$801,0))=0,"",INDEX('Per Invoice'!$A$2:$A$801,MATCH($B2733,'Per Invoice'!$B$2:$B$801,0))),""))</f>
        <v/>
      </c>
      <c r="J2733" s="7">
        <f>IF($B2733="","",I2733*Q2733/100)</f>
        <v/>
      </c>
      <c r="N2733" s="7" t="n"/>
      <c r="O2733" s="7" t="n"/>
      <c r="P2733" s="7">
        <f>IF($B2733="","",O2733*X2733/100)</f>
        <v/>
      </c>
      <c r="Q2733" s="7">
        <f>IF($B2733="","",O2733-P2733)</f>
        <v/>
      </c>
      <c r="R2733" s="7">
        <f>IF($B2733="","",Q2733-J2733)</f>
        <v/>
      </c>
      <c r="S2733" s="7" t="n"/>
      <c r="T2733" s="7" t="n"/>
      <c r="V2733" s="14" t="n"/>
      <c r="Z2733">
        <f>IF($B2733="","",IF(COUNTIF($B$2:$B2733,$B2733)=1,1,0))</f>
        <v/>
      </c>
      <c r="AA2733">
        <f>IF($Z2733=1,SUMPRODUCT(--($AC$2:$AC$3001&lt;$AC2733))+1,"")</f>
        <v/>
      </c>
      <c r="AB2733">
        <f>IF($B2733="","",IF(OR($Y2733=TRUE(),$Y2733="TRUE"),1,IF(AND($Y2733&lt;&gt;"",OR($Y2733=FALSE(),$Y2733="FALSE")),0,IF(MIN(ABS($X2733/100-Settings!$C$6),ABS($X2733/100-Settings!$G$6))&lt;=MIN(ABS($X2733/100-Settings!$C$7),ABS($X2733/100-Settings!$G$7)),1,0))))</f>
        <v/>
      </c>
      <c r="AC2733">
        <f>IF($Z2733=1,IFERROR(IF(VALUE($B2733)&lt;100000000,VALUE($B2733),1000000000),IFERROR(IF(VALUE(MID($B2733,2,20))&lt;100000000,VALUE(MID($B2733,2,20)),1000000000),1000000000))+ROW()/100000,"")</f>
        <v/>
      </c>
    </row>
    <row r="2734">
      <c r="A2734">
        <f>IF($B2734="","",IFERROR(IF(INDEX('Per Invoice'!$A$2:$A$801,MATCH($B2734,'Per Invoice'!$B$2:$B$801,0))=0,"",INDEX('Per Invoice'!$A$2:$A$801,MATCH($B2734,'Per Invoice'!$B$2:$B$801,0))),""))</f>
        <v/>
      </c>
      <c r="J2734" s="7">
        <f>IF($B2734="","",I2734*Q2734/100)</f>
        <v/>
      </c>
      <c r="N2734" s="7" t="n"/>
      <c r="O2734" s="7" t="n"/>
      <c r="P2734" s="7">
        <f>IF($B2734="","",O2734*X2734/100)</f>
        <v/>
      </c>
      <c r="Q2734" s="7">
        <f>IF($B2734="","",O2734-P2734)</f>
        <v/>
      </c>
      <c r="R2734" s="7">
        <f>IF($B2734="","",Q2734-J2734)</f>
        <v/>
      </c>
      <c r="S2734" s="7" t="n"/>
      <c r="T2734" s="7" t="n"/>
      <c r="V2734" s="14" t="n"/>
      <c r="Z2734">
        <f>IF($B2734="","",IF(COUNTIF($B$2:$B2734,$B2734)=1,1,0))</f>
        <v/>
      </c>
      <c r="AA2734">
        <f>IF($Z2734=1,SUMPRODUCT(--($AC$2:$AC$3001&lt;$AC2734))+1,"")</f>
        <v/>
      </c>
      <c r="AB2734">
        <f>IF($B2734="","",IF(OR($Y2734=TRUE(),$Y2734="TRUE"),1,IF(AND($Y2734&lt;&gt;"",OR($Y2734=FALSE(),$Y2734="FALSE")),0,IF(MIN(ABS($X2734/100-Settings!$C$6),ABS($X2734/100-Settings!$G$6))&lt;=MIN(ABS($X2734/100-Settings!$C$7),ABS($X2734/100-Settings!$G$7)),1,0))))</f>
        <v/>
      </c>
      <c r="AC2734">
        <f>IF($Z2734=1,IFERROR(IF(VALUE($B2734)&lt;100000000,VALUE($B2734),1000000000),IFERROR(IF(VALUE(MID($B2734,2,20))&lt;100000000,VALUE(MID($B2734,2,20)),1000000000),1000000000))+ROW()/100000,"")</f>
        <v/>
      </c>
    </row>
    <row r="2735">
      <c r="A2735">
        <f>IF($B2735="","",IFERROR(IF(INDEX('Per Invoice'!$A$2:$A$801,MATCH($B2735,'Per Invoice'!$B$2:$B$801,0))=0,"",INDEX('Per Invoice'!$A$2:$A$801,MATCH($B2735,'Per Invoice'!$B$2:$B$801,0))),""))</f>
        <v/>
      </c>
      <c r="J2735" s="7">
        <f>IF($B2735="","",I2735*Q2735/100)</f>
        <v/>
      </c>
      <c r="N2735" s="7" t="n"/>
      <c r="O2735" s="7" t="n"/>
      <c r="P2735" s="7">
        <f>IF($B2735="","",O2735*X2735/100)</f>
        <v/>
      </c>
      <c r="Q2735" s="7">
        <f>IF($B2735="","",O2735-P2735)</f>
        <v/>
      </c>
      <c r="R2735" s="7">
        <f>IF($B2735="","",Q2735-J2735)</f>
        <v/>
      </c>
      <c r="S2735" s="7" t="n"/>
      <c r="T2735" s="7" t="n"/>
      <c r="V2735" s="14" t="n"/>
      <c r="Z2735">
        <f>IF($B2735="","",IF(COUNTIF($B$2:$B2735,$B2735)=1,1,0))</f>
        <v/>
      </c>
      <c r="AA2735">
        <f>IF($Z2735=1,SUMPRODUCT(--($AC$2:$AC$3001&lt;$AC2735))+1,"")</f>
        <v/>
      </c>
      <c r="AB2735">
        <f>IF($B2735="","",IF(OR($Y2735=TRUE(),$Y2735="TRUE"),1,IF(AND($Y2735&lt;&gt;"",OR($Y2735=FALSE(),$Y2735="FALSE")),0,IF(MIN(ABS($X2735/100-Settings!$C$6),ABS($X2735/100-Settings!$G$6))&lt;=MIN(ABS($X2735/100-Settings!$C$7),ABS($X2735/100-Settings!$G$7)),1,0))))</f>
        <v/>
      </c>
      <c r="AC2735">
        <f>IF($Z2735=1,IFERROR(IF(VALUE($B2735)&lt;100000000,VALUE($B2735),1000000000),IFERROR(IF(VALUE(MID($B2735,2,20))&lt;100000000,VALUE(MID($B2735,2,20)),1000000000),1000000000))+ROW()/100000,"")</f>
        <v/>
      </c>
    </row>
    <row r="2736">
      <c r="A2736">
        <f>IF($B2736="","",IFERROR(IF(INDEX('Per Invoice'!$A$2:$A$801,MATCH($B2736,'Per Invoice'!$B$2:$B$801,0))=0,"",INDEX('Per Invoice'!$A$2:$A$801,MATCH($B2736,'Per Invoice'!$B$2:$B$801,0))),""))</f>
        <v/>
      </c>
      <c r="J2736" s="7">
        <f>IF($B2736="","",I2736*Q2736/100)</f>
        <v/>
      </c>
      <c r="N2736" s="7" t="n"/>
      <c r="O2736" s="7" t="n"/>
      <c r="P2736" s="7">
        <f>IF($B2736="","",O2736*X2736/100)</f>
        <v/>
      </c>
      <c r="Q2736" s="7">
        <f>IF($B2736="","",O2736-P2736)</f>
        <v/>
      </c>
      <c r="R2736" s="7">
        <f>IF($B2736="","",Q2736-J2736)</f>
        <v/>
      </c>
      <c r="S2736" s="7" t="n"/>
      <c r="T2736" s="7" t="n"/>
      <c r="V2736" s="14" t="n"/>
      <c r="Z2736">
        <f>IF($B2736="","",IF(COUNTIF($B$2:$B2736,$B2736)=1,1,0))</f>
        <v/>
      </c>
      <c r="AA2736">
        <f>IF($Z2736=1,SUMPRODUCT(--($AC$2:$AC$3001&lt;$AC2736))+1,"")</f>
        <v/>
      </c>
      <c r="AB2736">
        <f>IF($B2736="","",IF(OR($Y2736=TRUE(),$Y2736="TRUE"),1,IF(AND($Y2736&lt;&gt;"",OR($Y2736=FALSE(),$Y2736="FALSE")),0,IF(MIN(ABS($X2736/100-Settings!$C$6),ABS($X2736/100-Settings!$G$6))&lt;=MIN(ABS($X2736/100-Settings!$C$7),ABS($X2736/100-Settings!$G$7)),1,0))))</f>
        <v/>
      </c>
      <c r="AC2736">
        <f>IF($Z2736=1,IFERROR(IF(VALUE($B2736)&lt;100000000,VALUE($B2736),1000000000),IFERROR(IF(VALUE(MID($B2736,2,20))&lt;100000000,VALUE(MID($B2736,2,20)),1000000000),1000000000))+ROW()/100000,"")</f>
        <v/>
      </c>
    </row>
    <row r="2737">
      <c r="A2737">
        <f>IF($B2737="","",IFERROR(IF(INDEX('Per Invoice'!$A$2:$A$801,MATCH($B2737,'Per Invoice'!$B$2:$B$801,0))=0,"",INDEX('Per Invoice'!$A$2:$A$801,MATCH($B2737,'Per Invoice'!$B$2:$B$801,0))),""))</f>
        <v/>
      </c>
      <c r="J2737" s="7">
        <f>IF($B2737="","",I2737*Q2737/100)</f>
        <v/>
      </c>
      <c r="N2737" s="7" t="n"/>
      <c r="O2737" s="7" t="n"/>
      <c r="P2737" s="7">
        <f>IF($B2737="","",O2737*X2737/100)</f>
        <v/>
      </c>
      <c r="Q2737" s="7">
        <f>IF($B2737="","",O2737-P2737)</f>
        <v/>
      </c>
      <c r="R2737" s="7">
        <f>IF($B2737="","",Q2737-J2737)</f>
        <v/>
      </c>
      <c r="S2737" s="7" t="n"/>
      <c r="T2737" s="7" t="n"/>
      <c r="V2737" s="14" t="n"/>
      <c r="Z2737">
        <f>IF($B2737="","",IF(COUNTIF($B$2:$B2737,$B2737)=1,1,0))</f>
        <v/>
      </c>
      <c r="AA2737">
        <f>IF($Z2737=1,SUMPRODUCT(--($AC$2:$AC$3001&lt;$AC2737))+1,"")</f>
        <v/>
      </c>
      <c r="AB2737">
        <f>IF($B2737="","",IF(OR($Y2737=TRUE(),$Y2737="TRUE"),1,IF(AND($Y2737&lt;&gt;"",OR($Y2737=FALSE(),$Y2737="FALSE")),0,IF(MIN(ABS($X2737/100-Settings!$C$6),ABS($X2737/100-Settings!$G$6))&lt;=MIN(ABS($X2737/100-Settings!$C$7),ABS($X2737/100-Settings!$G$7)),1,0))))</f>
        <v/>
      </c>
      <c r="AC2737">
        <f>IF($Z2737=1,IFERROR(IF(VALUE($B2737)&lt;100000000,VALUE($B2737),1000000000),IFERROR(IF(VALUE(MID($B2737,2,20))&lt;100000000,VALUE(MID($B2737,2,20)),1000000000),1000000000))+ROW()/100000,"")</f>
        <v/>
      </c>
    </row>
    <row r="2738">
      <c r="A2738">
        <f>IF($B2738="","",IFERROR(IF(INDEX('Per Invoice'!$A$2:$A$801,MATCH($B2738,'Per Invoice'!$B$2:$B$801,0))=0,"",INDEX('Per Invoice'!$A$2:$A$801,MATCH($B2738,'Per Invoice'!$B$2:$B$801,0))),""))</f>
        <v/>
      </c>
      <c r="J2738" s="7">
        <f>IF($B2738="","",I2738*Q2738/100)</f>
        <v/>
      </c>
      <c r="N2738" s="7" t="n"/>
      <c r="O2738" s="7" t="n"/>
      <c r="P2738" s="7">
        <f>IF($B2738="","",O2738*X2738/100)</f>
        <v/>
      </c>
      <c r="Q2738" s="7">
        <f>IF($B2738="","",O2738-P2738)</f>
        <v/>
      </c>
      <c r="R2738" s="7">
        <f>IF($B2738="","",Q2738-J2738)</f>
        <v/>
      </c>
      <c r="S2738" s="7" t="n"/>
      <c r="T2738" s="7" t="n"/>
      <c r="V2738" s="14" t="n"/>
      <c r="Z2738">
        <f>IF($B2738="","",IF(COUNTIF($B$2:$B2738,$B2738)=1,1,0))</f>
        <v/>
      </c>
      <c r="AA2738">
        <f>IF($Z2738=1,SUMPRODUCT(--($AC$2:$AC$3001&lt;$AC2738))+1,"")</f>
        <v/>
      </c>
      <c r="AB2738">
        <f>IF($B2738="","",IF(OR($Y2738=TRUE(),$Y2738="TRUE"),1,IF(AND($Y2738&lt;&gt;"",OR($Y2738=FALSE(),$Y2738="FALSE")),0,IF(MIN(ABS($X2738/100-Settings!$C$6),ABS($X2738/100-Settings!$G$6))&lt;=MIN(ABS($X2738/100-Settings!$C$7),ABS($X2738/100-Settings!$G$7)),1,0))))</f>
        <v/>
      </c>
      <c r="AC2738">
        <f>IF($Z2738=1,IFERROR(IF(VALUE($B2738)&lt;100000000,VALUE($B2738),1000000000),IFERROR(IF(VALUE(MID($B2738,2,20))&lt;100000000,VALUE(MID($B2738,2,20)),1000000000),1000000000))+ROW()/100000,"")</f>
        <v/>
      </c>
    </row>
    <row r="2739">
      <c r="A2739">
        <f>IF($B2739="","",IFERROR(IF(INDEX('Per Invoice'!$A$2:$A$801,MATCH($B2739,'Per Invoice'!$B$2:$B$801,0))=0,"",INDEX('Per Invoice'!$A$2:$A$801,MATCH($B2739,'Per Invoice'!$B$2:$B$801,0))),""))</f>
        <v/>
      </c>
      <c r="J2739" s="7">
        <f>IF($B2739="","",I2739*Q2739/100)</f>
        <v/>
      </c>
      <c r="N2739" s="7" t="n"/>
      <c r="O2739" s="7" t="n"/>
      <c r="P2739" s="7">
        <f>IF($B2739="","",O2739*X2739/100)</f>
        <v/>
      </c>
      <c r="Q2739" s="7">
        <f>IF($B2739="","",O2739-P2739)</f>
        <v/>
      </c>
      <c r="R2739" s="7">
        <f>IF($B2739="","",Q2739-J2739)</f>
        <v/>
      </c>
      <c r="S2739" s="7" t="n"/>
      <c r="T2739" s="7" t="n"/>
      <c r="V2739" s="14" t="n"/>
      <c r="Z2739">
        <f>IF($B2739="","",IF(COUNTIF($B$2:$B2739,$B2739)=1,1,0))</f>
        <v/>
      </c>
      <c r="AA2739">
        <f>IF($Z2739=1,SUMPRODUCT(--($AC$2:$AC$3001&lt;$AC2739))+1,"")</f>
        <v/>
      </c>
      <c r="AB2739">
        <f>IF($B2739="","",IF(OR($Y2739=TRUE(),$Y2739="TRUE"),1,IF(AND($Y2739&lt;&gt;"",OR($Y2739=FALSE(),$Y2739="FALSE")),0,IF(MIN(ABS($X2739/100-Settings!$C$6),ABS($X2739/100-Settings!$G$6))&lt;=MIN(ABS($X2739/100-Settings!$C$7),ABS($X2739/100-Settings!$G$7)),1,0))))</f>
        <v/>
      </c>
      <c r="AC2739">
        <f>IF($Z2739=1,IFERROR(IF(VALUE($B2739)&lt;100000000,VALUE($B2739),1000000000),IFERROR(IF(VALUE(MID($B2739,2,20))&lt;100000000,VALUE(MID($B2739,2,20)),1000000000),1000000000))+ROW()/100000,"")</f>
        <v/>
      </c>
    </row>
    <row r="2740">
      <c r="A2740">
        <f>IF($B2740="","",IFERROR(IF(INDEX('Per Invoice'!$A$2:$A$801,MATCH($B2740,'Per Invoice'!$B$2:$B$801,0))=0,"",INDEX('Per Invoice'!$A$2:$A$801,MATCH($B2740,'Per Invoice'!$B$2:$B$801,0))),""))</f>
        <v/>
      </c>
      <c r="J2740" s="7">
        <f>IF($B2740="","",I2740*Q2740/100)</f>
        <v/>
      </c>
      <c r="N2740" s="7" t="n"/>
      <c r="O2740" s="7" t="n"/>
      <c r="P2740" s="7">
        <f>IF($B2740="","",O2740*X2740/100)</f>
        <v/>
      </c>
      <c r="Q2740" s="7">
        <f>IF($B2740="","",O2740-P2740)</f>
        <v/>
      </c>
      <c r="R2740" s="7">
        <f>IF($B2740="","",Q2740-J2740)</f>
        <v/>
      </c>
      <c r="S2740" s="7" t="n"/>
      <c r="T2740" s="7" t="n"/>
      <c r="V2740" s="14" t="n"/>
      <c r="Z2740">
        <f>IF($B2740="","",IF(COUNTIF($B$2:$B2740,$B2740)=1,1,0))</f>
        <v/>
      </c>
      <c r="AA2740">
        <f>IF($Z2740=1,SUMPRODUCT(--($AC$2:$AC$3001&lt;$AC2740))+1,"")</f>
        <v/>
      </c>
      <c r="AB2740">
        <f>IF($B2740="","",IF(OR($Y2740=TRUE(),$Y2740="TRUE"),1,IF(AND($Y2740&lt;&gt;"",OR($Y2740=FALSE(),$Y2740="FALSE")),0,IF(MIN(ABS($X2740/100-Settings!$C$6),ABS($X2740/100-Settings!$G$6))&lt;=MIN(ABS($X2740/100-Settings!$C$7),ABS($X2740/100-Settings!$G$7)),1,0))))</f>
        <v/>
      </c>
      <c r="AC2740">
        <f>IF($Z2740=1,IFERROR(IF(VALUE($B2740)&lt;100000000,VALUE($B2740),1000000000),IFERROR(IF(VALUE(MID($B2740,2,20))&lt;100000000,VALUE(MID($B2740,2,20)),1000000000),1000000000))+ROW()/100000,"")</f>
        <v/>
      </c>
    </row>
    <row r="2741">
      <c r="A2741">
        <f>IF($B2741="","",IFERROR(IF(INDEX('Per Invoice'!$A$2:$A$801,MATCH($B2741,'Per Invoice'!$B$2:$B$801,0))=0,"",INDEX('Per Invoice'!$A$2:$A$801,MATCH($B2741,'Per Invoice'!$B$2:$B$801,0))),""))</f>
        <v/>
      </c>
      <c r="J2741" s="7">
        <f>IF($B2741="","",I2741*Q2741/100)</f>
        <v/>
      </c>
      <c r="N2741" s="7" t="n"/>
      <c r="O2741" s="7" t="n"/>
      <c r="P2741" s="7">
        <f>IF($B2741="","",O2741*X2741/100)</f>
        <v/>
      </c>
      <c r="Q2741" s="7">
        <f>IF($B2741="","",O2741-P2741)</f>
        <v/>
      </c>
      <c r="R2741" s="7">
        <f>IF($B2741="","",Q2741-J2741)</f>
        <v/>
      </c>
      <c r="S2741" s="7" t="n"/>
      <c r="T2741" s="7" t="n"/>
      <c r="V2741" s="14" t="n"/>
      <c r="Z2741">
        <f>IF($B2741="","",IF(COUNTIF($B$2:$B2741,$B2741)=1,1,0))</f>
        <v/>
      </c>
      <c r="AA2741">
        <f>IF($Z2741=1,SUMPRODUCT(--($AC$2:$AC$3001&lt;$AC2741))+1,"")</f>
        <v/>
      </c>
      <c r="AB2741">
        <f>IF($B2741="","",IF(OR($Y2741=TRUE(),$Y2741="TRUE"),1,IF(AND($Y2741&lt;&gt;"",OR($Y2741=FALSE(),$Y2741="FALSE")),0,IF(MIN(ABS($X2741/100-Settings!$C$6),ABS($X2741/100-Settings!$G$6))&lt;=MIN(ABS($X2741/100-Settings!$C$7),ABS($X2741/100-Settings!$G$7)),1,0))))</f>
        <v/>
      </c>
      <c r="AC2741">
        <f>IF($Z2741=1,IFERROR(IF(VALUE($B2741)&lt;100000000,VALUE($B2741),1000000000),IFERROR(IF(VALUE(MID($B2741,2,20))&lt;100000000,VALUE(MID($B2741,2,20)),1000000000),1000000000))+ROW()/100000,"")</f>
        <v/>
      </c>
    </row>
    <row r="2742">
      <c r="A2742">
        <f>IF($B2742="","",IFERROR(IF(INDEX('Per Invoice'!$A$2:$A$801,MATCH($B2742,'Per Invoice'!$B$2:$B$801,0))=0,"",INDEX('Per Invoice'!$A$2:$A$801,MATCH($B2742,'Per Invoice'!$B$2:$B$801,0))),""))</f>
        <v/>
      </c>
      <c r="J2742" s="7">
        <f>IF($B2742="","",I2742*Q2742/100)</f>
        <v/>
      </c>
      <c r="N2742" s="7" t="n"/>
      <c r="O2742" s="7" t="n"/>
      <c r="P2742" s="7">
        <f>IF($B2742="","",O2742*X2742/100)</f>
        <v/>
      </c>
      <c r="Q2742" s="7">
        <f>IF($B2742="","",O2742-P2742)</f>
        <v/>
      </c>
      <c r="R2742" s="7">
        <f>IF($B2742="","",Q2742-J2742)</f>
        <v/>
      </c>
      <c r="S2742" s="7" t="n"/>
      <c r="T2742" s="7" t="n"/>
      <c r="V2742" s="14" t="n"/>
      <c r="Z2742">
        <f>IF($B2742="","",IF(COUNTIF($B$2:$B2742,$B2742)=1,1,0))</f>
        <v/>
      </c>
      <c r="AA2742">
        <f>IF($Z2742=1,SUMPRODUCT(--($AC$2:$AC$3001&lt;$AC2742))+1,"")</f>
        <v/>
      </c>
      <c r="AB2742">
        <f>IF($B2742="","",IF(OR($Y2742=TRUE(),$Y2742="TRUE"),1,IF(AND($Y2742&lt;&gt;"",OR($Y2742=FALSE(),$Y2742="FALSE")),0,IF(MIN(ABS($X2742/100-Settings!$C$6),ABS($X2742/100-Settings!$G$6))&lt;=MIN(ABS($X2742/100-Settings!$C$7),ABS($X2742/100-Settings!$G$7)),1,0))))</f>
        <v/>
      </c>
      <c r="AC2742">
        <f>IF($Z2742=1,IFERROR(IF(VALUE($B2742)&lt;100000000,VALUE($B2742),1000000000),IFERROR(IF(VALUE(MID($B2742,2,20))&lt;100000000,VALUE(MID($B2742,2,20)),1000000000),1000000000))+ROW()/100000,"")</f>
        <v/>
      </c>
    </row>
    <row r="2743">
      <c r="A2743">
        <f>IF($B2743="","",IFERROR(IF(INDEX('Per Invoice'!$A$2:$A$801,MATCH($B2743,'Per Invoice'!$B$2:$B$801,0))=0,"",INDEX('Per Invoice'!$A$2:$A$801,MATCH($B2743,'Per Invoice'!$B$2:$B$801,0))),""))</f>
        <v/>
      </c>
      <c r="J2743" s="7">
        <f>IF($B2743="","",I2743*Q2743/100)</f>
        <v/>
      </c>
      <c r="N2743" s="7" t="n"/>
      <c r="O2743" s="7" t="n"/>
      <c r="P2743" s="7">
        <f>IF($B2743="","",O2743*X2743/100)</f>
        <v/>
      </c>
      <c r="Q2743" s="7">
        <f>IF($B2743="","",O2743-P2743)</f>
        <v/>
      </c>
      <c r="R2743" s="7">
        <f>IF($B2743="","",Q2743-J2743)</f>
        <v/>
      </c>
      <c r="S2743" s="7" t="n"/>
      <c r="T2743" s="7" t="n"/>
      <c r="V2743" s="14" t="n"/>
      <c r="Z2743">
        <f>IF($B2743="","",IF(COUNTIF($B$2:$B2743,$B2743)=1,1,0))</f>
        <v/>
      </c>
      <c r="AA2743">
        <f>IF($Z2743=1,SUMPRODUCT(--($AC$2:$AC$3001&lt;$AC2743))+1,"")</f>
        <v/>
      </c>
      <c r="AB2743">
        <f>IF($B2743="","",IF(OR($Y2743=TRUE(),$Y2743="TRUE"),1,IF(AND($Y2743&lt;&gt;"",OR($Y2743=FALSE(),$Y2743="FALSE")),0,IF(MIN(ABS($X2743/100-Settings!$C$6),ABS($X2743/100-Settings!$G$6))&lt;=MIN(ABS($X2743/100-Settings!$C$7),ABS($X2743/100-Settings!$G$7)),1,0))))</f>
        <v/>
      </c>
      <c r="AC2743">
        <f>IF($Z2743=1,IFERROR(IF(VALUE($B2743)&lt;100000000,VALUE($B2743),1000000000),IFERROR(IF(VALUE(MID($B2743,2,20))&lt;100000000,VALUE(MID($B2743,2,20)),1000000000),1000000000))+ROW()/100000,"")</f>
        <v/>
      </c>
    </row>
    <row r="2744">
      <c r="A2744">
        <f>IF($B2744="","",IFERROR(IF(INDEX('Per Invoice'!$A$2:$A$801,MATCH($B2744,'Per Invoice'!$B$2:$B$801,0))=0,"",INDEX('Per Invoice'!$A$2:$A$801,MATCH($B2744,'Per Invoice'!$B$2:$B$801,0))),""))</f>
        <v/>
      </c>
      <c r="J2744" s="7">
        <f>IF($B2744="","",I2744*Q2744/100)</f>
        <v/>
      </c>
      <c r="N2744" s="7" t="n"/>
      <c r="O2744" s="7" t="n"/>
      <c r="P2744" s="7">
        <f>IF($B2744="","",O2744*X2744/100)</f>
        <v/>
      </c>
      <c r="Q2744" s="7">
        <f>IF($B2744="","",O2744-P2744)</f>
        <v/>
      </c>
      <c r="R2744" s="7">
        <f>IF($B2744="","",Q2744-J2744)</f>
        <v/>
      </c>
      <c r="S2744" s="7" t="n"/>
      <c r="T2744" s="7" t="n"/>
      <c r="V2744" s="14" t="n"/>
      <c r="Z2744">
        <f>IF($B2744="","",IF(COUNTIF($B$2:$B2744,$B2744)=1,1,0))</f>
        <v/>
      </c>
      <c r="AA2744">
        <f>IF($Z2744=1,SUMPRODUCT(--($AC$2:$AC$3001&lt;$AC2744))+1,"")</f>
        <v/>
      </c>
      <c r="AB2744">
        <f>IF($B2744="","",IF(OR($Y2744=TRUE(),$Y2744="TRUE"),1,IF(AND($Y2744&lt;&gt;"",OR($Y2744=FALSE(),$Y2744="FALSE")),0,IF(MIN(ABS($X2744/100-Settings!$C$6),ABS($X2744/100-Settings!$G$6))&lt;=MIN(ABS($X2744/100-Settings!$C$7),ABS($X2744/100-Settings!$G$7)),1,0))))</f>
        <v/>
      </c>
      <c r="AC2744">
        <f>IF($Z2744=1,IFERROR(IF(VALUE($B2744)&lt;100000000,VALUE($B2744),1000000000),IFERROR(IF(VALUE(MID($B2744,2,20))&lt;100000000,VALUE(MID($B2744,2,20)),1000000000),1000000000))+ROW()/100000,"")</f>
        <v/>
      </c>
    </row>
    <row r="2745">
      <c r="A2745">
        <f>IF($B2745="","",IFERROR(IF(INDEX('Per Invoice'!$A$2:$A$801,MATCH($B2745,'Per Invoice'!$B$2:$B$801,0))=0,"",INDEX('Per Invoice'!$A$2:$A$801,MATCH($B2745,'Per Invoice'!$B$2:$B$801,0))),""))</f>
        <v/>
      </c>
      <c r="J2745" s="7">
        <f>IF($B2745="","",I2745*Q2745/100)</f>
        <v/>
      </c>
      <c r="N2745" s="7" t="n"/>
      <c r="O2745" s="7" t="n"/>
      <c r="P2745" s="7">
        <f>IF($B2745="","",O2745*X2745/100)</f>
        <v/>
      </c>
      <c r="Q2745" s="7">
        <f>IF($B2745="","",O2745-P2745)</f>
        <v/>
      </c>
      <c r="R2745" s="7">
        <f>IF($B2745="","",Q2745-J2745)</f>
        <v/>
      </c>
      <c r="S2745" s="7" t="n"/>
      <c r="T2745" s="7" t="n"/>
      <c r="V2745" s="14" t="n"/>
      <c r="Z2745">
        <f>IF($B2745="","",IF(COUNTIF($B$2:$B2745,$B2745)=1,1,0))</f>
        <v/>
      </c>
      <c r="AA2745">
        <f>IF($Z2745=1,SUMPRODUCT(--($AC$2:$AC$3001&lt;$AC2745))+1,"")</f>
        <v/>
      </c>
      <c r="AB2745">
        <f>IF($B2745="","",IF(OR($Y2745=TRUE(),$Y2745="TRUE"),1,IF(AND($Y2745&lt;&gt;"",OR($Y2745=FALSE(),$Y2745="FALSE")),0,IF(MIN(ABS($X2745/100-Settings!$C$6),ABS($X2745/100-Settings!$G$6))&lt;=MIN(ABS($X2745/100-Settings!$C$7),ABS($X2745/100-Settings!$G$7)),1,0))))</f>
        <v/>
      </c>
      <c r="AC2745">
        <f>IF($Z2745=1,IFERROR(IF(VALUE($B2745)&lt;100000000,VALUE($B2745),1000000000),IFERROR(IF(VALUE(MID($B2745,2,20))&lt;100000000,VALUE(MID($B2745,2,20)),1000000000),1000000000))+ROW()/100000,"")</f>
        <v/>
      </c>
    </row>
    <row r="2746">
      <c r="A2746">
        <f>IF($B2746="","",IFERROR(IF(INDEX('Per Invoice'!$A$2:$A$801,MATCH($B2746,'Per Invoice'!$B$2:$B$801,0))=0,"",INDEX('Per Invoice'!$A$2:$A$801,MATCH($B2746,'Per Invoice'!$B$2:$B$801,0))),""))</f>
        <v/>
      </c>
      <c r="J2746" s="7">
        <f>IF($B2746="","",I2746*Q2746/100)</f>
        <v/>
      </c>
      <c r="N2746" s="7" t="n"/>
      <c r="O2746" s="7" t="n"/>
      <c r="P2746" s="7">
        <f>IF($B2746="","",O2746*X2746/100)</f>
        <v/>
      </c>
      <c r="Q2746" s="7">
        <f>IF($B2746="","",O2746-P2746)</f>
        <v/>
      </c>
      <c r="R2746" s="7">
        <f>IF($B2746="","",Q2746-J2746)</f>
        <v/>
      </c>
      <c r="S2746" s="7" t="n"/>
      <c r="T2746" s="7" t="n"/>
      <c r="V2746" s="14" t="n"/>
      <c r="Z2746">
        <f>IF($B2746="","",IF(COUNTIF($B$2:$B2746,$B2746)=1,1,0))</f>
        <v/>
      </c>
      <c r="AA2746">
        <f>IF($Z2746=1,SUMPRODUCT(--($AC$2:$AC$3001&lt;$AC2746))+1,"")</f>
        <v/>
      </c>
      <c r="AB2746">
        <f>IF($B2746="","",IF(OR($Y2746=TRUE(),$Y2746="TRUE"),1,IF(AND($Y2746&lt;&gt;"",OR($Y2746=FALSE(),$Y2746="FALSE")),0,IF(MIN(ABS($X2746/100-Settings!$C$6),ABS($X2746/100-Settings!$G$6))&lt;=MIN(ABS($X2746/100-Settings!$C$7),ABS($X2746/100-Settings!$G$7)),1,0))))</f>
        <v/>
      </c>
      <c r="AC2746">
        <f>IF($Z2746=1,IFERROR(IF(VALUE($B2746)&lt;100000000,VALUE($B2746),1000000000),IFERROR(IF(VALUE(MID($B2746,2,20))&lt;100000000,VALUE(MID($B2746,2,20)),1000000000),1000000000))+ROW()/100000,"")</f>
        <v/>
      </c>
    </row>
    <row r="2747">
      <c r="A2747">
        <f>IF($B2747="","",IFERROR(IF(INDEX('Per Invoice'!$A$2:$A$801,MATCH($B2747,'Per Invoice'!$B$2:$B$801,0))=0,"",INDEX('Per Invoice'!$A$2:$A$801,MATCH($B2747,'Per Invoice'!$B$2:$B$801,0))),""))</f>
        <v/>
      </c>
      <c r="J2747" s="7">
        <f>IF($B2747="","",I2747*Q2747/100)</f>
        <v/>
      </c>
      <c r="N2747" s="7" t="n"/>
      <c r="O2747" s="7" t="n"/>
      <c r="P2747" s="7">
        <f>IF($B2747="","",O2747*X2747/100)</f>
        <v/>
      </c>
      <c r="Q2747" s="7">
        <f>IF($B2747="","",O2747-P2747)</f>
        <v/>
      </c>
      <c r="R2747" s="7">
        <f>IF($B2747="","",Q2747-J2747)</f>
        <v/>
      </c>
      <c r="S2747" s="7" t="n"/>
      <c r="T2747" s="7" t="n"/>
      <c r="V2747" s="14" t="n"/>
      <c r="Z2747">
        <f>IF($B2747="","",IF(COUNTIF($B$2:$B2747,$B2747)=1,1,0))</f>
        <v/>
      </c>
      <c r="AA2747">
        <f>IF($Z2747=1,SUMPRODUCT(--($AC$2:$AC$3001&lt;$AC2747))+1,"")</f>
        <v/>
      </c>
      <c r="AB2747">
        <f>IF($B2747="","",IF(OR($Y2747=TRUE(),$Y2747="TRUE"),1,IF(AND($Y2747&lt;&gt;"",OR($Y2747=FALSE(),$Y2747="FALSE")),0,IF(MIN(ABS($X2747/100-Settings!$C$6),ABS($X2747/100-Settings!$G$6))&lt;=MIN(ABS($X2747/100-Settings!$C$7),ABS($X2747/100-Settings!$G$7)),1,0))))</f>
        <v/>
      </c>
      <c r="AC2747">
        <f>IF($Z2747=1,IFERROR(IF(VALUE($B2747)&lt;100000000,VALUE($B2747),1000000000),IFERROR(IF(VALUE(MID($B2747,2,20))&lt;100000000,VALUE(MID($B2747,2,20)),1000000000),1000000000))+ROW()/100000,"")</f>
        <v/>
      </c>
    </row>
    <row r="2748">
      <c r="A2748">
        <f>IF($B2748="","",IFERROR(IF(INDEX('Per Invoice'!$A$2:$A$801,MATCH($B2748,'Per Invoice'!$B$2:$B$801,0))=0,"",INDEX('Per Invoice'!$A$2:$A$801,MATCH($B2748,'Per Invoice'!$B$2:$B$801,0))),""))</f>
        <v/>
      </c>
      <c r="J2748" s="7">
        <f>IF($B2748="","",I2748*Q2748/100)</f>
        <v/>
      </c>
      <c r="N2748" s="7" t="n"/>
      <c r="O2748" s="7" t="n"/>
      <c r="P2748" s="7">
        <f>IF($B2748="","",O2748*X2748/100)</f>
        <v/>
      </c>
      <c r="Q2748" s="7">
        <f>IF($B2748="","",O2748-P2748)</f>
        <v/>
      </c>
      <c r="R2748" s="7">
        <f>IF($B2748="","",Q2748-J2748)</f>
        <v/>
      </c>
      <c r="S2748" s="7" t="n"/>
      <c r="T2748" s="7" t="n"/>
      <c r="V2748" s="14" t="n"/>
      <c r="Z2748">
        <f>IF($B2748="","",IF(COUNTIF($B$2:$B2748,$B2748)=1,1,0))</f>
        <v/>
      </c>
      <c r="AA2748">
        <f>IF($Z2748=1,SUMPRODUCT(--($AC$2:$AC$3001&lt;$AC2748))+1,"")</f>
        <v/>
      </c>
      <c r="AB2748">
        <f>IF($B2748="","",IF(OR($Y2748=TRUE(),$Y2748="TRUE"),1,IF(AND($Y2748&lt;&gt;"",OR($Y2748=FALSE(),$Y2748="FALSE")),0,IF(MIN(ABS($X2748/100-Settings!$C$6),ABS($X2748/100-Settings!$G$6))&lt;=MIN(ABS($X2748/100-Settings!$C$7),ABS($X2748/100-Settings!$G$7)),1,0))))</f>
        <v/>
      </c>
      <c r="AC2748">
        <f>IF($Z2748=1,IFERROR(IF(VALUE($B2748)&lt;100000000,VALUE($B2748),1000000000),IFERROR(IF(VALUE(MID($B2748,2,20))&lt;100000000,VALUE(MID($B2748,2,20)),1000000000),1000000000))+ROW()/100000,"")</f>
        <v/>
      </c>
    </row>
    <row r="2749">
      <c r="A2749">
        <f>IF($B2749="","",IFERROR(IF(INDEX('Per Invoice'!$A$2:$A$801,MATCH($B2749,'Per Invoice'!$B$2:$B$801,0))=0,"",INDEX('Per Invoice'!$A$2:$A$801,MATCH($B2749,'Per Invoice'!$B$2:$B$801,0))),""))</f>
        <v/>
      </c>
      <c r="J2749" s="7">
        <f>IF($B2749="","",I2749*Q2749/100)</f>
        <v/>
      </c>
      <c r="N2749" s="7" t="n"/>
      <c r="O2749" s="7" t="n"/>
      <c r="P2749" s="7">
        <f>IF($B2749="","",O2749*X2749/100)</f>
        <v/>
      </c>
      <c r="Q2749" s="7">
        <f>IF($B2749="","",O2749-P2749)</f>
        <v/>
      </c>
      <c r="R2749" s="7">
        <f>IF($B2749="","",Q2749-J2749)</f>
        <v/>
      </c>
      <c r="S2749" s="7" t="n"/>
      <c r="T2749" s="7" t="n"/>
      <c r="V2749" s="14" t="n"/>
      <c r="Z2749">
        <f>IF($B2749="","",IF(COUNTIF($B$2:$B2749,$B2749)=1,1,0))</f>
        <v/>
      </c>
      <c r="AA2749">
        <f>IF($Z2749=1,SUMPRODUCT(--($AC$2:$AC$3001&lt;$AC2749))+1,"")</f>
        <v/>
      </c>
      <c r="AB2749">
        <f>IF($B2749="","",IF(OR($Y2749=TRUE(),$Y2749="TRUE"),1,IF(AND($Y2749&lt;&gt;"",OR($Y2749=FALSE(),$Y2749="FALSE")),0,IF(MIN(ABS($X2749/100-Settings!$C$6),ABS($X2749/100-Settings!$G$6))&lt;=MIN(ABS($X2749/100-Settings!$C$7),ABS($X2749/100-Settings!$G$7)),1,0))))</f>
        <v/>
      </c>
      <c r="AC2749">
        <f>IF($Z2749=1,IFERROR(IF(VALUE($B2749)&lt;100000000,VALUE($B2749),1000000000),IFERROR(IF(VALUE(MID($B2749,2,20))&lt;100000000,VALUE(MID($B2749,2,20)),1000000000),1000000000))+ROW()/100000,"")</f>
        <v/>
      </c>
    </row>
    <row r="2750">
      <c r="A2750">
        <f>IF($B2750="","",IFERROR(IF(INDEX('Per Invoice'!$A$2:$A$801,MATCH($B2750,'Per Invoice'!$B$2:$B$801,0))=0,"",INDEX('Per Invoice'!$A$2:$A$801,MATCH($B2750,'Per Invoice'!$B$2:$B$801,0))),""))</f>
        <v/>
      </c>
      <c r="J2750" s="7">
        <f>IF($B2750="","",I2750*Q2750/100)</f>
        <v/>
      </c>
      <c r="N2750" s="7" t="n"/>
      <c r="O2750" s="7" t="n"/>
      <c r="P2750" s="7">
        <f>IF($B2750="","",O2750*X2750/100)</f>
        <v/>
      </c>
      <c r="Q2750" s="7">
        <f>IF($B2750="","",O2750-P2750)</f>
        <v/>
      </c>
      <c r="R2750" s="7">
        <f>IF($B2750="","",Q2750-J2750)</f>
        <v/>
      </c>
      <c r="S2750" s="7" t="n"/>
      <c r="T2750" s="7" t="n"/>
      <c r="V2750" s="14" t="n"/>
      <c r="Z2750">
        <f>IF($B2750="","",IF(COUNTIF($B$2:$B2750,$B2750)=1,1,0))</f>
        <v/>
      </c>
      <c r="AA2750">
        <f>IF($Z2750=1,SUMPRODUCT(--($AC$2:$AC$3001&lt;$AC2750))+1,"")</f>
        <v/>
      </c>
      <c r="AB2750">
        <f>IF($B2750="","",IF(OR($Y2750=TRUE(),$Y2750="TRUE"),1,IF(AND($Y2750&lt;&gt;"",OR($Y2750=FALSE(),$Y2750="FALSE")),0,IF(MIN(ABS($X2750/100-Settings!$C$6),ABS($X2750/100-Settings!$G$6))&lt;=MIN(ABS($X2750/100-Settings!$C$7),ABS($X2750/100-Settings!$G$7)),1,0))))</f>
        <v/>
      </c>
      <c r="AC2750">
        <f>IF($Z2750=1,IFERROR(IF(VALUE($B2750)&lt;100000000,VALUE($B2750),1000000000),IFERROR(IF(VALUE(MID($B2750,2,20))&lt;100000000,VALUE(MID($B2750,2,20)),1000000000),1000000000))+ROW()/100000,"")</f>
        <v/>
      </c>
    </row>
    <row r="2751">
      <c r="A2751">
        <f>IF($B2751="","",IFERROR(IF(INDEX('Per Invoice'!$A$2:$A$801,MATCH($B2751,'Per Invoice'!$B$2:$B$801,0))=0,"",INDEX('Per Invoice'!$A$2:$A$801,MATCH($B2751,'Per Invoice'!$B$2:$B$801,0))),""))</f>
        <v/>
      </c>
      <c r="J2751" s="7">
        <f>IF($B2751="","",I2751*Q2751/100)</f>
        <v/>
      </c>
      <c r="N2751" s="7" t="n"/>
      <c r="O2751" s="7" t="n"/>
      <c r="P2751" s="7">
        <f>IF($B2751="","",O2751*X2751/100)</f>
        <v/>
      </c>
      <c r="Q2751" s="7">
        <f>IF($B2751="","",O2751-P2751)</f>
        <v/>
      </c>
      <c r="R2751" s="7">
        <f>IF($B2751="","",Q2751-J2751)</f>
        <v/>
      </c>
      <c r="S2751" s="7" t="n"/>
      <c r="T2751" s="7" t="n"/>
      <c r="V2751" s="14" t="n"/>
      <c r="Z2751">
        <f>IF($B2751="","",IF(COUNTIF($B$2:$B2751,$B2751)=1,1,0))</f>
        <v/>
      </c>
      <c r="AA2751">
        <f>IF($Z2751=1,SUMPRODUCT(--($AC$2:$AC$3001&lt;$AC2751))+1,"")</f>
        <v/>
      </c>
      <c r="AB2751">
        <f>IF($B2751="","",IF(OR($Y2751=TRUE(),$Y2751="TRUE"),1,IF(AND($Y2751&lt;&gt;"",OR($Y2751=FALSE(),$Y2751="FALSE")),0,IF(MIN(ABS($X2751/100-Settings!$C$6),ABS($X2751/100-Settings!$G$6))&lt;=MIN(ABS($X2751/100-Settings!$C$7),ABS($X2751/100-Settings!$G$7)),1,0))))</f>
        <v/>
      </c>
      <c r="AC2751">
        <f>IF($Z2751=1,IFERROR(IF(VALUE($B2751)&lt;100000000,VALUE($B2751),1000000000),IFERROR(IF(VALUE(MID($B2751,2,20))&lt;100000000,VALUE(MID($B2751,2,20)),1000000000),1000000000))+ROW()/100000,"")</f>
        <v/>
      </c>
    </row>
    <row r="2752">
      <c r="A2752">
        <f>IF($B2752="","",IFERROR(IF(INDEX('Per Invoice'!$A$2:$A$801,MATCH($B2752,'Per Invoice'!$B$2:$B$801,0))=0,"",INDEX('Per Invoice'!$A$2:$A$801,MATCH($B2752,'Per Invoice'!$B$2:$B$801,0))),""))</f>
        <v/>
      </c>
      <c r="J2752" s="7">
        <f>IF($B2752="","",I2752*Q2752/100)</f>
        <v/>
      </c>
      <c r="N2752" s="7" t="n"/>
      <c r="O2752" s="7" t="n"/>
      <c r="P2752" s="7">
        <f>IF($B2752="","",O2752*X2752/100)</f>
        <v/>
      </c>
      <c r="Q2752" s="7">
        <f>IF($B2752="","",O2752-P2752)</f>
        <v/>
      </c>
      <c r="R2752" s="7">
        <f>IF($B2752="","",Q2752-J2752)</f>
        <v/>
      </c>
      <c r="S2752" s="7" t="n"/>
      <c r="T2752" s="7" t="n"/>
      <c r="V2752" s="14" t="n"/>
      <c r="Z2752">
        <f>IF($B2752="","",IF(COUNTIF($B$2:$B2752,$B2752)=1,1,0))</f>
        <v/>
      </c>
      <c r="AA2752">
        <f>IF($Z2752=1,SUMPRODUCT(--($AC$2:$AC$3001&lt;$AC2752))+1,"")</f>
        <v/>
      </c>
      <c r="AB2752">
        <f>IF($B2752="","",IF(OR($Y2752=TRUE(),$Y2752="TRUE"),1,IF(AND($Y2752&lt;&gt;"",OR($Y2752=FALSE(),$Y2752="FALSE")),0,IF(MIN(ABS($X2752/100-Settings!$C$6),ABS($X2752/100-Settings!$G$6))&lt;=MIN(ABS($X2752/100-Settings!$C$7),ABS($X2752/100-Settings!$G$7)),1,0))))</f>
        <v/>
      </c>
      <c r="AC2752">
        <f>IF($Z2752=1,IFERROR(IF(VALUE($B2752)&lt;100000000,VALUE($B2752),1000000000),IFERROR(IF(VALUE(MID($B2752,2,20))&lt;100000000,VALUE(MID($B2752,2,20)),1000000000),1000000000))+ROW()/100000,"")</f>
        <v/>
      </c>
    </row>
    <row r="2753">
      <c r="A2753">
        <f>IF($B2753="","",IFERROR(IF(INDEX('Per Invoice'!$A$2:$A$801,MATCH($B2753,'Per Invoice'!$B$2:$B$801,0))=0,"",INDEX('Per Invoice'!$A$2:$A$801,MATCH($B2753,'Per Invoice'!$B$2:$B$801,0))),""))</f>
        <v/>
      </c>
      <c r="J2753" s="7">
        <f>IF($B2753="","",I2753*Q2753/100)</f>
        <v/>
      </c>
      <c r="N2753" s="7" t="n"/>
      <c r="O2753" s="7" t="n"/>
      <c r="P2753" s="7">
        <f>IF($B2753="","",O2753*X2753/100)</f>
        <v/>
      </c>
      <c r="Q2753" s="7">
        <f>IF($B2753="","",O2753-P2753)</f>
        <v/>
      </c>
      <c r="R2753" s="7">
        <f>IF($B2753="","",Q2753-J2753)</f>
        <v/>
      </c>
      <c r="S2753" s="7" t="n"/>
      <c r="T2753" s="7" t="n"/>
      <c r="V2753" s="14" t="n"/>
      <c r="Z2753">
        <f>IF($B2753="","",IF(COUNTIF($B$2:$B2753,$B2753)=1,1,0))</f>
        <v/>
      </c>
      <c r="AA2753">
        <f>IF($Z2753=1,SUMPRODUCT(--($AC$2:$AC$3001&lt;$AC2753))+1,"")</f>
        <v/>
      </c>
      <c r="AB2753">
        <f>IF($B2753="","",IF(OR($Y2753=TRUE(),$Y2753="TRUE"),1,IF(AND($Y2753&lt;&gt;"",OR($Y2753=FALSE(),$Y2753="FALSE")),0,IF(MIN(ABS($X2753/100-Settings!$C$6),ABS($X2753/100-Settings!$G$6))&lt;=MIN(ABS($X2753/100-Settings!$C$7),ABS($X2753/100-Settings!$G$7)),1,0))))</f>
        <v/>
      </c>
      <c r="AC2753">
        <f>IF($Z2753=1,IFERROR(IF(VALUE($B2753)&lt;100000000,VALUE($B2753),1000000000),IFERROR(IF(VALUE(MID($B2753,2,20))&lt;100000000,VALUE(MID($B2753,2,20)),1000000000),1000000000))+ROW()/100000,"")</f>
        <v/>
      </c>
    </row>
    <row r="2754">
      <c r="A2754">
        <f>IF($B2754="","",IFERROR(IF(INDEX('Per Invoice'!$A$2:$A$801,MATCH($B2754,'Per Invoice'!$B$2:$B$801,0))=0,"",INDEX('Per Invoice'!$A$2:$A$801,MATCH($B2754,'Per Invoice'!$B$2:$B$801,0))),""))</f>
        <v/>
      </c>
      <c r="J2754" s="7">
        <f>IF($B2754="","",I2754*Q2754/100)</f>
        <v/>
      </c>
      <c r="N2754" s="7" t="n"/>
      <c r="O2754" s="7" t="n"/>
      <c r="P2754" s="7">
        <f>IF($B2754="","",O2754*X2754/100)</f>
        <v/>
      </c>
      <c r="Q2754" s="7">
        <f>IF($B2754="","",O2754-P2754)</f>
        <v/>
      </c>
      <c r="R2754" s="7">
        <f>IF($B2754="","",Q2754-J2754)</f>
        <v/>
      </c>
      <c r="S2754" s="7" t="n"/>
      <c r="T2754" s="7" t="n"/>
      <c r="V2754" s="14" t="n"/>
      <c r="Z2754">
        <f>IF($B2754="","",IF(COUNTIF($B$2:$B2754,$B2754)=1,1,0))</f>
        <v/>
      </c>
      <c r="AA2754">
        <f>IF($Z2754=1,SUMPRODUCT(--($AC$2:$AC$3001&lt;$AC2754))+1,"")</f>
        <v/>
      </c>
      <c r="AB2754">
        <f>IF($B2754="","",IF(OR($Y2754=TRUE(),$Y2754="TRUE"),1,IF(AND($Y2754&lt;&gt;"",OR($Y2754=FALSE(),$Y2754="FALSE")),0,IF(MIN(ABS($X2754/100-Settings!$C$6),ABS($X2754/100-Settings!$G$6))&lt;=MIN(ABS($X2754/100-Settings!$C$7),ABS($X2754/100-Settings!$G$7)),1,0))))</f>
        <v/>
      </c>
      <c r="AC2754">
        <f>IF($Z2754=1,IFERROR(IF(VALUE($B2754)&lt;100000000,VALUE($B2754),1000000000),IFERROR(IF(VALUE(MID($B2754,2,20))&lt;100000000,VALUE(MID($B2754,2,20)),1000000000),1000000000))+ROW()/100000,"")</f>
        <v/>
      </c>
    </row>
    <row r="2755">
      <c r="A2755">
        <f>IF($B2755="","",IFERROR(IF(INDEX('Per Invoice'!$A$2:$A$801,MATCH($B2755,'Per Invoice'!$B$2:$B$801,0))=0,"",INDEX('Per Invoice'!$A$2:$A$801,MATCH($B2755,'Per Invoice'!$B$2:$B$801,0))),""))</f>
        <v/>
      </c>
      <c r="J2755" s="7">
        <f>IF($B2755="","",I2755*Q2755/100)</f>
        <v/>
      </c>
      <c r="N2755" s="7" t="n"/>
      <c r="O2755" s="7" t="n"/>
      <c r="P2755" s="7">
        <f>IF($B2755="","",O2755*X2755/100)</f>
        <v/>
      </c>
      <c r="Q2755" s="7">
        <f>IF($B2755="","",O2755-P2755)</f>
        <v/>
      </c>
      <c r="R2755" s="7">
        <f>IF($B2755="","",Q2755-J2755)</f>
        <v/>
      </c>
      <c r="S2755" s="7" t="n"/>
      <c r="T2755" s="7" t="n"/>
      <c r="V2755" s="14" t="n"/>
      <c r="Z2755">
        <f>IF($B2755="","",IF(COUNTIF($B$2:$B2755,$B2755)=1,1,0))</f>
        <v/>
      </c>
      <c r="AA2755">
        <f>IF($Z2755=1,SUMPRODUCT(--($AC$2:$AC$3001&lt;$AC2755))+1,"")</f>
        <v/>
      </c>
      <c r="AB2755">
        <f>IF($B2755="","",IF(OR($Y2755=TRUE(),$Y2755="TRUE"),1,IF(AND($Y2755&lt;&gt;"",OR($Y2755=FALSE(),$Y2755="FALSE")),0,IF(MIN(ABS($X2755/100-Settings!$C$6),ABS($X2755/100-Settings!$G$6))&lt;=MIN(ABS($X2755/100-Settings!$C$7),ABS($X2755/100-Settings!$G$7)),1,0))))</f>
        <v/>
      </c>
      <c r="AC2755">
        <f>IF($Z2755=1,IFERROR(IF(VALUE($B2755)&lt;100000000,VALUE($B2755),1000000000),IFERROR(IF(VALUE(MID($B2755,2,20))&lt;100000000,VALUE(MID($B2755,2,20)),1000000000),1000000000))+ROW()/100000,"")</f>
        <v/>
      </c>
    </row>
    <row r="2756">
      <c r="A2756">
        <f>IF($B2756="","",IFERROR(IF(INDEX('Per Invoice'!$A$2:$A$801,MATCH($B2756,'Per Invoice'!$B$2:$B$801,0))=0,"",INDEX('Per Invoice'!$A$2:$A$801,MATCH($B2756,'Per Invoice'!$B$2:$B$801,0))),""))</f>
        <v/>
      </c>
      <c r="J2756" s="7">
        <f>IF($B2756="","",I2756*Q2756/100)</f>
        <v/>
      </c>
      <c r="N2756" s="7" t="n"/>
      <c r="O2756" s="7" t="n"/>
      <c r="P2756" s="7">
        <f>IF($B2756="","",O2756*X2756/100)</f>
        <v/>
      </c>
      <c r="Q2756" s="7">
        <f>IF($B2756="","",O2756-P2756)</f>
        <v/>
      </c>
      <c r="R2756" s="7">
        <f>IF($B2756="","",Q2756-J2756)</f>
        <v/>
      </c>
      <c r="S2756" s="7" t="n"/>
      <c r="T2756" s="7" t="n"/>
      <c r="V2756" s="14" t="n"/>
      <c r="Z2756">
        <f>IF($B2756="","",IF(COUNTIF($B$2:$B2756,$B2756)=1,1,0))</f>
        <v/>
      </c>
      <c r="AA2756">
        <f>IF($Z2756=1,SUMPRODUCT(--($AC$2:$AC$3001&lt;$AC2756))+1,"")</f>
        <v/>
      </c>
      <c r="AB2756">
        <f>IF($B2756="","",IF(OR($Y2756=TRUE(),$Y2756="TRUE"),1,IF(AND($Y2756&lt;&gt;"",OR($Y2756=FALSE(),$Y2756="FALSE")),0,IF(MIN(ABS($X2756/100-Settings!$C$6),ABS($X2756/100-Settings!$G$6))&lt;=MIN(ABS($X2756/100-Settings!$C$7),ABS($X2756/100-Settings!$G$7)),1,0))))</f>
        <v/>
      </c>
      <c r="AC2756">
        <f>IF($Z2756=1,IFERROR(IF(VALUE($B2756)&lt;100000000,VALUE($B2756),1000000000),IFERROR(IF(VALUE(MID($B2756,2,20))&lt;100000000,VALUE(MID($B2756,2,20)),1000000000),1000000000))+ROW()/100000,"")</f>
        <v/>
      </c>
    </row>
    <row r="2757">
      <c r="A2757">
        <f>IF($B2757="","",IFERROR(IF(INDEX('Per Invoice'!$A$2:$A$801,MATCH($B2757,'Per Invoice'!$B$2:$B$801,0))=0,"",INDEX('Per Invoice'!$A$2:$A$801,MATCH($B2757,'Per Invoice'!$B$2:$B$801,0))),""))</f>
        <v/>
      </c>
      <c r="J2757" s="7">
        <f>IF($B2757="","",I2757*Q2757/100)</f>
        <v/>
      </c>
      <c r="N2757" s="7" t="n"/>
      <c r="O2757" s="7" t="n"/>
      <c r="P2757" s="7">
        <f>IF($B2757="","",O2757*X2757/100)</f>
        <v/>
      </c>
      <c r="Q2757" s="7">
        <f>IF($B2757="","",O2757-P2757)</f>
        <v/>
      </c>
      <c r="R2757" s="7">
        <f>IF($B2757="","",Q2757-J2757)</f>
        <v/>
      </c>
      <c r="S2757" s="7" t="n"/>
      <c r="T2757" s="7" t="n"/>
      <c r="V2757" s="14" t="n"/>
      <c r="Z2757">
        <f>IF($B2757="","",IF(COUNTIF($B$2:$B2757,$B2757)=1,1,0))</f>
        <v/>
      </c>
      <c r="AA2757">
        <f>IF($Z2757=1,SUMPRODUCT(--($AC$2:$AC$3001&lt;$AC2757))+1,"")</f>
        <v/>
      </c>
      <c r="AB2757">
        <f>IF($B2757="","",IF(OR($Y2757=TRUE(),$Y2757="TRUE"),1,IF(AND($Y2757&lt;&gt;"",OR($Y2757=FALSE(),$Y2757="FALSE")),0,IF(MIN(ABS($X2757/100-Settings!$C$6),ABS($X2757/100-Settings!$G$6))&lt;=MIN(ABS($X2757/100-Settings!$C$7),ABS($X2757/100-Settings!$G$7)),1,0))))</f>
        <v/>
      </c>
      <c r="AC2757">
        <f>IF($Z2757=1,IFERROR(IF(VALUE($B2757)&lt;100000000,VALUE($B2757),1000000000),IFERROR(IF(VALUE(MID($B2757,2,20))&lt;100000000,VALUE(MID($B2757,2,20)),1000000000),1000000000))+ROW()/100000,"")</f>
        <v/>
      </c>
    </row>
    <row r="2758">
      <c r="A2758">
        <f>IF($B2758="","",IFERROR(IF(INDEX('Per Invoice'!$A$2:$A$801,MATCH($B2758,'Per Invoice'!$B$2:$B$801,0))=0,"",INDEX('Per Invoice'!$A$2:$A$801,MATCH($B2758,'Per Invoice'!$B$2:$B$801,0))),""))</f>
        <v/>
      </c>
      <c r="J2758" s="7">
        <f>IF($B2758="","",I2758*Q2758/100)</f>
        <v/>
      </c>
      <c r="N2758" s="7" t="n"/>
      <c r="O2758" s="7" t="n"/>
      <c r="P2758" s="7">
        <f>IF($B2758="","",O2758*X2758/100)</f>
        <v/>
      </c>
      <c r="Q2758" s="7">
        <f>IF($B2758="","",O2758-P2758)</f>
        <v/>
      </c>
      <c r="R2758" s="7">
        <f>IF($B2758="","",Q2758-J2758)</f>
        <v/>
      </c>
      <c r="S2758" s="7" t="n"/>
      <c r="T2758" s="7" t="n"/>
      <c r="V2758" s="14" t="n"/>
      <c r="Z2758">
        <f>IF($B2758="","",IF(COUNTIF($B$2:$B2758,$B2758)=1,1,0))</f>
        <v/>
      </c>
      <c r="AA2758">
        <f>IF($Z2758=1,SUMPRODUCT(--($AC$2:$AC$3001&lt;$AC2758))+1,"")</f>
        <v/>
      </c>
      <c r="AB2758">
        <f>IF($B2758="","",IF(OR($Y2758=TRUE(),$Y2758="TRUE"),1,IF(AND($Y2758&lt;&gt;"",OR($Y2758=FALSE(),$Y2758="FALSE")),0,IF(MIN(ABS($X2758/100-Settings!$C$6),ABS($X2758/100-Settings!$G$6))&lt;=MIN(ABS($X2758/100-Settings!$C$7),ABS($X2758/100-Settings!$G$7)),1,0))))</f>
        <v/>
      </c>
      <c r="AC2758">
        <f>IF($Z2758=1,IFERROR(IF(VALUE($B2758)&lt;100000000,VALUE($B2758),1000000000),IFERROR(IF(VALUE(MID($B2758,2,20))&lt;100000000,VALUE(MID($B2758,2,20)),1000000000),1000000000))+ROW()/100000,"")</f>
        <v/>
      </c>
    </row>
    <row r="2759">
      <c r="A2759">
        <f>IF($B2759="","",IFERROR(IF(INDEX('Per Invoice'!$A$2:$A$801,MATCH($B2759,'Per Invoice'!$B$2:$B$801,0))=0,"",INDEX('Per Invoice'!$A$2:$A$801,MATCH($B2759,'Per Invoice'!$B$2:$B$801,0))),""))</f>
        <v/>
      </c>
      <c r="J2759" s="7">
        <f>IF($B2759="","",I2759*Q2759/100)</f>
        <v/>
      </c>
      <c r="N2759" s="7" t="n"/>
      <c r="O2759" s="7" t="n"/>
      <c r="P2759" s="7">
        <f>IF($B2759="","",O2759*X2759/100)</f>
        <v/>
      </c>
      <c r="Q2759" s="7">
        <f>IF($B2759="","",O2759-P2759)</f>
        <v/>
      </c>
      <c r="R2759" s="7">
        <f>IF($B2759="","",Q2759-J2759)</f>
        <v/>
      </c>
      <c r="S2759" s="7" t="n"/>
      <c r="T2759" s="7" t="n"/>
      <c r="V2759" s="14" t="n"/>
      <c r="Z2759">
        <f>IF($B2759="","",IF(COUNTIF($B$2:$B2759,$B2759)=1,1,0))</f>
        <v/>
      </c>
      <c r="AA2759">
        <f>IF($Z2759=1,SUMPRODUCT(--($AC$2:$AC$3001&lt;$AC2759))+1,"")</f>
        <v/>
      </c>
      <c r="AB2759">
        <f>IF($B2759="","",IF(OR($Y2759=TRUE(),$Y2759="TRUE"),1,IF(AND($Y2759&lt;&gt;"",OR($Y2759=FALSE(),$Y2759="FALSE")),0,IF(MIN(ABS($X2759/100-Settings!$C$6),ABS($X2759/100-Settings!$G$6))&lt;=MIN(ABS($X2759/100-Settings!$C$7),ABS($X2759/100-Settings!$G$7)),1,0))))</f>
        <v/>
      </c>
      <c r="AC2759">
        <f>IF($Z2759=1,IFERROR(IF(VALUE($B2759)&lt;100000000,VALUE($B2759),1000000000),IFERROR(IF(VALUE(MID($B2759,2,20))&lt;100000000,VALUE(MID($B2759,2,20)),1000000000),1000000000))+ROW()/100000,"")</f>
        <v/>
      </c>
    </row>
    <row r="2760">
      <c r="A2760">
        <f>IF($B2760="","",IFERROR(IF(INDEX('Per Invoice'!$A$2:$A$801,MATCH($B2760,'Per Invoice'!$B$2:$B$801,0))=0,"",INDEX('Per Invoice'!$A$2:$A$801,MATCH($B2760,'Per Invoice'!$B$2:$B$801,0))),""))</f>
        <v/>
      </c>
      <c r="J2760" s="7">
        <f>IF($B2760="","",I2760*Q2760/100)</f>
        <v/>
      </c>
      <c r="N2760" s="7" t="n"/>
      <c r="O2760" s="7" t="n"/>
      <c r="P2760" s="7">
        <f>IF($B2760="","",O2760*X2760/100)</f>
        <v/>
      </c>
      <c r="Q2760" s="7">
        <f>IF($B2760="","",O2760-P2760)</f>
        <v/>
      </c>
      <c r="R2760" s="7">
        <f>IF($B2760="","",Q2760-J2760)</f>
        <v/>
      </c>
      <c r="S2760" s="7" t="n"/>
      <c r="T2760" s="7" t="n"/>
      <c r="V2760" s="14" t="n"/>
      <c r="Z2760">
        <f>IF($B2760="","",IF(COUNTIF($B$2:$B2760,$B2760)=1,1,0))</f>
        <v/>
      </c>
      <c r="AA2760">
        <f>IF($Z2760=1,SUMPRODUCT(--($AC$2:$AC$3001&lt;$AC2760))+1,"")</f>
        <v/>
      </c>
      <c r="AB2760">
        <f>IF($B2760="","",IF(OR($Y2760=TRUE(),$Y2760="TRUE"),1,IF(AND($Y2760&lt;&gt;"",OR($Y2760=FALSE(),$Y2760="FALSE")),0,IF(MIN(ABS($X2760/100-Settings!$C$6),ABS($X2760/100-Settings!$G$6))&lt;=MIN(ABS($X2760/100-Settings!$C$7),ABS($X2760/100-Settings!$G$7)),1,0))))</f>
        <v/>
      </c>
      <c r="AC2760">
        <f>IF($Z2760=1,IFERROR(IF(VALUE($B2760)&lt;100000000,VALUE($B2760),1000000000),IFERROR(IF(VALUE(MID($B2760,2,20))&lt;100000000,VALUE(MID($B2760,2,20)),1000000000),1000000000))+ROW()/100000,"")</f>
        <v/>
      </c>
    </row>
    <row r="2761">
      <c r="A2761">
        <f>IF($B2761="","",IFERROR(IF(INDEX('Per Invoice'!$A$2:$A$801,MATCH($B2761,'Per Invoice'!$B$2:$B$801,0))=0,"",INDEX('Per Invoice'!$A$2:$A$801,MATCH($B2761,'Per Invoice'!$B$2:$B$801,0))),""))</f>
        <v/>
      </c>
      <c r="J2761" s="7">
        <f>IF($B2761="","",I2761*Q2761/100)</f>
        <v/>
      </c>
      <c r="N2761" s="7" t="n"/>
      <c r="O2761" s="7" t="n"/>
      <c r="P2761" s="7">
        <f>IF($B2761="","",O2761*X2761/100)</f>
        <v/>
      </c>
      <c r="Q2761" s="7">
        <f>IF($B2761="","",O2761-P2761)</f>
        <v/>
      </c>
      <c r="R2761" s="7">
        <f>IF($B2761="","",Q2761-J2761)</f>
        <v/>
      </c>
      <c r="S2761" s="7" t="n"/>
      <c r="T2761" s="7" t="n"/>
      <c r="V2761" s="14" t="n"/>
      <c r="Z2761">
        <f>IF($B2761="","",IF(COUNTIF($B$2:$B2761,$B2761)=1,1,0))</f>
        <v/>
      </c>
      <c r="AA2761">
        <f>IF($Z2761=1,SUMPRODUCT(--($AC$2:$AC$3001&lt;$AC2761))+1,"")</f>
        <v/>
      </c>
      <c r="AB2761">
        <f>IF($B2761="","",IF(OR($Y2761=TRUE(),$Y2761="TRUE"),1,IF(AND($Y2761&lt;&gt;"",OR($Y2761=FALSE(),$Y2761="FALSE")),0,IF(MIN(ABS($X2761/100-Settings!$C$6),ABS($X2761/100-Settings!$G$6))&lt;=MIN(ABS($X2761/100-Settings!$C$7),ABS($X2761/100-Settings!$G$7)),1,0))))</f>
        <v/>
      </c>
      <c r="AC2761">
        <f>IF($Z2761=1,IFERROR(IF(VALUE($B2761)&lt;100000000,VALUE($B2761),1000000000),IFERROR(IF(VALUE(MID($B2761,2,20))&lt;100000000,VALUE(MID($B2761,2,20)),1000000000),1000000000))+ROW()/100000,"")</f>
        <v/>
      </c>
    </row>
    <row r="2762">
      <c r="A2762">
        <f>IF($B2762="","",IFERROR(IF(INDEX('Per Invoice'!$A$2:$A$801,MATCH($B2762,'Per Invoice'!$B$2:$B$801,0))=0,"",INDEX('Per Invoice'!$A$2:$A$801,MATCH($B2762,'Per Invoice'!$B$2:$B$801,0))),""))</f>
        <v/>
      </c>
      <c r="J2762" s="7">
        <f>IF($B2762="","",I2762*Q2762/100)</f>
        <v/>
      </c>
      <c r="N2762" s="7" t="n"/>
      <c r="O2762" s="7" t="n"/>
      <c r="P2762" s="7">
        <f>IF($B2762="","",O2762*X2762/100)</f>
        <v/>
      </c>
      <c r="Q2762" s="7">
        <f>IF($B2762="","",O2762-P2762)</f>
        <v/>
      </c>
      <c r="R2762" s="7">
        <f>IF($B2762="","",Q2762-J2762)</f>
        <v/>
      </c>
      <c r="S2762" s="7" t="n"/>
      <c r="T2762" s="7" t="n"/>
      <c r="V2762" s="14" t="n"/>
      <c r="Z2762">
        <f>IF($B2762="","",IF(COUNTIF($B$2:$B2762,$B2762)=1,1,0))</f>
        <v/>
      </c>
      <c r="AA2762">
        <f>IF($Z2762=1,SUMPRODUCT(--($AC$2:$AC$3001&lt;$AC2762))+1,"")</f>
        <v/>
      </c>
      <c r="AB2762">
        <f>IF($B2762="","",IF(OR($Y2762=TRUE(),$Y2762="TRUE"),1,IF(AND($Y2762&lt;&gt;"",OR($Y2762=FALSE(),$Y2762="FALSE")),0,IF(MIN(ABS($X2762/100-Settings!$C$6),ABS($X2762/100-Settings!$G$6))&lt;=MIN(ABS($X2762/100-Settings!$C$7),ABS($X2762/100-Settings!$G$7)),1,0))))</f>
        <v/>
      </c>
      <c r="AC2762">
        <f>IF($Z2762=1,IFERROR(IF(VALUE($B2762)&lt;100000000,VALUE($B2762),1000000000),IFERROR(IF(VALUE(MID($B2762,2,20))&lt;100000000,VALUE(MID($B2762,2,20)),1000000000),1000000000))+ROW()/100000,"")</f>
        <v/>
      </c>
    </row>
    <row r="2763">
      <c r="A2763">
        <f>IF($B2763="","",IFERROR(IF(INDEX('Per Invoice'!$A$2:$A$801,MATCH($B2763,'Per Invoice'!$B$2:$B$801,0))=0,"",INDEX('Per Invoice'!$A$2:$A$801,MATCH($B2763,'Per Invoice'!$B$2:$B$801,0))),""))</f>
        <v/>
      </c>
      <c r="J2763" s="7">
        <f>IF($B2763="","",I2763*Q2763/100)</f>
        <v/>
      </c>
      <c r="N2763" s="7" t="n"/>
      <c r="O2763" s="7" t="n"/>
      <c r="P2763" s="7">
        <f>IF($B2763="","",O2763*X2763/100)</f>
        <v/>
      </c>
      <c r="Q2763" s="7">
        <f>IF($B2763="","",O2763-P2763)</f>
        <v/>
      </c>
      <c r="R2763" s="7">
        <f>IF($B2763="","",Q2763-J2763)</f>
        <v/>
      </c>
      <c r="S2763" s="7" t="n"/>
      <c r="T2763" s="7" t="n"/>
      <c r="V2763" s="14" t="n"/>
      <c r="Z2763">
        <f>IF($B2763="","",IF(COUNTIF($B$2:$B2763,$B2763)=1,1,0))</f>
        <v/>
      </c>
      <c r="AA2763">
        <f>IF($Z2763=1,SUMPRODUCT(--($AC$2:$AC$3001&lt;$AC2763))+1,"")</f>
        <v/>
      </c>
      <c r="AB2763">
        <f>IF($B2763="","",IF(OR($Y2763=TRUE(),$Y2763="TRUE"),1,IF(AND($Y2763&lt;&gt;"",OR($Y2763=FALSE(),$Y2763="FALSE")),0,IF(MIN(ABS($X2763/100-Settings!$C$6),ABS($X2763/100-Settings!$G$6))&lt;=MIN(ABS($X2763/100-Settings!$C$7),ABS($X2763/100-Settings!$G$7)),1,0))))</f>
        <v/>
      </c>
      <c r="AC2763">
        <f>IF($Z2763=1,IFERROR(IF(VALUE($B2763)&lt;100000000,VALUE($B2763),1000000000),IFERROR(IF(VALUE(MID($B2763,2,20))&lt;100000000,VALUE(MID($B2763,2,20)),1000000000),1000000000))+ROW()/100000,"")</f>
        <v/>
      </c>
    </row>
    <row r="2764">
      <c r="A2764">
        <f>IF($B2764="","",IFERROR(IF(INDEX('Per Invoice'!$A$2:$A$801,MATCH($B2764,'Per Invoice'!$B$2:$B$801,0))=0,"",INDEX('Per Invoice'!$A$2:$A$801,MATCH($B2764,'Per Invoice'!$B$2:$B$801,0))),""))</f>
        <v/>
      </c>
      <c r="J2764" s="7">
        <f>IF($B2764="","",I2764*Q2764/100)</f>
        <v/>
      </c>
      <c r="N2764" s="7" t="n"/>
      <c r="O2764" s="7" t="n"/>
      <c r="P2764" s="7">
        <f>IF($B2764="","",O2764*X2764/100)</f>
        <v/>
      </c>
      <c r="Q2764" s="7">
        <f>IF($B2764="","",O2764-P2764)</f>
        <v/>
      </c>
      <c r="R2764" s="7">
        <f>IF($B2764="","",Q2764-J2764)</f>
        <v/>
      </c>
      <c r="S2764" s="7" t="n"/>
      <c r="T2764" s="7" t="n"/>
      <c r="V2764" s="14" t="n"/>
      <c r="Z2764">
        <f>IF($B2764="","",IF(COUNTIF($B$2:$B2764,$B2764)=1,1,0))</f>
        <v/>
      </c>
      <c r="AA2764">
        <f>IF($Z2764=1,SUMPRODUCT(--($AC$2:$AC$3001&lt;$AC2764))+1,"")</f>
        <v/>
      </c>
      <c r="AB2764">
        <f>IF($B2764="","",IF(OR($Y2764=TRUE(),$Y2764="TRUE"),1,IF(AND($Y2764&lt;&gt;"",OR($Y2764=FALSE(),$Y2764="FALSE")),0,IF(MIN(ABS($X2764/100-Settings!$C$6),ABS($X2764/100-Settings!$G$6))&lt;=MIN(ABS($X2764/100-Settings!$C$7),ABS($X2764/100-Settings!$G$7)),1,0))))</f>
        <v/>
      </c>
      <c r="AC2764">
        <f>IF($Z2764=1,IFERROR(IF(VALUE($B2764)&lt;100000000,VALUE($B2764),1000000000),IFERROR(IF(VALUE(MID($B2764,2,20))&lt;100000000,VALUE(MID($B2764,2,20)),1000000000),1000000000))+ROW()/100000,"")</f>
        <v/>
      </c>
    </row>
    <row r="2765">
      <c r="A2765">
        <f>IF($B2765="","",IFERROR(IF(INDEX('Per Invoice'!$A$2:$A$801,MATCH($B2765,'Per Invoice'!$B$2:$B$801,0))=0,"",INDEX('Per Invoice'!$A$2:$A$801,MATCH($B2765,'Per Invoice'!$B$2:$B$801,0))),""))</f>
        <v/>
      </c>
      <c r="J2765" s="7">
        <f>IF($B2765="","",I2765*Q2765/100)</f>
        <v/>
      </c>
      <c r="N2765" s="7" t="n"/>
      <c r="O2765" s="7" t="n"/>
      <c r="P2765" s="7">
        <f>IF($B2765="","",O2765*X2765/100)</f>
        <v/>
      </c>
      <c r="Q2765" s="7">
        <f>IF($B2765="","",O2765-P2765)</f>
        <v/>
      </c>
      <c r="R2765" s="7">
        <f>IF($B2765="","",Q2765-J2765)</f>
        <v/>
      </c>
      <c r="S2765" s="7" t="n"/>
      <c r="T2765" s="7" t="n"/>
      <c r="V2765" s="14" t="n"/>
      <c r="Z2765">
        <f>IF($B2765="","",IF(COUNTIF($B$2:$B2765,$B2765)=1,1,0))</f>
        <v/>
      </c>
      <c r="AA2765">
        <f>IF($Z2765=1,SUMPRODUCT(--($AC$2:$AC$3001&lt;$AC2765))+1,"")</f>
        <v/>
      </c>
      <c r="AB2765">
        <f>IF($B2765="","",IF(OR($Y2765=TRUE(),$Y2765="TRUE"),1,IF(AND($Y2765&lt;&gt;"",OR($Y2765=FALSE(),$Y2765="FALSE")),0,IF(MIN(ABS($X2765/100-Settings!$C$6),ABS($X2765/100-Settings!$G$6))&lt;=MIN(ABS($X2765/100-Settings!$C$7),ABS($X2765/100-Settings!$G$7)),1,0))))</f>
        <v/>
      </c>
      <c r="AC2765">
        <f>IF($Z2765=1,IFERROR(IF(VALUE($B2765)&lt;100000000,VALUE($B2765),1000000000),IFERROR(IF(VALUE(MID($B2765,2,20))&lt;100000000,VALUE(MID($B2765,2,20)),1000000000),1000000000))+ROW()/100000,"")</f>
        <v/>
      </c>
    </row>
    <row r="2766">
      <c r="A2766">
        <f>IF($B2766="","",IFERROR(IF(INDEX('Per Invoice'!$A$2:$A$801,MATCH($B2766,'Per Invoice'!$B$2:$B$801,0))=0,"",INDEX('Per Invoice'!$A$2:$A$801,MATCH($B2766,'Per Invoice'!$B$2:$B$801,0))),""))</f>
        <v/>
      </c>
      <c r="J2766" s="7">
        <f>IF($B2766="","",I2766*Q2766/100)</f>
        <v/>
      </c>
      <c r="N2766" s="7" t="n"/>
      <c r="O2766" s="7" t="n"/>
      <c r="P2766" s="7">
        <f>IF($B2766="","",O2766*X2766/100)</f>
        <v/>
      </c>
      <c r="Q2766" s="7">
        <f>IF($B2766="","",O2766-P2766)</f>
        <v/>
      </c>
      <c r="R2766" s="7">
        <f>IF($B2766="","",Q2766-J2766)</f>
        <v/>
      </c>
      <c r="S2766" s="7" t="n"/>
      <c r="T2766" s="7" t="n"/>
      <c r="V2766" s="14" t="n"/>
      <c r="Z2766">
        <f>IF($B2766="","",IF(COUNTIF($B$2:$B2766,$B2766)=1,1,0))</f>
        <v/>
      </c>
      <c r="AA2766">
        <f>IF($Z2766=1,SUMPRODUCT(--($AC$2:$AC$3001&lt;$AC2766))+1,"")</f>
        <v/>
      </c>
      <c r="AB2766">
        <f>IF($B2766="","",IF(OR($Y2766=TRUE(),$Y2766="TRUE"),1,IF(AND($Y2766&lt;&gt;"",OR($Y2766=FALSE(),$Y2766="FALSE")),0,IF(MIN(ABS($X2766/100-Settings!$C$6),ABS($X2766/100-Settings!$G$6))&lt;=MIN(ABS($X2766/100-Settings!$C$7),ABS($X2766/100-Settings!$G$7)),1,0))))</f>
        <v/>
      </c>
      <c r="AC2766">
        <f>IF($Z2766=1,IFERROR(IF(VALUE($B2766)&lt;100000000,VALUE($B2766),1000000000),IFERROR(IF(VALUE(MID($B2766,2,20))&lt;100000000,VALUE(MID($B2766,2,20)),1000000000),1000000000))+ROW()/100000,"")</f>
        <v/>
      </c>
    </row>
    <row r="2767">
      <c r="A2767">
        <f>IF($B2767="","",IFERROR(IF(INDEX('Per Invoice'!$A$2:$A$801,MATCH($B2767,'Per Invoice'!$B$2:$B$801,0))=0,"",INDEX('Per Invoice'!$A$2:$A$801,MATCH($B2767,'Per Invoice'!$B$2:$B$801,0))),""))</f>
        <v/>
      </c>
      <c r="J2767" s="7">
        <f>IF($B2767="","",I2767*Q2767/100)</f>
        <v/>
      </c>
      <c r="N2767" s="7" t="n"/>
      <c r="O2767" s="7" t="n"/>
      <c r="P2767" s="7">
        <f>IF($B2767="","",O2767*X2767/100)</f>
        <v/>
      </c>
      <c r="Q2767" s="7">
        <f>IF($B2767="","",O2767-P2767)</f>
        <v/>
      </c>
      <c r="R2767" s="7">
        <f>IF($B2767="","",Q2767-J2767)</f>
        <v/>
      </c>
      <c r="S2767" s="7" t="n"/>
      <c r="T2767" s="7" t="n"/>
      <c r="V2767" s="14" t="n"/>
      <c r="Z2767">
        <f>IF($B2767="","",IF(COUNTIF($B$2:$B2767,$B2767)=1,1,0))</f>
        <v/>
      </c>
      <c r="AA2767">
        <f>IF($Z2767=1,SUMPRODUCT(--($AC$2:$AC$3001&lt;$AC2767))+1,"")</f>
        <v/>
      </c>
      <c r="AB2767">
        <f>IF($B2767="","",IF(OR($Y2767=TRUE(),$Y2767="TRUE"),1,IF(AND($Y2767&lt;&gt;"",OR($Y2767=FALSE(),$Y2767="FALSE")),0,IF(MIN(ABS($X2767/100-Settings!$C$6),ABS($X2767/100-Settings!$G$6))&lt;=MIN(ABS($X2767/100-Settings!$C$7),ABS($X2767/100-Settings!$G$7)),1,0))))</f>
        <v/>
      </c>
      <c r="AC2767">
        <f>IF($Z2767=1,IFERROR(IF(VALUE($B2767)&lt;100000000,VALUE($B2767),1000000000),IFERROR(IF(VALUE(MID($B2767,2,20))&lt;100000000,VALUE(MID($B2767,2,20)),1000000000),1000000000))+ROW()/100000,"")</f>
        <v/>
      </c>
    </row>
    <row r="2768">
      <c r="A2768">
        <f>IF($B2768="","",IFERROR(IF(INDEX('Per Invoice'!$A$2:$A$801,MATCH($B2768,'Per Invoice'!$B$2:$B$801,0))=0,"",INDEX('Per Invoice'!$A$2:$A$801,MATCH($B2768,'Per Invoice'!$B$2:$B$801,0))),""))</f>
        <v/>
      </c>
      <c r="J2768" s="7">
        <f>IF($B2768="","",I2768*Q2768/100)</f>
        <v/>
      </c>
      <c r="N2768" s="7" t="n"/>
      <c r="O2768" s="7" t="n"/>
      <c r="P2768" s="7">
        <f>IF($B2768="","",O2768*X2768/100)</f>
        <v/>
      </c>
      <c r="Q2768" s="7">
        <f>IF($B2768="","",O2768-P2768)</f>
        <v/>
      </c>
      <c r="R2768" s="7">
        <f>IF($B2768="","",Q2768-J2768)</f>
        <v/>
      </c>
      <c r="S2768" s="7" t="n"/>
      <c r="T2768" s="7" t="n"/>
      <c r="V2768" s="14" t="n"/>
      <c r="Z2768">
        <f>IF($B2768="","",IF(COUNTIF($B$2:$B2768,$B2768)=1,1,0))</f>
        <v/>
      </c>
      <c r="AA2768">
        <f>IF($Z2768=1,SUMPRODUCT(--($AC$2:$AC$3001&lt;$AC2768))+1,"")</f>
        <v/>
      </c>
      <c r="AB2768">
        <f>IF($B2768="","",IF(OR($Y2768=TRUE(),$Y2768="TRUE"),1,IF(AND($Y2768&lt;&gt;"",OR($Y2768=FALSE(),$Y2768="FALSE")),0,IF(MIN(ABS($X2768/100-Settings!$C$6),ABS($X2768/100-Settings!$G$6))&lt;=MIN(ABS($X2768/100-Settings!$C$7),ABS($X2768/100-Settings!$G$7)),1,0))))</f>
        <v/>
      </c>
      <c r="AC2768">
        <f>IF($Z2768=1,IFERROR(IF(VALUE($B2768)&lt;100000000,VALUE($B2768),1000000000),IFERROR(IF(VALUE(MID($B2768,2,20))&lt;100000000,VALUE(MID($B2768,2,20)),1000000000),1000000000))+ROW()/100000,"")</f>
        <v/>
      </c>
    </row>
    <row r="2769">
      <c r="A2769">
        <f>IF($B2769="","",IFERROR(IF(INDEX('Per Invoice'!$A$2:$A$801,MATCH($B2769,'Per Invoice'!$B$2:$B$801,0))=0,"",INDEX('Per Invoice'!$A$2:$A$801,MATCH($B2769,'Per Invoice'!$B$2:$B$801,0))),""))</f>
        <v/>
      </c>
      <c r="J2769" s="7">
        <f>IF($B2769="","",I2769*Q2769/100)</f>
        <v/>
      </c>
      <c r="N2769" s="7" t="n"/>
      <c r="O2769" s="7" t="n"/>
      <c r="P2769" s="7">
        <f>IF($B2769="","",O2769*X2769/100)</f>
        <v/>
      </c>
      <c r="Q2769" s="7">
        <f>IF($B2769="","",O2769-P2769)</f>
        <v/>
      </c>
      <c r="R2769" s="7">
        <f>IF($B2769="","",Q2769-J2769)</f>
        <v/>
      </c>
      <c r="S2769" s="7" t="n"/>
      <c r="T2769" s="7" t="n"/>
      <c r="V2769" s="14" t="n"/>
      <c r="Z2769">
        <f>IF($B2769="","",IF(COUNTIF($B$2:$B2769,$B2769)=1,1,0))</f>
        <v/>
      </c>
      <c r="AA2769">
        <f>IF($Z2769=1,SUMPRODUCT(--($AC$2:$AC$3001&lt;$AC2769))+1,"")</f>
        <v/>
      </c>
      <c r="AB2769">
        <f>IF($B2769="","",IF(OR($Y2769=TRUE(),$Y2769="TRUE"),1,IF(AND($Y2769&lt;&gt;"",OR($Y2769=FALSE(),$Y2769="FALSE")),0,IF(MIN(ABS($X2769/100-Settings!$C$6),ABS($X2769/100-Settings!$G$6))&lt;=MIN(ABS($X2769/100-Settings!$C$7),ABS($X2769/100-Settings!$G$7)),1,0))))</f>
        <v/>
      </c>
      <c r="AC2769">
        <f>IF($Z2769=1,IFERROR(IF(VALUE($B2769)&lt;100000000,VALUE($B2769),1000000000),IFERROR(IF(VALUE(MID($B2769,2,20))&lt;100000000,VALUE(MID($B2769,2,20)),1000000000),1000000000))+ROW()/100000,"")</f>
        <v/>
      </c>
    </row>
    <row r="2770">
      <c r="A2770">
        <f>IF($B2770="","",IFERROR(IF(INDEX('Per Invoice'!$A$2:$A$801,MATCH($B2770,'Per Invoice'!$B$2:$B$801,0))=0,"",INDEX('Per Invoice'!$A$2:$A$801,MATCH($B2770,'Per Invoice'!$B$2:$B$801,0))),""))</f>
        <v/>
      </c>
      <c r="J2770" s="7">
        <f>IF($B2770="","",I2770*Q2770/100)</f>
        <v/>
      </c>
      <c r="N2770" s="7" t="n"/>
      <c r="O2770" s="7" t="n"/>
      <c r="P2770" s="7">
        <f>IF($B2770="","",O2770*X2770/100)</f>
        <v/>
      </c>
      <c r="Q2770" s="7">
        <f>IF($B2770="","",O2770-P2770)</f>
        <v/>
      </c>
      <c r="R2770" s="7">
        <f>IF($B2770="","",Q2770-J2770)</f>
        <v/>
      </c>
      <c r="S2770" s="7" t="n"/>
      <c r="T2770" s="7" t="n"/>
      <c r="V2770" s="14" t="n"/>
      <c r="Z2770">
        <f>IF($B2770="","",IF(COUNTIF($B$2:$B2770,$B2770)=1,1,0))</f>
        <v/>
      </c>
      <c r="AA2770">
        <f>IF($Z2770=1,SUMPRODUCT(--($AC$2:$AC$3001&lt;$AC2770))+1,"")</f>
        <v/>
      </c>
      <c r="AB2770">
        <f>IF($B2770="","",IF(OR($Y2770=TRUE(),$Y2770="TRUE"),1,IF(AND($Y2770&lt;&gt;"",OR($Y2770=FALSE(),$Y2770="FALSE")),0,IF(MIN(ABS($X2770/100-Settings!$C$6),ABS($X2770/100-Settings!$G$6))&lt;=MIN(ABS($X2770/100-Settings!$C$7),ABS($X2770/100-Settings!$G$7)),1,0))))</f>
        <v/>
      </c>
      <c r="AC2770">
        <f>IF($Z2770=1,IFERROR(IF(VALUE($B2770)&lt;100000000,VALUE($B2770),1000000000),IFERROR(IF(VALUE(MID($B2770,2,20))&lt;100000000,VALUE(MID($B2770,2,20)),1000000000),1000000000))+ROW()/100000,"")</f>
        <v/>
      </c>
    </row>
    <row r="2771">
      <c r="A2771">
        <f>IF($B2771="","",IFERROR(IF(INDEX('Per Invoice'!$A$2:$A$801,MATCH($B2771,'Per Invoice'!$B$2:$B$801,0))=0,"",INDEX('Per Invoice'!$A$2:$A$801,MATCH($B2771,'Per Invoice'!$B$2:$B$801,0))),""))</f>
        <v/>
      </c>
      <c r="J2771" s="7">
        <f>IF($B2771="","",I2771*Q2771/100)</f>
        <v/>
      </c>
      <c r="N2771" s="7" t="n"/>
      <c r="O2771" s="7" t="n"/>
      <c r="P2771" s="7">
        <f>IF($B2771="","",O2771*X2771/100)</f>
        <v/>
      </c>
      <c r="Q2771" s="7">
        <f>IF($B2771="","",O2771-P2771)</f>
        <v/>
      </c>
      <c r="R2771" s="7">
        <f>IF($B2771="","",Q2771-J2771)</f>
        <v/>
      </c>
      <c r="S2771" s="7" t="n"/>
      <c r="T2771" s="7" t="n"/>
      <c r="V2771" s="14" t="n"/>
      <c r="Z2771">
        <f>IF($B2771="","",IF(COUNTIF($B$2:$B2771,$B2771)=1,1,0))</f>
        <v/>
      </c>
      <c r="AA2771">
        <f>IF($Z2771=1,SUMPRODUCT(--($AC$2:$AC$3001&lt;$AC2771))+1,"")</f>
        <v/>
      </c>
      <c r="AB2771">
        <f>IF($B2771="","",IF(OR($Y2771=TRUE(),$Y2771="TRUE"),1,IF(AND($Y2771&lt;&gt;"",OR($Y2771=FALSE(),$Y2771="FALSE")),0,IF(MIN(ABS($X2771/100-Settings!$C$6),ABS($X2771/100-Settings!$G$6))&lt;=MIN(ABS($X2771/100-Settings!$C$7),ABS($X2771/100-Settings!$G$7)),1,0))))</f>
        <v/>
      </c>
      <c r="AC2771">
        <f>IF($Z2771=1,IFERROR(IF(VALUE($B2771)&lt;100000000,VALUE($B2771),1000000000),IFERROR(IF(VALUE(MID($B2771,2,20))&lt;100000000,VALUE(MID($B2771,2,20)),1000000000),1000000000))+ROW()/100000,"")</f>
        <v/>
      </c>
    </row>
    <row r="2772">
      <c r="A2772">
        <f>IF($B2772="","",IFERROR(IF(INDEX('Per Invoice'!$A$2:$A$801,MATCH($B2772,'Per Invoice'!$B$2:$B$801,0))=0,"",INDEX('Per Invoice'!$A$2:$A$801,MATCH($B2772,'Per Invoice'!$B$2:$B$801,0))),""))</f>
        <v/>
      </c>
      <c r="J2772" s="7">
        <f>IF($B2772="","",I2772*Q2772/100)</f>
        <v/>
      </c>
      <c r="N2772" s="7" t="n"/>
      <c r="O2772" s="7" t="n"/>
      <c r="P2772" s="7">
        <f>IF($B2772="","",O2772*X2772/100)</f>
        <v/>
      </c>
      <c r="Q2772" s="7">
        <f>IF($B2772="","",O2772-P2772)</f>
        <v/>
      </c>
      <c r="R2772" s="7">
        <f>IF($B2772="","",Q2772-J2772)</f>
        <v/>
      </c>
      <c r="S2772" s="7" t="n"/>
      <c r="T2772" s="7" t="n"/>
      <c r="V2772" s="14" t="n"/>
      <c r="Z2772">
        <f>IF($B2772="","",IF(COUNTIF($B$2:$B2772,$B2772)=1,1,0))</f>
        <v/>
      </c>
      <c r="AA2772">
        <f>IF($Z2772=1,SUMPRODUCT(--($AC$2:$AC$3001&lt;$AC2772))+1,"")</f>
        <v/>
      </c>
      <c r="AB2772">
        <f>IF($B2772="","",IF(OR($Y2772=TRUE(),$Y2772="TRUE"),1,IF(AND($Y2772&lt;&gt;"",OR($Y2772=FALSE(),$Y2772="FALSE")),0,IF(MIN(ABS($X2772/100-Settings!$C$6),ABS($X2772/100-Settings!$G$6))&lt;=MIN(ABS($X2772/100-Settings!$C$7),ABS($X2772/100-Settings!$G$7)),1,0))))</f>
        <v/>
      </c>
      <c r="AC2772">
        <f>IF($Z2772=1,IFERROR(IF(VALUE($B2772)&lt;100000000,VALUE($B2772),1000000000),IFERROR(IF(VALUE(MID($B2772,2,20))&lt;100000000,VALUE(MID($B2772,2,20)),1000000000),1000000000))+ROW()/100000,"")</f>
        <v/>
      </c>
    </row>
    <row r="2773">
      <c r="A2773">
        <f>IF($B2773="","",IFERROR(IF(INDEX('Per Invoice'!$A$2:$A$801,MATCH($B2773,'Per Invoice'!$B$2:$B$801,0))=0,"",INDEX('Per Invoice'!$A$2:$A$801,MATCH($B2773,'Per Invoice'!$B$2:$B$801,0))),""))</f>
        <v/>
      </c>
      <c r="J2773" s="7">
        <f>IF($B2773="","",I2773*Q2773/100)</f>
        <v/>
      </c>
      <c r="N2773" s="7" t="n"/>
      <c r="O2773" s="7" t="n"/>
      <c r="P2773" s="7">
        <f>IF($B2773="","",O2773*X2773/100)</f>
        <v/>
      </c>
      <c r="Q2773" s="7">
        <f>IF($B2773="","",O2773-P2773)</f>
        <v/>
      </c>
      <c r="R2773" s="7">
        <f>IF($B2773="","",Q2773-J2773)</f>
        <v/>
      </c>
      <c r="S2773" s="7" t="n"/>
      <c r="T2773" s="7" t="n"/>
      <c r="V2773" s="14" t="n"/>
      <c r="Z2773">
        <f>IF($B2773="","",IF(COUNTIF($B$2:$B2773,$B2773)=1,1,0))</f>
        <v/>
      </c>
      <c r="AA2773">
        <f>IF($Z2773=1,SUMPRODUCT(--($AC$2:$AC$3001&lt;$AC2773))+1,"")</f>
        <v/>
      </c>
      <c r="AB2773">
        <f>IF($B2773="","",IF(OR($Y2773=TRUE(),$Y2773="TRUE"),1,IF(AND($Y2773&lt;&gt;"",OR($Y2773=FALSE(),$Y2773="FALSE")),0,IF(MIN(ABS($X2773/100-Settings!$C$6),ABS($X2773/100-Settings!$G$6))&lt;=MIN(ABS($X2773/100-Settings!$C$7),ABS($X2773/100-Settings!$G$7)),1,0))))</f>
        <v/>
      </c>
      <c r="AC2773">
        <f>IF($Z2773=1,IFERROR(IF(VALUE($B2773)&lt;100000000,VALUE($B2773),1000000000),IFERROR(IF(VALUE(MID($B2773,2,20))&lt;100000000,VALUE(MID($B2773,2,20)),1000000000),1000000000))+ROW()/100000,"")</f>
        <v/>
      </c>
    </row>
    <row r="2774">
      <c r="A2774">
        <f>IF($B2774="","",IFERROR(IF(INDEX('Per Invoice'!$A$2:$A$801,MATCH($B2774,'Per Invoice'!$B$2:$B$801,0))=0,"",INDEX('Per Invoice'!$A$2:$A$801,MATCH($B2774,'Per Invoice'!$B$2:$B$801,0))),""))</f>
        <v/>
      </c>
      <c r="J2774" s="7">
        <f>IF($B2774="","",I2774*Q2774/100)</f>
        <v/>
      </c>
      <c r="N2774" s="7" t="n"/>
      <c r="O2774" s="7" t="n"/>
      <c r="P2774" s="7">
        <f>IF($B2774="","",O2774*X2774/100)</f>
        <v/>
      </c>
      <c r="Q2774" s="7">
        <f>IF($B2774="","",O2774-P2774)</f>
        <v/>
      </c>
      <c r="R2774" s="7">
        <f>IF($B2774="","",Q2774-J2774)</f>
        <v/>
      </c>
      <c r="S2774" s="7" t="n"/>
      <c r="T2774" s="7" t="n"/>
      <c r="V2774" s="14" t="n"/>
      <c r="Z2774">
        <f>IF($B2774="","",IF(COUNTIF($B$2:$B2774,$B2774)=1,1,0))</f>
        <v/>
      </c>
      <c r="AA2774">
        <f>IF($Z2774=1,SUMPRODUCT(--($AC$2:$AC$3001&lt;$AC2774))+1,"")</f>
        <v/>
      </c>
      <c r="AB2774">
        <f>IF($B2774="","",IF(OR($Y2774=TRUE(),$Y2774="TRUE"),1,IF(AND($Y2774&lt;&gt;"",OR($Y2774=FALSE(),$Y2774="FALSE")),0,IF(MIN(ABS($X2774/100-Settings!$C$6),ABS($X2774/100-Settings!$G$6))&lt;=MIN(ABS($X2774/100-Settings!$C$7),ABS($X2774/100-Settings!$G$7)),1,0))))</f>
        <v/>
      </c>
      <c r="AC2774">
        <f>IF($Z2774=1,IFERROR(IF(VALUE($B2774)&lt;100000000,VALUE($B2774),1000000000),IFERROR(IF(VALUE(MID($B2774,2,20))&lt;100000000,VALUE(MID($B2774,2,20)),1000000000),1000000000))+ROW()/100000,"")</f>
        <v/>
      </c>
    </row>
    <row r="2775">
      <c r="A2775">
        <f>IF($B2775="","",IFERROR(IF(INDEX('Per Invoice'!$A$2:$A$801,MATCH($B2775,'Per Invoice'!$B$2:$B$801,0))=0,"",INDEX('Per Invoice'!$A$2:$A$801,MATCH($B2775,'Per Invoice'!$B$2:$B$801,0))),""))</f>
        <v/>
      </c>
      <c r="J2775" s="7">
        <f>IF($B2775="","",I2775*Q2775/100)</f>
        <v/>
      </c>
      <c r="N2775" s="7" t="n"/>
      <c r="O2775" s="7" t="n"/>
      <c r="P2775" s="7">
        <f>IF($B2775="","",O2775*X2775/100)</f>
        <v/>
      </c>
      <c r="Q2775" s="7">
        <f>IF($B2775="","",O2775-P2775)</f>
        <v/>
      </c>
      <c r="R2775" s="7">
        <f>IF($B2775="","",Q2775-J2775)</f>
        <v/>
      </c>
      <c r="S2775" s="7" t="n"/>
      <c r="T2775" s="7" t="n"/>
      <c r="V2775" s="14" t="n"/>
      <c r="Z2775">
        <f>IF($B2775="","",IF(COUNTIF($B$2:$B2775,$B2775)=1,1,0))</f>
        <v/>
      </c>
      <c r="AA2775">
        <f>IF($Z2775=1,SUMPRODUCT(--($AC$2:$AC$3001&lt;$AC2775))+1,"")</f>
        <v/>
      </c>
      <c r="AB2775">
        <f>IF($B2775="","",IF(OR($Y2775=TRUE(),$Y2775="TRUE"),1,IF(AND($Y2775&lt;&gt;"",OR($Y2775=FALSE(),$Y2775="FALSE")),0,IF(MIN(ABS($X2775/100-Settings!$C$6),ABS($X2775/100-Settings!$G$6))&lt;=MIN(ABS($X2775/100-Settings!$C$7),ABS($X2775/100-Settings!$G$7)),1,0))))</f>
        <v/>
      </c>
      <c r="AC2775">
        <f>IF($Z2775=1,IFERROR(IF(VALUE($B2775)&lt;100000000,VALUE($B2775),1000000000),IFERROR(IF(VALUE(MID($B2775,2,20))&lt;100000000,VALUE(MID($B2775,2,20)),1000000000),1000000000))+ROW()/100000,"")</f>
        <v/>
      </c>
    </row>
    <row r="2776">
      <c r="A2776">
        <f>IF($B2776="","",IFERROR(IF(INDEX('Per Invoice'!$A$2:$A$801,MATCH($B2776,'Per Invoice'!$B$2:$B$801,0))=0,"",INDEX('Per Invoice'!$A$2:$A$801,MATCH($B2776,'Per Invoice'!$B$2:$B$801,0))),""))</f>
        <v/>
      </c>
      <c r="J2776" s="7">
        <f>IF($B2776="","",I2776*Q2776/100)</f>
        <v/>
      </c>
      <c r="N2776" s="7" t="n"/>
      <c r="O2776" s="7" t="n"/>
      <c r="P2776" s="7">
        <f>IF($B2776="","",O2776*X2776/100)</f>
        <v/>
      </c>
      <c r="Q2776" s="7">
        <f>IF($B2776="","",O2776-P2776)</f>
        <v/>
      </c>
      <c r="R2776" s="7">
        <f>IF($B2776="","",Q2776-J2776)</f>
        <v/>
      </c>
      <c r="S2776" s="7" t="n"/>
      <c r="T2776" s="7" t="n"/>
      <c r="V2776" s="14" t="n"/>
      <c r="Z2776">
        <f>IF($B2776="","",IF(COUNTIF($B$2:$B2776,$B2776)=1,1,0))</f>
        <v/>
      </c>
      <c r="AA2776">
        <f>IF($Z2776=1,SUMPRODUCT(--($AC$2:$AC$3001&lt;$AC2776))+1,"")</f>
        <v/>
      </c>
      <c r="AB2776">
        <f>IF($B2776="","",IF(OR($Y2776=TRUE(),$Y2776="TRUE"),1,IF(AND($Y2776&lt;&gt;"",OR($Y2776=FALSE(),$Y2776="FALSE")),0,IF(MIN(ABS($X2776/100-Settings!$C$6),ABS($X2776/100-Settings!$G$6))&lt;=MIN(ABS($X2776/100-Settings!$C$7),ABS($X2776/100-Settings!$G$7)),1,0))))</f>
        <v/>
      </c>
      <c r="AC2776">
        <f>IF($Z2776=1,IFERROR(IF(VALUE($B2776)&lt;100000000,VALUE($B2776),1000000000),IFERROR(IF(VALUE(MID($B2776,2,20))&lt;100000000,VALUE(MID($B2776,2,20)),1000000000),1000000000))+ROW()/100000,"")</f>
        <v/>
      </c>
    </row>
    <row r="2777">
      <c r="A2777">
        <f>IF($B2777="","",IFERROR(IF(INDEX('Per Invoice'!$A$2:$A$801,MATCH($B2777,'Per Invoice'!$B$2:$B$801,0))=0,"",INDEX('Per Invoice'!$A$2:$A$801,MATCH($B2777,'Per Invoice'!$B$2:$B$801,0))),""))</f>
        <v/>
      </c>
      <c r="J2777" s="7">
        <f>IF($B2777="","",I2777*Q2777/100)</f>
        <v/>
      </c>
      <c r="N2777" s="7" t="n"/>
      <c r="O2777" s="7" t="n"/>
      <c r="P2777" s="7">
        <f>IF($B2777="","",O2777*X2777/100)</f>
        <v/>
      </c>
      <c r="Q2777" s="7">
        <f>IF($B2777="","",O2777-P2777)</f>
        <v/>
      </c>
      <c r="R2777" s="7">
        <f>IF($B2777="","",Q2777-J2777)</f>
        <v/>
      </c>
      <c r="S2777" s="7" t="n"/>
      <c r="T2777" s="7" t="n"/>
      <c r="V2777" s="14" t="n"/>
      <c r="Z2777">
        <f>IF($B2777="","",IF(COUNTIF($B$2:$B2777,$B2777)=1,1,0))</f>
        <v/>
      </c>
      <c r="AA2777">
        <f>IF($Z2777=1,SUMPRODUCT(--($AC$2:$AC$3001&lt;$AC2777))+1,"")</f>
        <v/>
      </c>
      <c r="AB2777">
        <f>IF($B2777="","",IF(OR($Y2777=TRUE(),$Y2777="TRUE"),1,IF(AND($Y2777&lt;&gt;"",OR($Y2777=FALSE(),$Y2777="FALSE")),0,IF(MIN(ABS($X2777/100-Settings!$C$6),ABS($X2777/100-Settings!$G$6))&lt;=MIN(ABS($X2777/100-Settings!$C$7),ABS($X2777/100-Settings!$G$7)),1,0))))</f>
        <v/>
      </c>
      <c r="AC2777">
        <f>IF($Z2777=1,IFERROR(IF(VALUE($B2777)&lt;100000000,VALUE($B2777),1000000000),IFERROR(IF(VALUE(MID($B2777,2,20))&lt;100000000,VALUE(MID($B2777,2,20)),1000000000),1000000000))+ROW()/100000,"")</f>
        <v/>
      </c>
    </row>
    <row r="2778">
      <c r="A2778">
        <f>IF($B2778="","",IFERROR(IF(INDEX('Per Invoice'!$A$2:$A$801,MATCH($B2778,'Per Invoice'!$B$2:$B$801,0))=0,"",INDEX('Per Invoice'!$A$2:$A$801,MATCH($B2778,'Per Invoice'!$B$2:$B$801,0))),""))</f>
        <v/>
      </c>
      <c r="J2778" s="7">
        <f>IF($B2778="","",I2778*Q2778/100)</f>
        <v/>
      </c>
      <c r="N2778" s="7" t="n"/>
      <c r="O2778" s="7" t="n"/>
      <c r="P2778" s="7">
        <f>IF($B2778="","",O2778*X2778/100)</f>
        <v/>
      </c>
      <c r="Q2778" s="7">
        <f>IF($B2778="","",O2778-P2778)</f>
        <v/>
      </c>
      <c r="R2778" s="7">
        <f>IF($B2778="","",Q2778-J2778)</f>
        <v/>
      </c>
      <c r="S2778" s="7" t="n"/>
      <c r="T2778" s="7" t="n"/>
      <c r="V2778" s="14" t="n"/>
      <c r="Z2778">
        <f>IF($B2778="","",IF(COUNTIF($B$2:$B2778,$B2778)=1,1,0))</f>
        <v/>
      </c>
      <c r="AA2778">
        <f>IF($Z2778=1,SUMPRODUCT(--($AC$2:$AC$3001&lt;$AC2778))+1,"")</f>
        <v/>
      </c>
      <c r="AB2778">
        <f>IF($B2778="","",IF(OR($Y2778=TRUE(),$Y2778="TRUE"),1,IF(AND($Y2778&lt;&gt;"",OR($Y2778=FALSE(),$Y2778="FALSE")),0,IF(MIN(ABS($X2778/100-Settings!$C$6),ABS($X2778/100-Settings!$G$6))&lt;=MIN(ABS($X2778/100-Settings!$C$7),ABS($X2778/100-Settings!$G$7)),1,0))))</f>
        <v/>
      </c>
      <c r="AC2778">
        <f>IF($Z2778=1,IFERROR(IF(VALUE($B2778)&lt;100000000,VALUE($B2778),1000000000),IFERROR(IF(VALUE(MID($B2778,2,20))&lt;100000000,VALUE(MID($B2778,2,20)),1000000000),1000000000))+ROW()/100000,"")</f>
        <v/>
      </c>
    </row>
    <row r="2779">
      <c r="A2779">
        <f>IF($B2779="","",IFERROR(IF(INDEX('Per Invoice'!$A$2:$A$801,MATCH($B2779,'Per Invoice'!$B$2:$B$801,0))=0,"",INDEX('Per Invoice'!$A$2:$A$801,MATCH($B2779,'Per Invoice'!$B$2:$B$801,0))),""))</f>
        <v/>
      </c>
      <c r="J2779" s="7">
        <f>IF($B2779="","",I2779*Q2779/100)</f>
        <v/>
      </c>
      <c r="N2779" s="7" t="n"/>
      <c r="O2779" s="7" t="n"/>
      <c r="P2779" s="7">
        <f>IF($B2779="","",O2779*X2779/100)</f>
        <v/>
      </c>
      <c r="Q2779" s="7">
        <f>IF($B2779="","",O2779-P2779)</f>
        <v/>
      </c>
      <c r="R2779" s="7">
        <f>IF($B2779="","",Q2779-J2779)</f>
        <v/>
      </c>
      <c r="S2779" s="7" t="n"/>
      <c r="T2779" s="7" t="n"/>
      <c r="V2779" s="14" t="n"/>
      <c r="Z2779">
        <f>IF($B2779="","",IF(COUNTIF($B$2:$B2779,$B2779)=1,1,0))</f>
        <v/>
      </c>
      <c r="AA2779">
        <f>IF($Z2779=1,SUMPRODUCT(--($AC$2:$AC$3001&lt;$AC2779))+1,"")</f>
        <v/>
      </c>
      <c r="AB2779">
        <f>IF($B2779="","",IF(OR($Y2779=TRUE(),$Y2779="TRUE"),1,IF(AND($Y2779&lt;&gt;"",OR($Y2779=FALSE(),$Y2779="FALSE")),0,IF(MIN(ABS($X2779/100-Settings!$C$6),ABS($X2779/100-Settings!$G$6))&lt;=MIN(ABS($X2779/100-Settings!$C$7),ABS($X2779/100-Settings!$G$7)),1,0))))</f>
        <v/>
      </c>
      <c r="AC2779">
        <f>IF($Z2779=1,IFERROR(IF(VALUE($B2779)&lt;100000000,VALUE($B2779),1000000000),IFERROR(IF(VALUE(MID($B2779,2,20))&lt;100000000,VALUE(MID($B2779,2,20)),1000000000),1000000000))+ROW()/100000,"")</f>
        <v/>
      </c>
    </row>
    <row r="2780">
      <c r="A2780">
        <f>IF($B2780="","",IFERROR(IF(INDEX('Per Invoice'!$A$2:$A$801,MATCH($B2780,'Per Invoice'!$B$2:$B$801,0))=0,"",INDEX('Per Invoice'!$A$2:$A$801,MATCH($B2780,'Per Invoice'!$B$2:$B$801,0))),""))</f>
        <v/>
      </c>
      <c r="J2780" s="7">
        <f>IF($B2780="","",I2780*Q2780/100)</f>
        <v/>
      </c>
      <c r="N2780" s="7" t="n"/>
      <c r="O2780" s="7" t="n"/>
      <c r="P2780" s="7">
        <f>IF($B2780="","",O2780*X2780/100)</f>
        <v/>
      </c>
      <c r="Q2780" s="7">
        <f>IF($B2780="","",O2780-P2780)</f>
        <v/>
      </c>
      <c r="R2780" s="7">
        <f>IF($B2780="","",Q2780-J2780)</f>
        <v/>
      </c>
      <c r="S2780" s="7" t="n"/>
      <c r="T2780" s="7" t="n"/>
      <c r="V2780" s="14" t="n"/>
      <c r="Z2780">
        <f>IF($B2780="","",IF(COUNTIF($B$2:$B2780,$B2780)=1,1,0))</f>
        <v/>
      </c>
      <c r="AA2780">
        <f>IF($Z2780=1,SUMPRODUCT(--($AC$2:$AC$3001&lt;$AC2780))+1,"")</f>
        <v/>
      </c>
      <c r="AB2780">
        <f>IF($B2780="","",IF(OR($Y2780=TRUE(),$Y2780="TRUE"),1,IF(AND($Y2780&lt;&gt;"",OR($Y2780=FALSE(),$Y2780="FALSE")),0,IF(MIN(ABS($X2780/100-Settings!$C$6),ABS($X2780/100-Settings!$G$6))&lt;=MIN(ABS($X2780/100-Settings!$C$7),ABS($X2780/100-Settings!$G$7)),1,0))))</f>
        <v/>
      </c>
      <c r="AC2780">
        <f>IF($Z2780=1,IFERROR(IF(VALUE($B2780)&lt;100000000,VALUE($B2780),1000000000),IFERROR(IF(VALUE(MID($B2780,2,20))&lt;100000000,VALUE(MID($B2780,2,20)),1000000000),1000000000))+ROW()/100000,"")</f>
        <v/>
      </c>
    </row>
    <row r="2781">
      <c r="A2781">
        <f>IF($B2781="","",IFERROR(IF(INDEX('Per Invoice'!$A$2:$A$801,MATCH($B2781,'Per Invoice'!$B$2:$B$801,0))=0,"",INDEX('Per Invoice'!$A$2:$A$801,MATCH($B2781,'Per Invoice'!$B$2:$B$801,0))),""))</f>
        <v/>
      </c>
      <c r="J2781" s="7">
        <f>IF($B2781="","",I2781*Q2781/100)</f>
        <v/>
      </c>
      <c r="N2781" s="7" t="n"/>
      <c r="O2781" s="7" t="n"/>
      <c r="P2781" s="7">
        <f>IF($B2781="","",O2781*X2781/100)</f>
        <v/>
      </c>
      <c r="Q2781" s="7">
        <f>IF($B2781="","",O2781-P2781)</f>
        <v/>
      </c>
      <c r="R2781" s="7">
        <f>IF($B2781="","",Q2781-J2781)</f>
        <v/>
      </c>
      <c r="S2781" s="7" t="n"/>
      <c r="T2781" s="7" t="n"/>
      <c r="V2781" s="14" t="n"/>
      <c r="Z2781">
        <f>IF($B2781="","",IF(COUNTIF($B$2:$B2781,$B2781)=1,1,0))</f>
        <v/>
      </c>
      <c r="AA2781">
        <f>IF($Z2781=1,SUMPRODUCT(--($AC$2:$AC$3001&lt;$AC2781))+1,"")</f>
        <v/>
      </c>
      <c r="AB2781">
        <f>IF($B2781="","",IF(OR($Y2781=TRUE(),$Y2781="TRUE"),1,IF(AND($Y2781&lt;&gt;"",OR($Y2781=FALSE(),$Y2781="FALSE")),0,IF(MIN(ABS($X2781/100-Settings!$C$6),ABS($X2781/100-Settings!$G$6))&lt;=MIN(ABS($X2781/100-Settings!$C$7),ABS($X2781/100-Settings!$G$7)),1,0))))</f>
        <v/>
      </c>
      <c r="AC2781">
        <f>IF($Z2781=1,IFERROR(IF(VALUE($B2781)&lt;100000000,VALUE($B2781),1000000000),IFERROR(IF(VALUE(MID($B2781,2,20))&lt;100000000,VALUE(MID($B2781,2,20)),1000000000),1000000000))+ROW()/100000,"")</f>
        <v/>
      </c>
    </row>
    <row r="2782">
      <c r="A2782">
        <f>IF($B2782="","",IFERROR(IF(INDEX('Per Invoice'!$A$2:$A$801,MATCH($B2782,'Per Invoice'!$B$2:$B$801,0))=0,"",INDEX('Per Invoice'!$A$2:$A$801,MATCH($B2782,'Per Invoice'!$B$2:$B$801,0))),""))</f>
        <v/>
      </c>
      <c r="J2782" s="7">
        <f>IF($B2782="","",I2782*Q2782/100)</f>
        <v/>
      </c>
      <c r="N2782" s="7" t="n"/>
      <c r="O2782" s="7" t="n"/>
      <c r="P2782" s="7">
        <f>IF($B2782="","",O2782*X2782/100)</f>
        <v/>
      </c>
      <c r="Q2782" s="7">
        <f>IF($B2782="","",O2782-P2782)</f>
        <v/>
      </c>
      <c r="R2782" s="7">
        <f>IF($B2782="","",Q2782-J2782)</f>
        <v/>
      </c>
      <c r="S2782" s="7" t="n"/>
      <c r="T2782" s="7" t="n"/>
      <c r="V2782" s="14" t="n"/>
      <c r="Z2782">
        <f>IF($B2782="","",IF(COUNTIF($B$2:$B2782,$B2782)=1,1,0))</f>
        <v/>
      </c>
      <c r="AA2782">
        <f>IF($Z2782=1,SUMPRODUCT(--($AC$2:$AC$3001&lt;$AC2782))+1,"")</f>
        <v/>
      </c>
      <c r="AB2782">
        <f>IF($B2782="","",IF(OR($Y2782=TRUE(),$Y2782="TRUE"),1,IF(AND($Y2782&lt;&gt;"",OR($Y2782=FALSE(),$Y2782="FALSE")),0,IF(MIN(ABS($X2782/100-Settings!$C$6),ABS($X2782/100-Settings!$G$6))&lt;=MIN(ABS($X2782/100-Settings!$C$7),ABS($X2782/100-Settings!$G$7)),1,0))))</f>
        <v/>
      </c>
      <c r="AC2782">
        <f>IF($Z2782=1,IFERROR(IF(VALUE($B2782)&lt;100000000,VALUE($B2782),1000000000),IFERROR(IF(VALUE(MID($B2782,2,20))&lt;100000000,VALUE(MID($B2782,2,20)),1000000000),1000000000))+ROW()/100000,"")</f>
        <v/>
      </c>
    </row>
    <row r="2783">
      <c r="A2783">
        <f>IF($B2783="","",IFERROR(IF(INDEX('Per Invoice'!$A$2:$A$801,MATCH($B2783,'Per Invoice'!$B$2:$B$801,0))=0,"",INDEX('Per Invoice'!$A$2:$A$801,MATCH($B2783,'Per Invoice'!$B$2:$B$801,0))),""))</f>
        <v/>
      </c>
      <c r="J2783" s="7">
        <f>IF($B2783="","",I2783*Q2783/100)</f>
        <v/>
      </c>
      <c r="N2783" s="7" t="n"/>
      <c r="O2783" s="7" t="n"/>
      <c r="P2783" s="7">
        <f>IF($B2783="","",O2783*X2783/100)</f>
        <v/>
      </c>
      <c r="Q2783" s="7">
        <f>IF($B2783="","",O2783-P2783)</f>
        <v/>
      </c>
      <c r="R2783" s="7">
        <f>IF($B2783="","",Q2783-J2783)</f>
        <v/>
      </c>
      <c r="S2783" s="7" t="n"/>
      <c r="T2783" s="7" t="n"/>
      <c r="V2783" s="14" t="n"/>
      <c r="Z2783">
        <f>IF($B2783="","",IF(COUNTIF($B$2:$B2783,$B2783)=1,1,0))</f>
        <v/>
      </c>
      <c r="AA2783">
        <f>IF($Z2783=1,SUMPRODUCT(--($AC$2:$AC$3001&lt;$AC2783))+1,"")</f>
        <v/>
      </c>
      <c r="AB2783">
        <f>IF($B2783="","",IF(OR($Y2783=TRUE(),$Y2783="TRUE"),1,IF(AND($Y2783&lt;&gt;"",OR($Y2783=FALSE(),$Y2783="FALSE")),0,IF(MIN(ABS($X2783/100-Settings!$C$6),ABS($X2783/100-Settings!$G$6))&lt;=MIN(ABS($X2783/100-Settings!$C$7),ABS($X2783/100-Settings!$G$7)),1,0))))</f>
        <v/>
      </c>
      <c r="AC2783">
        <f>IF($Z2783=1,IFERROR(IF(VALUE($B2783)&lt;100000000,VALUE($B2783),1000000000),IFERROR(IF(VALUE(MID($B2783,2,20))&lt;100000000,VALUE(MID($B2783,2,20)),1000000000),1000000000))+ROW()/100000,"")</f>
        <v/>
      </c>
    </row>
    <row r="2784">
      <c r="A2784">
        <f>IF($B2784="","",IFERROR(IF(INDEX('Per Invoice'!$A$2:$A$801,MATCH($B2784,'Per Invoice'!$B$2:$B$801,0))=0,"",INDEX('Per Invoice'!$A$2:$A$801,MATCH($B2784,'Per Invoice'!$B$2:$B$801,0))),""))</f>
        <v/>
      </c>
      <c r="J2784" s="7">
        <f>IF($B2784="","",I2784*Q2784/100)</f>
        <v/>
      </c>
      <c r="N2784" s="7" t="n"/>
      <c r="O2784" s="7" t="n"/>
      <c r="P2784" s="7">
        <f>IF($B2784="","",O2784*X2784/100)</f>
        <v/>
      </c>
      <c r="Q2784" s="7">
        <f>IF($B2784="","",O2784-P2784)</f>
        <v/>
      </c>
      <c r="R2784" s="7">
        <f>IF($B2784="","",Q2784-J2784)</f>
        <v/>
      </c>
      <c r="S2784" s="7" t="n"/>
      <c r="T2784" s="7" t="n"/>
      <c r="V2784" s="14" t="n"/>
      <c r="Z2784">
        <f>IF($B2784="","",IF(COUNTIF($B$2:$B2784,$B2784)=1,1,0))</f>
        <v/>
      </c>
      <c r="AA2784">
        <f>IF($Z2784=1,SUMPRODUCT(--($AC$2:$AC$3001&lt;$AC2784))+1,"")</f>
        <v/>
      </c>
      <c r="AB2784">
        <f>IF($B2784="","",IF(OR($Y2784=TRUE(),$Y2784="TRUE"),1,IF(AND($Y2784&lt;&gt;"",OR($Y2784=FALSE(),$Y2784="FALSE")),0,IF(MIN(ABS($X2784/100-Settings!$C$6),ABS($X2784/100-Settings!$G$6))&lt;=MIN(ABS($X2784/100-Settings!$C$7),ABS($X2784/100-Settings!$G$7)),1,0))))</f>
        <v/>
      </c>
      <c r="AC2784">
        <f>IF($Z2784=1,IFERROR(IF(VALUE($B2784)&lt;100000000,VALUE($B2784),1000000000),IFERROR(IF(VALUE(MID($B2784,2,20))&lt;100000000,VALUE(MID($B2784,2,20)),1000000000),1000000000))+ROW()/100000,"")</f>
        <v/>
      </c>
    </row>
    <row r="2785">
      <c r="A2785">
        <f>IF($B2785="","",IFERROR(IF(INDEX('Per Invoice'!$A$2:$A$801,MATCH($B2785,'Per Invoice'!$B$2:$B$801,0))=0,"",INDEX('Per Invoice'!$A$2:$A$801,MATCH($B2785,'Per Invoice'!$B$2:$B$801,0))),""))</f>
        <v/>
      </c>
      <c r="J2785" s="7">
        <f>IF($B2785="","",I2785*Q2785/100)</f>
        <v/>
      </c>
      <c r="N2785" s="7" t="n"/>
      <c r="O2785" s="7" t="n"/>
      <c r="P2785" s="7">
        <f>IF($B2785="","",O2785*X2785/100)</f>
        <v/>
      </c>
      <c r="Q2785" s="7">
        <f>IF($B2785="","",O2785-P2785)</f>
        <v/>
      </c>
      <c r="R2785" s="7">
        <f>IF($B2785="","",Q2785-J2785)</f>
        <v/>
      </c>
      <c r="S2785" s="7" t="n"/>
      <c r="T2785" s="7" t="n"/>
      <c r="V2785" s="14" t="n"/>
      <c r="Z2785">
        <f>IF($B2785="","",IF(COUNTIF($B$2:$B2785,$B2785)=1,1,0))</f>
        <v/>
      </c>
      <c r="AA2785">
        <f>IF($Z2785=1,SUMPRODUCT(--($AC$2:$AC$3001&lt;$AC2785))+1,"")</f>
        <v/>
      </c>
      <c r="AB2785">
        <f>IF($B2785="","",IF(OR($Y2785=TRUE(),$Y2785="TRUE"),1,IF(AND($Y2785&lt;&gt;"",OR($Y2785=FALSE(),$Y2785="FALSE")),0,IF(MIN(ABS($X2785/100-Settings!$C$6),ABS($X2785/100-Settings!$G$6))&lt;=MIN(ABS($X2785/100-Settings!$C$7),ABS($X2785/100-Settings!$G$7)),1,0))))</f>
        <v/>
      </c>
      <c r="AC2785">
        <f>IF($Z2785=1,IFERROR(IF(VALUE($B2785)&lt;100000000,VALUE($B2785),1000000000),IFERROR(IF(VALUE(MID($B2785,2,20))&lt;100000000,VALUE(MID($B2785,2,20)),1000000000),1000000000))+ROW()/100000,"")</f>
        <v/>
      </c>
    </row>
    <row r="2786">
      <c r="A2786">
        <f>IF($B2786="","",IFERROR(IF(INDEX('Per Invoice'!$A$2:$A$801,MATCH($B2786,'Per Invoice'!$B$2:$B$801,0))=0,"",INDEX('Per Invoice'!$A$2:$A$801,MATCH($B2786,'Per Invoice'!$B$2:$B$801,0))),""))</f>
        <v/>
      </c>
      <c r="J2786" s="7">
        <f>IF($B2786="","",I2786*Q2786/100)</f>
        <v/>
      </c>
      <c r="N2786" s="7" t="n"/>
      <c r="O2786" s="7" t="n"/>
      <c r="P2786" s="7">
        <f>IF($B2786="","",O2786*X2786/100)</f>
        <v/>
      </c>
      <c r="Q2786" s="7">
        <f>IF($B2786="","",O2786-P2786)</f>
        <v/>
      </c>
      <c r="R2786" s="7">
        <f>IF($B2786="","",Q2786-J2786)</f>
        <v/>
      </c>
      <c r="S2786" s="7" t="n"/>
      <c r="T2786" s="7" t="n"/>
      <c r="V2786" s="14" t="n"/>
      <c r="Z2786">
        <f>IF($B2786="","",IF(COUNTIF($B$2:$B2786,$B2786)=1,1,0))</f>
        <v/>
      </c>
      <c r="AA2786">
        <f>IF($Z2786=1,SUMPRODUCT(--($AC$2:$AC$3001&lt;$AC2786))+1,"")</f>
        <v/>
      </c>
      <c r="AB2786">
        <f>IF($B2786="","",IF(OR($Y2786=TRUE(),$Y2786="TRUE"),1,IF(AND($Y2786&lt;&gt;"",OR($Y2786=FALSE(),$Y2786="FALSE")),0,IF(MIN(ABS($X2786/100-Settings!$C$6),ABS($X2786/100-Settings!$G$6))&lt;=MIN(ABS($X2786/100-Settings!$C$7),ABS($X2786/100-Settings!$G$7)),1,0))))</f>
        <v/>
      </c>
      <c r="AC2786">
        <f>IF($Z2786=1,IFERROR(IF(VALUE($B2786)&lt;100000000,VALUE($B2786),1000000000),IFERROR(IF(VALUE(MID($B2786,2,20))&lt;100000000,VALUE(MID($B2786,2,20)),1000000000),1000000000))+ROW()/100000,"")</f>
        <v/>
      </c>
    </row>
    <row r="2787">
      <c r="A2787">
        <f>IF($B2787="","",IFERROR(IF(INDEX('Per Invoice'!$A$2:$A$801,MATCH($B2787,'Per Invoice'!$B$2:$B$801,0))=0,"",INDEX('Per Invoice'!$A$2:$A$801,MATCH($B2787,'Per Invoice'!$B$2:$B$801,0))),""))</f>
        <v/>
      </c>
      <c r="J2787" s="7">
        <f>IF($B2787="","",I2787*Q2787/100)</f>
        <v/>
      </c>
      <c r="N2787" s="7" t="n"/>
      <c r="O2787" s="7" t="n"/>
      <c r="P2787" s="7">
        <f>IF($B2787="","",O2787*X2787/100)</f>
        <v/>
      </c>
      <c r="Q2787" s="7">
        <f>IF($B2787="","",O2787-P2787)</f>
        <v/>
      </c>
      <c r="R2787" s="7">
        <f>IF($B2787="","",Q2787-J2787)</f>
        <v/>
      </c>
      <c r="S2787" s="7" t="n"/>
      <c r="T2787" s="7" t="n"/>
      <c r="V2787" s="14" t="n"/>
      <c r="Z2787">
        <f>IF($B2787="","",IF(COUNTIF($B$2:$B2787,$B2787)=1,1,0))</f>
        <v/>
      </c>
      <c r="AA2787">
        <f>IF($Z2787=1,SUMPRODUCT(--($AC$2:$AC$3001&lt;$AC2787))+1,"")</f>
        <v/>
      </c>
      <c r="AB2787">
        <f>IF($B2787="","",IF(OR($Y2787=TRUE(),$Y2787="TRUE"),1,IF(AND($Y2787&lt;&gt;"",OR($Y2787=FALSE(),$Y2787="FALSE")),0,IF(MIN(ABS($X2787/100-Settings!$C$6),ABS($X2787/100-Settings!$G$6))&lt;=MIN(ABS($X2787/100-Settings!$C$7),ABS($X2787/100-Settings!$G$7)),1,0))))</f>
        <v/>
      </c>
      <c r="AC2787">
        <f>IF($Z2787=1,IFERROR(IF(VALUE($B2787)&lt;100000000,VALUE($B2787),1000000000),IFERROR(IF(VALUE(MID($B2787,2,20))&lt;100000000,VALUE(MID($B2787,2,20)),1000000000),1000000000))+ROW()/100000,"")</f>
        <v/>
      </c>
    </row>
    <row r="2788">
      <c r="A2788">
        <f>IF($B2788="","",IFERROR(IF(INDEX('Per Invoice'!$A$2:$A$801,MATCH($B2788,'Per Invoice'!$B$2:$B$801,0))=0,"",INDEX('Per Invoice'!$A$2:$A$801,MATCH($B2788,'Per Invoice'!$B$2:$B$801,0))),""))</f>
        <v/>
      </c>
      <c r="J2788" s="7">
        <f>IF($B2788="","",I2788*Q2788/100)</f>
        <v/>
      </c>
      <c r="N2788" s="7" t="n"/>
      <c r="O2788" s="7" t="n"/>
      <c r="P2788" s="7">
        <f>IF($B2788="","",O2788*X2788/100)</f>
        <v/>
      </c>
      <c r="Q2788" s="7">
        <f>IF($B2788="","",O2788-P2788)</f>
        <v/>
      </c>
      <c r="R2788" s="7">
        <f>IF($B2788="","",Q2788-J2788)</f>
        <v/>
      </c>
      <c r="S2788" s="7" t="n"/>
      <c r="T2788" s="7" t="n"/>
      <c r="V2788" s="14" t="n"/>
      <c r="Z2788">
        <f>IF($B2788="","",IF(COUNTIF($B$2:$B2788,$B2788)=1,1,0))</f>
        <v/>
      </c>
      <c r="AA2788">
        <f>IF($Z2788=1,SUMPRODUCT(--($AC$2:$AC$3001&lt;$AC2788))+1,"")</f>
        <v/>
      </c>
      <c r="AB2788">
        <f>IF($B2788="","",IF(OR($Y2788=TRUE(),$Y2788="TRUE"),1,IF(AND($Y2788&lt;&gt;"",OR($Y2788=FALSE(),$Y2788="FALSE")),0,IF(MIN(ABS($X2788/100-Settings!$C$6),ABS($X2788/100-Settings!$G$6))&lt;=MIN(ABS($X2788/100-Settings!$C$7),ABS($X2788/100-Settings!$G$7)),1,0))))</f>
        <v/>
      </c>
      <c r="AC2788">
        <f>IF($Z2788=1,IFERROR(IF(VALUE($B2788)&lt;100000000,VALUE($B2788),1000000000),IFERROR(IF(VALUE(MID($B2788,2,20))&lt;100000000,VALUE(MID($B2788,2,20)),1000000000),1000000000))+ROW()/100000,"")</f>
        <v/>
      </c>
    </row>
    <row r="2789">
      <c r="A2789">
        <f>IF($B2789="","",IFERROR(IF(INDEX('Per Invoice'!$A$2:$A$801,MATCH($B2789,'Per Invoice'!$B$2:$B$801,0))=0,"",INDEX('Per Invoice'!$A$2:$A$801,MATCH($B2789,'Per Invoice'!$B$2:$B$801,0))),""))</f>
        <v/>
      </c>
      <c r="J2789" s="7">
        <f>IF($B2789="","",I2789*Q2789/100)</f>
        <v/>
      </c>
      <c r="N2789" s="7" t="n"/>
      <c r="O2789" s="7" t="n"/>
      <c r="P2789" s="7">
        <f>IF($B2789="","",O2789*X2789/100)</f>
        <v/>
      </c>
      <c r="Q2789" s="7">
        <f>IF($B2789="","",O2789-P2789)</f>
        <v/>
      </c>
      <c r="R2789" s="7">
        <f>IF($B2789="","",Q2789-J2789)</f>
        <v/>
      </c>
      <c r="S2789" s="7" t="n"/>
      <c r="T2789" s="7" t="n"/>
      <c r="V2789" s="14" t="n"/>
      <c r="Z2789">
        <f>IF($B2789="","",IF(COUNTIF($B$2:$B2789,$B2789)=1,1,0))</f>
        <v/>
      </c>
      <c r="AA2789">
        <f>IF($Z2789=1,SUMPRODUCT(--($AC$2:$AC$3001&lt;$AC2789))+1,"")</f>
        <v/>
      </c>
      <c r="AB2789">
        <f>IF($B2789="","",IF(OR($Y2789=TRUE(),$Y2789="TRUE"),1,IF(AND($Y2789&lt;&gt;"",OR($Y2789=FALSE(),$Y2789="FALSE")),0,IF(MIN(ABS($X2789/100-Settings!$C$6),ABS($X2789/100-Settings!$G$6))&lt;=MIN(ABS($X2789/100-Settings!$C$7),ABS($X2789/100-Settings!$G$7)),1,0))))</f>
        <v/>
      </c>
      <c r="AC2789">
        <f>IF($Z2789=1,IFERROR(IF(VALUE($B2789)&lt;100000000,VALUE($B2789),1000000000),IFERROR(IF(VALUE(MID($B2789,2,20))&lt;100000000,VALUE(MID($B2789,2,20)),1000000000),1000000000))+ROW()/100000,"")</f>
        <v/>
      </c>
    </row>
    <row r="2790">
      <c r="A2790">
        <f>IF($B2790="","",IFERROR(IF(INDEX('Per Invoice'!$A$2:$A$801,MATCH($B2790,'Per Invoice'!$B$2:$B$801,0))=0,"",INDEX('Per Invoice'!$A$2:$A$801,MATCH($B2790,'Per Invoice'!$B$2:$B$801,0))),""))</f>
        <v/>
      </c>
      <c r="J2790" s="7">
        <f>IF($B2790="","",I2790*Q2790/100)</f>
        <v/>
      </c>
      <c r="N2790" s="7" t="n"/>
      <c r="O2790" s="7" t="n"/>
      <c r="P2790" s="7">
        <f>IF($B2790="","",O2790*X2790/100)</f>
        <v/>
      </c>
      <c r="Q2790" s="7">
        <f>IF($B2790="","",O2790-P2790)</f>
        <v/>
      </c>
      <c r="R2790" s="7">
        <f>IF($B2790="","",Q2790-J2790)</f>
        <v/>
      </c>
      <c r="S2790" s="7" t="n"/>
      <c r="T2790" s="7" t="n"/>
      <c r="V2790" s="14" t="n"/>
      <c r="Z2790">
        <f>IF($B2790="","",IF(COUNTIF($B$2:$B2790,$B2790)=1,1,0))</f>
        <v/>
      </c>
      <c r="AA2790">
        <f>IF($Z2790=1,SUMPRODUCT(--($AC$2:$AC$3001&lt;$AC2790))+1,"")</f>
        <v/>
      </c>
      <c r="AB2790">
        <f>IF($B2790="","",IF(OR($Y2790=TRUE(),$Y2790="TRUE"),1,IF(AND($Y2790&lt;&gt;"",OR($Y2790=FALSE(),$Y2790="FALSE")),0,IF(MIN(ABS($X2790/100-Settings!$C$6),ABS($X2790/100-Settings!$G$6))&lt;=MIN(ABS($X2790/100-Settings!$C$7),ABS($X2790/100-Settings!$G$7)),1,0))))</f>
        <v/>
      </c>
      <c r="AC2790">
        <f>IF($Z2790=1,IFERROR(IF(VALUE($B2790)&lt;100000000,VALUE($B2790),1000000000),IFERROR(IF(VALUE(MID($B2790,2,20))&lt;100000000,VALUE(MID($B2790,2,20)),1000000000),1000000000))+ROW()/100000,"")</f>
        <v/>
      </c>
    </row>
    <row r="2791">
      <c r="A2791">
        <f>IF($B2791="","",IFERROR(IF(INDEX('Per Invoice'!$A$2:$A$801,MATCH($B2791,'Per Invoice'!$B$2:$B$801,0))=0,"",INDEX('Per Invoice'!$A$2:$A$801,MATCH($B2791,'Per Invoice'!$B$2:$B$801,0))),""))</f>
        <v/>
      </c>
      <c r="J2791" s="7">
        <f>IF($B2791="","",I2791*Q2791/100)</f>
        <v/>
      </c>
      <c r="N2791" s="7" t="n"/>
      <c r="O2791" s="7" t="n"/>
      <c r="P2791" s="7">
        <f>IF($B2791="","",O2791*X2791/100)</f>
        <v/>
      </c>
      <c r="Q2791" s="7">
        <f>IF($B2791="","",O2791-P2791)</f>
        <v/>
      </c>
      <c r="R2791" s="7">
        <f>IF($B2791="","",Q2791-J2791)</f>
        <v/>
      </c>
      <c r="S2791" s="7" t="n"/>
      <c r="T2791" s="7" t="n"/>
      <c r="V2791" s="14" t="n"/>
      <c r="Z2791">
        <f>IF($B2791="","",IF(COUNTIF($B$2:$B2791,$B2791)=1,1,0))</f>
        <v/>
      </c>
      <c r="AA2791">
        <f>IF($Z2791=1,SUMPRODUCT(--($AC$2:$AC$3001&lt;$AC2791))+1,"")</f>
        <v/>
      </c>
      <c r="AB2791">
        <f>IF($B2791="","",IF(OR($Y2791=TRUE(),$Y2791="TRUE"),1,IF(AND($Y2791&lt;&gt;"",OR($Y2791=FALSE(),$Y2791="FALSE")),0,IF(MIN(ABS($X2791/100-Settings!$C$6),ABS($X2791/100-Settings!$G$6))&lt;=MIN(ABS($X2791/100-Settings!$C$7),ABS($X2791/100-Settings!$G$7)),1,0))))</f>
        <v/>
      </c>
      <c r="AC2791">
        <f>IF($Z2791=1,IFERROR(IF(VALUE($B2791)&lt;100000000,VALUE($B2791),1000000000),IFERROR(IF(VALUE(MID($B2791,2,20))&lt;100000000,VALUE(MID($B2791,2,20)),1000000000),1000000000))+ROW()/100000,"")</f>
        <v/>
      </c>
    </row>
    <row r="2792">
      <c r="A2792">
        <f>IF($B2792="","",IFERROR(IF(INDEX('Per Invoice'!$A$2:$A$801,MATCH($B2792,'Per Invoice'!$B$2:$B$801,0))=0,"",INDEX('Per Invoice'!$A$2:$A$801,MATCH($B2792,'Per Invoice'!$B$2:$B$801,0))),""))</f>
        <v/>
      </c>
      <c r="J2792" s="7">
        <f>IF($B2792="","",I2792*Q2792/100)</f>
        <v/>
      </c>
      <c r="N2792" s="7" t="n"/>
      <c r="O2792" s="7" t="n"/>
      <c r="P2792" s="7">
        <f>IF($B2792="","",O2792*X2792/100)</f>
        <v/>
      </c>
      <c r="Q2792" s="7">
        <f>IF($B2792="","",O2792-P2792)</f>
        <v/>
      </c>
      <c r="R2792" s="7">
        <f>IF($B2792="","",Q2792-J2792)</f>
        <v/>
      </c>
      <c r="S2792" s="7" t="n"/>
      <c r="T2792" s="7" t="n"/>
      <c r="V2792" s="14" t="n"/>
      <c r="Z2792">
        <f>IF($B2792="","",IF(COUNTIF($B$2:$B2792,$B2792)=1,1,0))</f>
        <v/>
      </c>
      <c r="AA2792">
        <f>IF($Z2792=1,SUMPRODUCT(--($AC$2:$AC$3001&lt;$AC2792))+1,"")</f>
        <v/>
      </c>
      <c r="AB2792">
        <f>IF($B2792="","",IF(OR($Y2792=TRUE(),$Y2792="TRUE"),1,IF(AND($Y2792&lt;&gt;"",OR($Y2792=FALSE(),$Y2792="FALSE")),0,IF(MIN(ABS($X2792/100-Settings!$C$6),ABS($X2792/100-Settings!$G$6))&lt;=MIN(ABS($X2792/100-Settings!$C$7),ABS($X2792/100-Settings!$G$7)),1,0))))</f>
        <v/>
      </c>
      <c r="AC2792">
        <f>IF($Z2792=1,IFERROR(IF(VALUE($B2792)&lt;100000000,VALUE($B2792),1000000000),IFERROR(IF(VALUE(MID($B2792,2,20))&lt;100000000,VALUE(MID($B2792,2,20)),1000000000),1000000000))+ROW()/100000,"")</f>
        <v/>
      </c>
    </row>
    <row r="2793">
      <c r="A2793">
        <f>IF($B2793="","",IFERROR(IF(INDEX('Per Invoice'!$A$2:$A$801,MATCH($B2793,'Per Invoice'!$B$2:$B$801,0))=0,"",INDEX('Per Invoice'!$A$2:$A$801,MATCH($B2793,'Per Invoice'!$B$2:$B$801,0))),""))</f>
        <v/>
      </c>
      <c r="J2793" s="7">
        <f>IF($B2793="","",I2793*Q2793/100)</f>
        <v/>
      </c>
      <c r="N2793" s="7" t="n"/>
      <c r="O2793" s="7" t="n"/>
      <c r="P2793" s="7">
        <f>IF($B2793="","",O2793*X2793/100)</f>
        <v/>
      </c>
      <c r="Q2793" s="7">
        <f>IF($B2793="","",O2793-P2793)</f>
        <v/>
      </c>
      <c r="R2793" s="7">
        <f>IF($B2793="","",Q2793-J2793)</f>
        <v/>
      </c>
      <c r="S2793" s="7" t="n"/>
      <c r="T2793" s="7" t="n"/>
      <c r="V2793" s="14" t="n"/>
      <c r="Z2793">
        <f>IF($B2793="","",IF(COUNTIF($B$2:$B2793,$B2793)=1,1,0))</f>
        <v/>
      </c>
      <c r="AA2793">
        <f>IF($Z2793=1,SUMPRODUCT(--($AC$2:$AC$3001&lt;$AC2793))+1,"")</f>
        <v/>
      </c>
      <c r="AB2793">
        <f>IF($B2793="","",IF(OR($Y2793=TRUE(),$Y2793="TRUE"),1,IF(AND($Y2793&lt;&gt;"",OR($Y2793=FALSE(),$Y2793="FALSE")),0,IF(MIN(ABS($X2793/100-Settings!$C$6),ABS($X2793/100-Settings!$G$6))&lt;=MIN(ABS($X2793/100-Settings!$C$7),ABS($X2793/100-Settings!$G$7)),1,0))))</f>
        <v/>
      </c>
      <c r="AC2793">
        <f>IF($Z2793=1,IFERROR(IF(VALUE($B2793)&lt;100000000,VALUE($B2793),1000000000),IFERROR(IF(VALUE(MID($B2793,2,20))&lt;100000000,VALUE(MID($B2793,2,20)),1000000000),1000000000))+ROW()/100000,"")</f>
        <v/>
      </c>
    </row>
    <row r="2794">
      <c r="A2794">
        <f>IF($B2794="","",IFERROR(IF(INDEX('Per Invoice'!$A$2:$A$801,MATCH($B2794,'Per Invoice'!$B$2:$B$801,0))=0,"",INDEX('Per Invoice'!$A$2:$A$801,MATCH($B2794,'Per Invoice'!$B$2:$B$801,0))),""))</f>
        <v/>
      </c>
      <c r="J2794" s="7">
        <f>IF($B2794="","",I2794*Q2794/100)</f>
        <v/>
      </c>
      <c r="N2794" s="7" t="n"/>
      <c r="O2794" s="7" t="n"/>
      <c r="P2794" s="7">
        <f>IF($B2794="","",O2794*X2794/100)</f>
        <v/>
      </c>
      <c r="Q2794" s="7">
        <f>IF($B2794="","",O2794-P2794)</f>
        <v/>
      </c>
      <c r="R2794" s="7">
        <f>IF($B2794="","",Q2794-J2794)</f>
        <v/>
      </c>
      <c r="S2794" s="7" t="n"/>
      <c r="T2794" s="7" t="n"/>
      <c r="V2794" s="14" t="n"/>
      <c r="Z2794">
        <f>IF($B2794="","",IF(COUNTIF($B$2:$B2794,$B2794)=1,1,0))</f>
        <v/>
      </c>
      <c r="AA2794">
        <f>IF($Z2794=1,SUMPRODUCT(--($AC$2:$AC$3001&lt;$AC2794))+1,"")</f>
        <v/>
      </c>
      <c r="AB2794">
        <f>IF($B2794="","",IF(OR($Y2794=TRUE(),$Y2794="TRUE"),1,IF(AND($Y2794&lt;&gt;"",OR($Y2794=FALSE(),$Y2794="FALSE")),0,IF(MIN(ABS($X2794/100-Settings!$C$6),ABS($X2794/100-Settings!$G$6))&lt;=MIN(ABS($X2794/100-Settings!$C$7),ABS($X2794/100-Settings!$G$7)),1,0))))</f>
        <v/>
      </c>
      <c r="AC2794">
        <f>IF($Z2794=1,IFERROR(IF(VALUE($B2794)&lt;100000000,VALUE($B2794),1000000000),IFERROR(IF(VALUE(MID($B2794,2,20))&lt;100000000,VALUE(MID($B2794,2,20)),1000000000),1000000000))+ROW()/100000,"")</f>
        <v/>
      </c>
    </row>
    <row r="2795">
      <c r="A2795">
        <f>IF($B2795="","",IFERROR(IF(INDEX('Per Invoice'!$A$2:$A$801,MATCH($B2795,'Per Invoice'!$B$2:$B$801,0))=0,"",INDEX('Per Invoice'!$A$2:$A$801,MATCH($B2795,'Per Invoice'!$B$2:$B$801,0))),""))</f>
        <v/>
      </c>
      <c r="J2795" s="7">
        <f>IF($B2795="","",I2795*Q2795/100)</f>
        <v/>
      </c>
      <c r="N2795" s="7" t="n"/>
      <c r="O2795" s="7" t="n"/>
      <c r="P2795" s="7">
        <f>IF($B2795="","",O2795*X2795/100)</f>
        <v/>
      </c>
      <c r="Q2795" s="7">
        <f>IF($B2795="","",O2795-P2795)</f>
        <v/>
      </c>
      <c r="R2795" s="7">
        <f>IF($B2795="","",Q2795-J2795)</f>
        <v/>
      </c>
      <c r="S2795" s="7" t="n"/>
      <c r="T2795" s="7" t="n"/>
      <c r="V2795" s="14" t="n"/>
      <c r="Z2795">
        <f>IF($B2795="","",IF(COUNTIF($B$2:$B2795,$B2795)=1,1,0))</f>
        <v/>
      </c>
      <c r="AA2795">
        <f>IF($Z2795=1,SUMPRODUCT(--($AC$2:$AC$3001&lt;$AC2795))+1,"")</f>
        <v/>
      </c>
      <c r="AB2795">
        <f>IF($B2795="","",IF(OR($Y2795=TRUE(),$Y2795="TRUE"),1,IF(AND($Y2795&lt;&gt;"",OR($Y2795=FALSE(),$Y2795="FALSE")),0,IF(MIN(ABS($X2795/100-Settings!$C$6),ABS($X2795/100-Settings!$G$6))&lt;=MIN(ABS($X2795/100-Settings!$C$7),ABS($X2795/100-Settings!$G$7)),1,0))))</f>
        <v/>
      </c>
      <c r="AC2795">
        <f>IF($Z2795=1,IFERROR(IF(VALUE($B2795)&lt;100000000,VALUE($B2795),1000000000),IFERROR(IF(VALUE(MID($B2795,2,20))&lt;100000000,VALUE(MID($B2795,2,20)),1000000000),1000000000))+ROW()/100000,"")</f>
        <v/>
      </c>
    </row>
    <row r="2796">
      <c r="A2796">
        <f>IF($B2796="","",IFERROR(IF(INDEX('Per Invoice'!$A$2:$A$801,MATCH($B2796,'Per Invoice'!$B$2:$B$801,0))=0,"",INDEX('Per Invoice'!$A$2:$A$801,MATCH($B2796,'Per Invoice'!$B$2:$B$801,0))),""))</f>
        <v/>
      </c>
      <c r="J2796" s="7">
        <f>IF($B2796="","",I2796*Q2796/100)</f>
        <v/>
      </c>
      <c r="N2796" s="7" t="n"/>
      <c r="O2796" s="7" t="n"/>
      <c r="P2796" s="7">
        <f>IF($B2796="","",O2796*X2796/100)</f>
        <v/>
      </c>
      <c r="Q2796" s="7">
        <f>IF($B2796="","",O2796-P2796)</f>
        <v/>
      </c>
      <c r="R2796" s="7">
        <f>IF($B2796="","",Q2796-J2796)</f>
        <v/>
      </c>
      <c r="S2796" s="7" t="n"/>
      <c r="T2796" s="7" t="n"/>
      <c r="V2796" s="14" t="n"/>
      <c r="Z2796">
        <f>IF($B2796="","",IF(COUNTIF($B$2:$B2796,$B2796)=1,1,0))</f>
        <v/>
      </c>
      <c r="AA2796">
        <f>IF($Z2796=1,SUMPRODUCT(--($AC$2:$AC$3001&lt;$AC2796))+1,"")</f>
        <v/>
      </c>
      <c r="AB2796">
        <f>IF($B2796="","",IF(OR($Y2796=TRUE(),$Y2796="TRUE"),1,IF(AND($Y2796&lt;&gt;"",OR($Y2796=FALSE(),$Y2796="FALSE")),0,IF(MIN(ABS($X2796/100-Settings!$C$6),ABS($X2796/100-Settings!$G$6))&lt;=MIN(ABS($X2796/100-Settings!$C$7),ABS($X2796/100-Settings!$G$7)),1,0))))</f>
        <v/>
      </c>
      <c r="AC2796">
        <f>IF($Z2796=1,IFERROR(IF(VALUE($B2796)&lt;100000000,VALUE($B2796),1000000000),IFERROR(IF(VALUE(MID($B2796,2,20))&lt;100000000,VALUE(MID($B2796,2,20)),1000000000),1000000000))+ROW()/100000,"")</f>
        <v/>
      </c>
    </row>
    <row r="2797">
      <c r="A2797">
        <f>IF($B2797="","",IFERROR(IF(INDEX('Per Invoice'!$A$2:$A$801,MATCH($B2797,'Per Invoice'!$B$2:$B$801,0))=0,"",INDEX('Per Invoice'!$A$2:$A$801,MATCH($B2797,'Per Invoice'!$B$2:$B$801,0))),""))</f>
        <v/>
      </c>
      <c r="J2797" s="7">
        <f>IF($B2797="","",I2797*Q2797/100)</f>
        <v/>
      </c>
      <c r="N2797" s="7" t="n"/>
      <c r="O2797" s="7" t="n"/>
      <c r="P2797" s="7">
        <f>IF($B2797="","",O2797*X2797/100)</f>
        <v/>
      </c>
      <c r="Q2797" s="7">
        <f>IF($B2797="","",O2797-P2797)</f>
        <v/>
      </c>
      <c r="R2797" s="7">
        <f>IF($B2797="","",Q2797-J2797)</f>
        <v/>
      </c>
      <c r="S2797" s="7" t="n"/>
      <c r="T2797" s="7" t="n"/>
      <c r="V2797" s="14" t="n"/>
      <c r="Z2797">
        <f>IF($B2797="","",IF(COUNTIF($B$2:$B2797,$B2797)=1,1,0))</f>
        <v/>
      </c>
      <c r="AA2797">
        <f>IF($Z2797=1,SUMPRODUCT(--($AC$2:$AC$3001&lt;$AC2797))+1,"")</f>
        <v/>
      </c>
      <c r="AB2797">
        <f>IF($B2797="","",IF(OR($Y2797=TRUE(),$Y2797="TRUE"),1,IF(AND($Y2797&lt;&gt;"",OR($Y2797=FALSE(),$Y2797="FALSE")),0,IF(MIN(ABS($X2797/100-Settings!$C$6),ABS($X2797/100-Settings!$G$6))&lt;=MIN(ABS($X2797/100-Settings!$C$7),ABS($X2797/100-Settings!$G$7)),1,0))))</f>
        <v/>
      </c>
      <c r="AC2797">
        <f>IF($Z2797=1,IFERROR(IF(VALUE($B2797)&lt;100000000,VALUE($B2797),1000000000),IFERROR(IF(VALUE(MID($B2797,2,20))&lt;100000000,VALUE(MID($B2797,2,20)),1000000000),1000000000))+ROW()/100000,"")</f>
        <v/>
      </c>
    </row>
    <row r="2798">
      <c r="A2798">
        <f>IF($B2798="","",IFERROR(IF(INDEX('Per Invoice'!$A$2:$A$801,MATCH($B2798,'Per Invoice'!$B$2:$B$801,0))=0,"",INDEX('Per Invoice'!$A$2:$A$801,MATCH($B2798,'Per Invoice'!$B$2:$B$801,0))),""))</f>
        <v/>
      </c>
      <c r="J2798" s="7">
        <f>IF($B2798="","",I2798*Q2798/100)</f>
        <v/>
      </c>
      <c r="N2798" s="7" t="n"/>
      <c r="O2798" s="7" t="n"/>
      <c r="P2798" s="7">
        <f>IF($B2798="","",O2798*X2798/100)</f>
        <v/>
      </c>
      <c r="Q2798" s="7">
        <f>IF($B2798="","",O2798-P2798)</f>
        <v/>
      </c>
      <c r="R2798" s="7">
        <f>IF($B2798="","",Q2798-J2798)</f>
        <v/>
      </c>
      <c r="S2798" s="7" t="n"/>
      <c r="T2798" s="7" t="n"/>
      <c r="V2798" s="14" t="n"/>
      <c r="Z2798">
        <f>IF($B2798="","",IF(COUNTIF($B$2:$B2798,$B2798)=1,1,0))</f>
        <v/>
      </c>
      <c r="AA2798">
        <f>IF($Z2798=1,SUMPRODUCT(--($AC$2:$AC$3001&lt;$AC2798))+1,"")</f>
        <v/>
      </c>
      <c r="AB2798">
        <f>IF($B2798="","",IF(OR($Y2798=TRUE(),$Y2798="TRUE"),1,IF(AND($Y2798&lt;&gt;"",OR($Y2798=FALSE(),$Y2798="FALSE")),0,IF(MIN(ABS($X2798/100-Settings!$C$6),ABS($X2798/100-Settings!$G$6))&lt;=MIN(ABS($X2798/100-Settings!$C$7),ABS($X2798/100-Settings!$G$7)),1,0))))</f>
        <v/>
      </c>
      <c r="AC2798">
        <f>IF($Z2798=1,IFERROR(IF(VALUE($B2798)&lt;100000000,VALUE($B2798),1000000000),IFERROR(IF(VALUE(MID($B2798,2,20))&lt;100000000,VALUE(MID($B2798,2,20)),1000000000),1000000000))+ROW()/100000,"")</f>
        <v/>
      </c>
    </row>
    <row r="2799">
      <c r="A2799">
        <f>IF($B2799="","",IFERROR(IF(INDEX('Per Invoice'!$A$2:$A$801,MATCH($B2799,'Per Invoice'!$B$2:$B$801,0))=0,"",INDEX('Per Invoice'!$A$2:$A$801,MATCH($B2799,'Per Invoice'!$B$2:$B$801,0))),""))</f>
        <v/>
      </c>
      <c r="J2799" s="7">
        <f>IF($B2799="","",I2799*Q2799/100)</f>
        <v/>
      </c>
      <c r="N2799" s="7" t="n"/>
      <c r="O2799" s="7" t="n"/>
      <c r="P2799" s="7">
        <f>IF($B2799="","",O2799*X2799/100)</f>
        <v/>
      </c>
      <c r="Q2799" s="7">
        <f>IF($B2799="","",O2799-P2799)</f>
        <v/>
      </c>
      <c r="R2799" s="7">
        <f>IF($B2799="","",Q2799-J2799)</f>
        <v/>
      </c>
      <c r="S2799" s="7" t="n"/>
      <c r="T2799" s="7" t="n"/>
      <c r="V2799" s="14" t="n"/>
      <c r="Z2799">
        <f>IF($B2799="","",IF(COUNTIF($B$2:$B2799,$B2799)=1,1,0))</f>
        <v/>
      </c>
      <c r="AA2799">
        <f>IF($Z2799=1,SUMPRODUCT(--($AC$2:$AC$3001&lt;$AC2799))+1,"")</f>
        <v/>
      </c>
      <c r="AB2799">
        <f>IF($B2799="","",IF(OR($Y2799=TRUE(),$Y2799="TRUE"),1,IF(AND($Y2799&lt;&gt;"",OR($Y2799=FALSE(),$Y2799="FALSE")),0,IF(MIN(ABS($X2799/100-Settings!$C$6),ABS($X2799/100-Settings!$G$6))&lt;=MIN(ABS($X2799/100-Settings!$C$7),ABS($X2799/100-Settings!$G$7)),1,0))))</f>
        <v/>
      </c>
      <c r="AC2799">
        <f>IF($Z2799=1,IFERROR(IF(VALUE($B2799)&lt;100000000,VALUE($B2799),1000000000),IFERROR(IF(VALUE(MID($B2799,2,20))&lt;100000000,VALUE(MID($B2799,2,20)),1000000000),1000000000))+ROW()/100000,"")</f>
        <v/>
      </c>
    </row>
    <row r="2800">
      <c r="A2800">
        <f>IF($B2800="","",IFERROR(IF(INDEX('Per Invoice'!$A$2:$A$801,MATCH($B2800,'Per Invoice'!$B$2:$B$801,0))=0,"",INDEX('Per Invoice'!$A$2:$A$801,MATCH($B2800,'Per Invoice'!$B$2:$B$801,0))),""))</f>
        <v/>
      </c>
      <c r="J2800" s="7">
        <f>IF($B2800="","",I2800*Q2800/100)</f>
        <v/>
      </c>
      <c r="N2800" s="7" t="n"/>
      <c r="O2800" s="7" t="n"/>
      <c r="P2800" s="7">
        <f>IF($B2800="","",O2800*X2800/100)</f>
        <v/>
      </c>
      <c r="Q2800" s="7">
        <f>IF($B2800="","",O2800-P2800)</f>
        <v/>
      </c>
      <c r="R2800" s="7">
        <f>IF($B2800="","",Q2800-J2800)</f>
        <v/>
      </c>
      <c r="S2800" s="7" t="n"/>
      <c r="T2800" s="7" t="n"/>
      <c r="V2800" s="14" t="n"/>
      <c r="Z2800">
        <f>IF($B2800="","",IF(COUNTIF($B$2:$B2800,$B2800)=1,1,0))</f>
        <v/>
      </c>
      <c r="AA2800">
        <f>IF($Z2800=1,SUMPRODUCT(--($AC$2:$AC$3001&lt;$AC2800))+1,"")</f>
        <v/>
      </c>
      <c r="AB2800">
        <f>IF($B2800="","",IF(OR($Y2800=TRUE(),$Y2800="TRUE"),1,IF(AND($Y2800&lt;&gt;"",OR($Y2800=FALSE(),$Y2800="FALSE")),0,IF(MIN(ABS($X2800/100-Settings!$C$6),ABS($X2800/100-Settings!$G$6))&lt;=MIN(ABS($X2800/100-Settings!$C$7),ABS($X2800/100-Settings!$G$7)),1,0))))</f>
        <v/>
      </c>
      <c r="AC2800">
        <f>IF($Z2800=1,IFERROR(IF(VALUE($B2800)&lt;100000000,VALUE($B2800),1000000000),IFERROR(IF(VALUE(MID($B2800,2,20))&lt;100000000,VALUE(MID($B2800,2,20)),1000000000),1000000000))+ROW()/100000,"")</f>
        <v/>
      </c>
    </row>
    <row r="2801">
      <c r="A2801">
        <f>IF($B2801="","",IFERROR(IF(INDEX('Per Invoice'!$A$2:$A$801,MATCH($B2801,'Per Invoice'!$B$2:$B$801,0))=0,"",INDEX('Per Invoice'!$A$2:$A$801,MATCH($B2801,'Per Invoice'!$B$2:$B$801,0))),""))</f>
        <v/>
      </c>
      <c r="J2801" s="7">
        <f>IF($B2801="","",I2801*Q2801/100)</f>
        <v/>
      </c>
      <c r="N2801" s="7" t="n"/>
      <c r="O2801" s="7" t="n"/>
      <c r="P2801" s="7">
        <f>IF($B2801="","",O2801*X2801/100)</f>
        <v/>
      </c>
      <c r="Q2801" s="7">
        <f>IF($B2801="","",O2801-P2801)</f>
        <v/>
      </c>
      <c r="R2801" s="7">
        <f>IF($B2801="","",Q2801-J2801)</f>
        <v/>
      </c>
      <c r="S2801" s="7" t="n"/>
      <c r="T2801" s="7" t="n"/>
      <c r="V2801" s="14" t="n"/>
      <c r="Z2801">
        <f>IF($B2801="","",IF(COUNTIF($B$2:$B2801,$B2801)=1,1,0))</f>
        <v/>
      </c>
      <c r="AA2801">
        <f>IF($Z2801=1,SUMPRODUCT(--($AC$2:$AC$3001&lt;$AC2801))+1,"")</f>
        <v/>
      </c>
      <c r="AB2801">
        <f>IF($B2801="","",IF(OR($Y2801=TRUE(),$Y2801="TRUE"),1,IF(AND($Y2801&lt;&gt;"",OR($Y2801=FALSE(),$Y2801="FALSE")),0,IF(MIN(ABS($X2801/100-Settings!$C$6),ABS($X2801/100-Settings!$G$6))&lt;=MIN(ABS($X2801/100-Settings!$C$7),ABS($X2801/100-Settings!$G$7)),1,0))))</f>
        <v/>
      </c>
      <c r="AC2801">
        <f>IF($Z2801=1,IFERROR(IF(VALUE($B2801)&lt;100000000,VALUE($B2801),1000000000),IFERROR(IF(VALUE(MID($B2801,2,20))&lt;100000000,VALUE(MID($B2801,2,20)),1000000000),1000000000))+ROW()/100000,"")</f>
        <v/>
      </c>
    </row>
    <row r="2802">
      <c r="A2802">
        <f>IF($B2802="","",IFERROR(IF(INDEX('Per Invoice'!$A$2:$A$801,MATCH($B2802,'Per Invoice'!$B$2:$B$801,0))=0,"",INDEX('Per Invoice'!$A$2:$A$801,MATCH($B2802,'Per Invoice'!$B$2:$B$801,0))),""))</f>
        <v/>
      </c>
      <c r="J2802" s="7">
        <f>IF($B2802="","",I2802*Q2802/100)</f>
        <v/>
      </c>
      <c r="N2802" s="7" t="n"/>
      <c r="O2802" s="7" t="n"/>
      <c r="P2802" s="7">
        <f>IF($B2802="","",O2802*X2802/100)</f>
        <v/>
      </c>
      <c r="Q2802" s="7">
        <f>IF($B2802="","",O2802-P2802)</f>
        <v/>
      </c>
      <c r="R2802" s="7">
        <f>IF($B2802="","",Q2802-J2802)</f>
        <v/>
      </c>
      <c r="S2802" s="7" t="n"/>
      <c r="T2802" s="7" t="n"/>
      <c r="V2802" s="14" t="n"/>
      <c r="Z2802">
        <f>IF($B2802="","",IF(COUNTIF($B$2:$B2802,$B2802)=1,1,0))</f>
        <v/>
      </c>
      <c r="AA2802">
        <f>IF($Z2802=1,SUMPRODUCT(--($AC$2:$AC$3001&lt;$AC2802))+1,"")</f>
        <v/>
      </c>
      <c r="AB2802">
        <f>IF($B2802="","",IF(OR($Y2802=TRUE(),$Y2802="TRUE"),1,IF(AND($Y2802&lt;&gt;"",OR($Y2802=FALSE(),$Y2802="FALSE")),0,IF(MIN(ABS($X2802/100-Settings!$C$6),ABS($X2802/100-Settings!$G$6))&lt;=MIN(ABS($X2802/100-Settings!$C$7),ABS($X2802/100-Settings!$G$7)),1,0))))</f>
        <v/>
      </c>
      <c r="AC2802">
        <f>IF($Z2802=1,IFERROR(IF(VALUE($B2802)&lt;100000000,VALUE($B2802),1000000000),IFERROR(IF(VALUE(MID($B2802,2,20))&lt;100000000,VALUE(MID($B2802,2,20)),1000000000),1000000000))+ROW()/100000,"")</f>
        <v/>
      </c>
    </row>
    <row r="2803">
      <c r="A2803">
        <f>IF($B2803="","",IFERROR(IF(INDEX('Per Invoice'!$A$2:$A$801,MATCH($B2803,'Per Invoice'!$B$2:$B$801,0))=0,"",INDEX('Per Invoice'!$A$2:$A$801,MATCH($B2803,'Per Invoice'!$B$2:$B$801,0))),""))</f>
        <v/>
      </c>
      <c r="J2803" s="7">
        <f>IF($B2803="","",I2803*Q2803/100)</f>
        <v/>
      </c>
      <c r="N2803" s="7" t="n"/>
      <c r="O2803" s="7" t="n"/>
      <c r="P2803" s="7">
        <f>IF($B2803="","",O2803*X2803/100)</f>
        <v/>
      </c>
      <c r="Q2803" s="7">
        <f>IF($B2803="","",O2803-P2803)</f>
        <v/>
      </c>
      <c r="R2803" s="7">
        <f>IF($B2803="","",Q2803-J2803)</f>
        <v/>
      </c>
      <c r="S2803" s="7" t="n"/>
      <c r="T2803" s="7" t="n"/>
      <c r="V2803" s="14" t="n"/>
      <c r="Z2803">
        <f>IF($B2803="","",IF(COUNTIF($B$2:$B2803,$B2803)=1,1,0))</f>
        <v/>
      </c>
      <c r="AA2803">
        <f>IF($Z2803=1,SUMPRODUCT(--($AC$2:$AC$3001&lt;$AC2803))+1,"")</f>
        <v/>
      </c>
      <c r="AB2803">
        <f>IF($B2803="","",IF(OR($Y2803=TRUE(),$Y2803="TRUE"),1,IF(AND($Y2803&lt;&gt;"",OR($Y2803=FALSE(),$Y2803="FALSE")),0,IF(MIN(ABS($X2803/100-Settings!$C$6),ABS($X2803/100-Settings!$G$6))&lt;=MIN(ABS($X2803/100-Settings!$C$7),ABS($X2803/100-Settings!$G$7)),1,0))))</f>
        <v/>
      </c>
      <c r="AC2803">
        <f>IF($Z2803=1,IFERROR(IF(VALUE($B2803)&lt;100000000,VALUE($B2803),1000000000),IFERROR(IF(VALUE(MID($B2803,2,20))&lt;100000000,VALUE(MID($B2803,2,20)),1000000000),1000000000))+ROW()/100000,"")</f>
        <v/>
      </c>
    </row>
    <row r="2804">
      <c r="A2804">
        <f>IF($B2804="","",IFERROR(IF(INDEX('Per Invoice'!$A$2:$A$801,MATCH($B2804,'Per Invoice'!$B$2:$B$801,0))=0,"",INDEX('Per Invoice'!$A$2:$A$801,MATCH($B2804,'Per Invoice'!$B$2:$B$801,0))),""))</f>
        <v/>
      </c>
      <c r="J2804" s="7">
        <f>IF($B2804="","",I2804*Q2804/100)</f>
        <v/>
      </c>
      <c r="N2804" s="7" t="n"/>
      <c r="O2804" s="7" t="n"/>
      <c r="P2804" s="7">
        <f>IF($B2804="","",O2804*X2804/100)</f>
        <v/>
      </c>
      <c r="Q2804" s="7">
        <f>IF($B2804="","",O2804-P2804)</f>
        <v/>
      </c>
      <c r="R2804" s="7">
        <f>IF($B2804="","",Q2804-J2804)</f>
        <v/>
      </c>
      <c r="S2804" s="7" t="n"/>
      <c r="T2804" s="7" t="n"/>
      <c r="V2804" s="14" t="n"/>
      <c r="Z2804">
        <f>IF($B2804="","",IF(COUNTIF($B$2:$B2804,$B2804)=1,1,0))</f>
        <v/>
      </c>
      <c r="AA2804">
        <f>IF($Z2804=1,SUMPRODUCT(--($AC$2:$AC$3001&lt;$AC2804))+1,"")</f>
        <v/>
      </c>
      <c r="AB2804">
        <f>IF($B2804="","",IF(OR($Y2804=TRUE(),$Y2804="TRUE"),1,IF(AND($Y2804&lt;&gt;"",OR($Y2804=FALSE(),$Y2804="FALSE")),0,IF(MIN(ABS($X2804/100-Settings!$C$6),ABS($X2804/100-Settings!$G$6))&lt;=MIN(ABS($X2804/100-Settings!$C$7),ABS($X2804/100-Settings!$G$7)),1,0))))</f>
        <v/>
      </c>
      <c r="AC2804">
        <f>IF($Z2804=1,IFERROR(IF(VALUE($B2804)&lt;100000000,VALUE($B2804),1000000000),IFERROR(IF(VALUE(MID($B2804,2,20))&lt;100000000,VALUE(MID($B2804,2,20)),1000000000),1000000000))+ROW()/100000,"")</f>
        <v/>
      </c>
    </row>
    <row r="2805">
      <c r="A2805">
        <f>IF($B2805="","",IFERROR(IF(INDEX('Per Invoice'!$A$2:$A$801,MATCH($B2805,'Per Invoice'!$B$2:$B$801,0))=0,"",INDEX('Per Invoice'!$A$2:$A$801,MATCH($B2805,'Per Invoice'!$B$2:$B$801,0))),""))</f>
        <v/>
      </c>
      <c r="J2805" s="7">
        <f>IF($B2805="","",I2805*Q2805/100)</f>
        <v/>
      </c>
      <c r="N2805" s="7" t="n"/>
      <c r="O2805" s="7" t="n"/>
      <c r="P2805" s="7">
        <f>IF($B2805="","",O2805*X2805/100)</f>
        <v/>
      </c>
      <c r="Q2805" s="7">
        <f>IF($B2805="","",O2805-P2805)</f>
        <v/>
      </c>
      <c r="R2805" s="7">
        <f>IF($B2805="","",Q2805-J2805)</f>
        <v/>
      </c>
      <c r="S2805" s="7" t="n"/>
      <c r="T2805" s="7" t="n"/>
      <c r="V2805" s="14" t="n"/>
      <c r="Z2805">
        <f>IF($B2805="","",IF(COUNTIF($B$2:$B2805,$B2805)=1,1,0))</f>
        <v/>
      </c>
      <c r="AA2805">
        <f>IF($Z2805=1,SUMPRODUCT(--($AC$2:$AC$3001&lt;$AC2805))+1,"")</f>
        <v/>
      </c>
      <c r="AB2805">
        <f>IF($B2805="","",IF(OR($Y2805=TRUE(),$Y2805="TRUE"),1,IF(AND($Y2805&lt;&gt;"",OR($Y2805=FALSE(),$Y2805="FALSE")),0,IF(MIN(ABS($X2805/100-Settings!$C$6),ABS($X2805/100-Settings!$G$6))&lt;=MIN(ABS($X2805/100-Settings!$C$7),ABS($X2805/100-Settings!$G$7)),1,0))))</f>
        <v/>
      </c>
      <c r="AC2805">
        <f>IF($Z2805=1,IFERROR(IF(VALUE($B2805)&lt;100000000,VALUE($B2805),1000000000),IFERROR(IF(VALUE(MID($B2805,2,20))&lt;100000000,VALUE(MID($B2805,2,20)),1000000000),1000000000))+ROW()/100000,"")</f>
        <v/>
      </c>
    </row>
    <row r="2806">
      <c r="A2806">
        <f>IF($B2806="","",IFERROR(IF(INDEX('Per Invoice'!$A$2:$A$801,MATCH($B2806,'Per Invoice'!$B$2:$B$801,0))=0,"",INDEX('Per Invoice'!$A$2:$A$801,MATCH($B2806,'Per Invoice'!$B$2:$B$801,0))),""))</f>
        <v/>
      </c>
      <c r="J2806" s="7">
        <f>IF($B2806="","",I2806*Q2806/100)</f>
        <v/>
      </c>
      <c r="N2806" s="7" t="n"/>
      <c r="O2806" s="7" t="n"/>
      <c r="P2806" s="7">
        <f>IF($B2806="","",O2806*X2806/100)</f>
        <v/>
      </c>
      <c r="Q2806" s="7">
        <f>IF($B2806="","",O2806-P2806)</f>
        <v/>
      </c>
      <c r="R2806" s="7">
        <f>IF($B2806="","",Q2806-J2806)</f>
        <v/>
      </c>
      <c r="S2806" s="7" t="n"/>
      <c r="T2806" s="7" t="n"/>
      <c r="V2806" s="14" t="n"/>
      <c r="Z2806">
        <f>IF($B2806="","",IF(COUNTIF($B$2:$B2806,$B2806)=1,1,0))</f>
        <v/>
      </c>
      <c r="AA2806">
        <f>IF($Z2806=1,SUMPRODUCT(--($AC$2:$AC$3001&lt;$AC2806))+1,"")</f>
        <v/>
      </c>
      <c r="AB2806">
        <f>IF($B2806="","",IF(OR($Y2806=TRUE(),$Y2806="TRUE"),1,IF(AND($Y2806&lt;&gt;"",OR($Y2806=FALSE(),$Y2806="FALSE")),0,IF(MIN(ABS($X2806/100-Settings!$C$6),ABS($X2806/100-Settings!$G$6))&lt;=MIN(ABS($X2806/100-Settings!$C$7),ABS($X2806/100-Settings!$G$7)),1,0))))</f>
        <v/>
      </c>
      <c r="AC2806">
        <f>IF($Z2806=1,IFERROR(IF(VALUE($B2806)&lt;100000000,VALUE($B2806),1000000000),IFERROR(IF(VALUE(MID($B2806,2,20))&lt;100000000,VALUE(MID($B2806,2,20)),1000000000),1000000000))+ROW()/100000,"")</f>
        <v/>
      </c>
    </row>
    <row r="2807">
      <c r="A2807">
        <f>IF($B2807="","",IFERROR(IF(INDEX('Per Invoice'!$A$2:$A$801,MATCH($B2807,'Per Invoice'!$B$2:$B$801,0))=0,"",INDEX('Per Invoice'!$A$2:$A$801,MATCH($B2807,'Per Invoice'!$B$2:$B$801,0))),""))</f>
        <v/>
      </c>
      <c r="J2807" s="7">
        <f>IF($B2807="","",I2807*Q2807/100)</f>
        <v/>
      </c>
      <c r="N2807" s="7" t="n"/>
      <c r="O2807" s="7" t="n"/>
      <c r="P2807" s="7">
        <f>IF($B2807="","",O2807*X2807/100)</f>
        <v/>
      </c>
      <c r="Q2807" s="7">
        <f>IF($B2807="","",O2807-P2807)</f>
        <v/>
      </c>
      <c r="R2807" s="7">
        <f>IF($B2807="","",Q2807-J2807)</f>
        <v/>
      </c>
      <c r="S2807" s="7" t="n"/>
      <c r="T2807" s="7" t="n"/>
      <c r="V2807" s="14" t="n"/>
      <c r="Z2807">
        <f>IF($B2807="","",IF(COUNTIF($B$2:$B2807,$B2807)=1,1,0))</f>
        <v/>
      </c>
      <c r="AA2807">
        <f>IF($Z2807=1,SUMPRODUCT(--($AC$2:$AC$3001&lt;$AC2807))+1,"")</f>
        <v/>
      </c>
      <c r="AB2807">
        <f>IF($B2807="","",IF(OR($Y2807=TRUE(),$Y2807="TRUE"),1,IF(AND($Y2807&lt;&gt;"",OR($Y2807=FALSE(),$Y2807="FALSE")),0,IF(MIN(ABS($X2807/100-Settings!$C$6),ABS($X2807/100-Settings!$G$6))&lt;=MIN(ABS($X2807/100-Settings!$C$7),ABS($X2807/100-Settings!$G$7)),1,0))))</f>
        <v/>
      </c>
      <c r="AC2807">
        <f>IF($Z2807=1,IFERROR(IF(VALUE($B2807)&lt;100000000,VALUE($B2807),1000000000),IFERROR(IF(VALUE(MID($B2807,2,20))&lt;100000000,VALUE(MID($B2807,2,20)),1000000000),1000000000))+ROW()/100000,"")</f>
        <v/>
      </c>
    </row>
    <row r="2808">
      <c r="A2808">
        <f>IF($B2808="","",IFERROR(IF(INDEX('Per Invoice'!$A$2:$A$801,MATCH($B2808,'Per Invoice'!$B$2:$B$801,0))=0,"",INDEX('Per Invoice'!$A$2:$A$801,MATCH($B2808,'Per Invoice'!$B$2:$B$801,0))),""))</f>
        <v/>
      </c>
      <c r="J2808" s="7">
        <f>IF($B2808="","",I2808*Q2808/100)</f>
        <v/>
      </c>
      <c r="N2808" s="7" t="n"/>
      <c r="O2808" s="7" t="n"/>
      <c r="P2808" s="7">
        <f>IF($B2808="","",O2808*X2808/100)</f>
        <v/>
      </c>
      <c r="Q2808" s="7">
        <f>IF($B2808="","",O2808-P2808)</f>
        <v/>
      </c>
      <c r="R2808" s="7">
        <f>IF($B2808="","",Q2808-J2808)</f>
        <v/>
      </c>
      <c r="S2808" s="7" t="n"/>
      <c r="T2808" s="7" t="n"/>
      <c r="V2808" s="14" t="n"/>
      <c r="Z2808">
        <f>IF($B2808="","",IF(COUNTIF($B$2:$B2808,$B2808)=1,1,0))</f>
        <v/>
      </c>
      <c r="AA2808">
        <f>IF($Z2808=1,SUMPRODUCT(--($AC$2:$AC$3001&lt;$AC2808))+1,"")</f>
        <v/>
      </c>
      <c r="AB2808">
        <f>IF($B2808="","",IF(OR($Y2808=TRUE(),$Y2808="TRUE"),1,IF(AND($Y2808&lt;&gt;"",OR($Y2808=FALSE(),$Y2808="FALSE")),0,IF(MIN(ABS($X2808/100-Settings!$C$6),ABS($X2808/100-Settings!$G$6))&lt;=MIN(ABS($X2808/100-Settings!$C$7),ABS($X2808/100-Settings!$G$7)),1,0))))</f>
        <v/>
      </c>
      <c r="AC2808">
        <f>IF($Z2808=1,IFERROR(IF(VALUE($B2808)&lt;100000000,VALUE($B2808),1000000000),IFERROR(IF(VALUE(MID($B2808,2,20))&lt;100000000,VALUE(MID($B2808,2,20)),1000000000),1000000000))+ROW()/100000,"")</f>
        <v/>
      </c>
    </row>
    <row r="2809">
      <c r="A2809">
        <f>IF($B2809="","",IFERROR(IF(INDEX('Per Invoice'!$A$2:$A$801,MATCH($B2809,'Per Invoice'!$B$2:$B$801,0))=0,"",INDEX('Per Invoice'!$A$2:$A$801,MATCH($B2809,'Per Invoice'!$B$2:$B$801,0))),""))</f>
        <v/>
      </c>
      <c r="J2809" s="7">
        <f>IF($B2809="","",I2809*Q2809/100)</f>
        <v/>
      </c>
      <c r="N2809" s="7" t="n"/>
      <c r="O2809" s="7" t="n"/>
      <c r="P2809" s="7">
        <f>IF($B2809="","",O2809*X2809/100)</f>
        <v/>
      </c>
      <c r="Q2809" s="7">
        <f>IF($B2809="","",O2809-P2809)</f>
        <v/>
      </c>
      <c r="R2809" s="7">
        <f>IF($B2809="","",Q2809-J2809)</f>
        <v/>
      </c>
      <c r="S2809" s="7" t="n"/>
      <c r="T2809" s="7" t="n"/>
      <c r="V2809" s="14" t="n"/>
      <c r="Z2809">
        <f>IF($B2809="","",IF(COUNTIF($B$2:$B2809,$B2809)=1,1,0))</f>
        <v/>
      </c>
      <c r="AA2809">
        <f>IF($Z2809=1,SUMPRODUCT(--($AC$2:$AC$3001&lt;$AC2809))+1,"")</f>
        <v/>
      </c>
      <c r="AB2809">
        <f>IF($B2809="","",IF(OR($Y2809=TRUE(),$Y2809="TRUE"),1,IF(AND($Y2809&lt;&gt;"",OR($Y2809=FALSE(),$Y2809="FALSE")),0,IF(MIN(ABS($X2809/100-Settings!$C$6),ABS($X2809/100-Settings!$G$6))&lt;=MIN(ABS($X2809/100-Settings!$C$7),ABS($X2809/100-Settings!$G$7)),1,0))))</f>
        <v/>
      </c>
      <c r="AC2809">
        <f>IF($Z2809=1,IFERROR(IF(VALUE($B2809)&lt;100000000,VALUE($B2809),1000000000),IFERROR(IF(VALUE(MID($B2809,2,20))&lt;100000000,VALUE(MID($B2809,2,20)),1000000000),1000000000))+ROW()/100000,"")</f>
        <v/>
      </c>
    </row>
    <row r="2810">
      <c r="A2810">
        <f>IF($B2810="","",IFERROR(IF(INDEX('Per Invoice'!$A$2:$A$801,MATCH($B2810,'Per Invoice'!$B$2:$B$801,0))=0,"",INDEX('Per Invoice'!$A$2:$A$801,MATCH($B2810,'Per Invoice'!$B$2:$B$801,0))),""))</f>
        <v/>
      </c>
      <c r="J2810" s="7">
        <f>IF($B2810="","",I2810*Q2810/100)</f>
        <v/>
      </c>
      <c r="N2810" s="7" t="n"/>
      <c r="O2810" s="7" t="n"/>
      <c r="P2810" s="7">
        <f>IF($B2810="","",O2810*X2810/100)</f>
        <v/>
      </c>
      <c r="Q2810" s="7">
        <f>IF($B2810="","",O2810-P2810)</f>
        <v/>
      </c>
      <c r="R2810" s="7">
        <f>IF($B2810="","",Q2810-J2810)</f>
        <v/>
      </c>
      <c r="S2810" s="7" t="n"/>
      <c r="T2810" s="7" t="n"/>
      <c r="V2810" s="14" t="n"/>
      <c r="Z2810">
        <f>IF($B2810="","",IF(COUNTIF($B$2:$B2810,$B2810)=1,1,0))</f>
        <v/>
      </c>
      <c r="AA2810">
        <f>IF($Z2810=1,SUMPRODUCT(--($AC$2:$AC$3001&lt;$AC2810))+1,"")</f>
        <v/>
      </c>
      <c r="AB2810">
        <f>IF($B2810="","",IF(OR($Y2810=TRUE(),$Y2810="TRUE"),1,IF(AND($Y2810&lt;&gt;"",OR($Y2810=FALSE(),$Y2810="FALSE")),0,IF(MIN(ABS($X2810/100-Settings!$C$6),ABS($X2810/100-Settings!$G$6))&lt;=MIN(ABS($X2810/100-Settings!$C$7),ABS($X2810/100-Settings!$G$7)),1,0))))</f>
        <v/>
      </c>
      <c r="AC2810">
        <f>IF($Z2810=1,IFERROR(IF(VALUE($B2810)&lt;100000000,VALUE($B2810),1000000000),IFERROR(IF(VALUE(MID($B2810,2,20))&lt;100000000,VALUE(MID($B2810,2,20)),1000000000),1000000000))+ROW()/100000,"")</f>
        <v/>
      </c>
    </row>
    <row r="2811">
      <c r="A2811">
        <f>IF($B2811="","",IFERROR(IF(INDEX('Per Invoice'!$A$2:$A$801,MATCH($B2811,'Per Invoice'!$B$2:$B$801,0))=0,"",INDEX('Per Invoice'!$A$2:$A$801,MATCH($B2811,'Per Invoice'!$B$2:$B$801,0))),""))</f>
        <v/>
      </c>
      <c r="J2811" s="7">
        <f>IF($B2811="","",I2811*Q2811/100)</f>
        <v/>
      </c>
      <c r="N2811" s="7" t="n"/>
      <c r="O2811" s="7" t="n"/>
      <c r="P2811" s="7">
        <f>IF($B2811="","",O2811*X2811/100)</f>
        <v/>
      </c>
      <c r="Q2811" s="7">
        <f>IF($B2811="","",O2811-P2811)</f>
        <v/>
      </c>
      <c r="R2811" s="7">
        <f>IF($B2811="","",Q2811-J2811)</f>
        <v/>
      </c>
      <c r="S2811" s="7" t="n"/>
      <c r="T2811" s="7" t="n"/>
      <c r="V2811" s="14" t="n"/>
      <c r="Z2811">
        <f>IF($B2811="","",IF(COUNTIF($B$2:$B2811,$B2811)=1,1,0))</f>
        <v/>
      </c>
      <c r="AA2811">
        <f>IF($Z2811=1,SUMPRODUCT(--($AC$2:$AC$3001&lt;$AC2811))+1,"")</f>
        <v/>
      </c>
      <c r="AB2811">
        <f>IF($B2811="","",IF(OR($Y2811=TRUE(),$Y2811="TRUE"),1,IF(AND($Y2811&lt;&gt;"",OR($Y2811=FALSE(),$Y2811="FALSE")),0,IF(MIN(ABS($X2811/100-Settings!$C$6),ABS($X2811/100-Settings!$G$6))&lt;=MIN(ABS($X2811/100-Settings!$C$7),ABS($X2811/100-Settings!$G$7)),1,0))))</f>
        <v/>
      </c>
      <c r="AC2811">
        <f>IF($Z2811=1,IFERROR(IF(VALUE($B2811)&lt;100000000,VALUE($B2811),1000000000),IFERROR(IF(VALUE(MID($B2811,2,20))&lt;100000000,VALUE(MID($B2811,2,20)),1000000000),1000000000))+ROW()/100000,"")</f>
        <v/>
      </c>
    </row>
    <row r="2812">
      <c r="A2812">
        <f>IF($B2812="","",IFERROR(IF(INDEX('Per Invoice'!$A$2:$A$801,MATCH($B2812,'Per Invoice'!$B$2:$B$801,0))=0,"",INDEX('Per Invoice'!$A$2:$A$801,MATCH($B2812,'Per Invoice'!$B$2:$B$801,0))),""))</f>
        <v/>
      </c>
      <c r="J2812" s="7">
        <f>IF($B2812="","",I2812*Q2812/100)</f>
        <v/>
      </c>
      <c r="N2812" s="7" t="n"/>
      <c r="O2812" s="7" t="n"/>
      <c r="P2812" s="7">
        <f>IF($B2812="","",O2812*X2812/100)</f>
        <v/>
      </c>
      <c r="Q2812" s="7">
        <f>IF($B2812="","",O2812-P2812)</f>
        <v/>
      </c>
      <c r="R2812" s="7">
        <f>IF($B2812="","",Q2812-J2812)</f>
        <v/>
      </c>
      <c r="S2812" s="7" t="n"/>
      <c r="T2812" s="7" t="n"/>
      <c r="V2812" s="14" t="n"/>
      <c r="Z2812">
        <f>IF($B2812="","",IF(COUNTIF($B$2:$B2812,$B2812)=1,1,0))</f>
        <v/>
      </c>
      <c r="AA2812">
        <f>IF($Z2812=1,SUMPRODUCT(--($AC$2:$AC$3001&lt;$AC2812))+1,"")</f>
        <v/>
      </c>
      <c r="AB2812">
        <f>IF($B2812="","",IF(OR($Y2812=TRUE(),$Y2812="TRUE"),1,IF(AND($Y2812&lt;&gt;"",OR($Y2812=FALSE(),$Y2812="FALSE")),0,IF(MIN(ABS($X2812/100-Settings!$C$6),ABS($X2812/100-Settings!$G$6))&lt;=MIN(ABS($X2812/100-Settings!$C$7),ABS($X2812/100-Settings!$G$7)),1,0))))</f>
        <v/>
      </c>
      <c r="AC2812">
        <f>IF($Z2812=1,IFERROR(IF(VALUE($B2812)&lt;100000000,VALUE($B2812),1000000000),IFERROR(IF(VALUE(MID($B2812,2,20))&lt;100000000,VALUE(MID($B2812,2,20)),1000000000),1000000000))+ROW()/100000,"")</f>
        <v/>
      </c>
    </row>
    <row r="2813">
      <c r="A2813">
        <f>IF($B2813="","",IFERROR(IF(INDEX('Per Invoice'!$A$2:$A$801,MATCH($B2813,'Per Invoice'!$B$2:$B$801,0))=0,"",INDEX('Per Invoice'!$A$2:$A$801,MATCH($B2813,'Per Invoice'!$B$2:$B$801,0))),""))</f>
        <v/>
      </c>
      <c r="J2813" s="7">
        <f>IF($B2813="","",I2813*Q2813/100)</f>
        <v/>
      </c>
      <c r="N2813" s="7" t="n"/>
      <c r="O2813" s="7" t="n"/>
      <c r="P2813" s="7">
        <f>IF($B2813="","",O2813*X2813/100)</f>
        <v/>
      </c>
      <c r="Q2813" s="7">
        <f>IF($B2813="","",O2813-P2813)</f>
        <v/>
      </c>
      <c r="R2813" s="7">
        <f>IF($B2813="","",Q2813-J2813)</f>
        <v/>
      </c>
      <c r="S2813" s="7" t="n"/>
      <c r="T2813" s="7" t="n"/>
      <c r="V2813" s="14" t="n"/>
      <c r="Z2813">
        <f>IF($B2813="","",IF(COUNTIF($B$2:$B2813,$B2813)=1,1,0))</f>
        <v/>
      </c>
      <c r="AA2813">
        <f>IF($Z2813=1,SUMPRODUCT(--($AC$2:$AC$3001&lt;$AC2813))+1,"")</f>
        <v/>
      </c>
      <c r="AB2813">
        <f>IF($B2813="","",IF(OR($Y2813=TRUE(),$Y2813="TRUE"),1,IF(AND($Y2813&lt;&gt;"",OR($Y2813=FALSE(),$Y2813="FALSE")),0,IF(MIN(ABS($X2813/100-Settings!$C$6),ABS($X2813/100-Settings!$G$6))&lt;=MIN(ABS($X2813/100-Settings!$C$7),ABS($X2813/100-Settings!$G$7)),1,0))))</f>
        <v/>
      </c>
      <c r="AC2813">
        <f>IF($Z2813=1,IFERROR(IF(VALUE($B2813)&lt;100000000,VALUE($B2813),1000000000),IFERROR(IF(VALUE(MID($B2813,2,20))&lt;100000000,VALUE(MID($B2813,2,20)),1000000000),1000000000))+ROW()/100000,"")</f>
        <v/>
      </c>
    </row>
    <row r="2814">
      <c r="A2814">
        <f>IF($B2814="","",IFERROR(IF(INDEX('Per Invoice'!$A$2:$A$801,MATCH($B2814,'Per Invoice'!$B$2:$B$801,0))=0,"",INDEX('Per Invoice'!$A$2:$A$801,MATCH($B2814,'Per Invoice'!$B$2:$B$801,0))),""))</f>
        <v/>
      </c>
      <c r="J2814" s="7">
        <f>IF($B2814="","",I2814*Q2814/100)</f>
        <v/>
      </c>
      <c r="N2814" s="7" t="n"/>
      <c r="O2814" s="7" t="n"/>
      <c r="P2814" s="7">
        <f>IF($B2814="","",O2814*X2814/100)</f>
        <v/>
      </c>
      <c r="Q2814" s="7">
        <f>IF($B2814="","",O2814-P2814)</f>
        <v/>
      </c>
      <c r="R2814" s="7">
        <f>IF($B2814="","",Q2814-J2814)</f>
        <v/>
      </c>
      <c r="S2814" s="7" t="n"/>
      <c r="T2814" s="7" t="n"/>
      <c r="V2814" s="14" t="n"/>
      <c r="Z2814">
        <f>IF($B2814="","",IF(COUNTIF($B$2:$B2814,$B2814)=1,1,0))</f>
        <v/>
      </c>
      <c r="AA2814">
        <f>IF($Z2814=1,SUMPRODUCT(--($AC$2:$AC$3001&lt;$AC2814))+1,"")</f>
        <v/>
      </c>
      <c r="AB2814">
        <f>IF($B2814="","",IF(OR($Y2814=TRUE(),$Y2814="TRUE"),1,IF(AND($Y2814&lt;&gt;"",OR($Y2814=FALSE(),$Y2814="FALSE")),0,IF(MIN(ABS($X2814/100-Settings!$C$6),ABS($X2814/100-Settings!$G$6))&lt;=MIN(ABS($X2814/100-Settings!$C$7),ABS($X2814/100-Settings!$G$7)),1,0))))</f>
        <v/>
      </c>
      <c r="AC2814">
        <f>IF($Z2814=1,IFERROR(IF(VALUE($B2814)&lt;100000000,VALUE($B2814),1000000000),IFERROR(IF(VALUE(MID($B2814,2,20))&lt;100000000,VALUE(MID($B2814,2,20)),1000000000),1000000000))+ROW()/100000,"")</f>
        <v/>
      </c>
    </row>
    <row r="2815">
      <c r="A2815">
        <f>IF($B2815="","",IFERROR(IF(INDEX('Per Invoice'!$A$2:$A$801,MATCH($B2815,'Per Invoice'!$B$2:$B$801,0))=0,"",INDEX('Per Invoice'!$A$2:$A$801,MATCH($B2815,'Per Invoice'!$B$2:$B$801,0))),""))</f>
        <v/>
      </c>
      <c r="J2815" s="7">
        <f>IF($B2815="","",I2815*Q2815/100)</f>
        <v/>
      </c>
      <c r="N2815" s="7" t="n"/>
      <c r="O2815" s="7" t="n"/>
      <c r="P2815" s="7">
        <f>IF($B2815="","",O2815*X2815/100)</f>
        <v/>
      </c>
      <c r="Q2815" s="7">
        <f>IF($B2815="","",O2815-P2815)</f>
        <v/>
      </c>
      <c r="R2815" s="7">
        <f>IF($B2815="","",Q2815-J2815)</f>
        <v/>
      </c>
      <c r="S2815" s="7" t="n"/>
      <c r="T2815" s="7" t="n"/>
      <c r="V2815" s="14" t="n"/>
      <c r="Z2815">
        <f>IF($B2815="","",IF(COUNTIF($B$2:$B2815,$B2815)=1,1,0))</f>
        <v/>
      </c>
      <c r="AA2815">
        <f>IF($Z2815=1,SUMPRODUCT(--($AC$2:$AC$3001&lt;$AC2815))+1,"")</f>
        <v/>
      </c>
      <c r="AB2815">
        <f>IF($B2815="","",IF(OR($Y2815=TRUE(),$Y2815="TRUE"),1,IF(AND($Y2815&lt;&gt;"",OR($Y2815=FALSE(),$Y2815="FALSE")),0,IF(MIN(ABS($X2815/100-Settings!$C$6),ABS($X2815/100-Settings!$G$6))&lt;=MIN(ABS($X2815/100-Settings!$C$7),ABS($X2815/100-Settings!$G$7)),1,0))))</f>
        <v/>
      </c>
      <c r="AC2815">
        <f>IF($Z2815=1,IFERROR(IF(VALUE($B2815)&lt;100000000,VALUE($B2815),1000000000),IFERROR(IF(VALUE(MID($B2815,2,20))&lt;100000000,VALUE(MID($B2815,2,20)),1000000000),1000000000))+ROW()/100000,"")</f>
        <v/>
      </c>
    </row>
    <row r="2816">
      <c r="A2816">
        <f>IF($B2816="","",IFERROR(IF(INDEX('Per Invoice'!$A$2:$A$801,MATCH($B2816,'Per Invoice'!$B$2:$B$801,0))=0,"",INDEX('Per Invoice'!$A$2:$A$801,MATCH($B2816,'Per Invoice'!$B$2:$B$801,0))),""))</f>
        <v/>
      </c>
      <c r="J2816" s="7">
        <f>IF($B2816="","",I2816*Q2816/100)</f>
        <v/>
      </c>
      <c r="N2816" s="7" t="n"/>
      <c r="O2816" s="7" t="n"/>
      <c r="P2816" s="7">
        <f>IF($B2816="","",O2816*X2816/100)</f>
        <v/>
      </c>
      <c r="Q2816" s="7">
        <f>IF($B2816="","",O2816-P2816)</f>
        <v/>
      </c>
      <c r="R2816" s="7">
        <f>IF($B2816="","",Q2816-J2816)</f>
        <v/>
      </c>
      <c r="S2816" s="7" t="n"/>
      <c r="T2816" s="7" t="n"/>
      <c r="V2816" s="14" t="n"/>
      <c r="Z2816">
        <f>IF($B2816="","",IF(COUNTIF($B$2:$B2816,$B2816)=1,1,0))</f>
        <v/>
      </c>
      <c r="AA2816">
        <f>IF($Z2816=1,SUMPRODUCT(--($AC$2:$AC$3001&lt;$AC2816))+1,"")</f>
        <v/>
      </c>
      <c r="AB2816">
        <f>IF($B2816="","",IF(OR($Y2816=TRUE(),$Y2816="TRUE"),1,IF(AND($Y2816&lt;&gt;"",OR($Y2816=FALSE(),$Y2816="FALSE")),0,IF(MIN(ABS($X2816/100-Settings!$C$6),ABS($X2816/100-Settings!$G$6))&lt;=MIN(ABS($X2816/100-Settings!$C$7),ABS($X2816/100-Settings!$G$7)),1,0))))</f>
        <v/>
      </c>
      <c r="AC2816">
        <f>IF($Z2816=1,IFERROR(IF(VALUE($B2816)&lt;100000000,VALUE($B2816),1000000000),IFERROR(IF(VALUE(MID($B2816,2,20))&lt;100000000,VALUE(MID($B2816,2,20)),1000000000),1000000000))+ROW()/100000,"")</f>
        <v/>
      </c>
    </row>
    <row r="2817">
      <c r="A2817">
        <f>IF($B2817="","",IFERROR(IF(INDEX('Per Invoice'!$A$2:$A$801,MATCH($B2817,'Per Invoice'!$B$2:$B$801,0))=0,"",INDEX('Per Invoice'!$A$2:$A$801,MATCH($B2817,'Per Invoice'!$B$2:$B$801,0))),""))</f>
        <v/>
      </c>
      <c r="J2817" s="7">
        <f>IF($B2817="","",I2817*Q2817/100)</f>
        <v/>
      </c>
      <c r="N2817" s="7" t="n"/>
      <c r="O2817" s="7" t="n"/>
      <c r="P2817" s="7">
        <f>IF($B2817="","",O2817*X2817/100)</f>
        <v/>
      </c>
      <c r="Q2817" s="7">
        <f>IF($B2817="","",O2817-P2817)</f>
        <v/>
      </c>
      <c r="R2817" s="7">
        <f>IF($B2817="","",Q2817-J2817)</f>
        <v/>
      </c>
      <c r="S2817" s="7" t="n"/>
      <c r="T2817" s="7" t="n"/>
      <c r="V2817" s="14" t="n"/>
      <c r="Z2817">
        <f>IF($B2817="","",IF(COUNTIF($B$2:$B2817,$B2817)=1,1,0))</f>
        <v/>
      </c>
      <c r="AA2817">
        <f>IF($Z2817=1,SUMPRODUCT(--($AC$2:$AC$3001&lt;$AC2817))+1,"")</f>
        <v/>
      </c>
      <c r="AB2817">
        <f>IF($B2817="","",IF(OR($Y2817=TRUE(),$Y2817="TRUE"),1,IF(AND($Y2817&lt;&gt;"",OR($Y2817=FALSE(),$Y2817="FALSE")),0,IF(MIN(ABS($X2817/100-Settings!$C$6),ABS($X2817/100-Settings!$G$6))&lt;=MIN(ABS($X2817/100-Settings!$C$7),ABS($X2817/100-Settings!$G$7)),1,0))))</f>
        <v/>
      </c>
      <c r="AC2817">
        <f>IF($Z2817=1,IFERROR(IF(VALUE($B2817)&lt;100000000,VALUE($B2817),1000000000),IFERROR(IF(VALUE(MID($B2817,2,20))&lt;100000000,VALUE(MID($B2817,2,20)),1000000000),1000000000))+ROW()/100000,"")</f>
        <v/>
      </c>
    </row>
    <row r="2818">
      <c r="A2818">
        <f>IF($B2818="","",IFERROR(IF(INDEX('Per Invoice'!$A$2:$A$801,MATCH($B2818,'Per Invoice'!$B$2:$B$801,0))=0,"",INDEX('Per Invoice'!$A$2:$A$801,MATCH($B2818,'Per Invoice'!$B$2:$B$801,0))),""))</f>
        <v/>
      </c>
      <c r="J2818" s="7">
        <f>IF($B2818="","",I2818*Q2818/100)</f>
        <v/>
      </c>
      <c r="N2818" s="7" t="n"/>
      <c r="O2818" s="7" t="n"/>
      <c r="P2818" s="7">
        <f>IF($B2818="","",O2818*X2818/100)</f>
        <v/>
      </c>
      <c r="Q2818" s="7">
        <f>IF($B2818="","",O2818-P2818)</f>
        <v/>
      </c>
      <c r="R2818" s="7">
        <f>IF($B2818="","",Q2818-J2818)</f>
        <v/>
      </c>
      <c r="S2818" s="7" t="n"/>
      <c r="T2818" s="7" t="n"/>
      <c r="V2818" s="14" t="n"/>
      <c r="Z2818">
        <f>IF($B2818="","",IF(COUNTIF($B$2:$B2818,$B2818)=1,1,0))</f>
        <v/>
      </c>
      <c r="AA2818">
        <f>IF($Z2818=1,SUMPRODUCT(--($AC$2:$AC$3001&lt;$AC2818))+1,"")</f>
        <v/>
      </c>
      <c r="AB2818">
        <f>IF($B2818="","",IF(OR($Y2818=TRUE(),$Y2818="TRUE"),1,IF(AND($Y2818&lt;&gt;"",OR($Y2818=FALSE(),$Y2818="FALSE")),0,IF(MIN(ABS($X2818/100-Settings!$C$6),ABS($X2818/100-Settings!$G$6))&lt;=MIN(ABS($X2818/100-Settings!$C$7),ABS($X2818/100-Settings!$G$7)),1,0))))</f>
        <v/>
      </c>
      <c r="AC2818">
        <f>IF($Z2818=1,IFERROR(IF(VALUE($B2818)&lt;100000000,VALUE($B2818),1000000000),IFERROR(IF(VALUE(MID($B2818,2,20))&lt;100000000,VALUE(MID($B2818,2,20)),1000000000),1000000000))+ROW()/100000,"")</f>
        <v/>
      </c>
    </row>
    <row r="2819">
      <c r="A2819">
        <f>IF($B2819="","",IFERROR(IF(INDEX('Per Invoice'!$A$2:$A$801,MATCH($B2819,'Per Invoice'!$B$2:$B$801,0))=0,"",INDEX('Per Invoice'!$A$2:$A$801,MATCH($B2819,'Per Invoice'!$B$2:$B$801,0))),""))</f>
        <v/>
      </c>
      <c r="J2819" s="7">
        <f>IF($B2819="","",I2819*Q2819/100)</f>
        <v/>
      </c>
      <c r="N2819" s="7" t="n"/>
      <c r="O2819" s="7" t="n"/>
      <c r="P2819" s="7">
        <f>IF($B2819="","",O2819*X2819/100)</f>
        <v/>
      </c>
      <c r="Q2819" s="7">
        <f>IF($B2819="","",O2819-P2819)</f>
        <v/>
      </c>
      <c r="R2819" s="7">
        <f>IF($B2819="","",Q2819-J2819)</f>
        <v/>
      </c>
      <c r="S2819" s="7" t="n"/>
      <c r="T2819" s="7" t="n"/>
      <c r="V2819" s="14" t="n"/>
      <c r="Z2819">
        <f>IF($B2819="","",IF(COUNTIF($B$2:$B2819,$B2819)=1,1,0))</f>
        <v/>
      </c>
      <c r="AA2819">
        <f>IF($Z2819=1,SUMPRODUCT(--($AC$2:$AC$3001&lt;$AC2819))+1,"")</f>
        <v/>
      </c>
      <c r="AB2819">
        <f>IF($B2819="","",IF(OR($Y2819=TRUE(),$Y2819="TRUE"),1,IF(AND($Y2819&lt;&gt;"",OR($Y2819=FALSE(),$Y2819="FALSE")),0,IF(MIN(ABS($X2819/100-Settings!$C$6),ABS($X2819/100-Settings!$G$6))&lt;=MIN(ABS($X2819/100-Settings!$C$7),ABS($X2819/100-Settings!$G$7)),1,0))))</f>
        <v/>
      </c>
      <c r="AC2819">
        <f>IF($Z2819=1,IFERROR(IF(VALUE($B2819)&lt;100000000,VALUE($B2819),1000000000),IFERROR(IF(VALUE(MID($B2819,2,20))&lt;100000000,VALUE(MID($B2819,2,20)),1000000000),1000000000))+ROW()/100000,"")</f>
        <v/>
      </c>
    </row>
    <row r="2820">
      <c r="A2820">
        <f>IF($B2820="","",IFERROR(IF(INDEX('Per Invoice'!$A$2:$A$801,MATCH($B2820,'Per Invoice'!$B$2:$B$801,0))=0,"",INDEX('Per Invoice'!$A$2:$A$801,MATCH($B2820,'Per Invoice'!$B$2:$B$801,0))),""))</f>
        <v/>
      </c>
      <c r="J2820" s="7">
        <f>IF($B2820="","",I2820*Q2820/100)</f>
        <v/>
      </c>
      <c r="N2820" s="7" t="n"/>
      <c r="O2820" s="7" t="n"/>
      <c r="P2820" s="7">
        <f>IF($B2820="","",O2820*X2820/100)</f>
        <v/>
      </c>
      <c r="Q2820" s="7">
        <f>IF($B2820="","",O2820-P2820)</f>
        <v/>
      </c>
      <c r="R2820" s="7">
        <f>IF($B2820="","",Q2820-J2820)</f>
        <v/>
      </c>
      <c r="S2820" s="7" t="n"/>
      <c r="T2820" s="7" t="n"/>
      <c r="V2820" s="14" t="n"/>
      <c r="Z2820">
        <f>IF($B2820="","",IF(COUNTIF($B$2:$B2820,$B2820)=1,1,0))</f>
        <v/>
      </c>
      <c r="AA2820">
        <f>IF($Z2820=1,SUMPRODUCT(--($AC$2:$AC$3001&lt;$AC2820))+1,"")</f>
        <v/>
      </c>
      <c r="AB2820">
        <f>IF($B2820="","",IF(OR($Y2820=TRUE(),$Y2820="TRUE"),1,IF(AND($Y2820&lt;&gt;"",OR($Y2820=FALSE(),$Y2820="FALSE")),0,IF(MIN(ABS($X2820/100-Settings!$C$6),ABS($X2820/100-Settings!$G$6))&lt;=MIN(ABS($X2820/100-Settings!$C$7),ABS($X2820/100-Settings!$G$7)),1,0))))</f>
        <v/>
      </c>
      <c r="AC2820">
        <f>IF($Z2820=1,IFERROR(IF(VALUE($B2820)&lt;100000000,VALUE($B2820),1000000000),IFERROR(IF(VALUE(MID($B2820,2,20))&lt;100000000,VALUE(MID($B2820,2,20)),1000000000),1000000000))+ROW()/100000,"")</f>
        <v/>
      </c>
    </row>
    <row r="2821">
      <c r="A2821">
        <f>IF($B2821="","",IFERROR(IF(INDEX('Per Invoice'!$A$2:$A$801,MATCH($B2821,'Per Invoice'!$B$2:$B$801,0))=0,"",INDEX('Per Invoice'!$A$2:$A$801,MATCH($B2821,'Per Invoice'!$B$2:$B$801,0))),""))</f>
        <v/>
      </c>
      <c r="J2821" s="7">
        <f>IF($B2821="","",I2821*Q2821/100)</f>
        <v/>
      </c>
      <c r="N2821" s="7" t="n"/>
      <c r="O2821" s="7" t="n"/>
      <c r="P2821" s="7">
        <f>IF($B2821="","",O2821*X2821/100)</f>
        <v/>
      </c>
      <c r="Q2821" s="7">
        <f>IF($B2821="","",O2821-P2821)</f>
        <v/>
      </c>
      <c r="R2821" s="7">
        <f>IF($B2821="","",Q2821-J2821)</f>
        <v/>
      </c>
      <c r="S2821" s="7" t="n"/>
      <c r="T2821" s="7" t="n"/>
      <c r="V2821" s="14" t="n"/>
      <c r="Z2821">
        <f>IF($B2821="","",IF(COUNTIF($B$2:$B2821,$B2821)=1,1,0))</f>
        <v/>
      </c>
      <c r="AA2821">
        <f>IF($Z2821=1,SUMPRODUCT(--($AC$2:$AC$3001&lt;$AC2821))+1,"")</f>
        <v/>
      </c>
      <c r="AB2821">
        <f>IF($B2821="","",IF(OR($Y2821=TRUE(),$Y2821="TRUE"),1,IF(AND($Y2821&lt;&gt;"",OR($Y2821=FALSE(),$Y2821="FALSE")),0,IF(MIN(ABS($X2821/100-Settings!$C$6),ABS($X2821/100-Settings!$G$6))&lt;=MIN(ABS($X2821/100-Settings!$C$7),ABS($X2821/100-Settings!$G$7)),1,0))))</f>
        <v/>
      </c>
      <c r="AC2821">
        <f>IF($Z2821=1,IFERROR(IF(VALUE($B2821)&lt;100000000,VALUE($B2821),1000000000),IFERROR(IF(VALUE(MID($B2821,2,20))&lt;100000000,VALUE(MID($B2821,2,20)),1000000000),1000000000))+ROW()/100000,"")</f>
        <v/>
      </c>
    </row>
    <row r="2822">
      <c r="A2822">
        <f>IF($B2822="","",IFERROR(IF(INDEX('Per Invoice'!$A$2:$A$801,MATCH($B2822,'Per Invoice'!$B$2:$B$801,0))=0,"",INDEX('Per Invoice'!$A$2:$A$801,MATCH($B2822,'Per Invoice'!$B$2:$B$801,0))),""))</f>
        <v/>
      </c>
      <c r="J2822" s="7">
        <f>IF($B2822="","",I2822*Q2822/100)</f>
        <v/>
      </c>
      <c r="N2822" s="7" t="n"/>
      <c r="O2822" s="7" t="n"/>
      <c r="P2822" s="7">
        <f>IF($B2822="","",O2822*X2822/100)</f>
        <v/>
      </c>
      <c r="Q2822" s="7">
        <f>IF($B2822="","",O2822-P2822)</f>
        <v/>
      </c>
      <c r="R2822" s="7">
        <f>IF($B2822="","",Q2822-J2822)</f>
        <v/>
      </c>
      <c r="S2822" s="7" t="n"/>
      <c r="T2822" s="7" t="n"/>
      <c r="V2822" s="14" t="n"/>
      <c r="Z2822">
        <f>IF($B2822="","",IF(COUNTIF($B$2:$B2822,$B2822)=1,1,0))</f>
        <v/>
      </c>
      <c r="AA2822">
        <f>IF($Z2822=1,SUMPRODUCT(--($AC$2:$AC$3001&lt;$AC2822))+1,"")</f>
        <v/>
      </c>
      <c r="AB2822">
        <f>IF($B2822="","",IF(OR($Y2822=TRUE(),$Y2822="TRUE"),1,IF(AND($Y2822&lt;&gt;"",OR($Y2822=FALSE(),$Y2822="FALSE")),0,IF(MIN(ABS($X2822/100-Settings!$C$6),ABS($X2822/100-Settings!$G$6))&lt;=MIN(ABS($X2822/100-Settings!$C$7),ABS($X2822/100-Settings!$G$7)),1,0))))</f>
        <v/>
      </c>
      <c r="AC2822">
        <f>IF($Z2822=1,IFERROR(IF(VALUE($B2822)&lt;100000000,VALUE($B2822),1000000000),IFERROR(IF(VALUE(MID($B2822,2,20))&lt;100000000,VALUE(MID($B2822,2,20)),1000000000),1000000000))+ROW()/100000,"")</f>
        <v/>
      </c>
    </row>
    <row r="2823">
      <c r="A2823">
        <f>IF($B2823="","",IFERROR(IF(INDEX('Per Invoice'!$A$2:$A$801,MATCH($B2823,'Per Invoice'!$B$2:$B$801,0))=0,"",INDEX('Per Invoice'!$A$2:$A$801,MATCH($B2823,'Per Invoice'!$B$2:$B$801,0))),""))</f>
        <v/>
      </c>
      <c r="J2823" s="7">
        <f>IF($B2823="","",I2823*Q2823/100)</f>
        <v/>
      </c>
      <c r="N2823" s="7" t="n"/>
      <c r="O2823" s="7" t="n"/>
      <c r="P2823" s="7">
        <f>IF($B2823="","",O2823*X2823/100)</f>
        <v/>
      </c>
      <c r="Q2823" s="7">
        <f>IF($B2823="","",O2823-P2823)</f>
        <v/>
      </c>
      <c r="R2823" s="7">
        <f>IF($B2823="","",Q2823-J2823)</f>
        <v/>
      </c>
      <c r="S2823" s="7" t="n"/>
      <c r="T2823" s="7" t="n"/>
      <c r="V2823" s="14" t="n"/>
      <c r="Z2823">
        <f>IF($B2823="","",IF(COUNTIF($B$2:$B2823,$B2823)=1,1,0))</f>
        <v/>
      </c>
      <c r="AA2823">
        <f>IF($Z2823=1,SUMPRODUCT(--($AC$2:$AC$3001&lt;$AC2823))+1,"")</f>
        <v/>
      </c>
      <c r="AB2823">
        <f>IF($B2823="","",IF(OR($Y2823=TRUE(),$Y2823="TRUE"),1,IF(AND($Y2823&lt;&gt;"",OR($Y2823=FALSE(),$Y2823="FALSE")),0,IF(MIN(ABS($X2823/100-Settings!$C$6),ABS($X2823/100-Settings!$G$6))&lt;=MIN(ABS($X2823/100-Settings!$C$7),ABS($X2823/100-Settings!$G$7)),1,0))))</f>
        <v/>
      </c>
      <c r="AC2823">
        <f>IF($Z2823=1,IFERROR(IF(VALUE($B2823)&lt;100000000,VALUE($B2823),1000000000),IFERROR(IF(VALUE(MID($B2823,2,20))&lt;100000000,VALUE(MID($B2823,2,20)),1000000000),1000000000))+ROW()/100000,"")</f>
        <v/>
      </c>
    </row>
    <row r="2824">
      <c r="A2824">
        <f>IF($B2824="","",IFERROR(IF(INDEX('Per Invoice'!$A$2:$A$801,MATCH($B2824,'Per Invoice'!$B$2:$B$801,0))=0,"",INDEX('Per Invoice'!$A$2:$A$801,MATCH($B2824,'Per Invoice'!$B$2:$B$801,0))),""))</f>
        <v/>
      </c>
      <c r="J2824" s="7">
        <f>IF($B2824="","",I2824*Q2824/100)</f>
        <v/>
      </c>
      <c r="N2824" s="7" t="n"/>
      <c r="O2824" s="7" t="n"/>
      <c r="P2824" s="7">
        <f>IF($B2824="","",O2824*X2824/100)</f>
        <v/>
      </c>
      <c r="Q2824" s="7">
        <f>IF($B2824="","",O2824-P2824)</f>
        <v/>
      </c>
      <c r="R2824" s="7">
        <f>IF($B2824="","",Q2824-J2824)</f>
        <v/>
      </c>
      <c r="S2824" s="7" t="n"/>
      <c r="T2824" s="7" t="n"/>
      <c r="V2824" s="14" t="n"/>
      <c r="Z2824">
        <f>IF($B2824="","",IF(COUNTIF($B$2:$B2824,$B2824)=1,1,0))</f>
        <v/>
      </c>
      <c r="AA2824">
        <f>IF($Z2824=1,SUMPRODUCT(--($AC$2:$AC$3001&lt;$AC2824))+1,"")</f>
        <v/>
      </c>
      <c r="AB2824">
        <f>IF($B2824="","",IF(OR($Y2824=TRUE(),$Y2824="TRUE"),1,IF(AND($Y2824&lt;&gt;"",OR($Y2824=FALSE(),$Y2824="FALSE")),0,IF(MIN(ABS($X2824/100-Settings!$C$6),ABS($X2824/100-Settings!$G$6))&lt;=MIN(ABS($X2824/100-Settings!$C$7),ABS($X2824/100-Settings!$G$7)),1,0))))</f>
        <v/>
      </c>
      <c r="AC2824">
        <f>IF($Z2824=1,IFERROR(IF(VALUE($B2824)&lt;100000000,VALUE($B2824),1000000000),IFERROR(IF(VALUE(MID($B2824,2,20))&lt;100000000,VALUE(MID($B2824,2,20)),1000000000),1000000000))+ROW()/100000,"")</f>
        <v/>
      </c>
    </row>
    <row r="2825">
      <c r="A2825">
        <f>IF($B2825="","",IFERROR(IF(INDEX('Per Invoice'!$A$2:$A$801,MATCH($B2825,'Per Invoice'!$B$2:$B$801,0))=0,"",INDEX('Per Invoice'!$A$2:$A$801,MATCH($B2825,'Per Invoice'!$B$2:$B$801,0))),""))</f>
        <v/>
      </c>
      <c r="J2825" s="7">
        <f>IF($B2825="","",I2825*Q2825/100)</f>
        <v/>
      </c>
      <c r="N2825" s="7" t="n"/>
      <c r="O2825" s="7" t="n"/>
      <c r="P2825" s="7">
        <f>IF($B2825="","",O2825*X2825/100)</f>
        <v/>
      </c>
      <c r="Q2825" s="7">
        <f>IF($B2825="","",O2825-P2825)</f>
        <v/>
      </c>
      <c r="R2825" s="7">
        <f>IF($B2825="","",Q2825-J2825)</f>
        <v/>
      </c>
      <c r="S2825" s="7" t="n"/>
      <c r="T2825" s="7" t="n"/>
      <c r="V2825" s="14" t="n"/>
      <c r="Z2825">
        <f>IF($B2825="","",IF(COUNTIF($B$2:$B2825,$B2825)=1,1,0))</f>
        <v/>
      </c>
      <c r="AA2825">
        <f>IF($Z2825=1,SUMPRODUCT(--($AC$2:$AC$3001&lt;$AC2825))+1,"")</f>
        <v/>
      </c>
      <c r="AB2825">
        <f>IF($B2825="","",IF(OR($Y2825=TRUE(),$Y2825="TRUE"),1,IF(AND($Y2825&lt;&gt;"",OR($Y2825=FALSE(),$Y2825="FALSE")),0,IF(MIN(ABS($X2825/100-Settings!$C$6),ABS($X2825/100-Settings!$G$6))&lt;=MIN(ABS($X2825/100-Settings!$C$7),ABS($X2825/100-Settings!$G$7)),1,0))))</f>
        <v/>
      </c>
      <c r="AC2825">
        <f>IF($Z2825=1,IFERROR(IF(VALUE($B2825)&lt;100000000,VALUE($B2825),1000000000),IFERROR(IF(VALUE(MID($B2825,2,20))&lt;100000000,VALUE(MID($B2825,2,20)),1000000000),1000000000))+ROW()/100000,"")</f>
        <v/>
      </c>
    </row>
    <row r="2826">
      <c r="A2826">
        <f>IF($B2826="","",IFERROR(IF(INDEX('Per Invoice'!$A$2:$A$801,MATCH($B2826,'Per Invoice'!$B$2:$B$801,0))=0,"",INDEX('Per Invoice'!$A$2:$A$801,MATCH($B2826,'Per Invoice'!$B$2:$B$801,0))),""))</f>
        <v/>
      </c>
      <c r="J2826" s="7">
        <f>IF($B2826="","",I2826*Q2826/100)</f>
        <v/>
      </c>
      <c r="N2826" s="7" t="n"/>
      <c r="O2826" s="7" t="n"/>
      <c r="P2826" s="7">
        <f>IF($B2826="","",O2826*X2826/100)</f>
        <v/>
      </c>
      <c r="Q2826" s="7">
        <f>IF($B2826="","",O2826-P2826)</f>
        <v/>
      </c>
      <c r="R2826" s="7">
        <f>IF($B2826="","",Q2826-J2826)</f>
        <v/>
      </c>
      <c r="S2826" s="7" t="n"/>
      <c r="T2826" s="7" t="n"/>
      <c r="V2826" s="14" t="n"/>
      <c r="Z2826">
        <f>IF($B2826="","",IF(COUNTIF($B$2:$B2826,$B2826)=1,1,0))</f>
        <v/>
      </c>
      <c r="AA2826">
        <f>IF($Z2826=1,SUMPRODUCT(--($AC$2:$AC$3001&lt;$AC2826))+1,"")</f>
        <v/>
      </c>
      <c r="AB2826">
        <f>IF($B2826="","",IF(OR($Y2826=TRUE(),$Y2826="TRUE"),1,IF(AND($Y2826&lt;&gt;"",OR($Y2826=FALSE(),$Y2826="FALSE")),0,IF(MIN(ABS($X2826/100-Settings!$C$6),ABS($X2826/100-Settings!$G$6))&lt;=MIN(ABS($X2826/100-Settings!$C$7),ABS($X2826/100-Settings!$G$7)),1,0))))</f>
        <v/>
      </c>
      <c r="AC2826">
        <f>IF($Z2826=1,IFERROR(IF(VALUE($B2826)&lt;100000000,VALUE($B2826),1000000000),IFERROR(IF(VALUE(MID($B2826,2,20))&lt;100000000,VALUE(MID($B2826,2,20)),1000000000),1000000000))+ROW()/100000,"")</f>
        <v/>
      </c>
    </row>
    <row r="2827">
      <c r="A2827">
        <f>IF($B2827="","",IFERROR(IF(INDEX('Per Invoice'!$A$2:$A$801,MATCH($B2827,'Per Invoice'!$B$2:$B$801,0))=0,"",INDEX('Per Invoice'!$A$2:$A$801,MATCH($B2827,'Per Invoice'!$B$2:$B$801,0))),""))</f>
        <v/>
      </c>
      <c r="J2827" s="7">
        <f>IF($B2827="","",I2827*Q2827/100)</f>
        <v/>
      </c>
      <c r="N2827" s="7" t="n"/>
      <c r="O2827" s="7" t="n"/>
      <c r="P2827" s="7">
        <f>IF($B2827="","",O2827*X2827/100)</f>
        <v/>
      </c>
      <c r="Q2827" s="7">
        <f>IF($B2827="","",O2827-P2827)</f>
        <v/>
      </c>
      <c r="R2827" s="7">
        <f>IF($B2827="","",Q2827-J2827)</f>
        <v/>
      </c>
      <c r="S2827" s="7" t="n"/>
      <c r="T2827" s="7" t="n"/>
      <c r="V2827" s="14" t="n"/>
      <c r="Z2827">
        <f>IF($B2827="","",IF(COUNTIF($B$2:$B2827,$B2827)=1,1,0))</f>
        <v/>
      </c>
      <c r="AA2827">
        <f>IF($Z2827=1,SUMPRODUCT(--($AC$2:$AC$3001&lt;$AC2827))+1,"")</f>
        <v/>
      </c>
      <c r="AB2827">
        <f>IF($B2827="","",IF(OR($Y2827=TRUE(),$Y2827="TRUE"),1,IF(AND($Y2827&lt;&gt;"",OR($Y2827=FALSE(),$Y2827="FALSE")),0,IF(MIN(ABS($X2827/100-Settings!$C$6),ABS($X2827/100-Settings!$G$6))&lt;=MIN(ABS($X2827/100-Settings!$C$7),ABS($X2827/100-Settings!$G$7)),1,0))))</f>
        <v/>
      </c>
      <c r="AC2827">
        <f>IF($Z2827=1,IFERROR(IF(VALUE($B2827)&lt;100000000,VALUE($B2827),1000000000),IFERROR(IF(VALUE(MID($B2827,2,20))&lt;100000000,VALUE(MID($B2827,2,20)),1000000000),1000000000))+ROW()/100000,"")</f>
        <v/>
      </c>
    </row>
    <row r="2828">
      <c r="A2828">
        <f>IF($B2828="","",IFERROR(IF(INDEX('Per Invoice'!$A$2:$A$801,MATCH($B2828,'Per Invoice'!$B$2:$B$801,0))=0,"",INDEX('Per Invoice'!$A$2:$A$801,MATCH($B2828,'Per Invoice'!$B$2:$B$801,0))),""))</f>
        <v/>
      </c>
      <c r="J2828" s="7">
        <f>IF($B2828="","",I2828*Q2828/100)</f>
        <v/>
      </c>
      <c r="N2828" s="7" t="n"/>
      <c r="O2828" s="7" t="n"/>
      <c r="P2828" s="7">
        <f>IF($B2828="","",O2828*X2828/100)</f>
        <v/>
      </c>
      <c r="Q2828" s="7">
        <f>IF($B2828="","",O2828-P2828)</f>
        <v/>
      </c>
      <c r="R2828" s="7">
        <f>IF($B2828="","",Q2828-J2828)</f>
        <v/>
      </c>
      <c r="S2828" s="7" t="n"/>
      <c r="T2828" s="7" t="n"/>
      <c r="V2828" s="14" t="n"/>
      <c r="Z2828">
        <f>IF($B2828="","",IF(COUNTIF($B$2:$B2828,$B2828)=1,1,0))</f>
        <v/>
      </c>
      <c r="AA2828">
        <f>IF($Z2828=1,SUMPRODUCT(--($AC$2:$AC$3001&lt;$AC2828))+1,"")</f>
        <v/>
      </c>
      <c r="AB2828">
        <f>IF($B2828="","",IF(OR($Y2828=TRUE(),$Y2828="TRUE"),1,IF(AND($Y2828&lt;&gt;"",OR($Y2828=FALSE(),$Y2828="FALSE")),0,IF(MIN(ABS($X2828/100-Settings!$C$6),ABS($X2828/100-Settings!$G$6))&lt;=MIN(ABS($X2828/100-Settings!$C$7),ABS($X2828/100-Settings!$G$7)),1,0))))</f>
        <v/>
      </c>
      <c r="AC2828">
        <f>IF($Z2828=1,IFERROR(IF(VALUE($B2828)&lt;100000000,VALUE($B2828),1000000000),IFERROR(IF(VALUE(MID($B2828,2,20))&lt;100000000,VALUE(MID($B2828,2,20)),1000000000),1000000000))+ROW()/100000,"")</f>
        <v/>
      </c>
    </row>
    <row r="2829">
      <c r="A2829">
        <f>IF($B2829="","",IFERROR(IF(INDEX('Per Invoice'!$A$2:$A$801,MATCH($B2829,'Per Invoice'!$B$2:$B$801,0))=0,"",INDEX('Per Invoice'!$A$2:$A$801,MATCH($B2829,'Per Invoice'!$B$2:$B$801,0))),""))</f>
        <v/>
      </c>
      <c r="J2829" s="7">
        <f>IF($B2829="","",I2829*Q2829/100)</f>
        <v/>
      </c>
      <c r="N2829" s="7" t="n"/>
      <c r="O2829" s="7" t="n"/>
      <c r="P2829" s="7">
        <f>IF($B2829="","",O2829*X2829/100)</f>
        <v/>
      </c>
      <c r="Q2829" s="7">
        <f>IF($B2829="","",O2829-P2829)</f>
        <v/>
      </c>
      <c r="R2829" s="7">
        <f>IF($B2829="","",Q2829-J2829)</f>
        <v/>
      </c>
      <c r="S2829" s="7" t="n"/>
      <c r="T2829" s="7" t="n"/>
      <c r="V2829" s="14" t="n"/>
      <c r="Z2829">
        <f>IF($B2829="","",IF(COUNTIF($B$2:$B2829,$B2829)=1,1,0))</f>
        <v/>
      </c>
      <c r="AA2829">
        <f>IF($Z2829=1,SUMPRODUCT(--($AC$2:$AC$3001&lt;$AC2829))+1,"")</f>
        <v/>
      </c>
      <c r="AB2829">
        <f>IF($B2829="","",IF(OR($Y2829=TRUE(),$Y2829="TRUE"),1,IF(AND($Y2829&lt;&gt;"",OR($Y2829=FALSE(),$Y2829="FALSE")),0,IF(MIN(ABS($X2829/100-Settings!$C$6),ABS($X2829/100-Settings!$G$6))&lt;=MIN(ABS($X2829/100-Settings!$C$7),ABS($X2829/100-Settings!$G$7)),1,0))))</f>
        <v/>
      </c>
      <c r="AC2829">
        <f>IF($Z2829=1,IFERROR(IF(VALUE($B2829)&lt;100000000,VALUE($B2829),1000000000),IFERROR(IF(VALUE(MID($B2829,2,20))&lt;100000000,VALUE(MID($B2829,2,20)),1000000000),1000000000))+ROW()/100000,"")</f>
        <v/>
      </c>
    </row>
    <row r="2830">
      <c r="A2830">
        <f>IF($B2830="","",IFERROR(IF(INDEX('Per Invoice'!$A$2:$A$801,MATCH($B2830,'Per Invoice'!$B$2:$B$801,0))=0,"",INDEX('Per Invoice'!$A$2:$A$801,MATCH($B2830,'Per Invoice'!$B$2:$B$801,0))),""))</f>
        <v/>
      </c>
      <c r="J2830" s="7">
        <f>IF($B2830="","",I2830*Q2830/100)</f>
        <v/>
      </c>
      <c r="N2830" s="7" t="n"/>
      <c r="O2830" s="7" t="n"/>
      <c r="P2830" s="7">
        <f>IF($B2830="","",O2830*X2830/100)</f>
        <v/>
      </c>
      <c r="Q2830" s="7">
        <f>IF($B2830="","",O2830-P2830)</f>
        <v/>
      </c>
      <c r="R2830" s="7">
        <f>IF($B2830="","",Q2830-J2830)</f>
        <v/>
      </c>
      <c r="S2830" s="7" t="n"/>
      <c r="T2830" s="7" t="n"/>
      <c r="V2830" s="14" t="n"/>
      <c r="Z2830">
        <f>IF($B2830="","",IF(COUNTIF($B$2:$B2830,$B2830)=1,1,0))</f>
        <v/>
      </c>
      <c r="AA2830">
        <f>IF($Z2830=1,SUMPRODUCT(--($AC$2:$AC$3001&lt;$AC2830))+1,"")</f>
        <v/>
      </c>
      <c r="AB2830">
        <f>IF($B2830="","",IF(OR($Y2830=TRUE(),$Y2830="TRUE"),1,IF(AND($Y2830&lt;&gt;"",OR($Y2830=FALSE(),$Y2830="FALSE")),0,IF(MIN(ABS($X2830/100-Settings!$C$6),ABS($X2830/100-Settings!$G$6))&lt;=MIN(ABS($X2830/100-Settings!$C$7),ABS($X2830/100-Settings!$G$7)),1,0))))</f>
        <v/>
      </c>
      <c r="AC2830">
        <f>IF($Z2830=1,IFERROR(IF(VALUE($B2830)&lt;100000000,VALUE($B2830),1000000000),IFERROR(IF(VALUE(MID($B2830,2,20))&lt;100000000,VALUE(MID($B2830,2,20)),1000000000),1000000000))+ROW()/100000,"")</f>
        <v/>
      </c>
    </row>
    <row r="2831">
      <c r="A2831">
        <f>IF($B2831="","",IFERROR(IF(INDEX('Per Invoice'!$A$2:$A$801,MATCH($B2831,'Per Invoice'!$B$2:$B$801,0))=0,"",INDEX('Per Invoice'!$A$2:$A$801,MATCH($B2831,'Per Invoice'!$B$2:$B$801,0))),""))</f>
        <v/>
      </c>
      <c r="J2831" s="7">
        <f>IF($B2831="","",I2831*Q2831/100)</f>
        <v/>
      </c>
      <c r="N2831" s="7" t="n"/>
      <c r="O2831" s="7" t="n"/>
      <c r="P2831" s="7">
        <f>IF($B2831="","",O2831*X2831/100)</f>
        <v/>
      </c>
      <c r="Q2831" s="7">
        <f>IF($B2831="","",O2831-P2831)</f>
        <v/>
      </c>
      <c r="R2831" s="7">
        <f>IF($B2831="","",Q2831-J2831)</f>
        <v/>
      </c>
      <c r="S2831" s="7" t="n"/>
      <c r="T2831" s="7" t="n"/>
      <c r="V2831" s="14" t="n"/>
      <c r="Z2831">
        <f>IF($B2831="","",IF(COUNTIF($B$2:$B2831,$B2831)=1,1,0))</f>
        <v/>
      </c>
      <c r="AA2831">
        <f>IF($Z2831=1,SUMPRODUCT(--($AC$2:$AC$3001&lt;$AC2831))+1,"")</f>
        <v/>
      </c>
      <c r="AB2831">
        <f>IF($B2831="","",IF(OR($Y2831=TRUE(),$Y2831="TRUE"),1,IF(AND($Y2831&lt;&gt;"",OR($Y2831=FALSE(),$Y2831="FALSE")),0,IF(MIN(ABS($X2831/100-Settings!$C$6),ABS($X2831/100-Settings!$G$6))&lt;=MIN(ABS($X2831/100-Settings!$C$7),ABS($X2831/100-Settings!$G$7)),1,0))))</f>
        <v/>
      </c>
      <c r="AC2831">
        <f>IF($Z2831=1,IFERROR(IF(VALUE($B2831)&lt;100000000,VALUE($B2831),1000000000),IFERROR(IF(VALUE(MID($B2831,2,20))&lt;100000000,VALUE(MID($B2831,2,20)),1000000000),1000000000))+ROW()/100000,"")</f>
        <v/>
      </c>
    </row>
    <row r="2832">
      <c r="A2832">
        <f>IF($B2832="","",IFERROR(IF(INDEX('Per Invoice'!$A$2:$A$801,MATCH($B2832,'Per Invoice'!$B$2:$B$801,0))=0,"",INDEX('Per Invoice'!$A$2:$A$801,MATCH($B2832,'Per Invoice'!$B$2:$B$801,0))),""))</f>
        <v/>
      </c>
      <c r="J2832" s="7">
        <f>IF($B2832="","",I2832*Q2832/100)</f>
        <v/>
      </c>
      <c r="N2832" s="7" t="n"/>
      <c r="O2832" s="7" t="n"/>
      <c r="P2832" s="7">
        <f>IF($B2832="","",O2832*X2832/100)</f>
        <v/>
      </c>
      <c r="Q2832" s="7">
        <f>IF($B2832="","",O2832-P2832)</f>
        <v/>
      </c>
      <c r="R2832" s="7">
        <f>IF($B2832="","",Q2832-J2832)</f>
        <v/>
      </c>
      <c r="S2832" s="7" t="n"/>
      <c r="T2832" s="7" t="n"/>
      <c r="V2832" s="14" t="n"/>
      <c r="Z2832">
        <f>IF($B2832="","",IF(COUNTIF($B$2:$B2832,$B2832)=1,1,0))</f>
        <v/>
      </c>
      <c r="AA2832">
        <f>IF($Z2832=1,SUMPRODUCT(--($AC$2:$AC$3001&lt;$AC2832))+1,"")</f>
        <v/>
      </c>
      <c r="AB2832">
        <f>IF($B2832="","",IF(OR($Y2832=TRUE(),$Y2832="TRUE"),1,IF(AND($Y2832&lt;&gt;"",OR($Y2832=FALSE(),$Y2832="FALSE")),0,IF(MIN(ABS($X2832/100-Settings!$C$6),ABS($X2832/100-Settings!$G$6))&lt;=MIN(ABS($X2832/100-Settings!$C$7),ABS($X2832/100-Settings!$G$7)),1,0))))</f>
        <v/>
      </c>
      <c r="AC2832">
        <f>IF($Z2832=1,IFERROR(IF(VALUE($B2832)&lt;100000000,VALUE($B2832),1000000000),IFERROR(IF(VALUE(MID($B2832,2,20))&lt;100000000,VALUE(MID($B2832,2,20)),1000000000),1000000000))+ROW()/100000,"")</f>
        <v/>
      </c>
    </row>
    <row r="2833">
      <c r="A2833">
        <f>IF($B2833="","",IFERROR(IF(INDEX('Per Invoice'!$A$2:$A$801,MATCH($B2833,'Per Invoice'!$B$2:$B$801,0))=0,"",INDEX('Per Invoice'!$A$2:$A$801,MATCH($B2833,'Per Invoice'!$B$2:$B$801,0))),""))</f>
        <v/>
      </c>
      <c r="J2833" s="7">
        <f>IF($B2833="","",I2833*Q2833/100)</f>
        <v/>
      </c>
      <c r="N2833" s="7" t="n"/>
      <c r="O2833" s="7" t="n"/>
      <c r="P2833" s="7">
        <f>IF($B2833="","",O2833*X2833/100)</f>
        <v/>
      </c>
      <c r="Q2833" s="7">
        <f>IF($B2833="","",O2833-P2833)</f>
        <v/>
      </c>
      <c r="R2833" s="7">
        <f>IF($B2833="","",Q2833-J2833)</f>
        <v/>
      </c>
      <c r="S2833" s="7" t="n"/>
      <c r="T2833" s="7" t="n"/>
      <c r="V2833" s="14" t="n"/>
      <c r="Z2833">
        <f>IF($B2833="","",IF(COUNTIF($B$2:$B2833,$B2833)=1,1,0))</f>
        <v/>
      </c>
      <c r="AA2833">
        <f>IF($Z2833=1,SUMPRODUCT(--($AC$2:$AC$3001&lt;$AC2833))+1,"")</f>
        <v/>
      </c>
      <c r="AB2833">
        <f>IF($B2833="","",IF(OR($Y2833=TRUE(),$Y2833="TRUE"),1,IF(AND($Y2833&lt;&gt;"",OR($Y2833=FALSE(),$Y2833="FALSE")),0,IF(MIN(ABS($X2833/100-Settings!$C$6),ABS($X2833/100-Settings!$G$6))&lt;=MIN(ABS($X2833/100-Settings!$C$7),ABS($X2833/100-Settings!$G$7)),1,0))))</f>
        <v/>
      </c>
      <c r="AC2833">
        <f>IF($Z2833=1,IFERROR(IF(VALUE($B2833)&lt;100000000,VALUE($B2833),1000000000),IFERROR(IF(VALUE(MID($B2833,2,20))&lt;100000000,VALUE(MID($B2833,2,20)),1000000000),1000000000))+ROW()/100000,"")</f>
        <v/>
      </c>
    </row>
    <row r="2834">
      <c r="A2834">
        <f>IF($B2834="","",IFERROR(IF(INDEX('Per Invoice'!$A$2:$A$801,MATCH($B2834,'Per Invoice'!$B$2:$B$801,0))=0,"",INDEX('Per Invoice'!$A$2:$A$801,MATCH($B2834,'Per Invoice'!$B$2:$B$801,0))),""))</f>
        <v/>
      </c>
      <c r="J2834" s="7">
        <f>IF($B2834="","",I2834*Q2834/100)</f>
        <v/>
      </c>
      <c r="N2834" s="7" t="n"/>
      <c r="O2834" s="7" t="n"/>
      <c r="P2834" s="7">
        <f>IF($B2834="","",O2834*X2834/100)</f>
        <v/>
      </c>
      <c r="Q2834" s="7">
        <f>IF($B2834="","",O2834-P2834)</f>
        <v/>
      </c>
      <c r="R2834" s="7">
        <f>IF($B2834="","",Q2834-J2834)</f>
        <v/>
      </c>
      <c r="S2834" s="7" t="n"/>
      <c r="T2834" s="7" t="n"/>
      <c r="V2834" s="14" t="n"/>
      <c r="Z2834">
        <f>IF($B2834="","",IF(COUNTIF($B$2:$B2834,$B2834)=1,1,0))</f>
        <v/>
      </c>
      <c r="AA2834">
        <f>IF($Z2834=1,SUMPRODUCT(--($AC$2:$AC$3001&lt;$AC2834))+1,"")</f>
        <v/>
      </c>
      <c r="AB2834">
        <f>IF($B2834="","",IF(OR($Y2834=TRUE(),$Y2834="TRUE"),1,IF(AND($Y2834&lt;&gt;"",OR($Y2834=FALSE(),$Y2834="FALSE")),0,IF(MIN(ABS($X2834/100-Settings!$C$6),ABS($X2834/100-Settings!$G$6))&lt;=MIN(ABS($X2834/100-Settings!$C$7),ABS($X2834/100-Settings!$G$7)),1,0))))</f>
        <v/>
      </c>
      <c r="AC2834">
        <f>IF($Z2834=1,IFERROR(IF(VALUE($B2834)&lt;100000000,VALUE($B2834),1000000000),IFERROR(IF(VALUE(MID($B2834,2,20))&lt;100000000,VALUE(MID($B2834,2,20)),1000000000),1000000000))+ROW()/100000,"")</f>
        <v/>
      </c>
    </row>
    <row r="2835">
      <c r="A2835">
        <f>IF($B2835="","",IFERROR(IF(INDEX('Per Invoice'!$A$2:$A$801,MATCH($B2835,'Per Invoice'!$B$2:$B$801,0))=0,"",INDEX('Per Invoice'!$A$2:$A$801,MATCH($B2835,'Per Invoice'!$B$2:$B$801,0))),""))</f>
        <v/>
      </c>
      <c r="J2835" s="7">
        <f>IF($B2835="","",I2835*Q2835/100)</f>
        <v/>
      </c>
      <c r="N2835" s="7" t="n"/>
      <c r="O2835" s="7" t="n"/>
      <c r="P2835" s="7">
        <f>IF($B2835="","",O2835*X2835/100)</f>
        <v/>
      </c>
      <c r="Q2835" s="7">
        <f>IF($B2835="","",O2835-P2835)</f>
        <v/>
      </c>
      <c r="R2835" s="7">
        <f>IF($B2835="","",Q2835-J2835)</f>
        <v/>
      </c>
      <c r="S2835" s="7" t="n"/>
      <c r="T2835" s="7" t="n"/>
      <c r="V2835" s="14" t="n"/>
      <c r="Z2835">
        <f>IF($B2835="","",IF(COUNTIF($B$2:$B2835,$B2835)=1,1,0))</f>
        <v/>
      </c>
      <c r="AA2835">
        <f>IF($Z2835=1,SUMPRODUCT(--($AC$2:$AC$3001&lt;$AC2835))+1,"")</f>
        <v/>
      </c>
      <c r="AB2835">
        <f>IF($B2835="","",IF(OR($Y2835=TRUE(),$Y2835="TRUE"),1,IF(AND($Y2835&lt;&gt;"",OR($Y2835=FALSE(),$Y2835="FALSE")),0,IF(MIN(ABS($X2835/100-Settings!$C$6),ABS($X2835/100-Settings!$G$6))&lt;=MIN(ABS($X2835/100-Settings!$C$7),ABS($X2835/100-Settings!$G$7)),1,0))))</f>
        <v/>
      </c>
      <c r="AC2835">
        <f>IF($Z2835=1,IFERROR(IF(VALUE($B2835)&lt;100000000,VALUE($B2835),1000000000),IFERROR(IF(VALUE(MID($B2835,2,20))&lt;100000000,VALUE(MID($B2835,2,20)),1000000000),1000000000))+ROW()/100000,"")</f>
        <v/>
      </c>
    </row>
    <row r="2836">
      <c r="A2836">
        <f>IF($B2836="","",IFERROR(IF(INDEX('Per Invoice'!$A$2:$A$801,MATCH($B2836,'Per Invoice'!$B$2:$B$801,0))=0,"",INDEX('Per Invoice'!$A$2:$A$801,MATCH($B2836,'Per Invoice'!$B$2:$B$801,0))),""))</f>
        <v/>
      </c>
      <c r="J2836" s="7">
        <f>IF($B2836="","",I2836*Q2836/100)</f>
        <v/>
      </c>
      <c r="N2836" s="7" t="n"/>
      <c r="O2836" s="7" t="n"/>
      <c r="P2836" s="7">
        <f>IF($B2836="","",O2836*X2836/100)</f>
        <v/>
      </c>
      <c r="Q2836" s="7">
        <f>IF($B2836="","",O2836-P2836)</f>
        <v/>
      </c>
      <c r="R2836" s="7">
        <f>IF($B2836="","",Q2836-J2836)</f>
        <v/>
      </c>
      <c r="S2836" s="7" t="n"/>
      <c r="T2836" s="7" t="n"/>
      <c r="V2836" s="14" t="n"/>
      <c r="Z2836">
        <f>IF($B2836="","",IF(COUNTIF($B$2:$B2836,$B2836)=1,1,0))</f>
        <v/>
      </c>
      <c r="AA2836">
        <f>IF($Z2836=1,SUMPRODUCT(--($AC$2:$AC$3001&lt;$AC2836))+1,"")</f>
        <v/>
      </c>
      <c r="AB2836">
        <f>IF($B2836="","",IF(OR($Y2836=TRUE(),$Y2836="TRUE"),1,IF(AND($Y2836&lt;&gt;"",OR($Y2836=FALSE(),$Y2836="FALSE")),0,IF(MIN(ABS($X2836/100-Settings!$C$6),ABS($X2836/100-Settings!$G$6))&lt;=MIN(ABS($X2836/100-Settings!$C$7),ABS($X2836/100-Settings!$G$7)),1,0))))</f>
        <v/>
      </c>
      <c r="AC2836">
        <f>IF($Z2836=1,IFERROR(IF(VALUE($B2836)&lt;100000000,VALUE($B2836),1000000000),IFERROR(IF(VALUE(MID($B2836,2,20))&lt;100000000,VALUE(MID($B2836,2,20)),1000000000),1000000000))+ROW()/100000,"")</f>
        <v/>
      </c>
    </row>
    <row r="2837">
      <c r="A2837">
        <f>IF($B2837="","",IFERROR(IF(INDEX('Per Invoice'!$A$2:$A$801,MATCH($B2837,'Per Invoice'!$B$2:$B$801,0))=0,"",INDEX('Per Invoice'!$A$2:$A$801,MATCH($B2837,'Per Invoice'!$B$2:$B$801,0))),""))</f>
        <v/>
      </c>
      <c r="J2837" s="7">
        <f>IF($B2837="","",I2837*Q2837/100)</f>
        <v/>
      </c>
      <c r="N2837" s="7" t="n"/>
      <c r="O2837" s="7" t="n"/>
      <c r="P2837" s="7">
        <f>IF($B2837="","",O2837*X2837/100)</f>
        <v/>
      </c>
      <c r="Q2837" s="7">
        <f>IF($B2837="","",O2837-P2837)</f>
        <v/>
      </c>
      <c r="R2837" s="7">
        <f>IF($B2837="","",Q2837-J2837)</f>
        <v/>
      </c>
      <c r="S2837" s="7" t="n"/>
      <c r="T2837" s="7" t="n"/>
      <c r="V2837" s="14" t="n"/>
      <c r="Z2837">
        <f>IF($B2837="","",IF(COUNTIF($B$2:$B2837,$B2837)=1,1,0))</f>
        <v/>
      </c>
      <c r="AA2837">
        <f>IF($Z2837=1,SUMPRODUCT(--($AC$2:$AC$3001&lt;$AC2837))+1,"")</f>
        <v/>
      </c>
      <c r="AB2837">
        <f>IF($B2837="","",IF(OR($Y2837=TRUE(),$Y2837="TRUE"),1,IF(AND($Y2837&lt;&gt;"",OR($Y2837=FALSE(),$Y2837="FALSE")),0,IF(MIN(ABS($X2837/100-Settings!$C$6),ABS($X2837/100-Settings!$G$6))&lt;=MIN(ABS($X2837/100-Settings!$C$7),ABS($X2837/100-Settings!$G$7)),1,0))))</f>
        <v/>
      </c>
      <c r="AC2837">
        <f>IF($Z2837=1,IFERROR(IF(VALUE($B2837)&lt;100000000,VALUE($B2837),1000000000),IFERROR(IF(VALUE(MID($B2837,2,20))&lt;100000000,VALUE(MID($B2837,2,20)),1000000000),1000000000))+ROW()/100000,"")</f>
        <v/>
      </c>
    </row>
    <row r="2838">
      <c r="A2838">
        <f>IF($B2838="","",IFERROR(IF(INDEX('Per Invoice'!$A$2:$A$801,MATCH($B2838,'Per Invoice'!$B$2:$B$801,0))=0,"",INDEX('Per Invoice'!$A$2:$A$801,MATCH($B2838,'Per Invoice'!$B$2:$B$801,0))),""))</f>
        <v/>
      </c>
      <c r="J2838" s="7">
        <f>IF($B2838="","",I2838*Q2838/100)</f>
        <v/>
      </c>
      <c r="N2838" s="7" t="n"/>
      <c r="O2838" s="7" t="n"/>
      <c r="P2838" s="7">
        <f>IF($B2838="","",O2838*X2838/100)</f>
        <v/>
      </c>
      <c r="Q2838" s="7">
        <f>IF($B2838="","",O2838-P2838)</f>
        <v/>
      </c>
      <c r="R2838" s="7">
        <f>IF($B2838="","",Q2838-J2838)</f>
        <v/>
      </c>
      <c r="S2838" s="7" t="n"/>
      <c r="T2838" s="7" t="n"/>
      <c r="V2838" s="14" t="n"/>
      <c r="Z2838">
        <f>IF($B2838="","",IF(COUNTIF($B$2:$B2838,$B2838)=1,1,0))</f>
        <v/>
      </c>
      <c r="AA2838">
        <f>IF($Z2838=1,SUMPRODUCT(--($AC$2:$AC$3001&lt;$AC2838))+1,"")</f>
        <v/>
      </c>
      <c r="AB2838">
        <f>IF($B2838="","",IF(OR($Y2838=TRUE(),$Y2838="TRUE"),1,IF(AND($Y2838&lt;&gt;"",OR($Y2838=FALSE(),$Y2838="FALSE")),0,IF(MIN(ABS($X2838/100-Settings!$C$6),ABS($X2838/100-Settings!$G$6))&lt;=MIN(ABS($X2838/100-Settings!$C$7),ABS($X2838/100-Settings!$G$7)),1,0))))</f>
        <v/>
      </c>
      <c r="AC2838">
        <f>IF($Z2838=1,IFERROR(IF(VALUE($B2838)&lt;100000000,VALUE($B2838),1000000000),IFERROR(IF(VALUE(MID($B2838,2,20))&lt;100000000,VALUE(MID($B2838,2,20)),1000000000),1000000000))+ROW()/100000,"")</f>
        <v/>
      </c>
    </row>
    <row r="2839">
      <c r="A2839">
        <f>IF($B2839="","",IFERROR(IF(INDEX('Per Invoice'!$A$2:$A$801,MATCH($B2839,'Per Invoice'!$B$2:$B$801,0))=0,"",INDEX('Per Invoice'!$A$2:$A$801,MATCH($B2839,'Per Invoice'!$B$2:$B$801,0))),""))</f>
        <v/>
      </c>
      <c r="J2839" s="7">
        <f>IF($B2839="","",I2839*Q2839/100)</f>
        <v/>
      </c>
      <c r="N2839" s="7" t="n"/>
      <c r="O2839" s="7" t="n"/>
      <c r="P2839" s="7">
        <f>IF($B2839="","",O2839*X2839/100)</f>
        <v/>
      </c>
      <c r="Q2839" s="7">
        <f>IF($B2839="","",O2839-P2839)</f>
        <v/>
      </c>
      <c r="R2839" s="7">
        <f>IF($B2839="","",Q2839-J2839)</f>
        <v/>
      </c>
      <c r="S2839" s="7" t="n"/>
      <c r="T2839" s="7" t="n"/>
      <c r="V2839" s="14" t="n"/>
      <c r="Z2839">
        <f>IF($B2839="","",IF(COUNTIF($B$2:$B2839,$B2839)=1,1,0))</f>
        <v/>
      </c>
      <c r="AA2839">
        <f>IF($Z2839=1,SUMPRODUCT(--($AC$2:$AC$3001&lt;$AC2839))+1,"")</f>
        <v/>
      </c>
      <c r="AB2839">
        <f>IF($B2839="","",IF(OR($Y2839=TRUE(),$Y2839="TRUE"),1,IF(AND($Y2839&lt;&gt;"",OR($Y2839=FALSE(),$Y2839="FALSE")),0,IF(MIN(ABS($X2839/100-Settings!$C$6),ABS($X2839/100-Settings!$G$6))&lt;=MIN(ABS($X2839/100-Settings!$C$7),ABS($X2839/100-Settings!$G$7)),1,0))))</f>
        <v/>
      </c>
      <c r="AC2839">
        <f>IF($Z2839=1,IFERROR(IF(VALUE($B2839)&lt;100000000,VALUE($B2839),1000000000),IFERROR(IF(VALUE(MID($B2839,2,20))&lt;100000000,VALUE(MID($B2839,2,20)),1000000000),1000000000))+ROW()/100000,"")</f>
        <v/>
      </c>
    </row>
    <row r="2840">
      <c r="A2840">
        <f>IF($B2840="","",IFERROR(IF(INDEX('Per Invoice'!$A$2:$A$801,MATCH($B2840,'Per Invoice'!$B$2:$B$801,0))=0,"",INDEX('Per Invoice'!$A$2:$A$801,MATCH($B2840,'Per Invoice'!$B$2:$B$801,0))),""))</f>
        <v/>
      </c>
      <c r="J2840" s="7">
        <f>IF($B2840="","",I2840*Q2840/100)</f>
        <v/>
      </c>
      <c r="N2840" s="7" t="n"/>
      <c r="O2840" s="7" t="n"/>
      <c r="P2840" s="7">
        <f>IF($B2840="","",O2840*X2840/100)</f>
        <v/>
      </c>
      <c r="Q2840" s="7">
        <f>IF($B2840="","",O2840-P2840)</f>
        <v/>
      </c>
      <c r="R2840" s="7">
        <f>IF($B2840="","",Q2840-J2840)</f>
        <v/>
      </c>
      <c r="S2840" s="7" t="n"/>
      <c r="T2840" s="7" t="n"/>
      <c r="V2840" s="14" t="n"/>
      <c r="Z2840">
        <f>IF($B2840="","",IF(COUNTIF($B$2:$B2840,$B2840)=1,1,0))</f>
        <v/>
      </c>
      <c r="AA2840">
        <f>IF($Z2840=1,SUMPRODUCT(--($AC$2:$AC$3001&lt;$AC2840))+1,"")</f>
        <v/>
      </c>
      <c r="AB2840">
        <f>IF($B2840="","",IF(OR($Y2840=TRUE(),$Y2840="TRUE"),1,IF(AND($Y2840&lt;&gt;"",OR($Y2840=FALSE(),$Y2840="FALSE")),0,IF(MIN(ABS($X2840/100-Settings!$C$6),ABS($X2840/100-Settings!$G$6))&lt;=MIN(ABS($X2840/100-Settings!$C$7),ABS($X2840/100-Settings!$G$7)),1,0))))</f>
        <v/>
      </c>
      <c r="AC2840">
        <f>IF($Z2840=1,IFERROR(IF(VALUE($B2840)&lt;100000000,VALUE($B2840),1000000000),IFERROR(IF(VALUE(MID($B2840,2,20))&lt;100000000,VALUE(MID($B2840,2,20)),1000000000),1000000000))+ROW()/100000,"")</f>
        <v/>
      </c>
    </row>
    <row r="2841">
      <c r="A2841">
        <f>IF($B2841="","",IFERROR(IF(INDEX('Per Invoice'!$A$2:$A$801,MATCH($B2841,'Per Invoice'!$B$2:$B$801,0))=0,"",INDEX('Per Invoice'!$A$2:$A$801,MATCH($B2841,'Per Invoice'!$B$2:$B$801,0))),""))</f>
        <v/>
      </c>
      <c r="J2841" s="7">
        <f>IF($B2841="","",I2841*Q2841/100)</f>
        <v/>
      </c>
      <c r="N2841" s="7" t="n"/>
      <c r="O2841" s="7" t="n"/>
      <c r="P2841" s="7">
        <f>IF($B2841="","",O2841*X2841/100)</f>
        <v/>
      </c>
      <c r="Q2841" s="7">
        <f>IF($B2841="","",O2841-P2841)</f>
        <v/>
      </c>
      <c r="R2841" s="7">
        <f>IF($B2841="","",Q2841-J2841)</f>
        <v/>
      </c>
      <c r="S2841" s="7" t="n"/>
      <c r="T2841" s="7" t="n"/>
      <c r="V2841" s="14" t="n"/>
      <c r="Z2841">
        <f>IF($B2841="","",IF(COUNTIF($B$2:$B2841,$B2841)=1,1,0))</f>
        <v/>
      </c>
      <c r="AA2841">
        <f>IF($Z2841=1,SUMPRODUCT(--($AC$2:$AC$3001&lt;$AC2841))+1,"")</f>
        <v/>
      </c>
      <c r="AB2841">
        <f>IF($B2841="","",IF(OR($Y2841=TRUE(),$Y2841="TRUE"),1,IF(AND($Y2841&lt;&gt;"",OR($Y2841=FALSE(),$Y2841="FALSE")),0,IF(MIN(ABS($X2841/100-Settings!$C$6),ABS($X2841/100-Settings!$G$6))&lt;=MIN(ABS($X2841/100-Settings!$C$7),ABS($X2841/100-Settings!$G$7)),1,0))))</f>
        <v/>
      </c>
      <c r="AC2841">
        <f>IF($Z2841=1,IFERROR(IF(VALUE($B2841)&lt;100000000,VALUE($B2841),1000000000),IFERROR(IF(VALUE(MID($B2841,2,20))&lt;100000000,VALUE(MID($B2841,2,20)),1000000000),1000000000))+ROW()/100000,"")</f>
        <v/>
      </c>
    </row>
    <row r="2842">
      <c r="A2842">
        <f>IF($B2842="","",IFERROR(IF(INDEX('Per Invoice'!$A$2:$A$801,MATCH($B2842,'Per Invoice'!$B$2:$B$801,0))=0,"",INDEX('Per Invoice'!$A$2:$A$801,MATCH($B2842,'Per Invoice'!$B$2:$B$801,0))),""))</f>
        <v/>
      </c>
      <c r="J2842" s="7">
        <f>IF($B2842="","",I2842*Q2842/100)</f>
        <v/>
      </c>
      <c r="N2842" s="7" t="n"/>
      <c r="O2842" s="7" t="n"/>
      <c r="P2842" s="7">
        <f>IF($B2842="","",O2842*X2842/100)</f>
        <v/>
      </c>
      <c r="Q2842" s="7">
        <f>IF($B2842="","",O2842-P2842)</f>
        <v/>
      </c>
      <c r="R2842" s="7">
        <f>IF($B2842="","",Q2842-J2842)</f>
        <v/>
      </c>
      <c r="S2842" s="7" t="n"/>
      <c r="T2842" s="7" t="n"/>
      <c r="V2842" s="14" t="n"/>
      <c r="Z2842">
        <f>IF($B2842="","",IF(COUNTIF($B$2:$B2842,$B2842)=1,1,0))</f>
        <v/>
      </c>
      <c r="AA2842">
        <f>IF($Z2842=1,SUMPRODUCT(--($AC$2:$AC$3001&lt;$AC2842))+1,"")</f>
        <v/>
      </c>
      <c r="AB2842">
        <f>IF($B2842="","",IF(OR($Y2842=TRUE(),$Y2842="TRUE"),1,IF(AND($Y2842&lt;&gt;"",OR($Y2842=FALSE(),$Y2842="FALSE")),0,IF(MIN(ABS($X2842/100-Settings!$C$6),ABS($X2842/100-Settings!$G$6))&lt;=MIN(ABS($X2842/100-Settings!$C$7),ABS($X2842/100-Settings!$G$7)),1,0))))</f>
        <v/>
      </c>
      <c r="AC2842">
        <f>IF($Z2842=1,IFERROR(IF(VALUE($B2842)&lt;100000000,VALUE($B2842),1000000000),IFERROR(IF(VALUE(MID($B2842,2,20))&lt;100000000,VALUE(MID($B2842,2,20)),1000000000),1000000000))+ROW()/100000,"")</f>
        <v/>
      </c>
    </row>
    <row r="2843">
      <c r="A2843">
        <f>IF($B2843="","",IFERROR(IF(INDEX('Per Invoice'!$A$2:$A$801,MATCH($B2843,'Per Invoice'!$B$2:$B$801,0))=0,"",INDEX('Per Invoice'!$A$2:$A$801,MATCH($B2843,'Per Invoice'!$B$2:$B$801,0))),""))</f>
        <v/>
      </c>
      <c r="J2843" s="7">
        <f>IF($B2843="","",I2843*Q2843/100)</f>
        <v/>
      </c>
      <c r="N2843" s="7" t="n"/>
      <c r="O2843" s="7" t="n"/>
      <c r="P2843" s="7">
        <f>IF($B2843="","",O2843*X2843/100)</f>
        <v/>
      </c>
      <c r="Q2843" s="7">
        <f>IF($B2843="","",O2843-P2843)</f>
        <v/>
      </c>
      <c r="R2843" s="7">
        <f>IF($B2843="","",Q2843-J2843)</f>
        <v/>
      </c>
      <c r="S2843" s="7" t="n"/>
      <c r="T2843" s="7" t="n"/>
      <c r="V2843" s="14" t="n"/>
      <c r="Z2843">
        <f>IF($B2843="","",IF(COUNTIF($B$2:$B2843,$B2843)=1,1,0))</f>
        <v/>
      </c>
      <c r="AA2843">
        <f>IF($Z2843=1,SUMPRODUCT(--($AC$2:$AC$3001&lt;$AC2843))+1,"")</f>
        <v/>
      </c>
      <c r="AB2843">
        <f>IF($B2843="","",IF(OR($Y2843=TRUE(),$Y2843="TRUE"),1,IF(AND($Y2843&lt;&gt;"",OR($Y2843=FALSE(),$Y2843="FALSE")),0,IF(MIN(ABS($X2843/100-Settings!$C$6),ABS($X2843/100-Settings!$G$6))&lt;=MIN(ABS($X2843/100-Settings!$C$7),ABS($X2843/100-Settings!$G$7)),1,0))))</f>
        <v/>
      </c>
      <c r="AC2843">
        <f>IF($Z2843=1,IFERROR(IF(VALUE($B2843)&lt;100000000,VALUE($B2843),1000000000),IFERROR(IF(VALUE(MID($B2843,2,20))&lt;100000000,VALUE(MID($B2843,2,20)),1000000000),1000000000))+ROW()/100000,"")</f>
        <v/>
      </c>
    </row>
    <row r="2844">
      <c r="A2844">
        <f>IF($B2844="","",IFERROR(IF(INDEX('Per Invoice'!$A$2:$A$801,MATCH($B2844,'Per Invoice'!$B$2:$B$801,0))=0,"",INDEX('Per Invoice'!$A$2:$A$801,MATCH($B2844,'Per Invoice'!$B$2:$B$801,0))),""))</f>
        <v/>
      </c>
      <c r="J2844" s="7">
        <f>IF($B2844="","",I2844*Q2844/100)</f>
        <v/>
      </c>
      <c r="N2844" s="7" t="n"/>
      <c r="O2844" s="7" t="n"/>
      <c r="P2844" s="7">
        <f>IF($B2844="","",O2844*X2844/100)</f>
        <v/>
      </c>
      <c r="Q2844" s="7">
        <f>IF($B2844="","",O2844-P2844)</f>
        <v/>
      </c>
      <c r="R2844" s="7">
        <f>IF($B2844="","",Q2844-J2844)</f>
        <v/>
      </c>
      <c r="S2844" s="7" t="n"/>
      <c r="T2844" s="7" t="n"/>
      <c r="V2844" s="14" t="n"/>
      <c r="Z2844">
        <f>IF($B2844="","",IF(COUNTIF($B$2:$B2844,$B2844)=1,1,0))</f>
        <v/>
      </c>
      <c r="AA2844">
        <f>IF($Z2844=1,SUMPRODUCT(--($AC$2:$AC$3001&lt;$AC2844))+1,"")</f>
        <v/>
      </c>
      <c r="AB2844">
        <f>IF($B2844="","",IF(OR($Y2844=TRUE(),$Y2844="TRUE"),1,IF(AND($Y2844&lt;&gt;"",OR($Y2844=FALSE(),$Y2844="FALSE")),0,IF(MIN(ABS($X2844/100-Settings!$C$6),ABS($X2844/100-Settings!$G$6))&lt;=MIN(ABS($X2844/100-Settings!$C$7),ABS($X2844/100-Settings!$G$7)),1,0))))</f>
        <v/>
      </c>
      <c r="AC2844">
        <f>IF($Z2844=1,IFERROR(IF(VALUE($B2844)&lt;100000000,VALUE($B2844),1000000000),IFERROR(IF(VALUE(MID($B2844,2,20))&lt;100000000,VALUE(MID($B2844,2,20)),1000000000),1000000000))+ROW()/100000,"")</f>
        <v/>
      </c>
    </row>
    <row r="2845">
      <c r="A2845">
        <f>IF($B2845="","",IFERROR(IF(INDEX('Per Invoice'!$A$2:$A$801,MATCH($B2845,'Per Invoice'!$B$2:$B$801,0))=0,"",INDEX('Per Invoice'!$A$2:$A$801,MATCH($B2845,'Per Invoice'!$B$2:$B$801,0))),""))</f>
        <v/>
      </c>
      <c r="J2845" s="7">
        <f>IF($B2845="","",I2845*Q2845/100)</f>
        <v/>
      </c>
      <c r="N2845" s="7" t="n"/>
      <c r="O2845" s="7" t="n"/>
      <c r="P2845" s="7">
        <f>IF($B2845="","",O2845*X2845/100)</f>
        <v/>
      </c>
      <c r="Q2845" s="7">
        <f>IF($B2845="","",O2845-P2845)</f>
        <v/>
      </c>
      <c r="R2845" s="7">
        <f>IF($B2845="","",Q2845-J2845)</f>
        <v/>
      </c>
      <c r="S2845" s="7" t="n"/>
      <c r="T2845" s="7" t="n"/>
      <c r="V2845" s="14" t="n"/>
      <c r="Z2845">
        <f>IF($B2845="","",IF(COUNTIF($B$2:$B2845,$B2845)=1,1,0))</f>
        <v/>
      </c>
      <c r="AA2845">
        <f>IF($Z2845=1,SUMPRODUCT(--($AC$2:$AC$3001&lt;$AC2845))+1,"")</f>
        <v/>
      </c>
      <c r="AB2845">
        <f>IF($B2845="","",IF(OR($Y2845=TRUE(),$Y2845="TRUE"),1,IF(AND($Y2845&lt;&gt;"",OR($Y2845=FALSE(),$Y2845="FALSE")),0,IF(MIN(ABS($X2845/100-Settings!$C$6),ABS($X2845/100-Settings!$G$6))&lt;=MIN(ABS($X2845/100-Settings!$C$7),ABS($X2845/100-Settings!$G$7)),1,0))))</f>
        <v/>
      </c>
      <c r="AC2845">
        <f>IF($Z2845=1,IFERROR(IF(VALUE($B2845)&lt;100000000,VALUE($B2845),1000000000),IFERROR(IF(VALUE(MID($B2845,2,20))&lt;100000000,VALUE(MID($B2845,2,20)),1000000000),1000000000))+ROW()/100000,"")</f>
        <v/>
      </c>
    </row>
    <row r="2846">
      <c r="A2846">
        <f>IF($B2846="","",IFERROR(IF(INDEX('Per Invoice'!$A$2:$A$801,MATCH($B2846,'Per Invoice'!$B$2:$B$801,0))=0,"",INDEX('Per Invoice'!$A$2:$A$801,MATCH($B2846,'Per Invoice'!$B$2:$B$801,0))),""))</f>
        <v/>
      </c>
      <c r="J2846" s="7">
        <f>IF($B2846="","",I2846*Q2846/100)</f>
        <v/>
      </c>
      <c r="N2846" s="7" t="n"/>
      <c r="O2846" s="7" t="n"/>
      <c r="P2846" s="7">
        <f>IF($B2846="","",O2846*X2846/100)</f>
        <v/>
      </c>
      <c r="Q2846" s="7">
        <f>IF($B2846="","",O2846-P2846)</f>
        <v/>
      </c>
      <c r="R2846" s="7">
        <f>IF($B2846="","",Q2846-J2846)</f>
        <v/>
      </c>
      <c r="S2846" s="7" t="n"/>
      <c r="T2846" s="7" t="n"/>
      <c r="V2846" s="14" t="n"/>
      <c r="Z2846">
        <f>IF($B2846="","",IF(COUNTIF($B$2:$B2846,$B2846)=1,1,0))</f>
        <v/>
      </c>
      <c r="AA2846">
        <f>IF($Z2846=1,SUMPRODUCT(--($AC$2:$AC$3001&lt;$AC2846))+1,"")</f>
        <v/>
      </c>
      <c r="AB2846">
        <f>IF($B2846="","",IF(OR($Y2846=TRUE(),$Y2846="TRUE"),1,IF(AND($Y2846&lt;&gt;"",OR($Y2846=FALSE(),$Y2846="FALSE")),0,IF(MIN(ABS($X2846/100-Settings!$C$6),ABS($X2846/100-Settings!$G$6))&lt;=MIN(ABS($X2846/100-Settings!$C$7),ABS($X2846/100-Settings!$G$7)),1,0))))</f>
        <v/>
      </c>
      <c r="AC2846">
        <f>IF($Z2846=1,IFERROR(IF(VALUE($B2846)&lt;100000000,VALUE($B2846),1000000000),IFERROR(IF(VALUE(MID($B2846,2,20))&lt;100000000,VALUE(MID($B2846,2,20)),1000000000),1000000000))+ROW()/100000,"")</f>
        <v/>
      </c>
    </row>
    <row r="2847">
      <c r="A2847">
        <f>IF($B2847="","",IFERROR(IF(INDEX('Per Invoice'!$A$2:$A$801,MATCH($B2847,'Per Invoice'!$B$2:$B$801,0))=0,"",INDEX('Per Invoice'!$A$2:$A$801,MATCH($B2847,'Per Invoice'!$B$2:$B$801,0))),""))</f>
        <v/>
      </c>
      <c r="J2847" s="7">
        <f>IF($B2847="","",I2847*Q2847/100)</f>
        <v/>
      </c>
      <c r="N2847" s="7" t="n"/>
      <c r="O2847" s="7" t="n"/>
      <c r="P2847" s="7">
        <f>IF($B2847="","",O2847*X2847/100)</f>
        <v/>
      </c>
      <c r="Q2847" s="7">
        <f>IF($B2847="","",O2847-P2847)</f>
        <v/>
      </c>
      <c r="R2847" s="7">
        <f>IF($B2847="","",Q2847-J2847)</f>
        <v/>
      </c>
      <c r="S2847" s="7" t="n"/>
      <c r="T2847" s="7" t="n"/>
      <c r="V2847" s="14" t="n"/>
      <c r="Z2847">
        <f>IF($B2847="","",IF(COUNTIF($B$2:$B2847,$B2847)=1,1,0))</f>
        <v/>
      </c>
      <c r="AA2847">
        <f>IF($Z2847=1,SUMPRODUCT(--($AC$2:$AC$3001&lt;$AC2847))+1,"")</f>
        <v/>
      </c>
      <c r="AB2847">
        <f>IF($B2847="","",IF(OR($Y2847=TRUE(),$Y2847="TRUE"),1,IF(AND($Y2847&lt;&gt;"",OR($Y2847=FALSE(),$Y2847="FALSE")),0,IF(MIN(ABS($X2847/100-Settings!$C$6),ABS($X2847/100-Settings!$G$6))&lt;=MIN(ABS($X2847/100-Settings!$C$7),ABS($X2847/100-Settings!$G$7)),1,0))))</f>
        <v/>
      </c>
      <c r="AC2847">
        <f>IF($Z2847=1,IFERROR(IF(VALUE($B2847)&lt;100000000,VALUE($B2847),1000000000),IFERROR(IF(VALUE(MID($B2847,2,20))&lt;100000000,VALUE(MID($B2847,2,20)),1000000000),1000000000))+ROW()/100000,"")</f>
        <v/>
      </c>
    </row>
    <row r="2848">
      <c r="A2848">
        <f>IF($B2848="","",IFERROR(IF(INDEX('Per Invoice'!$A$2:$A$801,MATCH($B2848,'Per Invoice'!$B$2:$B$801,0))=0,"",INDEX('Per Invoice'!$A$2:$A$801,MATCH($B2848,'Per Invoice'!$B$2:$B$801,0))),""))</f>
        <v/>
      </c>
      <c r="J2848" s="7">
        <f>IF($B2848="","",I2848*Q2848/100)</f>
        <v/>
      </c>
      <c r="N2848" s="7" t="n"/>
      <c r="O2848" s="7" t="n"/>
      <c r="P2848" s="7">
        <f>IF($B2848="","",O2848*X2848/100)</f>
        <v/>
      </c>
      <c r="Q2848" s="7">
        <f>IF($B2848="","",O2848-P2848)</f>
        <v/>
      </c>
      <c r="R2848" s="7">
        <f>IF($B2848="","",Q2848-J2848)</f>
        <v/>
      </c>
      <c r="S2848" s="7" t="n"/>
      <c r="T2848" s="7" t="n"/>
      <c r="V2848" s="14" t="n"/>
      <c r="Z2848">
        <f>IF($B2848="","",IF(COUNTIF($B$2:$B2848,$B2848)=1,1,0))</f>
        <v/>
      </c>
      <c r="AA2848">
        <f>IF($Z2848=1,SUMPRODUCT(--($AC$2:$AC$3001&lt;$AC2848))+1,"")</f>
        <v/>
      </c>
      <c r="AB2848">
        <f>IF($B2848="","",IF(OR($Y2848=TRUE(),$Y2848="TRUE"),1,IF(AND($Y2848&lt;&gt;"",OR($Y2848=FALSE(),$Y2848="FALSE")),0,IF(MIN(ABS($X2848/100-Settings!$C$6),ABS($X2848/100-Settings!$G$6))&lt;=MIN(ABS($X2848/100-Settings!$C$7),ABS($X2848/100-Settings!$G$7)),1,0))))</f>
        <v/>
      </c>
      <c r="AC2848">
        <f>IF($Z2848=1,IFERROR(IF(VALUE($B2848)&lt;100000000,VALUE($B2848),1000000000),IFERROR(IF(VALUE(MID($B2848,2,20))&lt;100000000,VALUE(MID($B2848,2,20)),1000000000),1000000000))+ROW()/100000,"")</f>
        <v/>
      </c>
    </row>
    <row r="2849">
      <c r="A2849">
        <f>IF($B2849="","",IFERROR(IF(INDEX('Per Invoice'!$A$2:$A$801,MATCH($B2849,'Per Invoice'!$B$2:$B$801,0))=0,"",INDEX('Per Invoice'!$A$2:$A$801,MATCH($B2849,'Per Invoice'!$B$2:$B$801,0))),""))</f>
        <v/>
      </c>
      <c r="J2849" s="7">
        <f>IF($B2849="","",I2849*Q2849/100)</f>
        <v/>
      </c>
      <c r="N2849" s="7" t="n"/>
      <c r="O2849" s="7" t="n"/>
      <c r="P2849" s="7">
        <f>IF($B2849="","",O2849*X2849/100)</f>
        <v/>
      </c>
      <c r="Q2849" s="7">
        <f>IF($B2849="","",O2849-P2849)</f>
        <v/>
      </c>
      <c r="R2849" s="7">
        <f>IF($B2849="","",Q2849-J2849)</f>
        <v/>
      </c>
      <c r="S2849" s="7" t="n"/>
      <c r="T2849" s="7" t="n"/>
      <c r="V2849" s="14" t="n"/>
      <c r="Z2849">
        <f>IF($B2849="","",IF(COUNTIF($B$2:$B2849,$B2849)=1,1,0))</f>
        <v/>
      </c>
      <c r="AA2849">
        <f>IF($Z2849=1,SUMPRODUCT(--($AC$2:$AC$3001&lt;$AC2849))+1,"")</f>
        <v/>
      </c>
      <c r="AB2849">
        <f>IF($B2849="","",IF(OR($Y2849=TRUE(),$Y2849="TRUE"),1,IF(AND($Y2849&lt;&gt;"",OR($Y2849=FALSE(),$Y2849="FALSE")),0,IF(MIN(ABS($X2849/100-Settings!$C$6),ABS($X2849/100-Settings!$G$6))&lt;=MIN(ABS($X2849/100-Settings!$C$7),ABS($X2849/100-Settings!$G$7)),1,0))))</f>
        <v/>
      </c>
      <c r="AC2849">
        <f>IF($Z2849=1,IFERROR(IF(VALUE($B2849)&lt;100000000,VALUE($B2849),1000000000),IFERROR(IF(VALUE(MID($B2849,2,20))&lt;100000000,VALUE(MID($B2849,2,20)),1000000000),1000000000))+ROW()/100000,"")</f>
        <v/>
      </c>
    </row>
    <row r="2850">
      <c r="A2850">
        <f>IF($B2850="","",IFERROR(IF(INDEX('Per Invoice'!$A$2:$A$801,MATCH($B2850,'Per Invoice'!$B$2:$B$801,0))=0,"",INDEX('Per Invoice'!$A$2:$A$801,MATCH($B2850,'Per Invoice'!$B$2:$B$801,0))),""))</f>
        <v/>
      </c>
      <c r="J2850" s="7">
        <f>IF($B2850="","",I2850*Q2850/100)</f>
        <v/>
      </c>
      <c r="N2850" s="7" t="n"/>
      <c r="O2850" s="7" t="n"/>
      <c r="P2850" s="7">
        <f>IF($B2850="","",O2850*X2850/100)</f>
        <v/>
      </c>
      <c r="Q2850" s="7">
        <f>IF($B2850="","",O2850-P2850)</f>
        <v/>
      </c>
      <c r="R2850" s="7">
        <f>IF($B2850="","",Q2850-J2850)</f>
        <v/>
      </c>
      <c r="S2850" s="7" t="n"/>
      <c r="T2850" s="7" t="n"/>
      <c r="V2850" s="14" t="n"/>
      <c r="Z2850">
        <f>IF($B2850="","",IF(COUNTIF($B$2:$B2850,$B2850)=1,1,0))</f>
        <v/>
      </c>
      <c r="AA2850">
        <f>IF($Z2850=1,SUMPRODUCT(--($AC$2:$AC$3001&lt;$AC2850))+1,"")</f>
        <v/>
      </c>
      <c r="AB2850">
        <f>IF($B2850="","",IF(OR($Y2850=TRUE(),$Y2850="TRUE"),1,IF(AND($Y2850&lt;&gt;"",OR($Y2850=FALSE(),$Y2850="FALSE")),0,IF(MIN(ABS($X2850/100-Settings!$C$6),ABS($X2850/100-Settings!$G$6))&lt;=MIN(ABS($X2850/100-Settings!$C$7),ABS($X2850/100-Settings!$G$7)),1,0))))</f>
        <v/>
      </c>
      <c r="AC2850">
        <f>IF($Z2850=1,IFERROR(IF(VALUE($B2850)&lt;100000000,VALUE($B2850),1000000000),IFERROR(IF(VALUE(MID($B2850,2,20))&lt;100000000,VALUE(MID($B2850,2,20)),1000000000),1000000000))+ROW()/100000,"")</f>
        <v/>
      </c>
    </row>
    <row r="2851">
      <c r="A2851">
        <f>IF($B2851="","",IFERROR(IF(INDEX('Per Invoice'!$A$2:$A$801,MATCH($B2851,'Per Invoice'!$B$2:$B$801,0))=0,"",INDEX('Per Invoice'!$A$2:$A$801,MATCH($B2851,'Per Invoice'!$B$2:$B$801,0))),""))</f>
        <v/>
      </c>
      <c r="J2851" s="7">
        <f>IF($B2851="","",I2851*Q2851/100)</f>
        <v/>
      </c>
      <c r="N2851" s="7" t="n"/>
      <c r="O2851" s="7" t="n"/>
      <c r="P2851" s="7">
        <f>IF($B2851="","",O2851*X2851/100)</f>
        <v/>
      </c>
      <c r="Q2851" s="7">
        <f>IF($B2851="","",O2851-P2851)</f>
        <v/>
      </c>
      <c r="R2851" s="7">
        <f>IF($B2851="","",Q2851-J2851)</f>
        <v/>
      </c>
      <c r="S2851" s="7" t="n"/>
      <c r="T2851" s="7" t="n"/>
      <c r="V2851" s="14" t="n"/>
      <c r="Z2851">
        <f>IF($B2851="","",IF(COUNTIF($B$2:$B2851,$B2851)=1,1,0))</f>
        <v/>
      </c>
      <c r="AA2851">
        <f>IF($Z2851=1,SUMPRODUCT(--($AC$2:$AC$3001&lt;$AC2851))+1,"")</f>
        <v/>
      </c>
      <c r="AB2851">
        <f>IF($B2851="","",IF(OR($Y2851=TRUE(),$Y2851="TRUE"),1,IF(AND($Y2851&lt;&gt;"",OR($Y2851=FALSE(),$Y2851="FALSE")),0,IF(MIN(ABS($X2851/100-Settings!$C$6),ABS($X2851/100-Settings!$G$6))&lt;=MIN(ABS($X2851/100-Settings!$C$7),ABS($X2851/100-Settings!$G$7)),1,0))))</f>
        <v/>
      </c>
      <c r="AC2851">
        <f>IF($Z2851=1,IFERROR(IF(VALUE($B2851)&lt;100000000,VALUE($B2851),1000000000),IFERROR(IF(VALUE(MID($B2851,2,20))&lt;100000000,VALUE(MID($B2851,2,20)),1000000000),1000000000))+ROW()/100000,"")</f>
        <v/>
      </c>
    </row>
    <row r="2852">
      <c r="A2852">
        <f>IF($B2852="","",IFERROR(IF(INDEX('Per Invoice'!$A$2:$A$801,MATCH($B2852,'Per Invoice'!$B$2:$B$801,0))=0,"",INDEX('Per Invoice'!$A$2:$A$801,MATCH($B2852,'Per Invoice'!$B$2:$B$801,0))),""))</f>
        <v/>
      </c>
      <c r="J2852" s="7">
        <f>IF($B2852="","",I2852*Q2852/100)</f>
        <v/>
      </c>
      <c r="N2852" s="7" t="n"/>
      <c r="O2852" s="7" t="n"/>
      <c r="P2852" s="7">
        <f>IF($B2852="","",O2852*X2852/100)</f>
        <v/>
      </c>
      <c r="Q2852" s="7">
        <f>IF($B2852="","",O2852-P2852)</f>
        <v/>
      </c>
      <c r="R2852" s="7">
        <f>IF($B2852="","",Q2852-J2852)</f>
        <v/>
      </c>
      <c r="S2852" s="7" t="n"/>
      <c r="T2852" s="7" t="n"/>
      <c r="V2852" s="14" t="n"/>
      <c r="Z2852">
        <f>IF($B2852="","",IF(COUNTIF($B$2:$B2852,$B2852)=1,1,0))</f>
        <v/>
      </c>
      <c r="AA2852">
        <f>IF($Z2852=1,SUMPRODUCT(--($AC$2:$AC$3001&lt;$AC2852))+1,"")</f>
        <v/>
      </c>
      <c r="AB2852">
        <f>IF($B2852="","",IF(OR($Y2852=TRUE(),$Y2852="TRUE"),1,IF(AND($Y2852&lt;&gt;"",OR($Y2852=FALSE(),$Y2852="FALSE")),0,IF(MIN(ABS($X2852/100-Settings!$C$6),ABS($X2852/100-Settings!$G$6))&lt;=MIN(ABS($X2852/100-Settings!$C$7),ABS($X2852/100-Settings!$G$7)),1,0))))</f>
        <v/>
      </c>
      <c r="AC2852">
        <f>IF($Z2852=1,IFERROR(IF(VALUE($B2852)&lt;100000000,VALUE($B2852),1000000000),IFERROR(IF(VALUE(MID($B2852,2,20))&lt;100000000,VALUE(MID($B2852,2,20)),1000000000),1000000000))+ROW()/100000,"")</f>
        <v/>
      </c>
    </row>
    <row r="2853">
      <c r="A2853">
        <f>IF($B2853="","",IFERROR(IF(INDEX('Per Invoice'!$A$2:$A$801,MATCH($B2853,'Per Invoice'!$B$2:$B$801,0))=0,"",INDEX('Per Invoice'!$A$2:$A$801,MATCH($B2853,'Per Invoice'!$B$2:$B$801,0))),""))</f>
        <v/>
      </c>
      <c r="J2853" s="7">
        <f>IF($B2853="","",I2853*Q2853/100)</f>
        <v/>
      </c>
      <c r="N2853" s="7" t="n"/>
      <c r="O2853" s="7" t="n"/>
      <c r="P2853" s="7">
        <f>IF($B2853="","",O2853*X2853/100)</f>
        <v/>
      </c>
      <c r="Q2853" s="7">
        <f>IF($B2853="","",O2853-P2853)</f>
        <v/>
      </c>
      <c r="R2853" s="7">
        <f>IF($B2853="","",Q2853-J2853)</f>
        <v/>
      </c>
      <c r="S2853" s="7" t="n"/>
      <c r="T2853" s="7" t="n"/>
      <c r="V2853" s="14" t="n"/>
      <c r="Z2853">
        <f>IF($B2853="","",IF(COUNTIF($B$2:$B2853,$B2853)=1,1,0))</f>
        <v/>
      </c>
      <c r="AA2853">
        <f>IF($Z2853=1,SUMPRODUCT(--($AC$2:$AC$3001&lt;$AC2853))+1,"")</f>
        <v/>
      </c>
      <c r="AB2853">
        <f>IF($B2853="","",IF(OR($Y2853=TRUE(),$Y2853="TRUE"),1,IF(AND($Y2853&lt;&gt;"",OR($Y2853=FALSE(),$Y2853="FALSE")),0,IF(MIN(ABS($X2853/100-Settings!$C$6),ABS($X2853/100-Settings!$G$6))&lt;=MIN(ABS($X2853/100-Settings!$C$7),ABS($X2853/100-Settings!$G$7)),1,0))))</f>
        <v/>
      </c>
      <c r="AC2853">
        <f>IF($Z2853=1,IFERROR(IF(VALUE($B2853)&lt;100000000,VALUE($B2853),1000000000),IFERROR(IF(VALUE(MID($B2853,2,20))&lt;100000000,VALUE(MID($B2853,2,20)),1000000000),1000000000))+ROW()/100000,"")</f>
        <v/>
      </c>
    </row>
    <row r="2854">
      <c r="A2854">
        <f>IF($B2854="","",IFERROR(IF(INDEX('Per Invoice'!$A$2:$A$801,MATCH($B2854,'Per Invoice'!$B$2:$B$801,0))=0,"",INDEX('Per Invoice'!$A$2:$A$801,MATCH($B2854,'Per Invoice'!$B$2:$B$801,0))),""))</f>
        <v/>
      </c>
      <c r="J2854" s="7">
        <f>IF($B2854="","",I2854*Q2854/100)</f>
        <v/>
      </c>
      <c r="N2854" s="7" t="n"/>
      <c r="O2854" s="7" t="n"/>
      <c r="P2854" s="7">
        <f>IF($B2854="","",O2854*X2854/100)</f>
        <v/>
      </c>
      <c r="Q2854" s="7">
        <f>IF($B2854="","",O2854-P2854)</f>
        <v/>
      </c>
      <c r="R2854" s="7">
        <f>IF($B2854="","",Q2854-J2854)</f>
        <v/>
      </c>
      <c r="S2854" s="7" t="n"/>
      <c r="T2854" s="7" t="n"/>
      <c r="V2854" s="14" t="n"/>
      <c r="Z2854">
        <f>IF($B2854="","",IF(COUNTIF($B$2:$B2854,$B2854)=1,1,0))</f>
        <v/>
      </c>
      <c r="AA2854">
        <f>IF($Z2854=1,SUMPRODUCT(--($AC$2:$AC$3001&lt;$AC2854))+1,"")</f>
        <v/>
      </c>
      <c r="AB2854">
        <f>IF($B2854="","",IF(OR($Y2854=TRUE(),$Y2854="TRUE"),1,IF(AND($Y2854&lt;&gt;"",OR($Y2854=FALSE(),$Y2854="FALSE")),0,IF(MIN(ABS($X2854/100-Settings!$C$6),ABS($X2854/100-Settings!$G$6))&lt;=MIN(ABS($X2854/100-Settings!$C$7),ABS($X2854/100-Settings!$G$7)),1,0))))</f>
        <v/>
      </c>
      <c r="AC2854">
        <f>IF($Z2854=1,IFERROR(IF(VALUE($B2854)&lt;100000000,VALUE($B2854),1000000000),IFERROR(IF(VALUE(MID($B2854,2,20))&lt;100000000,VALUE(MID($B2854,2,20)),1000000000),1000000000))+ROW()/100000,"")</f>
        <v/>
      </c>
    </row>
    <row r="2855">
      <c r="A2855">
        <f>IF($B2855="","",IFERROR(IF(INDEX('Per Invoice'!$A$2:$A$801,MATCH($B2855,'Per Invoice'!$B$2:$B$801,0))=0,"",INDEX('Per Invoice'!$A$2:$A$801,MATCH($B2855,'Per Invoice'!$B$2:$B$801,0))),""))</f>
        <v/>
      </c>
      <c r="J2855" s="7">
        <f>IF($B2855="","",I2855*Q2855/100)</f>
        <v/>
      </c>
      <c r="N2855" s="7" t="n"/>
      <c r="O2855" s="7" t="n"/>
      <c r="P2855" s="7">
        <f>IF($B2855="","",O2855*X2855/100)</f>
        <v/>
      </c>
      <c r="Q2855" s="7">
        <f>IF($B2855="","",O2855-P2855)</f>
        <v/>
      </c>
      <c r="R2855" s="7">
        <f>IF($B2855="","",Q2855-J2855)</f>
        <v/>
      </c>
      <c r="S2855" s="7" t="n"/>
      <c r="T2855" s="7" t="n"/>
      <c r="V2855" s="14" t="n"/>
      <c r="Z2855">
        <f>IF($B2855="","",IF(COUNTIF($B$2:$B2855,$B2855)=1,1,0))</f>
        <v/>
      </c>
      <c r="AA2855">
        <f>IF($Z2855=1,SUMPRODUCT(--($AC$2:$AC$3001&lt;$AC2855))+1,"")</f>
        <v/>
      </c>
      <c r="AB2855">
        <f>IF($B2855="","",IF(OR($Y2855=TRUE(),$Y2855="TRUE"),1,IF(AND($Y2855&lt;&gt;"",OR($Y2855=FALSE(),$Y2855="FALSE")),0,IF(MIN(ABS($X2855/100-Settings!$C$6),ABS($X2855/100-Settings!$G$6))&lt;=MIN(ABS($X2855/100-Settings!$C$7),ABS($X2855/100-Settings!$G$7)),1,0))))</f>
        <v/>
      </c>
      <c r="AC2855">
        <f>IF($Z2855=1,IFERROR(IF(VALUE($B2855)&lt;100000000,VALUE($B2855),1000000000),IFERROR(IF(VALUE(MID($B2855,2,20))&lt;100000000,VALUE(MID($B2855,2,20)),1000000000),1000000000))+ROW()/100000,"")</f>
        <v/>
      </c>
    </row>
    <row r="2856">
      <c r="A2856">
        <f>IF($B2856="","",IFERROR(IF(INDEX('Per Invoice'!$A$2:$A$801,MATCH($B2856,'Per Invoice'!$B$2:$B$801,0))=0,"",INDEX('Per Invoice'!$A$2:$A$801,MATCH($B2856,'Per Invoice'!$B$2:$B$801,0))),""))</f>
        <v/>
      </c>
      <c r="J2856" s="7">
        <f>IF($B2856="","",I2856*Q2856/100)</f>
        <v/>
      </c>
      <c r="N2856" s="7" t="n"/>
      <c r="O2856" s="7" t="n"/>
      <c r="P2856" s="7">
        <f>IF($B2856="","",O2856*X2856/100)</f>
        <v/>
      </c>
      <c r="Q2856" s="7">
        <f>IF($B2856="","",O2856-P2856)</f>
        <v/>
      </c>
      <c r="R2856" s="7">
        <f>IF($B2856="","",Q2856-J2856)</f>
        <v/>
      </c>
      <c r="S2856" s="7" t="n"/>
      <c r="T2856" s="7" t="n"/>
      <c r="V2856" s="14" t="n"/>
      <c r="Z2856">
        <f>IF($B2856="","",IF(COUNTIF($B$2:$B2856,$B2856)=1,1,0))</f>
        <v/>
      </c>
      <c r="AA2856">
        <f>IF($Z2856=1,SUMPRODUCT(--($AC$2:$AC$3001&lt;$AC2856))+1,"")</f>
        <v/>
      </c>
      <c r="AB2856">
        <f>IF($B2856="","",IF(OR($Y2856=TRUE(),$Y2856="TRUE"),1,IF(AND($Y2856&lt;&gt;"",OR($Y2856=FALSE(),$Y2856="FALSE")),0,IF(MIN(ABS($X2856/100-Settings!$C$6),ABS($X2856/100-Settings!$G$6))&lt;=MIN(ABS($X2856/100-Settings!$C$7),ABS($X2856/100-Settings!$G$7)),1,0))))</f>
        <v/>
      </c>
      <c r="AC2856">
        <f>IF($Z2856=1,IFERROR(IF(VALUE($B2856)&lt;100000000,VALUE($B2856),1000000000),IFERROR(IF(VALUE(MID($B2856,2,20))&lt;100000000,VALUE(MID($B2856,2,20)),1000000000),1000000000))+ROW()/100000,"")</f>
        <v/>
      </c>
    </row>
    <row r="2857">
      <c r="A2857">
        <f>IF($B2857="","",IFERROR(IF(INDEX('Per Invoice'!$A$2:$A$801,MATCH($B2857,'Per Invoice'!$B$2:$B$801,0))=0,"",INDEX('Per Invoice'!$A$2:$A$801,MATCH($B2857,'Per Invoice'!$B$2:$B$801,0))),""))</f>
        <v/>
      </c>
      <c r="J2857" s="7">
        <f>IF($B2857="","",I2857*Q2857/100)</f>
        <v/>
      </c>
      <c r="N2857" s="7" t="n"/>
      <c r="O2857" s="7" t="n"/>
      <c r="P2857" s="7">
        <f>IF($B2857="","",O2857*X2857/100)</f>
        <v/>
      </c>
      <c r="Q2857" s="7">
        <f>IF($B2857="","",O2857-P2857)</f>
        <v/>
      </c>
      <c r="R2857" s="7">
        <f>IF($B2857="","",Q2857-J2857)</f>
        <v/>
      </c>
      <c r="S2857" s="7" t="n"/>
      <c r="T2857" s="7" t="n"/>
      <c r="V2857" s="14" t="n"/>
      <c r="Z2857">
        <f>IF($B2857="","",IF(COUNTIF($B$2:$B2857,$B2857)=1,1,0))</f>
        <v/>
      </c>
      <c r="AA2857">
        <f>IF($Z2857=1,SUMPRODUCT(--($AC$2:$AC$3001&lt;$AC2857))+1,"")</f>
        <v/>
      </c>
      <c r="AB2857">
        <f>IF($B2857="","",IF(OR($Y2857=TRUE(),$Y2857="TRUE"),1,IF(AND($Y2857&lt;&gt;"",OR($Y2857=FALSE(),$Y2857="FALSE")),0,IF(MIN(ABS($X2857/100-Settings!$C$6),ABS($X2857/100-Settings!$G$6))&lt;=MIN(ABS($X2857/100-Settings!$C$7),ABS($X2857/100-Settings!$G$7)),1,0))))</f>
        <v/>
      </c>
      <c r="AC2857">
        <f>IF($Z2857=1,IFERROR(IF(VALUE($B2857)&lt;100000000,VALUE($B2857),1000000000),IFERROR(IF(VALUE(MID($B2857,2,20))&lt;100000000,VALUE(MID($B2857,2,20)),1000000000),1000000000))+ROW()/100000,"")</f>
        <v/>
      </c>
    </row>
    <row r="2858">
      <c r="A2858">
        <f>IF($B2858="","",IFERROR(IF(INDEX('Per Invoice'!$A$2:$A$801,MATCH($B2858,'Per Invoice'!$B$2:$B$801,0))=0,"",INDEX('Per Invoice'!$A$2:$A$801,MATCH($B2858,'Per Invoice'!$B$2:$B$801,0))),""))</f>
        <v/>
      </c>
      <c r="J2858" s="7">
        <f>IF($B2858="","",I2858*Q2858/100)</f>
        <v/>
      </c>
      <c r="N2858" s="7" t="n"/>
      <c r="O2858" s="7" t="n"/>
      <c r="P2858" s="7">
        <f>IF($B2858="","",O2858*X2858/100)</f>
        <v/>
      </c>
      <c r="Q2858" s="7">
        <f>IF($B2858="","",O2858-P2858)</f>
        <v/>
      </c>
      <c r="R2858" s="7">
        <f>IF($B2858="","",Q2858-J2858)</f>
        <v/>
      </c>
      <c r="S2858" s="7" t="n"/>
      <c r="T2858" s="7" t="n"/>
      <c r="V2858" s="14" t="n"/>
      <c r="Z2858">
        <f>IF($B2858="","",IF(COUNTIF($B$2:$B2858,$B2858)=1,1,0))</f>
        <v/>
      </c>
      <c r="AA2858">
        <f>IF($Z2858=1,SUMPRODUCT(--($AC$2:$AC$3001&lt;$AC2858))+1,"")</f>
        <v/>
      </c>
      <c r="AB2858">
        <f>IF($B2858="","",IF(OR($Y2858=TRUE(),$Y2858="TRUE"),1,IF(AND($Y2858&lt;&gt;"",OR($Y2858=FALSE(),$Y2858="FALSE")),0,IF(MIN(ABS($X2858/100-Settings!$C$6),ABS($X2858/100-Settings!$G$6))&lt;=MIN(ABS($X2858/100-Settings!$C$7),ABS($X2858/100-Settings!$G$7)),1,0))))</f>
        <v/>
      </c>
      <c r="AC2858">
        <f>IF($Z2858=1,IFERROR(IF(VALUE($B2858)&lt;100000000,VALUE($B2858),1000000000),IFERROR(IF(VALUE(MID($B2858,2,20))&lt;100000000,VALUE(MID($B2858,2,20)),1000000000),1000000000))+ROW()/100000,"")</f>
        <v/>
      </c>
    </row>
    <row r="2859">
      <c r="A2859">
        <f>IF($B2859="","",IFERROR(IF(INDEX('Per Invoice'!$A$2:$A$801,MATCH($B2859,'Per Invoice'!$B$2:$B$801,0))=0,"",INDEX('Per Invoice'!$A$2:$A$801,MATCH($B2859,'Per Invoice'!$B$2:$B$801,0))),""))</f>
        <v/>
      </c>
      <c r="J2859" s="7">
        <f>IF($B2859="","",I2859*Q2859/100)</f>
        <v/>
      </c>
      <c r="N2859" s="7" t="n"/>
      <c r="O2859" s="7" t="n"/>
      <c r="P2859" s="7">
        <f>IF($B2859="","",O2859*X2859/100)</f>
        <v/>
      </c>
      <c r="Q2859" s="7">
        <f>IF($B2859="","",O2859-P2859)</f>
        <v/>
      </c>
      <c r="R2859" s="7">
        <f>IF($B2859="","",Q2859-J2859)</f>
        <v/>
      </c>
      <c r="S2859" s="7" t="n"/>
      <c r="T2859" s="7" t="n"/>
      <c r="V2859" s="14" t="n"/>
      <c r="Z2859">
        <f>IF($B2859="","",IF(COUNTIF($B$2:$B2859,$B2859)=1,1,0))</f>
        <v/>
      </c>
      <c r="AA2859">
        <f>IF($Z2859=1,SUMPRODUCT(--($AC$2:$AC$3001&lt;$AC2859))+1,"")</f>
        <v/>
      </c>
      <c r="AB2859">
        <f>IF($B2859="","",IF(OR($Y2859=TRUE(),$Y2859="TRUE"),1,IF(AND($Y2859&lt;&gt;"",OR($Y2859=FALSE(),$Y2859="FALSE")),0,IF(MIN(ABS($X2859/100-Settings!$C$6),ABS($X2859/100-Settings!$G$6))&lt;=MIN(ABS($X2859/100-Settings!$C$7),ABS($X2859/100-Settings!$G$7)),1,0))))</f>
        <v/>
      </c>
      <c r="AC2859">
        <f>IF($Z2859=1,IFERROR(IF(VALUE($B2859)&lt;100000000,VALUE($B2859),1000000000),IFERROR(IF(VALUE(MID($B2859,2,20))&lt;100000000,VALUE(MID($B2859,2,20)),1000000000),1000000000))+ROW()/100000,"")</f>
        <v/>
      </c>
    </row>
    <row r="2860">
      <c r="A2860">
        <f>IF($B2860="","",IFERROR(IF(INDEX('Per Invoice'!$A$2:$A$801,MATCH($B2860,'Per Invoice'!$B$2:$B$801,0))=0,"",INDEX('Per Invoice'!$A$2:$A$801,MATCH($B2860,'Per Invoice'!$B$2:$B$801,0))),""))</f>
        <v/>
      </c>
      <c r="J2860" s="7">
        <f>IF($B2860="","",I2860*Q2860/100)</f>
        <v/>
      </c>
      <c r="N2860" s="7" t="n"/>
      <c r="O2860" s="7" t="n"/>
      <c r="P2860" s="7">
        <f>IF($B2860="","",O2860*X2860/100)</f>
        <v/>
      </c>
      <c r="Q2860" s="7">
        <f>IF($B2860="","",O2860-P2860)</f>
        <v/>
      </c>
      <c r="R2860" s="7">
        <f>IF($B2860="","",Q2860-J2860)</f>
        <v/>
      </c>
      <c r="S2860" s="7" t="n"/>
      <c r="T2860" s="7" t="n"/>
      <c r="V2860" s="14" t="n"/>
      <c r="Z2860">
        <f>IF($B2860="","",IF(COUNTIF($B$2:$B2860,$B2860)=1,1,0))</f>
        <v/>
      </c>
      <c r="AA2860">
        <f>IF($Z2860=1,SUMPRODUCT(--($AC$2:$AC$3001&lt;$AC2860))+1,"")</f>
        <v/>
      </c>
      <c r="AB2860">
        <f>IF($B2860="","",IF(OR($Y2860=TRUE(),$Y2860="TRUE"),1,IF(AND($Y2860&lt;&gt;"",OR($Y2860=FALSE(),$Y2860="FALSE")),0,IF(MIN(ABS($X2860/100-Settings!$C$6),ABS($X2860/100-Settings!$G$6))&lt;=MIN(ABS($X2860/100-Settings!$C$7),ABS($X2860/100-Settings!$G$7)),1,0))))</f>
        <v/>
      </c>
      <c r="AC2860">
        <f>IF($Z2860=1,IFERROR(IF(VALUE($B2860)&lt;100000000,VALUE($B2860),1000000000),IFERROR(IF(VALUE(MID($B2860,2,20))&lt;100000000,VALUE(MID($B2860,2,20)),1000000000),1000000000))+ROW()/100000,"")</f>
        <v/>
      </c>
    </row>
    <row r="2861">
      <c r="A2861">
        <f>IF($B2861="","",IFERROR(IF(INDEX('Per Invoice'!$A$2:$A$801,MATCH($B2861,'Per Invoice'!$B$2:$B$801,0))=0,"",INDEX('Per Invoice'!$A$2:$A$801,MATCH($B2861,'Per Invoice'!$B$2:$B$801,0))),""))</f>
        <v/>
      </c>
      <c r="J2861" s="7">
        <f>IF($B2861="","",I2861*Q2861/100)</f>
        <v/>
      </c>
      <c r="N2861" s="7" t="n"/>
      <c r="O2861" s="7" t="n"/>
      <c r="P2861" s="7">
        <f>IF($B2861="","",O2861*X2861/100)</f>
        <v/>
      </c>
      <c r="Q2861" s="7">
        <f>IF($B2861="","",O2861-P2861)</f>
        <v/>
      </c>
      <c r="R2861" s="7">
        <f>IF($B2861="","",Q2861-J2861)</f>
        <v/>
      </c>
      <c r="S2861" s="7" t="n"/>
      <c r="T2861" s="7" t="n"/>
      <c r="V2861" s="14" t="n"/>
      <c r="Z2861">
        <f>IF($B2861="","",IF(COUNTIF($B$2:$B2861,$B2861)=1,1,0))</f>
        <v/>
      </c>
      <c r="AA2861">
        <f>IF($Z2861=1,SUMPRODUCT(--($AC$2:$AC$3001&lt;$AC2861))+1,"")</f>
        <v/>
      </c>
      <c r="AB2861">
        <f>IF($B2861="","",IF(OR($Y2861=TRUE(),$Y2861="TRUE"),1,IF(AND($Y2861&lt;&gt;"",OR($Y2861=FALSE(),$Y2861="FALSE")),0,IF(MIN(ABS($X2861/100-Settings!$C$6),ABS($X2861/100-Settings!$G$6))&lt;=MIN(ABS($X2861/100-Settings!$C$7),ABS($X2861/100-Settings!$G$7)),1,0))))</f>
        <v/>
      </c>
      <c r="AC2861">
        <f>IF($Z2861=1,IFERROR(IF(VALUE($B2861)&lt;100000000,VALUE($B2861),1000000000),IFERROR(IF(VALUE(MID($B2861,2,20))&lt;100000000,VALUE(MID($B2861,2,20)),1000000000),1000000000))+ROW()/100000,"")</f>
        <v/>
      </c>
    </row>
    <row r="2862">
      <c r="A2862">
        <f>IF($B2862="","",IFERROR(IF(INDEX('Per Invoice'!$A$2:$A$801,MATCH($B2862,'Per Invoice'!$B$2:$B$801,0))=0,"",INDEX('Per Invoice'!$A$2:$A$801,MATCH($B2862,'Per Invoice'!$B$2:$B$801,0))),""))</f>
        <v/>
      </c>
      <c r="J2862" s="7">
        <f>IF($B2862="","",I2862*Q2862/100)</f>
        <v/>
      </c>
      <c r="N2862" s="7" t="n"/>
      <c r="O2862" s="7" t="n"/>
      <c r="P2862" s="7">
        <f>IF($B2862="","",O2862*X2862/100)</f>
        <v/>
      </c>
      <c r="Q2862" s="7">
        <f>IF($B2862="","",O2862-P2862)</f>
        <v/>
      </c>
      <c r="R2862" s="7">
        <f>IF($B2862="","",Q2862-J2862)</f>
        <v/>
      </c>
      <c r="S2862" s="7" t="n"/>
      <c r="T2862" s="7" t="n"/>
      <c r="V2862" s="14" t="n"/>
      <c r="Z2862">
        <f>IF($B2862="","",IF(COUNTIF($B$2:$B2862,$B2862)=1,1,0))</f>
        <v/>
      </c>
      <c r="AA2862">
        <f>IF($Z2862=1,SUMPRODUCT(--($AC$2:$AC$3001&lt;$AC2862))+1,"")</f>
        <v/>
      </c>
      <c r="AB2862">
        <f>IF($B2862="","",IF(OR($Y2862=TRUE(),$Y2862="TRUE"),1,IF(AND($Y2862&lt;&gt;"",OR($Y2862=FALSE(),$Y2862="FALSE")),0,IF(MIN(ABS($X2862/100-Settings!$C$6),ABS($X2862/100-Settings!$G$6))&lt;=MIN(ABS($X2862/100-Settings!$C$7),ABS($X2862/100-Settings!$G$7)),1,0))))</f>
        <v/>
      </c>
      <c r="AC2862">
        <f>IF($Z2862=1,IFERROR(IF(VALUE($B2862)&lt;100000000,VALUE($B2862),1000000000),IFERROR(IF(VALUE(MID($B2862,2,20))&lt;100000000,VALUE(MID($B2862,2,20)),1000000000),1000000000))+ROW()/100000,"")</f>
        <v/>
      </c>
    </row>
    <row r="2863">
      <c r="A2863">
        <f>IF($B2863="","",IFERROR(IF(INDEX('Per Invoice'!$A$2:$A$801,MATCH($B2863,'Per Invoice'!$B$2:$B$801,0))=0,"",INDEX('Per Invoice'!$A$2:$A$801,MATCH($B2863,'Per Invoice'!$B$2:$B$801,0))),""))</f>
        <v/>
      </c>
      <c r="J2863" s="7">
        <f>IF($B2863="","",I2863*Q2863/100)</f>
        <v/>
      </c>
      <c r="N2863" s="7" t="n"/>
      <c r="O2863" s="7" t="n"/>
      <c r="P2863" s="7">
        <f>IF($B2863="","",O2863*X2863/100)</f>
        <v/>
      </c>
      <c r="Q2863" s="7">
        <f>IF($B2863="","",O2863-P2863)</f>
        <v/>
      </c>
      <c r="R2863" s="7">
        <f>IF($B2863="","",Q2863-J2863)</f>
        <v/>
      </c>
      <c r="S2863" s="7" t="n"/>
      <c r="T2863" s="7" t="n"/>
      <c r="V2863" s="14" t="n"/>
      <c r="Z2863">
        <f>IF($B2863="","",IF(COUNTIF($B$2:$B2863,$B2863)=1,1,0))</f>
        <v/>
      </c>
      <c r="AA2863">
        <f>IF($Z2863=1,SUMPRODUCT(--($AC$2:$AC$3001&lt;$AC2863))+1,"")</f>
        <v/>
      </c>
      <c r="AB2863">
        <f>IF($B2863="","",IF(OR($Y2863=TRUE(),$Y2863="TRUE"),1,IF(AND($Y2863&lt;&gt;"",OR($Y2863=FALSE(),$Y2863="FALSE")),0,IF(MIN(ABS($X2863/100-Settings!$C$6),ABS($X2863/100-Settings!$G$6))&lt;=MIN(ABS($X2863/100-Settings!$C$7),ABS($X2863/100-Settings!$G$7)),1,0))))</f>
        <v/>
      </c>
      <c r="AC2863">
        <f>IF($Z2863=1,IFERROR(IF(VALUE($B2863)&lt;100000000,VALUE($B2863),1000000000),IFERROR(IF(VALUE(MID($B2863,2,20))&lt;100000000,VALUE(MID($B2863,2,20)),1000000000),1000000000))+ROW()/100000,"")</f>
        <v/>
      </c>
    </row>
    <row r="2864">
      <c r="A2864">
        <f>IF($B2864="","",IFERROR(IF(INDEX('Per Invoice'!$A$2:$A$801,MATCH($B2864,'Per Invoice'!$B$2:$B$801,0))=0,"",INDEX('Per Invoice'!$A$2:$A$801,MATCH($B2864,'Per Invoice'!$B$2:$B$801,0))),""))</f>
        <v/>
      </c>
      <c r="J2864" s="7">
        <f>IF($B2864="","",I2864*Q2864/100)</f>
        <v/>
      </c>
      <c r="N2864" s="7" t="n"/>
      <c r="O2864" s="7" t="n"/>
      <c r="P2864" s="7">
        <f>IF($B2864="","",O2864*X2864/100)</f>
        <v/>
      </c>
      <c r="Q2864" s="7">
        <f>IF($B2864="","",O2864-P2864)</f>
        <v/>
      </c>
      <c r="R2864" s="7">
        <f>IF($B2864="","",Q2864-J2864)</f>
        <v/>
      </c>
      <c r="S2864" s="7" t="n"/>
      <c r="T2864" s="7" t="n"/>
      <c r="V2864" s="14" t="n"/>
      <c r="Z2864">
        <f>IF($B2864="","",IF(COUNTIF($B$2:$B2864,$B2864)=1,1,0))</f>
        <v/>
      </c>
      <c r="AA2864">
        <f>IF($Z2864=1,SUMPRODUCT(--($AC$2:$AC$3001&lt;$AC2864))+1,"")</f>
        <v/>
      </c>
      <c r="AB2864">
        <f>IF($B2864="","",IF(OR($Y2864=TRUE(),$Y2864="TRUE"),1,IF(AND($Y2864&lt;&gt;"",OR($Y2864=FALSE(),$Y2864="FALSE")),0,IF(MIN(ABS($X2864/100-Settings!$C$6),ABS($X2864/100-Settings!$G$6))&lt;=MIN(ABS($X2864/100-Settings!$C$7),ABS($X2864/100-Settings!$G$7)),1,0))))</f>
        <v/>
      </c>
      <c r="AC2864">
        <f>IF($Z2864=1,IFERROR(IF(VALUE($B2864)&lt;100000000,VALUE($B2864),1000000000),IFERROR(IF(VALUE(MID($B2864,2,20))&lt;100000000,VALUE(MID($B2864,2,20)),1000000000),1000000000))+ROW()/100000,"")</f>
        <v/>
      </c>
    </row>
    <row r="2865">
      <c r="A2865">
        <f>IF($B2865="","",IFERROR(IF(INDEX('Per Invoice'!$A$2:$A$801,MATCH($B2865,'Per Invoice'!$B$2:$B$801,0))=0,"",INDEX('Per Invoice'!$A$2:$A$801,MATCH($B2865,'Per Invoice'!$B$2:$B$801,0))),""))</f>
        <v/>
      </c>
      <c r="J2865" s="7">
        <f>IF($B2865="","",I2865*Q2865/100)</f>
        <v/>
      </c>
      <c r="N2865" s="7" t="n"/>
      <c r="O2865" s="7" t="n"/>
      <c r="P2865" s="7">
        <f>IF($B2865="","",O2865*X2865/100)</f>
        <v/>
      </c>
      <c r="Q2865" s="7">
        <f>IF($B2865="","",O2865-P2865)</f>
        <v/>
      </c>
      <c r="R2865" s="7">
        <f>IF($B2865="","",Q2865-J2865)</f>
        <v/>
      </c>
      <c r="S2865" s="7" t="n"/>
      <c r="T2865" s="7" t="n"/>
      <c r="V2865" s="14" t="n"/>
      <c r="Z2865">
        <f>IF($B2865="","",IF(COUNTIF($B$2:$B2865,$B2865)=1,1,0))</f>
        <v/>
      </c>
      <c r="AA2865">
        <f>IF($Z2865=1,SUMPRODUCT(--($AC$2:$AC$3001&lt;$AC2865))+1,"")</f>
        <v/>
      </c>
      <c r="AB2865">
        <f>IF($B2865="","",IF(OR($Y2865=TRUE(),$Y2865="TRUE"),1,IF(AND($Y2865&lt;&gt;"",OR($Y2865=FALSE(),$Y2865="FALSE")),0,IF(MIN(ABS($X2865/100-Settings!$C$6),ABS($X2865/100-Settings!$G$6))&lt;=MIN(ABS($X2865/100-Settings!$C$7),ABS($X2865/100-Settings!$G$7)),1,0))))</f>
        <v/>
      </c>
      <c r="AC2865">
        <f>IF($Z2865=1,IFERROR(IF(VALUE($B2865)&lt;100000000,VALUE($B2865),1000000000),IFERROR(IF(VALUE(MID($B2865,2,20))&lt;100000000,VALUE(MID($B2865,2,20)),1000000000),1000000000))+ROW()/100000,"")</f>
        <v/>
      </c>
    </row>
    <row r="2866">
      <c r="A2866">
        <f>IF($B2866="","",IFERROR(IF(INDEX('Per Invoice'!$A$2:$A$801,MATCH($B2866,'Per Invoice'!$B$2:$B$801,0))=0,"",INDEX('Per Invoice'!$A$2:$A$801,MATCH($B2866,'Per Invoice'!$B$2:$B$801,0))),""))</f>
        <v/>
      </c>
      <c r="J2866" s="7">
        <f>IF($B2866="","",I2866*Q2866/100)</f>
        <v/>
      </c>
      <c r="N2866" s="7" t="n"/>
      <c r="O2866" s="7" t="n"/>
      <c r="P2866" s="7">
        <f>IF($B2866="","",O2866*X2866/100)</f>
        <v/>
      </c>
      <c r="Q2866" s="7">
        <f>IF($B2866="","",O2866-P2866)</f>
        <v/>
      </c>
      <c r="R2866" s="7">
        <f>IF($B2866="","",Q2866-J2866)</f>
        <v/>
      </c>
      <c r="S2866" s="7" t="n"/>
      <c r="T2866" s="7" t="n"/>
      <c r="V2866" s="14" t="n"/>
      <c r="Z2866">
        <f>IF($B2866="","",IF(COUNTIF($B$2:$B2866,$B2866)=1,1,0))</f>
        <v/>
      </c>
      <c r="AA2866">
        <f>IF($Z2866=1,SUMPRODUCT(--($AC$2:$AC$3001&lt;$AC2866))+1,"")</f>
        <v/>
      </c>
      <c r="AB2866">
        <f>IF($B2866="","",IF(OR($Y2866=TRUE(),$Y2866="TRUE"),1,IF(AND($Y2866&lt;&gt;"",OR($Y2866=FALSE(),$Y2866="FALSE")),0,IF(MIN(ABS($X2866/100-Settings!$C$6),ABS($X2866/100-Settings!$G$6))&lt;=MIN(ABS($X2866/100-Settings!$C$7),ABS($X2866/100-Settings!$G$7)),1,0))))</f>
        <v/>
      </c>
      <c r="AC2866">
        <f>IF($Z2866=1,IFERROR(IF(VALUE($B2866)&lt;100000000,VALUE($B2866),1000000000),IFERROR(IF(VALUE(MID($B2866,2,20))&lt;100000000,VALUE(MID($B2866,2,20)),1000000000),1000000000))+ROW()/100000,"")</f>
        <v/>
      </c>
    </row>
    <row r="2867">
      <c r="A2867">
        <f>IF($B2867="","",IFERROR(IF(INDEX('Per Invoice'!$A$2:$A$801,MATCH($B2867,'Per Invoice'!$B$2:$B$801,0))=0,"",INDEX('Per Invoice'!$A$2:$A$801,MATCH($B2867,'Per Invoice'!$B$2:$B$801,0))),""))</f>
        <v/>
      </c>
      <c r="J2867" s="7">
        <f>IF($B2867="","",I2867*Q2867/100)</f>
        <v/>
      </c>
      <c r="N2867" s="7" t="n"/>
      <c r="O2867" s="7" t="n"/>
      <c r="P2867" s="7">
        <f>IF($B2867="","",O2867*X2867/100)</f>
        <v/>
      </c>
      <c r="Q2867" s="7">
        <f>IF($B2867="","",O2867-P2867)</f>
        <v/>
      </c>
      <c r="R2867" s="7">
        <f>IF($B2867="","",Q2867-J2867)</f>
        <v/>
      </c>
      <c r="S2867" s="7" t="n"/>
      <c r="T2867" s="7" t="n"/>
      <c r="V2867" s="14" t="n"/>
      <c r="Z2867">
        <f>IF($B2867="","",IF(COUNTIF($B$2:$B2867,$B2867)=1,1,0))</f>
        <v/>
      </c>
      <c r="AA2867">
        <f>IF($Z2867=1,SUMPRODUCT(--($AC$2:$AC$3001&lt;$AC2867))+1,"")</f>
        <v/>
      </c>
      <c r="AB2867">
        <f>IF($B2867="","",IF(OR($Y2867=TRUE(),$Y2867="TRUE"),1,IF(AND($Y2867&lt;&gt;"",OR($Y2867=FALSE(),$Y2867="FALSE")),0,IF(MIN(ABS($X2867/100-Settings!$C$6),ABS($X2867/100-Settings!$G$6))&lt;=MIN(ABS($X2867/100-Settings!$C$7),ABS($X2867/100-Settings!$G$7)),1,0))))</f>
        <v/>
      </c>
      <c r="AC2867">
        <f>IF($Z2867=1,IFERROR(IF(VALUE($B2867)&lt;100000000,VALUE($B2867),1000000000),IFERROR(IF(VALUE(MID($B2867,2,20))&lt;100000000,VALUE(MID($B2867,2,20)),1000000000),1000000000))+ROW()/100000,"")</f>
        <v/>
      </c>
    </row>
    <row r="2868">
      <c r="A2868">
        <f>IF($B2868="","",IFERROR(IF(INDEX('Per Invoice'!$A$2:$A$801,MATCH($B2868,'Per Invoice'!$B$2:$B$801,0))=0,"",INDEX('Per Invoice'!$A$2:$A$801,MATCH($B2868,'Per Invoice'!$B$2:$B$801,0))),""))</f>
        <v/>
      </c>
      <c r="J2868" s="7">
        <f>IF($B2868="","",I2868*Q2868/100)</f>
        <v/>
      </c>
      <c r="N2868" s="7" t="n"/>
      <c r="O2868" s="7" t="n"/>
      <c r="P2868" s="7">
        <f>IF($B2868="","",O2868*X2868/100)</f>
        <v/>
      </c>
      <c r="Q2868" s="7">
        <f>IF($B2868="","",O2868-P2868)</f>
        <v/>
      </c>
      <c r="R2868" s="7">
        <f>IF($B2868="","",Q2868-J2868)</f>
        <v/>
      </c>
      <c r="S2868" s="7" t="n"/>
      <c r="T2868" s="7" t="n"/>
      <c r="V2868" s="14" t="n"/>
      <c r="Z2868">
        <f>IF($B2868="","",IF(COUNTIF($B$2:$B2868,$B2868)=1,1,0))</f>
        <v/>
      </c>
      <c r="AA2868">
        <f>IF($Z2868=1,SUMPRODUCT(--($AC$2:$AC$3001&lt;$AC2868))+1,"")</f>
        <v/>
      </c>
      <c r="AB2868">
        <f>IF($B2868="","",IF(OR($Y2868=TRUE(),$Y2868="TRUE"),1,IF(AND($Y2868&lt;&gt;"",OR($Y2868=FALSE(),$Y2868="FALSE")),0,IF(MIN(ABS($X2868/100-Settings!$C$6),ABS($X2868/100-Settings!$G$6))&lt;=MIN(ABS($X2868/100-Settings!$C$7),ABS($X2868/100-Settings!$G$7)),1,0))))</f>
        <v/>
      </c>
      <c r="AC2868">
        <f>IF($Z2868=1,IFERROR(IF(VALUE($B2868)&lt;100000000,VALUE($B2868),1000000000),IFERROR(IF(VALUE(MID($B2868,2,20))&lt;100000000,VALUE(MID($B2868,2,20)),1000000000),1000000000))+ROW()/100000,"")</f>
        <v/>
      </c>
    </row>
    <row r="2869">
      <c r="A2869">
        <f>IF($B2869="","",IFERROR(IF(INDEX('Per Invoice'!$A$2:$A$801,MATCH($B2869,'Per Invoice'!$B$2:$B$801,0))=0,"",INDEX('Per Invoice'!$A$2:$A$801,MATCH($B2869,'Per Invoice'!$B$2:$B$801,0))),""))</f>
        <v/>
      </c>
      <c r="J2869" s="7">
        <f>IF($B2869="","",I2869*Q2869/100)</f>
        <v/>
      </c>
      <c r="N2869" s="7" t="n"/>
      <c r="O2869" s="7" t="n"/>
      <c r="P2869" s="7">
        <f>IF($B2869="","",O2869*X2869/100)</f>
        <v/>
      </c>
      <c r="Q2869" s="7">
        <f>IF($B2869="","",O2869-P2869)</f>
        <v/>
      </c>
      <c r="R2869" s="7">
        <f>IF($B2869="","",Q2869-J2869)</f>
        <v/>
      </c>
      <c r="S2869" s="7" t="n"/>
      <c r="T2869" s="7" t="n"/>
      <c r="V2869" s="14" t="n"/>
      <c r="Z2869">
        <f>IF($B2869="","",IF(COUNTIF($B$2:$B2869,$B2869)=1,1,0))</f>
        <v/>
      </c>
      <c r="AA2869">
        <f>IF($Z2869=1,SUMPRODUCT(--($AC$2:$AC$3001&lt;$AC2869))+1,"")</f>
        <v/>
      </c>
      <c r="AB2869">
        <f>IF($B2869="","",IF(OR($Y2869=TRUE(),$Y2869="TRUE"),1,IF(AND($Y2869&lt;&gt;"",OR($Y2869=FALSE(),$Y2869="FALSE")),0,IF(MIN(ABS($X2869/100-Settings!$C$6),ABS($X2869/100-Settings!$G$6))&lt;=MIN(ABS($X2869/100-Settings!$C$7),ABS($X2869/100-Settings!$G$7)),1,0))))</f>
        <v/>
      </c>
      <c r="AC2869">
        <f>IF($Z2869=1,IFERROR(IF(VALUE($B2869)&lt;100000000,VALUE($B2869),1000000000),IFERROR(IF(VALUE(MID($B2869,2,20))&lt;100000000,VALUE(MID($B2869,2,20)),1000000000),1000000000))+ROW()/100000,"")</f>
        <v/>
      </c>
    </row>
    <row r="2870">
      <c r="A2870">
        <f>IF($B2870="","",IFERROR(IF(INDEX('Per Invoice'!$A$2:$A$801,MATCH($B2870,'Per Invoice'!$B$2:$B$801,0))=0,"",INDEX('Per Invoice'!$A$2:$A$801,MATCH($B2870,'Per Invoice'!$B$2:$B$801,0))),""))</f>
        <v/>
      </c>
      <c r="J2870" s="7">
        <f>IF($B2870="","",I2870*Q2870/100)</f>
        <v/>
      </c>
      <c r="N2870" s="7" t="n"/>
      <c r="O2870" s="7" t="n"/>
      <c r="P2870" s="7">
        <f>IF($B2870="","",O2870*X2870/100)</f>
        <v/>
      </c>
      <c r="Q2870" s="7">
        <f>IF($B2870="","",O2870-P2870)</f>
        <v/>
      </c>
      <c r="R2870" s="7">
        <f>IF($B2870="","",Q2870-J2870)</f>
        <v/>
      </c>
      <c r="S2870" s="7" t="n"/>
      <c r="T2870" s="7" t="n"/>
      <c r="V2870" s="14" t="n"/>
      <c r="Z2870">
        <f>IF($B2870="","",IF(COUNTIF($B$2:$B2870,$B2870)=1,1,0))</f>
        <v/>
      </c>
      <c r="AA2870">
        <f>IF($Z2870=1,SUMPRODUCT(--($AC$2:$AC$3001&lt;$AC2870))+1,"")</f>
        <v/>
      </c>
      <c r="AB2870">
        <f>IF($B2870="","",IF(OR($Y2870=TRUE(),$Y2870="TRUE"),1,IF(AND($Y2870&lt;&gt;"",OR($Y2870=FALSE(),$Y2870="FALSE")),0,IF(MIN(ABS($X2870/100-Settings!$C$6),ABS($X2870/100-Settings!$G$6))&lt;=MIN(ABS($X2870/100-Settings!$C$7),ABS($X2870/100-Settings!$G$7)),1,0))))</f>
        <v/>
      </c>
      <c r="AC2870">
        <f>IF($Z2870=1,IFERROR(IF(VALUE($B2870)&lt;100000000,VALUE($B2870),1000000000),IFERROR(IF(VALUE(MID($B2870,2,20))&lt;100000000,VALUE(MID($B2870,2,20)),1000000000),1000000000))+ROW()/100000,"")</f>
        <v/>
      </c>
    </row>
    <row r="2871">
      <c r="A2871">
        <f>IF($B2871="","",IFERROR(IF(INDEX('Per Invoice'!$A$2:$A$801,MATCH($B2871,'Per Invoice'!$B$2:$B$801,0))=0,"",INDEX('Per Invoice'!$A$2:$A$801,MATCH($B2871,'Per Invoice'!$B$2:$B$801,0))),""))</f>
        <v/>
      </c>
      <c r="J2871" s="7">
        <f>IF($B2871="","",I2871*Q2871/100)</f>
        <v/>
      </c>
      <c r="N2871" s="7" t="n"/>
      <c r="O2871" s="7" t="n"/>
      <c r="P2871" s="7">
        <f>IF($B2871="","",O2871*X2871/100)</f>
        <v/>
      </c>
      <c r="Q2871" s="7">
        <f>IF($B2871="","",O2871-P2871)</f>
        <v/>
      </c>
      <c r="R2871" s="7">
        <f>IF($B2871="","",Q2871-J2871)</f>
        <v/>
      </c>
      <c r="S2871" s="7" t="n"/>
      <c r="T2871" s="7" t="n"/>
      <c r="V2871" s="14" t="n"/>
      <c r="Z2871">
        <f>IF($B2871="","",IF(COUNTIF($B$2:$B2871,$B2871)=1,1,0))</f>
        <v/>
      </c>
      <c r="AA2871">
        <f>IF($Z2871=1,SUMPRODUCT(--($AC$2:$AC$3001&lt;$AC2871))+1,"")</f>
        <v/>
      </c>
      <c r="AB2871">
        <f>IF($B2871="","",IF(OR($Y2871=TRUE(),$Y2871="TRUE"),1,IF(AND($Y2871&lt;&gt;"",OR($Y2871=FALSE(),$Y2871="FALSE")),0,IF(MIN(ABS($X2871/100-Settings!$C$6),ABS($X2871/100-Settings!$G$6))&lt;=MIN(ABS($X2871/100-Settings!$C$7),ABS($X2871/100-Settings!$G$7)),1,0))))</f>
        <v/>
      </c>
      <c r="AC2871">
        <f>IF($Z2871=1,IFERROR(IF(VALUE($B2871)&lt;100000000,VALUE($B2871),1000000000),IFERROR(IF(VALUE(MID($B2871,2,20))&lt;100000000,VALUE(MID($B2871,2,20)),1000000000),1000000000))+ROW()/100000,"")</f>
        <v/>
      </c>
    </row>
    <row r="2872">
      <c r="A2872">
        <f>IF($B2872="","",IFERROR(IF(INDEX('Per Invoice'!$A$2:$A$801,MATCH($B2872,'Per Invoice'!$B$2:$B$801,0))=0,"",INDEX('Per Invoice'!$A$2:$A$801,MATCH($B2872,'Per Invoice'!$B$2:$B$801,0))),""))</f>
        <v/>
      </c>
      <c r="J2872" s="7">
        <f>IF($B2872="","",I2872*Q2872/100)</f>
        <v/>
      </c>
      <c r="N2872" s="7" t="n"/>
      <c r="O2872" s="7" t="n"/>
      <c r="P2872" s="7">
        <f>IF($B2872="","",O2872*X2872/100)</f>
        <v/>
      </c>
      <c r="Q2872" s="7">
        <f>IF($B2872="","",O2872-P2872)</f>
        <v/>
      </c>
      <c r="R2872" s="7">
        <f>IF($B2872="","",Q2872-J2872)</f>
        <v/>
      </c>
      <c r="S2872" s="7" t="n"/>
      <c r="T2872" s="7" t="n"/>
      <c r="V2872" s="14" t="n"/>
      <c r="Z2872">
        <f>IF($B2872="","",IF(COUNTIF($B$2:$B2872,$B2872)=1,1,0))</f>
        <v/>
      </c>
      <c r="AA2872">
        <f>IF($Z2872=1,SUMPRODUCT(--($AC$2:$AC$3001&lt;$AC2872))+1,"")</f>
        <v/>
      </c>
      <c r="AB2872">
        <f>IF($B2872="","",IF(OR($Y2872=TRUE(),$Y2872="TRUE"),1,IF(AND($Y2872&lt;&gt;"",OR($Y2872=FALSE(),$Y2872="FALSE")),0,IF(MIN(ABS($X2872/100-Settings!$C$6),ABS($X2872/100-Settings!$G$6))&lt;=MIN(ABS($X2872/100-Settings!$C$7),ABS($X2872/100-Settings!$G$7)),1,0))))</f>
        <v/>
      </c>
      <c r="AC2872">
        <f>IF($Z2872=1,IFERROR(IF(VALUE($B2872)&lt;100000000,VALUE($B2872),1000000000),IFERROR(IF(VALUE(MID($B2872,2,20))&lt;100000000,VALUE(MID($B2872,2,20)),1000000000),1000000000))+ROW()/100000,"")</f>
        <v/>
      </c>
    </row>
    <row r="2873">
      <c r="A2873">
        <f>IF($B2873="","",IFERROR(IF(INDEX('Per Invoice'!$A$2:$A$801,MATCH($B2873,'Per Invoice'!$B$2:$B$801,0))=0,"",INDEX('Per Invoice'!$A$2:$A$801,MATCH($B2873,'Per Invoice'!$B$2:$B$801,0))),""))</f>
        <v/>
      </c>
      <c r="J2873" s="7">
        <f>IF($B2873="","",I2873*Q2873/100)</f>
        <v/>
      </c>
      <c r="N2873" s="7" t="n"/>
      <c r="O2873" s="7" t="n"/>
      <c r="P2873" s="7">
        <f>IF($B2873="","",O2873*X2873/100)</f>
        <v/>
      </c>
      <c r="Q2873" s="7">
        <f>IF($B2873="","",O2873-P2873)</f>
        <v/>
      </c>
      <c r="R2873" s="7">
        <f>IF($B2873="","",Q2873-J2873)</f>
        <v/>
      </c>
      <c r="S2873" s="7" t="n"/>
      <c r="T2873" s="7" t="n"/>
      <c r="V2873" s="14" t="n"/>
      <c r="Z2873">
        <f>IF($B2873="","",IF(COUNTIF($B$2:$B2873,$B2873)=1,1,0))</f>
        <v/>
      </c>
      <c r="AA2873">
        <f>IF($Z2873=1,SUMPRODUCT(--($AC$2:$AC$3001&lt;$AC2873))+1,"")</f>
        <v/>
      </c>
      <c r="AB2873">
        <f>IF($B2873="","",IF(OR($Y2873=TRUE(),$Y2873="TRUE"),1,IF(AND($Y2873&lt;&gt;"",OR($Y2873=FALSE(),$Y2873="FALSE")),0,IF(MIN(ABS($X2873/100-Settings!$C$6),ABS($X2873/100-Settings!$G$6))&lt;=MIN(ABS($X2873/100-Settings!$C$7),ABS($X2873/100-Settings!$G$7)),1,0))))</f>
        <v/>
      </c>
      <c r="AC2873">
        <f>IF($Z2873=1,IFERROR(IF(VALUE($B2873)&lt;100000000,VALUE($B2873),1000000000),IFERROR(IF(VALUE(MID($B2873,2,20))&lt;100000000,VALUE(MID($B2873,2,20)),1000000000),1000000000))+ROW()/100000,"")</f>
        <v/>
      </c>
    </row>
    <row r="2874">
      <c r="A2874">
        <f>IF($B2874="","",IFERROR(IF(INDEX('Per Invoice'!$A$2:$A$801,MATCH($B2874,'Per Invoice'!$B$2:$B$801,0))=0,"",INDEX('Per Invoice'!$A$2:$A$801,MATCH($B2874,'Per Invoice'!$B$2:$B$801,0))),""))</f>
        <v/>
      </c>
      <c r="J2874" s="7">
        <f>IF($B2874="","",I2874*Q2874/100)</f>
        <v/>
      </c>
      <c r="N2874" s="7" t="n"/>
      <c r="O2874" s="7" t="n"/>
      <c r="P2874" s="7">
        <f>IF($B2874="","",O2874*X2874/100)</f>
        <v/>
      </c>
      <c r="Q2874" s="7">
        <f>IF($B2874="","",O2874-P2874)</f>
        <v/>
      </c>
      <c r="R2874" s="7">
        <f>IF($B2874="","",Q2874-J2874)</f>
        <v/>
      </c>
      <c r="S2874" s="7" t="n"/>
      <c r="T2874" s="7" t="n"/>
      <c r="V2874" s="14" t="n"/>
      <c r="Z2874">
        <f>IF($B2874="","",IF(COUNTIF($B$2:$B2874,$B2874)=1,1,0))</f>
        <v/>
      </c>
      <c r="AA2874">
        <f>IF($Z2874=1,SUMPRODUCT(--($AC$2:$AC$3001&lt;$AC2874))+1,"")</f>
        <v/>
      </c>
      <c r="AB2874">
        <f>IF($B2874="","",IF(OR($Y2874=TRUE(),$Y2874="TRUE"),1,IF(AND($Y2874&lt;&gt;"",OR($Y2874=FALSE(),$Y2874="FALSE")),0,IF(MIN(ABS($X2874/100-Settings!$C$6),ABS($X2874/100-Settings!$G$6))&lt;=MIN(ABS($X2874/100-Settings!$C$7),ABS($X2874/100-Settings!$G$7)),1,0))))</f>
        <v/>
      </c>
      <c r="AC2874">
        <f>IF($Z2874=1,IFERROR(IF(VALUE($B2874)&lt;100000000,VALUE($B2874),1000000000),IFERROR(IF(VALUE(MID($B2874,2,20))&lt;100000000,VALUE(MID($B2874,2,20)),1000000000),1000000000))+ROW()/100000,"")</f>
        <v/>
      </c>
    </row>
    <row r="2875">
      <c r="A2875">
        <f>IF($B2875="","",IFERROR(IF(INDEX('Per Invoice'!$A$2:$A$801,MATCH($B2875,'Per Invoice'!$B$2:$B$801,0))=0,"",INDEX('Per Invoice'!$A$2:$A$801,MATCH($B2875,'Per Invoice'!$B$2:$B$801,0))),""))</f>
        <v/>
      </c>
      <c r="J2875" s="7">
        <f>IF($B2875="","",I2875*Q2875/100)</f>
        <v/>
      </c>
      <c r="N2875" s="7" t="n"/>
      <c r="O2875" s="7" t="n"/>
      <c r="P2875" s="7">
        <f>IF($B2875="","",O2875*X2875/100)</f>
        <v/>
      </c>
      <c r="Q2875" s="7">
        <f>IF($B2875="","",O2875-P2875)</f>
        <v/>
      </c>
      <c r="R2875" s="7">
        <f>IF($B2875="","",Q2875-J2875)</f>
        <v/>
      </c>
      <c r="S2875" s="7" t="n"/>
      <c r="T2875" s="7" t="n"/>
      <c r="V2875" s="14" t="n"/>
      <c r="Z2875">
        <f>IF($B2875="","",IF(COUNTIF($B$2:$B2875,$B2875)=1,1,0))</f>
        <v/>
      </c>
      <c r="AA2875">
        <f>IF($Z2875=1,SUMPRODUCT(--($AC$2:$AC$3001&lt;$AC2875))+1,"")</f>
        <v/>
      </c>
      <c r="AB2875">
        <f>IF($B2875="","",IF(OR($Y2875=TRUE(),$Y2875="TRUE"),1,IF(AND($Y2875&lt;&gt;"",OR($Y2875=FALSE(),$Y2875="FALSE")),0,IF(MIN(ABS($X2875/100-Settings!$C$6),ABS($X2875/100-Settings!$G$6))&lt;=MIN(ABS($X2875/100-Settings!$C$7),ABS($X2875/100-Settings!$G$7)),1,0))))</f>
        <v/>
      </c>
      <c r="AC2875">
        <f>IF($Z2875=1,IFERROR(IF(VALUE($B2875)&lt;100000000,VALUE($B2875),1000000000),IFERROR(IF(VALUE(MID($B2875,2,20))&lt;100000000,VALUE(MID($B2875,2,20)),1000000000),1000000000))+ROW()/100000,"")</f>
        <v/>
      </c>
    </row>
    <row r="2876">
      <c r="A2876">
        <f>IF($B2876="","",IFERROR(IF(INDEX('Per Invoice'!$A$2:$A$801,MATCH($B2876,'Per Invoice'!$B$2:$B$801,0))=0,"",INDEX('Per Invoice'!$A$2:$A$801,MATCH($B2876,'Per Invoice'!$B$2:$B$801,0))),""))</f>
        <v/>
      </c>
      <c r="J2876" s="7">
        <f>IF($B2876="","",I2876*Q2876/100)</f>
        <v/>
      </c>
      <c r="N2876" s="7" t="n"/>
      <c r="O2876" s="7" t="n"/>
      <c r="P2876" s="7">
        <f>IF($B2876="","",O2876*X2876/100)</f>
        <v/>
      </c>
      <c r="Q2876" s="7">
        <f>IF($B2876="","",O2876-P2876)</f>
        <v/>
      </c>
      <c r="R2876" s="7">
        <f>IF($B2876="","",Q2876-J2876)</f>
        <v/>
      </c>
      <c r="S2876" s="7" t="n"/>
      <c r="T2876" s="7" t="n"/>
      <c r="V2876" s="14" t="n"/>
      <c r="Z2876">
        <f>IF($B2876="","",IF(COUNTIF($B$2:$B2876,$B2876)=1,1,0))</f>
        <v/>
      </c>
      <c r="AA2876">
        <f>IF($Z2876=1,SUMPRODUCT(--($AC$2:$AC$3001&lt;$AC2876))+1,"")</f>
        <v/>
      </c>
      <c r="AB2876">
        <f>IF($B2876="","",IF(OR($Y2876=TRUE(),$Y2876="TRUE"),1,IF(AND($Y2876&lt;&gt;"",OR($Y2876=FALSE(),$Y2876="FALSE")),0,IF(MIN(ABS($X2876/100-Settings!$C$6),ABS($X2876/100-Settings!$G$6))&lt;=MIN(ABS($X2876/100-Settings!$C$7),ABS($X2876/100-Settings!$G$7)),1,0))))</f>
        <v/>
      </c>
      <c r="AC2876">
        <f>IF($Z2876=1,IFERROR(IF(VALUE($B2876)&lt;100000000,VALUE($B2876),1000000000),IFERROR(IF(VALUE(MID($B2876,2,20))&lt;100000000,VALUE(MID($B2876,2,20)),1000000000),1000000000))+ROW()/100000,"")</f>
        <v/>
      </c>
    </row>
    <row r="2877">
      <c r="A2877">
        <f>IF($B2877="","",IFERROR(IF(INDEX('Per Invoice'!$A$2:$A$801,MATCH($B2877,'Per Invoice'!$B$2:$B$801,0))=0,"",INDEX('Per Invoice'!$A$2:$A$801,MATCH($B2877,'Per Invoice'!$B$2:$B$801,0))),""))</f>
        <v/>
      </c>
      <c r="J2877" s="7">
        <f>IF($B2877="","",I2877*Q2877/100)</f>
        <v/>
      </c>
      <c r="N2877" s="7" t="n"/>
      <c r="O2877" s="7" t="n"/>
      <c r="P2877" s="7">
        <f>IF($B2877="","",O2877*X2877/100)</f>
        <v/>
      </c>
      <c r="Q2877" s="7">
        <f>IF($B2877="","",O2877-P2877)</f>
        <v/>
      </c>
      <c r="R2877" s="7">
        <f>IF($B2877="","",Q2877-J2877)</f>
        <v/>
      </c>
      <c r="S2877" s="7" t="n"/>
      <c r="T2877" s="7" t="n"/>
      <c r="V2877" s="14" t="n"/>
      <c r="Z2877">
        <f>IF($B2877="","",IF(COUNTIF($B$2:$B2877,$B2877)=1,1,0))</f>
        <v/>
      </c>
      <c r="AA2877">
        <f>IF($Z2877=1,SUMPRODUCT(--($AC$2:$AC$3001&lt;$AC2877))+1,"")</f>
        <v/>
      </c>
      <c r="AB2877">
        <f>IF($B2877="","",IF(OR($Y2877=TRUE(),$Y2877="TRUE"),1,IF(AND($Y2877&lt;&gt;"",OR($Y2877=FALSE(),$Y2877="FALSE")),0,IF(MIN(ABS($X2877/100-Settings!$C$6),ABS($X2877/100-Settings!$G$6))&lt;=MIN(ABS($X2877/100-Settings!$C$7),ABS($X2877/100-Settings!$G$7)),1,0))))</f>
        <v/>
      </c>
      <c r="AC2877">
        <f>IF($Z2877=1,IFERROR(IF(VALUE($B2877)&lt;100000000,VALUE($B2877),1000000000),IFERROR(IF(VALUE(MID($B2877,2,20))&lt;100000000,VALUE(MID($B2877,2,20)),1000000000),1000000000))+ROW()/100000,"")</f>
        <v/>
      </c>
    </row>
    <row r="2878">
      <c r="A2878">
        <f>IF($B2878="","",IFERROR(IF(INDEX('Per Invoice'!$A$2:$A$801,MATCH($B2878,'Per Invoice'!$B$2:$B$801,0))=0,"",INDEX('Per Invoice'!$A$2:$A$801,MATCH($B2878,'Per Invoice'!$B$2:$B$801,0))),""))</f>
        <v/>
      </c>
      <c r="J2878" s="7">
        <f>IF($B2878="","",I2878*Q2878/100)</f>
        <v/>
      </c>
      <c r="N2878" s="7" t="n"/>
      <c r="O2878" s="7" t="n"/>
      <c r="P2878" s="7">
        <f>IF($B2878="","",O2878*X2878/100)</f>
        <v/>
      </c>
      <c r="Q2878" s="7">
        <f>IF($B2878="","",O2878-P2878)</f>
        <v/>
      </c>
      <c r="R2878" s="7">
        <f>IF($B2878="","",Q2878-J2878)</f>
        <v/>
      </c>
      <c r="S2878" s="7" t="n"/>
      <c r="T2878" s="7" t="n"/>
      <c r="V2878" s="14" t="n"/>
      <c r="Z2878">
        <f>IF($B2878="","",IF(COUNTIF($B$2:$B2878,$B2878)=1,1,0))</f>
        <v/>
      </c>
      <c r="AA2878">
        <f>IF($Z2878=1,SUMPRODUCT(--($AC$2:$AC$3001&lt;$AC2878))+1,"")</f>
        <v/>
      </c>
      <c r="AB2878">
        <f>IF($B2878="","",IF(OR($Y2878=TRUE(),$Y2878="TRUE"),1,IF(AND($Y2878&lt;&gt;"",OR($Y2878=FALSE(),$Y2878="FALSE")),0,IF(MIN(ABS($X2878/100-Settings!$C$6),ABS($X2878/100-Settings!$G$6))&lt;=MIN(ABS($X2878/100-Settings!$C$7),ABS($X2878/100-Settings!$G$7)),1,0))))</f>
        <v/>
      </c>
      <c r="AC2878">
        <f>IF($Z2878=1,IFERROR(IF(VALUE($B2878)&lt;100000000,VALUE($B2878),1000000000),IFERROR(IF(VALUE(MID($B2878,2,20))&lt;100000000,VALUE(MID($B2878,2,20)),1000000000),1000000000))+ROW()/100000,"")</f>
        <v/>
      </c>
    </row>
    <row r="2879">
      <c r="A2879">
        <f>IF($B2879="","",IFERROR(IF(INDEX('Per Invoice'!$A$2:$A$801,MATCH($B2879,'Per Invoice'!$B$2:$B$801,0))=0,"",INDEX('Per Invoice'!$A$2:$A$801,MATCH($B2879,'Per Invoice'!$B$2:$B$801,0))),""))</f>
        <v/>
      </c>
      <c r="J2879" s="7">
        <f>IF($B2879="","",I2879*Q2879/100)</f>
        <v/>
      </c>
      <c r="N2879" s="7" t="n"/>
      <c r="O2879" s="7" t="n"/>
      <c r="P2879" s="7">
        <f>IF($B2879="","",O2879*X2879/100)</f>
        <v/>
      </c>
      <c r="Q2879" s="7">
        <f>IF($B2879="","",O2879-P2879)</f>
        <v/>
      </c>
      <c r="R2879" s="7">
        <f>IF($B2879="","",Q2879-J2879)</f>
        <v/>
      </c>
      <c r="S2879" s="7" t="n"/>
      <c r="T2879" s="7" t="n"/>
      <c r="V2879" s="14" t="n"/>
      <c r="Z2879">
        <f>IF($B2879="","",IF(COUNTIF($B$2:$B2879,$B2879)=1,1,0))</f>
        <v/>
      </c>
      <c r="AA2879">
        <f>IF($Z2879=1,SUMPRODUCT(--($AC$2:$AC$3001&lt;$AC2879))+1,"")</f>
        <v/>
      </c>
      <c r="AB2879">
        <f>IF($B2879="","",IF(OR($Y2879=TRUE(),$Y2879="TRUE"),1,IF(AND($Y2879&lt;&gt;"",OR($Y2879=FALSE(),$Y2879="FALSE")),0,IF(MIN(ABS($X2879/100-Settings!$C$6),ABS($X2879/100-Settings!$G$6))&lt;=MIN(ABS($X2879/100-Settings!$C$7),ABS($X2879/100-Settings!$G$7)),1,0))))</f>
        <v/>
      </c>
      <c r="AC2879">
        <f>IF($Z2879=1,IFERROR(IF(VALUE($B2879)&lt;100000000,VALUE($B2879),1000000000),IFERROR(IF(VALUE(MID($B2879,2,20))&lt;100000000,VALUE(MID($B2879,2,20)),1000000000),1000000000))+ROW()/100000,"")</f>
        <v/>
      </c>
    </row>
    <row r="2880">
      <c r="A2880">
        <f>IF($B2880="","",IFERROR(IF(INDEX('Per Invoice'!$A$2:$A$801,MATCH($B2880,'Per Invoice'!$B$2:$B$801,0))=0,"",INDEX('Per Invoice'!$A$2:$A$801,MATCH($B2880,'Per Invoice'!$B$2:$B$801,0))),""))</f>
        <v/>
      </c>
      <c r="J2880" s="7">
        <f>IF($B2880="","",I2880*Q2880/100)</f>
        <v/>
      </c>
      <c r="N2880" s="7" t="n"/>
      <c r="O2880" s="7" t="n"/>
      <c r="P2880" s="7">
        <f>IF($B2880="","",O2880*X2880/100)</f>
        <v/>
      </c>
      <c r="Q2880" s="7">
        <f>IF($B2880="","",O2880-P2880)</f>
        <v/>
      </c>
      <c r="R2880" s="7">
        <f>IF($B2880="","",Q2880-J2880)</f>
        <v/>
      </c>
      <c r="S2880" s="7" t="n"/>
      <c r="T2880" s="7" t="n"/>
      <c r="V2880" s="14" t="n"/>
      <c r="Z2880">
        <f>IF($B2880="","",IF(COUNTIF($B$2:$B2880,$B2880)=1,1,0))</f>
        <v/>
      </c>
      <c r="AA2880">
        <f>IF($Z2880=1,SUMPRODUCT(--($AC$2:$AC$3001&lt;$AC2880))+1,"")</f>
        <v/>
      </c>
      <c r="AB2880">
        <f>IF($B2880="","",IF(OR($Y2880=TRUE(),$Y2880="TRUE"),1,IF(AND($Y2880&lt;&gt;"",OR($Y2880=FALSE(),$Y2880="FALSE")),0,IF(MIN(ABS($X2880/100-Settings!$C$6),ABS($X2880/100-Settings!$G$6))&lt;=MIN(ABS($X2880/100-Settings!$C$7),ABS($X2880/100-Settings!$G$7)),1,0))))</f>
        <v/>
      </c>
      <c r="AC2880">
        <f>IF($Z2880=1,IFERROR(IF(VALUE($B2880)&lt;100000000,VALUE($B2880),1000000000),IFERROR(IF(VALUE(MID($B2880,2,20))&lt;100000000,VALUE(MID($B2880,2,20)),1000000000),1000000000))+ROW()/100000,"")</f>
        <v/>
      </c>
    </row>
    <row r="2881">
      <c r="A2881">
        <f>IF($B2881="","",IFERROR(IF(INDEX('Per Invoice'!$A$2:$A$801,MATCH($B2881,'Per Invoice'!$B$2:$B$801,0))=0,"",INDEX('Per Invoice'!$A$2:$A$801,MATCH($B2881,'Per Invoice'!$B$2:$B$801,0))),""))</f>
        <v/>
      </c>
      <c r="J2881" s="7">
        <f>IF($B2881="","",I2881*Q2881/100)</f>
        <v/>
      </c>
      <c r="N2881" s="7" t="n"/>
      <c r="O2881" s="7" t="n"/>
      <c r="P2881" s="7">
        <f>IF($B2881="","",O2881*X2881/100)</f>
        <v/>
      </c>
      <c r="Q2881" s="7">
        <f>IF($B2881="","",O2881-P2881)</f>
        <v/>
      </c>
      <c r="R2881" s="7">
        <f>IF($B2881="","",Q2881-J2881)</f>
        <v/>
      </c>
      <c r="S2881" s="7" t="n"/>
      <c r="T2881" s="7" t="n"/>
      <c r="V2881" s="14" t="n"/>
      <c r="Z2881">
        <f>IF($B2881="","",IF(COUNTIF($B$2:$B2881,$B2881)=1,1,0))</f>
        <v/>
      </c>
      <c r="AA2881">
        <f>IF($Z2881=1,SUMPRODUCT(--($AC$2:$AC$3001&lt;$AC2881))+1,"")</f>
        <v/>
      </c>
      <c r="AB2881">
        <f>IF($B2881="","",IF(OR($Y2881=TRUE(),$Y2881="TRUE"),1,IF(AND($Y2881&lt;&gt;"",OR($Y2881=FALSE(),$Y2881="FALSE")),0,IF(MIN(ABS($X2881/100-Settings!$C$6),ABS($X2881/100-Settings!$G$6))&lt;=MIN(ABS($X2881/100-Settings!$C$7),ABS($X2881/100-Settings!$G$7)),1,0))))</f>
        <v/>
      </c>
      <c r="AC2881">
        <f>IF($Z2881=1,IFERROR(IF(VALUE($B2881)&lt;100000000,VALUE($B2881),1000000000),IFERROR(IF(VALUE(MID($B2881,2,20))&lt;100000000,VALUE(MID($B2881,2,20)),1000000000),1000000000))+ROW()/100000,"")</f>
        <v/>
      </c>
    </row>
    <row r="2882">
      <c r="A2882">
        <f>IF($B2882="","",IFERROR(IF(INDEX('Per Invoice'!$A$2:$A$801,MATCH($B2882,'Per Invoice'!$B$2:$B$801,0))=0,"",INDEX('Per Invoice'!$A$2:$A$801,MATCH($B2882,'Per Invoice'!$B$2:$B$801,0))),""))</f>
        <v/>
      </c>
      <c r="J2882" s="7">
        <f>IF($B2882="","",I2882*Q2882/100)</f>
        <v/>
      </c>
      <c r="N2882" s="7" t="n"/>
      <c r="O2882" s="7" t="n"/>
      <c r="P2882" s="7">
        <f>IF($B2882="","",O2882*X2882/100)</f>
        <v/>
      </c>
      <c r="Q2882" s="7">
        <f>IF($B2882="","",O2882-P2882)</f>
        <v/>
      </c>
      <c r="R2882" s="7">
        <f>IF($B2882="","",Q2882-J2882)</f>
        <v/>
      </c>
      <c r="S2882" s="7" t="n"/>
      <c r="T2882" s="7" t="n"/>
      <c r="V2882" s="14" t="n"/>
      <c r="Z2882">
        <f>IF($B2882="","",IF(COUNTIF($B$2:$B2882,$B2882)=1,1,0))</f>
        <v/>
      </c>
      <c r="AA2882">
        <f>IF($Z2882=1,SUMPRODUCT(--($AC$2:$AC$3001&lt;$AC2882))+1,"")</f>
        <v/>
      </c>
      <c r="AB2882">
        <f>IF($B2882="","",IF(OR($Y2882=TRUE(),$Y2882="TRUE"),1,IF(AND($Y2882&lt;&gt;"",OR($Y2882=FALSE(),$Y2882="FALSE")),0,IF(MIN(ABS($X2882/100-Settings!$C$6),ABS($X2882/100-Settings!$G$6))&lt;=MIN(ABS($X2882/100-Settings!$C$7),ABS($X2882/100-Settings!$G$7)),1,0))))</f>
        <v/>
      </c>
      <c r="AC2882">
        <f>IF($Z2882=1,IFERROR(IF(VALUE($B2882)&lt;100000000,VALUE($B2882),1000000000),IFERROR(IF(VALUE(MID($B2882,2,20))&lt;100000000,VALUE(MID($B2882,2,20)),1000000000),1000000000))+ROW()/100000,"")</f>
        <v/>
      </c>
    </row>
    <row r="2883">
      <c r="A2883">
        <f>IF($B2883="","",IFERROR(IF(INDEX('Per Invoice'!$A$2:$A$801,MATCH($B2883,'Per Invoice'!$B$2:$B$801,0))=0,"",INDEX('Per Invoice'!$A$2:$A$801,MATCH($B2883,'Per Invoice'!$B$2:$B$801,0))),""))</f>
        <v/>
      </c>
      <c r="J2883" s="7">
        <f>IF($B2883="","",I2883*Q2883/100)</f>
        <v/>
      </c>
      <c r="N2883" s="7" t="n"/>
      <c r="O2883" s="7" t="n"/>
      <c r="P2883" s="7">
        <f>IF($B2883="","",O2883*X2883/100)</f>
        <v/>
      </c>
      <c r="Q2883" s="7">
        <f>IF($B2883="","",O2883-P2883)</f>
        <v/>
      </c>
      <c r="R2883" s="7">
        <f>IF($B2883="","",Q2883-J2883)</f>
        <v/>
      </c>
      <c r="S2883" s="7" t="n"/>
      <c r="T2883" s="7" t="n"/>
      <c r="V2883" s="14" t="n"/>
      <c r="Z2883">
        <f>IF($B2883="","",IF(COUNTIF($B$2:$B2883,$B2883)=1,1,0))</f>
        <v/>
      </c>
      <c r="AA2883">
        <f>IF($Z2883=1,SUMPRODUCT(--($AC$2:$AC$3001&lt;$AC2883))+1,"")</f>
        <v/>
      </c>
      <c r="AB2883">
        <f>IF($B2883="","",IF(OR($Y2883=TRUE(),$Y2883="TRUE"),1,IF(AND($Y2883&lt;&gt;"",OR($Y2883=FALSE(),$Y2883="FALSE")),0,IF(MIN(ABS($X2883/100-Settings!$C$6),ABS($X2883/100-Settings!$G$6))&lt;=MIN(ABS($X2883/100-Settings!$C$7),ABS($X2883/100-Settings!$G$7)),1,0))))</f>
        <v/>
      </c>
      <c r="AC2883">
        <f>IF($Z2883=1,IFERROR(IF(VALUE($B2883)&lt;100000000,VALUE($B2883),1000000000),IFERROR(IF(VALUE(MID($B2883,2,20))&lt;100000000,VALUE(MID($B2883,2,20)),1000000000),1000000000))+ROW()/100000,"")</f>
        <v/>
      </c>
    </row>
    <row r="2884">
      <c r="A2884">
        <f>IF($B2884="","",IFERROR(IF(INDEX('Per Invoice'!$A$2:$A$801,MATCH($B2884,'Per Invoice'!$B$2:$B$801,0))=0,"",INDEX('Per Invoice'!$A$2:$A$801,MATCH($B2884,'Per Invoice'!$B$2:$B$801,0))),""))</f>
        <v/>
      </c>
      <c r="J2884" s="7">
        <f>IF($B2884="","",I2884*Q2884/100)</f>
        <v/>
      </c>
      <c r="N2884" s="7" t="n"/>
      <c r="O2884" s="7" t="n"/>
      <c r="P2884" s="7">
        <f>IF($B2884="","",O2884*X2884/100)</f>
        <v/>
      </c>
      <c r="Q2884" s="7">
        <f>IF($B2884="","",O2884-P2884)</f>
        <v/>
      </c>
      <c r="R2884" s="7">
        <f>IF($B2884="","",Q2884-J2884)</f>
        <v/>
      </c>
      <c r="S2884" s="7" t="n"/>
      <c r="T2884" s="7" t="n"/>
      <c r="V2884" s="14" t="n"/>
      <c r="Z2884">
        <f>IF($B2884="","",IF(COUNTIF($B$2:$B2884,$B2884)=1,1,0))</f>
        <v/>
      </c>
      <c r="AA2884">
        <f>IF($Z2884=1,SUMPRODUCT(--($AC$2:$AC$3001&lt;$AC2884))+1,"")</f>
        <v/>
      </c>
      <c r="AB2884">
        <f>IF($B2884="","",IF(OR($Y2884=TRUE(),$Y2884="TRUE"),1,IF(AND($Y2884&lt;&gt;"",OR($Y2884=FALSE(),$Y2884="FALSE")),0,IF(MIN(ABS($X2884/100-Settings!$C$6),ABS($X2884/100-Settings!$G$6))&lt;=MIN(ABS($X2884/100-Settings!$C$7),ABS($X2884/100-Settings!$G$7)),1,0))))</f>
        <v/>
      </c>
      <c r="AC2884">
        <f>IF($Z2884=1,IFERROR(IF(VALUE($B2884)&lt;100000000,VALUE($B2884),1000000000),IFERROR(IF(VALUE(MID($B2884,2,20))&lt;100000000,VALUE(MID($B2884,2,20)),1000000000),1000000000))+ROW()/100000,"")</f>
        <v/>
      </c>
    </row>
    <row r="2885">
      <c r="A2885">
        <f>IF($B2885="","",IFERROR(IF(INDEX('Per Invoice'!$A$2:$A$801,MATCH($B2885,'Per Invoice'!$B$2:$B$801,0))=0,"",INDEX('Per Invoice'!$A$2:$A$801,MATCH($B2885,'Per Invoice'!$B$2:$B$801,0))),""))</f>
        <v/>
      </c>
      <c r="J2885" s="7">
        <f>IF($B2885="","",I2885*Q2885/100)</f>
        <v/>
      </c>
      <c r="N2885" s="7" t="n"/>
      <c r="O2885" s="7" t="n"/>
      <c r="P2885" s="7">
        <f>IF($B2885="","",O2885*X2885/100)</f>
        <v/>
      </c>
      <c r="Q2885" s="7">
        <f>IF($B2885="","",O2885-P2885)</f>
        <v/>
      </c>
      <c r="R2885" s="7">
        <f>IF($B2885="","",Q2885-J2885)</f>
        <v/>
      </c>
      <c r="S2885" s="7" t="n"/>
      <c r="T2885" s="7" t="n"/>
      <c r="V2885" s="14" t="n"/>
      <c r="Z2885">
        <f>IF($B2885="","",IF(COUNTIF($B$2:$B2885,$B2885)=1,1,0))</f>
        <v/>
      </c>
      <c r="AA2885">
        <f>IF($Z2885=1,SUMPRODUCT(--($AC$2:$AC$3001&lt;$AC2885))+1,"")</f>
        <v/>
      </c>
      <c r="AB2885">
        <f>IF($B2885="","",IF(OR($Y2885=TRUE(),$Y2885="TRUE"),1,IF(AND($Y2885&lt;&gt;"",OR($Y2885=FALSE(),$Y2885="FALSE")),0,IF(MIN(ABS($X2885/100-Settings!$C$6),ABS($X2885/100-Settings!$G$6))&lt;=MIN(ABS($X2885/100-Settings!$C$7),ABS($X2885/100-Settings!$G$7)),1,0))))</f>
        <v/>
      </c>
      <c r="AC2885">
        <f>IF($Z2885=1,IFERROR(IF(VALUE($B2885)&lt;100000000,VALUE($B2885),1000000000),IFERROR(IF(VALUE(MID($B2885,2,20))&lt;100000000,VALUE(MID($B2885,2,20)),1000000000),1000000000))+ROW()/100000,"")</f>
        <v/>
      </c>
    </row>
    <row r="2886">
      <c r="A2886">
        <f>IF($B2886="","",IFERROR(IF(INDEX('Per Invoice'!$A$2:$A$801,MATCH($B2886,'Per Invoice'!$B$2:$B$801,0))=0,"",INDEX('Per Invoice'!$A$2:$A$801,MATCH($B2886,'Per Invoice'!$B$2:$B$801,0))),""))</f>
        <v/>
      </c>
      <c r="J2886" s="7">
        <f>IF($B2886="","",I2886*Q2886/100)</f>
        <v/>
      </c>
      <c r="N2886" s="7" t="n"/>
      <c r="O2886" s="7" t="n"/>
      <c r="P2886" s="7">
        <f>IF($B2886="","",O2886*X2886/100)</f>
        <v/>
      </c>
      <c r="Q2886" s="7">
        <f>IF($B2886="","",O2886-P2886)</f>
        <v/>
      </c>
      <c r="R2886" s="7">
        <f>IF($B2886="","",Q2886-J2886)</f>
        <v/>
      </c>
      <c r="S2886" s="7" t="n"/>
      <c r="T2886" s="7" t="n"/>
      <c r="V2886" s="14" t="n"/>
      <c r="Z2886">
        <f>IF($B2886="","",IF(COUNTIF($B$2:$B2886,$B2886)=1,1,0))</f>
        <v/>
      </c>
      <c r="AA2886">
        <f>IF($Z2886=1,SUMPRODUCT(--($AC$2:$AC$3001&lt;$AC2886))+1,"")</f>
        <v/>
      </c>
      <c r="AB2886">
        <f>IF($B2886="","",IF(OR($Y2886=TRUE(),$Y2886="TRUE"),1,IF(AND($Y2886&lt;&gt;"",OR($Y2886=FALSE(),$Y2886="FALSE")),0,IF(MIN(ABS($X2886/100-Settings!$C$6),ABS($X2886/100-Settings!$G$6))&lt;=MIN(ABS($X2886/100-Settings!$C$7),ABS($X2886/100-Settings!$G$7)),1,0))))</f>
        <v/>
      </c>
      <c r="AC2886">
        <f>IF($Z2886=1,IFERROR(IF(VALUE($B2886)&lt;100000000,VALUE($B2886),1000000000),IFERROR(IF(VALUE(MID($B2886,2,20))&lt;100000000,VALUE(MID($B2886,2,20)),1000000000),1000000000))+ROW()/100000,"")</f>
        <v/>
      </c>
    </row>
    <row r="2887">
      <c r="A2887">
        <f>IF($B2887="","",IFERROR(IF(INDEX('Per Invoice'!$A$2:$A$801,MATCH($B2887,'Per Invoice'!$B$2:$B$801,0))=0,"",INDEX('Per Invoice'!$A$2:$A$801,MATCH($B2887,'Per Invoice'!$B$2:$B$801,0))),""))</f>
        <v/>
      </c>
      <c r="J2887" s="7">
        <f>IF($B2887="","",I2887*Q2887/100)</f>
        <v/>
      </c>
      <c r="N2887" s="7" t="n"/>
      <c r="O2887" s="7" t="n"/>
      <c r="P2887" s="7">
        <f>IF($B2887="","",O2887*X2887/100)</f>
        <v/>
      </c>
      <c r="Q2887" s="7">
        <f>IF($B2887="","",O2887-P2887)</f>
        <v/>
      </c>
      <c r="R2887" s="7">
        <f>IF($B2887="","",Q2887-J2887)</f>
        <v/>
      </c>
      <c r="S2887" s="7" t="n"/>
      <c r="T2887" s="7" t="n"/>
      <c r="V2887" s="14" t="n"/>
      <c r="Z2887">
        <f>IF($B2887="","",IF(COUNTIF($B$2:$B2887,$B2887)=1,1,0))</f>
        <v/>
      </c>
      <c r="AA2887">
        <f>IF($Z2887=1,SUMPRODUCT(--($AC$2:$AC$3001&lt;$AC2887))+1,"")</f>
        <v/>
      </c>
      <c r="AB2887">
        <f>IF($B2887="","",IF(OR($Y2887=TRUE(),$Y2887="TRUE"),1,IF(AND($Y2887&lt;&gt;"",OR($Y2887=FALSE(),$Y2887="FALSE")),0,IF(MIN(ABS($X2887/100-Settings!$C$6),ABS($X2887/100-Settings!$G$6))&lt;=MIN(ABS($X2887/100-Settings!$C$7),ABS($X2887/100-Settings!$G$7)),1,0))))</f>
        <v/>
      </c>
      <c r="AC2887">
        <f>IF($Z2887=1,IFERROR(IF(VALUE($B2887)&lt;100000000,VALUE($B2887),1000000000),IFERROR(IF(VALUE(MID($B2887,2,20))&lt;100000000,VALUE(MID($B2887,2,20)),1000000000),1000000000))+ROW()/100000,"")</f>
        <v/>
      </c>
    </row>
    <row r="2888">
      <c r="A2888">
        <f>IF($B2888="","",IFERROR(IF(INDEX('Per Invoice'!$A$2:$A$801,MATCH($B2888,'Per Invoice'!$B$2:$B$801,0))=0,"",INDEX('Per Invoice'!$A$2:$A$801,MATCH($B2888,'Per Invoice'!$B$2:$B$801,0))),""))</f>
        <v/>
      </c>
      <c r="J2888" s="7">
        <f>IF($B2888="","",I2888*Q2888/100)</f>
        <v/>
      </c>
      <c r="N2888" s="7" t="n"/>
      <c r="O2888" s="7" t="n"/>
      <c r="P2888" s="7">
        <f>IF($B2888="","",O2888*X2888/100)</f>
        <v/>
      </c>
      <c r="Q2888" s="7">
        <f>IF($B2888="","",O2888-P2888)</f>
        <v/>
      </c>
      <c r="R2888" s="7">
        <f>IF($B2888="","",Q2888-J2888)</f>
        <v/>
      </c>
      <c r="S2888" s="7" t="n"/>
      <c r="T2888" s="7" t="n"/>
      <c r="V2888" s="14" t="n"/>
      <c r="Z2888">
        <f>IF($B2888="","",IF(COUNTIF($B$2:$B2888,$B2888)=1,1,0))</f>
        <v/>
      </c>
      <c r="AA2888">
        <f>IF($Z2888=1,SUMPRODUCT(--($AC$2:$AC$3001&lt;$AC2888))+1,"")</f>
        <v/>
      </c>
      <c r="AB2888">
        <f>IF($B2888="","",IF(OR($Y2888=TRUE(),$Y2888="TRUE"),1,IF(AND($Y2888&lt;&gt;"",OR($Y2888=FALSE(),$Y2888="FALSE")),0,IF(MIN(ABS($X2888/100-Settings!$C$6),ABS($X2888/100-Settings!$G$6))&lt;=MIN(ABS($X2888/100-Settings!$C$7),ABS($X2888/100-Settings!$G$7)),1,0))))</f>
        <v/>
      </c>
      <c r="AC2888">
        <f>IF($Z2888=1,IFERROR(IF(VALUE($B2888)&lt;100000000,VALUE($B2888),1000000000),IFERROR(IF(VALUE(MID($B2888,2,20))&lt;100000000,VALUE(MID($B2888,2,20)),1000000000),1000000000))+ROW()/100000,"")</f>
        <v/>
      </c>
    </row>
    <row r="2889">
      <c r="A2889">
        <f>IF($B2889="","",IFERROR(IF(INDEX('Per Invoice'!$A$2:$A$801,MATCH($B2889,'Per Invoice'!$B$2:$B$801,0))=0,"",INDEX('Per Invoice'!$A$2:$A$801,MATCH($B2889,'Per Invoice'!$B$2:$B$801,0))),""))</f>
        <v/>
      </c>
      <c r="J2889" s="7">
        <f>IF($B2889="","",I2889*Q2889/100)</f>
        <v/>
      </c>
      <c r="N2889" s="7" t="n"/>
      <c r="O2889" s="7" t="n"/>
      <c r="P2889" s="7">
        <f>IF($B2889="","",O2889*X2889/100)</f>
        <v/>
      </c>
      <c r="Q2889" s="7">
        <f>IF($B2889="","",O2889-P2889)</f>
        <v/>
      </c>
      <c r="R2889" s="7">
        <f>IF($B2889="","",Q2889-J2889)</f>
        <v/>
      </c>
      <c r="S2889" s="7" t="n"/>
      <c r="T2889" s="7" t="n"/>
      <c r="V2889" s="14" t="n"/>
      <c r="Z2889">
        <f>IF($B2889="","",IF(COUNTIF($B$2:$B2889,$B2889)=1,1,0))</f>
        <v/>
      </c>
      <c r="AA2889">
        <f>IF($Z2889=1,SUMPRODUCT(--($AC$2:$AC$3001&lt;$AC2889))+1,"")</f>
        <v/>
      </c>
      <c r="AB2889">
        <f>IF($B2889="","",IF(OR($Y2889=TRUE(),$Y2889="TRUE"),1,IF(AND($Y2889&lt;&gt;"",OR($Y2889=FALSE(),$Y2889="FALSE")),0,IF(MIN(ABS($X2889/100-Settings!$C$6),ABS($X2889/100-Settings!$G$6))&lt;=MIN(ABS($X2889/100-Settings!$C$7),ABS($X2889/100-Settings!$G$7)),1,0))))</f>
        <v/>
      </c>
      <c r="AC2889">
        <f>IF($Z2889=1,IFERROR(IF(VALUE($B2889)&lt;100000000,VALUE($B2889),1000000000),IFERROR(IF(VALUE(MID($B2889,2,20))&lt;100000000,VALUE(MID($B2889,2,20)),1000000000),1000000000))+ROW()/100000,"")</f>
        <v/>
      </c>
    </row>
    <row r="2890">
      <c r="A2890">
        <f>IF($B2890="","",IFERROR(IF(INDEX('Per Invoice'!$A$2:$A$801,MATCH($B2890,'Per Invoice'!$B$2:$B$801,0))=0,"",INDEX('Per Invoice'!$A$2:$A$801,MATCH($B2890,'Per Invoice'!$B$2:$B$801,0))),""))</f>
        <v/>
      </c>
      <c r="J2890" s="7">
        <f>IF($B2890="","",I2890*Q2890/100)</f>
        <v/>
      </c>
      <c r="N2890" s="7" t="n"/>
      <c r="O2890" s="7" t="n"/>
      <c r="P2890" s="7">
        <f>IF($B2890="","",O2890*X2890/100)</f>
        <v/>
      </c>
      <c r="Q2890" s="7">
        <f>IF($B2890="","",O2890-P2890)</f>
        <v/>
      </c>
      <c r="R2890" s="7">
        <f>IF($B2890="","",Q2890-J2890)</f>
        <v/>
      </c>
      <c r="S2890" s="7" t="n"/>
      <c r="T2890" s="7" t="n"/>
      <c r="V2890" s="14" t="n"/>
      <c r="Z2890">
        <f>IF($B2890="","",IF(COUNTIF($B$2:$B2890,$B2890)=1,1,0))</f>
        <v/>
      </c>
      <c r="AA2890">
        <f>IF($Z2890=1,SUMPRODUCT(--($AC$2:$AC$3001&lt;$AC2890))+1,"")</f>
        <v/>
      </c>
      <c r="AB2890">
        <f>IF($B2890="","",IF(OR($Y2890=TRUE(),$Y2890="TRUE"),1,IF(AND($Y2890&lt;&gt;"",OR($Y2890=FALSE(),$Y2890="FALSE")),0,IF(MIN(ABS($X2890/100-Settings!$C$6),ABS($X2890/100-Settings!$G$6))&lt;=MIN(ABS($X2890/100-Settings!$C$7),ABS($X2890/100-Settings!$G$7)),1,0))))</f>
        <v/>
      </c>
      <c r="AC2890">
        <f>IF($Z2890=1,IFERROR(IF(VALUE($B2890)&lt;100000000,VALUE($B2890),1000000000),IFERROR(IF(VALUE(MID($B2890,2,20))&lt;100000000,VALUE(MID($B2890,2,20)),1000000000),1000000000))+ROW()/100000,"")</f>
        <v/>
      </c>
    </row>
    <row r="2891">
      <c r="A2891">
        <f>IF($B2891="","",IFERROR(IF(INDEX('Per Invoice'!$A$2:$A$801,MATCH($B2891,'Per Invoice'!$B$2:$B$801,0))=0,"",INDEX('Per Invoice'!$A$2:$A$801,MATCH($B2891,'Per Invoice'!$B$2:$B$801,0))),""))</f>
        <v/>
      </c>
      <c r="J2891" s="7">
        <f>IF($B2891="","",I2891*Q2891/100)</f>
        <v/>
      </c>
      <c r="N2891" s="7" t="n"/>
      <c r="O2891" s="7" t="n"/>
      <c r="P2891" s="7">
        <f>IF($B2891="","",O2891*X2891/100)</f>
        <v/>
      </c>
      <c r="Q2891" s="7">
        <f>IF($B2891="","",O2891-P2891)</f>
        <v/>
      </c>
      <c r="R2891" s="7">
        <f>IF($B2891="","",Q2891-J2891)</f>
        <v/>
      </c>
      <c r="S2891" s="7" t="n"/>
      <c r="T2891" s="7" t="n"/>
      <c r="V2891" s="14" t="n"/>
      <c r="Z2891">
        <f>IF($B2891="","",IF(COUNTIF($B$2:$B2891,$B2891)=1,1,0))</f>
        <v/>
      </c>
      <c r="AA2891">
        <f>IF($Z2891=1,SUMPRODUCT(--($AC$2:$AC$3001&lt;$AC2891))+1,"")</f>
        <v/>
      </c>
      <c r="AB2891">
        <f>IF($B2891="","",IF(OR($Y2891=TRUE(),$Y2891="TRUE"),1,IF(AND($Y2891&lt;&gt;"",OR($Y2891=FALSE(),$Y2891="FALSE")),0,IF(MIN(ABS($X2891/100-Settings!$C$6),ABS($X2891/100-Settings!$G$6))&lt;=MIN(ABS($X2891/100-Settings!$C$7),ABS($X2891/100-Settings!$G$7)),1,0))))</f>
        <v/>
      </c>
      <c r="AC2891">
        <f>IF($Z2891=1,IFERROR(IF(VALUE($B2891)&lt;100000000,VALUE($B2891),1000000000),IFERROR(IF(VALUE(MID($B2891,2,20))&lt;100000000,VALUE(MID($B2891,2,20)),1000000000),1000000000))+ROW()/100000,"")</f>
        <v/>
      </c>
    </row>
    <row r="2892">
      <c r="A2892">
        <f>IF($B2892="","",IFERROR(IF(INDEX('Per Invoice'!$A$2:$A$801,MATCH($B2892,'Per Invoice'!$B$2:$B$801,0))=0,"",INDEX('Per Invoice'!$A$2:$A$801,MATCH($B2892,'Per Invoice'!$B$2:$B$801,0))),""))</f>
        <v/>
      </c>
      <c r="J2892" s="7">
        <f>IF($B2892="","",I2892*Q2892/100)</f>
        <v/>
      </c>
      <c r="N2892" s="7" t="n"/>
      <c r="O2892" s="7" t="n"/>
      <c r="P2892" s="7">
        <f>IF($B2892="","",O2892*X2892/100)</f>
        <v/>
      </c>
      <c r="Q2892" s="7">
        <f>IF($B2892="","",O2892-P2892)</f>
        <v/>
      </c>
      <c r="R2892" s="7">
        <f>IF($B2892="","",Q2892-J2892)</f>
        <v/>
      </c>
      <c r="S2892" s="7" t="n"/>
      <c r="T2892" s="7" t="n"/>
      <c r="V2892" s="14" t="n"/>
      <c r="Z2892">
        <f>IF($B2892="","",IF(COUNTIF($B$2:$B2892,$B2892)=1,1,0))</f>
        <v/>
      </c>
      <c r="AA2892">
        <f>IF($Z2892=1,SUMPRODUCT(--($AC$2:$AC$3001&lt;$AC2892))+1,"")</f>
        <v/>
      </c>
      <c r="AB2892">
        <f>IF($B2892="","",IF(OR($Y2892=TRUE(),$Y2892="TRUE"),1,IF(AND($Y2892&lt;&gt;"",OR($Y2892=FALSE(),$Y2892="FALSE")),0,IF(MIN(ABS($X2892/100-Settings!$C$6),ABS($X2892/100-Settings!$G$6))&lt;=MIN(ABS($X2892/100-Settings!$C$7),ABS($X2892/100-Settings!$G$7)),1,0))))</f>
        <v/>
      </c>
      <c r="AC2892">
        <f>IF($Z2892=1,IFERROR(IF(VALUE($B2892)&lt;100000000,VALUE($B2892),1000000000),IFERROR(IF(VALUE(MID($B2892,2,20))&lt;100000000,VALUE(MID($B2892,2,20)),1000000000),1000000000))+ROW()/100000,"")</f>
        <v/>
      </c>
    </row>
    <row r="2893">
      <c r="A2893">
        <f>IF($B2893="","",IFERROR(IF(INDEX('Per Invoice'!$A$2:$A$801,MATCH($B2893,'Per Invoice'!$B$2:$B$801,0))=0,"",INDEX('Per Invoice'!$A$2:$A$801,MATCH($B2893,'Per Invoice'!$B$2:$B$801,0))),""))</f>
        <v/>
      </c>
      <c r="J2893" s="7">
        <f>IF($B2893="","",I2893*Q2893/100)</f>
        <v/>
      </c>
      <c r="N2893" s="7" t="n"/>
      <c r="O2893" s="7" t="n"/>
      <c r="P2893" s="7">
        <f>IF($B2893="","",O2893*X2893/100)</f>
        <v/>
      </c>
      <c r="Q2893" s="7">
        <f>IF($B2893="","",O2893-P2893)</f>
        <v/>
      </c>
      <c r="R2893" s="7">
        <f>IF($B2893="","",Q2893-J2893)</f>
        <v/>
      </c>
      <c r="S2893" s="7" t="n"/>
      <c r="T2893" s="7" t="n"/>
      <c r="V2893" s="14" t="n"/>
      <c r="Z2893">
        <f>IF($B2893="","",IF(COUNTIF($B$2:$B2893,$B2893)=1,1,0))</f>
        <v/>
      </c>
      <c r="AA2893">
        <f>IF($Z2893=1,SUMPRODUCT(--($AC$2:$AC$3001&lt;$AC2893))+1,"")</f>
        <v/>
      </c>
      <c r="AB2893">
        <f>IF($B2893="","",IF(OR($Y2893=TRUE(),$Y2893="TRUE"),1,IF(AND($Y2893&lt;&gt;"",OR($Y2893=FALSE(),$Y2893="FALSE")),0,IF(MIN(ABS($X2893/100-Settings!$C$6),ABS($X2893/100-Settings!$G$6))&lt;=MIN(ABS($X2893/100-Settings!$C$7),ABS($X2893/100-Settings!$G$7)),1,0))))</f>
        <v/>
      </c>
      <c r="AC2893">
        <f>IF($Z2893=1,IFERROR(IF(VALUE($B2893)&lt;100000000,VALUE($B2893),1000000000),IFERROR(IF(VALUE(MID($B2893,2,20))&lt;100000000,VALUE(MID($B2893,2,20)),1000000000),1000000000))+ROW()/100000,"")</f>
        <v/>
      </c>
    </row>
    <row r="2894">
      <c r="A2894">
        <f>IF($B2894="","",IFERROR(IF(INDEX('Per Invoice'!$A$2:$A$801,MATCH($B2894,'Per Invoice'!$B$2:$B$801,0))=0,"",INDEX('Per Invoice'!$A$2:$A$801,MATCH($B2894,'Per Invoice'!$B$2:$B$801,0))),""))</f>
        <v/>
      </c>
      <c r="J2894" s="7">
        <f>IF($B2894="","",I2894*Q2894/100)</f>
        <v/>
      </c>
      <c r="N2894" s="7" t="n"/>
      <c r="O2894" s="7" t="n"/>
      <c r="P2894" s="7">
        <f>IF($B2894="","",O2894*X2894/100)</f>
        <v/>
      </c>
      <c r="Q2894" s="7">
        <f>IF($B2894="","",O2894-P2894)</f>
        <v/>
      </c>
      <c r="R2894" s="7">
        <f>IF($B2894="","",Q2894-J2894)</f>
        <v/>
      </c>
      <c r="S2894" s="7" t="n"/>
      <c r="T2894" s="7" t="n"/>
      <c r="V2894" s="14" t="n"/>
      <c r="Z2894">
        <f>IF($B2894="","",IF(COUNTIF($B$2:$B2894,$B2894)=1,1,0))</f>
        <v/>
      </c>
      <c r="AA2894">
        <f>IF($Z2894=1,SUMPRODUCT(--($AC$2:$AC$3001&lt;$AC2894))+1,"")</f>
        <v/>
      </c>
      <c r="AB2894">
        <f>IF($B2894="","",IF(OR($Y2894=TRUE(),$Y2894="TRUE"),1,IF(AND($Y2894&lt;&gt;"",OR($Y2894=FALSE(),$Y2894="FALSE")),0,IF(MIN(ABS($X2894/100-Settings!$C$6),ABS($X2894/100-Settings!$G$6))&lt;=MIN(ABS($X2894/100-Settings!$C$7),ABS($X2894/100-Settings!$G$7)),1,0))))</f>
        <v/>
      </c>
      <c r="AC2894">
        <f>IF($Z2894=1,IFERROR(IF(VALUE($B2894)&lt;100000000,VALUE($B2894),1000000000),IFERROR(IF(VALUE(MID($B2894,2,20))&lt;100000000,VALUE(MID($B2894,2,20)),1000000000),1000000000))+ROW()/100000,"")</f>
        <v/>
      </c>
    </row>
    <row r="2895">
      <c r="A2895">
        <f>IF($B2895="","",IFERROR(IF(INDEX('Per Invoice'!$A$2:$A$801,MATCH($B2895,'Per Invoice'!$B$2:$B$801,0))=0,"",INDEX('Per Invoice'!$A$2:$A$801,MATCH($B2895,'Per Invoice'!$B$2:$B$801,0))),""))</f>
        <v/>
      </c>
      <c r="J2895" s="7">
        <f>IF($B2895="","",I2895*Q2895/100)</f>
        <v/>
      </c>
      <c r="N2895" s="7" t="n"/>
      <c r="O2895" s="7" t="n"/>
      <c r="P2895" s="7">
        <f>IF($B2895="","",O2895*X2895/100)</f>
        <v/>
      </c>
      <c r="Q2895" s="7">
        <f>IF($B2895="","",O2895-P2895)</f>
        <v/>
      </c>
      <c r="R2895" s="7">
        <f>IF($B2895="","",Q2895-J2895)</f>
        <v/>
      </c>
      <c r="S2895" s="7" t="n"/>
      <c r="T2895" s="7" t="n"/>
      <c r="V2895" s="14" t="n"/>
      <c r="Z2895">
        <f>IF($B2895="","",IF(COUNTIF($B$2:$B2895,$B2895)=1,1,0))</f>
        <v/>
      </c>
      <c r="AA2895">
        <f>IF($Z2895=1,SUMPRODUCT(--($AC$2:$AC$3001&lt;$AC2895))+1,"")</f>
        <v/>
      </c>
      <c r="AB2895">
        <f>IF($B2895="","",IF(OR($Y2895=TRUE(),$Y2895="TRUE"),1,IF(AND($Y2895&lt;&gt;"",OR($Y2895=FALSE(),$Y2895="FALSE")),0,IF(MIN(ABS($X2895/100-Settings!$C$6),ABS($X2895/100-Settings!$G$6))&lt;=MIN(ABS($X2895/100-Settings!$C$7),ABS($X2895/100-Settings!$G$7)),1,0))))</f>
        <v/>
      </c>
      <c r="AC2895">
        <f>IF($Z2895=1,IFERROR(IF(VALUE($B2895)&lt;100000000,VALUE($B2895),1000000000),IFERROR(IF(VALUE(MID($B2895,2,20))&lt;100000000,VALUE(MID($B2895,2,20)),1000000000),1000000000))+ROW()/100000,"")</f>
        <v/>
      </c>
    </row>
    <row r="2896">
      <c r="A2896">
        <f>IF($B2896="","",IFERROR(IF(INDEX('Per Invoice'!$A$2:$A$801,MATCH($B2896,'Per Invoice'!$B$2:$B$801,0))=0,"",INDEX('Per Invoice'!$A$2:$A$801,MATCH($B2896,'Per Invoice'!$B$2:$B$801,0))),""))</f>
        <v/>
      </c>
      <c r="J2896" s="7">
        <f>IF($B2896="","",I2896*Q2896/100)</f>
        <v/>
      </c>
      <c r="N2896" s="7" t="n"/>
      <c r="O2896" s="7" t="n"/>
      <c r="P2896" s="7">
        <f>IF($B2896="","",O2896*X2896/100)</f>
        <v/>
      </c>
      <c r="Q2896" s="7">
        <f>IF($B2896="","",O2896-P2896)</f>
        <v/>
      </c>
      <c r="R2896" s="7">
        <f>IF($B2896="","",Q2896-J2896)</f>
        <v/>
      </c>
      <c r="S2896" s="7" t="n"/>
      <c r="T2896" s="7" t="n"/>
      <c r="V2896" s="14" t="n"/>
      <c r="Z2896">
        <f>IF($B2896="","",IF(COUNTIF($B$2:$B2896,$B2896)=1,1,0))</f>
        <v/>
      </c>
      <c r="AA2896">
        <f>IF($Z2896=1,SUMPRODUCT(--($AC$2:$AC$3001&lt;$AC2896))+1,"")</f>
        <v/>
      </c>
      <c r="AB2896">
        <f>IF($B2896="","",IF(OR($Y2896=TRUE(),$Y2896="TRUE"),1,IF(AND($Y2896&lt;&gt;"",OR($Y2896=FALSE(),$Y2896="FALSE")),0,IF(MIN(ABS($X2896/100-Settings!$C$6),ABS($X2896/100-Settings!$G$6))&lt;=MIN(ABS($X2896/100-Settings!$C$7),ABS($X2896/100-Settings!$G$7)),1,0))))</f>
        <v/>
      </c>
      <c r="AC2896">
        <f>IF($Z2896=1,IFERROR(IF(VALUE($B2896)&lt;100000000,VALUE($B2896),1000000000),IFERROR(IF(VALUE(MID($B2896,2,20))&lt;100000000,VALUE(MID($B2896,2,20)),1000000000),1000000000))+ROW()/100000,"")</f>
        <v/>
      </c>
    </row>
    <row r="2897">
      <c r="A2897">
        <f>IF($B2897="","",IFERROR(IF(INDEX('Per Invoice'!$A$2:$A$801,MATCH($B2897,'Per Invoice'!$B$2:$B$801,0))=0,"",INDEX('Per Invoice'!$A$2:$A$801,MATCH($B2897,'Per Invoice'!$B$2:$B$801,0))),""))</f>
        <v/>
      </c>
      <c r="J2897" s="7">
        <f>IF($B2897="","",I2897*Q2897/100)</f>
        <v/>
      </c>
      <c r="N2897" s="7" t="n"/>
      <c r="O2897" s="7" t="n"/>
      <c r="P2897" s="7">
        <f>IF($B2897="","",O2897*X2897/100)</f>
        <v/>
      </c>
      <c r="Q2897" s="7">
        <f>IF($B2897="","",O2897-P2897)</f>
        <v/>
      </c>
      <c r="R2897" s="7">
        <f>IF($B2897="","",Q2897-J2897)</f>
        <v/>
      </c>
      <c r="S2897" s="7" t="n"/>
      <c r="T2897" s="7" t="n"/>
      <c r="V2897" s="14" t="n"/>
      <c r="Z2897">
        <f>IF($B2897="","",IF(COUNTIF($B$2:$B2897,$B2897)=1,1,0))</f>
        <v/>
      </c>
      <c r="AA2897">
        <f>IF($Z2897=1,SUMPRODUCT(--($AC$2:$AC$3001&lt;$AC2897))+1,"")</f>
        <v/>
      </c>
      <c r="AB2897">
        <f>IF($B2897="","",IF(OR($Y2897=TRUE(),$Y2897="TRUE"),1,IF(AND($Y2897&lt;&gt;"",OR($Y2897=FALSE(),$Y2897="FALSE")),0,IF(MIN(ABS($X2897/100-Settings!$C$6),ABS($X2897/100-Settings!$G$6))&lt;=MIN(ABS($X2897/100-Settings!$C$7),ABS($X2897/100-Settings!$G$7)),1,0))))</f>
        <v/>
      </c>
      <c r="AC2897">
        <f>IF($Z2897=1,IFERROR(IF(VALUE($B2897)&lt;100000000,VALUE($B2897),1000000000),IFERROR(IF(VALUE(MID($B2897,2,20))&lt;100000000,VALUE(MID($B2897,2,20)),1000000000),1000000000))+ROW()/100000,"")</f>
        <v/>
      </c>
    </row>
    <row r="2898">
      <c r="A2898">
        <f>IF($B2898="","",IFERROR(IF(INDEX('Per Invoice'!$A$2:$A$801,MATCH($B2898,'Per Invoice'!$B$2:$B$801,0))=0,"",INDEX('Per Invoice'!$A$2:$A$801,MATCH($B2898,'Per Invoice'!$B$2:$B$801,0))),""))</f>
        <v/>
      </c>
      <c r="J2898" s="7">
        <f>IF($B2898="","",I2898*Q2898/100)</f>
        <v/>
      </c>
      <c r="N2898" s="7" t="n"/>
      <c r="O2898" s="7" t="n"/>
      <c r="P2898" s="7">
        <f>IF($B2898="","",O2898*X2898/100)</f>
        <v/>
      </c>
      <c r="Q2898" s="7">
        <f>IF($B2898="","",O2898-P2898)</f>
        <v/>
      </c>
      <c r="R2898" s="7">
        <f>IF($B2898="","",Q2898-J2898)</f>
        <v/>
      </c>
      <c r="S2898" s="7" t="n"/>
      <c r="T2898" s="7" t="n"/>
      <c r="V2898" s="14" t="n"/>
      <c r="Z2898">
        <f>IF($B2898="","",IF(COUNTIF($B$2:$B2898,$B2898)=1,1,0))</f>
        <v/>
      </c>
      <c r="AA2898">
        <f>IF($Z2898=1,SUMPRODUCT(--($AC$2:$AC$3001&lt;$AC2898))+1,"")</f>
        <v/>
      </c>
      <c r="AB2898">
        <f>IF($B2898="","",IF(OR($Y2898=TRUE(),$Y2898="TRUE"),1,IF(AND($Y2898&lt;&gt;"",OR($Y2898=FALSE(),$Y2898="FALSE")),0,IF(MIN(ABS($X2898/100-Settings!$C$6),ABS($X2898/100-Settings!$G$6))&lt;=MIN(ABS($X2898/100-Settings!$C$7),ABS($X2898/100-Settings!$G$7)),1,0))))</f>
        <v/>
      </c>
      <c r="AC2898">
        <f>IF($Z2898=1,IFERROR(IF(VALUE($B2898)&lt;100000000,VALUE($B2898),1000000000),IFERROR(IF(VALUE(MID($B2898,2,20))&lt;100000000,VALUE(MID($B2898,2,20)),1000000000),1000000000))+ROW()/100000,"")</f>
        <v/>
      </c>
    </row>
    <row r="2899">
      <c r="A2899">
        <f>IF($B2899="","",IFERROR(IF(INDEX('Per Invoice'!$A$2:$A$801,MATCH($B2899,'Per Invoice'!$B$2:$B$801,0))=0,"",INDEX('Per Invoice'!$A$2:$A$801,MATCH($B2899,'Per Invoice'!$B$2:$B$801,0))),""))</f>
        <v/>
      </c>
      <c r="J2899" s="7">
        <f>IF($B2899="","",I2899*Q2899/100)</f>
        <v/>
      </c>
      <c r="N2899" s="7" t="n"/>
      <c r="O2899" s="7" t="n"/>
      <c r="P2899" s="7">
        <f>IF($B2899="","",O2899*X2899/100)</f>
        <v/>
      </c>
      <c r="Q2899" s="7">
        <f>IF($B2899="","",O2899-P2899)</f>
        <v/>
      </c>
      <c r="R2899" s="7">
        <f>IF($B2899="","",Q2899-J2899)</f>
        <v/>
      </c>
      <c r="S2899" s="7" t="n"/>
      <c r="T2899" s="7" t="n"/>
      <c r="V2899" s="14" t="n"/>
      <c r="Z2899">
        <f>IF($B2899="","",IF(COUNTIF($B$2:$B2899,$B2899)=1,1,0))</f>
        <v/>
      </c>
      <c r="AA2899">
        <f>IF($Z2899=1,SUMPRODUCT(--($AC$2:$AC$3001&lt;$AC2899))+1,"")</f>
        <v/>
      </c>
      <c r="AB2899">
        <f>IF($B2899="","",IF(OR($Y2899=TRUE(),$Y2899="TRUE"),1,IF(AND($Y2899&lt;&gt;"",OR($Y2899=FALSE(),$Y2899="FALSE")),0,IF(MIN(ABS($X2899/100-Settings!$C$6),ABS($X2899/100-Settings!$G$6))&lt;=MIN(ABS($X2899/100-Settings!$C$7),ABS($X2899/100-Settings!$G$7)),1,0))))</f>
        <v/>
      </c>
      <c r="AC2899">
        <f>IF($Z2899=1,IFERROR(IF(VALUE($B2899)&lt;100000000,VALUE($B2899),1000000000),IFERROR(IF(VALUE(MID($B2899,2,20))&lt;100000000,VALUE(MID($B2899,2,20)),1000000000),1000000000))+ROW()/100000,"")</f>
        <v/>
      </c>
    </row>
    <row r="2900">
      <c r="A2900">
        <f>IF($B2900="","",IFERROR(IF(INDEX('Per Invoice'!$A$2:$A$801,MATCH($B2900,'Per Invoice'!$B$2:$B$801,0))=0,"",INDEX('Per Invoice'!$A$2:$A$801,MATCH($B2900,'Per Invoice'!$B$2:$B$801,0))),""))</f>
        <v/>
      </c>
      <c r="J2900" s="7">
        <f>IF($B2900="","",I2900*Q2900/100)</f>
        <v/>
      </c>
      <c r="N2900" s="7" t="n"/>
      <c r="O2900" s="7" t="n"/>
      <c r="P2900" s="7">
        <f>IF($B2900="","",O2900*X2900/100)</f>
        <v/>
      </c>
      <c r="Q2900" s="7">
        <f>IF($B2900="","",O2900-P2900)</f>
        <v/>
      </c>
      <c r="R2900" s="7">
        <f>IF($B2900="","",Q2900-J2900)</f>
        <v/>
      </c>
      <c r="S2900" s="7" t="n"/>
      <c r="T2900" s="7" t="n"/>
      <c r="V2900" s="14" t="n"/>
      <c r="Z2900">
        <f>IF($B2900="","",IF(COUNTIF($B$2:$B2900,$B2900)=1,1,0))</f>
        <v/>
      </c>
      <c r="AA2900">
        <f>IF($Z2900=1,SUMPRODUCT(--($AC$2:$AC$3001&lt;$AC2900))+1,"")</f>
        <v/>
      </c>
      <c r="AB2900">
        <f>IF($B2900="","",IF(OR($Y2900=TRUE(),$Y2900="TRUE"),1,IF(AND($Y2900&lt;&gt;"",OR($Y2900=FALSE(),$Y2900="FALSE")),0,IF(MIN(ABS($X2900/100-Settings!$C$6),ABS($X2900/100-Settings!$G$6))&lt;=MIN(ABS($X2900/100-Settings!$C$7),ABS($X2900/100-Settings!$G$7)),1,0))))</f>
        <v/>
      </c>
      <c r="AC2900">
        <f>IF($Z2900=1,IFERROR(IF(VALUE($B2900)&lt;100000000,VALUE($B2900),1000000000),IFERROR(IF(VALUE(MID($B2900,2,20))&lt;100000000,VALUE(MID($B2900,2,20)),1000000000),1000000000))+ROW()/100000,"")</f>
        <v/>
      </c>
    </row>
    <row r="2901">
      <c r="A2901">
        <f>IF($B2901="","",IFERROR(IF(INDEX('Per Invoice'!$A$2:$A$801,MATCH($B2901,'Per Invoice'!$B$2:$B$801,0))=0,"",INDEX('Per Invoice'!$A$2:$A$801,MATCH($B2901,'Per Invoice'!$B$2:$B$801,0))),""))</f>
        <v/>
      </c>
      <c r="J2901" s="7">
        <f>IF($B2901="","",I2901*Q2901/100)</f>
        <v/>
      </c>
      <c r="N2901" s="7" t="n"/>
      <c r="O2901" s="7" t="n"/>
      <c r="P2901" s="7">
        <f>IF($B2901="","",O2901*X2901/100)</f>
        <v/>
      </c>
      <c r="Q2901" s="7">
        <f>IF($B2901="","",O2901-P2901)</f>
        <v/>
      </c>
      <c r="R2901" s="7">
        <f>IF($B2901="","",Q2901-J2901)</f>
        <v/>
      </c>
      <c r="S2901" s="7" t="n"/>
      <c r="T2901" s="7" t="n"/>
      <c r="V2901" s="14" t="n"/>
      <c r="Z2901">
        <f>IF($B2901="","",IF(COUNTIF($B$2:$B2901,$B2901)=1,1,0))</f>
        <v/>
      </c>
      <c r="AA2901">
        <f>IF($Z2901=1,SUMPRODUCT(--($AC$2:$AC$3001&lt;$AC2901))+1,"")</f>
        <v/>
      </c>
      <c r="AB2901">
        <f>IF($B2901="","",IF(OR($Y2901=TRUE(),$Y2901="TRUE"),1,IF(AND($Y2901&lt;&gt;"",OR($Y2901=FALSE(),$Y2901="FALSE")),0,IF(MIN(ABS($X2901/100-Settings!$C$6),ABS($X2901/100-Settings!$G$6))&lt;=MIN(ABS($X2901/100-Settings!$C$7),ABS($X2901/100-Settings!$G$7)),1,0))))</f>
        <v/>
      </c>
      <c r="AC2901">
        <f>IF($Z2901=1,IFERROR(IF(VALUE($B2901)&lt;100000000,VALUE($B2901),1000000000),IFERROR(IF(VALUE(MID($B2901,2,20))&lt;100000000,VALUE(MID($B2901,2,20)),1000000000),1000000000))+ROW()/100000,"")</f>
        <v/>
      </c>
    </row>
    <row r="2902">
      <c r="A2902">
        <f>IF($B2902="","",IFERROR(IF(INDEX('Per Invoice'!$A$2:$A$801,MATCH($B2902,'Per Invoice'!$B$2:$B$801,0))=0,"",INDEX('Per Invoice'!$A$2:$A$801,MATCH($B2902,'Per Invoice'!$B$2:$B$801,0))),""))</f>
        <v/>
      </c>
      <c r="J2902" s="7">
        <f>IF($B2902="","",I2902*Q2902/100)</f>
        <v/>
      </c>
      <c r="N2902" s="7" t="n"/>
      <c r="O2902" s="7" t="n"/>
      <c r="P2902" s="7">
        <f>IF($B2902="","",O2902*X2902/100)</f>
        <v/>
      </c>
      <c r="Q2902" s="7">
        <f>IF($B2902="","",O2902-P2902)</f>
        <v/>
      </c>
      <c r="R2902" s="7">
        <f>IF($B2902="","",Q2902-J2902)</f>
        <v/>
      </c>
      <c r="S2902" s="7" t="n"/>
      <c r="T2902" s="7" t="n"/>
      <c r="V2902" s="14" t="n"/>
      <c r="Z2902">
        <f>IF($B2902="","",IF(COUNTIF($B$2:$B2902,$B2902)=1,1,0))</f>
        <v/>
      </c>
      <c r="AA2902">
        <f>IF($Z2902=1,SUMPRODUCT(--($AC$2:$AC$3001&lt;$AC2902))+1,"")</f>
        <v/>
      </c>
      <c r="AB2902">
        <f>IF($B2902="","",IF(OR($Y2902=TRUE(),$Y2902="TRUE"),1,IF(AND($Y2902&lt;&gt;"",OR($Y2902=FALSE(),$Y2902="FALSE")),0,IF(MIN(ABS($X2902/100-Settings!$C$6),ABS($X2902/100-Settings!$G$6))&lt;=MIN(ABS($X2902/100-Settings!$C$7),ABS($X2902/100-Settings!$G$7)),1,0))))</f>
        <v/>
      </c>
      <c r="AC2902">
        <f>IF($Z2902=1,IFERROR(IF(VALUE($B2902)&lt;100000000,VALUE($B2902),1000000000),IFERROR(IF(VALUE(MID($B2902,2,20))&lt;100000000,VALUE(MID($B2902,2,20)),1000000000),1000000000))+ROW()/100000,"")</f>
        <v/>
      </c>
    </row>
    <row r="2903">
      <c r="A2903">
        <f>IF($B2903="","",IFERROR(IF(INDEX('Per Invoice'!$A$2:$A$801,MATCH($B2903,'Per Invoice'!$B$2:$B$801,0))=0,"",INDEX('Per Invoice'!$A$2:$A$801,MATCH($B2903,'Per Invoice'!$B$2:$B$801,0))),""))</f>
        <v/>
      </c>
      <c r="J2903" s="7">
        <f>IF($B2903="","",I2903*Q2903/100)</f>
        <v/>
      </c>
      <c r="N2903" s="7" t="n"/>
      <c r="O2903" s="7" t="n"/>
      <c r="P2903" s="7">
        <f>IF($B2903="","",O2903*X2903/100)</f>
        <v/>
      </c>
      <c r="Q2903" s="7">
        <f>IF($B2903="","",O2903-P2903)</f>
        <v/>
      </c>
      <c r="R2903" s="7">
        <f>IF($B2903="","",Q2903-J2903)</f>
        <v/>
      </c>
      <c r="S2903" s="7" t="n"/>
      <c r="T2903" s="7" t="n"/>
      <c r="V2903" s="14" t="n"/>
      <c r="Z2903">
        <f>IF($B2903="","",IF(COUNTIF($B$2:$B2903,$B2903)=1,1,0))</f>
        <v/>
      </c>
      <c r="AA2903">
        <f>IF($Z2903=1,SUMPRODUCT(--($AC$2:$AC$3001&lt;$AC2903))+1,"")</f>
        <v/>
      </c>
      <c r="AB2903">
        <f>IF($B2903="","",IF(OR($Y2903=TRUE(),$Y2903="TRUE"),1,IF(AND($Y2903&lt;&gt;"",OR($Y2903=FALSE(),$Y2903="FALSE")),0,IF(MIN(ABS($X2903/100-Settings!$C$6),ABS($X2903/100-Settings!$G$6))&lt;=MIN(ABS($X2903/100-Settings!$C$7),ABS($X2903/100-Settings!$G$7)),1,0))))</f>
        <v/>
      </c>
      <c r="AC2903">
        <f>IF($Z2903=1,IFERROR(IF(VALUE($B2903)&lt;100000000,VALUE($B2903),1000000000),IFERROR(IF(VALUE(MID($B2903,2,20))&lt;100000000,VALUE(MID($B2903,2,20)),1000000000),1000000000))+ROW()/100000,"")</f>
        <v/>
      </c>
    </row>
    <row r="2904">
      <c r="A2904">
        <f>IF($B2904="","",IFERROR(IF(INDEX('Per Invoice'!$A$2:$A$801,MATCH($B2904,'Per Invoice'!$B$2:$B$801,0))=0,"",INDEX('Per Invoice'!$A$2:$A$801,MATCH($B2904,'Per Invoice'!$B$2:$B$801,0))),""))</f>
        <v/>
      </c>
      <c r="J2904" s="7">
        <f>IF($B2904="","",I2904*Q2904/100)</f>
        <v/>
      </c>
      <c r="N2904" s="7" t="n"/>
      <c r="O2904" s="7" t="n"/>
      <c r="P2904" s="7">
        <f>IF($B2904="","",O2904*X2904/100)</f>
        <v/>
      </c>
      <c r="Q2904" s="7">
        <f>IF($B2904="","",O2904-P2904)</f>
        <v/>
      </c>
      <c r="R2904" s="7">
        <f>IF($B2904="","",Q2904-J2904)</f>
        <v/>
      </c>
      <c r="S2904" s="7" t="n"/>
      <c r="T2904" s="7" t="n"/>
      <c r="V2904" s="14" t="n"/>
      <c r="Z2904">
        <f>IF($B2904="","",IF(COUNTIF($B$2:$B2904,$B2904)=1,1,0))</f>
        <v/>
      </c>
      <c r="AA2904">
        <f>IF($Z2904=1,SUMPRODUCT(--($AC$2:$AC$3001&lt;$AC2904))+1,"")</f>
        <v/>
      </c>
      <c r="AB2904">
        <f>IF($B2904="","",IF(OR($Y2904=TRUE(),$Y2904="TRUE"),1,IF(AND($Y2904&lt;&gt;"",OR($Y2904=FALSE(),$Y2904="FALSE")),0,IF(MIN(ABS($X2904/100-Settings!$C$6),ABS($X2904/100-Settings!$G$6))&lt;=MIN(ABS($X2904/100-Settings!$C$7),ABS($X2904/100-Settings!$G$7)),1,0))))</f>
        <v/>
      </c>
      <c r="AC2904">
        <f>IF($Z2904=1,IFERROR(IF(VALUE($B2904)&lt;100000000,VALUE($B2904),1000000000),IFERROR(IF(VALUE(MID($B2904,2,20))&lt;100000000,VALUE(MID($B2904,2,20)),1000000000),1000000000))+ROW()/100000,"")</f>
        <v/>
      </c>
    </row>
    <row r="2905">
      <c r="A2905">
        <f>IF($B2905="","",IFERROR(IF(INDEX('Per Invoice'!$A$2:$A$801,MATCH($B2905,'Per Invoice'!$B$2:$B$801,0))=0,"",INDEX('Per Invoice'!$A$2:$A$801,MATCH($B2905,'Per Invoice'!$B$2:$B$801,0))),""))</f>
        <v/>
      </c>
      <c r="J2905" s="7">
        <f>IF($B2905="","",I2905*Q2905/100)</f>
        <v/>
      </c>
      <c r="N2905" s="7" t="n"/>
      <c r="O2905" s="7" t="n"/>
      <c r="P2905" s="7">
        <f>IF($B2905="","",O2905*X2905/100)</f>
        <v/>
      </c>
      <c r="Q2905" s="7">
        <f>IF($B2905="","",O2905-P2905)</f>
        <v/>
      </c>
      <c r="R2905" s="7">
        <f>IF($B2905="","",Q2905-J2905)</f>
        <v/>
      </c>
      <c r="S2905" s="7" t="n"/>
      <c r="T2905" s="7" t="n"/>
      <c r="V2905" s="14" t="n"/>
      <c r="Z2905">
        <f>IF($B2905="","",IF(COUNTIF($B$2:$B2905,$B2905)=1,1,0))</f>
        <v/>
      </c>
      <c r="AA2905">
        <f>IF($Z2905=1,SUMPRODUCT(--($AC$2:$AC$3001&lt;$AC2905))+1,"")</f>
        <v/>
      </c>
      <c r="AB2905">
        <f>IF($B2905="","",IF(OR($Y2905=TRUE(),$Y2905="TRUE"),1,IF(AND($Y2905&lt;&gt;"",OR($Y2905=FALSE(),$Y2905="FALSE")),0,IF(MIN(ABS($X2905/100-Settings!$C$6),ABS($X2905/100-Settings!$G$6))&lt;=MIN(ABS($X2905/100-Settings!$C$7),ABS($X2905/100-Settings!$G$7)),1,0))))</f>
        <v/>
      </c>
      <c r="AC2905">
        <f>IF($Z2905=1,IFERROR(IF(VALUE($B2905)&lt;100000000,VALUE($B2905),1000000000),IFERROR(IF(VALUE(MID($B2905,2,20))&lt;100000000,VALUE(MID($B2905,2,20)),1000000000),1000000000))+ROW()/100000,"")</f>
        <v/>
      </c>
    </row>
    <row r="2906">
      <c r="A2906">
        <f>IF($B2906="","",IFERROR(IF(INDEX('Per Invoice'!$A$2:$A$801,MATCH($B2906,'Per Invoice'!$B$2:$B$801,0))=0,"",INDEX('Per Invoice'!$A$2:$A$801,MATCH($B2906,'Per Invoice'!$B$2:$B$801,0))),""))</f>
        <v/>
      </c>
      <c r="J2906" s="7">
        <f>IF($B2906="","",I2906*Q2906/100)</f>
        <v/>
      </c>
      <c r="N2906" s="7" t="n"/>
      <c r="O2906" s="7" t="n"/>
      <c r="P2906" s="7">
        <f>IF($B2906="","",O2906*X2906/100)</f>
        <v/>
      </c>
      <c r="Q2906" s="7">
        <f>IF($B2906="","",O2906-P2906)</f>
        <v/>
      </c>
      <c r="R2906" s="7">
        <f>IF($B2906="","",Q2906-J2906)</f>
        <v/>
      </c>
      <c r="S2906" s="7" t="n"/>
      <c r="T2906" s="7" t="n"/>
      <c r="V2906" s="14" t="n"/>
      <c r="Z2906">
        <f>IF($B2906="","",IF(COUNTIF($B$2:$B2906,$B2906)=1,1,0))</f>
        <v/>
      </c>
      <c r="AA2906">
        <f>IF($Z2906=1,SUMPRODUCT(--($AC$2:$AC$3001&lt;$AC2906))+1,"")</f>
        <v/>
      </c>
      <c r="AB2906">
        <f>IF($B2906="","",IF(OR($Y2906=TRUE(),$Y2906="TRUE"),1,IF(AND($Y2906&lt;&gt;"",OR($Y2906=FALSE(),$Y2906="FALSE")),0,IF(MIN(ABS($X2906/100-Settings!$C$6),ABS($X2906/100-Settings!$G$6))&lt;=MIN(ABS($X2906/100-Settings!$C$7),ABS($X2906/100-Settings!$G$7)),1,0))))</f>
        <v/>
      </c>
      <c r="AC2906">
        <f>IF($Z2906=1,IFERROR(IF(VALUE($B2906)&lt;100000000,VALUE($B2906),1000000000),IFERROR(IF(VALUE(MID($B2906,2,20))&lt;100000000,VALUE(MID($B2906,2,20)),1000000000),1000000000))+ROW()/100000,"")</f>
        <v/>
      </c>
    </row>
    <row r="2907">
      <c r="A2907">
        <f>IF($B2907="","",IFERROR(IF(INDEX('Per Invoice'!$A$2:$A$801,MATCH($B2907,'Per Invoice'!$B$2:$B$801,0))=0,"",INDEX('Per Invoice'!$A$2:$A$801,MATCH($B2907,'Per Invoice'!$B$2:$B$801,0))),""))</f>
        <v/>
      </c>
      <c r="J2907" s="7">
        <f>IF($B2907="","",I2907*Q2907/100)</f>
        <v/>
      </c>
      <c r="N2907" s="7" t="n"/>
      <c r="O2907" s="7" t="n"/>
      <c r="P2907" s="7">
        <f>IF($B2907="","",O2907*X2907/100)</f>
        <v/>
      </c>
      <c r="Q2907" s="7">
        <f>IF($B2907="","",O2907-P2907)</f>
        <v/>
      </c>
      <c r="R2907" s="7">
        <f>IF($B2907="","",Q2907-J2907)</f>
        <v/>
      </c>
      <c r="S2907" s="7" t="n"/>
      <c r="T2907" s="7" t="n"/>
      <c r="V2907" s="14" t="n"/>
      <c r="Z2907">
        <f>IF($B2907="","",IF(COUNTIF($B$2:$B2907,$B2907)=1,1,0))</f>
        <v/>
      </c>
      <c r="AA2907">
        <f>IF($Z2907=1,SUMPRODUCT(--($AC$2:$AC$3001&lt;$AC2907))+1,"")</f>
        <v/>
      </c>
      <c r="AB2907">
        <f>IF($B2907="","",IF(OR($Y2907=TRUE(),$Y2907="TRUE"),1,IF(AND($Y2907&lt;&gt;"",OR($Y2907=FALSE(),$Y2907="FALSE")),0,IF(MIN(ABS($X2907/100-Settings!$C$6),ABS($X2907/100-Settings!$G$6))&lt;=MIN(ABS($X2907/100-Settings!$C$7),ABS($X2907/100-Settings!$G$7)),1,0))))</f>
        <v/>
      </c>
      <c r="AC2907">
        <f>IF($Z2907=1,IFERROR(IF(VALUE($B2907)&lt;100000000,VALUE($B2907),1000000000),IFERROR(IF(VALUE(MID($B2907,2,20))&lt;100000000,VALUE(MID($B2907,2,20)),1000000000),1000000000))+ROW()/100000,"")</f>
        <v/>
      </c>
    </row>
    <row r="2908">
      <c r="A2908">
        <f>IF($B2908="","",IFERROR(IF(INDEX('Per Invoice'!$A$2:$A$801,MATCH($B2908,'Per Invoice'!$B$2:$B$801,0))=0,"",INDEX('Per Invoice'!$A$2:$A$801,MATCH($B2908,'Per Invoice'!$B$2:$B$801,0))),""))</f>
        <v/>
      </c>
      <c r="J2908" s="7">
        <f>IF($B2908="","",I2908*Q2908/100)</f>
        <v/>
      </c>
      <c r="N2908" s="7" t="n"/>
      <c r="O2908" s="7" t="n"/>
      <c r="P2908" s="7">
        <f>IF($B2908="","",O2908*X2908/100)</f>
        <v/>
      </c>
      <c r="Q2908" s="7">
        <f>IF($B2908="","",O2908-P2908)</f>
        <v/>
      </c>
      <c r="R2908" s="7">
        <f>IF($B2908="","",Q2908-J2908)</f>
        <v/>
      </c>
      <c r="S2908" s="7" t="n"/>
      <c r="T2908" s="7" t="n"/>
      <c r="V2908" s="14" t="n"/>
      <c r="Z2908">
        <f>IF($B2908="","",IF(COUNTIF($B$2:$B2908,$B2908)=1,1,0))</f>
        <v/>
      </c>
      <c r="AA2908">
        <f>IF($Z2908=1,SUMPRODUCT(--($AC$2:$AC$3001&lt;$AC2908))+1,"")</f>
        <v/>
      </c>
      <c r="AB2908">
        <f>IF($B2908="","",IF(OR($Y2908=TRUE(),$Y2908="TRUE"),1,IF(AND($Y2908&lt;&gt;"",OR($Y2908=FALSE(),$Y2908="FALSE")),0,IF(MIN(ABS($X2908/100-Settings!$C$6),ABS($X2908/100-Settings!$G$6))&lt;=MIN(ABS($X2908/100-Settings!$C$7),ABS($X2908/100-Settings!$G$7)),1,0))))</f>
        <v/>
      </c>
      <c r="AC2908">
        <f>IF($Z2908=1,IFERROR(IF(VALUE($B2908)&lt;100000000,VALUE($B2908),1000000000),IFERROR(IF(VALUE(MID($B2908,2,20))&lt;100000000,VALUE(MID($B2908,2,20)),1000000000),1000000000))+ROW()/100000,"")</f>
        <v/>
      </c>
    </row>
    <row r="2909">
      <c r="A2909">
        <f>IF($B2909="","",IFERROR(IF(INDEX('Per Invoice'!$A$2:$A$801,MATCH($B2909,'Per Invoice'!$B$2:$B$801,0))=0,"",INDEX('Per Invoice'!$A$2:$A$801,MATCH($B2909,'Per Invoice'!$B$2:$B$801,0))),""))</f>
        <v/>
      </c>
      <c r="J2909" s="7">
        <f>IF($B2909="","",I2909*Q2909/100)</f>
        <v/>
      </c>
      <c r="N2909" s="7" t="n"/>
      <c r="O2909" s="7" t="n"/>
      <c r="P2909" s="7">
        <f>IF($B2909="","",O2909*X2909/100)</f>
        <v/>
      </c>
      <c r="Q2909" s="7">
        <f>IF($B2909="","",O2909-P2909)</f>
        <v/>
      </c>
      <c r="R2909" s="7">
        <f>IF($B2909="","",Q2909-J2909)</f>
        <v/>
      </c>
      <c r="S2909" s="7" t="n"/>
      <c r="T2909" s="7" t="n"/>
      <c r="V2909" s="14" t="n"/>
      <c r="Z2909">
        <f>IF($B2909="","",IF(COUNTIF($B$2:$B2909,$B2909)=1,1,0))</f>
        <v/>
      </c>
      <c r="AA2909">
        <f>IF($Z2909=1,SUMPRODUCT(--($AC$2:$AC$3001&lt;$AC2909))+1,"")</f>
        <v/>
      </c>
      <c r="AB2909">
        <f>IF($B2909="","",IF(OR($Y2909=TRUE(),$Y2909="TRUE"),1,IF(AND($Y2909&lt;&gt;"",OR($Y2909=FALSE(),$Y2909="FALSE")),0,IF(MIN(ABS($X2909/100-Settings!$C$6),ABS($X2909/100-Settings!$G$6))&lt;=MIN(ABS($X2909/100-Settings!$C$7),ABS($X2909/100-Settings!$G$7)),1,0))))</f>
        <v/>
      </c>
      <c r="AC2909">
        <f>IF($Z2909=1,IFERROR(IF(VALUE($B2909)&lt;100000000,VALUE($B2909),1000000000),IFERROR(IF(VALUE(MID($B2909,2,20))&lt;100000000,VALUE(MID($B2909,2,20)),1000000000),1000000000))+ROW()/100000,"")</f>
        <v/>
      </c>
    </row>
    <row r="2910">
      <c r="A2910">
        <f>IF($B2910="","",IFERROR(IF(INDEX('Per Invoice'!$A$2:$A$801,MATCH($B2910,'Per Invoice'!$B$2:$B$801,0))=0,"",INDEX('Per Invoice'!$A$2:$A$801,MATCH($B2910,'Per Invoice'!$B$2:$B$801,0))),""))</f>
        <v/>
      </c>
      <c r="J2910" s="7">
        <f>IF($B2910="","",I2910*Q2910/100)</f>
        <v/>
      </c>
      <c r="N2910" s="7" t="n"/>
      <c r="O2910" s="7" t="n"/>
      <c r="P2910" s="7">
        <f>IF($B2910="","",O2910*X2910/100)</f>
        <v/>
      </c>
      <c r="Q2910" s="7">
        <f>IF($B2910="","",O2910-P2910)</f>
        <v/>
      </c>
      <c r="R2910" s="7">
        <f>IF($B2910="","",Q2910-J2910)</f>
        <v/>
      </c>
      <c r="S2910" s="7" t="n"/>
      <c r="T2910" s="7" t="n"/>
      <c r="V2910" s="14" t="n"/>
      <c r="Z2910">
        <f>IF($B2910="","",IF(COUNTIF($B$2:$B2910,$B2910)=1,1,0))</f>
        <v/>
      </c>
      <c r="AA2910">
        <f>IF($Z2910=1,SUMPRODUCT(--($AC$2:$AC$3001&lt;$AC2910))+1,"")</f>
        <v/>
      </c>
      <c r="AB2910">
        <f>IF($B2910="","",IF(OR($Y2910=TRUE(),$Y2910="TRUE"),1,IF(AND($Y2910&lt;&gt;"",OR($Y2910=FALSE(),$Y2910="FALSE")),0,IF(MIN(ABS($X2910/100-Settings!$C$6),ABS($X2910/100-Settings!$G$6))&lt;=MIN(ABS($X2910/100-Settings!$C$7),ABS($X2910/100-Settings!$G$7)),1,0))))</f>
        <v/>
      </c>
      <c r="AC2910">
        <f>IF($Z2910=1,IFERROR(IF(VALUE($B2910)&lt;100000000,VALUE($B2910),1000000000),IFERROR(IF(VALUE(MID($B2910,2,20))&lt;100000000,VALUE(MID($B2910,2,20)),1000000000),1000000000))+ROW()/100000,"")</f>
        <v/>
      </c>
    </row>
    <row r="2911">
      <c r="A2911">
        <f>IF($B2911="","",IFERROR(IF(INDEX('Per Invoice'!$A$2:$A$801,MATCH($B2911,'Per Invoice'!$B$2:$B$801,0))=0,"",INDEX('Per Invoice'!$A$2:$A$801,MATCH($B2911,'Per Invoice'!$B$2:$B$801,0))),""))</f>
        <v/>
      </c>
      <c r="J2911" s="7">
        <f>IF($B2911="","",I2911*Q2911/100)</f>
        <v/>
      </c>
      <c r="N2911" s="7" t="n"/>
      <c r="O2911" s="7" t="n"/>
      <c r="P2911" s="7">
        <f>IF($B2911="","",O2911*X2911/100)</f>
        <v/>
      </c>
      <c r="Q2911" s="7">
        <f>IF($B2911="","",O2911-P2911)</f>
        <v/>
      </c>
      <c r="R2911" s="7">
        <f>IF($B2911="","",Q2911-J2911)</f>
        <v/>
      </c>
      <c r="S2911" s="7" t="n"/>
      <c r="T2911" s="7" t="n"/>
      <c r="V2911" s="14" t="n"/>
      <c r="Z2911">
        <f>IF($B2911="","",IF(COUNTIF($B$2:$B2911,$B2911)=1,1,0))</f>
        <v/>
      </c>
      <c r="AA2911">
        <f>IF($Z2911=1,SUMPRODUCT(--($AC$2:$AC$3001&lt;$AC2911))+1,"")</f>
        <v/>
      </c>
      <c r="AB2911">
        <f>IF($B2911="","",IF(OR($Y2911=TRUE(),$Y2911="TRUE"),1,IF(AND($Y2911&lt;&gt;"",OR($Y2911=FALSE(),$Y2911="FALSE")),0,IF(MIN(ABS($X2911/100-Settings!$C$6),ABS($X2911/100-Settings!$G$6))&lt;=MIN(ABS($X2911/100-Settings!$C$7),ABS($X2911/100-Settings!$G$7)),1,0))))</f>
        <v/>
      </c>
      <c r="AC2911">
        <f>IF($Z2911=1,IFERROR(IF(VALUE($B2911)&lt;100000000,VALUE($B2911),1000000000),IFERROR(IF(VALUE(MID($B2911,2,20))&lt;100000000,VALUE(MID($B2911,2,20)),1000000000),1000000000))+ROW()/100000,"")</f>
        <v/>
      </c>
    </row>
    <row r="2912">
      <c r="A2912">
        <f>IF($B2912="","",IFERROR(IF(INDEX('Per Invoice'!$A$2:$A$801,MATCH($B2912,'Per Invoice'!$B$2:$B$801,0))=0,"",INDEX('Per Invoice'!$A$2:$A$801,MATCH($B2912,'Per Invoice'!$B$2:$B$801,0))),""))</f>
        <v/>
      </c>
      <c r="J2912" s="7">
        <f>IF($B2912="","",I2912*Q2912/100)</f>
        <v/>
      </c>
      <c r="N2912" s="7" t="n"/>
      <c r="O2912" s="7" t="n"/>
      <c r="P2912" s="7">
        <f>IF($B2912="","",O2912*X2912/100)</f>
        <v/>
      </c>
      <c r="Q2912" s="7">
        <f>IF($B2912="","",O2912-P2912)</f>
        <v/>
      </c>
      <c r="R2912" s="7">
        <f>IF($B2912="","",Q2912-J2912)</f>
        <v/>
      </c>
      <c r="S2912" s="7" t="n"/>
      <c r="T2912" s="7" t="n"/>
      <c r="V2912" s="14" t="n"/>
      <c r="Z2912">
        <f>IF($B2912="","",IF(COUNTIF($B$2:$B2912,$B2912)=1,1,0))</f>
        <v/>
      </c>
      <c r="AA2912">
        <f>IF($Z2912=1,SUMPRODUCT(--($AC$2:$AC$3001&lt;$AC2912))+1,"")</f>
        <v/>
      </c>
      <c r="AB2912">
        <f>IF($B2912="","",IF(OR($Y2912=TRUE(),$Y2912="TRUE"),1,IF(AND($Y2912&lt;&gt;"",OR($Y2912=FALSE(),$Y2912="FALSE")),0,IF(MIN(ABS($X2912/100-Settings!$C$6),ABS($X2912/100-Settings!$G$6))&lt;=MIN(ABS($X2912/100-Settings!$C$7),ABS($X2912/100-Settings!$G$7)),1,0))))</f>
        <v/>
      </c>
      <c r="AC2912">
        <f>IF($Z2912=1,IFERROR(IF(VALUE($B2912)&lt;100000000,VALUE($B2912),1000000000),IFERROR(IF(VALUE(MID($B2912,2,20))&lt;100000000,VALUE(MID($B2912,2,20)),1000000000),1000000000))+ROW()/100000,"")</f>
        <v/>
      </c>
    </row>
    <row r="2913">
      <c r="A2913">
        <f>IF($B2913="","",IFERROR(IF(INDEX('Per Invoice'!$A$2:$A$801,MATCH($B2913,'Per Invoice'!$B$2:$B$801,0))=0,"",INDEX('Per Invoice'!$A$2:$A$801,MATCH($B2913,'Per Invoice'!$B$2:$B$801,0))),""))</f>
        <v/>
      </c>
      <c r="J2913" s="7">
        <f>IF($B2913="","",I2913*Q2913/100)</f>
        <v/>
      </c>
      <c r="N2913" s="7" t="n"/>
      <c r="O2913" s="7" t="n"/>
      <c r="P2913" s="7">
        <f>IF($B2913="","",O2913*X2913/100)</f>
        <v/>
      </c>
      <c r="Q2913" s="7">
        <f>IF($B2913="","",O2913-P2913)</f>
        <v/>
      </c>
      <c r="R2913" s="7">
        <f>IF($B2913="","",Q2913-J2913)</f>
        <v/>
      </c>
      <c r="S2913" s="7" t="n"/>
      <c r="T2913" s="7" t="n"/>
      <c r="V2913" s="14" t="n"/>
      <c r="Z2913">
        <f>IF($B2913="","",IF(COUNTIF($B$2:$B2913,$B2913)=1,1,0))</f>
        <v/>
      </c>
      <c r="AA2913">
        <f>IF($Z2913=1,SUMPRODUCT(--($AC$2:$AC$3001&lt;$AC2913))+1,"")</f>
        <v/>
      </c>
      <c r="AB2913">
        <f>IF($B2913="","",IF(OR($Y2913=TRUE(),$Y2913="TRUE"),1,IF(AND($Y2913&lt;&gt;"",OR($Y2913=FALSE(),$Y2913="FALSE")),0,IF(MIN(ABS($X2913/100-Settings!$C$6),ABS($X2913/100-Settings!$G$6))&lt;=MIN(ABS($X2913/100-Settings!$C$7),ABS($X2913/100-Settings!$G$7)),1,0))))</f>
        <v/>
      </c>
      <c r="AC2913">
        <f>IF($Z2913=1,IFERROR(IF(VALUE($B2913)&lt;100000000,VALUE($B2913),1000000000),IFERROR(IF(VALUE(MID($B2913,2,20))&lt;100000000,VALUE(MID($B2913,2,20)),1000000000),1000000000))+ROW()/100000,"")</f>
        <v/>
      </c>
    </row>
    <row r="2914">
      <c r="A2914">
        <f>IF($B2914="","",IFERROR(IF(INDEX('Per Invoice'!$A$2:$A$801,MATCH($B2914,'Per Invoice'!$B$2:$B$801,0))=0,"",INDEX('Per Invoice'!$A$2:$A$801,MATCH($B2914,'Per Invoice'!$B$2:$B$801,0))),""))</f>
        <v/>
      </c>
      <c r="J2914" s="7">
        <f>IF($B2914="","",I2914*Q2914/100)</f>
        <v/>
      </c>
      <c r="N2914" s="7" t="n"/>
      <c r="O2914" s="7" t="n"/>
      <c r="P2914" s="7">
        <f>IF($B2914="","",O2914*X2914/100)</f>
        <v/>
      </c>
      <c r="Q2914" s="7">
        <f>IF($B2914="","",O2914-P2914)</f>
        <v/>
      </c>
      <c r="R2914" s="7">
        <f>IF($B2914="","",Q2914-J2914)</f>
        <v/>
      </c>
      <c r="S2914" s="7" t="n"/>
      <c r="T2914" s="7" t="n"/>
      <c r="V2914" s="14" t="n"/>
      <c r="Z2914">
        <f>IF($B2914="","",IF(COUNTIF($B$2:$B2914,$B2914)=1,1,0))</f>
        <v/>
      </c>
      <c r="AA2914">
        <f>IF($Z2914=1,SUMPRODUCT(--($AC$2:$AC$3001&lt;$AC2914))+1,"")</f>
        <v/>
      </c>
      <c r="AB2914">
        <f>IF($B2914="","",IF(OR($Y2914=TRUE(),$Y2914="TRUE"),1,IF(AND($Y2914&lt;&gt;"",OR($Y2914=FALSE(),$Y2914="FALSE")),0,IF(MIN(ABS($X2914/100-Settings!$C$6),ABS($X2914/100-Settings!$G$6))&lt;=MIN(ABS($X2914/100-Settings!$C$7),ABS($X2914/100-Settings!$G$7)),1,0))))</f>
        <v/>
      </c>
      <c r="AC2914">
        <f>IF($Z2914=1,IFERROR(IF(VALUE($B2914)&lt;100000000,VALUE($B2914),1000000000),IFERROR(IF(VALUE(MID($B2914,2,20))&lt;100000000,VALUE(MID($B2914,2,20)),1000000000),1000000000))+ROW()/100000,"")</f>
        <v/>
      </c>
    </row>
    <row r="2915">
      <c r="A2915">
        <f>IF($B2915="","",IFERROR(IF(INDEX('Per Invoice'!$A$2:$A$801,MATCH($B2915,'Per Invoice'!$B$2:$B$801,0))=0,"",INDEX('Per Invoice'!$A$2:$A$801,MATCH($B2915,'Per Invoice'!$B$2:$B$801,0))),""))</f>
        <v/>
      </c>
      <c r="J2915" s="7">
        <f>IF($B2915="","",I2915*Q2915/100)</f>
        <v/>
      </c>
      <c r="N2915" s="7" t="n"/>
      <c r="O2915" s="7" t="n"/>
      <c r="P2915" s="7">
        <f>IF($B2915="","",O2915*X2915/100)</f>
        <v/>
      </c>
      <c r="Q2915" s="7">
        <f>IF($B2915="","",O2915-P2915)</f>
        <v/>
      </c>
      <c r="R2915" s="7">
        <f>IF($B2915="","",Q2915-J2915)</f>
        <v/>
      </c>
      <c r="S2915" s="7" t="n"/>
      <c r="T2915" s="7" t="n"/>
      <c r="V2915" s="14" t="n"/>
      <c r="Z2915">
        <f>IF($B2915="","",IF(COUNTIF($B$2:$B2915,$B2915)=1,1,0))</f>
        <v/>
      </c>
      <c r="AA2915">
        <f>IF($Z2915=1,SUMPRODUCT(--($AC$2:$AC$3001&lt;$AC2915))+1,"")</f>
        <v/>
      </c>
      <c r="AB2915">
        <f>IF($B2915="","",IF(OR($Y2915=TRUE(),$Y2915="TRUE"),1,IF(AND($Y2915&lt;&gt;"",OR($Y2915=FALSE(),$Y2915="FALSE")),0,IF(MIN(ABS($X2915/100-Settings!$C$6),ABS($X2915/100-Settings!$G$6))&lt;=MIN(ABS($X2915/100-Settings!$C$7),ABS($X2915/100-Settings!$G$7)),1,0))))</f>
        <v/>
      </c>
      <c r="AC2915">
        <f>IF($Z2915=1,IFERROR(IF(VALUE($B2915)&lt;100000000,VALUE($B2915),1000000000),IFERROR(IF(VALUE(MID($B2915,2,20))&lt;100000000,VALUE(MID($B2915,2,20)),1000000000),1000000000))+ROW()/100000,"")</f>
        <v/>
      </c>
    </row>
    <row r="2916">
      <c r="A2916">
        <f>IF($B2916="","",IFERROR(IF(INDEX('Per Invoice'!$A$2:$A$801,MATCH($B2916,'Per Invoice'!$B$2:$B$801,0))=0,"",INDEX('Per Invoice'!$A$2:$A$801,MATCH($B2916,'Per Invoice'!$B$2:$B$801,0))),""))</f>
        <v/>
      </c>
      <c r="J2916" s="7">
        <f>IF($B2916="","",I2916*Q2916/100)</f>
        <v/>
      </c>
      <c r="N2916" s="7" t="n"/>
      <c r="O2916" s="7" t="n"/>
      <c r="P2916" s="7">
        <f>IF($B2916="","",O2916*X2916/100)</f>
        <v/>
      </c>
      <c r="Q2916" s="7">
        <f>IF($B2916="","",O2916-P2916)</f>
        <v/>
      </c>
      <c r="R2916" s="7">
        <f>IF($B2916="","",Q2916-J2916)</f>
        <v/>
      </c>
      <c r="S2916" s="7" t="n"/>
      <c r="T2916" s="7" t="n"/>
      <c r="V2916" s="14" t="n"/>
      <c r="Z2916">
        <f>IF($B2916="","",IF(COUNTIF($B$2:$B2916,$B2916)=1,1,0))</f>
        <v/>
      </c>
      <c r="AA2916">
        <f>IF($Z2916=1,SUMPRODUCT(--($AC$2:$AC$3001&lt;$AC2916))+1,"")</f>
        <v/>
      </c>
      <c r="AB2916">
        <f>IF($B2916="","",IF(OR($Y2916=TRUE(),$Y2916="TRUE"),1,IF(AND($Y2916&lt;&gt;"",OR($Y2916=FALSE(),$Y2916="FALSE")),0,IF(MIN(ABS($X2916/100-Settings!$C$6),ABS($X2916/100-Settings!$G$6))&lt;=MIN(ABS($X2916/100-Settings!$C$7),ABS($X2916/100-Settings!$G$7)),1,0))))</f>
        <v/>
      </c>
      <c r="AC2916">
        <f>IF($Z2916=1,IFERROR(IF(VALUE($B2916)&lt;100000000,VALUE($B2916),1000000000),IFERROR(IF(VALUE(MID($B2916,2,20))&lt;100000000,VALUE(MID($B2916,2,20)),1000000000),1000000000))+ROW()/100000,"")</f>
        <v/>
      </c>
    </row>
    <row r="2917">
      <c r="A2917">
        <f>IF($B2917="","",IFERROR(IF(INDEX('Per Invoice'!$A$2:$A$801,MATCH($B2917,'Per Invoice'!$B$2:$B$801,0))=0,"",INDEX('Per Invoice'!$A$2:$A$801,MATCH($B2917,'Per Invoice'!$B$2:$B$801,0))),""))</f>
        <v/>
      </c>
      <c r="J2917" s="7">
        <f>IF($B2917="","",I2917*Q2917/100)</f>
        <v/>
      </c>
      <c r="N2917" s="7" t="n"/>
      <c r="O2917" s="7" t="n"/>
      <c r="P2917" s="7">
        <f>IF($B2917="","",O2917*X2917/100)</f>
        <v/>
      </c>
      <c r="Q2917" s="7">
        <f>IF($B2917="","",O2917-P2917)</f>
        <v/>
      </c>
      <c r="R2917" s="7">
        <f>IF($B2917="","",Q2917-J2917)</f>
        <v/>
      </c>
      <c r="S2917" s="7" t="n"/>
      <c r="T2917" s="7" t="n"/>
      <c r="V2917" s="14" t="n"/>
      <c r="Z2917">
        <f>IF($B2917="","",IF(COUNTIF($B$2:$B2917,$B2917)=1,1,0))</f>
        <v/>
      </c>
      <c r="AA2917">
        <f>IF($Z2917=1,SUMPRODUCT(--($AC$2:$AC$3001&lt;$AC2917))+1,"")</f>
        <v/>
      </c>
      <c r="AB2917">
        <f>IF($B2917="","",IF(OR($Y2917=TRUE(),$Y2917="TRUE"),1,IF(AND($Y2917&lt;&gt;"",OR($Y2917=FALSE(),$Y2917="FALSE")),0,IF(MIN(ABS($X2917/100-Settings!$C$6),ABS($X2917/100-Settings!$G$6))&lt;=MIN(ABS($X2917/100-Settings!$C$7),ABS($X2917/100-Settings!$G$7)),1,0))))</f>
        <v/>
      </c>
      <c r="AC2917">
        <f>IF($Z2917=1,IFERROR(IF(VALUE($B2917)&lt;100000000,VALUE($B2917),1000000000),IFERROR(IF(VALUE(MID($B2917,2,20))&lt;100000000,VALUE(MID($B2917,2,20)),1000000000),1000000000))+ROW()/100000,"")</f>
        <v/>
      </c>
    </row>
    <row r="2918">
      <c r="A2918">
        <f>IF($B2918="","",IFERROR(IF(INDEX('Per Invoice'!$A$2:$A$801,MATCH($B2918,'Per Invoice'!$B$2:$B$801,0))=0,"",INDEX('Per Invoice'!$A$2:$A$801,MATCH($B2918,'Per Invoice'!$B$2:$B$801,0))),""))</f>
        <v/>
      </c>
      <c r="J2918" s="7">
        <f>IF($B2918="","",I2918*Q2918/100)</f>
        <v/>
      </c>
      <c r="N2918" s="7" t="n"/>
      <c r="O2918" s="7" t="n"/>
      <c r="P2918" s="7">
        <f>IF($B2918="","",O2918*X2918/100)</f>
        <v/>
      </c>
      <c r="Q2918" s="7">
        <f>IF($B2918="","",O2918-P2918)</f>
        <v/>
      </c>
      <c r="R2918" s="7">
        <f>IF($B2918="","",Q2918-J2918)</f>
        <v/>
      </c>
      <c r="S2918" s="7" t="n"/>
      <c r="T2918" s="7" t="n"/>
      <c r="V2918" s="14" t="n"/>
      <c r="Z2918">
        <f>IF($B2918="","",IF(COUNTIF($B$2:$B2918,$B2918)=1,1,0))</f>
        <v/>
      </c>
      <c r="AA2918">
        <f>IF($Z2918=1,SUMPRODUCT(--($AC$2:$AC$3001&lt;$AC2918))+1,"")</f>
        <v/>
      </c>
      <c r="AB2918">
        <f>IF($B2918="","",IF(OR($Y2918=TRUE(),$Y2918="TRUE"),1,IF(AND($Y2918&lt;&gt;"",OR($Y2918=FALSE(),$Y2918="FALSE")),0,IF(MIN(ABS($X2918/100-Settings!$C$6),ABS($X2918/100-Settings!$G$6))&lt;=MIN(ABS($X2918/100-Settings!$C$7),ABS($X2918/100-Settings!$G$7)),1,0))))</f>
        <v/>
      </c>
      <c r="AC2918">
        <f>IF($Z2918=1,IFERROR(IF(VALUE($B2918)&lt;100000000,VALUE($B2918),1000000000),IFERROR(IF(VALUE(MID($B2918,2,20))&lt;100000000,VALUE(MID($B2918,2,20)),1000000000),1000000000))+ROW()/100000,"")</f>
        <v/>
      </c>
    </row>
    <row r="2919">
      <c r="A2919">
        <f>IF($B2919="","",IFERROR(IF(INDEX('Per Invoice'!$A$2:$A$801,MATCH($B2919,'Per Invoice'!$B$2:$B$801,0))=0,"",INDEX('Per Invoice'!$A$2:$A$801,MATCH($B2919,'Per Invoice'!$B$2:$B$801,0))),""))</f>
        <v/>
      </c>
      <c r="J2919" s="7">
        <f>IF($B2919="","",I2919*Q2919/100)</f>
        <v/>
      </c>
      <c r="N2919" s="7" t="n"/>
      <c r="O2919" s="7" t="n"/>
      <c r="P2919" s="7">
        <f>IF($B2919="","",O2919*X2919/100)</f>
        <v/>
      </c>
      <c r="Q2919" s="7">
        <f>IF($B2919="","",O2919-P2919)</f>
        <v/>
      </c>
      <c r="R2919" s="7">
        <f>IF($B2919="","",Q2919-J2919)</f>
        <v/>
      </c>
      <c r="S2919" s="7" t="n"/>
      <c r="T2919" s="7" t="n"/>
      <c r="V2919" s="14" t="n"/>
      <c r="Z2919">
        <f>IF($B2919="","",IF(COUNTIF($B$2:$B2919,$B2919)=1,1,0))</f>
        <v/>
      </c>
      <c r="AA2919">
        <f>IF($Z2919=1,SUMPRODUCT(--($AC$2:$AC$3001&lt;$AC2919))+1,"")</f>
        <v/>
      </c>
      <c r="AB2919">
        <f>IF($B2919="","",IF(OR($Y2919=TRUE(),$Y2919="TRUE"),1,IF(AND($Y2919&lt;&gt;"",OR($Y2919=FALSE(),$Y2919="FALSE")),0,IF(MIN(ABS($X2919/100-Settings!$C$6),ABS($X2919/100-Settings!$G$6))&lt;=MIN(ABS($X2919/100-Settings!$C$7),ABS($X2919/100-Settings!$G$7)),1,0))))</f>
        <v/>
      </c>
      <c r="AC2919">
        <f>IF($Z2919=1,IFERROR(IF(VALUE($B2919)&lt;100000000,VALUE($B2919),1000000000),IFERROR(IF(VALUE(MID($B2919,2,20))&lt;100000000,VALUE(MID($B2919,2,20)),1000000000),1000000000))+ROW()/100000,"")</f>
        <v/>
      </c>
    </row>
    <row r="2920">
      <c r="A2920">
        <f>IF($B2920="","",IFERROR(IF(INDEX('Per Invoice'!$A$2:$A$801,MATCH($B2920,'Per Invoice'!$B$2:$B$801,0))=0,"",INDEX('Per Invoice'!$A$2:$A$801,MATCH($B2920,'Per Invoice'!$B$2:$B$801,0))),""))</f>
        <v/>
      </c>
      <c r="J2920" s="7">
        <f>IF($B2920="","",I2920*Q2920/100)</f>
        <v/>
      </c>
      <c r="N2920" s="7" t="n"/>
      <c r="O2920" s="7" t="n"/>
      <c r="P2920" s="7">
        <f>IF($B2920="","",O2920*X2920/100)</f>
        <v/>
      </c>
      <c r="Q2920" s="7">
        <f>IF($B2920="","",O2920-P2920)</f>
        <v/>
      </c>
      <c r="R2920" s="7">
        <f>IF($B2920="","",Q2920-J2920)</f>
        <v/>
      </c>
      <c r="S2920" s="7" t="n"/>
      <c r="T2920" s="7" t="n"/>
      <c r="V2920" s="14" t="n"/>
      <c r="Z2920">
        <f>IF($B2920="","",IF(COUNTIF($B$2:$B2920,$B2920)=1,1,0))</f>
        <v/>
      </c>
      <c r="AA2920">
        <f>IF($Z2920=1,SUMPRODUCT(--($AC$2:$AC$3001&lt;$AC2920))+1,"")</f>
        <v/>
      </c>
      <c r="AB2920">
        <f>IF($B2920="","",IF(OR($Y2920=TRUE(),$Y2920="TRUE"),1,IF(AND($Y2920&lt;&gt;"",OR($Y2920=FALSE(),$Y2920="FALSE")),0,IF(MIN(ABS($X2920/100-Settings!$C$6),ABS($X2920/100-Settings!$G$6))&lt;=MIN(ABS($X2920/100-Settings!$C$7),ABS($X2920/100-Settings!$G$7)),1,0))))</f>
        <v/>
      </c>
      <c r="AC2920">
        <f>IF($Z2920=1,IFERROR(IF(VALUE($B2920)&lt;100000000,VALUE($B2920),1000000000),IFERROR(IF(VALUE(MID($B2920,2,20))&lt;100000000,VALUE(MID($B2920,2,20)),1000000000),1000000000))+ROW()/100000,"")</f>
        <v/>
      </c>
    </row>
    <row r="2921">
      <c r="A2921">
        <f>IF($B2921="","",IFERROR(IF(INDEX('Per Invoice'!$A$2:$A$801,MATCH($B2921,'Per Invoice'!$B$2:$B$801,0))=0,"",INDEX('Per Invoice'!$A$2:$A$801,MATCH($B2921,'Per Invoice'!$B$2:$B$801,0))),""))</f>
        <v/>
      </c>
      <c r="J2921" s="7">
        <f>IF($B2921="","",I2921*Q2921/100)</f>
        <v/>
      </c>
      <c r="N2921" s="7" t="n"/>
      <c r="O2921" s="7" t="n"/>
      <c r="P2921" s="7">
        <f>IF($B2921="","",O2921*X2921/100)</f>
        <v/>
      </c>
      <c r="Q2921" s="7">
        <f>IF($B2921="","",O2921-P2921)</f>
        <v/>
      </c>
      <c r="R2921" s="7">
        <f>IF($B2921="","",Q2921-J2921)</f>
        <v/>
      </c>
      <c r="S2921" s="7" t="n"/>
      <c r="T2921" s="7" t="n"/>
      <c r="V2921" s="14" t="n"/>
      <c r="Z2921">
        <f>IF($B2921="","",IF(COUNTIF($B$2:$B2921,$B2921)=1,1,0))</f>
        <v/>
      </c>
      <c r="AA2921">
        <f>IF($Z2921=1,SUMPRODUCT(--($AC$2:$AC$3001&lt;$AC2921))+1,"")</f>
        <v/>
      </c>
      <c r="AB2921">
        <f>IF($B2921="","",IF(OR($Y2921=TRUE(),$Y2921="TRUE"),1,IF(AND($Y2921&lt;&gt;"",OR($Y2921=FALSE(),$Y2921="FALSE")),0,IF(MIN(ABS($X2921/100-Settings!$C$6),ABS($X2921/100-Settings!$G$6))&lt;=MIN(ABS($X2921/100-Settings!$C$7),ABS($X2921/100-Settings!$G$7)),1,0))))</f>
        <v/>
      </c>
      <c r="AC2921">
        <f>IF($Z2921=1,IFERROR(IF(VALUE($B2921)&lt;100000000,VALUE($B2921),1000000000),IFERROR(IF(VALUE(MID($B2921,2,20))&lt;100000000,VALUE(MID($B2921,2,20)),1000000000),1000000000))+ROW()/100000,"")</f>
        <v/>
      </c>
    </row>
    <row r="2922">
      <c r="A2922">
        <f>IF($B2922="","",IFERROR(IF(INDEX('Per Invoice'!$A$2:$A$801,MATCH($B2922,'Per Invoice'!$B$2:$B$801,0))=0,"",INDEX('Per Invoice'!$A$2:$A$801,MATCH($B2922,'Per Invoice'!$B$2:$B$801,0))),""))</f>
        <v/>
      </c>
      <c r="J2922" s="7">
        <f>IF($B2922="","",I2922*Q2922/100)</f>
        <v/>
      </c>
      <c r="N2922" s="7" t="n"/>
      <c r="O2922" s="7" t="n"/>
      <c r="P2922" s="7">
        <f>IF($B2922="","",O2922*X2922/100)</f>
        <v/>
      </c>
      <c r="Q2922" s="7">
        <f>IF($B2922="","",O2922-P2922)</f>
        <v/>
      </c>
      <c r="R2922" s="7">
        <f>IF($B2922="","",Q2922-J2922)</f>
        <v/>
      </c>
      <c r="S2922" s="7" t="n"/>
      <c r="T2922" s="7" t="n"/>
      <c r="V2922" s="14" t="n"/>
      <c r="Z2922">
        <f>IF($B2922="","",IF(COUNTIF($B$2:$B2922,$B2922)=1,1,0))</f>
        <v/>
      </c>
      <c r="AA2922">
        <f>IF($Z2922=1,SUMPRODUCT(--($AC$2:$AC$3001&lt;$AC2922))+1,"")</f>
        <v/>
      </c>
      <c r="AB2922">
        <f>IF($B2922="","",IF(OR($Y2922=TRUE(),$Y2922="TRUE"),1,IF(AND($Y2922&lt;&gt;"",OR($Y2922=FALSE(),$Y2922="FALSE")),0,IF(MIN(ABS($X2922/100-Settings!$C$6),ABS($X2922/100-Settings!$G$6))&lt;=MIN(ABS($X2922/100-Settings!$C$7),ABS($X2922/100-Settings!$G$7)),1,0))))</f>
        <v/>
      </c>
      <c r="AC2922">
        <f>IF($Z2922=1,IFERROR(IF(VALUE($B2922)&lt;100000000,VALUE($B2922),1000000000),IFERROR(IF(VALUE(MID($B2922,2,20))&lt;100000000,VALUE(MID($B2922,2,20)),1000000000),1000000000))+ROW()/100000,"")</f>
        <v/>
      </c>
    </row>
    <row r="2923">
      <c r="A2923">
        <f>IF($B2923="","",IFERROR(IF(INDEX('Per Invoice'!$A$2:$A$801,MATCH($B2923,'Per Invoice'!$B$2:$B$801,0))=0,"",INDEX('Per Invoice'!$A$2:$A$801,MATCH($B2923,'Per Invoice'!$B$2:$B$801,0))),""))</f>
        <v/>
      </c>
      <c r="J2923" s="7">
        <f>IF($B2923="","",I2923*Q2923/100)</f>
        <v/>
      </c>
      <c r="N2923" s="7" t="n"/>
      <c r="O2923" s="7" t="n"/>
      <c r="P2923" s="7">
        <f>IF($B2923="","",O2923*X2923/100)</f>
        <v/>
      </c>
      <c r="Q2923" s="7">
        <f>IF($B2923="","",O2923-P2923)</f>
        <v/>
      </c>
      <c r="R2923" s="7">
        <f>IF($B2923="","",Q2923-J2923)</f>
        <v/>
      </c>
      <c r="S2923" s="7" t="n"/>
      <c r="T2923" s="7" t="n"/>
      <c r="V2923" s="14" t="n"/>
      <c r="Z2923">
        <f>IF($B2923="","",IF(COUNTIF($B$2:$B2923,$B2923)=1,1,0))</f>
        <v/>
      </c>
      <c r="AA2923">
        <f>IF($Z2923=1,SUMPRODUCT(--($AC$2:$AC$3001&lt;$AC2923))+1,"")</f>
        <v/>
      </c>
      <c r="AB2923">
        <f>IF($B2923="","",IF(OR($Y2923=TRUE(),$Y2923="TRUE"),1,IF(AND($Y2923&lt;&gt;"",OR($Y2923=FALSE(),$Y2923="FALSE")),0,IF(MIN(ABS($X2923/100-Settings!$C$6),ABS($X2923/100-Settings!$G$6))&lt;=MIN(ABS($X2923/100-Settings!$C$7),ABS($X2923/100-Settings!$G$7)),1,0))))</f>
        <v/>
      </c>
      <c r="AC2923">
        <f>IF($Z2923=1,IFERROR(IF(VALUE($B2923)&lt;100000000,VALUE($B2923),1000000000),IFERROR(IF(VALUE(MID($B2923,2,20))&lt;100000000,VALUE(MID($B2923,2,20)),1000000000),1000000000))+ROW()/100000,"")</f>
        <v/>
      </c>
    </row>
    <row r="2924">
      <c r="A2924">
        <f>IF($B2924="","",IFERROR(IF(INDEX('Per Invoice'!$A$2:$A$801,MATCH($B2924,'Per Invoice'!$B$2:$B$801,0))=0,"",INDEX('Per Invoice'!$A$2:$A$801,MATCH($B2924,'Per Invoice'!$B$2:$B$801,0))),""))</f>
        <v/>
      </c>
      <c r="J2924" s="7">
        <f>IF($B2924="","",I2924*Q2924/100)</f>
        <v/>
      </c>
      <c r="N2924" s="7" t="n"/>
      <c r="O2924" s="7" t="n"/>
      <c r="P2924" s="7">
        <f>IF($B2924="","",O2924*X2924/100)</f>
        <v/>
      </c>
      <c r="Q2924" s="7">
        <f>IF($B2924="","",O2924-P2924)</f>
        <v/>
      </c>
      <c r="R2924" s="7">
        <f>IF($B2924="","",Q2924-J2924)</f>
        <v/>
      </c>
      <c r="S2924" s="7" t="n"/>
      <c r="T2924" s="7" t="n"/>
      <c r="V2924" s="14" t="n"/>
      <c r="Z2924">
        <f>IF($B2924="","",IF(COUNTIF($B$2:$B2924,$B2924)=1,1,0))</f>
        <v/>
      </c>
      <c r="AA2924">
        <f>IF($Z2924=1,SUMPRODUCT(--($AC$2:$AC$3001&lt;$AC2924))+1,"")</f>
        <v/>
      </c>
      <c r="AB2924">
        <f>IF($B2924="","",IF(OR($Y2924=TRUE(),$Y2924="TRUE"),1,IF(AND($Y2924&lt;&gt;"",OR($Y2924=FALSE(),$Y2924="FALSE")),0,IF(MIN(ABS($X2924/100-Settings!$C$6),ABS($X2924/100-Settings!$G$6))&lt;=MIN(ABS($X2924/100-Settings!$C$7),ABS($X2924/100-Settings!$G$7)),1,0))))</f>
        <v/>
      </c>
      <c r="AC2924">
        <f>IF($Z2924=1,IFERROR(IF(VALUE($B2924)&lt;100000000,VALUE($B2924),1000000000),IFERROR(IF(VALUE(MID($B2924,2,20))&lt;100000000,VALUE(MID($B2924,2,20)),1000000000),1000000000))+ROW()/100000,"")</f>
        <v/>
      </c>
    </row>
    <row r="2925">
      <c r="A2925">
        <f>IF($B2925="","",IFERROR(IF(INDEX('Per Invoice'!$A$2:$A$801,MATCH($B2925,'Per Invoice'!$B$2:$B$801,0))=0,"",INDEX('Per Invoice'!$A$2:$A$801,MATCH($B2925,'Per Invoice'!$B$2:$B$801,0))),""))</f>
        <v/>
      </c>
      <c r="J2925" s="7">
        <f>IF($B2925="","",I2925*Q2925/100)</f>
        <v/>
      </c>
      <c r="N2925" s="7" t="n"/>
      <c r="O2925" s="7" t="n"/>
      <c r="P2925" s="7">
        <f>IF($B2925="","",O2925*X2925/100)</f>
        <v/>
      </c>
      <c r="Q2925" s="7">
        <f>IF($B2925="","",O2925-P2925)</f>
        <v/>
      </c>
      <c r="R2925" s="7">
        <f>IF($B2925="","",Q2925-J2925)</f>
        <v/>
      </c>
      <c r="S2925" s="7" t="n"/>
      <c r="T2925" s="7" t="n"/>
      <c r="V2925" s="14" t="n"/>
      <c r="Z2925">
        <f>IF($B2925="","",IF(COUNTIF($B$2:$B2925,$B2925)=1,1,0))</f>
        <v/>
      </c>
      <c r="AA2925">
        <f>IF($Z2925=1,SUMPRODUCT(--($AC$2:$AC$3001&lt;$AC2925))+1,"")</f>
        <v/>
      </c>
      <c r="AB2925">
        <f>IF($B2925="","",IF(OR($Y2925=TRUE(),$Y2925="TRUE"),1,IF(AND($Y2925&lt;&gt;"",OR($Y2925=FALSE(),$Y2925="FALSE")),0,IF(MIN(ABS($X2925/100-Settings!$C$6),ABS($X2925/100-Settings!$G$6))&lt;=MIN(ABS($X2925/100-Settings!$C$7),ABS($X2925/100-Settings!$G$7)),1,0))))</f>
        <v/>
      </c>
      <c r="AC2925">
        <f>IF($Z2925=1,IFERROR(IF(VALUE($B2925)&lt;100000000,VALUE($B2925),1000000000),IFERROR(IF(VALUE(MID($B2925,2,20))&lt;100000000,VALUE(MID($B2925,2,20)),1000000000),1000000000))+ROW()/100000,"")</f>
        <v/>
      </c>
    </row>
    <row r="2926">
      <c r="A2926">
        <f>IF($B2926="","",IFERROR(IF(INDEX('Per Invoice'!$A$2:$A$801,MATCH($B2926,'Per Invoice'!$B$2:$B$801,0))=0,"",INDEX('Per Invoice'!$A$2:$A$801,MATCH($B2926,'Per Invoice'!$B$2:$B$801,0))),""))</f>
        <v/>
      </c>
      <c r="J2926" s="7">
        <f>IF($B2926="","",I2926*Q2926/100)</f>
        <v/>
      </c>
      <c r="N2926" s="7" t="n"/>
      <c r="O2926" s="7" t="n"/>
      <c r="P2926" s="7">
        <f>IF($B2926="","",O2926*X2926/100)</f>
        <v/>
      </c>
      <c r="Q2926" s="7">
        <f>IF($B2926="","",O2926-P2926)</f>
        <v/>
      </c>
      <c r="R2926" s="7">
        <f>IF($B2926="","",Q2926-J2926)</f>
        <v/>
      </c>
      <c r="S2926" s="7" t="n"/>
      <c r="T2926" s="7" t="n"/>
      <c r="V2926" s="14" t="n"/>
      <c r="Z2926">
        <f>IF($B2926="","",IF(COUNTIF($B$2:$B2926,$B2926)=1,1,0))</f>
        <v/>
      </c>
      <c r="AA2926">
        <f>IF($Z2926=1,SUMPRODUCT(--($AC$2:$AC$3001&lt;$AC2926))+1,"")</f>
        <v/>
      </c>
      <c r="AB2926">
        <f>IF($B2926="","",IF(OR($Y2926=TRUE(),$Y2926="TRUE"),1,IF(AND($Y2926&lt;&gt;"",OR($Y2926=FALSE(),$Y2926="FALSE")),0,IF(MIN(ABS($X2926/100-Settings!$C$6),ABS($X2926/100-Settings!$G$6))&lt;=MIN(ABS($X2926/100-Settings!$C$7),ABS($X2926/100-Settings!$G$7)),1,0))))</f>
        <v/>
      </c>
      <c r="AC2926">
        <f>IF($Z2926=1,IFERROR(IF(VALUE($B2926)&lt;100000000,VALUE($B2926),1000000000),IFERROR(IF(VALUE(MID($B2926,2,20))&lt;100000000,VALUE(MID($B2926,2,20)),1000000000),1000000000))+ROW()/100000,"")</f>
        <v/>
      </c>
    </row>
    <row r="2927">
      <c r="A2927">
        <f>IF($B2927="","",IFERROR(IF(INDEX('Per Invoice'!$A$2:$A$801,MATCH($B2927,'Per Invoice'!$B$2:$B$801,0))=0,"",INDEX('Per Invoice'!$A$2:$A$801,MATCH($B2927,'Per Invoice'!$B$2:$B$801,0))),""))</f>
        <v/>
      </c>
      <c r="J2927" s="7">
        <f>IF($B2927="","",I2927*Q2927/100)</f>
        <v/>
      </c>
      <c r="N2927" s="7" t="n"/>
      <c r="O2927" s="7" t="n"/>
      <c r="P2927" s="7">
        <f>IF($B2927="","",O2927*X2927/100)</f>
        <v/>
      </c>
      <c r="Q2927" s="7">
        <f>IF($B2927="","",O2927-P2927)</f>
        <v/>
      </c>
      <c r="R2927" s="7">
        <f>IF($B2927="","",Q2927-J2927)</f>
        <v/>
      </c>
      <c r="S2927" s="7" t="n"/>
      <c r="T2927" s="7" t="n"/>
      <c r="V2927" s="14" t="n"/>
      <c r="Z2927">
        <f>IF($B2927="","",IF(COUNTIF($B$2:$B2927,$B2927)=1,1,0))</f>
        <v/>
      </c>
      <c r="AA2927">
        <f>IF($Z2927=1,SUMPRODUCT(--($AC$2:$AC$3001&lt;$AC2927))+1,"")</f>
        <v/>
      </c>
      <c r="AB2927">
        <f>IF($B2927="","",IF(OR($Y2927=TRUE(),$Y2927="TRUE"),1,IF(AND($Y2927&lt;&gt;"",OR($Y2927=FALSE(),$Y2927="FALSE")),0,IF(MIN(ABS($X2927/100-Settings!$C$6),ABS($X2927/100-Settings!$G$6))&lt;=MIN(ABS($X2927/100-Settings!$C$7),ABS($X2927/100-Settings!$G$7)),1,0))))</f>
        <v/>
      </c>
      <c r="AC2927">
        <f>IF($Z2927=1,IFERROR(IF(VALUE($B2927)&lt;100000000,VALUE($B2927),1000000000),IFERROR(IF(VALUE(MID($B2927,2,20))&lt;100000000,VALUE(MID($B2927,2,20)),1000000000),1000000000))+ROW()/100000,"")</f>
        <v/>
      </c>
    </row>
    <row r="2928">
      <c r="A2928">
        <f>IF($B2928="","",IFERROR(IF(INDEX('Per Invoice'!$A$2:$A$801,MATCH($B2928,'Per Invoice'!$B$2:$B$801,0))=0,"",INDEX('Per Invoice'!$A$2:$A$801,MATCH($B2928,'Per Invoice'!$B$2:$B$801,0))),""))</f>
        <v/>
      </c>
      <c r="J2928" s="7">
        <f>IF($B2928="","",I2928*Q2928/100)</f>
        <v/>
      </c>
      <c r="N2928" s="7" t="n"/>
      <c r="O2928" s="7" t="n"/>
      <c r="P2928" s="7">
        <f>IF($B2928="","",O2928*X2928/100)</f>
        <v/>
      </c>
      <c r="Q2928" s="7">
        <f>IF($B2928="","",O2928-P2928)</f>
        <v/>
      </c>
      <c r="R2928" s="7">
        <f>IF($B2928="","",Q2928-J2928)</f>
        <v/>
      </c>
      <c r="S2928" s="7" t="n"/>
      <c r="T2928" s="7" t="n"/>
      <c r="V2928" s="14" t="n"/>
      <c r="Z2928">
        <f>IF($B2928="","",IF(COUNTIF($B$2:$B2928,$B2928)=1,1,0))</f>
        <v/>
      </c>
      <c r="AA2928">
        <f>IF($Z2928=1,SUMPRODUCT(--($AC$2:$AC$3001&lt;$AC2928))+1,"")</f>
        <v/>
      </c>
      <c r="AB2928">
        <f>IF($B2928="","",IF(OR($Y2928=TRUE(),$Y2928="TRUE"),1,IF(AND($Y2928&lt;&gt;"",OR($Y2928=FALSE(),$Y2928="FALSE")),0,IF(MIN(ABS($X2928/100-Settings!$C$6),ABS($X2928/100-Settings!$G$6))&lt;=MIN(ABS($X2928/100-Settings!$C$7),ABS($X2928/100-Settings!$G$7)),1,0))))</f>
        <v/>
      </c>
      <c r="AC2928">
        <f>IF($Z2928=1,IFERROR(IF(VALUE($B2928)&lt;100000000,VALUE($B2928),1000000000),IFERROR(IF(VALUE(MID($B2928,2,20))&lt;100000000,VALUE(MID($B2928,2,20)),1000000000),1000000000))+ROW()/100000,"")</f>
        <v/>
      </c>
    </row>
    <row r="2929">
      <c r="A2929">
        <f>IF($B2929="","",IFERROR(IF(INDEX('Per Invoice'!$A$2:$A$801,MATCH($B2929,'Per Invoice'!$B$2:$B$801,0))=0,"",INDEX('Per Invoice'!$A$2:$A$801,MATCH($B2929,'Per Invoice'!$B$2:$B$801,0))),""))</f>
        <v/>
      </c>
      <c r="J2929" s="7">
        <f>IF($B2929="","",I2929*Q2929/100)</f>
        <v/>
      </c>
      <c r="N2929" s="7" t="n"/>
      <c r="O2929" s="7" t="n"/>
      <c r="P2929" s="7">
        <f>IF($B2929="","",O2929*X2929/100)</f>
        <v/>
      </c>
      <c r="Q2929" s="7">
        <f>IF($B2929="","",O2929-P2929)</f>
        <v/>
      </c>
      <c r="R2929" s="7">
        <f>IF($B2929="","",Q2929-J2929)</f>
        <v/>
      </c>
      <c r="S2929" s="7" t="n"/>
      <c r="T2929" s="7" t="n"/>
      <c r="V2929" s="14" t="n"/>
      <c r="Z2929">
        <f>IF($B2929="","",IF(COUNTIF($B$2:$B2929,$B2929)=1,1,0))</f>
        <v/>
      </c>
      <c r="AA2929">
        <f>IF($Z2929=1,SUMPRODUCT(--($AC$2:$AC$3001&lt;$AC2929))+1,"")</f>
        <v/>
      </c>
      <c r="AB2929">
        <f>IF($B2929="","",IF(OR($Y2929=TRUE(),$Y2929="TRUE"),1,IF(AND($Y2929&lt;&gt;"",OR($Y2929=FALSE(),$Y2929="FALSE")),0,IF(MIN(ABS($X2929/100-Settings!$C$6),ABS($X2929/100-Settings!$G$6))&lt;=MIN(ABS($X2929/100-Settings!$C$7),ABS($X2929/100-Settings!$G$7)),1,0))))</f>
        <v/>
      </c>
      <c r="AC2929">
        <f>IF($Z2929=1,IFERROR(IF(VALUE($B2929)&lt;100000000,VALUE($B2929),1000000000),IFERROR(IF(VALUE(MID($B2929,2,20))&lt;100000000,VALUE(MID($B2929,2,20)),1000000000),1000000000))+ROW()/100000,"")</f>
        <v/>
      </c>
    </row>
    <row r="2930">
      <c r="A2930">
        <f>IF($B2930="","",IFERROR(IF(INDEX('Per Invoice'!$A$2:$A$801,MATCH($B2930,'Per Invoice'!$B$2:$B$801,0))=0,"",INDEX('Per Invoice'!$A$2:$A$801,MATCH($B2930,'Per Invoice'!$B$2:$B$801,0))),""))</f>
        <v/>
      </c>
      <c r="J2930" s="7">
        <f>IF($B2930="","",I2930*Q2930/100)</f>
        <v/>
      </c>
      <c r="N2930" s="7" t="n"/>
      <c r="O2930" s="7" t="n"/>
      <c r="P2930" s="7">
        <f>IF($B2930="","",O2930*X2930/100)</f>
        <v/>
      </c>
      <c r="Q2930" s="7">
        <f>IF($B2930="","",O2930-P2930)</f>
        <v/>
      </c>
      <c r="R2930" s="7">
        <f>IF($B2930="","",Q2930-J2930)</f>
        <v/>
      </c>
      <c r="S2930" s="7" t="n"/>
      <c r="T2930" s="7" t="n"/>
      <c r="V2930" s="14" t="n"/>
      <c r="Z2930">
        <f>IF($B2930="","",IF(COUNTIF($B$2:$B2930,$B2930)=1,1,0))</f>
        <v/>
      </c>
      <c r="AA2930">
        <f>IF($Z2930=1,SUMPRODUCT(--($AC$2:$AC$3001&lt;$AC2930))+1,"")</f>
        <v/>
      </c>
      <c r="AB2930">
        <f>IF($B2930="","",IF(OR($Y2930=TRUE(),$Y2930="TRUE"),1,IF(AND($Y2930&lt;&gt;"",OR($Y2930=FALSE(),$Y2930="FALSE")),0,IF(MIN(ABS($X2930/100-Settings!$C$6),ABS($X2930/100-Settings!$G$6))&lt;=MIN(ABS($X2930/100-Settings!$C$7),ABS($X2930/100-Settings!$G$7)),1,0))))</f>
        <v/>
      </c>
      <c r="AC2930">
        <f>IF($Z2930=1,IFERROR(IF(VALUE($B2930)&lt;100000000,VALUE($B2930),1000000000),IFERROR(IF(VALUE(MID($B2930,2,20))&lt;100000000,VALUE(MID($B2930,2,20)),1000000000),1000000000))+ROW()/100000,"")</f>
        <v/>
      </c>
    </row>
    <row r="2931">
      <c r="A2931">
        <f>IF($B2931="","",IFERROR(IF(INDEX('Per Invoice'!$A$2:$A$801,MATCH($B2931,'Per Invoice'!$B$2:$B$801,0))=0,"",INDEX('Per Invoice'!$A$2:$A$801,MATCH($B2931,'Per Invoice'!$B$2:$B$801,0))),""))</f>
        <v/>
      </c>
      <c r="J2931" s="7">
        <f>IF($B2931="","",I2931*Q2931/100)</f>
        <v/>
      </c>
      <c r="N2931" s="7" t="n"/>
      <c r="O2931" s="7" t="n"/>
      <c r="P2931" s="7">
        <f>IF($B2931="","",O2931*X2931/100)</f>
        <v/>
      </c>
      <c r="Q2931" s="7">
        <f>IF($B2931="","",O2931-P2931)</f>
        <v/>
      </c>
      <c r="R2931" s="7">
        <f>IF($B2931="","",Q2931-J2931)</f>
        <v/>
      </c>
      <c r="S2931" s="7" t="n"/>
      <c r="T2931" s="7" t="n"/>
      <c r="V2931" s="14" t="n"/>
      <c r="Z2931">
        <f>IF($B2931="","",IF(COUNTIF($B$2:$B2931,$B2931)=1,1,0))</f>
        <v/>
      </c>
      <c r="AA2931">
        <f>IF($Z2931=1,SUMPRODUCT(--($AC$2:$AC$3001&lt;$AC2931))+1,"")</f>
        <v/>
      </c>
      <c r="AB2931">
        <f>IF($B2931="","",IF(OR($Y2931=TRUE(),$Y2931="TRUE"),1,IF(AND($Y2931&lt;&gt;"",OR($Y2931=FALSE(),$Y2931="FALSE")),0,IF(MIN(ABS($X2931/100-Settings!$C$6),ABS($X2931/100-Settings!$G$6))&lt;=MIN(ABS($X2931/100-Settings!$C$7),ABS($X2931/100-Settings!$G$7)),1,0))))</f>
        <v/>
      </c>
      <c r="AC2931">
        <f>IF($Z2931=1,IFERROR(IF(VALUE($B2931)&lt;100000000,VALUE($B2931),1000000000),IFERROR(IF(VALUE(MID($B2931,2,20))&lt;100000000,VALUE(MID($B2931,2,20)),1000000000),1000000000))+ROW()/100000,"")</f>
        <v/>
      </c>
    </row>
    <row r="2932">
      <c r="A2932">
        <f>IF($B2932="","",IFERROR(IF(INDEX('Per Invoice'!$A$2:$A$801,MATCH($B2932,'Per Invoice'!$B$2:$B$801,0))=0,"",INDEX('Per Invoice'!$A$2:$A$801,MATCH($B2932,'Per Invoice'!$B$2:$B$801,0))),""))</f>
        <v/>
      </c>
      <c r="J2932" s="7">
        <f>IF($B2932="","",I2932*Q2932/100)</f>
        <v/>
      </c>
      <c r="N2932" s="7" t="n"/>
      <c r="O2932" s="7" t="n"/>
      <c r="P2932" s="7">
        <f>IF($B2932="","",O2932*X2932/100)</f>
        <v/>
      </c>
      <c r="Q2932" s="7">
        <f>IF($B2932="","",O2932-P2932)</f>
        <v/>
      </c>
      <c r="R2932" s="7">
        <f>IF($B2932="","",Q2932-J2932)</f>
        <v/>
      </c>
      <c r="S2932" s="7" t="n"/>
      <c r="T2932" s="7" t="n"/>
      <c r="V2932" s="14" t="n"/>
      <c r="Z2932">
        <f>IF($B2932="","",IF(COUNTIF($B$2:$B2932,$B2932)=1,1,0))</f>
        <v/>
      </c>
      <c r="AA2932">
        <f>IF($Z2932=1,SUMPRODUCT(--($AC$2:$AC$3001&lt;$AC2932))+1,"")</f>
        <v/>
      </c>
      <c r="AB2932">
        <f>IF($B2932="","",IF(OR($Y2932=TRUE(),$Y2932="TRUE"),1,IF(AND($Y2932&lt;&gt;"",OR($Y2932=FALSE(),$Y2932="FALSE")),0,IF(MIN(ABS($X2932/100-Settings!$C$6),ABS($X2932/100-Settings!$G$6))&lt;=MIN(ABS($X2932/100-Settings!$C$7),ABS($X2932/100-Settings!$G$7)),1,0))))</f>
        <v/>
      </c>
      <c r="AC2932">
        <f>IF($Z2932=1,IFERROR(IF(VALUE($B2932)&lt;100000000,VALUE($B2932),1000000000),IFERROR(IF(VALUE(MID($B2932,2,20))&lt;100000000,VALUE(MID($B2932,2,20)),1000000000),1000000000))+ROW()/100000,"")</f>
        <v/>
      </c>
    </row>
    <row r="2933">
      <c r="A2933">
        <f>IF($B2933="","",IFERROR(IF(INDEX('Per Invoice'!$A$2:$A$801,MATCH($B2933,'Per Invoice'!$B$2:$B$801,0))=0,"",INDEX('Per Invoice'!$A$2:$A$801,MATCH($B2933,'Per Invoice'!$B$2:$B$801,0))),""))</f>
        <v/>
      </c>
      <c r="J2933" s="7">
        <f>IF($B2933="","",I2933*Q2933/100)</f>
        <v/>
      </c>
      <c r="N2933" s="7" t="n"/>
      <c r="O2933" s="7" t="n"/>
      <c r="P2933" s="7">
        <f>IF($B2933="","",O2933*X2933/100)</f>
        <v/>
      </c>
      <c r="Q2933" s="7">
        <f>IF($B2933="","",O2933-P2933)</f>
        <v/>
      </c>
      <c r="R2933" s="7">
        <f>IF($B2933="","",Q2933-J2933)</f>
        <v/>
      </c>
      <c r="S2933" s="7" t="n"/>
      <c r="T2933" s="7" t="n"/>
      <c r="V2933" s="14" t="n"/>
      <c r="Z2933">
        <f>IF($B2933="","",IF(COUNTIF($B$2:$B2933,$B2933)=1,1,0))</f>
        <v/>
      </c>
      <c r="AA2933">
        <f>IF($Z2933=1,SUMPRODUCT(--($AC$2:$AC$3001&lt;$AC2933))+1,"")</f>
        <v/>
      </c>
      <c r="AB2933">
        <f>IF($B2933="","",IF(OR($Y2933=TRUE(),$Y2933="TRUE"),1,IF(AND($Y2933&lt;&gt;"",OR($Y2933=FALSE(),$Y2933="FALSE")),0,IF(MIN(ABS($X2933/100-Settings!$C$6),ABS($X2933/100-Settings!$G$6))&lt;=MIN(ABS($X2933/100-Settings!$C$7),ABS($X2933/100-Settings!$G$7)),1,0))))</f>
        <v/>
      </c>
      <c r="AC2933">
        <f>IF($Z2933=1,IFERROR(IF(VALUE($B2933)&lt;100000000,VALUE($B2933),1000000000),IFERROR(IF(VALUE(MID($B2933,2,20))&lt;100000000,VALUE(MID($B2933,2,20)),1000000000),1000000000))+ROW()/100000,"")</f>
        <v/>
      </c>
    </row>
    <row r="2934">
      <c r="A2934">
        <f>IF($B2934="","",IFERROR(IF(INDEX('Per Invoice'!$A$2:$A$801,MATCH($B2934,'Per Invoice'!$B$2:$B$801,0))=0,"",INDEX('Per Invoice'!$A$2:$A$801,MATCH($B2934,'Per Invoice'!$B$2:$B$801,0))),""))</f>
        <v/>
      </c>
      <c r="J2934" s="7">
        <f>IF($B2934="","",I2934*Q2934/100)</f>
        <v/>
      </c>
      <c r="N2934" s="7" t="n"/>
      <c r="O2934" s="7" t="n"/>
      <c r="P2934" s="7">
        <f>IF($B2934="","",O2934*X2934/100)</f>
        <v/>
      </c>
      <c r="Q2934" s="7">
        <f>IF($B2934="","",O2934-P2934)</f>
        <v/>
      </c>
      <c r="R2934" s="7">
        <f>IF($B2934="","",Q2934-J2934)</f>
        <v/>
      </c>
      <c r="S2934" s="7" t="n"/>
      <c r="T2934" s="7" t="n"/>
      <c r="V2934" s="14" t="n"/>
      <c r="Z2934">
        <f>IF($B2934="","",IF(COUNTIF($B$2:$B2934,$B2934)=1,1,0))</f>
        <v/>
      </c>
      <c r="AA2934">
        <f>IF($Z2934=1,SUMPRODUCT(--($AC$2:$AC$3001&lt;$AC2934))+1,"")</f>
        <v/>
      </c>
      <c r="AB2934">
        <f>IF($B2934="","",IF(OR($Y2934=TRUE(),$Y2934="TRUE"),1,IF(AND($Y2934&lt;&gt;"",OR($Y2934=FALSE(),$Y2934="FALSE")),0,IF(MIN(ABS($X2934/100-Settings!$C$6),ABS($X2934/100-Settings!$G$6))&lt;=MIN(ABS($X2934/100-Settings!$C$7),ABS($X2934/100-Settings!$G$7)),1,0))))</f>
        <v/>
      </c>
      <c r="AC2934">
        <f>IF($Z2934=1,IFERROR(IF(VALUE($B2934)&lt;100000000,VALUE($B2934),1000000000),IFERROR(IF(VALUE(MID($B2934,2,20))&lt;100000000,VALUE(MID($B2934,2,20)),1000000000),1000000000))+ROW()/100000,"")</f>
        <v/>
      </c>
    </row>
    <row r="2935">
      <c r="A2935">
        <f>IF($B2935="","",IFERROR(IF(INDEX('Per Invoice'!$A$2:$A$801,MATCH($B2935,'Per Invoice'!$B$2:$B$801,0))=0,"",INDEX('Per Invoice'!$A$2:$A$801,MATCH($B2935,'Per Invoice'!$B$2:$B$801,0))),""))</f>
        <v/>
      </c>
      <c r="J2935" s="7">
        <f>IF($B2935="","",I2935*Q2935/100)</f>
        <v/>
      </c>
      <c r="N2935" s="7" t="n"/>
      <c r="O2935" s="7" t="n"/>
      <c r="P2935" s="7">
        <f>IF($B2935="","",O2935*X2935/100)</f>
        <v/>
      </c>
      <c r="Q2935" s="7">
        <f>IF($B2935="","",O2935-P2935)</f>
        <v/>
      </c>
      <c r="R2935" s="7">
        <f>IF($B2935="","",Q2935-J2935)</f>
        <v/>
      </c>
      <c r="S2935" s="7" t="n"/>
      <c r="T2935" s="7" t="n"/>
      <c r="V2935" s="14" t="n"/>
      <c r="Z2935">
        <f>IF($B2935="","",IF(COUNTIF($B$2:$B2935,$B2935)=1,1,0))</f>
        <v/>
      </c>
      <c r="AA2935">
        <f>IF($Z2935=1,SUMPRODUCT(--($AC$2:$AC$3001&lt;$AC2935))+1,"")</f>
        <v/>
      </c>
      <c r="AB2935">
        <f>IF($B2935="","",IF(OR($Y2935=TRUE(),$Y2935="TRUE"),1,IF(AND($Y2935&lt;&gt;"",OR($Y2935=FALSE(),$Y2935="FALSE")),0,IF(MIN(ABS($X2935/100-Settings!$C$6),ABS($X2935/100-Settings!$G$6))&lt;=MIN(ABS($X2935/100-Settings!$C$7),ABS($X2935/100-Settings!$G$7)),1,0))))</f>
        <v/>
      </c>
      <c r="AC2935">
        <f>IF($Z2935=1,IFERROR(IF(VALUE($B2935)&lt;100000000,VALUE($B2935),1000000000),IFERROR(IF(VALUE(MID($B2935,2,20))&lt;100000000,VALUE(MID($B2935,2,20)),1000000000),1000000000))+ROW()/100000,"")</f>
        <v/>
      </c>
    </row>
    <row r="2936">
      <c r="A2936">
        <f>IF($B2936="","",IFERROR(IF(INDEX('Per Invoice'!$A$2:$A$801,MATCH($B2936,'Per Invoice'!$B$2:$B$801,0))=0,"",INDEX('Per Invoice'!$A$2:$A$801,MATCH($B2936,'Per Invoice'!$B$2:$B$801,0))),""))</f>
        <v/>
      </c>
      <c r="J2936" s="7">
        <f>IF($B2936="","",I2936*Q2936/100)</f>
        <v/>
      </c>
      <c r="N2936" s="7" t="n"/>
      <c r="O2936" s="7" t="n"/>
      <c r="P2936" s="7">
        <f>IF($B2936="","",O2936*X2936/100)</f>
        <v/>
      </c>
      <c r="Q2936" s="7">
        <f>IF($B2936="","",O2936-P2936)</f>
        <v/>
      </c>
      <c r="R2936" s="7">
        <f>IF($B2936="","",Q2936-J2936)</f>
        <v/>
      </c>
      <c r="S2936" s="7" t="n"/>
      <c r="T2936" s="7" t="n"/>
      <c r="V2936" s="14" t="n"/>
      <c r="Z2936">
        <f>IF($B2936="","",IF(COUNTIF($B$2:$B2936,$B2936)=1,1,0))</f>
        <v/>
      </c>
      <c r="AA2936">
        <f>IF($Z2936=1,SUMPRODUCT(--($AC$2:$AC$3001&lt;$AC2936))+1,"")</f>
        <v/>
      </c>
      <c r="AB2936">
        <f>IF($B2936="","",IF(OR($Y2936=TRUE(),$Y2936="TRUE"),1,IF(AND($Y2936&lt;&gt;"",OR($Y2936=FALSE(),$Y2936="FALSE")),0,IF(MIN(ABS($X2936/100-Settings!$C$6),ABS($X2936/100-Settings!$G$6))&lt;=MIN(ABS($X2936/100-Settings!$C$7),ABS($X2936/100-Settings!$G$7)),1,0))))</f>
        <v/>
      </c>
      <c r="AC2936">
        <f>IF($Z2936=1,IFERROR(IF(VALUE($B2936)&lt;100000000,VALUE($B2936),1000000000),IFERROR(IF(VALUE(MID($B2936,2,20))&lt;100000000,VALUE(MID($B2936,2,20)),1000000000),1000000000))+ROW()/100000,"")</f>
        <v/>
      </c>
    </row>
    <row r="2937">
      <c r="A2937">
        <f>IF($B2937="","",IFERROR(IF(INDEX('Per Invoice'!$A$2:$A$801,MATCH($B2937,'Per Invoice'!$B$2:$B$801,0))=0,"",INDEX('Per Invoice'!$A$2:$A$801,MATCH($B2937,'Per Invoice'!$B$2:$B$801,0))),""))</f>
        <v/>
      </c>
      <c r="J2937" s="7">
        <f>IF($B2937="","",I2937*Q2937/100)</f>
        <v/>
      </c>
      <c r="N2937" s="7" t="n"/>
      <c r="O2937" s="7" t="n"/>
      <c r="P2937" s="7">
        <f>IF($B2937="","",O2937*X2937/100)</f>
        <v/>
      </c>
      <c r="Q2937" s="7">
        <f>IF($B2937="","",O2937-P2937)</f>
        <v/>
      </c>
      <c r="R2937" s="7">
        <f>IF($B2937="","",Q2937-J2937)</f>
        <v/>
      </c>
      <c r="S2937" s="7" t="n"/>
      <c r="T2937" s="7" t="n"/>
      <c r="V2937" s="14" t="n"/>
      <c r="Z2937">
        <f>IF($B2937="","",IF(COUNTIF($B$2:$B2937,$B2937)=1,1,0))</f>
        <v/>
      </c>
      <c r="AA2937">
        <f>IF($Z2937=1,SUMPRODUCT(--($AC$2:$AC$3001&lt;$AC2937))+1,"")</f>
        <v/>
      </c>
      <c r="AB2937">
        <f>IF($B2937="","",IF(OR($Y2937=TRUE(),$Y2937="TRUE"),1,IF(AND($Y2937&lt;&gt;"",OR($Y2937=FALSE(),$Y2937="FALSE")),0,IF(MIN(ABS($X2937/100-Settings!$C$6),ABS($X2937/100-Settings!$G$6))&lt;=MIN(ABS($X2937/100-Settings!$C$7),ABS($X2937/100-Settings!$G$7)),1,0))))</f>
        <v/>
      </c>
      <c r="AC2937">
        <f>IF($Z2937=1,IFERROR(IF(VALUE($B2937)&lt;100000000,VALUE($B2937),1000000000),IFERROR(IF(VALUE(MID($B2937,2,20))&lt;100000000,VALUE(MID($B2937,2,20)),1000000000),1000000000))+ROW()/100000,"")</f>
        <v/>
      </c>
    </row>
    <row r="2938">
      <c r="A2938">
        <f>IF($B2938="","",IFERROR(IF(INDEX('Per Invoice'!$A$2:$A$801,MATCH($B2938,'Per Invoice'!$B$2:$B$801,0))=0,"",INDEX('Per Invoice'!$A$2:$A$801,MATCH($B2938,'Per Invoice'!$B$2:$B$801,0))),""))</f>
        <v/>
      </c>
      <c r="J2938" s="7">
        <f>IF($B2938="","",I2938*Q2938/100)</f>
        <v/>
      </c>
      <c r="N2938" s="7" t="n"/>
      <c r="O2938" s="7" t="n"/>
      <c r="P2938" s="7">
        <f>IF($B2938="","",O2938*X2938/100)</f>
        <v/>
      </c>
      <c r="Q2938" s="7">
        <f>IF($B2938="","",O2938-P2938)</f>
        <v/>
      </c>
      <c r="R2938" s="7">
        <f>IF($B2938="","",Q2938-J2938)</f>
        <v/>
      </c>
      <c r="S2938" s="7" t="n"/>
      <c r="T2938" s="7" t="n"/>
      <c r="V2938" s="14" t="n"/>
      <c r="Z2938">
        <f>IF($B2938="","",IF(COUNTIF($B$2:$B2938,$B2938)=1,1,0))</f>
        <v/>
      </c>
      <c r="AA2938">
        <f>IF($Z2938=1,SUMPRODUCT(--($AC$2:$AC$3001&lt;$AC2938))+1,"")</f>
        <v/>
      </c>
      <c r="AB2938">
        <f>IF($B2938="","",IF(OR($Y2938=TRUE(),$Y2938="TRUE"),1,IF(AND($Y2938&lt;&gt;"",OR($Y2938=FALSE(),$Y2938="FALSE")),0,IF(MIN(ABS($X2938/100-Settings!$C$6),ABS($X2938/100-Settings!$G$6))&lt;=MIN(ABS($X2938/100-Settings!$C$7),ABS($X2938/100-Settings!$G$7)),1,0))))</f>
        <v/>
      </c>
      <c r="AC2938">
        <f>IF($Z2938=1,IFERROR(IF(VALUE($B2938)&lt;100000000,VALUE($B2938),1000000000),IFERROR(IF(VALUE(MID($B2938,2,20))&lt;100000000,VALUE(MID($B2938,2,20)),1000000000),1000000000))+ROW()/100000,"")</f>
        <v/>
      </c>
    </row>
    <row r="2939">
      <c r="A2939">
        <f>IF($B2939="","",IFERROR(IF(INDEX('Per Invoice'!$A$2:$A$801,MATCH($B2939,'Per Invoice'!$B$2:$B$801,0))=0,"",INDEX('Per Invoice'!$A$2:$A$801,MATCH($B2939,'Per Invoice'!$B$2:$B$801,0))),""))</f>
        <v/>
      </c>
      <c r="J2939" s="7">
        <f>IF($B2939="","",I2939*Q2939/100)</f>
        <v/>
      </c>
      <c r="N2939" s="7" t="n"/>
      <c r="O2939" s="7" t="n"/>
      <c r="P2939" s="7">
        <f>IF($B2939="","",O2939*X2939/100)</f>
        <v/>
      </c>
      <c r="Q2939" s="7">
        <f>IF($B2939="","",O2939-P2939)</f>
        <v/>
      </c>
      <c r="R2939" s="7">
        <f>IF($B2939="","",Q2939-J2939)</f>
        <v/>
      </c>
      <c r="S2939" s="7" t="n"/>
      <c r="T2939" s="7" t="n"/>
      <c r="V2939" s="14" t="n"/>
      <c r="Z2939">
        <f>IF($B2939="","",IF(COUNTIF($B$2:$B2939,$B2939)=1,1,0))</f>
        <v/>
      </c>
      <c r="AA2939">
        <f>IF($Z2939=1,SUMPRODUCT(--($AC$2:$AC$3001&lt;$AC2939))+1,"")</f>
        <v/>
      </c>
      <c r="AB2939">
        <f>IF($B2939="","",IF(OR($Y2939=TRUE(),$Y2939="TRUE"),1,IF(AND($Y2939&lt;&gt;"",OR($Y2939=FALSE(),$Y2939="FALSE")),0,IF(MIN(ABS($X2939/100-Settings!$C$6),ABS($X2939/100-Settings!$G$6))&lt;=MIN(ABS($X2939/100-Settings!$C$7),ABS($X2939/100-Settings!$G$7)),1,0))))</f>
        <v/>
      </c>
      <c r="AC2939">
        <f>IF($Z2939=1,IFERROR(IF(VALUE($B2939)&lt;100000000,VALUE($B2939),1000000000),IFERROR(IF(VALUE(MID($B2939,2,20))&lt;100000000,VALUE(MID($B2939,2,20)),1000000000),1000000000))+ROW()/100000,"")</f>
        <v/>
      </c>
    </row>
    <row r="2940">
      <c r="A2940">
        <f>IF($B2940="","",IFERROR(IF(INDEX('Per Invoice'!$A$2:$A$801,MATCH($B2940,'Per Invoice'!$B$2:$B$801,0))=0,"",INDEX('Per Invoice'!$A$2:$A$801,MATCH($B2940,'Per Invoice'!$B$2:$B$801,0))),""))</f>
        <v/>
      </c>
      <c r="J2940" s="7">
        <f>IF($B2940="","",I2940*Q2940/100)</f>
        <v/>
      </c>
      <c r="N2940" s="7" t="n"/>
      <c r="O2940" s="7" t="n"/>
      <c r="P2940" s="7">
        <f>IF($B2940="","",O2940*X2940/100)</f>
        <v/>
      </c>
      <c r="Q2940" s="7">
        <f>IF($B2940="","",O2940-P2940)</f>
        <v/>
      </c>
      <c r="R2940" s="7">
        <f>IF($B2940="","",Q2940-J2940)</f>
        <v/>
      </c>
      <c r="S2940" s="7" t="n"/>
      <c r="T2940" s="7" t="n"/>
      <c r="V2940" s="14" t="n"/>
      <c r="Z2940">
        <f>IF($B2940="","",IF(COUNTIF($B$2:$B2940,$B2940)=1,1,0))</f>
        <v/>
      </c>
      <c r="AA2940">
        <f>IF($Z2940=1,SUMPRODUCT(--($AC$2:$AC$3001&lt;$AC2940))+1,"")</f>
        <v/>
      </c>
      <c r="AB2940">
        <f>IF($B2940="","",IF(OR($Y2940=TRUE(),$Y2940="TRUE"),1,IF(AND($Y2940&lt;&gt;"",OR($Y2940=FALSE(),$Y2940="FALSE")),0,IF(MIN(ABS($X2940/100-Settings!$C$6),ABS($X2940/100-Settings!$G$6))&lt;=MIN(ABS($X2940/100-Settings!$C$7),ABS($X2940/100-Settings!$G$7)),1,0))))</f>
        <v/>
      </c>
      <c r="AC2940">
        <f>IF($Z2940=1,IFERROR(IF(VALUE($B2940)&lt;100000000,VALUE($B2940),1000000000),IFERROR(IF(VALUE(MID($B2940,2,20))&lt;100000000,VALUE(MID($B2940,2,20)),1000000000),1000000000))+ROW()/100000,"")</f>
        <v/>
      </c>
    </row>
    <row r="2941">
      <c r="A2941">
        <f>IF($B2941="","",IFERROR(IF(INDEX('Per Invoice'!$A$2:$A$801,MATCH($B2941,'Per Invoice'!$B$2:$B$801,0))=0,"",INDEX('Per Invoice'!$A$2:$A$801,MATCH($B2941,'Per Invoice'!$B$2:$B$801,0))),""))</f>
        <v/>
      </c>
      <c r="J2941" s="7">
        <f>IF($B2941="","",I2941*Q2941/100)</f>
        <v/>
      </c>
      <c r="N2941" s="7" t="n"/>
      <c r="O2941" s="7" t="n"/>
      <c r="P2941" s="7">
        <f>IF($B2941="","",O2941*X2941/100)</f>
        <v/>
      </c>
      <c r="Q2941" s="7">
        <f>IF($B2941="","",O2941-P2941)</f>
        <v/>
      </c>
      <c r="R2941" s="7">
        <f>IF($B2941="","",Q2941-J2941)</f>
        <v/>
      </c>
      <c r="S2941" s="7" t="n"/>
      <c r="T2941" s="7" t="n"/>
      <c r="V2941" s="14" t="n"/>
      <c r="Z2941">
        <f>IF($B2941="","",IF(COUNTIF($B$2:$B2941,$B2941)=1,1,0))</f>
        <v/>
      </c>
      <c r="AA2941">
        <f>IF($Z2941=1,SUMPRODUCT(--($AC$2:$AC$3001&lt;$AC2941))+1,"")</f>
        <v/>
      </c>
      <c r="AB2941">
        <f>IF($B2941="","",IF(OR($Y2941=TRUE(),$Y2941="TRUE"),1,IF(AND($Y2941&lt;&gt;"",OR($Y2941=FALSE(),$Y2941="FALSE")),0,IF(MIN(ABS($X2941/100-Settings!$C$6),ABS($X2941/100-Settings!$G$6))&lt;=MIN(ABS($X2941/100-Settings!$C$7),ABS($X2941/100-Settings!$G$7)),1,0))))</f>
        <v/>
      </c>
      <c r="AC2941">
        <f>IF($Z2941=1,IFERROR(IF(VALUE($B2941)&lt;100000000,VALUE($B2941),1000000000),IFERROR(IF(VALUE(MID($B2941,2,20))&lt;100000000,VALUE(MID($B2941,2,20)),1000000000),1000000000))+ROW()/100000,"")</f>
        <v/>
      </c>
    </row>
    <row r="2942">
      <c r="A2942">
        <f>IF($B2942="","",IFERROR(IF(INDEX('Per Invoice'!$A$2:$A$801,MATCH($B2942,'Per Invoice'!$B$2:$B$801,0))=0,"",INDEX('Per Invoice'!$A$2:$A$801,MATCH($B2942,'Per Invoice'!$B$2:$B$801,0))),""))</f>
        <v/>
      </c>
      <c r="J2942" s="7">
        <f>IF($B2942="","",I2942*Q2942/100)</f>
        <v/>
      </c>
      <c r="N2942" s="7" t="n"/>
      <c r="O2942" s="7" t="n"/>
      <c r="P2942" s="7">
        <f>IF($B2942="","",O2942*X2942/100)</f>
        <v/>
      </c>
      <c r="Q2942" s="7">
        <f>IF($B2942="","",O2942-P2942)</f>
        <v/>
      </c>
      <c r="R2942" s="7">
        <f>IF($B2942="","",Q2942-J2942)</f>
        <v/>
      </c>
      <c r="S2942" s="7" t="n"/>
      <c r="T2942" s="7" t="n"/>
      <c r="V2942" s="14" t="n"/>
      <c r="Z2942">
        <f>IF($B2942="","",IF(COUNTIF($B$2:$B2942,$B2942)=1,1,0))</f>
        <v/>
      </c>
      <c r="AA2942">
        <f>IF($Z2942=1,SUMPRODUCT(--($AC$2:$AC$3001&lt;$AC2942))+1,"")</f>
        <v/>
      </c>
      <c r="AB2942">
        <f>IF($B2942="","",IF(OR($Y2942=TRUE(),$Y2942="TRUE"),1,IF(AND($Y2942&lt;&gt;"",OR($Y2942=FALSE(),$Y2942="FALSE")),0,IF(MIN(ABS($X2942/100-Settings!$C$6),ABS($X2942/100-Settings!$G$6))&lt;=MIN(ABS($X2942/100-Settings!$C$7),ABS($X2942/100-Settings!$G$7)),1,0))))</f>
        <v/>
      </c>
      <c r="AC2942">
        <f>IF($Z2942=1,IFERROR(IF(VALUE($B2942)&lt;100000000,VALUE($B2942),1000000000),IFERROR(IF(VALUE(MID($B2942,2,20))&lt;100000000,VALUE(MID($B2942,2,20)),1000000000),1000000000))+ROW()/100000,"")</f>
        <v/>
      </c>
    </row>
    <row r="2943">
      <c r="A2943">
        <f>IF($B2943="","",IFERROR(IF(INDEX('Per Invoice'!$A$2:$A$801,MATCH($B2943,'Per Invoice'!$B$2:$B$801,0))=0,"",INDEX('Per Invoice'!$A$2:$A$801,MATCH($B2943,'Per Invoice'!$B$2:$B$801,0))),""))</f>
        <v/>
      </c>
      <c r="J2943" s="7">
        <f>IF($B2943="","",I2943*Q2943/100)</f>
        <v/>
      </c>
      <c r="N2943" s="7" t="n"/>
      <c r="O2943" s="7" t="n"/>
      <c r="P2943" s="7">
        <f>IF($B2943="","",O2943*X2943/100)</f>
        <v/>
      </c>
      <c r="Q2943" s="7">
        <f>IF($B2943="","",O2943-P2943)</f>
        <v/>
      </c>
      <c r="R2943" s="7">
        <f>IF($B2943="","",Q2943-J2943)</f>
        <v/>
      </c>
      <c r="S2943" s="7" t="n"/>
      <c r="T2943" s="7" t="n"/>
      <c r="V2943" s="14" t="n"/>
      <c r="Z2943">
        <f>IF($B2943="","",IF(COUNTIF($B$2:$B2943,$B2943)=1,1,0))</f>
        <v/>
      </c>
      <c r="AA2943">
        <f>IF($Z2943=1,SUMPRODUCT(--($AC$2:$AC$3001&lt;$AC2943))+1,"")</f>
        <v/>
      </c>
      <c r="AB2943">
        <f>IF($B2943="","",IF(OR($Y2943=TRUE(),$Y2943="TRUE"),1,IF(AND($Y2943&lt;&gt;"",OR($Y2943=FALSE(),$Y2943="FALSE")),0,IF(MIN(ABS($X2943/100-Settings!$C$6),ABS($X2943/100-Settings!$G$6))&lt;=MIN(ABS($X2943/100-Settings!$C$7),ABS($X2943/100-Settings!$G$7)),1,0))))</f>
        <v/>
      </c>
      <c r="AC2943">
        <f>IF($Z2943=1,IFERROR(IF(VALUE($B2943)&lt;100000000,VALUE($B2943),1000000000),IFERROR(IF(VALUE(MID($B2943,2,20))&lt;100000000,VALUE(MID($B2943,2,20)),1000000000),1000000000))+ROW()/100000,"")</f>
        <v/>
      </c>
    </row>
    <row r="2944">
      <c r="A2944">
        <f>IF($B2944="","",IFERROR(IF(INDEX('Per Invoice'!$A$2:$A$801,MATCH($B2944,'Per Invoice'!$B$2:$B$801,0))=0,"",INDEX('Per Invoice'!$A$2:$A$801,MATCH($B2944,'Per Invoice'!$B$2:$B$801,0))),""))</f>
        <v/>
      </c>
      <c r="J2944" s="7">
        <f>IF($B2944="","",I2944*Q2944/100)</f>
        <v/>
      </c>
      <c r="N2944" s="7" t="n"/>
      <c r="O2944" s="7" t="n"/>
      <c r="P2944" s="7">
        <f>IF($B2944="","",O2944*X2944/100)</f>
        <v/>
      </c>
      <c r="Q2944" s="7">
        <f>IF($B2944="","",O2944-P2944)</f>
        <v/>
      </c>
      <c r="R2944" s="7">
        <f>IF($B2944="","",Q2944-J2944)</f>
        <v/>
      </c>
      <c r="S2944" s="7" t="n"/>
      <c r="T2944" s="7" t="n"/>
      <c r="V2944" s="14" t="n"/>
      <c r="Z2944">
        <f>IF($B2944="","",IF(COUNTIF($B$2:$B2944,$B2944)=1,1,0))</f>
        <v/>
      </c>
      <c r="AA2944">
        <f>IF($Z2944=1,SUMPRODUCT(--($AC$2:$AC$3001&lt;$AC2944))+1,"")</f>
        <v/>
      </c>
      <c r="AB2944">
        <f>IF($B2944="","",IF(OR($Y2944=TRUE(),$Y2944="TRUE"),1,IF(AND($Y2944&lt;&gt;"",OR($Y2944=FALSE(),$Y2944="FALSE")),0,IF(MIN(ABS($X2944/100-Settings!$C$6),ABS($X2944/100-Settings!$G$6))&lt;=MIN(ABS($X2944/100-Settings!$C$7),ABS($X2944/100-Settings!$G$7)),1,0))))</f>
        <v/>
      </c>
      <c r="AC2944">
        <f>IF($Z2944=1,IFERROR(IF(VALUE($B2944)&lt;100000000,VALUE($B2944),1000000000),IFERROR(IF(VALUE(MID($B2944,2,20))&lt;100000000,VALUE(MID($B2944,2,20)),1000000000),1000000000))+ROW()/100000,"")</f>
        <v/>
      </c>
    </row>
    <row r="2945">
      <c r="A2945">
        <f>IF($B2945="","",IFERROR(IF(INDEX('Per Invoice'!$A$2:$A$801,MATCH($B2945,'Per Invoice'!$B$2:$B$801,0))=0,"",INDEX('Per Invoice'!$A$2:$A$801,MATCH($B2945,'Per Invoice'!$B$2:$B$801,0))),""))</f>
        <v/>
      </c>
      <c r="J2945" s="7">
        <f>IF($B2945="","",I2945*Q2945/100)</f>
        <v/>
      </c>
      <c r="N2945" s="7" t="n"/>
      <c r="O2945" s="7" t="n"/>
      <c r="P2945" s="7">
        <f>IF($B2945="","",O2945*X2945/100)</f>
        <v/>
      </c>
      <c r="Q2945" s="7">
        <f>IF($B2945="","",O2945-P2945)</f>
        <v/>
      </c>
      <c r="R2945" s="7">
        <f>IF($B2945="","",Q2945-J2945)</f>
        <v/>
      </c>
      <c r="S2945" s="7" t="n"/>
      <c r="T2945" s="7" t="n"/>
      <c r="V2945" s="14" t="n"/>
      <c r="Z2945">
        <f>IF($B2945="","",IF(COUNTIF($B$2:$B2945,$B2945)=1,1,0))</f>
        <v/>
      </c>
      <c r="AA2945">
        <f>IF($Z2945=1,SUMPRODUCT(--($AC$2:$AC$3001&lt;$AC2945))+1,"")</f>
        <v/>
      </c>
      <c r="AB2945">
        <f>IF($B2945="","",IF(OR($Y2945=TRUE(),$Y2945="TRUE"),1,IF(AND($Y2945&lt;&gt;"",OR($Y2945=FALSE(),$Y2945="FALSE")),0,IF(MIN(ABS($X2945/100-Settings!$C$6),ABS($X2945/100-Settings!$G$6))&lt;=MIN(ABS($X2945/100-Settings!$C$7),ABS($X2945/100-Settings!$G$7)),1,0))))</f>
        <v/>
      </c>
      <c r="AC2945">
        <f>IF($Z2945=1,IFERROR(IF(VALUE($B2945)&lt;100000000,VALUE($B2945),1000000000),IFERROR(IF(VALUE(MID($B2945,2,20))&lt;100000000,VALUE(MID($B2945,2,20)),1000000000),1000000000))+ROW()/100000,"")</f>
        <v/>
      </c>
    </row>
    <row r="2946">
      <c r="A2946">
        <f>IF($B2946="","",IFERROR(IF(INDEX('Per Invoice'!$A$2:$A$801,MATCH($B2946,'Per Invoice'!$B$2:$B$801,0))=0,"",INDEX('Per Invoice'!$A$2:$A$801,MATCH($B2946,'Per Invoice'!$B$2:$B$801,0))),""))</f>
        <v/>
      </c>
      <c r="J2946" s="7">
        <f>IF($B2946="","",I2946*Q2946/100)</f>
        <v/>
      </c>
      <c r="N2946" s="7" t="n"/>
      <c r="O2946" s="7" t="n"/>
      <c r="P2946" s="7">
        <f>IF($B2946="","",O2946*X2946/100)</f>
        <v/>
      </c>
      <c r="Q2946" s="7">
        <f>IF($B2946="","",O2946-P2946)</f>
        <v/>
      </c>
      <c r="R2946" s="7">
        <f>IF($B2946="","",Q2946-J2946)</f>
        <v/>
      </c>
      <c r="S2946" s="7" t="n"/>
      <c r="T2946" s="7" t="n"/>
      <c r="V2946" s="14" t="n"/>
      <c r="Z2946">
        <f>IF($B2946="","",IF(COUNTIF($B$2:$B2946,$B2946)=1,1,0))</f>
        <v/>
      </c>
      <c r="AA2946">
        <f>IF($Z2946=1,SUMPRODUCT(--($AC$2:$AC$3001&lt;$AC2946))+1,"")</f>
        <v/>
      </c>
      <c r="AB2946">
        <f>IF($B2946="","",IF(OR($Y2946=TRUE(),$Y2946="TRUE"),1,IF(AND($Y2946&lt;&gt;"",OR($Y2946=FALSE(),$Y2946="FALSE")),0,IF(MIN(ABS($X2946/100-Settings!$C$6),ABS($X2946/100-Settings!$G$6))&lt;=MIN(ABS($X2946/100-Settings!$C$7),ABS($X2946/100-Settings!$G$7)),1,0))))</f>
        <v/>
      </c>
      <c r="AC2946">
        <f>IF($Z2946=1,IFERROR(IF(VALUE($B2946)&lt;100000000,VALUE($B2946),1000000000),IFERROR(IF(VALUE(MID($B2946,2,20))&lt;100000000,VALUE(MID($B2946,2,20)),1000000000),1000000000))+ROW()/100000,"")</f>
        <v/>
      </c>
    </row>
    <row r="2947">
      <c r="A2947">
        <f>IF($B2947="","",IFERROR(IF(INDEX('Per Invoice'!$A$2:$A$801,MATCH($B2947,'Per Invoice'!$B$2:$B$801,0))=0,"",INDEX('Per Invoice'!$A$2:$A$801,MATCH($B2947,'Per Invoice'!$B$2:$B$801,0))),""))</f>
        <v/>
      </c>
      <c r="J2947" s="7">
        <f>IF($B2947="","",I2947*Q2947/100)</f>
        <v/>
      </c>
      <c r="N2947" s="7" t="n"/>
      <c r="O2947" s="7" t="n"/>
      <c r="P2947" s="7">
        <f>IF($B2947="","",O2947*X2947/100)</f>
        <v/>
      </c>
      <c r="Q2947" s="7">
        <f>IF($B2947="","",O2947-P2947)</f>
        <v/>
      </c>
      <c r="R2947" s="7">
        <f>IF($B2947="","",Q2947-J2947)</f>
        <v/>
      </c>
      <c r="S2947" s="7" t="n"/>
      <c r="T2947" s="7" t="n"/>
      <c r="V2947" s="14" t="n"/>
      <c r="Z2947">
        <f>IF($B2947="","",IF(COUNTIF($B$2:$B2947,$B2947)=1,1,0))</f>
        <v/>
      </c>
      <c r="AA2947">
        <f>IF($Z2947=1,SUMPRODUCT(--($AC$2:$AC$3001&lt;$AC2947))+1,"")</f>
        <v/>
      </c>
      <c r="AB2947">
        <f>IF($B2947="","",IF(OR($Y2947=TRUE(),$Y2947="TRUE"),1,IF(AND($Y2947&lt;&gt;"",OR($Y2947=FALSE(),$Y2947="FALSE")),0,IF(MIN(ABS($X2947/100-Settings!$C$6),ABS($X2947/100-Settings!$G$6))&lt;=MIN(ABS($X2947/100-Settings!$C$7),ABS($X2947/100-Settings!$G$7)),1,0))))</f>
        <v/>
      </c>
      <c r="AC2947">
        <f>IF($Z2947=1,IFERROR(IF(VALUE($B2947)&lt;100000000,VALUE($B2947),1000000000),IFERROR(IF(VALUE(MID($B2947,2,20))&lt;100000000,VALUE(MID($B2947,2,20)),1000000000),1000000000))+ROW()/100000,"")</f>
        <v/>
      </c>
    </row>
    <row r="2948">
      <c r="A2948">
        <f>IF($B2948="","",IFERROR(IF(INDEX('Per Invoice'!$A$2:$A$801,MATCH($B2948,'Per Invoice'!$B$2:$B$801,0))=0,"",INDEX('Per Invoice'!$A$2:$A$801,MATCH($B2948,'Per Invoice'!$B$2:$B$801,0))),""))</f>
        <v/>
      </c>
      <c r="J2948" s="7">
        <f>IF($B2948="","",I2948*Q2948/100)</f>
        <v/>
      </c>
      <c r="N2948" s="7" t="n"/>
      <c r="O2948" s="7" t="n"/>
      <c r="P2948" s="7">
        <f>IF($B2948="","",O2948*X2948/100)</f>
        <v/>
      </c>
      <c r="Q2948" s="7">
        <f>IF($B2948="","",O2948-P2948)</f>
        <v/>
      </c>
      <c r="R2948" s="7">
        <f>IF($B2948="","",Q2948-J2948)</f>
        <v/>
      </c>
      <c r="S2948" s="7" t="n"/>
      <c r="T2948" s="7" t="n"/>
      <c r="V2948" s="14" t="n"/>
      <c r="Z2948">
        <f>IF($B2948="","",IF(COUNTIF($B$2:$B2948,$B2948)=1,1,0))</f>
        <v/>
      </c>
      <c r="AA2948">
        <f>IF($Z2948=1,SUMPRODUCT(--($AC$2:$AC$3001&lt;$AC2948))+1,"")</f>
        <v/>
      </c>
      <c r="AB2948">
        <f>IF($B2948="","",IF(OR($Y2948=TRUE(),$Y2948="TRUE"),1,IF(AND($Y2948&lt;&gt;"",OR($Y2948=FALSE(),$Y2948="FALSE")),0,IF(MIN(ABS($X2948/100-Settings!$C$6),ABS($X2948/100-Settings!$G$6))&lt;=MIN(ABS($X2948/100-Settings!$C$7),ABS($X2948/100-Settings!$G$7)),1,0))))</f>
        <v/>
      </c>
      <c r="AC2948">
        <f>IF($Z2948=1,IFERROR(IF(VALUE($B2948)&lt;100000000,VALUE($B2948),1000000000),IFERROR(IF(VALUE(MID($B2948,2,20))&lt;100000000,VALUE(MID($B2948,2,20)),1000000000),1000000000))+ROW()/100000,"")</f>
        <v/>
      </c>
    </row>
    <row r="2949">
      <c r="A2949">
        <f>IF($B2949="","",IFERROR(IF(INDEX('Per Invoice'!$A$2:$A$801,MATCH($B2949,'Per Invoice'!$B$2:$B$801,0))=0,"",INDEX('Per Invoice'!$A$2:$A$801,MATCH($B2949,'Per Invoice'!$B$2:$B$801,0))),""))</f>
        <v/>
      </c>
      <c r="J2949" s="7">
        <f>IF($B2949="","",I2949*Q2949/100)</f>
        <v/>
      </c>
      <c r="N2949" s="7" t="n"/>
      <c r="O2949" s="7" t="n"/>
      <c r="P2949" s="7">
        <f>IF($B2949="","",O2949*X2949/100)</f>
        <v/>
      </c>
      <c r="Q2949" s="7">
        <f>IF($B2949="","",O2949-P2949)</f>
        <v/>
      </c>
      <c r="R2949" s="7">
        <f>IF($B2949="","",Q2949-J2949)</f>
        <v/>
      </c>
      <c r="S2949" s="7" t="n"/>
      <c r="T2949" s="7" t="n"/>
      <c r="V2949" s="14" t="n"/>
      <c r="Z2949">
        <f>IF($B2949="","",IF(COUNTIF($B$2:$B2949,$B2949)=1,1,0))</f>
        <v/>
      </c>
      <c r="AA2949">
        <f>IF($Z2949=1,SUMPRODUCT(--($AC$2:$AC$3001&lt;$AC2949))+1,"")</f>
        <v/>
      </c>
      <c r="AB2949">
        <f>IF($B2949="","",IF(OR($Y2949=TRUE(),$Y2949="TRUE"),1,IF(AND($Y2949&lt;&gt;"",OR($Y2949=FALSE(),$Y2949="FALSE")),0,IF(MIN(ABS($X2949/100-Settings!$C$6),ABS($X2949/100-Settings!$G$6))&lt;=MIN(ABS($X2949/100-Settings!$C$7),ABS($X2949/100-Settings!$G$7)),1,0))))</f>
        <v/>
      </c>
      <c r="AC2949">
        <f>IF($Z2949=1,IFERROR(IF(VALUE($B2949)&lt;100000000,VALUE($B2949),1000000000),IFERROR(IF(VALUE(MID($B2949,2,20))&lt;100000000,VALUE(MID($B2949,2,20)),1000000000),1000000000))+ROW()/100000,"")</f>
        <v/>
      </c>
    </row>
    <row r="2950">
      <c r="A2950">
        <f>IF($B2950="","",IFERROR(IF(INDEX('Per Invoice'!$A$2:$A$801,MATCH($B2950,'Per Invoice'!$B$2:$B$801,0))=0,"",INDEX('Per Invoice'!$A$2:$A$801,MATCH($B2950,'Per Invoice'!$B$2:$B$801,0))),""))</f>
        <v/>
      </c>
      <c r="J2950" s="7">
        <f>IF($B2950="","",I2950*Q2950/100)</f>
        <v/>
      </c>
      <c r="N2950" s="7" t="n"/>
      <c r="O2950" s="7" t="n"/>
      <c r="P2950" s="7">
        <f>IF($B2950="","",O2950*X2950/100)</f>
        <v/>
      </c>
      <c r="Q2950" s="7">
        <f>IF($B2950="","",O2950-P2950)</f>
        <v/>
      </c>
      <c r="R2950" s="7">
        <f>IF($B2950="","",Q2950-J2950)</f>
        <v/>
      </c>
      <c r="S2950" s="7" t="n"/>
      <c r="T2950" s="7" t="n"/>
      <c r="V2950" s="14" t="n"/>
      <c r="Z2950">
        <f>IF($B2950="","",IF(COUNTIF($B$2:$B2950,$B2950)=1,1,0))</f>
        <v/>
      </c>
      <c r="AA2950">
        <f>IF($Z2950=1,SUMPRODUCT(--($AC$2:$AC$3001&lt;$AC2950))+1,"")</f>
        <v/>
      </c>
      <c r="AB2950">
        <f>IF($B2950="","",IF(OR($Y2950=TRUE(),$Y2950="TRUE"),1,IF(AND($Y2950&lt;&gt;"",OR($Y2950=FALSE(),$Y2950="FALSE")),0,IF(MIN(ABS($X2950/100-Settings!$C$6),ABS($X2950/100-Settings!$G$6))&lt;=MIN(ABS($X2950/100-Settings!$C$7),ABS($X2950/100-Settings!$G$7)),1,0))))</f>
        <v/>
      </c>
      <c r="AC2950">
        <f>IF($Z2950=1,IFERROR(IF(VALUE($B2950)&lt;100000000,VALUE($B2950),1000000000),IFERROR(IF(VALUE(MID($B2950,2,20))&lt;100000000,VALUE(MID($B2950,2,20)),1000000000),1000000000))+ROW()/100000,"")</f>
        <v/>
      </c>
    </row>
    <row r="2951">
      <c r="A2951">
        <f>IF($B2951="","",IFERROR(IF(INDEX('Per Invoice'!$A$2:$A$801,MATCH($B2951,'Per Invoice'!$B$2:$B$801,0))=0,"",INDEX('Per Invoice'!$A$2:$A$801,MATCH($B2951,'Per Invoice'!$B$2:$B$801,0))),""))</f>
        <v/>
      </c>
      <c r="J2951" s="7">
        <f>IF($B2951="","",I2951*Q2951/100)</f>
        <v/>
      </c>
      <c r="N2951" s="7" t="n"/>
      <c r="O2951" s="7" t="n"/>
      <c r="P2951" s="7">
        <f>IF($B2951="","",O2951*X2951/100)</f>
        <v/>
      </c>
      <c r="Q2951" s="7">
        <f>IF($B2951="","",O2951-P2951)</f>
        <v/>
      </c>
      <c r="R2951" s="7">
        <f>IF($B2951="","",Q2951-J2951)</f>
        <v/>
      </c>
      <c r="S2951" s="7" t="n"/>
      <c r="T2951" s="7" t="n"/>
      <c r="V2951" s="14" t="n"/>
      <c r="Z2951">
        <f>IF($B2951="","",IF(COUNTIF($B$2:$B2951,$B2951)=1,1,0))</f>
        <v/>
      </c>
      <c r="AA2951">
        <f>IF($Z2951=1,SUMPRODUCT(--($AC$2:$AC$3001&lt;$AC2951))+1,"")</f>
        <v/>
      </c>
      <c r="AB2951">
        <f>IF($B2951="","",IF(OR($Y2951=TRUE(),$Y2951="TRUE"),1,IF(AND($Y2951&lt;&gt;"",OR($Y2951=FALSE(),$Y2951="FALSE")),0,IF(MIN(ABS($X2951/100-Settings!$C$6),ABS($X2951/100-Settings!$G$6))&lt;=MIN(ABS($X2951/100-Settings!$C$7),ABS($X2951/100-Settings!$G$7)),1,0))))</f>
        <v/>
      </c>
      <c r="AC2951">
        <f>IF($Z2951=1,IFERROR(IF(VALUE($B2951)&lt;100000000,VALUE($B2951),1000000000),IFERROR(IF(VALUE(MID($B2951,2,20))&lt;100000000,VALUE(MID($B2951,2,20)),1000000000),1000000000))+ROW()/100000,"")</f>
        <v/>
      </c>
    </row>
    <row r="2952">
      <c r="A2952">
        <f>IF($B2952="","",IFERROR(IF(INDEX('Per Invoice'!$A$2:$A$801,MATCH($B2952,'Per Invoice'!$B$2:$B$801,0))=0,"",INDEX('Per Invoice'!$A$2:$A$801,MATCH($B2952,'Per Invoice'!$B$2:$B$801,0))),""))</f>
        <v/>
      </c>
      <c r="J2952" s="7">
        <f>IF($B2952="","",I2952*Q2952/100)</f>
        <v/>
      </c>
      <c r="N2952" s="7" t="n"/>
      <c r="O2952" s="7" t="n"/>
      <c r="P2952" s="7">
        <f>IF($B2952="","",O2952*X2952/100)</f>
        <v/>
      </c>
      <c r="Q2952" s="7">
        <f>IF($B2952="","",O2952-P2952)</f>
        <v/>
      </c>
      <c r="R2952" s="7">
        <f>IF($B2952="","",Q2952-J2952)</f>
        <v/>
      </c>
      <c r="S2952" s="7" t="n"/>
      <c r="T2952" s="7" t="n"/>
      <c r="V2952" s="14" t="n"/>
      <c r="Z2952">
        <f>IF($B2952="","",IF(COUNTIF($B$2:$B2952,$B2952)=1,1,0))</f>
        <v/>
      </c>
      <c r="AA2952">
        <f>IF($Z2952=1,SUMPRODUCT(--($AC$2:$AC$3001&lt;$AC2952))+1,"")</f>
        <v/>
      </c>
      <c r="AB2952">
        <f>IF($B2952="","",IF(OR($Y2952=TRUE(),$Y2952="TRUE"),1,IF(AND($Y2952&lt;&gt;"",OR($Y2952=FALSE(),$Y2952="FALSE")),0,IF(MIN(ABS($X2952/100-Settings!$C$6),ABS($X2952/100-Settings!$G$6))&lt;=MIN(ABS($X2952/100-Settings!$C$7),ABS($X2952/100-Settings!$G$7)),1,0))))</f>
        <v/>
      </c>
      <c r="AC2952">
        <f>IF($Z2952=1,IFERROR(IF(VALUE($B2952)&lt;100000000,VALUE($B2952),1000000000),IFERROR(IF(VALUE(MID($B2952,2,20))&lt;100000000,VALUE(MID($B2952,2,20)),1000000000),1000000000))+ROW()/100000,"")</f>
        <v/>
      </c>
    </row>
    <row r="2953">
      <c r="A2953">
        <f>IF($B2953="","",IFERROR(IF(INDEX('Per Invoice'!$A$2:$A$801,MATCH($B2953,'Per Invoice'!$B$2:$B$801,0))=0,"",INDEX('Per Invoice'!$A$2:$A$801,MATCH($B2953,'Per Invoice'!$B$2:$B$801,0))),""))</f>
        <v/>
      </c>
      <c r="J2953" s="7">
        <f>IF($B2953="","",I2953*Q2953/100)</f>
        <v/>
      </c>
      <c r="N2953" s="7" t="n"/>
      <c r="O2953" s="7" t="n"/>
      <c r="P2953" s="7">
        <f>IF($B2953="","",O2953*X2953/100)</f>
        <v/>
      </c>
      <c r="Q2953" s="7">
        <f>IF($B2953="","",O2953-P2953)</f>
        <v/>
      </c>
      <c r="R2953" s="7">
        <f>IF($B2953="","",Q2953-J2953)</f>
        <v/>
      </c>
      <c r="S2953" s="7" t="n"/>
      <c r="T2953" s="7" t="n"/>
      <c r="V2953" s="14" t="n"/>
      <c r="Z2953">
        <f>IF($B2953="","",IF(COUNTIF($B$2:$B2953,$B2953)=1,1,0))</f>
        <v/>
      </c>
      <c r="AA2953">
        <f>IF($Z2953=1,SUMPRODUCT(--($AC$2:$AC$3001&lt;$AC2953))+1,"")</f>
        <v/>
      </c>
      <c r="AB2953">
        <f>IF($B2953="","",IF(OR($Y2953=TRUE(),$Y2953="TRUE"),1,IF(AND($Y2953&lt;&gt;"",OR($Y2953=FALSE(),$Y2953="FALSE")),0,IF(MIN(ABS($X2953/100-Settings!$C$6),ABS($X2953/100-Settings!$G$6))&lt;=MIN(ABS($X2953/100-Settings!$C$7),ABS($X2953/100-Settings!$G$7)),1,0))))</f>
        <v/>
      </c>
      <c r="AC2953">
        <f>IF($Z2953=1,IFERROR(IF(VALUE($B2953)&lt;100000000,VALUE($B2953),1000000000),IFERROR(IF(VALUE(MID($B2953,2,20))&lt;100000000,VALUE(MID($B2953,2,20)),1000000000),1000000000))+ROW()/100000,"")</f>
        <v/>
      </c>
    </row>
    <row r="2954">
      <c r="A2954">
        <f>IF($B2954="","",IFERROR(IF(INDEX('Per Invoice'!$A$2:$A$801,MATCH($B2954,'Per Invoice'!$B$2:$B$801,0))=0,"",INDEX('Per Invoice'!$A$2:$A$801,MATCH($B2954,'Per Invoice'!$B$2:$B$801,0))),""))</f>
        <v/>
      </c>
      <c r="J2954" s="7">
        <f>IF($B2954="","",I2954*Q2954/100)</f>
        <v/>
      </c>
      <c r="N2954" s="7" t="n"/>
      <c r="O2954" s="7" t="n"/>
      <c r="P2954" s="7">
        <f>IF($B2954="","",O2954*X2954/100)</f>
        <v/>
      </c>
      <c r="Q2954" s="7">
        <f>IF($B2954="","",O2954-P2954)</f>
        <v/>
      </c>
      <c r="R2954" s="7">
        <f>IF($B2954="","",Q2954-J2954)</f>
        <v/>
      </c>
      <c r="S2954" s="7" t="n"/>
      <c r="T2954" s="7" t="n"/>
      <c r="V2954" s="14" t="n"/>
      <c r="Z2954">
        <f>IF($B2954="","",IF(COUNTIF($B$2:$B2954,$B2954)=1,1,0))</f>
        <v/>
      </c>
      <c r="AA2954">
        <f>IF($Z2954=1,SUMPRODUCT(--($AC$2:$AC$3001&lt;$AC2954))+1,"")</f>
        <v/>
      </c>
      <c r="AB2954">
        <f>IF($B2954="","",IF(OR($Y2954=TRUE(),$Y2954="TRUE"),1,IF(AND($Y2954&lt;&gt;"",OR($Y2954=FALSE(),$Y2954="FALSE")),0,IF(MIN(ABS($X2954/100-Settings!$C$6),ABS($X2954/100-Settings!$G$6))&lt;=MIN(ABS($X2954/100-Settings!$C$7),ABS($X2954/100-Settings!$G$7)),1,0))))</f>
        <v/>
      </c>
      <c r="AC2954">
        <f>IF($Z2954=1,IFERROR(IF(VALUE($B2954)&lt;100000000,VALUE($B2954),1000000000),IFERROR(IF(VALUE(MID($B2954,2,20))&lt;100000000,VALUE(MID($B2954,2,20)),1000000000),1000000000))+ROW()/100000,"")</f>
        <v/>
      </c>
    </row>
    <row r="2955">
      <c r="A2955">
        <f>IF($B2955="","",IFERROR(IF(INDEX('Per Invoice'!$A$2:$A$801,MATCH($B2955,'Per Invoice'!$B$2:$B$801,0))=0,"",INDEX('Per Invoice'!$A$2:$A$801,MATCH($B2955,'Per Invoice'!$B$2:$B$801,0))),""))</f>
        <v/>
      </c>
      <c r="J2955" s="7">
        <f>IF($B2955="","",I2955*Q2955/100)</f>
        <v/>
      </c>
      <c r="N2955" s="7" t="n"/>
      <c r="O2955" s="7" t="n"/>
      <c r="P2955" s="7">
        <f>IF($B2955="","",O2955*X2955/100)</f>
        <v/>
      </c>
      <c r="Q2955" s="7">
        <f>IF($B2955="","",O2955-P2955)</f>
        <v/>
      </c>
      <c r="R2955" s="7">
        <f>IF($B2955="","",Q2955-J2955)</f>
        <v/>
      </c>
      <c r="S2955" s="7" t="n"/>
      <c r="T2955" s="7" t="n"/>
      <c r="V2955" s="14" t="n"/>
      <c r="Z2955">
        <f>IF($B2955="","",IF(COUNTIF($B$2:$B2955,$B2955)=1,1,0))</f>
        <v/>
      </c>
      <c r="AA2955">
        <f>IF($Z2955=1,SUMPRODUCT(--($AC$2:$AC$3001&lt;$AC2955))+1,"")</f>
        <v/>
      </c>
      <c r="AB2955">
        <f>IF($B2955="","",IF(OR($Y2955=TRUE(),$Y2955="TRUE"),1,IF(AND($Y2955&lt;&gt;"",OR($Y2955=FALSE(),$Y2955="FALSE")),0,IF(MIN(ABS($X2955/100-Settings!$C$6),ABS($X2955/100-Settings!$G$6))&lt;=MIN(ABS($X2955/100-Settings!$C$7),ABS($X2955/100-Settings!$G$7)),1,0))))</f>
        <v/>
      </c>
      <c r="AC2955">
        <f>IF($Z2955=1,IFERROR(IF(VALUE($B2955)&lt;100000000,VALUE($B2955),1000000000),IFERROR(IF(VALUE(MID($B2955,2,20))&lt;100000000,VALUE(MID($B2955,2,20)),1000000000),1000000000))+ROW()/100000,"")</f>
        <v/>
      </c>
    </row>
    <row r="2956">
      <c r="A2956">
        <f>IF($B2956="","",IFERROR(IF(INDEX('Per Invoice'!$A$2:$A$801,MATCH($B2956,'Per Invoice'!$B$2:$B$801,0))=0,"",INDEX('Per Invoice'!$A$2:$A$801,MATCH($B2956,'Per Invoice'!$B$2:$B$801,0))),""))</f>
        <v/>
      </c>
      <c r="J2956" s="7">
        <f>IF($B2956="","",I2956*Q2956/100)</f>
        <v/>
      </c>
      <c r="N2956" s="7" t="n"/>
      <c r="O2956" s="7" t="n"/>
      <c r="P2956" s="7">
        <f>IF($B2956="","",O2956*X2956/100)</f>
        <v/>
      </c>
      <c r="Q2956" s="7">
        <f>IF($B2956="","",O2956-P2956)</f>
        <v/>
      </c>
      <c r="R2956" s="7">
        <f>IF($B2956="","",Q2956-J2956)</f>
        <v/>
      </c>
      <c r="S2956" s="7" t="n"/>
      <c r="T2956" s="7" t="n"/>
      <c r="V2956" s="14" t="n"/>
      <c r="Z2956">
        <f>IF($B2956="","",IF(COUNTIF($B$2:$B2956,$B2956)=1,1,0))</f>
        <v/>
      </c>
      <c r="AA2956">
        <f>IF($Z2956=1,SUMPRODUCT(--($AC$2:$AC$3001&lt;$AC2956))+1,"")</f>
        <v/>
      </c>
      <c r="AB2956">
        <f>IF($B2956="","",IF(OR($Y2956=TRUE(),$Y2956="TRUE"),1,IF(AND($Y2956&lt;&gt;"",OR($Y2956=FALSE(),$Y2956="FALSE")),0,IF(MIN(ABS($X2956/100-Settings!$C$6),ABS($X2956/100-Settings!$G$6))&lt;=MIN(ABS($X2956/100-Settings!$C$7),ABS($X2956/100-Settings!$G$7)),1,0))))</f>
        <v/>
      </c>
      <c r="AC2956">
        <f>IF($Z2956=1,IFERROR(IF(VALUE($B2956)&lt;100000000,VALUE($B2956),1000000000),IFERROR(IF(VALUE(MID($B2956,2,20))&lt;100000000,VALUE(MID($B2956,2,20)),1000000000),1000000000))+ROW()/100000,"")</f>
        <v/>
      </c>
    </row>
    <row r="2957">
      <c r="A2957">
        <f>IF($B2957="","",IFERROR(IF(INDEX('Per Invoice'!$A$2:$A$801,MATCH($B2957,'Per Invoice'!$B$2:$B$801,0))=0,"",INDEX('Per Invoice'!$A$2:$A$801,MATCH($B2957,'Per Invoice'!$B$2:$B$801,0))),""))</f>
        <v/>
      </c>
      <c r="J2957" s="7">
        <f>IF($B2957="","",I2957*Q2957/100)</f>
        <v/>
      </c>
      <c r="N2957" s="7" t="n"/>
      <c r="O2957" s="7" t="n"/>
      <c r="P2957" s="7">
        <f>IF($B2957="","",O2957*X2957/100)</f>
        <v/>
      </c>
      <c r="Q2957" s="7">
        <f>IF($B2957="","",O2957-P2957)</f>
        <v/>
      </c>
      <c r="R2957" s="7">
        <f>IF($B2957="","",Q2957-J2957)</f>
        <v/>
      </c>
      <c r="S2957" s="7" t="n"/>
      <c r="T2957" s="7" t="n"/>
      <c r="V2957" s="14" t="n"/>
      <c r="Z2957">
        <f>IF($B2957="","",IF(COUNTIF($B$2:$B2957,$B2957)=1,1,0))</f>
        <v/>
      </c>
      <c r="AA2957">
        <f>IF($Z2957=1,SUMPRODUCT(--($AC$2:$AC$3001&lt;$AC2957))+1,"")</f>
        <v/>
      </c>
      <c r="AB2957">
        <f>IF($B2957="","",IF(OR($Y2957=TRUE(),$Y2957="TRUE"),1,IF(AND($Y2957&lt;&gt;"",OR($Y2957=FALSE(),$Y2957="FALSE")),0,IF(MIN(ABS($X2957/100-Settings!$C$6),ABS($X2957/100-Settings!$G$6))&lt;=MIN(ABS($X2957/100-Settings!$C$7),ABS($X2957/100-Settings!$G$7)),1,0))))</f>
        <v/>
      </c>
      <c r="AC2957">
        <f>IF($Z2957=1,IFERROR(IF(VALUE($B2957)&lt;100000000,VALUE($B2957),1000000000),IFERROR(IF(VALUE(MID($B2957,2,20))&lt;100000000,VALUE(MID($B2957,2,20)),1000000000),1000000000))+ROW()/100000,"")</f>
        <v/>
      </c>
    </row>
    <row r="2958">
      <c r="A2958">
        <f>IF($B2958="","",IFERROR(IF(INDEX('Per Invoice'!$A$2:$A$801,MATCH($B2958,'Per Invoice'!$B$2:$B$801,0))=0,"",INDEX('Per Invoice'!$A$2:$A$801,MATCH($B2958,'Per Invoice'!$B$2:$B$801,0))),""))</f>
        <v/>
      </c>
      <c r="J2958" s="7">
        <f>IF($B2958="","",I2958*Q2958/100)</f>
        <v/>
      </c>
      <c r="N2958" s="7" t="n"/>
      <c r="O2958" s="7" t="n"/>
      <c r="P2958" s="7">
        <f>IF($B2958="","",O2958*X2958/100)</f>
        <v/>
      </c>
      <c r="Q2958" s="7">
        <f>IF($B2958="","",O2958-P2958)</f>
        <v/>
      </c>
      <c r="R2958" s="7">
        <f>IF($B2958="","",Q2958-J2958)</f>
        <v/>
      </c>
      <c r="S2958" s="7" t="n"/>
      <c r="T2958" s="7" t="n"/>
      <c r="V2958" s="14" t="n"/>
      <c r="Z2958">
        <f>IF($B2958="","",IF(COUNTIF($B$2:$B2958,$B2958)=1,1,0))</f>
        <v/>
      </c>
      <c r="AA2958">
        <f>IF($Z2958=1,SUMPRODUCT(--($AC$2:$AC$3001&lt;$AC2958))+1,"")</f>
        <v/>
      </c>
      <c r="AB2958">
        <f>IF($B2958="","",IF(OR($Y2958=TRUE(),$Y2958="TRUE"),1,IF(AND($Y2958&lt;&gt;"",OR($Y2958=FALSE(),$Y2958="FALSE")),0,IF(MIN(ABS($X2958/100-Settings!$C$6),ABS($X2958/100-Settings!$G$6))&lt;=MIN(ABS($X2958/100-Settings!$C$7),ABS($X2958/100-Settings!$G$7)),1,0))))</f>
        <v/>
      </c>
      <c r="AC2958">
        <f>IF($Z2958=1,IFERROR(IF(VALUE($B2958)&lt;100000000,VALUE($B2958),1000000000),IFERROR(IF(VALUE(MID($B2958,2,20))&lt;100000000,VALUE(MID($B2958,2,20)),1000000000),1000000000))+ROW()/100000,"")</f>
        <v/>
      </c>
    </row>
    <row r="2959">
      <c r="A2959">
        <f>IF($B2959="","",IFERROR(IF(INDEX('Per Invoice'!$A$2:$A$801,MATCH($B2959,'Per Invoice'!$B$2:$B$801,0))=0,"",INDEX('Per Invoice'!$A$2:$A$801,MATCH($B2959,'Per Invoice'!$B$2:$B$801,0))),""))</f>
        <v/>
      </c>
      <c r="J2959" s="7">
        <f>IF($B2959="","",I2959*Q2959/100)</f>
        <v/>
      </c>
      <c r="N2959" s="7" t="n"/>
      <c r="O2959" s="7" t="n"/>
      <c r="P2959" s="7">
        <f>IF($B2959="","",O2959*X2959/100)</f>
        <v/>
      </c>
      <c r="Q2959" s="7">
        <f>IF($B2959="","",O2959-P2959)</f>
        <v/>
      </c>
      <c r="R2959" s="7">
        <f>IF($B2959="","",Q2959-J2959)</f>
        <v/>
      </c>
      <c r="S2959" s="7" t="n"/>
      <c r="T2959" s="7" t="n"/>
      <c r="V2959" s="14" t="n"/>
      <c r="Z2959">
        <f>IF($B2959="","",IF(COUNTIF($B$2:$B2959,$B2959)=1,1,0))</f>
        <v/>
      </c>
      <c r="AA2959">
        <f>IF($Z2959=1,SUMPRODUCT(--($AC$2:$AC$3001&lt;$AC2959))+1,"")</f>
        <v/>
      </c>
      <c r="AB2959">
        <f>IF($B2959="","",IF(OR($Y2959=TRUE(),$Y2959="TRUE"),1,IF(AND($Y2959&lt;&gt;"",OR($Y2959=FALSE(),$Y2959="FALSE")),0,IF(MIN(ABS($X2959/100-Settings!$C$6),ABS($X2959/100-Settings!$G$6))&lt;=MIN(ABS($X2959/100-Settings!$C$7),ABS($X2959/100-Settings!$G$7)),1,0))))</f>
        <v/>
      </c>
      <c r="AC2959">
        <f>IF($Z2959=1,IFERROR(IF(VALUE($B2959)&lt;100000000,VALUE($B2959),1000000000),IFERROR(IF(VALUE(MID($B2959,2,20))&lt;100000000,VALUE(MID($B2959,2,20)),1000000000),1000000000))+ROW()/100000,"")</f>
        <v/>
      </c>
    </row>
    <row r="2960">
      <c r="A2960">
        <f>IF($B2960="","",IFERROR(IF(INDEX('Per Invoice'!$A$2:$A$801,MATCH($B2960,'Per Invoice'!$B$2:$B$801,0))=0,"",INDEX('Per Invoice'!$A$2:$A$801,MATCH($B2960,'Per Invoice'!$B$2:$B$801,0))),""))</f>
        <v/>
      </c>
      <c r="J2960" s="7">
        <f>IF($B2960="","",I2960*Q2960/100)</f>
        <v/>
      </c>
      <c r="N2960" s="7" t="n"/>
      <c r="O2960" s="7" t="n"/>
      <c r="P2960" s="7">
        <f>IF($B2960="","",O2960*X2960/100)</f>
        <v/>
      </c>
      <c r="Q2960" s="7">
        <f>IF($B2960="","",O2960-P2960)</f>
        <v/>
      </c>
      <c r="R2960" s="7">
        <f>IF($B2960="","",Q2960-J2960)</f>
        <v/>
      </c>
      <c r="S2960" s="7" t="n"/>
      <c r="T2960" s="7" t="n"/>
      <c r="V2960" s="14" t="n"/>
      <c r="Z2960">
        <f>IF($B2960="","",IF(COUNTIF($B$2:$B2960,$B2960)=1,1,0))</f>
        <v/>
      </c>
      <c r="AA2960">
        <f>IF($Z2960=1,SUMPRODUCT(--($AC$2:$AC$3001&lt;$AC2960))+1,"")</f>
        <v/>
      </c>
      <c r="AB2960">
        <f>IF($B2960="","",IF(OR($Y2960=TRUE(),$Y2960="TRUE"),1,IF(AND($Y2960&lt;&gt;"",OR($Y2960=FALSE(),$Y2960="FALSE")),0,IF(MIN(ABS($X2960/100-Settings!$C$6),ABS($X2960/100-Settings!$G$6))&lt;=MIN(ABS($X2960/100-Settings!$C$7),ABS($X2960/100-Settings!$G$7)),1,0))))</f>
        <v/>
      </c>
      <c r="AC2960">
        <f>IF($Z2960=1,IFERROR(IF(VALUE($B2960)&lt;100000000,VALUE($B2960),1000000000),IFERROR(IF(VALUE(MID($B2960,2,20))&lt;100000000,VALUE(MID($B2960,2,20)),1000000000),1000000000))+ROW()/100000,"")</f>
        <v/>
      </c>
    </row>
    <row r="2961">
      <c r="A2961">
        <f>IF($B2961="","",IFERROR(IF(INDEX('Per Invoice'!$A$2:$A$801,MATCH($B2961,'Per Invoice'!$B$2:$B$801,0))=0,"",INDEX('Per Invoice'!$A$2:$A$801,MATCH($B2961,'Per Invoice'!$B$2:$B$801,0))),""))</f>
        <v/>
      </c>
      <c r="J2961" s="7">
        <f>IF($B2961="","",I2961*Q2961/100)</f>
        <v/>
      </c>
      <c r="N2961" s="7" t="n"/>
      <c r="O2961" s="7" t="n"/>
      <c r="P2961" s="7">
        <f>IF($B2961="","",O2961*X2961/100)</f>
        <v/>
      </c>
      <c r="Q2961" s="7">
        <f>IF($B2961="","",O2961-P2961)</f>
        <v/>
      </c>
      <c r="R2961" s="7">
        <f>IF($B2961="","",Q2961-J2961)</f>
        <v/>
      </c>
      <c r="S2961" s="7" t="n"/>
      <c r="T2961" s="7" t="n"/>
      <c r="V2961" s="14" t="n"/>
      <c r="Z2961">
        <f>IF($B2961="","",IF(COUNTIF($B$2:$B2961,$B2961)=1,1,0))</f>
        <v/>
      </c>
      <c r="AA2961">
        <f>IF($Z2961=1,SUMPRODUCT(--($AC$2:$AC$3001&lt;$AC2961))+1,"")</f>
        <v/>
      </c>
      <c r="AB2961">
        <f>IF($B2961="","",IF(OR($Y2961=TRUE(),$Y2961="TRUE"),1,IF(AND($Y2961&lt;&gt;"",OR($Y2961=FALSE(),$Y2961="FALSE")),0,IF(MIN(ABS($X2961/100-Settings!$C$6),ABS($X2961/100-Settings!$G$6))&lt;=MIN(ABS($X2961/100-Settings!$C$7),ABS($X2961/100-Settings!$G$7)),1,0))))</f>
        <v/>
      </c>
      <c r="AC2961">
        <f>IF($Z2961=1,IFERROR(IF(VALUE($B2961)&lt;100000000,VALUE($B2961),1000000000),IFERROR(IF(VALUE(MID($B2961,2,20))&lt;100000000,VALUE(MID($B2961,2,20)),1000000000),1000000000))+ROW()/100000,"")</f>
        <v/>
      </c>
    </row>
    <row r="2962">
      <c r="A2962">
        <f>IF($B2962="","",IFERROR(IF(INDEX('Per Invoice'!$A$2:$A$801,MATCH($B2962,'Per Invoice'!$B$2:$B$801,0))=0,"",INDEX('Per Invoice'!$A$2:$A$801,MATCH($B2962,'Per Invoice'!$B$2:$B$801,0))),""))</f>
        <v/>
      </c>
      <c r="J2962" s="7">
        <f>IF($B2962="","",I2962*Q2962/100)</f>
        <v/>
      </c>
      <c r="N2962" s="7" t="n"/>
      <c r="O2962" s="7" t="n"/>
      <c r="P2962" s="7">
        <f>IF($B2962="","",O2962*X2962/100)</f>
        <v/>
      </c>
      <c r="Q2962" s="7">
        <f>IF($B2962="","",O2962-P2962)</f>
        <v/>
      </c>
      <c r="R2962" s="7">
        <f>IF($B2962="","",Q2962-J2962)</f>
        <v/>
      </c>
      <c r="S2962" s="7" t="n"/>
      <c r="T2962" s="7" t="n"/>
      <c r="V2962" s="14" t="n"/>
      <c r="Z2962">
        <f>IF($B2962="","",IF(COUNTIF($B$2:$B2962,$B2962)=1,1,0))</f>
        <v/>
      </c>
      <c r="AA2962">
        <f>IF($Z2962=1,SUMPRODUCT(--($AC$2:$AC$3001&lt;$AC2962))+1,"")</f>
        <v/>
      </c>
      <c r="AB2962">
        <f>IF($B2962="","",IF(OR($Y2962=TRUE(),$Y2962="TRUE"),1,IF(AND($Y2962&lt;&gt;"",OR($Y2962=FALSE(),$Y2962="FALSE")),0,IF(MIN(ABS($X2962/100-Settings!$C$6),ABS($X2962/100-Settings!$G$6))&lt;=MIN(ABS($X2962/100-Settings!$C$7),ABS($X2962/100-Settings!$G$7)),1,0))))</f>
        <v/>
      </c>
      <c r="AC2962">
        <f>IF($Z2962=1,IFERROR(IF(VALUE($B2962)&lt;100000000,VALUE($B2962),1000000000),IFERROR(IF(VALUE(MID($B2962,2,20))&lt;100000000,VALUE(MID($B2962,2,20)),1000000000),1000000000))+ROW()/100000,"")</f>
        <v/>
      </c>
    </row>
    <row r="2963">
      <c r="A2963">
        <f>IF($B2963="","",IFERROR(IF(INDEX('Per Invoice'!$A$2:$A$801,MATCH($B2963,'Per Invoice'!$B$2:$B$801,0))=0,"",INDEX('Per Invoice'!$A$2:$A$801,MATCH($B2963,'Per Invoice'!$B$2:$B$801,0))),""))</f>
        <v/>
      </c>
      <c r="J2963" s="7">
        <f>IF($B2963="","",I2963*Q2963/100)</f>
        <v/>
      </c>
      <c r="N2963" s="7" t="n"/>
      <c r="O2963" s="7" t="n"/>
      <c r="P2963" s="7">
        <f>IF($B2963="","",O2963*X2963/100)</f>
        <v/>
      </c>
      <c r="Q2963" s="7">
        <f>IF($B2963="","",O2963-P2963)</f>
        <v/>
      </c>
      <c r="R2963" s="7">
        <f>IF($B2963="","",Q2963-J2963)</f>
        <v/>
      </c>
      <c r="S2963" s="7" t="n"/>
      <c r="T2963" s="7" t="n"/>
      <c r="V2963" s="14" t="n"/>
      <c r="Z2963">
        <f>IF($B2963="","",IF(COUNTIF($B$2:$B2963,$B2963)=1,1,0))</f>
        <v/>
      </c>
      <c r="AA2963">
        <f>IF($Z2963=1,SUMPRODUCT(--($AC$2:$AC$3001&lt;$AC2963))+1,"")</f>
        <v/>
      </c>
      <c r="AB2963">
        <f>IF($B2963="","",IF(OR($Y2963=TRUE(),$Y2963="TRUE"),1,IF(AND($Y2963&lt;&gt;"",OR($Y2963=FALSE(),$Y2963="FALSE")),0,IF(MIN(ABS($X2963/100-Settings!$C$6),ABS($X2963/100-Settings!$G$6))&lt;=MIN(ABS($X2963/100-Settings!$C$7),ABS($X2963/100-Settings!$G$7)),1,0))))</f>
        <v/>
      </c>
      <c r="AC2963">
        <f>IF($Z2963=1,IFERROR(IF(VALUE($B2963)&lt;100000000,VALUE($B2963),1000000000),IFERROR(IF(VALUE(MID($B2963,2,20))&lt;100000000,VALUE(MID($B2963,2,20)),1000000000),1000000000))+ROW()/100000,"")</f>
        <v/>
      </c>
    </row>
    <row r="2964">
      <c r="A2964">
        <f>IF($B2964="","",IFERROR(IF(INDEX('Per Invoice'!$A$2:$A$801,MATCH($B2964,'Per Invoice'!$B$2:$B$801,0))=0,"",INDEX('Per Invoice'!$A$2:$A$801,MATCH($B2964,'Per Invoice'!$B$2:$B$801,0))),""))</f>
        <v/>
      </c>
      <c r="J2964" s="7">
        <f>IF($B2964="","",I2964*Q2964/100)</f>
        <v/>
      </c>
      <c r="N2964" s="7" t="n"/>
      <c r="O2964" s="7" t="n"/>
      <c r="P2964" s="7">
        <f>IF($B2964="","",O2964*X2964/100)</f>
        <v/>
      </c>
      <c r="Q2964" s="7">
        <f>IF($B2964="","",O2964-P2964)</f>
        <v/>
      </c>
      <c r="R2964" s="7">
        <f>IF($B2964="","",Q2964-J2964)</f>
        <v/>
      </c>
      <c r="S2964" s="7" t="n"/>
      <c r="T2964" s="7" t="n"/>
      <c r="V2964" s="14" t="n"/>
      <c r="Z2964">
        <f>IF($B2964="","",IF(COUNTIF($B$2:$B2964,$B2964)=1,1,0))</f>
        <v/>
      </c>
      <c r="AA2964">
        <f>IF($Z2964=1,SUMPRODUCT(--($AC$2:$AC$3001&lt;$AC2964))+1,"")</f>
        <v/>
      </c>
      <c r="AB2964">
        <f>IF($B2964="","",IF(OR($Y2964=TRUE(),$Y2964="TRUE"),1,IF(AND($Y2964&lt;&gt;"",OR($Y2964=FALSE(),$Y2964="FALSE")),0,IF(MIN(ABS($X2964/100-Settings!$C$6),ABS($X2964/100-Settings!$G$6))&lt;=MIN(ABS($X2964/100-Settings!$C$7),ABS($X2964/100-Settings!$G$7)),1,0))))</f>
        <v/>
      </c>
      <c r="AC2964">
        <f>IF($Z2964=1,IFERROR(IF(VALUE($B2964)&lt;100000000,VALUE($B2964),1000000000),IFERROR(IF(VALUE(MID($B2964,2,20))&lt;100000000,VALUE(MID($B2964,2,20)),1000000000),1000000000))+ROW()/100000,"")</f>
        <v/>
      </c>
    </row>
    <row r="2965">
      <c r="A2965">
        <f>IF($B2965="","",IFERROR(IF(INDEX('Per Invoice'!$A$2:$A$801,MATCH($B2965,'Per Invoice'!$B$2:$B$801,0))=0,"",INDEX('Per Invoice'!$A$2:$A$801,MATCH($B2965,'Per Invoice'!$B$2:$B$801,0))),""))</f>
        <v/>
      </c>
      <c r="J2965" s="7">
        <f>IF($B2965="","",I2965*Q2965/100)</f>
        <v/>
      </c>
      <c r="N2965" s="7" t="n"/>
      <c r="O2965" s="7" t="n"/>
      <c r="P2965" s="7">
        <f>IF($B2965="","",O2965*X2965/100)</f>
        <v/>
      </c>
      <c r="Q2965" s="7">
        <f>IF($B2965="","",O2965-P2965)</f>
        <v/>
      </c>
      <c r="R2965" s="7">
        <f>IF($B2965="","",Q2965-J2965)</f>
        <v/>
      </c>
      <c r="S2965" s="7" t="n"/>
      <c r="T2965" s="7" t="n"/>
      <c r="V2965" s="14" t="n"/>
      <c r="Z2965">
        <f>IF($B2965="","",IF(COUNTIF($B$2:$B2965,$B2965)=1,1,0))</f>
        <v/>
      </c>
      <c r="AA2965">
        <f>IF($Z2965=1,SUMPRODUCT(--($AC$2:$AC$3001&lt;$AC2965))+1,"")</f>
        <v/>
      </c>
      <c r="AB2965">
        <f>IF($B2965="","",IF(OR($Y2965=TRUE(),$Y2965="TRUE"),1,IF(AND($Y2965&lt;&gt;"",OR($Y2965=FALSE(),$Y2965="FALSE")),0,IF(MIN(ABS($X2965/100-Settings!$C$6),ABS($X2965/100-Settings!$G$6))&lt;=MIN(ABS($X2965/100-Settings!$C$7),ABS($X2965/100-Settings!$G$7)),1,0))))</f>
        <v/>
      </c>
      <c r="AC2965">
        <f>IF($Z2965=1,IFERROR(IF(VALUE($B2965)&lt;100000000,VALUE($B2965),1000000000),IFERROR(IF(VALUE(MID($B2965,2,20))&lt;100000000,VALUE(MID($B2965,2,20)),1000000000),1000000000))+ROW()/100000,"")</f>
        <v/>
      </c>
    </row>
    <row r="2966">
      <c r="A2966">
        <f>IF($B2966="","",IFERROR(IF(INDEX('Per Invoice'!$A$2:$A$801,MATCH($B2966,'Per Invoice'!$B$2:$B$801,0))=0,"",INDEX('Per Invoice'!$A$2:$A$801,MATCH($B2966,'Per Invoice'!$B$2:$B$801,0))),""))</f>
        <v/>
      </c>
      <c r="J2966" s="7">
        <f>IF($B2966="","",I2966*Q2966/100)</f>
        <v/>
      </c>
      <c r="N2966" s="7" t="n"/>
      <c r="O2966" s="7" t="n"/>
      <c r="P2966" s="7">
        <f>IF($B2966="","",O2966*X2966/100)</f>
        <v/>
      </c>
      <c r="Q2966" s="7">
        <f>IF($B2966="","",O2966-P2966)</f>
        <v/>
      </c>
      <c r="R2966" s="7">
        <f>IF($B2966="","",Q2966-J2966)</f>
        <v/>
      </c>
      <c r="S2966" s="7" t="n"/>
      <c r="T2966" s="7" t="n"/>
      <c r="V2966" s="14" t="n"/>
      <c r="Z2966">
        <f>IF($B2966="","",IF(COUNTIF($B$2:$B2966,$B2966)=1,1,0))</f>
        <v/>
      </c>
      <c r="AA2966">
        <f>IF($Z2966=1,SUMPRODUCT(--($AC$2:$AC$3001&lt;$AC2966))+1,"")</f>
        <v/>
      </c>
      <c r="AB2966">
        <f>IF($B2966="","",IF(OR($Y2966=TRUE(),$Y2966="TRUE"),1,IF(AND($Y2966&lt;&gt;"",OR($Y2966=FALSE(),$Y2966="FALSE")),0,IF(MIN(ABS($X2966/100-Settings!$C$6),ABS($X2966/100-Settings!$G$6))&lt;=MIN(ABS($X2966/100-Settings!$C$7),ABS($X2966/100-Settings!$G$7)),1,0))))</f>
        <v/>
      </c>
      <c r="AC2966">
        <f>IF($Z2966=1,IFERROR(IF(VALUE($B2966)&lt;100000000,VALUE($B2966),1000000000),IFERROR(IF(VALUE(MID($B2966,2,20))&lt;100000000,VALUE(MID($B2966,2,20)),1000000000),1000000000))+ROW()/100000,"")</f>
        <v/>
      </c>
    </row>
    <row r="2967">
      <c r="A2967">
        <f>IF($B2967="","",IFERROR(IF(INDEX('Per Invoice'!$A$2:$A$801,MATCH($B2967,'Per Invoice'!$B$2:$B$801,0))=0,"",INDEX('Per Invoice'!$A$2:$A$801,MATCH($B2967,'Per Invoice'!$B$2:$B$801,0))),""))</f>
        <v/>
      </c>
      <c r="J2967" s="7">
        <f>IF($B2967="","",I2967*Q2967/100)</f>
        <v/>
      </c>
      <c r="N2967" s="7" t="n"/>
      <c r="O2967" s="7" t="n"/>
      <c r="P2967" s="7">
        <f>IF($B2967="","",O2967*X2967/100)</f>
        <v/>
      </c>
      <c r="Q2967" s="7">
        <f>IF($B2967="","",O2967-P2967)</f>
        <v/>
      </c>
      <c r="R2967" s="7">
        <f>IF($B2967="","",Q2967-J2967)</f>
        <v/>
      </c>
      <c r="S2967" s="7" t="n"/>
      <c r="T2967" s="7" t="n"/>
      <c r="V2967" s="14" t="n"/>
      <c r="Z2967">
        <f>IF($B2967="","",IF(COUNTIF($B$2:$B2967,$B2967)=1,1,0))</f>
        <v/>
      </c>
      <c r="AA2967">
        <f>IF($Z2967=1,SUMPRODUCT(--($AC$2:$AC$3001&lt;$AC2967))+1,"")</f>
        <v/>
      </c>
      <c r="AB2967">
        <f>IF($B2967="","",IF(OR($Y2967=TRUE(),$Y2967="TRUE"),1,IF(AND($Y2967&lt;&gt;"",OR($Y2967=FALSE(),$Y2967="FALSE")),0,IF(MIN(ABS($X2967/100-Settings!$C$6),ABS($X2967/100-Settings!$G$6))&lt;=MIN(ABS($X2967/100-Settings!$C$7),ABS($X2967/100-Settings!$G$7)),1,0))))</f>
        <v/>
      </c>
      <c r="AC2967">
        <f>IF($Z2967=1,IFERROR(IF(VALUE($B2967)&lt;100000000,VALUE($B2967),1000000000),IFERROR(IF(VALUE(MID($B2967,2,20))&lt;100000000,VALUE(MID($B2967,2,20)),1000000000),1000000000))+ROW()/100000,"")</f>
        <v/>
      </c>
    </row>
    <row r="2968">
      <c r="A2968">
        <f>IF($B2968="","",IFERROR(IF(INDEX('Per Invoice'!$A$2:$A$801,MATCH($B2968,'Per Invoice'!$B$2:$B$801,0))=0,"",INDEX('Per Invoice'!$A$2:$A$801,MATCH($B2968,'Per Invoice'!$B$2:$B$801,0))),""))</f>
        <v/>
      </c>
      <c r="J2968" s="7">
        <f>IF($B2968="","",I2968*Q2968/100)</f>
        <v/>
      </c>
      <c r="N2968" s="7" t="n"/>
      <c r="O2968" s="7" t="n"/>
      <c r="P2968" s="7">
        <f>IF($B2968="","",O2968*X2968/100)</f>
        <v/>
      </c>
      <c r="Q2968" s="7">
        <f>IF($B2968="","",O2968-P2968)</f>
        <v/>
      </c>
      <c r="R2968" s="7">
        <f>IF($B2968="","",Q2968-J2968)</f>
        <v/>
      </c>
      <c r="S2968" s="7" t="n"/>
      <c r="T2968" s="7" t="n"/>
      <c r="V2968" s="14" t="n"/>
      <c r="Z2968">
        <f>IF($B2968="","",IF(COUNTIF($B$2:$B2968,$B2968)=1,1,0))</f>
        <v/>
      </c>
      <c r="AA2968">
        <f>IF($Z2968=1,SUMPRODUCT(--($AC$2:$AC$3001&lt;$AC2968))+1,"")</f>
        <v/>
      </c>
      <c r="AB2968">
        <f>IF($B2968="","",IF(OR($Y2968=TRUE(),$Y2968="TRUE"),1,IF(AND($Y2968&lt;&gt;"",OR($Y2968=FALSE(),$Y2968="FALSE")),0,IF(MIN(ABS($X2968/100-Settings!$C$6),ABS($X2968/100-Settings!$G$6))&lt;=MIN(ABS($X2968/100-Settings!$C$7),ABS($X2968/100-Settings!$G$7)),1,0))))</f>
        <v/>
      </c>
      <c r="AC2968">
        <f>IF($Z2968=1,IFERROR(IF(VALUE($B2968)&lt;100000000,VALUE($B2968),1000000000),IFERROR(IF(VALUE(MID($B2968,2,20))&lt;100000000,VALUE(MID($B2968,2,20)),1000000000),1000000000))+ROW()/100000,"")</f>
        <v/>
      </c>
    </row>
    <row r="2969">
      <c r="A2969">
        <f>IF($B2969="","",IFERROR(IF(INDEX('Per Invoice'!$A$2:$A$801,MATCH($B2969,'Per Invoice'!$B$2:$B$801,0))=0,"",INDEX('Per Invoice'!$A$2:$A$801,MATCH($B2969,'Per Invoice'!$B$2:$B$801,0))),""))</f>
        <v/>
      </c>
      <c r="J2969" s="7">
        <f>IF($B2969="","",I2969*Q2969/100)</f>
        <v/>
      </c>
      <c r="N2969" s="7" t="n"/>
      <c r="O2969" s="7" t="n"/>
      <c r="P2969" s="7">
        <f>IF($B2969="","",O2969*X2969/100)</f>
        <v/>
      </c>
      <c r="Q2969" s="7">
        <f>IF($B2969="","",O2969-P2969)</f>
        <v/>
      </c>
      <c r="R2969" s="7">
        <f>IF($B2969="","",Q2969-J2969)</f>
        <v/>
      </c>
      <c r="S2969" s="7" t="n"/>
      <c r="T2969" s="7" t="n"/>
      <c r="V2969" s="14" t="n"/>
      <c r="Z2969">
        <f>IF($B2969="","",IF(COUNTIF($B$2:$B2969,$B2969)=1,1,0))</f>
        <v/>
      </c>
      <c r="AA2969">
        <f>IF($Z2969=1,SUMPRODUCT(--($AC$2:$AC$3001&lt;$AC2969))+1,"")</f>
        <v/>
      </c>
      <c r="AB2969">
        <f>IF($B2969="","",IF(OR($Y2969=TRUE(),$Y2969="TRUE"),1,IF(AND($Y2969&lt;&gt;"",OR($Y2969=FALSE(),$Y2969="FALSE")),0,IF(MIN(ABS($X2969/100-Settings!$C$6),ABS($X2969/100-Settings!$G$6))&lt;=MIN(ABS($X2969/100-Settings!$C$7),ABS($X2969/100-Settings!$G$7)),1,0))))</f>
        <v/>
      </c>
      <c r="AC2969">
        <f>IF($Z2969=1,IFERROR(IF(VALUE($B2969)&lt;100000000,VALUE($B2969),1000000000),IFERROR(IF(VALUE(MID($B2969,2,20))&lt;100000000,VALUE(MID($B2969,2,20)),1000000000),1000000000))+ROW()/100000,"")</f>
        <v/>
      </c>
    </row>
    <row r="2970">
      <c r="A2970">
        <f>IF($B2970="","",IFERROR(IF(INDEX('Per Invoice'!$A$2:$A$801,MATCH($B2970,'Per Invoice'!$B$2:$B$801,0))=0,"",INDEX('Per Invoice'!$A$2:$A$801,MATCH($B2970,'Per Invoice'!$B$2:$B$801,0))),""))</f>
        <v/>
      </c>
      <c r="J2970" s="7">
        <f>IF($B2970="","",I2970*Q2970/100)</f>
        <v/>
      </c>
      <c r="N2970" s="7" t="n"/>
      <c r="O2970" s="7" t="n"/>
      <c r="P2970" s="7">
        <f>IF($B2970="","",O2970*X2970/100)</f>
        <v/>
      </c>
      <c r="Q2970" s="7">
        <f>IF($B2970="","",O2970-P2970)</f>
        <v/>
      </c>
      <c r="R2970" s="7">
        <f>IF($B2970="","",Q2970-J2970)</f>
        <v/>
      </c>
      <c r="S2970" s="7" t="n"/>
      <c r="T2970" s="7" t="n"/>
      <c r="V2970" s="14" t="n"/>
      <c r="Z2970">
        <f>IF($B2970="","",IF(COUNTIF($B$2:$B2970,$B2970)=1,1,0))</f>
        <v/>
      </c>
      <c r="AA2970">
        <f>IF($Z2970=1,SUMPRODUCT(--($AC$2:$AC$3001&lt;$AC2970))+1,"")</f>
        <v/>
      </c>
      <c r="AB2970">
        <f>IF($B2970="","",IF(OR($Y2970=TRUE(),$Y2970="TRUE"),1,IF(AND($Y2970&lt;&gt;"",OR($Y2970=FALSE(),$Y2970="FALSE")),0,IF(MIN(ABS($X2970/100-Settings!$C$6),ABS($X2970/100-Settings!$G$6))&lt;=MIN(ABS($X2970/100-Settings!$C$7),ABS($X2970/100-Settings!$G$7)),1,0))))</f>
        <v/>
      </c>
      <c r="AC2970">
        <f>IF($Z2970=1,IFERROR(IF(VALUE($B2970)&lt;100000000,VALUE($B2970),1000000000),IFERROR(IF(VALUE(MID($B2970,2,20))&lt;100000000,VALUE(MID($B2970,2,20)),1000000000),1000000000))+ROW()/100000,"")</f>
        <v/>
      </c>
    </row>
    <row r="2971">
      <c r="A2971">
        <f>IF($B2971="","",IFERROR(IF(INDEX('Per Invoice'!$A$2:$A$801,MATCH($B2971,'Per Invoice'!$B$2:$B$801,0))=0,"",INDEX('Per Invoice'!$A$2:$A$801,MATCH($B2971,'Per Invoice'!$B$2:$B$801,0))),""))</f>
        <v/>
      </c>
      <c r="J2971" s="7">
        <f>IF($B2971="","",I2971*Q2971/100)</f>
        <v/>
      </c>
      <c r="N2971" s="7" t="n"/>
      <c r="O2971" s="7" t="n"/>
      <c r="P2971" s="7">
        <f>IF($B2971="","",O2971*X2971/100)</f>
        <v/>
      </c>
      <c r="Q2971" s="7">
        <f>IF($B2971="","",O2971-P2971)</f>
        <v/>
      </c>
      <c r="R2971" s="7">
        <f>IF($B2971="","",Q2971-J2971)</f>
        <v/>
      </c>
      <c r="S2971" s="7" t="n"/>
      <c r="T2971" s="7" t="n"/>
      <c r="V2971" s="14" t="n"/>
      <c r="Z2971">
        <f>IF($B2971="","",IF(COUNTIF($B$2:$B2971,$B2971)=1,1,0))</f>
        <v/>
      </c>
      <c r="AA2971">
        <f>IF($Z2971=1,SUMPRODUCT(--($AC$2:$AC$3001&lt;$AC2971))+1,"")</f>
        <v/>
      </c>
      <c r="AB2971">
        <f>IF($B2971="","",IF(OR($Y2971=TRUE(),$Y2971="TRUE"),1,IF(AND($Y2971&lt;&gt;"",OR($Y2971=FALSE(),$Y2971="FALSE")),0,IF(MIN(ABS($X2971/100-Settings!$C$6),ABS($X2971/100-Settings!$G$6))&lt;=MIN(ABS($X2971/100-Settings!$C$7),ABS($X2971/100-Settings!$G$7)),1,0))))</f>
        <v/>
      </c>
      <c r="AC2971">
        <f>IF($Z2971=1,IFERROR(IF(VALUE($B2971)&lt;100000000,VALUE($B2971),1000000000),IFERROR(IF(VALUE(MID($B2971,2,20))&lt;100000000,VALUE(MID($B2971,2,20)),1000000000),1000000000))+ROW()/100000,"")</f>
        <v/>
      </c>
    </row>
    <row r="2972">
      <c r="A2972">
        <f>IF($B2972="","",IFERROR(IF(INDEX('Per Invoice'!$A$2:$A$801,MATCH($B2972,'Per Invoice'!$B$2:$B$801,0))=0,"",INDEX('Per Invoice'!$A$2:$A$801,MATCH($B2972,'Per Invoice'!$B$2:$B$801,0))),""))</f>
        <v/>
      </c>
      <c r="J2972" s="7">
        <f>IF($B2972="","",I2972*Q2972/100)</f>
        <v/>
      </c>
      <c r="N2972" s="7" t="n"/>
      <c r="O2972" s="7" t="n"/>
      <c r="P2972" s="7">
        <f>IF($B2972="","",O2972*X2972/100)</f>
        <v/>
      </c>
      <c r="Q2972" s="7">
        <f>IF($B2972="","",O2972-P2972)</f>
        <v/>
      </c>
      <c r="R2972" s="7">
        <f>IF($B2972="","",Q2972-J2972)</f>
        <v/>
      </c>
      <c r="S2972" s="7" t="n"/>
      <c r="T2972" s="7" t="n"/>
      <c r="V2972" s="14" t="n"/>
      <c r="Z2972">
        <f>IF($B2972="","",IF(COUNTIF($B$2:$B2972,$B2972)=1,1,0))</f>
        <v/>
      </c>
      <c r="AA2972">
        <f>IF($Z2972=1,SUMPRODUCT(--($AC$2:$AC$3001&lt;$AC2972))+1,"")</f>
        <v/>
      </c>
      <c r="AB2972">
        <f>IF($B2972="","",IF(OR($Y2972=TRUE(),$Y2972="TRUE"),1,IF(AND($Y2972&lt;&gt;"",OR($Y2972=FALSE(),$Y2972="FALSE")),0,IF(MIN(ABS($X2972/100-Settings!$C$6),ABS($X2972/100-Settings!$G$6))&lt;=MIN(ABS($X2972/100-Settings!$C$7),ABS($X2972/100-Settings!$G$7)),1,0))))</f>
        <v/>
      </c>
      <c r="AC2972">
        <f>IF($Z2972=1,IFERROR(IF(VALUE($B2972)&lt;100000000,VALUE($B2972),1000000000),IFERROR(IF(VALUE(MID($B2972,2,20))&lt;100000000,VALUE(MID($B2972,2,20)),1000000000),1000000000))+ROW()/100000,"")</f>
        <v/>
      </c>
    </row>
    <row r="2973">
      <c r="A2973">
        <f>IF($B2973="","",IFERROR(IF(INDEX('Per Invoice'!$A$2:$A$801,MATCH($B2973,'Per Invoice'!$B$2:$B$801,0))=0,"",INDEX('Per Invoice'!$A$2:$A$801,MATCH($B2973,'Per Invoice'!$B$2:$B$801,0))),""))</f>
        <v/>
      </c>
      <c r="J2973" s="7">
        <f>IF($B2973="","",I2973*Q2973/100)</f>
        <v/>
      </c>
      <c r="N2973" s="7" t="n"/>
      <c r="O2973" s="7" t="n"/>
      <c r="P2973" s="7">
        <f>IF($B2973="","",O2973*X2973/100)</f>
        <v/>
      </c>
      <c r="Q2973" s="7">
        <f>IF($B2973="","",O2973-P2973)</f>
        <v/>
      </c>
      <c r="R2973" s="7">
        <f>IF($B2973="","",Q2973-J2973)</f>
        <v/>
      </c>
      <c r="S2973" s="7" t="n"/>
      <c r="T2973" s="7" t="n"/>
      <c r="V2973" s="14" t="n"/>
      <c r="Z2973">
        <f>IF($B2973="","",IF(COUNTIF($B$2:$B2973,$B2973)=1,1,0))</f>
        <v/>
      </c>
      <c r="AA2973">
        <f>IF($Z2973=1,SUMPRODUCT(--($AC$2:$AC$3001&lt;$AC2973))+1,"")</f>
        <v/>
      </c>
      <c r="AB2973">
        <f>IF($B2973="","",IF(OR($Y2973=TRUE(),$Y2973="TRUE"),1,IF(AND($Y2973&lt;&gt;"",OR($Y2973=FALSE(),$Y2973="FALSE")),0,IF(MIN(ABS($X2973/100-Settings!$C$6),ABS($X2973/100-Settings!$G$6))&lt;=MIN(ABS($X2973/100-Settings!$C$7),ABS($X2973/100-Settings!$G$7)),1,0))))</f>
        <v/>
      </c>
      <c r="AC2973">
        <f>IF($Z2973=1,IFERROR(IF(VALUE($B2973)&lt;100000000,VALUE($B2973),1000000000),IFERROR(IF(VALUE(MID($B2973,2,20))&lt;100000000,VALUE(MID($B2973,2,20)),1000000000),1000000000))+ROW()/100000,"")</f>
        <v/>
      </c>
    </row>
    <row r="2974">
      <c r="A2974">
        <f>IF($B2974="","",IFERROR(IF(INDEX('Per Invoice'!$A$2:$A$801,MATCH($B2974,'Per Invoice'!$B$2:$B$801,0))=0,"",INDEX('Per Invoice'!$A$2:$A$801,MATCH($B2974,'Per Invoice'!$B$2:$B$801,0))),""))</f>
        <v/>
      </c>
      <c r="J2974" s="7">
        <f>IF($B2974="","",I2974*Q2974/100)</f>
        <v/>
      </c>
      <c r="N2974" s="7" t="n"/>
      <c r="O2974" s="7" t="n"/>
      <c r="P2974" s="7">
        <f>IF($B2974="","",O2974*X2974/100)</f>
        <v/>
      </c>
      <c r="Q2974" s="7">
        <f>IF($B2974="","",O2974-P2974)</f>
        <v/>
      </c>
      <c r="R2974" s="7">
        <f>IF($B2974="","",Q2974-J2974)</f>
        <v/>
      </c>
      <c r="S2974" s="7" t="n"/>
      <c r="T2974" s="7" t="n"/>
      <c r="V2974" s="14" t="n"/>
      <c r="Z2974">
        <f>IF($B2974="","",IF(COUNTIF($B$2:$B2974,$B2974)=1,1,0))</f>
        <v/>
      </c>
      <c r="AA2974">
        <f>IF($Z2974=1,SUMPRODUCT(--($AC$2:$AC$3001&lt;$AC2974))+1,"")</f>
        <v/>
      </c>
      <c r="AB2974">
        <f>IF($B2974="","",IF(OR($Y2974=TRUE(),$Y2974="TRUE"),1,IF(AND($Y2974&lt;&gt;"",OR($Y2974=FALSE(),$Y2974="FALSE")),0,IF(MIN(ABS($X2974/100-Settings!$C$6),ABS($X2974/100-Settings!$G$6))&lt;=MIN(ABS($X2974/100-Settings!$C$7),ABS($X2974/100-Settings!$G$7)),1,0))))</f>
        <v/>
      </c>
      <c r="AC2974">
        <f>IF($Z2974=1,IFERROR(IF(VALUE($B2974)&lt;100000000,VALUE($B2974),1000000000),IFERROR(IF(VALUE(MID($B2974,2,20))&lt;100000000,VALUE(MID($B2974,2,20)),1000000000),1000000000))+ROW()/100000,"")</f>
        <v/>
      </c>
    </row>
    <row r="2975">
      <c r="A2975">
        <f>IF($B2975="","",IFERROR(IF(INDEX('Per Invoice'!$A$2:$A$801,MATCH($B2975,'Per Invoice'!$B$2:$B$801,0))=0,"",INDEX('Per Invoice'!$A$2:$A$801,MATCH($B2975,'Per Invoice'!$B$2:$B$801,0))),""))</f>
        <v/>
      </c>
      <c r="J2975" s="7">
        <f>IF($B2975="","",I2975*Q2975/100)</f>
        <v/>
      </c>
      <c r="N2975" s="7" t="n"/>
      <c r="O2975" s="7" t="n"/>
      <c r="P2975" s="7">
        <f>IF($B2975="","",O2975*X2975/100)</f>
        <v/>
      </c>
      <c r="Q2975" s="7">
        <f>IF($B2975="","",O2975-P2975)</f>
        <v/>
      </c>
      <c r="R2975" s="7">
        <f>IF($B2975="","",Q2975-J2975)</f>
        <v/>
      </c>
      <c r="S2975" s="7" t="n"/>
      <c r="T2975" s="7" t="n"/>
      <c r="V2975" s="14" t="n"/>
      <c r="Z2975">
        <f>IF($B2975="","",IF(COUNTIF($B$2:$B2975,$B2975)=1,1,0))</f>
        <v/>
      </c>
      <c r="AA2975">
        <f>IF($Z2975=1,SUMPRODUCT(--($AC$2:$AC$3001&lt;$AC2975))+1,"")</f>
        <v/>
      </c>
      <c r="AB2975">
        <f>IF($B2975="","",IF(OR($Y2975=TRUE(),$Y2975="TRUE"),1,IF(AND($Y2975&lt;&gt;"",OR($Y2975=FALSE(),$Y2975="FALSE")),0,IF(MIN(ABS($X2975/100-Settings!$C$6),ABS($X2975/100-Settings!$G$6))&lt;=MIN(ABS($X2975/100-Settings!$C$7),ABS($X2975/100-Settings!$G$7)),1,0))))</f>
        <v/>
      </c>
      <c r="AC2975">
        <f>IF($Z2975=1,IFERROR(IF(VALUE($B2975)&lt;100000000,VALUE($B2975),1000000000),IFERROR(IF(VALUE(MID($B2975,2,20))&lt;100000000,VALUE(MID($B2975,2,20)),1000000000),1000000000))+ROW()/100000,"")</f>
        <v/>
      </c>
    </row>
    <row r="2976">
      <c r="A2976">
        <f>IF($B2976="","",IFERROR(IF(INDEX('Per Invoice'!$A$2:$A$801,MATCH($B2976,'Per Invoice'!$B$2:$B$801,0))=0,"",INDEX('Per Invoice'!$A$2:$A$801,MATCH($B2976,'Per Invoice'!$B$2:$B$801,0))),""))</f>
        <v/>
      </c>
      <c r="J2976" s="7">
        <f>IF($B2976="","",I2976*Q2976/100)</f>
        <v/>
      </c>
      <c r="N2976" s="7" t="n"/>
      <c r="O2976" s="7" t="n"/>
      <c r="P2976" s="7">
        <f>IF($B2976="","",O2976*X2976/100)</f>
        <v/>
      </c>
      <c r="Q2976" s="7">
        <f>IF($B2976="","",O2976-P2976)</f>
        <v/>
      </c>
      <c r="R2976" s="7">
        <f>IF($B2976="","",Q2976-J2976)</f>
        <v/>
      </c>
      <c r="S2976" s="7" t="n"/>
      <c r="T2976" s="7" t="n"/>
      <c r="V2976" s="14" t="n"/>
      <c r="Z2976">
        <f>IF($B2976="","",IF(COUNTIF($B$2:$B2976,$B2976)=1,1,0))</f>
        <v/>
      </c>
      <c r="AA2976">
        <f>IF($Z2976=1,SUMPRODUCT(--($AC$2:$AC$3001&lt;$AC2976))+1,"")</f>
        <v/>
      </c>
      <c r="AB2976">
        <f>IF($B2976="","",IF(OR($Y2976=TRUE(),$Y2976="TRUE"),1,IF(AND($Y2976&lt;&gt;"",OR($Y2976=FALSE(),$Y2976="FALSE")),0,IF(MIN(ABS($X2976/100-Settings!$C$6),ABS($X2976/100-Settings!$G$6))&lt;=MIN(ABS($X2976/100-Settings!$C$7),ABS($X2976/100-Settings!$G$7)),1,0))))</f>
        <v/>
      </c>
      <c r="AC2976">
        <f>IF($Z2976=1,IFERROR(IF(VALUE($B2976)&lt;100000000,VALUE($B2976),1000000000),IFERROR(IF(VALUE(MID($B2976,2,20))&lt;100000000,VALUE(MID($B2976,2,20)),1000000000),1000000000))+ROW()/100000,"")</f>
        <v/>
      </c>
    </row>
    <row r="2977">
      <c r="A2977">
        <f>IF($B2977="","",IFERROR(IF(INDEX('Per Invoice'!$A$2:$A$801,MATCH($B2977,'Per Invoice'!$B$2:$B$801,0))=0,"",INDEX('Per Invoice'!$A$2:$A$801,MATCH($B2977,'Per Invoice'!$B$2:$B$801,0))),""))</f>
        <v/>
      </c>
      <c r="J2977" s="7">
        <f>IF($B2977="","",I2977*Q2977/100)</f>
        <v/>
      </c>
      <c r="N2977" s="7" t="n"/>
      <c r="O2977" s="7" t="n"/>
      <c r="P2977" s="7">
        <f>IF($B2977="","",O2977*X2977/100)</f>
        <v/>
      </c>
      <c r="Q2977" s="7">
        <f>IF($B2977="","",O2977-P2977)</f>
        <v/>
      </c>
      <c r="R2977" s="7">
        <f>IF($B2977="","",Q2977-J2977)</f>
        <v/>
      </c>
      <c r="S2977" s="7" t="n"/>
      <c r="T2977" s="7" t="n"/>
      <c r="V2977" s="14" t="n"/>
      <c r="Z2977">
        <f>IF($B2977="","",IF(COUNTIF($B$2:$B2977,$B2977)=1,1,0))</f>
        <v/>
      </c>
      <c r="AA2977">
        <f>IF($Z2977=1,SUMPRODUCT(--($AC$2:$AC$3001&lt;$AC2977))+1,"")</f>
        <v/>
      </c>
      <c r="AB2977">
        <f>IF($B2977="","",IF(OR($Y2977=TRUE(),$Y2977="TRUE"),1,IF(AND($Y2977&lt;&gt;"",OR($Y2977=FALSE(),$Y2977="FALSE")),0,IF(MIN(ABS($X2977/100-Settings!$C$6),ABS($X2977/100-Settings!$G$6))&lt;=MIN(ABS($X2977/100-Settings!$C$7),ABS($X2977/100-Settings!$G$7)),1,0))))</f>
        <v/>
      </c>
      <c r="AC2977">
        <f>IF($Z2977=1,IFERROR(IF(VALUE($B2977)&lt;100000000,VALUE($B2977),1000000000),IFERROR(IF(VALUE(MID($B2977,2,20))&lt;100000000,VALUE(MID($B2977,2,20)),1000000000),1000000000))+ROW()/100000,"")</f>
        <v/>
      </c>
    </row>
    <row r="2978">
      <c r="A2978">
        <f>IF($B2978="","",IFERROR(IF(INDEX('Per Invoice'!$A$2:$A$801,MATCH($B2978,'Per Invoice'!$B$2:$B$801,0))=0,"",INDEX('Per Invoice'!$A$2:$A$801,MATCH($B2978,'Per Invoice'!$B$2:$B$801,0))),""))</f>
        <v/>
      </c>
      <c r="J2978" s="7">
        <f>IF($B2978="","",I2978*Q2978/100)</f>
        <v/>
      </c>
      <c r="N2978" s="7" t="n"/>
      <c r="O2978" s="7" t="n"/>
      <c r="P2978" s="7">
        <f>IF($B2978="","",O2978*X2978/100)</f>
        <v/>
      </c>
      <c r="Q2978" s="7">
        <f>IF($B2978="","",O2978-P2978)</f>
        <v/>
      </c>
      <c r="R2978" s="7">
        <f>IF($B2978="","",Q2978-J2978)</f>
        <v/>
      </c>
      <c r="S2978" s="7" t="n"/>
      <c r="T2978" s="7" t="n"/>
      <c r="V2978" s="14" t="n"/>
      <c r="Z2978">
        <f>IF($B2978="","",IF(COUNTIF($B$2:$B2978,$B2978)=1,1,0))</f>
        <v/>
      </c>
      <c r="AA2978">
        <f>IF($Z2978=1,SUMPRODUCT(--($AC$2:$AC$3001&lt;$AC2978))+1,"")</f>
        <v/>
      </c>
      <c r="AB2978">
        <f>IF($B2978="","",IF(OR($Y2978=TRUE(),$Y2978="TRUE"),1,IF(AND($Y2978&lt;&gt;"",OR($Y2978=FALSE(),$Y2978="FALSE")),0,IF(MIN(ABS($X2978/100-Settings!$C$6),ABS($X2978/100-Settings!$G$6))&lt;=MIN(ABS($X2978/100-Settings!$C$7),ABS($X2978/100-Settings!$G$7)),1,0))))</f>
        <v/>
      </c>
      <c r="AC2978">
        <f>IF($Z2978=1,IFERROR(IF(VALUE($B2978)&lt;100000000,VALUE($B2978),1000000000),IFERROR(IF(VALUE(MID($B2978,2,20))&lt;100000000,VALUE(MID($B2978,2,20)),1000000000),1000000000))+ROW()/100000,"")</f>
        <v/>
      </c>
    </row>
    <row r="2979">
      <c r="A2979">
        <f>IF($B2979="","",IFERROR(IF(INDEX('Per Invoice'!$A$2:$A$801,MATCH($B2979,'Per Invoice'!$B$2:$B$801,0))=0,"",INDEX('Per Invoice'!$A$2:$A$801,MATCH($B2979,'Per Invoice'!$B$2:$B$801,0))),""))</f>
        <v/>
      </c>
      <c r="J2979" s="7">
        <f>IF($B2979="","",I2979*Q2979/100)</f>
        <v/>
      </c>
      <c r="N2979" s="7" t="n"/>
      <c r="O2979" s="7" t="n"/>
      <c r="P2979" s="7">
        <f>IF($B2979="","",O2979*X2979/100)</f>
        <v/>
      </c>
      <c r="Q2979" s="7">
        <f>IF($B2979="","",O2979-P2979)</f>
        <v/>
      </c>
      <c r="R2979" s="7">
        <f>IF($B2979="","",Q2979-J2979)</f>
        <v/>
      </c>
      <c r="S2979" s="7" t="n"/>
      <c r="T2979" s="7" t="n"/>
      <c r="V2979" s="14" t="n"/>
      <c r="Z2979">
        <f>IF($B2979="","",IF(COUNTIF($B$2:$B2979,$B2979)=1,1,0))</f>
        <v/>
      </c>
      <c r="AA2979">
        <f>IF($Z2979=1,SUMPRODUCT(--($AC$2:$AC$3001&lt;$AC2979))+1,"")</f>
        <v/>
      </c>
      <c r="AB2979">
        <f>IF($B2979="","",IF(OR($Y2979=TRUE(),$Y2979="TRUE"),1,IF(AND($Y2979&lt;&gt;"",OR($Y2979=FALSE(),$Y2979="FALSE")),0,IF(MIN(ABS($X2979/100-Settings!$C$6),ABS($X2979/100-Settings!$G$6))&lt;=MIN(ABS($X2979/100-Settings!$C$7),ABS($X2979/100-Settings!$G$7)),1,0))))</f>
        <v/>
      </c>
      <c r="AC2979">
        <f>IF($Z2979=1,IFERROR(IF(VALUE($B2979)&lt;100000000,VALUE($B2979),1000000000),IFERROR(IF(VALUE(MID($B2979,2,20))&lt;100000000,VALUE(MID($B2979,2,20)),1000000000),1000000000))+ROW()/100000,"")</f>
        <v/>
      </c>
    </row>
    <row r="2980">
      <c r="A2980">
        <f>IF($B2980="","",IFERROR(IF(INDEX('Per Invoice'!$A$2:$A$801,MATCH($B2980,'Per Invoice'!$B$2:$B$801,0))=0,"",INDEX('Per Invoice'!$A$2:$A$801,MATCH($B2980,'Per Invoice'!$B$2:$B$801,0))),""))</f>
        <v/>
      </c>
      <c r="J2980" s="7">
        <f>IF($B2980="","",I2980*Q2980/100)</f>
        <v/>
      </c>
      <c r="N2980" s="7" t="n"/>
      <c r="O2980" s="7" t="n"/>
      <c r="P2980" s="7">
        <f>IF($B2980="","",O2980*X2980/100)</f>
        <v/>
      </c>
      <c r="Q2980" s="7">
        <f>IF($B2980="","",O2980-P2980)</f>
        <v/>
      </c>
      <c r="R2980" s="7">
        <f>IF($B2980="","",Q2980-J2980)</f>
        <v/>
      </c>
      <c r="S2980" s="7" t="n"/>
      <c r="T2980" s="7" t="n"/>
      <c r="V2980" s="14" t="n"/>
      <c r="Z2980">
        <f>IF($B2980="","",IF(COUNTIF($B$2:$B2980,$B2980)=1,1,0))</f>
        <v/>
      </c>
      <c r="AA2980">
        <f>IF($Z2980=1,SUMPRODUCT(--($AC$2:$AC$3001&lt;$AC2980))+1,"")</f>
        <v/>
      </c>
      <c r="AB2980">
        <f>IF($B2980="","",IF(OR($Y2980=TRUE(),$Y2980="TRUE"),1,IF(AND($Y2980&lt;&gt;"",OR($Y2980=FALSE(),$Y2980="FALSE")),0,IF(MIN(ABS($X2980/100-Settings!$C$6),ABS($X2980/100-Settings!$G$6))&lt;=MIN(ABS($X2980/100-Settings!$C$7),ABS($X2980/100-Settings!$G$7)),1,0))))</f>
        <v/>
      </c>
      <c r="AC2980">
        <f>IF($Z2980=1,IFERROR(IF(VALUE($B2980)&lt;100000000,VALUE($B2980),1000000000),IFERROR(IF(VALUE(MID($B2980,2,20))&lt;100000000,VALUE(MID($B2980,2,20)),1000000000),1000000000))+ROW()/100000,"")</f>
        <v/>
      </c>
    </row>
    <row r="2981">
      <c r="A2981">
        <f>IF($B2981="","",IFERROR(IF(INDEX('Per Invoice'!$A$2:$A$801,MATCH($B2981,'Per Invoice'!$B$2:$B$801,0))=0,"",INDEX('Per Invoice'!$A$2:$A$801,MATCH($B2981,'Per Invoice'!$B$2:$B$801,0))),""))</f>
        <v/>
      </c>
      <c r="J2981" s="7">
        <f>IF($B2981="","",I2981*Q2981/100)</f>
        <v/>
      </c>
      <c r="N2981" s="7" t="n"/>
      <c r="O2981" s="7" t="n"/>
      <c r="P2981" s="7">
        <f>IF($B2981="","",O2981*X2981/100)</f>
        <v/>
      </c>
      <c r="Q2981" s="7">
        <f>IF($B2981="","",O2981-P2981)</f>
        <v/>
      </c>
      <c r="R2981" s="7">
        <f>IF($B2981="","",Q2981-J2981)</f>
        <v/>
      </c>
      <c r="S2981" s="7" t="n"/>
      <c r="T2981" s="7" t="n"/>
      <c r="V2981" s="14" t="n"/>
      <c r="Z2981">
        <f>IF($B2981="","",IF(COUNTIF($B$2:$B2981,$B2981)=1,1,0))</f>
        <v/>
      </c>
      <c r="AA2981">
        <f>IF($Z2981=1,SUMPRODUCT(--($AC$2:$AC$3001&lt;$AC2981))+1,"")</f>
        <v/>
      </c>
      <c r="AB2981">
        <f>IF($B2981="","",IF(OR($Y2981=TRUE(),$Y2981="TRUE"),1,IF(AND($Y2981&lt;&gt;"",OR($Y2981=FALSE(),$Y2981="FALSE")),0,IF(MIN(ABS($X2981/100-Settings!$C$6),ABS($X2981/100-Settings!$G$6))&lt;=MIN(ABS($X2981/100-Settings!$C$7),ABS($X2981/100-Settings!$G$7)),1,0))))</f>
        <v/>
      </c>
      <c r="AC2981">
        <f>IF($Z2981=1,IFERROR(IF(VALUE($B2981)&lt;100000000,VALUE($B2981),1000000000),IFERROR(IF(VALUE(MID($B2981,2,20))&lt;100000000,VALUE(MID($B2981,2,20)),1000000000),1000000000))+ROW()/100000,"")</f>
        <v/>
      </c>
    </row>
    <row r="2982">
      <c r="A2982">
        <f>IF($B2982="","",IFERROR(IF(INDEX('Per Invoice'!$A$2:$A$801,MATCH($B2982,'Per Invoice'!$B$2:$B$801,0))=0,"",INDEX('Per Invoice'!$A$2:$A$801,MATCH($B2982,'Per Invoice'!$B$2:$B$801,0))),""))</f>
        <v/>
      </c>
      <c r="J2982" s="7">
        <f>IF($B2982="","",I2982*Q2982/100)</f>
        <v/>
      </c>
      <c r="N2982" s="7" t="n"/>
      <c r="O2982" s="7" t="n"/>
      <c r="P2982" s="7">
        <f>IF($B2982="","",O2982*X2982/100)</f>
        <v/>
      </c>
      <c r="Q2982" s="7">
        <f>IF($B2982="","",O2982-P2982)</f>
        <v/>
      </c>
      <c r="R2982" s="7">
        <f>IF($B2982="","",Q2982-J2982)</f>
        <v/>
      </c>
      <c r="S2982" s="7" t="n"/>
      <c r="T2982" s="7" t="n"/>
      <c r="V2982" s="14" t="n"/>
      <c r="Z2982">
        <f>IF($B2982="","",IF(COUNTIF($B$2:$B2982,$B2982)=1,1,0))</f>
        <v/>
      </c>
      <c r="AA2982">
        <f>IF($Z2982=1,SUMPRODUCT(--($AC$2:$AC$3001&lt;$AC2982))+1,"")</f>
        <v/>
      </c>
      <c r="AB2982">
        <f>IF($B2982="","",IF(OR($Y2982=TRUE(),$Y2982="TRUE"),1,IF(AND($Y2982&lt;&gt;"",OR($Y2982=FALSE(),$Y2982="FALSE")),0,IF(MIN(ABS($X2982/100-Settings!$C$6),ABS($X2982/100-Settings!$G$6))&lt;=MIN(ABS($X2982/100-Settings!$C$7),ABS($X2982/100-Settings!$G$7)),1,0))))</f>
        <v/>
      </c>
      <c r="AC2982">
        <f>IF($Z2982=1,IFERROR(IF(VALUE($B2982)&lt;100000000,VALUE($B2982),1000000000),IFERROR(IF(VALUE(MID($B2982,2,20))&lt;100000000,VALUE(MID($B2982,2,20)),1000000000),1000000000))+ROW()/100000,"")</f>
        <v/>
      </c>
    </row>
    <row r="2983">
      <c r="A2983">
        <f>IF($B2983="","",IFERROR(IF(INDEX('Per Invoice'!$A$2:$A$801,MATCH($B2983,'Per Invoice'!$B$2:$B$801,0))=0,"",INDEX('Per Invoice'!$A$2:$A$801,MATCH($B2983,'Per Invoice'!$B$2:$B$801,0))),""))</f>
        <v/>
      </c>
      <c r="J2983" s="7">
        <f>IF($B2983="","",I2983*Q2983/100)</f>
        <v/>
      </c>
      <c r="N2983" s="7" t="n"/>
      <c r="O2983" s="7" t="n"/>
      <c r="P2983" s="7">
        <f>IF($B2983="","",O2983*X2983/100)</f>
        <v/>
      </c>
      <c r="Q2983" s="7">
        <f>IF($B2983="","",O2983-P2983)</f>
        <v/>
      </c>
      <c r="R2983" s="7">
        <f>IF($B2983="","",Q2983-J2983)</f>
        <v/>
      </c>
      <c r="S2983" s="7" t="n"/>
      <c r="T2983" s="7" t="n"/>
      <c r="V2983" s="14" t="n"/>
      <c r="Z2983">
        <f>IF($B2983="","",IF(COUNTIF($B$2:$B2983,$B2983)=1,1,0))</f>
        <v/>
      </c>
      <c r="AA2983">
        <f>IF($Z2983=1,SUMPRODUCT(--($AC$2:$AC$3001&lt;$AC2983))+1,"")</f>
        <v/>
      </c>
      <c r="AB2983">
        <f>IF($B2983="","",IF(OR($Y2983=TRUE(),$Y2983="TRUE"),1,IF(AND($Y2983&lt;&gt;"",OR($Y2983=FALSE(),$Y2983="FALSE")),0,IF(MIN(ABS($X2983/100-Settings!$C$6),ABS($X2983/100-Settings!$G$6))&lt;=MIN(ABS($X2983/100-Settings!$C$7),ABS($X2983/100-Settings!$G$7)),1,0))))</f>
        <v/>
      </c>
      <c r="AC2983">
        <f>IF($Z2983=1,IFERROR(IF(VALUE($B2983)&lt;100000000,VALUE($B2983),1000000000),IFERROR(IF(VALUE(MID($B2983,2,20))&lt;100000000,VALUE(MID($B2983,2,20)),1000000000),1000000000))+ROW()/100000,"")</f>
        <v/>
      </c>
    </row>
    <row r="2984">
      <c r="A2984">
        <f>IF($B2984="","",IFERROR(IF(INDEX('Per Invoice'!$A$2:$A$801,MATCH($B2984,'Per Invoice'!$B$2:$B$801,0))=0,"",INDEX('Per Invoice'!$A$2:$A$801,MATCH($B2984,'Per Invoice'!$B$2:$B$801,0))),""))</f>
        <v/>
      </c>
      <c r="J2984" s="7">
        <f>IF($B2984="","",I2984*Q2984/100)</f>
        <v/>
      </c>
      <c r="N2984" s="7" t="n"/>
      <c r="O2984" s="7" t="n"/>
      <c r="P2984" s="7">
        <f>IF($B2984="","",O2984*X2984/100)</f>
        <v/>
      </c>
      <c r="Q2984" s="7">
        <f>IF($B2984="","",O2984-P2984)</f>
        <v/>
      </c>
      <c r="R2984" s="7">
        <f>IF($B2984="","",Q2984-J2984)</f>
        <v/>
      </c>
      <c r="S2984" s="7" t="n"/>
      <c r="T2984" s="7" t="n"/>
      <c r="V2984" s="14" t="n"/>
      <c r="Z2984">
        <f>IF($B2984="","",IF(COUNTIF($B$2:$B2984,$B2984)=1,1,0))</f>
        <v/>
      </c>
      <c r="AA2984">
        <f>IF($Z2984=1,SUMPRODUCT(--($AC$2:$AC$3001&lt;$AC2984))+1,"")</f>
        <v/>
      </c>
      <c r="AB2984">
        <f>IF($B2984="","",IF(OR($Y2984=TRUE(),$Y2984="TRUE"),1,IF(AND($Y2984&lt;&gt;"",OR($Y2984=FALSE(),$Y2984="FALSE")),0,IF(MIN(ABS($X2984/100-Settings!$C$6),ABS($X2984/100-Settings!$G$6))&lt;=MIN(ABS($X2984/100-Settings!$C$7),ABS($X2984/100-Settings!$G$7)),1,0))))</f>
        <v/>
      </c>
      <c r="AC2984">
        <f>IF($Z2984=1,IFERROR(IF(VALUE($B2984)&lt;100000000,VALUE($B2984),1000000000),IFERROR(IF(VALUE(MID($B2984,2,20))&lt;100000000,VALUE(MID($B2984,2,20)),1000000000),1000000000))+ROW()/100000,"")</f>
        <v/>
      </c>
    </row>
    <row r="2985">
      <c r="A2985">
        <f>IF($B2985="","",IFERROR(IF(INDEX('Per Invoice'!$A$2:$A$801,MATCH($B2985,'Per Invoice'!$B$2:$B$801,0))=0,"",INDEX('Per Invoice'!$A$2:$A$801,MATCH($B2985,'Per Invoice'!$B$2:$B$801,0))),""))</f>
        <v/>
      </c>
      <c r="J2985" s="7">
        <f>IF($B2985="","",I2985*Q2985/100)</f>
        <v/>
      </c>
      <c r="N2985" s="7" t="n"/>
      <c r="O2985" s="7" t="n"/>
      <c r="P2985" s="7">
        <f>IF($B2985="","",O2985*X2985/100)</f>
        <v/>
      </c>
      <c r="Q2985" s="7">
        <f>IF($B2985="","",O2985-P2985)</f>
        <v/>
      </c>
      <c r="R2985" s="7">
        <f>IF($B2985="","",Q2985-J2985)</f>
        <v/>
      </c>
      <c r="S2985" s="7" t="n"/>
      <c r="T2985" s="7" t="n"/>
      <c r="V2985" s="14" t="n"/>
      <c r="Z2985">
        <f>IF($B2985="","",IF(COUNTIF($B$2:$B2985,$B2985)=1,1,0))</f>
        <v/>
      </c>
      <c r="AA2985">
        <f>IF($Z2985=1,SUMPRODUCT(--($AC$2:$AC$3001&lt;$AC2985))+1,"")</f>
        <v/>
      </c>
      <c r="AB2985">
        <f>IF($B2985="","",IF(OR($Y2985=TRUE(),$Y2985="TRUE"),1,IF(AND($Y2985&lt;&gt;"",OR($Y2985=FALSE(),$Y2985="FALSE")),0,IF(MIN(ABS($X2985/100-Settings!$C$6),ABS($X2985/100-Settings!$G$6))&lt;=MIN(ABS($X2985/100-Settings!$C$7),ABS($X2985/100-Settings!$G$7)),1,0))))</f>
        <v/>
      </c>
      <c r="AC2985">
        <f>IF($Z2985=1,IFERROR(IF(VALUE($B2985)&lt;100000000,VALUE($B2985),1000000000),IFERROR(IF(VALUE(MID($B2985,2,20))&lt;100000000,VALUE(MID($B2985,2,20)),1000000000),1000000000))+ROW()/100000,"")</f>
        <v/>
      </c>
    </row>
    <row r="2986">
      <c r="A2986">
        <f>IF($B2986="","",IFERROR(IF(INDEX('Per Invoice'!$A$2:$A$801,MATCH($B2986,'Per Invoice'!$B$2:$B$801,0))=0,"",INDEX('Per Invoice'!$A$2:$A$801,MATCH($B2986,'Per Invoice'!$B$2:$B$801,0))),""))</f>
        <v/>
      </c>
      <c r="J2986" s="7">
        <f>IF($B2986="","",I2986*Q2986/100)</f>
        <v/>
      </c>
      <c r="N2986" s="7" t="n"/>
      <c r="O2986" s="7" t="n"/>
      <c r="P2986" s="7">
        <f>IF($B2986="","",O2986*X2986/100)</f>
        <v/>
      </c>
      <c r="Q2986" s="7">
        <f>IF($B2986="","",O2986-P2986)</f>
        <v/>
      </c>
      <c r="R2986" s="7">
        <f>IF($B2986="","",Q2986-J2986)</f>
        <v/>
      </c>
      <c r="S2986" s="7" t="n"/>
      <c r="T2986" s="7" t="n"/>
      <c r="V2986" s="14" t="n"/>
      <c r="Z2986">
        <f>IF($B2986="","",IF(COUNTIF($B$2:$B2986,$B2986)=1,1,0))</f>
        <v/>
      </c>
      <c r="AA2986">
        <f>IF($Z2986=1,SUMPRODUCT(--($AC$2:$AC$3001&lt;$AC2986))+1,"")</f>
        <v/>
      </c>
      <c r="AB2986">
        <f>IF($B2986="","",IF(OR($Y2986=TRUE(),$Y2986="TRUE"),1,IF(AND($Y2986&lt;&gt;"",OR($Y2986=FALSE(),$Y2986="FALSE")),0,IF(MIN(ABS($X2986/100-Settings!$C$6),ABS($X2986/100-Settings!$G$6))&lt;=MIN(ABS($X2986/100-Settings!$C$7),ABS($X2986/100-Settings!$G$7)),1,0))))</f>
        <v/>
      </c>
      <c r="AC2986">
        <f>IF($Z2986=1,IFERROR(IF(VALUE($B2986)&lt;100000000,VALUE($B2986),1000000000),IFERROR(IF(VALUE(MID($B2986,2,20))&lt;100000000,VALUE(MID($B2986,2,20)),1000000000),1000000000))+ROW()/100000,"")</f>
        <v/>
      </c>
    </row>
    <row r="2987">
      <c r="A2987">
        <f>IF($B2987="","",IFERROR(IF(INDEX('Per Invoice'!$A$2:$A$801,MATCH($B2987,'Per Invoice'!$B$2:$B$801,0))=0,"",INDEX('Per Invoice'!$A$2:$A$801,MATCH($B2987,'Per Invoice'!$B$2:$B$801,0))),""))</f>
        <v/>
      </c>
      <c r="J2987" s="7">
        <f>IF($B2987="","",I2987*Q2987/100)</f>
        <v/>
      </c>
      <c r="N2987" s="7" t="n"/>
      <c r="O2987" s="7" t="n"/>
      <c r="P2987" s="7">
        <f>IF($B2987="","",O2987*X2987/100)</f>
        <v/>
      </c>
      <c r="Q2987" s="7">
        <f>IF($B2987="","",O2987-P2987)</f>
        <v/>
      </c>
      <c r="R2987" s="7">
        <f>IF($B2987="","",Q2987-J2987)</f>
        <v/>
      </c>
      <c r="S2987" s="7" t="n"/>
      <c r="T2987" s="7" t="n"/>
      <c r="V2987" s="14" t="n"/>
      <c r="Z2987">
        <f>IF($B2987="","",IF(COUNTIF($B$2:$B2987,$B2987)=1,1,0))</f>
        <v/>
      </c>
      <c r="AA2987">
        <f>IF($Z2987=1,SUMPRODUCT(--($AC$2:$AC$3001&lt;$AC2987))+1,"")</f>
        <v/>
      </c>
      <c r="AB2987">
        <f>IF($B2987="","",IF(OR($Y2987=TRUE(),$Y2987="TRUE"),1,IF(AND($Y2987&lt;&gt;"",OR($Y2987=FALSE(),$Y2987="FALSE")),0,IF(MIN(ABS($X2987/100-Settings!$C$6),ABS($X2987/100-Settings!$G$6))&lt;=MIN(ABS($X2987/100-Settings!$C$7),ABS($X2987/100-Settings!$G$7)),1,0))))</f>
        <v/>
      </c>
      <c r="AC2987">
        <f>IF($Z2987=1,IFERROR(IF(VALUE($B2987)&lt;100000000,VALUE($B2987),1000000000),IFERROR(IF(VALUE(MID($B2987,2,20))&lt;100000000,VALUE(MID($B2987,2,20)),1000000000),1000000000))+ROW()/100000,"")</f>
        <v/>
      </c>
    </row>
    <row r="2988">
      <c r="A2988">
        <f>IF($B2988="","",IFERROR(IF(INDEX('Per Invoice'!$A$2:$A$801,MATCH($B2988,'Per Invoice'!$B$2:$B$801,0))=0,"",INDEX('Per Invoice'!$A$2:$A$801,MATCH($B2988,'Per Invoice'!$B$2:$B$801,0))),""))</f>
        <v/>
      </c>
      <c r="J2988" s="7">
        <f>IF($B2988="","",I2988*Q2988/100)</f>
        <v/>
      </c>
      <c r="N2988" s="7" t="n"/>
      <c r="O2988" s="7" t="n"/>
      <c r="P2988" s="7">
        <f>IF($B2988="","",O2988*X2988/100)</f>
        <v/>
      </c>
      <c r="Q2988" s="7">
        <f>IF($B2988="","",O2988-P2988)</f>
        <v/>
      </c>
      <c r="R2988" s="7">
        <f>IF($B2988="","",Q2988-J2988)</f>
        <v/>
      </c>
      <c r="S2988" s="7" t="n"/>
      <c r="T2988" s="7" t="n"/>
      <c r="V2988" s="14" t="n"/>
      <c r="Z2988">
        <f>IF($B2988="","",IF(COUNTIF($B$2:$B2988,$B2988)=1,1,0))</f>
        <v/>
      </c>
      <c r="AA2988">
        <f>IF($Z2988=1,SUMPRODUCT(--($AC$2:$AC$3001&lt;$AC2988))+1,"")</f>
        <v/>
      </c>
      <c r="AB2988">
        <f>IF($B2988="","",IF(OR($Y2988=TRUE(),$Y2988="TRUE"),1,IF(AND($Y2988&lt;&gt;"",OR($Y2988=FALSE(),$Y2988="FALSE")),0,IF(MIN(ABS($X2988/100-Settings!$C$6),ABS($X2988/100-Settings!$G$6))&lt;=MIN(ABS($X2988/100-Settings!$C$7),ABS($X2988/100-Settings!$G$7)),1,0))))</f>
        <v/>
      </c>
      <c r="AC2988">
        <f>IF($Z2988=1,IFERROR(IF(VALUE($B2988)&lt;100000000,VALUE($B2988),1000000000),IFERROR(IF(VALUE(MID($B2988,2,20))&lt;100000000,VALUE(MID($B2988,2,20)),1000000000),1000000000))+ROW()/100000,"")</f>
        <v/>
      </c>
    </row>
    <row r="2989">
      <c r="A2989">
        <f>IF($B2989="","",IFERROR(IF(INDEX('Per Invoice'!$A$2:$A$801,MATCH($B2989,'Per Invoice'!$B$2:$B$801,0))=0,"",INDEX('Per Invoice'!$A$2:$A$801,MATCH($B2989,'Per Invoice'!$B$2:$B$801,0))),""))</f>
        <v/>
      </c>
      <c r="J2989" s="7">
        <f>IF($B2989="","",I2989*Q2989/100)</f>
        <v/>
      </c>
      <c r="N2989" s="7" t="n"/>
      <c r="O2989" s="7" t="n"/>
      <c r="P2989" s="7">
        <f>IF($B2989="","",O2989*X2989/100)</f>
        <v/>
      </c>
      <c r="Q2989" s="7">
        <f>IF($B2989="","",O2989-P2989)</f>
        <v/>
      </c>
      <c r="R2989" s="7">
        <f>IF($B2989="","",Q2989-J2989)</f>
        <v/>
      </c>
      <c r="S2989" s="7" t="n"/>
      <c r="T2989" s="7" t="n"/>
      <c r="V2989" s="14" t="n"/>
      <c r="Z2989">
        <f>IF($B2989="","",IF(COUNTIF($B$2:$B2989,$B2989)=1,1,0))</f>
        <v/>
      </c>
      <c r="AA2989">
        <f>IF($Z2989=1,SUMPRODUCT(--($AC$2:$AC$3001&lt;$AC2989))+1,"")</f>
        <v/>
      </c>
      <c r="AB2989">
        <f>IF($B2989="","",IF(OR($Y2989=TRUE(),$Y2989="TRUE"),1,IF(AND($Y2989&lt;&gt;"",OR($Y2989=FALSE(),$Y2989="FALSE")),0,IF(MIN(ABS($X2989/100-Settings!$C$6),ABS($X2989/100-Settings!$G$6))&lt;=MIN(ABS($X2989/100-Settings!$C$7),ABS($X2989/100-Settings!$G$7)),1,0))))</f>
        <v/>
      </c>
      <c r="AC2989">
        <f>IF($Z2989=1,IFERROR(IF(VALUE($B2989)&lt;100000000,VALUE($B2989),1000000000),IFERROR(IF(VALUE(MID($B2989,2,20))&lt;100000000,VALUE(MID($B2989,2,20)),1000000000),1000000000))+ROW()/100000,"")</f>
        <v/>
      </c>
    </row>
    <row r="2990">
      <c r="A2990">
        <f>IF($B2990="","",IFERROR(IF(INDEX('Per Invoice'!$A$2:$A$801,MATCH($B2990,'Per Invoice'!$B$2:$B$801,0))=0,"",INDEX('Per Invoice'!$A$2:$A$801,MATCH($B2990,'Per Invoice'!$B$2:$B$801,0))),""))</f>
        <v/>
      </c>
      <c r="J2990" s="7">
        <f>IF($B2990="","",I2990*Q2990/100)</f>
        <v/>
      </c>
      <c r="N2990" s="7" t="n"/>
      <c r="O2990" s="7" t="n"/>
      <c r="P2990" s="7">
        <f>IF($B2990="","",O2990*X2990/100)</f>
        <v/>
      </c>
      <c r="Q2990" s="7">
        <f>IF($B2990="","",O2990-P2990)</f>
        <v/>
      </c>
      <c r="R2990" s="7">
        <f>IF($B2990="","",Q2990-J2990)</f>
        <v/>
      </c>
      <c r="S2990" s="7" t="n"/>
      <c r="T2990" s="7" t="n"/>
      <c r="V2990" s="14" t="n"/>
      <c r="Z2990">
        <f>IF($B2990="","",IF(COUNTIF($B$2:$B2990,$B2990)=1,1,0))</f>
        <v/>
      </c>
      <c r="AA2990">
        <f>IF($Z2990=1,SUMPRODUCT(--($AC$2:$AC$3001&lt;$AC2990))+1,"")</f>
        <v/>
      </c>
      <c r="AB2990">
        <f>IF($B2990="","",IF(OR($Y2990=TRUE(),$Y2990="TRUE"),1,IF(AND($Y2990&lt;&gt;"",OR($Y2990=FALSE(),$Y2990="FALSE")),0,IF(MIN(ABS($X2990/100-Settings!$C$6),ABS($X2990/100-Settings!$G$6))&lt;=MIN(ABS($X2990/100-Settings!$C$7),ABS($X2990/100-Settings!$G$7)),1,0))))</f>
        <v/>
      </c>
      <c r="AC2990">
        <f>IF($Z2990=1,IFERROR(IF(VALUE($B2990)&lt;100000000,VALUE($B2990),1000000000),IFERROR(IF(VALUE(MID($B2990,2,20))&lt;100000000,VALUE(MID($B2990,2,20)),1000000000),1000000000))+ROW()/100000,"")</f>
        <v/>
      </c>
    </row>
    <row r="2991">
      <c r="A2991">
        <f>IF($B2991="","",IFERROR(IF(INDEX('Per Invoice'!$A$2:$A$801,MATCH($B2991,'Per Invoice'!$B$2:$B$801,0))=0,"",INDEX('Per Invoice'!$A$2:$A$801,MATCH($B2991,'Per Invoice'!$B$2:$B$801,0))),""))</f>
        <v/>
      </c>
      <c r="J2991" s="7">
        <f>IF($B2991="","",I2991*Q2991/100)</f>
        <v/>
      </c>
      <c r="N2991" s="7" t="n"/>
      <c r="O2991" s="7" t="n"/>
      <c r="P2991" s="7">
        <f>IF($B2991="","",O2991*X2991/100)</f>
        <v/>
      </c>
      <c r="Q2991" s="7">
        <f>IF($B2991="","",O2991-P2991)</f>
        <v/>
      </c>
      <c r="R2991" s="7">
        <f>IF($B2991="","",Q2991-J2991)</f>
        <v/>
      </c>
      <c r="S2991" s="7" t="n"/>
      <c r="T2991" s="7" t="n"/>
      <c r="V2991" s="14" t="n"/>
      <c r="Z2991">
        <f>IF($B2991="","",IF(COUNTIF($B$2:$B2991,$B2991)=1,1,0))</f>
        <v/>
      </c>
      <c r="AA2991">
        <f>IF($Z2991=1,SUMPRODUCT(--($AC$2:$AC$3001&lt;$AC2991))+1,"")</f>
        <v/>
      </c>
      <c r="AB2991">
        <f>IF($B2991="","",IF(OR($Y2991=TRUE(),$Y2991="TRUE"),1,IF(AND($Y2991&lt;&gt;"",OR($Y2991=FALSE(),$Y2991="FALSE")),0,IF(MIN(ABS($X2991/100-Settings!$C$6),ABS($X2991/100-Settings!$G$6))&lt;=MIN(ABS($X2991/100-Settings!$C$7),ABS($X2991/100-Settings!$G$7)),1,0))))</f>
        <v/>
      </c>
      <c r="AC2991">
        <f>IF($Z2991=1,IFERROR(IF(VALUE($B2991)&lt;100000000,VALUE($B2991),1000000000),IFERROR(IF(VALUE(MID($B2991,2,20))&lt;100000000,VALUE(MID($B2991,2,20)),1000000000),1000000000))+ROW()/100000,"")</f>
        <v/>
      </c>
    </row>
    <row r="2992">
      <c r="A2992">
        <f>IF($B2992="","",IFERROR(IF(INDEX('Per Invoice'!$A$2:$A$801,MATCH($B2992,'Per Invoice'!$B$2:$B$801,0))=0,"",INDEX('Per Invoice'!$A$2:$A$801,MATCH($B2992,'Per Invoice'!$B$2:$B$801,0))),""))</f>
        <v/>
      </c>
      <c r="J2992" s="7">
        <f>IF($B2992="","",I2992*Q2992/100)</f>
        <v/>
      </c>
      <c r="N2992" s="7" t="n"/>
      <c r="O2992" s="7" t="n"/>
      <c r="P2992" s="7">
        <f>IF($B2992="","",O2992*X2992/100)</f>
        <v/>
      </c>
      <c r="Q2992" s="7">
        <f>IF($B2992="","",O2992-P2992)</f>
        <v/>
      </c>
      <c r="R2992" s="7">
        <f>IF($B2992="","",Q2992-J2992)</f>
        <v/>
      </c>
      <c r="S2992" s="7" t="n"/>
      <c r="T2992" s="7" t="n"/>
      <c r="V2992" s="14" t="n"/>
      <c r="Z2992">
        <f>IF($B2992="","",IF(COUNTIF($B$2:$B2992,$B2992)=1,1,0))</f>
        <v/>
      </c>
      <c r="AA2992">
        <f>IF($Z2992=1,SUMPRODUCT(--($AC$2:$AC$3001&lt;$AC2992))+1,"")</f>
        <v/>
      </c>
      <c r="AB2992">
        <f>IF($B2992="","",IF(OR($Y2992=TRUE(),$Y2992="TRUE"),1,IF(AND($Y2992&lt;&gt;"",OR($Y2992=FALSE(),$Y2992="FALSE")),0,IF(MIN(ABS($X2992/100-Settings!$C$6),ABS($X2992/100-Settings!$G$6))&lt;=MIN(ABS($X2992/100-Settings!$C$7),ABS($X2992/100-Settings!$G$7)),1,0))))</f>
        <v/>
      </c>
      <c r="AC2992">
        <f>IF($Z2992=1,IFERROR(IF(VALUE($B2992)&lt;100000000,VALUE($B2992),1000000000),IFERROR(IF(VALUE(MID($B2992,2,20))&lt;100000000,VALUE(MID($B2992,2,20)),1000000000),1000000000))+ROW()/100000,"")</f>
        <v/>
      </c>
    </row>
    <row r="2993">
      <c r="A2993">
        <f>IF($B2993="","",IFERROR(IF(INDEX('Per Invoice'!$A$2:$A$801,MATCH($B2993,'Per Invoice'!$B$2:$B$801,0))=0,"",INDEX('Per Invoice'!$A$2:$A$801,MATCH($B2993,'Per Invoice'!$B$2:$B$801,0))),""))</f>
        <v/>
      </c>
      <c r="J2993" s="7">
        <f>IF($B2993="","",I2993*Q2993/100)</f>
        <v/>
      </c>
      <c r="N2993" s="7" t="n"/>
      <c r="O2993" s="7" t="n"/>
      <c r="P2993" s="7">
        <f>IF($B2993="","",O2993*X2993/100)</f>
        <v/>
      </c>
      <c r="Q2993" s="7">
        <f>IF($B2993="","",O2993-P2993)</f>
        <v/>
      </c>
      <c r="R2993" s="7">
        <f>IF($B2993="","",Q2993-J2993)</f>
        <v/>
      </c>
      <c r="S2993" s="7" t="n"/>
      <c r="T2993" s="7" t="n"/>
      <c r="V2993" s="14" t="n"/>
      <c r="Z2993">
        <f>IF($B2993="","",IF(COUNTIF($B$2:$B2993,$B2993)=1,1,0))</f>
        <v/>
      </c>
      <c r="AA2993">
        <f>IF($Z2993=1,SUMPRODUCT(--($AC$2:$AC$3001&lt;$AC2993))+1,"")</f>
        <v/>
      </c>
      <c r="AB2993">
        <f>IF($B2993="","",IF(OR($Y2993=TRUE(),$Y2993="TRUE"),1,IF(AND($Y2993&lt;&gt;"",OR($Y2993=FALSE(),$Y2993="FALSE")),0,IF(MIN(ABS($X2993/100-Settings!$C$6),ABS($X2993/100-Settings!$G$6))&lt;=MIN(ABS($X2993/100-Settings!$C$7),ABS($X2993/100-Settings!$G$7)),1,0))))</f>
        <v/>
      </c>
      <c r="AC2993">
        <f>IF($Z2993=1,IFERROR(IF(VALUE($B2993)&lt;100000000,VALUE($B2993),1000000000),IFERROR(IF(VALUE(MID($B2993,2,20))&lt;100000000,VALUE(MID($B2993,2,20)),1000000000),1000000000))+ROW()/100000,"")</f>
        <v/>
      </c>
    </row>
    <row r="2994">
      <c r="A2994">
        <f>IF($B2994="","",IFERROR(IF(INDEX('Per Invoice'!$A$2:$A$801,MATCH($B2994,'Per Invoice'!$B$2:$B$801,0))=0,"",INDEX('Per Invoice'!$A$2:$A$801,MATCH($B2994,'Per Invoice'!$B$2:$B$801,0))),""))</f>
        <v/>
      </c>
      <c r="J2994" s="7">
        <f>IF($B2994="","",I2994*Q2994/100)</f>
        <v/>
      </c>
      <c r="N2994" s="7" t="n"/>
      <c r="O2994" s="7" t="n"/>
      <c r="P2994" s="7">
        <f>IF($B2994="","",O2994*X2994/100)</f>
        <v/>
      </c>
      <c r="Q2994" s="7">
        <f>IF($B2994="","",O2994-P2994)</f>
        <v/>
      </c>
      <c r="R2994" s="7">
        <f>IF($B2994="","",Q2994-J2994)</f>
        <v/>
      </c>
      <c r="S2994" s="7" t="n"/>
      <c r="T2994" s="7" t="n"/>
      <c r="V2994" s="14" t="n"/>
      <c r="Z2994">
        <f>IF($B2994="","",IF(COUNTIF($B$2:$B2994,$B2994)=1,1,0))</f>
        <v/>
      </c>
      <c r="AA2994">
        <f>IF($Z2994=1,SUMPRODUCT(--($AC$2:$AC$3001&lt;$AC2994))+1,"")</f>
        <v/>
      </c>
      <c r="AB2994">
        <f>IF($B2994="","",IF(OR($Y2994=TRUE(),$Y2994="TRUE"),1,IF(AND($Y2994&lt;&gt;"",OR($Y2994=FALSE(),$Y2994="FALSE")),0,IF(MIN(ABS($X2994/100-Settings!$C$6),ABS($X2994/100-Settings!$G$6))&lt;=MIN(ABS($X2994/100-Settings!$C$7),ABS($X2994/100-Settings!$G$7)),1,0))))</f>
        <v/>
      </c>
      <c r="AC2994">
        <f>IF($Z2994=1,IFERROR(IF(VALUE($B2994)&lt;100000000,VALUE($B2994),1000000000),IFERROR(IF(VALUE(MID($B2994,2,20))&lt;100000000,VALUE(MID($B2994,2,20)),1000000000),1000000000))+ROW()/100000,"")</f>
        <v/>
      </c>
    </row>
    <row r="2995">
      <c r="A2995">
        <f>IF($B2995="","",IFERROR(IF(INDEX('Per Invoice'!$A$2:$A$801,MATCH($B2995,'Per Invoice'!$B$2:$B$801,0))=0,"",INDEX('Per Invoice'!$A$2:$A$801,MATCH($B2995,'Per Invoice'!$B$2:$B$801,0))),""))</f>
        <v/>
      </c>
      <c r="J2995" s="7">
        <f>IF($B2995="","",I2995*Q2995/100)</f>
        <v/>
      </c>
      <c r="N2995" s="7" t="n"/>
      <c r="O2995" s="7" t="n"/>
      <c r="P2995" s="7">
        <f>IF($B2995="","",O2995*X2995/100)</f>
        <v/>
      </c>
      <c r="Q2995" s="7">
        <f>IF($B2995="","",O2995-P2995)</f>
        <v/>
      </c>
      <c r="R2995" s="7">
        <f>IF($B2995="","",Q2995-J2995)</f>
        <v/>
      </c>
      <c r="S2995" s="7" t="n"/>
      <c r="T2995" s="7" t="n"/>
      <c r="V2995" s="14" t="n"/>
      <c r="Z2995">
        <f>IF($B2995="","",IF(COUNTIF($B$2:$B2995,$B2995)=1,1,0))</f>
        <v/>
      </c>
      <c r="AA2995">
        <f>IF($Z2995=1,SUMPRODUCT(--($AC$2:$AC$3001&lt;$AC2995))+1,"")</f>
        <v/>
      </c>
      <c r="AB2995">
        <f>IF($B2995="","",IF(OR($Y2995=TRUE(),$Y2995="TRUE"),1,IF(AND($Y2995&lt;&gt;"",OR($Y2995=FALSE(),$Y2995="FALSE")),0,IF(MIN(ABS($X2995/100-Settings!$C$6),ABS($X2995/100-Settings!$G$6))&lt;=MIN(ABS($X2995/100-Settings!$C$7),ABS($X2995/100-Settings!$G$7)),1,0))))</f>
        <v/>
      </c>
      <c r="AC2995">
        <f>IF($Z2995=1,IFERROR(IF(VALUE($B2995)&lt;100000000,VALUE($B2995),1000000000),IFERROR(IF(VALUE(MID($B2995,2,20))&lt;100000000,VALUE(MID($B2995,2,20)),1000000000),1000000000))+ROW()/100000,"")</f>
        <v/>
      </c>
    </row>
    <row r="2996">
      <c r="A2996">
        <f>IF($B2996="","",IFERROR(IF(INDEX('Per Invoice'!$A$2:$A$801,MATCH($B2996,'Per Invoice'!$B$2:$B$801,0))=0,"",INDEX('Per Invoice'!$A$2:$A$801,MATCH($B2996,'Per Invoice'!$B$2:$B$801,0))),""))</f>
        <v/>
      </c>
      <c r="J2996" s="7">
        <f>IF($B2996="","",I2996*Q2996/100)</f>
        <v/>
      </c>
      <c r="N2996" s="7" t="n"/>
      <c r="O2996" s="7" t="n"/>
      <c r="P2996" s="7">
        <f>IF($B2996="","",O2996*X2996/100)</f>
        <v/>
      </c>
      <c r="Q2996" s="7">
        <f>IF($B2996="","",O2996-P2996)</f>
        <v/>
      </c>
      <c r="R2996" s="7">
        <f>IF($B2996="","",Q2996-J2996)</f>
        <v/>
      </c>
      <c r="S2996" s="7" t="n"/>
      <c r="T2996" s="7" t="n"/>
      <c r="V2996" s="14" t="n"/>
      <c r="Z2996">
        <f>IF($B2996="","",IF(COUNTIF($B$2:$B2996,$B2996)=1,1,0))</f>
        <v/>
      </c>
      <c r="AA2996">
        <f>IF($Z2996=1,SUMPRODUCT(--($AC$2:$AC$3001&lt;$AC2996))+1,"")</f>
        <v/>
      </c>
      <c r="AB2996">
        <f>IF($B2996="","",IF(OR($Y2996=TRUE(),$Y2996="TRUE"),1,IF(AND($Y2996&lt;&gt;"",OR($Y2996=FALSE(),$Y2996="FALSE")),0,IF(MIN(ABS($X2996/100-Settings!$C$6),ABS($X2996/100-Settings!$G$6))&lt;=MIN(ABS($X2996/100-Settings!$C$7),ABS($X2996/100-Settings!$G$7)),1,0))))</f>
        <v/>
      </c>
      <c r="AC2996">
        <f>IF($Z2996=1,IFERROR(IF(VALUE($B2996)&lt;100000000,VALUE($B2996),1000000000),IFERROR(IF(VALUE(MID($B2996,2,20))&lt;100000000,VALUE(MID($B2996,2,20)),1000000000),1000000000))+ROW()/100000,"")</f>
        <v/>
      </c>
    </row>
    <row r="2997">
      <c r="A2997">
        <f>IF($B2997="","",IFERROR(IF(INDEX('Per Invoice'!$A$2:$A$801,MATCH($B2997,'Per Invoice'!$B$2:$B$801,0))=0,"",INDEX('Per Invoice'!$A$2:$A$801,MATCH($B2997,'Per Invoice'!$B$2:$B$801,0))),""))</f>
        <v/>
      </c>
      <c r="J2997" s="7">
        <f>IF($B2997="","",I2997*Q2997/100)</f>
        <v/>
      </c>
      <c r="N2997" s="7" t="n"/>
      <c r="O2997" s="7" t="n"/>
      <c r="P2997" s="7">
        <f>IF($B2997="","",O2997*X2997/100)</f>
        <v/>
      </c>
      <c r="Q2997" s="7">
        <f>IF($B2997="","",O2997-P2997)</f>
        <v/>
      </c>
      <c r="R2997" s="7">
        <f>IF($B2997="","",Q2997-J2997)</f>
        <v/>
      </c>
      <c r="S2997" s="7" t="n"/>
      <c r="T2997" s="7" t="n"/>
      <c r="V2997" s="14" t="n"/>
      <c r="Z2997">
        <f>IF($B2997="","",IF(COUNTIF($B$2:$B2997,$B2997)=1,1,0))</f>
        <v/>
      </c>
      <c r="AA2997">
        <f>IF($Z2997=1,SUMPRODUCT(--($AC$2:$AC$3001&lt;$AC2997))+1,"")</f>
        <v/>
      </c>
      <c r="AB2997">
        <f>IF($B2997="","",IF(OR($Y2997=TRUE(),$Y2997="TRUE"),1,IF(AND($Y2997&lt;&gt;"",OR($Y2997=FALSE(),$Y2997="FALSE")),0,IF(MIN(ABS($X2997/100-Settings!$C$6),ABS($X2997/100-Settings!$G$6))&lt;=MIN(ABS($X2997/100-Settings!$C$7),ABS($X2997/100-Settings!$G$7)),1,0))))</f>
        <v/>
      </c>
      <c r="AC2997">
        <f>IF($Z2997=1,IFERROR(IF(VALUE($B2997)&lt;100000000,VALUE($B2997),1000000000),IFERROR(IF(VALUE(MID($B2997,2,20))&lt;100000000,VALUE(MID($B2997,2,20)),1000000000),1000000000))+ROW()/100000,"")</f>
        <v/>
      </c>
    </row>
    <row r="2998">
      <c r="A2998">
        <f>IF($B2998="","",IFERROR(IF(INDEX('Per Invoice'!$A$2:$A$801,MATCH($B2998,'Per Invoice'!$B$2:$B$801,0))=0,"",INDEX('Per Invoice'!$A$2:$A$801,MATCH($B2998,'Per Invoice'!$B$2:$B$801,0))),""))</f>
        <v/>
      </c>
      <c r="J2998" s="7">
        <f>IF($B2998="","",I2998*Q2998/100)</f>
        <v/>
      </c>
      <c r="N2998" s="7" t="n"/>
      <c r="O2998" s="7" t="n"/>
      <c r="P2998" s="7">
        <f>IF($B2998="","",O2998*X2998/100)</f>
        <v/>
      </c>
      <c r="Q2998" s="7">
        <f>IF($B2998="","",O2998-P2998)</f>
        <v/>
      </c>
      <c r="R2998" s="7">
        <f>IF($B2998="","",Q2998-J2998)</f>
        <v/>
      </c>
      <c r="S2998" s="7" t="n"/>
      <c r="T2998" s="7" t="n"/>
      <c r="V2998" s="14" t="n"/>
      <c r="Z2998">
        <f>IF($B2998="","",IF(COUNTIF($B$2:$B2998,$B2998)=1,1,0))</f>
        <v/>
      </c>
      <c r="AA2998">
        <f>IF($Z2998=1,SUMPRODUCT(--($AC$2:$AC$3001&lt;$AC2998))+1,"")</f>
        <v/>
      </c>
      <c r="AB2998">
        <f>IF($B2998="","",IF(OR($Y2998=TRUE(),$Y2998="TRUE"),1,IF(AND($Y2998&lt;&gt;"",OR($Y2998=FALSE(),$Y2998="FALSE")),0,IF(MIN(ABS($X2998/100-Settings!$C$6),ABS($X2998/100-Settings!$G$6))&lt;=MIN(ABS($X2998/100-Settings!$C$7),ABS($X2998/100-Settings!$G$7)),1,0))))</f>
        <v/>
      </c>
      <c r="AC2998">
        <f>IF($Z2998=1,IFERROR(IF(VALUE($B2998)&lt;100000000,VALUE($B2998),1000000000),IFERROR(IF(VALUE(MID($B2998,2,20))&lt;100000000,VALUE(MID($B2998,2,20)),1000000000),1000000000))+ROW()/100000,"")</f>
        <v/>
      </c>
    </row>
    <row r="2999">
      <c r="A2999">
        <f>IF($B2999="","",IFERROR(IF(INDEX('Per Invoice'!$A$2:$A$801,MATCH($B2999,'Per Invoice'!$B$2:$B$801,0))=0,"",INDEX('Per Invoice'!$A$2:$A$801,MATCH($B2999,'Per Invoice'!$B$2:$B$801,0))),""))</f>
        <v/>
      </c>
      <c r="J2999" s="7">
        <f>IF($B2999="","",I2999*Q2999/100)</f>
        <v/>
      </c>
      <c r="N2999" s="7" t="n"/>
      <c r="O2999" s="7" t="n"/>
      <c r="P2999" s="7">
        <f>IF($B2999="","",O2999*X2999/100)</f>
        <v/>
      </c>
      <c r="Q2999" s="7">
        <f>IF($B2999="","",O2999-P2999)</f>
        <v/>
      </c>
      <c r="R2999" s="7">
        <f>IF($B2999="","",Q2999-J2999)</f>
        <v/>
      </c>
      <c r="S2999" s="7" t="n"/>
      <c r="T2999" s="7" t="n"/>
      <c r="V2999" s="14" t="n"/>
      <c r="Z2999">
        <f>IF($B2999="","",IF(COUNTIF($B$2:$B2999,$B2999)=1,1,0))</f>
        <v/>
      </c>
      <c r="AA2999">
        <f>IF($Z2999=1,SUMPRODUCT(--($AC$2:$AC$3001&lt;$AC2999))+1,"")</f>
        <v/>
      </c>
      <c r="AB2999">
        <f>IF($B2999="","",IF(OR($Y2999=TRUE(),$Y2999="TRUE"),1,IF(AND($Y2999&lt;&gt;"",OR($Y2999=FALSE(),$Y2999="FALSE")),0,IF(MIN(ABS($X2999/100-Settings!$C$6),ABS($X2999/100-Settings!$G$6))&lt;=MIN(ABS($X2999/100-Settings!$C$7),ABS($X2999/100-Settings!$G$7)),1,0))))</f>
        <v/>
      </c>
      <c r="AC2999">
        <f>IF($Z2999=1,IFERROR(IF(VALUE($B2999)&lt;100000000,VALUE($B2999),1000000000),IFERROR(IF(VALUE(MID($B2999,2,20))&lt;100000000,VALUE(MID($B2999,2,20)),1000000000),1000000000))+ROW()/100000,"")</f>
        <v/>
      </c>
    </row>
    <row r="3000">
      <c r="A3000">
        <f>IF($B3000="","",IFERROR(IF(INDEX('Per Invoice'!$A$2:$A$801,MATCH($B3000,'Per Invoice'!$B$2:$B$801,0))=0,"",INDEX('Per Invoice'!$A$2:$A$801,MATCH($B3000,'Per Invoice'!$B$2:$B$801,0))),""))</f>
        <v/>
      </c>
      <c r="J3000" s="7">
        <f>IF($B3000="","",I3000*Q3000/100)</f>
        <v/>
      </c>
      <c r="N3000" s="7" t="n"/>
      <c r="O3000" s="7" t="n"/>
      <c r="P3000" s="7">
        <f>IF($B3000="","",O3000*X3000/100)</f>
        <v/>
      </c>
      <c r="Q3000" s="7">
        <f>IF($B3000="","",O3000-P3000)</f>
        <v/>
      </c>
      <c r="R3000" s="7">
        <f>IF($B3000="","",Q3000-J3000)</f>
        <v/>
      </c>
      <c r="S3000" s="7" t="n"/>
      <c r="T3000" s="7" t="n"/>
      <c r="V3000" s="14" t="n"/>
      <c r="Z3000">
        <f>IF($B3000="","",IF(COUNTIF($B$2:$B3000,$B3000)=1,1,0))</f>
        <v/>
      </c>
      <c r="AA3000">
        <f>IF($Z3000=1,SUMPRODUCT(--($AC$2:$AC$3001&lt;$AC3000))+1,"")</f>
        <v/>
      </c>
      <c r="AB3000">
        <f>IF($B3000="","",IF(OR($Y3000=TRUE(),$Y3000="TRUE"),1,IF(AND($Y3000&lt;&gt;"",OR($Y3000=FALSE(),$Y3000="FALSE")),0,IF(MIN(ABS($X3000/100-Settings!$C$6),ABS($X3000/100-Settings!$G$6))&lt;=MIN(ABS($X3000/100-Settings!$C$7),ABS($X3000/100-Settings!$G$7)),1,0))))</f>
        <v/>
      </c>
      <c r="AC3000">
        <f>IF($Z3000=1,IFERROR(IF(VALUE($B3000)&lt;100000000,VALUE($B3000),1000000000),IFERROR(IF(VALUE(MID($B3000,2,20))&lt;100000000,VALUE(MID($B3000,2,20)),1000000000),1000000000))+ROW()/100000,"")</f>
        <v/>
      </c>
    </row>
    <row r="3001">
      <c r="A3001">
        <f>IF($B3001="","",IFERROR(IF(INDEX('Per Invoice'!$A$2:$A$801,MATCH($B3001,'Per Invoice'!$B$2:$B$801,0))=0,"",INDEX('Per Invoice'!$A$2:$A$801,MATCH($B3001,'Per Invoice'!$B$2:$B$801,0))),""))</f>
        <v/>
      </c>
      <c r="J3001" s="7">
        <f>IF($B3001="","",I3001*Q3001/100)</f>
        <v/>
      </c>
      <c r="N3001" s="7" t="n"/>
      <c r="O3001" s="7" t="n"/>
      <c r="P3001" s="7">
        <f>IF($B3001="","",O3001*X3001/100)</f>
        <v/>
      </c>
      <c r="Q3001" s="7">
        <f>IF($B3001="","",O3001-P3001)</f>
        <v/>
      </c>
      <c r="R3001" s="7">
        <f>IF($B3001="","",Q3001-J3001)</f>
        <v/>
      </c>
      <c r="S3001" s="7" t="n"/>
      <c r="T3001" s="7" t="n"/>
      <c r="V3001" s="14" t="n"/>
      <c r="Z3001">
        <f>IF($B3001="","",IF(COUNTIF($B$2:$B3001,$B3001)=1,1,0))</f>
        <v/>
      </c>
      <c r="AA3001">
        <f>IF($Z3001=1,SUMPRODUCT(--($AC$2:$AC$3001&lt;$AC3001))+1,"")</f>
        <v/>
      </c>
      <c r="AB3001">
        <f>IF($B3001="","",IF(OR($Y3001=TRUE(),$Y3001="TRUE"),1,IF(AND($Y3001&lt;&gt;"",OR($Y3001=FALSE(),$Y3001="FALSE")),0,IF(MIN(ABS($X3001/100-Settings!$C$6),ABS($X3001/100-Settings!$G$6))&lt;=MIN(ABS($X3001/100-Settings!$C$7),ABS($X3001/100-Settings!$G$7)),1,0))))</f>
        <v/>
      </c>
      <c r="AC3001">
        <f>IF($Z3001=1,IFERROR(IF(VALUE($B3001)&lt;100000000,VALUE($B3001),1000000000),IFERROR(IF(VALUE(MID($B3001,2,20))&lt;100000000,VALUE(MID($B3001,2,20)),1000000000),1000000000))+ROW()/100000,"")</f>
        <v/>
      </c>
    </row>
  </sheetData>
  <autoFilter ref="A1:AC3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26" customWidth="1" min="8" max="8"/>
    <col width="13" customWidth="1" min="9" max="9"/>
    <col width="12" customWidth="1" min="10" max="10"/>
    <col width="1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  <col width="20" customWidth="1" min="24" max="24"/>
  </cols>
  <sheetData>
    <row r="1" ht="32" customHeight="1">
      <c r="A1" s="12" t="inlineStr">
        <is>
          <t>Invoice</t>
        </is>
      </c>
      <c r="B1" s="10" t="inlineStr">
        <is>
          <t>Pos Reference</t>
        </is>
      </c>
      <c r="C1" s="10" t="inlineStr">
        <is>
          <t>Approval</t>
        </is>
      </c>
      <c r="D1" s="10" t="inlineStr">
        <is>
          <t>##</t>
        </is>
      </c>
      <c r="E1" s="10" t="inlineStr">
        <is>
          <t>Payer</t>
        </is>
      </c>
      <c r="F1" s="10" t="inlineStr">
        <is>
          <t>Payment term</t>
        </is>
      </c>
      <c r="G1" s="10" t="inlineStr">
        <is>
          <t>Insurance Company</t>
        </is>
      </c>
      <c r="H1" s="10" t="inlineStr">
        <is>
          <t>Name</t>
        </is>
      </c>
      <c r="I1" s="10" t="inlineStr">
        <is>
          <t>Card Number</t>
        </is>
      </c>
      <c r="J1" s="10" t="inlineStr">
        <is>
          <t>Co Payment %</t>
        </is>
      </c>
      <c r="K1" s="10" t="inlineStr">
        <is>
          <t>Co val</t>
        </is>
      </c>
      <c r="L1" s="10" t="inlineStr">
        <is>
          <t>Create Date</t>
        </is>
      </c>
      <c r="M1" s="10" t="inlineStr">
        <is>
          <t>Imp%</t>
        </is>
      </c>
      <c r="N1" s="10" t="inlineStr">
        <is>
          <t>Imp</t>
        </is>
      </c>
      <c r="O1" s="10" t="inlineStr">
        <is>
          <t>Imp_Val</t>
        </is>
      </c>
      <c r="P1" s="10" t="inlineStr">
        <is>
          <t>Local%</t>
        </is>
      </c>
      <c r="Q1" s="10" t="inlineStr">
        <is>
          <t>Local</t>
        </is>
      </c>
      <c r="R1" s="10" t="inlineStr">
        <is>
          <t>Local_Val</t>
        </is>
      </c>
      <c r="S1" s="10" t="inlineStr">
        <is>
          <t>Discount</t>
        </is>
      </c>
      <c r="T1" s="10" t="inlineStr">
        <is>
          <t>Subtotal</t>
        </is>
      </c>
      <c r="U1" s="10" t="inlineStr">
        <is>
          <t>Net</t>
        </is>
      </c>
      <c r="V1" s="10" t="inlineStr">
        <is>
          <t>Grand Total</t>
        </is>
      </c>
      <c r="W1" s="13" t="inlineStr">
        <is>
          <t>Src Row (helper)</t>
        </is>
      </c>
      <c r="X1" s="13" t="inlineStr">
        <is>
          <t>Payer Key (helper)</t>
        </is>
      </c>
    </row>
    <row r="2">
      <c r="A2" s="15" t="n"/>
      <c r="B2">
        <f>IF($W2="","",INDEX('Per Line'!$B$2:$B$3001,$W2)&amp;"")</f>
        <v/>
      </c>
      <c r="C2">
        <f>IF($W2="","",INDEX('Per Line'!$C$2:$C$3001,$W2)&amp;"")</f>
        <v/>
      </c>
      <c r="D2">
        <f>IF($W2="","",IF(OR(TRIM(E2)="Orient Insurance Company",TRIM(E2)="Allianz"),TRIM(E2),TRIM(F2)))</f>
        <v/>
      </c>
      <c r="E2">
        <f>IF($W2="","",INDEX('Per Line'!$E$2:$E$3001,$W2)&amp;"")</f>
        <v/>
      </c>
      <c r="F2">
        <f>IF($W2="","",INDEX('Per Line'!$D$2:$D$3001,$W2)&amp;"")</f>
        <v/>
      </c>
      <c r="G2">
        <f>IF($W2="","",INDEX('Per Line'!$F$2:$F$3001,$W2)&amp;"")</f>
        <v/>
      </c>
      <c r="H2">
        <f>IF($W2="","",INDEX('Per Line'!$G$2:$G$3001,$W2)&amp;"")</f>
        <v/>
      </c>
      <c r="I2">
        <f>IF($W2="","",INDEX('Per Line'!$H$2:$H$3001,$W2)&amp;"")</f>
        <v/>
      </c>
      <c r="J2">
        <f>IF($W2="","",INDEX('Per Line'!$I$2:$I$3001,$W2))</f>
        <v/>
      </c>
      <c r="K2" s="7">
        <f>IF($W2="","",J2*T2/100)</f>
        <v/>
      </c>
      <c r="L2" s="14">
        <f>IF($W2="","",INDEX('Per Line'!$V$2:$V$3001,$W2))</f>
        <v/>
      </c>
      <c r="M2">
        <f>IF($W2="","",IF(ISNUMBER(SEARCH("3&amp;12",SUBSTITUTE(F2," ",""))),Settings!$G$7,Settings!$C$7))</f>
        <v/>
      </c>
      <c r="N2" s="7">
        <f>IF($W2="","",SUMIFS('Per Line'!$O$2:$O$3001,'Per Line'!$B$2:$B$3001,$B2,'Per Line'!$AB$2:$AB$3001,0))</f>
        <v/>
      </c>
      <c r="O2" s="7">
        <f>IF($W2="","",N2*M2)</f>
        <v/>
      </c>
      <c r="P2">
        <f>IF($W2="","",IF(ISNUMBER(SEARCH("3&amp;12",SUBSTITUTE(F2," ",""))),Settings!$G$6,Settings!$C$6))</f>
        <v/>
      </c>
      <c r="Q2" s="7">
        <f>IF($W2="","",SUMIFS('Per Line'!$O$2:$O$3001,'Per Line'!$B$2:$B$3001,$B2,'Per Line'!$AB$2:$AB$3001,1))</f>
        <v/>
      </c>
      <c r="R2" s="7">
        <f>IF($W2="","",Q2*P2)</f>
        <v/>
      </c>
      <c r="S2" s="7">
        <f>IF($W2="","",R2+O2)</f>
        <v/>
      </c>
      <c r="T2" s="7">
        <f>IF($W2="","",V2-S2)</f>
        <v/>
      </c>
      <c r="U2" s="7">
        <f>IF($W2="","",V2-S2-K2)</f>
        <v/>
      </c>
      <c r="V2" s="7">
        <f>IF($W2="","",N2+Q2)</f>
        <v/>
      </c>
      <c r="W2" s="16">
        <f>IF(ROWS($W$2:$W2)&lt;=MAX('Per Line'!$AA$2:$AA$3001),MATCH(ROWS($W$2:$W2),'Per Line'!$AA$2:$AA$3001,0),"")</f>
        <v/>
      </c>
      <c r="X2">
        <f>IF($W2="","",D2&amp;"|"&amp;COUNTIF($D$2:$D2,D2))</f>
        <v/>
      </c>
    </row>
    <row r="3">
      <c r="A3" s="15" t="n"/>
      <c r="B3">
        <f>IF($W3="","",INDEX('Per Line'!$B$2:$B$3001,$W3)&amp;"")</f>
        <v/>
      </c>
      <c r="C3">
        <f>IF($W3="","",INDEX('Per Line'!$C$2:$C$3001,$W3)&amp;"")</f>
        <v/>
      </c>
      <c r="D3">
        <f>IF($W3="","",IF(OR(TRIM(E3)="Orient Insurance Company",TRIM(E3)="Allianz"),TRIM(E3),TRIM(F3)))</f>
        <v/>
      </c>
      <c r="E3">
        <f>IF($W3="","",INDEX('Per Line'!$E$2:$E$3001,$W3)&amp;"")</f>
        <v/>
      </c>
      <c r="F3">
        <f>IF($W3="","",INDEX('Per Line'!$D$2:$D$3001,$W3)&amp;"")</f>
        <v/>
      </c>
      <c r="G3">
        <f>IF($W3="","",INDEX('Per Line'!$F$2:$F$3001,$W3)&amp;"")</f>
        <v/>
      </c>
      <c r="H3">
        <f>IF($W3="","",INDEX('Per Line'!$G$2:$G$3001,$W3)&amp;"")</f>
        <v/>
      </c>
      <c r="I3">
        <f>IF($W3="","",INDEX('Per Line'!$H$2:$H$3001,$W3)&amp;"")</f>
        <v/>
      </c>
      <c r="J3">
        <f>IF($W3="","",INDEX('Per Line'!$I$2:$I$3001,$W3))</f>
        <v/>
      </c>
      <c r="K3" s="7">
        <f>IF($W3="","",J3*T3/100)</f>
        <v/>
      </c>
      <c r="L3" s="14">
        <f>IF($W3="","",INDEX('Per Line'!$V$2:$V$3001,$W3))</f>
        <v/>
      </c>
      <c r="M3">
        <f>IF($W3="","",IF(ISNUMBER(SEARCH("3&amp;12",SUBSTITUTE(F3," ",""))),Settings!$G$7,Settings!$C$7))</f>
        <v/>
      </c>
      <c r="N3" s="7">
        <f>IF($W3="","",SUMIFS('Per Line'!$O$2:$O$3001,'Per Line'!$B$2:$B$3001,$B3,'Per Line'!$AB$2:$AB$3001,0))</f>
        <v/>
      </c>
      <c r="O3" s="7">
        <f>IF($W3="","",N3*M3)</f>
        <v/>
      </c>
      <c r="P3">
        <f>IF($W3="","",IF(ISNUMBER(SEARCH("3&amp;12",SUBSTITUTE(F3," ",""))),Settings!$G$6,Settings!$C$6))</f>
        <v/>
      </c>
      <c r="Q3" s="7">
        <f>IF($W3="","",SUMIFS('Per Line'!$O$2:$O$3001,'Per Line'!$B$2:$B$3001,$B3,'Per Line'!$AB$2:$AB$3001,1))</f>
        <v/>
      </c>
      <c r="R3" s="7">
        <f>IF($W3="","",Q3*P3)</f>
        <v/>
      </c>
      <c r="S3" s="7">
        <f>IF($W3="","",R3+O3)</f>
        <v/>
      </c>
      <c r="T3" s="7">
        <f>IF($W3="","",V3-S3)</f>
        <v/>
      </c>
      <c r="U3" s="7">
        <f>IF($W3="","",V3-S3-K3)</f>
        <v/>
      </c>
      <c r="V3" s="7">
        <f>IF($W3="","",N3+Q3)</f>
        <v/>
      </c>
      <c r="W3" s="16">
        <f>IF(ROWS($W$2:$W3)&lt;=MAX('Per Line'!$AA$2:$AA$3001),MATCH(ROWS($W$2:$W3),'Per Line'!$AA$2:$AA$3001,0),"")</f>
        <v/>
      </c>
      <c r="X3">
        <f>IF($W3="","",D3&amp;"|"&amp;COUNTIF($D$2:$D3,D3))</f>
        <v/>
      </c>
    </row>
    <row r="4">
      <c r="A4" s="15" t="n"/>
      <c r="B4">
        <f>IF($W4="","",INDEX('Per Line'!$B$2:$B$3001,$W4)&amp;"")</f>
        <v/>
      </c>
      <c r="C4">
        <f>IF($W4="","",INDEX('Per Line'!$C$2:$C$3001,$W4)&amp;"")</f>
        <v/>
      </c>
      <c r="D4">
        <f>IF($W4="","",IF(OR(TRIM(E4)="Orient Insurance Company",TRIM(E4)="Allianz"),TRIM(E4),TRIM(F4)))</f>
        <v/>
      </c>
      <c r="E4">
        <f>IF($W4="","",INDEX('Per Line'!$E$2:$E$3001,$W4)&amp;"")</f>
        <v/>
      </c>
      <c r="F4">
        <f>IF($W4="","",INDEX('Per Line'!$D$2:$D$3001,$W4)&amp;"")</f>
        <v/>
      </c>
      <c r="G4">
        <f>IF($W4="","",INDEX('Per Line'!$F$2:$F$3001,$W4)&amp;"")</f>
        <v/>
      </c>
      <c r="H4">
        <f>IF($W4="","",INDEX('Per Line'!$G$2:$G$3001,$W4)&amp;"")</f>
        <v/>
      </c>
      <c r="I4">
        <f>IF($W4="","",INDEX('Per Line'!$H$2:$H$3001,$W4)&amp;"")</f>
        <v/>
      </c>
      <c r="J4">
        <f>IF($W4="","",INDEX('Per Line'!$I$2:$I$3001,$W4))</f>
        <v/>
      </c>
      <c r="K4" s="7">
        <f>IF($W4="","",J4*T4/100)</f>
        <v/>
      </c>
      <c r="L4" s="14">
        <f>IF($W4="","",INDEX('Per Line'!$V$2:$V$3001,$W4))</f>
        <v/>
      </c>
      <c r="M4">
        <f>IF($W4="","",IF(ISNUMBER(SEARCH("3&amp;12",SUBSTITUTE(F4," ",""))),Settings!$G$7,Settings!$C$7))</f>
        <v/>
      </c>
      <c r="N4" s="7">
        <f>IF($W4="","",SUMIFS('Per Line'!$O$2:$O$3001,'Per Line'!$B$2:$B$3001,$B4,'Per Line'!$AB$2:$AB$3001,0))</f>
        <v/>
      </c>
      <c r="O4" s="7">
        <f>IF($W4="","",N4*M4)</f>
        <v/>
      </c>
      <c r="P4">
        <f>IF($W4="","",IF(ISNUMBER(SEARCH("3&amp;12",SUBSTITUTE(F4," ",""))),Settings!$G$6,Settings!$C$6))</f>
        <v/>
      </c>
      <c r="Q4" s="7">
        <f>IF($W4="","",SUMIFS('Per Line'!$O$2:$O$3001,'Per Line'!$B$2:$B$3001,$B4,'Per Line'!$AB$2:$AB$3001,1))</f>
        <v/>
      </c>
      <c r="R4" s="7">
        <f>IF($W4="","",Q4*P4)</f>
        <v/>
      </c>
      <c r="S4" s="7">
        <f>IF($W4="","",R4+O4)</f>
        <v/>
      </c>
      <c r="T4" s="7">
        <f>IF($W4="","",V4-S4)</f>
        <v/>
      </c>
      <c r="U4" s="7">
        <f>IF($W4="","",V4-S4-K4)</f>
        <v/>
      </c>
      <c r="V4" s="7">
        <f>IF($W4="","",N4+Q4)</f>
        <v/>
      </c>
      <c r="W4" s="16">
        <f>IF(ROWS($W$2:$W4)&lt;=MAX('Per Line'!$AA$2:$AA$3001),MATCH(ROWS($W$2:$W4),'Per Line'!$AA$2:$AA$3001,0),"")</f>
        <v/>
      </c>
      <c r="X4">
        <f>IF($W4="","",D4&amp;"|"&amp;COUNTIF($D$2:$D4,D4))</f>
        <v/>
      </c>
    </row>
    <row r="5">
      <c r="A5" s="15" t="n"/>
      <c r="B5">
        <f>IF($W5="","",INDEX('Per Line'!$B$2:$B$3001,$W5)&amp;"")</f>
        <v/>
      </c>
      <c r="C5">
        <f>IF($W5="","",INDEX('Per Line'!$C$2:$C$3001,$W5)&amp;"")</f>
        <v/>
      </c>
      <c r="D5">
        <f>IF($W5="","",IF(OR(TRIM(E5)="Orient Insurance Company",TRIM(E5)="Allianz"),TRIM(E5),TRIM(F5)))</f>
        <v/>
      </c>
      <c r="E5">
        <f>IF($W5="","",INDEX('Per Line'!$E$2:$E$3001,$W5)&amp;"")</f>
        <v/>
      </c>
      <c r="F5">
        <f>IF($W5="","",INDEX('Per Line'!$D$2:$D$3001,$W5)&amp;"")</f>
        <v/>
      </c>
      <c r="G5">
        <f>IF($W5="","",INDEX('Per Line'!$F$2:$F$3001,$W5)&amp;"")</f>
        <v/>
      </c>
      <c r="H5">
        <f>IF($W5="","",INDEX('Per Line'!$G$2:$G$3001,$W5)&amp;"")</f>
        <v/>
      </c>
      <c r="I5">
        <f>IF($W5="","",INDEX('Per Line'!$H$2:$H$3001,$W5)&amp;"")</f>
        <v/>
      </c>
      <c r="J5">
        <f>IF($W5="","",INDEX('Per Line'!$I$2:$I$3001,$W5))</f>
        <v/>
      </c>
      <c r="K5" s="7">
        <f>IF($W5="","",J5*T5/100)</f>
        <v/>
      </c>
      <c r="L5" s="14">
        <f>IF($W5="","",INDEX('Per Line'!$V$2:$V$3001,$W5))</f>
        <v/>
      </c>
      <c r="M5">
        <f>IF($W5="","",IF(ISNUMBER(SEARCH("3&amp;12",SUBSTITUTE(F5," ",""))),Settings!$G$7,Settings!$C$7))</f>
        <v/>
      </c>
      <c r="N5" s="7">
        <f>IF($W5="","",SUMIFS('Per Line'!$O$2:$O$3001,'Per Line'!$B$2:$B$3001,$B5,'Per Line'!$AB$2:$AB$3001,0))</f>
        <v/>
      </c>
      <c r="O5" s="7">
        <f>IF($W5="","",N5*M5)</f>
        <v/>
      </c>
      <c r="P5">
        <f>IF($W5="","",IF(ISNUMBER(SEARCH("3&amp;12",SUBSTITUTE(F5," ",""))),Settings!$G$6,Settings!$C$6))</f>
        <v/>
      </c>
      <c r="Q5" s="7">
        <f>IF($W5="","",SUMIFS('Per Line'!$O$2:$O$3001,'Per Line'!$B$2:$B$3001,$B5,'Per Line'!$AB$2:$AB$3001,1))</f>
        <v/>
      </c>
      <c r="R5" s="7">
        <f>IF($W5="","",Q5*P5)</f>
        <v/>
      </c>
      <c r="S5" s="7">
        <f>IF($W5="","",R5+O5)</f>
        <v/>
      </c>
      <c r="T5" s="7">
        <f>IF($W5="","",V5-S5)</f>
        <v/>
      </c>
      <c r="U5" s="7">
        <f>IF($W5="","",V5-S5-K5)</f>
        <v/>
      </c>
      <c r="V5" s="7">
        <f>IF($W5="","",N5+Q5)</f>
        <v/>
      </c>
      <c r="W5" s="16">
        <f>IF(ROWS($W$2:$W5)&lt;=MAX('Per Line'!$AA$2:$AA$3001),MATCH(ROWS($W$2:$W5),'Per Line'!$AA$2:$AA$3001,0),"")</f>
        <v/>
      </c>
      <c r="X5">
        <f>IF($W5="","",D5&amp;"|"&amp;COUNTIF($D$2:$D5,D5))</f>
        <v/>
      </c>
    </row>
    <row r="6">
      <c r="A6" s="15" t="n"/>
      <c r="B6">
        <f>IF($W6="","",INDEX('Per Line'!$B$2:$B$3001,$W6)&amp;"")</f>
        <v/>
      </c>
      <c r="C6">
        <f>IF($W6="","",INDEX('Per Line'!$C$2:$C$3001,$W6)&amp;"")</f>
        <v/>
      </c>
      <c r="D6">
        <f>IF($W6="","",IF(OR(TRIM(E6)="Orient Insurance Company",TRIM(E6)="Allianz"),TRIM(E6),TRIM(F6)))</f>
        <v/>
      </c>
      <c r="E6">
        <f>IF($W6="","",INDEX('Per Line'!$E$2:$E$3001,$W6)&amp;"")</f>
        <v/>
      </c>
      <c r="F6">
        <f>IF($W6="","",INDEX('Per Line'!$D$2:$D$3001,$W6)&amp;"")</f>
        <v/>
      </c>
      <c r="G6">
        <f>IF($W6="","",INDEX('Per Line'!$F$2:$F$3001,$W6)&amp;"")</f>
        <v/>
      </c>
      <c r="H6">
        <f>IF($W6="","",INDEX('Per Line'!$G$2:$G$3001,$W6)&amp;"")</f>
        <v/>
      </c>
      <c r="I6">
        <f>IF($W6="","",INDEX('Per Line'!$H$2:$H$3001,$W6)&amp;"")</f>
        <v/>
      </c>
      <c r="J6">
        <f>IF($W6="","",INDEX('Per Line'!$I$2:$I$3001,$W6))</f>
        <v/>
      </c>
      <c r="K6" s="7">
        <f>IF($W6="","",J6*T6/100)</f>
        <v/>
      </c>
      <c r="L6" s="14">
        <f>IF($W6="","",INDEX('Per Line'!$V$2:$V$3001,$W6))</f>
        <v/>
      </c>
      <c r="M6">
        <f>IF($W6="","",IF(ISNUMBER(SEARCH("3&amp;12",SUBSTITUTE(F6," ",""))),Settings!$G$7,Settings!$C$7))</f>
        <v/>
      </c>
      <c r="N6" s="7">
        <f>IF($W6="","",SUMIFS('Per Line'!$O$2:$O$3001,'Per Line'!$B$2:$B$3001,$B6,'Per Line'!$AB$2:$AB$3001,0))</f>
        <v/>
      </c>
      <c r="O6" s="7">
        <f>IF($W6="","",N6*M6)</f>
        <v/>
      </c>
      <c r="P6">
        <f>IF($W6="","",IF(ISNUMBER(SEARCH("3&amp;12",SUBSTITUTE(F6," ",""))),Settings!$G$6,Settings!$C$6))</f>
        <v/>
      </c>
      <c r="Q6" s="7">
        <f>IF($W6="","",SUMIFS('Per Line'!$O$2:$O$3001,'Per Line'!$B$2:$B$3001,$B6,'Per Line'!$AB$2:$AB$3001,1))</f>
        <v/>
      </c>
      <c r="R6" s="7">
        <f>IF($W6="","",Q6*P6)</f>
        <v/>
      </c>
      <c r="S6" s="7">
        <f>IF($W6="","",R6+O6)</f>
        <v/>
      </c>
      <c r="T6" s="7">
        <f>IF($W6="","",V6-S6)</f>
        <v/>
      </c>
      <c r="U6" s="7">
        <f>IF($W6="","",V6-S6-K6)</f>
        <v/>
      </c>
      <c r="V6" s="7">
        <f>IF($W6="","",N6+Q6)</f>
        <v/>
      </c>
      <c r="W6" s="16">
        <f>IF(ROWS($W$2:$W6)&lt;=MAX('Per Line'!$AA$2:$AA$3001),MATCH(ROWS($W$2:$W6),'Per Line'!$AA$2:$AA$3001,0),"")</f>
        <v/>
      </c>
      <c r="X6">
        <f>IF($W6="","",D6&amp;"|"&amp;COUNTIF($D$2:$D6,D6))</f>
        <v/>
      </c>
    </row>
    <row r="7">
      <c r="A7" s="15" t="n"/>
      <c r="B7">
        <f>IF($W7="","",INDEX('Per Line'!$B$2:$B$3001,$W7)&amp;"")</f>
        <v/>
      </c>
      <c r="C7">
        <f>IF($W7="","",INDEX('Per Line'!$C$2:$C$3001,$W7)&amp;"")</f>
        <v/>
      </c>
      <c r="D7">
        <f>IF($W7="","",IF(OR(TRIM(E7)="Orient Insurance Company",TRIM(E7)="Allianz"),TRIM(E7),TRIM(F7)))</f>
        <v/>
      </c>
      <c r="E7">
        <f>IF($W7="","",INDEX('Per Line'!$E$2:$E$3001,$W7)&amp;"")</f>
        <v/>
      </c>
      <c r="F7">
        <f>IF($W7="","",INDEX('Per Line'!$D$2:$D$3001,$W7)&amp;"")</f>
        <v/>
      </c>
      <c r="G7">
        <f>IF($W7="","",INDEX('Per Line'!$F$2:$F$3001,$W7)&amp;"")</f>
        <v/>
      </c>
      <c r="H7">
        <f>IF($W7="","",INDEX('Per Line'!$G$2:$G$3001,$W7)&amp;"")</f>
        <v/>
      </c>
      <c r="I7">
        <f>IF($W7="","",INDEX('Per Line'!$H$2:$H$3001,$W7)&amp;"")</f>
        <v/>
      </c>
      <c r="J7">
        <f>IF($W7="","",INDEX('Per Line'!$I$2:$I$3001,$W7))</f>
        <v/>
      </c>
      <c r="K7" s="7">
        <f>IF($W7="","",J7*T7/100)</f>
        <v/>
      </c>
      <c r="L7" s="14">
        <f>IF($W7="","",INDEX('Per Line'!$V$2:$V$3001,$W7))</f>
        <v/>
      </c>
      <c r="M7">
        <f>IF($W7="","",IF(ISNUMBER(SEARCH("3&amp;12",SUBSTITUTE(F7," ",""))),Settings!$G$7,Settings!$C$7))</f>
        <v/>
      </c>
      <c r="N7" s="7">
        <f>IF($W7="","",SUMIFS('Per Line'!$O$2:$O$3001,'Per Line'!$B$2:$B$3001,$B7,'Per Line'!$AB$2:$AB$3001,0))</f>
        <v/>
      </c>
      <c r="O7" s="7">
        <f>IF($W7="","",N7*M7)</f>
        <v/>
      </c>
      <c r="P7">
        <f>IF($W7="","",IF(ISNUMBER(SEARCH("3&amp;12",SUBSTITUTE(F7," ",""))),Settings!$G$6,Settings!$C$6))</f>
        <v/>
      </c>
      <c r="Q7" s="7">
        <f>IF($W7="","",SUMIFS('Per Line'!$O$2:$O$3001,'Per Line'!$B$2:$B$3001,$B7,'Per Line'!$AB$2:$AB$3001,1))</f>
        <v/>
      </c>
      <c r="R7" s="7">
        <f>IF($W7="","",Q7*P7)</f>
        <v/>
      </c>
      <c r="S7" s="7">
        <f>IF($W7="","",R7+O7)</f>
        <v/>
      </c>
      <c r="T7" s="7">
        <f>IF($W7="","",V7-S7)</f>
        <v/>
      </c>
      <c r="U7" s="7">
        <f>IF($W7="","",V7-S7-K7)</f>
        <v/>
      </c>
      <c r="V7" s="7">
        <f>IF($W7="","",N7+Q7)</f>
        <v/>
      </c>
      <c r="W7" s="16">
        <f>IF(ROWS($W$2:$W7)&lt;=MAX('Per Line'!$AA$2:$AA$3001),MATCH(ROWS($W$2:$W7),'Per Line'!$AA$2:$AA$3001,0),"")</f>
        <v/>
      </c>
      <c r="X7">
        <f>IF($W7="","",D7&amp;"|"&amp;COUNTIF($D$2:$D7,D7))</f>
        <v/>
      </c>
    </row>
    <row r="8">
      <c r="A8" s="15" t="n"/>
      <c r="B8">
        <f>IF($W8="","",INDEX('Per Line'!$B$2:$B$3001,$W8)&amp;"")</f>
        <v/>
      </c>
      <c r="C8">
        <f>IF($W8="","",INDEX('Per Line'!$C$2:$C$3001,$W8)&amp;"")</f>
        <v/>
      </c>
      <c r="D8">
        <f>IF($W8="","",IF(OR(TRIM(E8)="Orient Insurance Company",TRIM(E8)="Allianz"),TRIM(E8),TRIM(F8)))</f>
        <v/>
      </c>
      <c r="E8">
        <f>IF($W8="","",INDEX('Per Line'!$E$2:$E$3001,$W8)&amp;"")</f>
        <v/>
      </c>
      <c r="F8">
        <f>IF($W8="","",INDEX('Per Line'!$D$2:$D$3001,$W8)&amp;"")</f>
        <v/>
      </c>
      <c r="G8">
        <f>IF($W8="","",INDEX('Per Line'!$F$2:$F$3001,$W8)&amp;"")</f>
        <v/>
      </c>
      <c r="H8">
        <f>IF($W8="","",INDEX('Per Line'!$G$2:$G$3001,$W8)&amp;"")</f>
        <v/>
      </c>
      <c r="I8">
        <f>IF($W8="","",INDEX('Per Line'!$H$2:$H$3001,$W8)&amp;"")</f>
        <v/>
      </c>
      <c r="J8">
        <f>IF($W8="","",INDEX('Per Line'!$I$2:$I$3001,$W8))</f>
        <v/>
      </c>
      <c r="K8" s="7">
        <f>IF($W8="","",J8*T8/100)</f>
        <v/>
      </c>
      <c r="L8" s="14">
        <f>IF($W8="","",INDEX('Per Line'!$V$2:$V$3001,$W8))</f>
        <v/>
      </c>
      <c r="M8">
        <f>IF($W8="","",IF(ISNUMBER(SEARCH("3&amp;12",SUBSTITUTE(F8," ",""))),Settings!$G$7,Settings!$C$7))</f>
        <v/>
      </c>
      <c r="N8" s="7">
        <f>IF($W8="","",SUMIFS('Per Line'!$O$2:$O$3001,'Per Line'!$B$2:$B$3001,$B8,'Per Line'!$AB$2:$AB$3001,0))</f>
        <v/>
      </c>
      <c r="O8" s="7">
        <f>IF($W8="","",N8*M8)</f>
        <v/>
      </c>
      <c r="P8">
        <f>IF($W8="","",IF(ISNUMBER(SEARCH("3&amp;12",SUBSTITUTE(F8," ",""))),Settings!$G$6,Settings!$C$6))</f>
        <v/>
      </c>
      <c r="Q8" s="7">
        <f>IF($W8="","",SUMIFS('Per Line'!$O$2:$O$3001,'Per Line'!$B$2:$B$3001,$B8,'Per Line'!$AB$2:$AB$3001,1))</f>
        <v/>
      </c>
      <c r="R8" s="7">
        <f>IF($W8="","",Q8*P8)</f>
        <v/>
      </c>
      <c r="S8" s="7">
        <f>IF($W8="","",R8+O8)</f>
        <v/>
      </c>
      <c r="T8" s="7">
        <f>IF($W8="","",V8-S8)</f>
        <v/>
      </c>
      <c r="U8" s="7">
        <f>IF($W8="","",V8-S8-K8)</f>
        <v/>
      </c>
      <c r="V8" s="7">
        <f>IF($W8="","",N8+Q8)</f>
        <v/>
      </c>
      <c r="W8" s="16">
        <f>IF(ROWS($W$2:$W8)&lt;=MAX('Per Line'!$AA$2:$AA$3001),MATCH(ROWS($W$2:$W8),'Per Line'!$AA$2:$AA$3001,0),"")</f>
        <v/>
      </c>
      <c r="X8">
        <f>IF($W8="","",D8&amp;"|"&amp;COUNTIF($D$2:$D8,D8))</f>
        <v/>
      </c>
    </row>
    <row r="9">
      <c r="A9" s="15" t="n"/>
      <c r="B9">
        <f>IF($W9="","",INDEX('Per Line'!$B$2:$B$3001,$W9)&amp;"")</f>
        <v/>
      </c>
      <c r="C9">
        <f>IF($W9="","",INDEX('Per Line'!$C$2:$C$3001,$W9)&amp;"")</f>
        <v/>
      </c>
      <c r="D9">
        <f>IF($W9="","",IF(OR(TRIM(E9)="Orient Insurance Company",TRIM(E9)="Allianz"),TRIM(E9),TRIM(F9)))</f>
        <v/>
      </c>
      <c r="E9">
        <f>IF($W9="","",INDEX('Per Line'!$E$2:$E$3001,$W9)&amp;"")</f>
        <v/>
      </c>
      <c r="F9">
        <f>IF($W9="","",INDEX('Per Line'!$D$2:$D$3001,$W9)&amp;"")</f>
        <v/>
      </c>
      <c r="G9">
        <f>IF($W9="","",INDEX('Per Line'!$F$2:$F$3001,$W9)&amp;"")</f>
        <v/>
      </c>
      <c r="H9">
        <f>IF($W9="","",INDEX('Per Line'!$G$2:$G$3001,$W9)&amp;"")</f>
        <v/>
      </c>
      <c r="I9">
        <f>IF($W9="","",INDEX('Per Line'!$H$2:$H$3001,$W9)&amp;"")</f>
        <v/>
      </c>
      <c r="J9">
        <f>IF($W9="","",INDEX('Per Line'!$I$2:$I$3001,$W9))</f>
        <v/>
      </c>
      <c r="K9" s="7">
        <f>IF($W9="","",J9*T9/100)</f>
        <v/>
      </c>
      <c r="L9" s="14">
        <f>IF($W9="","",INDEX('Per Line'!$V$2:$V$3001,$W9))</f>
        <v/>
      </c>
      <c r="M9">
        <f>IF($W9="","",IF(ISNUMBER(SEARCH("3&amp;12",SUBSTITUTE(F9," ",""))),Settings!$G$7,Settings!$C$7))</f>
        <v/>
      </c>
      <c r="N9" s="7">
        <f>IF($W9="","",SUMIFS('Per Line'!$O$2:$O$3001,'Per Line'!$B$2:$B$3001,$B9,'Per Line'!$AB$2:$AB$3001,0))</f>
        <v/>
      </c>
      <c r="O9" s="7">
        <f>IF($W9="","",N9*M9)</f>
        <v/>
      </c>
      <c r="P9">
        <f>IF($W9="","",IF(ISNUMBER(SEARCH("3&amp;12",SUBSTITUTE(F9," ",""))),Settings!$G$6,Settings!$C$6))</f>
        <v/>
      </c>
      <c r="Q9" s="7">
        <f>IF($W9="","",SUMIFS('Per Line'!$O$2:$O$3001,'Per Line'!$B$2:$B$3001,$B9,'Per Line'!$AB$2:$AB$3001,1))</f>
        <v/>
      </c>
      <c r="R9" s="7">
        <f>IF($W9="","",Q9*P9)</f>
        <v/>
      </c>
      <c r="S9" s="7">
        <f>IF($W9="","",R9+O9)</f>
        <v/>
      </c>
      <c r="T9" s="7">
        <f>IF($W9="","",V9-S9)</f>
        <v/>
      </c>
      <c r="U9" s="7">
        <f>IF($W9="","",V9-S9-K9)</f>
        <v/>
      </c>
      <c r="V9" s="7">
        <f>IF($W9="","",N9+Q9)</f>
        <v/>
      </c>
      <c r="W9" s="16">
        <f>IF(ROWS($W$2:$W9)&lt;=MAX('Per Line'!$AA$2:$AA$3001),MATCH(ROWS($W$2:$W9),'Per Line'!$AA$2:$AA$3001,0),"")</f>
        <v/>
      </c>
      <c r="X9">
        <f>IF($W9="","",D9&amp;"|"&amp;COUNTIF($D$2:$D9,D9))</f>
        <v/>
      </c>
    </row>
    <row r="10">
      <c r="A10" s="15" t="n"/>
      <c r="B10">
        <f>IF($W10="","",INDEX('Per Line'!$B$2:$B$3001,$W10)&amp;"")</f>
        <v/>
      </c>
      <c r="C10">
        <f>IF($W10="","",INDEX('Per Line'!$C$2:$C$3001,$W10)&amp;"")</f>
        <v/>
      </c>
      <c r="D10">
        <f>IF($W10="","",IF(OR(TRIM(E10)="Orient Insurance Company",TRIM(E10)="Allianz"),TRIM(E10),TRIM(F10)))</f>
        <v/>
      </c>
      <c r="E10">
        <f>IF($W10="","",INDEX('Per Line'!$E$2:$E$3001,$W10)&amp;"")</f>
        <v/>
      </c>
      <c r="F10">
        <f>IF($W10="","",INDEX('Per Line'!$D$2:$D$3001,$W10)&amp;"")</f>
        <v/>
      </c>
      <c r="G10">
        <f>IF($W10="","",INDEX('Per Line'!$F$2:$F$3001,$W10)&amp;"")</f>
        <v/>
      </c>
      <c r="H10">
        <f>IF($W10="","",INDEX('Per Line'!$G$2:$G$3001,$W10)&amp;"")</f>
        <v/>
      </c>
      <c r="I10">
        <f>IF($W10="","",INDEX('Per Line'!$H$2:$H$3001,$W10)&amp;"")</f>
        <v/>
      </c>
      <c r="J10">
        <f>IF($W10="","",INDEX('Per Line'!$I$2:$I$3001,$W10))</f>
        <v/>
      </c>
      <c r="K10" s="7">
        <f>IF($W10="","",J10*T10/100)</f>
        <v/>
      </c>
      <c r="L10" s="14">
        <f>IF($W10="","",INDEX('Per Line'!$V$2:$V$3001,$W10))</f>
        <v/>
      </c>
      <c r="M10">
        <f>IF($W10="","",IF(ISNUMBER(SEARCH("3&amp;12",SUBSTITUTE(F10," ",""))),Settings!$G$7,Settings!$C$7))</f>
        <v/>
      </c>
      <c r="N10" s="7">
        <f>IF($W10="","",SUMIFS('Per Line'!$O$2:$O$3001,'Per Line'!$B$2:$B$3001,$B10,'Per Line'!$AB$2:$AB$3001,0))</f>
        <v/>
      </c>
      <c r="O10" s="7">
        <f>IF($W10="","",N10*M10)</f>
        <v/>
      </c>
      <c r="P10">
        <f>IF($W10="","",IF(ISNUMBER(SEARCH("3&amp;12",SUBSTITUTE(F10," ",""))),Settings!$G$6,Settings!$C$6))</f>
        <v/>
      </c>
      <c r="Q10" s="7">
        <f>IF($W10="","",SUMIFS('Per Line'!$O$2:$O$3001,'Per Line'!$B$2:$B$3001,$B10,'Per Line'!$AB$2:$AB$3001,1))</f>
        <v/>
      </c>
      <c r="R10" s="7">
        <f>IF($W10="","",Q10*P10)</f>
        <v/>
      </c>
      <c r="S10" s="7">
        <f>IF($W10="","",R10+O10)</f>
        <v/>
      </c>
      <c r="T10" s="7">
        <f>IF($W10="","",V10-S10)</f>
        <v/>
      </c>
      <c r="U10" s="7">
        <f>IF($W10="","",V10-S10-K10)</f>
        <v/>
      </c>
      <c r="V10" s="7">
        <f>IF($W10="","",N10+Q10)</f>
        <v/>
      </c>
      <c r="W10" s="16">
        <f>IF(ROWS($W$2:$W10)&lt;=MAX('Per Line'!$AA$2:$AA$3001),MATCH(ROWS($W$2:$W10),'Per Line'!$AA$2:$AA$3001,0),"")</f>
        <v/>
      </c>
      <c r="X10">
        <f>IF($W10="","",D10&amp;"|"&amp;COUNTIF($D$2:$D10,D10))</f>
        <v/>
      </c>
    </row>
    <row r="11">
      <c r="A11" s="15" t="n"/>
      <c r="B11">
        <f>IF($W11="","",INDEX('Per Line'!$B$2:$B$3001,$W11)&amp;"")</f>
        <v/>
      </c>
      <c r="C11">
        <f>IF($W11="","",INDEX('Per Line'!$C$2:$C$3001,$W11)&amp;"")</f>
        <v/>
      </c>
      <c r="D11">
        <f>IF($W11="","",IF(OR(TRIM(E11)="Orient Insurance Company",TRIM(E11)="Allianz"),TRIM(E11),TRIM(F11)))</f>
        <v/>
      </c>
      <c r="E11">
        <f>IF($W11="","",INDEX('Per Line'!$E$2:$E$3001,$W11)&amp;"")</f>
        <v/>
      </c>
      <c r="F11">
        <f>IF($W11="","",INDEX('Per Line'!$D$2:$D$3001,$W11)&amp;"")</f>
        <v/>
      </c>
      <c r="G11">
        <f>IF($W11="","",INDEX('Per Line'!$F$2:$F$3001,$W11)&amp;"")</f>
        <v/>
      </c>
      <c r="H11">
        <f>IF($W11="","",INDEX('Per Line'!$G$2:$G$3001,$W11)&amp;"")</f>
        <v/>
      </c>
      <c r="I11">
        <f>IF($W11="","",INDEX('Per Line'!$H$2:$H$3001,$W11)&amp;"")</f>
        <v/>
      </c>
      <c r="J11">
        <f>IF($W11="","",INDEX('Per Line'!$I$2:$I$3001,$W11))</f>
        <v/>
      </c>
      <c r="K11" s="7">
        <f>IF($W11="","",J11*T11/100)</f>
        <v/>
      </c>
      <c r="L11" s="14">
        <f>IF($W11="","",INDEX('Per Line'!$V$2:$V$3001,$W11))</f>
        <v/>
      </c>
      <c r="M11">
        <f>IF($W11="","",IF(ISNUMBER(SEARCH("3&amp;12",SUBSTITUTE(F11," ",""))),Settings!$G$7,Settings!$C$7))</f>
        <v/>
      </c>
      <c r="N11" s="7">
        <f>IF($W11="","",SUMIFS('Per Line'!$O$2:$O$3001,'Per Line'!$B$2:$B$3001,$B11,'Per Line'!$AB$2:$AB$3001,0))</f>
        <v/>
      </c>
      <c r="O11" s="7">
        <f>IF($W11="","",N11*M11)</f>
        <v/>
      </c>
      <c r="P11">
        <f>IF($W11="","",IF(ISNUMBER(SEARCH("3&amp;12",SUBSTITUTE(F11," ",""))),Settings!$G$6,Settings!$C$6))</f>
        <v/>
      </c>
      <c r="Q11" s="7">
        <f>IF($W11="","",SUMIFS('Per Line'!$O$2:$O$3001,'Per Line'!$B$2:$B$3001,$B11,'Per Line'!$AB$2:$AB$3001,1))</f>
        <v/>
      </c>
      <c r="R11" s="7">
        <f>IF($W11="","",Q11*P11)</f>
        <v/>
      </c>
      <c r="S11" s="7">
        <f>IF($W11="","",R11+O11)</f>
        <v/>
      </c>
      <c r="T11" s="7">
        <f>IF($W11="","",V11-S11)</f>
        <v/>
      </c>
      <c r="U11" s="7">
        <f>IF($W11="","",V11-S11-K11)</f>
        <v/>
      </c>
      <c r="V11" s="7">
        <f>IF($W11="","",N11+Q11)</f>
        <v/>
      </c>
      <c r="W11" s="16">
        <f>IF(ROWS($W$2:$W11)&lt;=MAX('Per Line'!$AA$2:$AA$3001),MATCH(ROWS($W$2:$W11),'Per Line'!$AA$2:$AA$3001,0),"")</f>
        <v/>
      </c>
      <c r="X11">
        <f>IF($W11="","",D11&amp;"|"&amp;COUNTIF($D$2:$D11,D11))</f>
        <v/>
      </c>
    </row>
    <row r="12">
      <c r="A12" s="15" t="n"/>
      <c r="B12">
        <f>IF($W12="","",INDEX('Per Line'!$B$2:$B$3001,$W12)&amp;"")</f>
        <v/>
      </c>
      <c r="C12">
        <f>IF($W12="","",INDEX('Per Line'!$C$2:$C$3001,$W12)&amp;"")</f>
        <v/>
      </c>
      <c r="D12">
        <f>IF($W12="","",IF(OR(TRIM(E12)="Orient Insurance Company",TRIM(E12)="Allianz"),TRIM(E12),TRIM(F12)))</f>
        <v/>
      </c>
      <c r="E12">
        <f>IF($W12="","",INDEX('Per Line'!$E$2:$E$3001,$W12)&amp;"")</f>
        <v/>
      </c>
      <c r="F12">
        <f>IF($W12="","",INDEX('Per Line'!$D$2:$D$3001,$W12)&amp;"")</f>
        <v/>
      </c>
      <c r="G12">
        <f>IF($W12="","",INDEX('Per Line'!$F$2:$F$3001,$W12)&amp;"")</f>
        <v/>
      </c>
      <c r="H12">
        <f>IF($W12="","",INDEX('Per Line'!$G$2:$G$3001,$W12)&amp;"")</f>
        <v/>
      </c>
      <c r="I12">
        <f>IF($W12="","",INDEX('Per Line'!$H$2:$H$3001,$W12)&amp;"")</f>
        <v/>
      </c>
      <c r="J12">
        <f>IF($W12="","",INDEX('Per Line'!$I$2:$I$3001,$W12))</f>
        <v/>
      </c>
      <c r="K12" s="7">
        <f>IF($W12="","",J12*T12/100)</f>
        <v/>
      </c>
      <c r="L12" s="14">
        <f>IF($W12="","",INDEX('Per Line'!$V$2:$V$3001,$W12))</f>
        <v/>
      </c>
      <c r="M12">
        <f>IF($W12="","",IF(ISNUMBER(SEARCH("3&amp;12",SUBSTITUTE(F12," ",""))),Settings!$G$7,Settings!$C$7))</f>
        <v/>
      </c>
      <c r="N12" s="7">
        <f>IF($W12="","",SUMIFS('Per Line'!$O$2:$O$3001,'Per Line'!$B$2:$B$3001,$B12,'Per Line'!$AB$2:$AB$3001,0))</f>
        <v/>
      </c>
      <c r="O12" s="7">
        <f>IF($W12="","",N12*M12)</f>
        <v/>
      </c>
      <c r="P12">
        <f>IF($W12="","",IF(ISNUMBER(SEARCH("3&amp;12",SUBSTITUTE(F12," ",""))),Settings!$G$6,Settings!$C$6))</f>
        <v/>
      </c>
      <c r="Q12" s="7">
        <f>IF($W12="","",SUMIFS('Per Line'!$O$2:$O$3001,'Per Line'!$B$2:$B$3001,$B12,'Per Line'!$AB$2:$AB$3001,1))</f>
        <v/>
      </c>
      <c r="R12" s="7">
        <f>IF($W12="","",Q12*P12)</f>
        <v/>
      </c>
      <c r="S12" s="7">
        <f>IF($W12="","",R12+O12)</f>
        <v/>
      </c>
      <c r="T12" s="7">
        <f>IF($W12="","",V12-S12)</f>
        <v/>
      </c>
      <c r="U12" s="7">
        <f>IF($W12="","",V12-S12-K12)</f>
        <v/>
      </c>
      <c r="V12" s="7">
        <f>IF($W12="","",N12+Q12)</f>
        <v/>
      </c>
      <c r="W12" s="16">
        <f>IF(ROWS($W$2:$W12)&lt;=MAX('Per Line'!$AA$2:$AA$3001),MATCH(ROWS($W$2:$W12),'Per Line'!$AA$2:$AA$3001,0),"")</f>
        <v/>
      </c>
      <c r="X12">
        <f>IF($W12="","",D12&amp;"|"&amp;COUNTIF($D$2:$D12,D12))</f>
        <v/>
      </c>
    </row>
    <row r="13">
      <c r="A13" s="15" t="n"/>
      <c r="B13">
        <f>IF($W13="","",INDEX('Per Line'!$B$2:$B$3001,$W13)&amp;"")</f>
        <v/>
      </c>
      <c r="C13">
        <f>IF($W13="","",INDEX('Per Line'!$C$2:$C$3001,$W13)&amp;"")</f>
        <v/>
      </c>
      <c r="D13">
        <f>IF($W13="","",IF(OR(TRIM(E13)="Orient Insurance Company",TRIM(E13)="Allianz"),TRIM(E13),TRIM(F13)))</f>
        <v/>
      </c>
      <c r="E13">
        <f>IF($W13="","",INDEX('Per Line'!$E$2:$E$3001,$W13)&amp;"")</f>
        <v/>
      </c>
      <c r="F13">
        <f>IF($W13="","",INDEX('Per Line'!$D$2:$D$3001,$W13)&amp;"")</f>
        <v/>
      </c>
      <c r="G13">
        <f>IF($W13="","",INDEX('Per Line'!$F$2:$F$3001,$W13)&amp;"")</f>
        <v/>
      </c>
      <c r="H13">
        <f>IF($W13="","",INDEX('Per Line'!$G$2:$G$3001,$W13)&amp;"")</f>
        <v/>
      </c>
      <c r="I13">
        <f>IF($W13="","",INDEX('Per Line'!$H$2:$H$3001,$W13)&amp;"")</f>
        <v/>
      </c>
      <c r="J13">
        <f>IF($W13="","",INDEX('Per Line'!$I$2:$I$3001,$W13))</f>
        <v/>
      </c>
      <c r="K13" s="7">
        <f>IF($W13="","",J13*T13/100)</f>
        <v/>
      </c>
      <c r="L13" s="14">
        <f>IF($W13="","",INDEX('Per Line'!$V$2:$V$3001,$W13))</f>
        <v/>
      </c>
      <c r="M13">
        <f>IF($W13="","",IF(ISNUMBER(SEARCH("3&amp;12",SUBSTITUTE(F13," ",""))),Settings!$G$7,Settings!$C$7))</f>
        <v/>
      </c>
      <c r="N13" s="7">
        <f>IF($W13="","",SUMIFS('Per Line'!$O$2:$O$3001,'Per Line'!$B$2:$B$3001,$B13,'Per Line'!$AB$2:$AB$3001,0))</f>
        <v/>
      </c>
      <c r="O13" s="7">
        <f>IF($W13="","",N13*M13)</f>
        <v/>
      </c>
      <c r="P13">
        <f>IF($W13="","",IF(ISNUMBER(SEARCH("3&amp;12",SUBSTITUTE(F13," ",""))),Settings!$G$6,Settings!$C$6))</f>
        <v/>
      </c>
      <c r="Q13" s="7">
        <f>IF($W13="","",SUMIFS('Per Line'!$O$2:$O$3001,'Per Line'!$B$2:$B$3001,$B13,'Per Line'!$AB$2:$AB$3001,1))</f>
        <v/>
      </c>
      <c r="R13" s="7">
        <f>IF($W13="","",Q13*P13)</f>
        <v/>
      </c>
      <c r="S13" s="7">
        <f>IF($W13="","",R13+O13)</f>
        <v/>
      </c>
      <c r="T13" s="7">
        <f>IF($W13="","",V13-S13)</f>
        <v/>
      </c>
      <c r="U13" s="7">
        <f>IF($W13="","",V13-S13-K13)</f>
        <v/>
      </c>
      <c r="V13" s="7">
        <f>IF($W13="","",N13+Q13)</f>
        <v/>
      </c>
      <c r="W13" s="16">
        <f>IF(ROWS($W$2:$W13)&lt;=MAX('Per Line'!$AA$2:$AA$3001),MATCH(ROWS($W$2:$W13),'Per Line'!$AA$2:$AA$3001,0),"")</f>
        <v/>
      </c>
      <c r="X13">
        <f>IF($W13="","",D13&amp;"|"&amp;COUNTIF($D$2:$D13,D13))</f>
        <v/>
      </c>
    </row>
    <row r="14">
      <c r="A14" s="15" t="n"/>
      <c r="B14">
        <f>IF($W14="","",INDEX('Per Line'!$B$2:$B$3001,$W14)&amp;"")</f>
        <v/>
      </c>
      <c r="C14">
        <f>IF($W14="","",INDEX('Per Line'!$C$2:$C$3001,$W14)&amp;"")</f>
        <v/>
      </c>
      <c r="D14">
        <f>IF($W14="","",IF(OR(TRIM(E14)="Orient Insurance Company",TRIM(E14)="Allianz"),TRIM(E14),TRIM(F14)))</f>
        <v/>
      </c>
      <c r="E14">
        <f>IF($W14="","",INDEX('Per Line'!$E$2:$E$3001,$W14)&amp;"")</f>
        <v/>
      </c>
      <c r="F14">
        <f>IF($W14="","",INDEX('Per Line'!$D$2:$D$3001,$W14)&amp;"")</f>
        <v/>
      </c>
      <c r="G14">
        <f>IF($W14="","",INDEX('Per Line'!$F$2:$F$3001,$W14)&amp;"")</f>
        <v/>
      </c>
      <c r="H14">
        <f>IF($W14="","",INDEX('Per Line'!$G$2:$G$3001,$W14)&amp;"")</f>
        <v/>
      </c>
      <c r="I14">
        <f>IF($W14="","",INDEX('Per Line'!$H$2:$H$3001,$W14)&amp;"")</f>
        <v/>
      </c>
      <c r="J14">
        <f>IF($W14="","",INDEX('Per Line'!$I$2:$I$3001,$W14))</f>
        <v/>
      </c>
      <c r="K14" s="7">
        <f>IF($W14="","",J14*T14/100)</f>
        <v/>
      </c>
      <c r="L14" s="14">
        <f>IF($W14="","",INDEX('Per Line'!$V$2:$V$3001,$W14))</f>
        <v/>
      </c>
      <c r="M14">
        <f>IF($W14="","",IF(ISNUMBER(SEARCH("3&amp;12",SUBSTITUTE(F14," ",""))),Settings!$G$7,Settings!$C$7))</f>
        <v/>
      </c>
      <c r="N14" s="7">
        <f>IF($W14="","",SUMIFS('Per Line'!$O$2:$O$3001,'Per Line'!$B$2:$B$3001,$B14,'Per Line'!$AB$2:$AB$3001,0))</f>
        <v/>
      </c>
      <c r="O14" s="7">
        <f>IF($W14="","",N14*M14)</f>
        <v/>
      </c>
      <c r="P14">
        <f>IF($W14="","",IF(ISNUMBER(SEARCH("3&amp;12",SUBSTITUTE(F14," ",""))),Settings!$G$6,Settings!$C$6))</f>
        <v/>
      </c>
      <c r="Q14" s="7">
        <f>IF($W14="","",SUMIFS('Per Line'!$O$2:$O$3001,'Per Line'!$B$2:$B$3001,$B14,'Per Line'!$AB$2:$AB$3001,1))</f>
        <v/>
      </c>
      <c r="R14" s="7">
        <f>IF($W14="","",Q14*P14)</f>
        <v/>
      </c>
      <c r="S14" s="7">
        <f>IF($W14="","",R14+O14)</f>
        <v/>
      </c>
      <c r="T14" s="7">
        <f>IF($W14="","",V14-S14)</f>
        <v/>
      </c>
      <c r="U14" s="7">
        <f>IF($W14="","",V14-S14-K14)</f>
        <v/>
      </c>
      <c r="V14" s="7">
        <f>IF($W14="","",N14+Q14)</f>
        <v/>
      </c>
      <c r="W14" s="16">
        <f>IF(ROWS($W$2:$W14)&lt;=MAX('Per Line'!$AA$2:$AA$3001),MATCH(ROWS($W$2:$W14),'Per Line'!$AA$2:$AA$3001,0),"")</f>
        <v/>
      </c>
      <c r="X14">
        <f>IF($W14="","",D14&amp;"|"&amp;COUNTIF($D$2:$D14,D14))</f>
        <v/>
      </c>
    </row>
    <row r="15">
      <c r="A15" s="15" t="n"/>
      <c r="B15">
        <f>IF($W15="","",INDEX('Per Line'!$B$2:$B$3001,$W15)&amp;"")</f>
        <v/>
      </c>
      <c r="C15">
        <f>IF($W15="","",INDEX('Per Line'!$C$2:$C$3001,$W15)&amp;"")</f>
        <v/>
      </c>
      <c r="D15">
        <f>IF($W15="","",IF(OR(TRIM(E15)="Orient Insurance Company",TRIM(E15)="Allianz"),TRIM(E15),TRIM(F15)))</f>
        <v/>
      </c>
      <c r="E15">
        <f>IF($W15="","",INDEX('Per Line'!$E$2:$E$3001,$W15)&amp;"")</f>
        <v/>
      </c>
      <c r="F15">
        <f>IF($W15="","",INDEX('Per Line'!$D$2:$D$3001,$W15)&amp;"")</f>
        <v/>
      </c>
      <c r="G15">
        <f>IF($W15="","",INDEX('Per Line'!$F$2:$F$3001,$W15)&amp;"")</f>
        <v/>
      </c>
      <c r="H15">
        <f>IF($W15="","",INDEX('Per Line'!$G$2:$G$3001,$W15)&amp;"")</f>
        <v/>
      </c>
      <c r="I15">
        <f>IF($W15="","",INDEX('Per Line'!$H$2:$H$3001,$W15)&amp;"")</f>
        <v/>
      </c>
      <c r="J15">
        <f>IF($W15="","",INDEX('Per Line'!$I$2:$I$3001,$W15))</f>
        <v/>
      </c>
      <c r="K15" s="7">
        <f>IF($W15="","",J15*T15/100)</f>
        <v/>
      </c>
      <c r="L15" s="14">
        <f>IF($W15="","",INDEX('Per Line'!$V$2:$V$3001,$W15))</f>
        <v/>
      </c>
      <c r="M15">
        <f>IF($W15="","",IF(ISNUMBER(SEARCH("3&amp;12",SUBSTITUTE(F15," ",""))),Settings!$G$7,Settings!$C$7))</f>
        <v/>
      </c>
      <c r="N15" s="7">
        <f>IF($W15="","",SUMIFS('Per Line'!$O$2:$O$3001,'Per Line'!$B$2:$B$3001,$B15,'Per Line'!$AB$2:$AB$3001,0))</f>
        <v/>
      </c>
      <c r="O15" s="7">
        <f>IF($W15="","",N15*M15)</f>
        <v/>
      </c>
      <c r="P15">
        <f>IF($W15="","",IF(ISNUMBER(SEARCH("3&amp;12",SUBSTITUTE(F15," ",""))),Settings!$G$6,Settings!$C$6))</f>
        <v/>
      </c>
      <c r="Q15" s="7">
        <f>IF($W15="","",SUMIFS('Per Line'!$O$2:$O$3001,'Per Line'!$B$2:$B$3001,$B15,'Per Line'!$AB$2:$AB$3001,1))</f>
        <v/>
      </c>
      <c r="R15" s="7">
        <f>IF($W15="","",Q15*P15)</f>
        <v/>
      </c>
      <c r="S15" s="7">
        <f>IF($W15="","",R15+O15)</f>
        <v/>
      </c>
      <c r="T15" s="7">
        <f>IF($W15="","",V15-S15)</f>
        <v/>
      </c>
      <c r="U15" s="7">
        <f>IF($W15="","",V15-S15-K15)</f>
        <v/>
      </c>
      <c r="V15" s="7">
        <f>IF($W15="","",N15+Q15)</f>
        <v/>
      </c>
      <c r="W15" s="16">
        <f>IF(ROWS($W$2:$W15)&lt;=MAX('Per Line'!$AA$2:$AA$3001),MATCH(ROWS($W$2:$W15),'Per Line'!$AA$2:$AA$3001,0),"")</f>
        <v/>
      </c>
      <c r="X15">
        <f>IF($W15="","",D15&amp;"|"&amp;COUNTIF($D$2:$D15,D15))</f>
        <v/>
      </c>
    </row>
    <row r="16">
      <c r="A16" s="15" t="n"/>
      <c r="B16">
        <f>IF($W16="","",INDEX('Per Line'!$B$2:$B$3001,$W16)&amp;"")</f>
        <v/>
      </c>
      <c r="C16">
        <f>IF($W16="","",INDEX('Per Line'!$C$2:$C$3001,$W16)&amp;"")</f>
        <v/>
      </c>
      <c r="D16">
        <f>IF($W16="","",IF(OR(TRIM(E16)="Orient Insurance Company",TRIM(E16)="Allianz"),TRIM(E16),TRIM(F16)))</f>
        <v/>
      </c>
      <c r="E16">
        <f>IF($W16="","",INDEX('Per Line'!$E$2:$E$3001,$W16)&amp;"")</f>
        <v/>
      </c>
      <c r="F16">
        <f>IF($W16="","",INDEX('Per Line'!$D$2:$D$3001,$W16)&amp;"")</f>
        <v/>
      </c>
      <c r="G16">
        <f>IF($W16="","",INDEX('Per Line'!$F$2:$F$3001,$W16)&amp;"")</f>
        <v/>
      </c>
      <c r="H16">
        <f>IF($W16="","",INDEX('Per Line'!$G$2:$G$3001,$W16)&amp;"")</f>
        <v/>
      </c>
      <c r="I16">
        <f>IF($W16="","",INDEX('Per Line'!$H$2:$H$3001,$W16)&amp;"")</f>
        <v/>
      </c>
      <c r="J16">
        <f>IF($W16="","",INDEX('Per Line'!$I$2:$I$3001,$W16))</f>
        <v/>
      </c>
      <c r="K16" s="7">
        <f>IF($W16="","",J16*T16/100)</f>
        <v/>
      </c>
      <c r="L16" s="14">
        <f>IF($W16="","",INDEX('Per Line'!$V$2:$V$3001,$W16))</f>
        <v/>
      </c>
      <c r="M16">
        <f>IF($W16="","",IF(ISNUMBER(SEARCH("3&amp;12",SUBSTITUTE(F16," ",""))),Settings!$G$7,Settings!$C$7))</f>
        <v/>
      </c>
      <c r="N16" s="7">
        <f>IF($W16="","",SUMIFS('Per Line'!$O$2:$O$3001,'Per Line'!$B$2:$B$3001,$B16,'Per Line'!$AB$2:$AB$3001,0))</f>
        <v/>
      </c>
      <c r="O16" s="7">
        <f>IF($W16="","",N16*M16)</f>
        <v/>
      </c>
      <c r="P16">
        <f>IF($W16="","",IF(ISNUMBER(SEARCH("3&amp;12",SUBSTITUTE(F16," ",""))),Settings!$G$6,Settings!$C$6))</f>
        <v/>
      </c>
      <c r="Q16" s="7">
        <f>IF($W16="","",SUMIFS('Per Line'!$O$2:$O$3001,'Per Line'!$B$2:$B$3001,$B16,'Per Line'!$AB$2:$AB$3001,1))</f>
        <v/>
      </c>
      <c r="R16" s="7">
        <f>IF($W16="","",Q16*P16)</f>
        <v/>
      </c>
      <c r="S16" s="7">
        <f>IF($W16="","",R16+O16)</f>
        <v/>
      </c>
      <c r="T16" s="7">
        <f>IF($W16="","",V16-S16)</f>
        <v/>
      </c>
      <c r="U16" s="7">
        <f>IF($W16="","",V16-S16-K16)</f>
        <v/>
      </c>
      <c r="V16" s="7">
        <f>IF($W16="","",N16+Q16)</f>
        <v/>
      </c>
      <c r="W16" s="16">
        <f>IF(ROWS($W$2:$W16)&lt;=MAX('Per Line'!$AA$2:$AA$3001),MATCH(ROWS($W$2:$W16),'Per Line'!$AA$2:$AA$3001,0),"")</f>
        <v/>
      </c>
      <c r="X16">
        <f>IF($W16="","",D16&amp;"|"&amp;COUNTIF($D$2:$D16,D16))</f>
        <v/>
      </c>
    </row>
    <row r="17">
      <c r="A17" s="15" t="n"/>
      <c r="B17">
        <f>IF($W17="","",INDEX('Per Line'!$B$2:$B$3001,$W17)&amp;"")</f>
        <v/>
      </c>
      <c r="C17">
        <f>IF($W17="","",INDEX('Per Line'!$C$2:$C$3001,$W17)&amp;"")</f>
        <v/>
      </c>
      <c r="D17">
        <f>IF($W17="","",IF(OR(TRIM(E17)="Orient Insurance Company",TRIM(E17)="Allianz"),TRIM(E17),TRIM(F17)))</f>
        <v/>
      </c>
      <c r="E17">
        <f>IF($W17="","",INDEX('Per Line'!$E$2:$E$3001,$W17)&amp;"")</f>
        <v/>
      </c>
      <c r="F17">
        <f>IF($W17="","",INDEX('Per Line'!$D$2:$D$3001,$W17)&amp;"")</f>
        <v/>
      </c>
      <c r="G17">
        <f>IF($W17="","",INDEX('Per Line'!$F$2:$F$3001,$W17)&amp;"")</f>
        <v/>
      </c>
      <c r="H17">
        <f>IF($W17="","",INDEX('Per Line'!$G$2:$G$3001,$W17)&amp;"")</f>
        <v/>
      </c>
      <c r="I17">
        <f>IF($W17="","",INDEX('Per Line'!$H$2:$H$3001,$W17)&amp;"")</f>
        <v/>
      </c>
      <c r="J17">
        <f>IF($W17="","",INDEX('Per Line'!$I$2:$I$3001,$W17))</f>
        <v/>
      </c>
      <c r="K17" s="7">
        <f>IF($W17="","",J17*T17/100)</f>
        <v/>
      </c>
      <c r="L17" s="14">
        <f>IF($W17="","",INDEX('Per Line'!$V$2:$V$3001,$W17))</f>
        <v/>
      </c>
      <c r="M17">
        <f>IF($W17="","",IF(ISNUMBER(SEARCH("3&amp;12",SUBSTITUTE(F17," ",""))),Settings!$G$7,Settings!$C$7))</f>
        <v/>
      </c>
      <c r="N17" s="7">
        <f>IF($W17="","",SUMIFS('Per Line'!$O$2:$O$3001,'Per Line'!$B$2:$B$3001,$B17,'Per Line'!$AB$2:$AB$3001,0))</f>
        <v/>
      </c>
      <c r="O17" s="7">
        <f>IF($W17="","",N17*M17)</f>
        <v/>
      </c>
      <c r="P17">
        <f>IF($W17="","",IF(ISNUMBER(SEARCH("3&amp;12",SUBSTITUTE(F17," ",""))),Settings!$G$6,Settings!$C$6))</f>
        <v/>
      </c>
      <c r="Q17" s="7">
        <f>IF($W17="","",SUMIFS('Per Line'!$O$2:$O$3001,'Per Line'!$B$2:$B$3001,$B17,'Per Line'!$AB$2:$AB$3001,1))</f>
        <v/>
      </c>
      <c r="R17" s="7">
        <f>IF($W17="","",Q17*P17)</f>
        <v/>
      </c>
      <c r="S17" s="7">
        <f>IF($W17="","",R17+O17)</f>
        <v/>
      </c>
      <c r="T17" s="7">
        <f>IF($W17="","",V17-S17)</f>
        <v/>
      </c>
      <c r="U17" s="7">
        <f>IF($W17="","",V17-S17-K17)</f>
        <v/>
      </c>
      <c r="V17" s="7">
        <f>IF($W17="","",N17+Q17)</f>
        <v/>
      </c>
      <c r="W17" s="16">
        <f>IF(ROWS($W$2:$W17)&lt;=MAX('Per Line'!$AA$2:$AA$3001),MATCH(ROWS($W$2:$W17),'Per Line'!$AA$2:$AA$3001,0),"")</f>
        <v/>
      </c>
      <c r="X17">
        <f>IF($W17="","",D17&amp;"|"&amp;COUNTIF($D$2:$D17,D17))</f>
        <v/>
      </c>
    </row>
    <row r="18">
      <c r="A18" s="15" t="n"/>
      <c r="B18">
        <f>IF($W18="","",INDEX('Per Line'!$B$2:$B$3001,$W18)&amp;"")</f>
        <v/>
      </c>
      <c r="C18">
        <f>IF($W18="","",INDEX('Per Line'!$C$2:$C$3001,$W18)&amp;"")</f>
        <v/>
      </c>
      <c r="D18">
        <f>IF($W18="","",IF(OR(TRIM(E18)="Orient Insurance Company",TRIM(E18)="Allianz"),TRIM(E18),TRIM(F18)))</f>
        <v/>
      </c>
      <c r="E18">
        <f>IF($W18="","",INDEX('Per Line'!$E$2:$E$3001,$W18)&amp;"")</f>
        <v/>
      </c>
      <c r="F18">
        <f>IF($W18="","",INDEX('Per Line'!$D$2:$D$3001,$W18)&amp;"")</f>
        <v/>
      </c>
      <c r="G18">
        <f>IF($W18="","",INDEX('Per Line'!$F$2:$F$3001,$W18)&amp;"")</f>
        <v/>
      </c>
      <c r="H18">
        <f>IF($W18="","",INDEX('Per Line'!$G$2:$G$3001,$W18)&amp;"")</f>
        <v/>
      </c>
      <c r="I18">
        <f>IF($W18="","",INDEX('Per Line'!$H$2:$H$3001,$W18)&amp;"")</f>
        <v/>
      </c>
      <c r="J18">
        <f>IF($W18="","",INDEX('Per Line'!$I$2:$I$3001,$W18))</f>
        <v/>
      </c>
      <c r="K18" s="7">
        <f>IF($W18="","",J18*T18/100)</f>
        <v/>
      </c>
      <c r="L18" s="14">
        <f>IF($W18="","",INDEX('Per Line'!$V$2:$V$3001,$W18))</f>
        <v/>
      </c>
      <c r="M18">
        <f>IF($W18="","",IF(ISNUMBER(SEARCH("3&amp;12",SUBSTITUTE(F18," ",""))),Settings!$G$7,Settings!$C$7))</f>
        <v/>
      </c>
      <c r="N18" s="7">
        <f>IF($W18="","",SUMIFS('Per Line'!$O$2:$O$3001,'Per Line'!$B$2:$B$3001,$B18,'Per Line'!$AB$2:$AB$3001,0))</f>
        <v/>
      </c>
      <c r="O18" s="7">
        <f>IF($W18="","",N18*M18)</f>
        <v/>
      </c>
      <c r="P18">
        <f>IF($W18="","",IF(ISNUMBER(SEARCH("3&amp;12",SUBSTITUTE(F18," ",""))),Settings!$G$6,Settings!$C$6))</f>
        <v/>
      </c>
      <c r="Q18" s="7">
        <f>IF($W18="","",SUMIFS('Per Line'!$O$2:$O$3001,'Per Line'!$B$2:$B$3001,$B18,'Per Line'!$AB$2:$AB$3001,1))</f>
        <v/>
      </c>
      <c r="R18" s="7">
        <f>IF($W18="","",Q18*P18)</f>
        <v/>
      </c>
      <c r="S18" s="7">
        <f>IF($W18="","",R18+O18)</f>
        <v/>
      </c>
      <c r="T18" s="7">
        <f>IF($W18="","",V18-S18)</f>
        <v/>
      </c>
      <c r="U18" s="7">
        <f>IF($W18="","",V18-S18-K18)</f>
        <v/>
      </c>
      <c r="V18" s="7">
        <f>IF($W18="","",N18+Q18)</f>
        <v/>
      </c>
      <c r="W18" s="16">
        <f>IF(ROWS($W$2:$W18)&lt;=MAX('Per Line'!$AA$2:$AA$3001),MATCH(ROWS($W$2:$W18),'Per Line'!$AA$2:$AA$3001,0),"")</f>
        <v/>
      </c>
      <c r="X18">
        <f>IF($W18="","",D18&amp;"|"&amp;COUNTIF($D$2:$D18,D18))</f>
        <v/>
      </c>
    </row>
    <row r="19">
      <c r="A19" s="15" t="n"/>
      <c r="B19">
        <f>IF($W19="","",INDEX('Per Line'!$B$2:$B$3001,$W19)&amp;"")</f>
        <v/>
      </c>
      <c r="C19">
        <f>IF($W19="","",INDEX('Per Line'!$C$2:$C$3001,$W19)&amp;"")</f>
        <v/>
      </c>
      <c r="D19">
        <f>IF($W19="","",IF(OR(TRIM(E19)="Orient Insurance Company",TRIM(E19)="Allianz"),TRIM(E19),TRIM(F19)))</f>
        <v/>
      </c>
      <c r="E19">
        <f>IF($W19="","",INDEX('Per Line'!$E$2:$E$3001,$W19)&amp;"")</f>
        <v/>
      </c>
      <c r="F19">
        <f>IF($W19="","",INDEX('Per Line'!$D$2:$D$3001,$W19)&amp;"")</f>
        <v/>
      </c>
      <c r="G19">
        <f>IF($W19="","",INDEX('Per Line'!$F$2:$F$3001,$W19)&amp;"")</f>
        <v/>
      </c>
      <c r="H19">
        <f>IF($W19="","",INDEX('Per Line'!$G$2:$G$3001,$W19)&amp;"")</f>
        <v/>
      </c>
      <c r="I19">
        <f>IF($W19="","",INDEX('Per Line'!$H$2:$H$3001,$W19)&amp;"")</f>
        <v/>
      </c>
      <c r="J19">
        <f>IF($W19="","",INDEX('Per Line'!$I$2:$I$3001,$W19))</f>
        <v/>
      </c>
      <c r="K19" s="7">
        <f>IF($W19="","",J19*T19/100)</f>
        <v/>
      </c>
      <c r="L19" s="14">
        <f>IF($W19="","",INDEX('Per Line'!$V$2:$V$3001,$W19))</f>
        <v/>
      </c>
      <c r="M19">
        <f>IF($W19="","",IF(ISNUMBER(SEARCH("3&amp;12",SUBSTITUTE(F19," ",""))),Settings!$G$7,Settings!$C$7))</f>
        <v/>
      </c>
      <c r="N19" s="7">
        <f>IF($W19="","",SUMIFS('Per Line'!$O$2:$O$3001,'Per Line'!$B$2:$B$3001,$B19,'Per Line'!$AB$2:$AB$3001,0))</f>
        <v/>
      </c>
      <c r="O19" s="7">
        <f>IF($W19="","",N19*M19)</f>
        <v/>
      </c>
      <c r="P19">
        <f>IF($W19="","",IF(ISNUMBER(SEARCH("3&amp;12",SUBSTITUTE(F19," ",""))),Settings!$G$6,Settings!$C$6))</f>
        <v/>
      </c>
      <c r="Q19" s="7">
        <f>IF($W19="","",SUMIFS('Per Line'!$O$2:$O$3001,'Per Line'!$B$2:$B$3001,$B19,'Per Line'!$AB$2:$AB$3001,1))</f>
        <v/>
      </c>
      <c r="R19" s="7">
        <f>IF($W19="","",Q19*P19)</f>
        <v/>
      </c>
      <c r="S19" s="7">
        <f>IF($W19="","",R19+O19)</f>
        <v/>
      </c>
      <c r="T19" s="7">
        <f>IF($W19="","",V19-S19)</f>
        <v/>
      </c>
      <c r="U19" s="7">
        <f>IF($W19="","",V19-S19-K19)</f>
        <v/>
      </c>
      <c r="V19" s="7">
        <f>IF($W19="","",N19+Q19)</f>
        <v/>
      </c>
      <c r="W19" s="16">
        <f>IF(ROWS($W$2:$W19)&lt;=MAX('Per Line'!$AA$2:$AA$3001),MATCH(ROWS($W$2:$W19),'Per Line'!$AA$2:$AA$3001,0),"")</f>
        <v/>
      </c>
      <c r="X19">
        <f>IF($W19="","",D19&amp;"|"&amp;COUNTIF($D$2:$D19,D19))</f>
        <v/>
      </c>
    </row>
    <row r="20">
      <c r="A20" s="15" t="n"/>
      <c r="B20">
        <f>IF($W20="","",INDEX('Per Line'!$B$2:$B$3001,$W20)&amp;"")</f>
        <v/>
      </c>
      <c r="C20">
        <f>IF($W20="","",INDEX('Per Line'!$C$2:$C$3001,$W20)&amp;"")</f>
        <v/>
      </c>
      <c r="D20">
        <f>IF($W20="","",IF(OR(TRIM(E20)="Orient Insurance Company",TRIM(E20)="Allianz"),TRIM(E20),TRIM(F20)))</f>
        <v/>
      </c>
      <c r="E20">
        <f>IF($W20="","",INDEX('Per Line'!$E$2:$E$3001,$W20)&amp;"")</f>
        <v/>
      </c>
      <c r="F20">
        <f>IF($W20="","",INDEX('Per Line'!$D$2:$D$3001,$W20)&amp;"")</f>
        <v/>
      </c>
      <c r="G20">
        <f>IF($W20="","",INDEX('Per Line'!$F$2:$F$3001,$W20)&amp;"")</f>
        <v/>
      </c>
      <c r="H20">
        <f>IF($W20="","",INDEX('Per Line'!$G$2:$G$3001,$W20)&amp;"")</f>
        <v/>
      </c>
      <c r="I20">
        <f>IF($W20="","",INDEX('Per Line'!$H$2:$H$3001,$W20)&amp;"")</f>
        <v/>
      </c>
      <c r="J20">
        <f>IF($W20="","",INDEX('Per Line'!$I$2:$I$3001,$W20))</f>
        <v/>
      </c>
      <c r="K20" s="7">
        <f>IF($W20="","",J20*T20/100)</f>
        <v/>
      </c>
      <c r="L20" s="14">
        <f>IF($W20="","",INDEX('Per Line'!$V$2:$V$3001,$W20))</f>
        <v/>
      </c>
      <c r="M20">
        <f>IF($W20="","",IF(ISNUMBER(SEARCH("3&amp;12",SUBSTITUTE(F20," ",""))),Settings!$G$7,Settings!$C$7))</f>
        <v/>
      </c>
      <c r="N20" s="7">
        <f>IF($W20="","",SUMIFS('Per Line'!$O$2:$O$3001,'Per Line'!$B$2:$B$3001,$B20,'Per Line'!$AB$2:$AB$3001,0))</f>
        <v/>
      </c>
      <c r="O20" s="7">
        <f>IF($W20="","",N20*M20)</f>
        <v/>
      </c>
      <c r="P20">
        <f>IF($W20="","",IF(ISNUMBER(SEARCH("3&amp;12",SUBSTITUTE(F20," ",""))),Settings!$G$6,Settings!$C$6))</f>
        <v/>
      </c>
      <c r="Q20" s="7">
        <f>IF($W20="","",SUMIFS('Per Line'!$O$2:$O$3001,'Per Line'!$B$2:$B$3001,$B20,'Per Line'!$AB$2:$AB$3001,1))</f>
        <v/>
      </c>
      <c r="R20" s="7">
        <f>IF($W20="","",Q20*P20)</f>
        <v/>
      </c>
      <c r="S20" s="7">
        <f>IF($W20="","",R20+O20)</f>
        <v/>
      </c>
      <c r="T20" s="7">
        <f>IF($W20="","",V20-S20)</f>
        <v/>
      </c>
      <c r="U20" s="7">
        <f>IF($W20="","",V20-S20-K20)</f>
        <v/>
      </c>
      <c r="V20" s="7">
        <f>IF($W20="","",N20+Q20)</f>
        <v/>
      </c>
      <c r="W20" s="16">
        <f>IF(ROWS($W$2:$W20)&lt;=MAX('Per Line'!$AA$2:$AA$3001),MATCH(ROWS($W$2:$W20),'Per Line'!$AA$2:$AA$3001,0),"")</f>
        <v/>
      </c>
      <c r="X20">
        <f>IF($W20="","",D20&amp;"|"&amp;COUNTIF($D$2:$D20,D20))</f>
        <v/>
      </c>
    </row>
    <row r="21">
      <c r="A21" s="15" t="n"/>
      <c r="B21">
        <f>IF($W21="","",INDEX('Per Line'!$B$2:$B$3001,$W21)&amp;"")</f>
        <v/>
      </c>
      <c r="C21">
        <f>IF($W21="","",INDEX('Per Line'!$C$2:$C$3001,$W21)&amp;"")</f>
        <v/>
      </c>
      <c r="D21">
        <f>IF($W21="","",IF(OR(TRIM(E21)="Orient Insurance Company",TRIM(E21)="Allianz"),TRIM(E21),TRIM(F21)))</f>
        <v/>
      </c>
      <c r="E21">
        <f>IF($W21="","",INDEX('Per Line'!$E$2:$E$3001,$W21)&amp;"")</f>
        <v/>
      </c>
      <c r="F21">
        <f>IF($W21="","",INDEX('Per Line'!$D$2:$D$3001,$W21)&amp;"")</f>
        <v/>
      </c>
      <c r="G21">
        <f>IF($W21="","",INDEX('Per Line'!$F$2:$F$3001,$W21)&amp;"")</f>
        <v/>
      </c>
      <c r="H21">
        <f>IF($W21="","",INDEX('Per Line'!$G$2:$G$3001,$W21)&amp;"")</f>
        <v/>
      </c>
      <c r="I21">
        <f>IF($W21="","",INDEX('Per Line'!$H$2:$H$3001,$W21)&amp;"")</f>
        <v/>
      </c>
      <c r="J21">
        <f>IF($W21="","",INDEX('Per Line'!$I$2:$I$3001,$W21))</f>
        <v/>
      </c>
      <c r="K21" s="7">
        <f>IF($W21="","",J21*T21/100)</f>
        <v/>
      </c>
      <c r="L21" s="14">
        <f>IF($W21="","",INDEX('Per Line'!$V$2:$V$3001,$W21))</f>
        <v/>
      </c>
      <c r="M21">
        <f>IF($W21="","",IF(ISNUMBER(SEARCH("3&amp;12",SUBSTITUTE(F21," ",""))),Settings!$G$7,Settings!$C$7))</f>
        <v/>
      </c>
      <c r="N21" s="7">
        <f>IF($W21="","",SUMIFS('Per Line'!$O$2:$O$3001,'Per Line'!$B$2:$B$3001,$B21,'Per Line'!$AB$2:$AB$3001,0))</f>
        <v/>
      </c>
      <c r="O21" s="7">
        <f>IF($W21="","",N21*M21)</f>
        <v/>
      </c>
      <c r="P21">
        <f>IF($W21="","",IF(ISNUMBER(SEARCH("3&amp;12",SUBSTITUTE(F21," ",""))),Settings!$G$6,Settings!$C$6))</f>
        <v/>
      </c>
      <c r="Q21" s="7">
        <f>IF($W21="","",SUMIFS('Per Line'!$O$2:$O$3001,'Per Line'!$B$2:$B$3001,$B21,'Per Line'!$AB$2:$AB$3001,1))</f>
        <v/>
      </c>
      <c r="R21" s="7">
        <f>IF($W21="","",Q21*P21)</f>
        <v/>
      </c>
      <c r="S21" s="7">
        <f>IF($W21="","",R21+O21)</f>
        <v/>
      </c>
      <c r="T21" s="7">
        <f>IF($W21="","",V21-S21)</f>
        <v/>
      </c>
      <c r="U21" s="7">
        <f>IF($W21="","",V21-S21-K21)</f>
        <v/>
      </c>
      <c r="V21" s="7">
        <f>IF($W21="","",N21+Q21)</f>
        <v/>
      </c>
      <c r="W21" s="16">
        <f>IF(ROWS($W$2:$W21)&lt;=MAX('Per Line'!$AA$2:$AA$3001),MATCH(ROWS($W$2:$W21),'Per Line'!$AA$2:$AA$3001,0),"")</f>
        <v/>
      </c>
      <c r="X21">
        <f>IF($W21="","",D21&amp;"|"&amp;COUNTIF($D$2:$D21,D21))</f>
        <v/>
      </c>
    </row>
    <row r="22">
      <c r="A22" s="15" t="n"/>
      <c r="B22">
        <f>IF($W22="","",INDEX('Per Line'!$B$2:$B$3001,$W22)&amp;"")</f>
        <v/>
      </c>
      <c r="C22">
        <f>IF($W22="","",INDEX('Per Line'!$C$2:$C$3001,$W22)&amp;"")</f>
        <v/>
      </c>
      <c r="D22">
        <f>IF($W22="","",IF(OR(TRIM(E22)="Orient Insurance Company",TRIM(E22)="Allianz"),TRIM(E22),TRIM(F22)))</f>
        <v/>
      </c>
      <c r="E22">
        <f>IF($W22="","",INDEX('Per Line'!$E$2:$E$3001,$W22)&amp;"")</f>
        <v/>
      </c>
      <c r="F22">
        <f>IF($W22="","",INDEX('Per Line'!$D$2:$D$3001,$W22)&amp;"")</f>
        <v/>
      </c>
      <c r="G22">
        <f>IF($W22="","",INDEX('Per Line'!$F$2:$F$3001,$W22)&amp;"")</f>
        <v/>
      </c>
      <c r="H22">
        <f>IF($W22="","",INDEX('Per Line'!$G$2:$G$3001,$W22)&amp;"")</f>
        <v/>
      </c>
      <c r="I22">
        <f>IF($W22="","",INDEX('Per Line'!$H$2:$H$3001,$W22)&amp;"")</f>
        <v/>
      </c>
      <c r="J22">
        <f>IF($W22="","",INDEX('Per Line'!$I$2:$I$3001,$W22))</f>
        <v/>
      </c>
      <c r="K22" s="7">
        <f>IF($W22="","",J22*T22/100)</f>
        <v/>
      </c>
      <c r="L22" s="14">
        <f>IF($W22="","",INDEX('Per Line'!$V$2:$V$3001,$W22))</f>
        <v/>
      </c>
      <c r="M22">
        <f>IF($W22="","",IF(ISNUMBER(SEARCH("3&amp;12",SUBSTITUTE(F22," ",""))),Settings!$G$7,Settings!$C$7))</f>
        <v/>
      </c>
      <c r="N22" s="7">
        <f>IF($W22="","",SUMIFS('Per Line'!$O$2:$O$3001,'Per Line'!$B$2:$B$3001,$B22,'Per Line'!$AB$2:$AB$3001,0))</f>
        <v/>
      </c>
      <c r="O22" s="7">
        <f>IF($W22="","",N22*M22)</f>
        <v/>
      </c>
      <c r="P22">
        <f>IF($W22="","",IF(ISNUMBER(SEARCH("3&amp;12",SUBSTITUTE(F22," ",""))),Settings!$G$6,Settings!$C$6))</f>
        <v/>
      </c>
      <c r="Q22" s="7">
        <f>IF($W22="","",SUMIFS('Per Line'!$O$2:$O$3001,'Per Line'!$B$2:$B$3001,$B22,'Per Line'!$AB$2:$AB$3001,1))</f>
        <v/>
      </c>
      <c r="R22" s="7">
        <f>IF($W22="","",Q22*P22)</f>
        <v/>
      </c>
      <c r="S22" s="7">
        <f>IF($W22="","",R22+O22)</f>
        <v/>
      </c>
      <c r="T22" s="7">
        <f>IF($W22="","",V22-S22)</f>
        <v/>
      </c>
      <c r="U22" s="7">
        <f>IF($W22="","",V22-S22-K22)</f>
        <v/>
      </c>
      <c r="V22" s="7">
        <f>IF($W22="","",N22+Q22)</f>
        <v/>
      </c>
      <c r="W22" s="16">
        <f>IF(ROWS($W$2:$W22)&lt;=MAX('Per Line'!$AA$2:$AA$3001),MATCH(ROWS($W$2:$W22),'Per Line'!$AA$2:$AA$3001,0),"")</f>
        <v/>
      </c>
      <c r="X22">
        <f>IF($W22="","",D22&amp;"|"&amp;COUNTIF($D$2:$D22,D22))</f>
        <v/>
      </c>
    </row>
    <row r="23">
      <c r="A23" s="15" t="n"/>
      <c r="B23">
        <f>IF($W23="","",INDEX('Per Line'!$B$2:$B$3001,$W23)&amp;"")</f>
        <v/>
      </c>
      <c r="C23">
        <f>IF($W23="","",INDEX('Per Line'!$C$2:$C$3001,$W23)&amp;"")</f>
        <v/>
      </c>
      <c r="D23">
        <f>IF($W23="","",IF(OR(TRIM(E23)="Orient Insurance Company",TRIM(E23)="Allianz"),TRIM(E23),TRIM(F23)))</f>
        <v/>
      </c>
      <c r="E23">
        <f>IF($W23="","",INDEX('Per Line'!$E$2:$E$3001,$W23)&amp;"")</f>
        <v/>
      </c>
      <c r="F23">
        <f>IF($W23="","",INDEX('Per Line'!$D$2:$D$3001,$W23)&amp;"")</f>
        <v/>
      </c>
      <c r="G23">
        <f>IF($W23="","",INDEX('Per Line'!$F$2:$F$3001,$W23)&amp;"")</f>
        <v/>
      </c>
      <c r="H23">
        <f>IF($W23="","",INDEX('Per Line'!$G$2:$G$3001,$W23)&amp;"")</f>
        <v/>
      </c>
      <c r="I23">
        <f>IF($W23="","",INDEX('Per Line'!$H$2:$H$3001,$W23)&amp;"")</f>
        <v/>
      </c>
      <c r="J23">
        <f>IF($W23="","",INDEX('Per Line'!$I$2:$I$3001,$W23))</f>
        <v/>
      </c>
      <c r="K23" s="7">
        <f>IF($W23="","",J23*T23/100)</f>
        <v/>
      </c>
      <c r="L23" s="14">
        <f>IF($W23="","",INDEX('Per Line'!$V$2:$V$3001,$W23))</f>
        <v/>
      </c>
      <c r="M23">
        <f>IF($W23="","",IF(ISNUMBER(SEARCH("3&amp;12",SUBSTITUTE(F23," ",""))),Settings!$G$7,Settings!$C$7))</f>
        <v/>
      </c>
      <c r="N23" s="7">
        <f>IF($W23="","",SUMIFS('Per Line'!$O$2:$O$3001,'Per Line'!$B$2:$B$3001,$B23,'Per Line'!$AB$2:$AB$3001,0))</f>
        <v/>
      </c>
      <c r="O23" s="7">
        <f>IF($W23="","",N23*M23)</f>
        <v/>
      </c>
      <c r="P23">
        <f>IF($W23="","",IF(ISNUMBER(SEARCH("3&amp;12",SUBSTITUTE(F23," ",""))),Settings!$G$6,Settings!$C$6))</f>
        <v/>
      </c>
      <c r="Q23" s="7">
        <f>IF($W23="","",SUMIFS('Per Line'!$O$2:$O$3001,'Per Line'!$B$2:$B$3001,$B23,'Per Line'!$AB$2:$AB$3001,1))</f>
        <v/>
      </c>
      <c r="R23" s="7">
        <f>IF($W23="","",Q23*P23)</f>
        <v/>
      </c>
      <c r="S23" s="7">
        <f>IF($W23="","",R23+O23)</f>
        <v/>
      </c>
      <c r="T23" s="7">
        <f>IF($W23="","",V23-S23)</f>
        <v/>
      </c>
      <c r="U23" s="7">
        <f>IF($W23="","",V23-S23-K23)</f>
        <v/>
      </c>
      <c r="V23" s="7">
        <f>IF($W23="","",N23+Q23)</f>
        <v/>
      </c>
      <c r="W23" s="16">
        <f>IF(ROWS($W$2:$W23)&lt;=MAX('Per Line'!$AA$2:$AA$3001),MATCH(ROWS($W$2:$W23),'Per Line'!$AA$2:$AA$3001,0),"")</f>
        <v/>
      </c>
      <c r="X23">
        <f>IF($W23="","",D23&amp;"|"&amp;COUNTIF($D$2:$D23,D23))</f>
        <v/>
      </c>
    </row>
    <row r="24">
      <c r="A24" s="15" t="n"/>
      <c r="B24">
        <f>IF($W24="","",INDEX('Per Line'!$B$2:$B$3001,$W24)&amp;"")</f>
        <v/>
      </c>
      <c r="C24">
        <f>IF($W24="","",INDEX('Per Line'!$C$2:$C$3001,$W24)&amp;"")</f>
        <v/>
      </c>
      <c r="D24">
        <f>IF($W24="","",IF(OR(TRIM(E24)="Orient Insurance Company",TRIM(E24)="Allianz"),TRIM(E24),TRIM(F24)))</f>
        <v/>
      </c>
      <c r="E24">
        <f>IF($W24="","",INDEX('Per Line'!$E$2:$E$3001,$W24)&amp;"")</f>
        <v/>
      </c>
      <c r="F24">
        <f>IF($W24="","",INDEX('Per Line'!$D$2:$D$3001,$W24)&amp;"")</f>
        <v/>
      </c>
      <c r="G24">
        <f>IF($W24="","",INDEX('Per Line'!$F$2:$F$3001,$W24)&amp;"")</f>
        <v/>
      </c>
      <c r="H24">
        <f>IF($W24="","",INDEX('Per Line'!$G$2:$G$3001,$W24)&amp;"")</f>
        <v/>
      </c>
      <c r="I24">
        <f>IF($W24="","",INDEX('Per Line'!$H$2:$H$3001,$W24)&amp;"")</f>
        <v/>
      </c>
      <c r="J24">
        <f>IF($W24="","",INDEX('Per Line'!$I$2:$I$3001,$W24))</f>
        <v/>
      </c>
      <c r="K24" s="7">
        <f>IF($W24="","",J24*T24/100)</f>
        <v/>
      </c>
      <c r="L24" s="14">
        <f>IF($W24="","",INDEX('Per Line'!$V$2:$V$3001,$W24))</f>
        <v/>
      </c>
      <c r="M24">
        <f>IF($W24="","",IF(ISNUMBER(SEARCH("3&amp;12",SUBSTITUTE(F24," ",""))),Settings!$G$7,Settings!$C$7))</f>
        <v/>
      </c>
      <c r="N24" s="7">
        <f>IF($W24="","",SUMIFS('Per Line'!$O$2:$O$3001,'Per Line'!$B$2:$B$3001,$B24,'Per Line'!$AB$2:$AB$3001,0))</f>
        <v/>
      </c>
      <c r="O24" s="7">
        <f>IF($W24="","",N24*M24)</f>
        <v/>
      </c>
      <c r="P24">
        <f>IF($W24="","",IF(ISNUMBER(SEARCH("3&amp;12",SUBSTITUTE(F24," ",""))),Settings!$G$6,Settings!$C$6))</f>
        <v/>
      </c>
      <c r="Q24" s="7">
        <f>IF($W24="","",SUMIFS('Per Line'!$O$2:$O$3001,'Per Line'!$B$2:$B$3001,$B24,'Per Line'!$AB$2:$AB$3001,1))</f>
        <v/>
      </c>
      <c r="R24" s="7">
        <f>IF($W24="","",Q24*P24)</f>
        <v/>
      </c>
      <c r="S24" s="7">
        <f>IF($W24="","",R24+O24)</f>
        <v/>
      </c>
      <c r="T24" s="7">
        <f>IF($W24="","",V24-S24)</f>
        <v/>
      </c>
      <c r="U24" s="7">
        <f>IF($W24="","",V24-S24-K24)</f>
        <v/>
      </c>
      <c r="V24" s="7">
        <f>IF($W24="","",N24+Q24)</f>
        <v/>
      </c>
      <c r="W24" s="16">
        <f>IF(ROWS($W$2:$W24)&lt;=MAX('Per Line'!$AA$2:$AA$3001),MATCH(ROWS($W$2:$W24),'Per Line'!$AA$2:$AA$3001,0),"")</f>
        <v/>
      </c>
      <c r="X24">
        <f>IF($W24="","",D24&amp;"|"&amp;COUNTIF($D$2:$D24,D24))</f>
        <v/>
      </c>
    </row>
    <row r="25">
      <c r="A25" s="15" t="n"/>
      <c r="B25">
        <f>IF($W25="","",INDEX('Per Line'!$B$2:$B$3001,$W25)&amp;"")</f>
        <v/>
      </c>
      <c r="C25">
        <f>IF($W25="","",INDEX('Per Line'!$C$2:$C$3001,$W25)&amp;"")</f>
        <v/>
      </c>
      <c r="D25">
        <f>IF($W25="","",IF(OR(TRIM(E25)="Orient Insurance Company",TRIM(E25)="Allianz"),TRIM(E25),TRIM(F25)))</f>
        <v/>
      </c>
      <c r="E25">
        <f>IF($W25="","",INDEX('Per Line'!$E$2:$E$3001,$W25)&amp;"")</f>
        <v/>
      </c>
      <c r="F25">
        <f>IF($W25="","",INDEX('Per Line'!$D$2:$D$3001,$W25)&amp;"")</f>
        <v/>
      </c>
      <c r="G25">
        <f>IF($W25="","",INDEX('Per Line'!$F$2:$F$3001,$W25)&amp;"")</f>
        <v/>
      </c>
      <c r="H25">
        <f>IF($W25="","",INDEX('Per Line'!$G$2:$G$3001,$W25)&amp;"")</f>
        <v/>
      </c>
      <c r="I25">
        <f>IF($W25="","",INDEX('Per Line'!$H$2:$H$3001,$W25)&amp;"")</f>
        <v/>
      </c>
      <c r="J25">
        <f>IF($W25="","",INDEX('Per Line'!$I$2:$I$3001,$W25))</f>
        <v/>
      </c>
      <c r="K25" s="7">
        <f>IF($W25="","",J25*T25/100)</f>
        <v/>
      </c>
      <c r="L25" s="14">
        <f>IF($W25="","",INDEX('Per Line'!$V$2:$V$3001,$W25))</f>
        <v/>
      </c>
      <c r="M25">
        <f>IF($W25="","",IF(ISNUMBER(SEARCH("3&amp;12",SUBSTITUTE(F25," ",""))),Settings!$G$7,Settings!$C$7))</f>
        <v/>
      </c>
      <c r="N25" s="7">
        <f>IF($W25="","",SUMIFS('Per Line'!$O$2:$O$3001,'Per Line'!$B$2:$B$3001,$B25,'Per Line'!$AB$2:$AB$3001,0))</f>
        <v/>
      </c>
      <c r="O25" s="7">
        <f>IF($W25="","",N25*M25)</f>
        <v/>
      </c>
      <c r="P25">
        <f>IF($W25="","",IF(ISNUMBER(SEARCH("3&amp;12",SUBSTITUTE(F25," ",""))),Settings!$G$6,Settings!$C$6))</f>
        <v/>
      </c>
      <c r="Q25" s="7">
        <f>IF($W25="","",SUMIFS('Per Line'!$O$2:$O$3001,'Per Line'!$B$2:$B$3001,$B25,'Per Line'!$AB$2:$AB$3001,1))</f>
        <v/>
      </c>
      <c r="R25" s="7">
        <f>IF($W25="","",Q25*P25)</f>
        <v/>
      </c>
      <c r="S25" s="7">
        <f>IF($W25="","",R25+O25)</f>
        <v/>
      </c>
      <c r="T25" s="7">
        <f>IF($W25="","",V25-S25)</f>
        <v/>
      </c>
      <c r="U25" s="7">
        <f>IF($W25="","",V25-S25-K25)</f>
        <v/>
      </c>
      <c r="V25" s="7">
        <f>IF($W25="","",N25+Q25)</f>
        <v/>
      </c>
      <c r="W25" s="16">
        <f>IF(ROWS($W$2:$W25)&lt;=MAX('Per Line'!$AA$2:$AA$3001),MATCH(ROWS($W$2:$W25),'Per Line'!$AA$2:$AA$3001,0),"")</f>
        <v/>
      </c>
      <c r="X25">
        <f>IF($W25="","",D25&amp;"|"&amp;COUNTIF($D$2:$D25,D25))</f>
        <v/>
      </c>
    </row>
    <row r="26">
      <c r="A26" s="15" t="n"/>
      <c r="B26">
        <f>IF($W26="","",INDEX('Per Line'!$B$2:$B$3001,$W26)&amp;"")</f>
        <v/>
      </c>
      <c r="C26">
        <f>IF($W26="","",INDEX('Per Line'!$C$2:$C$3001,$W26)&amp;"")</f>
        <v/>
      </c>
      <c r="D26">
        <f>IF($W26="","",IF(OR(TRIM(E26)="Orient Insurance Company",TRIM(E26)="Allianz"),TRIM(E26),TRIM(F26)))</f>
        <v/>
      </c>
      <c r="E26">
        <f>IF($W26="","",INDEX('Per Line'!$E$2:$E$3001,$W26)&amp;"")</f>
        <v/>
      </c>
      <c r="F26">
        <f>IF($W26="","",INDEX('Per Line'!$D$2:$D$3001,$W26)&amp;"")</f>
        <v/>
      </c>
      <c r="G26">
        <f>IF($W26="","",INDEX('Per Line'!$F$2:$F$3001,$W26)&amp;"")</f>
        <v/>
      </c>
      <c r="H26">
        <f>IF($W26="","",INDEX('Per Line'!$G$2:$G$3001,$W26)&amp;"")</f>
        <v/>
      </c>
      <c r="I26">
        <f>IF($W26="","",INDEX('Per Line'!$H$2:$H$3001,$W26)&amp;"")</f>
        <v/>
      </c>
      <c r="J26">
        <f>IF($W26="","",INDEX('Per Line'!$I$2:$I$3001,$W26))</f>
        <v/>
      </c>
      <c r="K26" s="7">
        <f>IF($W26="","",J26*T26/100)</f>
        <v/>
      </c>
      <c r="L26" s="14">
        <f>IF($W26="","",INDEX('Per Line'!$V$2:$V$3001,$W26))</f>
        <v/>
      </c>
      <c r="M26">
        <f>IF($W26="","",IF(ISNUMBER(SEARCH("3&amp;12",SUBSTITUTE(F26," ",""))),Settings!$G$7,Settings!$C$7))</f>
        <v/>
      </c>
      <c r="N26" s="7">
        <f>IF($W26="","",SUMIFS('Per Line'!$O$2:$O$3001,'Per Line'!$B$2:$B$3001,$B26,'Per Line'!$AB$2:$AB$3001,0))</f>
        <v/>
      </c>
      <c r="O26" s="7">
        <f>IF($W26="","",N26*M26)</f>
        <v/>
      </c>
      <c r="P26">
        <f>IF($W26="","",IF(ISNUMBER(SEARCH("3&amp;12",SUBSTITUTE(F26," ",""))),Settings!$G$6,Settings!$C$6))</f>
        <v/>
      </c>
      <c r="Q26" s="7">
        <f>IF($W26="","",SUMIFS('Per Line'!$O$2:$O$3001,'Per Line'!$B$2:$B$3001,$B26,'Per Line'!$AB$2:$AB$3001,1))</f>
        <v/>
      </c>
      <c r="R26" s="7">
        <f>IF($W26="","",Q26*P26)</f>
        <v/>
      </c>
      <c r="S26" s="7">
        <f>IF($W26="","",R26+O26)</f>
        <v/>
      </c>
      <c r="T26" s="7">
        <f>IF($W26="","",V26-S26)</f>
        <v/>
      </c>
      <c r="U26" s="7">
        <f>IF($W26="","",V26-S26-K26)</f>
        <v/>
      </c>
      <c r="V26" s="7">
        <f>IF($W26="","",N26+Q26)</f>
        <v/>
      </c>
      <c r="W26" s="16">
        <f>IF(ROWS($W$2:$W26)&lt;=MAX('Per Line'!$AA$2:$AA$3001),MATCH(ROWS($W$2:$W26),'Per Line'!$AA$2:$AA$3001,0),"")</f>
        <v/>
      </c>
      <c r="X26">
        <f>IF($W26="","",D26&amp;"|"&amp;COUNTIF($D$2:$D26,D26))</f>
        <v/>
      </c>
    </row>
    <row r="27">
      <c r="A27" s="15" t="n"/>
      <c r="B27">
        <f>IF($W27="","",INDEX('Per Line'!$B$2:$B$3001,$W27)&amp;"")</f>
        <v/>
      </c>
      <c r="C27">
        <f>IF($W27="","",INDEX('Per Line'!$C$2:$C$3001,$W27)&amp;"")</f>
        <v/>
      </c>
      <c r="D27">
        <f>IF($W27="","",IF(OR(TRIM(E27)="Orient Insurance Company",TRIM(E27)="Allianz"),TRIM(E27),TRIM(F27)))</f>
        <v/>
      </c>
      <c r="E27">
        <f>IF($W27="","",INDEX('Per Line'!$E$2:$E$3001,$W27)&amp;"")</f>
        <v/>
      </c>
      <c r="F27">
        <f>IF($W27="","",INDEX('Per Line'!$D$2:$D$3001,$W27)&amp;"")</f>
        <v/>
      </c>
      <c r="G27">
        <f>IF($W27="","",INDEX('Per Line'!$F$2:$F$3001,$W27)&amp;"")</f>
        <v/>
      </c>
      <c r="H27">
        <f>IF($W27="","",INDEX('Per Line'!$G$2:$G$3001,$W27)&amp;"")</f>
        <v/>
      </c>
      <c r="I27">
        <f>IF($W27="","",INDEX('Per Line'!$H$2:$H$3001,$W27)&amp;"")</f>
        <v/>
      </c>
      <c r="J27">
        <f>IF($W27="","",INDEX('Per Line'!$I$2:$I$3001,$W27))</f>
        <v/>
      </c>
      <c r="K27" s="7">
        <f>IF($W27="","",J27*T27/100)</f>
        <v/>
      </c>
      <c r="L27" s="14">
        <f>IF($W27="","",INDEX('Per Line'!$V$2:$V$3001,$W27))</f>
        <v/>
      </c>
      <c r="M27">
        <f>IF($W27="","",IF(ISNUMBER(SEARCH("3&amp;12",SUBSTITUTE(F27," ",""))),Settings!$G$7,Settings!$C$7))</f>
        <v/>
      </c>
      <c r="N27" s="7">
        <f>IF($W27="","",SUMIFS('Per Line'!$O$2:$O$3001,'Per Line'!$B$2:$B$3001,$B27,'Per Line'!$AB$2:$AB$3001,0))</f>
        <v/>
      </c>
      <c r="O27" s="7">
        <f>IF($W27="","",N27*M27)</f>
        <v/>
      </c>
      <c r="P27">
        <f>IF($W27="","",IF(ISNUMBER(SEARCH("3&amp;12",SUBSTITUTE(F27," ",""))),Settings!$G$6,Settings!$C$6))</f>
        <v/>
      </c>
      <c r="Q27" s="7">
        <f>IF($W27="","",SUMIFS('Per Line'!$O$2:$O$3001,'Per Line'!$B$2:$B$3001,$B27,'Per Line'!$AB$2:$AB$3001,1))</f>
        <v/>
      </c>
      <c r="R27" s="7">
        <f>IF($W27="","",Q27*P27)</f>
        <v/>
      </c>
      <c r="S27" s="7">
        <f>IF($W27="","",R27+O27)</f>
        <v/>
      </c>
      <c r="T27" s="7">
        <f>IF($W27="","",V27-S27)</f>
        <v/>
      </c>
      <c r="U27" s="7">
        <f>IF($W27="","",V27-S27-K27)</f>
        <v/>
      </c>
      <c r="V27" s="7">
        <f>IF($W27="","",N27+Q27)</f>
        <v/>
      </c>
      <c r="W27" s="16">
        <f>IF(ROWS($W$2:$W27)&lt;=MAX('Per Line'!$AA$2:$AA$3001),MATCH(ROWS($W$2:$W27),'Per Line'!$AA$2:$AA$3001,0),"")</f>
        <v/>
      </c>
      <c r="X27">
        <f>IF($W27="","",D27&amp;"|"&amp;COUNTIF($D$2:$D27,D27))</f>
        <v/>
      </c>
    </row>
    <row r="28">
      <c r="A28" s="15" t="n"/>
      <c r="B28">
        <f>IF($W28="","",INDEX('Per Line'!$B$2:$B$3001,$W28)&amp;"")</f>
        <v/>
      </c>
      <c r="C28">
        <f>IF($W28="","",INDEX('Per Line'!$C$2:$C$3001,$W28)&amp;"")</f>
        <v/>
      </c>
      <c r="D28">
        <f>IF($W28="","",IF(OR(TRIM(E28)="Orient Insurance Company",TRIM(E28)="Allianz"),TRIM(E28),TRIM(F28)))</f>
        <v/>
      </c>
      <c r="E28">
        <f>IF($W28="","",INDEX('Per Line'!$E$2:$E$3001,$W28)&amp;"")</f>
        <v/>
      </c>
      <c r="F28">
        <f>IF($W28="","",INDEX('Per Line'!$D$2:$D$3001,$W28)&amp;"")</f>
        <v/>
      </c>
      <c r="G28">
        <f>IF($W28="","",INDEX('Per Line'!$F$2:$F$3001,$W28)&amp;"")</f>
        <v/>
      </c>
      <c r="H28">
        <f>IF($W28="","",INDEX('Per Line'!$G$2:$G$3001,$W28)&amp;"")</f>
        <v/>
      </c>
      <c r="I28">
        <f>IF($W28="","",INDEX('Per Line'!$H$2:$H$3001,$W28)&amp;"")</f>
        <v/>
      </c>
      <c r="J28">
        <f>IF($W28="","",INDEX('Per Line'!$I$2:$I$3001,$W28))</f>
        <v/>
      </c>
      <c r="K28" s="7">
        <f>IF($W28="","",J28*T28/100)</f>
        <v/>
      </c>
      <c r="L28" s="14">
        <f>IF($W28="","",INDEX('Per Line'!$V$2:$V$3001,$W28))</f>
        <v/>
      </c>
      <c r="M28">
        <f>IF($W28="","",IF(ISNUMBER(SEARCH("3&amp;12",SUBSTITUTE(F28," ",""))),Settings!$G$7,Settings!$C$7))</f>
        <v/>
      </c>
      <c r="N28" s="7">
        <f>IF($W28="","",SUMIFS('Per Line'!$O$2:$O$3001,'Per Line'!$B$2:$B$3001,$B28,'Per Line'!$AB$2:$AB$3001,0))</f>
        <v/>
      </c>
      <c r="O28" s="7">
        <f>IF($W28="","",N28*M28)</f>
        <v/>
      </c>
      <c r="P28">
        <f>IF($W28="","",IF(ISNUMBER(SEARCH("3&amp;12",SUBSTITUTE(F28," ",""))),Settings!$G$6,Settings!$C$6))</f>
        <v/>
      </c>
      <c r="Q28" s="7">
        <f>IF($W28="","",SUMIFS('Per Line'!$O$2:$O$3001,'Per Line'!$B$2:$B$3001,$B28,'Per Line'!$AB$2:$AB$3001,1))</f>
        <v/>
      </c>
      <c r="R28" s="7">
        <f>IF($W28="","",Q28*P28)</f>
        <v/>
      </c>
      <c r="S28" s="7">
        <f>IF($W28="","",R28+O28)</f>
        <v/>
      </c>
      <c r="T28" s="7">
        <f>IF($W28="","",V28-S28)</f>
        <v/>
      </c>
      <c r="U28" s="7">
        <f>IF($W28="","",V28-S28-K28)</f>
        <v/>
      </c>
      <c r="V28" s="7">
        <f>IF($W28="","",N28+Q28)</f>
        <v/>
      </c>
      <c r="W28" s="16">
        <f>IF(ROWS($W$2:$W28)&lt;=MAX('Per Line'!$AA$2:$AA$3001),MATCH(ROWS($W$2:$W28),'Per Line'!$AA$2:$AA$3001,0),"")</f>
        <v/>
      </c>
      <c r="X28">
        <f>IF($W28="","",D28&amp;"|"&amp;COUNTIF($D$2:$D28,D28))</f>
        <v/>
      </c>
    </row>
    <row r="29">
      <c r="A29" s="15" t="n"/>
      <c r="B29">
        <f>IF($W29="","",INDEX('Per Line'!$B$2:$B$3001,$W29)&amp;"")</f>
        <v/>
      </c>
      <c r="C29">
        <f>IF($W29="","",INDEX('Per Line'!$C$2:$C$3001,$W29)&amp;"")</f>
        <v/>
      </c>
      <c r="D29">
        <f>IF($W29="","",IF(OR(TRIM(E29)="Orient Insurance Company",TRIM(E29)="Allianz"),TRIM(E29),TRIM(F29)))</f>
        <v/>
      </c>
      <c r="E29">
        <f>IF($W29="","",INDEX('Per Line'!$E$2:$E$3001,$W29)&amp;"")</f>
        <v/>
      </c>
      <c r="F29">
        <f>IF($W29="","",INDEX('Per Line'!$D$2:$D$3001,$W29)&amp;"")</f>
        <v/>
      </c>
      <c r="G29">
        <f>IF($W29="","",INDEX('Per Line'!$F$2:$F$3001,$W29)&amp;"")</f>
        <v/>
      </c>
      <c r="H29">
        <f>IF($W29="","",INDEX('Per Line'!$G$2:$G$3001,$W29)&amp;"")</f>
        <v/>
      </c>
      <c r="I29">
        <f>IF($W29="","",INDEX('Per Line'!$H$2:$H$3001,$W29)&amp;"")</f>
        <v/>
      </c>
      <c r="J29">
        <f>IF($W29="","",INDEX('Per Line'!$I$2:$I$3001,$W29))</f>
        <v/>
      </c>
      <c r="K29" s="7">
        <f>IF($W29="","",J29*T29/100)</f>
        <v/>
      </c>
      <c r="L29" s="14">
        <f>IF($W29="","",INDEX('Per Line'!$V$2:$V$3001,$W29))</f>
        <v/>
      </c>
      <c r="M29">
        <f>IF($W29="","",IF(ISNUMBER(SEARCH("3&amp;12",SUBSTITUTE(F29," ",""))),Settings!$G$7,Settings!$C$7))</f>
        <v/>
      </c>
      <c r="N29" s="7">
        <f>IF($W29="","",SUMIFS('Per Line'!$O$2:$O$3001,'Per Line'!$B$2:$B$3001,$B29,'Per Line'!$AB$2:$AB$3001,0))</f>
        <v/>
      </c>
      <c r="O29" s="7">
        <f>IF($W29="","",N29*M29)</f>
        <v/>
      </c>
      <c r="P29">
        <f>IF($W29="","",IF(ISNUMBER(SEARCH("3&amp;12",SUBSTITUTE(F29," ",""))),Settings!$G$6,Settings!$C$6))</f>
        <v/>
      </c>
      <c r="Q29" s="7">
        <f>IF($W29="","",SUMIFS('Per Line'!$O$2:$O$3001,'Per Line'!$B$2:$B$3001,$B29,'Per Line'!$AB$2:$AB$3001,1))</f>
        <v/>
      </c>
      <c r="R29" s="7">
        <f>IF($W29="","",Q29*P29)</f>
        <v/>
      </c>
      <c r="S29" s="7">
        <f>IF($W29="","",R29+O29)</f>
        <v/>
      </c>
      <c r="T29" s="7">
        <f>IF($W29="","",V29-S29)</f>
        <v/>
      </c>
      <c r="U29" s="7">
        <f>IF($W29="","",V29-S29-K29)</f>
        <v/>
      </c>
      <c r="V29" s="7">
        <f>IF($W29="","",N29+Q29)</f>
        <v/>
      </c>
      <c r="W29" s="16">
        <f>IF(ROWS($W$2:$W29)&lt;=MAX('Per Line'!$AA$2:$AA$3001),MATCH(ROWS($W$2:$W29),'Per Line'!$AA$2:$AA$3001,0),"")</f>
        <v/>
      </c>
      <c r="X29">
        <f>IF($W29="","",D29&amp;"|"&amp;COUNTIF($D$2:$D29,D29))</f>
        <v/>
      </c>
    </row>
    <row r="30">
      <c r="A30" s="15" t="n"/>
      <c r="B30">
        <f>IF($W30="","",INDEX('Per Line'!$B$2:$B$3001,$W30)&amp;"")</f>
        <v/>
      </c>
      <c r="C30">
        <f>IF($W30="","",INDEX('Per Line'!$C$2:$C$3001,$W30)&amp;"")</f>
        <v/>
      </c>
      <c r="D30">
        <f>IF($W30="","",IF(OR(TRIM(E30)="Orient Insurance Company",TRIM(E30)="Allianz"),TRIM(E30),TRIM(F30)))</f>
        <v/>
      </c>
      <c r="E30">
        <f>IF($W30="","",INDEX('Per Line'!$E$2:$E$3001,$W30)&amp;"")</f>
        <v/>
      </c>
      <c r="F30">
        <f>IF($W30="","",INDEX('Per Line'!$D$2:$D$3001,$W30)&amp;"")</f>
        <v/>
      </c>
      <c r="G30">
        <f>IF($W30="","",INDEX('Per Line'!$F$2:$F$3001,$W30)&amp;"")</f>
        <v/>
      </c>
      <c r="H30">
        <f>IF($W30="","",INDEX('Per Line'!$G$2:$G$3001,$W30)&amp;"")</f>
        <v/>
      </c>
      <c r="I30">
        <f>IF($W30="","",INDEX('Per Line'!$H$2:$H$3001,$W30)&amp;"")</f>
        <v/>
      </c>
      <c r="J30">
        <f>IF($W30="","",INDEX('Per Line'!$I$2:$I$3001,$W30))</f>
        <v/>
      </c>
      <c r="K30" s="7">
        <f>IF($W30="","",J30*T30/100)</f>
        <v/>
      </c>
      <c r="L30" s="14">
        <f>IF($W30="","",INDEX('Per Line'!$V$2:$V$3001,$W30))</f>
        <v/>
      </c>
      <c r="M30">
        <f>IF($W30="","",IF(ISNUMBER(SEARCH("3&amp;12",SUBSTITUTE(F30," ",""))),Settings!$G$7,Settings!$C$7))</f>
        <v/>
      </c>
      <c r="N30" s="7">
        <f>IF($W30="","",SUMIFS('Per Line'!$O$2:$O$3001,'Per Line'!$B$2:$B$3001,$B30,'Per Line'!$AB$2:$AB$3001,0))</f>
        <v/>
      </c>
      <c r="O30" s="7">
        <f>IF($W30="","",N30*M30)</f>
        <v/>
      </c>
      <c r="P30">
        <f>IF($W30="","",IF(ISNUMBER(SEARCH("3&amp;12",SUBSTITUTE(F30," ",""))),Settings!$G$6,Settings!$C$6))</f>
        <v/>
      </c>
      <c r="Q30" s="7">
        <f>IF($W30="","",SUMIFS('Per Line'!$O$2:$O$3001,'Per Line'!$B$2:$B$3001,$B30,'Per Line'!$AB$2:$AB$3001,1))</f>
        <v/>
      </c>
      <c r="R30" s="7">
        <f>IF($W30="","",Q30*P30)</f>
        <v/>
      </c>
      <c r="S30" s="7">
        <f>IF($W30="","",R30+O30)</f>
        <v/>
      </c>
      <c r="T30" s="7">
        <f>IF($W30="","",V30-S30)</f>
        <v/>
      </c>
      <c r="U30" s="7">
        <f>IF($W30="","",V30-S30-K30)</f>
        <v/>
      </c>
      <c r="V30" s="7">
        <f>IF($W30="","",N30+Q30)</f>
        <v/>
      </c>
      <c r="W30" s="16">
        <f>IF(ROWS($W$2:$W30)&lt;=MAX('Per Line'!$AA$2:$AA$3001),MATCH(ROWS($W$2:$W30),'Per Line'!$AA$2:$AA$3001,0),"")</f>
        <v/>
      </c>
      <c r="X30">
        <f>IF($W30="","",D30&amp;"|"&amp;COUNTIF($D$2:$D30,D30))</f>
        <v/>
      </c>
    </row>
    <row r="31">
      <c r="A31" s="15" t="n"/>
      <c r="B31">
        <f>IF($W31="","",INDEX('Per Line'!$B$2:$B$3001,$W31)&amp;"")</f>
        <v/>
      </c>
      <c r="C31">
        <f>IF($W31="","",INDEX('Per Line'!$C$2:$C$3001,$W31)&amp;"")</f>
        <v/>
      </c>
      <c r="D31">
        <f>IF($W31="","",IF(OR(TRIM(E31)="Orient Insurance Company",TRIM(E31)="Allianz"),TRIM(E31),TRIM(F31)))</f>
        <v/>
      </c>
      <c r="E31">
        <f>IF($W31="","",INDEX('Per Line'!$E$2:$E$3001,$W31)&amp;"")</f>
        <v/>
      </c>
      <c r="F31">
        <f>IF($W31="","",INDEX('Per Line'!$D$2:$D$3001,$W31)&amp;"")</f>
        <v/>
      </c>
      <c r="G31">
        <f>IF($W31="","",INDEX('Per Line'!$F$2:$F$3001,$W31)&amp;"")</f>
        <v/>
      </c>
      <c r="H31">
        <f>IF($W31="","",INDEX('Per Line'!$G$2:$G$3001,$W31)&amp;"")</f>
        <v/>
      </c>
      <c r="I31">
        <f>IF($W31="","",INDEX('Per Line'!$H$2:$H$3001,$W31)&amp;"")</f>
        <v/>
      </c>
      <c r="J31">
        <f>IF($W31="","",INDEX('Per Line'!$I$2:$I$3001,$W31))</f>
        <v/>
      </c>
      <c r="K31" s="7">
        <f>IF($W31="","",J31*T31/100)</f>
        <v/>
      </c>
      <c r="L31" s="14">
        <f>IF($W31="","",INDEX('Per Line'!$V$2:$V$3001,$W31))</f>
        <v/>
      </c>
      <c r="M31">
        <f>IF($W31="","",IF(ISNUMBER(SEARCH("3&amp;12",SUBSTITUTE(F31," ",""))),Settings!$G$7,Settings!$C$7))</f>
        <v/>
      </c>
      <c r="N31" s="7">
        <f>IF($W31="","",SUMIFS('Per Line'!$O$2:$O$3001,'Per Line'!$B$2:$B$3001,$B31,'Per Line'!$AB$2:$AB$3001,0))</f>
        <v/>
      </c>
      <c r="O31" s="7">
        <f>IF($W31="","",N31*M31)</f>
        <v/>
      </c>
      <c r="P31">
        <f>IF($W31="","",IF(ISNUMBER(SEARCH("3&amp;12",SUBSTITUTE(F31," ",""))),Settings!$G$6,Settings!$C$6))</f>
        <v/>
      </c>
      <c r="Q31" s="7">
        <f>IF($W31="","",SUMIFS('Per Line'!$O$2:$O$3001,'Per Line'!$B$2:$B$3001,$B31,'Per Line'!$AB$2:$AB$3001,1))</f>
        <v/>
      </c>
      <c r="R31" s="7">
        <f>IF($W31="","",Q31*P31)</f>
        <v/>
      </c>
      <c r="S31" s="7">
        <f>IF($W31="","",R31+O31)</f>
        <v/>
      </c>
      <c r="T31" s="7">
        <f>IF($W31="","",V31-S31)</f>
        <v/>
      </c>
      <c r="U31" s="7">
        <f>IF($W31="","",V31-S31-K31)</f>
        <v/>
      </c>
      <c r="V31" s="7">
        <f>IF($W31="","",N31+Q31)</f>
        <v/>
      </c>
      <c r="W31" s="16">
        <f>IF(ROWS($W$2:$W31)&lt;=MAX('Per Line'!$AA$2:$AA$3001),MATCH(ROWS($W$2:$W31),'Per Line'!$AA$2:$AA$3001,0),"")</f>
        <v/>
      </c>
      <c r="X31">
        <f>IF($W31="","",D31&amp;"|"&amp;COUNTIF($D$2:$D31,D31))</f>
        <v/>
      </c>
    </row>
    <row r="32">
      <c r="A32" s="15" t="n"/>
      <c r="B32">
        <f>IF($W32="","",INDEX('Per Line'!$B$2:$B$3001,$W32)&amp;"")</f>
        <v/>
      </c>
      <c r="C32">
        <f>IF($W32="","",INDEX('Per Line'!$C$2:$C$3001,$W32)&amp;"")</f>
        <v/>
      </c>
      <c r="D32">
        <f>IF($W32="","",IF(OR(TRIM(E32)="Orient Insurance Company",TRIM(E32)="Allianz"),TRIM(E32),TRIM(F32)))</f>
        <v/>
      </c>
      <c r="E32">
        <f>IF($W32="","",INDEX('Per Line'!$E$2:$E$3001,$W32)&amp;"")</f>
        <v/>
      </c>
      <c r="F32">
        <f>IF($W32="","",INDEX('Per Line'!$D$2:$D$3001,$W32)&amp;"")</f>
        <v/>
      </c>
      <c r="G32">
        <f>IF($W32="","",INDEX('Per Line'!$F$2:$F$3001,$W32)&amp;"")</f>
        <v/>
      </c>
      <c r="H32">
        <f>IF($W32="","",INDEX('Per Line'!$G$2:$G$3001,$W32)&amp;"")</f>
        <v/>
      </c>
      <c r="I32">
        <f>IF($W32="","",INDEX('Per Line'!$H$2:$H$3001,$W32)&amp;"")</f>
        <v/>
      </c>
      <c r="J32">
        <f>IF($W32="","",INDEX('Per Line'!$I$2:$I$3001,$W32))</f>
        <v/>
      </c>
      <c r="K32" s="7">
        <f>IF($W32="","",J32*T32/100)</f>
        <v/>
      </c>
      <c r="L32" s="14">
        <f>IF($W32="","",INDEX('Per Line'!$V$2:$V$3001,$W32))</f>
        <v/>
      </c>
      <c r="M32">
        <f>IF($W32="","",IF(ISNUMBER(SEARCH("3&amp;12",SUBSTITUTE(F32," ",""))),Settings!$G$7,Settings!$C$7))</f>
        <v/>
      </c>
      <c r="N32" s="7">
        <f>IF($W32="","",SUMIFS('Per Line'!$O$2:$O$3001,'Per Line'!$B$2:$B$3001,$B32,'Per Line'!$AB$2:$AB$3001,0))</f>
        <v/>
      </c>
      <c r="O32" s="7">
        <f>IF($W32="","",N32*M32)</f>
        <v/>
      </c>
      <c r="P32">
        <f>IF($W32="","",IF(ISNUMBER(SEARCH("3&amp;12",SUBSTITUTE(F32," ",""))),Settings!$G$6,Settings!$C$6))</f>
        <v/>
      </c>
      <c r="Q32" s="7">
        <f>IF($W32="","",SUMIFS('Per Line'!$O$2:$O$3001,'Per Line'!$B$2:$B$3001,$B32,'Per Line'!$AB$2:$AB$3001,1))</f>
        <v/>
      </c>
      <c r="R32" s="7">
        <f>IF($W32="","",Q32*P32)</f>
        <v/>
      </c>
      <c r="S32" s="7">
        <f>IF($W32="","",R32+O32)</f>
        <v/>
      </c>
      <c r="T32" s="7">
        <f>IF($W32="","",V32-S32)</f>
        <v/>
      </c>
      <c r="U32" s="7">
        <f>IF($W32="","",V32-S32-K32)</f>
        <v/>
      </c>
      <c r="V32" s="7">
        <f>IF($W32="","",N32+Q32)</f>
        <v/>
      </c>
      <c r="W32" s="16">
        <f>IF(ROWS($W$2:$W32)&lt;=MAX('Per Line'!$AA$2:$AA$3001),MATCH(ROWS($W$2:$W32),'Per Line'!$AA$2:$AA$3001,0),"")</f>
        <v/>
      </c>
      <c r="X32">
        <f>IF($W32="","",D32&amp;"|"&amp;COUNTIF($D$2:$D32,D32))</f>
        <v/>
      </c>
    </row>
    <row r="33">
      <c r="A33" s="15" t="n"/>
      <c r="B33">
        <f>IF($W33="","",INDEX('Per Line'!$B$2:$B$3001,$W33)&amp;"")</f>
        <v/>
      </c>
      <c r="C33">
        <f>IF($W33="","",INDEX('Per Line'!$C$2:$C$3001,$W33)&amp;"")</f>
        <v/>
      </c>
      <c r="D33">
        <f>IF($W33="","",IF(OR(TRIM(E33)="Orient Insurance Company",TRIM(E33)="Allianz"),TRIM(E33),TRIM(F33)))</f>
        <v/>
      </c>
      <c r="E33">
        <f>IF($W33="","",INDEX('Per Line'!$E$2:$E$3001,$W33)&amp;"")</f>
        <v/>
      </c>
      <c r="F33">
        <f>IF($W33="","",INDEX('Per Line'!$D$2:$D$3001,$W33)&amp;"")</f>
        <v/>
      </c>
      <c r="G33">
        <f>IF($W33="","",INDEX('Per Line'!$F$2:$F$3001,$W33)&amp;"")</f>
        <v/>
      </c>
      <c r="H33">
        <f>IF($W33="","",INDEX('Per Line'!$G$2:$G$3001,$W33)&amp;"")</f>
        <v/>
      </c>
      <c r="I33">
        <f>IF($W33="","",INDEX('Per Line'!$H$2:$H$3001,$W33)&amp;"")</f>
        <v/>
      </c>
      <c r="J33">
        <f>IF($W33="","",INDEX('Per Line'!$I$2:$I$3001,$W33))</f>
        <v/>
      </c>
      <c r="K33" s="7">
        <f>IF($W33="","",J33*T33/100)</f>
        <v/>
      </c>
      <c r="L33" s="14">
        <f>IF($W33="","",INDEX('Per Line'!$V$2:$V$3001,$W33))</f>
        <v/>
      </c>
      <c r="M33">
        <f>IF($W33="","",IF(ISNUMBER(SEARCH("3&amp;12",SUBSTITUTE(F33," ",""))),Settings!$G$7,Settings!$C$7))</f>
        <v/>
      </c>
      <c r="N33" s="7">
        <f>IF($W33="","",SUMIFS('Per Line'!$O$2:$O$3001,'Per Line'!$B$2:$B$3001,$B33,'Per Line'!$AB$2:$AB$3001,0))</f>
        <v/>
      </c>
      <c r="O33" s="7">
        <f>IF($W33="","",N33*M33)</f>
        <v/>
      </c>
      <c r="P33">
        <f>IF($W33="","",IF(ISNUMBER(SEARCH("3&amp;12",SUBSTITUTE(F33," ",""))),Settings!$G$6,Settings!$C$6))</f>
        <v/>
      </c>
      <c r="Q33" s="7">
        <f>IF($W33="","",SUMIFS('Per Line'!$O$2:$O$3001,'Per Line'!$B$2:$B$3001,$B33,'Per Line'!$AB$2:$AB$3001,1))</f>
        <v/>
      </c>
      <c r="R33" s="7">
        <f>IF($W33="","",Q33*P33)</f>
        <v/>
      </c>
      <c r="S33" s="7">
        <f>IF($W33="","",R33+O33)</f>
        <v/>
      </c>
      <c r="T33" s="7">
        <f>IF($W33="","",V33-S33)</f>
        <v/>
      </c>
      <c r="U33" s="7">
        <f>IF($W33="","",V33-S33-K33)</f>
        <v/>
      </c>
      <c r="V33" s="7">
        <f>IF($W33="","",N33+Q33)</f>
        <v/>
      </c>
      <c r="W33" s="16">
        <f>IF(ROWS($W$2:$W33)&lt;=MAX('Per Line'!$AA$2:$AA$3001),MATCH(ROWS($W$2:$W33),'Per Line'!$AA$2:$AA$3001,0),"")</f>
        <v/>
      </c>
      <c r="X33">
        <f>IF($W33="","",D33&amp;"|"&amp;COUNTIF($D$2:$D33,D33))</f>
        <v/>
      </c>
    </row>
    <row r="34">
      <c r="A34" s="15" t="n"/>
      <c r="B34">
        <f>IF($W34="","",INDEX('Per Line'!$B$2:$B$3001,$W34)&amp;"")</f>
        <v/>
      </c>
      <c r="C34">
        <f>IF($W34="","",INDEX('Per Line'!$C$2:$C$3001,$W34)&amp;"")</f>
        <v/>
      </c>
      <c r="D34">
        <f>IF($W34="","",IF(OR(TRIM(E34)="Orient Insurance Company",TRIM(E34)="Allianz"),TRIM(E34),TRIM(F34)))</f>
        <v/>
      </c>
      <c r="E34">
        <f>IF($W34="","",INDEX('Per Line'!$E$2:$E$3001,$W34)&amp;"")</f>
        <v/>
      </c>
      <c r="F34">
        <f>IF($W34="","",INDEX('Per Line'!$D$2:$D$3001,$W34)&amp;"")</f>
        <v/>
      </c>
      <c r="G34">
        <f>IF($W34="","",INDEX('Per Line'!$F$2:$F$3001,$W34)&amp;"")</f>
        <v/>
      </c>
      <c r="H34">
        <f>IF($W34="","",INDEX('Per Line'!$G$2:$G$3001,$W34)&amp;"")</f>
        <v/>
      </c>
      <c r="I34">
        <f>IF($W34="","",INDEX('Per Line'!$H$2:$H$3001,$W34)&amp;"")</f>
        <v/>
      </c>
      <c r="J34">
        <f>IF($W34="","",INDEX('Per Line'!$I$2:$I$3001,$W34))</f>
        <v/>
      </c>
      <c r="K34" s="7">
        <f>IF($W34="","",J34*T34/100)</f>
        <v/>
      </c>
      <c r="L34" s="14">
        <f>IF($W34="","",INDEX('Per Line'!$V$2:$V$3001,$W34))</f>
        <v/>
      </c>
      <c r="M34">
        <f>IF($W34="","",IF(ISNUMBER(SEARCH("3&amp;12",SUBSTITUTE(F34," ",""))),Settings!$G$7,Settings!$C$7))</f>
        <v/>
      </c>
      <c r="N34" s="7">
        <f>IF($W34="","",SUMIFS('Per Line'!$O$2:$O$3001,'Per Line'!$B$2:$B$3001,$B34,'Per Line'!$AB$2:$AB$3001,0))</f>
        <v/>
      </c>
      <c r="O34" s="7">
        <f>IF($W34="","",N34*M34)</f>
        <v/>
      </c>
      <c r="P34">
        <f>IF($W34="","",IF(ISNUMBER(SEARCH("3&amp;12",SUBSTITUTE(F34," ",""))),Settings!$G$6,Settings!$C$6))</f>
        <v/>
      </c>
      <c r="Q34" s="7">
        <f>IF($W34="","",SUMIFS('Per Line'!$O$2:$O$3001,'Per Line'!$B$2:$B$3001,$B34,'Per Line'!$AB$2:$AB$3001,1))</f>
        <v/>
      </c>
      <c r="R34" s="7">
        <f>IF($W34="","",Q34*P34)</f>
        <v/>
      </c>
      <c r="S34" s="7">
        <f>IF($W34="","",R34+O34)</f>
        <v/>
      </c>
      <c r="T34" s="7">
        <f>IF($W34="","",V34-S34)</f>
        <v/>
      </c>
      <c r="U34" s="7">
        <f>IF($W34="","",V34-S34-K34)</f>
        <v/>
      </c>
      <c r="V34" s="7">
        <f>IF($W34="","",N34+Q34)</f>
        <v/>
      </c>
      <c r="W34" s="16">
        <f>IF(ROWS($W$2:$W34)&lt;=MAX('Per Line'!$AA$2:$AA$3001),MATCH(ROWS($W$2:$W34),'Per Line'!$AA$2:$AA$3001,0),"")</f>
        <v/>
      </c>
      <c r="X34">
        <f>IF($W34="","",D34&amp;"|"&amp;COUNTIF($D$2:$D34,D34))</f>
        <v/>
      </c>
    </row>
    <row r="35">
      <c r="A35" s="15" t="n"/>
      <c r="B35">
        <f>IF($W35="","",INDEX('Per Line'!$B$2:$B$3001,$W35)&amp;"")</f>
        <v/>
      </c>
      <c r="C35">
        <f>IF($W35="","",INDEX('Per Line'!$C$2:$C$3001,$W35)&amp;"")</f>
        <v/>
      </c>
      <c r="D35">
        <f>IF($W35="","",IF(OR(TRIM(E35)="Orient Insurance Company",TRIM(E35)="Allianz"),TRIM(E35),TRIM(F35)))</f>
        <v/>
      </c>
      <c r="E35">
        <f>IF($W35="","",INDEX('Per Line'!$E$2:$E$3001,$W35)&amp;"")</f>
        <v/>
      </c>
      <c r="F35">
        <f>IF($W35="","",INDEX('Per Line'!$D$2:$D$3001,$W35)&amp;"")</f>
        <v/>
      </c>
      <c r="G35">
        <f>IF($W35="","",INDEX('Per Line'!$F$2:$F$3001,$W35)&amp;"")</f>
        <v/>
      </c>
      <c r="H35">
        <f>IF($W35="","",INDEX('Per Line'!$G$2:$G$3001,$W35)&amp;"")</f>
        <v/>
      </c>
      <c r="I35">
        <f>IF($W35="","",INDEX('Per Line'!$H$2:$H$3001,$W35)&amp;"")</f>
        <v/>
      </c>
      <c r="J35">
        <f>IF($W35="","",INDEX('Per Line'!$I$2:$I$3001,$W35))</f>
        <v/>
      </c>
      <c r="K35" s="7">
        <f>IF($W35="","",J35*T35/100)</f>
        <v/>
      </c>
      <c r="L35" s="14">
        <f>IF($W35="","",INDEX('Per Line'!$V$2:$V$3001,$W35))</f>
        <v/>
      </c>
      <c r="M35">
        <f>IF($W35="","",IF(ISNUMBER(SEARCH("3&amp;12",SUBSTITUTE(F35," ",""))),Settings!$G$7,Settings!$C$7))</f>
        <v/>
      </c>
      <c r="N35" s="7">
        <f>IF($W35="","",SUMIFS('Per Line'!$O$2:$O$3001,'Per Line'!$B$2:$B$3001,$B35,'Per Line'!$AB$2:$AB$3001,0))</f>
        <v/>
      </c>
      <c r="O35" s="7">
        <f>IF($W35="","",N35*M35)</f>
        <v/>
      </c>
      <c r="P35">
        <f>IF($W35="","",IF(ISNUMBER(SEARCH("3&amp;12",SUBSTITUTE(F35," ",""))),Settings!$G$6,Settings!$C$6))</f>
        <v/>
      </c>
      <c r="Q35" s="7">
        <f>IF($W35="","",SUMIFS('Per Line'!$O$2:$O$3001,'Per Line'!$B$2:$B$3001,$B35,'Per Line'!$AB$2:$AB$3001,1))</f>
        <v/>
      </c>
      <c r="R35" s="7">
        <f>IF($W35="","",Q35*P35)</f>
        <v/>
      </c>
      <c r="S35" s="7">
        <f>IF($W35="","",R35+O35)</f>
        <v/>
      </c>
      <c r="T35" s="7">
        <f>IF($W35="","",V35-S35)</f>
        <v/>
      </c>
      <c r="U35" s="7">
        <f>IF($W35="","",V35-S35-K35)</f>
        <v/>
      </c>
      <c r="V35" s="7">
        <f>IF($W35="","",N35+Q35)</f>
        <v/>
      </c>
      <c r="W35" s="16">
        <f>IF(ROWS($W$2:$W35)&lt;=MAX('Per Line'!$AA$2:$AA$3001),MATCH(ROWS($W$2:$W35),'Per Line'!$AA$2:$AA$3001,0),"")</f>
        <v/>
      </c>
      <c r="X35">
        <f>IF($W35="","",D35&amp;"|"&amp;COUNTIF($D$2:$D35,D35))</f>
        <v/>
      </c>
    </row>
    <row r="36">
      <c r="A36" s="15" t="n"/>
      <c r="B36">
        <f>IF($W36="","",INDEX('Per Line'!$B$2:$B$3001,$W36)&amp;"")</f>
        <v/>
      </c>
      <c r="C36">
        <f>IF($W36="","",INDEX('Per Line'!$C$2:$C$3001,$W36)&amp;"")</f>
        <v/>
      </c>
      <c r="D36">
        <f>IF($W36="","",IF(OR(TRIM(E36)="Orient Insurance Company",TRIM(E36)="Allianz"),TRIM(E36),TRIM(F36)))</f>
        <v/>
      </c>
      <c r="E36">
        <f>IF($W36="","",INDEX('Per Line'!$E$2:$E$3001,$W36)&amp;"")</f>
        <v/>
      </c>
      <c r="F36">
        <f>IF($W36="","",INDEX('Per Line'!$D$2:$D$3001,$W36)&amp;"")</f>
        <v/>
      </c>
      <c r="G36">
        <f>IF($W36="","",INDEX('Per Line'!$F$2:$F$3001,$W36)&amp;"")</f>
        <v/>
      </c>
      <c r="H36">
        <f>IF($W36="","",INDEX('Per Line'!$G$2:$G$3001,$W36)&amp;"")</f>
        <v/>
      </c>
      <c r="I36">
        <f>IF($W36="","",INDEX('Per Line'!$H$2:$H$3001,$W36)&amp;"")</f>
        <v/>
      </c>
      <c r="J36">
        <f>IF($W36="","",INDEX('Per Line'!$I$2:$I$3001,$W36))</f>
        <v/>
      </c>
      <c r="K36" s="7">
        <f>IF($W36="","",J36*T36/100)</f>
        <v/>
      </c>
      <c r="L36" s="14">
        <f>IF($W36="","",INDEX('Per Line'!$V$2:$V$3001,$W36))</f>
        <v/>
      </c>
      <c r="M36">
        <f>IF($W36="","",IF(ISNUMBER(SEARCH("3&amp;12",SUBSTITUTE(F36," ",""))),Settings!$G$7,Settings!$C$7))</f>
        <v/>
      </c>
      <c r="N36" s="7">
        <f>IF($W36="","",SUMIFS('Per Line'!$O$2:$O$3001,'Per Line'!$B$2:$B$3001,$B36,'Per Line'!$AB$2:$AB$3001,0))</f>
        <v/>
      </c>
      <c r="O36" s="7">
        <f>IF($W36="","",N36*M36)</f>
        <v/>
      </c>
      <c r="P36">
        <f>IF($W36="","",IF(ISNUMBER(SEARCH("3&amp;12",SUBSTITUTE(F36," ",""))),Settings!$G$6,Settings!$C$6))</f>
        <v/>
      </c>
      <c r="Q36" s="7">
        <f>IF($W36="","",SUMIFS('Per Line'!$O$2:$O$3001,'Per Line'!$B$2:$B$3001,$B36,'Per Line'!$AB$2:$AB$3001,1))</f>
        <v/>
      </c>
      <c r="R36" s="7">
        <f>IF($W36="","",Q36*P36)</f>
        <v/>
      </c>
      <c r="S36" s="7">
        <f>IF($W36="","",R36+O36)</f>
        <v/>
      </c>
      <c r="T36" s="7">
        <f>IF($W36="","",V36-S36)</f>
        <v/>
      </c>
      <c r="U36" s="7">
        <f>IF($W36="","",V36-S36-K36)</f>
        <v/>
      </c>
      <c r="V36" s="7">
        <f>IF($W36="","",N36+Q36)</f>
        <v/>
      </c>
      <c r="W36" s="16">
        <f>IF(ROWS($W$2:$W36)&lt;=MAX('Per Line'!$AA$2:$AA$3001),MATCH(ROWS($W$2:$W36),'Per Line'!$AA$2:$AA$3001,0),"")</f>
        <v/>
      </c>
      <c r="X36">
        <f>IF($W36="","",D36&amp;"|"&amp;COUNTIF($D$2:$D36,D36))</f>
        <v/>
      </c>
    </row>
    <row r="37">
      <c r="A37" s="15" t="n"/>
      <c r="B37">
        <f>IF($W37="","",INDEX('Per Line'!$B$2:$B$3001,$W37)&amp;"")</f>
        <v/>
      </c>
      <c r="C37">
        <f>IF($W37="","",INDEX('Per Line'!$C$2:$C$3001,$W37)&amp;"")</f>
        <v/>
      </c>
      <c r="D37">
        <f>IF($W37="","",IF(OR(TRIM(E37)="Orient Insurance Company",TRIM(E37)="Allianz"),TRIM(E37),TRIM(F37)))</f>
        <v/>
      </c>
      <c r="E37">
        <f>IF($W37="","",INDEX('Per Line'!$E$2:$E$3001,$W37)&amp;"")</f>
        <v/>
      </c>
      <c r="F37">
        <f>IF($W37="","",INDEX('Per Line'!$D$2:$D$3001,$W37)&amp;"")</f>
        <v/>
      </c>
      <c r="G37">
        <f>IF($W37="","",INDEX('Per Line'!$F$2:$F$3001,$W37)&amp;"")</f>
        <v/>
      </c>
      <c r="H37">
        <f>IF($W37="","",INDEX('Per Line'!$G$2:$G$3001,$W37)&amp;"")</f>
        <v/>
      </c>
      <c r="I37">
        <f>IF($W37="","",INDEX('Per Line'!$H$2:$H$3001,$W37)&amp;"")</f>
        <v/>
      </c>
      <c r="J37">
        <f>IF($W37="","",INDEX('Per Line'!$I$2:$I$3001,$W37))</f>
        <v/>
      </c>
      <c r="K37" s="7">
        <f>IF($W37="","",J37*T37/100)</f>
        <v/>
      </c>
      <c r="L37" s="14">
        <f>IF($W37="","",INDEX('Per Line'!$V$2:$V$3001,$W37))</f>
        <v/>
      </c>
      <c r="M37">
        <f>IF($W37="","",IF(ISNUMBER(SEARCH("3&amp;12",SUBSTITUTE(F37," ",""))),Settings!$G$7,Settings!$C$7))</f>
        <v/>
      </c>
      <c r="N37" s="7">
        <f>IF($W37="","",SUMIFS('Per Line'!$O$2:$O$3001,'Per Line'!$B$2:$B$3001,$B37,'Per Line'!$AB$2:$AB$3001,0))</f>
        <v/>
      </c>
      <c r="O37" s="7">
        <f>IF($W37="","",N37*M37)</f>
        <v/>
      </c>
      <c r="P37">
        <f>IF($W37="","",IF(ISNUMBER(SEARCH("3&amp;12",SUBSTITUTE(F37," ",""))),Settings!$G$6,Settings!$C$6))</f>
        <v/>
      </c>
      <c r="Q37" s="7">
        <f>IF($W37="","",SUMIFS('Per Line'!$O$2:$O$3001,'Per Line'!$B$2:$B$3001,$B37,'Per Line'!$AB$2:$AB$3001,1))</f>
        <v/>
      </c>
      <c r="R37" s="7">
        <f>IF($W37="","",Q37*P37)</f>
        <v/>
      </c>
      <c r="S37" s="7">
        <f>IF($W37="","",R37+O37)</f>
        <v/>
      </c>
      <c r="T37" s="7">
        <f>IF($W37="","",V37-S37)</f>
        <v/>
      </c>
      <c r="U37" s="7">
        <f>IF($W37="","",V37-S37-K37)</f>
        <v/>
      </c>
      <c r="V37" s="7">
        <f>IF($W37="","",N37+Q37)</f>
        <v/>
      </c>
      <c r="W37" s="16">
        <f>IF(ROWS($W$2:$W37)&lt;=MAX('Per Line'!$AA$2:$AA$3001),MATCH(ROWS($W$2:$W37),'Per Line'!$AA$2:$AA$3001,0),"")</f>
        <v/>
      </c>
      <c r="X37">
        <f>IF($W37="","",D37&amp;"|"&amp;COUNTIF($D$2:$D37,D37))</f>
        <v/>
      </c>
    </row>
    <row r="38">
      <c r="A38" s="15" t="n"/>
      <c r="B38">
        <f>IF($W38="","",INDEX('Per Line'!$B$2:$B$3001,$W38)&amp;"")</f>
        <v/>
      </c>
      <c r="C38">
        <f>IF($W38="","",INDEX('Per Line'!$C$2:$C$3001,$W38)&amp;"")</f>
        <v/>
      </c>
      <c r="D38">
        <f>IF($W38="","",IF(OR(TRIM(E38)="Orient Insurance Company",TRIM(E38)="Allianz"),TRIM(E38),TRIM(F38)))</f>
        <v/>
      </c>
      <c r="E38">
        <f>IF($W38="","",INDEX('Per Line'!$E$2:$E$3001,$W38)&amp;"")</f>
        <v/>
      </c>
      <c r="F38">
        <f>IF($W38="","",INDEX('Per Line'!$D$2:$D$3001,$W38)&amp;"")</f>
        <v/>
      </c>
      <c r="G38">
        <f>IF($W38="","",INDEX('Per Line'!$F$2:$F$3001,$W38)&amp;"")</f>
        <v/>
      </c>
      <c r="H38">
        <f>IF($W38="","",INDEX('Per Line'!$G$2:$G$3001,$W38)&amp;"")</f>
        <v/>
      </c>
      <c r="I38">
        <f>IF($W38="","",INDEX('Per Line'!$H$2:$H$3001,$W38)&amp;"")</f>
        <v/>
      </c>
      <c r="J38">
        <f>IF($W38="","",INDEX('Per Line'!$I$2:$I$3001,$W38))</f>
        <v/>
      </c>
      <c r="K38" s="7">
        <f>IF($W38="","",J38*T38/100)</f>
        <v/>
      </c>
      <c r="L38" s="14">
        <f>IF($W38="","",INDEX('Per Line'!$V$2:$V$3001,$W38))</f>
        <v/>
      </c>
      <c r="M38">
        <f>IF($W38="","",IF(ISNUMBER(SEARCH("3&amp;12",SUBSTITUTE(F38," ",""))),Settings!$G$7,Settings!$C$7))</f>
        <v/>
      </c>
      <c r="N38" s="7">
        <f>IF($W38="","",SUMIFS('Per Line'!$O$2:$O$3001,'Per Line'!$B$2:$B$3001,$B38,'Per Line'!$AB$2:$AB$3001,0))</f>
        <v/>
      </c>
      <c r="O38" s="7">
        <f>IF($W38="","",N38*M38)</f>
        <v/>
      </c>
      <c r="P38">
        <f>IF($W38="","",IF(ISNUMBER(SEARCH("3&amp;12",SUBSTITUTE(F38," ",""))),Settings!$G$6,Settings!$C$6))</f>
        <v/>
      </c>
      <c r="Q38" s="7">
        <f>IF($W38="","",SUMIFS('Per Line'!$O$2:$O$3001,'Per Line'!$B$2:$B$3001,$B38,'Per Line'!$AB$2:$AB$3001,1))</f>
        <v/>
      </c>
      <c r="R38" s="7">
        <f>IF($W38="","",Q38*P38)</f>
        <v/>
      </c>
      <c r="S38" s="7">
        <f>IF($W38="","",R38+O38)</f>
        <v/>
      </c>
      <c r="T38" s="7">
        <f>IF($W38="","",V38-S38)</f>
        <v/>
      </c>
      <c r="U38" s="7">
        <f>IF($W38="","",V38-S38-K38)</f>
        <v/>
      </c>
      <c r="V38" s="7">
        <f>IF($W38="","",N38+Q38)</f>
        <v/>
      </c>
      <c r="W38" s="16">
        <f>IF(ROWS($W$2:$W38)&lt;=MAX('Per Line'!$AA$2:$AA$3001),MATCH(ROWS($W$2:$W38),'Per Line'!$AA$2:$AA$3001,0),"")</f>
        <v/>
      </c>
      <c r="X38">
        <f>IF($W38="","",D38&amp;"|"&amp;COUNTIF($D$2:$D38,D38))</f>
        <v/>
      </c>
    </row>
    <row r="39">
      <c r="A39" s="15" t="n"/>
      <c r="B39">
        <f>IF($W39="","",INDEX('Per Line'!$B$2:$B$3001,$W39)&amp;"")</f>
        <v/>
      </c>
      <c r="C39">
        <f>IF($W39="","",INDEX('Per Line'!$C$2:$C$3001,$W39)&amp;"")</f>
        <v/>
      </c>
      <c r="D39">
        <f>IF($W39="","",IF(OR(TRIM(E39)="Orient Insurance Company",TRIM(E39)="Allianz"),TRIM(E39),TRIM(F39)))</f>
        <v/>
      </c>
      <c r="E39">
        <f>IF($W39="","",INDEX('Per Line'!$E$2:$E$3001,$W39)&amp;"")</f>
        <v/>
      </c>
      <c r="F39">
        <f>IF($W39="","",INDEX('Per Line'!$D$2:$D$3001,$W39)&amp;"")</f>
        <v/>
      </c>
      <c r="G39">
        <f>IF($W39="","",INDEX('Per Line'!$F$2:$F$3001,$W39)&amp;"")</f>
        <v/>
      </c>
      <c r="H39">
        <f>IF($W39="","",INDEX('Per Line'!$G$2:$G$3001,$W39)&amp;"")</f>
        <v/>
      </c>
      <c r="I39">
        <f>IF($W39="","",INDEX('Per Line'!$H$2:$H$3001,$W39)&amp;"")</f>
        <v/>
      </c>
      <c r="J39">
        <f>IF($W39="","",INDEX('Per Line'!$I$2:$I$3001,$W39))</f>
        <v/>
      </c>
      <c r="K39" s="7">
        <f>IF($W39="","",J39*T39/100)</f>
        <v/>
      </c>
      <c r="L39" s="14">
        <f>IF($W39="","",INDEX('Per Line'!$V$2:$V$3001,$W39))</f>
        <v/>
      </c>
      <c r="M39">
        <f>IF($W39="","",IF(ISNUMBER(SEARCH("3&amp;12",SUBSTITUTE(F39," ",""))),Settings!$G$7,Settings!$C$7))</f>
        <v/>
      </c>
      <c r="N39" s="7">
        <f>IF($W39="","",SUMIFS('Per Line'!$O$2:$O$3001,'Per Line'!$B$2:$B$3001,$B39,'Per Line'!$AB$2:$AB$3001,0))</f>
        <v/>
      </c>
      <c r="O39" s="7">
        <f>IF($W39="","",N39*M39)</f>
        <v/>
      </c>
      <c r="P39">
        <f>IF($W39="","",IF(ISNUMBER(SEARCH("3&amp;12",SUBSTITUTE(F39," ",""))),Settings!$G$6,Settings!$C$6))</f>
        <v/>
      </c>
      <c r="Q39" s="7">
        <f>IF($W39="","",SUMIFS('Per Line'!$O$2:$O$3001,'Per Line'!$B$2:$B$3001,$B39,'Per Line'!$AB$2:$AB$3001,1))</f>
        <v/>
      </c>
      <c r="R39" s="7">
        <f>IF($W39="","",Q39*P39)</f>
        <v/>
      </c>
      <c r="S39" s="7">
        <f>IF($W39="","",R39+O39)</f>
        <v/>
      </c>
      <c r="T39" s="7">
        <f>IF($W39="","",V39-S39)</f>
        <v/>
      </c>
      <c r="U39" s="7">
        <f>IF($W39="","",V39-S39-K39)</f>
        <v/>
      </c>
      <c r="V39" s="7">
        <f>IF($W39="","",N39+Q39)</f>
        <v/>
      </c>
      <c r="W39" s="16">
        <f>IF(ROWS($W$2:$W39)&lt;=MAX('Per Line'!$AA$2:$AA$3001),MATCH(ROWS($W$2:$W39),'Per Line'!$AA$2:$AA$3001,0),"")</f>
        <v/>
      </c>
      <c r="X39">
        <f>IF($W39="","",D39&amp;"|"&amp;COUNTIF($D$2:$D39,D39))</f>
        <v/>
      </c>
    </row>
    <row r="40">
      <c r="A40" s="15" t="n"/>
      <c r="B40">
        <f>IF($W40="","",INDEX('Per Line'!$B$2:$B$3001,$W40)&amp;"")</f>
        <v/>
      </c>
      <c r="C40">
        <f>IF($W40="","",INDEX('Per Line'!$C$2:$C$3001,$W40)&amp;"")</f>
        <v/>
      </c>
      <c r="D40">
        <f>IF($W40="","",IF(OR(TRIM(E40)="Orient Insurance Company",TRIM(E40)="Allianz"),TRIM(E40),TRIM(F40)))</f>
        <v/>
      </c>
      <c r="E40">
        <f>IF($W40="","",INDEX('Per Line'!$E$2:$E$3001,$W40)&amp;"")</f>
        <v/>
      </c>
      <c r="F40">
        <f>IF($W40="","",INDEX('Per Line'!$D$2:$D$3001,$W40)&amp;"")</f>
        <v/>
      </c>
      <c r="G40">
        <f>IF($W40="","",INDEX('Per Line'!$F$2:$F$3001,$W40)&amp;"")</f>
        <v/>
      </c>
      <c r="H40">
        <f>IF($W40="","",INDEX('Per Line'!$G$2:$G$3001,$W40)&amp;"")</f>
        <v/>
      </c>
      <c r="I40">
        <f>IF($W40="","",INDEX('Per Line'!$H$2:$H$3001,$W40)&amp;"")</f>
        <v/>
      </c>
      <c r="J40">
        <f>IF($W40="","",INDEX('Per Line'!$I$2:$I$3001,$W40))</f>
        <v/>
      </c>
      <c r="K40" s="7">
        <f>IF($W40="","",J40*T40/100)</f>
        <v/>
      </c>
      <c r="L40" s="14">
        <f>IF($W40="","",INDEX('Per Line'!$V$2:$V$3001,$W40))</f>
        <v/>
      </c>
      <c r="M40">
        <f>IF($W40="","",IF(ISNUMBER(SEARCH("3&amp;12",SUBSTITUTE(F40," ",""))),Settings!$G$7,Settings!$C$7))</f>
        <v/>
      </c>
      <c r="N40" s="7">
        <f>IF($W40="","",SUMIFS('Per Line'!$O$2:$O$3001,'Per Line'!$B$2:$B$3001,$B40,'Per Line'!$AB$2:$AB$3001,0))</f>
        <v/>
      </c>
      <c r="O40" s="7">
        <f>IF($W40="","",N40*M40)</f>
        <v/>
      </c>
      <c r="P40">
        <f>IF($W40="","",IF(ISNUMBER(SEARCH("3&amp;12",SUBSTITUTE(F40," ",""))),Settings!$G$6,Settings!$C$6))</f>
        <v/>
      </c>
      <c r="Q40" s="7">
        <f>IF($W40="","",SUMIFS('Per Line'!$O$2:$O$3001,'Per Line'!$B$2:$B$3001,$B40,'Per Line'!$AB$2:$AB$3001,1))</f>
        <v/>
      </c>
      <c r="R40" s="7">
        <f>IF($W40="","",Q40*P40)</f>
        <v/>
      </c>
      <c r="S40" s="7">
        <f>IF($W40="","",R40+O40)</f>
        <v/>
      </c>
      <c r="T40" s="7">
        <f>IF($W40="","",V40-S40)</f>
        <v/>
      </c>
      <c r="U40" s="7">
        <f>IF($W40="","",V40-S40-K40)</f>
        <v/>
      </c>
      <c r="V40" s="7">
        <f>IF($W40="","",N40+Q40)</f>
        <v/>
      </c>
      <c r="W40" s="16">
        <f>IF(ROWS($W$2:$W40)&lt;=MAX('Per Line'!$AA$2:$AA$3001),MATCH(ROWS($W$2:$W40),'Per Line'!$AA$2:$AA$3001,0),"")</f>
        <v/>
      </c>
      <c r="X40">
        <f>IF($W40="","",D40&amp;"|"&amp;COUNTIF($D$2:$D40,D40))</f>
        <v/>
      </c>
    </row>
    <row r="41">
      <c r="A41" s="15" t="n"/>
      <c r="B41">
        <f>IF($W41="","",INDEX('Per Line'!$B$2:$B$3001,$W41)&amp;"")</f>
        <v/>
      </c>
      <c r="C41">
        <f>IF($W41="","",INDEX('Per Line'!$C$2:$C$3001,$W41)&amp;"")</f>
        <v/>
      </c>
      <c r="D41">
        <f>IF($W41="","",IF(OR(TRIM(E41)="Orient Insurance Company",TRIM(E41)="Allianz"),TRIM(E41),TRIM(F41)))</f>
        <v/>
      </c>
      <c r="E41">
        <f>IF($W41="","",INDEX('Per Line'!$E$2:$E$3001,$W41)&amp;"")</f>
        <v/>
      </c>
      <c r="F41">
        <f>IF($W41="","",INDEX('Per Line'!$D$2:$D$3001,$W41)&amp;"")</f>
        <v/>
      </c>
      <c r="G41">
        <f>IF($W41="","",INDEX('Per Line'!$F$2:$F$3001,$W41)&amp;"")</f>
        <v/>
      </c>
      <c r="H41">
        <f>IF($W41="","",INDEX('Per Line'!$G$2:$G$3001,$W41)&amp;"")</f>
        <v/>
      </c>
      <c r="I41">
        <f>IF($W41="","",INDEX('Per Line'!$H$2:$H$3001,$W41)&amp;"")</f>
        <v/>
      </c>
      <c r="J41">
        <f>IF($W41="","",INDEX('Per Line'!$I$2:$I$3001,$W41))</f>
        <v/>
      </c>
      <c r="K41" s="7">
        <f>IF($W41="","",J41*T41/100)</f>
        <v/>
      </c>
      <c r="L41" s="14">
        <f>IF($W41="","",INDEX('Per Line'!$V$2:$V$3001,$W41))</f>
        <v/>
      </c>
      <c r="M41">
        <f>IF($W41="","",IF(ISNUMBER(SEARCH("3&amp;12",SUBSTITUTE(F41," ",""))),Settings!$G$7,Settings!$C$7))</f>
        <v/>
      </c>
      <c r="N41" s="7">
        <f>IF($W41="","",SUMIFS('Per Line'!$O$2:$O$3001,'Per Line'!$B$2:$B$3001,$B41,'Per Line'!$AB$2:$AB$3001,0))</f>
        <v/>
      </c>
      <c r="O41" s="7">
        <f>IF($W41="","",N41*M41)</f>
        <v/>
      </c>
      <c r="P41">
        <f>IF($W41="","",IF(ISNUMBER(SEARCH("3&amp;12",SUBSTITUTE(F41," ",""))),Settings!$G$6,Settings!$C$6))</f>
        <v/>
      </c>
      <c r="Q41" s="7">
        <f>IF($W41="","",SUMIFS('Per Line'!$O$2:$O$3001,'Per Line'!$B$2:$B$3001,$B41,'Per Line'!$AB$2:$AB$3001,1))</f>
        <v/>
      </c>
      <c r="R41" s="7">
        <f>IF($W41="","",Q41*P41)</f>
        <v/>
      </c>
      <c r="S41" s="7">
        <f>IF($W41="","",R41+O41)</f>
        <v/>
      </c>
      <c r="T41" s="7">
        <f>IF($W41="","",V41-S41)</f>
        <v/>
      </c>
      <c r="U41" s="7">
        <f>IF($W41="","",V41-S41-K41)</f>
        <v/>
      </c>
      <c r="V41" s="7">
        <f>IF($W41="","",N41+Q41)</f>
        <v/>
      </c>
      <c r="W41" s="16">
        <f>IF(ROWS($W$2:$W41)&lt;=MAX('Per Line'!$AA$2:$AA$3001),MATCH(ROWS($W$2:$W41),'Per Line'!$AA$2:$AA$3001,0),"")</f>
        <v/>
      </c>
      <c r="X41">
        <f>IF($W41="","",D41&amp;"|"&amp;COUNTIF($D$2:$D41,D41))</f>
        <v/>
      </c>
    </row>
    <row r="42">
      <c r="A42" s="15" t="n"/>
      <c r="B42">
        <f>IF($W42="","",INDEX('Per Line'!$B$2:$B$3001,$W42)&amp;"")</f>
        <v/>
      </c>
      <c r="C42">
        <f>IF($W42="","",INDEX('Per Line'!$C$2:$C$3001,$W42)&amp;"")</f>
        <v/>
      </c>
      <c r="D42">
        <f>IF($W42="","",IF(OR(TRIM(E42)="Orient Insurance Company",TRIM(E42)="Allianz"),TRIM(E42),TRIM(F42)))</f>
        <v/>
      </c>
      <c r="E42">
        <f>IF($W42="","",INDEX('Per Line'!$E$2:$E$3001,$W42)&amp;"")</f>
        <v/>
      </c>
      <c r="F42">
        <f>IF($W42="","",INDEX('Per Line'!$D$2:$D$3001,$W42)&amp;"")</f>
        <v/>
      </c>
      <c r="G42">
        <f>IF($W42="","",INDEX('Per Line'!$F$2:$F$3001,$W42)&amp;"")</f>
        <v/>
      </c>
      <c r="H42">
        <f>IF($W42="","",INDEX('Per Line'!$G$2:$G$3001,$W42)&amp;"")</f>
        <v/>
      </c>
      <c r="I42">
        <f>IF($W42="","",INDEX('Per Line'!$H$2:$H$3001,$W42)&amp;"")</f>
        <v/>
      </c>
      <c r="J42">
        <f>IF($W42="","",INDEX('Per Line'!$I$2:$I$3001,$W42))</f>
        <v/>
      </c>
      <c r="K42" s="7">
        <f>IF($W42="","",J42*T42/100)</f>
        <v/>
      </c>
      <c r="L42" s="14">
        <f>IF($W42="","",INDEX('Per Line'!$V$2:$V$3001,$W42))</f>
        <v/>
      </c>
      <c r="M42">
        <f>IF($W42="","",IF(ISNUMBER(SEARCH("3&amp;12",SUBSTITUTE(F42," ",""))),Settings!$G$7,Settings!$C$7))</f>
        <v/>
      </c>
      <c r="N42" s="7">
        <f>IF($W42="","",SUMIFS('Per Line'!$O$2:$O$3001,'Per Line'!$B$2:$B$3001,$B42,'Per Line'!$AB$2:$AB$3001,0))</f>
        <v/>
      </c>
      <c r="O42" s="7">
        <f>IF($W42="","",N42*M42)</f>
        <v/>
      </c>
      <c r="P42">
        <f>IF($W42="","",IF(ISNUMBER(SEARCH("3&amp;12",SUBSTITUTE(F42," ",""))),Settings!$G$6,Settings!$C$6))</f>
        <v/>
      </c>
      <c r="Q42" s="7">
        <f>IF($W42="","",SUMIFS('Per Line'!$O$2:$O$3001,'Per Line'!$B$2:$B$3001,$B42,'Per Line'!$AB$2:$AB$3001,1))</f>
        <v/>
      </c>
      <c r="R42" s="7">
        <f>IF($W42="","",Q42*P42)</f>
        <v/>
      </c>
      <c r="S42" s="7">
        <f>IF($W42="","",R42+O42)</f>
        <v/>
      </c>
      <c r="T42" s="7">
        <f>IF($W42="","",V42-S42)</f>
        <v/>
      </c>
      <c r="U42" s="7">
        <f>IF($W42="","",V42-S42-K42)</f>
        <v/>
      </c>
      <c r="V42" s="7">
        <f>IF($W42="","",N42+Q42)</f>
        <v/>
      </c>
      <c r="W42" s="16">
        <f>IF(ROWS($W$2:$W42)&lt;=MAX('Per Line'!$AA$2:$AA$3001),MATCH(ROWS($W$2:$W42),'Per Line'!$AA$2:$AA$3001,0),"")</f>
        <v/>
      </c>
      <c r="X42">
        <f>IF($W42="","",D42&amp;"|"&amp;COUNTIF($D$2:$D42,D42))</f>
        <v/>
      </c>
    </row>
    <row r="43">
      <c r="A43" s="15" t="n"/>
      <c r="B43">
        <f>IF($W43="","",INDEX('Per Line'!$B$2:$B$3001,$W43)&amp;"")</f>
        <v/>
      </c>
      <c r="C43">
        <f>IF($W43="","",INDEX('Per Line'!$C$2:$C$3001,$W43)&amp;"")</f>
        <v/>
      </c>
      <c r="D43">
        <f>IF($W43="","",IF(OR(TRIM(E43)="Orient Insurance Company",TRIM(E43)="Allianz"),TRIM(E43),TRIM(F43)))</f>
        <v/>
      </c>
      <c r="E43">
        <f>IF($W43="","",INDEX('Per Line'!$E$2:$E$3001,$W43)&amp;"")</f>
        <v/>
      </c>
      <c r="F43">
        <f>IF($W43="","",INDEX('Per Line'!$D$2:$D$3001,$W43)&amp;"")</f>
        <v/>
      </c>
      <c r="G43">
        <f>IF($W43="","",INDEX('Per Line'!$F$2:$F$3001,$W43)&amp;"")</f>
        <v/>
      </c>
      <c r="H43">
        <f>IF($W43="","",INDEX('Per Line'!$G$2:$G$3001,$W43)&amp;"")</f>
        <v/>
      </c>
      <c r="I43">
        <f>IF($W43="","",INDEX('Per Line'!$H$2:$H$3001,$W43)&amp;"")</f>
        <v/>
      </c>
      <c r="J43">
        <f>IF($W43="","",INDEX('Per Line'!$I$2:$I$3001,$W43))</f>
        <v/>
      </c>
      <c r="K43" s="7">
        <f>IF($W43="","",J43*T43/100)</f>
        <v/>
      </c>
      <c r="L43" s="14">
        <f>IF($W43="","",INDEX('Per Line'!$V$2:$V$3001,$W43))</f>
        <v/>
      </c>
      <c r="M43">
        <f>IF($W43="","",IF(ISNUMBER(SEARCH("3&amp;12",SUBSTITUTE(F43," ",""))),Settings!$G$7,Settings!$C$7))</f>
        <v/>
      </c>
      <c r="N43" s="7">
        <f>IF($W43="","",SUMIFS('Per Line'!$O$2:$O$3001,'Per Line'!$B$2:$B$3001,$B43,'Per Line'!$AB$2:$AB$3001,0))</f>
        <v/>
      </c>
      <c r="O43" s="7">
        <f>IF($W43="","",N43*M43)</f>
        <v/>
      </c>
      <c r="P43">
        <f>IF($W43="","",IF(ISNUMBER(SEARCH("3&amp;12",SUBSTITUTE(F43," ",""))),Settings!$G$6,Settings!$C$6))</f>
        <v/>
      </c>
      <c r="Q43" s="7">
        <f>IF($W43="","",SUMIFS('Per Line'!$O$2:$O$3001,'Per Line'!$B$2:$B$3001,$B43,'Per Line'!$AB$2:$AB$3001,1))</f>
        <v/>
      </c>
      <c r="R43" s="7">
        <f>IF($W43="","",Q43*P43)</f>
        <v/>
      </c>
      <c r="S43" s="7">
        <f>IF($W43="","",R43+O43)</f>
        <v/>
      </c>
      <c r="T43" s="7">
        <f>IF($W43="","",V43-S43)</f>
        <v/>
      </c>
      <c r="U43" s="7">
        <f>IF($W43="","",V43-S43-K43)</f>
        <v/>
      </c>
      <c r="V43" s="7">
        <f>IF($W43="","",N43+Q43)</f>
        <v/>
      </c>
      <c r="W43" s="16">
        <f>IF(ROWS($W$2:$W43)&lt;=MAX('Per Line'!$AA$2:$AA$3001),MATCH(ROWS($W$2:$W43),'Per Line'!$AA$2:$AA$3001,0),"")</f>
        <v/>
      </c>
      <c r="X43">
        <f>IF($W43="","",D43&amp;"|"&amp;COUNTIF($D$2:$D43,D43))</f>
        <v/>
      </c>
    </row>
    <row r="44">
      <c r="A44" s="15" t="n"/>
      <c r="B44">
        <f>IF($W44="","",INDEX('Per Line'!$B$2:$B$3001,$W44)&amp;"")</f>
        <v/>
      </c>
      <c r="C44">
        <f>IF($W44="","",INDEX('Per Line'!$C$2:$C$3001,$W44)&amp;"")</f>
        <v/>
      </c>
      <c r="D44">
        <f>IF($W44="","",IF(OR(TRIM(E44)="Orient Insurance Company",TRIM(E44)="Allianz"),TRIM(E44),TRIM(F44)))</f>
        <v/>
      </c>
      <c r="E44">
        <f>IF($W44="","",INDEX('Per Line'!$E$2:$E$3001,$W44)&amp;"")</f>
        <v/>
      </c>
      <c r="F44">
        <f>IF($W44="","",INDEX('Per Line'!$D$2:$D$3001,$W44)&amp;"")</f>
        <v/>
      </c>
      <c r="G44">
        <f>IF($W44="","",INDEX('Per Line'!$F$2:$F$3001,$W44)&amp;"")</f>
        <v/>
      </c>
      <c r="H44">
        <f>IF($W44="","",INDEX('Per Line'!$G$2:$G$3001,$W44)&amp;"")</f>
        <v/>
      </c>
      <c r="I44">
        <f>IF($W44="","",INDEX('Per Line'!$H$2:$H$3001,$W44)&amp;"")</f>
        <v/>
      </c>
      <c r="J44">
        <f>IF($W44="","",INDEX('Per Line'!$I$2:$I$3001,$W44))</f>
        <v/>
      </c>
      <c r="K44" s="7">
        <f>IF($W44="","",J44*T44/100)</f>
        <v/>
      </c>
      <c r="L44" s="14">
        <f>IF($W44="","",INDEX('Per Line'!$V$2:$V$3001,$W44))</f>
        <v/>
      </c>
      <c r="M44">
        <f>IF($W44="","",IF(ISNUMBER(SEARCH("3&amp;12",SUBSTITUTE(F44," ",""))),Settings!$G$7,Settings!$C$7))</f>
        <v/>
      </c>
      <c r="N44" s="7">
        <f>IF($W44="","",SUMIFS('Per Line'!$O$2:$O$3001,'Per Line'!$B$2:$B$3001,$B44,'Per Line'!$AB$2:$AB$3001,0))</f>
        <v/>
      </c>
      <c r="O44" s="7">
        <f>IF($W44="","",N44*M44)</f>
        <v/>
      </c>
      <c r="P44">
        <f>IF($W44="","",IF(ISNUMBER(SEARCH("3&amp;12",SUBSTITUTE(F44," ",""))),Settings!$G$6,Settings!$C$6))</f>
        <v/>
      </c>
      <c r="Q44" s="7">
        <f>IF($W44="","",SUMIFS('Per Line'!$O$2:$O$3001,'Per Line'!$B$2:$B$3001,$B44,'Per Line'!$AB$2:$AB$3001,1))</f>
        <v/>
      </c>
      <c r="R44" s="7">
        <f>IF($W44="","",Q44*P44)</f>
        <v/>
      </c>
      <c r="S44" s="7">
        <f>IF($W44="","",R44+O44)</f>
        <v/>
      </c>
      <c r="T44" s="7">
        <f>IF($W44="","",V44-S44)</f>
        <v/>
      </c>
      <c r="U44" s="7">
        <f>IF($W44="","",V44-S44-K44)</f>
        <v/>
      </c>
      <c r="V44" s="7">
        <f>IF($W44="","",N44+Q44)</f>
        <v/>
      </c>
      <c r="W44" s="16">
        <f>IF(ROWS($W$2:$W44)&lt;=MAX('Per Line'!$AA$2:$AA$3001),MATCH(ROWS($W$2:$W44),'Per Line'!$AA$2:$AA$3001,0),"")</f>
        <v/>
      </c>
      <c r="X44">
        <f>IF($W44="","",D44&amp;"|"&amp;COUNTIF($D$2:$D44,D44))</f>
        <v/>
      </c>
    </row>
    <row r="45">
      <c r="A45" s="15" t="n"/>
      <c r="B45">
        <f>IF($W45="","",INDEX('Per Line'!$B$2:$B$3001,$W45)&amp;"")</f>
        <v/>
      </c>
      <c r="C45">
        <f>IF($W45="","",INDEX('Per Line'!$C$2:$C$3001,$W45)&amp;"")</f>
        <v/>
      </c>
      <c r="D45">
        <f>IF($W45="","",IF(OR(TRIM(E45)="Orient Insurance Company",TRIM(E45)="Allianz"),TRIM(E45),TRIM(F45)))</f>
        <v/>
      </c>
      <c r="E45">
        <f>IF($W45="","",INDEX('Per Line'!$E$2:$E$3001,$W45)&amp;"")</f>
        <v/>
      </c>
      <c r="F45">
        <f>IF($W45="","",INDEX('Per Line'!$D$2:$D$3001,$W45)&amp;"")</f>
        <v/>
      </c>
      <c r="G45">
        <f>IF($W45="","",INDEX('Per Line'!$F$2:$F$3001,$W45)&amp;"")</f>
        <v/>
      </c>
      <c r="H45">
        <f>IF($W45="","",INDEX('Per Line'!$G$2:$G$3001,$W45)&amp;"")</f>
        <v/>
      </c>
      <c r="I45">
        <f>IF($W45="","",INDEX('Per Line'!$H$2:$H$3001,$W45)&amp;"")</f>
        <v/>
      </c>
      <c r="J45">
        <f>IF($W45="","",INDEX('Per Line'!$I$2:$I$3001,$W45))</f>
        <v/>
      </c>
      <c r="K45" s="7">
        <f>IF($W45="","",J45*T45/100)</f>
        <v/>
      </c>
      <c r="L45" s="14">
        <f>IF($W45="","",INDEX('Per Line'!$V$2:$V$3001,$W45))</f>
        <v/>
      </c>
      <c r="M45">
        <f>IF($W45="","",IF(ISNUMBER(SEARCH("3&amp;12",SUBSTITUTE(F45," ",""))),Settings!$G$7,Settings!$C$7))</f>
        <v/>
      </c>
      <c r="N45" s="7">
        <f>IF($W45="","",SUMIFS('Per Line'!$O$2:$O$3001,'Per Line'!$B$2:$B$3001,$B45,'Per Line'!$AB$2:$AB$3001,0))</f>
        <v/>
      </c>
      <c r="O45" s="7">
        <f>IF($W45="","",N45*M45)</f>
        <v/>
      </c>
      <c r="P45">
        <f>IF($W45="","",IF(ISNUMBER(SEARCH("3&amp;12",SUBSTITUTE(F45," ",""))),Settings!$G$6,Settings!$C$6))</f>
        <v/>
      </c>
      <c r="Q45" s="7">
        <f>IF($W45="","",SUMIFS('Per Line'!$O$2:$O$3001,'Per Line'!$B$2:$B$3001,$B45,'Per Line'!$AB$2:$AB$3001,1))</f>
        <v/>
      </c>
      <c r="R45" s="7">
        <f>IF($W45="","",Q45*P45)</f>
        <v/>
      </c>
      <c r="S45" s="7">
        <f>IF($W45="","",R45+O45)</f>
        <v/>
      </c>
      <c r="T45" s="7">
        <f>IF($W45="","",V45-S45)</f>
        <v/>
      </c>
      <c r="U45" s="7">
        <f>IF($W45="","",V45-S45-K45)</f>
        <v/>
      </c>
      <c r="V45" s="7">
        <f>IF($W45="","",N45+Q45)</f>
        <v/>
      </c>
      <c r="W45" s="16">
        <f>IF(ROWS($W$2:$W45)&lt;=MAX('Per Line'!$AA$2:$AA$3001),MATCH(ROWS($W$2:$W45),'Per Line'!$AA$2:$AA$3001,0),"")</f>
        <v/>
      </c>
      <c r="X45">
        <f>IF($W45="","",D45&amp;"|"&amp;COUNTIF($D$2:$D45,D45))</f>
        <v/>
      </c>
    </row>
    <row r="46">
      <c r="A46" s="15" t="n"/>
      <c r="B46">
        <f>IF($W46="","",INDEX('Per Line'!$B$2:$B$3001,$W46)&amp;"")</f>
        <v/>
      </c>
      <c r="C46">
        <f>IF($W46="","",INDEX('Per Line'!$C$2:$C$3001,$W46)&amp;"")</f>
        <v/>
      </c>
      <c r="D46">
        <f>IF($W46="","",IF(OR(TRIM(E46)="Orient Insurance Company",TRIM(E46)="Allianz"),TRIM(E46),TRIM(F46)))</f>
        <v/>
      </c>
      <c r="E46">
        <f>IF($W46="","",INDEX('Per Line'!$E$2:$E$3001,$W46)&amp;"")</f>
        <v/>
      </c>
      <c r="F46">
        <f>IF($W46="","",INDEX('Per Line'!$D$2:$D$3001,$W46)&amp;"")</f>
        <v/>
      </c>
      <c r="G46">
        <f>IF($W46="","",INDEX('Per Line'!$F$2:$F$3001,$W46)&amp;"")</f>
        <v/>
      </c>
      <c r="H46">
        <f>IF($W46="","",INDEX('Per Line'!$G$2:$G$3001,$W46)&amp;"")</f>
        <v/>
      </c>
      <c r="I46">
        <f>IF($W46="","",INDEX('Per Line'!$H$2:$H$3001,$W46)&amp;"")</f>
        <v/>
      </c>
      <c r="J46">
        <f>IF($W46="","",INDEX('Per Line'!$I$2:$I$3001,$W46))</f>
        <v/>
      </c>
      <c r="K46" s="7">
        <f>IF($W46="","",J46*T46/100)</f>
        <v/>
      </c>
      <c r="L46" s="14">
        <f>IF($W46="","",INDEX('Per Line'!$V$2:$V$3001,$W46))</f>
        <v/>
      </c>
      <c r="M46">
        <f>IF($W46="","",IF(ISNUMBER(SEARCH("3&amp;12",SUBSTITUTE(F46," ",""))),Settings!$G$7,Settings!$C$7))</f>
        <v/>
      </c>
      <c r="N46" s="7">
        <f>IF($W46="","",SUMIFS('Per Line'!$O$2:$O$3001,'Per Line'!$B$2:$B$3001,$B46,'Per Line'!$AB$2:$AB$3001,0))</f>
        <v/>
      </c>
      <c r="O46" s="7">
        <f>IF($W46="","",N46*M46)</f>
        <v/>
      </c>
      <c r="P46">
        <f>IF($W46="","",IF(ISNUMBER(SEARCH("3&amp;12",SUBSTITUTE(F46," ",""))),Settings!$G$6,Settings!$C$6))</f>
        <v/>
      </c>
      <c r="Q46" s="7">
        <f>IF($W46="","",SUMIFS('Per Line'!$O$2:$O$3001,'Per Line'!$B$2:$B$3001,$B46,'Per Line'!$AB$2:$AB$3001,1))</f>
        <v/>
      </c>
      <c r="R46" s="7">
        <f>IF($W46="","",Q46*P46)</f>
        <v/>
      </c>
      <c r="S46" s="7">
        <f>IF($W46="","",R46+O46)</f>
        <v/>
      </c>
      <c r="T46" s="7">
        <f>IF($W46="","",V46-S46)</f>
        <v/>
      </c>
      <c r="U46" s="7">
        <f>IF($W46="","",V46-S46-K46)</f>
        <v/>
      </c>
      <c r="V46" s="7">
        <f>IF($W46="","",N46+Q46)</f>
        <v/>
      </c>
      <c r="W46" s="16">
        <f>IF(ROWS($W$2:$W46)&lt;=MAX('Per Line'!$AA$2:$AA$3001),MATCH(ROWS($W$2:$W46),'Per Line'!$AA$2:$AA$3001,0),"")</f>
        <v/>
      </c>
      <c r="X46">
        <f>IF($W46="","",D46&amp;"|"&amp;COUNTIF($D$2:$D46,D46))</f>
        <v/>
      </c>
    </row>
    <row r="47">
      <c r="A47" s="15" t="n"/>
      <c r="B47">
        <f>IF($W47="","",INDEX('Per Line'!$B$2:$B$3001,$W47)&amp;"")</f>
        <v/>
      </c>
      <c r="C47">
        <f>IF($W47="","",INDEX('Per Line'!$C$2:$C$3001,$W47)&amp;"")</f>
        <v/>
      </c>
      <c r="D47">
        <f>IF($W47="","",IF(OR(TRIM(E47)="Orient Insurance Company",TRIM(E47)="Allianz"),TRIM(E47),TRIM(F47)))</f>
        <v/>
      </c>
      <c r="E47">
        <f>IF($W47="","",INDEX('Per Line'!$E$2:$E$3001,$W47)&amp;"")</f>
        <v/>
      </c>
      <c r="F47">
        <f>IF($W47="","",INDEX('Per Line'!$D$2:$D$3001,$W47)&amp;"")</f>
        <v/>
      </c>
      <c r="G47">
        <f>IF($W47="","",INDEX('Per Line'!$F$2:$F$3001,$W47)&amp;"")</f>
        <v/>
      </c>
      <c r="H47">
        <f>IF($W47="","",INDEX('Per Line'!$G$2:$G$3001,$W47)&amp;"")</f>
        <v/>
      </c>
      <c r="I47">
        <f>IF($W47="","",INDEX('Per Line'!$H$2:$H$3001,$W47)&amp;"")</f>
        <v/>
      </c>
      <c r="J47">
        <f>IF($W47="","",INDEX('Per Line'!$I$2:$I$3001,$W47))</f>
        <v/>
      </c>
      <c r="K47" s="7">
        <f>IF($W47="","",J47*T47/100)</f>
        <v/>
      </c>
      <c r="L47" s="14">
        <f>IF($W47="","",INDEX('Per Line'!$V$2:$V$3001,$W47))</f>
        <v/>
      </c>
      <c r="M47">
        <f>IF($W47="","",IF(ISNUMBER(SEARCH("3&amp;12",SUBSTITUTE(F47," ",""))),Settings!$G$7,Settings!$C$7))</f>
        <v/>
      </c>
      <c r="N47" s="7">
        <f>IF($W47="","",SUMIFS('Per Line'!$O$2:$O$3001,'Per Line'!$B$2:$B$3001,$B47,'Per Line'!$AB$2:$AB$3001,0))</f>
        <v/>
      </c>
      <c r="O47" s="7">
        <f>IF($W47="","",N47*M47)</f>
        <v/>
      </c>
      <c r="P47">
        <f>IF($W47="","",IF(ISNUMBER(SEARCH("3&amp;12",SUBSTITUTE(F47," ",""))),Settings!$G$6,Settings!$C$6))</f>
        <v/>
      </c>
      <c r="Q47" s="7">
        <f>IF($W47="","",SUMIFS('Per Line'!$O$2:$O$3001,'Per Line'!$B$2:$B$3001,$B47,'Per Line'!$AB$2:$AB$3001,1))</f>
        <v/>
      </c>
      <c r="R47" s="7">
        <f>IF($W47="","",Q47*P47)</f>
        <v/>
      </c>
      <c r="S47" s="7">
        <f>IF($W47="","",R47+O47)</f>
        <v/>
      </c>
      <c r="T47" s="7">
        <f>IF($W47="","",V47-S47)</f>
        <v/>
      </c>
      <c r="U47" s="7">
        <f>IF($W47="","",V47-S47-K47)</f>
        <v/>
      </c>
      <c r="V47" s="7">
        <f>IF($W47="","",N47+Q47)</f>
        <v/>
      </c>
      <c r="W47" s="16">
        <f>IF(ROWS($W$2:$W47)&lt;=MAX('Per Line'!$AA$2:$AA$3001),MATCH(ROWS($W$2:$W47),'Per Line'!$AA$2:$AA$3001,0),"")</f>
        <v/>
      </c>
      <c r="X47">
        <f>IF($W47="","",D47&amp;"|"&amp;COUNTIF($D$2:$D47,D47))</f>
        <v/>
      </c>
    </row>
    <row r="48">
      <c r="A48" s="15" t="n"/>
      <c r="B48">
        <f>IF($W48="","",INDEX('Per Line'!$B$2:$B$3001,$W48)&amp;"")</f>
        <v/>
      </c>
      <c r="C48">
        <f>IF($W48="","",INDEX('Per Line'!$C$2:$C$3001,$W48)&amp;"")</f>
        <v/>
      </c>
      <c r="D48">
        <f>IF($W48="","",IF(OR(TRIM(E48)="Orient Insurance Company",TRIM(E48)="Allianz"),TRIM(E48),TRIM(F48)))</f>
        <v/>
      </c>
      <c r="E48">
        <f>IF($W48="","",INDEX('Per Line'!$E$2:$E$3001,$W48)&amp;"")</f>
        <v/>
      </c>
      <c r="F48">
        <f>IF($W48="","",INDEX('Per Line'!$D$2:$D$3001,$W48)&amp;"")</f>
        <v/>
      </c>
      <c r="G48">
        <f>IF($W48="","",INDEX('Per Line'!$F$2:$F$3001,$W48)&amp;"")</f>
        <v/>
      </c>
      <c r="H48">
        <f>IF($W48="","",INDEX('Per Line'!$G$2:$G$3001,$W48)&amp;"")</f>
        <v/>
      </c>
      <c r="I48">
        <f>IF($W48="","",INDEX('Per Line'!$H$2:$H$3001,$W48)&amp;"")</f>
        <v/>
      </c>
      <c r="J48">
        <f>IF($W48="","",INDEX('Per Line'!$I$2:$I$3001,$W48))</f>
        <v/>
      </c>
      <c r="K48" s="7">
        <f>IF($W48="","",J48*T48/100)</f>
        <v/>
      </c>
      <c r="L48" s="14">
        <f>IF($W48="","",INDEX('Per Line'!$V$2:$V$3001,$W48))</f>
        <v/>
      </c>
      <c r="M48">
        <f>IF($W48="","",IF(ISNUMBER(SEARCH("3&amp;12",SUBSTITUTE(F48," ",""))),Settings!$G$7,Settings!$C$7))</f>
        <v/>
      </c>
      <c r="N48" s="7">
        <f>IF($W48="","",SUMIFS('Per Line'!$O$2:$O$3001,'Per Line'!$B$2:$B$3001,$B48,'Per Line'!$AB$2:$AB$3001,0))</f>
        <v/>
      </c>
      <c r="O48" s="7">
        <f>IF($W48="","",N48*M48)</f>
        <v/>
      </c>
      <c r="P48">
        <f>IF($W48="","",IF(ISNUMBER(SEARCH("3&amp;12",SUBSTITUTE(F48," ",""))),Settings!$G$6,Settings!$C$6))</f>
        <v/>
      </c>
      <c r="Q48" s="7">
        <f>IF($W48="","",SUMIFS('Per Line'!$O$2:$O$3001,'Per Line'!$B$2:$B$3001,$B48,'Per Line'!$AB$2:$AB$3001,1))</f>
        <v/>
      </c>
      <c r="R48" s="7">
        <f>IF($W48="","",Q48*P48)</f>
        <v/>
      </c>
      <c r="S48" s="7">
        <f>IF($W48="","",R48+O48)</f>
        <v/>
      </c>
      <c r="T48" s="7">
        <f>IF($W48="","",V48-S48)</f>
        <v/>
      </c>
      <c r="U48" s="7">
        <f>IF($W48="","",V48-S48-K48)</f>
        <v/>
      </c>
      <c r="V48" s="7">
        <f>IF($W48="","",N48+Q48)</f>
        <v/>
      </c>
      <c r="W48" s="16">
        <f>IF(ROWS($W$2:$W48)&lt;=MAX('Per Line'!$AA$2:$AA$3001),MATCH(ROWS($W$2:$W48),'Per Line'!$AA$2:$AA$3001,0),"")</f>
        <v/>
      </c>
      <c r="X48">
        <f>IF($W48="","",D48&amp;"|"&amp;COUNTIF($D$2:$D48,D48))</f>
        <v/>
      </c>
    </row>
    <row r="49">
      <c r="A49" s="15" t="n"/>
      <c r="B49">
        <f>IF($W49="","",INDEX('Per Line'!$B$2:$B$3001,$W49)&amp;"")</f>
        <v/>
      </c>
      <c r="C49">
        <f>IF($W49="","",INDEX('Per Line'!$C$2:$C$3001,$W49)&amp;"")</f>
        <v/>
      </c>
      <c r="D49">
        <f>IF($W49="","",IF(OR(TRIM(E49)="Orient Insurance Company",TRIM(E49)="Allianz"),TRIM(E49),TRIM(F49)))</f>
        <v/>
      </c>
      <c r="E49">
        <f>IF($W49="","",INDEX('Per Line'!$E$2:$E$3001,$W49)&amp;"")</f>
        <v/>
      </c>
      <c r="F49">
        <f>IF($W49="","",INDEX('Per Line'!$D$2:$D$3001,$W49)&amp;"")</f>
        <v/>
      </c>
      <c r="G49">
        <f>IF($W49="","",INDEX('Per Line'!$F$2:$F$3001,$W49)&amp;"")</f>
        <v/>
      </c>
      <c r="H49">
        <f>IF($W49="","",INDEX('Per Line'!$G$2:$G$3001,$W49)&amp;"")</f>
        <v/>
      </c>
      <c r="I49">
        <f>IF($W49="","",INDEX('Per Line'!$H$2:$H$3001,$W49)&amp;"")</f>
        <v/>
      </c>
      <c r="J49">
        <f>IF($W49="","",INDEX('Per Line'!$I$2:$I$3001,$W49))</f>
        <v/>
      </c>
      <c r="K49" s="7">
        <f>IF($W49="","",J49*T49/100)</f>
        <v/>
      </c>
      <c r="L49" s="14">
        <f>IF($W49="","",INDEX('Per Line'!$V$2:$V$3001,$W49))</f>
        <v/>
      </c>
      <c r="M49">
        <f>IF($W49="","",IF(ISNUMBER(SEARCH("3&amp;12",SUBSTITUTE(F49," ",""))),Settings!$G$7,Settings!$C$7))</f>
        <v/>
      </c>
      <c r="N49" s="7">
        <f>IF($W49="","",SUMIFS('Per Line'!$O$2:$O$3001,'Per Line'!$B$2:$B$3001,$B49,'Per Line'!$AB$2:$AB$3001,0))</f>
        <v/>
      </c>
      <c r="O49" s="7">
        <f>IF($W49="","",N49*M49)</f>
        <v/>
      </c>
      <c r="P49">
        <f>IF($W49="","",IF(ISNUMBER(SEARCH("3&amp;12",SUBSTITUTE(F49," ",""))),Settings!$G$6,Settings!$C$6))</f>
        <v/>
      </c>
      <c r="Q49" s="7">
        <f>IF($W49="","",SUMIFS('Per Line'!$O$2:$O$3001,'Per Line'!$B$2:$B$3001,$B49,'Per Line'!$AB$2:$AB$3001,1))</f>
        <v/>
      </c>
      <c r="R49" s="7">
        <f>IF($W49="","",Q49*P49)</f>
        <v/>
      </c>
      <c r="S49" s="7">
        <f>IF($W49="","",R49+O49)</f>
        <v/>
      </c>
      <c r="T49" s="7">
        <f>IF($W49="","",V49-S49)</f>
        <v/>
      </c>
      <c r="U49" s="7">
        <f>IF($W49="","",V49-S49-K49)</f>
        <v/>
      </c>
      <c r="V49" s="7">
        <f>IF($W49="","",N49+Q49)</f>
        <v/>
      </c>
      <c r="W49" s="16">
        <f>IF(ROWS($W$2:$W49)&lt;=MAX('Per Line'!$AA$2:$AA$3001),MATCH(ROWS($W$2:$W49),'Per Line'!$AA$2:$AA$3001,0),"")</f>
        <v/>
      </c>
      <c r="X49">
        <f>IF($W49="","",D49&amp;"|"&amp;COUNTIF($D$2:$D49,D49))</f>
        <v/>
      </c>
    </row>
    <row r="50">
      <c r="A50" s="15" t="n"/>
      <c r="B50">
        <f>IF($W50="","",INDEX('Per Line'!$B$2:$B$3001,$W50)&amp;"")</f>
        <v/>
      </c>
      <c r="C50">
        <f>IF($W50="","",INDEX('Per Line'!$C$2:$C$3001,$W50)&amp;"")</f>
        <v/>
      </c>
      <c r="D50">
        <f>IF($W50="","",IF(OR(TRIM(E50)="Orient Insurance Company",TRIM(E50)="Allianz"),TRIM(E50),TRIM(F50)))</f>
        <v/>
      </c>
      <c r="E50">
        <f>IF($W50="","",INDEX('Per Line'!$E$2:$E$3001,$W50)&amp;"")</f>
        <v/>
      </c>
      <c r="F50">
        <f>IF($W50="","",INDEX('Per Line'!$D$2:$D$3001,$W50)&amp;"")</f>
        <v/>
      </c>
      <c r="G50">
        <f>IF($W50="","",INDEX('Per Line'!$F$2:$F$3001,$W50)&amp;"")</f>
        <v/>
      </c>
      <c r="H50">
        <f>IF($W50="","",INDEX('Per Line'!$G$2:$G$3001,$W50)&amp;"")</f>
        <v/>
      </c>
      <c r="I50">
        <f>IF($W50="","",INDEX('Per Line'!$H$2:$H$3001,$W50)&amp;"")</f>
        <v/>
      </c>
      <c r="J50">
        <f>IF($W50="","",INDEX('Per Line'!$I$2:$I$3001,$W50))</f>
        <v/>
      </c>
      <c r="K50" s="7">
        <f>IF($W50="","",J50*T50/100)</f>
        <v/>
      </c>
      <c r="L50" s="14">
        <f>IF($W50="","",INDEX('Per Line'!$V$2:$V$3001,$W50))</f>
        <v/>
      </c>
      <c r="M50">
        <f>IF($W50="","",IF(ISNUMBER(SEARCH("3&amp;12",SUBSTITUTE(F50," ",""))),Settings!$G$7,Settings!$C$7))</f>
        <v/>
      </c>
      <c r="N50" s="7">
        <f>IF($W50="","",SUMIFS('Per Line'!$O$2:$O$3001,'Per Line'!$B$2:$B$3001,$B50,'Per Line'!$AB$2:$AB$3001,0))</f>
        <v/>
      </c>
      <c r="O50" s="7">
        <f>IF($W50="","",N50*M50)</f>
        <v/>
      </c>
      <c r="P50">
        <f>IF($W50="","",IF(ISNUMBER(SEARCH("3&amp;12",SUBSTITUTE(F50," ",""))),Settings!$G$6,Settings!$C$6))</f>
        <v/>
      </c>
      <c r="Q50" s="7">
        <f>IF($W50="","",SUMIFS('Per Line'!$O$2:$O$3001,'Per Line'!$B$2:$B$3001,$B50,'Per Line'!$AB$2:$AB$3001,1))</f>
        <v/>
      </c>
      <c r="R50" s="7">
        <f>IF($W50="","",Q50*P50)</f>
        <v/>
      </c>
      <c r="S50" s="7">
        <f>IF($W50="","",R50+O50)</f>
        <v/>
      </c>
      <c r="T50" s="7">
        <f>IF($W50="","",V50-S50)</f>
        <v/>
      </c>
      <c r="U50" s="7">
        <f>IF($W50="","",V50-S50-K50)</f>
        <v/>
      </c>
      <c r="V50" s="7">
        <f>IF($W50="","",N50+Q50)</f>
        <v/>
      </c>
      <c r="W50" s="16">
        <f>IF(ROWS($W$2:$W50)&lt;=MAX('Per Line'!$AA$2:$AA$3001),MATCH(ROWS($W$2:$W50),'Per Line'!$AA$2:$AA$3001,0),"")</f>
        <v/>
      </c>
      <c r="X50">
        <f>IF($W50="","",D50&amp;"|"&amp;COUNTIF($D$2:$D50,D50))</f>
        <v/>
      </c>
    </row>
    <row r="51">
      <c r="A51" s="15" t="n"/>
      <c r="B51">
        <f>IF($W51="","",INDEX('Per Line'!$B$2:$B$3001,$W51)&amp;"")</f>
        <v/>
      </c>
      <c r="C51">
        <f>IF($W51="","",INDEX('Per Line'!$C$2:$C$3001,$W51)&amp;"")</f>
        <v/>
      </c>
      <c r="D51">
        <f>IF($W51="","",IF(OR(TRIM(E51)="Orient Insurance Company",TRIM(E51)="Allianz"),TRIM(E51),TRIM(F51)))</f>
        <v/>
      </c>
      <c r="E51">
        <f>IF($W51="","",INDEX('Per Line'!$E$2:$E$3001,$W51)&amp;"")</f>
        <v/>
      </c>
      <c r="F51">
        <f>IF($W51="","",INDEX('Per Line'!$D$2:$D$3001,$W51)&amp;"")</f>
        <v/>
      </c>
      <c r="G51">
        <f>IF($W51="","",INDEX('Per Line'!$F$2:$F$3001,$W51)&amp;"")</f>
        <v/>
      </c>
      <c r="H51">
        <f>IF($W51="","",INDEX('Per Line'!$G$2:$G$3001,$W51)&amp;"")</f>
        <v/>
      </c>
      <c r="I51">
        <f>IF($W51="","",INDEX('Per Line'!$H$2:$H$3001,$W51)&amp;"")</f>
        <v/>
      </c>
      <c r="J51">
        <f>IF($W51="","",INDEX('Per Line'!$I$2:$I$3001,$W51))</f>
        <v/>
      </c>
      <c r="K51" s="7">
        <f>IF($W51="","",J51*T51/100)</f>
        <v/>
      </c>
      <c r="L51" s="14">
        <f>IF($W51="","",INDEX('Per Line'!$V$2:$V$3001,$W51))</f>
        <v/>
      </c>
      <c r="M51">
        <f>IF($W51="","",IF(ISNUMBER(SEARCH("3&amp;12",SUBSTITUTE(F51," ",""))),Settings!$G$7,Settings!$C$7))</f>
        <v/>
      </c>
      <c r="N51" s="7">
        <f>IF($W51="","",SUMIFS('Per Line'!$O$2:$O$3001,'Per Line'!$B$2:$B$3001,$B51,'Per Line'!$AB$2:$AB$3001,0))</f>
        <v/>
      </c>
      <c r="O51" s="7">
        <f>IF($W51="","",N51*M51)</f>
        <v/>
      </c>
      <c r="P51">
        <f>IF($W51="","",IF(ISNUMBER(SEARCH("3&amp;12",SUBSTITUTE(F51," ",""))),Settings!$G$6,Settings!$C$6))</f>
        <v/>
      </c>
      <c r="Q51" s="7">
        <f>IF($W51="","",SUMIFS('Per Line'!$O$2:$O$3001,'Per Line'!$B$2:$B$3001,$B51,'Per Line'!$AB$2:$AB$3001,1))</f>
        <v/>
      </c>
      <c r="R51" s="7">
        <f>IF($W51="","",Q51*P51)</f>
        <v/>
      </c>
      <c r="S51" s="7">
        <f>IF($W51="","",R51+O51)</f>
        <v/>
      </c>
      <c r="T51" s="7">
        <f>IF($W51="","",V51-S51)</f>
        <v/>
      </c>
      <c r="U51" s="7">
        <f>IF($W51="","",V51-S51-K51)</f>
        <v/>
      </c>
      <c r="V51" s="7">
        <f>IF($W51="","",N51+Q51)</f>
        <v/>
      </c>
      <c r="W51" s="16">
        <f>IF(ROWS($W$2:$W51)&lt;=MAX('Per Line'!$AA$2:$AA$3001),MATCH(ROWS($W$2:$W51),'Per Line'!$AA$2:$AA$3001,0),"")</f>
        <v/>
      </c>
      <c r="X51">
        <f>IF($W51="","",D51&amp;"|"&amp;COUNTIF($D$2:$D51,D51))</f>
        <v/>
      </c>
    </row>
    <row r="52">
      <c r="A52" s="15" t="n"/>
      <c r="B52">
        <f>IF($W52="","",INDEX('Per Line'!$B$2:$B$3001,$W52)&amp;"")</f>
        <v/>
      </c>
      <c r="C52">
        <f>IF($W52="","",INDEX('Per Line'!$C$2:$C$3001,$W52)&amp;"")</f>
        <v/>
      </c>
      <c r="D52">
        <f>IF($W52="","",IF(OR(TRIM(E52)="Orient Insurance Company",TRIM(E52)="Allianz"),TRIM(E52),TRIM(F52)))</f>
        <v/>
      </c>
      <c r="E52">
        <f>IF($W52="","",INDEX('Per Line'!$E$2:$E$3001,$W52)&amp;"")</f>
        <v/>
      </c>
      <c r="F52">
        <f>IF($W52="","",INDEX('Per Line'!$D$2:$D$3001,$W52)&amp;"")</f>
        <v/>
      </c>
      <c r="G52">
        <f>IF($W52="","",INDEX('Per Line'!$F$2:$F$3001,$W52)&amp;"")</f>
        <v/>
      </c>
      <c r="H52">
        <f>IF($W52="","",INDEX('Per Line'!$G$2:$G$3001,$W52)&amp;"")</f>
        <v/>
      </c>
      <c r="I52">
        <f>IF($W52="","",INDEX('Per Line'!$H$2:$H$3001,$W52)&amp;"")</f>
        <v/>
      </c>
      <c r="J52">
        <f>IF($W52="","",INDEX('Per Line'!$I$2:$I$3001,$W52))</f>
        <v/>
      </c>
      <c r="K52" s="7">
        <f>IF($W52="","",J52*T52/100)</f>
        <v/>
      </c>
      <c r="L52" s="14">
        <f>IF($W52="","",INDEX('Per Line'!$V$2:$V$3001,$W52))</f>
        <v/>
      </c>
      <c r="M52">
        <f>IF($W52="","",IF(ISNUMBER(SEARCH("3&amp;12",SUBSTITUTE(F52," ",""))),Settings!$G$7,Settings!$C$7))</f>
        <v/>
      </c>
      <c r="N52" s="7">
        <f>IF($W52="","",SUMIFS('Per Line'!$O$2:$O$3001,'Per Line'!$B$2:$B$3001,$B52,'Per Line'!$AB$2:$AB$3001,0))</f>
        <v/>
      </c>
      <c r="O52" s="7">
        <f>IF($W52="","",N52*M52)</f>
        <v/>
      </c>
      <c r="P52">
        <f>IF($W52="","",IF(ISNUMBER(SEARCH("3&amp;12",SUBSTITUTE(F52," ",""))),Settings!$G$6,Settings!$C$6))</f>
        <v/>
      </c>
      <c r="Q52" s="7">
        <f>IF($W52="","",SUMIFS('Per Line'!$O$2:$O$3001,'Per Line'!$B$2:$B$3001,$B52,'Per Line'!$AB$2:$AB$3001,1))</f>
        <v/>
      </c>
      <c r="R52" s="7">
        <f>IF($W52="","",Q52*P52)</f>
        <v/>
      </c>
      <c r="S52" s="7">
        <f>IF($W52="","",R52+O52)</f>
        <v/>
      </c>
      <c r="T52" s="7">
        <f>IF($W52="","",V52-S52)</f>
        <v/>
      </c>
      <c r="U52" s="7">
        <f>IF($W52="","",V52-S52-K52)</f>
        <v/>
      </c>
      <c r="V52" s="7">
        <f>IF($W52="","",N52+Q52)</f>
        <v/>
      </c>
      <c r="W52" s="16">
        <f>IF(ROWS($W$2:$W52)&lt;=MAX('Per Line'!$AA$2:$AA$3001),MATCH(ROWS($W$2:$W52),'Per Line'!$AA$2:$AA$3001,0),"")</f>
        <v/>
      </c>
      <c r="X52">
        <f>IF($W52="","",D52&amp;"|"&amp;COUNTIF($D$2:$D52,D52))</f>
        <v/>
      </c>
    </row>
    <row r="53">
      <c r="A53" s="15" t="n"/>
      <c r="B53">
        <f>IF($W53="","",INDEX('Per Line'!$B$2:$B$3001,$W53)&amp;"")</f>
        <v/>
      </c>
      <c r="C53">
        <f>IF($W53="","",INDEX('Per Line'!$C$2:$C$3001,$W53)&amp;"")</f>
        <v/>
      </c>
      <c r="D53">
        <f>IF($W53="","",IF(OR(TRIM(E53)="Orient Insurance Company",TRIM(E53)="Allianz"),TRIM(E53),TRIM(F53)))</f>
        <v/>
      </c>
      <c r="E53">
        <f>IF($W53="","",INDEX('Per Line'!$E$2:$E$3001,$W53)&amp;"")</f>
        <v/>
      </c>
      <c r="F53">
        <f>IF($W53="","",INDEX('Per Line'!$D$2:$D$3001,$W53)&amp;"")</f>
        <v/>
      </c>
      <c r="G53">
        <f>IF($W53="","",INDEX('Per Line'!$F$2:$F$3001,$W53)&amp;"")</f>
        <v/>
      </c>
      <c r="H53">
        <f>IF($W53="","",INDEX('Per Line'!$G$2:$G$3001,$W53)&amp;"")</f>
        <v/>
      </c>
      <c r="I53">
        <f>IF($W53="","",INDEX('Per Line'!$H$2:$H$3001,$W53)&amp;"")</f>
        <v/>
      </c>
      <c r="J53">
        <f>IF($W53="","",INDEX('Per Line'!$I$2:$I$3001,$W53))</f>
        <v/>
      </c>
      <c r="K53" s="7">
        <f>IF($W53="","",J53*T53/100)</f>
        <v/>
      </c>
      <c r="L53" s="14">
        <f>IF($W53="","",INDEX('Per Line'!$V$2:$V$3001,$W53))</f>
        <v/>
      </c>
      <c r="M53">
        <f>IF($W53="","",IF(ISNUMBER(SEARCH("3&amp;12",SUBSTITUTE(F53," ",""))),Settings!$G$7,Settings!$C$7))</f>
        <v/>
      </c>
      <c r="N53" s="7">
        <f>IF($W53="","",SUMIFS('Per Line'!$O$2:$O$3001,'Per Line'!$B$2:$B$3001,$B53,'Per Line'!$AB$2:$AB$3001,0))</f>
        <v/>
      </c>
      <c r="O53" s="7">
        <f>IF($W53="","",N53*M53)</f>
        <v/>
      </c>
      <c r="P53">
        <f>IF($W53="","",IF(ISNUMBER(SEARCH("3&amp;12",SUBSTITUTE(F53," ",""))),Settings!$G$6,Settings!$C$6))</f>
        <v/>
      </c>
      <c r="Q53" s="7">
        <f>IF($W53="","",SUMIFS('Per Line'!$O$2:$O$3001,'Per Line'!$B$2:$B$3001,$B53,'Per Line'!$AB$2:$AB$3001,1))</f>
        <v/>
      </c>
      <c r="R53" s="7">
        <f>IF($W53="","",Q53*P53)</f>
        <v/>
      </c>
      <c r="S53" s="7">
        <f>IF($W53="","",R53+O53)</f>
        <v/>
      </c>
      <c r="T53" s="7">
        <f>IF($W53="","",V53-S53)</f>
        <v/>
      </c>
      <c r="U53" s="7">
        <f>IF($W53="","",V53-S53-K53)</f>
        <v/>
      </c>
      <c r="V53" s="7">
        <f>IF($W53="","",N53+Q53)</f>
        <v/>
      </c>
      <c r="W53" s="16">
        <f>IF(ROWS($W$2:$W53)&lt;=MAX('Per Line'!$AA$2:$AA$3001),MATCH(ROWS($W$2:$W53),'Per Line'!$AA$2:$AA$3001,0),"")</f>
        <v/>
      </c>
      <c r="X53">
        <f>IF($W53="","",D53&amp;"|"&amp;COUNTIF($D$2:$D53,D53))</f>
        <v/>
      </c>
    </row>
    <row r="54">
      <c r="A54" s="15" t="n"/>
      <c r="B54">
        <f>IF($W54="","",INDEX('Per Line'!$B$2:$B$3001,$W54)&amp;"")</f>
        <v/>
      </c>
      <c r="C54">
        <f>IF($W54="","",INDEX('Per Line'!$C$2:$C$3001,$W54)&amp;"")</f>
        <v/>
      </c>
      <c r="D54">
        <f>IF($W54="","",IF(OR(TRIM(E54)="Orient Insurance Company",TRIM(E54)="Allianz"),TRIM(E54),TRIM(F54)))</f>
        <v/>
      </c>
      <c r="E54">
        <f>IF($W54="","",INDEX('Per Line'!$E$2:$E$3001,$W54)&amp;"")</f>
        <v/>
      </c>
      <c r="F54">
        <f>IF($W54="","",INDEX('Per Line'!$D$2:$D$3001,$W54)&amp;"")</f>
        <v/>
      </c>
      <c r="G54">
        <f>IF($W54="","",INDEX('Per Line'!$F$2:$F$3001,$W54)&amp;"")</f>
        <v/>
      </c>
      <c r="H54">
        <f>IF($W54="","",INDEX('Per Line'!$G$2:$G$3001,$W54)&amp;"")</f>
        <v/>
      </c>
      <c r="I54">
        <f>IF($W54="","",INDEX('Per Line'!$H$2:$H$3001,$W54)&amp;"")</f>
        <v/>
      </c>
      <c r="J54">
        <f>IF($W54="","",INDEX('Per Line'!$I$2:$I$3001,$W54))</f>
        <v/>
      </c>
      <c r="K54" s="7">
        <f>IF($W54="","",J54*T54/100)</f>
        <v/>
      </c>
      <c r="L54" s="14">
        <f>IF($W54="","",INDEX('Per Line'!$V$2:$V$3001,$W54))</f>
        <v/>
      </c>
      <c r="M54">
        <f>IF($W54="","",IF(ISNUMBER(SEARCH("3&amp;12",SUBSTITUTE(F54," ",""))),Settings!$G$7,Settings!$C$7))</f>
        <v/>
      </c>
      <c r="N54" s="7">
        <f>IF($W54="","",SUMIFS('Per Line'!$O$2:$O$3001,'Per Line'!$B$2:$B$3001,$B54,'Per Line'!$AB$2:$AB$3001,0))</f>
        <v/>
      </c>
      <c r="O54" s="7">
        <f>IF($W54="","",N54*M54)</f>
        <v/>
      </c>
      <c r="P54">
        <f>IF($W54="","",IF(ISNUMBER(SEARCH("3&amp;12",SUBSTITUTE(F54," ",""))),Settings!$G$6,Settings!$C$6))</f>
        <v/>
      </c>
      <c r="Q54" s="7">
        <f>IF($W54="","",SUMIFS('Per Line'!$O$2:$O$3001,'Per Line'!$B$2:$B$3001,$B54,'Per Line'!$AB$2:$AB$3001,1))</f>
        <v/>
      </c>
      <c r="R54" s="7">
        <f>IF($W54="","",Q54*P54)</f>
        <v/>
      </c>
      <c r="S54" s="7">
        <f>IF($W54="","",R54+O54)</f>
        <v/>
      </c>
      <c r="T54" s="7">
        <f>IF($W54="","",V54-S54)</f>
        <v/>
      </c>
      <c r="U54" s="7">
        <f>IF($W54="","",V54-S54-K54)</f>
        <v/>
      </c>
      <c r="V54" s="7">
        <f>IF($W54="","",N54+Q54)</f>
        <v/>
      </c>
      <c r="W54" s="16">
        <f>IF(ROWS($W$2:$W54)&lt;=MAX('Per Line'!$AA$2:$AA$3001),MATCH(ROWS($W$2:$W54),'Per Line'!$AA$2:$AA$3001,0),"")</f>
        <v/>
      </c>
      <c r="X54">
        <f>IF($W54="","",D54&amp;"|"&amp;COUNTIF($D$2:$D54,D54))</f>
        <v/>
      </c>
    </row>
    <row r="55">
      <c r="A55" s="15" t="n"/>
      <c r="B55">
        <f>IF($W55="","",INDEX('Per Line'!$B$2:$B$3001,$W55)&amp;"")</f>
        <v/>
      </c>
      <c r="C55">
        <f>IF($W55="","",INDEX('Per Line'!$C$2:$C$3001,$W55)&amp;"")</f>
        <v/>
      </c>
      <c r="D55">
        <f>IF($W55="","",IF(OR(TRIM(E55)="Orient Insurance Company",TRIM(E55)="Allianz"),TRIM(E55),TRIM(F55)))</f>
        <v/>
      </c>
      <c r="E55">
        <f>IF($W55="","",INDEX('Per Line'!$E$2:$E$3001,$W55)&amp;"")</f>
        <v/>
      </c>
      <c r="F55">
        <f>IF($W55="","",INDEX('Per Line'!$D$2:$D$3001,$W55)&amp;"")</f>
        <v/>
      </c>
      <c r="G55">
        <f>IF($W55="","",INDEX('Per Line'!$F$2:$F$3001,$W55)&amp;"")</f>
        <v/>
      </c>
      <c r="H55">
        <f>IF($W55="","",INDEX('Per Line'!$G$2:$G$3001,$W55)&amp;"")</f>
        <v/>
      </c>
      <c r="I55">
        <f>IF($W55="","",INDEX('Per Line'!$H$2:$H$3001,$W55)&amp;"")</f>
        <v/>
      </c>
      <c r="J55">
        <f>IF($W55="","",INDEX('Per Line'!$I$2:$I$3001,$W55))</f>
        <v/>
      </c>
      <c r="K55" s="7">
        <f>IF($W55="","",J55*T55/100)</f>
        <v/>
      </c>
      <c r="L55" s="14">
        <f>IF($W55="","",INDEX('Per Line'!$V$2:$V$3001,$W55))</f>
        <v/>
      </c>
      <c r="M55">
        <f>IF($W55="","",IF(ISNUMBER(SEARCH("3&amp;12",SUBSTITUTE(F55," ",""))),Settings!$G$7,Settings!$C$7))</f>
        <v/>
      </c>
      <c r="N55" s="7">
        <f>IF($W55="","",SUMIFS('Per Line'!$O$2:$O$3001,'Per Line'!$B$2:$B$3001,$B55,'Per Line'!$AB$2:$AB$3001,0))</f>
        <v/>
      </c>
      <c r="O55" s="7">
        <f>IF($W55="","",N55*M55)</f>
        <v/>
      </c>
      <c r="P55">
        <f>IF($W55="","",IF(ISNUMBER(SEARCH("3&amp;12",SUBSTITUTE(F55," ",""))),Settings!$G$6,Settings!$C$6))</f>
        <v/>
      </c>
      <c r="Q55" s="7">
        <f>IF($W55="","",SUMIFS('Per Line'!$O$2:$O$3001,'Per Line'!$B$2:$B$3001,$B55,'Per Line'!$AB$2:$AB$3001,1))</f>
        <v/>
      </c>
      <c r="R55" s="7">
        <f>IF($W55="","",Q55*P55)</f>
        <v/>
      </c>
      <c r="S55" s="7">
        <f>IF($W55="","",R55+O55)</f>
        <v/>
      </c>
      <c r="T55" s="7">
        <f>IF($W55="","",V55-S55)</f>
        <v/>
      </c>
      <c r="U55" s="7">
        <f>IF($W55="","",V55-S55-K55)</f>
        <v/>
      </c>
      <c r="V55" s="7">
        <f>IF($W55="","",N55+Q55)</f>
        <v/>
      </c>
      <c r="W55" s="16">
        <f>IF(ROWS($W$2:$W55)&lt;=MAX('Per Line'!$AA$2:$AA$3001),MATCH(ROWS($W$2:$W55),'Per Line'!$AA$2:$AA$3001,0),"")</f>
        <v/>
      </c>
      <c r="X55">
        <f>IF($W55="","",D55&amp;"|"&amp;COUNTIF($D$2:$D55,D55))</f>
        <v/>
      </c>
    </row>
    <row r="56">
      <c r="A56" s="15" t="n"/>
      <c r="B56">
        <f>IF($W56="","",INDEX('Per Line'!$B$2:$B$3001,$W56)&amp;"")</f>
        <v/>
      </c>
      <c r="C56">
        <f>IF($W56="","",INDEX('Per Line'!$C$2:$C$3001,$W56)&amp;"")</f>
        <v/>
      </c>
      <c r="D56">
        <f>IF($W56="","",IF(OR(TRIM(E56)="Orient Insurance Company",TRIM(E56)="Allianz"),TRIM(E56),TRIM(F56)))</f>
        <v/>
      </c>
      <c r="E56">
        <f>IF($W56="","",INDEX('Per Line'!$E$2:$E$3001,$W56)&amp;"")</f>
        <v/>
      </c>
      <c r="F56">
        <f>IF($W56="","",INDEX('Per Line'!$D$2:$D$3001,$W56)&amp;"")</f>
        <v/>
      </c>
      <c r="G56">
        <f>IF($W56="","",INDEX('Per Line'!$F$2:$F$3001,$W56)&amp;"")</f>
        <v/>
      </c>
      <c r="H56">
        <f>IF($W56="","",INDEX('Per Line'!$G$2:$G$3001,$W56)&amp;"")</f>
        <v/>
      </c>
      <c r="I56">
        <f>IF($W56="","",INDEX('Per Line'!$H$2:$H$3001,$W56)&amp;"")</f>
        <v/>
      </c>
      <c r="J56">
        <f>IF($W56="","",INDEX('Per Line'!$I$2:$I$3001,$W56))</f>
        <v/>
      </c>
      <c r="K56" s="7">
        <f>IF($W56="","",J56*T56/100)</f>
        <v/>
      </c>
      <c r="L56" s="14">
        <f>IF($W56="","",INDEX('Per Line'!$V$2:$V$3001,$W56))</f>
        <v/>
      </c>
      <c r="M56">
        <f>IF($W56="","",IF(ISNUMBER(SEARCH("3&amp;12",SUBSTITUTE(F56," ",""))),Settings!$G$7,Settings!$C$7))</f>
        <v/>
      </c>
      <c r="N56" s="7">
        <f>IF($W56="","",SUMIFS('Per Line'!$O$2:$O$3001,'Per Line'!$B$2:$B$3001,$B56,'Per Line'!$AB$2:$AB$3001,0))</f>
        <v/>
      </c>
      <c r="O56" s="7">
        <f>IF($W56="","",N56*M56)</f>
        <v/>
      </c>
      <c r="P56">
        <f>IF($W56="","",IF(ISNUMBER(SEARCH("3&amp;12",SUBSTITUTE(F56," ",""))),Settings!$G$6,Settings!$C$6))</f>
        <v/>
      </c>
      <c r="Q56" s="7">
        <f>IF($W56="","",SUMIFS('Per Line'!$O$2:$O$3001,'Per Line'!$B$2:$B$3001,$B56,'Per Line'!$AB$2:$AB$3001,1))</f>
        <v/>
      </c>
      <c r="R56" s="7">
        <f>IF($W56="","",Q56*P56)</f>
        <v/>
      </c>
      <c r="S56" s="7">
        <f>IF($W56="","",R56+O56)</f>
        <v/>
      </c>
      <c r="T56" s="7">
        <f>IF($W56="","",V56-S56)</f>
        <v/>
      </c>
      <c r="U56" s="7">
        <f>IF($W56="","",V56-S56-K56)</f>
        <v/>
      </c>
      <c r="V56" s="7">
        <f>IF($W56="","",N56+Q56)</f>
        <v/>
      </c>
      <c r="W56" s="16">
        <f>IF(ROWS($W$2:$W56)&lt;=MAX('Per Line'!$AA$2:$AA$3001),MATCH(ROWS($W$2:$W56),'Per Line'!$AA$2:$AA$3001,0),"")</f>
        <v/>
      </c>
      <c r="X56">
        <f>IF($W56="","",D56&amp;"|"&amp;COUNTIF($D$2:$D56,D56))</f>
        <v/>
      </c>
    </row>
    <row r="57">
      <c r="A57" s="15" t="n"/>
      <c r="B57">
        <f>IF($W57="","",INDEX('Per Line'!$B$2:$B$3001,$W57)&amp;"")</f>
        <v/>
      </c>
      <c r="C57">
        <f>IF($W57="","",INDEX('Per Line'!$C$2:$C$3001,$W57)&amp;"")</f>
        <v/>
      </c>
      <c r="D57">
        <f>IF($W57="","",IF(OR(TRIM(E57)="Orient Insurance Company",TRIM(E57)="Allianz"),TRIM(E57),TRIM(F57)))</f>
        <v/>
      </c>
      <c r="E57">
        <f>IF($W57="","",INDEX('Per Line'!$E$2:$E$3001,$W57)&amp;"")</f>
        <v/>
      </c>
      <c r="F57">
        <f>IF($W57="","",INDEX('Per Line'!$D$2:$D$3001,$W57)&amp;"")</f>
        <v/>
      </c>
      <c r="G57">
        <f>IF($W57="","",INDEX('Per Line'!$F$2:$F$3001,$W57)&amp;"")</f>
        <v/>
      </c>
      <c r="H57">
        <f>IF($W57="","",INDEX('Per Line'!$G$2:$G$3001,$W57)&amp;"")</f>
        <v/>
      </c>
      <c r="I57">
        <f>IF($W57="","",INDEX('Per Line'!$H$2:$H$3001,$W57)&amp;"")</f>
        <v/>
      </c>
      <c r="J57">
        <f>IF($W57="","",INDEX('Per Line'!$I$2:$I$3001,$W57))</f>
        <v/>
      </c>
      <c r="K57" s="7">
        <f>IF($W57="","",J57*T57/100)</f>
        <v/>
      </c>
      <c r="L57" s="14">
        <f>IF($W57="","",INDEX('Per Line'!$V$2:$V$3001,$W57))</f>
        <v/>
      </c>
      <c r="M57">
        <f>IF($W57="","",IF(ISNUMBER(SEARCH("3&amp;12",SUBSTITUTE(F57," ",""))),Settings!$G$7,Settings!$C$7))</f>
        <v/>
      </c>
      <c r="N57" s="7">
        <f>IF($W57="","",SUMIFS('Per Line'!$O$2:$O$3001,'Per Line'!$B$2:$B$3001,$B57,'Per Line'!$AB$2:$AB$3001,0))</f>
        <v/>
      </c>
      <c r="O57" s="7">
        <f>IF($W57="","",N57*M57)</f>
        <v/>
      </c>
      <c r="P57">
        <f>IF($W57="","",IF(ISNUMBER(SEARCH("3&amp;12",SUBSTITUTE(F57," ",""))),Settings!$G$6,Settings!$C$6))</f>
        <v/>
      </c>
      <c r="Q57" s="7">
        <f>IF($W57="","",SUMIFS('Per Line'!$O$2:$O$3001,'Per Line'!$B$2:$B$3001,$B57,'Per Line'!$AB$2:$AB$3001,1))</f>
        <v/>
      </c>
      <c r="R57" s="7">
        <f>IF($W57="","",Q57*P57)</f>
        <v/>
      </c>
      <c r="S57" s="7">
        <f>IF($W57="","",R57+O57)</f>
        <v/>
      </c>
      <c r="T57" s="7">
        <f>IF($W57="","",V57-S57)</f>
        <v/>
      </c>
      <c r="U57" s="7">
        <f>IF($W57="","",V57-S57-K57)</f>
        <v/>
      </c>
      <c r="V57" s="7">
        <f>IF($W57="","",N57+Q57)</f>
        <v/>
      </c>
      <c r="W57" s="16">
        <f>IF(ROWS($W$2:$W57)&lt;=MAX('Per Line'!$AA$2:$AA$3001),MATCH(ROWS($W$2:$W57),'Per Line'!$AA$2:$AA$3001,0),"")</f>
        <v/>
      </c>
      <c r="X57">
        <f>IF($W57="","",D57&amp;"|"&amp;COUNTIF($D$2:$D57,D57))</f>
        <v/>
      </c>
    </row>
    <row r="58">
      <c r="A58" s="15" t="n"/>
      <c r="B58">
        <f>IF($W58="","",INDEX('Per Line'!$B$2:$B$3001,$W58)&amp;"")</f>
        <v/>
      </c>
      <c r="C58">
        <f>IF($W58="","",INDEX('Per Line'!$C$2:$C$3001,$W58)&amp;"")</f>
        <v/>
      </c>
      <c r="D58">
        <f>IF($W58="","",IF(OR(TRIM(E58)="Orient Insurance Company",TRIM(E58)="Allianz"),TRIM(E58),TRIM(F58)))</f>
        <v/>
      </c>
      <c r="E58">
        <f>IF($W58="","",INDEX('Per Line'!$E$2:$E$3001,$W58)&amp;"")</f>
        <v/>
      </c>
      <c r="F58">
        <f>IF($W58="","",INDEX('Per Line'!$D$2:$D$3001,$W58)&amp;"")</f>
        <v/>
      </c>
      <c r="G58">
        <f>IF($W58="","",INDEX('Per Line'!$F$2:$F$3001,$W58)&amp;"")</f>
        <v/>
      </c>
      <c r="H58">
        <f>IF($W58="","",INDEX('Per Line'!$G$2:$G$3001,$W58)&amp;"")</f>
        <v/>
      </c>
      <c r="I58">
        <f>IF($W58="","",INDEX('Per Line'!$H$2:$H$3001,$W58)&amp;"")</f>
        <v/>
      </c>
      <c r="J58">
        <f>IF($W58="","",INDEX('Per Line'!$I$2:$I$3001,$W58))</f>
        <v/>
      </c>
      <c r="K58" s="7">
        <f>IF($W58="","",J58*T58/100)</f>
        <v/>
      </c>
      <c r="L58" s="14">
        <f>IF($W58="","",INDEX('Per Line'!$V$2:$V$3001,$W58))</f>
        <v/>
      </c>
      <c r="M58">
        <f>IF($W58="","",IF(ISNUMBER(SEARCH("3&amp;12",SUBSTITUTE(F58," ",""))),Settings!$G$7,Settings!$C$7))</f>
        <v/>
      </c>
      <c r="N58" s="7">
        <f>IF($W58="","",SUMIFS('Per Line'!$O$2:$O$3001,'Per Line'!$B$2:$B$3001,$B58,'Per Line'!$AB$2:$AB$3001,0))</f>
        <v/>
      </c>
      <c r="O58" s="7">
        <f>IF($W58="","",N58*M58)</f>
        <v/>
      </c>
      <c r="P58">
        <f>IF($W58="","",IF(ISNUMBER(SEARCH("3&amp;12",SUBSTITUTE(F58," ",""))),Settings!$G$6,Settings!$C$6))</f>
        <v/>
      </c>
      <c r="Q58" s="7">
        <f>IF($W58="","",SUMIFS('Per Line'!$O$2:$O$3001,'Per Line'!$B$2:$B$3001,$B58,'Per Line'!$AB$2:$AB$3001,1))</f>
        <v/>
      </c>
      <c r="R58" s="7">
        <f>IF($W58="","",Q58*P58)</f>
        <v/>
      </c>
      <c r="S58" s="7">
        <f>IF($W58="","",R58+O58)</f>
        <v/>
      </c>
      <c r="T58" s="7">
        <f>IF($W58="","",V58-S58)</f>
        <v/>
      </c>
      <c r="U58" s="7">
        <f>IF($W58="","",V58-S58-K58)</f>
        <v/>
      </c>
      <c r="V58" s="7">
        <f>IF($W58="","",N58+Q58)</f>
        <v/>
      </c>
      <c r="W58" s="16">
        <f>IF(ROWS($W$2:$W58)&lt;=MAX('Per Line'!$AA$2:$AA$3001),MATCH(ROWS($W$2:$W58),'Per Line'!$AA$2:$AA$3001,0),"")</f>
        <v/>
      </c>
      <c r="X58">
        <f>IF($W58="","",D58&amp;"|"&amp;COUNTIF($D$2:$D58,D58))</f>
        <v/>
      </c>
    </row>
    <row r="59">
      <c r="A59" s="15" t="n"/>
      <c r="B59">
        <f>IF($W59="","",INDEX('Per Line'!$B$2:$B$3001,$W59)&amp;"")</f>
        <v/>
      </c>
      <c r="C59">
        <f>IF($W59="","",INDEX('Per Line'!$C$2:$C$3001,$W59)&amp;"")</f>
        <v/>
      </c>
      <c r="D59">
        <f>IF($W59="","",IF(OR(TRIM(E59)="Orient Insurance Company",TRIM(E59)="Allianz"),TRIM(E59),TRIM(F59)))</f>
        <v/>
      </c>
      <c r="E59">
        <f>IF($W59="","",INDEX('Per Line'!$E$2:$E$3001,$W59)&amp;"")</f>
        <v/>
      </c>
      <c r="F59">
        <f>IF($W59="","",INDEX('Per Line'!$D$2:$D$3001,$W59)&amp;"")</f>
        <v/>
      </c>
      <c r="G59">
        <f>IF($W59="","",INDEX('Per Line'!$F$2:$F$3001,$W59)&amp;"")</f>
        <v/>
      </c>
      <c r="H59">
        <f>IF($W59="","",INDEX('Per Line'!$G$2:$G$3001,$W59)&amp;"")</f>
        <v/>
      </c>
      <c r="I59">
        <f>IF($W59="","",INDEX('Per Line'!$H$2:$H$3001,$W59)&amp;"")</f>
        <v/>
      </c>
      <c r="J59">
        <f>IF($W59="","",INDEX('Per Line'!$I$2:$I$3001,$W59))</f>
        <v/>
      </c>
      <c r="K59" s="7">
        <f>IF($W59="","",J59*T59/100)</f>
        <v/>
      </c>
      <c r="L59" s="14">
        <f>IF($W59="","",INDEX('Per Line'!$V$2:$V$3001,$W59))</f>
        <v/>
      </c>
      <c r="M59">
        <f>IF($W59="","",IF(ISNUMBER(SEARCH("3&amp;12",SUBSTITUTE(F59," ",""))),Settings!$G$7,Settings!$C$7))</f>
        <v/>
      </c>
      <c r="N59" s="7">
        <f>IF($W59="","",SUMIFS('Per Line'!$O$2:$O$3001,'Per Line'!$B$2:$B$3001,$B59,'Per Line'!$AB$2:$AB$3001,0))</f>
        <v/>
      </c>
      <c r="O59" s="7">
        <f>IF($W59="","",N59*M59)</f>
        <v/>
      </c>
      <c r="P59">
        <f>IF($W59="","",IF(ISNUMBER(SEARCH("3&amp;12",SUBSTITUTE(F59," ",""))),Settings!$G$6,Settings!$C$6))</f>
        <v/>
      </c>
      <c r="Q59" s="7">
        <f>IF($W59="","",SUMIFS('Per Line'!$O$2:$O$3001,'Per Line'!$B$2:$B$3001,$B59,'Per Line'!$AB$2:$AB$3001,1))</f>
        <v/>
      </c>
      <c r="R59" s="7">
        <f>IF($W59="","",Q59*P59)</f>
        <v/>
      </c>
      <c r="S59" s="7">
        <f>IF($W59="","",R59+O59)</f>
        <v/>
      </c>
      <c r="T59" s="7">
        <f>IF($W59="","",V59-S59)</f>
        <v/>
      </c>
      <c r="U59" s="7">
        <f>IF($W59="","",V59-S59-K59)</f>
        <v/>
      </c>
      <c r="V59" s="7">
        <f>IF($W59="","",N59+Q59)</f>
        <v/>
      </c>
      <c r="W59" s="16">
        <f>IF(ROWS($W$2:$W59)&lt;=MAX('Per Line'!$AA$2:$AA$3001),MATCH(ROWS($W$2:$W59),'Per Line'!$AA$2:$AA$3001,0),"")</f>
        <v/>
      </c>
      <c r="X59">
        <f>IF($W59="","",D59&amp;"|"&amp;COUNTIF($D$2:$D59,D59))</f>
        <v/>
      </c>
    </row>
    <row r="60">
      <c r="A60" s="15" t="n"/>
      <c r="B60">
        <f>IF($W60="","",INDEX('Per Line'!$B$2:$B$3001,$W60)&amp;"")</f>
        <v/>
      </c>
      <c r="C60">
        <f>IF($W60="","",INDEX('Per Line'!$C$2:$C$3001,$W60)&amp;"")</f>
        <v/>
      </c>
      <c r="D60">
        <f>IF($W60="","",IF(OR(TRIM(E60)="Orient Insurance Company",TRIM(E60)="Allianz"),TRIM(E60),TRIM(F60)))</f>
        <v/>
      </c>
      <c r="E60">
        <f>IF($W60="","",INDEX('Per Line'!$E$2:$E$3001,$W60)&amp;"")</f>
        <v/>
      </c>
      <c r="F60">
        <f>IF($W60="","",INDEX('Per Line'!$D$2:$D$3001,$W60)&amp;"")</f>
        <v/>
      </c>
      <c r="G60">
        <f>IF($W60="","",INDEX('Per Line'!$F$2:$F$3001,$W60)&amp;"")</f>
        <v/>
      </c>
      <c r="H60">
        <f>IF($W60="","",INDEX('Per Line'!$G$2:$G$3001,$W60)&amp;"")</f>
        <v/>
      </c>
      <c r="I60">
        <f>IF($W60="","",INDEX('Per Line'!$H$2:$H$3001,$W60)&amp;"")</f>
        <v/>
      </c>
      <c r="J60">
        <f>IF($W60="","",INDEX('Per Line'!$I$2:$I$3001,$W60))</f>
        <v/>
      </c>
      <c r="K60" s="7">
        <f>IF($W60="","",J60*T60/100)</f>
        <v/>
      </c>
      <c r="L60" s="14">
        <f>IF($W60="","",INDEX('Per Line'!$V$2:$V$3001,$W60))</f>
        <v/>
      </c>
      <c r="M60">
        <f>IF($W60="","",IF(ISNUMBER(SEARCH("3&amp;12",SUBSTITUTE(F60," ",""))),Settings!$G$7,Settings!$C$7))</f>
        <v/>
      </c>
      <c r="N60" s="7">
        <f>IF($W60="","",SUMIFS('Per Line'!$O$2:$O$3001,'Per Line'!$B$2:$B$3001,$B60,'Per Line'!$AB$2:$AB$3001,0))</f>
        <v/>
      </c>
      <c r="O60" s="7">
        <f>IF($W60="","",N60*M60)</f>
        <v/>
      </c>
      <c r="P60">
        <f>IF($W60="","",IF(ISNUMBER(SEARCH("3&amp;12",SUBSTITUTE(F60," ",""))),Settings!$G$6,Settings!$C$6))</f>
        <v/>
      </c>
      <c r="Q60" s="7">
        <f>IF($W60="","",SUMIFS('Per Line'!$O$2:$O$3001,'Per Line'!$B$2:$B$3001,$B60,'Per Line'!$AB$2:$AB$3001,1))</f>
        <v/>
      </c>
      <c r="R60" s="7">
        <f>IF($W60="","",Q60*P60)</f>
        <v/>
      </c>
      <c r="S60" s="7">
        <f>IF($W60="","",R60+O60)</f>
        <v/>
      </c>
      <c r="T60" s="7">
        <f>IF($W60="","",V60-S60)</f>
        <v/>
      </c>
      <c r="U60" s="7">
        <f>IF($W60="","",V60-S60-K60)</f>
        <v/>
      </c>
      <c r="V60" s="7">
        <f>IF($W60="","",N60+Q60)</f>
        <v/>
      </c>
      <c r="W60" s="16">
        <f>IF(ROWS($W$2:$W60)&lt;=MAX('Per Line'!$AA$2:$AA$3001),MATCH(ROWS($W$2:$W60),'Per Line'!$AA$2:$AA$3001,0),"")</f>
        <v/>
      </c>
      <c r="X60">
        <f>IF($W60="","",D60&amp;"|"&amp;COUNTIF($D$2:$D60,D60))</f>
        <v/>
      </c>
    </row>
    <row r="61">
      <c r="A61" s="15" t="n"/>
      <c r="B61">
        <f>IF($W61="","",INDEX('Per Line'!$B$2:$B$3001,$W61)&amp;"")</f>
        <v/>
      </c>
      <c r="C61">
        <f>IF($W61="","",INDEX('Per Line'!$C$2:$C$3001,$W61)&amp;"")</f>
        <v/>
      </c>
      <c r="D61">
        <f>IF($W61="","",IF(OR(TRIM(E61)="Orient Insurance Company",TRIM(E61)="Allianz"),TRIM(E61),TRIM(F61)))</f>
        <v/>
      </c>
      <c r="E61">
        <f>IF($W61="","",INDEX('Per Line'!$E$2:$E$3001,$W61)&amp;"")</f>
        <v/>
      </c>
      <c r="F61">
        <f>IF($W61="","",INDEX('Per Line'!$D$2:$D$3001,$W61)&amp;"")</f>
        <v/>
      </c>
      <c r="G61">
        <f>IF($W61="","",INDEX('Per Line'!$F$2:$F$3001,$W61)&amp;"")</f>
        <v/>
      </c>
      <c r="H61">
        <f>IF($W61="","",INDEX('Per Line'!$G$2:$G$3001,$W61)&amp;"")</f>
        <v/>
      </c>
      <c r="I61">
        <f>IF($W61="","",INDEX('Per Line'!$H$2:$H$3001,$W61)&amp;"")</f>
        <v/>
      </c>
      <c r="J61">
        <f>IF($W61="","",INDEX('Per Line'!$I$2:$I$3001,$W61))</f>
        <v/>
      </c>
      <c r="K61" s="7">
        <f>IF($W61="","",J61*T61/100)</f>
        <v/>
      </c>
      <c r="L61" s="14">
        <f>IF($W61="","",INDEX('Per Line'!$V$2:$V$3001,$W61))</f>
        <v/>
      </c>
      <c r="M61">
        <f>IF($W61="","",IF(ISNUMBER(SEARCH("3&amp;12",SUBSTITUTE(F61," ",""))),Settings!$G$7,Settings!$C$7))</f>
        <v/>
      </c>
      <c r="N61" s="7">
        <f>IF($W61="","",SUMIFS('Per Line'!$O$2:$O$3001,'Per Line'!$B$2:$B$3001,$B61,'Per Line'!$AB$2:$AB$3001,0))</f>
        <v/>
      </c>
      <c r="O61" s="7">
        <f>IF($W61="","",N61*M61)</f>
        <v/>
      </c>
      <c r="P61">
        <f>IF($W61="","",IF(ISNUMBER(SEARCH("3&amp;12",SUBSTITUTE(F61," ",""))),Settings!$G$6,Settings!$C$6))</f>
        <v/>
      </c>
      <c r="Q61" s="7">
        <f>IF($W61="","",SUMIFS('Per Line'!$O$2:$O$3001,'Per Line'!$B$2:$B$3001,$B61,'Per Line'!$AB$2:$AB$3001,1))</f>
        <v/>
      </c>
      <c r="R61" s="7">
        <f>IF($W61="","",Q61*P61)</f>
        <v/>
      </c>
      <c r="S61" s="7">
        <f>IF($W61="","",R61+O61)</f>
        <v/>
      </c>
      <c r="T61" s="7">
        <f>IF($W61="","",V61-S61)</f>
        <v/>
      </c>
      <c r="U61" s="7">
        <f>IF($W61="","",V61-S61-K61)</f>
        <v/>
      </c>
      <c r="V61" s="7">
        <f>IF($W61="","",N61+Q61)</f>
        <v/>
      </c>
      <c r="W61" s="16">
        <f>IF(ROWS($W$2:$W61)&lt;=MAX('Per Line'!$AA$2:$AA$3001),MATCH(ROWS($W$2:$W61),'Per Line'!$AA$2:$AA$3001,0),"")</f>
        <v/>
      </c>
      <c r="X61">
        <f>IF($W61="","",D61&amp;"|"&amp;COUNTIF($D$2:$D61,D61))</f>
        <v/>
      </c>
    </row>
    <row r="62">
      <c r="A62" s="15" t="n"/>
      <c r="B62">
        <f>IF($W62="","",INDEX('Per Line'!$B$2:$B$3001,$W62)&amp;"")</f>
        <v/>
      </c>
      <c r="C62">
        <f>IF($W62="","",INDEX('Per Line'!$C$2:$C$3001,$W62)&amp;"")</f>
        <v/>
      </c>
      <c r="D62">
        <f>IF($W62="","",IF(OR(TRIM(E62)="Orient Insurance Company",TRIM(E62)="Allianz"),TRIM(E62),TRIM(F62)))</f>
        <v/>
      </c>
      <c r="E62">
        <f>IF($W62="","",INDEX('Per Line'!$E$2:$E$3001,$W62)&amp;"")</f>
        <v/>
      </c>
      <c r="F62">
        <f>IF($W62="","",INDEX('Per Line'!$D$2:$D$3001,$W62)&amp;"")</f>
        <v/>
      </c>
      <c r="G62">
        <f>IF($W62="","",INDEX('Per Line'!$F$2:$F$3001,$W62)&amp;"")</f>
        <v/>
      </c>
      <c r="H62">
        <f>IF($W62="","",INDEX('Per Line'!$G$2:$G$3001,$W62)&amp;"")</f>
        <v/>
      </c>
      <c r="I62">
        <f>IF($W62="","",INDEX('Per Line'!$H$2:$H$3001,$W62)&amp;"")</f>
        <v/>
      </c>
      <c r="J62">
        <f>IF($W62="","",INDEX('Per Line'!$I$2:$I$3001,$W62))</f>
        <v/>
      </c>
      <c r="K62" s="7">
        <f>IF($W62="","",J62*T62/100)</f>
        <v/>
      </c>
      <c r="L62" s="14">
        <f>IF($W62="","",INDEX('Per Line'!$V$2:$V$3001,$W62))</f>
        <v/>
      </c>
      <c r="M62">
        <f>IF($W62="","",IF(ISNUMBER(SEARCH("3&amp;12",SUBSTITUTE(F62," ",""))),Settings!$G$7,Settings!$C$7))</f>
        <v/>
      </c>
      <c r="N62" s="7">
        <f>IF($W62="","",SUMIFS('Per Line'!$O$2:$O$3001,'Per Line'!$B$2:$B$3001,$B62,'Per Line'!$AB$2:$AB$3001,0))</f>
        <v/>
      </c>
      <c r="O62" s="7">
        <f>IF($W62="","",N62*M62)</f>
        <v/>
      </c>
      <c r="P62">
        <f>IF($W62="","",IF(ISNUMBER(SEARCH("3&amp;12",SUBSTITUTE(F62," ",""))),Settings!$G$6,Settings!$C$6))</f>
        <v/>
      </c>
      <c r="Q62" s="7">
        <f>IF($W62="","",SUMIFS('Per Line'!$O$2:$O$3001,'Per Line'!$B$2:$B$3001,$B62,'Per Line'!$AB$2:$AB$3001,1))</f>
        <v/>
      </c>
      <c r="R62" s="7">
        <f>IF($W62="","",Q62*P62)</f>
        <v/>
      </c>
      <c r="S62" s="7">
        <f>IF($W62="","",R62+O62)</f>
        <v/>
      </c>
      <c r="T62" s="7">
        <f>IF($W62="","",V62-S62)</f>
        <v/>
      </c>
      <c r="U62" s="7">
        <f>IF($W62="","",V62-S62-K62)</f>
        <v/>
      </c>
      <c r="V62" s="7">
        <f>IF($W62="","",N62+Q62)</f>
        <v/>
      </c>
      <c r="W62" s="16">
        <f>IF(ROWS($W$2:$W62)&lt;=MAX('Per Line'!$AA$2:$AA$3001),MATCH(ROWS($W$2:$W62),'Per Line'!$AA$2:$AA$3001,0),"")</f>
        <v/>
      </c>
      <c r="X62">
        <f>IF($W62="","",D62&amp;"|"&amp;COUNTIF($D$2:$D62,D62))</f>
        <v/>
      </c>
    </row>
    <row r="63">
      <c r="A63" s="15" t="n"/>
      <c r="B63">
        <f>IF($W63="","",INDEX('Per Line'!$B$2:$B$3001,$W63)&amp;"")</f>
        <v/>
      </c>
      <c r="C63">
        <f>IF($W63="","",INDEX('Per Line'!$C$2:$C$3001,$W63)&amp;"")</f>
        <v/>
      </c>
      <c r="D63">
        <f>IF($W63="","",IF(OR(TRIM(E63)="Orient Insurance Company",TRIM(E63)="Allianz"),TRIM(E63),TRIM(F63)))</f>
        <v/>
      </c>
      <c r="E63">
        <f>IF($W63="","",INDEX('Per Line'!$E$2:$E$3001,$W63)&amp;"")</f>
        <v/>
      </c>
      <c r="F63">
        <f>IF($W63="","",INDEX('Per Line'!$D$2:$D$3001,$W63)&amp;"")</f>
        <v/>
      </c>
      <c r="G63">
        <f>IF($W63="","",INDEX('Per Line'!$F$2:$F$3001,$W63)&amp;"")</f>
        <v/>
      </c>
      <c r="H63">
        <f>IF($W63="","",INDEX('Per Line'!$G$2:$G$3001,$W63)&amp;"")</f>
        <v/>
      </c>
      <c r="I63">
        <f>IF($W63="","",INDEX('Per Line'!$H$2:$H$3001,$W63)&amp;"")</f>
        <v/>
      </c>
      <c r="J63">
        <f>IF($W63="","",INDEX('Per Line'!$I$2:$I$3001,$W63))</f>
        <v/>
      </c>
      <c r="K63" s="7">
        <f>IF($W63="","",J63*T63/100)</f>
        <v/>
      </c>
      <c r="L63" s="14">
        <f>IF($W63="","",INDEX('Per Line'!$V$2:$V$3001,$W63))</f>
        <v/>
      </c>
      <c r="M63">
        <f>IF($W63="","",IF(ISNUMBER(SEARCH("3&amp;12",SUBSTITUTE(F63," ",""))),Settings!$G$7,Settings!$C$7))</f>
        <v/>
      </c>
      <c r="N63" s="7">
        <f>IF($W63="","",SUMIFS('Per Line'!$O$2:$O$3001,'Per Line'!$B$2:$B$3001,$B63,'Per Line'!$AB$2:$AB$3001,0))</f>
        <v/>
      </c>
      <c r="O63" s="7">
        <f>IF($W63="","",N63*M63)</f>
        <v/>
      </c>
      <c r="P63">
        <f>IF($W63="","",IF(ISNUMBER(SEARCH("3&amp;12",SUBSTITUTE(F63," ",""))),Settings!$G$6,Settings!$C$6))</f>
        <v/>
      </c>
      <c r="Q63" s="7">
        <f>IF($W63="","",SUMIFS('Per Line'!$O$2:$O$3001,'Per Line'!$B$2:$B$3001,$B63,'Per Line'!$AB$2:$AB$3001,1))</f>
        <v/>
      </c>
      <c r="R63" s="7">
        <f>IF($W63="","",Q63*P63)</f>
        <v/>
      </c>
      <c r="S63" s="7">
        <f>IF($W63="","",R63+O63)</f>
        <v/>
      </c>
      <c r="T63" s="7">
        <f>IF($W63="","",V63-S63)</f>
        <v/>
      </c>
      <c r="U63" s="7">
        <f>IF($W63="","",V63-S63-K63)</f>
        <v/>
      </c>
      <c r="V63" s="7">
        <f>IF($W63="","",N63+Q63)</f>
        <v/>
      </c>
      <c r="W63" s="16">
        <f>IF(ROWS($W$2:$W63)&lt;=MAX('Per Line'!$AA$2:$AA$3001),MATCH(ROWS($W$2:$W63),'Per Line'!$AA$2:$AA$3001,0),"")</f>
        <v/>
      </c>
      <c r="X63">
        <f>IF($W63="","",D63&amp;"|"&amp;COUNTIF($D$2:$D63,D63))</f>
        <v/>
      </c>
    </row>
    <row r="64">
      <c r="A64" s="15" t="n"/>
      <c r="B64">
        <f>IF($W64="","",INDEX('Per Line'!$B$2:$B$3001,$W64)&amp;"")</f>
        <v/>
      </c>
      <c r="C64">
        <f>IF($W64="","",INDEX('Per Line'!$C$2:$C$3001,$W64)&amp;"")</f>
        <v/>
      </c>
      <c r="D64">
        <f>IF($W64="","",IF(OR(TRIM(E64)="Orient Insurance Company",TRIM(E64)="Allianz"),TRIM(E64),TRIM(F64)))</f>
        <v/>
      </c>
      <c r="E64">
        <f>IF($W64="","",INDEX('Per Line'!$E$2:$E$3001,$W64)&amp;"")</f>
        <v/>
      </c>
      <c r="F64">
        <f>IF($W64="","",INDEX('Per Line'!$D$2:$D$3001,$W64)&amp;"")</f>
        <v/>
      </c>
      <c r="G64">
        <f>IF($W64="","",INDEX('Per Line'!$F$2:$F$3001,$W64)&amp;"")</f>
        <v/>
      </c>
      <c r="H64">
        <f>IF($W64="","",INDEX('Per Line'!$G$2:$G$3001,$W64)&amp;"")</f>
        <v/>
      </c>
      <c r="I64">
        <f>IF($W64="","",INDEX('Per Line'!$H$2:$H$3001,$W64)&amp;"")</f>
        <v/>
      </c>
      <c r="J64">
        <f>IF($W64="","",INDEX('Per Line'!$I$2:$I$3001,$W64))</f>
        <v/>
      </c>
      <c r="K64" s="7">
        <f>IF($W64="","",J64*T64/100)</f>
        <v/>
      </c>
      <c r="L64" s="14">
        <f>IF($W64="","",INDEX('Per Line'!$V$2:$V$3001,$W64))</f>
        <v/>
      </c>
      <c r="M64">
        <f>IF($W64="","",IF(ISNUMBER(SEARCH("3&amp;12",SUBSTITUTE(F64," ",""))),Settings!$G$7,Settings!$C$7))</f>
        <v/>
      </c>
      <c r="N64" s="7">
        <f>IF($W64="","",SUMIFS('Per Line'!$O$2:$O$3001,'Per Line'!$B$2:$B$3001,$B64,'Per Line'!$AB$2:$AB$3001,0))</f>
        <v/>
      </c>
      <c r="O64" s="7">
        <f>IF($W64="","",N64*M64)</f>
        <v/>
      </c>
      <c r="P64">
        <f>IF($W64="","",IF(ISNUMBER(SEARCH("3&amp;12",SUBSTITUTE(F64," ",""))),Settings!$G$6,Settings!$C$6))</f>
        <v/>
      </c>
      <c r="Q64" s="7">
        <f>IF($W64="","",SUMIFS('Per Line'!$O$2:$O$3001,'Per Line'!$B$2:$B$3001,$B64,'Per Line'!$AB$2:$AB$3001,1))</f>
        <v/>
      </c>
      <c r="R64" s="7">
        <f>IF($W64="","",Q64*P64)</f>
        <v/>
      </c>
      <c r="S64" s="7">
        <f>IF($W64="","",R64+O64)</f>
        <v/>
      </c>
      <c r="T64" s="7">
        <f>IF($W64="","",V64-S64)</f>
        <v/>
      </c>
      <c r="U64" s="7">
        <f>IF($W64="","",V64-S64-K64)</f>
        <v/>
      </c>
      <c r="V64" s="7">
        <f>IF($W64="","",N64+Q64)</f>
        <v/>
      </c>
      <c r="W64" s="16">
        <f>IF(ROWS($W$2:$W64)&lt;=MAX('Per Line'!$AA$2:$AA$3001),MATCH(ROWS($W$2:$W64),'Per Line'!$AA$2:$AA$3001,0),"")</f>
        <v/>
      </c>
      <c r="X64">
        <f>IF($W64="","",D64&amp;"|"&amp;COUNTIF($D$2:$D64,D64))</f>
        <v/>
      </c>
    </row>
    <row r="65">
      <c r="A65" s="15" t="n"/>
      <c r="B65">
        <f>IF($W65="","",INDEX('Per Line'!$B$2:$B$3001,$W65)&amp;"")</f>
        <v/>
      </c>
      <c r="C65">
        <f>IF($W65="","",INDEX('Per Line'!$C$2:$C$3001,$W65)&amp;"")</f>
        <v/>
      </c>
      <c r="D65">
        <f>IF($W65="","",IF(OR(TRIM(E65)="Orient Insurance Company",TRIM(E65)="Allianz"),TRIM(E65),TRIM(F65)))</f>
        <v/>
      </c>
      <c r="E65">
        <f>IF($W65="","",INDEX('Per Line'!$E$2:$E$3001,$W65)&amp;"")</f>
        <v/>
      </c>
      <c r="F65">
        <f>IF($W65="","",INDEX('Per Line'!$D$2:$D$3001,$W65)&amp;"")</f>
        <v/>
      </c>
      <c r="G65">
        <f>IF($W65="","",INDEX('Per Line'!$F$2:$F$3001,$W65)&amp;"")</f>
        <v/>
      </c>
      <c r="H65">
        <f>IF($W65="","",INDEX('Per Line'!$G$2:$G$3001,$W65)&amp;"")</f>
        <v/>
      </c>
      <c r="I65">
        <f>IF($W65="","",INDEX('Per Line'!$H$2:$H$3001,$W65)&amp;"")</f>
        <v/>
      </c>
      <c r="J65">
        <f>IF($W65="","",INDEX('Per Line'!$I$2:$I$3001,$W65))</f>
        <v/>
      </c>
      <c r="K65" s="7">
        <f>IF($W65="","",J65*T65/100)</f>
        <v/>
      </c>
      <c r="L65" s="14">
        <f>IF($W65="","",INDEX('Per Line'!$V$2:$V$3001,$W65))</f>
        <v/>
      </c>
      <c r="M65">
        <f>IF($W65="","",IF(ISNUMBER(SEARCH("3&amp;12",SUBSTITUTE(F65," ",""))),Settings!$G$7,Settings!$C$7))</f>
        <v/>
      </c>
      <c r="N65" s="7">
        <f>IF($W65="","",SUMIFS('Per Line'!$O$2:$O$3001,'Per Line'!$B$2:$B$3001,$B65,'Per Line'!$AB$2:$AB$3001,0))</f>
        <v/>
      </c>
      <c r="O65" s="7">
        <f>IF($W65="","",N65*M65)</f>
        <v/>
      </c>
      <c r="P65">
        <f>IF($W65="","",IF(ISNUMBER(SEARCH("3&amp;12",SUBSTITUTE(F65," ",""))),Settings!$G$6,Settings!$C$6))</f>
        <v/>
      </c>
      <c r="Q65" s="7">
        <f>IF($W65="","",SUMIFS('Per Line'!$O$2:$O$3001,'Per Line'!$B$2:$B$3001,$B65,'Per Line'!$AB$2:$AB$3001,1))</f>
        <v/>
      </c>
      <c r="R65" s="7">
        <f>IF($W65="","",Q65*P65)</f>
        <v/>
      </c>
      <c r="S65" s="7">
        <f>IF($W65="","",R65+O65)</f>
        <v/>
      </c>
      <c r="T65" s="7">
        <f>IF($W65="","",V65-S65)</f>
        <v/>
      </c>
      <c r="U65" s="7">
        <f>IF($W65="","",V65-S65-K65)</f>
        <v/>
      </c>
      <c r="V65" s="7">
        <f>IF($W65="","",N65+Q65)</f>
        <v/>
      </c>
      <c r="W65" s="16">
        <f>IF(ROWS($W$2:$W65)&lt;=MAX('Per Line'!$AA$2:$AA$3001),MATCH(ROWS($W$2:$W65),'Per Line'!$AA$2:$AA$3001,0),"")</f>
        <v/>
      </c>
      <c r="X65">
        <f>IF($W65="","",D65&amp;"|"&amp;COUNTIF($D$2:$D65,D65))</f>
        <v/>
      </c>
    </row>
    <row r="66">
      <c r="A66" s="15" t="n"/>
      <c r="B66">
        <f>IF($W66="","",INDEX('Per Line'!$B$2:$B$3001,$W66)&amp;"")</f>
        <v/>
      </c>
      <c r="C66">
        <f>IF($W66="","",INDEX('Per Line'!$C$2:$C$3001,$W66)&amp;"")</f>
        <v/>
      </c>
      <c r="D66">
        <f>IF($W66="","",IF(OR(TRIM(E66)="Orient Insurance Company",TRIM(E66)="Allianz"),TRIM(E66),TRIM(F66)))</f>
        <v/>
      </c>
      <c r="E66">
        <f>IF($W66="","",INDEX('Per Line'!$E$2:$E$3001,$W66)&amp;"")</f>
        <v/>
      </c>
      <c r="F66">
        <f>IF($W66="","",INDEX('Per Line'!$D$2:$D$3001,$W66)&amp;"")</f>
        <v/>
      </c>
      <c r="G66">
        <f>IF($W66="","",INDEX('Per Line'!$F$2:$F$3001,$W66)&amp;"")</f>
        <v/>
      </c>
      <c r="H66">
        <f>IF($W66="","",INDEX('Per Line'!$G$2:$G$3001,$W66)&amp;"")</f>
        <v/>
      </c>
      <c r="I66">
        <f>IF($W66="","",INDEX('Per Line'!$H$2:$H$3001,$W66)&amp;"")</f>
        <v/>
      </c>
      <c r="J66">
        <f>IF($W66="","",INDEX('Per Line'!$I$2:$I$3001,$W66))</f>
        <v/>
      </c>
      <c r="K66" s="7">
        <f>IF($W66="","",J66*T66/100)</f>
        <v/>
      </c>
      <c r="L66" s="14">
        <f>IF($W66="","",INDEX('Per Line'!$V$2:$V$3001,$W66))</f>
        <v/>
      </c>
      <c r="M66">
        <f>IF($W66="","",IF(ISNUMBER(SEARCH("3&amp;12",SUBSTITUTE(F66," ",""))),Settings!$G$7,Settings!$C$7))</f>
        <v/>
      </c>
      <c r="N66" s="7">
        <f>IF($W66="","",SUMIFS('Per Line'!$O$2:$O$3001,'Per Line'!$B$2:$B$3001,$B66,'Per Line'!$AB$2:$AB$3001,0))</f>
        <v/>
      </c>
      <c r="O66" s="7">
        <f>IF($W66="","",N66*M66)</f>
        <v/>
      </c>
      <c r="P66">
        <f>IF($W66="","",IF(ISNUMBER(SEARCH("3&amp;12",SUBSTITUTE(F66," ",""))),Settings!$G$6,Settings!$C$6))</f>
        <v/>
      </c>
      <c r="Q66" s="7">
        <f>IF($W66="","",SUMIFS('Per Line'!$O$2:$O$3001,'Per Line'!$B$2:$B$3001,$B66,'Per Line'!$AB$2:$AB$3001,1))</f>
        <v/>
      </c>
      <c r="R66" s="7">
        <f>IF($W66="","",Q66*P66)</f>
        <v/>
      </c>
      <c r="S66" s="7">
        <f>IF($W66="","",R66+O66)</f>
        <v/>
      </c>
      <c r="T66" s="7">
        <f>IF($W66="","",V66-S66)</f>
        <v/>
      </c>
      <c r="U66" s="7">
        <f>IF($W66="","",V66-S66-K66)</f>
        <v/>
      </c>
      <c r="V66" s="7">
        <f>IF($W66="","",N66+Q66)</f>
        <v/>
      </c>
      <c r="W66" s="16">
        <f>IF(ROWS($W$2:$W66)&lt;=MAX('Per Line'!$AA$2:$AA$3001),MATCH(ROWS($W$2:$W66),'Per Line'!$AA$2:$AA$3001,0),"")</f>
        <v/>
      </c>
      <c r="X66">
        <f>IF($W66="","",D66&amp;"|"&amp;COUNTIF($D$2:$D66,D66))</f>
        <v/>
      </c>
    </row>
    <row r="67">
      <c r="A67" s="15" t="n"/>
      <c r="B67">
        <f>IF($W67="","",INDEX('Per Line'!$B$2:$B$3001,$W67)&amp;"")</f>
        <v/>
      </c>
      <c r="C67">
        <f>IF($W67="","",INDEX('Per Line'!$C$2:$C$3001,$W67)&amp;"")</f>
        <v/>
      </c>
      <c r="D67">
        <f>IF($W67="","",IF(OR(TRIM(E67)="Orient Insurance Company",TRIM(E67)="Allianz"),TRIM(E67),TRIM(F67)))</f>
        <v/>
      </c>
      <c r="E67">
        <f>IF($W67="","",INDEX('Per Line'!$E$2:$E$3001,$W67)&amp;"")</f>
        <v/>
      </c>
      <c r="F67">
        <f>IF($W67="","",INDEX('Per Line'!$D$2:$D$3001,$W67)&amp;"")</f>
        <v/>
      </c>
      <c r="G67">
        <f>IF($W67="","",INDEX('Per Line'!$F$2:$F$3001,$W67)&amp;"")</f>
        <v/>
      </c>
      <c r="H67">
        <f>IF($W67="","",INDEX('Per Line'!$G$2:$G$3001,$W67)&amp;"")</f>
        <v/>
      </c>
      <c r="I67">
        <f>IF($W67="","",INDEX('Per Line'!$H$2:$H$3001,$W67)&amp;"")</f>
        <v/>
      </c>
      <c r="J67">
        <f>IF($W67="","",INDEX('Per Line'!$I$2:$I$3001,$W67))</f>
        <v/>
      </c>
      <c r="K67" s="7">
        <f>IF($W67="","",J67*T67/100)</f>
        <v/>
      </c>
      <c r="L67" s="14">
        <f>IF($W67="","",INDEX('Per Line'!$V$2:$V$3001,$W67))</f>
        <v/>
      </c>
      <c r="M67">
        <f>IF($W67="","",IF(ISNUMBER(SEARCH("3&amp;12",SUBSTITUTE(F67," ",""))),Settings!$G$7,Settings!$C$7))</f>
        <v/>
      </c>
      <c r="N67" s="7">
        <f>IF($W67="","",SUMIFS('Per Line'!$O$2:$O$3001,'Per Line'!$B$2:$B$3001,$B67,'Per Line'!$AB$2:$AB$3001,0))</f>
        <v/>
      </c>
      <c r="O67" s="7">
        <f>IF($W67="","",N67*M67)</f>
        <v/>
      </c>
      <c r="P67">
        <f>IF($W67="","",IF(ISNUMBER(SEARCH("3&amp;12",SUBSTITUTE(F67," ",""))),Settings!$G$6,Settings!$C$6))</f>
        <v/>
      </c>
      <c r="Q67" s="7">
        <f>IF($W67="","",SUMIFS('Per Line'!$O$2:$O$3001,'Per Line'!$B$2:$B$3001,$B67,'Per Line'!$AB$2:$AB$3001,1))</f>
        <v/>
      </c>
      <c r="R67" s="7">
        <f>IF($W67="","",Q67*P67)</f>
        <v/>
      </c>
      <c r="S67" s="7">
        <f>IF($W67="","",R67+O67)</f>
        <v/>
      </c>
      <c r="T67" s="7">
        <f>IF($W67="","",V67-S67)</f>
        <v/>
      </c>
      <c r="U67" s="7">
        <f>IF($W67="","",V67-S67-K67)</f>
        <v/>
      </c>
      <c r="V67" s="7">
        <f>IF($W67="","",N67+Q67)</f>
        <v/>
      </c>
      <c r="W67" s="16">
        <f>IF(ROWS($W$2:$W67)&lt;=MAX('Per Line'!$AA$2:$AA$3001),MATCH(ROWS($W$2:$W67),'Per Line'!$AA$2:$AA$3001,0),"")</f>
        <v/>
      </c>
      <c r="X67">
        <f>IF($W67="","",D67&amp;"|"&amp;COUNTIF($D$2:$D67,D67))</f>
        <v/>
      </c>
    </row>
    <row r="68">
      <c r="A68" s="15" t="n"/>
      <c r="B68">
        <f>IF($W68="","",INDEX('Per Line'!$B$2:$B$3001,$W68)&amp;"")</f>
        <v/>
      </c>
      <c r="C68">
        <f>IF($W68="","",INDEX('Per Line'!$C$2:$C$3001,$W68)&amp;"")</f>
        <v/>
      </c>
      <c r="D68">
        <f>IF($W68="","",IF(OR(TRIM(E68)="Orient Insurance Company",TRIM(E68)="Allianz"),TRIM(E68),TRIM(F68)))</f>
        <v/>
      </c>
      <c r="E68">
        <f>IF($W68="","",INDEX('Per Line'!$E$2:$E$3001,$W68)&amp;"")</f>
        <v/>
      </c>
      <c r="F68">
        <f>IF($W68="","",INDEX('Per Line'!$D$2:$D$3001,$W68)&amp;"")</f>
        <v/>
      </c>
      <c r="G68">
        <f>IF($W68="","",INDEX('Per Line'!$F$2:$F$3001,$W68)&amp;"")</f>
        <v/>
      </c>
      <c r="H68">
        <f>IF($W68="","",INDEX('Per Line'!$G$2:$G$3001,$W68)&amp;"")</f>
        <v/>
      </c>
      <c r="I68">
        <f>IF($W68="","",INDEX('Per Line'!$H$2:$H$3001,$W68)&amp;"")</f>
        <v/>
      </c>
      <c r="J68">
        <f>IF($W68="","",INDEX('Per Line'!$I$2:$I$3001,$W68))</f>
        <v/>
      </c>
      <c r="K68" s="7">
        <f>IF($W68="","",J68*T68/100)</f>
        <v/>
      </c>
      <c r="L68" s="14">
        <f>IF($W68="","",INDEX('Per Line'!$V$2:$V$3001,$W68))</f>
        <v/>
      </c>
      <c r="M68">
        <f>IF($W68="","",IF(ISNUMBER(SEARCH("3&amp;12",SUBSTITUTE(F68," ",""))),Settings!$G$7,Settings!$C$7))</f>
        <v/>
      </c>
      <c r="N68" s="7">
        <f>IF($W68="","",SUMIFS('Per Line'!$O$2:$O$3001,'Per Line'!$B$2:$B$3001,$B68,'Per Line'!$AB$2:$AB$3001,0))</f>
        <v/>
      </c>
      <c r="O68" s="7">
        <f>IF($W68="","",N68*M68)</f>
        <v/>
      </c>
      <c r="P68">
        <f>IF($W68="","",IF(ISNUMBER(SEARCH("3&amp;12",SUBSTITUTE(F68," ",""))),Settings!$G$6,Settings!$C$6))</f>
        <v/>
      </c>
      <c r="Q68" s="7">
        <f>IF($W68="","",SUMIFS('Per Line'!$O$2:$O$3001,'Per Line'!$B$2:$B$3001,$B68,'Per Line'!$AB$2:$AB$3001,1))</f>
        <v/>
      </c>
      <c r="R68" s="7">
        <f>IF($W68="","",Q68*P68)</f>
        <v/>
      </c>
      <c r="S68" s="7">
        <f>IF($W68="","",R68+O68)</f>
        <v/>
      </c>
      <c r="T68" s="7">
        <f>IF($W68="","",V68-S68)</f>
        <v/>
      </c>
      <c r="U68" s="7">
        <f>IF($W68="","",V68-S68-K68)</f>
        <v/>
      </c>
      <c r="V68" s="7">
        <f>IF($W68="","",N68+Q68)</f>
        <v/>
      </c>
      <c r="W68" s="16">
        <f>IF(ROWS($W$2:$W68)&lt;=MAX('Per Line'!$AA$2:$AA$3001),MATCH(ROWS($W$2:$W68),'Per Line'!$AA$2:$AA$3001,0),"")</f>
        <v/>
      </c>
      <c r="X68">
        <f>IF($W68="","",D68&amp;"|"&amp;COUNTIF($D$2:$D68,D68))</f>
        <v/>
      </c>
    </row>
    <row r="69">
      <c r="A69" s="15" t="n"/>
      <c r="B69">
        <f>IF($W69="","",INDEX('Per Line'!$B$2:$B$3001,$W69)&amp;"")</f>
        <v/>
      </c>
      <c r="C69">
        <f>IF($W69="","",INDEX('Per Line'!$C$2:$C$3001,$W69)&amp;"")</f>
        <v/>
      </c>
      <c r="D69">
        <f>IF($W69="","",IF(OR(TRIM(E69)="Orient Insurance Company",TRIM(E69)="Allianz"),TRIM(E69),TRIM(F69)))</f>
        <v/>
      </c>
      <c r="E69">
        <f>IF($W69="","",INDEX('Per Line'!$E$2:$E$3001,$W69)&amp;"")</f>
        <v/>
      </c>
      <c r="F69">
        <f>IF($W69="","",INDEX('Per Line'!$D$2:$D$3001,$W69)&amp;"")</f>
        <v/>
      </c>
      <c r="G69">
        <f>IF($W69="","",INDEX('Per Line'!$F$2:$F$3001,$W69)&amp;"")</f>
        <v/>
      </c>
      <c r="H69">
        <f>IF($W69="","",INDEX('Per Line'!$G$2:$G$3001,$W69)&amp;"")</f>
        <v/>
      </c>
      <c r="I69">
        <f>IF($W69="","",INDEX('Per Line'!$H$2:$H$3001,$W69)&amp;"")</f>
        <v/>
      </c>
      <c r="J69">
        <f>IF($W69="","",INDEX('Per Line'!$I$2:$I$3001,$W69))</f>
        <v/>
      </c>
      <c r="K69" s="7">
        <f>IF($W69="","",J69*T69/100)</f>
        <v/>
      </c>
      <c r="L69" s="14">
        <f>IF($W69="","",INDEX('Per Line'!$V$2:$V$3001,$W69))</f>
        <v/>
      </c>
      <c r="M69">
        <f>IF($W69="","",IF(ISNUMBER(SEARCH("3&amp;12",SUBSTITUTE(F69," ",""))),Settings!$G$7,Settings!$C$7))</f>
        <v/>
      </c>
      <c r="N69" s="7">
        <f>IF($W69="","",SUMIFS('Per Line'!$O$2:$O$3001,'Per Line'!$B$2:$B$3001,$B69,'Per Line'!$AB$2:$AB$3001,0))</f>
        <v/>
      </c>
      <c r="O69" s="7">
        <f>IF($W69="","",N69*M69)</f>
        <v/>
      </c>
      <c r="P69">
        <f>IF($W69="","",IF(ISNUMBER(SEARCH("3&amp;12",SUBSTITUTE(F69," ",""))),Settings!$G$6,Settings!$C$6))</f>
        <v/>
      </c>
      <c r="Q69" s="7">
        <f>IF($W69="","",SUMIFS('Per Line'!$O$2:$O$3001,'Per Line'!$B$2:$B$3001,$B69,'Per Line'!$AB$2:$AB$3001,1))</f>
        <v/>
      </c>
      <c r="R69" s="7">
        <f>IF($W69="","",Q69*P69)</f>
        <v/>
      </c>
      <c r="S69" s="7">
        <f>IF($W69="","",R69+O69)</f>
        <v/>
      </c>
      <c r="T69" s="7">
        <f>IF($W69="","",V69-S69)</f>
        <v/>
      </c>
      <c r="U69" s="7">
        <f>IF($W69="","",V69-S69-K69)</f>
        <v/>
      </c>
      <c r="V69" s="7">
        <f>IF($W69="","",N69+Q69)</f>
        <v/>
      </c>
      <c r="W69" s="16">
        <f>IF(ROWS($W$2:$W69)&lt;=MAX('Per Line'!$AA$2:$AA$3001),MATCH(ROWS($W$2:$W69),'Per Line'!$AA$2:$AA$3001,0),"")</f>
        <v/>
      </c>
      <c r="X69">
        <f>IF($W69="","",D69&amp;"|"&amp;COUNTIF($D$2:$D69,D69))</f>
        <v/>
      </c>
    </row>
    <row r="70">
      <c r="A70" s="15" t="n"/>
      <c r="B70">
        <f>IF($W70="","",INDEX('Per Line'!$B$2:$B$3001,$W70)&amp;"")</f>
        <v/>
      </c>
      <c r="C70">
        <f>IF($W70="","",INDEX('Per Line'!$C$2:$C$3001,$W70)&amp;"")</f>
        <v/>
      </c>
      <c r="D70">
        <f>IF($W70="","",IF(OR(TRIM(E70)="Orient Insurance Company",TRIM(E70)="Allianz"),TRIM(E70),TRIM(F70)))</f>
        <v/>
      </c>
      <c r="E70">
        <f>IF($W70="","",INDEX('Per Line'!$E$2:$E$3001,$W70)&amp;"")</f>
        <v/>
      </c>
      <c r="F70">
        <f>IF($W70="","",INDEX('Per Line'!$D$2:$D$3001,$W70)&amp;"")</f>
        <v/>
      </c>
      <c r="G70">
        <f>IF($W70="","",INDEX('Per Line'!$F$2:$F$3001,$W70)&amp;"")</f>
        <v/>
      </c>
      <c r="H70">
        <f>IF($W70="","",INDEX('Per Line'!$G$2:$G$3001,$W70)&amp;"")</f>
        <v/>
      </c>
      <c r="I70">
        <f>IF($W70="","",INDEX('Per Line'!$H$2:$H$3001,$W70)&amp;"")</f>
        <v/>
      </c>
      <c r="J70">
        <f>IF($W70="","",INDEX('Per Line'!$I$2:$I$3001,$W70))</f>
        <v/>
      </c>
      <c r="K70" s="7">
        <f>IF($W70="","",J70*T70/100)</f>
        <v/>
      </c>
      <c r="L70" s="14">
        <f>IF($W70="","",INDEX('Per Line'!$V$2:$V$3001,$W70))</f>
        <v/>
      </c>
      <c r="M70">
        <f>IF($W70="","",IF(ISNUMBER(SEARCH("3&amp;12",SUBSTITUTE(F70," ",""))),Settings!$G$7,Settings!$C$7))</f>
        <v/>
      </c>
      <c r="N70" s="7">
        <f>IF($W70="","",SUMIFS('Per Line'!$O$2:$O$3001,'Per Line'!$B$2:$B$3001,$B70,'Per Line'!$AB$2:$AB$3001,0))</f>
        <v/>
      </c>
      <c r="O70" s="7">
        <f>IF($W70="","",N70*M70)</f>
        <v/>
      </c>
      <c r="P70">
        <f>IF($W70="","",IF(ISNUMBER(SEARCH("3&amp;12",SUBSTITUTE(F70," ",""))),Settings!$G$6,Settings!$C$6))</f>
        <v/>
      </c>
      <c r="Q70" s="7">
        <f>IF($W70="","",SUMIFS('Per Line'!$O$2:$O$3001,'Per Line'!$B$2:$B$3001,$B70,'Per Line'!$AB$2:$AB$3001,1))</f>
        <v/>
      </c>
      <c r="R70" s="7">
        <f>IF($W70="","",Q70*P70)</f>
        <v/>
      </c>
      <c r="S70" s="7">
        <f>IF($W70="","",R70+O70)</f>
        <v/>
      </c>
      <c r="T70" s="7">
        <f>IF($W70="","",V70-S70)</f>
        <v/>
      </c>
      <c r="U70" s="7">
        <f>IF($W70="","",V70-S70-K70)</f>
        <v/>
      </c>
      <c r="V70" s="7">
        <f>IF($W70="","",N70+Q70)</f>
        <v/>
      </c>
      <c r="W70" s="16">
        <f>IF(ROWS($W$2:$W70)&lt;=MAX('Per Line'!$AA$2:$AA$3001),MATCH(ROWS($W$2:$W70),'Per Line'!$AA$2:$AA$3001,0),"")</f>
        <v/>
      </c>
      <c r="X70">
        <f>IF($W70="","",D70&amp;"|"&amp;COUNTIF($D$2:$D70,D70))</f>
        <v/>
      </c>
    </row>
    <row r="71">
      <c r="A71" s="15" t="n"/>
      <c r="B71">
        <f>IF($W71="","",INDEX('Per Line'!$B$2:$B$3001,$W71)&amp;"")</f>
        <v/>
      </c>
      <c r="C71">
        <f>IF($W71="","",INDEX('Per Line'!$C$2:$C$3001,$W71)&amp;"")</f>
        <v/>
      </c>
      <c r="D71">
        <f>IF($W71="","",IF(OR(TRIM(E71)="Orient Insurance Company",TRIM(E71)="Allianz"),TRIM(E71),TRIM(F71)))</f>
        <v/>
      </c>
      <c r="E71">
        <f>IF($W71="","",INDEX('Per Line'!$E$2:$E$3001,$W71)&amp;"")</f>
        <v/>
      </c>
      <c r="F71">
        <f>IF($W71="","",INDEX('Per Line'!$D$2:$D$3001,$W71)&amp;"")</f>
        <v/>
      </c>
      <c r="G71">
        <f>IF($W71="","",INDEX('Per Line'!$F$2:$F$3001,$W71)&amp;"")</f>
        <v/>
      </c>
      <c r="H71">
        <f>IF($W71="","",INDEX('Per Line'!$G$2:$G$3001,$W71)&amp;"")</f>
        <v/>
      </c>
      <c r="I71">
        <f>IF($W71="","",INDEX('Per Line'!$H$2:$H$3001,$W71)&amp;"")</f>
        <v/>
      </c>
      <c r="J71">
        <f>IF($W71="","",INDEX('Per Line'!$I$2:$I$3001,$W71))</f>
        <v/>
      </c>
      <c r="K71" s="7">
        <f>IF($W71="","",J71*T71/100)</f>
        <v/>
      </c>
      <c r="L71" s="14">
        <f>IF($W71="","",INDEX('Per Line'!$V$2:$V$3001,$W71))</f>
        <v/>
      </c>
      <c r="M71">
        <f>IF($W71="","",IF(ISNUMBER(SEARCH("3&amp;12",SUBSTITUTE(F71," ",""))),Settings!$G$7,Settings!$C$7))</f>
        <v/>
      </c>
      <c r="N71" s="7">
        <f>IF($W71="","",SUMIFS('Per Line'!$O$2:$O$3001,'Per Line'!$B$2:$B$3001,$B71,'Per Line'!$AB$2:$AB$3001,0))</f>
        <v/>
      </c>
      <c r="O71" s="7">
        <f>IF($W71="","",N71*M71)</f>
        <v/>
      </c>
      <c r="P71">
        <f>IF($W71="","",IF(ISNUMBER(SEARCH("3&amp;12",SUBSTITUTE(F71," ",""))),Settings!$G$6,Settings!$C$6))</f>
        <v/>
      </c>
      <c r="Q71" s="7">
        <f>IF($W71="","",SUMIFS('Per Line'!$O$2:$O$3001,'Per Line'!$B$2:$B$3001,$B71,'Per Line'!$AB$2:$AB$3001,1))</f>
        <v/>
      </c>
      <c r="R71" s="7">
        <f>IF($W71="","",Q71*P71)</f>
        <v/>
      </c>
      <c r="S71" s="7">
        <f>IF($W71="","",R71+O71)</f>
        <v/>
      </c>
      <c r="T71" s="7">
        <f>IF($W71="","",V71-S71)</f>
        <v/>
      </c>
      <c r="U71" s="7">
        <f>IF($W71="","",V71-S71-K71)</f>
        <v/>
      </c>
      <c r="V71" s="7">
        <f>IF($W71="","",N71+Q71)</f>
        <v/>
      </c>
      <c r="W71" s="16">
        <f>IF(ROWS($W$2:$W71)&lt;=MAX('Per Line'!$AA$2:$AA$3001),MATCH(ROWS($W$2:$W71),'Per Line'!$AA$2:$AA$3001,0),"")</f>
        <v/>
      </c>
      <c r="X71">
        <f>IF($W71="","",D71&amp;"|"&amp;COUNTIF($D$2:$D71,D71))</f>
        <v/>
      </c>
    </row>
    <row r="72">
      <c r="A72" s="15" t="n"/>
      <c r="B72">
        <f>IF($W72="","",INDEX('Per Line'!$B$2:$B$3001,$W72)&amp;"")</f>
        <v/>
      </c>
      <c r="C72">
        <f>IF($W72="","",INDEX('Per Line'!$C$2:$C$3001,$W72)&amp;"")</f>
        <v/>
      </c>
      <c r="D72">
        <f>IF($W72="","",IF(OR(TRIM(E72)="Orient Insurance Company",TRIM(E72)="Allianz"),TRIM(E72),TRIM(F72)))</f>
        <v/>
      </c>
      <c r="E72">
        <f>IF($W72="","",INDEX('Per Line'!$E$2:$E$3001,$W72)&amp;"")</f>
        <v/>
      </c>
      <c r="F72">
        <f>IF($W72="","",INDEX('Per Line'!$D$2:$D$3001,$W72)&amp;"")</f>
        <v/>
      </c>
      <c r="G72">
        <f>IF($W72="","",INDEX('Per Line'!$F$2:$F$3001,$W72)&amp;"")</f>
        <v/>
      </c>
      <c r="H72">
        <f>IF($W72="","",INDEX('Per Line'!$G$2:$G$3001,$W72)&amp;"")</f>
        <v/>
      </c>
      <c r="I72">
        <f>IF($W72="","",INDEX('Per Line'!$H$2:$H$3001,$W72)&amp;"")</f>
        <v/>
      </c>
      <c r="J72">
        <f>IF($W72="","",INDEX('Per Line'!$I$2:$I$3001,$W72))</f>
        <v/>
      </c>
      <c r="K72" s="7">
        <f>IF($W72="","",J72*T72/100)</f>
        <v/>
      </c>
      <c r="L72" s="14">
        <f>IF($W72="","",INDEX('Per Line'!$V$2:$V$3001,$W72))</f>
        <v/>
      </c>
      <c r="M72">
        <f>IF($W72="","",IF(ISNUMBER(SEARCH("3&amp;12",SUBSTITUTE(F72," ",""))),Settings!$G$7,Settings!$C$7))</f>
        <v/>
      </c>
      <c r="N72" s="7">
        <f>IF($W72="","",SUMIFS('Per Line'!$O$2:$O$3001,'Per Line'!$B$2:$B$3001,$B72,'Per Line'!$AB$2:$AB$3001,0))</f>
        <v/>
      </c>
      <c r="O72" s="7">
        <f>IF($W72="","",N72*M72)</f>
        <v/>
      </c>
      <c r="P72">
        <f>IF($W72="","",IF(ISNUMBER(SEARCH("3&amp;12",SUBSTITUTE(F72," ",""))),Settings!$G$6,Settings!$C$6))</f>
        <v/>
      </c>
      <c r="Q72" s="7">
        <f>IF($W72="","",SUMIFS('Per Line'!$O$2:$O$3001,'Per Line'!$B$2:$B$3001,$B72,'Per Line'!$AB$2:$AB$3001,1))</f>
        <v/>
      </c>
      <c r="R72" s="7">
        <f>IF($W72="","",Q72*P72)</f>
        <v/>
      </c>
      <c r="S72" s="7">
        <f>IF($W72="","",R72+O72)</f>
        <v/>
      </c>
      <c r="T72" s="7">
        <f>IF($W72="","",V72-S72)</f>
        <v/>
      </c>
      <c r="U72" s="7">
        <f>IF($W72="","",V72-S72-K72)</f>
        <v/>
      </c>
      <c r="V72" s="7">
        <f>IF($W72="","",N72+Q72)</f>
        <v/>
      </c>
      <c r="W72" s="16">
        <f>IF(ROWS($W$2:$W72)&lt;=MAX('Per Line'!$AA$2:$AA$3001),MATCH(ROWS($W$2:$W72),'Per Line'!$AA$2:$AA$3001,0),"")</f>
        <v/>
      </c>
      <c r="X72">
        <f>IF($W72="","",D72&amp;"|"&amp;COUNTIF($D$2:$D72,D72))</f>
        <v/>
      </c>
    </row>
    <row r="73">
      <c r="A73" s="15" t="n"/>
      <c r="B73">
        <f>IF($W73="","",INDEX('Per Line'!$B$2:$B$3001,$W73)&amp;"")</f>
        <v/>
      </c>
      <c r="C73">
        <f>IF($W73="","",INDEX('Per Line'!$C$2:$C$3001,$W73)&amp;"")</f>
        <v/>
      </c>
      <c r="D73">
        <f>IF($W73="","",IF(OR(TRIM(E73)="Orient Insurance Company",TRIM(E73)="Allianz"),TRIM(E73),TRIM(F73)))</f>
        <v/>
      </c>
      <c r="E73">
        <f>IF($W73="","",INDEX('Per Line'!$E$2:$E$3001,$W73)&amp;"")</f>
        <v/>
      </c>
      <c r="F73">
        <f>IF($W73="","",INDEX('Per Line'!$D$2:$D$3001,$W73)&amp;"")</f>
        <v/>
      </c>
      <c r="G73">
        <f>IF($W73="","",INDEX('Per Line'!$F$2:$F$3001,$W73)&amp;"")</f>
        <v/>
      </c>
      <c r="H73">
        <f>IF($W73="","",INDEX('Per Line'!$G$2:$G$3001,$W73)&amp;"")</f>
        <v/>
      </c>
      <c r="I73">
        <f>IF($W73="","",INDEX('Per Line'!$H$2:$H$3001,$W73)&amp;"")</f>
        <v/>
      </c>
      <c r="J73">
        <f>IF($W73="","",INDEX('Per Line'!$I$2:$I$3001,$W73))</f>
        <v/>
      </c>
      <c r="K73" s="7">
        <f>IF($W73="","",J73*T73/100)</f>
        <v/>
      </c>
      <c r="L73" s="14">
        <f>IF($W73="","",INDEX('Per Line'!$V$2:$V$3001,$W73))</f>
        <v/>
      </c>
      <c r="M73">
        <f>IF($W73="","",IF(ISNUMBER(SEARCH("3&amp;12",SUBSTITUTE(F73," ",""))),Settings!$G$7,Settings!$C$7))</f>
        <v/>
      </c>
      <c r="N73" s="7">
        <f>IF($W73="","",SUMIFS('Per Line'!$O$2:$O$3001,'Per Line'!$B$2:$B$3001,$B73,'Per Line'!$AB$2:$AB$3001,0))</f>
        <v/>
      </c>
      <c r="O73" s="7">
        <f>IF($W73="","",N73*M73)</f>
        <v/>
      </c>
      <c r="P73">
        <f>IF($W73="","",IF(ISNUMBER(SEARCH("3&amp;12",SUBSTITUTE(F73," ",""))),Settings!$G$6,Settings!$C$6))</f>
        <v/>
      </c>
      <c r="Q73" s="7">
        <f>IF($W73="","",SUMIFS('Per Line'!$O$2:$O$3001,'Per Line'!$B$2:$B$3001,$B73,'Per Line'!$AB$2:$AB$3001,1))</f>
        <v/>
      </c>
      <c r="R73" s="7">
        <f>IF($W73="","",Q73*P73)</f>
        <v/>
      </c>
      <c r="S73" s="7">
        <f>IF($W73="","",R73+O73)</f>
        <v/>
      </c>
      <c r="T73" s="7">
        <f>IF($W73="","",V73-S73)</f>
        <v/>
      </c>
      <c r="U73" s="7">
        <f>IF($W73="","",V73-S73-K73)</f>
        <v/>
      </c>
      <c r="V73" s="7">
        <f>IF($W73="","",N73+Q73)</f>
        <v/>
      </c>
      <c r="W73" s="16">
        <f>IF(ROWS($W$2:$W73)&lt;=MAX('Per Line'!$AA$2:$AA$3001),MATCH(ROWS($W$2:$W73),'Per Line'!$AA$2:$AA$3001,0),"")</f>
        <v/>
      </c>
      <c r="X73">
        <f>IF($W73="","",D73&amp;"|"&amp;COUNTIF($D$2:$D73,D73))</f>
        <v/>
      </c>
    </row>
    <row r="74">
      <c r="A74" s="15" t="n"/>
      <c r="B74">
        <f>IF($W74="","",INDEX('Per Line'!$B$2:$B$3001,$W74)&amp;"")</f>
        <v/>
      </c>
      <c r="C74">
        <f>IF($W74="","",INDEX('Per Line'!$C$2:$C$3001,$W74)&amp;"")</f>
        <v/>
      </c>
      <c r="D74">
        <f>IF($W74="","",IF(OR(TRIM(E74)="Orient Insurance Company",TRIM(E74)="Allianz"),TRIM(E74),TRIM(F74)))</f>
        <v/>
      </c>
      <c r="E74">
        <f>IF($W74="","",INDEX('Per Line'!$E$2:$E$3001,$W74)&amp;"")</f>
        <v/>
      </c>
      <c r="F74">
        <f>IF($W74="","",INDEX('Per Line'!$D$2:$D$3001,$W74)&amp;"")</f>
        <v/>
      </c>
      <c r="G74">
        <f>IF($W74="","",INDEX('Per Line'!$F$2:$F$3001,$W74)&amp;"")</f>
        <v/>
      </c>
      <c r="H74">
        <f>IF($W74="","",INDEX('Per Line'!$G$2:$G$3001,$W74)&amp;"")</f>
        <v/>
      </c>
      <c r="I74">
        <f>IF($W74="","",INDEX('Per Line'!$H$2:$H$3001,$W74)&amp;"")</f>
        <v/>
      </c>
      <c r="J74">
        <f>IF($W74="","",INDEX('Per Line'!$I$2:$I$3001,$W74))</f>
        <v/>
      </c>
      <c r="K74" s="7">
        <f>IF($W74="","",J74*T74/100)</f>
        <v/>
      </c>
      <c r="L74" s="14">
        <f>IF($W74="","",INDEX('Per Line'!$V$2:$V$3001,$W74))</f>
        <v/>
      </c>
      <c r="M74">
        <f>IF($W74="","",IF(ISNUMBER(SEARCH("3&amp;12",SUBSTITUTE(F74," ",""))),Settings!$G$7,Settings!$C$7))</f>
        <v/>
      </c>
      <c r="N74" s="7">
        <f>IF($W74="","",SUMIFS('Per Line'!$O$2:$O$3001,'Per Line'!$B$2:$B$3001,$B74,'Per Line'!$AB$2:$AB$3001,0))</f>
        <v/>
      </c>
      <c r="O74" s="7">
        <f>IF($W74="","",N74*M74)</f>
        <v/>
      </c>
      <c r="P74">
        <f>IF($W74="","",IF(ISNUMBER(SEARCH("3&amp;12",SUBSTITUTE(F74," ",""))),Settings!$G$6,Settings!$C$6))</f>
        <v/>
      </c>
      <c r="Q74" s="7">
        <f>IF($W74="","",SUMIFS('Per Line'!$O$2:$O$3001,'Per Line'!$B$2:$B$3001,$B74,'Per Line'!$AB$2:$AB$3001,1))</f>
        <v/>
      </c>
      <c r="R74" s="7">
        <f>IF($W74="","",Q74*P74)</f>
        <v/>
      </c>
      <c r="S74" s="7">
        <f>IF($W74="","",R74+O74)</f>
        <v/>
      </c>
      <c r="T74" s="7">
        <f>IF($W74="","",V74-S74)</f>
        <v/>
      </c>
      <c r="U74" s="7">
        <f>IF($W74="","",V74-S74-K74)</f>
        <v/>
      </c>
      <c r="V74" s="7">
        <f>IF($W74="","",N74+Q74)</f>
        <v/>
      </c>
      <c r="W74" s="16">
        <f>IF(ROWS($W$2:$W74)&lt;=MAX('Per Line'!$AA$2:$AA$3001),MATCH(ROWS($W$2:$W74),'Per Line'!$AA$2:$AA$3001,0),"")</f>
        <v/>
      </c>
      <c r="X74">
        <f>IF($W74="","",D74&amp;"|"&amp;COUNTIF($D$2:$D74,D74))</f>
        <v/>
      </c>
    </row>
    <row r="75">
      <c r="A75" s="15" t="n"/>
      <c r="B75">
        <f>IF($W75="","",INDEX('Per Line'!$B$2:$B$3001,$W75)&amp;"")</f>
        <v/>
      </c>
      <c r="C75">
        <f>IF($W75="","",INDEX('Per Line'!$C$2:$C$3001,$W75)&amp;"")</f>
        <v/>
      </c>
      <c r="D75">
        <f>IF($W75="","",IF(OR(TRIM(E75)="Orient Insurance Company",TRIM(E75)="Allianz"),TRIM(E75),TRIM(F75)))</f>
        <v/>
      </c>
      <c r="E75">
        <f>IF($W75="","",INDEX('Per Line'!$E$2:$E$3001,$W75)&amp;"")</f>
        <v/>
      </c>
      <c r="F75">
        <f>IF($W75="","",INDEX('Per Line'!$D$2:$D$3001,$W75)&amp;"")</f>
        <v/>
      </c>
      <c r="G75">
        <f>IF($W75="","",INDEX('Per Line'!$F$2:$F$3001,$W75)&amp;"")</f>
        <v/>
      </c>
      <c r="H75">
        <f>IF($W75="","",INDEX('Per Line'!$G$2:$G$3001,$W75)&amp;"")</f>
        <v/>
      </c>
      <c r="I75">
        <f>IF($W75="","",INDEX('Per Line'!$H$2:$H$3001,$W75)&amp;"")</f>
        <v/>
      </c>
      <c r="J75">
        <f>IF($W75="","",INDEX('Per Line'!$I$2:$I$3001,$W75))</f>
        <v/>
      </c>
      <c r="K75" s="7">
        <f>IF($W75="","",J75*T75/100)</f>
        <v/>
      </c>
      <c r="L75" s="14">
        <f>IF($W75="","",INDEX('Per Line'!$V$2:$V$3001,$W75))</f>
        <v/>
      </c>
      <c r="M75">
        <f>IF($W75="","",IF(ISNUMBER(SEARCH("3&amp;12",SUBSTITUTE(F75," ",""))),Settings!$G$7,Settings!$C$7))</f>
        <v/>
      </c>
      <c r="N75" s="7">
        <f>IF($W75="","",SUMIFS('Per Line'!$O$2:$O$3001,'Per Line'!$B$2:$B$3001,$B75,'Per Line'!$AB$2:$AB$3001,0))</f>
        <v/>
      </c>
      <c r="O75" s="7">
        <f>IF($W75="","",N75*M75)</f>
        <v/>
      </c>
      <c r="P75">
        <f>IF($W75="","",IF(ISNUMBER(SEARCH("3&amp;12",SUBSTITUTE(F75," ",""))),Settings!$G$6,Settings!$C$6))</f>
        <v/>
      </c>
      <c r="Q75" s="7">
        <f>IF($W75="","",SUMIFS('Per Line'!$O$2:$O$3001,'Per Line'!$B$2:$B$3001,$B75,'Per Line'!$AB$2:$AB$3001,1))</f>
        <v/>
      </c>
      <c r="R75" s="7">
        <f>IF($W75="","",Q75*P75)</f>
        <v/>
      </c>
      <c r="S75" s="7">
        <f>IF($W75="","",R75+O75)</f>
        <v/>
      </c>
      <c r="T75" s="7">
        <f>IF($W75="","",V75-S75)</f>
        <v/>
      </c>
      <c r="U75" s="7">
        <f>IF($W75="","",V75-S75-K75)</f>
        <v/>
      </c>
      <c r="V75" s="7">
        <f>IF($W75="","",N75+Q75)</f>
        <v/>
      </c>
      <c r="W75" s="16">
        <f>IF(ROWS($W$2:$W75)&lt;=MAX('Per Line'!$AA$2:$AA$3001),MATCH(ROWS($W$2:$W75),'Per Line'!$AA$2:$AA$3001,0),"")</f>
        <v/>
      </c>
      <c r="X75">
        <f>IF($W75="","",D75&amp;"|"&amp;COUNTIF($D$2:$D75,D75))</f>
        <v/>
      </c>
    </row>
    <row r="76">
      <c r="A76" s="15" t="n"/>
      <c r="B76">
        <f>IF($W76="","",INDEX('Per Line'!$B$2:$B$3001,$W76)&amp;"")</f>
        <v/>
      </c>
      <c r="C76">
        <f>IF($W76="","",INDEX('Per Line'!$C$2:$C$3001,$W76)&amp;"")</f>
        <v/>
      </c>
      <c r="D76">
        <f>IF($W76="","",IF(OR(TRIM(E76)="Orient Insurance Company",TRIM(E76)="Allianz"),TRIM(E76),TRIM(F76)))</f>
        <v/>
      </c>
      <c r="E76">
        <f>IF($W76="","",INDEX('Per Line'!$E$2:$E$3001,$W76)&amp;"")</f>
        <v/>
      </c>
      <c r="F76">
        <f>IF($W76="","",INDEX('Per Line'!$D$2:$D$3001,$W76)&amp;"")</f>
        <v/>
      </c>
      <c r="G76">
        <f>IF($W76="","",INDEX('Per Line'!$F$2:$F$3001,$W76)&amp;"")</f>
        <v/>
      </c>
      <c r="H76">
        <f>IF($W76="","",INDEX('Per Line'!$G$2:$G$3001,$W76)&amp;"")</f>
        <v/>
      </c>
      <c r="I76">
        <f>IF($W76="","",INDEX('Per Line'!$H$2:$H$3001,$W76)&amp;"")</f>
        <v/>
      </c>
      <c r="J76">
        <f>IF($W76="","",INDEX('Per Line'!$I$2:$I$3001,$W76))</f>
        <v/>
      </c>
      <c r="K76" s="7">
        <f>IF($W76="","",J76*T76/100)</f>
        <v/>
      </c>
      <c r="L76" s="14">
        <f>IF($W76="","",INDEX('Per Line'!$V$2:$V$3001,$W76))</f>
        <v/>
      </c>
      <c r="M76">
        <f>IF($W76="","",IF(ISNUMBER(SEARCH("3&amp;12",SUBSTITUTE(F76," ",""))),Settings!$G$7,Settings!$C$7))</f>
        <v/>
      </c>
      <c r="N76" s="7">
        <f>IF($W76="","",SUMIFS('Per Line'!$O$2:$O$3001,'Per Line'!$B$2:$B$3001,$B76,'Per Line'!$AB$2:$AB$3001,0))</f>
        <v/>
      </c>
      <c r="O76" s="7">
        <f>IF($W76="","",N76*M76)</f>
        <v/>
      </c>
      <c r="P76">
        <f>IF($W76="","",IF(ISNUMBER(SEARCH("3&amp;12",SUBSTITUTE(F76," ",""))),Settings!$G$6,Settings!$C$6))</f>
        <v/>
      </c>
      <c r="Q76" s="7">
        <f>IF($W76="","",SUMIFS('Per Line'!$O$2:$O$3001,'Per Line'!$B$2:$B$3001,$B76,'Per Line'!$AB$2:$AB$3001,1))</f>
        <v/>
      </c>
      <c r="R76" s="7">
        <f>IF($W76="","",Q76*P76)</f>
        <v/>
      </c>
      <c r="S76" s="7">
        <f>IF($W76="","",R76+O76)</f>
        <v/>
      </c>
      <c r="T76" s="7">
        <f>IF($W76="","",V76-S76)</f>
        <v/>
      </c>
      <c r="U76" s="7">
        <f>IF($W76="","",V76-S76-K76)</f>
        <v/>
      </c>
      <c r="V76" s="7">
        <f>IF($W76="","",N76+Q76)</f>
        <v/>
      </c>
      <c r="W76" s="16">
        <f>IF(ROWS($W$2:$W76)&lt;=MAX('Per Line'!$AA$2:$AA$3001),MATCH(ROWS($W$2:$W76),'Per Line'!$AA$2:$AA$3001,0),"")</f>
        <v/>
      </c>
      <c r="X76">
        <f>IF($W76="","",D76&amp;"|"&amp;COUNTIF($D$2:$D76,D76))</f>
        <v/>
      </c>
    </row>
    <row r="77">
      <c r="A77" s="15" t="n"/>
      <c r="B77">
        <f>IF($W77="","",INDEX('Per Line'!$B$2:$B$3001,$W77)&amp;"")</f>
        <v/>
      </c>
      <c r="C77">
        <f>IF($W77="","",INDEX('Per Line'!$C$2:$C$3001,$W77)&amp;"")</f>
        <v/>
      </c>
      <c r="D77">
        <f>IF($W77="","",IF(OR(TRIM(E77)="Orient Insurance Company",TRIM(E77)="Allianz"),TRIM(E77),TRIM(F77)))</f>
        <v/>
      </c>
      <c r="E77">
        <f>IF($W77="","",INDEX('Per Line'!$E$2:$E$3001,$W77)&amp;"")</f>
        <v/>
      </c>
      <c r="F77">
        <f>IF($W77="","",INDEX('Per Line'!$D$2:$D$3001,$W77)&amp;"")</f>
        <v/>
      </c>
      <c r="G77">
        <f>IF($W77="","",INDEX('Per Line'!$F$2:$F$3001,$W77)&amp;"")</f>
        <v/>
      </c>
      <c r="H77">
        <f>IF($W77="","",INDEX('Per Line'!$G$2:$G$3001,$W77)&amp;"")</f>
        <v/>
      </c>
      <c r="I77">
        <f>IF($W77="","",INDEX('Per Line'!$H$2:$H$3001,$W77)&amp;"")</f>
        <v/>
      </c>
      <c r="J77">
        <f>IF($W77="","",INDEX('Per Line'!$I$2:$I$3001,$W77))</f>
        <v/>
      </c>
      <c r="K77" s="7">
        <f>IF($W77="","",J77*T77/100)</f>
        <v/>
      </c>
      <c r="L77" s="14">
        <f>IF($W77="","",INDEX('Per Line'!$V$2:$V$3001,$W77))</f>
        <v/>
      </c>
      <c r="M77">
        <f>IF($W77="","",IF(ISNUMBER(SEARCH("3&amp;12",SUBSTITUTE(F77," ",""))),Settings!$G$7,Settings!$C$7))</f>
        <v/>
      </c>
      <c r="N77" s="7">
        <f>IF($W77="","",SUMIFS('Per Line'!$O$2:$O$3001,'Per Line'!$B$2:$B$3001,$B77,'Per Line'!$AB$2:$AB$3001,0))</f>
        <v/>
      </c>
      <c r="O77" s="7">
        <f>IF($W77="","",N77*M77)</f>
        <v/>
      </c>
      <c r="P77">
        <f>IF($W77="","",IF(ISNUMBER(SEARCH("3&amp;12",SUBSTITUTE(F77," ",""))),Settings!$G$6,Settings!$C$6))</f>
        <v/>
      </c>
      <c r="Q77" s="7">
        <f>IF($W77="","",SUMIFS('Per Line'!$O$2:$O$3001,'Per Line'!$B$2:$B$3001,$B77,'Per Line'!$AB$2:$AB$3001,1))</f>
        <v/>
      </c>
      <c r="R77" s="7">
        <f>IF($W77="","",Q77*P77)</f>
        <v/>
      </c>
      <c r="S77" s="7">
        <f>IF($W77="","",R77+O77)</f>
        <v/>
      </c>
      <c r="T77" s="7">
        <f>IF($W77="","",V77-S77)</f>
        <v/>
      </c>
      <c r="U77" s="7">
        <f>IF($W77="","",V77-S77-K77)</f>
        <v/>
      </c>
      <c r="V77" s="7">
        <f>IF($W77="","",N77+Q77)</f>
        <v/>
      </c>
      <c r="W77" s="16">
        <f>IF(ROWS($W$2:$W77)&lt;=MAX('Per Line'!$AA$2:$AA$3001),MATCH(ROWS($W$2:$W77),'Per Line'!$AA$2:$AA$3001,0),"")</f>
        <v/>
      </c>
      <c r="X77">
        <f>IF($W77="","",D77&amp;"|"&amp;COUNTIF($D$2:$D77,D77))</f>
        <v/>
      </c>
    </row>
    <row r="78">
      <c r="A78" s="15" t="n"/>
      <c r="B78">
        <f>IF($W78="","",INDEX('Per Line'!$B$2:$B$3001,$W78)&amp;"")</f>
        <v/>
      </c>
      <c r="C78">
        <f>IF($W78="","",INDEX('Per Line'!$C$2:$C$3001,$W78)&amp;"")</f>
        <v/>
      </c>
      <c r="D78">
        <f>IF($W78="","",IF(OR(TRIM(E78)="Orient Insurance Company",TRIM(E78)="Allianz"),TRIM(E78),TRIM(F78)))</f>
        <v/>
      </c>
      <c r="E78">
        <f>IF($W78="","",INDEX('Per Line'!$E$2:$E$3001,$W78)&amp;"")</f>
        <v/>
      </c>
      <c r="F78">
        <f>IF($W78="","",INDEX('Per Line'!$D$2:$D$3001,$W78)&amp;"")</f>
        <v/>
      </c>
      <c r="G78">
        <f>IF($W78="","",INDEX('Per Line'!$F$2:$F$3001,$W78)&amp;"")</f>
        <v/>
      </c>
      <c r="H78">
        <f>IF($W78="","",INDEX('Per Line'!$G$2:$G$3001,$W78)&amp;"")</f>
        <v/>
      </c>
      <c r="I78">
        <f>IF($W78="","",INDEX('Per Line'!$H$2:$H$3001,$W78)&amp;"")</f>
        <v/>
      </c>
      <c r="J78">
        <f>IF($W78="","",INDEX('Per Line'!$I$2:$I$3001,$W78))</f>
        <v/>
      </c>
      <c r="K78" s="7">
        <f>IF($W78="","",J78*T78/100)</f>
        <v/>
      </c>
      <c r="L78" s="14">
        <f>IF($W78="","",INDEX('Per Line'!$V$2:$V$3001,$W78))</f>
        <v/>
      </c>
      <c r="M78">
        <f>IF($W78="","",IF(ISNUMBER(SEARCH("3&amp;12",SUBSTITUTE(F78," ",""))),Settings!$G$7,Settings!$C$7))</f>
        <v/>
      </c>
      <c r="N78" s="7">
        <f>IF($W78="","",SUMIFS('Per Line'!$O$2:$O$3001,'Per Line'!$B$2:$B$3001,$B78,'Per Line'!$AB$2:$AB$3001,0))</f>
        <v/>
      </c>
      <c r="O78" s="7">
        <f>IF($W78="","",N78*M78)</f>
        <v/>
      </c>
      <c r="P78">
        <f>IF($W78="","",IF(ISNUMBER(SEARCH("3&amp;12",SUBSTITUTE(F78," ",""))),Settings!$G$6,Settings!$C$6))</f>
        <v/>
      </c>
      <c r="Q78" s="7">
        <f>IF($W78="","",SUMIFS('Per Line'!$O$2:$O$3001,'Per Line'!$B$2:$B$3001,$B78,'Per Line'!$AB$2:$AB$3001,1))</f>
        <v/>
      </c>
      <c r="R78" s="7">
        <f>IF($W78="","",Q78*P78)</f>
        <v/>
      </c>
      <c r="S78" s="7">
        <f>IF($W78="","",R78+O78)</f>
        <v/>
      </c>
      <c r="T78" s="7">
        <f>IF($W78="","",V78-S78)</f>
        <v/>
      </c>
      <c r="U78" s="7">
        <f>IF($W78="","",V78-S78-K78)</f>
        <v/>
      </c>
      <c r="V78" s="7">
        <f>IF($W78="","",N78+Q78)</f>
        <v/>
      </c>
      <c r="W78" s="16">
        <f>IF(ROWS($W$2:$W78)&lt;=MAX('Per Line'!$AA$2:$AA$3001),MATCH(ROWS($W$2:$W78),'Per Line'!$AA$2:$AA$3001,0),"")</f>
        <v/>
      </c>
      <c r="X78">
        <f>IF($W78="","",D78&amp;"|"&amp;COUNTIF($D$2:$D78,D78))</f>
        <v/>
      </c>
    </row>
    <row r="79">
      <c r="A79" s="15" t="n"/>
      <c r="B79">
        <f>IF($W79="","",INDEX('Per Line'!$B$2:$B$3001,$W79)&amp;"")</f>
        <v/>
      </c>
      <c r="C79">
        <f>IF($W79="","",INDEX('Per Line'!$C$2:$C$3001,$W79)&amp;"")</f>
        <v/>
      </c>
      <c r="D79">
        <f>IF($W79="","",IF(OR(TRIM(E79)="Orient Insurance Company",TRIM(E79)="Allianz"),TRIM(E79),TRIM(F79)))</f>
        <v/>
      </c>
      <c r="E79">
        <f>IF($W79="","",INDEX('Per Line'!$E$2:$E$3001,$W79)&amp;"")</f>
        <v/>
      </c>
      <c r="F79">
        <f>IF($W79="","",INDEX('Per Line'!$D$2:$D$3001,$W79)&amp;"")</f>
        <v/>
      </c>
      <c r="G79">
        <f>IF($W79="","",INDEX('Per Line'!$F$2:$F$3001,$W79)&amp;"")</f>
        <v/>
      </c>
      <c r="H79">
        <f>IF($W79="","",INDEX('Per Line'!$G$2:$G$3001,$W79)&amp;"")</f>
        <v/>
      </c>
      <c r="I79">
        <f>IF($W79="","",INDEX('Per Line'!$H$2:$H$3001,$W79)&amp;"")</f>
        <v/>
      </c>
      <c r="J79">
        <f>IF($W79="","",INDEX('Per Line'!$I$2:$I$3001,$W79))</f>
        <v/>
      </c>
      <c r="K79" s="7">
        <f>IF($W79="","",J79*T79/100)</f>
        <v/>
      </c>
      <c r="L79" s="14">
        <f>IF($W79="","",INDEX('Per Line'!$V$2:$V$3001,$W79))</f>
        <v/>
      </c>
      <c r="M79">
        <f>IF($W79="","",IF(ISNUMBER(SEARCH("3&amp;12",SUBSTITUTE(F79," ",""))),Settings!$G$7,Settings!$C$7))</f>
        <v/>
      </c>
      <c r="N79" s="7">
        <f>IF($W79="","",SUMIFS('Per Line'!$O$2:$O$3001,'Per Line'!$B$2:$B$3001,$B79,'Per Line'!$AB$2:$AB$3001,0))</f>
        <v/>
      </c>
      <c r="O79" s="7">
        <f>IF($W79="","",N79*M79)</f>
        <v/>
      </c>
      <c r="P79">
        <f>IF($W79="","",IF(ISNUMBER(SEARCH("3&amp;12",SUBSTITUTE(F79," ",""))),Settings!$G$6,Settings!$C$6))</f>
        <v/>
      </c>
      <c r="Q79" s="7">
        <f>IF($W79="","",SUMIFS('Per Line'!$O$2:$O$3001,'Per Line'!$B$2:$B$3001,$B79,'Per Line'!$AB$2:$AB$3001,1))</f>
        <v/>
      </c>
      <c r="R79" s="7">
        <f>IF($W79="","",Q79*P79)</f>
        <v/>
      </c>
      <c r="S79" s="7">
        <f>IF($W79="","",R79+O79)</f>
        <v/>
      </c>
      <c r="T79" s="7">
        <f>IF($W79="","",V79-S79)</f>
        <v/>
      </c>
      <c r="U79" s="7">
        <f>IF($W79="","",V79-S79-K79)</f>
        <v/>
      </c>
      <c r="V79" s="7">
        <f>IF($W79="","",N79+Q79)</f>
        <v/>
      </c>
      <c r="W79" s="16">
        <f>IF(ROWS($W$2:$W79)&lt;=MAX('Per Line'!$AA$2:$AA$3001),MATCH(ROWS($W$2:$W79),'Per Line'!$AA$2:$AA$3001,0),"")</f>
        <v/>
      </c>
      <c r="X79">
        <f>IF($W79="","",D79&amp;"|"&amp;COUNTIF($D$2:$D79,D79))</f>
        <v/>
      </c>
    </row>
    <row r="80">
      <c r="A80" s="15" t="n"/>
      <c r="B80">
        <f>IF($W80="","",INDEX('Per Line'!$B$2:$B$3001,$W80)&amp;"")</f>
        <v/>
      </c>
      <c r="C80">
        <f>IF($W80="","",INDEX('Per Line'!$C$2:$C$3001,$W80)&amp;"")</f>
        <v/>
      </c>
      <c r="D80">
        <f>IF($W80="","",IF(OR(TRIM(E80)="Orient Insurance Company",TRIM(E80)="Allianz"),TRIM(E80),TRIM(F80)))</f>
        <v/>
      </c>
      <c r="E80">
        <f>IF($W80="","",INDEX('Per Line'!$E$2:$E$3001,$W80)&amp;"")</f>
        <v/>
      </c>
      <c r="F80">
        <f>IF($W80="","",INDEX('Per Line'!$D$2:$D$3001,$W80)&amp;"")</f>
        <v/>
      </c>
      <c r="G80">
        <f>IF($W80="","",INDEX('Per Line'!$F$2:$F$3001,$W80)&amp;"")</f>
        <v/>
      </c>
      <c r="H80">
        <f>IF($W80="","",INDEX('Per Line'!$G$2:$G$3001,$W80)&amp;"")</f>
        <v/>
      </c>
      <c r="I80">
        <f>IF($W80="","",INDEX('Per Line'!$H$2:$H$3001,$W80)&amp;"")</f>
        <v/>
      </c>
      <c r="J80">
        <f>IF($W80="","",INDEX('Per Line'!$I$2:$I$3001,$W80))</f>
        <v/>
      </c>
      <c r="K80" s="7">
        <f>IF($W80="","",J80*T80/100)</f>
        <v/>
      </c>
      <c r="L80" s="14">
        <f>IF($W80="","",INDEX('Per Line'!$V$2:$V$3001,$W80))</f>
        <v/>
      </c>
      <c r="M80">
        <f>IF($W80="","",IF(ISNUMBER(SEARCH("3&amp;12",SUBSTITUTE(F80," ",""))),Settings!$G$7,Settings!$C$7))</f>
        <v/>
      </c>
      <c r="N80" s="7">
        <f>IF($W80="","",SUMIFS('Per Line'!$O$2:$O$3001,'Per Line'!$B$2:$B$3001,$B80,'Per Line'!$AB$2:$AB$3001,0))</f>
        <v/>
      </c>
      <c r="O80" s="7">
        <f>IF($W80="","",N80*M80)</f>
        <v/>
      </c>
      <c r="P80">
        <f>IF($W80="","",IF(ISNUMBER(SEARCH("3&amp;12",SUBSTITUTE(F80," ",""))),Settings!$G$6,Settings!$C$6))</f>
        <v/>
      </c>
      <c r="Q80" s="7">
        <f>IF($W80="","",SUMIFS('Per Line'!$O$2:$O$3001,'Per Line'!$B$2:$B$3001,$B80,'Per Line'!$AB$2:$AB$3001,1))</f>
        <v/>
      </c>
      <c r="R80" s="7">
        <f>IF($W80="","",Q80*P80)</f>
        <v/>
      </c>
      <c r="S80" s="7">
        <f>IF($W80="","",R80+O80)</f>
        <v/>
      </c>
      <c r="T80" s="7">
        <f>IF($W80="","",V80-S80)</f>
        <v/>
      </c>
      <c r="U80" s="7">
        <f>IF($W80="","",V80-S80-K80)</f>
        <v/>
      </c>
      <c r="V80" s="7">
        <f>IF($W80="","",N80+Q80)</f>
        <v/>
      </c>
      <c r="W80" s="16">
        <f>IF(ROWS($W$2:$W80)&lt;=MAX('Per Line'!$AA$2:$AA$3001),MATCH(ROWS($W$2:$W80),'Per Line'!$AA$2:$AA$3001,0),"")</f>
        <v/>
      </c>
      <c r="X80">
        <f>IF($W80="","",D80&amp;"|"&amp;COUNTIF($D$2:$D80,D80))</f>
        <v/>
      </c>
    </row>
    <row r="81">
      <c r="A81" s="15" t="n"/>
      <c r="B81">
        <f>IF($W81="","",INDEX('Per Line'!$B$2:$B$3001,$W81)&amp;"")</f>
        <v/>
      </c>
      <c r="C81">
        <f>IF($W81="","",INDEX('Per Line'!$C$2:$C$3001,$W81)&amp;"")</f>
        <v/>
      </c>
      <c r="D81">
        <f>IF($W81="","",IF(OR(TRIM(E81)="Orient Insurance Company",TRIM(E81)="Allianz"),TRIM(E81),TRIM(F81)))</f>
        <v/>
      </c>
      <c r="E81">
        <f>IF($W81="","",INDEX('Per Line'!$E$2:$E$3001,$W81)&amp;"")</f>
        <v/>
      </c>
      <c r="F81">
        <f>IF($W81="","",INDEX('Per Line'!$D$2:$D$3001,$W81)&amp;"")</f>
        <v/>
      </c>
      <c r="G81">
        <f>IF($W81="","",INDEX('Per Line'!$F$2:$F$3001,$W81)&amp;"")</f>
        <v/>
      </c>
      <c r="H81">
        <f>IF($W81="","",INDEX('Per Line'!$G$2:$G$3001,$W81)&amp;"")</f>
        <v/>
      </c>
      <c r="I81">
        <f>IF($W81="","",INDEX('Per Line'!$H$2:$H$3001,$W81)&amp;"")</f>
        <v/>
      </c>
      <c r="J81">
        <f>IF($W81="","",INDEX('Per Line'!$I$2:$I$3001,$W81))</f>
        <v/>
      </c>
      <c r="K81" s="7">
        <f>IF($W81="","",J81*T81/100)</f>
        <v/>
      </c>
      <c r="L81" s="14">
        <f>IF($W81="","",INDEX('Per Line'!$V$2:$V$3001,$W81))</f>
        <v/>
      </c>
      <c r="M81">
        <f>IF($W81="","",IF(ISNUMBER(SEARCH("3&amp;12",SUBSTITUTE(F81," ",""))),Settings!$G$7,Settings!$C$7))</f>
        <v/>
      </c>
      <c r="N81" s="7">
        <f>IF($W81="","",SUMIFS('Per Line'!$O$2:$O$3001,'Per Line'!$B$2:$B$3001,$B81,'Per Line'!$AB$2:$AB$3001,0))</f>
        <v/>
      </c>
      <c r="O81" s="7">
        <f>IF($W81="","",N81*M81)</f>
        <v/>
      </c>
      <c r="P81">
        <f>IF($W81="","",IF(ISNUMBER(SEARCH("3&amp;12",SUBSTITUTE(F81," ",""))),Settings!$G$6,Settings!$C$6))</f>
        <v/>
      </c>
      <c r="Q81" s="7">
        <f>IF($W81="","",SUMIFS('Per Line'!$O$2:$O$3001,'Per Line'!$B$2:$B$3001,$B81,'Per Line'!$AB$2:$AB$3001,1))</f>
        <v/>
      </c>
      <c r="R81" s="7">
        <f>IF($W81="","",Q81*P81)</f>
        <v/>
      </c>
      <c r="S81" s="7">
        <f>IF($W81="","",R81+O81)</f>
        <v/>
      </c>
      <c r="T81" s="7">
        <f>IF($W81="","",V81-S81)</f>
        <v/>
      </c>
      <c r="U81" s="7">
        <f>IF($W81="","",V81-S81-K81)</f>
        <v/>
      </c>
      <c r="V81" s="7">
        <f>IF($W81="","",N81+Q81)</f>
        <v/>
      </c>
      <c r="W81" s="16">
        <f>IF(ROWS($W$2:$W81)&lt;=MAX('Per Line'!$AA$2:$AA$3001),MATCH(ROWS($W$2:$W81),'Per Line'!$AA$2:$AA$3001,0),"")</f>
        <v/>
      </c>
      <c r="X81">
        <f>IF($W81="","",D81&amp;"|"&amp;COUNTIF($D$2:$D81,D81))</f>
        <v/>
      </c>
    </row>
    <row r="82">
      <c r="A82" s="15" t="n"/>
      <c r="B82">
        <f>IF($W82="","",INDEX('Per Line'!$B$2:$B$3001,$W82)&amp;"")</f>
        <v/>
      </c>
      <c r="C82">
        <f>IF($W82="","",INDEX('Per Line'!$C$2:$C$3001,$W82)&amp;"")</f>
        <v/>
      </c>
      <c r="D82">
        <f>IF($W82="","",IF(OR(TRIM(E82)="Orient Insurance Company",TRIM(E82)="Allianz"),TRIM(E82),TRIM(F82)))</f>
        <v/>
      </c>
      <c r="E82">
        <f>IF($W82="","",INDEX('Per Line'!$E$2:$E$3001,$W82)&amp;"")</f>
        <v/>
      </c>
      <c r="F82">
        <f>IF($W82="","",INDEX('Per Line'!$D$2:$D$3001,$W82)&amp;"")</f>
        <v/>
      </c>
      <c r="G82">
        <f>IF($W82="","",INDEX('Per Line'!$F$2:$F$3001,$W82)&amp;"")</f>
        <v/>
      </c>
      <c r="H82">
        <f>IF($W82="","",INDEX('Per Line'!$G$2:$G$3001,$W82)&amp;"")</f>
        <v/>
      </c>
      <c r="I82">
        <f>IF($W82="","",INDEX('Per Line'!$H$2:$H$3001,$W82)&amp;"")</f>
        <v/>
      </c>
      <c r="J82">
        <f>IF($W82="","",INDEX('Per Line'!$I$2:$I$3001,$W82))</f>
        <v/>
      </c>
      <c r="K82" s="7">
        <f>IF($W82="","",J82*T82/100)</f>
        <v/>
      </c>
      <c r="L82" s="14">
        <f>IF($W82="","",INDEX('Per Line'!$V$2:$V$3001,$W82))</f>
        <v/>
      </c>
      <c r="M82">
        <f>IF($W82="","",IF(ISNUMBER(SEARCH("3&amp;12",SUBSTITUTE(F82," ",""))),Settings!$G$7,Settings!$C$7))</f>
        <v/>
      </c>
      <c r="N82" s="7">
        <f>IF($W82="","",SUMIFS('Per Line'!$O$2:$O$3001,'Per Line'!$B$2:$B$3001,$B82,'Per Line'!$AB$2:$AB$3001,0))</f>
        <v/>
      </c>
      <c r="O82" s="7">
        <f>IF($W82="","",N82*M82)</f>
        <v/>
      </c>
      <c r="P82">
        <f>IF($W82="","",IF(ISNUMBER(SEARCH("3&amp;12",SUBSTITUTE(F82," ",""))),Settings!$G$6,Settings!$C$6))</f>
        <v/>
      </c>
      <c r="Q82" s="7">
        <f>IF($W82="","",SUMIFS('Per Line'!$O$2:$O$3001,'Per Line'!$B$2:$B$3001,$B82,'Per Line'!$AB$2:$AB$3001,1))</f>
        <v/>
      </c>
      <c r="R82" s="7">
        <f>IF($W82="","",Q82*P82)</f>
        <v/>
      </c>
      <c r="S82" s="7">
        <f>IF($W82="","",R82+O82)</f>
        <v/>
      </c>
      <c r="T82" s="7">
        <f>IF($W82="","",V82-S82)</f>
        <v/>
      </c>
      <c r="U82" s="7">
        <f>IF($W82="","",V82-S82-K82)</f>
        <v/>
      </c>
      <c r="V82" s="7">
        <f>IF($W82="","",N82+Q82)</f>
        <v/>
      </c>
      <c r="W82" s="16">
        <f>IF(ROWS($W$2:$W82)&lt;=MAX('Per Line'!$AA$2:$AA$3001),MATCH(ROWS($W$2:$W82),'Per Line'!$AA$2:$AA$3001,0),"")</f>
        <v/>
      </c>
      <c r="X82">
        <f>IF($W82="","",D82&amp;"|"&amp;COUNTIF($D$2:$D82,D82))</f>
        <v/>
      </c>
    </row>
    <row r="83">
      <c r="A83" s="15" t="n"/>
      <c r="B83">
        <f>IF($W83="","",INDEX('Per Line'!$B$2:$B$3001,$W83)&amp;"")</f>
        <v/>
      </c>
      <c r="C83">
        <f>IF($W83="","",INDEX('Per Line'!$C$2:$C$3001,$W83)&amp;"")</f>
        <v/>
      </c>
      <c r="D83">
        <f>IF($W83="","",IF(OR(TRIM(E83)="Orient Insurance Company",TRIM(E83)="Allianz"),TRIM(E83),TRIM(F83)))</f>
        <v/>
      </c>
      <c r="E83">
        <f>IF($W83="","",INDEX('Per Line'!$E$2:$E$3001,$W83)&amp;"")</f>
        <v/>
      </c>
      <c r="F83">
        <f>IF($W83="","",INDEX('Per Line'!$D$2:$D$3001,$W83)&amp;"")</f>
        <v/>
      </c>
      <c r="G83">
        <f>IF($W83="","",INDEX('Per Line'!$F$2:$F$3001,$W83)&amp;"")</f>
        <v/>
      </c>
      <c r="H83">
        <f>IF($W83="","",INDEX('Per Line'!$G$2:$G$3001,$W83)&amp;"")</f>
        <v/>
      </c>
      <c r="I83">
        <f>IF($W83="","",INDEX('Per Line'!$H$2:$H$3001,$W83)&amp;"")</f>
        <v/>
      </c>
      <c r="J83">
        <f>IF($W83="","",INDEX('Per Line'!$I$2:$I$3001,$W83))</f>
        <v/>
      </c>
      <c r="K83" s="7">
        <f>IF($W83="","",J83*T83/100)</f>
        <v/>
      </c>
      <c r="L83" s="14">
        <f>IF($W83="","",INDEX('Per Line'!$V$2:$V$3001,$W83))</f>
        <v/>
      </c>
      <c r="M83">
        <f>IF($W83="","",IF(ISNUMBER(SEARCH("3&amp;12",SUBSTITUTE(F83," ",""))),Settings!$G$7,Settings!$C$7))</f>
        <v/>
      </c>
      <c r="N83" s="7">
        <f>IF($W83="","",SUMIFS('Per Line'!$O$2:$O$3001,'Per Line'!$B$2:$B$3001,$B83,'Per Line'!$AB$2:$AB$3001,0))</f>
        <v/>
      </c>
      <c r="O83" s="7">
        <f>IF($W83="","",N83*M83)</f>
        <v/>
      </c>
      <c r="P83">
        <f>IF($W83="","",IF(ISNUMBER(SEARCH("3&amp;12",SUBSTITUTE(F83," ",""))),Settings!$G$6,Settings!$C$6))</f>
        <v/>
      </c>
      <c r="Q83" s="7">
        <f>IF($W83="","",SUMIFS('Per Line'!$O$2:$O$3001,'Per Line'!$B$2:$B$3001,$B83,'Per Line'!$AB$2:$AB$3001,1))</f>
        <v/>
      </c>
      <c r="R83" s="7">
        <f>IF($W83="","",Q83*P83)</f>
        <v/>
      </c>
      <c r="S83" s="7">
        <f>IF($W83="","",R83+O83)</f>
        <v/>
      </c>
      <c r="T83" s="7">
        <f>IF($W83="","",V83-S83)</f>
        <v/>
      </c>
      <c r="U83" s="7">
        <f>IF($W83="","",V83-S83-K83)</f>
        <v/>
      </c>
      <c r="V83" s="7">
        <f>IF($W83="","",N83+Q83)</f>
        <v/>
      </c>
      <c r="W83" s="16">
        <f>IF(ROWS($W$2:$W83)&lt;=MAX('Per Line'!$AA$2:$AA$3001),MATCH(ROWS($W$2:$W83),'Per Line'!$AA$2:$AA$3001,0),"")</f>
        <v/>
      </c>
      <c r="X83">
        <f>IF($W83="","",D83&amp;"|"&amp;COUNTIF($D$2:$D83,D83))</f>
        <v/>
      </c>
    </row>
    <row r="84">
      <c r="A84" s="15" t="n"/>
      <c r="B84">
        <f>IF($W84="","",INDEX('Per Line'!$B$2:$B$3001,$W84)&amp;"")</f>
        <v/>
      </c>
      <c r="C84">
        <f>IF($W84="","",INDEX('Per Line'!$C$2:$C$3001,$W84)&amp;"")</f>
        <v/>
      </c>
      <c r="D84">
        <f>IF($W84="","",IF(OR(TRIM(E84)="Orient Insurance Company",TRIM(E84)="Allianz"),TRIM(E84),TRIM(F84)))</f>
        <v/>
      </c>
      <c r="E84">
        <f>IF($W84="","",INDEX('Per Line'!$E$2:$E$3001,$W84)&amp;"")</f>
        <v/>
      </c>
      <c r="F84">
        <f>IF($W84="","",INDEX('Per Line'!$D$2:$D$3001,$W84)&amp;"")</f>
        <v/>
      </c>
      <c r="G84">
        <f>IF($W84="","",INDEX('Per Line'!$F$2:$F$3001,$W84)&amp;"")</f>
        <v/>
      </c>
      <c r="H84">
        <f>IF($W84="","",INDEX('Per Line'!$G$2:$G$3001,$W84)&amp;"")</f>
        <v/>
      </c>
      <c r="I84">
        <f>IF($W84="","",INDEX('Per Line'!$H$2:$H$3001,$W84)&amp;"")</f>
        <v/>
      </c>
      <c r="J84">
        <f>IF($W84="","",INDEX('Per Line'!$I$2:$I$3001,$W84))</f>
        <v/>
      </c>
      <c r="K84" s="7">
        <f>IF($W84="","",J84*T84/100)</f>
        <v/>
      </c>
      <c r="L84" s="14">
        <f>IF($W84="","",INDEX('Per Line'!$V$2:$V$3001,$W84))</f>
        <v/>
      </c>
      <c r="M84">
        <f>IF($W84="","",IF(ISNUMBER(SEARCH("3&amp;12",SUBSTITUTE(F84," ",""))),Settings!$G$7,Settings!$C$7))</f>
        <v/>
      </c>
      <c r="N84" s="7">
        <f>IF($W84="","",SUMIFS('Per Line'!$O$2:$O$3001,'Per Line'!$B$2:$B$3001,$B84,'Per Line'!$AB$2:$AB$3001,0))</f>
        <v/>
      </c>
      <c r="O84" s="7">
        <f>IF($W84="","",N84*M84)</f>
        <v/>
      </c>
      <c r="P84">
        <f>IF($W84="","",IF(ISNUMBER(SEARCH("3&amp;12",SUBSTITUTE(F84," ",""))),Settings!$G$6,Settings!$C$6))</f>
        <v/>
      </c>
      <c r="Q84" s="7">
        <f>IF($W84="","",SUMIFS('Per Line'!$O$2:$O$3001,'Per Line'!$B$2:$B$3001,$B84,'Per Line'!$AB$2:$AB$3001,1))</f>
        <v/>
      </c>
      <c r="R84" s="7">
        <f>IF($W84="","",Q84*P84)</f>
        <v/>
      </c>
      <c r="S84" s="7">
        <f>IF($W84="","",R84+O84)</f>
        <v/>
      </c>
      <c r="T84" s="7">
        <f>IF($W84="","",V84-S84)</f>
        <v/>
      </c>
      <c r="U84" s="7">
        <f>IF($W84="","",V84-S84-K84)</f>
        <v/>
      </c>
      <c r="V84" s="7">
        <f>IF($W84="","",N84+Q84)</f>
        <v/>
      </c>
      <c r="W84" s="16">
        <f>IF(ROWS($W$2:$W84)&lt;=MAX('Per Line'!$AA$2:$AA$3001),MATCH(ROWS($W$2:$W84),'Per Line'!$AA$2:$AA$3001,0),"")</f>
        <v/>
      </c>
      <c r="X84">
        <f>IF($W84="","",D84&amp;"|"&amp;COUNTIF($D$2:$D84,D84))</f>
        <v/>
      </c>
    </row>
    <row r="85">
      <c r="A85" s="15" t="n"/>
      <c r="B85">
        <f>IF($W85="","",INDEX('Per Line'!$B$2:$B$3001,$W85)&amp;"")</f>
        <v/>
      </c>
      <c r="C85">
        <f>IF($W85="","",INDEX('Per Line'!$C$2:$C$3001,$W85)&amp;"")</f>
        <v/>
      </c>
      <c r="D85">
        <f>IF($W85="","",IF(OR(TRIM(E85)="Orient Insurance Company",TRIM(E85)="Allianz"),TRIM(E85),TRIM(F85)))</f>
        <v/>
      </c>
      <c r="E85">
        <f>IF($W85="","",INDEX('Per Line'!$E$2:$E$3001,$W85)&amp;"")</f>
        <v/>
      </c>
      <c r="F85">
        <f>IF($W85="","",INDEX('Per Line'!$D$2:$D$3001,$W85)&amp;"")</f>
        <v/>
      </c>
      <c r="G85">
        <f>IF($W85="","",INDEX('Per Line'!$F$2:$F$3001,$W85)&amp;"")</f>
        <v/>
      </c>
      <c r="H85">
        <f>IF($W85="","",INDEX('Per Line'!$G$2:$G$3001,$W85)&amp;"")</f>
        <v/>
      </c>
      <c r="I85">
        <f>IF($W85="","",INDEX('Per Line'!$H$2:$H$3001,$W85)&amp;"")</f>
        <v/>
      </c>
      <c r="J85">
        <f>IF($W85="","",INDEX('Per Line'!$I$2:$I$3001,$W85))</f>
        <v/>
      </c>
      <c r="K85" s="7">
        <f>IF($W85="","",J85*T85/100)</f>
        <v/>
      </c>
      <c r="L85" s="14">
        <f>IF($W85="","",INDEX('Per Line'!$V$2:$V$3001,$W85))</f>
        <v/>
      </c>
      <c r="M85">
        <f>IF($W85="","",IF(ISNUMBER(SEARCH("3&amp;12",SUBSTITUTE(F85," ",""))),Settings!$G$7,Settings!$C$7))</f>
        <v/>
      </c>
      <c r="N85" s="7">
        <f>IF($W85="","",SUMIFS('Per Line'!$O$2:$O$3001,'Per Line'!$B$2:$B$3001,$B85,'Per Line'!$AB$2:$AB$3001,0))</f>
        <v/>
      </c>
      <c r="O85" s="7">
        <f>IF($W85="","",N85*M85)</f>
        <v/>
      </c>
      <c r="P85">
        <f>IF($W85="","",IF(ISNUMBER(SEARCH("3&amp;12",SUBSTITUTE(F85," ",""))),Settings!$G$6,Settings!$C$6))</f>
        <v/>
      </c>
      <c r="Q85" s="7">
        <f>IF($W85="","",SUMIFS('Per Line'!$O$2:$O$3001,'Per Line'!$B$2:$B$3001,$B85,'Per Line'!$AB$2:$AB$3001,1))</f>
        <v/>
      </c>
      <c r="R85" s="7">
        <f>IF($W85="","",Q85*P85)</f>
        <v/>
      </c>
      <c r="S85" s="7">
        <f>IF($W85="","",R85+O85)</f>
        <v/>
      </c>
      <c r="T85" s="7">
        <f>IF($W85="","",V85-S85)</f>
        <v/>
      </c>
      <c r="U85" s="7">
        <f>IF($W85="","",V85-S85-K85)</f>
        <v/>
      </c>
      <c r="V85" s="7">
        <f>IF($W85="","",N85+Q85)</f>
        <v/>
      </c>
      <c r="W85" s="16">
        <f>IF(ROWS($W$2:$W85)&lt;=MAX('Per Line'!$AA$2:$AA$3001),MATCH(ROWS($W$2:$W85),'Per Line'!$AA$2:$AA$3001,0),"")</f>
        <v/>
      </c>
      <c r="X85">
        <f>IF($W85="","",D85&amp;"|"&amp;COUNTIF($D$2:$D85,D85))</f>
        <v/>
      </c>
    </row>
    <row r="86">
      <c r="A86" s="15" t="n"/>
      <c r="B86">
        <f>IF($W86="","",INDEX('Per Line'!$B$2:$B$3001,$W86)&amp;"")</f>
        <v/>
      </c>
      <c r="C86">
        <f>IF($W86="","",INDEX('Per Line'!$C$2:$C$3001,$W86)&amp;"")</f>
        <v/>
      </c>
      <c r="D86">
        <f>IF($W86="","",IF(OR(TRIM(E86)="Orient Insurance Company",TRIM(E86)="Allianz"),TRIM(E86),TRIM(F86)))</f>
        <v/>
      </c>
      <c r="E86">
        <f>IF($W86="","",INDEX('Per Line'!$E$2:$E$3001,$W86)&amp;"")</f>
        <v/>
      </c>
      <c r="F86">
        <f>IF($W86="","",INDEX('Per Line'!$D$2:$D$3001,$W86)&amp;"")</f>
        <v/>
      </c>
      <c r="G86">
        <f>IF($W86="","",INDEX('Per Line'!$F$2:$F$3001,$W86)&amp;"")</f>
        <v/>
      </c>
      <c r="H86">
        <f>IF($W86="","",INDEX('Per Line'!$G$2:$G$3001,$W86)&amp;"")</f>
        <v/>
      </c>
      <c r="I86">
        <f>IF($W86="","",INDEX('Per Line'!$H$2:$H$3001,$W86)&amp;"")</f>
        <v/>
      </c>
      <c r="J86">
        <f>IF($W86="","",INDEX('Per Line'!$I$2:$I$3001,$W86))</f>
        <v/>
      </c>
      <c r="K86" s="7">
        <f>IF($W86="","",J86*T86/100)</f>
        <v/>
      </c>
      <c r="L86" s="14">
        <f>IF($W86="","",INDEX('Per Line'!$V$2:$V$3001,$W86))</f>
        <v/>
      </c>
      <c r="M86">
        <f>IF($W86="","",IF(ISNUMBER(SEARCH("3&amp;12",SUBSTITUTE(F86," ",""))),Settings!$G$7,Settings!$C$7))</f>
        <v/>
      </c>
      <c r="N86" s="7">
        <f>IF($W86="","",SUMIFS('Per Line'!$O$2:$O$3001,'Per Line'!$B$2:$B$3001,$B86,'Per Line'!$AB$2:$AB$3001,0))</f>
        <v/>
      </c>
      <c r="O86" s="7">
        <f>IF($W86="","",N86*M86)</f>
        <v/>
      </c>
      <c r="P86">
        <f>IF($W86="","",IF(ISNUMBER(SEARCH("3&amp;12",SUBSTITUTE(F86," ",""))),Settings!$G$6,Settings!$C$6))</f>
        <v/>
      </c>
      <c r="Q86" s="7">
        <f>IF($W86="","",SUMIFS('Per Line'!$O$2:$O$3001,'Per Line'!$B$2:$B$3001,$B86,'Per Line'!$AB$2:$AB$3001,1))</f>
        <v/>
      </c>
      <c r="R86" s="7">
        <f>IF($W86="","",Q86*P86)</f>
        <v/>
      </c>
      <c r="S86" s="7">
        <f>IF($W86="","",R86+O86)</f>
        <v/>
      </c>
      <c r="T86" s="7">
        <f>IF($W86="","",V86-S86)</f>
        <v/>
      </c>
      <c r="U86" s="7">
        <f>IF($W86="","",V86-S86-K86)</f>
        <v/>
      </c>
      <c r="V86" s="7">
        <f>IF($W86="","",N86+Q86)</f>
        <v/>
      </c>
      <c r="W86" s="16">
        <f>IF(ROWS($W$2:$W86)&lt;=MAX('Per Line'!$AA$2:$AA$3001),MATCH(ROWS($W$2:$W86),'Per Line'!$AA$2:$AA$3001,0),"")</f>
        <v/>
      </c>
      <c r="X86">
        <f>IF($W86="","",D86&amp;"|"&amp;COUNTIF($D$2:$D86,D86))</f>
        <v/>
      </c>
    </row>
    <row r="87">
      <c r="A87" s="15" t="n"/>
      <c r="B87">
        <f>IF($W87="","",INDEX('Per Line'!$B$2:$B$3001,$W87)&amp;"")</f>
        <v/>
      </c>
      <c r="C87">
        <f>IF($W87="","",INDEX('Per Line'!$C$2:$C$3001,$W87)&amp;"")</f>
        <v/>
      </c>
      <c r="D87">
        <f>IF($W87="","",IF(OR(TRIM(E87)="Orient Insurance Company",TRIM(E87)="Allianz"),TRIM(E87),TRIM(F87)))</f>
        <v/>
      </c>
      <c r="E87">
        <f>IF($W87="","",INDEX('Per Line'!$E$2:$E$3001,$W87)&amp;"")</f>
        <v/>
      </c>
      <c r="F87">
        <f>IF($W87="","",INDEX('Per Line'!$D$2:$D$3001,$W87)&amp;"")</f>
        <v/>
      </c>
      <c r="G87">
        <f>IF($W87="","",INDEX('Per Line'!$F$2:$F$3001,$W87)&amp;"")</f>
        <v/>
      </c>
      <c r="H87">
        <f>IF($W87="","",INDEX('Per Line'!$G$2:$G$3001,$W87)&amp;"")</f>
        <v/>
      </c>
      <c r="I87">
        <f>IF($W87="","",INDEX('Per Line'!$H$2:$H$3001,$W87)&amp;"")</f>
        <v/>
      </c>
      <c r="J87">
        <f>IF($W87="","",INDEX('Per Line'!$I$2:$I$3001,$W87))</f>
        <v/>
      </c>
      <c r="K87" s="7">
        <f>IF($W87="","",J87*T87/100)</f>
        <v/>
      </c>
      <c r="L87" s="14">
        <f>IF($W87="","",INDEX('Per Line'!$V$2:$V$3001,$W87))</f>
        <v/>
      </c>
      <c r="M87">
        <f>IF($W87="","",IF(ISNUMBER(SEARCH("3&amp;12",SUBSTITUTE(F87," ",""))),Settings!$G$7,Settings!$C$7))</f>
        <v/>
      </c>
      <c r="N87" s="7">
        <f>IF($W87="","",SUMIFS('Per Line'!$O$2:$O$3001,'Per Line'!$B$2:$B$3001,$B87,'Per Line'!$AB$2:$AB$3001,0))</f>
        <v/>
      </c>
      <c r="O87" s="7">
        <f>IF($W87="","",N87*M87)</f>
        <v/>
      </c>
      <c r="P87">
        <f>IF($W87="","",IF(ISNUMBER(SEARCH("3&amp;12",SUBSTITUTE(F87," ",""))),Settings!$G$6,Settings!$C$6))</f>
        <v/>
      </c>
      <c r="Q87" s="7">
        <f>IF($W87="","",SUMIFS('Per Line'!$O$2:$O$3001,'Per Line'!$B$2:$B$3001,$B87,'Per Line'!$AB$2:$AB$3001,1))</f>
        <v/>
      </c>
      <c r="R87" s="7">
        <f>IF($W87="","",Q87*P87)</f>
        <v/>
      </c>
      <c r="S87" s="7">
        <f>IF($W87="","",R87+O87)</f>
        <v/>
      </c>
      <c r="T87" s="7">
        <f>IF($W87="","",V87-S87)</f>
        <v/>
      </c>
      <c r="U87" s="7">
        <f>IF($W87="","",V87-S87-K87)</f>
        <v/>
      </c>
      <c r="V87" s="7">
        <f>IF($W87="","",N87+Q87)</f>
        <v/>
      </c>
      <c r="W87" s="16">
        <f>IF(ROWS($W$2:$W87)&lt;=MAX('Per Line'!$AA$2:$AA$3001),MATCH(ROWS($W$2:$W87),'Per Line'!$AA$2:$AA$3001,0),"")</f>
        <v/>
      </c>
      <c r="X87">
        <f>IF($W87="","",D87&amp;"|"&amp;COUNTIF($D$2:$D87,D87))</f>
        <v/>
      </c>
    </row>
    <row r="88">
      <c r="A88" s="15" t="n"/>
      <c r="B88">
        <f>IF($W88="","",INDEX('Per Line'!$B$2:$B$3001,$W88)&amp;"")</f>
        <v/>
      </c>
      <c r="C88">
        <f>IF($W88="","",INDEX('Per Line'!$C$2:$C$3001,$W88)&amp;"")</f>
        <v/>
      </c>
      <c r="D88">
        <f>IF($W88="","",IF(OR(TRIM(E88)="Orient Insurance Company",TRIM(E88)="Allianz"),TRIM(E88),TRIM(F88)))</f>
        <v/>
      </c>
      <c r="E88">
        <f>IF($W88="","",INDEX('Per Line'!$E$2:$E$3001,$W88)&amp;"")</f>
        <v/>
      </c>
      <c r="F88">
        <f>IF($W88="","",INDEX('Per Line'!$D$2:$D$3001,$W88)&amp;"")</f>
        <v/>
      </c>
      <c r="G88">
        <f>IF($W88="","",INDEX('Per Line'!$F$2:$F$3001,$W88)&amp;"")</f>
        <v/>
      </c>
      <c r="H88">
        <f>IF($W88="","",INDEX('Per Line'!$G$2:$G$3001,$W88)&amp;"")</f>
        <v/>
      </c>
      <c r="I88">
        <f>IF($W88="","",INDEX('Per Line'!$H$2:$H$3001,$W88)&amp;"")</f>
        <v/>
      </c>
      <c r="J88">
        <f>IF($W88="","",INDEX('Per Line'!$I$2:$I$3001,$W88))</f>
        <v/>
      </c>
      <c r="K88" s="7">
        <f>IF($W88="","",J88*T88/100)</f>
        <v/>
      </c>
      <c r="L88" s="14">
        <f>IF($W88="","",INDEX('Per Line'!$V$2:$V$3001,$W88))</f>
        <v/>
      </c>
      <c r="M88">
        <f>IF($W88="","",IF(ISNUMBER(SEARCH("3&amp;12",SUBSTITUTE(F88," ",""))),Settings!$G$7,Settings!$C$7))</f>
        <v/>
      </c>
      <c r="N88" s="7">
        <f>IF($W88="","",SUMIFS('Per Line'!$O$2:$O$3001,'Per Line'!$B$2:$B$3001,$B88,'Per Line'!$AB$2:$AB$3001,0))</f>
        <v/>
      </c>
      <c r="O88" s="7">
        <f>IF($W88="","",N88*M88)</f>
        <v/>
      </c>
      <c r="P88">
        <f>IF($W88="","",IF(ISNUMBER(SEARCH("3&amp;12",SUBSTITUTE(F88," ",""))),Settings!$G$6,Settings!$C$6))</f>
        <v/>
      </c>
      <c r="Q88" s="7">
        <f>IF($W88="","",SUMIFS('Per Line'!$O$2:$O$3001,'Per Line'!$B$2:$B$3001,$B88,'Per Line'!$AB$2:$AB$3001,1))</f>
        <v/>
      </c>
      <c r="R88" s="7">
        <f>IF($W88="","",Q88*P88)</f>
        <v/>
      </c>
      <c r="S88" s="7">
        <f>IF($W88="","",R88+O88)</f>
        <v/>
      </c>
      <c r="T88" s="7">
        <f>IF($W88="","",V88-S88)</f>
        <v/>
      </c>
      <c r="U88" s="7">
        <f>IF($W88="","",V88-S88-K88)</f>
        <v/>
      </c>
      <c r="V88" s="7">
        <f>IF($W88="","",N88+Q88)</f>
        <v/>
      </c>
      <c r="W88" s="16">
        <f>IF(ROWS($W$2:$W88)&lt;=MAX('Per Line'!$AA$2:$AA$3001),MATCH(ROWS($W$2:$W88),'Per Line'!$AA$2:$AA$3001,0),"")</f>
        <v/>
      </c>
      <c r="X88">
        <f>IF($W88="","",D88&amp;"|"&amp;COUNTIF($D$2:$D88,D88))</f>
        <v/>
      </c>
    </row>
    <row r="89">
      <c r="A89" s="15" t="n"/>
      <c r="B89">
        <f>IF($W89="","",INDEX('Per Line'!$B$2:$B$3001,$W89)&amp;"")</f>
        <v/>
      </c>
      <c r="C89">
        <f>IF($W89="","",INDEX('Per Line'!$C$2:$C$3001,$W89)&amp;"")</f>
        <v/>
      </c>
      <c r="D89">
        <f>IF($W89="","",IF(OR(TRIM(E89)="Orient Insurance Company",TRIM(E89)="Allianz"),TRIM(E89),TRIM(F89)))</f>
        <v/>
      </c>
      <c r="E89">
        <f>IF($W89="","",INDEX('Per Line'!$E$2:$E$3001,$W89)&amp;"")</f>
        <v/>
      </c>
      <c r="F89">
        <f>IF($W89="","",INDEX('Per Line'!$D$2:$D$3001,$W89)&amp;"")</f>
        <v/>
      </c>
      <c r="G89">
        <f>IF($W89="","",INDEX('Per Line'!$F$2:$F$3001,$W89)&amp;"")</f>
        <v/>
      </c>
      <c r="H89">
        <f>IF($W89="","",INDEX('Per Line'!$G$2:$G$3001,$W89)&amp;"")</f>
        <v/>
      </c>
      <c r="I89">
        <f>IF($W89="","",INDEX('Per Line'!$H$2:$H$3001,$W89)&amp;"")</f>
        <v/>
      </c>
      <c r="J89">
        <f>IF($W89="","",INDEX('Per Line'!$I$2:$I$3001,$W89))</f>
        <v/>
      </c>
      <c r="K89" s="7">
        <f>IF($W89="","",J89*T89/100)</f>
        <v/>
      </c>
      <c r="L89" s="14">
        <f>IF($W89="","",INDEX('Per Line'!$V$2:$V$3001,$W89))</f>
        <v/>
      </c>
      <c r="M89">
        <f>IF($W89="","",IF(ISNUMBER(SEARCH("3&amp;12",SUBSTITUTE(F89," ",""))),Settings!$G$7,Settings!$C$7))</f>
        <v/>
      </c>
      <c r="N89" s="7">
        <f>IF($W89="","",SUMIFS('Per Line'!$O$2:$O$3001,'Per Line'!$B$2:$B$3001,$B89,'Per Line'!$AB$2:$AB$3001,0))</f>
        <v/>
      </c>
      <c r="O89" s="7">
        <f>IF($W89="","",N89*M89)</f>
        <v/>
      </c>
      <c r="P89">
        <f>IF($W89="","",IF(ISNUMBER(SEARCH("3&amp;12",SUBSTITUTE(F89," ",""))),Settings!$G$6,Settings!$C$6))</f>
        <v/>
      </c>
      <c r="Q89" s="7">
        <f>IF($W89="","",SUMIFS('Per Line'!$O$2:$O$3001,'Per Line'!$B$2:$B$3001,$B89,'Per Line'!$AB$2:$AB$3001,1))</f>
        <v/>
      </c>
      <c r="R89" s="7">
        <f>IF($W89="","",Q89*P89)</f>
        <v/>
      </c>
      <c r="S89" s="7">
        <f>IF($W89="","",R89+O89)</f>
        <v/>
      </c>
      <c r="T89" s="7">
        <f>IF($W89="","",V89-S89)</f>
        <v/>
      </c>
      <c r="U89" s="7">
        <f>IF($W89="","",V89-S89-K89)</f>
        <v/>
      </c>
      <c r="V89" s="7">
        <f>IF($W89="","",N89+Q89)</f>
        <v/>
      </c>
      <c r="W89" s="16">
        <f>IF(ROWS($W$2:$W89)&lt;=MAX('Per Line'!$AA$2:$AA$3001),MATCH(ROWS($W$2:$W89),'Per Line'!$AA$2:$AA$3001,0),"")</f>
        <v/>
      </c>
      <c r="X89">
        <f>IF($W89="","",D89&amp;"|"&amp;COUNTIF($D$2:$D89,D89))</f>
        <v/>
      </c>
    </row>
    <row r="90">
      <c r="A90" s="15" t="n"/>
      <c r="B90">
        <f>IF($W90="","",INDEX('Per Line'!$B$2:$B$3001,$W90)&amp;"")</f>
        <v/>
      </c>
      <c r="C90">
        <f>IF($W90="","",INDEX('Per Line'!$C$2:$C$3001,$W90)&amp;"")</f>
        <v/>
      </c>
      <c r="D90">
        <f>IF($W90="","",IF(OR(TRIM(E90)="Orient Insurance Company",TRIM(E90)="Allianz"),TRIM(E90),TRIM(F90)))</f>
        <v/>
      </c>
      <c r="E90">
        <f>IF($W90="","",INDEX('Per Line'!$E$2:$E$3001,$W90)&amp;"")</f>
        <v/>
      </c>
      <c r="F90">
        <f>IF($W90="","",INDEX('Per Line'!$D$2:$D$3001,$W90)&amp;"")</f>
        <v/>
      </c>
      <c r="G90">
        <f>IF($W90="","",INDEX('Per Line'!$F$2:$F$3001,$W90)&amp;"")</f>
        <v/>
      </c>
      <c r="H90">
        <f>IF($W90="","",INDEX('Per Line'!$G$2:$G$3001,$W90)&amp;"")</f>
        <v/>
      </c>
      <c r="I90">
        <f>IF($W90="","",INDEX('Per Line'!$H$2:$H$3001,$W90)&amp;"")</f>
        <v/>
      </c>
      <c r="J90">
        <f>IF($W90="","",INDEX('Per Line'!$I$2:$I$3001,$W90))</f>
        <v/>
      </c>
      <c r="K90" s="7">
        <f>IF($W90="","",J90*T90/100)</f>
        <v/>
      </c>
      <c r="L90" s="14">
        <f>IF($W90="","",INDEX('Per Line'!$V$2:$V$3001,$W90))</f>
        <v/>
      </c>
      <c r="M90">
        <f>IF($W90="","",IF(ISNUMBER(SEARCH("3&amp;12",SUBSTITUTE(F90," ",""))),Settings!$G$7,Settings!$C$7))</f>
        <v/>
      </c>
      <c r="N90" s="7">
        <f>IF($W90="","",SUMIFS('Per Line'!$O$2:$O$3001,'Per Line'!$B$2:$B$3001,$B90,'Per Line'!$AB$2:$AB$3001,0))</f>
        <v/>
      </c>
      <c r="O90" s="7">
        <f>IF($W90="","",N90*M90)</f>
        <v/>
      </c>
      <c r="P90">
        <f>IF($W90="","",IF(ISNUMBER(SEARCH("3&amp;12",SUBSTITUTE(F90," ",""))),Settings!$G$6,Settings!$C$6))</f>
        <v/>
      </c>
      <c r="Q90" s="7">
        <f>IF($W90="","",SUMIFS('Per Line'!$O$2:$O$3001,'Per Line'!$B$2:$B$3001,$B90,'Per Line'!$AB$2:$AB$3001,1))</f>
        <v/>
      </c>
      <c r="R90" s="7">
        <f>IF($W90="","",Q90*P90)</f>
        <v/>
      </c>
      <c r="S90" s="7">
        <f>IF($W90="","",R90+O90)</f>
        <v/>
      </c>
      <c r="T90" s="7">
        <f>IF($W90="","",V90-S90)</f>
        <v/>
      </c>
      <c r="U90" s="7">
        <f>IF($W90="","",V90-S90-K90)</f>
        <v/>
      </c>
      <c r="V90" s="7">
        <f>IF($W90="","",N90+Q90)</f>
        <v/>
      </c>
      <c r="W90" s="16">
        <f>IF(ROWS($W$2:$W90)&lt;=MAX('Per Line'!$AA$2:$AA$3001),MATCH(ROWS($W$2:$W90),'Per Line'!$AA$2:$AA$3001,0),"")</f>
        <v/>
      </c>
      <c r="X90">
        <f>IF($W90="","",D90&amp;"|"&amp;COUNTIF($D$2:$D90,D90))</f>
        <v/>
      </c>
    </row>
    <row r="91">
      <c r="A91" s="15" t="n"/>
      <c r="B91">
        <f>IF($W91="","",INDEX('Per Line'!$B$2:$B$3001,$W91)&amp;"")</f>
        <v/>
      </c>
      <c r="C91">
        <f>IF($W91="","",INDEX('Per Line'!$C$2:$C$3001,$W91)&amp;"")</f>
        <v/>
      </c>
      <c r="D91">
        <f>IF($W91="","",IF(OR(TRIM(E91)="Orient Insurance Company",TRIM(E91)="Allianz"),TRIM(E91),TRIM(F91)))</f>
        <v/>
      </c>
      <c r="E91">
        <f>IF($W91="","",INDEX('Per Line'!$E$2:$E$3001,$W91)&amp;"")</f>
        <v/>
      </c>
      <c r="F91">
        <f>IF($W91="","",INDEX('Per Line'!$D$2:$D$3001,$W91)&amp;"")</f>
        <v/>
      </c>
      <c r="G91">
        <f>IF($W91="","",INDEX('Per Line'!$F$2:$F$3001,$W91)&amp;"")</f>
        <v/>
      </c>
      <c r="H91">
        <f>IF($W91="","",INDEX('Per Line'!$G$2:$G$3001,$W91)&amp;"")</f>
        <v/>
      </c>
      <c r="I91">
        <f>IF($W91="","",INDEX('Per Line'!$H$2:$H$3001,$W91)&amp;"")</f>
        <v/>
      </c>
      <c r="J91">
        <f>IF($W91="","",INDEX('Per Line'!$I$2:$I$3001,$W91))</f>
        <v/>
      </c>
      <c r="K91" s="7">
        <f>IF($W91="","",J91*T91/100)</f>
        <v/>
      </c>
      <c r="L91" s="14">
        <f>IF($W91="","",INDEX('Per Line'!$V$2:$V$3001,$W91))</f>
        <v/>
      </c>
      <c r="M91">
        <f>IF($W91="","",IF(ISNUMBER(SEARCH("3&amp;12",SUBSTITUTE(F91," ",""))),Settings!$G$7,Settings!$C$7))</f>
        <v/>
      </c>
      <c r="N91" s="7">
        <f>IF($W91="","",SUMIFS('Per Line'!$O$2:$O$3001,'Per Line'!$B$2:$B$3001,$B91,'Per Line'!$AB$2:$AB$3001,0))</f>
        <v/>
      </c>
      <c r="O91" s="7">
        <f>IF($W91="","",N91*M91)</f>
        <v/>
      </c>
      <c r="P91">
        <f>IF($W91="","",IF(ISNUMBER(SEARCH("3&amp;12",SUBSTITUTE(F91," ",""))),Settings!$G$6,Settings!$C$6))</f>
        <v/>
      </c>
      <c r="Q91" s="7">
        <f>IF($W91="","",SUMIFS('Per Line'!$O$2:$O$3001,'Per Line'!$B$2:$B$3001,$B91,'Per Line'!$AB$2:$AB$3001,1))</f>
        <v/>
      </c>
      <c r="R91" s="7">
        <f>IF($W91="","",Q91*P91)</f>
        <v/>
      </c>
      <c r="S91" s="7">
        <f>IF($W91="","",R91+O91)</f>
        <v/>
      </c>
      <c r="T91" s="7">
        <f>IF($W91="","",V91-S91)</f>
        <v/>
      </c>
      <c r="U91" s="7">
        <f>IF($W91="","",V91-S91-K91)</f>
        <v/>
      </c>
      <c r="V91" s="7">
        <f>IF($W91="","",N91+Q91)</f>
        <v/>
      </c>
      <c r="W91" s="16">
        <f>IF(ROWS($W$2:$W91)&lt;=MAX('Per Line'!$AA$2:$AA$3001),MATCH(ROWS($W$2:$W91),'Per Line'!$AA$2:$AA$3001,0),"")</f>
        <v/>
      </c>
      <c r="X91">
        <f>IF($W91="","",D91&amp;"|"&amp;COUNTIF($D$2:$D91,D91))</f>
        <v/>
      </c>
    </row>
    <row r="92">
      <c r="A92" s="15" t="n"/>
      <c r="B92">
        <f>IF($W92="","",INDEX('Per Line'!$B$2:$B$3001,$W92)&amp;"")</f>
        <v/>
      </c>
      <c r="C92">
        <f>IF($W92="","",INDEX('Per Line'!$C$2:$C$3001,$W92)&amp;"")</f>
        <v/>
      </c>
      <c r="D92">
        <f>IF($W92="","",IF(OR(TRIM(E92)="Orient Insurance Company",TRIM(E92)="Allianz"),TRIM(E92),TRIM(F92)))</f>
        <v/>
      </c>
      <c r="E92">
        <f>IF($W92="","",INDEX('Per Line'!$E$2:$E$3001,$W92)&amp;"")</f>
        <v/>
      </c>
      <c r="F92">
        <f>IF($W92="","",INDEX('Per Line'!$D$2:$D$3001,$W92)&amp;"")</f>
        <v/>
      </c>
      <c r="G92">
        <f>IF($W92="","",INDEX('Per Line'!$F$2:$F$3001,$W92)&amp;"")</f>
        <v/>
      </c>
      <c r="H92">
        <f>IF($W92="","",INDEX('Per Line'!$G$2:$G$3001,$W92)&amp;"")</f>
        <v/>
      </c>
      <c r="I92">
        <f>IF($W92="","",INDEX('Per Line'!$H$2:$H$3001,$W92)&amp;"")</f>
        <v/>
      </c>
      <c r="J92">
        <f>IF($W92="","",INDEX('Per Line'!$I$2:$I$3001,$W92))</f>
        <v/>
      </c>
      <c r="K92" s="7">
        <f>IF($W92="","",J92*T92/100)</f>
        <v/>
      </c>
      <c r="L92" s="14">
        <f>IF($W92="","",INDEX('Per Line'!$V$2:$V$3001,$W92))</f>
        <v/>
      </c>
      <c r="M92">
        <f>IF($W92="","",IF(ISNUMBER(SEARCH("3&amp;12",SUBSTITUTE(F92," ",""))),Settings!$G$7,Settings!$C$7))</f>
        <v/>
      </c>
      <c r="N92" s="7">
        <f>IF($W92="","",SUMIFS('Per Line'!$O$2:$O$3001,'Per Line'!$B$2:$B$3001,$B92,'Per Line'!$AB$2:$AB$3001,0))</f>
        <v/>
      </c>
      <c r="O92" s="7">
        <f>IF($W92="","",N92*M92)</f>
        <v/>
      </c>
      <c r="P92">
        <f>IF($W92="","",IF(ISNUMBER(SEARCH("3&amp;12",SUBSTITUTE(F92," ",""))),Settings!$G$6,Settings!$C$6))</f>
        <v/>
      </c>
      <c r="Q92" s="7">
        <f>IF($W92="","",SUMIFS('Per Line'!$O$2:$O$3001,'Per Line'!$B$2:$B$3001,$B92,'Per Line'!$AB$2:$AB$3001,1))</f>
        <v/>
      </c>
      <c r="R92" s="7">
        <f>IF($W92="","",Q92*P92)</f>
        <v/>
      </c>
      <c r="S92" s="7">
        <f>IF($W92="","",R92+O92)</f>
        <v/>
      </c>
      <c r="T92" s="7">
        <f>IF($W92="","",V92-S92)</f>
        <v/>
      </c>
      <c r="U92" s="7">
        <f>IF($W92="","",V92-S92-K92)</f>
        <v/>
      </c>
      <c r="V92" s="7">
        <f>IF($W92="","",N92+Q92)</f>
        <v/>
      </c>
      <c r="W92" s="16">
        <f>IF(ROWS($W$2:$W92)&lt;=MAX('Per Line'!$AA$2:$AA$3001),MATCH(ROWS($W$2:$W92),'Per Line'!$AA$2:$AA$3001,0),"")</f>
        <v/>
      </c>
      <c r="X92">
        <f>IF($W92="","",D92&amp;"|"&amp;COUNTIF($D$2:$D92,D92))</f>
        <v/>
      </c>
    </row>
    <row r="93">
      <c r="A93" s="15" t="n"/>
      <c r="B93">
        <f>IF($W93="","",INDEX('Per Line'!$B$2:$B$3001,$W93)&amp;"")</f>
        <v/>
      </c>
      <c r="C93">
        <f>IF($W93="","",INDEX('Per Line'!$C$2:$C$3001,$W93)&amp;"")</f>
        <v/>
      </c>
      <c r="D93">
        <f>IF($W93="","",IF(OR(TRIM(E93)="Orient Insurance Company",TRIM(E93)="Allianz"),TRIM(E93),TRIM(F93)))</f>
        <v/>
      </c>
      <c r="E93">
        <f>IF($W93="","",INDEX('Per Line'!$E$2:$E$3001,$W93)&amp;"")</f>
        <v/>
      </c>
      <c r="F93">
        <f>IF($W93="","",INDEX('Per Line'!$D$2:$D$3001,$W93)&amp;"")</f>
        <v/>
      </c>
      <c r="G93">
        <f>IF($W93="","",INDEX('Per Line'!$F$2:$F$3001,$W93)&amp;"")</f>
        <v/>
      </c>
      <c r="H93">
        <f>IF($W93="","",INDEX('Per Line'!$G$2:$G$3001,$W93)&amp;"")</f>
        <v/>
      </c>
      <c r="I93">
        <f>IF($W93="","",INDEX('Per Line'!$H$2:$H$3001,$W93)&amp;"")</f>
        <v/>
      </c>
      <c r="J93">
        <f>IF($W93="","",INDEX('Per Line'!$I$2:$I$3001,$W93))</f>
        <v/>
      </c>
      <c r="K93" s="7">
        <f>IF($W93="","",J93*T93/100)</f>
        <v/>
      </c>
      <c r="L93" s="14">
        <f>IF($W93="","",INDEX('Per Line'!$V$2:$V$3001,$W93))</f>
        <v/>
      </c>
      <c r="M93">
        <f>IF($W93="","",IF(ISNUMBER(SEARCH("3&amp;12",SUBSTITUTE(F93," ",""))),Settings!$G$7,Settings!$C$7))</f>
        <v/>
      </c>
      <c r="N93" s="7">
        <f>IF($W93="","",SUMIFS('Per Line'!$O$2:$O$3001,'Per Line'!$B$2:$B$3001,$B93,'Per Line'!$AB$2:$AB$3001,0))</f>
        <v/>
      </c>
      <c r="O93" s="7">
        <f>IF($W93="","",N93*M93)</f>
        <v/>
      </c>
      <c r="P93">
        <f>IF($W93="","",IF(ISNUMBER(SEARCH("3&amp;12",SUBSTITUTE(F93," ",""))),Settings!$G$6,Settings!$C$6))</f>
        <v/>
      </c>
      <c r="Q93" s="7">
        <f>IF($W93="","",SUMIFS('Per Line'!$O$2:$O$3001,'Per Line'!$B$2:$B$3001,$B93,'Per Line'!$AB$2:$AB$3001,1))</f>
        <v/>
      </c>
      <c r="R93" s="7">
        <f>IF($W93="","",Q93*P93)</f>
        <v/>
      </c>
      <c r="S93" s="7">
        <f>IF($W93="","",R93+O93)</f>
        <v/>
      </c>
      <c r="T93" s="7">
        <f>IF($W93="","",V93-S93)</f>
        <v/>
      </c>
      <c r="U93" s="7">
        <f>IF($W93="","",V93-S93-K93)</f>
        <v/>
      </c>
      <c r="V93" s="7">
        <f>IF($W93="","",N93+Q93)</f>
        <v/>
      </c>
      <c r="W93" s="16">
        <f>IF(ROWS($W$2:$W93)&lt;=MAX('Per Line'!$AA$2:$AA$3001),MATCH(ROWS($W$2:$W93),'Per Line'!$AA$2:$AA$3001,0),"")</f>
        <v/>
      </c>
      <c r="X93">
        <f>IF($W93="","",D93&amp;"|"&amp;COUNTIF($D$2:$D93,D93))</f>
        <v/>
      </c>
    </row>
    <row r="94">
      <c r="A94" s="15" t="n"/>
      <c r="B94">
        <f>IF($W94="","",INDEX('Per Line'!$B$2:$B$3001,$W94)&amp;"")</f>
        <v/>
      </c>
      <c r="C94">
        <f>IF($W94="","",INDEX('Per Line'!$C$2:$C$3001,$W94)&amp;"")</f>
        <v/>
      </c>
      <c r="D94">
        <f>IF($W94="","",IF(OR(TRIM(E94)="Orient Insurance Company",TRIM(E94)="Allianz"),TRIM(E94),TRIM(F94)))</f>
        <v/>
      </c>
      <c r="E94">
        <f>IF($W94="","",INDEX('Per Line'!$E$2:$E$3001,$W94)&amp;"")</f>
        <v/>
      </c>
      <c r="F94">
        <f>IF($W94="","",INDEX('Per Line'!$D$2:$D$3001,$W94)&amp;"")</f>
        <v/>
      </c>
      <c r="G94">
        <f>IF($W94="","",INDEX('Per Line'!$F$2:$F$3001,$W94)&amp;"")</f>
        <v/>
      </c>
      <c r="H94">
        <f>IF($W94="","",INDEX('Per Line'!$G$2:$G$3001,$W94)&amp;"")</f>
        <v/>
      </c>
      <c r="I94">
        <f>IF($W94="","",INDEX('Per Line'!$H$2:$H$3001,$W94)&amp;"")</f>
        <v/>
      </c>
      <c r="J94">
        <f>IF($W94="","",INDEX('Per Line'!$I$2:$I$3001,$W94))</f>
        <v/>
      </c>
      <c r="K94" s="7">
        <f>IF($W94="","",J94*T94/100)</f>
        <v/>
      </c>
      <c r="L94" s="14">
        <f>IF($W94="","",INDEX('Per Line'!$V$2:$V$3001,$W94))</f>
        <v/>
      </c>
      <c r="M94">
        <f>IF($W94="","",IF(ISNUMBER(SEARCH("3&amp;12",SUBSTITUTE(F94," ",""))),Settings!$G$7,Settings!$C$7))</f>
        <v/>
      </c>
      <c r="N94" s="7">
        <f>IF($W94="","",SUMIFS('Per Line'!$O$2:$O$3001,'Per Line'!$B$2:$B$3001,$B94,'Per Line'!$AB$2:$AB$3001,0))</f>
        <v/>
      </c>
      <c r="O94" s="7">
        <f>IF($W94="","",N94*M94)</f>
        <v/>
      </c>
      <c r="P94">
        <f>IF($W94="","",IF(ISNUMBER(SEARCH("3&amp;12",SUBSTITUTE(F94," ",""))),Settings!$G$6,Settings!$C$6))</f>
        <v/>
      </c>
      <c r="Q94" s="7">
        <f>IF($W94="","",SUMIFS('Per Line'!$O$2:$O$3001,'Per Line'!$B$2:$B$3001,$B94,'Per Line'!$AB$2:$AB$3001,1))</f>
        <v/>
      </c>
      <c r="R94" s="7">
        <f>IF($W94="","",Q94*P94)</f>
        <v/>
      </c>
      <c r="S94" s="7">
        <f>IF($W94="","",R94+O94)</f>
        <v/>
      </c>
      <c r="T94" s="7">
        <f>IF($W94="","",V94-S94)</f>
        <v/>
      </c>
      <c r="U94" s="7">
        <f>IF($W94="","",V94-S94-K94)</f>
        <v/>
      </c>
      <c r="V94" s="7">
        <f>IF($W94="","",N94+Q94)</f>
        <v/>
      </c>
      <c r="W94" s="16">
        <f>IF(ROWS($W$2:$W94)&lt;=MAX('Per Line'!$AA$2:$AA$3001),MATCH(ROWS($W$2:$W94),'Per Line'!$AA$2:$AA$3001,0),"")</f>
        <v/>
      </c>
      <c r="X94">
        <f>IF($W94="","",D94&amp;"|"&amp;COUNTIF($D$2:$D94,D94))</f>
        <v/>
      </c>
    </row>
    <row r="95">
      <c r="A95" s="15" t="n"/>
      <c r="B95">
        <f>IF($W95="","",INDEX('Per Line'!$B$2:$B$3001,$W95)&amp;"")</f>
        <v/>
      </c>
      <c r="C95">
        <f>IF($W95="","",INDEX('Per Line'!$C$2:$C$3001,$W95)&amp;"")</f>
        <v/>
      </c>
      <c r="D95">
        <f>IF($W95="","",IF(OR(TRIM(E95)="Orient Insurance Company",TRIM(E95)="Allianz"),TRIM(E95),TRIM(F95)))</f>
        <v/>
      </c>
      <c r="E95">
        <f>IF($W95="","",INDEX('Per Line'!$E$2:$E$3001,$W95)&amp;"")</f>
        <v/>
      </c>
      <c r="F95">
        <f>IF($W95="","",INDEX('Per Line'!$D$2:$D$3001,$W95)&amp;"")</f>
        <v/>
      </c>
      <c r="G95">
        <f>IF($W95="","",INDEX('Per Line'!$F$2:$F$3001,$W95)&amp;"")</f>
        <v/>
      </c>
      <c r="H95">
        <f>IF($W95="","",INDEX('Per Line'!$G$2:$G$3001,$W95)&amp;"")</f>
        <v/>
      </c>
      <c r="I95">
        <f>IF($W95="","",INDEX('Per Line'!$H$2:$H$3001,$W95)&amp;"")</f>
        <v/>
      </c>
      <c r="J95">
        <f>IF($W95="","",INDEX('Per Line'!$I$2:$I$3001,$W95))</f>
        <v/>
      </c>
      <c r="K95" s="7">
        <f>IF($W95="","",J95*T95/100)</f>
        <v/>
      </c>
      <c r="L95" s="14">
        <f>IF($W95="","",INDEX('Per Line'!$V$2:$V$3001,$W95))</f>
        <v/>
      </c>
      <c r="M95">
        <f>IF($W95="","",IF(ISNUMBER(SEARCH("3&amp;12",SUBSTITUTE(F95," ",""))),Settings!$G$7,Settings!$C$7))</f>
        <v/>
      </c>
      <c r="N95" s="7">
        <f>IF($W95="","",SUMIFS('Per Line'!$O$2:$O$3001,'Per Line'!$B$2:$B$3001,$B95,'Per Line'!$AB$2:$AB$3001,0))</f>
        <v/>
      </c>
      <c r="O95" s="7">
        <f>IF($W95="","",N95*M95)</f>
        <v/>
      </c>
      <c r="P95">
        <f>IF($W95="","",IF(ISNUMBER(SEARCH("3&amp;12",SUBSTITUTE(F95," ",""))),Settings!$G$6,Settings!$C$6))</f>
        <v/>
      </c>
      <c r="Q95" s="7">
        <f>IF($W95="","",SUMIFS('Per Line'!$O$2:$O$3001,'Per Line'!$B$2:$B$3001,$B95,'Per Line'!$AB$2:$AB$3001,1))</f>
        <v/>
      </c>
      <c r="R95" s="7">
        <f>IF($W95="","",Q95*P95)</f>
        <v/>
      </c>
      <c r="S95" s="7">
        <f>IF($W95="","",R95+O95)</f>
        <v/>
      </c>
      <c r="T95" s="7">
        <f>IF($W95="","",V95-S95)</f>
        <v/>
      </c>
      <c r="U95" s="7">
        <f>IF($W95="","",V95-S95-K95)</f>
        <v/>
      </c>
      <c r="V95" s="7">
        <f>IF($W95="","",N95+Q95)</f>
        <v/>
      </c>
      <c r="W95" s="16">
        <f>IF(ROWS($W$2:$W95)&lt;=MAX('Per Line'!$AA$2:$AA$3001),MATCH(ROWS($W$2:$W95),'Per Line'!$AA$2:$AA$3001,0),"")</f>
        <v/>
      </c>
      <c r="X95">
        <f>IF($W95="","",D95&amp;"|"&amp;COUNTIF($D$2:$D95,D95))</f>
        <v/>
      </c>
    </row>
    <row r="96">
      <c r="A96" s="15" t="n"/>
      <c r="B96">
        <f>IF($W96="","",INDEX('Per Line'!$B$2:$B$3001,$W96)&amp;"")</f>
        <v/>
      </c>
      <c r="C96">
        <f>IF($W96="","",INDEX('Per Line'!$C$2:$C$3001,$W96)&amp;"")</f>
        <v/>
      </c>
      <c r="D96">
        <f>IF($W96="","",IF(OR(TRIM(E96)="Orient Insurance Company",TRIM(E96)="Allianz"),TRIM(E96),TRIM(F96)))</f>
        <v/>
      </c>
      <c r="E96">
        <f>IF($W96="","",INDEX('Per Line'!$E$2:$E$3001,$W96)&amp;"")</f>
        <v/>
      </c>
      <c r="F96">
        <f>IF($W96="","",INDEX('Per Line'!$D$2:$D$3001,$W96)&amp;"")</f>
        <v/>
      </c>
      <c r="G96">
        <f>IF($W96="","",INDEX('Per Line'!$F$2:$F$3001,$W96)&amp;"")</f>
        <v/>
      </c>
      <c r="H96">
        <f>IF($W96="","",INDEX('Per Line'!$G$2:$G$3001,$W96)&amp;"")</f>
        <v/>
      </c>
      <c r="I96">
        <f>IF($W96="","",INDEX('Per Line'!$H$2:$H$3001,$W96)&amp;"")</f>
        <v/>
      </c>
      <c r="J96">
        <f>IF($W96="","",INDEX('Per Line'!$I$2:$I$3001,$W96))</f>
        <v/>
      </c>
      <c r="K96" s="7">
        <f>IF($W96="","",J96*T96/100)</f>
        <v/>
      </c>
      <c r="L96" s="14">
        <f>IF($W96="","",INDEX('Per Line'!$V$2:$V$3001,$W96))</f>
        <v/>
      </c>
      <c r="M96">
        <f>IF($W96="","",IF(ISNUMBER(SEARCH("3&amp;12",SUBSTITUTE(F96," ",""))),Settings!$G$7,Settings!$C$7))</f>
        <v/>
      </c>
      <c r="N96" s="7">
        <f>IF($W96="","",SUMIFS('Per Line'!$O$2:$O$3001,'Per Line'!$B$2:$B$3001,$B96,'Per Line'!$AB$2:$AB$3001,0))</f>
        <v/>
      </c>
      <c r="O96" s="7">
        <f>IF($W96="","",N96*M96)</f>
        <v/>
      </c>
      <c r="P96">
        <f>IF($W96="","",IF(ISNUMBER(SEARCH("3&amp;12",SUBSTITUTE(F96," ",""))),Settings!$G$6,Settings!$C$6))</f>
        <v/>
      </c>
      <c r="Q96" s="7">
        <f>IF($W96="","",SUMIFS('Per Line'!$O$2:$O$3001,'Per Line'!$B$2:$B$3001,$B96,'Per Line'!$AB$2:$AB$3001,1))</f>
        <v/>
      </c>
      <c r="R96" s="7">
        <f>IF($W96="","",Q96*P96)</f>
        <v/>
      </c>
      <c r="S96" s="7">
        <f>IF($W96="","",R96+O96)</f>
        <v/>
      </c>
      <c r="T96" s="7">
        <f>IF($W96="","",V96-S96)</f>
        <v/>
      </c>
      <c r="U96" s="7">
        <f>IF($W96="","",V96-S96-K96)</f>
        <v/>
      </c>
      <c r="V96" s="7">
        <f>IF($W96="","",N96+Q96)</f>
        <v/>
      </c>
      <c r="W96" s="16">
        <f>IF(ROWS($W$2:$W96)&lt;=MAX('Per Line'!$AA$2:$AA$3001),MATCH(ROWS($W$2:$W96),'Per Line'!$AA$2:$AA$3001,0),"")</f>
        <v/>
      </c>
      <c r="X96">
        <f>IF($W96="","",D96&amp;"|"&amp;COUNTIF($D$2:$D96,D96))</f>
        <v/>
      </c>
    </row>
    <row r="97">
      <c r="A97" s="15" t="n"/>
      <c r="B97">
        <f>IF($W97="","",INDEX('Per Line'!$B$2:$B$3001,$W97)&amp;"")</f>
        <v/>
      </c>
      <c r="C97">
        <f>IF($W97="","",INDEX('Per Line'!$C$2:$C$3001,$W97)&amp;"")</f>
        <v/>
      </c>
      <c r="D97">
        <f>IF($W97="","",IF(OR(TRIM(E97)="Orient Insurance Company",TRIM(E97)="Allianz"),TRIM(E97),TRIM(F97)))</f>
        <v/>
      </c>
      <c r="E97">
        <f>IF($W97="","",INDEX('Per Line'!$E$2:$E$3001,$W97)&amp;"")</f>
        <v/>
      </c>
      <c r="F97">
        <f>IF($W97="","",INDEX('Per Line'!$D$2:$D$3001,$W97)&amp;"")</f>
        <v/>
      </c>
      <c r="G97">
        <f>IF($W97="","",INDEX('Per Line'!$F$2:$F$3001,$W97)&amp;"")</f>
        <v/>
      </c>
      <c r="H97">
        <f>IF($W97="","",INDEX('Per Line'!$G$2:$G$3001,$W97)&amp;"")</f>
        <v/>
      </c>
      <c r="I97">
        <f>IF($W97="","",INDEX('Per Line'!$H$2:$H$3001,$W97)&amp;"")</f>
        <v/>
      </c>
      <c r="J97">
        <f>IF($W97="","",INDEX('Per Line'!$I$2:$I$3001,$W97))</f>
        <v/>
      </c>
      <c r="K97" s="7">
        <f>IF($W97="","",J97*T97/100)</f>
        <v/>
      </c>
      <c r="L97" s="14">
        <f>IF($W97="","",INDEX('Per Line'!$V$2:$V$3001,$W97))</f>
        <v/>
      </c>
      <c r="M97">
        <f>IF($W97="","",IF(ISNUMBER(SEARCH("3&amp;12",SUBSTITUTE(F97," ",""))),Settings!$G$7,Settings!$C$7))</f>
        <v/>
      </c>
      <c r="N97" s="7">
        <f>IF($W97="","",SUMIFS('Per Line'!$O$2:$O$3001,'Per Line'!$B$2:$B$3001,$B97,'Per Line'!$AB$2:$AB$3001,0))</f>
        <v/>
      </c>
      <c r="O97" s="7">
        <f>IF($W97="","",N97*M97)</f>
        <v/>
      </c>
      <c r="P97">
        <f>IF($W97="","",IF(ISNUMBER(SEARCH("3&amp;12",SUBSTITUTE(F97," ",""))),Settings!$G$6,Settings!$C$6))</f>
        <v/>
      </c>
      <c r="Q97" s="7">
        <f>IF($W97="","",SUMIFS('Per Line'!$O$2:$O$3001,'Per Line'!$B$2:$B$3001,$B97,'Per Line'!$AB$2:$AB$3001,1))</f>
        <v/>
      </c>
      <c r="R97" s="7">
        <f>IF($W97="","",Q97*P97)</f>
        <v/>
      </c>
      <c r="S97" s="7">
        <f>IF($W97="","",R97+O97)</f>
        <v/>
      </c>
      <c r="T97" s="7">
        <f>IF($W97="","",V97-S97)</f>
        <v/>
      </c>
      <c r="U97" s="7">
        <f>IF($W97="","",V97-S97-K97)</f>
        <v/>
      </c>
      <c r="V97" s="7">
        <f>IF($W97="","",N97+Q97)</f>
        <v/>
      </c>
      <c r="W97" s="16">
        <f>IF(ROWS($W$2:$W97)&lt;=MAX('Per Line'!$AA$2:$AA$3001),MATCH(ROWS($W$2:$W97),'Per Line'!$AA$2:$AA$3001,0),"")</f>
        <v/>
      </c>
      <c r="X97">
        <f>IF($W97="","",D97&amp;"|"&amp;COUNTIF($D$2:$D97,D97))</f>
        <v/>
      </c>
    </row>
    <row r="98">
      <c r="A98" s="15" t="n"/>
      <c r="B98">
        <f>IF($W98="","",INDEX('Per Line'!$B$2:$B$3001,$W98)&amp;"")</f>
        <v/>
      </c>
      <c r="C98">
        <f>IF($W98="","",INDEX('Per Line'!$C$2:$C$3001,$W98)&amp;"")</f>
        <v/>
      </c>
      <c r="D98">
        <f>IF($W98="","",IF(OR(TRIM(E98)="Orient Insurance Company",TRIM(E98)="Allianz"),TRIM(E98),TRIM(F98)))</f>
        <v/>
      </c>
      <c r="E98">
        <f>IF($W98="","",INDEX('Per Line'!$E$2:$E$3001,$W98)&amp;"")</f>
        <v/>
      </c>
      <c r="F98">
        <f>IF($W98="","",INDEX('Per Line'!$D$2:$D$3001,$W98)&amp;"")</f>
        <v/>
      </c>
      <c r="G98">
        <f>IF($W98="","",INDEX('Per Line'!$F$2:$F$3001,$W98)&amp;"")</f>
        <v/>
      </c>
      <c r="H98">
        <f>IF($W98="","",INDEX('Per Line'!$G$2:$G$3001,$W98)&amp;"")</f>
        <v/>
      </c>
      <c r="I98">
        <f>IF($W98="","",INDEX('Per Line'!$H$2:$H$3001,$W98)&amp;"")</f>
        <v/>
      </c>
      <c r="J98">
        <f>IF($W98="","",INDEX('Per Line'!$I$2:$I$3001,$W98))</f>
        <v/>
      </c>
      <c r="K98" s="7">
        <f>IF($W98="","",J98*T98/100)</f>
        <v/>
      </c>
      <c r="L98" s="14">
        <f>IF($W98="","",INDEX('Per Line'!$V$2:$V$3001,$W98))</f>
        <v/>
      </c>
      <c r="M98">
        <f>IF($W98="","",IF(ISNUMBER(SEARCH("3&amp;12",SUBSTITUTE(F98," ",""))),Settings!$G$7,Settings!$C$7))</f>
        <v/>
      </c>
      <c r="N98" s="7">
        <f>IF($W98="","",SUMIFS('Per Line'!$O$2:$O$3001,'Per Line'!$B$2:$B$3001,$B98,'Per Line'!$AB$2:$AB$3001,0))</f>
        <v/>
      </c>
      <c r="O98" s="7">
        <f>IF($W98="","",N98*M98)</f>
        <v/>
      </c>
      <c r="P98">
        <f>IF($W98="","",IF(ISNUMBER(SEARCH("3&amp;12",SUBSTITUTE(F98," ",""))),Settings!$G$6,Settings!$C$6))</f>
        <v/>
      </c>
      <c r="Q98" s="7">
        <f>IF($W98="","",SUMIFS('Per Line'!$O$2:$O$3001,'Per Line'!$B$2:$B$3001,$B98,'Per Line'!$AB$2:$AB$3001,1))</f>
        <v/>
      </c>
      <c r="R98" s="7">
        <f>IF($W98="","",Q98*P98)</f>
        <v/>
      </c>
      <c r="S98" s="7">
        <f>IF($W98="","",R98+O98)</f>
        <v/>
      </c>
      <c r="T98" s="7">
        <f>IF($W98="","",V98-S98)</f>
        <v/>
      </c>
      <c r="U98" s="7">
        <f>IF($W98="","",V98-S98-K98)</f>
        <v/>
      </c>
      <c r="V98" s="7">
        <f>IF($W98="","",N98+Q98)</f>
        <v/>
      </c>
      <c r="W98" s="16">
        <f>IF(ROWS($W$2:$W98)&lt;=MAX('Per Line'!$AA$2:$AA$3001),MATCH(ROWS($W$2:$W98),'Per Line'!$AA$2:$AA$3001,0),"")</f>
        <v/>
      </c>
      <c r="X98">
        <f>IF($W98="","",D98&amp;"|"&amp;COUNTIF($D$2:$D98,D98))</f>
        <v/>
      </c>
    </row>
    <row r="99">
      <c r="A99" s="15" t="n"/>
      <c r="B99">
        <f>IF($W99="","",INDEX('Per Line'!$B$2:$B$3001,$W99)&amp;"")</f>
        <v/>
      </c>
      <c r="C99">
        <f>IF($W99="","",INDEX('Per Line'!$C$2:$C$3001,$W99)&amp;"")</f>
        <v/>
      </c>
      <c r="D99">
        <f>IF($W99="","",IF(OR(TRIM(E99)="Orient Insurance Company",TRIM(E99)="Allianz"),TRIM(E99),TRIM(F99)))</f>
        <v/>
      </c>
      <c r="E99">
        <f>IF($W99="","",INDEX('Per Line'!$E$2:$E$3001,$W99)&amp;"")</f>
        <v/>
      </c>
      <c r="F99">
        <f>IF($W99="","",INDEX('Per Line'!$D$2:$D$3001,$W99)&amp;"")</f>
        <v/>
      </c>
      <c r="G99">
        <f>IF($W99="","",INDEX('Per Line'!$F$2:$F$3001,$W99)&amp;"")</f>
        <v/>
      </c>
      <c r="H99">
        <f>IF($W99="","",INDEX('Per Line'!$G$2:$G$3001,$W99)&amp;"")</f>
        <v/>
      </c>
      <c r="I99">
        <f>IF($W99="","",INDEX('Per Line'!$H$2:$H$3001,$W99)&amp;"")</f>
        <v/>
      </c>
      <c r="J99">
        <f>IF($W99="","",INDEX('Per Line'!$I$2:$I$3001,$W99))</f>
        <v/>
      </c>
      <c r="K99" s="7">
        <f>IF($W99="","",J99*T99/100)</f>
        <v/>
      </c>
      <c r="L99" s="14">
        <f>IF($W99="","",INDEX('Per Line'!$V$2:$V$3001,$W99))</f>
        <v/>
      </c>
      <c r="M99">
        <f>IF($W99="","",IF(ISNUMBER(SEARCH("3&amp;12",SUBSTITUTE(F99," ",""))),Settings!$G$7,Settings!$C$7))</f>
        <v/>
      </c>
      <c r="N99" s="7">
        <f>IF($W99="","",SUMIFS('Per Line'!$O$2:$O$3001,'Per Line'!$B$2:$B$3001,$B99,'Per Line'!$AB$2:$AB$3001,0))</f>
        <v/>
      </c>
      <c r="O99" s="7">
        <f>IF($W99="","",N99*M99)</f>
        <v/>
      </c>
      <c r="P99">
        <f>IF($W99="","",IF(ISNUMBER(SEARCH("3&amp;12",SUBSTITUTE(F99," ",""))),Settings!$G$6,Settings!$C$6))</f>
        <v/>
      </c>
      <c r="Q99" s="7">
        <f>IF($W99="","",SUMIFS('Per Line'!$O$2:$O$3001,'Per Line'!$B$2:$B$3001,$B99,'Per Line'!$AB$2:$AB$3001,1))</f>
        <v/>
      </c>
      <c r="R99" s="7">
        <f>IF($W99="","",Q99*P99)</f>
        <v/>
      </c>
      <c r="S99" s="7">
        <f>IF($W99="","",R99+O99)</f>
        <v/>
      </c>
      <c r="T99" s="7">
        <f>IF($W99="","",V99-S99)</f>
        <v/>
      </c>
      <c r="U99" s="7">
        <f>IF($W99="","",V99-S99-K99)</f>
        <v/>
      </c>
      <c r="V99" s="7">
        <f>IF($W99="","",N99+Q99)</f>
        <v/>
      </c>
      <c r="W99" s="16">
        <f>IF(ROWS($W$2:$W99)&lt;=MAX('Per Line'!$AA$2:$AA$3001),MATCH(ROWS($W$2:$W99),'Per Line'!$AA$2:$AA$3001,0),"")</f>
        <v/>
      </c>
      <c r="X99">
        <f>IF($W99="","",D99&amp;"|"&amp;COUNTIF($D$2:$D99,D99))</f>
        <v/>
      </c>
    </row>
    <row r="100">
      <c r="A100" s="15" t="n"/>
      <c r="B100">
        <f>IF($W100="","",INDEX('Per Line'!$B$2:$B$3001,$W100)&amp;"")</f>
        <v/>
      </c>
      <c r="C100">
        <f>IF($W100="","",INDEX('Per Line'!$C$2:$C$3001,$W100)&amp;"")</f>
        <v/>
      </c>
      <c r="D100">
        <f>IF($W100="","",IF(OR(TRIM(E100)="Orient Insurance Company",TRIM(E100)="Allianz"),TRIM(E100),TRIM(F100)))</f>
        <v/>
      </c>
      <c r="E100">
        <f>IF($W100="","",INDEX('Per Line'!$E$2:$E$3001,$W100)&amp;"")</f>
        <v/>
      </c>
      <c r="F100">
        <f>IF($W100="","",INDEX('Per Line'!$D$2:$D$3001,$W100)&amp;"")</f>
        <v/>
      </c>
      <c r="G100">
        <f>IF($W100="","",INDEX('Per Line'!$F$2:$F$3001,$W100)&amp;"")</f>
        <v/>
      </c>
      <c r="H100">
        <f>IF($W100="","",INDEX('Per Line'!$G$2:$G$3001,$W100)&amp;"")</f>
        <v/>
      </c>
      <c r="I100">
        <f>IF($W100="","",INDEX('Per Line'!$H$2:$H$3001,$W100)&amp;"")</f>
        <v/>
      </c>
      <c r="J100">
        <f>IF($W100="","",INDEX('Per Line'!$I$2:$I$3001,$W100))</f>
        <v/>
      </c>
      <c r="K100" s="7">
        <f>IF($W100="","",J100*T100/100)</f>
        <v/>
      </c>
      <c r="L100" s="14">
        <f>IF($W100="","",INDEX('Per Line'!$V$2:$V$3001,$W100))</f>
        <v/>
      </c>
      <c r="M100">
        <f>IF($W100="","",IF(ISNUMBER(SEARCH("3&amp;12",SUBSTITUTE(F100," ",""))),Settings!$G$7,Settings!$C$7))</f>
        <v/>
      </c>
      <c r="N100" s="7">
        <f>IF($W100="","",SUMIFS('Per Line'!$O$2:$O$3001,'Per Line'!$B$2:$B$3001,$B100,'Per Line'!$AB$2:$AB$3001,0))</f>
        <v/>
      </c>
      <c r="O100" s="7">
        <f>IF($W100="","",N100*M100)</f>
        <v/>
      </c>
      <c r="P100">
        <f>IF($W100="","",IF(ISNUMBER(SEARCH("3&amp;12",SUBSTITUTE(F100," ",""))),Settings!$G$6,Settings!$C$6))</f>
        <v/>
      </c>
      <c r="Q100" s="7">
        <f>IF($W100="","",SUMIFS('Per Line'!$O$2:$O$3001,'Per Line'!$B$2:$B$3001,$B100,'Per Line'!$AB$2:$AB$3001,1))</f>
        <v/>
      </c>
      <c r="R100" s="7">
        <f>IF($W100="","",Q100*P100)</f>
        <v/>
      </c>
      <c r="S100" s="7">
        <f>IF($W100="","",R100+O100)</f>
        <v/>
      </c>
      <c r="T100" s="7">
        <f>IF($W100="","",V100-S100)</f>
        <v/>
      </c>
      <c r="U100" s="7">
        <f>IF($W100="","",V100-S100-K100)</f>
        <v/>
      </c>
      <c r="V100" s="7">
        <f>IF($W100="","",N100+Q100)</f>
        <v/>
      </c>
      <c r="W100" s="16">
        <f>IF(ROWS($W$2:$W100)&lt;=MAX('Per Line'!$AA$2:$AA$3001),MATCH(ROWS($W$2:$W100),'Per Line'!$AA$2:$AA$3001,0),"")</f>
        <v/>
      </c>
      <c r="X100">
        <f>IF($W100="","",D100&amp;"|"&amp;COUNTIF($D$2:$D100,D100))</f>
        <v/>
      </c>
    </row>
    <row r="101">
      <c r="A101" s="15" t="n"/>
      <c r="B101">
        <f>IF($W101="","",INDEX('Per Line'!$B$2:$B$3001,$W101)&amp;"")</f>
        <v/>
      </c>
      <c r="C101">
        <f>IF($W101="","",INDEX('Per Line'!$C$2:$C$3001,$W101)&amp;"")</f>
        <v/>
      </c>
      <c r="D101">
        <f>IF($W101="","",IF(OR(TRIM(E101)="Orient Insurance Company",TRIM(E101)="Allianz"),TRIM(E101),TRIM(F101)))</f>
        <v/>
      </c>
      <c r="E101">
        <f>IF($W101="","",INDEX('Per Line'!$E$2:$E$3001,$W101)&amp;"")</f>
        <v/>
      </c>
      <c r="F101">
        <f>IF($W101="","",INDEX('Per Line'!$D$2:$D$3001,$W101)&amp;"")</f>
        <v/>
      </c>
      <c r="G101">
        <f>IF($W101="","",INDEX('Per Line'!$F$2:$F$3001,$W101)&amp;"")</f>
        <v/>
      </c>
      <c r="H101">
        <f>IF($W101="","",INDEX('Per Line'!$G$2:$G$3001,$W101)&amp;"")</f>
        <v/>
      </c>
      <c r="I101">
        <f>IF($W101="","",INDEX('Per Line'!$H$2:$H$3001,$W101)&amp;"")</f>
        <v/>
      </c>
      <c r="J101">
        <f>IF($W101="","",INDEX('Per Line'!$I$2:$I$3001,$W101))</f>
        <v/>
      </c>
      <c r="K101" s="7">
        <f>IF($W101="","",J101*T101/100)</f>
        <v/>
      </c>
      <c r="L101" s="14">
        <f>IF($W101="","",INDEX('Per Line'!$V$2:$V$3001,$W101))</f>
        <v/>
      </c>
      <c r="M101">
        <f>IF($W101="","",IF(ISNUMBER(SEARCH("3&amp;12",SUBSTITUTE(F101," ",""))),Settings!$G$7,Settings!$C$7))</f>
        <v/>
      </c>
      <c r="N101" s="7">
        <f>IF($W101="","",SUMIFS('Per Line'!$O$2:$O$3001,'Per Line'!$B$2:$B$3001,$B101,'Per Line'!$AB$2:$AB$3001,0))</f>
        <v/>
      </c>
      <c r="O101" s="7">
        <f>IF($W101="","",N101*M101)</f>
        <v/>
      </c>
      <c r="P101">
        <f>IF($W101="","",IF(ISNUMBER(SEARCH("3&amp;12",SUBSTITUTE(F101," ",""))),Settings!$G$6,Settings!$C$6))</f>
        <v/>
      </c>
      <c r="Q101" s="7">
        <f>IF($W101="","",SUMIFS('Per Line'!$O$2:$O$3001,'Per Line'!$B$2:$B$3001,$B101,'Per Line'!$AB$2:$AB$3001,1))</f>
        <v/>
      </c>
      <c r="R101" s="7">
        <f>IF($W101="","",Q101*P101)</f>
        <v/>
      </c>
      <c r="S101" s="7">
        <f>IF($W101="","",R101+O101)</f>
        <v/>
      </c>
      <c r="T101" s="7">
        <f>IF($W101="","",V101-S101)</f>
        <v/>
      </c>
      <c r="U101" s="7">
        <f>IF($W101="","",V101-S101-K101)</f>
        <v/>
      </c>
      <c r="V101" s="7">
        <f>IF($W101="","",N101+Q101)</f>
        <v/>
      </c>
      <c r="W101" s="16">
        <f>IF(ROWS($W$2:$W101)&lt;=MAX('Per Line'!$AA$2:$AA$3001),MATCH(ROWS($W$2:$W101),'Per Line'!$AA$2:$AA$3001,0),"")</f>
        <v/>
      </c>
      <c r="X101">
        <f>IF($W101="","",D101&amp;"|"&amp;COUNTIF($D$2:$D101,D101))</f>
        <v/>
      </c>
    </row>
    <row r="102">
      <c r="A102" s="15" t="n"/>
      <c r="B102">
        <f>IF($W102="","",INDEX('Per Line'!$B$2:$B$3001,$W102)&amp;"")</f>
        <v/>
      </c>
      <c r="C102">
        <f>IF($W102="","",INDEX('Per Line'!$C$2:$C$3001,$W102)&amp;"")</f>
        <v/>
      </c>
      <c r="D102">
        <f>IF($W102="","",IF(OR(TRIM(E102)="Orient Insurance Company",TRIM(E102)="Allianz"),TRIM(E102),TRIM(F102)))</f>
        <v/>
      </c>
      <c r="E102">
        <f>IF($W102="","",INDEX('Per Line'!$E$2:$E$3001,$W102)&amp;"")</f>
        <v/>
      </c>
      <c r="F102">
        <f>IF($W102="","",INDEX('Per Line'!$D$2:$D$3001,$W102)&amp;"")</f>
        <v/>
      </c>
      <c r="G102">
        <f>IF($W102="","",INDEX('Per Line'!$F$2:$F$3001,$W102)&amp;"")</f>
        <v/>
      </c>
      <c r="H102">
        <f>IF($W102="","",INDEX('Per Line'!$G$2:$G$3001,$W102)&amp;"")</f>
        <v/>
      </c>
      <c r="I102">
        <f>IF($W102="","",INDEX('Per Line'!$H$2:$H$3001,$W102)&amp;"")</f>
        <v/>
      </c>
      <c r="J102">
        <f>IF($W102="","",INDEX('Per Line'!$I$2:$I$3001,$W102))</f>
        <v/>
      </c>
      <c r="K102" s="7">
        <f>IF($W102="","",J102*T102/100)</f>
        <v/>
      </c>
      <c r="L102" s="14">
        <f>IF($W102="","",INDEX('Per Line'!$V$2:$V$3001,$W102))</f>
        <v/>
      </c>
      <c r="M102">
        <f>IF($W102="","",IF(ISNUMBER(SEARCH("3&amp;12",SUBSTITUTE(F102," ",""))),Settings!$G$7,Settings!$C$7))</f>
        <v/>
      </c>
      <c r="N102" s="7">
        <f>IF($W102="","",SUMIFS('Per Line'!$O$2:$O$3001,'Per Line'!$B$2:$B$3001,$B102,'Per Line'!$AB$2:$AB$3001,0))</f>
        <v/>
      </c>
      <c r="O102" s="7">
        <f>IF($W102="","",N102*M102)</f>
        <v/>
      </c>
      <c r="P102">
        <f>IF($W102="","",IF(ISNUMBER(SEARCH("3&amp;12",SUBSTITUTE(F102," ",""))),Settings!$G$6,Settings!$C$6))</f>
        <v/>
      </c>
      <c r="Q102" s="7">
        <f>IF($W102="","",SUMIFS('Per Line'!$O$2:$O$3001,'Per Line'!$B$2:$B$3001,$B102,'Per Line'!$AB$2:$AB$3001,1))</f>
        <v/>
      </c>
      <c r="R102" s="7">
        <f>IF($W102="","",Q102*P102)</f>
        <v/>
      </c>
      <c r="S102" s="7">
        <f>IF($W102="","",R102+O102)</f>
        <v/>
      </c>
      <c r="T102" s="7">
        <f>IF($W102="","",V102-S102)</f>
        <v/>
      </c>
      <c r="U102" s="7">
        <f>IF($W102="","",V102-S102-K102)</f>
        <v/>
      </c>
      <c r="V102" s="7">
        <f>IF($W102="","",N102+Q102)</f>
        <v/>
      </c>
      <c r="W102" s="16">
        <f>IF(ROWS($W$2:$W102)&lt;=MAX('Per Line'!$AA$2:$AA$3001),MATCH(ROWS($W$2:$W102),'Per Line'!$AA$2:$AA$3001,0),"")</f>
        <v/>
      </c>
      <c r="X102">
        <f>IF($W102="","",D102&amp;"|"&amp;COUNTIF($D$2:$D102,D102))</f>
        <v/>
      </c>
    </row>
    <row r="103">
      <c r="A103" s="15" t="n"/>
      <c r="B103">
        <f>IF($W103="","",INDEX('Per Line'!$B$2:$B$3001,$W103)&amp;"")</f>
        <v/>
      </c>
      <c r="C103">
        <f>IF($W103="","",INDEX('Per Line'!$C$2:$C$3001,$W103)&amp;"")</f>
        <v/>
      </c>
      <c r="D103">
        <f>IF($W103="","",IF(OR(TRIM(E103)="Orient Insurance Company",TRIM(E103)="Allianz"),TRIM(E103),TRIM(F103)))</f>
        <v/>
      </c>
      <c r="E103">
        <f>IF($W103="","",INDEX('Per Line'!$E$2:$E$3001,$W103)&amp;"")</f>
        <v/>
      </c>
      <c r="F103">
        <f>IF($W103="","",INDEX('Per Line'!$D$2:$D$3001,$W103)&amp;"")</f>
        <v/>
      </c>
      <c r="G103">
        <f>IF($W103="","",INDEX('Per Line'!$F$2:$F$3001,$W103)&amp;"")</f>
        <v/>
      </c>
      <c r="H103">
        <f>IF($W103="","",INDEX('Per Line'!$G$2:$G$3001,$W103)&amp;"")</f>
        <v/>
      </c>
      <c r="I103">
        <f>IF($W103="","",INDEX('Per Line'!$H$2:$H$3001,$W103)&amp;"")</f>
        <v/>
      </c>
      <c r="J103">
        <f>IF($W103="","",INDEX('Per Line'!$I$2:$I$3001,$W103))</f>
        <v/>
      </c>
      <c r="K103" s="7">
        <f>IF($W103="","",J103*T103/100)</f>
        <v/>
      </c>
      <c r="L103" s="14">
        <f>IF($W103="","",INDEX('Per Line'!$V$2:$V$3001,$W103))</f>
        <v/>
      </c>
      <c r="M103">
        <f>IF($W103="","",IF(ISNUMBER(SEARCH("3&amp;12",SUBSTITUTE(F103," ",""))),Settings!$G$7,Settings!$C$7))</f>
        <v/>
      </c>
      <c r="N103" s="7">
        <f>IF($W103="","",SUMIFS('Per Line'!$O$2:$O$3001,'Per Line'!$B$2:$B$3001,$B103,'Per Line'!$AB$2:$AB$3001,0))</f>
        <v/>
      </c>
      <c r="O103" s="7">
        <f>IF($W103="","",N103*M103)</f>
        <v/>
      </c>
      <c r="P103">
        <f>IF($W103="","",IF(ISNUMBER(SEARCH("3&amp;12",SUBSTITUTE(F103," ",""))),Settings!$G$6,Settings!$C$6))</f>
        <v/>
      </c>
      <c r="Q103" s="7">
        <f>IF($W103="","",SUMIFS('Per Line'!$O$2:$O$3001,'Per Line'!$B$2:$B$3001,$B103,'Per Line'!$AB$2:$AB$3001,1))</f>
        <v/>
      </c>
      <c r="R103" s="7">
        <f>IF($W103="","",Q103*P103)</f>
        <v/>
      </c>
      <c r="S103" s="7">
        <f>IF($W103="","",R103+O103)</f>
        <v/>
      </c>
      <c r="T103" s="7">
        <f>IF($W103="","",V103-S103)</f>
        <v/>
      </c>
      <c r="U103" s="7">
        <f>IF($W103="","",V103-S103-K103)</f>
        <v/>
      </c>
      <c r="V103" s="7">
        <f>IF($W103="","",N103+Q103)</f>
        <v/>
      </c>
      <c r="W103" s="16">
        <f>IF(ROWS($W$2:$W103)&lt;=MAX('Per Line'!$AA$2:$AA$3001),MATCH(ROWS($W$2:$W103),'Per Line'!$AA$2:$AA$3001,0),"")</f>
        <v/>
      </c>
      <c r="X103">
        <f>IF($W103="","",D103&amp;"|"&amp;COUNTIF($D$2:$D103,D103))</f>
        <v/>
      </c>
    </row>
    <row r="104">
      <c r="A104" s="15" t="n"/>
      <c r="B104">
        <f>IF($W104="","",INDEX('Per Line'!$B$2:$B$3001,$W104)&amp;"")</f>
        <v/>
      </c>
      <c r="C104">
        <f>IF($W104="","",INDEX('Per Line'!$C$2:$C$3001,$W104)&amp;"")</f>
        <v/>
      </c>
      <c r="D104">
        <f>IF($W104="","",IF(OR(TRIM(E104)="Orient Insurance Company",TRIM(E104)="Allianz"),TRIM(E104),TRIM(F104)))</f>
        <v/>
      </c>
      <c r="E104">
        <f>IF($W104="","",INDEX('Per Line'!$E$2:$E$3001,$W104)&amp;"")</f>
        <v/>
      </c>
      <c r="F104">
        <f>IF($W104="","",INDEX('Per Line'!$D$2:$D$3001,$W104)&amp;"")</f>
        <v/>
      </c>
      <c r="G104">
        <f>IF($W104="","",INDEX('Per Line'!$F$2:$F$3001,$W104)&amp;"")</f>
        <v/>
      </c>
      <c r="H104">
        <f>IF($W104="","",INDEX('Per Line'!$G$2:$G$3001,$W104)&amp;"")</f>
        <v/>
      </c>
      <c r="I104">
        <f>IF($W104="","",INDEX('Per Line'!$H$2:$H$3001,$W104)&amp;"")</f>
        <v/>
      </c>
      <c r="J104">
        <f>IF($W104="","",INDEX('Per Line'!$I$2:$I$3001,$W104))</f>
        <v/>
      </c>
      <c r="K104" s="7">
        <f>IF($W104="","",J104*T104/100)</f>
        <v/>
      </c>
      <c r="L104" s="14">
        <f>IF($W104="","",INDEX('Per Line'!$V$2:$V$3001,$W104))</f>
        <v/>
      </c>
      <c r="M104">
        <f>IF($W104="","",IF(ISNUMBER(SEARCH("3&amp;12",SUBSTITUTE(F104," ",""))),Settings!$G$7,Settings!$C$7))</f>
        <v/>
      </c>
      <c r="N104" s="7">
        <f>IF($W104="","",SUMIFS('Per Line'!$O$2:$O$3001,'Per Line'!$B$2:$B$3001,$B104,'Per Line'!$AB$2:$AB$3001,0))</f>
        <v/>
      </c>
      <c r="O104" s="7">
        <f>IF($W104="","",N104*M104)</f>
        <v/>
      </c>
      <c r="P104">
        <f>IF($W104="","",IF(ISNUMBER(SEARCH("3&amp;12",SUBSTITUTE(F104," ",""))),Settings!$G$6,Settings!$C$6))</f>
        <v/>
      </c>
      <c r="Q104" s="7">
        <f>IF($W104="","",SUMIFS('Per Line'!$O$2:$O$3001,'Per Line'!$B$2:$B$3001,$B104,'Per Line'!$AB$2:$AB$3001,1))</f>
        <v/>
      </c>
      <c r="R104" s="7">
        <f>IF($W104="","",Q104*P104)</f>
        <v/>
      </c>
      <c r="S104" s="7">
        <f>IF($W104="","",R104+O104)</f>
        <v/>
      </c>
      <c r="T104" s="7">
        <f>IF($W104="","",V104-S104)</f>
        <v/>
      </c>
      <c r="U104" s="7">
        <f>IF($W104="","",V104-S104-K104)</f>
        <v/>
      </c>
      <c r="V104" s="7">
        <f>IF($W104="","",N104+Q104)</f>
        <v/>
      </c>
      <c r="W104" s="16">
        <f>IF(ROWS($W$2:$W104)&lt;=MAX('Per Line'!$AA$2:$AA$3001),MATCH(ROWS($W$2:$W104),'Per Line'!$AA$2:$AA$3001,0),"")</f>
        <v/>
      </c>
      <c r="X104">
        <f>IF($W104="","",D104&amp;"|"&amp;COUNTIF($D$2:$D104,D104))</f>
        <v/>
      </c>
    </row>
    <row r="105">
      <c r="A105" s="15" t="n"/>
      <c r="B105">
        <f>IF($W105="","",INDEX('Per Line'!$B$2:$B$3001,$W105)&amp;"")</f>
        <v/>
      </c>
      <c r="C105">
        <f>IF($W105="","",INDEX('Per Line'!$C$2:$C$3001,$W105)&amp;"")</f>
        <v/>
      </c>
      <c r="D105">
        <f>IF($W105="","",IF(OR(TRIM(E105)="Orient Insurance Company",TRIM(E105)="Allianz"),TRIM(E105),TRIM(F105)))</f>
        <v/>
      </c>
      <c r="E105">
        <f>IF($W105="","",INDEX('Per Line'!$E$2:$E$3001,$W105)&amp;"")</f>
        <v/>
      </c>
      <c r="F105">
        <f>IF($W105="","",INDEX('Per Line'!$D$2:$D$3001,$W105)&amp;"")</f>
        <v/>
      </c>
      <c r="G105">
        <f>IF($W105="","",INDEX('Per Line'!$F$2:$F$3001,$W105)&amp;"")</f>
        <v/>
      </c>
      <c r="H105">
        <f>IF($W105="","",INDEX('Per Line'!$G$2:$G$3001,$W105)&amp;"")</f>
        <v/>
      </c>
      <c r="I105">
        <f>IF($W105="","",INDEX('Per Line'!$H$2:$H$3001,$W105)&amp;"")</f>
        <v/>
      </c>
      <c r="J105">
        <f>IF($W105="","",INDEX('Per Line'!$I$2:$I$3001,$W105))</f>
        <v/>
      </c>
      <c r="K105" s="7">
        <f>IF($W105="","",J105*T105/100)</f>
        <v/>
      </c>
      <c r="L105" s="14">
        <f>IF($W105="","",INDEX('Per Line'!$V$2:$V$3001,$W105))</f>
        <v/>
      </c>
      <c r="M105">
        <f>IF($W105="","",IF(ISNUMBER(SEARCH("3&amp;12",SUBSTITUTE(F105," ",""))),Settings!$G$7,Settings!$C$7))</f>
        <v/>
      </c>
      <c r="N105" s="7">
        <f>IF($W105="","",SUMIFS('Per Line'!$O$2:$O$3001,'Per Line'!$B$2:$B$3001,$B105,'Per Line'!$AB$2:$AB$3001,0))</f>
        <v/>
      </c>
      <c r="O105" s="7">
        <f>IF($W105="","",N105*M105)</f>
        <v/>
      </c>
      <c r="P105">
        <f>IF($W105="","",IF(ISNUMBER(SEARCH("3&amp;12",SUBSTITUTE(F105," ",""))),Settings!$G$6,Settings!$C$6))</f>
        <v/>
      </c>
      <c r="Q105" s="7">
        <f>IF($W105="","",SUMIFS('Per Line'!$O$2:$O$3001,'Per Line'!$B$2:$B$3001,$B105,'Per Line'!$AB$2:$AB$3001,1))</f>
        <v/>
      </c>
      <c r="R105" s="7">
        <f>IF($W105="","",Q105*P105)</f>
        <v/>
      </c>
      <c r="S105" s="7">
        <f>IF($W105="","",R105+O105)</f>
        <v/>
      </c>
      <c r="T105" s="7">
        <f>IF($W105="","",V105-S105)</f>
        <v/>
      </c>
      <c r="U105" s="7">
        <f>IF($W105="","",V105-S105-K105)</f>
        <v/>
      </c>
      <c r="V105" s="7">
        <f>IF($W105="","",N105+Q105)</f>
        <v/>
      </c>
      <c r="W105" s="16">
        <f>IF(ROWS($W$2:$W105)&lt;=MAX('Per Line'!$AA$2:$AA$3001),MATCH(ROWS($W$2:$W105),'Per Line'!$AA$2:$AA$3001,0),"")</f>
        <v/>
      </c>
      <c r="X105">
        <f>IF($W105="","",D105&amp;"|"&amp;COUNTIF($D$2:$D105,D105))</f>
        <v/>
      </c>
    </row>
    <row r="106">
      <c r="A106" s="15" t="n"/>
      <c r="B106">
        <f>IF($W106="","",INDEX('Per Line'!$B$2:$B$3001,$W106)&amp;"")</f>
        <v/>
      </c>
      <c r="C106">
        <f>IF($W106="","",INDEX('Per Line'!$C$2:$C$3001,$W106)&amp;"")</f>
        <v/>
      </c>
      <c r="D106">
        <f>IF($W106="","",IF(OR(TRIM(E106)="Orient Insurance Company",TRIM(E106)="Allianz"),TRIM(E106),TRIM(F106)))</f>
        <v/>
      </c>
      <c r="E106">
        <f>IF($W106="","",INDEX('Per Line'!$E$2:$E$3001,$W106)&amp;"")</f>
        <v/>
      </c>
      <c r="F106">
        <f>IF($W106="","",INDEX('Per Line'!$D$2:$D$3001,$W106)&amp;"")</f>
        <v/>
      </c>
      <c r="G106">
        <f>IF($W106="","",INDEX('Per Line'!$F$2:$F$3001,$W106)&amp;"")</f>
        <v/>
      </c>
      <c r="H106">
        <f>IF($W106="","",INDEX('Per Line'!$G$2:$G$3001,$W106)&amp;"")</f>
        <v/>
      </c>
      <c r="I106">
        <f>IF($W106="","",INDEX('Per Line'!$H$2:$H$3001,$W106)&amp;"")</f>
        <v/>
      </c>
      <c r="J106">
        <f>IF($W106="","",INDEX('Per Line'!$I$2:$I$3001,$W106))</f>
        <v/>
      </c>
      <c r="K106" s="7">
        <f>IF($W106="","",J106*T106/100)</f>
        <v/>
      </c>
      <c r="L106" s="14">
        <f>IF($W106="","",INDEX('Per Line'!$V$2:$V$3001,$W106))</f>
        <v/>
      </c>
      <c r="M106">
        <f>IF($W106="","",IF(ISNUMBER(SEARCH("3&amp;12",SUBSTITUTE(F106," ",""))),Settings!$G$7,Settings!$C$7))</f>
        <v/>
      </c>
      <c r="N106" s="7">
        <f>IF($W106="","",SUMIFS('Per Line'!$O$2:$O$3001,'Per Line'!$B$2:$B$3001,$B106,'Per Line'!$AB$2:$AB$3001,0))</f>
        <v/>
      </c>
      <c r="O106" s="7">
        <f>IF($W106="","",N106*M106)</f>
        <v/>
      </c>
      <c r="P106">
        <f>IF($W106="","",IF(ISNUMBER(SEARCH("3&amp;12",SUBSTITUTE(F106," ",""))),Settings!$G$6,Settings!$C$6))</f>
        <v/>
      </c>
      <c r="Q106" s="7">
        <f>IF($W106="","",SUMIFS('Per Line'!$O$2:$O$3001,'Per Line'!$B$2:$B$3001,$B106,'Per Line'!$AB$2:$AB$3001,1))</f>
        <v/>
      </c>
      <c r="R106" s="7">
        <f>IF($W106="","",Q106*P106)</f>
        <v/>
      </c>
      <c r="S106" s="7">
        <f>IF($W106="","",R106+O106)</f>
        <v/>
      </c>
      <c r="T106" s="7">
        <f>IF($W106="","",V106-S106)</f>
        <v/>
      </c>
      <c r="U106" s="7">
        <f>IF($W106="","",V106-S106-K106)</f>
        <v/>
      </c>
      <c r="V106" s="7">
        <f>IF($W106="","",N106+Q106)</f>
        <v/>
      </c>
      <c r="W106" s="16">
        <f>IF(ROWS($W$2:$W106)&lt;=MAX('Per Line'!$AA$2:$AA$3001),MATCH(ROWS($W$2:$W106),'Per Line'!$AA$2:$AA$3001,0),"")</f>
        <v/>
      </c>
      <c r="X106">
        <f>IF($W106="","",D106&amp;"|"&amp;COUNTIF($D$2:$D106,D106))</f>
        <v/>
      </c>
    </row>
    <row r="107">
      <c r="A107" s="15" t="n"/>
      <c r="B107">
        <f>IF($W107="","",INDEX('Per Line'!$B$2:$B$3001,$W107)&amp;"")</f>
        <v/>
      </c>
      <c r="C107">
        <f>IF($W107="","",INDEX('Per Line'!$C$2:$C$3001,$W107)&amp;"")</f>
        <v/>
      </c>
      <c r="D107">
        <f>IF($W107="","",IF(OR(TRIM(E107)="Orient Insurance Company",TRIM(E107)="Allianz"),TRIM(E107),TRIM(F107)))</f>
        <v/>
      </c>
      <c r="E107">
        <f>IF($W107="","",INDEX('Per Line'!$E$2:$E$3001,$W107)&amp;"")</f>
        <v/>
      </c>
      <c r="F107">
        <f>IF($W107="","",INDEX('Per Line'!$D$2:$D$3001,$W107)&amp;"")</f>
        <v/>
      </c>
      <c r="G107">
        <f>IF($W107="","",INDEX('Per Line'!$F$2:$F$3001,$W107)&amp;"")</f>
        <v/>
      </c>
      <c r="H107">
        <f>IF($W107="","",INDEX('Per Line'!$G$2:$G$3001,$W107)&amp;"")</f>
        <v/>
      </c>
      <c r="I107">
        <f>IF($W107="","",INDEX('Per Line'!$H$2:$H$3001,$W107)&amp;"")</f>
        <v/>
      </c>
      <c r="J107">
        <f>IF($W107="","",INDEX('Per Line'!$I$2:$I$3001,$W107))</f>
        <v/>
      </c>
      <c r="K107" s="7">
        <f>IF($W107="","",J107*T107/100)</f>
        <v/>
      </c>
      <c r="L107" s="14">
        <f>IF($W107="","",INDEX('Per Line'!$V$2:$V$3001,$W107))</f>
        <v/>
      </c>
      <c r="M107">
        <f>IF($W107="","",IF(ISNUMBER(SEARCH("3&amp;12",SUBSTITUTE(F107," ",""))),Settings!$G$7,Settings!$C$7))</f>
        <v/>
      </c>
      <c r="N107" s="7">
        <f>IF($W107="","",SUMIFS('Per Line'!$O$2:$O$3001,'Per Line'!$B$2:$B$3001,$B107,'Per Line'!$AB$2:$AB$3001,0))</f>
        <v/>
      </c>
      <c r="O107" s="7">
        <f>IF($W107="","",N107*M107)</f>
        <v/>
      </c>
      <c r="P107">
        <f>IF($W107="","",IF(ISNUMBER(SEARCH("3&amp;12",SUBSTITUTE(F107," ",""))),Settings!$G$6,Settings!$C$6))</f>
        <v/>
      </c>
      <c r="Q107" s="7">
        <f>IF($W107="","",SUMIFS('Per Line'!$O$2:$O$3001,'Per Line'!$B$2:$B$3001,$B107,'Per Line'!$AB$2:$AB$3001,1))</f>
        <v/>
      </c>
      <c r="R107" s="7">
        <f>IF($W107="","",Q107*P107)</f>
        <v/>
      </c>
      <c r="S107" s="7">
        <f>IF($W107="","",R107+O107)</f>
        <v/>
      </c>
      <c r="T107" s="7">
        <f>IF($W107="","",V107-S107)</f>
        <v/>
      </c>
      <c r="U107" s="7">
        <f>IF($W107="","",V107-S107-K107)</f>
        <v/>
      </c>
      <c r="V107" s="7">
        <f>IF($W107="","",N107+Q107)</f>
        <v/>
      </c>
      <c r="W107" s="16">
        <f>IF(ROWS($W$2:$W107)&lt;=MAX('Per Line'!$AA$2:$AA$3001),MATCH(ROWS($W$2:$W107),'Per Line'!$AA$2:$AA$3001,0),"")</f>
        <v/>
      </c>
      <c r="X107">
        <f>IF($W107="","",D107&amp;"|"&amp;COUNTIF($D$2:$D107,D107))</f>
        <v/>
      </c>
    </row>
    <row r="108">
      <c r="A108" s="15" t="n"/>
      <c r="B108">
        <f>IF($W108="","",INDEX('Per Line'!$B$2:$B$3001,$W108)&amp;"")</f>
        <v/>
      </c>
      <c r="C108">
        <f>IF($W108="","",INDEX('Per Line'!$C$2:$C$3001,$W108)&amp;"")</f>
        <v/>
      </c>
      <c r="D108">
        <f>IF($W108="","",IF(OR(TRIM(E108)="Orient Insurance Company",TRIM(E108)="Allianz"),TRIM(E108),TRIM(F108)))</f>
        <v/>
      </c>
      <c r="E108">
        <f>IF($W108="","",INDEX('Per Line'!$E$2:$E$3001,$W108)&amp;"")</f>
        <v/>
      </c>
      <c r="F108">
        <f>IF($W108="","",INDEX('Per Line'!$D$2:$D$3001,$W108)&amp;"")</f>
        <v/>
      </c>
      <c r="G108">
        <f>IF($W108="","",INDEX('Per Line'!$F$2:$F$3001,$W108)&amp;"")</f>
        <v/>
      </c>
      <c r="H108">
        <f>IF($W108="","",INDEX('Per Line'!$G$2:$G$3001,$W108)&amp;"")</f>
        <v/>
      </c>
      <c r="I108">
        <f>IF($W108="","",INDEX('Per Line'!$H$2:$H$3001,$W108)&amp;"")</f>
        <v/>
      </c>
      <c r="J108">
        <f>IF($W108="","",INDEX('Per Line'!$I$2:$I$3001,$W108))</f>
        <v/>
      </c>
      <c r="K108" s="7">
        <f>IF($W108="","",J108*T108/100)</f>
        <v/>
      </c>
      <c r="L108" s="14">
        <f>IF($W108="","",INDEX('Per Line'!$V$2:$V$3001,$W108))</f>
        <v/>
      </c>
      <c r="M108">
        <f>IF($W108="","",IF(ISNUMBER(SEARCH("3&amp;12",SUBSTITUTE(F108," ",""))),Settings!$G$7,Settings!$C$7))</f>
        <v/>
      </c>
      <c r="N108" s="7">
        <f>IF($W108="","",SUMIFS('Per Line'!$O$2:$O$3001,'Per Line'!$B$2:$B$3001,$B108,'Per Line'!$AB$2:$AB$3001,0))</f>
        <v/>
      </c>
      <c r="O108" s="7">
        <f>IF($W108="","",N108*M108)</f>
        <v/>
      </c>
      <c r="P108">
        <f>IF($W108="","",IF(ISNUMBER(SEARCH("3&amp;12",SUBSTITUTE(F108," ",""))),Settings!$G$6,Settings!$C$6))</f>
        <v/>
      </c>
      <c r="Q108" s="7">
        <f>IF($W108="","",SUMIFS('Per Line'!$O$2:$O$3001,'Per Line'!$B$2:$B$3001,$B108,'Per Line'!$AB$2:$AB$3001,1))</f>
        <v/>
      </c>
      <c r="R108" s="7">
        <f>IF($W108="","",Q108*P108)</f>
        <v/>
      </c>
      <c r="S108" s="7">
        <f>IF($W108="","",R108+O108)</f>
        <v/>
      </c>
      <c r="T108" s="7">
        <f>IF($W108="","",V108-S108)</f>
        <v/>
      </c>
      <c r="U108" s="7">
        <f>IF($W108="","",V108-S108-K108)</f>
        <v/>
      </c>
      <c r="V108" s="7">
        <f>IF($W108="","",N108+Q108)</f>
        <v/>
      </c>
      <c r="W108" s="16">
        <f>IF(ROWS($W$2:$W108)&lt;=MAX('Per Line'!$AA$2:$AA$3001),MATCH(ROWS($W$2:$W108),'Per Line'!$AA$2:$AA$3001,0),"")</f>
        <v/>
      </c>
      <c r="X108">
        <f>IF($W108="","",D108&amp;"|"&amp;COUNTIF($D$2:$D108,D108))</f>
        <v/>
      </c>
    </row>
    <row r="109">
      <c r="A109" s="15" t="n"/>
      <c r="B109">
        <f>IF($W109="","",INDEX('Per Line'!$B$2:$B$3001,$W109)&amp;"")</f>
        <v/>
      </c>
      <c r="C109">
        <f>IF($W109="","",INDEX('Per Line'!$C$2:$C$3001,$W109)&amp;"")</f>
        <v/>
      </c>
      <c r="D109">
        <f>IF($W109="","",IF(OR(TRIM(E109)="Orient Insurance Company",TRIM(E109)="Allianz"),TRIM(E109),TRIM(F109)))</f>
        <v/>
      </c>
      <c r="E109">
        <f>IF($W109="","",INDEX('Per Line'!$E$2:$E$3001,$W109)&amp;"")</f>
        <v/>
      </c>
      <c r="F109">
        <f>IF($W109="","",INDEX('Per Line'!$D$2:$D$3001,$W109)&amp;"")</f>
        <v/>
      </c>
      <c r="G109">
        <f>IF($W109="","",INDEX('Per Line'!$F$2:$F$3001,$W109)&amp;"")</f>
        <v/>
      </c>
      <c r="H109">
        <f>IF($W109="","",INDEX('Per Line'!$G$2:$G$3001,$W109)&amp;"")</f>
        <v/>
      </c>
      <c r="I109">
        <f>IF($W109="","",INDEX('Per Line'!$H$2:$H$3001,$W109)&amp;"")</f>
        <v/>
      </c>
      <c r="J109">
        <f>IF($W109="","",INDEX('Per Line'!$I$2:$I$3001,$W109))</f>
        <v/>
      </c>
      <c r="K109" s="7">
        <f>IF($W109="","",J109*T109/100)</f>
        <v/>
      </c>
      <c r="L109" s="14">
        <f>IF($W109="","",INDEX('Per Line'!$V$2:$V$3001,$W109))</f>
        <v/>
      </c>
      <c r="M109">
        <f>IF($W109="","",IF(ISNUMBER(SEARCH("3&amp;12",SUBSTITUTE(F109," ",""))),Settings!$G$7,Settings!$C$7))</f>
        <v/>
      </c>
      <c r="N109" s="7">
        <f>IF($W109="","",SUMIFS('Per Line'!$O$2:$O$3001,'Per Line'!$B$2:$B$3001,$B109,'Per Line'!$AB$2:$AB$3001,0))</f>
        <v/>
      </c>
      <c r="O109" s="7">
        <f>IF($W109="","",N109*M109)</f>
        <v/>
      </c>
      <c r="P109">
        <f>IF($W109="","",IF(ISNUMBER(SEARCH("3&amp;12",SUBSTITUTE(F109," ",""))),Settings!$G$6,Settings!$C$6))</f>
        <v/>
      </c>
      <c r="Q109" s="7">
        <f>IF($W109="","",SUMIFS('Per Line'!$O$2:$O$3001,'Per Line'!$B$2:$B$3001,$B109,'Per Line'!$AB$2:$AB$3001,1))</f>
        <v/>
      </c>
      <c r="R109" s="7">
        <f>IF($W109="","",Q109*P109)</f>
        <v/>
      </c>
      <c r="S109" s="7">
        <f>IF($W109="","",R109+O109)</f>
        <v/>
      </c>
      <c r="T109" s="7">
        <f>IF($W109="","",V109-S109)</f>
        <v/>
      </c>
      <c r="U109" s="7">
        <f>IF($W109="","",V109-S109-K109)</f>
        <v/>
      </c>
      <c r="V109" s="7">
        <f>IF($W109="","",N109+Q109)</f>
        <v/>
      </c>
      <c r="W109" s="16">
        <f>IF(ROWS($W$2:$W109)&lt;=MAX('Per Line'!$AA$2:$AA$3001),MATCH(ROWS($W$2:$W109),'Per Line'!$AA$2:$AA$3001,0),"")</f>
        <v/>
      </c>
      <c r="X109">
        <f>IF($W109="","",D109&amp;"|"&amp;COUNTIF($D$2:$D109,D109))</f>
        <v/>
      </c>
    </row>
    <row r="110">
      <c r="A110" s="15" t="n"/>
      <c r="B110">
        <f>IF($W110="","",INDEX('Per Line'!$B$2:$B$3001,$W110)&amp;"")</f>
        <v/>
      </c>
      <c r="C110">
        <f>IF($W110="","",INDEX('Per Line'!$C$2:$C$3001,$W110)&amp;"")</f>
        <v/>
      </c>
      <c r="D110">
        <f>IF($W110="","",IF(OR(TRIM(E110)="Orient Insurance Company",TRIM(E110)="Allianz"),TRIM(E110),TRIM(F110)))</f>
        <v/>
      </c>
      <c r="E110">
        <f>IF($W110="","",INDEX('Per Line'!$E$2:$E$3001,$W110)&amp;"")</f>
        <v/>
      </c>
      <c r="F110">
        <f>IF($W110="","",INDEX('Per Line'!$D$2:$D$3001,$W110)&amp;"")</f>
        <v/>
      </c>
      <c r="G110">
        <f>IF($W110="","",INDEX('Per Line'!$F$2:$F$3001,$W110)&amp;"")</f>
        <v/>
      </c>
      <c r="H110">
        <f>IF($W110="","",INDEX('Per Line'!$G$2:$G$3001,$W110)&amp;"")</f>
        <v/>
      </c>
      <c r="I110">
        <f>IF($W110="","",INDEX('Per Line'!$H$2:$H$3001,$W110)&amp;"")</f>
        <v/>
      </c>
      <c r="J110">
        <f>IF($W110="","",INDEX('Per Line'!$I$2:$I$3001,$W110))</f>
        <v/>
      </c>
      <c r="K110" s="7">
        <f>IF($W110="","",J110*T110/100)</f>
        <v/>
      </c>
      <c r="L110" s="14">
        <f>IF($W110="","",INDEX('Per Line'!$V$2:$V$3001,$W110))</f>
        <v/>
      </c>
      <c r="M110">
        <f>IF($W110="","",IF(ISNUMBER(SEARCH("3&amp;12",SUBSTITUTE(F110," ",""))),Settings!$G$7,Settings!$C$7))</f>
        <v/>
      </c>
      <c r="N110" s="7">
        <f>IF($W110="","",SUMIFS('Per Line'!$O$2:$O$3001,'Per Line'!$B$2:$B$3001,$B110,'Per Line'!$AB$2:$AB$3001,0))</f>
        <v/>
      </c>
      <c r="O110" s="7">
        <f>IF($W110="","",N110*M110)</f>
        <v/>
      </c>
      <c r="P110">
        <f>IF($W110="","",IF(ISNUMBER(SEARCH("3&amp;12",SUBSTITUTE(F110," ",""))),Settings!$G$6,Settings!$C$6))</f>
        <v/>
      </c>
      <c r="Q110" s="7">
        <f>IF($W110="","",SUMIFS('Per Line'!$O$2:$O$3001,'Per Line'!$B$2:$B$3001,$B110,'Per Line'!$AB$2:$AB$3001,1))</f>
        <v/>
      </c>
      <c r="R110" s="7">
        <f>IF($W110="","",Q110*P110)</f>
        <v/>
      </c>
      <c r="S110" s="7">
        <f>IF($W110="","",R110+O110)</f>
        <v/>
      </c>
      <c r="T110" s="7">
        <f>IF($W110="","",V110-S110)</f>
        <v/>
      </c>
      <c r="U110" s="7">
        <f>IF($W110="","",V110-S110-K110)</f>
        <v/>
      </c>
      <c r="V110" s="7">
        <f>IF($W110="","",N110+Q110)</f>
        <v/>
      </c>
      <c r="W110" s="16">
        <f>IF(ROWS($W$2:$W110)&lt;=MAX('Per Line'!$AA$2:$AA$3001),MATCH(ROWS($W$2:$W110),'Per Line'!$AA$2:$AA$3001,0),"")</f>
        <v/>
      </c>
      <c r="X110">
        <f>IF($W110="","",D110&amp;"|"&amp;COUNTIF($D$2:$D110,D110))</f>
        <v/>
      </c>
    </row>
    <row r="111">
      <c r="A111" s="15" t="n"/>
      <c r="B111">
        <f>IF($W111="","",INDEX('Per Line'!$B$2:$B$3001,$W111)&amp;"")</f>
        <v/>
      </c>
      <c r="C111">
        <f>IF($W111="","",INDEX('Per Line'!$C$2:$C$3001,$W111)&amp;"")</f>
        <v/>
      </c>
      <c r="D111">
        <f>IF($W111="","",IF(OR(TRIM(E111)="Orient Insurance Company",TRIM(E111)="Allianz"),TRIM(E111),TRIM(F111)))</f>
        <v/>
      </c>
      <c r="E111">
        <f>IF($W111="","",INDEX('Per Line'!$E$2:$E$3001,$W111)&amp;"")</f>
        <v/>
      </c>
      <c r="F111">
        <f>IF($W111="","",INDEX('Per Line'!$D$2:$D$3001,$W111)&amp;"")</f>
        <v/>
      </c>
      <c r="G111">
        <f>IF($W111="","",INDEX('Per Line'!$F$2:$F$3001,$W111)&amp;"")</f>
        <v/>
      </c>
      <c r="H111">
        <f>IF($W111="","",INDEX('Per Line'!$G$2:$G$3001,$W111)&amp;"")</f>
        <v/>
      </c>
      <c r="I111">
        <f>IF($W111="","",INDEX('Per Line'!$H$2:$H$3001,$W111)&amp;"")</f>
        <v/>
      </c>
      <c r="J111">
        <f>IF($W111="","",INDEX('Per Line'!$I$2:$I$3001,$W111))</f>
        <v/>
      </c>
      <c r="K111" s="7">
        <f>IF($W111="","",J111*T111/100)</f>
        <v/>
      </c>
      <c r="L111" s="14">
        <f>IF($W111="","",INDEX('Per Line'!$V$2:$V$3001,$W111))</f>
        <v/>
      </c>
      <c r="M111">
        <f>IF($W111="","",IF(ISNUMBER(SEARCH("3&amp;12",SUBSTITUTE(F111," ",""))),Settings!$G$7,Settings!$C$7))</f>
        <v/>
      </c>
      <c r="N111" s="7">
        <f>IF($W111="","",SUMIFS('Per Line'!$O$2:$O$3001,'Per Line'!$B$2:$B$3001,$B111,'Per Line'!$AB$2:$AB$3001,0))</f>
        <v/>
      </c>
      <c r="O111" s="7">
        <f>IF($W111="","",N111*M111)</f>
        <v/>
      </c>
      <c r="P111">
        <f>IF($W111="","",IF(ISNUMBER(SEARCH("3&amp;12",SUBSTITUTE(F111," ",""))),Settings!$G$6,Settings!$C$6))</f>
        <v/>
      </c>
      <c r="Q111" s="7">
        <f>IF($W111="","",SUMIFS('Per Line'!$O$2:$O$3001,'Per Line'!$B$2:$B$3001,$B111,'Per Line'!$AB$2:$AB$3001,1))</f>
        <v/>
      </c>
      <c r="R111" s="7">
        <f>IF($W111="","",Q111*P111)</f>
        <v/>
      </c>
      <c r="S111" s="7">
        <f>IF($W111="","",R111+O111)</f>
        <v/>
      </c>
      <c r="T111" s="7">
        <f>IF($W111="","",V111-S111)</f>
        <v/>
      </c>
      <c r="U111" s="7">
        <f>IF($W111="","",V111-S111-K111)</f>
        <v/>
      </c>
      <c r="V111" s="7">
        <f>IF($W111="","",N111+Q111)</f>
        <v/>
      </c>
      <c r="W111" s="16">
        <f>IF(ROWS($W$2:$W111)&lt;=MAX('Per Line'!$AA$2:$AA$3001),MATCH(ROWS($W$2:$W111),'Per Line'!$AA$2:$AA$3001,0),"")</f>
        <v/>
      </c>
      <c r="X111">
        <f>IF($W111="","",D111&amp;"|"&amp;COUNTIF($D$2:$D111,D111))</f>
        <v/>
      </c>
    </row>
    <row r="112">
      <c r="A112" s="15" t="n"/>
      <c r="B112">
        <f>IF($W112="","",INDEX('Per Line'!$B$2:$B$3001,$W112)&amp;"")</f>
        <v/>
      </c>
      <c r="C112">
        <f>IF($W112="","",INDEX('Per Line'!$C$2:$C$3001,$W112)&amp;"")</f>
        <v/>
      </c>
      <c r="D112">
        <f>IF($W112="","",IF(OR(TRIM(E112)="Orient Insurance Company",TRIM(E112)="Allianz"),TRIM(E112),TRIM(F112)))</f>
        <v/>
      </c>
      <c r="E112">
        <f>IF($W112="","",INDEX('Per Line'!$E$2:$E$3001,$W112)&amp;"")</f>
        <v/>
      </c>
      <c r="F112">
        <f>IF($W112="","",INDEX('Per Line'!$D$2:$D$3001,$W112)&amp;"")</f>
        <v/>
      </c>
      <c r="G112">
        <f>IF($W112="","",INDEX('Per Line'!$F$2:$F$3001,$W112)&amp;"")</f>
        <v/>
      </c>
      <c r="H112">
        <f>IF($W112="","",INDEX('Per Line'!$G$2:$G$3001,$W112)&amp;"")</f>
        <v/>
      </c>
      <c r="I112">
        <f>IF($W112="","",INDEX('Per Line'!$H$2:$H$3001,$W112)&amp;"")</f>
        <v/>
      </c>
      <c r="J112">
        <f>IF($W112="","",INDEX('Per Line'!$I$2:$I$3001,$W112))</f>
        <v/>
      </c>
      <c r="K112" s="7">
        <f>IF($W112="","",J112*T112/100)</f>
        <v/>
      </c>
      <c r="L112" s="14">
        <f>IF($W112="","",INDEX('Per Line'!$V$2:$V$3001,$W112))</f>
        <v/>
      </c>
      <c r="M112">
        <f>IF($W112="","",IF(ISNUMBER(SEARCH("3&amp;12",SUBSTITUTE(F112," ",""))),Settings!$G$7,Settings!$C$7))</f>
        <v/>
      </c>
      <c r="N112" s="7">
        <f>IF($W112="","",SUMIFS('Per Line'!$O$2:$O$3001,'Per Line'!$B$2:$B$3001,$B112,'Per Line'!$AB$2:$AB$3001,0))</f>
        <v/>
      </c>
      <c r="O112" s="7">
        <f>IF($W112="","",N112*M112)</f>
        <v/>
      </c>
      <c r="P112">
        <f>IF($W112="","",IF(ISNUMBER(SEARCH("3&amp;12",SUBSTITUTE(F112," ",""))),Settings!$G$6,Settings!$C$6))</f>
        <v/>
      </c>
      <c r="Q112" s="7">
        <f>IF($W112="","",SUMIFS('Per Line'!$O$2:$O$3001,'Per Line'!$B$2:$B$3001,$B112,'Per Line'!$AB$2:$AB$3001,1))</f>
        <v/>
      </c>
      <c r="R112" s="7">
        <f>IF($W112="","",Q112*P112)</f>
        <v/>
      </c>
      <c r="S112" s="7">
        <f>IF($W112="","",R112+O112)</f>
        <v/>
      </c>
      <c r="T112" s="7">
        <f>IF($W112="","",V112-S112)</f>
        <v/>
      </c>
      <c r="U112" s="7">
        <f>IF($W112="","",V112-S112-K112)</f>
        <v/>
      </c>
      <c r="V112" s="7">
        <f>IF($W112="","",N112+Q112)</f>
        <v/>
      </c>
      <c r="W112" s="16">
        <f>IF(ROWS($W$2:$W112)&lt;=MAX('Per Line'!$AA$2:$AA$3001),MATCH(ROWS($W$2:$W112),'Per Line'!$AA$2:$AA$3001,0),"")</f>
        <v/>
      </c>
      <c r="X112">
        <f>IF($W112="","",D112&amp;"|"&amp;COUNTIF($D$2:$D112,D112))</f>
        <v/>
      </c>
    </row>
    <row r="113">
      <c r="A113" s="15" t="n"/>
      <c r="B113">
        <f>IF($W113="","",INDEX('Per Line'!$B$2:$B$3001,$W113)&amp;"")</f>
        <v/>
      </c>
      <c r="C113">
        <f>IF($W113="","",INDEX('Per Line'!$C$2:$C$3001,$W113)&amp;"")</f>
        <v/>
      </c>
      <c r="D113">
        <f>IF($W113="","",IF(OR(TRIM(E113)="Orient Insurance Company",TRIM(E113)="Allianz"),TRIM(E113),TRIM(F113)))</f>
        <v/>
      </c>
      <c r="E113">
        <f>IF($W113="","",INDEX('Per Line'!$E$2:$E$3001,$W113)&amp;"")</f>
        <v/>
      </c>
      <c r="F113">
        <f>IF($W113="","",INDEX('Per Line'!$D$2:$D$3001,$W113)&amp;"")</f>
        <v/>
      </c>
      <c r="G113">
        <f>IF($W113="","",INDEX('Per Line'!$F$2:$F$3001,$W113)&amp;"")</f>
        <v/>
      </c>
      <c r="H113">
        <f>IF($W113="","",INDEX('Per Line'!$G$2:$G$3001,$W113)&amp;"")</f>
        <v/>
      </c>
      <c r="I113">
        <f>IF($W113="","",INDEX('Per Line'!$H$2:$H$3001,$W113)&amp;"")</f>
        <v/>
      </c>
      <c r="J113">
        <f>IF($W113="","",INDEX('Per Line'!$I$2:$I$3001,$W113))</f>
        <v/>
      </c>
      <c r="K113" s="7">
        <f>IF($W113="","",J113*T113/100)</f>
        <v/>
      </c>
      <c r="L113" s="14">
        <f>IF($W113="","",INDEX('Per Line'!$V$2:$V$3001,$W113))</f>
        <v/>
      </c>
      <c r="M113">
        <f>IF($W113="","",IF(ISNUMBER(SEARCH("3&amp;12",SUBSTITUTE(F113," ",""))),Settings!$G$7,Settings!$C$7))</f>
        <v/>
      </c>
      <c r="N113" s="7">
        <f>IF($W113="","",SUMIFS('Per Line'!$O$2:$O$3001,'Per Line'!$B$2:$B$3001,$B113,'Per Line'!$AB$2:$AB$3001,0))</f>
        <v/>
      </c>
      <c r="O113" s="7">
        <f>IF($W113="","",N113*M113)</f>
        <v/>
      </c>
      <c r="P113">
        <f>IF($W113="","",IF(ISNUMBER(SEARCH("3&amp;12",SUBSTITUTE(F113," ",""))),Settings!$G$6,Settings!$C$6))</f>
        <v/>
      </c>
      <c r="Q113" s="7">
        <f>IF($W113="","",SUMIFS('Per Line'!$O$2:$O$3001,'Per Line'!$B$2:$B$3001,$B113,'Per Line'!$AB$2:$AB$3001,1))</f>
        <v/>
      </c>
      <c r="R113" s="7">
        <f>IF($W113="","",Q113*P113)</f>
        <v/>
      </c>
      <c r="S113" s="7">
        <f>IF($W113="","",R113+O113)</f>
        <v/>
      </c>
      <c r="T113" s="7">
        <f>IF($W113="","",V113-S113)</f>
        <v/>
      </c>
      <c r="U113" s="7">
        <f>IF($W113="","",V113-S113-K113)</f>
        <v/>
      </c>
      <c r="V113" s="7">
        <f>IF($W113="","",N113+Q113)</f>
        <v/>
      </c>
      <c r="W113" s="16">
        <f>IF(ROWS($W$2:$W113)&lt;=MAX('Per Line'!$AA$2:$AA$3001),MATCH(ROWS($W$2:$W113),'Per Line'!$AA$2:$AA$3001,0),"")</f>
        <v/>
      </c>
      <c r="X113">
        <f>IF($W113="","",D113&amp;"|"&amp;COUNTIF($D$2:$D113,D113))</f>
        <v/>
      </c>
    </row>
    <row r="114">
      <c r="A114" s="15" t="n"/>
      <c r="B114">
        <f>IF($W114="","",INDEX('Per Line'!$B$2:$B$3001,$W114)&amp;"")</f>
        <v/>
      </c>
      <c r="C114">
        <f>IF($W114="","",INDEX('Per Line'!$C$2:$C$3001,$W114)&amp;"")</f>
        <v/>
      </c>
      <c r="D114">
        <f>IF($W114="","",IF(OR(TRIM(E114)="Orient Insurance Company",TRIM(E114)="Allianz"),TRIM(E114),TRIM(F114)))</f>
        <v/>
      </c>
      <c r="E114">
        <f>IF($W114="","",INDEX('Per Line'!$E$2:$E$3001,$W114)&amp;"")</f>
        <v/>
      </c>
      <c r="F114">
        <f>IF($W114="","",INDEX('Per Line'!$D$2:$D$3001,$W114)&amp;"")</f>
        <v/>
      </c>
      <c r="G114">
        <f>IF($W114="","",INDEX('Per Line'!$F$2:$F$3001,$W114)&amp;"")</f>
        <v/>
      </c>
      <c r="H114">
        <f>IF($W114="","",INDEX('Per Line'!$G$2:$G$3001,$W114)&amp;"")</f>
        <v/>
      </c>
      <c r="I114">
        <f>IF($W114="","",INDEX('Per Line'!$H$2:$H$3001,$W114)&amp;"")</f>
        <v/>
      </c>
      <c r="J114">
        <f>IF($W114="","",INDEX('Per Line'!$I$2:$I$3001,$W114))</f>
        <v/>
      </c>
      <c r="K114" s="7">
        <f>IF($W114="","",J114*T114/100)</f>
        <v/>
      </c>
      <c r="L114" s="14">
        <f>IF($W114="","",INDEX('Per Line'!$V$2:$V$3001,$W114))</f>
        <v/>
      </c>
      <c r="M114">
        <f>IF($W114="","",IF(ISNUMBER(SEARCH("3&amp;12",SUBSTITUTE(F114," ",""))),Settings!$G$7,Settings!$C$7))</f>
        <v/>
      </c>
      <c r="N114" s="7">
        <f>IF($W114="","",SUMIFS('Per Line'!$O$2:$O$3001,'Per Line'!$B$2:$B$3001,$B114,'Per Line'!$AB$2:$AB$3001,0))</f>
        <v/>
      </c>
      <c r="O114" s="7">
        <f>IF($W114="","",N114*M114)</f>
        <v/>
      </c>
      <c r="P114">
        <f>IF($W114="","",IF(ISNUMBER(SEARCH("3&amp;12",SUBSTITUTE(F114," ",""))),Settings!$G$6,Settings!$C$6))</f>
        <v/>
      </c>
      <c r="Q114" s="7">
        <f>IF($W114="","",SUMIFS('Per Line'!$O$2:$O$3001,'Per Line'!$B$2:$B$3001,$B114,'Per Line'!$AB$2:$AB$3001,1))</f>
        <v/>
      </c>
      <c r="R114" s="7">
        <f>IF($W114="","",Q114*P114)</f>
        <v/>
      </c>
      <c r="S114" s="7">
        <f>IF($W114="","",R114+O114)</f>
        <v/>
      </c>
      <c r="T114" s="7">
        <f>IF($W114="","",V114-S114)</f>
        <v/>
      </c>
      <c r="U114" s="7">
        <f>IF($W114="","",V114-S114-K114)</f>
        <v/>
      </c>
      <c r="V114" s="7">
        <f>IF($W114="","",N114+Q114)</f>
        <v/>
      </c>
      <c r="W114" s="16">
        <f>IF(ROWS($W$2:$W114)&lt;=MAX('Per Line'!$AA$2:$AA$3001),MATCH(ROWS($W$2:$W114),'Per Line'!$AA$2:$AA$3001,0),"")</f>
        <v/>
      </c>
      <c r="X114">
        <f>IF($W114="","",D114&amp;"|"&amp;COUNTIF($D$2:$D114,D114))</f>
        <v/>
      </c>
    </row>
    <row r="115">
      <c r="A115" s="15" t="n"/>
      <c r="B115">
        <f>IF($W115="","",INDEX('Per Line'!$B$2:$B$3001,$W115)&amp;"")</f>
        <v/>
      </c>
      <c r="C115">
        <f>IF($W115="","",INDEX('Per Line'!$C$2:$C$3001,$W115)&amp;"")</f>
        <v/>
      </c>
      <c r="D115">
        <f>IF($W115="","",IF(OR(TRIM(E115)="Orient Insurance Company",TRIM(E115)="Allianz"),TRIM(E115),TRIM(F115)))</f>
        <v/>
      </c>
      <c r="E115">
        <f>IF($W115="","",INDEX('Per Line'!$E$2:$E$3001,$W115)&amp;"")</f>
        <v/>
      </c>
      <c r="F115">
        <f>IF($W115="","",INDEX('Per Line'!$D$2:$D$3001,$W115)&amp;"")</f>
        <v/>
      </c>
      <c r="G115">
        <f>IF($W115="","",INDEX('Per Line'!$F$2:$F$3001,$W115)&amp;"")</f>
        <v/>
      </c>
      <c r="H115">
        <f>IF($W115="","",INDEX('Per Line'!$G$2:$G$3001,$W115)&amp;"")</f>
        <v/>
      </c>
      <c r="I115">
        <f>IF($W115="","",INDEX('Per Line'!$H$2:$H$3001,$W115)&amp;"")</f>
        <v/>
      </c>
      <c r="J115">
        <f>IF($W115="","",INDEX('Per Line'!$I$2:$I$3001,$W115))</f>
        <v/>
      </c>
      <c r="K115" s="7">
        <f>IF($W115="","",J115*T115/100)</f>
        <v/>
      </c>
      <c r="L115" s="14">
        <f>IF($W115="","",INDEX('Per Line'!$V$2:$V$3001,$W115))</f>
        <v/>
      </c>
      <c r="M115">
        <f>IF($W115="","",IF(ISNUMBER(SEARCH("3&amp;12",SUBSTITUTE(F115," ",""))),Settings!$G$7,Settings!$C$7))</f>
        <v/>
      </c>
      <c r="N115" s="7">
        <f>IF($W115="","",SUMIFS('Per Line'!$O$2:$O$3001,'Per Line'!$B$2:$B$3001,$B115,'Per Line'!$AB$2:$AB$3001,0))</f>
        <v/>
      </c>
      <c r="O115" s="7">
        <f>IF($W115="","",N115*M115)</f>
        <v/>
      </c>
      <c r="P115">
        <f>IF($W115="","",IF(ISNUMBER(SEARCH("3&amp;12",SUBSTITUTE(F115," ",""))),Settings!$G$6,Settings!$C$6))</f>
        <v/>
      </c>
      <c r="Q115" s="7">
        <f>IF($W115="","",SUMIFS('Per Line'!$O$2:$O$3001,'Per Line'!$B$2:$B$3001,$B115,'Per Line'!$AB$2:$AB$3001,1))</f>
        <v/>
      </c>
      <c r="R115" s="7">
        <f>IF($W115="","",Q115*P115)</f>
        <v/>
      </c>
      <c r="S115" s="7">
        <f>IF($W115="","",R115+O115)</f>
        <v/>
      </c>
      <c r="T115" s="7">
        <f>IF($W115="","",V115-S115)</f>
        <v/>
      </c>
      <c r="U115" s="7">
        <f>IF($W115="","",V115-S115-K115)</f>
        <v/>
      </c>
      <c r="V115" s="7">
        <f>IF($W115="","",N115+Q115)</f>
        <v/>
      </c>
      <c r="W115" s="16">
        <f>IF(ROWS($W$2:$W115)&lt;=MAX('Per Line'!$AA$2:$AA$3001),MATCH(ROWS($W$2:$W115),'Per Line'!$AA$2:$AA$3001,0),"")</f>
        <v/>
      </c>
      <c r="X115">
        <f>IF($W115="","",D115&amp;"|"&amp;COUNTIF($D$2:$D115,D115))</f>
        <v/>
      </c>
    </row>
    <row r="116">
      <c r="A116" s="15" t="n"/>
      <c r="B116">
        <f>IF($W116="","",INDEX('Per Line'!$B$2:$B$3001,$W116)&amp;"")</f>
        <v/>
      </c>
      <c r="C116">
        <f>IF($W116="","",INDEX('Per Line'!$C$2:$C$3001,$W116)&amp;"")</f>
        <v/>
      </c>
      <c r="D116">
        <f>IF($W116="","",IF(OR(TRIM(E116)="Orient Insurance Company",TRIM(E116)="Allianz"),TRIM(E116),TRIM(F116)))</f>
        <v/>
      </c>
      <c r="E116">
        <f>IF($W116="","",INDEX('Per Line'!$E$2:$E$3001,$W116)&amp;"")</f>
        <v/>
      </c>
      <c r="F116">
        <f>IF($W116="","",INDEX('Per Line'!$D$2:$D$3001,$W116)&amp;"")</f>
        <v/>
      </c>
      <c r="G116">
        <f>IF($W116="","",INDEX('Per Line'!$F$2:$F$3001,$W116)&amp;"")</f>
        <v/>
      </c>
      <c r="H116">
        <f>IF($W116="","",INDEX('Per Line'!$G$2:$G$3001,$W116)&amp;"")</f>
        <v/>
      </c>
      <c r="I116">
        <f>IF($W116="","",INDEX('Per Line'!$H$2:$H$3001,$W116)&amp;"")</f>
        <v/>
      </c>
      <c r="J116">
        <f>IF($W116="","",INDEX('Per Line'!$I$2:$I$3001,$W116))</f>
        <v/>
      </c>
      <c r="K116" s="7">
        <f>IF($W116="","",J116*T116/100)</f>
        <v/>
      </c>
      <c r="L116" s="14">
        <f>IF($W116="","",INDEX('Per Line'!$V$2:$V$3001,$W116))</f>
        <v/>
      </c>
      <c r="M116">
        <f>IF($W116="","",IF(ISNUMBER(SEARCH("3&amp;12",SUBSTITUTE(F116," ",""))),Settings!$G$7,Settings!$C$7))</f>
        <v/>
      </c>
      <c r="N116" s="7">
        <f>IF($W116="","",SUMIFS('Per Line'!$O$2:$O$3001,'Per Line'!$B$2:$B$3001,$B116,'Per Line'!$AB$2:$AB$3001,0))</f>
        <v/>
      </c>
      <c r="O116" s="7">
        <f>IF($W116="","",N116*M116)</f>
        <v/>
      </c>
      <c r="P116">
        <f>IF($W116="","",IF(ISNUMBER(SEARCH("3&amp;12",SUBSTITUTE(F116," ",""))),Settings!$G$6,Settings!$C$6))</f>
        <v/>
      </c>
      <c r="Q116" s="7">
        <f>IF($W116="","",SUMIFS('Per Line'!$O$2:$O$3001,'Per Line'!$B$2:$B$3001,$B116,'Per Line'!$AB$2:$AB$3001,1))</f>
        <v/>
      </c>
      <c r="R116" s="7">
        <f>IF($W116="","",Q116*P116)</f>
        <v/>
      </c>
      <c r="S116" s="7">
        <f>IF($W116="","",R116+O116)</f>
        <v/>
      </c>
      <c r="T116" s="7">
        <f>IF($W116="","",V116-S116)</f>
        <v/>
      </c>
      <c r="U116" s="7">
        <f>IF($W116="","",V116-S116-K116)</f>
        <v/>
      </c>
      <c r="V116" s="7">
        <f>IF($W116="","",N116+Q116)</f>
        <v/>
      </c>
      <c r="W116" s="16">
        <f>IF(ROWS($W$2:$W116)&lt;=MAX('Per Line'!$AA$2:$AA$3001),MATCH(ROWS($W$2:$W116),'Per Line'!$AA$2:$AA$3001,0),"")</f>
        <v/>
      </c>
      <c r="X116">
        <f>IF($W116="","",D116&amp;"|"&amp;COUNTIF($D$2:$D116,D116))</f>
        <v/>
      </c>
    </row>
    <row r="117">
      <c r="A117" s="15" t="n"/>
      <c r="B117">
        <f>IF($W117="","",INDEX('Per Line'!$B$2:$B$3001,$W117)&amp;"")</f>
        <v/>
      </c>
      <c r="C117">
        <f>IF($W117="","",INDEX('Per Line'!$C$2:$C$3001,$W117)&amp;"")</f>
        <v/>
      </c>
      <c r="D117">
        <f>IF($W117="","",IF(OR(TRIM(E117)="Orient Insurance Company",TRIM(E117)="Allianz"),TRIM(E117),TRIM(F117)))</f>
        <v/>
      </c>
      <c r="E117">
        <f>IF($W117="","",INDEX('Per Line'!$E$2:$E$3001,$W117)&amp;"")</f>
        <v/>
      </c>
      <c r="F117">
        <f>IF($W117="","",INDEX('Per Line'!$D$2:$D$3001,$W117)&amp;"")</f>
        <v/>
      </c>
      <c r="G117">
        <f>IF($W117="","",INDEX('Per Line'!$F$2:$F$3001,$W117)&amp;"")</f>
        <v/>
      </c>
      <c r="H117">
        <f>IF($W117="","",INDEX('Per Line'!$G$2:$G$3001,$W117)&amp;"")</f>
        <v/>
      </c>
      <c r="I117">
        <f>IF($W117="","",INDEX('Per Line'!$H$2:$H$3001,$W117)&amp;"")</f>
        <v/>
      </c>
      <c r="J117">
        <f>IF($W117="","",INDEX('Per Line'!$I$2:$I$3001,$W117))</f>
        <v/>
      </c>
      <c r="K117" s="7">
        <f>IF($W117="","",J117*T117/100)</f>
        <v/>
      </c>
      <c r="L117" s="14">
        <f>IF($W117="","",INDEX('Per Line'!$V$2:$V$3001,$W117))</f>
        <v/>
      </c>
      <c r="M117">
        <f>IF($W117="","",IF(ISNUMBER(SEARCH("3&amp;12",SUBSTITUTE(F117," ",""))),Settings!$G$7,Settings!$C$7))</f>
        <v/>
      </c>
      <c r="N117" s="7">
        <f>IF($W117="","",SUMIFS('Per Line'!$O$2:$O$3001,'Per Line'!$B$2:$B$3001,$B117,'Per Line'!$AB$2:$AB$3001,0))</f>
        <v/>
      </c>
      <c r="O117" s="7">
        <f>IF($W117="","",N117*M117)</f>
        <v/>
      </c>
      <c r="P117">
        <f>IF($W117="","",IF(ISNUMBER(SEARCH("3&amp;12",SUBSTITUTE(F117," ",""))),Settings!$G$6,Settings!$C$6))</f>
        <v/>
      </c>
      <c r="Q117" s="7">
        <f>IF($W117="","",SUMIFS('Per Line'!$O$2:$O$3001,'Per Line'!$B$2:$B$3001,$B117,'Per Line'!$AB$2:$AB$3001,1))</f>
        <v/>
      </c>
      <c r="R117" s="7">
        <f>IF($W117="","",Q117*P117)</f>
        <v/>
      </c>
      <c r="S117" s="7">
        <f>IF($W117="","",R117+O117)</f>
        <v/>
      </c>
      <c r="T117" s="7">
        <f>IF($W117="","",V117-S117)</f>
        <v/>
      </c>
      <c r="U117" s="7">
        <f>IF($W117="","",V117-S117-K117)</f>
        <v/>
      </c>
      <c r="V117" s="7">
        <f>IF($W117="","",N117+Q117)</f>
        <v/>
      </c>
      <c r="W117" s="16">
        <f>IF(ROWS($W$2:$W117)&lt;=MAX('Per Line'!$AA$2:$AA$3001),MATCH(ROWS($W$2:$W117),'Per Line'!$AA$2:$AA$3001,0),"")</f>
        <v/>
      </c>
      <c r="X117">
        <f>IF($W117="","",D117&amp;"|"&amp;COUNTIF($D$2:$D117,D117))</f>
        <v/>
      </c>
    </row>
    <row r="118">
      <c r="A118" s="15" t="n"/>
      <c r="B118">
        <f>IF($W118="","",INDEX('Per Line'!$B$2:$B$3001,$W118)&amp;"")</f>
        <v/>
      </c>
      <c r="C118">
        <f>IF($W118="","",INDEX('Per Line'!$C$2:$C$3001,$W118)&amp;"")</f>
        <v/>
      </c>
      <c r="D118">
        <f>IF($W118="","",IF(OR(TRIM(E118)="Orient Insurance Company",TRIM(E118)="Allianz"),TRIM(E118),TRIM(F118)))</f>
        <v/>
      </c>
      <c r="E118">
        <f>IF($W118="","",INDEX('Per Line'!$E$2:$E$3001,$W118)&amp;"")</f>
        <v/>
      </c>
      <c r="F118">
        <f>IF($W118="","",INDEX('Per Line'!$D$2:$D$3001,$W118)&amp;"")</f>
        <v/>
      </c>
      <c r="G118">
        <f>IF($W118="","",INDEX('Per Line'!$F$2:$F$3001,$W118)&amp;"")</f>
        <v/>
      </c>
      <c r="H118">
        <f>IF($W118="","",INDEX('Per Line'!$G$2:$G$3001,$W118)&amp;"")</f>
        <v/>
      </c>
      <c r="I118">
        <f>IF($W118="","",INDEX('Per Line'!$H$2:$H$3001,$W118)&amp;"")</f>
        <v/>
      </c>
      <c r="J118">
        <f>IF($W118="","",INDEX('Per Line'!$I$2:$I$3001,$W118))</f>
        <v/>
      </c>
      <c r="K118" s="7">
        <f>IF($W118="","",J118*T118/100)</f>
        <v/>
      </c>
      <c r="L118" s="14">
        <f>IF($W118="","",INDEX('Per Line'!$V$2:$V$3001,$W118))</f>
        <v/>
      </c>
      <c r="M118">
        <f>IF($W118="","",IF(ISNUMBER(SEARCH("3&amp;12",SUBSTITUTE(F118," ",""))),Settings!$G$7,Settings!$C$7))</f>
        <v/>
      </c>
      <c r="N118" s="7">
        <f>IF($W118="","",SUMIFS('Per Line'!$O$2:$O$3001,'Per Line'!$B$2:$B$3001,$B118,'Per Line'!$AB$2:$AB$3001,0))</f>
        <v/>
      </c>
      <c r="O118" s="7">
        <f>IF($W118="","",N118*M118)</f>
        <v/>
      </c>
      <c r="P118">
        <f>IF($W118="","",IF(ISNUMBER(SEARCH("3&amp;12",SUBSTITUTE(F118," ",""))),Settings!$G$6,Settings!$C$6))</f>
        <v/>
      </c>
      <c r="Q118" s="7">
        <f>IF($W118="","",SUMIFS('Per Line'!$O$2:$O$3001,'Per Line'!$B$2:$B$3001,$B118,'Per Line'!$AB$2:$AB$3001,1))</f>
        <v/>
      </c>
      <c r="R118" s="7">
        <f>IF($W118="","",Q118*P118)</f>
        <v/>
      </c>
      <c r="S118" s="7">
        <f>IF($W118="","",R118+O118)</f>
        <v/>
      </c>
      <c r="T118" s="7">
        <f>IF($W118="","",V118-S118)</f>
        <v/>
      </c>
      <c r="U118" s="7">
        <f>IF($W118="","",V118-S118-K118)</f>
        <v/>
      </c>
      <c r="V118" s="7">
        <f>IF($W118="","",N118+Q118)</f>
        <v/>
      </c>
      <c r="W118" s="16">
        <f>IF(ROWS($W$2:$W118)&lt;=MAX('Per Line'!$AA$2:$AA$3001),MATCH(ROWS($W$2:$W118),'Per Line'!$AA$2:$AA$3001,0),"")</f>
        <v/>
      </c>
      <c r="X118">
        <f>IF($W118="","",D118&amp;"|"&amp;COUNTIF($D$2:$D118,D118))</f>
        <v/>
      </c>
    </row>
    <row r="119">
      <c r="A119" s="15" t="n"/>
      <c r="B119">
        <f>IF($W119="","",INDEX('Per Line'!$B$2:$B$3001,$W119)&amp;"")</f>
        <v/>
      </c>
      <c r="C119">
        <f>IF($W119="","",INDEX('Per Line'!$C$2:$C$3001,$W119)&amp;"")</f>
        <v/>
      </c>
      <c r="D119">
        <f>IF($W119="","",IF(OR(TRIM(E119)="Orient Insurance Company",TRIM(E119)="Allianz"),TRIM(E119),TRIM(F119)))</f>
        <v/>
      </c>
      <c r="E119">
        <f>IF($W119="","",INDEX('Per Line'!$E$2:$E$3001,$W119)&amp;"")</f>
        <v/>
      </c>
      <c r="F119">
        <f>IF($W119="","",INDEX('Per Line'!$D$2:$D$3001,$W119)&amp;"")</f>
        <v/>
      </c>
      <c r="G119">
        <f>IF($W119="","",INDEX('Per Line'!$F$2:$F$3001,$W119)&amp;"")</f>
        <v/>
      </c>
      <c r="H119">
        <f>IF($W119="","",INDEX('Per Line'!$G$2:$G$3001,$W119)&amp;"")</f>
        <v/>
      </c>
      <c r="I119">
        <f>IF($W119="","",INDEX('Per Line'!$H$2:$H$3001,$W119)&amp;"")</f>
        <v/>
      </c>
      <c r="J119">
        <f>IF($W119="","",INDEX('Per Line'!$I$2:$I$3001,$W119))</f>
        <v/>
      </c>
      <c r="K119" s="7">
        <f>IF($W119="","",J119*T119/100)</f>
        <v/>
      </c>
      <c r="L119" s="14">
        <f>IF($W119="","",INDEX('Per Line'!$V$2:$V$3001,$W119))</f>
        <v/>
      </c>
      <c r="M119">
        <f>IF($W119="","",IF(ISNUMBER(SEARCH("3&amp;12",SUBSTITUTE(F119," ",""))),Settings!$G$7,Settings!$C$7))</f>
        <v/>
      </c>
      <c r="N119" s="7">
        <f>IF($W119="","",SUMIFS('Per Line'!$O$2:$O$3001,'Per Line'!$B$2:$B$3001,$B119,'Per Line'!$AB$2:$AB$3001,0))</f>
        <v/>
      </c>
      <c r="O119" s="7">
        <f>IF($W119="","",N119*M119)</f>
        <v/>
      </c>
      <c r="P119">
        <f>IF($W119="","",IF(ISNUMBER(SEARCH("3&amp;12",SUBSTITUTE(F119," ",""))),Settings!$G$6,Settings!$C$6))</f>
        <v/>
      </c>
      <c r="Q119" s="7">
        <f>IF($W119="","",SUMIFS('Per Line'!$O$2:$O$3001,'Per Line'!$B$2:$B$3001,$B119,'Per Line'!$AB$2:$AB$3001,1))</f>
        <v/>
      </c>
      <c r="R119" s="7">
        <f>IF($W119="","",Q119*P119)</f>
        <v/>
      </c>
      <c r="S119" s="7">
        <f>IF($W119="","",R119+O119)</f>
        <v/>
      </c>
      <c r="T119" s="7">
        <f>IF($W119="","",V119-S119)</f>
        <v/>
      </c>
      <c r="U119" s="7">
        <f>IF($W119="","",V119-S119-K119)</f>
        <v/>
      </c>
      <c r="V119" s="7">
        <f>IF($W119="","",N119+Q119)</f>
        <v/>
      </c>
      <c r="W119" s="16">
        <f>IF(ROWS($W$2:$W119)&lt;=MAX('Per Line'!$AA$2:$AA$3001),MATCH(ROWS($W$2:$W119),'Per Line'!$AA$2:$AA$3001,0),"")</f>
        <v/>
      </c>
      <c r="X119">
        <f>IF($W119="","",D119&amp;"|"&amp;COUNTIF($D$2:$D119,D119))</f>
        <v/>
      </c>
    </row>
    <row r="120">
      <c r="A120" s="15" t="n"/>
      <c r="B120">
        <f>IF($W120="","",INDEX('Per Line'!$B$2:$B$3001,$W120)&amp;"")</f>
        <v/>
      </c>
      <c r="C120">
        <f>IF($W120="","",INDEX('Per Line'!$C$2:$C$3001,$W120)&amp;"")</f>
        <v/>
      </c>
      <c r="D120">
        <f>IF($W120="","",IF(OR(TRIM(E120)="Orient Insurance Company",TRIM(E120)="Allianz"),TRIM(E120),TRIM(F120)))</f>
        <v/>
      </c>
      <c r="E120">
        <f>IF($W120="","",INDEX('Per Line'!$E$2:$E$3001,$W120)&amp;"")</f>
        <v/>
      </c>
      <c r="F120">
        <f>IF($W120="","",INDEX('Per Line'!$D$2:$D$3001,$W120)&amp;"")</f>
        <v/>
      </c>
      <c r="G120">
        <f>IF($W120="","",INDEX('Per Line'!$F$2:$F$3001,$W120)&amp;"")</f>
        <v/>
      </c>
      <c r="H120">
        <f>IF($W120="","",INDEX('Per Line'!$G$2:$G$3001,$W120)&amp;"")</f>
        <v/>
      </c>
      <c r="I120">
        <f>IF($W120="","",INDEX('Per Line'!$H$2:$H$3001,$W120)&amp;"")</f>
        <v/>
      </c>
      <c r="J120">
        <f>IF($W120="","",INDEX('Per Line'!$I$2:$I$3001,$W120))</f>
        <v/>
      </c>
      <c r="K120" s="7">
        <f>IF($W120="","",J120*T120/100)</f>
        <v/>
      </c>
      <c r="L120" s="14">
        <f>IF($W120="","",INDEX('Per Line'!$V$2:$V$3001,$W120))</f>
        <v/>
      </c>
      <c r="M120">
        <f>IF($W120="","",IF(ISNUMBER(SEARCH("3&amp;12",SUBSTITUTE(F120," ",""))),Settings!$G$7,Settings!$C$7))</f>
        <v/>
      </c>
      <c r="N120" s="7">
        <f>IF($W120="","",SUMIFS('Per Line'!$O$2:$O$3001,'Per Line'!$B$2:$B$3001,$B120,'Per Line'!$AB$2:$AB$3001,0))</f>
        <v/>
      </c>
      <c r="O120" s="7">
        <f>IF($W120="","",N120*M120)</f>
        <v/>
      </c>
      <c r="P120">
        <f>IF($W120="","",IF(ISNUMBER(SEARCH("3&amp;12",SUBSTITUTE(F120," ",""))),Settings!$G$6,Settings!$C$6))</f>
        <v/>
      </c>
      <c r="Q120" s="7">
        <f>IF($W120="","",SUMIFS('Per Line'!$O$2:$O$3001,'Per Line'!$B$2:$B$3001,$B120,'Per Line'!$AB$2:$AB$3001,1))</f>
        <v/>
      </c>
      <c r="R120" s="7">
        <f>IF($W120="","",Q120*P120)</f>
        <v/>
      </c>
      <c r="S120" s="7">
        <f>IF($W120="","",R120+O120)</f>
        <v/>
      </c>
      <c r="T120" s="7">
        <f>IF($W120="","",V120-S120)</f>
        <v/>
      </c>
      <c r="U120" s="7">
        <f>IF($W120="","",V120-S120-K120)</f>
        <v/>
      </c>
      <c r="V120" s="7">
        <f>IF($W120="","",N120+Q120)</f>
        <v/>
      </c>
      <c r="W120" s="16">
        <f>IF(ROWS($W$2:$W120)&lt;=MAX('Per Line'!$AA$2:$AA$3001),MATCH(ROWS($W$2:$W120),'Per Line'!$AA$2:$AA$3001,0),"")</f>
        <v/>
      </c>
      <c r="X120">
        <f>IF($W120="","",D120&amp;"|"&amp;COUNTIF($D$2:$D120,D120))</f>
        <v/>
      </c>
    </row>
    <row r="121">
      <c r="A121" s="15" t="n"/>
      <c r="B121">
        <f>IF($W121="","",INDEX('Per Line'!$B$2:$B$3001,$W121)&amp;"")</f>
        <v/>
      </c>
      <c r="C121">
        <f>IF($W121="","",INDEX('Per Line'!$C$2:$C$3001,$W121)&amp;"")</f>
        <v/>
      </c>
      <c r="D121">
        <f>IF($W121="","",IF(OR(TRIM(E121)="Orient Insurance Company",TRIM(E121)="Allianz"),TRIM(E121),TRIM(F121)))</f>
        <v/>
      </c>
      <c r="E121">
        <f>IF($W121="","",INDEX('Per Line'!$E$2:$E$3001,$W121)&amp;"")</f>
        <v/>
      </c>
      <c r="F121">
        <f>IF($W121="","",INDEX('Per Line'!$D$2:$D$3001,$W121)&amp;"")</f>
        <v/>
      </c>
      <c r="G121">
        <f>IF($W121="","",INDEX('Per Line'!$F$2:$F$3001,$W121)&amp;"")</f>
        <v/>
      </c>
      <c r="H121">
        <f>IF($W121="","",INDEX('Per Line'!$G$2:$G$3001,$W121)&amp;"")</f>
        <v/>
      </c>
      <c r="I121">
        <f>IF($W121="","",INDEX('Per Line'!$H$2:$H$3001,$W121)&amp;"")</f>
        <v/>
      </c>
      <c r="J121">
        <f>IF($W121="","",INDEX('Per Line'!$I$2:$I$3001,$W121))</f>
        <v/>
      </c>
      <c r="K121" s="7">
        <f>IF($W121="","",J121*T121/100)</f>
        <v/>
      </c>
      <c r="L121" s="14">
        <f>IF($W121="","",INDEX('Per Line'!$V$2:$V$3001,$W121))</f>
        <v/>
      </c>
      <c r="M121">
        <f>IF($W121="","",IF(ISNUMBER(SEARCH("3&amp;12",SUBSTITUTE(F121," ",""))),Settings!$G$7,Settings!$C$7))</f>
        <v/>
      </c>
      <c r="N121" s="7">
        <f>IF($W121="","",SUMIFS('Per Line'!$O$2:$O$3001,'Per Line'!$B$2:$B$3001,$B121,'Per Line'!$AB$2:$AB$3001,0))</f>
        <v/>
      </c>
      <c r="O121" s="7">
        <f>IF($W121="","",N121*M121)</f>
        <v/>
      </c>
      <c r="P121">
        <f>IF($W121="","",IF(ISNUMBER(SEARCH("3&amp;12",SUBSTITUTE(F121," ",""))),Settings!$G$6,Settings!$C$6))</f>
        <v/>
      </c>
      <c r="Q121" s="7">
        <f>IF($W121="","",SUMIFS('Per Line'!$O$2:$O$3001,'Per Line'!$B$2:$B$3001,$B121,'Per Line'!$AB$2:$AB$3001,1))</f>
        <v/>
      </c>
      <c r="R121" s="7">
        <f>IF($W121="","",Q121*P121)</f>
        <v/>
      </c>
      <c r="S121" s="7">
        <f>IF($W121="","",R121+O121)</f>
        <v/>
      </c>
      <c r="T121" s="7">
        <f>IF($W121="","",V121-S121)</f>
        <v/>
      </c>
      <c r="U121" s="7">
        <f>IF($W121="","",V121-S121-K121)</f>
        <v/>
      </c>
      <c r="V121" s="7">
        <f>IF($W121="","",N121+Q121)</f>
        <v/>
      </c>
      <c r="W121" s="16">
        <f>IF(ROWS($W$2:$W121)&lt;=MAX('Per Line'!$AA$2:$AA$3001),MATCH(ROWS($W$2:$W121),'Per Line'!$AA$2:$AA$3001,0),"")</f>
        <v/>
      </c>
      <c r="X121">
        <f>IF($W121="","",D121&amp;"|"&amp;COUNTIF($D$2:$D121,D121))</f>
        <v/>
      </c>
    </row>
    <row r="122">
      <c r="A122" s="15" t="n"/>
      <c r="B122">
        <f>IF($W122="","",INDEX('Per Line'!$B$2:$B$3001,$W122)&amp;"")</f>
        <v/>
      </c>
      <c r="C122">
        <f>IF($W122="","",INDEX('Per Line'!$C$2:$C$3001,$W122)&amp;"")</f>
        <v/>
      </c>
      <c r="D122">
        <f>IF($W122="","",IF(OR(TRIM(E122)="Orient Insurance Company",TRIM(E122)="Allianz"),TRIM(E122),TRIM(F122)))</f>
        <v/>
      </c>
      <c r="E122">
        <f>IF($W122="","",INDEX('Per Line'!$E$2:$E$3001,$W122)&amp;"")</f>
        <v/>
      </c>
      <c r="F122">
        <f>IF($W122="","",INDEX('Per Line'!$D$2:$D$3001,$W122)&amp;"")</f>
        <v/>
      </c>
      <c r="G122">
        <f>IF($W122="","",INDEX('Per Line'!$F$2:$F$3001,$W122)&amp;"")</f>
        <v/>
      </c>
      <c r="H122">
        <f>IF($W122="","",INDEX('Per Line'!$G$2:$G$3001,$W122)&amp;"")</f>
        <v/>
      </c>
      <c r="I122">
        <f>IF($W122="","",INDEX('Per Line'!$H$2:$H$3001,$W122)&amp;"")</f>
        <v/>
      </c>
      <c r="J122">
        <f>IF($W122="","",INDEX('Per Line'!$I$2:$I$3001,$W122))</f>
        <v/>
      </c>
      <c r="K122" s="7">
        <f>IF($W122="","",J122*T122/100)</f>
        <v/>
      </c>
      <c r="L122" s="14">
        <f>IF($W122="","",INDEX('Per Line'!$V$2:$V$3001,$W122))</f>
        <v/>
      </c>
      <c r="M122">
        <f>IF($W122="","",IF(ISNUMBER(SEARCH("3&amp;12",SUBSTITUTE(F122," ",""))),Settings!$G$7,Settings!$C$7))</f>
        <v/>
      </c>
      <c r="N122" s="7">
        <f>IF($W122="","",SUMIFS('Per Line'!$O$2:$O$3001,'Per Line'!$B$2:$B$3001,$B122,'Per Line'!$AB$2:$AB$3001,0))</f>
        <v/>
      </c>
      <c r="O122" s="7">
        <f>IF($W122="","",N122*M122)</f>
        <v/>
      </c>
      <c r="P122">
        <f>IF($W122="","",IF(ISNUMBER(SEARCH("3&amp;12",SUBSTITUTE(F122," ",""))),Settings!$G$6,Settings!$C$6))</f>
        <v/>
      </c>
      <c r="Q122" s="7">
        <f>IF($W122="","",SUMIFS('Per Line'!$O$2:$O$3001,'Per Line'!$B$2:$B$3001,$B122,'Per Line'!$AB$2:$AB$3001,1))</f>
        <v/>
      </c>
      <c r="R122" s="7">
        <f>IF($W122="","",Q122*P122)</f>
        <v/>
      </c>
      <c r="S122" s="7">
        <f>IF($W122="","",R122+O122)</f>
        <v/>
      </c>
      <c r="T122" s="7">
        <f>IF($W122="","",V122-S122)</f>
        <v/>
      </c>
      <c r="U122" s="7">
        <f>IF($W122="","",V122-S122-K122)</f>
        <v/>
      </c>
      <c r="V122" s="7">
        <f>IF($W122="","",N122+Q122)</f>
        <v/>
      </c>
      <c r="W122" s="16">
        <f>IF(ROWS($W$2:$W122)&lt;=MAX('Per Line'!$AA$2:$AA$3001),MATCH(ROWS($W$2:$W122),'Per Line'!$AA$2:$AA$3001,0),"")</f>
        <v/>
      </c>
      <c r="X122">
        <f>IF($W122="","",D122&amp;"|"&amp;COUNTIF($D$2:$D122,D122))</f>
        <v/>
      </c>
    </row>
    <row r="123">
      <c r="A123" s="15" t="n"/>
      <c r="B123">
        <f>IF($W123="","",INDEX('Per Line'!$B$2:$B$3001,$W123)&amp;"")</f>
        <v/>
      </c>
      <c r="C123">
        <f>IF($W123="","",INDEX('Per Line'!$C$2:$C$3001,$W123)&amp;"")</f>
        <v/>
      </c>
      <c r="D123">
        <f>IF($W123="","",IF(OR(TRIM(E123)="Orient Insurance Company",TRIM(E123)="Allianz"),TRIM(E123),TRIM(F123)))</f>
        <v/>
      </c>
      <c r="E123">
        <f>IF($W123="","",INDEX('Per Line'!$E$2:$E$3001,$W123)&amp;"")</f>
        <v/>
      </c>
      <c r="F123">
        <f>IF($W123="","",INDEX('Per Line'!$D$2:$D$3001,$W123)&amp;"")</f>
        <v/>
      </c>
      <c r="G123">
        <f>IF($W123="","",INDEX('Per Line'!$F$2:$F$3001,$W123)&amp;"")</f>
        <v/>
      </c>
      <c r="H123">
        <f>IF($W123="","",INDEX('Per Line'!$G$2:$G$3001,$W123)&amp;"")</f>
        <v/>
      </c>
      <c r="I123">
        <f>IF($W123="","",INDEX('Per Line'!$H$2:$H$3001,$W123)&amp;"")</f>
        <v/>
      </c>
      <c r="J123">
        <f>IF($W123="","",INDEX('Per Line'!$I$2:$I$3001,$W123))</f>
        <v/>
      </c>
      <c r="K123" s="7">
        <f>IF($W123="","",J123*T123/100)</f>
        <v/>
      </c>
      <c r="L123" s="14">
        <f>IF($W123="","",INDEX('Per Line'!$V$2:$V$3001,$W123))</f>
        <v/>
      </c>
      <c r="M123">
        <f>IF($W123="","",IF(ISNUMBER(SEARCH("3&amp;12",SUBSTITUTE(F123," ",""))),Settings!$G$7,Settings!$C$7))</f>
        <v/>
      </c>
      <c r="N123" s="7">
        <f>IF($W123="","",SUMIFS('Per Line'!$O$2:$O$3001,'Per Line'!$B$2:$B$3001,$B123,'Per Line'!$AB$2:$AB$3001,0))</f>
        <v/>
      </c>
      <c r="O123" s="7">
        <f>IF($W123="","",N123*M123)</f>
        <v/>
      </c>
      <c r="P123">
        <f>IF($W123="","",IF(ISNUMBER(SEARCH("3&amp;12",SUBSTITUTE(F123," ",""))),Settings!$G$6,Settings!$C$6))</f>
        <v/>
      </c>
      <c r="Q123" s="7">
        <f>IF($W123="","",SUMIFS('Per Line'!$O$2:$O$3001,'Per Line'!$B$2:$B$3001,$B123,'Per Line'!$AB$2:$AB$3001,1))</f>
        <v/>
      </c>
      <c r="R123" s="7">
        <f>IF($W123="","",Q123*P123)</f>
        <v/>
      </c>
      <c r="S123" s="7">
        <f>IF($W123="","",R123+O123)</f>
        <v/>
      </c>
      <c r="T123" s="7">
        <f>IF($W123="","",V123-S123)</f>
        <v/>
      </c>
      <c r="U123" s="7">
        <f>IF($W123="","",V123-S123-K123)</f>
        <v/>
      </c>
      <c r="V123" s="7">
        <f>IF($W123="","",N123+Q123)</f>
        <v/>
      </c>
      <c r="W123" s="16">
        <f>IF(ROWS($W$2:$W123)&lt;=MAX('Per Line'!$AA$2:$AA$3001),MATCH(ROWS($W$2:$W123),'Per Line'!$AA$2:$AA$3001,0),"")</f>
        <v/>
      </c>
      <c r="X123">
        <f>IF($W123="","",D123&amp;"|"&amp;COUNTIF($D$2:$D123,D123))</f>
        <v/>
      </c>
    </row>
    <row r="124">
      <c r="A124" s="15" t="n"/>
      <c r="B124">
        <f>IF($W124="","",INDEX('Per Line'!$B$2:$B$3001,$W124)&amp;"")</f>
        <v/>
      </c>
      <c r="C124">
        <f>IF($W124="","",INDEX('Per Line'!$C$2:$C$3001,$W124)&amp;"")</f>
        <v/>
      </c>
      <c r="D124">
        <f>IF($W124="","",IF(OR(TRIM(E124)="Orient Insurance Company",TRIM(E124)="Allianz"),TRIM(E124),TRIM(F124)))</f>
        <v/>
      </c>
      <c r="E124">
        <f>IF($W124="","",INDEX('Per Line'!$E$2:$E$3001,$W124)&amp;"")</f>
        <v/>
      </c>
      <c r="F124">
        <f>IF($W124="","",INDEX('Per Line'!$D$2:$D$3001,$W124)&amp;"")</f>
        <v/>
      </c>
      <c r="G124">
        <f>IF($W124="","",INDEX('Per Line'!$F$2:$F$3001,$W124)&amp;"")</f>
        <v/>
      </c>
      <c r="H124">
        <f>IF($W124="","",INDEX('Per Line'!$G$2:$G$3001,$W124)&amp;"")</f>
        <v/>
      </c>
      <c r="I124">
        <f>IF($W124="","",INDEX('Per Line'!$H$2:$H$3001,$W124)&amp;"")</f>
        <v/>
      </c>
      <c r="J124">
        <f>IF($W124="","",INDEX('Per Line'!$I$2:$I$3001,$W124))</f>
        <v/>
      </c>
      <c r="K124" s="7">
        <f>IF($W124="","",J124*T124/100)</f>
        <v/>
      </c>
      <c r="L124" s="14">
        <f>IF($W124="","",INDEX('Per Line'!$V$2:$V$3001,$W124))</f>
        <v/>
      </c>
      <c r="M124">
        <f>IF($W124="","",IF(ISNUMBER(SEARCH("3&amp;12",SUBSTITUTE(F124," ",""))),Settings!$G$7,Settings!$C$7))</f>
        <v/>
      </c>
      <c r="N124" s="7">
        <f>IF($W124="","",SUMIFS('Per Line'!$O$2:$O$3001,'Per Line'!$B$2:$B$3001,$B124,'Per Line'!$AB$2:$AB$3001,0))</f>
        <v/>
      </c>
      <c r="O124" s="7">
        <f>IF($W124="","",N124*M124)</f>
        <v/>
      </c>
      <c r="P124">
        <f>IF($W124="","",IF(ISNUMBER(SEARCH("3&amp;12",SUBSTITUTE(F124," ",""))),Settings!$G$6,Settings!$C$6))</f>
        <v/>
      </c>
      <c r="Q124" s="7">
        <f>IF($W124="","",SUMIFS('Per Line'!$O$2:$O$3001,'Per Line'!$B$2:$B$3001,$B124,'Per Line'!$AB$2:$AB$3001,1))</f>
        <v/>
      </c>
      <c r="R124" s="7">
        <f>IF($W124="","",Q124*P124)</f>
        <v/>
      </c>
      <c r="S124" s="7">
        <f>IF($W124="","",R124+O124)</f>
        <v/>
      </c>
      <c r="T124" s="7">
        <f>IF($W124="","",V124-S124)</f>
        <v/>
      </c>
      <c r="U124" s="7">
        <f>IF($W124="","",V124-S124-K124)</f>
        <v/>
      </c>
      <c r="V124" s="7">
        <f>IF($W124="","",N124+Q124)</f>
        <v/>
      </c>
      <c r="W124" s="16">
        <f>IF(ROWS($W$2:$W124)&lt;=MAX('Per Line'!$AA$2:$AA$3001),MATCH(ROWS($W$2:$W124),'Per Line'!$AA$2:$AA$3001,0),"")</f>
        <v/>
      </c>
      <c r="X124">
        <f>IF($W124="","",D124&amp;"|"&amp;COUNTIF($D$2:$D124,D124))</f>
        <v/>
      </c>
    </row>
    <row r="125">
      <c r="A125" s="15" t="n"/>
      <c r="B125">
        <f>IF($W125="","",INDEX('Per Line'!$B$2:$B$3001,$W125)&amp;"")</f>
        <v/>
      </c>
      <c r="C125">
        <f>IF($W125="","",INDEX('Per Line'!$C$2:$C$3001,$W125)&amp;"")</f>
        <v/>
      </c>
      <c r="D125">
        <f>IF($W125="","",IF(OR(TRIM(E125)="Orient Insurance Company",TRIM(E125)="Allianz"),TRIM(E125),TRIM(F125)))</f>
        <v/>
      </c>
      <c r="E125">
        <f>IF($W125="","",INDEX('Per Line'!$E$2:$E$3001,$W125)&amp;"")</f>
        <v/>
      </c>
      <c r="F125">
        <f>IF($W125="","",INDEX('Per Line'!$D$2:$D$3001,$W125)&amp;"")</f>
        <v/>
      </c>
      <c r="G125">
        <f>IF($W125="","",INDEX('Per Line'!$F$2:$F$3001,$W125)&amp;"")</f>
        <v/>
      </c>
      <c r="H125">
        <f>IF($W125="","",INDEX('Per Line'!$G$2:$G$3001,$W125)&amp;"")</f>
        <v/>
      </c>
      <c r="I125">
        <f>IF($W125="","",INDEX('Per Line'!$H$2:$H$3001,$W125)&amp;"")</f>
        <v/>
      </c>
      <c r="J125">
        <f>IF($W125="","",INDEX('Per Line'!$I$2:$I$3001,$W125))</f>
        <v/>
      </c>
      <c r="K125" s="7">
        <f>IF($W125="","",J125*T125/100)</f>
        <v/>
      </c>
      <c r="L125" s="14">
        <f>IF($W125="","",INDEX('Per Line'!$V$2:$V$3001,$W125))</f>
        <v/>
      </c>
      <c r="M125">
        <f>IF($W125="","",IF(ISNUMBER(SEARCH("3&amp;12",SUBSTITUTE(F125," ",""))),Settings!$G$7,Settings!$C$7))</f>
        <v/>
      </c>
      <c r="N125" s="7">
        <f>IF($W125="","",SUMIFS('Per Line'!$O$2:$O$3001,'Per Line'!$B$2:$B$3001,$B125,'Per Line'!$AB$2:$AB$3001,0))</f>
        <v/>
      </c>
      <c r="O125" s="7">
        <f>IF($W125="","",N125*M125)</f>
        <v/>
      </c>
      <c r="P125">
        <f>IF($W125="","",IF(ISNUMBER(SEARCH("3&amp;12",SUBSTITUTE(F125," ",""))),Settings!$G$6,Settings!$C$6))</f>
        <v/>
      </c>
      <c r="Q125" s="7">
        <f>IF($W125="","",SUMIFS('Per Line'!$O$2:$O$3001,'Per Line'!$B$2:$B$3001,$B125,'Per Line'!$AB$2:$AB$3001,1))</f>
        <v/>
      </c>
      <c r="R125" s="7">
        <f>IF($W125="","",Q125*P125)</f>
        <v/>
      </c>
      <c r="S125" s="7">
        <f>IF($W125="","",R125+O125)</f>
        <v/>
      </c>
      <c r="T125" s="7">
        <f>IF($W125="","",V125-S125)</f>
        <v/>
      </c>
      <c r="U125" s="7">
        <f>IF($W125="","",V125-S125-K125)</f>
        <v/>
      </c>
      <c r="V125" s="7">
        <f>IF($W125="","",N125+Q125)</f>
        <v/>
      </c>
      <c r="W125" s="16">
        <f>IF(ROWS($W$2:$W125)&lt;=MAX('Per Line'!$AA$2:$AA$3001),MATCH(ROWS($W$2:$W125),'Per Line'!$AA$2:$AA$3001,0),"")</f>
        <v/>
      </c>
      <c r="X125">
        <f>IF($W125="","",D125&amp;"|"&amp;COUNTIF($D$2:$D125,D125))</f>
        <v/>
      </c>
    </row>
    <row r="126">
      <c r="A126" s="15" t="n"/>
      <c r="B126">
        <f>IF($W126="","",INDEX('Per Line'!$B$2:$B$3001,$W126)&amp;"")</f>
        <v/>
      </c>
      <c r="C126">
        <f>IF($W126="","",INDEX('Per Line'!$C$2:$C$3001,$W126)&amp;"")</f>
        <v/>
      </c>
      <c r="D126">
        <f>IF($W126="","",IF(OR(TRIM(E126)="Orient Insurance Company",TRIM(E126)="Allianz"),TRIM(E126),TRIM(F126)))</f>
        <v/>
      </c>
      <c r="E126">
        <f>IF($W126="","",INDEX('Per Line'!$E$2:$E$3001,$W126)&amp;"")</f>
        <v/>
      </c>
      <c r="F126">
        <f>IF($W126="","",INDEX('Per Line'!$D$2:$D$3001,$W126)&amp;"")</f>
        <v/>
      </c>
      <c r="G126">
        <f>IF($W126="","",INDEX('Per Line'!$F$2:$F$3001,$W126)&amp;"")</f>
        <v/>
      </c>
      <c r="H126">
        <f>IF($W126="","",INDEX('Per Line'!$G$2:$G$3001,$W126)&amp;"")</f>
        <v/>
      </c>
      <c r="I126">
        <f>IF($W126="","",INDEX('Per Line'!$H$2:$H$3001,$W126)&amp;"")</f>
        <v/>
      </c>
      <c r="J126">
        <f>IF($W126="","",INDEX('Per Line'!$I$2:$I$3001,$W126))</f>
        <v/>
      </c>
      <c r="K126" s="7">
        <f>IF($W126="","",J126*T126/100)</f>
        <v/>
      </c>
      <c r="L126" s="14">
        <f>IF($W126="","",INDEX('Per Line'!$V$2:$V$3001,$W126))</f>
        <v/>
      </c>
      <c r="M126">
        <f>IF($W126="","",IF(ISNUMBER(SEARCH("3&amp;12",SUBSTITUTE(F126," ",""))),Settings!$G$7,Settings!$C$7))</f>
        <v/>
      </c>
      <c r="N126" s="7">
        <f>IF($W126="","",SUMIFS('Per Line'!$O$2:$O$3001,'Per Line'!$B$2:$B$3001,$B126,'Per Line'!$AB$2:$AB$3001,0))</f>
        <v/>
      </c>
      <c r="O126" s="7">
        <f>IF($W126="","",N126*M126)</f>
        <v/>
      </c>
      <c r="P126">
        <f>IF($W126="","",IF(ISNUMBER(SEARCH("3&amp;12",SUBSTITUTE(F126," ",""))),Settings!$G$6,Settings!$C$6))</f>
        <v/>
      </c>
      <c r="Q126" s="7">
        <f>IF($W126="","",SUMIFS('Per Line'!$O$2:$O$3001,'Per Line'!$B$2:$B$3001,$B126,'Per Line'!$AB$2:$AB$3001,1))</f>
        <v/>
      </c>
      <c r="R126" s="7">
        <f>IF($W126="","",Q126*P126)</f>
        <v/>
      </c>
      <c r="S126" s="7">
        <f>IF($W126="","",R126+O126)</f>
        <v/>
      </c>
      <c r="T126" s="7">
        <f>IF($W126="","",V126-S126)</f>
        <v/>
      </c>
      <c r="U126" s="7">
        <f>IF($W126="","",V126-S126-K126)</f>
        <v/>
      </c>
      <c r="V126" s="7">
        <f>IF($W126="","",N126+Q126)</f>
        <v/>
      </c>
      <c r="W126" s="16">
        <f>IF(ROWS($W$2:$W126)&lt;=MAX('Per Line'!$AA$2:$AA$3001),MATCH(ROWS($W$2:$W126),'Per Line'!$AA$2:$AA$3001,0),"")</f>
        <v/>
      </c>
      <c r="X126">
        <f>IF($W126="","",D126&amp;"|"&amp;COUNTIF($D$2:$D126,D126))</f>
        <v/>
      </c>
    </row>
    <row r="127">
      <c r="A127" s="15" t="n"/>
      <c r="B127">
        <f>IF($W127="","",INDEX('Per Line'!$B$2:$B$3001,$W127)&amp;"")</f>
        <v/>
      </c>
      <c r="C127">
        <f>IF($W127="","",INDEX('Per Line'!$C$2:$C$3001,$W127)&amp;"")</f>
        <v/>
      </c>
      <c r="D127">
        <f>IF($W127="","",IF(OR(TRIM(E127)="Orient Insurance Company",TRIM(E127)="Allianz"),TRIM(E127),TRIM(F127)))</f>
        <v/>
      </c>
      <c r="E127">
        <f>IF($W127="","",INDEX('Per Line'!$E$2:$E$3001,$W127)&amp;"")</f>
        <v/>
      </c>
      <c r="F127">
        <f>IF($W127="","",INDEX('Per Line'!$D$2:$D$3001,$W127)&amp;"")</f>
        <v/>
      </c>
      <c r="G127">
        <f>IF($W127="","",INDEX('Per Line'!$F$2:$F$3001,$W127)&amp;"")</f>
        <v/>
      </c>
      <c r="H127">
        <f>IF($W127="","",INDEX('Per Line'!$G$2:$G$3001,$W127)&amp;"")</f>
        <v/>
      </c>
      <c r="I127">
        <f>IF($W127="","",INDEX('Per Line'!$H$2:$H$3001,$W127)&amp;"")</f>
        <v/>
      </c>
      <c r="J127">
        <f>IF($W127="","",INDEX('Per Line'!$I$2:$I$3001,$W127))</f>
        <v/>
      </c>
      <c r="K127" s="7">
        <f>IF($W127="","",J127*T127/100)</f>
        <v/>
      </c>
      <c r="L127" s="14">
        <f>IF($W127="","",INDEX('Per Line'!$V$2:$V$3001,$W127))</f>
        <v/>
      </c>
      <c r="M127">
        <f>IF($W127="","",IF(ISNUMBER(SEARCH("3&amp;12",SUBSTITUTE(F127," ",""))),Settings!$G$7,Settings!$C$7))</f>
        <v/>
      </c>
      <c r="N127" s="7">
        <f>IF($W127="","",SUMIFS('Per Line'!$O$2:$O$3001,'Per Line'!$B$2:$B$3001,$B127,'Per Line'!$AB$2:$AB$3001,0))</f>
        <v/>
      </c>
      <c r="O127" s="7">
        <f>IF($W127="","",N127*M127)</f>
        <v/>
      </c>
      <c r="P127">
        <f>IF($W127="","",IF(ISNUMBER(SEARCH("3&amp;12",SUBSTITUTE(F127," ",""))),Settings!$G$6,Settings!$C$6))</f>
        <v/>
      </c>
      <c r="Q127" s="7">
        <f>IF($W127="","",SUMIFS('Per Line'!$O$2:$O$3001,'Per Line'!$B$2:$B$3001,$B127,'Per Line'!$AB$2:$AB$3001,1))</f>
        <v/>
      </c>
      <c r="R127" s="7">
        <f>IF($W127="","",Q127*P127)</f>
        <v/>
      </c>
      <c r="S127" s="7">
        <f>IF($W127="","",R127+O127)</f>
        <v/>
      </c>
      <c r="T127" s="7">
        <f>IF($W127="","",V127-S127)</f>
        <v/>
      </c>
      <c r="U127" s="7">
        <f>IF($W127="","",V127-S127-K127)</f>
        <v/>
      </c>
      <c r="V127" s="7">
        <f>IF($W127="","",N127+Q127)</f>
        <v/>
      </c>
      <c r="W127" s="16">
        <f>IF(ROWS($W$2:$W127)&lt;=MAX('Per Line'!$AA$2:$AA$3001),MATCH(ROWS($W$2:$W127),'Per Line'!$AA$2:$AA$3001,0),"")</f>
        <v/>
      </c>
      <c r="X127">
        <f>IF($W127="","",D127&amp;"|"&amp;COUNTIF($D$2:$D127,D127))</f>
        <v/>
      </c>
    </row>
    <row r="128">
      <c r="A128" s="15" t="n"/>
      <c r="B128">
        <f>IF($W128="","",INDEX('Per Line'!$B$2:$B$3001,$W128)&amp;"")</f>
        <v/>
      </c>
      <c r="C128">
        <f>IF($W128="","",INDEX('Per Line'!$C$2:$C$3001,$W128)&amp;"")</f>
        <v/>
      </c>
      <c r="D128">
        <f>IF($W128="","",IF(OR(TRIM(E128)="Orient Insurance Company",TRIM(E128)="Allianz"),TRIM(E128),TRIM(F128)))</f>
        <v/>
      </c>
      <c r="E128">
        <f>IF($W128="","",INDEX('Per Line'!$E$2:$E$3001,$W128)&amp;"")</f>
        <v/>
      </c>
      <c r="F128">
        <f>IF($W128="","",INDEX('Per Line'!$D$2:$D$3001,$W128)&amp;"")</f>
        <v/>
      </c>
      <c r="G128">
        <f>IF($W128="","",INDEX('Per Line'!$F$2:$F$3001,$W128)&amp;"")</f>
        <v/>
      </c>
      <c r="H128">
        <f>IF($W128="","",INDEX('Per Line'!$G$2:$G$3001,$W128)&amp;"")</f>
        <v/>
      </c>
      <c r="I128">
        <f>IF($W128="","",INDEX('Per Line'!$H$2:$H$3001,$W128)&amp;"")</f>
        <v/>
      </c>
      <c r="J128">
        <f>IF($W128="","",INDEX('Per Line'!$I$2:$I$3001,$W128))</f>
        <v/>
      </c>
      <c r="K128" s="7">
        <f>IF($W128="","",J128*T128/100)</f>
        <v/>
      </c>
      <c r="L128" s="14">
        <f>IF($W128="","",INDEX('Per Line'!$V$2:$V$3001,$W128))</f>
        <v/>
      </c>
      <c r="M128">
        <f>IF($W128="","",IF(ISNUMBER(SEARCH("3&amp;12",SUBSTITUTE(F128," ",""))),Settings!$G$7,Settings!$C$7))</f>
        <v/>
      </c>
      <c r="N128" s="7">
        <f>IF($W128="","",SUMIFS('Per Line'!$O$2:$O$3001,'Per Line'!$B$2:$B$3001,$B128,'Per Line'!$AB$2:$AB$3001,0))</f>
        <v/>
      </c>
      <c r="O128" s="7">
        <f>IF($W128="","",N128*M128)</f>
        <v/>
      </c>
      <c r="P128">
        <f>IF($W128="","",IF(ISNUMBER(SEARCH("3&amp;12",SUBSTITUTE(F128," ",""))),Settings!$G$6,Settings!$C$6))</f>
        <v/>
      </c>
      <c r="Q128" s="7">
        <f>IF($W128="","",SUMIFS('Per Line'!$O$2:$O$3001,'Per Line'!$B$2:$B$3001,$B128,'Per Line'!$AB$2:$AB$3001,1))</f>
        <v/>
      </c>
      <c r="R128" s="7">
        <f>IF($W128="","",Q128*P128)</f>
        <v/>
      </c>
      <c r="S128" s="7">
        <f>IF($W128="","",R128+O128)</f>
        <v/>
      </c>
      <c r="T128" s="7">
        <f>IF($W128="","",V128-S128)</f>
        <v/>
      </c>
      <c r="U128" s="7">
        <f>IF($W128="","",V128-S128-K128)</f>
        <v/>
      </c>
      <c r="V128" s="7">
        <f>IF($W128="","",N128+Q128)</f>
        <v/>
      </c>
      <c r="W128" s="16">
        <f>IF(ROWS($W$2:$W128)&lt;=MAX('Per Line'!$AA$2:$AA$3001),MATCH(ROWS($W$2:$W128),'Per Line'!$AA$2:$AA$3001,0),"")</f>
        <v/>
      </c>
      <c r="X128">
        <f>IF($W128="","",D128&amp;"|"&amp;COUNTIF($D$2:$D128,D128))</f>
        <v/>
      </c>
    </row>
    <row r="129">
      <c r="A129" s="15" t="n"/>
      <c r="B129">
        <f>IF($W129="","",INDEX('Per Line'!$B$2:$B$3001,$W129)&amp;"")</f>
        <v/>
      </c>
      <c r="C129">
        <f>IF($W129="","",INDEX('Per Line'!$C$2:$C$3001,$W129)&amp;"")</f>
        <v/>
      </c>
      <c r="D129">
        <f>IF($W129="","",IF(OR(TRIM(E129)="Orient Insurance Company",TRIM(E129)="Allianz"),TRIM(E129),TRIM(F129)))</f>
        <v/>
      </c>
      <c r="E129">
        <f>IF($W129="","",INDEX('Per Line'!$E$2:$E$3001,$W129)&amp;"")</f>
        <v/>
      </c>
      <c r="F129">
        <f>IF($W129="","",INDEX('Per Line'!$D$2:$D$3001,$W129)&amp;"")</f>
        <v/>
      </c>
      <c r="G129">
        <f>IF($W129="","",INDEX('Per Line'!$F$2:$F$3001,$W129)&amp;"")</f>
        <v/>
      </c>
      <c r="H129">
        <f>IF($W129="","",INDEX('Per Line'!$G$2:$G$3001,$W129)&amp;"")</f>
        <v/>
      </c>
      <c r="I129">
        <f>IF($W129="","",INDEX('Per Line'!$H$2:$H$3001,$W129)&amp;"")</f>
        <v/>
      </c>
      <c r="J129">
        <f>IF($W129="","",INDEX('Per Line'!$I$2:$I$3001,$W129))</f>
        <v/>
      </c>
      <c r="K129" s="7">
        <f>IF($W129="","",J129*T129/100)</f>
        <v/>
      </c>
      <c r="L129" s="14">
        <f>IF($W129="","",INDEX('Per Line'!$V$2:$V$3001,$W129))</f>
        <v/>
      </c>
      <c r="M129">
        <f>IF($W129="","",IF(ISNUMBER(SEARCH("3&amp;12",SUBSTITUTE(F129," ",""))),Settings!$G$7,Settings!$C$7))</f>
        <v/>
      </c>
      <c r="N129" s="7">
        <f>IF($W129="","",SUMIFS('Per Line'!$O$2:$O$3001,'Per Line'!$B$2:$B$3001,$B129,'Per Line'!$AB$2:$AB$3001,0))</f>
        <v/>
      </c>
      <c r="O129" s="7">
        <f>IF($W129="","",N129*M129)</f>
        <v/>
      </c>
      <c r="P129">
        <f>IF($W129="","",IF(ISNUMBER(SEARCH("3&amp;12",SUBSTITUTE(F129," ",""))),Settings!$G$6,Settings!$C$6))</f>
        <v/>
      </c>
      <c r="Q129" s="7">
        <f>IF($W129="","",SUMIFS('Per Line'!$O$2:$O$3001,'Per Line'!$B$2:$B$3001,$B129,'Per Line'!$AB$2:$AB$3001,1))</f>
        <v/>
      </c>
      <c r="R129" s="7">
        <f>IF($W129="","",Q129*P129)</f>
        <v/>
      </c>
      <c r="S129" s="7">
        <f>IF($W129="","",R129+O129)</f>
        <v/>
      </c>
      <c r="T129" s="7">
        <f>IF($W129="","",V129-S129)</f>
        <v/>
      </c>
      <c r="U129" s="7">
        <f>IF($W129="","",V129-S129-K129)</f>
        <v/>
      </c>
      <c r="V129" s="7">
        <f>IF($W129="","",N129+Q129)</f>
        <v/>
      </c>
      <c r="W129" s="16">
        <f>IF(ROWS($W$2:$W129)&lt;=MAX('Per Line'!$AA$2:$AA$3001),MATCH(ROWS($W$2:$W129),'Per Line'!$AA$2:$AA$3001,0),"")</f>
        <v/>
      </c>
      <c r="X129">
        <f>IF($W129="","",D129&amp;"|"&amp;COUNTIF($D$2:$D129,D129))</f>
        <v/>
      </c>
    </row>
    <row r="130">
      <c r="A130" s="15" t="n"/>
      <c r="B130">
        <f>IF($W130="","",INDEX('Per Line'!$B$2:$B$3001,$W130)&amp;"")</f>
        <v/>
      </c>
      <c r="C130">
        <f>IF($W130="","",INDEX('Per Line'!$C$2:$C$3001,$W130)&amp;"")</f>
        <v/>
      </c>
      <c r="D130">
        <f>IF($W130="","",IF(OR(TRIM(E130)="Orient Insurance Company",TRIM(E130)="Allianz"),TRIM(E130),TRIM(F130)))</f>
        <v/>
      </c>
      <c r="E130">
        <f>IF($W130="","",INDEX('Per Line'!$E$2:$E$3001,$W130)&amp;"")</f>
        <v/>
      </c>
      <c r="F130">
        <f>IF($W130="","",INDEX('Per Line'!$D$2:$D$3001,$W130)&amp;"")</f>
        <v/>
      </c>
      <c r="G130">
        <f>IF($W130="","",INDEX('Per Line'!$F$2:$F$3001,$W130)&amp;"")</f>
        <v/>
      </c>
      <c r="H130">
        <f>IF($W130="","",INDEX('Per Line'!$G$2:$G$3001,$W130)&amp;"")</f>
        <v/>
      </c>
      <c r="I130">
        <f>IF($W130="","",INDEX('Per Line'!$H$2:$H$3001,$W130)&amp;"")</f>
        <v/>
      </c>
      <c r="J130">
        <f>IF($W130="","",INDEX('Per Line'!$I$2:$I$3001,$W130))</f>
        <v/>
      </c>
      <c r="K130" s="7">
        <f>IF($W130="","",J130*T130/100)</f>
        <v/>
      </c>
      <c r="L130" s="14">
        <f>IF($W130="","",INDEX('Per Line'!$V$2:$V$3001,$W130))</f>
        <v/>
      </c>
      <c r="M130">
        <f>IF($W130="","",IF(ISNUMBER(SEARCH("3&amp;12",SUBSTITUTE(F130," ",""))),Settings!$G$7,Settings!$C$7))</f>
        <v/>
      </c>
      <c r="N130" s="7">
        <f>IF($W130="","",SUMIFS('Per Line'!$O$2:$O$3001,'Per Line'!$B$2:$B$3001,$B130,'Per Line'!$AB$2:$AB$3001,0))</f>
        <v/>
      </c>
      <c r="O130" s="7">
        <f>IF($W130="","",N130*M130)</f>
        <v/>
      </c>
      <c r="P130">
        <f>IF($W130="","",IF(ISNUMBER(SEARCH("3&amp;12",SUBSTITUTE(F130," ",""))),Settings!$G$6,Settings!$C$6))</f>
        <v/>
      </c>
      <c r="Q130" s="7">
        <f>IF($W130="","",SUMIFS('Per Line'!$O$2:$O$3001,'Per Line'!$B$2:$B$3001,$B130,'Per Line'!$AB$2:$AB$3001,1))</f>
        <v/>
      </c>
      <c r="R130" s="7">
        <f>IF($W130="","",Q130*P130)</f>
        <v/>
      </c>
      <c r="S130" s="7">
        <f>IF($W130="","",R130+O130)</f>
        <v/>
      </c>
      <c r="T130" s="7">
        <f>IF($W130="","",V130-S130)</f>
        <v/>
      </c>
      <c r="U130" s="7">
        <f>IF($W130="","",V130-S130-K130)</f>
        <v/>
      </c>
      <c r="V130" s="7">
        <f>IF($W130="","",N130+Q130)</f>
        <v/>
      </c>
      <c r="W130" s="16">
        <f>IF(ROWS($W$2:$W130)&lt;=MAX('Per Line'!$AA$2:$AA$3001),MATCH(ROWS($W$2:$W130),'Per Line'!$AA$2:$AA$3001,0),"")</f>
        <v/>
      </c>
      <c r="X130">
        <f>IF($W130="","",D130&amp;"|"&amp;COUNTIF($D$2:$D130,D130))</f>
        <v/>
      </c>
    </row>
    <row r="131">
      <c r="A131" s="15" t="n"/>
      <c r="B131">
        <f>IF($W131="","",INDEX('Per Line'!$B$2:$B$3001,$W131)&amp;"")</f>
        <v/>
      </c>
      <c r="C131">
        <f>IF($W131="","",INDEX('Per Line'!$C$2:$C$3001,$W131)&amp;"")</f>
        <v/>
      </c>
      <c r="D131">
        <f>IF($W131="","",IF(OR(TRIM(E131)="Orient Insurance Company",TRIM(E131)="Allianz"),TRIM(E131),TRIM(F131)))</f>
        <v/>
      </c>
      <c r="E131">
        <f>IF($W131="","",INDEX('Per Line'!$E$2:$E$3001,$W131)&amp;"")</f>
        <v/>
      </c>
      <c r="F131">
        <f>IF($W131="","",INDEX('Per Line'!$D$2:$D$3001,$W131)&amp;"")</f>
        <v/>
      </c>
      <c r="G131">
        <f>IF($W131="","",INDEX('Per Line'!$F$2:$F$3001,$W131)&amp;"")</f>
        <v/>
      </c>
      <c r="H131">
        <f>IF($W131="","",INDEX('Per Line'!$G$2:$G$3001,$W131)&amp;"")</f>
        <v/>
      </c>
      <c r="I131">
        <f>IF($W131="","",INDEX('Per Line'!$H$2:$H$3001,$W131)&amp;"")</f>
        <v/>
      </c>
      <c r="J131">
        <f>IF($W131="","",INDEX('Per Line'!$I$2:$I$3001,$W131))</f>
        <v/>
      </c>
      <c r="K131" s="7">
        <f>IF($W131="","",J131*T131/100)</f>
        <v/>
      </c>
      <c r="L131" s="14">
        <f>IF($W131="","",INDEX('Per Line'!$V$2:$V$3001,$W131))</f>
        <v/>
      </c>
      <c r="M131">
        <f>IF($W131="","",IF(ISNUMBER(SEARCH("3&amp;12",SUBSTITUTE(F131," ",""))),Settings!$G$7,Settings!$C$7))</f>
        <v/>
      </c>
      <c r="N131" s="7">
        <f>IF($W131="","",SUMIFS('Per Line'!$O$2:$O$3001,'Per Line'!$B$2:$B$3001,$B131,'Per Line'!$AB$2:$AB$3001,0))</f>
        <v/>
      </c>
      <c r="O131" s="7">
        <f>IF($W131="","",N131*M131)</f>
        <v/>
      </c>
      <c r="P131">
        <f>IF($W131="","",IF(ISNUMBER(SEARCH("3&amp;12",SUBSTITUTE(F131," ",""))),Settings!$G$6,Settings!$C$6))</f>
        <v/>
      </c>
      <c r="Q131" s="7">
        <f>IF($W131="","",SUMIFS('Per Line'!$O$2:$O$3001,'Per Line'!$B$2:$B$3001,$B131,'Per Line'!$AB$2:$AB$3001,1))</f>
        <v/>
      </c>
      <c r="R131" s="7">
        <f>IF($W131="","",Q131*P131)</f>
        <v/>
      </c>
      <c r="S131" s="7">
        <f>IF($W131="","",R131+O131)</f>
        <v/>
      </c>
      <c r="T131" s="7">
        <f>IF($W131="","",V131-S131)</f>
        <v/>
      </c>
      <c r="U131" s="7">
        <f>IF($W131="","",V131-S131-K131)</f>
        <v/>
      </c>
      <c r="V131" s="7">
        <f>IF($W131="","",N131+Q131)</f>
        <v/>
      </c>
      <c r="W131" s="16">
        <f>IF(ROWS($W$2:$W131)&lt;=MAX('Per Line'!$AA$2:$AA$3001),MATCH(ROWS($W$2:$W131),'Per Line'!$AA$2:$AA$3001,0),"")</f>
        <v/>
      </c>
      <c r="X131">
        <f>IF($W131="","",D131&amp;"|"&amp;COUNTIF($D$2:$D131,D131))</f>
        <v/>
      </c>
    </row>
    <row r="132">
      <c r="A132" s="15" t="n"/>
      <c r="B132">
        <f>IF($W132="","",INDEX('Per Line'!$B$2:$B$3001,$W132)&amp;"")</f>
        <v/>
      </c>
      <c r="C132">
        <f>IF($W132="","",INDEX('Per Line'!$C$2:$C$3001,$W132)&amp;"")</f>
        <v/>
      </c>
      <c r="D132">
        <f>IF($W132="","",IF(OR(TRIM(E132)="Orient Insurance Company",TRIM(E132)="Allianz"),TRIM(E132),TRIM(F132)))</f>
        <v/>
      </c>
      <c r="E132">
        <f>IF($W132="","",INDEX('Per Line'!$E$2:$E$3001,$W132)&amp;"")</f>
        <v/>
      </c>
      <c r="F132">
        <f>IF($W132="","",INDEX('Per Line'!$D$2:$D$3001,$W132)&amp;"")</f>
        <v/>
      </c>
      <c r="G132">
        <f>IF($W132="","",INDEX('Per Line'!$F$2:$F$3001,$W132)&amp;"")</f>
        <v/>
      </c>
      <c r="H132">
        <f>IF($W132="","",INDEX('Per Line'!$G$2:$G$3001,$W132)&amp;"")</f>
        <v/>
      </c>
      <c r="I132">
        <f>IF($W132="","",INDEX('Per Line'!$H$2:$H$3001,$W132)&amp;"")</f>
        <v/>
      </c>
      <c r="J132">
        <f>IF($W132="","",INDEX('Per Line'!$I$2:$I$3001,$W132))</f>
        <v/>
      </c>
      <c r="K132" s="7">
        <f>IF($W132="","",J132*T132/100)</f>
        <v/>
      </c>
      <c r="L132" s="14">
        <f>IF($W132="","",INDEX('Per Line'!$V$2:$V$3001,$W132))</f>
        <v/>
      </c>
      <c r="M132">
        <f>IF($W132="","",IF(ISNUMBER(SEARCH("3&amp;12",SUBSTITUTE(F132," ",""))),Settings!$G$7,Settings!$C$7))</f>
        <v/>
      </c>
      <c r="N132" s="7">
        <f>IF($W132="","",SUMIFS('Per Line'!$O$2:$O$3001,'Per Line'!$B$2:$B$3001,$B132,'Per Line'!$AB$2:$AB$3001,0))</f>
        <v/>
      </c>
      <c r="O132" s="7">
        <f>IF($W132="","",N132*M132)</f>
        <v/>
      </c>
      <c r="P132">
        <f>IF($W132="","",IF(ISNUMBER(SEARCH("3&amp;12",SUBSTITUTE(F132," ",""))),Settings!$G$6,Settings!$C$6))</f>
        <v/>
      </c>
      <c r="Q132" s="7">
        <f>IF($W132="","",SUMIFS('Per Line'!$O$2:$O$3001,'Per Line'!$B$2:$B$3001,$B132,'Per Line'!$AB$2:$AB$3001,1))</f>
        <v/>
      </c>
      <c r="R132" s="7">
        <f>IF($W132="","",Q132*P132)</f>
        <v/>
      </c>
      <c r="S132" s="7">
        <f>IF($W132="","",R132+O132)</f>
        <v/>
      </c>
      <c r="T132" s="7">
        <f>IF($W132="","",V132-S132)</f>
        <v/>
      </c>
      <c r="U132" s="7">
        <f>IF($W132="","",V132-S132-K132)</f>
        <v/>
      </c>
      <c r="V132" s="7">
        <f>IF($W132="","",N132+Q132)</f>
        <v/>
      </c>
      <c r="W132" s="16">
        <f>IF(ROWS($W$2:$W132)&lt;=MAX('Per Line'!$AA$2:$AA$3001),MATCH(ROWS($W$2:$W132),'Per Line'!$AA$2:$AA$3001,0),"")</f>
        <v/>
      </c>
      <c r="X132">
        <f>IF($W132="","",D132&amp;"|"&amp;COUNTIF($D$2:$D132,D132))</f>
        <v/>
      </c>
    </row>
    <row r="133">
      <c r="A133" s="15" t="n"/>
      <c r="B133">
        <f>IF($W133="","",INDEX('Per Line'!$B$2:$B$3001,$W133)&amp;"")</f>
        <v/>
      </c>
      <c r="C133">
        <f>IF($W133="","",INDEX('Per Line'!$C$2:$C$3001,$W133)&amp;"")</f>
        <v/>
      </c>
      <c r="D133">
        <f>IF($W133="","",IF(OR(TRIM(E133)="Orient Insurance Company",TRIM(E133)="Allianz"),TRIM(E133),TRIM(F133)))</f>
        <v/>
      </c>
      <c r="E133">
        <f>IF($W133="","",INDEX('Per Line'!$E$2:$E$3001,$W133)&amp;"")</f>
        <v/>
      </c>
      <c r="F133">
        <f>IF($W133="","",INDEX('Per Line'!$D$2:$D$3001,$W133)&amp;"")</f>
        <v/>
      </c>
      <c r="G133">
        <f>IF($W133="","",INDEX('Per Line'!$F$2:$F$3001,$W133)&amp;"")</f>
        <v/>
      </c>
      <c r="H133">
        <f>IF($W133="","",INDEX('Per Line'!$G$2:$G$3001,$W133)&amp;"")</f>
        <v/>
      </c>
      <c r="I133">
        <f>IF($W133="","",INDEX('Per Line'!$H$2:$H$3001,$W133)&amp;"")</f>
        <v/>
      </c>
      <c r="J133">
        <f>IF($W133="","",INDEX('Per Line'!$I$2:$I$3001,$W133))</f>
        <v/>
      </c>
      <c r="K133" s="7">
        <f>IF($W133="","",J133*T133/100)</f>
        <v/>
      </c>
      <c r="L133" s="14">
        <f>IF($W133="","",INDEX('Per Line'!$V$2:$V$3001,$W133))</f>
        <v/>
      </c>
      <c r="M133">
        <f>IF($W133="","",IF(ISNUMBER(SEARCH("3&amp;12",SUBSTITUTE(F133," ",""))),Settings!$G$7,Settings!$C$7))</f>
        <v/>
      </c>
      <c r="N133" s="7">
        <f>IF($W133="","",SUMIFS('Per Line'!$O$2:$O$3001,'Per Line'!$B$2:$B$3001,$B133,'Per Line'!$AB$2:$AB$3001,0))</f>
        <v/>
      </c>
      <c r="O133" s="7">
        <f>IF($W133="","",N133*M133)</f>
        <v/>
      </c>
      <c r="P133">
        <f>IF($W133="","",IF(ISNUMBER(SEARCH("3&amp;12",SUBSTITUTE(F133," ",""))),Settings!$G$6,Settings!$C$6))</f>
        <v/>
      </c>
      <c r="Q133" s="7">
        <f>IF($W133="","",SUMIFS('Per Line'!$O$2:$O$3001,'Per Line'!$B$2:$B$3001,$B133,'Per Line'!$AB$2:$AB$3001,1))</f>
        <v/>
      </c>
      <c r="R133" s="7">
        <f>IF($W133="","",Q133*P133)</f>
        <v/>
      </c>
      <c r="S133" s="7">
        <f>IF($W133="","",R133+O133)</f>
        <v/>
      </c>
      <c r="T133" s="7">
        <f>IF($W133="","",V133-S133)</f>
        <v/>
      </c>
      <c r="U133" s="7">
        <f>IF($W133="","",V133-S133-K133)</f>
        <v/>
      </c>
      <c r="V133" s="7">
        <f>IF($W133="","",N133+Q133)</f>
        <v/>
      </c>
      <c r="W133" s="16">
        <f>IF(ROWS($W$2:$W133)&lt;=MAX('Per Line'!$AA$2:$AA$3001),MATCH(ROWS($W$2:$W133),'Per Line'!$AA$2:$AA$3001,0),"")</f>
        <v/>
      </c>
      <c r="X133">
        <f>IF($W133="","",D133&amp;"|"&amp;COUNTIF($D$2:$D133,D133))</f>
        <v/>
      </c>
    </row>
    <row r="134">
      <c r="A134" s="15" t="n"/>
      <c r="B134">
        <f>IF($W134="","",INDEX('Per Line'!$B$2:$B$3001,$W134)&amp;"")</f>
        <v/>
      </c>
      <c r="C134">
        <f>IF($W134="","",INDEX('Per Line'!$C$2:$C$3001,$W134)&amp;"")</f>
        <v/>
      </c>
      <c r="D134">
        <f>IF($W134="","",IF(OR(TRIM(E134)="Orient Insurance Company",TRIM(E134)="Allianz"),TRIM(E134),TRIM(F134)))</f>
        <v/>
      </c>
      <c r="E134">
        <f>IF($W134="","",INDEX('Per Line'!$E$2:$E$3001,$W134)&amp;"")</f>
        <v/>
      </c>
      <c r="F134">
        <f>IF($W134="","",INDEX('Per Line'!$D$2:$D$3001,$W134)&amp;"")</f>
        <v/>
      </c>
      <c r="G134">
        <f>IF($W134="","",INDEX('Per Line'!$F$2:$F$3001,$W134)&amp;"")</f>
        <v/>
      </c>
      <c r="H134">
        <f>IF($W134="","",INDEX('Per Line'!$G$2:$G$3001,$W134)&amp;"")</f>
        <v/>
      </c>
      <c r="I134">
        <f>IF($W134="","",INDEX('Per Line'!$H$2:$H$3001,$W134)&amp;"")</f>
        <v/>
      </c>
      <c r="J134">
        <f>IF($W134="","",INDEX('Per Line'!$I$2:$I$3001,$W134))</f>
        <v/>
      </c>
      <c r="K134" s="7">
        <f>IF($W134="","",J134*T134/100)</f>
        <v/>
      </c>
      <c r="L134" s="14">
        <f>IF($W134="","",INDEX('Per Line'!$V$2:$V$3001,$W134))</f>
        <v/>
      </c>
      <c r="M134">
        <f>IF($W134="","",IF(ISNUMBER(SEARCH("3&amp;12",SUBSTITUTE(F134," ",""))),Settings!$G$7,Settings!$C$7))</f>
        <v/>
      </c>
      <c r="N134" s="7">
        <f>IF($W134="","",SUMIFS('Per Line'!$O$2:$O$3001,'Per Line'!$B$2:$B$3001,$B134,'Per Line'!$AB$2:$AB$3001,0))</f>
        <v/>
      </c>
      <c r="O134" s="7">
        <f>IF($W134="","",N134*M134)</f>
        <v/>
      </c>
      <c r="P134">
        <f>IF($W134="","",IF(ISNUMBER(SEARCH("3&amp;12",SUBSTITUTE(F134," ",""))),Settings!$G$6,Settings!$C$6))</f>
        <v/>
      </c>
      <c r="Q134" s="7">
        <f>IF($W134="","",SUMIFS('Per Line'!$O$2:$O$3001,'Per Line'!$B$2:$B$3001,$B134,'Per Line'!$AB$2:$AB$3001,1))</f>
        <v/>
      </c>
      <c r="R134" s="7">
        <f>IF($W134="","",Q134*P134)</f>
        <v/>
      </c>
      <c r="S134" s="7">
        <f>IF($W134="","",R134+O134)</f>
        <v/>
      </c>
      <c r="T134" s="7">
        <f>IF($W134="","",V134-S134)</f>
        <v/>
      </c>
      <c r="U134" s="7">
        <f>IF($W134="","",V134-S134-K134)</f>
        <v/>
      </c>
      <c r="V134" s="7">
        <f>IF($W134="","",N134+Q134)</f>
        <v/>
      </c>
      <c r="W134" s="16">
        <f>IF(ROWS($W$2:$W134)&lt;=MAX('Per Line'!$AA$2:$AA$3001),MATCH(ROWS($W$2:$W134),'Per Line'!$AA$2:$AA$3001,0),"")</f>
        <v/>
      </c>
      <c r="X134">
        <f>IF($W134="","",D134&amp;"|"&amp;COUNTIF($D$2:$D134,D134))</f>
        <v/>
      </c>
    </row>
    <row r="135">
      <c r="A135" s="15" t="n"/>
      <c r="B135">
        <f>IF($W135="","",INDEX('Per Line'!$B$2:$B$3001,$W135)&amp;"")</f>
        <v/>
      </c>
      <c r="C135">
        <f>IF($W135="","",INDEX('Per Line'!$C$2:$C$3001,$W135)&amp;"")</f>
        <v/>
      </c>
      <c r="D135">
        <f>IF($W135="","",IF(OR(TRIM(E135)="Orient Insurance Company",TRIM(E135)="Allianz"),TRIM(E135),TRIM(F135)))</f>
        <v/>
      </c>
      <c r="E135">
        <f>IF($W135="","",INDEX('Per Line'!$E$2:$E$3001,$W135)&amp;"")</f>
        <v/>
      </c>
      <c r="F135">
        <f>IF($W135="","",INDEX('Per Line'!$D$2:$D$3001,$W135)&amp;"")</f>
        <v/>
      </c>
      <c r="G135">
        <f>IF($W135="","",INDEX('Per Line'!$F$2:$F$3001,$W135)&amp;"")</f>
        <v/>
      </c>
      <c r="H135">
        <f>IF($W135="","",INDEX('Per Line'!$G$2:$G$3001,$W135)&amp;"")</f>
        <v/>
      </c>
      <c r="I135">
        <f>IF($W135="","",INDEX('Per Line'!$H$2:$H$3001,$W135)&amp;"")</f>
        <v/>
      </c>
      <c r="J135">
        <f>IF($W135="","",INDEX('Per Line'!$I$2:$I$3001,$W135))</f>
        <v/>
      </c>
      <c r="K135" s="7">
        <f>IF($W135="","",J135*T135/100)</f>
        <v/>
      </c>
      <c r="L135" s="14">
        <f>IF($W135="","",INDEX('Per Line'!$V$2:$V$3001,$W135))</f>
        <v/>
      </c>
      <c r="M135">
        <f>IF($W135="","",IF(ISNUMBER(SEARCH("3&amp;12",SUBSTITUTE(F135," ",""))),Settings!$G$7,Settings!$C$7))</f>
        <v/>
      </c>
      <c r="N135" s="7">
        <f>IF($W135="","",SUMIFS('Per Line'!$O$2:$O$3001,'Per Line'!$B$2:$B$3001,$B135,'Per Line'!$AB$2:$AB$3001,0))</f>
        <v/>
      </c>
      <c r="O135" s="7">
        <f>IF($W135="","",N135*M135)</f>
        <v/>
      </c>
      <c r="P135">
        <f>IF($W135="","",IF(ISNUMBER(SEARCH("3&amp;12",SUBSTITUTE(F135," ",""))),Settings!$G$6,Settings!$C$6))</f>
        <v/>
      </c>
      <c r="Q135" s="7">
        <f>IF($W135="","",SUMIFS('Per Line'!$O$2:$O$3001,'Per Line'!$B$2:$B$3001,$B135,'Per Line'!$AB$2:$AB$3001,1))</f>
        <v/>
      </c>
      <c r="R135" s="7">
        <f>IF($W135="","",Q135*P135)</f>
        <v/>
      </c>
      <c r="S135" s="7">
        <f>IF($W135="","",R135+O135)</f>
        <v/>
      </c>
      <c r="T135" s="7">
        <f>IF($W135="","",V135-S135)</f>
        <v/>
      </c>
      <c r="U135" s="7">
        <f>IF($W135="","",V135-S135-K135)</f>
        <v/>
      </c>
      <c r="V135" s="7">
        <f>IF($W135="","",N135+Q135)</f>
        <v/>
      </c>
      <c r="W135" s="16">
        <f>IF(ROWS($W$2:$W135)&lt;=MAX('Per Line'!$AA$2:$AA$3001),MATCH(ROWS($W$2:$W135),'Per Line'!$AA$2:$AA$3001,0),"")</f>
        <v/>
      </c>
      <c r="X135">
        <f>IF($W135="","",D135&amp;"|"&amp;COUNTIF($D$2:$D135,D135))</f>
        <v/>
      </c>
    </row>
    <row r="136">
      <c r="A136" s="15" t="n"/>
      <c r="B136">
        <f>IF($W136="","",INDEX('Per Line'!$B$2:$B$3001,$W136)&amp;"")</f>
        <v/>
      </c>
      <c r="C136">
        <f>IF($W136="","",INDEX('Per Line'!$C$2:$C$3001,$W136)&amp;"")</f>
        <v/>
      </c>
      <c r="D136">
        <f>IF($W136="","",IF(OR(TRIM(E136)="Orient Insurance Company",TRIM(E136)="Allianz"),TRIM(E136),TRIM(F136)))</f>
        <v/>
      </c>
      <c r="E136">
        <f>IF($W136="","",INDEX('Per Line'!$E$2:$E$3001,$W136)&amp;"")</f>
        <v/>
      </c>
      <c r="F136">
        <f>IF($W136="","",INDEX('Per Line'!$D$2:$D$3001,$W136)&amp;"")</f>
        <v/>
      </c>
      <c r="G136">
        <f>IF($W136="","",INDEX('Per Line'!$F$2:$F$3001,$W136)&amp;"")</f>
        <v/>
      </c>
      <c r="H136">
        <f>IF($W136="","",INDEX('Per Line'!$G$2:$G$3001,$W136)&amp;"")</f>
        <v/>
      </c>
      <c r="I136">
        <f>IF($W136="","",INDEX('Per Line'!$H$2:$H$3001,$W136)&amp;"")</f>
        <v/>
      </c>
      <c r="J136">
        <f>IF($W136="","",INDEX('Per Line'!$I$2:$I$3001,$W136))</f>
        <v/>
      </c>
      <c r="K136" s="7">
        <f>IF($W136="","",J136*T136/100)</f>
        <v/>
      </c>
      <c r="L136" s="14">
        <f>IF($W136="","",INDEX('Per Line'!$V$2:$V$3001,$W136))</f>
        <v/>
      </c>
      <c r="M136">
        <f>IF($W136="","",IF(ISNUMBER(SEARCH("3&amp;12",SUBSTITUTE(F136," ",""))),Settings!$G$7,Settings!$C$7))</f>
        <v/>
      </c>
      <c r="N136" s="7">
        <f>IF($W136="","",SUMIFS('Per Line'!$O$2:$O$3001,'Per Line'!$B$2:$B$3001,$B136,'Per Line'!$AB$2:$AB$3001,0))</f>
        <v/>
      </c>
      <c r="O136" s="7">
        <f>IF($W136="","",N136*M136)</f>
        <v/>
      </c>
      <c r="P136">
        <f>IF($W136="","",IF(ISNUMBER(SEARCH("3&amp;12",SUBSTITUTE(F136," ",""))),Settings!$G$6,Settings!$C$6))</f>
        <v/>
      </c>
      <c r="Q136" s="7">
        <f>IF($W136="","",SUMIFS('Per Line'!$O$2:$O$3001,'Per Line'!$B$2:$B$3001,$B136,'Per Line'!$AB$2:$AB$3001,1))</f>
        <v/>
      </c>
      <c r="R136" s="7">
        <f>IF($W136="","",Q136*P136)</f>
        <v/>
      </c>
      <c r="S136" s="7">
        <f>IF($W136="","",R136+O136)</f>
        <v/>
      </c>
      <c r="T136" s="7">
        <f>IF($W136="","",V136-S136)</f>
        <v/>
      </c>
      <c r="U136" s="7">
        <f>IF($W136="","",V136-S136-K136)</f>
        <v/>
      </c>
      <c r="V136" s="7">
        <f>IF($W136="","",N136+Q136)</f>
        <v/>
      </c>
      <c r="W136" s="16">
        <f>IF(ROWS($W$2:$W136)&lt;=MAX('Per Line'!$AA$2:$AA$3001),MATCH(ROWS($W$2:$W136),'Per Line'!$AA$2:$AA$3001,0),"")</f>
        <v/>
      </c>
      <c r="X136">
        <f>IF($W136="","",D136&amp;"|"&amp;COUNTIF($D$2:$D136,D136))</f>
        <v/>
      </c>
    </row>
    <row r="137">
      <c r="A137" s="15" t="n"/>
      <c r="B137">
        <f>IF($W137="","",INDEX('Per Line'!$B$2:$B$3001,$W137)&amp;"")</f>
        <v/>
      </c>
      <c r="C137">
        <f>IF($W137="","",INDEX('Per Line'!$C$2:$C$3001,$W137)&amp;"")</f>
        <v/>
      </c>
      <c r="D137">
        <f>IF($W137="","",IF(OR(TRIM(E137)="Orient Insurance Company",TRIM(E137)="Allianz"),TRIM(E137),TRIM(F137)))</f>
        <v/>
      </c>
      <c r="E137">
        <f>IF($W137="","",INDEX('Per Line'!$E$2:$E$3001,$W137)&amp;"")</f>
        <v/>
      </c>
      <c r="F137">
        <f>IF($W137="","",INDEX('Per Line'!$D$2:$D$3001,$W137)&amp;"")</f>
        <v/>
      </c>
      <c r="G137">
        <f>IF($W137="","",INDEX('Per Line'!$F$2:$F$3001,$W137)&amp;"")</f>
        <v/>
      </c>
      <c r="H137">
        <f>IF($W137="","",INDEX('Per Line'!$G$2:$G$3001,$W137)&amp;"")</f>
        <v/>
      </c>
      <c r="I137">
        <f>IF($W137="","",INDEX('Per Line'!$H$2:$H$3001,$W137)&amp;"")</f>
        <v/>
      </c>
      <c r="J137">
        <f>IF($W137="","",INDEX('Per Line'!$I$2:$I$3001,$W137))</f>
        <v/>
      </c>
      <c r="K137" s="7">
        <f>IF($W137="","",J137*T137/100)</f>
        <v/>
      </c>
      <c r="L137" s="14">
        <f>IF($W137="","",INDEX('Per Line'!$V$2:$V$3001,$W137))</f>
        <v/>
      </c>
      <c r="M137">
        <f>IF($W137="","",IF(ISNUMBER(SEARCH("3&amp;12",SUBSTITUTE(F137," ",""))),Settings!$G$7,Settings!$C$7))</f>
        <v/>
      </c>
      <c r="N137" s="7">
        <f>IF($W137="","",SUMIFS('Per Line'!$O$2:$O$3001,'Per Line'!$B$2:$B$3001,$B137,'Per Line'!$AB$2:$AB$3001,0))</f>
        <v/>
      </c>
      <c r="O137" s="7">
        <f>IF($W137="","",N137*M137)</f>
        <v/>
      </c>
      <c r="P137">
        <f>IF($W137="","",IF(ISNUMBER(SEARCH("3&amp;12",SUBSTITUTE(F137," ",""))),Settings!$G$6,Settings!$C$6))</f>
        <v/>
      </c>
      <c r="Q137" s="7">
        <f>IF($W137="","",SUMIFS('Per Line'!$O$2:$O$3001,'Per Line'!$B$2:$B$3001,$B137,'Per Line'!$AB$2:$AB$3001,1))</f>
        <v/>
      </c>
      <c r="R137" s="7">
        <f>IF($W137="","",Q137*P137)</f>
        <v/>
      </c>
      <c r="S137" s="7">
        <f>IF($W137="","",R137+O137)</f>
        <v/>
      </c>
      <c r="T137" s="7">
        <f>IF($W137="","",V137-S137)</f>
        <v/>
      </c>
      <c r="U137" s="7">
        <f>IF($W137="","",V137-S137-K137)</f>
        <v/>
      </c>
      <c r="V137" s="7">
        <f>IF($W137="","",N137+Q137)</f>
        <v/>
      </c>
      <c r="W137" s="16">
        <f>IF(ROWS($W$2:$W137)&lt;=MAX('Per Line'!$AA$2:$AA$3001),MATCH(ROWS($W$2:$W137),'Per Line'!$AA$2:$AA$3001,0),"")</f>
        <v/>
      </c>
      <c r="X137">
        <f>IF($W137="","",D137&amp;"|"&amp;COUNTIF($D$2:$D137,D137))</f>
        <v/>
      </c>
    </row>
    <row r="138">
      <c r="A138" s="15" t="n"/>
      <c r="B138">
        <f>IF($W138="","",INDEX('Per Line'!$B$2:$B$3001,$W138)&amp;"")</f>
        <v/>
      </c>
      <c r="C138">
        <f>IF($W138="","",INDEX('Per Line'!$C$2:$C$3001,$W138)&amp;"")</f>
        <v/>
      </c>
      <c r="D138">
        <f>IF($W138="","",IF(OR(TRIM(E138)="Orient Insurance Company",TRIM(E138)="Allianz"),TRIM(E138),TRIM(F138)))</f>
        <v/>
      </c>
      <c r="E138">
        <f>IF($W138="","",INDEX('Per Line'!$E$2:$E$3001,$W138)&amp;"")</f>
        <v/>
      </c>
      <c r="F138">
        <f>IF($W138="","",INDEX('Per Line'!$D$2:$D$3001,$W138)&amp;"")</f>
        <v/>
      </c>
      <c r="G138">
        <f>IF($W138="","",INDEX('Per Line'!$F$2:$F$3001,$W138)&amp;"")</f>
        <v/>
      </c>
      <c r="H138">
        <f>IF($W138="","",INDEX('Per Line'!$G$2:$G$3001,$W138)&amp;"")</f>
        <v/>
      </c>
      <c r="I138">
        <f>IF($W138="","",INDEX('Per Line'!$H$2:$H$3001,$W138)&amp;"")</f>
        <v/>
      </c>
      <c r="J138">
        <f>IF($W138="","",INDEX('Per Line'!$I$2:$I$3001,$W138))</f>
        <v/>
      </c>
      <c r="K138" s="7">
        <f>IF($W138="","",J138*T138/100)</f>
        <v/>
      </c>
      <c r="L138" s="14">
        <f>IF($W138="","",INDEX('Per Line'!$V$2:$V$3001,$W138))</f>
        <v/>
      </c>
      <c r="M138">
        <f>IF($W138="","",IF(ISNUMBER(SEARCH("3&amp;12",SUBSTITUTE(F138," ",""))),Settings!$G$7,Settings!$C$7))</f>
        <v/>
      </c>
      <c r="N138" s="7">
        <f>IF($W138="","",SUMIFS('Per Line'!$O$2:$O$3001,'Per Line'!$B$2:$B$3001,$B138,'Per Line'!$AB$2:$AB$3001,0))</f>
        <v/>
      </c>
      <c r="O138" s="7">
        <f>IF($W138="","",N138*M138)</f>
        <v/>
      </c>
      <c r="P138">
        <f>IF($W138="","",IF(ISNUMBER(SEARCH("3&amp;12",SUBSTITUTE(F138," ",""))),Settings!$G$6,Settings!$C$6))</f>
        <v/>
      </c>
      <c r="Q138" s="7">
        <f>IF($W138="","",SUMIFS('Per Line'!$O$2:$O$3001,'Per Line'!$B$2:$B$3001,$B138,'Per Line'!$AB$2:$AB$3001,1))</f>
        <v/>
      </c>
      <c r="R138" s="7">
        <f>IF($W138="","",Q138*P138)</f>
        <v/>
      </c>
      <c r="S138" s="7">
        <f>IF($W138="","",R138+O138)</f>
        <v/>
      </c>
      <c r="T138" s="7">
        <f>IF($W138="","",V138-S138)</f>
        <v/>
      </c>
      <c r="U138" s="7">
        <f>IF($W138="","",V138-S138-K138)</f>
        <v/>
      </c>
      <c r="V138" s="7">
        <f>IF($W138="","",N138+Q138)</f>
        <v/>
      </c>
      <c r="W138" s="16">
        <f>IF(ROWS($W$2:$W138)&lt;=MAX('Per Line'!$AA$2:$AA$3001),MATCH(ROWS($W$2:$W138),'Per Line'!$AA$2:$AA$3001,0),"")</f>
        <v/>
      </c>
      <c r="X138">
        <f>IF($W138="","",D138&amp;"|"&amp;COUNTIF($D$2:$D138,D138))</f>
        <v/>
      </c>
    </row>
    <row r="139">
      <c r="A139" s="15" t="n"/>
      <c r="B139">
        <f>IF($W139="","",INDEX('Per Line'!$B$2:$B$3001,$W139)&amp;"")</f>
        <v/>
      </c>
      <c r="C139">
        <f>IF($W139="","",INDEX('Per Line'!$C$2:$C$3001,$W139)&amp;"")</f>
        <v/>
      </c>
      <c r="D139">
        <f>IF($W139="","",IF(OR(TRIM(E139)="Orient Insurance Company",TRIM(E139)="Allianz"),TRIM(E139),TRIM(F139)))</f>
        <v/>
      </c>
      <c r="E139">
        <f>IF($W139="","",INDEX('Per Line'!$E$2:$E$3001,$W139)&amp;"")</f>
        <v/>
      </c>
      <c r="F139">
        <f>IF($W139="","",INDEX('Per Line'!$D$2:$D$3001,$W139)&amp;"")</f>
        <v/>
      </c>
      <c r="G139">
        <f>IF($W139="","",INDEX('Per Line'!$F$2:$F$3001,$W139)&amp;"")</f>
        <v/>
      </c>
      <c r="H139">
        <f>IF($W139="","",INDEX('Per Line'!$G$2:$G$3001,$W139)&amp;"")</f>
        <v/>
      </c>
      <c r="I139">
        <f>IF($W139="","",INDEX('Per Line'!$H$2:$H$3001,$W139)&amp;"")</f>
        <v/>
      </c>
      <c r="J139">
        <f>IF($W139="","",INDEX('Per Line'!$I$2:$I$3001,$W139))</f>
        <v/>
      </c>
      <c r="K139" s="7">
        <f>IF($W139="","",J139*T139/100)</f>
        <v/>
      </c>
      <c r="L139" s="14">
        <f>IF($W139="","",INDEX('Per Line'!$V$2:$V$3001,$W139))</f>
        <v/>
      </c>
      <c r="M139">
        <f>IF($W139="","",IF(ISNUMBER(SEARCH("3&amp;12",SUBSTITUTE(F139," ",""))),Settings!$G$7,Settings!$C$7))</f>
        <v/>
      </c>
      <c r="N139" s="7">
        <f>IF($W139="","",SUMIFS('Per Line'!$O$2:$O$3001,'Per Line'!$B$2:$B$3001,$B139,'Per Line'!$AB$2:$AB$3001,0))</f>
        <v/>
      </c>
      <c r="O139" s="7">
        <f>IF($W139="","",N139*M139)</f>
        <v/>
      </c>
      <c r="P139">
        <f>IF($W139="","",IF(ISNUMBER(SEARCH("3&amp;12",SUBSTITUTE(F139," ",""))),Settings!$G$6,Settings!$C$6))</f>
        <v/>
      </c>
      <c r="Q139" s="7">
        <f>IF($W139="","",SUMIFS('Per Line'!$O$2:$O$3001,'Per Line'!$B$2:$B$3001,$B139,'Per Line'!$AB$2:$AB$3001,1))</f>
        <v/>
      </c>
      <c r="R139" s="7">
        <f>IF($W139="","",Q139*P139)</f>
        <v/>
      </c>
      <c r="S139" s="7">
        <f>IF($W139="","",R139+O139)</f>
        <v/>
      </c>
      <c r="T139" s="7">
        <f>IF($W139="","",V139-S139)</f>
        <v/>
      </c>
      <c r="U139" s="7">
        <f>IF($W139="","",V139-S139-K139)</f>
        <v/>
      </c>
      <c r="V139" s="7">
        <f>IF($W139="","",N139+Q139)</f>
        <v/>
      </c>
      <c r="W139" s="16">
        <f>IF(ROWS($W$2:$W139)&lt;=MAX('Per Line'!$AA$2:$AA$3001),MATCH(ROWS($W$2:$W139),'Per Line'!$AA$2:$AA$3001,0),"")</f>
        <v/>
      </c>
      <c r="X139">
        <f>IF($W139="","",D139&amp;"|"&amp;COUNTIF($D$2:$D139,D139))</f>
        <v/>
      </c>
    </row>
    <row r="140">
      <c r="A140" s="15" t="n"/>
      <c r="B140">
        <f>IF($W140="","",INDEX('Per Line'!$B$2:$B$3001,$W140)&amp;"")</f>
        <v/>
      </c>
      <c r="C140">
        <f>IF($W140="","",INDEX('Per Line'!$C$2:$C$3001,$W140)&amp;"")</f>
        <v/>
      </c>
      <c r="D140">
        <f>IF($W140="","",IF(OR(TRIM(E140)="Orient Insurance Company",TRIM(E140)="Allianz"),TRIM(E140),TRIM(F140)))</f>
        <v/>
      </c>
      <c r="E140">
        <f>IF($W140="","",INDEX('Per Line'!$E$2:$E$3001,$W140)&amp;"")</f>
        <v/>
      </c>
      <c r="F140">
        <f>IF($W140="","",INDEX('Per Line'!$D$2:$D$3001,$W140)&amp;"")</f>
        <v/>
      </c>
      <c r="G140">
        <f>IF($W140="","",INDEX('Per Line'!$F$2:$F$3001,$W140)&amp;"")</f>
        <v/>
      </c>
      <c r="H140">
        <f>IF($W140="","",INDEX('Per Line'!$G$2:$G$3001,$W140)&amp;"")</f>
        <v/>
      </c>
      <c r="I140">
        <f>IF($W140="","",INDEX('Per Line'!$H$2:$H$3001,$W140)&amp;"")</f>
        <v/>
      </c>
      <c r="J140">
        <f>IF($W140="","",INDEX('Per Line'!$I$2:$I$3001,$W140))</f>
        <v/>
      </c>
      <c r="K140" s="7">
        <f>IF($W140="","",J140*T140/100)</f>
        <v/>
      </c>
      <c r="L140" s="14">
        <f>IF($W140="","",INDEX('Per Line'!$V$2:$V$3001,$W140))</f>
        <v/>
      </c>
      <c r="M140">
        <f>IF($W140="","",IF(ISNUMBER(SEARCH("3&amp;12",SUBSTITUTE(F140," ",""))),Settings!$G$7,Settings!$C$7))</f>
        <v/>
      </c>
      <c r="N140" s="7">
        <f>IF($W140="","",SUMIFS('Per Line'!$O$2:$O$3001,'Per Line'!$B$2:$B$3001,$B140,'Per Line'!$AB$2:$AB$3001,0))</f>
        <v/>
      </c>
      <c r="O140" s="7">
        <f>IF($W140="","",N140*M140)</f>
        <v/>
      </c>
      <c r="P140">
        <f>IF($W140="","",IF(ISNUMBER(SEARCH("3&amp;12",SUBSTITUTE(F140," ",""))),Settings!$G$6,Settings!$C$6))</f>
        <v/>
      </c>
      <c r="Q140" s="7">
        <f>IF($W140="","",SUMIFS('Per Line'!$O$2:$O$3001,'Per Line'!$B$2:$B$3001,$B140,'Per Line'!$AB$2:$AB$3001,1))</f>
        <v/>
      </c>
      <c r="R140" s="7">
        <f>IF($W140="","",Q140*P140)</f>
        <v/>
      </c>
      <c r="S140" s="7">
        <f>IF($W140="","",R140+O140)</f>
        <v/>
      </c>
      <c r="T140" s="7">
        <f>IF($W140="","",V140-S140)</f>
        <v/>
      </c>
      <c r="U140" s="7">
        <f>IF($W140="","",V140-S140-K140)</f>
        <v/>
      </c>
      <c r="V140" s="7">
        <f>IF($W140="","",N140+Q140)</f>
        <v/>
      </c>
      <c r="W140" s="16">
        <f>IF(ROWS($W$2:$W140)&lt;=MAX('Per Line'!$AA$2:$AA$3001),MATCH(ROWS($W$2:$W140),'Per Line'!$AA$2:$AA$3001,0),"")</f>
        <v/>
      </c>
      <c r="X140">
        <f>IF($W140="","",D140&amp;"|"&amp;COUNTIF($D$2:$D140,D140))</f>
        <v/>
      </c>
    </row>
    <row r="141">
      <c r="A141" s="15" t="n"/>
      <c r="B141">
        <f>IF($W141="","",INDEX('Per Line'!$B$2:$B$3001,$W141)&amp;"")</f>
        <v/>
      </c>
      <c r="C141">
        <f>IF($W141="","",INDEX('Per Line'!$C$2:$C$3001,$W141)&amp;"")</f>
        <v/>
      </c>
      <c r="D141">
        <f>IF($W141="","",IF(OR(TRIM(E141)="Orient Insurance Company",TRIM(E141)="Allianz"),TRIM(E141),TRIM(F141)))</f>
        <v/>
      </c>
      <c r="E141">
        <f>IF($W141="","",INDEX('Per Line'!$E$2:$E$3001,$W141)&amp;"")</f>
        <v/>
      </c>
      <c r="F141">
        <f>IF($W141="","",INDEX('Per Line'!$D$2:$D$3001,$W141)&amp;"")</f>
        <v/>
      </c>
      <c r="G141">
        <f>IF($W141="","",INDEX('Per Line'!$F$2:$F$3001,$W141)&amp;"")</f>
        <v/>
      </c>
      <c r="H141">
        <f>IF($W141="","",INDEX('Per Line'!$G$2:$G$3001,$W141)&amp;"")</f>
        <v/>
      </c>
      <c r="I141">
        <f>IF($W141="","",INDEX('Per Line'!$H$2:$H$3001,$W141)&amp;"")</f>
        <v/>
      </c>
      <c r="J141">
        <f>IF($W141="","",INDEX('Per Line'!$I$2:$I$3001,$W141))</f>
        <v/>
      </c>
      <c r="K141" s="7">
        <f>IF($W141="","",J141*T141/100)</f>
        <v/>
      </c>
      <c r="L141" s="14">
        <f>IF($W141="","",INDEX('Per Line'!$V$2:$V$3001,$W141))</f>
        <v/>
      </c>
      <c r="M141">
        <f>IF($W141="","",IF(ISNUMBER(SEARCH("3&amp;12",SUBSTITUTE(F141," ",""))),Settings!$G$7,Settings!$C$7))</f>
        <v/>
      </c>
      <c r="N141" s="7">
        <f>IF($W141="","",SUMIFS('Per Line'!$O$2:$O$3001,'Per Line'!$B$2:$B$3001,$B141,'Per Line'!$AB$2:$AB$3001,0))</f>
        <v/>
      </c>
      <c r="O141" s="7">
        <f>IF($W141="","",N141*M141)</f>
        <v/>
      </c>
      <c r="P141">
        <f>IF($W141="","",IF(ISNUMBER(SEARCH("3&amp;12",SUBSTITUTE(F141," ",""))),Settings!$G$6,Settings!$C$6))</f>
        <v/>
      </c>
      <c r="Q141" s="7">
        <f>IF($W141="","",SUMIFS('Per Line'!$O$2:$O$3001,'Per Line'!$B$2:$B$3001,$B141,'Per Line'!$AB$2:$AB$3001,1))</f>
        <v/>
      </c>
      <c r="R141" s="7">
        <f>IF($W141="","",Q141*P141)</f>
        <v/>
      </c>
      <c r="S141" s="7">
        <f>IF($W141="","",R141+O141)</f>
        <v/>
      </c>
      <c r="T141" s="7">
        <f>IF($W141="","",V141-S141)</f>
        <v/>
      </c>
      <c r="U141" s="7">
        <f>IF($W141="","",V141-S141-K141)</f>
        <v/>
      </c>
      <c r="V141" s="7">
        <f>IF($W141="","",N141+Q141)</f>
        <v/>
      </c>
      <c r="W141" s="16">
        <f>IF(ROWS($W$2:$W141)&lt;=MAX('Per Line'!$AA$2:$AA$3001),MATCH(ROWS($W$2:$W141),'Per Line'!$AA$2:$AA$3001,0),"")</f>
        <v/>
      </c>
      <c r="X141">
        <f>IF($W141="","",D141&amp;"|"&amp;COUNTIF($D$2:$D141,D141))</f>
        <v/>
      </c>
    </row>
    <row r="142">
      <c r="A142" s="15" t="n"/>
      <c r="B142">
        <f>IF($W142="","",INDEX('Per Line'!$B$2:$B$3001,$W142)&amp;"")</f>
        <v/>
      </c>
      <c r="C142">
        <f>IF($W142="","",INDEX('Per Line'!$C$2:$C$3001,$W142)&amp;"")</f>
        <v/>
      </c>
      <c r="D142">
        <f>IF($W142="","",IF(OR(TRIM(E142)="Orient Insurance Company",TRIM(E142)="Allianz"),TRIM(E142),TRIM(F142)))</f>
        <v/>
      </c>
      <c r="E142">
        <f>IF($W142="","",INDEX('Per Line'!$E$2:$E$3001,$W142)&amp;"")</f>
        <v/>
      </c>
      <c r="F142">
        <f>IF($W142="","",INDEX('Per Line'!$D$2:$D$3001,$W142)&amp;"")</f>
        <v/>
      </c>
      <c r="G142">
        <f>IF($W142="","",INDEX('Per Line'!$F$2:$F$3001,$W142)&amp;"")</f>
        <v/>
      </c>
      <c r="H142">
        <f>IF($W142="","",INDEX('Per Line'!$G$2:$G$3001,$W142)&amp;"")</f>
        <v/>
      </c>
      <c r="I142">
        <f>IF($W142="","",INDEX('Per Line'!$H$2:$H$3001,$W142)&amp;"")</f>
        <v/>
      </c>
      <c r="J142">
        <f>IF($W142="","",INDEX('Per Line'!$I$2:$I$3001,$W142))</f>
        <v/>
      </c>
      <c r="K142" s="7">
        <f>IF($W142="","",J142*T142/100)</f>
        <v/>
      </c>
      <c r="L142" s="14">
        <f>IF($W142="","",INDEX('Per Line'!$V$2:$V$3001,$W142))</f>
        <v/>
      </c>
      <c r="M142">
        <f>IF($W142="","",IF(ISNUMBER(SEARCH("3&amp;12",SUBSTITUTE(F142," ",""))),Settings!$G$7,Settings!$C$7))</f>
        <v/>
      </c>
      <c r="N142" s="7">
        <f>IF($W142="","",SUMIFS('Per Line'!$O$2:$O$3001,'Per Line'!$B$2:$B$3001,$B142,'Per Line'!$AB$2:$AB$3001,0))</f>
        <v/>
      </c>
      <c r="O142" s="7">
        <f>IF($W142="","",N142*M142)</f>
        <v/>
      </c>
      <c r="P142">
        <f>IF($W142="","",IF(ISNUMBER(SEARCH("3&amp;12",SUBSTITUTE(F142," ",""))),Settings!$G$6,Settings!$C$6))</f>
        <v/>
      </c>
      <c r="Q142" s="7">
        <f>IF($W142="","",SUMIFS('Per Line'!$O$2:$O$3001,'Per Line'!$B$2:$B$3001,$B142,'Per Line'!$AB$2:$AB$3001,1))</f>
        <v/>
      </c>
      <c r="R142" s="7">
        <f>IF($W142="","",Q142*P142)</f>
        <v/>
      </c>
      <c r="S142" s="7">
        <f>IF($W142="","",R142+O142)</f>
        <v/>
      </c>
      <c r="T142" s="7">
        <f>IF($W142="","",V142-S142)</f>
        <v/>
      </c>
      <c r="U142" s="7">
        <f>IF($W142="","",V142-S142-K142)</f>
        <v/>
      </c>
      <c r="V142" s="7">
        <f>IF($W142="","",N142+Q142)</f>
        <v/>
      </c>
      <c r="W142" s="16">
        <f>IF(ROWS($W$2:$W142)&lt;=MAX('Per Line'!$AA$2:$AA$3001),MATCH(ROWS($W$2:$W142),'Per Line'!$AA$2:$AA$3001,0),"")</f>
        <v/>
      </c>
      <c r="X142">
        <f>IF($W142="","",D142&amp;"|"&amp;COUNTIF($D$2:$D142,D142))</f>
        <v/>
      </c>
    </row>
    <row r="143">
      <c r="A143" s="15" t="n"/>
      <c r="B143">
        <f>IF($W143="","",INDEX('Per Line'!$B$2:$B$3001,$W143)&amp;"")</f>
        <v/>
      </c>
      <c r="C143">
        <f>IF($W143="","",INDEX('Per Line'!$C$2:$C$3001,$W143)&amp;"")</f>
        <v/>
      </c>
      <c r="D143">
        <f>IF($W143="","",IF(OR(TRIM(E143)="Orient Insurance Company",TRIM(E143)="Allianz"),TRIM(E143),TRIM(F143)))</f>
        <v/>
      </c>
      <c r="E143">
        <f>IF($W143="","",INDEX('Per Line'!$E$2:$E$3001,$W143)&amp;"")</f>
        <v/>
      </c>
      <c r="F143">
        <f>IF($W143="","",INDEX('Per Line'!$D$2:$D$3001,$W143)&amp;"")</f>
        <v/>
      </c>
      <c r="G143">
        <f>IF($W143="","",INDEX('Per Line'!$F$2:$F$3001,$W143)&amp;"")</f>
        <v/>
      </c>
      <c r="H143">
        <f>IF($W143="","",INDEX('Per Line'!$G$2:$G$3001,$W143)&amp;"")</f>
        <v/>
      </c>
      <c r="I143">
        <f>IF($W143="","",INDEX('Per Line'!$H$2:$H$3001,$W143)&amp;"")</f>
        <v/>
      </c>
      <c r="J143">
        <f>IF($W143="","",INDEX('Per Line'!$I$2:$I$3001,$W143))</f>
        <v/>
      </c>
      <c r="K143" s="7">
        <f>IF($W143="","",J143*T143/100)</f>
        <v/>
      </c>
      <c r="L143" s="14">
        <f>IF($W143="","",INDEX('Per Line'!$V$2:$V$3001,$W143))</f>
        <v/>
      </c>
      <c r="M143">
        <f>IF($W143="","",IF(ISNUMBER(SEARCH("3&amp;12",SUBSTITUTE(F143," ",""))),Settings!$G$7,Settings!$C$7))</f>
        <v/>
      </c>
      <c r="N143" s="7">
        <f>IF($W143="","",SUMIFS('Per Line'!$O$2:$O$3001,'Per Line'!$B$2:$B$3001,$B143,'Per Line'!$AB$2:$AB$3001,0))</f>
        <v/>
      </c>
      <c r="O143" s="7">
        <f>IF($W143="","",N143*M143)</f>
        <v/>
      </c>
      <c r="P143">
        <f>IF($W143="","",IF(ISNUMBER(SEARCH("3&amp;12",SUBSTITUTE(F143," ",""))),Settings!$G$6,Settings!$C$6))</f>
        <v/>
      </c>
      <c r="Q143" s="7">
        <f>IF($W143="","",SUMIFS('Per Line'!$O$2:$O$3001,'Per Line'!$B$2:$B$3001,$B143,'Per Line'!$AB$2:$AB$3001,1))</f>
        <v/>
      </c>
      <c r="R143" s="7">
        <f>IF($W143="","",Q143*P143)</f>
        <v/>
      </c>
      <c r="S143" s="7">
        <f>IF($W143="","",R143+O143)</f>
        <v/>
      </c>
      <c r="T143" s="7">
        <f>IF($W143="","",V143-S143)</f>
        <v/>
      </c>
      <c r="U143" s="7">
        <f>IF($W143="","",V143-S143-K143)</f>
        <v/>
      </c>
      <c r="V143" s="7">
        <f>IF($W143="","",N143+Q143)</f>
        <v/>
      </c>
      <c r="W143" s="16">
        <f>IF(ROWS($W$2:$W143)&lt;=MAX('Per Line'!$AA$2:$AA$3001),MATCH(ROWS($W$2:$W143),'Per Line'!$AA$2:$AA$3001,0),"")</f>
        <v/>
      </c>
      <c r="X143">
        <f>IF($W143="","",D143&amp;"|"&amp;COUNTIF($D$2:$D143,D143))</f>
        <v/>
      </c>
    </row>
    <row r="144">
      <c r="A144" s="15" t="n"/>
      <c r="B144">
        <f>IF($W144="","",INDEX('Per Line'!$B$2:$B$3001,$W144)&amp;"")</f>
        <v/>
      </c>
      <c r="C144">
        <f>IF($W144="","",INDEX('Per Line'!$C$2:$C$3001,$W144)&amp;"")</f>
        <v/>
      </c>
      <c r="D144">
        <f>IF($W144="","",IF(OR(TRIM(E144)="Orient Insurance Company",TRIM(E144)="Allianz"),TRIM(E144),TRIM(F144)))</f>
        <v/>
      </c>
      <c r="E144">
        <f>IF($W144="","",INDEX('Per Line'!$E$2:$E$3001,$W144)&amp;"")</f>
        <v/>
      </c>
      <c r="F144">
        <f>IF($W144="","",INDEX('Per Line'!$D$2:$D$3001,$W144)&amp;"")</f>
        <v/>
      </c>
      <c r="G144">
        <f>IF($W144="","",INDEX('Per Line'!$F$2:$F$3001,$W144)&amp;"")</f>
        <v/>
      </c>
      <c r="H144">
        <f>IF($W144="","",INDEX('Per Line'!$G$2:$G$3001,$W144)&amp;"")</f>
        <v/>
      </c>
      <c r="I144">
        <f>IF($W144="","",INDEX('Per Line'!$H$2:$H$3001,$W144)&amp;"")</f>
        <v/>
      </c>
      <c r="J144">
        <f>IF($W144="","",INDEX('Per Line'!$I$2:$I$3001,$W144))</f>
        <v/>
      </c>
      <c r="K144" s="7">
        <f>IF($W144="","",J144*T144/100)</f>
        <v/>
      </c>
      <c r="L144" s="14">
        <f>IF($W144="","",INDEX('Per Line'!$V$2:$V$3001,$W144))</f>
        <v/>
      </c>
      <c r="M144">
        <f>IF($W144="","",IF(ISNUMBER(SEARCH("3&amp;12",SUBSTITUTE(F144," ",""))),Settings!$G$7,Settings!$C$7))</f>
        <v/>
      </c>
      <c r="N144" s="7">
        <f>IF($W144="","",SUMIFS('Per Line'!$O$2:$O$3001,'Per Line'!$B$2:$B$3001,$B144,'Per Line'!$AB$2:$AB$3001,0))</f>
        <v/>
      </c>
      <c r="O144" s="7">
        <f>IF($W144="","",N144*M144)</f>
        <v/>
      </c>
      <c r="P144">
        <f>IF($W144="","",IF(ISNUMBER(SEARCH("3&amp;12",SUBSTITUTE(F144," ",""))),Settings!$G$6,Settings!$C$6))</f>
        <v/>
      </c>
      <c r="Q144" s="7">
        <f>IF($W144="","",SUMIFS('Per Line'!$O$2:$O$3001,'Per Line'!$B$2:$B$3001,$B144,'Per Line'!$AB$2:$AB$3001,1))</f>
        <v/>
      </c>
      <c r="R144" s="7">
        <f>IF($W144="","",Q144*P144)</f>
        <v/>
      </c>
      <c r="S144" s="7">
        <f>IF($W144="","",R144+O144)</f>
        <v/>
      </c>
      <c r="T144" s="7">
        <f>IF($W144="","",V144-S144)</f>
        <v/>
      </c>
      <c r="U144" s="7">
        <f>IF($W144="","",V144-S144-K144)</f>
        <v/>
      </c>
      <c r="V144" s="7">
        <f>IF($W144="","",N144+Q144)</f>
        <v/>
      </c>
      <c r="W144" s="16">
        <f>IF(ROWS($W$2:$W144)&lt;=MAX('Per Line'!$AA$2:$AA$3001),MATCH(ROWS($W$2:$W144),'Per Line'!$AA$2:$AA$3001,0),"")</f>
        <v/>
      </c>
      <c r="X144">
        <f>IF($W144="","",D144&amp;"|"&amp;COUNTIF($D$2:$D144,D144))</f>
        <v/>
      </c>
    </row>
    <row r="145">
      <c r="A145" s="15" t="n"/>
      <c r="B145">
        <f>IF($W145="","",INDEX('Per Line'!$B$2:$B$3001,$W145)&amp;"")</f>
        <v/>
      </c>
      <c r="C145">
        <f>IF($W145="","",INDEX('Per Line'!$C$2:$C$3001,$W145)&amp;"")</f>
        <v/>
      </c>
      <c r="D145">
        <f>IF($W145="","",IF(OR(TRIM(E145)="Orient Insurance Company",TRIM(E145)="Allianz"),TRIM(E145),TRIM(F145)))</f>
        <v/>
      </c>
      <c r="E145">
        <f>IF($W145="","",INDEX('Per Line'!$E$2:$E$3001,$W145)&amp;"")</f>
        <v/>
      </c>
      <c r="F145">
        <f>IF($W145="","",INDEX('Per Line'!$D$2:$D$3001,$W145)&amp;"")</f>
        <v/>
      </c>
      <c r="G145">
        <f>IF($W145="","",INDEX('Per Line'!$F$2:$F$3001,$W145)&amp;"")</f>
        <v/>
      </c>
      <c r="H145">
        <f>IF($W145="","",INDEX('Per Line'!$G$2:$G$3001,$W145)&amp;"")</f>
        <v/>
      </c>
      <c r="I145">
        <f>IF($W145="","",INDEX('Per Line'!$H$2:$H$3001,$W145)&amp;"")</f>
        <v/>
      </c>
      <c r="J145">
        <f>IF($W145="","",INDEX('Per Line'!$I$2:$I$3001,$W145))</f>
        <v/>
      </c>
      <c r="K145" s="7">
        <f>IF($W145="","",J145*T145/100)</f>
        <v/>
      </c>
      <c r="L145" s="14">
        <f>IF($W145="","",INDEX('Per Line'!$V$2:$V$3001,$W145))</f>
        <v/>
      </c>
      <c r="M145">
        <f>IF($W145="","",IF(ISNUMBER(SEARCH("3&amp;12",SUBSTITUTE(F145," ",""))),Settings!$G$7,Settings!$C$7))</f>
        <v/>
      </c>
      <c r="N145" s="7">
        <f>IF($W145="","",SUMIFS('Per Line'!$O$2:$O$3001,'Per Line'!$B$2:$B$3001,$B145,'Per Line'!$AB$2:$AB$3001,0))</f>
        <v/>
      </c>
      <c r="O145" s="7">
        <f>IF($W145="","",N145*M145)</f>
        <v/>
      </c>
      <c r="P145">
        <f>IF($W145="","",IF(ISNUMBER(SEARCH("3&amp;12",SUBSTITUTE(F145," ",""))),Settings!$G$6,Settings!$C$6))</f>
        <v/>
      </c>
      <c r="Q145" s="7">
        <f>IF($W145="","",SUMIFS('Per Line'!$O$2:$O$3001,'Per Line'!$B$2:$B$3001,$B145,'Per Line'!$AB$2:$AB$3001,1))</f>
        <v/>
      </c>
      <c r="R145" s="7">
        <f>IF($W145="","",Q145*P145)</f>
        <v/>
      </c>
      <c r="S145" s="7">
        <f>IF($W145="","",R145+O145)</f>
        <v/>
      </c>
      <c r="T145" s="7">
        <f>IF($W145="","",V145-S145)</f>
        <v/>
      </c>
      <c r="U145" s="7">
        <f>IF($W145="","",V145-S145-K145)</f>
        <v/>
      </c>
      <c r="V145" s="7">
        <f>IF($W145="","",N145+Q145)</f>
        <v/>
      </c>
      <c r="W145" s="16">
        <f>IF(ROWS($W$2:$W145)&lt;=MAX('Per Line'!$AA$2:$AA$3001),MATCH(ROWS($W$2:$W145),'Per Line'!$AA$2:$AA$3001,0),"")</f>
        <v/>
      </c>
      <c r="X145">
        <f>IF($W145="","",D145&amp;"|"&amp;COUNTIF($D$2:$D145,D145))</f>
        <v/>
      </c>
    </row>
    <row r="146">
      <c r="A146" s="15" t="n"/>
      <c r="B146">
        <f>IF($W146="","",INDEX('Per Line'!$B$2:$B$3001,$W146)&amp;"")</f>
        <v/>
      </c>
      <c r="C146">
        <f>IF($W146="","",INDEX('Per Line'!$C$2:$C$3001,$W146)&amp;"")</f>
        <v/>
      </c>
      <c r="D146">
        <f>IF($W146="","",IF(OR(TRIM(E146)="Orient Insurance Company",TRIM(E146)="Allianz"),TRIM(E146),TRIM(F146)))</f>
        <v/>
      </c>
      <c r="E146">
        <f>IF($W146="","",INDEX('Per Line'!$E$2:$E$3001,$W146)&amp;"")</f>
        <v/>
      </c>
      <c r="F146">
        <f>IF($W146="","",INDEX('Per Line'!$D$2:$D$3001,$W146)&amp;"")</f>
        <v/>
      </c>
      <c r="G146">
        <f>IF($W146="","",INDEX('Per Line'!$F$2:$F$3001,$W146)&amp;"")</f>
        <v/>
      </c>
      <c r="H146">
        <f>IF($W146="","",INDEX('Per Line'!$G$2:$G$3001,$W146)&amp;"")</f>
        <v/>
      </c>
      <c r="I146">
        <f>IF($W146="","",INDEX('Per Line'!$H$2:$H$3001,$W146)&amp;"")</f>
        <v/>
      </c>
      <c r="J146">
        <f>IF($W146="","",INDEX('Per Line'!$I$2:$I$3001,$W146))</f>
        <v/>
      </c>
      <c r="K146" s="7">
        <f>IF($W146="","",J146*T146/100)</f>
        <v/>
      </c>
      <c r="L146" s="14">
        <f>IF($W146="","",INDEX('Per Line'!$V$2:$V$3001,$W146))</f>
        <v/>
      </c>
      <c r="M146">
        <f>IF($W146="","",IF(ISNUMBER(SEARCH("3&amp;12",SUBSTITUTE(F146," ",""))),Settings!$G$7,Settings!$C$7))</f>
        <v/>
      </c>
      <c r="N146" s="7">
        <f>IF($W146="","",SUMIFS('Per Line'!$O$2:$O$3001,'Per Line'!$B$2:$B$3001,$B146,'Per Line'!$AB$2:$AB$3001,0))</f>
        <v/>
      </c>
      <c r="O146" s="7">
        <f>IF($W146="","",N146*M146)</f>
        <v/>
      </c>
      <c r="P146">
        <f>IF($W146="","",IF(ISNUMBER(SEARCH("3&amp;12",SUBSTITUTE(F146," ",""))),Settings!$G$6,Settings!$C$6))</f>
        <v/>
      </c>
      <c r="Q146" s="7">
        <f>IF($W146="","",SUMIFS('Per Line'!$O$2:$O$3001,'Per Line'!$B$2:$B$3001,$B146,'Per Line'!$AB$2:$AB$3001,1))</f>
        <v/>
      </c>
      <c r="R146" s="7">
        <f>IF($W146="","",Q146*P146)</f>
        <v/>
      </c>
      <c r="S146" s="7">
        <f>IF($W146="","",R146+O146)</f>
        <v/>
      </c>
      <c r="T146" s="7">
        <f>IF($W146="","",V146-S146)</f>
        <v/>
      </c>
      <c r="U146" s="7">
        <f>IF($W146="","",V146-S146-K146)</f>
        <v/>
      </c>
      <c r="V146" s="7">
        <f>IF($W146="","",N146+Q146)</f>
        <v/>
      </c>
      <c r="W146" s="16">
        <f>IF(ROWS($W$2:$W146)&lt;=MAX('Per Line'!$AA$2:$AA$3001),MATCH(ROWS($W$2:$W146),'Per Line'!$AA$2:$AA$3001,0),"")</f>
        <v/>
      </c>
      <c r="X146">
        <f>IF($W146="","",D146&amp;"|"&amp;COUNTIF($D$2:$D146,D146))</f>
        <v/>
      </c>
    </row>
    <row r="147">
      <c r="A147" s="15" t="n"/>
      <c r="B147">
        <f>IF($W147="","",INDEX('Per Line'!$B$2:$B$3001,$W147)&amp;"")</f>
        <v/>
      </c>
      <c r="C147">
        <f>IF($W147="","",INDEX('Per Line'!$C$2:$C$3001,$W147)&amp;"")</f>
        <v/>
      </c>
      <c r="D147">
        <f>IF($W147="","",IF(OR(TRIM(E147)="Orient Insurance Company",TRIM(E147)="Allianz"),TRIM(E147),TRIM(F147)))</f>
        <v/>
      </c>
      <c r="E147">
        <f>IF($W147="","",INDEX('Per Line'!$E$2:$E$3001,$W147)&amp;"")</f>
        <v/>
      </c>
      <c r="F147">
        <f>IF($W147="","",INDEX('Per Line'!$D$2:$D$3001,$W147)&amp;"")</f>
        <v/>
      </c>
      <c r="G147">
        <f>IF($W147="","",INDEX('Per Line'!$F$2:$F$3001,$W147)&amp;"")</f>
        <v/>
      </c>
      <c r="H147">
        <f>IF($W147="","",INDEX('Per Line'!$G$2:$G$3001,$W147)&amp;"")</f>
        <v/>
      </c>
      <c r="I147">
        <f>IF($W147="","",INDEX('Per Line'!$H$2:$H$3001,$W147)&amp;"")</f>
        <v/>
      </c>
      <c r="J147">
        <f>IF($W147="","",INDEX('Per Line'!$I$2:$I$3001,$W147))</f>
        <v/>
      </c>
      <c r="K147" s="7">
        <f>IF($W147="","",J147*T147/100)</f>
        <v/>
      </c>
      <c r="L147" s="14">
        <f>IF($W147="","",INDEX('Per Line'!$V$2:$V$3001,$W147))</f>
        <v/>
      </c>
      <c r="M147">
        <f>IF($W147="","",IF(ISNUMBER(SEARCH("3&amp;12",SUBSTITUTE(F147," ",""))),Settings!$G$7,Settings!$C$7))</f>
        <v/>
      </c>
      <c r="N147" s="7">
        <f>IF($W147="","",SUMIFS('Per Line'!$O$2:$O$3001,'Per Line'!$B$2:$B$3001,$B147,'Per Line'!$AB$2:$AB$3001,0))</f>
        <v/>
      </c>
      <c r="O147" s="7">
        <f>IF($W147="","",N147*M147)</f>
        <v/>
      </c>
      <c r="P147">
        <f>IF($W147="","",IF(ISNUMBER(SEARCH("3&amp;12",SUBSTITUTE(F147," ",""))),Settings!$G$6,Settings!$C$6))</f>
        <v/>
      </c>
      <c r="Q147" s="7">
        <f>IF($W147="","",SUMIFS('Per Line'!$O$2:$O$3001,'Per Line'!$B$2:$B$3001,$B147,'Per Line'!$AB$2:$AB$3001,1))</f>
        <v/>
      </c>
      <c r="R147" s="7">
        <f>IF($W147="","",Q147*P147)</f>
        <v/>
      </c>
      <c r="S147" s="7">
        <f>IF($W147="","",R147+O147)</f>
        <v/>
      </c>
      <c r="T147" s="7">
        <f>IF($W147="","",V147-S147)</f>
        <v/>
      </c>
      <c r="U147" s="7">
        <f>IF($W147="","",V147-S147-K147)</f>
        <v/>
      </c>
      <c r="V147" s="7">
        <f>IF($W147="","",N147+Q147)</f>
        <v/>
      </c>
      <c r="W147" s="16">
        <f>IF(ROWS($W$2:$W147)&lt;=MAX('Per Line'!$AA$2:$AA$3001),MATCH(ROWS($W$2:$W147),'Per Line'!$AA$2:$AA$3001,0),"")</f>
        <v/>
      </c>
      <c r="X147">
        <f>IF($W147="","",D147&amp;"|"&amp;COUNTIF($D$2:$D147,D147))</f>
        <v/>
      </c>
    </row>
    <row r="148">
      <c r="A148" s="15" t="n"/>
      <c r="B148">
        <f>IF($W148="","",INDEX('Per Line'!$B$2:$B$3001,$W148)&amp;"")</f>
        <v/>
      </c>
      <c r="C148">
        <f>IF($W148="","",INDEX('Per Line'!$C$2:$C$3001,$W148)&amp;"")</f>
        <v/>
      </c>
      <c r="D148">
        <f>IF($W148="","",IF(OR(TRIM(E148)="Orient Insurance Company",TRIM(E148)="Allianz"),TRIM(E148),TRIM(F148)))</f>
        <v/>
      </c>
      <c r="E148">
        <f>IF($W148="","",INDEX('Per Line'!$E$2:$E$3001,$W148)&amp;"")</f>
        <v/>
      </c>
      <c r="F148">
        <f>IF($W148="","",INDEX('Per Line'!$D$2:$D$3001,$W148)&amp;"")</f>
        <v/>
      </c>
      <c r="G148">
        <f>IF($W148="","",INDEX('Per Line'!$F$2:$F$3001,$W148)&amp;"")</f>
        <v/>
      </c>
      <c r="H148">
        <f>IF($W148="","",INDEX('Per Line'!$G$2:$G$3001,$W148)&amp;"")</f>
        <v/>
      </c>
      <c r="I148">
        <f>IF($W148="","",INDEX('Per Line'!$H$2:$H$3001,$W148)&amp;"")</f>
        <v/>
      </c>
      <c r="J148">
        <f>IF($W148="","",INDEX('Per Line'!$I$2:$I$3001,$W148))</f>
        <v/>
      </c>
      <c r="K148" s="7">
        <f>IF($W148="","",J148*T148/100)</f>
        <v/>
      </c>
      <c r="L148" s="14">
        <f>IF($W148="","",INDEX('Per Line'!$V$2:$V$3001,$W148))</f>
        <v/>
      </c>
      <c r="M148">
        <f>IF($W148="","",IF(ISNUMBER(SEARCH("3&amp;12",SUBSTITUTE(F148," ",""))),Settings!$G$7,Settings!$C$7))</f>
        <v/>
      </c>
      <c r="N148" s="7">
        <f>IF($W148="","",SUMIFS('Per Line'!$O$2:$O$3001,'Per Line'!$B$2:$B$3001,$B148,'Per Line'!$AB$2:$AB$3001,0))</f>
        <v/>
      </c>
      <c r="O148" s="7">
        <f>IF($W148="","",N148*M148)</f>
        <v/>
      </c>
      <c r="P148">
        <f>IF($W148="","",IF(ISNUMBER(SEARCH("3&amp;12",SUBSTITUTE(F148," ",""))),Settings!$G$6,Settings!$C$6))</f>
        <v/>
      </c>
      <c r="Q148" s="7">
        <f>IF($W148="","",SUMIFS('Per Line'!$O$2:$O$3001,'Per Line'!$B$2:$B$3001,$B148,'Per Line'!$AB$2:$AB$3001,1))</f>
        <v/>
      </c>
      <c r="R148" s="7">
        <f>IF($W148="","",Q148*P148)</f>
        <v/>
      </c>
      <c r="S148" s="7">
        <f>IF($W148="","",R148+O148)</f>
        <v/>
      </c>
      <c r="T148" s="7">
        <f>IF($W148="","",V148-S148)</f>
        <v/>
      </c>
      <c r="U148" s="7">
        <f>IF($W148="","",V148-S148-K148)</f>
        <v/>
      </c>
      <c r="V148" s="7">
        <f>IF($W148="","",N148+Q148)</f>
        <v/>
      </c>
      <c r="W148" s="16">
        <f>IF(ROWS($W$2:$W148)&lt;=MAX('Per Line'!$AA$2:$AA$3001),MATCH(ROWS($W$2:$W148),'Per Line'!$AA$2:$AA$3001,0),"")</f>
        <v/>
      </c>
      <c r="X148">
        <f>IF($W148="","",D148&amp;"|"&amp;COUNTIF($D$2:$D148,D148))</f>
        <v/>
      </c>
    </row>
    <row r="149">
      <c r="A149" s="15" t="n"/>
      <c r="B149">
        <f>IF($W149="","",INDEX('Per Line'!$B$2:$B$3001,$W149)&amp;"")</f>
        <v/>
      </c>
      <c r="C149">
        <f>IF($W149="","",INDEX('Per Line'!$C$2:$C$3001,$W149)&amp;"")</f>
        <v/>
      </c>
      <c r="D149">
        <f>IF($W149="","",IF(OR(TRIM(E149)="Orient Insurance Company",TRIM(E149)="Allianz"),TRIM(E149),TRIM(F149)))</f>
        <v/>
      </c>
      <c r="E149">
        <f>IF($W149="","",INDEX('Per Line'!$E$2:$E$3001,$W149)&amp;"")</f>
        <v/>
      </c>
      <c r="F149">
        <f>IF($W149="","",INDEX('Per Line'!$D$2:$D$3001,$W149)&amp;"")</f>
        <v/>
      </c>
      <c r="G149">
        <f>IF($W149="","",INDEX('Per Line'!$F$2:$F$3001,$W149)&amp;"")</f>
        <v/>
      </c>
      <c r="H149">
        <f>IF($W149="","",INDEX('Per Line'!$G$2:$G$3001,$W149)&amp;"")</f>
        <v/>
      </c>
      <c r="I149">
        <f>IF($W149="","",INDEX('Per Line'!$H$2:$H$3001,$W149)&amp;"")</f>
        <v/>
      </c>
      <c r="J149">
        <f>IF($W149="","",INDEX('Per Line'!$I$2:$I$3001,$W149))</f>
        <v/>
      </c>
      <c r="K149" s="7">
        <f>IF($W149="","",J149*T149/100)</f>
        <v/>
      </c>
      <c r="L149" s="14">
        <f>IF($W149="","",INDEX('Per Line'!$V$2:$V$3001,$W149))</f>
        <v/>
      </c>
      <c r="M149">
        <f>IF($W149="","",IF(ISNUMBER(SEARCH("3&amp;12",SUBSTITUTE(F149," ",""))),Settings!$G$7,Settings!$C$7))</f>
        <v/>
      </c>
      <c r="N149" s="7">
        <f>IF($W149="","",SUMIFS('Per Line'!$O$2:$O$3001,'Per Line'!$B$2:$B$3001,$B149,'Per Line'!$AB$2:$AB$3001,0))</f>
        <v/>
      </c>
      <c r="O149" s="7">
        <f>IF($W149="","",N149*M149)</f>
        <v/>
      </c>
      <c r="P149">
        <f>IF($W149="","",IF(ISNUMBER(SEARCH("3&amp;12",SUBSTITUTE(F149," ",""))),Settings!$G$6,Settings!$C$6))</f>
        <v/>
      </c>
      <c r="Q149" s="7">
        <f>IF($W149="","",SUMIFS('Per Line'!$O$2:$O$3001,'Per Line'!$B$2:$B$3001,$B149,'Per Line'!$AB$2:$AB$3001,1))</f>
        <v/>
      </c>
      <c r="R149" s="7">
        <f>IF($W149="","",Q149*P149)</f>
        <v/>
      </c>
      <c r="S149" s="7">
        <f>IF($W149="","",R149+O149)</f>
        <v/>
      </c>
      <c r="T149" s="7">
        <f>IF($W149="","",V149-S149)</f>
        <v/>
      </c>
      <c r="U149" s="7">
        <f>IF($W149="","",V149-S149-K149)</f>
        <v/>
      </c>
      <c r="V149" s="7">
        <f>IF($W149="","",N149+Q149)</f>
        <v/>
      </c>
      <c r="W149" s="16">
        <f>IF(ROWS($W$2:$W149)&lt;=MAX('Per Line'!$AA$2:$AA$3001),MATCH(ROWS($W$2:$W149),'Per Line'!$AA$2:$AA$3001,0),"")</f>
        <v/>
      </c>
      <c r="X149">
        <f>IF($W149="","",D149&amp;"|"&amp;COUNTIF($D$2:$D149,D149))</f>
        <v/>
      </c>
    </row>
    <row r="150">
      <c r="A150" s="15" t="n"/>
      <c r="B150">
        <f>IF($W150="","",INDEX('Per Line'!$B$2:$B$3001,$W150)&amp;"")</f>
        <v/>
      </c>
      <c r="C150">
        <f>IF($W150="","",INDEX('Per Line'!$C$2:$C$3001,$W150)&amp;"")</f>
        <v/>
      </c>
      <c r="D150">
        <f>IF($W150="","",IF(OR(TRIM(E150)="Orient Insurance Company",TRIM(E150)="Allianz"),TRIM(E150),TRIM(F150)))</f>
        <v/>
      </c>
      <c r="E150">
        <f>IF($W150="","",INDEX('Per Line'!$E$2:$E$3001,$W150)&amp;"")</f>
        <v/>
      </c>
      <c r="F150">
        <f>IF($W150="","",INDEX('Per Line'!$D$2:$D$3001,$W150)&amp;"")</f>
        <v/>
      </c>
      <c r="G150">
        <f>IF($W150="","",INDEX('Per Line'!$F$2:$F$3001,$W150)&amp;"")</f>
        <v/>
      </c>
      <c r="H150">
        <f>IF($W150="","",INDEX('Per Line'!$G$2:$G$3001,$W150)&amp;"")</f>
        <v/>
      </c>
      <c r="I150">
        <f>IF($W150="","",INDEX('Per Line'!$H$2:$H$3001,$W150)&amp;"")</f>
        <v/>
      </c>
      <c r="J150">
        <f>IF($W150="","",INDEX('Per Line'!$I$2:$I$3001,$W150))</f>
        <v/>
      </c>
      <c r="K150" s="7">
        <f>IF($W150="","",J150*T150/100)</f>
        <v/>
      </c>
      <c r="L150" s="14">
        <f>IF($W150="","",INDEX('Per Line'!$V$2:$V$3001,$W150))</f>
        <v/>
      </c>
      <c r="M150">
        <f>IF($W150="","",IF(ISNUMBER(SEARCH("3&amp;12",SUBSTITUTE(F150," ",""))),Settings!$G$7,Settings!$C$7))</f>
        <v/>
      </c>
      <c r="N150" s="7">
        <f>IF($W150="","",SUMIFS('Per Line'!$O$2:$O$3001,'Per Line'!$B$2:$B$3001,$B150,'Per Line'!$AB$2:$AB$3001,0))</f>
        <v/>
      </c>
      <c r="O150" s="7">
        <f>IF($W150="","",N150*M150)</f>
        <v/>
      </c>
      <c r="P150">
        <f>IF($W150="","",IF(ISNUMBER(SEARCH("3&amp;12",SUBSTITUTE(F150," ",""))),Settings!$G$6,Settings!$C$6))</f>
        <v/>
      </c>
      <c r="Q150" s="7">
        <f>IF($W150="","",SUMIFS('Per Line'!$O$2:$O$3001,'Per Line'!$B$2:$B$3001,$B150,'Per Line'!$AB$2:$AB$3001,1))</f>
        <v/>
      </c>
      <c r="R150" s="7">
        <f>IF($W150="","",Q150*P150)</f>
        <v/>
      </c>
      <c r="S150" s="7">
        <f>IF($W150="","",R150+O150)</f>
        <v/>
      </c>
      <c r="T150" s="7">
        <f>IF($W150="","",V150-S150)</f>
        <v/>
      </c>
      <c r="U150" s="7">
        <f>IF($W150="","",V150-S150-K150)</f>
        <v/>
      </c>
      <c r="V150" s="7">
        <f>IF($W150="","",N150+Q150)</f>
        <v/>
      </c>
      <c r="W150" s="16">
        <f>IF(ROWS($W$2:$W150)&lt;=MAX('Per Line'!$AA$2:$AA$3001),MATCH(ROWS($W$2:$W150),'Per Line'!$AA$2:$AA$3001,0),"")</f>
        <v/>
      </c>
      <c r="X150">
        <f>IF($W150="","",D150&amp;"|"&amp;COUNTIF($D$2:$D150,D150))</f>
        <v/>
      </c>
    </row>
    <row r="151">
      <c r="A151" s="15" t="n"/>
      <c r="B151">
        <f>IF($W151="","",INDEX('Per Line'!$B$2:$B$3001,$W151)&amp;"")</f>
        <v/>
      </c>
      <c r="C151">
        <f>IF($W151="","",INDEX('Per Line'!$C$2:$C$3001,$W151)&amp;"")</f>
        <v/>
      </c>
      <c r="D151">
        <f>IF($W151="","",IF(OR(TRIM(E151)="Orient Insurance Company",TRIM(E151)="Allianz"),TRIM(E151),TRIM(F151)))</f>
        <v/>
      </c>
      <c r="E151">
        <f>IF($W151="","",INDEX('Per Line'!$E$2:$E$3001,$W151)&amp;"")</f>
        <v/>
      </c>
      <c r="F151">
        <f>IF($W151="","",INDEX('Per Line'!$D$2:$D$3001,$W151)&amp;"")</f>
        <v/>
      </c>
      <c r="G151">
        <f>IF($W151="","",INDEX('Per Line'!$F$2:$F$3001,$W151)&amp;"")</f>
        <v/>
      </c>
      <c r="H151">
        <f>IF($W151="","",INDEX('Per Line'!$G$2:$G$3001,$W151)&amp;"")</f>
        <v/>
      </c>
      <c r="I151">
        <f>IF($W151="","",INDEX('Per Line'!$H$2:$H$3001,$W151)&amp;"")</f>
        <v/>
      </c>
      <c r="J151">
        <f>IF($W151="","",INDEX('Per Line'!$I$2:$I$3001,$W151))</f>
        <v/>
      </c>
      <c r="K151" s="7">
        <f>IF($W151="","",J151*T151/100)</f>
        <v/>
      </c>
      <c r="L151" s="14">
        <f>IF($W151="","",INDEX('Per Line'!$V$2:$V$3001,$W151))</f>
        <v/>
      </c>
      <c r="M151">
        <f>IF($W151="","",IF(ISNUMBER(SEARCH("3&amp;12",SUBSTITUTE(F151," ",""))),Settings!$G$7,Settings!$C$7))</f>
        <v/>
      </c>
      <c r="N151" s="7">
        <f>IF($W151="","",SUMIFS('Per Line'!$O$2:$O$3001,'Per Line'!$B$2:$B$3001,$B151,'Per Line'!$AB$2:$AB$3001,0))</f>
        <v/>
      </c>
      <c r="O151" s="7">
        <f>IF($W151="","",N151*M151)</f>
        <v/>
      </c>
      <c r="P151">
        <f>IF($W151="","",IF(ISNUMBER(SEARCH("3&amp;12",SUBSTITUTE(F151," ",""))),Settings!$G$6,Settings!$C$6))</f>
        <v/>
      </c>
      <c r="Q151" s="7">
        <f>IF($W151="","",SUMIFS('Per Line'!$O$2:$O$3001,'Per Line'!$B$2:$B$3001,$B151,'Per Line'!$AB$2:$AB$3001,1))</f>
        <v/>
      </c>
      <c r="R151" s="7">
        <f>IF($W151="","",Q151*P151)</f>
        <v/>
      </c>
      <c r="S151" s="7">
        <f>IF($W151="","",R151+O151)</f>
        <v/>
      </c>
      <c r="T151" s="7">
        <f>IF($W151="","",V151-S151)</f>
        <v/>
      </c>
      <c r="U151" s="7">
        <f>IF($W151="","",V151-S151-K151)</f>
        <v/>
      </c>
      <c r="V151" s="7">
        <f>IF($W151="","",N151+Q151)</f>
        <v/>
      </c>
      <c r="W151" s="16">
        <f>IF(ROWS($W$2:$W151)&lt;=MAX('Per Line'!$AA$2:$AA$3001),MATCH(ROWS($W$2:$W151),'Per Line'!$AA$2:$AA$3001,0),"")</f>
        <v/>
      </c>
      <c r="X151">
        <f>IF($W151="","",D151&amp;"|"&amp;COUNTIF($D$2:$D151,D151))</f>
        <v/>
      </c>
    </row>
    <row r="152">
      <c r="A152" s="15" t="n"/>
      <c r="B152">
        <f>IF($W152="","",INDEX('Per Line'!$B$2:$B$3001,$W152)&amp;"")</f>
        <v/>
      </c>
      <c r="C152">
        <f>IF($W152="","",INDEX('Per Line'!$C$2:$C$3001,$W152)&amp;"")</f>
        <v/>
      </c>
      <c r="D152">
        <f>IF($W152="","",IF(OR(TRIM(E152)="Orient Insurance Company",TRIM(E152)="Allianz"),TRIM(E152),TRIM(F152)))</f>
        <v/>
      </c>
      <c r="E152">
        <f>IF($W152="","",INDEX('Per Line'!$E$2:$E$3001,$W152)&amp;"")</f>
        <v/>
      </c>
      <c r="F152">
        <f>IF($W152="","",INDEX('Per Line'!$D$2:$D$3001,$W152)&amp;"")</f>
        <v/>
      </c>
      <c r="G152">
        <f>IF($W152="","",INDEX('Per Line'!$F$2:$F$3001,$W152)&amp;"")</f>
        <v/>
      </c>
      <c r="H152">
        <f>IF($W152="","",INDEX('Per Line'!$G$2:$G$3001,$W152)&amp;"")</f>
        <v/>
      </c>
      <c r="I152">
        <f>IF($W152="","",INDEX('Per Line'!$H$2:$H$3001,$W152)&amp;"")</f>
        <v/>
      </c>
      <c r="J152">
        <f>IF($W152="","",INDEX('Per Line'!$I$2:$I$3001,$W152))</f>
        <v/>
      </c>
      <c r="K152" s="7">
        <f>IF($W152="","",J152*T152/100)</f>
        <v/>
      </c>
      <c r="L152" s="14">
        <f>IF($W152="","",INDEX('Per Line'!$V$2:$V$3001,$W152))</f>
        <v/>
      </c>
      <c r="M152">
        <f>IF($W152="","",IF(ISNUMBER(SEARCH("3&amp;12",SUBSTITUTE(F152," ",""))),Settings!$G$7,Settings!$C$7))</f>
        <v/>
      </c>
      <c r="N152" s="7">
        <f>IF($W152="","",SUMIFS('Per Line'!$O$2:$O$3001,'Per Line'!$B$2:$B$3001,$B152,'Per Line'!$AB$2:$AB$3001,0))</f>
        <v/>
      </c>
      <c r="O152" s="7">
        <f>IF($W152="","",N152*M152)</f>
        <v/>
      </c>
      <c r="P152">
        <f>IF($W152="","",IF(ISNUMBER(SEARCH("3&amp;12",SUBSTITUTE(F152," ",""))),Settings!$G$6,Settings!$C$6))</f>
        <v/>
      </c>
      <c r="Q152" s="7">
        <f>IF($W152="","",SUMIFS('Per Line'!$O$2:$O$3001,'Per Line'!$B$2:$B$3001,$B152,'Per Line'!$AB$2:$AB$3001,1))</f>
        <v/>
      </c>
      <c r="R152" s="7">
        <f>IF($W152="","",Q152*P152)</f>
        <v/>
      </c>
      <c r="S152" s="7">
        <f>IF($W152="","",R152+O152)</f>
        <v/>
      </c>
      <c r="T152" s="7">
        <f>IF($W152="","",V152-S152)</f>
        <v/>
      </c>
      <c r="U152" s="7">
        <f>IF($W152="","",V152-S152-K152)</f>
        <v/>
      </c>
      <c r="V152" s="7">
        <f>IF($W152="","",N152+Q152)</f>
        <v/>
      </c>
      <c r="W152" s="16">
        <f>IF(ROWS($W$2:$W152)&lt;=MAX('Per Line'!$AA$2:$AA$3001),MATCH(ROWS($W$2:$W152),'Per Line'!$AA$2:$AA$3001,0),"")</f>
        <v/>
      </c>
      <c r="X152">
        <f>IF($W152="","",D152&amp;"|"&amp;COUNTIF($D$2:$D152,D152))</f>
        <v/>
      </c>
    </row>
    <row r="153">
      <c r="A153" s="15" t="n"/>
      <c r="B153">
        <f>IF($W153="","",INDEX('Per Line'!$B$2:$B$3001,$W153)&amp;"")</f>
        <v/>
      </c>
      <c r="C153">
        <f>IF($W153="","",INDEX('Per Line'!$C$2:$C$3001,$W153)&amp;"")</f>
        <v/>
      </c>
      <c r="D153">
        <f>IF($W153="","",IF(OR(TRIM(E153)="Orient Insurance Company",TRIM(E153)="Allianz"),TRIM(E153),TRIM(F153)))</f>
        <v/>
      </c>
      <c r="E153">
        <f>IF($W153="","",INDEX('Per Line'!$E$2:$E$3001,$W153)&amp;"")</f>
        <v/>
      </c>
      <c r="F153">
        <f>IF($W153="","",INDEX('Per Line'!$D$2:$D$3001,$W153)&amp;"")</f>
        <v/>
      </c>
      <c r="G153">
        <f>IF($W153="","",INDEX('Per Line'!$F$2:$F$3001,$W153)&amp;"")</f>
        <v/>
      </c>
      <c r="H153">
        <f>IF($W153="","",INDEX('Per Line'!$G$2:$G$3001,$W153)&amp;"")</f>
        <v/>
      </c>
      <c r="I153">
        <f>IF($W153="","",INDEX('Per Line'!$H$2:$H$3001,$W153)&amp;"")</f>
        <v/>
      </c>
      <c r="J153">
        <f>IF($W153="","",INDEX('Per Line'!$I$2:$I$3001,$W153))</f>
        <v/>
      </c>
      <c r="K153" s="7">
        <f>IF($W153="","",J153*T153/100)</f>
        <v/>
      </c>
      <c r="L153" s="14">
        <f>IF($W153="","",INDEX('Per Line'!$V$2:$V$3001,$W153))</f>
        <v/>
      </c>
      <c r="M153">
        <f>IF($W153="","",IF(ISNUMBER(SEARCH("3&amp;12",SUBSTITUTE(F153," ",""))),Settings!$G$7,Settings!$C$7))</f>
        <v/>
      </c>
      <c r="N153" s="7">
        <f>IF($W153="","",SUMIFS('Per Line'!$O$2:$O$3001,'Per Line'!$B$2:$B$3001,$B153,'Per Line'!$AB$2:$AB$3001,0))</f>
        <v/>
      </c>
      <c r="O153" s="7">
        <f>IF($W153="","",N153*M153)</f>
        <v/>
      </c>
      <c r="P153">
        <f>IF($W153="","",IF(ISNUMBER(SEARCH("3&amp;12",SUBSTITUTE(F153," ",""))),Settings!$G$6,Settings!$C$6))</f>
        <v/>
      </c>
      <c r="Q153" s="7">
        <f>IF($W153="","",SUMIFS('Per Line'!$O$2:$O$3001,'Per Line'!$B$2:$B$3001,$B153,'Per Line'!$AB$2:$AB$3001,1))</f>
        <v/>
      </c>
      <c r="R153" s="7">
        <f>IF($W153="","",Q153*P153)</f>
        <v/>
      </c>
      <c r="S153" s="7">
        <f>IF($W153="","",R153+O153)</f>
        <v/>
      </c>
      <c r="T153" s="7">
        <f>IF($W153="","",V153-S153)</f>
        <v/>
      </c>
      <c r="U153" s="7">
        <f>IF($W153="","",V153-S153-K153)</f>
        <v/>
      </c>
      <c r="V153" s="7">
        <f>IF($W153="","",N153+Q153)</f>
        <v/>
      </c>
      <c r="W153" s="16">
        <f>IF(ROWS($W$2:$W153)&lt;=MAX('Per Line'!$AA$2:$AA$3001),MATCH(ROWS($W$2:$W153),'Per Line'!$AA$2:$AA$3001,0),"")</f>
        <v/>
      </c>
      <c r="X153">
        <f>IF($W153="","",D153&amp;"|"&amp;COUNTIF($D$2:$D153,D153))</f>
        <v/>
      </c>
    </row>
    <row r="154">
      <c r="A154" s="15" t="n"/>
      <c r="B154">
        <f>IF($W154="","",INDEX('Per Line'!$B$2:$B$3001,$W154)&amp;"")</f>
        <v/>
      </c>
      <c r="C154">
        <f>IF($W154="","",INDEX('Per Line'!$C$2:$C$3001,$W154)&amp;"")</f>
        <v/>
      </c>
      <c r="D154">
        <f>IF($W154="","",IF(OR(TRIM(E154)="Orient Insurance Company",TRIM(E154)="Allianz"),TRIM(E154),TRIM(F154)))</f>
        <v/>
      </c>
      <c r="E154">
        <f>IF($W154="","",INDEX('Per Line'!$E$2:$E$3001,$W154)&amp;"")</f>
        <v/>
      </c>
      <c r="F154">
        <f>IF($W154="","",INDEX('Per Line'!$D$2:$D$3001,$W154)&amp;"")</f>
        <v/>
      </c>
      <c r="G154">
        <f>IF($W154="","",INDEX('Per Line'!$F$2:$F$3001,$W154)&amp;"")</f>
        <v/>
      </c>
      <c r="H154">
        <f>IF($W154="","",INDEX('Per Line'!$G$2:$G$3001,$W154)&amp;"")</f>
        <v/>
      </c>
      <c r="I154">
        <f>IF($W154="","",INDEX('Per Line'!$H$2:$H$3001,$W154)&amp;"")</f>
        <v/>
      </c>
      <c r="J154">
        <f>IF($W154="","",INDEX('Per Line'!$I$2:$I$3001,$W154))</f>
        <v/>
      </c>
      <c r="K154" s="7">
        <f>IF($W154="","",J154*T154/100)</f>
        <v/>
      </c>
      <c r="L154" s="14">
        <f>IF($W154="","",INDEX('Per Line'!$V$2:$V$3001,$W154))</f>
        <v/>
      </c>
      <c r="M154">
        <f>IF($W154="","",IF(ISNUMBER(SEARCH("3&amp;12",SUBSTITUTE(F154," ",""))),Settings!$G$7,Settings!$C$7))</f>
        <v/>
      </c>
      <c r="N154" s="7">
        <f>IF($W154="","",SUMIFS('Per Line'!$O$2:$O$3001,'Per Line'!$B$2:$B$3001,$B154,'Per Line'!$AB$2:$AB$3001,0))</f>
        <v/>
      </c>
      <c r="O154" s="7">
        <f>IF($W154="","",N154*M154)</f>
        <v/>
      </c>
      <c r="P154">
        <f>IF($W154="","",IF(ISNUMBER(SEARCH("3&amp;12",SUBSTITUTE(F154," ",""))),Settings!$G$6,Settings!$C$6))</f>
        <v/>
      </c>
      <c r="Q154" s="7">
        <f>IF($W154="","",SUMIFS('Per Line'!$O$2:$O$3001,'Per Line'!$B$2:$B$3001,$B154,'Per Line'!$AB$2:$AB$3001,1))</f>
        <v/>
      </c>
      <c r="R154" s="7">
        <f>IF($W154="","",Q154*P154)</f>
        <v/>
      </c>
      <c r="S154" s="7">
        <f>IF($W154="","",R154+O154)</f>
        <v/>
      </c>
      <c r="T154" s="7">
        <f>IF($W154="","",V154-S154)</f>
        <v/>
      </c>
      <c r="U154" s="7">
        <f>IF($W154="","",V154-S154-K154)</f>
        <v/>
      </c>
      <c r="V154" s="7">
        <f>IF($W154="","",N154+Q154)</f>
        <v/>
      </c>
      <c r="W154" s="16">
        <f>IF(ROWS($W$2:$W154)&lt;=MAX('Per Line'!$AA$2:$AA$3001),MATCH(ROWS($W$2:$W154),'Per Line'!$AA$2:$AA$3001,0),"")</f>
        <v/>
      </c>
      <c r="X154">
        <f>IF($W154="","",D154&amp;"|"&amp;COUNTIF($D$2:$D154,D154))</f>
        <v/>
      </c>
    </row>
    <row r="155">
      <c r="A155" s="15" t="n"/>
      <c r="B155">
        <f>IF($W155="","",INDEX('Per Line'!$B$2:$B$3001,$W155)&amp;"")</f>
        <v/>
      </c>
      <c r="C155">
        <f>IF($W155="","",INDEX('Per Line'!$C$2:$C$3001,$W155)&amp;"")</f>
        <v/>
      </c>
      <c r="D155">
        <f>IF($W155="","",IF(OR(TRIM(E155)="Orient Insurance Company",TRIM(E155)="Allianz"),TRIM(E155),TRIM(F155)))</f>
        <v/>
      </c>
      <c r="E155">
        <f>IF($W155="","",INDEX('Per Line'!$E$2:$E$3001,$W155)&amp;"")</f>
        <v/>
      </c>
      <c r="F155">
        <f>IF($W155="","",INDEX('Per Line'!$D$2:$D$3001,$W155)&amp;"")</f>
        <v/>
      </c>
      <c r="G155">
        <f>IF($W155="","",INDEX('Per Line'!$F$2:$F$3001,$W155)&amp;"")</f>
        <v/>
      </c>
      <c r="H155">
        <f>IF($W155="","",INDEX('Per Line'!$G$2:$G$3001,$W155)&amp;"")</f>
        <v/>
      </c>
      <c r="I155">
        <f>IF($W155="","",INDEX('Per Line'!$H$2:$H$3001,$W155)&amp;"")</f>
        <v/>
      </c>
      <c r="J155">
        <f>IF($W155="","",INDEX('Per Line'!$I$2:$I$3001,$W155))</f>
        <v/>
      </c>
      <c r="K155" s="7">
        <f>IF($W155="","",J155*T155/100)</f>
        <v/>
      </c>
      <c r="L155" s="14">
        <f>IF($W155="","",INDEX('Per Line'!$V$2:$V$3001,$W155))</f>
        <v/>
      </c>
      <c r="M155">
        <f>IF($W155="","",IF(ISNUMBER(SEARCH("3&amp;12",SUBSTITUTE(F155," ",""))),Settings!$G$7,Settings!$C$7))</f>
        <v/>
      </c>
      <c r="N155" s="7">
        <f>IF($W155="","",SUMIFS('Per Line'!$O$2:$O$3001,'Per Line'!$B$2:$B$3001,$B155,'Per Line'!$AB$2:$AB$3001,0))</f>
        <v/>
      </c>
      <c r="O155" s="7">
        <f>IF($W155="","",N155*M155)</f>
        <v/>
      </c>
      <c r="P155">
        <f>IF($W155="","",IF(ISNUMBER(SEARCH("3&amp;12",SUBSTITUTE(F155," ",""))),Settings!$G$6,Settings!$C$6))</f>
        <v/>
      </c>
      <c r="Q155" s="7">
        <f>IF($W155="","",SUMIFS('Per Line'!$O$2:$O$3001,'Per Line'!$B$2:$B$3001,$B155,'Per Line'!$AB$2:$AB$3001,1))</f>
        <v/>
      </c>
      <c r="R155" s="7">
        <f>IF($W155="","",Q155*P155)</f>
        <v/>
      </c>
      <c r="S155" s="7">
        <f>IF($W155="","",R155+O155)</f>
        <v/>
      </c>
      <c r="T155" s="7">
        <f>IF($W155="","",V155-S155)</f>
        <v/>
      </c>
      <c r="U155" s="7">
        <f>IF($W155="","",V155-S155-K155)</f>
        <v/>
      </c>
      <c r="V155" s="7">
        <f>IF($W155="","",N155+Q155)</f>
        <v/>
      </c>
      <c r="W155" s="16">
        <f>IF(ROWS($W$2:$W155)&lt;=MAX('Per Line'!$AA$2:$AA$3001),MATCH(ROWS($W$2:$W155),'Per Line'!$AA$2:$AA$3001,0),"")</f>
        <v/>
      </c>
      <c r="X155">
        <f>IF($W155="","",D155&amp;"|"&amp;COUNTIF($D$2:$D155,D155))</f>
        <v/>
      </c>
    </row>
    <row r="156">
      <c r="A156" s="15" t="n"/>
      <c r="B156">
        <f>IF($W156="","",INDEX('Per Line'!$B$2:$B$3001,$W156)&amp;"")</f>
        <v/>
      </c>
      <c r="C156">
        <f>IF($W156="","",INDEX('Per Line'!$C$2:$C$3001,$W156)&amp;"")</f>
        <v/>
      </c>
      <c r="D156">
        <f>IF($W156="","",IF(OR(TRIM(E156)="Orient Insurance Company",TRIM(E156)="Allianz"),TRIM(E156),TRIM(F156)))</f>
        <v/>
      </c>
      <c r="E156">
        <f>IF($W156="","",INDEX('Per Line'!$E$2:$E$3001,$W156)&amp;"")</f>
        <v/>
      </c>
      <c r="F156">
        <f>IF($W156="","",INDEX('Per Line'!$D$2:$D$3001,$W156)&amp;"")</f>
        <v/>
      </c>
      <c r="G156">
        <f>IF($W156="","",INDEX('Per Line'!$F$2:$F$3001,$W156)&amp;"")</f>
        <v/>
      </c>
      <c r="H156">
        <f>IF($W156="","",INDEX('Per Line'!$G$2:$G$3001,$W156)&amp;"")</f>
        <v/>
      </c>
      <c r="I156">
        <f>IF($W156="","",INDEX('Per Line'!$H$2:$H$3001,$W156)&amp;"")</f>
        <v/>
      </c>
      <c r="J156">
        <f>IF($W156="","",INDEX('Per Line'!$I$2:$I$3001,$W156))</f>
        <v/>
      </c>
      <c r="K156" s="7">
        <f>IF($W156="","",J156*T156/100)</f>
        <v/>
      </c>
      <c r="L156" s="14">
        <f>IF($W156="","",INDEX('Per Line'!$V$2:$V$3001,$W156))</f>
        <v/>
      </c>
      <c r="M156">
        <f>IF($W156="","",IF(ISNUMBER(SEARCH("3&amp;12",SUBSTITUTE(F156," ",""))),Settings!$G$7,Settings!$C$7))</f>
        <v/>
      </c>
      <c r="N156" s="7">
        <f>IF($W156="","",SUMIFS('Per Line'!$O$2:$O$3001,'Per Line'!$B$2:$B$3001,$B156,'Per Line'!$AB$2:$AB$3001,0))</f>
        <v/>
      </c>
      <c r="O156" s="7">
        <f>IF($W156="","",N156*M156)</f>
        <v/>
      </c>
      <c r="P156">
        <f>IF($W156="","",IF(ISNUMBER(SEARCH("3&amp;12",SUBSTITUTE(F156," ",""))),Settings!$G$6,Settings!$C$6))</f>
        <v/>
      </c>
      <c r="Q156" s="7">
        <f>IF($W156="","",SUMIFS('Per Line'!$O$2:$O$3001,'Per Line'!$B$2:$B$3001,$B156,'Per Line'!$AB$2:$AB$3001,1))</f>
        <v/>
      </c>
      <c r="R156" s="7">
        <f>IF($W156="","",Q156*P156)</f>
        <v/>
      </c>
      <c r="S156" s="7">
        <f>IF($W156="","",R156+O156)</f>
        <v/>
      </c>
      <c r="T156" s="7">
        <f>IF($W156="","",V156-S156)</f>
        <v/>
      </c>
      <c r="U156" s="7">
        <f>IF($W156="","",V156-S156-K156)</f>
        <v/>
      </c>
      <c r="V156" s="7">
        <f>IF($W156="","",N156+Q156)</f>
        <v/>
      </c>
      <c r="W156" s="16">
        <f>IF(ROWS($W$2:$W156)&lt;=MAX('Per Line'!$AA$2:$AA$3001),MATCH(ROWS($W$2:$W156),'Per Line'!$AA$2:$AA$3001,0),"")</f>
        <v/>
      </c>
      <c r="X156">
        <f>IF($W156="","",D156&amp;"|"&amp;COUNTIF($D$2:$D156,D156))</f>
        <v/>
      </c>
    </row>
    <row r="157">
      <c r="A157" s="15" t="n"/>
      <c r="B157">
        <f>IF($W157="","",INDEX('Per Line'!$B$2:$B$3001,$W157)&amp;"")</f>
        <v/>
      </c>
      <c r="C157">
        <f>IF($W157="","",INDEX('Per Line'!$C$2:$C$3001,$W157)&amp;"")</f>
        <v/>
      </c>
      <c r="D157">
        <f>IF($W157="","",IF(OR(TRIM(E157)="Orient Insurance Company",TRIM(E157)="Allianz"),TRIM(E157),TRIM(F157)))</f>
        <v/>
      </c>
      <c r="E157">
        <f>IF($W157="","",INDEX('Per Line'!$E$2:$E$3001,$W157)&amp;"")</f>
        <v/>
      </c>
      <c r="F157">
        <f>IF($W157="","",INDEX('Per Line'!$D$2:$D$3001,$W157)&amp;"")</f>
        <v/>
      </c>
      <c r="G157">
        <f>IF($W157="","",INDEX('Per Line'!$F$2:$F$3001,$W157)&amp;"")</f>
        <v/>
      </c>
      <c r="H157">
        <f>IF($W157="","",INDEX('Per Line'!$G$2:$G$3001,$W157)&amp;"")</f>
        <v/>
      </c>
      <c r="I157">
        <f>IF($W157="","",INDEX('Per Line'!$H$2:$H$3001,$W157)&amp;"")</f>
        <v/>
      </c>
      <c r="J157">
        <f>IF($W157="","",INDEX('Per Line'!$I$2:$I$3001,$W157))</f>
        <v/>
      </c>
      <c r="K157" s="7">
        <f>IF($W157="","",J157*T157/100)</f>
        <v/>
      </c>
      <c r="L157" s="14">
        <f>IF($W157="","",INDEX('Per Line'!$V$2:$V$3001,$W157))</f>
        <v/>
      </c>
      <c r="M157">
        <f>IF($W157="","",IF(ISNUMBER(SEARCH("3&amp;12",SUBSTITUTE(F157," ",""))),Settings!$G$7,Settings!$C$7))</f>
        <v/>
      </c>
      <c r="N157" s="7">
        <f>IF($W157="","",SUMIFS('Per Line'!$O$2:$O$3001,'Per Line'!$B$2:$B$3001,$B157,'Per Line'!$AB$2:$AB$3001,0))</f>
        <v/>
      </c>
      <c r="O157" s="7">
        <f>IF($W157="","",N157*M157)</f>
        <v/>
      </c>
      <c r="P157">
        <f>IF($W157="","",IF(ISNUMBER(SEARCH("3&amp;12",SUBSTITUTE(F157," ",""))),Settings!$G$6,Settings!$C$6))</f>
        <v/>
      </c>
      <c r="Q157" s="7">
        <f>IF($W157="","",SUMIFS('Per Line'!$O$2:$O$3001,'Per Line'!$B$2:$B$3001,$B157,'Per Line'!$AB$2:$AB$3001,1))</f>
        <v/>
      </c>
      <c r="R157" s="7">
        <f>IF($W157="","",Q157*P157)</f>
        <v/>
      </c>
      <c r="S157" s="7">
        <f>IF($W157="","",R157+O157)</f>
        <v/>
      </c>
      <c r="T157" s="7">
        <f>IF($W157="","",V157-S157)</f>
        <v/>
      </c>
      <c r="U157" s="7">
        <f>IF($W157="","",V157-S157-K157)</f>
        <v/>
      </c>
      <c r="V157" s="7">
        <f>IF($W157="","",N157+Q157)</f>
        <v/>
      </c>
      <c r="W157" s="16">
        <f>IF(ROWS($W$2:$W157)&lt;=MAX('Per Line'!$AA$2:$AA$3001),MATCH(ROWS($W$2:$W157),'Per Line'!$AA$2:$AA$3001,0),"")</f>
        <v/>
      </c>
      <c r="X157">
        <f>IF($W157="","",D157&amp;"|"&amp;COUNTIF($D$2:$D157,D157))</f>
        <v/>
      </c>
    </row>
    <row r="158">
      <c r="A158" s="15" t="n"/>
      <c r="B158">
        <f>IF($W158="","",INDEX('Per Line'!$B$2:$B$3001,$W158)&amp;"")</f>
        <v/>
      </c>
      <c r="C158">
        <f>IF($W158="","",INDEX('Per Line'!$C$2:$C$3001,$W158)&amp;"")</f>
        <v/>
      </c>
      <c r="D158">
        <f>IF($W158="","",IF(OR(TRIM(E158)="Orient Insurance Company",TRIM(E158)="Allianz"),TRIM(E158),TRIM(F158)))</f>
        <v/>
      </c>
      <c r="E158">
        <f>IF($W158="","",INDEX('Per Line'!$E$2:$E$3001,$W158)&amp;"")</f>
        <v/>
      </c>
      <c r="F158">
        <f>IF($W158="","",INDEX('Per Line'!$D$2:$D$3001,$W158)&amp;"")</f>
        <v/>
      </c>
      <c r="G158">
        <f>IF($W158="","",INDEX('Per Line'!$F$2:$F$3001,$W158)&amp;"")</f>
        <v/>
      </c>
      <c r="H158">
        <f>IF($W158="","",INDEX('Per Line'!$G$2:$G$3001,$W158)&amp;"")</f>
        <v/>
      </c>
      <c r="I158">
        <f>IF($W158="","",INDEX('Per Line'!$H$2:$H$3001,$W158)&amp;"")</f>
        <v/>
      </c>
      <c r="J158">
        <f>IF($W158="","",INDEX('Per Line'!$I$2:$I$3001,$W158))</f>
        <v/>
      </c>
      <c r="K158" s="7">
        <f>IF($W158="","",J158*T158/100)</f>
        <v/>
      </c>
      <c r="L158" s="14">
        <f>IF($W158="","",INDEX('Per Line'!$V$2:$V$3001,$W158))</f>
        <v/>
      </c>
      <c r="M158">
        <f>IF($W158="","",IF(ISNUMBER(SEARCH("3&amp;12",SUBSTITUTE(F158," ",""))),Settings!$G$7,Settings!$C$7))</f>
        <v/>
      </c>
      <c r="N158" s="7">
        <f>IF($W158="","",SUMIFS('Per Line'!$O$2:$O$3001,'Per Line'!$B$2:$B$3001,$B158,'Per Line'!$AB$2:$AB$3001,0))</f>
        <v/>
      </c>
      <c r="O158" s="7">
        <f>IF($W158="","",N158*M158)</f>
        <v/>
      </c>
      <c r="P158">
        <f>IF($W158="","",IF(ISNUMBER(SEARCH("3&amp;12",SUBSTITUTE(F158," ",""))),Settings!$G$6,Settings!$C$6))</f>
        <v/>
      </c>
      <c r="Q158" s="7">
        <f>IF($W158="","",SUMIFS('Per Line'!$O$2:$O$3001,'Per Line'!$B$2:$B$3001,$B158,'Per Line'!$AB$2:$AB$3001,1))</f>
        <v/>
      </c>
      <c r="R158" s="7">
        <f>IF($W158="","",Q158*P158)</f>
        <v/>
      </c>
      <c r="S158" s="7">
        <f>IF($W158="","",R158+O158)</f>
        <v/>
      </c>
      <c r="T158" s="7">
        <f>IF($W158="","",V158-S158)</f>
        <v/>
      </c>
      <c r="U158" s="7">
        <f>IF($W158="","",V158-S158-K158)</f>
        <v/>
      </c>
      <c r="V158" s="7">
        <f>IF($W158="","",N158+Q158)</f>
        <v/>
      </c>
      <c r="W158" s="16">
        <f>IF(ROWS($W$2:$W158)&lt;=MAX('Per Line'!$AA$2:$AA$3001),MATCH(ROWS($W$2:$W158),'Per Line'!$AA$2:$AA$3001,0),"")</f>
        <v/>
      </c>
      <c r="X158">
        <f>IF($W158="","",D158&amp;"|"&amp;COUNTIF($D$2:$D158,D158))</f>
        <v/>
      </c>
    </row>
    <row r="159">
      <c r="A159" s="15" t="n"/>
      <c r="B159">
        <f>IF($W159="","",INDEX('Per Line'!$B$2:$B$3001,$W159)&amp;"")</f>
        <v/>
      </c>
      <c r="C159">
        <f>IF($W159="","",INDEX('Per Line'!$C$2:$C$3001,$W159)&amp;"")</f>
        <v/>
      </c>
      <c r="D159">
        <f>IF($W159="","",IF(OR(TRIM(E159)="Orient Insurance Company",TRIM(E159)="Allianz"),TRIM(E159),TRIM(F159)))</f>
        <v/>
      </c>
      <c r="E159">
        <f>IF($W159="","",INDEX('Per Line'!$E$2:$E$3001,$W159)&amp;"")</f>
        <v/>
      </c>
      <c r="F159">
        <f>IF($W159="","",INDEX('Per Line'!$D$2:$D$3001,$W159)&amp;"")</f>
        <v/>
      </c>
      <c r="G159">
        <f>IF($W159="","",INDEX('Per Line'!$F$2:$F$3001,$W159)&amp;"")</f>
        <v/>
      </c>
      <c r="H159">
        <f>IF($W159="","",INDEX('Per Line'!$G$2:$G$3001,$W159)&amp;"")</f>
        <v/>
      </c>
      <c r="I159">
        <f>IF($W159="","",INDEX('Per Line'!$H$2:$H$3001,$W159)&amp;"")</f>
        <v/>
      </c>
      <c r="J159">
        <f>IF($W159="","",INDEX('Per Line'!$I$2:$I$3001,$W159))</f>
        <v/>
      </c>
      <c r="K159" s="7">
        <f>IF($W159="","",J159*T159/100)</f>
        <v/>
      </c>
      <c r="L159" s="14">
        <f>IF($W159="","",INDEX('Per Line'!$V$2:$V$3001,$W159))</f>
        <v/>
      </c>
      <c r="M159">
        <f>IF($W159="","",IF(ISNUMBER(SEARCH("3&amp;12",SUBSTITUTE(F159," ",""))),Settings!$G$7,Settings!$C$7))</f>
        <v/>
      </c>
      <c r="N159" s="7">
        <f>IF($W159="","",SUMIFS('Per Line'!$O$2:$O$3001,'Per Line'!$B$2:$B$3001,$B159,'Per Line'!$AB$2:$AB$3001,0))</f>
        <v/>
      </c>
      <c r="O159" s="7">
        <f>IF($W159="","",N159*M159)</f>
        <v/>
      </c>
      <c r="P159">
        <f>IF($W159="","",IF(ISNUMBER(SEARCH("3&amp;12",SUBSTITUTE(F159," ",""))),Settings!$G$6,Settings!$C$6))</f>
        <v/>
      </c>
      <c r="Q159" s="7">
        <f>IF($W159="","",SUMIFS('Per Line'!$O$2:$O$3001,'Per Line'!$B$2:$B$3001,$B159,'Per Line'!$AB$2:$AB$3001,1))</f>
        <v/>
      </c>
      <c r="R159" s="7">
        <f>IF($W159="","",Q159*P159)</f>
        <v/>
      </c>
      <c r="S159" s="7">
        <f>IF($W159="","",R159+O159)</f>
        <v/>
      </c>
      <c r="T159" s="7">
        <f>IF($W159="","",V159-S159)</f>
        <v/>
      </c>
      <c r="U159" s="7">
        <f>IF($W159="","",V159-S159-K159)</f>
        <v/>
      </c>
      <c r="V159" s="7">
        <f>IF($W159="","",N159+Q159)</f>
        <v/>
      </c>
      <c r="W159" s="16">
        <f>IF(ROWS($W$2:$W159)&lt;=MAX('Per Line'!$AA$2:$AA$3001),MATCH(ROWS($W$2:$W159),'Per Line'!$AA$2:$AA$3001,0),"")</f>
        <v/>
      </c>
      <c r="X159">
        <f>IF($W159="","",D159&amp;"|"&amp;COUNTIF($D$2:$D159,D159))</f>
        <v/>
      </c>
    </row>
    <row r="160">
      <c r="A160" s="15" t="n"/>
      <c r="B160">
        <f>IF($W160="","",INDEX('Per Line'!$B$2:$B$3001,$W160)&amp;"")</f>
        <v/>
      </c>
      <c r="C160">
        <f>IF($W160="","",INDEX('Per Line'!$C$2:$C$3001,$W160)&amp;"")</f>
        <v/>
      </c>
      <c r="D160">
        <f>IF($W160="","",IF(OR(TRIM(E160)="Orient Insurance Company",TRIM(E160)="Allianz"),TRIM(E160),TRIM(F160)))</f>
        <v/>
      </c>
      <c r="E160">
        <f>IF($W160="","",INDEX('Per Line'!$E$2:$E$3001,$W160)&amp;"")</f>
        <v/>
      </c>
      <c r="F160">
        <f>IF($W160="","",INDEX('Per Line'!$D$2:$D$3001,$W160)&amp;"")</f>
        <v/>
      </c>
      <c r="G160">
        <f>IF($W160="","",INDEX('Per Line'!$F$2:$F$3001,$W160)&amp;"")</f>
        <v/>
      </c>
      <c r="H160">
        <f>IF($W160="","",INDEX('Per Line'!$G$2:$G$3001,$W160)&amp;"")</f>
        <v/>
      </c>
      <c r="I160">
        <f>IF($W160="","",INDEX('Per Line'!$H$2:$H$3001,$W160)&amp;"")</f>
        <v/>
      </c>
      <c r="J160">
        <f>IF($W160="","",INDEX('Per Line'!$I$2:$I$3001,$W160))</f>
        <v/>
      </c>
      <c r="K160" s="7">
        <f>IF($W160="","",J160*T160/100)</f>
        <v/>
      </c>
      <c r="L160" s="14">
        <f>IF($W160="","",INDEX('Per Line'!$V$2:$V$3001,$W160))</f>
        <v/>
      </c>
      <c r="M160">
        <f>IF($W160="","",IF(ISNUMBER(SEARCH("3&amp;12",SUBSTITUTE(F160," ",""))),Settings!$G$7,Settings!$C$7))</f>
        <v/>
      </c>
      <c r="N160" s="7">
        <f>IF($W160="","",SUMIFS('Per Line'!$O$2:$O$3001,'Per Line'!$B$2:$B$3001,$B160,'Per Line'!$AB$2:$AB$3001,0))</f>
        <v/>
      </c>
      <c r="O160" s="7">
        <f>IF($W160="","",N160*M160)</f>
        <v/>
      </c>
      <c r="P160">
        <f>IF($W160="","",IF(ISNUMBER(SEARCH("3&amp;12",SUBSTITUTE(F160," ",""))),Settings!$G$6,Settings!$C$6))</f>
        <v/>
      </c>
      <c r="Q160" s="7">
        <f>IF($W160="","",SUMIFS('Per Line'!$O$2:$O$3001,'Per Line'!$B$2:$B$3001,$B160,'Per Line'!$AB$2:$AB$3001,1))</f>
        <v/>
      </c>
      <c r="R160" s="7">
        <f>IF($W160="","",Q160*P160)</f>
        <v/>
      </c>
      <c r="S160" s="7">
        <f>IF($W160="","",R160+O160)</f>
        <v/>
      </c>
      <c r="T160" s="7">
        <f>IF($W160="","",V160-S160)</f>
        <v/>
      </c>
      <c r="U160" s="7">
        <f>IF($W160="","",V160-S160-K160)</f>
        <v/>
      </c>
      <c r="V160" s="7">
        <f>IF($W160="","",N160+Q160)</f>
        <v/>
      </c>
      <c r="W160" s="16">
        <f>IF(ROWS($W$2:$W160)&lt;=MAX('Per Line'!$AA$2:$AA$3001),MATCH(ROWS($W$2:$W160),'Per Line'!$AA$2:$AA$3001,0),"")</f>
        <v/>
      </c>
      <c r="X160">
        <f>IF($W160="","",D160&amp;"|"&amp;COUNTIF($D$2:$D160,D160))</f>
        <v/>
      </c>
    </row>
    <row r="161">
      <c r="A161" s="15" t="n"/>
      <c r="B161">
        <f>IF($W161="","",INDEX('Per Line'!$B$2:$B$3001,$W161)&amp;"")</f>
        <v/>
      </c>
      <c r="C161">
        <f>IF($W161="","",INDEX('Per Line'!$C$2:$C$3001,$W161)&amp;"")</f>
        <v/>
      </c>
      <c r="D161">
        <f>IF($W161="","",IF(OR(TRIM(E161)="Orient Insurance Company",TRIM(E161)="Allianz"),TRIM(E161),TRIM(F161)))</f>
        <v/>
      </c>
      <c r="E161">
        <f>IF($W161="","",INDEX('Per Line'!$E$2:$E$3001,$W161)&amp;"")</f>
        <v/>
      </c>
      <c r="F161">
        <f>IF($W161="","",INDEX('Per Line'!$D$2:$D$3001,$W161)&amp;"")</f>
        <v/>
      </c>
      <c r="G161">
        <f>IF($W161="","",INDEX('Per Line'!$F$2:$F$3001,$W161)&amp;"")</f>
        <v/>
      </c>
      <c r="H161">
        <f>IF($W161="","",INDEX('Per Line'!$G$2:$G$3001,$W161)&amp;"")</f>
        <v/>
      </c>
      <c r="I161">
        <f>IF($W161="","",INDEX('Per Line'!$H$2:$H$3001,$W161)&amp;"")</f>
        <v/>
      </c>
      <c r="J161">
        <f>IF($W161="","",INDEX('Per Line'!$I$2:$I$3001,$W161))</f>
        <v/>
      </c>
      <c r="K161" s="7">
        <f>IF($W161="","",J161*T161/100)</f>
        <v/>
      </c>
      <c r="L161" s="14">
        <f>IF($W161="","",INDEX('Per Line'!$V$2:$V$3001,$W161))</f>
        <v/>
      </c>
      <c r="M161">
        <f>IF($W161="","",IF(ISNUMBER(SEARCH("3&amp;12",SUBSTITUTE(F161," ",""))),Settings!$G$7,Settings!$C$7))</f>
        <v/>
      </c>
      <c r="N161" s="7">
        <f>IF($W161="","",SUMIFS('Per Line'!$O$2:$O$3001,'Per Line'!$B$2:$B$3001,$B161,'Per Line'!$AB$2:$AB$3001,0))</f>
        <v/>
      </c>
      <c r="O161" s="7">
        <f>IF($W161="","",N161*M161)</f>
        <v/>
      </c>
      <c r="P161">
        <f>IF($W161="","",IF(ISNUMBER(SEARCH("3&amp;12",SUBSTITUTE(F161," ",""))),Settings!$G$6,Settings!$C$6))</f>
        <v/>
      </c>
      <c r="Q161" s="7">
        <f>IF($W161="","",SUMIFS('Per Line'!$O$2:$O$3001,'Per Line'!$B$2:$B$3001,$B161,'Per Line'!$AB$2:$AB$3001,1))</f>
        <v/>
      </c>
      <c r="R161" s="7">
        <f>IF($W161="","",Q161*P161)</f>
        <v/>
      </c>
      <c r="S161" s="7">
        <f>IF($W161="","",R161+O161)</f>
        <v/>
      </c>
      <c r="T161" s="7">
        <f>IF($W161="","",V161-S161)</f>
        <v/>
      </c>
      <c r="U161" s="7">
        <f>IF($W161="","",V161-S161-K161)</f>
        <v/>
      </c>
      <c r="V161" s="7">
        <f>IF($W161="","",N161+Q161)</f>
        <v/>
      </c>
      <c r="W161" s="16">
        <f>IF(ROWS($W$2:$W161)&lt;=MAX('Per Line'!$AA$2:$AA$3001),MATCH(ROWS($W$2:$W161),'Per Line'!$AA$2:$AA$3001,0),"")</f>
        <v/>
      </c>
      <c r="X161">
        <f>IF($W161="","",D161&amp;"|"&amp;COUNTIF($D$2:$D161,D161))</f>
        <v/>
      </c>
    </row>
    <row r="162">
      <c r="A162" s="15" t="n"/>
      <c r="B162">
        <f>IF($W162="","",INDEX('Per Line'!$B$2:$B$3001,$W162)&amp;"")</f>
        <v/>
      </c>
      <c r="C162">
        <f>IF($W162="","",INDEX('Per Line'!$C$2:$C$3001,$W162)&amp;"")</f>
        <v/>
      </c>
      <c r="D162">
        <f>IF($W162="","",IF(OR(TRIM(E162)="Orient Insurance Company",TRIM(E162)="Allianz"),TRIM(E162),TRIM(F162)))</f>
        <v/>
      </c>
      <c r="E162">
        <f>IF($W162="","",INDEX('Per Line'!$E$2:$E$3001,$W162)&amp;"")</f>
        <v/>
      </c>
      <c r="F162">
        <f>IF($W162="","",INDEX('Per Line'!$D$2:$D$3001,$W162)&amp;"")</f>
        <v/>
      </c>
      <c r="G162">
        <f>IF($W162="","",INDEX('Per Line'!$F$2:$F$3001,$W162)&amp;"")</f>
        <v/>
      </c>
      <c r="H162">
        <f>IF($W162="","",INDEX('Per Line'!$G$2:$G$3001,$W162)&amp;"")</f>
        <v/>
      </c>
      <c r="I162">
        <f>IF($W162="","",INDEX('Per Line'!$H$2:$H$3001,$W162)&amp;"")</f>
        <v/>
      </c>
      <c r="J162">
        <f>IF($W162="","",INDEX('Per Line'!$I$2:$I$3001,$W162))</f>
        <v/>
      </c>
      <c r="K162" s="7">
        <f>IF($W162="","",J162*T162/100)</f>
        <v/>
      </c>
      <c r="L162" s="14">
        <f>IF($W162="","",INDEX('Per Line'!$V$2:$V$3001,$W162))</f>
        <v/>
      </c>
      <c r="M162">
        <f>IF($W162="","",IF(ISNUMBER(SEARCH("3&amp;12",SUBSTITUTE(F162," ",""))),Settings!$G$7,Settings!$C$7))</f>
        <v/>
      </c>
      <c r="N162" s="7">
        <f>IF($W162="","",SUMIFS('Per Line'!$O$2:$O$3001,'Per Line'!$B$2:$B$3001,$B162,'Per Line'!$AB$2:$AB$3001,0))</f>
        <v/>
      </c>
      <c r="O162" s="7">
        <f>IF($W162="","",N162*M162)</f>
        <v/>
      </c>
      <c r="P162">
        <f>IF($W162="","",IF(ISNUMBER(SEARCH("3&amp;12",SUBSTITUTE(F162," ",""))),Settings!$G$6,Settings!$C$6))</f>
        <v/>
      </c>
      <c r="Q162" s="7">
        <f>IF($W162="","",SUMIFS('Per Line'!$O$2:$O$3001,'Per Line'!$B$2:$B$3001,$B162,'Per Line'!$AB$2:$AB$3001,1))</f>
        <v/>
      </c>
      <c r="R162" s="7">
        <f>IF($W162="","",Q162*P162)</f>
        <v/>
      </c>
      <c r="S162" s="7">
        <f>IF($W162="","",R162+O162)</f>
        <v/>
      </c>
      <c r="T162" s="7">
        <f>IF($W162="","",V162-S162)</f>
        <v/>
      </c>
      <c r="U162" s="7">
        <f>IF($W162="","",V162-S162-K162)</f>
        <v/>
      </c>
      <c r="V162" s="7">
        <f>IF($W162="","",N162+Q162)</f>
        <v/>
      </c>
      <c r="W162" s="16">
        <f>IF(ROWS($W$2:$W162)&lt;=MAX('Per Line'!$AA$2:$AA$3001),MATCH(ROWS($W$2:$W162),'Per Line'!$AA$2:$AA$3001,0),"")</f>
        <v/>
      </c>
      <c r="X162">
        <f>IF($W162="","",D162&amp;"|"&amp;COUNTIF($D$2:$D162,D162))</f>
        <v/>
      </c>
    </row>
    <row r="163">
      <c r="A163" s="15" t="n"/>
      <c r="B163">
        <f>IF($W163="","",INDEX('Per Line'!$B$2:$B$3001,$W163)&amp;"")</f>
        <v/>
      </c>
      <c r="C163">
        <f>IF($W163="","",INDEX('Per Line'!$C$2:$C$3001,$W163)&amp;"")</f>
        <v/>
      </c>
      <c r="D163">
        <f>IF($W163="","",IF(OR(TRIM(E163)="Orient Insurance Company",TRIM(E163)="Allianz"),TRIM(E163),TRIM(F163)))</f>
        <v/>
      </c>
      <c r="E163">
        <f>IF($W163="","",INDEX('Per Line'!$E$2:$E$3001,$W163)&amp;"")</f>
        <v/>
      </c>
      <c r="F163">
        <f>IF($W163="","",INDEX('Per Line'!$D$2:$D$3001,$W163)&amp;"")</f>
        <v/>
      </c>
      <c r="G163">
        <f>IF($W163="","",INDEX('Per Line'!$F$2:$F$3001,$W163)&amp;"")</f>
        <v/>
      </c>
      <c r="H163">
        <f>IF($W163="","",INDEX('Per Line'!$G$2:$G$3001,$W163)&amp;"")</f>
        <v/>
      </c>
      <c r="I163">
        <f>IF($W163="","",INDEX('Per Line'!$H$2:$H$3001,$W163)&amp;"")</f>
        <v/>
      </c>
      <c r="J163">
        <f>IF($W163="","",INDEX('Per Line'!$I$2:$I$3001,$W163))</f>
        <v/>
      </c>
      <c r="K163" s="7">
        <f>IF($W163="","",J163*T163/100)</f>
        <v/>
      </c>
      <c r="L163" s="14">
        <f>IF($W163="","",INDEX('Per Line'!$V$2:$V$3001,$W163))</f>
        <v/>
      </c>
      <c r="M163">
        <f>IF($W163="","",IF(ISNUMBER(SEARCH("3&amp;12",SUBSTITUTE(F163," ",""))),Settings!$G$7,Settings!$C$7))</f>
        <v/>
      </c>
      <c r="N163" s="7">
        <f>IF($W163="","",SUMIFS('Per Line'!$O$2:$O$3001,'Per Line'!$B$2:$B$3001,$B163,'Per Line'!$AB$2:$AB$3001,0))</f>
        <v/>
      </c>
      <c r="O163" s="7">
        <f>IF($W163="","",N163*M163)</f>
        <v/>
      </c>
      <c r="P163">
        <f>IF($W163="","",IF(ISNUMBER(SEARCH("3&amp;12",SUBSTITUTE(F163," ",""))),Settings!$G$6,Settings!$C$6))</f>
        <v/>
      </c>
      <c r="Q163" s="7">
        <f>IF($W163="","",SUMIFS('Per Line'!$O$2:$O$3001,'Per Line'!$B$2:$B$3001,$B163,'Per Line'!$AB$2:$AB$3001,1))</f>
        <v/>
      </c>
      <c r="R163" s="7">
        <f>IF($W163="","",Q163*P163)</f>
        <v/>
      </c>
      <c r="S163" s="7">
        <f>IF($W163="","",R163+O163)</f>
        <v/>
      </c>
      <c r="T163" s="7">
        <f>IF($W163="","",V163-S163)</f>
        <v/>
      </c>
      <c r="U163" s="7">
        <f>IF($W163="","",V163-S163-K163)</f>
        <v/>
      </c>
      <c r="V163" s="7">
        <f>IF($W163="","",N163+Q163)</f>
        <v/>
      </c>
      <c r="W163" s="16">
        <f>IF(ROWS($W$2:$W163)&lt;=MAX('Per Line'!$AA$2:$AA$3001),MATCH(ROWS($W$2:$W163),'Per Line'!$AA$2:$AA$3001,0),"")</f>
        <v/>
      </c>
      <c r="X163">
        <f>IF($W163="","",D163&amp;"|"&amp;COUNTIF($D$2:$D163,D163))</f>
        <v/>
      </c>
    </row>
    <row r="164">
      <c r="A164" s="15" t="n"/>
      <c r="B164">
        <f>IF($W164="","",INDEX('Per Line'!$B$2:$B$3001,$W164)&amp;"")</f>
        <v/>
      </c>
      <c r="C164">
        <f>IF($W164="","",INDEX('Per Line'!$C$2:$C$3001,$W164)&amp;"")</f>
        <v/>
      </c>
      <c r="D164">
        <f>IF($W164="","",IF(OR(TRIM(E164)="Orient Insurance Company",TRIM(E164)="Allianz"),TRIM(E164),TRIM(F164)))</f>
        <v/>
      </c>
      <c r="E164">
        <f>IF($W164="","",INDEX('Per Line'!$E$2:$E$3001,$W164)&amp;"")</f>
        <v/>
      </c>
      <c r="F164">
        <f>IF($W164="","",INDEX('Per Line'!$D$2:$D$3001,$W164)&amp;"")</f>
        <v/>
      </c>
      <c r="G164">
        <f>IF($W164="","",INDEX('Per Line'!$F$2:$F$3001,$W164)&amp;"")</f>
        <v/>
      </c>
      <c r="H164">
        <f>IF($W164="","",INDEX('Per Line'!$G$2:$G$3001,$W164)&amp;"")</f>
        <v/>
      </c>
      <c r="I164">
        <f>IF($W164="","",INDEX('Per Line'!$H$2:$H$3001,$W164)&amp;"")</f>
        <v/>
      </c>
      <c r="J164">
        <f>IF($W164="","",INDEX('Per Line'!$I$2:$I$3001,$W164))</f>
        <v/>
      </c>
      <c r="K164" s="7">
        <f>IF($W164="","",J164*T164/100)</f>
        <v/>
      </c>
      <c r="L164" s="14">
        <f>IF($W164="","",INDEX('Per Line'!$V$2:$V$3001,$W164))</f>
        <v/>
      </c>
      <c r="M164">
        <f>IF($W164="","",IF(ISNUMBER(SEARCH("3&amp;12",SUBSTITUTE(F164," ",""))),Settings!$G$7,Settings!$C$7))</f>
        <v/>
      </c>
      <c r="N164" s="7">
        <f>IF($W164="","",SUMIFS('Per Line'!$O$2:$O$3001,'Per Line'!$B$2:$B$3001,$B164,'Per Line'!$AB$2:$AB$3001,0))</f>
        <v/>
      </c>
      <c r="O164" s="7">
        <f>IF($W164="","",N164*M164)</f>
        <v/>
      </c>
      <c r="P164">
        <f>IF($W164="","",IF(ISNUMBER(SEARCH("3&amp;12",SUBSTITUTE(F164," ",""))),Settings!$G$6,Settings!$C$6))</f>
        <v/>
      </c>
      <c r="Q164" s="7">
        <f>IF($W164="","",SUMIFS('Per Line'!$O$2:$O$3001,'Per Line'!$B$2:$B$3001,$B164,'Per Line'!$AB$2:$AB$3001,1))</f>
        <v/>
      </c>
      <c r="R164" s="7">
        <f>IF($W164="","",Q164*P164)</f>
        <v/>
      </c>
      <c r="S164" s="7">
        <f>IF($W164="","",R164+O164)</f>
        <v/>
      </c>
      <c r="T164" s="7">
        <f>IF($W164="","",V164-S164)</f>
        <v/>
      </c>
      <c r="U164" s="7">
        <f>IF($W164="","",V164-S164-K164)</f>
        <v/>
      </c>
      <c r="V164" s="7">
        <f>IF($W164="","",N164+Q164)</f>
        <v/>
      </c>
      <c r="W164" s="16">
        <f>IF(ROWS($W$2:$W164)&lt;=MAX('Per Line'!$AA$2:$AA$3001),MATCH(ROWS($W$2:$W164),'Per Line'!$AA$2:$AA$3001,0),"")</f>
        <v/>
      </c>
      <c r="X164">
        <f>IF($W164="","",D164&amp;"|"&amp;COUNTIF($D$2:$D164,D164))</f>
        <v/>
      </c>
    </row>
    <row r="165">
      <c r="A165" s="15" t="n"/>
      <c r="B165">
        <f>IF($W165="","",INDEX('Per Line'!$B$2:$B$3001,$W165)&amp;"")</f>
        <v/>
      </c>
      <c r="C165">
        <f>IF($W165="","",INDEX('Per Line'!$C$2:$C$3001,$W165)&amp;"")</f>
        <v/>
      </c>
      <c r="D165">
        <f>IF($W165="","",IF(OR(TRIM(E165)="Orient Insurance Company",TRIM(E165)="Allianz"),TRIM(E165),TRIM(F165)))</f>
        <v/>
      </c>
      <c r="E165">
        <f>IF($W165="","",INDEX('Per Line'!$E$2:$E$3001,$W165)&amp;"")</f>
        <v/>
      </c>
      <c r="F165">
        <f>IF($W165="","",INDEX('Per Line'!$D$2:$D$3001,$W165)&amp;"")</f>
        <v/>
      </c>
      <c r="G165">
        <f>IF($W165="","",INDEX('Per Line'!$F$2:$F$3001,$W165)&amp;"")</f>
        <v/>
      </c>
      <c r="H165">
        <f>IF($W165="","",INDEX('Per Line'!$G$2:$G$3001,$W165)&amp;"")</f>
        <v/>
      </c>
      <c r="I165">
        <f>IF($W165="","",INDEX('Per Line'!$H$2:$H$3001,$W165)&amp;"")</f>
        <v/>
      </c>
      <c r="J165">
        <f>IF($W165="","",INDEX('Per Line'!$I$2:$I$3001,$W165))</f>
        <v/>
      </c>
      <c r="K165" s="7">
        <f>IF($W165="","",J165*T165/100)</f>
        <v/>
      </c>
      <c r="L165" s="14">
        <f>IF($W165="","",INDEX('Per Line'!$V$2:$V$3001,$W165))</f>
        <v/>
      </c>
      <c r="M165">
        <f>IF($W165="","",IF(ISNUMBER(SEARCH("3&amp;12",SUBSTITUTE(F165," ",""))),Settings!$G$7,Settings!$C$7))</f>
        <v/>
      </c>
      <c r="N165" s="7">
        <f>IF($W165="","",SUMIFS('Per Line'!$O$2:$O$3001,'Per Line'!$B$2:$B$3001,$B165,'Per Line'!$AB$2:$AB$3001,0))</f>
        <v/>
      </c>
      <c r="O165" s="7">
        <f>IF($W165="","",N165*M165)</f>
        <v/>
      </c>
      <c r="P165">
        <f>IF($W165="","",IF(ISNUMBER(SEARCH("3&amp;12",SUBSTITUTE(F165," ",""))),Settings!$G$6,Settings!$C$6))</f>
        <v/>
      </c>
      <c r="Q165" s="7">
        <f>IF($W165="","",SUMIFS('Per Line'!$O$2:$O$3001,'Per Line'!$B$2:$B$3001,$B165,'Per Line'!$AB$2:$AB$3001,1))</f>
        <v/>
      </c>
      <c r="R165" s="7">
        <f>IF($W165="","",Q165*P165)</f>
        <v/>
      </c>
      <c r="S165" s="7">
        <f>IF($W165="","",R165+O165)</f>
        <v/>
      </c>
      <c r="T165" s="7">
        <f>IF($W165="","",V165-S165)</f>
        <v/>
      </c>
      <c r="U165" s="7">
        <f>IF($W165="","",V165-S165-K165)</f>
        <v/>
      </c>
      <c r="V165" s="7">
        <f>IF($W165="","",N165+Q165)</f>
        <v/>
      </c>
      <c r="W165" s="16">
        <f>IF(ROWS($W$2:$W165)&lt;=MAX('Per Line'!$AA$2:$AA$3001),MATCH(ROWS($W$2:$W165),'Per Line'!$AA$2:$AA$3001,0),"")</f>
        <v/>
      </c>
      <c r="X165">
        <f>IF($W165="","",D165&amp;"|"&amp;COUNTIF($D$2:$D165,D165))</f>
        <v/>
      </c>
    </row>
    <row r="166">
      <c r="A166" s="15" t="n"/>
      <c r="B166">
        <f>IF($W166="","",INDEX('Per Line'!$B$2:$B$3001,$W166)&amp;"")</f>
        <v/>
      </c>
      <c r="C166">
        <f>IF($W166="","",INDEX('Per Line'!$C$2:$C$3001,$W166)&amp;"")</f>
        <v/>
      </c>
      <c r="D166">
        <f>IF($W166="","",IF(OR(TRIM(E166)="Orient Insurance Company",TRIM(E166)="Allianz"),TRIM(E166),TRIM(F166)))</f>
        <v/>
      </c>
      <c r="E166">
        <f>IF($W166="","",INDEX('Per Line'!$E$2:$E$3001,$W166)&amp;"")</f>
        <v/>
      </c>
      <c r="F166">
        <f>IF($W166="","",INDEX('Per Line'!$D$2:$D$3001,$W166)&amp;"")</f>
        <v/>
      </c>
      <c r="G166">
        <f>IF($W166="","",INDEX('Per Line'!$F$2:$F$3001,$W166)&amp;"")</f>
        <v/>
      </c>
      <c r="H166">
        <f>IF($W166="","",INDEX('Per Line'!$G$2:$G$3001,$W166)&amp;"")</f>
        <v/>
      </c>
      <c r="I166">
        <f>IF($W166="","",INDEX('Per Line'!$H$2:$H$3001,$W166)&amp;"")</f>
        <v/>
      </c>
      <c r="J166">
        <f>IF($W166="","",INDEX('Per Line'!$I$2:$I$3001,$W166))</f>
        <v/>
      </c>
      <c r="K166" s="7">
        <f>IF($W166="","",J166*T166/100)</f>
        <v/>
      </c>
      <c r="L166" s="14">
        <f>IF($W166="","",INDEX('Per Line'!$V$2:$V$3001,$W166))</f>
        <v/>
      </c>
      <c r="M166">
        <f>IF($W166="","",IF(ISNUMBER(SEARCH("3&amp;12",SUBSTITUTE(F166," ",""))),Settings!$G$7,Settings!$C$7))</f>
        <v/>
      </c>
      <c r="N166" s="7">
        <f>IF($W166="","",SUMIFS('Per Line'!$O$2:$O$3001,'Per Line'!$B$2:$B$3001,$B166,'Per Line'!$AB$2:$AB$3001,0))</f>
        <v/>
      </c>
      <c r="O166" s="7">
        <f>IF($W166="","",N166*M166)</f>
        <v/>
      </c>
      <c r="P166">
        <f>IF($W166="","",IF(ISNUMBER(SEARCH("3&amp;12",SUBSTITUTE(F166," ",""))),Settings!$G$6,Settings!$C$6))</f>
        <v/>
      </c>
      <c r="Q166" s="7">
        <f>IF($W166="","",SUMIFS('Per Line'!$O$2:$O$3001,'Per Line'!$B$2:$B$3001,$B166,'Per Line'!$AB$2:$AB$3001,1))</f>
        <v/>
      </c>
      <c r="R166" s="7">
        <f>IF($W166="","",Q166*P166)</f>
        <v/>
      </c>
      <c r="S166" s="7">
        <f>IF($W166="","",R166+O166)</f>
        <v/>
      </c>
      <c r="T166" s="7">
        <f>IF($W166="","",V166-S166)</f>
        <v/>
      </c>
      <c r="U166" s="7">
        <f>IF($W166="","",V166-S166-K166)</f>
        <v/>
      </c>
      <c r="V166" s="7">
        <f>IF($W166="","",N166+Q166)</f>
        <v/>
      </c>
      <c r="W166" s="16">
        <f>IF(ROWS($W$2:$W166)&lt;=MAX('Per Line'!$AA$2:$AA$3001),MATCH(ROWS($W$2:$W166),'Per Line'!$AA$2:$AA$3001,0),"")</f>
        <v/>
      </c>
      <c r="X166">
        <f>IF($W166="","",D166&amp;"|"&amp;COUNTIF($D$2:$D166,D166))</f>
        <v/>
      </c>
    </row>
    <row r="167">
      <c r="A167" s="15" t="n"/>
      <c r="B167">
        <f>IF($W167="","",INDEX('Per Line'!$B$2:$B$3001,$W167)&amp;"")</f>
        <v/>
      </c>
      <c r="C167">
        <f>IF($W167="","",INDEX('Per Line'!$C$2:$C$3001,$W167)&amp;"")</f>
        <v/>
      </c>
      <c r="D167">
        <f>IF($W167="","",IF(OR(TRIM(E167)="Orient Insurance Company",TRIM(E167)="Allianz"),TRIM(E167),TRIM(F167)))</f>
        <v/>
      </c>
      <c r="E167">
        <f>IF($W167="","",INDEX('Per Line'!$E$2:$E$3001,$W167)&amp;"")</f>
        <v/>
      </c>
      <c r="F167">
        <f>IF($W167="","",INDEX('Per Line'!$D$2:$D$3001,$W167)&amp;"")</f>
        <v/>
      </c>
      <c r="G167">
        <f>IF($W167="","",INDEX('Per Line'!$F$2:$F$3001,$W167)&amp;"")</f>
        <v/>
      </c>
      <c r="H167">
        <f>IF($W167="","",INDEX('Per Line'!$G$2:$G$3001,$W167)&amp;"")</f>
        <v/>
      </c>
      <c r="I167">
        <f>IF($W167="","",INDEX('Per Line'!$H$2:$H$3001,$W167)&amp;"")</f>
        <v/>
      </c>
      <c r="J167">
        <f>IF($W167="","",INDEX('Per Line'!$I$2:$I$3001,$W167))</f>
        <v/>
      </c>
      <c r="K167" s="7">
        <f>IF($W167="","",J167*T167/100)</f>
        <v/>
      </c>
      <c r="L167" s="14">
        <f>IF($W167="","",INDEX('Per Line'!$V$2:$V$3001,$W167))</f>
        <v/>
      </c>
      <c r="M167">
        <f>IF($W167="","",IF(ISNUMBER(SEARCH("3&amp;12",SUBSTITUTE(F167," ",""))),Settings!$G$7,Settings!$C$7))</f>
        <v/>
      </c>
      <c r="N167" s="7">
        <f>IF($W167="","",SUMIFS('Per Line'!$O$2:$O$3001,'Per Line'!$B$2:$B$3001,$B167,'Per Line'!$AB$2:$AB$3001,0))</f>
        <v/>
      </c>
      <c r="O167" s="7">
        <f>IF($W167="","",N167*M167)</f>
        <v/>
      </c>
      <c r="P167">
        <f>IF($W167="","",IF(ISNUMBER(SEARCH("3&amp;12",SUBSTITUTE(F167," ",""))),Settings!$G$6,Settings!$C$6))</f>
        <v/>
      </c>
      <c r="Q167" s="7">
        <f>IF($W167="","",SUMIFS('Per Line'!$O$2:$O$3001,'Per Line'!$B$2:$B$3001,$B167,'Per Line'!$AB$2:$AB$3001,1))</f>
        <v/>
      </c>
      <c r="R167" s="7">
        <f>IF($W167="","",Q167*P167)</f>
        <v/>
      </c>
      <c r="S167" s="7">
        <f>IF($W167="","",R167+O167)</f>
        <v/>
      </c>
      <c r="T167" s="7">
        <f>IF($W167="","",V167-S167)</f>
        <v/>
      </c>
      <c r="U167" s="7">
        <f>IF($W167="","",V167-S167-K167)</f>
        <v/>
      </c>
      <c r="V167" s="7">
        <f>IF($W167="","",N167+Q167)</f>
        <v/>
      </c>
      <c r="W167" s="16">
        <f>IF(ROWS($W$2:$W167)&lt;=MAX('Per Line'!$AA$2:$AA$3001),MATCH(ROWS($W$2:$W167),'Per Line'!$AA$2:$AA$3001,0),"")</f>
        <v/>
      </c>
      <c r="X167">
        <f>IF($W167="","",D167&amp;"|"&amp;COUNTIF($D$2:$D167,D167))</f>
        <v/>
      </c>
    </row>
    <row r="168">
      <c r="A168" s="15" t="n"/>
      <c r="B168">
        <f>IF($W168="","",INDEX('Per Line'!$B$2:$B$3001,$W168)&amp;"")</f>
        <v/>
      </c>
      <c r="C168">
        <f>IF($W168="","",INDEX('Per Line'!$C$2:$C$3001,$W168)&amp;"")</f>
        <v/>
      </c>
      <c r="D168">
        <f>IF($W168="","",IF(OR(TRIM(E168)="Orient Insurance Company",TRIM(E168)="Allianz"),TRIM(E168),TRIM(F168)))</f>
        <v/>
      </c>
      <c r="E168">
        <f>IF($W168="","",INDEX('Per Line'!$E$2:$E$3001,$W168)&amp;"")</f>
        <v/>
      </c>
      <c r="F168">
        <f>IF($W168="","",INDEX('Per Line'!$D$2:$D$3001,$W168)&amp;"")</f>
        <v/>
      </c>
      <c r="G168">
        <f>IF($W168="","",INDEX('Per Line'!$F$2:$F$3001,$W168)&amp;"")</f>
        <v/>
      </c>
      <c r="H168">
        <f>IF($W168="","",INDEX('Per Line'!$G$2:$G$3001,$W168)&amp;"")</f>
        <v/>
      </c>
      <c r="I168">
        <f>IF($W168="","",INDEX('Per Line'!$H$2:$H$3001,$W168)&amp;"")</f>
        <v/>
      </c>
      <c r="J168">
        <f>IF($W168="","",INDEX('Per Line'!$I$2:$I$3001,$W168))</f>
        <v/>
      </c>
      <c r="K168" s="7">
        <f>IF($W168="","",J168*T168/100)</f>
        <v/>
      </c>
      <c r="L168" s="14">
        <f>IF($W168="","",INDEX('Per Line'!$V$2:$V$3001,$W168))</f>
        <v/>
      </c>
      <c r="M168">
        <f>IF($W168="","",IF(ISNUMBER(SEARCH("3&amp;12",SUBSTITUTE(F168," ",""))),Settings!$G$7,Settings!$C$7))</f>
        <v/>
      </c>
      <c r="N168" s="7">
        <f>IF($W168="","",SUMIFS('Per Line'!$O$2:$O$3001,'Per Line'!$B$2:$B$3001,$B168,'Per Line'!$AB$2:$AB$3001,0))</f>
        <v/>
      </c>
      <c r="O168" s="7">
        <f>IF($W168="","",N168*M168)</f>
        <v/>
      </c>
      <c r="P168">
        <f>IF($W168="","",IF(ISNUMBER(SEARCH("3&amp;12",SUBSTITUTE(F168," ",""))),Settings!$G$6,Settings!$C$6))</f>
        <v/>
      </c>
      <c r="Q168" s="7">
        <f>IF($W168="","",SUMIFS('Per Line'!$O$2:$O$3001,'Per Line'!$B$2:$B$3001,$B168,'Per Line'!$AB$2:$AB$3001,1))</f>
        <v/>
      </c>
      <c r="R168" s="7">
        <f>IF($W168="","",Q168*P168)</f>
        <v/>
      </c>
      <c r="S168" s="7">
        <f>IF($W168="","",R168+O168)</f>
        <v/>
      </c>
      <c r="T168" s="7">
        <f>IF($W168="","",V168-S168)</f>
        <v/>
      </c>
      <c r="U168" s="7">
        <f>IF($W168="","",V168-S168-K168)</f>
        <v/>
      </c>
      <c r="V168" s="7">
        <f>IF($W168="","",N168+Q168)</f>
        <v/>
      </c>
      <c r="W168" s="16">
        <f>IF(ROWS($W$2:$W168)&lt;=MAX('Per Line'!$AA$2:$AA$3001),MATCH(ROWS($W$2:$W168),'Per Line'!$AA$2:$AA$3001,0),"")</f>
        <v/>
      </c>
      <c r="X168">
        <f>IF($W168="","",D168&amp;"|"&amp;COUNTIF($D$2:$D168,D168))</f>
        <v/>
      </c>
    </row>
    <row r="169">
      <c r="A169" s="15" t="n"/>
      <c r="B169">
        <f>IF($W169="","",INDEX('Per Line'!$B$2:$B$3001,$W169)&amp;"")</f>
        <v/>
      </c>
      <c r="C169">
        <f>IF($W169="","",INDEX('Per Line'!$C$2:$C$3001,$W169)&amp;"")</f>
        <v/>
      </c>
      <c r="D169">
        <f>IF($W169="","",IF(OR(TRIM(E169)="Orient Insurance Company",TRIM(E169)="Allianz"),TRIM(E169),TRIM(F169)))</f>
        <v/>
      </c>
      <c r="E169">
        <f>IF($W169="","",INDEX('Per Line'!$E$2:$E$3001,$W169)&amp;"")</f>
        <v/>
      </c>
      <c r="F169">
        <f>IF($W169="","",INDEX('Per Line'!$D$2:$D$3001,$W169)&amp;"")</f>
        <v/>
      </c>
      <c r="G169">
        <f>IF($W169="","",INDEX('Per Line'!$F$2:$F$3001,$W169)&amp;"")</f>
        <v/>
      </c>
      <c r="H169">
        <f>IF($W169="","",INDEX('Per Line'!$G$2:$G$3001,$W169)&amp;"")</f>
        <v/>
      </c>
      <c r="I169">
        <f>IF($W169="","",INDEX('Per Line'!$H$2:$H$3001,$W169)&amp;"")</f>
        <v/>
      </c>
      <c r="J169">
        <f>IF($W169="","",INDEX('Per Line'!$I$2:$I$3001,$W169))</f>
        <v/>
      </c>
      <c r="K169" s="7">
        <f>IF($W169="","",J169*T169/100)</f>
        <v/>
      </c>
      <c r="L169" s="14">
        <f>IF($W169="","",INDEX('Per Line'!$V$2:$V$3001,$W169))</f>
        <v/>
      </c>
      <c r="M169">
        <f>IF($W169="","",IF(ISNUMBER(SEARCH("3&amp;12",SUBSTITUTE(F169," ",""))),Settings!$G$7,Settings!$C$7))</f>
        <v/>
      </c>
      <c r="N169" s="7">
        <f>IF($W169="","",SUMIFS('Per Line'!$O$2:$O$3001,'Per Line'!$B$2:$B$3001,$B169,'Per Line'!$AB$2:$AB$3001,0))</f>
        <v/>
      </c>
      <c r="O169" s="7">
        <f>IF($W169="","",N169*M169)</f>
        <v/>
      </c>
      <c r="P169">
        <f>IF($W169="","",IF(ISNUMBER(SEARCH("3&amp;12",SUBSTITUTE(F169," ",""))),Settings!$G$6,Settings!$C$6))</f>
        <v/>
      </c>
      <c r="Q169" s="7">
        <f>IF($W169="","",SUMIFS('Per Line'!$O$2:$O$3001,'Per Line'!$B$2:$B$3001,$B169,'Per Line'!$AB$2:$AB$3001,1))</f>
        <v/>
      </c>
      <c r="R169" s="7">
        <f>IF($W169="","",Q169*P169)</f>
        <v/>
      </c>
      <c r="S169" s="7">
        <f>IF($W169="","",R169+O169)</f>
        <v/>
      </c>
      <c r="T169" s="7">
        <f>IF($W169="","",V169-S169)</f>
        <v/>
      </c>
      <c r="U169" s="7">
        <f>IF($W169="","",V169-S169-K169)</f>
        <v/>
      </c>
      <c r="V169" s="7">
        <f>IF($W169="","",N169+Q169)</f>
        <v/>
      </c>
      <c r="W169" s="16">
        <f>IF(ROWS($W$2:$W169)&lt;=MAX('Per Line'!$AA$2:$AA$3001),MATCH(ROWS($W$2:$W169),'Per Line'!$AA$2:$AA$3001,0),"")</f>
        <v/>
      </c>
      <c r="X169">
        <f>IF($W169="","",D169&amp;"|"&amp;COUNTIF($D$2:$D169,D169))</f>
        <v/>
      </c>
    </row>
    <row r="170">
      <c r="A170" s="15" t="n"/>
      <c r="B170">
        <f>IF($W170="","",INDEX('Per Line'!$B$2:$B$3001,$W170)&amp;"")</f>
        <v/>
      </c>
      <c r="C170">
        <f>IF($W170="","",INDEX('Per Line'!$C$2:$C$3001,$W170)&amp;"")</f>
        <v/>
      </c>
      <c r="D170">
        <f>IF($W170="","",IF(OR(TRIM(E170)="Orient Insurance Company",TRIM(E170)="Allianz"),TRIM(E170),TRIM(F170)))</f>
        <v/>
      </c>
      <c r="E170">
        <f>IF($W170="","",INDEX('Per Line'!$E$2:$E$3001,$W170)&amp;"")</f>
        <v/>
      </c>
      <c r="F170">
        <f>IF($W170="","",INDEX('Per Line'!$D$2:$D$3001,$W170)&amp;"")</f>
        <v/>
      </c>
      <c r="G170">
        <f>IF($W170="","",INDEX('Per Line'!$F$2:$F$3001,$W170)&amp;"")</f>
        <v/>
      </c>
      <c r="H170">
        <f>IF($W170="","",INDEX('Per Line'!$G$2:$G$3001,$W170)&amp;"")</f>
        <v/>
      </c>
      <c r="I170">
        <f>IF($W170="","",INDEX('Per Line'!$H$2:$H$3001,$W170)&amp;"")</f>
        <v/>
      </c>
      <c r="J170">
        <f>IF($W170="","",INDEX('Per Line'!$I$2:$I$3001,$W170))</f>
        <v/>
      </c>
      <c r="K170" s="7">
        <f>IF($W170="","",J170*T170/100)</f>
        <v/>
      </c>
      <c r="L170" s="14">
        <f>IF($W170="","",INDEX('Per Line'!$V$2:$V$3001,$W170))</f>
        <v/>
      </c>
      <c r="M170">
        <f>IF($W170="","",IF(ISNUMBER(SEARCH("3&amp;12",SUBSTITUTE(F170," ",""))),Settings!$G$7,Settings!$C$7))</f>
        <v/>
      </c>
      <c r="N170" s="7">
        <f>IF($W170="","",SUMIFS('Per Line'!$O$2:$O$3001,'Per Line'!$B$2:$B$3001,$B170,'Per Line'!$AB$2:$AB$3001,0))</f>
        <v/>
      </c>
      <c r="O170" s="7">
        <f>IF($W170="","",N170*M170)</f>
        <v/>
      </c>
      <c r="P170">
        <f>IF($W170="","",IF(ISNUMBER(SEARCH("3&amp;12",SUBSTITUTE(F170," ",""))),Settings!$G$6,Settings!$C$6))</f>
        <v/>
      </c>
      <c r="Q170" s="7">
        <f>IF($W170="","",SUMIFS('Per Line'!$O$2:$O$3001,'Per Line'!$B$2:$B$3001,$B170,'Per Line'!$AB$2:$AB$3001,1))</f>
        <v/>
      </c>
      <c r="R170" s="7">
        <f>IF($W170="","",Q170*P170)</f>
        <v/>
      </c>
      <c r="S170" s="7">
        <f>IF($W170="","",R170+O170)</f>
        <v/>
      </c>
      <c r="T170" s="7">
        <f>IF($W170="","",V170-S170)</f>
        <v/>
      </c>
      <c r="U170" s="7">
        <f>IF($W170="","",V170-S170-K170)</f>
        <v/>
      </c>
      <c r="V170" s="7">
        <f>IF($W170="","",N170+Q170)</f>
        <v/>
      </c>
      <c r="W170" s="16">
        <f>IF(ROWS($W$2:$W170)&lt;=MAX('Per Line'!$AA$2:$AA$3001),MATCH(ROWS($W$2:$W170),'Per Line'!$AA$2:$AA$3001,0),"")</f>
        <v/>
      </c>
      <c r="X170">
        <f>IF($W170="","",D170&amp;"|"&amp;COUNTIF($D$2:$D170,D170))</f>
        <v/>
      </c>
    </row>
    <row r="171">
      <c r="A171" s="15" t="n"/>
      <c r="B171">
        <f>IF($W171="","",INDEX('Per Line'!$B$2:$B$3001,$W171)&amp;"")</f>
        <v/>
      </c>
      <c r="C171">
        <f>IF($W171="","",INDEX('Per Line'!$C$2:$C$3001,$W171)&amp;"")</f>
        <v/>
      </c>
      <c r="D171">
        <f>IF($W171="","",IF(OR(TRIM(E171)="Orient Insurance Company",TRIM(E171)="Allianz"),TRIM(E171),TRIM(F171)))</f>
        <v/>
      </c>
      <c r="E171">
        <f>IF($W171="","",INDEX('Per Line'!$E$2:$E$3001,$W171)&amp;"")</f>
        <v/>
      </c>
      <c r="F171">
        <f>IF($W171="","",INDEX('Per Line'!$D$2:$D$3001,$W171)&amp;"")</f>
        <v/>
      </c>
      <c r="G171">
        <f>IF($W171="","",INDEX('Per Line'!$F$2:$F$3001,$W171)&amp;"")</f>
        <v/>
      </c>
      <c r="H171">
        <f>IF($W171="","",INDEX('Per Line'!$G$2:$G$3001,$W171)&amp;"")</f>
        <v/>
      </c>
      <c r="I171">
        <f>IF($W171="","",INDEX('Per Line'!$H$2:$H$3001,$W171)&amp;"")</f>
        <v/>
      </c>
      <c r="J171">
        <f>IF($W171="","",INDEX('Per Line'!$I$2:$I$3001,$W171))</f>
        <v/>
      </c>
      <c r="K171" s="7">
        <f>IF($W171="","",J171*T171/100)</f>
        <v/>
      </c>
      <c r="L171" s="14">
        <f>IF($W171="","",INDEX('Per Line'!$V$2:$V$3001,$W171))</f>
        <v/>
      </c>
      <c r="M171">
        <f>IF($W171="","",IF(ISNUMBER(SEARCH("3&amp;12",SUBSTITUTE(F171," ",""))),Settings!$G$7,Settings!$C$7))</f>
        <v/>
      </c>
      <c r="N171" s="7">
        <f>IF($W171="","",SUMIFS('Per Line'!$O$2:$O$3001,'Per Line'!$B$2:$B$3001,$B171,'Per Line'!$AB$2:$AB$3001,0))</f>
        <v/>
      </c>
      <c r="O171" s="7">
        <f>IF($W171="","",N171*M171)</f>
        <v/>
      </c>
      <c r="P171">
        <f>IF($W171="","",IF(ISNUMBER(SEARCH("3&amp;12",SUBSTITUTE(F171," ",""))),Settings!$G$6,Settings!$C$6))</f>
        <v/>
      </c>
      <c r="Q171" s="7">
        <f>IF($W171="","",SUMIFS('Per Line'!$O$2:$O$3001,'Per Line'!$B$2:$B$3001,$B171,'Per Line'!$AB$2:$AB$3001,1))</f>
        <v/>
      </c>
      <c r="R171" s="7">
        <f>IF($W171="","",Q171*P171)</f>
        <v/>
      </c>
      <c r="S171" s="7">
        <f>IF($W171="","",R171+O171)</f>
        <v/>
      </c>
      <c r="T171" s="7">
        <f>IF($W171="","",V171-S171)</f>
        <v/>
      </c>
      <c r="U171" s="7">
        <f>IF($W171="","",V171-S171-K171)</f>
        <v/>
      </c>
      <c r="V171" s="7">
        <f>IF($W171="","",N171+Q171)</f>
        <v/>
      </c>
      <c r="W171" s="16">
        <f>IF(ROWS($W$2:$W171)&lt;=MAX('Per Line'!$AA$2:$AA$3001),MATCH(ROWS($W$2:$W171),'Per Line'!$AA$2:$AA$3001,0),"")</f>
        <v/>
      </c>
      <c r="X171">
        <f>IF($W171="","",D171&amp;"|"&amp;COUNTIF($D$2:$D171,D171))</f>
        <v/>
      </c>
    </row>
    <row r="172">
      <c r="A172" s="15" t="n"/>
      <c r="B172">
        <f>IF($W172="","",INDEX('Per Line'!$B$2:$B$3001,$W172)&amp;"")</f>
        <v/>
      </c>
      <c r="C172">
        <f>IF($W172="","",INDEX('Per Line'!$C$2:$C$3001,$W172)&amp;"")</f>
        <v/>
      </c>
      <c r="D172">
        <f>IF($W172="","",IF(OR(TRIM(E172)="Orient Insurance Company",TRIM(E172)="Allianz"),TRIM(E172),TRIM(F172)))</f>
        <v/>
      </c>
      <c r="E172">
        <f>IF($W172="","",INDEX('Per Line'!$E$2:$E$3001,$W172)&amp;"")</f>
        <v/>
      </c>
      <c r="F172">
        <f>IF($W172="","",INDEX('Per Line'!$D$2:$D$3001,$W172)&amp;"")</f>
        <v/>
      </c>
      <c r="G172">
        <f>IF($W172="","",INDEX('Per Line'!$F$2:$F$3001,$W172)&amp;"")</f>
        <v/>
      </c>
      <c r="H172">
        <f>IF($W172="","",INDEX('Per Line'!$G$2:$G$3001,$W172)&amp;"")</f>
        <v/>
      </c>
      <c r="I172">
        <f>IF($W172="","",INDEX('Per Line'!$H$2:$H$3001,$W172)&amp;"")</f>
        <v/>
      </c>
      <c r="J172">
        <f>IF($W172="","",INDEX('Per Line'!$I$2:$I$3001,$W172))</f>
        <v/>
      </c>
      <c r="K172" s="7">
        <f>IF($W172="","",J172*T172/100)</f>
        <v/>
      </c>
      <c r="L172" s="14">
        <f>IF($W172="","",INDEX('Per Line'!$V$2:$V$3001,$W172))</f>
        <v/>
      </c>
      <c r="M172">
        <f>IF($W172="","",IF(ISNUMBER(SEARCH("3&amp;12",SUBSTITUTE(F172," ",""))),Settings!$G$7,Settings!$C$7))</f>
        <v/>
      </c>
      <c r="N172" s="7">
        <f>IF($W172="","",SUMIFS('Per Line'!$O$2:$O$3001,'Per Line'!$B$2:$B$3001,$B172,'Per Line'!$AB$2:$AB$3001,0))</f>
        <v/>
      </c>
      <c r="O172" s="7">
        <f>IF($W172="","",N172*M172)</f>
        <v/>
      </c>
      <c r="P172">
        <f>IF($W172="","",IF(ISNUMBER(SEARCH("3&amp;12",SUBSTITUTE(F172," ",""))),Settings!$G$6,Settings!$C$6))</f>
        <v/>
      </c>
      <c r="Q172" s="7">
        <f>IF($W172="","",SUMIFS('Per Line'!$O$2:$O$3001,'Per Line'!$B$2:$B$3001,$B172,'Per Line'!$AB$2:$AB$3001,1))</f>
        <v/>
      </c>
      <c r="R172" s="7">
        <f>IF($W172="","",Q172*P172)</f>
        <v/>
      </c>
      <c r="S172" s="7">
        <f>IF($W172="","",R172+O172)</f>
        <v/>
      </c>
      <c r="T172" s="7">
        <f>IF($W172="","",V172-S172)</f>
        <v/>
      </c>
      <c r="U172" s="7">
        <f>IF($W172="","",V172-S172-K172)</f>
        <v/>
      </c>
      <c r="V172" s="7">
        <f>IF($W172="","",N172+Q172)</f>
        <v/>
      </c>
      <c r="W172" s="16">
        <f>IF(ROWS($W$2:$W172)&lt;=MAX('Per Line'!$AA$2:$AA$3001),MATCH(ROWS($W$2:$W172),'Per Line'!$AA$2:$AA$3001,0),"")</f>
        <v/>
      </c>
      <c r="X172">
        <f>IF($W172="","",D172&amp;"|"&amp;COUNTIF($D$2:$D172,D172))</f>
        <v/>
      </c>
    </row>
    <row r="173">
      <c r="A173" s="15" t="n"/>
      <c r="B173">
        <f>IF($W173="","",INDEX('Per Line'!$B$2:$B$3001,$W173)&amp;"")</f>
        <v/>
      </c>
      <c r="C173">
        <f>IF($W173="","",INDEX('Per Line'!$C$2:$C$3001,$W173)&amp;"")</f>
        <v/>
      </c>
      <c r="D173">
        <f>IF($W173="","",IF(OR(TRIM(E173)="Orient Insurance Company",TRIM(E173)="Allianz"),TRIM(E173),TRIM(F173)))</f>
        <v/>
      </c>
      <c r="E173">
        <f>IF($W173="","",INDEX('Per Line'!$E$2:$E$3001,$W173)&amp;"")</f>
        <v/>
      </c>
      <c r="F173">
        <f>IF($W173="","",INDEX('Per Line'!$D$2:$D$3001,$W173)&amp;"")</f>
        <v/>
      </c>
      <c r="G173">
        <f>IF($W173="","",INDEX('Per Line'!$F$2:$F$3001,$W173)&amp;"")</f>
        <v/>
      </c>
      <c r="H173">
        <f>IF($W173="","",INDEX('Per Line'!$G$2:$G$3001,$W173)&amp;"")</f>
        <v/>
      </c>
      <c r="I173">
        <f>IF($W173="","",INDEX('Per Line'!$H$2:$H$3001,$W173)&amp;"")</f>
        <v/>
      </c>
      <c r="J173">
        <f>IF($W173="","",INDEX('Per Line'!$I$2:$I$3001,$W173))</f>
        <v/>
      </c>
      <c r="K173" s="7">
        <f>IF($W173="","",J173*T173/100)</f>
        <v/>
      </c>
      <c r="L173" s="14">
        <f>IF($W173="","",INDEX('Per Line'!$V$2:$V$3001,$W173))</f>
        <v/>
      </c>
      <c r="M173">
        <f>IF($W173="","",IF(ISNUMBER(SEARCH("3&amp;12",SUBSTITUTE(F173," ",""))),Settings!$G$7,Settings!$C$7))</f>
        <v/>
      </c>
      <c r="N173" s="7">
        <f>IF($W173="","",SUMIFS('Per Line'!$O$2:$O$3001,'Per Line'!$B$2:$B$3001,$B173,'Per Line'!$AB$2:$AB$3001,0))</f>
        <v/>
      </c>
      <c r="O173" s="7">
        <f>IF($W173="","",N173*M173)</f>
        <v/>
      </c>
      <c r="P173">
        <f>IF($W173="","",IF(ISNUMBER(SEARCH("3&amp;12",SUBSTITUTE(F173," ",""))),Settings!$G$6,Settings!$C$6))</f>
        <v/>
      </c>
      <c r="Q173" s="7">
        <f>IF($W173="","",SUMIFS('Per Line'!$O$2:$O$3001,'Per Line'!$B$2:$B$3001,$B173,'Per Line'!$AB$2:$AB$3001,1))</f>
        <v/>
      </c>
      <c r="R173" s="7">
        <f>IF($W173="","",Q173*P173)</f>
        <v/>
      </c>
      <c r="S173" s="7">
        <f>IF($W173="","",R173+O173)</f>
        <v/>
      </c>
      <c r="T173" s="7">
        <f>IF($W173="","",V173-S173)</f>
        <v/>
      </c>
      <c r="U173" s="7">
        <f>IF($W173="","",V173-S173-K173)</f>
        <v/>
      </c>
      <c r="V173" s="7">
        <f>IF($W173="","",N173+Q173)</f>
        <v/>
      </c>
      <c r="W173" s="16">
        <f>IF(ROWS($W$2:$W173)&lt;=MAX('Per Line'!$AA$2:$AA$3001),MATCH(ROWS($W$2:$W173),'Per Line'!$AA$2:$AA$3001,0),"")</f>
        <v/>
      </c>
      <c r="X173">
        <f>IF($W173="","",D173&amp;"|"&amp;COUNTIF($D$2:$D173,D173))</f>
        <v/>
      </c>
    </row>
    <row r="174">
      <c r="A174" s="15" t="n"/>
      <c r="B174">
        <f>IF($W174="","",INDEX('Per Line'!$B$2:$B$3001,$W174)&amp;"")</f>
        <v/>
      </c>
      <c r="C174">
        <f>IF($W174="","",INDEX('Per Line'!$C$2:$C$3001,$W174)&amp;"")</f>
        <v/>
      </c>
      <c r="D174">
        <f>IF($W174="","",IF(OR(TRIM(E174)="Orient Insurance Company",TRIM(E174)="Allianz"),TRIM(E174),TRIM(F174)))</f>
        <v/>
      </c>
      <c r="E174">
        <f>IF($W174="","",INDEX('Per Line'!$E$2:$E$3001,$W174)&amp;"")</f>
        <v/>
      </c>
      <c r="F174">
        <f>IF($W174="","",INDEX('Per Line'!$D$2:$D$3001,$W174)&amp;"")</f>
        <v/>
      </c>
      <c r="G174">
        <f>IF($W174="","",INDEX('Per Line'!$F$2:$F$3001,$W174)&amp;"")</f>
        <v/>
      </c>
      <c r="H174">
        <f>IF($W174="","",INDEX('Per Line'!$G$2:$G$3001,$W174)&amp;"")</f>
        <v/>
      </c>
      <c r="I174">
        <f>IF($W174="","",INDEX('Per Line'!$H$2:$H$3001,$W174)&amp;"")</f>
        <v/>
      </c>
      <c r="J174">
        <f>IF($W174="","",INDEX('Per Line'!$I$2:$I$3001,$W174))</f>
        <v/>
      </c>
      <c r="K174" s="7">
        <f>IF($W174="","",J174*T174/100)</f>
        <v/>
      </c>
      <c r="L174" s="14">
        <f>IF($W174="","",INDEX('Per Line'!$V$2:$V$3001,$W174))</f>
        <v/>
      </c>
      <c r="M174">
        <f>IF($W174="","",IF(ISNUMBER(SEARCH("3&amp;12",SUBSTITUTE(F174," ",""))),Settings!$G$7,Settings!$C$7))</f>
        <v/>
      </c>
      <c r="N174" s="7">
        <f>IF($W174="","",SUMIFS('Per Line'!$O$2:$O$3001,'Per Line'!$B$2:$B$3001,$B174,'Per Line'!$AB$2:$AB$3001,0))</f>
        <v/>
      </c>
      <c r="O174" s="7">
        <f>IF($W174="","",N174*M174)</f>
        <v/>
      </c>
      <c r="P174">
        <f>IF($W174="","",IF(ISNUMBER(SEARCH("3&amp;12",SUBSTITUTE(F174," ",""))),Settings!$G$6,Settings!$C$6))</f>
        <v/>
      </c>
      <c r="Q174" s="7">
        <f>IF($W174="","",SUMIFS('Per Line'!$O$2:$O$3001,'Per Line'!$B$2:$B$3001,$B174,'Per Line'!$AB$2:$AB$3001,1))</f>
        <v/>
      </c>
      <c r="R174" s="7">
        <f>IF($W174="","",Q174*P174)</f>
        <v/>
      </c>
      <c r="S174" s="7">
        <f>IF($W174="","",R174+O174)</f>
        <v/>
      </c>
      <c r="T174" s="7">
        <f>IF($W174="","",V174-S174)</f>
        <v/>
      </c>
      <c r="U174" s="7">
        <f>IF($W174="","",V174-S174-K174)</f>
        <v/>
      </c>
      <c r="V174" s="7">
        <f>IF($W174="","",N174+Q174)</f>
        <v/>
      </c>
      <c r="W174" s="16">
        <f>IF(ROWS($W$2:$W174)&lt;=MAX('Per Line'!$AA$2:$AA$3001),MATCH(ROWS($W$2:$W174),'Per Line'!$AA$2:$AA$3001,0),"")</f>
        <v/>
      </c>
      <c r="X174">
        <f>IF($W174="","",D174&amp;"|"&amp;COUNTIF($D$2:$D174,D174))</f>
        <v/>
      </c>
    </row>
    <row r="175">
      <c r="A175" s="15" t="n"/>
      <c r="B175">
        <f>IF($W175="","",INDEX('Per Line'!$B$2:$B$3001,$W175)&amp;"")</f>
        <v/>
      </c>
      <c r="C175">
        <f>IF($W175="","",INDEX('Per Line'!$C$2:$C$3001,$W175)&amp;"")</f>
        <v/>
      </c>
      <c r="D175">
        <f>IF($W175="","",IF(OR(TRIM(E175)="Orient Insurance Company",TRIM(E175)="Allianz"),TRIM(E175),TRIM(F175)))</f>
        <v/>
      </c>
      <c r="E175">
        <f>IF($W175="","",INDEX('Per Line'!$E$2:$E$3001,$W175)&amp;"")</f>
        <v/>
      </c>
      <c r="F175">
        <f>IF($W175="","",INDEX('Per Line'!$D$2:$D$3001,$W175)&amp;"")</f>
        <v/>
      </c>
      <c r="G175">
        <f>IF($W175="","",INDEX('Per Line'!$F$2:$F$3001,$W175)&amp;"")</f>
        <v/>
      </c>
      <c r="H175">
        <f>IF($W175="","",INDEX('Per Line'!$G$2:$G$3001,$W175)&amp;"")</f>
        <v/>
      </c>
      <c r="I175">
        <f>IF($W175="","",INDEX('Per Line'!$H$2:$H$3001,$W175)&amp;"")</f>
        <v/>
      </c>
      <c r="J175">
        <f>IF($W175="","",INDEX('Per Line'!$I$2:$I$3001,$W175))</f>
        <v/>
      </c>
      <c r="K175" s="7">
        <f>IF($W175="","",J175*T175/100)</f>
        <v/>
      </c>
      <c r="L175" s="14">
        <f>IF($W175="","",INDEX('Per Line'!$V$2:$V$3001,$W175))</f>
        <v/>
      </c>
      <c r="M175">
        <f>IF($W175="","",IF(ISNUMBER(SEARCH("3&amp;12",SUBSTITUTE(F175," ",""))),Settings!$G$7,Settings!$C$7))</f>
        <v/>
      </c>
      <c r="N175" s="7">
        <f>IF($W175="","",SUMIFS('Per Line'!$O$2:$O$3001,'Per Line'!$B$2:$B$3001,$B175,'Per Line'!$AB$2:$AB$3001,0))</f>
        <v/>
      </c>
      <c r="O175" s="7">
        <f>IF($W175="","",N175*M175)</f>
        <v/>
      </c>
      <c r="P175">
        <f>IF($W175="","",IF(ISNUMBER(SEARCH("3&amp;12",SUBSTITUTE(F175," ",""))),Settings!$G$6,Settings!$C$6))</f>
        <v/>
      </c>
      <c r="Q175" s="7">
        <f>IF($W175="","",SUMIFS('Per Line'!$O$2:$O$3001,'Per Line'!$B$2:$B$3001,$B175,'Per Line'!$AB$2:$AB$3001,1))</f>
        <v/>
      </c>
      <c r="R175" s="7">
        <f>IF($W175="","",Q175*P175)</f>
        <v/>
      </c>
      <c r="S175" s="7">
        <f>IF($W175="","",R175+O175)</f>
        <v/>
      </c>
      <c r="T175" s="7">
        <f>IF($W175="","",V175-S175)</f>
        <v/>
      </c>
      <c r="U175" s="7">
        <f>IF($W175="","",V175-S175-K175)</f>
        <v/>
      </c>
      <c r="V175" s="7">
        <f>IF($W175="","",N175+Q175)</f>
        <v/>
      </c>
      <c r="W175" s="16">
        <f>IF(ROWS($W$2:$W175)&lt;=MAX('Per Line'!$AA$2:$AA$3001),MATCH(ROWS($W$2:$W175),'Per Line'!$AA$2:$AA$3001,0),"")</f>
        <v/>
      </c>
      <c r="X175">
        <f>IF($W175="","",D175&amp;"|"&amp;COUNTIF($D$2:$D175,D175))</f>
        <v/>
      </c>
    </row>
    <row r="176">
      <c r="A176" s="15" t="n"/>
      <c r="B176">
        <f>IF($W176="","",INDEX('Per Line'!$B$2:$B$3001,$W176)&amp;"")</f>
        <v/>
      </c>
      <c r="C176">
        <f>IF($W176="","",INDEX('Per Line'!$C$2:$C$3001,$W176)&amp;"")</f>
        <v/>
      </c>
      <c r="D176">
        <f>IF($W176="","",IF(OR(TRIM(E176)="Orient Insurance Company",TRIM(E176)="Allianz"),TRIM(E176),TRIM(F176)))</f>
        <v/>
      </c>
      <c r="E176">
        <f>IF($W176="","",INDEX('Per Line'!$E$2:$E$3001,$W176)&amp;"")</f>
        <v/>
      </c>
      <c r="F176">
        <f>IF($W176="","",INDEX('Per Line'!$D$2:$D$3001,$W176)&amp;"")</f>
        <v/>
      </c>
      <c r="G176">
        <f>IF($W176="","",INDEX('Per Line'!$F$2:$F$3001,$W176)&amp;"")</f>
        <v/>
      </c>
      <c r="H176">
        <f>IF($W176="","",INDEX('Per Line'!$G$2:$G$3001,$W176)&amp;"")</f>
        <v/>
      </c>
      <c r="I176">
        <f>IF($W176="","",INDEX('Per Line'!$H$2:$H$3001,$W176)&amp;"")</f>
        <v/>
      </c>
      <c r="J176">
        <f>IF($W176="","",INDEX('Per Line'!$I$2:$I$3001,$W176))</f>
        <v/>
      </c>
      <c r="K176" s="7">
        <f>IF($W176="","",J176*T176/100)</f>
        <v/>
      </c>
      <c r="L176" s="14">
        <f>IF($W176="","",INDEX('Per Line'!$V$2:$V$3001,$W176))</f>
        <v/>
      </c>
      <c r="M176">
        <f>IF($W176="","",IF(ISNUMBER(SEARCH("3&amp;12",SUBSTITUTE(F176," ",""))),Settings!$G$7,Settings!$C$7))</f>
        <v/>
      </c>
      <c r="N176" s="7">
        <f>IF($W176="","",SUMIFS('Per Line'!$O$2:$O$3001,'Per Line'!$B$2:$B$3001,$B176,'Per Line'!$AB$2:$AB$3001,0))</f>
        <v/>
      </c>
      <c r="O176" s="7">
        <f>IF($W176="","",N176*M176)</f>
        <v/>
      </c>
      <c r="P176">
        <f>IF($W176="","",IF(ISNUMBER(SEARCH("3&amp;12",SUBSTITUTE(F176," ",""))),Settings!$G$6,Settings!$C$6))</f>
        <v/>
      </c>
      <c r="Q176" s="7">
        <f>IF($W176="","",SUMIFS('Per Line'!$O$2:$O$3001,'Per Line'!$B$2:$B$3001,$B176,'Per Line'!$AB$2:$AB$3001,1))</f>
        <v/>
      </c>
      <c r="R176" s="7">
        <f>IF($W176="","",Q176*P176)</f>
        <v/>
      </c>
      <c r="S176" s="7">
        <f>IF($W176="","",R176+O176)</f>
        <v/>
      </c>
      <c r="T176" s="7">
        <f>IF($W176="","",V176-S176)</f>
        <v/>
      </c>
      <c r="U176" s="7">
        <f>IF($W176="","",V176-S176-K176)</f>
        <v/>
      </c>
      <c r="V176" s="7">
        <f>IF($W176="","",N176+Q176)</f>
        <v/>
      </c>
      <c r="W176" s="16">
        <f>IF(ROWS($W$2:$W176)&lt;=MAX('Per Line'!$AA$2:$AA$3001),MATCH(ROWS($W$2:$W176),'Per Line'!$AA$2:$AA$3001,0),"")</f>
        <v/>
      </c>
      <c r="X176">
        <f>IF($W176="","",D176&amp;"|"&amp;COUNTIF($D$2:$D176,D176))</f>
        <v/>
      </c>
    </row>
    <row r="177">
      <c r="A177" s="15" t="n"/>
      <c r="B177">
        <f>IF($W177="","",INDEX('Per Line'!$B$2:$B$3001,$W177)&amp;"")</f>
        <v/>
      </c>
      <c r="C177">
        <f>IF($W177="","",INDEX('Per Line'!$C$2:$C$3001,$W177)&amp;"")</f>
        <v/>
      </c>
      <c r="D177">
        <f>IF($W177="","",IF(OR(TRIM(E177)="Orient Insurance Company",TRIM(E177)="Allianz"),TRIM(E177),TRIM(F177)))</f>
        <v/>
      </c>
      <c r="E177">
        <f>IF($W177="","",INDEX('Per Line'!$E$2:$E$3001,$W177)&amp;"")</f>
        <v/>
      </c>
      <c r="F177">
        <f>IF($W177="","",INDEX('Per Line'!$D$2:$D$3001,$W177)&amp;"")</f>
        <v/>
      </c>
      <c r="G177">
        <f>IF($W177="","",INDEX('Per Line'!$F$2:$F$3001,$W177)&amp;"")</f>
        <v/>
      </c>
      <c r="H177">
        <f>IF($W177="","",INDEX('Per Line'!$G$2:$G$3001,$W177)&amp;"")</f>
        <v/>
      </c>
      <c r="I177">
        <f>IF($W177="","",INDEX('Per Line'!$H$2:$H$3001,$W177)&amp;"")</f>
        <v/>
      </c>
      <c r="J177">
        <f>IF($W177="","",INDEX('Per Line'!$I$2:$I$3001,$W177))</f>
        <v/>
      </c>
      <c r="K177" s="7">
        <f>IF($W177="","",J177*T177/100)</f>
        <v/>
      </c>
      <c r="L177" s="14">
        <f>IF($W177="","",INDEX('Per Line'!$V$2:$V$3001,$W177))</f>
        <v/>
      </c>
      <c r="M177">
        <f>IF($W177="","",IF(ISNUMBER(SEARCH("3&amp;12",SUBSTITUTE(F177," ",""))),Settings!$G$7,Settings!$C$7))</f>
        <v/>
      </c>
      <c r="N177" s="7">
        <f>IF($W177="","",SUMIFS('Per Line'!$O$2:$O$3001,'Per Line'!$B$2:$B$3001,$B177,'Per Line'!$AB$2:$AB$3001,0))</f>
        <v/>
      </c>
      <c r="O177" s="7">
        <f>IF($W177="","",N177*M177)</f>
        <v/>
      </c>
      <c r="P177">
        <f>IF($W177="","",IF(ISNUMBER(SEARCH("3&amp;12",SUBSTITUTE(F177," ",""))),Settings!$G$6,Settings!$C$6))</f>
        <v/>
      </c>
      <c r="Q177" s="7">
        <f>IF($W177="","",SUMIFS('Per Line'!$O$2:$O$3001,'Per Line'!$B$2:$B$3001,$B177,'Per Line'!$AB$2:$AB$3001,1))</f>
        <v/>
      </c>
      <c r="R177" s="7">
        <f>IF($W177="","",Q177*P177)</f>
        <v/>
      </c>
      <c r="S177" s="7">
        <f>IF($W177="","",R177+O177)</f>
        <v/>
      </c>
      <c r="T177" s="7">
        <f>IF($W177="","",V177-S177)</f>
        <v/>
      </c>
      <c r="U177" s="7">
        <f>IF($W177="","",V177-S177-K177)</f>
        <v/>
      </c>
      <c r="V177" s="7">
        <f>IF($W177="","",N177+Q177)</f>
        <v/>
      </c>
      <c r="W177" s="16">
        <f>IF(ROWS($W$2:$W177)&lt;=MAX('Per Line'!$AA$2:$AA$3001),MATCH(ROWS($W$2:$W177),'Per Line'!$AA$2:$AA$3001,0),"")</f>
        <v/>
      </c>
      <c r="X177">
        <f>IF($W177="","",D177&amp;"|"&amp;COUNTIF($D$2:$D177,D177))</f>
        <v/>
      </c>
    </row>
    <row r="178">
      <c r="A178" s="15" t="n"/>
      <c r="B178">
        <f>IF($W178="","",INDEX('Per Line'!$B$2:$B$3001,$W178)&amp;"")</f>
        <v/>
      </c>
      <c r="C178">
        <f>IF($W178="","",INDEX('Per Line'!$C$2:$C$3001,$W178)&amp;"")</f>
        <v/>
      </c>
      <c r="D178">
        <f>IF($W178="","",IF(OR(TRIM(E178)="Orient Insurance Company",TRIM(E178)="Allianz"),TRIM(E178),TRIM(F178)))</f>
        <v/>
      </c>
      <c r="E178">
        <f>IF($W178="","",INDEX('Per Line'!$E$2:$E$3001,$W178)&amp;"")</f>
        <v/>
      </c>
      <c r="F178">
        <f>IF($W178="","",INDEX('Per Line'!$D$2:$D$3001,$W178)&amp;"")</f>
        <v/>
      </c>
      <c r="G178">
        <f>IF($W178="","",INDEX('Per Line'!$F$2:$F$3001,$W178)&amp;"")</f>
        <v/>
      </c>
      <c r="H178">
        <f>IF($W178="","",INDEX('Per Line'!$G$2:$G$3001,$W178)&amp;"")</f>
        <v/>
      </c>
      <c r="I178">
        <f>IF($W178="","",INDEX('Per Line'!$H$2:$H$3001,$W178)&amp;"")</f>
        <v/>
      </c>
      <c r="J178">
        <f>IF($W178="","",INDEX('Per Line'!$I$2:$I$3001,$W178))</f>
        <v/>
      </c>
      <c r="K178" s="7">
        <f>IF($W178="","",J178*T178/100)</f>
        <v/>
      </c>
      <c r="L178" s="14">
        <f>IF($W178="","",INDEX('Per Line'!$V$2:$V$3001,$W178))</f>
        <v/>
      </c>
      <c r="M178">
        <f>IF($W178="","",IF(ISNUMBER(SEARCH("3&amp;12",SUBSTITUTE(F178," ",""))),Settings!$G$7,Settings!$C$7))</f>
        <v/>
      </c>
      <c r="N178" s="7">
        <f>IF($W178="","",SUMIFS('Per Line'!$O$2:$O$3001,'Per Line'!$B$2:$B$3001,$B178,'Per Line'!$AB$2:$AB$3001,0))</f>
        <v/>
      </c>
      <c r="O178" s="7">
        <f>IF($W178="","",N178*M178)</f>
        <v/>
      </c>
      <c r="P178">
        <f>IF($W178="","",IF(ISNUMBER(SEARCH("3&amp;12",SUBSTITUTE(F178," ",""))),Settings!$G$6,Settings!$C$6))</f>
        <v/>
      </c>
      <c r="Q178" s="7">
        <f>IF($W178="","",SUMIFS('Per Line'!$O$2:$O$3001,'Per Line'!$B$2:$B$3001,$B178,'Per Line'!$AB$2:$AB$3001,1))</f>
        <v/>
      </c>
      <c r="R178" s="7">
        <f>IF($W178="","",Q178*P178)</f>
        <v/>
      </c>
      <c r="S178" s="7">
        <f>IF($W178="","",R178+O178)</f>
        <v/>
      </c>
      <c r="T178" s="7">
        <f>IF($W178="","",V178-S178)</f>
        <v/>
      </c>
      <c r="U178" s="7">
        <f>IF($W178="","",V178-S178-K178)</f>
        <v/>
      </c>
      <c r="V178" s="7">
        <f>IF($W178="","",N178+Q178)</f>
        <v/>
      </c>
      <c r="W178" s="16">
        <f>IF(ROWS($W$2:$W178)&lt;=MAX('Per Line'!$AA$2:$AA$3001),MATCH(ROWS($W$2:$W178),'Per Line'!$AA$2:$AA$3001,0),"")</f>
        <v/>
      </c>
      <c r="X178">
        <f>IF($W178="","",D178&amp;"|"&amp;COUNTIF($D$2:$D178,D178))</f>
        <v/>
      </c>
    </row>
    <row r="179">
      <c r="A179" s="15" t="n"/>
      <c r="B179">
        <f>IF($W179="","",INDEX('Per Line'!$B$2:$B$3001,$W179)&amp;"")</f>
        <v/>
      </c>
      <c r="C179">
        <f>IF($W179="","",INDEX('Per Line'!$C$2:$C$3001,$W179)&amp;"")</f>
        <v/>
      </c>
      <c r="D179">
        <f>IF($W179="","",IF(OR(TRIM(E179)="Orient Insurance Company",TRIM(E179)="Allianz"),TRIM(E179),TRIM(F179)))</f>
        <v/>
      </c>
      <c r="E179">
        <f>IF($W179="","",INDEX('Per Line'!$E$2:$E$3001,$W179)&amp;"")</f>
        <v/>
      </c>
      <c r="F179">
        <f>IF($W179="","",INDEX('Per Line'!$D$2:$D$3001,$W179)&amp;"")</f>
        <v/>
      </c>
      <c r="G179">
        <f>IF($W179="","",INDEX('Per Line'!$F$2:$F$3001,$W179)&amp;"")</f>
        <v/>
      </c>
      <c r="H179">
        <f>IF($W179="","",INDEX('Per Line'!$G$2:$G$3001,$W179)&amp;"")</f>
        <v/>
      </c>
      <c r="I179">
        <f>IF($W179="","",INDEX('Per Line'!$H$2:$H$3001,$W179)&amp;"")</f>
        <v/>
      </c>
      <c r="J179">
        <f>IF($W179="","",INDEX('Per Line'!$I$2:$I$3001,$W179))</f>
        <v/>
      </c>
      <c r="K179" s="7">
        <f>IF($W179="","",J179*T179/100)</f>
        <v/>
      </c>
      <c r="L179" s="14">
        <f>IF($W179="","",INDEX('Per Line'!$V$2:$V$3001,$W179))</f>
        <v/>
      </c>
      <c r="M179">
        <f>IF($W179="","",IF(ISNUMBER(SEARCH("3&amp;12",SUBSTITUTE(F179," ",""))),Settings!$G$7,Settings!$C$7))</f>
        <v/>
      </c>
      <c r="N179" s="7">
        <f>IF($W179="","",SUMIFS('Per Line'!$O$2:$O$3001,'Per Line'!$B$2:$B$3001,$B179,'Per Line'!$AB$2:$AB$3001,0))</f>
        <v/>
      </c>
      <c r="O179" s="7">
        <f>IF($W179="","",N179*M179)</f>
        <v/>
      </c>
      <c r="P179">
        <f>IF($W179="","",IF(ISNUMBER(SEARCH("3&amp;12",SUBSTITUTE(F179," ",""))),Settings!$G$6,Settings!$C$6))</f>
        <v/>
      </c>
      <c r="Q179" s="7">
        <f>IF($W179="","",SUMIFS('Per Line'!$O$2:$O$3001,'Per Line'!$B$2:$B$3001,$B179,'Per Line'!$AB$2:$AB$3001,1))</f>
        <v/>
      </c>
      <c r="R179" s="7">
        <f>IF($W179="","",Q179*P179)</f>
        <v/>
      </c>
      <c r="S179" s="7">
        <f>IF($W179="","",R179+O179)</f>
        <v/>
      </c>
      <c r="T179" s="7">
        <f>IF($W179="","",V179-S179)</f>
        <v/>
      </c>
      <c r="U179" s="7">
        <f>IF($W179="","",V179-S179-K179)</f>
        <v/>
      </c>
      <c r="V179" s="7">
        <f>IF($W179="","",N179+Q179)</f>
        <v/>
      </c>
      <c r="W179" s="16">
        <f>IF(ROWS($W$2:$W179)&lt;=MAX('Per Line'!$AA$2:$AA$3001),MATCH(ROWS($W$2:$W179),'Per Line'!$AA$2:$AA$3001,0),"")</f>
        <v/>
      </c>
      <c r="X179">
        <f>IF($W179="","",D179&amp;"|"&amp;COUNTIF($D$2:$D179,D179))</f>
        <v/>
      </c>
    </row>
    <row r="180">
      <c r="A180" s="15" t="n"/>
      <c r="B180">
        <f>IF($W180="","",INDEX('Per Line'!$B$2:$B$3001,$W180)&amp;"")</f>
        <v/>
      </c>
      <c r="C180">
        <f>IF($W180="","",INDEX('Per Line'!$C$2:$C$3001,$W180)&amp;"")</f>
        <v/>
      </c>
      <c r="D180">
        <f>IF($W180="","",IF(OR(TRIM(E180)="Orient Insurance Company",TRIM(E180)="Allianz"),TRIM(E180),TRIM(F180)))</f>
        <v/>
      </c>
      <c r="E180">
        <f>IF($W180="","",INDEX('Per Line'!$E$2:$E$3001,$W180)&amp;"")</f>
        <v/>
      </c>
      <c r="F180">
        <f>IF($W180="","",INDEX('Per Line'!$D$2:$D$3001,$W180)&amp;"")</f>
        <v/>
      </c>
      <c r="G180">
        <f>IF($W180="","",INDEX('Per Line'!$F$2:$F$3001,$W180)&amp;"")</f>
        <v/>
      </c>
      <c r="H180">
        <f>IF($W180="","",INDEX('Per Line'!$G$2:$G$3001,$W180)&amp;"")</f>
        <v/>
      </c>
      <c r="I180">
        <f>IF($W180="","",INDEX('Per Line'!$H$2:$H$3001,$W180)&amp;"")</f>
        <v/>
      </c>
      <c r="J180">
        <f>IF($W180="","",INDEX('Per Line'!$I$2:$I$3001,$W180))</f>
        <v/>
      </c>
      <c r="K180" s="7">
        <f>IF($W180="","",J180*T180/100)</f>
        <v/>
      </c>
      <c r="L180" s="14">
        <f>IF($W180="","",INDEX('Per Line'!$V$2:$V$3001,$W180))</f>
        <v/>
      </c>
      <c r="M180">
        <f>IF($W180="","",IF(ISNUMBER(SEARCH("3&amp;12",SUBSTITUTE(F180," ",""))),Settings!$G$7,Settings!$C$7))</f>
        <v/>
      </c>
      <c r="N180" s="7">
        <f>IF($W180="","",SUMIFS('Per Line'!$O$2:$O$3001,'Per Line'!$B$2:$B$3001,$B180,'Per Line'!$AB$2:$AB$3001,0))</f>
        <v/>
      </c>
      <c r="O180" s="7">
        <f>IF($W180="","",N180*M180)</f>
        <v/>
      </c>
      <c r="P180">
        <f>IF($W180="","",IF(ISNUMBER(SEARCH("3&amp;12",SUBSTITUTE(F180," ",""))),Settings!$G$6,Settings!$C$6))</f>
        <v/>
      </c>
      <c r="Q180" s="7">
        <f>IF($W180="","",SUMIFS('Per Line'!$O$2:$O$3001,'Per Line'!$B$2:$B$3001,$B180,'Per Line'!$AB$2:$AB$3001,1))</f>
        <v/>
      </c>
      <c r="R180" s="7">
        <f>IF($W180="","",Q180*P180)</f>
        <v/>
      </c>
      <c r="S180" s="7">
        <f>IF($W180="","",R180+O180)</f>
        <v/>
      </c>
      <c r="T180" s="7">
        <f>IF($W180="","",V180-S180)</f>
        <v/>
      </c>
      <c r="U180" s="7">
        <f>IF($W180="","",V180-S180-K180)</f>
        <v/>
      </c>
      <c r="V180" s="7">
        <f>IF($W180="","",N180+Q180)</f>
        <v/>
      </c>
      <c r="W180" s="16">
        <f>IF(ROWS($W$2:$W180)&lt;=MAX('Per Line'!$AA$2:$AA$3001),MATCH(ROWS($W$2:$W180),'Per Line'!$AA$2:$AA$3001,0),"")</f>
        <v/>
      </c>
      <c r="X180">
        <f>IF($W180="","",D180&amp;"|"&amp;COUNTIF($D$2:$D180,D180))</f>
        <v/>
      </c>
    </row>
    <row r="181">
      <c r="A181" s="15" t="n"/>
      <c r="B181">
        <f>IF($W181="","",INDEX('Per Line'!$B$2:$B$3001,$W181)&amp;"")</f>
        <v/>
      </c>
      <c r="C181">
        <f>IF($W181="","",INDEX('Per Line'!$C$2:$C$3001,$W181)&amp;"")</f>
        <v/>
      </c>
      <c r="D181">
        <f>IF($W181="","",IF(OR(TRIM(E181)="Orient Insurance Company",TRIM(E181)="Allianz"),TRIM(E181),TRIM(F181)))</f>
        <v/>
      </c>
      <c r="E181">
        <f>IF($W181="","",INDEX('Per Line'!$E$2:$E$3001,$W181)&amp;"")</f>
        <v/>
      </c>
      <c r="F181">
        <f>IF($W181="","",INDEX('Per Line'!$D$2:$D$3001,$W181)&amp;"")</f>
        <v/>
      </c>
      <c r="G181">
        <f>IF($W181="","",INDEX('Per Line'!$F$2:$F$3001,$W181)&amp;"")</f>
        <v/>
      </c>
      <c r="H181">
        <f>IF($W181="","",INDEX('Per Line'!$G$2:$G$3001,$W181)&amp;"")</f>
        <v/>
      </c>
      <c r="I181">
        <f>IF($W181="","",INDEX('Per Line'!$H$2:$H$3001,$W181)&amp;"")</f>
        <v/>
      </c>
      <c r="J181">
        <f>IF($W181="","",INDEX('Per Line'!$I$2:$I$3001,$W181))</f>
        <v/>
      </c>
      <c r="K181" s="7">
        <f>IF($W181="","",J181*T181/100)</f>
        <v/>
      </c>
      <c r="L181" s="14">
        <f>IF($W181="","",INDEX('Per Line'!$V$2:$V$3001,$W181))</f>
        <v/>
      </c>
      <c r="M181">
        <f>IF($W181="","",IF(ISNUMBER(SEARCH("3&amp;12",SUBSTITUTE(F181," ",""))),Settings!$G$7,Settings!$C$7))</f>
        <v/>
      </c>
      <c r="N181" s="7">
        <f>IF($W181="","",SUMIFS('Per Line'!$O$2:$O$3001,'Per Line'!$B$2:$B$3001,$B181,'Per Line'!$AB$2:$AB$3001,0))</f>
        <v/>
      </c>
      <c r="O181" s="7">
        <f>IF($W181="","",N181*M181)</f>
        <v/>
      </c>
      <c r="P181">
        <f>IF($W181="","",IF(ISNUMBER(SEARCH("3&amp;12",SUBSTITUTE(F181," ",""))),Settings!$G$6,Settings!$C$6))</f>
        <v/>
      </c>
      <c r="Q181" s="7">
        <f>IF($W181="","",SUMIFS('Per Line'!$O$2:$O$3001,'Per Line'!$B$2:$B$3001,$B181,'Per Line'!$AB$2:$AB$3001,1))</f>
        <v/>
      </c>
      <c r="R181" s="7">
        <f>IF($W181="","",Q181*P181)</f>
        <v/>
      </c>
      <c r="S181" s="7">
        <f>IF($W181="","",R181+O181)</f>
        <v/>
      </c>
      <c r="T181" s="7">
        <f>IF($W181="","",V181-S181)</f>
        <v/>
      </c>
      <c r="U181" s="7">
        <f>IF($W181="","",V181-S181-K181)</f>
        <v/>
      </c>
      <c r="V181" s="7">
        <f>IF($W181="","",N181+Q181)</f>
        <v/>
      </c>
      <c r="W181" s="16">
        <f>IF(ROWS($W$2:$W181)&lt;=MAX('Per Line'!$AA$2:$AA$3001),MATCH(ROWS($W$2:$W181),'Per Line'!$AA$2:$AA$3001,0),"")</f>
        <v/>
      </c>
      <c r="X181">
        <f>IF($W181="","",D181&amp;"|"&amp;COUNTIF($D$2:$D181,D181))</f>
        <v/>
      </c>
    </row>
    <row r="182">
      <c r="A182" s="15" t="n"/>
      <c r="B182">
        <f>IF($W182="","",INDEX('Per Line'!$B$2:$B$3001,$W182)&amp;"")</f>
        <v/>
      </c>
      <c r="C182">
        <f>IF($W182="","",INDEX('Per Line'!$C$2:$C$3001,$W182)&amp;"")</f>
        <v/>
      </c>
      <c r="D182">
        <f>IF($W182="","",IF(OR(TRIM(E182)="Orient Insurance Company",TRIM(E182)="Allianz"),TRIM(E182),TRIM(F182)))</f>
        <v/>
      </c>
      <c r="E182">
        <f>IF($W182="","",INDEX('Per Line'!$E$2:$E$3001,$W182)&amp;"")</f>
        <v/>
      </c>
      <c r="F182">
        <f>IF($W182="","",INDEX('Per Line'!$D$2:$D$3001,$W182)&amp;"")</f>
        <v/>
      </c>
      <c r="G182">
        <f>IF($W182="","",INDEX('Per Line'!$F$2:$F$3001,$W182)&amp;"")</f>
        <v/>
      </c>
      <c r="H182">
        <f>IF($W182="","",INDEX('Per Line'!$G$2:$G$3001,$W182)&amp;"")</f>
        <v/>
      </c>
      <c r="I182">
        <f>IF($W182="","",INDEX('Per Line'!$H$2:$H$3001,$W182)&amp;"")</f>
        <v/>
      </c>
      <c r="J182">
        <f>IF($W182="","",INDEX('Per Line'!$I$2:$I$3001,$W182))</f>
        <v/>
      </c>
      <c r="K182" s="7">
        <f>IF($W182="","",J182*T182/100)</f>
        <v/>
      </c>
      <c r="L182" s="14">
        <f>IF($W182="","",INDEX('Per Line'!$V$2:$V$3001,$W182))</f>
        <v/>
      </c>
      <c r="M182">
        <f>IF($W182="","",IF(ISNUMBER(SEARCH("3&amp;12",SUBSTITUTE(F182," ",""))),Settings!$G$7,Settings!$C$7))</f>
        <v/>
      </c>
      <c r="N182" s="7">
        <f>IF($W182="","",SUMIFS('Per Line'!$O$2:$O$3001,'Per Line'!$B$2:$B$3001,$B182,'Per Line'!$AB$2:$AB$3001,0))</f>
        <v/>
      </c>
      <c r="O182" s="7">
        <f>IF($W182="","",N182*M182)</f>
        <v/>
      </c>
      <c r="P182">
        <f>IF($W182="","",IF(ISNUMBER(SEARCH("3&amp;12",SUBSTITUTE(F182," ",""))),Settings!$G$6,Settings!$C$6))</f>
        <v/>
      </c>
      <c r="Q182" s="7">
        <f>IF($W182="","",SUMIFS('Per Line'!$O$2:$O$3001,'Per Line'!$B$2:$B$3001,$B182,'Per Line'!$AB$2:$AB$3001,1))</f>
        <v/>
      </c>
      <c r="R182" s="7">
        <f>IF($W182="","",Q182*P182)</f>
        <v/>
      </c>
      <c r="S182" s="7">
        <f>IF($W182="","",R182+O182)</f>
        <v/>
      </c>
      <c r="T182" s="7">
        <f>IF($W182="","",V182-S182)</f>
        <v/>
      </c>
      <c r="U182" s="7">
        <f>IF($W182="","",V182-S182-K182)</f>
        <v/>
      </c>
      <c r="V182" s="7">
        <f>IF($W182="","",N182+Q182)</f>
        <v/>
      </c>
      <c r="W182" s="16">
        <f>IF(ROWS($W$2:$W182)&lt;=MAX('Per Line'!$AA$2:$AA$3001),MATCH(ROWS($W$2:$W182),'Per Line'!$AA$2:$AA$3001,0),"")</f>
        <v/>
      </c>
      <c r="X182">
        <f>IF($W182="","",D182&amp;"|"&amp;COUNTIF($D$2:$D182,D182))</f>
        <v/>
      </c>
    </row>
    <row r="183">
      <c r="A183" s="15" t="n"/>
      <c r="B183">
        <f>IF($W183="","",INDEX('Per Line'!$B$2:$B$3001,$W183)&amp;"")</f>
        <v/>
      </c>
      <c r="C183">
        <f>IF($W183="","",INDEX('Per Line'!$C$2:$C$3001,$W183)&amp;"")</f>
        <v/>
      </c>
      <c r="D183">
        <f>IF($W183="","",IF(OR(TRIM(E183)="Orient Insurance Company",TRIM(E183)="Allianz"),TRIM(E183),TRIM(F183)))</f>
        <v/>
      </c>
      <c r="E183">
        <f>IF($W183="","",INDEX('Per Line'!$E$2:$E$3001,$W183)&amp;"")</f>
        <v/>
      </c>
      <c r="F183">
        <f>IF($W183="","",INDEX('Per Line'!$D$2:$D$3001,$W183)&amp;"")</f>
        <v/>
      </c>
      <c r="G183">
        <f>IF($W183="","",INDEX('Per Line'!$F$2:$F$3001,$W183)&amp;"")</f>
        <v/>
      </c>
      <c r="H183">
        <f>IF($W183="","",INDEX('Per Line'!$G$2:$G$3001,$W183)&amp;"")</f>
        <v/>
      </c>
      <c r="I183">
        <f>IF($W183="","",INDEX('Per Line'!$H$2:$H$3001,$W183)&amp;"")</f>
        <v/>
      </c>
      <c r="J183">
        <f>IF($W183="","",INDEX('Per Line'!$I$2:$I$3001,$W183))</f>
        <v/>
      </c>
      <c r="K183" s="7">
        <f>IF($W183="","",J183*T183/100)</f>
        <v/>
      </c>
      <c r="L183" s="14">
        <f>IF($W183="","",INDEX('Per Line'!$V$2:$V$3001,$W183))</f>
        <v/>
      </c>
      <c r="M183">
        <f>IF($W183="","",IF(ISNUMBER(SEARCH("3&amp;12",SUBSTITUTE(F183," ",""))),Settings!$G$7,Settings!$C$7))</f>
        <v/>
      </c>
      <c r="N183" s="7">
        <f>IF($W183="","",SUMIFS('Per Line'!$O$2:$O$3001,'Per Line'!$B$2:$B$3001,$B183,'Per Line'!$AB$2:$AB$3001,0))</f>
        <v/>
      </c>
      <c r="O183" s="7">
        <f>IF($W183="","",N183*M183)</f>
        <v/>
      </c>
      <c r="P183">
        <f>IF($W183="","",IF(ISNUMBER(SEARCH("3&amp;12",SUBSTITUTE(F183," ",""))),Settings!$G$6,Settings!$C$6))</f>
        <v/>
      </c>
      <c r="Q183" s="7">
        <f>IF($W183="","",SUMIFS('Per Line'!$O$2:$O$3001,'Per Line'!$B$2:$B$3001,$B183,'Per Line'!$AB$2:$AB$3001,1))</f>
        <v/>
      </c>
      <c r="R183" s="7">
        <f>IF($W183="","",Q183*P183)</f>
        <v/>
      </c>
      <c r="S183" s="7">
        <f>IF($W183="","",R183+O183)</f>
        <v/>
      </c>
      <c r="T183" s="7">
        <f>IF($W183="","",V183-S183)</f>
        <v/>
      </c>
      <c r="U183" s="7">
        <f>IF($W183="","",V183-S183-K183)</f>
        <v/>
      </c>
      <c r="V183" s="7">
        <f>IF($W183="","",N183+Q183)</f>
        <v/>
      </c>
      <c r="W183" s="16">
        <f>IF(ROWS($W$2:$W183)&lt;=MAX('Per Line'!$AA$2:$AA$3001),MATCH(ROWS($W$2:$W183),'Per Line'!$AA$2:$AA$3001,0),"")</f>
        <v/>
      </c>
      <c r="X183">
        <f>IF($W183="","",D183&amp;"|"&amp;COUNTIF($D$2:$D183,D183))</f>
        <v/>
      </c>
    </row>
    <row r="184">
      <c r="A184" s="15" t="n"/>
      <c r="B184">
        <f>IF($W184="","",INDEX('Per Line'!$B$2:$B$3001,$W184)&amp;"")</f>
        <v/>
      </c>
      <c r="C184">
        <f>IF($W184="","",INDEX('Per Line'!$C$2:$C$3001,$W184)&amp;"")</f>
        <v/>
      </c>
      <c r="D184">
        <f>IF($W184="","",IF(OR(TRIM(E184)="Orient Insurance Company",TRIM(E184)="Allianz"),TRIM(E184),TRIM(F184)))</f>
        <v/>
      </c>
      <c r="E184">
        <f>IF($W184="","",INDEX('Per Line'!$E$2:$E$3001,$W184)&amp;"")</f>
        <v/>
      </c>
      <c r="F184">
        <f>IF($W184="","",INDEX('Per Line'!$D$2:$D$3001,$W184)&amp;"")</f>
        <v/>
      </c>
      <c r="G184">
        <f>IF($W184="","",INDEX('Per Line'!$F$2:$F$3001,$W184)&amp;"")</f>
        <v/>
      </c>
      <c r="H184">
        <f>IF($W184="","",INDEX('Per Line'!$G$2:$G$3001,$W184)&amp;"")</f>
        <v/>
      </c>
      <c r="I184">
        <f>IF($W184="","",INDEX('Per Line'!$H$2:$H$3001,$W184)&amp;"")</f>
        <v/>
      </c>
      <c r="J184">
        <f>IF($W184="","",INDEX('Per Line'!$I$2:$I$3001,$W184))</f>
        <v/>
      </c>
      <c r="K184" s="7">
        <f>IF($W184="","",J184*T184/100)</f>
        <v/>
      </c>
      <c r="L184" s="14">
        <f>IF($W184="","",INDEX('Per Line'!$V$2:$V$3001,$W184))</f>
        <v/>
      </c>
      <c r="M184">
        <f>IF($W184="","",IF(ISNUMBER(SEARCH("3&amp;12",SUBSTITUTE(F184," ",""))),Settings!$G$7,Settings!$C$7))</f>
        <v/>
      </c>
      <c r="N184" s="7">
        <f>IF($W184="","",SUMIFS('Per Line'!$O$2:$O$3001,'Per Line'!$B$2:$B$3001,$B184,'Per Line'!$AB$2:$AB$3001,0))</f>
        <v/>
      </c>
      <c r="O184" s="7">
        <f>IF($W184="","",N184*M184)</f>
        <v/>
      </c>
      <c r="P184">
        <f>IF($W184="","",IF(ISNUMBER(SEARCH("3&amp;12",SUBSTITUTE(F184," ",""))),Settings!$G$6,Settings!$C$6))</f>
        <v/>
      </c>
      <c r="Q184" s="7">
        <f>IF($W184="","",SUMIFS('Per Line'!$O$2:$O$3001,'Per Line'!$B$2:$B$3001,$B184,'Per Line'!$AB$2:$AB$3001,1))</f>
        <v/>
      </c>
      <c r="R184" s="7">
        <f>IF($W184="","",Q184*P184)</f>
        <v/>
      </c>
      <c r="S184" s="7">
        <f>IF($W184="","",R184+O184)</f>
        <v/>
      </c>
      <c r="T184" s="7">
        <f>IF($W184="","",V184-S184)</f>
        <v/>
      </c>
      <c r="U184" s="7">
        <f>IF($W184="","",V184-S184-K184)</f>
        <v/>
      </c>
      <c r="V184" s="7">
        <f>IF($W184="","",N184+Q184)</f>
        <v/>
      </c>
      <c r="W184" s="16">
        <f>IF(ROWS($W$2:$W184)&lt;=MAX('Per Line'!$AA$2:$AA$3001),MATCH(ROWS($W$2:$W184),'Per Line'!$AA$2:$AA$3001,0),"")</f>
        <v/>
      </c>
      <c r="X184">
        <f>IF($W184="","",D184&amp;"|"&amp;COUNTIF($D$2:$D184,D184))</f>
        <v/>
      </c>
    </row>
    <row r="185">
      <c r="A185" s="15" t="n"/>
      <c r="B185">
        <f>IF($W185="","",INDEX('Per Line'!$B$2:$B$3001,$W185)&amp;"")</f>
        <v/>
      </c>
      <c r="C185">
        <f>IF($W185="","",INDEX('Per Line'!$C$2:$C$3001,$W185)&amp;"")</f>
        <v/>
      </c>
      <c r="D185">
        <f>IF($W185="","",IF(OR(TRIM(E185)="Orient Insurance Company",TRIM(E185)="Allianz"),TRIM(E185),TRIM(F185)))</f>
        <v/>
      </c>
      <c r="E185">
        <f>IF($W185="","",INDEX('Per Line'!$E$2:$E$3001,$W185)&amp;"")</f>
        <v/>
      </c>
      <c r="F185">
        <f>IF($W185="","",INDEX('Per Line'!$D$2:$D$3001,$W185)&amp;"")</f>
        <v/>
      </c>
      <c r="G185">
        <f>IF($W185="","",INDEX('Per Line'!$F$2:$F$3001,$W185)&amp;"")</f>
        <v/>
      </c>
      <c r="H185">
        <f>IF($W185="","",INDEX('Per Line'!$G$2:$G$3001,$W185)&amp;"")</f>
        <v/>
      </c>
      <c r="I185">
        <f>IF($W185="","",INDEX('Per Line'!$H$2:$H$3001,$W185)&amp;"")</f>
        <v/>
      </c>
      <c r="J185">
        <f>IF($W185="","",INDEX('Per Line'!$I$2:$I$3001,$W185))</f>
        <v/>
      </c>
      <c r="K185" s="7">
        <f>IF($W185="","",J185*T185/100)</f>
        <v/>
      </c>
      <c r="L185" s="14">
        <f>IF($W185="","",INDEX('Per Line'!$V$2:$V$3001,$W185))</f>
        <v/>
      </c>
      <c r="M185">
        <f>IF($W185="","",IF(ISNUMBER(SEARCH("3&amp;12",SUBSTITUTE(F185," ",""))),Settings!$G$7,Settings!$C$7))</f>
        <v/>
      </c>
      <c r="N185" s="7">
        <f>IF($W185="","",SUMIFS('Per Line'!$O$2:$O$3001,'Per Line'!$B$2:$B$3001,$B185,'Per Line'!$AB$2:$AB$3001,0))</f>
        <v/>
      </c>
      <c r="O185" s="7">
        <f>IF($W185="","",N185*M185)</f>
        <v/>
      </c>
      <c r="P185">
        <f>IF($W185="","",IF(ISNUMBER(SEARCH("3&amp;12",SUBSTITUTE(F185," ",""))),Settings!$G$6,Settings!$C$6))</f>
        <v/>
      </c>
      <c r="Q185" s="7">
        <f>IF($W185="","",SUMIFS('Per Line'!$O$2:$O$3001,'Per Line'!$B$2:$B$3001,$B185,'Per Line'!$AB$2:$AB$3001,1))</f>
        <v/>
      </c>
      <c r="R185" s="7">
        <f>IF($W185="","",Q185*P185)</f>
        <v/>
      </c>
      <c r="S185" s="7">
        <f>IF($W185="","",R185+O185)</f>
        <v/>
      </c>
      <c r="T185" s="7">
        <f>IF($W185="","",V185-S185)</f>
        <v/>
      </c>
      <c r="U185" s="7">
        <f>IF($W185="","",V185-S185-K185)</f>
        <v/>
      </c>
      <c r="V185" s="7">
        <f>IF($W185="","",N185+Q185)</f>
        <v/>
      </c>
      <c r="W185" s="16">
        <f>IF(ROWS($W$2:$W185)&lt;=MAX('Per Line'!$AA$2:$AA$3001),MATCH(ROWS($W$2:$W185),'Per Line'!$AA$2:$AA$3001,0),"")</f>
        <v/>
      </c>
      <c r="X185">
        <f>IF($W185="","",D185&amp;"|"&amp;COUNTIF($D$2:$D185,D185))</f>
        <v/>
      </c>
    </row>
    <row r="186">
      <c r="A186" s="15" t="n"/>
      <c r="B186">
        <f>IF($W186="","",INDEX('Per Line'!$B$2:$B$3001,$W186)&amp;"")</f>
        <v/>
      </c>
      <c r="C186">
        <f>IF($W186="","",INDEX('Per Line'!$C$2:$C$3001,$W186)&amp;"")</f>
        <v/>
      </c>
      <c r="D186">
        <f>IF($W186="","",IF(OR(TRIM(E186)="Orient Insurance Company",TRIM(E186)="Allianz"),TRIM(E186),TRIM(F186)))</f>
        <v/>
      </c>
      <c r="E186">
        <f>IF($W186="","",INDEX('Per Line'!$E$2:$E$3001,$W186)&amp;"")</f>
        <v/>
      </c>
      <c r="F186">
        <f>IF($W186="","",INDEX('Per Line'!$D$2:$D$3001,$W186)&amp;"")</f>
        <v/>
      </c>
      <c r="G186">
        <f>IF($W186="","",INDEX('Per Line'!$F$2:$F$3001,$W186)&amp;"")</f>
        <v/>
      </c>
      <c r="H186">
        <f>IF($W186="","",INDEX('Per Line'!$G$2:$G$3001,$W186)&amp;"")</f>
        <v/>
      </c>
      <c r="I186">
        <f>IF($W186="","",INDEX('Per Line'!$H$2:$H$3001,$W186)&amp;"")</f>
        <v/>
      </c>
      <c r="J186">
        <f>IF($W186="","",INDEX('Per Line'!$I$2:$I$3001,$W186))</f>
        <v/>
      </c>
      <c r="K186" s="7">
        <f>IF($W186="","",J186*T186/100)</f>
        <v/>
      </c>
      <c r="L186" s="14">
        <f>IF($W186="","",INDEX('Per Line'!$V$2:$V$3001,$W186))</f>
        <v/>
      </c>
      <c r="M186">
        <f>IF($W186="","",IF(ISNUMBER(SEARCH("3&amp;12",SUBSTITUTE(F186," ",""))),Settings!$G$7,Settings!$C$7))</f>
        <v/>
      </c>
      <c r="N186" s="7">
        <f>IF($W186="","",SUMIFS('Per Line'!$O$2:$O$3001,'Per Line'!$B$2:$B$3001,$B186,'Per Line'!$AB$2:$AB$3001,0))</f>
        <v/>
      </c>
      <c r="O186" s="7">
        <f>IF($W186="","",N186*M186)</f>
        <v/>
      </c>
      <c r="P186">
        <f>IF($W186="","",IF(ISNUMBER(SEARCH("3&amp;12",SUBSTITUTE(F186," ",""))),Settings!$G$6,Settings!$C$6))</f>
        <v/>
      </c>
      <c r="Q186" s="7">
        <f>IF($W186="","",SUMIFS('Per Line'!$O$2:$O$3001,'Per Line'!$B$2:$B$3001,$B186,'Per Line'!$AB$2:$AB$3001,1))</f>
        <v/>
      </c>
      <c r="R186" s="7">
        <f>IF($W186="","",Q186*P186)</f>
        <v/>
      </c>
      <c r="S186" s="7">
        <f>IF($W186="","",R186+O186)</f>
        <v/>
      </c>
      <c r="T186" s="7">
        <f>IF($W186="","",V186-S186)</f>
        <v/>
      </c>
      <c r="U186" s="7">
        <f>IF($W186="","",V186-S186-K186)</f>
        <v/>
      </c>
      <c r="V186" s="7">
        <f>IF($W186="","",N186+Q186)</f>
        <v/>
      </c>
      <c r="W186" s="16">
        <f>IF(ROWS($W$2:$W186)&lt;=MAX('Per Line'!$AA$2:$AA$3001),MATCH(ROWS($W$2:$W186),'Per Line'!$AA$2:$AA$3001,0),"")</f>
        <v/>
      </c>
      <c r="X186">
        <f>IF($W186="","",D186&amp;"|"&amp;COUNTIF($D$2:$D186,D186))</f>
        <v/>
      </c>
    </row>
    <row r="187">
      <c r="A187" s="15" t="n"/>
      <c r="B187">
        <f>IF($W187="","",INDEX('Per Line'!$B$2:$B$3001,$W187)&amp;"")</f>
        <v/>
      </c>
      <c r="C187">
        <f>IF($W187="","",INDEX('Per Line'!$C$2:$C$3001,$W187)&amp;"")</f>
        <v/>
      </c>
      <c r="D187">
        <f>IF($W187="","",IF(OR(TRIM(E187)="Orient Insurance Company",TRIM(E187)="Allianz"),TRIM(E187),TRIM(F187)))</f>
        <v/>
      </c>
      <c r="E187">
        <f>IF($W187="","",INDEX('Per Line'!$E$2:$E$3001,$W187)&amp;"")</f>
        <v/>
      </c>
      <c r="F187">
        <f>IF($W187="","",INDEX('Per Line'!$D$2:$D$3001,$W187)&amp;"")</f>
        <v/>
      </c>
      <c r="G187">
        <f>IF($W187="","",INDEX('Per Line'!$F$2:$F$3001,$W187)&amp;"")</f>
        <v/>
      </c>
      <c r="H187">
        <f>IF($W187="","",INDEX('Per Line'!$G$2:$G$3001,$W187)&amp;"")</f>
        <v/>
      </c>
      <c r="I187">
        <f>IF($W187="","",INDEX('Per Line'!$H$2:$H$3001,$W187)&amp;"")</f>
        <v/>
      </c>
      <c r="J187">
        <f>IF($W187="","",INDEX('Per Line'!$I$2:$I$3001,$W187))</f>
        <v/>
      </c>
      <c r="K187" s="7">
        <f>IF($W187="","",J187*T187/100)</f>
        <v/>
      </c>
      <c r="L187" s="14">
        <f>IF($W187="","",INDEX('Per Line'!$V$2:$V$3001,$W187))</f>
        <v/>
      </c>
      <c r="M187">
        <f>IF($W187="","",IF(ISNUMBER(SEARCH("3&amp;12",SUBSTITUTE(F187," ",""))),Settings!$G$7,Settings!$C$7))</f>
        <v/>
      </c>
      <c r="N187" s="7">
        <f>IF($W187="","",SUMIFS('Per Line'!$O$2:$O$3001,'Per Line'!$B$2:$B$3001,$B187,'Per Line'!$AB$2:$AB$3001,0))</f>
        <v/>
      </c>
      <c r="O187" s="7">
        <f>IF($W187="","",N187*M187)</f>
        <v/>
      </c>
      <c r="P187">
        <f>IF($W187="","",IF(ISNUMBER(SEARCH("3&amp;12",SUBSTITUTE(F187," ",""))),Settings!$G$6,Settings!$C$6))</f>
        <v/>
      </c>
      <c r="Q187" s="7">
        <f>IF($W187="","",SUMIFS('Per Line'!$O$2:$O$3001,'Per Line'!$B$2:$B$3001,$B187,'Per Line'!$AB$2:$AB$3001,1))</f>
        <v/>
      </c>
      <c r="R187" s="7">
        <f>IF($W187="","",Q187*P187)</f>
        <v/>
      </c>
      <c r="S187" s="7">
        <f>IF($W187="","",R187+O187)</f>
        <v/>
      </c>
      <c r="T187" s="7">
        <f>IF($W187="","",V187-S187)</f>
        <v/>
      </c>
      <c r="U187" s="7">
        <f>IF($W187="","",V187-S187-K187)</f>
        <v/>
      </c>
      <c r="V187" s="7">
        <f>IF($W187="","",N187+Q187)</f>
        <v/>
      </c>
      <c r="W187" s="16">
        <f>IF(ROWS($W$2:$W187)&lt;=MAX('Per Line'!$AA$2:$AA$3001),MATCH(ROWS($W$2:$W187),'Per Line'!$AA$2:$AA$3001,0),"")</f>
        <v/>
      </c>
      <c r="X187">
        <f>IF($W187="","",D187&amp;"|"&amp;COUNTIF($D$2:$D187,D187))</f>
        <v/>
      </c>
    </row>
    <row r="188">
      <c r="A188" s="15" t="n"/>
      <c r="B188">
        <f>IF($W188="","",INDEX('Per Line'!$B$2:$B$3001,$W188)&amp;"")</f>
        <v/>
      </c>
      <c r="C188">
        <f>IF($W188="","",INDEX('Per Line'!$C$2:$C$3001,$W188)&amp;"")</f>
        <v/>
      </c>
      <c r="D188">
        <f>IF($W188="","",IF(OR(TRIM(E188)="Orient Insurance Company",TRIM(E188)="Allianz"),TRIM(E188),TRIM(F188)))</f>
        <v/>
      </c>
      <c r="E188">
        <f>IF($W188="","",INDEX('Per Line'!$E$2:$E$3001,$W188)&amp;"")</f>
        <v/>
      </c>
      <c r="F188">
        <f>IF($W188="","",INDEX('Per Line'!$D$2:$D$3001,$W188)&amp;"")</f>
        <v/>
      </c>
      <c r="G188">
        <f>IF($W188="","",INDEX('Per Line'!$F$2:$F$3001,$W188)&amp;"")</f>
        <v/>
      </c>
      <c r="H188">
        <f>IF($W188="","",INDEX('Per Line'!$G$2:$G$3001,$W188)&amp;"")</f>
        <v/>
      </c>
      <c r="I188">
        <f>IF($W188="","",INDEX('Per Line'!$H$2:$H$3001,$W188)&amp;"")</f>
        <v/>
      </c>
      <c r="J188">
        <f>IF($W188="","",INDEX('Per Line'!$I$2:$I$3001,$W188))</f>
        <v/>
      </c>
      <c r="K188" s="7">
        <f>IF($W188="","",J188*T188/100)</f>
        <v/>
      </c>
      <c r="L188" s="14">
        <f>IF($W188="","",INDEX('Per Line'!$V$2:$V$3001,$W188))</f>
        <v/>
      </c>
      <c r="M188">
        <f>IF($W188="","",IF(ISNUMBER(SEARCH("3&amp;12",SUBSTITUTE(F188," ",""))),Settings!$G$7,Settings!$C$7))</f>
        <v/>
      </c>
      <c r="N188" s="7">
        <f>IF($W188="","",SUMIFS('Per Line'!$O$2:$O$3001,'Per Line'!$B$2:$B$3001,$B188,'Per Line'!$AB$2:$AB$3001,0))</f>
        <v/>
      </c>
      <c r="O188" s="7">
        <f>IF($W188="","",N188*M188)</f>
        <v/>
      </c>
      <c r="P188">
        <f>IF($W188="","",IF(ISNUMBER(SEARCH("3&amp;12",SUBSTITUTE(F188," ",""))),Settings!$G$6,Settings!$C$6))</f>
        <v/>
      </c>
      <c r="Q188" s="7">
        <f>IF($W188="","",SUMIFS('Per Line'!$O$2:$O$3001,'Per Line'!$B$2:$B$3001,$B188,'Per Line'!$AB$2:$AB$3001,1))</f>
        <v/>
      </c>
      <c r="R188" s="7">
        <f>IF($W188="","",Q188*P188)</f>
        <v/>
      </c>
      <c r="S188" s="7">
        <f>IF($W188="","",R188+O188)</f>
        <v/>
      </c>
      <c r="T188" s="7">
        <f>IF($W188="","",V188-S188)</f>
        <v/>
      </c>
      <c r="U188" s="7">
        <f>IF($W188="","",V188-S188-K188)</f>
        <v/>
      </c>
      <c r="V188" s="7">
        <f>IF($W188="","",N188+Q188)</f>
        <v/>
      </c>
      <c r="W188" s="16">
        <f>IF(ROWS($W$2:$W188)&lt;=MAX('Per Line'!$AA$2:$AA$3001),MATCH(ROWS($W$2:$W188),'Per Line'!$AA$2:$AA$3001,0),"")</f>
        <v/>
      </c>
      <c r="X188">
        <f>IF($W188="","",D188&amp;"|"&amp;COUNTIF($D$2:$D188,D188))</f>
        <v/>
      </c>
    </row>
    <row r="189">
      <c r="A189" s="15" t="n"/>
      <c r="B189">
        <f>IF($W189="","",INDEX('Per Line'!$B$2:$B$3001,$W189)&amp;"")</f>
        <v/>
      </c>
      <c r="C189">
        <f>IF($W189="","",INDEX('Per Line'!$C$2:$C$3001,$W189)&amp;"")</f>
        <v/>
      </c>
      <c r="D189">
        <f>IF($W189="","",IF(OR(TRIM(E189)="Orient Insurance Company",TRIM(E189)="Allianz"),TRIM(E189),TRIM(F189)))</f>
        <v/>
      </c>
      <c r="E189">
        <f>IF($W189="","",INDEX('Per Line'!$E$2:$E$3001,$W189)&amp;"")</f>
        <v/>
      </c>
      <c r="F189">
        <f>IF($W189="","",INDEX('Per Line'!$D$2:$D$3001,$W189)&amp;"")</f>
        <v/>
      </c>
      <c r="G189">
        <f>IF($W189="","",INDEX('Per Line'!$F$2:$F$3001,$W189)&amp;"")</f>
        <v/>
      </c>
      <c r="H189">
        <f>IF($W189="","",INDEX('Per Line'!$G$2:$G$3001,$W189)&amp;"")</f>
        <v/>
      </c>
      <c r="I189">
        <f>IF($W189="","",INDEX('Per Line'!$H$2:$H$3001,$W189)&amp;"")</f>
        <v/>
      </c>
      <c r="J189">
        <f>IF($W189="","",INDEX('Per Line'!$I$2:$I$3001,$W189))</f>
        <v/>
      </c>
      <c r="K189" s="7">
        <f>IF($W189="","",J189*T189/100)</f>
        <v/>
      </c>
      <c r="L189" s="14">
        <f>IF($W189="","",INDEX('Per Line'!$V$2:$V$3001,$W189))</f>
        <v/>
      </c>
      <c r="M189">
        <f>IF($W189="","",IF(ISNUMBER(SEARCH("3&amp;12",SUBSTITUTE(F189," ",""))),Settings!$G$7,Settings!$C$7))</f>
        <v/>
      </c>
      <c r="N189" s="7">
        <f>IF($W189="","",SUMIFS('Per Line'!$O$2:$O$3001,'Per Line'!$B$2:$B$3001,$B189,'Per Line'!$AB$2:$AB$3001,0))</f>
        <v/>
      </c>
      <c r="O189" s="7">
        <f>IF($W189="","",N189*M189)</f>
        <v/>
      </c>
      <c r="P189">
        <f>IF($W189="","",IF(ISNUMBER(SEARCH("3&amp;12",SUBSTITUTE(F189," ",""))),Settings!$G$6,Settings!$C$6))</f>
        <v/>
      </c>
      <c r="Q189" s="7">
        <f>IF($W189="","",SUMIFS('Per Line'!$O$2:$O$3001,'Per Line'!$B$2:$B$3001,$B189,'Per Line'!$AB$2:$AB$3001,1))</f>
        <v/>
      </c>
      <c r="R189" s="7">
        <f>IF($W189="","",Q189*P189)</f>
        <v/>
      </c>
      <c r="S189" s="7">
        <f>IF($W189="","",R189+O189)</f>
        <v/>
      </c>
      <c r="T189" s="7">
        <f>IF($W189="","",V189-S189)</f>
        <v/>
      </c>
      <c r="U189" s="7">
        <f>IF($W189="","",V189-S189-K189)</f>
        <v/>
      </c>
      <c r="V189" s="7">
        <f>IF($W189="","",N189+Q189)</f>
        <v/>
      </c>
      <c r="W189" s="16">
        <f>IF(ROWS($W$2:$W189)&lt;=MAX('Per Line'!$AA$2:$AA$3001),MATCH(ROWS($W$2:$W189),'Per Line'!$AA$2:$AA$3001,0),"")</f>
        <v/>
      </c>
      <c r="X189">
        <f>IF($W189="","",D189&amp;"|"&amp;COUNTIF($D$2:$D189,D189))</f>
        <v/>
      </c>
    </row>
    <row r="190">
      <c r="A190" s="15" t="n"/>
      <c r="B190">
        <f>IF($W190="","",INDEX('Per Line'!$B$2:$B$3001,$W190)&amp;"")</f>
        <v/>
      </c>
      <c r="C190">
        <f>IF($W190="","",INDEX('Per Line'!$C$2:$C$3001,$W190)&amp;"")</f>
        <v/>
      </c>
      <c r="D190">
        <f>IF($W190="","",IF(OR(TRIM(E190)="Orient Insurance Company",TRIM(E190)="Allianz"),TRIM(E190),TRIM(F190)))</f>
        <v/>
      </c>
      <c r="E190">
        <f>IF($W190="","",INDEX('Per Line'!$E$2:$E$3001,$W190)&amp;"")</f>
        <v/>
      </c>
      <c r="F190">
        <f>IF($W190="","",INDEX('Per Line'!$D$2:$D$3001,$W190)&amp;"")</f>
        <v/>
      </c>
      <c r="G190">
        <f>IF($W190="","",INDEX('Per Line'!$F$2:$F$3001,$W190)&amp;"")</f>
        <v/>
      </c>
      <c r="H190">
        <f>IF($W190="","",INDEX('Per Line'!$G$2:$G$3001,$W190)&amp;"")</f>
        <v/>
      </c>
      <c r="I190">
        <f>IF($W190="","",INDEX('Per Line'!$H$2:$H$3001,$W190)&amp;"")</f>
        <v/>
      </c>
      <c r="J190">
        <f>IF($W190="","",INDEX('Per Line'!$I$2:$I$3001,$W190))</f>
        <v/>
      </c>
      <c r="K190" s="7">
        <f>IF($W190="","",J190*T190/100)</f>
        <v/>
      </c>
      <c r="L190" s="14">
        <f>IF($W190="","",INDEX('Per Line'!$V$2:$V$3001,$W190))</f>
        <v/>
      </c>
      <c r="M190">
        <f>IF($W190="","",IF(ISNUMBER(SEARCH("3&amp;12",SUBSTITUTE(F190," ",""))),Settings!$G$7,Settings!$C$7))</f>
        <v/>
      </c>
      <c r="N190" s="7">
        <f>IF($W190="","",SUMIFS('Per Line'!$O$2:$O$3001,'Per Line'!$B$2:$B$3001,$B190,'Per Line'!$AB$2:$AB$3001,0))</f>
        <v/>
      </c>
      <c r="O190" s="7">
        <f>IF($W190="","",N190*M190)</f>
        <v/>
      </c>
      <c r="P190">
        <f>IF($W190="","",IF(ISNUMBER(SEARCH("3&amp;12",SUBSTITUTE(F190," ",""))),Settings!$G$6,Settings!$C$6))</f>
        <v/>
      </c>
      <c r="Q190" s="7">
        <f>IF($W190="","",SUMIFS('Per Line'!$O$2:$O$3001,'Per Line'!$B$2:$B$3001,$B190,'Per Line'!$AB$2:$AB$3001,1))</f>
        <v/>
      </c>
      <c r="R190" s="7">
        <f>IF($W190="","",Q190*P190)</f>
        <v/>
      </c>
      <c r="S190" s="7">
        <f>IF($W190="","",R190+O190)</f>
        <v/>
      </c>
      <c r="T190" s="7">
        <f>IF($W190="","",V190-S190)</f>
        <v/>
      </c>
      <c r="U190" s="7">
        <f>IF($W190="","",V190-S190-K190)</f>
        <v/>
      </c>
      <c r="V190" s="7">
        <f>IF($W190="","",N190+Q190)</f>
        <v/>
      </c>
      <c r="W190" s="16">
        <f>IF(ROWS($W$2:$W190)&lt;=MAX('Per Line'!$AA$2:$AA$3001),MATCH(ROWS($W$2:$W190),'Per Line'!$AA$2:$AA$3001,0),"")</f>
        <v/>
      </c>
      <c r="X190">
        <f>IF($W190="","",D190&amp;"|"&amp;COUNTIF($D$2:$D190,D190))</f>
        <v/>
      </c>
    </row>
    <row r="191">
      <c r="A191" s="15" t="n"/>
      <c r="B191">
        <f>IF($W191="","",INDEX('Per Line'!$B$2:$B$3001,$W191)&amp;"")</f>
        <v/>
      </c>
      <c r="C191">
        <f>IF($W191="","",INDEX('Per Line'!$C$2:$C$3001,$W191)&amp;"")</f>
        <v/>
      </c>
      <c r="D191">
        <f>IF($W191="","",IF(OR(TRIM(E191)="Orient Insurance Company",TRIM(E191)="Allianz"),TRIM(E191),TRIM(F191)))</f>
        <v/>
      </c>
      <c r="E191">
        <f>IF($W191="","",INDEX('Per Line'!$E$2:$E$3001,$W191)&amp;"")</f>
        <v/>
      </c>
      <c r="F191">
        <f>IF($W191="","",INDEX('Per Line'!$D$2:$D$3001,$W191)&amp;"")</f>
        <v/>
      </c>
      <c r="G191">
        <f>IF($W191="","",INDEX('Per Line'!$F$2:$F$3001,$W191)&amp;"")</f>
        <v/>
      </c>
      <c r="H191">
        <f>IF($W191="","",INDEX('Per Line'!$G$2:$G$3001,$W191)&amp;"")</f>
        <v/>
      </c>
      <c r="I191">
        <f>IF($W191="","",INDEX('Per Line'!$H$2:$H$3001,$W191)&amp;"")</f>
        <v/>
      </c>
      <c r="J191">
        <f>IF($W191="","",INDEX('Per Line'!$I$2:$I$3001,$W191))</f>
        <v/>
      </c>
      <c r="K191" s="7">
        <f>IF($W191="","",J191*T191/100)</f>
        <v/>
      </c>
      <c r="L191" s="14">
        <f>IF($W191="","",INDEX('Per Line'!$V$2:$V$3001,$W191))</f>
        <v/>
      </c>
      <c r="M191">
        <f>IF($W191="","",IF(ISNUMBER(SEARCH("3&amp;12",SUBSTITUTE(F191," ",""))),Settings!$G$7,Settings!$C$7))</f>
        <v/>
      </c>
      <c r="N191" s="7">
        <f>IF($W191="","",SUMIFS('Per Line'!$O$2:$O$3001,'Per Line'!$B$2:$B$3001,$B191,'Per Line'!$AB$2:$AB$3001,0))</f>
        <v/>
      </c>
      <c r="O191" s="7">
        <f>IF($W191="","",N191*M191)</f>
        <v/>
      </c>
      <c r="P191">
        <f>IF($W191="","",IF(ISNUMBER(SEARCH("3&amp;12",SUBSTITUTE(F191," ",""))),Settings!$G$6,Settings!$C$6))</f>
        <v/>
      </c>
      <c r="Q191" s="7">
        <f>IF($W191="","",SUMIFS('Per Line'!$O$2:$O$3001,'Per Line'!$B$2:$B$3001,$B191,'Per Line'!$AB$2:$AB$3001,1))</f>
        <v/>
      </c>
      <c r="R191" s="7">
        <f>IF($W191="","",Q191*P191)</f>
        <v/>
      </c>
      <c r="S191" s="7">
        <f>IF($W191="","",R191+O191)</f>
        <v/>
      </c>
      <c r="T191" s="7">
        <f>IF($W191="","",V191-S191)</f>
        <v/>
      </c>
      <c r="U191" s="7">
        <f>IF($W191="","",V191-S191-K191)</f>
        <v/>
      </c>
      <c r="V191" s="7">
        <f>IF($W191="","",N191+Q191)</f>
        <v/>
      </c>
      <c r="W191" s="16">
        <f>IF(ROWS($W$2:$W191)&lt;=MAX('Per Line'!$AA$2:$AA$3001),MATCH(ROWS($W$2:$W191),'Per Line'!$AA$2:$AA$3001,0),"")</f>
        <v/>
      </c>
      <c r="X191">
        <f>IF($W191="","",D191&amp;"|"&amp;COUNTIF($D$2:$D191,D191))</f>
        <v/>
      </c>
    </row>
    <row r="192">
      <c r="A192" s="15" t="n"/>
      <c r="B192">
        <f>IF($W192="","",INDEX('Per Line'!$B$2:$B$3001,$W192)&amp;"")</f>
        <v/>
      </c>
      <c r="C192">
        <f>IF($W192="","",INDEX('Per Line'!$C$2:$C$3001,$W192)&amp;"")</f>
        <v/>
      </c>
      <c r="D192">
        <f>IF($W192="","",IF(OR(TRIM(E192)="Orient Insurance Company",TRIM(E192)="Allianz"),TRIM(E192),TRIM(F192)))</f>
        <v/>
      </c>
      <c r="E192">
        <f>IF($W192="","",INDEX('Per Line'!$E$2:$E$3001,$W192)&amp;"")</f>
        <v/>
      </c>
      <c r="F192">
        <f>IF($W192="","",INDEX('Per Line'!$D$2:$D$3001,$W192)&amp;"")</f>
        <v/>
      </c>
      <c r="G192">
        <f>IF($W192="","",INDEX('Per Line'!$F$2:$F$3001,$W192)&amp;"")</f>
        <v/>
      </c>
      <c r="H192">
        <f>IF($W192="","",INDEX('Per Line'!$G$2:$G$3001,$W192)&amp;"")</f>
        <v/>
      </c>
      <c r="I192">
        <f>IF($W192="","",INDEX('Per Line'!$H$2:$H$3001,$W192)&amp;"")</f>
        <v/>
      </c>
      <c r="J192">
        <f>IF($W192="","",INDEX('Per Line'!$I$2:$I$3001,$W192))</f>
        <v/>
      </c>
      <c r="K192" s="7">
        <f>IF($W192="","",J192*T192/100)</f>
        <v/>
      </c>
      <c r="L192" s="14">
        <f>IF($W192="","",INDEX('Per Line'!$V$2:$V$3001,$W192))</f>
        <v/>
      </c>
      <c r="M192">
        <f>IF($W192="","",IF(ISNUMBER(SEARCH("3&amp;12",SUBSTITUTE(F192," ",""))),Settings!$G$7,Settings!$C$7))</f>
        <v/>
      </c>
      <c r="N192" s="7">
        <f>IF($W192="","",SUMIFS('Per Line'!$O$2:$O$3001,'Per Line'!$B$2:$B$3001,$B192,'Per Line'!$AB$2:$AB$3001,0))</f>
        <v/>
      </c>
      <c r="O192" s="7">
        <f>IF($W192="","",N192*M192)</f>
        <v/>
      </c>
      <c r="P192">
        <f>IF($W192="","",IF(ISNUMBER(SEARCH("3&amp;12",SUBSTITUTE(F192," ",""))),Settings!$G$6,Settings!$C$6))</f>
        <v/>
      </c>
      <c r="Q192" s="7">
        <f>IF($W192="","",SUMIFS('Per Line'!$O$2:$O$3001,'Per Line'!$B$2:$B$3001,$B192,'Per Line'!$AB$2:$AB$3001,1))</f>
        <v/>
      </c>
      <c r="R192" s="7">
        <f>IF($W192="","",Q192*P192)</f>
        <v/>
      </c>
      <c r="S192" s="7">
        <f>IF($W192="","",R192+O192)</f>
        <v/>
      </c>
      <c r="T192" s="7">
        <f>IF($W192="","",V192-S192)</f>
        <v/>
      </c>
      <c r="U192" s="7">
        <f>IF($W192="","",V192-S192-K192)</f>
        <v/>
      </c>
      <c r="V192" s="7">
        <f>IF($W192="","",N192+Q192)</f>
        <v/>
      </c>
      <c r="W192" s="16">
        <f>IF(ROWS($W$2:$W192)&lt;=MAX('Per Line'!$AA$2:$AA$3001),MATCH(ROWS($W$2:$W192),'Per Line'!$AA$2:$AA$3001,0),"")</f>
        <v/>
      </c>
      <c r="X192">
        <f>IF($W192="","",D192&amp;"|"&amp;COUNTIF($D$2:$D192,D192))</f>
        <v/>
      </c>
    </row>
    <row r="193">
      <c r="A193" s="15" t="n"/>
      <c r="B193">
        <f>IF($W193="","",INDEX('Per Line'!$B$2:$B$3001,$W193)&amp;"")</f>
        <v/>
      </c>
      <c r="C193">
        <f>IF($W193="","",INDEX('Per Line'!$C$2:$C$3001,$W193)&amp;"")</f>
        <v/>
      </c>
      <c r="D193">
        <f>IF($W193="","",IF(OR(TRIM(E193)="Orient Insurance Company",TRIM(E193)="Allianz"),TRIM(E193),TRIM(F193)))</f>
        <v/>
      </c>
      <c r="E193">
        <f>IF($W193="","",INDEX('Per Line'!$E$2:$E$3001,$W193)&amp;"")</f>
        <v/>
      </c>
      <c r="F193">
        <f>IF($W193="","",INDEX('Per Line'!$D$2:$D$3001,$W193)&amp;"")</f>
        <v/>
      </c>
      <c r="G193">
        <f>IF($W193="","",INDEX('Per Line'!$F$2:$F$3001,$W193)&amp;"")</f>
        <v/>
      </c>
      <c r="H193">
        <f>IF($W193="","",INDEX('Per Line'!$G$2:$G$3001,$W193)&amp;"")</f>
        <v/>
      </c>
      <c r="I193">
        <f>IF($W193="","",INDEX('Per Line'!$H$2:$H$3001,$W193)&amp;"")</f>
        <v/>
      </c>
      <c r="J193">
        <f>IF($W193="","",INDEX('Per Line'!$I$2:$I$3001,$W193))</f>
        <v/>
      </c>
      <c r="K193" s="7">
        <f>IF($W193="","",J193*T193/100)</f>
        <v/>
      </c>
      <c r="L193" s="14">
        <f>IF($W193="","",INDEX('Per Line'!$V$2:$V$3001,$W193))</f>
        <v/>
      </c>
      <c r="M193">
        <f>IF($W193="","",IF(ISNUMBER(SEARCH("3&amp;12",SUBSTITUTE(F193," ",""))),Settings!$G$7,Settings!$C$7))</f>
        <v/>
      </c>
      <c r="N193" s="7">
        <f>IF($W193="","",SUMIFS('Per Line'!$O$2:$O$3001,'Per Line'!$B$2:$B$3001,$B193,'Per Line'!$AB$2:$AB$3001,0))</f>
        <v/>
      </c>
      <c r="O193" s="7">
        <f>IF($W193="","",N193*M193)</f>
        <v/>
      </c>
      <c r="P193">
        <f>IF($W193="","",IF(ISNUMBER(SEARCH("3&amp;12",SUBSTITUTE(F193," ",""))),Settings!$G$6,Settings!$C$6))</f>
        <v/>
      </c>
      <c r="Q193" s="7">
        <f>IF($W193="","",SUMIFS('Per Line'!$O$2:$O$3001,'Per Line'!$B$2:$B$3001,$B193,'Per Line'!$AB$2:$AB$3001,1))</f>
        <v/>
      </c>
      <c r="R193" s="7">
        <f>IF($W193="","",Q193*P193)</f>
        <v/>
      </c>
      <c r="S193" s="7">
        <f>IF($W193="","",R193+O193)</f>
        <v/>
      </c>
      <c r="T193" s="7">
        <f>IF($W193="","",V193-S193)</f>
        <v/>
      </c>
      <c r="U193" s="7">
        <f>IF($W193="","",V193-S193-K193)</f>
        <v/>
      </c>
      <c r="V193" s="7">
        <f>IF($W193="","",N193+Q193)</f>
        <v/>
      </c>
      <c r="W193" s="16">
        <f>IF(ROWS($W$2:$W193)&lt;=MAX('Per Line'!$AA$2:$AA$3001),MATCH(ROWS($W$2:$W193),'Per Line'!$AA$2:$AA$3001,0),"")</f>
        <v/>
      </c>
      <c r="X193">
        <f>IF($W193="","",D193&amp;"|"&amp;COUNTIF($D$2:$D193,D193))</f>
        <v/>
      </c>
    </row>
    <row r="194">
      <c r="A194" s="15" t="n"/>
      <c r="B194">
        <f>IF($W194="","",INDEX('Per Line'!$B$2:$B$3001,$W194)&amp;"")</f>
        <v/>
      </c>
      <c r="C194">
        <f>IF($W194="","",INDEX('Per Line'!$C$2:$C$3001,$W194)&amp;"")</f>
        <v/>
      </c>
      <c r="D194">
        <f>IF($W194="","",IF(OR(TRIM(E194)="Orient Insurance Company",TRIM(E194)="Allianz"),TRIM(E194),TRIM(F194)))</f>
        <v/>
      </c>
      <c r="E194">
        <f>IF($W194="","",INDEX('Per Line'!$E$2:$E$3001,$W194)&amp;"")</f>
        <v/>
      </c>
      <c r="F194">
        <f>IF($W194="","",INDEX('Per Line'!$D$2:$D$3001,$W194)&amp;"")</f>
        <v/>
      </c>
      <c r="G194">
        <f>IF($W194="","",INDEX('Per Line'!$F$2:$F$3001,$W194)&amp;"")</f>
        <v/>
      </c>
      <c r="H194">
        <f>IF($W194="","",INDEX('Per Line'!$G$2:$G$3001,$W194)&amp;"")</f>
        <v/>
      </c>
      <c r="I194">
        <f>IF($W194="","",INDEX('Per Line'!$H$2:$H$3001,$W194)&amp;"")</f>
        <v/>
      </c>
      <c r="J194">
        <f>IF($W194="","",INDEX('Per Line'!$I$2:$I$3001,$W194))</f>
        <v/>
      </c>
      <c r="K194" s="7">
        <f>IF($W194="","",J194*T194/100)</f>
        <v/>
      </c>
      <c r="L194" s="14">
        <f>IF($W194="","",INDEX('Per Line'!$V$2:$V$3001,$W194))</f>
        <v/>
      </c>
      <c r="M194">
        <f>IF($W194="","",IF(ISNUMBER(SEARCH("3&amp;12",SUBSTITUTE(F194," ",""))),Settings!$G$7,Settings!$C$7))</f>
        <v/>
      </c>
      <c r="N194" s="7">
        <f>IF($W194="","",SUMIFS('Per Line'!$O$2:$O$3001,'Per Line'!$B$2:$B$3001,$B194,'Per Line'!$AB$2:$AB$3001,0))</f>
        <v/>
      </c>
      <c r="O194" s="7">
        <f>IF($W194="","",N194*M194)</f>
        <v/>
      </c>
      <c r="P194">
        <f>IF($W194="","",IF(ISNUMBER(SEARCH("3&amp;12",SUBSTITUTE(F194," ",""))),Settings!$G$6,Settings!$C$6))</f>
        <v/>
      </c>
      <c r="Q194" s="7">
        <f>IF($W194="","",SUMIFS('Per Line'!$O$2:$O$3001,'Per Line'!$B$2:$B$3001,$B194,'Per Line'!$AB$2:$AB$3001,1))</f>
        <v/>
      </c>
      <c r="R194" s="7">
        <f>IF($W194="","",Q194*P194)</f>
        <v/>
      </c>
      <c r="S194" s="7">
        <f>IF($W194="","",R194+O194)</f>
        <v/>
      </c>
      <c r="T194" s="7">
        <f>IF($W194="","",V194-S194)</f>
        <v/>
      </c>
      <c r="U194" s="7">
        <f>IF($W194="","",V194-S194-K194)</f>
        <v/>
      </c>
      <c r="V194" s="7">
        <f>IF($W194="","",N194+Q194)</f>
        <v/>
      </c>
      <c r="W194" s="16">
        <f>IF(ROWS($W$2:$W194)&lt;=MAX('Per Line'!$AA$2:$AA$3001),MATCH(ROWS($W$2:$W194),'Per Line'!$AA$2:$AA$3001,0),"")</f>
        <v/>
      </c>
      <c r="X194">
        <f>IF($W194="","",D194&amp;"|"&amp;COUNTIF($D$2:$D194,D194))</f>
        <v/>
      </c>
    </row>
    <row r="195">
      <c r="A195" s="15" t="n"/>
      <c r="B195">
        <f>IF($W195="","",INDEX('Per Line'!$B$2:$B$3001,$W195)&amp;"")</f>
        <v/>
      </c>
      <c r="C195">
        <f>IF($W195="","",INDEX('Per Line'!$C$2:$C$3001,$W195)&amp;"")</f>
        <v/>
      </c>
      <c r="D195">
        <f>IF($W195="","",IF(OR(TRIM(E195)="Orient Insurance Company",TRIM(E195)="Allianz"),TRIM(E195),TRIM(F195)))</f>
        <v/>
      </c>
      <c r="E195">
        <f>IF($W195="","",INDEX('Per Line'!$E$2:$E$3001,$W195)&amp;"")</f>
        <v/>
      </c>
      <c r="F195">
        <f>IF($W195="","",INDEX('Per Line'!$D$2:$D$3001,$W195)&amp;"")</f>
        <v/>
      </c>
      <c r="G195">
        <f>IF($W195="","",INDEX('Per Line'!$F$2:$F$3001,$W195)&amp;"")</f>
        <v/>
      </c>
      <c r="H195">
        <f>IF($W195="","",INDEX('Per Line'!$G$2:$G$3001,$W195)&amp;"")</f>
        <v/>
      </c>
      <c r="I195">
        <f>IF($W195="","",INDEX('Per Line'!$H$2:$H$3001,$W195)&amp;"")</f>
        <v/>
      </c>
      <c r="J195">
        <f>IF($W195="","",INDEX('Per Line'!$I$2:$I$3001,$W195))</f>
        <v/>
      </c>
      <c r="K195" s="7">
        <f>IF($W195="","",J195*T195/100)</f>
        <v/>
      </c>
      <c r="L195" s="14">
        <f>IF($W195="","",INDEX('Per Line'!$V$2:$V$3001,$W195))</f>
        <v/>
      </c>
      <c r="M195">
        <f>IF($W195="","",IF(ISNUMBER(SEARCH("3&amp;12",SUBSTITUTE(F195," ",""))),Settings!$G$7,Settings!$C$7))</f>
        <v/>
      </c>
      <c r="N195" s="7">
        <f>IF($W195="","",SUMIFS('Per Line'!$O$2:$O$3001,'Per Line'!$B$2:$B$3001,$B195,'Per Line'!$AB$2:$AB$3001,0))</f>
        <v/>
      </c>
      <c r="O195" s="7">
        <f>IF($W195="","",N195*M195)</f>
        <v/>
      </c>
      <c r="P195">
        <f>IF($W195="","",IF(ISNUMBER(SEARCH("3&amp;12",SUBSTITUTE(F195," ",""))),Settings!$G$6,Settings!$C$6))</f>
        <v/>
      </c>
      <c r="Q195" s="7">
        <f>IF($W195="","",SUMIFS('Per Line'!$O$2:$O$3001,'Per Line'!$B$2:$B$3001,$B195,'Per Line'!$AB$2:$AB$3001,1))</f>
        <v/>
      </c>
      <c r="R195" s="7">
        <f>IF($W195="","",Q195*P195)</f>
        <v/>
      </c>
      <c r="S195" s="7">
        <f>IF($W195="","",R195+O195)</f>
        <v/>
      </c>
      <c r="T195" s="7">
        <f>IF($W195="","",V195-S195)</f>
        <v/>
      </c>
      <c r="U195" s="7">
        <f>IF($W195="","",V195-S195-K195)</f>
        <v/>
      </c>
      <c r="V195" s="7">
        <f>IF($W195="","",N195+Q195)</f>
        <v/>
      </c>
      <c r="W195" s="16">
        <f>IF(ROWS($W$2:$W195)&lt;=MAX('Per Line'!$AA$2:$AA$3001),MATCH(ROWS($W$2:$W195),'Per Line'!$AA$2:$AA$3001,0),"")</f>
        <v/>
      </c>
      <c r="X195">
        <f>IF($W195="","",D195&amp;"|"&amp;COUNTIF($D$2:$D195,D195))</f>
        <v/>
      </c>
    </row>
    <row r="196">
      <c r="A196" s="15" t="n"/>
      <c r="B196">
        <f>IF($W196="","",INDEX('Per Line'!$B$2:$B$3001,$W196)&amp;"")</f>
        <v/>
      </c>
      <c r="C196">
        <f>IF($W196="","",INDEX('Per Line'!$C$2:$C$3001,$W196)&amp;"")</f>
        <v/>
      </c>
      <c r="D196">
        <f>IF($W196="","",IF(OR(TRIM(E196)="Orient Insurance Company",TRIM(E196)="Allianz"),TRIM(E196),TRIM(F196)))</f>
        <v/>
      </c>
      <c r="E196">
        <f>IF($W196="","",INDEX('Per Line'!$E$2:$E$3001,$W196)&amp;"")</f>
        <v/>
      </c>
      <c r="F196">
        <f>IF($W196="","",INDEX('Per Line'!$D$2:$D$3001,$W196)&amp;"")</f>
        <v/>
      </c>
      <c r="G196">
        <f>IF($W196="","",INDEX('Per Line'!$F$2:$F$3001,$W196)&amp;"")</f>
        <v/>
      </c>
      <c r="H196">
        <f>IF($W196="","",INDEX('Per Line'!$G$2:$G$3001,$W196)&amp;"")</f>
        <v/>
      </c>
      <c r="I196">
        <f>IF($W196="","",INDEX('Per Line'!$H$2:$H$3001,$W196)&amp;"")</f>
        <v/>
      </c>
      <c r="J196">
        <f>IF($W196="","",INDEX('Per Line'!$I$2:$I$3001,$W196))</f>
        <v/>
      </c>
      <c r="K196" s="7">
        <f>IF($W196="","",J196*T196/100)</f>
        <v/>
      </c>
      <c r="L196" s="14">
        <f>IF($W196="","",INDEX('Per Line'!$V$2:$V$3001,$W196))</f>
        <v/>
      </c>
      <c r="M196">
        <f>IF($W196="","",IF(ISNUMBER(SEARCH("3&amp;12",SUBSTITUTE(F196," ",""))),Settings!$G$7,Settings!$C$7))</f>
        <v/>
      </c>
      <c r="N196" s="7">
        <f>IF($W196="","",SUMIFS('Per Line'!$O$2:$O$3001,'Per Line'!$B$2:$B$3001,$B196,'Per Line'!$AB$2:$AB$3001,0))</f>
        <v/>
      </c>
      <c r="O196" s="7">
        <f>IF($W196="","",N196*M196)</f>
        <v/>
      </c>
      <c r="P196">
        <f>IF($W196="","",IF(ISNUMBER(SEARCH("3&amp;12",SUBSTITUTE(F196," ",""))),Settings!$G$6,Settings!$C$6))</f>
        <v/>
      </c>
      <c r="Q196" s="7">
        <f>IF($W196="","",SUMIFS('Per Line'!$O$2:$O$3001,'Per Line'!$B$2:$B$3001,$B196,'Per Line'!$AB$2:$AB$3001,1))</f>
        <v/>
      </c>
      <c r="R196" s="7">
        <f>IF($W196="","",Q196*P196)</f>
        <v/>
      </c>
      <c r="S196" s="7">
        <f>IF($W196="","",R196+O196)</f>
        <v/>
      </c>
      <c r="T196" s="7">
        <f>IF($W196="","",V196-S196)</f>
        <v/>
      </c>
      <c r="U196" s="7">
        <f>IF($W196="","",V196-S196-K196)</f>
        <v/>
      </c>
      <c r="V196" s="7">
        <f>IF($W196="","",N196+Q196)</f>
        <v/>
      </c>
      <c r="W196" s="16">
        <f>IF(ROWS($W$2:$W196)&lt;=MAX('Per Line'!$AA$2:$AA$3001),MATCH(ROWS($W$2:$W196),'Per Line'!$AA$2:$AA$3001,0),"")</f>
        <v/>
      </c>
      <c r="X196">
        <f>IF($W196="","",D196&amp;"|"&amp;COUNTIF($D$2:$D196,D196))</f>
        <v/>
      </c>
    </row>
    <row r="197">
      <c r="A197" s="15" t="n"/>
      <c r="B197">
        <f>IF($W197="","",INDEX('Per Line'!$B$2:$B$3001,$W197)&amp;"")</f>
        <v/>
      </c>
      <c r="C197">
        <f>IF($W197="","",INDEX('Per Line'!$C$2:$C$3001,$W197)&amp;"")</f>
        <v/>
      </c>
      <c r="D197">
        <f>IF($W197="","",IF(OR(TRIM(E197)="Orient Insurance Company",TRIM(E197)="Allianz"),TRIM(E197),TRIM(F197)))</f>
        <v/>
      </c>
      <c r="E197">
        <f>IF($W197="","",INDEX('Per Line'!$E$2:$E$3001,$W197)&amp;"")</f>
        <v/>
      </c>
      <c r="F197">
        <f>IF($W197="","",INDEX('Per Line'!$D$2:$D$3001,$W197)&amp;"")</f>
        <v/>
      </c>
      <c r="G197">
        <f>IF($W197="","",INDEX('Per Line'!$F$2:$F$3001,$W197)&amp;"")</f>
        <v/>
      </c>
      <c r="H197">
        <f>IF($W197="","",INDEX('Per Line'!$G$2:$G$3001,$W197)&amp;"")</f>
        <v/>
      </c>
      <c r="I197">
        <f>IF($W197="","",INDEX('Per Line'!$H$2:$H$3001,$W197)&amp;"")</f>
        <v/>
      </c>
      <c r="J197">
        <f>IF($W197="","",INDEX('Per Line'!$I$2:$I$3001,$W197))</f>
        <v/>
      </c>
      <c r="K197" s="7">
        <f>IF($W197="","",J197*T197/100)</f>
        <v/>
      </c>
      <c r="L197" s="14">
        <f>IF($W197="","",INDEX('Per Line'!$V$2:$V$3001,$W197))</f>
        <v/>
      </c>
      <c r="M197">
        <f>IF($W197="","",IF(ISNUMBER(SEARCH("3&amp;12",SUBSTITUTE(F197," ",""))),Settings!$G$7,Settings!$C$7))</f>
        <v/>
      </c>
      <c r="N197" s="7">
        <f>IF($W197="","",SUMIFS('Per Line'!$O$2:$O$3001,'Per Line'!$B$2:$B$3001,$B197,'Per Line'!$AB$2:$AB$3001,0))</f>
        <v/>
      </c>
      <c r="O197" s="7">
        <f>IF($W197="","",N197*M197)</f>
        <v/>
      </c>
      <c r="P197">
        <f>IF($W197="","",IF(ISNUMBER(SEARCH("3&amp;12",SUBSTITUTE(F197," ",""))),Settings!$G$6,Settings!$C$6))</f>
        <v/>
      </c>
      <c r="Q197" s="7">
        <f>IF($W197="","",SUMIFS('Per Line'!$O$2:$O$3001,'Per Line'!$B$2:$B$3001,$B197,'Per Line'!$AB$2:$AB$3001,1))</f>
        <v/>
      </c>
      <c r="R197" s="7">
        <f>IF($W197="","",Q197*P197)</f>
        <v/>
      </c>
      <c r="S197" s="7">
        <f>IF($W197="","",R197+O197)</f>
        <v/>
      </c>
      <c r="T197" s="7">
        <f>IF($W197="","",V197-S197)</f>
        <v/>
      </c>
      <c r="U197" s="7">
        <f>IF($W197="","",V197-S197-K197)</f>
        <v/>
      </c>
      <c r="V197" s="7">
        <f>IF($W197="","",N197+Q197)</f>
        <v/>
      </c>
      <c r="W197" s="16">
        <f>IF(ROWS($W$2:$W197)&lt;=MAX('Per Line'!$AA$2:$AA$3001),MATCH(ROWS($W$2:$W197),'Per Line'!$AA$2:$AA$3001,0),"")</f>
        <v/>
      </c>
      <c r="X197">
        <f>IF($W197="","",D197&amp;"|"&amp;COUNTIF($D$2:$D197,D197))</f>
        <v/>
      </c>
    </row>
    <row r="198">
      <c r="A198" s="15" t="n"/>
      <c r="B198">
        <f>IF($W198="","",INDEX('Per Line'!$B$2:$B$3001,$W198)&amp;"")</f>
        <v/>
      </c>
      <c r="C198">
        <f>IF($W198="","",INDEX('Per Line'!$C$2:$C$3001,$W198)&amp;"")</f>
        <v/>
      </c>
      <c r="D198">
        <f>IF($W198="","",IF(OR(TRIM(E198)="Orient Insurance Company",TRIM(E198)="Allianz"),TRIM(E198),TRIM(F198)))</f>
        <v/>
      </c>
      <c r="E198">
        <f>IF($W198="","",INDEX('Per Line'!$E$2:$E$3001,$W198)&amp;"")</f>
        <v/>
      </c>
      <c r="F198">
        <f>IF($W198="","",INDEX('Per Line'!$D$2:$D$3001,$W198)&amp;"")</f>
        <v/>
      </c>
      <c r="G198">
        <f>IF($W198="","",INDEX('Per Line'!$F$2:$F$3001,$W198)&amp;"")</f>
        <v/>
      </c>
      <c r="H198">
        <f>IF($W198="","",INDEX('Per Line'!$G$2:$G$3001,$W198)&amp;"")</f>
        <v/>
      </c>
      <c r="I198">
        <f>IF($W198="","",INDEX('Per Line'!$H$2:$H$3001,$W198)&amp;"")</f>
        <v/>
      </c>
      <c r="J198">
        <f>IF($W198="","",INDEX('Per Line'!$I$2:$I$3001,$W198))</f>
        <v/>
      </c>
      <c r="K198" s="7">
        <f>IF($W198="","",J198*T198/100)</f>
        <v/>
      </c>
      <c r="L198" s="14">
        <f>IF($W198="","",INDEX('Per Line'!$V$2:$V$3001,$W198))</f>
        <v/>
      </c>
      <c r="M198">
        <f>IF($W198="","",IF(ISNUMBER(SEARCH("3&amp;12",SUBSTITUTE(F198," ",""))),Settings!$G$7,Settings!$C$7))</f>
        <v/>
      </c>
      <c r="N198" s="7">
        <f>IF($W198="","",SUMIFS('Per Line'!$O$2:$O$3001,'Per Line'!$B$2:$B$3001,$B198,'Per Line'!$AB$2:$AB$3001,0))</f>
        <v/>
      </c>
      <c r="O198" s="7">
        <f>IF($W198="","",N198*M198)</f>
        <v/>
      </c>
      <c r="P198">
        <f>IF($W198="","",IF(ISNUMBER(SEARCH("3&amp;12",SUBSTITUTE(F198," ",""))),Settings!$G$6,Settings!$C$6))</f>
        <v/>
      </c>
      <c r="Q198" s="7">
        <f>IF($W198="","",SUMIFS('Per Line'!$O$2:$O$3001,'Per Line'!$B$2:$B$3001,$B198,'Per Line'!$AB$2:$AB$3001,1))</f>
        <v/>
      </c>
      <c r="R198" s="7">
        <f>IF($W198="","",Q198*P198)</f>
        <v/>
      </c>
      <c r="S198" s="7">
        <f>IF($W198="","",R198+O198)</f>
        <v/>
      </c>
      <c r="T198" s="7">
        <f>IF($W198="","",V198-S198)</f>
        <v/>
      </c>
      <c r="U198" s="7">
        <f>IF($W198="","",V198-S198-K198)</f>
        <v/>
      </c>
      <c r="V198" s="7">
        <f>IF($W198="","",N198+Q198)</f>
        <v/>
      </c>
      <c r="W198" s="16">
        <f>IF(ROWS($W$2:$W198)&lt;=MAX('Per Line'!$AA$2:$AA$3001),MATCH(ROWS($W$2:$W198),'Per Line'!$AA$2:$AA$3001,0),"")</f>
        <v/>
      </c>
      <c r="X198">
        <f>IF($W198="","",D198&amp;"|"&amp;COUNTIF($D$2:$D198,D198))</f>
        <v/>
      </c>
    </row>
    <row r="199">
      <c r="A199" s="15" t="n"/>
      <c r="B199">
        <f>IF($W199="","",INDEX('Per Line'!$B$2:$B$3001,$W199)&amp;"")</f>
        <v/>
      </c>
      <c r="C199">
        <f>IF($W199="","",INDEX('Per Line'!$C$2:$C$3001,$W199)&amp;"")</f>
        <v/>
      </c>
      <c r="D199">
        <f>IF($W199="","",IF(OR(TRIM(E199)="Orient Insurance Company",TRIM(E199)="Allianz"),TRIM(E199),TRIM(F199)))</f>
        <v/>
      </c>
      <c r="E199">
        <f>IF($W199="","",INDEX('Per Line'!$E$2:$E$3001,$W199)&amp;"")</f>
        <v/>
      </c>
      <c r="F199">
        <f>IF($W199="","",INDEX('Per Line'!$D$2:$D$3001,$W199)&amp;"")</f>
        <v/>
      </c>
      <c r="G199">
        <f>IF($W199="","",INDEX('Per Line'!$F$2:$F$3001,$W199)&amp;"")</f>
        <v/>
      </c>
      <c r="H199">
        <f>IF($W199="","",INDEX('Per Line'!$G$2:$G$3001,$W199)&amp;"")</f>
        <v/>
      </c>
      <c r="I199">
        <f>IF($W199="","",INDEX('Per Line'!$H$2:$H$3001,$W199)&amp;"")</f>
        <v/>
      </c>
      <c r="J199">
        <f>IF($W199="","",INDEX('Per Line'!$I$2:$I$3001,$W199))</f>
        <v/>
      </c>
      <c r="K199" s="7">
        <f>IF($W199="","",J199*T199/100)</f>
        <v/>
      </c>
      <c r="L199" s="14">
        <f>IF($W199="","",INDEX('Per Line'!$V$2:$V$3001,$W199))</f>
        <v/>
      </c>
      <c r="M199">
        <f>IF($W199="","",IF(ISNUMBER(SEARCH("3&amp;12",SUBSTITUTE(F199," ",""))),Settings!$G$7,Settings!$C$7))</f>
        <v/>
      </c>
      <c r="N199" s="7">
        <f>IF($W199="","",SUMIFS('Per Line'!$O$2:$O$3001,'Per Line'!$B$2:$B$3001,$B199,'Per Line'!$AB$2:$AB$3001,0))</f>
        <v/>
      </c>
      <c r="O199" s="7">
        <f>IF($W199="","",N199*M199)</f>
        <v/>
      </c>
      <c r="P199">
        <f>IF($W199="","",IF(ISNUMBER(SEARCH("3&amp;12",SUBSTITUTE(F199," ",""))),Settings!$G$6,Settings!$C$6))</f>
        <v/>
      </c>
      <c r="Q199" s="7">
        <f>IF($W199="","",SUMIFS('Per Line'!$O$2:$O$3001,'Per Line'!$B$2:$B$3001,$B199,'Per Line'!$AB$2:$AB$3001,1))</f>
        <v/>
      </c>
      <c r="R199" s="7">
        <f>IF($W199="","",Q199*P199)</f>
        <v/>
      </c>
      <c r="S199" s="7">
        <f>IF($W199="","",R199+O199)</f>
        <v/>
      </c>
      <c r="T199" s="7">
        <f>IF($W199="","",V199-S199)</f>
        <v/>
      </c>
      <c r="U199" s="7">
        <f>IF($W199="","",V199-S199-K199)</f>
        <v/>
      </c>
      <c r="V199" s="7">
        <f>IF($W199="","",N199+Q199)</f>
        <v/>
      </c>
      <c r="W199" s="16">
        <f>IF(ROWS($W$2:$W199)&lt;=MAX('Per Line'!$AA$2:$AA$3001),MATCH(ROWS($W$2:$W199),'Per Line'!$AA$2:$AA$3001,0),"")</f>
        <v/>
      </c>
      <c r="X199">
        <f>IF($W199="","",D199&amp;"|"&amp;COUNTIF($D$2:$D199,D199))</f>
        <v/>
      </c>
    </row>
    <row r="200">
      <c r="A200" s="15" t="n"/>
      <c r="B200">
        <f>IF($W200="","",INDEX('Per Line'!$B$2:$B$3001,$W200)&amp;"")</f>
        <v/>
      </c>
      <c r="C200">
        <f>IF($W200="","",INDEX('Per Line'!$C$2:$C$3001,$W200)&amp;"")</f>
        <v/>
      </c>
      <c r="D200">
        <f>IF($W200="","",IF(OR(TRIM(E200)="Orient Insurance Company",TRIM(E200)="Allianz"),TRIM(E200),TRIM(F200)))</f>
        <v/>
      </c>
      <c r="E200">
        <f>IF($W200="","",INDEX('Per Line'!$E$2:$E$3001,$W200)&amp;"")</f>
        <v/>
      </c>
      <c r="F200">
        <f>IF($W200="","",INDEX('Per Line'!$D$2:$D$3001,$W200)&amp;"")</f>
        <v/>
      </c>
      <c r="G200">
        <f>IF($W200="","",INDEX('Per Line'!$F$2:$F$3001,$W200)&amp;"")</f>
        <v/>
      </c>
      <c r="H200">
        <f>IF($W200="","",INDEX('Per Line'!$G$2:$G$3001,$W200)&amp;"")</f>
        <v/>
      </c>
      <c r="I200">
        <f>IF($W200="","",INDEX('Per Line'!$H$2:$H$3001,$W200)&amp;"")</f>
        <v/>
      </c>
      <c r="J200">
        <f>IF($W200="","",INDEX('Per Line'!$I$2:$I$3001,$W200))</f>
        <v/>
      </c>
      <c r="K200" s="7">
        <f>IF($W200="","",J200*T200/100)</f>
        <v/>
      </c>
      <c r="L200" s="14">
        <f>IF($W200="","",INDEX('Per Line'!$V$2:$V$3001,$W200))</f>
        <v/>
      </c>
      <c r="M200">
        <f>IF($W200="","",IF(ISNUMBER(SEARCH("3&amp;12",SUBSTITUTE(F200," ",""))),Settings!$G$7,Settings!$C$7))</f>
        <v/>
      </c>
      <c r="N200" s="7">
        <f>IF($W200="","",SUMIFS('Per Line'!$O$2:$O$3001,'Per Line'!$B$2:$B$3001,$B200,'Per Line'!$AB$2:$AB$3001,0))</f>
        <v/>
      </c>
      <c r="O200" s="7">
        <f>IF($W200="","",N200*M200)</f>
        <v/>
      </c>
      <c r="P200">
        <f>IF($W200="","",IF(ISNUMBER(SEARCH("3&amp;12",SUBSTITUTE(F200," ",""))),Settings!$G$6,Settings!$C$6))</f>
        <v/>
      </c>
      <c r="Q200" s="7">
        <f>IF($W200="","",SUMIFS('Per Line'!$O$2:$O$3001,'Per Line'!$B$2:$B$3001,$B200,'Per Line'!$AB$2:$AB$3001,1))</f>
        <v/>
      </c>
      <c r="R200" s="7">
        <f>IF($W200="","",Q200*P200)</f>
        <v/>
      </c>
      <c r="S200" s="7">
        <f>IF($W200="","",R200+O200)</f>
        <v/>
      </c>
      <c r="T200" s="7">
        <f>IF($W200="","",V200-S200)</f>
        <v/>
      </c>
      <c r="U200" s="7">
        <f>IF($W200="","",V200-S200-K200)</f>
        <v/>
      </c>
      <c r="V200" s="7">
        <f>IF($W200="","",N200+Q200)</f>
        <v/>
      </c>
      <c r="W200" s="16">
        <f>IF(ROWS($W$2:$W200)&lt;=MAX('Per Line'!$AA$2:$AA$3001),MATCH(ROWS($W$2:$W200),'Per Line'!$AA$2:$AA$3001,0),"")</f>
        <v/>
      </c>
      <c r="X200">
        <f>IF($W200="","",D200&amp;"|"&amp;COUNTIF($D$2:$D200,D200))</f>
        <v/>
      </c>
    </row>
    <row r="201">
      <c r="A201" s="15" t="n"/>
      <c r="B201">
        <f>IF($W201="","",INDEX('Per Line'!$B$2:$B$3001,$W201)&amp;"")</f>
        <v/>
      </c>
      <c r="C201">
        <f>IF($W201="","",INDEX('Per Line'!$C$2:$C$3001,$W201)&amp;"")</f>
        <v/>
      </c>
      <c r="D201">
        <f>IF($W201="","",IF(OR(TRIM(E201)="Orient Insurance Company",TRIM(E201)="Allianz"),TRIM(E201),TRIM(F201)))</f>
        <v/>
      </c>
      <c r="E201">
        <f>IF($W201="","",INDEX('Per Line'!$E$2:$E$3001,$W201)&amp;"")</f>
        <v/>
      </c>
      <c r="F201">
        <f>IF($W201="","",INDEX('Per Line'!$D$2:$D$3001,$W201)&amp;"")</f>
        <v/>
      </c>
      <c r="G201">
        <f>IF($W201="","",INDEX('Per Line'!$F$2:$F$3001,$W201)&amp;"")</f>
        <v/>
      </c>
      <c r="H201">
        <f>IF($W201="","",INDEX('Per Line'!$G$2:$G$3001,$W201)&amp;"")</f>
        <v/>
      </c>
      <c r="I201">
        <f>IF($W201="","",INDEX('Per Line'!$H$2:$H$3001,$W201)&amp;"")</f>
        <v/>
      </c>
      <c r="J201">
        <f>IF($W201="","",INDEX('Per Line'!$I$2:$I$3001,$W201))</f>
        <v/>
      </c>
      <c r="K201" s="7">
        <f>IF($W201="","",J201*T201/100)</f>
        <v/>
      </c>
      <c r="L201" s="14">
        <f>IF($W201="","",INDEX('Per Line'!$V$2:$V$3001,$W201))</f>
        <v/>
      </c>
      <c r="M201">
        <f>IF($W201="","",IF(ISNUMBER(SEARCH("3&amp;12",SUBSTITUTE(F201," ",""))),Settings!$G$7,Settings!$C$7))</f>
        <v/>
      </c>
      <c r="N201" s="7">
        <f>IF($W201="","",SUMIFS('Per Line'!$O$2:$O$3001,'Per Line'!$B$2:$B$3001,$B201,'Per Line'!$AB$2:$AB$3001,0))</f>
        <v/>
      </c>
      <c r="O201" s="7">
        <f>IF($W201="","",N201*M201)</f>
        <v/>
      </c>
      <c r="P201">
        <f>IF($W201="","",IF(ISNUMBER(SEARCH("3&amp;12",SUBSTITUTE(F201," ",""))),Settings!$G$6,Settings!$C$6))</f>
        <v/>
      </c>
      <c r="Q201" s="7">
        <f>IF($W201="","",SUMIFS('Per Line'!$O$2:$O$3001,'Per Line'!$B$2:$B$3001,$B201,'Per Line'!$AB$2:$AB$3001,1))</f>
        <v/>
      </c>
      <c r="R201" s="7">
        <f>IF($W201="","",Q201*P201)</f>
        <v/>
      </c>
      <c r="S201" s="7">
        <f>IF($W201="","",R201+O201)</f>
        <v/>
      </c>
      <c r="T201" s="7">
        <f>IF($W201="","",V201-S201)</f>
        <v/>
      </c>
      <c r="U201" s="7">
        <f>IF($W201="","",V201-S201-K201)</f>
        <v/>
      </c>
      <c r="V201" s="7">
        <f>IF($W201="","",N201+Q201)</f>
        <v/>
      </c>
      <c r="W201" s="16">
        <f>IF(ROWS($W$2:$W201)&lt;=MAX('Per Line'!$AA$2:$AA$3001),MATCH(ROWS($W$2:$W201),'Per Line'!$AA$2:$AA$3001,0),"")</f>
        <v/>
      </c>
      <c r="X201">
        <f>IF($W201="","",D201&amp;"|"&amp;COUNTIF($D$2:$D201,D201))</f>
        <v/>
      </c>
    </row>
    <row r="202">
      <c r="A202" s="15" t="n"/>
      <c r="B202">
        <f>IF($W202="","",INDEX('Per Line'!$B$2:$B$3001,$W202)&amp;"")</f>
        <v/>
      </c>
      <c r="C202">
        <f>IF($W202="","",INDEX('Per Line'!$C$2:$C$3001,$W202)&amp;"")</f>
        <v/>
      </c>
      <c r="D202">
        <f>IF($W202="","",IF(OR(TRIM(E202)="Orient Insurance Company",TRIM(E202)="Allianz"),TRIM(E202),TRIM(F202)))</f>
        <v/>
      </c>
      <c r="E202">
        <f>IF($W202="","",INDEX('Per Line'!$E$2:$E$3001,$W202)&amp;"")</f>
        <v/>
      </c>
      <c r="F202">
        <f>IF($W202="","",INDEX('Per Line'!$D$2:$D$3001,$W202)&amp;"")</f>
        <v/>
      </c>
      <c r="G202">
        <f>IF($W202="","",INDEX('Per Line'!$F$2:$F$3001,$W202)&amp;"")</f>
        <v/>
      </c>
      <c r="H202">
        <f>IF($W202="","",INDEX('Per Line'!$G$2:$G$3001,$W202)&amp;"")</f>
        <v/>
      </c>
      <c r="I202">
        <f>IF($W202="","",INDEX('Per Line'!$H$2:$H$3001,$W202)&amp;"")</f>
        <v/>
      </c>
      <c r="J202">
        <f>IF($W202="","",INDEX('Per Line'!$I$2:$I$3001,$W202))</f>
        <v/>
      </c>
      <c r="K202" s="7">
        <f>IF($W202="","",J202*T202/100)</f>
        <v/>
      </c>
      <c r="L202" s="14">
        <f>IF($W202="","",INDEX('Per Line'!$V$2:$V$3001,$W202))</f>
        <v/>
      </c>
      <c r="M202">
        <f>IF($W202="","",IF(ISNUMBER(SEARCH("3&amp;12",SUBSTITUTE(F202," ",""))),Settings!$G$7,Settings!$C$7))</f>
        <v/>
      </c>
      <c r="N202" s="7">
        <f>IF($W202="","",SUMIFS('Per Line'!$O$2:$O$3001,'Per Line'!$B$2:$B$3001,$B202,'Per Line'!$AB$2:$AB$3001,0))</f>
        <v/>
      </c>
      <c r="O202" s="7">
        <f>IF($W202="","",N202*M202)</f>
        <v/>
      </c>
      <c r="P202">
        <f>IF($W202="","",IF(ISNUMBER(SEARCH("3&amp;12",SUBSTITUTE(F202," ",""))),Settings!$G$6,Settings!$C$6))</f>
        <v/>
      </c>
      <c r="Q202" s="7">
        <f>IF($W202="","",SUMIFS('Per Line'!$O$2:$O$3001,'Per Line'!$B$2:$B$3001,$B202,'Per Line'!$AB$2:$AB$3001,1))</f>
        <v/>
      </c>
      <c r="R202" s="7">
        <f>IF($W202="","",Q202*P202)</f>
        <v/>
      </c>
      <c r="S202" s="7">
        <f>IF($W202="","",R202+O202)</f>
        <v/>
      </c>
      <c r="T202" s="7">
        <f>IF($W202="","",V202-S202)</f>
        <v/>
      </c>
      <c r="U202" s="7">
        <f>IF($W202="","",V202-S202-K202)</f>
        <v/>
      </c>
      <c r="V202" s="7">
        <f>IF($W202="","",N202+Q202)</f>
        <v/>
      </c>
      <c r="W202" s="16">
        <f>IF(ROWS($W$2:$W202)&lt;=MAX('Per Line'!$AA$2:$AA$3001),MATCH(ROWS($W$2:$W202),'Per Line'!$AA$2:$AA$3001,0),"")</f>
        <v/>
      </c>
      <c r="X202">
        <f>IF($W202="","",D202&amp;"|"&amp;COUNTIF($D$2:$D202,D202))</f>
        <v/>
      </c>
    </row>
    <row r="203">
      <c r="A203" s="15" t="n"/>
      <c r="B203">
        <f>IF($W203="","",INDEX('Per Line'!$B$2:$B$3001,$W203)&amp;"")</f>
        <v/>
      </c>
      <c r="C203">
        <f>IF($W203="","",INDEX('Per Line'!$C$2:$C$3001,$W203)&amp;"")</f>
        <v/>
      </c>
      <c r="D203">
        <f>IF($W203="","",IF(OR(TRIM(E203)="Orient Insurance Company",TRIM(E203)="Allianz"),TRIM(E203),TRIM(F203)))</f>
        <v/>
      </c>
      <c r="E203">
        <f>IF($W203="","",INDEX('Per Line'!$E$2:$E$3001,$W203)&amp;"")</f>
        <v/>
      </c>
      <c r="F203">
        <f>IF($W203="","",INDEX('Per Line'!$D$2:$D$3001,$W203)&amp;"")</f>
        <v/>
      </c>
      <c r="G203">
        <f>IF($W203="","",INDEX('Per Line'!$F$2:$F$3001,$W203)&amp;"")</f>
        <v/>
      </c>
      <c r="H203">
        <f>IF($W203="","",INDEX('Per Line'!$G$2:$G$3001,$W203)&amp;"")</f>
        <v/>
      </c>
      <c r="I203">
        <f>IF($W203="","",INDEX('Per Line'!$H$2:$H$3001,$W203)&amp;"")</f>
        <v/>
      </c>
      <c r="J203">
        <f>IF($W203="","",INDEX('Per Line'!$I$2:$I$3001,$W203))</f>
        <v/>
      </c>
      <c r="K203" s="7">
        <f>IF($W203="","",J203*T203/100)</f>
        <v/>
      </c>
      <c r="L203" s="14">
        <f>IF($W203="","",INDEX('Per Line'!$V$2:$V$3001,$W203))</f>
        <v/>
      </c>
      <c r="M203">
        <f>IF($W203="","",IF(ISNUMBER(SEARCH("3&amp;12",SUBSTITUTE(F203," ",""))),Settings!$G$7,Settings!$C$7))</f>
        <v/>
      </c>
      <c r="N203" s="7">
        <f>IF($W203="","",SUMIFS('Per Line'!$O$2:$O$3001,'Per Line'!$B$2:$B$3001,$B203,'Per Line'!$AB$2:$AB$3001,0))</f>
        <v/>
      </c>
      <c r="O203" s="7">
        <f>IF($W203="","",N203*M203)</f>
        <v/>
      </c>
      <c r="P203">
        <f>IF($W203="","",IF(ISNUMBER(SEARCH("3&amp;12",SUBSTITUTE(F203," ",""))),Settings!$G$6,Settings!$C$6))</f>
        <v/>
      </c>
      <c r="Q203" s="7">
        <f>IF($W203="","",SUMIFS('Per Line'!$O$2:$O$3001,'Per Line'!$B$2:$B$3001,$B203,'Per Line'!$AB$2:$AB$3001,1))</f>
        <v/>
      </c>
      <c r="R203" s="7">
        <f>IF($W203="","",Q203*P203)</f>
        <v/>
      </c>
      <c r="S203" s="7">
        <f>IF($W203="","",R203+O203)</f>
        <v/>
      </c>
      <c r="T203" s="7">
        <f>IF($W203="","",V203-S203)</f>
        <v/>
      </c>
      <c r="U203" s="7">
        <f>IF($W203="","",V203-S203-K203)</f>
        <v/>
      </c>
      <c r="V203" s="7">
        <f>IF($W203="","",N203+Q203)</f>
        <v/>
      </c>
      <c r="W203" s="16">
        <f>IF(ROWS($W$2:$W203)&lt;=MAX('Per Line'!$AA$2:$AA$3001),MATCH(ROWS($W$2:$W203),'Per Line'!$AA$2:$AA$3001,0),"")</f>
        <v/>
      </c>
      <c r="X203">
        <f>IF($W203="","",D203&amp;"|"&amp;COUNTIF($D$2:$D203,D203))</f>
        <v/>
      </c>
    </row>
    <row r="204">
      <c r="A204" s="15" t="n"/>
      <c r="B204">
        <f>IF($W204="","",INDEX('Per Line'!$B$2:$B$3001,$W204)&amp;"")</f>
        <v/>
      </c>
      <c r="C204">
        <f>IF($W204="","",INDEX('Per Line'!$C$2:$C$3001,$W204)&amp;"")</f>
        <v/>
      </c>
      <c r="D204">
        <f>IF($W204="","",IF(OR(TRIM(E204)="Orient Insurance Company",TRIM(E204)="Allianz"),TRIM(E204),TRIM(F204)))</f>
        <v/>
      </c>
      <c r="E204">
        <f>IF($W204="","",INDEX('Per Line'!$E$2:$E$3001,$W204)&amp;"")</f>
        <v/>
      </c>
      <c r="F204">
        <f>IF($W204="","",INDEX('Per Line'!$D$2:$D$3001,$W204)&amp;"")</f>
        <v/>
      </c>
      <c r="G204">
        <f>IF($W204="","",INDEX('Per Line'!$F$2:$F$3001,$W204)&amp;"")</f>
        <v/>
      </c>
      <c r="H204">
        <f>IF($W204="","",INDEX('Per Line'!$G$2:$G$3001,$W204)&amp;"")</f>
        <v/>
      </c>
      <c r="I204">
        <f>IF($W204="","",INDEX('Per Line'!$H$2:$H$3001,$W204)&amp;"")</f>
        <v/>
      </c>
      <c r="J204">
        <f>IF($W204="","",INDEX('Per Line'!$I$2:$I$3001,$W204))</f>
        <v/>
      </c>
      <c r="K204" s="7">
        <f>IF($W204="","",J204*T204/100)</f>
        <v/>
      </c>
      <c r="L204" s="14">
        <f>IF($W204="","",INDEX('Per Line'!$V$2:$V$3001,$W204))</f>
        <v/>
      </c>
      <c r="M204">
        <f>IF($W204="","",IF(ISNUMBER(SEARCH("3&amp;12",SUBSTITUTE(F204," ",""))),Settings!$G$7,Settings!$C$7))</f>
        <v/>
      </c>
      <c r="N204" s="7">
        <f>IF($W204="","",SUMIFS('Per Line'!$O$2:$O$3001,'Per Line'!$B$2:$B$3001,$B204,'Per Line'!$AB$2:$AB$3001,0))</f>
        <v/>
      </c>
      <c r="O204" s="7">
        <f>IF($W204="","",N204*M204)</f>
        <v/>
      </c>
      <c r="P204">
        <f>IF($W204="","",IF(ISNUMBER(SEARCH("3&amp;12",SUBSTITUTE(F204," ",""))),Settings!$G$6,Settings!$C$6))</f>
        <v/>
      </c>
      <c r="Q204" s="7">
        <f>IF($W204="","",SUMIFS('Per Line'!$O$2:$O$3001,'Per Line'!$B$2:$B$3001,$B204,'Per Line'!$AB$2:$AB$3001,1))</f>
        <v/>
      </c>
      <c r="R204" s="7">
        <f>IF($W204="","",Q204*P204)</f>
        <v/>
      </c>
      <c r="S204" s="7">
        <f>IF($W204="","",R204+O204)</f>
        <v/>
      </c>
      <c r="T204" s="7">
        <f>IF($W204="","",V204-S204)</f>
        <v/>
      </c>
      <c r="U204" s="7">
        <f>IF($W204="","",V204-S204-K204)</f>
        <v/>
      </c>
      <c r="V204" s="7">
        <f>IF($W204="","",N204+Q204)</f>
        <v/>
      </c>
      <c r="W204" s="16">
        <f>IF(ROWS($W$2:$W204)&lt;=MAX('Per Line'!$AA$2:$AA$3001),MATCH(ROWS($W$2:$W204),'Per Line'!$AA$2:$AA$3001,0),"")</f>
        <v/>
      </c>
      <c r="X204">
        <f>IF($W204="","",D204&amp;"|"&amp;COUNTIF($D$2:$D204,D204))</f>
        <v/>
      </c>
    </row>
    <row r="205">
      <c r="A205" s="15" t="n"/>
      <c r="B205">
        <f>IF($W205="","",INDEX('Per Line'!$B$2:$B$3001,$W205)&amp;"")</f>
        <v/>
      </c>
      <c r="C205">
        <f>IF($W205="","",INDEX('Per Line'!$C$2:$C$3001,$W205)&amp;"")</f>
        <v/>
      </c>
      <c r="D205">
        <f>IF($W205="","",IF(OR(TRIM(E205)="Orient Insurance Company",TRIM(E205)="Allianz"),TRIM(E205),TRIM(F205)))</f>
        <v/>
      </c>
      <c r="E205">
        <f>IF($W205="","",INDEX('Per Line'!$E$2:$E$3001,$W205)&amp;"")</f>
        <v/>
      </c>
      <c r="F205">
        <f>IF($W205="","",INDEX('Per Line'!$D$2:$D$3001,$W205)&amp;"")</f>
        <v/>
      </c>
      <c r="G205">
        <f>IF($W205="","",INDEX('Per Line'!$F$2:$F$3001,$W205)&amp;"")</f>
        <v/>
      </c>
      <c r="H205">
        <f>IF($W205="","",INDEX('Per Line'!$G$2:$G$3001,$W205)&amp;"")</f>
        <v/>
      </c>
      <c r="I205">
        <f>IF($W205="","",INDEX('Per Line'!$H$2:$H$3001,$W205)&amp;"")</f>
        <v/>
      </c>
      <c r="J205">
        <f>IF($W205="","",INDEX('Per Line'!$I$2:$I$3001,$W205))</f>
        <v/>
      </c>
      <c r="K205" s="7">
        <f>IF($W205="","",J205*T205/100)</f>
        <v/>
      </c>
      <c r="L205" s="14">
        <f>IF($W205="","",INDEX('Per Line'!$V$2:$V$3001,$W205))</f>
        <v/>
      </c>
      <c r="M205">
        <f>IF($W205="","",IF(ISNUMBER(SEARCH("3&amp;12",SUBSTITUTE(F205," ",""))),Settings!$G$7,Settings!$C$7))</f>
        <v/>
      </c>
      <c r="N205" s="7">
        <f>IF($W205="","",SUMIFS('Per Line'!$O$2:$O$3001,'Per Line'!$B$2:$B$3001,$B205,'Per Line'!$AB$2:$AB$3001,0))</f>
        <v/>
      </c>
      <c r="O205" s="7">
        <f>IF($W205="","",N205*M205)</f>
        <v/>
      </c>
      <c r="P205">
        <f>IF($W205="","",IF(ISNUMBER(SEARCH("3&amp;12",SUBSTITUTE(F205," ",""))),Settings!$G$6,Settings!$C$6))</f>
        <v/>
      </c>
      <c r="Q205" s="7">
        <f>IF($W205="","",SUMIFS('Per Line'!$O$2:$O$3001,'Per Line'!$B$2:$B$3001,$B205,'Per Line'!$AB$2:$AB$3001,1))</f>
        <v/>
      </c>
      <c r="R205" s="7">
        <f>IF($W205="","",Q205*P205)</f>
        <v/>
      </c>
      <c r="S205" s="7">
        <f>IF($W205="","",R205+O205)</f>
        <v/>
      </c>
      <c r="T205" s="7">
        <f>IF($W205="","",V205-S205)</f>
        <v/>
      </c>
      <c r="U205" s="7">
        <f>IF($W205="","",V205-S205-K205)</f>
        <v/>
      </c>
      <c r="V205" s="7">
        <f>IF($W205="","",N205+Q205)</f>
        <v/>
      </c>
      <c r="W205" s="16">
        <f>IF(ROWS($W$2:$W205)&lt;=MAX('Per Line'!$AA$2:$AA$3001),MATCH(ROWS($W$2:$W205),'Per Line'!$AA$2:$AA$3001,0),"")</f>
        <v/>
      </c>
      <c r="X205">
        <f>IF($W205="","",D205&amp;"|"&amp;COUNTIF($D$2:$D205,D205))</f>
        <v/>
      </c>
    </row>
    <row r="206">
      <c r="A206" s="15" t="n"/>
      <c r="B206">
        <f>IF($W206="","",INDEX('Per Line'!$B$2:$B$3001,$W206)&amp;"")</f>
        <v/>
      </c>
      <c r="C206">
        <f>IF($W206="","",INDEX('Per Line'!$C$2:$C$3001,$W206)&amp;"")</f>
        <v/>
      </c>
      <c r="D206">
        <f>IF($W206="","",IF(OR(TRIM(E206)="Orient Insurance Company",TRIM(E206)="Allianz"),TRIM(E206),TRIM(F206)))</f>
        <v/>
      </c>
      <c r="E206">
        <f>IF($W206="","",INDEX('Per Line'!$E$2:$E$3001,$W206)&amp;"")</f>
        <v/>
      </c>
      <c r="F206">
        <f>IF($W206="","",INDEX('Per Line'!$D$2:$D$3001,$W206)&amp;"")</f>
        <v/>
      </c>
      <c r="G206">
        <f>IF($W206="","",INDEX('Per Line'!$F$2:$F$3001,$W206)&amp;"")</f>
        <v/>
      </c>
      <c r="H206">
        <f>IF($W206="","",INDEX('Per Line'!$G$2:$G$3001,$W206)&amp;"")</f>
        <v/>
      </c>
      <c r="I206">
        <f>IF($W206="","",INDEX('Per Line'!$H$2:$H$3001,$W206)&amp;"")</f>
        <v/>
      </c>
      <c r="J206">
        <f>IF($W206="","",INDEX('Per Line'!$I$2:$I$3001,$W206))</f>
        <v/>
      </c>
      <c r="K206" s="7">
        <f>IF($W206="","",J206*T206/100)</f>
        <v/>
      </c>
      <c r="L206" s="14">
        <f>IF($W206="","",INDEX('Per Line'!$V$2:$V$3001,$W206))</f>
        <v/>
      </c>
      <c r="M206">
        <f>IF($W206="","",IF(ISNUMBER(SEARCH("3&amp;12",SUBSTITUTE(F206," ",""))),Settings!$G$7,Settings!$C$7))</f>
        <v/>
      </c>
      <c r="N206" s="7">
        <f>IF($W206="","",SUMIFS('Per Line'!$O$2:$O$3001,'Per Line'!$B$2:$B$3001,$B206,'Per Line'!$AB$2:$AB$3001,0))</f>
        <v/>
      </c>
      <c r="O206" s="7">
        <f>IF($W206="","",N206*M206)</f>
        <v/>
      </c>
      <c r="P206">
        <f>IF($W206="","",IF(ISNUMBER(SEARCH("3&amp;12",SUBSTITUTE(F206," ",""))),Settings!$G$6,Settings!$C$6))</f>
        <v/>
      </c>
      <c r="Q206" s="7">
        <f>IF($W206="","",SUMIFS('Per Line'!$O$2:$O$3001,'Per Line'!$B$2:$B$3001,$B206,'Per Line'!$AB$2:$AB$3001,1))</f>
        <v/>
      </c>
      <c r="R206" s="7">
        <f>IF($W206="","",Q206*P206)</f>
        <v/>
      </c>
      <c r="S206" s="7">
        <f>IF($W206="","",R206+O206)</f>
        <v/>
      </c>
      <c r="T206" s="7">
        <f>IF($W206="","",V206-S206)</f>
        <v/>
      </c>
      <c r="U206" s="7">
        <f>IF($W206="","",V206-S206-K206)</f>
        <v/>
      </c>
      <c r="V206" s="7">
        <f>IF($W206="","",N206+Q206)</f>
        <v/>
      </c>
      <c r="W206" s="16">
        <f>IF(ROWS($W$2:$W206)&lt;=MAX('Per Line'!$AA$2:$AA$3001),MATCH(ROWS($W$2:$W206),'Per Line'!$AA$2:$AA$3001,0),"")</f>
        <v/>
      </c>
      <c r="X206">
        <f>IF($W206="","",D206&amp;"|"&amp;COUNTIF($D$2:$D206,D206))</f>
        <v/>
      </c>
    </row>
    <row r="207">
      <c r="A207" s="15" t="n"/>
      <c r="B207">
        <f>IF($W207="","",INDEX('Per Line'!$B$2:$B$3001,$W207)&amp;"")</f>
        <v/>
      </c>
      <c r="C207">
        <f>IF($W207="","",INDEX('Per Line'!$C$2:$C$3001,$W207)&amp;"")</f>
        <v/>
      </c>
      <c r="D207">
        <f>IF($W207="","",IF(OR(TRIM(E207)="Orient Insurance Company",TRIM(E207)="Allianz"),TRIM(E207),TRIM(F207)))</f>
        <v/>
      </c>
      <c r="E207">
        <f>IF($W207="","",INDEX('Per Line'!$E$2:$E$3001,$W207)&amp;"")</f>
        <v/>
      </c>
      <c r="F207">
        <f>IF($W207="","",INDEX('Per Line'!$D$2:$D$3001,$W207)&amp;"")</f>
        <v/>
      </c>
      <c r="G207">
        <f>IF($W207="","",INDEX('Per Line'!$F$2:$F$3001,$W207)&amp;"")</f>
        <v/>
      </c>
      <c r="H207">
        <f>IF($W207="","",INDEX('Per Line'!$G$2:$G$3001,$W207)&amp;"")</f>
        <v/>
      </c>
      <c r="I207">
        <f>IF($W207="","",INDEX('Per Line'!$H$2:$H$3001,$W207)&amp;"")</f>
        <v/>
      </c>
      <c r="J207">
        <f>IF($W207="","",INDEX('Per Line'!$I$2:$I$3001,$W207))</f>
        <v/>
      </c>
      <c r="K207" s="7">
        <f>IF($W207="","",J207*T207/100)</f>
        <v/>
      </c>
      <c r="L207" s="14">
        <f>IF($W207="","",INDEX('Per Line'!$V$2:$V$3001,$W207))</f>
        <v/>
      </c>
      <c r="M207">
        <f>IF($W207="","",IF(ISNUMBER(SEARCH("3&amp;12",SUBSTITUTE(F207," ",""))),Settings!$G$7,Settings!$C$7))</f>
        <v/>
      </c>
      <c r="N207" s="7">
        <f>IF($W207="","",SUMIFS('Per Line'!$O$2:$O$3001,'Per Line'!$B$2:$B$3001,$B207,'Per Line'!$AB$2:$AB$3001,0))</f>
        <v/>
      </c>
      <c r="O207" s="7">
        <f>IF($W207="","",N207*M207)</f>
        <v/>
      </c>
      <c r="P207">
        <f>IF($W207="","",IF(ISNUMBER(SEARCH("3&amp;12",SUBSTITUTE(F207," ",""))),Settings!$G$6,Settings!$C$6))</f>
        <v/>
      </c>
      <c r="Q207" s="7">
        <f>IF($W207="","",SUMIFS('Per Line'!$O$2:$O$3001,'Per Line'!$B$2:$B$3001,$B207,'Per Line'!$AB$2:$AB$3001,1))</f>
        <v/>
      </c>
      <c r="R207" s="7">
        <f>IF($W207="","",Q207*P207)</f>
        <v/>
      </c>
      <c r="S207" s="7">
        <f>IF($W207="","",R207+O207)</f>
        <v/>
      </c>
      <c r="T207" s="7">
        <f>IF($W207="","",V207-S207)</f>
        <v/>
      </c>
      <c r="U207" s="7">
        <f>IF($W207="","",V207-S207-K207)</f>
        <v/>
      </c>
      <c r="V207" s="7">
        <f>IF($W207="","",N207+Q207)</f>
        <v/>
      </c>
      <c r="W207" s="16">
        <f>IF(ROWS($W$2:$W207)&lt;=MAX('Per Line'!$AA$2:$AA$3001),MATCH(ROWS($W$2:$W207),'Per Line'!$AA$2:$AA$3001,0),"")</f>
        <v/>
      </c>
      <c r="X207">
        <f>IF($W207="","",D207&amp;"|"&amp;COUNTIF($D$2:$D207,D207))</f>
        <v/>
      </c>
    </row>
    <row r="208">
      <c r="A208" s="15" t="n"/>
      <c r="B208">
        <f>IF($W208="","",INDEX('Per Line'!$B$2:$B$3001,$W208)&amp;"")</f>
        <v/>
      </c>
      <c r="C208">
        <f>IF($W208="","",INDEX('Per Line'!$C$2:$C$3001,$W208)&amp;"")</f>
        <v/>
      </c>
      <c r="D208">
        <f>IF($W208="","",IF(OR(TRIM(E208)="Orient Insurance Company",TRIM(E208)="Allianz"),TRIM(E208),TRIM(F208)))</f>
        <v/>
      </c>
      <c r="E208">
        <f>IF($W208="","",INDEX('Per Line'!$E$2:$E$3001,$W208)&amp;"")</f>
        <v/>
      </c>
      <c r="F208">
        <f>IF($W208="","",INDEX('Per Line'!$D$2:$D$3001,$W208)&amp;"")</f>
        <v/>
      </c>
      <c r="G208">
        <f>IF($W208="","",INDEX('Per Line'!$F$2:$F$3001,$W208)&amp;"")</f>
        <v/>
      </c>
      <c r="H208">
        <f>IF($W208="","",INDEX('Per Line'!$G$2:$G$3001,$W208)&amp;"")</f>
        <v/>
      </c>
      <c r="I208">
        <f>IF($W208="","",INDEX('Per Line'!$H$2:$H$3001,$W208)&amp;"")</f>
        <v/>
      </c>
      <c r="J208">
        <f>IF($W208="","",INDEX('Per Line'!$I$2:$I$3001,$W208))</f>
        <v/>
      </c>
      <c r="K208" s="7">
        <f>IF($W208="","",J208*T208/100)</f>
        <v/>
      </c>
      <c r="L208" s="14">
        <f>IF($W208="","",INDEX('Per Line'!$V$2:$V$3001,$W208))</f>
        <v/>
      </c>
      <c r="M208">
        <f>IF($W208="","",IF(ISNUMBER(SEARCH("3&amp;12",SUBSTITUTE(F208," ",""))),Settings!$G$7,Settings!$C$7))</f>
        <v/>
      </c>
      <c r="N208" s="7">
        <f>IF($W208="","",SUMIFS('Per Line'!$O$2:$O$3001,'Per Line'!$B$2:$B$3001,$B208,'Per Line'!$AB$2:$AB$3001,0))</f>
        <v/>
      </c>
      <c r="O208" s="7">
        <f>IF($W208="","",N208*M208)</f>
        <v/>
      </c>
      <c r="P208">
        <f>IF($W208="","",IF(ISNUMBER(SEARCH("3&amp;12",SUBSTITUTE(F208," ",""))),Settings!$G$6,Settings!$C$6))</f>
        <v/>
      </c>
      <c r="Q208" s="7">
        <f>IF($W208="","",SUMIFS('Per Line'!$O$2:$O$3001,'Per Line'!$B$2:$B$3001,$B208,'Per Line'!$AB$2:$AB$3001,1))</f>
        <v/>
      </c>
      <c r="R208" s="7">
        <f>IF($W208="","",Q208*P208)</f>
        <v/>
      </c>
      <c r="S208" s="7">
        <f>IF($W208="","",R208+O208)</f>
        <v/>
      </c>
      <c r="T208" s="7">
        <f>IF($W208="","",V208-S208)</f>
        <v/>
      </c>
      <c r="U208" s="7">
        <f>IF($W208="","",V208-S208-K208)</f>
        <v/>
      </c>
      <c r="V208" s="7">
        <f>IF($W208="","",N208+Q208)</f>
        <v/>
      </c>
      <c r="W208" s="16">
        <f>IF(ROWS($W$2:$W208)&lt;=MAX('Per Line'!$AA$2:$AA$3001),MATCH(ROWS($W$2:$W208),'Per Line'!$AA$2:$AA$3001,0),"")</f>
        <v/>
      </c>
      <c r="X208">
        <f>IF($W208="","",D208&amp;"|"&amp;COUNTIF($D$2:$D208,D208))</f>
        <v/>
      </c>
    </row>
    <row r="209">
      <c r="A209" s="15" t="n"/>
      <c r="B209">
        <f>IF($W209="","",INDEX('Per Line'!$B$2:$B$3001,$W209)&amp;"")</f>
        <v/>
      </c>
      <c r="C209">
        <f>IF($W209="","",INDEX('Per Line'!$C$2:$C$3001,$W209)&amp;"")</f>
        <v/>
      </c>
      <c r="D209">
        <f>IF($W209="","",IF(OR(TRIM(E209)="Orient Insurance Company",TRIM(E209)="Allianz"),TRIM(E209),TRIM(F209)))</f>
        <v/>
      </c>
      <c r="E209">
        <f>IF($W209="","",INDEX('Per Line'!$E$2:$E$3001,$W209)&amp;"")</f>
        <v/>
      </c>
      <c r="F209">
        <f>IF($W209="","",INDEX('Per Line'!$D$2:$D$3001,$W209)&amp;"")</f>
        <v/>
      </c>
      <c r="G209">
        <f>IF($W209="","",INDEX('Per Line'!$F$2:$F$3001,$W209)&amp;"")</f>
        <v/>
      </c>
      <c r="H209">
        <f>IF($W209="","",INDEX('Per Line'!$G$2:$G$3001,$W209)&amp;"")</f>
        <v/>
      </c>
      <c r="I209">
        <f>IF($W209="","",INDEX('Per Line'!$H$2:$H$3001,$W209)&amp;"")</f>
        <v/>
      </c>
      <c r="J209">
        <f>IF($W209="","",INDEX('Per Line'!$I$2:$I$3001,$W209))</f>
        <v/>
      </c>
      <c r="K209" s="7">
        <f>IF($W209="","",J209*T209/100)</f>
        <v/>
      </c>
      <c r="L209" s="14">
        <f>IF($W209="","",INDEX('Per Line'!$V$2:$V$3001,$W209))</f>
        <v/>
      </c>
      <c r="M209">
        <f>IF($W209="","",IF(ISNUMBER(SEARCH("3&amp;12",SUBSTITUTE(F209," ",""))),Settings!$G$7,Settings!$C$7))</f>
        <v/>
      </c>
      <c r="N209" s="7">
        <f>IF($W209="","",SUMIFS('Per Line'!$O$2:$O$3001,'Per Line'!$B$2:$B$3001,$B209,'Per Line'!$AB$2:$AB$3001,0))</f>
        <v/>
      </c>
      <c r="O209" s="7">
        <f>IF($W209="","",N209*M209)</f>
        <v/>
      </c>
      <c r="P209">
        <f>IF($W209="","",IF(ISNUMBER(SEARCH("3&amp;12",SUBSTITUTE(F209," ",""))),Settings!$G$6,Settings!$C$6))</f>
        <v/>
      </c>
      <c r="Q209" s="7">
        <f>IF($W209="","",SUMIFS('Per Line'!$O$2:$O$3001,'Per Line'!$B$2:$B$3001,$B209,'Per Line'!$AB$2:$AB$3001,1))</f>
        <v/>
      </c>
      <c r="R209" s="7">
        <f>IF($W209="","",Q209*P209)</f>
        <v/>
      </c>
      <c r="S209" s="7">
        <f>IF($W209="","",R209+O209)</f>
        <v/>
      </c>
      <c r="T209" s="7">
        <f>IF($W209="","",V209-S209)</f>
        <v/>
      </c>
      <c r="U209" s="7">
        <f>IF($W209="","",V209-S209-K209)</f>
        <v/>
      </c>
      <c r="V209" s="7">
        <f>IF($W209="","",N209+Q209)</f>
        <v/>
      </c>
      <c r="W209" s="16">
        <f>IF(ROWS($W$2:$W209)&lt;=MAX('Per Line'!$AA$2:$AA$3001),MATCH(ROWS($W$2:$W209),'Per Line'!$AA$2:$AA$3001,0),"")</f>
        <v/>
      </c>
      <c r="X209">
        <f>IF($W209="","",D209&amp;"|"&amp;COUNTIF($D$2:$D209,D209))</f>
        <v/>
      </c>
    </row>
    <row r="210">
      <c r="A210" s="15" t="n"/>
      <c r="B210">
        <f>IF($W210="","",INDEX('Per Line'!$B$2:$B$3001,$W210)&amp;"")</f>
        <v/>
      </c>
      <c r="C210">
        <f>IF($W210="","",INDEX('Per Line'!$C$2:$C$3001,$W210)&amp;"")</f>
        <v/>
      </c>
      <c r="D210">
        <f>IF($W210="","",IF(OR(TRIM(E210)="Orient Insurance Company",TRIM(E210)="Allianz"),TRIM(E210),TRIM(F210)))</f>
        <v/>
      </c>
      <c r="E210">
        <f>IF($W210="","",INDEX('Per Line'!$E$2:$E$3001,$W210)&amp;"")</f>
        <v/>
      </c>
      <c r="F210">
        <f>IF($W210="","",INDEX('Per Line'!$D$2:$D$3001,$W210)&amp;"")</f>
        <v/>
      </c>
      <c r="G210">
        <f>IF($W210="","",INDEX('Per Line'!$F$2:$F$3001,$W210)&amp;"")</f>
        <v/>
      </c>
      <c r="H210">
        <f>IF($W210="","",INDEX('Per Line'!$G$2:$G$3001,$W210)&amp;"")</f>
        <v/>
      </c>
      <c r="I210">
        <f>IF($W210="","",INDEX('Per Line'!$H$2:$H$3001,$W210)&amp;"")</f>
        <v/>
      </c>
      <c r="J210">
        <f>IF($W210="","",INDEX('Per Line'!$I$2:$I$3001,$W210))</f>
        <v/>
      </c>
      <c r="K210" s="7">
        <f>IF($W210="","",J210*T210/100)</f>
        <v/>
      </c>
      <c r="L210" s="14">
        <f>IF($W210="","",INDEX('Per Line'!$V$2:$V$3001,$W210))</f>
        <v/>
      </c>
      <c r="M210">
        <f>IF($W210="","",IF(ISNUMBER(SEARCH("3&amp;12",SUBSTITUTE(F210," ",""))),Settings!$G$7,Settings!$C$7))</f>
        <v/>
      </c>
      <c r="N210" s="7">
        <f>IF($W210="","",SUMIFS('Per Line'!$O$2:$O$3001,'Per Line'!$B$2:$B$3001,$B210,'Per Line'!$AB$2:$AB$3001,0))</f>
        <v/>
      </c>
      <c r="O210" s="7">
        <f>IF($W210="","",N210*M210)</f>
        <v/>
      </c>
      <c r="P210">
        <f>IF($W210="","",IF(ISNUMBER(SEARCH("3&amp;12",SUBSTITUTE(F210," ",""))),Settings!$G$6,Settings!$C$6))</f>
        <v/>
      </c>
      <c r="Q210" s="7">
        <f>IF($W210="","",SUMIFS('Per Line'!$O$2:$O$3001,'Per Line'!$B$2:$B$3001,$B210,'Per Line'!$AB$2:$AB$3001,1))</f>
        <v/>
      </c>
      <c r="R210" s="7">
        <f>IF($W210="","",Q210*P210)</f>
        <v/>
      </c>
      <c r="S210" s="7">
        <f>IF($W210="","",R210+O210)</f>
        <v/>
      </c>
      <c r="T210" s="7">
        <f>IF($W210="","",V210-S210)</f>
        <v/>
      </c>
      <c r="U210" s="7">
        <f>IF($W210="","",V210-S210-K210)</f>
        <v/>
      </c>
      <c r="V210" s="7">
        <f>IF($W210="","",N210+Q210)</f>
        <v/>
      </c>
      <c r="W210" s="16">
        <f>IF(ROWS($W$2:$W210)&lt;=MAX('Per Line'!$AA$2:$AA$3001),MATCH(ROWS($W$2:$W210),'Per Line'!$AA$2:$AA$3001,0),"")</f>
        <v/>
      </c>
      <c r="X210">
        <f>IF($W210="","",D210&amp;"|"&amp;COUNTIF($D$2:$D210,D210))</f>
        <v/>
      </c>
    </row>
    <row r="211">
      <c r="A211" s="15" t="n"/>
      <c r="B211">
        <f>IF($W211="","",INDEX('Per Line'!$B$2:$B$3001,$W211)&amp;"")</f>
        <v/>
      </c>
      <c r="C211">
        <f>IF($W211="","",INDEX('Per Line'!$C$2:$C$3001,$W211)&amp;"")</f>
        <v/>
      </c>
      <c r="D211">
        <f>IF($W211="","",IF(OR(TRIM(E211)="Orient Insurance Company",TRIM(E211)="Allianz"),TRIM(E211),TRIM(F211)))</f>
        <v/>
      </c>
      <c r="E211">
        <f>IF($W211="","",INDEX('Per Line'!$E$2:$E$3001,$W211)&amp;"")</f>
        <v/>
      </c>
      <c r="F211">
        <f>IF($W211="","",INDEX('Per Line'!$D$2:$D$3001,$W211)&amp;"")</f>
        <v/>
      </c>
      <c r="G211">
        <f>IF($W211="","",INDEX('Per Line'!$F$2:$F$3001,$W211)&amp;"")</f>
        <v/>
      </c>
      <c r="H211">
        <f>IF($W211="","",INDEX('Per Line'!$G$2:$G$3001,$W211)&amp;"")</f>
        <v/>
      </c>
      <c r="I211">
        <f>IF($W211="","",INDEX('Per Line'!$H$2:$H$3001,$W211)&amp;"")</f>
        <v/>
      </c>
      <c r="J211">
        <f>IF($W211="","",INDEX('Per Line'!$I$2:$I$3001,$W211))</f>
        <v/>
      </c>
      <c r="K211" s="7">
        <f>IF($W211="","",J211*T211/100)</f>
        <v/>
      </c>
      <c r="L211" s="14">
        <f>IF($W211="","",INDEX('Per Line'!$V$2:$V$3001,$W211))</f>
        <v/>
      </c>
      <c r="M211">
        <f>IF($W211="","",IF(ISNUMBER(SEARCH("3&amp;12",SUBSTITUTE(F211," ",""))),Settings!$G$7,Settings!$C$7))</f>
        <v/>
      </c>
      <c r="N211" s="7">
        <f>IF($W211="","",SUMIFS('Per Line'!$O$2:$O$3001,'Per Line'!$B$2:$B$3001,$B211,'Per Line'!$AB$2:$AB$3001,0))</f>
        <v/>
      </c>
      <c r="O211" s="7">
        <f>IF($W211="","",N211*M211)</f>
        <v/>
      </c>
      <c r="P211">
        <f>IF($W211="","",IF(ISNUMBER(SEARCH("3&amp;12",SUBSTITUTE(F211," ",""))),Settings!$G$6,Settings!$C$6))</f>
        <v/>
      </c>
      <c r="Q211" s="7">
        <f>IF($W211="","",SUMIFS('Per Line'!$O$2:$O$3001,'Per Line'!$B$2:$B$3001,$B211,'Per Line'!$AB$2:$AB$3001,1))</f>
        <v/>
      </c>
      <c r="R211" s="7">
        <f>IF($W211="","",Q211*P211)</f>
        <v/>
      </c>
      <c r="S211" s="7">
        <f>IF($W211="","",R211+O211)</f>
        <v/>
      </c>
      <c r="T211" s="7">
        <f>IF($W211="","",V211-S211)</f>
        <v/>
      </c>
      <c r="U211" s="7">
        <f>IF($W211="","",V211-S211-K211)</f>
        <v/>
      </c>
      <c r="V211" s="7">
        <f>IF($W211="","",N211+Q211)</f>
        <v/>
      </c>
      <c r="W211" s="16">
        <f>IF(ROWS($W$2:$W211)&lt;=MAX('Per Line'!$AA$2:$AA$3001),MATCH(ROWS($W$2:$W211),'Per Line'!$AA$2:$AA$3001,0),"")</f>
        <v/>
      </c>
      <c r="X211">
        <f>IF($W211="","",D211&amp;"|"&amp;COUNTIF($D$2:$D211,D211))</f>
        <v/>
      </c>
    </row>
    <row r="212">
      <c r="A212" s="15" t="n"/>
      <c r="B212">
        <f>IF($W212="","",INDEX('Per Line'!$B$2:$B$3001,$W212)&amp;"")</f>
        <v/>
      </c>
      <c r="C212">
        <f>IF($W212="","",INDEX('Per Line'!$C$2:$C$3001,$W212)&amp;"")</f>
        <v/>
      </c>
      <c r="D212">
        <f>IF($W212="","",IF(OR(TRIM(E212)="Orient Insurance Company",TRIM(E212)="Allianz"),TRIM(E212),TRIM(F212)))</f>
        <v/>
      </c>
      <c r="E212">
        <f>IF($W212="","",INDEX('Per Line'!$E$2:$E$3001,$W212)&amp;"")</f>
        <v/>
      </c>
      <c r="F212">
        <f>IF($W212="","",INDEX('Per Line'!$D$2:$D$3001,$W212)&amp;"")</f>
        <v/>
      </c>
      <c r="G212">
        <f>IF($W212="","",INDEX('Per Line'!$F$2:$F$3001,$W212)&amp;"")</f>
        <v/>
      </c>
      <c r="H212">
        <f>IF($W212="","",INDEX('Per Line'!$G$2:$G$3001,$W212)&amp;"")</f>
        <v/>
      </c>
      <c r="I212">
        <f>IF($W212="","",INDEX('Per Line'!$H$2:$H$3001,$W212)&amp;"")</f>
        <v/>
      </c>
      <c r="J212">
        <f>IF($W212="","",INDEX('Per Line'!$I$2:$I$3001,$W212))</f>
        <v/>
      </c>
      <c r="K212" s="7">
        <f>IF($W212="","",J212*T212/100)</f>
        <v/>
      </c>
      <c r="L212" s="14">
        <f>IF($W212="","",INDEX('Per Line'!$V$2:$V$3001,$W212))</f>
        <v/>
      </c>
      <c r="M212">
        <f>IF($W212="","",IF(ISNUMBER(SEARCH("3&amp;12",SUBSTITUTE(F212," ",""))),Settings!$G$7,Settings!$C$7))</f>
        <v/>
      </c>
      <c r="N212" s="7">
        <f>IF($W212="","",SUMIFS('Per Line'!$O$2:$O$3001,'Per Line'!$B$2:$B$3001,$B212,'Per Line'!$AB$2:$AB$3001,0))</f>
        <v/>
      </c>
      <c r="O212" s="7">
        <f>IF($W212="","",N212*M212)</f>
        <v/>
      </c>
      <c r="P212">
        <f>IF($W212="","",IF(ISNUMBER(SEARCH("3&amp;12",SUBSTITUTE(F212," ",""))),Settings!$G$6,Settings!$C$6))</f>
        <v/>
      </c>
      <c r="Q212" s="7">
        <f>IF($W212="","",SUMIFS('Per Line'!$O$2:$O$3001,'Per Line'!$B$2:$B$3001,$B212,'Per Line'!$AB$2:$AB$3001,1))</f>
        <v/>
      </c>
      <c r="R212" s="7">
        <f>IF($W212="","",Q212*P212)</f>
        <v/>
      </c>
      <c r="S212" s="7">
        <f>IF($W212="","",R212+O212)</f>
        <v/>
      </c>
      <c r="T212" s="7">
        <f>IF($W212="","",V212-S212)</f>
        <v/>
      </c>
      <c r="U212" s="7">
        <f>IF($W212="","",V212-S212-K212)</f>
        <v/>
      </c>
      <c r="V212" s="7">
        <f>IF($W212="","",N212+Q212)</f>
        <v/>
      </c>
      <c r="W212" s="16">
        <f>IF(ROWS($W$2:$W212)&lt;=MAX('Per Line'!$AA$2:$AA$3001),MATCH(ROWS($W$2:$W212),'Per Line'!$AA$2:$AA$3001,0),"")</f>
        <v/>
      </c>
      <c r="X212">
        <f>IF($W212="","",D212&amp;"|"&amp;COUNTIF($D$2:$D212,D212))</f>
        <v/>
      </c>
    </row>
    <row r="213">
      <c r="A213" s="15" t="n"/>
      <c r="B213">
        <f>IF($W213="","",INDEX('Per Line'!$B$2:$B$3001,$W213)&amp;"")</f>
        <v/>
      </c>
      <c r="C213">
        <f>IF($W213="","",INDEX('Per Line'!$C$2:$C$3001,$W213)&amp;"")</f>
        <v/>
      </c>
      <c r="D213">
        <f>IF($W213="","",IF(OR(TRIM(E213)="Orient Insurance Company",TRIM(E213)="Allianz"),TRIM(E213),TRIM(F213)))</f>
        <v/>
      </c>
      <c r="E213">
        <f>IF($W213="","",INDEX('Per Line'!$E$2:$E$3001,$W213)&amp;"")</f>
        <v/>
      </c>
      <c r="F213">
        <f>IF($W213="","",INDEX('Per Line'!$D$2:$D$3001,$W213)&amp;"")</f>
        <v/>
      </c>
      <c r="G213">
        <f>IF($W213="","",INDEX('Per Line'!$F$2:$F$3001,$W213)&amp;"")</f>
        <v/>
      </c>
      <c r="H213">
        <f>IF($W213="","",INDEX('Per Line'!$G$2:$G$3001,$W213)&amp;"")</f>
        <v/>
      </c>
      <c r="I213">
        <f>IF($W213="","",INDEX('Per Line'!$H$2:$H$3001,$W213)&amp;"")</f>
        <v/>
      </c>
      <c r="J213">
        <f>IF($W213="","",INDEX('Per Line'!$I$2:$I$3001,$W213))</f>
        <v/>
      </c>
      <c r="K213" s="7">
        <f>IF($W213="","",J213*T213/100)</f>
        <v/>
      </c>
      <c r="L213" s="14">
        <f>IF($W213="","",INDEX('Per Line'!$V$2:$V$3001,$W213))</f>
        <v/>
      </c>
      <c r="M213">
        <f>IF($W213="","",IF(ISNUMBER(SEARCH("3&amp;12",SUBSTITUTE(F213," ",""))),Settings!$G$7,Settings!$C$7))</f>
        <v/>
      </c>
      <c r="N213" s="7">
        <f>IF($W213="","",SUMIFS('Per Line'!$O$2:$O$3001,'Per Line'!$B$2:$B$3001,$B213,'Per Line'!$AB$2:$AB$3001,0))</f>
        <v/>
      </c>
      <c r="O213" s="7">
        <f>IF($W213="","",N213*M213)</f>
        <v/>
      </c>
      <c r="P213">
        <f>IF($W213="","",IF(ISNUMBER(SEARCH("3&amp;12",SUBSTITUTE(F213," ",""))),Settings!$G$6,Settings!$C$6))</f>
        <v/>
      </c>
      <c r="Q213" s="7">
        <f>IF($W213="","",SUMIFS('Per Line'!$O$2:$O$3001,'Per Line'!$B$2:$B$3001,$B213,'Per Line'!$AB$2:$AB$3001,1))</f>
        <v/>
      </c>
      <c r="R213" s="7">
        <f>IF($W213="","",Q213*P213)</f>
        <v/>
      </c>
      <c r="S213" s="7">
        <f>IF($W213="","",R213+O213)</f>
        <v/>
      </c>
      <c r="T213" s="7">
        <f>IF($W213="","",V213-S213)</f>
        <v/>
      </c>
      <c r="U213" s="7">
        <f>IF($W213="","",V213-S213-K213)</f>
        <v/>
      </c>
      <c r="V213" s="7">
        <f>IF($W213="","",N213+Q213)</f>
        <v/>
      </c>
      <c r="W213" s="16">
        <f>IF(ROWS($W$2:$W213)&lt;=MAX('Per Line'!$AA$2:$AA$3001),MATCH(ROWS($W$2:$W213),'Per Line'!$AA$2:$AA$3001,0),"")</f>
        <v/>
      </c>
      <c r="X213">
        <f>IF($W213="","",D213&amp;"|"&amp;COUNTIF($D$2:$D213,D213))</f>
        <v/>
      </c>
    </row>
    <row r="214">
      <c r="A214" s="15" t="n"/>
      <c r="B214">
        <f>IF($W214="","",INDEX('Per Line'!$B$2:$B$3001,$W214)&amp;"")</f>
        <v/>
      </c>
      <c r="C214">
        <f>IF($W214="","",INDEX('Per Line'!$C$2:$C$3001,$W214)&amp;"")</f>
        <v/>
      </c>
      <c r="D214">
        <f>IF($W214="","",IF(OR(TRIM(E214)="Orient Insurance Company",TRIM(E214)="Allianz"),TRIM(E214),TRIM(F214)))</f>
        <v/>
      </c>
      <c r="E214">
        <f>IF($W214="","",INDEX('Per Line'!$E$2:$E$3001,$W214)&amp;"")</f>
        <v/>
      </c>
      <c r="F214">
        <f>IF($W214="","",INDEX('Per Line'!$D$2:$D$3001,$W214)&amp;"")</f>
        <v/>
      </c>
      <c r="G214">
        <f>IF($W214="","",INDEX('Per Line'!$F$2:$F$3001,$W214)&amp;"")</f>
        <v/>
      </c>
      <c r="H214">
        <f>IF($W214="","",INDEX('Per Line'!$G$2:$G$3001,$W214)&amp;"")</f>
        <v/>
      </c>
      <c r="I214">
        <f>IF($W214="","",INDEX('Per Line'!$H$2:$H$3001,$W214)&amp;"")</f>
        <v/>
      </c>
      <c r="J214">
        <f>IF($W214="","",INDEX('Per Line'!$I$2:$I$3001,$W214))</f>
        <v/>
      </c>
      <c r="K214" s="7">
        <f>IF($W214="","",J214*T214/100)</f>
        <v/>
      </c>
      <c r="L214" s="14">
        <f>IF($W214="","",INDEX('Per Line'!$V$2:$V$3001,$W214))</f>
        <v/>
      </c>
      <c r="M214">
        <f>IF($W214="","",IF(ISNUMBER(SEARCH("3&amp;12",SUBSTITUTE(F214," ",""))),Settings!$G$7,Settings!$C$7))</f>
        <v/>
      </c>
      <c r="N214" s="7">
        <f>IF($W214="","",SUMIFS('Per Line'!$O$2:$O$3001,'Per Line'!$B$2:$B$3001,$B214,'Per Line'!$AB$2:$AB$3001,0))</f>
        <v/>
      </c>
      <c r="O214" s="7">
        <f>IF($W214="","",N214*M214)</f>
        <v/>
      </c>
      <c r="P214">
        <f>IF($W214="","",IF(ISNUMBER(SEARCH("3&amp;12",SUBSTITUTE(F214," ",""))),Settings!$G$6,Settings!$C$6))</f>
        <v/>
      </c>
      <c r="Q214" s="7">
        <f>IF($W214="","",SUMIFS('Per Line'!$O$2:$O$3001,'Per Line'!$B$2:$B$3001,$B214,'Per Line'!$AB$2:$AB$3001,1))</f>
        <v/>
      </c>
      <c r="R214" s="7">
        <f>IF($W214="","",Q214*P214)</f>
        <v/>
      </c>
      <c r="S214" s="7">
        <f>IF($W214="","",R214+O214)</f>
        <v/>
      </c>
      <c r="T214" s="7">
        <f>IF($W214="","",V214-S214)</f>
        <v/>
      </c>
      <c r="U214" s="7">
        <f>IF($W214="","",V214-S214-K214)</f>
        <v/>
      </c>
      <c r="V214" s="7">
        <f>IF($W214="","",N214+Q214)</f>
        <v/>
      </c>
      <c r="W214" s="16">
        <f>IF(ROWS($W$2:$W214)&lt;=MAX('Per Line'!$AA$2:$AA$3001),MATCH(ROWS($W$2:$W214),'Per Line'!$AA$2:$AA$3001,0),"")</f>
        <v/>
      </c>
      <c r="X214">
        <f>IF($W214="","",D214&amp;"|"&amp;COUNTIF($D$2:$D214,D214))</f>
        <v/>
      </c>
    </row>
    <row r="215">
      <c r="A215" s="15" t="n"/>
      <c r="B215">
        <f>IF($W215="","",INDEX('Per Line'!$B$2:$B$3001,$W215)&amp;"")</f>
        <v/>
      </c>
      <c r="C215">
        <f>IF($W215="","",INDEX('Per Line'!$C$2:$C$3001,$W215)&amp;"")</f>
        <v/>
      </c>
      <c r="D215">
        <f>IF($W215="","",IF(OR(TRIM(E215)="Orient Insurance Company",TRIM(E215)="Allianz"),TRIM(E215),TRIM(F215)))</f>
        <v/>
      </c>
      <c r="E215">
        <f>IF($W215="","",INDEX('Per Line'!$E$2:$E$3001,$W215)&amp;"")</f>
        <v/>
      </c>
      <c r="F215">
        <f>IF($W215="","",INDEX('Per Line'!$D$2:$D$3001,$W215)&amp;"")</f>
        <v/>
      </c>
      <c r="G215">
        <f>IF($W215="","",INDEX('Per Line'!$F$2:$F$3001,$W215)&amp;"")</f>
        <v/>
      </c>
      <c r="H215">
        <f>IF($W215="","",INDEX('Per Line'!$G$2:$G$3001,$W215)&amp;"")</f>
        <v/>
      </c>
      <c r="I215">
        <f>IF($W215="","",INDEX('Per Line'!$H$2:$H$3001,$W215)&amp;"")</f>
        <v/>
      </c>
      <c r="J215">
        <f>IF($W215="","",INDEX('Per Line'!$I$2:$I$3001,$W215))</f>
        <v/>
      </c>
      <c r="K215" s="7">
        <f>IF($W215="","",J215*T215/100)</f>
        <v/>
      </c>
      <c r="L215" s="14">
        <f>IF($W215="","",INDEX('Per Line'!$V$2:$V$3001,$W215))</f>
        <v/>
      </c>
      <c r="M215">
        <f>IF($W215="","",IF(ISNUMBER(SEARCH("3&amp;12",SUBSTITUTE(F215," ",""))),Settings!$G$7,Settings!$C$7))</f>
        <v/>
      </c>
      <c r="N215" s="7">
        <f>IF($W215="","",SUMIFS('Per Line'!$O$2:$O$3001,'Per Line'!$B$2:$B$3001,$B215,'Per Line'!$AB$2:$AB$3001,0))</f>
        <v/>
      </c>
      <c r="O215" s="7">
        <f>IF($W215="","",N215*M215)</f>
        <v/>
      </c>
      <c r="P215">
        <f>IF($W215="","",IF(ISNUMBER(SEARCH("3&amp;12",SUBSTITUTE(F215," ",""))),Settings!$G$6,Settings!$C$6))</f>
        <v/>
      </c>
      <c r="Q215" s="7">
        <f>IF($W215="","",SUMIFS('Per Line'!$O$2:$O$3001,'Per Line'!$B$2:$B$3001,$B215,'Per Line'!$AB$2:$AB$3001,1))</f>
        <v/>
      </c>
      <c r="R215" s="7">
        <f>IF($W215="","",Q215*P215)</f>
        <v/>
      </c>
      <c r="S215" s="7">
        <f>IF($W215="","",R215+O215)</f>
        <v/>
      </c>
      <c r="T215" s="7">
        <f>IF($W215="","",V215-S215)</f>
        <v/>
      </c>
      <c r="U215" s="7">
        <f>IF($W215="","",V215-S215-K215)</f>
        <v/>
      </c>
      <c r="V215" s="7">
        <f>IF($W215="","",N215+Q215)</f>
        <v/>
      </c>
      <c r="W215" s="16">
        <f>IF(ROWS($W$2:$W215)&lt;=MAX('Per Line'!$AA$2:$AA$3001),MATCH(ROWS($W$2:$W215),'Per Line'!$AA$2:$AA$3001,0),"")</f>
        <v/>
      </c>
      <c r="X215">
        <f>IF($W215="","",D215&amp;"|"&amp;COUNTIF($D$2:$D215,D215))</f>
        <v/>
      </c>
    </row>
    <row r="216">
      <c r="A216" s="15" t="n"/>
      <c r="B216">
        <f>IF($W216="","",INDEX('Per Line'!$B$2:$B$3001,$W216)&amp;"")</f>
        <v/>
      </c>
      <c r="C216">
        <f>IF($W216="","",INDEX('Per Line'!$C$2:$C$3001,$W216)&amp;"")</f>
        <v/>
      </c>
      <c r="D216">
        <f>IF($W216="","",IF(OR(TRIM(E216)="Orient Insurance Company",TRIM(E216)="Allianz"),TRIM(E216),TRIM(F216)))</f>
        <v/>
      </c>
      <c r="E216">
        <f>IF($W216="","",INDEX('Per Line'!$E$2:$E$3001,$W216)&amp;"")</f>
        <v/>
      </c>
      <c r="F216">
        <f>IF($W216="","",INDEX('Per Line'!$D$2:$D$3001,$W216)&amp;"")</f>
        <v/>
      </c>
      <c r="G216">
        <f>IF($W216="","",INDEX('Per Line'!$F$2:$F$3001,$W216)&amp;"")</f>
        <v/>
      </c>
      <c r="H216">
        <f>IF($W216="","",INDEX('Per Line'!$G$2:$G$3001,$W216)&amp;"")</f>
        <v/>
      </c>
      <c r="I216">
        <f>IF($W216="","",INDEX('Per Line'!$H$2:$H$3001,$W216)&amp;"")</f>
        <v/>
      </c>
      <c r="J216">
        <f>IF($W216="","",INDEX('Per Line'!$I$2:$I$3001,$W216))</f>
        <v/>
      </c>
      <c r="K216" s="7">
        <f>IF($W216="","",J216*T216/100)</f>
        <v/>
      </c>
      <c r="L216" s="14">
        <f>IF($W216="","",INDEX('Per Line'!$V$2:$V$3001,$W216))</f>
        <v/>
      </c>
      <c r="M216">
        <f>IF($W216="","",IF(ISNUMBER(SEARCH("3&amp;12",SUBSTITUTE(F216," ",""))),Settings!$G$7,Settings!$C$7))</f>
        <v/>
      </c>
      <c r="N216" s="7">
        <f>IF($W216="","",SUMIFS('Per Line'!$O$2:$O$3001,'Per Line'!$B$2:$B$3001,$B216,'Per Line'!$AB$2:$AB$3001,0))</f>
        <v/>
      </c>
      <c r="O216" s="7">
        <f>IF($W216="","",N216*M216)</f>
        <v/>
      </c>
      <c r="P216">
        <f>IF($W216="","",IF(ISNUMBER(SEARCH("3&amp;12",SUBSTITUTE(F216," ",""))),Settings!$G$6,Settings!$C$6))</f>
        <v/>
      </c>
      <c r="Q216" s="7">
        <f>IF($W216="","",SUMIFS('Per Line'!$O$2:$O$3001,'Per Line'!$B$2:$B$3001,$B216,'Per Line'!$AB$2:$AB$3001,1))</f>
        <v/>
      </c>
      <c r="R216" s="7">
        <f>IF($W216="","",Q216*P216)</f>
        <v/>
      </c>
      <c r="S216" s="7">
        <f>IF($W216="","",R216+O216)</f>
        <v/>
      </c>
      <c r="T216" s="7">
        <f>IF($W216="","",V216-S216)</f>
        <v/>
      </c>
      <c r="U216" s="7">
        <f>IF($W216="","",V216-S216-K216)</f>
        <v/>
      </c>
      <c r="V216" s="7">
        <f>IF($W216="","",N216+Q216)</f>
        <v/>
      </c>
      <c r="W216" s="16">
        <f>IF(ROWS($W$2:$W216)&lt;=MAX('Per Line'!$AA$2:$AA$3001),MATCH(ROWS($W$2:$W216),'Per Line'!$AA$2:$AA$3001,0),"")</f>
        <v/>
      </c>
      <c r="X216">
        <f>IF($W216="","",D216&amp;"|"&amp;COUNTIF($D$2:$D216,D216))</f>
        <v/>
      </c>
    </row>
    <row r="217">
      <c r="A217" s="15" t="n"/>
      <c r="B217">
        <f>IF($W217="","",INDEX('Per Line'!$B$2:$B$3001,$W217)&amp;"")</f>
        <v/>
      </c>
      <c r="C217">
        <f>IF($W217="","",INDEX('Per Line'!$C$2:$C$3001,$W217)&amp;"")</f>
        <v/>
      </c>
      <c r="D217">
        <f>IF($W217="","",IF(OR(TRIM(E217)="Orient Insurance Company",TRIM(E217)="Allianz"),TRIM(E217),TRIM(F217)))</f>
        <v/>
      </c>
      <c r="E217">
        <f>IF($W217="","",INDEX('Per Line'!$E$2:$E$3001,$W217)&amp;"")</f>
        <v/>
      </c>
      <c r="F217">
        <f>IF($W217="","",INDEX('Per Line'!$D$2:$D$3001,$W217)&amp;"")</f>
        <v/>
      </c>
      <c r="G217">
        <f>IF($W217="","",INDEX('Per Line'!$F$2:$F$3001,$W217)&amp;"")</f>
        <v/>
      </c>
      <c r="H217">
        <f>IF($W217="","",INDEX('Per Line'!$G$2:$G$3001,$W217)&amp;"")</f>
        <v/>
      </c>
      <c r="I217">
        <f>IF($W217="","",INDEX('Per Line'!$H$2:$H$3001,$W217)&amp;"")</f>
        <v/>
      </c>
      <c r="J217">
        <f>IF($W217="","",INDEX('Per Line'!$I$2:$I$3001,$W217))</f>
        <v/>
      </c>
      <c r="K217" s="7">
        <f>IF($W217="","",J217*T217/100)</f>
        <v/>
      </c>
      <c r="L217" s="14">
        <f>IF($W217="","",INDEX('Per Line'!$V$2:$V$3001,$W217))</f>
        <v/>
      </c>
      <c r="M217">
        <f>IF($W217="","",IF(ISNUMBER(SEARCH("3&amp;12",SUBSTITUTE(F217," ",""))),Settings!$G$7,Settings!$C$7))</f>
        <v/>
      </c>
      <c r="N217" s="7">
        <f>IF($W217="","",SUMIFS('Per Line'!$O$2:$O$3001,'Per Line'!$B$2:$B$3001,$B217,'Per Line'!$AB$2:$AB$3001,0))</f>
        <v/>
      </c>
      <c r="O217" s="7">
        <f>IF($W217="","",N217*M217)</f>
        <v/>
      </c>
      <c r="P217">
        <f>IF($W217="","",IF(ISNUMBER(SEARCH("3&amp;12",SUBSTITUTE(F217," ",""))),Settings!$G$6,Settings!$C$6))</f>
        <v/>
      </c>
      <c r="Q217" s="7">
        <f>IF($W217="","",SUMIFS('Per Line'!$O$2:$O$3001,'Per Line'!$B$2:$B$3001,$B217,'Per Line'!$AB$2:$AB$3001,1))</f>
        <v/>
      </c>
      <c r="R217" s="7">
        <f>IF($W217="","",Q217*P217)</f>
        <v/>
      </c>
      <c r="S217" s="7">
        <f>IF($W217="","",R217+O217)</f>
        <v/>
      </c>
      <c r="T217" s="7">
        <f>IF($W217="","",V217-S217)</f>
        <v/>
      </c>
      <c r="U217" s="7">
        <f>IF($W217="","",V217-S217-K217)</f>
        <v/>
      </c>
      <c r="V217" s="7">
        <f>IF($W217="","",N217+Q217)</f>
        <v/>
      </c>
      <c r="W217" s="16">
        <f>IF(ROWS($W$2:$W217)&lt;=MAX('Per Line'!$AA$2:$AA$3001),MATCH(ROWS($W$2:$W217),'Per Line'!$AA$2:$AA$3001,0),"")</f>
        <v/>
      </c>
      <c r="X217">
        <f>IF($W217="","",D217&amp;"|"&amp;COUNTIF($D$2:$D217,D217))</f>
        <v/>
      </c>
    </row>
    <row r="218">
      <c r="A218" s="15" t="n"/>
      <c r="B218">
        <f>IF($W218="","",INDEX('Per Line'!$B$2:$B$3001,$W218)&amp;"")</f>
        <v/>
      </c>
      <c r="C218">
        <f>IF($W218="","",INDEX('Per Line'!$C$2:$C$3001,$W218)&amp;"")</f>
        <v/>
      </c>
      <c r="D218">
        <f>IF($W218="","",IF(OR(TRIM(E218)="Orient Insurance Company",TRIM(E218)="Allianz"),TRIM(E218),TRIM(F218)))</f>
        <v/>
      </c>
      <c r="E218">
        <f>IF($W218="","",INDEX('Per Line'!$E$2:$E$3001,$W218)&amp;"")</f>
        <v/>
      </c>
      <c r="F218">
        <f>IF($W218="","",INDEX('Per Line'!$D$2:$D$3001,$W218)&amp;"")</f>
        <v/>
      </c>
      <c r="G218">
        <f>IF($W218="","",INDEX('Per Line'!$F$2:$F$3001,$W218)&amp;"")</f>
        <v/>
      </c>
      <c r="H218">
        <f>IF($W218="","",INDEX('Per Line'!$G$2:$G$3001,$W218)&amp;"")</f>
        <v/>
      </c>
      <c r="I218">
        <f>IF($W218="","",INDEX('Per Line'!$H$2:$H$3001,$W218)&amp;"")</f>
        <v/>
      </c>
      <c r="J218">
        <f>IF($W218="","",INDEX('Per Line'!$I$2:$I$3001,$W218))</f>
        <v/>
      </c>
      <c r="K218" s="7">
        <f>IF($W218="","",J218*T218/100)</f>
        <v/>
      </c>
      <c r="L218" s="14">
        <f>IF($W218="","",INDEX('Per Line'!$V$2:$V$3001,$W218))</f>
        <v/>
      </c>
      <c r="M218">
        <f>IF($W218="","",IF(ISNUMBER(SEARCH("3&amp;12",SUBSTITUTE(F218," ",""))),Settings!$G$7,Settings!$C$7))</f>
        <v/>
      </c>
      <c r="N218" s="7">
        <f>IF($W218="","",SUMIFS('Per Line'!$O$2:$O$3001,'Per Line'!$B$2:$B$3001,$B218,'Per Line'!$AB$2:$AB$3001,0))</f>
        <v/>
      </c>
      <c r="O218" s="7">
        <f>IF($W218="","",N218*M218)</f>
        <v/>
      </c>
      <c r="P218">
        <f>IF($W218="","",IF(ISNUMBER(SEARCH("3&amp;12",SUBSTITUTE(F218," ",""))),Settings!$G$6,Settings!$C$6))</f>
        <v/>
      </c>
      <c r="Q218" s="7">
        <f>IF($W218="","",SUMIFS('Per Line'!$O$2:$O$3001,'Per Line'!$B$2:$B$3001,$B218,'Per Line'!$AB$2:$AB$3001,1))</f>
        <v/>
      </c>
      <c r="R218" s="7">
        <f>IF($W218="","",Q218*P218)</f>
        <v/>
      </c>
      <c r="S218" s="7">
        <f>IF($W218="","",R218+O218)</f>
        <v/>
      </c>
      <c r="T218" s="7">
        <f>IF($W218="","",V218-S218)</f>
        <v/>
      </c>
      <c r="U218" s="7">
        <f>IF($W218="","",V218-S218-K218)</f>
        <v/>
      </c>
      <c r="V218" s="7">
        <f>IF($W218="","",N218+Q218)</f>
        <v/>
      </c>
      <c r="W218" s="16">
        <f>IF(ROWS($W$2:$W218)&lt;=MAX('Per Line'!$AA$2:$AA$3001),MATCH(ROWS($W$2:$W218),'Per Line'!$AA$2:$AA$3001,0),"")</f>
        <v/>
      </c>
      <c r="X218">
        <f>IF($W218="","",D218&amp;"|"&amp;COUNTIF($D$2:$D218,D218))</f>
        <v/>
      </c>
    </row>
    <row r="219">
      <c r="A219" s="15" t="n"/>
      <c r="B219">
        <f>IF($W219="","",INDEX('Per Line'!$B$2:$B$3001,$W219)&amp;"")</f>
        <v/>
      </c>
      <c r="C219">
        <f>IF($W219="","",INDEX('Per Line'!$C$2:$C$3001,$W219)&amp;"")</f>
        <v/>
      </c>
      <c r="D219">
        <f>IF($W219="","",IF(OR(TRIM(E219)="Orient Insurance Company",TRIM(E219)="Allianz"),TRIM(E219),TRIM(F219)))</f>
        <v/>
      </c>
      <c r="E219">
        <f>IF($W219="","",INDEX('Per Line'!$E$2:$E$3001,$W219)&amp;"")</f>
        <v/>
      </c>
      <c r="F219">
        <f>IF($W219="","",INDEX('Per Line'!$D$2:$D$3001,$W219)&amp;"")</f>
        <v/>
      </c>
      <c r="G219">
        <f>IF($W219="","",INDEX('Per Line'!$F$2:$F$3001,$W219)&amp;"")</f>
        <v/>
      </c>
      <c r="H219">
        <f>IF($W219="","",INDEX('Per Line'!$G$2:$G$3001,$W219)&amp;"")</f>
        <v/>
      </c>
      <c r="I219">
        <f>IF($W219="","",INDEX('Per Line'!$H$2:$H$3001,$W219)&amp;"")</f>
        <v/>
      </c>
      <c r="J219">
        <f>IF($W219="","",INDEX('Per Line'!$I$2:$I$3001,$W219))</f>
        <v/>
      </c>
      <c r="K219" s="7">
        <f>IF($W219="","",J219*T219/100)</f>
        <v/>
      </c>
      <c r="L219" s="14">
        <f>IF($W219="","",INDEX('Per Line'!$V$2:$V$3001,$W219))</f>
        <v/>
      </c>
      <c r="M219">
        <f>IF($W219="","",IF(ISNUMBER(SEARCH("3&amp;12",SUBSTITUTE(F219," ",""))),Settings!$G$7,Settings!$C$7))</f>
        <v/>
      </c>
      <c r="N219" s="7">
        <f>IF($W219="","",SUMIFS('Per Line'!$O$2:$O$3001,'Per Line'!$B$2:$B$3001,$B219,'Per Line'!$AB$2:$AB$3001,0))</f>
        <v/>
      </c>
      <c r="O219" s="7">
        <f>IF($W219="","",N219*M219)</f>
        <v/>
      </c>
      <c r="P219">
        <f>IF($W219="","",IF(ISNUMBER(SEARCH("3&amp;12",SUBSTITUTE(F219," ",""))),Settings!$G$6,Settings!$C$6))</f>
        <v/>
      </c>
      <c r="Q219" s="7">
        <f>IF($W219="","",SUMIFS('Per Line'!$O$2:$O$3001,'Per Line'!$B$2:$B$3001,$B219,'Per Line'!$AB$2:$AB$3001,1))</f>
        <v/>
      </c>
      <c r="R219" s="7">
        <f>IF($W219="","",Q219*P219)</f>
        <v/>
      </c>
      <c r="S219" s="7">
        <f>IF($W219="","",R219+O219)</f>
        <v/>
      </c>
      <c r="T219" s="7">
        <f>IF($W219="","",V219-S219)</f>
        <v/>
      </c>
      <c r="U219" s="7">
        <f>IF($W219="","",V219-S219-K219)</f>
        <v/>
      </c>
      <c r="V219" s="7">
        <f>IF($W219="","",N219+Q219)</f>
        <v/>
      </c>
      <c r="W219" s="16">
        <f>IF(ROWS($W$2:$W219)&lt;=MAX('Per Line'!$AA$2:$AA$3001),MATCH(ROWS($W$2:$W219),'Per Line'!$AA$2:$AA$3001,0),"")</f>
        <v/>
      </c>
      <c r="X219">
        <f>IF($W219="","",D219&amp;"|"&amp;COUNTIF($D$2:$D219,D219))</f>
        <v/>
      </c>
    </row>
    <row r="220">
      <c r="A220" s="15" t="n"/>
      <c r="B220">
        <f>IF($W220="","",INDEX('Per Line'!$B$2:$B$3001,$W220)&amp;"")</f>
        <v/>
      </c>
      <c r="C220">
        <f>IF($W220="","",INDEX('Per Line'!$C$2:$C$3001,$W220)&amp;"")</f>
        <v/>
      </c>
      <c r="D220">
        <f>IF($W220="","",IF(OR(TRIM(E220)="Orient Insurance Company",TRIM(E220)="Allianz"),TRIM(E220),TRIM(F220)))</f>
        <v/>
      </c>
      <c r="E220">
        <f>IF($W220="","",INDEX('Per Line'!$E$2:$E$3001,$W220)&amp;"")</f>
        <v/>
      </c>
      <c r="F220">
        <f>IF($W220="","",INDEX('Per Line'!$D$2:$D$3001,$W220)&amp;"")</f>
        <v/>
      </c>
      <c r="G220">
        <f>IF($W220="","",INDEX('Per Line'!$F$2:$F$3001,$W220)&amp;"")</f>
        <v/>
      </c>
      <c r="H220">
        <f>IF($W220="","",INDEX('Per Line'!$G$2:$G$3001,$W220)&amp;"")</f>
        <v/>
      </c>
      <c r="I220">
        <f>IF($W220="","",INDEX('Per Line'!$H$2:$H$3001,$W220)&amp;"")</f>
        <v/>
      </c>
      <c r="J220">
        <f>IF($W220="","",INDEX('Per Line'!$I$2:$I$3001,$W220))</f>
        <v/>
      </c>
      <c r="K220" s="7">
        <f>IF($W220="","",J220*T220/100)</f>
        <v/>
      </c>
      <c r="L220" s="14">
        <f>IF($W220="","",INDEX('Per Line'!$V$2:$V$3001,$W220))</f>
        <v/>
      </c>
      <c r="M220">
        <f>IF($W220="","",IF(ISNUMBER(SEARCH("3&amp;12",SUBSTITUTE(F220," ",""))),Settings!$G$7,Settings!$C$7))</f>
        <v/>
      </c>
      <c r="N220" s="7">
        <f>IF($W220="","",SUMIFS('Per Line'!$O$2:$O$3001,'Per Line'!$B$2:$B$3001,$B220,'Per Line'!$AB$2:$AB$3001,0))</f>
        <v/>
      </c>
      <c r="O220" s="7">
        <f>IF($W220="","",N220*M220)</f>
        <v/>
      </c>
      <c r="P220">
        <f>IF($W220="","",IF(ISNUMBER(SEARCH("3&amp;12",SUBSTITUTE(F220," ",""))),Settings!$G$6,Settings!$C$6))</f>
        <v/>
      </c>
      <c r="Q220" s="7">
        <f>IF($W220="","",SUMIFS('Per Line'!$O$2:$O$3001,'Per Line'!$B$2:$B$3001,$B220,'Per Line'!$AB$2:$AB$3001,1))</f>
        <v/>
      </c>
      <c r="R220" s="7">
        <f>IF($W220="","",Q220*P220)</f>
        <v/>
      </c>
      <c r="S220" s="7">
        <f>IF($W220="","",R220+O220)</f>
        <v/>
      </c>
      <c r="T220" s="7">
        <f>IF($W220="","",V220-S220)</f>
        <v/>
      </c>
      <c r="U220" s="7">
        <f>IF($W220="","",V220-S220-K220)</f>
        <v/>
      </c>
      <c r="V220" s="7">
        <f>IF($W220="","",N220+Q220)</f>
        <v/>
      </c>
      <c r="W220" s="16">
        <f>IF(ROWS($W$2:$W220)&lt;=MAX('Per Line'!$AA$2:$AA$3001),MATCH(ROWS($W$2:$W220),'Per Line'!$AA$2:$AA$3001,0),"")</f>
        <v/>
      </c>
      <c r="X220">
        <f>IF($W220="","",D220&amp;"|"&amp;COUNTIF($D$2:$D220,D220))</f>
        <v/>
      </c>
    </row>
    <row r="221">
      <c r="A221" s="15" t="n"/>
      <c r="B221">
        <f>IF($W221="","",INDEX('Per Line'!$B$2:$B$3001,$W221)&amp;"")</f>
        <v/>
      </c>
      <c r="C221">
        <f>IF($W221="","",INDEX('Per Line'!$C$2:$C$3001,$W221)&amp;"")</f>
        <v/>
      </c>
      <c r="D221">
        <f>IF($W221="","",IF(OR(TRIM(E221)="Orient Insurance Company",TRIM(E221)="Allianz"),TRIM(E221),TRIM(F221)))</f>
        <v/>
      </c>
      <c r="E221">
        <f>IF($W221="","",INDEX('Per Line'!$E$2:$E$3001,$W221)&amp;"")</f>
        <v/>
      </c>
      <c r="F221">
        <f>IF($W221="","",INDEX('Per Line'!$D$2:$D$3001,$W221)&amp;"")</f>
        <v/>
      </c>
      <c r="G221">
        <f>IF($W221="","",INDEX('Per Line'!$F$2:$F$3001,$W221)&amp;"")</f>
        <v/>
      </c>
      <c r="H221">
        <f>IF($W221="","",INDEX('Per Line'!$G$2:$G$3001,$W221)&amp;"")</f>
        <v/>
      </c>
      <c r="I221">
        <f>IF($W221="","",INDEX('Per Line'!$H$2:$H$3001,$W221)&amp;"")</f>
        <v/>
      </c>
      <c r="J221">
        <f>IF($W221="","",INDEX('Per Line'!$I$2:$I$3001,$W221))</f>
        <v/>
      </c>
      <c r="K221" s="7">
        <f>IF($W221="","",J221*T221/100)</f>
        <v/>
      </c>
      <c r="L221" s="14">
        <f>IF($W221="","",INDEX('Per Line'!$V$2:$V$3001,$W221))</f>
        <v/>
      </c>
      <c r="M221">
        <f>IF($W221="","",IF(ISNUMBER(SEARCH("3&amp;12",SUBSTITUTE(F221," ",""))),Settings!$G$7,Settings!$C$7))</f>
        <v/>
      </c>
      <c r="N221" s="7">
        <f>IF($W221="","",SUMIFS('Per Line'!$O$2:$O$3001,'Per Line'!$B$2:$B$3001,$B221,'Per Line'!$AB$2:$AB$3001,0))</f>
        <v/>
      </c>
      <c r="O221" s="7">
        <f>IF($W221="","",N221*M221)</f>
        <v/>
      </c>
      <c r="P221">
        <f>IF($W221="","",IF(ISNUMBER(SEARCH("3&amp;12",SUBSTITUTE(F221," ",""))),Settings!$G$6,Settings!$C$6))</f>
        <v/>
      </c>
      <c r="Q221" s="7">
        <f>IF($W221="","",SUMIFS('Per Line'!$O$2:$O$3001,'Per Line'!$B$2:$B$3001,$B221,'Per Line'!$AB$2:$AB$3001,1))</f>
        <v/>
      </c>
      <c r="R221" s="7">
        <f>IF($W221="","",Q221*P221)</f>
        <v/>
      </c>
      <c r="S221" s="7">
        <f>IF($W221="","",R221+O221)</f>
        <v/>
      </c>
      <c r="T221" s="7">
        <f>IF($W221="","",V221-S221)</f>
        <v/>
      </c>
      <c r="U221" s="7">
        <f>IF($W221="","",V221-S221-K221)</f>
        <v/>
      </c>
      <c r="V221" s="7">
        <f>IF($W221="","",N221+Q221)</f>
        <v/>
      </c>
      <c r="W221" s="16">
        <f>IF(ROWS($W$2:$W221)&lt;=MAX('Per Line'!$AA$2:$AA$3001),MATCH(ROWS($W$2:$W221),'Per Line'!$AA$2:$AA$3001,0),"")</f>
        <v/>
      </c>
      <c r="X221">
        <f>IF($W221="","",D221&amp;"|"&amp;COUNTIF($D$2:$D221,D221))</f>
        <v/>
      </c>
    </row>
    <row r="222">
      <c r="A222" s="15" t="n"/>
      <c r="B222">
        <f>IF($W222="","",INDEX('Per Line'!$B$2:$B$3001,$W222)&amp;"")</f>
        <v/>
      </c>
      <c r="C222">
        <f>IF($W222="","",INDEX('Per Line'!$C$2:$C$3001,$W222)&amp;"")</f>
        <v/>
      </c>
      <c r="D222">
        <f>IF($W222="","",IF(OR(TRIM(E222)="Orient Insurance Company",TRIM(E222)="Allianz"),TRIM(E222),TRIM(F222)))</f>
        <v/>
      </c>
      <c r="E222">
        <f>IF($W222="","",INDEX('Per Line'!$E$2:$E$3001,$W222)&amp;"")</f>
        <v/>
      </c>
      <c r="F222">
        <f>IF($W222="","",INDEX('Per Line'!$D$2:$D$3001,$W222)&amp;"")</f>
        <v/>
      </c>
      <c r="G222">
        <f>IF($W222="","",INDEX('Per Line'!$F$2:$F$3001,$W222)&amp;"")</f>
        <v/>
      </c>
      <c r="H222">
        <f>IF($W222="","",INDEX('Per Line'!$G$2:$G$3001,$W222)&amp;"")</f>
        <v/>
      </c>
      <c r="I222">
        <f>IF($W222="","",INDEX('Per Line'!$H$2:$H$3001,$W222)&amp;"")</f>
        <v/>
      </c>
      <c r="J222">
        <f>IF($W222="","",INDEX('Per Line'!$I$2:$I$3001,$W222))</f>
        <v/>
      </c>
      <c r="K222" s="7">
        <f>IF($W222="","",J222*T222/100)</f>
        <v/>
      </c>
      <c r="L222" s="14">
        <f>IF($W222="","",INDEX('Per Line'!$V$2:$V$3001,$W222))</f>
        <v/>
      </c>
      <c r="M222">
        <f>IF($W222="","",IF(ISNUMBER(SEARCH("3&amp;12",SUBSTITUTE(F222," ",""))),Settings!$G$7,Settings!$C$7))</f>
        <v/>
      </c>
      <c r="N222" s="7">
        <f>IF($W222="","",SUMIFS('Per Line'!$O$2:$O$3001,'Per Line'!$B$2:$B$3001,$B222,'Per Line'!$AB$2:$AB$3001,0))</f>
        <v/>
      </c>
      <c r="O222" s="7">
        <f>IF($W222="","",N222*M222)</f>
        <v/>
      </c>
      <c r="P222">
        <f>IF($W222="","",IF(ISNUMBER(SEARCH("3&amp;12",SUBSTITUTE(F222," ",""))),Settings!$G$6,Settings!$C$6))</f>
        <v/>
      </c>
      <c r="Q222" s="7">
        <f>IF($W222="","",SUMIFS('Per Line'!$O$2:$O$3001,'Per Line'!$B$2:$B$3001,$B222,'Per Line'!$AB$2:$AB$3001,1))</f>
        <v/>
      </c>
      <c r="R222" s="7">
        <f>IF($W222="","",Q222*P222)</f>
        <v/>
      </c>
      <c r="S222" s="7">
        <f>IF($W222="","",R222+O222)</f>
        <v/>
      </c>
      <c r="T222" s="7">
        <f>IF($W222="","",V222-S222)</f>
        <v/>
      </c>
      <c r="U222" s="7">
        <f>IF($W222="","",V222-S222-K222)</f>
        <v/>
      </c>
      <c r="V222" s="7">
        <f>IF($W222="","",N222+Q222)</f>
        <v/>
      </c>
      <c r="W222" s="16">
        <f>IF(ROWS($W$2:$W222)&lt;=MAX('Per Line'!$AA$2:$AA$3001),MATCH(ROWS($W$2:$W222),'Per Line'!$AA$2:$AA$3001,0),"")</f>
        <v/>
      </c>
      <c r="X222">
        <f>IF($W222="","",D222&amp;"|"&amp;COUNTIF($D$2:$D222,D222))</f>
        <v/>
      </c>
    </row>
    <row r="223">
      <c r="A223" s="15" t="n"/>
      <c r="B223">
        <f>IF($W223="","",INDEX('Per Line'!$B$2:$B$3001,$W223)&amp;"")</f>
        <v/>
      </c>
      <c r="C223">
        <f>IF($W223="","",INDEX('Per Line'!$C$2:$C$3001,$W223)&amp;"")</f>
        <v/>
      </c>
      <c r="D223">
        <f>IF($W223="","",IF(OR(TRIM(E223)="Orient Insurance Company",TRIM(E223)="Allianz"),TRIM(E223),TRIM(F223)))</f>
        <v/>
      </c>
      <c r="E223">
        <f>IF($W223="","",INDEX('Per Line'!$E$2:$E$3001,$W223)&amp;"")</f>
        <v/>
      </c>
      <c r="F223">
        <f>IF($W223="","",INDEX('Per Line'!$D$2:$D$3001,$W223)&amp;"")</f>
        <v/>
      </c>
      <c r="G223">
        <f>IF($W223="","",INDEX('Per Line'!$F$2:$F$3001,$W223)&amp;"")</f>
        <v/>
      </c>
      <c r="H223">
        <f>IF($W223="","",INDEX('Per Line'!$G$2:$G$3001,$W223)&amp;"")</f>
        <v/>
      </c>
      <c r="I223">
        <f>IF($W223="","",INDEX('Per Line'!$H$2:$H$3001,$W223)&amp;"")</f>
        <v/>
      </c>
      <c r="J223">
        <f>IF($W223="","",INDEX('Per Line'!$I$2:$I$3001,$W223))</f>
        <v/>
      </c>
      <c r="K223" s="7">
        <f>IF($W223="","",J223*T223/100)</f>
        <v/>
      </c>
      <c r="L223" s="14">
        <f>IF($W223="","",INDEX('Per Line'!$V$2:$V$3001,$W223))</f>
        <v/>
      </c>
      <c r="M223">
        <f>IF($W223="","",IF(ISNUMBER(SEARCH("3&amp;12",SUBSTITUTE(F223," ",""))),Settings!$G$7,Settings!$C$7))</f>
        <v/>
      </c>
      <c r="N223" s="7">
        <f>IF($W223="","",SUMIFS('Per Line'!$O$2:$O$3001,'Per Line'!$B$2:$B$3001,$B223,'Per Line'!$AB$2:$AB$3001,0))</f>
        <v/>
      </c>
      <c r="O223" s="7">
        <f>IF($W223="","",N223*M223)</f>
        <v/>
      </c>
      <c r="P223">
        <f>IF($W223="","",IF(ISNUMBER(SEARCH("3&amp;12",SUBSTITUTE(F223," ",""))),Settings!$G$6,Settings!$C$6))</f>
        <v/>
      </c>
      <c r="Q223" s="7">
        <f>IF($W223="","",SUMIFS('Per Line'!$O$2:$O$3001,'Per Line'!$B$2:$B$3001,$B223,'Per Line'!$AB$2:$AB$3001,1))</f>
        <v/>
      </c>
      <c r="R223" s="7">
        <f>IF($W223="","",Q223*P223)</f>
        <v/>
      </c>
      <c r="S223" s="7">
        <f>IF($W223="","",R223+O223)</f>
        <v/>
      </c>
      <c r="T223" s="7">
        <f>IF($W223="","",V223-S223)</f>
        <v/>
      </c>
      <c r="U223" s="7">
        <f>IF($W223="","",V223-S223-K223)</f>
        <v/>
      </c>
      <c r="V223" s="7">
        <f>IF($W223="","",N223+Q223)</f>
        <v/>
      </c>
      <c r="W223" s="16">
        <f>IF(ROWS($W$2:$W223)&lt;=MAX('Per Line'!$AA$2:$AA$3001),MATCH(ROWS($W$2:$W223),'Per Line'!$AA$2:$AA$3001,0),"")</f>
        <v/>
      </c>
      <c r="X223">
        <f>IF($W223="","",D223&amp;"|"&amp;COUNTIF($D$2:$D223,D223))</f>
        <v/>
      </c>
    </row>
    <row r="224">
      <c r="A224" s="15" t="n"/>
      <c r="B224">
        <f>IF($W224="","",INDEX('Per Line'!$B$2:$B$3001,$W224)&amp;"")</f>
        <v/>
      </c>
      <c r="C224">
        <f>IF($W224="","",INDEX('Per Line'!$C$2:$C$3001,$W224)&amp;"")</f>
        <v/>
      </c>
      <c r="D224">
        <f>IF($W224="","",IF(OR(TRIM(E224)="Orient Insurance Company",TRIM(E224)="Allianz"),TRIM(E224),TRIM(F224)))</f>
        <v/>
      </c>
      <c r="E224">
        <f>IF($W224="","",INDEX('Per Line'!$E$2:$E$3001,$W224)&amp;"")</f>
        <v/>
      </c>
      <c r="F224">
        <f>IF($W224="","",INDEX('Per Line'!$D$2:$D$3001,$W224)&amp;"")</f>
        <v/>
      </c>
      <c r="G224">
        <f>IF($W224="","",INDEX('Per Line'!$F$2:$F$3001,$W224)&amp;"")</f>
        <v/>
      </c>
      <c r="H224">
        <f>IF($W224="","",INDEX('Per Line'!$G$2:$G$3001,$W224)&amp;"")</f>
        <v/>
      </c>
      <c r="I224">
        <f>IF($W224="","",INDEX('Per Line'!$H$2:$H$3001,$W224)&amp;"")</f>
        <v/>
      </c>
      <c r="J224">
        <f>IF($W224="","",INDEX('Per Line'!$I$2:$I$3001,$W224))</f>
        <v/>
      </c>
      <c r="K224" s="7">
        <f>IF($W224="","",J224*T224/100)</f>
        <v/>
      </c>
      <c r="L224" s="14">
        <f>IF($W224="","",INDEX('Per Line'!$V$2:$V$3001,$W224))</f>
        <v/>
      </c>
      <c r="M224">
        <f>IF($W224="","",IF(ISNUMBER(SEARCH("3&amp;12",SUBSTITUTE(F224," ",""))),Settings!$G$7,Settings!$C$7))</f>
        <v/>
      </c>
      <c r="N224" s="7">
        <f>IF($W224="","",SUMIFS('Per Line'!$O$2:$O$3001,'Per Line'!$B$2:$B$3001,$B224,'Per Line'!$AB$2:$AB$3001,0))</f>
        <v/>
      </c>
      <c r="O224" s="7">
        <f>IF($W224="","",N224*M224)</f>
        <v/>
      </c>
      <c r="P224">
        <f>IF($W224="","",IF(ISNUMBER(SEARCH("3&amp;12",SUBSTITUTE(F224," ",""))),Settings!$G$6,Settings!$C$6))</f>
        <v/>
      </c>
      <c r="Q224" s="7">
        <f>IF($W224="","",SUMIFS('Per Line'!$O$2:$O$3001,'Per Line'!$B$2:$B$3001,$B224,'Per Line'!$AB$2:$AB$3001,1))</f>
        <v/>
      </c>
      <c r="R224" s="7">
        <f>IF($W224="","",Q224*P224)</f>
        <v/>
      </c>
      <c r="S224" s="7">
        <f>IF($W224="","",R224+O224)</f>
        <v/>
      </c>
      <c r="T224" s="7">
        <f>IF($W224="","",V224-S224)</f>
        <v/>
      </c>
      <c r="U224" s="7">
        <f>IF($W224="","",V224-S224-K224)</f>
        <v/>
      </c>
      <c r="V224" s="7">
        <f>IF($W224="","",N224+Q224)</f>
        <v/>
      </c>
      <c r="W224" s="16">
        <f>IF(ROWS($W$2:$W224)&lt;=MAX('Per Line'!$AA$2:$AA$3001),MATCH(ROWS($W$2:$W224),'Per Line'!$AA$2:$AA$3001,0),"")</f>
        <v/>
      </c>
      <c r="X224">
        <f>IF($W224="","",D224&amp;"|"&amp;COUNTIF($D$2:$D224,D224))</f>
        <v/>
      </c>
    </row>
    <row r="225">
      <c r="A225" s="15" t="n"/>
      <c r="B225">
        <f>IF($W225="","",INDEX('Per Line'!$B$2:$B$3001,$W225)&amp;"")</f>
        <v/>
      </c>
      <c r="C225">
        <f>IF($W225="","",INDEX('Per Line'!$C$2:$C$3001,$W225)&amp;"")</f>
        <v/>
      </c>
      <c r="D225">
        <f>IF($W225="","",IF(OR(TRIM(E225)="Orient Insurance Company",TRIM(E225)="Allianz"),TRIM(E225),TRIM(F225)))</f>
        <v/>
      </c>
      <c r="E225">
        <f>IF($W225="","",INDEX('Per Line'!$E$2:$E$3001,$W225)&amp;"")</f>
        <v/>
      </c>
      <c r="F225">
        <f>IF($W225="","",INDEX('Per Line'!$D$2:$D$3001,$W225)&amp;"")</f>
        <v/>
      </c>
      <c r="G225">
        <f>IF($W225="","",INDEX('Per Line'!$F$2:$F$3001,$W225)&amp;"")</f>
        <v/>
      </c>
      <c r="H225">
        <f>IF($W225="","",INDEX('Per Line'!$G$2:$G$3001,$W225)&amp;"")</f>
        <v/>
      </c>
      <c r="I225">
        <f>IF($W225="","",INDEX('Per Line'!$H$2:$H$3001,$W225)&amp;"")</f>
        <v/>
      </c>
      <c r="J225">
        <f>IF($W225="","",INDEX('Per Line'!$I$2:$I$3001,$W225))</f>
        <v/>
      </c>
      <c r="K225" s="7">
        <f>IF($W225="","",J225*T225/100)</f>
        <v/>
      </c>
      <c r="L225" s="14">
        <f>IF($W225="","",INDEX('Per Line'!$V$2:$V$3001,$W225))</f>
        <v/>
      </c>
      <c r="M225">
        <f>IF($W225="","",IF(ISNUMBER(SEARCH("3&amp;12",SUBSTITUTE(F225," ",""))),Settings!$G$7,Settings!$C$7))</f>
        <v/>
      </c>
      <c r="N225" s="7">
        <f>IF($W225="","",SUMIFS('Per Line'!$O$2:$O$3001,'Per Line'!$B$2:$B$3001,$B225,'Per Line'!$AB$2:$AB$3001,0))</f>
        <v/>
      </c>
      <c r="O225" s="7">
        <f>IF($W225="","",N225*M225)</f>
        <v/>
      </c>
      <c r="P225">
        <f>IF($W225="","",IF(ISNUMBER(SEARCH("3&amp;12",SUBSTITUTE(F225," ",""))),Settings!$G$6,Settings!$C$6))</f>
        <v/>
      </c>
      <c r="Q225" s="7">
        <f>IF($W225="","",SUMIFS('Per Line'!$O$2:$O$3001,'Per Line'!$B$2:$B$3001,$B225,'Per Line'!$AB$2:$AB$3001,1))</f>
        <v/>
      </c>
      <c r="R225" s="7">
        <f>IF($W225="","",Q225*P225)</f>
        <v/>
      </c>
      <c r="S225" s="7">
        <f>IF($W225="","",R225+O225)</f>
        <v/>
      </c>
      <c r="T225" s="7">
        <f>IF($W225="","",V225-S225)</f>
        <v/>
      </c>
      <c r="U225" s="7">
        <f>IF($W225="","",V225-S225-K225)</f>
        <v/>
      </c>
      <c r="V225" s="7">
        <f>IF($W225="","",N225+Q225)</f>
        <v/>
      </c>
      <c r="W225" s="16">
        <f>IF(ROWS($W$2:$W225)&lt;=MAX('Per Line'!$AA$2:$AA$3001),MATCH(ROWS($W$2:$W225),'Per Line'!$AA$2:$AA$3001,0),"")</f>
        <v/>
      </c>
      <c r="X225">
        <f>IF($W225="","",D225&amp;"|"&amp;COUNTIF($D$2:$D225,D225))</f>
        <v/>
      </c>
    </row>
    <row r="226">
      <c r="A226" s="15" t="n"/>
      <c r="B226">
        <f>IF($W226="","",INDEX('Per Line'!$B$2:$B$3001,$W226)&amp;"")</f>
        <v/>
      </c>
      <c r="C226">
        <f>IF($W226="","",INDEX('Per Line'!$C$2:$C$3001,$W226)&amp;"")</f>
        <v/>
      </c>
      <c r="D226">
        <f>IF($W226="","",IF(OR(TRIM(E226)="Orient Insurance Company",TRIM(E226)="Allianz"),TRIM(E226),TRIM(F226)))</f>
        <v/>
      </c>
      <c r="E226">
        <f>IF($W226="","",INDEX('Per Line'!$E$2:$E$3001,$W226)&amp;"")</f>
        <v/>
      </c>
      <c r="F226">
        <f>IF($W226="","",INDEX('Per Line'!$D$2:$D$3001,$W226)&amp;"")</f>
        <v/>
      </c>
      <c r="G226">
        <f>IF($W226="","",INDEX('Per Line'!$F$2:$F$3001,$W226)&amp;"")</f>
        <v/>
      </c>
      <c r="H226">
        <f>IF($W226="","",INDEX('Per Line'!$G$2:$G$3001,$W226)&amp;"")</f>
        <v/>
      </c>
      <c r="I226">
        <f>IF($W226="","",INDEX('Per Line'!$H$2:$H$3001,$W226)&amp;"")</f>
        <v/>
      </c>
      <c r="J226">
        <f>IF($W226="","",INDEX('Per Line'!$I$2:$I$3001,$W226))</f>
        <v/>
      </c>
      <c r="K226" s="7">
        <f>IF($W226="","",J226*T226/100)</f>
        <v/>
      </c>
      <c r="L226" s="14">
        <f>IF($W226="","",INDEX('Per Line'!$V$2:$V$3001,$W226))</f>
        <v/>
      </c>
      <c r="M226">
        <f>IF($W226="","",IF(ISNUMBER(SEARCH("3&amp;12",SUBSTITUTE(F226," ",""))),Settings!$G$7,Settings!$C$7))</f>
        <v/>
      </c>
      <c r="N226" s="7">
        <f>IF($W226="","",SUMIFS('Per Line'!$O$2:$O$3001,'Per Line'!$B$2:$B$3001,$B226,'Per Line'!$AB$2:$AB$3001,0))</f>
        <v/>
      </c>
      <c r="O226" s="7">
        <f>IF($W226="","",N226*M226)</f>
        <v/>
      </c>
      <c r="P226">
        <f>IF($W226="","",IF(ISNUMBER(SEARCH("3&amp;12",SUBSTITUTE(F226," ",""))),Settings!$G$6,Settings!$C$6))</f>
        <v/>
      </c>
      <c r="Q226" s="7">
        <f>IF($W226="","",SUMIFS('Per Line'!$O$2:$O$3001,'Per Line'!$B$2:$B$3001,$B226,'Per Line'!$AB$2:$AB$3001,1))</f>
        <v/>
      </c>
      <c r="R226" s="7">
        <f>IF($W226="","",Q226*P226)</f>
        <v/>
      </c>
      <c r="S226" s="7">
        <f>IF($W226="","",R226+O226)</f>
        <v/>
      </c>
      <c r="T226" s="7">
        <f>IF($W226="","",V226-S226)</f>
        <v/>
      </c>
      <c r="U226" s="7">
        <f>IF($W226="","",V226-S226-K226)</f>
        <v/>
      </c>
      <c r="V226" s="7">
        <f>IF($W226="","",N226+Q226)</f>
        <v/>
      </c>
      <c r="W226" s="16">
        <f>IF(ROWS($W$2:$W226)&lt;=MAX('Per Line'!$AA$2:$AA$3001),MATCH(ROWS($W$2:$W226),'Per Line'!$AA$2:$AA$3001,0),"")</f>
        <v/>
      </c>
      <c r="X226">
        <f>IF($W226="","",D226&amp;"|"&amp;COUNTIF($D$2:$D226,D226))</f>
        <v/>
      </c>
    </row>
    <row r="227">
      <c r="A227" s="15" t="n"/>
      <c r="B227">
        <f>IF($W227="","",INDEX('Per Line'!$B$2:$B$3001,$W227)&amp;"")</f>
        <v/>
      </c>
      <c r="C227">
        <f>IF($W227="","",INDEX('Per Line'!$C$2:$C$3001,$W227)&amp;"")</f>
        <v/>
      </c>
      <c r="D227">
        <f>IF($W227="","",IF(OR(TRIM(E227)="Orient Insurance Company",TRIM(E227)="Allianz"),TRIM(E227),TRIM(F227)))</f>
        <v/>
      </c>
      <c r="E227">
        <f>IF($W227="","",INDEX('Per Line'!$E$2:$E$3001,$W227)&amp;"")</f>
        <v/>
      </c>
      <c r="F227">
        <f>IF($W227="","",INDEX('Per Line'!$D$2:$D$3001,$W227)&amp;"")</f>
        <v/>
      </c>
      <c r="G227">
        <f>IF($W227="","",INDEX('Per Line'!$F$2:$F$3001,$W227)&amp;"")</f>
        <v/>
      </c>
      <c r="H227">
        <f>IF($W227="","",INDEX('Per Line'!$G$2:$G$3001,$W227)&amp;"")</f>
        <v/>
      </c>
      <c r="I227">
        <f>IF($W227="","",INDEX('Per Line'!$H$2:$H$3001,$W227)&amp;"")</f>
        <v/>
      </c>
      <c r="J227">
        <f>IF($W227="","",INDEX('Per Line'!$I$2:$I$3001,$W227))</f>
        <v/>
      </c>
      <c r="K227" s="7">
        <f>IF($W227="","",J227*T227/100)</f>
        <v/>
      </c>
      <c r="L227" s="14">
        <f>IF($W227="","",INDEX('Per Line'!$V$2:$V$3001,$W227))</f>
        <v/>
      </c>
      <c r="M227">
        <f>IF($W227="","",IF(ISNUMBER(SEARCH("3&amp;12",SUBSTITUTE(F227," ",""))),Settings!$G$7,Settings!$C$7))</f>
        <v/>
      </c>
      <c r="N227" s="7">
        <f>IF($W227="","",SUMIFS('Per Line'!$O$2:$O$3001,'Per Line'!$B$2:$B$3001,$B227,'Per Line'!$AB$2:$AB$3001,0))</f>
        <v/>
      </c>
      <c r="O227" s="7">
        <f>IF($W227="","",N227*M227)</f>
        <v/>
      </c>
      <c r="P227">
        <f>IF($W227="","",IF(ISNUMBER(SEARCH("3&amp;12",SUBSTITUTE(F227," ",""))),Settings!$G$6,Settings!$C$6))</f>
        <v/>
      </c>
      <c r="Q227" s="7">
        <f>IF($W227="","",SUMIFS('Per Line'!$O$2:$O$3001,'Per Line'!$B$2:$B$3001,$B227,'Per Line'!$AB$2:$AB$3001,1))</f>
        <v/>
      </c>
      <c r="R227" s="7">
        <f>IF($W227="","",Q227*P227)</f>
        <v/>
      </c>
      <c r="S227" s="7">
        <f>IF($W227="","",R227+O227)</f>
        <v/>
      </c>
      <c r="T227" s="7">
        <f>IF($W227="","",V227-S227)</f>
        <v/>
      </c>
      <c r="U227" s="7">
        <f>IF($W227="","",V227-S227-K227)</f>
        <v/>
      </c>
      <c r="V227" s="7">
        <f>IF($W227="","",N227+Q227)</f>
        <v/>
      </c>
      <c r="W227" s="16">
        <f>IF(ROWS($W$2:$W227)&lt;=MAX('Per Line'!$AA$2:$AA$3001),MATCH(ROWS($W$2:$W227),'Per Line'!$AA$2:$AA$3001,0),"")</f>
        <v/>
      </c>
      <c r="X227">
        <f>IF($W227="","",D227&amp;"|"&amp;COUNTIF($D$2:$D227,D227))</f>
        <v/>
      </c>
    </row>
    <row r="228">
      <c r="A228" s="15" t="n"/>
      <c r="B228">
        <f>IF($W228="","",INDEX('Per Line'!$B$2:$B$3001,$W228)&amp;"")</f>
        <v/>
      </c>
      <c r="C228">
        <f>IF($W228="","",INDEX('Per Line'!$C$2:$C$3001,$W228)&amp;"")</f>
        <v/>
      </c>
      <c r="D228">
        <f>IF($W228="","",IF(OR(TRIM(E228)="Orient Insurance Company",TRIM(E228)="Allianz"),TRIM(E228),TRIM(F228)))</f>
        <v/>
      </c>
      <c r="E228">
        <f>IF($W228="","",INDEX('Per Line'!$E$2:$E$3001,$W228)&amp;"")</f>
        <v/>
      </c>
      <c r="F228">
        <f>IF($W228="","",INDEX('Per Line'!$D$2:$D$3001,$W228)&amp;"")</f>
        <v/>
      </c>
      <c r="G228">
        <f>IF($W228="","",INDEX('Per Line'!$F$2:$F$3001,$W228)&amp;"")</f>
        <v/>
      </c>
      <c r="H228">
        <f>IF($W228="","",INDEX('Per Line'!$G$2:$G$3001,$W228)&amp;"")</f>
        <v/>
      </c>
      <c r="I228">
        <f>IF($W228="","",INDEX('Per Line'!$H$2:$H$3001,$W228)&amp;"")</f>
        <v/>
      </c>
      <c r="J228">
        <f>IF($W228="","",INDEX('Per Line'!$I$2:$I$3001,$W228))</f>
        <v/>
      </c>
      <c r="K228" s="7">
        <f>IF($W228="","",J228*T228/100)</f>
        <v/>
      </c>
      <c r="L228" s="14">
        <f>IF($W228="","",INDEX('Per Line'!$V$2:$V$3001,$W228))</f>
        <v/>
      </c>
      <c r="M228">
        <f>IF($W228="","",IF(ISNUMBER(SEARCH("3&amp;12",SUBSTITUTE(F228," ",""))),Settings!$G$7,Settings!$C$7))</f>
        <v/>
      </c>
      <c r="N228" s="7">
        <f>IF($W228="","",SUMIFS('Per Line'!$O$2:$O$3001,'Per Line'!$B$2:$B$3001,$B228,'Per Line'!$AB$2:$AB$3001,0))</f>
        <v/>
      </c>
      <c r="O228" s="7">
        <f>IF($W228="","",N228*M228)</f>
        <v/>
      </c>
      <c r="P228">
        <f>IF($W228="","",IF(ISNUMBER(SEARCH("3&amp;12",SUBSTITUTE(F228," ",""))),Settings!$G$6,Settings!$C$6))</f>
        <v/>
      </c>
      <c r="Q228" s="7">
        <f>IF($W228="","",SUMIFS('Per Line'!$O$2:$O$3001,'Per Line'!$B$2:$B$3001,$B228,'Per Line'!$AB$2:$AB$3001,1))</f>
        <v/>
      </c>
      <c r="R228" s="7">
        <f>IF($W228="","",Q228*P228)</f>
        <v/>
      </c>
      <c r="S228" s="7">
        <f>IF($W228="","",R228+O228)</f>
        <v/>
      </c>
      <c r="T228" s="7">
        <f>IF($W228="","",V228-S228)</f>
        <v/>
      </c>
      <c r="U228" s="7">
        <f>IF($W228="","",V228-S228-K228)</f>
        <v/>
      </c>
      <c r="V228" s="7">
        <f>IF($W228="","",N228+Q228)</f>
        <v/>
      </c>
      <c r="W228" s="16">
        <f>IF(ROWS($W$2:$W228)&lt;=MAX('Per Line'!$AA$2:$AA$3001),MATCH(ROWS($W$2:$W228),'Per Line'!$AA$2:$AA$3001,0),"")</f>
        <v/>
      </c>
      <c r="X228">
        <f>IF($W228="","",D228&amp;"|"&amp;COUNTIF($D$2:$D228,D228))</f>
        <v/>
      </c>
    </row>
    <row r="229">
      <c r="A229" s="15" t="n"/>
      <c r="B229">
        <f>IF($W229="","",INDEX('Per Line'!$B$2:$B$3001,$W229)&amp;"")</f>
        <v/>
      </c>
      <c r="C229">
        <f>IF($W229="","",INDEX('Per Line'!$C$2:$C$3001,$W229)&amp;"")</f>
        <v/>
      </c>
      <c r="D229">
        <f>IF($W229="","",IF(OR(TRIM(E229)="Orient Insurance Company",TRIM(E229)="Allianz"),TRIM(E229),TRIM(F229)))</f>
        <v/>
      </c>
      <c r="E229">
        <f>IF($W229="","",INDEX('Per Line'!$E$2:$E$3001,$W229)&amp;"")</f>
        <v/>
      </c>
      <c r="F229">
        <f>IF($W229="","",INDEX('Per Line'!$D$2:$D$3001,$W229)&amp;"")</f>
        <v/>
      </c>
      <c r="G229">
        <f>IF($W229="","",INDEX('Per Line'!$F$2:$F$3001,$W229)&amp;"")</f>
        <v/>
      </c>
      <c r="H229">
        <f>IF($W229="","",INDEX('Per Line'!$G$2:$G$3001,$W229)&amp;"")</f>
        <v/>
      </c>
      <c r="I229">
        <f>IF($W229="","",INDEX('Per Line'!$H$2:$H$3001,$W229)&amp;"")</f>
        <v/>
      </c>
      <c r="J229">
        <f>IF($W229="","",INDEX('Per Line'!$I$2:$I$3001,$W229))</f>
        <v/>
      </c>
      <c r="K229" s="7">
        <f>IF($W229="","",J229*T229/100)</f>
        <v/>
      </c>
      <c r="L229" s="14">
        <f>IF($W229="","",INDEX('Per Line'!$V$2:$V$3001,$W229))</f>
        <v/>
      </c>
      <c r="M229">
        <f>IF($W229="","",IF(ISNUMBER(SEARCH("3&amp;12",SUBSTITUTE(F229," ",""))),Settings!$G$7,Settings!$C$7))</f>
        <v/>
      </c>
      <c r="N229" s="7">
        <f>IF($W229="","",SUMIFS('Per Line'!$O$2:$O$3001,'Per Line'!$B$2:$B$3001,$B229,'Per Line'!$AB$2:$AB$3001,0))</f>
        <v/>
      </c>
      <c r="O229" s="7">
        <f>IF($W229="","",N229*M229)</f>
        <v/>
      </c>
      <c r="P229">
        <f>IF($W229="","",IF(ISNUMBER(SEARCH("3&amp;12",SUBSTITUTE(F229," ",""))),Settings!$G$6,Settings!$C$6))</f>
        <v/>
      </c>
      <c r="Q229" s="7">
        <f>IF($W229="","",SUMIFS('Per Line'!$O$2:$O$3001,'Per Line'!$B$2:$B$3001,$B229,'Per Line'!$AB$2:$AB$3001,1))</f>
        <v/>
      </c>
      <c r="R229" s="7">
        <f>IF($W229="","",Q229*P229)</f>
        <v/>
      </c>
      <c r="S229" s="7">
        <f>IF($W229="","",R229+O229)</f>
        <v/>
      </c>
      <c r="T229" s="7">
        <f>IF($W229="","",V229-S229)</f>
        <v/>
      </c>
      <c r="U229" s="7">
        <f>IF($W229="","",V229-S229-K229)</f>
        <v/>
      </c>
      <c r="V229" s="7">
        <f>IF($W229="","",N229+Q229)</f>
        <v/>
      </c>
      <c r="W229" s="16">
        <f>IF(ROWS($W$2:$W229)&lt;=MAX('Per Line'!$AA$2:$AA$3001),MATCH(ROWS($W$2:$W229),'Per Line'!$AA$2:$AA$3001,0),"")</f>
        <v/>
      </c>
      <c r="X229">
        <f>IF($W229="","",D229&amp;"|"&amp;COUNTIF($D$2:$D229,D229))</f>
        <v/>
      </c>
    </row>
    <row r="230">
      <c r="A230" s="15" t="n"/>
      <c r="B230">
        <f>IF($W230="","",INDEX('Per Line'!$B$2:$B$3001,$W230)&amp;"")</f>
        <v/>
      </c>
      <c r="C230">
        <f>IF($W230="","",INDEX('Per Line'!$C$2:$C$3001,$W230)&amp;"")</f>
        <v/>
      </c>
      <c r="D230">
        <f>IF($W230="","",IF(OR(TRIM(E230)="Orient Insurance Company",TRIM(E230)="Allianz"),TRIM(E230),TRIM(F230)))</f>
        <v/>
      </c>
      <c r="E230">
        <f>IF($W230="","",INDEX('Per Line'!$E$2:$E$3001,$W230)&amp;"")</f>
        <v/>
      </c>
      <c r="F230">
        <f>IF($W230="","",INDEX('Per Line'!$D$2:$D$3001,$W230)&amp;"")</f>
        <v/>
      </c>
      <c r="G230">
        <f>IF($W230="","",INDEX('Per Line'!$F$2:$F$3001,$W230)&amp;"")</f>
        <v/>
      </c>
      <c r="H230">
        <f>IF($W230="","",INDEX('Per Line'!$G$2:$G$3001,$W230)&amp;"")</f>
        <v/>
      </c>
      <c r="I230">
        <f>IF($W230="","",INDEX('Per Line'!$H$2:$H$3001,$W230)&amp;"")</f>
        <v/>
      </c>
      <c r="J230">
        <f>IF($W230="","",INDEX('Per Line'!$I$2:$I$3001,$W230))</f>
        <v/>
      </c>
      <c r="K230" s="7">
        <f>IF($W230="","",J230*T230/100)</f>
        <v/>
      </c>
      <c r="L230" s="14">
        <f>IF($W230="","",INDEX('Per Line'!$V$2:$V$3001,$W230))</f>
        <v/>
      </c>
      <c r="M230">
        <f>IF($W230="","",IF(ISNUMBER(SEARCH("3&amp;12",SUBSTITUTE(F230," ",""))),Settings!$G$7,Settings!$C$7))</f>
        <v/>
      </c>
      <c r="N230" s="7">
        <f>IF($W230="","",SUMIFS('Per Line'!$O$2:$O$3001,'Per Line'!$B$2:$B$3001,$B230,'Per Line'!$AB$2:$AB$3001,0))</f>
        <v/>
      </c>
      <c r="O230" s="7">
        <f>IF($W230="","",N230*M230)</f>
        <v/>
      </c>
      <c r="P230">
        <f>IF($W230="","",IF(ISNUMBER(SEARCH("3&amp;12",SUBSTITUTE(F230," ",""))),Settings!$G$6,Settings!$C$6))</f>
        <v/>
      </c>
      <c r="Q230" s="7">
        <f>IF($W230="","",SUMIFS('Per Line'!$O$2:$O$3001,'Per Line'!$B$2:$B$3001,$B230,'Per Line'!$AB$2:$AB$3001,1))</f>
        <v/>
      </c>
      <c r="R230" s="7">
        <f>IF($W230="","",Q230*P230)</f>
        <v/>
      </c>
      <c r="S230" s="7">
        <f>IF($W230="","",R230+O230)</f>
        <v/>
      </c>
      <c r="T230" s="7">
        <f>IF($W230="","",V230-S230)</f>
        <v/>
      </c>
      <c r="U230" s="7">
        <f>IF($W230="","",V230-S230-K230)</f>
        <v/>
      </c>
      <c r="V230" s="7">
        <f>IF($W230="","",N230+Q230)</f>
        <v/>
      </c>
      <c r="W230" s="16">
        <f>IF(ROWS($W$2:$W230)&lt;=MAX('Per Line'!$AA$2:$AA$3001),MATCH(ROWS($W$2:$W230),'Per Line'!$AA$2:$AA$3001,0),"")</f>
        <v/>
      </c>
      <c r="X230">
        <f>IF($W230="","",D230&amp;"|"&amp;COUNTIF($D$2:$D230,D230))</f>
        <v/>
      </c>
    </row>
    <row r="231">
      <c r="A231" s="15" t="n"/>
      <c r="B231">
        <f>IF($W231="","",INDEX('Per Line'!$B$2:$B$3001,$W231)&amp;"")</f>
        <v/>
      </c>
      <c r="C231">
        <f>IF($W231="","",INDEX('Per Line'!$C$2:$C$3001,$W231)&amp;"")</f>
        <v/>
      </c>
      <c r="D231">
        <f>IF($W231="","",IF(OR(TRIM(E231)="Orient Insurance Company",TRIM(E231)="Allianz"),TRIM(E231),TRIM(F231)))</f>
        <v/>
      </c>
      <c r="E231">
        <f>IF($W231="","",INDEX('Per Line'!$E$2:$E$3001,$W231)&amp;"")</f>
        <v/>
      </c>
      <c r="F231">
        <f>IF($W231="","",INDEX('Per Line'!$D$2:$D$3001,$W231)&amp;"")</f>
        <v/>
      </c>
      <c r="G231">
        <f>IF($W231="","",INDEX('Per Line'!$F$2:$F$3001,$W231)&amp;"")</f>
        <v/>
      </c>
      <c r="H231">
        <f>IF($W231="","",INDEX('Per Line'!$G$2:$G$3001,$W231)&amp;"")</f>
        <v/>
      </c>
      <c r="I231">
        <f>IF($W231="","",INDEX('Per Line'!$H$2:$H$3001,$W231)&amp;"")</f>
        <v/>
      </c>
      <c r="J231">
        <f>IF($W231="","",INDEX('Per Line'!$I$2:$I$3001,$W231))</f>
        <v/>
      </c>
      <c r="K231" s="7">
        <f>IF($W231="","",J231*T231/100)</f>
        <v/>
      </c>
      <c r="L231" s="14">
        <f>IF($W231="","",INDEX('Per Line'!$V$2:$V$3001,$W231))</f>
        <v/>
      </c>
      <c r="M231">
        <f>IF($W231="","",IF(ISNUMBER(SEARCH("3&amp;12",SUBSTITUTE(F231," ",""))),Settings!$G$7,Settings!$C$7))</f>
        <v/>
      </c>
      <c r="N231" s="7">
        <f>IF($W231="","",SUMIFS('Per Line'!$O$2:$O$3001,'Per Line'!$B$2:$B$3001,$B231,'Per Line'!$AB$2:$AB$3001,0))</f>
        <v/>
      </c>
      <c r="O231" s="7">
        <f>IF($W231="","",N231*M231)</f>
        <v/>
      </c>
      <c r="P231">
        <f>IF($W231="","",IF(ISNUMBER(SEARCH("3&amp;12",SUBSTITUTE(F231," ",""))),Settings!$G$6,Settings!$C$6))</f>
        <v/>
      </c>
      <c r="Q231" s="7">
        <f>IF($W231="","",SUMIFS('Per Line'!$O$2:$O$3001,'Per Line'!$B$2:$B$3001,$B231,'Per Line'!$AB$2:$AB$3001,1))</f>
        <v/>
      </c>
      <c r="R231" s="7">
        <f>IF($W231="","",Q231*P231)</f>
        <v/>
      </c>
      <c r="S231" s="7">
        <f>IF($W231="","",R231+O231)</f>
        <v/>
      </c>
      <c r="T231" s="7">
        <f>IF($W231="","",V231-S231)</f>
        <v/>
      </c>
      <c r="U231" s="7">
        <f>IF($W231="","",V231-S231-K231)</f>
        <v/>
      </c>
      <c r="V231" s="7">
        <f>IF($W231="","",N231+Q231)</f>
        <v/>
      </c>
      <c r="W231" s="16">
        <f>IF(ROWS($W$2:$W231)&lt;=MAX('Per Line'!$AA$2:$AA$3001),MATCH(ROWS($W$2:$W231),'Per Line'!$AA$2:$AA$3001,0),"")</f>
        <v/>
      </c>
      <c r="X231">
        <f>IF($W231="","",D231&amp;"|"&amp;COUNTIF($D$2:$D231,D231))</f>
        <v/>
      </c>
    </row>
    <row r="232">
      <c r="A232" s="15" t="n"/>
      <c r="B232">
        <f>IF($W232="","",INDEX('Per Line'!$B$2:$B$3001,$W232)&amp;"")</f>
        <v/>
      </c>
      <c r="C232">
        <f>IF($W232="","",INDEX('Per Line'!$C$2:$C$3001,$W232)&amp;"")</f>
        <v/>
      </c>
      <c r="D232">
        <f>IF($W232="","",IF(OR(TRIM(E232)="Orient Insurance Company",TRIM(E232)="Allianz"),TRIM(E232),TRIM(F232)))</f>
        <v/>
      </c>
      <c r="E232">
        <f>IF($W232="","",INDEX('Per Line'!$E$2:$E$3001,$W232)&amp;"")</f>
        <v/>
      </c>
      <c r="F232">
        <f>IF($W232="","",INDEX('Per Line'!$D$2:$D$3001,$W232)&amp;"")</f>
        <v/>
      </c>
      <c r="G232">
        <f>IF($W232="","",INDEX('Per Line'!$F$2:$F$3001,$W232)&amp;"")</f>
        <v/>
      </c>
      <c r="H232">
        <f>IF($W232="","",INDEX('Per Line'!$G$2:$G$3001,$W232)&amp;"")</f>
        <v/>
      </c>
      <c r="I232">
        <f>IF($W232="","",INDEX('Per Line'!$H$2:$H$3001,$W232)&amp;"")</f>
        <v/>
      </c>
      <c r="J232">
        <f>IF($W232="","",INDEX('Per Line'!$I$2:$I$3001,$W232))</f>
        <v/>
      </c>
      <c r="K232" s="7">
        <f>IF($W232="","",J232*T232/100)</f>
        <v/>
      </c>
      <c r="L232" s="14">
        <f>IF($W232="","",INDEX('Per Line'!$V$2:$V$3001,$W232))</f>
        <v/>
      </c>
      <c r="M232">
        <f>IF($W232="","",IF(ISNUMBER(SEARCH("3&amp;12",SUBSTITUTE(F232," ",""))),Settings!$G$7,Settings!$C$7))</f>
        <v/>
      </c>
      <c r="N232" s="7">
        <f>IF($W232="","",SUMIFS('Per Line'!$O$2:$O$3001,'Per Line'!$B$2:$B$3001,$B232,'Per Line'!$AB$2:$AB$3001,0))</f>
        <v/>
      </c>
      <c r="O232" s="7">
        <f>IF($W232="","",N232*M232)</f>
        <v/>
      </c>
      <c r="P232">
        <f>IF($W232="","",IF(ISNUMBER(SEARCH("3&amp;12",SUBSTITUTE(F232," ",""))),Settings!$G$6,Settings!$C$6))</f>
        <v/>
      </c>
      <c r="Q232" s="7">
        <f>IF($W232="","",SUMIFS('Per Line'!$O$2:$O$3001,'Per Line'!$B$2:$B$3001,$B232,'Per Line'!$AB$2:$AB$3001,1))</f>
        <v/>
      </c>
      <c r="R232" s="7">
        <f>IF($W232="","",Q232*P232)</f>
        <v/>
      </c>
      <c r="S232" s="7">
        <f>IF($W232="","",R232+O232)</f>
        <v/>
      </c>
      <c r="T232" s="7">
        <f>IF($W232="","",V232-S232)</f>
        <v/>
      </c>
      <c r="U232" s="7">
        <f>IF($W232="","",V232-S232-K232)</f>
        <v/>
      </c>
      <c r="V232" s="7">
        <f>IF($W232="","",N232+Q232)</f>
        <v/>
      </c>
      <c r="W232" s="16">
        <f>IF(ROWS($W$2:$W232)&lt;=MAX('Per Line'!$AA$2:$AA$3001),MATCH(ROWS($W$2:$W232),'Per Line'!$AA$2:$AA$3001,0),"")</f>
        <v/>
      </c>
      <c r="X232">
        <f>IF($W232="","",D232&amp;"|"&amp;COUNTIF($D$2:$D232,D232))</f>
        <v/>
      </c>
    </row>
    <row r="233">
      <c r="A233" s="15" t="n"/>
      <c r="B233">
        <f>IF($W233="","",INDEX('Per Line'!$B$2:$B$3001,$W233)&amp;"")</f>
        <v/>
      </c>
      <c r="C233">
        <f>IF($W233="","",INDEX('Per Line'!$C$2:$C$3001,$W233)&amp;"")</f>
        <v/>
      </c>
      <c r="D233">
        <f>IF($W233="","",IF(OR(TRIM(E233)="Orient Insurance Company",TRIM(E233)="Allianz"),TRIM(E233),TRIM(F233)))</f>
        <v/>
      </c>
      <c r="E233">
        <f>IF($W233="","",INDEX('Per Line'!$E$2:$E$3001,$W233)&amp;"")</f>
        <v/>
      </c>
      <c r="F233">
        <f>IF($W233="","",INDEX('Per Line'!$D$2:$D$3001,$W233)&amp;"")</f>
        <v/>
      </c>
      <c r="G233">
        <f>IF($W233="","",INDEX('Per Line'!$F$2:$F$3001,$W233)&amp;"")</f>
        <v/>
      </c>
      <c r="H233">
        <f>IF($W233="","",INDEX('Per Line'!$G$2:$G$3001,$W233)&amp;"")</f>
        <v/>
      </c>
      <c r="I233">
        <f>IF($W233="","",INDEX('Per Line'!$H$2:$H$3001,$W233)&amp;"")</f>
        <v/>
      </c>
      <c r="J233">
        <f>IF($W233="","",INDEX('Per Line'!$I$2:$I$3001,$W233))</f>
        <v/>
      </c>
      <c r="K233" s="7">
        <f>IF($W233="","",J233*T233/100)</f>
        <v/>
      </c>
      <c r="L233" s="14">
        <f>IF($W233="","",INDEX('Per Line'!$V$2:$V$3001,$W233))</f>
        <v/>
      </c>
      <c r="M233">
        <f>IF($W233="","",IF(ISNUMBER(SEARCH("3&amp;12",SUBSTITUTE(F233," ",""))),Settings!$G$7,Settings!$C$7))</f>
        <v/>
      </c>
      <c r="N233" s="7">
        <f>IF($W233="","",SUMIFS('Per Line'!$O$2:$O$3001,'Per Line'!$B$2:$B$3001,$B233,'Per Line'!$AB$2:$AB$3001,0))</f>
        <v/>
      </c>
      <c r="O233" s="7">
        <f>IF($W233="","",N233*M233)</f>
        <v/>
      </c>
      <c r="P233">
        <f>IF($W233="","",IF(ISNUMBER(SEARCH("3&amp;12",SUBSTITUTE(F233," ",""))),Settings!$G$6,Settings!$C$6))</f>
        <v/>
      </c>
      <c r="Q233" s="7">
        <f>IF($W233="","",SUMIFS('Per Line'!$O$2:$O$3001,'Per Line'!$B$2:$B$3001,$B233,'Per Line'!$AB$2:$AB$3001,1))</f>
        <v/>
      </c>
      <c r="R233" s="7">
        <f>IF($W233="","",Q233*P233)</f>
        <v/>
      </c>
      <c r="S233" s="7">
        <f>IF($W233="","",R233+O233)</f>
        <v/>
      </c>
      <c r="T233" s="7">
        <f>IF($W233="","",V233-S233)</f>
        <v/>
      </c>
      <c r="U233" s="7">
        <f>IF($W233="","",V233-S233-K233)</f>
        <v/>
      </c>
      <c r="V233" s="7">
        <f>IF($W233="","",N233+Q233)</f>
        <v/>
      </c>
      <c r="W233" s="16">
        <f>IF(ROWS($W$2:$W233)&lt;=MAX('Per Line'!$AA$2:$AA$3001),MATCH(ROWS($W$2:$W233),'Per Line'!$AA$2:$AA$3001,0),"")</f>
        <v/>
      </c>
      <c r="X233">
        <f>IF($W233="","",D233&amp;"|"&amp;COUNTIF($D$2:$D233,D233))</f>
        <v/>
      </c>
    </row>
    <row r="234">
      <c r="A234" s="15" t="n"/>
      <c r="B234">
        <f>IF($W234="","",INDEX('Per Line'!$B$2:$B$3001,$W234)&amp;"")</f>
        <v/>
      </c>
      <c r="C234">
        <f>IF($W234="","",INDEX('Per Line'!$C$2:$C$3001,$W234)&amp;"")</f>
        <v/>
      </c>
      <c r="D234">
        <f>IF($W234="","",IF(OR(TRIM(E234)="Orient Insurance Company",TRIM(E234)="Allianz"),TRIM(E234),TRIM(F234)))</f>
        <v/>
      </c>
      <c r="E234">
        <f>IF($W234="","",INDEX('Per Line'!$E$2:$E$3001,$W234)&amp;"")</f>
        <v/>
      </c>
      <c r="F234">
        <f>IF($W234="","",INDEX('Per Line'!$D$2:$D$3001,$W234)&amp;"")</f>
        <v/>
      </c>
      <c r="G234">
        <f>IF($W234="","",INDEX('Per Line'!$F$2:$F$3001,$W234)&amp;"")</f>
        <v/>
      </c>
      <c r="H234">
        <f>IF($W234="","",INDEX('Per Line'!$G$2:$G$3001,$W234)&amp;"")</f>
        <v/>
      </c>
      <c r="I234">
        <f>IF($W234="","",INDEX('Per Line'!$H$2:$H$3001,$W234)&amp;"")</f>
        <v/>
      </c>
      <c r="J234">
        <f>IF($W234="","",INDEX('Per Line'!$I$2:$I$3001,$W234))</f>
        <v/>
      </c>
      <c r="K234" s="7">
        <f>IF($W234="","",J234*T234/100)</f>
        <v/>
      </c>
      <c r="L234" s="14">
        <f>IF($W234="","",INDEX('Per Line'!$V$2:$V$3001,$W234))</f>
        <v/>
      </c>
      <c r="M234">
        <f>IF($W234="","",IF(ISNUMBER(SEARCH("3&amp;12",SUBSTITUTE(F234," ",""))),Settings!$G$7,Settings!$C$7))</f>
        <v/>
      </c>
      <c r="N234" s="7">
        <f>IF($W234="","",SUMIFS('Per Line'!$O$2:$O$3001,'Per Line'!$B$2:$B$3001,$B234,'Per Line'!$AB$2:$AB$3001,0))</f>
        <v/>
      </c>
      <c r="O234" s="7">
        <f>IF($W234="","",N234*M234)</f>
        <v/>
      </c>
      <c r="P234">
        <f>IF($W234="","",IF(ISNUMBER(SEARCH("3&amp;12",SUBSTITUTE(F234," ",""))),Settings!$G$6,Settings!$C$6))</f>
        <v/>
      </c>
      <c r="Q234" s="7">
        <f>IF($W234="","",SUMIFS('Per Line'!$O$2:$O$3001,'Per Line'!$B$2:$B$3001,$B234,'Per Line'!$AB$2:$AB$3001,1))</f>
        <v/>
      </c>
      <c r="R234" s="7">
        <f>IF($W234="","",Q234*P234)</f>
        <v/>
      </c>
      <c r="S234" s="7">
        <f>IF($W234="","",R234+O234)</f>
        <v/>
      </c>
      <c r="T234" s="7">
        <f>IF($W234="","",V234-S234)</f>
        <v/>
      </c>
      <c r="U234" s="7">
        <f>IF($W234="","",V234-S234-K234)</f>
        <v/>
      </c>
      <c r="V234" s="7">
        <f>IF($W234="","",N234+Q234)</f>
        <v/>
      </c>
      <c r="W234" s="16">
        <f>IF(ROWS($W$2:$W234)&lt;=MAX('Per Line'!$AA$2:$AA$3001),MATCH(ROWS($W$2:$W234),'Per Line'!$AA$2:$AA$3001,0),"")</f>
        <v/>
      </c>
      <c r="X234">
        <f>IF($W234="","",D234&amp;"|"&amp;COUNTIF($D$2:$D234,D234))</f>
        <v/>
      </c>
    </row>
    <row r="235">
      <c r="A235" s="15" t="n"/>
      <c r="B235">
        <f>IF($W235="","",INDEX('Per Line'!$B$2:$B$3001,$W235)&amp;"")</f>
        <v/>
      </c>
      <c r="C235">
        <f>IF($W235="","",INDEX('Per Line'!$C$2:$C$3001,$W235)&amp;"")</f>
        <v/>
      </c>
      <c r="D235">
        <f>IF($W235="","",IF(OR(TRIM(E235)="Orient Insurance Company",TRIM(E235)="Allianz"),TRIM(E235),TRIM(F235)))</f>
        <v/>
      </c>
      <c r="E235">
        <f>IF($W235="","",INDEX('Per Line'!$E$2:$E$3001,$W235)&amp;"")</f>
        <v/>
      </c>
      <c r="F235">
        <f>IF($W235="","",INDEX('Per Line'!$D$2:$D$3001,$W235)&amp;"")</f>
        <v/>
      </c>
      <c r="G235">
        <f>IF($W235="","",INDEX('Per Line'!$F$2:$F$3001,$W235)&amp;"")</f>
        <v/>
      </c>
      <c r="H235">
        <f>IF($W235="","",INDEX('Per Line'!$G$2:$G$3001,$W235)&amp;"")</f>
        <v/>
      </c>
      <c r="I235">
        <f>IF($W235="","",INDEX('Per Line'!$H$2:$H$3001,$W235)&amp;"")</f>
        <v/>
      </c>
      <c r="J235">
        <f>IF($W235="","",INDEX('Per Line'!$I$2:$I$3001,$W235))</f>
        <v/>
      </c>
      <c r="K235" s="7">
        <f>IF($W235="","",J235*T235/100)</f>
        <v/>
      </c>
      <c r="L235" s="14">
        <f>IF($W235="","",INDEX('Per Line'!$V$2:$V$3001,$W235))</f>
        <v/>
      </c>
      <c r="M235">
        <f>IF($W235="","",IF(ISNUMBER(SEARCH("3&amp;12",SUBSTITUTE(F235," ",""))),Settings!$G$7,Settings!$C$7))</f>
        <v/>
      </c>
      <c r="N235" s="7">
        <f>IF($W235="","",SUMIFS('Per Line'!$O$2:$O$3001,'Per Line'!$B$2:$B$3001,$B235,'Per Line'!$AB$2:$AB$3001,0))</f>
        <v/>
      </c>
      <c r="O235" s="7">
        <f>IF($W235="","",N235*M235)</f>
        <v/>
      </c>
      <c r="P235">
        <f>IF($W235="","",IF(ISNUMBER(SEARCH("3&amp;12",SUBSTITUTE(F235," ",""))),Settings!$G$6,Settings!$C$6))</f>
        <v/>
      </c>
      <c r="Q235" s="7">
        <f>IF($W235="","",SUMIFS('Per Line'!$O$2:$O$3001,'Per Line'!$B$2:$B$3001,$B235,'Per Line'!$AB$2:$AB$3001,1))</f>
        <v/>
      </c>
      <c r="R235" s="7">
        <f>IF($W235="","",Q235*P235)</f>
        <v/>
      </c>
      <c r="S235" s="7">
        <f>IF($W235="","",R235+O235)</f>
        <v/>
      </c>
      <c r="T235" s="7">
        <f>IF($W235="","",V235-S235)</f>
        <v/>
      </c>
      <c r="U235" s="7">
        <f>IF($W235="","",V235-S235-K235)</f>
        <v/>
      </c>
      <c r="V235" s="7">
        <f>IF($W235="","",N235+Q235)</f>
        <v/>
      </c>
      <c r="W235" s="16">
        <f>IF(ROWS($W$2:$W235)&lt;=MAX('Per Line'!$AA$2:$AA$3001),MATCH(ROWS($W$2:$W235),'Per Line'!$AA$2:$AA$3001,0),"")</f>
        <v/>
      </c>
      <c r="X235">
        <f>IF($W235="","",D235&amp;"|"&amp;COUNTIF($D$2:$D235,D235))</f>
        <v/>
      </c>
    </row>
    <row r="236">
      <c r="A236" s="15" t="n"/>
      <c r="B236">
        <f>IF($W236="","",INDEX('Per Line'!$B$2:$B$3001,$W236)&amp;"")</f>
        <v/>
      </c>
      <c r="C236">
        <f>IF($W236="","",INDEX('Per Line'!$C$2:$C$3001,$W236)&amp;"")</f>
        <v/>
      </c>
      <c r="D236">
        <f>IF($W236="","",IF(OR(TRIM(E236)="Orient Insurance Company",TRIM(E236)="Allianz"),TRIM(E236),TRIM(F236)))</f>
        <v/>
      </c>
      <c r="E236">
        <f>IF($W236="","",INDEX('Per Line'!$E$2:$E$3001,$W236)&amp;"")</f>
        <v/>
      </c>
      <c r="F236">
        <f>IF($W236="","",INDEX('Per Line'!$D$2:$D$3001,$W236)&amp;"")</f>
        <v/>
      </c>
      <c r="G236">
        <f>IF($W236="","",INDEX('Per Line'!$F$2:$F$3001,$W236)&amp;"")</f>
        <v/>
      </c>
      <c r="H236">
        <f>IF($W236="","",INDEX('Per Line'!$G$2:$G$3001,$W236)&amp;"")</f>
        <v/>
      </c>
      <c r="I236">
        <f>IF($W236="","",INDEX('Per Line'!$H$2:$H$3001,$W236)&amp;"")</f>
        <v/>
      </c>
      <c r="J236">
        <f>IF($W236="","",INDEX('Per Line'!$I$2:$I$3001,$W236))</f>
        <v/>
      </c>
      <c r="K236" s="7">
        <f>IF($W236="","",J236*T236/100)</f>
        <v/>
      </c>
      <c r="L236" s="14">
        <f>IF($W236="","",INDEX('Per Line'!$V$2:$V$3001,$W236))</f>
        <v/>
      </c>
      <c r="M236">
        <f>IF($W236="","",IF(ISNUMBER(SEARCH("3&amp;12",SUBSTITUTE(F236," ",""))),Settings!$G$7,Settings!$C$7))</f>
        <v/>
      </c>
      <c r="N236" s="7">
        <f>IF($W236="","",SUMIFS('Per Line'!$O$2:$O$3001,'Per Line'!$B$2:$B$3001,$B236,'Per Line'!$AB$2:$AB$3001,0))</f>
        <v/>
      </c>
      <c r="O236" s="7">
        <f>IF($W236="","",N236*M236)</f>
        <v/>
      </c>
      <c r="P236">
        <f>IF($W236="","",IF(ISNUMBER(SEARCH("3&amp;12",SUBSTITUTE(F236," ",""))),Settings!$G$6,Settings!$C$6))</f>
        <v/>
      </c>
      <c r="Q236" s="7">
        <f>IF($W236="","",SUMIFS('Per Line'!$O$2:$O$3001,'Per Line'!$B$2:$B$3001,$B236,'Per Line'!$AB$2:$AB$3001,1))</f>
        <v/>
      </c>
      <c r="R236" s="7">
        <f>IF($W236="","",Q236*P236)</f>
        <v/>
      </c>
      <c r="S236" s="7">
        <f>IF($W236="","",R236+O236)</f>
        <v/>
      </c>
      <c r="T236" s="7">
        <f>IF($W236="","",V236-S236)</f>
        <v/>
      </c>
      <c r="U236" s="7">
        <f>IF($W236="","",V236-S236-K236)</f>
        <v/>
      </c>
      <c r="V236" s="7">
        <f>IF($W236="","",N236+Q236)</f>
        <v/>
      </c>
      <c r="W236" s="16">
        <f>IF(ROWS($W$2:$W236)&lt;=MAX('Per Line'!$AA$2:$AA$3001),MATCH(ROWS($W$2:$W236),'Per Line'!$AA$2:$AA$3001,0),"")</f>
        <v/>
      </c>
      <c r="X236">
        <f>IF($W236="","",D236&amp;"|"&amp;COUNTIF($D$2:$D236,D236))</f>
        <v/>
      </c>
    </row>
    <row r="237">
      <c r="A237" s="15" t="n"/>
      <c r="B237">
        <f>IF($W237="","",INDEX('Per Line'!$B$2:$B$3001,$W237)&amp;"")</f>
        <v/>
      </c>
      <c r="C237">
        <f>IF($W237="","",INDEX('Per Line'!$C$2:$C$3001,$W237)&amp;"")</f>
        <v/>
      </c>
      <c r="D237">
        <f>IF($W237="","",IF(OR(TRIM(E237)="Orient Insurance Company",TRIM(E237)="Allianz"),TRIM(E237),TRIM(F237)))</f>
        <v/>
      </c>
      <c r="E237">
        <f>IF($W237="","",INDEX('Per Line'!$E$2:$E$3001,$W237)&amp;"")</f>
        <v/>
      </c>
      <c r="F237">
        <f>IF($W237="","",INDEX('Per Line'!$D$2:$D$3001,$W237)&amp;"")</f>
        <v/>
      </c>
      <c r="G237">
        <f>IF($W237="","",INDEX('Per Line'!$F$2:$F$3001,$W237)&amp;"")</f>
        <v/>
      </c>
      <c r="H237">
        <f>IF($W237="","",INDEX('Per Line'!$G$2:$G$3001,$W237)&amp;"")</f>
        <v/>
      </c>
      <c r="I237">
        <f>IF($W237="","",INDEX('Per Line'!$H$2:$H$3001,$W237)&amp;"")</f>
        <v/>
      </c>
      <c r="J237">
        <f>IF($W237="","",INDEX('Per Line'!$I$2:$I$3001,$W237))</f>
        <v/>
      </c>
      <c r="K237" s="7">
        <f>IF($W237="","",J237*T237/100)</f>
        <v/>
      </c>
      <c r="L237" s="14">
        <f>IF($W237="","",INDEX('Per Line'!$V$2:$V$3001,$W237))</f>
        <v/>
      </c>
      <c r="M237">
        <f>IF($W237="","",IF(ISNUMBER(SEARCH("3&amp;12",SUBSTITUTE(F237," ",""))),Settings!$G$7,Settings!$C$7))</f>
        <v/>
      </c>
      <c r="N237" s="7">
        <f>IF($W237="","",SUMIFS('Per Line'!$O$2:$O$3001,'Per Line'!$B$2:$B$3001,$B237,'Per Line'!$AB$2:$AB$3001,0))</f>
        <v/>
      </c>
      <c r="O237" s="7">
        <f>IF($W237="","",N237*M237)</f>
        <v/>
      </c>
      <c r="P237">
        <f>IF($W237="","",IF(ISNUMBER(SEARCH("3&amp;12",SUBSTITUTE(F237," ",""))),Settings!$G$6,Settings!$C$6))</f>
        <v/>
      </c>
      <c r="Q237" s="7">
        <f>IF($W237="","",SUMIFS('Per Line'!$O$2:$O$3001,'Per Line'!$B$2:$B$3001,$B237,'Per Line'!$AB$2:$AB$3001,1))</f>
        <v/>
      </c>
      <c r="R237" s="7">
        <f>IF($W237="","",Q237*P237)</f>
        <v/>
      </c>
      <c r="S237" s="7">
        <f>IF($W237="","",R237+O237)</f>
        <v/>
      </c>
      <c r="T237" s="7">
        <f>IF($W237="","",V237-S237)</f>
        <v/>
      </c>
      <c r="U237" s="7">
        <f>IF($W237="","",V237-S237-K237)</f>
        <v/>
      </c>
      <c r="V237" s="7">
        <f>IF($W237="","",N237+Q237)</f>
        <v/>
      </c>
      <c r="W237" s="16">
        <f>IF(ROWS($W$2:$W237)&lt;=MAX('Per Line'!$AA$2:$AA$3001),MATCH(ROWS($W$2:$W237),'Per Line'!$AA$2:$AA$3001,0),"")</f>
        <v/>
      </c>
      <c r="X237">
        <f>IF($W237="","",D237&amp;"|"&amp;COUNTIF($D$2:$D237,D237))</f>
        <v/>
      </c>
    </row>
    <row r="238">
      <c r="A238" s="15" t="n"/>
      <c r="B238">
        <f>IF($W238="","",INDEX('Per Line'!$B$2:$B$3001,$W238)&amp;"")</f>
        <v/>
      </c>
      <c r="C238">
        <f>IF($W238="","",INDEX('Per Line'!$C$2:$C$3001,$W238)&amp;"")</f>
        <v/>
      </c>
      <c r="D238">
        <f>IF($W238="","",IF(OR(TRIM(E238)="Orient Insurance Company",TRIM(E238)="Allianz"),TRIM(E238),TRIM(F238)))</f>
        <v/>
      </c>
      <c r="E238">
        <f>IF($W238="","",INDEX('Per Line'!$E$2:$E$3001,$W238)&amp;"")</f>
        <v/>
      </c>
      <c r="F238">
        <f>IF($W238="","",INDEX('Per Line'!$D$2:$D$3001,$W238)&amp;"")</f>
        <v/>
      </c>
      <c r="G238">
        <f>IF($W238="","",INDEX('Per Line'!$F$2:$F$3001,$W238)&amp;"")</f>
        <v/>
      </c>
      <c r="H238">
        <f>IF($W238="","",INDEX('Per Line'!$G$2:$G$3001,$W238)&amp;"")</f>
        <v/>
      </c>
      <c r="I238">
        <f>IF($W238="","",INDEX('Per Line'!$H$2:$H$3001,$W238)&amp;"")</f>
        <v/>
      </c>
      <c r="J238">
        <f>IF($W238="","",INDEX('Per Line'!$I$2:$I$3001,$W238))</f>
        <v/>
      </c>
      <c r="K238" s="7">
        <f>IF($W238="","",J238*T238/100)</f>
        <v/>
      </c>
      <c r="L238" s="14">
        <f>IF($W238="","",INDEX('Per Line'!$V$2:$V$3001,$W238))</f>
        <v/>
      </c>
      <c r="M238">
        <f>IF($W238="","",IF(ISNUMBER(SEARCH("3&amp;12",SUBSTITUTE(F238," ",""))),Settings!$G$7,Settings!$C$7))</f>
        <v/>
      </c>
      <c r="N238" s="7">
        <f>IF($W238="","",SUMIFS('Per Line'!$O$2:$O$3001,'Per Line'!$B$2:$B$3001,$B238,'Per Line'!$AB$2:$AB$3001,0))</f>
        <v/>
      </c>
      <c r="O238" s="7">
        <f>IF($W238="","",N238*M238)</f>
        <v/>
      </c>
      <c r="P238">
        <f>IF($W238="","",IF(ISNUMBER(SEARCH("3&amp;12",SUBSTITUTE(F238," ",""))),Settings!$G$6,Settings!$C$6))</f>
        <v/>
      </c>
      <c r="Q238" s="7">
        <f>IF($W238="","",SUMIFS('Per Line'!$O$2:$O$3001,'Per Line'!$B$2:$B$3001,$B238,'Per Line'!$AB$2:$AB$3001,1))</f>
        <v/>
      </c>
      <c r="R238" s="7">
        <f>IF($W238="","",Q238*P238)</f>
        <v/>
      </c>
      <c r="S238" s="7">
        <f>IF($W238="","",R238+O238)</f>
        <v/>
      </c>
      <c r="T238" s="7">
        <f>IF($W238="","",V238-S238)</f>
        <v/>
      </c>
      <c r="U238" s="7">
        <f>IF($W238="","",V238-S238-K238)</f>
        <v/>
      </c>
      <c r="V238" s="7">
        <f>IF($W238="","",N238+Q238)</f>
        <v/>
      </c>
      <c r="W238" s="16">
        <f>IF(ROWS($W$2:$W238)&lt;=MAX('Per Line'!$AA$2:$AA$3001),MATCH(ROWS($W$2:$W238),'Per Line'!$AA$2:$AA$3001,0),"")</f>
        <v/>
      </c>
      <c r="X238">
        <f>IF($W238="","",D238&amp;"|"&amp;COUNTIF($D$2:$D238,D238))</f>
        <v/>
      </c>
    </row>
    <row r="239">
      <c r="A239" s="15" t="n"/>
      <c r="B239">
        <f>IF($W239="","",INDEX('Per Line'!$B$2:$B$3001,$W239)&amp;"")</f>
        <v/>
      </c>
      <c r="C239">
        <f>IF($W239="","",INDEX('Per Line'!$C$2:$C$3001,$W239)&amp;"")</f>
        <v/>
      </c>
      <c r="D239">
        <f>IF($W239="","",IF(OR(TRIM(E239)="Orient Insurance Company",TRIM(E239)="Allianz"),TRIM(E239),TRIM(F239)))</f>
        <v/>
      </c>
      <c r="E239">
        <f>IF($W239="","",INDEX('Per Line'!$E$2:$E$3001,$W239)&amp;"")</f>
        <v/>
      </c>
      <c r="F239">
        <f>IF($W239="","",INDEX('Per Line'!$D$2:$D$3001,$W239)&amp;"")</f>
        <v/>
      </c>
      <c r="G239">
        <f>IF($W239="","",INDEX('Per Line'!$F$2:$F$3001,$W239)&amp;"")</f>
        <v/>
      </c>
      <c r="H239">
        <f>IF($W239="","",INDEX('Per Line'!$G$2:$G$3001,$W239)&amp;"")</f>
        <v/>
      </c>
      <c r="I239">
        <f>IF($W239="","",INDEX('Per Line'!$H$2:$H$3001,$W239)&amp;"")</f>
        <v/>
      </c>
      <c r="J239">
        <f>IF($W239="","",INDEX('Per Line'!$I$2:$I$3001,$W239))</f>
        <v/>
      </c>
      <c r="K239" s="7">
        <f>IF($W239="","",J239*T239/100)</f>
        <v/>
      </c>
      <c r="L239" s="14">
        <f>IF($W239="","",INDEX('Per Line'!$V$2:$V$3001,$W239))</f>
        <v/>
      </c>
      <c r="M239">
        <f>IF($W239="","",IF(ISNUMBER(SEARCH("3&amp;12",SUBSTITUTE(F239," ",""))),Settings!$G$7,Settings!$C$7))</f>
        <v/>
      </c>
      <c r="N239" s="7">
        <f>IF($W239="","",SUMIFS('Per Line'!$O$2:$O$3001,'Per Line'!$B$2:$B$3001,$B239,'Per Line'!$AB$2:$AB$3001,0))</f>
        <v/>
      </c>
      <c r="O239" s="7">
        <f>IF($W239="","",N239*M239)</f>
        <v/>
      </c>
      <c r="P239">
        <f>IF($W239="","",IF(ISNUMBER(SEARCH("3&amp;12",SUBSTITUTE(F239," ",""))),Settings!$G$6,Settings!$C$6))</f>
        <v/>
      </c>
      <c r="Q239" s="7">
        <f>IF($W239="","",SUMIFS('Per Line'!$O$2:$O$3001,'Per Line'!$B$2:$B$3001,$B239,'Per Line'!$AB$2:$AB$3001,1))</f>
        <v/>
      </c>
      <c r="R239" s="7">
        <f>IF($W239="","",Q239*P239)</f>
        <v/>
      </c>
      <c r="S239" s="7">
        <f>IF($W239="","",R239+O239)</f>
        <v/>
      </c>
      <c r="T239" s="7">
        <f>IF($W239="","",V239-S239)</f>
        <v/>
      </c>
      <c r="U239" s="7">
        <f>IF($W239="","",V239-S239-K239)</f>
        <v/>
      </c>
      <c r="V239" s="7">
        <f>IF($W239="","",N239+Q239)</f>
        <v/>
      </c>
      <c r="W239" s="16">
        <f>IF(ROWS($W$2:$W239)&lt;=MAX('Per Line'!$AA$2:$AA$3001),MATCH(ROWS($W$2:$W239),'Per Line'!$AA$2:$AA$3001,0),"")</f>
        <v/>
      </c>
      <c r="X239">
        <f>IF($W239="","",D239&amp;"|"&amp;COUNTIF($D$2:$D239,D239))</f>
        <v/>
      </c>
    </row>
    <row r="240">
      <c r="A240" s="15" t="n"/>
      <c r="B240">
        <f>IF($W240="","",INDEX('Per Line'!$B$2:$B$3001,$W240)&amp;"")</f>
        <v/>
      </c>
      <c r="C240">
        <f>IF($W240="","",INDEX('Per Line'!$C$2:$C$3001,$W240)&amp;"")</f>
        <v/>
      </c>
      <c r="D240">
        <f>IF($W240="","",IF(OR(TRIM(E240)="Orient Insurance Company",TRIM(E240)="Allianz"),TRIM(E240),TRIM(F240)))</f>
        <v/>
      </c>
      <c r="E240">
        <f>IF($W240="","",INDEX('Per Line'!$E$2:$E$3001,$W240)&amp;"")</f>
        <v/>
      </c>
      <c r="F240">
        <f>IF($W240="","",INDEX('Per Line'!$D$2:$D$3001,$W240)&amp;"")</f>
        <v/>
      </c>
      <c r="G240">
        <f>IF($W240="","",INDEX('Per Line'!$F$2:$F$3001,$W240)&amp;"")</f>
        <v/>
      </c>
      <c r="H240">
        <f>IF($W240="","",INDEX('Per Line'!$G$2:$G$3001,$W240)&amp;"")</f>
        <v/>
      </c>
      <c r="I240">
        <f>IF($W240="","",INDEX('Per Line'!$H$2:$H$3001,$W240)&amp;"")</f>
        <v/>
      </c>
      <c r="J240">
        <f>IF($W240="","",INDEX('Per Line'!$I$2:$I$3001,$W240))</f>
        <v/>
      </c>
      <c r="K240" s="7">
        <f>IF($W240="","",J240*T240/100)</f>
        <v/>
      </c>
      <c r="L240" s="14">
        <f>IF($W240="","",INDEX('Per Line'!$V$2:$V$3001,$W240))</f>
        <v/>
      </c>
      <c r="M240">
        <f>IF($W240="","",IF(ISNUMBER(SEARCH("3&amp;12",SUBSTITUTE(F240," ",""))),Settings!$G$7,Settings!$C$7))</f>
        <v/>
      </c>
      <c r="N240" s="7">
        <f>IF($W240="","",SUMIFS('Per Line'!$O$2:$O$3001,'Per Line'!$B$2:$B$3001,$B240,'Per Line'!$AB$2:$AB$3001,0))</f>
        <v/>
      </c>
      <c r="O240" s="7">
        <f>IF($W240="","",N240*M240)</f>
        <v/>
      </c>
      <c r="P240">
        <f>IF($W240="","",IF(ISNUMBER(SEARCH("3&amp;12",SUBSTITUTE(F240," ",""))),Settings!$G$6,Settings!$C$6))</f>
        <v/>
      </c>
      <c r="Q240" s="7">
        <f>IF($W240="","",SUMIFS('Per Line'!$O$2:$O$3001,'Per Line'!$B$2:$B$3001,$B240,'Per Line'!$AB$2:$AB$3001,1))</f>
        <v/>
      </c>
      <c r="R240" s="7">
        <f>IF($W240="","",Q240*P240)</f>
        <v/>
      </c>
      <c r="S240" s="7">
        <f>IF($W240="","",R240+O240)</f>
        <v/>
      </c>
      <c r="T240" s="7">
        <f>IF($W240="","",V240-S240)</f>
        <v/>
      </c>
      <c r="U240" s="7">
        <f>IF($W240="","",V240-S240-K240)</f>
        <v/>
      </c>
      <c r="V240" s="7">
        <f>IF($W240="","",N240+Q240)</f>
        <v/>
      </c>
      <c r="W240" s="16">
        <f>IF(ROWS($W$2:$W240)&lt;=MAX('Per Line'!$AA$2:$AA$3001),MATCH(ROWS($W$2:$W240),'Per Line'!$AA$2:$AA$3001,0),"")</f>
        <v/>
      </c>
      <c r="X240">
        <f>IF($W240="","",D240&amp;"|"&amp;COUNTIF($D$2:$D240,D240))</f>
        <v/>
      </c>
    </row>
    <row r="241">
      <c r="A241" s="15" t="n"/>
      <c r="B241">
        <f>IF($W241="","",INDEX('Per Line'!$B$2:$B$3001,$W241)&amp;"")</f>
        <v/>
      </c>
      <c r="C241">
        <f>IF($W241="","",INDEX('Per Line'!$C$2:$C$3001,$W241)&amp;"")</f>
        <v/>
      </c>
      <c r="D241">
        <f>IF($W241="","",IF(OR(TRIM(E241)="Orient Insurance Company",TRIM(E241)="Allianz"),TRIM(E241),TRIM(F241)))</f>
        <v/>
      </c>
      <c r="E241">
        <f>IF($W241="","",INDEX('Per Line'!$E$2:$E$3001,$W241)&amp;"")</f>
        <v/>
      </c>
      <c r="F241">
        <f>IF($W241="","",INDEX('Per Line'!$D$2:$D$3001,$W241)&amp;"")</f>
        <v/>
      </c>
      <c r="G241">
        <f>IF($W241="","",INDEX('Per Line'!$F$2:$F$3001,$W241)&amp;"")</f>
        <v/>
      </c>
      <c r="H241">
        <f>IF($W241="","",INDEX('Per Line'!$G$2:$G$3001,$W241)&amp;"")</f>
        <v/>
      </c>
      <c r="I241">
        <f>IF($W241="","",INDEX('Per Line'!$H$2:$H$3001,$W241)&amp;"")</f>
        <v/>
      </c>
      <c r="J241">
        <f>IF($W241="","",INDEX('Per Line'!$I$2:$I$3001,$W241))</f>
        <v/>
      </c>
      <c r="K241" s="7">
        <f>IF($W241="","",J241*T241/100)</f>
        <v/>
      </c>
      <c r="L241" s="14">
        <f>IF($W241="","",INDEX('Per Line'!$V$2:$V$3001,$W241))</f>
        <v/>
      </c>
      <c r="M241">
        <f>IF($W241="","",IF(ISNUMBER(SEARCH("3&amp;12",SUBSTITUTE(F241," ",""))),Settings!$G$7,Settings!$C$7))</f>
        <v/>
      </c>
      <c r="N241" s="7">
        <f>IF($W241="","",SUMIFS('Per Line'!$O$2:$O$3001,'Per Line'!$B$2:$B$3001,$B241,'Per Line'!$AB$2:$AB$3001,0))</f>
        <v/>
      </c>
      <c r="O241" s="7">
        <f>IF($W241="","",N241*M241)</f>
        <v/>
      </c>
      <c r="P241">
        <f>IF($W241="","",IF(ISNUMBER(SEARCH("3&amp;12",SUBSTITUTE(F241," ",""))),Settings!$G$6,Settings!$C$6))</f>
        <v/>
      </c>
      <c r="Q241" s="7">
        <f>IF($W241="","",SUMIFS('Per Line'!$O$2:$O$3001,'Per Line'!$B$2:$B$3001,$B241,'Per Line'!$AB$2:$AB$3001,1))</f>
        <v/>
      </c>
      <c r="R241" s="7">
        <f>IF($W241="","",Q241*P241)</f>
        <v/>
      </c>
      <c r="S241" s="7">
        <f>IF($W241="","",R241+O241)</f>
        <v/>
      </c>
      <c r="T241" s="7">
        <f>IF($W241="","",V241-S241)</f>
        <v/>
      </c>
      <c r="U241" s="7">
        <f>IF($W241="","",V241-S241-K241)</f>
        <v/>
      </c>
      <c r="V241" s="7">
        <f>IF($W241="","",N241+Q241)</f>
        <v/>
      </c>
      <c r="W241" s="16">
        <f>IF(ROWS($W$2:$W241)&lt;=MAX('Per Line'!$AA$2:$AA$3001),MATCH(ROWS($W$2:$W241),'Per Line'!$AA$2:$AA$3001,0),"")</f>
        <v/>
      </c>
      <c r="X241">
        <f>IF($W241="","",D241&amp;"|"&amp;COUNTIF($D$2:$D241,D241))</f>
        <v/>
      </c>
    </row>
    <row r="242">
      <c r="A242" s="15" t="n"/>
      <c r="B242">
        <f>IF($W242="","",INDEX('Per Line'!$B$2:$B$3001,$W242)&amp;"")</f>
        <v/>
      </c>
      <c r="C242">
        <f>IF($W242="","",INDEX('Per Line'!$C$2:$C$3001,$W242)&amp;"")</f>
        <v/>
      </c>
      <c r="D242">
        <f>IF($W242="","",IF(OR(TRIM(E242)="Orient Insurance Company",TRIM(E242)="Allianz"),TRIM(E242),TRIM(F242)))</f>
        <v/>
      </c>
      <c r="E242">
        <f>IF($W242="","",INDEX('Per Line'!$E$2:$E$3001,$W242)&amp;"")</f>
        <v/>
      </c>
      <c r="F242">
        <f>IF($W242="","",INDEX('Per Line'!$D$2:$D$3001,$W242)&amp;"")</f>
        <v/>
      </c>
      <c r="G242">
        <f>IF($W242="","",INDEX('Per Line'!$F$2:$F$3001,$W242)&amp;"")</f>
        <v/>
      </c>
      <c r="H242">
        <f>IF($W242="","",INDEX('Per Line'!$G$2:$G$3001,$W242)&amp;"")</f>
        <v/>
      </c>
      <c r="I242">
        <f>IF($W242="","",INDEX('Per Line'!$H$2:$H$3001,$W242)&amp;"")</f>
        <v/>
      </c>
      <c r="J242">
        <f>IF($W242="","",INDEX('Per Line'!$I$2:$I$3001,$W242))</f>
        <v/>
      </c>
      <c r="K242" s="7">
        <f>IF($W242="","",J242*T242/100)</f>
        <v/>
      </c>
      <c r="L242" s="14">
        <f>IF($W242="","",INDEX('Per Line'!$V$2:$V$3001,$W242))</f>
        <v/>
      </c>
      <c r="M242">
        <f>IF($W242="","",IF(ISNUMBER(SEARCH("3&amp;12",SUBSTITUTE(F242," ",""))),Settings!$G$7,Settings!$C$7))</f>
        <v/>
      </c>
      <c r="N242" s="7">
        <f>IF($W242="","",SUMIFS('Per Line'!$O$2:$O$3001,'Per Line'!$B$2:$B$3001,$B242,'Per Line'!$AB$2:$AB$3001,0))</f>
        <v/>
      </c>
      <c r="O242" s="7">
        <f>IF($W242="","",N242*M242)</f>
        <v/>
      </c>
      <c r="P242">
        <f>IF($W242="","",IF(ISNUMBER(SEARCH("3&amp;12",SUBSTITUTE(F242," ",""))),Settings!$G$6,Settings!$C$6))</f>
        <v/>
      </c>
      <c r="Q242" s="7">
        <f>IF($W242="","",SUMIFS('Per Line'!$O$2:$O$3001,'Per Line'!$B$2:$B$3001,$B242,'Per Line'!$AB$2:$AB$3001,1))</f>
        <v/>
      </c>
      <c r="R242" s="7">
        <f>IF($W242="","",Q242*P242)</f>
        <v/>
      </c>
      <c r="S242" s="7">
        <f>IF($W242="","",R242+O242)</f>
        <v/>
      </c>
      <c r="T242" s="7">
        <f>IF($W242="","",V242-S242)</f>
        <v/>
      </c>
      <c r="U242" s="7">
        <f>IF($W242="","",V242-S242-K242)</f>
        <v/>
      </c>
      <c r="V242" s="7">
        <f>IF($W242="","",N242+Q242)</f>
        <v/>
      </c>
      <c r="W242" s="16">
        <f>IF(ROWS($W$2:$W242)&lt;=MAX('Per Line'!$AA$2:$AA$3001),MATCH(ROWS($W$2:$W242),'Per Line'!$AA$2:$AA$3001,0),"")</f>
        <v/>
      </c>
      <c r="X242">
        <f>IF($W242="","",D242&amp;"|"&amp;COUNTIF($D$2:$D242,D242))</f>
        <v/>
      </c>
    </row>
    <row r="243">
      <c r="A243" s="15" t="n"/>
      <c r="B243">
        <f>IF($W243="","",INDEX('Per Line'!$B$2:$B$3001,$W243)&amp;"")</f>
        <v/>
      </c>
      <c r="C243">
        <f>IF($W243="","",INDEX('Per Line'!$C$2:$C$3001,$W243)&amp;"")</f>
        <v/>
      </c>
      <c r="D243">
        <f>IF($W243="","",IF(OR(TRIM(E243)="Orient Insurance Company",TRIM(E243)="Allianz"),TRIM(E243),TRIM(F243)))</f>
        <v/>
      </c>
      <c r="E243">
        <f>IF($W243="","",INDEX('Per Line'!$E$2:$E$3001,$W243)&amp;"")</f>
        <v/>
      </c>
      <c r="F243">
        <f>IF($W243="","",INDEX('Per Line'!$D$2:$D$3001,$W243)&amp;"")</f>
        <v/>
      </c>
      <c r="G243">
        <f>IF($W243="","",INDEX('Per Line'!$F$2:$F$3001,$W243)&amp;"")</f>
        <v/>
      </c>
      <c r="H243">
        <f>IF($W243="","",INDEX('Per Line'!$G$2:$G$3001,$W243)&amp;"")</f>
        <v/>
      </c>
      <c r="I243">
        <f>IF($W243="","",INDEX('Per Line'!$H$2:$H$3001,$W243)&amp;"")</f>
        <v/>
      </c>
      <c r="J243">
        <f>IF($W243="","",INDEX('Per Line'!$I$2:$I$3001,$W243))</f>
        <v/>
      </c>
      <c r="K243" s="7">
        <f>IF($W243="","",J243*T243/100)</f>
        <v/>
      </c>
      <c r="L243" s="14">
        <f>IF($W243="","",INDEX('Per Line'!$V$2:$V$3001,$W243))</f>
        <v/>
      </c>
      <c r="M243">
        <f>IF($W243="","",IF(ISNUMBER(SEARCH("3&amp;12",SUBSTITUTE(F243," ",""))),Settings!$G$7,Settings!$C$7))</f>
        <v/>
      </c>
      <c r="N243" s="7">
        <f>IF($W243="","",SUMIFS('Per Line'!$O$2:$O$3001,'Per Line'!$B$2:$B$3001,$B243,'Per Line'!$AB$2:$AB$3001,0))</f>
        <v/>
      </c>
      <c r="O243" s="7">
        <f>IF($W243="","",N243*M243)</f>
        <v/>
      </c>
      <c r="P243">
        <f>IF($W243="","",IF(ISNUMBER(SEARCH("3&amp;12",SUBSTITUTE(F243," ",""))),Settings!$G$6,Settings!$C$6))</f>
        <v/>
      </c>
      <c r="Q243" s="7">
        <f>IF($W243="","",SUMIFS('Per Line'!$O$2:$O$3001,'Per Line'!$B$2:$B$3001,$B243,'Per Line'!$AB$2:$AB$3001,1))</f>
        <v/>
      </c>
      <c r="R243" s="7">
        <f>IF($W243="","",Q243*P243)</f>
        <v/>
      </c>
      <c r="S243" s="7">
        <f>IF($W243="","",R243+O243)</f>
        <v/>
      </c>
      <c r="T243" s="7">
        <f>IF($W243="","",V243-S243)</f>
        <v/>
      </c>
      <c r="U243" s="7">
        <f>IF($W243="","",V243-S243-K243)</f>
        <v/>
      </c>
      <c r="V243" s="7">
        <f>IF($W243="","",N243+Q243)</f>
        <v/>
      </c>
      <c r="W243" s="16">
        <f>IF(ROWS($W$2:$W243)&lt;=MAX('Per Line'!$AA$2:$AA$3001),MATCH(ROWS($W$2:$W243),'Per Line'!$AA$2:$AA$3001,0),"")</f>
        <v/>
      </c>
      <c r="X243">
        <f>IF($W243="","",D243&amp;"|"&amp;COUNTIF($D$2:$D243,D243))</f>
        <v/>
      </c>
    </row>
    <row r="244">
      <c r="A244" s="15" t="n"/>
      <c r="B244">
        <f>IF($W244="","",INDEX('Per Line'!$B$2:$B$3001,$W244)&amp;"")</f>
        <v/>
      </c>
      <c r="C244">
        <f>IF($W244="","",INDEX('Per Line'!$C$2:$C$3001,$W244)&amp;"")</f>
        <v/>
      </c>
      <c r="D244">
        <f>IF($W244="","",IF(OR(TRIM(E244)="Orient Insurance Company",TRIM(E244)="Allianz"),TRIM(E244),TRIM(F244)))</f>
        <v/>
      </c>
      <c r="E244">
        <f>IF($W244="","",INDEX('Per Line'!$E$2:$E$3001,$W244)&amp;"")</f>
        <v/>
      </c>
      <c r="F244">
        <f>IF($W244="","",INDEX('Per Line'!$D$2:$D$3001,$W244)&amp;"")</f>
        <v/>
      </c>
      <c r="G244">
        <f>IF($W244="","",INDEX('Per Line'!$F$2:$F$3001,$W244)&amp;"")</f>
        <v/>
      </c>
      <c r="H244">
        <f>IF($W244="","",INDEX('Per Line'!$G$2:$G$3001,$W244)&amp;"")</f>
        <v/>
      </c>
      <c r="I244">
        <f>IF($W244="","",INDEX('Per Line'!$H$2:$H$3001,$W244)&amp;"")</f>
        <v/>
      </c>
      <c r="J244">
        <f>IF($W244="","",INDEX('Per Line'!$I$2:$I$3001,$W244))</f>
        <v/>
      </c>
      <c r="K244" s="7">
        <f>IF($W244="","",J244*T244/100)</f>
        <v/>
      </c>
      <c r="L244" s="14">
        <f>IF($W244="","",INDEX('Per Line'!$V$2:$V$3001,$W244))</f>
        <v/>
      </c>
      <c r="M244">
        <f>IF($W244="","",IF(ISNUMBER(SEARCH("3&amp;12",SUBSTITUTE(F244," ",""))),Settings!$G$7,Settings!$C$7))</f>
        <v/>
      </c>
      <c r="N244" s="7">
        <f>IF($W244="","",SUMIFS('Per Line'!$O$2:$O$3001,'Per Line'!$B$2:$B$3001,$B244,'Per Line'!$AB$2:$AB$3001,0))</f>
        <v/>
      </c>
      <c r="O244" s="7">
        <f>IF($W244="","",N244*M244)</f>
        <v/>
      </c>
      <c r="P244">
        <f>IF($W244="","",IF(ISNUMBER(SEARCH("3&amp;12",SUBSTITUTE(F244," ",""))),Settings!$G$6,Settings!$C$6))</f>
        <v/>
      </c>
      <c r="Q244" s="7">
        <f>IF($W244="","",SUMIFS('Per Line'!$O$2:$O$3001,'Per Line'!$B$2:$B$3001,$B244,'Per Line'!$AB$2:$AB$3001,1))</f>
        <v/>
      </c>
      <c r="R244" s="7">
        <f>IF($W244="","",Q244*P244)</f>
        <v/>
      </c>
      <c r="S244" s="7">
        <f>IF($W244="","",R244+O244)</f>
        <v/>
      </c>
      <c r="T244" s="7">
        <f>IF($W244="","",V244-S244)</f>
        <v/>
      </c>
      <c r="U244" s="7">
        <f>IF($W244="","",V244-S244-K244)</f>
        <v/>
      </c>
      <c r="V244" s="7">
        <f>IF($W244="","",N244+Q244)</f>
        <v/>
      </c>
      <c r="W244" s="16">
        <f>IF(ROWS($W$2:$W244)&lt;=MAX('Per Line'!$AA$2:$AA$3001),MATCH(ROWS($W$2:$W244),'Per Line'!$AA$2:$AA$3001,0),"")</f>
        <v/>
      </c>
      <c r="X244">
        <f>IF($W244="","",D244&amp;"|"&amp;COUNTIF($D$2:$D244,D244))</f>
        <v/>
      </c>
    </row>
    <row r="245">
      <c r="A245" s="15" t="n"/>
      <c r="B245">
        <f>IF($W245="","",INDEX('Per Line'!$B$2:$B$3001,$W245)&amp;"")</f>
        <v/>
      </c>
      <c r="C245">
        <f>IF($W245="","",INDEX('Per Line'!$C$2:$C$3001,$W245)&amp;"")</f>
        <v/>
      </c>
      <c r="D245">
        <f>IF($W245="","",IF(OR(TRIM(E245)="Orient Insurance Company",TRIM(E245)="Allianz"),TRIM(E245),TRIM(F245)))</f>
        <v/>
      </c>
      <c r="E245">
        <f>IF($W245="","",INDEX('Per Line'!$E$2:$E$3001,$W245)&amp;"")</f>
        <v/>
      </c>
      <c r="F245">
        <f>IF($W245="","",INDEX('Per Line'!$D$2:$D$3001,$W245)&amp;"")</f>
        <v/>
      </c>
      <c r="G245">
        <f>IF($W245="","",INDEX('Per Line'!$F$2:$F$3001,$W245)&amp;"")</f>
        <v/>
      </c>
      <c r="H245">
        <f>IF($W245="","",INDEX('Per Line'!$G$2:$G$3001,$W245)&amp;"")</f>
        <v/>
      </c>
      <c r="I245">
        <f>IF($W245="","",INDEX('Per Line'!$H$2:$H$3001,$W245)&amp;"")</f>
        <v/>
      </c>
      <c r="J245">
        <f>IF($W245="","",INDEX('Per Line'!$I$2:$I$3001,$W245))</f>
        <v/>
      </c>
      <c r="K245" s="7">
        <f>IF($W245="","",J245*T245/100)</f>
        <v/>
      </c>
      <c r="L245" s="14">
        <f>IF($W245="","",INDEX('Per Line'!$V$2:$V$3001,$W245))</f>
        <v/>
      </c>
      <c r="M245">
        <f>IF($W245="","",IF(ISNUMBER(SEARCH("3&amp;12",SUBSTITUTE(F245," ",""))),Settings!$G$7,Settings!$C$7))</f>
        <v/>
      </c>
      <c r="N245" s="7">
        <f>IF($W245="","",SUMIFS('Per Line'!$O$2:$O$3001,'Per Line'!$B$2:$B$3001,$B245,'Per Line'!$AB$2:$AB$3001,0))</f>
        <v/>
      </c>
      <c r="O245" s="7">
        <f>IF($W245="","",N245*M245)</f>
        <v/>
      </c>
      <c r="P245">
        <f>IF($W245="","",IF(ISNUMBER(SEARCH("3&amp;12",SUBSTITUTE(F245," ",""))),Settings!$G$6,Settings!$C$6))</f>
        <v/>
      </c>
      <c r="Q245" s="7">
        <f>IF($W245="","",SUMIFS('Per Line'!$O$2:$O$3001,'Per Line'!$B$2:$B$3001,$B245,'Per Line'!$AB$2:$AB$3001,1))</f>
        <v/>
      </c>
      <c r="R245" s="7">
        <f>IF($W245="","",Q245*P245)</f>
        <v/>
      </c>
      <c r="S245" s="7">
        <f>IF($W245="","",R245+O245)</f>
        <v/>
      </c>
      <c r="T245" s="7">
        <f>IF($W245="","",V245-S245)</f>
        <v/>
      </c>
      <c r="U245" s="7">
        <f>IF($W245="","",V245-S245-K245)</f>
        <v/>
      </c>
      <c r="V245" s="7">
        <f>IF($W245="","",N245+Q245)</f>
        <v/>
      </c>
      <c r="W245" s="16">
        <f>IF(ROWS($W$2:$W245)&lt;=MAX('Per Line'!$AA$2:$AA$3001),MATCH(ROWS($W$2:$W245),'Per Line'!$AA$2:$AA$3001,0),"")</f>
        <v/>
      </c>
      <c r="X245">
        <f>IF($W245="","",D245&amp;"|"&amp;COUNTIF($D$2:$D245,D245))</f>
        <v/>
      </c>
    </row>
    <row r="246">
      <c r="A246" s="15" t="n"/>
      <c r="B246">
        <f>IF($W246="","",INDEX('Per Line'!$B$2:$B$3001,$W246)&amp;"")</f>
        <v/>
      </c>
      <c r="C246">
        <f>IF($W246="","",INDEX('Per Line'!$C$2:$C$3001,$W246)&amp;"")</f>
        <v/>
      </c>
      <c r="D246">
        <f>IF($W246="","",IF(OR(TRIM(E246)="Orient Insurance Company",TRIM(E246)="Allianz"),TRIM(E246),TRIM(F246)))</f>
        <v/>
      </c>
      <c r="E246">
        <f>IF($W246="","",INDEX('Per Line'!$E$2:$E$3001,$W246)&amp;"")</f>
        <v/>
      </c>
      <c r="F246">
        <f>IF($W246="","",INDEX('Per Line'!$D$2:$D$3001,$W246)&amp;"")</f>
        <v/>
      </c>
      <c r="G246">
        <f>IF($W246="","",INDEX('Per Line'!$F$2:$F$3001,$W246)&amp;"")</f>
        <v/>
      </c>
      <c r="H246">
        <f>IF($W246="","",INDEX('Per Line'!$G$2:$G$3001,$W246)&amp;"")</f>
        <v/>
      </c>
      <c r="I246">
        <f>IF($W246="","",INDEX('Per Line'!$H$2:$H$3001,$W246)&amp;"")</f>
        <v/>
      </c>
      <c r="J246">
        <f>IF($W246="","",INDEX('Per Line'!$I$2:$I$3001,$W246))</f>
        <v/>
      </c>
      <c r="K246" s="7">
        <f>IF($W246="","",J246*T246/100)</f>
        <v/>
      </c>
      <c r="L246" s="14">
        <f>IF($W246="","",INDEX('Per Line'!$V$2:$V$3001,$W246))</f>
        <v/>
      </c>
      <c r="M246">
        <f>IF($W246="","",IF(ISNUMBER(SEARCH("3&amp;12",SUBSTITUTE(F246," ",""))),Settings!$G$7,Settings!$C$7))</f>
        <v/>
      </c>
      <c r="N246" s="7">
        <f>IF($W246="","",SUMIFS('Per Line'!$O$2:$O$3001,'Per Line'!$B$2:$B$3001,$B246,'Per Line'!$AB$2:$AB$3001,0))</f>
        <v/>
      </c>
      <c r="O246" s="7">
        <f>IF($W246="","",N246*M246)</f>
        <v/>
      </c>
      <c r="P246">
        <f>IF($W246="","",IF(ISNUMBER(SEARCH("3&amp;12",SUBSTITUTE(F246," ",""))),Settings!$G$6,Settings!$C$6))</f>
        <v/>
      </c>
      <c r="Q246" s="7">
        <f>IF($W246="","",SUMIFS('Per Line'!$O$2:$O$3001,'Per Line'!$B$2:$B$3001,$B246,'Per Line'!$AB$2:$AB$3001,1))</f>
        <v/>
      </c>
      <c r="R246" s="7">
        <f>IF($W246="","",Q246*P246)</f>
        <v/>
      </c>
      <c r="S246" s="7">
        <f>IF($W246="","",R246+O246)</f>
        <v/>
      </c>
      <c r="T246" s="7">
        <f>IF($W246="","",V246-S246)</f>
        <v/>
      </c>
      <c r="U246" s="7">
        <f>IF($W246="","",V246-S246-K246)</f>
        <v/>
      </c>
      <c r="V246" s="7">
        <f>IF($W246="","",N246+Q246)</f>
        <v/>
      </c>
      <c r="W246" s="16">
        <f>IF(ROWS($W$2:$W246)&lt;=MAX('Per Line'!$AA$2:$AA$3001),MATCH(ROWS($W$2:$W246),'Per Line'!$AA$2:$AA$3001,0),"")</f>
        <v/>
      </c>
      <c r="X246">
        <f>IF($W246="","",D246&amp;"|"&amp;COUNTIF($D$2:$D246,D246))</f>
        <v/>
      </c>
    </row>
    <row r="247">
      <c r="A247" s="15" t="n"/>
      <c r="B247">
        <f>IF($W247="","",INDEX('Per Line'!$B$2:$B$3001,$W247)&amp;"")</f>
        <v/>
      </c>
      <c r="C247">
        <f>IF($W247="","",INDEX('Per Line'!$C$2:$C$3001,$W247)&amp;"")</f>
        <v/>
      </c>
      <c r="D247">
        <f>IF($W247="","",IF(OR(TRIM(E247)="Orient Insurance Company",TRIM(E247)="Allianz"),TRIM(E247),TRIM(F247)))</f>
        <v/>
      </c>
      <c r="E247">
        <f>IF($W247="","",INDEX('Per Line'!$E$2:$E$3001,$W247)&amp;"")</f>
        <v/>
      </c>
      <c r="F247">
        <f>IF($W247="","",INDEX('Per Line'!$D$2:$D$3001,$W247)&amp;"")</f>
        <v/>
      </c>
      <c r="G247">
        <f>IF($W247="","",INDEX('Per Line'!$F$2:$F$3001,$W247)&amp;"")</f>
        <v/>
      </c>
      <c r="H247">
        <f>IF($W247="","",INDEX('Per Line'!$G$2:$G$3001,$W247)&amp;"")</f>
        <v/>
      </c>
      <c r="I247">
        <f>IF($W247="","",INDEX('Per Line'!$H$2:$H$3001,$W247)&amp;"")</f>
        <v/>
      </c>
      <c r="J247">
        <f>IF($W247="","",INDEX('Per Line'!$I$2:$I$3001,$W247))</f>
        <v/>
      </c>
      <c r="K247" s="7">
        <f>IF($W247="","",J247*T247/100)</f>
        <v/>
      </c>
      <c r="L247" s="14">
        <f>IF($W247="","",INDEX('Per Line'!$V$2:$V$3001,$W247))</f>
        <v/>
      </c>
      <c r="M247">
        <f>IF($W247="","",IF(ISNUMBER(SEARCH("3&amp;12",SUBSTITUTE(F247," ",""))),Settings!$G$7,Settings!$C$7))</f>
        <v/>
      </c>
      <c r="N247" s="7">
        <f>IF($W247="","",SUMIFS('Per Line'!$O$2:$O$3001,'Per Line'!$B$2:$B$3001,$B247,'Per Line'!$AB$2:$AB$3001,0))</f>
        <v/>
      </c>
      <c r="O247" s="7">
        <f>IF($W247="","",N247*M247)</f>
        <v/>
      </c>
      <c r="P247">
        <f>IF($W247="","",IF(ISNUMBER(SEARCH("3&amp;12",SUBSTITUTE(F247," ",""))),Settings!$G$6,Settings!$C$6))</f>
        <v/>
      </c>
      <c r="Q247" s="7">
        <f>IF($W247="","",SUMIFS('Per Line'!$O$2:$O$3001,'Per Line'!$B$2:$B$3001,$B247,'Per Line'!$AB$2:$AB$3001,1))</f>
        <v/>
      </c>
      <c r="R247" s="7">
        <f>IF($W247="","",Q247*P247)</f>
        <v/>
      </c>
      <c r="S247" s="7">
        <f>IF($W247="","",R247+O247)</f>
        <v/>
      </c>
      <c r="T247" s="7">
        <f>IF($W247="","",V247-S247)</f>
        <v/>
      </c>
      <c r="U247" s="7">
        <f>IF($W247="","",V247-S247-K247)</f>
        <v/>
      </c>
      <c r="V247" s="7">
        <f>IF($W247="","",N247+Q247)</f>
        <v/>
      </c>
      <c r="W247" s="16">
        <f>IF(ROWS($W$2:$W247)&lt;=MAX('Per Line'!$AA$2:$AA$3001),MATCH(ROWS($W$2:$W247),'Per Line'!$AA$2:$AA$3001,0),"")</f>
        <v/>
      </c>
      <c r="X247">
        <f>IF($W247="","",D247&amp;"|"&amp;COUNTIF($D$2:$D247,D247))</f>
        <v/>
      </c>
    </row>
    <row r="248">
      <c r="A248" s="15" t="n"/>
      <c r="B248">
        <f>IF($W248="","",INDEX('Per Line'!$B$2:$B$3001,$W248)&amp;"")</f>
        <v/>
      </c>
      <c r="C248">
        <f>IF($W248="","",INDEX('Per Line'!$C$2:$C$3001,$W248)&amp;"")</f>
        <v/>
      </c>
      <c r="D248">
        <f>IF($W248="","",IF(OR(TRIM(E248)="Orient Insurance Company",TRIM(E248)="Allianz"),TRIM(E248),TRIM(F248)))</f>
        <v/>
      </c>
      <c r="E248">
        <f>IF($W248="","",INDEX('Per Line'!$E$2:$E$3001,$W248)&amp;"")</f>
        <v/>
      </c>
      <c r="F248">
        <f>IF($W248="","",INDEX('Per Line'!$D$2:$D$3001,$W248)&amp;"")</f>
        <v/>
      </c>
      <c r="G248">
        <f>IF($W248="","",INDEX('Per Line'!$F$2:$F$3001,$W248)&amp;"")</f>
        <v/>
      </c>
      <c r="H248">
        <f>IF($W248="","",INDEX('Per Line'!$G$2:$G$3001,$W248)&amp;"")</f>
        <v/>
      </c>
      <c r="I248">
        <f>IF($W248="","",INDEX('Per Line'!$H$2:$H$3001,$W248)&amp;"")</f>
        <v/>
      </c>
      <c r="J248">
        <f>IF($W248="","",INDEX('Per Line'!$I$2:$I$3001,$W248))</f>
        <v/>
      </c>
      <c r="K248" s="7">
        <f>IF($W248="","",J248*T248/100)</f>
        <v/>
      </c>
      <c r="L248" s="14">
        <f>IF($W248="","",INDEX('Per Line'!$V$2:$V$3001,$W248))</f>
        <v/>
      </c>
      <c r="M248">
        <f>IF($W248="","",IF(ISNUMBER(SEARCH("3&amp;12",SUBSTITUTE(F248," ",""))),Settings!$G$7,Settings!$C$7))</f>
        <v/>
      </c>
      <c r="N248" s="7">
        <f>IF($W248="","",SUMIFS('Per Line'!$O$2:$O$3001,'Per Line'!$B$2:$B$3001,$B248,'Per Line'!$AB$2:$AB$3001,0))</f>
        <v/>
      </c>
      <c r="O248" s="7">
        <f>IF($W248="","",N248*M248)</f>
        <v/>
      </c>
      <c r="P248">
        <f>IF($W248="","",IF(ISNUMBER(SEARCH("3&amp;12",SUBSTITUTE(F248," ",""))),Settings!$G$6,Settings!$C$6))</f>
        <v/>
      </c>
      <c r="Q248" s="7">
        <f>IF($W248="","",SUMIFS('Per Line'!$O$2:$O$3001,'Per Line'!$B$2:$B$3001,$B248,'Per Line'!$AB$2:$AB$3001,1))</f>
        <v/>
      </c>
      <c r="R248" s="7">
        <f>IF($W248="","",Q248*P248)</f>
        <v/>
      </c>
      <c r="S248" s="7">
        <f>IF($W248="","",R248+O248)</f>
        <v/>
      </c>
      <c r="T248" s="7">
        <f>IF($W248="","",V248-S248)</f>
        <v/>
      </c>
      <c r="U248" s="7">
        <f>IF($W248="","",V248-S248-K248)</f>
        <v/>
      </c>
      <c r="V248" s="7">
        <f>IF($W248="","",N248+Q248)</f>
        <v/>
      </c>
      <c r="W248" s="16">
        <f>IF(ROWS($W$2:$W248)&lt;=MAX('Per Line'!$AA$2:$AA$3001),MATCH(ROWS($W$2:$W248),'Per Line'!$AA$2:$AA$3001,0),"")</f>
        <v/>
      </c>
      <c r="X248">
        <f>IF($W248="","",D248&amp;"|"&amp;COUNTIF($D$2:$D248,D248))</f>
        <v/>
      </c>
    </row>
    <row r="249">
      <c r="A249" s="15" t="n"/>
      <c r="B249">
        <f>IF($W249="","",INDEX('Per Line'!$B$2:$B$3001,$W249)&amp;"")</f>
        <v/>
      </c>
      <c r="C249">
        <f>IF($W249="","",INDEX('Per Line'!$C$2:$C$3001,$W249)&amp;"")</f>
        <v/>
      </c>
      <c r="D249">
        <f>IF($W249="","",IF(OR(TRIM(E249)="Orient Insurance Company",TRIM(E249)="Allianz"),TRIM(E249),TRIM(F249)))</f>
        <v/>
      </c>
      <c r="E249">
        <f>IF($W249="","",INDEX('Per Line'!$E$2:$E$3001,$W249)&amp;"")</f>
        <v/>
      </c>
      <c r="F249">
        <f>IF($W249="","",INDEX('Per Line'!$D$2:$D$3001,$W249)&amp;"")</f>
        <v/>
      </c>
      <c r="G249">
        <f>IF($W249="","",INDEX('Per Line'!$F$2:$F$3001,$W249)&amp;"")</f>
        <v/>
      </c>
      <c r="H249">
        <f>IF($W249="","",INDEX('Per Line'!$G$2:$G$3001,$W249)&amp;"")</f>
        <v/>
      </c>
      <c r="I249">
        <f>IF($W249="","",INDEX('Per Line'!$H$2:$H$3001,$W249)&amp;"")</f>
        <v/>
      </c>
      <c r="J249">
        <f>IF($W249="","",INDEX('Per Line'!$I$2:$I$3001,$W249))</f>
        <v/>
      </c>
      <c r="K249" s="7">
        <f>IF($W249="","",J249*T249/100)</f>
        <v/>
      </c>
      <c r="L249" s="14">
        <f>IF($W249="","",INDEX('Per Line'!$V$2:$V$3001,$W249))</f>
        <v/>
      </c>
      <c r="M249">
        <f>IF($W249="","",IF(ISNUMBER(SEARCH("3&amp;12",SUBSTITUTE(F249," ",""))),Settings!$G$7,Settings!$C$7))</f>
        <v/>
      </c>
      <c r="N249" s="7">
        <f>IF($W249="","",SUMIFS('Per Line'!$O$2:$O$3001,'Per Line'!$B$2:$B$3001,$B249,'Per Line'!$AB$2:$AB$3001,0))</f>
        <v/>
      </c>
      <c r="O249" s="7">
        <f>IF($W249="","",N249*M249)</f>
        <v/>
      </c>
      <c r="P249">
        <f>IF($W249="","",IF(ISNUMBER(SEARCH("3&amp;12",SUBSTITUTE(F249," ",""))),Settings!$G$6,Settings!$C$6))</f>
        <v/>
      </c>
      <c r="Q249" s="7">
        <f>IF($W249="","",SUMIFS('Per Line'!$O$2:$O$3001,'Per Line'!$B$2:$B$3001,$B249,'Per Line'!$AB$2:$AB$3001,1))</f>
        <v/>
      </c>
      <c r="R249" s="7">
        <f>IF($W249="","",Q249*P249)</f>
        <v/>
      </c>
      <c r="S249" s="7">
        <f>IF($W249="","",R249+O249)</f>
        <v/>
      </c>
      <c r="T249" s="7">
        <f>IF($W249="","",V249-S249)</f>
        <v/>
      </c>
      <c r="U249" s="7">
        <f>IF($W249="","",V249-S249-K249)</f>
        <v/>
      </c>
      <c r="V249" s="7">
        <f>IF($W249="","",N249+Q249)</f>
        <v/>
      </c>
      <c r="W249" s="16">
        <f>IF(ROWS($W$2:$W249)&lt;=MAX('Per Line'!$AA$2:$AA$3001),MATCH(ROWS($W$2:$W249),'Per Line'!$AA$2:$AA$3001,0),"")</f>
        <v/>
      </c>
      <c r="X249">
        <f>IF($W249="","",D249&amp;"|"&amp;COUNTIF($D$2:$D249,D249))</f>
        <v/>
      </c>
    </row>
    <row r="250">
      <c r="A250" s="15" t="n"/>
      <c r="B250">
        <f>IF($W250="","",INDEX('Per Line'!$B$2:$B$3001,$W250)&amp;"")</f>
        <v/>
      </c>
      <c r="C250">
        <f>IF($W250="","",INDEX('Per Line'!$C$2:$C$3001,$W250)&amp;"")</f>
        <v/>
      </c>
      <c r="D250">
        <f>IF($W250="","",IF(OR(TRIM(E250)="Orient Insurance Company",TRIM(E250)="Allianz"),TRIM(E250),TRIM(F250)))</f>
        <v/>
      </c>
      <c r="E250">
        <f>IF($W250="","",INDEX('Per Line'!$E$2:$E$3001,$W250)&amp;"")</f>
        <v/>
      </c>
      <c r="F250">
        <f>IF($W250="","",INDEX('Per Line'!$D$2:$D$3001,$W250)&amp;"")</f>
        <v/>
      </c>
      <c r="G250">
        <f>IF($W250="","",INDEX('Per Line'!$F$2:$F$3001,$W250)&amp;"")</f>
        <v/>
      </c>
      <c r="H250">
        <f>IF($W250="","",INDEX('Per Line'!$G$2:$G$3001,$W250)&amp;"")</f>
        <v/>
      </c>
      <c r="I250">
        <f>IF($W250="","",INDEX('Per Line'!$H$2:$H$3001,$W250)&amp;"")</f>
        <v/>
      </c>
      <c r="J250">
        <f>IF($W250="","",INDEX('Per Line'!$I$2:$I$3001,$W250))</f>
        <v/>
      </c>
      <c r="K250" s="7">
        <f>IF($W250="","",J250*T250/100)</f>
        <v/>
      </c>
      <c r="L250" s="14">
        <f>IF($W250="","",INDEX('Per Line'!$V$2:$V$3001,$W250))</f>
        <v/>
      </c>
      <c r="M250">
        <f>IF($W250="","",IF(ISNUMBER(SEARCH("3&amp;12",SUBSTITUTE(F250," ",""))),Settings!$G$7,Settings!$C$7))</f>
        <v/>
      </c>
      <c r="N250" s="7">
        <f>IF($W250="","",SUMIFS('Per Line'!$O$2:$O$3001,'Per Line'!$B$2:$B$3001,$B250,'Per Line'!$AB$2:$AB$3001,0))</f>
        <v/>
      </c>
      <c r="O250" s="7">
        <f>IF($W250="","",N250*M250)</f>
        <v/>
      </c>
      <c r="P250">
        <f>IF($W250="","",IF(ISNUMBER(SEARCH("3&amp;12",SUBSTITUTE(F250," ",""))),Settings!$G$6,Settings!$C$6))</f>
        <v/>
      </c>
      <c r="Q250" s="7">
        <f>IF($W250="","",SUMIFS('Per Line'!$O$2:$O$3001,'Per Line'!$B$2:$B$3001,$B250,'Per Line'!$AB$2:$AB$3001,1))</f>
        <v/>
      </c>
      <c r="R250" s="7">
        <f>IF($W250="","",Q250*P250)</f>
        <v/>
      </c>
      <c r="S250" s="7">
        <f>IF($W250="","",R250+O250)</f>
        <v/>
      </c>
      <c r="T250" s="7">
        <f>IF($W250="","",V250-S250)</f>
        <v/>
      </c>
      <c r="U250" s="7">
        <f>IF($W250="","",V250-S250-K250)</f>
        <v/>
      </c>
      <c r="V250" s="7">
        <f>IF($W250="","",N250+Q250)</f>
        <v/>
      </c>
      <c r="W250" s="16">
        <f>IF(ROWS($W$2:$W250)&lt;=MAX('Per Line'!$AA$2:$AA$3001),MATCH(ROWS($W$2:$W250),'Per Line'!$AA$2:$AA$3001,0),"")</f>
        <v/>
      </c>
      <c r="X250">
        <f>IF($W250="","",D250&amp;"|"&amp;COUNTIF($D$2:$D250,D250))</f>
        <v/>
      </c>
    </row>
    <row r="251">
      <c r="A251" s="15" t="n"/>
      <c r="B251">
        <f>IF($W251="","",INDEX('Per Line'!$B$2:$B$3001,$W251)&amp;"")</f>
        <v/>
      </c>
      <c r="C251">
        <f>IF($W251="","",INDEX('Per Line'!$C$2:$C$3001,$W251)&amp;"")</f>
        <v/>
      </c>
      <c r="D251">
        <f>IF($W251="","",IF(OR(TRIM(E251)="Orient Insurance Company",TRIM(E251)="Allianz"),TRIM(E251),TRIM(F251)))</f>
        <v/>
      </c>
      <c r="E251">
        <f>IF($W251="","",INDEX('Per Line'!$E$2:$E$3001,$W251)&amp;"")</f>
        <v/>
      </c>
      <c r="F251">
        <f>IF($W251="","",INDEX('Per Line'!$D$2:$D$3001,$W251)&amp;"")</f>
        <v/>
      </c>
      <c r="G251">
        <f>IF($W251="","",INDEX('Per Line'!$F$2:$F$3001,$W251)&amp;"")</f>
        <v/>
      </c>
      <c r="H251">
        <f>IF($W251="","",INDEX('Per Line'!$G$2:$G$3001,$W251)&amp;"")</f>
        <v/>
      </c>
      <c r="I251">
        <f>IF($W251="","",INDEX('Per Line'!$H$2:$H$3001,$W251)&amp;"")</f>
        <v/>
      </c>
      <c r="J251">
        <f>IF($W251="","",INDEX('Per Line'!$I$2:$I$3001,$W251))</f>
        <v/>
      </c>
      <c r="K251" s="7">
        <f>IF($W251="","",J251*T251/100)</f>
        <v/>
      </c>
      <c r="L251" s="14">
        <f>IF($W251="","",INDEX('Per Line'!$V$2:$V$3001,$W251))</f>
        <v/>
      </c>
      <c r="M251">
        <f>IF($W251="","",IF(ISNUMBER(SEARCH("3&amp;12",SUBSTITUTE(F251," ",""))),Settings!$G$7,Settings!$C$7))</f>
        <v/>
      </c>
      <c r="N251" s="7">
        <f>IF($W251="","",SUMIFS('Per Line'!$O$2:$O$3001,'Per Line'!$B$2:$B$3001,$B251,'Per Line'!$AB$2:$AB$3001,0))</f>
        <v/>
      </c>
      <c r="O251" s="7">
        <f>IF($W251="","",N251*M251)</f>
        <v/>
      </c>
      <c r="P251">
        <f>IF($W251="","",IF(ISNUMBER(SEARCH("3&amp;12",SUBSTITUTE(F251," ",""))),Settings!$G$6,Settings!$C$6))</f>
        <v/>
      </c>
      <c r="Q251" s="7">
        <f>IF($W251="","",SUMIFS('Per Line'!$O$2:$O$3001,'Per Line'!$B$2:$B$3001,$B251,'Per Line'!$AB$2:$AB$3001,1))</f>
        <v/>
      </c>
      <c r="R251" s="7">
        <f>IF($W251="","",Q251*P251)</f>
        <v/>
      </c>
      <c r="S251" s="7">
        <f>IF($W251="","",R251+O251)</f>
        <v/>
      </c>
      <c r="T251" s="7">
        <f>IF($W251="","",V251-S251)</f>
        <v/>
      </c>
      <c r="U251" s="7">
        <f>IF($W251="","",V251-S251-K251)</f>
        <v/>
      </c>
      <c r="V251" s="7">
        <f>IF($W251="","",N251+Q251)</f>
        <v/>
      </c>
      <c r="W251" s="16">
        <f>IF(ROWS($W$2:$W251)&lt;=MAX('Per Line'!$AA$2:$AA$3001),MATCH(ROWS($W$2:$W251),'Per Line'!$AA$2:$AA$3001,0),"")</f>
        <v/>
      </c>
      <c r="X251">
        <f>IF($W251="","",D251&amp;"|"&amp;COUNTIF($D$2:$D251,D251))</f>
        <v/>
      </c>
    </row>
    <row r="252">
      <c r="A252" s="15" t="n"/>
      <c r="B252">
        <f>IF($W252="","",INDEX('Per Line'!$B$2:$B$3001,$W252)&amp;"")</f>
        <v/>
      </c>
      <c r="C252">
        <f>IF($W252="","",INDEX('Per Line'!$C$2:$C$3001,$W252)&amp;"")</f>
        <v/>
      </c>
      <c r="D252">
        <f>IF($W252="","",IF(OR(TRIM(E252)="Orient Insurance Company",TRIM(E252)="Allianz"),TRIM(E252),TRIM(F252)))</f>
        <v/>
      </c>
      <c r="E252">
        <f>IF($W252="","",INDEX('Per Line'!$E$2:$E$3001,$W252)&amp;"")</f>
        <v/>
      </c>
      <c r="F252">
        <f>IF($W252="","",INDEX('Per Line'!$D$2:$D$3001,$W252)&amp;"")</f>
        <v/>
      </c>
      <c r="G252">
        <f>IF($W252="","",INDEX('Per Line'!$F$2:$F$3001,$W252)&amp;"")</f>
        <v/>
      </c>
      <c r="H252">
        <f>IF($W252="","",INDEX('Per Line'!$G$2:$G$3001,$W252)&amp;"")</f>
        <v/>
      </c>
      <c r="I252">
        <f>IF($W252="","",INDEX('Per Line'!$H$2:$H$3001,$W252)&amp;"")</f>
        <v/>
      </c>
      <c r="J252">
        <f>IF($W252="","",INDEX('Per Line'!$I$2:$I$3001,$W252))</f>
        <v/>
      </c>
      <c r="K252" s="7">
        <f>IF($W252="","",J252*T252/100)</f>
        <v/>
      </c>
      <c r="L252" s="14">
        <f>IF($W252="","",INDEX('Per Line'!$V$2:$V$3001,$W252))</f>
        <v/>
      </c>
      <c r="M252">
        <f>IF($W252="","",IF(ISNUMBER(SEARCH("3&amp;12",SUBSTITUTE(F252," ",""))),Settings!$G$7,Settings!$C$7))</f>
        <v/>
      </c>
      <c r="N252" s="7">
        <f>IF($W252="","",SUMIFS('Per Line'!$O$2:$O$3001,'Per Line'!$B$2:$B$3001,$B252,'Per Line'!$AB$2:$AB$3001,0))</f>
        <v/>
      </c>
      <c r="O252" s="7">
        <f>IF($W252="","",N252*M252)</f>
        <v/>
      </c>
      <c r="P252">
        <f>IF($W252="","",IF(ISNUMBER(SEARCH("3&amp;12",SUBSTITUTE(F252," ",""))),Settings!$G$6,Settings!$C$6))</f>
        <v/>
      </c>
      <c r="Q252" s="7">
        <f>IF($W252="","",SUMIFS('Per Line'!$O$2:$O$3001,'Per Line'!$B$2:$B$3001,$B252,'Per Line'!$AB$2:$AB$3001,1))</f>
        <v/>
      </c>
      <c r="R252" s="7">
        <f>IF($W252="","",Q252*P252)</f>
        <v/>
      </c>
      <c r="S252" s="7">
        <f>IF($W252="","",R252+O252)</f>
        <v/>
      </c>
      <c r="T252" s="7">
        <f>IF($W252="","",V252-S252)</f>
        <v/>
      </c>
      <c r="U252" s="7">
        <f>IF($W252="","",V252-S252-K252)</f>
        <v/>
      </c>
      <c r="V252" s="7">
        <f>IF($W252="","",N252+Q252)</f>
        <v/>
      </c>
      <c r="W252" s="16">
        <f>IF(ROWS($W$2:$W252)&lt;=MAX('Per Line'!$AA$2:$AA$3001),MATCH(ROWS($W$2:$W252),'Per Line'!$AA$2:$AA$3001,0),"")</f>
        <v/>
      </c>
      <c r="X252">
        <f>IF($W252="","",D252&amp;"|"&amp;COUNTIF($D$2:$D252,D252))</f>
        <v/>
      </c>
    </row>
    <row r="253">
      <c r="A253" s="15" t="n"/>
      <c r="B253">
        <f>IF($W253="","",INDEX('Per Line'!$B$2:$B$3001,$W253)&amp;"")</f>
        <v/>
      </c>
      <c r="C253">
        <f>IF($W253="","",INDEX('Per Line'!$C$2:$C$3001,$W253)&amp;"")</f>
        <v/>
      </c>
      <c r="D253">
        <f>IF($W253="","",IF(OR(TRIM(E253)="Orient Insurance Company",TRIM(E253)="Allianz"),TRIM(E253),TRIM(F253)))</f>
        <v/>
      </c>
      <c r="E253">
        <f>IF($W253="","",INDEX('Per Line'!$E$2:$E$3001,$W253)&amp;"")</f>
        <v/>
      </c>
      <c r="F253">
        <f>IF($W253="","",INDEX('Per Line'!$D$2:$D$3001,$W253)&amp;"")</f>
        <v/>
      </c>
      <c r="G253">
        <f>IF($W253="","",INDEX('Per Line'!$F$2:$F$3001,$W253)&amp;"")</f>
        <v/>
      </c>
      <c r="H253">
        <f>IF($W253="","",INDEX('Per Line'!$G$2:$G$3001,$W253)&amp;"")</f>
        <v/>
      </c>
      <c r="I253">
        <f>IF($W253="","",INDEX('Per Line'!$H$2:$H$3001,$W253)&amp;"")</f>
        <v/>
      </c>
      <c r="J253">
        <f>IF($W253="","",INDEX('Per Line'!$I$2:$I$3001,$W253))</f>
        <v/>
      </c>
      <c r="K253" s="7">
        <f>IF($W253="","",J253*T253/100)</f>
        <v/>
      </c>
      <c r="L253" s="14">
        <f>IF($W253="","",INDEX('Per Line'!$V$2:$V$3001,$W253))</f>
        <v/>
      </c>
      <c r="M253">
        <f>IF($W253="","",IF(ISNUMBER(SEARCH("3&amp;12",SUBSTITUTE(F253," ",""))),Settings!$G$7,Settings!$C$7))</f>
        <v/>
      </c>
      <c r="N253" s="7">
        <f>IF($W253="","",SUMIFS('Per Line'!$O$2:$O$3001,'Per Line'!$B$2:$B$3001,$B253,'Per Line'!$AB$2:$AB$3001,0))</f>
        <v/>
      </c>
      <c r="O253" s="7">
        <f>IF($W253="","",N253*M253)</f>
        <v/>
      </c>
      <c r="P253">
        <f>IF($W253="","",IF(ISNUMBER(SEARCH("3&amp;12",SUBSTITUTE(F253," ",""))),Settings!$G$6,Settings!$C$6))</f>
        <v/>
      </c>
      <c r="Q253" s="7">
        <f>IF($W253="","",SUMIFS('Per Line'!$O$2:$O$3001,'Per Line'!$B$2:$B$3001,$B253,'Per Line'!$AB$2:$AB$3001,1))</f>
        <v/>
      </c>
      <c r="R253" s="7">
        <f>IF($W253="","",Q253*P253)</f>
        <v/>
      </c>
      <c r="S253" s="7">
        <f>IF($W253="","",R253+O253)</f>
        <v/>
      </c>
      <c r="T253" s="7">
        <f>IF($W253="","",V253-S253)</f>
        <v/>
      </c>
      <c r="U253" s="7">
        <f>IF($W253="","",V253-S253-K253)</f>
        <v/>
      </c>
      <c r="V253" s="7">
        <f>IF($W253="","",N253+Q253)</f>
        <v/>
      </c>
      <c r="W253" s="16">
        <f>IF(ROWS($W$2:$W253)&lt;=MAX('Per Line'!$AA$2:$AA$3001),MATCH(ROWS($W$2:$W253),'Per Line'!$AA$2:$AA$3001,0),"")</f>
        <v/>
      </c>
      <c r="X253">
        <f>IF($W253="","",D253&amp;"|"&amp;COUNTIF($D$2:$D253,D253))</f>
        <v/>
      </c>
    </row>
    <row r="254">
      <c r="A254" s="15" t="n"/>
      <c r="B254">
        <f>IF($W254="","",INDEX('Per Line'!$B$2:$B$3001,$W254)&amp;"")</f>
        <v/>
      </c>
      <c r="C254">
        <f>IF($W254="","",INDEX('Per Line'!$C$2:$C$3001,$W254)&amp;"")</f>
        <v/>
      </c>
      <c r="D254">
        <f>IF($W254="","",IF(OR(TRIM(E254)="Orient Insurance Company",TRIM(E254)="Allianz"),TRIM(E254),TRIM(F254)))</f>
        <v/>
      </c>
      <c r="E254">
        <f>IF($W254="","",INDEX('Per Line'!$E$2:$E$3001,$W254)&amp;"")</f>
        <v/>
      </c>
      <c r="F254">
        <f>IF($W254="","",INDEX('Per Line'!$D$2:$D$3001,$W254)&amp;"")</f>
        <v/>
      </c>
      <c r="G254">
        <f>IF($W254="","",INDEX('Per Line'!$F$2:$F$3001,$W254)&amp;"")</f>
        <v/>
      </c>
      <c r="H254">
        <f>IF($W254="","",INDEX('Per Line'!$G$2:$G$3001,$W254)&amp;"")</f>
        <v/>
      </c>
      <c r="I254">
        <f>IF($W254="","",INDEX('Per Line'!$H$2:$H$3001,$W254)&amp;"")</f>
        <v/>
      </c>
      <c r="J254">
        <f>IF($W254="","",INDEX('Per Line'!$I$2:$I$3001,$W254))</f>
        <v/>
      </c>
      <c r="K254" s="7">
        <f>IF($W254="","",J254*T254/100)</f>
        <v/>
      </c>
      <c r="L254" s="14">
        <f>IF($W254="","",INDEX('Per Line'!$V$2:$V$3001,$W254))</f>
        <v/>
      </c>
      <c r="M254">
        <f>IF($W254="","",IF(ISNUMBER(SEARCH("3&amp;12",SUBSTITUTE(F254," ",""))),Settings!$G$7,Settings!$C$7))</f>
        <v/>
      </c>
      <c r="N254" s="7">
        <f>IF($W254="","",SUMIFS('Per Line'!$O$2:$O$3001,'Per Line'!$B$2:$B$3001,$B254,'Per Line'!$AB$2:$AB$3001,0))</f>
        <v/>
      </c>
      <c r="O254" s="7">
        <f>IF($W254="","",N254*M254)</f>
        <v/>
      </c>
      <c r="P254">
        <f>IF($W254="","",IF(ISNUMBER(SEARCH("3&amp;12",SUBSTITUTE(F254," ",""))),Settings!$G$6,Settings!$C$6))</f>
        <v/>
      </c>
      <c r="Q254" s="7">
        <f>IF($W254="","",SUMIFS('Per Line'!$O$2:$O$3001,'Per Line'!$B$2:$B$3001,$B254,'Per Line'!$AB$2:$AB$3001,1))</f>
        <v/>
      </c>
      <c r="R254" s="7">
        <f>IF($W254="","",Q254*P254)</f>
        <v/>
      </c>
      <c r="S254" s="7">
        <f>IF($W254="","",R254+O254)</f>
        <v/>
      </c>
      <c r="T254" s="7">
        <f>IF($W254="","",V254-S254)</f>
        <v/>
      </c>
      <c r="U254" s="7">
        <f>IF($W254="","",V254-S254-K254)</f>
        <v/>
      </c>
      <c r="V254" s="7">
        <f>IF($W254="","",N254+Q254)</f>
        <v/>
      </c>
      <c r="W254" s="16">
        <f>IF(ROWS($W$2:$W254)&lt;=MAX('Per Line'!$AA$2:$AA$3001),MATCH(ROWS($W$2:$W254),'Per Line'!$AA$2:$AA$3001,0),"")</f>
        <v/>
      </c>
      <c r="X254">
        <f>IF($W254="","",D254&amp;"|"&amp;COUNTIF($D$2:$D254,D254))</f>
        <v/>
      </c>
    </row>
    <row r="255">
      <c r="A255" s="15" t="n"/>
      <c r="B255">
        <f>IF($W255="","",INDEX('Per Line'!$B$2:$B$3001,$W255)&amp;"")</f>
        <v/>
      </c>
      <c r="C255">
        <f>IF($W255="","",INDEX('Per Line'!$C$2:$C$3001,$W255)&amp;"")</f>
        <v/>
      </c>
      <c r="D255">
        <f>IF($W255="","",IF(OR(TRIM(E255)="Orient Insurance Company",TRIM(E255)="Allianz"),TRIM(E255),TRIM(F255)))</f>
        <v/>
      </c>
      <c r="E255">
        <f>IF($W255="","",INDEX('Per Line'!$E$2:$E$3001,$W255)&amp;"")</f>
        <v/>
      </c>
      <c r="F255">
        <f>IF($W255="","",INDEX('Per Line'!$D$2:$D$3001,$W255)&amp;"")</f>
        <v/>
      </c>
      <c r="G255">
        <f>IF($W255="","",INDEX('Per Line'!$F$2:$F$3001,$W255)&amp;"")</f>
        <v/>
      </c>
      <c r="H255">
        <f>IF($W255="","",INDEX('Per Line'!$G$2:$G$3001,$W255)&amp;"")</f>
        <v/>
      </c>
      <c r="I255">
        <f>IF($W255="","",INDEX('Per Line'!$H$2:$H$3001,$W255)&amp;"")</f>
        <v/>
      </c>
      <c r="J255">
        <f>IF($W255="","",INDEX('Per Line'!$I$2:$I$3001,$W255))</f>
        <v/>
      </c>
      <c r="K255" s="7">
        <f>IF($W255="","",J255*T255/100)</f>
        <v/>
      </c>
      <c r="L255" s="14">
        <f>IF($W255="","",INDEX('Per Line'!$V$2:$V$3001,$W255))</f>
        <v/>
      </c>
      <c r="M255">
        <f>IF($W255="","",IF(ISNUMBER(SEARCH("3&amp;12",SUBSTITUTE(F255," ",""))),Settings!$G$7,Settings!$C$7))</f>
        <v/>
      </c>
      <c r="N255" s="7">
        <f>IF($W255="","",SUMIFS('Per Line'!$O$2:$O$3001,'Per Line'!$B$2:$B$3001,$B255,'Per Line'!$AB$2:$AB$3001,0))</f>
        <v/>
      </c>
      <c r="O255" s="7">
        <f>IF($W255="","",N255*M255)</f>
        <v/>
      </c>
      <c r="P255">
        <f>IF($W255="","",IF(ISNUMBER(SEARCH("3&amp;12",SUBSTITUTE(F255," ",""))),Settings!$G$6,Settings!$C$6))</f>
        <v/>
      </c>
      <c r="Q255" s="7">
        <f>IF($W255="","",SUMIFS('Per Line'!$O$2:$O$3001,'Per Line'!$B$2:$B$3001,$B255,'Per Line'!$AB$2:$AB$3001,1))</f>
        <v/>
      </c>
      <c r="R255" s="7">
        <f>IF($W255="","",Q255*P255)</f>
        <v/>
      </c>
      <c r="S255" s="7">
        <f>IF($W255="","",R255+O255)</f>
        <v/>
      </c>
      <c r="T255" s="7">
        <f>IF($W255="","",V255-S255)</f>
        <v/>
      </c>
      <c r="U255" s="7">
        <f>IF($W255="","",V255-S255-K255)</f>
        <v/>
      </c>
      <c r="V255" s="7">
        <f>IF($W255="","",N255+Q255)</f>
        <v/>
      </c>
      <c r="W255" s="16">
        <f>IF(ROWS($W$2:$W255)&lt;=MAX('Per Line'!$AA$2:$AA$3001),MATCH(ROWS($W$2:$W255),'Per Line'!$AA$2:$AA$3001,0),"")</f>
        <v/>
      </c>
      <c r="X255">
        <f>IF($W255="","",D255&amp;"|"&amp;COUNTIF($D$2:$D255,D255))</f>
        <v/>
      </c>
    </row>
    <row r="256">
      <c r="A256" s="15" t="n"/>
      <c r="B256">
        <f>IF($W256="","",INDEX('Per Line'!$B$2:$B$3001,$W256)&amp;"")</f>
        <v/>
      </c>
      <c r="C256">
        <f>IF($W256="","",INDEX('Per Line'!$C$2:$C$3001,$W256)&amp;"")</f>
        <v/>
      </c>
      <c r="D256">
        <f>IF($W256="","",IF(OR(TRIM(E256)="Orient Insurance Company",TRIM(E256)="Allianz"),TRIM(E256),TRIM(F256)))</f>
        <v/>
      </c>
      <c r="E256">
        <f>IF($W256="","",INDEX('Per Line'!$E$2:$E$3001,$W256)&amp;"")</f>
        <v/>
      </c>
      <c r="F256">
        <f>IF($W256="","",INDEX('Per Line'!$D$2:$D$3001,$W256)&amp;"")</f>
        <v/>
      </c>
      <c r="G256">
        <f>IF($W256="","",INDEX('Per Line'!$F$2:$F$3001,$W256)&amp;"")</f>
        <v/>
      </c>
      <c r="H256">
        <f>IF($W256="","",INDEX('Per Line'!$G$2:$G$3001,$W256)&amp;"")</f>
        <v/>
      </c>
      <c r="I256">
        <f>IF($W256="","",INDEX('Per Line'!$H$2:$H$3001,$W256)&amp;"")</f>
        <v/>
      </c>
      <c r="J256">
        <f>IF($W256="","",INDEX('Per Line'!$I$2:$I$3001,$W256))</f>
        <v/>
      </c>
      <c r="K256" s="7">
        <f>IF($W256="","",J256*T256/100)</f>
        <v/>
      </c>
      <c r="L256" s="14">
        <f>IF($W256="","",INDEX('Per Line'!$V$2:$V$3001,$W256))</f>
        <v/>
      </c>
      <c r="M256">
        <f>IF($W256="","",IF(ISNUMBER(SEARCH("3&amp;12",SUBSTITUTE(F256," ",""))),Settings!$G$7,Settings!$C$7))</f>
        <v/>
      </c>
      <c r="N256" s="7">
        <f>IF($W256="","",SUMIFS('Per Line'!$O$2:$O$3001,'Per Line'!$B$2:$B$3001,$B256,'Per Line'!$AB$2:$AB$3001,0))</f>
        <v/>
      </c>
      <c r="O256" s="7">
        <f>IF($W256="","",N256*M256)</f>
        <v/>
      </c>
      <c r="P256">
        <f>IF($W256="","",IF(ISNUMBER(SEARCH("3&amp;12",SUBSTITUTE(F256," ",""))),Settings!$G$6,Settings!$C$6))</f>
        <v/>
      </c>
      <c r="Q256" s="7">
        <f>IF($W256="","",SUMIFS('Per Line'!$O$2:$O$3001,'Per Line'!$B$2:$B$3001,$B256,'Per Line'!$AB$2:$AB$3001,1))</f>
        <v/>
      </c>
      <c r="R256" s="7">
        <f>IF($W256="","",Q256*P256)</f>
        <v/>
      </c>
      <c r="S256" s="7">
        <f>IF($W256="","",R256+O256)</f>
        <v/>
      </c>
      <c r="T256" s="7">
        <f>IF($W256="","",V256-S256)</f>
        <v/>
      </c>
      <c r="U256" s="7">
        <f>IF($W256="","",V256-S256-K256)</f>
        <v/>
      </c>
      <c r="V256" s="7">
        <f>IF($W256="","",N256+Q256)</f>
        <v/>
      </c>
      <c r="W256" s="16">
        <f>IF(ROWS($W$2:$W256)&lt;=MAX('Per Line'!$AA$2:$AA$3001),MATCH(ROWS($W$2:$W256),'Per Line'!$AA$2:$AA$3001,0),"")</f>
        <v/>
      </c>
      <c r="X256">
        <f>IF($W256="","",D256&amp;"|"&amp;COUNTIF($D$2:$D256,D256))</f>
        <v/>
      </c>
    </row>
    <row r="257">
      <c r="A257" s="15" t="n"/>
      <c r="B257">
        <f>IF($W257="","",INDEX('Per Line'!$B$2:$B$3001,$W257)&amp;"")</f>
        <v/>
      </c>
      <c r="C257">
        <f>IF($W257="","",INDEX('Per Line'!$C$2:$C$3001,$W257)&amp;"")</f>
        <v/>
      </c>
      <c r="D257">
        <f>IF($W257="","",IF(OR(TRIM(E257)="Orient Insurance Company",TRIM(E257)="Allianz"),TRIM(E257),TRIM(F257)))</f>
        <v/>
      </c>
      <c r="E257">
        <f>IF($W257="","",INDEX('Per Line'!$E$2:$E$3001,$W257)&amp;"")</f>
        <v/>
      </c>
      <c r="F257">
        <f>IF($W257="","",INDEX('Per Line'!$D$2:$D$3001,$W257)&amp;"")</f>
        <v/>
      </c>
      <c r="G257">
        <f>IF($W257="","",INDEX('Per Line'!$F$2:$F$3001,$W257)&amp;"")</f>
        <v/>
      </c>
      <c r="H257">
        <f>IF($W257="","",INDEX('Per Line'!$G$2:$G$3001,$W257)&amp;"")</f>
        <v/>
      </c>
      <c r="I257">
        <f>IF($W257="","",INDEX('Per Line'!$H$2:$H$3001,$W257)&amp;"")</f>
        <v/>
      </c>
      <c r="J257">
        <f>IF($W257="","",INDEX('Per Line'!$I$2:$I$3001,$W257))</f>
        <v/>
      </c>
      <c r="K257" s="7">
        <f>IF($W257="","",J257*T257/100)</f>
        <v/>
      </c>
      <c r="L257" s="14">
        <f>IF($W257="","",INDEX('Per Line'!$V$2:$V$3001,$W257))</f>
        <v/>
      </c>
      <c r="M257">
        <f>IF($W257="","",IF(ISNUMBER(SEARCH("3&amp;12",SUBSTITUTE(F257," ",""))),Settings!$G$7,Settings!$C$7))</f>
        <v/>
      </c>
      <c r="N257" s="7">
        <f>IF($W257="","",SUMIFS('Per Line'!$O$2:$O$3001,'Per Line'!$B$2:$B$3001,$B257,'Per Line'!$AB$2:$AB$3001,0))</f>
        <v/>
      </c>
      <c r="O257" s="7">
        <f>IF($W257="","",N257*M257)</f>
        <v/>
      </c>
      <c r="P257">
        <f>IF($W257="","",IF(ISNUMBER(SEARCH("3&amp;12",SUBSTITUTE(F257," ",""))),Settings!$G$6,Settings!$C$6))</f>
        <v/>
      </c>
      <c r="Q257" s="7">
        <f>IF($W257="","",SUMIFS('Per Line'!$O$2:$O$3001,'Per Line'!$B$2:$B$3001,$B257,'Per Line'!$AB$2:$AB$3001,1))</f>
        <v/>
      </c>
      <c r="R257" s="7">
        <f>IF($W257="","",Q257*P257)</f>
        <v/>
      </c>
      <c r="S257" s="7">
        <f>IF($W257="","",R257+O257)</f>
        <v/>
      </c>
      <c r="T257" s="7">
        <f>IF($W257="","",V257-S257)</f>
        <v/>
      </c>
      <c r="U257" s="7">
        <f>IF($W257="","",V257-S257-K257)</f>
        <v/>
      </c>
      <c r="V257" s="7">
        <f>IF($W257="","",N257+Q257)</f>
        <v/>
      </c>
      <c r="W257" s="16">
        <f>IF(ROWS($W$2:$W257)&lt;=MAX('Per Line'!$AA$2:$AA$3001),MATCH(ROWS($W$2:$W257),'Per Line'!$AA$2:$AA$3001,0),"")</f>
        <v/>
      </c>
      <c r="X257">
        <f>IF($W257="","",D257&amp;"|"&amp;COUNTIF($D$2:$D257,D257))</f>
        <v/>
      </c>
    </row>
    <row r="258">
      <c r="A258" s="15" t="n"/>
      <c r="B258">
        <f>IF($W258="","",INDEX('Per Line'!$B$2:$B$3001,$W258)&amp;"")</f>
        <v/>
      </c>
      <c r="C258">
        <f>IF($W258="","",INDEX('Per Line'!$C$2:$C$3001,$W258)&amp;"")</f>
        <v/>
      </c>
      <c r="D258">
        <f>IF($W258="","",IF(OR(TRIM(E258)="Orient Insurance Company",TRIM(E258)="Allianz"),TRIM(E258),TRIM(F258)))</f>
        <v/>
      </c>
      <c r="E258">
        <f>IF($W258="","",INDEX('Per Line'!$E$2:$E$3001,$W258)&amp;"")</f>
        <v/>
      </c>
      <c r="F258">
        <f>IF($W258="","",INDEX('Per Line'!$D$2:$D$3001,$W258)&amp;"")</f>
        <v/>
      </c>
      <c r="G258">
        <f>IF($W258="","",INDEX('Per Line'!$F$2:$F$3001,$W258)&amp;"")</f>
        <v/>
      </c>
      <c r="H258">
        <f>IF($W258="","",INDEX('Per Line'!$G$2:$G$3001,$W258)&amp;"")</f>
        <v/>
      </c>
      <c r="I258">
        <f>IF($W258="","",INDEX('Per Line'!$H$2:$H$3001,$W258)&amp;"")</f>
        <v/>
      </c>
      <c r="J258">
        <f>IF($W258="","",INDEX('Per Line'!$I$2:$I$3001,$W258))</f>
        <v/>
      </c>
      <c r="K258" s="7">
        <f>IF($W258="","",J258*T258/100)</f>
        <v/>
      </c>
      <c r="L258" s="14">
        <f>IF($W258="","",INDEX('Per Line'!$V$2:$V$3001,$W258))</f>
        <v/>
      </c>
      <c r="M258">
        <f>IF($W258="","",IF(ISNUMBER(SEARCH("3&amp;12",SUBSTITUTE(F258," ",""))),Settings!$G$7,Settings!$C$7))</f>
        <v/>
      </c>
      <c r="N258" s="7">
        <f>IF($W258="","",SUMIFS('Per Line'!$O$2:$O$3001,'Per Line'!$B$2:$B$3001,$B258,'Per Line'!$AB$2:$AB$3001,0))</f>
        <v/>
      </c>
      <c r="O258" s="7">
        <f>IF($W258="","",N258*M258)</f>
        <v/>
      </c>
      <c r="P258">
        <f>IF($W258="","",IF(ISNUMBER(SEARCH("3&amp;12",SUBSTITUTE(F258," ",""))),Settings!$G$6,Settings!$C$6))</f>
        <v/>
      </c>
      <c r="Q258" s="7">
        <f>IF($W258="","",SUMIFS('Per Line'!$O$2:$O$3001,'Per Line'!$B$2:$B$3001,$B258,'Per Line'!$AB$2:$AB$3001,1))</f>
        <v/>
      </c>
      <c r="R258" s="7">
        <f>IF($W258="","",Q258*P258)</f>
        <v/>
      </c>
      <c r="S258" s="7">
        <f>IF($W258="","",R258+O258)</f>
        <v/>
      </c>
      <c r="T258" s="7">
        <f>IF($W258="","",V258-S258)</f>
        <v/>
      </c>
      <c r="U258" s="7">
        <f>IF($W258="","",V258-S258-K258)</f>
        <v/>
      </c>
      <c r="V258" s="7">
        <f>IF($W258="","",N258+Q258)</f>
        <v/>
      </c>
      <c r="W258" s="16">
        <f>IF(ROWS($W$2:$W258)&lt;=MAX('Per Line'!$AA$2:$AA$3001),MATCH(ROWS($W$2:$W258),'Per Line'!$AA$2:$AA$3001,0),"")</f>
        <v/>
      </c>
      <c r="X258">
        <f>IF($W258="","",D258&amp;"|"&amp;COUNTIF($D$2:$D258,D258))</f>
        <v/>
      </c>
    </row>
    <row r="259">
      <c r="A259" s="15" t="n"/>
      <c r="B259">
        <f>IF($W259="","",INDEX('Per Line'!$B$2:$B$3001,$W259)&amp;"")</f>
        <v/>
      </c>
      <c r="C259">
        <f>IF($W259="","",INDEX('Per Line'!$C$2:$C$3001,$W259)&amp;"")</f>
        <v/>
      </c>
      <c r="D259">
        <f>IF($W259="","",IF(OR(TRIM(E259)="Orient Insurance Company",TRIM(E259)="Allianz"),TRIM(E259),TRIM(F259)))</f>
        <v/>
      </c>
      <c r="E259">
        <f>IF($W259="","",INDEX('Per Line'!$E$2:$E$3001,$W259)&amp;"")</f>
        <v/>
      </c>
      <c r="F259">
        <f>IF($W259="","",INDEX('Per Line'!$D$2:$D$3001,$W259)&amp;"")</f>
        <v/>
      </c>
      <c r="G259">
        <f>IF($W259="","",INDEX('Per Line'!$F$2:$F$3001,$W259)&amp;"")</f>
        <v/>
      </c>
      <c r="H259">
        <f>IF($W259="","",INDEX('Per Line'!$G$2:$G$3001,$W259)&amp;"")</f>
        <v/>
      </c>
      <c r="I259">
        <f>IF($W259="","",INDEX('Per Line'!$H$2:$H$3001,$W259)&amp;"")</f>
        <v/>
      </c>
      <c r="J259">
        <f>IF($W259="","",INDEX('Per Line'!$I$2:$I$3001,$W259))</f>
        <v/>
      </c>
      <c r="K259" s="7">
        <f>IF($W259="","",J259*T259/100)</f>
        <v/>
      </c>
      <c r="L259" s="14">
        <f>IF($W259="","",INDEX('Per Line'!$V$2:$V$3001,$W259))</f>
        <v/>
      </c>
      <c r="M259">
        <f>IF($W259="","",IF(ISNUMBER(SEARCH("3&amp;12",SUBSTITUTE(F259," ",""))),Settings!$G$7,Settings!$C$7))</f>
        <v/>
      </c>
      <c r="N259" s="7">
        <f>IF($W259="","",SUMIFS('Per Line'!$O$2:$O$3001,'Per Line'!$B$2:$B$3001,$B259,'Per Line'!$AB$2:$AB$3001,0))</f>
        <v/>
      </c>
      <c r="O259" s="7">
        <f>IF($W259="","",N259*M259)</f>
        <v/>
      </c>
      <c r="P259">
        <f>IF($W259="","",IF(ISNUMBER(SEARCH("3&amp;12",SUBSTITUTE(F259," ",""))),Settings!$G$6,Settings!$C$6))</f>
        <v/>
      </c>
      <c r="Q259" s="7">
        <f>IF($W259="","",SUMIFS('Per Line'!$O$2:$O$3001,'Per Line'!$B$2:$B$3001,$B259,'Per Line'!$AB$2:$AB$3001,1))</f>
        <v/>
      </c>
      <c r="R259" s="7">
        <f>IF($W259="","",Q259*P259)</f>
        <v/>
      </c>
      <c r="S259" s="7">
        <f>IF($W259="","",R259+O259)</f>
        <v/>
      </c>
      <c r="T259" s="7">
        <f>IF($W259="","",V259-S259)</f>
        <v/>
      </c>
      <c r="U259" s="7">
        <f>IF($W259="","",V259-S259-K259)</f>
        <v/>
      </c>
      <c r="V259" s="7">
        <f>IF($W259="","",N259+Q259)</f>
        <v/>
      </c>
      <c r="W259" s="16">
        <f>IF(ROWS($W$2:$W259)&lt;=MAX('Per Line'!$AA$2:$AA$3001),MATCH(ROWS($W$2:$W259),'Per Line'!$AA$2:$AA$3001,0),"")</f>
        <v/>
      </c>
      <c r="X259">
        <f>IF($W259="","",D259&amp;"|"&amp;COUNTIF($D$2:$D259,D259))</f>
        <v/>
      </c>
    </row>
    <row r="260">
      <c r="A260" s="15" t="n"/>
      <c r="B260">
        <f>IF($W260="","",INDEX('Per Line'!$B$2:$B$3001,$W260)&amp;"")</f>
        <v/>
      </c>
      <c r="C260">
        <f>IF($W260="","",INDEX('Per Line'!$C$2:$C$3001,$W260)&amp;"")</f>
        <v/>
      </c>
      <c r="D260">
        <f>IF($W260="","",IF(OR(TRIM(E260)="Orient Insurance Company",TRIM(E260)="Allianz"),TRIM(E260),TRIM(F260)))</f>
        <v/>
      </c>
      <c r="E260">
        <f>IF($W260="","",INDEX('Per Line'!$E$2:$E$3001,$W260)&amp;"")</f>
        <v/>
      </c>
      <c r="F260">
        <f>IF($W260="","",INDEX('Per Line'!$D$2:$D$3001,$W260)&amp;"")</f>
        <v/>
      </c>
      <c r="G260">
        <f>IF($W260="","",INDEX('Per Line'!$F$2:$F$3001,$W260)&amp;"")</f>
        <v/>
      </c>
      <c r="H260">
        <f>IF($W260="","",INDEX('Per Line'!$G$2:$G$3001,$W260)&amp;"")</f>
        <v/>
      </c>
      <c r="I260">
        <f>IF($W260="","",INDEX('Per Line'!$H$2:$H$3001,$W260)&amp;"")</f>
        <v/>
      </c>
      <c r="J260">
        <f>IF($W260="","",INDEX('Per Line'!$I$2:$I$3001,$W260))</f>
        <v/>
      </c>
      <c r="K260" s="7">
        <f>IF($W260="","",J260*T260/100)</f>
        <v/>
      </c>
      <c r="L260" s="14">
        <f>IF($W260="","",INDEX('Per Line'!$V$2:$V$3001,$W260))</f>
        <v/>
      </c>
      <c r="M260">
        <f>IF($W260="","",IF(ISNUMBER(SEARCH("3&amp;12",SUBSTITUTE(F260," ",""))),Settings!$G$7,Settings!$C$7))</f>
        <v/>
      </c>
      <c r="N260" s="7">
        <f>IF($W260="","",SUMIFS('Per Line'!$O$2:$O$3001,'Per Line'!$B$2:$B$3001,$B260,'Per Line'!$AB$2:$AB$3001,0))</f>
        <v/>
      </c>
      <c r="O260" s="7">
        <f>IF($W260="","",N260*M260)</f>
        <v/>
      </c>
      <c r="P260">
        <f>IF($W260="","",IF(ISNUMBER(SEARCH("3&amp;12",SUBSTITUTE(F260," ",""))),Settings!$G$6,Settings!$C$6))</f>
        <v/>
      </c>
      <c r="Q260" s="7">
        <f>IF($W260="","",SUMIFS('Per Line'!$O$2:$O$3001,'Per Line'!$B$2:$B$3001,$B260,'Per Line'!$AB$2:$AB$3001,1))</f>
        <v/>
      </c>
      <c r="R260" s="7">
        <f>IF($W260="","",Q260*P260)</f>
        <v/>
      </c>
      <c r="S260" s="7">
        <f>IF($W260="","",R260+O260)</f>
        <v/>
      </c>
      <c r="T260" s="7">
        <f>IF($W260="","",V260-S260)</f>
        <v/>
      </c>
      <c r="U260" s="7">
        <f>IF($W260="","",V260-S260-K260)</f>
        <v/>
      </c>
      <c r="V260" s="7">
        <f>IF($W260="","",N260+Q260)</f>
        <v/>
      </c>
      <c r="W260" s="16">
        <f>IF(ROWS($W$2:$W260)&lt;=MAX('Per Line'!$AA$2:$AA$3001),MATCH(ROWS($W$2:$W260),'Per Line'!$AA$2:$AA$3001,0),"")</f>
        <v/>
      </c>
      <c r="X260">
        <f>IF($W260="","",D260&amp;"|"&amp;COUNTIF($D$2:$D260,D260))</f>
        <v/>
      </c>
    </row>
    <row r="261">
      <c r="A261" s="15" t="n"/>
      <c r="B261">
        <f>IF($W261="","",INDEX('Per Line'!$B$2:$B$3001,$W261)&amp;"")</f>
        <v/>
      </c>
      <c r="C261">
        <f>IF($W261="","",INDEX('Per Line'!$C$2:$C$3001,$W261)&amp;"")</f>
        <v/>
      </c>
      <c r="D261">
        <f>IF($W261="","",IF(OR(TRIM(E261)="Orient Insurance Company",TRIM(E261)="Allianz"),TRIM(E261),TRIM(F261)))</f>
        <v/>
      </c>
      <c r="E261">
        <f>IF($W261="","",INDEX('Per Line'!$E$2:$E$3001,$W261)&amp;"")</f>
        <v/>
      </c>
      <c r="F261">
        <f>IF($W261="","",INDEX('Per Line'!$D$2:$D$3001,$W261)&amp;"")</f>
        <v/>
      </c>
      <c r="G261">
        <f>IF($W261="","",INDEX('Per Line'!$F$2:$F$3001,$W261)&amp;"")</f>
        <v/>
      </c>
      <c r="H261">
        <f>IF($W261="","",INDEX('Per Line'!$G$2:$G$3001,$W261)&amp;"")</f>
        <v/>
      </c>
      <c r="I261">
        <f>IF($W261="","",INDEX('Per Line'!$H$2:$H$3001,$W261)&amp;"")</f>
        <v/>
      </c>
      <c r="J261">
        <f>IF($W261="","",INDEX('Per Line'!$I$2:$I$3001,$W261))</f>
        <v/>
      </c>
      <c r="K261" s="7">
        <f>IF($W261="","",J261*T261/100)</f>
        <v/>
      </c>
      <c r="L261" s="14">
        <f>IF($W261="","",INDEX('Per Line'!$V$2:$V$3001,$W261))</f>
        <v/>
      </c>
      <c r="M261">
        <f>IF($W261="","",IF(ISNUMBER(SEARCH("3&amp;12",SUBSTITUTE(F261," ",""))),Settings!$G$7,Settings!$C$7))</f>
        <v/>
      </c>
      <c r="N261" s="7">
        <f>IF($W261="","",SUMIFS('Per Line'!$O$2:$O$3001,'Per Line'!$B$2:$B$3001,$B261,'Per Line'!$AB$2:$AB$3001,0))</f>
        <v/>
      </c>
      <c r="O261" s="7">
        <f>IF($W261="","",N261*M261)</f>
        <v/>
      </c>
      <c r="P261">
        <f>IF($W261="","",IF(ISNUMBER(SEARCH("3&amp;12",SUBSTITUTE(F261," ",""))),Settings!$G$6,Settings!$C$6))</f>
        <v/>
      </c>
      <c r="Q261" s="7">
        <f>IF($W261="","",SUMIFS('Per Line'!$O$2:$O$3001,'Per Line'!$B$2:$B$3001,$B261,'Per Line'!$AB$2:$AB$3001,1))</f>
        <v/>
      </c>
      <c r="R261" s="7">
        <f>IF($W261="","",Q261*P261)</f>
        <v/>
      </c>
      <c r="S261" s="7">
        <f>IF($W261="","",R261+O261)</f>
        <v/>
      </c>
      <c r="T261" s="7">
        <f>IF($W261="","",V261-S261)</f>
        <v/>
      </c>
      <c r="U261" s="7">
        <f>IF($W261="","",V261-S261-K261)</f>
        <v/>
      </c>
      <c r="V261" s="7">
        <f>IF($W261="","",N261+Q261)</f>
        <v/>
      </c>
      <c r="W261" s="16">
        <f>IF(ROWS($W$2:$W261)&lt;=MAX('Per Line'!$AA$2:$AA$3001),MATCH(ROWS($W$2:$W261),'Per Line'!$AA$2:$AA$3001,0),"")</f>
        <v/>
      </c>
      <c r="X261">
        <f>IF($W261="","",D261&amp;"|"&amp;COUNTIF($D$2:$D261,D261))</f>
        <v/>
      </c>
    </row>
    <row r="262">
      <c r="A262" s="15" t="n"/>
      <c r="B262">
        <f>IF($W262="","",INDEX('Per Line'!$B$2:$B$3001,$W262)&amp;"")</f>
        <v/>
      </c>
      <c r="C262">
        <f>IF($W262="","",INDEX('Per Line'!$C$2:$C$3001,$W262)&amp;"")</f>
        <v/>
      </c>
      <c r="D262">
        <f>IF($W262="","",IF(OR(TRIM(E262)="Orient Insurance Company",TRIM(E262)="Allianz"),TRIM(E262),TRIM(F262)))</f>
        <v/>
      </c>
      <c r="E262">
        <f>IF($W262="","",INDEX('Per Line'!$E$2:$E$3001,$W262)&amp;"")</f>
        <v/>
      </c>
      <c r="F262">
        <f>IF($W262="","",INDEX('Per Line'!$D$2:$D$3001,$W262)&amp;"")</f>
        <v/>
      </c>
      <c r="G262">
        <f>IF($W262="","",INDEX('Per Line'!$F$2:$F$3001,$W262)&amp;"")</f>
        <v/>
      </c>
      <c r="H262">
        <f>IF($W262="","",INDEX('Per Line'!$G$2:$G$3001,$W262)&amp;"")</f>
        <v/>
      </c>
      <c r="I262">
        <f>IF($W262="","",INDEX('Per Line'!$H$2:$H$3001,$W262)&amp;"")</f>
        <v/>
      </c>
      <c r="J262">
        <f>IF($W262="","",INDEX('Per Line'!$I$2:$I$3001,$W262))</f>
        <v/>
      </c>
      <c r="K262" s="7">
        <f>IF($W262="","",J262*T262/100)</f>
        <v/>
      </c>
      <c r="L262" s="14">
        <f>IF($W262="","",INDEX('Per Line'!$V$2:$V$3001,$W262))</f>
        <v/>
      </c>
      <c r="M262">
        <f>IF($W262="","",IF(ISNUMBER(SEARCH("3&amp;12",SUBSTITUTE(F262," ",""))),Settings!$G$7,Settings!$C$7))</f>
        <v/>
      </c>
      <c r="N262" s="7">
        <f>IF($W262="","",SUMIFS('Per Line'!$O$2:$O$3001,'Per Line'!$B$2:$B$3001,$B262,'Per Line'!$AB$2:$AB$3001,0))</f>
        <v/>
      </c>
      <c r="O262" s="7">
        <f>IF($W262="","",N262*M262)</f>
        <v/>
      </c>
      <c r="P262">
        <f>IF($W262="","",IF(ISNUMBER(SEARCH("3&amp;12",SUBSTITUTE(F262," ",""))),Settings!$G$6,Settings!$C$6))</f>
        <v/>
      </c>
      <c r="Q262" s="7">
        <f>IF($W262="","",SUMIFS('Per Line'!$O$2:$O$3001,'Per Line'!$B$2:$B$3001,$B262,'Per Line'!$AB$2:$AB$3001,1))</f>
        <v/>
      </c>
      <c r="R262" s="7">
        <f>IF($W262="","",Q262*P262)</f>
        <v/>
      </c>
      <c r="S262" s="7">
        <f>IF($W262="","",R262+O262)</f>
        <v/>
      </c>
      <c r="T262" s="7">
        <f>IF($W262="","",V262-S262)</f>
        <v/>
      </c>
      <c r="U262" s="7">
        <f>IF($W262="","",V262-S262-K262)</f>
        <v/>
      </c>
      <c r="V262" s="7">
        <f>IF($W262="","",N262+Q262)</f>
        <v/>
      </c>
      <c r="W262" s="16">
        <f>IF(ROWS($W$2:$W262)&lt;=MAX('Per Line'!$AA$2:$AA$3001),MATCH(ROWS($W$2:$W262),'Per Line'!$AA$2:$AA$3001,0),"")</f>
        <v/>
      </c>
      <c r="X262">
        <f>IF($W262="","",D262&amp;"|"&amp;COUNTIF($D$2:$D262,D262))</f>
        <v/>
      </c>
    </row>
    <row r="263">
      <c r="A263" s="15" t="n"/>
      <c r="B263">
        <f>IF($W263="","",INDEX('Per Line'!$B$2:$B$3001,$W263)&amp;"")</f>
        <v/>
      </c>
      <c r="C263">
        <f>IF($W263="","",INDEX('Per Line'!$C$2:$C$3001,$W263)&amp;"")</f>
        <v/>
      </c>
      <c r="D263">
        <f>IF($W263="","",IF(OR(TRIM(E263)="Orient Insurance Company",TRIM(E263)="Allianz"),TRIM(E263),TRIM(F263)))</f>
        <v/>
      </c>
      <c r="E263">
        <f>IF($W263="","",INDEX('Per Line'!$E$2:$E$3001,$W263)&amp;"")</f>
        <v/>
      </c>
      <c r="F263">
        <f>IF($W263="","",INDEX('Per Line'!$D$2:$D$3001,$W263)&amp;"")</f>
        <v/>
      </c>
      <c r="G263">
        <f>IF($W263="","",INDEX('Per Line'!$F$2:$F$3001,$W263)&amp;"")</f>
        <v/>
      </c>
      <c r="H263">
        <f>IF($W263="","",INDEX('Per Line'!$G$2:$G$3001,$W263)&amp;"")</f>
        <v/>
      </c>
      <c r="I263">
        <f>IF($W263="","",INDEX('Per Line'!$H$2:$H$3001,$W263)&amp;"")</f>
        <v/>
      </c>
      <c r="J263">
        <f>IF($W263="","",INDEX('Per Line'!$I$2:$I$3001,$W263))</f>
        <v/>
      </c>
      <c r="K263" s="7">
        <f>IF($W263="","",J263*T263/100)</f>
        <v/>
      </c>
      <c r="L263" s="14">
        <f>IF($W263="","",INDEX('Per Line'!$V$2:$V$3001,$W263))</f>
        <v/>
      </c>
      <c r="M263">
        <f>IF($W263="","",IF(ISNUMBER(SEARCH("3&amp;12",SUBSTITUTE(F263," ",""))),Settings!$G$7,Settings!$C$7))</f>
        <v/>
      </c>
      <c r="N263" s="7">
        <f>IF($W263="","",SUMIFS('Per Line'!$O$2:$O$3001,'Per Line'!$B$2:$B$3001,$B263,'Per Line'!$AB$2:$AB$3001,0))</f>
        <v/>
      </c>
      <c r="O263" s="7">
        <f>IF($W263="","",N263*M263)</f>
        <v/>
      </c>
      <c r="P263">
        <f>IF($W263="","",IF(ISNUMBER(SEARCH("3&amp;12",SUBSTITUTE(F263," ",""))),Settings!$G$6,Settings!$C$6))</f>
        <v/>
      </c>
      <c r="Q263" s="7">
        <f>IF($W263="","",SUMIFS('Per Line'!$O$2:$O$3001,'Per Line'!$B$2:$B$3001,$B263,'Per Line'!$AB$2:$AB$3001,1))</f>
        <v/>
      </c>
      <c r="R263" s="7">
        <f>IF($W263="","",Q263*P263)</f>
        <v/>
      </c>
      <c r="S263" s="7">
        <f>IF($W263="","",R263+O263)</f>
        <v/>
      </c>
      <c r="T263" s="7">
        <f>IF($W263="","",V263-S263)</f>
        <v/>
      </c>
      <c r="U263" s="7">
        <f>IF($W263="","",V263-S263-K263)</f>
        <v/>
      </c>
      <c r="V263" s="7">
        <f>IF($W263="","",N263+Q263)</f>
        <v/>
      </c>
      <c r="W263" s="16">
        <f>IF(ROWS($W$2:$W263)&lt;=MAX('Per Line'!$AA$2:$AA$3001),MATCH(ROWS($W$2:$W263),'Per Line'!$AA$2:$AA$3001,0),"")</f>
        <v/>
      </c>
      <c r="X263">
        <f>IF($W263="","",D263&amp;"|"&amp;COUNTIF($D$2:$D263,D263))</f>
        <v/>
      </c>
    </row>
    <row r="264">
      <c r="A264" s="15" t="n"/>
      <c r="B264">
        <f>IF($W264="","",INDEX('Per Line'!$B$2:$B$3001,$W264)&amp;"")</f>
        <v/>
      </c>
      <c r="C264">
        <f>IF($W264="","",INDEX('Per Line'!$C$2:$C$3001,$W264)&amp;"")</f>
        <v/>
      </c>
      <c r="D264">
        <f>IF($W264="","",IF(OR(TRIM(E264)="Orient Insurance Company",TRIM(E264)="Allianz"),TRIM(E264),TRIM(F264)))</f>
        <v/>
      </c>
      <c r="E264">
        <f>IF($W264="","",INDEX('Per Line'!$E$2:$E$3001,$W264)&amp;"")</f>
        <v/>
      </c>
      <c r="F264">
        <f>IF($W264="","",INDEX('Per Line'!$D$2:$D$3001,$W264)&amp;"")</f>
        <v/>
      </c>
      <c r="G264">
        <f>IF($W264="","",INDEX('Per Line'!$F$2:$F$3001,$W264)&amp;"")</f>
        <v/>
      </c>
      <c r="H264">
        <f>IF($W264="","",INDEX('Per Line'!$G$2:$G$3001,$W264)&amp;"")</f>
        <v/>
      </c>
      <c r="I264">
        <f>IF($W264="","",INDEX('Per Line'!$H$2:$H$3001,$W264)&amp;"")</f>
        <v/>
      </c>
      <c r="J264">
        <f>IF($W264="","",INDEX('Per Line'!$I$2:$I$3001,$W264))</f>
        <v/>
      </c>
      <c r="K264" s="7">
        <f>IF($W264="","",J264*T264/100)</f>
        <v/>
      </c>
      <c r="L264" s="14">
        <f>IF($W264="","",INDEX('Per Line'!$V$2:$V$3001,$W264))</f>
        <v/>
      </c>
      <c r="M264">
        <f>IF($W264="","",IF(ISNUMBER(SEARCH("3&amp;12",SUBSTITUTE(F264," ",""))),Settings!$G$7,Settings!$C$7))</f>
        <v/>
      </c>
      <c r="N264" s="7">
        <f>IF($W264="","",SUMIFS('Per Line'!$O$2:$O$3001,'Per Line'!$B$2:$B$3001,$B264,'Per Line'!$AB$2:$AB$3001,0))</f>
        <v/>
      </c>
      <c r="O264" s="7">
        <f>IF($W264="","",N264*M264)</f>
        <v/>
      </c>
      <c r="P264">
        <f>IF($W264="","",IF(ISNUMBER(SEARCH("3&amp;12",SUBSTITUTE(F264," ",""))),Settings!$G$6,Settings!$C$6))</f>
        <v/>
      </c>
      <c r="Q264" s="7">
        <f>IF($W264="","",SUMIFS('Per Line'!$O$2:$O$3001,'Per Line'!$B$2:$B$3001,$B264,'Per Line'!$AB$2:$AB$3001,1))</f>
        <v/>
      </c>
      <c r="R264" s="7">
        <f>IF($W264="","",Q264*P264)</f>
        <v/>
      </c>
      <c r="S264" s="7">
        <f>IF($W264="","",R264+O264)</f>
        <v/>
      </c>
      <c r="T264" s="7">
        <f>IF($W264="","",V264-S264)</f>
        <v/>
      </c>
      <c r="U264" s="7">
        <f>IF($W264="","",V264-S264-K264)</f>
        <v/>
      </c>
      <c r="V264" s="7">
        <f>IF($W264="","",N264+Q264)</f>
        <v/>
      </c>
      <c r="W264" s="16">
        <f>IF(ROWS($W$2:$W264)&lt;=MAX('Per Line'!$AA$2:$AA$3001),MATCH(ROWS($W$2:$W264),'Per Line'!$AA$2:$AA$3001,0),"")</f>
        <v/>
      </c>
      <c r="X264">
        <f>IF($W264="","",D264&amp;"|"&amp;COUNTIF($D$2:$D264,D264))</f>
        <v/>
      </c>
    </row>
    <row r="265">
      <c r="A265" s="15" t="n"/>
      <c r="B265">
        <f>IF($W265="","",INDEX('Per Line'!$B$2:$B$3001,$W265)&amp;"")</f>
        <v/>
      </c>
      <c r="C265">
        <f>IF($W265="","",INDEX('Per Line'!$C$2:$C$3001,$W265)&amp;"")</f>
        <v/>
      </c>
      <c r="D265">
        <f>IF($W265="","",IF(OR(TRIM(E265)="Orient Insurance Company",TRIM(E265)="Allianz"),TRIM(E265),TRIM(F265)))</f>
        <v/>
      </c>
      <c r="E265">
        <f>IF($W265="","",INDEX('Per Line'!$E$2:$E$3001,$W265)&amp;"")</f>
        <v/>
      </c>
      <c r="F265">
        <f>IF($W265="","",INDEX('Per Line'!$D$2:$D$3001,$W265)&amp;"")</f>
        <v/>
      </c>
      <c r="G265">
        <f>IF($W265="","",INDEX('Per Line'!$F$2:$F$3001,$W265)&amp;"")</f>
        <v/>
      </c>
      <c r="H265">
        <f>IF($W265="","",INDEX('Per Line'!$G$2:$G$3001,$W265)&amp;"")</f>
        <v/>
      </c>
      <c r="I265">
        <f>IF($W265="","",INDEX('Per Line'!$H$2:$H$3001,$W265)&amp;"")</f>
        <v/>
      </c>
      <c r="J265">
        <f>IF($W265="","",INDEX('Per Line'!$I$2:$I$3001,$W265))</f>
        <v/>
      </c>
      <c r="K265" s="7">
        <f>IF($W265="","",J265*T265/100)</f>
        <v/>
      </c>
      <c r="L265" s="14">
        <f>IF($W265="","",INDEX('Per Line'!$V$2:$V$3001,$W265))</f>
        <v/>
      </c>
      <c r="M265">
        <f>IF($W265="","",IF(ISNUMBER(SEARCH("3&amp;12",SUBSTITUTE(F265," ",""))),Settings!$G$7,Settings!$C$7))</f>
        <v/>
      </c>
      <c r="N265" s="7">
        <f>IF($W265="","",SUMIFS('Per Line'!$O$2:$O$3001,'Per Line'!$B$2:$B$3001,$B265,'Per Line'!$AB$2:$AB$3001,0))</f>
        <v/>
      </c>
      <c r="O265" s="7">
        <f>IF($W265="","",N265*M265)</f>
        <v/>
      </c>
      <c r="P265">
        <f>IF($W265="","",IF(ISNUMBER(SEARCH("3&amp;12",SUBSTITUTE(F265," ",""))),Settings!$G$6,Settings!$C$6))</f>
        <v/>
      </c>
      <c r="Q265" s="7">
        <f>IF($W265="","",SUMIFS('Per Line'!$O$2:$O$3001,'Per Line'!$B$2:$B$3001,$B265,'Per Line'!$AB$2:$AB$3001,1))</f>
        <v/>
      </c>
      <c r="R265" s="7">
        <f>IF($W265="","",Q265*P265)</f>
        <v/>
      </c>
      <c r="S265" s="7">
        <f>IF($W265="","",R265+O265)</f>
        <v/>
      </c>
      <c r="T265" s="7">
        <f>IF($W265="","",V265-S265)</f>
        <v/>
      </c>
      <c r="U265" s="7">
        <f>IF($W265="","",V265-S265-K265)</f>
        <v/>
      </c>
      <c r="V265" s="7">
        <f>IF($W265="","",N265+Q265)</f>
        <v/>
      </c>
      <c r="W265" s="16">
        <f>IF(ROWS($W$2:$W265)&lt;=MAX('Per Line'!$AA$2:$AA$3001),MATCH(ROWS($W$2:$W265),'Per Line'!$AA$2:$AA$3001,0),"")</f>
        <v/>
      </c>
      <c r="X265">
        <f>IF($W265="","",D265&amp;"|"&amp;COUNTIF($D$2:$D265,D265))</f>
        <v/>
      </c>
    </row>
    <row r="266">
      <c r="A266" s="15" t="n"/>
      <c r="B266">
        <f>IF($W266="","",INDEX('Per Line'!$B$2:$B$3001,$W266)&amp;"")</f>
        <v/>
      </c>
      <c r="C266">
        <f>IF($W266="","",INDEX('Per Line'!$C$2:$C$3001,$W266)&amp;"")</f>
        <v/>
      </c>
      <c r="D266">
        <f>IF($W266="","",IF(OR(TRIM(E266)="Orient Insurance Company",TRIM(E266)="Allianz"),TRIM(E266),TRIM(F266)))</f>
        <v/>
      </c>
      <c r="E266">
        <f>IF($W266="","",INDEX('Per Line'!$E$2:$E$3001,$W266)&amp;"")</f>
        <v/>
      </c>
      <c r="F266">
        <f>IF($W266="","",INDEX('Per Line'!$D$2:$D$3001,$W266)&amp;"")</f>
        <v/>
      </c>
      <c r="G266">
        <f>IF($W266="","",INDEX('Per Line'!$F$2:$F$3001,$W266)&amp;"")</f>
        <v/>
      </c>
      <c r="H266">
        <f>IF($W266="","",INDEX('Per Line'!$G$2:$G$3001,$W266)&amp;"")</f>
        <v/>
      </c>
      <c r="I266">
        <f>IF($W266="","",INDEX('Per Line'!$H$2:$H$3001,$W266)&amp;"")</f>
        <v/>
      </c>
      <c r="J266">
        <f>IF($W266="","",INDEX('Per Line'!$I$2:$I$3001,$W266))</f>
        <v/>
      </c>
      <c r="K266" s="7">
        <f>IF($W266="","",J266*T266/100)</f>
        <v/>
      </c>
      <c r="L266" s="14">
        <f>IF($W266="","",INDEX('Per Line'!$V$2:$V$3001,$W266))</f>
        <v/>
      </c>
      <c r="M266">
        <f>IF($W266="","",IF(ISNUMBER(SEARCH("3&amp;12",SUBSTITUTE(F266," ",""))),Settings!$G$7,Settings!$C$7))</f>
        <v/>
      </c>
      <c r="N266" s="7">
        <f>IF($W266="","",SUMIFS('Per Line'!$O$2:$O$3001,'Per Line'!$B$2:$B$3001,$B266,'Per Line'!$AB$2:$AB$3001,0))</f>
        <v/>
      </c>
      <c r="O266" s="7">
        <f>IF($W266="","",N266*M266)</f>
        <v/>
      </c>
      <c r="P266">
        <f>IF($W266="","",IF(ISNUMBER(SEARCH("3&amp;12",SUBSTITUTE(F266," ",""))),Settings!$G$6,Settings!$C$6))</f>
        <v/>
      </c>
      <c r="Q266" s="7">
        <f>IF($W266="","",SUMIFS('Per Line'!$O$2:$O$3001,'Per Line'!$B$2:$B$3001,$B266,'Per Line'!$AB$2:$AB$3001,1))</f>
        <v/>
      </c>
      <c r="R266" s="7">
        <f>IF($W266="","",Q266*P266)</f>
        <v/>
      </c>
      <c r="S266" s="7">
        <f>IF($W266="","",R266+O266)</f>
        <v/>
      </c>
      <c r="T266" s="7">
        <f>IF($W266="","",V266-S266)</f>
        <v/>
      </c>
      <c r="U266" s="7">
        <f>IF($W266="","",V266-S266-K266)</f>
        <v/>
      </c>
      <c r="V266" s="7">
        <f>IF($W266="","",N266+Q266)</f>
        <v/>
      </c>
      <c r="W266" s="16">
        <f>IF(ROWS($W$2:$W266)&lt;=MAX('Per Line'!$AA$2:$AA$3001),MATCH(ROWS($W$2:$W266),'Per Line'!$AA$2:$AA$3001,0),"")</f>
        <v/>
      </c>
      <c r="X266">
        <f>IF($W266="","",D266&amp;"|"&amp;COUNTIF($D$2:$D266,D266))</f>
        <v/>
      </c>
    </row>
    <row r="267">
      <c r="A267" s="15" t="n"/>
      <c r="B267">
        <f>IF($W267="","",INDEX('Per Line'!$B$2:$B$3001,$W267)&amp;"")</f>
        <v/>
      </c>
      <c r="C267">
        <f>IF($W267="","",INDEX('Per Line'!$C$2:$C$3001,$W267)&amp;"")</f>
        <v/>
      </c>
      <c r="D267">
        <f>IF($W267="","",IF(OR(TRIM(E267)="Orient Insurance Company",TRIM(E267)="Allianz"),TRIM(E267),TRIM(F267)))</f>
        <v/>
      </c>
      <c r="E267">
        <f>IF($W267="","",INDEX('Per Line'!$E$2:$E$3001,$W267)&amp;"")</f>
        <v/>
      </c>
      <c r="F267">
        <f>IF($W267="","",INDEX('Per Line'!$D$2:$D$3001,$W267)&amp;"")</f>
        <v/>
      </c>
      <c r="G267">
        <f>IF($W267="","",INDEX('Per Line'!$F$2:$F$3001,$W267)&amp;"")</f>
        <v/>
      </c>
      <c r="H267">
        <f>IF($W267="","",INDEX('Per Line'!$G$2:$G$3001,$W267)&amp;"")</f>
        <v/>
      </c>
      <c r="I267">
        <f>IF($W267="","",INDEX('Per Line'!$H$2:$H$3001,$W267)&amp;"")</f>
        <v/>
      </c>
      <c r="J267">
        <f>IF($W267="","",INDEX('Per Line'!$I$2:$I$3001,$W267))</f>
        <v/>
      </c>
      <c r="K267" s="7">
        <f>IF($W267="","",J267*T267/100)</f>
        <v/>
      </c>
      <c r="L267" s="14">
        <f>IF($W267="","",INDEX('Per Line'!$V$2:$V$3001,$W267))</f>
        <v/>
      </c>
      <c r="M267">
        <f>IF($W267="","",IF(ISNUMBER(SEARCH("3&amp;12",SUBSTITUTE(F267," ",""))),Settings!$G$7,Settings!$C$7))</f>
        <v/>
      </c>
      <c r="N267" s="7">
        <f>IF($W267="","",SUMIFS('Per Line'!$O$2:$O$3001,'Per Line'!$B$2:$B$3001,$B267,'Per Line'!$AB$2:$AB$3001,0))</f>
        <v/>
      </c>
      <c r="O267" s="7">
        <f>IF($W267="","",N267*M267)</f>
        <v/>
      </c>
      <c r="P267">
        <f>IF($W267="","",IF(ISNUMBER(SEARCH("3&amp;12",SUBSTITUTE(F267," ",""))),Settings!$G$6,Settings!$C$6))</f>
        <v/>
      </c>
      <c r="Q267" s="7">
        <f>IF($W267="","",SUMIFS('Per Line'!$O$2:$O$3001,'Per Line'!$B$2:$B$3001,$B267,'Per Line'!$AB$2:$AB$3001,1))</f>
        <v/>
      </c>
      <c r="R267" s="7">
        <f>IF($W267="","",Q267*P267)</f>
        <v/>
      </c>
      <c r="S267" s="7">
        <f>IF($W267="","",R267+O267)</f>
        <v/>
      </c>
      <c r="T267" s="7">
        <f>IF($W267="","",V267-S267)</f>
        <v/>
      </c>
      <c r="U267" s="7">
        <f>IF($W267="","",V267-S267-K267)</f>
        <v/>
      </c>
      <c r="V267" s="7">
        <f>IF($W267="","",N267+Q267)</f>
        <v/>
      </c>
      <c r="W267" s="16">
        <f>IF(ROWS($W$2:$W267)&lt;=MAX('Per Line'!$AA$2:$AA$3001),MATCH(ROWS($W$2:$W267),'Per Line'!$AA$2:$AA$3001,0),"")</f>
        <v/>
      </c>
      <c r="X267">
        <f>IF($W267="","",D267&amp;"|"&amp;COUNTIF($D$2:$D267,D267))</f>
        <v/>
      </c>
    </row>
    <row r="268">
      <c r="A268" s="15" t="n"/>
      <c r="B268">
        <f>IF($W268="","",INDEX('Per Line'!$B$2:$B$3001,$W268)&amp;"")</f>
        <v/>
      </c>
      <c r="C268">
        <f>IF($W268="","",INDEX('Per Line'!$C$2:$C$3001,$W268)&amp;"")</f>
        <v/>
      </c>
      <c r="D268">
        <f>IF($W268="","",IF(OR(TRIM(E268)="Orient Insurance Company",TRIM(E268)="Allianz"),TRIM(E268),TRIM(F268)))</f>
        <v/>
      </c>
      <c r="E268">
        <f>IF($W268="","",INDEX('Per Line'!$E$2:$E$3001,$W268)&amp;"")</f>
        <v/>
      </c>
      <c r="F268">
        <f>IF($W268="","",INDEX('Per Line'!$D$2:$D$3001,$W268)&amp;"")</f>
        <v/>
      </c>
      <c r="G268">
        <f>IF($W268="","",INDEX('Per Line'!$F$2:$F$3001,$W268)&amp;"")</f>
        <v/>
      </c>
      <c r="H268">
        <f>IF($W268="","",INDEX('Per Line'!$G$2:$G$3001,$W268)&amp;"")</f>
        <v/>
      </c>
      <c r="I268">
        <f>IF($W268="","",INDEX('Per Line'!$H$2:$H$3001,$W268)&amp;"")</f>
        <v/>
      </c>
      <c r="J268">
        <f>IF($W268="","",INDEX('Per Line'!$I$2:$I$3001,$W268))</f>
        <v/>
      </c>
      <c r="K268" s="7">
        <f>IF($W268="","",J268*T268/100)</f>
        <v/>
      </c>
      <c r="L268" s="14">
        <f>IF($W268="","",INDEX('Per Line'!$V$2:$V$3001,$W268))</f>
        <v/>
      </c>
      <c r="M268">
        <f>IF($W268="","",IF(ISNUMBER(SEARCH("3&amp;12",SUBSTITUTE(F268," ",""))),Settings!$G$7,Settings!$C$7))</f>
        <v/>
      </c>
      <c r="N268" s="7">
        <f>IF($W268="","",SUMIFS('Per Line'!$O$2:$O$3001,'Per Line'!$B$2:$B$3001,$B268,'Per Line'!$AB$2:$AB$3001,0))</f>
        <v/>
      </c>
      <c r="O268" s="7">
        <f>IF($W268="","",N268*M268)</f>
        <v/>
      </c>
      <c r="P268">
        <f>IF($W268="","",IF(ISNUMBER(SEARCH("3&amp;12",SUBSTITUTE(F268," ",""))),Settings!$G$6,Settings!$C$6))</f>
        <v/>
      </c>
      <c r="Q268" s="7">
        <f>IF($W268="","",SUMIFS('Per Line'!$O$2:$O$3001,'Per Line'!$B$2:$B$3001,$B268,'Per Line'!$AB$2:$AB$3001,1))</f>
        <v/>
      </c>
      <c r="R268" s="7">
        <f>IF($W268="","",Q268*P268)</f>
        <v/>
      </c>
      <c r="S268" s="7">
        <f>IF($W268="","",R268+O268)</f>
        <v/>
      </c>
      <c r="T268" s="7">
        <f>IF($W268="","",V268-S268)</f>
        <v/>
      </c>
      <c r="U268" s="7">
        <f>IF($W268="","",V268-S268-K268)</f>
        <v/>
      </c>
      <c r="V268" s="7">
        <f>IF($W268="","",N268+Q268)</f>
        <v/>
      </c>
      <c r="W268" s="16">
        <f>IF(ROWS($W$2:$W268)&lt;=MAX('Per Line'!$AA$2:$AA$3001),MATCH(ROWS($W$2:$W268),'Per Line'!$AA$2:$AA$3001,0),"")</f>
        <v/>
      </c>
      <c r="X268">
        <f>IF($W268="","",D268&amp;"|"&amp;COUNTIF($D$2:$D268,D268))</f>
        <v/>
      </c>
    </row>
    <row r="269">
      <c r="A269" s="15" t="n"/>
      <c r="B269">
        <f>IF($W269="","",INDEX('Per Line'!$B$2:$B$3001,$W269)&amp;"")</f>
        <v/>
      </c>
      <c r="C269">
        <f>IF($W269="","",INDEX('Per Line'!$C$2:$C$3001,$W269)&amp;"")</f>
        <v/>
      </c>
      <c r="D269">
        <f>IF($W269="","",IF(OR(TRIM(E269)="Orient Insurance Company",TRIM(E269)="Allianz"),TRIM(E269),TRIM(F269)))</f>
        <v/>
      </c>
      <c r="E269">
        <f>IF($W269="","",INDEX('Per Line'!$E$2:$E$3001,$W269)&amp;"")</f>
        <v/>
      </c>
      <c r="F269">
        <f>IF($W269="","",INDEX('Per Line'!$D$2:$D$3001,$W269)&amp;"")</f>
        <v/>
      </c>
      <c r="G269">
        <f>IF($W269="","",INDEX('Per Line'!$F$2:$F$3001,$W269)&amp;"")</f>
        <v/>
      </c>
      <c r="H269">
        <f>IF($W269="","",INDEX('Per Line'!$G$2:$G$3001,$W269)&amp;"")</f>
        <v/>
      </c>
      <c r="I269">
        <f>IF($W269="","",INDEX('Per Line'!$H$2:$H$3001,$W269)&amp;"")</f>
        <v/>
      </c>
      <c r="J269">
        <f>IF($W269="","",INDEX('Per Line'!$I$2:$I$3001,$W269))</f>
        <v/>
      </c>
      <c r="K269" s="7">
        <f>IF($W269="","",J269*T269/100)</f>
        <v/>
      </c>
      <c r="L269" s="14">
        <f>IF($W269="","",INDEX('Per Line'!$V$2:$V$3001,$W269))</f>
        <v/>
      </c>
      <c r="M269">
        <f>IF($W269="","",IF(ISNUMBER(SEARCH("3&amp;12",SUBSTITUTE(F269," ",""))),Settings!$G$7,Settings!$C$7))</f>
        <v/>
      </c>
      <c r="N269" s="7">
        <f>IF($W269="","",SUMIFS('Per Line'!$O$2:$O$3001,'Per Line'!$B$2:$B$3001,$B269,'Per Line'!$AB$2:$AB$3001,0))</f>
        <v/>
      </c>
      <c r="O269" s="7">
        <f>IF($W269="","",N269*M269)</f>
        <v/>
      </c>
      <c r="P269">
        <f>IF($W269="","",IF(ISNUMBER(SEARCH("3&amp;12",SUBSTITUTE(F269," ",""))),Settings!$G$6,Settings!$C$6))</f>
        <v/>
      </c>
      <c r="Q269" s="7">
        <f>IF($W269="","",SUMIFS('Per Line'!$O$2:$O$3001,'Per Line'!$B$2:$B$3001,$B269,'Per Line'!$AB$2:$AB$3001,1))</f>
        <v/>
      </c>
      <c r="R269" s="7">
        <f>IF($W269="","",Q269*P269)</f>
        <v/>
      </c>
      <c r="S269" s="7">
        <f>IF($W269="","",R269+O269)</f>
        <v/>
      </c>
      <c r="T269" s="7">
        <f>IF($W269="","",V269-S269)</f>
        <v/>
      </c>
      <c r="U269" s="7">
        <f>IF($W269="","",V269-S269-K269)</f>
        <v/>
      </c>
      <c r="V269" s="7">
        <f>IF($W269="","",N269+Q269)</f>
        <v/>
      </c>
      <c r="W269" s="16">
        <f>IF(ROWS($W$2:$W269)&lt;=MAX('Per Line'!$AA$2:$AA$3001),MATCH(ROWS($W$2:$W269),'Per Line'!$AA$2:$AA$3001,0),"")</f>
        <v/>
      </c>
      <c r="X269">
        <f>IF($W269="","",D269&amp;"|"&amp;COUNTIF($D$2:$D269,D269))</f>
        <v/>
      </c>
    </row>
    <row r="270">
      <c r="A270" s="15" t="n"/>
      <c r="B270">
        <f>IF($W270="","",INDEX('Per Line'!$B$2:$B$3001,$W270)&amp;"")</f>
        <v/>
      </c>
      <c r="C270">
        <f>IF($W270="","",INDEX('Per Line'!$C$2:$C$3001,$W270)&amp;"")</f>
        <v/>
      </c>
      <c r="D270">
        <f>IF($W270="","",IF(OR(TRIM(E270)="Orient Insurance Company",TRIM(E270)="Allianz"),TRIM(E270),TRIM(F270)))</f>
        <v/>
      </c>
      <c r="E270">
        <f>IF($W270="","",INDEX('Per Line'!$E$2:$E$3001,$W270)&amp;"")</f>
        <v/>
      </c>
      <c r="F270">
        <f>IF($W270="","",INDEX('Per Line'!$D$2:$D$3001,$W270)&amp;"")</f>
        <v/>
      </c>
      <c r="G270">
        <f>IF($W270="","",INDEX('Per Line'!$F$2:$F$3001,$W270)&amp;"")</f>
        <v/>
      </c>
      <c r="H270">
        <f>IF($W270="","",INDEX('Per Line'!$G$2:$G$3001,$W270)&amp;"")</f>
        <v/>
      </c>
      <c r="I270">
        <f>IF($W270="","",INDEX('Per Line'!$H$2:$H$3001,$W270)&amp;"")</f>
        <v/>
      </c>
      <c r="J270">
        <f>IF($W270="","",INDEX('Per Line'!$I$2:$I$3001,$W270))</f>
        <v/>
      </c>
      <c r="K270" s="7">
        <f>IF($W270="","",J270*T270/100)</f>
        <v/>
      </c>
      <c r="L270" s="14">
        <f>IF($W270="","",INDEX('Per Line'!$V$2:$V$3001,$W270))</f>
        <v/>
      </c>
      <c r="M270">
        <f>IF($W270="","",IF(ISNUMBER(SEARCH("3&amp;12",SUBSTITUTE(F270," ",""))),Settings!$G$7,Settings!$C$7))</f>
        <v/>
      </c>
      <c r="N270" s="7">
        <f>IF($W270="","",SUMIFS('Per Line'!$O$2:$O$3001,'Per Line'!$B$2:$B$3001,$B270,'Per Line'!$AB$2:$AB$3001,0))</f>
        <v/>
      </c>
      <c r="O270" s="7">
        <f>IF($W270="","",N270*M270)</f>
        <v/>
      </c>
      <c r="P270">
        <f>IF($W270="","",IF(ISNUMBER(SEARCH("3&amp;12",SUBSTITUTE(F270," ",""))),Settings!$G$6,Settings!$C$6))</f>
        <v/>
      </c>
      <c r="Q270" s="7">
        <f>IF($W270="","",SUMIFS('Per Line'!$O$2:$O$3001,'Per Line'!$B$2:$B$3001,$B270,'Per Line'!$AB$2:$AB$3001,1))</f>
        <v/>
      </c>
      <c r="R270" s="7">
        <f>IF($W270="","",Q270*P270)</f>
        <v/>
      </c>
      <c r="S270" s="7">
        <f>IF($W270="","",R270+O270)</f>
        <v/>
      </c>
      <c r="T270" s="7">
        <f>IF($W270="","",V270-S270)</f>
        <v/>
      </c>
      <c r="U270" s="7">
        <f>IF($W270="","",V270-S270-K270)</f>
        <v/>
      </c>
      <c r="V270" s="7">
        <f>IF($W270="","",N270+Q270)</f>
        <v/>
      </c>
      <c r="W270" s="16">
        <f>IF(ROWS($W$2:$W270)&lt;=MAX('Per Line'!$AA$2:$AA$3001),MATCH(ROWS($W$2:$W270),'Per Line'!$AA$2:$AA$3001,0),"")</f>
        <v/>
      </c>
      <c r="X270">
        <f>IF($W270="","",D270&amp;"|"&amp;COUNTIF($D$2:$D270,D270))</f>
        <v/>
      </c>
    </row>
    <row r="271">
      <c r="A271" s="15" t="n"/>
      <c r="B271">
        <f>IF($W271="","",INDEX('Per Line'!$B$2:$B$3001,$W271)&amp;"")</f>
        <v/>
      </c>
      <c r="C271">
        <f>IF($W271="","",INDEX('Per Line'!$C$2:$C$3001,$W271)&amp;"")</f>
        <v/>
      </c>
      <c r="D271">
        <f>IF($W271="","",IF(OR(TRIM(E271)="Orient Insurance Company",TRIM(E271)="Allianz"),TRIM(E271),TRIM(F271)))</f>
        <v/>
      </c>
      <c r="E271">
        <f>IF($W271="","",INDEX('Per Line'!$E$2:$E$3001,$W271)&amp;"")</f>
        <v/>
      </c>
      <c r="F271">
        <f>IF($W271="","",INDEX('Per Line'!$D$2:$D$3001,$W271)&amp;"")</f>
        <v/>
      </c>
      <c r="G271">
        <f>IF($W271="","",INDEX('Per Line'!$F$2:$F$3001,$W271)&amp;"")</f>
        <v/>
      </c>
      <c r="H271">
        <f>IF($W271="","",INDEX('Per Line'!$G$2:$G$3001,$W271)&amp;"")</f>
        <v/>
      </c>
      <c r="I271">
        <f>IF($W271="","",INDEX('Per Line'!$H$2:$H$3001,$W271)&amp;"")</f>
        <v/>
      </c>
      <c r="J271">
        <f>IF($W271="","",INDEX('Per Line'!$I$2:$I$3001,$W271))</f>
        <v/>
      </c>
      <c r="K271" s="7">
        <f>IF($W271="","",J271*T271/100)</f>
        <v/>
      </c>
      <c r="L271" s="14">
        <f>IF($W271="","",INDEX('Per Line'!$V$2:$V$3001,$W271))</f>
        <v/>
      </c>
      <c r="M271">
        <f>IF($W271="","",IF(ISNUMBER(SEARCH("3&amp;12",SUBSTITUTE(F271," ",""))),Settings!$G$7,Settings!$C$7))</f>
        <v/>
      </c>
      <c r="N271" s="7">
        <f>IF($W271="","",SUMIFS('Per Line'!$O$2:$O$3001,'Per Line'!$B$2:$B$3001,$B271,'Per Line'!$AB$2:$AB$3001,0))</f>
        <v/>
      </c>
      <c r="O271" s="7">
        <f>IF($W271="","",N271*M271)</f>
        <v/>
      </c>
      <c r="P271">
        <f>IF($W271="","",IF(ISNUMBER(SEARCH("3&amp;12",SUBSTITUTE(F271," ",""))),Settings!$G$6,Settings!$C$6))</f>
        <v/>
      </c>
      <c r="Q271" s="7">
        <f>IF($W271="","",SUMIFS('Per Line'!$O$2:$O$3001,'Per Line'!$B$2:$B$3001,$B271,'Per Line'!$AB$2:$AB$3001,1))</f>
        <v/>
      </c>
      <c r="R271" s="7">
        <f>IF($W271="","",Q271*P271)</f>
        <v/>
      </c>
      <c r="S271" s="7">
        <f>IF($W271="","",R271+O271)</f>
        <v/>
      </c>
      <c r="T271" s="7">
        <f>IF($W271="","",V271-S271)</f>
        <v/>
      </c>
      <c r="U271" s="7">
        <f>IF($W271="","",V271-S271-K271)</f>
        <v/>
      </c>
      <c r="V271" s="7">
        <f>IF($W271="","",N271+Q271)</f>
        <v/>
      </c>
      <c r="W271" s="16">
        <f>IF(ROWS($W$2:$W271)&lt;=MAX('Per Line'!$AA$2:$AA$3001),MATCH(ROWS($W$2:$W271),'Per Line'!$AA$2:$AA$3001,0),"")</f>
        <v/>
      </c>
      <c r="X271">
        <f>IF($W271="","",D271&amp;"|"&amp;COUNTIF($D$2:$D271,D271))</f>
        <v/>
      </c>
    </row>
    <row r="272">
      <c r="A272" s="15" t="n"/>
      <c r="B272">
        <f>IF($W272="","",INDEX('Per Line'!$B$2:$B$3001,$W272)&amp;"")</f>
        <v/>
      </c>
      <c r="C272">
        <f>IF($W272="","",INDEX('Per Line'!$C$2:$C$3001,$W272)&amp;"")</f>
        <v/>
      </c>
      <c r="D272">
        <f>IF($W272="","",IF(OR(TRIM(E272)="Orient Insurance Company",TRIM(E272)="Allianz"),TRIM(E272),TRIM(F272)))</f>
        <v/>
      </c>
      <c r="E272">
        <f>IF($W272="","",INDEX('Per Line'!$E$2:$E$3001,$W272)&amp;"")</f>
        <v/>
      </c>
      <c r="F272">
        <f>IF($W272="","",INDEX('Per Line'!$D$2:$D$3001,$W272)&amp;"")</f>
        <v/>
      </c>
      <c r="G272">
        <f>IF($W272="","",INDEX('Per Line'!$F$2:$F$3001,$W272)&amp;"")</f>
        <v/>
      </c>
      <c r="H272">
        <f>IF($W272="","",INDEX('Per Line'!$G$2:$G$3001,$W272)&amp;"")</f>
        <v/>
      </c>
      <c r="I272">
        <f>IF($W272="","",INDEX('Per Line'!$H$2:$H$3001,$W272)&amp;"")</f>
        <v/>
      </c>
      <c r="J272">
        <f>IF($W272="","",INDEX('Per Line'!$I$2:$I$3001,$W272))</f>
        <v/>
      </c>
      <c r="K272" s="7">
        <f>IF($W272="","",J272*T272/100)</f>
        <v/>
      </c>
      <c r="L272" s="14">
        <f>IF($W272="","",INDEX('Per Line'!$V$2:$V$3001,$W272))</f>
        <v/>
      </c>
      <c r="M272">
        <f>IF($W272="","",IF(ISNUMBER(SEARCH("3&amp;12",SUBSTITUTE(F272," ",""))),Settings!$G$7,Settings!$C$7))</f>
        <v/>
      </c>
      <c r="N272" s="7">
        <f>IF($W272="","",SUMIFS('Per Line'!$O$2:$O$3001,'Per Line'!$B$2:$B$3001,$B272,'Per Line'!$AB$2:$AB$3001,0))</f>
        <v/>
      </c>
      <c r="O272" s="7">
        <f>IF($W272="","",N272*M272)</f>
        <v/>
      </c>
      <c r="P272">
        <f>IF($W272="","",IF(ISNUMBER(SEARCH("3&amp;12",SUBSTITUTE(F272," ",""))),Settings!$G$6,Settings!$C$6))</f>
        <v/>
      </c>
      <c r="Q272" s="7">
        <f>IF($W272="","",SUMIFS('Per Line'!$O$2:$O$3001,'Per Line'!$B$2:$B$3001,$B272,'Per Line'!$AB$2:$AB$3001,1))</f>
        <v/>
      </c>
      <c r="R272" s="7">
        <f>IF($W272="","",Q272*P272)</f>
        <v/>
      </c>
      <c r="S272" s="7">
        <f>IF($W272="","",R272+O272)</f>
        <v/>
      </c>
      <c r="T272" s="7">
        <f>IF($W272="","",V272-S272)</f>
        <v/>
      </c>
      <c r="U272" s="7">
        <f>IF($W272="","",V272-S272-K272)</f>
        <v/>
      </c>
      <c r="V272" s="7">
        <f>IF($W272="","",N272+Q272)</f>
        <v/>
      </c>
      <c r="W272" s="16">
        <f>IF(ROWS($W$2:$W272)&lt;=MAX('Per Line'!$AA$2:$AA$3001),MATCH(ROWS($W$2:$W272),'Per Line'!$AA$2:$AA$3001,0),"")</f>
        <v/>
      </c>
      <c r="X272">
        <f>IF($W272="","",D272&amp;"|"&amp;COUNTIF($D$2:$D272,D272))</f>
        <v/>
      </c>
    </row>
    <row r="273">
      <c r="A273" s="15" t="n"/>
      <c r="B273">
        <f>IF($W273="","",INDEX('Per Line'!$B$2:$B$3001,$W273)&amp;"")</f>
        <v/>
      </c>
      <c r="C273">
        <f>IF($W273="","",INDEX('Per Line'!$C$2:$C$3001,$W273)&amp;"")</f>
        <v/>
      </c>
      <c r="D273">
        <f>IF($W273="","",IF(OR(TRIM(E273)="Orient Insurance Company",TRIM(E273)="Allianz"),TRIM(E273),TRIM(F273)))</f>
        <v/>
      </c>
      <c r="E273">
        <f>IF($W273="","",INDEX('Per Line'!$E$2:$E$3001,$W273)&amp;"")</f>
        <v/>
      </c>
      <c r="F273">
        <f>IF($W273="","",INDEX('Per Line'!$D$2:$D$3001,$W273)&amp;"")</f>
        <v/>
      </c>
      <c r="G273">
        <f>IF($W273="","",INDEX('Per Line'!$F$2:$F$3001,$W273)&amp;"")</f>
        <v/>
      </c>
      <c r="H273">
        <f>IF($W273="","",INDEX('Per Line'!$G$2:$G$3001,$W273)&amp;"")</f>
        <v/>
      </c>
      <c r="I273">
        <f>IF($W273="","",INDEX('Per Line'!$H$2:$H$3001,$W273)&amp;"")</f>
        <v/>
      </c>
      <c r="J273">
        <f>IF($W273="","",INDEX('Per Line'!$I$2:$I$3001,$W273))</f>
        <v/>
      </c>
      <c r="K273" s="7">
        <f>IF($W273="","",J273*T273/100)</f>
        <v/>
      </c>
      <c r="L273" s="14">
        <f>IF($W273="","",INDEX('Per Line'!$V$2:$V$3001,$W273))</f>
        <v/>
      </c>
      <c r="M273">
        <f>IF($W273="","",IF(ISNUMBER(SEARCH("3&amp;12",SUBSTITUTE(F273," ",""))),Settings!$G$7,Settings!$C$7))</f>
        <v/>
      </c>
      <c r="N273" s="7">
        <f>IF($W273="","",SUMIFS('Per Line'!$O$2:$O$3001,'Per Line'!$B$2:$B$3001,$B273,'Per Line'!$AB$2:$AB$3001,0))</f>
        <v/>
      </c>
      <c r="O273" s="7">
        <f>IF($W273="","",N273*M273)</f>
        <v/>
      </c>
      <c r="P273">
        <f>IF($W273="","",IF(ISNUMBER(SEARCH("3&amp;12",SUBSTITUTE(F273," ",""))),Settings!$G$6,Settings!$C$6))</f>
        <v/>
      </c>
      <c r="Q273" s="7">
        <f>IF($W273="","",SUMIFS('Per Line'!$O$2:$O$3001,'Per Line'!$B$2:$B$3001,$B273,'Per Line'!$AB$2:$AB$3001,1))</f>
        <v/>
      </c>
      <c r="R273" s="7">
        <f>IF($W273="","",Q273*P273)</f>
        <v/>
      </c>
      <c r="S273" s="7">
        <f>IF($W273="","",R273+O273)</f>
        <v/>
      </c>
      <c r="T273" s="7">
        <f>IF($W273="","",V273-S273)</f>
        <v/>
      </c>
      <c r="U273" s="7">
        <f>IF($W273="","",V273-S273-K273)</f>
        <v/>
      </c>
      <c r="V273" s="7">
        <f>IF($W273="","",N273+Q273)</f>
        <v/>
      </c>
      <c r="W273" s="16">
        <f>IF(ROWS($W$2:$W273)&lt;=MAX('Per Line'!$AA$2:$AA$3001),MATCH(ROWS($W$2:$W273),'Per Line'!$AA$2:$AA$3001,0),"")</f>
        <v/>
      </c>
      <c r="X273">
        <f>IF($W273="","",D273&amp;"|"&amp;COUNTIF($D$2:$D273,D273))</f>
        <v/>
      </c>
    </row>
    <row r="274">
      <c r="A274" s="15" t="n"/>
      <c r="B274">
        <f>IF($W274="","",INDEX('Per Line'!$B$2:$B$3001,$W274)&amp;"")</f>
        <v/>
      </c>
      <c r="C274">
        <f>IF($W274="","",INDEX('Per Line'!$C$2:$C$3001,$W274)&amp;"")</f>
        <v/>
      </c>
      <c r="D274">
        <f>IF($W274="","",IF(OR(TRIM(E274)="Orient Insurance Company",TRIM(E274)="Allianz"),TRIM(E274),TRIM(F274)))</f>
        <v/>
      </c>
      <c r="E274">
        <f>IF($W274="","",INDEX('Per Line'!$E$2:$E$3001,$W274)&amp;"")</f>
        <v/>
      </c>
      <c r="F274">
        <f>IF($W274="","",INDEX('Per Line'!$D$2:$D$3001,$W274)&amp;"")</f>
        <v/>
      </c>
      <c r="G274">
        <f>IF($W274="","",INDEX('Per Line'!$F$2:$F$3001,$W274)&amp;"")</f>
        <v/>
      </c>
      <c r="H274">
        <f>IF($W274="","",INDEX('Per Line'!$G$2:$G$3001,$W274)&amp;"")</f>
        <v/>
      </c>
      <c r="I274">
        <f>IF($W274="","",INDEX('Per Line'!$H$2:$H$3001,$W274)&amp;"")</f>
        <v/>
      </c>
      <c r="J274">
        <f>IF($W274="","",INDEX('Per Line'!$I$2:$I$3001,$W274))</f>
        <v/>
      </c>
      <c r="K274" s="7">
        <f>IF($W274="","",J274*T274/100)</f>
        <v/>
      </c>
      <c r="L274" s="14">
        <f>IF($W274="","",INDEX('Per Line'!$V$2:$V$3001,$W274))</f>
        <v/>
      </c>
      <c r="M274">
        <f>IF($W274="","",IF(ISNUMBER(SEARCH("3&amp;12",SUBSTITUTE(F274," ",""))),Settings!$G$7,Settings!$C$7))</f>
        <v/>
      </c>
      <c r="N274" s="7">
        <f>IF($W274="","",SUMIFS('Per Line'!$O$2:$O$3001,'Per Line'!$B$2:$B$3001,$B274,'Per Line'!$AB$2:$AB$3001,0))</f>
        <v/>
      </c>
      <c r="O274" s="7">
        <f>IF($W274="","",N274*M274)</f>
        <v/>
      </c>
      <c r="P274">
        <f>IF($W274="","",IF(ISNUMBER(SEARCH("3&amp;12",SUBSTITUTE(F274," ",""))),Settings!$G$6,Settings!$C$6))</f>
        <v/>
      </c>
      <c r="Q274" s="7">
        <f>IF($W274="","",SUMIFS('Per Line'!$O$2:$O$3001,'Per Line'!$B$2:$B$3001,$B274,'Per Line'!$AB$2:$AB$3001,1))</f>
        <v/>
      </c>
      <c r="R274" s="7">
        <f>IF($W274="","",Q274*P274)</f>
        <v/>
      </c>
      <c r="S274" s="7">
        <f>IF($W274="","",R274+O274)</f>
        <v/>
      </c>
      <c r="T274" s="7">
        <f>IF($W274="","",V274-S274)</f>
        <v/>
      </c>
      <c r="U274" s="7">
        <f>IF($W274="","",V274-S274-K274)</f>
        <v/>
      </c>
      <c r="V274" s="7">
        <f>IF($W274="","",N274+Q274)</f>
        <v/>
      </c>
      <c r="W274" s="16">
        <f>IF(ROWS($W$2:$W274)&lt;=MAX('Per Line'!$AA$2:$AA$3001),MATCH(ROWS($W$2:$W274),'Per Line'!$AA$2:$AA$3001,0),"")</f>
        <v/>
      </c>
      <c r="X274">
        <f>IF($W274="","",D274&amp;"|"&amp;COUNTIF($D$2:$D274,D274))</f>
        <v/>
      </c>
    </row>
    <row r="275">
      <c r="A275" s="15" t="n"/>
      <c r="B275">
        <f>IF($W275="","",INDEX('Per Line'!$B$2:$B$3001,$W275)&amp;"")</f>
        <v/>
      </c>
      <c r="C275">
        <f>IF($W275="","",INDEX('Per Line'!$C$2:$C$3001,$W275)&amp;"")</f>
        <v/>
      </c>
      <c r="D275">
        <f>IF($W275="","",IF(OR(TRIM(E275)="Orient Insurance Company",TRIM(E275)="Allianz"),TRIM(E275),TRIM(F275)))</f>
        <v/>
      </c>
      <c r="E275">
        <f>IF($W275="","",INDEX('Per Line'!$E$2:$E$3001,$W275)&amp;"")</f>
        <v/>
      </c>
      <c r="F275">
        <f>IF($W275="","",INDEX('Per Line'!$D$2:$D$3001,$W275)&amp;"")</f>
        <v/>
      </c>
      <c r="G275">
        <f>IF($W275="","",INDEX('Per Line'!$F$2:$F$3001,$W275)&amp;"")</f>
        <v/>
      </c>
      <c r="H275">
        <f>IF($W275="","",INDEX('Per Line'!$G$2:$G$3001,$W275)&amp;"")</f>
        <v/>
      </c>
      <c r="I275">
        <f>IF($W275="","",INDEX('Per Line'!$H$2:$H$3001,$W275)&amp;"")</f>
        <v/>
      </c>
      <c r="J275">
        <f>IF($W275="","",INDEX('Per Line'!$I$2:$I$3001,$W275))</f>
        <v/>
      </c>
      <c r="K275" s="7">
        <f>IF($W275="","",J275*T275/100)</f>
        <v/>
      </c>
      <c r="L275" s="14">
        <f>IF($W275="","",INDEX('Per Line'!$V$2:$V$3001,$W275))</f>
        <v/>
      </c>
      <c r="M275">
        <f>IF($W275="","",IF(ISNUMBER(SEARCH("3&amp;12",SUBSTITUTE(F275," ",""))),Settings!$G$7,Settings!$C$7))</f>
        <v/>
      </c>
      <c r="N275" s="7">
        <f>IF($W275="","",SUMIFS('Per Line'!$O$2:$O$3001,'Per Line'!$B$2:$B$3001,$B275,'Per Line'!$AB$2:$AB$3001,0))</f>
        <v/>
      </c>
      <c r="O275" s="7">
        <f>IF($W275="","",N275*M275)</f>
        <v/>
      </c>
      <c r="P275">
        <f>IF($W275="","",IF(ISNUMBER(SEARCH("3&amp;12",SUBSTITUTE(F275," ",""))),Settings!$G$6,Settings!$C$6))</f>
        <v/>
      </c>
      <c r="Q275" s="7">
        <f>IF($W275="","",SUMIFS('Per Line'!$O$2:$O$3001,'Per Line'!$B$2:$B$3001,$B275,'Per Line'!$AB$2:$AB$3001,1))</f>
        <v/>
      </c>
      <c r="R275" s="7">
        <f>IF($W275="","",Q275*P275)</f>
        <v/>
      </c>
      <c r="S275" s="7">
        <f>IF($W275="","",R275+O275)</f>
        <v/>
      </c>
      <c r="T275" s="7">
        <f>IF($W275="","",V275-S275)</f>
        <v/>
      </c>
      <c r="U275" s="7">
        <f>IF($W275="","",V275-S275-K275)</f>
        <v/>
      </c>
      <c r="V275" s="7">
        <f>IF($W275="","",N275+Q275)</f>
        <v/>
      </c>
      <c r="W275" s="16">
        <f>IF(ROWS($W$2:$W275)&lt;=MAX('Per Line'!$AA$2:$AA$3001),MATCH(ROWS($W$2:$W275),'Per Line'!$AA$2:$AA$3001,0),"")</f>
        <v/>
      </c>
      <c r="X275">
        <f>IF($W275="","",D275&amp;"|"&amp;COUNTIF($D$2:$D275,D275))</f>
        <v/>
      </c>
    </row>
    <row r="276">
      <c r="A276" s="15" t="n"/>
      <c r="B276">
        <f>IF($W276="","",INDEX('Per Line'!$B$2:$B$3001,$W276)&amp;"")</f>
        <v/>
      </c>
      <c r="C276">
        <f>IF($W276="","",INDEX('Per Line'!$C$2:$C$3001,$W276)&amp;"")</f>
        <v/>
      </c>
      <c r="D276">
        <f>IF($W276="","",IF(OR(TRIM(E276)="Orient Insurance Company",TRIM(E276)="Allianz"),TRIM(E276),TRIM(F276)))</f>
        <v/>
      </c>
      <c r="E276">
        <f>IF($W276="","",INDEX('Per Line'!$E$2:$E$3001,$W276)&amp;"")</f>
        <v/>
      </c>
      <c r="F276">
        <f>IF($W276="","",INDEX('Per Line'!$D$2:$D$3001,$W276)&amp;"")</f>
        <v/>
      </c>
      <c r="G276">
        <f>IF($W276="","",INDEX('Per Line'!$F$2:$F$3001,$W276)&amp;"")</f>
        <v/>
      </c>
      <c r="H276">
        <f>IF($W276="","",INDEX('Per Line'!$G$2:$G$3001,$W276)&amp;"")</f>
        <v/>
      </c>
      <c r="I276">
        <f>IF($W276="","",INDEX('Per Line'!$H$2:$H$3001,$W276)&amp;"")</f>
        <v/>
      </c>
      <c r="J276">
        <f>IF($W276="","",INDEX('Per Line'!$I$2:$I$3001,$W276))</f>
        <v/>
      </c>
      <c r="K276" s="7">
        <f>IF($W276="","",J276*T276/100)</f>
        <v/>
      </c>
      <c r="L276" s="14">
        <f>IF($W276="","",INDEX('Per Line'!$V$2:$V$3001,$W276))</f>
        <v/>
      </c>
      <c r="M276">
        <f>IF($W276="","",IF(ISNUMBER(SEARCH("3&amp;12",SUBSTITUTE(F276," ",""))),Settings!$G$7,Settings!$C$7))</f>
        <v/>
      </c>
      <c r="N276" s="7">
        <f>IF($W276="","",SUMIFS('Per Line'!$O$2:$O$3001,'Per Line'!$B$2:$B$3001,$B276,'Per Line'!$AB$2:$AB$3001,0))</f>
        <v/>
      </c>
      <c r="O276" s="7">
        <f>IF($W276="","",N276*M276)</f>
        <v/>
      </c>
      <c r="P276">
        <f>IF($W276="","",IF(ISNUMBER(SEARCH("3&amp;12",SUBSTITUTE(F276," ",""))),Settings!$G$6,Settings!$C$6))</f>
        <v/>
      </c>
      <c r="Q276" s="7">
        <f>IF($W276="","",SUMIFS('Per Line'!$O$2:$O$3001,'Per Line'!$B$2:$B$3001,$B276,'Per Line'!$AB$2:$AB$3001,1))</f>
        <v/>
      </c>
      <c r="R276" s="7">
        <f>IF($W276="","",Q276*P276)</f>
        <v/>
      </c>
      <c r="S276" s="7">
        <f>IF($W276="","",R276+O276)</f>
        <v/>
      </c>
      <c r="T276" s="7">
        <f>IF($W276="","",V276-S276)</f>
        <v/>
      </c>
      <c r="U276" s="7">
        <f>IF($W276="","",V276-S276-K276)</f>
        <v/>
      </c>
      <c r="V276" s="7">
        <f>IF($W276="","",N276+Q276)</f>
        <v/>
      </c>
      <c r="W276" s="16">
        <f>IF(ROWS($W$2:$W276)&lt;=MAX('Per Line'!$AA$2:$AA$3001),MATCH(ROWS($W$2:$W276),'Per Line'!$AA$2:$AA$3001,0),"")</f>
        <v/>
      </c>
      <c r="X276">
        <f>IF($W276="","",D276&amp;"|"&amp;COUNTIF($D$2:$D276,D276))</f>
        <v/>
      </c>
    </row>
    <row r="277">
      <c r="A277" s="15" t="n"/>
      <c r="B277">
        <f>IF($W277="","",INDEX('Per Line'!$B$2:$B$3001,$W277)&amp;"")</f>
        <v/>
      </c>
      <c r="C277">
        <f>IF($W277="","",INDEX('Per Line'!$C$2:$C$3001,$W277)&amp;"")</f>
        <v/>
      </c>
      <c r="D277">
        <f>IF($W277="","",IF(OR(TRIM(E277)="Orient Insurance Company",TRIM(E277)="Allianz"),TRIM(E277),TRIM(F277)))</f>
        <v/>
      </c>
      <c r="E277">
        <f>IF($W277="","",INDEX('Per Line'!$E$2:$E$3001,$W277)&amp;"")</f>
        <v/>
      </c>
      <c r="F277">
        <f>IF($W277="","",INDEX('Per Line'!$D$2:$D$3001,$W277)&amp;"")</f>
        <v/>
      </c>
      <c r="G277">
        <f>IF($W277="","",INDEX('Per Line'!$F$2:$F$3001,$W277)&amp;"")</f>
        <v/>
      </c>
      <c r="H277">
        <f>IF($W277="","",INDEX('Per Line'!$G$2:$G$3001,$W277)&amp;"")</f>
        <v/>
      </c>
      <c r="I277">
        <f>IF($W277="","",INDEX('Per Line'!$H$2:$H$3001,$W277)&amp;"")</f>
        <v/>
      </c>
      <c r="J277">
        <f>IF($W277="","",INDEX('Per Line'!$I$2:$I$3001,$W277))</f>
        <v/>
      </c>
      <c r="K277" s="7">
        <f>IF($W277="","",J277*T277/100)</f>
        <v/>
      </c>
      <c r="L277" s="14">
        <f>IF($W277="","",INDEX('Per Line'!$V$2:$V$3001,$W277))</f>
        <v/>
      </c>
      <c r="M277">
        <f>IF($W277="","",IF(ISNUMBER(SEARCH("3&amp;12",SUBSTITUTE(F277," ",""))),Settings!$G$7,Settings!$C$7))</f>
        <v/>
      </c>
      <c r="N277" s="7">
        <f>IF($W277="","",SUMIFS('Per Line'!$O$2:$O$3001,'Per Line'!$B$2:$B$3001,$B277,'Per Line'!$AB$2:$AB$3001,0))</f>
        <v/>
      </c>
      <c r="O277" s="7">
        <f>IF($W277="","",N277*M277)</f>
        <v/>
      </c>
      <c r="P277">
        <f>IF($W277="","",IF(ISNUMBER(SEARCH("3&amp;12",SUBSTITUTE(F277," ",""))),Settings!$G$6,Settings!$C$6))</f>
        <v/>
      </c>
      <c r="Q277" s="7">
        <f>IF($W277="","",SUMIFS('Per Line'!$O$2:$O$3001,'Per Line'!$B$2:$B$3001,$B277,'Per Line'!$AB$2:$AB$3001,1))</f>
        <v/>
      </c>
      <c r="R277" s="7">
        <f>IF($W277="","",Q277*P277)</f>
        <v/>
      </c>
      <c r="S277" s="7">
        <f>IF($W277="","",R277+O277)</f>
        <v/>
      </c>
      <c r="T277" s="7">
        <f>IF($W277="","",V277-S277)</f>
        <v/>
      </c>
      <c r="U277" s="7">
        <f>IF($W277="","",V277-S277-K277)</f>
        <v/>
      </c>
      <c r="V277" s="7">
        <f>IF($W277="","",N277+Q277)</f>
        <v/>
      </c>
      <c r="W277" s="16">
        <f>IF(ROWS($W$2:$W277)&lt;=MAX('Per Line'!$AA$2:$AA$3001),MATCH(ROWS($W$2:$W277),'Per Line'!$AA$2:$AA$3001,0),"")</f>
        <v/>
      </c>
      <c r="X277">
        <f>IF($W277="","",D277&amp;"|"&amp;COUNTIF($D$2:$D277,D277))</f>
        <v/>
      </c>
    </row>
    <row r="278">
      <c r="A278" s="15" t="n"/>
      <c r="B278">
        <f>IF($W278="","",INDEX('Per Line'!$B$2:$B$3001,$W278)&amp;"")</f>
        <v/>
      </c>
      <c r="C278">
        <f>IF($W278="","",INDEX('Per Line'!$C$2:$C$3001,$W278)&amp;"")</f>
        <v/>
      </c>
      <c r="D278">
        <f>IF($W278="","",IF(OR(TRIM(E278)="Orient Insurance Company",TRIM(E278)="Allianz"),TRIM(E278),TRIM(F278)))</f>
        <v/>
      </c>
      <c r="E278">
        <f>IF($W278="","",INDEX('Per Line'!$E$2:$E$3001,$W278)&amp;"")</f>
        <v/>
      </c>
      <c r="F278">
        <f>IF($W278="","",INDEX('Per Line'!$D$2:$D$3001,$W278)&amp;"")</f>
        <v/>
      </c>
      <c r="G278">
        <f>IF($W278="","",INDEX('Per Line'!$F$2:$F$3001,$W278)&amp;"")</f>
        <v/>
      </c>
      <c r="H278">
        <f>IF($W278="","",INDEX('Per Line'!$G$2:$G$3001,$W278)&amp;"")</f>
        <v/>
      </c>
      <c r="I278">
        <f>IF($W278="","",INDEX('Per Line'!$H$2:$H$3001,$W278)&amp;"")</f>
        <v/>
      </c>
      <c r="J278">
        <f>IF($W278="","",INDEX('Per Line'!$I$2:$I$3001,$W278))</f>
        <v/>
      </c>
      <c r="K278" s="7">
        <f>IF($W278="","",J278*T278/100)</f>
        <v/>
      </c>
      <c r="L278" s="14">
        <f>IF($W278="","",INDEX('Per Line'!$V$2:$V$3001,$W278))</f>
        <v/>
      </c>
      <c r="M278">
        <f>IF($W278="","",IF(ISNUMBER(SEARCH("3&amp;12",SUBSTITUTE(F278," ",""))),Settings!$G$7,Settings!$C$7))</f>
        <v/>
      </c>
      <c r="N278" s="7">
        <f>IF($W278="","",SUMIFS('Per Line'!$O$2:$O$3001,'Per Line'!$B$2:$B$3001,$B278,'Per Line'!$AB$2:$AB$3001,0))</f>
        <v/>
      </c>
      <c r="O278" s="7">
        <f>IF($W278="","",N278*M278)</f>
        <v/>
      </c>
      <c r="P278">
        <f>IF($W278="","",IF(ISNUMBER(SEARCH("3&amp;12",SUBSTITUTE(F278," ",""))),Settings!$G$6,Settings!$C$6))</f>
        <v/>
      </c>
      <c r="Q278" s="7">
        <f>IF($W278="","",SUMIFS('Per Line'!$O$2:$O$3001,'Per Line'!$B$2:$B$3001,$B278,'Per Line'!$AB$2:$AB$3001,1))</f>
        <v/>
      </c>
      <c r="R278" s="7">
        <f>IF($W278="","",Q278*P278)</f>
        <v/>
      </c>
      <c r="S278" s="7">
        <f>IF($W278="","",R278+O278)</f>
        <v/>
      </c>
      <c r="T278" s="7">
        <f>IF($W278="","",V278-S278)</f>
        <v/>
      </c>
      <c r="U278" s="7">
        <f>IF($W278="","",V278-S278-K278)</f>
        <v/>
      </c>
      <c r="V278" s="7">
        <f>IF($W278="","",N278+Q278)</f>
        <v/>
      </c>
      <c r="W278" s="16">
        <f>IF(ROWS($W$2:$W278)&lt;=MAX('Per Line'!$AA$2:$AA$3001),MATCH(ROWS($W$2:$W278),'Per Line'!$AA$2:$AA$3001,0),"")</f>
        <v/>
      </c>
      <c r="X278">
        <f>IF($W278="","",D278&amp;"|"&amp;COUNTIF($D$2:$D278,D278))</f>
        <v/>
      </c>
    </row>
    <row r="279">
      <c r="A279" s="15" t="n"/>
      <c r="B279">
        <f>IF($W279="","",INDEX('Per Line'!$B$2:$B$3001,$W279)&amp;"")</f>
        <v/>
      </c>
      <c r="C279">
        <f>IF($W279="","",INDEX('Per Line'!$C$2:$C$3001,$W279)&amp;"")</f>
        <v/>
      </c>
      <c r="D279">
        <f>IF($W279="","",IF(OR(TRIM(E279)="Orient Insurance Company",TRIM(E279)="Allianz"),TRIM(E279),TRIM(F279)))</f>
        <v/>
      </c>
      <c r="E279">
        <f>IF($W279="","",INDEX('Per Line'!$E$2:$E$3001,$W279)&amp;"")</f>
        <v/>
      </c>
      <c r="F279">
        <f>IF($W279="","",INDEX('Per Line'!$D$2:$D$3001,$W279)&amp;"")</f>
        <v/>
      </c>
      <c r="G279">
        <f>IF($W279="","",INDEX('Per Line'!$F$2:$F$3001,$W279)&amp;"")</f>
        <v/>
      </c>
      <c r="H279">
        <f>IF($W279="","",INDEX('Per Line'!$G$2:$G$3001,$W279)&amp;"")</f>
        <v/>
      </c>
      <c r="I279">
        <f>IF($W279="","",INDEX('Per Line'!$H$2:$H$3001,$W279)&amp;"")</f>
        <v/>
      </c>
      <c r="J279">
        <f>IF($W279="","",INDEX('Per Line'!$I$2:$I$3001,$W279))</f>
        <v/>
      </c>
      <c r="K279" s="7">
        <f>IF($W279="","",J279*T279/100)</f>
        <v/>
      </c>
      <c r="L279" s="14">
        <f>IF($W279="","",INDEX('Per Line'!$V$2:$V$3001,$W279))</f>
        <v/>
      </c>
      <c r="M279">
        <f>IF($W279="","",IF(ISNUMBER(SEARCH("3&amp;12",SUBSTITUTE(F279," ",""))),Settings!$G$7,Settings!$C$7))</f>
        <v/>
      </c>
      <c r="N279" s="7">
        <f>IF($W279="","",SUMIFS('Per Line'!$O$2:$O$3001,'Per Line'!$B$2:$B$3001,$B279,'Per Line'!$AB$2:$AB$3001,0))</f>
        <v/>
      </c>
      <c r="O279" s="7">
        <f>IF($W279="","",N279*M279)</f>
        <v/>
      </c>
      <c r="P279">
        <f>IF($W279="","",IF(ISNUMBER(SEARCH("3&amp;12",SUBSTITUTE(F279," ",""))),Settings!$G$6,Settings!$C$6))</f>
        <v/>
      </c>
      <c r="Q279" s="7">
        <f>IF($W279="","",SUMIFS('Per Line'!$O$2:$O$3001,'Per Line'!$B$2:$B$3001,$B279,'Per Line'!$AB$2:$AB$3001,1))</f>
        <v/>
      </c>
      <c r="R279" s="7">
        <f>IF($W279="","",Q279*P279)</f>
        <v/>
      </c>
      <c r="S279" s="7">
        <f>IF($W279="","",R279+O279)</f>
        <v/>
      </c>
      <c r="T279" s="7">
        <f>IF($W279="","",V279-S279)</f>
        <v/>
      </c>
      <c r="U279" s="7">
        <f>IF($W279="","",V279-S279-K279)</f>
        <v/>
      </c>
      <c r="V279" s="7">
        <f>IF($W279="","",N279+Q279)</f>
        <v/>
      </c>
      <c r="W279" s="16">
        <f>IF(ROWS($W$2:$W279)&lt;=MAX('Per Line'!$AA$2:$AA$3001),MATCH(ROWS($W$2:$W279),'Per Line'!$AA$2:$AA$3001,0),"")</f>
        <v/>
      </c>
      <c r="X279">
        <f>IF($W279="","",D279&amp;"|"&amp;COUNTIF($D$2:$D279,D279))</f>
        <v/>
      </c>
    </row>
    <row r="280">
      <c r="A280" s="15" t="n"/>
      <c r="B280">
        <f>IF($W280="","",INDEX('Per Line'!$B$2:$B$3001,$W280)&amp;"")</f>
        <v/>
      </c>
      <c r="C280">
        <f>IF($W280="","",INDEX('Per Line'!$C$2:$C$3001,$W280)&amp;"")</f>
        <v/>
      </c>
      <c r="D280">
        <f>IF($W280="","",IF(OR(TRIM(E280)="Orient Insurance Company",TRIM(E280)="Allianz"),TRIM(E280),TRIM(F280)))</f>
        <v/>
      </c>
      <c r="E280">
        <f>IF($W280="","",INDEX('Per Line'!$E$2:$E$3001,$W280)&amp;"")</f>
        <v/>
      </c>
      <c r="F280">
        <f>IF($W280="","",INDEX('Per Line'!$D$2:$D$3001,$W280)&amp;"")</f>
        <v/>
      </c>
      <c r="G280">
        <f>IF($W280="","",INDEX('Per Line'!$F$2:$F$3001,$W280)&amp;"")</f>
        <v/>
      </c>
      <c r="H280">
        <f>IF($W280="","",INDEX('Per Line'!$G$2:$G$3001,$W280)&amp;"")</f>
        <v/>
      </c>
      <c r="I280">
        <f>IF($W280="","",INDEX('Per Line'!$H$2:$H$3001,$W280)&amp;"")</f>
        <v/>
      </c>
      <c r="J280">
        <f>IF($W280="","",INDEX('Per Line'!$I$2:$I$3001,$W280))</f>
        <v/>
      </c>
      <c r="K280" s="7">
        <f>IF($W280="","",J280*T280/100)</f>
        <v/>
      </c>
      <c r="L280" s="14">
        <f>IF($W280="","",INDEX('Per Line'!$V$2:$V$3001,$W280))</f>
        <v/>
      </c>
      <c r="M280">
        <f>IF($W280="","",IF(ISNUMBER(SEARCH("3&amp;12",SUBSTITUTE(F280," ",""))),Settings!$G$7,Settings!$C$7))</f>
        <v/>
      </c>
      <c r="N280" s="7">
        <f>IF($W280="","",SUMIFS('Per Line'!$O$2:$O$3001,'Per Line'!$B$2:$B$3001,$B280,'Per Line'!$AB$2:$AB$3001,0))</f>
        <v/>
      </c>
      <c r="O280" s="7">
        <f>IF($W280="","",N280*M280)</f>
        <v/>
      </c>
      <c r="P280">
        <f>IF($W280="","",IF(ISNUMBER(SEARCH("3&amp;12",SUBSTITUTE(F280," ",""))),Settings!$G$6,Settings!$C$6))</f>
        <v/>
      </c>
      <c r="Q280" s="7">
        <f>IF($W280="","",SUMIFS('Per Line'!$O$2:$O$3001,'Per Line'!$B$2:$B$3001,$B280,'Per Line'!$AB$2:$AB$3001,1))</f>
        <v/>
      </c>
      <c r="R280" s="7">
        <f>IF($W280="","",Q280*P280)</f>
        <v/>
      </c>
      <c r="S280" s="7">
        <f>IF($W280="","",R280+O280)</f>
        <v/>
      </c>
      <c r="T280" s="7">
        <f>IF($W280="","",V280-S280)</f>
        <v/>
      </c>
      <c r="U280" s="7">
        <f>IF($W280="","",V280-S280-K280)</f>
        <v/>
      </c>
      <c r="V280" s="7">
        <f>IF($W280="","",N280+Q280)</f>
        <v/>
      </c>
      <c r="W280" s="16">
        <f>IF(ROWS($W$2:$W280)&lt;=MAX('Per Line'!$AA$2:$AA$3001),MATCH(ROWS($W$2:$W280),'Per Line'!$AA$2:$AA$3001,0),"")</f>
        <v/>
      </c>
      <c r="X280">
        <f>IF($W280="","",D280&amp;"|"&amp;COUNTIF($D$2:$D280,D280))</f>
        <v/>
      </c>
    </row>
    <row r="281">
      <c r="A281" s="15" t="n"/>
      <c r="B281">
        <f>IF($W281="","",INDEX('Per Line'!$B$2:$B$3001,$W281)&amp;"")</f>
        <v/>
      </c>
      <c r="C281">
        <f>IF($W281="","",INDEX('Per Line'!$C$2:$C$3001,$W281)&amp;"")</f>
        <v/>
      </c>
      <c r="D281">
        <f>IF($W281="","",IF(OR(TRIM(E281)="Orient Insurance Company",TRIM(E281)="Allianz"),TRIM(E281),TRIM(F281)))</f>
        <v/>
      </c>
      <c r="E281">
        <f>IF($W281="","",INDEX('Per Line'!$E$2:$E$3001,$W281)&amp;"")</f>
        <v/>
      </c>
      <c r="F281">
        <f>IF($W281="","",INDEX('Per Line'!$D$2:$D$3001,$W281)&amp;"")</f>
        <v/>
      </c>
      <c r="G281">
        <f>IF($W281="","",INDEX('Per Line'!$F$2:$F$3001,$W281)&amp;"")</f>
        <v/>
      </c>
      <c r="H281">
        <f>IF($W281="","",INDEX('Per Line'!$G$2:$G$3001,$W281)&amp;"")</f>
        <v/>
      </c>
      <c r="I281">
        <f>IF($W281="","",INDEX('Per Line'!$H$2:$H$3001,$W281)&amp;"")</f>
        <v/>
      </c>
      <c r="J281">
        <f>IF($W281="","",INDEX('Per Line'!$I$2:$I$3001,$W281))</f>
        <v/>
      </c>
      <c r="K281" s="7">
        <f>IF($W281="","",J281*T281/100)</f>
        <v/>
      </c>
      <c r="L281" s="14">
        <f>IF($W281="","",INDEX('Per Line'!$V$2:$V$3001,$W281))</f>
        <v/>
      </c>
      <c r="M281">
        <f>IF($W281="","",IF(ISNUMBER(SEARCH("3&amp;12",SUBSTITUTE(F281," ",""))),Settings!$G$7,Settings!$C$7))</f>
        <v/>
      </c>
      <c r="N281" s="7">
        <f>IF($W281="","",SUMIFS('Per Line'!$O$2:$O$3001,'Per Line'!$B$2:$B$3001,$B281,'Per Line'!$AB$2:$AB$3001,0))</f>
        <v/>
      </c>
      <c r="O281" s="7">
        <f>IF($W281="","",N281*M281)</f>
        <v/>
      </c>
      <c r="P281">
        <f>IF($W281="","",IF(ISNUMBER(SEARCH("3&amp;12",SUBSTITUTE(F281," ",""))),Settings!$G$6,Settings!$C$6))</f>
        <v/>
      </c>
      <c r="Q281" s="7">
        <f>IF($W281="","",SUMIFS('Per Line'!$O$2:$O$3001,'Per Line'!$B$2:$B$3001,$B281,'Per Line'!$AB$2:$AB$3001,1))</f>
        <v/>
      </c>
      <c r="R281" s="7">
        <f>IF($W281="","",Q281*P281)</f>
        <v/>
      </c>
      <c r="S281" s="7">
        <f>IF($W281="","",R281+O281)</f>
        <v/>
      </c>
      <c r="T281" s="7">
        <f>IF($W281="","",V281-S281)</f>
        <v/>
      </c>
      <c r="U281" s="7">
        <f>IF($W281="","",V281-S281-K281)</f>
        <v/>
      </c>
      <c r="V281" s="7">
        <f>IF($W281="","",N281+Q281)</f>
        <v/>
      </c>
      <c r="W281" s="16">
        <f>IF(ROWS($W$2:$W281)&lt;=MAX('Per Line'!$AA$2:$AA$3001),MATCH(ROWS($W$2:$W281),'Per Line'!$AA$2:$AA$3001,0),"")</f>
        <v/>
      </c>
      <c r="X281">
        <f>IF($W281="","",D281&amp;"|"&amp;COUNTIF($D$2:$D281,D281))</f>
        <v/>
      </c>
    </row>
    <row r="282">
      <c r="A282" s="15" t="n"/>
      <c r="B282">
        <f>IF($W282="","",INDEX('Per Line'!$B$2:$B$3001,$W282)&amp;"")</f>
        <v/>
      </c>
      <c r="C282">
        <f>IF($W282="","",INDEX('Per Line'!$C$2:$C$3001,$W282)&amp;"")</f>
        <v/>
      </c>
      <c r="D282">
        <f>IF($W282="","",IF(OR(TRIM(E282)="Orient Insurance Company",TRIM(E282)="Allianz"),TRIM(E282),TRIM(F282)))</f>
        <v/>
      </c>
      <c r="E282">
        <f>IF($W282="","",INDEX('Per Line'!$E$2:$E$3001,$W282)&amp;"")</f>
        <v/>
      </c>
      <c r="F282">
        <f>IF($W282="","",INDEX('Per Line'!$D$2:$D$3001,$W282)&amp;"")</f>
        <v/>
      </c>
      <c r="G282">
        <f>IF($W282="","",INDEX('Per Line'!$F$2:$F$3001,$W282)&amp;"")</f>
        <v/>
      </c>
      <c r="H282">
        <f>IF($W282="","",INDEX('Per Line'!$G$2:$G$3001,$W282)&amp;"")</f>
        <v/>
      </c>
      <c r="I282">
        <f>IF($W282="","",INDEX('Per Line'!$H$2:$H$3001,$W282)&amp;"")</f>
        <v/>
      </c>
      <c r="J282">
        <f>IF($W282="","",INDEX('Per Line'!$I$2:$I$3001,$W282))</f>
        <v/>
      </c>
      <c r="K282" s="7">
        <f>IF($W282="","",J282*T282/100)</f>
        <v/>
      </c>
      <c r="L282" s="14">
        <f>IF($W282="","",INDEX('Per Line'!$V$2:$V$3001,$W282))</f>
        <v/>
      </c>
      <c r="M282">
        <f>IF($W282="","",IF(ISNUMBER(SEARCH("3&amp;12",SUBSTITUTE(F282," ",""))),Settings!$G$7,Settings!$C$7))</f>
        <v/>
      </c>
      <c r="N282" s="7">
        <f>IF($W282="","",SUMIFS('Per Line'!$O$2:$O$3001,'Per Line'!$B$2:$B$3001,$B282,'Per Line'!$AB$2:$AB$3001,0))</f>
        <v/>
      </c>
      <c r="O282" s="7">
        <f>IF($W282="","",N282*M282)</f>
        <v/>
      </c>
      <c r="P282">
        <f>IF($W282="","",IF(ISNUMBER(SEARCH("3&amp;12",SUBSTITUTE(F282," ",""))),Settings!$G$6,Settings!$C$6))</f>
        <v/>
      </c>
      <c r="Q282" s="7">
        <f>IF($W282="","",SUMIFS('Per Line'!$O$2:$O$3001,'Per Line'!$B$2:$B$3001,$B282,'Per Line'!$AB$2:$AB$3001,1))</f>
        <v/>
      </c>
      <c r="R282" s="7">
        <f>IF($W282="","",Q282*P282)</f>
        <v/>
      </c>
      <c r="S282" s="7">
        <f>IF($W282="","",R282+O282)</f>
        <v/>
      </c>
      <c r="T282" s="7">
        <f>IF($W282="","",V282-S282)</f>
        <v/>
      </c>
      <c r="U282" s="7">
        <f>IF($W282="","",V282-S282-K282)</f>
        <v/>
      </c>
      <c r="V282" s="7">
        <f>IF($W282="","",N282+Q282)</f>
        <v/>
      </c>
      <c r="W282" s="16">
        <f>IF(ROWS($W$2:$W282)&lt;=MAX('Per Line'!$AA$2:$AA$3001),MATCH(ROWS($W$2:$W282),'Per Line'!$AA$2:$AA$3001,0),"")</f>
        <v/>
      </c>
      <c r="X282">
        <f>IF($W282="","",D282&amp;"|"&amp;COUNTIF($D$2:$D282,D282))</f>
        <v/>
      </c>
    </row>
    <row r="283">
      <c r="A283" s="15" t="n"/>
      <c r="B283">
        <f>IF($W283="","",INDEX('Per Line'!$B$2:$B$3001,$W283)&amp;"")</f>
        <v/>
      </c>
      <c r="C283">
        <f>IF($W283="","",INDEX('Per Line'!$C$2:$C$3001,$W283)&amp;"")</f>
        <v/>
      </c>
      <c r="D283">
        <f>IF($W283="","",IF(OR(TRIM(E283)="Orient Insurance Company",TRIM(E283)="Allianz"),TRIM(E283),TRIM(F283)))</f>
        <v/>
      </c>
      <c r="E283">
        <f>IF($W283="","",INDEX('Per Line'!$E$2:$E$3001,$W283)&amp;"")</f>
        <v/>
      </c>
      <c r="F283">
        <f>IF($W283="","",INDEX('Per Line'!$D$2:$D$3001,$W283)&amp;"")</f>
        <v/>
      </c>
      <c r="G283">
        <f>IF($W283="","",INDEX('Per Line'!$F$2:$F$3001,$W283)&amp;"")</f>
        <v/>
      </c>
      <c r="H283">
        <f>IF($W283="","",INDEX('Per Line'!$G$2:$G$3001,$W283)&amp;"")</f>
        <v/>
      </c>
      <c r="I283">
        <f>IF($W283="","",INDEX('Per Line'!$H$2:$H$3001,$W283)&amp;"")</f>
        <v/>
      </c>
      <c r="J283">
        <f>IF($W283="","",INDEX('Per Line'!$I$2:$I$3001,$W283))</f>
        <v/>
      </c>
      <c r="K283" s="7">
        <f>IF($W283="","",J283*T283/100)</f>
        <v/>
      </c>
      <c r="L283" s="14">
        <f>IF($W283="","",INDEX('Per Line'!$V$2:$V$3001,$W283))</f>
        <v/>
      </c>
      <c r="M283">
        <f>IF($W283="","",IF(ISNUMBER(SEARCH("3&amp;12",SUBSTITUTE(F283," ",""))),Settings!$G$7,Settings!$C$7))</f>
        <v/>
      </c>
      <c r="N283" s="7">
        <f>IF($W283="","",SUMIFS('Per Line'!$O$2:$O$3001,'Per Line'!$B$2:$B$3001,$B283,'Per Line'!$AB$2:$AB$3001,0))</f>
        <v/>
      </c>
      <c r="O283" s="7">
        <f>IF($W283="","",N283*M283)</f>
        <v/>
      </c>
      <c r="P283">
        <f>IF($W283="","",IF(ISNUMBER(SEARCH("3&amp;12",SUBSTITUTE(F283," ",""))),Settings!$G$6,Settings!$C$6))</f>
        <v/>
      </c>
      <c r="Q283" s="7">
        <f>IF($W283="","",SUMIFS('Per Line'!$O$2:$O$3001,'Per Line'!$B$2:$B$3001,$B283,'Per Line'!$AB$2:$AB$3001,1))</f>
        <v/>
      </c>
      <c r="R283" s="7">
        <f>IF($W283="","",Q283*P283)</f>
        <v/>
      </c>
      <c r="S283" s="7">
        <f>IF($W283="","",R283+O283)</f>
        <v/>
      </c>
      <c r="T283" s="7">
        <f>IF($W283="","",V283-S283)</f>
        <v/>
      </c>
      <c r="U283" s="7">
        <f>IF($W283="","",V283-S283-K283)</f>
        <v/>
      </c>
      <c r="V283" s="7">
        <f>IF($W283="","",N283+Q283)</f>
        <v/>
      </c>
      <c r="W283" s="16">
        <f>IF(ROWS($W$2:$W283)&lt;=MAX('Per Line'!$AA$2:$AA$3001),MATCH(ROWS($W$2:$W283),'Per Line'!$AA$2:$AA$3001,0),"")</f>
        <v/>
      </c>
      <c r="X283">
        <f>IF($W283="","",D283&amp;"|"&amp;COUNTIF($D$2:$D283,D283))</f>
        <v/>
      </c>
    </row>
    <row r="284">
      <c r="A284" s="15" t="n"/>
      <c r="B284">
        <f>IF($W284="","",INDEX('Per Line'!$B$2:$B$3001,$W284)&amp;"")</f>
        <v/>
      </c>
      <c r="C284">
        <f>IF($W284="","",INDEX('Per Line'!$C$2:$C$3001,$W284)&amp;"")</f>
        <v/>
      </c>
      <c r="D284">
        <f>IF($W284="","",IF(OR(TRIM(E284)="Orient Insurance Company",TRIM(E284)="Allianz"),TRIM(E284),TRIM(F284)))</f>
        <v/>
      </c>
      <c r="E284">
        <f>IF($W284="","",INDEX('Per Line'!$E$2:$E$3001,$W284)&amp;"")</f>
        <v/>
      </c>
      <c r="F284">
        <f>IF($W284="","",INDEX('Per Line'!$D$2:$D$3001,$W284)&amp;"")</f>
        <v/>
      </c>
      <c r="G284">
        <f>IF($W284="","",INDEX('Per Line'!$F$2:$F$3001,$W284)&amp;"")</f>
        <v/>
      </c>
      <c r="H284">
        <f>IF($W284="","",INDEX('Per Line'!$G$2:$G$3001,$W284)&amp;"")</f>
        <v/>
      </c>
      <c r="I284">
        <f>IF($W284="","",INDEX('Per Line'!$H$2:$H$3001,$W284)&amp;"")</f>
        <v/>
      </c>
      <c r="J284">
        <f>IF($W284="","",INDEX('Per Line'!$I$2:$I$3001,$W284))</f>
        <v/>
      </c>
      <c r="K284" s="7">
        <f>IF($W284="","",J284*T284/100)</f>
        <v/>
      </c>
      <c r="L284" s="14">
        <f>IF($W284="","",INDEX('Per Line'!$V$2:$V$3001,$W284))</f>
        <v/>
      </c>
      <c r="M284">
        <f>IF($W284="","",IF(ISNUMBER(SEARCH("3&amp;12",SUBSTITUTE(F284," ",""))),Settings!$G$7,Settings!$C$7))</f>
        <v/>
      </c>
      <c r="N284" s="7">
        <f>IF($W284="","",SUMIFS('Per Line'!$O$2:$O$3001,'Per Line'!$B$2:$B$3001,$B284,'Per Line'!$AB$2:$AB$3001,0))</f>
        <v/>
      </c>
      <c r="O284" s="7">
        <f>IF($W284="","",N284*M284)</f>
        <v/>
      </c>
      <c r="P284">
        <f>IF($W284="","",IF(ISNUMBER(SEARCH("3&amp;12",SUBSTITUTE(F284," ",""))),Settings!$G$6,Settings!$C$6))</f>
        <v/>
      </c>
      <c r="Q284" s="7">
        <f>IF($W284="","",SUMIFS('Per Line'!$O$2:$O$3001,'Per Line'!$B$2:$B$3001,$B284,'Per Line'!$AB$2:$AB$3001,1))</f>
        <v/>
      </c>
      <c r="R284" s="7">
        <f>IF($W284="","",Q284*P284)</f>
        <v/>
      </c>
      <c r="S284" s="7">
        <f>IF($W284="","",R284+O284)</f>
        <v/>
      </c>
      <c r="T284" s="7">
        <f>IF($W284="","",V284-S284)</f>
        <v/>
      </c>
      <c r="U284" s="7">
        <f>IF($W284="","",V284-S284-K284)</f>
        <v/>
      </c>
      <c r="V284" s="7">
        <f>IF($W284="","",N284+Q284)</f>
        <v/>
      </c>
      <c r="W284" s="16">
        <f>IF(ROWS($W$2:$W284)&lt;=MAX('Per Line'!$AA$2:$AA$3001),MATCH(ROWS($W$2:$W284),'Per Line'!$AA$2:$AA$3001,0),"")</f>
        <v/>
      </c>
      <c r="X284">
        <f>IF($W284="","",D284&amp;"|"&amp;COUNTIF($D$2:$D284,D284))</f>
        <v/>
      </c>
    </row>
    <row r="285">
      <c r="A285" s="15" t="n"/>
      <c r="B285">
        <f>IF($W285="","",INDEX('Per Line'!$B$2:$B$3001,$W285)&amp;"")</f>
        <v/>
      </c>
      <c r="C285">
        <f>IF($W285="","",INDEX('Per Line'!$C$2:$C$3001,$W285)&amp;"")</f>
        <v/>
      </c>
      <c r="D285">
        <f>IF($W285="","",IF(OR(TRIM(E285)="Orient Insurance Company",TRIM(E285)="Allianz"),TRIM(E285),TRIM(F285)))</f>
        <v/>
      </c>
      <c r="E285">
        <f>IF($W285="","",INDEX('Per Line'!$E$2:$E$3001,$W285)&amp;"")</f>
        <v/>
      </c>
      <c r="F285">
        <f>IF($W285="","",INDEX('Per Line'!$D$2:$D$3001,$W285)&amp;"")</f>
        <v/>
      </c>
      <c r="G285">
        <f>IF($W285="","",INDEX('Per Line'!$F$2:$F$3001,$W285)&amp;"")</f>
        <v/>
      </c>
      <c r="H285">
        <f>IF($W285="","",INDEX('Per Line'!$G$2:$G$3001,$W285)&amp;"")</f>
        <v/>
      </c>
      <c r="I285">
        <f>IF($W285="","",INDEX('Per Line'!$H$2:$H$3001,$W285)&amp;"")</f>
        <v/>
      </c>
      <c r="J285">
        <f>IF($W285="","",INDEX('Per Line'!$I$2:$I$3001,$W285))</f>
        <v/>
      </c>
      <c r="K285" s="7">
        <f>IF($W285="","",J285*T285/100)</f>
        <v/>
      </c>
      <c r="L285" s="14">
        <f>IF($W285="","",INDEX('Per Line'!$V$2:$V$3001,$W285))</f>
        <v/>
      </c>
      <c r="M285">
        <f>IF($W285="","",IF(ISNUMBER(SEARCH("3&amp;12",SUBSTITUTE(F285," ",""))),Settings!$G$7,Settings!$C$7))</f>
        <v/>
      </c>
      <c r="N285" s="7">
        <f>IF($W285="","",SUMIFS('Per Line'!$O$2:$O$3001,'Per Line'!$B$2:$B$3001,$B285,'Per Line'!$AB$2:$AB$3001,0))</f>
        <v/>
      </c>
      <c r="O285" s="7">
        <f>IF($W285="","",N285*M285)</f>
        <v/>
      </c>
      <c r="P285">
        <f>IF($W285="","",IF(ISNUMBER(SEARCH("3&amp;12",SUBSTITUTE(F285," ",""))),Settings!$G$6,Settings!$C$6))</f>
        <v/>
      </c>
      <c r="Q285" s="7">
        <f>IF($W285="","",SUMIFS('Per Line'!$O$2:$O$3001,'Per Line'!$B$2:$B$3001,$B285,'Per Line'!$AB$2:$AB$3001,1))</f>
        <v/>
      </c>
      <c r="R285" s="7">
        <f>IF($W285="","",Q285*P285)</f>
        <v/>
      </c>
      <c r="S285" s="7">
        <f>IF($W285="","",R285+O285)</f>
        <v/>
      </c>
      <c r="T285" s="7">
        <f>IF($W285="","",V285-S285)</f>
        <v/>
      </c>
      <c r="U285" s="7">
        <f>IF($W285="","",V285-S285-K285)</f>
        <v/>
      </c>
      <c r="V285" s="7">
        <f>IF($W285="","",N285+Q285)</f>
        <v/>
      </c>
      <c r="W285" s="16">
        <f>IF(ROWS($W$2:$W285)&lt;=MAX('Per Line'!$AA$2:$AA$3001),MATCH(ROWS($W$2:$W285),'Per Line'!$AA$2:$AA$3001,0),"")</f>
        <v/>
      </c>
      <c r="X285">
        <f>IF($W285="","",D285&amp;"|"&amp;COUNTIF($D$2:$D285,D285))</f>
        <v/>
      </c>
    </row>
    <row r="286">
      <c r="A286" s="15" t="n"/>
      <c r="B286">
        <f>IF($W286="","",INDEX('Per Line'!$B$2:$B$3001,$W286)&amp;"")</f>
        <v/>
      </c>
      <c r="C286">
        <f>IF($W286="","",INDEX('Per Line'!$C$2:$C$3001,$W286)&amp;"")</f>
        <v/>
      </c>
      <c r="D286">
        <f>IF($W286="","",IF(OR(TRIM(E286)="Orient Insurance Company",TRIM(E286)="Allianz"),TRIM(E286),TRIM(F286)))</f>
        <v/>
      </c>
      <c r="E286">
        <f>IF($W286="","",INDEX('Per Line'!$E$2:$E$3001,$W286)&amp;"")</f>
        <v/>
      </c>
      <c r="F286">
        <f>IF($W286="","",INDEX('Per Line'!$D$2:$D$3001,$W286)&amp;"")</f>
        <v/>
      </c>
      <c r="G286">
        <f>IF($W286="","",INDEX('Per Line'!$F$2:$F$3001,$W286)&amp;"")</f>
        <v/>
      </c>
      <c r="H286">
        <f>IF($W286="","",INDEX('Per Line'!$G$2:$G$3001,$W286)&amp;"")</f>
        <v/>
      </c>
      <c r="I286">
        <f>IF($W286="","",INDEX('Per Line'!$H$2:$H$3001,$W286)&amp;"")</f>
        <v/>
      </c>
      <c r="J286">
        <f>IF($W286="","",INDEX('Per Line'!$I$2:$I$3001,$W286))</f>
        <v/>
      </c>
      <c r="K286" s="7">
        <f>IF($W286="","",J286*T286/100)</f>
        <v/>
      </c>
      <c r="L286" s="14">
        <f>IF($W286="","",INDEX('Per Line'!$V$2:$V$3001,$W286))</f>
        <v/>
      </c>
      <c r="M286">
        <f>IF($W286="","",IF(ISNUMBER(SEARCH("3&amp;12",SUBSTITUTE(F286," ",""))),Settings!$G$7,Settings!$C$7))</f>
        <v/>
      </c>
      <c r="N286" s="7">
        <f>IF($W286="","",SUMIFS('Per Line'!$O$2:$O$3001,'Per Line'!$B$2:$B$3001,$B286,'Per Line'!$AB$2:$AB$3001,0))</f>
        <v/>
      </c>
      <c r="O286" s="7">
        <f>IF($W286="","",N286*M286)</f>
        <v/>
      </c>
      <c r="P286">
        <f>IF($W286="","",IF(ISNUMBER(SEARCH("3&amp;12",SUBSTITUTE(F286," ",""))),Settings!$G$6,Settings!$C$6))</f>
        <v/>
      </c>
      <c r="Q286" s="7">
        <f>IF($W286="","",SUMIFS('Per Line'!$O$2:$O$3001,'Per Line'!$B$2:$B$3001,$B286,'Per Line'!$AB$2:$AB$3001,1))</f>
        <v/>
      </c>
      <c r="R286" s="7">
        <f>IF($W286="","",Q286*P286)</f>
        <v/>
      </c>
      <c r="S286" s="7">
        <f>IF($W286="","",R286+O286)</f>
        <v/>
      </c>
      <c r="T286" s="7">
        <f>IF($W286="","",V286-S286)</f>
        <v/>
      </c>
      <c r="U286" s="7">
        <f>IF($W286="","",V286-S286-K286)</f>
        <v/>
      </c>
      <c r="V286" s="7">
        <f>IF($W286="","",N286+Q286)</f>
        <v/>
      </c>
      <c r="W286" s="16">
        <f>IF(ROWS($W$2:$W286)&lt;=MAX('Per Line'!$AA$2:$AA$3001),MATCH(ROWS($W$2:$W286),'Per Line'!$AA$2:$AA$3001,0),"")</f>
        <v/>
      </c>
      <c r="X286">
        <f>IF($W286="","",D286&amp;"|"&amp;COUNTIF($D$2:$D286,D286))</f>
        <v/>
      </c>
    </row>
    <row r="287">
      <c r="A287" s="15" t="n"/>
      <c r="B287">
        <f>IF($W287="","",INDEX('Per Line'!$B$2:$B$3001,$W287)&amp;"")</f>
        <v/>
      </c>
      <c r="C287">
        <f>IF($W287="","",INDEX('Per Line'!$C$2:$C$3001,$W287)&amp;"")</f>
        <v/>
      </c>
      <c r="D287">
        <f>IF($W287="","",IF(OR(TRIM(E287)="Orient Insurance Company",TRIM(E287)="Allianz"),TRIM(E287),TRIM(F287)))</f>
        <v/>
      </c>
      <c r="E287">
        <f>IF($W287="","",INDEX('Per Line'!$E$2:$E$3001,$W287)&amp;"")</f>
        <v/>
      </c>
      <c r="F287">
        <f>IF($W287="","",INDEX('Per Line'!$D$2:$D$3001,$W287)&amp;"")</f>
        <v/>
      </c>
      <c r="G287">
        <f>IF($W287="","",INDEX('Per Line'!$F$2:$F$3001,$W287)&amp;"")</f>
        <v/>
      </c>
      <c r="H287">
        <f>IF($W287="","",INDEX('Per Line'!$G$2:$G$3001,$W287)&amp;"")</f>
        <v/>
      </c>
      <c r="I287">
        <f>IF($W287="","",INDEX('Per Line'!$H$2:$H$3001,$W287)&amp;"")</f>
        <v/>
      </c>
      <c r="J287">
        <f>IF($W287="","",INDEX('Per Line'!$I$2:$I$3001,$W287))</f>
        <v/>
      </c>
      <c r="K287" s="7">
        <f>IF($W287="","",J287*T287/100)</f>
        <v/>
      </c>
      <c r="L287" s="14">
        <f>IF($W287="","",INDEX('Per Line'!$V$2:$V$3001,$W287))</f>
        <v/>
      </c>
      <c r="M287">
        <f>IF($W287="","",IF(ISNUMBER(SEARCH("3&amp;12",SUBSTITUTE(F287," ",""))),Settings!$G$7,Settings!$C$7))</f>
        <v/>
      </c>
      <c r="N287" s="7">
        <f>IF($W287="","",SUMIFS('Per Line'!$O$2:$O$3001,'Per Line'!$B$2:$B$3001,$B287,'Per Line'!$AB$2:$AB$3001,0))</f>
        <v/>
      </c>
      <c r="O287" s="7">
        <f>IF($W287="","",N287*M287)</f>
        <v/>
      </c>
      <c r="P287">
        <f>IF($W287="","",IF(ISNUMBER(SEARCH("3&amp;12",SUBSTITUTE(F287," ",""))),Settings!$G$6,Settings!$C$6))</f>
        <v/>
      </c>
      <c r="Q287" s="7">
        <f>IF($W287="","",SUMIFS('Per Line'!$O$2:$O$3001,'Per Line'!$B$2:$B$3001,$B287,'Per Line'!$AB$2:$AB$3001,1))</f>
        <v/>
      </c>
      <c r="R287" s="7">
        <f>IF($W287="","",Q287*P287)</f>
        <v/>
      </c>
      <c r="S287" s="7">
        <f>IF($W287="","",R287+O287)</f>
        <v/>
      </c>
      <c r="T287" s="7">
        <f>IF($W287="","",V287-S287)</f>
        <v/>
      </c>
      <c r="U287" s="7">
        <f>IF($W287="","",V287-S287-K287)</f>
        <v/>
      </c>
      <c r="V287" s="7">
        <f>IF($W287="","",N287+Q287)</f>
        <v/>
      </c>
      <c r="W287" s="16">
        <f>IF(ROWS($W$2:$W287)&lt;=MAX('Per Line'!$AA$2:$AA$3001),MATCH(ROWS($W$2:$W287),'Per Line'!$AA$2:$AA$3001,0),"")</f>
        <v/>
      </c>
      <c r="X287">
        <f>IF($W287="","",D287&amp;"|"&amp;COUNTIF($D$2:$D287,D287))</f>
        <v/>
      </c>
    </row>
    <row r="288">
      <c r="A288" s="15" t="n"/>
      <c r="B288">
        <f>IF($W288="","",INDEX('Per Line'!$B$2:$B$3001,$W288)&amp;"")</f>
        <v/>
      </c>
      <c r="C288">
        <f>IF($W288="","",INDEX('Per Line'!$C$2:$C$3001,$W288)&amp;"")</f>
        <v/>
      </c>
      <c r="D288">
        <f>IF($W288="","",IF(OR(TRIM(E288)="Orient Insurance Company",TRIM(E288)="Allianz"),TRIM(E288),TRIM(F288)))</f>
        <v/>
      </c>
      <c r="E288">
        <f>IF($W288="","",INDEX('Per Line'!$E$2:$E$3001,$W288)&amp;"")</f>
        <v/>
      </c>
      <c r="F288">
        <f>IF($W288="","",INDEX('Per Line'!$D$2:$D$3001,$W288)&amp;"")</f>
        <v/>
      </c>
      <c r="G288">
        <f>IF($W288="","",INDEX('Per Line'!$F$2:$F$3001,$W288)&amp;"")</f>
        <v/>
      </c>
      <c r="H288">
        <f>IF($W288="","",INDEX('Per Line'!$G$2:$G$3001,$W288)&amp;"")</f>
        <v/>
      </c>
      <c r="I288">
        <f>IF($W288="","",INDEX('Per Line'!$H$2:$H$3001,$W288)&amp;"")</f>
        <v/>
      </c>
      <c r="J288">
        <f>IF($W288="","",INDEX('Per Line'!$I$2:$I$3001,$W288))</f>
        <v/>
      </c>
      <c r="K288" s="7">
        <f>IF($W288="","",J288*T288/100)</f>
        <v/>
      </c>
      <c r="L288" s="14">
        <f>IF($W288="","",INDEX('Per Line'!$V$2:$V$3001,$W288))</f>
        <v/>
      </c>
      <c r="M288">
        <f>IF($W288="","",IF(ISNUMBER(SEARCH("3&amp;12",SUBSTITUTE(F288," ",""))),Settings!$G$7,Settings!$C$7))</f>
        <v/>
      </c>
      <c r="N288" s="7">
        <f>IF($W288="","",SUMIFS('Per Line'!$O$2:$O$3001,'Per Line'!$B$2:$B$3001,$B288,'Per Line'!$AB$2:$AB$3001,0))</f>
        <v/>
      </c>
      <c r="O288" s="7">
        <f>IF($W288="","",N288*M288)</f>
        <v/>
      </c>
      <c r="P288">
        <f>IF($W288="","",IF(ISNUMBER(SEARCH("3&amp;12",SUBSTITUTE(F288," ",""))),Settings!$G$6,Settings!$C$6))</f>
        <v/>
      </c>
      <c r="Q288" s="7">
        <f>IF($W288="","",SUMIFS('Per Line'!$O$2:$O$3001,'Per Line'!$B$2:$B$3001,$B288,'Per Line'!$AB$2:$AB$3001,1))</f>
        <v/>
      </c>
      <c r="R288" s="7">
        <f>IF($W288="","",Q288*P288)</f>
        <v/>
      </c>
      <c r="S288" s="7">
        <f>IF($W288="","",R288+O288)</f>
        <v/>
      </c>
      <c r="T288" s="7">
        <f>IF($W288="","",V288-S288)</f>
        <v/>
      </c>
      <c r="U288" s="7">
        <f>IF($W288="","",V288-S288-K288)</f>
        <v/>
      </c>
      <c r="V288" s="7">
        <f>IF($W288="","",N288+Q288)</f>
        <v/>
      </c>
      <c r="W288" s="16">
        <f>IF(ROWS($W$2:$W288)&lt;=MAX('Per Line'!$AA$2:$AA$3001),MATCH(ROWS($W$2:$W288),'Per Line'!$AA$2:$AA$3001,0),"")</f>
        <v/>
      </c>
      <c r="X288">
        <f>IF($W288="","",D288&amp;"|"&amp;COUNTIF($D$2:$D288,D288))</f>
        <v/>
      </c>
    </row>
    <row r="289">
      <c r="A289" s="15" t="n"/>
      <c r="B289">
        <f>IF($W289="","",INDEX('Per Line'!$B$2:$B$3001,$W289)&amp;"")</f>
        <v/>
      </c>
      <c r="C289">
        <f>IF($W289="","",INDEX('Per Line'!$C$2:$C$3001,$W289)&amp;"")</f>
        <v/>
      </c>
      <c r="D289">
        <f>IF($W289="","",IF(OR(TRIM(E289)="Orient Insurance Company",TRIM(E289)="Allianz"),TRIM(E289),TRIM(F289)))</f>
        <v/>
      </c>
      <c r="E289">
        <f>IF($W289="","",INDEX('Per Line'!$E$2:$E$3001,$W289)&amp;"")</f>
        <v/>
      </c>
      <c r="F289">
        <f>IF($W289="","",INDEX('Per Line'!$D$2:$D$3001,$W289)&amp;"")</f>
        <v/>
      </c>
      <c r="G289">
        <f>IF($W289="","",INDEX('Per Line'!$F$2:$F$3001,$W289)&amp;"")</f>
        <v/>
      </c>
      <c r="H289">
        <f>IF($W289="","",INDEX('Per Line'!$G$2:$G$3001,$W289)&amp;"")</f>
        <v/>
      </c>
      <c r="I289">
        <f>IF($W289="","",INDEX('Per Line'!$H$2:$H$3001,$W289)&amp;"")</f>
        <v/>
      </c>
      <c r="J289">
        <f>IF($W289="","",INDEX('Per Line'!$I$2:$I$3001,$W289))</f>
        <v/>
      </c>
      <c r="K289" s="7">
        <f>IF($W289="","",J289*T289/100)</f>
        <v/>
      </c>
      <c r="L289" s="14">
        <f>IF($W289="","",INDEX('Per Line'!$V$2:$V$3001,$W289))</f>
        <v/>
      </c>
      <c r="M289">
        <f>IF($W289="","",IF(ISNUMBER(SEARCH("3&amp;12",SUBSTITUTE(F289," ",""))),Settings!$G$7,Settings!$C$7))</f>
        <v/>
      </c>
      <c r="N289" s="7">
        <f>IF($W289="","",SUMIFS('Per Line'!$O$2:$O$3001,'Per Line'!$B$2:$B$3001,$B289,'Per Line'!$AB$2:$AB$3001,0))</f>
        <v/>
      </c>
      <c r="O289" s="7">
        <f>IF($W289="","",N289*M289)</f>
        <v/>
      </c>
      <c r="P289">
        <f>IF($W289="","",IF(ISNUMBER(SEARCH("3&amp;12",SUBSTITUTE(F289," ",""))),Settings!$G$6,Settings!$C$6))</f>
        <v/>
      </c>
      <c r="Q289" s="7">
        <f>IF($W289="","",SUMIFS('Per Line'!$O$2:$O$3001,'Per Line'!$B$2:$B$3001,$B289,'Per Line'!$AB$2:$AB$3001,1))</f>
        <v/>
      </c>
      <c r="R289" s="7">
        <f>IF($W289="","",Q289*P289)</f>
        <v/>
      </c>
      <c r="S289" s="7">
        <f>IF($W289="","",R289+O289)</f>
        <v/>
      </c>
      <c r="T289" s="7">
        <f>IF($W289="","",V289-S289)</f>
        <v/>
      </c>
      <c r="U289" s="7">
        <f>IF($W289="","",V289-S289-K289)</f>
        <v/>
      </c>
      <c r="V289" s="7">
        <f>IF($W289="","",N289+Q289)</f>
        <v/>
      </c>
      <c r="W289" s="16">
        <f>IF(ROWS($W$2:$W289)&lt;=MAX('Per Line'!$AA$2:$AA$3001),MATCH(ROWS($W$2:$W289),'Per Line'!$AA$2:$AA$3001,0),"")</f>
        <v/>
      </c>
      <c r="X289">
        <f>IF($W289="","",D289&amp;"|"&amp;COUNTIF($D$2:$D289,D289))</f>
        <v/>
      </c>
    </row>
    <row r="290">
      <c r="A290" s="15" t="n"/>
      <c r="B290">
        <f>IF($W290="","",INDEX('Per Line'!$B$2:$B$3001,$W290)&amp;"")</f>
        <v/>
      </c>
      <c r="C290">
        <f>IF($W290="","",INDEX('Per Line'!$C$2:$C$3001,$W290)&amp;"")</f>
        <v/>
      </c>
      <c r="D290">
        <f>IF($W290="","",IF(OR(TRIM(E290)="Orient Insurance Company",TRIM(E290)="Allianz"),TRIM(E290),TRIM(F290)))</f>
        <v/>
      </c>
      <c r="E290">
        <f>IF($W290="","",INDEX('Per Line'!$E$2:$E$3001,$W290)&amp;"")</f>
        <v/>
      </c>
      <c r="F290">
        <f>IF($W290="","",INDEX('Per Line'!$D$2:$D$3001,$W290)&amp;"")</f>
        <v/>
      </c>
      <c r="G290">
        <f>IF($W290="","",INDEX('Per Line'!$F$2:$F$3001,$W290)&amp;"")</f>
        <v/>
      </c>
      <c r="H290">
        <f>IF($W290="","",INDEX('Per Line'!$G$2:$G$3001,$W290)&amp;"")</f>
        <v/>
      </c>
      <c r="I290">
        <f>IF($W290="","",INDEX('Per Line'!$H$2:$H$3001,$W290)&amp;"")</f>
        <v/>
      </c>
      <c r="J290">
        <f>IF($W290="","",INDEX('Per Line'!$I$2:$I$3001,$W290))</f>
        <v/>
      </c>
      <c r="K290" s="7">
        <f>IF($W290="","",J290*T290/100)</f>
        <v/>
      </c>
      <c r="L290" s="14">
        <f>IF($W290="","",INDEX('Per Line'!$V$2:$V$3001,$W290))</f>
        <v/>
      </c>
      <c r="M290">
        <f>IF($W290="","",IF(ISNUMBER(SEARCH("3&amp;12",SUBSTITUTE(F290," ",""))),Settings!$G$7,Settings!$C$7))</f>
        <v/>
      </c>
      <c r="N290" s="7">
        <f>IF($W290="","",SUMIFS('Per Line'!$O$2:$O$3001,'Per Line'!$B$2:$B$3001,$B290,'Per Line'!$AB$2:$AB$3001,0))</f>
        <v/>
      </c>
      <c r="O290" s="7">
        <f>IF($W290="","",N290*M290)</f>
        <v/>
      </c>
      <c r="P290">
        <f>IF($W290="","",IF(ISNUMBER(SEARCH("3&amp;12",SUBSTITUTE(F290," ",""))),Settings!$G$6,Settings!$C$6))</f>
        <v/>
      </c>
      <c r="Q290" s="7">
        <f>IF($W290="","",SUMIFS('Per Line'!$O$2:$O$3001,'Per Line'!$B$2:$B$3001,$B290,'Per Line'!$AB$2:$AB$3001,1))</f>
        <v/>
      </c>
      <c r="R290" s="7">
        <f>IF($W290="","",Q290*P290)</f>
        <v/>
      </c>
      <c r="S290" s="7">
        <f>IF($W290="","",R290+O290)</f>
        <v/>
      </c>
      <c r="T290" s="7">
        <f>IF($W290="","",V290-S290)</f>
        <v/>
      </c>
      <c r="U290" s="7">
        <f>IF($W290="","",V290-S290-K290)</f>
        <v/>
      </c>
      <c r="V290" s="7">
        <f>IF($W290="","",N290+Q290)</f>
        <v/>
      </c>
      <c r="W290" s="16">
        <f>IF(ROWS($W$2:$W290)&lt;=MAX('Per Line'!$AA$2:$AA$3001),MATCH(ROWS($W$2:$W290),'Per Line'!$AA$2:$AA$3001,0),"")</f>
        <v/>
      </c>
      <c r="X290">
        <f>IF($W290="","",D290&amp;"|"&amp;COUNTIF($D$2:$D290,D290))</f>
        <v/>
      </c>
    </row>
    <row r="291">
      <c r="A291" s="15" t="n"/>
      <c r="B291">
        <f>IF($W291="","",INDEX('Per Line'!$B$2:$B$3001,$W291)&amp;"")</f>
        <v/>
      </c>
      <c r="C291">
        <f>IF($W291="","",INDEX('Per Line'!$C$2:$C$3001,$W291)&amp;"")</f>
        <v/>
      </c>
      <c r="D291">
        <f>IF($W291="","",IF(OR(TRIM(E291)="Orient Insurance Company",TRIM(E291)="Allianz"),TRIM(E291),TRIM(F291)))</f>
        <v/>
      </c>
      <c r="E291">
        <f>IF($W291="","",INDEX('Per Line'!$E$2:$E$3001,$W291)&amp;"")</f>
        <v/>
      </c>
      <c r="F291">
        <f>IF($W291="","",INDEX('Per Line'!$D$2:$D$3001,$W291)&amp;"")</f>
        <v/>
      </c>
      <c r="G291">
        <f>IF($W291="","",INDEX('Per Line'!$F$2:$F$3001,$W291)&amp;"")</f>
        <v/>
      </c>
      <c r="H291">
        <f>IF($W291="","",INDEX('Per Line'!$G$2:$G$3001,$W291)&amp;"")</f>
        <v/>
      </c>
      <c r="I291">
        <f>IF($W291="","",INDEX('Per Line'!$H$2:$H$3001,$W291)&amp;"")</f>
        <v/>
      </c>
      <c r="J291">
        <f>IF($W291="","",INDEX('Per Line'!$I$2:$I$3001,$W291))</f>
        <v/>
      </c>
      <c r="K291" s="7">
        <f>IF($W291="","",J291*T291/100)</f>
        <v/>
      </c>
      <c r="L291" s="14">
        <f>IF($W291="","",INDEX('Per Line'!$V$2:$V$3001,$W291))</f>
        <v/>
      </c>
      <c r="M291">
        <f>IF($W291="","",IF(ISNUMBER(SEARCH("3&amp;12",SUBSTITUTE(F291," ",""))),Settings!$G$7,Settings!$C$7))</f>
        <v/>
      </c>
      <c r="N291" s="7">
        <f>IF($W291="","",SUMIFS('Per Line'!$O$2:$O$3001,'Per Line'!$B$2:$B$3001,$B291,'Per Line'!$AB$2:$AB$3001,0))</f>
        <v/>
      </c>
      <c r="O291" s="7">
        <f>IF($W291="","",N291*M291)</f>
        <v/>
      </c>
      <c r="P291">
        <f>IF($W291="","",IF(ISNUMBER(SEARCH("3&amp;12",SUBSTITUTE(F291," ",""))),Settings!$G$6,Settings!$C$6))</f>
        <v/>
      </c>
      <c r="Q291" s="7">
        <f>IF($W291="","",SUMIFS('Per Line'!$O$2:$O$3001,'Per Line'!$B$2:$B$3001,$B291,'Per Line'!$AB$2:$AB$3001,1))</f>
        <v/>
      </c>
      <c r="R291" s="7">
        <f>IF($W291="","",Q291*P291)</f>
        <v/>
      </c>
      <c r="S291" s="7">
        <f>IF($W291="","",R291+O291)</f>
        <v/>
      </c>
      <c r="T291" s="7">
        <f>IF($W291="","",V291-S291)</f>
        <v/>
      </c>
      <c r="U291" s="7">
        <f>IF($W291="","",V291-S291-K291)</f>
        <v/>
      </c>
      <c r="V291" s="7">
        <f>IF($W291="","",N291+Q291)</f>
        <v/>
      </c>
      <c r="W291" s="16">
        <f>IF(ROWS($W$2:$W291)&lt;=MAX('Per Line'!$AA$2:$AA$3001),MATCH(ROWS($W$2:$W291),'Per Line'!$AA$2:$AA$3001,0),"")</f>
        <v/>
      </c>
      <c r="X291">
        <f>IF($W291="","",D291&amp;"|"&amp;COUNTIF($D$2:$D291,D291))</f>
        <v/>
      </c>
    </row>
    <row r="292">
      <c r="A292" s="15" t="n"/>
      <c r="B292">
        <f>IF($W292="","",INDEX('Per Line'!$B$2:$B$3001,$W292)&amp;"")</f>
        <v/>
      </c>
      <c r="C292">
        <f>IF($W292="","",INDEX('Per Line'!$C$2:$C$3001,$W292)&amp;"")</f>
        <v/>
      </c>
      <c r="D292">
        <f>IF($W292="","",IF(OR(TRIM(E292)="Orient Insurance Company",TRIM(E292)="Allianz"),TRIM(E292),TRIM(F292)))</f>
        <v/>
      </c>
      <c r="E292">
        <f>IF($W292="","",INDEX('Per Line'!$E$2:$E$3001,$W292)&amp;"")</f>
        <v/>
      </c>
      <c r="F292">
        <f>IF($W292="","",INDEX('Per Line'!$D$2:$D$3001,$W292)&amp;"")</f>
        <v/>
      </c>
      <c r="G292">
        <f>IF($W292="","",INDEX('Per Line'!$F$2:$F$3001,$W292)&amp;"")</f>
        <v/>
      </c>
      <c r="H292">
        <f>IF($W292="","",INDEX('Per Line'!$G$2:$G$3001,$W292)&amp;"")</f>
        <v/>
      </c>
      <c r="I292">
        <f>IF($W292="","",INDEX('Per Line'!$H$2:$H$3001,$W292)&amp;"")</f>
        <v/>
      </c>
      <c r="J292">
        <f>IF($W292="","",INDEX('Per Line'!$I$2:$I$3001,$W292))</f>
        <v/>
      </c>
      <c r="K292" s="7">
        <f>IF($W292="","",J292*T292/100)</f>
        <v/>
      </c>
      <c r="L292" s="14">
        <f>IF($W292="","",INDEX('Per Line'!$V$2:$V$3001,$W292))</f>
        <v/>
      </c>
      <c r="M292">
        <f>IF($W292="","",IF(ISNUMBER(SEARCH("3&amp;12",SUBSTITUTE(F292," ",""))),Settings!$G$7,Settings!$C$7))</f>
        <v/>
      </c>
      <c r="N292" s="7">
        <f>IF($W292="","",SUMIFS('Per Line'!$O$2:$O$3001,'Per Line'!$B$2:$B$3001,$B292,'Per Line'!$AB$2:$AB$3001,0))</f>
        <v/>
      </c>
      <c r="O292" s="7">
        <f>IF($W292="","",N292*M292)</f>
        <v/>
      </c>
      <c r="P292">
        <f>IF($W292="","",IF(ISNUMBER(SEARCH("3&amp;12",SUBSTITUTE(F292," ",""))),Settings!$G$6,Settings!$C$6))</f>
        <v/>
      </c>
      <c r="Q292" s="7">
        <f>IF($W292="","",SUMIFS('Per Line'!$O$2:$O$3001,'Per Line'!$B$2:$B$3001,$B292,'Per Line'!$AB$2:$AB$3001,1))</f>
        <v/>
      </c>
      <c r="R292" s="7">
        <f>IF($W292="","",Q292*P292)</f>
        <v/>
      </c>
      <c r="S292" s="7">
        <f>IF($W292="","",R292+O292)</f>
        <v/>
      </c>
      <c r="T292" s="7">
        <f>IF($W292="","",V292-S292)</f>
        <v/>
      </c>
      <c r="U292" s="7">
        <f>IF($W292="","",V292-S292-K292)</f>
        <v/>
      </c>
      <c r="V292" s="7">
        <f>IF($W292="","",N292+Q292)</f>
        <v/>
      </c>
      <c r="W292" s="16">
        <f>IF(ROWS($W$2:$W292)&lt;=MAX('Per Line'!$AA$2:$AA$3001),MATCH(ROWS($W$2:$W292),'Per Line'!$AA$2:$AA$3001,0),"")</f>
        <v/>
      </c>
      <c r="X292">
        <f>IF($W292="","",D292&amp;"|"&amp;COUNTIF($D$2:$D292,D292))</f>
        <v/>
      </c>
    </row>
    <row r="293">
      <c r="A293" s="15" t="n"/>
      <c r="B293">
        <f>IF($W293="","",INDEX('Per Line'!$B$2:$B$3001,$W293)&amp;"")</f>
        <v/>
      </c>
      <c r="C293">
        <f>IF($W293="","",INDEX('Per Line'!$C$2:$C$3001,$W293)&amp;"")</f>
        <v/>
      </c>
      <c r="D293">
        <f>IF($W293="","",IF(OR(TRIM(E293)="Orient Insurance Company",TRIM(E293)="Allianz"),TRIM(E293),TRIM(F293)))</f>
        <v/>
      </c>
      <c r="E293">
        <f>IF($W293="","",INDEX('Per Line'!$E$2:$E$3001,$W293)&amp;"")</f>
        <v/>
      </c>
      <c r="F293">
        <f>IF($W293="","",INDEX('Per Line'!$D$2:$D$3001,$W293)&amp;"")</f>
        <v/>
      </c>
      <c r="G293">
        <f>IF($W293="","",INDEX('Per Line'!$F$2:$F$3001,$W293)&amp;"")</f>
        <v/>
      </c>
      <c r="H293">
        <f>IF($W293="","",INDEX('Per Line'!$G$2:$G$3001,$W293)&amp;"")</f>
        <v/>
      </c>
      <c r="I293">
        <f>IF($W293="","",INDEX('Per Line'!$H$2:$H$3001,$W293)&amp;"")</f>
        <v/>
      </c>
      <c r="J293">
        <f>IF($W293="","",INDEX('Per Line'!$I$2:$I$3001,$W293))</f>
        <v/>
      </c>
      <c r="K293" s="7">
        <f>IF($W293="","",J293*T293/100)</f>
        <v/>
      </c>
      <c r="L293" s="14">
        <f>IF($W293="","",INDEX('Per Line'!$V$2:$V$3001,$W293))</f>
        <v/>
      </c>
      <c r="M293">
        <f>IF($W293="","",IF(ISNUMBER(SEARCH("3&amp;12",SUBSTITUTE(F293," ",""))),Settings!$G$7,Settings!$C$7))</f>
        <v/>
      </c>
      <c r="N293" s="7">
        <f>IF($W293="","",SUMIFS('Per Line'!$O$2:$O$3001,'Per Line'!$B$2:$B$3001,$B293,'Per Line'!$AB$2:$AB$3001,0))</f>
        <v/>
      </c>
      <c r="O293" s="7">
        <f>IF($W293="","",N293*M293)</f>
        <v/>
      </c>
      <c r="P293">
        <f>IF($W293="","",IF(ISNUMBER(SEARCH("3&amp;12",SUBSTITUTE(F293," ",""))),Settings!$G$6,Settings!$C$6))</f>
        <v/>
      </c>
      <c r="Q293" s="7">
        <f>IF($W293="","",SUMIFS('Per Line'!$O$2:$O$3001,'Per Line'!$B$2:$B$3001,$B293,'Per Line'!$AB$2:$AB$3001,1))</f>
        <v/>
      </c>
      <c r="R293" s="7">
        <f>IF($W293="","",Q293*P293)</f>
        <v/>
      </c>
      <c r="S293" s="7">
        <f>IF($W293="","",R293+O293)</f>
        <v/>
      </c>
      <c r="T293" s="7">
        <f>IF($W293="","",V293-S293)</f>
        <v/>
      </c>
      <c r="U293" s="7">
        <f>IF($W293="","",V293-S293-K293)</f>
        <v/>
      </c>
      <c r="V293" s="7">
        <f>IF($W293="","",N293+Q293)</f>
        <v/>
      </c>
      <c r="W293" s="16">
        <f>IF(ROWS($W$2:$W293)&lt;=MAX('Per Line'!$AA$2:$AA$3001),MATCH(ROWS($W$2:$W293),'Per Line'!$AA$2:$AA$3001,0),"")</f>
        <v/>
      </c>
      <c r="X293">
        <f>IF($W293="","",D293&amp;"|"&amp;COUNTIF($D$2:$D293,D293))</f>
        <v/>
      </c>
    </row>
    <row r="294">
      <c r="A294" s="15" t="n"/>
      <c r="B294">
        <f>IF($W294="","",INDEX('Per Line'!$B$2:$B$3001,$W294)&amp;"")</f>
        <v/>
      </c>
      <c r="C294">
        <f>IF($W294="","",INDEX('Per Line'!$C$2:$C$3001,$W294)&amp;"")</f>
        <v/>
      </c>
      <c r="D294">
        <f>IF($W294="","",IF(OR(TRIM(E294)="Orient Insurance Company",TRIM(E294)="Allianz"),TRIM(E294),TRIM(F294)))</f>
        <v/>
      </c>
      <c r="E294">
        <f>IF($W294="","",INDEX('Per Line'!$E$2:$E$3001,$W294)&amp;"")</f>
        <v/>
      </c>
      <c r="F294">
        <f>IF($W294="","",INDEX('Per Line'!$D$2:$D$3001,$W294)&amp;"")</f>
        <v/>
      </c>
      <c r="G294">
        <f>IF($W294="","",INDEX('Per Line'!$F$2:$F$3001,$W294)&amp;"")</f>
        <v/>
      </c>
      <c r="H294">
        <f>IF($W294="","",INDEX('Per Line'!$G$2:$G$3001,$W294)&amp;"")</f>
        <v/>
      </c>
      <c r="I294">
        <f>IF($W294="","",INDEX('Per Line'!$H$2:$H$3001,$W294)&amp;"")</f>
        <v/>
      </c>
      <c r="J294">
        <f>IF($W294="","",INDEX('Per Line'!$I$2:$I$3001,$W294))</f>
        <v/>
      </c>
      <c r="K294" s="7">
        <f>IF($W294="","",J294*T294/100)</f>
        <v/>
      </c>
      <c r="L294" s="14">
        <f>IF($W294="","",INDEX('Per Line'!$V$2:$V$3001,$W294))</f>
        <v/>
      </c>
      <c r="M294">
        <f>IF($W294="","",IF(ISNUMBER(SEARCH("3&amp;12",SUBSTITUTE(F294," ",""))),Settings!$G$7,Settings!$C$7))</f>
        <v/>
      </c>
      <c r="N294" s="7">
        <f>IF($W294="","",SUMIFS('Per Line'!$O$2:$O$3001,'Per Line'!$B$2:$B$3001,$B294,'Per Line'!$AB$2:$AB$3001,0))</f>
        <v/>
      </c>
      <c r="O294" s="7">
        <f>IF($W294="","",N294*M294)</f>
        <v/>
      </c>
      <c r="P294">
        <f>IF($W294="","",IF(ISNUMBER(SEARCH("3&amp;12",SUBSTITUTE(F294," ",""))),Settings!$G$6,Settings!$C$6))</f>
        <v/>
      </c>
      <c r="Q294" s="7">
        <f>IF($W294="","",SUMIFS('Per Line'!$O$2:$O$3001,'Per Line'!$B$2:$B$3001,$B294,'Per Line'!$AB$2:$AB$3001,1))</f>
        <v/>
      </c>
      <c r="R294" s="7">
        <f>IF($W294="","",Q294*P294)</f>
        <v/>
      </c>
      <c r="S294" s="7">
        <f>IF($W294="","",R294+O294)</f>
        <v/>
      </c>
      <c r="T294" s="7">
        <f>IF($W294="","",V294-S294)</f>
        <v/>
      </c>
      <c r="U294" s="7">
        <f>IF($W294="","",V294-S294-K294)</f>
        <v/>
      </c>
      <c r="V294" s="7">
        <f>IF($W294="","",N294+Q294)</f>
        <v/>
      </c>
      <c r="W294" s="16">
        <f>IF(ROWS($W$2:$W294)&lt;=MAX('Per Line'!$AA$2:$AA$3001),MATCH(ROWS($W$2:$W294),'Per Line'!$AA$2:$AA$3001,0),"")</f>
        <v/>
      </c>
      <c r="X294">
        <f>IF($W294="","",D294&amp;"|"&amp;COUNTIF($D$2:$D294,D294))</f>
        <v/>
      </c>
    </row>
    <row r="295">
      <c r="A295" s="15" t="n"/>
      <c r="B295">
        <f>IF($W295="","",INDEX('Per Line'!$B$2:$B$3001,$W295)&amp;"")</f>
        <v/>
      </c>
      <c r="C295">
        <f>IF($W295="","",INDEX('Per Line'!$C$2:$C$3001,$W295)&amp;"")</f>
        <v/>
      </c>
      <c r="D295">
        <f>IF($W295="","",IF(OR(TRIM(E295)="Orient Insurance Company",TRIM(E295)="Allianz"),TRIM(E295),TRIM(F295)))</f>
        <v/>
      </c>
      <c r="E295">
        <f>IF($W295="","",INDEX('Per Line'!$E$2:$E$3001,$W295)&amp;"")</f>
        <v/>
      </c>
      <c r="F295">
        <f>IF($W295="","",INDEX('Per Line'!$D$2:$D$3001,$W295)&amp;"")</f>
        <v/>
      </c>
      <c r="G295">
        <f>IF($W295="","",INDEX('Per Line'!$F$2:$F$3001,$W295)&amp;"")</f>
        <v/>
      </c>
      <c r="H295">
        <f>IF($W295="","",INDEX('Per Line'!$G$2:$G$3001,$W295)&amp;"")</f>
        <v/>
      </c>
      <c r="I295">
        <f>IF($W295="","",INDEX('Per Line'!$H$2:$H$3001,$W295)&amp;"")</f>
        <v/>
      </c>
      <c r="J295">
        <f>IF($W295="","",INDEX('Per Line'!$I$2:$I$3001,$W295))</f>
        <v/>
      </c>
      <c r="K295" s="7">
        <f>IF($W295="","",J295*T295/100)</f>
        <v/>
      </c>
      <c r="L295" s="14">
        <f>IF($W295="","",INDEX('Per Line'!$V$2:$V$3001,$W295))</f>
        <v/>
      </c>
      <c r="M295">
        <f>IF($W295="","",IF(ISNUMBER(SEARCH("3&amp;12",SUBSTITUTE(F295," ",""))),Settings!$G$7,Settings!$C$7))</f>
        <v/>
      </c>
      <c r="N295" s="7">
        <f>IF($W295="","",SUMIFS('Per Line'!$O$2:$O$3001,'Per Line'!$B$2:$B$3001,$B295,'Per Line'!$AB$2:$AB$3001,0))</f>
        <v/>
      </c>
      <c r="O295" s="7">
        <f>IF($W295="","",N295*M295)</f>
        <v/>
      </c>
      <c r="P295">
        <f>IF($W295="","",IF(ISNUMBER(SEARCH("3&amp;12",SUBSTITUTE(F295," ",""))),Settings!$G$6,Settings!$C$6))</f>
        <v/>
      </c>
      <c r="Q295" s="7">
        <f>IF($W295="","",SUMIFS('Per Line'!$O$2:$O$3001,'Per Line'!$B$2:$B$3001,$B295,'Per Line'!$AB$2:$AB$3001,1))</f>
        <v/>
      </c>
      <c r="R295" s="7">
        <f>IF($W295="","",Q295*P295)</f>
        <v/>
      </c>
      <c r="S295" s="7">
        <f>IF($W295="","",R295+O295)</f>
        <v/>
      </c>
      <c r="T295" s="7">
        <f>IF($W295="","",V295-S295)</f>
        <v/>
      </c>
      <c r="U295" s="7">
        <f>IF($W295="","",V295-S295-K295)</f>
        <v/>
      </c>
      <c r="V295" s="7">
        <f>IF($W295="","",N295+Q295)</f>
        <v/>
      </c>
      <c r="W295" s="16">
        <f>IF(ROWS($W$2:$W295)&lt;=MAX('Per Line'!$AA$2:$AA$3001),MATCH(ROWS($W$2:$W295),'Per Line'!$AA$2:$AA$3001,0),"")</f>
        <v/>
      </c>
      <c r="X295">
        <f>IF($W295="","",D295&amp;"|"&amp;COUNTIF($D$2:$D295,D295))</f>
        <v/>
      </c>
    </row>
    <row r="296">
      <c r="A296" s="15" t="n"/>
      <c r="B296">
        <f>IF($W296="","",INDEX('Per Line'!$B$2:$B$3001,$W296)&amp;"")</f>
        <v/>
      </c>
      <c r="C296">
        <f>IF($W296="","",INDEX('Per Line'!$C$2:$C$3001,$W296)&amp;"")</f>
        <v/>
      </c>
      <c r="D296">
        <f>IF($W296="","",IF(OR(TRIM(E296)="Orient Insurance Company",TRIM(E296)="Allianz"),TRIM(E296),TRIM(F296)))</f>
        <v/>
      </c>
      <c r="E296">
        <f>IF($W296="","",INDEX('Per Line'!$E$2:$E$3001,$W296)&amp;"")</f>
        <v/>
      </c>
      <c r="F296">
        <f>IF($W296="","",INDEX('Per Line'!$D$2:$D$3001,$W296)&amp;"")</f>
        <v/>
      </c>
      <c r="G296">
        <f>IF($W296="","",INDEX('Per Line'!$F$2:$F$3001,$W296)&amp;"")</f>
        <v/>
      </c>
      <c r="H296">
        <f>IF($W296="","",INDEX('Per Line'!$G$2:$G$3001,$W296)&amp;"")</f>
        <v/>
      </c>
      <c r="I296">
        <f>IF($W296="","",INDEX('Per Line'!$H$2:$H$3001,$W296)&amp;"")</f>
        <v/>
      </c>
      <c r="J296">
        <f>IF($W296="","",INDEX('Per Line'!$I$2:$I$3001,$W296))</f>
        <v/>
      </c>
      <c r="K296" s="7">
        <f>IF($W296="","",J296*T296/100)</f>
        <v/>
      </c>
      <c r="L296" s="14">
        <f>IF($W296="","",INDEX('Per Line'!$V$2:$V$3001,$W296))</f>
        <v/>
      </c>
      <c r="M296">
        <f>IF($W296="","",IF(ISNUMBER(SEARCH("3&amp;12",SUBSTITUTE(F296," ",""))),Settings!$G$7,Settings!$C$7))</f>
        <v/>
      </c>
      <c r="N296" s="7">
        <f>IF($W296="","",SUMIFS('Per Line'!$O$2:$O$3001,'Per Line'!$B$2:$B$3001,$B296,'Per Line'!$AB$2:$AB$3001,0))</f>
        <v/>
      </c>
      <c r="O296" s="7">
        <f>IF($W296="","",N296*M296)</f>
        <v/>
      </c>
      <c r="P296">
        <f>IF($W296="","",IF(ISNUMBER(SEARCH("3&amp;12",SUBSTITUTE(F296," ",""))),Settings!$G$6,Settings!$C$6))</f>
        <v/>
      </c>
      <c r="Q296" s="7">
        <f>IF($W296="","",SUMIFS('Per Line'!$O$2:$O$3001,'Per Line'!$B$2:$B$3001,$B296,'Per Line'!$AB$2:$AB$3001,1))</f>
        <v/>
      </c>
      <c r="R296" s="7">
        <f>IF($W296="","",Q296*P296)</f>
        <v/>
      </c>
      <c r="S296" s="7">
        <f>IF($W296="","",R296+O296)</f>
        <v/>
      </c>
      <c r="T296" s="7">
        <f>IF($W296="","",V296-S296)</f>
        <v/>
      </c>
      <c r="U296" s="7">
        <f>IF($W296="","",V296-S296-K296)</f>
        <v/>
      </c>
      <c r="V296" s="7">
        <f>IF($W296="","",N296+Q296)</f>
        <v/>
      </c>
      <c r="W296" s="16">
        <f>IF(ROWS($W$2:$W296)&lt;=MAX('Per Line'!$AA$2:$AA$3001),MATCH(ROWS($W$2:$W296),'Per Line'!$AA$2:$AA$3001,0),"")</f>
        <v/>
      </c>
      <c r="X296">
        <f>IF($W296="","",D296&amp;"|"&amp;COUNTIF($D$2:$D296,D296))</f>
        <v/>
      </c>
    </row>
    <row r="297">
      <c r="A297" s="15" t="n"/>
      <c r="B297">
        <f>IF($W297="","",INDEX('Per Line'!$B$2:$B$3001,$W297)&amp;"")</f>
        <v/>
      </c>
      <c r="C297">
        <f>IF($W297="","",INDEX('Per Line'!$C$2:$C$3001,$W297)&amp;"")</f>
        <v/>
      </c>
      <c r="D297">
        <f>IF($W297="","",IF(OR(TRIM(E297)="Orient Insurance Company",TRIM(E297)="Allianz"),TRIM(E297),TRIM(F297)))</f>
        <v/>
      </c>
      <c r="E297">
        <f>IF($W297="","",INDEX('Per Line'!$E$2:$E$3001,$W297)&amp;"")</f>
        <v/>
      </c>
      <c r="F297">
        <f>IF($W297="","",INDEX('Per Line'!$D$2:$D$3001,$W297)&amp;"")</f>
        <v/>
      </c>
      <c r="G297">
        <f>IF($W297="","",INDEX('Per Line'!$F$2:$F$3001,$W297)&amp;"")</f>
        <v/>
      </c>
      <c r="H297">
        <f>IF($W297="","",INDEX('Per Line'!$G$2:$G$3001,$W297)&amp;"")</f>
        <v/>
      </c>
      <c r="I297">
        <f>IF($W297="","",INDEX('Per Line'!$H$2:$H$3001,$W297)&amp;"")</f>
        <v/>
      </c>
      <c r="J297">
        <f>IF($W297="","",INDEX('Per Line'!$I$2:$I$3001,$W297))</f>
        <v/>
      </c>
      <c r="K297" s="7">
        <f>IF($W297="","",J297*T297/100)</f>
        <v/>
      </c>
      <c r="L297" s="14">
        <f>IF($W297="","",INDEX('Per Line'!$V$2:$V$3001,$W297))</f>
        <v/>
      </c>
      <c r="M297">
        <f>IF($W297="","",IF(ISNUMBER(SEARCH("3&amp;12",SUBSTITUTE(F297," ",""))),Settings!$G$7,Settings!$C$7))</f>
        <v/>
      </c>
      <c r="N297" s="7">
        <f>IF($W297="","",SUMIFS('Per Line'!$O$2:$O$3001,'Per Line'!$B$2:$B$3001,$B297,'Per Line'!$AB$2:$AB$3001,0))</f>
        <v/>
      </c>
      <c r="O297" s="7">
        <f>IF($W297="","",N297*M297)</f>
        <v/>
      </c>
      <c r="P297">
        <f>IF($W297="","",IF(ISNUMBER(SEARCH("3&amp;12",SUBSTITUTE(F297," ",""))),Settings!$G$6,Settings!$C$6))</f>
        <v/>
      </c>
      <c r="Q297" s="7">
        <f>IF($W297="","",SUMIFS('Per Line'!$O$2:$O$3001,'Per Line'!$B$2:$B$3001,$B297,'Per Line'!$AB$2:$AB$3001,1))</f>
        <v/>
      </c>
      <c r="R297" s="7">
        <f>IF($W297="","",Q297*P297)</f>
        <v/>
      </c>
      <c r="S297" s="7">
        <f>IF($W297="","",R297+O297)</f>
        <v/>
      </c>
      <c r="T297" s="7">
        <f>IF($W297="","",V297-S297)</f>
        <v/>
      </c>
      <c r="U297" s="7">
        <f>IF($W297="","",V297-S297-K297)</f>
        <v/>
      </c>
      <c r="V297" s="7">
        <f>IF($W297="","",N297+Q297)</f>
        <v/>
      </c>
      <c r="W297" s="16">
        <f>IF(ROWS($W$2:$W297)&lt;=MAX('Per Line'!$AA$2:$AA$3001),MATCH(ROWS($W$2:$W297),'Per Line'!$AA$2:$AA$3001,0),"")</f>
        <v/>
      </c>
      <c r="X297">
        <f>IF($W297="","",D297&amp;"|"&amp;COUNTIF($D$2:$D297,D297))</f>
        <v/>
      </c>
    </row>
    <row r="298">
      <c r="A298" s="15" t="n"/>
      <c r="B298">
        <f>IF($W298="","",INDEX('Per Line'!$B$2:$B$3001,$W298)&amp;"")</f>
        <v/>
      </c>
      <c r="C298">
        <f>IF($W298="","",INDEX('Per Line'!$C$2:$C$3001,$W298)&amp;"")</f>
        <v/>
      </c>
      <c r="D298">
        <f>IF($W298="","",IF(OR(TRIM(E298)="Orient Insurance Company",TRIM(E298)="Allianz"),TRIM(E298),TRIM(F298)))</f>
        <v/>
      </c>
      <c r="E298">
        <f>IF($W298="","",INDEX('Per Line'!$E$2:$E$3001,$W298)&amp;"")</f>
        <v/>
      </c>
      <c r="F298">
        <f>IF($W298="","",INDEX('Per Line'!$D$2:$D$3001,$W298)&amp;"")</f>
        <v/>
      </c>
      <c r="G298">
        <f>IF($W298="","",INDEX('Per Line'!$F$2:$F$3001,$W298)&amp;"")</f>
        <v/>
      </c>
      <c r="H298">
        <f>IF($W298="","",INDEX('Per Line'!$G$2:$G$3001,$W298)&amp;"")</f>
        <v/>
      </c>
      <c r="I298">
        <f>IF($W298="","",INDEX('Per Line'!$H$2:$H$3001,$W298)&amp;"")</f>
        <v/>
      </c>
      <c r="J298">
        <f>IF($W298="","",INDEX('Per Line'!$I$2:$I$3001,$W298))</f>
        <v/>
      </c>
      <c r="K298" s="7">
        <f>IF($W298="","",J298*T298/100)</f>
        <v/>
      </c>
      <c r="L298" s="14">
        <f>IF($W298="","",INDEX('Per Line'!$V$2:$V$3001,$W298))</f>
        <v/>
      </c>
      <c r="M298">
        <f>IF($W298="","",IF(ISNUMBER(SEARCH("3&amp;12",SUBSTITUTE(F298," ",""))),Settings!$G$7,Settings!$C$7))</f>
        <v/>
      </c>
      <c r="N298" s="7">
        <f>IF($W298="","",SUMIFS('Per Line'!$O$2:$O$3001,'Per Line'!$B$2:$B$3001,$B298,'Per Line'!$AB$2:$AB$3001,0))</f>
        <v/>
      </c>
      <c r="O298" s="7">
        <f>IF($W298="","",N298*M298)</f>
        <v/>
      </c>
      <c r="P298">
        <f>IF($W298="","",IF(ISNUMBER(SEARCH("3&amp;12",SUBSTITUTE(F298," ",""))),Settings!$G$6,Settings!$C$6))</f>
        <v/>
      </c>
      <c r="Q298" s="7">
        <f>IF($W298="","",SUMIFS('Per Line'!$O$2:$O$3001,'Per Line'!$B$2:$B$3001,$B298,'Per Line'!$AB$2:$AB$3001,1))</f>
        <v/>
      </c>
      <c r="R298" s="7">
        <f>IF($W298="","",Q298*P298)</f>
        <v/>
      </c>
      <c r="S298" s="7">
        <f>IF($W298="","",R298+O298)</f>
        <v/>
      </c>
      <c r="T298" s="7">
        <f>IF($W298="","",V298-S298)</f>
        <v/>
      </c>
      <c r="U298" s="7">
        <f>IF($W298="","",V298-S298-K298)</f>
        <v/>
      </c>
      <c r="V298" s="7">
        <f>IF($W298="","",N298+Q298)</f>
        <v/>
      </c>
      <c r="W298" s="16">
        <f>IF(ROWS($W$2:$W298)&lt;=MAX('Per Line'!$AA$2:$AA$3001),MATCH(ROWS($W$2:$W298),'Per Line'!$AA$2:$AA$3001,0),"")</f>
        <v/>
      </c>
      <c r="X298">
        <f>IF($W298="","",D298&amp;"|"&amp;COUNTIF($D$2:$D298,D298))</f>
        <v/>
      </c>
    </row>
    <row r="299">
      <c r="A299" s="15" t="n"/>
      <c r="B299">
        <f>IF($W299="","",INDEX('Per Line'!$B$2:$B$3001,$W299)&amp;"")</f>
        <v/>
      </c>
      <c r="C299">
        <f>IF($W299="","",INDEX('Per Line'!$C$2:$C$3001,$W299)&amp;"")</f>
        <v/>
      </c>
      <c r="D299">
        <f>IF($W299="","",IF(OR(TRIM(E299)="Orient Insurance Company",TRIM(E299)="Allianz"),TRIM(E299),TRIM(F299)))</f>
        <v/>
      </c>
      <c r="E299">
        <f>IF($W299="","",INDEX('Per Line'!$E$2:$E$3001,$W299)&amp;"")</f>
        <v/>
      </c>
      <c r="F299">
        <f>IF($W299="","",INDEX('Per Line'!$D$2:$D$3001,$W299)&amp;"")</f>
        <v/>
      </c>
      <c r="G299">
        <f>IF($W299="","",INDEX('Per Line'!$F$2:$F$3001,$W299)&amp;"")</f>
        <v/>
      </c>
      <c r="H299">
        <f>IF($W299="","",INDEX('Per Line'!$G$2:$G$3001,$W299)&amp;"")</f>
        <v/>
      </c>
      <c r="I299">
        <f>IF($W299="","",INDEX('Per Line'!$H$2:$H$3001,$W299)&amp;"")</f>
        <v/>
      </c>
      <c r="J299">
        <f>IF($W299="","",INDEX('Per Line'!$I$2:$I$3001,$W299))</f>
        <v/>
      </c>
      <c r="K299" s="7">
        <f>IF($W299="","",J299*T299/100)</f>
        <v/>
      </c>
      <c r="L299" s="14">
        <f>IF($W299="","",INDEX('Per Line'!$V$2:$V$3001,$W299))</f>
        <v/>
      </c>
      <c r="M299">
        <f>IF($W299="","",IF(ISNUMBER(SEARCH("3&amp;12",SUBSTITUTE(F299," ",""))),Settings!$G$7,Settings!$C$7))</f>
        <v/>
      </c>
      <c r="N299" s="7">
        <f>IF($W299="","",SUMIFS('Per Line'!$O$2:$O$3001,'Per Line'!$B$2:$B$3001,$B299,'Per Line'!$AB$2:$AB$3001,0))</f>
        <v/>
      </c>
      <c r="O299" s="7">
        <f>IF($W299="","",N299*M299)</f>
        <v/>
      </c>
      <c r="P299">
        <f>IF($W299="","",IF(ISNUMBER(SEARCH("3&amp;12",SUBSTITUTE(F299," ",""))),Settings!$G$6,Settings!$C$6))</f>
        <v/>
      </c>
      <c r="Q299" s="7">
        <f>IF($W299="","",SUMIFS('Per Line'!$O$2:$O$3001,'Per Line'!$B$2:$B$3001,$B299,'Per Line'!$AB$2:$AB$3001,1))</f>
        <v/>
      </c>
      <c r="R299" s="7">
        <f>IF($W299="","",Q299*P299)</f>
        <v/>
      </c>
      <c r="S299" s="7">
        <f>IF($W299="","",R299+O299)</f>
        <v/>
      </c>
      <c r="T299" s="7">
        <f>IF($W299="","",V299-S299)</f>
        <v/>
      </c>
      <c r="U299" s="7">
        <f>IF($W299="","",V299-S299-K299)</f>
        <v/>
      </c>
      <c r="V299" s="7">
        <f>IF($W299="","",N299+Q299)</f>
        <v/>
      </c>
      <c r="W299" s="16">
        <f>IF(ROWS($W$2:$W299)&lt;=MAX('Per Line'!$AA$2:$AA$3001),MATCH(ROWS($W$2:$W299),'Per Line'!$AA$2:$AA$3001,0),"")</f>
        <v/>
      </c>
      <c r="X299">
        <f>IF($W299="","",D299&amp;"|"&amp;COUNTIF($D$2:$D299,D299))</f>
        <v/>
      </c>
    </row>
    <row r="300">
      <c r="A300" s="15" t="n"/>
      <c r="B300">
        <f>IF($W300="","",INDEX('Per Line'!$B$2:$B$3001,$W300)&amp;"")</f>
        <v/>
      </c>
      <c r="C300">
        <f>IF($W300="","",INDEX('Per Line'!$C$2:$C$3001,$W300)&amp;"")</f>
        <v/>
      </c>
      <c r="D300">
        <f>IF($W300="","",IF(OR(TRIM(E300)="Orient Insurance Company",TRIM(E300)="Allianz"),TRIM(E300),TRIM(F300)))</f>
        <v/>
      </c>
      <c r="E300">
        <f>IF($W300="","",INDEX('Per Line'!$E$2:$E$3001,$W300)&amp;"")</f>
        <v/>
      </c>
      <c r="F300">
        <f>IF($W300="","",INDEX('Per Line'!$D$2:$D$3001,$W300)&amp;"")</f>
        <v/>
      </c>
      <c r="G300">
        <f>IF($W300="","",INDEX('Per Line'!$F$2:$F$3001,$W300)&amp;"")</f>
        <v/>
      </c>
      <c r="H300">
        <f>IF($W300="","",INDEX('Per Line'!$G$2:$G$3001,$W300)&amp;"")</f>
        <v/>
      </c>
      <c r="I300">
        <f>IF($W300="","",INDEX('Per Line'!$H$2:$H$3001,$W300)&amp;"")</f>
        <v/>
      </c>
      <c r="J300">
        <f>IF($W300="","",INDEX('Per Line'!$I$2:$I$3001,$W300))</f>
        <v/>
      </c>
      <c r="K300" s="7">
        <f>IF($W300="","",J300*T300/100)</f>
        <v/>
      </c>
      <c r="L300" s="14">
        <f>IF($W300="","",INDEX('Per Line'!$V$2:$V$3001,$W300))</f>
        <v/>
      </c>
      <c r="M300">
        <f>IF($W300="","",IF(ISNUMBER(SEARCH("3&amp;12",SUBSTITUTE(F300," ",""))),Settings!$G$7,Settings!$C$7))</f>
        <v/>
      </c>
      <c r="N300" s="7">
        <f>IF($W300="","",SUMIFS('Per Line'!$O$2:$O$3001,'Per Line'!$B$2:$B$3001,$B300,'Per Line'!$AB$2:$AB$3001,0))</f>
        <v/>
      </c>
      <c r="O300" s="7">
        <f>IF($W300="","",N300*M300)</f>
        <v/>
      </c>
      <c r="P300">
        <f>IF($W300="","",IF(ISNUMBER(SEARCH("3&amp;12",SUBSTITUTE(F300," ",""))),Settings!$G$6,Settings!$C$6))</f>
        <v/>
      </c>
      <c r="Q300" s="7">
        <f>IF($W300="","",SUMIFS('Per Line'!$O$2:$O$3001,'Per Line'!$B$2:$B$3001,$B300,'Per Line'!$AB$2:$AB$3001,1))</f>
        <v/>
      </c>
      <c r="R300" s="7">
        <f>IF($W300="","",Q300*P300)</f>
        <v/>
      </c>
      <c r="S300" s="7">
        <f>IF($W300="","",R300+O300)</f>
        <v/>
      </c>
      <c r="T300" s="7">
        <f>IF($W300="","",V300-S300)</f>
        <v/>
      </c>
      <c r="U300" s="7">
        <f>IF($W300="","",V300-S300-K300)</f>
        <v/>
      </c>
      <c r="V300" s="7">
        <f>IF($W300="","",N300+Q300)</f>
        <v/>
      </c>
      <c r="W300" s="16">
        <f>IF(ROWS($W$2:$W300)&lt;=MAX('Per Line'!$AA$2:$AA$3001),MATCH(ROWS($W$2:$W300),'Per Line'!$AA$2:$AA$3001,0),"")</f>
        <v/>
      </c>
      <c r="X300">
        <f>IF($W300="","",D300&amp;"|"&amp;COUNTIF($D$2:$D300,D300))</f>
        <v/>
      </c>
    </row>
    <row r="301">
      <c r="A301" s="15" t="n"/>
      <c r="B301">
        <f>IF($W301="","",INDEX('Per Line'!$B$2:$B$3001,$W301)&amp;"")</f>
        <v/>
      </c>
      <c r="C301">
        <f>IF($W301="","",INDEX('Per Line'!$C$2:$C$3001,$W301)&amp;"")</f>
        <v/>
      </c>
      <c r="D301">
        <f>IF($W301="","",IF(OR(TRIM(E301)="Orient Insurance Company",TRIM(E301)="Allianz"),TRIM(E301),TRIM(F301)))</f>
        <v/>
      </c>
      <c r="E301">
        <f>IF($W301="","",INDEX('Per Line'!$E$2:$E$3001,$W301)&amp;"")</f>
        <v/>
      </c>
      <c r="F301">
        <f>IF($W301="","",INDEX('Per Line'!$D$2:$D$3001,$W301)&amp;"")</f>
        <v/>
      </c>
      <c r="G301">
        <f>IF($W301="","",INDEX('Per Line'!$F$2:$F$3001,$W301)&amp;"")</f>
        <v/>
      </c>
      <c r="H301">
        <f>IF($W301="","",INDEX('Per Line'!$G$2:$G$3001,$W301)&amp;"")</f>
        <v/>
      </c>
      <c r="I301">
        <f>IF($W301="","",INDEX('Per Line'!$H$2:$H$3001,$W301)&amp;"")</f>
        <v/>
      </c>
      <c r="J301">
        <f>IF($W301="","",INDEX('Per Line'!$I$2:$I$3001,$W301))</f>
        <v/>
      </c>
      <c r="K301" s="7">
        <f>IF($W301="","",J301*T301/100)</f>
        <v/>
      </c>
      <c r="L301" s="14">
        <f>IF($W301="","",INDEX('Per Line'!$V$2:$V$3001,$W301))</f>
        <v/>
      </c>
      <c r="M301">
        <f>IF($W301="","",IF(ISNUMBER(SEARCH("3&amp;12",SUBSTITUTE(F301," ",""))),Settings!$G$7,Settings!$C$7))</f>
        <v/>
      </c>
      <c r="N301" s="7">
        <f>IF($W301="","",SUMIFS('Per Line'!$O$2:$O$3001,'Per Line'!$B$2:$B$3001,$B301,'Per Line'!$AB$2:$AB$3001,0))</f>
        <v/>
      </c>
      <c r="O301" s="7">
        <f>IF($W301="","",N301*M301)</f>
        <v/>
      </c>
      <c r="P301">
        <f>IF($W301="","",IF(ISNUMBER(SEARCH("3&amp;12",SUBSTITUTE(F301," ",""))),Settings!$G$6,Settings!$C$6))</f>
        <v/>
      </c>
      <c r="Q301" s="7">
        <f>IF($W301="","",SUMIFS('Per Line'!$O$2:$O$3001,'Per Line'!$B$2:$B$3001,$B301,'Per Line'!$AB$2:$AB$3001,1))</f>
        <v/>
      </c>
      <c r="R301" s="7">
        <f>IF($W301="","",Q301*P301)</f>
        <v/>
      </c>
      <c r="S301" s="7">
        <f>IF($W301="","",R301+O301)</f>
        <v/>
      </c>
      <c r="T301" s="7">
        <f>IF($W301="","",V301-S301)</f>
        <v/>
      </c>
      <c r="U301" s="7">
        <f>IF($W301="","",V301-S301-K301)</f>
        <v/>
      </c>
      <c r="V301" s="7">
        <f>IF($W301="","",N301+Q301)</f>
        <v/>
      </c>
      <c r="W301" s="16">
        <f>IF(ROWS($W$2:$W301)&lt;=MAX('Per Line'!$AA$2:$AA$3001),MATCH(ROWS($W$2:$W301),'Per Line'!$AA$2:$AA$3001,0),"")</f>
        <v/>
      </c>
      <c r="X301">
        <f>IF($W301="","",D301&amp;"|"&amp;COUNTIF($D$2:$D301,D301))</f>
        <v/>
      </c>
    </row>
    <row r="302">
      <c r="A302" s="15" t="n"/>
      <c r="B302">
        <f>IF($W302="","",INDEX('Per Line'!$B$2:$B$3001,$W302)&amp;"")</f>
        <v/>
      </c>
      <c r="C302">
        <f>IF($W302="","",INDEX('Per Line'!$C$2:$C$3001,$W302)&amp;"")</f>
        <v/>
      </c>
      <c r="D302">
        <f>IF($W302="","",IF(OR(TRIM(E302)="Orient Insurance Company",TRIM(E302)="Allianz"),TRIM(E302),TRIM(F302)))</f>
        <v/>
      </c>
      <c r="E302">
        <f>IF($W302="","",INDEX('Per Line'!$E$2:$E$3001,$W302)&amp;"")</f>
        <v/>
      </c>
      <c r="F302">
        <f>IF($W302="","",INDEX('Per Line'!$D$2:$D$3001,$W302)&amp;"")</f>
        <v/>
      </c>
      <c r="G302">
        <f>IF($W302="","",INDEX('Per Line'!$F$2:$F$3001,$W302)&amp;"")</f>
        <v/>
      </c>
      <c r="H302">
        <f>IF($W302="","",INDEX('Per Line'!$G$2:$G$3001,$W302)&amp;"")</f>
        <v/>
      </c>
      <c r="I302">
        <f>IF($W302="","",INDEX('Per Line'!$H$2:$H$3001,$W302)&amp;"")</f>
        <v/>
      </c>
      <c r="J302">
        <f>IF($W302="","",INDEX('Per Line'!$I$2:$I$3001,$W302))</f>
        <v/>
      </c>
      <c r="K302" s="7">
        <f>IF($W302="","",J302*T302/100)</f>
        <v/>
      </c>
      <c r="L302" s="14">
        <f>IF($W302="","",INDEX('Per Line'!$V$2:$V$3001,$W302))</f>
        <v/>
      </c>
      <c r="M302">
        <f>IF($W302="","",IF(ISNUMBER(SEARCH("3&amp;12",SUBSTITUTE(F302," ",""))),Settings!$G$7,Settings!$C$7))</f>
        <v/>
      </c>
      <c r="N302" s="7">
        <f>IF($W302="","",SUMIFS('Per Line'!$O$2:$O$3001,'Per Line'!$B$2:$B$3001,$B302,'Per Line'!$AB$2:$AB$3001,0))</f>
        <v/>
      </c>
      <c r="O302" s="7">
        <f>IF($W302="","",N302*M302)</f>
        <v/>
      </c>
      <c r="P302">
        <f>IF($W302="","",IF(ISNUMBER(SEARCH("3&amp;12",SUBSTITUTE(F302," ",""))),Settings!$G$6,Settings!$C$6))</f>
        <v/>
      </c>
      <c r="Q302" s="7">
        <f>IF($W302="","",SUMIFS('Per Line'!$O$2:$O$3001,'Per Line'!$B$2:$B$3001,$B302,'Per Line'!$AB$2:$AB$3001,1))</f>
        <v/>
      </c>
      <c r="R302" s="7">
        <f>IF($W302="","",Q302*P302)</f>
        <v/>
      </c>
      <c r="S302" s="7">
        <f>IF($W302="","",R302+O302)</f>
        <v/>
      </c>
      <c r="T302" s="7">
        <f>IF($W302="","",V302-S302)</f>
        <v/>
      </c>
      <c r="U302" s="7">
        <f>IF($W302="","",V302-S302-K302)</f>
        <v/>
      </c>
      <c r="V302" s="7">
        <f>IF($W302="","",N302+Q302)</f>
        <v/>
      </c>
      <c r="W302" s="16">
        <f>IF(ROWS($W$2:$W302)&lt;=MAX('Per Line'!$AA$2:$AA$3001),MATCH(ROWS($W$2:$W302),'Per Line'!$AA$2:$AA$3001,0),"")</f>
        <v/>
      </c>
      <c r="X302">
        <f>IF($W302="","",D302&amp;"|"&amp;COUNTIF($D$2:$D302,D302))</f>
        <v/>
      </c>
    </row>
    <row r="303">
      <c r="A303" s="15" t="n"/>
      <c r="B303">
        <f>IF($W303="","",INDEX('Per Line'!$B$2:$B$3001,$W303)&amp;"")</f>
        <v/>
      </c>
      <c r="C303">
        <f>IF($W303="","",INDEX('Per Line'!$C$2:$C$3001,$W303)&amp;"")</f>
        <v/>
      </c>
      <c r="D303">
        <f>IF($W303="","",IF(OR(TRIM(E303)="Orient Insurance Company",TRIM(E303)="Allianz"),TRIM(E303),TRIM(F303)))</f>
        <v/>
      </c>
      <c r="E303">
        <f>IF($W303="","",INDEX('Per Line'!$E$2:$E$3001,$W303)&amp;"")</f>
        <v/>
      </c>
      <c r="F303">
        <f>IF($W303="","",INDEX('Per Line'!$D$2:$D$3001,$W303)&amp;"")</f>
        <v/>
      </c>
      <c r="G303">
        <f>IF($W303="","",INDEX('Per Line'!$F$2:$F$3001,$W303)&amp;"")</f>
        <v/>
      </c>
      <c r="H303">
        <f>IF($W303="","",INDEX('Per Line'!$G$2:$G$3001,$W303)&amp;"")</f>
        <v/>
      </c>
      <c r="I303">
        <f>IF($W303="","",INDEX('Per Line'!$H$2:$H$3001,$W303)&amp;"")</f>
        <v/>
      </c>
      <c r="J303">
        <f>IF($W303="","",INDEX('Per Line'!$I$2:$I$3001,$W303))</f>
        <v/>
      </c>
      <c r="K303" s="7">
        <f>IF($W303="","",J303*T303/100)</f>
        <v/>
      </c>
      <c r="L303" s="14">
        <f>IF($W303="","",INDEX('Per Line'!$V$2:$V$3001,$W303))</f>
        <v/>
      </c>
      <c r="M303">
        <f>IF($W303="","",IF(ISNUMBER(SEARCH("3&amp;12",SUBSTITUTE(F303," ",""))),Settings!$G$7,Settings!$C$7))</f>
        <v/>
      </c>
      <c r="N303" s="7">
        <f>IF($W303="","",SUMIFS('Per Line'!$O$2:$O$3001,'Per Line'!$B$2:$B$3001,$B303,'Per Line'!$AB$2:$AB$3001,0))</f>
        <v/>
      </c>
      <c r="O303" s="7">
        <f>IF($W303="","",N303*M303)</f>
        <v/>
      </c>
      <c r="P303">
        <f>IF($W303="","",IF(ISNUMBER(SEARCH("3&amp;12",SUBSTITUTE(F303," ",""))),Settings!$G$6,Settings!$C$6))</f>
        <v/>
      </c>
      <c r="Q303" s="7">
        <f>IF($W303="","",SUMIFS('Per Line'!$O$2:$O$3001,'Per Line'!$B$2:$B$3001,$B303,'Per Line'!$AB$2:$AB$3001,1))</f>
        <v/>
      </c>
      <c r="R303" s="7">
        <f>IF($W303="","",Q303*P303)</f>
        <v/>
      </c>
      <c r="S303" s="7">
        <f>IF($W303="","",R303+O303)</f>
        <v/>
      </c>
      <c r="T303" s="7">
        <f>IF($W303="","",V303-S303)</f>
        <v/>
      </c>
      <c r="U303" s="7">
        <f>IF($W303="","",V303-S303-K303)</f>
        <v/>
      </c>
      <c r="V303" s="7">
        <f>IF($W303="","",N303+Q303)</f>
        <v/>
      </c>
      <c r="W303" s="16">
        <f>IF(ROWS($W$2:$W303)&lt;=MAX('Per Line'!$AA$2:$AA$3001),MATCH(ROWS($W$2:$W303),'Per Line'!$AA$2:$AA$3001,0),"")</f>
        <v/>
      </c>
      <c r="X303">
        <f>IF($W303="","",D303&amp;"|"&amp;COUNTIF($D$2:$D303,D303))</f>
        <v/>
      </c>
    </row>
    <row r="304">
      <c r="A304" s="15" t="n"/>
      <c r="B304">
        <f>IF($W304="","",INDEX('Per Line'!$B$2:$B$3001,$W304)&amp;"")</f>
        <v/>
      </c>
      <c r="C304">
        <f>IF($W304="","",INDEX('Per Line'!$C$2:$C$3001,$W304)&amp;"")</f>
        <v/>
      </c>
      <c r="D304">
        <f>IF($W304="","",IF(OR(TRIM(E304)="Orient Insurance Company",TRIM(E304)="Allianz"),TRIM(E304),TRIM(F304)))</f>
        <v/>
      </c>
      <c r="E304">
        <f>IF($W304="","",INDEX('Per Line'!$E$2:$E$3001,$W304)&amp;"")</f>
        <v/>
      </c>
      <c r="F304">
        <f>IF($W304="","",INDEX('Per Line'!$D$2:$D$3001,$W304)&amp;"")</f>
        <v/>
      </c>
      <c r="G304">
        <f>IF($W304="","",INDEX('Per Line'!$F$2:$F$3001,$W304)&amp;"")</f>
        <v/>
      </c>
      <c r="H304">
        <f>IF($W304="","",INDEX('Per Line'!$G$2:$G$3001,$W304)&amp;"")</f>
        <v/>
      </c>
      <c r="I304">
        <f>IF($W304="","",INDEX('Per Line'!$H$2:$H$3001,$W304)&amp;"")</f>
        <v/>
      </c>
      <c r="J304">
        <f>IF($W304="","",INDEX('Per Line'!$I$2:$I$3001,$W304))</f>
        <v/>
      </c>
      <c r="K304" s="7">
        <f>IF($W304="","",J304*T304/100)</f>
        <v/>
      </c>
      <c r="L304" s="14">
        <f>IF($W304="","",INDEX('Per Line'!$V$2:$V$3001,$W304))</f>
        <v/>
      </c>
      <c r="M304">
        <f>IF($W304="","",IF(ISNUMBER(SEARCH("3&amp;12",SUBSTITUTE(F304," ",""))),Settings!$G$7,Settings!$C$7))</f>
        <v/>
      </c>
      <c r="N304" s="7">
        <f>IF($W304="","",SUMIFS('Per Line'!$O$2:$O$3001,'Per Line'!$B$2:$B$3001,$B304,'Per Line'!$AB$2:$AB$3001,0))</f>
        <v/>
      </c>
      <c r="O304" s="7">
        <f>IF($W304="","",N304*M304)</f>
        <v/>
      </c>
      <c r="P304">
        <f>IF($W304="","",IF(ISNUMBER(SEARCH("3&amp;12",SUBSTITUTE(F304," ",""))),Settings!$G$6,Settings!$C$6))</f>
        <v/>
      </c>
      <c r="Q304" s="7">
        <f>IF($W304="","",SUMIFS('Per Line'!$O$2:$O$3001,'Per Line'!$B$2:$B$3001,$B304,'Per Line'!$AB$2:$AB$3001,1))</f>
        <v/>
      </c>
      <c r="R304" s="7">
        <f>IF($W304="","",Q304*P304)</f>
        <v/>
      </c>
      <c r="S304" s="7">
        <f>IF($W304="","",R304+O304)</f>
        <v/>
      </c>
      <c r="T304" s="7">
        <f>IF($W304="","",V304-S304)</f>
        <v/>
      </c>
      <c r="U304" s="7">
        <f>IF($W304="","",V304-S304-K304)</f>
        <v/>
      </c>
      <c r="V304" s="7">
        <f>IF($W304="","",N304+Q304)</f>
        <v/>
      </c>
      <c r="W304" s="16">
        <f>IF(ROWS($W$2:$W304)&lt;=MAX('Per Line'!$AA$2:$AA$3001),MATCH(ROWS($W$2:$W304),'Per Line'!$AA$2:$AA$3001,0),"")</f>
        <v/>
      </c>
      <c r="X304">
        <f>IF($W304="","",D304&amp;"|"&amp;COUNTIF($D$2:$D304,D304))</f>
        <v/>
      </c>
    </row>
    <row r="305">
      <c r="A305" s="15" t="n"/>
      <c r="B305">
        <f>IF($W305="","",INDEX('Per Line'!$B$2:$B$3001,$W305)&amp;"")</f>
        <v/>
      </c>
      <c r="C305">
        <f>IF($W305="","",INDEX('Per Line'!$C$2:$C$3001,$W305)&amp;"")</f>
        <v/>
      </c>
      <c r="D305">
        <f>IF($W305="","",IF(OR(TRIM(E305)="Orient Insurance Company",TRIM(E305)="Allianz"),TRIM(E305),TRIM(F305)))</f>
        <v/>
      </c>
      <c r="E305">
        <f>IF($W305="","",INDEX('Per Line'!$E$2:$E$3001,$W305)&amp;"")</f>
        <v/>
      </c>
      <c r="F305">
        <f>IF($W305="","",INDEX('Per Line'!$D$2:$D$3001,$W305)&amp;"")</f>
        <v/>
      </c>
      <c r="G305">
        <f>IF($W305="","",INDEX('Per Line'!$F$2:$F$3001,$W305)&amp;"")</f>
        <v/>
      </c>
      <c r="H305">
        <f>IF($W305="","",INDEX('Per Line'!$G$2:$G$3001,$W305)&amp;"")</f>
        <v/>
      </c>
      <c r="I305">
        <f>IF($W305="","",INDEX('Per Line'!$H$2:$H$3001,$W305)&amp;"")</f>
        <v/>
      </c>
      <c r="J305">
        <f>IF($W305="","",INDEX('Per Line'!$I$2:$I$3001,$W305))</f>
        <v/>
      </c>
      <c r="K305" s="7">
        <f>IF($W305="","",J305*T305/100)</f>
        <v/>
      </c>
      <c r="L305" s="14">
        <f>IF($W305="","",INDEX('Per Line'!$V$2:$V$3001,$W305))</f>
        <v/>
      </c>
      <c r="M305">
        <f>IF($W305="","",IF(ISNUMBER(SEARCH("3&amp;12",SUBSTITUTE(F305," ",""))),Settings!$G$7,Settings!$C$7))</f>
        <v/>
      </c>
      <c r="N305" s="7">
        <f>IF($W305="","",SUMIFS('Per Line'!$O$2:$O$3001,'Per Line'!$B$2:$B$3001,$B305,'Per Line'!$AB$2:$AB$3001,0))</f>
        <v/>
      </c>
      <c r="O305" s="7">
        <f>IF($W305="","",N305*M305)</f>
        <v/>
      </c>
      <c r="P305">
        <f>IF($W305="","",IF(ISNUMBER(SEARCH("3&amp;12",SUBSTITUTE(F305," ",""))),Settings!$G$6,Settings!$C$6))</f>
        <v/>
      </c>
      <c r="Q305" s="7">
        <f>IF($W305="","",SUMIFS('Per Line'!$O$2:$O$3001,'Per Line'!$B$2:$B$3001,$B305,'Per Line'!$AB$2:$AB$3001,1))</f>
        <v/>
      </c>
      <c r="R305" s="7">
        <f>IF($W305="","",Q305*P305)</f>
        <v/>
      </c>
      <c r="S305" s="7">
        <f>IF($W305="","",R305+O305)</f>
        <v/>
      </c>
      <c r="T305" s="7">
        <f>IF($W305="","",V305-S305)</f>
        <v/>
      </c>
      <c r="U305" s="7">
        <f>IF($W305="","",V305-S305-K305)</f>
        <v/>
      </c>
      <c r="V305" s="7">
        <f>IF($W305="","",N305+Q305)</f>
        <v/>
      </c>
      <c r="W305" s="16">
        <f>IF(ROWS($W$2:$W305)&lt;=MAX('Per Line'!$AA$2:$AA$3001),MATCH(ROWS($W$2:$W305),'Per Line'!$AA$2:$AA$3001,0),"")</f>
        <v/>
      </c>
      <c r="X305">
        <f>IF($W305="","",D305&amp;"|"&amp;COUNTIF($D$2:$D305,D305))</f>
        <v/>
      </c>
    </row>
    <row r="306">
      <c r="A306" s="15" t="n"/>
      <c r="B306">
        <f>IF($W306="","",INDEX('Per Line'!$B$2:$B$3001,$W306)&amp;"")</f>
        <v/>
      </c>
      <c r="C306">
        <f>IF($W306="","",INDEX('Per Line'!$C$2:$C$3001,$W306)&amp;"")</f>
        <v/>
      </c>
      <c r="D306">
        <f>IF($W306="","",IF(OR(TRIM(E306)="Orient Insurance Company",TRIM(E306)="Allianz"),TRIM(E306),TRIM(F306)))</f>
        <v/>
      </c>
      <c r="E306">
        <f>IF($W306="","",INDEX('Per Line'!$E$2:$E$3001,$W306)&amp;"")</f>
        <v/>
      </c>
      <c r="F306">
        <f>IF($W306="","",INDEX('Per Line'!$D$2:$D$3001,$W306)&amp;"")</f>
        <v/>
      </c>
      <c r="G306">
        <f>IF($W306="","",INDEX('Per Line'!$F$2:$F$3001,$W306)&amp;"")</f>
        <v/>
      </c>
      <c r="H306">
        <f>IF($W306="","",INDEX('Per Line'!$G$2:$G$3001,$W306)&amp;"")</f>
        <v/>
      </c>
      <c r="I306">
        <f>IF($W306="","",INDEX('Per Line'!$H$2:$H$3001,$W306)&amp;"")</f>
        <v/>
      </c>
      <c r="J306">
        <f>IF($W306="","",INDEX('Per Line'!$I$2:$I$3001,$W306))</f>
        <v/>
      </c>
      <c r="K306" s="7">
        <f>IF($W306="","",J306*T306/100)</f>
        <v/>
      </c>
      <c r="L306" s="14">
        <f>IF($W306="","",INDEX('Per Line'!$V$2:$V$3001,$W306))</f>
        <v/>
      </c>
      <c r="M306">
        <f>IF($W306="","",IF(ISNUMBER(SEARCH("3&amp;12",SUBSTITUTE(F306," ",""))),Settings!$G$7,Settings!$C$7))</f>
        <v/>
      </c>
      <c r="N306" s="7">
        <f>IF($W306="","",SUMIFS('Per Line'!$O$2:$O$3001,'Per Line'!$B$2:$B$3001,$B306,'Per Line'!$AB$2:$AB$3001,0))</f>
        <v/>
      </c>
      <c r="O306" s="7">
        <f>IF($W306="","",N306*M306)</f>
        <v/>
      </c>
      <c r="P306">
        <f>IF($W306="","",IF(ISNUMBER(SEARCH("3&amp;12",SUBSTITUTE(F306," ",""))),Settings!$G$6,Settings!$C$6))</f>
        <v/>
      </c>
      <c r="Q306" s="7">
        <f>IF($W306="","",SUMIFS('Per Line'!$O$2:$O$3001,'Per Line'!$B$2:$B$3001,$B306,'Per Line'!$AB$2:$AB$3001,1))</f>
        <v/>
      </c>
      <c r="R306" s="7">
        <f>IF($W306="","",Q306*P306)</f>
        <v/>
      </c>
      <c r="S306" s="7">
        <f>IF($W306="","",R306+O306)</f>
        <v/>
      </c>
      <c r="T306" s="7">
        <f>IF($W306="","",V306-S306)</f>
        <v/>
      </c>
      <c r="U306" s="7">
        <f>IF($W306="","",V306-S306-K306)</f>
        <v/>
      </c>
      <c r="V306" s="7">
        <f>IF($W306="","",N306+Q306)</f>
        <v/>
      </c>
      <c r="W306" s="16">
        <f>IF(ROWS($W$2:$W306)&lt;=MAX('Per Line'!$AA$2:$AA$3001),MATCH(ROWS($W$2:$W306),'Per Line'!$AA$2:$AA$3001,0),"")</f>
        <v/>
      </c>
      <c r="X306">
        <f>IF($W306="","",D306&amp;"|"&amp;COUNTIF($D$2:$D306,D306))</f>
        <v/>
      </c>
    </row>
    <row r="307">
      <c r="A307" s="15" t="n"/>
      <c r="B307">
        <f>IF($W307="","",INDEX('Per Line'!$B$2:$B$3001,$W307)&amp;"")</f>
        <v/>
      </c>
      <c r="C307">
        <f>IF($W307="","",INDEX('Per Line'!$C$2:$C$3001,$W307)&amp;"")</f>
        <v/>
      </c>
      <c r="D307">
        <f>IF($W307="","",IF(OR(TRIM(E307)="Orient Insurance Company",TRIM(E307)="Allianz"),TRIM(E307),TRIM(F307)))</f>
        <v/>
      </c>
      <c r="E307">
        <f>IF($W307="","",INDEX('Per Line'!$E$2:$E$3001,$W307)&amp;"")</f>
        <v/>
      </c>
      <c r="F307">
        <f>IF($W307="","",INDEX('Per Line'!$D$2:$D$3001,$W307)&amp;"")</f>
        <v/>
      </c>
      <c r="G307">
        <f>IF($W307="","",INDEX('Per Line'!$F$2:$F$3001,$W307)&amp;"")</f>
        <v/>
      </c>
      <c r="H307">
        <f>IF($W307="","",INDEX('Per Line'!$G$2:$G$3001,$W307)&amp;"")</f>
        <v/>
      </c>
      <c r="I307">
        <f>IF($W307="","",INDEX('Per Line'!$H$2:$H$3001,$W307)&amp;"")</f>
        <v/>
      </c>
      <c r="J307">
        <f>IF($W307="","",INDEX('Per Line'!$I$2:$I$3001,$W307))</f>
        <v/>
      </c>
      <c r="K307" s="7">
        <f>IF($W307="","",J307*T307/100)</f>
        <v/>
      </c>
      <c r="L307" s="14">
        <f>IF($W307="","",INDEX('Per Line'!$V$2:$V$3001,$W307))</f>
        <v/>
      </c>
      <c r="M307">
        <f>IF($W307="","",IF(ISNUMBER(SEARCH("3&amp;12",SUBSTITUTE(F307," ",""))),Settings!$G$7,Settings!$C$7))</f>
        <v/>
      </c>
      <c r="N307" s="7">
        <f>IF($W307="","",SUMIFS('Per Line'!$O$2:$O$3001,'Per Line'!$B$2:$B$3001,$B307,'Per Line'!$AB$2:$AB$3001,0))</f>
        <v/>
      </c>
      <c r="O307" s="7">
        <f>IF($W307="","",N307*M307)</f>
        <v/>
      </c>
      <c r="P307">
        <f>IF($W307="","",IF(ISNUMBER(SEARCH("3&amp;12",SUBSTITUTE(F307," ",""))),Settings!$G$6,Settings!$C$6))</f>
        <v/>
      </c>
      <c r="Q307" s="7">
        <f>IF($W307="","",SUMIFS('Per Line'!$O$2:$O$3001,'Per Line'!$B$2:$B$3001,$B307,'Per Line'!$AB$2:$AB$3001,1))</f>
        <v/>
      </c>
      <c r="R307" s="7">
        <f>IF($W307="","",Q307*P307)</f>
        <v/>
      </c>
      <c r="S307" s="7">
        <f>IF($W307="","",R307+O307)</f>
        <v/>
      </c>
      <c r="T307" s="7">
        <f>IF($W307="","",V307-S307)</f>
        <v/>
      </c>
      <c r="U307" s="7">
        <f>IF($W307="","",V307-S307-K307)</f>
        <v/>
      </c>
      <c r="V307" s="7">
        <f>IF($W307="","",N307+Q307)</f>
        <v/>
      </c>
      <c r="W307" s="16">
        <f>IF(ROWS($W$2:$W307)&lt;=MAX('Per Line'!$AA$2:$AA$3001),MATCH(ROWS($W$2:$W307),'Per Line'!$AA$2:$AA$3001,0),"")</f>
        <v/>
      </c>
      <c r="X307">
        <f>IF($W307="","",D307&amp;"|"&amp;COUNTIF($D$2:$D307,D307))</f>
        <v/>
      </c>
    </row>
    <row r="308">
      <c r="A308" s="15" t="n"/>
      <c r="B308">
        <f>IF($W308="","",INDEX('Per Line'!$B$2:$B$3001,$W308)&amp;"")</f>
        <v/>
      </c>
      <c r="C308">
        <f>IF($W308="","",INDEX('Per Line'!$C$2:$C$3001,$W308)&amp;"")</f>
        <v/>
      </c>
      <c r="D308">
        <f>IF($W308="","",IF(OR(TRIM(E308)="Orient Insurance Company",TRIM(E308)="Allianz"),TRIM(E308),TRIM(F308)))</f>
        <v/>
      </c>
      <c r="E308">
        <f>IF($W308="","",INDEX('Per Line'!$E$2:$E$3001,$W308)&amp;"")</f>
        <v/>
      </c>
      <c r="F308">
        <f>IF($W308="","",INDEX('Per Line'!$D$2:$D$3001,$W308)&amp;"")</f>
        <v/>
      </c>
      <c r="G308">
        <f>IF($W308="","",INDEX('Per Line'!$F$2:$F$3001,$W308)&amp;"")</f>
        <v/>
      </c>
      <c r="H308">
        <f>IF($W308="","",INDEX('Per Line'!$G$2:$G$3001,$W308)&amp;"")</f>
        <v/>
      </c>
      <c r="I308">
        <f>IF($W308="","",INDEX('Per Line'!$H$2:$H$3001,$W308)&amp;"")</f>
        <v/>
      </c>
      <c r="J308">
        <f>IF($W308="","",INDEX('Per Line'!$I$2:$I$3001,$W308))</f>
        <v/>
      </c>
      <c r="K308" s="7">
        <f>IF($W308="","",J308*T308/100)</f>
        <v/>
      </c>
      <c r="L308" s="14">
        <f>IF($W308="","",INDEX('Per Line'!$V$2:$V$3001,$W308))</f>
        <v/>
      </c>
      <c r="M308">
        <f>IF($W308="","",IF(ISNUMBER(SEARCH("3&amp;12",SUBSTITUTE(F308," ",""))),Settings!$G$7,Settings!$C$7))</f>
        <v/>
      </c>
      <c r="N308" s="7">
        <f>IF($W308="","",SUMIFS('Per Line'!$O$2:$O$3001,'Per Line'!$B$2:$B$3001,$B308,'Per Line'!$AB$2:$AB$3001,0))</f>
        <v/>
      </c>
      <c r="O308" s="7">
        <f>IF($W308="","",N308*M308)</f>
        <v/>
      </c>
      <c r="P308">
        <f>IF($W308="","",IF(ISNUMBER(SEARCH("3&amp;12",SUBSTITUTE(F308," ",""))),Settings!$G$6,Settings!$C$6))</f>
        <v/>
      </c>
      <c r="Q308" s="7">
        <f>IF($W308="","",SUMIFS('Per Line'!$O$2:$O$3001,'Per Line'!$B$2:$B$3001,$B308,'Per Line'!$AB$2:$AB$3001,1))</f>
        <v/>
      </c>
      <c r="R308" s="7">
        <f>IF($W308="","",Q308*P308)</f>
        <v/>
      </c>
      <c r="S308" s="7">
        <f>IF($W308="","",R308+O308)</f>
        <v/>
      </c>
      <c r="T308" s="7">
        <f>IF($W308="","",V308-S308)</f>
        <v/>
      </c>
      <c r="U308" s="7">
        <f>IF($W308="","",V308-S308-K308)</f>
        <v/>
      </c>
      <c r="V308" s="7">
        <f>IF($W308="","",N308+Q308)</f>
        <v/>
      </c>
      <c r="W308" s="16">
        <f>IF(ROWS($W$2:$W308)&lt;=MAX('Per Line'!$AA$2:$AA$3001),MATCH(ROWS($W$2:$W308),'Per Line'!$AA$2:$AA$3001,0),"")</f>
        <v/>
      </c>
      <c r="X308">
        <f>IF($W308="","",D308&amp;"|"&amp;COUNTIF($D$2:$D308,D308))</f>
        <v/>
      </c>
    </row>
    <row r="309">
      <c r="A309" s="15" t="n"/>
      <c r="B309">
        <f>IF($W309="","",INDEX('Per Line'!$B$2:$B$3001,$W309)&amp;"")</f>
        <v/>
      </c>
      <c r="C309">
        <f>IF($W309="","",INDEX('Per Line'!$C$2:$C$3001,$W309)&amp;"")</f>
        <v/>
      </c>
      <c r="D309">
        <f>IF($W309="","",IF(OR(TRIM(E309)="Orient Insurance Company",TRIM(E309)="Allianz"),TRIM(E309),TRIM(F309)))</f>
        <v/>
      </c>
      <c r="E309">
        <f>IF($W309="","",INDEX('Per Line'!$E$2:$E$3001,$W309)&amp;"")</f>
        <v/>
      </c>
      <c r="F309">
        <f>IF($W309="","",INDEX('Per Line'!$D$2:$D$3001,$W309)&amp;"")</f>
        <v/>
      </c>
      <c r="G309">
        <f>IF($W309="","",INDEX('Per Line'!$F$2:$F$3001,$W309)&amp;"")</f>
        <v/>
      </c>
      <c r="H309">
        <f>IF($W309="","",INDEX('Per Line'!$G$2:$G$3001,$W309)&amp;"")</f>
        <v/>
      </c>
      <c r="I309">
        <f>IF($W309="","",INDEX('Per Line'!$H$2:$H$3001,$W309)&amp;"")</f>
        <v/>
      </c>
      <c r="J309">
        <f>IF($W309="","",INDEX('Per Line'!$I$2:$I$3001,$W309))</f>
        <v/>
      </c>
      <c r="K309" s="7">
        <f>IF($W309="","",J309*T309/100)</f>
        <v/>
      </c>
      <c r="L309" s="14">
        <f>IF($W309="","",INDEX('Per Line'!$V$2:$V$3001,$W309))</f>
        <v/>
      </c>
      <c r="M309">
        <f>IF($W309="","",IF(ISNUMBER(SEARCH("3&amp;12",SUBSTITUTE(F309," ",""))),Settings!$G$7,Settings!$C$7))</f>
        <v/>
      </c>
      <c r="N309" s="7">
        <f>IF($W309="","",SUMIFS('Per Line'!$O$2:$O$3001,'Per Line'!$B$2:$B$3001,$B309,'Per Line'!$AB$2:$AB$3001,0))</f>
        <v/>
      </c>
      <c r="O309" s="7">
        <f>IF($W309="","",N309*M309)</f>
        <v/>
      </c>
      <c r="P309">
        <f>IF($W309="","",IF(ISNUMBER(SEARCH("3&amp;12",SUBSTITUTE(F309," ",""))),Settings!$G$6,Settings!$C$6))</f>
        <v/>
      </c>
      <c r="Q309" s="7">
        <f>IF($W309="","",SUMIFS('Per Line'!$O$2:$O$3001,'Per Line'!$B$2:$B$3001,$B309,'Per Line'!$AB$2:$AB$3001,1))</f>
        <v/>
      </c>
      <c r="R309" s="7">
        <f>IF($W309="","",Q309*P309)</f>
        <v/>
      </c>
      <c r="S309" s="7">
        <f>IF($W309="","",R309+O309)</f>
        <v/>
      </c>
      <c r="T309" s="7">
        <f>IF($W309="","",V309-S309)</f>
        <v/>
      </c>
      <c r="U309" s="7">
        <f>IF($W309="","",V309-S309-K309)</f>
        <v/>
      </c>
      <c r="V309" s="7">
        <f>IF($W309="","",N309+Q309)</f>
        <v/>
      </c>
      <c r="W309" s="16">
        <f>IF(ROWS($W$2:$W309)&lt;=MAX('Per Line'!$AA$2:$AA$3001),MATCH(ROWS($W$2:$W309),'Per Line'!$AA$2:$AA$3001,0),"")</f>
        <v/>
      </c>
      <c r="X309">
        <f>IF($W309="","",D309&amp;"|"&amp;COUNTIF($D$2:$D309,D309))</f>
        <v/>
      </c>
    </row>
    <row r="310">
      <c r="A310" s="15" t="n"/>
      <c r="B310">
        <f>IF($W310="","",INDEX('Per Line'!$B$2:$B$3001,$W310)&amp;"")</f>
        <v/>
      </c>
      <c r="C310">
        <f>IF($W310="","",INDEX('Per Line'!$C$2:$C$3001,$W310)&amp;"")</f>
        <v/>
      </c>
      <c r="D310">
        <f>IF($W310="","",IF(OR(TRIM(E310)="Orient Insurance Company",TRIM(E310)="Allianz"),TRIM(E310),TRIM(F310)))</f>
        <v/>
      </c>
      <c r="E310">
        <f>IF($W310="","",INDEX('Per Line'!$E$2:$E$3001,$W310)&amp;"")</f>
        <v/>
      </c>
      <c r="F310">
        <f>IF($W310="","",INDEX('Per Line'!$D$2:$D$3001,$W310)&amp;"")</f>
        <v/>
      </c>
      <c r="G310">
        <f>IF($W310="","",INDEX('Per Line'!$F$2:$F$3001,$W310)&amp;"")</f>
        <v/>
      </c>
      <c r="H310">
        <f>IF($W310="","",INDEX('Per Line'!$G$2:$G$3001,$W310)&amp;"")</f>
        <v/>
      </c>
      <c r="I310">
        <f>IF($W310="","",INDEX('Per Line'!$H$2:$H$3001,$W310)&amp;"")</f>
        <v/>
      </c>
      <c r="J310">
        <f>IF($W310="","",INDEX('Per Line'!$I$2:$I$3001,$W310))</f>
        <v/>
      </c>
      <c r="K310" s="7">
        <f>IF($W310="","",J310*T310/100)</f>
        <v/>
      </c>
      <c r="L310" s="14">
        <f>IF($W310="","",INDEX('Per Line'!$V$2:$V$3001,$W310))</f>
        <v/>
      </c>
      <c r="M310">
        <f>IF($W310="","",IF(ISNUMBER(SEARCH("3&amp;12",SUBSTITUTE(F310," ",""))),Settings!$G$7,Settings!$C$7))</f>
        <v/>
      </c>
      <c r="N310" s="7">
        <f>IF($W310="","",SUMIFS('Per Line'!$O$2:$O$3001,'Per Line'!$B$2:$B$3001,$B310,'Per Line'!$AB$2:$AB$3001,0))</f>
        <v/>
      </c>
      <c r="O310" s="7">
        <f>IF($W310="","",N310*M310)</f>
        <v/>
      </c>
      <c r="P310">
        <f>IF($W310="","",IF(ISNUMBER(SEARCH("3&amp;12",SUBSTITUTE(F310," ",""))),Settings!$G$6,Settings!$C$6))</f>
        <v/>
      </c>
      <c r="Q310" s="7">
        <f>IF($W310="","",SUMIFS('Per Line'!$O$2:$O$3001,'Per Line'!$B$2:$B$3001,$B310,'Per Line'!$AB$2:$AB$3001,1))</f>
        <v/>
      </c>
      <c r="R310" s="7">
        <f>IF($W310="","",Q310*P310)</f>
        <v/>
      </c>
      <c r="S310" s="7">
        <f>IF($W310="","",R310+O310)</f>
        <v/>
      </c>
      <c r="T310" s="7">
        <f>IF($W310="","",V310-S310)</f>
        <v/>
      </c>
      <c r="U310" s="7">
        <f>IF($W310="","",V310-S310-K310)</f>
        <v/>
      </c>
      <c r="V310" s="7">
        <f>IF($W310="","",N310+Q310)</f>
        <v/>
      </c>
      <c r="W310" s="16">
        <f>IF(ROWS($W$2:$W310)&lt;=MAX('Per Line'!$AA$2:$AA$3001),MATCH(ROWS($W$2:$W310),'Per Line'!$AA$2:$AA$3001,0),"")</f>
        <v/>
      </c>
      <c r="X310">
        <f>IF($W310="","",D310&amp;"|"&amp;COUNTIF($D$2:$D310,D310))</f>
        <v/>
      </c>
    </row>
    <row r="311">
      <c r="A311" s="15" t="n"/>
      <c r="B311">
        <f>IF($W311="","",INDEX('Per Line'!$B$2:$B$3001,$W311)&amp;"")</f>
        <v/>
      </c>
      <c r="C311">
        <f>IF($W311="","",INDEX('Per Line'!$C$2:$C$3001,$W311)&amp;"")</f>
        <v/>
      </c>
      <c r="D311">
        <f>IF($W311="","",IF(OR(TRIM(E311)="Orient Insurance Company",TRIM(E311)="Allianz"),TRIM(E311),TRIM(F311)))</f>
        <v/>
      </c>
      <c r="E311">
        <f>IF($W311="","",INDEX('Per Line'!$E$2:$E$3001,$W311)&amp;"")</f>
        <v/>
      </c>
      <c r="F311">
        <f>IF($W311="","",INDEX('Per Line'!$D$2:$D$3001,$W311)&amp;"")</f>
        <v/>
      </c>
      <c r="G311">
        <f>IF($W311="","",INDEX('Per Line'!$F$2:$F$3001,$W311)&amp;"")</f>
        <v/>
      </c>
      <c r="H311">
        <f>IF($W311="","",INDEX('Per Line'!$G$2:$G$3001,$W311)&amp;"")</f>
        <v/>
      </c>
      <c r="I311">
        <f>IF($W311="","",INDEX('Per Line'!$H$2:$H$3001,$W311)&amp;"")</f>
        <v/>
      </c>
      <c r="J311">
        <f>IF($W311="","",INDEX('Per Line'!$I$2:$I$3001,$W311))</f>
        <v/>
      </c>
      <c r="K311" s="7">
        <f>IF($W311="","",J311*T311/100)</f>
        <v/>
      </c>
      <c r="L311" s="14">
        <f>IF($W311="","",INDEX('Per Line'!$V$2:$V$3001,$W311))</f>
        <v/>
      </c>
      <c r="M311">
        <f>IF($W311="","",IF(ISNUMBER(SEARCH("3&amp;12",SUBSTITUTE(F311," ",""))),Settings!$G$7,Settings!$C$7))</f>
        <v/>
      </c>
      <c r="N311" s="7">
        <f>IF($W311="","",SUMIFS('Per Line'!$O$2:$O$3001,'Per Line'!$B$2:$B$3001,$B311,'Per Line'!$AB$2:$AB$3001,0))</f>
        <v/>
      </c>
      <c r="O311" s="7">
        <f>IF($W311="","",N311*M311)</f>
        <v/>
      </c>
      <c r="P311">
        <f>IF($W311="","",IF(ISNUMBER(SEARCH("3&amp;12",SUBSTITUTE(F311," ",""))),Settings!$G$6,Settings!$C$6))</f>
        <v/>
      </c>
      <c r="Q311" s="7">
        <f>IF($W311="","",SUMIFS('Per Line'!$O$2:$O$3001,'Per Line'!$B$2:$B$3001,$B311,'Per Line'!$AB$2:$AB$3001,1))</f>
        <v/>
      </c>
      <c r="R311" s="7">
        <f>IF($W311="","",Q311*P311)</f>
        <v/>
      </c>
      <c r="S311" s="7">
        <f>IF($W311="","",R311+O311)</f>
        <v/>
      </c>
      <c r="T311" s="7">
        <f>IF($W311="","",V311-S311)</f>
        <v/>
      </c>
      <c r="U311" s="7">
        <f>IF($W311="","",V311-S311-K311)</f>
        <v/>
      </c>
      <c r="V311" s="7">
        <f>IF($W311="","",N311+Q311)</f>
        <v/>
      </c>
      <c r="W311" s="16">
        <f>IF(ROWS($W$2:$W311)&lt;=MAX('Per Line'!$AA$2:$AA$3001),MATCH(ROWS($W$2:$W311),'Per Line'!$AA$2:$AA$3001,0),"")</f>
        <v/>
      </c>
      <c r="X311">
        <f>IF($W311="","",D311&amp;"|"&amp;COUNTIF($D$2:$D311,D311))</f>
        <v/>
      </c>
    </row>
    <row r="312">
      <c r="A312" s="15" t="n"/>
      <c r="B312">
        <f>IF($W312="","",INDEX('Per Line'!$B$2:$B$3001,$W312)&amp;"")</f>
        <v/>
      </c>
      <c r="C312">
        <f>IF($W312="","",INDEX('Per Line'!$C$2:$C$3001,$W312)&amp;"")</f>
        <v/>
      </c>
      <c r="D312">
        <f>IF($W312="","",IF(OR(TRIM(E312)="Orient Insurance Company",TRIM(E312)="Allianz"),TRIM(E312),TRIM(F312)))</f>
        <v/>
      </c>
      <c r="E312">
        <f>IF($W312="","",INDEX('Per Line'!$E$2:$E$3001,$W312)&amp;"")</f>
        <v/>
      </c>
      <c r="F312">
        <f>IF($W312="","",INDEX('Per Line'!$D$2:$D$3001,$W312)&amp;"")</f>
        <v/>
      </c>
      <c r="G312">
        <f>IF($W312="","",INDEX('Per Line'!$F$2:$F$3001,$W312)&amp;"")</f>
        <v/>
      </c>
      <c r="H312">
        <f>IF($W312="","",INDEX('Per Line'!$G$2:$G$3001,$W312)&amp;"")</f>
        <v/>
      </c>
      <c r="I312">
        <f>IF($W312="","",INDEX('Per Line'!$H$2:$H$3001,$W312)&amp;"")</f>
        <v/>
      </c>
      <c r="J312">
        <f>IF($W312="","",INDEX('Per Line'!$I$2:$I$3001,$W312))</f>
        <v/>
      </c>
      <c r="K312" s="7">
        <f>IF($W312="","",J312*T312/100)</f>
        <v/>
      </c>
      <c r="L312" s="14">
        <f>IF($W312="","",INDEX('Per Line'!$V$2:$V$3001,$W312))</f>
        <v/>
      </c>
      <c r="M312">
        <f>IF($W312="","",IF(ISNUMBER(SEARCH("3&amp;12",SUBSTITUTE(F312," ",""))),Settings!$G$7,Settings!$C$7))</f>
        <v/>
      </c>
      <c r="N312" s="7">
        <f>IF($W312="","",SUMIFS('Per Line'!$O$2:$O$3001,'Per Line'!$B$2:$B$3001,$B312,'Per Line'!$AB$2:$AB$3001,0))</f>
        <v/>
      </c>
      <c r="O312" s="7">
        <f>IF($W312="","",N312*M312)</f>
        <v/>
      </c>
      <c r="P312">
        <f>IF($W312="","",IF(ISNUMBER(SEARCH("3&amp;12",SUBSTITUTE(F312," ",""))),Settings!$G$6,Settings!$C$6))</f>
        <v/>
      </c>
      <c r="Q312" s="7">
        <f>IF($W312="","",SUMIFS('Per Line'!$O$2:$O$3001,'Per Line'!$B$2:$B$3001,$B312,'Per Line'!$AB$2:$AB$3001,1))</f>
        <v/>
      </c>
      <c r="R312" s="7">
        <f>IF($W312="","",Q312*P312)</f>
        <v/>
      </c>
      <c r="S312" s="7">
        <f>IF($W312="","",R312+O312)</f>
        <v/>
      </c>
      <c r="T312" s="7">
        <f>IF($W312="","",V312-S312)</f>
        <v/>
      </c>
      <c r="U312" s="7">
        <f>IF($W312="","",V312-S312-K312)</f>
        <v/>
      </c>
      <c r="V312" s="7">
        <f>IF($W312="","",N312+Q312)</f>
        <v/>
      </c>
      <c r="W312" s="16">
        <f>IF(ROWS($W$2:$W312)&lt;=MAX('Per Line'!$AA$2:$AA$3001),MATCH(ROWS($W$2:$W312),'Per Line'!$AA$2:$AA$3001,0),"")</f>
        <v/>
      </c>
      <c r="X312">
        <f>IF($W312="","",D312&amp;"|"&amp;COUNTIF($D$2:$D312,D312))</f>
        <v/>
      </c>
    </row>
    <row r="313">
      <c r="A313" s="15" t="n"/>
      <c r="B313">
        <f>IF($W313="","",INDEX('Per Line'!$B$2:$B$3001,$W313)&amp;"")</f>
        <v/>
      </c>
      <c r="C313">
        <f>IF($W313="","",INDEX('Per Line'!$C$2:$C$3001,$W313)&amp;"")</f>
        <v/>
      </c>
      <c r="D313">
        <f>IF($W313="","",IF(OR(TRIM(E313)="Orient Insurance Company",TRIM(E313)="Allianz"),TRIM(E313),TRIM(F313)))</f>
        <v/>
      </c>
      <c r="E313">
        <f>IF($W313="","",INDEX('Per Line'!$E$2:$E$3001,$W313)&amp;"")</f>
        <v/>
      </c>
      <c r="F313">
        <f>IF($W313="","",INDEX('Per Line'!$D$2:$D$3001,$W313)&amp;"")</f>
        <v/>
      </c>
      <c r="G313">
        <f>IF($W313="","",INDEX('Per Line'!$F$2:$F$3001,$W313)&amp;"")</f>
        <v/>
      </c>
      <c r="H313">
        <f>IF($W313="","",INDEX('Per Line'!$G$2:$G$3001,$W313)&amp;"")</f>
        <v/>
      </c>
      <c r="I313">
        <f>IF($W313="","",INDEX('Per Line'!$H$2:$H$3001,$W313)&amp;"")</f>
        <v/>
      </c>
      <c r="J313">
        <f>IF($W313="","",INDEX('Per Line'!$I$2:$I$3001,$W313))</f>
        <v/>
      </c>
      <c r="K313" s="7">
        <f>IF($W313="","",J313*T313/100)</f>
        <v/>
      </c>
      <c r="L313" s="14">
        <f>IF($W313="","",INDEX('Per Line'!$V$2:$V$3001,$W313))</f>
        <v/>
      </c>
      <c r="M313">
        <f>IF($W313="","",IF(ISNUMBER(SEARCH("3&amp;12",SUBSTITUTE(F313," ",""))),Settings!$G$7,Settings!$C$7))</f>
        <v/>
      </c>
      <c r="N313" s="7">
        <f>IF($W313="","",SUMIFS('Per Line'!$O$2:$O$3001,'Per Line'!$B$2:$B$3001,$B313,'Per Line'!$AB$2:$AB$3001,0))</f>
        <v/>
      </c>
      <c r="O313" s="7">
        <f>IF($W313="","",N313*M313)</f>
        <v/>
      </c>
      <c r="P313">
        <f>IF($W313="","",IF(ISNUMBER(SEARCH("3&amp;12",SUBSTITUTE(F313," ",""))),Settings!$G$6,Settings!$C$6))</f>
        <v/>
      </c>
      <c r="Q313" s="7">
        <f>IF($W313="","",SUMIFS('Per Line'!$O$2:$O$3001,'Per Line'!$B$2:$B$3001,$B313,'Per Line'!$AB$2:$AB$3001,1))</f>
        <v/>
      </c>
      <c r="R313" s="7">
        <f>IF($W313="","",Q313*P313)</f>
        <v/>
      </c>
      <c r="S313" s="7">
        <f>IF($W313="","",R313+O313)</f>
        <v/>
      </c>
      <c r="T313" s="7">
        <f>IF($W313="","",V313-S313)</f>
        <v/>
      </c>
      <c r="U313" s="7">
        <f>IF($W313="","",V313-S313-K313)</f>
        <v/>
      </c>
      <c r="V313" s="7">
        <f>IF($W313="","",N313+Q313)</f>
        <v/>
      </c>
      <c r="W313" s="16">
        <f>IF(ROWS($W$2:$W313)&lt;=MAX('Per Line'!$AA$2:$AA$3001),MATCH(ROWS($W$2:$W313),'Per Line'!$AA$2:$AA$3001,0),"")</f>
        <v/>
      </c>
      <c r="X313">
        <f>IF($W313="","",D313&amp;"|"&amp;COUNTIF($D$2:$D313,D313))</f>
        <v/>
      </c>
    </row>
    <row r="314">
      <c r="A314" s="15" t="n"/>
      <c r="B314">
        <f>IF($W314="","",INDEX('Per Line'!$B$2:$B$3001,$W314)&amp;"")</f>
        <v/>
      </c>
      <c r="C314">
        <f>IF($W314="","",INDEX('Per Line'!$C$2:$C$3001,$W314)&amp;"")</f>
        <v/>
      </c>
      <c r="D314">
        <f>IF($W314="","",IF(OR(TRIM(E314)="Orient Insurance Company",TRIM(E314)="Allianz"),TRIM(E314),TRIM(F314)))</f>
        <v/>
      </c>
      <c r="E314">
        <f>IF($W314="","",INDEX('Per Line'!$E$2:$E$3001,$W314)&amp;"")</f>
        <v/>
      </c>
      <c r="F314">
        <f>IF($W314="","",INDEX('Per Line'!$D$2:$D$3001,$W314)&amp;"")</f>
        <v/>
      </c>
      <c r="G314">
        <f>IF($W314="","",INDEX('Per Line'!$F$2:$F$3001,$W314)&amp;"")</f>
        <v/>
      </c>
      <c r="H314">
        <f>IF($W314="","",INDEX('Per Line'!$G$2:$G$3001,$W314)&amp;"")</f>
        <v/>
      </c>
      <c r="I314">
        <f>IF($W314="","",INDEX('Per Line'!$H$2:$H$3001,$W314)&amp;"")</f>
        <v/>
      </c>
      <c r="J314">
        <f>IF($W314="","",INDEX('Per Line'!$I$2:$I$3001,$W314))</f>
        <v/>
      </c>
      <c r="K314" s="7">
        <f>IF($W314="","",J314*T314/100)</f>
        <v/>
      </c>
      <c r="L314" s="14">
        <f>IF($W314="","",INDEX('Per Line'!$V$2:$V$3001,$W314))</f>
        <v/>
      </c>
      <c r="M314">
        <f>IF($W314="","",IF(ISNUMBER(SEARCH("3&amp;12",SUBSTITUTE(F314," ",""))),Settings!$G$7,Settings!$C$7))</f>
        <v/>
      </c>
      <c r="N314" s="7">
        <f>IF($W314="","",SUMIFS('Per Line'!$O$2:$O$3001,'Per Line'!$B$2:$B$3001,$B314,'Per Line'!$AB$2:$AB$3001,0))</f>
        <v/>
      </c>
      <c r="O314" s="7">
        <f>IF($W314="","",N314*M314)</f>
        <v/>
      </c>
      <c r="P314">
        <f>IF($W314="","",IF(ISNUMBER(SEARCH("3&amp;12",SUBSTITUTE(F314," ",""))),Settings!$G$6,Settings!$C$6))</f>
        <v/>
      </c>
      <c r="Q314" s="7">
        <f>IF($W314="","",SUMIFS('Per Line'!$O$2:$O$3001,'Per Line'!$B$2:$B$3001,$B314,'Per Line'!$AB$2:$AB$3001,1))</f>
        <v/>
      </c>
      <c r="R314" s="7">
        <f>IF($W314="","",Q314*P314)</f>
        <v/>
      </c>
      <c r="S314" s="7">
        <f>IF($W314="","",R314+O314)</f>
        <v/>
      </c>
      <c r="T314" s="7">
        <f>IF($W314="","",V314-S314)</f>
        <v/>
      </c>
      <c r="U314" s="7">
        <f>IF($W314="","",V314-S314-K314)</f>
        <v/>
      </c>
      <c r="V314" s="7">
        <f>IF($W314="","",N314+Q314)</f>
        <v/>
      </c>
      <c r="W314" s="16">
        <f>IF(ROWS($W$2:$W314)&lt;=MAX('Per Line'!$AA$2:$AA$3001),MATCH(ROWS($W$2:$W314),'Per Line'!$AA$2:$AA$3001,0),"")</f>
        <v/>
      </c>
      <c r="X314">
        <f>IF($W314="","",D314&amp;"|"&amp;COUNTIF($D$2:$D314,D314))</f>
        <v/>
      </c>
    </row>
    <row r="315">
      <c r="A315" s="15" t="n"/>
      <c r="B315">
        <f>IF($W315="","",INDEX('Per Line'!$B$2:$B$3001,$W315)&amp;"")</f>
        <v/>
      </c>
      <c r="C315">
        <f>IF($W315="","",INDEX('Per Line'!$C$2:$C$3001,$W315)&amp;"")</f>
        <v/>
      </c>
      <c r="D315">
        <f>IF($W315="","",IF(OR(TRIM(E315)="Orient Insurance Company",TRIM(E315)="Allianz"),TRIM(E315),TRIM(F315)))</f>
        <v/>
      </c>
      <c r="E315">
        <f>IF($W315="","",INDEX('Per Line'!$E$2:$E$3001,$W315)&amp;"")</f>
        <v/>
      </c>
      <c r="F315">
        <f>IF($W315="","",INDEX('Per Line'!$D$2:$D$3001,$W315)&amp;"")</f>
        <v/>
      </c>
      <c r="G315">
        <f>IF($W315="","",INDEX('Per Line'!$F$2:$F$3001,$W315)&amp;"")</f>
        <v/>
      </c>
      <c r="H315">
        <f>IF($W315="","",INDEX('Per Line'!$G$2:$G$3001,$W315)&amp;"")</f>
        <v/>
      </c>
      <c r="I315">
        <f>IF($W315="","",INDEX('Per Line'!$H$2:$H$3001,$W315)&amp;"")</f>
        <v/>
      </c>
      <c r="J315">
        <f>IF($W315="","",INDEX('Per Line'!$I$2:$I$3001,$W315))</f>
        <v/>
      </c>
      <c r="K315" s="7">
        <f>IF($W315="","",J315*T315/100)</f>
        <v/>
      </c>
      <c r="L315" s="14">
        <f>IF($W315="","",INDEX('Per Line'!$V$2:$V$3001,$W315))</f>
        <v/>
      </c>
      <c r="M315">
        <f>IF($W315="","",IF(ISNUMBER(SEARCH("3&amp;12",SUBSTITUTE(F315," ",""))),Settings!$G$7,Settings!$C$7))</f>
        <v/>
      </c>
      <c r="N315" s="7">
        <f>IF($W315="","",SUMIFS('Per Line'!$O$2:$O$3001,'Per Line'!$B$2:$B$3001,$B315,'Per Line'!$AB$2:$AB$3001,0))</f>
        <v/>
      </c>
      <c r="O315" s="7">
        <f>IF($W315="","",N315*M315)</f>
        <v/>
      </c>
      <c r="P315">
        <f>IF($W315="","",IF(ISNUMBER(SEARCH("3&amp;12",SUBSTITUTE(F315," ",""))),Settings!$G$6,Settings!$C$6))</f>
        <v/>
      </c>
      <c r="Q315" s="7">
        <f>IF($W315="","",SUMIFS('Per Line'!$O$2:$O$3001,'Per Line'!$B$2:$B$3001,$B315,'Per Line'!$AB$2:$AB$3001,1))</f>
        <v/>
      </c>
      <c r="R315" s="7">
        <f>IF($W315="","",Q315*P315)</f>
        <v/>
      </c>
      <c r="S315" s="7">
        <f>IF($W315="","",R315+O315)</f>
        <v/>
      </c>
      <c r="T315" s="7">
        <f>IF($W315="","",V315-S315)</f>
        <v/>
      </c>
      <c r="U315" s="7">
        <f>IF($W315="","",V315-S315-K315)</f>
        <v/>
      </c>
      <c r="V315" s="7">
        <f>IF($W315="","",N315+Q315)</f>
        <v/>
      </c>
      <c r="W315" s="16">
        <f>IF(ROWS($W$2:$W315)&lt;=MAX('Per Line'!$AA$2:$AA$3001),MATCH(ROWS($W$2:$W315),'Per Line'!$AA$2:$AA$3001,0),"")</f>
        <v/>
      </c>
      <c r="X315">
        <f>IF($W315="","",D315&amp;"|"&amp;COUNTIF($D$2:$D315,D315))</f>
        <v/>
      </c>
    </row>
    <row r="316">
      <c r="A316" s="15" t="n"/>
      <c r="B316">
        <f>IF($W316="","",INDEX('Per Line'!$B$2:$B$3001,$W316)&amp;"")</f>
        <v/>
      </c>
      <c r="C316">
        <f>IF($W316="","",INDEX('Per Line'!$C$2:$C$3001,$W316)&amp;"")</f>
        <v/>
      </c>
      <c r="D316">
        <f>IF($W316="","",IF(OR(TRIM(E316)="Orient Insurance Company",TRIM(E316)="Allianz"),TRIM(E316),TRIM(F316)))</f>
        <v/>
      </c>
      <c r="E316">
        <f>IF($W316="","",INDEX('Per Line'!$E$2:$E$3001,$W316)&amp;"")</f>
        <v/>
      </c>
      <c r="F316">
        <f>IF($W316="","",INDEX('Per Line'!$D$2:$D$3001,$W316)&amp;"")</f>
        <v/>
      </c>
      <c r="G316">
        <f>IF($W316="","",INDEX('Per Line'!$F$2:$F$3001,$W316)&amp;"")</f>
        <v/>
      </c>
      <c r="H316">
        <f>IF($W316="","",INDEX('Per Line'!$G$2:$G$3001,$W316)&amp;"")</f>
        <v/>
      </c>
      <c r="I316">
        <f>IF($W316="","",INDEX('Per Line'!$H$2:$H$3001,$W316)&amp;"")</f>
        <v/>
      </c>
      <c r="J316">
        <f>IF($W316="","",INDEX('Per Line'!$I$2:$I$3001,$W316))</f>
        <v/>
      </c>
      <c r="K316" s="7">
        <f>IF($W316="","",J316*T316/100)</f>
        <v/>
      </c>
      <c r="L316" s="14">
        <f>IF($W316="","",INDEX('Per Line'!$V$2:$V$3001,$W316))</f>
        <v/>
      </c>
      <c r="M316">
        <f>IF($W316="","",IF(ISNUMBER(SEARCH("3&amp;12",SUBSTITUTE(F316," ",""))),Settings!$G$7,Settings!$C$7))</f>
        <v/>
      </c>
      <c r="N316" s="7">
        <f>IF($W316="","",SUMIFS('Per Line'!$O$2:$O$3001,'Per Line'!$B$2:$B$3001,$B316,'Per Line'!$AB$2:$AB$3001,0))</f>
        <v/>
      </c>
      <c r="O316" s="7">
        <f>IF($W316="","",N316*M316)</f>
        <v/>
      </c>
      <c r="P316">
        <f>IF($W316="","",IF(ISNUMBER(SEARCH("3&amp;12",SUBSTITUTE(F316," ",""))),Settings!$G$6,Settings!$C$6))</f>
        <v/>
      </c>
      <c r="Q316" s="7">
        <f>IF($W316="","",SUMIFS('Per Line'!$O$2:$O$3001,'Per Line'!$B$2:$B$3001,$B316,'Per Line'!$AB$2:$AB$3001,1))</f>
        <v/>
      </c>
      <c r="R316" s="7">
        <f>IF($W316="","",Q316*P316)</f>
        <v/>
      </c>
      <c r="S316" s="7">
        <f>IF($W316="","",R316+O316)</f>
        <v/>
      </c>
      <c r="T316" s="7">
        <f>IF($W316="","",V316-S316)</f>
        <v/>
      </c>
      <c r="U316" s="7">
        <f>IF($W316="","",V316-S316-K316)</f>
        <v/>
      </c>
      <c r="V316" s="7">
        <f>IF($W316="","",N316+Q316)</f>
        <v/>
      </c>
      <c r="W316" s="16">
        <f>IF(ROWS($W$2:$W316)&lt;=MAX('Per Line'!$AA$2:$AA$3001),MATCH(ROWS($W$2:$W316),'Per Line'!$AA$2:$AA$3001,0),"")</f>
        <v/>
      </c>
      <c r="X316">
        <f>IF($W316="","",D316&amp;"|"&amp;COUNTIF($D$2:$D316,D316))</f>
        <v/>
      </c>
    </row>
    <row r="317">
      <c r="A317" s="15" t="n"/>
      <c r="B317">
        <f>IF($W317="","",INDEX('Per Line'!$B$2:$B$3001,$W317)&amp;"")</f>
        <v/>
      </c>
      <c r="C317">
        <f>IF($W317="","",INDEX('Per Line'!$C$2:$C$3001,$W317)&amp;"")</f>
        <v/>
      </c>
      <c r="D317">
        <f>IF($W317="","",IF(OR(TRIM(E317)="Orient Insurance Company",TRIM(E317)="Allianz"),TRIM(E317),TRIM(F317)))</f>
        <v/>
      </c>
      <c r="E317">
        <f>IF($W317="","",INDEX('Per Line'!$E$2:$E$3001,$W317)&amp;"")</f>
        <v/>
      </c>
      <c r="F317">
        <f>IF($W317="","",INDEX('Per Line'!$D$2:$D$3001,$W317)&amp;"")</f>
        <v/>
      </c>
      <c r="G317">
        <f>IF($W317="","",INDEX('Per Line'!$F$2:$F$3001,$W317)&amp;"")</f>
        <v/>
      </c>
      <c r="H317">
        <f>IF($W317="","",INDEX('Per Line'!$G$2:$G$3001,$W317)&amp;"")</f>
        <v/>
      </c>
      <c r="I317">
        <f>IF($W317="","",INDEX('Per Line'!$H$2:$H$3001,$W317)&amp;"")</f>
        <v/>
      </c>
      <c r="J317">
        <f>IF($W317="","",INDEX('Per Line'!$I$2:$I$3001,$W317))</f>
        <v/>
      </c>
      <c r="K317" s="7">
        <f>IF($W317="","",J317*T317/100)</f>
        <v/>
      </c>
      <c r="L317" s="14">
        <f>IF($W317="","",INDEX('Per Line'!$V$2:$V$3001,$W317))</f>
        <v/>
      </c>
      <c r="M317">
        <f>IF($W317="","",IF(ISNUMBER(SEARCH("3&amp;12",SUBSTITUTE(F317," ",""))),Settings!$G$7,Settings!$C$7))</f>
        <v/>
      </c>
      <c r="N317" s="7">
        <f>IF($W317="","",SUMIFS('Per Line'!$O$2:$O$3001,'Per Line'!$B$2:$B$3001,$B317,'Per Line'!$AB$2:$AB$3001,0))</f>
        <v/>
      </c>
      <c r="O317" s="7">
        <f>IF($W317="","",N317*M317)</f>
        <v/>
      </c>
      <c r="P317">
        <f>IF($W317="","",IF(ISNUMBER(SEARCH("3&amp;12",SUBSTITUTE(F317," ",""))),Settings!$G$6,Settings!$C$6))</f>
        <v/>
      </c>
      <c r="Q317" s="7">
        <f>IF($W317="","",SUMIFS('Per Line'!$O$2:$O$3001,'Per Line'!$B$2:$B$3001,$B317,'Per Line'!$AB$2:$AB$3001,1))</f>
        <v/>
      </c>
      <c r="R317" s="7">
        <f>IF($W317="","",Q317*P317)</f>
        <v/>
      </c>
      <c r="S317" s="7">
        <f>IF($W317="","",R317+O317)</f>
        <v/>
      </c>
      <c r="T317" s="7">
        <f>IF($W317="","",V317-S317)</f>
        <v/>
      </c>
      <c r="U317" s="7">
        <f>IF($W317="","",V317-S317-K317)</f>
        <v/>
      </c>
      <c r="V317" s="7">
        <f>IF($W317="","",N317+Q317)</f>
        <v/>
      </c>
      <c r="W317" s="16">
        <f>IF(ROWS($W$2:$W317)&lt;=MAX('Per Line'!$AA$2:$AA$3001),MATCH(ROWS($W$2:$W317),'Per Line'!$AA$2:$AA$3001,0),"")</f>
        <v/>
      </c>
      <c r="X317">
        <f>IF($W317="","",D317&amp;"|"&amp;COUNTIF($D$2:$D317,D317))</f>
        <v/>
      </c>
    </row>
    <row r="318">
      <c r="A318" s="15" t="n"/>
      <c r="B318">
        <f>IF($W318="","",INDEX('Per Line'!$B$2:$B$3001,$W318)&amp;"")</f>
        <v/>
      </c>
      <c r="C318">
        <f>IF($W318="","",INDEX('Per Line'!$C$2:$C$3001,$W318)&amp;"")</f>
        <v/>
      </c>
      <c r="D318">
        <f>IF($W318="","",IF(OR(TRIM(E318)="Orient Insurance Company",TRIM(E318)="Allianz"),TRIM(E318),TRIM(F318)))</f>
        <v/>
      </c>
      <c r="E318">
        <f>IF($W318="","",INDEX('Per Line'!$E$2:$E$3001,$W318)&amp;"")</f>
        <v/>
      </c>
      <c r="F318">
        <f>IF($W318="","",INDEX('Per Line'!$D$2:$D$3001,$W318)&amp;"")</f>
        <v/>
      </c>
      <c r="G318">
        <f>IF($W318="","",INDEX('Per Line'!$F$2:$F$3001,$W318)&amp;"")</f>
        <v/>
      </c>
      <c r="H318">
        <f>IF($W318="","",INDEX('Per Line'!$G$2:$G$3001,$W318)&amp;"")</f>
        <v/>
      </c>
      <c r="I318">
        <f>IF($W318="","",INDEX('Per Line'!$H$2:$H$3001,$W318)&amp;"")</f>
        <v/>
      </c>
      <c r="J318">
        <f>IF($W318="","",INDEX('Per Line'!$I$2:$I$3001,$W318))</f>
        <v/>
      </c>
      <c r="K318" s="7">
        <f>IF($W318="","",J318*T318/100)</f>
        <v/>
      </c>
      <c r="L318" s="14">
        <f>IF($W318="","",INDEX('Per Line'!$V$2:$V$3001,$W318))</f>
        <v/>
      </c>
      <c r="M318">
        <f>IF($W318="","",IF(ISNUMBER(SEARCH("3&amp;12",SUBSTITUTE(F318," ",""))),Settings!$G$7,Settings!$C$7))</f>
        <v/>
      </c>
      <c r="N318" s="7">
        <f>IF($W318="","",SUMIFS('Per Line'!$O$2:$O$3001,'Per Line'!$B$2:$B$3001,$B318,'Per Line'!$AB$2:$AB$3001,0))</f>
        <v/>
      </c>
      <c r="O318" s="7">
        <f>IF($W318="","",N318*M318)</f>
        <v/>
      </c>
      <c r="P318">
        <f>IF($W318="","",IF(ISNUMBER(SEARCH("3&amp;12",SUBSTITUTE(F318," ",""))),Settings!$G$6,Settings!$C$6))</f>
        <v/>
      </c>
      <c r="Q318" s="7">
        <f>IF($W318="","",SUMIFS('Per Line'!$O$2:$O$3001,'Per Line'!$B$2:$B$3001,$B318,'Per Line'!$AB$2:$AB$3001,1))</f>
        <v/>
      </c>
      <c r="R318" s="7">
        <f>IF($W318="","",Q318*P318)</f>
        <v/>
      </c>
      <c r="S318" s="7">
        <f>IF($W318="","",R318+O318)</f>
        <v/>
      </c>
      <c r="T318" s="7">
        <f>IF($W318="","",V318-S318)</f>
        <v/>
      </c>
      <c r="U318" s="7">
        <f>IF($W318="","",V318-S318-K318)</f>
        <v/>
      </c>
      <c r="V318" s="7">
        <f>IF($W318="","",N318+Q318)</f>
        <v/>
      </c>
      <c r="W318" s="16">
        <f>IF(ROWS($W$2:$W318)&lt;=MAX('Per Line'!$AA$2:$AA$3001),MATCH(ROWS($W$2:$W318),'Per Line'!$AA$2:$AA$3001,0),"")</f>
        <v/>
      </c>
      <c r="X318">
        <f>IF($W318="","",D318&amp;"|"&amp;COUNTIF($D$2:$D318,D318))</f>
        <v/>
      </c>
    </row>
    <row r="319">
      <c r="A319" s="15" t="n"/>
      <c r="B319">
        <f>IF($W319="","",INDEX('Per Line'!$B$2:$B$3001,$W319)&amp;"")</f>
        <v/>
      </c>
      <c r="C319">
        <f>IF($W319="","",INDEX('Per Line'!$C$2:$C$3001,$W319)&amp;"")</f>
        <v/>
      </c>
      <c r="D319">
        <f>IF($W319="","",IF(OR(TRIM(E319)="Orient Insurance Company",TRIM(E319)="Allianz"),TRIM(E319),TRIM(F319)))</f>
        <v/>
      </c>
      <c r="E319">
        <f>IF($W319="","",INDEX('Per Line'!$E$2:$E$3001,$W319)&amp;"")</f>
        <v/>
      </c>
      <c r="F319">
        <f>IF($W319="","",INDEX('Per Line'!$D$2:$D$3001,$W319)&amp;"")</f>
        <v/>
      </c>
      <c r="G319">
        <f>IF($W319="","",INDEX('Per Line'!$F$2:$F$3001,$W319)&amp;"")</f>
        <v/>
      </c>
      <c r="H319">
        <f>IF($W319="","",INDEX('Per Line'!$G$2:$G$3001,$W319)&amp;"")</f>
        <v/>
      </c>
      <c r="I319">
        <f>IF($W319="","",INDEX('Per Line'!$H$2:$H$3001,$W319)&amp;"")</f>
        <v/>
      </c>
      <c r="J319">
        <f>IF($W319="","",INDEX('Per Line'!$I$2:$I$3001,$W319))</f>
        <v/>
      </c>
      <c r="K319" s="7">
        <f>IF($W319="","",J319*T319/100)</f>
        <v/>
      </c>
      <c r="L319" s="14">
        <f>IF($W319="","",INDEX('Per Line'!$V$2:$V$3001,$W319))</f>
        <v/>
      </c>
      <c r="M319">
        <f>IF($W319="","",IF(ISNUMBER(SEARCH("3&amp;12",SUBSTITUTE(F319," ",""))),Settings!$G$7,Settings!$C$7))</f>
        <v/>
      </c>
      <c r="N319" s="7">
        <f>IF($W319="","",SUMIFS('Per Line'!$O$2:$O$3001,'Per Line'!$B$2:$B$3001,$B319,'Per Line'!$AB$2:$AB$3001,0))</f>
        <v/>
      </c>
      <c r="O319" s="7">
        <f>IF($W319="","",N319*M319)</f>
        <v/>
      </c>
      <c r="P319">
        <f>IF($W319="","",IF(ISNUMBER(SEARCH("3&amp;12",SUBSTITUTE(F319," ",""))),Settings!$G$6,Settings!$C$6))</f>
        <v/>
      </c>
      <c r="Q319" s="7">
        <f>IF($W319="","",SUMIFS('Per Line'!$O$2:$O$3001,'Per Line'!$B$2:$B$3001,$B319,'Per Line'!$AB$2:$AB$3001,1))</f>
        <v/>
      </c>
      <c r="R319" s="7">
        <f>IF($W319="","",Q319*P319)</f>
        <v/>
      </c>
      <c r="S319" s="7">
        <f>IF($W319="","",R319+O319)</f>
        <v/>
      </c>
      <c r="T319" s="7">
        <f>IF($W319="","",V319-S319)</f>
        <v/>
      </c>
      <c r="U319" s="7">
        <f>IF($W319="","",V319-S319-K319)</f>
        <v/>
      </c>
      <c r="V319" s="7">
        <f>IF($W319="","",N319+Q319)</f>
        <v/>
      </c>
      <c r="W319" s="16">
        <f>IF(ROWS($W$2:$W319)&lt;=MAX('Per Line'!$AA$2:$AA$3001),MATCH(ROWS($W$2:$W319),'Per Line'!$AA$2:$AA$3001,0),"")</f>
        <v/>
      </c>
      <c r="X319">
        <f>IF($W319="","",D319&amp;"|"&amp;COUNTIF($D$2:$D319,D319))</f>
        <v/>
      </c>
    </row>
    <row r="320">
      <c r="A320" s="15" t="n"/>
      <c r="B320">
        <f>IF($W320="","",INDEX('Per Line'!$B$2:$B$3001,$W320)&amp;"")</f>
        <v/>
      </c>
      <c r="C320">
        <f>IF($W320="","",INDEX('Per Line'!$C$2:$C$3001,$W320)&amp;"")</f>
        <v/>
      </c>
      <c r="D320">
        <f>IF($W320="","",IF(OR(TRIM(E320)="Orient Insurance Company",TRIM(E320)="Allianz"),TRIM(E320),TRIM(F320)))</f>
        <v/>
      </c>
      <c r="E320">
        <f>IF($W320="","",INDEX('Per Line'!$E$2:$E$3001,$W320)&amp;"")</f>
        <v/>
      </c>
      <c r="F320">
        <f>IF($W320="","",INDEX('Per Line'!$D$2:$D$3001,$W320)&amp;"")</f>
        <v/>
      </c>
      <c r="G320">
        <f>IF($W320="","",INDEX('Per Line'!$F$2:$F$3001,$W320)&amp;"")</f>
        <v/>
      </c>
      <c r="H320">
        <f>IF($W320="","",INDEX('Per Line'!$G$2:$G$3001,$W320)&amp;"")</f>
        <v/>
      </c>
      <c r="I320">
        <f>IF($W320="","",INDEX('Per Line'!$H$2:$H$3001,$W320)&amp;"")</f>
        <v/>
      </c>
      <c r="J320">
        <f>IF($W320="","",INDEX('Per Line'!$I$2:$I$3001,$W320))</f>
        <v/>
      </c>
      <c r="K320" s="7">
        <f>IF($W320="","",J320*T320/100)</f>
        <v/>
      </c>
      <c r="L320" s="14">
        <f>IF($W320="","",INDEX('Per Line'!$V$2:$V$3001,$W320))</f>
        <v/>
      </c>
      <c r="M320">
        <f>IF($W320="","",IF(ISNUMBER(SEARCH("3&amp;12",SUBSTITUTE(F320," ",""))),Settings!$G$7,Settings!$C$7))</f>
        <v/>
      </c>
      <c r="N320" s="7">
        <f>IF($W320="","",SUMIFS('Per Line'!$O$2:$O$3001,'Per Line'!$B$2:$B$3001,$B320,'Per Line'!$AB$2:$AB$3001,0))</f>
        <v/>
      </c>
      <c r="O320" s="7">
        <f>IF($W320="","",N320*M320)</f>
        <v/>
      </c>
      <c r="P320">
        <f>IF($W320="","",IF(ISNUMBER(SEARCH("3&amp;12",SUBSTITUTE(F320," ",""))),Settings!$G$6,Settings!$C$6))</f>
        <v/>
      </c>
      <c r="Q320" s="7">
        <f>IF($W320="","",SUMIFS('Per Line'!$O$2:$O$3001,'Per Line'!$B$2:$B$3001,$B320,'Per Line'!$AB$2:$AB$3001,1))</f>
        <v/>
      </c>
      <c r="R320" s="7">
        <f>IF($W320="","",Q320*P320)</f>
        <v/>
      </c>
      <c r="S320" s="7">
        <f>IF($W320="","",R320+O320)</f>
        <v/>
      </c>
      <c r="T320" s="7">
        <f>IF($W320="","",V320-S320)</f>
        <v/>
      </c>
      <c r="U320" s="7">
        <f>IF($W320="","",V320-S320-K320)</f>
        <v/>
      </c>
      <c r="V320" s="7">
        <f>IF($W320="","",N320+Q320)</f>
        <v/>
      </c>
      <c r="W320" s="16">
        <f>IF(ROWS($W$2:$W320)&lt;=MAX('Per Line'!$AA$2:$AA$3001),MATCH(ROWS($W$2:$W320),'Per Line'!$AA$2:$AA$3001,0),"")</f>
        <v/>
      </c>
      <c r="X320">
        <f>IF($W320="","",D320&amp;"|"&amp;COUNTIF($D$2:$D320,D320))</f>
        <v/>
      </c>
    </row>
    <row r="321">
      <c r="A321" s="15" t="n"/>
      <c r="B321">
        <f>IF($W321="","",INDEX('Per Line'!$B$2:$B$3001,$W321)&amp;"")</f>
        <v/>
      </c>
      <c r="C321">
        <f>IF($W321="","",INDEX('Per Line'!$C$2:$C$3001,$W321)&amp;"")</f>
        <v/>
      </c>
      <c r="D321">
        <f>IF($W321="","",IF(OR(TRIM(E321)="Orient Insurance Company",TRIM(E321)="Allianz"),TRIM(E321),TRIM(F321)))</f>
        <v/>
      </c>
      <c r="E321">
        <f>IF($W321="","",INDEX('Per Line'!$E$2:$E$3001,$W321)&amp;"")</f>
        <v/>
      </c>
      <c r="F321">
        <f>IF($W321="","",INDEX('Per Line'!$D$2:$D$3001,$W321)&amp;"")</f>
        <v/>
      </c>
      <c r="G321">
        <f>IF($W321="","",INDEX('Per Line'!$F$2:$F$3001,$W321)&amp;"")</f>
        <v/>
      </c>
      <c r="H321">
        <f>IF($W321="","",INDEX('Per Line'!$G$2:$G$3001,$W321)&amp;"")</f>
        <v/>
      </c>
      <c r="I321">
        <f>IF($W321="","",INDEX('Per Line'!$H$2:$H$3001,$W321)&amp;"")</f>
        <v/>
      </c>
      <c r="J321">
        <f>IF($W321="","",INDEX('Per Line'!$I$2:$I$3001,$W321))</f>
        <v/>
      </c>
      <c r="K321" s="7">
        <f>IF($W321="","",J321*T321/100)</f>
        <v/>
      </c>
      <c r="L321" s="14">
        <f>IF($W321="","",INDEX('Per Line'!$V$2:$V$3001,$W321))</f>
        <v/>
      </c>
      <c r="M321">
        <f>IF($W321="","",IF(ISNUMBER(SEARCH("3&amp;12",SUBSTITUTE(F321," ",""))),Settings!$G$7,Settings!$C$7))</f>
        <v/>
      </c>
      <c r="N321" s="7">
        <f>IF($W321="","",SUMIFS('Per Line'!$O$2:$O$3001,'Per Line'!$B$2:$B$3001,$B321,'Per Line'!$AB$2:$AB$3001,0))</f>
        <v/>
      </c>
      <c r="O321" s="7">
        <f>IF($W321="","",N321*M321)</f>
        <v/>
      </c>
      <c r="P321">
        <f>IF($W321="","",IF(ISNUMBER(SEARCH("3&amp;12",SUBSTITUTE(F321," ",""))),Settings!$G$6,Settings!$C$6))</f>
        <v/>
      </c>
      <c r="Q321" s="7">
        <f>IF($W321="","",SUMIFS('Per Line'!$O$2:$O$3001,'Per Line'!$B$2:$B$3001,$B321,'Per Line'!$AB$2:$AB$3001,1))</f>
        <v/>
      </c>
      <c r="R321" s="7">
        <f>IF($W321="","",Q321*P321)</f>
        <v/>
      </c>
      <c r="S321" s="7">
        <f>IF($W321="","",R321+O321)</f>
        <v/>
      </c>
      <c r="T321" s="7">
        <f>IF($W321="","",V321-S321)</f>
        <v/>
      </c>
      <c r="U321" s="7">
        <f>IF($W321="","",V321-S321-K321)</f>
        <v/>
      </c>
      <c r="V321" s="7">
        <f>IF($W321="","",N321+Q321)</f>
        <v/>
      </c>
      <c r="W321" s="16">
        <f>IF(ROWS($W$2:$W321)&lt;=MAX('Per Line'!$AA$2:$AA$3001),MATCH(ROWS($W$2:$W321),'Per Line'!$AA$2:$AA$3001,0),"")</f>
        <v/>
      </c>
      <c r="X321">
        <f>IF($W321="","",D321&amp;"|"&amp;COUNTIF($D$2:$D321,D321))</f>
        <v/>
      </c>
    </row>
    <row r="322">
      <c r="A322" s="15" t="n"/>
      <c r="B322">
        <f>IF($W322="","",INDEX('Per Line'!$B$2:$B$3001,$W322)&amp;"")</f>
        <v/>
      </c>
      <c r="C322">
        <f>IF($W322="","",INDEX('Per Line'!$C$2:$C$3001,$W322)&amp;"")</f>
        <v/>
      </c>
      <c r="D322">
        <f>IF($W322="","",IF(OR(TRIM(E322)="Orient Insurance Company",TRIM(E322)="Allianz"),TRIM(E322),TRIM(F322)))</f>
        <v/>
      </c>
      <c r="E322">
        <f>IF($W322="","",INDEX('Per Line'!$E$2:$E$3001,$W322)&amp;"")</f>
        <v/>
      </c>
      <c r="F322">
        <f>IF($W322="","",INDEX('Per Line'!$D$2:$D$3001,$W322)&amp;"")</f>
        <v/>
      </c>
      <c r="G322">
        <f>IF($W322="","",INDEX('Per Line'!$F$2:$F$3001,$W322)&amp;"")</f>
        <v/>
      </c>
      <c r="H322">
        <f>IF($W322="","",INDEX('Per Line'!$G$2:$G$3001,$W322)&amp;"")</f>
        <v/>
      </c>
      <c r="I322">
        <f>IF($W322="","",INDEX('Per Line'!$H$2:$H$3001,$W322)&amp;"")</f>
        <v/>
      </c>
      <c r="J322">
        <f>IF($W322="","",INDEX('Per Line'!$I$2:$I$3001,$W322))</f>
        <v/>
      </c>
      <c r="K322" s="7">
        <f>IF($W322="","",J322*T322/100)</f>
        <v/>
      </c>
      <c r="L322" s="14">
        <f>IF($W322="","",INDEX('Per Line'!$V$2:$V$3001,$W322))</f>
        <v/>
      </c>
      <c r="M322">
        <f>IF($W322="","",IF(ISNUMBER(SEARCH("3&amp;12",SUBSTITUTE(F322," ",""))),Settings!$G$7,Settings!$C$7))</f>
        <v/>
      </c>
      <c r="N322" s="7">
        <f>IF($W322="","",SUMIFS('Per Line'!$O$2:$O$3001,'Per Line'!$B$2:$B$3001,$B322,'Per Line'!$AB$2:$AB$3001,0))</f>
        <v/>
      </c>
      <c r="O322" s="7">
        <f>IF($W322="","",N322*M322)</f>
        <v/>
      </c>
      <c r="P322">
        <f>IF($W322="","",IF(ISNUMBER(SEARCH("3&amp;12",SUBSTITUTE(F322," ",""))),Settings!$G$6,Settings!$C$6))</f>
        <v/>
      </c>
      <c r="Q322" s="7">
        <f>IF($W322="","",SUMIFS('Per Line'!$O$2:$O$3001,'Per Line'!$B$2:$B$3001,$B322,'Per Line'!$AB$2:$AB$3001,1))</f>
        <v/>
      </c>
      <c r="R322" s="7">
        <f>IF($W322="","",Q322*P322)</f>
        <v/>
      </c>
      <c r="S322" s="7">
        <f>IF($W322="","",R322+O322)</f>
        <v/>
      </c>
      <c r="T322" s="7">
        <f>IF($W322="","",V322-S322)</f>
        <v/>
      </c>
      <c r="U322" s="7">
        <f>IF($W322="","",V322-S322-K322)</f>
        <v/>
      </c>
      <c r="V322" s="7">
        <f>IF($W322="","",N322+Q322)</f>
        <v/>
      </c>
      <c r="W322" s="16">
        <f>IF(ROWS($W$2:$W322)&lt;=MAX('Per Line'!$AA$2:$AA$3001),MATCH(ROWS($W$2:$W322),'Per Line'!$AA$2:$AA$3001,0),"")</f>
        <v/>
      </c>
      <c r="X322">
        <f>IF($W322="","",D322&amp;"|"&amp;COUNTIF($D$2:$D322,D322))</f>
        <v/>
      </c>
    </row>
    <row r="323">
      <c r="A323" s="15" t="n"/>
      <c r="B323">
        <f>IF($W323="","",INDEX('Per Line'!$B$2:$B$3001,$W323)&amp;"")</f>
        <v/>
      </c>
      <c r="C323">
        <f>IF($W323="","",INDEX('Per Line'!$C$2:$C$3001,$W323)&amp;"")</f>
        <v/>
      </c>
      <c r="D323">
        <f>IF($W323="","",IF(OR(TRIM(E323)="Orient Insurance Company",TRIM(E323)="Allianz"),TRIM(E323),TRIM(F323)))</f>
        <v/>
      </c>
      <c r="E323">
        <f>IF($W323="","",INDEX('Per Line'!$E$2:$E$3001,$W323)&amp;"")</f>
        <v/>
      </c>
      <c r="F323">
        <f>IF($W323="","",INDEX('Per Line'!$D$2:$D$3001,$W323)&amp;"")</f>
        <v/>
      </c>
      <c r="G323">
        <f>IF($W323="","",INDEX('Per Line'!$F$2:$F$3001,$W323)&amp;"")</f>
        <v/>
      </c>
      <c r="H323">
        <f>IF($W323="","",INDEX('Per Line'!$G$2:$G$3001,$W323)&amp;"")</f>
        <v/>
      </c>
      <c r="I323">
        <f>IF($W323="","",INDEX('Per Line'!$H$2:$H$3001,$W323)&amp;"")</f>
        <v/>
      </c>
      <c r="J323">
        <f>IF($W323="","",INDEX('Per Line'!$I$2:$I$3001,$W323))</f>
        <v/>
      </c>
      <c r="K323" s="7">
        <f>IF($W323="","",J323*T323/100)</f>
        <v/>
      </c>
      <c r="L323" s="14">
        <f>IF($W323="","",INDEX('Per Line'!$V$2:$V$3001,$W323))</f>
        <v/>
      </c>
      <c r="M323">
        <f>IF($W323="","",IF(ISNUMBER(SEARCH("3&amp;12",SUBSTITUTE(F323," ",""))),Settings!$G$7,Settings!$C$7))</f>
        <v/>
      </c>
      <c r="N323" s="7">
        <f>IF($W323="","",SUMIFS('Per Line'!$O$2:$O$3001,'Per Line'!$B$2:$B$3001,$B323,'Per Line'!$AB$2:$AB$3001,0))</f>
        <v/>
      </c>
      <c r="O323" s="7">
        <f>IF($W323="","",N323*M323)</f>
        <v/>
      </c>
      <c r="P323">
        <f>IF($W323="","",IF(ISNUMBER(SEARCH("3&amp;12",SUBSTITUTE(F323," ",""))),Settings!$G$6,Settings!$C$6))</f>
        <v/>
      </c>
      <c r="Q323" s="7">
        <f>IF($W323="","",SUMIFS('Per Line'!$O$2:$O$3001,'Per Line'!$B$2:$B$3001,$B323,'Per Line'!$AB$2:$AB$3001,1))</f>
        <v/>
      </c>
      <c r="R323" s="7">
        <f>IF($W323="","",Q323*P323)</f>
        <v/>
      </c>
      <c r="S323" s="7">
        <f>IF($W323="","",R323+O323)</f>
        <v/>
      </c>
      <c r="T323" s="7">
        <f>IF($W323="","",V323-S323)</f>
        <v/>
      </c>
      <c r="U323" s="7">
        <f>IF($W323="","",V323-S323-K323)</f>
        <v/>
      </c>
      <c r="V323" s="7">
        <f>IF($W323="","",N323+Q323)</f>
        <v/>
      </c>
      <c r="W323" s="16">
        <f>IF(ROWS($W$2:$W323)&lt;=MAX('Per Line'!$AA$2:$AA$3001),MATCH(ROWS($W$2:$W323),'Per Line'!$AA$2:$AA$3001,0),"")</f>
        <v/>
      </c>
      <c r="X323">
        <f>IF($W323="","",D323&amp;"|"&amp;COUNTIF($D$2:$D323,D323))</f>
        <v/>
      </c>
    </row>
    <row r="324">
      <c r="A324" s="15" t="n"/>
      <c r="B324">
        <f>IF($W324="","",INDEX('Per Line'!$B$2:$B$3001,$W324)&amp;"")</f>
        <v/>
      </c>
      <c r="C324">
        <f>IF($W324="","",INDEX('Per Line'!$C$2:$C$3001,$W324)&amp;"")</f>
        <v/>
      </c>
      <c r="D324">
        <f>IF($W324="","",IF(OR(TRIM(E324)="Orient Insurance Company",TRIM(E324)="Allianz"),TRIM(E324),TRIM(F324)))</f>
        <v/>
      </c>
      <c r="E324">
        <f>IF($W324="","",INDEX('Per Line'!$E$2:$E$3001,$W324)&amp;"")</f>
        <v/>
      </c>
      <c r="F324">
        <f>IF($W324="","",INDEX('Per Line'!$D$2:$D$3001,$W324)&amp;"")</f>
        <v/>
      </c>
      <c r="G324">
        <f>IF($W324="","",INDEX('Per Line'!$F$2:$F$3001,$W324)&amp;"")</f>
        <v/>
      </c>
      <c r="H324">
        <f>IF($W324="","",INDEX('Per Line'!$G$2:$G$3001,$W324)&amp;"")</f>
        <v/>
      </c>
      <c r="I324">
        <f>IF($W324="","",INDEX('Per Line'!$H$2:$H$3001,$W324)&amp;"")</f>
        <v/>
      </c>
      <c r="J324">
        <f>IF($W324="","",INDEX('Per Line'!$I$2:$I$3001,$W324))</f>
        <v/>
      </c>
      <c r="K324" s="7">
        <f>IF($W324="","",J324*T324/100)</f>
        <v/>
      </c>
      <c r="L324" s="14">
        <f>IF($W324="","",INDEX('Per Line'!$V$2:$V$3001,$W324))</f>
        <v/>
      </c>
      <c r="M324">
        <f>IF($W324="","",IF(ISNUMBER(SEARCH("3&amp;12",SUBSTITUTE(F324," ",""))),Settings!$G$7,Settings!$C$7))</f>
        <v/>
      </c>
      <c r="N324" s="7">
        <f>IF($W324="","",SUMIFS('Per Line'!$O$2:$O$3001,'Per Line'!$B$2:$B$3001,$B324,'Per Line'!$AB$2:$AB$3001,0))</f>
        <v/>
      </c>
      <c r="O324" s="7">
        <f>IF($W324="","",N324*M324)</f>
        <v/>
      </c>
      <c r="P324">
        <f>IF($W324="","",IF(ISNUMBER(SEARCH("3&amp;12",SUBSTITUTE(F324," ",""))),Settings!$G$6,Settings!$C$6))</f>
        <v/>
      </c>
      <c r="Q324" s="7">
        <f>IF($W324="","",SUMIFS('Per Line'!$O$2:$O$3001,'Per Line'!$B$2:$B$3001,$B324,'Per Line'!$AB$2:$AB$3001,1))</f>
        <v/>
      </c>
      <c r="R324" s="7">
        <f>IF($W324="","",Q324*P324)</f>
        <v/>
      </c>
      <c r="S324" s="7">
        <f>IF($W324="","",R324+O324)</f>
        <v/>
      </c>
      <c r="T324" s="7">
        <f>IF($W324="","",V324-S324)</f>
        <v/>
      </c>
      <c r="U324" s="7">
        <f>IF($W324="","",V324-S324-K324)</f>
        <v/>
      </c>
      <c r="V324" s="7">
        <f>IF($W324="","",N324+Q324)</f>
        <v/>
      </c>
      <c r="W324" s="16">
        <f>IF(ROWS($W$2:$W324)&lt;=MAX('Per Line'!$AA$2:$AA$3001),MATCH(ROWS($W$2:$W324),'Per Line'!$AA$2:$AA$3001,0),"")</f>
        <v/>
      </c>
      <c r="X324">
        <f>IF($W324="","",D324&amp;"|"&amp;COUNTIF($D$2:$D324,D324))</f>
        <v/>
      </c>
    </row>
    <row r="325">
      <c r="A325" s="15" t="n"/>
      <c r="B325">
        <f>IF($W325="","",INDEX('Per Line'!$B$2:$B$3001,$W325)&amp;"")</f>
        <v/>
      </c>
      <c r="C325">
        <f>IF($W325="","",INDEX('Per Line'!$C$2:$C$3001,$W325)&amp;"")</f>
        <v/>
      </c>
      <c r="D325">
        <f>IF($W325="","",IF(OR(TRIM(E325)="Orient Insurance Company",TRIM(E325)="Allianz"),TRIM(E325),TRIM(F325)))</f>
        <v/>
      </c>
      <c r="E325">
        <f>IF($W325="","",INDEX('Per Line'!$E$2:$E$3001,$W325)&amp;"")</f>
        <v/>
      </c>
      <c r="F325">
        <f>IF($W325="","",INDEX('Per Line'!$D$2:$D$3001,$W325)&amp;"")</f>
        <v/>
      </c>
      <c r="G325">
        <f>IF($W325="","",INDEX('Per Line'!$F$2:$F$3001,$W325)&amp;"")</f>
        <v/>
      </c>
      <c r="H325">
        <f>IF($W325="","",INDEX('Per Line'!$G$2:$G$3001,$W325)&amp;"")</f>
        <v/>
      </c>
      <c r="I325">
        <f>IF($W325="","",INDEX('Per Line'!$H$2:$H$3001,$W325)&amp;"")</f>
        <v/>
      </c>
      <c r="J325">
        <f>IF($W325="","",INDEX('Per Line'!$I$2:$I$3001,$W325))</f>
        <v/>
      </c>
      <c r="K325" s="7">
        <f>IF($W325="","",J325*T325/100)</f>
        <v/>
      </c>
      <c r="L325" s="14">
        <f>IF($W325="","",INDEX('Per Line'!$V$2:$V$3001,$W325))</f>
        <v/>
      </c>
      <c r="M325">
        <f>IF($W325="","",IF(ISNUMBER(SEARCH("3&amp;12",SUBSTITUTE(F325," ",""))),Settings!$G$7,Settings!$C$7))</f>
        <v/>
      </c>
      <c r="N325" s="7">
        <f>IF($W325="","",SUMIFS('Per Line'!$O$2:$O$3001,'Per Line'!$B$2:$B$3001,$B325,'Per Line'!$AB$2:$AB$3001,0))</f>
        <v/>
      </c>
      <c r="O325" s="7">
        <f>IF($W325="","",N325*M325)</f>
        <v/>
      </c>
      <c r="P325">
        <f>IF($W325="","",IF(ISNUMBER(SEARCH("3&amp;12",SUBSTITUTE(F325," ",""))),Settings!$G$6,Settings!$C$6))</f>
        <v/>
      </c>
      <c r="Q325" s="7">
        <f>IF($W325="","",SUMIFS('Per Line'!$O$2:$O$3001,'Per Line'!$B$2:$B$3001,$B325,'Per Line'!$AB$2:$AB$3001,1))</f>
        <v/>
      </c>
      <c r="R325" s="7">
        <f>IF($W325="","",Q325*P325)</f>
        <v/>
      </c>
      <c r="S325" s="7">
        <f>IF($W325="","",R325+O325)</f>
        <v/>
      </c>
      <c r="T325" s="7">
        <f>IF($W325="","",V325-S325)</f>
        <v/>
      </c>
      <c r="U325" s="7">
        <f>IF($W325="","",V325-S325-K325)</f>
        <v/>
      </c>
      <c r="V325" s="7">
        <f>IF($W325="","",N325+Q325)</f>
        <v/>
      </c>
      <c r="W325" s="16">
        <f>IF(ROWS($W$2:$W325)&lt;=MAX('Per Line'!$AA$2:$AA$3001),MATCH(ROWS($W$2:$W325),'Per Line'!$AA$2:$AA$3001,0),"")</f>
        <v/>
      </c>
      <c r="X325">
        <f>IF($W325="","",D325&amp;"|"&amp;COUNTIF($D$2:$D325,D325))</f>
        <v/>
      </c>
    </row>
    <row r="326">
      <c r="A326" s="15" t="n"/>
      <c r="B326">
        <f>IF($W326="","",INDEX('Per Line'!$B$2:$B$3001,$W326)&amp;"")</f>
        <v/>
      </c>
      <c r="C326">
        <f>IF($W326="","",INDEX('Per Line'!$C$2:$C$3001,$W326)&amp;"")</f>
        <v/>
      </c>
      <c r="D326">
        <f>IF($W326="","",IF(OR(TRIM(E326)="Orient Insurance Company",TRIM(E326)="Allianz"),TRIM(E326),TRIM(F326)))</f>
        <v/>
      </c>
      <c r="E326">
        <f>IF($W326="","",INDEX('Per Line'!$E$2:$E$3001,$W326)&amp;"")</f>
        <v/>
      </c>
      <c r="F326">
        <f>IF($W326="","",INDEX('Per Line'!$D$2:$D$3001,$W326)&amp;"")</f>
        <v/>
      </c>
      <c r="G326">
        <f>IF($W326="","",INDEX('Per Line'!$F$2:$F$3001,$W326)&amp;"")</f>
        <v/>
      </c>
      <c r="H326">
        <f>IF($W326="","",INDEX('Per Line'!$G$2:$G$3001,$W326)&amp;"")</f>
        <v/>
      </c>
      <c r="I326">
        <f>IF($W326="","",INDEX('Per Line'!$H$2:$H$3001,$W326)&amp;"")</f>
        <v/>
      </c>
      <c r="J326">
        <f>IF($W326="","",INDEX('Per Line'!$I$2:$I$3001,$W326))</f>
        <v/>
      </c>
      <c r="K326" s="7">
        <f>IF($W326="","",J326*T326/100)</f>
        <v/>
      </c>
      <c r="L326" s="14">
        <f>IF($W326="","",INDEX('Per Line'!$V$2:$V$3001,$W326))</f>
        <v/>
      </c>
      <c r="M326">
        <f>IF($W326="","",IF(ISNUMBER(SEARCH("3&amp;12",SUBSTITUTE(F326," ",""))),Settings!$G$7,Settings!$C$7))</f>
        <v/>
      </c>
      <c r="N326" s="7">
        <f>IF($W326="","",SUMIFS('Per Line'!$O$2:$O$3001,'Per Line'!$B$2:$B$3001,$B326,'Per Line'!$AB$2:$AB$3001,0))</f>
        <v/>
      </c>
      <c r="O326" s="7">
        <f>IF($W326="","",N326*M326)</f>
        <v/>
      </c>
      <c r="P326">
        <f>IF($W326="","",IF(ISNUMBER(SEARCH("3&amp;12",SUBSTITUTE(F326," ",""))),Settings!$G$6,Settings!$C$6))</f>
        <v/>
      </c>
      <c r="Q326" s="7">
        <f>IF($W326="","",SUMIFS('Per Line'!$O$2:$O$3001,'Per Line'!$B$2:$B$3001,$B326,'Per Line'!$AB$2:$AB$3001,1))</f>
        <v/>
      </c>
      <c r="R326" s="7">
        <f>IF($W326="","",Q326*P326)</f>
        <v/>
      </c>
      <c r="S326" s="7">
        <f>IF($W326="","",R326+O326)</f>
        <v/>
      </c>
      <c r="T326" s="7">
        <f>IF($W326="","",V326-S326)</f>
        <v/>
      </c>
      <c r="U326" s="7">
        <f>IF($W326="","",V326-S326-K326)</f>
        <v/>
      </c>
      <c r="V326" s="7">
        <f>IF($W326="","",N326+Q326)</f>
        <v/>
      </c>
      <c r="W326" s="16">
        <f>IF(ROWS($W$2:$W326)&lt;=MAX('Per Line'!$AA$2:$AA$3001),MATCH(ROWS($W$2:$W326),'Per Line'!$AA$2:$AA$3001,0),"")</f>
        <v/>
      </c>
      <c r="X326">
        <f>IF($W326="","",D326&amp;"|"&amp;COUNTIF($D$2:$D326,D326))</f>
        <v/>
      </c>
    </row>
    <row r="327">
      <c r="A327" s="15" t="n"/>
      <c r="B327">
        <f>IF($W327="","",INDEX('Per Line'!$B$2:$B$3001,$W327)&amp;"")</f>
        <v/>
      </c>
      <c r="C327">
        <f>IF($W327="","",INDEX('Per Line'!$C$2:$C$3001,$W327)&amp;"")</f>
        <v/>
      </c>
      <c r="D327">
        <f>IF($W327="","",IF(OR(TRIM(E327)="Orient Insurance Company",TRIM(E327)="Allianz"),TRIM(E327),TRIM(F327)))</f>
        <v/>
      </c>
      <c r="E327">
        <f>IF($W327="","",INDEX('Per Line'!$E$2:$E$3001,$W327)&amp;"")</f>
        <v/>
      </c>
      <c r="F327">
        <f>IF($W327="","",INDEX('Per Line'!$D$2:$D$3001,$W327)&amp;"")</f>
        <v/>
      </c>
      <c r="G327">
        <f>IF($W327="","",INDEX('Per Line'!$F$2:$F$3001,$W327)&amp;"")</f>
        <v/>
      </c>
      <c r="H327">
        <f>IF($W327="","",INDEX('Per Line'!$G$2:$G$3001,$W327)&amp;"")</f>
        <v/>
      </c>
      <c r="I327">
        <f>IF($W327="","",INDEX('Per Line'!$H$2:$H$3001,$W327)&amp;"")</f>
        <v/>
      </c>
      <c r="J327">
        <f>IF($W327="","",INDEX('Per Line'!$I$2:$I$3001,$W327))</f>
        <v/>
      </c>
      <c r="K327" s="7">
        <f>IF($W327="","",J327*T327/100)</f>
        <v/>
      </c>
      <c r="L327" s="14">
        <f>IF($W327="","",INDEX('Per Line'!$V$2:$V$3001,$W327))</f>
        <v/>
      </c>
      <c r="M327">
        <f>IF($W327="","",IF(ISNUMBER(SEARCH("3&amp;12",SUBSTITUTE(F327," ",""))),Settings!$G$7,Settings!$C$7))</f>
        <v/>
      </c>
      <c r="N327" s="7">
        <f>IF($W327="","",SUMIFS('Per Line'!$O$2:$O$3001,'Per Line'!$B$2:$B$3001,$B327,'Per Line'!$AB$2:$AB$3001,0))</f>
        <v/>
      </c>
      <c r="O327" s="7">
        <f>IF($W327="","",N327*M327)</f>
        <v/>
      </c>
      <c r="P327">
        <f>IF($W327="","",IF(ISNUMBER(SEARCH("3&amp;12",SUBSTITUTE(F327," ",""))),Settings!$G$6,Settings!$C$6))</f>
        <v/>
      </c>
      <c r="Q327" s="7">
        <f>IF($W327="","",SUMIFS('Per Line'!$O$2:$O$3001,'Per Line'!$B$2:$B$3001,$B327,'Per Line'!$AB$2:$AB$3001,1))</f>
        <v/>
      </c>
      <c r="R327" s="7">
        <f>IF($W327="","",Q327*P327)</f>
        <v/>
      </c>
      <c r="S327" s="7">
        <f>IF($W327="","",R327+O327)</f>
        <v/>
      </c>
      <c r="T327" s="7">
        <f>IF($W327="","",V327-S327)</f>
        <v/>
      </c>
      <c r="U327" s="7">
        <f>IF($W327="","",V327-S327-K327)</f>
        <v/>
      </c>
      <c r="V327" s="7">
        <f>IF($W327="","",N327+Q327)</f>
        <v/>
      </c>
      <c r="W327" s="16">
        <f>IF(ROWS($W$2:$W327)&lt;=MAX('Per Line'!$AA$2:$AA$3001),MATCH(ROWS($W$2:$W327),'Per Line'!$AA$2:$AA$3001,0),"")</f>
        <v/>
      </c>
      <c r="X327">
        <f>IF($W327="","",D327&amp;"|"&amp;COUNTIF($D$2:$D327,D327))</f>
        <v/>
      </c>
    </row>
    <row r="328">
      <c r="A328" s="15" t="n"/>
      <c r="B328">
        <f>IF($W328="","",INDEX('Per Line'!$B$2:$B$3001,$W328)&amp;"")</f>
        <v/>
      </c>
      <c r="C328">
        <f>IF($W328="","",INDEX('Per Line'!$C$2:$C$3001,$W328)&amp;"")</f>
        <v/>
      </c>
      <c r="D328">
        <f>IF($W328="","",IF(OR(TRIM(E328)="Orient Insurance Company",TRIM(E328)="Allianz"),TRIM(E328),TRIM(F328)))</f>
        <v/>
      </c>
      <c r="E328">
        <f>IF($W328="","",INDEX('Per Line'!$E$2:$E$3001,$W328)&amp;"")</f>
        <v/>
      </c>
      <c r="F328">
        <f>IF($W328="","",INDEX('Per Line'!$D$2:$D$3001,$W328)&amp;"")</f>
        <v/>
      </c>
      <c r="G328">
        <f>IF($W328="","",INDEX('Per Line'!$F$2:$F$3001,$W328)&amp;"")</f>
        <v/>
      </c>
      <c r="H328">
        <f>IF($W328="","",INDEX('Per Line'!$G$2:$G$3001,$W328)&amp;"")</f>
        <v/>
      </c>
      <c r="I328">
        <f>IF($W328="","",INDEX('Per Line'!$H$2:$H$3001,$W328)&amp;"")</f>
        <v/>
      </c>
      <c r="J328">
        <f>IF($W328="","",INDEX('Per Line'!$I$2:$I$3001,$W328))</f>
        <v/>
      </c>
      <c r="K328" s="7">
        <f>IF($W328="","",J328*T328/100)</f>
        <v/>
      </c>
      <c r="L328" s="14">
        <f>IF($W328="","",INDEX('Per Line'!$V$2:$V$3001,$W328))</f>
        <v/>
      </c>
      <c r="M328">
        <f>IF($W328="","",IF(ISNUMBER(SEARCH("3&amp;12",SUBSTITUTE(F328," ",""))),Settings!$G$7,Settings!$C$7))</f>
        <v/>
      </c>
      <c r="N328" s="7">
        <f>IF($W328="","",SUMIFS('Per Line'!$O$2:$O$3001,'Per Line'!$B$2:$B$3001,$B328,'Per Line'!$AB$2:$AB$3001,0))</f>
        <v/>
      </c>
      <c r="O328" s="7">
        <f>IF($W328="","",N328*M328)</f>
        <v/>
      </c>
      <c r="P328">
        <f>IF($W328="","",IF(ISNUMBER(SEARCH("3&amp;12",SUBSTITUTE(F328," ",""))),Settings!$G$6,Settings!$C$6))</f>
        <v/>
      </c>
      <c r="Q328" s="7">
        <f>IF($W328="","",SUMIFS('Per Line'!$O$2:$O$3001,'Per Line'!$B$2:$B$3001,$B328,'Per Line'!$AB$2:$AB$3001,1))</f>
        <v/>
      </c>
      <c r="R328" s="7">
        <f>IF($W328="","",Q328*P328)</f>
        <v/>
      </c>
      <c r="S328" s="7">
        <f>IF($W328="","",R328+O328)</f>
        <v/>
      </c>
      <c r="T328" s="7">
        <f>IF($W328="","",V328-S328)</f>
        <v/>
      </c>
      <c r="U328" s="7">
        <f>IF($W328="","",V328-S328-K328)</f>
        <v/>
      </c>
      <c r="V328" s="7">
        <f>IF($W328="","",N328+Q328)</f>
        <v/>
      </c>
      <c r="W328" s="16">
        <f>IF(ROWS($W$2:$W328)&lt;=MAX('Per Line'!$AA$2:$AA$3001),MATCH(ROWS($W$2:$W328),'Per Line'!$AA$2:$AA$3001,0),"")</f>
        <v/>
      </c>
      <c r="X328">
        <f>IF($W328="","",D328&amp;"|"&amp;COUNTIF($D$2:$D328,D328))</f>
        <v/>
      </c>
    </row>
    <row r="329">
      <c r="A329" s="15" t="n"/>
      <c r="B329">
        <f>IF($W329="","",INDEX('Per Line'!$B$2:$B$3001,$W329)&amp;"")</f>
        <v/>
      </c>
      <c r="C329">
        <f>IF($W329="","",INDEX('Per Line'!$C$2:$C$3001,$W329)&amp;"")</f>
        <v/>
      </c>
      <c r="D329">
        <f>IF($W329="","",IF(OR(TRIM(E329)="Orient Insurance Company",TRIM(E329)="Allianz"),TRIM(E329),TRIM(F329)))</f>
        <v/>
      </c>
      <c r="E329">
        <f>IF($W329="","",INDEX('Per Line'!$E$2:$E$3001,$W329)&amp;"")</f>
        <v/>
      </c>
      <c r="F329">
        <f>IF($W329="","",INDEX('Per Line'!$D$2:$D$3001,$W329)&amp;"")</f>
        <v/>
      </c>
      <c r="G329">
        <f>IF($W329="","",INDEX('Per Line'!$F$2:$F$3001,$W329)&amp;"")</f>
        <v/>
      </c>
      <c r="H329">
        <f>IF($W329="","",INDEX('Per Line'!$G$2:$G$3001,$W329)&amp;"")</f>
        <v/>
      </c>
      <c r="I329">
        <f>IF($W329="","",INDEX('Per Line'!$H$2:$H$3001,$W329)&amp;"")</f>
        <v/>
      </c>
      <c r="J329">
        <f>IF($W329="","",INDEX('Per Line'!$I$2:$I$3001,$W329))</f>
        <v/>
      </c>
      <c r="K329" s="7">
        <f>IF($W329="","",J329*T329/100)</f>
        <v/>
      </c>
      <c r="L329" s="14">
        <f>IF($W329="","",INDEX('Per Line'!$V$2:$V$3001,$W329))</f>
        <v/>
      </c>
      <c r="M329">
        <f>IF($W329="","",IF(ISNUMBER(SEARCH("3&amp;12",SUBSTITUTE(F329," ",""))),Settings!$G$7,Settings!$C$7))</f>
        <v/>
      </c>
      <c r="N329" s="7">
        <f>IF($W329="","",SUMIFS('Per Line'!$O$2:$O$3001,'Per Line'!$B$2:$B$3001,$B329,'Per Line'!$AB$2:$AB$3001,0))</f>
        <v/>
      </c>
      <c r="O329" s="7">
        <f>IF($W329="","",N329*M329)</f>
        <v/>
      </c>
      <c r="P329">
        <f>IF($W329="","",IF(ISNUMBER(SEARCH("3&amp;12",SUBSTITUTE(F329," ",""))),Settings!$G$6,Settings!$C$6))</f>
        <v/>
      </c>
      <c r="Q329" s="7">
        <f>IF($W329="","",SUMIFS('Per Line'!$O$2:$O$3001,'Per Line'!$B$2:$B$3001,$B329,'Per Line'!$AB$2:$AB$3001,1))</f>
        <v/>
      </c>
      <c r="R329" s="7">
        <f>IF($W329="","",Q329*P329)</f>
        <v/>
      </c>
      <c r="S329" s="7">
        <f>IF($W329="","",R329+O329)</f>
        <v/>
      </c>
      <c r="T329" s="7">
        <f>IF($W329="","",V329-S329)</f>
        <v/>
      </c>
      <c r="U329" s="7">
        <f>IF($W329="","",V329-S329-K329)</f>
        <v/>
      </c>
      <c r="V329" s="7">
        <f>IF($W329="","",N329+Q329)</f>
        <v/>
      </c>
      <c r="W329" s="16">
        <f>IF(ROWS($W$2:$W329)&lt;=MAX('Per Line'!$AA$2:$AA$3001),MATCH(ROWS($W$2:$W329),'Per Line'!$AA$2:$AA$3001,0),"")</f>
        <v/>
      </c>
      <c r="X329">
        <f>IF($W329="","",D329&amp;"|"&amp;COUNTIF($D$2:$D329,D329))</f>
        <v/>
      </c>
    </row>
    <row r="330">
      <c r="A330" s="15" t="n"/>
      <c r="B330">
        <f>IF($W330="","",INDEX('Per Line'!$B$2:$B$3001,$W330)&amp;"")</f>
        <v/>
      </c>
      <c r="C330">
        <f>IF($W330="","",INDEX('Per Line'!$C$2:$C$3001,$W330)&amp;"")</f>
        <v/>
      </c>
      <c r="D330">
        <f>IF($W330="","",IF(OR(TRIM(E330)="Orient Insurance Company",TRIM(E330)="Allianz"),TRIM(E330),TRIM(F330)))</f>
        <v/>
      </c>
      <c r="E330">
        <f>IF($W330="","",INDEX('Per Line'!$E$2:$E$3001,$W330)&amp;"")</f>
        <v/>
      </c>
      <c r="F330">
        <f>IF($W330="","",INDEX('Per Line'!$D$2:$D$3001,$W330)&amp;"")</f>
        <v/>
      </c>
      <c r="G330">
        <f>IF($W330="","",INDEX('Per Line'!$F$2:$F$3001,$W330)&amp;"")</f>
        <v/>
      </c>
      <c r="H330">
        <f>IF($W330="","",INDEX('Per Line'!$G$2:$G$3001,$W330)&amp;"")</f>
        <v/>
      </c>
      <c r="I330">
        <f>IF($W330="","",INDEX('Per Line'!$H$2:$H$3001,$W330)&amp;"")</f>
        <v/>
      </c>
      <c r="J330">
        <f>IF($W330="","",INDEX('Per Line'!$I$2:$I$3001,$W330))</f>
        <v/>
      </c>
      <c r="K330" s="7">
        <f>IF($W330="","",J330*T330/100)</f>
        <v/>
      </c>
      <c r="L330" s="14">
        <f>IF($W330="","",INDEX('Per Line'!$V$2:$V$3001,$W330))</f>
        <v/>
      </c>
      <c r="M330">
        <f>IF($W330="","",IF(ISNUMBER(SEARCH("3&amp;12",SUBSTITUTE(F330," ",""))),Settings!$G$7,Settings!$C$7))</f>
        <v/>
      </c>
      <c r="N330" s="7">
        <f>IF($W330="","",SUMIFS('Per Line'!$O$2:$O$3001,'Per Line'!$B$2:$B$3001,$B330,'Per Line'!$AB$2:$AB$3001,0))</f>
        <v/>
      </c>
      <c r="O330" s="7">
        <f>IF($W330="","",N330*M330)</f>
        <v/>
      </c>
      <c r="P330">
        <f>IF($W330="","",IF(ISNUMBER(SEARCH("3&amp;12",SUBSTITUTE(F330," ",""))),Settings!$G$6,Settings!$C$6))</f>
        <v/>
      </c>
      <c r="Q330" s="7">
        <f>IF($W330="","",SUMIFS('Per Line'!$O$2:$O$3001,'Per Line'!$B$2:$B$3001,$B330,'Per Line'!$AB$2:$AB$3001,1))</f>
        <v/>
      </c>
      <c r="R330" s="7">
        <f>IF($W330="","",Q330*P330)</f>
        <v/>
      </c>
      <c r="S330" s="7">
        <f>IF($W330="","",R330+O330)</f>
        <v/>
      </c>
      <c r="T330" s="7">
        <f>IF($W330="","",V330-S330)</f>
        <v/>
      </c>
      <c r="U330" s="7">
        <f>IF($W330="","",V330-S330-K330)</f>
        <v/>
      </c>
      <c r="V330" s="7">
        <f>IF($W330="","",N330+Q330)</f>
        <v/>
      </c>
      <c r="W330" s="16">
        <f>IF(ROWS($W$2:$W330)&lt;=MAX('Per Line'!$AA$2:$AA$3001),MATCH(ROWS($W$2:$W330),'Per Line'!$AA$2:$AA$3001,0),"")</f>
        <v/>
      </c>
      <c r="X330">
        <f>IF($W330="","",D330&amp;"|"&amp;COUNTIF($D$2:$D330,D330))</f>
        <v/>
      </c>
    </row>
    <row r="331">
      <c r="A331" s="15" t="n"/>
      <c r="B331">
        <f>IF($W331="","",INDEX('Per Line'!$B$2:$B$3001,$W331)&amp;"")</f>
        <v/>
      </c>
      <c r="C331">
        <f>IF($W331="","",INDEX('Per Line'!$C$2:$C$3001,$W331)&amp;"")</f>
        <v/>
      </c>
      <c r="D331">
        <f>IF($W331="","",IF(OR(TRIM(E331)="Orient Insurance Company",TRIM(E331)="Allianz"),TRIM(E331),TRIM(F331)))</f>
        <v/>
      </c>
      <c r="E331">
        <f>IF($W331="","",INDEX('Per Line'!$E$2:$E$3001,$W331)&amp;"")</f>
        <v/>
      </c>
      <c r="F331">
        <f>IF($W331="","",INDEX('Per Line'!$D$2:$D$3001,$W331)&amp;"")</f>
        <v/>
      </c>
      <c r="G331">
        <f>IF($W331="","",INDEX('Per Line'!$F$2:$F$3001,$W331)&amp;"")</f>
        <v/>
      </c>
      <c r="H331">
        <f>IF($W331="","",INDEX('Per Line'!$G$2:$G$3001,$W331)&amp;"")</f>
        <v/>
      </c>
      <c r="I331">
        <f>IF($W331="","",INDEX('Per Line'!$H$2:$H$3001,$W331)&amp;"")</f>
        <v/>
      </c>
      <c r="J331">
        <f>IF($W331="","",INDEX('Per Line'!$I$2:$I$3001,$W331))</f>
        <v/>
      </c>
      <c r="K331" s="7">
        <f>IF($W331="","",J331*T331/100)</f>
        <v/>
      </c>
      <c r="L331" s="14">
        <f>IF($W331="","",INDEX('Per Line'!$V$2:$V$3001,$W331))</f>
        <v/>
      </c>
      <c r="M331">
        <f>IF($W331="","",IF(ISNUMBER(SEARCH("3&amp;12",SUBSTITUTE(F331," ",""))),Settings!$G$7,Settings!$C$7))</f>
        <v/>
      </c>
      <c r="N331" s="7">
        <f>IF($W331="","",SUMIFS('Per Line'!$O$2:$O$3001,'Per Line'!$B$2:$B$3001,$B331,'Per Line'!$AB$2:$AB$3001,0))</f>
        <v/>
      </c>
      <c r="O331" s="7">
        <f>IF($W331="","",N331*M331)</f>
        <v/>
      </c>
      <c r="P331">
        <f>IF($W331="","",IF(ISNUMBER(SEARCH("3&amp;12",SUBSTITUTE(F331," ",""))),Settings!$G$6,Settings!$C$6))</f>
        <v/>
      </c>
      <c r="Q331" s="7">
        <f>IF($W331="","",SUMIFS('Per Line'!$O$2:$O$3001,'Per Line'!$B$2:$B$3001,$B331,'Per Line'!$AB$2:$AB$3001,1))</f>
        <v/>
      </c>
      <c r="R331" s="7">
        <f>IF($W331="","",Q331*P331)</f>
        <v/>
      </c>
      <c r="S331" s="7">
        <f>IF($W331="","",R331+O331)</f>
        <v/>
      </c>
      <c r="T331" s="7">
        <f>IF($W331="","",V331-S331)</f>
        <v/>
      </c>
      <c r="U331" s="7">
        <f>IF($W331="","",V331-S331-K331)</f>
        <v/>
      </c>
      <c r="V331" s="7">
        <f>IF($W331="","",N331+Q331)</f>
        <v/>
      </c>
      <c r="W331" s="16">
        <f>IF(ROWS($W$2:$W331)&lt;=MAX('Per Line'!$AA$2:$AA$3001),MATCH(ROWS($W$2:$W331),'Per Line'!$AA$2:$AA$3001,0),"")</f>
        <v/>
      </c>
      <c r="X331">
        <f>IF($W331="","",D331&amp;"|"&amp;COUNTIF($D$2:$D331,D331))</f>
        <v/>
      </c>
    </row>
    <row r="332">
      <c r="A332" s="15" t="n"/>
      <c r="B332">
        <f>IF($W332="","",INDEX('Per Line'!$B$2:$B$3001,$W332)&amp;"")</f>
        <v/>
      </c>
      <c r="C332">
        <f>IF($W332="","",INDEX('Per Line'!$C$2:$C$3001,$W332)&amp;"")</f>
        <v/>
      </c>
      <c r="D332">
        <f>IF($W332="","",IF(OR(TRIM(E332)="Orient Insurance Company",TRIM(E332)="Allianz"),TRIM(E332),TRIM(F332)))</f>
        <v/>
      </c>
      <c r="E332">
        <f>IF($W332="","",INDEX('Per Line'!$E$2:$E$3001,$W332)&amp;"")</f>
        <v/>
      </c>
      <c r="F332">
        <f>IF($W332="","",INDEX('Per Line'!$D$2:$D$3001,$W332)&amp;"")</f>
        <v/>
      </c>
      <c r="G332">
        <f>IF($W332="","",INDEX('Per Line'!$F$2:$F$3001,$W332)&amp;"")</f>
        <v/>
      </c>
      <c r="H332">
        <f>IF($W332="","",INDEX('Per Line'!$G$2:$G$3001,$W332)&amp;"")</f>
        <v/>
      </c>
      <c r="I332">
        <f>IF($W332="","",INDEX('Per Line'!$H$2:$H$3001,$W332)&amp;"")</f>
        <v/>
      </c>
      <c r="J332">
        <f>IF($W332="","",INDEX('Per Line'!$I$2:$I$3001,$W332))</f>
        <v/>
      </c>
      <c r="K332" s="7">
        <f>IF($W332="","",J332*T332/100)</f>
        <v/>
      </c>
      <c r="L332" s="14">
        <f>IF($W332="","",INDEX('Per Line'!$V$2:$V$3001,$W332))</f>
        <v/>
      </c>
      <c r="M332">
        <f>IF($W332="","",IF(ISNUMBER(SEARCH("3&amp;12",SUBSTITUTE(F332," ",""))),Settings!$G$7,Settings!$C$7))</f>
        <v/>
      </c>
      <c r="N332" s="7">
        <f>IF($W332="","",SUMIFS('Per Line'!$O$2:$O$3001,'Per Line'!$B$2:$B$3001,$B332,'Per Line'!$AB$2:$AB$3001,0))</f>
        <v/>
      </c>
      <c r="O332" s="7">
        <f>IF($W332="","",N332*M332)</f>
        <v/>
      </c>
      <c r="P332">
        <f>IF($W332="","",IF(ISNUMBER(SEARCH("3&amp;12",SUBSTITUTE(F332," ",""))),Settings!$G$6,Settings!$C$6))</f>
        <v/>
      </c>
      <c r="Q332" s="7">
        <f>IF($W332="","",SUMIFS('Per Line'!$O$2:$O$3001,'Per Line'!$B$2:$B$3001,$B332,'Per Line'!$AB$2:$AB$3001,1))</f>
        <v/>
      </c>
      <c r="R332" s="7">
        <f>IF($W332="","",Q332*P332)</f>
        <v/>
      </c>
      <c r="S332" s="7">
        <f>IF($W332="","",R332+O332)</f>
        <v/>
      </c>
      <c r="T332" s="7">
        <f>IF($W332="","",V332-S332)</f>
        <v/>
      </c>
      <c r="U332" s="7">
        <f>IF($W332="","",V332-S332-K332)</f>
        <v/>
      </c>
      <c r="V332" s="7">
        <f>IF($W332="","",N332+Q332)</f>
        <v/>
      </c>
      <c r="W332" s="16">
        <f>IF(ROWS($W$2:$W332)&lt;=MAX('Per Line'!$AA$2:$AA$3001),MATCH(ROWS($W$2:$W332),'Per Line'!$AA$2:$AA$3001,0),"")</f>
        <v/>
      </c>
      <c r="X332">
        <f>IF($W332="","",D332&amp;"|"&amp;COUNTIF($D$2:$D332,D332))</f>
        <v/>
      </c>
    </row>
    <row r="333">
      <c r="A333" s="15" t="n"/>
      <c r="B333">
        <f>IF($W333="","",INDEX('Per Line'!$B$2:$B$3001,$W333)&amp;"")</f>
        <v/>
      </c>
      <c r="C333">
        <f>IF($W333="","",INDEX('Per Line'!$C$2:$C$3001,$W333)&amp;"")</f>
        <v/>
      </c>
      <c r="D333">
        <f>IF($W333="","",IF(OR(TRIM(E333)="Orient Insurance Company",TRIM(E333)="Allianz"),TRIM(E333),TRIM(F333)))</f>
        <v/>
      </c>
      <c r="E333">
        <f>IF($W333="","",INDEX('Per Line'!$E$2:$E$3001,$W333)&amp;"")</f>
        <v/>
      </c>
      <c r="F333">
        <f>IF($W333="","",INDEX('Per Line'!$D$2:$D$3001,$W333)&amp;"")</f>
        <v/>
      </c>
      <c r="G333">
        <f>IF($W333="","",INDEX('Per Line'!$F$2:$F$3001,$W333)&amp;"")</f>
        <v/>
      </c>
      <c r="H333">
        <f>IF($W333="","",INDEX('Per Line'!$G$2:$G$3001,$W333)&amp;"")</f>
        <v/>
      </c>
      <c r="I333">
        <f>IF($W333="","",INDEX('Per Line'!$H$2:$H$3001,$W333)&amp;"")</f>
        <v/>
      </c>
      <c r="J333">
        <f>IF($W333="","",INDEX('Per Line'!$I$2:$I$3001,$W333))</f>
        <v/>
      </c>
      <c r="K333" s="7">
        <f>IF($W333="","",J333*T333/100)</f>
        <v/>
      </c>
      <c r="L333" s="14">
        <f>IF($W333="","",INDEX('Per Line'!$V$2:$V$3001,$W333))</f>
        <v/>
      </c>
      <c r="M333">
        <f>IF($W333="","",IF(ISNUMBER(SEARCH("3&amp;12",SUBSTITUTE(F333," ",""))),Settings!$G$7,Settings!$C$7))</f>
        <v/>
      </c>
      <c r="N333" s="7">
        <f>IF($W333="","",SUMIFS('Per Line'!$O$2:$O$3001,'Per Line'!$B$2:$B$3001,$B333,'Per Line'!$AB$2:$AB$3001,0))</f>
        <v/>
      </c>
      <c r="O333" s="7">
        <f>IF($W333="","",N333*M333)</f>
        <v/>
      </c>
      <c r="P333">
        <f>IF($W333="","",IF(ISNUMBER(SEARCH("3&amp;12",SUBSTITUTE(F333," ",""))),Settings!$G$6,Settings!$C$6))</f>
        <v/>
      </c>
      <c r="Q333" s="7">
        <f>IF($W333="","",SUMIFS('Per Line'!$O$2:$O$3001,'Per Line'!$B$2:$B$3001,$B333,'Per Line'!$AB$2:$AB$3001,1))</f>
        <v/>
      </c>
      <c r="R333" s="7">
        <f>IF($W333="","",Q333*P333)</f>
        <v/>
      </c>
      <c r="S333" s="7">
        <f>IF($W333="","",R333+O333)</f>
        <v/>
      </c>
      <c r="T333" s="7">
        <f>IF($W333="","",V333-S333)</f>
        <v/>
      </c>
      <c r="U333" s="7">
        <f>IF($W333="","",V333-S333-K333)</f>
        <v/>
      </c>
      <c r="V333" s="7">
        <f>IF($W333="","",N333+Q333)</f>
        <v/>
      </c>
      <c r="W333" s="16">
        <f>IF(ROWS($W$2:$W333)&lt;=MAX('Per Line'!$AA$2:$AA$3001),MATCH(ROWS($W$2:$W333),'Per Line'!$AA$2:$AA$3001,0),"")</f>
        <v/>
      </c>
      <c r="X333">
        <f>IF($W333="","",D333&amp;"|"&amp;COUNTIF($D$2:$D333,D333))</f>
        <v/>
      </c>
    </row>
    <row r="334">
      <c r="A334" s="15" t="n"/>
      <c r="B334">
        <f>IF($W334="","",INDEX('Per Line'!$B$2:$B$3001,$W334)&amp;"")</f>
        <v/>
      </c>
      <c r="C334">
        <f>IF($W334="","",INDEX('Per Line'!$C$2:$C$3001,$W334)&amp;"")</f>
        <v/>
      </c>
      <c r="D334">
        <f>IF($W334="","",IF(OR(TRIM(E334)="Orient Insurance Company",TRIM(E334)="Allianz"),TRIM(E334),TRIM(F334)))</f>
        <v/>
      </c>
      <c r="E334">
        <f>IF($W334="","",INDEX('Per Line'!$E$2:$E$3001,$W334)&amp;"")</f>
        <v/>
      </c>
      <c r="F334">
        <f>IF($W334="","",INDEX('Per Line'!$D$2:$D$3001,$W334)&amp;"")</f>
        <v/>
      </c>
      <c r="G334">
        <f>IF($W334="","",INDEX('Per Line'!$F$2:$F$3001,$W334)&amp;"")</f>
        <v/>
      </c>
      <c r="H334">
        <f>IF($W334="","",INDEX('Per Line'!$G$2:$G$3001,$W334)&amp;"")</f>
        <v/>
      </c>
      <c r="I334">
        <f>IF($W334="","",INDEX('Per Line'!$H$2:$H$3001,$W334)&amp;"")</f>
        <v/>
      </c>
      <c r="J334">
        <f>IF($W334="","",INDEX('Per Line'!$I$2:$I$3001,$W334))</f>
        <v/>
      </c>
      <c r="K334" s="7">
        <f>IF($W334="","",J334*T334/100)</f>
        <v/>
      </c>
      <c r="L334" s="14">
        <f>IF($W334="","",INDEX('Per Line'!$V$2:$V$3001,$W334))</f>
        <v/>
      </c>
      <c r="M334">
        <f>IF($W334="","",IF(ISNUMBER(SEARCH("3&amp;12",SUBSTITUTE(F334," ",""))),Settings!$G$7,Settings!$C$7))</f>
        <v/>
      </c>
      <c r="N334" s="7">
        <f>IF($W334="","",SUMIFS('Per Line'!$O$2:$O$3001,'Per Line'!$B$2:$B$3001,$B334,'Per Line'!$AB$2:$AB$3001,0))</f>
        <v/>
      </c>
      <c r="O334" s="7">
        <f>IF($W334="","",N334*M334)</f>
        <v/>
      </c>
      <c r="P334">
        <f>IF($W334="","",IF(ISNUMBER(SEARCH("3&amp;12",SUBSTITUTE(F334," ",""))),Settings!$G$6,Settings!$C$6))</f>
        <v/>
      </c>
      <c r="Q334" s="7">
        <f>IF($W334="","",SUMIFS('Per Line'!$O$2:$O$3001,'Per Line'!$B$2:$B$3001,$B334,'Per Line'!$AB$2:$AB$3001,1))</f>
        <v/>
      </c>
      <c r="R334" s="7">
        <f>IF($W334="","",Q334*P334)</f>
        <v/>
      </c>
      <c r="S334" s="7">
        <f>IF($W334="","",R334+O334)</f>
        <v/>
      </c>
      <c r="T334" s="7">
        <f>IF($W334="","",V334-S334)</f>
        <v/>
      </c>
      <c r="U334" s="7">
        <f>IF($W334="","",V334-S334-K334)</f>
        <v/>
      </c>
      <c r="V334" s="7">
        <f>IF($W334="","",N334+Q334)</f>
        <v/>
      </c>
      <c r="W334" s="16">
        <f>IF(ROWS($W$2:$W334)&lt;=MAX('Per Line'!$AA$2:$AA$3001),MATCH(ROWS($W$2:$W334),'Per Line'!$AA$2:$AA$3001,0),"")</f>
        <v/>
      </c>
      <c r="X334">
        <f>IF($W334="","",D334&amp;"|"&amp;COUNTIF($D$2:$D334,D334))</f>
        <v/>
      </c>
    </row>
    <row r="335">
      <c r="A335" s="15" t="n"/>
      <c r="B335">
        <f>IF($W335="","",INDEX('Per Line'!$B$2:$B$3001,$W335)&amp;"")</f>
        <v/>
      </c>
      <c r="C335">
        <f>IF($W335="","",INDEX('Per Line'!$C$2:$C$3001,$W335)&amp;"")</f>
        <v/>
      </c>
      <c r="D335">
        <f>IF($W335="","",IF(OR(TRIM(E335)="Orient Insurance Company",TRIM(E335)="Allianz"),TRIM(E335),TRIM(F335)))</f>
        <v/>
      </c>
      <c r="E335">
        <f>IF($W335="","",INDEX('Per Line'!$E$2:$E$3001,$W335)&amp;"")</f>
        <v/>
      </c>
      <c r="F335">
        <f>IF($W335="","",INDEX('Per Line'!$D$2:$D$3001,$W335)&amp;"")</f>
        <v/>
      </c>
      <c r="G335">
        <f>IF($W335="","",INDEX('Per Line'!$F$2:$F$3001,$W335)&amp;"")</f>
        <v/>
      </c>
      <c r="H335">
        <f>IF($W335="","",INDEX('Per Line'!$G$2:$G$3001,$W335)&amp;"")</f>
        <v/>
      </c>
      <c r="I335">
        <f>IF($W335="","",INDEX('Per Line'!$H$2:$H$3001,$W335)&amp;"")</f>
        <v/>
      </c>
      <c r="J335">
        <f>IF($W335="","",INDEX('Per Line'!$I$2:$I$3001,$W335))</f>
        <v/>
      </c>
      <c r="K335" s="7">
        <f>IF($W335="","",J335*T335/100)</f>
        <v/>
      </c>
      <c r="L335" s="14">
        <f>IF($W335="","",INDEX('Per Line'!$V$2:$V$3001,$W335))</f>
        <v/>
      </c>
      <c r="M335">
        <f>IF($W335="","",IF(ISNUMBER(SEARCH("3&amp;12",SUBSTITUTE(F335," ",""))),Settings!$G$7,Settings!$C$7))</f>
        <v/>
      </c>
      <c r="N335" s="7">
        <f>IF($W335="","",SUMIFS('Per Line'!$O$2:$O$3001,'Per Line'!$B$2:$B$3001,$B335,'Per Line'!$AB$2:$AB$3001,0))</f>
        <v/>
      </c>
      <c r="O335" s="7">
        <f>IF($W335="","",N335*M335)</f>
        <v/>
      </c>
      <c r="P335">
        <f>IF($W335="","",IF(ISNUMBER(SEARCH("3&amp;12",SUBSTITUTE(F335," ",""))),Settings!$G$6,Settings!$C$6))</f>
        <v/>
      </c>
      <c r="Q335" s="7">
        <f>IF($W335="","",SUMIFS('Per Line'!$O$2:$O$3001,'Per Line'!$B$2:$B$3001,$B335,'Per Line'!$AB$2:$AB$3001,1))</f>
        <v/>
      </c>
      <c r="R335" s="7">
        <f>IF($W335="","",Q335*P335)</f>
        <v/>
      </c>
      <c r="S335" s="7">
        <f>IF($W335="","",R335+O335)</f>
        <v/>
      </c>
      <c r="T335" s="7">
        <f>IF($W335="","",V335-S335)</f>
        <v/>
      </c>
      <c r="U335" s="7">
        <f>IF($W335="","",V335-S335-K335)</f>
        <v/>
      </c>
      <c r="V335" s="7">
        <f>IF($W335="","",N335+Q335)</f>
        <v/>
      </c>
      <c r="W335" s="16">
        <f>IF(ROWS($W$2:$W335)&lt;=MAX('Per Line'!$AA$2:$AA$3001),MATCH(ROWS($W$2:$W335),'Per Line'!$AA$2:$AA$3001,0),"")</f>
        <v/>
      </c>
      <c r="X335">
        <f>IF($W335="","",D335&amp;"|"&amp;COUNTIF($D$2:$D335,D335))</f>
        <v/>
      </c>
    </row>
    <row r="336">
      <c r="A336" s="15" t="n"/>
      <c r="B336">
        <f>IF($W336="","",INDEX('Per Line'!$B$2:$B$3001,$W336)&amp;"")</f>
        <v/>
      </c>
      <c r="C336">
        <f>IF($W336="","",INDEX('Per Line'!$C$2:$C$3001,$W336)&amp;"")</f>
        <v/>
      </c>
      <c r="D336">
        <f>IF($W336="","",IF(OR(TRIM(E336)="Orient Insurance Company",TRIM(E336)="Allianz"),TRIM(E336),TRIM(F336)))</f>
        <v/>
      </c>
      <c r="E336">
        <f>IF($W336="","",INDEX('Per Line'!$E$2:$E$3001,$W336)&amp;"")</f>
        <v/>
      </c>
      <c r="F336">
        <f>IF($W336="","",INDEX('Per Line'!$D$2:$D$3001,$W336)&amp;"")</f>
        <v/>
      </c>
      <c r="G336">
        <f>IF($W336="","",INDEX('Per Line'!$F$2:$F$3001,$W336)&amp;"")</f>
        <v/>
      </c>
      <c r="H336">
        <f>IF($W336="","",INDEX('Per Line'!$G$2:$G$3001,$W336)&amp;"")</f>
        <v/>
      </c>
      <c r="I336">
        <f>IF($W336="","",INDEX('Per Line'!$H$2:$H$3001,$W336)&amp;"")</f>
        <v/>
      </c>
      <c r="J336">
        <f>IF($W336="","",INDEX('Per Line'!$I$2:$I$3001,$W336))</f>
        <v/>
      </c>
      <c r="K336" s="7">
        <f>IF($W336="","",J336*T336/100)</f>
        <v/>
      </c>
      <c r="L336" s="14">
        <f>IF($W336="","",INDEX('Per Line'!$V$2:$V$3001,$W336))</f>
        <v/>
      </c>
      <c r="M336">
        <f>IF($W336="","",IF(ISNUMBER(SEARCH("3&amp;12",SUBSTITUTE(F336," ",""))),Settings!$G$7,Settings!$C$7))</f>
        <v/>
      </c>
      <c r="N336" s="7">
        <f>IF($W336="","",SUMIFS('Per Line'!$O$2:$O$3001,'Per Line'!$B$2:$B$3001,$B336,'Per Line'!$AB$2:$AB$3001,0))</f>
        <v/>
      </c>
      <c r="O336" s="7">
        <f>IF($W336="","",N336*M336)</f>
        <v/>
      </c>
      <c r="P336">
        <f>IF($W336="","",IF(ISNUMBER(SEARCH("3&amp;12",SUBSTITUTE(F336," ",""))),Settings!$G$6,Settings!$C$6))</f>
        <v/>
      </c>
      <c r="Q336" s="7">
        <f>IF($W336="","",SUMIFS('Per Line'!$O$2:$O$3001,'Per Line'!$B$2:$B$3001,$B336,'Per Line'!$AB$2:$AB$3001,1))</f>
        <v/>
      </c>
      <c r="R336" s="7">
        <f>IF($W336="","",Q336*P336)</f>
        <v/>
      </c>
      <c r="S336" s="7">
        <f>IF($W336="","",R336+O336)</f>
        <v/>
      </c>
      <c r="T336" s="7">
        <f>IF($W336="","",V336-S336)</f>
        <v/>
      </c>
      <c r="U336" s="7">
        <f>IF($W336="","",V336-S336-K336)</f>
        <v/>
      </c>
      <c r="V336" s="7">
        <f>IF($W336="","",N336+Q336)</f>
        <v/>
      </c>
      <c r="W336" s="16">
        <f>IF(ROWS($W$2:$W336)&lt;=MAX('Per Line'!$AA$2:$AA$3001),MATCH(ROWS($W$2:$W336),'Per Line'!$AA$2:$AA$3001,0),"")</f>
        <v/>
      </c>
      <c r="X336">
        <f>IF($W336="","",D336&amp;"|"&amp;COUNTIF($D$2:$D336,D336))</f>
        <v/>
      </c>
    </row>
    <row r="337">
      <c r="A337" s="15" t="n"/>
      <c r="B337">
        <f>IF($W337="","",INDEX('Per Line'!$B$2:$B$3001,$W337)&amp;"")</f>
        <v/>
      </c>
      <c r="C337">
        <f>IF($W337="","",INDEX('Per Line'!$C$2:$C$3001,$W337)&amp;"")</f>
        <v/>
      </c>
      <c r="D337">
        <f>IF($W337="","",IF(OR(TRIM(E337)="Orient Insurance Company",TRIM(E337)="Allianz"),TRIM(E337),TRIM(F337)))</f>
        <v/>
      </c>
      <c r="E337">
        <f>IF($W337="","",INDEX('Per Line'!$E$2:$E$3001,$W337)&amp;"")</f>
        <v/>
      </c>
      <c r="F337">
        <f>IF($W337="","",INDEX('Per Line'!$D$2:$D$3001,$W337)&amp;"")</f>
        <v/>
      </c>
      <c r="G337">
        <f>IF($W337="","",INDEX('Per Line'!$F$2:$F$3001,$W337)&amp;"")</f>
        <v/>
      </c>
      <c r="H337">
        <f>IF($W337="","",INDEX('Per Line'!$G$2:$G$3001,$W337)&amp;"")</f>
        <v/>
      </c>
      <c r="I337">
        <f>IF($W337="","",INDEX('Per Line'!$H$2:$H$3001,$W337)&amp;"")</f>
        <v/>
      </c>
      <c r="J337">
        <f>IF($W337="","",INDEX('Per Line'!$I$2:$I$3001,$W337))</f>
        <v/>
      </c>
      <c r="K337" s="7">
        <f>IF($W337="","",J337*T337/100)</f>
        <v/>
      </c>
      <c r="L337" s="14">
        <f>IF($W337="","",INDEX('Per Line'!$V$2:$V$3001,$W337))</f>
        <v/>
      </c>
      <c r="M337">
        <f>IF($W337="","",IF(ISNUMBER(SEARCH("3&amp;12",SUBSTITUTE(F337," ",""))),Settings!$G$7,Settings!$C$7))</f>
        <v/>
      </c>
      <c r="N337" s="7">
        <f>IF($W337="","",SUMIFS('Per Line'!$O$2:$O$3001,'Per Line'!$B$2:$B$3001,$B337,'Per Line'!$AB$2:$AB$3001,0))</f>
        <v/>
      </c>
      <c r="O337" s="7">
        <f>IF($W337="","",N337*M337)</f>
        <v/>
      </c>
      <c r="P337">
        <f>IF($W337="","",IF(ISNUMBER(SEARCH("3&amp;12",SUBSTITUTE(F337," ",""))),Settings!$G$6,Settings!$C$6))</f>
        <v/>
      </c>
      <c r="Q337" s="7">
        <f>IF($W337="","",SUMIFS('Per Line'!$O$2:$O$3001,'Per Line'!$B$2:$B$3001,$B337,'Per Line'!$AB$2:$AB$3001,1))</f>
        <v/>
      </c>
      <c r="R337" s="7">
        <f>IF($W337="","",Q337*P337)</f>
        <v/>
      </c>
      <c r="S337" s="7">
        <f>IF($W337="","",R337+O337)</f>
        <v/>
      </c>
      <c r="T337" s="7">
        <f>IF($W337="","",V337-S337)</f>
        <v/>
      </c>
      <c r="U337" s="7">
        <f>IF($W337="","",V337-S337-K337)</f>
        <v/>
      </c>
      <c r="V337" s="7">
        <f>IF($W337="","",N337+Q337)</f>
        <v/>
      </c>
      <c r="W337" s="16">
        <f>IF(ROWS($W$2:$W337)&lt;=MAX('Per Line'!$AA$2:$AA$3001),MATCH(ROWS($W$2:$W337),'Per Line'!$AA$2:$AA$3001,0),"")</f>
        <v/>
      </c>
      <c r="X337">
        <f>IF($W337="","",D337&amp;"|"&amp;COUNTIF($D$2:$D337,D337))</f>
        <v/>
      </c>
    </row>
    <row r="338">
      <c r="A338" s="15" t="n"/>
      <c r="B338">
        <f>IF($W338="","",INDEX('Per Line'!$B$2:$B$3001,$W338)&amp;"")</f>
        <v/>
      </c>
      <c r="C338">
        <f>IF($W338="","",INDEX('Per Line'!$C$2:$C$3001,$W338)&amp;"")</f>
        <v/>
      </c>
      <c r="D338">
        <f>IF($W338="","",IF(OR(TRIM(E338)="Orient Insurance Company",TRIM(E338)="Allianz"),TRIM(E338),TRIM(F338)))</f>
        <v/>
      </c>
      <c r="E338">
        <f>IF($W338="","",INDEX('Per Line'!$E$2:$E$3001,$W338)&amp;"")</f>
        <v/>
      </c>
      <c r="F338">
        <f>IF($W338="","",INDEX('Per Line'!$D$2:$D$3001,$W338)&amp;"")</f>
        <v/>
      </c>
      <c r="G338">
        <f>IF($W338="","",INDEX('Per Line'!$F$2:$F$3001,$W338)&amp;"")</f>
        <v/>
      </c>
      <c r="H338">
        <f>IF($W338="","",INDEX('Per Line'!$G$2:$G$3001,$W338)&amp;"")</f>
        <v/>
      </c>
      <c r="I338">
        <f>IF($W338="","",INDEX('Per Line'!$H$2:$H$3001,$W338)&amp;"")</f>
        <v/>
      </c>
      <c r="J338">
        <f>IF($W338="","",INDEX('Per Line'!$I$2:$I$3001,$W338))</f>
        <v/>
      </c>
      <c r="K338" s="7">
        <f>IF($W338="","",J338*T338/100)</f>
        <v/>
      </c>
      <c r="L338" s="14">
        <f>IF($W338="","",INDEX('Per Line'!$V$2:$V$3001,$W338))</f>
        <v/>
      </c>
      <c r="M338">
        <f>IF($W338="","",IF(ISNUMBER(SEARCH("3&amp;12",SUBSTITUTE(F338," ",""))),Settings!$G$7,Settings!$C$7))</f>
        <v/>
      </c>
      <c r="N338" s="7">
        <f>IF($W338="","",SUMIFS('Per Line'!$O$2:$O$3001,'Per Line'!$B$2:$B$3001,$B338,'Per Line'!$AB$2:$AB$3001,0))</f>
        <v/>
      </c>
      <c r="O338" s="7">
        <f>IF($W338="","",N338*M338)</f>
        <v/>
      </c>
      <c r="P338">
        <f>IF($W338="","",IF(ISNUMBER(SEARCH("3&amp;12",SUBSTITUTE(F338," ",""))),Settings!$G$6,Settings!$C$6))</f>
        <v/>
      </c>
      <c r="Q338" s="7">
        <f>IF($W338="","",SUMIFS('Per Line'!$O$2:$O$3001,'Per Line'!$B$2:$B$3001,$B338,'Per Line'!$AB$2:$AB$3001,1))</f>
        <v/>
      </c>
      <c r="R338" s="7">
        <f>IF($W338="","",Q338*P338)</f>
        <v/>
      </c>
      <c r="S338" s="7">
        <f>IF($W338="","",R338+O338)</f>
        <v/>
      </c>
      <c r="T338" s="7">
        <f>IF($W338="","",V338-S338)</f>
        <v/>
      </c>
      <c r="U338" s="7">
        <f>IF($W338="","",V338-S338-K338)</f>
        <v/>
      </c>
      <c r="V338" s="7">
        <f>IF($W338="","",N338+Q338)</f>
        <v/>
      </c>
      <c r="W338" s="16">
        <f>IF(ROWS($W$2:$W338)&lt;=MAX('Per Line'!$AA$2:$AA$3001),MATCH(ROWS($W$2:$W338),'Per Line'!$AA$2:$AA$3001,0),"")</f>
        <v/>
      </c>
      <c r="X338">
        <f>IF($W338="","",D338&amp;"|"&amp;COUNTIF($D$2:$D338,D338))</f>
        <v/>
      </c>
    </row>
    <row r="339">
      <c r="A339" s="15" t="n"/>
      <c r="B339">
        <f>IF($W339="","",INDEX('Per Line'!$B$2:$B$3001,$W339)&amp;"")</f>
        <v/>
      </c>
      <c r="C339">
        <f>IF($W339="","",INDEX('Per Line'!$C$2:$C$3001,$W339)&amp;"")</f>
        <v/>
      </c>
      <c r="D339">
        <f>IF($W339="","",IF(OR(TRIM(E339)="Orient Insurance Company",TRIM(E339)="Allianz"),TRIM(E339),TRIM(F339)))</f>
        <v/>
      </c>
      <c r="E339">
        <f>IF($W339="","",INDEX('Per Line'!$E$2:$E$3001,$W339)&amp;"")</f>
        <v/>
      </c>
      <c r="F339">
        <f>IF($W339="","",INDEX('Per Line'!$D$2:$D$3001,$W339)&amp;"")</f>
        <v/>
      </c>
      <c r="G339">
        <f>IF($W339="","",INDEX('Per Line'!$F$2:$F$3001,$W339)&amp;"")</f>
        <v/>
      </c>
      <c r="H339">
        <f>IF($W339="","",INDEX('Per Line'!$G$2:$G$3001,$W339)&amp;"")</f>
        <v/>
      </c>
      <c r="I339">
        <f>IF($W339="","",INDEX('Per Line'!$H$2:$H$3001,$W339)&amp;"")</f>
        <v/>
      </c>
      <c r="J339">
        <f>IF($W339="","",INDEX('Per Line'!$I$2:$I$3001,$W339))</f>
        <v/>
      </c>
      <c r="K339" s="7">
        <f>IF($W339="","",J339*T339/100)</f>
        <v/>
      </c>
      <c r="L339" s="14">
        <f>IF($W339="","",INDEX('Per Line'!$V$2:$V$3001,$W339))</f>
        <v/>
      </c>
      <c r="M339">
        <f>IF($W339="","",IF(ISNUMBER(SEARCH("3&amp;12",SUBSTITUTE(F339," ",""))),Settings!$G$7,Settings!$C$7))</f>
        <v/>
      </c>
      <c r="N339" s="7">
        <f>IF($W339="","",SUMIFS('Per Line'!$O$2:$O$3001,'Per Line'!$B$2:$B$3001,$B339,'Per Line'!$AB$2:$AB$3001,0))</f>
        <v/>
      </c>
      <c r="O339" s="7">
        <f>IF($W339="","",N339*M339)</f>
        <v/>
      </c>
      <c r="P339">
        <f>IF($W339="","",IF(ISNUMBER(SEARCH("3&amp;12",SUBSTITUTE(F339," ",""))),Settings!$G$6,Settings!$C$6))</f>
        <v/>
      </c>
      <c r="Q339" s="7">
        <f>IF($W339="","",SUMIFS('Per Line'!$O$2:$O$3001,'Per Line'!$B$2:$B$3001,$B339,'Per Line'!$AB$2:$AB$3001,1))</f>
        <v/>
      </c>
      <c r="R339" s="7">
        <f>IF($W339="","",Q339*P339)</f>
        <v/>
      </c>
      <c r="S339" s="7">
        <f>IF($W339="","",R339+O339)</f>
        <v/>
      </c>
      <c r="T339" s="7">
        <f>IF($W339="","",V339-S339)</f>
        <v/>
      </c>
      <c r="U339" s="7">
        <f>IF($W339="","",V339-S339-K339)</f>
        <v/>
      </c>
      <c r="V339" s="7">
        <f>IF($W339="","",N339+Q339)</f>
        <v/>
      </c>
      <c r="W339" s="16">
        <f>IF(ROWS($W$2:$W339)&lt;=MAX('Per Line'!$AA$2:$AA$3001),MATCH(ROWS($W$2:$W339),'Per Line'!$AA$2:$AA$3001,0),"")</f>
        <v/>
      </c>
      <c r="X339">
        <f>IF($W339="","",D339&amp;"|"&amp;COUNTIF($D$2:$D339,D339))</f>
        <v/>
      </c>
    </row>
    <row r="340">
      <c r="A340" s="15" t="n"/>
      <c r="B340">
        <f>IF($W340="","",INDEX('Per Line'!$B$2:$B$3001,$W340)&amp;"")</f>
        <v/>
      </c>
      <c r="C340">
        <f>IF($W340="","",INDEX('Per Line'!$C$2:$C$3001,$W340)&amp;"")</f>
        <v/>
      </c>
      <c r="D340">
        <f>IF($W340="","",IF(OR(TRIM(E340)="Orient Insurance Company",TRIM(E340)="Allianz"),TRIM(E340),TRIM(F340)))</f>
        <v/>
      </c>
      <c r="E340">
        <f>IF($W340="","",INDEX('Per Line'!$E$2:$E$3001,$W340)&amp;"")</f>
        <v/>
      </c>
      <c r="F340">
        <f>IF($W340="","",INDEX('Per Line'!$D$2:$D$3001,$W340)&amp;"")</f>
        <v/>
      </c>
      <c r="G340">
        <f>IF($W340="","",INDEX('Per Line'!$F$2:$F$3001,$W340)&amp;"")</f>
        <v/>
      </c>
      <c r="H340">
        <f>IF($W340="","",INDEX('Per Line'!$G$2:$G$3001,$W340)&amp;"")</f>
        <v/>
      </c>
      <c r="I340">
        <f>IF($W340="","",INDEX('Per Line'!$H$2:$H$3001,$W340)&amp;"")</f>
        <v/>
      </c>
      <c r="J340">
        <f>IF($W340="","",INDEX('Per Line'!$I$2:$I$3001,$W340))</f>
        <v/>
      </c>
      <c r="K340" s="7">
        <f>IF($W340="","",J340*T340/100)</f>
        <v/>
      </c>
      <c r="L340" s="14">
        <f>IF($W340="","",INDEX('Per Line'!$V$2:$V$3001,$W340))</f>
        <v/>
      </c>
      <c r="M340">
        <f>IF($W340="","",IF(ISNUMBER(SEARCH("3&amp;12",SUBSTITUTE(F340," ",""))),Settings!$G$7,Settings!$C$7))</f>
        <v/>
      </c>
      <c r="N340" s="7">
        <f>IF($W340="","",SUMIFS('Per Line'!$O$2:$O$3001,'Per Line'!$B$2:$B$3001,$B340,'Per Line'!$AB$2:$AB$3001,0))</f>
        <v/>
      </c>
      <c r="O340" s="7">
        <f>IF($W340="","",N340*M340)</f>
        <v/>
      </c>
      <c r="P340">
        <f>IF($W340="","",IF(ISNUMBER(SEARCH("3&amp;12",SUBSTITUTE(F340," ",""))),Settings!$G$6,Settings!$C$6))</f>
        <v/>
      </c>
      <c r="Q340" s="7">
        <f>IF($W340="","",SUMIFS('Per Line'!$O$2:$O$3001,'Per Line'!$B$2:$B$3001,$B340,'Per Line'!$AB$2:$AB$3001,1))</f>
        <v/>
      </c>
      <c r="R340" s="7">
        <f>IF($W340="","",Q340*P340)</f>
        <v/>
      </c>
      <c r="S340" s="7">
        <f>IF($W340="","",R340+O340)</f>
        <v/>
      </c>
      <c r="T340" s="7">
        <f>IF($W340="","",V340-S340)</f>
        <v/>
      </c>
      <c r="U340" s="7">
        <f>IF($W340="","",V340-S340-K340)</f>
        <v/>
      </c>
      <c r="V340" s="7">
        <f>IF($W340="","",N340+Q340)</f>
        <v/>
      </c>
      <c r="W340" s="16">
        <f>IF(ROWS($W$2:$W340)&lt;=MAX('Per Line'!$AA$2:$AA$3001),MATCH(ROWS($W$2:$W340),'Per Line'!$AA$2:$AA$3001,0),"")</f>
        <v/>
      </c>
      <c r="X340">
        <f>IF($W340="","",D340&amp;"|"&amp;COUNTIF($D$2:$D340,D340))</f>
        <v/>
      </c>
    </row>
    <row r="341">
      <c r="A341" s="15" t="n"/>
      <c r="B341">
        <f>IF($W341="","",INDEX('Per Line'!$B$2:$B$3001,$W341)&amp;"")</f>
        <v/>
      </c>
      <c r="C341">
        <f>IF($W341="","",INDEX('Per Line'!$C$2:$C$3001,$W341)&amp;"")</f>
        <v/>
      </c>
      <c r="D341">
        <f>IF($W341="","",IF(OR(TRIM(E341)="Orient Insurance Company",TRIM(E341)="Allianz"),TRIM(E341),TRIM(F341)))</f>
        <v/>
      </c>
      <c r="E341">
        <f>IF($W341="","",INDEX('Per Line'!$E$2:$E$3001,$W341)&amp;"")</f>
        <v/>
      </c>
      <c r="F341">
        <f>IF($W341="","",INDEX('Per Line'!$D$2:$D$3001,$W341)&amp;"")</f>
        <v/>
      </c>
      <c r="G341">
        <f>IF($W341="","",INDEX('Per Line'!$F$2:$F$3001,$W341)&amp;"")</f>
        <v/>
      </c>
      <c r="H341">
        <f>IF($W341="","",INDEX('Per Line'!$G$2:$G$3001,$W341)&amp;"")</f>
        <v/>
      </c>
      <c r="I341">
        <f>IF($W341="","",INDEX('Per Line'!$H$2:$H$3001,$W341)&amp;"")</f>
        <v/>
      </c>
      <c r="J341">
        <f>IF($W341="","",INDEX('Per Line'!$I$2:$I$3001,$W341))</f>
        <v/>
      </c>
      <c r="K341" s="7">
        <f>IF($W341="","",J341*T341/100)</f>
        <v/>
      </c>
      <c r="L341" s="14">
        <f>IF($W341="","",INDEX('Per Line'!$V$2:$V$3001,$W341))</f>
        <v/>
      </c>
      <c r="M341">
        <f>IF($W341="","",IF(ISNUMBER(SEARCH("3&amp;12",SUBSTITUTE(F341," ",""))),Settings!$G$7,Settings!$C$7))</f>
        <v/>
      </c>
      <c r="N341" s="7">
        <f>IF($W341="","",SUMIFS('Per Line'!$O$2:$O$3001,'Per Line'!$B$2:$B$3001,$B341,'Per Line'!$AB$2:$AB$3001,0))</f>
        <v/>
      </c>
      <c r="O341" s="7">
        <f>IF($W341="","",N341*M341)</f>
        <v/>
      </c>
      <c r="P341">
        <f>IF($W341="","",IF(ISNUMBER(SEARCH("3&amp;12",SUBSTITUTE(F341," ",""))),Settings!$G$6,Settings!$C$6))</f>
        <v/>
      </c>
      <c r="Q341" s="7">
        <f>IF($W341="","",SUMIFS('Per Line'!$O$2:$O$3001,'Per Line'!$B$2:$B$3001,$B341,'Per Line'!$AB$2:$AB$3001,1))</f>
        <v/>
      </c>
      <c r="R341" s="7">
        <f>IF($W341="","",Q341*P341)</f>
        <v/>
      </c>
      <c r="S341" s="7">
        <f>IF($W341="","",R341+O341)</f>
        <v/>
      </c>
      <c r="T341" s="7">
        <f>IF($W341="","",V341-S341)</f>
        <v/>
      </c>
      <c r="U341" s="7">
        <f>IF($W341="","",V341-S341-K341)</f>
        <v/>
      </c>
      <c r="V341" s="7">
        <f>IF($W341="","",N341+Q341)</f>
        <v/>
      </c>
      <c r="W341" s="16">
        <f>IF(ROWS($W$2:$W341)&lt;=MAX('Per Line'!$AA$2:$AA$3001),MATCH(ROWS($W$2:$W341),'Per Line'!$AA$2:$AA$3001,0),"")</f>
        <v/>
      </c>
      <c r="X341">
        <f>IF($W341="","",D341&amp;"|"&amp;COUNTIF($D$2:$D341,D341))</f>
        <v/>
      </c>
    </row>
    <row r="342">
      <c r="A342" s="15" t="n"/>
      <c r="B342">
        <f>IF($W342="","",INDEX('Per Line'!$B$2:$B$3001,$W342)&amp;"")</f>
        <v/>
      </c>
      <c r="C342">
        <f>IF($W342="","",INDEX('Per Line'!$C$2:$C$3001,$W342)&amp;"")</f>
        <v/>
      </c>
      <c r="D342">
        <f>IF($W342="","",IF(OR(TRIM(E342)="Orient Insurance Company",TRIM(E342)="Allianz"),TRIM(E342),TRIM(F342)))</f>
        <v/>
      </c>
      <c r="E342">
        <f>IF($W342="","",INDEX('Per Line'!$E$2:$E$3001,$W342)&amp;"")</f>
        <v/>
      </c>
      <c r="F342">
        <f>IF($W342="","",INDEX('Per Line'!$D$2:$D$3001,$W342)&amp;"")</f>
        <v/>
      </c>
      <c r="G342">
        <f>IF($W342="","",INDEX('Per Line'!$F$2:$F$3001,$W342)&amp;"")</f>
        <v/>
      </c>
      <c r="H342">
        <f>IF($W342="","",INDEX('Per Line'!$G$2:$G$3001,$W342)&amp;"")</f>
        <v/>
      </c>
      <c r="I342">
        <f>IF($W342="","",INDEX('Per Line'!$H$2:$H$3001,$W342)&amp;"")</f>
        <v/>
      </c>
      <c r="J342">
        <f>IF($W342="","",INDEX('Per Line'!$I$2:$I$3001,$W342))</f>
        <v/>
      </c>
      <c r="K342" s="7">
        <f>IF($W342="","",J342*T342/100)</f>
        <v/>
      </c>
      <c r="L342" s="14">
        <f>IF($W342="","",INDEX('Per Line'!$V$2:$V$3001,$W342))</f>
        <v/>
      </c>
      <c r="M342">
        <f>IF($W342="","",IF(ISNUMBER(SEARCH("3&amp;12",SUBSTITUTE(F342," ",""))),Settings!$G$7,Settings!$C$7))</f>
        <v/>
      </c>
      <c r="N342" s="7">
        <f>IF($W342="","",SUMIFS('Per Line'!$O$2:$O$3001,'Per Line'!$B$2:$B$3001,$B342,'Per Line'!$AB$2:$AB$3001,0))</f>
        <v/>
      </c>
      <c r="O342" s="7">
        <f>IF($W342="","",N342*M342)</f>
        <v/>
      </c>
      <c r="P342">
        <f>IF($W342="","",IF(ISNUMBER(SEARCH("3&amp;12",SUBSTITUTE(F342," ",""))),Settings!$G$6,Settings!$C$6))</f>
        <v/>
      </c>
      <c r="Q342" s="7">
        <f>IF($W342="","",SUMIFS('Per Line'!$O$2:$O$3001,'Per Line'!$B$2:$B$3001,$B342,'Per Line'!$AB$2:$AB$3001,1))</f>
        <v/>
      </c>
      <c r="R342" s="7">
        <f>IF($W342="","",Q342*P342)</f>
        <v/>
      </c>
      <c r="S342" s="7">
        <f>IF($W342="","",R342+O342)</f>
        <v/>
      </c>
      <c r="T342" s="7">
        <f>IF($W342="","",V342-S342)</f>
        <v/>
      </c>
      <c r="U342" s="7">
        <f>IF($W342="","",V342-S342-K342)</f>
        <v/>
      </c>
      <c r="V342" s="7">
        <f>IF($W342="","",N342+Q342)</f>
        <v/>
      </c>
      <c r="W342" s="16">
        <f>IF(ROWS($W$2:$W342)&lt;=MAX('Per Line'!$AA$2:$AA$3001),MATCH(ROWS($W$2:$W342),'Per Line'!$AA$2:$AA$3001,0),"")</f>
        <v/>
      </c>
      <c r="X342">
        <f>IF($W342="","",D342&amp;"|"&amp;COUNTIF($D$2:$D342,D342))</f>
        <v/>
      </c>
    </row>
    <row r="343">
      <c r="A343" s="15" t="n"/>
      <c r="B343">
        <f>IF($W343="","",INDEX('Per Line'!$B$2:$B$3001,$W343)&amp;"")</f>
        <v/>
      </c>
      <c r="C343">
        <f>IF($W343="","",INDEX('Per Line'!$C$2:$C$3001,$W343)&amp;"")</f>
        <v/>
      </c>
      <c r="D343">
        <f>IF($W343="","",IF(OR(TRIM(E343)="Orient Insurance Company",TRIM(E343)="Allianz"),TRIM(E343),TRIM(F343)))</f>
        <v/>
      </c>
      <c r="E343">
        <f>IF($W343="","",INDEX('Per Line'!$E$2:$E$3001,$W343)&amp;"")</f>
        <v/>
      </c>
      <c r="F343">
        <f>IF($W343="","",INDEX('Per Line'!$D$2:$D$3001,$W343)&amp;"")</f>
        <v/>
      </c>
      <c r="G343">
        <f>IF($W343="","",INDEX('Per Line'!$F$2:$F$3001,$W343)&amp;"")</f>
        <v/>
      </c>
      <c r="H343">
        <f>IF($W343="","",INDEX('Per Line'!$G$2:$G$3001,$W343)&amp;"")</f>
        <v/>
      </c>
      <c r="I343">
        <f>IF($W343="","",INDEX('Per Line'!$H$2:$H$3001,$W343)&amp;"")</f>
        <v/>
      </c>
      <c r="J343">
        <f>IF($W343="","",INDEX('Per Line'!$I$2:$I$3001,$W343))</f>
        <v/>
      </c>
      <c r="K343" s="7">
        <f>IF($W343="","",J343*T343/100)</f>
        <v/>
      </c>
      <c r="L343" s="14">
        <f>IF($W343="","",INDEX('Per Line'!$V$2:$V$3001,$W343))</f>
        <v/>
      </c>
      <c r="M343">
        <f>IF($W343="","",IF(ISNUMBER(SEARCH("3&amp;12",SUBSTITUTE(F343," ",""))),Settings!$G$7,Settings!$C$7))</f>
        <v/>
      </c>
      <c r="N343" s="7">
        <f>IF($W343="","",SUMIFS('Per Line'!$O$2:$O$3001,'Per Line'!$B$2:$B$3001,$B343,'Per Line'!$AB$2:$AB$3001,0))</f>
        <v/>
      </c>
      <c r="O343" s="7">
        <f>IF($W343="","",N343*M343)</f>
        <v/>
      </c>
      <c r="P343">
        <f>IF($W343="","",IF(ISNUMBER(SEARCH("3&amp;12",SUBSTITUTE(F343," ",""))),Settings!$G$6,Settings!$C$6))</f>
        <v/>
      </c>
      <c r="Q343" s="7">
        <f>IF($W343="","",SUMIFS('Per Line'!$O$2:$O$3001,'Per Line'!$B$2:$B$3001,$B343,'Per Line'!$AB$2:$AB$3001,1))</f>
        <v/>
      </c>
      <c r="R343" s="7">
        <f>IF($W343="","",Q343*P343)</f>
        <v/>
      </c>
      <c r="S343" s="7">
        <f>IF($W343="","",R343+O343)</f>
        <v/>
      </c>
      <c r="T343" s="7">
        <f>IF($W343="","",V343-S343)</f>
        <v/>
      </c>
      <c r="U343" s="7">
        <f>IF($W343="","",V343-S343-K343)</f>
        <v/>
      </c>
      <c r="V343" s="7">
        <f>IF($W343="","",N343+Q343)</f>
        <v/>
      </c>
      <c r="W343" s="16">
        <f>IF(ROWS($W$2:$W343)&lt;=MAX('Per Line'!$AA$2:$AA$3001),MATCH(ROWS($W$2:$W343),'Per Line'!$AA$2:$AA$3001,0),"")</f>
        <v/>
      </c>
      <c r="X343">
        <f>IF($W343="","",D343&amp;"|"&amp;COUNTIF($D$2:$D343,D343))</f>
        <v/>
      </c>
    </row>
    <row r="344">
      <c r="A344" s="15" t="n"/>
      <c r="B344">
        <f>IF($W344="","",INDEX('Per Line'!$B$2:$B$3001,$W344)&amp;"")</f>
        <v/>
      </c>
      <c r="C344">
        <f>IF($W344="","",INDEX('Per Line'!$C$2:$C$3001,$W344)&amp;"")</f>
        <v/>
      </c>
      <c r="D344">
        <f>IF($W344="","",IF(OR(TRIM(E344)="Orient Insurance Company",TRIM(E344)="Allianz"),TRIM(E344),TRIM(F344)))</f>
        <v/>
      </c>
      <c r="E344">
        <f>IF($W344="","",INDEX('Per Line'!$E$2:$E$3001,$W344)&amp;"")</f>
        <v/>
      </c>
      <c r="F344">
        <f>IF($W344="","",INDEX('Per Line'!$D$2:$D$3001,$W344)&amp;"")</f>
        <v/>
      </c>
      <c r="G344">
        <f>IF($W344="","",INDEX('Per Line'!$F$2:$F$3001,$W344)&amp;"")</f>
        <v/>
      </c>
      <c r="H344">
        <f>IF($W344="","",INDEX('Per Line'!$G$2:$G$3001,$W344)&amp;"")</f>
        <v/>
      </c>
      <c r="I344">
        <f>IF($W344="","",INDEX('Per Line'!$H$2:$H$3001,$W344)&amp;"")</f>
        <v/>
      </c>
      <c r="J344">
        <f>IF($W344="","",INDEX('Per Line'!$I$2:$I$3001,$W344))</f>
        <v/>
      </c>
      <c r="K344" s="7">
        <f>IF($W344="","",J344*T344/100)</f>
        <v/>
      </c>
      <c r="L344" s="14">
        <f>IF($W344="","",INDEX('Per Line'!$V$2:$V$3001,$W344))</f>
        <v/>
      </c>
      <c r="M344">
        <f>IF($W344="","",IF(ISNUMBER(SEARCH("3&amp;12",SUBSTITUTE(F344," ",""))),Settings!$G$7,Settings!$C$7))</f>
        <v/>
      </c>
      <c r="N344" s="7">
        <f>IF($W344="","",SUMIFS('Per Line'!$O$2:$O$3001,'Per Line'!$B$2:$B$3001,$B344,'Per Line'!$AB$2:$AB$3001,0))</f>
        <v/>
      </c>
      <c r="O344" s="7">
        <f>IF($W344="","",N344*M344)</f>
        <v/>
      </c>
      <c r="P344">
        <f>IF($W344="","",IF(ISNUMBER(SEARCH("3&amp;12",SUBSTITUTE(F344," ",""))),Settings!$G$6,Settings!$C$6))</f>
        <v/>
      </c>
      <c r="Q344" s="7">
        <f>IF($W344="","",SUMIFS('Per Line'!$O$2:$O$3001,'Per Line'!$B$2:$B$3001,$B344,'Per Line'!$AB$2:$AB$3001,1))</f>
        <v/>
      </c>
      <c r="R344" s="7">
        <f>IF($W344="","",Q344*P344)</f>
        <v/>
      </c>
      <c r="S344" s="7">
        <f>IF($W344="","",R344+O344)</f>
        <v/>
      </c>
      <c r="T344" s="7">
        <f>IF($W344="","",V344-S344)</f>
        <v/>
      </c>
      <c r="U344" s="7">
        <f>IF($W344="","",V344-S344-K344)</f>
        <v/>
      </c>
      <c r="V344" s="7">
        <f>IF($W344="","",N344+Q344)</f>
        <v/>
      </c>
      <c r="W344" s="16">
        <f>IF(ROWS($W$2:$W344)&lt;=MAX('Per Line'!$AA$2:$AA$3001),MATCH(ROWS($W$2:$W344),'Per Line'!$AA$2:$AA$3001,0),"")</f>
        <v/>
      </c>
      <c r="X344">
        <f>IF($W344="","",D344&amp;"|"&amp;COUNTIF($D$2:$D344,D344))</f>
        <v/>
      </c>
    </row>
    <row r="345">
      <c r="A345" s="15" t="n"/>
      <c r="B345">
        <f>IF($W345="","",INDEX('Per Line'!$B$2:$B$3001,$W345)&amp;"")</f>
        <v/>
      </c>
      <c r="C345">
        <f>IF($W345="","",INDEX('Per Line'!$C$2:$C$3001,$W345)&amp;"")</f>
        <v/>
      </c>
      <c r="D345">
        <f>IF($W345="","",IF(OR(TRIM(E345)="Orient Insurance Company",TRIM(E345)="Allianz"),TRIM(E345),TRIM(F345)))</f>
        <v/>
      </c>
      <c r="E345">
        <f>IF($W345="","",INDEX('Per Line'!$E$2:$E$3001,$W345)&amp;"")</f>
        <v/>
      </c>
      <c r="F345">
        <f>IF($W345="","",INDEX('Per Line'!$D$2:$D$3001,$W345)&amp;"")</f>
        <v/>
      </c>
      <c r="G345">
        <f>IF($W345="","",INDEX('Per Line'!$F$2:$F$3001,$W345)&amp;"")</f>
        <v/>
      </c>
      <c r="H345">
        <f>IF($W345="","",INDEX('Per Line'!$G$2:$G$3001,$W345)&amp;"")</f>
        <v/>
      </c>
      <c r="I345">
        <f>IF($W345="","",INDEX('Per Line'!$H$2:$H$3001,$W345)&amp;"")</f>
        <v/>
      </c>
      <c r="J345">
        <f>IF($W345="","",INDEX('Per Line'!$I$2:$I$3001,$W345))</f>
        <v/>
      </c>
      <c r="K345" s="7">
        <f>IF($W345="","",J345*T345/100)</f>
        <v/>
      </c>
      <c r="L345" s="14">
        <f>IF($W345="","",INDEX('Per Line'!$V$2:$V$3001,$W345))</f>
        <v/>
      </c>
      <c r="M345">
        <f>IF($W345="","",IF(ISNUMBER(SEARCH("3&amp;12",SUBSTITUTE(F345," ",""))),Settings!$G$7,Settings!$C$7))</f>
        <v/>
      </c>
      <c r="N345" s="7">
        <f>IF($W345="","",SUMIFS('Per Line'!$O$2:$O$3001,'Per Line'!$B$2:$B$3001,$B345,'Per Line'!$AB$2:$AB$3001,0))</f>
        <v/>
      </c>
      <c r="O345" s="7">
        <f>IF($W345="","",N345*M345)</f>
        <v/>
      </c>
      <c r="P345">
        <f>IF($W345="","",IF(ISNUMBER(SEARCH("3&amp;12",SUBSTITUTE(F345," ",""))),Settings!$G$6,Settings!$C$6))</f>
        <v/>
      </c>
      <c r="Q345" s="7">
        <f>IF($W345="","",SUMIFS('Per Line'!$O$2:$O$3001,'Per Line'!$B$2:$B$3001,$B345,'Per Line'!$AB$2:$AB$3001,1))</f>
        <v/>
      </c>
      <c r="R345" s="7">
        <f>IF($W345="","",Q345*P345)</f>
        <v/>
      </c>
      <c r="S345" s="7">
        <f>IF($W345="","",R345+O345)</f>
        <v/>
      </c>
      <c r="T345" s="7">
        <f>IF($W345="","",V345-S345)</f>
        <v/>
      </c>
      <c r="U345" s="7">
        <f>IF($W345="","",V345-S345-K345)</f>
        <v/>
      </c>
      <c r="V345" s="7">
        <f>IF($W345="","",N345+Q345)</f>
        <v/>
      </c>
      <c r="W345" s="16">
        <f>IF(ROWS($W$2:$W345)&lt;=MAX('Per Line'!$AA$2:$AA$3001),MATCH(ROWS($W$2:$W345),'Per Line'!$AA$2:$AA$3001,0),"")</f>
        <v/>
      </c>
      <c r="X345">
        <f>IF($W345="","",D345&amp;"|"&amp;COUNTIF($D$2:$D345,D345))</f>
        <v/>
      </c>
    </row>
    <row r="346">
      <c r="A346" s="15" t="n"/>
      <c r="B346">
        <f>IF($W346="","",INDEX('Per Line'!$B$2:$B$3001,$W346)&amp;"")</f>
        <v/>
      </c>
      <c r="C346">
        <f>IF($W346="","",INDEX('Per Line'!$C$2:$C$3001,$W346)&amp;"")</f>
        <v/>
      </c>
      <c r="D346">
        <f>IF($W346="","",IF(OR(TRIM(E346)="Orient Insurance Company",TRIM(E346)="Allianz"),TRIM(E346),TRIM(F346)))</f>
        <v/>
      </c>
      <c r="E346">
        <f>IF($W346="","",INDEX('Per Line'!$E$2:$E$3001,$W346)&amp;"")</f>
        <v/>
      </c>
      <c r="F346">
        <f>IF($W346="","",INDEX('Per Line'!$D$2:$D$3001,$W346)&amp;"")</f>
        <v/>
      </c>
      <c r="G346">
        <f>IF($W346="","",INDEX('Per Line'!$F$2:$F$3001,$W346)&amp;"")</f>
        <v/>
      </c>
      <c r="H346">
        <f>IF($W346="","",INDEX('Per Line'!$G$2:$G$3001,$W346)&amp;"")</f>
        <v/>
      </c>
      <c r="I346">
        <f>IF($W346="","",INDEX('Per Line'!$H$2:$H$3001,$W346)&amp;"")</f>
        <v/>
      </c>
      <c r="J346">
        <f>IF($W346="","",INDEX('Per Line'!$I$2:$I$3001,$W346))</f>
        <v/>
      </c>
      <c r="K346" s="7">
        <f>IF($W346="","",J346*T346/100)</f>
        <v/>
      </c>
      <c r="L346" s="14">
        <f>IF($W346="","",INDEX('Per Line'!$V$2:$V$3001,$W346))</f>
        <v/>
      </c>
      <c r="M346">
        <f>IF($W346="","",IF(ISNUMBER(SEARCH("3&amp;12",SUBSTITUTE(F346," ",""))),Settings!$G$7,Settings!$C$7))</f>
        <v/>
      </c>
      <c r="N346" s="7">
        <f>IF($W346="","",SUMIFS('Per Line'!$O$2:$O$3001,'Per Line'!$B$2:$B$3001,$B346,'Per Line'!$AB$2:$AB$3001,0))</f>
        <v/>
      </c>
      <c r="O346" s="7">
        <f>IF($W346="","",N346*M346)</f>
        <v/>
      </c>
      <c r="P346">
        <f>IF($W346="","",IF(ISNUMBER(SEARCH("3&amp;12",SUBSTITUTE(F346," ",""))),Settings!$G$6,Settings!$C$6))</f>
        <v/>
      </c>
      <c r="Q346" s="7">
        <f>IF($W346="","",SUMIFS('Per Line'!$O$2:$O$3001,'Per Line'!$B$2:$B$3001,$B346,'Per Line'!$AB$2:$AB$3001,1))</f>
        <v/>
      </c>
      <c r="R346" s="7">
        <f>IF($W346="","",Q346*P346)</f>
        <v/>
      </c>
      <c r="S346" s="7">
        <f>IF($W346="","",R346+O346)</f>
        <v/>
      </c>
      <c r="T346" s="7">
        <f>IF($W346="","",V346-S346)</f>
        <v/>
      </c>
      <c r="U346" s="7">
        <f>IF($W346="","",V346-S346-K346)</f>
        <v/>
      </c>
      <c r="V346" s="7">
        <f>IF($W346="","",N346+Q346)</f>
        <v/>
      </c>
      <c r="W346" s="16">
        <f>IF(ROWS($W$2:$W346)&lt;=MAX('Per Line'!$AA$2:$AA$3001),MATCH(ROWS($W$2:$W346),'Per Line'!$AA$2:$AA$3001,0),"")</f>
        <v/>
      </c>
      <c r="X346">
        <f>IF($W346="","",D346&amp;"|"&amp;COUNTIF($D$2:$D346,D346))</f>
        <v/>
      </c>
    </row>
    <row r="347">
      <c r="A347" s="15" t="n"/>
      <c r="B347">
        <f>IF($W347="","",INDEX('Per Line'!$B$2:$B$3001,$W347)&amp;"")</f>
        <v/>
      </c>
      <c r="C347">
        <f>IF($W347="","",INDEX('Per Line'!$C$2:$C$3001,$W347)&amp;"")</f>
        <v/>
      </c>
      <c r="D347">
        <f>IF($W347="","",IF(OR(TRIM(E347)="Orient Insurance Company",TRIM(E347)="Allianz"),TRIM(E347),TRIM(F347)))</f>
        <v/>
      </c>
      <c r="E347">
        <f>IF($W347="","",INDEX('Per Line'!$E$2:$E$3001,$W347)&amp;"")</f>
        <v/>
      </c>
      <c r="F347">
        <f>IF($W347="","",INDEX('Per Line'!$D$2:$D$3001,$W347)&amp;"")</f>
        <v/>
      </c>
      <c r="G347">
        <f>IF($W347="","",INDEX('Per Line'!$F$2:$F$3001,$W347)&amp;"")</f>
        <v/>
      </c>
      <c r="H347">
        <f>IF($W347="","",INDEX('Per Line'!$G$2:$G$3001,$W347)&amp;"")</f>
        <v/>
      </c>
      <c r="I347">
        <f>IF($W347="","",INDEX('Per Line'!$H$2:$H$3001,$W347)&amp;"")</f>
        <v/>
      </c>
      <c r="J347">
        <f>IF($W347="","",INDEX('Per Line'!$I$2:$I$3001,$W347))</f>
        <v/>
      </c>
      <c r="K347" s="7">
        <f>IF($W347="","",J347*T347/100)</f>
        <v/>
      </c>
      <c r="L347" s="14">
        <f>IF($W347="","",INDEX('Per Line'!$V$2:$V$3001,$W347))</f>
        <v/>
      </c>
      <c r="M347">
        <f>IF($W347="","",IF(ISNUMBER(SEARCH("3&amp;12",SUBSTITUTE(F347," ",""))),Settings!$G$7,Settings!$C$7))</f>
        <v/>
      </c>
      <c r="N347" s="7">
        <f>IF($W347="","",SUMIFS('Per Line'!$O$2:$O$3001,'Per Line'!$B$2:$B$3001,$B347,'Per Line'!$AB$2:$AB$3001,0))</f>
        <v/>
      </c>
      <c r="O347" s="7">
        <f>IF($W347="","",N347*M347)</f>
        <v/>
      </c>
      <c r="P347">
        <f>IF($W347="","",IF(ISNUMBER(SEARCH("3&amp;12",SUBSTITUTE(F347," ",""))),Settings!$G$6,Settings!$C$6))</f>
        <v/>
      </c>
      <c r="Q347" s="7">
        <f>IF($W347="","",SUMIFS('Per Line'!$O$2:$O$3001,'Per Line'!$B$2:$B$3001,$B347,'Per Line'!$AB$2:$AB$3001,1))</f>
        <v/>
      </c>
      <c r="R347" s="7">
        <f>IF($W347="","",Q347*P347)</f>
        <v/>
      </c>
      <c r="S347" s="7">
        <f>IF($W347="","",R347+O347)</f>
        <v/>
      </c>
      <c r="T347" s="7">
        <f>IF($W347="","",V347-S347)</f>
        <v/>
      </c>
      <c r="U347" s="7">
        <f>IF($W347="","",V347-S347-K347)</f>
        <v/>
      </c>
      <c r="V347" s="7">
        <f>IF($W347="","",N347+Q347)</f>
        <v/>
      </c>
      <c r="W347" s="16">
        <f>IF(ROWS($W$2:$W347)&lt;=MAX('Per Line'!$AA$2:$AA$3001),MATCH(ROWS($W$2:$W347),'Per Line'!$AA$2:$AA$3001,0),"")</f>
        <v/>
      </c>
      <c r="X347">
        <f>IF($W347="","",D347&amp;"|"&amp;COUNTIF($D$2:$D347,D347))</f>
        <v/>
      </c>
    </row>
    <row r="348">
      <c r="A348" s="15" t="n"/>
      <c r="B348">
        <f>IF($W348="","",INDEX('Per Line'!$B$2:$B$3001,$W348)&amp;"")</f>
        <v/>
      </c>
      <c r="C348">
        <f>IF($W348="","",INDEX('Per Line'!$C$2:$C$3001,$W348)&amp;"")</f>
        <v/>
      </c>
      <c r="D348">
        <f>IF($W348="","",IF(OR(TRIM(E348)="Orient Insurance Company",TRIM(E348)="Allianz"),TRIM(E348),TRIM(F348)))</f>
        <v/>
      </c>
      <c r="E348">
        <f>IF($W348="","",INDEX('Per Line'!$E$2:$E$3001,$W348)&amp;"")</f>
        <v/>
      </c>
      <c r="F348">
        <f>IF($W348="","",INDEX('Per Line'!$D$2:$D$3001,$W348)&amp;"")</f>
        <v/>
      </c>
      <c r="G348">
        <f>IF($W348="","",INDEX('Per Line'!$F$2:$F$3001,$W348)&amp;"")</f>
        <v/>
      </c>
      <c r="H348">
        <f>IF($W348="","",INDEX('Per Line'!$G$2:$G$3001,$W348)&amp;"")</f>
        <v/>
      </c>
      <c r="I348">
        <f>IF($W348="","",INDEX('Per Line'!$H$2:$H$3001,$W348)&amp;"")</f>
        <v/>
      </c>
      <c r="J348">
        <f>IF($W348="","",INDEX('Per Line'!$I$2:$I$3001,$W348))</f>
        <v/>
      </c>
      <c r="K348" s="7">
        <f>IF($W348="","",J348*T348/100)</f>
        <v/>
      </c>
      <c r="L348" s="14">
        <f>IF($W348="","",INDEX('Per Line'!$V$2:$V$3001,$W348))</f>
        <v/>
      </c>
      <c r="M348">
        <f>IF($W348="","",IF(ISNUMBER(SEARCH("3&amp;12",SUBSTITUTE(F348," ",""))),Settings!$G$7,Settings!$C$7))</f>
        <v/>
      </c>
      <c r="N348" s="7">
        <f>IF($W348="","",SUMIFS('Per Line'!$O$2:$O$3001,'Per Line'!$B$2:$B$3001,$B348,'Per Line'!$AB$2:$AB$3001,0))</f>
        <v/>
      </c>
      <c r="O348" s="7">
        <f>IF($W348="","",N348*M348)</f>
        <v/>
      </c>
      <c r="P348">
        <f>IF($W348="","",IF(ISNUMBER(SEARCH("3&amp;12",SUBSTITUTE(F348," ",""))),Settings!$G$6,Settings!$C$6))</f>
        <v/>
      </c>
      <c r="Q348" s="7">
        <f>IF($W348="","",SUMIFS('Per Line'!$O$2:$O$3001,'Per Line'!$B$2:$B$3001,$B348,'Per Line'!$AB$2:$AB$3001,1))</f>
        <v/>
      </c>
      <c r="R348" s="7">
        <f>IF($W348="","",Q348*P348)</f>
        <v/>
      </c>
      <c r="S348" s="7">
        <f>IF($W348="","",R348+O348)</f>
        <v/>
      </c>
      <c r="T348" s="7">
        <f>IF($W348="","",V348-S348)</f>
        <v/>
      </c>
      <c r="U348" s="7">
        <f>IF($W348="","",V348-S348-K348)</f>
        <v/>
      </c>
      <c r="V348" s="7">
        <f>IF($W348="","",N348+Q348)</f>
        <v/>
      </c>
      <c r="W348" s="16">
        <f>IF(ROWS($W$2:$W348)&lt;=MAX('Per Line'!$AA$2:$AA$3001),MATCH(ROWS($W$2:$W348),'Per Line'!$AA$2:$AA$3001,0),"")</f>
        <v/>
      </c>
      <c r="X348">
        <f>IF($W348="","",D348&amp;"|"&amp;COUNTIF($D$2:$D348,D348))</f>
        <v/>
      </c>
    </row>
    <row r="349">
      <c r="A349" s="15" t="n"/>
      <c r="B349">
        <f>IF($W349="","",INDEX('Per Line'!$B$2:$B$3001,$W349)&amp;"")</f>
        <v/>
      </c>
      <c r="C349">
        <f>IF($W349="","",INDEX('Per Line'!$C$2:$C$3001,$W349)&amp;"")</f>
        <v/>
      </c>
      <c r="D349">
        <f>IF($W349="","",IF(OR(TRIM(E349)="Orient Insurance Company",TRIM(E349)="Allianz"),TRIM(E349),TRIM(F349)))</f>
        <v/>
      </c>
      <c r="E349">
        <f>IF($W349="","",INDEX('Per Line'!$E$2:$E$3001,$W349)&amp;"")</f>
        <v/>
      </c>
      <c r="F349">
        <f>IF($W349="","",INDEX('Per Line'!$D$2:$D$3001,$W349)&amp;"")</f>
        <v/>
      </c>
      <c r="G349">
        <f>IF($W349="","",INDEX('Per Line'!$F$2:$F$3001,$W349)&amp;"")</f>
        <v/>
      </c>
      <c r="H349">
        <f>IF($W349="","",INDEX('Per Line'!$G$2:$G$3001,$W349)&amp;"")</f>
        <v/>
      </c>
      <c r="I349">
        <f>IF($W349="","",INDEX('Per Line'!$H$2:$H$3001,$W349)&amp;"")</f>
        <v/>
      </c>
      <c r="J349">
        <f>IF($W349="","",INDEX('Per Line'!$I$2:$I$3001,$W349))</f>
        <v/>
      </c>
      <c r="K349" s="7">
        <f>IF($W349="","",J349*T349/100)</f>
        <v/>
      </c>
      <c r="L349" s="14">
        <f>IF($W349="","",INDEX('Per Line'!$V$2:$V$3001,$W349))</f>
        <v/>
      </c>
      <c r="M349">
        <f>IF($W349="","",IF(ISNUMBER(SEARCH("3&amp;12",SUBSTITUTE(F349," ",""))),Settings!$G$7,Settings!$C$7))</f>
        <v/>
      </c>
      <c r="N349" s="7">
        <f>IF($W349="","",SUMIFS('Per Line'!$O$2:$O$3001,'Per Line'!$B$2:$B$3001,$B349,'Per Line'!$AB$2:$AB$3001,0))</f>
        <v/>
      </c>
      <c r="O349" s="7">
        <f>IF($W349="","",N349*M349)</f>
        <v/>
      </c>
      <c r="P349">
        <f>IF($W349="","",IF(ISNUMBER(SEARCH("3&amp;12",SUBSTITUTE(F349," ",""))),Settings!$G$6,Settings!$C$6))</f>
        <v/>
      </c>
      <c r="Q349" s="7">
        <f>IF($W349="","",SUMIFS('Per Line'!$O$2:$O$3001,'Per Line'!$B$2:$B$3001,$B349,'Per Line'!$AB$2:$AB$3001,1))</f>
        <v/>
      </c>
      <c r="R349" s="7">
        <f>IF($W349="","",Q349*P349)</f>
        <v/>
      </c>
      <c r="S349" s="7">
        <f>IF($W349="","",R349+O349)</f>
        <v/>
      </c>
      <c r="T349" s="7">
        <f>IF($W349="","",V349-S349)</f>
        <v/>
      </c>
      <c r="U349" s="7">
        <f>IF($W349="","",V349-S349-K349)</f>
        <v/>
      </c>
      <c r="V349" s="7">
        <f>IF($W349="","",N349+Q349)</f>
        <v/>
      </c>
      <c r="W349" s="16">
        <f>IF(ROWS($W$2:$W349)&lt;=MAX('Per Line'!$AA$2:$AA$3001),MATCH(ROWS($W$2:$W349),'Per Line'!$AA$2:$AA$3001,0),"")</f>
        <v/>
      </c>
      <c r="X349">
        <f>IF($W349="","",D349&amp;"|"&amp;COUNTIF($D$2:$D349,D349))</f>
        <v/>
      </c>
    </row>
    <row r="350">
      <c r="A350" s="15" t="n"/>
      <c r="B350">
        <f>IF($W350="","",INDEX('Per Line'!$B$2:$B$3001,$W350)&amp;"")</f>
        <v/>
      </c>
      <c r="C350">
        <f>IF($W350="","",INDEX('Per Line'!$C$2:$C$3001,$W350)&amp;"")</f>
        <v/>
      </c>
      <c r="D350">
        <f>IF($W350="","",IF(OR(TRIM(E350)="Orient Insurance Company",TRIM(E350)="Allianz"),TRIM(E350),TRIM(F350)))</f>
        <v/>
      </c>
      <c r="E350">
        <f>IF($W350="","",INDEX('Per Line'!$E$2:$E$3001,$W350)&amp;"")</f>
        <v/>
      </c>
      <c r="F350">
        <f>IF($W350="","",INDEX('Per Line'!$D$2:$D$3001,$W350)&amp;"")</f>
        <v/>
      </c>
      <c r="G350">
        <f>IF($W350="","",INDEX('Per Line'!$F$2:$F$3001,$W350)&amp;"")</f>
        <v/>
      </c>
      <c r="H350">
        <f>IF($W350="","",INDEX('Per Line'!$G$2:$G$3001,$W350)&amp;"")</f>
        <v/>
      </c>
      <c r="I350">
        <f>IF($W350="","",INDEX('Per Line'!$H$2:$H$3001,$W350)&amp;"")</f>
        <v/>
      </c>
      <c r="J350">
        <f>IF($W350="","",INDEX('Per Line'!$I$2:$I$3001,$W350))</f>
        <v/>
      </c>
      <c r="K350" s="7">
        <f>IF($W350="","",J350*T350/100)</f>
        <v/>
      </c>
      <c r="L350" s="14">
        <f>IF($W350="","",INDEX('Per Line'!$V$2:$V$3001,$W350))</f>
        <v/>
      </c>
      <c r="M350">
        <f>IF($W350="","",IF(ISNUMBER(SEARCH("3&amp;12",SUBSTITUTE(F350," ",""))),Settings!$G$7,Settings!$C$7))</f>
        <v/>
      </c>
      <c r="N350" s="7">
        <f>IF($W350="","",SUMIFS('Per Line'!$O$2:$O$3001,'Per Line'!$B$2:$B$3001,$B350,'Per Line'!$AB$2:$AB$3001,0))</f>
        <v/>
      </c>
      <c r="O350" s="7">
        <f>IF($W350="","",N350*M350)</f>
        <v/>
      </c>
      <c r="P350">
        <f>IF($W350="","",IF(ISNUMBER(SEARCH("3&amp;12",SUBSTITUTE(F350," ",""))),Settings!$G$6,Settings!$C$6))</f>
        <v/>
      </c>
      <c r="Q350" s="7">
        <f>IF($W350="","",SUMIFS('Per Line'!$O$2:$O$3001,'Per Line'!$B$2:$B$3001,$B350,'Per Line'!$AB$2:$AB$3001,1))</f>
        <v/>
      </c>
      <c r="R350" s="7">
        <f>IF($W350="","",Q350*P350)</f>
        <v/>
      </c>
      <c r="S350" s="7">
        <f>IF($W350="","",R350+O350)</f>
        <v/>
      </c>
      <c r="T350" s="7">
        <f>IF($W350="","",V350-S350)</f>
        <v/>
      </c>
      <c r="U350" s="7">
        <f>IF($W350="","",V350-S350-K350)</f>
        <v/>
      </c>
      <c r="V350" s="7">
        <f>IF($W350="","",N350+Q350)</f>
        <v/>
      </c>
      <c r="W350" s="16">
        <f>IF(ROWS($W$2:$W350)&lt;=MAX('Per Line'!$AA$2:$AA$3001),MATCH(ROWS($W$2:$W350),'Per Line'!$AA$2:$AA$3001,0),"")</f>
        <v/>
      </c>
      <c r="X350">
        <f>IF($W350="","",D350&amp;"|"&amp;COUNTIF($D$2:$D350,D350))</f>
        <v/>
      </c>
    </row>
    <row r="351">
      <c r="A351" s="15" t="n"/>
      <c r="B351">
        <f>IF($W351="","",INDEX('Per Line'!$B$2:$B$3001,$W351)&amp;"")</f>
        <v/>
      </c>
      <c r="C351">
        <f>IF($W351="","",INDEX('Per Line'!$C$2:$C$3001,$W351)&amp;"")</f>
        <v/>
      </c>
      <c r="D351">
        <f>IF($W351="","",IF(OR(TRIM(E351)="Orient Insurance Company",TRIM(E351)="Allianz"),TRIM(E351),TRIM(F351)))</f>
        <v/>
      </c>
      <c r="E351">
        <f>IF($W351="","",INDEX('Per Line'!$E$2:$E$3001,$W351)&amp;"")</f>
        <v/>
      </c>
      <c r="F351">
        <f>IF($W351="","",INDEX('Per Line'!$D$2:$D$3001,$W351)&amp;"")</f>
        <v/>
      </c>
      <c r="G351">
        <f>IF($W351="","",INDEX('Per Line'!$F$2:$F$3001,$W351)&amp;"")</f>
        <v/>
      </c>
      <c r="H351">
        <f>IF($W351="","",INDEX('Per Line'!$G$2:$G$3001,$W351)&amp;"")</f>
        <v/>
      </c>
      <c r="I351">
        <f>IF($W351="","",INDEX('Per Line'!$H$2:$H$3001,$W351)&amp;"")</f>
        <v/>
      </c>
      <c r="J351">
        <f>IF($W351="","",INDEX('Per Line'!$I$2:$I$3001,$W351))</f>
        <v/>
      </c>
      <c r="K351" s="7">
        <f>IF($W351="","",J351*T351/100)</f>
        <v/>
      </c>
      <c r="L351" s="14">
        <f>IF($W351="","",INDEX('Per Line'!$V$2:$V$3001,$W351))</f>
        <v/>
      </c>
      <c r="M351">
        <f>IF($W351="","",IF(ISNUMBER(SEARCH("3&amp;12",SUBSTITUTE(F351," ",""))),Settings!$G$7,Settings!$C$7))</f>
        <v/>
      </c>
      <c r="N351" s="7">
        <f>IF($W351="","",SUMIFS('Per Line'!$O$2:$O$3001,'Per Line'!$B$2:$B$3001,$B351,'Per Line'!$AB$2:$AB$3001,0))</f>
        <v/>
      </c>
      <c r="O351" s="7">
        <f>IF($W351="","",N351*M351)</f>
        <v/>
      </c>
      <c r="P351">
        <f>IF($W351="","",IF(ISNUMBER(SEARCH("3&amp;12",SUBSTITUTE(F351," ",""))),Settings!$G$6,Settings!$C$6))</f>
        <v/>
      </c>
      <c r="Q351" s="7">
        <f>IF($W351="","",SUMIFS('Per Line'!$O$2:$O$3001,'Per Line'!$B$2:$B$3001,$B351,'Per Line'!$AB$2:$AB$3001,1))</f>
        <v/>
      </c>
      <c r="R351" s="7">
        <f>IF($W351="","",Q351*P351)</f>
        <v/>
      </c>
      <c r="S351" s="7">
        <f>IF($W351="","",R351+O351)</f>
        <v/>
      </c>
      <c r="T351" s="7">
        <f>IF($W351="","",V351-S351)</f>
        <v/>
      </c>
      <c r="U351" s="7">
        <f>IF($W351="","",V351-S351-K351)</f>
        <v/>
      </c>
      <c r="V351" s="7">
        <f>IF($W351="","",N351+Q351)</f>
        <v/>
      </c>
      <c r="W351" s="16">
        <f>IF(ROWS($W$2:$W351)&lt;=MAX('Per Line'!$AA$2:$AA$3001),MATCH(ROWS($W$2:$W351),'Per Line'!$AA$2:$AA$3001,0),"")</f>
        <v/>
      </c>
      <c r="X351">
        <f>IF($W351="","",D351&amp;"|"&amp;COUNTIF($D$2:$D351,D351))</f>
        <v/>
      </c>
    </row>
    <row r="352">
      <c r="A352" s="15" t="n"/>
      <c r="B352">
        <f>IF($W352="","",INDEX('Per Line'!$B$2:$B$3001,$W352)&amp;"")</f>
        <v/>
      </c>
      <c r="C352">
        <f>IF($W352="","",INDEX('Per Line'!$C$2:$C$3001,$W352)&amp;"")</f>
        <v/>
      </c>
      <c r="D352">
        <f>IF($W352="","",IF(OR(TRIM(E352)="Orient Insurance Company",TRIM(E352)="Allianz"),TRIM(E352),TRIM(F352)))</f>
        <v/>
      </c>
      <c r="E352">
        <f>IF($W352="","",INDEX('Per Line'!$E$2:$E$3001,$W352)&amp;"")</f>
        <v/>
      </c>
      <c r="F352">
        <f>IF($W352="","",INDEX('Per Line'!$D$2:$D$3001,$W352)&amp;"")</f>
        <v/>
      </c>
      <c r="G352">
        <f>IF($W352="","",INDEX('Per Line'!$F$2:$F$3001,$W352)&amp;"")</f>
        <v/>
      </c>
      <c r="H352">
        <f>IF($W352="","",INDEX('Per Line'!$G$2:$G$3001,$W352)&amp;"")</f>
        <v/>
      </c>
      <c r="I352">
        <f>IF($W352="","",INDEX('Per Line'!$H$2:$H$3001,$W352)&amp;"")</f>
        <v/>
      </c>
      <c r="J352">
        <f>IF($W352="","",INDEX('Per Line'!$I$2:$I$3001,$W352))</f>
        <v/>
      </c>
      <c r="K352" s="7">
        <f>IF($W352="","",J352*T352/100)</f>
        <v/>
      </c>
      <c r="L352" s="14">
        <f>IF($W352="","",INDEX('Per Line'!$V$2:$V$3001,$W352))</f>
        <v/>
      </c>
      <c r="M352">
        <f>IF($W352="","",IF(ISNUMBER(SEARCH("3&amp;12",SUBSTITUTE(F352," ",""))),Settings!$G$7,Settings!$C$7))</f>
        <v/>
      </c>
      <c r="N352" s="7">
        <f>IF($W352="","",SUMIFS('Per Line'!$O$2:$O$3001,'Per Line'!$B$2:$B$3001,$B352,'Per Line'!$AB$2:$AB$3001,0))</f>
        <v/>
      </c>
      <c r="O352" s="7">
        <f>IF($W352="","",N352*M352)</f>
        <v/>
      </c>
      <c r="P352">
        <f>IF($W352="","",IF(ISNUMBER(SEARCH("3&amp;12",SUBSTITUTE(F352," ",""))),Settings!$G$6,Settings!$C$6))</f>
        <v/>
      </c>
      <c r="Q352" s="7">
        <f>IF($W352="","",SUMIFS('Per Line'!$O$2:$O$3001,'Per Line'!$B$2:$B$3001,$B352,'Per Line'!$AB$2:$AB$3001,1))</f>
        <v/>
      </c>
      <c r="R352" s="7">
        <f>IF($W352="","",Q352*P352)</f>
        <v/>
      </c>
      <c r="S352" s="7">
        <f>IF($W352="","",R352+O352)</f>
        <v/>
      </c>
      <c r="T352" s="7">
        <f>IF($W352="","",V352-S352)</f>
        <v/>
      </c>
      <c r="U352" s="7">
        <f>IF($W352="","",V352-S352-K352)</f>
        <v/>
      </c>
      <c r="V352" s="7">
        <f>IF($W352="","",N352+Q352)</f>
        <v/>
      </c>
      <c r="W352" s="16">
        <f>IF(ROWS($W$2:$W352)&lt;=MAX('Per Line'!$AA$2:$AA$3001),MATCH(ROWS($W$2:$W352),'Per Line'!$AA$2:$AA$3001,0),"")</f>
        <v/>
      </c>
      <c r="X352">
        <f>IF($W352="","",D352&amp;"|"&amp;COUNTIF($D$2:$D352,D352))</f>
        <v/>
      </c>
    </row>
    <row r="353">
      <c r="A353" s="15" t="n"/>
      <c r="B353">
        <f>IF($W353="","",INDEX('Per Line'!$B$2:$B$3001,$W353)&amp;"")</f>
        <v/>
      </c>
      <c r="C353">
        <f>IF($W353="","",INDEX('Per Line'!$C$2:$C$3001,$W353)&amp;"")</f>
        <v/>
      </c>
      <c r="D353">
        <f>IF($W353="","",IF(OR(TRIM(E353)="Orient Insurance Company",TRIM(E353)="Allianz"),TRIM(E353),TRIM(F353)))</f>
        <v/>
      </c>
      <c r="E353">
        <f>IF($W353="","",INDEX('Per Line'!$E$2:$E$3001,$W353)&amp;"")</f>
        <v/>
      </c>
      <c r="F353">
        <f>IF($W353="","",INDEX('Per Line'!$D$2:$D$3001,$W353)&amp;"")</f>
        <v/>
      </c>
      <c r="G353">
        <f>IF($W353="","",INDEX('Per Line'!$F$2:$F$3001,$W353)&amp;"")</f>
        <v/>
      </c>
      <c r="H353">
        <f>IF($W353="","",INDEX('Per Line'!$G$2:$G$3001,$W353)&amp;"")</f>
        <v/>
      </c>
      <c r="I353">
        <f>IF($W353="","",INDEX('Per Line'!$H$2:$H$3001,$W353)&amp;"")</f>
        <v/>
      </c>
      <c r="J353">
        <f>IF($W353="","",INDEX('Per Line'!$I$2:$I$3001,$W353))</f>
        <v/>
      </c>
      <c r="K353" s="7">
        <f>IF($W353="","",J353*T353/100)</f>
        <v/>
      </c>
      <c r="L353" s="14">
        <f>IF($W353="","",INDEX('Per Line'!$V$2:$V$3001,$W353))</f>
        <v/>
      </c>
      <c r="M353">
        <f>IF($W353="","",IF(ISNUMBER(SEARCH("3&amp;12",SUBSTITUTE(F353," ",""))),Settings!$G$7,Settings!$C$7))</f>
        <v/>
      </c>
      <c r="N353" s="7">
        <f>IF($W353="","",SUMIFS('Per Line'!$O$2:$O$3001,'Per Line'!$B$2:$B$3001,$B353,'Per Line'!$AB$2:$AB$3001,0))</f>
        <v/>
      </c>
      <c r="O353" s="7">
        <f>IF($W353="","",N353*M353)</f>
        <v/>
      </c>
      <c r="P353">
        <f>IF($W353="","",IF(ISNUMBER(SEARCH("3&amp;12",SUBSTITUTE(F353," ",""))),Settings!$G$6,Settings!$C$6))</f>
        <v/>
      </c>
      <c r="Q353" s="7">
        <f>IF($W353="","",SUMIFS('Per Line'!$O$2:$O$3001,'Per Line'!$B$2:$B$3001,$B353,'Per Line'!$AB$2:$AB$3001,1))</f>
        <v/>
      </c>
      <c r="R353" s="7">
        <f>IF($W353="","",Q353*P353)</f>
        <v/>
      </c>
      <c r="S353" s="7">
        <f>IF($W353="","",R353+O353)</f>
        <v/>
      </c>
      <c r="T353" s="7">
        <f>IF($W353="","",V353-S353)</f>
        <v/>
      </c>
      <c r="U353" s="7">
        <f>IF($W353="","",V353-S353-K353)</f>
        <v/>
      </c>
      <c r="V353" s="7">
        <f>IF($W353="","",N353+Q353)</f>
        <v/>
      </c>
      <c r="W353" s="16">
        <f>IF(ROWS($W$2:$W353)&lt;=MAX('Per Line'!$AA$2:$AA$3001),MATCH(ROWS($W$2:$W353),'Per Line'!$AA$2:$AA$3001,0),"")</f>
        <v/>
      </c>
      <c r="X353">
        <f>IF($W353="","",D353&amp;"|"&amp;COUNTIF($D$2:$D353,D353))</f>
        <v/>
      </c>
    </row>
    <row r="354">
      <c r="A354" s="15" t="n"/>
      <c r="B354">
        <f>IF($W354="","",INDEX('Per Line'!$B$2:$B$3001,$W354)&amp;"")</f>
        <v/>
      </c>
      <c r="C354">
        <f>IF($W354="","",INDEX('Per Line'!$C$2:$C$3001,$W354)&amp;"")</f>
        <v/>
      </c>
      <c r="D354">
        <f>IF($W354="","",IF(OR(TRIM(E354)="Orient Insurance Company",TRIM(E354)="Allianz"),TRIM(E354),TRIM(F354)))</f>
        <v/>
      </c>
      <c r="E354">
        <f>IF($W354="","",INDEX('Per Line'!$E$2:$E$3001,$W354)&amp;"")</f>
        <v/>
      </c>
      <c r="F354">
        <f>IF($W354="","",INDEX('Per Line'!$D$2:$D$3001,$W354)&amp;"")</f>
        <v/>
      </c>
      <c r="G354">
        <f>IF($W354="","",INDEX('Per Line'!$F$2:$F$3001,$W354)&amp;"")</f>
        <v/>
      </c>
      <c r="H354">
        <f>IF($W354="","",INDEX('Per Line'!$G$2:$G$3001,$W354)&amp;"")</f>
        <v/>
      </c>
      <c r="I354">
        <f>IF($W354="","",INDEX('Per Line'!$H$2:$H$3001,$W354)&amp;"")</f>
        <v/>
      </c>
      <c r="J354">
        <f>IF($W354="","",INDEX('Per Line'!$I$2:$I$3001,$W354))</f>
        <v/>
      </c>
      <c r="K354" s="7">
        <f>IF($W354="","",J354*T354/100)</f>
        <v/>
      </c>
      <c r="L354" s="14">
        <f>IF($W354="","",INDEX('Per Line'!$V$2:$V$3001,$W354))</f>
        <v/>
      </c>
      <c r="M354">
        <f>IF($W354="","",IF(ISNUMBER(SEARCH("3&amp;12",SUBSTITUTE(F354," ",""))),Settings!$G$7,Settings!$C$7))</f>
        <v/>
      </c>
      <c r="N354" s="7">
        <f>IF($W354="","",SUMIFS('Per Line'!$O$2:$O$3001,'Per Line'!$B$2:$B$3001,$B354,'Per Line'!$AB$2:$AB$3001,0))</f>
        <v/>
      </c>
      <c r="O354" s="7">
        <f>IF($W354="","",N354*M354)</f>
        <v/>
      </c>
      <c r="P354">
        <f>IF($W354="","",IF(ISNUMBER(SEARCH("3&amp;12",SUBSTITUTE(F354," ",""))),Settings!$G$6,Settings!$C$6))</f>
        <v/>
      </c>
      <c r="Q354" s="7">
        <f>IF($W354="","",SUMIFS('Per Line'!$O$2:$O$3001,'Per Line'!$B$2:$B$3001,$B354,'Per Line'!$AB$2:$AB$3001,1))</f>
        <v/>
      </c>
      <c r="R354" s="7">
        <f>IF($W354="","",Q354*P354)</f>
        <v/>
      </c>
      <c r="S354" s="7">
        <f>IF($W354="","",R354+O354)</f>
        <v/>
      </c>
      <c r="T354" s="7">
        <f>IF($W354="","",V354-S354)</f>
        <v/>
      </c>
      <c r="U354" s="7">
        <f>IF($W354="","",V354-S354-K354)</f>
        <v/>
      </c>
      <c r="V354" s="7">
        <f>IF($W354="","",N354+Q354)</f>
        <v/>
      </c>
      <c r="W354" s="16">
        <f>IF(ROWS($W$2:$W354)&lt;=MAX('Per Line'!$AA$2:$AA$3001),MATCH(ROWS($W$2:$W354),'Per Line'!$AA$2:$AA$3001,0),"")</f>
        <v/>
      </c>
      <c r="X354">
        <f>IF($W354="","",D354&amp;"|"&amp;COUNTIF($D$2:$D354,D354))</f>
        <v/>
      </c>
    </row>
    <row r="355">
      <c r="A355" s="15" t="n"/>
      <c r="B355">
        <f>IF($W355="","",INDEX('Per Line'!$B$2:$B$3001,$W355)&amp;"")</f>
        <v/>
      </c>
      <c r="C355">
        <f>IF($W355="","",INDEX('Per Line'!$C$2:$C$3001,$W355)&amp;"")</f>
        <v/>
      </c>
      <c r="D355">
        <f>IF($W355="","",IF(OR(TRIM(E355)="Orient Insurance Company",TRIM(E355)="Allianz"),TRIM(E355),TRIM(F355)))</f>
        <v/>
      </c>
      <c r="E355">
        <f>IF($W355="","",INDEX('Per Line'!$E$2:$E$3001,$W355)&amp;"")</f>
        <v/>
      </c>
      <c r="F355">
        <f>IF($W355="","",INDEX('Per Line'!$D$2:$D$3001,$W355)&amp;"")</f>
        <v/>
      </c>
      <c r="G355">
        <f>IF($W355="","",INDEX('Per Line'!$F$2:$F$3001,$W355)&amp;"")</f>
        <v/>
      </c>
      <c r="H355">
        <f>IF($W355="","",INDEX('Per Line'!$G$2:$G$3001,$W355)&amp;"")</f>
        <v/>
      </c>
      <c r="I355">
        <f>IF($W355="","",INDEX('Per Line'!$H$2:$H$3001,$W355)&amp;"")</f>
        <v/>
      </c>
      <c r="J355">
        <f>IF($W355="","",INDEX('Per Line'!$I$2:$I$3001,$W355))</f>
        <v/>
      </c>
      <c r="K355" s="7">
        <f>IF($W355="","",J355*T355/100)</f>
        <v/>
      </c>
      <c r="L355" s="14">
        <f>IF($W355="","",INDEX('Per Line'!$V$2:$V$3001,$W355))</f>
        <v/>
      </c>
      <c r="M355">
        <f>IF($W355="","",IF(ISNUMBER(SEARCH("3&amp;12",SUBSTITUTE(F355," ",""))),Settings!$G$7,Settings!$C$7))</f>
        <v/>
      </c>
      <c r="N355" s="7">
        <f>IF($W355="","",SUMIFS('Per Line'!$O$2:$O$3001,'Per Line'!$B$2:$B$3001,$B355,'Per Line'!$AB$2:$AB$3001,0))</f>
        <v/>
      </c>
      <c r="O355" s="7">
        <f>IF($W355="","",N355*M355)</f>
        <v/>
      </c>
      <c r="P355">
        <f>IF($W355="","",IF(ISNUMBER(SEARCH("3&amp;12",SUBSTITUTE(F355," ",""))),Settings!$G$6,Settings!$C$6))</f>
        <v/>
      </c>
      <c r="Q355" s="7">
        <f>IF($W355="","",SUMIFS('Per Line'!$O$2:$O$3001,'Per Line'!$B$2:$B$3001,$B355,'Per Line'!$AB$2:$AB$3001,1))</f>
        <v/>
      </c>
      <c r="R355" s="7">
        <f>IF($W355="","",Q355*P355)</f>
        <v/>
      </c>
      <c r="S355" s="7">
        <f>IF($W355="","",R355+O355)</f>
        <v/>
      </c>
      <c r="T355" s="7">
        <f>IF($W355="","",V355-S355)</f>
        <v/>
      </c>
      <c r="U355" s="7">
        <f>IF($W355="","",V355-S355-K355)</f>
        <v/>
      </c>
      <c r="V355" s="7">
        <f>IF($W355="","",N355+Q355)</f>
        <v/>
      </c>
      <c r="W355" s="16">
        <f>IF(ROWS($W$2:$W355)&lt;=MAX('Per Line'!$AA$2:$AA$3001),MATCH(ROWS($W$2:$W355),'Per Line'!$AA$2:$AA$3001,0),"")</f>
        <v/>
      </c>
      <c r="X355">
        <f>IF($W355="","",D355&amp;"|"&amp;COUNTIF($D$2:$D355,D355))</f>
        <v/>
      </c>
    </row>
    <row r="356">
      <c r="A356" s="15" t="n"/>
      <c r="B356">
        <f>IF($W356="","",INDEX('Per Line'!$B$2:$B$3001,$W356)&amp;"")</f>
        <v/>
      </c>
      <c r="C356">
        <f>IF($W356="","",INDEX('Per Line'!$C$2:$C$3001,$W356)&amp;"")</f>
        <v/>
      </c>
      <c r="D356">
        <f>IF($W356="","",IF(OR(TRIM(E356)="Orient Insurance Company",TRIM(E356)="Allianz"),TRIM(E356),TRIM(F356)))</f>
        <v/>
      </c>
      <c r="E356">
        <f>IF($W356="","",INDEX('Per Line'!$E$2:$E$3001,$W356)&amp;"")</f>
        <v/>
      </c>
      <c r="F356">
        <f>IF($W356="","",INDEX('Per Line'!$D$2:$D$3001,$W356)&amp;"")</f>
        <v/>
      </c>
      <c r="G356">
        <f>IF($W356="","",INDEX('Per Line'!$F$2:$F$3001,$W356)&amp;"")</f>
        <v/>
      </c>
      <c r="H356">
        <f>IF($W356="","",INDEX('Per Line'!$G$2:$G$3001,$W356)&amp;"")</f>
        <v/>
      </c>
      <c r="I356">
        <f>IF($W356="","",INDEX('Per Line'!$H$2:$H$3001,$W356)&amp;"")</f>
        <v/>
      </c>
      <c r="J356">
        <f>IF($W356="","",INDEX('Per Line'!$I$2:$I$3001,$W356))</f>
        <v/>
      </c>
      <c r="K356" s="7">
        <f>IF($W356="","",J356*T356/100)</f>
        <v/>
      </c>
      <c r="L356" s="14">
        <f>IF($W356="","",INDEX('Per Line'!$V$2:$V$3001,$W356))</f>
        <v/>
      </c>
      <c r="M356">
        <f>IF($W356="","",IF(ISNUMBER(SEARCH("3&amp;12",SUBSTITUTE(F356," ",""))),Settings!$G$7,Settings!$C$7))</f>
        <v/>
      </c>
      <c r="N356" s="7">
        <f>IF($W356="","",SUMIFS('Per Line'!$O$2:$O$3001,'Per Line'!$B$2:$B$3001,$B356,'Per Line'!$AB$2:$AB$3001,0))</f>
        <v/>
      </c>
      <c r="O356" s="7">
        <f>IF($W356="","",N356*M356)</f>
        <v/>
      </c>
      <c r="P356">
        <f>IF($W356="","",IF(ISNUMBER(SEARCH("3&amp;12",SUBSTITUTE(F356," ",""))),Settings!$G$6,Settings!$C$6))</f>
        <v/>
      </c>
      <c r="Q356" s="7">
        <f>IF($W356="","",SUMIFS('Per Line'!$O$2:$O$3001,'Per Line'!$B$2:$B$3001,$B356,'Per Line'!$AB$2:$AB$3001,1))</f>
        <v/>
      </c>
      <c r="R356" s="7">
        <f>IF($W356="","",Q356*P356)</f>
        <v/>
      </c>
      <c r="S356" s="7">
        <f>IF($W356="","",R356+O356)</f>
        <v/>
      </c>
      <c r="T356" s="7">
        <f>IF($W356="","",V356-S356)</f>
        <v/>
      </c>
      <c r="U356" s="7">
        <f>IF($W356="","",V356-S356-K356)</f>
        <v/>
      </c>
      <c r="V356" s="7">
        <f>IF($W356="","",N356+Q356)</f>
        <v/>
      </c>
      <c r="W356" s="16">
        <f>IF(ROWS($W$2:$W356)&lt;=MAX('Per Line'!$AA$2:$AA$3001),MATCH(ROWS($W$2:$W356),'Per Line'!$AA$2:$AA$3001,0),"")</f>
        <v/>
      </c>
      <c r="X356">
        <f>IF($W356="","",D356&amp;"|"&amp;COUNTIF($D$2:$D356,D356))</f>
        <v/>
      </c>
    </row>
    <row r="357">
      <c r="A357" s="15" t="n"/>
      <c r="B357">
        <f>IF($W357="","",INDEX('Per Line'!$B$2:$B$3001,$W357)&amp;"")</f>
        <v/>
      </c>
      <c r="C357">
        <f>IF($W357="","",INDEX('Per Line'!$C$2:$C$3001,$W357)&amp;"")</f>
        <v/>
      </c>
      <c r="D357">
        <f>IF($W357="","",IF(OR(TRIM(E357)="Orient Insurance Company",TRIM(E357)="Allianz"),TRIM(E357),TRIM(F357)))</f>
        <v/>
      </c>
      <c r="E357">
        <f>IF($W357="","",INDEX('Per Line'!$E$2:$E$3001,$W357)&amp;"")</f>
        <v/>
      </c>
      <c r="F357">
        <f>IF($W357="","",INDEX('Per Line'!$D$2:$D$3001,$W357)&amp;"")</f>
        <v/>
      </c>
      <c r="G357">
        <f>IF($W357="","",INDEX('Per Line'!$F$2:$F$3001,$W357)&amp;"")</f>
        <v/>
      </c>
      <c r="H357">
        <f>IF($W357="","",INDEX('Per Line'!$G$2:$G$3001,$W357)&amp;"")</f>
        <v/>
      </c>
      <c r="I357">
        <f>IF($W357="","",INDEX('Per Line'!$H$2:$H$3001,$W357)&amp;"")</f>
        <v/>
      </c>
      <c r="J357">
        <f>IF($W357="","",INDEX('Per Line'!$I$2:$I$3001,$W357))</f>
        <v/>
      </c>
      <c r="K357" s="7">
        <f>IF($W357="","",J357*T357/100)</f>
        <v/>
      </c>
      <c r="L357" s="14">
        <f>IF($W357="","",INDEX('Per Line'!$V$2:$V$3001,$W357))</f>
        <v/>
      </c>
      <c r="M357">
        <f>IF($W357="","",IF(ISNUMBER(SEARCH("3&amp;12",SUBSTITUTE(F357," ",""))),Settings!$G$7,Settings!$C$7))</f>
        <v/>
      </c>
      <c r="N357" s="7">
        <f>IF($W357="","",SUMIFS('Per Line'!$O$2:$O$3001,'Per Line'!$B$2:$B$3001,$B357,'Per Line'!$AB$2:$AB$3001,0))</f>
        <v/>
      </c>
      <c r="O357" s="7">
        <f>IF($W357="","",N357*M357)</f>
        <v/>
      </c>
      <c r="P357">
        <f>IF($W357="","",IF(ISNUMBER(SEARCH("3&amp;12",SUBSTITUTE(F357," ",""))),Settings!$G$6,Settings!$C$6))</f>
        <v/>
      </c>
      <c r="Q357" s="7">
        <f>IF($W357="","",SUMIFS('Per Line'!$O$2:$O$3001,'Per Line'!$B$2:$B$3001,$B357,'Per Line'!$AB$2:$AB$3001,1))</f>
        <v/>
      </c>
      <c r="R357" s="7">
        <f>IF($W357="","",Q357*P357)</f>
        <v/>
      </c>
      <c r="S357" s="7">
        <f>IF($W357="","",R357+O357)</f>
        <v/>
      </c>
      <c r="T357" s="7">
        <f>IF($W357="","",V357-S357)</f>
        <v/>
      </c>
      <c r="U357" s="7">
        <f>IF($W357="","",V357-S357-K357)</f>
        <v/>
      </c>
      <c r="V357" s="7">
        <f>IF($W357="","",N357+Q357)</f>
        <v/>
      </c>
      <c r="W357" s="16">
        <f>IF(ROWS($W$2:$W357)&lt;=MAX('Per Line'!$AA$2:$AA$3001),MATCH(ROWS($W$2:$W357),'Per Line'!$AA$2:$AA$3001,0),"")</f>
        <v/>
      </c>
      <c r="X357">
        <f>IF($W357="","",D357&amp;"|"&amp;COUNTIF($D$2:$D357,D357))</f>
        <v/>
      </c>
    </row>
    <row r="358">
      <c r="A358" s="15" t="n"/>
      <c r="B358">
        <f>IF($W358="","",INDEX('Per Line'!$B$2:$B$3001,$W358)&amp;"")</f>
        <v/>
      </c>
      <c r="C358">
        <f>IF($W358="","",INDEX('Per Line'!$C$2:$C$3001,$W358)&amp;"")</f>
        <v/>
      </c>
      <c r="D358">
        <f>IF($W358="","",IF(OR(TRIM(E358)="Orient Insurance Company",TRIM(E358)="Allianz"),TRIM(E358),TRIM(F358)))</f>
        <v/>
      </c>
      <c r="E358">
        <f>IF($W358="","",INDEX('Per Line'!$E$2:$E$3001,$W358)&amp;"")</f>
        <v/>
      </c>
      <c r="F358">
        <f>IF($W358="","",INDEX('Per Line'!$D$2:$D$3001,$W358)&amp;"")</f>
        <v/>
      </c>
      <c r="G358">
        <f>IF($W358="","",INDEX('Per Line'!$F$2:$F$3001,$W358)&amp;"")</f>
        <v/>
      </c>
      <c r="H358">
        <f>IF($W358="","",INDEX('Per Line'!$G$2:$G$3001,$W358)&amp;"")</f>
        <v/>
      </c>
      <c r="I358">
        <f>IF($W358="","",INDEX('Per Line'!$H$2:$H$3001,$W358)&amp;"")</f>
        <v/>
      </c>
      <c r="J358">
        <f>IF($W358="","",INDEX('Per Line'!$I$2:$I$3001,$W358))</f>
        <v/>
      </c>
      <c r="K358" s="7">
        <f>IF($W358="","",J358*T358/100)</f>
        <v/>
      </c>
      <c r="L358" s="14">
        <f>IF($W358="","",INDEX('Per Line'!$V$2:$V$3001,$W358))</f>
        <v/>
      </c>
      <c r="M358">
        <f>IF($W358="","",IF(ISNUMBER(SEARCH("3&amp;12",SUBSTITUTE(F358," ",""))),Settings!$G$7,Settings!$C$7))</f>
        <v/>
      </c>
      <c r="N358" s="7">
        <f>IF($W358="","",SUMIFS('Per Line'!$O$2:$O$3001,'Per Line'!$B$2:$B$3001,$B358,'Per Line'!$AB$2:$AB$3001,0))</f>
        <v/>
      </c>
      <c r="O358" s="7">
        <f>IF($W358="","",N358*M358)</f>
        <v/>
      </c>
      <c r="P358">
        <f>IF($W358="","",IF(ISNUMBER(SEARCH("3&amp;12",SUBSTITUTE(F358," ",""))),Settings!$G$6,Settings!$C$6))</f>
        <v/>
      </c>
      <c r="Q358" s="7">
        <f>IF($W358="","",SUMIFS('Per Line'!$O$2:$O$3001,'Per Line'!$B$2:$B$3001,$B358,'Per Line'!$AB$2:$AB$3001,1))</f>
        <v/>
      </c>
      <c r="R358" s="7">
        <f>IF($W358="","",Q358*P358)</f>
        <v/>
      </c>
      <c r="S358" s="7">
        <f>IF($W358="","",R358+O358)</f>
        <v/>
      </c>
      <c r="T358" s="7">
        <f>IF($W358="","",V358-S358)</f>
        <v/>
      </c>
      <c r="U358" s="7">
        <f>IF($W358="","",V358-S358-K358)</f>
        <v/>
      </c>
      <c r="V358" s="7">
        <f>IF($W358="","",N358+Q358)</f>
        <v/>
      </c>
      <c r="W358" s="16">
        <f>IF(ROWS($W$2:$W358)&lt;=MAX('Per Line'!$AA$2:$AA$3001),MATCH(ROWS($W$2:$W358),'Per Line'!$AA$2:$AA$3001,0),"")</f>
        <v/>
      </c>
      <c r="X358">
        <f>IF($W358="","",D358&amp;"|"&amp;COUNTIF($D$2:$D358,D358))</f>
        <v/>
      </c>
    </row>
    <row r="359">
      <c r="A359" s="15" t="n"/>
      <c r="B359">
        <f>IF($W359="","",INDEX('Per Line'!$B$2:$B$3001,$W359)&amp;"")</f>
        <v/>
      </c>
      <c r="C359">
        <f>IF($W359="","",INDEX('Per Line'!$C$2:$C$3001,$W359)&amp;"")</f>
        <v/>
      </c>
      <c r="D359">
        <f>IF($W359="","",IF(OR(TRIM(E359)="Orient Insurance Company",TRIM(E359)="Allianz"),TRIM(E359),TRIM(F359)))</f>
        <v/>
      </c>
      <c r="E359">
        <f>IF($W359="","",INDEX('Per Line'!$E$2:$E$3001,$W359)&amp;"")</f>
        <v/>
      </c>
      <c r="F359">
        <f>IF($W359="","",INDEX('Per Line'!$D$2:$D$3001,$W359)&amp;"")</f>
        <v/>
      </c>
      <c r="G359">
        <f>IF($W359="","",INDEX('Per Line'!$F$2:$F$3001,$W359)&amp;"")</f>
        <v/>
      </c>
      <c r="H359">
        <f>IF($W359="","",INDEX('Per Line'!$G$2:$G$3001,$W359)&amp;"")</f>
        <v/>
      </c>
      <c r="I359">
        <f>IF($W359="","",INDEX('Per Line'!$H$2:$H$3001,$W359)&amp;"")</f>
        <v/>
      </c>
      <c r="J359">
        <f>IF($W359="","",INDEX('Per Line'!$I$2:$I$3001,$W359))</f>
        <v/>
      </c>
      <c r="K359" s="7">
        <f>IF($W359="","",J359*T359/100)</f>
        <v/>
      </c>
      <c r="L359" s="14">
        <f>IF($W359="","",INDEX('Per Line'!$V$2:$V$3001,$W359))</f>
        <v/>
      </c>
      <c r="M359">
        <f>IF($W359="","",IF(ISNUMBER(SEARCH("3&amp;12",SUBSTITUTE(F359," ",""))),Settings!$G$7,Settings!$C$7))</f>
        <v/>
      </c>
      <c r="N359" s="7">
        <f>IF($W359="","",SUMIFS('Per Line'!$O$2:$O$3001,'Per Line'!$B$2:$B$3001,$B359,'Per Line'!$AB$2:$AB$3001,0))</f>
        <v/>
      </c>
      <c r="O359" s="7">
        <f>IF($W359="","",N359*M359)</f>
        <v/>
      </c>
      <c r="P359">
        <f>IF($W359="","",IF(ISNUMBER(SEARCH("3&amp;12",SUBSTITUTE(F359," ",""))),Settings!$G$6,Settings!$C$6))</f>
        <v/>
      </c>
      <c r="Q359" s="7">
        <f>IF($W359="","",SUMIFS('Per Line'!$O$2:$O$3001,'Per Line'!$B$2:$B$3001,$B359,'Per Line'!$AB$2:$AB$3001,1))</f>
        <v/>
      </c>
      <c r="R359" s="7">
        <f>IF($W359="","",Q359*P359)</f>
        <v/>
      </c>
      <c r="S359" s="7">
        <f>IF($W359="","",R359+O359)</f>
        <v/>
      </c>
      <c r="T359" s="7">
        <f>IF($W359="","",V359-S359)</f>
        <v/>
      </c>
      <c r="U359" s="7">
        <f>IF($W359="","",V359-S359-K359)</f>
        <v/>
      </c>
      <c r="V359" s="7">
        <f>IF($W359="","",N359+Q359)</f>
        <v/>
      </c>
      <c r="W359" s="16">
        <f>IF(ROWS($W$2:$W359)&lt;=MAX('Per Line'!$AA$2:$AA$3001),MATCH(ROWS($W$2:$W359),'Per Line'!$AA$2:$AA$3001,0),"")</f>
        <v/>
      </c>
      <c r="X359">
        <f>IF($W359="","",D359&amp;"|"&amp;COUNTIF($D$2:$D359,D359))</f>
        <v/>
      </c>
    </row>
    <row r="360">
      <c r="A360" s="15" t="n"/>
      <c r="B360">
        <f>IF($W360="","",INDEX('Per Line'!$B$2:$B$3001,$W360)&amp;"")</f>
        <v/>
      </c>
      <c r="C360">
        <f>IF($W360="","",INDEX('Per Line'!$C$2:$C$3001,$W360)&amp;"")</f>
        <v/>
      </c>
      <c r="D360">
        <f>IF($W360="","",IF(OR(TRIM(E360)="Orient Insurance Company",TRIM(E360)="Allianz"),TRIM(E360),TRIM(F360)))</f>
        <v/>
      </c>
      <c r="E360">
        <f>IF($W360="","",INDEX('Per Line'!$E$2:$E$3001,$W360)&amp;"")</f>
        <v/>
      </c>
      <c r="F360">
        <f>IF($W360="","",INDEX('Per Line'!$D$2:$D$3001,$W360)&amp;"")</f>
        <v/>
      </c>
      <c r="G360">
        <f>IF($W360="","",INDEX('Per Line'!$F$2:$F$3001,$W360)&amp;"")</f>
        <v/>
      </c>
      <c r="H360">
        <f>IF($W360="","",INDEX('Per Line'!$G$2:$G$3001,$W360)&amp;"")</f>
        <v/>
      </c>
      <c r="I360">
        <f>IF($W360="","",INDEX('Per Line'!$H$2:$H$3001,$W360)&amp;"")</f>
        <v/>
      </c>
      <c r="J360">
        <f>IF($W360="","",INDEX('Per Line'!$I$2:$I$3001,$W360))</f>
        <v/>
      </c>
      <c r="K360" s="7">
        <f>IF($W360="","",J360*T360/100)</f>
        <v/>
      </c>
      <c r="L360" s="14">
        <f>IF($W360="","",INDEX('Per Line'!$V$2:$V$3001,$W360))</f>
        <v/>
      </c>
      <c r="M360">
        <f>IF($W360="","",IF(ISNUMBER(SEARCH("3&amp;12",SUBSTITUTE(F360," ",""))),Settings!$G$7,Settings!$C$7))</f>
        <v/>
      </c>
      <c r="N360" s="7">
        <f>IF($W360="","",SUMIFS('Per Line'!$O$2:$O$3001,'Per Line'!$B$2:$B$3001,$B360,'Per Line'!$AB$2:$AB$3001,0))</f>
        <v/>
      </c>
      <c r="O360" s="7">
        <f>IF($W360="","",N360*M360)</f>
        <v/>
      </c>
      <c r="P360">
        <f>IF($W360="","",IF(ISNUMBER(SEARCH("3&amp;12",SUBSTITUTE(F360," ",""))),Settings!$G$6,Settings!$C$6))</f>
        <v/>
      </c>
      <c r="Q360" s="7">
        <f>IF($W360="","",SUMIFS('Per Line'!$O$2:$O$3001,'Per Line'!$B$2:$B$3001,$B360,'Per Line'!$AB$2:$AB$3001,1))</f>
        <v/>
      </c>
      <c r="R360" s="7">
        <f>IF($W360="","",Q360*P360)</f>
        <v/>
      </c>
      <c r="S360" s="7">
        <f>IF($W360="","",R360+O360)</f>
        <v/>
      </c>
      <c r="T360" s="7">
        <f>IF($W360="","",V360-S360)</f>
        <v/>
      </c>
      <c r="U360" s="7">
        <f>IF($W360="","",V360-S360-K360)</f>
        <v/>
      </c>
      <c r="V360" s="7">
        <f>IF($W360="","",N360+Q360)</f>
        <v/>
      </c>
      <c r="W360" s="16">
        <f>IF(ROWS($W$2:$W360)&lt;=MAX('Per Line'!$AA$2:$AA$3001),MATCH(ROWS($W$2:$W360),'Per Line'!$AA$2:$AA$3001,0),"")</f>
        <v/>
      </c>
      <c r="X360">
        <f>IF($W360="","",D360&amp;"|"&amp;COUNTIF($D$2:$D360,D360))</f>
        <v/>
      </c>
    </row>
    <row r="361">
      <c r="A361" s="15" t="n"/>
      <c r="B361">
        <f>IF($W361="","",INDEX('Per Line'!$B$2:$B$3001,$W361)&amp;"")</f>
        <v/>
      </c>
      <c r="C361">
        <f>IF($W361="","",INDEX('Per Line'!$C$2:$C$3001,$W361)&amp;"")</f>
        <v/>
      </c>
      <c r="D361">
        <f>IF($W361="","",IF(OR(TRIM(E361)="Orient Insurance Company",TRIM(E361)="Allianz"),TRIM(E361),TRIM(F361)))</f>
        <v/>
      </c>
      <c r="E361">
        <f>IF($W361="","",INDEX('Per Line'!$E$2:$E$3001,$W361)&amp;"")</f>
        <v/>
      </c>
      <c r="F361">
        <f>IF($W361="","",INDEX('Per Line'!$D$2:$D$3001,$W361)&amp;"")</f>
        <v/>
      </c>
      <c r="G361">
        <f>IF($W361="","",INDEX('Per Line'!$F$2:$F$3001,$W361)&amp;"")</f>
        <v/>
      </c>
      <c r="H361">
        <f>IF($W361="","",INDEX('Per Line'!$G$2:$G$3001,$W361)&amp;"")</f>
        <v/>
      </c>
      <c r="I361">
        <f>IF($W361="","",INDEX('Per Line'!$H$2:$H$3001,$W361)&amp;"")</f>
        <v/>
      </c>
      <c r="J361">
        <f>IF($W361="","",INDEX('Per Line'!$I$2:$I$3001,$W361))</f>
        <v/>
      </c>
      <c r="K361" s="7">
        <f>IF($W361="","",J361*T361/100)</f>
        <v/>
      </c>
      <c r="L361" s="14">
        <f>IF($W361="","",INDEX('Per Line'!$V$2:$V$3001,$W361))</f>
        <v/>
      </c>
      <c r="M361">
        <f>IF($W361="","",IF(ISNUMBER(SEARCH("3&amp;12",SUBSTITUTE(F361," ",""))),Settings!$G$7,Settings!$C$7))</f>
        <v/>
      </c>
      <c r="N361" s="7">
        <f>IF($W361="","",SUMIFS('Per Line'!$O$2:$O$3001,'Per Line'!$B$2:$B$3001,$B361,'Per Line'!$AB$2:$AB$3001,0))</f>
        <v/>
      </c>
      <c r="O361" s="7">
        <f>IF($W361="","",N361*M361)</f>
        <v/>
      </c>
      <c r="P361">
        <f>IF($W361="","",IF(ISNUMBER(SEARCH("3&amp;12",SUBSTITUTE(F361," ",""))),Settings!$G$6,Settings!$C$6))</f>
        <v/>
      </c>
      <c r="Q361" s="7">
        <f>IF($W361="","",SUMIFS('Per Line'!$O$2:$O$3001,'Per Line'!$B$2:$B$3001,$B361,'Per Line'!$AB$2:$AB$3001,1))</f>
        <v/>
      </c>
      <c r="R361" s="7">
        <f>IF($W361="","",Q361*P361)</f>
        <v/>
      </c>
      <c r="S361" s="7">
        <f>IF($W361="","",R361+O361)</f>
        <v/>
      </c>
      <c r="T361" s="7">
        <f>IF($W361="","",V361-S361)</f>
        <v/>
      </c>
      <c r="U361" s="7">
        <f>IF($W361="","",V361-S361-K361)</f>
        <v/>
      </c>
      <c r="V361" s="7">
        <f>IF($W361="","",N361+Q361)</f>
        <v/>
      </c>
      <c r="W361" s="16">
        <f>IF(ROWS($W$2:$W361)&lt;=MAX('Per Line'!$AA$2:$AA$3001),MATCH(ROWS($W$2:$W361),'Per Line'!$AA$2:$AA$3001,0),"")</f>
        <v/>
      </c>
      <c r="X361">
        <f>IF($W361="","",D361&amp;"|"&amp;COUNTIF($D$2:$D361,D361))</f>
        <v/>
      </c>
    </row>
    <row r="362">
      <c r="A362" s="15" t="n"/>
      <c r="B362">
        <f>IF($W362="","",INDEX('Per Line'!$B$2:$B$3001,$W362)&amp;"")</f>
        <v/>
      </c>
      <c r="C362">
        <f>IF($W362="","",INDEX('Per Line'!$C$2:$C$3001,$W362)&amp;"")</f>
        <v/>
      </c>
      <c r="D362">
        <f>IF($W362="","",IF(OR(TRIM(E362)="Orient Insurance Company",TRIM(E362)="Allianz"),TRIM(E362),TRIM(F362)))</f>
        <v/>
      </c>
      <c r="E362">
        <f>IF($W362="","",INDEX('Per Line'!$E$2:$E$3001,$W362)&amp;"")</f>
        <v/>
      </c>
      <c r="F362">
        <f>IF($W362="","",INDEX('Per Line'!$D$2:$D$3001,$W362)&amp;"")</f>
        <v/>
      </c>
      <c r="G362">
        <f>IF($W362="","",INDEX('Per Line'!$F$2:$F$3001,$W362)&amp;"")</f>
        <v/>
      </c>
      <c r="H362">
        <f>IF($W362="","",INDEX('Per Line'!$G$2:$G$3001,$W362)&amp;"")</f>
        <v/>
      </c>
      <c r="I362">
        <f>IF($W362="","",INDEX('Per Line'!$H$2:$H$3001,$W362)&amp;"")</f>
        <v/>
      </c>
      <c r="J362">
        <f>IF($W362="","",INDEX('Per Line'!$I$2:$I$3001,$W362))</f>
        <v/>
      </c>
      <c r="K362" s="7">
        <f>IF($W362="","",J362*T362/100)</f>
        <v/>
      </c>
      <c r="L362" s="14">
        <f>IF($W362="","",INDEX('Per Line'!$V$2:$V$3001,$W362))</f>
        <v/>
      </c>
      <c r="M362">
        <f>IF($W362="","",IF(ISNUMBER(SEARCH("3&amp;12",SUBSTITUTE(F362," ",""))),Settings!$G$7,Settings!$C$7))</f>
        <v/>
      </c>
      <c r="N362" s="7">
        <f>IF($W362="","",SUMIFS('Per Line'!$O$2:$O$3001,'Per Line'!$B$2:$B$3001,$B362,'Per Line'!$AB$2:$AB$3001,0))</f>
        <v/>
      </c>
      <c r="O362" s="7">
        <f>IF($W362="","",N362*M362)</f>
        <v/>
      </c>
      <c r="P362">
        <f>IF($W362="","",IF(ISNUMBER(SEARCH("3&amp;12",SUBSTITUTE(F362," ",""))),Settings!$G$6,Settings!$C$6))</f>
        <v/>
      </c>
      <c r="Q362" s="7">
        <f>IF($W362="","",SUMIFS('Per Line'!$O$2:$O$3001,'Per Line'!$B$2:$B$3001,$B362,'Per Line'!$AB$2:$AB$3001,1))</f>
        <v/>
      </c>
      <c r="R362" s="7">
        <f>IF($W362="","",Q362*P362)</f>
        <v/>
      </c>
      <c r="S362" s="7">
        <f>IF($W362="","",R362+O362)</f>
        <v/>
      </c>
      <c r="T362" s="7">
        <f>IF($W362="","",V362-S362)</f>
        <v/>
      </c>
      <c r="U362" s="7">
        <f>IF($W362="","",V362-S362-K362)</f>
        <v/>
      </c>
      <c r="V362" s="7">
        <f>IF($W362="","",N362+Q362)</f>
        <v/>
      </c>
      <c r="W362" s="16">
        <f>IF(ROWS($W$2:$W362)&lt;=MAX('Per Line'!$AA$2:$AA$3001),MATCH(ROWS($W$2:$W362),'Per Line'!$AA$2:$AA$3001,0),"")</f>
        <v/>
      </c>
      <c r="X362">
        <f>IF($W362="","",D362&amp;"|"&amp;COUNTIF($D$2:$D362,D362))</f>
        <v/>
      </c>
    </row>
    <row r="363">
      <c r="A363" s="15" t="n"/>
      <c r="B363">
        <f>IF($W363="","",INDEX('Per Line'!$B$2:$B$3001,$W363)&amp;"")</f>
        <v/>
      </c>
      <c r="C363">
        <f>IF($W363="","",INDEX('Per Line'!$C$2:$C$3001,$W363)&amp;"")</f>
        <v/>
      </c>
      <c r="D363">
        <f>IF($W363="","",IF(OR(TRIM(E363)="Orient Insurance Company",TRIM(E363)="Allianz"),TRIM(E363),TRIM(F363)))</f>
        <v/>
      </c>
      <c r="E363">
        <f>IF($W363="","",INDEX('Per Line'!$E$2:$E$3001,$W363)&amp;"")</f>
        <v/>
      </c>
      <c r="F363">
        <f>IF($W363="","",INDEX('Per Line'!$D$2:$D$3001,$W363)&amp;"")</f>
        <v/>
      </c>
      <c r="G363">
        <f>IF($W363="","",INDEX('Per Line'!$F$2:$F$3001,$W363)&amp;"")</f>
        <v/>
      </c>
      <c r="H363">
        <f>IF($W363="","",INDEX('Per Line'!$G$2:$G$3001,$W363)&amp;"")</f>
        <v/>
      </c>
      <c r="I363">
        <f>IF($W363="","",INDEX('Per Line'!$H$2:$H$3001,$W363)&amp;"")</f>
        <v/>
      </c>
      <c r="J363">
        <f>IF($W363="","",INDEX('Per Line'!$I$2:$I$3001,$W363))</f>
        <v/>
      </c>
      <c r="K363" s="7">
        <f>IF($W363="","",J363*T363/100)</f>
        <v/>
      </c>
      <c r="L363" s="14">
        <f>IF($W363="","",INDEX('Per Line'!$V$2:$V$3001,$W363))</f>
        <v/>
      </c>
      <c r="M363">
        <f>IF($W363="","",IF(ISNUMBER(SEARCH("3&amp;12",SUBSTITUTE(F363," ",""))),Settings!$G$7,Settings!$C$7))</f>
        <v/>
      </c>
      <c r="N363" s="7">
        <f>IF($W363="","",SUMIFS('Per Line'!$O$2:$O$3001,'Per Line'!$B$2:$B$3001,$B363,'Per Line'!$AB$2:$AB$3001,0))</f>
        <v/>
      </c>
      <c r="O363" s="7">
        <f>IF($W363="","",N363*M363)</f>
        <v/>
      </c>
      <c r="P363">
        <f>IF($W363="","",IF(ISNUMBER(SEARCH("3&amp;12",SUBSTITUTE(F363," ",""))),Settings!$G$6,Settings!$C$6))</f>
        <v/>
      </c>
      <c r="Q363" s="7">
        <f>IF($W363="","",SUMIFS('Per Line'!$O$2:$O$3001,'Per Line'!$B$2:$B$3001,$B363,'Per Line'!$AB$2:$AB$3001,1))</f>
        <v/>
      </c>
      <c r="R363" s="7">
        <f>IF($W363="","",Q363*P363)</f>
        <v/>
      </c>
      <c r="S363" s="7">
        <f>IF($W363="","",R363+O363)</f>
        <v/>
      </c>
      <c r="T363" s="7">
        <f>IF($W363="","",V363-S363)</f>
        <v/>
      </c>
      <c r="U363" s="7">
        <f>IF($W363="","",V363-S363-K363)</f>
        <v/>
      </c>
      <c r="V363" s="7">
        <f>IF($W363="","",N363+Q363)</f>
        <v/>
      </c>
      <c r="W363" s="16">
        <f>IF(ROWS($W$2:$W363)&lt;=MAX('Per Line'!$AA$2:$AA$3001),MATCH(ROWS($W$2:$W363),'Per Line'!$AA$2:$AA$3001,0),"")</f>
        <v/>
      </c>
      <c r="X363">
        <f>IF($W363="","",D363&amp;"|"&amp;COUNTIF($D$2:$D363,D363))</f>
        <v/>
      </c>
    </row>
    <row r="364">
      <c r="A364" s="15" t="n"/>
      <c r="B364">
        <f>IF($W364="","",INDEX('Per Line'!$B$2:$B$3001,$W364)&amp;"")</f>
        <v/>
      </c>
      <c r="C364">
        <f>IF($W364="","",INDEX('Per Line'!$C$2:$C$3001,$W364)&amp;"")</f>
        <v/>
      </c>
      <c r="D364">
        <f>IF($W364="","",IF(OR(TRIM(E364)="Orient Insurance Company",TRIM(E364)="Allianz"),TRIM(E364),TRIM(F364)))</f>
        <v/>
      </c>
      <c r="E364">
        <f>IF($W364="","",INDEX('Per Line'!$E$2:$E$3001,$W364)&amp;"")</f>
        <v/>
      </c>
      <c r="F364">
        <f>IF($W364="","",INDEX('Per Line'!$D$2:$D$3001,$W364)&amp;"")</f>
        <v/>
      </c>
      <c r="G364">
        <f>IF($W364="","",INDEX('Per Line'!$F$2:$F$3001,$W364)&amp;"")</f>
        <v/>
      </c>
      <c r="H364">
        <f>IF($W364="","",INDEX('Per Line'!$G$2:$G$3001,$W364)&amp;"")</f>
        <v/>
      </c>
      <c r="I364">
        <f>IF($W364="","",INDEX('Per Line'!$H$2:$H$3001,$W364)&amp;"")</f>
        <v/>
      </c>
      <c r="J364">
        <f>IF($W364="","",INDEX('Per Line'!$I$2:$I$3001,$W364))</f>
        <v/>
      </c>
      <c r="K364" s="7">
        <f>IF($W364="","",J364*T364/100)</f>
        <v/>
      </c>
      <c r="L364" s="14">
        <f>IF($W364="","",INDEX('Per Line'!$V$2:$V$3001,$W364))</f>
        <v/>
      </c>
      <c r="M364">
        <f>IF($W364="","",IF(ISNUMBER(SEARCH("3&amp;12",SUBSTITUTE(F364," ",""))),Settings!$G$7,Settings!$C$7))</f>
        <v/>
      </c>
      <c r="N364" s="7">
        <f>IF($W364="","",SUMIFS('Per Line'!$O$2:$O$3001,'Per Line'!$B$2:$B$3001,$B364,'Per Line'!$AB$2:$AB$3001,0))</f>
        <v/>
      </c>
      <c r="O364" s="7">
        <f>IF($W364="","",N364*M364)</f>
        <v/>
      </c>
      <c r="P364">
        <f>IF($W364="","",IF(ISNUMBER(SEARCH("3&amp;12",SUBSTITUTE(F364," ",""))),Settings!$G$6,Settings!$C$6))</f>
        <v/>
      </c>
      <c r="Q364" s="7">
        <f>IF($W364="","",SUMIFS('Per Line'!$O$2:$O$3001,'Per Line'!$B$2:$B$3001,$B364,'Per Line'!$AB$2:$AB$3001,1))</f>
        <v/>
      </c>
      <c r="R364" s="7">
        <f>IF($W364="","",Q364*P364)</f>
        <v/>
      </c>
      <c r="S364" s="7">
        <f>IF($W364="","",R364+O364)</f>
        <v/>
      </c>
      <c r="T364" s="7">
        <f>IF($W364="","",V364-S364)</f>
        <v/>
      </c>
      <c r="U364" s="7">
        <f>IF($W364="","",V364-S364-K364)</f>
        <v/>
      </c>
      <c r="V364" s="7">
        <f>IF($W364="","",N364+Q364)</f>
        <v/>
      </c>
      <c r="W364" s="16">
        <f>IF(ROWS($W$2:$W364)&lt;=MAX('Per Line'!$AA$2:$AA$3001),MATCH(ROWS($W$2:$W364),'Per Line'!$AA$2:$AA$3001,0),"")</f>
        <v/>
      </c>
      <c r="X364">
        <f>IF($W364="","",D364&amp;"|"&amp;COUNTIF($D$2:$D364,D364))</f>
        <v/>
      </c>
    </row>
    <row r="365">
      <c r="A365" s="15" t="n"/>
      <c r="B365">
        <f>IF($W365="","",INDEX('Per Line'!$B$2:$B$3001,$W365)&amp;"")</f>
        <v/>
      </c>
      <c r="C365">
        <f>IF($W365="","",INDEX('Per Line'!$C$2:$C$3001,$W365)&amp;"")</f>
        <v/>
      </c>
      <c r="D365">
        <f>IF($W365="","",IF(OR(TRIM(E365)="Orient Insurance Company",TRIM(E365)="Allianz"),TRIM(E365),TRIM(F365)))</f>
        <v/>
      </c>
      <c r="E365">
        <f>IF($W365="","",INDEX('Per Line'!$E$2:$E$3001,$W365)&amp;"")</f>
        <v/>
      </c>
      <c r="F365">
        <f>IF($W365="","",INDEX('Per Line'!$D$2:$D$3001,$W365)&amp;"")</f>
        <v/>
      </c>
      <c r="G365">
        <f>IF($W365="","",INDEX('Per Line'!$F$2:$F$3001,$W365)&amp;"")</f>
        <v/>
      </c>
      <c r="H365">
        <f>IF($W365="","",INDEX('Per Line'!$G$2:$G$3001,$W365)&amp;"")</f>
        <v/>
      </c>
      <c r="I365">
        <f>IF($W365="","",INDEX('Per Line'!$H$2:$H$3001,$W365)&amp;"")</f>
        <v/>
      </c>
      <c r="J365">
        <f>IF($W365="","",INDEX('Per Line'!$I$2:$I$3001,$W365))</f>
        <v/>
      </c>
      <c r="K365" s="7">
        <f>IF($W365="","",J365*T365/100)</f>
        <v/>
      </c>
      <c r="L365" s="14">
        <f>IF($W365="","",INDEX('Per Line'!$V$2:$V$3001,$W365))</f>
        <v/>
      </c>
      <c r="M365">
        <f>IF($W365="","",IF(ISNUMBER(SEARCH("3&amp;12",SUBSTITUTE(F365," ",""))),Settings!$G$7,Settings!$C$7))</f>
        <v/>
      </c>
      <c r="N365" s="7">
        <f>IF($W365="","",SUMIFS('Per Line'!$O$2:$O$3001,'Per Line'!$B$2:$B$3001,$B365,'Per Line'!$AB$2:$AB$3001,0))</f>
        <v/>
      </c>
      <c r="O365" s="7">
        <f>IF($W365="","",N365*M365)</f>
        <v/>
      </c>
      <c r="P365">
        <f>IF($W365="","",IF(ISNUMBER(SEARCH("3&amp;12",SUBSTITUTE(F365," ",""))),Settings!$G$6,Settings!$C$6))</f>
        <v/>
      </c>
      <c r="Q365" s="7">
        <f>IF($W365="","",SUMIFS('Per Line'!$O$2:$O$3001,'Per Line'!$B$2:$B$3001,$B365,'Per Line'!$AB$2:$AB$3001,1))</f>
        <v/>
      </c>
      <c r="R365" s="7">
        <f>IF($W365="","",Q365*P365)</f>
        <v/>
      </c>
      <c r="S365" s="7">
        <f>IF($W365="","",R365+O365)</f>
        <v/>
      </c>
      <c r="T365" s="7">
        <f>IF($W365="","",V365-S365)</f>
        <v/>
      </c>
      <c r="U365" s="7">
        <f>IF($W365="","",V365-S365-K365)</f>
        <v/>
      </c>
      <c r="V365" s="7">
        <f>IF($W365="","",N365+Q365)</f>
        <v/>
      </c>
      <c r="W365" s="16">
        <f>IF(ROWS($W$2:$W365)&lt;=MAX('Per Line'!$AA$2:$AA$3001),MATCH(ROWS($W$2:$W365),'Per Line'!$AA$2:$AA$3001,0),"")</f>
        <v/>
      </c>
      <c r="X365">
        <f>IF($W365="","",D365&amp;"|"&amp;COUNTIF($D$2:$D365,D365))</f>
        <v/>
      </c>
    </row>
    <row r="366">
      <c r="A366" s="15" t="n"/>
      <c r="B366">
        <f>IF($W366="","",INDEX('Per Line'!$B$2:$B$3001,$W366)&amp;"")</f>
        <v/>
      </c>
      <c r="C366">
        <f>IF($W366="","",INDEX('Per Line'!$C$2:$C$3001,$W366)&amp;"")</f>
        <v/>
      </c>
      <c r="D366">
        <f>IF($W366="","",IF(OR(TRIM(E366)="Orient Insurance Company",TRIM(E366)="Allianz"),TRIM(E366),TRIM(F366)))</f>
        <v/>
      </c>
      <c r="E366">
        <f>IF($W366="","",INDEX('Per Line'!$E$2:$E$3001,$W366)&amp;"")</f>
        <v/>
      </c>
      <c r="F366">
        <f>IF($W366="","",INDEX('Per Line'!$D$2:$D$3001,$W366)&amp;"")</f>
        <v/>
      </c>
      <c r="G366">
        <f>IF($W366="","",INDEX('Per Line'!$F$2:$F$3001,$W366)&amp;"")</f>
        <v/>
      </c>
      <c r="H366">
        <f>IF($W366="","",INDEX('Per Line'!$G$2:$G$3001,$W366)&amp;"")</f>
        <v/>
      </c>
      <c r="I366">
        <f>IF($W366="","",INDEX('Per Line'!$H$2:$H$3001,$W366)&amp;"")</f>
        <v/>
      </c>
      <c r="J366">
        <f>IF($W366="","",INDEX('Per Line'!$I$2:$I$3001,$W366))</f>
        <v/>
      </c>
      <c r="K366" s="7">
        <f>IF($W366="","",J366*T366/100)</f>
        <v/>
      </c>
      <c r="L366" s="14">
        <f>IF($W366="","",INDEX('Per Line'!$V$2:$V$3001,$W366))</f>
        <v/>
      </c>
      <c r="M366">
        <f>IF($W366="","",IF(ISNUMBER(SEARCH("3&amp;12",SUBSTITUTE(F366," ",""))),Settings!$G$7,Settings!$C$7))</f>
        <v/>
      </c>
      <c r="N366" s="7">
        <f>IF($W366="","",SUMIFS('Per Line'!$O$2:$O$3001,'Per Line'!$B$2:$B$3001,$B366,'Per Line'!$AB$2:$AB$3001,0))</f>
        <v/>
      </c>
      <c r="O366" s="7">
        <f>IF($W366="","",N366*M366)</f>
        <v/>
      </c>
      <c r="P366">
        <f>IF($W366="","",IF(ISNUMBER(SEARCH("3&amp;12",SUBSTITUTE(F366," ",""))),Settings!$G$6,Settings!$C$6))</f>
        <v/>
      </c>
      <c r="Q366" s="7">
        <f>IF($W366="","",SUMIFS('Per Line'!$O$2:$O$3001,'Per Line'!$B$2:$B$3001,$B366,'Per Line'!$AB$2:$AB$3001,1))</f>
        <v/>
      </c>
      <c r="R366" s="7">
        <f>IF($W366="","",Q366*P366)</f>
        <v/>
      </c>
      <c r="S366" s="7">
        <f>IF($W366="","",R366+O366)</f>
        <v/>
      </c>
      <c r="T366" s="7">
        <f>IF($W366="","",V366-S366)</f>
        <v/>
      </c>
      <c r="U366" s="7">
        <f>IF($W366="","",V366-S366-K366)</f>
        <v/>
      </c>
      <c r="V366" s="7">
        <f>IF($W366="","",N366+Q366)</f>
        <v/>
      </c>
      <c r="W366" s="16">
        <f>IF(ROWS($W$2:$W366)&lt;=MAX('Per Line'!$AA$2:$AA$3001),MATCH(ROWS($W$2:$W366),'Per Line'!$AA$2:$AA$3001,0),"")</f>
        <v/>
      </c>
      <c r="X366">
        <f>IF($W366="","",D366&amp;"|"&amp;COUNTIF($D$2:$D366,D366))</f>
        <v/>
      </c>
    </row>
    <row r="367">
      <c r="A367" s="15" t="n"/>
      <c r="B367">
        <f>IF($W367="","",INDEX('Per Line'!$B$2:$B$3001,$W367)&amp;"")</f>
        <v/>
      </c>
      <c r="C367">
        <f>IF($W367="","",INDEX('Per Line'!$C$2:$C$3001,$W367)&amp;"")</f>
        <v/>
      </c>
      <c r="D367">
        <f>IF($W367="","",IF(OR(TRIM(E367)="Orient Insurance Company",TRIM(E367)="Allianz"),TRIM(E367),TRIM(F367)))</f>
        <v/>
      </c>
      <c r="E367">
        <f>IF($W367="","",INDEX('Per Line'!$E$2:$E$3001,$W367)&amp;"")</f>
        <v/>
      </c>
      <c r="F367">
        <f>IF($W367="","",INDEX('Per Line'!$D$2:$D$3001,$W367)&amp;"")</f>
        <v/>
      </c>
      <c r="G367">
        <f>IF($W367="","",INDEX('Per Line'!$F$2:$F$3001,$W367)&amp;"")</f>
        <v/>
      </c>
      <c r="H367">
        <f>IF($W367="","",INDEX('Per Line'!$G$2:$G$3001,$W367)&amp;"")</f>
        <v/>
      </c>
      <c r="I367">
        <f>IF($W367="","",INDEX('Per Line'!$H$2:$H$3001,$W367)&amp;"")</f>
        <v/>
      </c>
      <c r="J367">
        <f>IF($W367="","",INDEX('Per Line'!$I$2:$I$3001,$W367))</f>
        <v/>
      </c>
      <c r="K367" s="7">
        <f>IF($W367="","",J367*T367/100)</f>
        <v/>
      </c>
      <c r="L367" s="14">
        <f>IF($W367="","",INDEX('Per Line'!$V$2:$V$3001,$W367))</f>
        <v/>
      </c>
      <c r="M367">
        <f>IF($W367="","",IF(ISNUMBER(SEARCH("3&amp;12",SUBSTITUTE(F367," ",""))),Settings!$G$7,Settings!$C$7))</f>
        <v/>
      </c>
      <c r="N367" s="7">
        <f>IF($W367="","",SUMIFS('Per Line'!$O$2:$O$3001,'Per Line'!$B$2:$B$3001,$B367,'Per Line'!$AB$2:$AB$3001,0))</f>
        <v/>
      </c>
      <c r="O367" s="7">
        <f>IF($W367="","",N367*M367)</f>
        <v/>
      </c>
      <c r="P367">
        <f>IF($W367="","",IF(ISNUMBER(SEARCH("3&amp;12",SUBSTITUTE(F367," ",""))),Settings!$G$6,Settings!$C$6))</f>
        <v/>
      </c>
      <c r="Q367" s="7">
        <f>IF($W367="","",SUMIFS('Per Line'!$O$2:$O$3001,'Per Line'!$B$2:$B$3001,$B367,'Per Line'!$AB$2:$AB$3001,1))</f>
        <v/>
      </c>
      <c r="R367" s="7">
        <f>IF($W367="","",Q367*P367)</f>
        <v/>
      </c>
      <c r="S367" s="7">
        <f>IF($W367="","",R367+O367)</f>
        <v/>
      </c>
      <c r="T367" s="7">
        <f>IF($W367="","",V367-S367)</f>
        <v/>
      </c>
      <c r="U367" s="7">
        <f>IF($W367="","",V367-S367-K367)</f>
        <v/>
      </c>
      <c r="V367" s="7">
        <f>IF($W367="","",N367+Q367)</f>
        <v/>
      </c>
      <c r="W367" s="16">
        <f>IF(ROWS($W$2:$W367)&lt;=MAX('Per Line'!$AA$2:$AA$3001),MATCH(ROWS($W$2:$W367),'Per Line'!$AA$2:$AA$3001,0),"")</f>
        <v/>
      </c>
      <c r="X367">
        <f>IF($W367="","",D367&amp;"|"&amp;COUNTIF($D$2:$D367,D367))</f>
        <v/>
      </c>
    </row>
    <row r="368">
      <c r="A368" s="15" t="n"/>
      <c r="B368">
        <f>IF($W368="","",INDEX('Per Line'!$B$2:$B$3001,$W368)&amp;"")</f>
        <v/>
      </c>
      <c r="C368">
        <f>IF($W368="","",INDEX('Per Line'!$C$2:$C$3001,$W368)&amp;"")</f>
        <v/>
      </c>
      <c r="D368">
        <f>IF($W368="","",IF(OR(TRIM(E368)="Orient Insurance Company",TRIM(E368)="Allianz"),TRIM(E368),TRIM(F368)))</f>
        <v/>
      </c>
      <c r="E368">
        <f>IF($W368="","",INDEX('Per Line'!$E$2:$E$3001,$W368)&amp;"")</f>
        <v/>
      </c>
      <c r="F368">
        <f>IF($W368="","",INDEX('Per Line'!$D$2:$D$3001,$W368)&amp;"")</f>
        <v/>
      </c>
      <c r="G368">
        <f>IF($W368="","",INDEX('Per Line'!$F$2:$F$3001,$W368)&amp;"")</f>
        <v/>
      </c>
      <c r="H368">
        <f>IF($W368="","",INDEX('Per Line'!$G$2:$G$3001,$W368)&amp;"")</f>
        <v/>
      </c>
      <c r="I368">
        <f>IF($W368="","",INDEX('Per Line'!$H$2:$H$3001,$W368)&amp;"")</f>
        <v/>
      </c>
      <c r="J368">
        <f>IF($W368="","",INDEX('Per Line'!$I$2:$I$3001,$W368))</f>
        <v/>
      </c>
      <c r="K368" s="7">
        <f>IF($W368="","",J368*T368/100)</f>
        <v/>
      </c>
      <c r="L368" s="14">
        <f>IF($W368="","",INDEX('Per Line'!$V$2:$V$3001,$W368))</f>
        <v/>
      </c>
      <c r="M368">
        <f>IF($W368="","",IF(ISNUMBER(SEARCH("3&amp;12",SUBSTITUTE(F368," ",""))),Settings!$G$7,Settings!$C$7))</f>
        <v/>
      </c>
      <c r="N368" s="7">
        <f>IF($W368="","",SUMIFS('Per Line'!$O$2:$O$3001,'Per Line'!$B$2:$B$3001,$B368,'Per Line'!$AB$2:$AB$3001,0))</f>
        <v/>
      </c>
      <c r="O368" s="7">
        <f>IF($W368="","",N368*M368)</f>
        <v/>
      </c>
      <c r="P368">
        <f>IF($W368="","",IF(ISNUMBER(SEARCH("3&amp;12",SUBSTITUTE(F368," ",""))),Settings!$G$6,Settings!$C$6))</f>
        <v/>
      </c>
      <c r="Q368" s="7">
        <f>IF($W368="","",SUMIFS('Per Line'!$O$2:$O$3001,'Per Line'!$B$2:$B$3001,$B368,'Per Line'!$AB$2:$AB$3001,1))</f>
        <v/>
      </c>
      <c r="R368" s="7">
        <f>IF($W368="","",Q368*P368)</f>
        <v/>
      </c>
      <c r="S368" s="7">
        <f>IF($W368="","",R368+O368)</f>
        <v/>
      </c>
      <c r="T368" s="7">
        <f>IF($W368="","",V368-S368)</f>
        <v/>
      </c>
      <c r="U368" s="7">
        <f>IF($W368="","",V368-S368-K368)</f>
        <v/>
      </c>
      <c r="V368" s="7">
        <f>IF($W368="","",N368+Q368)</f>
        <v/>
      </c>
      <c r="W368" s="16">
        <f>IF(ROWS($W$2:$W368)&lt;=MAX('Per Line'!$AA$2:$AA$3001),MATCH(ROWS($W$2:$W368),'Per Line'!$AA$2:$AA$3001,0),"")</f>
        <v/>
      </c>
      <c r="X368">
        <f>IF($W368="","",D368&amp;"|"&amp;COUNTIF($D$2:$D368,D368))</f>
        <v/>
      </c>
    </row>
    <row r="369">
      <c r="A369" s="15" t="n"/>
      <c r="B369">
        <f>IF($W369="","",INDEX('Per Line'!$B$2:$B$3001,$W369)&amp;"")</f>
        <v/>
      </c>
      <c r="C369">
        <f>IF($W369="","",INDEX('Per Line'!$C$2:$C$3001,$W369)&amp;"")</f>
        <v/>
      </c>
      <c r="D369">
        <f>IF($W369="","",IF(OR(TRIM(E369)="Orient Insurance Company",TRIM(E369)="Allianz"),TRIM(E369),TRIM(F369)))</f>
        <v/>
      </c>
      <c r="E369">
        <f>IF($W369="","",INDEX('Per Line'!$E$2:$E$3001,$W369)&amp;"")</f>
        <v/>
      </c>
      <c r="F369">
        <f>IF($W369="","",INDEX('Per Line'!$D$2:$D$3001,$W369)&amp;"")</f>
        <v/>
      </c>
      <c r="G369">
        <f>IF($W369="","",INDEX('Per Line'!$F$2:$F$3001,$W369)&amp;"")</f>
        <v/>
      </c>
      <c r="H369">
        <f>IF($W369="","",INDEX('Per Line'!$G$2:$G$3001,$W369)&amp;"")</f>
        <v/>
      </c>
      <c r="I369">
        <f>IF($W369="","",INDEX('Per Line'!$H$2:$H$3001,$W369)&amp;"")</f>
        <v/>
      </c>
      <c r="J369">
        <f>IF($W369="","",INDEX('Per Line'!$I$2:$I$3001,$W369))</f>
        <v/>
      </c>
      <c r="K369" s="7">
        <f>IF($W369="","",J369*T369/100)</f>
        <v/>
      </c>
      <c r="L369" s="14">
        <f>IF($W369="","",INDEX('Per Line'!$V$2:$V$3001,$W369))</f>
        <v/>
      </c>
      <c r="M369">
        <f>IF($W369="","",IF(ISNUMBER(SEARCH("3&amp;12",SUBSTITUTE(F369," ",""))),Settings!$G$7,Settings!$C$7))</f>
        <v/>
      </c>
      <c r="N369" s="7">
        <f>IF($W369="","",SUMIFS('Per Line'!$O$2:$O$3001,'Per Line'!$B$2:$B$3001,$B369,'Per Line'!$AB$2:$AB$3001,0))</f>
        <v/>
      </c>
      <c r="O369" s="7">
        <f>IF($W369="","",N369*M369)</f>
        <v/>
      </c>
      <c r="P369">
        <f>IF($W369="","",IF(ISNUMBER(SEARCH("3&amp;12",SUBSTITUTE(F369," ",""))),Settings!$G$6,Settings!$C$6))</f>
        <v/>
      </c>
      <c r="Q369" s="7">
        <f>IF($W369="","",SUMIFS('Per Line'!$O$2:$O$3001,'Per Line'!$B$2:$B$3001,$B369,'Per Line'!$AB$2:$AB$3001,1))</f>
        <v/>
      </c>
      <c r="R369" s="7">
        <f>IF($W369="","",Q369*P369)</f>
        <v/>
      </c>
      <c r="S369" s="7">
        <f>IF($W369="","",R369+O369)</f>
        <v/>
      </c>
      <c r="T369" s="7">
        <f>IF($W369="","",V369-S369)</f>
        <v/>
      </c>
      <c r="U369" s="7">
        <f>IF($W369="","",V369-S369-K369)</f>
        <v/>
      </c>
      <c r="V369" s="7">
        <f>IF($W369="","",N369+Q369)</f>
        <v/>
      </c>
      <c r="W369" s="16">
        <f>IF(ROWS($W$2:$W369)&lt;=MAX('Per Line'!$AA$2:$AA$3001),MATCH(ROWS($W$2:$W369),'Per Line'!$AA$2:$AA$3001,0),"")</f>
        <v/>
      </c>
      <c r="X369">
        <f>IF($W369="","",D369&amp;"|"&amp;COUNTIF($D$2:$D369,D369))</f>
        <v/>
      </c>
    </row>
    <row r="370">
      <c r="A370" s="15" t="n"/>
      <c r="B370">
        <f>IF($W370="","",INDEX('Per Line'!$B$2:$B$3001,$W370)&amp;"")</f>
        <v/>
      </c>
      <c r="C370">
        <f>IF($W370="","",INDEX('Per Line'!$C$2:$C$3001,$W370)&amp;"")</f>
        <v/>
      </c>
      <c r="D370">
        <f>IF($W370="","",IF(OR(TRIM(E370)="Orient Insurance Company",TRIM(E370)="Allianz"),TRIM(E370),TRIM(F370)))</f>
        <v/>
      </c>
      <c r="E370">
        <f>IF($W370="","",INDEX('Per Line'!$E$2:$E$3001,$W370)&amp;"")</f>
        <v/>
      </c>
      <c r="F370">
        <f>IF($W370="","",INDEX('Per Line'!$D$2:$D$3001,$W370)&amp;"")</f>
        <v/>
      </c>
      <c r="G370">
        <f>IF($W370="","",INDEX('Per Line'!$F$2:$F$3001,$W370)&amp;"")</f>
        <v/>
      </c>
      <c r="H370">
        <f>IF($W370="","",INDEX('Per Line'!$G$2:$G$3001,$W370)&amp;"")</f>
        <v/>
      </c>
      <c r="I370">
        <f>IF($W370="","",INDEX('Per Line'!$H$2:$H$3001,$W370)&amp;"")</f>
        <v/>
      </c>
      <c r="J370">
        <f>IF($W370="","",INDEX('Per Line'!$I$2:$I$3001,$W370))</f>
        <v/>
      </c>
      <c r="K370" s="7">
        <f>IF($W370="","",J370*T370/100)</f>
        <v/>
      </c>
      <c r="L370" s="14">
        <f>IF($W370="","",INDEX('Per Line'!$V$2:$V$3001,$W370))</f>
        <v/>
      </c>
      <c r="M370">
        <f>IF($W370="","",IF(ISNUMBER(SEARCH("3&amp;12",SUBSTITUTE(F370," ",""))),Settings!$G$7,Settings!$C$7))</f>
        <v/>
      </c>
      <c r="N370" s="7">
        <f>IF($W370="","",SUMIFS('Per Line'!$O$2:$O$3001,'Per Line'!$B$2:$B$3001,$B370,'Per Line'!$AB$2:$AB$3001,0))</f>
        <v/>
      </c>
      <c r="O370" s="7">
        <f>IF($W370="","",N370*M370)</f>
        <v/>
      </c>
      <c r="P370">
        <f>IF($W370="","",IF(ISNUMBER(SEARCH("3&amp;12",SUBSTITUTE(F370," ",""))),Settings!$G$6,Settings!$C$6))</f>
        <v/>
      </c>
      <c r="Q370" s="7">
        <f>IF($W370="","",SUMIFS('Per Line'!$O$2:$O$3001,'Per Line'!$B$2:$B$3001,$B370,'Per Line'!$AB$2:$AB$3001,1))</f>
        <v/>
      </c>
      <c r="R370" s="7">
        <f>IF($W370="","",Q370*P370)</f>
        <v/>
      </c>
      <c r="S370" s="7">
        <f>IF($W370="","",R370+O370)</f>
        <v/>
      </c>
      <c r="T370" s="7">
        <f>IF($W370="","",V370-S370)</f>
        <v/>
      </c>
      <c r="U370" s="7">
        <f>IF($W370="","",V370-S370-K370)</f>
        <v/>
      </c>
      <c r="V370" s="7">
        <f>IF($W370="","",N370+Q370)</f>
        <v/>
      </c>
      <c r="W370" s="16">
        <f>IF(ROWS($W$2:$W370)&lt;=MAX('Per Line'!$AA$2:$AA$3001),MATCH(ROWS($W$2:$W370),'Per Line'!$AA$2:$AA$3001,0),"")</f>
        <v/>
      </c>
      <c r="X370">
        <f>IF($W370="","",D370&amp;"|"&amp;COUNTIF($D$2:$D370,D370))</f>
        <v/>
      </c>
    </row>
    <row r="371">
      <c r="A371" s="15" t="n"/>
      <c r="B371">
        <f>IF($W371="","",INDEX('Per Line'!$B$2:$B$3001,$W371)&amp;"")</f>
        <v/>
      </c>
      <c r="C371">
        <f>IF($W371="","",INDEX('Per Line'!$C$2:$C$3001,$W371)&amp;"")</f>
        <v/>
      </c>
      <c r="D371">
        <f>IF($W371="","",IF(OR(TRIM(E371)="Orient Insurance Company",TRIM(E371)="Allianz"),TRIM(E371),TRIM(F371)))</f>
        <v/>
      </c>
      <c r="E371">
        <f>IF($W371="","",INDEX('Per Line'!$E$2:$E$3001,$W371)&amp;"")</f>
        <v/>
      </c>
      <c r="F371">
        <f>IF($W371="","",INDEX('Per Line'!$D$2:$D$3001,$W371)&amp;"")</f>
        <v/>
      </c>
      <c r="G371">
        <f>IF($W371="","",INDEX('Per Line'!$F$2:$F$3001,$W371)&amp;"")</f>
        <v/>
      </c>
      <c r="H371">
        <f>IF($W371="","",INDEX('Per Line'!$G$2:$G$3001,$W371)&amp;"")</f>
        <v/>
      </c>
      <c r="I371">
        <f>IF($W371="","",INDEX('Per Line'!$H$2:$H$3001,$W371)&amp;"")</f>
        <v/>
      </c>
      <c r="J371">
        <f>IF($W371="","",INDEX('Per Line'!$I$2:$I$3001,$W371))</f>
        <v/>
      </c>
      <c r="K371" s="7">
        <f>IF($W371="","",J371*T371/100)</f>
        <v/>
      </c>
      <c r="L371" s="14">
        <f>IF($W371="","",INDEX('Per Line'!$V$2:$V$3001,$W371))</f>
        <v/>
      </c>
      <c r="M371">
        <f>IF($W371="","",IF(ISNUMBER(SEARCH("3&amp;12",SUBSTITUTE(F371," ",""))),Settings!$G$7,Settings!$C$7))</f>
        <v/>
      </c>
      <c r="N371" s="7">
        <f>IF($W371="","",SUMIFS('Per Line'!$O$2:$O$3001,'Per Line'!$B$2:$B$3001,$B371,'Per Line'!$AB$2:$AB$3001,0))</f>
        <v/>
      </c>
      <c r="O371" s="7">
        <f>IF($W371="","",N371*M371)</f>
        <v/>
      </c>
      <c r="P371">
        <f>IF($W371="","",IF(ISNUMBER(SEARCH("3&amp;12",SUBSTITUTE(F371," ",""))),Settings!$G$6,Settings!$C$6))</f>
        <v/>
      </c>
      <c r="Q371" s="7">
        <f>IF($W371="","",SUMIFS('Per Line'!$O$2:$O$3001,'Per Line'!$B$2:$B$3001,$B371,'Per Line'!$AB$2:$AB$3001,1))</f>
        <v/>
      </c>
      <c r="R371" s="7">
        <f>IF($W371="","",Q371*P371)</f>
        <v/>
      </c>
      <c r="S371" s="7">
        <f>IF($W371="","",R371+O371)</f>
        <v/>
      </c>
      <c r="T371" s="7">
        <f>IF($W371="","",V371-S371)</f>
        <v/>
      </c>
      <c r="U371" s="7">
        <f>IF($W371="","",V371-S371-K371)</f>
        <v/>
      </c>
      <c r="V371" s="7">
        <f>IF($W371="","",N371+Q371)</f>
        <v/>
      </c>
      <c r="W371" s="16">
        <f>IF(ROWS($W$2:$W371)&lt;=MAX('Per Line'!$AA$2:$AA$3001),MATCH(ROWS($W$2:$W371),'Per Line'!$AA$2:$AA$3001,0),"")</f>
        <v/>
      </c>
      <c r="X371">
        <f>IF($W371="","",D371&amp;"|"&amp;COUNTIF($D$2:$D371,D371))</f>
        <v/>
      </c>
    </row>
    <row r="372">
      <c r="A372" s="15" t="n"/>
      <c r="B372">
        <f>IF($W372="","",INDEX('Per Line'!$B$2:$B$3001,$W372)&amp;"")</f>
        <v/>
      </c>
      <c r="C372">
        <f>IF($W372="","",INDEX('Per Line'!$C$2:$C$3001,$W372)&amp;"")</f>
        <v/>
      </c>
      <c r="D372">
        <f>IF($W372="","",IF(OR(TRIM(E372)="Orient Insurance Company",TRIM(E372)="Allianz"),TRIM(E372),TRIM(F372)))</f>
        <v/>
      </c>
      <c r="E372">
        <f>IF($W372="","",INDEX('Per Line'!$E$2:$E$3001,$W372)&amp;"")</f>
        <v/>
      </c>
      <c r="F372">
        <f>IF($W372="","",INDEX('Per Line'!$D$2:$D$3001,$W372)&amp;"")</f>
        <v/>
      </c>
      <c r="G372">
        <f>IF($W372="","",INDEX('Per Line'!$F$2:$F$3001,$W372)&amp;"")</f>
        <v/>
      </c>
      <c r="H372">
        <f>IF($W372="","",INDEX('Per Line'!$G$2:$G$3001,$W372)&amp;"")</f>
        <v/>
      </c>
      <c r="I372">
        <f>IF($W372="","",INDEX('Per Line'!$H$2:$H$3001,$W372)&amp;"")</f>
        <v/>
      </c>
      <c r="J372">
        <f>IF($W372="","",INDEX('Per Line'!$I$2:$I$3001,$W372))</f>
        <v/>
      </c>
      <c r="K372" s="7">
        <f>IF($W372="","",J372*T372/100)</f>
        <v/>
      </c>
      <c r="L372" s="14">
        <f>IF($W372="","",INDEX('Per Line'!$V$2:$V$3001,$W372))</f>
        <v/>
      </c>
      <c r="M372">
        <f>IF($W372="","",IF(ISNUMBER(SEARCH("3&amp;12",SUBSTITUTE(F372," ",""))),Settings!$G$7,Settings!$C$7))</f>
        <v/>
      </c>
      <c r="N372" s="7">
        <f>IF($W372="","",SUMIFS('Per Line'!$O$2:$O$3001,'Per Line'!$B$2:$B$3001,$B372,'Per Line'!$AB$2:$AB$3001,0))</f>
        <v/>
      </c>
      <c r="O372" s="7">
        <f>IF($W372="","",N372*M372)</f>
        <v/>
      </c>
      <c r="P372">
        <f>IF($W372="","",IF(ISNUMBER(SEARCH("3&amp;12",SUBSTITUTE(F372," ",""))),Settings!$G$6,Settings!$C$6))</f>
        <v/>
      </c>
      <c r="Q372" s="7">
        <f>IF($W372="","",SUMIFS('Per Line'!$O$2:$O$3001,'Per Line'!$B$2:$B$3001,$B372,'Per Line'!$AB$2:$AB$3001,1))</f>
        <v/>
      </c>
      <c r="R372" s="7">
        <f>IF($W372="","",Q372*P372)</f>
        <v/>
      </c>
      <c r="S372" s="7">
        <f>IF($W372="","",R372+O372)</f>
        <v/>
      </c>
      <c r="T372" s="7">
        <f>IF($W372="","",V372-S372)</f>
        <v/>
      </c>
      <c r="U372" s="7">
        <f>IF($W372="","",V372-S372-K372)</f>
        <v/>
      </c>
      <c r="V372" s="7">
        <f>IF($W372="","",N372+Q372)</f>
        <v/>
      </c>
      <c r="W372" s="16">
        <f>IF(ROWS($W$2:$W372)&lt;=MAX('Per Line'!$AA$2:$AA$3001),MATCH(ROWS($W$2:$W372),'Per Line'!$AA$2:$AA$3001,0),"")</f>
        <v/>
      </c>
      <c r="X372">
        <f>IF($W372="","",D372&amp;"|"&amp;COUNTIF($D$2:$D372,D372))</f>
        <v/>
      </c>
    </row>
    <row r="373">
      <c r="A373" s="15" t="n"/>
      <c r="B373">
        <f>IF($W373="","",INDEX('Per Line'!$B$2:$B$3001,$W373)&amp;"")</f>
        <v/>
      </c>
      <c r="C373">
        <f>IF($W373="","",INDEX('Per Line'!$C$2:$C$3001,$W373)&amp;"")</f>
        <v/>
      </c>
      <c r="D373">
        <f>IF($W373="","",IF(OR(TRIM(E373)="Orient Insurance Company",TRIM(E373)="Allianz"),TRIM(E373),TRIM(F373)))</f>
        <v/>
      </c>
      <c r="E373">
        <f>IF($W373="","",INDEX('Per Line'!$E$2:$E$3001,$W373)&amp;"")</f>
        <v/>
      </c>
      <c r="F373">
        <f>IF($W373="","",INDEX('Per Line'!$D$2:$D$3001,$W373)&amp;"")</f>
        <v/>
      </c>
      <c r="G373">
        <f>IF($W373="","",INDEX('Per Line'!$F$2:$F$3001,$W373)&amp;"")</f>
        <v/>
      </c>
      <c r="H373">
        <f>IF($W373="","",INDEX('Per Line'!$G$2:$G$3001,$W373)&amp;"")</f>
        <v/>
      </c>
      <c r="I373">
        <f>IF($W373="","",INDEX('Per Line'!$H$2:$H$3001,$W373)&amp;"")</f>
        <v/>
      </c>
      <c r="J373">
        <f>IF($W373="","",INDEX('Per Line'!$I$2:$I$3001,$W373))</f>
        <v/>
      </c>
      <c r="K373" s="7">
        <f>IF($W373="","",J373*T373/100)</f>
        <v/>
      </c>
      <c r="L373" s="14">
        <f>IF($W373="","",INDEX('Per Line'!$V$2:$V$3001,$W373))</f>
        <v/>
      </c>
      <c r="M373">
        <f>IF($W373="","",IF(ISNUMBER(SEARCH("3&amp;12",SUBSTITUTE(F373," ",""))),Settings!$G$7,Settings!$C$7))</f>
        <v/>
      </c>
      <c r="N373" s="7">
        <f>IF($W373="","",SUMIFS('Per Line'!$O$2:$O$3001,'Per Line'!$B$2:$B$3001,$B373,'Per Line'!$AB$2:$AB$3001,0))</f>
        <v/>
      </c>
      <c r="O373" s="7">
        <f>IF($W373="","",N373*M373)</f>
        <v/>
      </c>
      <c r="P373">
        <f>IF($W373="","",IF(ISNUMBER(SEARCH("3&amp;12",SUBSTITUTE(F373," ",""))),Settings!$G$6,Settings!$C$6))</f>
        <v/>
      </c>
      <c r="Q373" s="7">
        <f>IF($W373="","",SUMIFS('Per Line'!$O$2:$O$3001,'Per Line'!$B$2:$B$3001,$B373,'Per Line'!$AB$2:$AB$3001,1))</f>
        <v/>
      </c>
      <c r="R373" s="7">
        <f>IF($W373="","",Q373*P373)</f>
        <v/>
      </c>
      <c r="S373" s="7">
        <f>IF($W373="","",R373+O373)</f>
        <v/>
      </c>
      <c r="T373" s="7">
        <f>IF($W373="","",V373-S373)</f>
        <v/>
      </c>
      <c r="U373" s="7">
        <f>IF($W373="","",V373-S373-K373)</f>
        <v/>
      </c>
      <c r="V373" s="7">
        <f>IF($W373="","",N373+Q373)</f>
        <v/>
      </c>
      <c r="W373" s="16">
        <f>IF(ROWS($W$2:$W373)&lt;=MAX('Per Line'!$AA$2:$AA$3001),MATCH(ROWS($W$2:$W373),'Per Line'!$AA$2:$AA$3001,0),"")</f>
        <v/>
      </c>
      <c r="X373">
        <f>IF($W373="","",D373&amp;"|"&amp;COUNTIF($D$2:$D373,D373))</f>
        <v/>
      </c>
    </row>
    <row r="374">
      <c r="A374" s="15" t="n"/>
      <c r="B374">
        <f>IF($W374="","",INDEX('Per Line'!$B$2:$B$3001,$W374)&amp;"")</f>
        <v/>
      </c>
      <c r="C374">
        <f>IF($W374="","",INDEX('Per Line'!$C$2:$C$3001,$W374)&amp;"")</f>
        <v/>
      </c>
      <c r="D374">
        <f>IF($W374="","",IF(OR(TRIM(E374)="Orient Insurance Company",TRIM(E374)="Allianz"),TRIM(E374),TRIM(F374)))</f>
        <v/>
      </c>
      <c r="E374">
        <f>IF($W374="","",INDEX('Per Line'!$E$2:$E$3001,$W374)&amp;"")</f>
        <v/>
      </c>
      <c r="F374">
        <f>IF($W374="","",INDEX('Per Line'!$D$2:$D$3001,$W374)&amp;"")</f>
        <v/>
      </c>
      <c r="G374">
        <f>IF($W374="","",INDEX('Per Line'!$F$2:$F$3001,$W374)&amp;"")</f>
        <v/>
      </c>
      <c r="H374">
        <f>IF($W374="","",INDEX('Per Line'!$G$2:$G$3001,$W374)&amp;"")</f>
        <v/>
      </c>
      <c r="I374">
        <f>IF($W374="","",INDEX('Per Line'!$H$2:$H$3001,$W374)&amp;"")</f>
        <v/>
      </c>
      <c r="J374">
        <f>IF($W374="","",INDEX('Per Line'!$I$2:$I$3001,$W374))</f>
        <v/>
      </c>
      <c r="K374" s="7">
        <f>IF($W374="","",J374*T374/100)</f>
        <v/>
      </c>
      <c r="L374" s="14">
        <f>IF($W374="","",INDEX('Per Line'!$V$2:$V$3001,$W374))</f>
        <v/>
      </c>
      <c r="M374">
        <f>IF($W374="","",IF(ISNUMBER(SEARCH("3&amp;12",SUBSTITUTE(F374," ",""))),Settings!$G$7,Settings!$C$7))</f>
        <v/>
      </c>
      <c r="N374" s="7">
        <f>IF($W374="","",SUMIFS('Per Line'!$O$2:$O$3001,'Per Line'!$B$2:$B$3001,$B374,'Per Line'!$AB$2:$AB$3001,0))</f>
        <v/>
      </c>
      <c r="O374" s="7">
        <f>IF($W374="","",N374*M374)</f>
        <v/>
      </c>
      <c r="P374">
        <f>IF($W374="","",IF(ISNUMBER(SEARCH("3&amp;12",SUBSTITUTE(F374," ",""))),Settings!$G$6,Settings!$C$6))</f>
        <v/>
      </c>
      <c r="Q374" s="7">
        <f>IF($W374="","",SUMIFS('Per Line'!$O$2:$O$3001,'Per Line'!$B$2:$B$3001,$B374,'Per Line'!$AB$2:$AB$3001,1))</f>
        <v/>
      </c>
      <c r="R374" s="7">
        <f>IF($W374="","",Q374*P374)</f>
        <v/>
      </c>
      <c r="S374" s="7">
        <f>IF($W374="","",R374+O374)</f>
        <v/>
      </c>
      <c r="T374" s="7">
        <f>IF($W374="","",V374-S374)</f>
        <v/>
      </c>
      <c r="U374" s="7">
        <f>IF($W374="","",V374-S374-K374)</f>
        <v/>
      </c>
      <c r="V374" s="7">
        <f>IF($W374="","",N374+Q374)</f>
        <v/>
      </c>
      <c r="W374" s="16">
        <f>IF(ROWS($W$2:$W374)&lt;=MAX('Per Line'!$AA$2:$AA$3001),MATCH(ROWS($W$2:$W374),'Per Line'!$AA$2:$AA$3001,0),"")</f>
        <v/>
      </c>
      <c r="X374">
        <f>IF($W374="","",D374&amp;"|"&amp;COUNTIF($D$2:$D374,D374))</f>
        <v/>
      </c>
    </row>
    <row r="375">
      <c r="A375" s="15" t="n"/>
      <c r="B375">
        <f>IF($W375="","",INDEX('Per Line'!$B$2:$B$3001,$W375)&amp;"")</f>
        <v/>
      </c>
      <c r="C375">
        <f>IF($W375="","",INDEX('Per Line'!$C$2:$C$3001,$W375)&amp;"")</f>
        <v/>
      </c>
      <c r="D375">
        <f>IF($W375="","",IF(OR(TRIM(E375)="Orient Insurance Company",TRIM(E375)="Allianz"),TRIM(E375),TRIM(F375)))</f>
        <v/>
      </c>
      <c r="E375">
        <f>IF($W375="","",INDEX('Per Line'!$E$2:$E$3001,$W375)&amp;"")</f>
        <v/>
      </c>
      <c r="F375">
        <f>IF($W375="","",INDEX('Per Line'!$D$2:$D$3001,$W375)&amp;"")</f>
        <v/>
      </c>
      <c r="G375">
        <f>IF($W375="","",INDEX('Per Line'!$F$2:$F$3001,$W375)&amp;"")</f>
        <v/>
      </c>
      <c r="H375">
        <f>IF($W375="","",INDEX('Per Line'!$G$2:$G$3001,$W375)&amp;"")</f>
        <v/>
      </c>
      <c r="I375">
        <f>IF($W375="","",INDEX('Per Line'!$H$2:$H$3001,$W375)&amp;"")</f>
        <v/>
      </c>
      <c r="J375">
        <f>IF($W375="","",INDEX('Per Line'!$I$2:$I$3001,$W375))</f>
        <v/>
      </c>
      <c r="K375" s="7">
        <f>IF($W375="","",J375*T375/100)</f>
        <v/>
      </c>
      <c r="L375" s="14">
        <f>IF($W375="","",INDEX('Per Line'!$V$2:$V$3001,$W375))</f>
        <v/>
      </c>
      <c r="M375">
        <f>IF($W375="","",IF(ISNUMBER(SEARCH("3&amp;12",SUBSTITUTE(F375," ",""))),Settings!$G$7,Settings!$C$7))</f>
        <v/>
      </c>
      <c r="N375" s="7">
        <f>IF($W375="","",SUMIFS('Per Line'!$O$2:$O$3001,'Per Line'!$B$2:$B$3001,$B375,'Per Line'!$AB$2:$AB$3001,0))</f>
        <v/>
      </c>
      <c r="O375" s="7">
        <f>IF($W375="","",N375*M375)</f>
        <v/>
      </c>
      <c r="P375">
        <f>IF($W375="","",IF(ISNUMBER(SEARCH("3&amp;12",SUBSTITUTE(F375," ",""))),Settings!$G$6,Settings!$C$6))</f>
        <v/>
      </c>
      <c r="Q375" s="7">
        <f>IF($W375="","",SUMIFS('Per Line'!$O$2:$O$3001,'Per Line'!$B$2:$B$3001,$B375,'Per Line'!$AB$2:$AB$3001,1))</f>
        <v/>
      </c>
      <c r="R375" s="7">
        <f>IF($W375="","",Q375*P375)</f>
        <v/>
      </c>
      <c r="S375" s="7">
        <f>IF($W375="","",R375+O375)</f>
        <v/>
      </c>
      <c r="T375" s="7">
        <f>IF($W375="","",V375-S375)</f>
        <v/>
      </c>
      <c r="U375" s="7">
        <f>IF($W375="","",V375-S375-K375)</f>
        <v/>
      </c>
      <c r="V375" s="7">
        <f>IF($W375="","",N375+Q375)</f>
        <v/>
      </c>
      <c r="W375" s="16">
        <f>IF(ROWS($W$2:$W375)&lt;=MAX('Per Line'!$AA$2:$AA$3001),MATCH(ROWS($W$2:$W375),'Per Line'!$AA$2:$AA$3001,0),"")</f>
        <v/>
      </c>
      <c r="X375">
        <f>IF($W375="","",D375&amp;"|"&amp;COUNTIF($D$2:$D375,D375))</f>
        <v/>
      </c>
    </row>
    <row r="376">
      <c r="A376" s="15" t="n"/>
      <c r="B376">
        <f>IF($W376="","",INDEX('Per Line'!$B$2:$B$3001,$W376)&amp;"")</f>
        <v/>
      </c>
      <c r="C376">
        <f>IF($W376="","",INDEX('Per Line'!$C$2:$C$3001,$W376)&amp;"")</f>
        <v/>
      </c>
      <c r="D376">
        <f>IF($W376="","",IF(OR(TRIM(E376)="Orient Insurance Company",TRIM(E376)="Allianz"),TRIM(E376),TRIM(F376)))</f>
        <v/>
      </c>
      <c r="E376">
        <f>IF($W376="","",INDEX('Per Line'!$E$2:$E$3001,$W376)&amp;"")</f>
        <v/>
      </c>
      <c r="F376">
        <f>IF($W376="","",INDEX('Per Line'!$D$2:$D$3001,$W376)&amp;"")</f>
        <v/>
      </c>
      <c r="G376">
        <f>IF($W376="","",INDEX('Per Line'!$F$2:$F$3001,$W376)&amp;"")</f>
        <v/>
      </c>
      <c r="H376">
        <f>IF($W376="","",INDEX('Per Line'!$G$2:$G$3001,$W376)&amp;"")</f>
        <v/>
      </c>
      <c r="I376">
        <f>IF($W376="","",INDEX('Per Line'!$H$2:$H$3001,$W376)&amp;"")</f>
        <v/>
      </c>
      <c r="J376">
        <f>IF($W376="","",INDEX('Per Line'!$I$2:$I$3001,$W376))</f>
        <v/>
      </c>
      <c r="K376" s="7">
        <f>IF($W376="","",J376*T376/100)</f>
        <v/>
      </c>
      <c r="L376" s="14">
        <f>IF($W376="","",INDEX('Per Line'!$V$2:$V$3001,$W376))</f>
        <v/>
      </c>
      <c r="M376">
        <f>IF($W376="","",IF(ISNUMBER(SEARCH("3&amp;12",SUBSTITUTE(F376," ",""))),Settings!$G$7,Settings!$C$7))</f>
        <v/>
      </c>
      <c r="N376" s="7">
        <f>IF($W376="","",SUMIFS('Per Line'!$O$2:$O$3001,'Per Line'!$B$2:$B$3001,$B376,'Per Line'!$AB$2:$AB$3001,0))</f>
        <v/>
      </c>
      <c r="O376" s="7">
        <f>IF($W376="","",N376*M376)</f>
        <v/>
      </c>
      <c r="P376">
        <f>IF($W376="","",IF(ISNUMBER(SEARCH("3&amp;12",SUBSTITUTE(F376," ",""))),Settings!$G$6,Settings!$C$6))</f>
        <v/>
      </c>
      <c r="Q376" s="7">
        <f>IF($W376="","",SUMIFS('Per Line'!$O$2:$O$3001,'Per Line'!$B$2:$B$3001,$B376,'Per Line'!$AB$2:$AB$3001,1))</f>
        <v/>
      </c>
      <c r="R376" s="7">
        <f>IF($W376="","",Q376*P376)</f>
        <v/>
      </c>
      <c r="S376" s="7">
        <f>IF($W376="","",R376+O376)</f>
        <v/>
      </c>
      <c r="T376" s="7">
        <f>IF($W376="","",V376-S376)</f>
        <v/>
      </c>
      <c r="U376" s="7">
        <f>IF($W376="","",V376-S376-K376)</f>
        <v/>
      </c>
      <c r="V376" s="7">
        <f>IF($W376="","",N376+Q376)</f>
        <v/>
      </c>
      <c r="W376" s="16">
        <f>IF(ROWS($W$2:$W376)&lt;=MAX('Per Line'!$AA$2:$AA$3001),MATCH(ROWS($W$2:$W376),'Per Line'!$AA$2:$AA$3001,0),"")</f>
        <v/>
      </c>
      <c r="X376">
        <f>IF($W376="","",D376&amp;"|"&amp;COUNTIF($D$2:$D376,D376))</f>
        <v/>
      </c>
    </row>
    <row r="377">
      <c r="A377" s="15" t="n"/>
      <c r="B377">
        <f>IF($W377="","",INDEX('Per Line'!$B$2:$B$3001,$W377)&amp;"")</f>
        <v/>
      </c>
      <c r="C377">
        <f>IF($W377="","",INDEX('Per Line'!$C$2:$C$3001,$W377)&amp;"")</f>
        <v/>
      </c>
      <c r="D377">
        <f>IF($W377="","",IF(OR(TRIM(E377)="Orient Insurance Company",TRIM(E377)="Allianz"),TRIM(E377),TRIM(F377)))</f>
        <v/>
      </c>
      <c r="E377">
        <f>IF($W377="","",INDEX('Per Line'!$E$2:$E$3001,$W377)&amp;"")</f>
        <v/>
      </c>
      <c r="F377">
        <f>IF($W377="","",INDEX('Per Line'!$D$2:$D$3001,$W377)&amp;"")</f>
        <v/>
      </c>
      <c r="G377">
        <f>IF($W377="","",INDEX('Per Line'!$F$2:$F$3001,$W377)&amp;"")</f>
        <v/>
      </c>
      <c r="H377">
        <f>IF($W377="","",INDEX('Per Line'!$G$2:$G$3001,$W377)&amp;"")</f>
        <v/>
      </c>
      <c r="I377">
        <f>IF($W377="","",INDEX('Per Line'!$H$2:$H$3001,$W377)&amp;"")</f>
        <v/>
      </c>
      <c r="J377">
        <f>IF($W377="","",INDEX('Per Line'!$I$2:$I$3001,$W377))</f>
        <v/>
      </c>
      <c r="K377" s="7">
        <f>IF($W377="","",J377*T377/100)</f>
        <v/>
      </c>
      <c r="L377" s="14">
        <f>IF($W377="","",INDEX('Per Line'!$V$2:$V$3001,$W377))</f>
        <v/>
      </c>
      <c r="M377">
        <f>IF($W377="","",IF(ISNUMBER(SEARCH("3&amp;12",SUBSTITUTE(F377," ",""))),Settings!$G$7,Settings!$C$7))</f>
        <v/>
      </c>
      <c r="N377" s="7">
        <f>IF($W377="","",SUMIFS('Per Line'!$O$2:$O$3001,'Per Line'!$B$2:$B$3001,$B377,'Per Line'!$AB$2:$AB$3001,0))</f>
        <v/>
      </c>
      <c r="O377" s="7">
        <f>IF($W377="","",N377*M377)</f>
        <v/>
      </c>
      <c r="P377">
        <f>IF($W377="","",IF(ISNUMBER(SEARCH("3&amp;12",SUBSTITUTE(F377," ",""))),Settings!$G$6,Settings!$C$6))</f>
        <v/>
      </c>
      <c r="Q377" s="7">
        <f>IF($W377="","",SUMIFS('Per Line'!$O$2:$O$3001,'Per Line'!$B$2:$B$3001,$B377,'Per Line'!$AB$2:$AB$3001,1))</f>
        <v/>
      </c>
      <c r="R377" s="7">
        <f>IF($W377="","",Q377*P377)</f>
        <v/>
      </c>
      <c r="S377" s="7">
        <f>IF($W377="","",R377+O377)</f>
        <v/>
      </c>
      <c r="T377" s="7">
        <f>IF($W377="","",V377-S377)</f>
        <v/>
      </c>
      <c r="U377" s="7">
        <f>IF($W377="","",V377-S377-K377)</f>
        <v/>
      </c>
      <c r="V377" s="7">
        <f>IF($W377="","",N377+Q377)</f>
        <v/>
      </c>
      <c r="W377" s="16">
        <f>IF(ROWS($W$2:$W377)&lt;=MAX('Per Line'!$AA$2:$AA$3001),MATCH(ROWS($W$2:$W377),'Per Line'!$AA$2:$AA$3001,0),"")</f>
        <v/>
      </c>
      <c r="X377">
        <f>IF($W377="","",D377&amp;"|"&amp;COUNTIF($D$2:$D377,D377))</f>
        <v/>
      </c>
    </row>
    <row r="378">
      <c r="A378" s="15" t="n"/>
      <c r="B378">
        <f>IF($W378="","",INDEX('Per Line'!$B$2:$B$3001,$W378)&amp;"")</f>
        <v/>
      </c>
      <c r="C378">
        <f>IF($W378="","",INDEX('Per Line'!$C$2:$C$3001,$W378)&amp;"")</f>
        <v/>
      </c>
      <c r="D378">
        <f>IF($W378="","",IF(OR(TRIM(E378)="Orient Insurance Company",TRIM(E378)="Allianz"),TRIM(E378),TRIM(F378)))</f>
        <v/>
      </c>
      <c r="E378">
        <f>IF($W378="","",INDEX('Per Line'!$E$2:$E$3001,$W378)&amp;"")</f>
        <v/>
      </c>
      <c r="F378">
        <f>IF($W378="","",INDEX('Per Line'!$D$2:$D$3001,$W378)&amp;"")</f>
        <v/>
      </c>
      <c r="G378">
        <f>IF($W378="","",INDEX('Per Line'!$F$2:$F$3001,$W378)&amp;"")</f>
        <v/>
      </c>
      <c r="H378">
        <f>IF($W378="","",INDEX('Per Line'!$G$2:$G$3001,$W378)&amp;"")</f>
        <v/>
      </c>
      <c r="I378">
        <f>IF($W378="","",INDEX('Per Line'!$H$2:$H$3001,$W378)&amp;"")</f>
        <v/>
      </c>
      <c r="J378">
        <f>IF($W378="","",INDEX('Per Line'!$I$2:$I$3001,$W378))</f>
        <v/>
      </c>
      <c r="K378" s="7">
        <f>IF($W378="","",J378*T378/100)</f>
        <v/>
      </c>
      <c r="L378" s="14">
        <f>IF($W378="","",INDEX('Per Line'!$V$2:$V$3001,$W378))</f>
        <v/>
      </c>
      <c r="M378">
        <f>IF($W378="","",IF(ISNUMBER(SEARCH("3&amp;12",SUBSTITUTE(F378," ",""))),Settings!$G$7,Settings!$C$7))</f>
        <v/>
      </c>
      <c r="N378" s="7">
        <f>IF($W378="","",SUMIFS('Per Line'!$O$2:$O$3001,'Per Line'!$B$2:$B$3001,$B378,'Per Line'!$AB$2:$AB$3001,0))</f>
        <v/>
      </c>
      <c r="O378" s="7">
        <f>IF($W378="","",N378*M378)</f>
        <v/>
      </c>
      <c r="P378">
        <f>IF($W378="","",IF(ISNUMBER(SEARCH("3&amp;12",SUBSTITUTE(F378," ",""))),Settings!$G$6,Settings!$C$6))</f>
        <v/>
      </c>
      <c r="Q378" s="7">
        <f>IF($W378="","",SUMIFS('Per Line'!$O$2:$O$3001,'Per Line'!$B$2:$B$3001,$B378,'Per Line'!$AB$2:$AB$3001,1))</f>
        <v/>
      </c>
      <c r="R378" s="7">
        <f>IF($W378="","",Q378*P378)</f>
        <v/>
      </c>
      <c r="S378" s="7">
        <f>IF($W378="","",R378+O378)</f>
        <v/>
      </c>
      <c r="T378" s="7">
        <f>IF($W378="","",V378-S378)</f>
        <v/>
      </c>
      <c r="U378" s="7">
        <f>IF($W378="","",V378-S378-K378)</f>
        <v/>
      </c>
      <c r="V378" s="7">
        <f>IF($W378="","",N378+Q378)</f>
        <v/>
      </c>
      <c r="W378" s="16">
        <f>IF(ROWS($W$2:$W378)&lt;=MAX('Per Line'!$AA$2:$AA$3001),MATCH(ROWS($W$2:$W378),'Per Line'!$AA$2:$AA$3001,0),"")</f>
        <v/>
      </c>
      <c r="X378">
        <f>IF($W378="","",D378&amp;"|"&amp;COUNTIF($D$2:$D378,D378))</f>
        <v/>
      </c>
    </row>
    <row r="379">
      <c r="A379" s="15" t="n"/>
      <c r="B379">
        <f>IF($W379="","",INDEX('Per Line'!$B$2:$B$3001,$W379)&amp;"")</f>
        <v/>
      </c>
      <c r="C379">
        <f>IF($W379="","",INDEX('Per Line'!$C$2:$C$3001,$W379)&amp;"")</f>
        <v/>
      </c>
      <c r="D379">
        <f>IF($W379="","",IF(OR(TRIM(E379)="Orient Insurance Company",TRIM(E379)="Allianz"),TRIM(E379),TRIM(F379)))</f>
        <v/>
      </c>
      <c r="E379">
        <f>IF($W379="","",INDEX('Per Line'!$E$2:$E$3001,$W379)&amp;"")</f>
        <v/>
      </c>
      <c r="F379">
        <f>IF($W379="","",INDEX('Per Line'!$D$2:$D$3001,$W379)&amp;"")</f>
        <v/>
      </c>
      <c r="G379">
        <f>IF($W379="","",INDEX('Per Line'!$F$2:$F$3001,$W379)&amp;"")</f>
        <v/>
      </c>
      <c r="H379">
        <f>IF($W379="","",INDEX('Per Line'!$G$2:$G$3001,$W379)&amp;"")</f>
        <v/>
      </c>
      <c r="I379">
        <f>IF($W379="","",INDEX('Per Line'!$H$2:$H$3001,$W379)&amp;"")</f>
        <v/>
      </c>
      <c r="J379">
        <f>IF($W379="","",INDEX('Per Line'!$I$2:$I$3001,$W379))</f>
        <v/>
      </c>
      <c r="K379" s="7">
        <f>IF($W379="","",J379*T379/100)</f>
        <v/>
      </c>
      <c r="L379" s="14">
        <f>IF($W379="","",INDEX('Per Line'!$V$2:$V$3001,$W379))</f>
        <v/>
      </c>
      <c r="M379">
        <f>IF($W379="","",IF(ISNUMBER(SEARCH("3&amp;12",SUBSTITUTE(F379," ",""))),Settings!$G$7,Settings!$C$7))</f>
        <v/>
      </c>
      <c r="N379" s="7">
        <f>IF($W379="","",SUMIFS('Per Line'!$O$2:$O$3001,'Per Line'!$B$2:$B$3001,$B379,'Per Line'!$AB$2:$AB$3001,0))</f>
        <v/>
      </c>
      <c r="O379" s="7">
        <f>IF($W379="","",N379*M379)</f>
        <v/>
      </c>
      <c r="P379">
        <f>IF($W379="","",IF(ISNUMBER(SEARCH("3&amp;12",SUBSTITUTE(F379," ",""))),Settings!$G$6,Settings!$C$6))</f>
        <v/>
      </c>
      <c r="Q379" s="7">
        <f>IF($W379="","",SUMIFS('Per Line'!$O$2:$O$3001,'Per Line'!$B$2:$B$3001,$B379,'Per Line'!$AB$2:$AB$3001,1))</f>
        <v/>
      </c>
      <c r="R379" s="7">
        <f>IF($W379="","",Q379*P379)</f>
        <v/>
      </c>
      <c r="S379" s="7">
        <f>IF($W379="","",R379+O379)</f>
        <v/>
      </c>
      <c r="T379" s="7">
        <f>IF($W379="","",V379-S379)</f>
        <v/>
      </c>
      <c r="U379" s="7">
        <f>IF($W379="","",V379-S379-K379)</f>
        <v/>
      </c>
      <c r="V379" s="7">
        <f>IF($W379="","",N379+Q379)</f>
        <v/>
      </c>
      <c r="W379" s="16">
        <f>IF(ROWS($W$2:$W379)&lt;=MAX('Per Line'!$AA$2:$AA$3001),MATCH(ROWS($W$2:$W379),'Per Line'!$AA$2:$AA$3001,0),"")</f>
        <v/>
      </c>
      <c r="X379">
        <f>IF($W379="","",D379&amp;"|"&amp;COUNTIF($D$2:$D379,D379))</f>
        <v/>
      </c>
    </row>
    <row r="380">
      <c r="A380" s="15" t="n"/>
      <c r="B380">
        <f>IF($W380="","",INDEX('Per Line'!$B$2:$B$3001,$W380)&amp;"")</f>
        <v/>
      </c>
      <c r="C380">
        <f>IF($W380="","",INDEX('Per Line'!$C$2:$C$3001,$W380)&amp;"")</f>
        <v/>
      </c>
      <c r="D380">
        <f>IF($W380="","",IF(OR(TRIM(E380)="Orient Insurance Company",TRIM(E380)="Allianz"),TRIM(E380),TRIM(F380)))</f>
        <v/>
      </c>
      <c r="E380">
        <f>IF($W380="","",INDEX('Per Line'!$E$2:$E$3001,$W380)&amp;"")</f>
        <v/>
      </c>
      <c r="F380">
        <f>IF($W380="","",INDEX('Per Line'!$D$2:$D$3001,$W380)&amp;"")</f>
        <v/>
      </c>
      <c r="G380">
        <f>IF($W380="","",INDEX('Per Line'!$F$2:$F$3001,$W380)&amp;"")</f>
        <v/>
      </c>
      <c r="H380">
        <f>IF($W380="","",INDEX('Per Line'!$G$2:$G$3001,$W380)&amp;"")</f>
        <v/>
      </c>
      <c r="I380">
        <f>IF($W380="","",INDEX('Per Line'!$H$2:$H$3001,$W380)&amp;"")</f>
        <v/>
      </c>
      <c r="J380">
        <f>IF($W380="","",INDEX('Per Line'!$I$2:$I$3001,$W380))</f>
        <v/>
      </c>
      <c r="K380" s="7">
        <f>IF($W380="","",J380*T380/100)</f>
        <v/>
      </c>
      <c r="L380" s="14">
        <f>IF($W380="","",INDEX('Per Line'!$V$2:$V$3001,$W380))</f>
        <v/>
      </c>
      <c r="M380">
        <f>IF($W380="","",IF(ISNUMBER(SEARCH("3&amp;12",SUBSTITUTE(F380," ",""))),Settings!$G$7,Settings!$C$7))</f>
        <v/>
      </c>
      <c r="N380" s="7">
        <f>IF($W380="","",SUMIFS('Per Line'!$O$2:$O$3001,'Per Line'!$B$2:$B$3001,$B380,'Per Line'!$AB$2:$AB$3001,0))</f>
        <v/>
      </c>
      <c r="O380" s="7">
        <f>IF($W380="","",N380*M380)</f>
        <v/>
      </c>
      <c r="P380">
        <f>IF($W380="","",IF(ISNUMBER(SEARCH("3&amp;12",SUBSTITUTE(F380," ",""))),Settings!$G$6,Settings!$C$6))</f>
        <v/>
      </c>
      <c r="Q380" s="7">
        <f>IF($W380="","",SUMIFS('Per Line'!$O$2:$O$3001,'Per Line'!$B$2:$B$3001,$B380,'Per Line'!$AB$2:$AB$3001,1))</f>
        <v/>
      </c>
      <c r="R380" s="7">
        <f>IF($W380="","",Q380*P380)</f>
        <v/>
      </c>
      <c r="S380" s="7">
        <f>IF($W380="","",R380+O380)</f>
        <v/>
      </c>
      <c r="T380" s="7">
        <f>IF($W380="","",V380-S380)</f>
        <v/>
      </c>
      <c r="U380" s="7">
        <f>IF($W380="","",V380-S380-K380)</f>
        <v/>
      </c>
      <c r="V380" s="7">
        <f>IF($W380="","",N380+Q380)</f>
        <v/>
      </c>
      <c r="W380" s="16">
        <f>IF(ROWS($W$2:$W380)&lt;=MAX('Per Line'!$AA$2:$AA$3001),MATCH(ROWS($W$2:$W380),'Per Line'!$AA$2:$AA$3001,0),"")</f>
        <v/>
      </c>
      <c r="X380">
        <f>IF($W380="","",D380&amp;"|"&amp;COUNTIF($D$2:$D380,D380))</f>
        <v/>
      </c>
    </row>
    <row r="381">
      <c r="A381" s="15" t="n"/>
      <c r="B381">
        <f>IF($W381="","",INDEX('Per Line'!$B$2:$B$3001,$W381)&amp;"")</f>
        <v/>
      </c>
      <c r="C381">
        <f>IF($W381="","",INDEX('Per Line'!$C$2:$C$3001,$W381)&amp;"")</f>
        <v/>
      </c>
      <c r="D381">
        <f>IF($W381="","",IF(OR(TRIM(E381)="Orient Insurance Company",TRIM(E381)="Allianz"),TRIM(E381),TRIM(F381)))</f>
        <v/>
      </c>
      <c r="E381">
        <f>IF($W381="","",INDEX('Per Line'!$E$2:$E$3001,$W381)&amp;"")</f>
        <v/>
      </c>
      <c r="F381">
        <f>IF($W381="","",INDEX('Per Line'!$D$2:$D$3001,$W381)&amp;"")</f>
        <v/>
      </c>
      <c r="G381">
        <f>IF($W381="","",INDEX('Per Line'!$F$2:$F$3001,$W381)&amp;"")</f>
        <v/>
      </c>
      <c r="H381">
        <f>IF($W381="","",INDEX('Per Line'!$G$2:$G$3001,$W381)&amp;"")</f>
        <v/>
      </c>
      <c r="I381">
        <f>IF($W381="","",INDEX('Per Line'!$H$2:$H$3001,$W381)&amp;"")</f>
        <v/>
      </c>
      <c r="J381">
        <f>IF($W381="","",INDEX('Per Line'!$I$2:$I$3001,$W381))</f>
        <v/>
      </c>
      <c r="K381" s="7">
        <f>IF($W381="","",J381*T381/100)</f>
        <v/>
      </c>
      <c r="L381" s="14">
        <f>IF($W381="","",INDEX('Per Line'!$V$2:$V$3001,$W381))</f>
        <v/>
      </c>
      <c r="M381">
        <f>IF($W381="","",IF(ISNUMBER(SEARCH("3&amp;12",SUBSTITUTE(F381," ",""))),Settings!$G$7,Settings!$C$7))</f>
        <v/>
      </c>
      <c r="N381" s="7">
        <f>IF($W381="","",SUMIFS('Per Line'!$O$2:$O$3001,'Per Line'!$B$2:$B$3001,$B381,'Per Line'!$AB$2:$AB$3001,0))</f>
        <v/>
      </c>
      <c r="O381" s="7">
        <f>IF($W381="","",N381*M381)</f>
        <v/>
      </c>
      <c r="P381">
        <f>IF($W381="","",IF(ISNUMBER(SEARCH("3&amp;12",SUBSTITUTE(F381," ",""))),Settings!$G$6,Settings!$C$6))</f>
        <v/>
      </c>
      <c r="Q381" s="7">
        <f>IF($W381="","",SUMIFS('Per Line'!$O$2:$O$3001,'Per Line'!$B$2:$B$3001,$B381,'Per Line'!$AB$2:$AB$3001,1))</f>
        <v/>
      </c>
      <c r="R381" s="7">
        <f>IF($W381="","",Q381*P381)</f>
        <v/>
      </c>
      <c r="S381" s="7">
        <f>IF($W381="","",R381+O381)</f>
        <v/>
      </c>
      <c r="T381" s="7">
        <f>IF($W381="","",V381-S381)</f>
        <v/>
      </c>
      <c r="U381" s="7">
        <f>IF($W381="","",V381-S381-K381)</f>
        <v/>
      </c>
      <c r="V381" s="7">
        <f>IF($W381="","",N381+Q381)</f>
        <v/>
      </c>
      <c r="W381" s="16">
        <f>IF(ROWS($W$2:$W381)&lt;=MAX('Per Line'!$AA$2:$AA$3001),MATCH(ROWS($W$2:$W381),'Per Line'!$AA$2:$AA$3001,0),"")</f>
        <v/>
      </c>
      <c r="X381">
        <f>IF($W381="","",D381&amp;"|"&amp;COUNTIF($D$2:$D381,D381))</f>
        <v/>
      </c>
    </row>
    <row r="382">
      <c r="A382" s="15" t="n"/>
      <c r="B382">
        <f>IF($W382="","",INDEX('Per Line'!$B$2:$B$3001,$W382)&amp;"")</f>
        <v/>
      </c>
      <c r="C382">
        <f>IF($W382="","",INDEX('Per Line'!$C$2:$C$3001,$W382)&amp;"")</f>
        <v/>
      </c>
      <c r="D382">
        <f>IF($W382="","",IF(OR(TRIM(E382)="Orient Insurance Company",TRIM(E382)="Allianz"),TRIM(E382),TRIM(F382)))</f>
        <v/>
      </c>
      <c r="E382">
        <f>IF($W382="","",INDEX('Per Line'!$E$2:$E$3001,$W382)&amp;"")</f>
        <v/>
      </c>
      <c r="F382">
        <f>IF($W382="","",INDEX('Per Line'!$D$2:$D$3001,$W382)&amp;"")</f>
        <v/>
      </c>
      <c r="G382">
        <f>IF($W382="","",INDEX('Per Line'!$F$2:$F$3001,$W382)&amp;"")</f>
        <v/>
      </c>
      <c r="H382">
        <f>IF($W382="","",INDEX('Per Line'!$G$2:$G$3001,$W382)&amp;"")</f>
        <v/>
      </c>
      <c r="I382">
        <f>IF($W382="","",INDEX('Per Line'!$H$2:$H$3001,$W382)&amp;"")</f>
        <v/>
      </c>
      <c r="J382">
        <f>IF($W382="","",INDEX('Per Line'!$I$2:$I$3001,$W382))</f>
        <v/>
      </c>
      <c r="K382" s="7">
        <f>IF($W382="","",J382*T382/100)</f>
        <v/>
      </c>
      <c r="L382" s="14">
        <f>IF($W382="","",INDEX('Per Line'!$V$2:$V$3001,$W382))</f>
        <v/>
      </c>
      <c r="M382">
        <f>IF($W382="","",IF(ISNUMBER(SEARCH("3&amp;12",SUBSTITUTE(F382," ",""))),Settings!$G$7,Settings!$C$7))</f>
        <v/>
      </c>
      <c r="N382" s="7">
        <f>IF($W382="","",SUMIFS('Per Line'!$O$2:$O$3001,'Per Line'!$B$2:$B$3001,$B382,'Per Line'!$AB$2:$AB$3001,0))</f>
        <v/>
      </c>
      <c r="O382" s="7">
        <f>IF($W382="","",N382*M382)</f>
        <v/>
      </c>
      <c r="P382">
        <f>IF($W382="","",IF(ISNUMBER(SEARCH("3&amp;12",SUBSTITUTE(F382," ",""))),Settings!$G$6,Settings!$C$6))</f>
        <v/>
      </c>
      <c r="Q382" s="7">
        <f>IF($W382="","",SUMIFS('Per Line'!$O$2:$O$3001,'Per Line'!$B$2:$B$3001,$B382,'Per Line'!$AB$2:$AB$3001,1))</f>
        <v/>
      </c>
      <c r="R382" s="7">
        <f>IF($W382="","",Q382*P382)</f>
        <v/>
      </c>
      <c r="S382" s="7">
        <f>IF($W382="","",R382+O382)</f>
        <v/>
      </c>
      <c r="T382" s="7">
        <f>IF($W382="","",V382-S382)</f>
        <v/>
      </c>
      <c r="U382" s="7">
        <f>IF($W382="","",V382-S382-K382)</f>
        <v/>
      </c>
      <c r="V382" s="7">
        <f>IF($W382="","",N382+Q382)</f>
        <v/>
      </c>
      <c r="W382" s="16">
        <f>IF(ROWS($W$2:$W382)&lt;=MAX('Per Line'!$AA$2:$AA$3001),MATCH(ROWS($W$2:$W382),'Per Line'!$AA$2:$AA$3001,0),"")</f>
        <v/>
      </c>
      <c r="X382">
        <f>IF($W382="","",D382&amp;"|"&amp;COUNTIF($D$2:$D382,D382))</f>
        <v/>
      </c>
    </row>
    <row r="383">
      <c r="A383" s="15" t="n"/>
      <c r="B383">
        <f>IF($W383="","",INDEX('Per Line'!$B$2:$B$3001,$W383)&amp;"")</f>
        <v/>
      </c>
      <c r="C383">
        <f>IF($W383="","",INDEX('Per Line'!$C$2:$C$3001,$W383)&amp;"")</f>
        <v/>
      </c>
      <c r="D383">
        <f>IF($W383="","",IF(OR(TRIM(E383)="Orient Insurance Company",TRIM(E383)="Allianz"),TRIM(E383),TRIM(F383)))</f>
        <v/>
      </c>
      <c r="E383">
        <f>IF($W383="","",INDEX('Per Line'!$E$2:$E$3001,$W383)&amp;"")</f>
        <v/>
      </c>
      <c r="F383">
        <f>IF($W383="","",INDEX('Per Line'!$D$2:$D$3001,$W383)&amp;"")</f>
        <v/>
      </c>
      <c r="G383">
        <f>IF($W383="","",INDEX('Per Line'!$F$2:$F$3001,$W383)&amp;"")</f>
        <v/>
      </c>
      <c r="H383">
        <f>IF($W383="","",INDEX('Per Line'!$G$2:$G$3001,$W383)&amp;"")</f>
        <v/>
      </c>
      <c r="I383">
        <f>IF($W383="","",INDEX('Per Line'!$H$2:$H$3001,$W383)&amp;"")</f>
        <v/>
      </c>
      <c r="J383">
        <f>IF($W383="","",INDEX('Per Line'!$I$2:$I$3001,$W383))</f>
        <v/>
      </c>
      <c r="K383" s="7">
        <f>IF($W383="","",J383*T383/100)</f>
        <v/>
      </c>
      <c r="L383" s="14">
        <f>IF($W383="","",INDEX('Per Line'!$V$2:$V$3001,$W383))</f>
        <v/>
      </c>
      <c r="M383">
        <f>IF($W383="","",IF(ISNUMBER(SEARCH("3&amp;12",SUBSTITUTE(F383," ",""))),Settings!$G$7,Settings!$C$7))</f>
        <v/>
      </c>
      <c r="N383" s="7">
        <f>IF($W383="","",SUMIFS('Per Line'!$O$2:$O$3001,'Per Line'!$B$2:$B$3001,$B383,'Per Line'!$AB$2:$AB$3001,0))</f>
        <v/>
      </c>
      <c r="O383" s="7">
        <f>IF($W383="","",N383*M383)</f>
        <v/>
      </c>
      <c r="P383">
        <f>IF($W383="","",IF(ISNUMBER(SEARCH("3&amp;12",SUBSTITUTE(F383," ",""))),Settings!$G$6,Settings!$C$6))</f>
        <v/>
      </c>
      <c r="Q383" s="7">
        <f>IF($W383="","",SUMIFS('Per Line'!$O$2:$O$3001,'Per Line'!$B$2:$B$3001,$B383,'Per Line'!$AB$2:$AB$3001,1))</f>
        <v/>
      </c>
      <c r="R383" s="7">
        <f>IF($W383="","",Q383*P383)</f>
        <v/>
      </c>
      <c r="S383" s="7">
        <f>IF($W383="","",R383+O383)</f>
        <v/>
      </c>
      <c r="T383" s="7">
        <f>IF($W383="","",V383-S383)</f>
        <v/>
      </c>
      <c r="U383" s="7">
        <f>IF($W383="","",V383-S383-K383)</f>
        <v/>
      </c>
      <c r="V383" s="7">
        <f>IF($W383="","",N383+Q383)</f>
        <v/>
      </c>
      <c r="W383" s="16">
        <f>IF(ROWS($W$2:$W383)&lt;=MAX('Per Line'!$AA$2:$AA$3001),MATCH(ROWS($W$2:$W383),'Per Line'!$AA$2:$AA$3001,0),"")</f>
        <v/>
      </c>
      <c r="X383">
        <f>IF($W383="","",D383&amp;"|"&amp;COUNTIF($D$2:$D383,D383))</f>
        <v/>
      </c>
    </row>
    <row r="384">
      <c r="A384" s="15" t="n"/>
      <c r="B384">
        <f>IF($W384="","",INDEX('Per Line'!$B$2:$B$3001,$W384)&amp;"")</f>
        <v/>
      </c>
      <c r="C384">
        <f>IF($W384="","",INDEX('Per Line'!$C$2:$C$3001,$W384)&amp;"")</f>
        <v/>
      </c>
      <c r="D384">
        <f>IF($W384="","",IF(OR(TRIM(E384)="Orient Insurance Company",TRIM(E384)="Allianz"),TRIM(E384),TRIM(F384)))</f>
        <v/>
      </c>
      <c r="E384">
        <f>IF($W384="","",INDEX('Per Line'!$E$2:$E$3001,$W384)&amp;"")</f>
        <v/>
      </c>
      <c r="F384">
        <f>IF($W384="","",INDEX('Per Line'!$D$2:$D$3001,$W384)&amp;"")</f>
        <v/>
      </c>
      <c r="G384">
        <f>IF($W384="","",INDEX('Per Line'!$F$2:$F$3001,$W384)&amp;"")</f>
        <v/>
      </c>
      <c r="H384">
        <f>IF($W384="","",INDEX('Per Line'!$G$2:$G$3001,$W384)&amp;"")</f>
        <v/>
      </c>
      <c r="I384">
        <f>IF($W384="","",INDEX('Per Line'!$H$2:$H$3001,$W384)&amp;"")</f>
        <v/>
      </c>
      <c r="J384">
        <f>IF($W384="","",INDEX('Per Line'!$I$2:$I$3001,$W384))</f>
        <v/>
      </c>
      <c r="K384" s="7">
        <f>IF($W384="","",J384*T384/100)</f>
        <v/>
      </c>
      <c r="L384" s="14">
        <f>IF($W384="","",INDEX('Per Line'!$V$2:$V$3001,$W384))</f>
        <v/>
      </c>
      <c r="M384">
        <f>IF($W384="","",IF(ISNUMBER(SEARCH("3&amp;12",SUBSTITUTE(F384," ",""))),Settings!$G$7,Settings!$C$7))</f>
        <v/>
      </c>
      <c r="N384" s="7">
        <f>IF($W384="","",SUMIFS('Per Line'!$O$2:$O$3001,'Per Line'!$B$2:$B$3001,$B384,'Per Line'!$AB$2:$AB$3001,0))</f>
        <v/>
      </c>
      <c r="O384" s="7">
        <f>IF($W384="","",N384*M384)</f>
        <v/>
      </c>
      <c r="P384">
        <f>IF($W384="","",IF(ISNUMBER(SEARCH("3&amp;12",SUBSTITUTE(F384," ",""))),Settings!$G$6,Settings!$C$6))</f>
        <v/>
      </c>
      <c r="Q384" s="7">
        <f>IF($W384="","",SUMIFS('Per Line'!$O$2:$O$3001,'Per Line'!$B$2:$B$3001,$B384,'Per Line'!$AB$2:$AB$3001,1))</f>
        <v/>
      </c>
      <c r="R384" s="7">
        <f>IF($W384="","",Q384*P384)</f>
        <v/>
      </c>
      <c r="S384" s="7">
        <f>IF($W384="","",R384+O384)</f>
        <v/>
      </c>
      <c r="T384" s="7">
        <f>IF($W384="","",V384-S384)</f>
        <v/>
      </c>
      <c r="U384" s="7">
        <f>IF($W384="","",V384-S384-K384)</f>
        <v/>
      </c>
      <c r="V384" s="7">
        <f>IF($W384="","",N384+Q384)</f>
        <v/>
      </c>
      <c r="W384" s="16">
        <f>IF(ROWS($W$2:$W384)&lt;=MAX('Per Line'!$AA$2:$AA$3001),MATCH(ROWS($W$2:$W384),'Per Line'!$AA$2:$AA$3001,0),"")</f>
        <v/>
      </c>
      <c r="X384">
        <f>IF($W384="","",D384&amp;"|"&amp;COUNTIF($D$2:$D384,D384))</f>
        <v/>
      </c>
    </row>
    <row r="385">
      <c r="A385" s="15" t="n"/>
      <c r="B385">
        <f>IF($W385="","",INDEX('Per Line'!$B$2:$B$3001,$W385)&amp;"")</f>
        <v/>
      </c>
      <c r="C385">
        <f>IF($W385="","",INDEX('Per Line'!$C$2:$C$3001,$W385)&amp;"")</f>
        <v/>
      </c>
      <c r="D385">
        <f>IF($W385="","",IF(OR(TRIM(E385)="Orient Insurance Company",TRIM(E385)="Allianz"),TRIM(E385),TRIM(F385)))</f>
        <v/>
      </c>
      <c r="E385">
        <f>IF($W385="","",INDEX('Per Line'!$E$2:$E$3001,$W385)&amp;"")</f>
        <v/>
      </c>
      <c r="F385">
        <f>IF($W385="","",INDEX('Per Line'!$D$2:$D$3001,$W385)&amp;"")</f>
        <v/>
      </c>
      <c r="G385">
        <f>IF($W385="","",INDEX('Per Line'!$F$2:$F$3001,$W385)&amp;"")</f>
        <v/>
      </c>
      <c r="H385">
        <f>IF($W385="","",INDEX('Per Line'!$G$2:$G$3001,$W385)&amp;"")</f>
        <v/>
      </c>
      <c r="I385">
        <f>IF($W385="","",INDEX('Per Line'!$H$2:$H$3001,$W385)&amp;"")</f>
        <v/>
      </c>
      <c r="J385">
        <f>IF($W385="","",INDEX('Per Line'!$I$2:$I$3001,$W385))</f>
        <v/>
      </c>
      <c r="K385" s="7">
        <f>IF($W385="","",J385*T385/100)</f>
        <v/>
      </c>
      <c r="L385" s="14">
        <f>IF($W385="","",INDEX('Per Line'!$V$2:$V$3001,$W385))</f>
        <v/>
      </c>
      <c r="M385">
        <f>IF($W385="","",IF(ISNUMBER(SEARCH("3&amp;12",SUBSTITUTE(F385," ",""))),Settings!$G$7,Settings!$C$7))</f>
        <v/>
      </c>
      <c r="N385" s="7">
        <f>IF($W385="","",SUMIFS('Per Line'!$O$2:$O$3001,'Per Line'!$B$2:$B$3001,$B385,'Per Line'!$AB$2:$AB$3001,0))</f>
        <v/>
      </c>
      <c r="O385" s="7">
        <f>IF($W385="","",N385*M385)</f>
        <v/>
      </c>
      <c r="P385">
        <f>IF($W385="","",IF(ISNUMBER(SEARCH("3&amp;12",SUBSTITUTE(F385," ",""))),Settings!$G$6,Settings!$C$6))</f>
        <v/>
      </c>
      <c r="Q385" s="7">
        <f>IF($W385="","",SUMIFS('Per Line'!$O$2:$O$3001,'Per Line'!$B$2:$B$3001,$B385,'Per Line'!$AB$2:$AB$3001,1))</f>
        <v/>
      </c>
      <c r="R385" s="7">
        <f>IF($W385="","",Q385*P385)</f>
        <v/>
      </c>
      <c r="S385" s="7">
        <f>IF($W385="","",R385+O385)</f>
        <v/>
      </c>
      <c r="T385" s="7">
        <f>IF($W385="","",V385-S385)</f>
        <v/>
      </c>
      <c r="U385" s="7">
        <f>IF($W385="","",V385-S385-K385)</f>
        <v/>
      </c>
      <c r="V385" s="7">
        <f>IF($W385="","",N385+Q385)</f>
        <v/>
      </c>
      <c r="W385" s="16">
        <f>IF(ROWS($W$2:$W385)&lt;=MAX('Per Line'!$AA$2:$AA$3001),MATCH(ROWS($W$2:$W385),'Per Line'!$AA$2:$AA$3001,0),"")</f>
        <v/>
      </c>
      <c r="X385">
        <f>IF($W385="","",D385&amp;"|"&amp;COUNTIF($D$2:$D385,D385))</f>
        <v/>
      </c>
    </row>
    <row r="386">
      <c r="A386" s="15" t="n"/>
      <c r="B386">
        <f>IF($W386="","",INDEX('Per Line'!$B$2:$B$3001,$W386)&amp;"")</f>
        <v/>
      </c>
      <c r="C386">
        <f>IF($W386="","",INDEX('Per Line'!$C$2:$C$3001,$W386)&amp;"")</f>
        <v/>
      </c>
      <c r="D386">
        <f>IF($W386="","",IF(OR(TRIM(E386)="Orient Insurance Company",TRIM(E386)="Allianz"),TRIM(E386),TRIM(F386)))</f>
        <v/>
      </c>
      <c r="E386">
        <f>IF($W386="","",INDEX('Per Line'!$E$2:$E$3001,$W386)&amp;"")</f>
        <v/>
      </c>
      <c r="F386">
        <f>IF($W386="","",INDEX('Per Line'!$D$2:$D$3001,$W386)&amp;"")</f>
        <v/>
      </c>
      <c r="G386">
        <f>IF($W386="","",INDEX('Per Line'!$F$2:$F$3001,$W386)&amp;"")</f>
        <v/>
      </c>
      <c r="H386">
        <f>IF($W386="","",INDEX('Per Line'!$G$2:$G$3001,$W386)&amp;"")</f>
        <v/>
      </c>
      <c r="I386">
        <f>IF($W386="","",INDEX('Per Line'!$H$2:$H$3001,$W386)&amp;"")</f>
        <v/>
      </c>
      <c r="J386">
        <f>IF($W386="","",INDEX('Per Line'!$I$2:$I$3001,$W386))</f>
        <v/>
      </c>
      <c r="K386" s="7">
        <f>IF($W386="","",J386*T386/100)</f>
        <v/>
      </c>
      <c r="L386" s="14">
        <f>IF($W386="","",INDEX('Per Line'!$V$2:$V$3001,$W386))</f>
        <v/>
      </c>
      <c r="M386">
        <f>IF($W386="","",IF(ISNUMBER(SEARCH("3&amp;12",SUBSTITUTE(F386," ",""))),Settings!$G$7,Settings!$C$7))</f>
        <v/>
      </c>
      <c r="N386" s="7">
        <f>IF($W386="","",SUMIFS('Per Line'!$O$2:$O$3001,'Per Line'!$B$2:$B$3001,$B386,'Per Line'!$AB$2:$AB$3001,0))</f>
        <v/>
      </c>
      <c r="O386" s="7">
        <f>IF($W386="","",N386*M386)</f>
        <v/>
      </c>
      <c r="P386">
        <f>IF($W386="","",IF(ISNUMBER(SEARCH("3&amp;12",SUBSTITUTE(F386," ",""))),Settings!$G$6,Settings!$C$6))</f>
        <v/>
      </c>
      <c r="Q386" s="7">
        <f>IF($W386="","",SUMIFS('Per Line'!$O$2:$O$3001,'Per Line'!$B$2:$B$3001,$B386,'Per Line'!$AB$2:$AB$3001,1))</f>
        <v/>
      </c>
      <c r="R386" s="7">
        <f>IF($W386="","",Q386*P386)</f>
        <v/>
      </c>
      <c r="S386" s="7">
        <f>IF($W386="","",R386+O386)</f>
        <v/>
      </c>
      <c r="T386" s="7">
        <f>IF($W386="","",V386-S386)</f>
        <v/>
      </c>
      <c r="U386" s="7">
        <f>IF($W386="","",V386-S386-K386)</f>
        <v/>
      </c>
      <c r="V386" s="7">
        <f>IF($W386="","",N386+Q386)</f>
        <v/>
      </c>
      <c r="W386" s="16">
        <f>IF(ROWS($W$2:$W386)&lt;=MAX('Per Line'!$AA$2:$AA$3001),MATCH(ROWS($W$2:$W386),'Per Line'!$AA$2:$AA$3001,0),"")</f>
        <v/>
      </c>
      <c r="X386">
        <f>IF($W386="","",D386&amp;"|"&amp;COUNTIF($D$2:$D386,D386))</f>
        <v/>
      </c>
    </row>
    <row r="387">
      <c r="A387" s="15" t="n"/>
      <c r="B387">
        <f>IF($W387="","",INDEX('Per Line'!$B$2:$B$3001,$W387)&amp;"")</f>
        <v/>
      </c>
      <c r="C387">
        <f>IF($W387="","",INDEX('Per Line'!$C$2:$C$3001,$W387)&amp;"")</f>
        <v/>
      </c>
      <c r="D387">
        <f>IF($W387="","",IF(OR(TRIM(E387)="Orient Insurance Company",TRIM(E387)="Allianz"),TRIM(E387),TRIM(F387)))</f>
        <v/>
      </c>
      <c r="E387">
        <f>IF($W387="","",INDEX('Per Line'!$E$2:$E$3001,$W387)&amp;"")</f>
        <v/>
      </c>
      <c r="F387">
        <f>IF($W387="","",INDEX('Per Line'!$D$2:$D$3001,$W387)&amp;"")</f>
        <v/>
      </c>
      <c r="G387">
        <f>IF($W387="","",INDEX('Per Line'!$F$2:$F$3001,$W387)&amp;"")</f>
        <v/>
      </c>
      <c r="H387">
        <f>IF($W387="","",INDEX('Per Line'!$G$2:$G$3001,$W387)&amp;"")</f>
        <v/>
      </c>
      <c r="I387">
        <f>IF($W387="","",INDEX('Per Line'!$H$2:$H$3001,$W387)&amp;"")</f>
        <v/>
      </c>
      <c r="J387">
        <f>IF($W387="","",INDEX('Per Line'!$I$2:$I$3001,$W387))</f>
        <v/>
      </c>
      <c r="K387" s="7">
        <f>IF($W387="","",J387*T387/100)</f>
        <v/>
      </c>
      <c r="L387" s="14">
        <f>IF($W387="","",INDEX('Per Line'!$V$2:$V$3001,$W387))</f>
        <v/>
      </c>
      <c r="M387">
        <f>IF($W387="","",IF(ISNUMBER(SEARCH("3&amp;12",SUBSTITUTE(F387," ",""))),Settings!$G$7,Settings!$C$7))</f>
        <v/>
      </c>
      <c r="N387" s="7">
        <f>IF($W387="","",SUMIFS('Per Line'!$O$2:$O$3001,'Per Line'!$B$2:$B$3001,$B387,'Per Line'!$AB$2:$AB$3001,0))</f>
        <v/>
      </c>
      <c r="O387" s="7">
        <f>IF($W387="","",N387*M387)</f>
        <v/>
      </c>
      <c r="P387">
        <f>IF($W387="","",IF(ISNUMBER(SEARCH("3&amp;12",SUBSTITUTE(F387," ",""))),Settings!$G$6,Settings!$C$6))</f>
        <v/>
      </c>
      <c r="Q387" s="7">
        <f>IF($W387="","",SUMIFS('Per Line'!$O$2:$O$3001,'Per Line'!$B$2:$B$3001,$B387,'Per Line'!$AB$2:$AB$3001,1))</f>
        <v/>
      </c>
      <c r="R387" s="7">
        <f>IF($W387="","",Q387*P387)</f>
        <v/>
      </c>
      <c r="S387" s="7">
        <f>IF($W387="","",R387+O387)</f>
        <v/>
      </c>
      <c r="T387" s="7">
        <f>IF($W387="","",V387-S387)</f>
        <v/>
      </c>
      <c r="U387" s="7">
        <f>IF($W387="","",V387-S387-K387)</f>
        <v/>
      </c>
      <c r="V387" s="7">
        <f>IF($W387="","",N387+Q387)</f>
        <v/>
      </c>
      <c r="W387" s="16">
        <f>IF(ROWS($W$2:$W387)&lt;=MAX('Per Line'!$AA$2:$AA$3001),MATCH(ROWS($W$2:$W387),'Per Line'!$AA$2:$AA$3001,0),"")</f>
        <v/>
      </c>
      <c r="X387">
        <f>IF($W387="","",D387&amp;"|"&amp;COUNTIF($D$2:$D387,D387))</f>
        <v/>
      </c>
    </row>
    <row r="388">
      <c r="A388" s="15" t="n"/>
      <c r="B388">
        <f>IF($W388="","",INDEX('Per Line'!$B$2:$B$3001,$W388)&amp;"")</f>
        <v/>
      </c>
      <c r="C388">
        <f>IF($W388="","",INDEX('Per Line'!$C$2:$C$3001,$W388)&amp;"")</f>
        <v/>
      </c>
      <c r="D388">
        <f>IF($W388="","",IF(OR(TRIM(E388)="Orient Insurance Company",TRIM(E388)="Allianz"),TRIM(E388),TRIM(F388)))</f>
        <v/>
      </c>
      <c r="E388">
        <f>IF($W388="","",INDEX('Per Line'!$E$2:$E$3001,$W388)&amp;"")</f>
        <v/>
      </c>
      <c r="F388">
        <f>IF($W388="","",INDEX('Per Line'!$D$2:$D$3001,$W388)&amp;"")</f>
        <v/>
      </c>
      <c r="G388">
        <f>IF($W388="","",INDEX('Per Line'!$F$2:$F$3001,$W388)&amp;"")</f>
        <v/>
      </c>
      <c r="H388">
        <f>IF($W388="","",INDEX('Per Line'!$G$2:$G$3001,$W388)&amp;"")</f>
        <v/>
      </c>
      <c r="I388">
        <f>IF($W388="","",INDEX('Per Line'!$H$2:$H$3001,$W388)&amp;"")</f>
        <v/>
      </c>
      <c r="J388">
        <f>IF($W388="","",INDEX('Per Line'!$I$2:$I$3001,$W388))</f>
        <v/>
      </c>
      <c r="K388" s="7">
        <f>IF($W388="","",J388*T388/100)</f>
        <v/>
      </c>
      <c r="L388" s="14">
        <f>IF($W388="","",INDEX('Per Line'!$V$2:$V$3001,$W388))</f>
        <v/>
      </c>
      <c r="M388">
        <f>IF($W388="","",IF(ISNUMBER(SEARCH("3&amp;12",SUBSTITUTE(F388," ",""))),Settings!$G$7,Settings!$C$7))</f>
        <v/>
      </c>
      <c r="N388" s="7">
        <f>IF($W388="","",SUMIFS('Per Line'!$O$2:$O$3001,'Per Line'!$B$2:$B$3001,$B388,'Per Line'!$AB$2:$AB$3001,0))</f>
        <v/>
      </c>
      <c r="O388" s="7">
        <f>IF($W388="","",N388*M388)</f>
        <v/>
      </c>
      <c r="P388">
        <f>IF($W388="","",IF(ISNUMBER(SEARCH("3&amp;12",SUBSTITUTE(F388," ",""))),Settings!$G$6,Settings!$C$6))</f>
        <v/>
      </c>
      <c r="Q388" s="7">
        <f>IF($W388="","",SUMIFS('Per Line'!$O$2:$O$3001,'Per Line'!$B$2:$B$3001,$B388,'Per Line'!$AB$2:$AB$3001,1))</f>
        <v/>
      </c>
      <c r="R388" s="7">
        <f>IF($W388="","",Q388*P388)</f>
        <v/>
      </c>
      <c r="S388" s="7">
        <f>IF($W388="","",R388+O388)</f>
        <v/>
      </c>
      <c r="T388" s="7">
        <f>IF($W388="","",V388-S388)</f>
        <v/>
      </c>
      <c r="U388" s="7">
        <f>IF($W388="","",V388-S388-K388)</f>
        <v/>
      </c>
      <c r="V388" s="7">
        <f>IF($W388="","",N388+Q388)</f>
        <v/>
      </c>
      <c r="W388" s="16">
        <f>IF(ROWS($W$2:$W388)&lt;=MAX('Per Line'!$AA$2:$AA$3001),MATCH(ROWS($W$2:$W388),'Per Line'!$AA$2:$AA$3001,0),"")</f>
        <v/>
      </c>
      <c r="X388">
        <f>IF($W388="","",D388&amp;"|"&amp;COUNTIF($D$2:$D388,D388))</f>
        <v/>
      </c>
    </row>
    <row r="389">
      <c r="A389" s="15" t="n"/>
      <c r="B389">
        <f>IF($W389="","",INDEX('Per Line'!$B$2:$B$3001,$W389)&amp;"")</f>
        <v/>
      </c>
      <c r="C389">
        <f>IF($W389="","",INDEX('Per Line'!$C$2:$C$3001,$W389)&amp;"")</f>
        <v/>
      </c>
      <c r="D389">
        <f>IF($W389="","",IF(OR(TRIM(E389)="Orient Insurance Company",TRIM(E389)="Allianz"),TRIM(E389),TRIM(F389)))</f>
        <v/>
      </c>
      <c r="E389">
        <f>IF($W389="","",INDEX('Per Line'!$E$2:$E$3001,$W389)&amp;"")</f>
        <v/>
      </c>
      <c r="F389">
        <f>IF($W389="","",INDEX('Per Line'!$D$2:$D$3001,$W389)&amp;"")</f>
        <v/>
      </c>
      <c r="G389">
        <f>IF($W389="","",INDEX('Per Line'!$F$2:$F$3001,$W389)&amp;"")</f>
        <v/>
      </c>
      <c r="H389">
        <f>IF($W389="","",INDEX('Per Line'!$G$2:$G$3001,$W389)&amp;"")</f>
        <v/>
      </c>
      <c r="I389">
        <f>IF($W389="","",INDEX('Per Line'!$H$2:$H$3001,$W389)&amp;"")</f>
        <v/>
      </c>
      <c r="J389">
        <f>IF($W389="","",INDEX('Per Line'!$I$2:$I$3001,$W389))</f>
        <v/>
      </c>
      <c r="K389" s="7">
        <f>IF($W389="","",J389*T389/100)</f>
        <v/>
      </c>
      <c r="L389" s="14">
        <f>IF($W389="","",INDEX('Per Line'!$V$2:$V$3001,$W389))</f>
        <v/>
      </c>
      <c r="M389">
        <f>IF($W389="","",IF(ISNUMBER(SEARCH("3&amp;12",SUBSTITUTE(F389," ",""))),Settings!$G$7,Settings!$C$7))</f>
        <v/>
      </c>
      <c r="N389" s="7">
        <f>IF($W389="","",SUMIFS('Per Line'!$O$2:$O$3001,'Per Line'!$B$2:$B$3001,$B389,'Per Line'!$AB$2:$AB$3001,0))</f>
        <v/>
      </c>
      <c r="O389" s="7">
        <f>IF($W389="","",N389*M389)</f>
        <v/>
      </c>
      <c r="P389">
        <f>IF($W389="","",IF(ISNUMBER(SEARCH("3&amp;12",SUBSTITUTE(F389," ",""))),Settings!$G$6,Settings!$C$6))</f>
        <v/>
      </c>
      <c r="Q389" s="7">
        <f>IF($W389="","",SUMIFS('Per Line'!$O$2:$O$3001,'Per Line'!$B$2:$B$3001,$B389,'Per Line'!$AB$2:$AB$3001,1))</f>
        <v/>
      </c>
      <c r="R389" s="7">
        <f>IF($W389="","",Q389*P389)</f>
        <v/>
      </c>
      <c r="S389" s="7">
        <f>IF($W389="","",R389+O389)</f>
        <v/>
      </c>
      <c r="T389" s="7">
        <f>IF($W389="","",V389-S389)</f>
        <v/>
      </c>
      <c r="U389" s="7">
        <f>IF($W389="","",V389-S389-K389)</f>
        <v/>
      </c>
      <c r="V389" s="7">
        <f>IF($W389="","",N389+Q389)</f>
        <v/>
      </c>
      <c r="W389" s="16">
        <f>IF(ROWS($W$2:$W389)&lt;=MAX('Per Line'!$AA$2:$AA$3001),MATCH(ROWS($W$2:$W389),'Per Line'!$AA$2:$AA$3001,0),"")</f>
        <v/>
      </c>
      <c r="X389">
        <f>IF($W389="","",D389&amp;"|"&amp;COUNTIF($D$2:$D389,D389))</f>
        <v/>
      </c>
    </row>
    <row r="390">
      <c r="A390" s="15" t="n"/>
      <c r="B390">
        <f>IF($W390="","",INDEX('Per Line'!$B$2:$B$3001,$W390)&amp;"")</f>
        <v/>
      </c>
      <c r="C390">
        <f>IF($W390="","",INDEX('Per Line'!$C$2:$C$3001,$W390)&amp;"")</f>
        <v/>
      </c>
      <c r="D390">
        <f>IF($W390="","",IF(OR(TRIM(E390)="Orient Insurance Company",TRIM(E390)="Allianz"),TRIM(E390),TRIM(F390)))</f>
        <v/>
      </c>
      <c r="E390">
        <f>IF($W390="","",INDEX('Per Line'!$E$2:$E$3001,$W390)&amp;"")</f>
        <v/>
      </c>
      <c r="F390">
        <f>IF($W390="","",INDEX('Per Line'!$D$2:$D$3001,$W390)&amp;"")</f>
        <v/>
      </c>
      <c r="G390">
        <f>IF($W390="","",INDEX('Per Line'!$F$2:$F$3001,$W390)&amp;"")</f>
        <v/>
      </c>
      <c r="H390">
        <f>IF($W390="","",INDEX('Per Line'!$G$2:$G$3001,$W390)&amp;"")</f>
        <v/>
      </c>
      <c r="I390">
        <f>IF($W390="","",INDEX('Per Line'!$H$2:$H$3001,$W390)&amp;"")</f>
        <v/>
      </c>
      <c r="J390">
        <f>IF($W390="","",INDEX('Per Line'!$I$2:$I$3001,$W390))</f>
        <v/>
      </c>
      <c r="K390" s="7">
        <f>IF($W390="","",J390*T390/100)</f>
        <v/>
      </c>
      <c r="L390" s="14">
        <f>IF($W390="","",INDEX('Per Line'!$V$2:$V$3001,$W390))</f>
        <v/>
      </c>
      <c r="M390">
        <f>IF($W390="","",IF(ISNUMBER(SEARCH("3&amp;12",SUBSTITUTE(F390," ",""))),Settings!$G$7,Settings!$C$7))</f>
        <v/>
      </c>
      <c r="N390" s="7">
        <f>IF($W390="","",SUMIFS('Per Line'!$O$2:$O$3001,'Per Line'!$B$2:$B$3001,$B390,'Per Line'!$AB$2:$AB$3001,0))</f>
        <v/>
      </c>
      <c r="O390" s="7">
        <f>IF($W390="","",N390*M390)</f>
        <v/>
      </c>
      <c r="P390">
        <f>IF($W390="","",IF(ISNUMBER(SEARCH("3&amp;12",SUBSTITUTE(F390," ",""))),Settings!$G$6,Settings!$C$6))</f>
        <v/>
      </c>
      <c r="Q390" s="7">
        <f>IF($W390="","",SUMIFS('Per Line'!$O$2:$O$3001,'Per Line'!$B$2:$B$3001,$B390,'Per Line'!$AB$2:$AB$3001,1))</f>
        <v/>
      </c>
      <c r="R390" s="7">
        <f>IF($W390="","",Q390*P390)</f>
        <v/>
      </c>
      <c r="S390" s="7">
        <f>IF($W390="","",R390+O390)</f>
        <v/>
      </c>
      <c r="T390" s="7">
        <f>IF($W390="","",V390-S390)</f>
        <v/>
      </c>
      <c r="U390" s="7">
        <f>IF($W390="","",V390-S390-K390)</f>
        <v/>
      </c>
      <c r="V390" s="7">
        <f>IF($W390="","",N390+Q390)</f>
        <v/>
      </c>
      <c r="W390" s="16">
        <f>IF(ROWS($W$2:$W390)&lt;=MAX('Per Line'!$AA$2:$AA$3001),MATCH(ROWS($W$2:$W390),'Per Line'!$AA$2:$AA$3001,0),"")</f>
        <v/>
      </c>
      <c r="X390">
        <f>IF($W390="","",D390&amp;"|"&amp;COUNTIF($D$2:$D390,D390))</f>
        <v/>
      </c>
    </row>
    <row r="391">
      <c r="A391" s="15" t="n"/>
      <c r="B391">
        <f>IF($W391="","",INDEX('Per Line'!$B$2:$B$3001,$W391)&amp;"")</f>
        <v/>
      </c>
      <c r="C391">
        <f>IF($W391="","",INDEX('Per Line'!$C$2:$C$3001,$W391)&amp;"")</f>
        <v/>
      </c>
      <c r="D391">
        <f>IF($W391="","",IF(OR(TRIM(E391)="Orient Insurance Company",TRIM(E391)="Allianz"),TRIM(E391),TRIM(F391)))</f>
        <v/>
      </c>
      <c r="E391">
        <f>IF($W391="","",INDEX('Per Line'!$E$2:$E$3001,$W391)&amp;"")</f>
        <v/>
      </c>
      <c r="F391">
        <f>IF($W391="","",INDEX('Per Line'!$D$2:$D$3001,$W391)&amp;"")</f>
        <v/>
      </c>
      <c r="G391">
        <f>IF($W391="","",INDEX('Per Line'!$F$2:$F$3001,$W391)&amp;"")</f>
        <v/>
      </c>
      <c r="H391">
        <f>IF($W391="","",INDEX('Per Line'!$G$2:$G$3001,$W391)&amp;"")</f>
        <v/>
      </c>
      <c r="I391">
        <f>IF($W391="","",INDEX('Per Line'!$H$2:$H$3001,$W391)&amp;"")</f>
        <v/>
      </c>
      <c r="J391">
        <f>IF($W391="","",INDEX('Per Line'!$I$2:$I$3001,$W391))</f>
        <v/>
      </c>
      <c r="K391" s="7">
        <f>IF($W391="","",J391*T391/100)</f>
        <v/>
      </c>
      <c r="L391" s="14">
        <f>IF($W391="","",INDEX('Per Line'!$V$2:$V$3001,$W391))</f>
        <v/>
      </c>
      <c r="M391">
        <f>IF($W391="","",IF(ISNUMBER(SEARCH("3&amp;12",SUBSTITUTE(F391," ",""))),Settings!$G$7,Settings!$C$7))</f>
        <v/>
      </c>
      <c r="N391" s="7">
        <f>IF($W391="","",SUMIFS('Per Line'!$O$2:$O$3001,'Per Line'!$B$2:$B$3001,$B391,'Per Line'!$AB$2:$AB$3001,0))</f>
        <v/>
      </c>
      <c r="O391" s="7">
        <f>IF($W391="","",N391*M391)</f>
        <v/>
      </c>
      <c r="P391">
        <f>IF($W391="","",IF(ISNUMBER(SEARCH("3&amp;12",SUBSTITUTE(F391," ",""))),Settings!$G$6,Settings!$C$6))</f>
        <v/>
      </c>
      <c r="Q391" s="7">
        <f>IF($W391="","",SUMIFS('Per Line'!$O$2:$O$3001,'Per Line'!$B$2:$B$3001,$B391,'Per Line'!$AB$2:$AB$3001,1))</f>
        <v/>
      </c>
      <c r="R391" s="7">
        <f>IF($W391="","",Q391*P391)</f>
        <v/>
      </c>
      <c r="S391" s="7">
        <f>IF($W391="","",R391+O391)</f>
        <v/>
      </c>
      <c r="T391" s="7">
        <f>IF($W391="","",V391-S391)</f>
        <v/>
      </c>
      <c r="U391" s="7">
        <f>IF($W391="","",V391-S391-K391)</f>
        <v/>
      </c>
      <c r="V391" s="7">
        <f>IF($W391="","",N391+Q391)</f>
        <v/>
      </c>
      <c r="W391" s="16">
        <f>IF(ROWS($W$2:$W391)&lt;=MAX('Per Line'!$AA$2:$AA$3001),MATCH(ROWS($W$2:$W391),'Per Line'!$AA$2:$AA$3001,0),"")</f>
        <v/>
      </c>
      <c r="X391">
        <f>IF($W391="","",D391&amp;"|"&amp;COUNTIF($D$2:$D391,D391))</f>
        <v/>
      </c>
    </row>
    <row r="392">
      <c r="A392" s="15" t="n"/>
      <c r="B392">
        <f>IF($W392="","",INDEX('Per Line'!$B$2:$B$3001,$W392)&amp;"")</f>
        <v/>
      </c>
      <c r="C392">
        <f>IF($W392="","",INDEX('Per Line'!$C$2:$C$3001,$W392)&amp;"")</f>
        <v/>
      </c>
      <c r="D392">
        <f>IF($W392="","",IF(OR(TRIM(E392)="Orient Insurance Company",TRIM(E392)="Allianz"),TRIM(E392),TRIM(F392)))</f>
        <v/>
      </c>
      <c r="E392">
        <f>IF($W392="","",INDEX('Per Line'!$E$2:$E$3001,$W392)&amp;"")</f>
        <v/>
      </c>
      <c r="F392">
        <f>IF($W392="","",INDEX('Per Line'!$D$2:$D$3001,$W392)&amp;"")</f>
        <v/>
      </c>
      <c r="G392">
        <f>IF($W392="","",INDEX('Per Line'!$F$2:$F$3001,$W392)&amp;"")</f>
        <v/>
      </c>
      <c r="H392">
        <f>IF($W392="","",INDEX('Per Line'!$G$2:$G$3001,$W392)&amp;"")</f>
        <v/>
      </c>
      <c r="I392">
        <f>IF($W392="","",INDEX('Per Line'!$H$2:$H$3001,$W392)&amp;"")</f>
        <v/>
      </c>
      <c r="J392">
        <f>IF($W392="","",INDEX('Per Line'!$I$2:$I$3001,$W392))</f>
        <v/>
      </c>
      <c r="K392" s="7">
        <f>IF($W392="","",J392*T392/100)</f>
        <v/>
      </c>
      <c r="L392" s="14">
        <f>IF($W392="","",INDEX('Per Line'!$V$2:$V$3001,$W392))</f>
        <v/>
      </c>
      <c r="M392">
        <f>IF($W392="","",IF(ISNUMBER(SEARCH("3&amp;12",SUBSTITUTE(F392," ",""))),Settings!$G$7,Settings!$C$7))</f>
        <v/>
      </c>
      <c r="N392" s="7">
        <f>IF($W392="","",SUMIFS('Per Line'!$O$2:$O$3001,'Per Line'!$B$2:$B$3001,$B392,'Per Line'!$AB$2:$AB$3001,0))</f>
        <v/>
      </c>
      <c r="O392" s="7">
        <f>IF($W392="","",N392*M392)</f>
        <v/>
      </c>
      <c r="P392">
        <f>IF($W392="","",IF(ISNUMBER(SEARCH("3&amp;12",SUBSTITUTE(F392," ",""))),Settings!$G$6,Settings!$C$6))</f>
        <v/>
      </c>
      <c r="Q392" s="7">
        <f>IF($W392="","",SUMIFS('Per Line'!$O$2:$O$3001,'Per Line'!$B$2:$B$3001,$B392,'Per Line'!$AB$2:$AB$3001,1))</f>
        <v/>
      </c>
      <c r="R392" s="7">
        <f>IF($W392="","",Q392*P392)</f>
        <v/>
      </c>
      <c r="S392" s="7">
        <f>IF($W392="","",R392+O392)</f>
        <v/>
      </c>
      <c r="T392" s="7">
        <f>IF($W392="","",V392-S392)</f>
        <v/>
      </c>
      <c r="U392" s="7">
        <f>IF($W392="","",V392-S392-K392)</f>
        <v/>
      </c>
      <c r="V392" s="7">
        <f>IF($W392="","",N392+Q392)</f>
        <v/>
      </c>
      <c r="W392" s="16">
        <f>IF(ROWS($W$2:$W392)&lt;=MAX('Per Line'!$AA$2:$AA$3001),MATCH(ROWS($W$2:$W392),'Per Line'!$AA$2:$AA$3001,0),"")</f>
        <v/>
      </c>
      <c r="X392">
        <f>IF($W392="","",D392&amp;"|"&amp;COUNTIF($D$2:$D392,D392))</f>
        <v/>
      </c>
    </row>
    <row r="393">
      <c r="A393" s="15" t="n"/>
      <c r="B393">
        <f>IF($W393="","",INDEX('Per Line'!$B$2:$B$3001,$W393)&amp;"")</f>
        <v/>
      </c>
      <c r="C393">
        <f>IF($W393="","",INDEX('Per Line'!$C$2:$C$3001,$W393)&amp;"")</f>
        <v/>
      </c>
      <c r="D393">
        <f>IF($W393="","",IF(OR(TRIM(E393)="Orient Insurance Company",TRIM(E393)="Allianz"),TRIM(E393),TRIM(F393)))</f>
        <v/>
      </c>
      <c r="E393">
        <f>IF($W393="","",INDEX('Per Line'!$E$2:$E$3001,$W393)&amp;"")</f>
        <v/>
      </c>
      <c r="F393">
        <f>IF($W393="","",INDEX('Per Line'!$D$2:$D$3001,$W393)&amp;"")</f>
        <v/>
      </c>
      <c r="G393">
        <f>IF($W393="","",INDEX('Per Line'!$F$2:$F$3001,$W393)&amp;"")</f>
        <v/>
      </c>
      <c r="H393">
        <f>IF($W393="","",INDEX('Per Line'!$G$2:$G$3001,$W393)&amp;"")</f>
        <v/>
      </c>
      <c r="I393">
        <f>IF($W393="","",INDEX('Per Line'!$H$2:$H$3001,$W393)&amp;"")</f>
        <v/>
      </c>
      <c r="J393">
        <f>IF($W393="","",INDEX('Per Line'!$I$2:$I$3001,$W393))</f>
        <v/>
      </c>
      <c r="K393" s="7">
        <f>IF($W393="","",J393*T393/100)</f>
        <v/>
      </c>
      <c r="L393" s="14">
        <f>IF($W393="","",INDEX('Per Line'!$V$2:$V$3001,$W393))</f>
        <v/>
      </c>
      <c r="M393">
        <f>IF($W393="","",IF(ISNUMBER(SEARCH("3&amp;12",SUBSTITUTE(F393," ",""))),Settings!$G$7,Settings!$C$7))</f>
        <v/>
      </c>
      <c r="N393" s="7">
        <f>IF($W393="","",SUMIFS('Per Line'!$O$2:$O$3001,'Per Line'!$B$2:$B$3001,$B393,'Per Line'!$AB$2:$AB$3001,0))</f>
        <v/>
      </c>
      <c r="O393" s="7">
        <f>IF($W393="","",N393*M393)</f>
        <v/>
      </c>
      <c r="P393">
        <f>IF($W393="","",IF(ISNUMBER(SEARCH("3&amp;12",SUBSTITUTE(F393," ",""))),Settings!$G$6,Settings!$C$6))</f>
        <v/>
      </c>
      <c r="Q393" s="7">
        <f>IF($W393="","",SUMIFS('Per Line'!$O$2:$O$3001,'Per Line'!$B$2:$B$3001,$B393,'Per Line'!$AB$2:$AB$3001,1))</f>
        <v/>
      </c>
      <c r="R393" s="7">
        <f>IF($W393="","",Q393*P393)</f>
        <v/>
      </c>
      <c r="S393" s="7">
        <f>IF($W393="","",R393+O393)</f>
        <v/>
      </c>
      <c r="T393" s="7">
        <f>IF($W393="","",V393-S393)</f>
        <v/>
      </c>
      <c r="U393" s="7">
        <f>IF($W393="","",V393-S393-K393)</f>
        <v/>
      </c>
      <c r="V393" s="7">
        <f>IF($W393="","",N393+Q393)</f>
        <v/>
      </c>
      <c r="W393" s="16">
        <f>IF(ROWS($W$2:$W393)&lt;=MAX('Per Line'!$AA$2:$AA$3001),MATCH(ROWS($W$2:$W393),'Per Line'!$AA$2:$AA$3001,0),"")</f>
        <v/>
      </c>
      <c r="X393">
        <f>IF($W393="","",D393&amp;"|"&amp;COUNTIF($D$2:$D393,D393))</f>
        <v/>
      </c>
    </row>
    <row r="394">
      <c r="A394" s="15" t="n"/>
      <c r="B394">
        <f>IF($W394="","",INDEX('Per Line'!$B$2:$B$3001,$W394)&amp;"")</f>
        <v/>
      </c>
      <c r="C394">
        <f>IF($W394="","",INDEX('Per Line'!$C$2:$C$3001,$W394)&amp;"")</f>
        <v/>
      </c>
      <c r="D394">
        <f>IF($W394="","",IF(OR(TRIM(E394)="Orient Insurance Company",TRIM(E394)="Allianz"),TRIM(E394),TRIM(F394)))</f>
        <v/>
      </c>
      <c r="E394">
        <f>IF($W394="","",INDEX('Per Line'!$E$2:$E$3001,$W394)&amp;"")</f>
        <v/>
      </c>
      <c r="F394">
        <f>IF($W394="","",INDEX('Per Line'!$D$2:$D$3001,$W394)&amp;"")</f>
        <v/>
      </c>
      <c r="G394">
        <f>IF($W394="","",INDEX('Per Line'!$F$2:$F$3001,$W394)&amp;"")</f>
        <v/>
      </c>
      <c r="H394">
        <f>IF($W394="","",INDEX('Per Line'!$G$2:$G$3001,$W394)&amp;"")</f>
        <v/>
      </c>
      <c r="I394">
        <f>IF($W394="","",INDEX('Per Line'!$H$2:$H$3001,$W394)&amp;"")</f>
        <v/>
      </c>
      <c r="J394">
        <f>IF($W394="","",INDEX('Per Line'!$I$2:$I$3001,$W394))</f>
        <v/>
      </c>
      <c r="K394" s="7">
        <f>IF($W394="","",J394*T394/100)</f>
        <v/>
      </c>
      <c r="L394" s="14">
        <f>IF($W394="","",INDEX('Per Line'!$V$2:$V$3001,$W394))</f>
        <v/>
      </c>
      <c r="M394">
        <f>IF($W394="","",IF(ISNUMBER(SEARCH("3&amp;12",SUBSTITUTE(F394," ",""))),Settings!$G$7,Settings!$C$7))</f>
        <v/>
      </c>
      <c r="N394" s="7">
        <f>IF($W394="","",SUMIFS('Per Line'!$O$2:$O$3001,'Per Line'!$B$2:$B$3001,$B394,'Per Line'!$AB$2:$AB$3001,0))</f>
        <v/>
      </c>
      <c r="O394" s="7">
        <f>IF($W394="","",N394*M394)</f>
        <v/>
      </c>
      <c r="P394">
        <f>IF($W394="","",IF(ISNUMBER(SEARCH("3&amp;12",SUBSTITUTE(F394," ",""))),Settings!$G$6,Settings!$C$6))</f>
        <v/>
      </c>
      <c r="Q394" s="7">
        <f>IF($W394="","",SUMIFS('Per Line'!$O$2:$O$3001,'Per Line'!$B$2:$B$3001,$B394,'Per Line'!$AB$2:$AB$3001,1))</f>
        <v/>
      </c>
      <c r="R394" s="7">
        <f>IF($W394="","",Q394*P394)</f>
        <v/>
      </c>
      <c r="S394" s="7">
        <f>IF($W394="","",R394+O394)</f>
        <v/>
      </c>
      <c r="T394" s="7">
        <f>IF($W394="","",V394-S394)</f>
        <v/>
      </c>
      <c r="U394" s="7">
        <f>IF($W394="","",V394-S394-K394)</f>
        <v/>
      </c>
      <c r="V394" s="7">
        <f>IF($W394="","",N394+Q394)</f>
        <v/>
      </c>
      <c r="W394" s="16">
        <f>IF(ROWS($W$2:$W394)&lt;=MAX('Per Line'!$AA$2:$AA$3001),MATCH(ROWS($W$2:$W394),'Per Line'!$AA$2:$AA$3001,0),"")</f>
        <v/>
      </c>
      <c r="X394">
        <f>IF($W394="","",D394&amp;"|"&amp;COUNTIF($D$2:$D394,D394))</f>
        <v/>
      </c>
    </row>
    <row r="395">
      <c r="A395" s="15" t="n"/>
      <c r="B395">
        <f>IF($W395="","",INDEX('Per Line'!$B$2:$B$3001,$W395)&amp;"")</f>
        <v/>
      </c>
      <c r="C395">
        <f>IF($W395="","",INDEX('Per Line'!$C$2:$C$3001,$W395)&amp;"")</f>
        <v/>
      </c>
      <c r="D395">
        <f>IF($W395="","",IF(OR(TRIM(E395)="Orient Insurance Company",TRIM(E395)="Allianz"),TRIM(E395),TRIM(F395)))</f>
        <v/>
      </c>
      <c r="E395">
        <f>IF($W395="","",INDEX('Per Line'!$E$2:$E$3001,$W395)&amp;"")</f>
        <v/>
      </c>
      <c r="F395">
        <f>IF($W395="","",INDEX('Per Line'!$D$2:$D$3001,$W395)&amp;"")</f>
        <v/>
      </c>
      <c r="G395">
        <f>IF($W395="","",INDEX('Per Line'!$F$2:$F$3001,$W395)&amp;"")</f>
        <v/>
      </c>
      <c r="H395">
        <f>IF($W395="","",INDEX('Per Line'!$G$2:$G$3001,$W395)&amp;"")</f>
        <v/>
      </c>
      <c r="I395">
        <f>IF($W395="","",INDEX('Per Line'!$H$2:$H$3001,$W395)&amp;"")</f>
        <v/>
      </c>
      <c r="J395">
        <f>IF($W395="","",INDEX('Per Line'!$I$2:$I$3001,$W395))</f>
        <v/>
      </c>
      <c r="K395" s="7">
        <f>IF($W395="","",J395*T395/100)</f>
        <v/>
      </c>
      <c r="L395" s="14">
        <f>IF($W395="","",INDEX('Per Line'!$V$2:$V$3001,$W395))</f>
        <v/>
      </c>
      <c r="M395">
        <f>IF($W395="","",IF(ISNUMBER(SEARCH("3&amp;12",SUBSTITUTE(F395," ",""))),Settings!$G$7,Settings!$C$7))</f>
        <v/>
      </c>
      <c r="N395" s="7">
        <f>IF($W395="","",SUMIFS('Per Line'!$O$2:$O$3001,'Per Line'!$B$2:$B$3001,$B395,'Per Line'!$AB$2:$AB$3001,0))</f>
        <v/>
      </c>
      <c r="O395" s="7">
        <f>IF($W395="","",N395*M395)</f>
        <v/>
      </c>
      <c r="P395">
        <f>IF($W395="","",IF(ISNUMBER(SEARCH("3&amp;12",SUBSTITUTE(F395," ",""))),Settings!$G$6,Settings!$C$6))</f>
        <v/>
      </c>
      <c r="Q395" s="7">
        <f>IF($W395="","",SUMIFS('Per Line'!$O$2:$O$3001,'Per Line'!$B$2:$B$3001,$B395,'Per Line'!$AB$2:$AB$3001,1))</f>
        <v/>
      </c>
      <c r="R395" s="7">
        <f>IF($W395="","",Q395*P395)</f>
        <v/>
      </c>
      <c r="S395" s="7">
        <f>IF($W395="","",R395+O395)</f>
        <v/>
      </c>
      <c r="T395" s="7">
        <f>IF($W395="","",V395-S395)</f>
        <v/>
      </c>
      <c r="U395" s="7">
        <f>IF($W395="","",V395-S395-K395)</f>
        <v/>
      </c>
      <c r="V395" s="7">
        <f>IF($W395="","",N395+Q395)</f>
        <v/>
      </c>
      <c r="W395" s="16">
        <f>IF(ROWS($W$2:$W395)&lt;=MAX('Per Line'!$AA$2:$AA$3001),MATCH(ROWS($W$2:$W395),'Per Line'!$AA$2:$AA$3001,0),"")</f>
        <v/>
      </c>
      <c r="X395">
        <f>IF($W395="","",D395&amp;"|"&amp;COUNTIF($D$2:$D395,D395))</f>
        <v/>
      </c>
    </row>
    <row r="396">
      <c r="A396" s="15" t="n"/>
      <c r="B396">
        <f>IF($W396="","",INDEX('Per Line'!$B$2:$B$3001,$W396)&amp;"")</f>
        <v/>
      </c>
      <c r="C396">
        <f>IF($W396="","",INDEX('Per Line'!$C$2:$C$3001,$W396)&amp;"")</f>
        <v/>
      </c>
      <c r="D396">
        <f>IF($W396="","",IF(OR(TRIM(E396)="Orient Insurance Company",TRIM(E396)="Allianz"),TRIM(E396),TRIM(F396)))</f>
        <v/>
      </c>
      <c r="E396">
        <f>IF($W396="","",INDEX('Per Line'!$E$2:$E$3001,$W396)&amp;"")</f>
        <v/>
      </c>
      <c r="F396">
        <f>IF($W396="","",INDEX('Per Line'!$D$2:$D$3001,$W396)&amp;"")</f>
        <v/>
      </c>
      <c r="G396">
        <f>IF($W396="","",INDEX('Per Line'!$F$2:$F$3001,$W396)&amp;"")</f>
        <v/>
      </c>
      <c r="H396">
        <f>IF($W396="","",INDEX('Per Line'!$G$2:$G$3001,$W396)&amp;"")</f>
        <v/>
      </c>
      <c r="I396">
        <f>IF($W396="","",INDEX('Per Line'!$H$2:$H$3001,$W396)&amp;"")</f>
        <v/>
      </c>
      <c r="J396">
        <f>IF($W396="","",INDEX('Per Line'!$I$2:$I$3001,$W396))</f>
        <v/>
      </c>
      <c r="K396" s="7">
        <f>IF($W396="","",J396*T396/100)</f>
        <v/>
      </c>
      <c r="L396" s="14">
        <f>IF($W396="","",INDEX('Per Line'!$V$2:$V$3001,$W396))</f>
        <v/>
      </c>
      <c r="M396">
        <f>IF($W396="","",IF(ISNUMBER(SEARCH("3&amp;12",SUBSTITUTE(F396," ",""))),Settings!$G$7,Settings!$C$7))</f>
        <v/>
      </c>
      <c r="N396" s="7">
        <f>IF($W396="","",SUMIFS('Per Line'!$O$2:$O$3001,'Per Line'!$B$2:$B$3001,$B396,'Per Line'!$AB$2:$AB$3001,0))</f>
        <v/>
      </c>
      <c r="O396" s="7">
        <f>IF($W396="","",N396*M396)</f>
        <v/>
      </c>
      <c r="P396">
        <f>IF($W396="","",IF(ISNUMBER(SEARCH("3&amp;12",SUBSTITUTE(F396," ",""))),Settings!$G$6,Settings!$C$6))</f>
        <v/>
      </c>
      <c r="Q396" s="7">
        <f>IF($W396="","",SUMIFS('Per Line'!$O$2:$O$3001,'Per Line'!$B$2:$B$3001,$B396,'Per Line'!$AB$2:$AB$3001,1))</f>
        <v/>
      </c>
      <c r="R396" s="7">
        <f>IF($W396="","",Q396*P396)</f>
        <v/>
      </c>
      <c r="S396" s="7">
        <f>IF($W396="","",R396+O396)</f>
        <v/>
      </c>
      <c r="T396" s="7">
        <f>IF($W396="","",V396-S396)</f>
        <v/>
      </c>
      <c r="U396" s="7">
        <f>IF($W396="","",V396-S396-K396)</f>
        <v/>
      </c>
      <c r="V396" s="7">
        <f>IF($W396="","",N396+Q396)</f>
        <v/>
      </c>
      <c r="W396" s="16">
        <f>IF(ROWS($W$2:$W396)&lt;=MAX('Per Line'!$AA$2:$AA$3001),MATCH(ROWS($W$2:$W396),'Per Line'!$AA$2:$AA$3001,0),"")</f>
        <v/>
      </c>
      <c r="X396">
        <f>IF($W396="","",D396&amp;"|"&amp;COUNTIF($D$2:$D396,D396))</f>
        <v/>
      </c>
    </row>
    <row r="397">
      <c r="A397" s="15" t="n"/>
      <c r="B397">
        <f>IF($W397="","",INDEX('Per Line'!$B$2:$B$3001,$W397)&amp;"")</f>
        <v/>
      </c>
      <c r="C397">
        <f>IF($W397="","",INDEX('Per Line'!$C$2:$C$3001,$W397)&amp;"")</f>
        <v/>
      </c>
      <c r="D397">
        <f>IF($W397="","",IF(OR(TRIM(E397)="Orient Insurance Company",TRIM(E397)="Allianz"),TRIM(E397),TRIM(F397)))</f>
        <v/>
      </c>
      <c r="E397">
        <f>IF($W397="","",INDEX('Per Line'!$E$2:$E$3001,$W397)&amp;"")</f>
        <v/>
      </c>
      <c r="F397">
        <f>IF($W397="","",INDEX('Per Line'!$D$2:$D$3001,$W397)&amp;"")</f>
        <v/>
      </c>
      <c r="G397">
        <f>IF($W397="","",INDEX('Per Line'!$F$2:$F$3001,$W397)&amp;"")</f>
        <v/>
      </c>
      <c r="H397">
        <f>IF($W397="","",INDEX('Per Line'!$G$2:$G$3001,$W397)&amp;"")</f>
        <v/>
      </c>
      <c r="I397">
        <f>IF($W397="","",INDEX('Per Line'!$H$2:$H$3001,$W397)&amp;"")</f>
        <v/>
      </c>
      <c r="J397">
        <f>IF($W397="","",INDEX('Per Line'!$I$2:$I$3001,$W397))</f>
        <v/>
      </c>
      <c r="K397" s="7">
        <f>IF($W397="","",J397*T397/100)</f>
        <v/>
      </c>
      <c r="L397" s="14">
        <f>IF($W397="","",INDEX('Per Line'!$V$2:$V$3001,$W397))</f>
        <v/>
      </c>
      <c r="M397">
        <f>IF($W397="","",IF(ISNUMBER(SEARCH("3&amp;12",SUBSTITUTE(F397," ",""))),Settings!$G$7,Settings!$C$7))</f>
        <v/>
      </c>
      <c r="N397" s="7">
        <f>IF($W397="","",SUMIFS('Per Line'!$O$2:$O$3001,'Per Line'!$B$2:$B$3001,$B397,'Per Line'!$AB$2:$AB$3001,0))</f>
        <v/>
      </c>
      <c r="O397" s="7">
        <f>IF($W397="","",N397*M397)</f>
        <v/>
      </c>
      <c r="P397">
        <f>IF($W397="","",IF(ISNUMBER(SEARCH("3&amp;12",SUBSTITUTE(F397," ",""))),Settings!$G$6,Settings!$C$6))</f>
        <v/>
      </c>
      <c r="Q397" s="7">
        <f>IF($W397="","",SUMIFS('Per Line'!$O$2:$O$3001,'Per Line'!$B$2:$B$3001,$B397,'Per Line'!$AB$2:$AB$3001,1))</f>
        <v/>
      </c>
      <c r="R397" s="7">
        <f>IF($W397="","",Q397*P397)</f>
        <v/>
      </c>
      <c r="S397" s="7">
        <f>IF($W397="","",R397+O397)</f>
        <v/>
      </c>
      <c r="T397" s="7">
        <f>IF($W397="","",V397-S397)</f>
        <v/>
      </c>
      <c r="U397" s="7">
        <f>IF($W397="","",V397-S397-K397)</f>
        <v/>
      </c>
      <c r="V397" s="7">
        <f>IF($W397="","",N397+Q397)</f>
        <v/>
      </c>
      <c r="W397" s="16">
        <f>IF(ROWS($W$2:$W397)&lt;=MAX('Per Line'!$AA$2:$AA$3001),MATCH(ROWS($W$2:$W397),'Per Line'!$AA$2:$AA$3001,0),"")</f>
        <v/>
      </c>
      <c r="X397">
        <f>IF($W397="","",D397&amp;"|"&amp;COUNTIF($D$2:$D397,D397))</f>
        <v/>
      </c>
    </row>
    <row r="398">
      <c r="A398" s="15" t="n"/>
      <c r="B398">
        <f>IF($W398="","",INDEX('Per Line'!$B$2:$B$3001,$W398)&amp;"")</f>
        <v/>
      </c>
      <c r="C398">
        <f>IF($W398="","",INDEX('Per Line'!$C$2:$C$3001,$W398)&amp;"")</f>
        <v/>
      </c>
      <c r="D398">
        <f>IF($W398="","",IF(OR(TRIM(E398)="Orient Insurance Company",TRIM(E398)="Allianz"),TRIM(E398),TRIM(F398)))</f>
        <v/>
      </c>
      <c r="E398">
        <f>IF($W398="","",INDEX('Per Line'!$E$2:$E$3001,$W398)&amp;"")</f>
        <v/>
      </c>
      <c r="F398">
        <f>IF($W398="","",INDEX('Per Line'!$D$2:$D$3001,$W398)&amp;"")</f>
        <v/>
      </c>
      <c r="G398">
        <f>IF($W398="","",INDEX('Per Line'!$F$2:$F$3001,$W398)&amp;"")</f>
        <v/>
      </c>
      <c r="H398">
        <f>IF($W398="","",INDEX('Per Line'!$G$2:$G$3001,$W398)&amp;"")</f>
        <v/>
      </c>
      <c r="I398">
        <f>IF($W398="","",INDEX('Per Line'!$H$2:$H$3001,$W398)&amp;"")</f>
        <v/>
      </c>
      <c r="J398">
        <f>IF($W398="","",INDEX('Per Line'!$I$2:$I$3001,$W398))</f>
        <v/>
      </c>
      <c r="K398" s="7">
        <f>IF($W398="","",J398*T398/100)</f>
        <v/>
      </c>
      <c r="L398" s="14">
        <f>IF($W398="","",INDEX('Per Line'!$V$2:$V$3001,$W398))</f>
        <v/>
      </c>
      <c r="M398">
        <f>IF($W398="","",IF(ISNUMBER(SEARCH("3&amp;12",SUBSTITUTE(F398," ",""))),Settings!$G$7,Settings!$C$7))</f>
        <v/>
      </c>
      <c r="N398" s="7">
        <f>IF($W398="","",SUMIFS('Per Line'!$O$2:$O$3001,'Per Line'!$B$2:$B$3001,$B398,'Per Line'!$AB$2:$AB$3001,0))</f>
        <v/>
      </c>
      <c r="O398" s="7">
        <f>IF($W398="","",N398*M398)</f>
        <v/>
      </c>
      <c r="P398">
        <f>IF($W398="","",IF(ISNUMBER(SEARCH("3&amp;12",SUBSTITUTE(F398," ",""))),Settings!$G$6,Settings!$C$6))</f>
        <v/>
      </c>
      <c r="Q398" s="7">
        <f>IF($W398="","",SUMIFS('Per Line'!$O$2:$O$3001,'Per Line'!$B$2:$B$3001,$B398,'Per Line'!$AB$2:$AB$3001,1))</f>
        <v/>
      </c>
      <c r="R398" s="7">
        <f>IF($W398="","",Q398*P398)</f>
        <v/>
      </c>
      <c r="S398" s="7">
        <f>IF($W398="","",R398+O398)</f>
        <v/>
      </c>
      <c r="T398" s="7">
        <f>IF($W398="","",V398-S398)</f>
        <v/>
      </c>
      <c r="U398" s="7">
        <f>IF($W398="","",V398-S398-K398)</f>
        <v/>
      </c>
      <c r="V398" s="7">
        <f>IF($W398="","",N398+Q398)</f>
        <v/>
      </c>
      <c r="W398" s="16">
        <f>IF(ROWS($W$2:$W398)&lt;=MAX('Per Line'!$AA$2:$AA$3001),MATCH(ROWS($W$2:$W398),'Per Line'!$AA$2:$AA$3001,0),"")</f>
        <v/>
      </c>
      <c r="X398">
        <f>IF($W398="","",D398&amp;"|"&amp;COUNTIF($D$2:$D398,D398))</f>
        <v/>
      </c>
    </row>
    <row r="399">
      <c r="A399" s="15" t="n"/>
      <c r="B399">
        <f>IF($W399="","",INDEX('Per Line'!$B$2:$B$3001,$W399)&amp;"")</f>
        <v/>
      </c>
      <c r="C399">
        <f>IF($W399="","",INDEX('Per Line'!$C$2:$C$3001,$W399)&amp;"")</f>
        <v/>
      </c>
      <c r="D399">
        <f>IF($W399="","",IF(OR(TRIM(E399)="Orient Insurance Company",TRIM(E399)="Allianz"),TRIM(E399),TRIM(F399)))</f>
        <v/>
      </c>
      <c r="E399">
        <f>IF($W399="","",INDEX('Per Line'!$E$2:$E$3001,$W399)&amp;"")</f>
        <v/>
      </c>
      <c r="F399">
        <f>IF($W399="","",INDEX('Per Line'!$D$2:$D$3001,$W399)&amp;"")</f>
        <v/>
      </c>
      <c r="G399">
        <f>IF($W399="","",INDEX('Per Line'!$F$2:$F$3001,$W399)&amp;"")</f>
        <v/>
      </c>
      <c r="H399">
        <f>IF($W399="","",INDEX('Per Line'!$G$2:$G$3001,$W399)&amp;"")</f>
        <v/>
      </c>
      <c r="I399">
        <f>IF($W399="","",INDEX('Per Line'!$H$2:$H$3001,$W399)&amp;"")</f>
        <v/>
      </c>
      <c r="J399">
        <f>IF($W399="","",INDEX('Per Line'!$I$2:$I$3001,$W399))</f>
        <v/>
      </c>
      <c r="K399" s="7">
        <f>IF($W399="","",J399*T399/100)</f>
        <v/>
      </c>
      <c r="L399" s="14">
        <f>IF($W399="","",INDEX('Per Line'!$V$2:$V$3001,$W399))</f>
        <v/>
      </c>
      <c r="M399">
        <f>IF($W399="","",IF(ISNUMBER(SEARCH("3&amp;12",SUBSTITUTE(F399," ",""))),Settings!$G$7,Settings!$C$7))</f>
        <v/>
      </c>
      <c r="N399" s="7">
        <f>IF($W399="","",SUMIFS('Per Line'!$O$2:$O$3001,'Per Line'!$B$2:$B$3001,$B399,'Per Line'!$AB$2:$AB$3001,0))</f>
        <v/>
      </c>
      <c r="O399" s="7">
        <f>IF($W399="","",N399*M399)</f>
        <v/>
      </c>
      <c r="P399">
        <f>IF($W399="","",IF(ISNUMBER(SEARCH("3&amp;12",SUBSTITUTE(F399," ",""))),Settings!$G$6,Settings!$C$6))</f>
        <v/>
      </c>
      <c r="Q399" s="7">
        <f>IF($W399="","",SUMIFS('Per Line'!$O$2:$O$3001,'Per Line'!$B$2:$B$3001,$B399,'Per Line'!$AB$2:$AB$3001,1))</f>
        <v/>
      </c>
      <c r="R399" s="7">
        <f>IF($W399="","",Q399*P399)</f>
        <v/>
      </c>
      <c r="S399" s="7">
        <f>IF($W399="","",R399+O399)</f>
        <v/>
      </c>
      <c r="T399" s="7">
        <f>IF($W399="","",V399-S399)</f>
        <v/>
      </c>
      <c r="U399" s="7">
        <f>IF($W399="","",V399-S399-K399)</f>
        <v/>
      </c>
      <c r="V399" s="7">
        <f>IF($W399="","",N399+Q399)</f>
        <v/>
      </c>
      <c r="W399" s="16">
        <f>IF(ROWS($W$2:$W399)&lt;=MAX('Per Line'!$AA$2:$AA$3001),MATCH(ROWS($W$2:$W399),'Per Line'!$AA$2:$AA$3001,0),"")</f>
        <v/>
      </c>
      <c r="X399">
        <f>IF($W399="","",D399&amp;"|"&amp;COUNTIF($D$2:$D399,D399))</f>
        <v/>
      </c>
    </row>
    <row r="400">
      <c r="A400" s="15" t="n"/>
      <c r="B400">
        <f>IF($W400="","",INDEX('Per Line'!$B$2:$B$3001,$W400)&amp;"")</f>
        <v/>
      </c>
      <c r="C400">
        <f>IF($W400="","",INDEX('Per Line'!$C$2:$C$3001,$W400)&amp;"")</f>
        <v/>
      </c>
      <c r="D400">
        <f>IF($W400="","",IF(OR(TRIM(E400)="Orient Insurance Company",TRIM(E400)="Allianz"),TRIM(E400),TRIM(F400)))</f>
        <v/>
      </c>
      <c r="E400">
        <f>IF($W400="","",INDEX('Per Line'!$E$2:$E$3001,$W400)&amp;"")</f>
        <v/>
      </c>
      <c r="F400">
        <f>IF($W400="","",INDEX('Per Line'!$D$2:$D$3001,$W400)&amp;"")</f>
        <v/>
      </c>
      <c r="G400">
        <f>IF($W400="","",INDEX('Per Line'!$F$2:$F$3001,$W400)&amp;"")</f>
        <v/>
      </c>
      <c r="H400">
        <f>IF($W400="","",INDEX('Per Line'!$G$2:$G$3001,$W400)&amp;"")</f>
        <v/>
      </c>
      <c r="I400">
        <f>IF($W400="","",INDEX('Per Line'!$H$2:$H$3001,$W400)&amp;"")</f>
        <v/>
      </c>
      <c r="J400">
        <f>IF($W400="","",INDEX('Per Line'!$I$2:$I$3001,$W400))</f>
        <v/>
      </c>
      <c r="K400" s="7">
        <f>IF($W400="","",J400*T400/100)</f>
        <v/>
      </c>
      <c r="L400" s="14">
        <f>IF($W400="","",INDEX('Per Line'!$V$2:$V$3001,$W400))</f>
        <v/>
      </c>
      <c r="M400">
        <f>IF($W400="","",IF(ISNUMBER(SEARCH("3&amp;12",SUBSTITUTE(F400," ",""))),Settings!$G$7,Settings!$C$7))</f>
        <v/>
      </c>
      <c r="N400" s="7">
        <f>IF($W400="","",SUMIFS('Per Line'!$O$2:$O$3001,'Per Line'!$B$2:$B$3001,$B400,'Per Line'!$AB$2:$AB$3001,0))</f>
        <v/>
      </c>
      <c r="O400" s="7">
        <f>IF($W400="","",N400*M400)</f>
        <v/>
      </c>
      <c r="P400">
        <f>IF($W400="","",IF(ISNUMBER(SEARCH("3&amp;12",SUBSTITUTE(F400," ",""))),Settings!$G$6,Settings!$C$6))</f>
        <v/>
      </c>
      <c r="Q400" s="7">
        <f>IF($W400="","",SUMIFS('Per Line'!$O$2:$O$3001,'Per Line'!$B$2:$B$3001,$B400,'Per Line'!$AB$2:$AB$3001,1))</f>
        <v/>
      </c>
      <c r="R400" s="7">
        <f>IF($W400="","",Q400*P400)</f>
        <v/>
      </c>
      <c r="S400" s="7">
        <f>IF($W400="","",R400+O400)</f>
        <v/>
      </c>
      <c r="T400" s="7">
        <f>IF($W400="","",V400-S400)</f>
        <v/>
      </c>
      <c r="U400" s="7">
        <f>IF($W400="","",V400-S400-K400)</f>
        <v/>
      </c>
      <c r="V400" s="7">
        <f>IF($W400="","",N400+Q400)</f>
        <v/>
      </c>
      <c r="W400" s="16">
        <f>IF(ROWS($W$2:$W400)&lt;=MAX('Per Line'!$AA$2:$AA$3001),MATCH(ROWS($W$2:$W400),'Per Line'!$AA$2:$AA$3001,0),"")</f>
        <v/>
      </c>
      <c r="X400">
        <f>IF($W400="","",D400&amp;"|"&amp;COUNTIF($D$2:$D400,D400))</f>
        <v/>
      </c>
    </row>
    <row r="401">
      <c r="A401" s="15" t="n"/>
      <c r="B401">
        <f>IF($W401="","",INDEX('Per Line'!$B$2:$B$3001,$W401)&amp;"")</f>
        <v/>
      </c>
      <c r="C401">
        <f>IF($W401="","",INDEX('Per Line'!$C$2:$C$3001,$W401)&amp;"")</f>
        <v/>
      </c>
      <c r="D401">
        <f>IF($W401="","",IF(OR(TRIM(E401)="Orient Insurance Company",TRIM(E401)="Allianz"),TRIM(E401),TRIM(F401)))</f>
        <v/>
      </c>
      <c r="E401">
        <f>IF($W401="","",INDEX('Per Line'!$E$2:$E$3001,$W401)&amp;"")</f>
        <v/>
      </c>
      <c r="F401">
        <f>IF($W401="","",INDEX('Per Line'!$D$2:$D$3001,$W401)&amp;"")</f>
        <v/>
      </c>
      <c r="G401">
        <f>IF($W401="","",INDEX('Per Line'!$F$2:$F$3001,$W401)&amp;"")</f>
        <v/>
      </c>
      <c r="H401">
        <f>IF($W401="","",INDEX('Per Line'!$G$2:$G$3001,$W401)&amp;"")</f>
        <v/>
      </c>
      <c r="I401">
        <f>IF($W401="","",INDEX('Per Line'!$H$2:$H$3001,$W401)&amp;"")</f>
        <v/>
      </c>
      <c r="J401">
        <f>IF($W401="","",INDEX('Per Line'!$I$2:$I$3001,$W401))</f>
        <v/>
      </c>
      <c r="K401" s="7">
        <f>IF($W401="","",J401*T401/100)</f>
        <v/>
      </c>
      <c r="L401" s="14">
        <f>IF($W401="","",INDEX('Per Line'!$V$2:$V$3001,$W401))</f>
        <v/>
      </c>
      <c r="M401">
        <f>IF($W401="","",IF(ISNUMBER(SEARCH("3&amp;12",SUBSTITUTE(F401," ",""))),Settings!$G$7,Settings!$C$7))</f>
        <v/>
      </c>
      <c r="N401" s="7">
        <f>IF($W401="","",SUMIFS('Per Line'!$O$2:$O$3001,'Per Line'!$B$2:$B$3001,$B401,'Per Line'!$AB$2:$AB$3001,0))</f>
        <v/>
      </c>
      <c r="O401" s="7">
        <f>IF($W401="","",N401*M401)</f>
        <v/>
      </c>
      <c r="P401">
        <f>IF($W401="","",IF(ISNUMBER(SEARCH("3&amp;12",SUBSTITUTE(F401," ",""))),Settings!$G$6,Settings!$C$6))</f>
        <v/>
      </c>
      <c r="Q401" s="7">
        <f>IF($W401="","",SUMIFS('Per Line'!$O$2:$O$3001,'Per Line'!$B$2:$B$3001,$B401,'Per Line'!$AB$2:$AB$3001,1))</f>
        <v/>
      </c>
      <c r="R401" s="7">
        <f>IF($W401="","",Q401*P401)</f>
        <v/>
      </c>
      <c r="S401" s="7">
        <f>IF($W401="","",R401+O401)</f>
        <v/>
      </c>
      <c r="T401" s="7">
        <f>IF($W401="","",V401-S401)</f>
        <v/>
      </c>
      <c r="U401" s="7">
        <f>IF($W401="","",V401-S401-K401)</f>
        <v/>
      </c>
      <c r="V401" s="7">
        <f>IF($W401="","",N401+Q401)</f>
        <v/>
      </c>
      <c r="W401" s="16">
        <f>IF(ROWS($W$2:$W401)&lt;=MAX('Per Line'!$AA$2:$AA$3001),MATCH(ROWS($W$2:$W401),'Per Line'!$AA$2:$AA$3001,0),"")</f>
        <v/>
      </c>
      <c r="X401">
        <f>IF($W401="","",D401&amp;"|"&amp;COUNTIF($D$2:$D401,D401))</f>
        <v/>
      </c>
    </row>
    <row r="402">
      <c r="A402" s="15" t="n"/>
      <c r="B402">
        <f>IF($W402="","",INDEX('Per Line'!$B$2:$B$3001,$W402)&amp;"")</f>
        <v/>
      </c>
      <c r="C402">
        <f>IF($W402="","",INDEX('Per Line'!$C$2:$C$3001,$W402)&amp;"")</f>
        <v/>
      </c>
      <c r="D402">
        <f>IF($W402="","",IF(OR(TRIM(E402)="Orient Insurance Company",TRIM(E402)="Allianz"),TRIM(E402),TRIM(F402)))</f>
        <v/>
      </c>
      <c r="E402">
        <f>IF($W402="","",INDEX('Per Line'!$E$2:$E$3001,$W402)&amp;"")</f>
        <v/>
      </c>
      <c r="F402">
        <f>IF($W402="","",INDEX('Per Line'!$D$2:$D$3001,$W402)&amp;"")</f>
        <v/>
      </c>
      <c r="G402">
        <f>IF($W402="","",INDEX('Per Line'!$F$2:$F$3001,$W402)&amp;"")</f>
        <v/>
      </c>
      <c r="H402">
        <f>IF($W402="","",INDEX('Per Line'!$G$2:$G$3001,$W402)&amp;"")</f>
        <v/>
      </c>
      <c r="I402">
        <f>IF($W402="","",INDEX('Per Line'!$H$2:$H$3001,$W402)&amp;"")</f>
        <v/>
      </c>
      <c r="J402">
        <f>IF($W402="","",INDEX('Per Line'!$I$2:$I$3001,$W402))</f>
        <v/>
      </c>
      <c r="K402" s="7">
        <f>IF($W402="","",J402*T402/100)</f>
        <v/>
      </c>
      <c r="L402" s="14">
        <f>IF($W402="","",INDEX('Per Line'!$V$2:$V$3001,$W402))</f>
        <v/>
      </c>
      <c r="M402">
        <f>IF($W402="","",IF(ISNUMBER(SEARCH("3&amp;12",SUBSTITUTE(F402," ",""))),Settings!$G$7,Settings!$C$7))</f>
        <v/>
      </c>
      <c r="N402" s="7">
        <f>IF($W402="","",SUMIFS('Per Line'!$O$2:$O$3001,'Per Line'!$B$2:$B$3001,$B402,'Per Line'!$AB$2:$AB$3001,0))</f>
        <v/>
      </c>
      <c r="O402" s="7">
        <f>IF($W402="","",N402*M402)</f>
        <v/>
      </c>
      <c r="P402">
        <f>IF($W402="","",IF(ISNUMBER(SEARCH("3&amp;12",SUBSTITUTE(F402," ",""))),Settings!$G$6,Settings!$C$6))</f>
        <v/>
      </c>
      <c r="Q402" s="7">
        <f>IF($W402="","",SUMIFS('Per Line'!$O$2:$O$3001,'Per Line'!$B$2:$B$3001,$B402,'Per Line'!$AB$2:$AB$3001,1))</f>
        <v/>
      </c>
      <c r="R402" s="7">
        <f>IF($W402="","",Q402*P402)</f>
        <v/>
      </c>
      <c r="S402" s="7">
        <f>IF($W402="","",R402+O402)</f>
        <v/>
      </c>
      <c r="T402" s="7">
        <f>IF($W402="","",V402-S402)</f>
        <v/>
      </c>
      <c r="U402" s="7">
        <f>IF($W402="","",V402-S402-K402)</f>
        <v/>
      </c>
      <c r="V402" s="7">
        <f>IF($W402="","",N402+Q402)</f>
        <v/>
      </c>
      <c r="W402" s="16">
        <f>IF(ROWS($W$2:$W402)&lt;=MAX('Per Line'!$AA$2:$AA$3001),MATCH(ROWS($W$2:$W402),'Per Line'!$AA$2:$AA$3001,0),"")</f>
        <v/>
      </c>
      <c r="X402">
        <f>IF($W402="","",D402&amp;"|"&amp;COUNTIF($D$2:$D402,D402))</f>
        <v/>
      </c>
    </row>
    <row r="403">
      <c r="A403" s="15" t="n"/>
      <c r="B403">
        <f>IF($W403="","",INDEX('Per Line'!$B$2:$B$3001,$W403)&amp;"")</f>
        <v/>
      </c>
      <c r="C403">
        <f>IF($W403="","",INDEX('Per Line'!$C$2:$C$3001,$W403)&amp;"")</f>
        <v/>
      </c>
      <c r="D403">
        <f>IF($W403="","",IF(OR(TRIM(E403)="Orient Insurance Company",TRIM(E403)="Allianz"),TRIM(E403),TRIM(F403)))</f>
        <v/>
      </c>
      <c r="E403">
        <f>IF($W403="","",INDEX('Per Line'!$E$2:$E$3001,$W403)&amp;"")</f>
        <v/>
      </c>
      <c r="F403">
        <f>IF($W403="","",INDEX('Per Line'!$D$2:$D$3001,$W403)&amp;"")</f>
        <v/>
      </c>
      <c r="G403">
        <f>IF($W403="","",INDEX('Per Line'!$F$2:$F$3001,$W403)&amp;"")</f>
        <v/>
      </c>
      <c r="H403">
        <f>IF($W403="","",INDEX('Per Line'!$G$2:$G$3001,$W403)&amp;"")</f>
        <v/>
      </c>
      <c r="I403">
        <f>IF($W403="","",INDEX('Per Line'!$H$2:$H$3001,$W403)&amp;"")</f>
        <v/>
      </c>
      <c r="J403">
        <f>IF($W403="","",INDEX('Per Line'!$I$2:$I$3001,$W403))</f>
        <v/>
      </c>
      <c r="K403" s="7">
        <f>IF($W403="","",J403*T403/100)</f>
        <v/>
      </c>
      <c r="L403" s="14">
        <f>IF($W403="","",INDEX('Per Line'!$V$2:$V$3001,$W403))</f>
        <v/>
      </c>
      <c r="M403">
        <f>IF($W403="","",IF(ISNUMBER(SEARCH("3&amp;12",SUBSTITUTE(F403," ",""))),Settings!$G$7,Settings!$C$7))</f>
        <v/>
      </c>
      <c r="N403" s="7">
        <f>IF($W403="","",SUMIFS('Per Line'!$O$2:$O$3001,'Per Line'!$B$2:$B$3001,$B403,'Per Line'!$AB$2:$AB$3001,0))</f>
        <v/>
      </c>
      <c r="O403" s="7">
        <f>IF($W403="","",N403*M403)</f>
        <v/>
      </c>
      <c r="P403">
        <f>IF($W403="","",IF(ISNUMBER(SEARCH("3&amp;12",SUBSTITUTE(F403," ",""))),Settings!$G$6,Settings!$C$6))</f>
        <v/>
      </c>
      <c r="Q403" s="7">
        <f>IF($W403="","",SUMIFS('Per Line'!$O$2:$O$3001,'Per Line'!$B$2:$B$3001,$B403,'Per Line'!$AB$2:$AB$3001,1))</f>
        <v/>
      </c>
      <c r="R403" s="7">
        <f>IF($W403="","",Q403*P403)</f>
        <v/>
      </c>
      <c r="S403" s="7">
        <f>IF($W403="","",R403+O403)</f>
        <v/>
      </c>
      <c r="T403" s="7">
        <f>IF($W403="","",V403-S403)</f>
        <v/>
      </c>
      <c r="U403" s="7">
        <f>IF($W403="","",V403-S403-K403)</f>
        <v/>
      </c>
      <c r="V403" s="7">
        <f>IF($W403="","",N403+Q403)</f>
        <v/>
      </c>
      <c r="W403" s="16">
        <f>IF(ROWS($W$2:$W403)&lt;=MAX('Per Line'!$AA$2:$AA$3001),MATCH(ROWS($W$2:$W403),'Per Line'!$AA$2:$AA$3001,0),"")</f>
        <v/>
      </c>
      <c r="X403">
        <f>IF($W403="","",D403&amp;"|"&amp;COUNTIF($D$2:$D403,D403))</f>
        <v/>
      </c>
    </row>
    <row r="404">
      <c r="A404" s="15" t="n"/>
      <c r="B404">
        <f>IF($W404="","",INDEX('Per Line'!$B$2:$B$3001,$W404)&amp;"")</f>
        <v/>
      </c>
      <c r="C404">
        <f>IF($W404="","",INDEX('Per Line'!$C$2:$C$3001,$W404)&amp;"")</f>
        <v/>
      </c>
      <c r="D404">
        <f>IF($W404="","",IF(OR(TRIM(E404)="Orient Insurance Company",TRIM(E404)="Allianz"),TRIM(E404),TRIM(F404)))</f>
        <v/>
      </c>
      <c r="E404">
        <f>IF($W404="","",INDEX('Per Line'!$E$2:$E$3001,$W404)&amp;"")</f>
        <v/>
      </c>
      <c r="F404">
        <f>IF($W404="","",INDEX('Per Line'!$D$2:$D$3001,$W404)&amp;"")</f>
        <v/>
      </c>
      <c r="G404">
        <f>IF($W404="","",INDEX('Per Line'!$F$2:$F$3001,$W404)&amp;"")</f>
        <v/>
      </c>
      <c r="H404">
        <f>IF($W404="","",INDEX('Per Line'!$G$2:$G$3001,$W404)&amp;"")</f>
        <v/>
      </c>
      <c r="I404">
        <f>IF($W404="","",INDEX('Per Line'!$H$2:$H$3001,$W404)&amp;"")</f>
        <v/>
      </c>
      <c r="J404">
        <f>IF($W404="","",INDEX('Per Line'!$I$2:$I$3001,$W404))</f>
        <v/>
      </c>
      <c r="K404" s="7">
        <f>IF($W404="","",J404*T404/100)</f>
        <v/>
      </c>
      <c r="L404" s="14">
        <f>IF($W404="","",INDEX('Per Line'!$V$2:$V$3001,$W404))</f>
        <v/>
      </c>
      <c r="M404">
        <f>IF($W404="","",IF(ISNUMBER(SEARCH("3&amp;12",SUBSTITUTE(F404," ",""))),Settings!$G$7,Settings!$C$7))</f>
        <v/>
      </c>
      <c r="N404" s="7">
        <f>IF($W404="","",SUMIFS('Per Line'!$O$2:$O$3001,'Per Line'!$B$2:$B$3001,$B404,'Per Line'!$AB$2:$AB$3001,0))</f>
        <v/>
      </c>
      <c r="O404" s="7">
        <f>IF($W404="","",N404*M404)</f>
        <v/>
      </c>
      <c r="P404">
        <f>IF($W404="","",IF(ISNUMBER(SEARCH("3&amp;12",SUBSTITUTE(F404," ",""))),Settings!$G$6,Settings!$C$6))</f>
        <v/>
      </c>
      <c r="Q404" s="7">
        <f>IF($W404="","",SUMIFS('Per Line'!$O$2:$O$3001,'Per Line'!$B$2:$B$3001,$B404,'Per Line'!$AB$2:$AB$3001,1))</f>
        <v/>
      </c>
      <c r="R404" s="7">
        <f>IF($W404="","",Q404*P404)</f>
        <v/>
      </c>
      <c r="S404" s="7">
        <f>IF($W404="","",R404+O404)</f>
        <v/>
      </c>
      <c r="T404" s="7">
        <f>IF($W404="","",V404-S404)</f>
        <v/>
      </c>
      <c r="U404" s="7">
        <f>IF($W404="","",V404-S404-K404)</f>
        <v/>
      </c>
      <c r="V404" s="7">
        <f>IF($W404="","",N404+Q404)</f>
        <v/>
      </c>
      <c r="W404" s="16">
        <f>IF(ROWS($W$2:$W404)&lt;=MAX('Per Line'!$AA$2:$AA$3001),MATCH(ROWS($W$2:$W404),'Per Line'!$AA$2:$AA$3001,0),"")</f>
        <v/>
      </c>
      <c r="X404">
        <f>IF($W404="","",D404&amp;"|"&amp;COUNTIF($D$2:$D404,D404))</f>
        <v/>
      </c>
    </row>
    <row r="405">
      <c r="A405" s="15" t="n"/>
      <c r="B405">
        <f>IF($W405="","",INDEX('Per Line'!$B$2:$B$3001,$W405)&amp;"")</f>
        <v/>
      </c>
      <c r="C405">
        <f>IF($W405="","",INDEX('Per Line'!$C$2:$C$3001,$W405)&amp;"")</f>
        <v/>
      </c>
      <c r="D405">
        <f>IF($W405="","",IF(OR(TRIM(E405)="Orient Insurance Company",TRIM(E405)="Allianz"),TRIM(E405),TRIM(F405)))</f>
        <v/>
      </c>
      <c r="E405">
        <f>IF($W405="","",INDEX('Per Line'!$E$2:$E$3001,$W405)&amp;"")</f>
        <v/>
      </c>
      <c r="F405">
        <f>IF($W405="","",INDEX('Per Line'!$D$2:$D$3001,$W405)&amp;"")</f>
        <v/>
      </c>
      <c r="G405">
        <f>IF($W405="","",INDEX('Per Line'!$F$2:$F$3001,$W405)&amp;"")</f>
        <v/>
      </c>
      <c r="H405">
        <f>IF($W405="","",INDEX('Per Line'!$G$2:$G$3001,$W405)&amp;"")</f>
        <v/>
      </c>
      <c r="I405">
        <f>IF($W405="","",INDEX('Per Line'!$H$2:$H$3001,$W405)&amp;"")</f>
        <v/>
      </c>
      <c r="J405">
        <f>IF($W405="","",INDEX('Per Line'!$I$2:$I$3001,$W405))</f>
        <v/>
      </c>
      <c r="K405" s="7">
        <f>IF($W405="","",J405*T405/100)</f>
        <v/>
      </c>
      <c r="L405" s="14">
        <f>IF($W405="","",INDEX('Per Line'!$V$2:$V$3001,$W405))</f>
        <v/>
      </c>
      <c r="M405">
        <f>IF($W405="","",IF(ISNUMBER(SEARCH("3&amp;12",SUBSTITUTE(F405," ",""))),Settings!$G$7,Settings!$C$7))</f>
        <v/>
      </c>
      <c r="N405" s="7">
        <f>IF($W405="","",SUMIFS('Per Line'!$O$2:$O$3001,'Per Line'!$B$2:$B$3001,$B405,'Per Line'!$AB$2:$AB$3001,0))</f>
        <v/>
      </c>
      <c r="O405" s="7">
        <f>IF($W405="","",N405*M405)</f>
        <v/>
      </c>
      <c r="P405">
        <f>IF($W405="","",IF(ISNUMBER(SEARCH("3&amp;12",SUBSTITUTE(F405," ",""))),Settings!$G$6,Settings!$C$6))</f>
        <v/>
      </c>
      <c r="Q405" s="7">
        <f>IF($W405="","",SUMIFS('Per Line'!$O$2:$O$3001,'Per Line'!$B$2:$B$3001,$B405,'Per Line'!$AB$2:$AB$3001,1))</f>
        <v/>
      </c>
      <c r="R405" s="7">
        <f>IF($W405="","",Q405*P405)</f>
        <v/>
      </c>
      <c r="S405" s="7">
        <f>IF($W405="","",R405+O405)</f>
        <v/>
      </c>
      <c r="T405" s="7">
        <f>IF($W405="","",V405-S405)</f>
        <v/>
      </c>
      <c r="U405" s="7">
        <f>IF($W405="","",V405-S405-K405)</f>
        <v/>
      </c>
      <c r="V405" s="7">
        <f>IF($W405="","",N405+Q405)</f>
        <v/>
      </c>
      <c r="W405" s="16">
        <f>IF(ROWS($W$2:$W405)&lt;=MAX('Per Line'!$AA$2:$AA$3001),MATCH(ROWS($W$2:$W405),'Per Line'!$AA$2:$AA$3001,0),"")</f>
        <v/>
      </c>
      <c r="X405">
        <f>IF($W405="","",D405&amp;"|"&amp;COUNTIF($D$2:$D405,D405))</f>
        <v/>
      </c>
    </row>
    <row r="406">
      <c r="A406" s="15" t="n"/>
      <c r="B406">
        <f>IF($W406="","",INDEX('Per Line'!$B$2:$B$3001,$W406)&amp;"")</f>
        <v/>
      </c>
      <c r="C406">
        <f>IF($W406="","",INDEX('Per Line'!$C$2:$C$3001,$W406)&amp;"")</f>
        <v/>
      </c>
      <c r="D406">
        <f>IF($W406="","",IF(OR(TRIM(E406)="Orient Insurance Company",TRIM(E406)="Allianz"),TRIM(E406),TRIM(F406)))</f>
        <v/>
      </c>
      <c r="E406">
        <f>IF($W406="","",INDEX('Per Line'!$E$2:$E$3001,$W406)&amp;"")</f>
        <v/>
      </c>
      <c r="F406">
        <f>IF($W406="","",INDEX('Per Line'!$D$2:$D$3001,$W406)&amp;"")</f>
        <v/>
      </c>
      <c r="G406">
        <f>IF($W406="","",INDEX('Per Line'!$F$2:$F$3001,$W406)&amp;"")</f>
        <v/>
      </c>
      <c r="H406">
        <f>IF($W406="","",INDEX('Per Line'!$G$2:$G$3001,$W406)&amp;"")</f>
        <v/>
      </c>
      <c r="I406">
        <f>IF($W406="","",INDEX('Per Line'!$H$2:$H$3001,$W406)&amp;"")</f>
        <v/>
      </c>
      <c r="J406">
        <f>IF($W406="","",INDEX('Per Line'!$I$2:$I$3001,$W406))</f>
        <v/>
      </c>
      <c r="K406" s="7">
        <f>IF($W406="","",J406*T406/100)</f>
        <v/>
      </c>
      <c r="L406" s="14">
        <f>IF($W406="","",INDEX('Per Line'!$V$2:$V$3001,$W406))</f>
        <v/>
      </c>
      <c r="M406">
        <f>IF($W406="","",IF(ISNUMBER(SEARCH("3&amp;12",SUBSTITUTE(F406," ",""))),Settings!$G$7,Settings!$C$7))</f>
        <v/>
      </c>
      <c r="N406" s="7">
        <f>IF($W406="","",SUMIFS('Per Line'!$O$2:$O$3001,'Per Line'!$B$2:$B$3001,$B406,'Per Line'!$AB$2:$AB$3001,0))</f>
        <v/>
      </c>
      <c r="O406" s="7">
        <f>IF($W406="","",N406*M406)</f>
        <v/>
      </c>
      <c r="P406">
        <f>IF($W406="","",IF(ISNUMBER(SEARCH("3&amp;12",SUBSTITUTE(F406," ",""))),Settings!$G$6,Settings!$C$6))</f>
        <v/>
      </c>
      <c r="Q406" s="7">
        <f>IF($W406="","",SUMIFS('Per Line'!$O$2:$O$3001,'Per Line'!$B$2:$B$3001,$B406,'Per Line'!$AB$2:$AB$3001,1))</f>
        <v/>
      </c>
      <c r="R406" s="7">
        <f>IF($W406="","",Q406*P406)</f>
        <v/>
      </c>
      <c r="S406" s="7">
        <f>IF($W406="","",R406+O406)</f>
        <v/>
      </c>
      <c r="T406" s="7">
        <f>IF($W406="","",V406-S406)</f>
        <v/>
      </c>
      <c r="U406" s="7">
        <f>IF($W406="","",V406-S406-K406)</f>
        <v/>
      </c>
      <c r="V406" s="7">
        <f>IF($W406="","",N406+Q406)</f>
        <v/>
      </c>
      <c r="W406" s="16">
        <f>IF(ROWS($W$2:$W406)&lt;=MAX('Per Line'!$AA$2:$AA$3001),MATCH(ROWS($W$2:$W406),'Per Line'!$AA$2:$AA$3001,0),"")</f>
        <v/>
      </c>
      <c r="X406">
        <f>IF($W406="","",D406&amp;"|"&amp;COUNTIF($D$2:$D406,D406))</f>
        <v/>
      </c>
    </row>
    <row r="407">
      <c r="A407" s="15" t="n"/>
      <c r="B407">
        <f>IF($W407="","",INDEX('Per Line'!$B$2:$B$3001,$W407)&amp;"")</f>
        <v/>
      </c>
      <c r="C407">
        <f>IF($W407="","",INDEX('Per Line'!$C$2:$C$3001,$W407)&amp;"")</f>
        <v/>
      </c>
      <c r="D407">
        <f>IF($W407="","",IF(OR(TRIM(E407)="Orient Insurance Company",TRIM(E407)="Allianz"),TRIM(E407),TRIM(F407)))</f>
        <v/>
      </c>
      <c r="E407">
        <f>IF($W407="","",INDEX('Per Line'!$E$2:$E$3001,$W407)&amp;"")</f>
        <v/>
      </c>
      <c r="F407">
        <f>IF($W407="","",INDEX('Per Line'!$D$2:$D$3001,$W407)&amp;"")</f>
        <v/>
      </c>
      <c r="G407">
        <f>IF($W407="","",INDEX('Per Line'!$F$2:$F$3001,$W407)&amp;"")</f>
        <v/>
      </c>
      <c r="H407">
        <f>IF($W407="","",INDEX('Per Line'!$G$2:$G$3001,$W407)&amp;"")</f>
        <v/>
      </c>
      <c r="I407">
        <f>IF($W407="","",INDEX('Per Line'!$H$2:$H$3001,$W407)&amp;"")</f>
        <v/>
      </c>
      <c r="J407">
        <f>IF($W407="","",INDEX('Per Line'!$I$2:$I$3001,$W407))</f>
        <v/>
      </c>
      <c r="K407" s="7">
        <f>IF($W407="","",J407*T407/100)</f>
        <v/>
      </c>
      <c r="L407" s="14">
        <f>IF($W407="","",INDEX('Per Line'!$V$2:$V$3001,$W407))</f>
        <v/>
      </c>
      <c r="M407">
        <f>IF($W407="","",IF(ISNUMBER(SEARCH("3&amp;12",SUBSTITUTE(F407," ",""))),Settings!$G$7,Settings!$C$7))</f>
        <v/>
      </c>
      <c r="N407" s="7">
        <f>IF($W407="","",SUMIFS('Per Line'!$O$2:$O$3001,'Per Line'!$B$2:$B$3001,$B407,'Per Line'!$AB$2:$AB$3001,0))</f>
        <v/>
      </c>
      <c r="O407" s="7">
        <f>IF($W407="","",N407*M407)</f>
        <v/>
      </c>
      <c r="P407">
        <f>IF($W407="","",IF(ISNUMBER(SEARCH("3&amp;12",SUBSTITUTE(F407," ",""))),Settings!$G$6,Settings!$C$6))</f>
        <v/>
      </c>
      <c r="Q407" s="7">
        <f>IF($W407="","",SUMIFS('Per Line'!$O$2:$O$3001,'Per Line'!$B$2:$B$3001,$B407,'Per Line'!$AB$2:$AB$3001,1))</f>
        <v/>
      </c>
      <c r="R407" s="7">
        <f>IF($W407="","",Q407*P407)</f>
        <v/>
      </c>
      <c r="S407" s="7">
        <f>IF($W407="","",R407+O407)</f>
        <v/>
      </c>
      <c r="T407" s="7">
        <f>IF($W407="","",V407-S407)</f>
        <v/>
      </c>
      <c r="U407" s="7">
        <f>IF($W407="","",V407-S407-K407)</f>
        <v/>
      </c>
      <c r="V407" s="7">
        <f>IF($W407="","",N407+Q407)</f>
        <v/>
      </c>
      <c r="W407" s="16">
        <f>IF(ROWS($W$2:$W407)&lt;=MAX('Per Line'!$AA$2:$AA$3001),MATCH(ROWS($W$2:$W407),'Per Line'!$AA$2:$AA$3001,0),"")</f>
        <v/>
      </c>
      <c r="X407">
        <f>IF($W407="","",D407&amp;"|"&amp;COUNTIF($D$2:$D407,D407))</f>
        <v/>
      </c>
    </row>
    <row r="408">
      <c r="A408" s="15" t="n"/>
      <c r="B408">
        <f>IF($W408="","",INDEX('Per Line'!$B$2:$B$3001,$W408)&amp;"")</f>
        <v/>
      </c>
      <c r="C408">
        <f>IF($W408="","",INDEX('Per Line'!$C$2:$C$3001,$W408)&amp;"")</f>
        <v/>
      </c>
      <c r="D408">
        <f>IF($W408="","",IF(OR(TRIM(E408)="Orient Insurance Company",TRIM(E408)="Allianz"),TRIM(E408),TRIM(F408)))</f>
        <v/>
      </c>
      <c r="E408">
        <f>IF($W408="","",INDEX('Per Line'!$E$2:$E$3001,$W408)&amp;"")</f>
        <v/>
      </c>
      <c r="F408">
        <f>IF($W408="","",INDEX('Per Line'!$D$2:$D$3001,$W408)&amp;"")</f>
        <v/>
      </c>
      <c r="G408">
        <f>IF($W408="","",INDEX('Per Line'!$F$2:$F$3001,$W408)&amp;"")</f>
        <v/>
      </c>
      <c r="H408">
        <f>IF($W408="","",INDEX('Per Line'!$G$2:$G$3001,$W408)&amp;"")</f>
        <v/>
      </c>
      <c r="I408">
        <f>IF($W408="","",INDEX('Per Line'!$H$2:$H$3001,$W408)&amp;"")</f>
        <v/>
      </c>
      <c r="J408">
        <f>IF($W408="","",INDEX('Per Line'!$I$2:$I$3001,$W408))</f>
        <v/>
      </c>
      <c r="K408" s="7">
        <f>IF($W408="","",J408*T408/100)</f>
        <v/>
      </c>
      <c r="L408" s="14">
        <f>IF($W408="","",INDEX('Per Line'!$V$2:$V$3001,$W408))</f>
        <v/>
      </c>
      <c r="M408">
        <f>IF($W408="","",IF(ISNUMBER(SEARCH("3&amp;12",SUBSTITUTE(F408," ",""))),Settings!$G$7,Settings!$C$7))</f>
        <v/>
      </c>
      <c r="N408" s="7">
        <f>IF($W408="","",SUMIFS('Per Line'!$O$2:$O$3001,'Per Line'!$B$2:$B$3001,$B408,'Per Line'!$AB$2:$AB$3001,0))</f>
        <v/>
      </c>
      <c r="O408" s="7">
        <f>IF($W408="","",N408*M408)</f>
        <v/>
      </c>
      <c r="P408">
        <f>IF($W408="","",IF(ISNUMBER(SEARCH("3&amp;12",SUBSTITUTE(F408," ",""))),Settings!$G$6,Settings!$C$6))</f>
        <v/>
      </c>
      <c r="Q408" s="7">
        <f>IF($W408="","",SUMIFS('Per Line'!$O$2:$O$3001,'Per Line'!$B$2:$B$3001,$B408,'Per Line'!$AB$2:$AB$3001,1))</f>
        <v/>
      </c>
      <c r="R408" s="7">
        <f>IF($W408="","",Q408*P408)</f>
        <v/>
      </c>
      <c r="S408" s="7">
        <f>IF($W408="","",R408+O408)</f>
        <v/>
      </c>
      <c r="T408" s="7">
        <f>IF($W408="","",V408-S408)</f>
        <v/>
      </c>
      <c r="U408" s="7">
        <f>IF($W408="","",V408-S408-K408)</f>
        <v/>
      </c>
      <c r="V408" s="7">
        <f>IF($W408="","",N408+Q408)</f>
        <v/>
      </c>
      <c r="W408" s="16">
        <f>IF(ROWS($W$2:$W408)&lt;=MAX('Per Line'!$AA$2:$AA$3001),MATCH(ROWS($W$2:$W408),'Per Line'!$AA$2:$AA$3001,0),"")</f>
        <v/>
      </c>
      <c r="X408">
        <f>IF($W408="","",D408&amp;"|"&amp;COUNTIF($D$2:$D408,D408))</f>
        <v/>
      </c>
    </row>
    <row r="409">
      <c r="A409" s="15" t="n"/>
      <c r="B409">
        <f>IF($W409="","",INDEX('Per Line'!$B$2:$B$3001,$W409)&amp;"")</f>
        <v/>
      </c>
      <c r="C409">
        <f>IF($W409="","",INDEX('Per Line'!$C$2:$C$3001,$W409)&amp;"")</f>
        <v/>
      </c>
      <c r="D409">
        <f>IF($W409="","",IF(OR(TRIM(E409)="Orient Insurance Company",TRIM(E409)="Allianz"),TRIM(E409),TRIM(F409)))</f>
        <v/>
      </c>
      <c r="E409">
        <f>IF($W409="","",INDEX('Per Line'!$E$2:$E$3001,$W409)&amp;"")</f>
        <v/>
      </c>
      <c r="F409">
        <f>IF($W409="","",INDEX('Per Line'!$D$2:$D$3001,$W409)&amp;"")</f>
        <v/>
      </c>
      <c r="G409">
        <f>IF($W409="","",INDEX('Per Line'!$F$2:$F$3001,$W409)&amp;"")</f>
        <v/>
      </c>
      <c r="H409">
        <f>IF($W409="","",INDEX('Per Line'!$G$2:$G$3001,$W409)&amp;"")</f>
        <v/>
      </c>
      <c r="I409">
        <f>IF($W409="","",INDEX('Per Line'!$H$2:$H$3001,$W409)&amp;"")</f>
        <v/>
      </c>
      <c r="J409">
        <f>IF($W409="","",INDEX('Per Line'!$I$2:$I$3001,$W409))</f>
        <v/>
      </c>
      <c r="K409" s="7">
        <f>IF($W409="","",J409*T409/100)</f>
        <v/>
      </c>
      <c r="L409" s="14">
        <f>IF($W409="","",INDEX('Per Line'!$V$2:$V$3001,$W409))</f>
        <v/>
      </c>
      <c r="M409">
        <f>IF($W409="","",IF(ISNUMBER(SEARCH("3&amp;12",SUBSTITUTE(F409," ",""))),Settings!$G$7,Settings!$C$7))</f>
        <v/>
      </c>
      <c r="N409" s="7">
        <f>IF($W409="","",SUMIFS('Per Line'!$O$2:$O$3001,'Per Line'!$B$2:$B$3001,$B409,'Per Line'!$AB$2:$AB$3001,0))</f>
        <v/>
      </c>
      <c r="O409" s="7">
        <f>IF($W409="","",N409*M409)</f>
        <v/>
      </c>
      <c r="P409">
        <f>IF($W409="","",IF(ISNUMBER(SEARCH("3&amp;12",SUBSTITUTE(F409," ",""))),Settings!$G$6,Settings!$C$6))</f>
        <v/>
      </c>
      <c r="Q409" s="7">
        <f>IF($W409="","",SUMIFS('Per Line'!$O$2:$O$3001,'Per Line'!$B$2:$B$3001,$B409,'Per Line'!$AB$2:$AB$3001,1))</f>
        <v/>
      </c>
      <c r="R409" s="7">
        <f>IF($W409="","",Q409*P409)</f>
        <v/>
      </c>
      <c r="S409" s="7">
        <f>IF($W409="","",R409+O409)</f>
        <v/>
      </c>
      <c r="T409" s="7">
        <f>IF($W409="","",V409-S409)</f>
        <v/>
      </c>
      <c r="U409" s="7">
        <f>IF($W409="","",V409-S409-K409)</f>
        <v/>
      </c>
      <c r="V409" s="7">
        <f>IF($W409="","",N409+Q409)</f>
        <v/>
      </c>
      <c r="W409" s="16">
        <f>IF(ROWS($W$2:$W409)&lt;=MAX('Per Line'!$AA$2:$AA$3001),MATCH(ROWS($W$2:$W409),'Per Line'!$AA$2:$AA$3001,0),"")</f>
        <v/>
      </c>
      <c r="X409">
        <f>IF($W409="","",D409&amp;"|"&amp;COUNTIF($D$2:$D409,D409))</f>
        <v/>
      </c>
    </row>
    <row r="410">
      <c r="A410" s="15" t="n"/>
      <c r="B410">
        <f>IF($W410="","",INDEX('Per Line'!$B$2:$B$3001,$W410)&amp;"")</f>
        <v/>
      </c>
      <c r="C410">
        <f>IF($W410="","",INDEX('Per Line'!$C$2:$C$3001,$W410)&amp;"")</f>
        <v/>
      </c>
      <c r="D410">
        <f>IF($W410="","",IF(OR(TRIM(E410)="Orient Insurance Company",TRIM(E410)="Allianz"),TRIM(E410),TRIM(F410)))</f>
        <v/>
      </c>
      <c r="E410">
        <f>IF($W410="","",INDEX('Per Line'!$E$2:$E$3001,$W410)&amp;"")</f>
        <v/>
      </c>
      <c r="F410">
        <f>IF($W410="","",INDEX('Per Line'!$D$2:$D$3001,$W410)&amp;"")</f>
        <v/>
      </c>
      <c r="G410">
        <f>IF($W410="","",INDEX('Per Line'!$F$2:$F$3001,$W410)&amp;"")</f>
        <v/>
      </c>
      <c r="H410">
        <f>IF($W410="","",INDEX('Per Line'!$G$2:$G$3001,$W410)&amp;"")</f>
        <v/>
      </c>
      <c r="I410">
        <f>IF($W410="","",INDEX('Per Line'!$H$2:$H$3001,$W410)&amp;"")</f>
        <v/>
      </c>
      <c r="J410">
        <f>IF($W410="","",INDEX('Per Line'!$I$2:$I$3001,$W410))</f>
        <v/>
      </c>
      <c r="K410" s="7">
        <f>IF($W410="","",J410*T410/100)</f>
        <v/>
      </c>
      <c r="L410" s="14">
        <f>IF($W410="","",INDEX('Per Line'!$V$2:$V$3001,$W410))</f>
        <v/>
      </c>
      <c r="M410">
        <f>IF($W410="","",IF(ISNUMBER(SEARCH("3&amp;12",SUBSTITUTE(F410," ",""))),Settings!$G$7,Settings!$C$7))</f>
        <v/>
      </c>
      <c r="N410" s="7">
        <f>IF($W410="","",SUMIFS('Per Line'!$O$2:$O$3001,'Per Line'!$B$2:$B$3001,$B410,'Per Line'!$AB$2:$AB$3001,0))</f>
        <v/>
      </c>
      <c r="O410" s="7">
        <f>IF($W410="","",N410*M410)</f>
        <v/>
      </c>
      <c r="P410">
        <f>IF($W410="","",IF(ISNUMBER(SEARCH("3&amp;12",SUBSTITUTE(F410," ",""))),Settings!$G$6,Settings!$C$6))</f>
        <v/>
      </c>
      <c r="Q410" s="7">
        <f>IF($W410="","",SUMIFS('Per Line'!$O$2:$O$3001,'Per Line'!$B$2:$B$3001,$B410,'Per Line'!$AB$2:$AB$3001,1))</f>
        <v/>
      </c>
      <c r="R410" s="7">
        <f>IF($W410="","",Q410*P410)</f>
        <v/>
      </c>
      <c r="S410" s="7">
        <f>IF($W410="","",R410+O410)</f>
        <v/>
      </c>
      <c r="T410" s="7">
        <f>IF($W410="","",V410-S410)</f>
        <v/>
      </c>
      <c r="U410" s="7">
        <f>IF($W410="","",V410-S410-K410)</f>
        <v/>
      </c>
      <c r="V410" s="7">
        <f>IF($W410="","",N410+Q410)</f>
        <v/>
      </c>
      <c r="W410" s="16">
        <f>IF(ROWS($W$2:$W410)&lt;=MAX('Per Line'!$AA$2:$AA$3001),MATCH(ROWS($W$2:$W410),'Per Line'!$AA$2:$AA$3001,0),"")</f>
        <v/>
      </c>
      <c r="X410">
        <f>IF($W410="","",D410&amp;"|"&amp;COUNTIF($D$2:$D410,D410))</f>
        <v/>
      </c>
    </row>
    <row r="411">
      <c r="A411" s="15" t="n"/>
      <c r="B411">
        <f>IF($W411="","",INDEX('Per Line'!$B$2:$B$3001,$W411)&amp;"")</f>
        <v/>
      </c>
      <c r="C411">
        <f>IF($W411="","",INDEX('Per Line'!$C$2:$C$3001,$W411)&amp;"")</f>
        <v/>
      </c>
      <c r="D411">
        <f>IF($W411="","",IF(OR(TRIM(E411)="Orient Insurance Company",TRIM(E411)="Allianz"),TRIM(E411),TRIM(F411)))</f>
        <v/>
      </c>
      <c r="E411">
        <f>IF($W411="","",INDEX('Per Line'!$E$2:$E$3001,$W411)&amp;"")</f>
        <v/>
      </c>
      <c r="F411">
        <f>IF($W411="","",INDEX('Per Line'!$D$2:$D$3001,$W411)&amp;"")</f>
        <v/>
      </c>
      <c r="G411">
        <f>IF($W411="","",INDEX('Per Line'!$F$2:$F$3001,$W411)&amp;"")</f>
        <v/>
      </c>
      <c r="H411">
        <f>IF($W411="","",INDEX('Per Line'!$G$2:$G$3001,$W411)&amp;"")</f>
        <v/>
      </c>
      <c r="I411">
        <f>IF($W411="","",INDEX('Per Line'!$H$2:$H$3001,$W411)&amp;"")</f>
        <v/>
      </c>
      <c r="J411">
        <f>IF($W411="","",INDEX('Per Line'!$I$2:$I$3001,$W411))</f>
        <v/>
      </c>
      <c r="K411" s="7">
        <f>IF($W411="","",J411*T411/100)</f>
        <v/>
      </c>
      <c r="L411" s="14">
        <f>IF($W411="","",INDEX('Per Line'!$V$2:$V$3001,$W411))</f>
        <v/>
      </c>
      <c r="M411">
        <f>IF($W411="","",IF(ISNUMBER(SEARCH("3&amp;12",SUBSTITUTE(F411," ",""))),Settings!$G$7,Settings!$C$7))</f>
        <v/>
      </c>
      <c r="N411" s="7">
        <f>IF($W411="","",SUMIFS('Per Line'!$O$2:$O$3001,'Per Line'!$B$2:$B$3001,$B411,'Per Line'!$AB$2:$AB$3001,0))</f>
        <v/>
      </c>
      <c r="O411" s="7">
        <f>IF($W411="","",N411*M411)</f>
        <v/>
      </c>
      <c r="P411">
        <f>IF($W411="","",IF(ISNUMBER(SEARCH("3&amp;12",SUBSTITUTE(F411," ",""))),Settings!$G$6,Settings!$C$6))</f>
        <v/>
      </c>
      <c r="Q411" s="7">
        <f>IF($W411="","",SUMIFS('Per Line'!$O$2:$O$3001,'Per Line'!$B$2:$B$3001,$B411,'Per Line'!$AB$2:$AB$3001,1))</f>
        <v/>
      </c>
      <c r="R411" s="7">
        <f>IF($W411="","",Q411*P411)</f>
        <v/>
      </c>
      <c r="S411" s="7">
        <f>IF($W411="","",R411+O411)</f>
        <v/>
      </c>
      <c r="T411" s="7">
        <f>IF($W411="","",V411-S411)</f>
        <v/>
      </c>
      <c r="U411" s="7">
        <f>IF($W411="","",V411-S411-K411)</f>
        <v/>
      </c>
      <c r="V411" s="7">
        <f>IF($W411="","",N411+Q411)</f>
        <v/>
      </c>
      <c r="W411" s="16">
        <f>IF(ROWS($W$2:$W411)&lt;=MAX('Per Line'!$AA$2:$AA$3001),MATCH(ROWS($W$2:$W411),'Per Line'!$AA$2:$AA$3001,0),"")</f>
        <v/>
      </c>
      <c r="X411">
        <f>IF($W411="","",D411&amp;"|"&amp;COUNTIF($D$2:$D411,D411))</f>
        <v/>
      </c>
    </row>
    <row r="412">
      <c r="A412" s="15" t="n"/>
      <c r="B412">
        <f>IF($W412="","",INDEX('Per Line'!$B$2:$B$3001,$W412)&amp;"")</f>
        <v/>
      </c>
      <c r="C412">
        <f>IF($W412="","",INDEX('Per Line'!$C$2:$C$3001,$W412)&amp;"")</f>
        <v/>
      </c>
      <c r="D412">
        <f>IF($W412="","",IF(OR(TRIM(E412)="Orient Insurance Company",TRIM(E412)="Allianz"),TRIM(E412),TRIM(F412)))</f>
        <v/>
      </c>
      <c r="E412">
        <f>IF($W412="","",INDEX('Per Line'!$E$2:$E$3001,$W412)&amp;"")</f>
        <v/>
      </c>
      <c r="F412">
        <f>IF($W412="","",INDEX('Per Line'!$D$2:$D$3001,$W412)&amp;"")</f>
        <v/>
      </c>
      <c r="G412">
        <f>IF($W412="","",INDEX('Per Line'!$F$2:$F$3001,$W412)&amp;"")</f>
        <v/>
      </c>
      <c r="H412">
        <f>IF($W412="","",INDEX('Per Line'!$G$2:$G$3001,$W412)&amp;"")</f>
        <v/>
      </c>
      <c r="I412">
        <f>IF($W412="","",INDEX('Per Line'!$H$2:$H$3001,$W412)&amp;"")</f>
        <v/>
      </c>
      <c r="J412">
        <f>IF($W412="","",INDEX('Per Line'!$I$2:$I$3001,$W412))</f>
        <v/>
      </c>
      <c r="K412" s="7">
        <f>IF($W412="","",J412*T412/100)</f>
        <v/>
      </c>
      <c r="L412" s="14">
        <f>IF($W412="","",INDEX('Per Line'!$V$2:$V$3001,$W412))</f>
        <v/>
      </c>
      <c r="M412">
        <f>IF($W412="","",IF(ISNUMBER(SEARCH("3&amp;12",SUBSTITUTE(F412," ",""))),Settings!$G$7,Settings!$C$7))</f>
        <v/>
      </c>
      <c r="N412" s="7">
        <f>IF($W412="","",SUMIFS('Per Line'!$O$2:$O$3001,'Per Line'!$B$2:$B$3001,$B412,'Per Line'!$AB$2:$AB$3001,0))</f>
        <v/>
      </c>
      <c r="O412" s="7">
        <f>IF($W412="","",N412*M412)</f>
        <v/>
      </c>
      <c r="P412">
        <f>IF($W412="","",IF(ISNUMBER(SEARCH("3&amp;12",SUBSTITUTE(F412," ",""))),Settings!$G$6,Settings!$C$6))</f>
        <v/>
      </c>
      <c r="Q412" s="7">
        <f>IF($W412="","",SUMIFS('Per Line'!$O$2:$O$3001,'Per Line'!$B$2:$B$3001,$B412,'Per Line'!$AB$2:$AB$3001,1))</f>
        <v/>
      </c>
      <c r="R412" s="7">
        <f>IF($W412="","",Q412*P412)</f>
        <v/>
      </c>
      <c r="S412" s="7">
        <f>IF($W412="","",R412+O412)</f>
        <v/>
      </c>
      <c r="T412" s="7">
        <f>IF($W412="","",V412-S412)</f>
        <v/>
      </c>
      <c r="U412" s="7">
        <f>IF($W412="","",V412-S412-K412)</f>
        <v/>
      </c>
      <c r="V412" s="7">
        <f>IF($W412="","",N412+Q412)</f>
        <v/>
      </c>
      <c r="W412" s="16">
        <f>IF(ROWS($W$2:$W412)&lt;=MAX('Per Line'!$AA$2:$AA$3001),MATCH(ROWS($W$2:$W412),'Per Line'!$AA$2:$AA$3001,0),"")</f>
        <v/>
      </c>
      <c r="X412">
        <f>IF($W412="","",D412&amp;"|"&amp;COUNTIF($D$2:$D412,D412))</f>
        <v/>
      </c>
    </row>
    <row r="413">
      <c r="A413" s="15" t="n"/>
      <c r="B413">
        <f>IF($W413="","",INDEX('Per Line'!$B$2:$B$3001,$W413)&amp;"")</f>
        <v/>
      </c>
      <c r="C413">
        <f>IF($W413="","",INDEX('Per Line'!$C$2:$C$3001,$W413)&amp;"")</f>
        <v/>
      </c>
      <c r="D413">
        <f>IF($W413="","",IF(OR(TRIM(E413)="Orient Insurance Company",TRIM(E413)="Allianz"),TRIM(E413),TRIM(F413)))</f>
        <v/>
      </c>
      <c r="E413">
        <f>IF($W413="","",INDEX('Per Line'!$E$2:$E$3001,$W413)&amp;"")</f>
        <v/>
      </c>
      <c r="F413">
        <f>IF($W413="","",INDEX('Per Line'!$D$2:$D$3001,$W413)&amp;"")</f>
        <v/>
      </c>
      <c r="G413">
        <f>IF($W413="","",INDEX('Per Line'!$F$2:$F$3001,$W413)&amp;"")</f>
        <v/>
      </c>
      <c r="H413">
        <f>IF($W413="","",INDEX('Per Line'!$G$2:$G$3001,$W413)&amp;"")</f>
        <v/>
      </c>
      <c r="I413">
        <f>IF($W413="","",INDEX('Per Line'!$H$2:$H$3001,$W413)&amp;"")</f>
        <v/>
      </c>
      <c r="J413">
        <f>IF($W413="","",INDEX('Per Line'!$I$2:$I$3001,$W413))</f>
        <v/>
      </c>
      <c r="K413" s="7">
        <f>IF($W413="","",J413*T413/100)</f>
        <v/>
      </c>
      <c r="L413" s="14">
        <f>IF($W413="","",INDEX('Per Line'!$V$2:$V$3001,$W413))</f>
        <v/>
      </c>
      <c r="M413">
        <f>IF($W413="","",IF(ISNUMBER(SEARCH("3&amp;12",SUBSTITUTE(F413," ",""))),Settings!$G$7,Settings!$C$7))</f>
        <v/>
      </c>
      <c r="N413" s="7">
        <f>IF($W413="","",SUMIFS('Per Line'!$O$2:$O$3001,'Per Line'!$B$2:$B$3001,$B413,'Per Line'!$AB$2:$AB$3001,0))</f>
        <v/>
      </c>
      <c r="O413" s="7">
        <f>IF($W413="","",N413*M413)</f>
        <v/>
      </c>
      <c r="P413">
        <f>IF($W413="","",IF(ISNUMBER(SEARCH("3&amp;12",SUBSTITUTE(F413," ",""))),Settings!$G$6,Settings!$C$6))</f>
        <v/>
      </c>
      <c r="Q413" s="7">
        <f>IF($W413="","",SUMIFS('Per Line'!$O$2:$O$3001,'Per Line'!$B$2:$B$3001,$B413,'Per Line'!$AB$2:$AB$3001,1))</f>
        <v/>
      </c>
      <c r="R413" s="7">
        <f>IF($W413="","",Q413*P413)</f>
        <v/>
      </c>
      <c r="S413" s="7">
        <f>IF($W413="","",R413+O413)</f>
        <v/>
      </c>
      <c r="T413" s="7">
        <f>IF($W413="","",V413-S413)</f>
        <v/>
      </c>
      <c r="U413" s="7">
        <f>IF($W413="","",V413-S413-K413)</f>
        <v/>
      </c>
      <c r="V413" s="7">
        <f>IF($W413="","",N413+Q413)</f>
        <v/>
      </c>
      <c r="W413" s="16">
        <f>IF(ROWS($W$2:$W413)&lt;=MAX('Per Line'!$AA$2:$AA$3001),MATCH(ROWS($W$2:$W413),'Per Line'!$AA$2:$AA$3001,0),"")</f>
        <v/>
      </c>
      <c r="X413">
        <f>IF($W413="","",D413&amp;"|"&amp;COUNTIF($D$2:$D413,D413))</f>
        <v/>
      </c>
    </row>
    <row r="414">
      <c r="A414" s="15" t="n"/>
      <c r="B414">
        <f>IF($W414="","",INDEX('Per Line'!$B$2:$B$3001,$W414)&amp;"")</f>
        <v/>
      </c>
      <c r="C414">
        <f>IF($W414="","",INDEX('Per Line'!$C$2:$C$3001,$W414)&amp;"")</f>
        <v/>
      </c>
      <c r="D414">
        <f>IF($W414="","",IF(OR(TRIM(E414)="Orient Insurance Company",TRIM(E414)="Allianz"),TRIM(E414),TRIM(F414)))</f>
        <v/>
      </c>
      <c r="E414">
        <f>IF($W414="","",INDEX('Per Line'!$E$2:$E$3001,$W414)&amp;"")</f>
        <v/>
      </c>
      <c r="F414">
        <f>IF($W414="","",INDEX('Per Line'!$D$2:$D$3001,$W414)&amp;"")</f>
        <v/>
      </c>
      <c r="G414">
        <f>IF($W414="","",INDEX('Per Line'!$F$2:$F$3001,$W414)&amp;"")</f>
        <v/>
      </c>
      <c r="H414">
        <f>IF($W414="","",INDEX('Per Line'!$G$2:$G$3001,$W414)&amp;"")</f>
        <v/>
      </c>
      <c r="I414">
        <f>IF($W414="","",INDEX('Per Line'!$H$2:$H$3001,$W414)&amp;"")</f>
        <v/>
      </c>
      <c r="J414">
        <f>IF($W414="","",INDEX('Per Line'!$I$2:$I$3001,$W414))</f>
        <v/>
      </c>
      <c r="K414" s="7">
        <f>IF($W414="","",J414*T414/100)</f>
        <v/>
      </c>
      <c r="L414" s="14">
        <f>IF($W414="","",INDEX('Per Line'!$V$2:$V$3001,$W414))</f>
        <v/>
      </c>
      <c r="M414">
        <f>IF($W414="","",IF(ISNUMBER(SEARCH("3&amp;12",SUBSTITUTE(F414," ",""))),Settings!$G$7,Settings!$C$7))</f>
        <v/>
      </c>
      <c r="N414" s="7">
        <f>IF($W414="","",SUMIFS('Per Line'!$O$2:$O$3001,'Per Line'!$B$2:$B$3001,$B414,'Per Line'!$AB$2:$AB$3001,0))</f>
        <v/>
      </c>
      <c r="O414" s="7">
        <f>IF($W414="","",N414*M414)</f>
        <v/>
      </c>
      <c r="P414">
        <f>IF($W414="","",IF(ISNUMBER(SEARCH("3&amp;12",SUBSTITUTE(F414," ",""))),Settings!$G$6,Settings!$C$6))</f>
        <v/>
      </c>
      <c r="Q414" s="7">
        <f>IF($W414="","",SUMIFS('Per Line'!$O$2:$O$3001,'Per Line'!$B$2:$B$3001,$B414,'Per Line'!$AB$2:$AB$3001,1))</f>
        <v/>
      </c>
      <c r="R414" s="7">
        <f>IF($W414="","",Q414*P414)</f>
        <v/>
      </c>
      <c r="S414" s="7">
        <f>IF($W414="","",R414+O414)</f>
        <v/>
      </c>
      <c r="T414" s="7">
        <f>IF($W414="","",V414-S414)</f>
        <v/>
      </c>
      <c r="U414" s="7">
        <f>IF($W414="","",V414-S414-K414)</f>
        <v/>
      </c>
      <c r="V414" s="7">
        <f>IF($W414="","",N414+Q414)</f>
        <v/>
      </c>
      <c r="W414" s="16">
        <f>IF(ROWS($W$2:$W414)&lt;=MAX('Per Line'!$AA$2:$AA$3001),MATCH(ROWS($W$2:$W414),'Per Line'!$AA$2:$AA$3001,0),"")</f>
        <v/>
      </c>
      <c r="X414">
        <f>IF($W414="","",D414&amp;"|"&amp;COUNTIF($D$2:$D414,D414))</f>
        <v/>
      </c>
    </row>
    <row r="415">
      <c r="A415" s="15" t="n"/>
      <c r="B415">
        <f>IF($W415="","",INDEX('Per Line'!$B$2:$B$3001,$W415)&amp;"")</f>
        <v/>
      </c>
      <c r="C415">
        <f>IF($W415="","",INDEX('Per Line'!$C$2:$C$3001,$W415)&amp;"")</f>
        <v/>
      </c>
      <c r="D415">
        <f>IF($W415="","",IF(OR(TRIM(E415)="Orient Insurance Company",TRIM(E415)="Allianz"),TRIM(E415),TRIM(F415)))</f>
        <v/>
      </c>
      <c r="E415">
        <f>IF($W415="","",INDEX('Per Line'!$E$2:$E$3001,$W415)&amp;"")</f>
        <v/>
      </c>
      <c r="F415">
        <f>IF($W415="","",INDEX('Per Line'!$D$2:$D$3001,$W415)&amp;"")</f>
        <v/>
      </c>
      <c r="G415">
        <f>IF($W415="","",INDEX('Per Line'!$F$2:$F$3001,$W415)&amp;"")</f>
        <v/>
      </c>
      <c r="H415">
        <f>IF($W415="","",INDEX('Per Line'!$G$2:$G$3001,$W415)&amp;"")</f>
        <v/>
      </c>
      <c r="I415">
        <f>IF($W415="","",INDEX('Per Line'!$H$2:$H$3001,$W415)&amp;"")</f>
        <v/>
      </c>
      <c r="J415">
        <f>IF($W415="","",INDEX('Per Line'!$I$2:$I$3001,$W415))</f>
        <v/>
      </c>
      <c r="K415" s="7">
        <f>IF($W415="","",J415*T415/100)</f>
        <v/>
      </c>
      <c r="L415" s="14">
        <f>IF($W415="","",INDEX('Per Line'!$V$2:$V$3001,$W415))</f>
        <v/>
      </c>
      <c r="M415">
        <f>IF($W415="","",IF(ISNUMBER(SEARCH("3&amp;12",SUBSTITUTE(F415," ",""))),Settings!$G$7,Settings!$C$7))</f>
        <v/>
      </c>
      <c r="N415" s="7">
        <f>IF($W415="","",SUMIFS('Per Line'!$O$2:$O$3001,'Per Line'!$B$2:$B$3001,$B415,'Per Line'!$AB$2:$AB$3001,0))</f>
        <v/>
      </c>
      <c r="O415" s="7">
        <f>IF($W415="","",N415*M415)</f>
        <v/>
      </c>
      <c r="P415">
        <f>IF($W415="","",IF(ISNUMBER(SEARCH("3&amp;12",SUBSTITUTE(F415," ",""))),Settings!$G$6,Settings!$C$6))</f>
        <v/>
      </c>
      <c r="Q415" s="7">
        <f>IF($W415="","",SUMIFS('Per Line'!$O$2:$O$3001,'Per Line'!$B$2:$B$3001,$B415,'Per Line'!$AB$2:$AB$3001,1))</f>
        <v/>
      </c>
      <c r="R415" s="7">
        <f>IF($W415="","",Q415*P415)</f>
        <v/>
      </c>
      <c r="S415" s="7">
        <f>IF($W415="","",R415+O415)</f>
        <v/>
      </c>
      <c r="T415" s="7">
        <f>IF($W415="","",V415-S415)</f>
        <v/>
      </c>
      <c r="U415" s="7">
        <f>IF($W415="","",V415-S415-K415)</f>
        <v/>
      </c>
      <c r="V415" s="7">
        <f>IF($W415="","",N415+Q415)</f>
        <v/>
      </c>
      <c r="W415" s="16">
        <f>IF(ROWS($W$2:$W415)&lt;=MAX('Per Line'!$AA$2:$AA$3001),MATCH(ROWS($W$2:$W415),'Per Line'!$AA$2:$AA$3001,0),"")</f>
        <v/>
      </c>
      <c r="X415">
        <f>IF($W415="","",D415&amp;"|"&amp;COUNTIF($D$2:$D415,D415))</f>
        <v/>
      </c>
    </row>
    <row r="416">
      <c r="A416" s="15" t="n"/>
      <c r="B416">
        <f>IF($W416="","",INDEX('Per Line'!$B$2:$B$3001,$W416)&amp;"")</f>
        <v/>
      </c>
      <c r="C416">
        <f>IF($W416="","",INDEX('Per Line'!$C$2:$C$3001,$W416)&amp;"")</f>
        <v/>
      </c>
      <c r="D416">
        <f>IF($W416="","",IF(OR(TRIM(E416)="Orient Insurance Company",TRIM(E416)="Allianz"),TRIM(E416),TRIM(F416)))</f>
        <v/>
      </c>
      <c r="E416">
        <f>IF($W416="","",INDEX('Per Line'!$E$2:$E$3001,$W416)&amp;"")</f>
        <v/>
      </c>
      <c r="F416">
        <f>IF($W416="","",INDEX('Per Line'!$D$2:$D$3001,$W416)&amp;"")</f>
        <v/>
      </c>
      <c r="G416">
        <f>IF($W416="","",INDEX('Per Line'!$F$2:$F$3001,$W416)&amp;"")</f>
        <v/>
      </c>
      <c r="H416">
        <f>IF($W416="","",INDEX('Per Line'!$G$2:$G$3001,$W416)&amp;"")</f>
        <v/>
      </c>
      <c r="I416">
        <f>IF($W416="","",INDEX('Per Line'!$H$2:$H$3001,$W416)&amp;"")</f>
        <v/>
      </c>
      <c r="J416">
        <f>IF($W416="","",INDEX('Per Line'!$I$2:$I$3001,$W416))</f>
        <v/>
      </c>
      <c r="K416" s="7">
        <f>IF($W416="","",J416*T416/100)</f>
        <v/>
      </c>
      <c r="L416" s="14">
        <f>IF($W416="","",INDEX('Per Line'!$V$2:$V$3001,$W416))</f>
        <v/>
      </c>
      <c r="M416">
        <f>IF($W416="","",IF(ISNUMBER(SEARCH("3&amp;12",SUBSTITUTE(F416," ",""))),Settings!$G$7,Settings!$C$7))</f>
        <v/>
      </c>
      <c r="N416" s="7">
        <f>IF($W416="","",SUMIFS('Per Line'!$O$2:$O$3001,'Per Line'!$B$2:$B$3001,$B416,'Per Line'!$AB$2:$AB$3001,0))</f>
        <v/>
      </c>
      <c r="O416" s="7">
        <f>IF($W416="","",N416*M416)</f>
        <v/>
      </c>
      <c r="P416">
        <f>IF($W416="","",IF(ISNUMBER(SEARCH("3&amp;12",SUBSTITUTE(F416," ",""))),Settings!$G$6,Settings!$C$6))</f>
        <v/>
      </c>
      <c r="Q416" s="7">
        <f>IF($W416="","",SUMIFS('Per Line'!$O$2:$O$3001,'Per Line'!$B$2:$B$3001,$B416,'Per Line'!$AB$2:$AB$3001,1))</f>
        <v/>
      </c>
      <c r="R416" s="7">
        <f>IF($W416="","",Q416*P416)</f>
        <v/>
      </c>
      <c r="S416" s="7">
        <f>IF($W416="","",R416+O416)</f>
        <v/>
      </c>
      <c r="T416" s="7">
        <f>IF($W416="","",V416-S416)</f>
        <v/>
      </c>
      <c r="U416" s="7">
        <f>IF($W416="","",V416-S416-K416)</f>
        <v/>
      </c>
      <c r="V416" s="7">
        <f>IF($W416="","",N416+Q416)</f>
        <v/>
      </c>
      <c r="W416" s="16">
        <f>IF(ROWS($W$2:$W416)&lt;=MAX('Per Line'!$AA$2:$AA$3001),MATCH(ROWS($W$2:$W416),'Per Line'!$AA$2:$AA$3001,0),"")</f>
        <v/>
      </c>
      <c r="X416">
        <f>IF($W416="","",D416&amp;"|"&amp;COUNTIF($D$2:$D416,D416))</f>
        <v/>
      </c>
    </row>
    <row r="417">
      <c r="A417" s="15" t="n"/>
      <c r="B417">
        <f>IF($W417="","",INDEX('Per Line'!$B$2:$B$3001,$W417)&amp;"")</f>
        <v/>
      </c>
      <c r="C417">
        <f>IF($W417="","",INDEX('Per Line'!$C$2:$C$3001,$W417)&amp;"")</f>
        <v/>
      </c>
      <c r="D417">
        <f>IF($W417="","",IF(OR(TRIM(E417)="Orient Insurance Company",TRIM(E417)="Allianz"),TRIM(E417),TRIM(F417)))</f>
        <v/>
      </c>
      <c r="E417">
        <f>IF($W417="","",INDEX('Per Line'!$E$2:$E$3001,$W417)&amp;"")</f>
        <v/>
      </c>
      <c r="F417">
        <f>IF($W417="","",INDEX('Per Line'!$D$2:$D$3001,$W417)&amp;"")</f>
        <v/>
      </c>
      <c r="G417">
        <f>IF($W417="","",INDEX('Per Line'!$F$2:$F$3001,$W417)&amp;"")</f>
        <v/>
      </c>
      <c r="H417">
        <f>IF($W417="","",INDEX('Per Line'!$G$2:$G$3001,$W417)&amp;"")</f>
        <v/>
      </c>
      <c r="I417">
        <f>IF($W417="","",INDEX('Per Line'!$H$2:$H$3001,$W417)&amp;"")</f>
        <v/>
      </c>
      <c r="J417">
        <f>IF($W417="","",INDEX('Per Line'!$I$2:$I$3001,$W417))</f>
        <v/>
      </c>
      <c r="K417" s="7">
        <f>IF($W417="","",J417*T417/100)</f>
        <v/>
      </c>
      <c r="L417" s="14">
        <f>IF($W417="","",INDEX('Per Line'!$V$2:$V$3001,$W417))</f>
        <v/>
      </c>
      <c r="M417">
        <f>IF($W417="","",IF(ISNUMBER(SEARCH("3&amp;12",SUBSTITUTE(F417," ",""))),Settings!$G$7,Settings!$C$7))</f>
        <v/>
      </c>
      <c r="N417" s="7">
        <f>IF($W417="","",SUMIFS('Per Line'!$O$2:$O$3001,'Per Line'!$B$2:$B$3001,$B417,'Per Line'!$AB$2:$AB$3001,0))</f>
        <v/>
      </c>
      <c r="O417" s="7">
        <f>IF($W417="","",N417*M417)</f>
        <v/>
      </c>
      <c r="P417">
        <f>IF($W417="","",IF(ISNUMBER(SEARCH("3&amp;12",SUBSTITUTE(F417," ",""))),Settings!$G$6,Settings!$C$6))</f>
        <v/>
      </c>
      <c r="Q417" s="7">
        <f>IF($W417="","",SUMIFS('Per Line'!$O$2:$O$3001,'Per Line'!$B$2:$B$3001,$B417,'Per Line'!$AB$2:$AB$3001,1))</f>
        <v/>
      </c>
      <c r="R417" s="7">
        <f>IF($W417="","",Q417*P417)</f>
        <v/>
      </c>
      <c r="S417" s="7">
        <f>IF($W417="","",R417+O417)</f>
        <v/>
      </c>
      <c r="T417" s="7">
        <f>IF($W417="","",V417-S417)</f>
        <v/>
      </c>
      <c r="U417" s="7">
        <f>IF($W417="","",V417-S417-K417)</f>
        <v/>
      </c>
      <c r="V417" s="7">
        <f>IF($W417="","",N417+Q417)</f>
        <v/>
      </c>
      <c r="W417" s="16">
        <f>IF(ROWS($W$2:$W417)&lt;=MAX('Per Line'!$AA$2:$AA$3001),MATCH(ROWS($W$2:$W417),'Per Line'!$AA$2:$AA$3001,0),"")</f>
        <v/>
      </c>
      <c r="X417">
        <f>IF($W417="","",D417&amp;"|"&amp;COUNTIF($D$2:$D417,D417))</f>
        <v/>
      </c>
    </row>
    <row r="418">
      <c r="A418" s="15" t="n"/>
      <c r="B418">
        <f>IF($W418="","",INDEX('Per Line'!$B$2:$B$3001,$W418)&amp;"")</f>
        <v/>
      </c>
      <c r="C418">
        <f>IF($W418="","",INDEX('Per Line'!$C$2:$C$3001,$W418)&amp;"")</f>
        <v/>
      </c>
      <c r="D418">
        <f>IF($W418="","",IF(OR(TRIM(E418)="Orient Insurance Company",TRIM(E418)="Allianz"),TRIM(E418),TRIM(F418)))</f>
        <v/>
      </c>
      <c r="E418">
        <f>IF($W418="","",INDEX('Per Line'!$E$2:$E$3001,$W418)&amp;"")</f>
        <v/>
      </c>
      <c r="F418">
        <f>IF($W418="","",INDEX('Per Line'!$D$2:$D$3001,$W418)&amp;"")</f>
        <v/>
      </c>
      <c r="G418">
        <f>IF($W418="","",INDEX('Per Line'!$F$2:$F$3001,$W418)&amp;"")</f>
        <v/>
      </c>
      <c r="H418">
        <f>IF($W418="","",INDEX('Per Line'!$G$2:$G$3001,$W418)&amp;"")</f>
        <v/>
      </c>
      <c r="I418">
        <f>IF($W418="","",INDEX('Per Line'!$H$2:$H$3001,$W418)&amp;"")</f>
        <v/>
      </c>
      <c r="J418">
        <f>IF($W418="","",INDEX('Per Line'!$I$2:$I$3001,$W418))</f>
        <v/>
      </c>
      <c r="K418" s="7">
        <f>IF($W418="","",J418*T418/100)</f>
        <v/>
      </c>
      <c r="L418" s="14">
        <f>IF($W418="","",INDEX('Per Line'!$V$2:$V$3001,$W418))</f>
        <v/>
      </c>
      <c r="M418">
        <f>IF($W418="","",IF(ISNUMBER(SEARCH("3&amp;12",SUBSTITUTE(F418," ",""))),Settings!$G$7,Settings!$C$7))</f>
        <v/>
      </c>
      <c r="N418" s="7">
        <f>IF($W418="","",SUMIFS('Per Line'!$O$2:$O$3001,'Per Line'!$B$2:$B$3001,$B418,'Per Line'!$AB$2:$AB$3001,0))</f>
        <v/>
      </c>
      <c r="O418" s="7">
        <f>IF($W418="","",N418*M418)</f>
        <v/>
      </c>
      <c r="P418">
        <f>IF($W418="","",IF(ISNUMBER(SEARCH("3&amp;12",SUBSTITUTE(F418," ",""))),Settings!$G$6,Settings!$C$6))</f>
        <v/>
      </c>
      <c r="Q418" s="7">
        <f>IF($W418="","",SUMIFS('Per Line'!$O$2:$O$3001,'Per Line'!$B$2:$B$3001,$B418,'Per Line'!$AB$2:$AB$3001,1))</f>
        <v/>
      </c>
      <c r="R418" s="7">
        <f>IF($W418="","",Q418*P418)</f>
        <v/>
      </c>
      <c r="S418" s="7">
        <f>IF($W418="","",R418+O418)</f>
        <v/>
      </c>
      <c r="T418" s="7">
        <f>IF($W418="","",V418-S418)</f>
        <v/>
      </c>
      <c r="U418" s="7">
        <f>IF($W418="","",V418-S418-K418)</f>
        <v/>
      </c>
      <c r="V418" s="7">
        <f>IF($W418="","",N418+Q418)</f>
        <v/>
      </c>
      <c r="W418" s="16">
        <f>IF(ROWS($W$2:$W418)&lt;=MAX('Per Line'!$AA$2:$AA$3001),MATCH(ROWS($W$2:$W418),'Per Line'!$AA$2:$AA$3001,0),"")</f>
        <v/>
      </c>
      <c r="X418">
        <f>IF($W418="","",D418&amp;"|"&amp;COUNTIF($D$2:$D418,D418))</f>
        <v/>
      </c>
    </row>
    <row r="419">
      <c r="A419" s="15" t="n"/>
      <c r="B419">
        <f>IF($W419="","",INDEX('Per Line'!$B$2:$B$3001,$W419)&amp;"")</f>
        <v/>
      </c>
      <c r="C419">
        <f>IF($W419="","",INDEX('Per Line'!$C$2:$C$3001,$W419)&amp;"")</f>
        <v/>
      </c>
      <c r="D419">
        <f>IF($W419="","",IF(OR(TRIM(E419)="Orient Insurance Company",TRIM(E419)="Allianz"),TRIM(E419),TRIM(F419)))</f>
        <v/>
      </c>
      <c r="E419">
        <f>IF($W419="","",INDEX('Per Line'!$E$2:$E$3001,$W419)&amp;"")</f>
        <v/>
      </c>
      <c r="F419">
        <f>IF($W419="","",INDEX('Per Line'!$D$2:$D$3001,$W419)&amp;"")</f>
        <v/>
      </c>
      <c r="G419">
        <f>IF($W419="","",INDEX('Per Line'!$F$2:$F$3001,$W419)&amp;"")</f>
        <v/>
      </c>
      <c r="H419">
        <f>IF($W419="","",INDEX('Per Line'!$G$2:$G$3001,$W419)&amp;"")</f>
        <v/>
      </c>
      <c r="I419">
        <f>IF($W419="","",INDEX('Per Line'!$H$2:$H$3001,$W419)&amp;"")</f>
        <v/>
      </c>
      <c r="J419">
        <f>IF($W419="","",INDEX('Per Line'!$I$2:$I$3001,$W419))</f>
        <v/>
      </c>
      <c r="K419" s="7">
        <f>IF($W419="","",J419*T419/100)</f>
        <v/>
      </c>
      <c r="L419" s="14">
        <f>IF($W419="","",INDEX('Per Line'!$V$2:$V$3001,$W419))</f>
        <v/>
      </c>
      <c r="M419">
        <f>IF($W419="","",IF(ISNUMBER(SEARCH("3&amp;12",SUBSTITUTE(F419," ",""))),Settings!$G$7,Settings!$C$7))</f>
        <v/>
      </c>
      <c r="N419" s="7">
        <f>IF($W419="","",SUMIFS('Per Line'!$O$2:$O$3001,'Per Line'!$B$2:$B$3001,$B419,'Per Line'!$AB$2:$AB$3001,0))</f>
        <v/>
      </c>
      <c r="O419" s="7">
        <f>IF($W419="","",N419*M419)</f>
        <v/>
      </c>
      <c r="P419">
        <f>IF($W419="","",IF(ISNUMBER(SEARCH("3&amp;12",SUBSTITUTE(F419," ",""))),Settings!$G$6,Settings!$C$6))</f>
        <v/>
      </c>
      <c r="Q419" s="7">
        <f>IF($W419="","",SUMIFS('Per Line'!$O$2:$O$3001,'Per Line'!$B$2:$B$3001,$B419,'Per Line'!$AB$2:$AB$3001,1))</f>
        <v/>
      </c>
      <c r="R419" s="7">
        <f>IF($W419="","",Q419*P419)</f>
        <v/>
      </c>
      <c r="S419" s="7">
        <f>IF($W419="","",R419+O419)</f>
        <v/>
      </c>
      <c r="T419" s="7">
        <f>IF($W419="","",V419-S419)</f>
        <v/>
      </c>
      <c r="U419" s="7">
        <f>IF($W419="","",V419-S419-K419)</f>
        <v/>
      </c>
      <c r="V419" s="7">
        <f>IF($W419="","",N419+Q419)</f>
        <v/>
      </c>
      <c r="W419" s="16">
        <f>IF(ROWS($W$2:$W419)&lt;=MAX('Per Line'!$AA$2:$AA$3001),MATCH(ROWS($W$2:$W419),'Per Line'!$AA$2:$AA$3001,0),"")</f>
        <v/>
      </c>
      <c r="X419">
        <f>IF($W419="","",D419&amp;"|"&amp;COUNTIF($D$2:$D419,D419))</f>
        <v/>
      </c>
    </row>
    <row r="420">
      <c r="A420" s="15" t="n"/>
      <c r="B420">
        <f>IF($W420="","",INDEX('Per Line'!$B$2:$B$3001,$W420)&amp;"")</f>
        <v/>
      </c>
      <c r="C420">
        <f>IF($W420="","",INDEX('Per Line'!$C$2:$C$3001,$W420)&amp;"")</f>
        <v/>
      </c>
      <c r="D420">
        <f>IF($W420="","",IF(OR(TRIM(E420)="Orient Insurance Company",TRIM(E420)="Allianz"),TRIM(E420),TRIM(F420)))</f>
        <v/>
      </c>
      <c r="E420">
        <f>IF($W420="","",INDEX('Per Line'!$E$2:$E$3001,$W420)&amp;"")</f>
        <v/>
      </c>
      <c r="F420">
        <f>IF($W420="","",INDEX('Per Line'!$D$2:$D$3001,$W420)&amp;"")</f>
        <v/>
      </c>
      <c r="G420">
        <f>IF($W420="","",INDEX('Per Line'!$F$2:$F$3001,$W420)&amp;"")</f>
        <v/>
      </c>
      <c r="H420">
        <f>IF($W420="","",INDEX('Per Line'!$G$2:$G$3001,$W420)&amp;"")</f>
        <v/>
      </c>
      <c r="I420">
        <f>IF($W420="","",INDEX('Per Line'!$H$2:$H$3001,$W420)&amp;"")</f>
        <v/>
      </c>
      <c r="J420">
        <f>IF($W420="","",INDEX('Per Line'!$I$2:$I$3001,$W420))</f>
        <v/>
      </c>
      <c r="K420" s="7">
        <f>IF($W420="","",J420*T420/100)</f>
        <v/>
      </c>
      <c r="L420" s="14">
        <f>IF($W420="","",INDEX('Per Line'!$V$2:$V$3001,$W420))</f>
        <v/>
      </c>
      <c r="M420">
        <f>IF($W420="","",IF(ISNUMBER(SEARCH("3&amp;12",SUBSTITUTE(F420," ",""))),Settings!$G$7,Settings!$C$7))</f>
        <v/>
      </c>
      <c r="N420" s="7">
        <f>IF($W420="","",SUMIFS('Per Line'!$O$2:$O$3001,'Per Line'!$B$2:$B$3001,$B420,'Per Line'!$AB$2:$AB$3001,0))</f>
        <v/>
      </c>
      <c r="O420" s="7">
        <f>IF($W420="","",N420*M420)</f>
        <v/>
      </c>
      <c r="P420">
        <f>IF($W420="","",IF(ISNUMBER(SEARCH("3&amp;12",SUBSTITUTE(F420," ",""))),Settings!$G$6,Settings!$C$6))</f>
        <v/>
      </c>
      <c r="Q420" s="7">
        <f>IF($W420="","",SUMIFS('Per Line'!$O$2:$O$3001,'Per Line'!$B$2:$B$3001,$B420,'Per Line'!$AB$2:$AB$3001,1))</f>
        <v/>
      </c>
      <c r="R420" s="7">
        <f>IF($W420="","",Q420*P420)</f>
        <v/>
      </c>
      <c r="S420" s="7">
        <f>IF($W420="","",R420+O420)</f>
        <v/>
      </c>
      <c r="T420" s="7">
        <f>IF($W420="","",V420-S420)</f>
        <v/>
      </c>
      <c r="U420" s="7">
        <f>IF($W420="","",V420-S420-K420)</f>
        <v/>
      </c>
      <c r="V420" s="7">
        <f>IF($W420="","",N420+Q420)</f>
        <v/>
      </c>
      <c r="W420" s="16">
        <f>IF(ROWS($W$2:$W420)&lt;=MAX('Per Line'!$AA$2:$AA$3001),MATCH(ROWS($W$2:$W420),'Per Line'!$AA$2:$AA$3001,0),"")</f>
        <v/>
      </c>
      <c r="X420">
        <f>IF($W420="","",D420&amp;"|"&amp;COUNTIF($D$2:$D420,D420))</f>
        <v/>
      </c>
    </row>
    <row r="421">
      <c r="A421" s="15" t="n"/>
      <c r="B421">
        <f>IF($W421="","",INDEX('Per Line'!$B$2:$B$3001,$W421)&amp;"")</f>
        <v/>
      </c>
      <c r="C421">
        <f>IF($W421="","",INDEX('Per Line'!$C$2:$C$3001,$W421)&amp;"")</f>
        <v/>
      </c>
      <c r="D421">
        <f>IF($W421="","",IF(OR(TRIM(E421)="Orient Insurance Company",TRIM(E421)="Allianz"),TRIM(E421),TRIM(F421)))</f>
        <v/>
      </c>
      <c r="E421">
        <f>IF($W421="","",INDEX('Per Line'!$E$2:$E$3001,$W421)&amp;"")</f>
        <v/>
      </c>
      <c r="F421">
        <f>IF($W421="","",INDEX('Per Line'!$D$2:$D$3001,$W421)&amp;"")</f>
        <v/>
      </c>
      <c r="G421">
        <f>IF($W421="","",INDEX('Per Line'!$F$2:$F$3001,$W421)&amp;"")</f>
        <v/>
      </c>
      <c r="H421">
        <f>IF($W421="","",INDEX('Per Line'!$G$2:$G$3001,$W421)&amp;"")</f>
        <v/>
      </c>
      <c r="I421">
        <f>IF($W421="","",INDEX('Per Line'!$H$2:$H$3001,$W421)&amp;"")</f>
        <v/>
      </c>
      <c r="J421">
        <f>IF($W421="","",INDEX('Per Line'!$I$2:$I$3001,$W421))</f>
        <v/>
      </c>
      <c r="K421" s="7">
        <f>IF($W421="","",J421*T421/100)</f>
        <v/>
      </c>
      <c r="L421" s="14">
        <f>IF($W421="","",INDEX('Per Line'!$V$2:$V$3001,$W421))</f>
        <v/>
      </c>
      <c r="M421">
        <f>IF($W421="","",IF(ISNUMBER(SEARCH("3&amp;12",SUBSTITUTE(F421," ",""))),Settings!$G$7,Settings!$C$7))</f>
        <v/>
      </c>
      <c r="N421" s="7">
        <f>IF($W421="","",SUMIFS('Per Line'!$O$2:$O$3001,'Per Line'!$B$2:$B$3001,$B421,'Per Line'!$AB$2:$AB$3001,0))</f>
        <v/>
      </c>
      <c r="O421" s="7">
        <f>IF($W421="","",N421*M421)</f>
        <v/>
      </c>
      <c r="P421">
        <f>IF($W421="","",IF(ISNUMBER(SEARCH("3&amp;12",SUBSTITUTE(F421," ",""))),Settings!$G$6,Settings!$C$6))</f>
        <v/>
      </c>
      <c r="Q421" s="7">
        <f>IF($W421="","",SUMIFS('Per Line'!$O$2:$O$3001,'Per Line'!$B$2:$B$3001,$B421,'Per Line'!$AB$2:$AB$3001,1))</f>
        <v/>
      </c>
      <c r="R421" s="7">
        <f>IF($W421="","",Q421*P421)</f>
        <v/>
      </c>
      <c r="S421" s="7">
        <f>IF($W421="","",R421+O421)</f>
        <v/>
      </c>
      <c r="T421" s="7">
        <f>IF($W421="","",V421-S421)</f>
        <v/>
      </c>
      <c r="U421" s="7">
        <f>IF($W421="","",V421-S421-K421)</f>
        <v/>
      </c>
      <c r="V421" s="7">
        <f>IF($W421="","",N421+Q421)</f>
        <v/>
      </c>
      <c r="W421" s="16">
        <f>IF(ROWS($W$2:$W421)&lt;=MAX('Per Line'!$AA$2:$AA$3001),MATCH(ROWS($W$2:$W421),'Per Line'!$AA$2:$AA$3001,0),"")</f>
        <v/>
      </c>
      <c r="X421">
        <f>IF($W421="","",D421&amp;"|"&amp;COUNTIF($D$2:$D421,D421))</f>
        <v/>
      </c>
    </row>
    <row r="422">
      <c r="A422" s="15" t="n"/>
      <c r="B422">
        <f>IF($W422="","",INDEX('Per Line'!$B$2:$B$3001,$W422)&amp;"")</f>
        <v/>
      </c>
      <c r="C422">
        <f>IF($W422="","",INDEX('Per Line'!$C$2:$C$3001,$W422)&amp;"")</f>
        <v/>
      </c>
      <c r="D422">
        <f>IF($W422="","",IF(OR(TRIM(E422)="Orient Insurance Company",TRIM(E422)="Allianz"),TRIM(E422),TRIM(F422)))</f>
        <v/>
      </c>
      <c r="E422">
        <f>IF($W422="","",INDEX('Per Line'!$E$2:$E$3001,$W422)&amp;"")</f>
        <v/>
      </c>
      <c r="F422">
        <f>IF($W422="","",INDEX('Per Line'!$D$2:$D$3001,$W422)&amp;"")</f>
        <v/>
      </c>
      <c r="G422">
        <f>IF($W422="","",INDEX('Per Line'!$F$2:$F$3001,$W422)&amp;"")</f>
        <v/>
      </c>
      <c r="H422">
        <f>IF($W422="","",INDEX('Per Line'!$G$2:$G$3001,$W422)&amp;"")</f>
        <v/>
      </c>
      <c r="I422">
        <f>IF($W422="","",INDEX('Per Line'!$H$2:$H$3001,$W422)&amp;"")</f>
        <v/>
      </c>
      <c r="J422">
        <f>IF($W422="","",INDEX('Per Line'!$I$2:$I$3001,$W422))</f>
        <v/>
      </c>
      <c r="K422" s="7">
        <f>IF($W422="","",J422*T422/100)</f>
        <v/>
      </c>
      <c r="L422" s="14">
        <f>IF($W422="","",INDEX('Per Line'!$V$2:$V$3001,$W422))</f>
        <v/>
      </c>
      <c r="M422">
        <f>IF($W422="","",IF(ISNUMBER(SEARCH("3&amp;12",SUBSTITUTE(F422," ",""))),Settings!$G$7,Settings!$C$7))</f>
        <v/>
      </c>
      <c r="N422" s="7">
        <f>IF($W422="","",SUMIFS('Per Line'!$O$2:$O$3001,'Per Line'!$B$2:$B$3001,$B422,'Per Line'!$AB$2:$AB$3001,0))</f>
        <v/>
      </c>
      <c r="O422" s="7">
        <f>IF($W422="","",N422*M422)</f>
        <v/>
      </c>
      <c r="P422">
        <f>IF($W422="","",IF(ISNUMBER(SEARCH("3&amp;12",SUBSTITUTE(F422," ",""))),Settings!$G$6,Settings!$C$6))</f>
        <v/>
      </c>
      <c r="Q422" s="7">
        <f>IF($W422="","",SUMIFS('Per Line'!$O$2:$O$3001,'Per Line'!$B$2:$B$3001,$B422,'Per Line'!$AB$2:$AB$3001,1))</f>
        <v/>
      </c>
      <c r="R422" s="7">
        <f>IF($W422="","",Q422*P422)</f>
        <v/>
      </c>
      <c r="S422" s="7">
        <f>IF($W422="","",R422+O422)</f>
        <v/>
      </c>
      <c r="T422" s="7">
        <f>IF($W422="","",V422-S422)</f>
        <v/>
      </c>
      <c r="U422" s="7">
        <f>IF($W422="","",V422-S422-K422)</f>
        <v/>
      </c>
      <c r="V422" s="7">
        <f>IF($W422="","",N422+Q422)</f>
        <v/>
      </c>
      <c r="W422" s="16">
        <f>IF(ROWS($W$2:$W422)&lt;=MAX('Per Line'!$AA$2:$AA$3001),MATCH(ROWS($W$2:$W422),'Per Line'!$AA$2:$AA$3001,0),"")</f>
        <v/>
      </c>
      <c r="X422">
        <f>IF($W422="","",D422&amp;"|"&amp;COUNTIF($D$2:$D422,D422))</f>
        <v/>
      </c>
    </row>
    <row r="423">
      <c r="A423" s="15" t="n"/>
      <c r="B423">
        <f>IF($W423="","",INDEX('Per Line'!$B$2:$B$3001,$W423)&amp;"")</f>
        <v/>
      </c>
      <c r="C423">
        <f>IF($W423="","",INDEX('Per Line'!$C$2:$C$3001,$W423)&amp;"")</f>
        <v/>
      </c>
      <c r="D423">
        <f>IF($W423="","",IF(OR(TRIM(E423)="Orient Insurance Company",TRIM(E423)="Allianz"),TRIM(E423),TRIM(F423)))</f>
        <v/>
      </c>
      <c r="E423">
        <f>IF($W423="","",INDEX('Per Line'!$E$2:$E$3001,$W423)&amp;"")</f>
        <v/>
      </c>
      <c r="F423">
        <f>IF($W423="","",INDEX('Per Line'!$D$2:$D$3001,$W423)&amp;"")</f>
        <v/>
      </c>
      <c r="G423">
        <f>IF($W423="","",INDEX('Per Line'!$F$2:$F$3001,$W423)&amp;"")</f>
        <v/>
      </c>
      <c r="H423">
        <f>IF($W423="","",INDEX('Per Line'!$G$2:$G$3001,$W423)&amp;"")</f>
        <v/>
      </c>
      <c r="I423">
        <f>IF($W423="","",INDEX('Per Line'!$H$2:$H$3001,$W423)&amp;"")</f>
        <v/>
      </c>
      <c r="J423">
        <f>IF($W423="","",INDEX('Per Line'!$I$2:$I$3001,$W423))</f>
        <v/>
      </c>
      <c r="K423" s="7">
        <f>IF($W423="","",J423*T423/100)</f>
        <v/>
      </c>
      <c r="L423" s="14">
        <f>IF($W423="","",INDEX('Per Line'!$V$2:$V$3001,$W423))</f>
        <v/>
      </c>
      <c r="M423">
        <f>IF($W423="","",IF(ISNUMBER(SEARCH("3&amp;12",SUBSTITUTE(F423," ",""))),Settings!$G$7,Settings!$C$7))</f>
        <v/>
      </c>
      <c r="N423" s="7">
        <f>IF($W423="","",SUMIFS('Per Line'!$O$2:$O$3001,'Per Line'!$B$2:$B$3001,$B423,'Per Line'!$AB$2:$AB$3001,0))</f>
        <v/>
      </c>
      <c r="O423" s="7">
        <f>IF($W423="","",N423*M423)</f>
        <v/>
      </c>
      <c r="P423">
        <f>IF($W423="","",IF(ISNUMBER(SEARCH("3&amp;12",SUBSTITUTE(F423," ",""))),Settings!$G$6,Settings!$C$6))</f>
        <v/>
      </c>
      <c r="Q423" s="7">
        <f>IF($W423="","",SUMIFS('Per Line'!$O$2:$O$3001,'Per Line'!$B$2:$B$3001,$B423,'Per Line'!$AB$2:$AB$3001,1))</f>
        <v/>
      </c>
      <c r="R423" s="7">
        <f>IF($W423="","",Q423*P423)</f>
        <v/>
      </c>
      <c r="S423" s="7">
        <f>IF($W423="","",R423+O423)</f>
        <v/>
      </c>
      <c r="T423" s="7">
        <f>IF($W423="","",V423-S423)</f>
        <v/>
      </c>
      <c r="U423" s="7">
        <f>IF($W423="","",V423-S423-K423)</f>
        <v/>
      </c>
      <c r="V423" s="7">
        <f>IF($W423="","",N423+Q423)</f>
        <v/>
      </c>
      <c r="W423" s="16">
        <f>IF(ROWS($W$2:$W423)&lt;=MAX('Per Line'!$AA$2:$AA$3001),MATCH(ROWS($W$2:$W423),'Per Line'!$AA$2:$AA$3001,0),"")</f>
        <v/>
      </c>
      <c r="X423">
        <f>IF($W423="","",D423&amp;"|"&amp;COUNTIF($D$2:$D423,D423))</f>
        <v/>
      </c>
    </row>
    <row r="424">
      <c r="A424" s="15" t="n"/>
      <c r="B424">
        <f>IF($W424="","",INDEX('Per Line'!$B$2:$B$3001,$W424)&amp;"")</f>
        <v/>
      </c>
      <c r="C424">
        <f>IF($W424="","",INDEX('Per Line'!$C$2:$C$3001,$W424)&amp;"")</f>
        <v/>
      </c>
      <c r="D424">
        <f>IF($W424="","",IF(OR(TRIM(E424)="Orient Insurance Company",TRIM(E424)="Allianz"),TRIM(E424),TRIM(F424)))</f>
        <v/>
      </c>
      <c r="E424">
        <f>IF($W424="","",INDEX('Per Line'!$E$2:$E$3001,$W424)&amp;"")</f>
        <v/>
      </c>
      <c r="F424">
        <f>IF($W424="","",INDEX('Per Line'!$D$2:$D$3001,$W424)&amp;"")</f>
        <v/>
      </c>
      <c r="G424">
        <f>IF($W424="","",INDEX('Per Line'!$F$2:$F$3001,$W424)&amp;"")</f>
        <v/>
      </c>
      <c r="H424">
        <f>IF($W424="","",INDEX('Per Line'!$G$2:$G$3001,$W424)&amp;"")</f>
        <v/>
      </c>
      <c r="I424">
        <f>IF($W424="","",INDEX('Per Line'!$H$2:$H$3001,$W424)&amp;"")</f>
        <v/>
      </c>
      <c r="J424">
        <f>IF($W424="","",INDEX('Per Line'!$I$2:$I$3001,$W424))</f>
        <v/>
      </c>
      <c r="K424" s="7">
        <f>IF($W424="","",J424*T424/100)</f>
        <v/>
      </c>
      <c r="L424" s="14">
        <f>IF($W424="","",INDEX('Per Line'!$V$2:$V$3001,$W424))</f>
        <v/>
      </c>
      <c r="M424">
        <f>IF($W424="","",IF(ISNUMBER(SEARCH("3&amp;12",SUBSTITUTE(F424," ",""))),Settings!$G$7,Settings!$C$7))</f>
        <v/>
      </c>
      <c r="N424" s="7">
        <f>IF($W424="","",SUMIFS('Per Line'!$O$2:$O$3001,'Per Line'!$B$2:$B$3001,$B424,'Per Line'!$AB$2:$AB$3001,0))</f>
        <v/>
      </c>
      <c r="O424" s="7">
        <f>IF($W424="","",N424*M424)</f>
        <v/>
      </c>
      <c r="P424">
        <f>IF($W424="","",IF(ISNUMBER(SEARCH("3&amp;12",SUBSTITUTE(F424," ",""))),Settings!$G$6,Settings!$C$6))</f>
        <v/>
      </c>
      <c r="Q424" s="7">
        <f>IF($W424="","",SUMIFS('Per Line'!$O$2:$O$3001,'Per Line'!$B$2:$B$3001,$B424,'Per Line'!$AB$2:$AB$3001,1))</f>
        <v/>
      </c>
      <c r="R424" s="7">
        <f>IF($W424="","",Q424*P424)</f>
        <v/>
      </c>
      <c r="S424" s="7">
        <f>IF($W424="","",R424+O424)</f>
        <v/>
      </c>
      <c r="T424" s="7">
        <f>IF($W424="","",V424-S424)</f>
        <v/>
      </c>
      <c r="U424" s="7">
        <f>IF($W424="","",V424-S424-K424)</f>
        <v/>
      </c>
      <c r="V424" s="7">
        <f>IF($W424="","",N424+Q424)</f>
        <v/>
      </c>
      <c r="W424" s="16">
        <f>IF(ROWS($W$2:$W424)&lt;=MAX('Per Line'!$AA$2:$AA$3001),MATCH(ROWS($W$2:$W424),'Per Line'!$AA$2:$AA$3001,0),"")</f>
        <v/>
      </c>
      <c r="X424">
        <f>IF($W424="","",D424&amp;"|"&amp;COUNTIF($D$2:$D424,D424))</f>
        <v/>
      </c>
    </row>
    <row r="425">
      <c r="A425" s="15" t="n"/>
      <c r="B425">
        <f>IF($W425="","",INDEX('Per Line'!$B$2:$B$3001,$W425)&amp;"")</f>
        <v/>
      </c>
      <c r="C425">
        <f>IF($W425="","",INDEX('Per Line'!$C$2:$C$3001,$W425)&amp;"")</f>
        <v/>
      </c>
      <c r="D425">
        <f>IF($W425="","",IF(OR(TRIM(E425)="Orient Insurance Company",TRIM(E425)="Allianz"),TRIM(E425),TRIM(F425)))</f>
        <v/>
      </c>
      <c r="E425">
        <f>IF($W425="","",INDEX('Per Line'!$E$2:$E$3001,$W425)&amp;"")</f>
        <v/>
      </c>
      <c r="F425">
        <f>IF($W425="","",INDEX('Per Line'!$D$2:$D$3001,$W425)&amp;"")</f>
        <v/>
      </c>
      <c r="G425">
        <f>IF($W425="","",INDEX('Per Line'!$F$2:$F$3001,$W425)&amp;"")</f>
        <v/>
      </c>
      <c r="H425">
        <f>IF($W425="","",INDEX('Per Line'!$G$2:$G$3001,$W425)&amp;"")</f>
        <v/>
      </c>
      <c r="I425">
        <f>IF($W425="","",INDEX('Per Line'!$H$2:$H$3001,$W425)&amp;"")</f>
        <v/>
      </c>
      <c r="J425">
        <f>IF($W425="","",INDEX('Per Line'!$I$2:$I$3001,$W425))</f>
        <v/>
      </c>
      <c r="K425" s="7">
        <f>IF($W425="","",J425*T425/100)</f>
        <v/>
      </c>
      <c r="L425" s="14">
        <f>IF($W425="","",INDEX('Per Line'!$V$2:$V$3001,$W425))</f>
        <v/>
      </c>
      <c r="M425">
        <f>IF($W425="","",IF(ISNUMBER(SEARCH("3&amp;12",SUBSTITUTE(F425," ",""))),Settings!$G$7,Settings!$C$7))</f>
        <v/>
      </c>
      <c r="N425" s="7">
        <f>IF($W425="","",SUMIFS('Per Line'!$O$2:$O$3001,'Per Line'!$B$2:$B$3001,$B425,'Per Line'!$AB$2:$AB$3001,0))</f>
        <v/>
      </c>
      <c r="O425" s="7">
        <f>IF($W425="","",N425*M425)</f>
        <v/>
      </c>
      <c r="P425">
        <f>IF($W425="","",IF(ISNUMBER(SEARCH("3&amp;12",SUBSTITUTE(F425," ",""))),Settings!$G$6,Settings!$C$6))</f>
        <v/>
      </c>
      <c r="Q425" s="7">
        <f>IF($W425="","",SUMIFS('Per Line'!$O$2:$O$3001,'Per Line'!$B$2:$B$3001,$B425,'Per Line'!$AB$2:$AB$3001,1))</f>
        <v/>
      </c>
      <c r="R425" s="7">
        <f>IF($W425="","",Q425*P425)</f>
        <v/>
      </c>
      <c r="S425" s="7">
        <f>IF($W425="","",R425+O425)</f>
        <v/>
      </c>
      <c r="T425" s="7">
        <f>IF($W425="","",V425-S425)</f>
        <v/>
      </c>
      <c r="U425" s="7">
        <f>IF($W425="","",V425-S425-K425)</f>
        <v/>
      </c>
      <c r="V425" s="7">
        <f>IF($W425="","",N425+Q425)</f>
        <v/>
      </c>
      <c r="W425" s="16">
        <f>IF(ROWS($W$2:$W425)&lt;=MAX('Per Line'!$AA$2:$AA$3001),MATCH(ROWS($W$2:$W425),'Per Line'!$AA$2:$AA$3001,0),"")</f>
        <v/>
      </c>
      <c r="X425">
        <f>IF($W425="","",D425&amp;"|"&amp;COUNTIF($D$2:$D425,D425))</f>
        <v/>
      </c>
    </row>
    <row r="426">
      <c r="A426" s="15" t="n"/>
      <c r="B426">
        <f>IF($W426="","",INDEX('Per Line'!$B$2:$B$3001,$W426)&amp;"")</f>
        <v/>
      </c>
      <c r="C426">
        <f>IF($W426="","",INDEX('Per Line'!$C$2:$C$3001,$W426)&amp;"")</f>
        <v/>
      </c>
      <c r="D426">
        <f>IF($W426="","",IF(OR(TRIM(E426)="Orient Insurance Company",TRIM(E426)="Allianz"),TRIM(E426),TRIM(F426)))</f>
        <v/>
      </c>
      <c r="E426">
        <f>IF($W426="","",INDEX('Per Line'!$E$2:$E$3001,$W426)&amp;"")</f>
        <v/>
      </c>
      <c r="F426">
        <f>IF($W426="","",INDEX('Per Line'!$D$2:$D$3001,$W426)&amp;"")</f>
        <v/>
      </c>
      <c r="G426">
        <f>IF($W426="","",INDEX('Per Line'!$F$2:$F$3001,$W426)&amp;"")</f>
        <v/>
      </c>
      <c r="H426">
        <f>IF($W426="","",INDEX('Per Line'!$G$2:$G$3001,$W426)&amp;"")</f>
        <v/>
      </c>
      <c r="I426">
        <f>IF($W426="","",INDEX('Per Line'!$H$2:$H$3001,$W426)&amp;"")</f>
        <v/>
      </c>
      <c r="J426">
        <f>IF($W426="","",INDEX('Per Line'!$I$2:$I$3001,$W426))</f>
        <v/>
      </c>
      <c r="K426" s="7">
        <f>IF($W426="","",J426*T426/100)</f>
        <v/>
      </c>
      <c r="L426" s="14">
        <f>IF($W426="","",INDEX('Per Line'!$V$2:$V$3001,$W426))</f>
        <v/>
      </c>
      <c r="M426">
        <f>IF($W426="","",IF(ISNUMBER(SEARCH("3&amp;12",SUBSTITUTE(F426," ",""))),Settings!$G$7,Settings!$C$7))</f>
        <v/>
      </c>
      <c r="N426" s="7">
        <f>IF($W426="","",SUMIFS('Per Line'!$O$2:$O$3001,'Per Line'!$B$2:$B$3001,$B426,'Per Line'!$AB$2:$AB$3001,0))</f>
        <v/>
      </c>
      <c r="O426" s="7">
        <f>IF($W426="","",N426*M426)</f>
        <v/>
      </c>
      <c r="P426">
        <f>IF($W426="","",IF(ISNUMBER(SEARCH("3&amp;12",SUBSTITUTE(F426," ",""))),Settings!$G$6,Settings!$C$6))</f>
        <v/>
      </c>
      <c r="Q426" s="7">
        <f>IF($W426="","",SUMIFS('Per Line'!$O$2:$O$3001,'Per Line'!$B$2:$B$3001,$B426,'Per Line'!$AB$2:$AB$3001,1))</f>
        <v/>
      </c>
      <c r="R426" s="7">
        <f>IF($W426="","",Q426*P426)</f>
        <v/>
      </c>
      <c r="S426" s="7">
        <f>IF($W426="","",R426+O426)</f>
        <v/>
      </c>
      <c r="T426" s="7">
        <f>IF($W426="","",V426-S426)</f>
        <v/>
      </c>
      <c r="U426" s="7">
        <f>IF($W426="","",V426-S426-K426)</f>
        <v/>
      </c>
      <c r="V426" s="7">
        <f>IF($W426="","",N426+Q426)</f>
        <v/>
      </c>
      <c r="W426" s="16">
        <f>IF(ROWS($W$2:$W426)&lt;=MAX('Per Line'!$AA$2:$AA$3001),MATCH(ROWS($W$2:$W426),'Per Line'!$AA$2:$AA$3001,0),"")</f>
        <v/>
      </c>
      <c r="X426">
        <f>IF($W426="","",D426&amp;"|"&amp;COUNTIF($D$2:$D426,D426))</f>
        <v/>
      </c>
    </row>
    <row r="427">
      <c r="A427" s="15" t="n"/>
      <c r="B427">
        <f>IF($W427="","",INDEX('Per Line'!$B$2:$B$3001,$W427)&amp;"")</f>
        <v/>
      </c>
      <c r="C427">
        <f>IF($W427="","",INDEX('Per Line'!$C$2:$C$3001,$W427)&amp;"")</f>
        <v/>
      </c>
      <c r="D427">
        <f>IF($W427="","",IF(OR(TRIM(E427)="Orient Insurance Company",TRIM(E427)="Allianz"),TRIM(E427),TRIM(F427)))</f>
        <v/>
      </c>
      <c r="E427">
        <f>IF($W427="","",INDEX('Per Line'!$E$2:$E$3001,$W427)&amp;"")</f>
        <v/>
      </c>
      <c r="F427">
        <f>IF($W427="","",INDEX('Per Line'!$D$2:$D$3001,$W427)&amp;"")</f>
        <v/>
      </c>
      <c r="G427">
        <f>IF($W427="","",INDEX('Per Line'!$F$2:$F$3001,$W427)&amp;"")</f>
        <v/>
      </c>
      <c r="H427">
        <f>IF($W427="","",INDEX('Per Line'!$G$2:$G$3001,$W427)&amp;"")</f>
        <v/>
      </c>
      <c r="I427">
        <f>IF($W427="","",INDEX('Per Line'!$H$2:$H$3001,$W427)&amp;"")</f>
        <v/>
      </c>
      <c r="J427">
        <f>IF($W427="","",INDEX('Per Line'!$I$2:$I$3001,$W427))</f>
        <v/>
      </c>
      <c r="K427" s="7">
        <f>IF($W427="","",J427*T427/100)</f>
        <v/>
      </c>
      <c r="L427" s="14">
        <f>IF($W427="","",INDEX('Per Line'!$V$2:$V$3001,$W427))</f>
        <v/>
      </c>
      <c r="M427">
        <f>IF($W427="","",IF(ISNUMBER(SEARCH("3&amp;12",SUBSTITUTE(F427," ",""))),Settings!$G$7,Settings!$C$7))</f>
        <v/>
      </c>
      <c r="N427" s="7">
        <f>IF($W427="","",SUMIFS('Per Line'!$O$2:$O$3001,'Per Line'!$B$2:$B$3001,$B427,'Per Line'!$AB$2:$AB$3001,0))</f>
        <v/>
      </c>
      <c r="O427" s="7">
        <f>IF($W427="","",N427*M427)</f>
        <v/>
      </c>
      <c r="P427">
        <f>IF($W427="","",IF(ISNUMBER(SEARCH("3&amp;12",SUBSTITUTE(F427," ",""))),Settings!$G$6,Settings!$C$6))</f>
        <v/>
      </c>
      <c r="Q427" s="7">
        <f>IF($W427="","",SUMIFS('Per Line'!$O$2:$O$3001,'Per Line'!$B$2:$B$3001,$B427,'Per Line'!$AB$2:$AB$3001,1))</f>
        <v/>
      </c>
      <c r="R427" s="7">
        <f>IF($W427="","",Q427*P427)</f>
        <v/>
      </c>
      <c r="S427" s="7">
        <f>IF($W427="","",R427+O427)</f>
        <v/>
      </c>
      <c r="T427" s="7">
        <f>IF($W427="","",V427-S427)</f>
        <v/>
      </c>
      <c r="U427" s="7">
        <f>IF($W427="","",V427-S427-K427)</f>
        <v/>
      </c>
      <c r="V427" s="7">
        <f>IF($W427="","",N427+Q427)</f>
        <v/>
      </c>
      <c r="W427" s="16">
        <f>IF(ROWS($W$2:$W427)&lt;=MAX('Per Line'!$AA$2:$AA$3001),MATCH(ROWS($W$2:$W427),'Per Line'!$AA$2:$AA$3001,0),"")</f>
        <v/>
      </c>
      <c r="X427">
        <f>IF($W427="","",D427&amp;"|"&amp;COUNTIF($D$2:$D427,D427))</f>
        <v/>
      </c>
    </row>
    <row r="428">
      <c r="A428" s="15" t="n"/>
      <c r="B428">
        <f>IF($W428="","",INDEX('Per Line'!$B$2:$B$3001,$W428)&amp;"")</f>
        <v/>
      </c>
      <c r="C428">
        <f>IF($W428="","",INDEX('Per Line'!$C$2:$C$3001,$W428)&amp;"")</f>
        <v/>
      </c>
      <c r="D428">
        <f>IF($W428="","",IF(OR(TRIM(E428)="Orient Insurance Company",TRIM(E428)="Allianz"),TRIM(E428),TRIM(F428)))</f>
        <v/>
      </c>
      <c r="E428">
        <f>IF($W428="","",INDEX('Per Line'!$E$2:$E$3001,$W428)&amp;"")</f>
        <v/>
      </c>
      <c r="F428">
        <f>IF($W428="","",INDEX('Per Line'!$D$2:$D$3001,$W428)&amp;"")</f>
        <v/>
      </c>
      <c r="G428">
        <f>IF($W428="","",INDEX('Per Line'!$F$2:$F$3001,$W428)&amp;"")</f>
        <v/>
      </c>
      <c r="H428">
        <f>IF($W428="","",INDEX('Per Line'!$G$2:$G$3001,$W428)&amp;"")</f>
        <v/>
      </c>
      <c r="I428">
        <f>IF($W428="","",INDEX('Per Line'!$H$2:$H$3001,$W428)&amp;"")</f>
        <v/>
      </c>
      <c r="J428">
        <f>IF($W428="","",INDEX('Per Line'!$I$2:$I$3001,$W428))</f>
        <v/>
      </c>
      <c r="K428" s="7">
        <f>IF($W428="","",J428*T428/100)</f>
        <v/>
      </c>
      <c r="L428" s="14">
        <f>IF($W428="","",INDEX('Per Line'!$V$2:$V$3001,$W428))</f>
        <v/>
      </c>
      <c r="M428">
        <f>IF($W428="","",IF(ISNUMBER(SEARCH("3&amp;12",SUBSTITUTE(F428," ",""))),Settings!$G$7,Settings!$C$7))</f>
        <v/>
      </c>
      <c r="N428" s="7">
        <f>IF($W428="","",SUMIFS('Per Line'!$O$2:$O$3001,'Per Line'!$B$2:$B$3001,$B428,'Per Line'!$AB$2:$AB$3001,0))</f>
        <v/>
      </c>
      <c r="O428" s="7">
        <f>IF($W428="","",N428*M428)</f>
        <v/>
      </c>
      <c r="P428">
        <f>IF($W428="","",IF(ISNUMBER(SEARCH("3&amp;12",SUBSTITUTE(F428," ",""))),Settings!$G$6,Settings!$C$6))</f>
        <v/>
      </c>
      <c r="Q428" s="7">
        <f>IF($W428="","",SUMIFS('Per Line'!$O$2:$O$3001,'Per Line'!$B$2:$B$3001,$B428,'Per Line'!$AB$2:$AB$3001,1))</f>
        <v/>
      </c>
      <c r="R428" s="7">
        <f>IF($W428="","",Q428*P428)</f>
        <v/>
      </c>
      <c r="S428" s="7">
        <f>IF($W428="","",R428+O428)</f>
        <v/>
      </c>
      <c r="T428" s="7">
        <f>IF($W428="","",V428-S428)</f>
        <v/>
      </c>
      <c r="U428" s="7">
        <f>IF($W428="","",V428-S428-K428)</f>
        <v/>
      </c>
      <c r="V428" s="7">
        <f>IF($W428="","",N428+Q428)</f>
        <v/>
      </c>
      <c r="W428" s="16">
        <f>IF(ROWS($W$2:$W428)&lt;=MAX('Per Line'!$AA$2:$AA$3001),MATCH(ROWS($W$2:$W428),'Per Line'!$AA$2:$AA$3001,0),"")</f>
        <v/>
      </c>
      <c r="X428">
        <f>IF($W428="","",D428&amp;"|"&amp;COUNTIF($D$2:$D428,D428))</f>
        <v/>
      </c>
    </row>
    <row r="429">
      <c r="A429" s="15" t="n"/>
      <c r="B429">
        <f>IF($W429="","",INDEX('Per Line'!$B$2:$B$3001,$W429)&amp;"")</f>
        <v/>
      </c>
      <c r="C429">
        <f>IF($W429="","",INDEX('Per Line'!$C$2:$C$3001,$W429)&amp;"")</f>
        <v/>
      </c>
      <c r="D429">
        <f>IF($W429="","",IF(OR(TRIM(E429)="Orient Insurance Company",TRIM(E429)="Allianz"),TRIM(E429),TRIM(F429)))</f>
        <v/>
      </c>
      <c r="E429">
        <f>IF($W429="","",INDEX('Per Line'!$E$2:$E$3001,$W429)&amp;"")</f>
        <v/>
      </c>
      <c r="F429">
        <f>IF($W429="","",INDEX('Per Line'!$D$2:$D$3001,$W429)&amp;"")</f>
        <v/>
      </c>
      <c r="G429">
        <f>IF($W429="","",INDEX('Per Line'!$F$2:$F$3001,$W429)&amp;"")</f>
        <v/>
      </c>
      <c r="H429">
        <f>IF($W429="","",INDEX('Per Line'!$G$2:$G$3001,$W429)&amp;"")</f>
        <v/>
      </c>
      <c r="I429">
        <f>IF($W429="","",INDEX('Per Line'!$H$2:$H$3001,$W429)&amp;"")</f>
        <v/>
      </c>
      <c r="J429">
        <f>IF($W429="","",INDEX('Per Line'!$I$2:$I$3001,$W429))</f>
        <v/>
      </c>
      <c r="K429" s="7">
        <f>IF($W429="","",J429*T429/100)</f>
        <v/>
      </c>
      <c r="L429" s="14">
        <f>IF($W429="","",INDEX('Per Line'!$V$2:$V$3001,$W429))</f>
        <v/>
      </c>
      <c r="M429">
        <f>IF($W429="","",IF(ISNUMBER(SEARCH("3&amp;12",SUBSTITUTE(F429," ",""))),Settings!$G$7,Settings!$C$7))</f>
        <v/>
      </c>
      <c r="N429" s="7">
        <f>IF($W429="","",SUMIFS('Per Line'!$O$2:$O$3001,'Per Line'!$B$2:$B$3001,$B429,'Per Line'!$AB$2:$AB$3001,0))</f>
        <v/>
      </c>
      <c r="O429" s="7">
        <f>IF($W429="","",N429*M429)</f>
        <v/>
      </c>
      <c r="P429">
        <f>IF($W429="","",IF(ISNUMBER(SEARCH("3&amp;12",SUBSTITUTE(F429," ",""))),Settings!$G$6,Settings!$C$6))</f>
        <v/>
      </c>
      <c r="Q429" s="7">
        <f>IF($W429="","",SUMIFS('Per Line'!$O$2:$O$3001,'Per Line'!$B$2:$B$3001,$B429,'Per Line'!$AB$2:$AB$3001,1))</f>
        <v/>
      </c>
      <c r="R429" s="7">
        <f>IF($W429="","",Q429*P429)</f>
        <v/>
      </c>
      <c r="S429" s="7">
        <f>IF($W429="","",R429+O429)</f>
        <v/>
      </c>
      <c r="T429" s="7">
        <f>IF($W429="","",V429-S429)</f>
        <v/>
      </c>
      <c r="U429" s="7">
        <f>IF($W429="","",V429-S429-K429)</f>
        <v/>
      </c>
      <c r="V429" s="7">
        <f>IF($W429="","",N429+Q429)</f>
        <v/>
      </c>
      <c r="W429" s="16">
        <f>IF(ROWS($W$2:$W429)&lt;=MAX('Per Line'!$AA$2:$AA$3001),MATCH(ROWS($W$2:$W429),'Per Line'!$AA$2:$AA$3001,0),"")</f>
        <v/>
      </c>
      <c r="X429">
        <f>IF($W429="","",D429&amp;"|"&amp;COUNTIF($D$2:$D429,D429))</f>
        <v/>
      </c>
    </row>
    <row r="430">
      <c r="A430" s="15" t="n"/>
      <c r="B430">
        <f>IF($W430="","",INDEX('Per Line'!$B$2:$B$3001,$W430)&amp;"")</f>
        <v/>
      </c>
      <c r="C430">
        <f>IF($W430="","",INDEX('Per Line'!$C$2:$C$3001,$W430)&amp;"")</f>
        <v/>
      </c>
      <c r="D430">
        <f>IF($W430="","",IF(OR(TRIM(E430)="Orient Insurance Company",TRIM(E430)="Allianz"),TRIM(E430),TRIM(F430)))</f>
        <v/>
      </c>
      <c r="E430">
        <f>IF($W430="","",INDEX('Per Line'!$E$2:$E$3001,$W430)&amp;"")</f>
        <v/>
      </c>
      <c r="F430">
        <f>IF($W430="","",INDEX('Per Line'!$D$2:$D$3001,$W430)&amp;"")</f>
        <v/>
      </c>
      <c r="G430">
        <f>IF($W430="","",INDEX('Per Line'!$F$2:$F$3001,$W430)&amp;"")</f>
        <v/>
      </c>
      <c r="H430">
        <f>IF($W430="","",INDEX('Per Line'!$G$2:$G$3001,$W430)&amp;"")</f>
        <v/>
      </c>
      <c r="I430">
        <f>IF($W430="","",INDEX('Per Line'!$H$2:$H$3001,$W430)&amp;"")</f>
        <v/>
      </c>
      <c r="J430">
        <f>IF($W430="","",INDEX('Per Line'!$I$2:$I$3001,$W430))</f>
        <v/>
      </c>
      <c r="K430" s="7">
        <f>IF($W430="","",J430*T430/100)</f>
        <v/>
      </c>
      <c r="L430" s="14">
        <f>IF($W430="","",INDEX('Per Line'!$V$2:$V$3001,$W430))</f>
        <v/>
      </c>
      <c r="M430">
        <f>IF($W430="","",IF(ISNUMBER(SEARCH("3&amp;12",SUBSTITUTE(F430," ",""))),Settings!$G$7,Settings!$C$7))</f>
        <v/>
      </c>
      <c r="N430" s="7">
        <f>IF($W430="","",SUMIFS('Per Line'!$O$2:$O$3001,'Per Line'!$B$2:$B$3001,$B430,'Per Line'!$AB$2:$AB$3001,0))</f>
        <v/>
      </c>
      <c r="O430" s="7">
        <f>IF($W430="","",N430*M430)</f>
        <v/>
      </c>
      <c r="P430">
        <f>IF($W430="","",IF(ISNUMBER(SEARCH("3&amp;12",SUBSTITUTE(F430," ",""))),Settings!$G$6,Settings!$C$6))</f>
        <v/>
      </c>
      <c r="Q430" s="7">
        <f>IF($W430="","",SUMIFS('Per Line'!$O$2:$O$3001,'Per Line'!$B$2:$B$3001,$B430,'Per Line'!$AB$2:$AB$3001,1))</f>
        <v/>
      </c>
      <c r="R430" s="7">
        <f>IF($W430="","",Q430*P430)</f>
        <v/>
      </c>
      <c r="S430" s="7">
        <f>IF($W430="","",R430+O430)</f>
        <v/>
      </c>
      <c r="T430" s="7">
        <f>IF($W430="","",V430-S430)</f>
        <v/>
      </c>
      <c r="U430" s="7">
        <f>IF($W430="","",V430-S430-K430)</f>
        <v/>
      </c>
      <c r="V430" s="7">
        <f>IF($W430="","",N430+Q430)</f>
        <v/>
      </c>
      <c r="W430" s="16">
        <f>IF(ROWS($W$2:$W430)&lt;=MAX('Per Line'!$AA$2:$AA$3001),MATCH(ROWS($W$2:$W430),'Per Line'!$AA$2:$AA$3001,0),"")</f>
        <v/>
      </c>
      <c r="X430">
        <f>IF($W430="","",D430&amp;"|"&amp;COUNTIF($D$2:$D430,D430))</f>
        <v/>
      </c>
    </row>
    <row r="431">
      <c r="A431" s="15" t="n"/>
      <c r="B431">
        <f>IF($W431="","",INDEX('Per Line'!$B$2:$B$3001,$W431)&amp;"")</f>
        <v/>
      </c>
      <c r="C431">
        <f>IF($W431="","",INDEX('Per Line'!$C$2:$C$3001,$W431)&amp;"")</f>
        <v/>
      </c>
      <c r="D431">
        <f>IF($W431="","",IF(OR(TRIM(E431)="Orient Insurance Company",TRIM(E431)="Allianz"),TRIM(E431),TRIM(F431)))</f>
        <v/>
      </c>
      <c r="E431">
        <f>IF($W431="","",INDEX('Per Line'!$E$2:$E$3001,$W431)&amp;"")</f>
        <v/>
      </c>
      <c r="F431">
        <f>IF($W431="","",INDEX('Per Line'!$D$2:$D$3001,$W431)&amp;"")</f>
        <v/>
      </c>
      <c r="G431">
        <f>IF($W431="","",INDEX('Per Line'!$F$2:$F$3001,$W431)&amp;"")</f>
        <v/>
      </c>
      <c r="H431">
        <f>IF($W431="","",INDEX('Per Line'!$G$2:$G$3001,$W431)&amp;"")</f>
        <v/>
      </c>
      <c r="I431">
        <f>IF($W431="","",INDEX('Per Line'!$H$2:$H$3001,$W431)&amp;"")</f>
        <v/>
      </c>
      <c r="J431">
        <f>IF($W431="","",INDEX('Per Line'!$I$2:$I$3001,$W431))</f>
        <v/>
      </c>
      <c r="K431" s="7">
        <f>IF($W431="","",J431*T431/100)</f>
        <v/>
      </c>
      <c r="L431" s="14">
        <f>IF($W431="","",INDEX('Per Line'!$V$2:$V$3001,$W431))</f>
        <v/>
      </c>
      <c r="M431">
        <f>IF($W431="","",IF(ISNUMBER(SEARCH("3&amp;12",SUBSTITUTE(F431," ",""))),Settings!$G$7,Settings!$C$7))</f>
        <v/>
      </c>
      <c r="N431" s="7">
        <f>IF($W431="","",SUMIFS('Per Line'!$O$2:$O$3001,'Per Line'!$B$2:$B$3001,$B431,'Per Line'!$AB$2:$AB$3001,0))</f>
        <v/>
      </c>
      <c r="O431" s="7">
        <f>IF($W431="","",N431*M431)</f>
        <v/>
      </c>
      <c r="P431">
        <f>IF($W431="","",IF(ISNUMBER(SEARCH("3&amp;12",SUBSTITUTE(F431," ",""))),Settings!$G$6,Settings!$C$6))</f>
        <v/>
      </c>
      <c r="Q431" s="7">
        <f>IF($W431="","",SUMIFS('Per Line'!$O$2:$O$3001,'Per Line'!$B$2:$B$3001,$B431,'Per Line'!$AB$2:$AB$3001,1))</f>
        <v/>
      </c>
      <c r="R431" s="7">
        <f>IF($W431="","",Q431*P431)</f>
        <v/>
      </c>
      <c r="S431" s="7">
        <f>IF($W431="","",R431+O431)</f>
        <v/>
      </c>
      <c r="T431" s="7">
        <f>IF($W431="","",V431-S431)</f>
        <v/>
      </c>
      <c r="U431" s="7">
        <f>IF($W431="","",V431-S431-K431)</f>
        <v/>
      </c>
      <c r="V431" s="7">
        <f>IF($W431="","",N431+Q431)</f>
        <v/>
      </c>
      <c r="W431" s="16">
        <f>IF(ROWS($W$2:$W431)&lt;=MAX('Per Line'!$AA$2:$AA$3001),MATCH(ROWS($W$2:$W431),'Per Line'!$AA$2:$AA$3001,0),"")</f>
        <v/>
      </c>
      <c r="X431">
        <f>IF($W431="","",D431&amp;"|"&amp;COUNTIF($D$2:$D431,D431))</f>
        <v/>
      </c>
    </row>
    <row r="432">
      <c r="A432" s="15" t="n"/>
      <c r="B432">
        <f>IF($W432="","",INDEX('Per Line'!$B$2:$B$3001,$W432)&amp;"")</f>
        <v/>
      </c>
      <c r="C432">
        <f>IF($W432="","",INDEX('Per Line'!$C$2:$C$3001,$W432)&amp;"")</f>
        <v/>
      </c>
      <c r="D432">
        <f>IF($W432="","",IF(OR(TRIM(E432)="Orient Insurance Company",TRIM(E432)="Allianz"),TRIM(E432),TRIM(F432)))</f>
        <v/>
      </c>
      <c r="E432">
        <f>IF($W432="","",INDEX('Per Line'!$E$2:$E$3001,$W432)&amp;"")</f>
        <v/>
      </c>
      <c r="F432">
        <f>IF($W432="","",INDEX('Per Line'!$D$2:$D$3001,$W432)&amp;"")</f>
        <v/>
      </c>
      <c r="G432">
        <f>IF($W432="","",INDEX('Per Line'!$F$2:$F$3001,$W432)&amp;"")</f>
        <v/>
      </c>
      <c r="H432">
        <f>IF($W432="","",INDEX('Per Line'!$G$2:$G$3001,$W432)&amp;"")</f>
        <v/>
      </c>
      <c r="I432">
        <f>IF($W432="","",INDEX('Per Line'!$H$2:$H$3001,$W432)&amp;"")</f>
        <v/>
      </c>
      <c r="J432">
        <f>IF($W432="","",INDEX('Per Line'!$I$2:$I$3001,$W432))</f>
        <v/>
      </c>
      <c r="K432" s="7">
        <f>IF($W432="","",J432*T432/100)</f>
        <v/>
      </c>
      <c r="L432" s="14">
        <f>IF($W432="","",INDEX('Per Line'!$V$2:$V$3001,$W432))</f>
        <v/>
      </c>
      <c r="M432">
        <f>IF($W432="","",IF(ISNUMBER(SEARCH("3&amp;12",SUBSTITUTE(F432," ",""))),Settings!$G$7,Settings!$C$7))</f>
        <v/>
      </c>
      <c r="N432" s="7">
        <f>IF($W432="","",SUMIFS('Per Line'!$O$2:$O$3001,'Per Line'!$B$2:$B$3001,$B432,'Per Line'!$AB$2:$AB$3001,0))</f>
        <v/>
      </c>
      <c r="O432" s="7">
        <f>IF($W432="","",N432*M432)</f>
        <v/>
      </c>
      <c r="P432">
        <f>IF($W432="","",IF(ISNUMBER(SEARCH("3&amp;12",SUBSTITUTE(F432," ",""))),Settings!$G$6,Settings!$C$6))</f>
        <v/>
      </c>
      <c r="Q432" s="7">
        <f>IF($W432="","",SUMIFS('Per Line'!$O$2:$O$3001,'Per Line'!$B$2:$B$3001,$B432,'Per Line'!$AB$2:$AB$3001,1))</f>
        <v/>
      </c>
      <c r="R432" s="7">
        <f>IF($W432="","",Q432*P432)</f>
        <v/>
      </c>
      <c r="S432" s="7">
        <f>IF($W432="","",R432+O432)</f>
        <v/>
      </c>
      <c r="T432" s="7">
        <f>IF($W432="","",V432-S432)</f>
        <v/>
      </c>
      <c r="U432" s="7">
        <f>IF($W432="","",V432-S432-K432)</f>
        <v/>
      </c>
      <c r="V432" s="7">
        <f>IF($W432="","",N432+Q432)</f>
        <v/>
      </c>
      <c r="W432" s="16">
        <f>IF(ROWS($W$2:$W432)&lt;=MAX('Per Line'!$AA$2:$AA$3001),MATCH(ROWS($W$2:$W432),'Per Line'!$AA$2:$AA$3001,0),"")</f>
        <v/>
      </c>
      <c r="X432">
        <f>IF($W432="","",D432&amp;"|"&amp;COUNTIF($D$2:$D432,D432))</f>
        <v/>
      </c>
    </row>
    <row r="433">
      <c r="A433" s="15" t="n"/>
      <c r="B433">
        <f>IF($W433="","",INDEX('Per Line'!$B$2:$B$3001,$W433)&amp;"")</f>
        <v/>
      </c>
      <c r="C433">
        <f>IF($W433="","",INDEX('Per Line'!$C$2:$C$3001,$W433)&amp;"")</f>
        <v/>
      </c>
      <c r="D433">
        <f>IF($W433="","",IF(OR(TRIM(E433)="Orient Insurance Company",TRIM(E433)="Allianz"),TRIM(E433),TRIM(F433)))</f>
        <v/>
      </c>
      <c r="E433">
        <f>IF($W433="","",INDEX('Per Line'!$E$2:$E$3001,$W433)&amp;"")</f>
        <v/>
      </c>
      <c r="F433">
        <f>IF($W433="","",INDEX('Per Line'!$D$2:$D$3001,$W433)&amp;"")</f>
        <v/>
      </c>
      <c r="G433">
        <f>IF($W433="","",INDEX('Per Line'!$F$2:$F$3001,$W433)&amp;"")</f>
        <v/>
      </c>
      <c r="H433">
        <f>IF($W433="","",INDEX('Per Line'!$G$2:$G$3001,$W433)&amp;"")</f>
        <v/>
      </c>
      <c r="I433">
        <f>IF($W433="","",INDEX('Per Line'!$H$2:$H$3001,$W433)&amp;"")</f>
        <v/>
      </c>
      <c r="J433">
        <f>IF($W433="","",INDEX('Per Line'!$I$2:$I$3001,$W433))</f>
        <v/>
      </c>
      <c r="K433" s="7">
        <f>IF($W433="","",J433*T433/100)</f>
        <v/>
      </c>
      <c r="L433" s="14">
        <f>IF($W433="","",INDEX('Per Line'!$V$2:$V$3001,$W433))</f>
        <v/>
      </c>
      <c r="M433">
        <f>IF($W433="","",IF(ISNUMBER(SEARCH("3&amp;12",SUBSTITUTE(F433," ",""))),Settings!$G$7,Settings!$C$7))</f>
        <v/>
      </c>
      <c r="N433" s="7">
        <f>IF($W433="","",SUMIFS('Per Line'!$O$2:$O$3001,'Per Line'!$B$2:$B$3001,$B433,'Per Line'!$AB$2:$AB$3001,0))</f>
        <v/>
      </c>
      <c r="O433" s="7">
        <f>IF($W433="","",N433*M433)</f>
        <v/>
      </c>
      <c r="P433">
        <f>IF($W433="","",IF(ISNUMBER(SEARCH("3&amp;12",SUBSTITUTE(F433," ",""))),Settings!$G$6,Settings!$C$6))</f>
        <v/>
      </c>
      <c r="Q433" s="7">
        <f>IF($W433="","",SUMIFS('Per Line'!$O$2:$O$3001,'Per Line'!$B$2:$B$3001,$B433,'Per Line'!$AB$2:$AB$3001,1))</f>
        <v/>
      </c>
      <c r="R433" s="7">
        <f>IF($W433="","",Q433*P433)</f>
        <v/>
      </c>
      <c r="S433" s="7">
        <f>IF($W433="","",R433+O433)</f>
        <v/>
      </c>
      <c r="T433" s="7">
        <f>IF($W433="","",V433-S433)</f>
        <v/>
      </c>
      <c r="U433" s="7">
        <f>IF($W433="","",V433-S433-K433)</f>
        <v/>
      </c>
      <c r="V433" s="7">
        <f>IF($W433="","",N433+Q433)</f>
        <v/>
      </c>
      <c r="W433" s="16">
        <f>IF(ROWS($W$2:$W433)&lt;=MAX('Per Line'!$AA$2:$AA$3001),MATCH(ROWS($W$2:$W433),'Per Line'!$AA$2:$AA$3001,0),"")</f>
        <v/>
      </c>
      <c r="X433">
        <f>IF($W433="","",D433&amp;"|"&amp;COUNTIF($D$2:$D433,D433))</f>
        <v/>
      </c>
    </row>
    <row r="434">
      <c r="A434" s="15" t="n"/>
      <c r="B434">
        <f>IF($W434="","",INDEX('Per Line'!$B$2:$B$3001,$W434)&amp;"")</f>
        <v/>
      </c>
      <c r="C434">
        <f>IF($W434="","",INDEX('Per Line'!$C$2:$C$3001,$W434)&amp;"")</f>
        <v/>
      </c>
      <c r="D434">
        <f>IF($W434="","",IF(OR(TRIM(E434)="Orient Insurance Company",TRIM(E434)="Allianz"),TRIM(E434),TRIM(F434)))</f>
        <v/>
      </c>
      <c r="E434">
        <f>IF($W434="","",INDEX('Per Line'!$E$2:$E$3001,$W434)&amp;"")</f>
        <v/>
      </c>
      <c r="F434">
        <f>IF($W434="","",INDEX('Per Line'!$D$2:$D$3001,$W434)&amp;"")</f>
        <v/>
      </c>
      <c r="G434">
        <f>IF($W434="","",INDEX('Per Line'!$F$2:$F$3001,$W434)&amp;"")</f>
        <v/>
      </c>
      <c r="H434">
        <f>IF($W434="","",INDEX('Per Line'!$G$2:$G$3001,$W434)&amp;"")</f>
        <v/>
      </c>
      <c r="I434">
        <f>IF($W434="","",INDEX('Per Line'!$H$2:$H$3001,$W434)&amp;"")</f>
        <v/>
      </c>
      <c r="J434">
        <f>IF($W434="","",INDEX('Per Line'!$I$2:$I$3001,$W434))</f>
        <v/>
      </c>
      <c r="K434" s="7">
        <f>IF($W434="","",J434*T434/100)</f>
        <v/>
      </c>
      <c r="L434" s="14">
        <f>IF($W434="","",INDEX('Per Line'!$V$2:$V$3001,$W434))</f>
        <v/>
      </c>
      <c r="M434">
        <f>IF($W434="","",IF(ISNUMBER(SEARCH("3&amp;12",SUBSTITUTE(F434," ",""))),Settings!$G$7,Settings!$C$7))</f>
        <v/>
      </c>
      <c r="N434" s="7">
        <f>IF($W434="","",SUMIFS('Per Line'!$O$2:$O$3001,'Per Line'!$B$2:$B$3001,$B434,'Per Line'!$AB$2:$AB$3001,0))</f>
        <v/>
      </c>
      <c r="O434" s="7">
        <f>IF($W434="","",N434*M434)</f>
        <v/>
      </c>
      <c r="P434">
        <f>IF($W434="","",IF(ISNUMBER(SEARCH("3&amp;12",SUBSTITUTE(F434," ",""))),Settings!$G$6,Settings!$C$6))</f>
        <v/>
      </c>
      <c r="Q434" s="7">
        <f>IF($W434="","",SUMIFS('Per Line'!$O$2:$O$3001,'Per Line'!$B$2:$B$3001,$B434,'Per Line'!$AB$2:$AB$3001,1))</f>
        <v/>
      </c>
      <c r="R434" s="7">
        <f>IF($W434="","",Q434*P434)</f>
        <v/>
      </c>
      <c r="S434" s="7">
        <f>IF($W434="","",R434+O434)</f>
        <v/>
      </c>
      <c r="T434" s="7">
        <f>IF($W434="","",V434-S434)</f>
        <v/>
      </c>
      <c r="U434" s="7">
        <f>IF($W434="","",V434-S434-K434)</f>
        <v/>
      </c>
      <c r="V434" s="7">
        <f>IF($W434="","",N434+Q434)</f>
        <v/>
      </c>
      <c r="W434" s="16">
        <f>IF(ROWS($W$2:$W434)&lt;=MAX('Per Line'!$AA$2:$AA$3001),MATCH(ROWS($W$2:$W434),'Per Line'!$AA$2:$AA$3001,0),"")</f>
        <v/>
      </c>
      <c r="X434">
        <f>IF($W434="","",D434&amp;"|"&amp;COUNTIF($D$2:$D434,D434))</f>
        <v/>
      </c>
    </row>
    <row r="435">
      <c r="A435" s="15" t="n"/>
      <c r="B435">
        <f>IF($W435="","",INDEX('Per Line'!$B$2:$B$3001,$W435)&amp;"")</f>
        <v/>
      </c>
      <c r="C435">
        <f>IF($W435="","",INDEX('Per Line'!$C$2:$C$3001,$W435)&amp;"")</f>
        <v/>
      </c>
      <c r="D435">
        <f>IF($W435="","",IF(OR(TRIM(E435)="Orient Insurance Company",TRIM(E435)="Allianz"),TRIM(E435),TRIM(F435)))</f>
        <v/>
      </c>
      <c r="E435">
        <f>IF($W435="","",INDEX('Per Line'!$E$2:$E$3001,$W435)&amp;"")</f>
        <v/>
      </c>
      <c r="F435">
        <f>IF($W435="","",INDEX('Per Line'!$D$2:$D$3001,$W435)&amp;"")</f>
        <v/>
      </c>
      <c r="G435">
        <f>IF($W435="","",INDEX('Per Line'!$F$2:$F$3001,$W435)&amp;"")</f>
        <v/>
      </c>
      <c r="H435">
        <f>IF($W435="","",INDEX('Per Line'!$G$2:$G$3001,$W435)&amp;"")</f>
        <v/>
      </c>
      <c r="I435">
        <f>IF($W435="","",INDEX('Per Line'!$H$2:$H$3001,$W435)&amp;"")</f>
        <v/>
      </c>
      <c r="J435">
        <f>IF($W435="","",INDEX('Per Line'!$I$2:$I$3001,$W435))</f>
        <v/>
      </c>
      <c r="K435" s="7">
        <f>IF($W435="","",J435*T435/100)</f>
        <v/>
      </c>
      <c r="L435" s="14">
        <f>IF($W435="","",INDEX('Per Line'!$V$2:$V$3001,$W435))</f>
        <v/>
      </c>
      <c r="M435">
        <f>IF($W435="","",IF(ISNUMBER(SEARCH("3&amp;12",SUBSTITUTE(F435," ",""))),Settings!$G$7,Settings!$C$7))</f>
        <v/>
      </c>
      <c r="N435" s="7">
        <f>IF($W435="","",SUMIFS('Per Line'!$O$2:$O$3001,'Per Line'!$B$2:$B$3001,$B435,'Per Line'!$AB$2:$AB$3001,0))</f>
        <v/>
      </c>
      <c r="O435" s="7">
        <f>IF($W435="","",N435*M435)</f>
        <v/>
      </c>
      <c r="P435">
        <f>IF($W435="","",IF(ISNUMBER(SEARCH("3&amp;12",SUBSTITUTE(F435," ",""))),Settings!$G$6,Settings!$C$6))</f>
        <v/>
      </c>
      <c r="Q435" s="7">
        <f>IF($W435="","",SUMIFS('Per Line'!$O$2:$O$3001,'Per Line'!$B$2:$B$3001,$B435,'Per Line'!$AB$2:$AB$3001,1))</f>
        <v/>
      </c>
      <c r="R435" s="7">
        <f>IF($W435="","",Q435*P435)</f>
        <v/>
      </c>
      <c r="S435" s="7">
        <f>IF($W435="","",R435+O435)</f>
        <v/>
      </c>
      <c r="T435" s="7">
        <f>IF($W435="","",V435-S435)</f>
        <v/>
      </c>
      <c r="U435" s="7">
        <f>IF($W435="","",V435-S435-K435)</f>
        <v/>
      </c>
      <c r="V435" s="7">
        <f>IF($W435="","",N435+Q435)</f>
        <v/>
      </c>
      <c r="W435" s="16">
        <f>IF(ROWS($W$2:$W435)&lt;=MAX('Per Line'!$AA$2:$AA$3001),MATCH(ROWS($W$2:$W435),'Per Line'!$AA$2:$AA$3001,0),"")</f>
        <v/>
      </c>
      <c r="X435">
        <f>IF($W435="","",D435&amp;"|"&amp;COUNTIF($D$2:$D435,D435))</f>
        <v/>
      </c>
    </row>
    <row r="436">
      <c r="A436" s="15" t="n"/>
      <c r="B436">
        <f>IF($W436="","",INDEX('Per Line'!$B$2:$B$3001,$W436)&amp;"")</f>
        <v/>
      </c>
      <c r="C436">
        <f>IF($W436="","",INDEX('Per Line'!$C$2:$C$3001,$W436)&amp;"")</f>
        <v/>
      </c>
      <c r="D436">
        <f>IF($W436="","",IF(OR(TRIM(E436)="Orient Insurance Company",TRIM(E436)="Allianz"),TRIM(E436),TRIM(F436)))</f>
        <v/>
      </c>
      <c r="E436">
        <f>IF($W436="","",INDEX('Per Line'!$E$2:$E$3001,$W436)&amp;"")</f>
        <v/>
      </c>
      <c r="F436">
        <f>IF($W436="","",INDEX('Per Line'!$D$2:$D$3001,$W436)&amp;"")</f>
        <v/>
      </c>
      <c r="G436">
        <f>IF($W436="","",INDEX('Per Line'!$F$2:$F$3001,$W436)&amp;"")</f>
        <v/>
      </c>
      <c r="H436">
        <f>IF($W436="","",INDEX('Per Line'!$G$2:$G$3001,$W436)&amp;"")</f>
        <v/>
      </c>
      <c r="I436">
        <f>IF($W436="","",INDEX('Per Line'!$H$2:$H$3001,$W436)&amp;"")</f>
        <v/>
      </c>
      <c r="J436">
        <f>IF($W436="","",INDEX('Per Line'!$I$2:$I$3001,$W436))</f>
        <v/>
      </c>
      <c r="K436" s="7">
        <f>IF($W436="","",J436*T436/100)</f>
        <v/>
      </c>
      <c r="L436" s="14">
        <f>IF($W436="","",INDEX('Per Line'!$V$2:$V$3001,$W436))</f>
        <v/>
      </c>
      <c r="M436">
        <f>IF($W436="","",IF(ISNUMBER(SEARCH("3&amp;12",SUBSTITUTE(F436," ",""))),Settings!$G$7,Settings!$C$7))</f>
        <v/>
      </c>
      <c r="N436" s="7">
        <f>IF($W436="","",SUMIFS('Per Line'!$O$2:$O$3001,'Per Line'!$B$2:$B$3001,$B436,'Per Line'!$AB$2:$AB$3001,0))</f>
        <v/>
      </c>
      <c r="O436" s="7">
        <f>IF($W436="","",N436*M436)</f>
        <v/>
      </c>
      <c r="P436">
        <f>IF($W436="","",IF(ISNUMBER(SEARCH("3&amp;12",SUBSTITUTE(F436," ",""))),Settings!$G$6,Settings!$C$6))</f>
        <v/>
      </c>
      <c r="Q436" s="7">
        <f>IF($W436="","",SUMIFS('Per Line'!$O$2:$O$3001,'Per Line'!$B$2:$B$3001,$B436,'Per Line'!$AB$2:$AB$3001,1))</f>
        <v/>
      </c>
      <c r="R436" s="7">
        <f>IF($W436="","",Q436*P436)</f>
        <v/>
      </c>
      <c r="S436" s="7">
        <f>IF($W436="","",R436+O436)</f>
        <v/>
      </c>
      <c r="T436" s="7">
        <f>IF($W436="","",V436-S436)</f>
        <v/>
      </c>
      <c r="U436" s="7">
        <f>IF($W436="","",V436-S436-K436)</f>
        <v/>
      </c>
      <c r="V436" s="7">
        <f>IF($W436="","",N436+Q436)</f>
        <v/>
      </c>
      <c r="W436" s="16">
        <f>IF(ROWS($W$2:$W436)&lt;=MAX('Per Line'!$AA$2:$AA$3001),MATCH(ROWS($W$2:$W436),'Per Line'!$AA$2:$AA$3001,0),"")</f>
        <v/>
      </c>
      <c r="X436">
        <f>IF($W436="","",D436&amp;"|"&amp;COUNTIF($D$2:$D436,D436))</f>
        <v/>
      </c>
    </row>
    <row r="437">
      <c r="A437" s="15" t="n"/>
      <c r="B437">
        <f>IF($W437="","",INDEX('Per Line'!$B$2:$B$3001,$W437)&amp;"")</f>
        <v/>
      </c>
      <c r="C437">
        <f>IF($W437="","",INDEX('Per Line'!$C$2:$C$3001,$W437)&amp;"")</f>
        <v/>
      </c>
      <c r="D437">
        <f>IF($W437="","",IF(OR(TRIM(E437)="Orient Insurance Company",TRIM(E437)="Allianz"),TRIM(E437),TRIM(F437)))</f>
        <v/>
      </c>
      <c r="E437">
        <f>IF($W437="","",INDEX('Per Line'!$E$2:$E$3001,$W437)&amp;"")</f>
        <v/>
      </c>
      <c r="F437">
        <f>IF($W437="","",INDEX('Per Line'!$D$2:$D$3001,$W437)&amp;"")</f>
        <v/>
      </c>
      <c r="G437">
        <f>IF($W437="","",INDEX('Per Line'!$F$2:$F$3001,$W437)&amp;"")</f>
        <v/>
      </c>
      <c r="H437">
        <f>IF($W437="","",INDEX('Per Line'!$G$2:$G$3001,$W437)&amp;"")</f>
        <v/>
      </c>
      <c r="I437">
        <f>IF($W437="","",INDEX('Per Line'!$H$2:$H$3001,$W437)&amp;"")</f>
        <v/>
      </c>
      <c r="J437">
        <f>IF($W437="","",INDEX('Per Line'!$I$2:$I$3001,$W437))</f>
        <v/>
      </c>
      <c r="K437" s="7">
        <f>IF($W437="","",J437*T437/100)</f>
        <v/>
      </c>
      <c r="L437" s="14">
        <f>IF($W437="","",INDEX('Per Line'!$V$2:$V$3001,$W437))</f>
        <v/>
      </c>
      <c r="M437">
        <f>IF($W437="","",IF(ISNUMBER(SEARCH("3&amp;12",SUBSTITUTE(F437," ",""))),Settings!$G$7,Settings!$C$7))</f>
        <v/>
      </c>
      <c r="N437" s="7">
        <f>IF($W437="","",SUMIFS('Per Line'!$O$2:$O$3001,'Per Line'!$B$2:$B$3001,$B437,'Per Line'!$AB$2:$AB$3001,0))</f>
        <v/>
      </c>
      <c r="O437" s="7">
        <f>IF($W437="","",N437*M437)</f>
        <v/>
      </c>
      <c r="P437">
        <f>IF($W437="","",IF(ISNUMBER(SEARCH("3&amp;12",SUBSTITUTE(F437," ",""))),Settings!$G$6,Settings!$C$6))</f>
        <v/>
      </c>
      <c r="Q437" s="7">
        <f>IF($W437="","",SUMIFS('Per Line'!$O$2:$O$3001,'Per Line'!$B$2:$B$3001,$B437,'Per Line'!$AB$2:$AB$3001,1))</f>
        <v/>
      </c>
      <c r="R437" s="7">
        <f>IF($W437="","",Q437*P437)</f>
        <v/>
      </c>
      <c r="S437" s="7">
        <f>IF($W437="","",R437+O437)</f>
        <v/>
      </c>
      <c r="T437" s="7">
        <f>IF($W437="","",V437-S437)</f>
        <v/>
      </c>
      <c r="U437" s="7">
        <f>IF($W437="","",V437-S437-K437)</f>
        <v/>
      </c>
      <c r="V437" s="7">
        <f>IF($W437="","",N437+Q437)</f>
        <v/>
      </c>
      <c r="W437" s="16">
        <f>IF(ROWS($W$2:$W437)&lt;=MAX('Per Line'!$AA$2:$AA$3001),MATCH(ROWS($W$2:$W437),'Per Line'!$AA$2:$AA$3001,0),"")</f>
        <v/>
      </c>
      <c r="X437">
        <f>IF($W437="","",D437&amp;"|"&amp;COUNTIF($D$2:$D437,D437))</f>
        <v/>
      </c>
    </row>
    <row r="438">
      <c r="A438" s="15" t="n"/>
      <c r="B438">
        <f>IF($W438="","",INDEX('Per Line'!$B$2:$B$3001,$W438)&amp;"")</f>
        <v/>
      </c>
      <c r="C438">
        <f>IF($W438="","",INDEX('Per Line'!$C$2:$C$3001,$W438)&amp;"")</f>
        <v/>
      </c>
      <c r="D438">
        <f>IF($W438="","",IF(OR(TRIM(E438)="Orient Insurance Company",TRIM(E438)="Allianz"),TRIM(E438),TRIM(F438)))</f>
        <v/>
      </c>
      <c r="E438">
        <f>IF($W438="","",INDEX('Per Line'!$E$2:$E$3001,$W438)&amp;"")</f>
        <v/>
      </c>
      <c r="F438">
        <f>IF($W438="","",INDEX('Per Line'!$D$2:$D$3001,$W438)&amp;"")</f>
        <v/>
      </c>
      <c r="G438">
        <f>IF($W438="","",INDEX('Per Line'!$F$2:$F$3001,$W438)&amp;"")</f>
        <v/>
      </c>
      <c r="H438">
        <f>IF($W438="","",INDEX('Per Line'!$G$2:$G$3001,$W438)&amp;"")</f>
        <v/>
      </c>
      <c r="I438">
        <f>IF($W438="","",INDEX('Per Line'!$H$2:$H$3001,$W438)&amp;"")</f>
        <v/>
      </c>
      <c r="J438">
        <f>IF($W438="","",INDEX('Per Line'!$I$2:$I$3001,$W438))</f>
        <v/>
      </c>
      <c r="K438" s="7">
        <f>IF($W438="","",J438*T438/100)</f>
        <v/>
      </c>
      <c r="L438" s="14">
        <f>IF($W438="","",INDEX('Per Line'!$V$2:$V$3001,$W438))</f>
        <v/>
      </c>
      <c r="M438">
        <f>IF($W438="","",IF(ISNUMBER(SEARCH("3&amp;12",SUBSTITUTE(F438," ",""))),Settings!$G$7,Settings!$C$7))</f>
        <v/>
      </c>
      <c r="N438" s="7">
        <f>IF($W438="","",SUMIFS('Per Line'!$O$2:$O$3001,'Per Line'!$B$2:$B$3001,$B438,'Per Line'!$AB$2:$AB$3001,0))</f>
        <v/>
      </c>
      <c r="O438" s="7">
        <f>IF($W438="","",N438*M438)</f>
        <v/>
      </c>
      <c r="P438">
        <f>IF($W438="","",IF(ISNUMBER(SEARCH("3&amp;12",SUBSTITUTE(F438," ",""))),Settings!$G$6,Settings!$C$6))</f>
        <v/>
      </c>
      <c r="Q438" s="7">
        <f>IF($W438="","",SUMIFS('Per Line'!$O$2:$O$3001,'Per Line'!$B$2:$B$3001,$B438,'Per Line'!$AB$2:$AB$3001,1))</f>
        <v/>
      </c>
      <c r="R438" s="7">
        <f>IF($W438="","",Q438*P438)</f>
        <v/>
      </c>
      <c r="S438" s="7">
        <f>IF($W438="","",R438+O438)</f>
        <v/>
      </c>
      <c r="T438" s="7">
        <f>IF($W438="","",V438-S438)</f>
        <v/>
      </c>
      <c r="U438" s="7">
        <f>IF($W438="","",V438-S438-K438)</f>
        <v/>
      </c>
      <c r="V438" s="7">
        <f>IF($W438="","",N438+Q438)</f>
        <v/>
      </c>
      <c r="W438" s="16">
        <f>IF(ROWS($W$2:$W438)&lt;=MAX('Per Line'!$AA$2:$AA$3001),MATCH(ROWS($W$2:$W438),'Per Line'!$AA$2:$AA$3001,0),"")</f>
        <v/>
      </c>
      <c r="X438">
        <f>IF($W438="","",D438&amp;"|"&amp;COUNTIF($D$2:$D438,D438))</f>
        <v/>
      </c>
    </row>
    <row r="439">
      <c r="A439" s="15" t="n"/>
      <c r="B439">
        <f>IF($W439="","",INDEX('Per Line'!$B$2:$B$3001,$W439)&amp;"")</f>
        <v/>
      </c>
      <c r="C439">
        <f>IF($W439="","",INDEX('Per Line'!$C$2:$C$3001,$W439)&amp;"")</f>
        <v/>
      </c>
      <c r="D439">
        <f>IF($W439="","",IF(OR(TRIM(E439)="Orient Insurance Company",TRIM(E439)="Allianz"),TRIM(E439),TRIM(F439)))</f>
        <v/>
      </c>
      <c r="E439">
        <f>IF($W439="","",INDEX('Per Line'!$E$2:$E$3001,$W439)&amp;"")</f>
        <v/>
      </c>
      <c r="F439">
        <f>IF($W439="","",INDEX('Per Line'!$D$2:$D$3001,$W439)&amp;"")</f>
        <v/>
      </c>
      <c r="G439">
        <f>IF($W439="","",INDEX('Per Line'!$F$2:$F$3001,$W439)&amp;"")</f>
        <v/>
      </c>
      <c r="H439">
        <f>IF($W439="","",INDEX('Per Line'!$G$2:$G$3001,$W439)&amp;"")</f>
        <v/>
      </c>
      <c r="I439">
        <f>IF($W439="","",INDEX('Per Line'!$H$2:$H$3001,$W439)&amp;"")</f>
        <v/>
      </c>
      <c r="J439">
        <f>IF($W439="","",INDEX('Per Line'!$I$2:$I$3001,$W439))</f>
        <v/>
      </c>
      <c r="K439" s="7">
        <f>IF($W439="","",J439*T439/100)</f>
        <v/>
      </c>
      <c r="L439" s="14">
        <f>IF($W439="","",INDEX('Per Line'!$V$2:$V$3001,$W439))</f>
        <v/>
      </c>
      <c r="M439">
        <f>IF($W439="","",IF(ISNUMBER(SEARCH("3&amp;12",SUBSTITUTE(F439," ",""))),Settings!$G$7,Settings!$C$7))</f>
        <v/>
      </c>
      <c r="N439" s="7">
        <f>IF($W439="","",SUMIFS('Per Line'!$O$2:$O$3001,'Per Line'!$B$2:$B$3001,$B439,'Per Line'!$AB$2:$AB$3001,0))</f>
        <v/>
      </c>
      <c r="O439" s="7">
        <f>IF($W439="","",N439*M439)</f>
        <v/>
      </c>
      <c r="P439">
        <f>IF($W439="","",IF(ISNUMBER(SEARCH("3&amp;12",SUBSTITUTE(F439," ",""))),Settings!$G$6,Settings!$C$6))</f>
        <v/>
      </c>
      <c r="Q439" s="7">
        <f>IF($W439="","",SUMIFS('Per Line'!$O$2:$O$3001,'Per Line'!$B$2:$B$3001,$B439,'Per Line'!$AB$2:$AB$3001,1))</f>
        <v/>
      </c>
      <c r="R439" s="7">
        <f>IF($W439="","",Q439*P439)</f>
        <v/>
      </c>
      <c r="S439" s="7">
        <f>IF($W439="","",R439+O439)</f>
        <v/>
      </c>
      <c r="T439" s="7">
        <f>IF($W439="","",V439-S439)</f>
        <v/>
      </c>
      <c r="U439" s="7">
        <f>IF($W439="","",V439-S439-K439)</f>
        <v/>
      </c>
      <c r="V439" s="7">
        <f>IF($W439="","",N439+Q439)</f>
        <v/>
      </c>
      <c r="W439" s="16">
        <f>IF(ROWS($W$2:$W439)&lt;=MAX('Per Line'!$AA$2:$AA$3001),MATCH(ROWS($W$2:$W439),'Per Line'!$AA$2:$AA$3001,0),"")</f>
        <v/>
      </c>
      <c r="X439">
        <f>IF($W439="","",D439&amp;"|"&amp;COUNTIF($D$2:$D439,D439))</f>
        <v/>
      </c>
    </row>
    <row r="440">
      <c r="A440" s="15" t="n"/>
      <c r="B440">
        <f>IF($W440="","",INDEX('Per Line'!$B$2:$B$3001,$W440)&amp;"")</f>
        <v/>
      </c>
      <c r="C440">
        <f>IF($W440="","",INDEX('Per Line'!$C$2:$C$3001,$W440)&amp;"")</f>
        <v/>
      </c>
      <c r="D440">
        <f>IF($W440="","",IF(OR(TRIM(E440)="Orient Insurance Company",TRIM(E440)="Allianz"),TRIM(E440),TRIM(F440)))</f>
        <v/>
      </c>
      <c r="E440">
        <f>IF($W440="","",INDEX('Per Line'!$E$2:$E$3001,$W440)&amp;"")</f>
        <v/>
      </c>
      <c r="F440">
        <f>IF($W440="","",INDEX('Per Line'!$D$2:$D$3001,$W440)&amp;"")</f>
        <v/>
      </c>
      <c r="G440">
        <f>IF($W440="","",INDEX('Per Line'!$F$2:$F$3001,$W440)&amp;"")</f>
        <v/>
      </c>
      <c r="H440">
        <f>IF($W440="","",INDEX('Per Line'!$G$2:$G$3001,$W440)&amp;"")</f>
        <v/>
      </c>
      <c r="I440">
        <f>IF($W440="","",INDEX('Per Line'!$H$2:$H$3001,$W440)&amp;"")</f>
        <v/>
      </c>
      <c r="J440">
        <f>IF($W440="","",INDEX('Per Line'!$I$2:$I$3001,$W440))</f>
        <v/>
      </c>
      <c r="K440" s="7">
        <f>IF($W440="","",J440*T440/100)</f>
        <v/>
      </c>
      <c r="L440" s="14">
        <f>IF($W440="","",INDEX('Per Line'!$V$2:$V$3001,$W440))</f>
        <v/>
      </c>
      <c r="M440">
        <f>IF($W440="","",IF(ISNUMBER(SEARCH("3&amp;12",SUBSTITUTE(F440," ",""))),Settings!$G$7,Settings!$C$7))</f>
        <v/>
      </c>
      <c r="N440" s="7">
        <f>IF($W440="","",SUMIFS('Per Line'!$O$2:$O$3001,'Per Line'!$B$2:$B$3001,$B440,'Per Line'!$AB$2:$AB$3001,0))</f>
        <v/>
      </c>
      <c r="O440" s="7">
        <f>IF($W440="","",N440*M440)</f>
        <v/>
      </c>
      <c r="P440">
        <f>IF($W440="","",IF(ISNUMBER(SEARCH("3&amp;12",SUBSTITUTE(F440," ",""))),Settings!$G$6,Settings!$C$6))</f>
        <v/>
      </c>
      <c r="Q440" s="7">
        <f>IF($W440="","",SUMIFS('Per Line'!$O$2:$O$3001,'Per Line'!$B$2:$B$3001,$B440,'Per Line'!$AB$2:$AB$3001,1))</f>
        <v/>
      </c>
      <c r="R440" s="7">
        <f>IF($W440="","",Q440*P440)</f>
        <v/>
      </c>
      <c r="S440" s="7">
        <f>IF($W440="","",R440+O440)</f>
        <v/>
      </c>
      <c r="T440" s="7">
        <f>IF($W440="","",V440-S440)</f>
        <v/>
      </c>
      <c r="U440" s="7">
        <f>IF($W440="","",V440-S440-K440)</f>
        <v/>
      </c>
      <c r="V440" s="7">
        <f>IF($W440="","",N440+Q440)</f>
        <v/>
      </c>
      <c r="W440" s="16">
        <f>IF(ROWS($W$2:$W440)&lt;=MAX('Per Line'!$AA$2:$AA$3001),MATCH(ROWS($W$2:$W440),'Per Line'!$AA$2:$AA$3001,0),"")</f>
        <v/>
      </c>
      <c r="X440">
        <f>IF($W440="","",D440&amp;"|"&amp;COUNTIF($D$2:$D440,D440))</f>
        <v/>
      </c>
    </row>
    <row r="441">
      <c r="A441" s="15" t="n"/>
      <c r="B441">
        <f>IF($W441="","",INDEX('Per Line'!$B$2:$B$3001,$W441)&amp;"")</f>
        <v/>
      </c>
      <c r="C441">
        <f>IF($W441="","",INDEX('Per Line'!$C$2:$C$3001,$W441)&amp;"")</f>
        <v/>
      </c>
      <c r="D441">
        <f>IF($W441="","",IF(OR(TRIM(E441)="Orient Insurance Company",TRIM(E441)="Allianz"),TRIM(E441),TRIM(F441)))</f>
        <v/>
      </c>
      <c r="E441">
        <f>IF($W441="","",INDEX('Per Line'!$E$2:$E$3001,$W441)&amp;"")</f>
        <v/>
      </c>
      <c r="F441">
        <f>IF($W441="","",INDEX('Per Line'!$D$2:$D$3001,$W441)&amp;"")</f>
        <v/>
      </c>
      <c r="G441">
        <f>IF($W441="","",INDEX('Per Line'!$F$2:$F$3001,$W441)&amp;"")</f>
        <v/>
      </c>
      <c r="H441">
        <f>IF($W441="","",INDEX('Per Line'!$G$2:$G$3001,$W441)&amp;"")</f>
        <v/>
      </c>
      <c r="I441">
        <f>IF($W441="","",INDEX('Per Line'!$H$2:$H$3001,$W441)&amp;"")</f>
        <v/>
      </c>
      <c r="J441">
        <f>IF($W441="","",INDEX('Per Line'!$I$2:$I$3001,$W441))</f>
        <v/>
      </c>
      <c r="K441" s="7">
        <f>IF($W441="","",J441*T441/100)</f>
        <v/>
      </c>
      <c r="L441" s="14">
        <f>IF($W441="","",INDEX('Per Line'!$V$2:$V$3001,$W441))</f>
        <v/>
      </c>
      <c r="M441">
        <f>IF($W441="","",IF(ISNUMBER(SEARCH("3&amp;12",SUBSTITUTE(F441," ",""))),Settings!$G$7,Settings!$C$7))</f>
        <v/>
      </c>
      <c r="N441" s="7">
        <f>IF($W441="","",SUMIFS('Per Line'!$O$2:$O$3001,'Per Line'!$B$2:$B$3001,$B441,'Per Line'!$AB$2:$AB$3001,0))</f>
        <v/>
      </c>
      <c r="O441" s="7">
        <f>IF($W441="","",N441*M441)</f>
        <v/>
      </c>
      <c r="P441">
        <f>IF($W441="","",IF(ISNUMBER(SEARCH("3&amp;12",SUBSTITUTE(F441," ",""))),Settings!$G$6,Settings!$C$6))</f>
        <v/>
      </c>
      <c r="Q441" s="7">
        <f>IF($W441="","",SUMIFS('Per Line'!$O$2:$O$3001,'Per Line'!$B$2:$B$3001,$B441,'Per Line'!$AB$2:$AB$3001,1))</f>
        <v/>
      </c>
      <c r="R441" s="7">
        <f>IF($W441="","",Q441*P441)</f>
        <v/>
      </c>
      <c r="S441" s="7">
        <f>IF($W441="","",R441+O441)</f>
        <v/>
      </c>
      <c r="T441" s="7">
        <f>IF($W441="","",V441-S441)</f>
        <v/>
      </c>
      <c r="U441" s="7">
        <f>IF($W441="","",V441-S441-K441)</f>
        <v/>
      </c>
      <c r="V441" s="7">
        <f>IF($W441="","",N441+Q441)</f>
        <v/>
      </c>
      <c r="W441" s="16">
        <f>IF(ROWS($W$2:$W441)&lt;=MAX('Per Line'!$AA$2:$AA$3001),MATCH(ROWS($W$2:$W441),'Per Line'!$AA$2:$AA$3001,0),"")</f>
        <v/>
      </c>
      <c r="X441">
        <f>IF($W441="","",D441&amp;"|"&amp;COUNTIF($D$2:$D441,D441))</f>
        <v/>
      </c>
    </row>
    <row r="442">
      <c r="A442" s="15" t="n"/>
      <c r="B442">
        <f>IF($W442="","",INDEX('Per Line'!$B$2:$B$3001,$W442)&amp;"")</f>
        <v/>
      </c>
      <c r="C442">
        <f>IF($W442="","",INDEX('Per Line'!$C$2:$C$3001,$W442)&amp;"")</f>
        <v/>
      </c>
      <c r="D442">
        <f>IF($W442="","",IF(OR(TRIM(E442)="Orient Insurance Company",TRIM(E442)="Allianz"),TRIM(E442),TRIM(F442)))</f>
        <v/>
      </c>
      <c r="E442">
        <f>IF($W442="","",INDEX('Per Line'!$E$2:$E$3001,$W442)&amp;"")</f>
        <v/>
      </c>
      <c r="F442">
        <f>IF($W442="","",INDEX('Per Line'!$D$2:$D$3001,$W442)&amp;"")</f>
        <v/>
      </c>
      <c r="G442">
        <f>IF($W442="","",INDEX('Per Line'!$F$2:$F$3001,$W442)&amp;"")</f>
        <v/>
      </c>
      <c r="H442">
        <f>IF($W442="","",INDEX('Per Line'!$G$2:$G$3001,$W442)&amp;"")</f>
        <v/>
      </c>
      <c r="I442">
        <f>IF($W442="","",INDEX('Per Line'!$H$2:$H$3001,$W442)&amp;"")</f>
        <v/>
      </c>
      <c r="J442">
        <f>IF($W442="","",INDEX('Per Line'!$I$2:$I$3001,$W442))</f>
        <v/>
      </c>
      <c r="K442" s="7">
        <f>IF($W442="","",J442*T442/100)</f>
        <v/>
      </c>
      <c r="L442" s="14">
        <f>IF($W442="","",INDEX('Per Line'!$V$2:$V$3001,$W442))</f>
        <v/>
      </c>
      <c r="M442">
        <f>IF($W442="","",IF(ISNUMBER(SEARCH("3&amp;12",SUBSTITUTE(F442," ",""))),Settings!$G$7,Settings!$C$7))</f>
        <v/>
      </c>
      <c r="N442" s="7">
        <f>IF($W442="","",SUMIFS('Per Line'!$O$2:$O$3001,'Per Line'!$B$2:$B$3001,$B442,'Per Line'!$AB$2:$AB$3001,0))</f>
        <v/>
      </c>
      <c r="O442" s="7">
        <f>IF($W442="","",N442*M442)</f>
        <v/>
      </c>
      <c r="P442">
        <f>IF($W442="","",IF(ISNUMBER(SEARCH("3&amp;12",SUBSTITUTE(F442," ",""))),Settings!$G$6,Settings!$C$6))</f>
        <v/>
      </c>
      <c r="Q442" s="7">
        <f>IF($W442="","",SUMIFS('Per Line'!$O$2:$O$3001,'Per Line'!$B$2:$B$3001,$B442,'Per Line'!$AB$2:$AB$3001,1))</f>
        <v/>
      </c>
      <c r="R442" s="7">
        <f>IF($W442="","",Q442*P442)</f>
        <v/>
      </c>
      <c r="S442" s="7">
        <f>IF($W442="","",R442+O442)</f>
        <v/>
      </c>
      <c r="T442" s="7">
        <f>IF($W442="","",V442-S442)</f>
        <v/>
      </c>
      <c r="U442" s="7">
        <f>IF($W442="","",V442-S442-K442)</f>
        <v/>
      </c>
      <c r="V442" s="7">
        <f>IF($W442="","",N442+Q442)</f>
        <v/>
      </c>
      <c r="W442" s="16">
        <f>IF(ROWS($W$2:$W442)&lt;=MAX('Per Line'!$AA$2:$AA$3001),MATCH(ROWS($W$2:$W442),'Per Line'!$AA$2:$AA$3001,0),"")</f>
        <v/>
      </c>
      <c r="X442">
        <f>IF($W442="","",D442&amp;"|"&amp;COUNTIF($D$2:$D442,D442))</f>
        <v/>
      </c>
    </row>
    <row r="443">
      <c r="A443" s="15" t="n"/>
      <c r="B443">
        <f>IF($W443="","",INDEX('Per Line'!$B$2:$B$3001,$W443)&amp;"")</f>
        <v/>
      </c>
      <c r="C443">
        <f>IF($W443="","",INDEX('Per Line'!$C$2:$C$3001,$W443)&amp;"")</f>
        <v/>
      </c>
      <c r="D443">
        <f>IF($W443="","",IF(OR(TRIM(E443)="Orient Insurance Company",TRIM(E443)="Allianz"),TRIM(E443),TRIM(F443)))</f>
        <v/>
      </c>
      <c r="E443">
        <f>IF($W443="","",INDEX('Per Line'!$E$2:$E$3001,$W443)&amp;"")</f>
        <v/>
      </c>
      <c r="F443">
        <f>IF($W443="","",INDEX('Per Line'!$D$2:$D$3001,$W443)&amp;"")</f>
        <v/>
      </c>
      <c r="G443">
        <f>IF($W443="","",INDEX('Per Line'!$F$2:$F$3001,$W443)&amp;"")</f>
        <v/>
      </c>
      <c r="H443">
        <f>IF($W443="","",INDEX('Per Line'!$G$2:$G$3001,$W443)&amp;"")</f>
        <v/>
      </c>
      <c r="I443">
        <f>IF($W443="","",INDEX('Per Line'!$H$2:$H$3001,$W443)&amp;"")</f>
        <v/>
      </c>
      <c r="J443">
        <f>IF($W443="","",INDEX('Per Line'!$I$2:$I$3001,$W443))</f>
        <v/>
      </c>
      <c r="K443" s="7">
        <f>IF($W443="","",J443*T443/100)</f>
        <v/>
      </c>
      <c r="L443" s="14">
        <f>IF($W443="","",INDEX('Per Line'!$V$2:$V$3001,$W443))</f>
        <v/>
      </c>
      <c r="M443">
        <f>IF($W443="","",IF(ISNUMBER(SEARCH("3&amp;12",SUBSTITUTE(F443," ",""))),Settings!$G$7,Settings!$C$7))</f>
        <v/>
      </c>
      <c r="N443" s="7">
        <f>IF($W443="","",SUMIFS('Per Line'!$O$2:$O$3001,'Per Line'!$B$2:$B$3001,$B443,'Per Line'!$AB$2:$AB$3001,0))</f>
        <v/>
      </c>
      <c r="O443" s="7">
        <f>IF($W443="","",N443*M443)</f>
        <v/>
      </c>
      <c r="P443">
        <f>IF($W443="","",IF(ISNUMBER(SEARCH("3&amp;12",SUBSTITUTE(F443," ",""))),Settings!$G$6,Settings!$C$6))</f>
        <v/>
      </c>
      <c r="Q443" s="7">
        <f>IF($W443="","",SUMIFS('Per Line'!$O$2:$O$3001,'Per Line'!$B$2:$B$3001,$B443,'Per Line'!$AB$2:$AB$3001,1))</f>
        <v/>
      </c>
      <c r="R443" s="7">
        <f>IF($W443="","",Q443*P443)</f>
        <v/>
      </c>
      <c r="S443" s="7">
        <f>IF($W443="","",R443+O443)</f>
        <v/>
      </c>
      <c r="T443" s="7">
        <f>IF($W443="","",V443-S443)</f>
        <v/>
      </c>
      <c r="U443" s="7">
        <f>IF($W443="","",V443-S443-K443)</f>
        <v/>
      </c>
      <c r="V443" s="7">
        <f>IF($W443="","",N443+Q443)</f>
        <v/>
      </c>
      <c r="W443" s="16">
        <f>IF(ROWS($W$2:$W443)&lt;=MAX('Per Line'!$AA$2:$AA$3001),MATCH(ROWS($W$2:$W443),'Per Line'!$AA$2:$AA$3001,0),"")</f>
        <v/>
      </c>
      <c r="X443">
        <f>IF($W443="","",D443&amp;"|"&amp;COUNTIF($D$2:$D443,D443))</f>
        <v/>
      </c>
    </row>
    <row r="444">
      <c r="A444" s="15" t="n"/>
      <c r="B444">
        <f>IF($W444="","",INDEX('Per Line'!$B$2:$B$3001,$W444)&amp;"")</f>
        <v/>
      </c>
      <c r="C444">
        <f>IF($W444="","",INDEX('Per Line'!$C$2:$C$3001,$W444)&amp;"")</f>
        <v/>
      </c>
      <c r="D444">
        <f>IF($W444="","",IF(OR(TRIM(E444)="Orient Insurance Company",TRIM(E444)="Allianz"),TRIM(E444),TRIM(F444)))</f>
        <v/>
      </c>
      <c r="E444">
        <f>IF($W444="","",INDEX('Per Line'!$E$2:$E$3001,$W444)&amp;"")</f>
        <v/>
      </c>
      <c r="F444">
        <f>IF($W444="","",INDEX('Per Line'!$D$2:$D$3001,$W444)&amp;"")</f>
        <v/>
      </c>
      <c r="G444">
        <f>IF($W444="","",INDEX('Per Line'!$F$2:$F$3001,$W444)&amp;"")</f>
        <v/>
      </c>
      <c r="H444">
        <f>IF($W444="","",INDEX('Per Line'!$G$2:$G$3001,$W444)&amp;"")</f>
        <v/>
      </c>
      <c r="I444">
        <f>IF($W444="","",INDEX('Per Line'!$H$2:$H$3001,$W444)&amp;"")</f>
        <v/>
      </c>
      <c r="J444">
        <f>IF($W444="","",INDEX('Per Line'!$I$2:$I$3001,$W444))</f>
        <v/>
      </c>
      <c r="K444" s="7">
        <f>IF($W444="","",J444*T444/100)</f>
        <v/>
      </c>
      <c r="L444" s="14">
        <f>IF($W444="","",INDEX('Per Line'!$V$2:$V$3001,$W444))</f>
        <v/>
      </c>
      <c r="M444">
        <f>IF($W444="","",IF(ISNUMBER(SEARCH("3&amp;12",SUBSTITUTE(F444," ",""))),Settings!$G$7,Settings!$C$7))</f>
        <v/>
      </c>
      <c r="N444" s="7">
        <f>IF($W444="","",SUMIFS('Per Line'!$O$2:$O$3001,'Per Line'!$B$2:$B$3001,$B444,'Per Line'!$AB$2:$AB$3001,0))</f>
        <v/>
      </c>
      <c r="O444" s="7">
        <f>IF($W444="","",N444*M444)</f>
        <v/>
      </c>
      <c r="P444">
        <f>IF($W444="","",IF(ISNUMBER(SEARCH("3&amp;12",SUBSTITUTE(F444," ",""))),Settings!$G$6,Settings!$C$6))</f>
        <v/>
      </c>
      <c r="Q444" s="7">
        <f>IF($W444="","",SUMIFS('Per Line'!$O$2:$O$3001,'Per Line'!$B$2:$B$3001,$B444,'Per Line'!$AB$2:$AB$3001,1))</f>
        <v/>
      </c>
      <c r="R444" s="7">
        <f>IF($W444="","",Q444*P444)</f>
        <v/>
      </c>
      <c r="S444" s="7">
        <f>IF($W444="","",R444+O444)</f>
        <v/>
      </c>
      <c r="T444" s="7">
        <f>IF($W444="","",V444-S444)</f>
        <v/>
      </c>
      <c r="U444" s="7">
        <f>IF($W444="","",V444-S444-K444)</f>
        <v/>
      </c>
      <c r="V444" s="7">
        <f>IF($W444="","",N444+Q444)</f>
        <v/>
      </c>
      <c r="W444" s="16">
        <f>IF(ROWS($W$2:$W444)&lt;=MAX('Per Line'!$AA$2:$AA$3001),MATCH(ROWS($W$2:$W444),'Per Line'!$AA$2:$AA$3001,0),"")</f>
        <v/>
      </c>
      <c r="X444">
        <f>IF($W444="","",D444&amp;"|"&amp;COUNTIF($D$2:$D444,D444))</f>
        <v/>
      </c>
    </row>
    <row r="445">
      <c r="A445" s="15" t="n"/>
      <c r="B445">
        <f>IF($W445="","",INDEX('Per Line'!$B$2:$B$3001,$W445)&amp;"")</f>
        <v/>
      </c>
      <c r="C445">
        <f>IF($W445="","",INDEX('Per Line'!$C$2:$C$3001,$W445)&amp;"")</f>
        <v/>
      </c>
      <c r="D445">
        <f>IF($W445="","",IF(OR(TRIM(E445)="Orient Insurance Company",TRIM(E445)="Allianz"),TRIM(E445),TRIM(F445)))</f>
        <v/>
      </c>
      <c r="E445">
        <f>IF($W445="","",INDEX('Per Line'!$E$2:$E$3001,$W445)&amp;"")</f>
        <v/>
      </c>
      <c r="F445">
        <f>IF($W445="","",INDEX('Per Line'!$D$2:$D$3001,$W445)&amp;"")</f>
        <v/>
      </c>
      <c r="G445">
        <f>IF($W445="","",INDEX('Per Line'!$F$2:$F$3001,$W445)&amp;"")</f>
        <v/>
      </c>
      <c r="H445">
        <f>IF($W445="","",INDEX('Per Line'!$G$2:$G$3001,$W445)&amp;"")</f>
        <v/>
      </c>
      <c r="I445">
        <f>IF($W445="","",INDEX('Per Line'!$H$2:$H$3001,$W445)&amp;"")</f>
        <v/>
      </c>
      <c r="J445">
        <f>IF($W445="","",INDEX('Per Line'!$I$2:$I$3001,$W445))</f>
        <v/>
      </c>
      <c r="K445" s="7">
        <f>IF($W445="","",J445*T445/100)</f>
        <v/>
      </c>
      <c r="L445" s="14">
        <f>IF($W445="","",INDEX('Per Line'!$V$2:$V$3001,$W445))</f>
        <v/>
      </c>
      <c r="M445">
        <f>IF($W445="","",IF(ISNUMBER(SEARCH("3&amp;12",SUBSTITUTE(F445," ",""))),Settings!$G$7,Settings!$C$7))</f>
        <v/>
      </c>
      <c r="N445" s="7">
        <f>IF($W445="","",SUMIFS('Per Line'!$O$2:$O$3001,'Per Line'!$B$2:$B$3001,$B445,'Per Line'!$AB$2:$AB$3001,0))</f>
        <v/>
      </c>
      <c r="O445" s="7">
        <f>IF($W445="","",N445*M445)</f>
        <v/>
      </c>
      <c r="P445">
        <f>IF($W445="","",IF(ISNUMBER(SEARCH("3&amp;12",SUBSTITUTE(F445," ",""))),Settings!$G$6,Settings!$C$6))</f>
        <v/>
      </c>
      <c r="Q445" s="7">
        <f>IF($W445="","",SUMIFS('Per Line'!$O$2:$O$3001,'Per Line'!$B$2:$B$3001,$B445,'Per Line'!$AB$2:$AB$3001,1))</f>
        <v/>
      </c>
      <c r="R445" s="7">
        <f>IF($W445="","",Q445*P445)</f>
        <v/>
      </c>
      <c r="S445" s="7">
        <f>IF($W445="","",R445+O445)</f>
        <v/>
      </c>
      <c r="T445" s="7">
        <f>IF($W445="","",V445-S445)</f>
        <v/>
      </c>
      <c r="U445" s="7">
        <f>IF($W445="","",V445-S445-K445)</f>
        <v/>
      </c>
      <c r="V445" s="7">
        <f>IF($W445="","",N445+Q445)</f>
        <v/>
      </c>
      <c r="W445" s="16">
        <f>IF(ROWS($W$2:$W445)&lt;=MAX('Per Line'!$AA$2:$AA$3001),MATCH(ROWS($W$2:$W445),'Per Line'!$AA$2:$AA$3001,0),"")</f>
        <v/>
      </c>
      <c r="X445">
        <f>IF($W445="","",D445&amp;"|"&amp;COUNTIF($D$2:$D445,D445))</f>
        <v/>
      </c>
    </row>
    <row r="446">
      <c r="A446" s="15" t="n"/>
      <c r="B446">
        <f>IF($W446="","",INDEX('Per Line'!$B$2:$B$3001,$W446)&amp;"")</f>
        <v/>
      </c>
      <c r="C446">
        <f>IF($W446="","",INDEX('Per Line'!$C$2:$C$3001,$W446)&amp;"")</f>
        <v/>
      </c>
      <c r="D446">
        <f>IF($W446="","",IF(OR(TRIM(E446)="Orient Insurance Company",TRIM(E446)="Allianz"),TRIM(E446),TRIM(F446)))</f>
        <v/>
      </c>
      <c r="E446">
        <f>IF($W446="","",INDEX('Per Line'!$E$2:$E$3001,$W446)&amp;"")</f>
        <v/>
      </c>
      <c r="F446">
        <f>IF($W446="","",INDEX('Per Line'!$D$2:$D$3001,$W446)&amp;"")</f>
        <v/>
      </c>
      <c r="G446">
        <f>IF($W446="","",INDEX('Per Line'!$F$2:$F$3001,$W446)&amp;"")</f>
        <v/>
      </c>
      <c r="H446">
        <f>IF($W446="","",INDEX('Per Line'!$G$2:$G$3001,$W446)&amp;"")</f>
        <v/>
      </c>
      <c r="I446">
        <f>IF($W446="","",INDEX('Per Line'!$H$2:$H$3001,$W446)&amp;"")</f>
        <v/>
      </c>
      <c r="J446">
        <f>IF($W446="","",INDEX('Per Line'!$I$2:$I$3001,$W446))</f>
        <v/>
      </c>
      <c r="K446" s="7">
        <f>IF($W446="","",J446*T446/100)</f>
        <v/>
      </c>
      <c r="L446" s="14">
        <f>IF($W446="","",INDEX('Per Line'!$V$2:$V$3001,$W446))</f>
        <v/>
      </c>
      <c r="M446">
        <f>IF($W446="","",IF(ISNUMBER(SEARCH("3&amp;12",SUBSTITUTE(F446," ",""))),Settings!$G$7,Settings!$C$7))</f>
        <v/>
      </c>
      <c r="N446" s="7">
        <f>IF($W446="","",SUMIFS('Per Line'!$O$2:$O$3001,'Per Line'!$B$2:$B$3001,$B446,'Per Line'!$AB$2:$AB$3001,0))</f>
        <v/>
      </c>
      <c r="O446" s="7">
        <f>IF($W446="","",N446*M446)</f>
        <v/>
      </c>
      <c r="P446">
        <f>IF($W446="","",IF(ISNUMBER(SEARCH("3&amp;12",SUBSTITUTE(F446," ",""))),Settings!$G$6,Settings!$C$6))</f>
        <v/>
      </c>
      <c r="Q446" s="7">
        <f>IF($W446="","",SUMIFS('Per Line'!$O$2:$O$3001,'Per Line'!$B$2:$B$3001,$B446,'Per Line'!$AB$2:$AB$3001,1))</f>
        <v/>
      </c>
      <c r="R446" s="7">
        <f>IF($W446="","",Q446*P446)</f>
        <v/>
      </c>
      <c r="S446" s="7">
        <f>IF($W446="","",R446+O446)</f>
        <v/>
      </c>
      <c r="T446" s="7">
        <f>IF($W446="","",V446-S446)</f>
        <v/>
      </c>
      <c r="U446" s="7">
        <f>IF($W446="","",V446-S446-K446)</f>
        <v/>
      </c>
      <c r="V446" s="7">
        <f>IF($W446="","",N446+Q446)</f>
        <v/>
      </c>
      <c r="W446" s="16">
        <f>IF(ROWS($W$2:$W446)&lt;=MAX('Per Line'!$AA$2:$AA$3001),MATCH(ROWS($W$2:$W446),'Per Line'!$AA$2:$AA$3001,0),"")</f>
        <v/>
      </c>
      <c r="X446">
        <f>IF($W446="","",D446&amp;"|"&amp;COUNTIF($D$2:$D446,D446))</f>
        <v/>
      </c>
    </row>
    <row r="447">
      <c r="A447" s="15" t="n"/>
      <c r="B447">
        <f>IF($W447="","",INDEX('Per Line'!$B$2:$B$3001,$W447)&amp;"")</f>
        <v/>
      </c>
      <c r="C447">
        <f>IF($W447="","",INDEX('Per Line'!$C$2:$C$3001,$W447)&amp;"")</f>
        <v/>
      </c>
      <c r="D447">
        <f>IF($W447="","",IF(OR(TRIM(E447)="Orient Insurance Company",TRIM(E447)="Allianz"),TRIM(E447),TRIM(F447)))</f>
        <v/>
      </c>
      <c r="E447">
        <f>IF($W447="","",INDEX('Per Line'!$E$2:$E$3001,$W447)&amp;"")</f>
        <v/>
      </c>
      <c r="F447">
        <f>IF($W447="","",INDEX('Per Line'!$D$2:$D$3001,$W447)&amp;"")</f>
        <v/>
      </c>
      <c r="G447">
        <f>IF($W447="","",INDEX('Per Line'!$F$2:$F$3001,$W447)&amp;"")</f>
        <v/>
      </c>
      <c r="H447">
        <f>IF($W447="","",INDEX('Per Line'!$G$2:$G$3001,$W447)&amp;"")</f>
        <v/>
      </c>
      <c r="I447">
        <f>IF($W447="","",INDEX('Per Line'!$H$2:$H$3001,$W447)&amp;"")</f>
        <v/>
      </c>
      <c r="J447">
        <f>IF($W447="","",INDEX('Per Line'!$I$2:$I$3001,$W447))</f>
        <v/>
      </c>
      <c r="K447" s="7">
        <f>IF($W447="","",J447*T447/100)</f>
        <v/>
      </c>
      <c r="L447" s="14">
        <f>IF($W447="","",INDEX('Per Line'!$V$2:$V$3001,$W447))</f>
        <v/>
      </c>
      <c r="M447">
        <f>IF($W447="","",IF(ISNUMBER(SEARCH("3&amp;12",SUBSTITUTE(F447," ",""))),Settings!$G$7,Settings!$C$7))</f>
        <v/>
      </c>
      <c r="N447" s="7">
        <f>IF($W447="","",SUMIFS('Per Line'!$O$2:$O$3001,'Per Line'!$B$2:$B$3001,$B447,'Per Line'!$AB$2:$AB$3001,0))</f>
        <v/>
      </c>
      <c r="O447" s="7">
        <f>IF($W447="","",N447*M447)</f>
        <v/>
      </c>
      <c r="P447">
        <f>IF($W447="","",IF(ISNUMBER(SEARCH("3&amp;12",SUBSTITUTE(F447," ",""))),Settings!$G$6,Settings!$C$6))</f>
        <v/>
      </c>
      <c r="Q447" s="7">
        <f>IF($W447="","",SUMIFS('Per Line'!$O$2:$O$3001,'Per Line'!$B$2:$B$3001,$B447,'Per Line'!$AB$2:$AB$3001,1))</f>
        <v/>
      </c>
      <c r="R447" s="7">
        <f>IF($W447="","",Q447*P447)</f>
        <v/>
      </c>
      <c r="S447" s="7">
        <f>IF($W447="","",R447+O447)</f>
        <v/>
      </c>
      <c r="T447" s="7">
        <f>IF($W447="","",V447-S447)</f>
        <v/>
      </c>
      <c r="U447" s="7">
        <f>IF($W447="","",V447-S447-K447)</f>
        <v/>
      </c>
      <c r="V447" s="7">
        <f>IF($W447="","",N447+Q447)</f>
        <v/>
      </c>
      <c r="W447" s="16">
        <f>IF(ROWS($W$2:$W447)&lt;=MAX('Per Line'!$AA$2:$AA$3001),MATCH(ROWS($W$2:$W447),'Per Line'!$AA$2:$AA$3001,0),"")</f>
        <v/>
      </c>
      <c r="X447">
        <f>IF($W447="","",D447&amp;"|"&amp;COUNTIF($D$2:$D447,D447))</f>
        <v/>
      </c>
    </row>
    <row r="448">
      <c r="A448" s="15" t="n"/>
      <c r="B448">
        <f>IF($W448="","",INDEX('Per Line'!$B$2:$B$3001,$W448)&amp;"")</f>
        <v/>
      </c>
      <c r="C448">
        <f>IF($W448="","",INDEX('Per Line'!$C$2:$C$3001,$W448)&amp;"")</f>
        <v/>
      </c>
      <c r="D448">
        <f>IF($W448="","",IF(OR(TRIM(E448)="Orient Insurance Company",TRIM(E448)="Allianz"),TRIM(E448),TRIM(F448)))</f>
        <v/>
      </c>
      <c r="E448">
        <f>IF($W448="","",INDEX('Per Line'!$E$2:$E$3001,$W448)&amp;"")</f>
        <v/>
      </c>
      <c r="F448">
        <f>IF($W448="","",INDEX('Per Line'!$D$2:$D$3001,$W448)&amp;"")</f>
        <v/>
      </c>
      <c r="G448">
        <f>IF($W448="","",INDEX('Per Line'!$F$2:$F$3001,$W448)&amp;"")</f>
        <v/>
      </c>
      <c r="H448">
        <f>IF($W448="","",INDEX('Per Line'!$G$2:$G$3001,$W448)&amp;"")</f>
        <v/>
      </c>
      <c r="I448">
        <f>IF($W448="","",INDEX('Per Line'!$H$2:$H$3001,$W448)&amp;"")</f>
        <v/>
      </c>
      <c r="J448">
        <f>IF($W448="","",INDEX('Per Line'!$I$2:$I$3001,$W448))</f>
        <v/>
      </c>
      <c r="K448" s="7">
        <f>IF($W448="","",J448*T448/100)</f>
        <v/>
      </c>
      <c r="L448" s="14">
        <f>IF($W448="","",INDEX('Per Line'!$V$2:$V$3001,$W448))</f>
        <v/>
      </c>
      <c r="M448">
        <f>IF($W448="","",IF(ISNUMBER(SEARCH("3&amp;12",SUBSTITUTE(F448," ",""))),Settings!$G$7,Settings!$C$7))</f>
        <v/>
      </c>
      <c r="N448" s="7">
        <f>IF($W448="","",SUMIFS('Per Line'!$O$2:$O$3001,'Per Line'!$B$2:$B$3001,$B448,'Per Line'!$AB$2:$AB$3001,0))</f>
        <v/>
      </c>
      <c r="O448" s="7">
        <f>IF($W448="","",N448*M448)</f>
        <v/>
      </c>
      <c r="P448">
        <f>IF($W448="","",IF(ISNUMBER(SEARCH("3&amp;12",SUBSTITUTE(F448," ",""))),Settings!$G$6,Settings!$C$6))</f>
        <v/>
      </c>
      <c r="Q448" s="7">
        <f>IF($W448="","",SUMIFS('Per Line'!$O$2:$O$3001,'Per Line'!$B$2:$B$3001,$B448,'Per Line'!$AB$2:$AB$3001,1))</f>
        <v/>
      </c>
      <c r="R448" s="7">
        <f>IF($W448="","",Q448*P448)</f>
        <v/>
      </c>
      <c r="S448" s="7">
        <f>IF($W448="","",R448+O448)</f>
        <v/>
      </c>
      <c r="T448" s="7">
        <f>IF($W448="","",V448-S448)</f>
        <v/>
      </c>
      <c r="U448" s="7">
        <f>IF($W448="","",V448-S448-K448)</f>
        <v/>
      </c>
      <c r="V448" s="7">
        <f>IF($W448="","",N448+Q448)</f>
        <v/>
      </c>
      <c r="W448" s="16">
        <f>IF(ROWS($W$2:$W448)&lt;=MAX('Per Line'!$AA$2:$AA$3001),MATCH(ROWS($W$2:$W448),'Per Line'!$AA$2:$AA$3001,0),"")</f>
        <v/>
      </c>
      <c r="X448">
        <f>IF($W448="","",D448&amp;"|"&amp;COUNTIF($D$2:$D448,D448))</f>
        <v/>
      </c>
    </row>
    <row r="449">
      <c r="A449" s="15" t="n"/>
      <c r="B449">
        <f>IF($W449="","",INDEX('Per Line'!$B$2:$B$3001,$W449)&amp;"")</f>
        <v/>
      </c>
      <c r="C449">
        <f>IF($W449="","",INDEX('Per Line'!$C$2:$C$3001,$W449)&amp;"")</f>
        <v/>
      </c>
      <c r="D449">
        <f>IF($W449="","",IF(OR(TRIM(E449)="Orient Insurance Company",TRIM(E449)="Allianz"),TRIM(E449),TRIM(F449)))</f>
        <v/>
      </c>
      <c r="E449">
        <f>IF($W449="","",INDEX('Per Line'!$E$2:$E$3001,$W449)&amp;"")</f>
        <v/>
      </c>
      <c r="F449">
        <f>IF($W449="","",INDEX('Per Line'!$D$2:$D$3001,$W449)&amp;"")</f>
        <v/>
      </c>
      <c r="G449">
        <f>IF($W449="","",INDEX('Per Line'!$F$2:$F$3001,$W449)&amp;"")</f>
        <v/>
      </c>
      <c r="H449">
        <f>IF($W449="","",INDEX('Per Line'!$G$2:$G$3001,$W449)&amp;"")</f>
        <v/>
      </c>
      <c r="I449">
        <f>IF($W449="","",INDEX('Per Line'!$H$2:$H$3001,$W449)&amp;"")</f>
        <v/>
      </c>
      <c r="J449">
        <f>IF($W449="","",INDEX('Per Line'!$I$2:$I$3001,$W449))</f>
        <v/>
      </c>
      <c r="K449" s="7">
        <f>IF($W449="","",J449*T449/100)</f>
        <v/>
      </c>
      <c r="L449" s="14">
        <f>IF($W449="","",INDEX('Per Line'!$V$2:$V$3001,$W449))</f>
        <v/>
      </c>
      <c r="M449">
        <f>IF($W449="","",IF(ISNUMBER(SEARCH("3&amp;12",SUBSTITUTE(F449," ",""))),Settings!$G$7,Settings!$C$7))</f>
        <v/>
      </c>
      <c r="N449" s="7">
        <f>IF($W449="","",SUMIFS('Per Line'!$O$2:$O$3001,'Per Line'!$B$2:$B$3001,$B449,'Per Line'!$AB$2:$AB$3001,0))</f>
        <v/>
      </c>
      <c r="O449" s="7">
        <f>IF($W449="","",N449*M449)</f>
        <v/>
      </c>
      <c r="P449">
        <f>IF($W449="","",IF(ISNUMBER(SEARCH("3&amp;12",SUBSTITUTE(F449," ",""))),Settings!$G$6,Settings!$C$6))</f>
        <v/>
      </c>
      <c r="Q449" s="7">
        <f>IF($W449="","",SUMIFS('Per Line'!$O$2:$O$3001,'Per Line'!$B$2:$B$3001,$B449,'Per Line'!$AB$2:$AB$3001,1))</f>
        <v/>
      </c>
      <c r="R449" s="7">
        <f>IF($W449="","",Q449*P449)</f>
        <v/>
      </c>
      <c r="S449" s="7">
        <f>IF($W449="","",R449+O449)</f>
        <v/>
      </c>
      <c r="T449" s="7">
        <f>IF($W449="","",V449-S449)</f>
        <v/>
      </c>
      <c r="U449" s="7">
        <f>IF($W449="","",V449-S449-K449)</f>
        <v/>
      </c>
      <c r="V449" s="7">
        <f>IF($W449="","",N449+Q449)</f>
        <v/>
      </c>
      <c r="W449" s="16">
        <f>IF(ROWS($W$2:$W449)&lt;=MAX('Per Line'!$AA$2:$AA$3001),MATCH(ROWS($W$2:$W449),'Per Line'!$AA$2:$AA$3001,0),"")</f>
        <v/>
      </c>
      <c r="X449">
        <f>IF($W449="","",D449&amp;"|"&amp;COUNTIF($D$2:$D449,D449))</f>
        <v/>
      </c>
    </row>
    <row r="450">
      <c r="A450" s="15" t="n"/>
      <c r="B450">
        <f>IF($W450="","",INDEX('Per Line'!$B$2:$B$3001,$W450)&amp;"")</f>
        <v/>
      </c>
      <c r="C450">
        <f>IF($W450="","",INDEX('Per Line'!$C$2:$C$3001,$W450)&amp;"")</f>
        <v/>
      </c>
      <c r="D450">
        <f>IF($W450="","",IF(OR(TRIM(E450)="Orient Insurance Company",TRIM(E450)="Allianz"),TRIM(E450),TRIM(F450)))</f>
        <v/>
      </c>
      <c r="E450">
        <f>IF($W450="","",INDEX('Per Line'!$E$2:$E$3001,$W450)&amp;"")</f>
        <v/>
      </c>
      <c r="F450">
        <f>IF($W450="","",INDEX('Per Line'!$D$2:$D$3001,$W450)&amp;"")</f>
        <v/>
      </c>
      <c r="G450">
        <f>IF($W450="","",INDEX('Per Line'!$F$2:$F$3001,$W450)&amp;"")</f>
        <v/>
      </c>
      <c r="H450">
        <f>IF($W450="","",INDEX('Per Line'!$G$2:$G$3001,$W450)&amp;"")</f>
        <v/>
      </c>
      <c r="I450">
        <f>IF($W450="","",INDEX('Per Line'!$H$2:$H$3001,$W450)&amp;"")</f>
        <v/>
      </c>
      <c r="J450">
        <f>IF($W450="","",INDEX('Per Line'!$I$2:$I$3001,$W450))</f>
        <v/>
      </c>
      <c r="K450" s="7">
        <f>IF($W450="","",J450*T450/100)</f>
        <v/>
      </c>
      <c r="L450" s="14">
        <f>IF($W450="","",INDEX('Per Line'!$V$2:$V$3001,$W450))</f>
        <v/>
      </c>
      <c r="M450">
        <f>IF($W450="","",IF(ISNUMBER(SEARCH("3&amp;12",SUBSTITUTE(F450," ",""))),Settings!$G$7,Settings!$C$7))</f>
        <v/>
      </c>
      <c r="N450" s="7">
        <f>IF($W450="","",SUMIFS('Per Line'!$O$2:$O$3001,'Per Line'!$B$2:$B$3001,$B450,'Per Line'!$AB$2:$AB$3001,0))</f>
        <v/>
      </c>
      <c r="O450" s="7">
        <f>IF($W450="","",N450*M450)</f>
        <v/>
      </c>
      <c r="P450">
        <f>IF($W450="","",IF(ISNUMBER(SEARCH("3&amp;12",SUBSTITUTE(F450," ",""))),Settings!$G$6,Settings!$C$6))</f>
        <v/>
      </c>
      <c r="Q450" s="7">
        <f>IF($W450="","",SUMIFS('Per Line'!$O$2:$O$3001,'Per Line'!$B$2:$B$3001,$B450,'Per Line'!$AB$2:$AB$3001,1))</f>
        <v/>
      </c>
      <c r="R450" s="7">
        <f>IF($W450="","",Q450*P450)</f>
        <v/>
      </c>
      <c r="S450" s="7">
        <f>IF($W450="","",R450+O450)</f>
        <v/>
      </c>
      <c r="T450" s="7">
        <f>IF($W450="","",V450-S450)</f>
        <v/>
      </c>
      <c r="U450" s="7">
        <f>IF($W450="","",V450-S450-K450)</f>
        <v/>
      </c>
      <c r="V450" s="7">
        <f>IF($W450="","",N450+Q450)</f>
        <v/>
      </c>
      <c r="W450" s="16">
        <f>IF(ROWS($W$2:$W450)&lt;=MAX('Per Line'!$AA$2:$AA$3001),MATCH(ROWS($W$2:$W450),'Per Line'!$AA$2:$AA$3001,0),"")</f>
        <v/>
      </c>
      <c r="X450">
        <f>IF($W450="","",D450&amp;"|"&amp;COUNTIF($D$2:$D450,D450))</f>
        <v/>
      </c>
    </row>
    <row r="451">
      <c r="A451" s="15" t="n"/>
      <c r="B451">
        <f>IF($W451="","",INDEX('Per Line'!$B$2:$B$3001,$W451)&amp;"")</f>
        <v/>
      </c>
      <c r="C451">
        <f>IF($W451="","",INDEX('Per Line'!$C$2:$C$3001,$W451)&amp;"")</f>
        <v/>
      </c>
      <c r="D451">
        <f>IF($W451="","",IF(OR(TRIM(E451)="Orient Insurance Company",TRIM(E451)="Allianz"),TRIM(E451),TRIM(F451)))</f>
        <v/>
      </c>
      <c r="E451">
        <f>IF($W451="","",INDEX('Per Line'!$E$2:$E$3001,$W451)&amp;"")</f>
        <v/>
      </c>
      <c r="F451">
        <f>IF($W451="","",INDEX('Per Line'!$D$2:$D$3001,$W451)&amp;"")</f>
        <v/>
      </c>
      <c r="G451">
        <f>IF($W451="","",INDEX('Per Line'!$F$2:$F$3001,$W451)&amp;"")</f>
        <v/>
      </c>
      <c r="H451">
        <f>IF($W451="","",INDEX('Per Line'!$G$2:$G$3001,$W451)&amp;"")</f>
        <v/>
      </c>
      <c r="I451">
        <f>IF($W451="","",INDEX('Per Line'!$H$2:$H$3001,$W451)&amp;"")</f>
        <v/>
      </c>
      <c r="J451">
        <f>IF($W451="","",INDEX('Per Line'!$I$2:$I$3001,$W451))</f>
        <v/>
      </c>
      <c r="K451" s="7">
        <f>IF($W451="","",J451*T451/100)</f>
        <v/>
      </c>
      <c r="L451" s="14">
        <f>IF($W451="","",INDEX('Per Line'!$V$2:$V$3001,$W451))</f>
        <v/>
      </c>
      <c r="M451">
        <f>IF($W451="","",IF(ISNUMBER(SEARCH("3&amp;12",SUBSTITUTE(F451," ",""))),Settings!$G$7,Settings!$C$7))</f>
        <v/>
      </c>
      <c r="N451" s="7">
        <f>IF($W451="","",SUMIFS('Per Line'!$O$2:$O$3001,'Per Line'!$B$2:$B$3001,$B451,'Per Line'!$AB$2:$AB$3001,0))</f>
        <v/>
      </c>
      <c r="O451" s="7">
        <f>IF($W451="","",N451*M451)</f>
        <v/>
      </c>
      <c r="P451">
        <f>IF($W451="","",IF(ISNUMBER(SEARCH("3&amp;12",SUBSTITUTE(F451," ",""))),Settings!$G$6,Settings!$C$6))</f>
        <v/>
      </c>
      <c r="Q451" s="7">
        <f>IF($W451="","",SUMIFS('Per Line'!$O$2:$O$3001,'Per Line'!$B$2:$B$3001,$B451,'Per Line'!$AB$2:$AB$3001,1))</f>
        <v/>
      </c>
      <c r="R451" s="7">
        <f>IF($W451="","",Q451*P451)</f>
        <v/>
      </c>
      <c r="S451" s="7">
        <f>IF($W451="","",R451+O451)</f>
        <v/>
      </c>
      <c r="T451" s="7">
        <f>IF($W451="","",V451-S451)</f>
        <v/>
      </c>
      <c r="U451" s="7">
        <f>IF($W451="","",V451-S451-K451)</f>
        <v/>
      </c>
      <c r="V451" s="7">
        <f>IF($W451="","",N451+Q451)</f>
        <v/>
      </c>
      <c r="W451" s="16">
        <f>IF(ROWS($W$2:$W451)&lt;=MAX('Per Line'!$AA$2:$AA$3001),MATCH(ROWS($W$2:$W451),'Per Line'!$AA$2:$AA$3001,0),"")</f>
        <v/>
      </c>
      <c r="X451">
        <f>IF($W451="","",D451&amp;"|"&amp;COUNTIF($D$2:$D451,D451))</f>
        <v/>
      </c>
    </row>
    <row r="452">
      <c r="A452" s="15" t="n"/>
      <c r="B452">
        <f>IF($W452="","",INDEX('Per Line'!$B$2:$B$3001,$W452)&amp;"")</f>
        <v/>
      </c>
      <c r="C452">
        <f>IF($W452="","",INDEX('Per Line'!$C$2:$C$3001,$W452)&amp;"")</f>
        <v/>
      </c>
      <c r="D452">
        <f>IF($W452="","",IF(OR(TRIM(E452)="Orient Insurance Company",TRIM(E452)="Allianz"),TRIM(E452),TRIM(F452)))</f>
        <v/>
      </c>
      <c r="E452">
        <f>IF($W452="","",INDEX('Per Line'!$E$2:$E$3001,$W452)&amp;"")</f>
        <v/>
      </c>
      <c r="F452">
        <f>IF($W452="","",INDEX('Per Line'!$D$2:$D$3001,$W452)&amp;"")</f>
        <v/>
      </c>
      <c r="G452">
        <f>IF($W452="","",INDEX('Per Line'!$F$2:$F$3001,$W452)&amp;"")</f>
        <v/>
      </c>
      <c r="H452">
        <f>IF($W452="","",INDEX('Per Line'!$G$2:$G$3001,$W452)&amp;"")</f>
        <v/>
      </c>
      <c r="I452">
        <f>IF($W452="","",INDEX('Per Line'!$H$2:$H$3001,$W452)&amp;"")</f>
        <v/>
      </c>
      <c r="J452">
        <f>IF($W452="","",INDEX('Per Line'!$I$2:$I$3001,$W452))</f>
        <v/>
      </c>
      <c r="K452" s="7">
        <f>IF($W452="","",J452*T452/100)</f>
        <v/>
      </c>
      <c r="L452" s="14">
        <f>IF($W452="","",INDEX('Per Line'!$V$2:$V$3001,$W452))</f>
        <v/>
      </c>
      <c r="M452">
        <f>IF($W452="","",IF(ISNUMBER(SEARCH("3&amp;12",SUBSTITUTE(F452," ",""))),Settings!$G$7,Settings!$C$7))</f>
        <v/>
      </c>
      <c r="N452" s="7">
        <f>IF($W452="","",SUMIFS('Per Line'!$O$2:$O$3001,'Per Line'!$B$2:$B$3001,$B452,'Per Line'!$AB$2:$AB$3001,0))</f>
        <v/>
      </c>
      <c r="O452" s="7">
        <f>IF($W452="","",N452*M452)</f>
        <v/>
      </c>
      <c r="P452">
        <f>IF($W452="","",IF(ISNUMBER(SEARCH("3&amp;12",SUBSTITUTE(F452," ",""))),Settings!$G$6,Settings!$C$6))</f>
        <v/>
      </c>
      <c r="Q452" s="7">
        <f>IF($W452="","",SUMIFS('Per Line'!$O$2:$O$3001,'Per Line'!$B$2:$B$3001,$B452,'Per Line'!$AB$2:$AB$3001,1))</f>
        <v/>
      </c>
      <c r="R452" s="7">
        <f>IF($W452="","",Q452*P452)</f>
        <v/>
      </c>
      <c r="S452" s="7">
        <f>IF($W452="","",R452+O452)</f>
        <v/>
      </c>
      <c r="T452" s="7">
        <f>IF($W452="","",V452-S452)</f>
        <v/>
      </c>
      <c r="U452" s="7">
        <f>IF($W452="","",V452-S452-K452)</f>
        <v/>
      </c>
      <c r="V452" s="7">
        <f>IF($W452="","",N452+Q452)</f>
        <v/>
      </c>
      <c r="W452" s="16">
        <f>IF(ROWS($W$2:$W452)&lt;=MAX('Per Line'!$AA$2:$AA$3001),MATCH(ROWS($W$2:$W452),'Per Line'!$AA$2:$AA$3001,0),"")</f>
        <v/>
      </c>
      <c r="X452">
        <f>IF($W452="","",D452&amp;"|"&amp;COUNTIF($D$2:$D452,D452))</f>
        <v/>
      </c>
    </row>
    <row r="453">
      <c r="A453" s="15" t="n"/>
      <c r="B453">
        <f>IF($W453="","",INDEX('Per Line'!$B$2:$B$3001,$W453)&amp;"")</f>
        <v/>
      </c>
      <c r="C453">
        <f>IF($W453="","",INDEX('Per Line'!$C$2:$C$3001,$W453)&amp;"")</f>
        <v/>
      </c>
      <c r="D453">
        <f>IF($W453="","",IF(OR(TRIM(E453)="Orient Insurance Company",TRIM(E453)="Allianz"),TRIM(E453),TRIM(F453)))</f>
        <v/>
      </c>
      <c r="E453">
        <f>IF($W453="","",INDEX('Per Line'!$E$2:$E$3001,$W453)&amp;"")</f>
        <v/>
      </c>
      <c r="F453">
        <f>IF($W453="","",INDEX('Per Line'!$D$2:$D$3001,$W453)&amp;"")</f>
        <v/>
      </c>
      <c r="G453">
        <f>IF($W453="","",INDEX('Per Line'!$F$2:$F$3001,$W453)&amp;"")</f>
        <v/>
      </c>
      <c r="H453">
        <f>IF($W453="","",INDEX('Per Line'!$G$2:$G$3001,$W453)&amp;"")</f>
        <v/>
      </c>
      <c r="I453">
        <f>IF($W453="","",INDEX('Per Line'!$H$2:$H$3001,$W453)&amp;"")</f>
        <v/>
      </c>
      <c r="J453">
        <f>IF($W453="","",INDEX('Per Line'!$I$2:$I$3001,$W453))</f>
        <v/>
      </c>
      <c r="K453" s="7">
        <f>IF($W453="","",J453*T453/100)</f>
        <v/>
      </c>
      <c r="L453" s="14">
        <f>IF($W453="","",INDEX('Per Line'!$V$2:$V$3001,$W453))</f>
        <v/>
      </c>
      <c r="M453">
        <f>IF($W453="","",IF(ISNUMBER(SEARCH("3&amp;12",SUBSTITUTE(F453," ",""))),Settings!$G$7,Settings!$C$7))</f>
        <v/>
      </c>
      <c r="N453" s="7">
        <f>IF($W453="","",SUMIFS('Per Line'!$O$2:$O$3001,'Per Line'!$B$2:$B$3001,$B453,'Per Line'!$AB$2:$AB$3001,0))</f>
        <v/>
      </c>
      <c r="O453" s="7">
        <f>IF($W453="","",N453*M453)</f>
        <v/>
      </c>
      <c r="P453">
        <f>IF($W453="","",IF(ISNUMBER(SEARCH("3&amp;12",SUBSTITUTE(F453," ",""))),Settings!$G$6,Settings!$C$6))</f>
        <v/>
      </c>
      <c r="Q453" s="7">
        <f>IF($W453="","",SUMIFS('Per Line'!$O$2:$O$3001,'Per Line'!$B$2:$B$3001,$B453,'Per Line'!$AB$2:$AB$3001,1))</f>
        <v/>
      </c>
      <c r="R453" s="7">
        <f>IF($W453="","",Q453*P453)</f>
        <v/>
      </c>
      <c r="S453" s="7">
        <f>IF($W453="","",R453+O453)</f>
        <v/>
      </c>
      <c r="T453" s="7">
        <f>IF($W453="","",V453-S453)</f>
        <v/>
      </c>
      <c r="U453" s="7">
        <f>IF($W453="","",V453-S453-K453)</f>
        <v/>
      </c>
      <c r="V453" s="7">
        <f>IF($W453="","",N453+Q453)</f>
        <v/>
      </c>
      <c r="W453" s="16">
        <f>IF(ROWS($W$2:$W453)&lt;=MAX('Per Line'!$AA$2:$AA$3001),MATCH(ROWS($W$2:$W453),'Per Line'!$AA$2:$AA$3001,0),"")</f>
        <v/>
      </c>
      <c r="X453">
        <f>IF($W453="","",D453&amp;"|"&amp;COUNTIF($D$2:$D453,D453))</f>
        <v/>
      </c>
    </row>
    <row r="454">
      <c r="A454" s="15" t="n"/>
      <c r="B454">
        <f>IF($W454="","",INDEX('Per Line'!$B$2:$B$3001,$W454)&amp;"")</f>
        <v/>
      </c>
      <c r="C454">
        <f>IF($W454="","",INDEX('Per Line'!$C$2:$C$3001,$W454)&amp;"")</f>
        <v/>
      </c>
      <c r="D454">
        <f>IF($W454="","",IF(OR(TRIM(E454)="Orient Insurance Company",TRIM(E454)="Allianz"),TRIM(E454),TRIM(F454)))</f>
        <v/>
      </c>
      <c r="E454">
        <f>IF($W454="","",INDEX('Per Line'!$E$2:$E$3001,$W454)&amp;"")</f>
        <v/>
      </c>
      <c r="F454">
        <f>IF($W454="","",INDEX('Per Line'!$D$2:$D$3001,$W454)&amp;"")</f>
        <v/>
      </c>
      <c r="G454">
        <f>IF($W454="","",INDEX('Per Line'!$F$2:$F$3001,$W454)&amp;"")</f>
        <v/>
      </c>
      <c r="H454">
        <f>IF($W454="","",INDEX('Per Line'!$G$2:$G$3001,$W454)&amp;"")</f>
        <v/>
      </c>
      <c r="I454">
        <f>IF($W454="","",INDEX('Per Line'!$H$2:$H$3001,$W454)&amp;"")</f>
        <v/>
      </c>
      <c r="J454">
        <f>IF($W454="","",INDEX('Per Line'!$I$2:$I$3001,$W454))</f>
        <v/>
      </c>
      <c r="K454" s="7">
        <f>IF($W454="","",J454*T454/100)</f>
        <v/>
      </c>
      <c r="L454" s="14">
        <f>IF($W454="","",INDEX('Per Line'!$V$2:$V$3001,$W454))</f>
        <v/>
      </c>
      <c r="M454">
        <f>IF($W454="","",IF(ISNUMBER(SEARCH("3&amp;12",SUBSTITUTE(F454," ",""))),Settings!$G$7,Settings!$C$7))</f>
        <v/>
      </c>
      <c r="N454" s="7">
        <f>IF($W454="","",SUMIFS('Per Line'!$O$2:$O$3001,'Per Line'!$B$2:$B$3001,$B454,'Per Line'!$AB$2:$AB$3001,0))</f>
        <v/>
      </c>
      <c r="O454" s="7">
        <f>IF($W454="","",N454*M454)</f>
        <v/>
      </c>
      <c r="P454">
        <f>IF($W454="","",IF(ISNUMBER(SEARCH("3&amp;12",SUBSTITUTE(F454," ",""))),Settings!$G$6,Settings!$C$6))</f>
        <v/>
      </c>
      <c r="Q454" s="7">
        <f>IF($W454="","",SUMIFS('Per Line'!$O$2:$O$3001,'Per Line'!$B$2:$B$3001,$B454,'Per Line'!$AB$2:$AB$3001,1))</f>
        <v/>
      </c>
      <c r="R454" s="7">
        <f>IF($W454="","",Q454*P454)</f>
        <v/>
      </c>
      <c r="S454" s="7">
        <f>IF($W454="","",R454+O454)</f>
        <v/>
      </c>
      <c r="T454" s="7">
        <f>IF($W454="","",V454-S454)</f>
        <v/>
      </c>
      <c r="U454" s="7">
        <f>IF($W454="","",V454-S454-K454)</f>
        <v/>
      </c>
      <c r="V454" s="7">
        <f>IF($W454="","",N454+Q454)</f>
        <v/>
      </c>
      <c r="W454" s="16">
        <f>IF(ROWS($W$2:$W454)&lt;=MAX('Per Line'!$AA$2:$AA$3001),MATCH(ROWS($W$2:$W454),'Per Line'!$AA$2:$AA$3001,0),"")</f>
        <v/>
      </c>
      <c r="X454">
        <f>IF($W454="","",D454&amp;"|"&amp;COUNTIF($D$2:$D454,D454))</f>
        <v/>
      </c>
    </row>
    <row r="455">
      <c r="A455" s="15" t="n"/>
      <c r="B455">
        <f>IF($W455="","",INDEX('Per Line'!$B$2:$B$3001,$W455)&amp;"")</f>
        <v/>
      </c>
      <c r="C455">
        <f>IF($W455="","",INDEX('Per Line'!$C$2:$C$3001,$W455)&amp;"")</f>
        <v/>
      </c>
      <c r="D455">
        <f>IF($W455="","",IF(OR(TRIM(E455)="Orient Insurance Company",TRIM(E455)="Allianz"),TRIM(E455),TRIM(F455)))</f>
        <v/>
      </c>
      <c r="E455">
        <f>IF($W455="","",INDEX('Per Line'!$E$2:$E$3001,$W455)&amp;"")</f>
        <v/>
      </c>
      <c r="F455">
        <f>IF($W455="","",INDEX('Per Line'!$D$2:$D$3001,$W455)&amp;"")</f>
        <v/>
      </c>
      <c r="G455">
        <f>IF($W455="","",INDEX('Per Line'!$F$2:$F$3001,$W455)&amp;"")</f>
        <v/>
      </c>
      <c r="H455">
        <f>IF($W455="","",INDEX('Per Line'!$G$2:$G$3001,$W455)&amp;"")</f>
        <v/>
      </c>
      <c r="I455">
        <f>IF($W455="","",INDEX('Per Line'!$H$2:$H$3001,$W455)&amp;"")</f>
        <v/>
      </c>
      <c r="J455">
        <f>IF($W455="","",INDEX('Per Line'!$I$2:$I$3001,$W455))</f>
        <v/>
      </c>
      <c r="K455" s="7">
        <f>IF($W455="","",J455*T455/100)</f>
        <v/>
      </c>
      <c r="L455" s="14">
        <f>IF($W455="","",INDEX('Per Line'!$V$2:$V$3001,$W455))</f>
        <v/>
      </c>
      <c r="M455">
        <f>IF($W455="","",IF(ISNUMBER(SEARCH("3&amp;12",SUBSTITUTE(F455," ",""))),Settings!$G$7,Settings!$C$7))</f>
        <v/>
      </c>
      <c r="N455" s="7">
        <f>IF($W455="","",SUMIFS('Per Line'!$O$2:$O$3001,'Per Line'!$B$2:$B$3001,$B455,'Per Line'!$AB$2:$AB$3001,0))</f>
        <v/>
      </c>
      <c r="O455" s="7">
        <f>IF($W455="","",N455*M455)</f>
        <v/>
      </c>
      <c r="P455">
        <f>IF($W455="","",IF(ISNUMBER(SEARCH("3&amp;12",SUBSTITUTE(F455," ",""))),Settings!$G$6,Settings!$C$6))</f>
        <v/>
      </c>
      <c r="Q455" s="7">
        <f>IF($W455="","",SUMIFS('Per Line'!$O$2:$O$3001,'Per Line'!$B$2:$B$3001,$B455,'Per Line'!$AB$2:$AB$3001,1))</f>
        <v/>
      </c>
      <c r="R455" s="7">
        <f>IF($W455="","",Q455*P455)</f>
        <v/>
      </c>
      <c r="S455" s="7">
        <f>IF($W455="","",R455+O455)</f>
        <v/>
      </c>
      <c r="T455" s="7">
        <f>IF($W455="","",V455-S455)</f>
        <v/>
      </c>
      <c r="U455" s="7">
        <f>IF($W455="","",V455-S455-K455)</f>
        <v/>
      </c>
      <c r="V455" s="7">
        <f>IF($W455="","",N455+Q455)</f>
        <v/>
      </c>
      <c r="W455" s="16">
        <f>IF(ROWS($W$2:$W455)&lt;=MAX('Per Line'!$AA$2:$AA$3001),MATCH(ROWS($W$2:$W455),'Per Line'!$AA$2:$AA$3001,0),"")</f>
        <v/>
      </c>
      <c r="X455">
        <f>IF($W455="","",D455&amp;"|"&amp;COUNTIF($D$2:$D455,D455))</f>
        <v/>
      </c>
    </row>
    <row r="456">
      <c r="A456" s="15" t="n"/>
      <c r="B456">
        <f>IF($W456="","",INDEX('Per Line'!$B$2:$B$3001,$W456)&amp;"")</f>
        <v/>
      </c>
      <c r="C456">
        <f>IF($W456="","",INDEX('Per Line'!$C$2:$C$3001,$W456)&amp;"")</f>
        <v/>
      </c>
      <c r="D456">
        <f>IF($W456="","",IF(OR(TRIM(E456)="Orient Insurance Company",TRIM(E456)="Allianz"),TRIM(E456),TRIM(F456)))</f>
        <v/>
      </c>
      <c r="E456">
        <f>IF($W456="","",INDEX('Per Line'!$E$2:$E$3001,$W456)&amp;"")</f>
        <v/>
      </c>
      <c r="F456">
        <f>IF($W456="","",INDEX('Per Line'!$D$2:$D$3001,$W456)&amp;"")</f>
        <v/>
      </c>
      <c r="G456">
        <f>IF($W456="","",INDEX('Per Line'!$F$2:$F$3001,$W456)&amp;"")</f>
        <v/>
      </c>
      <c r="H456">
        <f>IF($W456="","",INDEX('Per Line'!$G$2:$G$3001,$W456)&amp;"")</f>
        <v/>
      </c>
      <c r="I456">
        <f>IF($W456="","",INDEX('Per Line'!$H$2:$H$3001,$W456)&amp;"")</f>
        <v/>
      </c>
      <c r="J456">
        <f>IF($W456="","",INDEX('Per Line'!$I$2:$I$3001,$W456))</f>
        <v/>
      </c>
      <c r="K456" s="7">
        <f>IF($W456="","",J456*T456/100)</f>
        <v/>
      </c>
      <c r="L456" s="14">
        <f>IF($W456="","",INDEX('Per Line'!$V$2:$V$3001,$W456))</f>
        <v/>
      </c>
      <c r="M456">
        <f>IF($W456="","",IF(ISNUMBER(SEARCH("3&amp;12",SUBSTITUTE(F456," ",""))),Settings!$G$7,Settings!$C$7))</f>
        <v/>
      </c>
      <c r="N456" s="7">
        <f>IF($W456="","",SUMIFS('Per Line'!$O$2:$O$3001,'Per Line'!$B$2:$B$3001,$B456,'Per Line'!$AB$2:$AB$3001,0))</f>
        <v/>
      </c>
      <c r="O456" s="7">
        <f>IF($W456="","",N456*M456)</f>
        <v/>
      </c>
      <c r="P456">
        <f>IF($W456="","",IF(ISNUMBER(SEARCH("3&amp;12",SUBSTITUTE(F456," ",""))),Settings!$G$6,Settings!$C$6))</f>
        <v/>
      </c>
      <c r="Q456" s="7">
        <f>IF($W456="","",SUMIFS('Per Line'!$O$2:$O$3001,'Per Line'!$B$2:$B$3001,$B456,'Per Line'!$AB$2:$AB$3001,1))</f>
        <v/>
      </c>
      <c r="R456" s="7">
        <f>IF($W456="","",Q456*P456)</f>
        <v/>
      </c>
      <c r="S456" s="7">
        <f>IF($W456="","",R456+O456)</f>
        <v/>
      </c>
      <c r="T456" s="7">
        <f>IF($W456="","",V456-S456)</f>
        <v/>
      </c>
      <c r="U456" s="7">
        <f>IF($W456="","",V456-S456-K456)</f>
        <v/>
      </c>
      <c r="V456" s="7">
        <f>IF($W456="","",N456+Q456)</f>
        <v/>
      </c>
      <c r="W456" s="16">
        <f>IF(ROWS($W$2:$W456)&lt;=MAX('Per Line'!$AA$2:$AA$3001),MATCH(ROWS($W$2:$W456),'Per Line'!$AA$2:$AA$3001,0),"")</f>
        <v/>
      </c>
      <c r="X456">
        <f>IF($W456="","",D456&amp;"|"&amp;COUNTIF($D$2:$D456,D456))</f>
        <v/>
      </c>
    </row>
    <row r="457">
      <c r="A457" s="15" t="n"/>
      <c r="B457">
        <f>IF($W457="","",INDEX('Per Line'!$B$2:$B$3001,$W457)&amp;"")</f>
        <v/>
      </c>
      <c r="C457">
        <f>IF($W457="","",INDEX('Per Line'!$C$2:$C$3001,$W457)&amp;"")</f>
        <v/>
      </c>
      <c r="D457">
        <f>IF($W457="","",IF(OR(TRIM(E457)="Orient Insurance Company",TRIM(E457)="Allianz"),TRIM(E457),TRIM(F457)))</f>
        <v/>
      </c>
      <c r="E457">
        <f>IF($W457="","",INDEX('Per Line'!$E$2:$E$3001,$W457)&amp;"")</f>
        <v/>
      </c>
      <c r="F457">
        <f>IF($W457="","",INDEX('Per Line'!$D$2:$D$3001,$W457)&amp;"")</f>
        <v/>
      </c>
      <c r="G457">
        <f>IF($W457="","",INDEX('Per Line'!$F$2:$F$3001,$W457)&amp;"")</f>
        <v/>
      </c>
      <c r="H457">
        <f>IF($W457="","",INDEX('Per Line'!$G$2:$G$3001,$W457)&amp;"")</f>
        <v/>
      </c>
      <c r="I457">
        <f>IF($W457="","",INDEX('Per Line'!$H$2:$H$3001,$W457)&amp;"")</f>
        <v/>
      </c>
      <c r="J457">
        <f>IF($W457="","",INDEX('Per Line'!$I$2:$I$3001,$W457))</f>
        <v/>
      </c>
      <c r="K457" s="7">
        <f>IF($W457="","",J457*T457/100)</f>
        <v/>
      </c>
      <c r="L457" s="14">
        <f>IF($W457="","",INDEX('Per Line'!$V$2:$V$3001,$W457))</f>
        <v/>
      </c>
      <c r="M457">
        <f>IF($W457="","",IF(ISNUMBER(SEARCH("3&amp;12",SUBSTITUTE(F457," ",""))),Settings!$G$7,Settings!$C$7))</f>
        <v/>
      </c>
      <c r="N457" s="7">
        <f>IF($W457="","",SUMIFS('Per Line'!$O$2:$O$3001,'Per Line'!$B$2:$B$3001,$B457,'Per Line'!$AB$2:$AB$3001,0))</f>
        <v/>
      </c>
      <c r="O457" s="7">
        <f>IF($W457="","",N457*M457)</f>
        <v/>
      </c>
      <c r="P457">
        <f>IF($W457="","",IF(ISNUMBER(SEARCH("3&amp;12",SUBSTITUTE(F457," ",""))),Settings!$G$6,Settings!$C$6))</f>
        <v/>
      </c>
      <c r="Q457" s="7">
        <f>IF($W457="","",SUMIFS('Per Line'!$O$2:$O$3001,'Per Line'!$B$2:$B$3001,$B457,'Per Line'!$AB$2:$AB$3001,1))</f>
        <v/>
      </c>
      <c r="R457" s="7">
        <f>IF($W457="","",Q457*P457)</f>
        <v/>
      </c>
      <c r="S457" s="7">
        <f>IF($W457="","",R457+O457)</f>
        <v/>
      </c>
      <c r="T457" s="7">
        <f>IF($W457="","",V457-S457)</f>
        <v/>
      </c>
      <c r="U457" s="7">
        <f>IF($W457="","",V457-S457-K457)</f>
        <v/>
      </c>
      <c r="V457" s="7">
        <f>IF($W457="","",N457+Q457)</f>
        <v/>
      </c>
      <c r="W457" s="16">
        <f>IF(ROWS($W$2:$W457)&lt;=MAX('Per Line'!$AA$2:$AA$3001),MATCH(ROWS($W$2:$W457),'Per Line'!$AA$2:$AA$3001,0),"")</f>
        <v/>
      </c>
      <c r="X457">
        <f>IF($W457="","",D457&amp;"|"&amp;COUNTIF($D$2:$D457,D457))</f>
        <v/>
      </c>
    </row>
    <row r="458">
      <c r="A458" s="15" t="n"/>
      <c r="B458">
        <f>IF($W458="","",INDEX('Per Line'!$B$2:$B$3001,$W458)&amp;"")</f>
        <v/>
      </c>
      <c r="C458">
        <f>IF($W458="","",INDEX('Per Line'!$C$2:$C$3001,$W458)&amp;"")</f>
        <v/>
      </c>
      <c r="D458">
        <f>IF($W458="","",IF(OR(TRIM(E458)="Orient Insurance Company",TRIM(E458)="Allianz"),TRIM(E458),TRIM(F458)))</f>
        <v/>
      </c>
      <c r="E458">
        <f>IF($W458="","",INDEX('Per Line'!$E$2:$E$3001,$W458)&amp;"")</f>
        <v/>
      </c>
      <c r="F458">
        <f>IF($W458="","",INDEX('Per Line'!$D$2:$D$3001,$W458)&amp;"")</f>
        <v/>
      </c>
      <c r="G458">
        <f>IF($W458="","",INDEX('Per Line'!$F$2:$F$3001,$W458)&amp;"")</f>
        <v/>
      </c>
      <c r="H458">
        <f>IF($W458="","",INDEX('Per Line'!$G$2:$G$3001,$W458)&amp;"")</f>
        <v/>
      </c>
      <c r="I458">
        <f>IF($W458="","",INDEX('Per Line'!$H$2:$H$3001,$W458)&amp;"")</f>
        <v/>
      </c>
      <c r="J458">
        <f>IF($W458="","",INDEX('Per Line'!$I$2:$I$3001,$W458))</f>
        <v/>
      </c>
      <c r="K458" s="7">
        <f>IF($W458="","",J458*T458/100)</f>
        <v/>
      </c>
      <c r="L458" s="14">
        <f>IF($W458="","",INDEX('Per Line'!$V$2:$V$3001,$W458))</f>
        <v/>
      </c>
      <c r="M458">
        <f>IF($W458="","",IF(ISNUMBER(SEARCH("3&amp;12",SUBSTITUTE(F458," ",""))),Settings!$G$7,Settings!$C$7))</f>
        <v/>
      </c>
      <c r="N458" s="7">
        <f>IF($W458="","",SUMIFS('Per Line'!$O$2:$O$3001,'Per Line'!$B$2:$B$3001,$B458,'Per Line'!$AB$2:$AB$3001,0))</f>
        <v/>
      </c>
      <c r="O458" s="7">
        <f>IF($W458="","",N458*M458)</f>
        <v/>
      </c>
      <c r="P458">
        <f>IF($W458="","",IF(ISNUMBER(SEARCH("3&amp;12",SUBSTITUTE(F458," ",""))),Settings!$G$6,Settings!$C$6))</f>
        <v/>
      </c>
      <c r="Q458" s="7">
        <f>IF($W458="","",SUMIFS('Per Line'!$O$2:$O$3001,'Per Line'!$B$2:$B$3001,$B458,'Per Line'!$AB$2:$AB$3001,1))</f>
        <v/>
      </c>
      <c r="R458" s="7">
        <f>IF($W458="","",Q458*P458)</f>
        <v/>
      </c>
      <c r="S458" s="7">
        <f>IF($W458="","",R458+O458)</f>
        <v/>
      </c>
      <c r="T458" s="7">
        <f>IF($W458="","",V458-S458)</f>
        <v/>
      </c>
      <c r="U458" s="7">
        <f>IF($W458="","",V458-S458-K458)</f>
        <v/>
      </c>
      <c r="V458" s="7">
        <f>IF($W458="","",N458+Q458)</f>
        <v/>
      </c>
      <c r="W458" s="16">
        <f>IF(ROWS($W$2:$W458)&lt;=MAX('Per Line'!$AA$2:$AA$3001),MATCH(ROWS($W$2:$W458),'Per Line'!$AA$2:$AA$3001,0),"")</f>
        <v/>
      </c>
      <c r="X458">
        <f>IF($W458="","",D458&amp;"|"&amp;COUNTIF($D$2:$D458,D458))</f>
        <v/>
      </c>
    </row>
    <row r="459">
      <c r="A459" s="15" t="n"/>
      <c r="B459">
        <f>IF($W459="","",INDEX('Per Line'!$B$2:$B$3001,$W459)&amp;"")</f>
        <v/>
      </c>
      <c r="C459">
        <f>IF($W459="","",INDEX('Per Line'!$C$2:$C$3001,$W459)&amp;"")</f>
        <v/>
      </c>
      <c r="D459">
        <f>IF($W459="","",IF(OR(TRIM(E459)="Orient Insurance Company",TRIM(E459)="Allianz"),TRIM(E459),TRIM(F459)))</f>
        <v/>
      </c>
      <c r="E459">
        <f>IF($W459="","",INDEX('Per Line'!$E$2:$E$3001,$W459)&amp;"")</f>
        <v/>
      </c>
      <c r="F459">
        <f>IF($W459="","",INDEX('Per Line'!$D$2:$D$3001,$W459)&amp;"")</f>
        <v/>
      </c>
      <c r="G459">
        <f>IF($W459="","",INDEX('Per Line'!$F$2:$F$3001,$W459)&amp;"")</f>
        <v/>
      </c>
      <c r="H459">
        <f>IF($W459="","",INDEX('Per Line'!$G$2:$G$3001,$W459)&amp;"")</f>
        <v/>
      </c>
      <c r="I459">
        <f>IF($W459="","",INDEX('Per Line'!$H$2:$H$3001,$W459)&amp;"")</f>
        <v/>
      </c>
      <c r="J459">
        <f>IF($W459="","",INDEX('Per Line'!$I$2:$I$3001,$W459))</f>
        <v/>
      </c>
      <c r="K459" s="7">
        <f>IF($W459="","",J459*T459/100)</f>
        <v/>
      </c>
      <c r="L459" s="14">
        <f>IF($W459="","",INDEX('Per Line'!$V$2:$V$3001,$W459))</f>
        <v/>
      </c>
      <c r="M459">
        <f>IF($W459="","",IF(ISNUMBER(SEARCH("3&amp;12",SUBSTITUTE(F459," ",""))),Settings!$G$7,Settings!$C$7))</f>
        <v/>
      </c>
      <c r="N459" s="7">
        <f>IF($W459="","",SUMIFS('Per Line'!$O$2:$O$3001,'Per Line'!$B$2:$B$3001,$B459,'Per Line'!$AB$2:$AB$3001,0))</f>
        <v/>
      </c>
      <c r="O459" s="7">
        <f>IF($W459="","",N459*M459)</f>
        <v/>
      </c>
      <c r="P459">
        <f>IF($W459="","",IF(ISNUMBER(SEARCH("3&amp;12",SUBSTITUTE(F459," ",""))),Settings!$G$6,Settings!$C$6))</f>
        <v/>
      </c>
      <c r="Q459" s="7">
        <f>IF($W459="","",SUMIFS('Per Line'!$O$2:$O$3001,'Per Line'!$B$2:$B$3001,$B459,'Per Line'!$AB$2:$AB$3001,1))</f>
        <v/>
      </c>
      <c r="R459" s="7">
        <f>IF($W459="","",Q459*P459)</f>
        <v/>
      </c>
      <c r="S459" s="7">
        <f>IF($W459="","",R459+O459)</f>
        <v/>
      </c>
      <c r="T459" s="7">
        <f>IF($W459="","",V459-S459)</f>
        <v/>
      </c>
      <c r="U459" s="7">
        <f>IF($W459="","",V459-S459-K459)</f>
        <v/>
      </c>
      <c r="V459" s="7">
        <f>IF($W459="","",N459+Q459)</f>
        <v/>
      </c>
      <c r="W459" s="16">
        <f>IF(ROWS($W$2:$W459)&lt;=MAX('Per Line'!$AA$2:$AA$3001),MATCH(ROWS($W$2:$W459),'Per Line'!$AA$2:$AA$3001,0),"")</f>
        <v/>
      </c>
      <c r="X459">
        <f>IF($W459="","",D459&amp;"|"&amp;COUNTIF($D$2:$D459,D459))</f>
        <v/>
      </c>
    </row>
    <row r="460">
      <c r="A460" s="15" t="n"/>
      <c r="B460">
        <f>IF($W460="","",INDEX('Per Line'!$B$2:$B$3001,$W460)&amp;"")</f>
        <v/>
      </c>
      <c r="C460">
        <f>IF($W460="","",INDEX('Per Line'!$C$2:$C$3001,$W460)&amp;"")</f>
        <v/>
      </c>
      <c r="D460">
        <f>IF($W460="","",IF(OR(TRIM(E460)="Orient Insurance Company",TRIM(E460)="Allianz"),TRIM(E460),TRIM(F460)))</f>
        <v/>
      </c>
      <c r="E460">
        <f>IF($W460="","",INDEX('Per Line'!$E$2:$E$3001,$W460)&amp;"")</f>
        <v/>
      </c>
      <c r="F460">
        <f>IF($W460="","",INDEX('Per Line'!$D$2:$D$3001,$W460)&amp;"")</f>
        <v/>
      </c>
      <c r="G460">
        <f>IF($W460="","",INDEX('Per Line'!$F$2:$F$3001,$W460)&amp;"")</f>
        <v/>
      </c>
      <c r="H460">
        <f>IF($W460="","",INDEX('Per Line'!$G$2:$G$3001,$W460)&amp;"")</f>
        <v/>
      </c>
      <c r="I460">
        <f>IF($W460="","",INDEX('Per Line'!$H$2:$H$3001,$W460)&amp;"")</f>
        <v/>
      </c>
      <c r="J460">
        <f>IF($W460="","",INDEX('Per Line'!$I$2:$I$3001,$W460))</f>
        <v/>
      </c>
      <c r="K460" s="7">
        <f>IF($W460="","",J460*T460/100)</f>
        <v/>
      </c>
      <c r="L460" s="14">
        <f>IF($W460="","",INDEX('Per Line'!$V$2:$V$3001,$W460))</f>
        <v/>
      </c>
      <c r="M460">
        <f>IF($W460="","",IF(ISNUMBER(SEARCH("3&amp;12",SUBSTITUTE(F460," ",""))),Settings!$G$7,Settings!$C$7))</f>
        <v/>
      </c>
      <c r="N460" s="7">
        <f>IF($W460="","",SUMIFS('Per Line'!$O$2:$O$3001,'Per Line'!$B$2:$B$3001,$B460,'Per Line'!$AB$2:$AB$3001,0))</f>
        <v/>
      </c>
      <c r="O460" s="7">
        <f>IF($W460="","",N460*M460)</f>
        <v/>
      </c>
      <c r="P460">
        <f>IF($W460="","",IF(ISNUMBER(SEARCH("3&amp;12",SUBSTITUTE(F460," ",""))),Settings!$G$6,Settings!$C$6))</f>
        <v/>
      </c>
      <c r="Q460" s="7">
        <f>IF($W460="","",SUMIFS('Per Line'!$O$2:$O$3001,'Per Line'!$B$2:$B$3001,$B460,'Per Line'!$AB$2:$AB$3001,1))</f>
        <v/>
      </c>
      <c r="R460" s="7">
        <f>IF($W460="","",Q460*P460)</f>
        <v/>
      </c>
      <c r="S460" s="7">
        <f>IF($W460="","",R460+O460)</f>
        <v/>
      </c>
      <c r="T460" s="7">
        <f>IF($W460="","",V460-S460)</f>
        <v/>
      </c>
      <c r="U460" s="7">
        <f>IF($W460="","",V460-S460-K460)</f>
        <v/>
      </c>
      <c r="V460" s="7">
        <f>IF($W460="","",N460+Q460)</f>
        <v/>
      </c>
      <c r="W460" s="16">
        <f>IF(ROWS($W$2:$W460)&lt;=MAX('Per Line'!$AA$2:$AA$3001),MATCH(ROWS($W$2:$W460),'Per Line'!$AA$2:$AA$3001,0),"")</f>
        <v/>
      </c>
      <c r="X460">
        <f>IF($W460="","",D460&amp;"|"&amp;COUNTIF($D$2:$D460,D460))</f>
        <v/>
      </c>
    </row>
    <row r="461">
      <c r="A461" s="15" t="n"/>
      <c r="B461">
        <f>IF($W461="","",INDEX('Per Line'!$B$2:$B$3001,$W461)&amp;"")</f>
        <v/>
      </c>
      <c r="C461">
        <f>IF($W461="","",INDEX('Per Line'!$C$2:$C$3001,$W461)&amp;"")</f>
        <v/>
      </c>
      <c r="D461">
        <f>IF($W461="","",IF(OR(TRIM(E461)="Orient Insurance Company",TRIM(E461)="Allianz"),TRIM(E461),TRIM(F461)))</f>
        <v/>
      </c>
      <c r="E461">
        <f>IF($W461="","",INDEX('Per Line'!$E$2:$E$3001,$W461)&amp;"")</f>
        <v/>
      </c>
      <c r="F461">
        <f>IF($W461="","",INDEX('Per Line'!$D$2:$D$3001,$W461)&amp;"")</f>
        <v/>
      </c>
      <c r="G461">
        <f>IF($W461="","",INDEX('Per Line'!$F$2:$F$3001,$W461)&amp;"")</f>
        <v/>
      </c>
      <c r="H461">
        <f>IF($W461="","",INDEX('Per Line'!$G$2:$G$3001,$W461)&amp;"")</f>
        <v/>
      </c>
      <c r="I461">
        <f>IF($W461="","",INDEX('Per Line'!$H$2:$H$3001,$W461)&amp;"")</f>
        <v/>
      </c>
      <c r="J461">
        <f>IF($W461="","",INDEX('Per Line'!$I$2:$I$3001,$W461))</f>
        <v/>
      </c>
      <c r="K461" s="7">
        <f>IF($W461="","",J461*T461/100)</f>
        <v/>
      </c>
      <c r="L461" s="14">
        <f>IF($W461="","",INDEX('Per Line'!$V$2:$V$3001,$W461))</f>
        <v/>
      </c>
      <c r="M461">
        <f>IF($W461="","",IF(ISNUMBER(SEARCH("3&amp;12",SUBSTITUTE(F461," ",""))),Settings!$G$7,Settings!$C$7))</f>
        <v/>
      </c>
      <c r="N461" s="7">
        <f>IF($W461="","",SUMIFS('Per Line'!$O$2:$O$3001,'Per Line'!$B$2:$B$3001,$B461,'Per Line'!$AB$2:$AB$3001,0))</f>
        <v/>
      </c>
      <c r="O461" s="7">
        <f>IF($W461="","",N461*M461)</f>
        <v/>
      </c>
      <c r="P461">
        <f>IF($W461="","",IF(ISNUMBER(SEARCH("3&amp;12",SUBSTITUTE(F461," ",""))),Settings!$G$6,Settings!$C$6))</f>
        <v/>
      </c>
      <c r="Q461" s="7">
        <f>IF($W461="","",SUMIFS('Per Line'!$O$2:$O$3001,'Per Line'!$B$2:$B$3001,$B461,'Per Line'!$AB$2:$AB$3001,1))</f>
        <v/>
      </c>
      <c r="R461" s="7">
        <f>IF($W461="","",Q461*P461)</f>
        <v/>
      </c>
      <c r="S461" s="7">
        <f>IF($W461="","",R461+O461)</f>
        <v/>
      </c>
      <c r="T461" s="7">
        <f>IF($W461="","",V461-S461)</f>
        <v/>
      </c>
      <c r="U461" s="7">
        <f>IF($W461="","",V461-S461-K461)</f>
        <v/>
      </c>
      <c r="V461" s="7">
        <f>IF($W461="","",N461+Q461)</f>
        <v/>
      </c>
      <c r="W461" s="16">
        <f>IF(ROWS($W$2:$W461)&lt;=MAX('Per Line'!$AA$2:$AA$3001),MATCH(ROWS($W$2:$W461),'Per Line'!$AA$2:$AA$3001,0),"")</f>
        <v/>
      </c>
      <c r="X461">
        <f>IF($W461="","",D461&amp;"|"&amp;COUNTIF($D$2:$D461,D461))</f>
        <v/>
      </c>
    </row>
    <row r="462">
      <c r="A462" s="15" t="n"/>
      <c r="B462">
        <f>IF($W462="","",INDEX('Per Line'!$B$2:$B$3001,$W462)&amp;"")</f>
        <v/>
      </c>
      <c r="C462">
        <f>IF($W462="","",INDEX('Per Line'!$C$2:$C$3001,$W462)&amp;"")</f>
        <v/>
      </c>
      <c r="D462">
        <f>IF($W462="","",IF(OR(TRIM(E462)="Orient Insurance Company",TRIM(E462)="Allianz"),TRIM(E462),TRIM(F462)))</f>
        <v/>
      </c>
      <c r="E462">
        <f>IF($W462="","",INDEX('Per Line'!$E$2:$E$3001,$W462)&amp;"")</f>
        <v/>
      </c>
      <c r="F462">
        <f>IF($W462="","",INDEX('Per Line'!$D$2:$D$3001,$W462)&amp;"")</f>
        <v/>
      </c>
      <c r="G462">
        <f>IF($W462="","",INDEX('Per Line'!$F$2:$F$3001,$W462)&amp;"")</f>
        <v/>
      </c>
      <c r="H462">
        <f>IF($W462="","",INDEX('Per Line'!$G$2:$G$3001,$W462)&amp;"")</f>
        <v/>
      </c>
      <c r="I462">
        <f>IF($W462="","",INDEX('Per Line'!$H$2:$H$3001,$W462)&amp;"")</f>
        <v/>
      </c>
      <c r="J462">
        <f>IF($W462="","",INDEX('Per Line'!$I$2:$I$3001,$W462))</f>
        <v/>
      </c>
      <c r="K462" s="7">
        <f>IF($W462="","",J462*T462/100)</f>
        <v/>
      </c>
      <c r="L462" s="14">
        <f>IF($W462="","",INDEX('Per Line'!$V$2:$V$3001,$W462))</f>
        <v/>
      </c>
      <c r="M462">
        <f>IF($W462="","",IF(ISNUMBER(SEARCH("3&amp;12",SUBSTITUTE(F462," ",""))),Settings!$G$7,Settings!$C$7))</f>
        <v/>
      </c>
      <c r="N462" s="7">
        <f>IF($W462="","",SUMIFS('Per Line'!$O$2:$O$3001,'Per Line'!$B$2:$B$3001,$B462,'Per Line'!$AB$2:$AB$3001,0))</f>
        <v/>
      </c>
      <c r="O462" s="7">
        <f>IF($W462="","",N462*M462)</f>
        <v/>
      </c>
      <c r="P462">
        <f>IF($W462="","",IF(ISNUMBER(SEARCH("3&amp;12",SUBSTITUTE(F462," ",""))),Settings!$G$6,Settings!$C$6))</f>
        <v/>
      </c>
      <c r="Q462" s="7">
        <f>IF($W462="","",SUMIFS('Per Line'!$O$2:$O$3001,'Per Line'!$B$2:$B$3001,$B462,'Per Line'!$AB$2:$AB$3001,1))</f>
        <v/>
      </c>
      <c r="R462" s="7">
        <f>IF($W462="","",Q462*P462)</f>
        <v/>
      </c>
      <c r="S462" s="7">
        <f>IF($W462="","",R462+O462)</f>
        <v/>
      </c>
      <c r="T462" s="7">
        <f>IF($W462="","",V462-S462)</f>
        <v/>
      </c>
      <c r="U462" s="7">
        <f>IF($W462="","",V462-S462-K462)</f>
        <v/>
      </c>
      <c r="V462" s="7">
        <f>IF($W462="","",N462+Q462)</f>
        <v/>
      </c>
      <c r="W462" s="16">
        <f>IF(ROWS($W$2:$W462)&lt;=MAX('Per Line'!$AA$2:$AA$3001),MATCH(ROWS($W$2:$W462),'Per Line'!$AA$2:$AA$3001,0),"")</f>
        <v/>
      </c>
      <c r="X462">
        <f>IF($W462="","",D462&amp;"|"&amp;COUNTIF($D$2:$D462,D462))</f>
        <v/>
      </c>
    </row>
    <row r="463">
      <c r="A463" s="15" t="n"/>
      <c r="B463">
        <f>IF($W463="","",INDEX('Per Line'!$B$2:$B$3001,$W463)&amp;"")</f>
        <v/>
      </c>
      <c r="C463">
        <f>IF($W463="","",INDEX('Per Line'!$C$2:$C$3001,$W463)&amp;"")</f>
        <v/>
      </c>
      <c r="D463">
        <f>IF($W463="","",IF(OR(TRIM(E463)="Orient Insurance Company",TRIM(E463)="Allianz"),TRIM(E463),TRIM(F463)))</f>
        <v/>
      </c>
      <c r="E463">
        <f>IF($W463="","",INDEX('Per Line'!$E$2:$E$3001,$W463)&amp;"")</f>
        <v/>
      </c>
      <c r="F463">
        <f>IF($W463="","",INDEX('Per Line'!$D$2:$D$3001,$W463)&amp;"")</f>
        <v/>
      </c>
      <c r="G463">
        <f>IF($W463="","",INDEX('Per Line'!$F$2:$F$3001,$W463)&amp;"")</f>
        <v/>
      </c>
      <c r="H463">
        <f>IF($W463="","",INDEX('Per Line'!$G$2:$G$3001,$W463)&amp;"")</f>
        <v/>
      </c>
      <c r="I463">
        <f>IF($W463="","",INDEX('Per Line'!$H$2:$H$3001,$W463)&amp;"")</f>
        <v/>
      </c>
      <c r="J463">
        <f>IF($W463="","",INDEX('Per Line'!$I$2:$I$3001,$W463))</f>
        <v/>
      </c>
      <c r="K463" s="7">
        <f>IF($W463="","",J463*T463/100)</f>
        <v/>
      </c>
      <c r="L463" s="14">
        <f>IF($W463="","",INDEX('Per Line'!$V$2:$V$3001,$W463))</f>
        <v/>
      </c>
      <c r="M463">
        <f>IF($W463="","",IF(ISNUMBER(SEARCH("3&amp;12",SUBSTITUTE(F463," ",""))),Settings!$G$7,Settings!$C$7))</f>
        <v/>
      </c>
      <c r="N463" s="7">
        <f>IF($W463="","",SUMIFS('Per Line'!$O$2:$O$3001,'Per Line'!$B$2:$B$3001,$B463,'Per Line'!$AB$2:$AB$3001,0))</f>
        <v/>
      </c>
      <c r="O463" s="7">
        <f>IF($W463="","",N463*M463)</f>
        <v/>
      </c>
      <c r="P463">
        <f>IF($W463="","",IF(ISNUMBER(SEARCH("3&amp;12",SUBSTITUTE(F463," ",""))),Settings!$G$6,Settings!$C$6))</f>
        <v/>
      </c>
      <c r="Q463" s="7">
        <f>IF($W463="","",SUMIFS('Per Line'!$O$2:$O$3001,'Per Line'!$B$2:$B$3001,$B463,'Per Line'!$AB$2:$AB$3001,1))</f>
        <v/>
      </c>
      <c r="R463" s="7">
        <f>IF($W463="","",Q463*P463)</f>
        <v/>
      </c>
      <c r="S463" s="7">
        <f>IF($W463="","",R463+O463)</f>
        <v/>
      </c>
      <c r="T463" s="7">
        <f>IF($W463="","",V463-S463)</f>
        <v/>
      </c>
      <c r="U463" s="7">
        <f>IF($W463="","",V463-S463-K463)</f>
        <v/>
      </c>
      <c r="V463" s="7">
        <f>IF($W463="","",N463+Q463)</f>
        <v/>
      </c>
      <c r="W463" s="16">
        <f>IF(ROWS($W$2:$W463)&lt;=MAX('Per Line'!$AA$2:$AA$3001),MATCH(ROWS($W$2:$W463),'Per Line'!$AA$2:$AA$3001,0),"")</f>
        <v/>
      </c>
      <c r="X463">
        <f>IF($W463="","",D463&amp;"|"&amp;COUNTIF($D$2:$D463,D463))</f>
        <v/>
      </c>
    </row>
    <row r="464">
      <c r="A464" s="15" t="n"/>
      <c r="B464">
        <f>IF($W464="","",INDEX('Per Line'!$B$2:$B$3001,$W464)&amp;"")</f>
        <v/>
      </c>
      <c r="C464">
        <f>IF($W464="","",INDEX('Per Line'!$C$2:$C$3001,$W464)&amp;"")</f>
        <v/>
      </c>
      <c r="D464">
        <f>IF($W464="","",IF(OR(TRIM(E464)="Orient Insurance Company",TRIM(E464)="Allianz"),TRIM(E464),TRIM(F464)))</f>
        <v/>
      </c>
      <c r="E464">
        <f>IF($W464="","",INDEX('Per Line'!$E$2:$E$3001,$W464)&amp;"")</f>
        <v/>
      </c>
      <c r="F464">
        <f>IF($W464="","",INDEX('Per Line'!$D$2:$D$3001,$W464)&amp;"")</f>
        <v/>
      </c>
      <c r="G464">
        <f>IF($W464="","",INDEX('Per Line'!$F$2:$F$3001,$W464)&amp;"")</f>
        <v/>
      </c>
      <c r="H464">
        <f>IF($W464="","",INDEX('Per Line'!$G$2:$G$3001,$W464)&amp;"")</f>
        <v/>
      </c>
      <c r="I464">
        <f>IF($W464="","",INDEX('Per Line'!$H$2:$H$3001,$W464)&amp;"")</f>
        <v/>
      </c>
      <c r="J464">
        <f>IF($W464="","",INDEX('Per Line'!$I$2:$I$3001,$W464))</f>
        <v/>
      </c>
      <c r="K464" s="7">
        <f>IF($W464="","",J464*T464/100)</f>
        <v/>
      </c>
      <c r="L464" s="14">
        <f>IF($W464="","",INDEX('Per Line'!$V$2:$V$3001,$W464))</f>
        <v/>
      </c>
      <c r="M464">
        <f>IF($W464="","",IF(ISNUMBER(SEARCH("3&amp;12",SUBSTITUTE(F464," ",""))),Settings!$G$7,Settings!$C$7))</f>
        <v/>
      </c>
      <c r="N464" s="7">
        <f>IF($W464="","",SUMIFS('Per Line'!$O$2:$O$3001,'Per Line'!$B$2:$B$3001,$B464,'Per Line'!$AB$2:$AB$3001,0))</f>
        <v/>
      </c>
      <c r="O464" s="7">
        <f>IF($W464="","",N464*M464)</f>
        <v/>
      </c>
      <c r="P464">
        <f>IF($W464="","",IF(ISNUMBER(SEARCH("3&amp;12",SUBSTITUTE(F464," ",""))),Settings!$G$6,Settings!$C$6))</f>
        <v/>
      </c>
      <c r="Q464" s="7">
        <f>IF($W464="","",SUMIFS('Per Line'!$O$2:$O$3001,'Per Line'!$B$2:$B$3001,$B464,'Per Line'!$AB$2:$AB$3001,1))</f>
        <v/>
      </c>
      <c r="R464" s="7">
        <f>IF($W464="","",Q464*P464)</f>
        <v/>
      </c>
      <c r="S464" s="7">
        <f>IF($W464="","",R464+O464)</f>
        <v/>
      </c>
      <c r="T464" s="7">
        <f>IF($W464="","",V464-S464)</f>
        <v/>
      </c>
      <c r="U464" s="7">
        <f>IF($W464="","",V464-S464-K464)</f>
        <v/>
      </c>
      <c r="V464" s="7">
        <f>IF($W464="","",N464+Q464)</f>
        <v/>
      </c>
      <c r="W464" s="16">
        <f>IF(ROWS($W$2:$W464)&lt;=MAX('Per Line'!$AA$2:$AA$3001),MATCH(ROWS($W$2:$W464),'Per Line'!$AA$2:$AA$3001,0),"")</f>
        <v/>
      </c>
      <c r="X464">
        <f>IF($W464="","",D464&amp;"|"&amp;COUNTIF($D$2:$D464,D464))</f>
        <v/>
      </c>
    </row>
    <row r="465">
      <c r="A465" s="15" t="n"/>
      <c r="B465">
        <f>IF($W465="","",INDEX('Per Line'!$B$2:$B$3001,$W465)&amp;"")</f>
        <v/>
      </c>
      <c r="C465">
        <f>IF($W465="","",INDEX('Per Line'!$C$2:$C$3001,$W465)&amp;"")</f>
        <v/>
      </c>
      <c r="D465">
        <f>IF($W465="","",IF(OR(TRIM(E465)="Orient Insurance Company",TRIM(E465)="Allianz"),TRIM(E465),TRIM(F465)))</f>
        <v/>
      </c>
      <c r="E465">
        <f>IF($W465="","",INDEX('Per Line'!$E$2:$E$3001,$W465)&amp;"")</f>
        <v/>
      </c>
      <c r="F465">
        <f>IF($W465="","",INDEX('Per Line'!$D$2:$D$3001,$W465)&amp;"")</f>
        <v/>
      </c>
      <c r="G465">
        <f>IF($W465="","",INDEX('Per Line'!$F$2:$F$3001,$W465)&amp;"")</f>
        <v/>
      </c>
      <c r="H465">
        <f>IF($W465="","",INDEX('Per Line'!$G$2:$G$3001,$W465)&amp;"")</f>
        <v/>
      </c>
      <c r="I465">
        <f>IF($W465="","",INDEX('Per Line'!$H$2:$H$3001,$W465)&amp;"")</f>
        <v/>
      </c>
      <c r="J465">
        <f>IF($W465="","",INDEX('Per Line'!$I$2:$I$3001,$W465))</f>
        <v/>
      </c>
      <c r="K465" s="7">
        <f>IF($W465="","",J465*T465/100)</f>
        <v/>
      </c>
      <c r="L465" s="14">
        <f>IF($W465="","",INDEX('Per Line'!$V$2:$V$3001,$W465))</f>
        <v/>
      </c>
      <c r="M465">
        <f>IF($W465="","",IF(ISNUMBER(SEARCH("3&amp;12",SUBSTITUTE(F465," ",""))),Settings!$G$7,Settings!$C$7))</f>
        <v/>
      </c>
      <c r="N465" s="7">
        <f>IF($W465="","",SUMIFS('Per Line'!$O$2:$O$3001,'Per Line'!$B$2:$B$3001,$B465,'Per Line'!$AB$2:$AB$3001,0))</f>
        <v/>
      </c>
      <c r="O465" s="7">
        <f>IF($W465="","",N465*M465)</f>
        <v/>
      </c>
      <c r="P465">
        <f>IF($W465="","",IF(ISNUMBER(SEARCH("3&amp;12",SUBSTITUTE(F465," ",""))),Settings!$G$6,Settings!$C$6))</f>
        <v/>
      </c>
      <c r="Q465" s="7">
        <f>IF($W465="","",SUMIFS('Per Line'!$O$2:$O$3001,'Per Line'!$B$2:$B$3001,$B465,'Per Line'!$AB$2:$AB$3001,1))</f>
        <v/>
      </c>
      <c r="R465" s="7">
        <f>IF($W465="","",Q465*P465)</f>
        <v/>
      </c>
      <c r="S465" s="7">
        <f>IF($W465="","",R465+O465)</f>
        <v/>
      </c>
      <c r="T465" s="7">
        <f>IF($W465="","",V465-S465)</f>
        <v/>
      </c>
      <c r="U465" s="7">
        <f>IF($W465="","",V465-S465-K465)</f>
        <v/>
      </c>
      <c r="V465" s="7">
        <f>IF($W465="","",N465+Q465)</f>
        <v/>
      </c>
      <c r="W465" s="16">
        <f>IF(ROWS($W$2:$W465)&lt;=MAX('Per Line'!$AA$2:$AA$3001),MATCH(ROWS($W$2:$W465),'Per Line'!$AA$2:$AA$3001,0),"")</f>
        <v/>
      </c>
      <c r="X465">
        <f>IF($W465="","",D465&amp;"|"&amp;COUNTIF($D$2:$D465,D465))</f>
        <v/>
      </c>
    </row>
    <row r="466">
      <c r="A466" s="15" t="n"/>
      <c r="B466">
        <f>IF($W466="","",INDEX('Per Line'!$B$2:$B$3001,$W466)&amp;"")</f>
        <v/>
      </c>
      <c r="C466">
        <f>IF($W466="","",INDEX('Per Line'!$C$2:$C$3001,$W466)&amp;"")</f>
        <v/>
      </c>
      <c r="D466">
        <f>IF($W466="","",IF(OR(TRIM(E466)="Orient Insurance Company",TRIM(E466)="Allianz"),TRIM(E466),TRIM(F466)))</f>
        <v/>
      </c>
      <c r="E466">
        <f>IF($W466="","",INDEX('Per Line'!$E$2:$E$3001,$W466)&amp;"")</f>
        <v/>
      </c>
      <c r="F466">
        <f>IF($W466="","",INDEX('Per Line'!$D$2:$D$3001,$W466)&amp;"")</f>
        <v/>
      </c>
      <c r="G466">
        <f>IF($W466="","",INDEX('Per Line'!$F$2:$F$3001,$W466)&amp;"")</f>
        <v/>
      </c>
      <c r="H466">
        <f>IF($W466="","",INDEX('Per Line'!$G$2:$G$3001,$W466)&amp;"")</f>
        <v/>
      </c>
      <c r="I466">
        <f>IF($W466="","",INDEX('Per Line'!$H$2:$H$3001,$W466)&amp;"")</f>
        <v/>
      </c>
      <c r="J466">
        <f>IF($W466="","",INDEX('Per Line'!$I$2:$I$3001,$W466))</f>
        <v/>
      </c>
      <c r="K466" s="7">
        <f>IF($W466="","",J466*T466/100)</f>
        <v/>
      </c>
      <c r="L466" s="14">
        <f>IF($W466="","",INDEX('Per Line'!$V$2:$V$3001,$W466))</f>
        <v/>
      </c>
      <c r="M466">
        <f>IF($W466="","",IF(ISNUMBER(SEARCH("3&amp;12",SUBSTITUTE(F466," ",""))),Settings!$G$7,Settings!$C$7))</f>
        <v/>
      </c>
      <c r="N466" s="7">
        <f>IF($W466="","",SUMIFS('Per Line'!$O$2:$O$3001,'Per Line'!$B$2:$B$3001,$B466,'Per Line'!$AB$2:$AB$3001,0))</f>
        <v/>
      </c>
      <c r="O466" s="7">
        <f>IF($W466="","",N466*M466)</f>
        <v/>
      </c>
      <c r="P466">
        <f>IF($W466="","",IF(ISNUMBER(SEARCH("3&amp;12",SUBSTITUTE(F466," ",""))),Settings!$G$6,Settings!$C$6))</f>
        <v/>
      </c>
      <c r="Q466" s="7">
        <f>IF($W466="","",SUMIFS('Per Line'!$O$2:$O$3001,'Per Line'!$B$2:$B$3001,$B466,'Per Line'!$AB$2:$AB$3001,1))</f>
        <v/>
      </c>
      <c r="R466" s="7">
        <f>IF($W466="","",Q466*P466)</f>
        <v/>
      </c>
      <c r="S466" s="7">
        <f>IF($W466="","",R466+O466)</f>
        <v/>
      </c>
      <c r="T466" s="7">
        <f>IF($W466="","",V466-S466)</f>
        <v/>
      </c>
      <c r="U466" s="7">
        <f>IF($W466="","",V466-S466-K466)</f>
        <v/>
      </c>
      <c r="V466" s="7">
        <f>IF($W466="","",N466+Q466)</f>
        <v/>
      </c>
      <c r="W466" s="16">
        <f>IF(ROWS($W$2:$W466)&lt;=MAX('Per Line'!$AA$2:$AA$3001),MATCH(ROWS($W$2:$W466),'Per Line'!$AA$2:$AA$3001,0),"")</f>
        <v/>
      </c>
      <c r="X466">
        <f>IF($W466="","",D466&amp;"|"&amp;COUNTIF($D$2:$D466,D466))</f>
        <v/>
      </c>
    </row>
    <row r="467">
      <c r="A467" s="15" t="n"/>
      <c r="B467">
        <f>IF($W467="","",INDEX('Per Line'!$B$2:$B$3001,$W467)&amp;"")</f>
        <v/>
      </c>
      <c r="C467">
        <f>IF($W467="","",INDEX('Per Line'!$C$2:$C$3001,$W467)&amp;"")</f>
        <v/>
      </c>
      <c r="D467">
        <f>IF($W467="","",IF(OR(TRIM(E467)="Orient Insurance Company",TRIM(E467)="Allianz"),TRIM(E467),TRIM(F467)))</f>
        <v/>
      </c>
      <c r="E467">
        <f>IF($W467="","",INDEX('Per Line'!$E$2:$E$3001,$W467)&amp;"")</f>
        <v/>
      </c>
      <c r="F467">
        <f>IF($W467="","",INDEX('Per Line'!$D$2:$D$3001,$W467)&amp;"")</f>
        <v/>
      </c>
      <c r="G467">
        <f>IF($W467="","",INDEX('Per Line'!$F$2:$F$3001,$W467)&amp;"")</f>
        <v/>
      </c>
      <c r="H467">
        <f>IF($W467="","",INDEX('Per Line'!$G$2:$G$3001,$W467)&amp;"")</f>
        <v/>
      </c>
      <c r="I467">
        <f>IF($W467="","",INDEX('Per Line'!$H$2:$H$3001,$W467)&amp;"")</f>
        <v/>
      </c>
      <c r="J467">
        <f>IF($W467="","",INDEX('Per Line'!$I$2:$I$3001,$W467))</f>
        <v/>
      </c>
      <c r="K467" s="7">
        <f>IF($W467="","",J467*T467/100)</f>
        <v/>
      </c>
      <c r="L467" s="14">
        <f>IF($W467="","",INDEX('Per Line'!$V$2:$V$3001,$W467))</f>
        <v/>
      </c>
      <c r="M467">
        <f>IF($W467="","",IF(ISNUMBER(SEARCH("3&amp;12",SUBSTITUTE(F467," ",""))),Settings!$G$7,Settings!$C$7))</f>
        <v/>
      </c>
      <c r="N467" s="7">
        <f>IF($W467="","",SUMIFS('Per Line'!$O$2:$O$3001,'Per Line'!$B$2:$B$3001,$B467,'Per Line'!$AB$2:$AB$3001,0))</f>
        <v/>
      </c>
      <c r="O467" s="7">
        <f>IF($W467="","",N467*M467)</f>
        <v/>
      </c>
      <c r="P467">
        <f>IF($W467="","",IF(ISNUMBER(SEARCH("3&amp;12",SUBSTITUTE(F467," ",""))),Settings!$G$6,Settings!$C$6))</f>
        <v/>
      </c>
      <c r="Q467" s="7">
        <f>IF($W467="","",SUMIFS('Per Line'!$O$2:$O$3001,'Per Line'!$B$2:$B$3001,$B467,'Per Line'!$AB$2:$AB$3001,1))</f>
        <v/>
      </c>
      <c r="R467" s="7">
        <f>IF($W467="","",Q467*P467)</f>
        <v/>
      </c>
      <c r="S467" s="7">
        <f>IF($W467="","",R467+O467)</f>
        <v/>
      </c>
      <c r="T467" s="7">
        <f>IF($W467="","",V467-S467)</f>
        <v/>
      </c>
      <c r="U467" s="7">
        <f>IF($W467="","",V467-S467-K467)</f>
        <v/>
      </c>
      <c r="V467" s="7">
        <f>IF($W467="","",N467+Q467)</f>
        <v/>
      </c>
      <c r="W467" s="16">
        <f>IF(ROWS($W$2:$W467)&lt;=MAX('Per Line'!$AA$2:$AA$3001),MATCH(ROWS($W$2:$W467),'Per Line'!$AA$2:$AA$3001,0),"")</f>
        <v/>
      </c>
      <c r="X467">
        <f>IF($W467="","",D467&amp;"|"&amp;COUNTIF($D$2:$D467,D467))</f>
        <v/>
      </c>
    </row>
    <row r="468">
      <c r="A468" s="15" t="n"/>
      <c r="B468">
        <f>IF($W468="","",INDEX('Per Line'!$B$2:$B$3001,$W468)&amp;"")</f>
        <v/>
      </c>
      <c r="C468">
        <f>IF($W468="","",INDEX('Per Line'!$C$2:$C$3001,$W468)&amp;"")</f>
        <v/>
      </c>
      <c r="D468">
        <f>IF($W468="","",IF(OR(TRIM(E468)="Orient Insurance Company",TRIM(E468)="Allianz"),TRIM(E468),TRIM(F468)))</f>
        <v/>
      </c>
      <c r="E468">
        <f>IF($W468="","",INDEX('Per Line'!$E$2:$E$3001,$W468)&amp;"")</f>
        <v/>
      </c>
      <c r="F468">
        <f>IF($W468="","",INDEX('Per Line'!$D$2:$D$3001,$W468)&amp;"")</f>
        <v/>
      </c>
      <c r="G468">
        <f>IF($W468="","",INDEX('Per Line'!$F$2:$F$3001,$W468)&amp;"")</f>
        <v/>
      </c>
      <c r="H468">
        <f>IF($W468="","",INDEX('Per Line'!$G$2:$G$3001,$W468)&amp;"")</f>
        <v/>
      </c>
      <c r="I468">
        <f>IF($W468="","",INDEX('Per Line'!$H$2:$H$3001,$W468)&amp;"")</f>
        <v/>
      </c>
      <c r="J468">
        <f>IF($W468="","",INDEX('Per Line'!$I$2:$I$3001,$W468))</f>
        <v/>
      </c>
      <c r="K468" s="7">
        <f>IF($W468="","",J468*T468/100)</f>
        <v/>
      </c>
      <c r="L468" s="14">
        <f>IF($W468="","",INDEX('Per Line'!$V$2:$V$3001,$W468))</f>
        <v/>
      </c>
      <c r="M468">
        <f>IF($W468="","",IF(ISNUMBER(SEARCH("3&amp;12",SUBSTITUTE(F468," ",""))),Settings!$G$7,Settings!$C$7))</f>
        <v/>
      </c>
      <c r="N468" s="7">
        <f>IF($W468="","",SUMIFS('Per Line'!$O$2:$O$3001,'Per Line'!$B$2:$B$3001,$B468,'Per Line'!$AB$2:$AB$3001,0))</f>
        <v/>
      </c>
      <c r="O468" s="7">
        <f>IF($W468="","",N468*M468)</f>
        <v/>
      </c>
      <c r="P468">
        <f>IF($W468="","",IF(ISNUMBER(SEARCH("3&amp;12",SUBSTITUTE(F468," ",""))),Settings!$G$6,Settings!$C$6))</f>
        <v/>
      </c>
      <c r="Q468" s="7">
        <f>IF($W468="","",SUMIFS('Per Line'!$O$2:$O$3001,'Per Line'!$B$2:$B$3001,$B468,'Per Line'!$AB$2:$AB$3001,1))</f>
        <v/>
      </c>
      <c r="R468" s="7">
        <f>IF($W468="","",Q468*P468)</f>
        <v/>
      </c>
      <c r="S468" s="7">
        <f>IF($W468="","",R468+O468)</f>
        <v/>
      </c>
      <c r="T468" s="7">
        <f>IF($W468="","",V468-S468)</f>
        <v/>
      </c>
      <c r="U468" s="7">
        <f>IF($W468="","",V468-S468-K468)</f>
        <v/>
      </c>
      <c r="V468" s="7">
        <f>IF($W468="","",N468+Q468)</f>
        <v/>
      </c>
      <c r="W468" s="16">
        <f>IF(ROWS($W$2:$W468)&lt;=MAX('Per Line'!$AA$2:$AA$3001),MATCH(ROWS($W$2:$W468),'Per Line'!$AA$2:$AA$3001,0),"")</f>
        <v/>
      </c>
      <c r="X468">
        <f>IF($W468="","",D468&amp;"|"&amp;COUNTIF($D$2:$D468,D468))</f>
        <v/>
      </c>
    </row>
    <row r="469">
      <c r="A469" s="15" t="n"/>
      <c r="B469">
        <f>IF($W469="","",INDEX('Per Line'!$B$2:$B$3001,$W469)&amp;"")</f>
        <v/>
      </c>
      <c r="C469">
        <f>IF($W469="","",INDEX('Per Line'!$C$2:$C$3001,$W469)&amp;"")</f>
        <v/>
      </c>
      <c r="D469">
        <f>IF($W469="","",IF(OR(TRIM(E469)="Orient Insurance Company",TRIM(E469)="Allianz"),TRIM(E469),TRIM(F469)))</f>
        <v/>
      </c>
      <c r="E469">
        <f>IF($W469="","",INDEX('Per Line'!$E$2:$E$3001,$W469)&amp;"")</f>
        <v/>
      </c>
      <c r="F469">
        <f>IF($W469="","",INDEX('Per Line'!$D$2:$D$3001,$W469)&amp;"")</f>
        <v/>
      </c>
      <c r="G469">
        <f>IF($W469="","",INDEX('Per Line'!$F$2:$F$3001,$W469)&amp;"")</f>
        <v/>
      </c>
      <c r="H469">
        <f>IF($W469="","",INDEX('Per Line'!$G$2:$G$3001,$W469)&amp;"")</f>
        <v/>
      </c>
      <c r="I469">
        <f>IF($W469="","",INDEX('Per Line'!$H$2:$H$3001,$W469)&amp;"")</f>
        <v/>
      </c>
      <c r="J469">
        <f>IF($W469="","",INDEX('Per Line'!$I$2:$I$3001,$W469))</f>
        <v/>
      </c>
      <c r="K469" s="7">
        <f>IF($W469="","",J469*T469/100)</f>
        <v/>
      </c>
      <c r="L469" s="14">
        <f>IF($W469="","",INDEX('Per Line'!$V$2:$V$3001,$W469))</f>
        <v/>
      </c>
      <c r="M469">
        <f>IF($W469="","",IF(ISNUMBER(SEARCH("3&amp;12",SUBSTITUTE(F469," ",""))),Settings!$G$7,Settings!$C$7))</f>
        <v/>
      </c>
      <c r="N469" s="7">
        <f>IF($W469="","",SUMIFS('Per Line'!$O$2:$O$3001,'Per Line'!$B$2:$B$3001,$B469,'Per Line'!$AB$2:$AB$3001,0))</f>
        <v/>
      </c>
      <c r="O469" s="7">
        <f>IF($W469="","",N469*M469)</f>
        <v/>
      </c>
      <c r="P469">
        <f>IF($W469="","",IF(ISNUMBER(SEARCH("3&amp;12",SUBSTITUTE(F469," ",""))),Settings!$G$6,Settings!$C$6))</f>
        <v/>
      </c>
      <c r="Q469" s="7">
        <f>IF($W469="","",SUMIFS('Per Line'!$O$2:$O$3001,'Per Line'!$B$2:$B$3001,$B469,'Per Line'!$AB$2:$AB$3001,1))</f>
        <v/>
      </c>
      <c r="R469" s="7">
        <f>IF($W469="","",Q469*P469)</f>
        <v/>
      </c>
      <c r="S469" s="7">
        <f>IF($W469="","",R469+O469)</f>
        <v/>
      </c>
      <c r="T469" s="7">
        <f>IF($W469="","",V469-S469)</f>
        <v/>
      </c>
      <c r="U469" s="7">
        <f>IF($W469="","",V469-S469-K469)</f>
        <v/>
      </c>
      <c r="V469" s="7">
        <f>IF($W469="","",N469+Q469)</f>
        <v/>
      </c>
      <c r="W469" s="16">
        <f>IF(ROWS($W$2:$W469)&lt;=MAX('Per Line'!$AA$2:$AA$3001),MATCH(ROWS($W$2:$W469),'Per Line'!$AA$2:$AA$3001,0),"")</f>
        <v/>
      </c>
      <c r="X469">
        <f>IF($W469="","",D469&amp;"|"&amp;COUNTIF($D$2:$D469,D469))</f>
        <v/>
      </c>
    </row>
    <row r="470">
      <c r="A470" s="15" t="n"/>
      <c r="B470">
        <f>IF($W470="","",INDEX('Per Line'!$B$2:$B$3001,$W470)&amp;"")</f>
        <v/>
      </c>
      <c r="C470">
        <f>IF($W470="","",INDEX('Per Line'!$C$2:$C$3001,$W470)&amp;"")</f>
        <v/>
      </c>
      <c r="D470">
        <f>IF($W470="","",IF(OR(TRIM(E470)="Orient Insurance Company",TRIM(E470)="Allianz"),TRIM(E470),TRIM(F470)))</f>
        <v/>
      </c>
      <c r="E470">
        <f>IF($W470="","",INDEX('Per Line'!$E$2:$E$3001,$W470)&amp;"")</f>
        <v/>
      </c>
      <c r="F470">
        <f>IF($W470="","",INDEX('Per Line'!$D$2:$D$3001,$W470)&amp;"")</f>
        <v/>
      </c>
      <c r="G470">
        <f>IF($W470="","",INDEX('Per Line'!$F$2:$F$3001,$W470)&amp;"")</f>
        <v/>
      </c>
      <c r="H470">
        <f>IF($W470="","",INDEX('Per Line'!$G$2:$G$3001,$W470)&amp;"")</f>
        <v/>
      </c>
      <c r="I470">
        <f>IF($W470="","",INDEX('Per Line'!$H$2:$H$3001,$W470)&amp;"")</f>
        <v/>
      </c>
      <c r="J470">
        <f>IF($W470="","",INDEX('Per Line'!$I$2:$I$3001,$W470))</f>
        <v/>
      </c>
      <c r="K470" s="7">
        <f>IF($W470="","",J470*T470/100)</f>
        <v/>
      </c>
      <c r="L470" s="14">
        <f>IF($W470="","",INDEX('Per Line'!$V$2:$V$3001,$W470))</f>
        <v/>
      </c>
      <c r="M470">
        <f>IF($W470="","",IF(ISNUMBER(SEARCH("3&amp;12",SUBSTITUTE(F470," ",""))),Settings!$G$7,Settings!$C$7))</f>
        <v/>
      </c>
      <c r="N470" s="7">
        <f>IF($W470="","",SUMIFS('Per Line'!$O$2:$O$3001,'Per Line'!$B$2:$B$3001,$B470,'Per Line'!$AB$2:$AB$3001,0))</f>
        <v/>
      </c>
      <c r="O470" s="7">
        <f>IF($W470="","",N470*M470)</f>
        <v/>
      </c>
      <c r="P470">
        <f>IF($W470="","",IF(ISNUMBER(SEARCH("3&amp;12",SUBSTITUTE(F470," ",""))),Settings!$G$6,Settings!$C$6))</f>
        <v/>
      </c>
      <c r="Q470" s="7">
        <f>IF($W470="","",SUMIFS('Per Line'!$O$2:$O$3001,'Per Line'!$B$2:$B$3001,$B470,'Per Line'!$AB$2:$AB$3001,1))</f>
        <v/>
      </c>
      <c r="R470" s="7">
        <f>IF($W470="","",Q470*P470)</f>
        <v/>
      </c>
      <c r="S470" s="7">
        <f>IF($W470="","",R470+O470)</f>
        <v/>
      </c>
      <c r="T470" s="7">
        <f>IF($W470="","",V470-S470)</f>
        <v/>
      </c>
      <c r="U470" s="7">
        <f>IF($W470="","",V470-S470-K470)</f>
        <v/>
      </c>
      <c r="V470" s="7">
        <f>IF($W470="","",N470+Q470)</f>
        <v/>
      </c>
      <c r="W470" s="16">
        <f>IF(ROWS($W$2:$W470)&lt;=MAX('Per Line'!$AA$2:$AA$3001),MATCH(ROWS($W$2:$W470),'Per Line'!$AA$2:$AA$3001,0),"")</f>
        <v/>
      </c>
      <c r="X470">
        <f>IF($W470="","",D470&amp;"|"&amp;COUNTIF($D$2:$D470,D470))</f>
        <v/>
      </c>
    </row>
    <row r="471">
      <c r="A471" s="15" t="n"/>
      <c r="B471">
        <f>IF($W471="","",INDEX('Per Line'!$B$2:$B$3001,$W471)&amp;"")</f>
        <v/>
      </c>
      <c r="C471">
        <f>IF($W471="","",INDEX('Per Line'!$C$2:$C$3001,$W471)&amp;"")</f>
        <v/>
      </c>
      <c r="D471">
        <f>IF($W471="","",IF(OR(TRIM(E471)="Orient Insurance Company",TRIM(E471)="Allianz"),TRIM(E471),TRIM(F471)))</f>
        <v/>
      </c>
      <c r="E471">
        <f>IF($W471="","",INDEX('Per Line'!$E$2:$E$3001,$W471)&amp;"")</f>
        <v/>
      </c>
      <c r="F471">
        <f>IF($W471="","",INDEX('Per Line'!$D$2:$D$3001,$W471)&amp;"")</f>
        <v/>
      </c>
      <c r="G471">
        <f>IF($W471="","",INDEX('Per Line'!$F$2:$F$3001,$W471)&amp;"")</f>
        <v/>
      </c>
      <c r="H471">
        <f>IF($W471="","",INDEX('Per Line'!$G$2:$G$3001,$W471)&amp;"")</f>
        <v/>
      </c>
      <c r="I471">
        <f>IF($W471="","",INDEX('Per Line'!$H$2:$H$3001,$W471)&amp;"")</f>
        <v/>
      </c>
      <c r="J471">
        <f>IF($W471="","",INDEX('Per Line'!$I$2:$I$3001,$W471))</f>
        <v/>
      </c>
      <c r="K471" s="7">
        <f>IF($W471="","",J471*T471/100)</f>
        <v/>
      </c>
      <c r="L471" s="14">
        <f>IF($W471="","",INDEX('Per Line'!$V$2:$V$3001,$W471))</f>
        <v/>
      </c>
      <c r="M471">
        <f>IF($W471="","",IF(ISNUMBER(SEARCH("3&amp;12",SUBSTITUTE(F471," ",""))),Settings!$G$7,Settings!$C$7))</f>
        <v/>
      </c>
      <c r="N471" s="7">
        <f>IF($W471="","",SUMIFS('Per Line'!$O$2:$O$3001,'Per Line'!$B$2:$B$3001,$B471,'Per Line'!$AB$2:$AB$3001,0))</f>
        <v/>
      </c>
      <c r="O471" s="7">
        <f>IF($W471="","",N471*M471)</f>
        <v/>
      </c>
      <c r="P471">
        <f>IF($W471="","",IF(ISNUMBER(SEARCH("3&amp;12",SUBSTITUTE(F471," ",""))),Settings!$G$6,Settings!$C$6))</f>
        <v/>
      </c>
      <c r="Q471" s="7">
        <f>IF($W471="","",SUMIFS('Per Line'!$O$2:$O$3001,'Per Line'!$B$2:$B$3001,$B471,'Per Line'!$AB$2:$AB$3001,1))</f>
        <v/>
      </c>
      <c r="R471" s="7">
        <f>IF($W471="","",Q471*P471)</f>
        <v/>
      </c>
      <c r="S471" s="7">
        <f>IF($W471="","",R471+O471)</f>
        <v/>
      </c>
      <c r="T471" s="7">
        <f>IF($W471="","",V471-S471)</f>
        <v/>
      </c>
      <c r="U471" s="7">
        <f>IF($W471="","",V471-S471-K471)</f>
        <v/>
      </c>
      <c r="V471" s="7">
        <f>IF($W471="","",N471+Q471)</f>
        <v/>
      </c>
      <c r="W471" s="16">
        <f>IF(ROWS($W$2:$W471)&lt;=MAX('Per Line'!$AA$2:$AA$3001),MATCH(ROWS($W$2:$W471),'Per Line'!$AA$2:$AA$3001,0),"")</f>
        <v/>
      </c>
      <c r="X471">
        <f>IF($W471="","",D471&amp;"|"&amp;COUNTIF($D$2:$D471,D471))</f>
        <v/>
      </c>
    </row>
    <row r="472">
      <c r="A472" s="15" t="n"/>
      <c r="B472">
        <f>IF($W472="","",INDEX('Per Line'!$B$2:$B$3001,$W472)&amp;"")</f>
        <v/>
      </c>
      <c r="C472">
        <f>IF($W472="","",INDEX('Per Line'!$C$2:$C$3001,$W472)&amp;"")</f>
        <v/>
      </c>
      <c r="D472">
        <f>IF($W472="","",IF(OR(TRIM(E472)="Orient Insurance Company",TRIM(E472)="Allianz"),TRIM(E472),TRIM(F472)))</f>
        <v/>
      </c>
      <c r="E472">
        <f>IF($W472="","",INDEX('Per Line'!$E$2:$E$3001,$W472)&amp;"")</f>
        <v/>
      </c>
      <c r="F472">
        <f>IF($W472="","",INDEX('Per Line'!$D$2:$D$3001,$W472)&amp;"")</f>
        <v/>
      </c>
      <c r="G472">
        <f>IF($W472="","",INDEX('Per Line'!$F$2:$F$3001,$W472)&amp;"")</f>
        <v/>
      </c>
      <c r="H472">
        <f>IF($W472="","",INDEX('Per Line'!$G$2:$G$3001,$W472)&amp;"")</f>
        <v/>
      </c>
      <c r="I472">
        <f>IF($W472="","",INDEX('Per Line'!$H$2:$H$3001,$W472)&amp;"")</f>
        <v/>
      </c>
      <c r="J472">
        <f>IF($W472="","",INDEX('Per Line'!$I$2:$I$3001,$W472))</f>
        <v/>
      </c>
      <c r="K472" s="7">
        <f>IF($W472="","",J472*T472/100)</f>
        <v/>
      </c>
      <c r="L472" s="14">
        <f>IF($W472="","",INDEX('Per Line'!$V$2:$V$3001,$W472))</f>
        <v/>
      </c>
      <c r="M472">
        <f>IF($W472="","",IF(ISNUMBER(SEARCH("3&amp;12",SUBSTITUTE(F472," ",""))),Settings!$G$7,Settings!$C$7))</f>
        <v/>
      </c>
      <c r="N472" s="7">
        <f>IF($W472="","",SUMIFS('Per Line'!$O$2:$O$3001,'Per Line'!$B$2:$B$3001,$B472,'Per Line'!$AB$2:$AB$3001,0))</f>
        <v/>
      </c>
      <c r="O472" s="7">
        <f>IF($W472="","",N472*M472)</f>
        <v/>
      </c>
      <c r="P472">
        <f>IF($W472="","",IF(ISNUMBER(SEARCH("3&amp;12",SUBSTITUTE(F472," ",""))),Settings!$G$6,Settings!$C$6))</f>
        <v/>
      </c>
      <c r="Q472" s="7">
        <f>IF($W472="","",SUMIFS('Per Line'!$O$2:$O$3001,'Per Line'!$B$2:$B$3001,$B472,'Per Line'!$AB$2:$AB$3001,1))</f>
        <v/>
      </c>
      <c r="R472" s="7">
        <f>IF($W472="","",Q472*P472)</f>
        <v/>
      </c>
      <c r="S472" s="7">
        <f>IF($W472="","",R472+O472)</f>
        <v/>
      </c>
      <c r="T472" s="7">
        <f>IF($W472="","",V472-S472)</f>
        <v/>
      </c>
      <c r="U472" s="7">
        <f>IF($W472="","",V472-S472-K472)</f>
        <v/>
      </c>
      <c r="V472" s="7">
        <f>IF($W472="","",N472+Q472)</f>
        <v/>
      </c>
      <c r="W472" s="16">
        <f>IF(ROWS($W$2:$W472)&lt;=MAX('Per Line'!$AA$2:$AA$3001),MATCH(ROWS($W$2:$W472),'Per Line'!$AA$2:$AA$3001,0),"")</f>
        <v/>
      </c>
      <c r="X472">
        <f>IF($W472="","",D472&amp;"|"&amp;COUNTIF($D$2:$D472,D472))</f>
        <v/>
      </c>
    </row>
    <row r="473">
      <c r="A473" s="15" t="n"/>
      <c r="B473">
        <f>IF($W473="","",INDEX('Per Line'!$B$2:$B$3001,$W473)&amp;"")</f>
        <v/>
      </c>
      <c r="C473">
        <f>IF($W473="","",INDEX('Per Line'!$C$2:$C$3001,$W473)&amp;"")</f>
        <v/>
      </c>
      <c r="D473">
        <f>IF($W473="","",IF(OR(TRIM(E473)="Orient Insurance Company",TRIM(E473)="Allianz"),TRIM(E473),TRIM(F473)))</f>
        <v/>
      </c>
      <c r="E473">
        <f>IF($W473="","",INDEX('Per Line'!$E$2:$E$3001,$W473)&amp;"")</f>
        <v/>
      </c>
      <c r="F473">
        <f>IF($W473="","",INDEX('Per Line'!$D$2:$D$3001,$W473)&amp;"")</f>
        <v/>
      </c>
      <c r="G473">
        <f>IF($W473="","",INDEX('Per Line'!$F$2:$F$3001,$W473)&amp;"")</f>
        <v/>
      </c>
      <c r="H473">
        <f>IF($W473="","",INDEX('Per Line'!$G$2:$G$3001,$W473)&amp;"")</f>
        <v/>
      </c>
      <c r="I473">
        <f>IF($W473="","",INDEX('Per Line'!$H$2:$H$3001,$W473)&amp;"")</f>
        <v/>
      </c>
      <c r="J473">
        <f>IF($W473="","",INDEX('Per Line'!$I$2:$I$3001,$W473))</f>
        <v/>
      </c>
      <c r="K473" s="7">
        <f>IF($W473="","",J473*T473/100)</f>
        <v/>
      </c>
      <c r="L473" s="14">
        <f>IF($W473="","",INDEX('Per Line'!$V$2:$V$3001,$W473))</f>
        <v/>
      </c>
      <c r="M473">
        <f>IF($W473="","",IF(ISNUMBER(SEARCH("3&amp;12",SUBSTITUTE(F473," ",""))),Settings!$G$7,Settings!$C$7))</f>
        <v/>
      </c>
      <c r="N473" s="7">
        <f>IF($W473="","",SUMIFS('Per Line'!$O$2:$O$3001,'Per Line'!$B$2:$B$3001,$B473,'Per Line'!$AB$2:$AB$3001,0))</f>
        <v/>
      </c>
      <c r="O473" s="7">
        <f>IF($W473="","",N473*M473)</f>
        <v/>
      </c>
      <c r="P473">
        <f>IF($W473="","",IF(ISNUMBER(SEARCH("3&amp;12",SUBSTITUTE(F473," ",""))),Settings!$G$6,Settings!$C$6))</f>
        <v/>
      </c>
      <c r="Q473" s="7">
        <f>IF($W473="","",SUMIFS('Per Line'!$O$2:$O$3001,'Per Line'!$B$2:$B$3001,$B473,'Per Line'!$AB$2:$AB$3001,1))</f>
        <v/>
      </c>
      <c r="R473" s="7">
        <f>IF($W473="","",Q473*P473)</f>
        <v/>
      </c>
      <c r="S473" s="7">
        <f>IF($W473="","",R473+O473)</f>
        <v/>
      </c>
      <c r="T473" s="7">
        <f>IF($W473="","",V473-S473)</f>
        <v/>
      </c>
      <c r="U473" s="7">
        <f>IF($W473="","",V473-S473-K473)</f>
        <v/>
      </c>
      <c r="V473" s="7">
        <f>IF($W473="","",N473+Q473)</f>
        <v/>
      </c>
      <c r="W473" s="16">
        <f>IF(ROWS($W$2:$W473)&lt;=MAX('Per Line'!$AA$2:$AA$3001),MATCH(ROWS($W$2:$W473),'Per Line'!$AA$2:$AA$3001,0),"")</f>
        <v/>
      </c>
      <c r="X473">
        <f>IF($W473="","",D473&amp;"|"&amp;COUNTIF($D$2:$D473,D473))</f>
        <v/>
      </c>
    </row>
    <row r="474">
      <c r="A474" s="15" t="n"/>
      <c r="B474">
        <f>IF($W474="","",INDEX('Per Line'!$B$2:$B$3001,$W474)&amp;"")</f>
        <v/>
      </c>
      <c r="C474">
        <f>IF($W474="","",INDEX('Per Line'!$C$2:$C$3001,$W474)&amp;"")</f>
        <v/>
      </c>
      <c r="D474">
        <f>IF($W474="","",IF(OR(TRIM(E474)="Orient Insurance Company",TRIM(E474)="Allianz"),TRIM(E474),TRIM(F474)))</f>
        <v/>
      </c>
      <c r="E474">
        <f>IF($W474="","",INDEX('Per Line'!$E$2:$E$3001,$W474)&amp;"")</f>
        <v/>
      </c>
      <c r="F474">
        <f>IF($W474="","",INDEX('Per Line'!$D$2:$D$3001,$W474)&amp;"")</f>
        <v/>
      </c>
      <c r="G474">
        <f>IF($W474="","",INDEX('Per Line'!$F$2:$F$3001,$W474)&amp;"")</f>
        <v/>
      </c>
      <c r="H474">
        <f>IF($W474="","",INDEX('Per Line'!$G$2:$G$3001,$W474)&amp;"")</f>
        <v/>
      </c>
      <c r="I474">
        <f>IF($W474="","",INDEX('Per Line'!$H$2:$H$3001,$W474)&amp;"")</f>
        <v/>
      </c>
      <c r="J474">
        <f>IF($W474="","",INDEX('Per Line'!$I$2:$I$3001,$W474))</f>
        <v/>
      </c>
      <c r="K474" s="7">
        <f>IF($W474="","",J474*T474/100)</f>
        <v/>
      </c>
      <c r="L474" s="14">
        <f>IF($W474="","",INDEX('Per Line'!$V$2:$V$3001,$W474))</f>
        <v/>
      </c>
      <c r="M474">
        <f>IF($W474="","",IF(ISNUMBER(SEARCH("3&amp;12",SUBSTITUTE(F474," ",""))),Settings!$G$7,Settings!$C$7))</f>
        <v/>
      </c>
      <c r="N474" s="7">
        <f>IF($W474="","",SUMIFS('Per Line'!$O$2:$O$3001,'Per Line'!$B$2:$B$3001,$B474,'Per Line'!$AB$2:$AB$3001,0))</f>
        <v/>
      </c>
      <c r="O474" s="7">
        <f>IF($W474="","",N474*M474)</f>
        <v/>
      </c>
      <c r="P474">
        <f>IF($W474="","",IF(ISNUMBER(SEARCH("3&amp;12",SUBSTITUTE(F474," ",""))),Settings!$G$6,Settings!$C$6))</f>
        <v/>
      </c>
      <c r="Q474" s="7">
        <f>IF($W474="","",SUMIFS('Per Line'!$O$2:$O$3001,'Per Line'!$B$2:$B$3001,$B474,'Per Line'!$AB$2:$AB$3001,1))</f>
        <v/>
      </c>
      <c r="R474" s="7">
        <f>IF($W474="","",Q474*P474)</f>
        <v/>
      </c>
      <c r="S474" s="7">
        <f>IF($W474="","",R474+O474)</f>
        <v/>
      </c>
      <c r="T474" s="7">
        <f>IF($W474="","",V474-S474)</f>
        <v/>
      </c>
      <c r="U474" s="7">
        <f>IF($W474="","",V474-S474-K474)</f>
        <v/>
      </c>
      <c r="V474" s="7">
        <f>IF($W474="","",N474+Q474)</f>
        <v/>
      </c>
      <c r="W474" s="16">
        <f>IF(ROWS($W$2:$W474)&lt;=MAX('Per Line'!$AA$2:$AA$3001),MATCH(ROWS($W$2:$W474),'Per Line'!$AA$2:$AA$3001,0),"")</f>
        <v/>
      </c>
      <c r="X474">
        <f>IF($W474="","",D474&amp;"|"&amp;COUNTIF($D$2:$D474,D474))</f>
        <v/>
      </c>
    </row>
    <row r="475">
      <c r="A475" s="15" t="n"/>
      <c r="B475">
        <f>IF($W475="","",INDEX('Per Line'!$B$2:$B$3001,$W475)&amp;"")</f>
        <v/>
      </c>
      <c r="C475">
        <f>IF($W475="","",INDEX('Per Line'!$C$2:$C$3001,$W475)&amp;"")</f>
        <v/>
      </c>
      <c r="D475">
        <f>IF($W475="","",IF(OR(TRIM(E475)="Orient Insurance Company",TRIM(E475)="Allianz"),TRIM(E475),TRIM(F475)))</f>
        <v/>
      </c>
      <c r="E475">
        <f>IF($W475="","",INDEX('Per Line'!$E$2:$E$3001,$W475)&amp;"")</f>
        <v/>
      </c>
      <c r="F475">
        <f>IF($W475="","",INDEX('Per Line'!$D$2:$D$3001,$W475)&amp;"")</f>
        <v/>
      </c>
      <c r="G475">
        <f>IF($W475="","",INDEX('Per Line'!$F$2:$F$3001,$W475)&amp;"")</f>
        <v/>
      </c>
      <c r="H475">
        <f>IF($W475="","",INDEX('Per Line'!$G$2:$G$3001,$W475)&amp;"")</f>
        <v/>
      </c>
      <c r="I475">
        <f>IF($W475="","",INDEX('Per Line'!$H$2:$H$3001,$W475)&amp;"")</f>
        <v/>
      </c>
      <c r="J475">
        <f>IF($W475="","",INDEX('Per Line'!$I$2:$I$3001,$W475))</f>
        <v/>
      </c>
      <c r="K475" s="7">
        <f>IF($W475="","",J475*T475/100)</f>
        <v/>
      </c>
      <c r="L475" s="14">
        <f>IF($W475="","",INDEX('Per Line'!$V$2:$V$3001,$W475))</f>
        <v/>
      </c>
      <c r="M475">
        <f>IF($W475="","",IF(ISNUMBER(SEARCH("3&amp;12",SUBSTITUTE(F475," ",""))),Settings!$G$7,Settings!$C$7))</f>
        <v/>
      </c>
      <c r="N475" s="7">
        <f>IF($W475="","",SUMIFS('Per Line'!$O$2:$O$3001,'Per Line'!$B$2:$B$3001,$B475,'Per Line'!$AB$2:$AB$3001,0))</f>
        <v/>
      </c>
      <c r="O475" s="7">
        <f>IF($W475="","",N475*M475)</f>
        <v/>
      </c>
      <c r="P475">
        <f>IF($W475="","",IF(ISNUMBER(SEARCH("3&amp;12",SUBSTITUTE(F475," ",""))),Settings!$G$6,Settings!$C$6))</f>
        <v/>
      </c>
      <c r="Q475" s="7">
        <f>IF($W475="","",SUMIFS('Per Line'!$O$2:$O$3001,'Per Line'!$B$2:$B$3001,$B475,'Per Line'!$AB$2:$AB$3001,1))</f>
        <v/>
      </c>
      <c r="R475" s="7">
        <f>IF($W475="","",Q475*P475)</f>
        <v/>
      </c>
      <c r="S475" s="7">
        <f>IF($W475="","",R475+O475)</f>
        <v/>
      </c>
      <c r="T475" s="7">
        <f>IF($W475="","",V475-S475)</f>
        <v/>
      </c>
      <c r="U475" s="7">
        <f>IF($W475="","",V475-S475-K475)</f>
        <v/>
      </c>
      <c r="V475" s="7">
        <f>IF($W475="","",N475+Q475)</f>
        <v/>
      </c>
      <c r="W475" s="16">
        <f>IF(ROWS($W$2:$W475)&lt;=MAX('Per Line'!$AA$2:$AA$3001),MATCH(ROWS($W$2:$W475),'Per Line'!$AA$2:$AA$3001,0),"")</f>
        <v/>
      </c>
      <c r="X475">
        <f>IF($W475="","",D475&amp;"|"&amp;COUNTIF($D$2:$D475,D475))</f>
        <v/>
      </c>
    </row>
    <row r="476">
      <c r="A476" s="15" t="n"/>
      <c r="B476">
        <f>IF($W476="","",INDEX('Per Line'!$B$2:$B$3001,$W476)&amp;"")</f>
        <v/>
      </c>
      <c r="C476">
        <f>IF($W476="","",INDEX('Per Line'!$C$2:$C$3001,$W476)&amp;"")</f>
        <v/>
      </c>
      <c r="D476">
        <f>IF($W476="","",IF(OR(TRIM(E476)="Orient Insurance Company",TRIM(E476)="Allianz"),TRIM(E476),TRIM(F476)))</f>
        <v/>
      </c>
      <c r="E476">
        <f>IF($W476="","",INDEX('Per Line'!$E$2:$E$3001,$W476)&amp;"")</f>
        <v/>
      </c>
      <c r="F476">
        <f>IF($W476="","",INDEX('Per Line'!$D$2:$D$3001,$W476)&amp;"")</f>
        <v/>
      </c>
      <c r="G476">
        <f>IF($W476="","",INDEX('Per Line'!$F$2:$F$3001,$W476)&amp;"")</f>
        <v/>
      </c>
      <c r="H476">
        <f>IF($W476="","",INDEX('Per Line'!$G$2:$G$3001,$W476)&amp;"")</f>
        <v/>
      </c>
      <c r="I476">
        <f>IF($W476="","",INDEX('Per Line'!$H$2:$H$3001,$W476)&amp;"")</f>
        <v/>
      </c>
      <c r="J476">
        <f>IF($W476="","",INDEX('Per Line'!$I$2:$I$3001,$W476))</f>
        <v/>
      </c>
      <c r="K476" s="7">
        <f>IF($W476="","",J476*T476/100)</f>
        <v/>
      </c>
      <c r="L476" s="14">
        <f>IF($W476="","",INDEX('Per Line'!$V$2:$V$3001,$W476))</f>
        <v/>
      </c>
      <c r="M476">
        <f>IF($W476="","",IF(ISNUMBER(SEARCH("3&amp;12",SUBSTITUTE(F476," ",""))),Settings!$G$7,Settings!$C$7))</f>
        <v/>
      </c>
      <c r="N476" s="7">
        <f>IF($W476="","",SUMIFS('Per Line'!$O$2:$O$3001,'Per Line'!$B$2:$B$3001,$B476,'Per Line'!$AB$2:$AB$3001,0))</f>
        <v/>
      </c>
      <c r="O476" s="7">
        <f>IF($W476="","",N476*M476)</f>
        <v/>
      </c>
      <c r="P476">
        <f>IF($W476="","",IF(ISNUMBER(SEARCH("3&amp;12",SUBSTITUTE(F476," ",""))),Settings!$G$6,Settings!$C$6))</f>
        <v/>
      </c>
      <c r="Q476" s="7">
        <f>IF($W476="","",SUMIFS('Per Line'!$O$2:$O$3001,'Per Line'!$B$2:$B$3001,$B476,'Per Line'!$AB$2:$AB$3001,1))</f>
        <v/>
      </c>
      <c r="R476" s="7">
        <f>IF($W476="","",Q476*P476)</f>
        <v/>
      </c>
      <c r="S476" s="7">
        <f>IF($W476="","",R476+O476)</f>
        <v/>
      </c>
      <c r="T476" s="7">
        <f>IF($W476="","",V476-S476)</f>
        <v/>
      </c>
      <c r="U476" s="7">
        <f>IF($W476="","",V476-S476-K476)</f>
        <v/>
      </c>
      <c r="V476" s="7">
        <f>IF($W476="","",N476+Q476)</f>
        <v/>
      </c>
      <c r="W476" s="16">
        <f>IF(ROWS($W$2:$W476)&lt;=MAX('Per Line'!$AA$2:$AA$3001),MATCH(ROWS($W$2:$W476),'Per Line'!$AA$2:$AA$3001,0),"")</f>
        <v/>
      </c>
      <c r="X476">
        <f>IF($W476="","",D476&amp;"|"&amp;COUNTIF($D$2:$D476,D476))</f>
        <v/>
      </c>
    </row>
    <row r="477">
      <c r="A477" s="15" t="n"/>
      <c r="B477">
        <f>IF($W477="","",INDEX('Per Line'!$B$2:$B$3001,$W477)&amp;"")</f>
        <v/>
      </c>
      <c r="C477">
        <f>IF($W477="","",INDEX('Per Line'!$C$2:$C$3001,$W477)&amp;"")</f>
        <v/>
      </c>
      <c r="D477">
        <f>IF($W477="","",IF(OR(TRIM(E477)="Orient Insurance Company",TRIM(E477)="Allianz"),TRIM(E477),TRIM(F477)))</f>
        <v/>
      </c>
      <c r="E477">
        <f>IF($W477="","",INDEX('Per Line'!$E$2:$E$3001,$W477)&amp;"")</f>
        <v/>
      </c>
      <c r="F477">
        <f>IF($W477="","",INDEX('Per Line'!$D$2:$D$3001,$W477)&amp;"")</f>
        <v/>
      </c>
      <c r="G477">
        <f>IF($W477="","",INDEX('Per Line'!$F$2:$F$3001,$W477)&amp;"")</f>
        <v/>
      </c>
      <c r="H477">
        <f>IF($W477="","",INDEX('Per Line'!$G$2:$G$3001,$W477)&amp;"")</f>
        <v/>
      </c>
      <c r="I477">
        <f>IF($W477="","",INDEX('Per Line'!$H$2:$H$3001,$W477)&amp;"")</f>
        <v/>
      </c>
      <c r="J477">
        <f>IF($W477="","",INDEX('Per Line'!$I$2:$I$3001,$W477))</f>
        <v/>
      </c>
      <c r="K477" s="7">
        <f>IF($W477="","",J477*T477/100)</f>
        <v/>
      </c>
      <c r="L477" s="14">
        <f>IF($W477="","",INDEX('Per Line'!$V$2:$V$3001,$W477))</f>
        <v/>
      </c>
      <c r="M477">
        <f>IF($W477="","",IF(ISNUMBER(SEARCH("3&amp;12",SUBSTITUTE(F477," ",""))),Settings!$G$7,Settings!$C$7))</f>
        <v/>
      </c>
      <c r="N477" s="7">
        <f>IF($W477="","",SUMIFS('Per Line'!$O$2:$O$3001,'Per Line'!$B$2:$B$3001,$B477,'Per Line'!$AB$2:$AB$3001,0))</f>
        <v/>
      </c>
      <c r="O477" s="7">
        <f>IF($W477="","",N477*M477)</f>
        <v/>
      </c>
      <c r="P477">
        <f>IF($W477="","",IF(ISNUMBER(SEARCH("3&amp;12",SUBSTITUTE(F477," ",""))),Settings!$G$6,Settings!$C$6))</f>
        <v/>
      </c>
      <c r="Q477" s="7">
        <f>IF($W477="","",SUMIFS('Per Line'!$O$2:$O$3001,'Per Line'!$B$2:$B$3001,$B477,'Per Line'!$AB$2:$AB$3001,1))</f>
        <v/>
      </c>
      <c r="R477" s="7">
        <f>IF($W477="","",Q477*P477)</f>
        <v/>
      </c>
      <c r="S477" s="7">
        <f>IF($W477="","",R477+O477)</f>
        <v/>
      </c>
      <c r="T477" s="7">
        <f>IF($W477="","",V477-S477)</f>
        <v/>
      </c>
      <c r="U477" s="7">
        <f>IF($W477="","",V477-S477-K477)</f>
        <v/>
      </c>
      <c r="V477" s="7">
        <f>IF($W477="","",N477+Q477)</f>
        <v/>
      </c>
      <c r="W477" s="16">
        <f>IF(ROWS($W$2:$W477)&lt;=MAX('Per Line'!$AA$2:$AA$3001),MATCH(ROWS($W$2:$W477),'Per Line'!$AA$2:$AA$3001,0),"")</f>
        <v/>
      </c>
      <c r="X477">
        <f>IF($W477="","",D477&amp;"|"&amp;COUNTIF($D$2:$D477,D477))</f>
        <v/>
      </c>
    </row>
    <row r="478">
      <c r="A478" s="15" t="n"/>
      <c r="B478">
        <f>IF($W478="","",INDEX('Per Line'!$B$2:$B$3001,$W478)&amp;"")</f>
        <v/>
      </c>
      <c r="C478">
        <f>IF($W478="","",INDEX('Per Line'!$C$2:$C$3001,$W478)&amp;"")</f>
        <v/>
      </c>
      <c r="D478">
        <f>IF($W478="","",IF(OR(TRIM(E478)="Orient Insurance Company",TRIM(E478)="Allianz"),TRIM(E478),TRIM(F478)))</f>
        <v/>
      </c>
      <c r="E478">
        <f>IF($W478="","",INDEX('Per Line'!$E$2:$E$3001,$W478)&amp;"")</f>
        <v/>
      </c>
      <c r="F478">
        <f>IF($W478="","",INDEX('Per Line'!$D$2:$D$3001,$W478)&amp;"")</f>
        <v/>
      </c>
      <c r="G478">
        <f>IF($W478="","",INDEX('Per Line'!$F$2:$F$3001,$W478)&amp;"")</f>
        <v/>
      </c>
      <c r="H478">
        <f>IF($W478="","",INDEX('Per Line'!$G$2:$G$3001,$W478)&amp;"")</f>
        <v/>
      </c>
      <c r="I478">
        <f>IF($W478="","",INDEX('Per Line'!$H$2:$H$3001,$W478)&amp;"")</f>
        <v/>
      </c>
      <c r="J478">
        <f>IF($W478="","",INDEX('Per Line'!$I$2:$I$3001,$W478))</f>
        <v/>
      </c>
      <c r="K478" s="7">
        <f>IF($W478="","",J478*T478/100)</f>
        <v/>
      </c>
      <c r="L478" s="14">
        <f>IF($W478="","",INDEX('Per Line'!$V$2:$V$3001,$W478))</f>
        <v/>
      </c>
      <c r="M478">
        <f>IF($W478="","",IF(ISNUMBER(SEARCH("3&amp;12",SUBSTITUTE(F478," ",""))),Settings!$G$7,Settings!$C$7))</f>
        <v/>
      </c>
      <c r="N478" s="7">
        <f>IF($W478="","",SUMIFS('Per Line'!$O$2:$O$3001,'Per Line'!$B$2:$B$3001,$B478,'Per Line'!$AB$2:$AB$3001,0))</f>
        <v/>
      </c>
      <c r="O478" s="7">
        <f>IF($W478="","",N478*M478)</f>
        <v/>
      </c>
      <c r="P478">
        <f>IF($W478="","",IF(ISNUMBER(SEARCH("3&amp;12",SUBSTITUTE(F478," ",""))),Settings!$G$6,Settings!$C$6))</f>
        <v/>
      </c>
      <c r="Q478" s="7">
        <f>IF($W478="","",SUMIFS('Per Line'!$O$2:$O$3001,'Per Line'!$B$2:$B$3001,$B478,'Per Line'!$AB$2:$AB$3001,1))</f>
        <v/>
      </c>
      <c r="R478" s="7">
        <f>IF($W478="","",Q478*P478)</f>
        <v/>
      </c>
      <c r="S478" s="7">
        <f>IF($W478="","",R478+O478)</f>
        <v/>
      </c>
      <c r="T478" s="7">
        <f>IF($W478="","",V478-S478)</f>
        <v/>
      </c>
      <c r="U478" s="7">
        <f>IF($W478="","",V478-S478-K478)</f>
        <v/>
      </c>
      <c r="V478" s="7">
        <f>IF($W478="","",N478+Q478)</f>
        <v/>
      </c>
      <c r="W478" s="16">
        <f>IF(ROWS($W$2:$W478)&lt;=MAX('Per Line'!$AA$2:$AA$3001),MATCH(ROWS($W$2:$W478),'Per Line'!$AA$2:$AA$3001,0),"")</f>
        <v/>
      </c>
      <c r="X478">
        <f>IF($W478="","",D478&amp;"|"&amp;COUNTIF($D$2:$D478,D478))</f>
        <v/>
      </c>
    </row>
    <row r="479">
      <c r="A479" s="15" t="n"/>
      <c r="B479">
        <f>IF($W479="","",INDEX('Per Line'!$B$2:$B$3001,$W479)&amp;"")</f>
        <v/>
      </c>
      <c r="C479">
        <f>IF($W479="","",INDEX('Per Line'!$C$2:$C$3001,$W479)&amp;"")</f>
        <v/>
      </c>
      <c r="D479">
        <f>IF($W479="","",IF(OR(TRIM(E479)="Orient Insurance Company",TRIM(E479)="Allianz"),TRIM(E479),TRIM(F479)))</f>
        <v/>
      </c>
      <c r="E479">
        <f>IF($W479="","",INDEX('Per Line'!$E$2:$E$3001,$W479)&amp;"")</f>
        <v/>
      </c>
      <c r="F479">
        <f>IF($W479="","",INDEX('Per Line'!$D$2:$D$3001,$W479)&amp;"")</f>
        <v/>
      </c>
      <c r="G479">
        <f>IF($W479="","",INDEX('Per Line'!$F$2:$F$3001,$W479)&amp;"")</f>
        <v/>
      </c>
      <c r="H479">
        <f>IF($W479="","",INDEX('Per Line'!$G$2:$G$3001,$W479)&amp;"")</f>
        <v/>
      </c>
      <c r="I479">
        <f>IF($W479="","",INDEX('Per Line'!$H$2:$H$3001,$W479)&amp;"")</f>
        <v/>
      </c>
      <c r="J479">
        <f>IF($W479="","",INDEX('Per Line'!$I$2:$I$3001,$W479))</f>
        <v/>
      </c>
      <c r="K479" s="7">
        <f>IF($W479="","",J479*T479/100)</f>
        <v/>
      </c>
      <c r="L479" s="14">
        <f>IF($W479="","",INDEX('Per Line'!$V$2:$V$3001,$W479))</f>
        <v/>
      </c>
      <c r="M479">
        <f>IF($W479="","",IF(ISNUMBER(SEARCH("3&amp;12",SUBSTITUTE(F479," ",""))),Settings!$G$7,Settings!$C$7))</f>
        <v/>
      </c>
      <c r="N479" s="7">
        <f>IF($W479="","",SUMIFS('Per Line'!$O$2:$O$3001,'Per Line'!$B$2:$B$3001,$B479,'Per Line'!$AB$2:$AB$3001,0))</f>
        <v/>
      </c>
      <c r="O479" s="7">
        <f>IF($W479="","",N479*M479)</f>
        <v/>
      </c>
      <c r="P479">
        <f>IF($W479="","",IF(ISNUMBER(SEARCH("3&amp;12",SUBSTITUTE(F479," ",""))),Settings!$G$6,Settings!$C$6))</f>
        <v/>
      </c>
      <c r="Q479" s="7">
        <f>IF($W479="","",SUMIFS('Per Line'!$O$2:$O$3001,'Per Line'!$B$2:$B$3001,$B479,'Per Line'!$AB$2:$AB$3001,1))</f>
        <v/>
      </c>
      <c r="R479" s="7">
        <f>IF($W479="","",Q479*P479)</f>
        <v/>
      </c>
      <c r="S479" s="7">
        <f>IF($W479="","",R479+O479)</f>
        <v/>
      </c>
      <c r="T479" s="7">
        <f>IF($W479="","",V479-S479)</f>
        <v/>
      </c>
      <c r="U479" s="7">
        <f>IF($W479="","",V479-S479-K479)</f>
        <v/>
      </c>
      <c r="V479" s="7">
        <f>IF($W479="","",N479+Q479)</f>
        <v/>
      </c>
      <c r="W479" s="16">
        <f>IF(ROWS($W$2:$W479)&lt;=MAX('Per Line'!$AA$2:$AA$3001),MATCH(ROWS($W$2:$W479),'Per Line'!$AA$2:$AA$3001,0),"")</f>
        <v/>
      </c>
      <c r="X479">
        <f>IF($W479="","",D479&amp;"|"&amp;COUNTIF($D$2:$D479,D479))</f>
        <v/>
      </c>
    </row>
    <row r="480">
      <c r="A480" s="15" t="n"/>
      <c r="B480">
        <f>IF($W480="","",INDEX('Per Line'!$B$2:$B$3001,$W480)&amp;"")</f>
        <v/>
      </c>
      <c r="C480">
        <f>IF($W480="","",INDEX('Per Line'!$C$2:$C$3001,$W480)&amp;"")</f>
        <v/>
      </c>
      <c r="D480">
        <f>IF($W480="","",IF(OR(TRIM(E480)="Orient Insurance Company",TRIM(E480)="Allianz"),TRIM(E480),TRIM(F480)))</f>
        <v/>
      </c>
      <c r="E480">
        <f>IF($W480="","",INDEX('Per Line'!$E$2:$E$3001,$W480)&amp;"")</f>
        <v/>
      </c>
      <c r="F480">
        <f>IF($W480="","",INDEX('Per Line'!$D$2:$D$3001,$W480)&amp;"")</f>
        <v/>
      </c>
      <c r="G480">
        <f>IF($W480="","",INDEX('Per Line'!$F$2:$F$3001,$W480)&amp;"")</f>
        <v/>
      </c>
      <c r="H480">
        <f>IF($W480="","",INDEX('Per Line'!$G$2:$G$3001,$W480)&amp;"")</f>
        <v/>
      </c>
      <c r="I480">
        <f>IF($W480="","",INDEX('Per Line'!$H$2:$H$3001,$W480)&amp;"")</f>
        <v/>
      </c>
      <c r="J480">
        <f>IF($W480="","",INDEX('Per Line'!$I$2:$I$3001,$W480))</f>
        <v/>
      </c>
      <c r="K480" s="7">
        <f>IF($W480="","",J480*T480/100)</f>
        <v/>
      </c>
      <c r="L480" s="14">
        <f>IF($W480="","",INDEX('Per Line'!$V$2:$V$3001,$W480))</f>
        <v/>
      </c>
      <c r="M480">
        <f>IF($W480="","",IF(ISNUMBER(SEARCH("3&amp;12",SUBSTITUTE(F480," ",""))),Settings!$G$7,Settings!$C$7))</f>
        <v/>
      </c>
      <c r="N480" s="7">
        <f>IF($W480="","",SUMIFS('Per Line'!$O$2:$O$3001,'Per Line'!$B$2:$B$3001,$B480,'Per Line'!$AB$2:$AB$3001,0))</f>
        <v/>
      </c>
      <c r="O480" s="7">
        <f>IF($W480="","",N480*M480)</f>
        <v/>
      </c>
      <c r="P480">
        <f>IF($W480="","",IF(ISNUMBER(SEARCH("3&amp;12",SUBSTITUTE(F480," ",""))),Settings!$G$6,Settings!$C$6))</f>
        <v/>
      </c>
      <c r="Q480" s="7">
        <f>IF($W480="","",SUMIFS('Per Line'!$O$2:$O$3001,'Per Line'!$B$2:$B$3001,$B480,'Per Line'!$AB$2:$AB$3001,1))</f>
        <v/>
      </c>
      <c r="R480" s="7">
        <f>IF($W480="","",Q480*P480)</f>
        <v/>
      </c>
      <c r="S480" s="7">
        <f>IF($W480="","",R480+O480)</f>
        <v/>
      </c>
      <c r="T480" s="7">
        <f>IF($W480="","",V480-S480)</f>
        <v/>
      </c>
      <c r="U480" s="7">
        <f>IF($W480="","",V480-S480-K480)</f>
        <v/>
      </c>
      <c r="V480" s="7">
        <f>IF($W480="","",N480+Q480)</f>
        <v/>
      </c>
      <c r="W480" s="16">
        <f>IF(ROWS($W$2:$W480)&lt;=MAX('Per Line'!$AA$2:$AA$3001),MATCH(ROWS($W$2:$W480),'Per Line'!$AA$2:$AA$3001,0),"")</f>
        <v/>
      </c>
      <c r="X480">
        <f>IF($W480="","",D480&amp;"|"&amp;COUNTIF($D$2:$D480,D480))</f>
        <v/>
      </c>
    </row>
    <row r="481">
      <c r="A481" s="15" t="n"/>
      <c r="B481">
        <f>IF($W481="","",INDEX('Per Line'!$B$2:$B$3001,$W481)&amp;"")</f>
        <v/>
      </c>
      <c r="C481">
        <f>IF($W481="","",INDEX('Per Line'!$C$2:$C$3001,$W481)&amp;"")</f>
        <v/>
      </c>
      <c r="D481">
        <f>IF($W481="","",IF(OR(TRIM(E481)="Orient Insurance Company",TRIM(E481)="Allianz"),TRIM(E481),TRIM(F481)))</f>
        <v/>
      </c>
      <c r="E481">
        <f>IF($W481="","",INDEX('Per Line'!$E$2:$E$3001,$W481)&amp;"")</f>
        <v/>
      </c>
      <c r="F481">
        <f>IF($W481="","",INDEX('Per Line'!$D$2:$D$3001,$W481)&amp;"")</f>
        <v/>
      </c>
      <c r="G481">
        <f>IF($W481="","",INDEX('Per Line'!$F$2:$F$3001,$W481)&amp;"")</f>
        <v/>
      </c>
      <c r="H481">
        <f>IF($W481="","",INDEX('Per Line'!$G$2:$G$3001,$W481)&amp;"")</f>
        <v/>
      </c>
      <c r="I481">
        <f>IF($W481="","",INDEX('Per Line'!$H$2:$H$3001,$W481)&amp;"")</f>
        <v/>
      </c>
      <c r="J481">
        <f>IF($W481="","",INDEX('Per Line'!$I$2:$I$3001,$W481))</f>
        <v/>
      </c>
      <c r="K481" s="7">
        <f>IF($W481="","",J481*T481/100)</f>
        <v/>
      </c>
      <c r="L481" s="14">
        <f>IF($W481="","",INDEX('Per Line'!$V$2:$V$3001,$W481))</f>
        <v/>
      </c>
      <c r="M481">
        <f>IF($W481="","",IF(ISNUMBER(SEARCH("3&amp;12",SUBSTITUTE(F481," ",""))),Settings!$G$7,Settings!$C$7))</f>
        <v/>
      </c>
      <c r="N481" s="7">
        <f>IF($W481="","",SUMIFS('Per Line'!$O$2:$O$3001,'Per Line'!$B$2:$B$3001,$B481,'Per Line'!$AB$2:$AB$3001,0))</f>
        <v/>
      </c>
      <c r="O481" s="7">
        <f>IF($W481="","",N481*M481)</f>
        <v/>
      </c>
      <c r="P481">
        <f>IF($W481="","",IF(ISNUMBER(SEARCH("3&amp;12",SUBSTITUTE(F481," ",""))),Settings!$G$6,Settings!$C$6))</f>
        <v/>
      </c>
      <c r="Q481" s="7">
        <f>IF($W481="","",SUMIFS('Per Line'!$O$2:$O$3001,'Per Line'!$B$2:$B$3001,$B481,'Per Line'!$AB$2:$AB$3001,1))</f>
        <v/>
      </c>
      <c r="R481" s="7">
        <f>IF($W481="","",Q481*P481)</f>
        <v/>
      </c>
      <c r="S481" s="7">
        <f>IF($W481="","",R481+O481)</f>
        <v/>
      </c>
      <c r="T481" s="7">
        <f>IF($W481="","",V481-S481)</f>
        <v/>
      </c>
      <c r="U481" s="7">
        <f>IF($W481="","",V481-S481-K481)</f>
        <v/>
      </c>
      <c r="V481" s="7">
        <f>IF($W481="","",N481+Q481)</f>
        <v/>
      </c>
      <c r="W481" s="16">
        <f>IF(ROWS($W$2:$W481)&lt;=MAX('Per Line'!$AA$2:$AA$3001),MATCH(ROWS($W$2:$W481),'Per Line'!$AA$2:$AA$3001,0),"")</f>
        <v/>
      </c>
      <c r="X481">
        <f>IF($W481="","",D481&amp;"|"&amp;COUNTIF($D$2:$D481,D481))</f>
        <v/>
      </c>
    </row>
    <row r="482">
      <c r="A482" s="15" t="n"/>
      <c r="B482">
        <f>IF($W482="","",INDEX('Per Line'!$B$2:$B$3001,$W482)&amp;"")</f>
        <v/>
      </c>
      <c r="C482">
        <f>IF($W482="","",INDEX('Per Line'!$C$2:$C$3001,$W482)&amp;"")</f>
        <v/>
      </c>
      <c r="D482">
        <f>IF($W482="","",IF(OR(TRIM(E482)="Orient Insurance Company",TRIM(E482)="Allianz"),TRIM(E482),TRIM(F482)))</f>
        <v/>
      </c>
      <c r="E482">
        <f>IF($W482="","",INDEX('Per Line'!$E$2:$E$3001,$W482)&amp;"")</f>
        <v/>
      </c>
      <c r="F482">
        <f>IF($W482="","",INDEX('Per Line'!$D$2:$D$3001,$W482)&amp;"")</f>
        <v/>
      </c>
      <c r="G482">
        <f>IF($W482="","",INDEX('Per Line'!$F$2:$F$3001,$W482)&amp;"")</f>
        <v/>
      </c>
      <c r="H482">
        <f>IF($W482="","",INDEX('Per Line'!$G$2:$G$3001,$W482)&amp;"")</f>
        <v/>
      </c>
      <c r="I482">
        <f>IF($W482="","",INDEX('Per Line'!$H$2:$H$3001,$W482)&amp;"")</f>
        <v/>
      </c>
      <c r="J482">
        <f>IF($W482="","",INDEX('Per Line'!$I$2:$I$3001,$W482))</f>
        <v/>
      </c>
      <c r="K482" s="7">
        <f>IF($W482="","",J482*T482/100)</f>
        <v/>
      </c>
      <c r="L482" s="14">
        <f>IF($W482="","",INDEX('Per Line'!$V$2:$V$3001,$W482))</f>
        <v/>
      </c>
      <c r="M482">
        <f>IF($W482="","",IF(ISNUMBER(SEARCH("3&amp;12",SUBSTITUTE(F482," ",""))),Settings!$G$7,Settings!$C$7))</f>
        <v/>
      </c>
      <c r="N482" s="7">
        <f>IF($W482="","",SUMIFS('Per Line'!$O$2:$O$3001,'Per Line'!$B$2:$B$3001,$B482,'Per Line'!$AB$2:$AB$3001,0))</f>
        <v/>
      </c>
      <c r="O482" s="7">
        <f>IF($W482="","",N482*M482)</f>
        <v/>
      </c>
      <c r="P482">
        <f>IF($W482="","",IF(ISNUMBER(SEARCH("3&amp;12",SUBSTITUTE(F482," ",""))),Settings!$G$6,Settings!$C$6))</f>
        <v/>
      </c>
      <c r="Q482" s="7">
        <f>IF($W482="","",SUMIFS('Per Line'!$O$2:$O$3001,'Per Line'!$B$2:$B$3001,$B482,'Per Line'!$AB$2:$AB$3001,1))</f>
        <v/>
      </c>
      <c r="R482" s="7">
        <f>IF($W482="","",Q482*P482)</f>
        <v/>
      </c>
      <c r="S482" s="7">
        <f>IF($W482="","",R482+O482)</f>
        <v/>
      </c>
      <c r="T482" s="7">
        <f>IF($W482="","",V482-S482)</f>
        <v/>
      </c>
      <c r="U482" s="7">
        <f>IF($W482="","",V482-S482-K482)</f>
        <v/>
      </c>
      <c r="V482" s="7">
        <f>IF($W482="","",N482+Q482)</f>
        <v/>
      </c>
      <c r="W482" s="16">
        <f>IF(ROWS($W$2:$W482)&lt;=MAX('Per Line'!$AA$2:$AA$3001),MATCH(ROWS($W$2:$W482),'Per Line'!$AA$2:$AA$3001,0),"")</f>
        <v/>
      </c>
      <c r="X482">
        <f>IF($W482="","",D482&amp;"|"&amp;COUNTIF($D$2:$D482,D482))</f>
        <v/>
      </c>
    </row>
    <row r="483">
      <c r="A483" s="15" t="n"/>
      <c r="B483">
        <f>IF($W483="","",INDEX('Per Line'!$B$2:$B$3001,$W483)&amp;"")</f>
        <v/>
      </c>
      <c r="C483">
        <f>IF($W483="","",INDEX('Per Line'!$C$2:$C$3001,$W483)&amp;"")</f>
        <v/>
      </c>
      <c r="D483">
        <f>IF($W483="","",IF(OR(TRIM(E483)="Orient Insurance Company",TRIM(E483)="Allianz"),TRIM(E483),TRIM(F483)))</f>
        <v/>
      </c>
      <c r="E483">
        <f>IF($W483="","",INDEX('Per Line'!$E$2:$E$3001,$W483)&amp;"")</f>
        <v/>
      </c>
      <c r="F483">
        <f>IF($W483="","",INDEX('Per Line'!$D$2:$D$3001,$W483)&amp;"")</f>
        <v/>
      </c>
      <c r="G483">
        <f>IF($W483="","",INDEX('Per Line'!$F$2:$F$3001,$W483)&amp;"")</f>
        <v/>
      </c>
      <c r="H483">
        <f>IF($W483="","",INDEX('Per Line'!$G$2:$G$3001,$W483)&amp;"")</f>
        <v/>
      </c>
      <c r="I483">
        <f>IF($W483="","",INDEX('Per Line'!$H$2:$H$3001,$W483)&amp;"")</f>
        <v/>
      </c>
      <c r="J483">
        <f>IF($W483="","",INDEX('Per Line'!$I$2:$I$3001,$W483))</f>
        <v/>
      </c>
      <c r="K483" s="7">
        <f>IF($W483="","",J483*T483/100)</f>
        <v/>
      </c>
      <c r="L483" s="14">
        <f>IF($W483="","",INDEX('Per Line'!$V$2:$V$3001,$W483))</f>
        <v/>
      </c>
      <c r="M483">
        <f>IF($W483="","",IF(ISNUMBER(SEARCH("3&amp;12",SUBSTITUTE(F483," ",""))),Settings!$G$7,Settings!$C$7))</f>
        <v/>
      </c>
      <c r="N483" s="7">
        <f>IF($W483="","",SUMIFS('Per Line'!$O$2:$O$3001,'Per Line'!$B$2:$B$3001,$B483,'Per Line'!$AB$2:$AB$3001,0))</f>
        <v/>
      </c>
      <c r="O483" s="7">
        <f>IF($W483="","",N483*M483)</f>
        <v/>
      </c>
      <c r="P483">
        <f>IF($W483="","",IF(ISNUMBER(SEARCH("3&amp;12",SUBSTITUTE(F483," ",""))),Settings!$G$6,Settings!$C$6))</f>
        <v/>
      </c>
      <c r="Q483" s="7">
        <f>IF($W483="","",SUMIFS('Per Line'!$O$2:$O$3001,'Per Line'!$B$2:$B$3001,$B483,'Per Line'!$AB$2:$AB$3001,1))</f>
        <v/>
      </c>
      <c r="R483" s="7">
        <f>IF($W483="","",Q483*P483)</f>
        <v/>
      </c>
      <c r="S483" s="7">
        <f>IF($W483="","",R483+O483)</f>
        <v/>
      </c>
      <c r="T483" s="7">
        <f>IF($W483="","",V483-S483)</f>
        <v/>
      </c>
      <c r="U483" s="7">
        <f>IF($W483="","",V483-S483-K483)</f>
        <v/>
      </c>
      <c r="V483" s="7">
        <f>IF($W483="","",N483+Q483)</f>
        <v/>
      </c>
      <c r="W483" s="16">
        <f>IF(ROWS($W$2:$W483)&lt;=MAX('Per Line'!$AA$2:$AA$3001),MATCH(ROWS($W$2:$W483),'Per Line'!$AA$2:$AA$3001,0),"")</f>
        <v/>
      </c>
      <c r="X483">
        <f>IF($W483="","",D483&amp;"|"&amp;COUNTIF($D$2:$D483,D483))</f>
        <v/>
      </c>
    </row>
    <row r="484">
      <c r="A484" s="15" t="n"/>
      <c r="B484">
        <f>IF($W484="","",INDEX('Per Line'!$B$2:$B$3001,$W484)&amp;"")</f>
        <v/>
      </c>
      <c r="C484">
        <f>IF($W484="","",INDEX('Per Line'!$C$2:$C$3001,$W484)&amp;"")</f>
        <v/>
      </c>
      <c r="D484">
        <f>IF($W484="","",IF(OR(TRIM(E484)="Orient Insurance Company",TRIM(E484)="Allianz"),TRIM(E484),TRIM(F484)))</f>
        <v/>
      </c>
      <c r="E484">
        <f>IF($W484="","",INDEX('Per Line'!$E$2:$E$3001,$W484)&amp;"")</f>
        <v/>
      </c>
      <c r="F484">
        <f>IF($W484="","",INDEX('Per Line'!$D$2:$D$3001,$W484)&amp;"")</f>
        <v/>
      </c>
      <c r="G484">
        <f>IF($W484="","",INDEX('Per Line'!$F$2:$F$3001,$W484)&amp;"")</f>
        <v/>
      </c>
      <c r="H484">
        <f>IF($W484="","",INDEX('Per Line'!$G$2:$G$3001,$W484)&amp;"")</f>
        <v/>
      </c>
      <c r="I484">
        <f>IF($W484="","",INDEX('Per Line'!$H$2:$H$3001,$W484)&amp;"")</f>
        <v/>
      </c>
      <c r="J484">
        <f>IF($W484="","",INDEX('Per Line'!$I$2:$I$3001,$W484))</f>
        <v/>
      </c>
      <c r="K484" s="7">
        <f>IF($W484="","",J484*T484/100)</f>
        <v/>
      </c>
      <c r="L484" s="14">
        <f>IF($W484="","",INDEX('Per Line'!$V$2:$V$3001,$W484))</f>
        <v/>
      </c>
      <c r="M484">
        <f>IF($W484="","",IF(ISNUMBER(SEARCH("3&amp;12",SUBSTITUTE(F484," ",""))),Settings!$G$7,Settings!$C$7))</f>
        <v/>
      </c>
      <c r="N484" s="7">
        <f>IF($W484="","",SUMIFS('Per Line'!$O$2:$O$3001,'Per Line'!$B$2:$B$3001,$B484,'Per Line'!$AB$2:$AB$3001,0))</f>
        <v/>
      </c>
      <c r="O484" s="7">
        <f>IF($W484="","",N484*M484)</f>
        <v/>
      </c>
      <c r="P484">
        <f>IF($W484="","",IF(ISNUMBER(SEARCH("3&amp;12",SUBSTITUTE(F484," ",""))),Settings!$G$6,Settings!$C$6))</f>
        <v/>
      </c>
      <c r="Q484" s="7">
        <f>IF($W484="","",SUMIFS('Per Line'!$O$2:$O$3001,'Per Line'!$B$2:$B$3001,$B484,'Per Line'!$AB$2:$AB$3001,1))</f>
        <v/>
      </c>
      <c r="R484" s="7">
        <f>IF($W484="","",Q484*P484)</f>
        <v/>
      </c>
      <c r="S484" s="7">
        <f>IF($W484="","",R484+O484)</f>
        <v/>
      </c>
      <c r="T484" s="7">
        <f>IF($W484="","",V484-S484)</f>
        <v/>
      </c>
      <c r="U484" s="7">
        <f>IF($W484="","",V484-S484-K484)</f>
        <v/>
      </c>
      <c r="V484" s="7">
        <f>IF($W484="","",N484+Q484)</f>
        <v/>
      </c>
      <c r="W484" s="16">
        <f>IF(ROWS($W$2:$W484)&lt;=MAX('Per Line'!$AA$2:$AA$3001),MATCH(ROWS($W$2:$W484),'Per Line'!$AA$2:$AA$3001,0),"")</f>
        <v/>
      </c>
      <c r="X484">
        <f>IF($W484="","",D484&amp;"|"&amp;COUNTIF($D$2:$D484,D484))</f>
        <v/>
      </c>
    </row>
    <row r="485">
      <c r="A485" s="15" t="n"/>
      <c r="B485">
        <f>IF($W485="","",INDEX('Per Line'!$B$2:$B$3001,$W485)&amp;"")</f>
        <v/>
      </c>
      <c r="C485">
        <f>IF($W485="","",INDEX('Per Line'!$C$2:$C$3001,$W485)&amp;"")</f>
        <v/>
      </c>
      <c r="D485">
        <f>IF($W485="","",IF(OR(TRIM(E485)="Orient Insurance Company",TRIM(E485)="Allianz"),TRIM(E485),TRIM(F485)))</f>
        <v/>
      </c>
      <c r="E485">
        <f>IF($W485="","",INDEX('Per Line'!$E$2:$E$3001,$W485)&amp;"")</f>
        <v/>
      </c>
      <c r="F485">
        <f>IF($W485="","",INDEX('Per Line'!$D$2:$D$3001,$W485)&amp;"")</f>
        <v/>
      </c>
      <c r="G485">
        <f>IF($W485="","",INDEX('Per Line'!$F$2:$F$3001,$W485)&amp;"")</f>
        <v/>
      </c>
      <c r="H485">
        <f>IF($W485="","",INDEX('Per Line'!$G$2:$G$3001,$W485)&amp;"")</f>
        <v/>
      </c>
      <c r="I485">
        <f>IF($W485="","",INDEX('Per Line'!$H$2:$H$3001,$W485)&amp;"")</f>
        <v/>
      </c>
      <c r="J485">
        <f>IF($W485="","",INDEX('Per Line'!$I$2:$I$3001,$W485))</f>
        <v/>
      </c>
      <c r="K485" s="7">
        <f>IF($W485="","",J485*T485/100)</f>
        <v/>
      </c>
      <c r="L485" s="14">
        <f>IF($W485="","",INDEX('Per Line'!$V$2:$V$3001,$W485))</f>
        <v/>
      </c>
      <c r="M485">
        <f>IF($W485="","",IF(ISNUMBER(SEARCH("3&amp;12",SUBSTITUTE(F485," ",""))),Settings!$G$7,Settings!$C$7))</f>
        <v/>
      </c>
      <c r="N485" s="7">
        <f>IF($W485="","",SUMIFS('Per Line'!$O$2:$O$3001,'Per Line'!$B$2:$B$3001,$B485,'Per Line'!$AB$2:$AB$3001,0))</f>
        <v/>
      </c>
      <c r="O485" s="7">
        <f>IF($W485="","",N485*M485)</f>
        <v/>
      </c>
      <c r="P485">
        <f>IF($W485="","",IF(ISNUMBER(SEARCH("3&amp;12",SUBSTITUTE(F485," ",""))),Settings!$G$6,Settings!$C$6))</f>
        <v/>
      </c>
      <c r="Q485" s="7">
        <f>IF($W485="","",SUMIFS('Per Line'!$O$2:$O$3001,'Per Line'!$B$2:$B$3001,$B485,'Per Line'!$AB$2:$AB$3001,1))</f>
        <v/>
      </c>
      <c r="R485" s="7">
        <f>IF($W485="","",Q485*P485)</f>
        <v/>
      </c>
      <c r="S485" s="7">
        <f>IF($W485="","",R485+O485)</f>
        <v/>
      </c>
      <c r="T485" s="7">
        <f>IF($W485="","",V485-S485)</f>
        <v/>
      </c>
      <c r="U485" s="7">
        <f>IF($W485="","",V485-S485-K485)</f>
        <v/>
      </c>
      <c r="V485" s="7">
        <f>IF($W485="","",N485+Q485)</f>
        <v/>
      </c>
      <c r="W485" s="16">
        <f>IF(ROWS($W$2:$W485)&lt;=MAX('Per Line'!$AA$2:$AA$3001),MATCH(ROWS($W$2:$W485),'Per Line'!$AA$2:$AA$3001,0),"")</f>
        <v/>
      </c>
      <c r="X485">
        <f>IF($W485="","",D485&amp;"|"&amp;COUNTIF($D$2:$D485,D485))</f>
        <v/>
      </c>
    </row>
    <row r="486">
      <c r="A486" s="15" t="n"/>
      <c r="B486">
        <f>IF($W486="","",INDEX('Per Line'!$B$2:$B$3001,$W486)&amp;"")</f>
        <v/>
      </c>
      <c r="C486">
        <f>IF($W486="","",INDEX('Per Line'!$C$2:$C$3001,$W486)&amp;"")</f>
        <v/>
      </c>
      <c r="D486">
        <f>IF($W486="","",IF(OR(TRIM(E486)="Orient Insurance Company",TRIM(E486)="Allianz"),TRIM(E486),TRIM(F486)))</f>
        <v/>
      </c>
      <c r="E486">
        <f>IF($W486="","",INDEX('Per Line'!$E$2:$E$3001,$W486)&amp;"")</f>
        <v/>
      </c>
      <c r="F486">
        <f>IF($W486="","",INDEX('Per Line'!$D$2:$D$3001,$W486)&amp;"")</f>
        <v/>
      </c>
      <c r="G486">
        <f>IF($W486="","",INDEX('Per Line'!$F$2:$F$3001,$W486)&amp;"")</f>
        <v/>
      </c>
      <c r="H486">
        <f>IF($W486="","",INDEX('Per Line'!$G$2:$G$3001,$W486)&amp;"")</f>
        <v/>
      </c>
      <c r="I486">
        <f>IF($W486="","",INDEX('Per Line'!$H$2:$H$3001,$W486)&amp;"")</f>
        <v/>
      </c>
      <c r="J486">
        <f>IF($W486="","",INDEX('Per Line'!$I$2:$I$3001,$W486))</f>
        <v/>
      </c>
      <c r="K486" s="7">
        <f>IF($W486="","",J486*T486/100)</f>
        <v/>
      </c>
      <c r="L486" s="14">
        <f>IF($W486="","",INDEX('Per Line'!$V$2:$V$3001,$W486))</f>
        <v/>
      </c>
      <c r="M486">
        <f>IF($W486="","",IF(ISNUMBER(SEARCH("3&amp;12",SUBSTITUTE(F486," ",""))),Settings!$G$7,Settings!$C$7))</f>
        <v/>
      </c>
      <c r="N486" s="7">
        <f>IF($W486="","",SUMIFS('Per Line'!$O$2:$O$3001,'Per Line'!$B$2:$B$3001,$B486,'Per Line'!$AB$2:$AB$3001,0))</f>
        <v/>
      </c>
      <c r="O486" s="7">
        <f>IF($W486="","",N486*M486)</f>
        <v/>
      </c>
      <c r="P486">
        <f>IF($W486="","",IF(ISNUMBER(SEARCH("3&amp;12",SUBSTITUTE(F486," ",""))),Settings!$G$6,Settings!$C$6))</f>
        <v/>
      </c>
      <c r="Q486" s="7">
        <f>IF($W486="","",SUMIFS('Per Line'!$O$2:$O$3001,'Per Line'!$B$2:$B$3001,$B486,'Per Line'!$AB$2:$AB$3001,1))</f>
        <v/>
      </c>
      <c r="R486" s="7">
        <f>IF($W486="","",Q486*P486)</f>
        <v/>
      </c>
      <c r="S486" s="7">
        <f>IF($W486="","",R486+O486)</f>
        <v/>
      </c>
      <c r="T486" s="7">
        <f>IF($W486="","",V486-S486)</f>
        <v/>
      </c>
      <c r="U486" s="7">
        <f>IF($W486="","",V486-S486-K486)</f>
        <v/>
      </c>
      <c r="V486" s="7">
        <f>IF($W486="","",N486+Q486)</f>
        <v/>
      </c>
      <c r="W486" s="16">
        <f>IF(ROWS($W$2:$W486)&lt;=MAX('Per Line'!$AA$2:$AA$3001),MATCH(ROWS($W$2:$W486),'Per Line'!$AA$2:$AA$3001,0),"")</f>
        <v/>
      </c>
      <c r="X486">
        <f>IF($W486="","",D486&amp;"|"&amp;COUNTIF($D$2:$D486,D486))</f>
        <v/>
      </c>
    </row>
    <row r="487">
      <c r="A487" s="15" t="n"/>
      <c r="B487">
        <f>IF($W487="","",INDEX('Per Line'!$B$2:$B$3001,$W487)&amp;"")</f>
        <v/>
      </c>
      <c r="C487">
        <f>IF($W487="","",INDEX('Per Line'!$C$2:$C$3001,$W487)&amp;"")</f>
        <v/>
      </c>
      <c r="D487">
        <f>IF($W487="","",IF(OR(TRIM(E487)="Orient Insurance Company",TRIM(E487)="Allianz"),TRIM(E487),TRIM(F487)))</f>
        <v/>
      </c>
      <c r="E487">
        <f>IF($W487="","",INDEX('Per Line'!$E$2:$E$3001,$W487)&amp;"")</f>
        <v/>
      </c>
      <c r="F487">
        <f>IF($W487="","",INDEX('Per Line'!$D$2:$D$3001,$W487)&amp;"")</f>
        <v/>
      </c>
      <c r="G487">
        <f>IF($W487="","",INDEX('Per Line'!$F$2:$F$3001,$W487)&amp;"")</f>
        <v/>
      </c>
      <c r="H487">
        <f>IF($W487="","",INDEX('Per Line'!$G$2:$G$3001,$W487)&amp;"")</f>
        <v/>
      </c>
      <c r="I487">
        <f>IF($W487="","",INDEX('Per Line'!$H$2:$H$3001,$W487)&amp;"")</f>
        <v/>
      </c>
      <c r="J487">
        <f>IF($W487="","",INDEX('Per Line'!$I$2:$I$3001,$W487))</f>
        <v/>
      </c>
      <c r="K487" s="7">
        <f>IF($W487="","",J487*T487/100)</f>
        <v/>
      </c>
      <c r="L487" s="14">
        <f>IF($W487="","",INDEX('Per Line'!$V$2:$V$3001,$W487))</f>
        <v/>
      </c>
      <c r="M487">
        <f>IF($W487="","",IF(ISNUMBER(SEARCH("3&amp;12",SUBSTITUTE(F487," ",""))),Settings!$G$7,Settings!$C$7))</f>
        <v/>
      </c>
      <c r="N487" s="7">
        <f>IF($W487="","",SUMIFS('Per Line'!$O$2:$O$3001,'Per Line'!$B$2:$B$3001,$B487,'Per Line'!$AB$2:$AB$3001,0))</f>
        <v/>
      </c>
      <c r="O487" s="7">
        <f>IF($W487="","",N487*M487)</f>
        <v/>
      </c>
      <c r="P487">
        <f>IF($W487="","",IF(ISNUMBER(SEARCH("3&amp;12",SUBSTITUTE(F487," ",""))),Settings!$G$6,Settings!$C$6))</f>
        <v/>
      </c>
      <c r="Q487" s="7">
        <f>IF($W487="","",SUMIFS('Per Line'!$O$2:$O$3001,'Per Line'!$B$2:$B$3001,$B487,'Per Line'!$AB$2:$AB$3001,1))</f>
        <v/>
      </c>
      <c r="R487" s="7">
        <f>IF($W487="","",Q487*P487)</f>
        <v/>
      </c>
      <c r="S487" s="7">
        <f>IF($W487="","",R487+O487)</f>
        <v/>
      </c>
      <c r="T487" s="7">
        <f>IF($W487="","",V487-S487)</f>
        <v/>
      </c>
      <c r="U487" s="7">
        <f>IF($W487="","",V487-S487-K487)</f>
        <v/>
      </c>
      <c r="V487" s="7">
        <f>IF($W487="","",N487+Q487)</f>
        <v/>
      </c>
      <c r="W487" s="16">
        <f>IF(ROWS($W$2:$W487)&lt;=MAX('Per Line'!$AA$2:$AA$3001),MATCH(ROWS($W$2:$W487),'Per Line'!$AA$2:$AA$3001,0),"")</f>
        <v/>
      </c>
      <c r="X487">
        <f>IF($W487="","",D487&amp;"|"&amp;COUNTIF($D$2:$D487,D487))</f>
        <v/>
      </c>
    </row>
    <row r="488">
      <c r="A488" s="15" t="n"/>
      <c r="B488">
        <f>IF($W488="","",INDEX('Per Line'!$B$2:$B$3001,$W488)&amp;"")</f>
        <v/>
      </c>
      <c r="C488">
        <f>IF($W488="","",INDEX('Per Line'!$C$2:$C$3001,$W488)&amp;"")</f>
        <v/>
      </c>
      <c r="D488">
        <f>IF($W488="","",IF(OR(TRIM(E488)="Orient Insurance Company",TRIM(E488)="Allianz"),TRIM(E488),TRIM(F488)))</f>
        <v/>
      </c>
      <c r="E488">
        <f>IF($W488="","",INDEX('Per Line'!$E$2:$E$3001,$W488)&amp;"")</f>
        <v/>
      </c>
      <c r="F488">
        <f>IF($W488="","",INDEX('Per Line'!$D$2:$D$3001,$W488)&amp;"")</f>
        <v/>
      </c>
      <c r="G488">
        <f>IF($W488="","",INDEX('Per Line'!$F$2:$F$3001,$W488)&amp;"")</f>
        <v/>
      </c>
      <c r="H488">
        <f>IF($W488="","",INDEX('Per Line'!$G$2:$G$3001,$W488)&amp;"")</f>
        <v/>
      </c>
      <c r="I488">
        <f>IF($W488="","",INDEX('Per Line'!$H$2:$H$3001,$W488)&amp;"")</f>
        <v/>
      </c>
      <c r="J488">
        <f>IF($W488="","",INDEX('Per Line'!$I$2:$I$3001,$W488))</f>
        <v/>
      </c>
      <c r="K488" s="7">
        <f>IF($W488="","",J488*T488/100)</f>
        <v/>
      </c>
      <c r="L488" s="14">
        <f>IF($W488="","",INDEX('Per Line'!$V$2:$V$3001,$W488))</f>
        <v/>
      </c>
      <c r="M488">
        <f>IF($W488="","",IF(ISNUMBER(SEARCH("3&amp;12",SUBSTITUTE(F488," ",""))),Settings!$G$7,Settings!$C$7))</f>
        <v/>
      </c>
      <c r="N488" s="7">
        <f>IF($W488="","",SUMIFS('Per Line'!$O$2:$O$3001,'Per Line'!$B$2:$B$3001,$B488,'Per Line'!$AB$2:$AB$3001,0))</f>
        <v/>
      </c>
      <c r="O488" s="7">
        <f>IF($W488="","",N488*M488)</f>
        <v/>
      </c>
      <c r="P488">
        <f>IF($W488="","",IF(ISNUMBER(SEARCH("3&amp;12",SUBSTITUTE(F488," ",""))),Settings!$G$6,Settings!$C$6))</f>
        <v/>
      </c>
      <c r="Q488" s="7">
        <f>IF($W488="","",SUMIFS('Per Line'!$O$2:$O$3001,'Per Line'!$B$2:$B$3001,$B488,'Per Line'!$AB$2:$AB$3001,1))</f>
        <v/>
      </c>
      <c r="R488" s="7">
        <f>IF($W488="","",Q488*P488)</f>
        <v/>
      </c>
      <c r="S488" s="7">
        <f>IF($W488="","",R488+O488)</f>
        <v/>
      </c>
      <c r="T488" s="7">
        <f>IF($W488="","",V488-S488)</f>
        <v/>
      </c>
      <c r="U488" s="7">
        <f>IF($W488="","",V488-S488-K488)</f>
        <v/>
      </c>
      <c r="V488" s="7">
        <f>IF($W488="","",N488+Q488)</f>
        <v/>
      </c>
      <c r="W488" s="16">
        <f>IF(ROWS($W$2:$W488)&lt;=MAX('Per Line'!$AA$2:$AA$3001),MATCH(ROWS($W$2:$W488),'Per Line'!$AA$2:$AA$3001,0),"")</f>
        <v/>
      </c>
      <c r="X488">
        <f>IF($W488="","",D488&amp;"|"&amp;COUNTIF($D$2:$D488,D488))</f>
        <v/>
      </c>
    </row>
    <row r="489">
      <c r="A489" s="15" t="n"/>
      <c r="B489">
        <f>IF($W489="","",INDEX('Per Line'!$B$2:$B$3001,$W489)&amp;"")</f>
        <v/>
      </c>
      <c r="C489">
        <f>IF($W489="","",INDEX('Per Line'!$C$2:$C$3001,$W489)&amp;"")</f>
        <v/>
      </c>
      <c r="D489">
        <f>IF($W489="","",IF(OR(TRIM(E489)="Orient Insurance Company",TRIM(E489)="Allianz"),TRIM(E489),TRIM(F489)))</f>
        <v/>
      </c>
      <c r="E489">
        <f>IF($W489="","",INDEX('Per Line'!$E$2:$E$3001,$W489)&amp;"")</f>
        <v/>
      </c>
      <c r="F489">
        <f>IF($W489="","",INDEX('Per Line'!$D$2:$D$3001,$W489)&amp;"")</f>
        <v/>
      </c>
      <c r="G489">
        <f>IF($W489="","",INDEX('Per Line'!$F$2:$F$3001,$W489)&amp;"")</f>
        <v/>
      </c>
      <c r="H489">
        <f>IF($W489="","",INDEX('Per Line'!$G$2:$G$3001,$W489)&amp;"")</f>
        <v/>
      </c>
      <c r="I489">
        <f>IF($W489="","",INDEX('Per Line'!$H$2:$H$3001,$W489)&amp;"")</f>
        <v/>
      </c>
      <c r="J489">
        <f>IF($W489="","",INDEX('Per Line'!$I$2:$I$3001,$W489))</f>
        <v/>
      </c>
      <c r="K489" s="7">
        <f>IF($W489="","",J489*T489/100)</f>
        <v/>
      </c>
      <c r="L489" s="14">
        <f>IF($W489="","",INDEX('Per Line'!$V$2:$V$3001,$W489))</f>
        <v/>
      </c>
      <c r="M489">
        <f>IF($W489="","",IF(ISNUMBER(SEARCH("3&amp;12",SUBSTITUTE(F489," ",""))),Settings!$G$7,Settings!$C$7))</f>
        <v/>
      </c>
      <c r="N489" s="7">
        <f>IF($W489="","",SUMIFS('Per Line'!$O$2:$O$3001,'Per Line'!$B$2:$B$3001,$B489,'Per Line'!$AB$2:$AB$3001,0))</f>
        <v/>
      </c>
      <c r="O489" s="7">
        <f>IF($W489="","",N489*M489)</f>
        <v/>
      </c>
      <c r="P489">
        <f>IF($W489="","",IF(ISNUMBER(SEARCH("3&amp;12",SUBSTITUTE(F489," ",""))),Settings!$G$6,Settings!$C$6))</f>
        <v/>
      </c>
      <c r="Q489" s="7">
        <f>IF($W489="","",SUMIFS('Per Line'!$O$2:$O$3001,'Per Line'!$B$2:$B$3001,$B489,'Per Line'!$AB$2:$AB$3001,1))</f>
        <v/>
      </c>
      <c r="R489" s="7">
        <f>IF($W489="","",Q489*P489)</f>
        <v/>
      </c>
      <c r="S489" s="7">
        <f>IF($W489="","",R489+O489)</f>
        <v/>
      </c>
      <c r="T489" s="7">
        <f>IF($W489="","",V489-S489)</f>
        <v/>
      </c>
      <c r="U489" s="7">
        <f>IF($W489="","",V489-S489-K489)</f>
        <v/>
      </c>
      <c r="V489" s="7">
        <f>IF($W489="","",N489+Q489)</f>
        <v/>
      </c>
      <c r="W489" s="16">
        <f>IF(ROWS($W$2:$W489)&lt;=MAX('Per Line'!$AA$2:$AA$3001),MATCH(ROWS($W$2:$W489),'Per Line'!$AA$2:$AA$3001,0),"")</f>
        <v/>
      </c>
      <c r="X489">
        <f>IF($W489="","",D489&amp;"|"&amp;COUNTIF($D$2:$D489,D489))</f>
        <v/>
      </c>
    </row>
    <row r="490">
      <c r="A490" s="15" t="n"/>
      <c r="B490">
        <f>IF($W490="","",INDEX('Per Line'!$B$2:$B$3001,$W490)&amp;"")</f>
        <v/>
      </c>
      <c r="C490">
        <f>IF($W490="","",INDEX('Per Line'!$C$2:$C$3001,$W490)&amp;"")</f>
        <v/>
      </c>
      <c r="D490">
        <f>IF($W490="","",IF(OR(TRIM(E490)="Orient Insurance Company",TRIM(E490)="Allianz"),TRIM(E490),TRIM(F490)))</f>
        <v/>
      </c>
      <c r="E490">
        <f>IF($W490="","",INDEX('Per Line'!$E$2:$E$3001,$W490)&amp;"")</f>
        <v/>
      </c>
      <c r="F490">
        <f>IF($W490="","",INDEX('Per Line'!$D$2:$D$3001,$W490)&amp;"")</f>
        <v/>
      </c>
      <c r="G490">
        <f>IF($W490="","",INDEX('Per Line'!$F$2:$F$3001,$W490)&amp;"")</f>
        <v/>
      </c>
      <c r="H490">
        <f>IF($W490="","",INDEX('Per Line'!$G$2:$G$3001,$W490)&amp;"")</f>
        <v/>
      </c>
      <c r="I490">
        <f>IF($W490="","",INDEX('Per Line'!$H$2:$H$3001,$W490)&amp;"")</f>
        <v/>
      </c>
      <c r="J490">
        <f>IF($W490="","",INDEX('Per Line'!$I$2:$I$3001,$W490))</f>
        <v/>
      </c>
      <c r="K490" s="7">
        <f>IF($W490="","",J490*T490/100)</f>
        <v/>
      </c>
      <c r="L490" s="14">
        <f>IF($W490="","",INDEX('Per Line'!$V$2:$V$3001,$W490))</f>
        <v/>
      </c>
      <c r="M490">
        <f>IF($W490="","",IF(ISNUMBER(SEARCH("3&amp;12",SUBSTITUTE(F490," ",""))),Settings!$G$7,Settings!$C$7))</f>
        <v/>
      </c>
      <c r="N490" s="7">
        <f>IF($W490="","",SUMIFS('Per Line'!$O$2:$O$3001,'Per Line'!$B$2:$B$3001,$B490,'Per Line'!$AB$2:$AB$3001,0))</f>
        <v/>
      </c>
      <c r="O490" s="7">
        <f>IF($W490="","",N490*M490)</f>
        <v/>
      </c>
      <c r="P490">
        <f>IF($W490="","",IF(ISNUMBER(SEARCH("3&amp;12",SUBSTITUTE(F490," ",""))),Settings!$G$6,Settings!$C$6))</f>
        <v/>
      </c>
      <c r="Q490" s="7">
        <f>IF($W490="","",SUMIFS('Per Line'!$O$2:$O$3001,'Per Line'!$B$2:$B$3001,$B490,'Per Line'!$AB$2:$AB$3001,1))</f>
        <v/>
      </c>
      <c r="R490" s="7">
        <f>IF($W490="","",Q490*P490)</f>
        <v/>
      </c>
      <c r="S490" s="7">
        <f>IF($W490="","",R490+O490)</f>
        <v/>
      </c>
      <c r="T490" s="7">
        <f>IF($W490="","",V490-S490)</f>
        <v/>
      </c>
      <c r="U490" s="7">
        <f>IF($W490="","",V490-S490-K490)</f>
        <v/>
      </c>
      <c r="V490" s="7">
        <f>IF($W490="","",N490+Q490)</f>
        <v/>
      </c>
      <c r="W490" s="16">
        <f>IF(ROWS($W$2:$W490)&lt;=MAX('Per Line'!$AA$2:$AA$3001),MATCH(ROWS($W$2:$W490),'Per Line'!$AA$2:$AA$3001,0),"")</f>
        <v/>
      </c>
      <c r="X490">
        <f>IF($W490="","",D490&amp;"|"&amp;COUNTIF($D$2:$D490,D490))</f>
        <v/>
      </c>
    </row>
    <row r="491">
      <c r="A491" s="15" t="n"/>
      <c r="B491">
        <f>IF($W491="","",INDEX('Per Line'!$B$2:$B$3001,$W491)&amp;"")</f>
        <v/>
      </c>
      <c r="C491">
        <f>IF($W491="","",INDEX('Per Line'!$C$2:$C$3001,$W491)&amp;"")</f>
        <v/>
      </c>
      <c r="D491">
        <f>IF($W491="","",IF(OR(TRIM(E491)="Orient Insurance Company",TRIM(E491)="Allianz"),TRIM(E491),TRIM(F491)))</f>
        <v/>
      </c>
      <c r="E491">
        <f>IF($W491="","",INDEX('Per Line'!$E$2:$E$3001,$W491)&amp;"")</f>
        <v/>
      </c>
      <c r="F491">
        <f>IF($W491="","",INDEX('Per Line'!$D$2:$D$3001,$W491)&amp;"")</f>
        <v/>
      </c>
      <c r="G491">
        <f>IF($W491="","",INDEX('Per Line'!$F$2:$F$3001,$W491)&amp;"")</f>
        <v/>
      </c>
      <c r="H491">
        <f>IF($W491="","",INDEX('Per Line'!$G$2:$G$3001,$W491)&amp;"")</f>
        <v/>
      </c>
      <c r="I491">
        <f>IF($W491="","",INDEX('Per Line'!$H$2:$H$3001,$W491)&amp;"")</f>
        <v/>
      </c>
      <c r="J491">
        <f>IF($W491="","",INDEX('Per Line'!$I$2:$I$3001,$W491))</f>
        <v/>
      </c>
      <c r="K491" s="7">
        <f>IF($W491="","",J491*T491/100)</f>
        <v/>
      </c>
      <c r="L491" s="14">
        <f>IF($W491="","",INDEX('Per Line'!$V$2:$V$3001,$W491))</f>
        <v/>
      </c>
      <c r="M491">
        <f>IF($W491="","",IF(ISNUMBER(SEARCH("3&amp;12",SUBSTITUTE(F491," ",""))),Settings!$G$7,Settings!$C$7))</f>
        <v/>
      </c>
      <c r="N491" s="7">
        <f>IF($W491="","",SUMIFS('Per Line'!$O$2:$O$3001,'Per Line'!$B$2:$B$3001,$B491,'Per Line'!$AB$2:$AB$3001,0))</f>
        <v/>
      </c>
      <c r="O491" s="7">
        <f>IF($W491="","",N491*M491)</f>
        <v/>
      </c>
      <c r="P491">
        <f>IF($W491="","",IF(ISNUMBER(SEARCH("3&amp;12",SUBSTITUTE(F491," ",""))),Settings!$G$6,Settings!$C$6))</f>
        <v/>
      </c>
      <c r="Q491" s="7">
        <f>IF($W491="","",SUMIFS('Per Line'!$O$2:$O$3001,'Per Line'!$B$2:$B$3001,$B491,'Per Line'!$AB$2:$AB$3001,1))</f>
        <v/>
      </c>
      <c r="R491" s="7">
        <f>IF($W491="","",Q491*P491)</f>
        <v/>
      </c>
      <c r="S491" s="7">
        <f>IF($W491="","",R491+O491)</f>
        <v/>
      </c>
      <c r="T491" s="7">
        <f>IF($W491="","",V491-S491)</f>
        <v/>
      </c>
      <c r="U491" s="7">
        <f>IF($W491="","",V491-S491-K491)</f>
        <v/>
      </c>
      <c r="V491" s="7">
        <f>IF($W491="","",N491+Q491)</f>
        <v/>
      </c>
      <c r="W491" s="16">
        <f>IF(ROWS($W$2:$W491)&lt;=MAX('Per Line'!$AA$2:$AA$3001),MATCH(ROWS($W$2:$W491),'Per Line'!$AA$2:$AA$3001,0),"")</f>
        <v/>
      </c>
      <c r="X491">
        <f>IF($W491="","",D491&amp;"|"&amp;COUNTIF($D$2:$D491,D491))</f>
        <v/>
      </c>
    </row>
    <row r="492">
      <c r="A492" s="15" t="n"/>
      <c r="B492">
        <f>IF($W492="","",INDEX('Per Line'!$B$2:$B$3001,$W492)&amp;"")</f>
        <v/>
      </c>
      <c r="C492">
        <f>IF($W492="","",INDEX('Per Line'!$C$2:$C$3001,$W492)&amp;"")</f>
        <v/>
      </c>
      <c r="D492">
        <f>IF($W492="","",IF(OR(TRIM(E492)="Orient Insurance Company",TRIM(E492)="Allianz"),TRIM(E492),TRIM(F492)))</f>
        <v/>
      </c>
      <c r="E492">
        <f>IF($W492="","",INDEX('Per Line'!$E$2:$E$3001,$W492)&amp;"")</f>
        <v/>
      </c>
      <c r="F492">
        <f>IF($W492="","",INDEX('Per Line'!$D$2:$D$3001,$W492)&amp;"")</f>
        <v/>
      </c>
      <c r="G492">
        <f>IF($W492="","",INDEX('Per Line'!$F$2:$F$3001,$W492)&amp;"")</f>
        <v/>
      </c>
      <c r="H492">
        <f>IF($W492="","",INDEX('Per Line'!$G$2:$G$3001,$W492)&amp;"")</f>
        <v/>
      </c>
      <c r="I492">
        <f>IF($W492="","",INDEX('Per Line'!$H$2:$H$3001,$W492)&amp;"")</f>
        <v/>
      </c>
      <c r="J492">
        <f>IF($W492="","",INDEX('Per Line'!$I$2:$I$3001,$W492))</f>
        <v/>
      </c>
      <c r="K492" s="7">
        <f>IF($W492="","",J492*T492/100)</f>
        <v/>
      </c>
      <c r="L492" s="14">
        <f>IF($W492="","",INDEX('Per Line'!$V$2:$V$3001,$W492))</f>
        <v/>
      </c>
      <c r="M492">
        <f>IF($W492="","",IF(ISNUMBER(SEARCH("3&amp;12",SUBSTITUTE(F492," ",""))),Settings!$G$7,Settings!$C$7))</f>
        <v/>
      </c>
      <c r="N492" s="7">
        <f>IF($W492="","",SUMIFS('Per Line'!$O$2:$O$3001,'Per Line'!$B$2:$B$3001,$B492,'Per Line'!$AB$2:$AB$3001,0))</f>
        <v/>
      </c>
      <c r="O492" s="7">
        <f>IF($W492="","",N492*M492)</f>
        <v/>
      </c>
      <c r="P492">
        <f>IF($W492="","",IF(ISNUMBER(SEARCH("3&amp;12",SUBSTITUTE(F492," ",""))),Settings!$G$6,Settings!$C$6))</f>
        <v/>
      </c>
      <c r="Q492" s="7">
        <f>IF($W492="","",SUMIFS('Per Line'!$O$2:$O$3001,'Per Line'!$B$2:$B$3001,$B492,'Per Line'!$AB$2:$AB$3001,1))</f>
        <v/>
      </c>
      <c r="R492" s="7">
        <f>IF($W492="","",Q492*P492)</f>
        <v/>
      </c>
      <c r="S492" s="7">
        <f>IF($W492="","",R492+O492)</f>
        <v/>
      </c>
      <c r="T492" s="7">
        <f>IF($W492="","",V492-S492)</f>
        <v/>
      </c>
      <c r="U492" s="7">
        <f>IF($W492="","",V492-S492-K492)</f>
        <v/>
      </c>
      <c r="V492" s="7">
        <f>IF($W492="","",N492+Q492)</f>
        <v/>
      </c>
      <c r="W492" s="16">
        <f>IF(ROWS($W$2:$W492)&lt;=MAX('Per Line'!$AA$2:$AA$3001),MATCH(ROWS($W$2:$W492),'Per Line'!$AA$2:$AA$3001,0),"")</f>
        <v/>
      </c>
      <c r="X492">
        <f>IF($W492="","",D492&amp;"|"&amp;COUNTIF($D$2:$D492,D492))</f>
        <v/>
      </c>
    </row>
    <row r="493">
      <c r="A493" s="15" t="n"/>
      <c r="B493">
        <f>IF($W493="","",INDEX('Per Line'!$B$2:$B$3001,$W493)&amp;"")</f>
        <v/>
      </c>
      <c r="C493">
        <f>IF($W493="","",INDEX('Per Line'!$C$2:$C$3001,$W493)&amp;"")</f>
        <v/>
      </c>
      <c r="D493">
        <f>IF($W493="","",IF(OR(TRIM(E493)="Orient Insurance Company",TRIM(E493)="Allianz"),TRIM(E493),TRIM(F493)))</f>
        <v/>
      </c>
      <c r="E493">
        <f>IF($W493="","",INDEX('Per Line'!$E$2:$E$3001,$W493)&amp;"")</f>
        <v/>
      </c>
      <c r="F493">
        <f>IF($W493="","",INDEX('Per Line'!$D$2:$D$3001,$W493)&amp;"")</f>
        <v/>
      </c>
      <c r="G493">
        <f>IF($W493="","",INDEX('Per Line'!$F$2:$F$3001,$W493)&amp;"")</f>
        <v/>
      </c>
      <c r="H493">
        <f>IF($W493="","",INDEX('Per Line'!$G$2:$G$3001,$W493)&amp;"")</f>
        <v/>
      </c>
      <c r="I493">
        <f>IF($W493="","",INDEX('Per Line'!$H$2:$H$3001,$W493)&amp;"")</f>
        <v/>
      </c>
      <c r="J493">
        <f>IF($W493="","",INDEX('Per Line'!$I$2:$I$3001,$W493))</f>
        <v/>
      </c>
      <c r="K493" s="7">
        <f>IF($W493="","",J493*T493/100)</f>
        <v/>
      </c>
      <c r="L493" s="14">
        <f>IF($W493="","",INDEX('Per Line'!$V$2:$V$3001,$W493))</f>
        <v/>
      </c>
      <c r="M493">
        <f>IF($W493="","",IF(ISNUMBER(SEARCH("3&amp;12",SUBSTITUTE(F493," ",""))),Settings!$G$7,Settings!$C$7))</f>
        <v/>
      </c>
      <c r="N493" s="7">
        <f>IF($W493="","",SUMIFS('Per Line'!$O$2:$O$3001,'Per Line'!$B$2:$B$3001,$B493,'Per Line'!$AB$2:$AB$3001,0))</f>
        <v/>
      </c>
      <c r="O493" s="7">
        <f>IF($W493="","",N493*M493)</f>
        <v/>
      </c>
      <c r="P493">
        <f>IF($W493="","",IF(ISNUMBER(SEARCH("3&amp;12",SUBSTITUTE(F493," ",""))),Settings!$G$6,Settings!$C$6))</f>
        <v/>
      </c>
      <c r="Q493" s="7">
        <f>IF($W493="","",SUMIFS('Per Line'!$O$2:$O$3001,'Per Line'!$B$2:$B$3001,$B493,'Per Line'!$AB$2:$AB$3001,1))</f>
        <v/>
      </c>
      <c r="R493" s="7">
        <f>IF($W493="","",Q493*P493)</f>
        <v/>
      </c>
      <c r="S493" s="7">
        <f>IF($W493="","",R493+O493)</f>
        <v/>
      </c>
      <c r="T493" s="7">
        <f>IF($W493="","",V493-S493)</f>
        <v/>
      </c>
      <c r="U493" s="7">
        <f>IF($W493="","",V493-S493-K493)</f>
        <v/>
      </c>
      <c r="V493" s="7">
        <f>IF($W493="","",N493+Q493)</f>
        <v/>
      </c>
      <c r="W493" s="16">
        <f>IF(ROWS($W$2:$W493)&lt;=MAX('Per Line'!$AA$2:$AA$3001),MATCH(ROWS($W$2:$W493),'Per Line'!$AA$2:$AA$3001,0),"")</f>
        <v/>
      </c>
      <c r="X493">
        <f>IF($W493="","",D493&amp;"|"&amp;COUNTIF($D$2:$D493,D493))</f>
        <v/>
      </c>
    </row>
    <row r="494">
      <c r="A494" s="15" t="n"/>
      <c r="B494">
        <f>IF($W494="","",INDEX('Per Line'!$B$2:$B$3001,$W494)&amp;"")</f>
        <v/>
      </c>
      <c r="C494">
        <f>IF($W494="","",INDEX('Per Line'!$C$2:$C$3001,$W494)&amp;"")</f>
        <v/>
      </c>
      <c r="D494">
        <f>IF($W494="","",IF(OR(TRIM(E494)="Orient Insurance Company",TRIM(E494)="Allianz"),TRIM(E494),TRIM(F494)))</f>
        <v/>
      </c>
      <c r="E494">
        <f>IF($W494="","",INDEX('Per Line'!$E$2:$E$3001,$W494)&amp;"")</f>
        <v/>
      </c>
      <c r="F494">
        <f>IF($W494="","",INDEX('Per Line'!$D$2:$D$3001,$W494)&amp;"")</f>
        <v/>
      </c>
      <c r="G494">
        <f>IF($W494="","",INDEX('Per Line'!$F$2:$F$3001,$W494)&amp;"")</f>
        <v/>
      </c>
      <c r="H494">
        <f>IF($W494="","",INDEX('Per Line'!$G$2:$G$3001,$W494)&amp;"")</f>
        <v/>
      </c>
      <c r="I494">
        <f>IF($W494="","",INDEX('Per Line'!$H$2:$H$3001,$W494)&amp;"")</f>
        <v/>
      </c>
      <c r="J494">
        <f>IF($W494="","",INDEX('Per Line'!$I$2:$I$3001,$W494))</f>
        <v/>
      </c>
      <c r="K494" s="7">
        <f>IF($W494="","",J494*T494/100)</f>
        <v/>
      </c>
      <c r="L494" s="14">
        <f>IF($W494="","",INDEX('Per Line'!$V$2:$V$3001,$W494))</f>
        <v/>
      </c>
      <c r="M494">
        <f>IF($W494="","",IF(ISNUMBER(SEARCH("3&amp;12",SUBSTITUTE(F494," ",""))),Settings!$G$7,Settings!$C$7))</f>
        <v/>
      </c>
      <c r="N494" s="7">
        <f>IF($W494="","",SUMIFS('Per Line'!$O$2:$O$3001,'Per Line'!$B$2:$B$3001,$B494,'Per Line'!$AB$2:$AB$3001,0))</f>
        <v/>
      </c>
      <c r="O494" s="7">
        <f>IF($W494="","",N494*M494)</f>
        <v/>
      </c>
      <c r="P494">
        <f>IF($W494="","",IF(ISNUMBER(SEARCH("3&amp;12",SUBSTITUTE(F494," ",""))),Settings!$G$6,Settings!$C$6))</f>
        <v/>
      </c>
      <c r="Q494" s="7">
        <f>IF($W494="","",SUMIFS('Per Line'!$O$2:$O$3001,'Per Line'!$B$2:$B$3001,$B494,'Per Line'!$AB$2:$AB$3001,1))</f>
        <v/>
      </c>
      <c r="R494" s="7">
        <f>IF($W494="","",Q494*P494)</f>
        <v/>
      </c>
      <c r="S494" s="7">
        <f>IF($W494="","",R494+O494)</f>
        <v/>
      </c>
      <c r="T494" s="7">
        <f>IF($W494="","",V494-S494)</f>
        <v/>
      </c>
      <c r="U494" s="7">
        <f>IF($W494="","",V494-S494-K494)</f>
        <v/>
      </c>
      <c r="V494" s="7">
        <f>IF($W494="","",N494+Q494)</f>
        <v/>
      </c>
      <c r="W494" s="16">
        <f>IF(ROWS($W$2:$W494)&lt;=MAX('Per Line'!$AA$2:$AA$3001),MATCH(ROWS($W$2:$W494),'Per Line'!$AA$2:$AA$3001,0),"")</f>
        <v/>
      </c>
      <c r="X494">
        <f>IF($W494="","",D494&amp;"|"&amp;COUNTIF($D$2:$D494,D494))</f>
        <v/>
      </c>
    </row>
    <row r="495">
      <c r="A495" s="15" t="n"/>
      <c r="B495">
        <f>IF($W495="","",INDEX('Per Line'!$B$2:$B$3001,$W495)&amp;"")</f>
        <v/>
      </c>
      <c r="C495">
        <f>IF($W495="","",INDEX('Per Line'!$C$2:$C$3001,$W495)&amp;"")</f>
        <v/>
      </c>
      <c r="D495">
        <f>IF($W495="","",IF(OR(TRIM(E495)="Orient Insurance Company",TRIM(E495)="Allianz"),TRIM(E495),TRIM(F495)))</f>
        <v/>
      </c>
      <c r="E495">
        <f>IF($W495="","",INDEX('Per Line'!$E$2:$E$3001,$W495)&amp;"")</f>
        <v/>
      </c>
      <c r="F495">
        <f>IF($W495="","",INDEX('Per Line'!$D$2:$D$3001,$W495)&amp;"")</f>
        <v/>
      </c>
      <c r="G495">
        <f>IF($W495="","",INDEX('Per Line'!$F$2:$F$3001,$W495)&amp;"")</f>
        <v/>
      </c>
      <c r="H495">
        <f>IF($W495="","",INDEX('Per Line'!$G$2:$G$3001,$W495)&amp;"")</f>
        <v/>
      </c>
      <c r="I495">
        <f>IF($W495="","",INDEX('Per Line'!$H$2:$H$3001,$W495)&amp;"")</f>
        <v/>
      </c>
      <c r="J495">
        <f>IF($W495="","",INDEX('Per Line'!$I$2:$I$3001,$W495))</f>
        <v/>
      </c>
      <c r="K495" s="7">
        <f>IF($W495="","",J495*T495/100)</f>
        <v/>
      </c>
      <c r="L495" s="14">
        <f>IF($W495="","",INDEX('Per Line'!$V$2:$V$3001,$W495))</f>
        <v/>
      </c>
      <c r="M495">
        <f>IF($W495="","",IF(ISNUMBER(SEARCH("3&amp;12",SUBSTITUTE(F495," ",""))),Settings!$G$7,Settings!$C$7))</f>
        <v/>
      </c>
      <c r="N495" s="7">
        <f>IF($W495="","",SUMIFS('Per Line'!$O$2:$O$3001,'Per Line'!$B$2:$B$3001,$B495,'Per Line'!$AB$2:$AB$3001,0))</f>
        <v/>
      </c>
      <c r="O495" s="7">
        <f>IF($W495="","",N495*M495)</f>
        <v/>
      </c>
      <c r="P495">
        <f>IF($W495="","",IF(ISNUMBER(SEARCH("3&amp;12",SUBSTITUTE(F495," ",""))),Settings!$G$6,Settings!$C$6))</f>
        <v/>
      </c>
      <c r="Q495" s="7">
        <f>IF($W495="","",SUMIFS('Per Line'!$O$2:$O$3001,'Per Line'!$B$2:$B$3001,$B495,'Per Line'!$AB$2:$AB$3001,1))</f>
        <v/>
      </c>
      <c r="R495" s="7">
        <f>IF($W495="","",Q495*P495)</f>
        <v/>
      </c>
      <c r="S495" s="7">
        <f>IF($W495="","",R495+O495)</f>
        <v/>
      </c>
      <c r="T495" s="7">
        <f>IF($W495="","",V495-S495)</f>
        <v/>
      </c>
      <c r="U495" s="7">
        <f>IF($W495="","",V495-S495-K495)</f>
        <v/>
      </c>
      <c r="V495" s="7">
        <f>IF($W495="","",N495+Q495)</f>
        <v/>
      </c>
      <c r="W495" s="16">
        <f>IF(ROWS($W$2:$W495)&lt;=MAX('Per Line'!$AA$2:$AA$3001),MATCH(ROWS($W$2:$W495),'Per Line'!$AA$2:$AA$3001,0),"")</f>
        <v/>
      </c>
      <c r="X495">
        <f>IF($W495="","",D495&amp;"|"&amp;COUNTIF($D$2:$D495,D495))</f>
        <v/>
      </c>
    </row>
    <row r="496">
      <c r="A496" s="15" t="n"/>
      <c r="B496">
        <f>IF($W496="","",INDEX('Per Line'!$B$2:$B$3001,$W496)&amp;"")</f>
        <v/>
      </c>
      <c r="C496">
        <f>IF($W496="","",INDEX('Per Line'!$C$2:$C$3001,$W496)&amp;"")</f>
        <v/>
      </c>
      <c r="D496">
        <f>IF($W496="","",IF(OR(TRIM(E496)="Orient Insurance Company",TRIM(E496)="Allianz"),TRIM(E496),TRIM(F496)))</f>
        <v/>
      </c>
      <c r="E496">
        <f>IF($W496="","",INDEX('Per Line'!$E$2:$E$3001,$W496)&amp;"")</f>
        <v/>
      </c>
      <c r="F496">
        <f>IF($W496="","",INDEX('Per Line'!$D$2:$D$3001,$W496)&amp;"")</f>
        <v/>
      </c>
      <c r="G496">
        <f>IF($W496="","",INDEX('Per Line'!$F$2:$F$3001,$W496)&amp;"")</f>
        <v/>
      </c>
      <c r="H496">
        <f>IF($W496="","",INDEX('Per Line'!$G$2:$G$3001,$W496)&amp;"")</f>
        <v/>
      </c>
      <c r="I496">
        <f>IF($W496="","",INDEX('Per Line'!$H$2:$H$3001,$W496)&amp;"")</f>
        <v/>
      </c>
      <c r="J496">
        <f>IF($W496="","",INDEX('Per Line'!$I$2:$I$3001,$W496))</f>
        <v/>
      </c>
      <c r="K496" s="7">
        <f>IF($W496="","",J496*T496/100)</f>
        <v/>
      </c>
      <c r="L496" s="14">
        <f>IF($W496="","",INDEX('Per Line'!$V$2:$V$3001,$W496))</f>
        <v/>
      </c>
      <c r="M496">
        <f>IF($W496="","",IF(ISNUMBER(SEARCH("3&amp;12",SUBSTITUTE(F496," ",""))),Settings!$G$7,Settings!$C$7))</f>
        <v/>
      </c>
      <c r="N496" s="7">
        <f>IF($W496="","",SUMIFS('Per Line'!$O$2:$O$3001,'Per Line'!$B$2:$B$3001,$B496,'Per Line'!$AB$2:$AB$3001,0))</f>
        <v/>
      </c>
      <c r="O496" s="7">
        <f>IF($W496="","",N496*M496)</f>
        <v/>
      </c>
      <c r="P496">
        <f>IF($W496="","",IF(ISNUMBER(SEARCH("3&amp;12",SUBSTITUTE(F496," ",""))),Settings!$G$6,Settings!$C$6))</f>
        <v/>
      </c>
      <c r="Q496" s="7">
        <f>IF($W496="","",SUMIFS('Per Line'!$O$2:$O$3001,'Per Line'!$B$2:$B$3001,$B496,'Per Line'!$AB$2:$AB$3001,1))</f>
        <v/>
      </c>
      <c r="R496" s="7">
        <f>IF($W496="","",Q496*P496)</f>
        <v/>
      </c>
      <c r="S496" s="7">
        <f>IF($W496="","",R496+O496)</f>
        <v/>
      </c>
      <c r="T496" s="7">
        <f>IF($W496="","",V496-S496)</f>
        <v/>
      </c>
      <c r="U496" s="7">
        <f>IF($W496="","",V496-S496-K496)</f>
        <v/>
      </c>
      <c r="V496" s="7">
        <f>IF($W496="","",N496+Q496)</f>
        <v/>
      </c>
      <c r="W496" s="16">
        <f>IF(ROWS($W$2:$W496)&lt;=MAX('Per Line'!$AA$2:$AA$3001),MATCH(ROWS($W$2:$W496),'Per Line'!$AA$2:$AA$3001,0),"")</f>
        <v/>
      </c>
      <c r="X496">
        <f>IF($W496="","",D496&amp;"|"&amp;COUNTIF($D$2:$D496,D496))</f>
        <v/>
      </c>
    </row>
    <row r="497">
      <c r="A497" s="15" t="n"/>
      <c r="B497">
        <f>IF($W497="","",INDEX('Per Line'!$B$2:$B$3001,$W497)&amp;"")</f>
        <v/>
      </c>
      <c r="C497">
        <f>IF($W497="","",INDEX('Per Line'!$C$2:$C$3001,$W497)&amp;"")</f>
        <v/>
      </c>
      <c r="D497">
        <f>IF($W497="","",IF(OR(TRIM(E497)="Orient Insurance Company",TRIM(E497)="Allianz"),TRIM(E497),TRIM(F497)))</f>
        <v/>
      </c>
      <c r="E497">
        <f>IF($W497="","",INDEX('Per Line'!$E$2:$E$3001,$W497)&amp;"")</f>
        <v/>
      </c>
      <c r="F497">
        <f>IF($W497="","",INDEX('Per Line'!$D$2:$D$3001,$W497)&amp;"")</f>
        <v/>
      </c>
      <c r="G497">
        <f>IF($W497="","",INDEX('Per Line'!$F$2:$F$3001,$W497)&amp;"")</f>
        <v/>
      </c>
      <c r="H497">
        <f>IF($W497="","",INDEX('Per Line'!$G$2:$G$3001,$W497)&amp;"")</f>
        <v/>
      </c>
      <c r="I497">
        <f>IF($W497="","",INDEX('Per Line'!$H$2:$H$3001,$W497)&amp;"")</f>
        <v/>
      </c>
      <c r="J497">
        <f>IF($W497="","",INDEX('Per Line'!$I$2:$I$3001,$W497))</f>
        <v/>
      </c>
      <c r="K497" s="7">
        <f>IF($W497="","",J497*T497/100)</f>
        <v/>
      </c>
      <c r="L497" s="14">
        <f>IF($W497="","",INDEX('Per Line'!$V$2:$V$3001,$W497))</f>
        <v/>
      </c>
      <c r="M497">
        <f>IF($W497="","",IF(ISNUMBER(SEARCH("3&amp;12",SUBSTITUTE(F497," ",""))),Settings!$G$7,Settings!$C$7))</f>
        <v/>
      </c>
      <c r="N497" s="7">
        <f>IF($W497="","",SUMIFS('Per Line'!$O$2:$O$3001,'Per Line'!$B$2:$B$3001,$B497,'Per Line'!$AB$2:$AB$3001,0))</f>
        <v/>
      </c>
      <c r="O497" s="7">
        <f>IF($W497="","",N497*M497)</f>
        <v/>
      </c>
      <c r="P497">
        <f>IF($W497="","",IF(ISNUMBER(SEARCH("3&amp;12",SUBSTITUTE(F497," ",""))),Settings!$G$6,Settings!$C$6))</f>
        <v/>
      </c>
      <c r="Q497" s="7">
        <f>IF($W497="","",SUMIFS('Per Line'!$O$2:$O$3001,'Per Line'!$B$2:$B$3001,$B497,'Per Line'!$AB$2:$AB$3001,1))</f>
        <v/>
      </c>
      <c r="R497" s="7">
        <f>IF($W497="","",Q497*P497)</f>
        <v/>
      </c>
      <c r="S497" s="7">
        <f>IF($W497="","",R497+O497)</f>
        <v/>
      </c>
      <c r="T497" s="7">
        <f>IF($W497="","",V497-S497)</f>
        <v/>
      </c>
      <c r="U497" s="7">
        <f>IF($W497="","",V497-S497-K497)</f>
        <v/>
      </c>
      <c r="V497" s="7">
        <f>IF($W497="","",N497+Q497)</f>
        <v/>
      </c>
      <c r="W497" s="16">
        <f>IF(ROWS($W$2:$W497)&lt;=MAX('Per Line'!$AA$2:$AA$3001),MATCH(ROWS($W$2:$W497),'Per Line'!$AA$2:$AA$3001,0),"")</f>
        <v/>
      </c>
      <c r="X497">
        <f>IF($W497="","",D497&amp;"|"&amp;COUNTIF($D$2:$D497,D497))</f>
        <v/>
      </c>
    </row>
    <row r="498">
      <c r="A498" s="15" t="n"/>
      <c r="B498">
        <f>IF($W498="","",INDEX('Per Line'!$B$2:$B$3001,$W498)&amp;"")</f>
        <v/>
      </c>
      <c r="C498">
        <f>IF($W498="","",INDEX('Per Line'!$C$2:$C$3001,$W498)&amp;"")</f>
        <v/>
      </c>
      <c r="D498">
        <f>IF($W498="","",IF(OR(TRIM(E498)="Orient Insurance Company",TRIM(E498)="Allianz"),TRIM(E498),TRIM(F498)))</f>
        <v/>
      </c>
      <c r="E498">
        <f>IF($W498="","",INDEX('Per Line'!$E$2:$E$3001,$W498)&amp;"")</f>
        <v/>
      </c>
      <c r="F498">
        <f>IF($W498="","",INDEX('Per Line'!$D$2:$D$3001,$W498)&amp;"")</f>
        <v/>
      </c>
      <c r="G498">
        <f>IF($W498="","",INDEX('Per Line'!$F$2:$F$3001,$W498)&amp;"")</f>
        <v/>
      </c>
      <c r="H498">
        <f>IF($W498="","",INDEX('Per Line'!$G$2:$G$3001,$W498)&amp;"")</f>
        <v/>
      </c>
      <c r="I498">
        <f>IF($W498="","",INDEX('Per Line'!$H$2:$H$3001,$W498)&amp;"")</f>
        <v/>
      </c>
      <c r="J498">
        <f>IF($W498="","",INDEX('Per Line'!$I$2:$I$3001,$W498))</f>
        <v/>
      </c>
      <c r="K498" s="7">
        <f>IF($W498="","",J498*T498/100)</f>
        <v/>
      </c>
      <c r="L498" s="14">
        <f>IF($W498="","",INDEX('Per Line'!$V$2:$V$3001,$W498))</f>
        <v/>
      </c>
      <c r="M498">
        <f>IF($W498="","",IF(ISNUMBER(SEARCH("3&amp;12",SUBSTITUTE(F498," ",""))),Settings!$G$7,Settings!$C$7))</f>
        <v/>
      </c>
      <c r="N498" s="7">
        <f>IF($W498="","",SUMIFS('Per Line'!$O$2:$O$3001,'Per Line'!$B$2:$B$3001,$B498,'Per Line'!$AB$2:$AB$3001,0))</f>
        <v/>
      </c>
      <c r="O498" s="7">
        <f>IF($W498="","",N498*M498)</f>
        <v/>
      </c>
      <c r="P498">
        <f>IF($W498="","",IF(ISNUMBER(SEARCH("3&amp;12",SUBSTITUTE(F498," ",""))),Settings!$G$6,Settings!$C$6))</f>
        <v/>
      </c>
      <c r="Q498" s="7">
        <f>IF($W498="","",SUMIFS('Per Line'!$O$2:$O$3001,'Per Line'!$B$2:$B$3001,$B498,'Per Line'!$AB$2:$AB$3001,1))</f>
        <v/>
      </c>
      <c r="R498" s="7">
        <f>IF($W498="","",Q498*P498)</f>
        <v/>
      </c>
      <c r="S498" s="7">
        <f>IF($W498="","",R498+O498)</f>
        <v/>
      </c>
      <c r="T498" s="7">
        <f>IF($W498="","",V498-S498)</f>
        <v/>
      </c>
      <c r="U498" s="7">
        <f>IF($W498="","",V498-S498-K498)</f>
        <v/>
      </c>
      <c r="V498" s="7">
        <f>IF($W498="","",N498+Q498)</f>
        <v/>
      </c>
      <c r="W498" s="16">
        <f>IF(ROWS($W$2:$W498)&lt;=MAX('Per Line'!$AA$2:$AA$3001),MATCH(ROWS($W$2:$W498),'Per Line'!$AA$2:$AA$3001,0),"")</f>
        <v/>
      </c>
      <c r="X498">
        <f>IF($W498="","",D498&amp;"|"&amp;COUNTIF($D$2:$D498,D498))</f>
        <v/>
      </c>
    </row>
    <row r="499">
      <c r="A499" s="15" t="n"/>
      <c r="B499">
        <f>IF($W499="","",INDEX('Per Line'!$B$2:$B$3001,$W499)&amp;"")</f>
        <v/>
      </c>
      <c r="C499">
        <f>IF($W499="","",INDEX('Per Line'!$C$2:$C$3001,$W499)&amp;"")</f>
        <v/>
      </c>
      <c r="D499">
        <f>IF($W499="","",IF(OR(TRIM(E499)="Orient Insurance Company",TRIM(E499)="Allianz"),TRIM(E499),TRIM(F499)))</f>
        <v/>
      </c>
      <c r="E499">
        <f>IF($W499="","",INDEX('Per Line'!$E$2:$E$3001,$W499)&amp;"")</f>
        <v/>
      </c>
      <c r="F499">
        <f>IF($W499="","",INDEX('Per Line'!$D$2:$D$3001,$W499)&amp;"")</f>
        <v/>
      </c>
      <c r="G499">
        <f>IF($W499="","",INDEX('Per Line'!$F$2:$F$3001,$W499)&amp;"")</f>
        <v/>
      </c>
      <c r="H499">
        <f>IF($W499="","",INDEX('Per Line'!$G$2:$G$3001,$W499)&amp;"")</f>
        <v/>
      </c>
      <c r="I499">
        <f>IF($W499="","",INDEX('Per Line'!$H$2:$H$3001,$W499)&amp;"")</f>
        <v/>
      </c>
      <c r="J499">
        <f>IF($W499="","",INDEX('Per Line'!$I$2:$I$3001,$W499))</f>
        <v/>
      </c>
      <c r="K499" s="7">
        <f>IF($W499="","",J499*T499/100)</f>
        <v/>
      </c>
      <c r="L499" s="14">
        <f>IF($W499="","",INDEX('Per Line'!$V$2:$V$3001,$W499))</f>
        <v/>
      </c>
      <c r="M499">
        <f>IF($W499="","",IF(ISNUMBER(SEARCH("3&amp;12",SUBSTITUTE(F499," ",""))),Settings!$G$7,Settings!$C$7))</f>
        <v/>
      </c>
      <c r="N499" s="7">
        <f>IF($W499="","",SUMIFS('Per Line'!$O$2:$O$3001,'Per Line'!$B$2:$B$3001,$B499,'Per Line'!$AB$2:$AB$3001,0))</f>
        <v/>
      </c>
      <c r="O499" s="7">
        <f>IF($W499="","",N499*M499)</f>
        <v/>
      </c>
      <c r="P499">
        <f>IF($W499="","",IF(ISNUMBER(SEARCH("3&amp;12",SUBSTITUTE(F499," ",""))),Settings!$G$6,Settings!$C$6))</f>
        <v/>
      </c>
      <c r="Q499" s="7">
        <f>IF($W499="","",SUMIFS('Per Line'!$O$2:$O$3001,'Per Line'!$B$2:$B$3001,$B499,'Per Line'!$AB$2:$AB$3001,1))</f>
        <v/>
      </c>
      <c r="R499" s="7">
        <f>IF($W499="","",Q499*P499)</f>
        <v/>
      </c>
      <c r="S499" s="7">
        <f>IF($W499="","",R499+O499)</f>
        <v/>
      </c>
      <c r="T499" s="7">
        <f>IF($W499="","",V499-S499)</f>
        <v/>
      </c>
      <c r="U499" s="7">
        <f>IF($W499="","",V499-S499-K499)</f>
        <v/>
      </c>
      <c r="V499" s="7">
        <f>IF($W499="","",N499+Q499)</f>
        <v/>
      </c>
      <c r="W499" s="16">
        <f>IF(ROWS($W$2:$W499)&lt;=MAX('Per Line'!$AA$2:$AA$3001),MATCH(ROWS($W$2:$W499),'Per Line'!$AA$2:$AA$3001,0),"")</f>
        <v/>
      </c>
      <c r="X499">
        <f>IF($W499="","",D499&amp;"|"&amp;COUNTIF($D$2:$D499,D499))</f>
        <v/>
      </c>
    </row>
    <row r="500">
      <c r="A500" s="15" t="n"/>
      <c r="B500">
        <f>IF($W500="","",INDEX('Per Line'!$B$2:$B$3001,$W500)&amp;"")</f>
        <v/>
      </c>
      <c r="C500">
        <f>IF($W500="","",INDEX('Per Line'!$C$2:$C$3001,$W500)&amp;"")</f>
        <v/>
      </c>
      <c r="D500">
        <f>IF($W500="","",IF(OR(TRIM(E500)="Orient Insurance Company",TRIM(E500)="Allianz"),TRIM(E500),TRIM(F500)))</f>
        <v/>
      </c>
      <c r="E500">
        <f>IF($W500="","",INDEX('Per Line'!$E$2:$E$3001,$W500)&amp;"")</f>
        <v/>
      </c>
      <c r="F500">
        <f>IF($W500="","",INDEX('Per Line'!$D$2:$D$3001,$W500)&amp;"")</f>
        <v/>
      </c>
      <c r="G500">
        <f>IF($W500="","",INDEX('Per Line'!$F$2:$F$3001,$W500)&amp;"")</f>
        <v/>
      </c>
      <c r="H500">
        <f>IF($W500="","",INDEX('Per Line'!$G$2:$G$3001,$W500)&amp;"")</f>
        <v/>
      </c>
      <c r="I500">
        <f>IF($W500="","",INDEX('Per Line'!$H$2:$H$3001,$W500)&amp;"")</f>
        <v/>
      </c>
      <c r="J500">
        <f>IF($W500="","",INDEX('Per Line'!$I$2:$I$3001,$W500))</f>
        <v/>
      </c>
      <c r="K500" s="7">
        <f>IF($W500="","",J500*T500/100)</f>
        <v/>
      </c>
      <c r="L500" s="14">
        <f>IF($W500="","",INDEX('Per Line'!$V$2:$V$3001,$W500))</f>
        <v/>
      </c>
      <c r="M500">
        <f>IF($W500="","",IF(ISNUMBER(SEARCH("3&amp;12",SUBSTITUTE(F500," ",""))),Settings!$G$7,Settings!$C$7))</f>
        <v/>
      </c>
      <c r="N500" s="7">
        <f>IF($W500="","",SUMIFS('Per Line'!$O$2:$O$3001,'Per Line'!$B$2:$B$3001,$B500,'Per Line'!$AB$2:$AB$3001,0))</f>
        <v/>
      </c>
      <c r="O500" s="7">
        <f>IF($W500="","",N500*M500)</f>
        <v/>
      </c>
      <c r="P500">
        <f>IF($W500="","",IF(ISNUMBER(SEARCH("3&amp;12",SUBSTITUTE(F500," ",""))),Settings!$G$6,Settings!$C$6))</f>
        <v/>
      </c>
      <c r="Q500" s="7">
        <f>IF($W500="","",SUMIFS('Per Line'!$O$2:$O$3001,'Per Line'!$B$2:$B$3001,$B500,'Per Line'!$AB$2:$AB$3001,1))</f>
        <v/>
      </c>
      <c r="R500" s="7">
        <f>IF($W500="","",Q500*P500)</f>
        <v/>
      </c>
      <c r="S500" s="7">
        <f>IF($W500="","",R500+O500)</f>
        <v/>
      </c>
      <c r="T500" s="7">
        <f>IF($W500="","",V500-S500)</f>
        <v/>
      </c>
      <c r="U500" s="7">
        <f>IF($W500="","",V500-S500-K500)</f>
        <v/>
      </c>
      <c r="V500" s="7">
        <f>IF($W500="","",N500+Q500)</f>
        <v/>
      </c>
      <c r="W500" s="16">
        <f>IF(ROWS($W$2:$W500)&lt;=MAX('Per Line'!$AA$2:$AA$3001),MATCH(ROWS($W$2:$W500),'Per Line'!$AA$2:$AA$3001,0),"")</f>
        <v/>
      </c>
      <c r="X500">
        <f>IF($W500="","",D500&amp;"|"&amp;COUNTIF($D$2:$D500,D500))</f>
        <v/>
      </c>
    </row>
    <row r="501">
      <c r="A501" s="15" t="n"/>
      <c r="B501">
        <f>IF($W501="","",INDEX('Per Line'!$B$2:$B$3001,$W501)&amp;"")</f>
        <v/>
      </c>
      <c r="C501">
        <f>IF($W501="","",INDEX('Per Line'!$C$2:$C$3001,$W501)&amp;"")</f>
        <v/>
      </c>
      <c r="D501">
        <f>IF($W501="","",IF(OR(TRIM(E501)="Orient Insurance Company",TRIM(E501)="Allianz"),TRIM(E501),TRIM(F501)))</f>
        <v/>
      </c>
      <c r="E501">
        <f>IF($W501="","",INDEX('Per Line'!$E$2:$E$3001,$W501)&amp;"")</f>
        <v/>
      </c>
      <c r="F501">
        <f>IF($W501="","",INDEX('Per Line'!$D$2:$D$3001,$W501)&amp;"")</f>
        <v/>
      </c>
      <c r="G501">
        <f>IF($W501="","",INDEX('Per Line'!$F$2:$F$3001,$W501)&amp;"")</f>
        <v/>
      </c>
      <c r="H501">
        <f>IF($W501="","",INDEX('Per Line'!$G$2:$G$3001,$W501)&amp;"")</f>
        <v/>
      </c>
      <c r="I501">
        <f>IF($W501="","",INDEX('Per Line'!$H$2:$H$3001,$W501)&amp;"")</f>
        <v/>
      </c>
      <c r="J501">
        <f>IF($W501="","",INDEX('Per Line'!$I$2:$I$3001,$W501))</f>
        <v/>
      </c>
      <c r="K501" s="7">
        <f>IF($W501="","",J501*T501/100)</f>
        <v/>
      </c>
      <c r="L501" s="14">
        <f>IF($W501="","",INDEX('Per Line'!$V$2:$V$3001,$W501))</f>
        <v/>
      </c>
      <c r="M501">
        <f>IF($W501="","",IF(ISNUMBER(SEARCH("3&amp;12",SUBSTITUTE(F501," ",""))),Settings!$G$7,Settings!$C$7))</f>
        <v/>
      </c>
      <c r="N501" s="7">
        <f>IF($W501="","",SUMIFS('Per Line'!$O$2:$O$3001,'Per Line'!$B$2:$B$3001,$B501,'Per Line'!$AB$2:$AB$3001,0))</f>
        <v/>
      </c>
      <c r="O501" s="7">
        <f>IF($W501="","",N501*M501)</f>
        <v/>
      </c>
      <c r="P501">
        <f>IF($W501="","",IF(ISNUMBER(SEARCH("3&amp;12",SUBSTITUTE(F501," ",""))),Settings!$G$6,Settings!$C$6))</f>
        <v/>
      </c>
      <c r="Q501" s="7">
        <f>IF($W501="","",SUMIFS('Per Line'!$O$2:$O$3001,'Per Line'!$B$2:$B$3001,$B501,'Per Line'!$AB$2:$AB$3001,1))</f>
        <v/>
      </c>
      <c r="R501" s="7">
        <f>IF($W501="","",Q501*P501)</f>
        <v/>
      </c>
      <c r="S501" s="7">
        <f>IF($W501="","",R501+O501)</f>
        <v/>
      </c>
      <c r="T501" s="7">
        <f>IF($W501="","",V501-S501)</f>
        <v/>
      </c>
      <c r="U501" s="7">
        <f>IF($W501="","",V501-S501-K501)</f>
        <v/>
      </c>
      <c r="V501" s="7">
        <f>IF($W501="","",N501+Q501)</f>
        <v/>
      </c>
      <c r="W501" s="16">
        <f>IF(ROWS($W$2:$W501)&lt;=MAX('Per Line'!$AA$2:$AA$3001),MATCH(ROWS($W$2:$W501),'Per Line'!$AA$2:$AA$3001,0),"")</f>
        <v/>
      </c>
      <c r="X501">
        <f>IF($W501="","",D501&amp;"|"&amp;COUNTIF($D$2:$D501,D501))</f>
        <v/>
      </c>
    </row>
    <row r="502">
      <c r="A502" s="15" t="n"/>
      <c r="B502">
        <f>IF($W502="","",INDEX('Per Line'!$B$2:$B$3001,$W502)&amp;"")</f>
        <v/>
      </c>
      <c r="C502">
        <f>IF($W502="","",INDEX('Per Line'!$C$2:$C$3001,$W502)&amp;"")</f>
        <v/>
      </c>
      <c r="D502">
        <f>IF($W502="","",IF(OR(TRIM(E502)="Orient Insurance Company",TRIM(E502)="Allianz"),TRIM(E502),TRIM(F502)))</f>
        <v/>
      </c>
      <c r="E502">
        <f>IF($W502="","",INDEX('Per Line'!$E$2:$E$3001,$W502)&amp;"")</f>
        <v/>
      </c>
      <c r="F502">
        <f>IF($W502="","",INDEX('Per Line'!$D$2:$D$3001,$W502)&amp;"")</f>
        <v/>
      </c>
      <c r="G502">
        <f>IF($W502="","",INDEX('Per Line'!$F$2:$F$3001,$W502)&amp;"")</f>
        <v/>
      </c>
      <c r="H502">
        <f>IF($W502="","",INDEX('Per Line'!$G$2:$G$3001,$W502)&amp;"")</f>
        <v/>
      </c>
      <c r="I502">
        <f>IF($W502="","",INDEX('Per Line'!$H$2:$H$3001,$W502)&amp;"")</f>
        <v/>
      </c>
      <c r="J502">
        <f>IF($W502="","",INDEX('Per Line'!$I$2:$I$3001,$W502))</f>
        <v/>
      </c>
      <c r="K502" s="7">
        <f>IF($W502="","",J502*T502/100)</f>
        <v/>
      </c>
      <c r="L502" s="14">
        <f>IF($W502="","",INDEX('Per Line'!$V$2:$V$3001,$W502))</f>
        <v/>
      </c>
      <c r="M502">
        <f>IF($W502="","",IF(ISNUMBER(SEARCH("3&amp;12",SUBSTITUTE(F502," ",""))),Settings!$G$7,Settings!$C$7))</f>
        <v/>
      </c>
      <c r="N502" s="7">
        <f>IF($W502="","",SUMIFS('Per Line'!$O$2:$O$3001,'Per Line'!$B$2:$B$3001,$B502,'Per Line'!$AB$2:$AB$3001,0))</f>
        <v/>
      </c>
      <c r="O502" s="7">
        <f>IF($W502="","",N502*M502)</f>
        <v/>
      </c>
      <c r="P502">
        <f>IF($W502="","",IF(ISNUMBER(SEARCH("3&amp;12",SUBSTITUTE(F502," ",""))),Settings!$G$6,Settings!$C$6))</f>
        <v/>
      </c>
      <c r="Q502" s="7">
        <f>IF($W502="","",SUMIFS('Per Line'!$O$2:$O$3001,'Per Line'!$B$2:$B$3001,$B502,'Per Line'!$AB$2:$AB$3001,1))</f>
        <v/>
      </c>
      <c r="R502" s="7">
        <f>IF($W502="","",Q502*P502)</f>
        <v/>
      </c>
      <c r="S502" s="7">
        <f>IF($W502="","",R502+O502)</f>
        <v/>
      </c>
      <c r="T502" s="7">
        <f>IF($W502="","",V502-S502)</f>
        <v/>
      </c>
      <c r="U502" s="7">
        <f>IF($W502="","",V502-S502-K502)</f>
        <v/>
      </c>
      <c r="V502" s="7">
        <f>IF($W502="","",N502+Q502)</f>
        <v/>
      </c>
      <c r="W502" s="16">
        <f>IF(ROWS($W$2:$W502)&lt;=MAX('Per Line'!$AA$2:$AA$3001),MATCH(ROWS($W$2:$W502),'Per Line'!$AA$2:$AA$3001,0),"")</f>
        <v/>
      </c>
      <c r="X502">
        <f>IF($W502="","",D502&amp;"|"&amp;COUNTIF($D$2:$D502,D502))</f>
        <v/>
      </c>
    </row>
    <row r="503">
      <c r="A503" s="15" t="n"/>
      <c r="B503">
        <f>IF($W503="","",INDEX('Per Line'!$B$2:$B$3001,$W503)&amp;"")</f>
        <v/>
      </c>
      <c r="C503">
        <f>IF($W503="","",INDEX('Per Line'!$C$2:$C$3001,$W503)&amp;"")</f>
        <v/>
      </c>
      <c r="D503">
        <f>IF($W503="","",IF(OR(TRIM(E503)="Orient Insurance Company",TRIM(E503)="Allianz"),TRIM(E503),TRIM(F503)))</f>
        <v/>
      </c>
      <c r="E503">
        <f>IF($W503="","",INDEX('Per Line'!$E$2:$E$3001,$W503)&amp;"")</f>
        <v/>
      </c>
      <c r="F503">
        <f>IF($W503="","",INDEX('Per Line'!$D$2:$D$3001,$W503)&amp;"")</f>
        <v/>
      </c>
      <c r="G503">
        <f>IF($W503="","",INDEX('Per Line'!$F$2:$F$3001,$W503)&amp;"")</f>
        <v/>
      </c>
      <c r="H503">
        <f>IF($W503="","",INDEX('Per Line'!$G$2:$G$3001,$W503)&amp;"")</f>
        <v/>
      </c>
      <c r="I503">
        <f>IF($W503="","",INDEX('Per Line'!$H$2:$H$3001,$W503)&amp;"")</f>
        <v/>
      </c>
      <c r="J503">
        <f>IF($W503="","",INDEX('Per Line'!$I$2:$I$3001,$W503))</f>
        <v/>
      </c>
      <c r="K503" s="7">
        <f>IF($W503="","",J503*T503/100)</f>
        <v/>
      </c>
      <c r="L503" s="14">
        <f>IF($W503="","",INDEX('Per Line'!$V$2:$V$3001,$W503))</f>
        <v/>
      </c>
      <c r="M503">
        <f>IF($W503="","",IF(ISNUMBER(SEARCH("3&amp;12",SUBSTITUTE(F503," ",""))),Settings!$G$7,Settings!$C$7))</f>
        <v/>
      </c>
      <c r="N503" s="7">
        <f>IF($W503="","",SUMIFS('Per Line'!$O$2:$O$3001,'Per Line'!$B$2:$B$3001,$B503,'Per Line'!$AB$2:$AB$3001,0))</f>
        <v/>
      </c>
      <c r="O503" s="7">
        <f>IF($W503="","",N503*M503)</f>
        <v/>
      </c>
      <c r="P503">
        <f>IF($W503="","",IF(ISNUMBER(SEARCH("3&amp;12",SUBSTITUTE(F503," ",""))),Settings!$G$6,Settings!$C$6))</f>
        <v/>
      </c>
      <c r="Q503" s="7">
        <f>IF($W503="","",SUMIFS('Per Line'!$O$2:$O$3001,'Per Line'!$B$2:$B$3001,$B503,'Per Line'!$AB$2:$AB$3001,1))</f>
        <v/>
      </c>
      <c r="R503" s="7">
        <f>IF($W503="","",Q503*P503)</f>
        <v/>
      </c>
      <c r="S503" s="7">
        <f>IF($W503="","",R503+O503)</f>
        <v/>
      </c>
      <c r="T503" s="7">
        <f>IF($W503="","",V503-S503)</f>
        <v/>
      </c>
      <c r="U503" s="7">
        <f>IF($W503="","",V503-S503-K503)</f>
        <v/>
      </c>
      <c r="V503" s="7">
        <f>IF($W503="","",N503+Q503)</f>
        <v/>
      </c>
      <c r="W503" s="16">
        <f>IF(ROWS($W$2:$W503)&lt;=MAX('Per Line'!$AA$2:$AA$3001),MATCH(ROWS($W$2:$W503),'Per Line'!$AA$2:$AA$3001,0),"")</f>
        <v/>
      </c>
      <c r="X503">
        <f>IF($W503="","",D503&amp;"|"&amp;COUNTIF($D$2:$D503,D503))</f>
        <v/>
      </c>
    </row>
    <row r="504">
      <c r="A504" s="15" t="n"/>
      <c r="B504">
        <f>IF($W504="","",INDEX('Per Line'!$B$2:$B$3001,$W504)&amp;"")</f>
        <v/>
      </c>
      <c r="C504">
        <f>IF($W504="","",INDEX('Per Line'!$C$2:$C$3001,$W504)&amp;"")</f>
        <v/>
      </c>
      <c r="D504">
        <f>IF($W504="","",IF(OR(TRIM(E504)="Orient Insurance Company",TRIM(E504)="Allianz"),TRIM(E504),TRIM(F504)))</f>
        <v/>
      </c>
      <c r="E504">
        <f>IF($W504="","",INDEX('Per Line'!$E$2:$E$3001,$W504)&amp;"")</f>
        <v/>
      </c>
      <c r="F504">
        <f>IF($W504="","",INDEX('Per Line'!$D$2:$D$3001,$W504)&amp;"")</f>
        <v/>
      </c>
      <c r="G504">
        <f>IF($W504="","",INDEX('Per Line'!$F$2:$F$3001,$W504)&amp;"")</f>
        <v/>
      </c>
      <c r="H504">
        <f>IF($W504="","",INDEX('Per Line'!$G$2:$G$3001,$W504)&amp;"")</f>
        <v/>
      </c>
      <c r="I504">
        <f>IF($W504="","",INDEX('Per Line'!$H$2:$H$3001,$W504)&amp;"")</f>
        <v/>
      </c>
      <c r="J504">
        <f>IF($W504="","",INDEX('Per Line'!$I$2:$I$3001,$W504))</f>
        <v/>
      </c>
      <c r="K504" s="7">
        <f>IF($W504="","",J504*T504/100)</f>
        <v/>
      </c>
      <c r="L504" s="14">
        <f>IF($W504="","",INDEX('Per Line'!$V$2:$V$3001,$W504))</f>
        <v/>
      </c>
      <c r="M504">
        <f>IF($W504="","",IF(ISNUMBER(SEARCH("3&amp;12",SUBSTITUTE(F504," ",""))),Settings!$G$7,Settings!$C$7))</f>
        <v/>
      </c>
      <c r="N504" s="7">
        <f>IF($W504="","",SUMIFS('Per Line'!$O$2:$O$3001,'Per Line'!$B$2:$B$3001,$B504,'Per Line'!$AB$2:$AB$3001,0))</f>
        <v/>
      </c>
      <c r="O504" s="7">
        <f>IF($W504="","",N504*M504)</f>
        <v/>
      </c>
      <c r="P504">
        <f>IF($W504="","",IF(ISNUMBER(SEARCH("3&amp;12",SUBSTITUTE(F504," ",""))),Settings!$G$6,Settings!$C$6))</f>
        <v/>
      </c>
      <c r="Q504" s="7">
        <f>IF($W504="","",SUMIFS('Per Line'!$O$2:$O$3001,'Per Line'!$B$2:$B$3001,$B504,'Per Line'!$AB$2:$AB$3001,1))</f>
        <v/>
      </c>
      <c r="R504" s="7">
        <f>IF($W504="","",Q504*P504)</f>
        <v/>
      </c>
      <c r="S504" s="7">
        <f>IF($W504="","",R504+O504)</f>
        <v/>
      </c>
      <c r="T504" s="7">
        <f>IF($W504="","",V504-S504)</f>
        <v/>
      </c>
      <c r="U504" s="7">
        <f>IF($W504="","",V504-S504-K504)</f>
        <v/>
      </c>
      <c r="V504" s="7">
        <f>IF($W504="","",N504+Q504)</f>
        <v/>
      </c>
      <c r="W504" s="16">
        <f>IF(ROWS($W$2:$W504)&lt;=MAX('Per Line'!$AA$2:$AA$3001),MATCH(ROWS($W$2:$W504),'Per Line'!$AA$2:$AA$3001,0),"")</f>
        <v/>
      </c>
      <c r="X504">
        <f>IF($W504="","",D504&amp;"|"&amp;COUNTIF($D$2:$D504,D504))</f>
        <v/>
      </c>
    </row>
    <row r="505">
      <c r="A505" s="15" t="n"/>
      <c r="B505">
        <f>IF($W505="","",INDEX('Per Line'!$B$2:$B$3001,$W505)&amp;"")</f>
        <v/>
      </c>
      <c r="C505">
        <f>IF($W505="","",INDEX('Per Line'!$C$2:$C$3001,$W505)&amp;"")</f>
        <v/>
      </c>
      <c r="D505">
        <f>IF($W505="","",IF(OR(TRIM(E505)="Orient Insurance Company",TRIM(E505)="Allianz"),TRIM(E505),TRIM(F505)))</f>
        <v/>
      </c>
      <c r="E505">
        <f>IF($W505="","",INDEX('Per Line'!$E$2:$E$3001,$W505)&amp;"")</f>
        <v/>
      </c>
      <c r="F505">
        <f>IF($W505="","",INDEX('Per Line'!$D$2:$D$3001,$W505)&amp;"")</f>
        <v/>
      </c>
      <c r="G505">
        <f>IF($W505="","",INDEX('Per Line'!$F$2:$F$3001,$W505)&amp;"")</f>
        <v/>
      </c>
      <c r="H505">
        <f>IF($W505="","",INDEX('Per Line'!$G$2:$G$3001,$W505)&amp;"")</f>
        <v/>
      </c>
      <c r="I505">
        <f>IF($W505="","",INDEX('Per Line'!$H$2:$H$3001,$W505)&amp;"")</f>
        <v/>
      </c>
      <c r="J505">
        <f>IF($W505="","",INDEX('Per Line'!$I$2:$I$3001,$W505))</f>
        <v/>
      </c>
      <c r="K505" s="7">
        <f>IF($W505="","",J505*T505/100)</f>
        <v/>
      </c>
      <c r="L505" s="14">
        <f>IF($W505="","",INDEX('Per Line'!$V$2:$V$3001,$W505))</f>
        <v/>
      </c>
      <c r="M505">
        <f>IF($W505="","",IF(ISNUMBER(SEARCH("3&amp;12",SUBSTITUTE(F505," ",""))),Settings!$G$7,Settings!$C$7))</f>
        <v/>
      </c>
      <c r="N505" s="7">
        <f>IF($W505="","",SUMIFS('Per Line'!$O$2:$O$3001,'Per Line'!$B$2:$B$3001,$B505,'Per Line'!$AB$2:$AB$3001,0))</f>
        <v/>
      </c>
      <c r="O505" s="7">
        <f>IF($W505="","",N505*M505)</f>
        <v/>
      </c>
      <c r="P505">
        <f>IF($W505="","",IF(ISNUMBER(SEARCH("3&amp;12",SUBSTITUTE(F505," ",""))),Settings!$G$6,Settings!$C$6))</f>
        <v/>
      </c>
      <c r="Q505" s="7">
        <f>IF($W505="","",SUMIFS('Per Line'!$O$2:$O$3001,'Per Line'!$B$2:$B$3001,$B505,'Per Line'!$AB$2:$AB$3001,1))</f>
        <v/>
      </c>
      <c r="R505" s="7">
        <f>IF($W505="","",Q505*P505)</f>
        <v/>
      </c>
      <c r="S505" s="7">
        <f>IF($W505="","",R505+O505)</f>
        <v/>
      </c>
      <c r="T505" s="7">
        <f>IF($W505="","",V505-S505)</f>
        <v/>
      </c>
      <c r="U505" s="7">
        <f>IF($W505="","",V505-S505-K505)</f>
        <v/>
      </c>
      <c r="V505" s="7">
        <f>IF($W505="","",N505+Q505)</f>
        <v/>
      </c>
      <c r="W505" s="16">
        <f>IF(ROWS($W$2:$W505)&lt;=MAX('Per Line'!$AA$2:$AA$3001),MATCH(ROWS($W$2:$W505),'Per Line'!$AA$2:$AA$3001,0),"")</f>
        <v/>
      </c>
      <c r="X505">
        <f>IF($W505="","",D505&amp;"|"&amp;COUNTIF($D$2:$D505,D505))</f>
        <v/>
      </c>
    </row>
    <row r="506">
      <c r="A506" s="15" t="n"/>
      <c r="B506">
        <f>IF($W506="","",INDEX('Per Line'!$B$2:$B$3001,$W506)&amp;"")</f>
        <v/>
      </c>
      <c r="C506">
        <f>IF($W506="","",INDEX('Per Line'!$C$2:$C$3001,$W506)&amp;"")</f>
        <v/>
      </c>
      <c r="D506">
        <f>IF($W506="","",IF(OR(TRIM(E506)="Orient Insurance Company",TRIM(E506)="Allianz"),TRIM(E506),TRIM(F506)))</f>
        <v/>
      </c>
      <c r="E506">
        <f>IF($W506="","",INDEX('Per Line'!$E$2:$E$3001,$W506)&amp;"")</f>
        <v/>
      </c>
      <c r="F506">
        <f>IF($W506="","",INDEX('Per Line'!$D$2:$D$3001,$W506)&amp;"")</f>
        <v/>
      </c>
      <c r="G506">
        <f>IF($W506="","",INDEX('Per Line'!$F$2:$F$3001,$W506)&amp;"")</f>
        <v/>
      </c>
      <c r="H506">
        <f>IF($W506="","",INDEX('Per Line'!$G$2:$G$3001,$W506)&amp;"")</f>
        <v/>
      </c>
      <c r="I506">
        <f>IF($W506="","",INDEX('Per Line'!$H$2:$H$3001,$W506)&amp;"")</f>
        <v/>
      </c>
      <c r="J506">
        <f>IF($W506="","",INDEX('Per Line'!$I$2:$I$3001,$W506))</f>
        <v/>
      </c>
      <c r="K506" s="7">
        <f>IF($W506="","",J506*T506/100)</f>
        <v/>
      </c>
      <c r="L506" s="14">
        <f>IF($W506="","",INDEX('Per Line'!$V$2:$V$3001,$W506))</f>
        <v/>
      </c>
      <c r="M506">
        <f>IF($W506="","",IF(ISNUMBER(SEARCH("3&amp;12",SUBSTITUTE(F506," ",""))),Settings!$G$7,Settings!$C$7))</f>
        <v/>
      </c>
      <c r="N506" s="7">
        <f>IF($W506="","",SUMIFS('Per Line'!$O$2:$O$3001,'Per Line'!$B$2:$B$3001,$B506,'Per Line'!$AB$2:$AB$3001,0))</f>
        <v/>
      </c>
      <c r="O506" s="7">
        <f>IF($W506="","",N506*M506)</f>
        <v/>
      </c>
      <c r="P506">
        <f>IF($W506="","",IF(ISNUMBER(SEARCH("3&amp;12",SUBSTITUTE(F506," ",""))),Settings!$G$6,Settings!$C$6))</f>
        <v/>
      </c>
      <c r="Q506" s="7">
        <f>IF($W506="","",SUMIFS('Per Line'!$O$2:$O$3001,'Per Line'!$B$2:$B$3001,$B506,'Per Line'!$AB$2:$AB$3001,1))</f>
        <v/>
      </c>
      <c r="R506" s="7">
        <f>IF($W506="","",Q506*P506)</f>
        <v/>
      </c>
      <c r="S506" s="7">
        <f>IF($W506="","",R506+O506)</f>
        <v/>
      </c>
      <c r="T506" s="7">
        <f>IF($W506="","",V506-S506)</f>
        <v/>
      </c>
      <c r="U506" s="7">
        <f>IF($W506="","",V506-S506-K506)</f>
        <v/>
      </c>
      <c r="V506" s="7">
        <f>IF($W506="","",N506+Q506)</f>
        <v/>
      </c>
      <c r="W506" s="16">
        <f>IF(ROWS($W$2:$W506)&lt;=MAX('Per Line'!$AA$2:$AA$3001),MATCH(ROWS($W$2:$W506),'Per Line'!$AA$2:$AA$3001,0),"")</f>
        <v/>
      </c>
      <c r="X506">
        <f>IF($W506="","",D506&amp;"|"&amp;COUNTIF($D$2:$D506,D506))</f>
        <v/>
      </c>
    </row>
    <row r="507">
      <c r="A507" s="15" t="n"/>
      <c r="B507">
        <f>IF($W507="","",INDEX('Per Line'!$B$2:$B$3001,$W507)&amp;"")</f>
        <v/>
      </c>
      <c r="C507">
        <f>IF($W507="","",INDEX('Per Line'!$C$2:$C$3001,$W507)&amp;"")</f>
        <v/>
      </c>
      <c r="D507">
        <f>IF($W507="","",IF(OR(TRIM(E507)="Orient Insurance Company",TRIM(E507)="Allianz"),TRIM(E507),TRIM(F507)))</f>
        <v/>
      </c>
      <c r="E507">
        <f>IF($W507="","",INDEX('Per Line'!$E$2:$E$3001,$W507)&amp;"")</f>
        <v/>
      </c>
      <c r="F507">
        <f>IF($W507="","",INDEX('Per Line'!$D$2:$D$3001,$W507)&amp;"")</f>
        <v/>
      </c>
      <c r="G507">
        <f>IF($W507="","",INDEX('Per Line'!$F$2:$F$3001,$W507)&amp;"")</f>
        <v/>
      </c>
      <c r="H507">
        <f>IF($W507="","",INDEX('Per Line'!$G$2:$G$3001,$W507)&amp;"")</f>
        <v/>
      </c>
      <c r="I507">
        <f>IF($W507="","",INDEX('Per Line'!$H$2:$H$3001,$W507)&amp;"")</f>
        <v/>
      </c>
      <c r="J507">
        <f>IF($W507="","",INDEX('Per Line'!$I$2:$I$3001,$W507))</f>
        <v/>
      </c>
      <c r="K507" s="7">
        <f>IF($W507="","",J507*T507/100)</f>
        <v/>
      </c>
      <c r="L507" s="14">
        <f>IF($W507="","",INDEX('Per Line'!$V$2:$V$3001,$W507))</f>
        <v/>
      </c>
      <c r="M507">
        <f>IF($W507="","",IF(ISNUMBER(SEARCH("3&amp;12",SUBSTITUTE(F507," ",""))),Settings!$G$7,Settings!$C$7))</f>
        <v/>
      </c>
      <c r="N507" s="7">
        <f>IF($W507="","",SUMIFS('Per Line'!$O$2:$O$3001,'Per Line'!$B$2:$B$3001,$B507,'Per Line'!$AB$2:$AB$3001,0))</f>
        <v/>
      </c>
      <c r="O507" s="7">
        <f>IF($W507="","",N507*M507)</f>
        <v/>
      </c>
      <c r="P507">
        <f>IF($W507="","",IF(ISNUMBER(SEARCH("3&amp;12",SUBSTITUTE(F507," ",""))),Settings!$G$6,Settings!$C$6))</f>
        <v/>
      </c>
      <c r="Q507" s="7">
        <f>IF($W507="","",SUMIFS('Per Line'!$O$2:$O$3001,'Per Line'!$B$2:$B$3001,$B507,'Per Line'!$AB$2:$AB$3001,1))</f>
        <v/>
      </c>
      <c r="R507" s="7">
        <f>IF($W507="","",Q507*P507)</f>
        <v/>
      </c>
      <c r="S507" s="7">
        <f>IF($W507="","",R507+O507)</f>
        <v/>
      </c>
      <c r="T507" s="7">
        <f>IF($W507="","",V507-S507)</f>
        <v/>
      </c>
      <c r="U507" s="7">
        <f>IF($W507="","",V507-S507-K507)</f>
        <v/>
      </c>
      <c r="V507" s="7">
        <f>IF($W507="","",N507+Q507)</f>
        <v/>
      </c>
      <c r="W507" s="16">
        <f>IF(ROWS($W$2:$W507)&lt;=MAX('Per Line'!$AA$2:$AA$3001),MATCH(ROWS($W$2:$W507),'Per Line'!$AA$2:$AA$3001,0),"")</f>
        <v/>
      </c>
      <c r="X507">
        <f>IF($W507="","",D507&amp;"|"&amp;COUNTIF($D$2:$D507,D507))</f>
        <v/>
      </c>
    </row>
    <row r="508">
      <c r="A508" s="15" t="n"/>
      <c r="B508">
        <f>IF($W508="","",INDEX('Per Line'!$B$2:$B$3001,$W508)&amp;"")</f>
        <v/>
      </c>
      <c r="C508">
        <f>IF($W508="","",INDEX('Per Line'!$C$2:$C$3001,$W508)&amp;"")</f>
        <v/>
      </c>
      <c r="D508">
        <f>IF($W508="","",IF(OR(TRIM(E508)="Orient Insurance Company",TRIM(E508)="Allianz"),TRIM(E508),TRIM(F508)))</f>
        <v/>
      </c>
      <c r="E508">
        <f>IF($W508="","",INDEX('Per Line'!$E$2:$E$3001,$W508)&amp;"")</f>
        <v/>
      </c>
      <c r="F508">
        <f>IF($W508="","",INDEX('Per Line'!$D$2:$D$3001,$W508)&amp;"")</f>
        <v/>
      </c>
      <c r="G508">
        <f>IF($W508="","",INDEX('Per Line'!$F$2:$F$3001,$W508)&amp;"")</f>
        <v/>
      </c>
      <c r="H508">
        <f>IF($W508="","",INDEX('Per Line'!$G$2:$G$3001,$W508)&amp;"")</f>
        <v/>
      </c>
      <c r="I508">
        <f>IF($W508="","",INDEX('Per Line'!$H$2:$H$3001,$W508)&amp;"")</f>
        <v/>
      </c>
      <c r="J508">
        <f>IF($W508="","",INDEX('Per Line'!$I$2:$I$3001,$W508))</f>
        <v/>
      </c>
      <c r="K508" s="7">
        <f>IF($W508="","",J508*T508/100)</f>
        <v/>
      </c>
      <c r="L508" s="14">
        <f>IF($W508="","",INDEX('Per Line'!$V$2:$V$3001,$W508))</f>
        <v/>
      </c>
      <c r="M508">
        <f>IF($W508="","",IF(ISNUMBER(SEARCH("3&amp;12",SUBSTITUTE(F508," ",""))),Settings!$G$7,Settings!$C$7))</f>
        <v/>
      </c>
      <c r="N508" s="7">
        <f>IF($W508="","",SUMIFS('Per Line'!$O$2:$O$3001,'Per Line'!$B$2:$B$3001,$B508,'Per Line'!$AB$2:$AB$3001,0))</f>
        <v/>
      </c>
      <c r="O508" s="7">
        <f>IF($W508="","",N508*M508)</f>
        <v/>
      </c>
      <c r="P508">
        <f>IF($W508="","",IF(ISNUMBER(SEARCH("3&amp;12",SUBSTITUTE(F508," ",""))),Settings!$G$6,Settings!$C$6))</f>
        <v/>
      </c>
      <c r="Q508" s="7">
        <f>IF($W508="","",SUMIFS('Per Line'!$O$2:$O$3001,'Per Line'!$B$2:$B$3001,$B508,'Per Line'!$AB$2:$AB$3001,1))</f>
        <v/>
      </c>
      <c r="R508" s="7">
        <f>IF($W508="","",Q508*P508)</f>
        <v/>
      </c>
      <c r="S508" s="7">
        <f>IF($W508="","",R508+O508)</f>
        <v/>
      </c>
      <c r="T508" s="7">
        <f>IF($W508="","",V508-S508)</f>
        <v/>
      </c>
      <c r="U508" s="7">
        <f>IF($W508="","",V508-S508-K508)</f>
        <v/>
      </c>
      <c r="V508" s="7">
        <f>IF($W508="","",N508+Q508)</f>
        <v/>
      </c>
      <c r="W508" s="16">
        <f>IF(ROWS($W$2:$W508)&lt;=MAX('Per Line'!$AA$2:$AA$3001),MATCH(ROWS($W$2:$W508),'Per Line'!$AA$2:$AA$3001,0),"")</f>
        <v/>
      </c>
      <c r="X508">
        <f>IF($W508="","",D508&amp;"|"&amp;COUNTIF($D$2:$D508,D508))</f>
        <v/>
      </c>
    </row>
    <row r="509">
      <c r="A509" s="15" t="n"/>
      <c r="B509">
        <f>IF($W509="","",INDEX('Per Line'!$B$2:$B$3001,$W509)&amp;"")</f>
        <v/>
      </c>
      <c r="C509">
        <f>IF($W509="","",INDEX('Per Line'!$C$2:$C$3001,$W509)&amp;"")</f>
        <v/>
      </c>
      <c r="D509">
        <f>IF($W509="","",IF(OR(TRIM(E509)="Orient Insurance Company",TRIM(E509)="Allianz"),TRIM(E509),TRIM(F509)))</f>
        <v/>
      </c>
      <c r="E509">
        <f>IF($W509="","",INDEX('Per Line'!$E$2:$E$3001,$W509)&amp;"")</f>
        <v/>
      </c>
      <c r="F509">
        <f>IF($W509="","",INDEX('Per Line'!$D$2:$D$3001,$W509)&amp;"")</f>
        <v/>
      </c>
      <c r="G509">
        <f>IF($W509="","",INDEX('Per Line'!$F$2:$F$3001,$W509)&amp;"")</f>
        <v/>
      </c>
      <c r="H509">
        <f>IF($W509="","",INDEX('Per Line'!$G$2:$G$3001,$W509)&amp;"")</f>
        <v/>
      </c>
      <c r="I509">
        <f>IF($W509="","",INDEX('Per Line'!$H$2:$H$3001,$W509)&amp;"")</f>
        <v/>
      </c>
      <c r="J509">
        <f>IF($W509="","",INDEX('Per Line'!$I$2:$I$3001,$W509))</f>
        <v/>
      </c>
      <c r="K509" s="7">
        <f>IF($W509="","",J509*T509/100)</f>
        <v/>
      </c>
      <c r="L509" s="14">
        <f>IF($W509="","",INDEX('Per Line'!$V$2:$V$3001,$W509))</f>
        <v/>
      </c>
      <c r="M509">
        <f>IF($W509="","",IF(ISNUMBER(SEARCH("3&amp;12",SUBSTITUTE(F509," ",""))),Settings!$G$7,Settings!$C$7))</f>
        <v/>
      </c>
      <c r="N509" s="7">
        <f>IF($W509="","",SUMIFS('Per Line'!$O$2:$O$3001,'Per Line'!$B$2:$B$3001,$B509,'Per Line'!$AB$2:$AB$3001,0))</f>
        <v/>
      </c>
      <c r="O509" s="7">
        <f>IF($W509="","",N509*M509)</f>
        <v/>
      </c>
      <c r="P509">
        <f>IF($W509="","",IF(ISNUMBER(SEARCH("3&amp;12",SUBSTITUTE(F509," ",""))),Settings!$G$6,Settings!$C$6))</f>
        <v/>
      </c>
      <c r="Q509" s="7">
        <f>IF($W509="","",SUMIFS('Per Line'!$O$2:$O$3001,'Per Line'!$B$2:$B$3001,$B509,'Per Line'!$AB$2:$AB$3001,1))</f>
        <v/>
      </c>
      <c r="R509" s="7">
        <f>IF($W509="","",Q509*P509)</f>
        <v/>
      </c>
      <c r="S509" s="7">
        <f>IF($W509="","",R509+O509)</f>
        <v/>
      </c>
      <c r="T509" s="7">
        <f>IF($W509="","",V509-S509)</f>
        <v/>
      </c>
      <c r="U509" s="7">
        <f>IF($W509="","",V509-S509-K509)</f>
        <v/>
      </c>
      <c r="V509" s="7">
        <f>IF($W509="","",N509+Q509)</f>
        <v/>
      </c>
      <c r="W509" s="16">
        <f>IF(ROWS($W$2:$W509)&lt;=MAX('Per Line'!$AA$2:$AA$3001),MATCH(ROWS($W$2:$W509),'Per Line'!$AA$2:$AA$3001,0),"")</f>
        <v/>
      </c>
      <c r="X509">
        <f>IF($W509="","",D509&amp;"|"&amp;COUNTIF($D$2:$D509,D509))</f>
        <v/>
      </c>
    </row>
    <row r="510">
      <c r="A510" s="15" t="n"/>
      <c r="B510">
        <f>IF($W510="","",INDEX('Per Line'!$B$2:$B$3001,$W510)&amp;"")</f>
        <v/>
      </c>
      <c r="C510">
        <f>IF($W510="","",INDEX('Per Line'!$C$2:$C$3001,$W510)&amp;"")</f>
        <v/>
      </c>
      <c r="D510">
        <f>IF($W510="","",IF(OR(TRIM(E510)="Orient Insurance Company",TRIM(E510)="Allianz"),TRIM(E510),TRIM(F510)))</f>
        <v/>
      </c>
      <c r="E510">
        <f>IF($W510="","",INDEX('Per Line'!$E$2:$E$3001,$W510)&amp;"")</f>
        <v/>
      </c>
      <c r="F510">
        <f>IF($W510="","",INDEX('Per Line'!$D$2:$D$3001,$W510)&amp;"")</f>
        <v/>
      </c>
      <c r="G510">
        <f>IF($W510="","",INDEX('Per Line'!$F$2:$F$3001,$W510)&amp;"")</f>
        <v/>
      </c>
      <c r="H510">
        <f>IF($W510="","",INDEX('Per Line'!$G$2:$G$3001,$W510)&amp;"")</f>
        <v/>
      </c>
      <c r="I510">
        <f>IF($W510="","",INDEX('Per Line'!$H$2:$H$3001,$W510)&amp;"")</f>
        <v/>
      </c>
      <c r="J510">
        <f>IF($W510="","",INDEX('Per Line'!$I$2:$I$3001,$W510))</f>
        <v/>
      </c>
      <c r="K510" s="7">
        <f>IF($W510="","",J510*T510/100)</f>
        <v/>
      </c>
      <c r="L510" s="14">
        <f>IF($W510="","",INDEX('Per Line'!$V$2:$V$3001,$W510))</f>
        <v/>
      </c>
      <c r="M510">
        <f>IF($W510="","",IF(ISNUMBER(SEARCH("3&amp;12",SUBSTITUTE(F510," ",""))),Settings!$G$7,Settings!$C$7))</f>
        <v/>
      </c>
      <c r="N510" s="7">
        <f>IF($W510="","",SUMIFS('Per Line'!$O$2:$O$3001,'Per Line'!$B$2:$B$3001,$B510,'Per Line'!$AB$2:$AB$3001,0))</f>
        <v/>
      </c>
      <c r="O510" s="7">
        <f>IF($W510="","",N510*M510)</f>
        <v/>
      </c>
      <c r="P510">
        <f>IF($W510="","",IF(ISNUMBER(SEARCH("3&amp;12",SUBSTITUTE(F510," ",""))),Settings!$G$6,Settings!$C$6))</f>
        <v/>
      </c>
      <c r="Q510" s="7">
        <f>IF($W510="","",SUMIFS('Per Line'!$O$2:$O$3001,'Per Line'!$B$2:$B$3001,$B510,'Per Line'!$AB$2:$AB$3001,1))</f>
        <v/>
      </c>
      <c r="R510" s="7">
        <f>IF($W510="","",Q510*P510)</f>
        <v/>
      </c>
      <c r="S510" s="7">
        <f>IF($W510="","",R510+O510)</f>
        <v/>
      </c>
      <c r="T510" s="7">
        <f>IF($W510="","",V510-S510)</f>
        <v/>
      </c>
      <c r="U510" s="7">
        <f>IF($W510="","",V510-S510-K510)</f>
        <v/>
      </c>
      <c r="V510" s="7">
        <f>IF($W510="","",N510+Q510)</f>
        <v/>
      </c>
      <c r="W510" s="16">
        <f>IF(ROWS($W$2:$W510)&lt;=MAX('Per Line'!$AA$2:$AA$3001),MATCH(ROWS($W$2:$W510),'Per Line'!$AA$2:$AA$3001,0),"")</f>
        <v/>
      </c>
      <c r="X510">
        <f>IF($W510="","",D510&amp;"|"&amp;COUNTIF($D$2:$D510,D510))</f>
        <v/>
      </c>
    </row>
    <row r="511">
      <c r="A511" s="15" t="n"/>
      <c r="B511">
        <f>IF($W511="","",INDEX('Per Line'!$B$2:$B$3001,$W511)&amp;"")</f>
        <v/>
      </c>
      <c r="C511">
        <f>IF($W511="","",INDEX('Per Line'!$C$2:$C$3001,$W511)&amp;"")</f>
        <v/>
      </c>
      <c r="D511">
        <f>IF($W511="","",IF(OR(TRIM(E511)="Orient Insurance Company",TRIM(E511)="Allianz"),TRIM(E511),TRIM(F511)))</f>
        <v/>
      </c>
      <c r="E511">
        <f>IF($W511="","",INDEX('Per Line'!$E$2:$E$3001,$W511)&amp;"")</f>
        <v/>
      </c>
      <c r="F511">
        <f>IF($W511="","",INDEX('Per Line'!$D$2:$D$3001,$W511)&amp;"")</f>
        <v/>
      </c>
      <c r="G511">
        <f>IF($W511="","",INDEX('Per Line'!$F$2:$F$3001,$W511)&amp;"")</f>
        <v/>
      </c>
      <c r="H511">
        <f>IF($W511="","",INDEX('Per Line'!$G$2:$G$3001,$W511)&amp;"")</f>
        <v/>
      </c>
      <c r="I511">
        <f>IF($W511="","",INDEX('Per Line'!$H$2:$H$3001,$W511)&amp;"")</f>
        <v/>
      </c>
      <c r="J511">
        <f>IF($W511="","",INDEX('Per Line'!$I$2:$I$3001,$W511))</f>
        <v/>
      </c>
      <c r="K511" s="7">
        <f>IF($W511="","",J511*T511/100)</f>
        <v/>
      </c>
      <c r="L511" s="14">
        <f>IF($W511="","",INDEX('Per Line'!$V$2:$V$3001,$W511))</f>
        <v/>
      </c>
      <c r="M511">
        <f>IF($W511="","",IF(ISNUMBER(SEARCH("3&amp;12",SUBSTITUTE(F511," ",""))),Settings!$G$7,Settings!$C$7))</f>
        <v/>
      </c>
      <c r="N511" s="7">
        <f>IF($W511="","",SUMIFS('Per Line'!$O$2:$O$3001,'Per Line'!$B$2:$B$3001,$B511,'Per Line'!$AB$2:$AB$3001,0))</f>
        <v/>
      </c>
      <c r="O511" s="7">
        <f>IF($W511="","",N511*M511)</f>
        <v/>
      </c>
      <c r="P511">
        <f>IF($W511="","",IF(ISNUMBER(SEARCH("3&amp;12",SUBSTITUTE(F511," ",""))),Settings!$G$6,Settings!$C$6))</f>
        <v/>
      </c>
      <c r="Q511" s="7">
        <f>IF($W511="","",SUMIFS('Per Line'!$O$2:$O$3001,'Per Line'!$B$2:$B$3001,$B511,'Per Line'!$AB$2:$AB$3001,1))</f>
        <v/>
      </c>
      <c r="R511" s="7">
        <f>IF($W511="","",Q511*P511)</f>
        <v/>
      </c>
      <c r="S511" s="7">
        <f>IF($W511="","",R511+O511)</f>
        <v/>
      </c>
      <c r="T511" s="7">
        <f>IF($W511="","",V511-S511)</f>
        <v/>
      </c>
      <c r="U511" s="7">
        <f>IF($W511="","",V511-S511-K511)</f>
        <v/>
      </c>
      <c r="V511" s="7">
        <f>IF($W511="","",N511+Q511)</f>
        <v/>
      </c>
      <c r="W511" s="16">
        <f>IF(ROWS($W$2:$W511)&lt;=MAX('Per Line'!$AA$2:$AA$3001),MATCH(ROWS($W$2:$W511),'Per Line'!$AA$2:$AA$3001,0),"")</f>
        <v/>
      </c>
      <c r="X511">
        <f>IF($W511="","",D511&amp;"|"&amp;COUNTIF($D$2:$D511,D511))</f>
        <v/>
      </c>
    </row>
    <row r="512">
      <c r="A512" s="15" t="n"/>
      <c r="B512">
        <f>IF($W512="","",INDEX('Per Line'!$B$2:$B$3001,$W512)&amp;"")</f>
        <v/>
      </c>
      <c r="C512">
        <f>IF($W512="","",INDEX('Per Line'!$C$2:$C$3001,$W512)&amp;"")</f>
        <v/>
      </c>
      <c r="D512">
        <f>IF($W512="","",IF(OR(TRIM(E512)="Orient Insurance Company",TRIM(E512)="Allianz"),TRIM(E512),TRIM(F512)))</f>
        <v/>
      </c>
      <c r="E512">
        <f>IF($W512="","",INDEX('Per Line'!$E$2:$E$3001,$W512)&amp;"")</f>
        <v/>
      </c>
      <c r="F512">
        <f>IF($W512="","",INDEX('Per Line'!$D$2:$D$3001,$W512)&amp;"")</f>
        <v/>
      </c>
      <c r="G512">
        <f>IF($W512="","",INDEX('Per Line'!$F$2:$F$3001,$W512)&amp;"")</f>
        <v/>
      </c>
      <c r="H512">
        <f>IF($W512="","",INDEX('Per Line'!$G$2:$G$3001,$W512)&amp;"")</f>
        <v/>
      </c>
      <c r="I512">
        <f>IF($W512="","",INDEX('Per Line'!$H$2:$H$3001,$W512)&amp;"")</f>
        <v/>
      </c>
      <c r="J512">
        <f>IF($W512="","",INDEX('Per Line'!$I$2:$I$3001,$W512))</f>
        <v/>
      </c>
      <c r="K512" s="7">
        <f>IF($W512="","",J512*T512/100)</f>
        <v/>
      </c>
      <c r="L512" s="14">
        <f>IF($W512="","",INDEX('Per Line'!$V$2:$V$3001,$W512))</f>
        <v/>
      </c>
      <c r="M512">
        <f>IF($W512="","",IF(ISNUMBER(SEARCH("3&amp;12",SUBSTITUTE(F512," ",""))),Settings!$G$7,Settings!$C$7))</f>
        <v/>
      </c>
      <c r="N512" s="7">
        <f>IF($W512="","",SUMIFS('Per Line'!$O$2:$O$3001,'Per Line'!$B$2:$B$3001,$B512,'Per Line'!$AB$2:$AB$3001,0))</f>
        <v/>
      </c>
      <c r="O512" s="7">
        <f>IF($W512="","",N512*M512)</f>
        <v/>
      </c>
      <c r="P512">
        <f>IF($W512="","",IF(ISNUMBER(SEARCH("3&amp;12",SUBSTITUTE(F512," ",""))),Settings!$G$6,Settings!$C$6))</f>
        <v/>
      </c>
      <c r="Q512" s="7">
        <f>IF($W512="","",SUMIFS('Per Line'!$O$2:$O$3001,'Per Line'!$B$2:$B$3001,$B512,'Per Line'!$AB$2:$AB$3001,1))</f>
        <v/>
      </c>
      <c r="R512" s="7">
        <f>IF($W512="","",Q512*P512)</f>
        <v/>
      </c>
      <c r="S512" s="7">
        <f>IF($W512="","",R512+O512)</f>
        <v/>
      </c>
      <c r="T512" s="7">
        <f>IF($W512="","",V512-S512)</f>
        <v/>
      </c>
      <c r="U512" s="7">
        <f>IF($W512="","",V512-S512-K512)</f>
        <v/>
      </c>
      <c r="V512" s="7">
        <f>IF($W512="","",N512+Q512)</f>
        <v/>
      </c>
      <c r="W512" s="16">
        <f>IF(ROWS($W$2:$W512)&lt;=MAX('Per Line'!$AA$2:$AA$3001),MATCH(ROWS($W$2:$W512),'Per Line'!$AA$2:$AA$3001,0),"")</f>
        <v/>
      </c>
      <c r="X512">
        <f>IF($W512="","",D512&amp;"|"&amp;COUNTIF($D$2:$D512,D512))</f>
        <v/>
      </c>
    </row>
    <row r="513">
      <c r="A513" s="15" t="n"/>
      <c r="B513">
        <f>IF($W513="","",INDEX('Per Line'!$B$2:$B$3001,$W513)&amp;"")</f>
        <v/>
      </c>
      <c r="C513">
        <f>IF($W513="","",INDEX('Per Line'!$C$2:$C$3001,$W513)&amp;"")</f>
        <v/>
      </c>
      <c r="D513">
        <f>IF($W513="","",IF(OR(TRIM(E513)="Orient Insurance Company",TRIM(E513)="Allianz"),TRIM(E513),TRIM(F513)))</f>
        <v/>
      </c>
      <c r="E513">
        <f>IF($W513="","",INDEX('Per Line'!$E$2:$E$3001,$W513)&amp;"")</f>
        <v/>
      </c>
      <c r="F513">
        <f>IF($W513="","",INDEX('Per Line'!$D$2:$D$3001,$W513)&amp;"")</f>
        <v/>
      </c>
      <c r="G513">
        <f>IF($W513="","",INDEX('Per Line'!$F$2:$F$3001,$W513)&amp;"")</f>
        <v/>
      </c>
      <c r="H513">
        <f>IF($W513="","",INDEX('Per Line'!$G$2:$G$3001,$W513)&amp;"")</f>
        <v/>
      </c>
      <c r="I513">
        <f>IF($W513="","",INDEX('Per Line'!$H$2:$H$3001,$W513)&amp;"")</f>
        <v/>
      </c>
      <c r="J513">
        <f>IF($W513="","",INDEX('Per Line'!$I$2:$I$3001,$W513))</f>
        <v/>
      </c>
      <c r="K513" s="7">
        <f>IF($W513="","",J513*T513/100)</f>
        <v/>
      </c>
      <c r="L513" s="14">
        <f>IF($W513="","",INDEX('Per Line'!$V$2:$V$3001,$W513))</f>
        <v/>
      </c>
      <c r="M513">
        <f>IF($W513="","",IF(ISNUMBER(SEARCH("3&amp;12",SUBSTITUTE(F513," ",""))),Settings!$G$7,Settings!$C$7))</f>
        <v/>
      </c>
      <c r="N513" s="7">
        <f>IF($W513="","",SUMIFS('Per Line'!$O$2:$O$3001,'Per Line'!$B$2:$B$3001,$B513,'Per Line'!$AB$2:$AB$3001,0))</f>
        <v/>
      </c>
      <c r="O513" s="7">
        <f>IF($W513="","",N513*M513)</f>
        <v/>
      </c>
      <c r="P513">
        <f>IF($W513="","",IF(ISNUMBER(SEARCH("3&amp;12",SUBSTITUTE(F513," ",""))),Settings!$G$6,Settings!$C$6))</f>
        <v/>
      </c>
      <c r="Q513" s="7">
        <f>IF($W513="","",SUMIFS('Per Line'!$O$2:$O$3001,'Per Line'!$B$2:$B$3001,$B513,'Per Line'!$AB$2:$AB$3001,1))</f>
        <v/>
      </c>
      <c r="R513" s="7">
        <f>IF($W513="","",Q513*P513)</f>
        <v/>
      </c>
      <c r="S513" s="7">
        <f>IF($W513="","",R513+O513)</f>
        <v/>
      </c>
      <c r="T513" s="7">
        <f>IF($W513="","",V513-S513)</f>
        <v/>
      </c>
      <c r="U513" s="7">
        <f>IF($W513="","",V513-S513-K513)</f>
        <v/>
      </c>
      <c r="V513" s="7">
        <f>IF($W513="","",N513+Q513)</f>
        <v/>
      </c>
      <c r="W513" s="16">
        <f>IF(ROWS($W$2:$W513)&lt;=MAX('Per Line'!$AA$2:$AA$3001),MATCH(ROWS($W$2:$W513),'Per Line'!$AA$2:$AA$3001,0),"")</f>
        <v/>
      </c>
      <c r="X513">
        <f>IF($W513="","",D513&amp;"|"&amp;COUNTIF($D$2:$D513,D513))</f>
        <v/>
      </c>
    </row>
    <row r="514">
      <c r="A514" s="15" t="n"/>
      <c r="B514">
        <f>IF($W514="","",INDEX('Per Line'!$B$2:$B$3001,$W514)&amp;"")</f>
        <v/>
      </c>
      <c r="C514">
        <f>IF($W514="","",INDEX('Per Line'!$C$2:$C$3001,$W514)&amp;"")</f>
        <v/>
      </c>
      <c r="D514">
        <f>IF($W514="","",IF(OR(TRIM(E514)="Orient Insurance Company",TRIM(E514)="Allianz"),TRIM(E514),TRIM(F514)))</f>
        <v/>
      </c>
      <c r="E514">
        <f>IF($W514="","",INDEX('Per Line'!$E$2:$E$3001,$W514)&amp;"")</f>
        <v/>
      </c>
      <c r="F514">
        <f>IF($W514="","",INDEX('Per Line'!$D$2:$D$3001,$W514)&amp;"")</f>
        <v/>
      </c>
      <c r="G514">
        <f>IF($W514="","",INDEX('Per Line'!$F$2:$F$3001,$W514)&amp;"")</f>
        <v/>
      </c>
      <c r="H514">
        <f>IF($W514="","",INDEX('Per Line'!$G$2:$G$3001,$W514)&amp;"")</f>
        <v/>
      </c>
      <c r="I514">
        <f>IF($W514="","",INDEX('Per Line'!$H$2:$H$3001,$W514)&amp;"")</f>
        <v/>
      </c>
      <c r="J514">
        <f>IF($W514="","",INDEX('Per Line'!$I$2:$I$3001,$W514))</f>
        <v/>
      </c>
      <c r="K514" s="7">
        <f>IF($W514="","",J514*T514/100)</f>
        <v/>
      </c>
      <c r="L514" s="14">
        <f>IF($W514="","",INDEX('Per Line'!$V$2:$V$3001,$W514))</f>
        <v/>
      </c>
      <c r="M514">
        <f>IF($W514="","",IF(ISNUMBER(SEARCH("3&amp;12",SUBSTITUTE(F514," ",""))),Settings!$G$7,Settings!$C$7))</f>
        <v/>
      </c>
      <c r="N514" s="7">
        <f>IF($W514="","",SUMIFS('Per Line'!$O$2:$O$3001,'Per Line'!$B$2:$B$3001,$B514,'Per Line'!$AB$2:$AB$3001,0))</f>
        <v/>
      </c>
      <c r="O514" s="7">
        <f>IF($W514="","",N514*M514)</f>
        <v/>
      </c>
      <c r="P514">
        <f>IF($W514="","",IF(ISNUMBER(SEARCH("3&amp;12",SUBSTITUTE(F514," ",""))),Settings!$G$6,Settings!$C$6))</f>
        <v/>
      </c>
      <c r="Q514" s="7">
        <f>IF($W514="","",SUMIFS('Per Line'!$O$2:$O$3001,'Per Line'!$B$2:$B$3001,$B514,'Per Line'!$AB$2:$AB$3001,1))</f>
        <v/>
      </c>
      <c r="R514" s="7">
        <f>IF($W514="","",Q514*P514)</f>
        <v/>
      </c>
      <c r="S514" s="7">
        <f>IF($W514="","",R514+O514)</f>
        <v/>
      </c>
      <c r="T514" s="7">
        <f>IF($W514="","",V514-S514)</f>
        <v/>
      </c>
      <c r="U514" s="7">
        <f>IF($W514="","",V514-S514-K514)</f>
        <v/>
      </c>
      <c r="V514" s="7">
        <f>IF($W514="","",N514+Q514)</f>
        <v/>
      </c>
      <c r="W514" s="16">
        <f>IF(ROWS($W$2:$W514)&lt;=MAX('Per Line'!$AA$2:$AA$3001),MATCH(ROWS($W$2:$W514),'Per Line'!$AA$2:$AA$3001,0),"")</f>
        <v/>
      </c>
      <c r="X514">
        <f>IF($W514="","",D514&amp;"|"&amp;COUNTIF($D$2:$D514,D514))</f>
        <v/>
      </c>
    </row>
    <row r="515">
      <c r="A515" s="15" t="n"/>
      <c r="B515">
        <f>IF($W515="","",INDEX('Per Line'!$B$2:$B$3001,$W515)&amp;"")</f>
        <v/>
      </c>
      <c r="C515">
        <f>IF($W515="","",INDEX('Per Line'!$C$2:$C$3001,$W515)&amp;"")</f>
        <v/>
      </c>
      <c r="D515">
        <f>IF($W515="","",IF(OR(TRIM(E515)="Orient Insurance Company",TRIM(E515)="Allianz"),TRIM(E515),TRIM(F515)))</f>
        <v/>
      </c>
      <c r="E515">
        <f>IF($W515="","",INDEX('Per Line'!$E$2:$E$3001,$W515)&amp;"")</f>
        <v/>
      </c>
      <c r="F515">
        <f>IF($W515="","",INDEX('Per Line'!$D$2:$D$3001,$W515)&amp;"")</f>
        <v/>
      </c>
      <c r="G515">
        <f>IF($W515="","",INDEX('Per Line'!$F$2:$F$3001,$W515)&amp;"")</f>
        <v/>
      </c>
      <c r="H515">
        <f>IF($W515="","",INDEX('Per Line'!$G$2:$G$3001,$W515)&amp;"")</f>
        <v/>
      </c>
      <c r="I515">
        <f>IF($W515="","",INDEX('Per Line'!$H$2:$H$3001,$W515)&amp;"")</f>
        <v/>
      </c>
      <c r="J515">
        <f>IF($W515="","",INDEX('Per Line'!$I$2:$I$3001,$W515))</f>
        <v/>
      </c>
      <c r="K515" s="7">
        <f>IF($W515="","",J515*T515/100)</f>
        <v/>
      </c>
      <c r="L515" s="14">
        <f>IF($W515="","",INDEX('Per Line'!$V$2:$V$3001,$W515))</f>
        <v/>
      </c>
      <c r="M515">
        <f>IF($W515="","",IF(ISNUMBER(SEARCH("3&amp;12",SUBSTITUTE(F515," ",""))),Settings!$G$7,Settings!$C$7))</f>
        <v/>
      </c>
      <c r="N515" s="7">
        <f>IF($W515="","",SUMIFS('Per Line'!$O$2:$O$3001,'Per Line'!$B$2:$B$3001,$B515,'Per Line'!$AB$2:$AB$3001,0))</f>
        <v/>
      </c>
      <c r="O515" s="7">
        <f>IF($W515="","",N515*M515)</f>
        <v/>
      </c>
      <c r="P515">
        <f>IF($W515="","",IF(ISNUMBER(SEARCH("3&amp;12",SUBSTITUTE(F515," ",""))),Settings!$G$6,Settings!$C$6))</f>
        <v/>
      </c>
      <c r="Q515" s="7">
        <f>IF($W515="","",SUMIFS('Per Line'!$O$2:$O$3001,'Per Line'!$B$2:$B$3001,$B515,'Per Line'!$AB$2:$AB$3001,1))</f>
        <v/>
      </c>
      <c r="R515" s="7">
        <f>IF($W515="","",Q515*P515)</f>
        <v/>
      </c>
      <c r="S515" s="7">
        <f>IF($W515="","",R515+O515)</f>
        <v/>
      </c>
      <c r="T515" s="7">
        <f>IF($W515="","",V515-S515)</f>
        <v/>
      </c>
      <c r="U515" s="7">
        <f>IF($W515="","",V515-S515-K515)</f>
        <v/>
      </c>
      <c r="V515" s="7">
        <f>IF($W515="","",N515+Q515)</f>
        <v/>
      </c>
      <c r="W515" s="16">
        <f>IF(ROWS($W$2:$W515)&lt;=MAX('Per Line'!$AA$2:$AA$3001),MATCH(ROWS($W$2:$W515),'Per Line'!$AA$2:$AA$3001,0),"")</f>
        <v/>
      </c>
      <c r="X515">
        <f>IF($W515="","",D515&amp;"|"&amp;COUNTIF($D$2:$D515,D515))</f>
        <v/>
      </c>
    </row>
    <row r="516">
      <c r="A516" s="15" t="n"/>
      <c r="B516">
        <f>IF($W516="","",INDEX('Per Line'!$B$2:$B$3001,$W516)&amp;"")</f>
        <v/>
      </c>
      <c r="C516">
        <f>IF($W516="","",INDEX('Per Line'!$C$2:$C$3001,$W516)&amp;"")</f>
        <v/>
      </c>
      <c r="D516">
        <f>IF($W516="","",IF(OR(TRIM(E516)="Orient Insurance Company",TRIM(E516)="Allianz"),TRIM(E516),TRIM(F516)))</f>
        <v/>
      </c>
      <c r="E516">
        <f>IF($W516="","",INDEX('Per Line'!$E$2:$E$3001,$W516)&amp;"")</f>
        <v/>
      </c>
      <c r="F516">
        <f>IF($W516="","",INDEX('Per Line'!$D$2:$D$3001,$W516)&amp;"")</f>
        <v/>
      </c>
      <c r="G516">
        <f>IF($W516="","",INDEX('Per Line'!$F$2:$F$3001,$W516)&amp;"")</f>
        <v/>
      </c>
      <c r="H516">
        <f>IF($W516="","",INDEX('Per Line'!$G$2:$G$3001,$W516)&amp;"")</f>
        <v/>
      </c>
      <c r="I516">
        <f>IF($W516="","",INDEX('Per Line'!$H$2:$H$3001,$W516)&amp;"")</f>
        <v/>
      </c>
      <c r="J516">
        <f>IF($W516="","",INDEX('Per Line'!$I$2:$I$3001,$W516))</f>
        <v/>
      </c>
      <c r="K516" s="7">
        <f>IF($W516="","",J516*T516/100)</f>
        <v/>
      </c>
      <c r="L516" s="14">
        <f>IF($W516="","",INDEX('Per Line'!$V$2:$V$3001,$W516))</f>
        <v/>
      </c>
      <c r="M516">
        <f>IF($W516="","",IF(ISNUMBER(SEARCH("3&amp;12",SUBSTITUTE(F516," ",""))),Settings!$G$7,Settings!$C$7))</f>
        <v/>
      </c>
      <c r="N516" s="7">
        <f>IF($W516="","",SUMIFS('Per Line'!$O$2:$O$3001,'Per Line'!$B$2:$B$3001,$B516,'Per Line'!$AB$2:$AB$3001,0))</f>
        <v/>
      </c>
      <c r="O516" s="7">
        <f>IF($W516="","",N516*M516)</f>
        <v/>
      </c>
      <c r="P516">
        <f>IF($W516="","",IF(ISNUMBER(SEARCH("3&amp;12",SUBSTITUTE(F516," ",""))),Settings!$G$6,Settings!$C$6))</f>
        <v/>
      </c>
      <c r="Q516" s="7">
        <f>IF($W516="","",SUMIFS('Per Line'!$O$2:$O$3001,'Per Line'!$B$2:$B$3001,$B516,'Per Line'!$AB$2:$AB$3001,1))</f>
        <v/>
      </c>
      <c r="R516" s="7">
        <f>IF($W516="","",Q516*P516)</f>
        <v/>
      </c>
      <c r="S516" s="7">
        <f>IF($W516="","",R516+O516)</f>
        <v/>
      </c>
      <c r="T516" s="7">
        <f>IF($W516="","",V516-S516)</f>
        <v/>
      </c>
      <c r="U516" s="7">
        <f>IF($W516="","",V516-S516-K516)</f>
        <v/>
      </c>
      <c r="V516" s="7">
        <f>IF($W516="","",N516+Q516)</f>
        <v/>
      </c>
      <c r="W516" s="16">
        <f>IF(ROWS($W$2:$W516)&lt;=MAX('Per Line'!$AA$2:$AA$3001),MATCH(ROWS($W$2:$W516),'Per Line'!$AA$2:$AA$3001,0),"")</f>
        <v/>
      </c>
      <c r="X516">
        <f>IF($W516="","",D516&amp;"|"&amp;COUNTIF($D$2:$D516,D516))</f>
        <v/>
      </c>
    </row>
    <row r="517">
      <c r="A517" s="15" t="n"/>
      <c r="B517">
        <f>IF($W517="","",INDEX('Per Line'!$B$2:$B$3001,$W517)&amp;"")</f>
        <v/>
      </c>
      <c r="C517">
        <f>IF($W517="","",INDEX('Per Line'!$C$2:$C$3001,$W517)&amp;"")</f>
        <v/>
      </c>
      <c r="D517">
        <f>IF($W517="","",IF(OR(TRIM(E517)="Orient Insurance Company",TRIM(E517)="Allianz"),TRIM(E517),TRIM(F517)))</f>
        <v/>
      </c>
      <c r="E517">
        <f>IF($W517="","",INDEX('Per Line'!$E$2:$E$3001,$W517)&amp;"")</f>
        <v/>
      </c>
      <c r="F517">
        <f>IF($W517="","",INDEX('Per Line'!$D$2:$D$3001,$W517)&amp;"")</f>
        <v/>
      </c>
      <c r="G517">
        <f>IF($W517="","",INDEX('Per Line'!$F$2:$F$3001,$W517)&amp;"")</f>
        <v/>
      </c>
      <c r="H517">
        <f>IF($W517="","",INDEX('Per Line'!$G$2:$G$3001,$W517)&amp;"")</f>
        <v/>
      </c>
      <c r="I517">
        <f>IF($W517="","",INDEX('Per Line'!$H$2:$H$3001,$W517)&amp;"")</f>
        <v/>
      </c>
      <c r="J517">
        <f>IF($W517="","",INDEX('Per Line'!$I$2:$I$3001,$W517))</f>
        <v/>
      </c>
      <c r="K517" s="7">
        <f>IF($W517="","",J517*T517/100)</f>
        <v/>
      </c>
      <c r="L517" s="14">
        <f>IF($W517="","",INDEX('Per Line'!$V$2:$V$3001,$W517))</f>
        <v/>
      </c>
      <c r="M517">
        <f>IF($W517="","",IF(ISNUMBER(SEARCH("3&amp;12",SUBSTITUTE(F517," ",""))),Settings!$G$7,Settings!$C$7))</f>
        <v/>
      </c>
      <c r="N517" s="7">
        <f>IF($W517="","",SUMIFS('Per Line'!$O$2:$O$3001,'Per Line'!$B$2:$B$3001,$B517,'Per Line'!$AB$2:$AB$3001,0))</f>
        <v/>
      </c>
      <c r="O517" s="7">
        <f>IF($W517="","",N517*M517)</f>
        <v/>
      </c>
      <c r="P517">
        <f>IF($W517="","",IF(ISNUMBER(SEARCH("3&amp;12",SUBSTITUTE(F517," ",""))),Settings!$G$6,Settings!$C$6))</f>
        <v/>
      </c>
      <c r="Q517" s="7">
        <f>IF($W517="","",SUMIFS('Per Line'!$O$2:$O$3001,'Per Line'!$B$2:$B$3001,$B517,'Per Line'!$AB$2:$AB$3001,1))</f>
        <v/>
      </c>
      <c r="R517" s="7">
        <f>IF($W517="","",Q517*P517)</f>
        <v/>
      </c>
      <c r="S517" s="7">
        <f>IF($W517="","",R517+O517)</f>
        <v/>
      </c>
      <c r="T517" s="7">
        <f>IF($W517="","",V517-S517)</f>
        <v/>
      </c>
      <c r="U517" s="7">
        <f>IF($W517="","",V517-S517-K517)</f>
        <v/>
      </c>
      <c r="V517" s="7">
        <f>IF($W517="","",N517+Q517)</f>
        <v/>
      </c>
      <c r="W517" s="16">
        <f>IF(ROWS($W$2:$W517)&lt;=MAX('Per Line'!$AA$2:$AA$3001),MATCH(ROWS($W$2:$W517),'Per Line'!$AA$2:$AA$3001,0),"")</f>
        <v/>
      </c>
      <c r="X517">
        <f>IF($W517="","",D517&amp;"|"&amp;COUNTIF($D$2:$D517,D517))</f>
        <v/>
      </c>
    </row>
    <row r="518">
      <c r="A518" s="15" t="n"/>
      <c r="B518">
        <f>IF($W518="","",INDEX('Per Line'!$B$2:$B$3001,$W518)&amp;"")</f>
        <v/>
      </c>
      <c r="C518">
        <f>IF($W518="","",INDEX('Per Line'!$C$2:$C$3001,$W518)&amp;"")</f>
        <v/>
      </c>
      <c r="D518">
        <f>IF($W518="","",IF(OR(TRIM(E518)="Orient Insurance Company",TRIM(E518)="Allianz"),TRIM(E518),TRIM(F518)))</f>
        <v/>
      </c>
      <c r="E518">
        <f>IF($W518="","",INDEX('Per Line'!$E$2:$E$3001,$W518)&amp;"")</f>
        <v/>
      </c>
      <c r="F518">
        <f>IF($W518="","",INDEX('Per Line'!$D$2:$D$3001,$W518)&amp;"")</f>
        <v/>
      </c>
      <c r="G518">
        <f>IF($W518="","",INDEX('Per Line'!$F$2:$F$3001,$W518)&amp;"")</f>
        <v/>
      </c>
      <c r="H518">
        <f>IF($W518="","",INDEX('Per Line'!$G$2:$G$3001,$W518)&amp;"")</f>
        <v/>
      </c>
      <c r="I518">
        <f>IF($W518="","",INDEX('Per Line'!$H$2:$H$3001,$W518)&amp;"")</f>
        <v/>
      </c>
      <c r="J518">
        <f>IF($W518="","",INDEX('Per Line'!$I$2:$I$3001,$W518))</f>
        <v/>
      </c>
      <c r="K518" s="7">
        <f>IF($W518="","",J518*T518/100)</f>
        <v/>
      </c>
      <c r="L518" s="14">
        <f>IF($W518="","",INDEX('Per Line'!$V$2:$V$3001,$W518))</f>
        <v/>
      </c>
      <c r="M518">
        <f>IF($W518="","",IF(ISNUMBER(SEARCH("3&amp;12",SUBSTITUTE(F518," ",""))),Settings!$G$7,Settings!$C$7))</f>
        <v/>
      </c>
      <c r="N518" s="7">
        <f>IF($W518="","",SUMIFS('Per Line'!$O$2:$O$3001,'Per Line'!$B$2:$B$3001,$B518,'Per Line'!$AB$2:$AB$3001,0))</f>
        <v/>
      </c>
      <c r="O518" s="7">
        <f>IF($W518="","",N518*M518)</f>
        <v/>
      </c>
      <c r="P518">
        <f>IF($W518="","",IF(ISNUMBER(SEARCH("3&amp;12",SUBSTITUTE(F518," ",""))),Settings!$G$6,Settings!$C$6))</f>
        <v/>
      </c>
      <c r="Q518" s="7">
        <f>IF($W518="","",SUMIFS('Per Line'!$O$2:$O$3001,'Per Line'!$B$2:$B$3001,$B518,'Per Line'!$AB$2:$AB$3001,1))</f>
        <v/>
      </c>
      <c r="R518" s="7">
        <f>IF($W518="","",Q518*P518)</f>
        <v/>
      </c>
      <c r="S518" s="7">
        <f>IF($W518="","",R518+O518)</f>
        <v/>
      </c>
      <c r="T518" s="7">
        <f>IF($W518="","",V518-S518)</f>
        <v/>
      </c>
      <c r="U518" s="7">
        <f>IF($W518="","",V518-S518-K518)</f>
        <v/>
      </c>
      <c r="V518" s="7">
        <f>IF($W518="","",N518+Q518)</f>
        <v/>
      </c>
      <c r="W518" s="16">
        <f>IF(ROWS($W$2:$W518)&lt;=MAX('Per Line'!$AA$2:$AA$3001),MATCH(ROWS($W$2:$W518),'Per Line'!$AA$2:$AA$3001,0),"")</f>
        <v/>
      </c>
      <c r="X518">
        <f>IF($W518="","",D518&amp;"|"&amp;COUNTIF($D$2:$D518,D518))</f>
        <v/>
      </c>
    </row>
    <row r="519">
      <c r="A519" s="15" t="n"/>
      <c r="B519">
        <f>IF($W519="","",INDEX('Per Line'!$B$2:$B$3001,$W519)&amp;"")</f>
        <v/>
      </c>
      <c r="C519">
        <f>IF($W519="","",INDEX('Per Line'!$C$2:$C$3001,$W519)&amp;"")</f>
        <v/>
      </c>
      <c r="D519">
        <f>IF($W519="","",IF(OR(TRIM(E519)="Orient Insurance Company",TRIM(E519)="Allianz"),TRIM(E519),TRIM(F519)))</f>
        <v/>
      </c>
      <c r="E519">
        <f>IF($W519="","",INDEX('Per Line'!$E$2:$E$3001,$W519)&amp;"")</f>
        <v/>
      </c>
      <c r="F519">
        <f>IF($W519="","",INDEX('Per Line'!$D$2:$D$3001,$W519)&amp;"")</f>
        <v/>
      </c>
      <c r="G519">
        <f>IF($W519="","",INDEX('Per Line'!$F$2:$F$3001,$W519)&amp;"")</f>
        <v/>
      </c>
      <c r="H519">
        <f>IF($W519="","",INDEX('Per Line'!$G$2:$G$3001,$W519)&amp;"")</f>
        <v/>
      </c>
      <c r="I519">
        <f>IF($W519="","",INDEX('Per Line'!$H$2:$H$3001,$W519)&amp;"")</f>
        <v/>
      </c>
      <c r="J519">
        <f>IF($W519="","",INDEX('Per Line'!$I$2:$I$3001,$W519))</f>
        <v/>
      </c>
      <c r="K519" s="7">
        <f>IF($W519="","",J519*T519/100)</f>
        <v/>
      </c>
      <c r="L519" s="14">
        <f>IF($W519="","",INDEX('Per Line'!$V$2:$V$3001,$W519))</f>
        <v/>
      </c>
      <c r="M519">
        <f>IF($W519="","",IF(ISNUMBER(SEARCH("3&amp;12",SUBSTITUTE(F519," ",""))),Settings!$G$7,Settings!$C$7))</f>
        <v/>
      </c>
      <c r="N519" s="7">
        <f>IF($W519="","",SUMIFS('Per Line'!$O$2:$O$3001,'Per Line'!$B$2:$B$3001,$B519,'Per Line'!$AB$2:$AB$3001,0))</f>
        <v/>
      </c>
      <c r="O519" s="7">
        <f>IF($W519="","",N519*M519)</f>
        <v/>
      </c>
      <c r="P519">
        <f>IF($W519="","",IF(ISNUMBER(SEARCH("3&amp;12",SUBSTITUTE(F519," ",""))),Settings!$G$6,Settings!$C$6))</f>
        <v/>
      </c>
      <c r="Q519" s="7">
        <f>IF($W519="","",SUMIFS('Per Line'!$O$2:$O$3001,'Per Line'!$B$2:$B$3001,$B519,'Per Line'!$AB$2:$AB$3001,1))</f>
        <v/>
      </c>
      <c r="R519" s="7">
        <f>IF($W519="","",Q519*P519)</f>
        <v/>
      </c>
      <c r="S519" s="7">
        <f>IF($W519="","",R519+O519)</f>
        <v/>
      </c>
      <c r="T519" s="7">
        <f>IF($W519="","",V519-S519)</f>
        <v/>
      </c>
      <c r="U519" s="7">
        <f>IF($W519="","",V519-S519-K519)</f>
        <v/>
      </c>
      <c r="V519" s="7">
        <f>IF($W519="","",N519+Q519)</f>
        <v/>
      </c>
      <c r="W519" s="16">
        <f>IF(ROWS($W$2:$W519)&lt;=MAX('Per Line'!$AA$2:$AA$3001),MATCH(ROWS($W$2:$W519),'Per Line'!$AA$2:$AA$3001,0),"")</f>
        <v/>
      </c>
      <c r="X519">
        <f>IF($W519="","",D519&amp;"|"&amp;COUNTIF($D$2:$D519,D519))</f>
        <v/>
      </c>
    </row>
    <row r="520">
      <c r="A520" s="15" t="n"/>
      <c r="B520">
        <f>IF($W520="","",INDEX('Per Line'!$B$2:$B$3001,$W520)&amp;"")</f>
        <v/>
      </c>
      <c r="C520">
        <f>IF($W520="","",INDEX('Per Line'!$C$2:$C$3001,$W520)&amp;"")</f>
        <v/>
      </c>
      <c r="D520">
        <f>IF($W520="","",IF(OR(TRIM(E520)="Orient Insurance Company",TRIM(E520)="Allianz"),TRIM(E520),TRIM(F520)))</f>
        <v/>
      </c>
      <c r="E520">
        <f>IF($W520="","",INDEX('Per Line'!$E$2:$E$3001,$W520)&amp;"")</f>
        <v/>
      </c>
      <c r="F520">
        <f>IF($W520="","",INDEX('Per Line'!$D$2:$D$3001,$W520)&amp;"")</f>
        <v/>
      </c>
      <c r="G520">
        <f>IF($W520="","",INDEX('Per Line'!$F$2:$F$3001,$W520)&amp;"")</f>
        <v/>
      </c>
      <c r="H520">
        <f>IF($W520="","",INDEX('Per Line'!$G$2:$G$3001,$W520)&amp;"")</f>
        <v/>
      </c>
      <c r="I520">
        <f>IF($W520="","",INDEX('Per Line'!$H$2:$H$3001,$W520)&amp;"")</f>
        <v/>
      </c>
      <c r="J520">
        <f>IF($W520="","",INDEX('Per Line'!$I$2:$I$3001,$W520))</f>
        <v/>
      </c>
      <c r="K520" s="7">
        <f>IF($W520="","",J520*T520/100)</f>
        <v/>
      </c>
      <c r="L520" s="14">
        <f>IF($W520="","",INDEX('Per Line'!$V$2:$V$3001,$W520))</f>
        <v/>
      </c>
      <c r="M520">
        <f>IF($W520="","",IF(ISNUMBER(SEARCH("3&amp;12",SUBSTITUTE(F520," ",""))),Settings!$G$7,Settings!$C$7))</f>
        <v/>
      </c>
      <c r="N520" s="7">
        <f>IF($W520="","",SUMIFS('Per Line'!$O$2:$O$3001,'Per Line'!$B$2:$B$3001,$B520,'Per Line'!$AB$2:$AB$3001,0))</f>
        <v/>
      </c>
      <c r="O520" s="7">
        <f>IF($W520="","",N520*M520)</f>
        <v/>
      </c>
      <c r="P520">
        <f>IF($W520="","",IF(ISNUMBER(SEARCH("3&amp;12",SUBSTITUTE(F520," ",""))),Settings!$G$6,Settings!$C$6))</f>
        <v/>
      </c>
      <c r="Q520" s="7">
        <f>IF($W520="","",SUMIFS('Per Line'!$O$2:$O$3001,'Per Line'!$B$2:$B$3001,$B520,'Per Line'!$AB$2:$AB$3001,1))</f>
        <v/>
      </c>
      <c r="R520" s="7">
        <f>IF($W520="","",Q520*P520)</f>
        <v/>
      </c>
      <c r="S520" s="7">
        <f>IF($W520="","",R520+O520)</f>
        <v/>
      </c>
      <c r="T520" s="7">
        <f>IF($W520="","",V520-S520)</f>
        <v/>
      </c>
      <c r="U520" s="7">
        <f>IF($W520="","",V520-S520-K520)</f>
        <v/>
      </c>
      <c r="V520" s="7">
        <f>IF($W520="","",N520+Q520)</f>
        <v/>
      </c>
      <c r="W520" s="16">
        <f>IF(ROWS($W$2:$W520)&lt;=MAX('Per Line'!$AA$2:$AA$3001),MATCH(ROWS($W$2:$W520),'Per Line'!$AA$2:$AA$3001,0),"")</f>
        <v/>
      </c>
      <c r="X520">
        <f>IF($W520="","",D520&amp;"|"&amp;COUNTIF($D$2:$D520,D520))</f>
        <v/>
      </c>
    </row>
    <row r="521">
      <c r="A521" s="15" t="n"/>
      <c r="B521">
        <f>IF($W521="","",INDEX('Per Line'!$B$2:$B$3001,$W521)&amp;"")</f>
        <v/>
      </c>
      <c r="C521">
        <f>IF($W521="","",INDEX('Per Line'!$C$2:$C$3001,$W521)&amp;"")</f>
        <v/>
      </c>
      <c r="D521">
        <f>IF($W521="","",IF(OR(TRIM(E521)="Orient Insurance Company",TRIM(E521)="Allianz"),TRIM(E521),TRIM(F521)))</f>
        <v/>
      </c>
      <c r="E521">
        <f>IF($W521="","",INDEX('Per Line'!$E$2:$E$3001,$W521)&amp;"")</f>
        <v/>
      </c>
      <c r="F521">
        <f>IF($W521="","",INDEX('Per Line'!$D$2:$D$3001,$W521)&amp;"")</f>
        <v/>
      </c>
      <c r="G521">
        <f>IF($W521="","",INDEX('Per Line'!$F$2:$F$3001,$W521)&amp;"")</f>
        <v/>
      </c>
      <c r="H521">
        <f>IF($W521="","",INDEX('Per Line'!$G$2:$G$3001,$W521)&amp;"")</f>
        <v/>
      </c>
      <c r="I521">
        <f>IF($W521="","",INDEX('Per Line'!$H$2:$H$3001,$W521)&amp;"")</f>
        <v/>
      </c>
      <c r="J521">
        <f>IF($W521="","",INDEX('Per Line'!$I$2:$I$3001,$W521))</f>
        <v/>
      </c>
      <c r="K521" s="7">
        <f>IF($W521="","",J521*T521/100)</f>
        <v/>
      </c>
      <c r="L521" s="14">
        <f>IF($W521="","",INDEX('Per Line'!$V$2:$V$3001,$W521))</f>
        <v/>
      </c>
      <c r="M521">
        <f>IF($W521="","",IF(ISNUMBER(SEARCH("3&amp;12",SUBSTITUTE(F521," ",""))),Settings!$G$7,Settings!$C$7))</f>
        <v/>
      </c>
      <c r="N521" s="7">
        <f>IF($W521="","",SUMIFS('Per Line'!$O$2:$O$3001,'Per Line'!$B$2:$B$3001,$B521,'Per Line'!$AB$2:$AB$3001,0))</f>
        <v/>
      </c>
      <c r="O521" s="7">
        <f>IF($W521="","",N521*M521)</f>
        <v/>
      </c>
      <c r="P521">
        <f>IF($W521="","",IF(ISNUMBER(SEARCH("3&amp;12",SUBSTITUTE(F521," ",""))),Settings!$G$6,Settings!$C$6))</f>
        <v/>
      </c>
      <c r="Q521" s="7">
        <f>IF($W521="","",SUMIFS('Per Line'!$O$2:$O$3001,'Per Line'!$B$2:$B$3001,$B521,'Per Line'!$AB$2:$AB$3001,1))</f>
        <v/>
      </c>
      <c r="R521" s="7">
        <f>IF($W521="","",Q521*P521)</f>
        <v/>
      </c>
      <c r="S521" s="7">
        <f>IF($W521="","",R521+O521)</f>
        <v/>
      </c>
      <c r="T521" s="7">
        <f>IF($W521="","",V521-S521)</f>
        <v/>
      </c>
      <c r="U521" s="7">
        <f>IF($W521="","",V521-S521-K521)</f>
        <v/>
      </c>
      <c r="V521" s="7">
        <f>IF($W521="","",N521+Q521)</f>
        <v/>
      </c>
      <c r="W521" s="16">
        <f>IF(ROWS($W$2:$W521)&lt;=MAX('Per Line'!$AA$2:$AA$3001),MATCH(ROWS($W$2:$W521),'Per Line'!$AA$2:$AA$3001,0),"")</f>
        <v/>
      </c>
      <c r="X521">
        <f>IF($W521="","",D521&amp;"|"&amp;COUNTIF($D$2:$D521,D521))</f>
        <v/>
      </c>
    </row>
    <row r="522">
      <c r="A522" s="15" t="n"/>
      <c r="B522">
        <f>IF($W522="","",INDEX('Per Line'!$B$2:$B$3001,$W522)&amp;"")</f>
        <v/>
      </c>
      <c r="C522">
        <f>IF($W522="","",INDEX('Per Line'!$C$2:$C$3001,$W522)&amp;"")</f>
        <v/>
      </c>
      <c r="D522">
        <f>IF($W522="","",IF(OR(TRIM(E522)="Orient Insurance Company",TRIM(E522)="Allianz"),TRIM(E522),TRIM(F522)))</f>
        <v/>
      </c>
      <c r="E522">
        <f>IF($W522="","",INDEX('Per Line'!$E$2:$E$3001,$W522)&amp;"")</f>
        <v/>
      </c>
      <c r="F522">
        <f>IF($W522="","",INDEX('Per Line'!$D$2:$D$3001,$W522)&amp;"")</f>
        <v/>
      </c>
      <c r="G522">
        <f>IF($W522="","",INDEX('Per Line'!$F$2:$F$3001,$W522)&amp;"")</f>
        <v/>
      </c>
      <c r="H522">
        <f>IF($W522="","",INDEX('Per Line'!$G$2:$G$3001,$W522)&amp;"")</f>
        <v/>
      </c>
      <c r="I522">
        <f>IF($W522="","",INDEX('Per Line'!$H$2:$H$3001,$W522)&amp;"")</f>
        <v/>
      </c>
      <c r="J522">
        <f>IF($W522="","",INDEX('Per Line'!$I$2:$I$3001,$W522))</f>
        <v/>
      </c>
      <c r="K522" s="7">
        <f>IF($W522="","",J522*T522/100)</f>
        <v/>
      </c>
      <c r="L522" s="14">
        <f>IF($W522="","",INDEX('Per Line'!$V$2:$V$3001,$W522))</f>
        <v/>
      </c>
      <c r="M522">
        <f>IF($W522="","",IF(ISNUMBER(SEARCH("3&amp;12",SUBSTITUTE(F522," ",""))),Settings!$G$7,Settings!$C$7))</f>
        <v/>
      </c>
      <c r="N522" s="7">
        <f>IF($W522="","",SUMIFS('Per Line'!$O$2:$O$3001,'Per Line'!$B$2:$B$3001,$B522,'Per Line'!$AB$2:$AB$3001,0))</f>
        <v/>
      </c>
      <c r="O522" s="7">
        <f>IF($W522="","",N522*M522)</f>
        <v/>
      </c>
      <c r="P522">
        <f>IF($W522="","",IF(ISNUMBER(SEARCH("3&amp;12",SUBSTITUTE(F522," ",""))),Settings!$G$6,Settings!$C$6))</f>
        <v/>
      </c>
      <c r="Q522" s="7">
        <f>IF($W522="","",SUMIFS('Per Line'!$O$2:$O$3001,'Per Line'!$B$2:$B$3001,$B522,'Per Line'!$AB$2:$AB$3001,1))</f>
        <v/>
      </c>
      <c r="R522" s="7">
        <f>IF($W522="","",Q522*P522)</f>
        <v/>
      </c>
      <c r="S522" s="7">
        <f>IF($W522="","",R522+O522)</f>
        <v/>
      </c>
      <c r="T522" s="7">
        <f>IF($W522="","",V522-S522)</f>
        <v/>
      </c>
      <c r="U522" s="7">
        <f>IF($W522="","",V522-S522-K522)</f>
        <v/>
      </c>
      <c r="V522" s="7">
        <f>IF($W522="","",N522+Q522)</f>
        <v/>
      </c>
      <c r="W522" s="16">
        <f>IF(ROWS($W$2:$W522)&lt;=MAX('Per Line'!$AA$2:$AA$3001),MATCH(ROWS($W$2:$W522),'Per Line'!$AA$2:$AA$3001,0),"")</f>
        <v/>
      </c>
      <c r="X522">
        <f>IF($W522="","",D522&amp;"|"&amp;COUNTIF($D$2:$D522,D522))</f>
        <v/>
      </c>
    </row>
    <row r="523">
      <c r="A523" s="15" t="n"/>
      <c r="B523">
        <f>IF($W523="","",INDEX('Per Line'!$B$2:$B$3001,$W523)&amp;"")</f>
        <v/>
      </c>
      <c r="C523">
        <f>IF($W523="","",INDEX('Per Line'!$C$2:$C$3001,$W523)&amp;"")</f>
        <v/>
      </c>
      <c r="D523">
        <f>IF($W523="","",IF(OR(TRIM(E523)="Orient Insurance Company",TRIM(E523)="Allianz"),TRIM(E523),TRIM(F523)))</f>
        <v/>
      </c>
      <c r="E523">
        <f>IF($W523="","",INDEX('Per Line'!$E$2:$E$3001,$W523)&amp;"")</f>
        <v/>
      </c>
      <c r="F523">
        <f>IF($W523="","",INDEX('Per Line'!$D$2:$D$3001,$W523)&amp;"")</f>
        <v/>
      </c>
      <c r="G523">
        <f>IF($W523="","",INDEX('Per Line'!$F$2:$F$3001,$W523)&amp;"")</f>
        <v/>
      </c>
      <c r="H523">
        <f>IF($W523="","",INDEX('Per Line'!$G$2:$G$3001,$W523)&amp;"")</f>
        <v/>
      </c>
      <c r="I523">
        <f>IF($W523="","",INDEX('Per Line'!$H$2:$H$3001,$W523)&amp;"")</f>
        <v/>
      </c>
      <c r="J523">
        <f>IF($W523="","",INDEX('Per Line'!$I$2:$I$3001,$W523))</f>
        <v/>
      </c>
      <c r="K523" s="7">
        <f>IF($W523="","",J523*T523/100)</f>
        <v/>
      </c>
      <c r="L523" s="14">
        <f>IF($W523="","",INDEX('Per Line'!$V$2:$V$3001,$W523))</f>
        <v/>
      </c>
      <c r="M523">
        <f>IF($W523="","",IF(ISNUMBER(SEARCH("3&amp;12",SUBSTITUTE(F523," ",""))),Settings!$G$7,Settings!$C$7))</f>
        <v/>
      </c>
      <c r="N523" s="7">
        <f>IF($W523="","",SUMIFS('Per Line'!$O$2:$O$3001,'Per Line'!$B$2:$B$3001,$B523,'Per Line'!$AB$2:$AB$3001,0))</f>
        <v/>
      </c>
      <c r="O523" s="7">
        <f>IF($W523="","",N523*M523)</f>
        <v/>
      </c>
      <c r="P523">
        <f>IF($W523="","",IF(ISNUMBER(SEARCH("3&amp;12",SUBSTITUTE(F523," ",""))),Settings!$G$6,Settings!$C$6))</f>
        <v/>
      </c>
      <c r="Q523" s="7">
        <f>IF($W523="","",SUMIFS('Per Line'!$O$2:$O$3001,'Per Line'!$B$2:$B$3001,$B523,'Per Line'!$AB$2:$AB$3001,1))</f>
        <v/>
      </c>
      <c r="R523" s="7">
        <f>IF($W523="","",Q523*P523)</f>
        <v/>
      </c>
      <c r="S523" s="7">
        <f>IF($W523="","",R523+O523)</f>
        <v/>
      </c>
      <c r="T523" s="7">
        <f>IF($W523="","",V523-S523)</f>
        <v/>
      </c>
      <c r="U523" s="7">
        <f>IF($W523="","",V523-S523-K523)</f>
        <v/>
      </c>
      <c r="V523" s="7">
        <f>IF($W523="","",N523+Q523)</f>
        <v/>
      </c>
      <c r="W523" s="16">
        <f>IF(ROWS($W$2:$W523)&lt;=MAX('Per Line'!$AA$2:$AA$3001),MATCH(ROWS($W$2:$W523),'Per Line'!$AA$2:$AA$3001,0),"")</f>
        <v/>
      </c>
      <c r="X523">
        <f>IF($W523="","",D523&amp;"|"&amp;COUNTIF($D$2:$D523,D523))</f>
        <v/>
      </c>
    </row>
    <row r="524">
      <c r="A524" s="15" t="n"/>
      <c r="B524">
        <f>IF($W524="","",INDEX('Per Line'!$B$2:$B$3001,$W524)&amp;"")</f>
        <v/>
      </c>
      <c r="C524">
        <f>IF($W524="","",INDEX('Per Line'!$C$2:$C$3001,$W524)&amp;"")</f>
        <v/>
      </c>
      <c r="D524">
        <f>IF($W524="","",IF(OR(TRIM(E524)="Orient Insurance Company",TRIM(E524)="Allianz"),TRIM(E524),TRIM(F524)))</f>
        <v/>
      </c>
      <c r="E524">
        <f>IF($W524="","",INDEX('Per Line'!$E$2:$E$3001,$W524)&amp;"")</f>
        <v/>
      </c>
      <c r="F524">
        <f>IF($W524="","",INDEX('Per Line'!$D$2:$D$3001,$W524)&amp;"")</f>
        <v/>
      </c>
      <c r="G524">
        <f>IF($W524="","",INDEX('Per Line'!$F$2:$F$3001,$W524)&amp;"")</f>
        <v/>
      </c>
      <c r="H524">
        <f>IF($W524="","",INDEX('Per Line'!$G$2:$G$3001,$W524)&amp;"")</f>
        <v/>
      </c>
      <c r="I524">
        <f>IF($W524="","",INDEX('Per Line'!$H$2:$H$3001,$W524)&amp;"")</f>
        <v/>
      </c>
      <c r="J524">
        <f>IF($W524="","",INDEX('Per Line'!$I$2:$I$3001,$W524))</f>
        <v/>
      </c>
      <c r="K524" s="7">
        <f>IF($W524="","",J524*T524/100)</f>
        <v/>
      </c>
      <c r="L524" s="14">
        <f>IF($W524="","",INDEX('Per Line'!$V$2:$V$3001,$W524))</f>
        <v/>
      </c>
      <c r="M524">
        <f>IF($W524="","",IF(ISNUMBER(SEARCH("3&amp;12",SUBSTITUTE(F524," ",""))),Settings!$G$7,Settings!$C$7))</f>
        <v/>
      </c>
      <c r="N524" s="7">
        <f>IF($W524="","",SUMIFS('Per Line'!$O$2:$O$3001,'Per Line'!$B$2:$B$3001,$B524,'Per Line'!$AB$2:$AB$3001,0))</f>
        <v/>
      </c>
      <c r="O524" s="7">
        <f>IF($W524="","",N524*M524)</f>
        <v/>
      </c>
      <c r="P524">
        <f>IF($W524="","",IF(ISNUMBER(SEARCH("3&amp;12",SUBSTITUTE(F524," ",""))),Settings!$G$6,Settings!$C$6))</f>
        <v/>
      </c>
      <c r="Q524" s="7">
        <f>IF($W524="","",SUMIFS('Per Line'!$O$2:$O$3001,'Per Line'!$B$2:$B$3001,$B524,'Per Line'!$AB$2:$AB$3001,1))</f>
        <v/>
      </c>
      <c r="R524" s="7">
        <f>IF($W524="","",Q524*P524)</f>
        <v/>
      </c>
      <c r="S524" s="7">
        <f>IF($W524="","",R524+O524)</f>
        <v/>
      </c>
      <c r="T524" s="7">
        <f>IF($W524="","",V524-S524)</f>
        <v/>
      </c>
      <c r="U524" s="7">
        <f>IF($W524="","",V524-S524-K524)</f>
        <v/>
      </c>
      <c r="V524" s="7">
        <f>IF($W524="","",N524+Q524)</f>
        <v/>
      </c>
      <c r="W524" s="16">
        <f>IF(ROWS($W$2:$W524)&lt;=MAX('Per Line'!$AA$2:$AA$3001),MATCH(ROWS($W$2:$W524),'Per Line'!$AA$2:$AA$3001,0),"")</f>
        <v/>
      </c>
      <c r="X524">
        <f>IF($W524="","",D524&amp;"|"&amp;COUNTIF($D$2:$D524,D524))</f>
        <v/>
      </c>
    </row>
    <row r="525">
      <c r="A525" s="15" t="n"/>
      <c r="B525">
        <f>IF($W525="","",INDEX('Per Line'!$B$2:$B$3001,$W525)&amp;"")</f>
        <v/>
      </c>
      <c r="C525">
        <f>IF($W525="","",INDEX('Per Line'!$C$2:$C$3001,$W525)&amp;"")</f>
        <v/>
      </c>
      <c r="D525">
        <f>IF($W525="","",IF(OR(TRIM(E525)="Orient Insurance Company",TRIM(E525)="Allianz"),TRIM(E525),TRIM(F525)))</f>
        <v/>
      </c>
      <c r="E525">
        <f>IF($W525="","",INDEX('Per Line'!$E$2:$E$3001,$W525)&amp;"")</f>
        <v/>
      </c>
      <c r="F525">
        <f>IF($W525="","",INDEX('Per Line'!$D$2:$D$3001,$W525)&amp;"")</f>
        <v/>
      </c>
      <c r="G525">
        <f>IF($W525="","",INDEX('Per Line'!$F$2:$F$3001,$W525)&amp;"")</f>
        <v/>
      </c>
      <c r="H525">
        <f>IF($W525="","",INDEX('Per Line'!$G$2:$G$3001,$W525)&amp;"")</f>
        <v/>
      </c>
      <c r="I525">
        <f>IF($W525="","",INDEX('Per Line'!$H$2:$H$3001,$W525)&amp;"")</f>
        <v/>
      </c>
      <c r="J525">
        <f>IF($W525="","",INDEX('Per Line'!$I$2:$I$3001,$W525))</f>
        <v/>
      </c>
      <c r="K525" s="7">
        <f>IF($W525="","",J525*T525/100)</f>
        <v/>
      </c>
      <c r="L525" s="14">
        <f>IF($W525="","",INDEX('Per Line'!$V$2:$V$3001,$W525))</f>
        <v/>
      </c>
      <c r="M525">
        <f>IF($W525="","",IF(ISNUMBER(SEARCH("3&amp;12",SUBSTITUTE(F525," ",""))),Settings!$G$7,Settings!$C$7))</f>
        <v/>
      </c>
      <c r="N525" s="7">
        <f>IF($W525="","",SUMIFS('Per Line'!$O$2:$O$3001,'Per Line'!$B$2:$B$3001,$B525,'Per Line'!$AB$2:$AB$3001,0))</f>
        <v/>
      </c>
      <c r="O525" s="7">
        <f>IF($W525="","",N525*M525)</f>
        <v/>
      </c>
      <c r="P525">
        <f>IF($W525="","",IF(ISNUMBER(SEARCH("3&amp;12",SUBSTITUTE(F525," ",""))),Settings!$G$6,Settings!$C$6))</f>
        <v/>
      </c>
      <c r="Q525" s="7">
        <f>IF($W525="","",SUMIFS('Per Line'!$O$2:$O$3001,'Per Line'!$B$2:$B$3001,$B525,'Per Line'!$AB$2:$AB$3001,1))</f>
        <v/>
      </c>
      <c r="R525" s="7">
        <f>IF($W525="","",Q525*P525)</f>
        <v/>
      </c>
      <c r="S525" s="7">
        <f>IF($W525="","",R525+O525)</f>
        <v/>
      </c>
      <c r="T525" s="7">
        <f>IF($W525="","",V525-S525)</f>
        <v/>
      </c>
      <c r="U525" s="7">
        <f>IF($W525="","",V525-S525-K525)</f>
        <v/>
      </c>
      <c r="V525" s="7">
        <f>IF($W525="","",N525+Q525)</f>
        <v/>
      </c>
      <c r="W525" s="16">
        <f>IF(ROWS($W$2:$W525)&lt;=MAX('Per Line'!$AA$2:$AA$3001),MATCH(ROWS($W$2:$W525),'Per Line'!$AA$2:$AA$3001,0),"")</f>
        <v/>
      </c>
      <c r="X525">
        <f>IF($W525="","",D525&amp;"|"&amp;COUNTIF($D$2:$D525,D525))</f>
        <v/>
      </c>
    </row>
    <row r="526">
      <c r="A526" s="15" t="n"/>
      <c r="B526">
        <f>IF($W526="","",INDEX('Per Line'!$B$2:$B$3001,$W526)&amp;"")</f>
        <v/>
      </c>
      <c r="C526">
        <f>IF($W526="","",INDEX('Per Line'!$C$2:$C$3001,$W526)&amp;"")</f>
        <v/>
      </c>
      <c r="D526">
        <f>IF($W526="","",IF(OR(TRIM(E526)="Orient Insurance Company",TRIM(E526)="Allianz"),TRIM(E526),TRIM(F526)))</f>
        <v/>
      </c>
      <c r="E526">
        <f>IF($W526="","",INDEX('Per Line'!$E$2:$E$3001,$W526)&amp;"")</f>
        <v/>
      </c>
      <c r="F526">
        <f>IF($W526="","",INDEX('Per Line'!$D$2:$D$3001,$W526)&amp;"")</f>
        <v/>
      </c>
      <c r="G526">
        <f>IF($W526="","",INDEX('Per Line'!$F$2:$F$3001,$W526)&amp;"")</f>
        <v/>
      </c>
      <c r="H526">
        <f>IF($W526="","",INDEX('Per Line'!$G$2:$G$3001,$W526)&amp;"")</f>
        <v/>
      </c>
      <c r="I526">
        <f>IF($W526="","",INDEX('Per Line'!$H$2:$H$3001,$W526)&amp;"")</f>
        <v/>
      </c>
      <c r="J526">
        <f>IF($W526="","",INDEX('Per Line'!$I$2:$I$3001,$W526))</f>
        <v/>
      </c>
      <c r="K526" s="7">
        <f>IF($W526="","",J526*T526/100)</f>
        <v/>
      </c>
      <c r="L526" s="14">
        <f>IF($W526="","",INDEX('Per Line'!$V$2:$V$3001,$W526))</f>
        <v/>
      </c>
      <c r="M526">
        <f>IF($W526="","",IF(ISNUMBER(SEARCH("3&amp;12",SUBSTITUTE(F526," ",""))),Settings!$G$7,Settings!$C$7))</f>
        <v/>
      </c>
      <c r="N526" s="7">
        <f>IF($W526="","",SUMIFS('Per Line'!$O$2:$O$3001,'Per Line'!$B$2:$B$3001,$B526,'Per Line'!$AB$2:$AB$3001,0))</f>
        <v/>
      </c>
      <c r="O526" s="7">
        <f>IF($W526="","",N526*M526)</f>
        <v/>
      </c>
      <c r="P526">
        <f>IF($W526="","",IF(ISNUMBER(SEARCH("3&amp;12",SUBSTITUTE(F526," ",""))),Settings!$G$6,Settings!$C$6))</f>
        <v/>
      </c>
      <c r="Q526" s="7">
        <f>IF($W526="","",SUMIFS('Per Line'!$O$2:$O$3001,'Per Line'!$B$2:$B$3001,$B526,'Per Line'!$AB$2:$AB$3001,1))</f>
        <v/>
      </c>
      <c r="R526" s="7">
        <f>IF($W526="","",Q526*P526)</f>
        <v/>
      </c>
      <c r="S526" s="7">
        <f>IF($W526="","",R526+O526)</f>
        <v/>
      </c>
      <c r="T526" s="7">
        <f>IF($W526="","",V526-S526)</f>
        <v/>
      </c>
      <c r="U526" s="7">
        <f>IF($W526="","",V526-S526-K526)</f>
        <v/>
      </c>
      <c r="V526" s="7">
        <f>IF($W526="","",N526+Q526)</f>
        <v/>
      </c>
      <c r="W526" s="16">
        <f>IF(ROWS($W$2:$W526)&lt;=MAX('Per Line'!$AA$2:$AA$3001),MATCH(ROWS($W$2:$W526),'Per Line'!$AA$2:$AA$3001,0),"")</f>
        <v/>
      </c>
      <c r="X526">
        <f>IF($W526="","",D526&amp;"|"&amp;COUNTIF($D$2:$D526,D526))</f>
        <v/>
      </c>
    </row>
    <row r="527">
      <c r="A527" s="15" t="n"/>
      <c r="B527">
        <f>IF($W527="","",INDEX('Per Line'!$B$2:$B$3001,$W527)&amp;"")</f>
        <v/>
      </c>
      <c r="C527">
        <f>IF($W527="","",INDEX('Per Line'!$C$2:$C$3001,$W527)&amp;"")</f>
        <v/>
      </c>
      <c r="D527">
        <f>IF($W527="","",IF(OR(TRIM(E527)="Orient Insurance Company",TRIM(E527)="Allianz"),TRIM(E527),TRIM(F527)))</f>
        <v/>
      </c>
      <c r="E527">
        <f>IF($W527="","",INDEX('Per Line'!$E$2:$E$3001,$W527)&amp;"")</f>
        <v/>
      </c>
      <c r="F527">
        <f>IF($W527="","",INDEX('Per Line'!$D$2:$D$3001,$W527)&amp;"")</f>
        <v/>
      </c>
      <c r="G527">
        <f>IF($W527="","",INDEX('Per Line'!$F$2:$F$3001,$W527)&amp;"")</f>
        <v/>
      </c>
      <c r="H527">
        <f>IF($W527="","",INDEX('Per Line'!$G$2:$G$3001,$W527)&amp;"")</f>
        <v/>
      </c>
      <c r="I527">
        <f>IF($W527="","",INDEX('Per Line'!$H$2:$H$3001,$W527)&amp;"")</f>
        <v/>
      </c>
      <c r="J527">
        <f>IF($W527="","",INDEX('Per Line'!$I$2:$I$3001,$W527))</f>
        <v/>
      </c>
      <c r="K527" s="7">
        <f>IF($W527="","",J527*T527/100)</f>
        <v/>
      </c>
      <c r="L527" s="14">
        <f>IF($W527="","",INDEX('Per Line'!$V$2:$V$3001,$W527))</f>
        <v/>
      </c>
      <c r="M527">
        <f>IF($W527="","",IF(ISNUMBER(SEARCH("3&amp;12",SUBSTITUTE(F527," ",""))),Settings!$G$7,Settings!$C$7))</f>
        <v/>
      </c>
      <c r="N527" s="7">
        <f>IF($W527="","",SUMIFS('Per Line'!$O$2:$O$3001,'Per Line'!$B$2:$B$3001,$B527,'Per Line'!$AB$2:$AB$3001,0))</f>
        <v/>
      </c>
      <c r="O527" s="7">
        <f>IF($W527="","",N527*M527)</f>
        <v/>
      </c>
      <c r="P527">
        <f>IF($W527="","",IF(ISNUMBER(SEARCH("3&amp;12",SUBSTITUTE(F527," ",""))),Settings!$G$6,Settings!$C$6))</f>
        <v/>
      </c>
      <c r="Q527" s="7">
        <f>IF($W527="","",SUMIFS('Per Line'!$O$2:$O$3001,'Per Line'!$B$2:$B$3001,$B527,'Per Line'!$AB$2:$AB$3001,1))</f>
        <v/>
      </c>
      <c r="R527" s="7">
        <f>IF($W527="","",Q527*P527)</f>
        <v/>
      </c>
      <c r="S527" s="7">
        <f>IF($W527="","",R527+O527)</f>
        <v/>
      </c>
      <c r="T527" s="7">
        <f>IF($W527="","",V527-S527)</f>
        <v/>
      </c>
      <c r="U527" s="7">
        <f>IF($W527="","",V527-S527-K527)</f>
        <v/>
      </c>
      <c r="V527" s="7">
        <f>IF($W527="","",N527+Q527)</f>
        <v/>
      </c>
      <c r="W527" s="16">
        <f>IF(ROWS($W$2:$W527)&lt;=MAX('Per Line'!$AA$2:$AA$3001),MATCH(ROWS($W$2:$W527),'Per Line'!$AA$2:$AA$3001,0),"")</f>
        <v/>
      </c>
      <c r="X527">
        <f>IF($W527="","",D527&amp;"|"&amp;COUNTIF($D$2:$D527,D527))</f>
        <v/>
      </c>
    </row>
    <row r="528">
      <c r="A528" s="15" t="n"/>
      <c r="B528">
        <f>IF($W528="","",INDEX('Per Line'!$B$2:$B$3001,$W528)&amp;"")</f>
        <v/>
      </c>
      <c r="C528">
        <f>IF($W528="","",INDEX('Per Line'!$C$2:$C$3001,$W528)&amp;"")</f>
        <v/>
      </c>
      <c r="D528">
        <f>IF($W528="","",IF(OR(TRIM(E528)="Orient Insurance Company",TRIM(E528)="Allianz"),TRIM(E528),TRIM(F528)))</f>
        <v/>
      </c>
      <c r="E528">
        <f>IF($W528="","",INDEX('Per Line'!$E$2:$E$3001,$W528)&amp;"")</f>
        <v/>
      </c>
      <c r="F528">
        <f>IF($W528="","",INDEX('Per Line'!$D$2:$D$3001,$W528)&amp;"")</f>
        <v/>
      </c>
      <c r="G528">
        <f>IF($W528="","",INDEX('Per Line'!$F$2:$F$3001,$W528)&amp;"")</f>
        <v/>
      </c>
      <c r="H528">
        <f>IF($W528="","",INDEX('Per Line'!$G$2:$G$3001,$W528)&amp;"")</f>
        <v/>
      </c>
      <c r="I528">
        <f>IF($W528="","",INDEX('Per Line'!$H$2:$H$3001,$W528)&amp;"")</f>
        <v/>
      </c>
      <c r="J528">
        <f>IF($W528="","",INDEX('Per Line'!$I$2:$I$3001,$W528))</f>
        <v/>
      </c>
      <c r="K528" s="7">
        <f>IF($W528="","",J528*T528/100)</f>
        <v/>
      </c>
      <c r="L528" s="14">
        <f>IF($W528="","",INDEX('Per Line'!$V$2:$V$3001,$W528))</f>
        <v/>
      </c>
      <c r="M528">
        <f>IF($W528="","",IF(ISNUMBER(SEARCH("3&amp;12",SUBSTITUTE(F528," ",""))),Settings!$G$7,Settings!$C$7))</f>
        <v/>
      </c>
      <c r="N528" s="7">
        <f>IF($W528="","",SUMIFS('Per Line'!$O$2:$O$3001,'Per Line'!$B$2:$B$3001,$B528,'Per Line'!$AB$2:$AB$3001,0))</f>
        <v/>
      </c>
      <c r="O528" s="7">
        <f>IF($W528="","",N528*M528)</f>
        <v/>
      </c>
      <c r="P528">
        <f>IF($W528="","",IF(ISNUMBER(SEARCH("3&amp;12",SUBSTITUTE(F528," ",""))),Settings!$G$6,Settings!$C$6))</f>
        <v/>
      </c>
      <c r="Q528" s="7">
        <f>IF($W528="","",SUMIFS('Per Line'!$O$2:$O$3001,'Per Line'!$B$2:$B$3001,$B528,'Per Line'!$AB$2:$AB$3001,1))</f>
        <v/>
      </c>
      <c r="R528" s="7">
        <f>IF($W528="","",Q528*P528)</f>
        <v/>
      </c>
      <c r="S528" s="7">
        <f>IF($W528="","",R528+O528)</f>
        <v/>
      </c>
      <c r="T528" s="7">
        <f>IF($W528="","",V528-S528)</f>
        <v/>
      </c>
      <c r="U528" s="7">
        <f>IF($W528="","",V528-S528-K528)</f>
        <v/>
      </c>
      <c r="V528" s="7">
        <f>IF($W528="","",N528+Q528)</f>
        <v/>
      </c>
      <c r="W528" s="16">
        <f>IF(ROWS($W$2:$W528)&lt;=MAX('Per Line'!$AA$2:$AA$3001),MATCH(ROWS($W$2:$W528),'Per Line'!$AA$2:$AA$3001,0),"")</f>
        <v/>
      </c>
      <c r="X528">
        <f>IF($W528="","",D528&amp;"|"&amp;COUNTIF($D$2:$D528,D528))</f>
        <v/>
      </c>
    </row>
    <row r="529">
      <c r="A529" s="15" t="n"/>
      <c r="B529">
        <f>IF($W529="","",INDEX('Per Line'!$B$2:$B$3001,$W529)&amp;"")</f>
        <v/>
      </c>
      <c r="C529">
        <f>IF($W529="","",INDEX('Per Line'!$C$2:$C$3001,$W529)&amp;"")</f>
        <v/>
      </c>
      <c r="D529">
        <f>IF($W529="","",IF(OR(TRIM(E529)="Orient Insurance Company",TRIM(E529)="Allianz"),TRIM(E529),TRIM(F529)))</f>
        <v/>
      </c>
      <c r="E529">
        <f>IF($W529="","",INDEX('Per Line'!$E$2:$E$3001,$W529)&amp;"")</f>
        <v/>
      </c>
      <c r="F529">
        <f>IF($W529="","",INDEX('Per Line'!$D$2:$D$3001,$W529)&amp;"")</f>
        <v/>
      </c>
      <c r="G529">
        <f>IF($W529="","",INDEX('Per Line'!$F$2:$F$3001,$W529)&amp;"")</f>
        <v/>
      </c>
      <c r="H529">
        <f>IF($W529="","",INDEX('Per Line'!$G$2:$G$3001,$W529)&amp;"")</f>
        <v/>
      </c>
      <c r="I529">
        <f>IF($W529="","",INDEX('Per Line'!$H$2:$H$3001,$W529)&amp;"")</f>
        <v/>
      </c>
      <c r="J529">
        <f>IF($W529="","",INDEX('Per Line'!$I$2:$I$3001,$W529))</f>
        <v/>
      </c>
      <c r="K529" s="7">
        <f>IF($W529="","",J529*T529/100)</f>
        <v/>
      </c>
      <c r="L529" s="14">
        <f>IF($W529="","",INDEX('Per Line'!$V$2:$V$3001,$W529))</f>
        <v/>
      </c>
      <c r="M529">
        <f>IF($W529="","",IF(ISNUMBER(SEARCH("3&amp;12",SUBSTITUTE(F529," ",""))),Settings!$G$7,Settings!$C$7))</f>
        <v/>
      </c>
      <c r="N529" s="7">
        <f>IF($W529="","",SUMIFS('Per Line'!$O$2:$O$3001,'Per Line'!$B$2:$B$3001,$B529,'Per Line'!$AB$2:$AB$3001,0))</f>
        <v/>
      </c>
      <c r="O529" s="7">
        <f>IF($W529="","",N529*M529)</f>
        <v/>
      </c>
      <c r="P529">
        <f>IF($W529="","",IF(ISNUMBER(SEARCH("3&amp;12",SUBSTITUTE(F529," ",""))),Settings!$G$6,Settings!$C$6))</f>
        <v/>
      </c>
      <c r="Q529" s="7">
        <f>IF($W529="","",SUMIFS('Per Line'!$O$2:$O$3001,'Per Line'!$B$2:$B$3001,$B529,'Per Line'!$AB$2:$AB$3001,1))</f>
        <v/>
      </c>
      <c r="R529" s="7">
        <f>IF($W529="","",Q529*P529)</f>
        <v/>
      </c>
      <c r="S529" s="7">
        <f>IF($W529="","",R529+O529)</f>
        <v/>
      </c>
      <c r="T529" s="7">
        <f>IF($W529="","",V529-S529)</f>
        <v/>
      </c>
      <c r="U529" s="7">
        <f>IF($W529="","",V529-S529-K529)</f>
        <v/>
      </c>
      <c r="V529" s="7">
        <f>IF($W529="","",N529+Q529)</f>
        <v/>
      </c>
      <c r="W529" s="16">
        <f>IF(ROWS($W$2:$W529)&lt;=MAX('Per Line'!$AA$2:$AA$3001),MATCH(ROWS($W$2:$W529),'Per Line'!$AA$2:$AA$3001,0),"")</f>
        <v/>
      </c>
      <c r="X529">
        <f>IF($W529="","",D529&amp;"|"&amp;COUNTIF($D$2:$D529,D529))</f>
        <v/>
      </c>
    </row>
    <row r="530">
      <c r="A530" s="15" t="n"/>
      <c r="B530">
        <f>IF($W530="","",INDEX('Per Line'!$B$2:$B$3001,$W530)&amp;"")</f>
        <v/>
      </c>
      <c r="C530">
        <f>IF($W530="","",INDEX('Per Line'!$C$2:$C$3001,$W530)&amp;"")</f>
        <v/>
      </c>
      <c r="D530">
        <f>IF($W530="","",IF(OR(TRIM(E530)="Orient Insurance Company",TRIM(E530)="Allianz"),TRIM(E530),TRIM(F530)))</f>
        <v/>
      </c>
      <c r="E530">
        <f>IF($W530="","",INDEX('Per Line'!$E$2:$E$3001,$W530)&amp;"")</f>
        <v/>
      </c>
      <c r="F530">
        <f>IF($W530="","",INDEX('Per Line'!$D$2:$D$3001,$W530)&amp;"")</f>
        <v/>
      </c>
      <c r="G530">
        <f>IF($W530="","",INDEX('Per Line'!$F$2:$F$3001,$W530)&amp;"")</f>
        <v/>
      </c>
      <c r="H530">
        <f>IF($W530="","",INDEX('Per Line'!$G$2:$G$3001,$W530)&amp;"")</f>
        <v/>
      </c>
      <c r="I530">
        <f>IF($W530="","",INDEX('Per Line'!$H$2:$H$3001,$W530)&amp;"")</f>
        <v/>
      </c>
      <c r="J530">
        <f>IF($W530="","",INDEX('Per Line'!$I$2:$I$3001,$W530))</f>
        <v/>
      </c>
      <c r="K530" s="7">
        <f>IF($W530="","",J530*T530/100)</f>
        <v/>
      </c>
      <c r="L530" s="14">
        <f>IF($W530="","",INDEX('Per Line'!$V$2:$V$3001,$W530))</f>
        <v/>
      </c>
      <c r="M530">
        <f>IF($W530="","",IF(ISNUMBER(SEARCH("3&amp;12",SUBSTITUTE(F530," ",""))),Settings!$G$7,Settings!$C$7))</f>
        <v/>
      </c>
      <c r="N530" s="7">
        <f>IF($W530="","",SUMIFS('Per Line'!$O$2:$O$3001,'Per Line'!$B$2:$B$3001,$B530,'Per Line'!$AB$2:$AB$3001,0))</f>
        <v/>
      </c>
      <c r="O530" s="7">
        <f>IF($W530="","",N530*M530)</f>
        <v/>
      </c>
      <c r="P530">
        <f>IF($W530="","",IF(ISNUMBER(SEARCH("3&amp;12",SUBSTITUTE(F530," ",""))),Settings!$G$6,Settings!$C$6))</f>
        <v/>
      </c>
      <c r="Q530" s="7">
        <f>IF($W530="","",SUMIFS('Per Line'!$O$2:$O$3001,'Per Line'!$B$2:$B$3001,$B530,'Per Line'!$AB$2:$AB$3001,1))</f>
        <v/>
      </c>
      <c r="R530" s="7">
        <f>IF($W530="","",Q530*P530)</f>
        <v/>
      </c>
      <c r="S530" s="7">
        <f>IF($W530="","",R530+O530)</f>
        <v/>
      </c>
      <c r="T530" s="7">
        <f>IF($W530="","",V530-S530)</f>
        <v/>
      </c>
      <c r="U530" s="7">
        <f>IF($W530="","",V530-S530-K530)</f>
        <v/>
      </c>
      <c r="V530" s="7">
        <f>IF($W530="","",N530+Q530)</f>
        <v/>
      </c>
      <c r="W530" s="16">
        <f>IF(ROWS($W$2:$W530)&lt;=MAX('Per Line'!$AA$2:$AA$3001),MATCH(ROWS($W$2:$W530),'Per Line'!$AA$2:$AA$3001,0),"")</f>
        <v/>
      </c>
      <c r="X530">
        <f>IF($W530="","",D530&amp;"|"&amp;COUNTIF($D$2:$D530,D530))</f>
        <v/>
      </c>
    </row>
    <row r="531">
      <c r="A531" s="15" t="n"/>
      <c r="B531">
        <f>IF($W531="","",INDEX('Per Line'!$B$2:$B$3001,$W531)&amp;"")</f>
        <v/>
      </c>
      <c r="C531">
        <f>IF($W531="","",INDEX('Per Line'!$C$2:$C$3001,$W531)&amp;"")</f>
        <v/>
      </c>
      <c r="D531">
        <f>IF($W531="","",IF(OR(TRIM(E531)="Orient Insurance Company",TRIM(E531)="Allianz"),TRIM(E531),TRIM(F531)))</f>
        <v/>
      </c>
      <c r="E531">
        <f>IF($W531="","",INDEX('Per Line'!$E$2:$E$3001,$W531)&amp;"")</f>
        <v/>
      </c>
      <c r="F531">
        <f>IF($W531="","",INDEX('Per Line'!$D$2:$D$3001,$W531)&amp;"")</f>
        <v/>
      </c>
      <c r="G531">
        <f>IF($W531="","",INDEX('Per Line'!$F$2:$F$3001,$W531)&amp;"")</f>
        <v/>
      </c>
      <c r="H531">
        <f>IF($W531="","",INDEX('Per Line'!$G$2:$G$3001,$W531)&amp;"")</f>
        <v/>
      </c>
      <c r="I531">
        <f>IF($W531="","",INDEX('Per Line'!$H$2:$H$3001,$W531)&amp;"")</f>
        <v/>
      </c>
      <c r="J531">
        <f>IF($W531="","",INDEX('Per Line'!$I$2:$I$3001,$W531))</f>
        <v/>
      </c>
      <c r="K531" s="7">
        <f>IF($W531="","",J531*T531/100)</f>
        <v/>
      </c>
      <c r="L531" s="14">
        <f>IF($W531="","",INDEX('Per Line'!$V$2:$V$3001,$W531))</f>
        <v/>
      </c>
      <c r="M531">
        <f>IF($W531="","",IF(ISNUMBER(SEARCH("3&amp;12",SUBSTITUTE(F531," ",""))),Settings!$G$7,Settings!$C$7))</f>
        <v/>
      </c>
      <c r="N531" s="7">
        <f>IF($W531="","",SUMIFS('Per Line'!$O$2:$O$3001,'Per Line'!$B$2:$B$3001,$B531,'Per Line'!$AB$2:$AB$3001,0))</f>
        <v/>
      </c>
      <c r="O531" s="7">
        <f>IF($W531="","",N531*M531)</f>
        <v/>
      </c>
      <c r="P531">
        <f>IF($W531="","",IF(ISNUMBER(SEARCH("3&amp;12",SUBSTITUTE(F531," ",""))),Settings!$G$6,Settings!$C$6))</f>
        <v/>
      </c>
      <c r="Q531" s="7">
        <f>IF($W531="","",SUMIFS('Per Line'!$O$2:$O$3001,'Per Line'!$B$2:$B$3001,$B531,'Per Line'!$AB$2:$AB$3001,1))</f>
        <v/>
      </c>
      <c r="R531" s="7">
        <f>IF($W531="","",Q531*P531)</f>
        <v/>
      </c>
      <c r="S531" s="7">
        <f>IF($W531="","",R531+O531)</f>
        <v/>
      </c>
      <c r="T531" s="7">
        <f>IF($W531="","",V531-S531)</f>
        <v/>
      </c>
      <c r="U531" s="7">
        <f>IF($W531="","",V531-S531-K531)</f>
        <v/>
      </c>
      <c r="V531" s="7">
        <f>IF($W531="","",N531+Q531)</f>
        <v/>
      </c>
      <c r="W531" s="16">
        <f>IF(ROWS($W$2:$W531)&lt;=MAX('Per Line'!$AA$2:$AA$3001),MATCH(ROWS($W$2:$W531),'Per Line'!$AA$2:$AA$3001,0),"")</f>
        <v/>
      </c>
      <c r="X531">
        <f>IF($W531="","",D531&amp;"|"&amp;COUNTIF($D$2:$D531,D531))</f>
        <v/>
      </c>
    </row>
    <row r="532">
      <c r="A532" s="15" t="n"/>
      <c r="B532">
        <f>IF($W532="","",INDEX('Per Line'!$B$2:$B$3001,$W532)&amp;"")</f>
        <v/>
      </c>
      <c r="C532">
        <f>IF($W532="","",INDEX('Per Line'!$C$2:$C$3001,$W532)&amp;"")</f>
        <v/>
      </c>
      <c r="D532">
        <f>IF($W532="","",IF(OR(TRIM(E532)="Orient Insurance Company",TRIM(E532)="Allianz"),TRIM(E532),TRIM(F532)))</f>
        <v/>
      </c>
      <c r="E532">
        <f>IF($W532="","",INDEX('Per Line'!$E$2:$E$3001,$W532)&amp;"")</f>
        <v/>
      </c>
      <c r="F532">
        <f>IF($W532="","",INDEX('Per Line'!$D$2:$D$3001,$W532)&amp;"")</f>
        <v/>
      </c>
      <c r="G532">
        <f>IF($W532="","",INDEX('Per Line'!$F$2:$F$3001,$W532)&amp;"")</f>
        <v/>
      </c>
      <c r="H532">
        <f>IF($W532="","",INDEX('Per Line'!$G$2:$G$3001,$W532)&amp;"")</f>
        <v/>
      </c>
      <c r="I532">
        <f>IF($W532="","",INDEX('Per Line'!$H$2:$H$3001,$W532)&amp;"")</f>
        <v/>
      </c>
      <c r="J532">
        <f>IF($W532="","",INDEX('Per Line'!$I$2:$I$3001,$W532))</f>
        <v/>
      </c>
      <c r="K532" s="7">
        <f>IF($W532="","",J532*T532/100)</f>
        <v/>
      </c>
      <c r="L532" s="14">
        <f>IF($W532="","",INDEX('Per Line'!$V$2:$V$3001,$W532))</f>
        <v/>
      </c>
      <c r="M532">
        <f>IF($W532="","",IF(ISNUMBER(SEARCH("3&amp;12",SUBSTITUTE(F532," ",""))),Settings!$G$7,Settings!$C$7))</f>
        <v/>
      </c>
      <c r="N532" s="7">
        <f>IF($W532="","",SUMIFS('Per Line'!$O$2:$O$3001,'Per Line'!$B$2:$B$3001,$B532,'Per Line'!$AB$2:$AB$3001,0))</f>
        <v/>
      </c>
      <c r="O532" s="7">
        <f>IF($W532="","",N532*M532)</f>
        <v/>
      </c>
      <c r="P532">
        <f>IF($W532="","",IF(ISNUMBER(SEARCH("3&amp;12",SUBSTITUTE(F532," ",""))),Settings!$G$6,Settings!$C$6))</f>
        <v/>
      </c>
      <c r="Q532" s="7">
        <f>IF($W532="","",SUMIFS('Per Line'!$O$2:$O$3001,'Per Line'!$B$2:$B$3001,$B532,'Per Line'!$AB$2:$AB$3001,1))</f>
        <v/>
      </c>
      <c r="R532" s="7">
        <f>IF($W532="","",Q532*P532)</f>
        <v/>
      </c>
      <c r="S532" s="7">
        <f>IF($W532="","",R532+O532)</f>
        <v/>
      </c>
      <c r="T532" s="7">
        <f>IF($W532="","",V532-S532)</f>
        <v/>
      </c>
      <c r="U532" s="7">
        <f>IF($W532="","",V532-S532-K532)</f>
        <v/>
      </c>
      <c r="V532" s="7">
        <f>IF($W532="","",N532+Q532)</f>
        <v/>
      </c>
      <c r="W532" s="16">
        <f>IF(ROWS($W$2:$W532)&lt;=MAX('Per Line'!$AA$2:$AA$3001),MATCH(ROWS($W$2:$W532),'Per Line'!$AA$2:$AA$3001,0),"")</f>
        <v/>
      </c>
      <c r="X532">
        <f>IF($W532="","",D532&amp;"|"&amp;COUNTIF($D$2:$D532,D532))</f>
        <v/>
      </c>
    </row>
    <row r="533">
      <c r="A533" s="15" t="n"/>
      <c r="B533">
        <f>IF($W533="","",INDEX('Per Line'!$B$2:$B$3001,$W533)&amp;"")</f>
        <v/>
      </c>
      <c r="C533">
        <f>IF($W533="","",INDEX('Per Line'!$C$2:$C$3001,$W533)&amp;"")</f>
        <v/>
      </c>
      <c r="D533">
        <f>IF($W533="","",IF(OR(TRIM(E533)="Orient Insurance Company",TRIM(E533)="Allianz"),TRIM(E533),TRIM(F533)))</f>
        <v/>
      </c>
      <c r="E533">
        <f>IF($W533="","",INDEX('Per Line'!$E$2:$E$3001,$W533)&amp;"")</f>
        <v/>
      </c>
      <c r="F533">
        <f>IF($W533="","",INDEX('Per Line'!$D$2:$D$3001,$W533)&amp;"")</f>
        <v/>
      </c>
      <c r="G533">
        <f>IF($W533="","",INDEX('Per Line'!$F$2:$F$3001,$W533)&amp;"")</f>
        <v/>
      </c>
      <c r="H533">
        <f>IF($W533="","",INDEX('Per Line'!$G$2:$G$3001,$W533)&amp;"")</f>
        <v/>
      </c>
      <c r="I533">
        <f>IF($W533="","",INDEX('Per Line'!$H$2:$H$3001,$W533)&amp;"")</f>
        <v/>
      </c>
      <c r="J533">
        <f>IF($W533="","",INDEX('Per Line'!$I$2:$I$3001,$W533))</f>
        <v/>
      </c>
      <c r="K533" s="7">
        <f>IF($W533="","",J533*T533/100)</f>
        <v/>
      </c>
      <c r="L533" s="14">
        <f>IF($W533="","",INDEX('Per Line'!$V$2:$V$3001,$W533))</f>
        <v/>
      </c>
      <c r="M533">
        <f>IF($W533="","",IF(ISNUMBER(SEARCH("3&amp;12",SUBSTITUTE(F533," ",""))),Settings!$G$7,Settings!$C$7))</f>
        <v/>
      </c>
      <c r="N533" s="7">
        <f>IF($W533="","",SUMIFS('Per Line'!$O$2:$O$3001,'Per Line'!$B$2:$B$3001,$B533,'Per Line'!$AB$2:$AB$3001,0))</f>
        <v/>
      </c>
      <c r="O533" s="7">
        <f>IF($W533="","",N533*M533)</f>
        <v/>
      </c>
      <c r="P533">
        <f>IF($W533="","",IF(ISNUMBER(SEARCH("3&amp;12",SUBSTITUTE(F533," ",""))),Settings!$G$6,Settings!$C$6))</f>
        <v/>
      </c>
      <c r="Q533" s="7">
        <f>IF($W533="","",SUMIFS('Per Line'!$O$2:$O$3001,'Per Line'!$B$2:$B$3001,$B533,'Per Line'!$AB$2:$AB$3001,1))</f>
        <v/>
      </c>
      <c r="R533" s="7">
        <f>IF($W533="","",Q533*P533)</f>
        <v/>
      </c>
      <c r="S533" s="7">
        <f>IF($W533="","",R533+O533)</f>
        <v/>
      </c>
      <c r="T533" s="7">
        <f>IF($W533="","",V533-S533)</f>
        <v/>
      </c>
      <c r="U533" s="7">
        <f>IF($W533="","",V533-S533-K533)</f>
        <v/>
      </c>
      <c r="V533" s="7">
        <f>IF($W533="","",N533+Q533)</f>
        <v/>
      </c>
      <c r="W533" s="16">
        <f>IF(ROWS($W$2:$W533)&lt;=MAX('Per Line'!$AA$2:$AA$3001),MATCH(ROWS($W$2:$W533),'Per Line'!$AA$2:$AA$3001,0),"")</f>
        <v/>
      </c>
      <c r="X533">
        <f>IF($W533="","",D533&amp;"|"&amp;COUNTIF($D$2:$D533,D533))</f>
        <v/>
      </c>
    </row>
    <row r="534">
      <c r="A534" s="15" t="n"/>
      <c r="B534">
        <f>IF($W534="","",INDEX('Per Line'!$B$2:$B$3001,$W534)&amp;"")</f>
        <v/>
      </c>
      <c r="C534">
        <f>IF($W534="","",INDEX('Per Line'!$C$2:$C$3001,$W534)&amp;"")</f>
        <v/>
      </c>
      <c r="D534">
        <f>IF($W534="","",IF(OR(TRIM(E534)="Orient Insurance Company",TRIM(E534)="Allianz"),TRIM(E534),TRIM(F534)))</f>
        <v/>
      </c>
      <c r="E534">
        <f>IF($W534="","",INDEX('Per Line'!$E$2:$E$3001,$W534)&amp;"")</f>
        <v/>
      </c>
      <c r="F534">
        <f>IF($W534="","",INDEX('Per Line'!$D$2:$D$3001,$W534)&amp;"")</f>
        <v/>
      </c>
      <c r="G534">
        <f>IF($W534="","",INDEX('Per Line'!$F$2:$F$3001,$W534)&amp;"")</f>
        <v/>
      </c>
      <c r="H534">
        <f>IF($W534="","",INDEX('Per Line'!$G$2:$G$3001,$W534)&amp;"")</f>
        <v/>
      </c>
      <c r="I534">
        <f>IF($W534="","",INDEX('Per Line'!$H$2:$H$3001,$W534)&amp;"")</f>
        <v/>
      </c>
      <c r="J534">
        <f>IF($W534="","",INDEX('Per Line'!$I$2:$I$3001,$W534))</f>
        <v/>
      </c>
      <c r="K534" s="7">
        <f>IF($W534="","",J534*T534/100)</f>
        <v/>
      </c>
      <c r="L534" s="14">
        <f>IF($W534="","",INDEX('Per Line'!$V$2:$V$3001,$W534))</f>
        <v/>
      </c>
      <c r="M534">
        <f>IF($W534="","",IF(ISNUMBER(SEARCH("3&amp;12",SUBSTITUTE(F534," ",""))),Settings!$G$7,Settings!$C$7))</f>
        <v/>
      </c>
      <c r="N534" s="7">
        <f>IF($W534="","",SUMIFS('Per Line'!$O$2:$O$3001,'Per Line'!$B$2:$B$3001,$B534,'Per Line'!$AB$2:$AB$3001,0))</f>
        <v/>
      </c>
      <c r="O534" s="7">
        <f>IF($W534="","",N534*M534)</f>
        <v/>
      </c>
      <c r="P534">
        <f>IF($W534="","",IF(ISNUMBER(SEARCH("3&amp;12",SUBSTITUTE(F534," ",""))),Settings!$G$6,Settings!$C$6))</f>
        <v/>
      </c>
      <c r="Q534" s="7">
        <f>IF($W534="","",SUMIFS('Per Line'!$O$2:$O$3001,'Per Line'!$B$2:$B$3001,$B534,'Per Line'!$AB$2:$AB$3001,1))</f>
        <v/>
      </c>
      <c r="R534" s="7">
        <f>IF($W534="","",Q534*P534)</f>
        <v/>
      </c>
      <c r="S534" s="7">
        <f>IF($W534="","",R534+O534)</f>
        <v/>
      </c>
      <c r="T534" s="7">
        <f>IF($W534="","",V534-S534)</f>
        <v/>
      </c>
      <c r="U534" s="7">
        <f>IF($W534="","",V534-S534-K534)</f>
        <v/>
      </c>
      <c r="V534" s="7">
        <f>IF($W534="","",N534+Q534)</f>
        <v/>
      </c>
      <c r="W534" s="16">
        <f>IF(ROWS($W$2:$W534)&lt;=MAX('Per Line'!$AA$2:$AA$3001),MATCH(ROWS($W$2:$W534),'Per Line'!$AA$2:$AA$3001,0),"")</f>
        <v/>
      </c>
      <c r="X534">
        <f>IF($W534="","",D534&amp;"|"&amp;COUNTIF($D$2:$D534,D534))</f>
        <v/>
      </c>
    </row>
    <row r="535">
      <c r="A535" s="15" t="n"/>
      <c r="B535">
        <f>IF($W535="","",INDEX('Per Line'!$B$2:$B$3001,$W535)&amp;"")</f>
        <v/>
      </c>
      <c r="C535">
        <f>IF($W535="","",INDEX('Per Line'!$C$2:$C$3001,$W535)&amp;"")</f>
        <v/>
      </c>
      <c r="D535">
        <f>IF($W535="","",IF(OR(TRIM(E535)="Orient Insurance Company",TRIM(E535)="Allianz"),TRIM(E535),TRIM(F535)))</f>
        <v/>
      </c>
      <c r="E535">
        <f>IF($W535="","",INDEX('Per Line'!$E$2:$E$3001,$W535)&amp;"")</f>
        <v/>
      </c>
      <c r="F535">
        <f>IF($W535="","",INDEX('Per Line'!$D$2:$D$3001,$W535)&amp;"")</f>
        <v/>
      </c>
      <c r="G535">
        <f>IF($W535="","",INDEX('Per Line'!$F$2:$F$3001,$W535)&amp;"")</f>
        <v/>
      </c>
      <c r="H535">
        <f>IF($W535="","",INDEX('Per Line'!$G$2:$G$3001,$W535)&amp;"")</f>
        <v/>
      </c>
      <c r="I535">
        <f>IF($W535="","",INDEX('Per Line'!$H$2:$H$3001,$W535)&amp;"")</f>
        <v/>
      </c>
      <c r="J535">
        <f>IF($W535="","",INDEX('Per Line'!$I$2:$I$3001,$W535))</f>
        <v/>
      </c>
      <c r="K535" s="7">
        <f>IF($W535="","",J535*T535/100)</f>
        <v/>
      </c>
      <c r="L535" s="14">
        <f>IF($W535="","",INDEX('Per Line'!$V$2:$V$3001,$W535))</f>
        <v/>
      </c>
      <c r="M535">
        <f>IF($W535="","",IF(ISNUMBER(SEARCH("3&amp;12",SUBSTITUTE(F535," ",""))),Settings!$G$7,Settings!$C$7))</f>
        <v/>
      </c>
      <c r="N535" s="7">
        <f>IF($W535="","",SUMIFS('Per Line'!$O$2:$O$3001,'Per Line'!$B$2:$B$3001,$B535,'Per Line'!$AB$2:$AB$3001,0))</f>
        <v/>
      </c>
      <c r="O535" s="7">
        <f>IF($W535="","",N535*M535)</f>
        <v/>
      </c>
      <c r="P535">
        <f>IF($W535="","",IF(ISNUMBER(SEARCH("3&amp;12",SUBSTITUTE(F535," ",""))),Settings!$G$6,Settings!$C$6))</f>
        <v/>
      </c>
      <c r="Q535" s="7">
        <f>IF($W535="","",SUMIFS('Per Line'!$O$2:$O$3001,'Per Line'!$B$2:$B$3001,$B535,'Per Line'!$AB$2:$AB$3001,1))</f>
        <v/>
      </c>
      <c r="R535" s="7">
        <f>IF($W535="","",Q535*P535)</f>
        <v/>
      </c>
      <c r="S535" s="7">
        <f>IF($W535="","",R535+O535)</f>
        <v/>
      </c>
      <c r="T535" s="7">
        <f>IF($W535="","",V535-S535)</f>
        <v/>
      </c>
      <c r="U535" s="7">
        <f>IF($W535="","",V535-S535-K535)</f>
        <v/>
      </c>
      <c r="V535" s="7">
        <f>IF($W535="","",N535+Q535)</f>
        <v/>
      </c>
      <c r="W535" s="16">
        <f>IF(ROWS($W$2:$W535)&lt;=MAX('Per Line'!$AA$2:$AA$3001),MATCH(ROWS($W$2:$W535),'Per Line'!$AA$2:$AA$3001,0),"")</f>
        <v/>
      </c>
      <c r="X535">
        <f>IF($W535="","",D535&amp;"|"&amp;COUNTIF($D$2:$D535,D535))</f>
        <v/>
      </c>
    </row>
    <row r="536">
      <c r="A536" s="15" t="n"/>
      <c r="B536">
        <f>IF($W536="","",INDEX('Per Line'!$B$2:$B$3001,$W536)&amp;"")</f>
        <v/>
      </c>
      <c r="C536">
        <f>IF($W536="","",INDEX('Per Line'!$C$2:$C$3001,$W536)&amp;"")</f>
        <v/>
      </c>
      <c r="D536">
        <f>IF($W536="","",IF(OR(TRIM(E536)="Orient Insurance Company",TRIM(E536)="Allianz"),TRIM(E536),TRIM(F536)))</f>
        <v/>
      </c>
      <c r="E536">
        <f>IF($W536="","",INDEX('Per Line'!$E$2:$E$3001,$W536)&amp;"")</f>
        <v/>
      </c>
      <c r="F536">
        <f>IF($W536="","",INDEX('Per Line'!$D$2:$D$3001,$W536)&amp;"")</f>
        <v/>
      </c>
      <c r="G536">
        <f>IF($W536="","",INDEX('Per Line'!$F$2:$F$3001,$W536)&amp;"")</f>
        <v/>
      </c>
      <c r="H536">
        <f>IF($W536="","",INDEX('Per Line'!$G$2:$G$3001,$W536)&amp;"")</f>
        <v/>
      </c>
      <c r="I536">
        <f>IF($W536="","",INDEX('Per Line'!$H$2:$H$3001,$W536)&amp;"")</f>
        <v/>
      </c>
      <c r="J536">
        <f>IF($W536="","",INDEX('Per Line'!$I$2:$I$3001,$W536))</f>
        <v/>
      </c>
      <c r="K536" s="7">
        <f>IF($W536="","",J536*T536/100)</f>
        <v/>
      </c>
      <c r="L536" s="14">
        <f>IF($W536="","",INDEX('Per Line'!$V$2:$V$3001,$W536))</f>
        <v/>
      </c>
      <c r="M536">
        <f>IF($W536="","",IF(ISNUMBER(SEARCH("3&amp;12",SUBSTITUTE(F536," ",""))),Settings!$G$7,Settings!$C$7))</f>
        <v/>
      </c>
      <c r="N536" s="7">
        <f>IF($W536="","",SUMIFS('Per Line'!$O$2:$O$3001,'Per Line'!$B$2:$B$3001,$B536,'Per Line'!$AB$2:$AB$3001,0))</f>
        <v/>
      </c>
      <c r="O536" s="7">
        <f>IF($W536="","",N536*M536)</f>
        <v/>
      </c>
      <c r="P536">
        <f>IF($W536="","",IF(ISNUMBER(SEARCH("3&amp;12",SUBSTITUTE(F536," ",""))),Settings!$G$6,Settings!$C$6))</f>
        <v/>
      </c>
      <c r="Q536" s="7">
        <f>IF($W536="","",SUMIFS('Per Line'!$O$2:$O$3001,'Per Line'!$B$2:$B$3001,$B536,'Per Line'!$AB$2:$AB$3001,1))</f>
        <v/>
      </c>
      <c r="R536" s="7">
        <f>IF($W536="","",Q536*P536)</f>
        <v/>
      </c>
      <c r="S536" s="7">
        <f>IF($W536="","",R536+O536)</f>
        <v/>
      </c>
      <c r="T536" s="7">
        <f>IF($W536="","",V536-S536)</f>
        <v/>
      </c>
      <c r="U536" s="7">
        <f>IF($W536="","",V536-S536-K536)</f>
        <v/>
      </c>
      <c r="V536" s="7">
        <f>IF($W536="","",N536+Q536)</f>
        <v/>
      </c>
      <c r="W536" s="16">
        <f>IF(ROWS($W$2:$W536)&lt;=MAX('Per Line'!$AA$2:$AA$3001),MATCH(ROWS($W$2:$W536),'Per Line'!$AA$2:$AA$3001,0),"")</f>
        <v/>
      </c>
      <c r="X536">
        <f>IF($W536="","",D536&amp;"|"&amp;COUNTIF($D$2:$D536,D536))</f>
        <v/>
      </c>
    </row>
    <row r="537">
      <c r="A537" s="15" t="n"/>
      <c r="B537">
        <f>IF($W537="","",INDEX('Per Line'!$B$2:$B$3001,$W537)&amp;"")</f>
        <v/>
      </c>
      <c r="C537">
        <f>IF($W537="","",INDEX('Per Line'!$C$2:$C$3001,$W537)&amp;"")</f>
        <v/>
      </c>
      <c r="D537">
        <f>IF($W537="","",IF(OR(TRIM(E537)="Orient Insurance Company",TRIM(E537)="Allianz"),TRIM(E537),TRIM(F537)))</f>
        <v/>
      </c>
      <c r="E537">
        <f>IF($W537="","",INDEX('Per Line'!$E$2:$E$3001,$W537)&amp;"")</f>
        <v/>
      </c>
      <c r="F537">
        <f>IF($W537="","",INDEX('Per Line'!$D$2:$D$3001,$W537)&amp;"")</f>
        <v/>
      </c>
      <c r="G537">
        <f>IF($W537="","",INDEX('Per Line'!$F$2:$F$3001,$W537)&amp;"")</f>
        <v/>
      </c>
      <c r="H537">
        <f>IF($W537="","",INDEX('Per Line'!$G$2:$G$3001,$W537)&amp;"")</f>
        <v/>
      </c>
      <c r="I537">
        <f>IF($W537="","",INDEX('Per Line'!$H$2:$H$3001,$W537)&amp;"")</f>
        <v/>
      </c>
      <c r="J537">
        <f>IF($W537="","",INDEX('Per Line'!$I$2:$I$3001,$W537))</f>
        <v/>
      </c>
      <c r="K537" s="7">
        <f>IF($W537="","",J537*T537/100)</f>
        <v/>
      </c>
      <c r="L537" s="14">
        <f>IF($W537="","",INDEX('Per Line'!$V$2:$V$3001,$W537))</f>
        <v/>
      </c>
      <c r="M537">
        <f>IF($W537="","",IF(ISNUMBER(SEARCH("3&amp;12",SUBSTITUTE(F537," ",""))),Settings!$G$7,Settings!$C$7))</f>
        <v/>
      </c>
      <c r="N537" s="7">
        <f>IF($W537="","",SUMIFS('Per Line'!$O$2:$O$3001,'Per Line'!$B$2:$B$3001,$B537,'Per Line'!$AB$2:$AB$3001,0))</f>
        <v/>
      </c>
      <c r="O537" s="7">
        <f>IF($W537="","",N537*M537)</f>
        <v/>
      </c>
      <c r="P537">
        <f>IF($W537="","",IF(ISNUMBER(SEARCH("3&amp;12",SUBSTITUTE(F537," ",""))),Settings!$G$6,Settings!$C$6))</f>
        <v/>
      </c>
      <c r="Q537" s="7">
        <f>IF($W537="","",SUMIFS('Per Line'!$O$2:$O$3001,'Per Line'!$B$2:$B$3001,$B537,'Per Line'!$AB$2:$AB$3001,1))</f>
        <v/>
      </c>
      <c r="R537" s="7">
        <f>IF($W537="","",Q537*P537)</f>
        <v/>
      </c>
      <c r="S537" s="7">
        <f>IF($W537="","",R537+O537)</f>
        <v/>
      </c>
      <c r="T537" s="7">
        <f>IF($W537="","",V537-S537)</f>
        <v/>
      </c>
      <c r="U537" s="7">
        <f>IF($W537="","",V537-S537-K537)</f>
        <v/>
      </c>
      <c r="V537" s="7">
        <f>IF($W537="","",N537+Q537)</f>
        <v/>
      </c>
      <c r="W537" s="16">
        <f>IF(ROWS($W$2:$W537)&lt;=MAX('Per Line'!$AA$2:$AA$3001),MATCH(ROWS($W$2:$W537),'Per Line'!$AA$2:$AA$3001,0),"")</f>
        <v/>
      </c>
      <c r="X537">
        <f>IF($W537="","",D537&amp;"|"&amp;COUNTIF($D$2:$D537,D537))</f>
        <v/>
      </c>
    </row>
    <row r="538">
      <c r="A538" s="15" t="n"/>
      <c r="B538">
        <f>IF($W538="","",INDEX('Per Line'!$B$2:$B$3001,$W538)&amp;"")</f>
        <v/>
      </c>
      <c r="C538">
        <f>IF($W538="","",INDEX('Per Line'!$C$2:$C$3001,$W538)&amp;"")</f>
        <v/>
      </c>
      <c r="D538">
        <f>IF($W538="","",IF(OR(TRIM(E538)="Orient Insurance Company",TRIM(E538)="Allianz"),TRIM(E538),TRIM(F538)))</f>
        <v/>
      </c>
      <c r="E538">
        <f>IF($W538="","",INDEX('Per Line'!$E$2:$E$3001,$W538)&amp;"")</f>
        <v/>
      </c>
      <c r="F538">
        <f>IF($W538="","",INDEX('Per Line'!$D$2:$D$3001,$W538)&amp;"")</f>
        <v/>
      </c>
      <c r="G538">
        <f>IF($W538="","",INDEX('Per Line'!$F$2:$F$3001,$W538)&amp;"")</f>
        <v/>
      </c>
      <c r="H538">
        <f>IF($W538="","",INDEX('Per Line'!$G$2:$G$3001,$W538)&amp;"")</f>
        <v/>
      </c>
      <c r="I538">
        <f>IF($W538="","",INDEX('Per Line'!$H$2:$H$3001,$W538)&amp;"")</f>
        <v/>
      </c>
      <c r="J538">
        <f>IF($W538="","",INDEX('Per Line'!$I$2:$I$3001,$W538))</f>
        <v/>
      </c>
      <c r="K538" s="7">
        <f>IF($W538="","",J538*T538/100)</f>
        <v/>
      </c>
      <c r="L538" s="14">
        <f>IF($W538="","",INDEX('Per Line'!$V$2:$V$3001,$W538))</f>
        <v/>
      </c>
      <c r="M538">
        <f>IF($W538="","",IF(ISNUMBER(SEARCH("3&amp;12",SUBSTITUTE(F538," ",""))),Settings!$G$7,Settings!$C$7))</f>
        <v/>
      </c>
      <c r="N538" s="7">
        <f>IF($W538="","",SUMIFS('Per Line'!$O$2:$O$3001,'Per Line'!$B$2:$B$3001,$B538,'Per Line'!$AB$2:$AB$3001,0))</f>
        <v/>
      </c>
      <c r="O538" s="7">
        <f>IF($W538="","",N538*M538)</f>
        <v/>
      </c>
      <c r="P538">
        <f>IF($W538="","",IF(ISNUMBER(SEARCH("3&amp;12",SUBSTITUTE(F538," ",""))),Settings!$G$6,Settings!$C$6))</f>
        <v/>
      </c>
      <c r="Q538" s="7">
        <f>IF($W538="","",SUMIFS('Per Line'!$O$2:$O$3001,'Per Line'!$B$2:$B$3001,$B538,'Per Line'!$AB$2:$AB$3001,1))</f>
        <v/>
      </c>
      <c r="R538" s="7">
        <f>IF($W538="","",Q538*P538)</f>
        <v/>
      </c>
      <c r="S538" s="7">
        <f>IF($W538="","",R538+O538)</f>
        <v/>
      </c>
      <c r="T538" s="7">
        <f>IF($W538="","",V538-S538)</f>
        <v/>
      </c>
      <c r="U538" s="7">
        <f>IF($W538="","",V538-S538-K538)</f>
        <v/>
      </c>
      <c r="V538" s="7">
        <f>IF($W538="","",N538+Q538)</f>
        <v/>
      </c>
      <c r="W538" s="16">
        <f>IF(ROWS($W$2:$W538)&lt;=MAX('Per Line'!$AA$2:$AA$3001),MATCH(ROWS($W$2:$W538),'Per Line'!$AA$2:$AA$3001,0),"")</f>
        <v/>
      </c>
      <c r="X538">
        <f>IF($W538="","",D538&amp;"|"&amp;COUNTIF($D$2:$D538,D538))</f>
        <v/>
      </c>
    </row>
    <row r="539">
      <c r="A539" s="15" t="n"/>
      <c r="B539">
        <f>IF($W539="","",INDEX('Per Line'!$B$2:$B$3001,$W539)&amp;"")</f>
        <v/>
      </c>
      <c r="C539">
        <f>IF($W539="","",INDEX('Per Line'!$C$2:$C$3001,$W539)&amp;"")</f>
        <v/>
      </c>
      <c r="D539">
        <f>IF($W539="","",IF(OR(TRIM(E539)="Orient Insurance Company",TRIM(E539)="Allianz"),TRIM(E539),TRIM(F539)))</f>
        <v/>
      </c>
      <c r="E539">
        <f>IF($W539="","",INDEX('Per Line'!$E$2:$E$3001,$W539)&amp;"")</f>
        <v/>
      </c>
      <c r="F539">
        <f>IF($W539="","",INDEX('Per Line'!$D$2:$D$3001,$W539)&amp;"")</f>
        <v/>
      </c>
      <c r="G539">
        <f>IF($W539="","",INDEX('Per Line'!$F$2:$F$3001,$W539)&amp;"")</f>
        <v/>
      </c>
      <c r="H539">
        <f>IF($W539="","",INDEX('Per Line'!$G$2:$G$3001,$W539)&amp;"")</f>
        <v/>
      </c>
      <c r="I539">
        <f>IF($W539="","",INDEX('Per Line'!$H$2:$H$3001,$W539)&amp;"")</f>
        <v/>
      </c>
      <c r="J539">
        <f>IF($W539="","",INDEX('Per Line'!$I$2:$I$3001,$W539))</f>
        <v/>
      </c>
      <c r="K539" s="7">
        <f>IF($W539="","",J539*T539/100)</f>
        <v/>
      </c>
      <c r="L539" s="14">
        <f>IF($W539="","",INDEX('Per Line'!$V$2:$V$3001,$W539))</f>
        <v/>
      </c>
      <c r="M539">
        <f>IF($W539="","",IF(ISNUMBER(SEARCH("3&amp;12",SUBSTITUTE(F539," ",""))),Settings!$G$7,Settings!$C$7))</f>
        <v/>
      </c>
      <c r="N539" s="7">
        <f>IF($W539="","",SUMIFS('Per Line'!$O$2:$O$3001,'Per Line'!$B$2:$B$3001,$B539,'Per Line'!$AB$2:$AB$3001,0))</f>
        <v/>
      </c>
      <c r="O539" s="7">
        <f>IF($W539="","",N539*M539)</f>
        <v/>
      </c>
      <c r="P539">
        <f>IF($W539="","",IF(ISNUMBER(SEARCH("3&amp;12",SUBSTITUTE(F539," ",""))),Settings!$G$6,Settings!$C$6))</f>
        <v/>
      </c>
      <c r="Q539" s="7">
        <f>IF($W539="","",SUMIFS('Per Line'!$O$2:$O$3001,'Per Line'!$B$2:$B$3001,$B539,'Per Line'!$AB$2:$AB$3001,1))</f>
        <v/>
      </c>
      <c r="R539" s="7">
        <f>IF($W539="","",Q539*P539)</f>
        <v/>
      </c>
      <c r="S539" s="7">
        <f>IF($W539="","",R539+O539)</f>
        <v/>
      </c>
      <c r="T539" s="7">
        <f>IF($W539="","",V539-S539)</f>
        <v/>
      </c>
      <c r="U539" s="7">
        <f>IF($W539="","",V539-S539-K539)</f>
        <v/>
      </c>
      <c r="V539" s="7">
        <f>IF($W539="","",N539+Q539)</f>
        <v/>
      </c>
      <c r="W539" s="16">
        <f>IF(ROWS($W$2:$W539)&lt;=MAX('Per Line'!$AA$2:$AA$3001),MATCH(ROWS($W$2:$W539),'Per Line'!$AA$2:$AA$3001,0),"")</f>
        <v/>
      </c>
      <c r="X539">
        <f>IF($W539="","",D539&amp;"|"&amp;COUNTIF($D$2:$D539,D539))</f>
        <v/>
      </c>
    </row>
    <row r="540">
      <c r="A540" s="15" t="n"/>
      <c r="B540">
        <f>IF($W540="","",INDEX('Per Line'!$B$2:$B$3001,$W540)&amp;"")</f>
        <v/>
      </c>
      <c r="C540">
        <f>IF($W540="","",INDEX('Per Line'!$C$2:$C$3001,$W540)&amp;"")</f>
        <v/>
      </c>
      <c r="D540">
        <f>IF($W540="","",IF(OR(TRIM(E540)="Orient Insurance Company",TRIM(E540)="Allianz"),TRIM(E540),TRIM(F540)))</f>
        <v/>
      </c>
      <c r="E540">
        <f>IF($W540="","",INDEX('Per Line'!$E$2:$E$3001,$W540)&amp;"")</f>
        <v/>
      </c>
      <c r="F540">
        <f>IF($W540="","",INDEX('Per Line'!$D$2:$D$3001,$W540)&amp;"")</f>
        <v/>
      </c>
      <c r="G540">
        <f>IF($W540="","",INDEX('Per Line'!$F$2:$F$3001,$W540)&amp;"")</f>
        <v/>
      </c>
      <c r="H540">
        <f>IF($W540="","",INDEX('Per Line'!$G$2:$G$3001,$W540)&amp;"")</f>
        <v/>
      </c>
      <c r="I540">
        <f>IF($W540="","",INDEX('Per Line'!$H$2:$H$3001,$W540)&amp;"")</f>
        <v/>
      </c>
      <c r="J540">
        <f>IF($W540="","",INDEX('Per Line'!$I$2:$I$3001,$W540))</f>
        <v/>
      </c>
      <c r="K540" s="7">
        <f>IF($W540="","",J540*T540/100)</f>
        <v/>
      </c>
      <c r="L540" s="14">
        <f>IF($W540="","",INDEX('Per Line'!$V$2:$V$3001,$W540))</f>
        <v/>
      </c>
      <c r="M540">
        <f>IF($W540="","",IF(ISNUMBER(SEARCH("3&amp;12",SUBSTITUTE(F540," ",""))),Settings!$G$7,Settings!$C$7))</f>
        <v/>
      </c>
      <c r="N540" s="7">
        <f>IF($W540="","",SUMIFS('Per Line'!$O$2:$O$3001,'Per Line'!$B$2:$B$3001,$B540,'Per Line'!$AB$2:$AB$3001,0))</f>
        <v/>
      </c>
      <c r="O540" s="7">
        <f>IF($W540="","",N540*M540)</f>
        <v/>
      </c>
      <c r="P540">
        <f>IF($W540="","",IF(ISNUMBER(SEARCH("3&amp;12",SUBSTITUTE(F540," ",""))),Settings!$G$6,Settings!$C$6))</f>
        <v/>
      </c>
      <c r="Q540" s="7">
        <f>IF($W540="","",SUMIFS('Per Line'!$O$2:$O$3001,'Per Line'!$B$2:$B$3001,$B540,'Per Line'!$AB$2:$AB$3001,1))</f>
        <v/>
      </c>
      <c r="R540" s="7">
        <f>IF($W540="","",Q540*P540)</f>
        <v/>
      </c>
      <c r="S540" s="7">
        <f>IF($W540="","",R540+O540)</f>
        <v/>
      </c>
      <c r="T540" s="7">
        <f>IF($W540="","",V540-S540)</f>
        <v/>
      </c>
      <c r="U540" s="7">
        <f>IF($W540="","",V540-S540-K540)</f>
        <v/>
      </c>
      <c r="V540" s="7">
        <f>IF($W540="","",N540+Q540)</f>
        <v/>
      </c>
      <c r="W540" s="16">
        <f>IF(ROWS($W$2:$W540)&lt;=MAX('Per Line'!$AA$2:$AA$3001),MATCH(ROWS($W$2:$W540),'Per Line'!$AA$2:$AA$3001,0),"")</f>
        <v/>
      </c>
      <c r="X540">
        <f>IF($W540="","",D540&amp;"|"&amp;COUNTIF($D$2:$D540,D540))</f>
        <v/>
      </c>
    </row>
    <row r="541">
      <c r="A541" s="15" t="n"/>
      <c r="B541">
        <f>IF($W541="","",INDEX('Per Line'!$B$2:$B$3001,$W541)&amp;"")</f>
        <v/>
      </c>
      <c r="C541">
        <f>IF($W541="","",INDEX('Per Line'!$C$2:$C$3001,$W541)&amp;"")</f>
        <v/>
      </c>
      <c r="D541">
        <f>IF($W541="","",IF(OR(TRIM(E541)="Orient Insurance Company",TRIM(E541)="Allianz"),TRIM(E541),TRIM(F541)))</f>
        <v/>
      </c>
      <c r="E541">
        <f>IF($W541="","",INDEX('Per Line'!$E$2:$E$3001,$W541)&amp;"")</f>
        <v/>
      </c>
      <c r="F541">
        <f>IF($W541="","",INDEX('Per Line'!$D$2:$D$3001,$W541)&amp;"")</f>
        <v/>
      </c>
      <c r="G541">
        <f>IF($W541="","",INDEX('Per Line'!$F$2:$F$3001,$W541)&amp;"")</f>
        <v/>
      </c>
      <c r="H541">
        <f>IF($W541="","",INDEX('Per Line'!$G$2:$G$3001,$W541)&amp;"")</f>
        <v/>
      </c>
      <c r="I541">
        <f>IF($W541="","",INDEX('Per Line'!$H$2:$H$3001,$W541)&amp;"")</f>
        <v/>
      </c>
      <c r="J541">
        <f>IF($W541="","",INDEX('Per Line'!$I$2:$I$3001,$W541))</f>
        <v/>
      </c>
      <c r="K541" s="7">
        <f>IF($W541="","",J541*T541/100)</f>
        <v/>
      </c>
      <c r="L541" s="14">
        <f>IF($W541="","",INDEX('Per Line'!$V$2:$V$3001,$W541))</f>
        <v/>
      </c>
      <c r="M541">
        <f>IF($W541="","",IF(ISNUMBER(SEARCH("3&amp;12",SUBSTITUTE(F541," ",""))),Settings!$G$7,Settings!$C$7))</f>
        <v/>
      </c>
      <c r="N541" s="7">
        <f>IF($W541="","",SUMIFS('Per Line'!$O$2:$O$3001,'Per Line'!$B$2:$B$3001,$B541,'Per Line'!$AB$2:$AB$3001,0))</f>
        <v/>
      </c>
      <c r="O541" s="7">
        <f>IF($W541="","",N541*M541)</f>
        <v/>
      </c>
      <c r="P541">
        <f>IF($W541="","",IF(ISNUMBER(SEARCH("3&amp;12",SUBSTITUTE(F541," ",""))),Settings!$G$6,Settings!$C$6))</f>
        <v/>
      </c>
      <c r="Q541" s="7">
        <f>IF($W541="","",SUMIFS('Per Line'!$O$2:$O$3001,'Per Line'!$B$2:$B$3001,$B541,'Per Line'!$AB$2:$AB$3001,1))</f>
        <v/>
      </c>
      <c r="R541" s="7">
        <f>IF($W541="","",Q541*P541)</f>
        <v/>
      </c>
      <c r="S541" s="7">
        <f>IF($W541="","",R541+O541)</f>
        <v/>
      </c>
      <c r="T541" s="7">
        <f>IF($W541="","",V541-S541)</f>
        <v/>
      </c>
      <c r="U541" s="7">
        <f>IF($W541="","",V541-S541-K541)</f>
        <v/>
      </c>
      <c r="V541" s="7">
        <f>IF($W541="","",N541+Q541)</f>
        <v/>
      </c>
      <c r="W541" s="16">
        <f>IF(ROWS($W$2:$W541)&lt;=MAX('Per Line'!$AA$2:$AA$3001),MATCH(ROWS($W$2:$W541),'Per Line'!$AA$2:$AA$3001,0),"")</f>
        <v/>
      </c>
      <c r="X541">
        <f>IF($W541="","",D541&amp;"|"&amp;COUNTIF($D$2:$D541,D541))</f>
        <v/>
      </c>
    </row>
    <row r="542">
      <c r="A542" s="15" t="n"/>
      <c r="B542">
        <f>IF($W542="","",INDEX('Per Line'!$B$2:$B$3001,$W542)&amp;"")</f>
        <v/>
      </c>
      <c r="C542">
        <f>IF($W542="","",INDEX('Per Line'!$C$2:$C$3001,$W542)&amp;"")</f>
        <v/>
      </c>
      <c r="D542">
        <f>IF($W542="","",IF(OR(TRIM(E542)="Orient Insurance Company",TRIM(E542)="Allianz"),TRIM(E542),TRIM(F542)))</f>
        <v/>
      </c>
      <c r="E542">
        <f>IF($W542="","",INDEX('Per Line'!$E$2:$E$3001,$W542)&amp;"")</f>
        <v/>
      </c>
      <c r="F542">
        <f>IF($W542="","",INDEX('Per Line'!$D$2:$D$3001,$W542)&amp;"")</f>
        <v/>
      </c>
      <c r="G542">
        <f>IF($W542="","",INDEX('Per Line'!$F$2:$F$3001,$W542)&amp;"")</f>
        <v/>
      </c>
      <c r="H542">
        <f>IF($W542="","",INDEX('Per Line'!$G$2:$G$3001,$W542)&amp;"")</f>
        <v/>
      </c>
      <c r="I542">
        <f>IF($W542="","",INDEX('Per Line'!$H$2:$H$3001,$W542)&amp;"")</f>
        <v/>
      </c>
      <c r="J542">
        <f>IF($W542="","",INDEX('Per Line'!$I$2:$I$3001,$W542))</f>
        <v/>
      </c>
      <c r="K542" s="7">
        <f>IF($W542="","",J542*T542/100)</f>
        <v/>
      </c>
      <c r="L542" s="14">
        <f>IF($W542="","",INDEX('Per Line'!$V$2:$V$3001,$W542))</f>
        <v/>
      </c>
      <c r="M542">
        <f>IF($W542="","",IF(ISNUMBER(SEARCH("3&amp;12",SUBSTITUTE(F542," ",""))),Settings!$G$7,Settings!$C$7))</f>
        <v/>
      </c>
      <c r="N542" s="7">
        <f>IF($W542="","",SUMIFS('Per Line'!$O$2:$O$3001,'Per Line'!$B$2:$B$3001,$B542,'Per Line'!$AB$2:$AB$3001,0))</f>
        <v/>
      </c>
      <c r="O542" s="7">
        <f>IF($W542="","",N542*M542)</f>
        <v/>
      </c>
      <c r="P542">
        <f>IF($W542="","",IF(ISNUMBER(SEARCH("3&amp;12",SUBSTITUTE(F542," ",""))),Settings!$G$6,Settings!$C$6))</f>
        <v/>
      </c>
      <c r="Q542" s="7">
        <f>IF($W542="","",SUMIFS('Per Line'!$O$2:$O$3001,'Per Line'!$B$2:$B$3001,$B542,'Per Line'!$AB$2:$AB$3001,1))</f>
        <v/>
      </c>
      <c r="R542" s="7">
        <f>IF($W542="","",Q542*P542)</f>
        <v/>
      </c>
      <c r="S542" s="7">
        <f>IF($W542="","",R542+O542)</f>
        <v/>
      </c>
      <c r="T542" s="7">
        <f>IF($W542="","",V542-S542)</f>
        <v/>
      </c>
      <c r="U542" s="7">
        <f>IF($W542="","",V542-S542-K542)</f>
        <v/>
      </c>
      <c r="V542" s="7">
        <f>IF($W542="","",N542+Q542)</f>
        <v/>
      </c>
      <c r="W542" s="16">
        <f>IF(ROWS($W$2:$W542)&lt;=MAX('Per Line'!$AA$2:$AA$3001),MATCH(ROWS($W$2:$W542),'Per Line'!$AA$2:$AA$3001,0),"")</f>
        <v/>
      </c>
      <c r="X542">
        <f>IF($W542="","",D542&amp;"|"&amp;COUNTIF($D$2:$D542,D542))</f>
        <v/>
      </c>
    </row>
    <row r="543">
      <c r="A543" s="15" t="n"/>
      <c r="B543">
        <f>IF($W543="","",INDEX('Per Line'!$B$2:$B$3001,$W543)&amp;"")</f>
        <v/>
      </c>
      <c r="C543">
        <f>IF($W543="","",INDEX('Per Line'!$C$2:$C$3001,$W543)&amp;"")</f>
        <v/>
      </c>
      <c r="D543">
        <f>IF($W543="","",IF(OR(TRIM(E543)="Orient Insurance Company",TRIM(E543)="Allianz"),TRIM(E543),TRIM(F543)))</f>
        <v/>
      </c>
      <c r="E543">
        <f>IF($W543="","",INDEX('Per Line'!$E$2:$E$3001,$W543)&amp;"")</f>
        <v/>
      </c>
      <c r="F543">
        <f>IF($W543="","",INDEX('Per Line'!$D$2:$D$3001,$W543)&amp;"")</f>
        <v/>
      </c>
      <c r="G543">
        <f>IF($W543="","",INDEX('Per Line'!$F$2:$F$3001,$W543)&amp;"")</f>
        <v/>
      </c>
      <c r="H543">
        <f>IF($W543="","",INDEX('Per Line'!$G$2:$G$3001,$W543)&amp;"")</f>
        <v/>
      </c>
      <c r="I543">
        <f>IF($W543="","",INDEX('Per Line'!$H$2:$H$3001,$W543)&amp;"")</f>
        <v/>
      </c>
      <c r="J543">
        <f>IF($W543="","",INDEX('Per Line'!$I$2:$I$3001,$W543))</f>
        <v/>
      </c>
      <c r="K543" s="7">
        <f>IF($W543="","",J543*T543/100)</f>
        <v/>
      </c>
      <c r="L543" s="14">
        <f>IF($W543="","",INDEX('Per Line'!$V$2:$V$3001,$W543))</f>
        <v/>
      </c>
      <c r="M543">
        <f>IF($W543="","",IF(ISNUMBER(SEARCH("3&amp;12",SUBSTITUTE(F543," ",""))),Settings!$G$7,Settings!$C$7))</f>
        <v/>
      </c>
      <c r="N543" s="7">
        <f>IF($W543="","",SUMIFS('Per Line'!$O$2:$O$3001,'Per Line'!$B$2:$B$3001,$B543,'Per Line'!$AB$2:$AB$3001,0))</f>
        <v/>
      </c>
      <c r="O543" s="7">
        <f>IF($W543="","",N543*M543)</f>
        <v/>
      </c>
      <c r="P543">
        <f>IF($W543="","",IF(ISNUMBER(SEARCH("3&amp;12",SUBSTITUTE(F543," ",""))),Settings!$G$6,Settings!$C$6))</f>
        <v/>
      </c>
      <c r="Q543" s="7">
        <f>IF($W543="","",SUMIFS('Per Line'!$O$2:$O$3001,'Per Line'!$B$2:$B$3001,$B543,'Per Line'!$AB$2:$AB$3001,1))</f>
        <v/>
      </c>
      <c r="R543" s="7">
        <f>IF($W543="","",Q543*P543)</f>
        <v/>
      </c>
      <c r="S543" s="7">
        <f>IF($W543="","",R543+O543)</f>
        <v/>
      </c>
      <c r="T543" s="7">
        <f>IF($W543="","",V543-S543)</f>
        <v/>
      </c>
      <c r="U543" s="7">
        <f>IF($W543="","",V543-S543-K543)</f>
        <v/>
      </c>
      <c r="V543" s="7">
        <f>IF($W543="","",N543+Q543)</f>
        <v/>
      </c>
      <c r="W543" s="16">
        <f>IF(ROWS($W$2:$W543)&lt;=MAX('Per Line'!$AA$2:$AA$3001),MATCH(ROWS($W$2:$W543),'Per Line'!$AA$2:$AA$3001,0),"")</f>
        <v/>
      </c>
      <c r="X543">
        <f>IF($W543="","",D543&amp;"|"&amp;COUNTIF($D$2:$D543,D543))</f>
        <v/>
      </c>
    </row>
    <row r="544">
      <c r="A544" s="15" t="n"/>
      <c r="B544">
        <f>IF($W544="","",INDEX('Per Line'!$B$2:$B$3001,$W544)&amp;"")</f>
        <v/>
      </c>
      <c r="C544">
        <f>IF($W544="","",INDEX('Per Line'!$C$2:$C$3001,$W544)&amp;"")</f>
        <v/>
      </c>
      <c r="D544">
        <f>IF($W544="","",IF(OR(TRIM(E544)="Orient Insurance Company",TRIM(E544)="Allianz"),TRIM(E544),TRIM(F544)))</f>
        <v/>
      </c>
      <c r="E544">
        <f>IF($W544="","",INDEX('Per Line'!$E$2:$E$3001,$W544)&amp;"")</f>
        <v/>
      </c>
      <c r="F544">
        <f>IF($W544="","",INDEX('Per Line'!$D$2:$D$3001,$W544)&amp;"")</f>
        <v/>
      </c>
      <c r="G544">
        <f>IF($W544="","",INDEX('Per Line'!$F$2:$F$3001,$W544)&amp;"")</f>
        <v/>
      </c>
      <c r="H544">
        <f>IF($W544="","",INDEX('Per Line'!$G$2:$G$3001,$W544)&amp;"")</f>
        <v/>
      </c>
      <c r="I544">
        <f>IF($W544="","",INDEX('Per Line'!$H$2:$H$3001,$W544)&amp;"")</f>
        <v/>
      </c>
      <c r="J544">
        <f>IF($W544="","",INDEX('Per Line'!$I$2:$I$3001,$W544))</f>
        <v/>
      </c>
      <c r="K544" s="7">
        <f>IF($W544="","",J544*T544/100)</f>
        <v/>
      </c>
      <c r="L544" s="14">
        <f>IF($W544="","",INDEX('Per Line'!$V$2:$V$3001,$W544))</f>
        <v/>
      </c>
      <c r="M544">
        <f>IF($W544="","",IF(ISNUMBER(SEARCH("3&amp;12",SUBSTITUTE(F544," ",""))),Settings!$G$7,Settings!$C$7))</f>
        <v/>
      </c>
      <c r="N544" s="7">
        <f>IF($W544="","",SUMIFS('Per Line'!$O$2:$O$3001,'Per Line'!$B$2:$B$3001,$B544,'Per Line'!$AB$2:$AB$3001,0))</f>
        <v/>
      </c>
      <c r="O544" s="7">
        <f>IF($W544="","",N544*M544)</f>
        <v/>
      </c>
      <c r="P544">
        <f>IF($W544="","",IF(ISNUMBER(SEARCH("3&amp;12",SUBSTITUTE(F544," ",""))),Settings!$G$6,Settings!$C$6))</f>
        <v/>
      </c>
      <c r="Q544" s="7">
        <f>IF($W544="","",SUMIFS('Per Line'!$O$2:$O$3001,'Per Line'!$B$2:$B$3001,$B544,'Per Line'!$AB$2:$AB$3001,1))</f>
        <v/>
      </c>
      <c r="R544" s="7">
        <f>IF($W544="","",Q544*P544)</f>
        <v/>
      </c>
      <c r="S544" s="7">
        <f>IF($W544="","",R544+O544)</f>
        <v/>
      </c>
      <c r="T544" s="7">
        <f>IF($W544="","",V544-S544)</f>
        <v/>
      </c>
      <c r="U544" s="7">
        <f>IF($W544="","",V544-S544-K544)</f>
        <v/>
      </c>
      <c r="V544" s="7">
        <f>IF($W544="","",N544+Q544)</f>
        <v/>
      </c>
      <c r="W544" s="16">
        <f>IF(ROWS($W$2:$W544)&lt;=MAX('Per Line'!$AA$2:$AA$3001),MATCH(ROWS($W$2:$W544),'Per Line'!$AA$2:$AA$3001,0),"")</f>
        <v/>
      </c>
      <c r="X544">
        <f>IF($W544="","",D544&amp;"|"&amp;COUNTIF($D$2:$D544,D544))</f>
        <v/>
      </c>
    </row>
    <row r="545">
      <c r="A545" s="15" t="n"/>
      <c r="B545">
        <f>IF($W545="","",INDEX('Per Line'!$B$2:$B$3001,$W545)&amp;"")</f>
        <v/>
      </c>
      <c r="C545">
        <f>IF($W545="","",INDEX('Per Line'!$C$2:$C$3001,$W545)&amp;"")</f>
        <v/>
      </c>
      <c r="D545">
        <f>IF($W545="","",IF(OR(TRIM(E545)="Orient Insurance Company",TRIM(E545)="Allianz"),TRIM(E545),TRIM(F545)))</f>
        <v/>
      </c>
      <c r="E545">
        <f>IF($W545="","",INDEX('Per Line'!$E$2:$E$3001,$W545)&amp;"")</f>
        <v/>
      </c>
      <c r="F545">
        <f>IF($W545="","",INDEX('Per Line'!$D$2:$D$3001,$W545)&amp;"")</f>
        <v/>
      </c>
      <c r="G545">
        <f>IF($W545="","",INDEX('Per Line'!$F$2:$F$3001,$W545)&amp;"")</f>
        <v/>
      </c>
      <c r="H545">
        <f>IF($W545="","",INDEX('Per Line'!$G$2:$G$3001,$W545)&amp;"")</f>
        <v/>
      </c>
      <c r="I545">
        <f>IF($W545="","",INDEX('Per Line'!$H$2:$H$3001,$W545)&amp;"")</f>
        <v/>
      </c>
      <c r="J545">
        <f>IF($W545="","",INDEX('Per Line'!$I$2:$I$3001,$W545))</f>
        <v/>
      </c>
      <c r="K545" s="7">
        <f>IF($W545="","",J545*T545/100)</f>
        <v/>
      </c>
      <c r="L545" s="14">
        <f>IF($W545="","",INDEX('Per Line'!$V$2:$V$3001,$W545))</f>
        <v/>
      </c>
      <c r="M545">
        <f>IF($W545="","",IF(ISNUMBER(SEARCH("3&amp;12",SUBSTITUTE(F545," ",""))),Settings!$G$7,Settings!$C$7))</f>
        <v/>
      </c>
      <c r="N545" s="7">
        <f>IF($W545="","",SUMIFS('Per Line'!$O$2:$O$3001,'Per Line'!$B$2:$B$3001,$B545,'Per Line'!$AB$2:$AB$3001,0))</f>
        <v/>
      </c>
      <c r="O545" s="7">
        <f>IF($W545="","",N545*M545)</f>
        <v/>
      </c>
      <c r="P545">
        <f>IF($W545="","",IF(ISNUMBER(SEARCH("3&amp;12",SUBSTITUTE(F545," ",""))),Settings!$G$6,Settings!$C$6))</f>
        <v/>
      </c>
      <c r="Q545" s="7">
        <f>IF($W545="","",SUMIFS('Per Line'!$O$2:$O$3001,'Per Line'!$B$2:$B$3001,$B545,'Per Line'!$AB$2:$AB$3001,1))</f>
        <v/>
      </c>
      <c r="R545" s="7">
        <f>IF($W545="","",Q545*P545)</f>
        <v/>
      </c>
      <c r="S545" s="7">
        <f>IF($W545="","",R545+O545)</f>
        <v/>
      </c>
      <c r="T545" s="7">
        <f>IF($W545="","",V545-S545)</f>
        <v/>
      </c>
      <c r="U545" s="7">
        <f>IF($W545="","",V545-S545-K545)</f>
        <v/>
      </c>
      <c r="V545" s="7">
        <f>IF($W545="","",N545+Q545)</f>
        <v/>
      </c>
      <c r="W545" s="16">
        <f>IF(ROWS($W$2:$W545)&lt;=MAX('Per Line'!$AA$2:$AA$3001),MATCH(ROWS($W$2:$W545),'Per Line'!$AA$2:$AA$3001,0),"")</f>
        <v/>
      </c>
      <c r="X545">
        <f>IF($W545="","",D545&amp;"|"&amp;COUNTIF($D$2:$D545,D545))</f>
        <v/>
      </c>
    </row>
    <row r="546">
      <c r="A546" s="15" t="n"/>
      <c r="B546">
        <f>IF($W546="","",INDEX('Per Line'!$B$2:$B$3001,$W546)&amp;"")</f>
        <v/>
      </c>
      <c r="C546">
        <f>IF($W546="","",INDEX('Per Line'!$C$2:$C$3001,$W546)&amp;"")</f>
        <v/>
      </c>
      <c r="D546">
        <f>IF($W546="","",IF(OR(TRIM(E546)="Orient Insurance Company",TRIM(E546)="Allianz"),TRIM(E546),TRIM(F546)))</f>
        <v/>
      </c>
      <c r="E546">
        <f>IF($W546="","",INDEX('Per Line'!$E$2:$E$3001,$W546)&amp;"")</f>
        <v/>
      </c>
      <c r="F546">
        <f>IF($W546="","",INDEX('Per Line'!$D$2:$D$3001,$W546)&amp;"")</f>
        <v/>
      </c>
      <c r="G546">
        <f>IF($W546="","",INDEX('Per Line'!$F$2:$F$3001,$W546)&amp;"")</f>
        <v/>
      </c>
      <c r="H546">
        <f>IF($W546="","",INDEX('Per Line'!$G$2:$G$3001,$W546)&amp;"")</f>
        <v/>
      </c>
      <c r="I546">
        <f>IF($W546="","",INDEX('Per Line'!$H$2:$H$3001,$W546)&amp;"")</f>
        <v/>
      </c>
      <c r="J546">
        <f>IF($W546="","",INDEX('Per Line'!$I$2:$I$3001,$W546))</f>
        <v/>
      </c>
      <c r="K546" s="7">
        <f>IF($W546="","",J546*T546/100)</f>
        <v/>
      </c>
      <c r="L546" s="14">
        <f>IF($W546="","",INDEX('Per Line'!$V$2:$V$3001,$W546))</f>
        <v/>
      </c>
      <c r="M546">
        <f>IF($W546="","",IF(ISNUMBER(SEARCH("3&amp;12",SUBSTITUTE(F546," ",""))),Settings!$G$7,Settings!$C$7))</f>
        <v/>
      </c>
      <c r="N546" s="7">
        <f>IF($W546="","",SUMIFS('Per Line'!$O$2:$O$3001,'Per Line'!$B$2:$B$3001,$B546,'Per Line'!$AB$2:$AB$3001,0))</f>
        <v/>
      </c>
      <c r="O546" s="7">
        <f>IF($W546="","",N546*M546)</f>
        <v/>
      </c>
      <c r="P546">
        <f>IF($W546="","",IF(ISNUMBER(SEARCH("3&amp;12",SUBSTITUTE(F546," ",""))),Settings!$G$6,Settings!$C$6))</f>
        <v/>
      </c>
      <c r="Q546" s="7">
        <f>IF($W546="","",SUMIFS('Per Line'!$O$2:$O$3001,'Per Line'!$B$2:$B$3001,$B546,'Per Line'!$AB$2:$AB$3001,1))</f>
        <v/>
      </c>
      <c r="R546" s="7">
        <f>IF($W546="","",Q546*P546)</f>
        <v/>
      </c>
      <c r="S546" s="7">
        <f>IF($W546="","",R546+O546)</f>
        <v/>
      </c>
      <c r="T546" s="7">
        <f>IF($W546="","",V546-S546)</f>
        <v/>
      </c>
      <c r="U546" s="7">
        <f>IF($W546="","",V546-S546-K546)</f>
        <v/>
      </c>
      <c r="V546" s="7">
        <f>IF($W546="","",N546+Q546)</f>
        <v/>
      </c>
      <c r="W546" s="16">
        <f>IF(ROWS($W$2:$W546)&lt;=MAX('Per Line'!$AA$2:$AA$3001),MATCH(ROWS($W$2:$W546),'Per Line'!$AA$2:$AA$3001,0),"")</f>
        <v/>
      </c>
      <c r="X546">
        <f>IF($W546="","",D546&amp;"|"&amp;COUNTIF($D$2:$D546,D546))</f>
        <v/>
      </c>
    </row>
    <row r="547">
      <c r="A547" s="15" t="n"/>
      <c r="B547">
        <f>IF($W547="","",INDEX('Per Line'!$B$2:$B$3001,$W547)&amp;"")</f>
        <v/>
      </c>
      <c r="C547">
        <f>IF($W547="","",INDEX('Per Line'!$C$2:$C$3001,$W547)&amp;"")</f>
        <v/>
      </c>
      <c r="D547">
        <f>IF($W547="","",IF(OR(TRIM(E547)="Orient Insurance Company",TRIM(E547)="Allianz"),TRIM(E547),TRIM(F547)))</f>
        <v/>
      </c>
      <c r="E547">
        <f>IF($W547="","",INDEX('Per Line'!$E$2:$E$3001,$W547)&amp;"")</f>
        <v/>
      </c>
      <c r="F547">
        <f>IF($W547="","",INDEX('Per Line'!$D$2:$D$3001,$W547)&amp;"")</f>
        <v/>
      </c>
      <c r="G547">
        <f>IF($W547="","",INDEX('Per Line'!$F$2:$F$3001,$W547)&amp;"")</f>
        <v/>
      </c>
      <c r="H547">
        <f>IF($W547="","",INDEX('Per Line'!$G$2:$G$3001,$W547)&amp;"")</f>
        <v/>
      </c>
      <c r="I547">
        <f>IF($W547="","",INDEX('Per Line'!$H$2:$H$3001,$W547)&amp;"")</f>
        <v/>
      </c>
      <c r="J547">
        <f>IF($W547="","",INDEX('Per Line'!$I$2:$I$3001,$W547))</f>
        <v/>
      </c>
      <c r="K547" s="7">
        <f>IF($W547="","",J547*T547/100)</f>
        <v/>
      </c>
      <c r="L547" s="14">
        <f>IF($W547="","",INDEX('Per Line'!$V$2:$V$3001,$W547))</f>
        <v/>
      </c>
      <c r="M547">
        <f>IF($W547="","",IF(ISNUMBER(SEARCH("3&amp;12",SUBSTITUTE(F547," ",""))),Settings!$G$7,Settings!$C$7))</f>
        <v/>
      </c>
      <c r="N547" s="7">
        <f>IF($W547="","",SUMIFS('Per Line'!$O$2:$O$3001,'Per Line'!$B$2:$B$3001,$B547,'Per Line'!$AB$2:$AB$3001,0))</f>
        <v/>
      </c>
      <c r="O547" s="7">
        <f>IF($W547="","",N547*M547)</f>
        <v/>
      </c>
      <c r="P547">
        <f>IF($W547="","",IF(ISNUMBER(SEARCH("3&amp;12",SUBSTITUTE(F547," ",""))),Settings!$G$6,Settings!$C$6))</f>
        <v/>
      </c>
      <c r="Q547" s="7">
        <f>IF($W547="","",SUMIFS('Per Line'!$O$2:$O$3001,'Per Line'!$B$2:$B$3001,$B547,'Per Line'!$AB$2:$AB$3001,1))</f>
        <v/>
      </c>
      <c r="R547" s="7">
        <f>IF($W547="","",Q547*P547)</f>
        <v/>
      </c>
      <c r="S547" s="7">
        <f>IF($W547="","",R547+O547)</f>
        <v/>
      </c>
      <c r="T547" s="7">
        <f>IF($W547="","",V547-S547)</f>
        <v/>
      </c>
      <c r="U547" s="7">
        <f>IF($W547="","",V547-S547-K547)</f>
        <v/>
      </c>
      <c r="V547" s="7">
        <f>IF($W547="","",N547+Q547)</f>
        <v/>
      </c>
      <c r="W547" s="16">
        <f>IF(ROWS($W$2:$W547)&lt;=MAX('Per Line'!$AA$2:$AA$3001),MATCH(ROWS($W$2:$W547),'Per Line'!$AA$2:$AA$3001,0),"")</f>
        <v/>
      </c>
      <c r="X547">
        <f>IF($W547="","",D547&amp;"|"&amp;COUNTIF($D$2:$D547,D547))</f>
        <v/>
      </c>
    </row>
    <row r="548">
      <c r="A548" s="15" t="n"/>
      <c r="B548">
        <f>IF($W548="","",INDEX('Per Line'!$B$2:$B$3001,$W548)&amp;"")</f>
        <v/>
      </c>
      <c r="C548">
        <f>IF($W548="","",INDEX('Per Line'!$C$2:$C$3001,$W548)&amp;"")</f>
        <v/>
      </c>
      <c r="D548">
        <f>IF($W548="","",IF(OR(TRIM(E548)="Orient Insurance Company",TRIM(E548)="Allianz"),TRIM(E548),TRIM(F548)))</f>
        <v/>
      </c>
      <c r="E548">
        <f>IF($W548="","",INDEX('Per Line'!$E$2:$E$3001,$W548)&amp;"")</f>
        <v/>
      </c>
      <c r="F548">
        <f>IF($W548="","",INDEX('Per Line'!$D$2:$D$3001,$W548)&amp;"")</f>
        <v/>
      </c>
      <c r="G548">
        <f>IF($W548="","",INDEX('Per Line'!$F$2:$F$3001,$W548)&amp;"")</f>
        <v/>
      </c>
      <c r="H548">
        <f>IF($W548="","",INDEX('Per Line'!$G$2:$G$3001,$W548)&amp;"")</f>
        <v/>
      </c>
      <c r="I548">
        <f>IF($W548="","",INDEX('Per Line'!$H$2:$H$3001,$W548)&amp;"")</f>
        <v/>
      </c>
      <c r="J548">
        <f>IF($W548="","",INDEX('Per Line'!$I$2:$I$3001,$W548))</f>
        <v/>
      </c>
      <c r="K548" s="7">
        <f>IF($W548="","",J548*T548/100)</f>
        <v/>
      </c>
      <c r="L548" s="14">
        <f>IF($W548="","",INDEX('Per Line'!$V$2:$V$3001,$W548))</f>
        <v/>
      </c>
      <c r="M548">
        <f>IF($W548="","",IF(ISNUMBER(SEARCH("3&amp;12",SUBSTITUTE(F548," ",""))),Settings!$G$7,Settings!$C$7))</f>
        <v/>
      </c>
      <c r="N548" s="7">
        <f>IF($W548="","",SUMIFS('Per Line'!$O$2:$O$3001,'Per Line'!$B$2:$B$3001,$B548,'Per Line'!$AB$2:$AB$3001,0))</f>
        <v/>
      </c>
      <c r="O548" s="7">
        <f>IF($W548="","",N548*M548)</f>
        <v/>
      </c>
      <c r="P548">
        <f>IF($W548="","",IF(ISNUMBER(SEARCH("3&amp;12",SUBSTITUTE(F548," ",""))),Settings!$G$6,Settings!$C$6))</f>
        <v/>
      </c>
      <c r="Q548" s="7">
        <f>IF($W548="","",SUMIFS('Per Line'!$O$2:$O$3001,'Per Line'!$B$2:$B$3001,$B548,'Per Line'!$AB$2:$AB$3001,1))</f>
        <v/>
      </c>
      <c r="R548" s="7">
        <f>IF($W548="","",Q548*P548)</f>
        <v/>
      </c>
      <c r="S548" s="7">
        <f>IF($W548="","",R548+O548)</f>
        <v/>
      </c>
      <c r="T548" s="7">
        <f>IF($W548="","",V548-S548)</f>
        <v/>
      </c>
      <c r="U548" s="7">
        <f>IF($W548="","",V548-S548-K548)</f>
        <v/>
      </c>
      <c r="V548" s="7">
        <f>IF($W548="","",N548+Q548)</f>
        <v/>
      </c>
      <c r="W548" s="16">
        <f>IF(ROWS($W$2:$W548)&lt;=MAX('Per Line'!$AA$2:$AA$3001),MATCH(ROWS($W$2:$W548),'Per Line'!$AA$2:$AA$3001,0),"")</f>
        <v/>
      </c>
      <c r="X548">
        <f>IF($W548="","",D548&amp;"|"&amp;COUNTIF($D$2:$D548,D548))</f>
        <v/>
      </c>
    </row>
    <row r="549">
      <c r="A549" s="15" t="n"/>
      <c r="B549">
        <f>IF($W549="","",INDEX('Per Line'!$B$2:$B$3001,$W549)&amp;"")</f>
        <v/>
      </c>
      <c r="C549">
        <f>IF($W549="","",INDEX('Per Line'!$C$2:$C$3001,$W549)&amp;"")</f>
        <v/>
      </c>
      <c r="D549">
        <f>IF($W549="","",IF(OR(TRIM(E549)="Orient Insurance Company",TRIM(E549)="Allianz"),TRIM(E549),TRIM(F549)))</f>
        <v/>
      </c>
      <c r="E549">
        <f>IF($W549="","",INDEX('Per Line'!$E$2:$E$3001,$W549)&amp;"")</f>
        <v/>
      </c>
      <c r="F549">
        <f>IF($W549="","",INDEX('Per Line'!$D$2:$D$3001,$W549)&amp;"")</f>
        <v/>
      </c>
      <c r="G549">
        <f>IF($W549="","",INDEX('Per Line'!$F$2:$F$3001,$W549)&amp;"")</f>
        <v/>
      </c>
      <c r="H549">
        <f>IF($W549="","",INDEX('Per Line'!$G$2:$G$3001,$W549)&amp;"")</f>
        <v/>
      </c>
      <c r="I549">
        <f>IF($W549="","",INDEX('Per Line'!$H$2:$H$3001,$W549)&amp;"")</f>
        <v/>
      </c>
      <c r="J549">
        <f>IF($W549="","",INDEX('Per Line'!$I$2:$I$3001,$W549))</f>
        <v/>
      </c>
      <c r="K549" s="7">
        <f>IF($W549="","",J549*T549/100)</f>
        <v/>
      </c>
      <c r="L549" s="14">
        <f>IF($W549="","",INDEX('Per Line'!$V$2:$V$3001,$W549))</f>
        <v/>
      </c>
      <c r="M549">
        <f>IF($W549="","",IF(ISNUMBER(SEARCH("3&amp;12",SUBSTITUTE(F549," ",""))),Settings!$G$7,Settings!$C$7))</f>
        <v/>
      </c>
      <c r="N549" s="7">
        <f>IF($W549="","",SUMIFS('Per Line'!$O$2:$O$3001,'Per Line'!$B$2:$B$3001,$B549,'Per Line'!$AB$2:$AB$3001,0))</f>
        <v/>
      </c>
      <c r="O549" s="7">
        <f>IF($W549="","",N549*M549)</f>
        <v/>
      </c>
      <c r="P549">
        <f>IF($W549="","",IF(ISNUMBER(SEARCH("3&amp;12",SUBSTITUTE(F549," ",""))),Settings!$G$6,Settings!$C$6))</f>
        <v/>
      </c>
      <c r="Q549" s="7">
        <f>IF($W549="","",SUMIFS('Per Line'!$O$2:$O$3001,'Per Line'!$B$2:$B$3001,$B549,'Per Line'!$AB$2:$AB$3001,1))</f>
        <v/>
      </c>
      <c r="R549" s="7">
        <f>IF($W549="","",Q549*P549)</f>
        <v/>
      </c>
      <c r="S549" s="7">
        <f>IF($W549="","",R549+O549)</f>
        <v/>
      </c>
      <c r="T549" s="7">
        <f>IF($W549="","",V549-S549)</f>
        <v/>
      </c>
      <c r="U549" s="7">
        <f>IF($W549="","",V549-S549-K549)</f>
        <v/>
      </c>
      <c r="V549" s="7">
        <f>IF($W549="","",N549+Q549)</f>
        <v/>
      </c>
      <c r="W549" s="16">
        <f>IF(ROWS($W$2:$W549)&lt;=MAX('Per Line'!$AA$2:$AA$3001),MATCH(ROWS($W$2:$W549),'Per Line'!$AA$2:$AA$3001,0),"")</f>
        <v/>
      </c>
      <c r="X549">
        <f>IF($W549="","",D549&amp;"|"&amp;COUNTIF($D$2:$D549,D549))</f>
        <v/>
      </c>
    </row>
    <row r="550">
      <c r="A550" s="15" t="n"/>
      <c r="B550">
        <f>IF($W550="","",INDEX('Per Line'!$B$2:$B$3001,$W550)&amp;"")</f>
        <v/>
      </c>
      <c r="C550">
        <f>IF($W550="","",INDEX('Per Line'!$C$2:$C$3001,$W550)&amp;"")</f>
        <v/>
      </c>
      <c r="D550">
        <f>IF($W550="","",IF(OR(TRIM(E550)="Orient Insurance Company",TRIM(E550)="Allianz"),TRIM(E550),TRIM(F550)))</f>
        <v/>
      </c>
      <c r="E550">
        <f>IF($W550="","",INDEX('Per Line'!$E$2:$E$3001,$W550)&amp;"")</f>
        <v/>
      </c>
      <c r="F550">
        <f>IF($W550="","",INDEX('Per Line'!$D$2:$D$3001,$W550)&amp;"")</f>
        <v/>
      </c>
      <c r="G550">
        <f>IF($W550="","",INDEX('Per Line'!$F$2:$F$3001,$W550)&amp;"")</f>
        <v/>
      </c>
      <c r="H550">
        <f>IF($W550="","",INDEX('Per Line'!$G$2:$G$3001,$W550)&amp;"")</f>
        <v/>
      </c>
      <c r="I550">
        <f>IF($W550="","",INDEX('Per Line'!$H$2:$H$3001,$W550)&amp;"")</f>
        <v/>
      </c>
      <c r="J550">
        <f>IF($W550="","",INDEX('Per Line'!$I$2:$I$3001,$W550))</f>
        <v/>
      </c>
      <c r="K550" s="7">
        <f>IF($W550="","",J550*T550/100)</f>
        <v/>
      </c>
      <c r="L550" s="14">
        <f>IF($W550="","",INDEX('Per Line'!$V$2:$V$3001,$W550))</f>
        <v/>
      </c>
      <c r="M550">
        <f>IF($W550="","",IF(ISNUMBER(SEARCH("3&amp;12",SUBSTITUTE(F550," ",""))),Settings!$G$7,Settings!$C$7))</f>
        <v/>
      </c>
      <c r="N550" s="7">
        <f>IF($W550="","",SUMIFS('Per Line'!$O$2:$O$3001,'Per Line'!$B$2:$B$3001,$B550,'Per Line'!$AB$2:$AB$3001,0))</f>
        <v/>
      </c>
      <c r="O550" s="7">
        <f>IF($W550="","",N550*M550)</f>
        <v/>
      </c>
      <c r="P550">
        <f>IF($W550="","",IF(ISNUMBER(SEARCH("3&amp;12",SUBSTITUTE(F550," ",""))),Settings!$G$6,Settings!$C$6))</f>
        <v/>
      </c>
      <c r="Q550" s="7">
        <f>IF($W550="","",SUMIFS('Per Line'!$O$2:$O$3001,'Per Line'!$B$2:$B$3001,$B550,'Per Line'!$AB$2:$AB$3001,1))</f>
        <v/>
      </c>
      <c r="R550" s="7">
        <f>IF($W550="","",Q550*P550)</f>
        <v/>
      </c>
      <c r="S550" s="7">
        <f>IF($W550="","",R550+O550)</f>
        <v/>
      </c>
      <c r="T550" s="7">
        <f>IF($W550="","",V550-S550)</f>
        <v/>
      </c>
      <c r="U550" s="7">
        <f>IF($W550="","",V550-S550-K550)</f>
        <v/>
      </c>
      <c r="V550" s="7">
        <f>IF($W550="","",N550+Q550)</f>
        <v/>
      </c>
      <c r="W550" s="16">
        <f>IF(ROWS($W$2:$W550)&lt;=MAX('Per Line'!$AA$2:$AA$3001),MATCH(ROWS($W$2:$W550),'Per Line'!$AA$2:$AA$3001,0),"")</f>
        <v/>
      </c>
      <c r="X550">
        <f>IF($W550="","",D550&amp;"|"&amp;COUNTIF($D$2:$D550,D550))</f>
        <v/>
      </c>
    </row>
    <row r="551">
      <c r="A551" s="15" t="n"/>
      <c r="B551">
        <f>IF($W551="","",INDEX('Per Line'!$B$2:$B$3001,$W551)&amp;"")</f>
        <v/>
      </c>
      <c r="C551">
        <f>IF($W551="","",INDEX('Per Line'!$C$2:$C$3001,$W551)&amp;"")</f>
        <v/>
      </c>
      <c r="D551">
        <f>IF($W551="","",IF(OR(TRIM(E551)="Orient Insurance Company",TRIM(E551)="Allianz"),TRIM(E551),TRIM(F551)))</f>
        <v/>
      </c>
      <c r="E551">
        <f>IF($W551="","",INDEX('Per Line'!$E$2:$E$3001,$W551)&amp;"")</f>
        <v/>
      </c>
      <c r="F551">
        <f>IF($W551="","",INDEX('Per Line'!$D$2:$D$3001,$W551)&amp;"")</f>
        <v/>
      </c>
      <c r="G551">
        <f>IF($W551="","",INDEX('Per Line'!$F$2:$F$3001,$W551)&amp;"")</f>
        <v/>
      </c>
      <c r="H551">
        <f>IF($W551="","",INDEX('Per Line'!$G$2:$G$3001,$W551)&amp;"")</f>
        <v/>
      </c>
      <c r="I551">
        <f>IF($W551="","",INDEX('Per Line'!$H$2:$H$3001,$W551)&amp;"")</f>
        <v/>
      </c>
      <c r="J551">
        <f>IF($W551="","",INDEX('Per Line'!$I$2:$I$3001,$W551))</f>
        <v/>
      </c>
      <c r="K551" s="7">
        <f>IF($W551="","",J551*T551/100)</f>
        <v/>
      </c>
      <c r="L551" s="14">
        <f>IF($W551="","",INDEX('Per Line'!$V$2:$V$3001,$W551))</f>
        <v/>
      </c>
      <c r="M551">
        <f>IF($W551="","",IF(ISNUMBER(SEARCH("3&amp;12",SUBSTITUTE(F551," ",""))),Settings!$G$7,Settings!$C$7))</f>
        <v/>
      </c>
      <c r="N551" s="7">
        <f>IF($W551="","",SUMIFS('Per Line'!$O$2:$O$3001,'Per Line'!$B$2:$B$3001,$B551,'Per Line'!$AB$2:$AB$3001,0))</f>
        <v/>
      </c>
      <c r="O551" s="7">
        <f>IF($W551="","",N551*M551)</f>
        <v/>
      </c>
      <c r="P551">
        <f>IF($W551="","",IF(ISNUMBER(SEARCH("3&amp;12",SUBSTITUTE(F551," ",""))),Settings!$G$6,Settings!$C$6))</f>
        <v/>
      </c>
      <c r="Q551" s="7">
        <f>IF($W551="","",SUMIFS('Per Line'!$O$2:$O$3001,'Per Line'!$B$2:$B$3001,$B551,'Per Line'!$AB$2:$AB$3001,1))</f>
        <v/>
      </c>
      <c r="R551" s="7">
        <f>IF($W551="","",Q551*P551)</f>
        <v/>
      </c>
      <c r="S551" s="7">
        <f>IF($W551="","",R551+O551)</f>
        <v/>
      </c>
      <c r="T551" s="7">
        <f>IF($W551="","",V551-S551)</f>
        <v/>
      </c>
      <c r="U551" s="7">
        <f>IF($W551="","",V551-S551-K551)</f>
        <v/>
      </c>
      <c r="V551" s="7">
        <f>IF($W551="","",N551+Q551)</f>
        <v/>
      </c>
      <c r="W551" s="16">
        <f>IF(ROWS($W$2:$W551)&lt;=MAX('Per Line'!$AA$2:$AA$3001),MATCH(ROWS($W$2:$W551),'Per Line'!$AA$2:$AA$3001,0),"")</f>
        <v/>
      </c>
      <c r="X551">
        <f>IF($W551="","",D551&amp;"|"&amp;COUNTIF($D$2:$D551,D551))</f>
        <v/>
      </c>
    </row>
    <row r="552">
      <c r="A552" s="15" t="n"/>
      <c r="B552">
        <f>IF($W552="","",INDEX('Per Line'!$B$2:$B$3001,$W552)&amp;"")</f>
        <v/>
      </c>
      <c r="C552">
        <f>IF($W552="","",INDEX('Per Line'!$C$2:$C$3001,$W552)&amp;"")</f>
        <v/>
      </c>
      <c r="D552">
        <f>IF($W552="","",IF(OR(TRIM(E552)="Orient Insurance Company",TRIM(E552)="Allianz"),TRIM(E552),TRIM(F552)))</f>
        <v/>
      </c>
      <c r="E552">
        <f>IF($W552="","",INDEX('Per Line'!$E$2:$E$3001,$W552)&amp;"")</f>
        <v/>
      </c>
      <c r="F552">
        <f>IF($W552="","",INDEX('Per Line'!$D$2:$D$3001,$W552)&amp;"")</f>
        <v/>
      </c>
      <c r="G552">
        <f>IF($W552="","",INDEX('Per Line'!$F$2:$F$3001,$W552)&amp;"")</f>
        <v/>
      </c>
      <c r="H552">
        <f>IF($W552="","",INDEX('Per Line'!$G$2:$G$3001,$W552)&amp;"")</f>
        <v/>
      </c>
      <c r="I552">
        <f>IF($W552="","",INDEX('Per Line'!$H$2:$H$3001,$W552)&amp;"")</f>
        <v/>
      </c>
      <c r="J552">
        <f>IF($W552="","",INDEX('Per Line'!$I$2:$I$3001,$W552))</f>
        <v/>
      </c>
      <c r="K552" s="7">
        <f>IF($W552="","",J552*T552/100)</f>
        <v/>
      </c>
      <c r="L552" s="14">
        <f>IF($W552="","",INDEX('Per Line'!$V$2:$V$3001,$W552))</f>
        <v/>
      </c>
      <c r="M552">
        <f>IF($W552="","",IF(ISNUMBER(SEARCH("3&amp;12",SUBSTITUTE(F552," ",""))),Settings!$G$7,Settings!$C$7))</f>
        <v/>
      </c>
      <c r="N552" s="7">
        <f>IF($W552="","",SUMIFS('Per Line'!$O$2:$O$3001,'Per Line'!$B$2:$B$3001,$B552,'Per Line'!$AB$2:$AB$3001,0))</f>
        <v/>
      </c>
      <c r="O552" s="7">
        <f>IF($W552="","",N552*M552)</f>
        <v/>
      </c>
      <c r="P552">
        <f>IF($W552="","",IF(ISNUMBER(SEARCH("3&amp;12",SUBSTITUTE(F552," ",""))),Settings!$G$6,Settings!$C$6))</f>
        <v/>
      </c>
      <c r="Q552" s="7">
        <f>IF($W552="","",SUMIFS('Per Line'!$O$2:$O$3001,'Per Line'!$B$2:$B$3001,$B552,'Per Line'!$AB$2:$AB$3001,1))</f>
        <v/>
      </c>
      <c r="R552" s="7">
        <f>IF($W552="","",Q552*P552)</f>
        <v/>
      </c>
      <c r="S552" s="7">
        <f>IF($W552="","",R552+O552)</f>
        <v/>
      </c>
      <c r="T552" s="7">
        <f>IF($W552="","",V552-S552)</f>
        <v/>
      </c>
      <c r="U552" s="7">
        <f>IF($W552="","",V552-S552-K552)</f>
        <v/>
      </c>
      <c r="V552" s="7">
        <f>IF($W552="","",N552+Q552)</f>
        <v/>
      </c>
      <c r="W552" s="16">
        <f>IF(ROWS($W$2:$W552)&lt;=MAX('Per Line'!$AA$2:$AA$3001),MATCH(ROWS($W$2:$W552),'Per Line'!$AA$2:$AA$3001,0),"")</f>
        <v/>
      </c>
      <c r="X552">
        <f>IF($W552="","",D552&amp;"|"&amp;COUNTIF($D$2:$D552,D552))</f>
        <v/>
      </c>
    </row>
    <row r="553">
      <c r="A553" s="15" t="n"/>
      <c r="B553">
        <f>IF($W553="","",INDEX('Per Line'!$B$2:$B$3001,$W553)&amp;"")</f>
        <v/>
      </c>
      <c r="C553">
        <f>IF($W553="","",INDEX('Per Line'!$C$2:$C$3001,$W553)&amp;"")</f>
        <v/>
      </c>
      <c r="D553">
        <f>IF($W553="","",IF(OR(TRIM(E553)="Orient Insurance Company",TRIM(E553)="Allianz"),TRIM(E553),TRIM(F553)))</f>
        <v/>
      </c>
      <c r="E553">
        <f>IF($W553="","",INDEX('Per Line'!$E$2:$E$3001,$W553)&amp;"")</f>
        <v/>
      </c>
      <c r="F553">
        <f>IF($W553="","",INDEX('Per Line'!$D$2:$D$3001,$W553)&amp;"")</f>
        <v/>
      </c>
      <c r="G553">
        <f>IF($W553="","",INDEX('Per Line'!$F$2:$F$3001,$W553)&amp;"")</f>
        <v/>
      </c>
      <c r="H553">
        <f>IF($W553="","",INDEX('Per Line'!$G$2:$G$3001,$W553)&amp;"")</f>
        <v/>
      </c>
      <c r="I553">
        <f>IF($W553="","",INDEX('Per Line'!$H$2:$H$3001,$W553)&amp;"")</f>
        <v/>
      </c>
      <c r="J553">
        <f>IF($W553="","",INDEX('Per Line'!$I$2:$I$3001,$W553))</f>
        <v/>
      </c>
      <c r="K553" s="7">
        <f>IF($W553="","",J553*T553/100)</f>
        <v/>
      </c>
      <c r="L553" s="14">
        <f>IF($W553="","",INDEX('Per Line'!$V$2:$V$3001,$W553))</f>
        <v/>
      </c>
      <c r="M553">
        <f>IF($W553="","",IF(ISNUMBER(SEARCH("3&amp;12",SUBSTITUTE(F553," ",""))),Settings!$G$7,Settings!$C$7))</f>
        <v/>
      </c>
      <c r="N553" s="7">
        <f>IF($W553="","",SUMIFS('Per Line'!$O$2:$O$3001,'Per Line'!$B$2:$B$3001,$B553,'Per Line'!$AB$2:$AB$3001,0))</f>
        <v/>
      </c>
      <c r="O553" s="7">
        <f>IF($W553="","",N553*M553)</f>
        <v/>
      </c>
      <c r="P553">
        <f>IF($W553="","",IF(ISNUMBER(SEARCH("3&amp;12",SUBSTITUTE(F553," ",""))),Settings!$G$6,Settings!$C$6))</f>
        <v/>
      </c>
      <c r="Q553" s="7">
        <f>IF($W553="","",SUMIFS('Per Line'!$O$2:$O$3001,'Per Line'!$B$2:$B$3001,$B553,'Per Line'!$AB$2:$AB$3001,1))</f>
        <v/>
      </c>
      <c r="R553" s="7">
        <f>IF($W553="","",Q553*P553)</f>
        <v/>
      </c>
      <c r="S553" s="7">
        <f>IF($W553="","",R553+O553)</f>
        <v/>
      </c>
      <c r="T553" s="7">
        <f>IF($W553="","",V553-S553)</f>
        <v/>
      </c>
      <c r="U553" s="7">
        <f>IF($W553="","",V553-S553-K553)</f>
        <v/>
      </c>
      <c r="V553" s="7">
        <f>IF($W553="","",N553+Q553)</f>
        <v/>
      </c>
      <c r="W553" s="16">
        <f>IF(ROWS($W$2:$W553)&lt;=MAX('Per Line'!$AA$2:$AA$3001),MATCH(ROWS($W$2:$W553),'Per Line'!$AA$2:$AA$3001,0),"")</f>
        <v/>
      </c>
      <c r="X553">
        <f>IF($W553="","",D553&amp;"|"&amp;COUNTIF($D$2:$D553,D553))</f>
        <v/>
      </c>
    </row>
    <row r="554">
      <c r="A554" s="15" t="n"/>
      <c r="B554">
        <f>IF($W554="","",INDEX('Per Line'!$B$2:$B$3001,$W554)&amp;"")</f>
        <v/>
      </c>
      <c r="C554">
        <f>IF($W554="","",INDEX('Per Line'!$C$2:$C$3001,$W554)&amp;"")</f>
        <v/>
      </c>
      <c r="D554">
        <f>IF($W554="","",IF(OR(TRIM(E554)="Orient Insurance Company",TRIM(E554)="Allianz"),TRIM(E554),TRIM(F554)))</f>
        <v/>
      </c>
      <c r="E554">
        <f>IF($W554="","",INDEX('Per Line'!$E$2:$E$3001,$W554)&amp;"")</f>
        <v/>
      </c>
      <c r="F554">
        <f>IF($W554="","",INDEX('Per Line'!$D$2:$D$3001,$W554)&amp;"")</f>
        <v/>
      </c>
      <c r="G554">
        <f>IF($W554="","",INDEX('Per Line'!$F$2:$F$3001,$W554)&amp;"")</f>
        <v/>
      </c>
      <c r="H554">
        <f>IF($W554="","",INDEX('Per Line'!$G$2:$G$3001,$W554)&amp;"")</f>
        <v/>
      </c>
      <c r="I554">
        <f>IF($W554="","",INDEX('Per Line'!$H$2:$H$3001,$W554)&amp;"")</f>
        <v/>
      </c>
      <c r="J554">
        <f>IF($W554="","",INDEX('Per Line'!$I$2:$I$3001,$W554))</f>
        <v/>
      </c>
      <c r="K554" s="7">
        <f>IF($W554="","",J554*T554/100)</f>
        <v/>
      </c>
      <c r="L554" s="14">
        <f>IF($W554="","",INDEX('Per Line'!$V$2:$V$3001,$W554))</f>
        <v/>
      </c>
      <c r="M554">
        <f>IF($W554="","",IF(ISNUMBER(SEARCH("3&amp;12",SUBSTITUTE(F554," ",""))),Settings!$G$7,Settings!$C$7))</f>
        <v/>
      </c>
      <c r="N554" s="7">
        <f>IF($W554="","",SUMIFS('Per Line'!$O$2:$O$3001,'Per Line'!$B$2:$B$3001,$B554,'Per Line'!$AB$2:$AB$3001,0))</f>
        <v/>
      </c>
      <c r="O554" s="7">
        <f>IF($W554="","",N554*M554)</f>
        <v/>
      </c>
      <c r="P554">
        <f>IF($W554="","",IF(ISNUMBER(SEARCH("3&amp;12",SUBSTITUTE(F554," ",""))),Settings!$G$6,Settings!$C$6))</f>
        <v/>
      </c>
      <c r="Q554" s="7">
        <f>IF($W554="","",SUMIFS('Per Line'!$O$2:$O$3001,'Per Line'!$B$2:$B$3001,$B554,'Per Line'!$AB$2:$AB$3001,1))</f>
        <v/>
      </c>
      <c r="R554" s="7">
        <f>IF($W554="","",Q554*P554)</f>
        <v/>
      </c>
      <c r="S554" s="7">
        <f>IF($W554="","",R554+O554)</f>
        <v/>
      </c>
      <c r="T554" s="7">
        <f>IF($W554="","",V554-S554)</f>
        <v/>
      </c>
      <c r="U554" s="7">
        <f>IF($W554="","",V554-S554-K554)</f>
        <v/>
      </c>
      <c r="V554" s="7">
        <f>IF($W554="","",N554+Q554)</f>
        <v/>
      </c>
      <c r="W554" s="16">
        <f>IF(ROWS($W$2:$W554)&lt;=MAX('Per Line'!$AA$2:$AA$3001),MATCH(ROWS($W$2:$W554),'Per Line'!$AA$2:$AA$3001,0),"")</f>
        <v/>
      </c>
      <c r="X554">
        <f>IF($W554="","",D554&amp;"|"&amp;COUNTIF($D$2:$D554,D554))</f>
        <v/>
      </c>
    </row>
    <row r="555">
      <c r="A555" s="15" t="n"/>
      <c r="B555">
        <f>IF($W555="","",INDEX('Per Line'!$B$2:$B$3001,$W555)&amp;"")</f>
        <v/>
      </c>
      <c r="C555">
        <f>IF($W555="","",INDEX('Per Line'!$C$2:$C$3001,$W555)&amp;"")</f>
        <v/>
      </c>
      <c r="D555">
        <f>IF($W555="","",IF(OR(TRIM(E555)="Orient Insurance Company",TRIM(E555)="Allianz"),TRIM(E555),TRIM(F555)))</f>
        <v/>
      </c>
      <c r="E555">
        <f>IF($W555="","",INDEX('Per Line'!$E$2:$E$3001,$W555)&amp;"")</f>
        <v/>
      </c>
      <c r="F555">
        <f>IF($W555="","",INDEX('Per Line'!$D$2:$D$3001,$W555)&amp;"")</f>
        <v/>
      </c>
      <c r="G555">
        <f>IF($W555="","",INDEX('Per Line'!$F$2:$F$3001,$W555)&amp;"")</f>
        <v/>
      </c>
      <c r="H555">
        <f>IF($W555="","",INDEX('Per Line'!$G$2:$G$3001,$W555)&amp;"")</f>
        <v/>
      </c>
      <c r="I555">
        <f>IF($W555="","",INDEX('Per Line'!$H$2:$H$3001,$W555)&amp;"")</f>
        <v/>
      </c>
      <c r="J555">
        <f>IF($W555="","",INDEX('Per Line'!$I$2:$I$3001,$W555))</f>
        <v/>
      </c>
      <c r="K555" s="7">
        <f>IF($W555="","",J555*T555/100)</f>
        <v/>
      </c>
      <c r="L555" s="14">
        <f>IF($W555="","",INDEX('Per Line'!$V$2:$V$3001,$W555))</f>
        <v/>
      </c>
      <c r="M555">
        <f>IF($W555="","",IF(ISNUMBER(SEARCH("3&amp;12",SUBSTITUTE(F555," ",""))),Settings!$G$7,Settings!$C$7))</f>
        <v/>
      </c>
      <c r="N555" s="7">
        <f>IF($W555="","",SUMIFS('Per Line'!$O$2:$O$3001,'Per Line'!$B$2:$B$3001,$B555,'Per Line'!$AB$2:$AB$3001,0))</f>
        <v/>
      </c>
      <c r="O555" s="7">
        <f>IF($W555="","",N555*M555)</f>
        <v/>
      </c>
      <c r="P555">
        <f>IF($W555="","",IF(ISNUMBER(SEARCH("3&amp;12",SUBSTITUTE(F555," ",""))),Settings!$G$6,Settings!$C$6))</f>
        <v/>
      </c>
      <c r="Q555" s="7">
        <f>IF($W555="","",SUMIFS('Per Line'!$O$2:$O$3001,'Per Line'!$B$2:$B$3001,$B555,'Per Line'!$AB$2:$AB$3001,1))</f>
        <v/>
      </c>
      <c r="R555" s="7">
        <f>IF($W555="","",Q555*P555)</f>
        <v/>
      </c>
      <c r="S555" s="7">
        <f>IF($W555="","",R555+O555)</f>
        <v/>
      </c>
      <c r="T555" s="7">
        <f>IF($W555="","",V555-S555)</f>
        <v/>
      </c>
      <c r="U555" s="7">
        <f>IF($W555="","",V555-S555-K555)</f>
        <v/>
      </c>
      <c r="V555" s="7">
        <f>IF($W555="","",N555+Q555)</f>
        <v/>
      </c>
      <c r="W555" s="16">
        <f>IF(ROWS($W$2:$W555)&lt;=MAX('Per Line'!$AA$2:$AA$3001),MATCH(ROWS($W$2:$W555),'Per Line'!$AA$2:$AA$3001,0),"")</f>
        <v/>
      </c>
      <c r="X555">
        <f>IF($W555="","",D555&amp;"|"&amp;COUNTIF($D$2:$D555,D555))</f>
        <v/>
      </c>
    </row>
    <row r="556">
      <c r="A556" s="15" t="n"/>
      <c r="B556">
        <f>IF($W556="","",INDEX('Per Line'!$B$2:$B$3001,$W556)&amp;"")</f>
        <v/>
      </c>
      <c r="C556">
        <f>IF($W556="","",INDEX('Per Line'!$C$2:$C$3001,$W556)&amp;"")</f>
        <v/>
      </c>
      <c r="D556">
        <f>IF($W556="","",IF(OR(TRIM(E556)="Orient Insurance Company",TRIM(E556)="Allianz"),TRIM(E556),TRIM(F556)))</f>
        <v/>
      </c>
      <c r="E556">
        <f>IF($W556="","",INDEX('Per Line'!$E$2:$E$3001,$W556)&amp;"")</f>
        <v/>
      </c>
      <c r="F556">
        <f>IF($W556="","",INDEX('Per Line'!$D$2:$D$3001,$W556)&amp;"")</f>
        <v/>
      </c>
      <c r="G556">
        <f>IF($W556="","",INDEX('Per Line'!$F$2:$F$3001,$W556)&amp;"")</f>
        <v/>
      </c>
      <c r="H556">
        <f>IF($W556="","",INDEX('Per Line'!$G$2:$G$3001,$W556)&amp;"")</f>
        <v/>
      </c>
      <c r="I556">
        <f>IF($W556="","",INDEX('Per Line'!$H$2:$H$3001,$W556)&amp;"")</f>
        <v/>
      </c>
      <c r="J556">
        <f>IF($W556="","",INDEX('Per Line'!$I$2:$I$3001,$W556))</f>
        <v/>
      </c>
      <c r="K556" s="7">
        <f>IF($W556="","",J556*T556/100)</f>
        <v/>
      </c>
      <c r="L556" s="14">
        <f>IF($W556="","",INDEX('Per Line'!$V$2:$V$3001,$W556))</f>
        <v/>
      </c>
      <c r="M556">
        <f>IF($W556="","",IF(ISNUMBER(SEARCH("3&amp;12",SUBSTITUTE(F556," ",""))),Settings!$G$7,Settings!$C$7))</f>
        <v/>
      </c>
      <c r="N556" s="7">
        <f>IF($W556="","",SUMIFS('Per Line'!$O$2:$O$3001,'Per Line'!$B$2:$B$3001,$B556,'Per Line'!$AB$2:$AB$3001,0))</f>
        <v/>
      </c>
      <c r="O556" s="7">
        <f>IF($W556="","",N556*M556)</f>
        <v/>
      </c>
      <c r="P556">
        <f>IF($W556="","",IF(ISNUMBER(SEARCH("3&amp;12",SUBSTITUTE(F556," ",""))),Settings!$G$6,Settings!$C$6))</f>
        <v/>
      </c>
      <c r="Q556" s="7">
        <f>IF($W556="","",SUMIFS('Per Line'!$O$2:$O$3001,'Per Line'!$B$2:$B$3001,$B556,'Per Line'!$AB$2:$AB$3001,1))</f>
        <v/>
      </c>
      <c r="R556" s="7">
        <f>IF($W556="","",Q556*P556)</f>
        <v/>
      </c>
      <c r="S556" s="7">
        <f>IF($W556="","",R556+O556)</f>
        <v/>
      </c>
      <c r="T556" s="7">
        <f>IF($W556="","",V556-S556)</f>
        <v/>
      </c>
      <c r="U556" s="7">
        <f>IF($W556="","",V556-S556-K556)</f>
        <v/>
      </c>
      <c r="V556" s="7">
        <f>IF($W556="","",N556+Q556)</f>
        <v/>
      </c>
      <c r="W556" s="16">
        <f>IF(ROWS($W$2:$W556)&lt;=MAX('Per Line'!$AA$2:$AA$3001),MATCH(ROWS($W$2:$W556),'Per Line'!$AA$2:$AA$3001,0),"")</f>
        <v/>
      </c>
      <c r="X556">
        <f>IF($W556="","",D556&amp;"|"&amp;COUNTIF($D$2:$D556,D556))</f>
        <v/>
      </c>
    </row>
    <row r="557">
      <c r="A557" s="15" t="n"/>
      <c r="B557">
        <f>IF($W557="","",INDEX('Per Line'!$B$2:$B$3001,$W557)&amp;"")</f>
        <v/>
      </c>
      <c r="C557">
        <f>IF($W557="","",INDEX('Per Line'!$C$2:$C$3001,$W557)&amp;"")</f>
        <v/>
      </c>
      <c r="D557">
        <f>IF($W557="","",IF(OR(TRIM(E557)="Orient Insurance Company",TRIM(E557)="Allianz"),TRIM(E557),TRIM(F557)))</f>
        <v/>
      </c>
      <c r="E557">
        <f>IF($W557="","",INDEX('Per Line'!$E$2:$E$3001,$W557)&amp;"")</f>
        <v/>
      </c>
      <c r="F557">
        <f>IF($W557="","",INDEX('Per Line'!$D$2:$D$3001,$W557)&amp;"")</f>
        <v/>
      </c>
      <c r="G557">
        <f>IF($W557="","",INDEX('Per Line'!$F$2:$F$3001,$W557)&amp;"")</f>
        <v/>
      </c>
      <c r="H557">
        <f>IF($W557="","",INDEX('Per Line'!$G$2:$G$3001,$W557)&amp;"")</f>
        <v/>
      </c>
      <c r="I557">
        <f>IF($W557="","",INDEX('Per Line'!$H$2:$H$3001,$W557)&amp;"")</f>
        <v/>
      </c>
      <c r="J557">
        <f>IF($W557="","",INDEX('Per Line'!$I$2:$I$3001,$W557))</f>
        <v/>
      </c>
      <c r="K557" s="7">
        <f>IF($W557="","",J557*T557/100)</f>
        <v/>
      </c>
      <c r="L557" s="14">
        <f>IF($W557="","",INDEX('Per Line'!$V$2:$V$3001,$W557))</f>
        <v/>
      </c>
      <c r="M557">
        <f>IF($W557="","",IF(ISNUMBER(SEARCH("3&amp;12",SUBSTITUTE(F557," ",""))),Settings!$G$7,Settings!$C$7))</f>
        <v/>
      </c>
      <c r="N557" s="7">
        <f>IF($W557="","",SUMIFS('Per Line'!$O$2:$O$3001,'Per Line'!$B$2:$B$3001,$B557,'Per Line'!$AB$2:$AB$3001,0))</f>
        <v/>
      </c>
      <c r="O557" s="7">
        <f>IF($W557="","",N557*M557)</f>
        <v/>
      </c>
      <c r="P557">
        <f>IF($W557="","",IF(ISNUMBER(SEARCH("3&amp;12",SUBSTITUTE(F557," ",""))),Settings!$G$6,Settings!$C$6))</f>
        <v/>
      </c>
      <c r="Q557" s="7">
        <f>IF($W557="","",SUMIFS('Per Line'!$O$2:$O$3001,'Per Line'!$B$2:$B$3001,$B557,'Per Line'!$AB$2:$AB$3001,1))</f>
        <v/>
      </c>
      <c r="R557" s="7">
        <f>IF($W557="","",Q557*P557)</f>
        <v/>
      </c>
      <c r="S557" s="7">
        <f>IF($W557="","",R557+O557)</f>
        <v/>
      </c>
      <c r="T557" s="7">
        <f>IF($W557="","",V557-S557)</f>
        <v/>
      </c>
      <c r="U557" s="7">
        <f>IF($W557="","",V557-S557-K557)</f>
        <v/>
      </c>
      <c r="V557" s="7">
        <f>IF($W557="","",N557+Q557)</f>
        <v/>
      </c>
      <c r="W557" s="16">
        <f>IF(ROWS($W$2:$W557)&lt;=MAX('Per Line'!$AA$2:$AA$3001),MATCH(ROWS($W$2:$W557),'Per Line'!$AA$2:$AA$3001,0),"")</f>
        <v/>
      </c>
      <c r="X557">
        <f>IF($W557="","",D557&amp;"|"&amp;COUNTIF($D$2:$D557,D557))</f>
        <v/>
      </c>
    </row>
    <row r="558">
      <c r="A558" s="15" t="n"/>
      <c r="B558">
        <f>IF($W558="","",INDEX('Per Line'!$B$2:$B$3001,$W558)&amp;"")</f>
        <v/>
      </c>
      <c r="C558">
        <f>IF($W558="","",INDEX('Per Line'!$C$2:$C$3001,$W558)&amp;"")</f>
        <v/>
      </c>
      <c r="D558">
        <f>IF($W558="","",IF(OR(TRIM(E558)="Orient Insurance Company",TRIM(E558)="Allianz"),TRIM(E558),TRIM(F558)))</f>
        <v/>
      </c>
      <c r="E558">
        <f>IF($W558="","",INDEX('Per Line'!$E$2:$E$3001,$W558)&amp;"")</f>
        <v/>
      </c>
      <c r="F558">
        <f>IF($W558="","",INDEX('Per Line'!$D$2:$D$3001,$W558)&amp;"")</f>
        <v/>
      </c>
      <c r="G558">
        <f>IF($W558="","",INDEX('Per Line'!$F$2:$F$3001,$W558)&amp;"")</f>
        <v/>
      </c>
      <c r="H558">
        <f>IF($W558="","",INDEX('Per Line'!$G$2:$G$3001,$W558)&amp;"")</f>
        <v/>
      </c>
      <c r="I558">
        <f>IF($W558="","",INDEX('Per Line'!$H$2:$H$3001,$W558)&amp;"")</f>
        <v/>
      </c>
      <c r="J558">
        <f>IF($W558="","",INDEX('Per Line'!$I$2:$I$3001,$W558))</f>
        <v/>
      </c>
      <c r="K558" s="7">
        <f>IF($W558="","",J558*T558/100)</f>
        <v/>
      </c>
      <c r="L558" s="14">
        <f>IF($W558="","",INDEX('Per Line'!$V$2:$V$3001,$W558))</f>
        <v/>
      </c>
      <c r="M558">
        <f>IF($W558="","",IF(ISNUMBER(SEARCH("3&amp;12",SUBSTITUTE(F558," ",""))),Settings!$G$7,Settings!$C$7))</f>
        <v/>
      </c>
      <c r="N558" s="7">
        <f>IF($W558="","",SUMIFS('Per Line'!$O$2:$O$3001,'Per Line'!$B$2:$B$3001,$B558,'Per Line'!$AB$2:$AB$3001,0))</f>
        <v/>
      </c>
      <c r="O558" s="7">
        <f>IF($W558="","",N558*M558)</f>
        <v/>
      </c>
      <c r="P558">
        <f>IF($W558="","",IF(ISNUMBER(SEARCH("3&amp;12",SUBSTITUTE(F558," ",""))),Settings!$G$6,Settings!$C$6))</f>
        <v/>
      </c>
      <c r="Q558" s="7">
        <f>IF($W558="","",SUMIFS('Per Line'!$O$2:$O$3001,'Per Line'!$B$2:$B$3001,$B558,'Per Line'!$AB$2:$AB$3001,1))</f>
        <v/>
      </c>
      <c r="R558" s="7">
        <f>IF($W558="","",Q558*P558)</f>
        <v/>
      </c>
      <c r="S558" s="7">
        <f>IF($W558="","",R558+O558)</f>
        <v/>
      </c>
      <c r="T558" s="7">
        <f>IF($W558="","",V558-S558)</f>
        <v/>
      </c>
      <c r="U558" s="7">
        <f>IF($W558="","",V558-S558-K558)</f>
        <v/>
      </c>
      <c r="V558" s="7">
        <f>IF($W558="","",N558+Q558)</f>
        <v/>
      </c>
      <c r="W558" s="16">
        <f>IF(ROWS($W$2:$W558)&lt;=MAX('Per Line'!$AA$2:$AA$3001),MATCH(ROWS($W$2:$W558),'Per Line'!$AA$2:$AA$3001,0),"")</f>
        <v/>
      </c>
      <c r="X558">
        <f>IF($W558="","",D558&amp;"|"&amp;COUNTIF($D$2:$D558,D558))</f>
        <v/>
      </c>
    </row>
    <row r="559">
      <c r="A559" s="15" t="n"/>
      <c r="B559">
        <f>IF($W559="","",INDEX('Per Line'!$B$2:$B$3001,$W559)&amp;"")</f>
        <v/>
      </c>
      <c r="C559">
        <f>IF($W559="","",INDEX('Per Line'!$C$2:$C$3001,$W559)&amp;"")</f>
        <v/>
      </c>
      <c r="D559">
        <f>IF($W559="","",IF(OR(TRIM(E559)="Orient Insurance Company",TRIM(E559)="Allianz"),TRIM(E559),TRIM(F559)))</f>
        <v/>
      </c>
      <c r="E559">
        <f>IF($W559="","",INDEX('Per Line'!$E$2:$E$3001,$W559)&amp;"")</f>
        <v/>
      </c>
      <c r="F559">
        <f>IF($W559="","",INDEX('Per Line'!$D$2:$D$3001,$W559)&amp;"")</f>
        <v/>
      </c>
      <c r="G559">
        <f>IF($W559="","",INDEX('Per Line'!$F$2:$F$3001,$W559)&amp;"")</f>
        <v/>
      </c>
      <c r="H559">
        <f>IF($W559="","",INDEX('Per Line'!$G$2:$G$3001,$W559)&amp;"")</f>
        <v/>
      </c>
      <c r="I559">
        <f>IF($W559="","",INDEX('Per Line'!$H$2:$H$3001,$W559)&amp;"")</f>
        <v/>
      </c>
      <c r="J559">
        <f>IF($W559="","",INDEX('Per Line'!$I$2:$I$3001,$W559))</f>
        <v/>
      </c>
      <c r="K559" s="7">
        <f>IF($W559="","",J559*T559/100)</f>
        <v/>
      </c>
      <c r="L559" s="14">
        <f>IF($W559="","",INDEX('Per Line'!$V$2:$V$3001,$W559))</f>
        <v/>
      </c>
      <c r="M559">
        <f>IF($W559="","",IF(ISNUMBER(SEARCH("3&amp;12",SUBSTITUTE(F559," ",""))),Settings!$G$7,Settings!$C$7))</f>
        <v/>
      </c>
      <c r="N559" s="7">
        <f>IF($W559="","",SUMIFS('Per Line'!$O$2:$O$3001,'Per Line'!$B$2:$B$3001,$B559,'Per Line'!$AB$2:$AB$3001,0))</f>
        <v/>
      </c>
      <c r="O559" s="7">
        <f>IF($W559="","",N559*M559)</f>
        <v/>
      </c>
      <c r="P559">
        <f>IF($W559="","",IF(ISNUMBER(SEARCH("3&amp;12",SUBSTITUTE(F559," ",""))),Settings!$G$6,Settings!$C$6))</f>
        <v/>
      </c>
      <c r="Q559" s="7">
        <f>IF($W559="","",SUMIFS('Per Line'!$O$2:$O$3001,'Per Line'!$B$2:$B$3001,$B559,'Per Line'!$AB$2:$AB$3001,1))</f>
        <v/>
      </c>
      <c r="R559" s="7">
        <f>IF($W559="","",Q559*P559)</f>
        <v/>
      </c>
      <c r="S559" s="7">
        <f>IF($W559="","",R559+O559)</f>
        <v/>
      </c>
      <c r="T559" s="7">
        <f>IF($W559="","",V559-S559)</f>
        <v/>
      </c>
      <c r="U559" s="7">
        <f>IF($W559="","",V559-S559-K559)</f>
        <v/>
      </c>
      <c r="V559" s="7">
        <f>IF($W559="","",N559+Q559)</f>
        <v/>
      </c>
      <c r="W559" s="16">
        <f>IF(ROWS($W$2:$W559)&lt;=MAX('Per Line'!$AA$2:$AA$3001),MATCH(ROWS($W$2:$W559),'Per Line'!$AA$2:$AA$3001,0),"")</f>
        <v/>
      </c>
      <c r="X559">
        <f>IF($W559="","",D559&amp;"|"&amp;COUNTIF($D$2:$D559,D559))</f>
        <v/>
      </c>
    </row>
    <row r="560">
      <c r="A560" s="15" t="n"/>
      <c r="B560">
        <f>IF($W560="","",INDEX('Per Line'!$B$2:$B$3001,$W560)&amp;"")</f>
        <v/>
      </c>
      <c r="C560">
        <f>IF($W560="","",INDEX('Per Line'!$C$2:$C$3001,$W560)&amp;"")</f>
        <v/>
      </c>
      <c r="D560">
        <f>IF($W560="","",IF(OR(TRIM(E560)="Orient Insurance Company",TRIM(E560)="Allianz"),TRIM(E560),TRIM(F560)))</f>
        <v/>
      </c>
      <c r="E560">
        <f>IF($W560="","",INDEX('Per Line'!$E$2:$E$3001,$W560)&amp;"")</f>
        <v/>
      </c>
      <c r="F560">
        <f>IF($W560="","",INDEX('Per Line'!$D$2:$D$3001,$W560)&amp;"")</f>
        <v/>
      </c>
      <c r="G560">
        <f>IF($W560="","",INDEX('Per Line'!$F$2:$F$3001,$W560)&amp;"")</f>
        <v/>
      </c>
      <c r="H560">
        <f>IF($W560="","",INDEX('Per Line'!$G$2:$G$3001,$W560)&amp;"")</f>
        <v/>
      </c>
      <c r="I560">
        <f>IF($W560="","",INDEX('Per Line'!$H$2:$H$3001,$W560)&amp;"")</f>
        <v/>
      </c>
      <c r="J560">
        <f>IF($W560="","",INDEX('Per Line'!$I$2:$I$3001,$W560))</f>
        <v/>
      </c>
      <c r="K560" s="7">
        <f>IF($W560="","",J560*T560/100)</f>
        <v/>
      </c>
      <c r="L560" s="14">
        <f>IF($W560="","",INDEX('Per Line'!$V$2:$V$3001,$W560))</f>
        <v/>
      </c>
      <c r="M560">
        <f>IF($W560="","",IF(ISNUMBER(SEARCH("3&amp;12",SUBSTITUTE(F560," ",""))),Settings!$G$7,Settings!$C$7))</f>
        <v/>
      </c>
      <c r="N560" s="7">
        <f>IF($W560="","",SUMIFS('Per Line'!$O$2:$O$3001,'Per Line'!$B$2:$B$3001,$B560,'Per Line'!$AB$2:$AB$3001,0))</f>
        <v/>
      </c>
      <c r="O560" s="7">
        <f>IF($W560="","",N560*M560)</f>
        <v/>
      </c>
      <c r="P560">
        <f>IF($W560="","",IF(ISNUMBER(SEARCH("3&amp;12",SUBSTITUTE(F560," ",""))),Settings!$G$6,Settings!$C$6))</f>
        <v/>
      </c>
      <c r="Q560" s="7">
        <f>IF($W560="","",SUMIFS('Per Line'!$O$2:$O$3001,'Per Line'!$B$2:$B$3001,$B560,'Per Line'!$AB$2:$AB$3001,1))</f>
        <v/>
      </c>
      <c r="R560" s="7">
        <f>IF($W560="","",Q560*P560)</f>
        <v/>
      </c>
      <c r="S560" s="7">
        <f>IF($W560="","",R560+O560)</f>
        <v/>
      </c>
      <c r="T560" s="7">
        <f>IF($W560="","",V560-S560)</f>
        <v/>
      </c>
      <c r="U560" s="7">
        <f>IF($W560="","",V560-S560-K560)</f>
        <v/>
      </c>
      <c r="V560" s="7">
        <f>IF($W560="","",N560+Q560)</f>
        <v/>
      </c>
      <c r="W560" s="16">
        <f>IF(ROWS($W$2:$W560)&lt;=MAX('Per Line'!$AA$2:$AA$3001),MATCH(ROWS($W$2:$W560),'Per Line'!$AA$2:$AA$3001,0),"")</f>
        <v/>
      </c>
      <c r="X560">
        <f>IF($W560="","",D560&amp;"|"&amp;COUNTIF($D$2:$D560,D560))</f>
        <v/>
      </c>
    </row>
    <row r="561">
      <c r="A561" s="15" t="n"/>
      <c r="B561">
        <f>IF($W561="","",INDEX('Per Line'!$B$2:$B$3001,$W561)&amp;"")</f>
        <v/>
      </c>
      <c r="C561">
        <f>IF($W561="","",INDEX('Per Line'!$C$2:$C$3001,$W561)&amp;"")</f>
        <v/>
      </c>
      <c r="D561">
        <f>IF($W561="","",IF(OR(TRIM(E561)="Orient Insurance Company",TRIM(E561)="Allianz"),TRIM(E561),TRIM(F561)))</f>
        <v/>
      </c>
      <c r="E561">
        <f>IF($W561="","",INDEX('Per Line'!$E$2:$E$3001,$W561)&amp;"")</f>
        <v/>
      </c>
      <c r="F561">
        <f>IF($W561="","",INDEX('Per Line'!$D$2:$D$3001,$W561)&amp;"")</f>
        <v/>
      </c>
      <c r="G561">
        <f>IF($W561="","",INDEX('Per Line'!$F$2:$F$3001,$W561)&amp;"")</f>
        <v/>
      </c>
      <c r="H561">
        <f>IF($W561="","",INDEX('Per Line'!$G$2:$G$3001,$W561)&amp;"")</f>
        <v/>
      </c>
      <c r="I561">
        <f>IF($W561="","",INDEX('Per Line'!$H$2:$H$3001,$W561)&amp;"")</f>
        <v/>
      </c>
      <c r="J561">
        <f>IF($W561="","",INDEX('Per Line'!$I$2:$I$3001,$W561))</f>
        <v/>
      </c>
      <c r="K561" s="7">
        <f>IF($W561="","",J561*T561/100)</f>
        <v/>
      </c>
      <c r="L561" s="14">
        <f>IF($W561="","",INDEX('Per Line'!$V$2:$V$3001,$W561))</f>
        <v/>
      </c>
      <c r="M561">
        <f>IF($W561="","",IF(ISNUMBER(SEARCH("3&amp;12",SUBSTITUTE(F561," ",""))),Settings!$G$7,Settings!$C$7))</f>
        <v/>
      </c>
      <c r="N561" s="7">
        <f>IF($W561="","",SUMIFS('Per Line'!$O$2:$O$3001,'Per Line'!$B$2:$B$3001,$B561,'Per Line'!$AB$2:$AB$3001,0))</f>
        <v/>
      </c>
      <c r="O561" s="7">
        <f>IF($W561="","",N561*M561)</f>
        <v/>
      </c>
      <c r="P561">
        <f>IF($W561="","",IF(ISNUMBER(SEARCH("3&amp;12",SUBSTITUTE(F561," ",""))),Settings!$G$6,Settings!$C$6))</f>
        <v/>
      </c>
      <c r="Q561" s="7">
        <f>IF($W561="","",SUMIFS('Per Line'!$O$2:$O$3001,'Per Line'!$B$2:$B$3001,$B561,'Per Line'!$AB$2:$AB$3001,1))</f>
        <v/>
      </c>
      <c r="R561" s="7">
        <f>IF($W561="","",Q561*P561)</f>
        <v/>
      </c>
      <c r="S561" s="7">
        <f>IF($W561="","",R561+O561)</f>
        <v/>
      </c>
      <c r="T561" s="7">
        <f>IF($W561="","",V561-S561)</f>
        <v/>
      </c>
      <c r="U561" s="7">
        <f>IF($W561="","",V561-S561-K561)</f>
        <v/>
      </c>
      <c r="V561" s="7">
        <f>IF($W561="","",N561+Q561)</f>
        <v/>
      </c>
      <c r="W561" s="16">
        <f>IF(ROWS($W$2:$W561)&lt;=MAX('Per Line'!$AA$2:$AA$3001),MATCH(ROWS($W$2:$W561),'Per Line'!$AA$2:$AA$3001,0),"")</f>
        <v/>
      </c>
      <c r="X561">
        <f>IF($W561="","",D561&amp;"|"&amp;COUNTIF($D$2:$D561,D561))</f>
        <v/>
      </c>
    </row>
    <row r="562">
      <c r="A562" s="15" t="n"/>
      <c r="B562">
        <f>IF($W562="","",INDEX('Per Line'!$B$2:$B$3001,$W562)&amp;"")</f>
        <v/>
      </c>
      <c r="C562">
        <f>IF($W562="","",INDEX('Per Line'!$C$2:$C$3001,$W562)&amp;"")</f>
        <v/>
      </c>
      <c r="D562">
        <f>IF($W562="","",IF(OR(TRIM(E562)="Orient Insurance Company",TRIM(E562)="Allianz"),TRIM(E562),TRIM(F562)))</f>
        <v/>
      </c>
      <c r="E562">
        <f>IF($W562="","",INDEX('Per Line'!$E$2:$E$3001,$W562)&amp;"")</f>
        <v/>
      </c>
      <c r="F562">
        <f>IF($W562="","",INDEX('Per Line'!$D$2:$D$3001,$W562)&amp;"")</f>
        <v/>
      </c>
      <c r="G562">
        <f>IF($W562="","",INDEX('Per Line'!$F$2:$F$3001,$W562)&amp;"")</f>
        <v/>
      </c>
      <c r="H562">
        <f>IF($W562="","",INDEX('Per Line'!$G$2:$G$3001,$W562)&amp;"")</f>
        <v/>
      </c>
      <c r="I562">
        <f>IF($W562="","",INDEX('Per Line'!$H$2:$H$3001,$W562)&amp;"")</f>
        <v/>
      </c>
      <c r="J562">
        <f>IF($W562="","",INDEX('Per Line'!$I$2:$I$3001,$W562))</f>
        <v/>
      </c>
      <c r="K562" s="7">
        <f>IF($W562="","",J562*T562/100)</f>
        <v/>
      </c>
      <c r="L562" s="14">
        <f>IF($W562="","",INDEX('Per Line'!$V$2:$V$3001,$W562))</f>
        <v/>
      </c>
      <c r="M562">
        <f>IF($W562="","",IF(ISNUMBER(SEARCH("3&amp;12",SUBSTITUTE(F562," ",""))),Settings!$G$7,Settings!$C$7))</f>
        <v/>
      </c>
      <c r="N562" s="7">
        <f>IF($W562="","",SUMIFS('Per Line'!$O$2:$O$3001,'Per Line'!$B$2:$B$3001,$B562,'Per Line'!$AB$2:$AB$3001,0))</f>
        <v/>
      </c>
      <c r="O562" s="7">
        <f>IF($W562="","",N562*M562)</f>
        <v/>
      </c>
      <c r="P562">
        <f>IF($W562="","",IF(ISNUMBER(SEARCH("3&amp;12",SUBSTITUTE(F562," ",""))),Settings!$G$6,Settings!$C$6))</f>
        <v/>
      </c>
      <c r="Q562" s="7">
        <f>IF($W562="","",SUMIFS('Per Line'!$O$2:$O$3001,'Per Line'!$B$2:$B$3001,$B562,'Per Line'!$AB$2:$AB$3001,1))</f>
        <v/>
      </c>
      <c r="R562" s="7">
        <f>IF($W562="","",Q562*P562)</f>
        <v/>
      </c>
      <c r="S562" s="7">
        <f>IF($W562="","",R562+O562)</f>
        <v/>
      </c>
      <c r="T562" s="7">
        <f>IF($W562="","",V562-S562)</f>
        <v/>
      </c>
      <c r="U562" s="7">
        <f>IF($W562="","",V562-S562-K562)</f>
        <v/>
      </c>
      <c r="V562" s="7">
        <f>IF($W562="","",N562+Q562)</f>
        <v/>
      </c>
      <c r="W562" s="16">
        <f>IF(ROWS($W$2:$W562)&lt;=MAX('Per Line'!$AA$2:$AA$3001),MATCH(ROWS($W$2:$W562),'Per Line'!$AA$2:$AA$3001,0),"")</f>
        <v/>
      </c>
      <c r="X562">
        <f>IF($W562="","",D562&amp;"|"&amp;COUNTIF($D$2:$D562,D562))</f>
        <v/>
      </c>
    </row>
    <row r="563">
      <c r="A563" s="15" t="n"/>
      <c r="B563">
        <f>IF($W563="","",INDEX('Per Line'!$B$2:$B$3001,$W563)&amp;"")</f>
        <v/>
      </c>
      <c r="C563">
        <f>IF($W563="","",INDEX('Per Line'!$C$2:$C$3001,$W563)&amp;"")</f>
        <v/>
      </c>
      <c r="D563">
        <f>IF($W563="","",IF(OR(TRIM(E563)="Orient Insurance Company",TRIM(E563)="Allianz"),TRIM(E563),TRIM(F563)))</f>
        <v/>
      </c>
      <c r="E563">
        <f>IF($W563="","",INDEX('Per Line'!$E$2:$E$3001,$W563)&amp;"")</f>
        <v/>
      </c>
      <c r="F563">
        <f>IF($W563="","",INDEX('Per Line'!$D$2:$D$3001,$W563)&amp;"")</f>
        <v/>
      </c>
      <c r="G563">
        <f>IF($W563="","",INDEX('Per Line'!$F$2:$F$3001,$W563)&amp;"")</f>
        <v/>
      </c>
      <c r="H563">
        <f>IF($W563="","",INDEX('Per Line'!$G$2:$G$3001,$W563)&amp;"")</f>
        <v/>
      </c>
      <c r="I563">
        <f>IF($W563="","",INDEX('Per Line'!$H$2:$H$3001,$W563)&amp;"")</f>
        <v/>
      </c>
      <c r="J563">
        <f>IF($W563="","",INDEX('Per Line'!$I$2:$I$3001,$W563))</f>
        <v/>
      </c>
      <c r="K563" s="7">
        <f>IF($W563="","",J563*T563/100)</f>
        <v/>
      </c>
      <c r="L563" s="14">
        <f>IF($W563="","",INDEX('Per Line'!$V$2:$V$3001,$W563))</f>
        <v/>
      </c>
      <c r="M563">
        <f>IF($W563="","",IF(ISNUMBER(SEARCH("3&amp;12",SUBSTITUTE(F563," ",""))),Settings!$G$7,Settings!$C$7))</f>
        <v/>
      </c>
      <c r="N563" s="7">
        <f>IF($W563="","",SUMIFS('Per Line'!$O$2:$O$3001,'Per Line'!$B$2:$B$3001,$B563,'Per Line'!$AB$2:$AB$3001,0))</f>
        <v/>
      </c>
      <c r="O563" s="7">
        <f>IF($W563="","",N563*M563)</f>
        <v/>
      </c>
      <c r="P563">
        <f>IF($W563="","",IF(ISNUMBER(SEARCH("3&amp;12",SUBSTITUTE(F563," ",""))),Settings!$G$6,Settings!$C$6))</f>
        <v/>
      </c>
      <c r="Q563" s="7">
        <f>IF($W563="","",SUMIFS('Per Line'!$O$2:$O$3001,'Per Line'!$B$2:$B$3001,$B563,'Per Line'!$AB$2:$AB$3001,1))</f>
        <v/>
      </c>
      <c r="R563" s="7">
        <f>IF($W563="","",Q563*P563)</f>
        <v/>
      </c>
      <c r="S563" s="7">
        <f>IF($W563="","",R563+O563)</f>
        <v/>
      </c>
      <c r="T563" s="7">
        <f>IF($W563="","",V563-S563)</f>
        <v/>
      </c>
      <c r="U563" s="7">
        <f>IF($W563="","",V563-S563-K563)</f>
        <v/>
      </c>
      <c r="V563" s="7">
        <f>IF($W563="","",N563+Q563)</f>
        <v/>
      </c>
      <c r="W563" s="16">
        <f>IF(ROWS($W$2:$W563)&lt;=MAX('Per Line'!$AA$2:$AA$3001),MATCH(ROWS($W$2:$W563),'Per Line'!$AA$2:$AA$3001,0),"")</f>
        <v/>
      </c>
      <c r="X563">
        <f>IF($W563="","",D563&amp;"|"&amp;COUNTIF($D$2:$D563,D563))</f>
        <v/>
      </c>
    </row>
    <row r="564">
      <c r="A564" s="15" t="n"/>
      <c r="B564">
        <f>IF($W564="","",INDEX('Per Line'!$B$2:$B$3001,$W564)&amp;"")</f>
        <v/>
      </c>
      <c r="C564">
        <f>IF($W564="","",INDEX('Per Line'!$C$2:$C$3001,$W564)&amp;"")</f>
        <v/>
      </c>
      <c r="D564">
        <f>IF($W564="","",IF(OR(TRIM(E564)="Orient Insurance Company",TRIM(E564)="Allianz"),TRIM(E564),TRIM(F564)))</f>
        <v/>
      </c>
      <c r="E564">
        <f>IF($W564="","",INDEX('Per Line'!$E$2:$E$3001,$W564)&amp;"")</f>
        <v/>
      </c>
      <c r="F564">
        <f>IF($W564="","",INDEX('Per Line'!$D$2:$D$3001,$W564)&amp;"")</f>
        <v/>
      </c>
      <c r="G564">
        <f>IF($W564="","",INDEX('Per Line'!$F$2:$F$3001,$W564)&amp;"")</f>
        <v/>
      </c>
      <c r="H564">
        <f>IF($W564="","",INDEX('Per Line'!$G$2:$G$3001,$W564)&amp;"")</f>
        <v/>
      </c>
      <c r="I564">
        <f>IF($W564="","",INDEX('Per Line'!$H$2:$H$3001,$W564)&amp;"")</f>
        <v/>
      </c>
      <c r="J564">
        <f>IF($W564="","",INDEX('Per Line'!$I$2:$I$3001,$W564))</f>
        <v/>
      </c>
      <c r="K564" s="7">
        <f>IF($W564="","",J564*T564/100)</f>
        <v/>
      </c>
      <c r="L564" s="14">
        <f>IF($W564="","",INDEX('Per Line'!$V$2:$V$3001,$W564))</f>
        <v/>
      </c>
      <c r="M564">
        <f>IF($W564="","",IF(ISNUMBER(SEARCH("3&amp;12",SUBSTITUTE(F564," ",""))),Settings!$G$7,Settings!$C$7))</f>
        <v/>
      </c>
      <c r="N564" s="7">
        <f>IF($W564="","",SUMIFS('Per Line'!$O$2:$O$3001,'Per Line'!$B$2:$B$3001,$B564,'Per Line'!$AB$2:$AB$3001,0))</f>
        <v/>
      </c>
      <c r="O564" s="7">
        <f>IF($W564="","",N564*M564)</f>
        <v/>
      </c>
      <c r="P564">
        <f>IF($W564="","",IF(ISNUMBER(SEARCH("3&amp;12",SUBSTITUTE(F564," ",""))),Settings!$G$6,Settings!$C$6))</f>
        <v/>
      </c>
      <c r="Q564" s="7">
        <f>IF($W564="","",SUMIFS('Per Line'!$O$2:$O$3001,'Per Line'!$B$2:$B$3001,$B564,'Per Line'!$AB$2:$AB$3001,1))</f>
        <v/>
      </c>
      <c r="R564" s="7">
        <f>IF($W564="","",Q564*P564)</f>
        <v/>
      </c>
      <c r="S564" s="7">
        <f>IF($W564="","",R564+O564)</f>
        <v/>
      </c>
      <c r="T564" s="7">
        <f>IF($W564="","",V564-S564)</f>
        <v/>
      </c>
      <c r="U564" s="7">
        <f>IF($W564="","",V564-S564-K564)</f>
        <v/>
      </c>
      <c r="V564" s="7">
        <f>IF($W564="","",N564+Q564)</f>
        <v/>
      </c>
      <c r="W564" s="16">
        <f>IF(ROWS($W$2:$W564)&lt;=MAX('Per Line'!$AA$2:$AA$3001),MATCH(ROWS($W$2:$W564),'Per Line'!$AA$2:$AA$3001,0),"")</f>
        <v/>
      </c>
      <c r="X564">
        <f>IF($W564="","",D564&amp;"|"&amp;COUNTIF($D$2:$D564,D564))</f>
        <v/>
      </c>
    </row>
    <row r="565">
      <c r="A565" s="15" t="n"/>
      <c r="B565">
        <f>IF($W565="","",INDEX('Per Line'!$B$2:$B$3001,$W565)&amp;"")</f>
        <v/>
      </c>
      <c r="C565">
        <f>IF($W565="","",INDEX('Per Line'!$C$2:$C$3001,$W565)&amp;"")</f>
        <v/>
      </c>
      <c r="D565">
        <f>IF($W565="","",IF(OR(TRIM(E565)="Orient Insurance Company",TRIM(E565)="Allianz"),TRIM(E565),TRIM(F565)))</f>
        <v/>
      </c>
      <c r="E565">
        <f>IF($W565="","",INDEX('Per Line'!$E$2:$E$3001,$W565)&amp;"")</f>
        <v/>
      </c>
      <c r="F565">
        <f>IF($W565="","",INDEX('Per Line'!$D$2:$D$3001,$W565)&amp;"")</f>
        <v/>
      </c>
      <c r="G565">
        <f>IF($W565="","",INDEX('Per Line'!$F$2:$F$3001,$W565)&amp;"")</f>
        <v/>
      </c>
      <c r="H565">
        <f>IF($W565="","",INDEX('Per Line'!$G$2:$G$3001,$W565)&amp;"")</f>
        <v/>
      </c>
      <c r="I565">
        <f>IF($W565="","",INDEX('Per Line'!$H$2:$H$3001,$W565)&amp;"")</f>
        <v/>
      </c>
      <c r="J565">
        <f>IF($W565="","",INDEX('Per Line'!$I$2:$I$3001,$W565))</f>
        <v/>
      </c>
      <c r="K565" s="7">
        <f>IF($W565="","",J565*T565/100)</f>
        <v/>
      </c>
      <c r="L565" s="14">
        <f>IF($W565="","",INDEX('Per Line'!$V$2:$V$3001,$W565))</f>
        <v/>
      </c>
      <c r="M565">
        <f>IF($W565="","",IF(ISNUMBER(SEARCH("3&amp;12",SUBSTITUTE(F565," ",""))),Settings!$G$7,Settings!$C$7))</f>
        <v/>
      </c>
      <c r="N565" s="7">
        <f>IF($W565="","",SUMIFS('Per Line'!$O$2:$O$3001,'Per Line'!$B$2:$B$3001,$B565,'Per Line'!$AB$2:$AB$3001,0))</f>
        <v/>
      </c>
      <c r="O565" s="7">
        <f>IF($W565="","",N565*M565)</f>
        <v/>
      </c>
      <c r="P565">
        <f>IF($W565="","",IF(ISNUMBER(SEARCH("3&amp;12",SUBSTITUTE(F565," ",""))),Settings!$G$6,Settings!$C$6))</f>
        <v/>
      </c>
      <c r="Q565" s="7">
        <f>IF($W565="","",SUMIFS('Per Line'!$O$2:$O$3001,'Per Line'!$B$2:$B$3001,$B565,'Per Line'!$AB$2:$AB$3001,1))</f>
        <v/>
      </c>
      <c r="R565" s="7">
        <f>IF($W565="","",Q565*P565)</f>
        <v/>
      </c>
      <c r="S565" s="7">
        <f>IF($W565="","",R565+O565)</f>
        <v/>
      </c>
      <c r="T565" s="7">
        <f>IF($W565="","",V565-S565)</f>
        <v/>
      </c>
      <c r="U565" s="7">
        <f>IF($W565="","",V565-S565-K565)</f>
        <v/>
      </c>
      <c r="V565" s="7">
        <f>IF($W565="","",N565+Q565)</f>
        <v/>
      </c>
      <c r="W565" s="16">
        <f>IF(ROWS($W$2:$W565)&lt;=MAX('Per Line'!$AA$2:$AA$3001),MATCH(ROWS($W$2:$W565),'Per Line'!$AA$2:$AA$3001,0),"")</f>
        <v/>
      </c>
      <c r="X565">
        <f>IF($W565="","",D565&amp;"|"&amp;COUNTIF($D$2:$D565,D565))</f>
        <v/>
      </c>
    </row>
    <row r="566">
      <c r="A566" s="15" t="n"/>
      <c r="B566">
        <f>IF($W566="","",INDEX('Per Line'!$B$2:$B$3001,$W566)&amp;"")</f>
        <v/>
      </c>
      <c r="C566">
        <f>IF($W566="","",INDEX('Per Line'!$C$2:$C$3001,$W566)&amp;"")</f>
        <v/>
      </c>
      <c r="D566">
        <f>IF($W566="","",IF(OR(TRIM(E566)="Orient Insurance Company",TRIM(E566)="Allianz"),TRIM(E566),TRIM(F566)))</f>
        <v/>
      </c>
      <c r="E566">
        <f>IF($W566="","",INDEX('Per Line'!$E$2:$E$3001,$W566)&amp;"")</f>
        <v/>
      </c>
      <c r="F566">
        <f>IF($W566="","",INDEX('Per Line'!$D$2:$D$3001,$W566)&amp;"")</f>
        <v/>
      </c>
      <c r="G566">
        <f>IF($W566="","",INDEX('Per Line'!$F$2:$F$3001,$W566)&amp;"")</f>
        <v/>
      </c>
      <c r="H566">
        <f>IF($W566="","",INDEX('Per Line'!$G$2:$G$3001,$W566)&amp;"")</f>
        <v/>
      </c>
      <c r="I566">
        <f>IF($W566="","",INDEX('Per Line'!$H$2:$H$3001,$W566)&amp;"")</f>
        <v/>
      </c>
      <c r="J566">
        <f>IF($W566="","",INDEX('Per Line'!$I$2:$I$3001,$W566))</f>
        <v/>
      </c>
      <c r="K566" s="7">
        <f>IF($W566="","",J566*T566/100)</f>
        <v/>
      </c>
      <c r="L566" s="14">
        <f>IF($W566="","",INDEX('Per Line'!$V$2:$V$3001,$W566))</f>
        <v/>
      </c>
      <c r="M566">
        <f>IF($W566="","",IF(ISNUMBER(SEARCH("3&amp;12",SUBSTITUTE(F566," ",""))),Settings!$G$7,Settings!$C$7))</f>
        <v/>
      </c>
      <c r="N566" s="7">
        <f>IF($W566="","",SUMIFS('Per Line'!$O$2:$O$3001,'Per Line'!$B$2:$B$3001,$B566,'Per Line'!$AB$2:$AB$3001,0))</f>
        <v/>
      </c>
      <c r="O566" s="7">
        <f>IF($W566="","",N566*M566)</f>
        <v/>
      </c>
      <c r="P566">
        <f>IF($W566="","",IF(ISNUMBER(SEARCH("3&amp;12",SUBSTITUTE(F566," ",""))),Settings!$G$6,Settings!$C$6))</f>
        <v/>
      </c>
      <c r="Q566" s="7">
        <f>IF($W566="","",SUMIFS('Per Line'!$O$2:$O$3001,'Per Line'!$B$2:$B$3001,$B566,'Per Line'!$AB$2:$AB$3001,1))</f>
        <v/>
      </c>
      <c r="R566" s="7">
        <f>IF($W566="","",Q566*P566)</f>
        <v/>
      </c>
      <c r="S566" s="7">
        <f>IF($W566="","",R566+O566)</f>
        <v/>
      </c>
      <c r="T566" s="7">
        <f>IF($W566="","",V566-S566)</f>
        <v/>
      </c>
      <c r="U566" s="7">
        <f>IF($W566="","",V566-S566-K566)</f>
        <v/>
      </c>
      <c r="V566" s="7">
        <f>IF($W566="","",N566+Q566)</f>
        <v/>
      </c>
      <c r="W566" s="16">
        <f>IF(ROWS($W$2:$W566)&lt;=MAX('Per Line'!$AA$2:$AA$3001),MATCH(ROWS($W$2:$W566),'Per Line'!$AA$2:$AA$3001,0),"")</f>
        <v/>
      </c>
      <c r="X566">
        <f>IF($W566="","",D566&amp;"|"&amp;COUNTIF($D$2:$D566,D566))</f>
        <v/>
      </c>
    </row>
    <row r="567">
      <c r="A567" s="15" t="n"/>
      <c r="B567">
        <f>IF($W567="","",INDEX('Per Line'!$B$2:$B$3001,$W567)&amp;"")</f>
        <v/>
      </c>
      <c r="C567">
        <f>IF($W567="","",INDEX('Per Line'!$C$2:$C$3001,$W567)&amp;"")</f>
        <v/>
      </c>
      <c r="D567">
        <f>IF($W567="","",IF(OR(TRIM(E567)="Orient Insurance Company",TRIM(E567)="Allianz"),TRIM(E567),TRIM(F567)))</f>
        <v/>
      </c>
      <c r="E567">
        <f>IF($W567="","",INDEX('Per Line'!$E$2:$E$3001,$W567)&amp;"")</f>
        <v/>
      </c>
      <c r="F567">
        <f>IF($W567="","",INDEX('Per Line'!$D$2:$D$3001,$W567)&amp;"")</f>
        <v/>
      </c>
      <c r="G567">
        <f>IF($W567="","",INDEX('Per Line'!$F$2:$F$3001,$W567)&amp;"")</f>
        <v/>
      </c>
      <c r="H567">
        <f>IF($W567="","",INDEX('Per Line'!$G$2:$G$3001,$W567)&amp;"")</f>
        <v/>
      </c>
      <c r="I567">
        <f>IF($W567="","",INDEX('Per Line'!$H$2:$H$3001,$W567)&amp;"")</f>
        <v/>
      </c>
      <c r="J567">
        <f>IF($W567="","",INDEX('Per Line'!$I$2:$I$3001,$W567))</f>
        <v/>
      </c>
      <c r="K567" s="7">
        <f>IF($W567="","",J567*T567/100)</f>
        <v/>
      </c>
      <c r="L567" s="14">
        <f>IF($W567="","",INDEX('Per Line'!$V$2:$V$3001,$W567))</f>
        <v/>
      </c>
      <c r="M567">
        <f>IF($W567="","",IF(ISNUMBER(SEARCH("3&amp;12",SUBSTITUTE(F567," ",""))),Settings!$G$7,Settings!$C$7))</f>
        <v/>
      </c>
      <c r="N567" s="7">
        <f>IF($W567="","",SUMIFS('Per Line'!$O$2:$O$3001,'Per Line'!$B$2:$B$3001,$B567,'Per Line'!$AB$2:$AB$3001,0))</f>
        <v/>
      </c>
      <c r="O567" s="7">
        <f>IF($W567="","",N567*M567)</f>
        <v/>
      </c>
      <c r="P567">
        <f>IF($W567="","",IF(ISNUMBER(SEARCH("3&amp;12",SUBSTITUTE(F567," ",""))),Settings!$G$6,Settings!$C$6))</f>
        <v/>
      </c>
      <c r="Q567" s="7">
        <f>IF($W567="","",SUMIFS('Per Line'!$O$2:$O$3001,'Per Line'!$B$2:$B$3001,$B567,'Per Line'!$AB$2:$AB$3001,1))</f>
        <v/>
      </c>
      <c r="R567" s="7">
        <f>IF($W567="","",Q567*P567)</f>
        <v/>
      </c>
      <c r="S567" s="7">
        <f>IF($W567="","",R567+O567)</f>
        <v/>
      </c>
      <c r="T567" s="7">
        <f>IF($W567="","",V567-S567)</f>
        <v/>
      </c>
      <c r="U567" s="7">
        <f>IF($W567="","",V567-S567-K567)</f>
        <v/>
      </c>
      <c r="V567" s="7">
        <f>IF($W567="","",N567+Q567)</f>
        <v/>
      </c>
      <c r="W567" s="16">
        <f>IF(ROWS($W$2:$W567)&lt;=MAX('Per Line'!$AA$2:$AA$3001),MATCH(ROWS($W$2:$W567),'Per Line'!$AA$2:$AA$3001,0),"")</f>
        <v/>
      </c>
      <c r="X567">
        <f>IF($W567="","",D567&amp;"|"&amp;COUNTIF($D$2:$D567,D567))</f>
        <v/>
      </c>
    </row>
    <row r="568">
      <c r="A568" s="15" t="n"/>
      <c r="B568">
        <f>IF($W568="","",INDEX('Per Line'!$B$2:$B$3001,$W568)&amp;"")</f>
        <v/>
      </c>
      <c r="C568">
        <f>IF($W568="","",INDEX('Per Line'!$C$2:$C$3001,$W568)&amp;"")</f>
        <v/>
      </c>
      <c r="D568">
        <f>IF($W568="","",IF(OR(TRIM(E568)="Orient Insurance Company",TRIM(E568)="Allianz"),TRIM(E568),TRIM(F568)))</f>
        <v/>
      </c>
      <c r="E568">
        <f>IF($W568="","",INDEX('Per Line'!$E$2:$E$3001,$W568)&amp;"")</f>
        <v/>
      </c>
      <c r="F568">
        <f>IF($W568="","",INDEX('Per Line'!$D$2:$D$3001,$W568)&amp;"")</f>
        <v/>
      </c>
      <c r="G568">
        <f>IF($W568="","",INDEX('Per Line'!$F$2:$F$3001,$W568)&amp;"")</f>
        <v/>
      </c>
      <c r="H568">
        <f>IF($W568="","",INDEX('Per Line'!$G$2:$G$3001,$W568)&amp;"")</f>
        <v/>
      </c>
      <c r="I568">
        <f>IF($W568="","",INDEX('Per Line'!$H$2:$H$3001,$W568)&amp;"")</f>
        <v/>
      </c>
      <c r="J568">
        <f>IF($W568="","",INDEX('Per Line'!$I$2:$I$3001,$W568))</f>
        <v/>
      </c>
      <c r="K568" s="7">
        <f>IF($W568="","",J568*T568/100)</f>
        <v/>
      </c>
      <c r="L568" s="14">
        <f>IF($W568="","",INDEX('Per Line'!$V$2:$V$3001,$W568))</f>
        <v/>
      </c>
      <c r="M568">
        <f>IF($W568="","",IF(ISNUMBER(SEARCH("3&amp;12",SUBSTITUTE(F568," ",""))),Settings!$G$7,Settings!$C$7))</f>
        <v/>
      </c>
      <c r="N568" s="7">
        <f>IF($W568="","",SUMIFS('Per Line'!$O$2:$O$3001,'Per Line'!$B$2:$B$3001,$B568,'Per Line'!$AB$2:$AB$3001,0))</f>
        <v/>
      </c>
      <c r="O568" s="7">
        <f>IF($W568="","",N568*M568)</f>
        <v/>
      </c>
      <c r="P568">
        <f>IF($W568="","",IF(ISNUMBER(SEARCH("3&amp;12",SUBSTITUTE(F568," ",""))),Settings!$G$6,Settings!$C$6))</f>
        <v/>
      </c>
      <c r="Q568" s="7">
        <f>IF($W568="","",SUMIFS('Per Line'!$O$2:$O$3001,'Per Line'!$B$2:$B$3001,$B568,'Per Line'!$AB$2:$AB$3001,1))</f>
        <v/>
      </c>
      <c r="R568" s="7">
        <f>IF($W568="","",Q568*P568)</f>
        <v/>
      </c>
      <c r="S568" s="7">
        <f>IF($W568="","",R568+O568)</f>
        <v/>
      </c>
      <c r="T568" s="7">
        <f>IF($W568="","",V568-S568)</f>
        <v/>
      </c>
      <c r="U568" s="7">
        <f>IF($W568="","",V568-S568-K568)</f>
        <v/>
      </c>
      <c r="V568" s="7">
        <f>IF($W568="","",N568+Q568)</f>
        <v/>
      </c>
      <c r="W568" s="16">
        <f>IF(ROWS($W$2:$W568)&lt;=MAX('Per Line'!$AA$2:$AA$3001),MATCH(ROWS($W$2:$W568),'Per Line'!$AA$2:$AA$3001,0),"")</f>
        <v/>
      </c>
      <c r="X568">
        <f>IF($W568="","",D568&amp;"|"&amp;COUNTIF($D$2:$D568,D568))</f>
        <v/>
      </c>
    </row>
    <row r="569">
      <c r="A569" s="15" t="n"/>
      <c r="B569">
        <f>IF($W569="","",INDEX('Per Line'!$B$2:$B$3001,$W569)&amp;"")</f>
        <v/>
      </c>
      <c r="C569">
        <f>IF($W569="","",INDEX('Per Line'!$C$2:$C$3001,$W569)&amp;"")</f>
        <v/>
      </c>
      <c r="D569">
        <f>IF($W569="","",IF(OR(TRIM(E569)="Orient Insurance Company",TRIM(E569)="Allianz"),TRIM(E569),TRIM(F569)))</f>
        <v/>
      </c>
      <c r="E569">
        <f>IF($W569="","",INDEX('Per Line'!$E$2:$E$3001,$W569)&amp;"")</f>
        <v/>
      </c>
      <c r="F569">
        <f>IF($W569="","",INDEX('Per Line'!$D$2:$D$3001,$W569)&amp;"")</f>
        <v/>
      </c>
      <c r="G569">
        <f>IF($W569="","",INDEX('Per Line'!$F$2:$F$3001,$W569)&amp;"")</f>
        <v/>
      </c>
      <c r="H569">
        <f>IF($W569="","",INDEX('Per Line'!$G$2:$G$3001,$W569)&amp;"")</f>
        <v/>
      </c>
      <c r="I569">
        <f>IF($W569="","",INDEX('Per Line'!$H$2:$H$3001,$W569)&amp;"")</f>
        <v/>
      </c>
      <c r="J569">
        <f>IF($W569="","",INDEX('Per Line'!$I$2:$I$3001,$W569))</f>
        <v/>
      </c>
      <c r="K569" s="7">
        <f>IF($W569="","",J569*T569/100)</f>
        <v/>
      </c>
      <c r="L569" s="14">
        <f>IF($W569="","",INDEX('Per Line'!$V$2:$V$3001,$W569))</f>
        <v/>
      </c>
      <c r="M569">
        <f>IF($W569="","",IF(ISNUMBER(SEARCH("3&amp;12",SUBSTITUTE(F569," ",""))),Settings!$G$7,Settings!$C$7))</f>
        <v/>
      </c>
      <c r="N569" s="7">
        <f>IF($W569="","",SUMIFS('Per Line'!$O$2:$O$3001,'Per Line'!$B$2:$B$3001,$B569,'Per Line'!$AB$2:$AB$3001,0))</f>
        <v/>
      </c>
      <c r="O569" s="7">
        <f>IF($W569="","",N569*M569)</f>
        <v/>
      </c>
      <c r="P569">
        <f>IF($W569="","",IF(ISNUMBER(SEARCH("3&amp;12",SUBSTITUTE(F569," ",""))),Settings!$G$6,Settings!$C$6))</f>
        <v/>
      </c>
      <c r="Q569" s="7">
        <f>IF($W569="","",SUMIFS('Per Line'!$O$2:$O$3001,'Per Line'!$B$2:$B$3001,$B569,'Per Line'!$AB$2:$AB$3001,1))</f>
        <v/>
      </c>
      <c r="R569" s="7">
        <f>IF($W569="","",Q569*P569)</f>
        <v/>
      </c>
      <c r="S569" s="7">
        <f>IF($W569="","",R569+O569)</f>
        <v/>
      </c>
      <c r="T569" s="7">
        <f>IF($W569="","",V569-S569)</f>
        <v/>
      </c>
      <c r="U569" s="7">
        <f>IF($W569="","",V569-S569-K569)</f>
        <v/>
      </c>
      <c r="V569" s="7">
        <f>IF($W569="","",N569+Q569)</f>
        <v/>
      </c>
      <c r="W569" s="16">
        <f>IF(ROWS($W$2:$W569)&lt;=MAX('Per Line'!$AA$2:$AA$3001),MATCH(ROWS($W$2:$W569),'Per Line'!$AA$2:$AA$3001,0),"")</f>
        <v/>
      </c>
      <c r="X569">
        <f>IF($W569="","",D569&amp;"|"&amp;COUNTIF($D$2:$D569,D569))</f>
        <v/>
      </c>
    </row>
    <row r="570">
      <c r="A570" s="15" t="n"/>
      <c r="B570">
        <f>IF($W570="","",INDEX('Per Line'!$B$2:$B$3001,$W570)&amp;"")</f>
        <v/>
      </c>
      <c r="C570">
        <f>IF($W570="","",INDEX('Per Line'!$C$2:$C$3001,$W570)&amp;"")</f>
        <v/>
      </c>
      <c r="D570">
        <f>IF($W570="","",IF(OR(TRIM(E570)="Orient Insurance Company",TRIM(E570)="Allianz"),TRIM(E570),TRIM(F570)))</f>
        <v/>
      </c>
      <c r="E570">
        <f>IF($W570="","",INDEX('Per Line'!$E$2:$E$3001,$W570)&amp;"")</f>
        <v/>
      </c>
      <c r="F570">
        <f>IF($W570="","",INDEX('Per Line'!$D$2:$D$3001,$W570)&amp;"")</f>
        <v/>
      </c>
      <c r="G570">
        <f>IF($W570="","",INDEX('Per Line'!$F$2:$F$3001,$W570)&amp;"")</f>
        <v/>
      </c>
      <c r="H570">
        <f>IF($W570="","",INDEX('Per Line'!$G$2:$G$3001,$W570)&amp;"")</f>
        <v/>
      </c>
      <c r="I570">
        <f>IF($W570="","",INDEX('Per Line'!$H$2:$H$3001,$W570)&amp;"")</f>
        <v/>
      </c>
      <c r="J570">
        <f>IF($W570="","",INDEX('Per Line'!$I$2:$I$3001,$W570))</f>
        <v/>
      </c>
      <c r="K570" s="7">
        <f>IF($W570="","",J570*T570/100)</f>
        <v/>
      </c>
      <c r="L570" s="14">
        <f>IF($W570="","",INDEX('Per Line'!$V$2:$V$3001,$W570))</f>
        <v/>
      </c>
      <c r="M570">
        <f>IF($W570="","",IF(ISNUMBER(SEARCH("3&amp;12",SUBSTITUTE(F570," ",""))),Settings!$G$7,Settings!$C$7))</f>
        <v/>
      </c>
      <c r="N570" s="7">
        <f>IF($W570="","",SUMIFS('Per Line'!$O$2:$O$3001,'Per Line'!$B$2:$B$3001,$B570,'Per Line'!$AB$2:$AB$3001,0))</f>
        <v/>
      </c>
      <c r="O570" s="7">
        <f>IF($W570="","",N570*M570)</f>
        <v/>
      </c>
      <c r="P570">
        <f>IF($W570="","",IF(ISNUMBER(SEARCH("3&amp;12",SUBSTITUTE(F570," ",""))),Settings!$G$6,Settings!$C$6))</f>
        <v/>
      </c>
      <c r="Q570" s="7">
        <f>IF($W570="","",SUMIFS('Per Line'!$O$2:$O$3001,'Per Line'!$B$2:$B$3001,$B570,'Per Line'!$AB$2:$AB$3001,1))</f>
        <v/>
      </c>
      <c r="R570" s="7">
        <f>IF($W570="","",Q570*P570)</f>
        <v/>
      </c>
      <c r="S570" s="7">
        <f>IF($W570="","",R570+O570)</f>
        <v/>
      </c>
      <c r="T570" s="7">
        <f>IF($W570="","",V570-S570)</f>
        <v/>
      </c>
      <c r="U570" s="7">
        <f>IF($W570="","",V570-S570-K570)</f>
        <v/>
      </c>
      <c r="V570" s="7">
        <f>IF($W570="","",N570+Q570)</f>
        <v/>
      </c>
      <c r="W570" s="16">
        <f>IF(ROWS($W$2:$W570)&lt;=MAX('Per Line'!$AA$2:$AA$3001),MATCH(ROWS($W$2:$W570),'Per Line'!$AA$2:$AA$3001,0),"")</f>
        <v/>
      </c>
      <c r="X570">
        <f>IF($W570="","",D570&amp;"|"&amp;COUNTIF($D$2:$D570,D570))</f>
        <v/>
      </c>
    </row>
    <row r="571">
      <c r="A571" s="15" t="n"/>
      <c r="B571">
        <f>IF($W571="","",INDEX('Per Line'!$B$2:$B$3001,$W571)&amp;"")</f>
        <v/>
      </c>
      <c r="C571">
        <f>IF($W571="","",INDEX('Per Line'!$C$2:$C$3001,$W571)&amp;"")</f>
        <v/>
      </c>
      <c r="D571">
        <f>IF($W571="","",IF(OR(TRIM(E571)="Orient Insurance Company",TRIM(E571)="Allianz"),TRIM(E571),TRIM(F571)))</f>
        <v/>
      </c>
      <c r="E571">
        <f>IF($W571="","",INDEX('Per Line'!$E$2:$E$3001,$W571)&amp;"")</f>
        <v/>
      </c>
      <c r="F571">
        <f>IF($W571="","",INDEX('Per Line'!$D$2:$D$3001,$W571)&amp;"")</f>
        <v/>
      </c>
      <c r="G571">
        <f>IF($W571="","",INDEX('Per Line'!$F$2:$F$3001,$W571)&amp;"")</f>
        <v/>
      </c>
      <c r="H571">
        <f>IF($W571="","",INDEX('Per Line'!$G$2:$G$3001,$W571)&amp;"")</f>
        <v/>
      </c>
      <c r="I571">
        <f>IF($W571="","",INDEX('Per Line'!$H$2:$H$3001,$W571)&amp;"")</f>
        <v/>
      </c>
      <c r="J571">
        <f>IF($W571="","",INDEX('Per Line'!$I$2:$I$3001,$W571))</f>
        <v/>
      </c>
      <c r="K571" s="7">
        <f>IF($W571="","",J571*T571/100)</f>
        <v/>
      </c>
      <c r="L571" s="14">
        <f>IF($W571="","",INDEX('Per Line'!$V$2:$V$3001,$W571))</f>
        <v/>
      </c>
      <c r="M571">
        <f>IF($W571="","",IF(ISNUMBER(SEARCH("3&amp;12",SUBSTITUTE(F571," ",""))),Settings!$G$7,Settings!$C$7))</f>
        <v/>
      </c>
      <c r="N571" s="7">
        <f>IF($W571="","",SUMIFS('Per Line'!$O$2:$O$3001,'Per Line'!$B$2:$B$3001,$B571,'Per Line'!$AB$2:$AB$3001,0))</f>
        <v/>
      </c>
      <c r="O571" s="7">
        <f>IF($W571="","",N571*M571)</f>
        <v/>
      </c>
      <c r="P571">
        <f>IF($W571="","",IF(ISNUMBER(SEARCH("3&amp;12",SUBSTITUTE(F571," ",""))),Settings!$G$6,Settings!$C$6))</f>
        <v/>
      </c>
      <c r="Q571" s="7">
        <f>IF($W571="","",SUMIFS('Per Line'!$O$2:$O$3001,'Per Line'!$B$2:$B$3001,$B571,'Per Line'!$AB$2:$AB$3001,1))</f>
        <v/>
      </c>
      <c r="R571" s="7">
        <f>IF($W571="","",Q571*P571)</f>
        <v/>
      </c>
      <c r="S571" s="7">
        <f>IF($W571="","",R571+O571)</f>
        <v/>
      </c>
      <c r="T571" s="7">
        <f>IF($W571="","",V571-S571)</f>
        <v/>
      </c>
      <c r="U571" s="7">
        <f>IF($W571="","",V571-S571-K571)</f>
        <v/>
      </c>
      <c r="V571" s="7">
        <f>IF($W571="","",N571+Q571)</f>
        <v/>
      </c>
      <c r="W571" s="16">
        <f>IF(ROWS($W$2:$W571)&lt;=MAX('Per Line'!$AA$2:$AA$3001),MATCH(ROWS($W$2:$W571),'Per Line'!$AA$2:$AA$3001,0),"")</f>
        <v/>
      </c>
      <c r="X571">
        <f>IF($W571="","",D571&amp;"|"&amp;COUNTIF($D$2:$D571,D571))</f>
        <v/>
      </c>
    </row>
    <row r="572">
      <c r="A572" s="15" t="n"/>
      <c r="B572">
        <f>IF($W572="","",INDEX('Per Line'!$B$2:$B$3001,$W572)&amp;"")</f>
        <v/>
      </c>
      <c r="C572">
        <f>IF($W572="","",INDEX('Per Line'!$C$2:$C$3001,$W572)&amp;"")</f>
        <v/>
      </c>
      <c r="D572">
        <f>IF($W572="","",IF(OR(TRIM(E572)="Orient Insurance Company",TRIM(E572)="Allianz"),TRIM(E572),TRIM(F572)))</f>
        <v/>
      </c>
      <c r="E572">
        <f>IF($W572="","",INDEX('Per Line'!$E$2:$E$3001,$W572)&amp;"")</f>
        <v/>
      </c>
      <c r="F572">
        <f>IF($W572="","",INDEX('Per Line'!$D$2:$D$3001,$W572)&amp;"")</f>
        <v/>
      </c>
      <c r="G572">
        <f>IF($W572="","",INDEX('Per Line'!$F$2:$F$3001,$W572)&amp;"")</f>
        <v/>
      </c>
      <c r="H572">
        <f>IF($W572="","",INDEX('Per Line'!$G$2:$G$3001,$W572)&amp;"")</f>
        <v/>
      </c>
      <c r="I572">
        <f>IF($W572="","",INDEX('Per Line'!$H$2:$H$3001,$W572)&amp;"")</f>
        <v/>
      </c>
      <c r="J572">
        <f>IF($W572="","",INDEX('Per Line'!$I$2:$I$3001,$W572))</f>
        <v/>
      </c>
      <c r="K572" s="7">
        <f>IF($W572="","",J572*T572/100)</f>
        <v/>
      </c>
      <c r="L572" s="14">
        <f>IF($W572="","",INDEX('Per Line'!$V$2:$V$3001,$W572))</f>
        <v/>
      </c>
      <c r="M572">
        <f>IF($W572="","",IF(ISNUMBER(SEARCH("3&amp;12",SUBSTITUTE(F572," ",""))),Settings!$G$7,Settings!$C$7))</f>
        <v/>
      </c>
      <c r="N572" s="7">
        <f>IF($W572="","",SUMIFS('Per Line'!$O$2:$O$3001,'Per Line'!$B$2:$B$3001,$B572,'Per Line'!$AB$2:$AB$3001,0))</f>
        <v/>
      </c>
      <c r="O572" s="7">
        <f>IF($W572="","",N572*M572)</f>
        <v/>
      </c>
      <c r="P572">
        <f>IF($W572="","",IF(ISNUMBER(SEARCH("3&amp;12",SUBSTITUTE(F572," ",""))),Settings!$G$6,Settings!$C$6))</f>
        <v/>
      </c>
      <c r="Q572" s="7">
        <f>IF($W572="","",SUMIFS('Per Line'!$O$2:$O$3001,'Per Line'!$B$2:$B$3001,$B572,'Per Line'!$AB$2:$AB$3001,1))</f>
        <v/>
      </c>
      <c r="R572" s="7">
        <f>IF($W572="","",Q572*P572)</f>
        <v/>
      </c>
      <c r="S572" s="7">
        <f>IF($W572="","",R572+O572)</f>
        <v/>
      </c>
      <c r="T572" s="7">
        <f>IF($W572="","",V572-S572)</f>
        <v/>
      </c>
      <c r="U572" s="7">
        <f>IF($W572="","",V572-S572-K572)</f>
        <v/>
      </c>
      <c r="V572" s="7">
        <f>IF($W572="","",N572+Q572)</f>
        <v/>
      </c>
      <c r="W572" s="16">
        <f>IF(ROWS($W$2:$W572)&lt;=MAX('Per Line'!$AA$2:$AA$3001),MATCH(ROWS($W$2:$W572),'Per Line'!$AA$2:$AA$3001,0),"")</f>
        <v/>
      </c>
      <c r="X572">
        <f>IF($W572="","",D572&amp;"|"&amp;COUNTIF($D$2:$D572,D572))</f>
        <v/>
      </c>
    </row>
    <row r="573">
      <c r="A573" s="15" t="n"/>
      <c r="B573">
        <f>IF($W573="","",INDEX('Per Line'!$B$2:$B$3001,$W573)&amp;"")</f>
        <v/>
      </c>
      <c r="C573">
        <f>IF($W573="","",INDEX('Per Line'!$C$2:$C$3001,$W573)&amp;"")</f>
        <v/>
      </c>
      <c r="D573">
        <f>IF($W573="","",IF(OR(TRIM(E573)="Orient Insurance Company",TRIM(E573)="Allianz"),TRIM(E573),TRIM(F573)))</f>
        <v/>
      </c>
      <c r="E573">
        <f>IF($W573="","",INDEX('Per Line'!$E$2:$E$3001,$W573)&amp;"")</f>
        <v/>
      </c>
      <c r="F573">
        <f>IF($W573="","",INDEX('Per Line'!$D$2:$D$3001,$W573)&amp;"")</f>
        <v/>
      </c>
      <c r="G573">
        <f>IF($W573="","",INDEX('Per Line'!$F$2:$F$3001,$W573)&amp;"")</f>
        <v/>
      </c>
      <c r="H573">
        <f>IF($W573="","",INDEX('Per Line'!$G$2:$G$3001,$W573)&amp;"")</f>
        <v/>
      </c>
      <c r="I573">
        <f>IF($W573="","",INDEX('Per Line'!$H$2:$H$3001,$W573)&amp;"")</f>
        <v/>
      </c>
      <c r="J573">
        <f>IF($W573="","",INDEX('Per Line'!$I$2:$I$3001,$W573))</f>
        <v/>
      </c>
      <c r="K573" s="7">
        <f>IF($W573="","",J573*T573/100)</f>
        <v/>
      </c>
      <c r="L573" s="14">
        <f>IF($W573="","",INDEX('Per Line'!$V$2:$V$3001,$W573))</f>
        <v/>
      </c>
      <c r="M573">
        <f>IF($W573="","",IF(ISNUMBER(SEARCH("3&amp;12",SUBSTITUTE(F573," ",""))),Settings!$G$7,Settings!$C$7))</f>
        <v/>
      </c>
      <c r="N573" s="7">
        <f>IF($W573="","",SUMIFS('Per Line'!$O$2:$O$3001,'Per Line'!$B$2:$B$3001,$B573,'Per Line'!$AB$2:$AB$3001,0))</f>
        <v/>
      </c>
      <c r="O573" s="7">
        <f>IF($W573="","",N573*M573)</f>
        <v/>
      </c>
      <c r="P573">
        <f>IF($W573="","",IF(ISNUMBER(SEARCH("3&amp;12",SUBSTITUTE(F573," ",""))),Settings!$G$6,Settings!$C$6))</f>
        <v/>
      </c>
      <c r="Q573" s="7">
        <f>IF($W573="","",SUMIFS('Per Line'!$O$2:$O$3001,'Per Line'!$B$2:$B$3001,$B573,'Per Line'!$AB$2:$AB$3001,1))</f>
        <v/>
      </c>
      <c r="R573" s="7">
        <f>IF($W573="","",Q573*P573)</f>
        <v/>
      </c>
      <c r="S573" s="7">
        <f>IF($W573="","",R573+O573)</f>
        <v/>
      </c>
      <c r="T573" s="7">
        <f>IF($W573="","",V573-S573)</f>
        <v/>
      </c>
      <c r="U573" s="7">
        <f>IF($W573="","",V573-S573-K573)</f>
        <v/>
      </c>
      <c r="V573" s="7">
        <f>IF($W573="","",N573+Q573)</f>
        <v/>
      </c>
      <c r="W573" s="16">
        <f>IF(ROWS($W$2:$W573)&lt;=MAX('Per Line'!$AA$2:$AA$3001),MATCH(ROWS($W$2:$W573),'Per Line'!$AA$2:$AA$3001,0),"")</f>
        <v/>
      </c>
      <c r="X573">
        <f>IF($W573="","",D573&amp;"|"&amp;COUNTIF($D$2:$D573,D573))</f>
        <v/>
      </c>
    </row>
    <row r="574">
      <c r="A574" s="15" t="n"/>
      <c r="B574">
        <f>IF($W574="","",INDEX('Per Line'!$B$2:$B$3001,$W574)&amp;"")</f>
        <v/>
      </c>
      <c r="C574">
        <f>IF($W574="","",INDEX('Per Line'!$C$2:$C$3001,$W574)&amp;"")</f>
        <v/>
      </c>
      <c r="D574">
        <f>IF($W574="","",IF(OR(TRIM(E574)="Orient Insurance Company",TRIM(E574)="Allianz"),TRIM(E574),TRIM(F574)))</f>
        <v/>
      </c>
      <c r="E574">
        <f>IF($W574="","",INDEX('Per Line'!$E$2:$E$3001,$W574)&amp;"")</f>
        <v/>
      </c>
      <c r="F574">
        <f>IF($W574="","",INDEX('Per Line'!$D$2:$D$3001,$W574)&amp;"")</f>
        <v/>
      </c>
      <c r="G574">
        <f>IF($W574="","",INDEX('Per Line'!$F$2:$F$3001,$W574)&amp;"")</f>
        <v/>
      </c>
      <c r="H574">
        <f>IF($W574="","",INDEX('Per Line'!$G$2:$G$3001,$W574)&amp;"")</f>
        <v/>
      </c>
      <c r="I574">
        <f>IF($W574="","",INDEX('Per Line'!$H$2:$H$3001,$W574)&amp;"")</f>
        <v/>
      </c>
      <c r="J574">
        <f>IF($W574="","",INDEX('Per Line'!$I$2:$I$3001,$W574))</f>
        <v/>
      </c>
      <c r="K574" s="7">
        <f>IF($W574="","",J574*T574/100)</f>
        <v/>
      </c>
      <c r="L574" s="14">
        <f>IF($W574="","",INDEX('Per Line'!$V$2:$V$3001,$W574))</f>
        <v/>
      </c>
      <c r="M574">
        <f>IF($W574="","",IF(ISNUMBER(SEARCH("3&amp;12",SUBSTITUTE(F574," ",""))),Settings!$G$7,Settings!$C$7))</f>
        <v/>
      </c>
      <c r="N574" s="7">
        <f>IF($W574="","",SUMIFS('Per Line'!$O$2:$O$3001,'Per Line'!$B$2:$B$3001,$B574,'Per Line'!$AB$2:$AB$3001,0))</f>
        <v/>
      </c>
      <c r="O574" s="7">
        <f>IF($W574="","",N574*M574)</f>
        <v/>
      </c>
      <c r="P574">
        <f>IF($W574="","",IF(ISNUMBER(SEARCH("3&amp;12",SUBSTITUTE(F574," ",""))),Settings!$G$6,Settings!$C$6))</f>
        <v/>
      </c>
      <c r="Q574" s="7">
        <f>IF($W574="","",SUMIFS('Per Line'!$O$2:$O$3001,'Per Line'!$B$2:$B$3001,$B574,'Per Line'!$AB$2:$AB$3001,1))</f>
        <v/>
      </c>
      <c r="R574" s="7">
        <f>IF($W574="","",Q574*P574)</f>
        <v/>
      </c>
      <c r="S574" s="7">
        <f>IF($W574="","",R574+O574)</f>
        <v/>
      </c>
      <c r="T574" s="7">
        <f>IF($W574="","",V574-S574)</f>
        <v/>
      </c>
      <c r="U574" s="7">
        <f>IF($W574="","",V574-S574-K574)</f>
        <v/>
      </c>
      <c r="V574" s="7">
        <f>IF($W574="","",N574+Q574)</f>
        <v/>
      </c>
      <c r="W574" s="16">
        <f>IF(ROWS($W$2:$W574)&lt;=MAX('Per Line'!$AA$2:$AA$3001),MATCH(ROWS($W$2:$W574),'Per Line'!$AA$2:$AA$3001,0),"")</f>
        <v/>
      </c>
      <c r="X574">
        <f>IF($W574="","",D574&amp;"|"&amp;COUNTIF($D$2:$D574,D574))</f>
        <v/>
      </c>
    </row>
    <row r="575">
      <c r="A575" s="15" t="n"/>
      <c r="B575">
        <f>IF($W575="","",INDEX('Per Line'!$B$2:$B$3001,$W575)&amp;"")</f>
        <v/>
      </c>
      <c r="C575">
        <f>IF($W575="","",INDEX('Per Line'!$C$2:$C$3001,$W575)&amp;"")</f>
        <v/>
      </c>
      <c r="D575">
        <f>IF($W575="","",IF(OR(TRIM(E575)="Orient Insurance Company",TRIM(E575)="Allianz"),TRIM(E575),TRIM(F575)))</f>
        <v/>
      </c>
      <c r="E575">
        <f>IF($W575="","",INDEX('Per Line'!$E$2:$E$3001,$W575)&amp;"")</f>
        <v/>
      </c>
      <c r="F575">
        <f>IF($W575="","",INDEX('Per Line'!$D$2:$D$3001,$W575)&amp;"")</f>
        <v/>
      </c>
      <c r="G575">
        <f>IF($W575="","",INDEX('Per Line'!$F$2:$F$3001,$W575)&amp;"")</f>
        <v/>
      </c>
      <c r="H575">
        <f>IF($W575="","",INDEX('Per Line'!$G$2:$G$3001,$W575)&amp;"")</f>
        <v/>
      </c>
      <c r="I575">
        <f>IF($W575="","",INDEX('Per Line'!$H$2:$H$3001,$W575)&amp;"")</f>
        <v/>
      </c>
      <c r="J575">
        <f>IF($W575="","",INDEX('Per Line'!$I$2:$I$3001,$W575))</f>
        <v/>
      </c>
      <c r="K575" s="7">
        <f>IF($W575="","",J575*T575/100)</f>
        <v/>
      </c>
      <c r="L575" s="14">
        <f>IF($W575="","",INDEX('Per Line'!$V$2:$V$3001,$W575))</f>
        <v/>
      </c>
      <c r="M575">
        <f>IF($W575="","",IF(ISNUMBER(SEARCH("3&amp;12",SUBSTITUTE(F575," ",""))),Settings!$G$7,Settings!$C$7))</f>
        <v/>
      </c>
      <c r="N575" s="7">
        <f>IF($W575="","",SUMIFS('Per Line'!$O$2:$O$3001,'Per Line'!$B$2:$B$3001,$B575,'Per Line'!$AB$2:$AB$3001,0))</f>
        <v/>
      </c>
      <c r="O575" s="7">
        <f>IF($W575="","",N575*M575)</f>
        <v/>
      </c>
      <c r="P575">
        <f>IF($W575="","",IF(ISNUMBER(SEARCH("3&amp;12",SUBSTITUTE(F575," ",""))),Settings!$G$6,Settings!$C$6))</f>
        <v/>
      </c>
      <c r="Q575" s="7">
        <f>IF($W575="","",SUMIFS('Per Line'!$O$2:$O$3001,'Per Line'!$B$2:$B$3001,$B575,'Per Line'!$AB$2:$AB$3001,1))</f>
        <v/>
      </c>
      <c r="R575" s="7">
        <f>IF($W575="","",Q575*P575)</f>
        <v/>
      </c>
      <c r="S575" s="7">
        <f>IF($W575="","",R575+O575)</f>
        <v/>
      </c>
      <c r="T575" s="7">
        <f>IF($W575="","",V575-S575)</f>
        <v/>
      </c>
      <c r="U575" s="7">
        <f>IF($W575="","",V575-S575-K575)</f>
        <v/>
      </c>
      <c r="V575" s="7">
        <f>IF($W575="","",N575+Q575)</f>
        <v/>
      </c>
      <c r="W575" s="16">
        <f>IF(ROWS($W$2:$W575)&lt;=MAX('Per Line'!$AA$2:$AA$3001),MATCH(ROWS($W$2:$W575),'Per Line'!$AA$2:$AA$3001,0),"")</f>
        <v/>
      </c>
      <c r="X575">
        <f>IF($W575="","",D575&amp;"|"&amp;COUNTIF($D$2:$D575,D575))</f>
        <v/>
      </c>
    </row>
    <row r="576">
      <c r="A576" s="15" t="n"/>
      <c r="B576">
        <f>IF($W576="","",INDEX('Per Line'!$B$2:$B$3001,$W576)&amp;"")</f>
        <v/>
      </c>
      <c r="C576">
        <f>IF($W576="","",INDEX('Per Line'!$C$2:$C$3001,$W576)&amp;"")</f>
        <v/>
      </c>
      <c r="D576">
        <f>IF($W576="","",IF(OR(TRIM(E576)="Orient Insurance Company",TRIM(E576)="Allianz"),TRIM(E576),TRIM(F576)))</f>
        <v/>
      </c>
      <c r="E576">
        <f>IF($W576="","",INDEX('Per Line'!$E$2:$E$3001,$W576)&amp;"")</f>
        <v/>
      </c>
      <c r="F576">
        <f>IF($W576="","",INDEX('Per Line'!$D$2:$D$3001,$W576)&amp;"")</f>
        <v/>
      </c>
      <c r="G576">
        <f>IF($W576="","",INDEX('Per Line'!$F$2:$F$3001,$W576)&amp;"")</f>
        <v/>
      </c>
      <c r="H576">
        <f>IF($W576="","",INDEX('Per Line'!$G$2:$G$3001,$W576)&amp;"")</f>
        <v/>
      </c>
      <c r="I576">
        <f>IF($W576="","",INDEX('Per Line'!$H$2:$H$3001,$W576)&amp;"")</f>
        <v/>
      </c>
      <c r="J576">
        <f>IF($W576="","",INDEX('Per Line'!$I$2:$I$3001,$W576))</f>
        <v/>
      </c>
      <c r="K576" s="7">
        <f>IF($W576="","",J576*T576/100)</f>
        <v/>
      </c>
      <c r="L576" s="14">
        <f>IF($W576="","",INDEX('Per Line'!$V$2:$V$3001,$W576))</f>
        <v/>
      </c>
      <c r="M576">
        <f>IF($W576="","",IF(ISNUMBER(SEARCH("3&amp;12",SUBSTITUTE(F576," ",""))),Settings!$G$7,Settings!$C$7))</f>
        <v/>
      </c>
      <c r="N576" s="7">
        <f>IF($W576="","",SUMIFS('Per Line'!$O$2:$O$3001,'Per Line'!$B$2:$B$3001,$B576,'Per Line'!$AB$2:$AB$3001,0))</f>
        <v/>
      </c>
      <c r="O576" s="7">
        <f>IF($W576="","",N576*M576)</f>
        <v/>
      </c>
      <c r="P576">
        <f>IF($W576="","",IF(ISNUMBER(SEARCH("3&amp;12",SUBSTITUTE(F576," ",""))),Settings!$G$6,Settings!$C$6))</f>
        <v/>
      </c>
      <c r="Q576" s="7">
        <f>IF($W576="","",SUMIFS('Per Line'!$O$2:$O$3001,'Per Line'!$B$2:$B$3001,$B576,'Per Line'!$AB$2:$AB$3001,1))</f>
        <v/>
      </c>
      <c r="R576" s="7">
        <f>IF($W576="","",Q576*P576)</f>
        <v/>
      </c>
      <c r="S576" s="7">
        <f>IF($W576="","",R576+O576)</f>
        <v/>
      </c>
      <c r="T576" s="7">
        <f>IF($W576="","",V576-S576)</f>
        <v/>
      </c>
      <c r="U576" s="7">
        <f>IF($W576="","",V576-S576-K576)</f>
        <v/>
      </c>
      <c r="V576" s="7">
        <f>IF($W576="","",N576+Q576)</f>
        <v/>
      </c>
      <c r="W576" s="16">
        <f>IF(ROWS($W$2:$W576)&lt;=MAX('Per Line'!$AA$2:$AA$3001),MATCH(ROWS($W$2:$W576),'Per Line'!$AA$2:$AA$3001,0),"")</f>
        <v/>
      </c>
      <c r="X576">
        <f>IF($W576="","",D576&amp;"|"&amp;COUNTIF($D$2:$D576,D576))</f>
        <v/>
      </c>
    </row>
    <row r="577">
      <c r="A577" s="15" t="n"/>
      <c r="B577">
        <f>IF($W577="","",INDEX('Per Line'!$B$2:$B$3001,$W577)&amp;"")</f>
        <v/>
      </c>
      <c r="C577">
        <f>IF($W577="","",INDEX('Per Line'!$C$2:$C$3001,$W577)&amp;"")</f>
        <v/>
      </c>
      <c r="D577">
        <f>IF($W577="","",IF(OR(TRIM(E577)="Orient Insurance Company",TRIM(E577)="Allianz"),TRIM(E577),TRIM(F577)))</f>
        <v/>
      </c>
      <c r="E577">
        <f>IF($W577="","",INDEX('Per Line'!$E$2:$E$3001,$W577)&amp;"")</f>
        <v/>
      </c>
      <c r="F577">
        <f>IF($W577="","",INDEX('Per Line'!$D$2:$D$3001,$W577)&amp;"")</f>
        <v/>
      </c>
      <c r="G577">
        <f>IF($W577="","",INDEX('Per Line'!$F$2:$F$3001,$W577)&amp;"")</f>
        <v/>
      </c>
      <c r="H577">
        <f>IF($W577="","",INDEX('Per Line'!$G$2:$G$3001,$W577)&amp;"")</f>
        <v/>
      </c>
      <c r="I577">
        <f>IF($W577="","",INDEX('Per Line'!$H$2:$H$3001,$W577)&amp;"")</f>
        <v/>
      </c>
      <c r="J577">
        <f>IF($W577="","",INDEX('Per Line'!$I$2:$I$3001,$W577))</f>
        <v/>
      </c>
      <c r="K577" s="7">
        <f>IF($W577="","",J577*T577/100)</f>
        <v/>
      </c>
      <c r="L577" s="14">
        <f>IF($W577="","",INDEX('Per Line'!$V$2:$V$3001,$W577))</f>
        <v/>
      </c>
      <c r="M577">
        <f>IF($W577="","",IF(ISNUMBER(SEARCH("3&amp;12",SUBSTITUTE(F577," ",""))),Settings!$G$7,Settings!$C$7))</f>
        <v/>
      </c>
      <c r="N577" s="7">
        <f>IF($W577="","",SUMIFS('Per Line'!$O$2:$O$3001,'Per Line'!$B$2:$B$3001,$B577,'Per Line'!$AB$2:$AB$3001,0))</f>
        <v/>
      </c>
      <c r="O577" s="7">
        <f>IF($W577="","",N577*M577)</f>
        <v/>
      </c>
      <c r="P577">
        <f>IF($W577="","",IF(ISNUMBER(SEARCH("3&amp;12",SUBSTITUTE(F577," ",""))),Settings!$G$6,Settings!$C$6))</f>
        <v/>
      </c>
      <c r="Q577" s="7">
        <f>IF($W577="","",SUMIFS('Per Line'!$O$2:$O$3001,'Per Line'!$B$2:$B$3001,$B577,'Per Line'!$AB$2:$AB$3001,1))</f>
        <v/>
      </c>
      <c r="R577" s="7">
        <f>IF($W577="","",Q577*P577)</f>
        <v/>
      </c>
      <c r="S577" s="7">
        <f>IF($W577="","",R577+O577)</f>
        <v/>
      </c>
      <c r="T577" s="7">
        <f>IF($W577="","",V577-S577)</f>
        <v/>
      </c>
      <c r="U577" s="7">
        <f>IF($W577="","",V577-S577-K577)</f>
        <v/>
      </c>
      <c r="V577" s="7">
        <f>IF($W577="","",N577+Q577)</f>
        <v/>
      </c>
      <c r="W577" s="16">
        <f>IF(ROWS($W$2:$W577)&lt;=MAX('Per Line'!$AA$2:$AA$3001),MATCH(ROWS($W$2:$W577),'Per Line'!$AA$2:$AA$3001,0),"")</f>
        <v/>
      </c>
      <c r="X577">
        <f>IF($W577="","",D577&amp;"|"&amp;COUNTIF($D$2:$D577,D577))</f>
        <v/>
      </c>
    </row>
    <row r="578">
      <c r="A578" s="15" t="n"/>
      <c r="B578">
        <f>IF($W578="","",INDEX('Per Line'!$B$2:$B$3001,$W578)&amp;"")</f>
        <v/>
      </c>
      <c r="C578">
        <f>IF($W578="","",INDEX('Per Line'!$C$2:$C$3001,$W578)&amp;"")</f>
        <v/>
      </c>
      <c r="D578">
        <f>IF($W578="","",IF(OR(TRIM(E578)="Orient Insurance Company",TRIM(E578)="Allianz"),TRIM(E578),TRIM(F578)))</f>
        <v/>
      </c>
      <c r="E578">
        <f>IF($W578="","",INDEX('Per Line'!$E$2:$E$3001,$W578)&amp;"")</f>
        <v/>
      </c>
      <c r="F578">
        <f>IF($W578="","",INDEX('Per Line'!$D$2:$D$3001,$W578)&amp;"")</f>
        <v/>
      </c>
      <c r="G578">
        <f>IF($W578="","",INDEX('Per Line'!$F$2:$F$3001,$W578)&amp;"")</f>
        <v/>
      </c>
      <c r="H578">
        <f>IF($W578="","",INDEX('Per Line'!$G$2:$G$3001,$W578)&amp;"")</f>
        <v/>
      </c>
      <c r="I578">
        <f>IF($W578="","",INDEX('Per Line'!$H$2:$H$3001,$W578)&amp;"")</f>
        <v/>
      </c>
      <c r="J578">
        <f>IF($W578="","",INDEX('Per Line'!$I$2:$I$3001,$W578))</f>
        <v/>
      </c>
      <c r="K578" s="7">
        <f>IF($W578="","",J578*T578/100)</f>
        <v/>
      </c>
      <c r="L578" s="14">
        <f>IF($W578="","",INDEX('Per Line'!$V$2:$V$3001,$W578))</f>
        <v/>
      </c>
      <c r="M578">
        <f>IF($W578="","",IF(ISNUMBER(SEARCH("3&amp;12",SUBSTITUTE(F578," ",""))),Settings!$G$7,Settings!$C$7))</f>
        <v/>
      </c>
      <c r="N578" s="7">
        <f>IF($W578="","",SUMIFS('Per Line'!$O$2:$O$3001,'Per Line'!$B$2:$B$3001,$B578,'Per Line'!$AB$2:$AB$3001,0))</f>
        <v/>
      </c>
      <c r="O578" s="7">
        <f>IF($W578="","",N578*M578)</f>
        <v/>
      </c>
      <c r="P578">
        <f>IF($W578="","",IF(ISNUMBER(SEARCH("3&amp;12",SUBSTITUTE(F578," ",""))),Settings!$G$6,Settings!$C$6))</f>
        <v/>
      </c>
      <c r="Q578" s="7">
        <f>IF($W578="","",SUMIFS('Per Line'!$O$2:$O$3001,'Per Line'!$B$2:$B$3001,$B578,'Per Line'!$AB$2:$AB$3001,1))</f>
        <v/>
      </c>
      <c r="R578" s="7">
        <f>IF($W578="","",Q578*P578)</f>
        <v/>
      </c>
      <c r="S578" s="7">
        <f>IF($W578="","",R578+O578)</f>
        <v/>
      </c>
      <c r="T578" s="7">
        <f>IF($W578="","",V578-S578)</f>
        <v/>
      </c>
      <c r="U578" s="7">
        <f>IF($W578="","",V578-S578-K578)</f>
        <v/>
      </c>
      <c r="V578" s="7">
        <f>IF($W578="","",N578+Q578)</f>
        <v/>
      </c>
      <c r="W578" s="16">
        <f>IF(ROWS($W$2:$W578)&lt;=MAX('Per Line'!$AA$2:$AA$3001),MATCH(ROWS($W$2:$W578),'Per Line'!$AA$2:$AA$3001,0),"")</f>
        <v/>
      </c>
      <c r="X578">
        <f>IF($W578="","",D578&amp;"|"&amp;COUNTIF($D$2:$D578,D578))</f>
        <v/>
      </c>
    </row>
    <row r="579">
      <c r="A579" s="15" t="n"/>
      <c r="B579">
        <f>IF($W579="","",INDEX('Per Line'!$B$2:$B$3001,$W579)&amp;"")</f>
        <v/>
      </c>
      <c r="C579">
        <f>IF($W579="","",INDEX('Per Line'!$C$2:$C$3001,$W579)&amp;"")</f>
        <v/>
      </c>
      <c r="D579">
        <f>IF($W579="","",IF(OR(TRIM(E579)="Orient Insurance Company",TRIM(E579)="Allianz"),TRIM(E579),TRIM(F579)))</f>
        <v/>
      </c>
      <c r="E579">
        <f>IF($W579="","",INDEX('Per Line'!$E$2:$E$3001,$W579)&amp;"")</f>
        <v/>
      </c>
      <c r="F579">
        <f>IF($W579="","",INDEX('Per Line'!$D$2:$D$3001,$W579)&amp;"")</f>
        <v/>
      </c>
      <c r="G579">
        <f>IF($W579="","",INDEX('Per Line'!$F$2:$F$3001,$W579)&amp;"")</f>
        <v/>
      </c>
      <c r="H579">
        <f>IF($W579="","",INDEX('Per Line'!$G$2:$G$3001,$W579)&amp;"")</f>
        <v/>
      </c>
      <c r="I579">
        <f>IF($W579="","",INDEX('Per Line'!$H$2:$H$3001,$W579)&amp;"")</f>
        <v/>
      </c>
      <c r="J579">
        <f>IF($W579="","",INDEX('Per Line'!$I$2:$I$3001,$W579))</f>
        <v/>
      </c>
      <c r="K579" s="7">
        <f>IF($W579="","",J579*T579/100)</f>
        <v/>
      </c>
      <c r="L579" s="14">
        <f>IF($W579="","",INDEX('Per Line'!$V$2:$V$3001,$W579))</f>
        <v/>
      </c>
      <c r="M579">
        <f>IF($W579="","",IF(ISNUMBER(SEARCH("3&amp;12",SUBSTITUTE(F579," ",""))),Settings!$G$7,Settings!$C$7))</f>
        <v/>
      </c>
      <c r="N579" s="7">
        <f>IF($W579="","",SUMIFS('Per Line'!$O$2:$O$3001,'Per Line'!$B$2:$B$3001,$B579,'Per Line'!$AB$2:$AB$3001,0))</f>
        <v/>
      </c>
      <c r="O579" s="7">
        <f>IF($W579="","",N579*M579)</f>
        <v/>
      </c>
      <c r="P579">
        <f>IF($W579="","",IF(ISNUMBER(SEARCH("3&amp;12",SUBSTITUTE(F579," ",""))),Settings!$G$6,Settings!$C$6))</f>
        <v/>
      </c>
      <c r="Q579" s="7">
        <f>IF($W579="","",SUMIFS('Per Line'!$O$2:$O$3001,'Per Line'!$B$2:$B$3001,$B579,'Per Line'!$AB$2:$AB$3001,1))</f>
        <v/>
      </c>
      <c r="R579" s="7">
        <f>IF($W579="","",Q579*P579)</f>
        <v/>
      </c>
      <c r="S579" s="7">
        <f>IF($W579="","",R579+O579)</f>
        <v/>
      </c>
      <c r="T579" s="7">
        <f>IF($W579="","",V579-S579)</f>
        <v/>
      </c>
      <c r="U579" s="7">
        <f>IF($W579="","",V579-S579-K579)</f>
        <v/>
      </c>
      <c r="V579" s="7">
        <f>IF($W579="","",N579+Q579)</f>
        <v/>
      </c>
      <c r="W579" s="16">
        <f>IF(ROWS($W$2:$W579)&lt;=MAX('Per Line'!$AA$2:$AA$3001),MATCH(ROWS($W$2:$W579),'Per Line'!$AA$2:$AA$3001,0),"")</f>
        <v/>
      </c>
      <c r="X579">
        <f>IF($W579="","",D579&amp;"|"&amp;COUNTIF($D$2:$D579,D579))</f>
        <v/>
      </c>
    </row>
    <row r="580">
      <c r="A580" s="15" t="n"/>
      <c r="B580">
        <f>IF($W580="","",INDEX('Per Line'!$B$2:$B$3001,$W580)&amp;"")</f>
        <v/>
      </c>
      <c r="C580">
        <f>IF($W580="","",INDEX('Per Line'!$C$2:$C$3001,$W580)&amp;"")</f>
        <v/>
      </c>
      <c r="D580">
        <f>IF($W580="","",IF(OR(TRIM(E580)="Orient Insurance Company",TRIM(E580)="Allianz"),TRIM(E580),TRIM(F580)))</f>
        <v/>
      </c>
      <c r="E580">
        <f>IF($W580="","",INDEX('Per Line'!$E$2:$E$3001,$W580)&amp;"")</f>
        <v/>
      </c>
      <c r="F580">
        <f>IF($W580="","",INDEX('Per Line'!$D$2:$D$3001,$W580)&amp;"")</f>
        <v/>
      </c>
      <c r="G580">
        <f>IF($W580="","",INDEX('Per Line'!$F$2:$F$3001,$W580)&amp;"")</f>
        <v/>
      </c>
      <c r="H580">
        <f>IF($W580="","",INDEX('Per Line'!$G$2:$G$3001,$W580)&amp;"")</f>
        <v/>
      </c>
      <c r="I580">
        <f>IF($W580="","",INDEX('Per Line'!$H$2:$H$3001,$W580)&amp;"")</f>
        <v/>
      </c>
      <c r="J580">
        <f>IF($W580="","",INDEX('Per Line'!$I$2:$I$3001,$W580))</f>
        <v/>
      </c>
      <c r="K580" s="7">
        <f>IF($W580="","",J580*T580/100)</f>
        <v/>
      </c>
      <c r="L580" s="14">
        <f>IF($W580="","",INDEX('Per Line'!$V$2:$V$3001,$W580))</f>
        <v/>
      </c>
      <c r="M580">
        <f>IF($W580="","",IF(ISNUMBER(SEARCH("3&amp;12",SUBSTITUTE(F580," ",""))),Settings!$G$7,Settings!$C$7))</f>
        <v/>
      </c>
      <c r="N580" s="7">
        <f>IF($W580="","",SUMIFS('Per Line'!$O$2:$O$3001,'Per Line'!$B$2:$B$3001,$B580,'Per Line'!$AB$2:$AB$3001,0))</f>
        <v/>
      </c>
      <c r="O580" s="7">
        <f>IF($W580="","",N580*M580)</f>
        <v/>
      </c>
      <c r="P580">
        <f>IF($W580="","",IF(ISNUMBER(SEARCH("3&amp;12",SUBSTITUTE(F580," ",""))),Settings!$G$6,Settings!$C$6))</f>
        <v/>
      </c>
      <c r="Q580" s="7">
        <f>IF($W580="","",SUMIFS('Per Line'!$O$2:$O$3001,'Per Line'!$B$2:$B$3001,$B580,'Per Line'!$AB$2:$AB$3001,1))</f>
        <v/>
      </c>
      <c r="R580" s="7">
        <f>IF($W580="","",Q580*P580)</f>
        <v/>
      </c>
      <c r="S580" s="7">
        <f>IF($W580="","",R580+O580)</f>
        <v/>
      </c>
      <c r="T580" s="7">
        <f>IF($W580="","",V580-S580)</f>
        <v/>
      </c>
      <c r="U580" s="7">
        <f>IF($W580="","",V580-S580-K580)</f>
        <v/>
      </c>
      <c r="V580" s="7">
        <f>IF($W580="","",N580+Q580)</f>
        <v/>
      </c>
      <c r="W580" s="16">
        <f>IF(ROWS($W$2:$W580)&lt;=MAX('Per Line'!$AA$2:$AA$3001),MATCH(ROWS($W$2:$W580),'Per Line'!$AA$2:$AA$3001,0),"")</f>
        <v/>
      </c>
      <c r="X580">
        <f>IF($W580="","",D580&amp;"|"&amp;COUNTIF($D$2:$D580,D580))</f>
        <v/>
      </c>
    </row>
    <row r="581">
      <c r="A581" s="15" t="n"/>
      <c r="B581">
        <f>IF($W581="","",INDEX('Per Line'!$B$2:$B$3001,$W581)&amp;"")</f>
        <v/>
      </c>
      <c r="C581">
        <f>IF($W581="","",INDEX('Per Line'!$C$2:$C$3001,$W581)&amp;"")</f>
        <v/>
      </c>
      <c r="D581">
        <f>IF($W581="","",IF(OR(TRIM(E581)="Orient Insurance Company",TRIM(E581)="Allianz"),TRIM(E581),TRIM(F581)))</f>
        <v/>
      </c>
      <c r="E581">
        <f>IF($W581="","",INDEX('Per Line'!$E$2:$E$3001,$W581)&amp;"")</f>
        <v/>
      </c>
      <c r="F581">
        <f>IF($W581="","",INDEX('Per Line'!$D$2:$D$3001,$W581)&amp;"")</f>
        <v/>
      </c>
      <c r="G581">
        <f>IF($W581="","",INDEX('Per Line'!$F$2:$F$3001,$W581)&amp;"")</f>
        <v/>
      </c>
      <c r="H581">
        <f>IF($W581="","",INDEX('Per Line'!$G$2:$G$3001,$W581)&amp;"")</f>
        <v/>
      </c>
      <c r="I581">
        <f>IF($W581="","",INDEX('Per Line'!$H$2:$H$3001,$W581)&amp;"")</f>
        <v/>
      </c>
      <c r="J581">
        <f>IF($W581="","",INDEX('Per Line'!$I$2:$I$3001,$W581))</f>
        <v/>
      </c>
      <c r="K581" s="7">
        <f>IF($W581="","",J581*T581/100)</f>
        <v/>
      </c>
      <c r="L581" s="14">
        <f>IF($W581="","",INDEX('Per Line'!$V$2:$V$3001,$W581))</f>
        <v/>
      </c>
      <c r="M581">
        <f>IF($W581="","",IF(ISNUMBER(SEARCH("3&amp;12",SUBSTITUTE(F581," ",""))),Settings!$G$7,Settings!$C$7))</f>
        <v/>
      </c>
      <c r="N581" s="7">
        <f>IF($W581="","",SUMIFS('Per Line'!$O$2:$O$3001,'Per Line'!$B$2:$B$3001,$B581,'Per Line'!$AB$2:$AB$3001,0))</f>
        <v/>
      </c>
      <c r="O581" s="7">
        <f>IF($W581="","",N581*M581)</f>
        <v/>
      </c>
      <c r="P581">
        <f>IF($W581="","",IF(ISNUMBER(SEARCH("3&amp;12",SUBSTITUTE(F581," ",""))),Settings!$G$6,Settings!$C$6))</f>
        <v/>
      </c>
      <c r="Q581" s="7">
        <f>IF($W581="","",SUMIFS('Per Line'!$O$2:$O$3001,'Per Line'!$B$2:$B$3001,$B581,'Per Line'!$AB$2:$AB$3001,1))</f>
        <v/>
      </c>
      <c r="R581" s="7">
        <f>IF($W581="","",Q581*P581)</f>
        <v/>
      </c>
      <c r="S581" s="7">
        <f>IF($W581="","",R581+O581)</f>
        <v/>
      </c>
      <c r="T581" s="7">
        <f>IF($W581="","",V581-S581)</f>
        <v/>
      </c>
      <c r="U581" s="7">
        <f>IF($W581="","",V581-S581-K581)</f>
        <v/>
      </c>
      <c r="V581" s="7">
        <f>IF($W581="","",N581+Q581)</f>
        <v/>
      </c>
      <c r="W581" s="16">
        <f>IF(ROWS($W$2:$W581)&lt;=MAX('Per Line'!$AA$2:$AA$3001),MATCH(ROWS($W$2:$W581),'Per Line'!$AA$2:$AA$3001,0),"")</f>
        <v/>
      </c>
      <c r="X581">
        <f>IF($W581="","",D581&amp;"|"&amp;COUNTIF($D$2:$D581,D581))</f>
        <v/>
      </c>
    </row>
    <row r="582">
      <c r="A582" s="15" t="n"/>
      <c r="B582">
        <f>IF($W582="","",INDEX('Per Line'!$B$2:$B$3001,$W582)&amp;"")</f>
        <v/>
      </c>
      <c r="C582">
        <f>IF($W582="","",INDEX('Per Line'!$C$2:$C$3001,$W582)&amp;"")</f>
        <v/>
      </c>
      <c r="D582">
        <f>IF($W582="","",IF(OR(TRIM(E582)="Orient Insurance Company",TRIM(E582)="Allianz"),TRIM(E582),TRIM(F582)))</f>
        <v/>
      </c>
      <c r="E582">
        <f>IF($W582="","",INDEX('Per Line'!$E$2:$E$3001,$W582)&amp;"")</f>
        <v/>
      </c>
      <c r="F582">
        <f>IF($W582="","",INDEX('Per Line'!$D$2:$D$3001,$W582)&amp;"")</f>
        <v/>
      </c>
      <c r="G582">
        <f>IF($W582="","",INDEX('Per Line'!$F$2:$F$3001,$W582)&amp;"")</f>
        <v/>
      </c>
      <c r="H582">
        <f>IF($W582="","",INDEX('Per Line'!$G$2:$G$3001,$W582)&amp;"")</f>
        <v/>
      </c>
      <c r="I582">
        <f>IF($W582="","",INDEX('Per Line'!$H$2:$H$3001,$W582)&amp;"")</f>
        <v/>
      </c>
      <c r="J582">
        <f>IF($W582="","",INDEX('Per Line'!$I$2:$I$3001,$W582))</f>
        <v/>
      </c>
      <c r="K582" s="7">
        <f>IF($W582="","",J582*T582/100)</f>
        <v/>
      </c>
      <c r="L582" s="14">
        <f>IF($W582="","",INDEX('Per Line'!$V$2:$V$3001,$W582))</f>
        <v/>
      </c>
      <c r="M582">
        <f>IF($W582="","",IF(ISNUMBER(SEARCH("3&amp;12",SUBSTITUTE(F582," ",""))),Settings!$G$7,Settings!$C$7))</f>
        <v/>
      </c>
      <c r="N582" s="7">
        <f>IF($W582="","",SUMIFS('Per Line'!$O$2:$O$3001,'Per Line'!$B$2:$B$3001,$B582,'Per Line'!$AB$2:$AB$3001,0))</f>
        <v/>
      </c>
      <c r="O582" s="7">
        <f>IF($W582="","",N582*M582)</f>
        <v/>
      </c>
      <c r="P582">
        <f>IF($W582="","",IF(ISNUMBER(SEARCH("3&amp;12",SUBSTITUTE(F582," ",""))),Settings!$G$6,Settings!$C$6))</f>
        <v/>
      </c>
      <c r="Q582" s="7">
        <f>IF($W582="","",SUMIFS('Per Line'!$O$2:$O$3001,'Per Line'!$B$2:$B$3001,$B582,'Per Line'!$AB$2:$AB$3001,1))</f>
        <v/>
      </c>
      <c r="R582" s="7">
        <f>IF($W582="","",Q582*P582)</f>
        <v/>
      </c>
      <c r="S582" s="7">
        <f>IF($W582="","",R582+O582)</f>
        <v/>
      </c>
      <c r="T582" s="7">
        <f>IF($W582="","",V582-S582)</f>
        <v/>
      </c>
      <c r="U582" s="7">
        <f>IF($W582="","",V582-S582-K582)</f>
        <v/>
      </c>
      <c r="V582" s="7">
        <f>IF($W582="","",N582+Q582)</f>
        <v/>
      </c>
      <c r="W582" s="16">
        <f>IF(ROWS($W$2:$W582)&lt;=MAX('Per Line'!$AA$2:$AA$3001),MATCH(ROWS($W$2:$W582),'Per Line'!$AA$2:$AA$3001,0),"")</f>
        <v/>
      </c>
      <c r="X582">
        <f>IF($W582="","",D582&amp;"|"&amp;COUNTIF($D$2:$D582,D582))</f>
        <v/>
      </c>
    </row>
    <row r="583">
      <c r="A583" s="15" t="n"/>
      <c r="B583">
        <f>IF($W583="","",INDEX('Per Line'!$B$2:$B$3001,$W583)&amp;"")</f>
        <v/>
      </c>
      <c r="C583">
        <f>IF($W583="","",INDEX('Per Line'!$C$2:$C$3001,$W583)&amp;"")</f>
        <v/>
      </c>
      <c r="D583">
        <f>IF($W583="","",IF(OR(TRIM(E583)="Orient Insurance Company",TRIM(E583)="Allianz"),TRIM(E583),TRIM(F583)))</f>
        <v/>
      </c>
      <c r="E583">
        <f>IF($W583="","",INDEX('Per Line'!$E$2:$E$3001,$W583)&amp;"")</f>
        <v/>
      </c>
      <c r="F583">
        <f>IF($W583="","",INDEX('Per Line'!$D$2:$D$3001,$W583)&amp;"")</f>
        <v/>
      </c>
      <c r="G583">
        <f>IF($W583="","",INDEX('Per Line'!$F$2:$F$3001,$W583)&amp;"")</f>
        <v/>
      </c>
      <c r="H583">
        <f>IF($W583="","",INDEX('Per Line'!$G$2:$G$3001,$W583)&amp;"")</f>
        <v/>
      </c>
      <c r="I583">
        <f>IF($W583="","",INDEX('Per Line'!$H$2:$H$3001,$W583)&amp;"")</f>
        <v/>
      </c>
      <c r="J583">
        <f>IF($W583="","",INDEX('Per Line'!$I$2:$I$3001,$W583))</f>
        <v/>
      </c>
      <c r="K583" s="7">
        <f>IF($W583="","",J583*T583/100)</f>
        <v/>
      </c>
      <c r="L583" s="14">
        <f>IF($W583="","",INDEX('Per Line'!$V$2:$V$3001,$W583))</f>
        <v/>
      </c>
      <c r="M583">
        <f>IF($W583="","",IF(ISNUMBER(SEARCH("3&amp;12",SUBSTITUTE(F583," ",""))),Settings!$G$7,Settings!$C$7))</f>
        <v/>
      </c>
      <c r="N583" s="7">
        <f>IF($W583="","",SUMIFS('Per Line'!$O$2:$O$3001,'Per Line'!$B$2:$B$3001,$B583,'Per Line'!$AB$2:$AB$3001,0))</f>
        <v/>
      </c>
      <c r="O583" s="7">
        <f>IF($W583="","",N583*M583)</f>
        <v/>
      </c>
      <c r="P583">
        <f>IF($W583="","",IF(ISNUMBER(SEARCH("3&amp;12",SUBSTITUTE(F583," ",""))),Settings!$G$6,Settings!$C$6))</f>
        <v/>
      </c>
      <c r="Q583" s="7">
        <f>IF($W583="","",SUMIFS('Per Line'!$O$2:$O$3001,'Per Line'!$B$2:$B$3001,$B583,'Per Line'!$AB$2:$AB$3001,1))</f>
        <v/>
      </c>
      <c r="R583" s="7">
        <f>IF($W583="","",Q583*P583)</f>
        <v/>
      </c>
      <c r="S583" s="7">
        <f>IF($W583="","",R583+O583)</f>
        <v/>
      </c>
      <c r="T583" s="7">
        <f>IF($W583="","",V583-S583)</f>
        <v/>
      </c>
      <c r="U583" s="7">
        <f>IF($W583="","",V583-S583-K583)</f>
        <v/>
      </c>
      <c r="V583" s="7">
        <f>IF($W583="","",N583+Q583)</f>
        <v/>
      </c>
      <c r="W583" s="16">
        <f>IF(ROWS($W$2:$W583)&lt;=MAX('Per Line'!$AA$2:$AA$3001),MATCH(ROWS($W$2:$W583),'Per Line'!$AA$2:$AA$3001,0),"")</f>
        <v/>
      </c>
      <c r="X583">
        <f>IF($W583="","",D583&amp;"|"&amp;COUNTIF($D$2:$D583,D583))</f>
        <v/>
      </c>
    </row>
    <row r="584">
      <c r="A584" s="15" t="n"/>
      <c r="B584">
        <f>IF($W584="","",INDEX('Per Line'!$B$2:$B$3001,$W584)&amp;"")</f>
        <v/>
      </c>
      <c r="C584">
        <f>IF($W584="","",INDEX('Per Line'!$C$2:$C$3001,$W584)&amp;"")</f>
        <v/>
      </c>
      <c r="D584">
        <f>IF($W584="","",IF(OR(TRIM(E584)="Orient Insurance Company",TRIM(E584)="Allianz"),TRIM(E584),TRIM(F584)))</f>
        <v/>
      </c>
      <c r="E584">
        <f>IF($W584="","",INDEX('Per Line'!$E$2:$E$3001,$W584)&amp;"")</f>
        <v/>
      </c>
      <c r="F584">
        <f>IF($W584="","",INDEX('Per Line'!$D$2:$D$3001,$W584)&amp;"")</f>
        <v/>
      </c>
      <c r="G584">
        <f>IF($W584="","",INDEX('Per Line'!$F$2:$F$3001,$W584)&amp;"")</f>
        <v/>
      </c>
      <c r="H584">
        <f>IF($W584="","",INDEX('Per Line'!$G$2:$G$3001,$W584)&amp;"")</f>
        <v/>
      </c>
      <c r="I584">
        <f>IF($W584="","",INDEX('Per Line'!$H$2:$H$3001,$W584)&amp;"")</f>
        <v/>
      </c>
      <c r="J584">
        <f>IF($W584="","",INDEX('Per Line'!$I$2:$I$3001,$W584))</f>
        <v/>
      </c>
      <c r="K584" s="7">
        <f>IF($W584="","",J584*T584/100)</f>
        <v/>
      </c>
      <c r="L584" s="14">
        <f>IF($W584="","",INDEX('Per Line'!$V$2:$V$3001,$W584))</f>
        <v/>
      </c>
      <c r="M584">
        <f>IF($W584="","",IF(ISNUMBER(SEARCH("3&amp;12",SUBSTITUTE(F584," ",""))),Settings!$G$7,Settings!$C$7))</f>
        <v/>
      </c>
      <c r="N584" s="7">
        <f>IF($W584="","",SUMIFS('Per Line'!$O$2:$O$3001,'Per Line'!$B$2:$B$3001,$B584,'Per Line'!$AB$2:$AB$3001,0))</f>
        <v/>
      </c>
      <c r="O584" s="7">
        <f>IF($W584="","",N584*M584)</f>
        <v/>
      </c>
      <c r="P584">
        <f>IF($W584="","",IF(ISNUMBER(SEARCH("3&amp;12",SUBSTITUTE(F584," ",""))),Settings!$G$6,Settings!$C$6))</f>
        <v/>
      </c>
      <c r="Q584" s="7">
        <f>IF($W584="","",SUMIFS('Per Line'!$O$2:$O$3001,'Per Line'!$B$2:$B$3001,$B584,'Per Line'!$AB$2:$AB$3001,1))</f>
        <v/>
      </c>
      <c r="R584" s="7">
        <f>IF($W584="","",Q584*P584)</f>
        <v/>
      </c>
      <c r="S584" s="7">
        <f>IF($W584="","",R584+O584)</f>
        <v/>
      </c>
      <c r="T584" s="7">
        <f>IF($W584="","",V584-S584)</f>
        <v/>
      </c>
      <c r="U584" s="7">
        <f>IF($W584="","",V584-S584-K584)</f>
        <v/>
      </c>
      <c r="V584" s="7">
        <f>IF($W584="","",N584+Q584)</f>
        <v/>
      </c>
      <c r="W584" s="16">
        <f>IF(ROWS($W$2:$W584)&lt;=MAX('Per Line'!$AA$2:$AA$3001),MATCH(ROWS($W$2:$W584),'Per Line'!$AA$2:$AA$3001,0),"")</f>
        <v/>
      </c>
      <c r="X584">
        <f>IF($W584="","",D584&amp;"|"&amp;COUNTIF($D$2:$D584,D584))</f>
        <v/>
      </c>
    </row>
    <row r="585">
      <c r="A585" s="15" t="n"/>
      <c r="B585">
        <f>IF($W585="","",INDEX('Per Line'!$B$2:$B$3001,$W585)&amp;"")</f>
        <v/>
      </c>
      <c r="C585">
        <f>IF($W585="","",INDEX('Per Line'!$C$2:$C$3001,$W585)&amp;"")</f>
        <v/>
      </c>
      <c r="D585">
        <f>IF($W585="","",IF(OR(TRIM(E585)="Orient Insurance Company",TRIM(E585)="Allianz"),TRIM(E585),TRIM(F585)))</f>
        <v/>
      </c>
      <c r="E585">
        <f>IF($W585="","",INDEX('Per Line'!$E$2:$E$3001,$W585)&amp;"")</f>
        <v/>
      </c>
      <c r="F585">
        <f>IF($W585="","",INDEX('Per Line'!$D$2:$D$3001,$W585)&amp;"")</f>
        <v/>
      </c>
      <c r="G585">
        <f>IF($W585="","",INDEX('Per Line'!$F$2:$F$3001,$W585)&amp;"")</f>
        <v/>
      </c>
      <c r="H585">
        <f>IF($W585="","",INDEX('Per Line'!$G$2:$G$3001,$W585)&amp;"")</f>
        <v/>
      </c>
      <c r="I585">
        <f>IF($W585="","",INDEX('Per Line'!$H$2:$H$3001,$W585)&amp;"")</f>
        <v/>
      </c>
      <c r="J585">
        <f>IF($W585="","",INDEX('Per Line'!$I$2:$I$3001,$W585))</f>
        <v/>
      </c>
      <c r="K585" s="7">
        <f>IF($W585="","",J585*T585/100)</f>
        <v/>
      </c>
      <c r="L585" s="14">
        <f>IF($W585="","",INDEX('Per Line'!$V$2:$V$3001,$W585))</f>
        <v/>
      </c>
      <c r="M585">
        <f>IF($W585="","",IF(ISNUMBER(SEARCH("3&amp;12",SUBSTITUTE(F585," ",""))),Settings!$G$7,Settings!$C$7))</f>
        <v/>
      </c>
      <c r="N585" s="7">
        <f>IF($W585="","",SUMIFS('Per Line'!$O$2:$O$3001,'Per Line'!$B$2:$B$3001,$B585,'Per Line'!$AB$2:$AB$3001,0))</f>
        <v/>
      </c>
      <c r="O585" s="7">
        <f>IF($W585="","",N585*M585)</f>
        <v/>
      </c>
      <c r="P585">
        <f>IF($W585="","",IF(ISNUMBER(SEARCH("3&amp;12",SUBSTITUTE(F585," ",""))),Settings!$G$6,Settings!$C$6))</f>
        <v/>
      </c>
      <c r="Q585" s="7">
        <f>IF($W585="","",SUMIFS('Per Line'!$O$2:$O$3001,'Per Line'!$B$2:$B$3001,$B585,'Per Line'!$AB$2:$AB$3001,1))</f>
        <v/>
      </c>
      <c r="R585" s="7">
        <f>IF($W585="","",Q585*P585)</f>
        <v/>
      </c>
      <c r="S585" s="7">
        <f>IF($W585="","",R585+O585)</f>
        <v/>
      </c>
      <c r="T585" s="7">
        <f>IF($W585="","",V585-S585)</f>
        <v/>
      </c>
      <c r="U585" s="7">
        <f>IF($W585="","",V585-S585-K585)</f>
        <v/>
      </c>
      <c r="V585" s="7">
        <f>IF($W585="","",N585+Q585)</f>
        <v/>
      </c>
      <c r="W585" s="16">
        <f>IF(ROWS($W$2:$W585)&lt;=MAX('Per Line'!$AA$2:$AA$3001),MATCH(ROWS($W$2:$W585),'Per Line'!$AA$2:$AA$3001,0),"")</f>
        <v/>
      </c>
      <c r="X585">
        <f>IF($W585="","",D585&amp;"|"&amp;COUNTIF($D$2:$D585,D585))</f>
        <v/>
      </c>
    </row>
    <row r="586">
      <c r="A586" s="15" t="n"/>
      <c r="B586">
        <f>IF($W586="","",INDEX('Per Line'!$B$2:$B$3001,$W586)&amp;"")</f>
        <v/>
      </c>
      <c r="C586">
        <f>IF($W586="","",INDEX('Per Line'!$C$2:$C$3001,$W586)&amp;"")</f>
        <v/>
      </c>
      <c r="D586">
        <f>IF($W586="","",IF(OR(TRIM(E586)="Orient Insurance Company",TRIM(E586)="Allianz"),TRIM(E586),TRIM(F586)))</f>
        <v/>
      </c>
      <c r="E586">
        <f>IF($W586="","",INDEX('Per Line'!$E$2:$E$3001,$W586)&amp;"")</f>
        <v/>
      </c>
      <c r="F586">
        <f>IF($W586="","",INDEX('Per Line'!$D$2:$D$3001,$W586)&amp;"")</f>
        <v/>
      </c>
      <c r="G586">
        <f>IF($W586="","",INDEX('Per Line'!$F$2:$F$3001,$W586)&amp;"")</f>
        <v/>
      </c>
      <c r="H586">
        <f>IF($W586="","",INDEX('Per Line'!$G$2:$G$3001,$W586)&amp;"")</f>
        <v/>
      </c>
      <c r="I586">
        <f>IF($W586="","",INDEX('Per Line'!$H$2:$H$3001,$W586)&amp;"")</f>
        <v/>
      </c>
      <c r="J586">
        <f>IF($W586="","",INDEX('Per Line'!$I$2:$I$3001,$W586))</f>
        <v/>
      </c>
      <c r="K586" s="7">
        <f>IF($W586="","",J586*T586/100)</f>
        <v/>
      </c>
      <c r="L586" s="14">
        <f>IF($W586="","",INDEX('Per Line'!$V$2:$V$3001,$W586))</f>
        <v/>
      </c>
      <c r="M586">
        <f>IF($W586="","",IF(ISNUMBER(SEARCH("3&amp;12",SUBSTITUTE(F586," ",""))),Settings!$G$7,Settings!$C$7))</f>
        <v/>
      </c>
      <c r="N586" s="7">
        <f>IF($W586="","",SUMIFS('Per Line'!$O$2:$O$3001,'Per Line'!$B$2:$B$3001,$B586,'Per Line'!$AB$2:$AB$3001,0))</f>
        <v/>
      </c>
      <c r="O586" s="7">
        <f>IF($W586="","",N586*M586)</f>
        <v/>
      </c>
      <c r="P586">
        <f>IF($W586="","",IF(ISNUMBER(SEARCH("3&amp;12",SUBSTITUTE(F586," ",""))),Settings!$G$6,Settings!$C$6))</f>
        <v/>
      </c>
      <c r="Q586" s="7">
        <f>IF($W586="","",SUMIFS('Per Line'!$O$2:$O$3001,'Per Line'!$B$2:$B$3001,$B586,'Per Line'!$AB$2:$AB$3001,1))</f>
        <v/>
      </c>
      <c r="R586" s="7">
        <f>IF($W586="","",Q586*P586)</f>
        <v/>
      </c>
      <c r="S586" s="7">
        <f>IF($W586="","",R586+O586)</f>
        <v/>
      </c>
      <c r="T586" s="7">
        <f>IF($W586="","",V586-S586)</f>
        <v/>
      </c>
      <c r="U586" s="7">
        <f>IF($W586="","",V586-S586-K586)</f>
        <v/>
      </c>
      <c r="V586" s="7">
        <f>IF($W586="","",N586+Q586)</f>
        <v/>
      </c>
      <c r="W586" s="16">
        <f>IF(ROWS($W$2:$W586)&lt;=MAX('Per Line'!$AA$2:$AA$3001),MATCH(ROWS($W$2:$W586),'Per Line'!$AA$2:$AA$3001,0),"")</f>
        <v/>
      </c>
      <c r="X586">
        <f>IF($W586="","",D586&amp;"|"&amp;COUNTIF($D$2:$D586,D586))</f>
        <v/>
      </c>
    </row>
    <row r="587">
      <c r="A587" s="15" t="n"/>
      <c r="B587">
        <f>IF($W587="","",INDEX('Per Line'!$B$2:$B$3001,$W587)&amp;"")</f>
        <v/>
      </c>
      <c r="C587">
        <f>IF($W587="","",INDEX('Per Line'!$C$2:$C$3001,$W587)&amp;"")</f>
        <v/>
      </c>
      <c r="D587">
        <f>IF($W587="","",IF(OR(TRIM(E587)="Orient Insurance Company",TRIM(E587)="Allianz"),TRIM(E587),TRIM(F587)))</f>
        <v/>
      </c>
      <c r="E587">
        <f>IF($W587="","",INDEX('Per Line'!$E$2:$E$3001,$W587)&amp;"")</f>
        <v/>
      </c>
      <c r="F587">
        <f>IF($W587="","",INDEX('Per Line'!$D$2:$D$3001,$W587)&amp;"")</f>
        <v/>
      </c>
      <c r="G587">
        <f>IF($W587="","",INDEX('Per Line'!$F$2:$F$3001,$W587)&amp;"")</f>
        <v/>
      </c>
      <c r="H587">
        <f>IF($W587="","",INDEX('Per Line'!$G$2:$G$3001,$W587)&amp;"")</f>
        <v/>
      </c>
      <c r="I587">
        <f>IF($W587="","",INDEX('Per Line'!$H$2:$H$3001,$W587)&amp;"")</f>
        <v/>
      </c>
      <c r="J587">
        <f>IF($W587="","",INDEX('Per Line'!$I$2:$I$3001,$W587))</f>
        <v/>
      </c>
      <c r="K587" s="7">
        <f>IF($W587="","",J587*T587/100)</f>
        <v/>
      </c>
      <c r="L587" s="14">
        <f>IF($W587="","",INDEX('Per Line'!$V$2:$V$3001,$W587))</f>
        <v/>
      </c>
      <c r="M587">
        <f>IF($W587="","",IF(ISNUMBER(SEARCH("3&amp;12",SUBSTITUTE(F587," ",""))),Settings!$G$7,Settings!$C$7))</f>
        <v/>
      </c>
      <c r="N587" s="7">
        <f>IF($W587="","",SUMIFS('Per Line'!$O$2:$O$3001,'Per Line'!$B$2:$B$3001,$B587,'Per Line'!$AB$2:$AB$3001,0))</f>
        <v/>
      </c>
      <c r="O587" s="7">
        <f>IF($W587="","",N587*M587)</f>
        <v/>
      </c>
      <c r="P587">
        <f>IF($W587="","",IF(ISNUMBER(SEARCH("3&amp;12",SUBSTITUTE(F587," ",""))),Settings!$G$6,Settings!$C$6))</f>
        <v/>
      </c>
      <c r="Q587" s="7">
        <f>IF($W587="","",SUMIFS('Per Line'!$O$2:$O$3001,'Per Line'!$B$2:$B$3001,$B587,'Per Line'!$AB$2:$AB$3001,1))</f>
        <v/>
      </c>
      <c r="R587" s="7">
        <f>IF($W587="","",Q587*P587)</f>
        <v/>
      </c>
      <c r="S587" s="7">
        <f>IF($W587="","",R587+O587)</f>
        <v/>
      </c>
      <c r="T587" s="7">
        <f>IF($W587="","",V587-S587)</f>
        <v/>
      </c>
      <c r="U587" s="7">
        <f>IF($W587="","",V587-S587-K587)</f>
        <v/>
      </c>
      <c r="V587" s="7">
        <f>IF($W587="","",N587+Q587)</f>
        <v/>
      </c>
      <c r="W587" s="16">
        <f>IF(ROWS($W$2:$W587)&lt;=MAX('Per Line'!$AA$2:$AA$3001),MATCH(ROWS($W$2:$W587),'Per Line'!$AA$2:$AA$3001,0),"")</f>
        <v/>
      </c>
      <c r="X587">
        <f>IF($W587="","",D587&amp;"|"&amp;COUNTIF($D$2:$D587,D587))</f>
        <v/>
      </c>
    </row>
    <row r="588">
      <c r="A588" s="15" t="n"/>
      <c r="B588">
        <f>IF($W588="","",INDEX('Per Line'!$B$2:$B$3001,$W588)&amp;"")</f>
        <v/>
      </c>
      <c r="C588">
        <f>IF($W588="","",INDEX('Per Line'!$C$2:$C$3001,$W588)&amp;"")</f>
        <v/>
      </c>
      <c r="D588">
        <f>IF($W588="","",IF(OR(TRIM(E588)="Orient Insurance Company",TRIM(E588)="Allianz"),TRIM(E588),TRIM(F588)))</f>
        <v/>
      </c>
      <c r="E588">
        <f>IF($W588="","",INDEX('Per Line'!$E$2:$E$3001,$W588)&amp;"")</f>
        <v/>
      </c>
      <c r="F588">
        <f>IF($W588="","",INDEX('Per Line'!$D$2:$D$3001,$W588)&amp;"")</f>
        <v/>
      </c>
      <c r="G588">
        <f>IF($W588="","",INDEX('Per Line'!$F$2:$F$3001,$W588)&amp;"")</f>
        <v/>
      </c>
      <c r="H588">
        <f>IF($W588="","",INDEX('Per Line'!$G$2:$G$3001,$W588)&amp;"")</f>
        <v/>
      </c>
      <c r="I588">
        <f>IF($W588="","",INDEX('Per Line'!$H$2:$H$3001,$W588)&amp;"")</f>
        <v/>
      </c>
      <c r="J588">
        <f>IF($W588="","",INDEX('Per Line'!$I$2:$I$3001,$W588))</f>
        <v/>
      </c>
      <c r="K588" s="7">
        <f>IF($W588="","",J588*T588/100)</f>
        <v/>
      </c>
      <c r="L588" s="14">
        <f>IF($W588="","",INDEX('Per Line'!$V$2:$V$3001,$W588))</f>
        <v/>
      </c>
      <c r="M588">
        <f>IF($W588="","",IF(ISNUMBER(SEARCH("3&amp;12",SUBSTITUTE(F588," ",""))),Settings!$G$7,Settings!$C$7))</f>
        <v/>
      </c>
      <c r="N588" s="7">
        <f>IF($W588="","",SUMIFS('Per Line'!$O$2:$O$3001,'Per Line'!$B$2:$B$3001,$B588,'Per Line'!$AB$2:$AB$3001,0))</f>
        <v/>
      </c>
      <c r="O588" s="7">
        <f>IF($W588="","",N588*M588)</f>
        <v/>
      </c>
      <c r="P588">
        <f>IF($W588="","",IF(ISNUMBER(SEARCH("3&amp;12",SUBSTITUTE(F588," ",""))),Settings!$G$6,Settings!$C$6))</f>
        <v/>
      </c>
      <c r="Q588" s="7">
        <f>IF($W588="","",SUMIFS('Per Line'!$O$2:$O$3001,'Per Line'!$B$2:$B$3001,$B588,'Per Line'!$AB$2:$AB$3001,1))</f>
        <v/>
      </c>
      <c r="R588" s="7">
        <f>IF($W588="","",Q588*P588)</f>
        <v/>
      </c>
      <c r="S588" s="7">
        <f>IF($W588="","",R588+O588)</f>
        <v/>
      </c>
      <c r="T588" s="7">
        <f>IF($W588="","",V588-S588)</f>
        <v/>
      </c>
      <c r="U588" s="7">
        <f>IF($W588="","",V588-S588-K588)</f>
        <v/>
      </c>
      <c r="V588" s="7">
        <f>IF($W588="","",N588+Q588)</f>
        <v/>
      </c>
      <c r="W588" s="16">
        <f>IF(ROWS($W$2:$W588)&lt;=MAX('Per Line'!$AA$2:$AA$3001),MATCH(ROWS($W$2:$W588),'Per Line'!$AA$2:$AA$3001,0),"")</f>
        <v/>
      </c>
      <c r="X588">
        <f>IF($W588="","",D588&amp;"|"&amp;COUNTIF($D$2:$D588,D588))</f>
        <v/>
      </c>
    </row>
    <row r="589">
      <c r="A589" s="15" t="n"/>
      <c r="B589">
        <f>IF($W589="","",INDEX('Per Line'!$B$2:$B$3001,$W589)&amp;"")</f>
        <v/>
      </c>
      <c r="C589">
        <f>IF($W589="","",INDEX('Per Line'!$C$2:$C$3001,$W589)&amp;"")</f>
        <v/>
      </c>
      <c r="D589">
        <f>IF($W589="","",IF(OR(TRIM(E589)="Orient Insurance Company",TRIM(E589)="Allianz"),TRIM(E589),TRIM(F589)))</f>
        <v/>
      </c>
      <c r="E589">
        <f>IF($W589="","",INDEX('Per Line'!$E$2:$E$3001,$W589)&amp;"")</f>
        <v/>
      </c>
      <c r="F589">
        <f>IF($W589="","",INDEX('Per Line'!$D$2:$D$3001,$W589)&amp;"")</f>
        <v/>
      </c>
      <c r="G589">
        <f>IF($W589="","",INDEX('Per Line'!$F$2:$F$3001,$W589)&amp;"")</f>
        <v/>
      </c>
      <c r="H589">
        <f>IF($W589="","",INDEX('Per Line'!$G$2:$G$3001,$W589)&amp;"")</f>
        <v/>
      </c>
      <c r="I589">
        <f>IF($W589="","",INDEX('Per Line'!$H$2:$H$3001,$W589)&amp;"")</f>
        <v/>
      </c>
      <c r="J589">
        <f>IF($W589="","",INDEX('Per Line'!$I$2:$I$3001,$W589))</f>
        <v/>
      </c>
      <c r="K589" s="7">
        <f>IF($W589="","",J589*T589/100)</f>
        <v/>
      </c>
      <c r="L589" s="14">
        <f>IF($W589="","",INDEX('Per Line'!$V$2:$V$3001,$W589))</f>
        <v/>
      </c>
      <c r="M589">
        <f>IF($W589="","",IF(ISNUMBER(SEARCH("3&amp;12",SUBSTITUTE(F589," ",""))),Settings!$G$7,Settings!$C$7))</f>
        <v/>
      </c>
      <c r="N589" s="7">
        <f>IF($W589="","",SUMIFS('Per Line'!$O$2:$O$3001,'Per Line'!$B$2:$B$3001,$B589,'Per Line'!$AB$2:$AB$3001,0))</f>
        <v/>
      </c>
      <c r="O589" s="7">
        <f>IF($W589="","",N589*M589)</f>
        <v/>
      </c>
      <c r="P589">
        <f>IF($W589="","",IF(ISNUMBER(SEARCH("3&amp;12",SUBSTITUTE(F589," ",""))),Settings!$G$6,Settings!$C$6))</f>
        <v/>
      </c>
      <c r="Q589" s="7">
        <f>IF($W589="","",SUMIFS('Per Line'!$O$2:$O$3001,'Per Line'!$B$2:$B$3001,$B589,'Per Line'!$AB$2:$AB$3001,1))</f>
        <v/>
      </c>
      <c r="R589" s="7">
        <f>IF($W589="","",Q589*P589)</f>
        <v/>
      </c>
      <c r="S589" s="7">
        <f>IF($W589="","",R589+O589)</f>
        <v/>
      </c>
      <c r="T589" s="7">
        <f>IF($W589="","",V589-S589)</f>
        <v/>
      </c>
      <c r="U589" s="7">
        <f>IF($W589="","",V589-S589-K589)</f>
        <v/>
      </c>
      <c r="V589" s="7">
        <f>IF($W589="","",N589+Q589)</f>
        <v/>
      </c>
      <c r="W589" s="16">
        <f>IF(ROWS($W$2:$W589)&lt;=MAX('Per Line'!$AA$2:$AA$3001),MATCH(ROWS($W$2:$W589),'Per Line'!$AA$2:$AA$3001,0),"")</f>
        <v/>
      </c>
      <c r="X589">
        <f>IF($W589="","",D589&amp;"|"&amp;COUNTIF($D$2:$D589,D589))</f>
        <v/>
      </c>
    </row>
    <row r="590">
      <c r="A590" s="15" t="n"/>
      <c r="B590">
        <f>IF($W590="","",INDEX('Per Line'!$B$2:$B$3001,$W590)&amp;"")</f>
        <v/>
      </c>
      <c r="C590">
        <f>IF($W590="","",INDEX('Per Line'!$C$2:$C$3001,$W590)&amp;"")</f>
        <v/>
      </c>
      <c r="D590">
        <f>IF($W590="","",IF(OR(TRIM(E590)="Orient Insurance Company",TRIM(E590)="Allianz"),TRIM(E590),TRIM(F590)))</f>
        <v/>
      </c>
      <c r="E590">
        <f>IF($W590="","",INDEX('Per Line'!$E$2:$E$3001,$W590)&amp;"")</f>
        <v/>
      </c>
      <c r="F590">
        <f>IF($W590="","",INDEX('Per Line'!$D$2:$D$3001,$W590)&amp;"")</f>
        <v/>
      </c>
      <c r="G590">
        <f>IF($W590="","",INDEX('Per Line'!$F$2:$F$3001,$W590)&amp;"")</f>
        <v/>
      </c>
      <c r="H590">
        <f>IF($W590="","",INDEX('Per Line'!$G$2:$G$3001,$W590)&amp;"")</f>
        <v/>
      </c>
      <c r="I590">
        <f>IF($W590="","",INDEX('Per Line'!$H$2:$H$3001,$W590)&amp;"")</f>
        <v/>
      </c>
      <c r="J590">
        <f>IF($W590="","",INDEX('Per Line'!$I$2:$I$3001,$W590))</f>
        <v/>
      </c>
      <c r="K590" s="7">
        <f>IF($W590="","",J590*T590/100)</f>
        <v/>
      </c>
      <c r="L590" s="14">
        <f>IF($W590="","",INDEX('Per Line'!$V$2:$V$3001,$W590))</f>
        <v/>
      </c>
      <c r="M590">
        <f>IF($W590="","",IF(ISNUMBER(SEARCH("3&amp;12",SUBSTITUTE(F590," ",""))),Settings!$G$7,Settings!$C$7))</f>
        <v/>
      </c>
      <c r="N590" s="7">
        <f>IF($W590="","",SUMIFS('Per Line'!$O$2:$O$3001,'Per Line'!$B$2:$B$3001,$B590,'Per Line'!$AB$2:$AB$3001,0))</f>
        <v/>
      </c>
      <c r="O590" s="7">
        <f>IF($W590="","",N590*M590)</f>
        <v/>
      </c>
      <c r="P590">
        <f>IF($W590="","",IF(ISNUMBER(SEARCH("3&amp;12",SUBSTITUTE(F590," ",""))),Settings!$G$6,Settings!$C$6))</f>
        <v/>
      </c>
      <c r="Q590" s="7">
        <f>IF($W590="","",SUMIFS('Per Line'!$O$2:$O$3001,'Per Line'!$B$2:$B$3001,$B590,'Per Line'!$AB$2:$AB$3001,1))</f>
        <v/>
      </c>
      <c r="R590" s="7">
        <f>IF($W590="","",Q590*P590)</f>
        <v/>
      </c>
      <c r="S590" s="7">
        <f>IF($W590="","",R590+O590)</f>
        <v/>
      </c>
      <c r="T590" s="7">
        <f>IF($W590="","",V590-S590)</f>
        <v/>
      </c>
      <c r="U590" s="7">
        <f>IF($W590="","",V590-S590-K590)</f>
        <v/>
      </c>
      <c r="V590" s="7">
        <f>IF($W590="","",N590+Q590)</f>
        <v/>
      </c>
      <c r="W590" s="16">
        <f>IF(ROWS($W$2:$W590)&lt;=MAX('Per Line'!$AA$2:$AA$3001),MATCH(ROWS($W$2:$W590),'Per Line'!$AA$2:$AA$3001,0),"")</f>
        <v/>
      </c>
      <c r="X590">
        <f>IF($W590="","",D590&amp;"|"&amp;COUNTIF($D$2:$D590,D590))</f>
        <v/>
      </c>
    </row>
    <row r="591">
      <c r="A591" s="15" t="n"/>
      <c r="B591">
        <f>IF($W591="","",INDEX('Per Line'!$B$2:$B$3001,$W591)&amp;"")</f>
        <v/>
      </c>
      <c r="C591">
        <f>IF($W591="","",INDEX('Per Line'!$C$2:$C$3001,$W591)&amp;"")</f>
        <v/>
      </c>
      <c r="D591">
        <f>IF($W591="","",IF(OR(TRIM(E591)="Orient Insurance Company",TRIM(E591)="Allianz"),TRIM(E591),TRIM(F591)))</f>
        <v/>
      </c>
      <c r="E591">
        <f>IF($W591="","",INDEX('Per Line'!$E$2:$E$3001,$W591)&amp;"")</f>
        <v/>
      </c>
      <c r="F591">
        <f>IF($W591="","",INDEX('Per Line'!$D$2:$D$3001,$W591)&amp;"")</f>
        <v/>
      </c>
      <c r="G591">
        <f>IF($W591="","",INDEX('Per Line'!$F$2:$F$3001,$W591)&amp;"")</f>
        <v/>
      </c>
      <c r="H591">
        <f>IF($W591="","",INDEX('Per Line'!$G$2:$G$3001,$W591)&amp;"")</f>
        <v/>
      </c>
      <c r="I591">
        <f>IF($W591="","",INDEX('Per Line'!$H$2:$H$3001,$W591)&amp;"")</f>
        <v/>
      </c>
      <c r="J591">
        <f>IF($W591="","",INDEX('Per Line'!$I$2:$I$3001,$W591))</f>
        <v/>
      </c>
      <c r="K591" s="7">
        <f>IF($W591="","",J591*T591/100)</f>
        <v/>
      </c>
      <c r="L591" s="14">
        <f>IF($W591="","",INDEX('Per Line'!$V$2:$V$3001,$W591))</f>
        <v/>
      </c>
      <c r="M591">
        <f>IF($W591="","",IF(ISNUMBER(SEARCH("3&amp;12",SUBSTITUTE(F591," ",""))),Settings!$G$7,Settings!$C$7))</f>
        <v/>
      </c>
      <c r="N591" s="7">
        <f>IF($W591="","",SUMIFS('Per Line'!$O$2:$O$3001,'Per Line'!$B$2:$B$3001,$B591,'Per Line'!$AB$2:$AB$3001,0))</f>
        <v/>
      </c>
      <c r="O591" s="7">
        <f>IF($W591="","",N591*M591)</f>
        <v/>
      </c>
      <c r="P591">
        <f>IF($W591="","",IF(ISNUMBER(SEARCH("3&amp;12",SUBSTITUTE(F591," ",""))),Settings!$G$6,Settings!$C$6))</f>
        <v/>
      </c>
      <c r="Q591" s="7">
        <f>IF($W591="","",SUMIFS('Per Line'!$O$2:$O$3001,'Per Line'!$B$2:$B$3001,$B591,'Per Line'!$AB$2:$AB$3001,1))</f>
        <v/>
      </c>
      <c r="R591" s="7">
        <f>IF($W591="","",Q591*P591)</f>
        <v/>
      </c>
      <c r="S591" s="7">
        <f>IF($W591="","",R591+O591)</f>
        <v/>
      </c>
      <c r="T591" s="7">
        <f>IF($W591="","",V591-S591)</f>
        <v/>
      </c>
      <c r="U591" s="7">
        <f>IF($W591="","",V591-S591-K591)</f>
        <v/>
      </c>
      <c r="V591" s="7">
        <f>IF($W591="","",N591+Q591)</f>
        <v/>
      </c>
      <c r="W591" s="16">
        <f>IF(ROWS($W$2:$W591)&lt;=MAX('Per Line'!$AA$2:$AA$3001),MATCH(ROWS($W$2:$W591),'Per Line'!$AA$2:$AA$3001,0),"")</f>
        <v/>
      </c>
      <c r="X591">
        <f>IF($W591="","",D591&amp;"|"&amp;COUNTIF($D$2:$D591,D591))</f>
        <v/>
      </c>
    </row>
    <row r="592">
      <c r="A592" s="15" t="n"/>
      <c r="B592">
        <f>IF($W592="","",INDEX('Per Line'!$B$2:$B$3001,$W592)&amp;"")</f>
        <v/>
      </c>
      <c r="C592">
        <f>IF($W592="","",INDEX('Per Line'!$C$2:$C$3001,$W592)&amp;"")</f>
        <v/>
      </c>
      <c r="D592">
        <f>IF($W592="","",IF(OR(TRIM(E592)="Orient Insurance Company",TRIM(E592)="Allianz"),TRIM(E592),TRIM(F592)))</f>
        <v/>
      </c>
      <c r="E592">
        <f>IF($W592="","",INDEX('Per Line'!$E$2:$E$3001,$W592)&amp;"")</f>
        <v/>
      </c>
      <c r="F592">
        <f>IF($W592="","",INDEX('Per Line'!$D$2:$D$3001,$W592)&amp;"")</f>
        <v/>
      </c>
      <c r="G592">
        <f>IF($W592="","",INDEX('Per Line'!$F$2:$F$3001,$W592)&amp;"")</f>
        <v/>
      </c>
      <c r="H592">
        <f>IF($W592="","",INDEX('Per Line'!$G$2:$G$3001,$W592)&amp;"")</f>
        <v/>
      </c>
      <c r="I592">
        <f>IF($W592="","",INDEX('Per Line'!$H$2:$H$3001,$W592)&amp;"")</f>
        <v/>
      </c>
      <c r="J592">
        <f>IF($W592="","",INDEX('Per Line'!$I$2:$I$3001,$W592))</f>
        <v/>
      </c>
      <c r="K592" s="7">
        <f>IF($W592="","",J592*T592/100)</f>
        <v/>
      </c>
      <c r="L592" s="14">
        <f>IF($W592="","",INDEX('Per Line'!$V$2:$V$3001,$W592))</f>
        <v/>
      </c>
      <c r="M592">
        <f>IF($W592="","",IF(ISNUMBER(SEARCH("3&amp;12",SUBSTITUTE(F592," ",""))),Settings!$G$7,Settings!$C$7))</f>
        <v/>
      </c>
      <c r="N592" s="7">
        <f>IF($W592="","",SUMIFS('Per Line'!$O$2:$O$3001,'Per Line'!$B$2:$B$3001,$B592,'Per Line'!$AB$2:$AB$3001,0))</f>
        <v/>
      </c>
      <c r="O592" s="7">
        <f>IF($W592="","",N592*M592)</f>
        <v/>
      </c>
      <c r="P592">
        <f>IF($W592="","",IF(ISNUMBER(SEARCH("3&amp;12",SUBSTITUTE(F592," ",""))),Settings!$G$6,Settings!$C$6))</f>
        <v/>
      </c>
      <c r="Q592" s="7">
        <f>IF($W592="","",SUMIFS('Per Line'!$O$2:$O$3001,'Per Line'!$B$2:$B$3001,$B592,'Per Line'!$AB$2:$AB$3001,1))</f>
        <v/>
      </c>
      <c r="R592" s="7">
        <f>IF($W592="","",Q592*P592)</f>
        <v/>
      </c>
      <c r="S592" s="7">
        <f>IF($W592="","",R592+O592)</f>
        <v/>
      </c>
      <c r="T592" s="7">
        <f>IF($W592="","",V592-S592)</f>
        <v/>
      </c>
      <c r="U592" s="7">
        <f>IF($W592="","",V592-S592-K592)</f>
        <v/>
      </c>
      <c r="V592" s="7">
        <f>IF($W592="","",N592+Q592)</f>
        <v/>
      </c>
      <c r="W592" s="16">
        <f>IF(ROWS($W$2:$W592)&lt;=MAX('Per Line'!$AA$2:$AA$3001),MATCH(ROWS($W$2:$W592),'Per Line'!$AA$2:$AA$3001,0),"")</f>
        <v/>
      </c>
      <c r="X592">
        <f>IF($W592="","",D592&amp;"|"&amp;COUNTIF($D$2:$D592,D592))</f>
        <v/>
      </c>
    </row>
    <row r="593">
      <c r="A593" s="15" t="n"/>
      <c r="B593">
        <f>IF($W593="","",INDEX('Per Line'!$B$2:$B$3001,$W593)&amp;"")</f>
        <v/>
      </c>
      <c r="C593">
        <f>IF($W593="","",INDEX('Per Line'!$C$2:$C$3001,$W593)&amp;"")</f>
        <v/>
      </c>
      <c r="D593">
        <f>IF($W593="","",IF(OR(TRIM(E593)="Orient Insurance Company",TRIM(E593)="Allianz"),TRIM(E593),TRIM(F593)))</f>
        <v/>
      </c>
      <c r="E593">
        <f>IF($W593="","",INDEX('Per Line'!$E$2:$E$3001,$W593)&amp;"")</f>
        <v/>
      </c>
      <c r="F593">
        <f>IF($W593="","",INDEX('Per Line'!$D$2:$D$3001,$W593)&amp;"")</f>
        <v/>
      </c>
      <c r="G593">
        <f>IF($W593="","",INDEX('Per Line'!$F$2:$F$3001,$W593)&amp;"")</f>
        <v/>
      </c>
      <c r="H593">
        <f>IF($W593="","",INDEX('Per Line'!$G$2:$G$3001,$W593)&amp;"")</f>
        <v/>
      </c>
      <c r="I593">
        <f>IF($W593="","",INDEX('Per Line'!$H$2:$H$3001,$W593)&amp;"")</f>
        <v/>
      </c>
      <c r="J593">
        <f>IF($W593="","",INDEX('Per Line'!$I$2:$I$3001,$W593))</f>
        <v/>
      </c>
      <c r="K593" s="7">
        <f>IF($W593="","",J593*T593/100)</f>
        <v/>
      </c>
      <c r="L593" s="14">
        <f>IF($W593="","",INDEX('Per Line'!$V$2:$V$3001,$W593))</f>
        <v/>
      </c>
      <c r="M593">
        <f>IF($W593="","",IF(ISNUMBER(SEARCH("3&amp;12",SUBSTITUTE(F593," ",""))),Settings!$G$7,Settings!$C$7))</f>
        <v/>
      </c>
      <c r="N593" s="7">
        <f>IF($W593="","",SUMIFS('Per Line'!$O$2:$O$3001,'Per Line'!$B$2:$B$3001,$B593,'Per Line'!$AB$2:$AB$3001,0))</f>
        <v/>
      </c>
      <c r="O593" s="7">
        <f>IF($W593="","",N593*M593)</f>
        <v/>
      </c>
      <c r="P593">
        <f>IF($W593="","",IF(ISNUMBER(SEARCH("3&amp;12",SUBSTITUTE(F593," ",""))),Settings!$G$6,Settings!$C$6))</f>
        <v/>
      </c>
      <c r="Q593" s="7">
        <f>IF($W593="","",SUMIFS('Per Line'!$O$2:$O$3001,'Per Line'!$B$2:$B$3001,$B593,'Per Line'!$AB$2:$AB$3001,1))</f>
        <v/>
      </c>
      <c r="R593" s="7">
        <f>IF($W593="","",Q593*P593)</f>
        <v/>
      </c>
      <c r="S593" s="7">
        <f>IF($W593="","",R593+O593)</f>
        <v/>
      </c>
      <c r="T593" s="7">
        <f>IF($W593="","",V593-S593)</f>
        <v/>
      </c>
      <c r="U593" s="7">
        <f>IF($W593="","",V593-S593-K593)</f>
        <v/>
      </c>
      <c r="V593" s="7">
        <f>IF($W593="","",N593+Q593)</f>
        <v/>
      </c>
      <c r="W593" s="16">
        <f>IF(ROWS($W$2:$W593)&lt;=MAX('Per Line'!$AA$2:$AA$3001),MATCH(ROWS($W$2:$W593),'Per Line'!$AA$2:$AA$3001,0),"")</f>
        <v/>
      </c>
      <c r="X593">
        <f>IF($W593="","",D593&amp;"|"&amp;COUNTIF($D$2:$D593,D593))</f>
        <v/>
      </c>
    </row>
    <row r="594">
      <c r="A594" s="15" t="n"/>
      <c r="B594">
        <f>IF($W594="","",INDEX('Per Line'!$B$2:$B$3001,$W594)&amp;"")</f>
        <v/>
      </c>
      <c r="C594">
        <f>IF($W594="","",INDEX('Per Line'!$C$2:$C$3001,$W594)&amp;"")</f>
        <v/>
      </c>
      <c r="D594">
        <f>IF($W594="","",IF(OR(TRIM(E594)="Orient Insurance Company",TRIM(E594)="Allianz"),TRIM(E594),TRIM(F594)))</f>
        <v/>
      </c>
      <c r="E594">
        <f>IF($W594="","",INDEX('Per Line'!$E$2:$E$3001,$W594)&amp;"")</f>
        <v/>
      </c>
      <c r="F594">
        <f>IF($W594="","",INDEX('Per Line'!$D$2:$D$3001,$W594)&amp;"")</f>
        <v/>
      </c>
      <c r="G594">
        <f>IF($W594="","",INDEX('Per Line'!$F$2:$F$3001,$W594)&amp;"")</f>
        <v/>
      </c>
      <c r="H594">
        <f>IF($W594="","",INDEX('Per Line'!$G$2:$G$3001,$W594)&amp;"")</f>
        <v/>
      </c>
      <c r="I594">
        <f>IF($W594="","",INDEX('Per Line'!$H$2:$H$3001,$W594)&amp;"")</f>
        <v/>
      </c>
      <c r="J594">
        <f>IF($W594="","",INDEX('Per Line'!$I$2:$I$3001,$W594))</f>
        <v/>
      </c>
      <c r="K594" s="7">
        <f>IF($W594="","",J594*T594/100)</f>
        <v/>
      </c>
      <c r="L594" s="14">
        <f>IF($W594="","",INDEX('Per Line'!$V$2:$V$3001,$W594))</f>
        <v/>
      </c>
      <c r="M594">
        <f>IF($W594="","",IF(ISNUMBER(SEARCH("3&amp;12",SUBSTITUTE(F594," ",""))),Settings!$G$7,Settings!$C$7))</f>
        <v/>
      </c>
      <c r="N594" s="7">
        <f>IF($W594="","",SUMIFS('Per Line'!$O$2:$O$3001,'Per Line'!$B$2:$B$3001,$B594,'Per Line'!$AB$2:$AB$3001,0))</f>
        <v/>
      </c>
      <c r="O594" s="7">
        <f>IF($W594="","",N594*M594)</f>
        <v/>
      </c>
      <c r="P594">
        <f>IF($W594="","",IF(ISNUMBER(SEARCH("3&amp;12",SUBSTITUTE(F594," ",""))),Settings!$G$6,Settings!$C$6))</f>
        <v/>
      </c>
      <c r="Q594" s="7">
        <f>IF($W594="","",SUMIFS('Per Line'!$O$2:$O$3001,'Per Line'!$B$2:$B$3001,$B594,'Per Line'!$AB$2:$AB$3001,1))</f>
        <v/>
      </c>
      <c r="R594" s="7">
        <f>IF($W594="","",Q594*P594)</f>
        <v/>
      </c>
      <c r="S594" s="7">
        <f>IF($W594="","",R594+O594)</f>
        <v/>
      </c>
      <c r="T594" s="7">
        <f>IF($W594="","",V594-S594)</f>
        <v/>
      </c>
      <c r="U594" s="7">
        <f>IF($W594="","",V594-S594-K594)</f>
        <v/>
      </c>
      <c r="V594" s="7">
        <f>IF($W594="","",N594+Q594)</f>
        <v/>
      </c>
      <c r="W594" s="16">
        <f>IF(ROWS($W$2:$W594)&lt;=MAX('Per Line'!$AA$2:$AA$3001),MATCH(ROWS($W$2:$W594),'Per Line'!$AA$2:$AA$3001,0),"")</f>
        <v/>
      </c>
      <c r="X594">
        <f>IF($W594="","",D594&amp;"|"&amp;COUNTIF($D$2:$D594,D594))</f>
        <v/>
      </c>
    </row>
    <row r="595">
      <c r="A595" s="15" t="n"/>
      <c r="B595">
        <f>IF($W595="","",INDEX('Per Line'!$B$2:$B$3001,$W595)&amp;"")</f>
        <v/>
      </c>
      <c r="C595">
        <f>IF($W595="","",INDEX('Per Line'!$C$2:$C$3001,$W595)&amp;"")</f>
        <v/>
      </c>
      <c r="D595">
        <f>IF($W595="","",IF(OR(TRIM(E595)="Orient Insurance Company",TRIM(E595)="Allianz"),TRIM(E595),TRIM(F595)))</f>
        <v/>
      </c>
      <c r="E595">
        <f>IF($W595="","",INDEX('Per Line'!$E$2:$E$3001,$W595)&amp;"")</f>
        <v/>
      </c>
      <c r="F595">
        <f>IF($W595="","",INDEX('Per Line'!$D$2:$D$3001,$W595)&amp;"")</f>
        <v/>
      </c>
      <c r="G595">
        <f>IF($W595="","",INDEX('Per Line'!$F$2:$F$3001,$W595)&amp;"")</f>
        <v/>
      </c>
      <c r="H595">
        <f>IF($W595="","",INDEX('Per Line'!$G$2:$G$3001,$W595)&amp;"")</f>
        <v/>
      </c>
      <c r="I595">
        <f>IF($W595="","",INDEX('Per Line'!$H$2:$H$3001,$W595)&amp;"")</f>
        <v/>
      </c>
      <c r="J595">
        <f>IF($W595="","",INDEX('Per Line'!$I$2:$I$3001,$W595))</f>
        <v/>
      </c>
      <c r="K595" s="7">
        <f>IF($W595="","",J595*T595/100)</f>
        <v/>
      </c>
      <c r="L595" s="14">
        <f>IF($W595="","",INDEX('Per Line'!$V$2:$V$3001,$W595))</f>
        <v/>
      </c>
      <c r="M595">
        <f>IF($W595="","",IF(ISNUMBER(SEARCH("3&amp;12",SUBSTITUTE(F595," ",""))),Settings!$G$7,Settings!$C$7))</f>
        <v/>
      </c>
      <c r="N595" s="7">
        <f>IF($W595="","",SUMIFS('Per Line'!$O$2:$O$3001,'Per Line'!$B$2:$B$3001,$B595,'Per Line'!$AB$2:$AB$3001,0))</f>
        <v/>
      </c>
      <c r="O595" s="7">
        <f>IF($W595="","",N595*M595)</f>
        <v/>
      </c>
      <c r="P595">
        <f>IF($W595="","",IF(ISNUMBER(SEARCH("3&amp;12",SUBSTITUTE(F595," ",""))),Settings!$G$6,Settings!$C$6))</f>
        <v/>
      </c>
      <c r="Q595" s="7">
        <f>IF($W595="","",SUMIFS('Per Line'!$O$2:$O$3001,'Per Line'!$B$2:$B$3001,$B595,'Per Line'!$AB$2:$AB$3001,1))</f>
        <v/>
      </c>
      <c r="R595" s="7">
        <f>IF($W595="","",Q595*P595)</f>
        <v/>
      </c>
      <c r="S595" s="7">
        <f>IF($W595="","",R595+O595)</f>
        <v/>
      </c>
      <c r="T595" s="7">
        <f>IF($W595="","",V595-S595)</f>
        <v/>
      </c>
      <c r="U595" s="7">
        <f>IF($W595="","",V595-S595-K595)</f>
        <v/>
      </c>
      <c r="V595" s="7">
        <f>IF($W595="","",N595+Q595)</f>
        <v/>
      </c>
      <c r="W595" s="16">
        <f>IF(ROWS($W$2:$W595)&lt;=MAX('Per Line'!$AA$2:$AA$3001),MATCH(ROWS($W$2:$W595),'Per Line'!$AA$2:$AA$3001,0),"")</f>
        <v/>
      </c>
      <c r="X595">
        <f>IF($W595="","",D595&amp;"|"&amp;COUNTIF($D$2:$D595,D595))</f>
        <v/>
      </c>
    </row>
    <row r="596">
      <c r="A596" s="15" t="n"/>
      <c r="B596">
        <f>IF($W596="","",INDEX('Per Line'!$B$2:$B$3001,$W596)&amp;"")</f>
        <v/>
      </c>
      <c r="C596">
        <f>IF($W596="","",INDEX('Per Line'!$C$2:$C$3001,$W596)&amp;"")</f>
        <v/>
      </c>
      <c r="D596">
        <f>IF($W596="","",IF(OR(TRIM(E596)="Orient Insurance Company",TRIM(E596)="Allianz"),TRIM(E596),TRIM(F596)))</f>
        <v/>
      </c>
      <c r="E596">
        <f>IF($W596="","",INDEX('Per Line'!$E$2:$E$3001,$W596)&amp;"")</f>
        <v/>
      </c>
      <c r="F596">
        <f>IF($W596="","",INDEX('Per Line'!$D$2:$D$3001,$W596)&amp;"")</f>
        <v/>
      </c>
      <c r="G596">
        <f>IF($W596="","",INDEX('Per Line'!$F$2:$F$3001,$W596)&amp;"")</f>
        <v/>
      </c>
      <c r="H596">
        <f>IF($W596="","",INDEX('Per Line'!$G$2:$G$3001,$W596)&amp;"")</f>
        <v/>
      </c>
      <c r="I596">
        <f>IF($W596="","",INDEX('Per Line'!$H$2:$H$3001,$W596)&amp;"")</f>
        <v/>
      </c>
      <c r="J596">
        <f>IF($W596="","",INDEX('Per Line'!$I$2:$I$3001,$W596))</f>
        <v/>
      </c>
      <c r="K596" s="7">
        <f>IF($W596="","",J596*T596/100)</f>
        <v/>
      </c>
      <c r="L596" s="14">
        <f>IF($W596="","",INDEX('Per Line'!$V$2:$V$3001,$W596))</f>
        <v/>
      </c>
      <c r="M596">
        <f>IF($W596="","",IF(ISNUMBER(SEARCH("3&amp;12",SUBSTITUTE(F596," ",""))),Settings!$G$7,Settings!$C$7))</f>
        <v/>
      </c>
      <c r="N596" s="7">
        <f>IF($W596="","",SUMIFS('Per Line'!$O$2:$O$3001,'Per Line'!$B$2:$B$3001,$B596,'Per Line'!$AB$2:$AB$3001,0))</f>
        <v/>
      </c>
      <c r="O596" s="7">
        <f>IF($W596="","",N596*M596)</f>
        <v/>
      </c>
      <c r="P596">
        <f>IF($W596="","",IF(ISNUMBER(SEARCH("3&amp;12",SUBSTITUTE(F596," ",""))),Settings!$G$6,Settings!$C$6))</f>
        <v/>
      </c>
      <c r="Q596" s="7">
        <f>IF($W596="","",SUMIFS('Per Line'!$O$2:$O$3001,'Per Line'!$B$2:$B$3001,$B596,'Per Line'!$AB$2:$AB$3001,1))</f>
        <v/>
      </c>
      <c r="R596" s="7">
        <f>IF($W596="","",Q596*P596)</f>
        <v/>
      </c>
      <c r="S596" s="7">
        <f>IF($W596="","",R596+O596)</f>
        <v/>
      </c>
      <c r="T596" s="7">
        <f>IF($W596="","",V596-S596)</f>
        <v/>
      </c>
      <c r="U596" s="7">
        <f>IF($W596="","",V596-S596-K596)</f>
        <v/>
      </c>
      <c r="V596" s="7">
        <f>IF($W596="","",N596+Q596)</f>
        <v/>
      </c>
      <c r="W596" s="16">
        <f>IF(ROWS($W$2:$W596)&lt;=MAX('Per Line'!$AA$2:$AA$3001),MATCH(ROWS($W$2:$W596),'Per Line'!$AA$2:$AA$3001,0),"")</f>
        <v/>
      </c>
      <c r="X596">
        <f>IF($W596="","",D596&amp;"|"&amp;COUNTIF($D$2:$D596,D596))</f>
        <v/>
      </c>
    </row>
    <row r="597">
      <c r="A597" s="15" t="n"/>
      <c r="B597">
        <f>IF($W597="","",INDEX('Per Line'!$B$2:$B$3001,$W597)&amp;"")</f>
        <v/>
      </c>
      <c r="C597">
        <f>IF($W597="","",INDEX('Per Line'!$C$2:$C$3001,$W597)&amp;"")</f>
        <v/>
      </c>
      <c r="D597">
        <f>IF($W597="","",IF(OR(TRIM(E597)="Orient Insurance Company",TRIM(E597)="Allianz"),TRIM(E597),TRIM(F597)))</f>
        <v/>
      </c>
      <c r="E597">
        <f>IF($W597="","",INDEX('Per Line'!$E$2:$E$3001,$W597)&amp;"")</f>
        <v/>
      </c>
      <c r="F597">
        <f>IF($W597="","",INDEX('Per Line'!$D$2:$D$3001,$W597)&amp;"")</f>
        <v/>
      </c>
      <c r="G597">
        <f>IF($W597="","",INDEX('Per Line'!$F$2:$F$3001,$W597)&amp;"")</f>
        <v/>
      </c>
      <c r="H597">
        <f>IF($W597="","",INDEX('Per Line'!$G$2:$G$3001,$W597)&amp;"")</f>
        <v/>
      </c>
      <c r="I597">
        <f>IF($W597="","",INDEX('Per Line'!$H$2:$H$3001,$W597)&amp;"")</f>
        <v/>
      </c>
      <c r="J597">
        <f>IF($W597="","",INDEX('Per Line'!$I$2:$I$3001,$W597))</f>
        <v/>
      </c>
      <c r="K597" s="7">
        <f>IF($W597="","",J597*T597/100)</f>
        <v/>
      </c>
      <c r="L597" s="14">
        <f>IF($W597="","",INDEX('Per Line'!$V$2:$V$3001,$W597))</f>
        <v/>
      </c>
      <c r="M597">
        <f>IF($W597="","",IF(ISNUMBER(SEARCH("3&amp;12",SUBSTITUTE(F597," ",""))),Settings!$G$7,Settings!$C$7))</f>
        <v/>
      </c>
      <c r="N597" s="7">
        <f>IF($W597="","",SUMIFS('Per Line'!$O$2:$O$3001,'Per Line'!$B$2:$B$3001,$B597,'Per Line'!$AB$2:$AB$3001,0))</f>
        <v/>
      </c>
      <c r="O597" s="7">
        <f>IF($W597="","",N597*M597)</f>
        <v/>
      </c>
      <c r="P597">
        <f>IF($W597="","",IF(ISNUMBER(SEARCH("3&amp;12",SUBSTITUTE(F597," ",""))),Settings!$G$6,Settings!$C$6))</f>
        <v/>
      </c>
      <c r="Q597" s="7">
        <f>IF($W597="","",SUMIFS('Per Line'!$O$2:$O$3001,'Per Line'!$B$2:$B$3001,$B597,'Per Line'!$AB$2:$AB$3001,1))</f>
        <v/>
      </c>
      <c r="R597" s="7">
        <f>IF($W597="","",Q597*P597)</f>
        <v/>
      </c>
      <c r="S597" s="7">
        <f>IF($W597="","",R597+O597)</f>
        <v/>
      </c>
      <c r="T597" s="7">
        <f>IF($W597="","",V597-S597)</f>
        <v/>
      </c>
      <c r="U597" s="7">
        <f>IF($W597="","",V597-S597-K597)</f>
        <v/>
      </c>
      <c r="V597" s="7">
        <f>IF($W597="","",N597+Q597)</f>
        <v/>
      </c>
      <c r="W597" s="16">
        <f>IF(ROWS($W$2:$W597)&lt;=MAX('Per Line'!$AA$2:$AA$3001),MATCH(ROWS($W$2:$W597),'Per Line'!$AA$2:$AA$3001,0),"")</f>
        <v/>
      </c>
      <c r="X597">
        <f>IF($W597="","",D597&amp;"|"&amp;COUNTIF($D$2:$D597,D597))</f>
        <v/>
      </c>
    </row>
    <row r="598">
      <c r="A598" s="15" t="n"/>
      <c r="B598">
        <f>IF($W598="","",INDEX('Per Line'!$B$2:$B$3001,$W598)&amp;"")</f>
        <v/>
      </c>
      <c r="C598">
        <f>IF($W598="","",INDEX('Per Line'!$C$2:$C$3001,$W598)&amp;"")</f>
        <v/>
      </c>
      <c r="D598">
        <f>IF($W598="","",IF(OR(TRIM(E598)="Orient Insurance Company",TRIM(E598)="Allianz"),TRIM(E598),TRIM(F598)))</f>
        <v/>
      </c>
      <c r="E598">
        <f>IF($W598="","",INDEX('Per Line'!$E$2:$E$3001,$W598)&amp;"")</f>
        <v/>
      </c>
      <c r="F598">
        <f>IF($W598="","",INDEX('Per Line'!$D$2:$D$3001,$W598)&amp;"")</f>
        <v/>
      </c>
      <c r="G598">
        <f>IF($W598="","",INDEX('Per Line'!$F$2:$F$3001,$W598)&amp;"")</f>
        <v/>
      </c>
      <c r="H598">
        <f>IF($W598="","",INDEX('Per Line'!$G$2:$G$3001,$W598)&amp;"")</f>
        <v/>
      </c>
      <c r="I598">
        <f>IF($W598="","",INDEX('Per Line'!$H$2:$H$3001,$W598)&amp;"")</f>
        <v/>
      </c>
      <c r="J598">
        <f>IF($W598="","",INDEX('Per Line'!$I$2:$I$3001,$W598))</f>
        <v/>
      </c>
      <c r="K598" s="7">
        <f>IF($W598="","",J598*T598/100)</f>
        <v/>
      </c>
      <c r="L598" s="14">
        <f>IF($W598="","",INDEX('Per Line'!$V$2:$V$3001,$W598))</f>
        <v/>
      </c>
      <c r="M598">
        <f>IF($W598="","",IF(ISNUMBER(SEARCH("3&amp;12",SUBSTITUTE(F598," ",""))),Settings!$G$7,Settings!$C$7))</f>
        <v/>
      </c>
      <c r="N598" s="7">
        <f>IF($W598="","",SUMIFS('Per Line'!$O$2:$O$3001,'Per Line'!$B$2:$B$3001,$B598,'Per Line'!$AB$2:$AB$3001,0))</f>
        <v/>
      </c>
      <c r="O598" s="7">
        <f>IF($W598="","",N598*M598)</f>
        <v/>
      </c>
      <c r="P598">
        <f>IF($W598="","",IF(ISNUMBER(SEARCH("3&amp;12",SUBSTITUTE(F598," ",""))),Settings!$G$6,Settings!$C$6))</f>
        <v/>
      </c>
      <c r="Q598" s="7">
        <f>IF($W598="","",SUMIFS('Per Line'!$O$2:$O$3001,'Per Line'!$B$2:$B$3001,$B598,'Per Line'!$AB$2:$AB$3001,1))</f>
        <v/>
      </c>
      <c r="R598" s="7">
        <f>IF($W598="","",Q598*P598)</f>
        <v/>
      </c>
      <c r="S598" s="7">
        <f>IF($W598="","",R598+O598)</f>
        <v/>
      </c>
      <c r="T598" s="7">
        <f>IF($W598="","",V598-S598)</f>
        <v/>
      </c>
      <c r="U598" s="7">
        <f>IF($W598="","",V598-S598-K598)</f>
        <v/>
      </c>
      <c r="V598" s="7">
        <f>IF($W598="","",N598+Q598)</f>
        <v/>
      </c>
      <c r="W598" s="16">
        <f>IF(ROWS($W$2:$W598)&lt;=MAX('Per Line'!$AA$2:$AA$3001),MATCH(ROWS($W$2:$W598),'Per Line'!$AA$2:$AA$3001,0),"")</f>
        <v/>
      </c>
      <c r="X598">
        <f>IF($W598="","",D598&amp;"|"&amp;COUNTIF($D$2:$D598,D598))</f>
        <v/>
      </c>
    </row>
    <row r="599">
      <c r="A599" s="15" t="n"/>
      <c r="B599">
        <f>IF($W599="","",INDEX('Per Line'!$B$2:$B$3001,$W599)&amp;"")</f>
        <v/>
      </c>
      <c r="C599">
        <f>IF($W599="","",INDEX('Per Line'!$C$2:$C$3001,$W599)&amp;"")</f>
        <v/>
      </c>
      <c r="D599">
        <f>IF($W599="","",IF(OR(TRIM(E599)="Orient Insurance Company",TRIM(E599)="Allianz"),TRIM(E599),TRIM(F599)))</f>
        <v/>
      </c>
      <c r="E599">
        <f>IF($W599="","",INDEX('Per Line'!$E$2:$E$3001,$W599)&amp;"")</f>
        <v/>
      </c>
      <c r="F599">
        <f>IF($W599="","",INDEX('Per Line'!$D$2:$D$3001,$W599)&amp;"")</f>
        <v/>
      </c>
      <c r="G599">
        <f>IF($W599="","",INDEX('Per Line'!$F$2:$F$3001,$W599)&amp;"")</f>
        <v/>
      </c>
      <c r="H599">
        <f>IF($W599="","",INDEX('Per Line'!$G$2:$G$3001,$W599)&amp;"")</f>
        <v/>
      </c>
      <c r="I599">
        <f>IF($W599="","",INDEX('Per Line'!$H$2:$H$3001,$W599)&amp;"")</f>
        <v/>
      </c>
      <c r="J599">
        <f>IF($W599="","",INDEX('Per Line'!$I$2:$I$3001,$W599))</f>
        <v/>
      </c>
      <c r="K599" s="7">
        <f>IF($W599="","",J599*T599/100)</f>
        <v/>
      </c>
      <c r="L599" s="14">
        <f>IF($W599="","",INDEX('Per Line'!$V$2:$V$3001,$W599))</f>
        <v/>
      </c>
      <c r="M599">
        <f>IF($W599="","",IF(ISNUMBER(SEARCH("3&amp;12",SUBSTITUTE(F599," ",""))),Settings!$G$7,Settings!$C$7))</f>
        <v/>
      </c>
      <c r="N599" s="7">
        <f>IF($W599="","",SUMIFS('Per Line'!$O$2:$O$3001,'Per Line'!$B$2:$B$3001,$B599,'Per Line'!$AB$2:$AB$3001,0))</f>
        <v/>
      </c>
      <c r="O599" s="7">
        <f>IF($W599="","",N599*M599)</f>
        <v/>
      </c>
      <c r="P599">
        <f>IF($W599="","",IF(ISNUMBER(SEARCH("3&amp;12",SUBSTITUTE(F599," ",""))),Settings!$G$6,Settings!$C$6))</f>
        <v/>
      </c>
      <c r="Q599" s="7">
        <f>IF($W599="","",SUMIFS('Per Line'!$O$2:$O$3001,'Per Line'!$B$2:$B$3001,$B599,'Per Line'!$AB$2:$AB$3001,1))</f>
        <v/>
      </c>
      <c r="R599" s="7">
        <f>IF($W599="","",Q599*P599)</f>
        <v/>
      </c>
      <c r="S599" s="7">
        <f>IF($W599="","",R599+O599)</f>
        <v/>
      </c>
      <c r="T599" s="7">
        <f>IF($W599="","",V599-S599)</f>
        <v/>
      </c>
      <c r="U599" s="7">
        <f>IF($W599="","",V599-S599-K599)</f>
        <v/>
      </c>
      <c r="V599" s="7">
        <f>IF($W599="","",N599+Q599)</f>
        <v/>
      </c>
      <c r="W599" s="16">
        <f>IF(ROWS($W$2:$W599)&lt;=MAX('Per Line'!$AA$2:$AA$3001),MATCH(ROWS($W$2:$W599),'Per Line'!$AA$2:$AA$3001,0),"")</f>
        <v/>
      </c>
      <c r="X599">
        <f>IF($W599="","",D599&amp;"|"&amp;COUNTIF($D$2:$D599,D599))</f>
        <v/>
      </c>
    </row>
    <row r="600">
      <c r="A600" s="15" t="n"/>
      <c r="B600">
        <f>IF($W600="","",INDEX('Per Line'!$B$2:$B$3001,$W600)&amp;"")</f>
        <v/>
      </c>
      <c r="C600">
        <f>IF($W600="","",INDEX('Per Line'!$C$2:$C$3001,$W600)&amp;"")</f>
        <v/>
      </c>
      <c r="D600">
        <f>IF($W600="","",IF(OR(TRIM(E600)="Orient Insurance Company",TRIM(E600)="Allianz"),TRIM(E600),TRIM(F600)))</f>
        <v/>
      </c>
      <c r="E600">
        <f>IF($W600="","",INDEX('Per Line'!$E$2:$E$3001,$W600)&amp;"")</f>
        <v/>
      </c>
      <c r="F600">
        <f>IF($W600="","",INDEX('Per Line'!$D$2:$D$3001,$W600)&amp;"")</f>
        <v/>
      </c>
      <c r="G600">
        <f>IF($W600="","",INDEX('Per Line'!$F$2:$F$3001,$W600)&amp;"")</f>
        <v/>
      </c>
      <c r="H600">
        <f>IF($W600="","",INDEX('Per Line'!$G$2:$G$3001,$W600)&amp;"")</f>
        <v/>
      </c>
      <c r="I600">
        <f>IF($W600="","",INDEX('Per Line'!$H$2:$H$3001,$W600)&amp;"")</f>
        <v/>
      </c>
      <c r="J600">
        <f>IF($W600="","",INDEX('Per Line'!$I$2:$I$3001,$W600))</f>
        <v/>
      </c>
      <c r="K600" s="7">
        <f>IF($W600="","",J600*T600/100)</f>
        <v/>
      </c>
      <c r="L600" s="14">
        <f>IF($W600="","",INDEX('Per Line'!$V$2:$V$3001,$W600))</f>
        <v/>
      </c>
      <c r="M600">
        <f>IF($W600="","",IF(ISNUMBER(SEARCH("3&amp;12",SUBSTITUTE(F600," ",""))),Settings!$G$7,Settings!$C$7))</f>
        <v/>
      </c>
      <c r="N600" s="7">
        <f>IF($W600="","",SUMIFS('Per Line'!$O$2:$O$3001,'Per Line'!$B$2:$B$3001,$B600,'Per Line'!$AB$2:$AB$3001,0))</f>
        <v/>
      </c>
      <c r="O600" s="7">
        <f>IF($W600="","",N600*M600)</f>
        <v/>
      </c>
      <c r="P600">
        <f>IF($W600="","",IF(ISNUMBER(SEARCH("3&amp;12",SUBSTITUTE(F600," ",""))),Settings!$G$6,Settings!$C$6))</f>
        <v/>
      </c>
      <c r="Q600" s="7">
        <f>IF($W600="","",SUMIFS('Per Line'!$O$2:$O$3001,'Per Line'!$B$2:$B$3001,$B600,'Per Line'!$AB$2:$AB$3001,1))</f>
        <v/>
      </c>
      <c r="R600" s="7">
        <f>IF($W600="","",Q600*P600)</f>
        <v/>
      </c>
      <c r="S600" s="7">
        <f>IF($W600="","",R600+O600)</f>
        <v/>
      </c>
      <c r="T600" s="7">
        <f>IF($W600="","",V600-S600)</f>
        <v/>
      </c>
      <c r="U600" s="7">
        <f>IF($W600="","",V600-S600-K600)</f>
        <v/>
      </c>
      <c r="V600" s="7">
        <f>IF($W600="","",N600+Q600)</f>
        <v/>
      </c>
      <c r="W600" s="16">
        <f>IF(ROWS($W$2:$W600)&lt;=MAX('Per Line'!$AA$2:$AA$3001),MATCH(ROWS($W$2:$W600),'Per Line'!$AA$2:$AA$3001,0),"")</f>
        <v/>
      </c>
      <c r="X600">
        <f>IF($W600="","",D600&amp;"|"&amp;COUNTIF($D$2:$D600,D600))</f>
        <v/>
      </c>
    </row>
    <row r="601">
      <c r="A601" s="15" t="n"/>
      <c r="B601">
        <f>IF($W601="","",INDEX('Per Line'!$B$2:$B$3001,$W601)&amp;"")</f>
        <v/>
      </c>
      <c r="C601">
        <f>IF($W601="","",INDEX('Per Line'!$C$2:$C$3001,$W601)&amp;"")</f>
        <v/>
      </c>
      <c r="D601">
        <f>IF($W601="","",IF(OR(TRIM(E601)="Orient Insurance Company",TRIM(E601)="Allianz"),TRIM(E601),TRIM(F601)))</f>
        <v/>
      </c>
      <c r="E601">
        <f>IF($W601="","",INDEX('Per Line'!$E$2:$E$3001,$W601)&amp;"")</f>
        <v/>
      </c>
      <c r="F601">
        <f>IF($W601="","",INDEX('Per Line'!$D$2:$D$3001,$W601)&amp;"")</f>
        <v/>
      </c>
      <c r="G601">
        <f>IF($W601="","",INDEX('Per Line'!$F$2:$F$3001,$W601)&amp;"")</f>
        <v/>
      </c>
      <c r="H601">
        <f>IF($W601="","",INDEX('Per Line'!$G$2:$G$3001,$W601)&amp;"")</f>
        <v/>
      </c>
      <c r="I601">
        <f>IF($W601="","",INDEX('Per Line'!$H$2:$H$3001,$W601)&amp;"")</f>
        <v/>
      </c>
      <c r="J601">
        <f>IF($W601="","",INDEX('Per Line'!$I$2:$I$3001,$W601))</f>
        <v/>
      </c>
      <c r="K601" s="7">
        <f>IF($W601="","",J601*T601/100)</f>
        <v/>
      </c>
      <c r="L601" s="14">
        <f>IF($W601="","",INDEX('Per Line'!$V$2:$V$3001,$W601))</f>
        <v/>
      </c>
      <c r="M601">
        <f>IF($W601="","",IF(ISNUMBER(SEARCH("3&amp;12",SUBSTITUTE(F601," ",""))),Settings!$G$7,Settings!$C$7))</f>
        <v/>
      </c>
      <c r="N601" s="7">
        <f>IF($W601="","",SUMIFS('Per Line'!$O$2:$O$3001,'Per Line'!$B$2:$B$3001,$B601,'Per Line'!$AB$2:$AB$3001,0))</f>
        <v/>
      </c>
      <c r="O601" s="7">
        <f>IF($W601="","",N601*M601)</f>
        <v/>
      </c>
      <c r="P601">
        <f>IF($W601="","",IF(ISNUMBER(SEARCH("3&amp;12",SUBSTITUTE(F601," ",""))),Settings!$G$6,Settings!$C$6))</f>
        <v/>
      </c>
      <c r="Q601" s="7">
        <f>IF($W601="","",SUMIFS('Per Line'!$O$2:$O$3001,'Per Line'!$B$2:$B$3001,$B601,'Per Line'!$AB$2:$AB$3001,1))</f>
        <v/>
      </c>
      <c r="R601" s="7">
        <f>IF($W601="","",Q601*P601)</f>
        <v/>
      </c>
      <c r="S601" s="7">
        <f>IF($W601="","",R601+O601)</f>
        <v/>
      </c>
      <c r="T601" s="7">
        <f>IF($W601="","",V601-S601)</f>
        <v/>
      </c>
      <c r="U601" s="7">
        <f>IF($W601="","",V601-S601-K601)</f>
        <v/>
      </c>
      <c r="V601" s="7">
        <f>IF($W601="","",N601+Q601)</f>
        <v/>
      </c>
      <c r="W601" s="16">
        <f>IF(ROWS($W$2:$W601)&lt;=MAX('Per Line'!$AA$2:$AA$3001),MATCH(ROWS($W$2:$W601),'Per Line'!$AA$2:$AA$3001,0),"")</f>
        <v/>
      </c>
      <c r="X601">
        <f>IF($W601="","",D601&amp;"|"&amp;COUNTIF($D$2:$D601,D601))</f>
        <v/>
      </c>
    </row>
    <row r="602">
      <c r="A602" s="15" t="n"/>
      <c r="B602">
        <f>IF($W602="","",INDEX('Per Line'!$B$2:$B$3001,$W602)&amp;"")</f>
        <v/>
      </c>
      <c r="C602">
        <f>IF($W602="","",INDEX('Per Line'!$C$2:$C$3001,$W602)&amp;"")</f>
        <v/>
      </c>
      <c r="D602">
        <f>IF($W602="","",IF(OR(TRIM(E602)="Orient Insurance Company",TRIM(E602)="Allianz"),TRIM(E602),TRIM(F602)))</f>
        <v/>
      </c>
      <c r="E602">
        <f>IF($W602="","",INDEX('Per Line'!$E$2:$E$3001,$W602)&amp;"")</f>
        <v/>
      </c>
      <c r="F602">
        <f>IF($W602="","",INDEX('Per Line'!$D$2:$D$3001,$W602)&amp;"")</f>
        <v/>
      </c>
      <c r="G602">
        <f>IF($W602="","",INDEX('Per Line'!$F$2:$F$3001,$W602)&amp;"")</f>
        <v/>
      </c>
      <c r="H602">
        <f>IF($W602="","",INDEX('Per Line'!$G$2:$G$3001,$W602)&amp;"")</f>
        <v/>
      </c>
      <c r="I602">
        <f>IF($W602="","",INDEX('Per Line'!$H$2:$H$3001,$W602)&amp;"")</f>
        <v/>
      </c>
      <c r="J602">
        <f>IF($W602="","",INDEX('Per Line'!$I$2:$I$3001,$W602))</f>
        <v/>
      </c>
      <c r="K602" s="7">
        <f>IF($W602="","",J602*T602/100)</f>
        <v/>
      </c>
      <c r="L602" s="14">
        <f>IF($W602="","",INDEX('Per Line'!$V$2:$V$3001,$W602))</f>
        <v/>
      </c>
      <c r="M602">
        <f>IF($W602="","",IF(ISNUMBER(SEARCH("3&amp;12",SUBSTITUTE(F602," ",""))),Settings!$G$7,Settings!$C$7))</f>
        <v/>
      </c>
      <c r="N602" s="7">
        <f>IF($W602="","",SUMIFS('Per Line'!$O$2:$O$3001,'Per Line'!$B$2:$B$3001,$B602,'Per Line'!$AB$2:$AB$3001,0))</f>
        <v/>
      </c>
      <c r="O602" s="7">
        <f>IF($W602="","",N602*M602)</f>
        <v/>
      </c>
      <c r="P602">
        <f>IF($W602="","",IF(ISNUMBER(SEARCH("3&amp;12",SUBSTITUTE(F602," ",""))),Settings!$G$6,Settings!$C$6))</f>
        <v/>
      </c>
      <c r="Q602" s="7">
        <f>IF($W602="","",SUMIFS('Per Line'!$O$2:$O$3001,'Per Line'!$B$2:$B$3001,$B602,'Per Line'!$AB$2:$AB$3001,1))</f>
        <v/>
      </c>
      <c r="R602" s="7">
        <f>IF($W602="","",Q602*P602)</f>
        <v/>
      </c>
      <c r="S602" s="7">
        <f>IF($W602="","",R602+O602)</f>
        <v/>
      </c>
      <c r="T602" s="7">
        <f>IF($W602="","",V602-S602)</f>
        <v/>
      </c>
      <c r="U602" s="7">
        <f>IF($W602="","",V602-S602-K602)</f>
        <v/>
      </c>
      <c r="V602" s="7">
        <f>IF($W602="","",N602+Q602)</f>
        <v/>
      </c>
      <c r="W602" s="16">
        <f>IF(ROWS($W$2:$W602)&lt;=MAX('Per Line'!$AA$2:$AA$3001),MATCH(ROWS($W$2:$W602),'Per Line'!$AA$2:$AA$3001,0),"")</f>
        <v/>
      </c>
      <c r="X602">
        <f>IF($W602="","",D602&amp;"|"&amp;COUNTIF($D$2:$D602,D602))</f>
        <v/>
      </c>
    </row>
    <row r="603">
      <c r="A603" s="15" t="n"/>
      <c r="B603">
        <f>IF($W603="","",INDEX('Per Line'!$B$2:$B$3001,$W603)&amp;"")</f>
        <v/>
      </c>
      <c r="C603">
        <f>IF($W603="","",INDEX('Per Line'!$C$2:$C$3001,$W603)&amp;"")</f>
        <v/>
      </c>
      <c r="D603">
        <f>IF($W603="","",IF(OR(TRIM(E603)="Orient Insurance Company",TRIM(E603)="Allianz"),TRIM(E603),TRIM(F603)))</f>
        <v/>
      </c>
      <c r="E603">
        <f>IF($W603="","",INDEX('Per Line'!$E$2:$E$3001,$W603)&amp;"")</f>
        <v/>
      </c>
      <c r="F603">
        <f>IF($W603="","",INDEX('Per Line'!$D$2:$D$3001,$W603)&amp;"")</f>
        <v/>
      </c>
      <c r="G603">
        <f>IF($W603="","",INDEX('Per Line'!$F$2:$F$3001,$W603)&amp;"")</f>
        <v/>
      </c>
      <c r="H603">
        <f>IF($W603="","",INDEX('Per Line'!$G$2:$G$3001,$W603)&amp;"")</f>
        <v/>
      </c>
      <c r="I603">
        <f>IF($W603="","",INDEX('Per Line'!$H$2:$H$3001,$W603)&amp;"")</f>
        <v/>
      </c>
      <c r="J603">
        <f>IF($W603="","",INDEX('Per Line'!$I$2:$I$3001,$W603))</f>
        <v/>
      </c>
      <c r="K603" s="7">
        <f>IF($W603="","",J603*T603/100)</f>
        <v/>
      </c>
      <c r="L603" s="14">
        <f>IF($W603="","",INDEX('Per Line'!$V$2:$V$3001,$W603))</f>
        <v/>
      </c>
      <c r="M603">
        <f>IF($W603="","",IF(ISNUMBER(SEARCH("3&amp;12",SUBSTITUTE(F603," ",""))),Settings!$G$7,Settings!$C$7))</f>
        <v/>
      </c>
      <c r="N603" s="7">
        <f>IF($W603="","",SUMIFS('Per Line'!$O$2:$O$3001,'Per Line'!$B$2:$B$3001,$B603,'Per Line'!$AB$2:$AB$3001,0))</f>
        <v/>
      </c>
      <c r="O603" s="7">
        <f>IF($W603="","",N603*M603)</f>
        <v/>
      </c>
      <c r="P603">
        <f>IF($W603="","",IF(ISNUMBER(SEARCH("3&amp;12",SUBSTITUTE(F603," ",""))),Settings!$G$6,Settings!$C$6))</f>
        <v/>
      </c>
      <c r="Q603" s="7">
        <f>IF($W603="","",SUMIFS('Per Line'!$O$2:$O$3001,'Per Line'!$B$2:$B$3001,$B603,'Per Line'!$AB$2:$AB$3001,1))</f>
        <v/>
      </c>
      <c r="R603" s="7">
        <f>IF($W603="","",Q603*P603)</f>
        <v/>
      </c>
      <c r="S603" s="7">
        <f>IF($W603="","",R603+O603)</f>
        <v/>
      </c>
      <c r="T603" s="7">
        <f>IF($W603="","",V603-S603)</f>
        <v/>
      </c>
      <c r="U603" s="7">
        <f>IF($W603="","",V603-S603-K603)</f>
        <v/>
      </c>
      <c r="V603" s="7">
        <f>IF($W603="","",N603+Q603)</f>
        <v/>
      </c>
      <c r="W603" s="16">
        <f>IF(ROWS($W$2:$W603)&lt;=MAX('Per Line'!$AA$2:$AA$3001),MATCH(ROWS($W$2:$W603),'Per Line'!$AA$2:$AA$3001,0),"")</f>
        <v/>
      </c>
      <c r="X603">
        <f>IF($W603="","",D603&amp;"|"&amp;COUNTIF($D$2:$D603,D603))</f>
        <v/>
      </c>
    </row>
    <row r="604">
      <c r="A604" s="15" t="n"/>
      <c r="B604">
        <f>IF($W604="","",INDEX('Per Line'!$B$2:$B$3001,$W604)&amp;"")</f>
        <v/>
      </c>
      <c r="C604">
        <f>IF($W604="","",INDEX('Per Line'!$C$2:$C$3001,$W604)&amp;"")</f>
        <v/>
      </c>
      <c r="D604">
        <f>IF($W604="","",IF(OR(TRIM(E604)="Orient Insurance Company",TRIM(E604)="Allianz"),TRIM(E604),TRIM(F604)))</f>
        <v/>
      </c>
      <c r="E604">
        <f>IF($W604="","",INDEX('Per Line'!$E$2:$E$3001,$W604)&amp;"")</f>
        <v/>
      </c>
      <c r="F604">
        <f>IF($W604="","",INDEX('Per Line'!$D$2:$D$3001,$W604)&amp;"")</f>
        <v/>
      </c>
      <c r="G604">
        <f>IF($W604="","",INDEX('Per Line'!$F$2:$F$3001,$W604)&amp;"")</f>
        <v/>
      </c>
      <c r="H604">
        <f>IF($W604="","",INDEX('Per Line'!$G$2:$G$3001,$W604)&amp;"")</f>
        <v/>
      </c>
      <c r="I604">
        <f>IF($W604="","",INDEX('Per Line'!$H$2:$H$3001,$W604)&amp;"")</f>
        <v/>
      </c>
      <c r="J604">
        <f>IF($W604="","",INDEX('Per Line'!$I$2:$I$3001,$W604))</f>
        <v/>
      </c>
      <c r="K604" s="7">
        <f>IF($W604="","",J604*T604/100)</f>
        <v/>
      </c>
      <c r="L604" s="14">
        <f>IF($W604="","",INDEX('Per Line'!$V$2:$V$3001,$W604))</f>
        <v/>
      </c>
      <c r="M604">
        <f>IF($W604="","",IF(ISNUMBER(SEARCH("3&amp;12",SUBSTITUTE(F604," ",""))),Settings!$G$7,Settings!$C$7))</f>
        <v/>
      </c>
      <c r="N604" s="7">
        <f>IF($W604="","",SUMIFS('Per Line'!$O$2:$O$3001,'Per Line'!$B$2:$B$3001,$B604,'Per Line'!$AB$2:$AB$3001,0))</f>
        <v/>
      </c>
      <c r="O604" s="7">
        <f>IF($W604="","",N604*M604)</f>
        <v/>
      </c>
      <c r="P604">
        <f>IF($W604="","",IF(ISNUMBER(SEARCH("3&amp;12",SUBSTITUTE(F604," ",""))),Settings!$G$6,Settings!$C$6))</f>
        <v/>
      </c>
      <c r="Q604" s="7">
        <f>IF($W604="","",SUMIFS('Per Line'!$O$2:$O$3001,'Per Line'!$B$2:$B$3001,$B604,'Per Line'!$AB$2:$AB$3001,1))</f>
        <v/>
      </c>
      <c r="R604" s="7">
        <f>IF($W604="","",Q604*P604)</f>
        <v/>
      </c>
      <c r="S604" s="7">
        <f>IF($W604="","",R604+O604)</f>
        <v/>
      </c>
      <c r="T604" s="7">
        <f>IF($W604="","",V604-S604)</f>
        <v/>
      </c>
      <c r="U604" s="7">
        <f>IF($W604="","",V604-S604-K604)</f>
        <v/>
      </c>
      <c r="V604" s="7">
        <f>IF($W604="","",N604+Q604)</f>
        <v/>
      </c>
      <c r="W604" s="16">
        <f>IF(ROWS($W$2:$W604)&lt;=MAX('Per Line'!$AA$2:$AA$3001),MATCH(ROWS($W$2:$W604),'Per Line'!$AA$2:$AA$3001,0),"")</f>
        <v/>
      </c>
      <c r="X604">
        <f>IF($W604="","",D604&amp;"|"&amp;COUNTIF($D$2:$D604,D604))</f>
        <v/>
      </c>
    </row>
    <row r="605">
      <c r="A605" s="15" t="n"/>
      <c r="B605">
        <f>IF($W605="","",INDEX('Per Line'!$B$2:$B$3001,$W605)&amp;"")</f>
        <v/>
      </c>
      <c r="C605">
        <f>IF($W605="","",INDEX('Per Line'!$C$2:$C$3001,$W605)&amp;"")</f>
        <v/>
      </c>
      <c r="D605">
        <f>IF($W605="","",IF(OR(TRIM(E605)="Orient Insurance Company",TRIM(E605)="Allianz"),TRIM(E605),TRIM(F605)))</f>
        <v/>
      </c>
      <c r="E605">
        <f>IF($W605="","",INDEX('Per Line'!$E$2:$E$3001,$W605)&amp;"")</f>
        <v/>
      </c>
      <c r="F605">
        <f>IF($W605="","",INDEX('Per Line'!$D$2:$D$3001,$W605)&amp;"")</f>
        <v/>
      </c>
      <c r="G605">
        <f>IF($W605="","",INDEX('Per Line'!$F$2:$F$3001,$W605)&amp;"")</f>
        <v/>
      </c>
      <c r="H605">
        <f>IF($W605="","",INDEX('Per Line'!$G$2:$G$3001,$W605)&amp;"")</f>
        <v/>
      </c>
      <c r="I605">
        <f>IF($W605="","",INDEX('Per Line'!$H$2:$H$3001,$W605)&amp;"")</f>
        <v/>
      </c>
      <c r="J605">
        <f>IF($W605="","",INDEX('Per Line'!$I$2:$I$3001,$W605))</f>
        <v/>
      </c>
      <c r="K605" s="7">
        <f>IF($W605="","",J605*T605/100)</f>
        <v/>
      </c>
      <c r="L605" s="14">
        <f>IF($W605="","",INDEX('Per Line'!$V$2:$V$3001,$W605))</f>
        <v/>
      </c>
      <c r="M605">
        <f>IF($W605="","",IF(ISNUMBER(SEARCH("3&amp;12",SUBSTITUTE(F605," ",""))),Settings!$G$7,Settings!$C$7))</f>
        <v/>
      </c>
      <c r="N605" s="7">
        <f>IF($W605="","",SUMIFS('Per Line'!$O$2:$O$3001,'Per Line'!$B$2:$B$3001,$B605,'Per Line'!$AB$2:$AB$3001,0))</f>
        <v/>
      </c>
      <c r="O605" s="7">
        <f>IF($W605="","",N605*M605)</f>
        <v/>
      </c>
      <c r="P605">
        <f>IF($W605="","",IF(ISNUMBER(SEARCH("3&amp;12",SUBSTITUTE(F605," ",""))),Settings!$G$6,Settings!$C$6))</f>
        <v/>
      </c>
      <c r="Q605" s="7">
        <f>IF($W605="","",SUMIFS('Per Line'!$O$2:$O$3001,'Per Line'!$B$2:$B$3001,$B605,'Per Line'!$AB$2:$AB$3001,1))</f>
        <v/>
      </c>
      <c r="R605" s="7">
        <f>IF($W605="","",Q605*P605)</f>
        <v/>
      </c>
      <c r="S605" s="7">
        <f>IF($W605="","",R605+O605)</f>
        <v/>
      </c>
      <c r="T605" s="7">
        <f>IF($W605="","",V605-S605)</f>
        <v/>
      </c>
      <c r="U605" s="7">
        <f>IF($W605="","",V605-S605-K605)</f>
        <v/>
      </c>
      <c r="V605" s="7">
        <f>IF($W605="","",N605+Q605)</f>
        <v/>
      </c>
      <c r="W605" s="16">
        <f>IF(ROWS($W$2:$W605)&lt;=MAX('Per Line'!$AA$2:$AA$3001),MATCH(ROWS($W$2:$W605),'Per Line'!$AA$2:$AA$3001,0),"")</f>
        <v/>
      </c>
      <c r="X605">
        <f>IF($W605="","",D605&amp;"|"&amp;COUNTIF($D$2:$D605,D605))</f>
        <v/>
      </c>
    </row>
    <row r="606">
      <c r="A606" s="15" t="n"/>
      <c r="B606">
        <f>IF($W606="","",INDEX('Per Line'!$B$2:$B$3001,$W606)&amp;"")</f>
        <v/>
      </c>
      <c r="C606">
        <f>IF($W606="","",INDEX('Per Line'!$C$2:$C$3001,$W606)&amp;"")</f>
        <v/>
      </c>
      <c r="D606">
        <f>IF($W606="","",IF(OR(TRIM(E606)="Orient Insurance Company",TRIM(E606)="Allianz"),TRIM(E606),TRIM(F606)))</f>
        <v/>
      </c>
      <c r="E606">
        <f>IF($W606="","",INDEX('Per Line'!$E$2:$E$3001,$W606)&amp;"")</f>
        <v/>
      </c>
      <c r="F606">
        <f>IF($W606="","",INDEX('Per Line'!$D$2:$D$3001,$W606)&amp;"")</f>
        <v/>
      </c>
      <c r="G606">
        <f>IF($W606="","",INDEX('Per Line'!$F$2:$F$3001,$W606)&amp;"")</f>
        <v/>
      </c>
      <c r="H606">
        <f>IF($W606="","",INDEX('Per Line'!$G$2:$G$3001,$W606)&amp;"")</f>
        <v/>
      </c>
      <c r="I606">
        <f>IF($W606="","",INDEX('Per Line'!$H$2:$H$3001,$W606)&amp;"")</f>
        <v/>
      </c>
      <c r="J606">
        <f>IF($W606="","",INDEX('Per Line'!$I$2:$I$3001,$W606))</f>
        <v/>
      </c>
      <c r="K606" s="7">
        <f>IF($W606="","",J606*T606/100)</f>
        <v/>
      </c>
      <c r="L606" s="14">
        <f>IF($W606="","",INDEX('Per Line'!$V$2:$V$3001,$W606))</f>
        <v/>
      </c>
      <c r="M606">
        <f>IF($W606="","",IF(ISNUMBER(SEARCH("3&amp;12",SUBSTITUTE(F606," ",""))),Settings!$G$7,Settings!$C$7))</f>
        <v/>
      </c>
      <c r="N606" s="7">
        <f>IF($W606="","",SUMIFS('Per Line'!$O$2:$O$3001,'Per Line'!$B$2:$B$3001,$B606,'Per Line'!$AB$2:$AB$3001,0))</f>
        <v/>
      </c>
      <c r="O606" s="7">
        <f>IF($W606="","",N606*M606)</f>
        <v/>
      </c>
      <c r="P606">
        <f>IF($W606="","",IF(ISNUMBER(SEARCH("3&amp;12",SUBSTITUTE(F606," ",""))),Settings!$G$6,Settings!$C$6))</f>
        <v/>
      </c>
      <c r="Q606" s="7">
        <f>IF($W606="","",SUMIFS('Per Line'!$O$2:$O$3001,'Per Line'!$B$2:$B$3001,$B606,'Per Line'!$AB$2:$AB$3001,1))</f>
        <v/>
      </c>
      <c r="R606" s="7">
        <f>IF($W606="","",Q606*P606)</f>
        <v/>
      </c>
      <c r="S606" s="7">
        <f>IF($W606="","",R606+O606)</f>
        <v/>
      </c>
      <c r="T606" s="7">
        <f>IF($W606="","",V606-S606)</f>
        <v/>
      </c>
      <c r="U606" s="7">
        <f>IF($W606="","",V606-S606-K606)</f>
        <v/>
      </c>
      <c r="V606" s="7">
        <f>IF($W606="","",N606+Q606)</f>
        <v/>
      </c>
      <c r="W606" s="16">
        <f>IF(ROWS($W$2:$W606)&lt;=MAX('Per Line'!$AA$2:$AA$3001),MATCH(ROWS($W$2:$W606),'Per Line'!$AA$2:$AA$3001,0),"")</f>
        <v/>
      </c>
      <c r="X606">
        <f>IF($W606="","",D606&amp;"|"&amp;COUNTIF($D$2:$D606,D606))</f>
        <v/>
      </c>
    </row>
    <row r="607">
      <c r="A607" s="15" t="n"/>
      <c r="B607">
        <f>IF($W607="","",INDEX('Per Line'!$B$2:$B$3001,$W607)&amp;"")</f>
        <v/>
      </c>
      <c r="C607">
        <f>IF($W607="","",INDEX('Per Line'!$C$2:$C$3001,$W607)&amp;"")</f>
        <v/>
      </c>
      <c r="D607">
        <f>IF($W607="","",IF(OR(TRIM(E607)="Orient Insurance Company",TRIM(E607)="Allianz"),TRIM(E607),TRIM(F607)))</f>
        <v/>
      </c>
      <c r="E607">
        <f>IF($W607="","",INDEX('Per Line'!$E$2:$E$3001,$W607)&amp;"")</f>
        <v/>
      </c>
      <c r="F607">
        <f>IF($W607="","",INDEX('Per Line'!$D$2:$D$3001,$W607)&amp;"")</f>
        <v/>
      </c>
      <c r="G607">
        <f>IF($W607="","",INDEX('Per Line'!$F$2:$F$3001,$W607)&amp;"")</f>
        <v/>
      </c>
      <c r="H607">
        <f>IF($W607="","",INDEX('Per Line'!$G$2:$G$3001,$W607)&amp;"")</f>
        <v/>
      </c>
      <c r="I607">
        <f>IF($W607="","",INDEX('Per Line'!$H$2:$H$3001,$W607)&amp;"")</f>
        <v/>
      </c>
      <c r="J607">
        <f>IF($W607="","",INDEX('Per Line'!$I$2:$I$3001,$W607))</f>
        <v/>
      </c>
      <c r="K607" s="7">
        <f>IF($W607="","",J607*T607/100)</f>
        <v/>
      </c>
      <c r="L607" s="14">
        <f>IF($W607="","",INDEX('Per Line'!$V$2:$V$3001,$W607))</f>
        <v/>
      </c>
      <c r="M607">
        <f>IF($W607="","",IF(ISNUMBER(SEARCH("3&amp;12",SUBSTITUTE(F607," ",""))),Settings!$G$7,Settings!$C$7))</f>
        <v/>
      </c>
      <c r="N607" s="7">
        <f>IF($W607="","",SUMIFS('Per Line'!$O$2:$O$3001,'Per Line'!$B$2:$B$3001,$B607,'Per Line'!$AB$2:$AB$3001,0))</f>
        <v/>
      </c>
      <c r="O607" s="7">
        <f>IF($W607="","",N607*M607)</f>
        <v/>
      </c>
      <c r="P607">
        <f>IF($W607="","",IF(ISNUMBER(SEARCH("3&amp;12",SUBSTITUTE(F607," ",""))),Settings!$G$6,Settings!$C$6))</f>
        <v/>
      </c>
      <c r="Q607" s="7">
        <f>IF($W607="","",SUMIFS('Per Line'!$O$2:$O$3001,'Per Line'!$B$2:$B$3001,$B607,'Per Line'!$AB$2:$AB$3001,1))</f>
        <v/>
      </c>
      <c r="R607" s="7">
        <f>IF($W607="","",Q607*P607)</f>
        <v/>
      </c>
      <c r="S607" s="7">
        <f>IF($W607="","",R607+O607)</f>
        <v/>
      </c>
      <c r="T607" s="7">
        <f>IF($W607="","",V607-S607)</f>
        <v/>
      </c>
      <c r="U607" s="7">
        <f>IF($W607="","",V607-S607-K607)</f>
        <v/>
      </c>
      <c r="V607" s="7">
        <f>IF($W607="","",N607+Q607)</f>
        <v/>
      </c>
      <c r="W607" s="16">
        <f>IF(ROWS($W$2:$W607)&lt;=MAX('Per Line'!$AA$2:$AA$3001),MATCH(ROWS($W$2:$W607),'Per Line'!$AA$2:$AA$3001,0),"")</f>
        <v/>
      </c>
      <c r="X607">
        <f>IF($W607="","",D607&amp;"|"&amp;COUNTIF($D$2:$D607,D607))</f>
        <v/>
      </c>
    </row>
    <row r="608">
      <c r="A608" s="15" t="n"/>
      <c r="B608">
        <f>IF($W608="","",INDEX('Per Line'!$B$2:$B$3001,$W608)&amp;"")</f>
        <v/>
      </c>
      <c r="C608">
        <f>IF($W608="","",INDEX('Per Line'!$C$2:$C$3001,$W608)&amp;"")</f>
        <v/>
      </c>
      <c r="D608">
        <f>IF($W608="","",IF(OR(TRIM(E608)="Orient Insurance Company",TRIM(E608)="Allianz"),TRIM(E608),TRIM(F608)))</f>
        <v/>
      </c>
      <c r="E608">
        <f>IF($W608="","",INDEX('Per Line'!$E$2:$E$3001,$W608)&amp;"")</f>
        <v/>
      </c>
      <c r="F608">
        <f>IF($W608="","",INDEX('Per Line'!$D$2:$D$3001,$W608)&amp;"")</f>
        <v/>
      </c>
      <c r="G608">
        <f>IF($W608="","",INDEX('Per Line'!$F$2:$F$3001,$W608)&amp;"")</f>
        <v/>
      </c>
      <c r="H608">
        <f>IF($W608="","",INDEX('Per Line'!$G$2:$G$3001,$W608)&amp;"")</f>
        <v/>
      </c>
      <c r="I608">
        <f>IF($W608="","",INDEX('Per Line'!$H$2:$H$3001,$W608)&amp;"")</f>
        <v/>
      </c>
      <c r="J608">
        <f>IF($W608="","",INDEX('Per Line'!$I$2:$I$3001,$W608))</f>
        <v/>
      </c>
      <c r="K608" s="7">
        <f>IF($W608="","",J608*T608/100)</f>
        <v/>
      </c>
      <c r="L608" s="14">
        <f>IF($W608="","",INDEX('Per Line'!$V$2:$V$3001,$W608))</f>
        <v/>
      </c>
      <c r="M608">
        <f>IF($W608="","",IF(ISNUMBER(SEARCH("3&amp;12",SUBSTITUTE(F608," ",""))),Settings!$G$7,Settings!$C$7))</f>
        <v/>
      </c>
      <c r="N608" s="7">
        <f>IF($W608="","",SUMIFS('Per Line'!$O$2:$O$3001,'Per Line'!$B$2:$B$3001,$B608,'Per Line'!$AB$2:$AB$3001,0))</f>
        <v/>
      </c>
      <c r="O608" s="7">
        <f>IF($W608="","",N608*M608)</f>
        <v/>
      </c>
      <c r="P608">
        <f>IF($W608="","",IF(ISNUMBER(SEARCH("3&amp;12",SUBSTITUTE(F608," ",""))),Settings!$G$6,Settings!$C$6))</f>
        <v/>
      </c>
      <c r="Q608" s="7">
        <f>IF($W608="","",SUMIFS('Per Line'!$O$2:$O$3001,'Per Line'!$B$2:$B$3001,$B608,'Per Line'!$AB$2:$AB$3001,1))</f>
        <v/>
      </c>
      <c r="R608" s="7">
        <f>IF($W608="","",Q608*P608)</f>
        <v/>
      </c>
      <c r="S608" s="7">
        <f>IF($W608="","",R608+O608)</f>
        <v/>
      </c>
      <c r="T608" s="7">
        <f>IF($W608="","",V608-S608)</f>
        <v/>
      </c>
      <c r="U608" s="7">
        <f>IF($W608="","",V608-S608-K608)</f>
        <v/>
      </c>
      <c r="V608" s="7">
        <f>IF($W608="","",N608+Q608)</f>
        <v/>
      </c>
      <c r="W608" s="16">
        <f>IF(ROWS($W$2:$W608)&lt;=MAX('Per Line'!$AA$2:$AA$3001),MATCH(ROWS($W$2:$W608),'Per Line'!$AA$2:$AA$3001,0),"")</f>
        <v/>
      </c>
      <c r="X608">
        <f>IF($W608="","",D608&amp;"|"&amp;COUNTIF($D$2:$D608,D608))</f>
        <v/>
      </c>
    </row>
    <row r="609">
      <c r="A609" s="15" t="n"/>
      <c r="B609">
        <f>IF($W609="","",INDEX('Per Line'!$B$2:$B$3001,$W609)&amp;"")</f>
        <v/>
      </c>
      <c r="C609">
        <f>IF($W609="","",INDEX('Per Line'!$C$2:$C$3001,$W609)&amp;"")</f>
        <v/>
      </c>
      <c r="D609">
        <f>IF($W609="","",IF(OR(TRIM(E609)="Orient Insurance Company",TRIM(E609)="Allianz"),TRIM(E609),TRIM(F609)))</f>
        <v/>
      </c>
      <c r="E609">
        <f>IF($W609="","",INDEX('Per Line'!$E$2:$E$3001,$W609)&amp;"")</f>
        <v/>
      </c>
      <c r="F609">
        <f>IF($W609="","",INDEX('Per Line'!$D$2:$D$3001,$W609)&amp;"")</f>
        <v/>
      </c>
      <c r="G609">
        <f>IF($W609="","",INDEX('Per Line'!$F$2:$F$3001,$W609)&amp;"")</f>
        <v/>
      </c>
      <c r="H609">
        <f>IF($W609="","",INDEX('Per Line'!$G$2:$G$3001,$W609)&amp;"")</f>
        <v/>
      </c>
      <c r="I609">
        <f>IF($W609="","",INDEX('Per Line'!$H$2:$H$3001,$W609)&amp;"")</f>
        <v/>
      </c>
      <c r="J609">
        <f>IF($W609="","",INDEX('Per Line'!$I$2:$I$3001,$W609))</f>
        <v/>
      </c>
      <c r="K609" s="7">
        <f>IF($W609="","",J609*T609/100)</f>
        <v/>
      </c>
      <c r="L609" s="14">
        <f>IF($W609="","",INDEX('Per Line'!$V$2:$V$3001,$W609))</f>
        <v/>
      </c>
      <c r="M609">
        <f>IF($W609="","",IF(ISNUMBER(SEARCH("3&amp;12",SUBSTITUTE(F609," ",""))),Settings!$G$7,Settings!$C$7))</f>
        <v/>
      </c>
      <c r="N609" s="7">
        <f>IF($W609="","",SUMIFS('Per Line'!$O$2:$O$3001,'Per Line'!$B$2:$B$3001,$B609,'Per Line'!$AB$2:$AB$3001,0))</f>
        <v/>
      </c>
      <c r="O609" s="7">
        <f>IF($W609="","",N609*M609)</f>
        <v/>
      </c>
      <c r="P609">
        <f>IF($W609="","",IF(ISNUMBER(SEARCH("3&amp;12",SUBSTITUTE(F609," ",""))),Settings!$G$6,Settings!$C$6))</f>
        <v/>
      </c>
      <c r="Q609" s="7">
        <f>IF($W609="","",SUMIFS('Per Line'!$O$2:$O$3001,'Per Line'!$B$2:$B$3001,$B609,'Per Line'!$AB$2:$AB$3001,1))</f>
        <v/>
      </c>
      <c r="R609" s="7">
        <f>IF($W609="","",Q609*P609)</f>
        <v/>
      </c>
      <c r="S609" s="7">
        <f>IF($W609="","",R609+O609)</f>
        <v/>
      </c>
      <c r="T609" s="7">
        <f>IF($W609="","",V609-S609)</f>
        <v/>
      </c>
      <c r="U609" s="7">
        <f>IF($W609="","",V609-S609-K609)</f>
        <v/>
      </c>
      <c r="V609" s="7">
        <f>IF($W609="","",N609+Q609)</f>
        <v/>
      </c>
      <c r="W609" s="16">
        <f>IF(ROWS($W$2:$W609)&lt;=MAX('Per Line'!$AA$2:$AA$3001),MATCH(ROWS($W$2:$W609),'Per Line'!$AA$2:$AA$3001,0),"")</f>
        <v/>
      </c>
      <c r="X609">
        <f>IF($W609="","",D609&amp;"|"&amp;COUNTIF($D$2:$D609,D609))</f>
        <v/>
      </c>
    </row>
    <row r="610">
      <c r="A610" s="15" t="n"/>
      <c r="B610">
        <f>IF($W610="","",INDEX('Per Line'!$B$2:$B$3001,$W610)&amp;"")</f>
        <v/>
      </c>
      <c r="C610">
        <f>IF($W610="","",INDEX('Per Line'!$C$2:$C$3001,$W610)&amp;"")</f>
        <v/>
      </c>
      <c r="D610">
        <f>IF($W610="","",IF(OR(TRIM(E610)="Orient Insurance Company",TRIM(E610)="Allianz"),TRIM(E610),TRIM(F610)))</f>
        <v/>
      </c>
      <c r="E610">
        <f>IF($W610="","",INDEX('Per Line'!$E$2:$E$3001,$W610)&amp;"")</f>
        <v/>
      </c>
      <c r="F610">
        <f>IF($W610="","",INDEX('Per Line'!$D$2:$D$3001,$W610)&amp;"")</f>
        <v/>
      </c>
      <c r="G610">
        <f>IF($W610="","",INDEX('Per Line'!$F$2:$F$3001,$W610)&amp;"")</f>
        <v/>
      </c>
      <c r="H610">
        <f>IF($W610="","",INDEX('Per Line'!$G$2:$G$3001,$W610)&amp;"")</f>
        <v/>
      </c>
      <c r="I610">
        <f>IF($W610="","",INDEX('Per Line'!$H$2:$H$3001,$W610)&amp;"")</f>
        <v/>
      </c>
      <c r="J610">
        <f>IF($W610="","",INDEX('Per Line'!$I$2:$I$3001,$W610))</f>
        <v/>
      </c>
      <c r="K610" s="7">
        <f>IF($W610="","",J610*T610/100)</f>
        <v/>
      </c>
      <c r="L610" s="14">
        <f>IF($W610="","",INDEX('Per Line'!$V$2:$V$3001,$W610))</f>
        <v/>
      </c>
      <c r="M610">
        <f>IF($W610="","",IF(ISNUMBER(SEARCH("3&amp;12",SUBSTITUTE(F610," ",""))),Settings!$G$7,Settings!$C$7))</f>
        <v/>
      </c>
      <c r="N610" s="7">
        <f>IF($W610="","",SUMIFS('Per Line'!$O$2:$O$3001,'Per Line'!$B$2:$B$3001,$B610,'Per Line'!$AB$2:$AB$3001,0))</f>
        <v/>
      </c>
      <c r="O610" s="7">
        <f>IF($W610="","",N610*M610)</f>
        <v/>
      </c>
      <c r="P610">
        <f>IF($W610="","",IF(ISNUMBER(SEARCH("3&amp;12",SUBSTITUTE(F610," ",""))),Settings!$G$6,Settings!$C$6))</f>
        <v/>
      </c>
      <c r="Q610" s="7">
        <f>IF($W610="","",SUMIFS('Per Line'!$O$2:$O$3001,'Per Line'!$B$2:$B$3001,$B610,'Per Line'!$AB$2:$AB$3001,1))</f>
        <v/>
      </c>
      <c r="R610" s="7">
        <f>IF($W610="","",Q610*P610)</f>
        <v/>
      </c>
      <c r="S610" s="7">
        <f>IF($W610="","",R610+O610)</f>
        <v/>
      </c>
      <c r="T610" s="7">
        <f>IF($W610="","",V610-S610)</f>
        <v/>
      </c>
      <c r="U610" s="7">
        <f>IF($W610="","",V610-S610-K610)</f>
        <v/>
      </c>
      <c r="V610" s="7">
        <f>IF($W610="","",N610+Q610)</f>
        <v/>
      </c>
      <c r="W610" s="16">
        <f>IF(ROWS($W$2:$W610)&lt;=MAX('Per Line'!$AA$2:$AA$3001),MATCH(ROWS($W$2:$W610),'Per Line'!$AA$2:$AA$3001,0),"")</f>
        <v/>
      </c>
      <c r="X610">
        <f>IF($W610="","",D610&amp;"|"&amp;COUNTIF($D$2:$D610,D610))</f>
        <v/>
      </c>
    </row>
    <row r="611">
      <c r="A611" s="15" t="n"/>
      <c r="B611">
        <f>IF($W611="","",INDEX('Per Line'!$B$2:$B$3001,$W611)&amp;"")</f>
        <v/>
      </c>
      <c r="C611">
        <f>IF($W611="","",INDEX('Per Line'!$C$2:$C$3001,$W611)&amp;"")</f>
        <v/>
      </c>
      <c r="D611">
        <f>IF($W611="","",IF(OR(TRIM(E611)="Orient Insurance Company",TRIM(E611)="Allianz"),TRIM(E611),TRIM(F611)))</f>
        <v/>
      </c>
      <c r="E611">
        <f>IF($W611="","",INDEX('Per Line'!$E$2:$E$3001,$W611)&amp;"")</f>
        <v/>
      </c>
      <c r="F611">
        <f>IF($W611="","",INDEX('Per Line'!$D$2:$D$3001,$W611)&amp;"")</f>
        <v/>
      </c>
      <c r="G611">
        <f>IF($W611="","",INDEX('Per Line'!$F$2:$F$3001,$W611)&amp;"")</f>
        <v/>
      </c>
      <c r="H611">
        <f>IF($W611="","",INDEX('Per Line'!$G$2:$G$3001,$W611)&amp;"")</f>
        <v/>
      </c>
      <c r="I611">
        <f>IF($W611="","",INDEX('Per Line'!$H$2:$H$3001,$W611)&amp;"")</f>
        <v/>
      </c>
      <c r="J611">
        <f>IF($W611="","",INDEX('Per Line'!$I$2:$I$3001,$W611))</f>
        <v/>
      </c>
      <c r="K611" s="7">
        <f>IF($W611="","",J611*T611/100)</f>
        <v/>
      </c>
      <c r="L611" s="14">
        <f>IF($W611="","",INDEX('Per Line'!$V$2:$V$3001,$W611))</f>
        <v/>
      </c>
      <c r="M611">
        <f>IF($W611="","",IF(ISNUMBER(SEARCH("3&amp;12",SUBSTITUTE(F611," ",""))),Settings!$G$7,Settings!$C$7))</f>
        <v/>
      </c>
      <c r="N611" s="7">
        <f>IF($W611="","",SUMIFS('Per Line'!$O$2:$O$3001,'Per Line'!$B$2:$B$3001,$B611,'Per Line'!$AB$2:$AB$3001,0))</f>
        <v/>
      </c>
      <c r="O611" s="7">
        <f>IF($W611="","",N611*M611)</f>
        <v/>
      </c>
      <c r="P611">
        <f>IF($W611="","",IF(ISNUMBER(SEARCH("3&amp;12",SUBSTITUTE(F611," ",""))),Settings!$G$6,Settings!$C$6))</f>
        <v/>
      </c>
      <c r="Q611" s="7">
        <f>IF($W611="","",SUMIFS('Per Line'!$O$2:$O$3001,'Per Line'!$B$2:$B$3001,$B611,'Per Line'!$AB$2:$AB$3001,1))</f>
        <v/>
      </c>
      <c r="R611" s="7">
        <f>IF($W611="","",Q611*P611)</f>
        <v/>
      </c>
      <c r="S611" s="7">
        <f>IF($W611="","",R611+O611)</f>
        <v/>
      </c>
      <c r="T611" s="7">
        <f>IF($W611="","",V611-S611)</f>
        <v/>
      </c>
      <c r="U611" s="7">
        <f>IF($W611="","",V611-S611-K611)</f>
        <v/>
      </c>
      <c r="V611" s="7">
        <f>IF($W611="","",N611+Q611)</f>
        <v/>
      </c>
      <c r="W611" s="16">
        <f>IF(ROWS($W$2:$W611)&lt;=MAX('Per Line'!$AA$2:$AA$3001),MATCH(ROWS($W$2:$W611),'Per Line'!$AA$2:$AA$3001,0),"")</f>
        <v/>
      </c>
      <c r="X611">
        <f>IF($W611="","",D611&amp;"|"&amp;COUNTIF($D$2:$D611,D611))</f>
        <v/>
      </c>
    </row>
    <row r="612">
      <c r="A612" s="15" t="n"/>
      <c r="B612">
        <f>IF($W612="","",INDEX('Per Line'!$B$2:$B$3001,$W612)&amp;"")</f>
        <v/>
      </c>
      <c r="C612">
        <f>IF($W612="","",INDEX('Per Line'!$C$2:$C$3001,$W612)&amp;"")</f>
        <v/>
      </c>
      <c r="D612">
        <f>IF($W612="","",IF(OR(TRIM(E612)="Orient Insurance Company",TRIM(E612)="Allianz"),TRIM(E612),TRIM(F612)))</f>
        <v/>
      </c>
      <c r="E612">
        <f>IF($W612="","",INDEX('Per Line'!$E$2:$E$3001,$W612)&amp;"")</f>
        <v/>
      </c>
      <c r="F612">
        <f>IF($W612="","",INDEX('Per Line'!$D$2:$D$3001,$W612)&amp;"")</f>
        <v/>
      </c>
      <c r="G612">
        <f>IF($W612="","",INDEX('Per Line'!$F$2:$F$3001,$W612)&amp;"")</f>
        <v/>
      </c>
      <c r="H612">
        <f>IF($W612="","",INDEX('Per Line'!$G$2:$G$3001,$W612)&amp;"")</f>
        <v/>
      </c>
      <c r="I612">
        <f>IF($W612="","",INDEX('Per Line'!$H$2:$H$3001,$W612)&amp;"")</f>
        <v/>
      </c>
      <c r="J612">
        <f>IF($W612="","",INDEX('Per Line'!$I$2:$I$3001,$W612))</f>
        <v/>
      </c>
      <c r="K612" s="7">
        <f>IF($W612="","",J612*T612/100)</f>
        <v/>
      </c>
      <c r="L612" s="14">
        <f>IF($W612="","",INDEX('Per Line'!$V$2:$V$3001,$W612))</f>
        <v/>
      </c>
      <c r="M612">
        <f>IF($W612="","",IF(ISNUMBER(SEARCH("3&amp;12",SUBSTITUTE(F612," ",""))),Settings!$G$7,Settings!$C$7))</f>
        <v/>
      </c>
      <c r="N612" s="7">
        <f>IF($W612="","",SUMIFS('Per Line'!$O$2:$O$3001,'Per Line'!$B$2:$B$3001,$B612,'Per Line'!$AB$2:$AB$3001,0))</f>
        <v/>
      </c>
      <c r="O612" s="7">
        <f>IF($W612="","",N612*M612)</f>
        <v/>
      </c>
      <c r="P612">
        <f>IF($W612="","",IF(ISNUMBER(SEARCH("3&amp;12",SUBSTITUTE(F612," ",""))),Settings!$G$6,Settings!$C$6))</f>
        <v/>
      </c>
      <c r="Q612" s="7">
        <f>IF($W612="","",SUMIFS('Per Line'!$O$2:$O$3001,'Per Line'!$B$2:$B$3001,$B612,'Per Line'!$AB$2:$AB$3001,1))</f>
        <v/>
      </c>
      <c r="R612" s="7">
        <f>IF($W612="","",Q612*P612)</f>
        <v/>
      </c>
      <c r="S612" s="7">
        <f>IF($W612="","",R612+O612)</f>
        <v/>
      </c>
      <c r="T612" s="7">
        <f>IF($W612="","",V612-S612)</f>
        <v/>
      </c>
      <c r="U612" s="7">
        <f>IF($W612="","",V612-S612-K612)</f>
        <v/>
      </c>
      <c r="V612" s="7">
        <f>IF($W612="","",N612+Q612)</f>
        <v/>
      </c>
      <c r="W612" s="16">
        <f>IF(ROWS($W$2:$W612)&lt;=MAX('Per Line'!$AA$2:$AA$3001),MATCH(ROWS($W$2:$W612),'Per Line'!$AA$2:$AA$3001,0),"")</f>
        <v/>
      </c>
      <c r="X612">
        <f>IF($W612="","",D612&amp;"|"&amp;COUNTIF($D$2:$D612,D612))</f>
        <v/>
      </c>
    </row>
    <row r="613">
      <c r="A613" s="15" t="n"/>
      <c r="B613">
        <f>IF($W613="","",INDEX('Per Line'!$B$2:$B$3001,$W613)&amp;"")</f>
        <v/>
      </c>
      <c r="C613">
        <f>IF($W613="","",INDEX('Per Line'!$C$2:$C$3001,$W613)&amp;"")</f>
        <v/>
      </c>
      <c r="D613">
        <f>IF($W613="","",IF(OR(TRIM(E613)="Orient Insurance Company",TRIM(E613)="Allianz"),TRIM(E613),TRIM(F613)))</f>
        <v/>
      </c>
      <c r="E613">
        <f>IF($W613="","",INDEX('Per Line'!$E$2:$E$3001,$W613)&amp;"")</f>
        <v/>
      </c>
      <c r="F613">
        <f>IF($W613="","",INDEX('Per Line'!$D$2:$D$3001,$W613)&amp;"")</f>
        <v/>
      </c>
      <c r="G613">
        <f>IF($W613="","",INDEX('Per Line'!$F$2:$F$3001,$W613)&amp;"")</f>
        <v/>
      </c>
      <c r="H613">
        <f>IF($W613="","",INDEX('Per Line'!$G$2:$G$3001,$W613)&amp;"")</f>
        <v/>
      </c>
      <c r="I613">
        <f>IF($W613="","",INDEX('Per Line'!$H$2:$H$3001,$W613)&amp;"")</f>
        <v/>
      </c>
      <c r="J613">
        <f>IF($W613="","",INDEX('Per Line'!$I$2:$I$3001,$W613))</f>
        <v/>
      </c>
      <c r="K613" s="7">
        <f>IF($W613="","",J613*T613/100)</f>
        <v/>
      </c>
      <c r="L613" s="14">
        <f>IF($W613="","",INDEX('Per Line'!$V$2:$V$3001,$W613))</f>
        <v/>
      </c>
      <c r="M613">
        <f>IF($W613="","",IF(ISNUMBER(SEARCH("3&amp;12",SUBSTITUTE(F613," ",""))),Settings!$G$7,Settings!$C$7))</f>
        <v/>
      </c>
      <c r="N613" s="7">
        <f>IF($W613="","",SUMIFS('Per Line'!$O$2:$O$3001,'Per Line'!$B$2:$B$3001,$B613,'Per Line'!$AB$2:$AB$3001,0))</f>
        <v/>
      </c>
      <c r="O613" s="7">
        <f>IF($W613="","",N613*M613)</f>
        <v/>
      </c>
      <c r="P613">
        <f>IF($W613="","",IF(ISNUMBER(SEARCH("3&amp;12",SUBSTITUTE(F613," ",""))),Settings!$G$6,Settings!$C$6))</f>
        <v/>
      </c>
      <c r="Q613" s="7">
        <f>IF($W613="","",SUMIFS('Per Line'!$O$2:$O$3001,'Per Line'!$B$2:$B$3001,$B613,'Per Line'!$AB$2:$AB$3001,1))</f>
        <v/>
      </c>
      <c r="R613" s="7">
        <f>IF($W613="","",Q613*P613)</f>
        <v/>
      </c>
      <c r="S613" s="7">
        <f>IF($W613="","",R613+O613)</f>
        <v/>
      </c>
      <c r="T613" s="7">
        <f>IF($W613="","",V613-S613)</f>
        <v/>
      </c>
      <c r="U613" s="7">
        <f>IF($W613="","",V613-S613-K613)</f>
        <v/>
      </c>
      <c r="V613" s="7">
        <f>IF($W613="","",N613+Q613)</f>
        <v/>
      </c>
      <c r="W613" s="16">
        <f>IF(ROWS($W$2:$W613)&lt;=MAX('Per Line'!$AA$2:$AA$3001),MATCH(ROWS($W$2:$W613),'Per Line'!$AA$2:$AA$3001,0),"")</f>
        <v/>
      </c>
      <c r="X613">
        <f>IF($W613="","",D613&amp;"|"&amp;COUNTIF($D$2:$D613,D613))</f>
        <v/>
      </c>
    </row>
    <row r="614">
      <c r="A614" s="15" t="n"/>
      <c r="B614">
        <f>IF($W614="","",INDEX('Per Line'!$B$2:$B$3001,$W614)&amp;"")</f>
        <v/>
      </c>
      <c r="C614">
        <f>IF($W614="","",INDEX('Per Line'!$C$2:$C$3001,$W614)&amp;"")</f>
        <v/>
      </c>
      <c r="D614">
        <f>IF($W614="","",IF(OR(TRIM(E614)="Orient Insurance Company",TRIM(E614)="Allianz"),TRIM(E614),TRIM(F614)))</f>
        <v/>
      </c>
      <c r="E614">
        <f>IF($W614="","",INDEX('Per Line'!$E$2:$E$3001,$W614)&amp;"")</f>
        <v/>
      </c>
      <c r="F614">
        <f>IF($W614="","",INDEX('Per Line'!$D$2:$D$3001,$W614)&amp;"")</f>
        <v/>
      </c>
      <c r="G614">
        <f>IF($W614="","",INDEX('Per Line'!$F$2:$F$3001,$W614)&amp;"")</f>
        <v/>
      </c>
      <c r="H614">
        <f>IF($W614="","",INDEX('Per Line'!$G$2:$G$3001,$W614)&amp;"")</f>
        <v/>
      </c>
      <c r="I614">
        <f>IF($W614="","",INDEX('Per Line'!$H$2:$H$3001,$W614)&amp;"")</f>
        <v/>
      </c>
      <c r="J614">
        <f>IF($W614="","",INDEX('Per Line'!$I$2:$I$3001,$W614))</f>
        <v/>
      </c>
      <c r="K614" s="7">
        <f>IF($W614="","",J614*T614/100)</f>
        <v/>
      </c>
      <c r="L614" s="14">
        <f>IF($W614="","",INDEX('Per Line'!$V$2:$V$3001,$W614))</f>
        <v/>
      </c>
      <c r="M614">
        <f>IF($W614="","",IF(ISNUMBER(SEARCH("3&amp;12",SUBSTITUTE(F614," ",""))),Settings!$G$7,Settings!$C$7))</f>
        <v/>
      </c>
      <c r="N614" s="7">
        <f>IF($W614="","",SUMIFS('Per Line'!$O$2:$O$3001,'Per Line'!$B$2:$B$3001,$B614,'Per Line'!$AB$2:$AB$3001,0))</f>
        <v/>
      </c>
      <c r="O614" s="7">
        <f>IF($W614="","",N614*M614)</f>
        <v/>
      </c>
      <c r="P614">
        <f>IF($W614="","",IF(ISNUMBER(SEARCH("3&amp;12",SUBSTITUTE(F614," ",""))),Settings!$G$6,Settings!$C$6))</f>
        <v/>
      </c>
      <c r="Q614" s="7">
        <f>IF($W614="","",SUMIFS('Per Line'!$O$2:$O$3001,'Per Line'!$B$2:$B$3001,$B614,'Per Line'!$AB$2:$AB$3001,1))</f>
        <v/>
      </c>
      <c r="R614" s="7">
        <f>IF($W614="","",Q614*P614)</f>
        <v/>
      </c>
      <c r="S614" s="7">
        <f>IF($W614="","",R614+O614)</f>
        <v/>
      </c>
      <c r="T614" s="7">
        <f>IF($W614="","",V614-S614)</f>
        <v/>
      </c>
      <c r="U614" s="7">
        <f>IF($W614="","",V614-S614-K614)</f>
        <v/>
      </c>
      <c r="V614" s="7">
        <f>IF($W614="","",N614+Q614)</f>
        <v/>
      </c>
      <c r="W614" s="16">
        <f>IF(ROWS($W$2:$W614)&lt;=MAX('Per Line'!$AA$2:$AA$3001),MATCH(ROWS($W$2:$W614),'Per Line'!$AA$2:$AA$3001,0),"")</f>
        <v/>
      </c>
      <c r="X614">
        <f>IF($W614="","",D614&amp;"|"&amp;COUNTIF($D$2:$D614,D614))</f>
        <v/>
      </c>
    </row>
    <row r="615">
      <c r="A615" s="15" t="n"/>
      <c r="B615">
        <f>IF($W615="","",INDEX('Per Line'!$B$2:$B$3001,$W615)&amp;"")</f>
        <v/>
      </c>
      <c r="C615">
        <f>IF($W615="","",INDEX('Per Line'!$C$2:$C$3001,$W615)&amp;"")</f>
        <v/>
      </c>
      <c r="D615">
        <f>IF($W615="","",IF(OR(TRIM(E615)="Orient Insurance Company",TRIM(E615)="Allianz"),TRIM(E615),TRIM(F615)))</f>
        <v/>
      </c>
      <c r="E615">
        <f>IF($W615="","",INDEX('Per Line'!$E$2:$E$3001,$W615)&amp;"")</f>
        <v/>
      </c>
      <c r="F615">
        <f>IF($W615="","",INDEX('Per Line'!$D$2:$D$3001,$W615)&amp;"")</f>
        <v/>
      </c>
      <c r="G615">
        <f>IF($W615="","",INDEX('Per Line'!$F$2:$F$3001,$W615)&amp;"")</f>
        <v/>
      </c>
      <c r="H615">
        <f>IF($W615="","",INDEX('Per Line'!$G$2:$G$3001,$W615)&amp;"")</f>
        <v/>
      </c>
      <c r="I615">
        <f>IF($W615="","",INDEX('Per Line'!$H$2:$H$3001,$W615)&amp;"")</f>
        <v/>
      </c>
      <c r="J615">
        <f>IF($W615="","",INDEX('Per Line'!$I$2:$I$3001,$W615))</f>
        <v/>
      </c>
      <c r="K615" s="7">
        <f>IF($W615="","",J615*T615/100)</f>
        <v/>
      </c>
      <c r="L615" s="14">
        <f>IF($W615="","",INDEX('Per Line'!$V$2:$V$3001,$W615))</f>
        <v/>
      </c>
      <c r="M615">
        <f>IF($W615="","",IF(ISNUMBER(SEARCH("3&amp;12",SUBSTITUTE(F615," ",""))),Settings!$G$7,Settings!$C$7))</f>
        <v/>
      </c>
      <c r="N615" s="7">
        <f>IF($W615="","",SUMIFS('Per Line'!$O$2:$O$3001,'Per Line'!$B$2:$B$3001,$B615,'Per Line'!$AB$2:$AB$3001,0))</f>
        <v/>
      </c>
      <c r="O615" s="7">
        <f>IF($W615="","",N615*M615)</f>
        <v/>
      </c>
      <c r="P615">
        <f>IF($W615="","",IF(ISNUMBER(SEARCH("3&amp;12",SUBSTITUTE(F615," ",""))),Settings!$G$6,Settings!$C$6))</f>
        <v/>
      </c>
      <c r="Q615" s="7">
        <f>IF($W615="","",SUMIFS('Per Line'!$O$2:$O$3001,'Per Line'!$B$2:$B$3001,$B615,'Per Line'!$AB$2:$AB$3001,1))</f>
        <v/>
      </c>
      <c r="R615" s="7">
        <f>IF($W615="","",Q615*P615)</f>
        <v/>
      </c>
      <c r="S615" s="7">
        <f>IF($W615="","",R615+O615)</f>
        <v/>
      </c>
      <c r="T615" s="7">
        <f>IF($W615="","",V615-S615)</f>
        <v/>
      </c>
      <c r="U615" s="7">
        <f>IF($W615="","",V615-S615-K615)</f>
        <v/>
      </c>
      <c r="V615" s="7">
        <f>IF($W615="","",N615+Q615)</f>
        <v/>
      </c>
      <c r="W615" s="16">
        <f>IF(ROWS($W$2:$W615)&lt;=MAX('Per Line'!$AA$2:$AA$3001),MATCH(ROWS($W$2:$W615),'Per Line'!$AA$2:$AA$3001,0),"")</f>
        <v/>
      </c>
      <c r="X615">
        <f>IF($W615="","",D615&amp;"|"&amp;COUNTIF($D$2:$D615,D615))</f>
        <v/>
      </c>
    </row>
    <row r="616">
      <c r="A616" s="15" t="n"/>
      <c r="B616">
        <f>IF($W616="","",INDEX('Per Line'!$B$2:$B$3001,$W616)&amp;"")</f>
        <v/>
      </c>
      <c r="C616">
        <f>IF($W616="","",INDEX('Per Line'!$C$2:$C$3001,$W616)&amp;"")</f>
        <v/>
      </c>
      <c r="D616">
        <f>IF($W616="","",IF(OR(TRIM(E616)="Orient Insurance Company",TRIM(E616)="Allianz"),TRIM(E616),TRIM(F616)))</f>
        <v/>
      </c>
      <c r="E616">
        <f>IF($W616="","",INDEX('Per Line'!$E$2:$E$3001,$W616)&amp;"")</f>
        <v/>
      </c>
      <c r="F616">
        <f>IF($W616="","",INDEX('Per Line'!$D$2:$D$3001,$W616)&amp;"")</f>
        <v/>
      </c>
      <c r="G616">
        <f>IF($W616="","",INDEX('Per Line'!$F$2:$F$3001,$W616)&amp;"")</f>
        <v/>
      </c>
      <c r="H616">
        <f>IF($W616="","",INDEX('Per Line'!$G$2:$G$3001,$W616)&amp;"")</f>
        <v/>
      </c>
      <c r="I616">
        <f>IF($W616="","",INDEX('Per Line'!$H$2:$H$3001,$W616)&amp;"")</f>
        <v/>
      </c>
      <c r="J616">
        <f>IF($W616="","",INDEX('Per Line'!$I$2:$I$3001,$W616))</f>
        <v/>
      </c>
      <c r="K616" s="7">
        <f>IF($W616="","",J616*T616/100)</f>
        <v/>
      </c>
      <c r="L616" s="14">
        <f>IF($W616="","",INDEX('Per Line'!$V$2:$V$3001,$W616))</f>
        <v/>
      </c>
      <c r="M616">
        <f>IF($W616="","",IF(ISNUMBER(SEARCH("3&amp;12",SUBSTITUTE(F616," ",""))),Settings!$G$7,Settings!$C$7))</f>
        <v/>
      </c>
      <c r="N616" s="7">
        <f>IF($W616="","",SUMIFS('Per Line'!$O$2:$O$3001,'Per Line'!$B$2:$B$3001,$B616,'Per Line'!$AB$2:$AB$3001,0))</f>
        <v/>
      </c>
      <c r="O616" s="7">
        <f>IF($W616="","",N616*M616)</f>
        <v/>
      </c>
      <c r="P616">
        <f>IF($W616="","",IF(ISNUMBER(SEARCH("3&amp;12",SUBSTITUTE(F616," ",""))),Settings!$G$6,Settings!$C$6))</f>
        <v/>
      </c>
      <c r="Q616" s="7">
        <f>IF($W616="","",SUMIFS('Per Line'!$O$2:$O$3001,'Per Line'!$B$2:$B$3001,$B616,'Per Line'!$AB$2:$AB$3001,1))</f>
        <v/>
      </c>
      <c r="R616" s="7">
        <f>IF($W616="","",Q616*P616)</f>
        <v/>
      </c>
      <c r="S616" s="7">
        <f>IF($W616="","",R616+O616)</f>
        <v/>
      </c>
      <c r="T616" s="7">
        <f>IF($W616="","",V616-S616)</f>
        <v/>
      </c>
      <c r="U616" s="7">
        <f>IF($W616="","",V616-S616-K616)</f>
        <v/>
      </c>
      <c r="V616" s="7">
        <f>IF($W616="","",N616+Q616)</f>
        <v/>
      </c>
      <c r="W616" s="16">
        <f>IF(ROWS($W$2:$W616)&lt;=MAX('Per Line'!$AA$2:$AA$3001),MATCH(ROWS($W$2:$W616),'Per Line'!$AA$2:$AA$3001,0),"")</f>
        <v/>
      </c>
      <c r="X616">
        <f>IF($W616="","",D616&amp;"|"&amp;COUNTIF($D$2:$D616,D616))</f>
        <v/>
      </c>
    </row>
    <row r="617">
      <c r="A617" s="15" t="n"/>
      <c r="B617">
        <f>IF($W617="","",INDEX('Per Line'!$B$2:$B$3001,$W617)&amp;"")</f>
        <v/>
      </c>
      <c r="C617">
        <f>IF($W617="","",INDEX('Per Line'!$C$2:$C$3001,$W617)&amp;"")</f>
        <v/>
      </c>
      <c r="D617">
        <f>IF($W617="","",IF(OR(TRIM(E617)="Orient Insurance Company",TRIM(E617)="Allianz"),TRIM(E617),TRIM(F617)))</f>
        <v/>
      </c>
      <c r="E617">
        <f>IF($W617="","",INDEX('Per Line'!$E$2:$E$3001,$W617)&amp;"")</f>
        <v/>
      </c>
      <c r="F617">
        <f>IF($W617="","",INDEX('Per Line'!$D$2:$D$3001,$W617)&amp;"")</f>
        <v/>
      </c>
      <c r="G617">
        <f>IF($W617="","",INDEX('Per Line'!$F$2:$F$3001,$W617)&amp;"")</f>
        <v/>
      </c>
      <c r="H617">
        <f>IF($W617="","",INDEX('Per Line'!$G$2:$G$3001,$W617)&amp;"")</f>
        <v/>
      </c>
      <c r="I617">
        <f>IF($W617="","",INDEX('Per Line'!$H$2:$H$3001,$W617)&amp;"")</f>
        <v/>
      </c>
      <c r="J617">
        <f>IF($W617="","",INDEX('Per Line'!$I$2:$I$3001,$W617))</f>
        <v/>
      </c>
      <c r="K617" s="7">
        <f>IF($W617="","",J617*T617/100)</f>
        <v/>
      </c>
      <c r="L617" s="14">
        <f>IF($W617="","",INDEX('Per Line'!$V$2:$V$3001,$W617))</f>
        <v/>
      </c>
      <c r="M617">
        <f>IF($W617="","",IF(ISNUMBER(SEARCH("3&amp;12",SUBSTITUTE(F617," ",""))),Settings!$G$7,Settings!$C$7))</f>
        <v/>
      </c>
      <c r="N617" s="7">
        <f>IF($W617="","",SUMIFS('Per Line'!$O$2:$O$3001,'Per Line'!$B$2:$B$3001,$B617,'Per Line'!$AB$2:$AB$3001,0))</f>
        <v/>
      </c>
      <c r="O617" s="7">
        <f>IF($W617="","",N617*M617)</f>
        <v/>
      </c>
      <c r="P617">
        <f>IF($W617="","",IF(ISNUMBER(SEARCH("3&amp;12",SUBSTITUTE(F617," ",""))),Settings!$G$6,Settings!$C$6))</f>
        <v/>
      </c>
      <c r="Q617" s="7">
        <f>IF($W617="","",SUMIFS('Per Line'!$O$2:$O$3001,'Per Line'!$B$2:$B$3001,$B617,'Per Line'!$AB$2:$AB$3001,1))</f>
        <v/>
      </c>
      <c r="R617" s="7">
        <f>IF($W617="","",Q617*P617)</f>
        <v/>
      </c>
      <c r="S617" s="7">
        <f>IF($W617="","",R617+O617)</f>
        <v/>
      </c>
      <c r="T617" s="7">
        <f>IF($W617="","",V617-S617)</f>
        <v/>
      </c>
      <c r="U617" s="7">
        <f>IF($W617="","",V617-S617-K617)</f>
        <v/>
      </c>
      <c r="V617" s="7">
        <f>IF($W617="","",N617+Q617)</f>
        <v/>
      </c>
      <c r="W617" s="16">
        <f>IF(ROWS($W$2:$W617)&lt;=MAX('Per Line'!$AA$2:$AA$3001),MATCH(ROWS($W$2:$W617),'Per Line'!$AA$2:$AA$3001,0),"")</f>
        <v/>
      </c>
      <c r="X617">
        <f>IF($W617="","",D617&amp;"|"&amp;COUNTIF($D$2:$D617,D617))</f>
        <v/>
      </c>
    </row>
    <row r="618">
      <c r="A618" s="15" t="n"/>
      <c r="B618">
        <f>IF($W618="","",INDEX('Per Line'!$B$2:$B$3001,$W618)&amp;"")</f>
        <v/>
      </c>
      <c r="C618">
        <f>IF($W618="","",INDEX('Per Line'!$C$2:$C$3001,$W618)&amp;"")</f>
        <v/>
      </c>
      <c r="D618">
        <f>IF($W618="","",IF(OR(TRIM(E618)="Orient Insurance Company",TRIM(E618)="Allianz"),TRIM(E618),TRIM(F618)))</f>
        <v/>
      </c>
      <c r="E618">
        <f>IF($W618="","",INDEX('Per Line'!$E$2:$E$3001,$W618)&amp;"")</f>
        <v/>
      </c>
      <c r="F618">
        <f>IF($W618="","",INDEX('Per Line'!$D$2:$D$3001,$W618)&amp;"")</f>
        <v/>
      </c>
      <c r="G618">
        <f>IF($W618="","",INDEX('Per Line'!$F$2:$F$3001,$W618)&amp;"")</f>
        <v/>
      </c>
      <c r="H618">
        <f>IF($W618="","",INDEX('Per Line'!$G$2:$G$3001,$W618)&amp;"")</f>
        <v/>
      </c>
      <c r="I618">
        <f>IF($W618="","",INDEX('Per Line'!$H$2:$H$3001,$W618)&amp;"")</f>
        <v/>
      </c>
      <c r="J618">
        <f>IF($W618="","",INDEX('Per Line'!$I$2:$I$3001,$W618))</f>
        <v/>
      </c>
      <c r="K618" s="7">
        <f>IF($W618="","",J618*T618/100)</f>
        <v/>
      </c>
      <c r="L618" s="14">
        <f>IF($W618="","",INDEX('Per Line'!$V$2:$V$3001,$W618))</f>
        <v/>
      </c>
      <c r="M618">
        <f>IF($W618="","",IF(ISNUMBER(SEARCH("3&amp;12",SUBSTITUTE(F618," ",""))),Settings!$G$7,Settings!$C$7))</f>
        <v/>
      </c>
      <c r="N618" s="7">
        <f>IF($W618="","",SUMIFS('Per Line'!$O$2:$O$3001,'Per Line'!$B$2:$B$3001,$B618,'Per Line'!$AB$2:$AB$3001,0))</f>
        <v/>
      </c>
      <c r="O618" s="7">
        <f>IF($W618="","",N618*M618)</f>
        <v/>
      </c>
      <c r="P618">
        <f>IF($W618="","",IF(ISNUMBER(SEARCH("3&amp;12",SUBSTITUTE(F618," ",""))),Settings!$G$6,Settings!$C$6))</f>
        <v/>
      </c>
      <c r="Q618" s="7">
        <f>IF($W618="","",SUMIFS('Per Line'!$O$2:$O$3001,'Per Line'!$B$2:$B$3001,$B618,'Per Line'!$AB$2:$AB$3001,1))</f>
        <v/>
      </c>
      <c r="R618" s="7">
        <f>IF($W618="","",Q618*P618)</f>
        <v/>
      </c>
      <c r="S618" s="7">
        <f>IF($W618="","",R618+O618)</f>
        <v/>
      </c>
      <c r="T618" s="7">
        <f>IF($W618="","",V618-S618)</f>
        <v/>
      </c>
      <c r="U618" s="7">
        <f>IF($W618="","",V618-S618-K618)</f>
        <v/>
      </c>
      <c r="V618" s="7">
        <f>IF($W618="","",N618+Q618)</f>
        <v/>
      </c>
      <c r="W618" s="16">
        <f>IF(ROWS($W$2:$W618)&lt;=MAX('Per Line'!$AA$2:$AA$3001),MATCH(ROWS($W$2:$W618),'Per Line'!$AA$2:$AA$3001,0),"")</f>
        <v/>
      </c>
      <c r="X618">
        <f>IF($W618="","",D618&amp;"|"&amp;COUNTIF($D$2:$D618,D618))</f>
        <v/>
      </c>
    </row>
    <row r="619">
      <c r="A619" s="15" t="n"/>
      <c r="B619">
        <f>IF($W619="","",INDEX('Per Line'!$B$2:$B$3001,$W619)&amp;"")</f>
        <v/>
      </c>
      <c r="C619">
        <f>IF($W619="","",INDEX('Per Line'!$C$2:$C$3001,$W619)&amp;"")</f>
        <v/>
      </c>
      <c r="D619">
        <f>IF($W619="","",IF(OR(TRIM(E619)="Orient Insurance Company",TRIM(E619)="Allianz"),TRIM(E619),TRIM(F619)))</f>
        <v/>
      </c>
      <c r="E619">
        <f>IF($W619="","",INDEX('Per Line'!$E$2:$E$3001,$W619)&amp;"")</f>
        <v/>
      </c>
      <c r="F619">
        <f>IF($W619="","",INDEX('Per Line'!$D$2:$D$3001,$W619)&amp;"")</f>
        <v/>
      </c>
      <c r="G619">
        <f>IF($W619="","",INDEX('Per Line'!$F$2:$F$3001,$W619)&amp;"")</f>
        <v/>
      </c>
      <c r="H619">
        <f>IF($W619="","",INDEX('Per Line'!$G$2:$G$3001,$W619)&amp;"")</f>
        <v/>
      </c>
      <c r="I619">
        <f>IF($W619="","",INDEX('Per Line'!$H$2:$H$3001,$W619)&amp;"")</f>
        <v/>
      </c>
      <c r="J619">
        <f>IF($W619="","",INDEX('Per Line'!$I$2:$I$3001,$W619))</f>
        <v/>
      </c>
      <c r="K619" s="7">
        <f>IF($W619="","",J619*T619/100)</f>
        <v/>
      </c>
      <c r="L619" s="14">
        <f>IF($W619="","",INDEX('Per Line'!$V$2:$V$3001,$W619))</f>
        <v/>
      </c>
      <c r="M619">
        <f>IF($W619="","",IF(ISNUMBER(SEARCH("3&amp;12",SUBSTITUTE(F619," ",""))),Settings!$G$7,Settings!$C$7))</f>
        <v/>
      </c>
      <c r="N619" s="7">
        <f>IF($W619="","",SUMIFS('Per Line'!$O$2:$O$3001,'Per Line'!$B$2:$B$3001,$B619,'Per Line'!$AB$2:$AB$3001,0))</f>
        <v/>
      </c>
      <c r="O619" s="7">
        <f>IF($W619="","",N619*M619)</f>
        <v/>
      </c>
      <c r="P619">
        <f>IF($W619="","",IF(ISNUMBER(SEARCH("3&amp;12",SUBSTITUTE(F619," ",""))),Settings!$G$6,Settings!$C$6))</f>
        <v/>
      </c>
      <c r="Q619" s="7">
        <f>IF($W619="","",SUMIFS('Per Line'!$O$2:$O$3001,'Per Line'!$B$2:$B$3001,$B619,'Per Line'!$AB$2:$AB$3001,1))</f>
        <v/>
      </c>
      <c r="R619" s="7">
        <f>IF($W619="","",Q619*P619)</f>
        <v/>
      </c>
      <c r="S619" s="7">
        <f>IF($W619="","",R619+O619)</f>
        <v/>
      </c>
      <c r="T619" s="7">
        <f>IF($W619="","",V619-S619)</f>
        <v/>
      </c>
      <c r="U619" s="7">
        <f>IF($W619="","",V619-S619-K619)</f>
        <v/>
      </c>
      <c r="V619" s="7">
        <f>IF($W619="","",N619+Q619)</f>
        <v/>
      </c>
      <c r="W619" s="16">
        <f>IF(ROWS($W$2:$W619)&lt;=MAX('Per Line'!$AA$2:$AA$3001),MATCH(ROWS($W$2:$W619),'Per Line'!$AA$2:$AA$3001,0),"")</f>
        <v/>
      </c>
      <c r="X619">
        <f>IF($W619="","",D619&amp;"|"&amp;COUNTIF($D$2:$D619,D619))</f>
        <v/>
      </c>
    </row>
    <row r="620">
      <c r="A620" s="15" t="n"/>
      <c r="B620">
        <f>IF($W620="","",INDEX('Per Line'!$B$2:$B$3001,$W620)&amp;"")</f>
        <v/>
      </c>
      <c r="C620">
        <f>IF($W620="","",INDEX('Per Line'!$C$2:$C$3001,$W620)&amp;"")</f>
        <v/>
      </c>
      <c r="D620">
        <f>IF($W620="","",IF(OR(TRIM(E620)="Orient Insurance Company",TRIM(E620)="Allianz"),TRIM(E620),TRIM(F620)))</f>
        <v/>
      </c>
      <c r="E620">
        <f>IF($W620="","",INDEX('Per Line'!$E$2:$E$3001,$W620)&amp;"")</f>
        <v/>
      </c>
      <c r="F620">
        <f>IF($W620="","",INDEX('Per Line'!$D$2:$D$3001,$W620)&amp;"")</f>
        <v/>
      </c>
      <c r="G620">
        <f>IF($W620="","",INDEX('Per Line'!$F$2:$F$3001,$W620)&amp;"")</f>
        <v/>
      </c>
      <c r="H620">
        <f>IF($W620="","",INDEX('Per Line'!$G$2:$G$3001,$W620)&amp;"")</f>
        <v/>
      </c>
      <c r="I620">
        <f>IF($W620="","",INDEX('Per Line'!$H$2:$H$3001,$W620)&amp;"")</f>
        <v/>
      </c>
      <c r="J620">
        <f>IF($W620="","",INDEX('Per Line'!$I$2:$I$3001,$W620))</f>
        <v/>
      </c>
      <c r="K620" s="7">
        <f>IF($W620="","",J620*T620/100)</f>
        <v/>
      </c>
      <c r="L620" s="14">
        <f>IF($W620="","",INDEX('Per Line'!$V$2:$V$3001,$W620))</f>
        <v/>
      </c>
      <c r="M620">
        <f>IF($W620="","",IF(ISNUMBER(SEARCH("3&amp;12",SUBSTITUTE(F620," ",""))),Settings!$G$7,Settings!$C$7))</f>
        <v/>
      </c>
      <c r="N620" s="7">
        <f>IF($W620="","",SUMIFS('Per Line'!$O$2:$O$3001,'Per Line'!$B$2:$B$3001,$B620,'Per Line'!$AB$2:$AB$3001,0))</f>
        <v/>
      </c>
      <c r="O620" s="7">
        <f>IF($W620="","",N620*M620)</f>
        <v/>
      </c>
      <c r="P620">
        <f>IF($W620="","",IF(ISNUMBER(SEARCH("3&amp;12",SUBSTITUTE(F620," ",""))),Settings!$G$6,Settings!$C$6))</f>
        <v/>
      </c>
      <c r="Q620" s="7">
        <f>IF($W620="","",SUMIFS('Per Line'!$O$2:$O$3001,'Per Line'!$B$2:$B$3001,$B620,'Per Line'!$AB$2:$AB$3001,1))</f>
        <v/>
      </c>
      <c r="R620" s="7">
        <f>IF($W620="","",Q620*P620)</f>
        <v/>
      </c>
      <c r="S620" s="7">
        <f>IF($W620="","",R620+O620)</f>
        <v/>
      </c>
      <c r="T620" s="7">
        <f>IF($W620="","",V620-S620)</f>
        <v/>
      </c>
      <c r="U620" s="7">
        <f>IF($W620="","",V620-S620-K620)</f>
        <v/>
      </c>
      <c r="V620" s="7">
        <f>IF($W620="","",N620+Q620)</f>
        <v/>
      </c>
      <c r="W620" s="16">
        <f>IF(ROWS($W$2:$W620)&lt;=MAX('Per Line'!$AA$2:$AA$3001),MATCH(ROWS($W$2:$W620),'Per Line'!$AA$2:$AA$3001,0),"")</f>
        <v/>
      </c>
      <c r="X620">
        <f>IF($W620="","",D620&amp;"|"&amp;COUNTIF($D$2:$D620,D620))</f>
        <v/>
      </c>
    </row>
    <row r="621">
      <c r="A621" s="15" t="n"/>
      <c r="B621">
        <f>IF($W621="","",INDEX('Per Line'!$B$2:$B$3001,$W621)&amp;"")</f>
        <v/>
      </c>
      <c r="C621">
        <f>IF($W621="","",INDEX('Per Line'!$C$2:$C$3001,$W621)&amp;"")</f>
        <v/>
      </c>
      <c r="D621">
        <f>IF($W621="","",IF(OR(TRIM(E621)="Orient Insurance Company",TRIM(E621)="Allianz"),TRIM(E621),TRIM(F621)))</f>
        <v/>
      </c>
      <c r="E621">
        <f>IF($W621="","",INDEX('Per Line'!$E$2:$E$3001,$W621)&amp;"")</f>
        <v/>
      </c>
      <c r="F621">
        <f>IF($W621="","",INDEX('Per Line'!$D$2:$D$3001,$W621)&amp;"")</f>
        <v/>
      </c>
      <c r="G621">
        <f>IF($W621="","",INDEX('Per Line'!$F$2:$F$3001,$W621)&amp;"")</f>
        <v/>
      </c>
      <c r="H621">
        <f>IF($W621="","",INDEX('Per Line'!$G$2:$G$3001,$W621)&amp;"")</f>
        <v/>
      </c>
      <c r="I621">
        <f>IF($W621="","",INDEX('Per Line'!$H$2:$H$3001,$W621)&amp;"")</f>
        <v/>
      </c>
      <c r="J621">
        <f>IF($W621="","",INDEX('Per Line'!$I$2:$I$3001,$W621))</f>
        <v/>
      </c>
      <c r="K621" s="7">
        <f>IF($W621="","",J621*T621/100)</f>
        <v/>
      </c>
      <c r="L621" s="14">
        <f>IF($W621="","",INDEX('Per Line'!$V$2:$V$3001,$W621))</f>
        <v/>
      </c>
      <c r="M621">
        <f>IF($W621="","",IF(ISNUMBER(SEARCH("3&amp;12",SUBSTITUTE(F621," ",""))),Settings!$G$7,Settings!$C$7))</f>
        <v/>
      </c>
      <c r="N621" s="7">
        <f>IF($W621="","",SUMIFS('Per Line'!$O$2:$O$3001,'Per Line'!$B$2:$B$3001,$B621,'Per Line'!$AB$2:$AB$3001,0))</f>
        <v/>
      </c>
      <c r="O621" s="7">
        <f>IF($W621="","",N621*M621)</f>
        <v/>
      </c>
      <c r="P621">
        <f>IF($W621="","",IF(ISNUMBER(SEARCH("3&amp;12",SUBSTITUTE(F621," ",""))),Settings!$G$6,Settings!$C$6))</f>
        <v/>
      </c>
      <c r="Q621" s="7">
        <f>IF($W621="","",SUMIFS('Per Line'!$O$2:$O$3001,'Per Line'!$B$2:$B$3001,$B621,'Per Line'!$AB$2:$AB$3001,1))</f>
        <v/>
      </c>
      <c r="R621" s="7">
        <f>IF($W621="","",Q621*P621)</f>
        <v/>
      </c>
      <c r="S621" s="7">
        <f>IF($W621="","",R621+O621)</f>
        <v/>
      </c>
      <c r="T621" s="7">
        <f>IF($W621="","",V621-S621)</f>
        <v/>
      </c>
      <c r="U621" s="7">
        <f>IF($W621="","",V621-S621-K621)</f>
        <v/>
      </c>
      <c r="V621" s="7">
        <f>IF($W621="","",N621+Q621)</f>
        <v/>
      </c>
      <c r="W621" s="16">
        <f>IF(ROWS($W$2:$W621)&lt;=MAX('Per Line'!$AA$2:$AA$3001),MATCH(ROWS($W$2:$W621),'Per Line'!$AA$2:$AA$3001,0),"")</f>
        <v/>
      </c>
      <c r="X621">
        <f>IF($W621="","",D621&amp;"|"&amp;COUNTIF($D$2:$D621,D621))</f>
        <v/>
      </c>
    </row>
    <row r="622">
      <c r="A622" s="15" t="n"/>
      <c r="B622">
        <f>IF($W622="","",INDEX('Per Line'!$B$2:$B$3001,$W622)&amp;"")</f>
        <v/>
      </c>
      <c r="C622">
        <f>IF($W622="","",INDEX('Per Line'!$C$2:$C$3001,$W622)&amp;"")</f>
        <v/>
      </c>
      <c r="D622">
        <f>IF($W622="","",IF(OR(TRIM(E622)="Orient Insurance Company",TRIM(E622)="Allianz"),TRIM(E622),TRIM(F622)))</f>
        <v/>
      </c>
      <c r="E622">
        <f>IF($W622="","",INDEX('Per Line'!$E$2:$E$3001,$W622)&amp;"")</f>
        <v/>
      </c>
      <c r="F622">
        <f>IF($W622="","",INDEX('Per Line'!$D$2:$D$3001,$W622)&amp;"")</f>
        <v/>
      </c>
      <c r="G622">
        <f>IF($W622="","",INDEX('Per Line'!$F$2:$F$3001,$W622)&amp;"")</f>
        <v/>
      </c>
      <c r="H622">
        <f>IF($W622="","",INDEX('Per Line'!$G$2:$G$3001,$W622)&amp;"")</f>
        <v/>
      </c>
      <c r="I622">
        <f>IF($W622="","",INDEX('Per Line'!$H$2:$H$3001,$W622)&amp;"")</f>
        <v/>
      </c>
      <c r="J622">
        <f>IF($W622="","",INDEX('Per Line'!$I$2:$I$3001,$W622))</f>
        <v/>
      </c>
      <c r="K622" s="7">
        <f>IF($W622="","",J622*T622/100)</f>
        <v/>
      </c>
      <c r="L622" s="14">
        <f>IF($W622="","",INDEX('Per Line'!$V$2:$V$3001,$W622))</f>
        <v/>
      </c>
      <c r="M622">
        <f>IF($W622="","",IF(ISNUMBER(SEARCH("3&amp;12",SUBSTITUTE(F622," ",""))),Settings!$G$7,Settings!$C$7))</f>
        <v/>
      </c>
      <c r="N622" s="7">
        <f>IF($W622="","",SUMIFS('Per Line'!$O$2:$O$3001,'Per Line'!$B$2:$B$3001,$B622,'Per Line'!$AB$2:$AB$3001,0))</f>
        <v/>
      </c>
      <c r="O622" s="7">
        <f>IF($W622="","",N622*M622)</f>
        <v/>
      </c>
      <c r="P622">
        <f>IF($W622="","",IF(ISNUMBER(SEARCH("3&amp;12",SUBSTITUTE(F622," ",""))),Settings!$G$6,Settings!$C$6))</f>
        <v/>
      </c>
      <c r="Q622" s="7">
        <f>IF($W622="","",SUMIFS('Per Line'!$O$2:$O$3001,'Per Line'!$B$2:$B$3001,$B622,'Per Line'!$AB$2:$AB$3001,1))</f>
        <v/>
      </c>
      <c r="R622" s="7">
        <f>IF($W622="","",Q622*P622)</f>
        <v/>
      </c>
      <c r="S622" s="7">
        <f>IF($W622="","",R622+O622)</f>
        <v/>
      </c>
      <c r="T622" s="7">
        <f>IF($W622="","",V622-S622)</f>
        <v/>
      </c>
      <c r="U622" s="7">
        <f>IF($W622="","",V622-S622-K622)</f>
        <v/>
      </c>
      <c r="V622" s="7">
        <f>IF($W622="","",N622+Q622)</f>
        <v/>
      </c>
      <c r="W622" s="16">
        <f>IF(ROWS($W$2:$W622)&lt;=MAX('Per Line'!$AA$2:$AA$3001),MATCH(ROWS($W$2:$W622),'Per Line'!$AA$2:$AA$3001,0),"")</f>
        <v/>
      </c>
      <c r="X622">
        <f>IF($W622="","",D622&amp;"|"&amp;COUNTIF($D$2:$D622,D622))</f>
        <v/>
      </c>
    </row>
    <row r="623">
      <c r="A623" s="15" t="n"/>
      <c r="B623">
        <f>IF($W623="","",INDEX('Per Line'!$B$2:$B$3001,$W623)&amp;"")</f>
        <v/>
      </c>
      <c r="C623">
        <f>IF($W623="","",INDEX('Per Line'!$C$2:$C$3001,$W623)&amp;"")</f>
        <v/>
      </c>
      <c r="D623">
        <f>IF($W623="","",IF(OR(TRIM(E623)="Orient Insurance Company",TRIM(E623)="Allianz"),TRIM(E623),TRIM(F623)))</f>
        <v/>
      </c>
      <c r="E623">
        <f>IF($W623="","",INDEX('Per Line'!$E$2:$E$3001,$W623)&amp;"")</f>
        <v/>
      </c>
      <c r="F623">
        <f>IF($W623="","",INDEX('Per Line'!$D$2:$D$3001,$W623)&amp;"")</f>
        <v/>
      </c>
      <c r="G623">
        <f>IF($W623="","",INDEX('Per Line'!$F$2:$F$3001,$W623)&amp;"")</f>
        <v/>
      </c>
      <c r="H623">
        <f>IF($W623="","",INDEX('Per Line'!$G$2:$G$3001,$W623)&amp;"")</f>
        <v/>
      </c>
      <c r="I623">
        <f>IF($W623="","",INDEX('Per Line'!$H$2:$H$3001,$W623)&amp;"")</f>
        <v/>
      </c>
      <c r="J623">
        <f>IF($W623="","",INDEX('Per Line'!$I$2:$I$3001,$W623))</f>
        <v/>
      </c>
      <c r="K623" s="7">
        <f>IF($W623="","",J623*T623/100)</f>
        <v/>
      </c>
      <c r="L623" s="14">
        <f>IF($W623="","",INDEX('Per Line'!$V$2:$V$3001,$W623))</f>
        <v/>
      </c>
      <c r="M623">
        <f>IF($W623="","",IF(ISNUMBER(SEARCH("3&amp;12",SUBSTITUTE(F623," ",""))),Settings!$G$7,Settings!$C$7))</f>
        <v/>
      </c>
      <c r="N623" s="7">
        <f>IF($W623="","",SUMIFS('Per Line'!$O$2:$O$3001,'Per Line'!$B$2:$B$3001,$B623,'Per Line'!$AB$2:$AB$3001,0))</f>
        <v/>
      </c>
      <c r="O623" s="7">
        <f>IF($W623="","",N623*M623)</f>
        <v/>
      </c>
      <c r="P623">
        <f>IF($W623="","",IF(ISNUMBER(SEARCH("3&amp;12",SUBSTITUTE(F623," ",""))),Settings!$G$6,Settings!$C$6))</f>
        <v/>
      </c>
      <c r="Q623" s="7">
        <f>IF($W623="","",SUMIFS('Per Line'!$O$2:$O$3001,'Per Line'!$B$2:$B$3001,$B623,'Per Line'!$AB$2:$AB$3001,1))</f>
        <v/>
      </c>
      <c r="R623" s="7">
        <f>IF($W623="","",Q623*P623)</f>
        <v/>
      </c>
      <c r="S623" s="7">
        <f>IF($W623="","",R623+O623)</f>
        <v/>
      </c>
      <c r="T623" s="7">
        <f>IF($W623="","",V623-S623)</f>
        <v/>
      </c>
      <c r="U623" s="7">
        <f>IF($W623="","",V623-S623-K623)</f>
        <v/>
      </c>
      <c r="V623" s="7">
        <f>IF($W623="","",N623+Q623)</f>
        <v/>
      </c>
      <c r="W623" s="16">
        <f>IF(ROWS($W$2:$W623)&lt;=MAX('Per Line'!$AA$2:$AA$3001),MATCH(ROWS($W$2:$W623),'Per Line'!$AA$2:$AA$3001,0),"")</f>
        <v/>
      </c>
      <c r="X623">
        <f>IF($W623="","",D623&amp;"|"&amp;COUNTIF($D$2:$D623,D623))</f>
        <v/>
      </c>
    </row>
    <row r="624">
      <c r="A624" s="15" t="n"/>
      <c r="B624">
        <f>IF($W624="","",INDEX('Per Line'!$B$2:$B$3001,$W624)&amp;"")</f>
        <v/>
      </c>
      <c r="C624">
        <f>IF($W624="","",INDEX('Per Line'!$C$2:$C$3001,$W624)&amp;"")</f>
        <v/>
      </c>
      <c r="D624">
        <f>IF($W624="","",IF(OR(TRIM(E624)="Orient Insurance Company",TRIM(E624)="Allianz"),TRIM(E624),TRIM(F624)))</f>
        <v/>
      </c>
      <c r="E624">
        <f>IF($W624="","",INDEX('Per Line'!$E$2:$E$3001,$W624)&amp;"")</f>
        <v/>
      </c>
      <c r="F624">
        <f>IF($W624="","",INDEX('Per Line'!$D$2:$D$3001,$W624)&amp;"")</f>
        <v/>
      </c>
      <c r="G624">
        <f>IF($W624="","",INDEX('Per Line'!$F$2:$F$3001,$W624)&amp;"")</f>
        <v/>
      </c>
      <c r="H624">
        <f>IF($W624="","",INDEX('Per Line'!$G$2:$G$3001,$W624)&amp;"")</f>
        <v/>
      </c>
      <c r="I624">
        <f>IF($W624="","",INDEX('Per Line'!$H$2:$H$3001,$W624)&amp;"")</f>
        <v/>
      </c>
      <c r="J624">
        <f>IF($W624="","",INDEX('Per Line'!$I$2:$I$3001,$W624))</f>
        <v/>
      </c>
      <c r="K624" s="7">
        <f>IF($W624="","",J624*T624/100)</f>
        <v/>
      </c>
      <c r="L624" s="14">
        <f>IF($W624="","",INDEX('Per Line'!$V$2:$V$3001,$W624))</f>
        <v/>
      </c>
      <c r="M624">
        <f>IF($W624="","",IF(ISNUMBER(SEARCH("3&amp;12",SUBSTITUTE(F624," ",""))),Settings!$G$7,Settings!$C$7))</f>
        <v/>
      </c>
      <c r="N624" s="7">
        <f>IF($W624="","",SUMIFS('Per Line'!$O$2:$O$3001,'Per Line'!$B$2:$B$3001,$B624,'Per Line'!$AB$2:$AB$3001,0))</f>
        <v/>
      </c>
      <c r="O624" s="7">
        <f>IF($W624="","",N624*M624)</f>
        <v/>
      </c>
      <c r="P624">
        <f>IF($W624="","",IF(ISNUMBER(SEARCH("3&amp;12",SUBSTITUTE(F624," ",""))),Settings!$G$6,Settings!$C$6))</f>
        <v/>
      </c>
      <c r="Q624" s="7">
        <f>IF($W624="","",SUMIFS('Per Line'!$O$2:$O$3001,'Per Line'!$B$2:$B$3001,$B624,'Per Line'!$AB$2:$AB$3001,1))</f>
        <v/>
      </c>
      <c r="R624" s="7">
        <f>IF($W624="","",Q624*P624)</f>
        <v/>
      </c>
      <c r="S624" s="7">
        <f>IF($W624="","",R624+O624)</f>
        <v/>
      </c>
      <c r="T624" s="7">
        <f>IF($W624="","",V624-S624)</f>
        <v/>
      </c>
      <c r="U624" s="7">
        <f>IF($W624="","",V624-S624-K624)</f>
        <v/>
      </c>
      <c r="V624" s="7">
        <f>IF($W624="","",N624+Q624)</f>
        <v/>
      </c>
      <c r="W624" s="16">
        <f>IF(ROWS($W$2:$W624)&lt;=MAX('Per Line'!$AA$2:$AA$3001),MATCH(ROWS($W$2:$W624),'Per Line'!$AA$2:$AA$3001,0),"")</f>
        <v/>
      </c>
      <c r="X624">
        <f>IF($W624="","",D624&amp;"|"&amp;COUNTIF($D$2:$D624,D624))</f>
        <v/>
      </c>
    </row>
    <row r="625">
      <c r="A625" s="15" t="n"/>
      <c r="B625">
        <f>IF($W625="","",INDEX('Per Line'!$B$2:$B$3001,$W625)&amp;"")</f>
        <v/>
      </c>
      <c r="C625">
        <f>IF($W625="","",INDEX('Per Line'!$C$2:$C$3001,$W625)&amp;"")</f>
        <v/>
      </c>
      <c r="D625">
        <f>IF($W625="","",IF(OR(TRIM(E625)="Orient Insurance Company",TRIM(E625)="Allianz"),TRIM(E625),TRIM(F625)))</f>
        <v/>
      </c>
      <c r="E625">
        <f>IF($W625="","",INDEX('Per Line'!$E$2:$E$3001,$W625)&amp;"")</f>
        <v/>
      </c>
      <c r="F625">
        <f>IF($W625="","",INDEX('Per Line'!$D$2:$D$3001,$W625)&amp;"")</f>
        <v/>
      </c>
      <c r="G625">
        <f>IF($W625="","",INDEX('Per Line'!$F$2:$F$3001,$W625)&amp;"")</f>
        <v/>
      </c>
      <c r="H625">
        <f>IF($W625="","",INDEX('Per Line'!$G$2:$G$3001,$W625)&amp;"")</f>
        <v/>
      </c>
      <c r="I625">
        <f>IF($W625="","",INDEX('Per Line'!$H$2:$H$3001,$W625)&amp;"")</f>
        <v/>
      </c>
      <c r="J625">
        <f>IF($W625="","",INDEX('Per Line'!$I$2:$I$3001,$W625))</f>
        <v/>
      </c>
      <c r="K625" s="7">
        <f>IF($W625="","",J625*T625/100)</f>
        <v/>
      </c>
      <c r="L625" s="14">
        <f>IF($W625="","",INDEX('Per Line'!$V$2:$V$3001,$W625))</f>
        <v/>
      </c>
      <c r="M625">
        <f>IF($W625="","",IF(ISNUMBER(SEARCH("3&amp;12",SUBSTITUTE(F625," ",""))),Settings!$G$7,Settings!$C$7))</f>
        <v/>
      </c>
      <c r="N625" s="7">
        <f>IF($W625="","",SUMIFS('Per Line'!$O$2:$O$3001,'Per Line'!$B$2:$B$3001,$B625,'Per Line'!$AB$2:$AB$3001,0))</f>
        <v/>
      </c>
      <c r="O625" s="7">
        <f>IF($W625="","",N625*M625)</f>
        <v/>
      </c>
      <c r="P625">
        <f>IF($W625="","",IF(ISNUMBER(SEARCH("3&amp;12",SUBSTITUTE(F625," ",""))),Settings!$G$6,Settings!$C$6))</f>
        <v/>
      </c>
      <c r="Q625" s="7">
        <f>IF($W625="","",SUMIFS('Per Line'!$O$2:$O$3001,'Per Line'!$B$2:$B$3001,$B625,'Per Line'!$AB$2:$AB$3001,1))</f>
        <v/>
      </c>
      <c r="R625" s="7">
        <f>IF($W625="","",Q625*P625)</f>
        <v/>
      </c>
      <c r="S625" s="7">
        <f>IF($W625="","",R625+O625)</f>
        <v/>
      </c>
      <c r="T625" s="7">
        <f>IF($W625="","",V625-S625)</f>
        <v/>
      </c>
      <c r="U625" s="7">
        <f>IF($W625="","",V625-S625-K625)</f>
        <v/>
      </c>
      <c r="V625" s="7">
        <f>IF($W625="","",N625+Q625)</f>
        <v/>
      </c>
      <c r="W625" s="16">
        <f>IF(ROWS($W$2:$W625)&lt;=MAX('Per Line'!$AA$2:$AA$3001),MATCH(ROWS($W$2:$W625),'Per Line'!$AA$2:$AA$3001,0),"")</f>
        <v/>
      </c>
      <c r="X625">
        <f>IF($W625="","",D625&amp;"|"&amp;COUNTIF($D$2:$D625,D625))</f>
        <v/>
      </c>
    </row>
    <row r="626">
      <c r="A626" s="15" t="n"/>
      <c r="B626">
        <f>IF($W626="","",INDEX('Per Line'!$B$2:$B$3001,$W626)&amp;"")</f>
        <v/>
      </c>
      <c r="C626">
        <f>IF($W626="","",INDEX('Per Line'!$C$2:$C$3001,$W626)&amp;"")</f>
        <v/>
      </c>
      <c r="D626">
        <f>IF($W626="","",IF(OR(TRIM(E626)="Orient Insurance Company",TRIM(E626)="Allianz"),TRIM(E626),TRIM(F626)))</f>
        <v/>
      </c>
      <c r="E626">
        <f>IF($W626="","",INDEX('Per Line'!$E$2:$E$3001,$W626)&amp;"")</f>
        <v/>
      </c>
      <c r="F626">
        <f>IF($W626="","",INDEX('Per Line'!$D$2:$D$3001,$W626)&amp;"")</f>
        <v/>
      </c>
      <c r="G626">
        <f>IF($W626="","",INDEX('Per Line'!$F$2:$F$3001,$W626)&amp;"")</f>
        <v/>
      </c>
      <c r="H626">
        <f>IF($W626="","",INDEX('Per Line'!$G$2:$G$3001,$W626)&amp;"")</f>
        <v/>
      </c>
      <c r="I626">
        <f>IF($W626="","",INDEX('Per Line'!$H$2:$H$3001,$W626)&amp;"")</f>
        <v/>
      </c>
      <c r="J626">
        <f>IF($W626="","",INDEX('Per Line'!$I$2:$I$3001,$W626))</f>
        <v/>
      </c>
      <c r="K626" s="7">
        <f>IF($W626="","",J626*T626/100)</f>
        <v/>
      </c>
      <c r="L626" s="14">
        <f>IF($W626="","",INDEX('Per Line'!$V$2:$V$3001,$W626))</f>
        <v/>
      </c>
      <c r="M626">
        <f>IF($W626="","",IF(ISNUMBER(SEARCH("3&amp;12",SUBSTITUTE(F626," ",""))),Settings!$G$7,Settings!$C$7))</f>
        <v/>
      </c>
      <c r="N626" s="7">
        <f>IF($W626="","",SUMIFS('Per Line'!$O$2:$O$3001,'Per Line'!$B$2:$B$3001,$B626,'Per Line'!$AB$2:$AB$3001,0))</f>
        <v/>
      </c>
      <c r="O626" s="7">
        <f>IF($W626="","",N626*M626)</f>
        <v/>
      </c>
      <c r="P626">
        <f>IF($W626="","",IF(ISNUMBER(SEARCH("3&amp;12",SUBSTITUTE(F626," ",""))),Settings!$G$6,Settings!$C$6))</f>
        <v/>
      </c>
      <c r="Q626" s="7">
        <f>IF($W626="","",SUMIFS('Per Line'!$O$2:$O$3001,'Per Line'!$B$2:$B$3001,$B626,'Per Line'!$AB$2:$AB$3001,1))</f>
        <v/>
      </c>
      <c r="R626" s="7">
        <f>IF($W626="","",Q626*P626)</f>
        <v/>
      </c>
      <c r="S626" s="7">
        <f>IF($W626="","",R626+O626)</f>
        <v/>
      </c>
      <c r="T626" s="7">
        <f>IF($W626="","",V626-S626)</f>
        <v/>
      </c>
      <c r="U626" s="7">
        <f>IF($W626="","",V626-S626-K626)</f>
        <v/>
      </c>
      <c r="V626" s="7">
        <f>IF($W626="","",N626+Q626)</f>
        <v/>
      </c>
      <c r="W626" s="16">
        <f>IF(ROWS($W$2:$W626)&lt;=MAX('Per Line'!$AA$2:$AA$3001),MATCH(ROWS($W$2:$W626),'Per Line'!$AA$2:$AA$3001,0),"")</f>
        <v/>
      </c>
      <c r="X626">
        <f>IF($W626="","",D626&amp;"|"&amp;COUNTIF($D$2:$D626,D626))</f>
        <v/>
      </c>
    </row>
    <row r="627">
      <c r="A627" s="15" t="n"/>
      <c r="B627">
        <f>IF($W627="","",INDEX('Per Line'!$B$2:$B$3001,$W627)&amp;"")</f>
        <v/>
      </c>
      <c r="C627">
        <f>IF($W627="","",INDEX('Per Line'!$C$2:$C$3001,$W627)&amp;"")</f>
        <v/>
      </c>
      <c r="D627">
        <f>IF($W627="","",IF(OR(TRIM(E627)="Orient Insurance Company",TRIM(E627)="Allianz"),TRIM(E627),TRIM(F627)))</f>
        <v/>
      </c>
      <c r="E627">
        <f>IF($W627="","",INDEX('Per Line'!$E$2:$E$3001,$W627)&amp;"")</f>
        <v/>
      </c>
      <c r="F627">
        <f>IF($W627="","",INDEX('Per Line'!$D$2:$D$3001,$W627)&amp;"")</f>
        <v/>
      </c>
      <c r="G627">
        <f>IF($W627="","",INDEX('Per Line'!$F$2:$F$3001,$W627)&amp;"")</f>
        <v/>
      </c>
      <c r="H627">
        <f>IF($W627="","",INDEX('Per Line'!$G$2:$G$3001,$W627)&amp;"")</f>
        <v/>
      </c>
      <c r="I627">
        <f>IF($W627="","",INDEX('Per Line'!$H$2:$H$3001,$W627)&amp;"")</f>
        <v/>
      </c>
      <c r="J627">
        <f>IF($W627="","",INDEX('Per Line'!$I$2:$I$3001,$W627))</f>
        <v/>
      </c>
      <c r="K627" s="7">
        <f>IF($W627="","",J627*T627/100)</f>
        <v/>
      </c>
      <c r="L627" s="14">
        <f>IF($W627="","",INDEX('Per Line'!$V$2:$V$3001,$W627))</f>
        <v/>
      </c>
      <c r="M627">
        <f>IF($W627="","",IF(ISNUMBER(SEARCH("3&amp;12",SUBSTITUTE(F627," ",""))),Settings!$G$7,Settings!$C$7))</f>
        <v/>
      </c>
      <c r="N627" s="7">
        <f>IF($W627="","",SUMIFS('Per Line'!$O$2:$O$3001,'Per Line'!$B$2:$B$3001,$B627,'Per Line'!$AB$2:$AB$3001,0))</f>
        <v/>
      </c>
      <c r="O627" s="7">
        <f>IF($W627="","",N627*M627)</f>
        <v/>
      </c>
      <c r="P627">
        <f>IF($W627="","",IF(ISNUMBER(SEARCH("3&amp;12",SUBSTITUTE(F627," ",""))),Settings!$G$6,Settings!$C$6))</f>
        <v/>
      </c>
      <c r="Q627" s="7">
        <f>IF($W627="","",SUMIFS('Per Line'!$O$2:$O$3001,'Per Line'!$B$2:$B$3001,$B627,'Per Line'!$AB$2:$AB$3001,1))</f>
        <v/>
      </c>
      <c r="R627" s="7">
        <f>IF($W627="","",Q627*P627)</f>
        <v/>
      </c>
      <c r="S627" s="7">
        <f>IF($W627="","",R627+O627)</f>
        <v/>
      </c>
      <c r="T627" s="7">
        <f>IF($W627="","",V627-S627)</f>
        <v/>
      </c>
      <c r="U627" s="7">
        <f>IF($W627="","",V627-S627-K627)</f>
        <v/>
      </c>
      <c r="V627" s="7">
        <f>IF($W627="","",N627+Q627)</f>
        <v/>
      </c>
      <c r="W627" s="16">
        <f>IF(ROWS($W$2:$W627)&lt;=MAX('Per Line'!$AA$2:$AA$3001),MATCH(ROWS($W$2:$W627),'Per Line'!$AA$2:$AA$3001,0),"")</f>
        <v/>
      </c>
      <c r="X627">
        <f>IF($W627="","",D627&amp;"|"&amp;COUNTIF($D$2:$D627,D627))</f>
        <v/>
      </c>
    </row>
    <row r="628">
      <c r="A628" s="15" t="n"/>
      <c r="B628">
        <f>IF($W628="","",INDEX('Per Line'!$B$2:$B$3001,$W628)&amp;"")</f>
        <v/>
      </c>
      <c r="C628">
        <f>IF($W628="","",INDEX('Per Line'!$C$2:$C$3001,$W628)&amp;"")</f>
        <v/>
      </c>
      <c r="D628">
        <f>IF($W628="","",IF(OR(TRIM(E628)="Orient Insurance Company",TRIM(E628)="Allianz"),TRIM(E628),TRIM(F628)))</f>
        <v/>
      </c>
      <c r="E628">
        <f>IF($W628="","",INDEX('Per Line'!$E$2:$E$3001,$W628)&amp;"")</f>
        <v/>
      </c>
      <c r="F628">
        <f>IF($W628="","",INDEX('Per Line'!$D$2:$D$3001,$W628)&amp;"")</f>
        <v/>
      </c>
      <c r="G628">
        <f>IF($W628="","",INDEX('Per Line'!$F$2:$F$3001,$W628)&amp;"")</f>
        <v/>
      </c>
      <c r="H628">
        <f>IF($W628="","",INDEX('Per Line'!$G$2:$G$3001,$W628)&amp;"")</f>
        <v/>
      </c>
      <c r="I628">
        <f>IF($W628="","",INDEX('Per Line'!$H$2:$H$3001,$W628)&amp;"")</f>
        <v/>
      </c>
      <c r="J628">
        <f>IF($W628="","",INDEX('Per Line'!$I$2:$I$3001,$W628))</f>
        <v/>
      </c>
      <c r="K628" s="7">
        <f>IF($W628="","",J628*T628/100)</f>
        <v/>
      </c>
      <c r="L628" s="14">
        <f>IF($W628="","",INDEX('Per Line'!$V$2:$V$3001,$W628))</f>
        <v/>
      </c>
      <c r="M628">
        <f>IF($W628="","",IF(ISNUMBER(SEARCH("3&amp;12",SUBSTITUTE(F628," ",""))),Settings!$G$7,Settings!$C$7))</f>
        <v/>
      </c>
      <c r="N628" s="7">
        <f>IF($W628="","",SUMIFS('Per Line'!$O$2:$O$3001,'Per Line'!$B$2:$B$3001,$B628,'Per Line'!$AB$2:$AB$3001,0))</f>
        <v/>
      </c>
      <c r="O628" s="7">
        <f>IF($W628="","",N628*M628)</f>
        <v/>
      </c>
      <c r="P628">
        <f>IF($W628="","",IF(ISNUMBER(SEARCH("3&amp;12",SUBSTITUTE(F628," ",""))),Settings!$G$6,Settings!$C$6))</f>
        <v/>
      </c>
      <c r="Q628" s="7">
        <f>IF($W628="","",SUMIFS('Per Line'!$O$2:$O$3001,'Per Line'!$B$2:$B$3001,$B628,'Per Line'!$AB$2:$AB$3001,1))</f>
        <v/>
      </c>
      <c r="R628" s="7">
        <f>IF($W628="","",Q628*P628)</f>
        <v/>
      </c>
      <c r="S628" s="7">
        <f>IF($W628="","",R628+O628)</f>
        <v/>
      </c>
      <c r="T628" s="7">
        <f>IF($W628="","",V628-S628)</f>
        <v/>
      </c>
      <c r="U628" s="7">
        <f>IF($W628="","",V628-S628-K628)</f>
        <v/>
      </c>
      <c r="V628" s="7">
        <f>IF($W628="","",N628+Q628)</f>
        <v/>
      </c>
      <c r="W628" s="16">
        <f>IF(ROWS($W$2:$W628)&lt;=MAX('Per Line'!$AA$2:$AA$3001),MATCH(ROWS($W$2:$W628),'Per Line'!$AA$2:$AA$3001,0),"")</f>
        <v/>
      </c>
      <c r="X628">
        <f>IF($W628="","",D628&amp;"|"&amp;COUNTIF($D$2:$D628,D628))</f>
        <v/>
      </c>
    </row>
    <row r="629">
      <c r="A629" s="15" t="n"/>
      <c r="B629">
        <f>IF($W629="","",INDEX('Per Line'!$B$2:$B$3001,$W629)&amp;"")</f>
        <v/>
      </c>
      <c r="C629">
        <f>IF($W629="","",INDEX('Per Line'!$C$2:$C$3001,$W629)&amp;"")</f>
        <v/>
      </c>
      <c r="D629">
        <f>IF($W629="","",IF(OR(TRIM(E629)="Orient Insurance Company",TRIM(E629)="Allianz"),TRIM(E629),TRIM(F629)))</f>
        <v/>
      </c>
      <c r="E629">
        <f>IF($W629="","",INDEX('Per Line'!$E$2:$E$3001,$W629)&amp;"")</f>
        <v/>
      </c>
      <c r="F629">
        <f>IF($W629="","",INDEX('Per Line'!$D$2:$D$3001,$W629)&amp;"")</f>
        <v/>
      </c>
      <c r="G629">
        <f>IF($W629="","",INDEX('Per Line'!$F$2:$F$3001,$W629)&amp;"")</f>
        <v/>
      </c>
      <c r="H629">
        <f>IF($W629="","",INDEX('Per Line'!$G$2:$G$3001,$W629)&amp;"")</f>
        <v/>
      </c>
      <c r="I629">
        <f>IF($W629="","",INDEX('Per Line'!$H$2:$H$3001,$W629)&amp;"")</f>
        <v/>
      </c>
      <c r="J629">
        <f>IF($W629="","",INDEX('Per Line'!$I$2:$I$3001,$W629))</f>
        <v/>
      </c>
      <c r="K629" s="7">
        <f>IF($W629="","",J629*T629/100)</f>
        <v/>
      </c>
      <c r="L629" s="14">
        <f>IF($W629="","",INDEX('Per Line'!$V$2:$V$3001,$W629))</f>
        <v/>
      </c>
      <c r="M629">
        <f>IF($W629="","",IF(ISNUMBER(SEARCH("3&amp;12",SUBSTITUTE(F629," ",""))),Settings!$G$7,Settings!$C$7))</f>
        <v/>
      </c>
      <c r="N629" s="7">
        <f>IF($W629="","",SUMIFS('Per Line'!$O$2:$O$3001,'Per Line'!$B$2:$B$3001,$B629,'Per Line'!$AB$2:$AB$3001,0))</f>
        <v/>
      </c>
      <c r="O629" s="7">
        <f>IF($W629="","",N629*M629)</f>
        <v/>
      </c>
      <c r="P629">
        <f>IF($W629="","",IF(ISNUMBER(SEARCH("3&amp;12",SUBSTITUTE(F629," ",""))),Settings!$G$6,Settings!$C$6))</f>
        <v/>
      </c>
      <c r="Q629" s="7">
        <f>IF($W629="","",SUMIFS('Per Line'!$O$2:$O$3001,'Per Line'!$B$2:$B$3001,$B629,'Per Line'!$AB$2:$AB$3001,1))</f>
        <v/>
      </c>
      <c r="R629" s="7">
        <f>IF($W629="","",Q629*P629)</f>
        <v/>
      </c>
      <c r="S629" s="7">
        <f>IF($W629="","",R629+O629)</f>
        <v/>
      </c>
      <c r="T629" s="7">
        <f>IF($W629="","",V629-S629)</f>
        <v/>
      </c>
      <c r="U629" s="7">
        <f>IF($W629="","",V629-S629-K629)</f>
        <v/>
      </c>
      <c r="V629" s="7">
        <f>IF($W629="","",N629+Q629)</f>
        <v/>
      </c>
      <c r="W629" s="16">
        <f>IF(ROWS($W$2:$W629)&lt;=MAX('Per Line'!$AA$2:$AA$3001),MATCH(ROWS($W$2:$W629),'Per Line'!$AA$2:$AA$3001,0),"")</f>
        <v/>
      </c>
      <c r="X629">
        <f>IF($W629="","",D629&amp;"|"&amp;COUNTIF($D$2:$D629,D629))</f>
        <v/>
      </c>
    </row>
    <row r="630">
      <c r="A630" s="15" t="n"/>
      <c r="B630">
        <f>IF($W630="","",INDEX('Per Line'!$B$2:$B$3001,$W630)&amp;"")</f>
        <v/>
      </c>
      <c r="C630">
        <f>IF($W630="","",INDEX('Per Line'!$C$2:$C$3001,$W630)&amp;"")</f>
        <v/>
      </c>
      <c r="D630">
        <f>IF($W630="","",IF(OR(TRIM(E630)="Orient Insurance Company",TRIM(E630)="Allianz"),TRIM(E630),TRIM(F630)))</f>
        <v/>
      </c>
      <c r="E630">
        <f>IF($W630="","",INDEX('Per Line'!$E$2:$E$3001,$W630)&amp;"")</f>
        <v/>
      </c>
      <c r="F630">
        <f>IF($W630="","",INDEX('Per Line'!$D$2:$D$3001,$W630)&amp;"")</f>
        <v/>
      </c>
      <c r="G630">
        <f>IF($W630="","",INDEX('Per Line'!$F$2:$F$3001,$W630)&amp;"")</f>
        <v/>
      </c>
      <c r="H630">
        <f>IF($W630="","",INDEX('Per Line'!$G$2:$G$3001,$W630)&amp;"")</f>
        <v/>
      </c>
      <c r="I630">
        <f>IF($W630="","",INDEX('Per Line'!$H$2:$H$3001,$W630)&amp;"")</f>
        <v/>
      </c>
      <c r="J630">
        <f>IF($W630="","",INDEX('Per Line'!$I$2:$I$3001,$W630))</f>
        <v/>
      </c>
      <c r="K630" s="7">
        <f>IF($W630="","",J630*T630/100)</f>
        <v/>
      </c>
      <c r="L630" s="14">
        <f>IF($W630="","",INDEX('Per Line'!$V$2:$V$3001,$W630))</f>
        <v/>
      </c>
      <c r="M630">
        <f>IF($W630="","",IF(ISNUMBER(SEARCH("3&amp;12",SUBSTITUTE(F630," ",""))),Settings!$G$7,Settings!$C$7))</f>
        <v/>
      </c>
      <c r="N630" s="7">
        <f>IF($W630="","",SUMIFS('Per Line'!$O$2:$O$3001,'Per Line'!$B$2:$B$3001,$B630,'Per Line'!$AB$2:$AB$3001,0))</f>
        <v/>
      </c>
      <c r="O630" s="7">
        <f>IF($W630="","",N630*M630)</f>
        <v/>
      </c>
      <c r="P630">
        <f>IF($W630="","",IF(ISNUMBER(SEARCH("3&amp;12",SUBSTITUTE(F630," ",""))),Settings!$G$6,Settings!$C$6))</f>
        <v/>
      </c>
      <c r="Q630" s="7">
        <f>IF($W630="","",SUMIFS('Per Line'!$O$2:$O$3001,'Per Line'!$B$2:$B$3001,$B630,'Per Line'!$AB$2:$AB$3001,1))</f>
        <v/>
      </c>
      <c r="R630" s="7">
        <f>IF($W630="","",Q630*P630)</f>
        <v/>
      </c>
      <c r="S630" s="7">
        <f>IF($W630="","",R630+O630)</f>
        <v/>
      </c>
      <c r="T630" s="7">
        <f>IF($W630="","",V630-S630)</f>
        <v/>
      </c>
      <c r="U630" s="7">
        <f>IF($W630="","",V630-S630-K630)</f>
        <v/>
      </c>
      <c r="V630" s="7">
        <f>IF($W630="","",N630+Q630)</f>
        <v/>
      </c>
      <c r="W630" s="16">
        <f>IF(ROWS($W$2:$W630)&lt;=MAX('Per Line'!$AA$2:$AA$3001),MATCH(ROWS($W$2:$W630),'Per Line'!$AA$2:$AA$3001,0),"")</f>
        <v/>
      </c>
      <c r="X630">
        <f>IF($W630="","",D630&amp;"|"&amp;COUNTIF($D$2:$D630,D630))</f>
        <v/>
      </c>
    </row>
    <row r="631">
      <c r="A631" s="15" t="n"/>
      <c r="B631">
        <f>IF($W631="","",INDEX('Per Line'!$B$2:$B$3001,$W631)&amp;"")</f>
        <v/>
      </c>
      <c r="C631">
        <f>IF($W631="","",INDEX('Per Line'!$C$2:$C$3001,$W631)&amp;"")</f>
        <v/>
      </c>
      <c r="D631">
        <f>IF($W631="","",IF(OR(TRIM(E631)="Orient Insurance Company",TRIM(E631)="Allianz"),TRIM(E631),TRIM(F631)))</f>
        <v/>
      </c>
      <c r="E631">
        <f>IF($W631="","",INDEX('Per Line'!$E$2:$E$3001,$W631)&amp;"")</f>
        <v/>
      </c>
      <c r="F631">
        <f>IF($W631="","",INDEX('Per Line'!$D$2:$D$3001,$W631)&amp;"")</f>
        <v/>
      </c>
      <c r="G631">
        <f>IF($W631="","",INDEX('Per Line'!$F$2:$F$3001,$W631)&amp;"")</f>
        <v/>
      </c>
      <c r="H631">
        <f>IF($W631="","",INDEX('Per Line'!$G$2:$G$3001,$W631)&amp;"")</f>
        <v/>
      </c>
      <c r="I631">
        <f>IF($W631="","",INDEX('Per Line'!$H$2:$H$3001,$W631)&amp;"")</f>
        <v/>
      </c>
      <c r="J631">
        <f>IF($W631="","",INDEX('Per Line'!$I$2:$I$3001,$W631))</f>
        <v/>
      </c>
      <c r="K631" s="7">
        <f>IF($W631="","",J631*T631/100)</f>
        <v/>
      </c>
      <c r="L631" s="14">
        <f>IF($W631="","",INDEX('Per Line'!$V$2:$V$3001,$W631))</f>
        <v/>
      </c>
      <c r="M631">
        <f>IF($W631="","",IF(ISNUMBER(SEARCH("3&amp;12",SUBSTITUTE(F631," ",""))),Settings!$G$7,Settings!$C$7))</f>
        <v/>
      </c>
      <c r="N631" s="7">
        <f>IF($W631="","",SUMIFS('Per Line'!$O$2:$O$3001,'Per Line'!$B$2:$B$3001,$B631,'Per Line'!$AB$2:$AB$3001,0))</f>
        <v/>
      </c>
      <c r="O631" s="7">
        <f>IF($W631="","",N631*M631)</f>
        <v/>
      </c>
      <c r="P631">
        <f>IF($W631="","",IF(ISNUMBER(SEARCH("3&amp;12",SUBSTITUTE(F631," ",""))),Settings!$G$6,Settings!$C$6))</f>
        <v/>
      </c>
      <c r="Q631" s="7">
        <f>IF($W631="","",SUMIFS('Per Line'!$O$2:$O$3001,'Per Line'!$B$2:$B$3001,$B631,'Per Line'!$AB$2:$AB$3001,1))</f>
        <v/>
      </c>
      <c r="R631" s="7">
        <f>IF($W631="","",Q631*P631)</f>
        <v/>
      </c>
      <c r="S631" s="7">
        <f>IF($W631="","",R631+O631)</f>
        <v/>
      </c>
      <c r="T631" s="7">
        <f>IF($W631="","",V631-S631)</f>
        <v/>
      </c>
      <c r="U631" s="7">
        <f>IF($W631="","",V631-S631-K631)</f>
        <v/>
      </c>
      <c r="V631" s="7">
        <f>IF($W631="","",N631+Q631)</f>
        <v/>
      </c>
      <c r="W631" s="16">
        <f>IF(ROWS($W$2:$W631)&lt;=MAX('Per Line'!$AA$2:$AA$3001),MATCH(ROWS($W$2:$W631),'Per Line'!$AA$2:$AA$3001,0),"")</f>
        <v/>
      </c>
      <c r="X631">
        <f>IF($W631="","",D631&amp;"|"&amp;COUNTIF($D$2:$D631,D631))</f>
        <v/>
      </c>
    </row>
    <row r="632">
      <c r="A632" s="15" t="n"/>
      <c r="B632">
        <f>IF($W632="","",INDEX('Per Line'!$B$2:$B$3001,$W632)&amp;"")</f>
        <v/>
      </c>
      <c r="C632">
        <f>IF($W632="","",INDEX('Per Line'!$C$2:$C$3001,$W632)&amp;"")</f>
        <v/>
      </c>
      <c r="D632">
        <f>IF($W632="","",IF(OR(TRIM(E632)="Orient Insurance Company",TRIM(E632)="Allianz"),TRIM(E632),TRIM(F632)))</f>
        <v/>
      </c>
      <c r="E632">
        <f>IF($W632="","",INDEX('Per Line'!$E$2:$E$3001,$W632)&amp;"")</f>
        <v/>
      </c>
      <c r="F632">
        <f>IF($W632="","",INDEX('Per Line'!$D$2:$D$3001,$W632)&amp;"")</f>
        <v/>
      </c>
      <c r="G632">
        <f>IF($W632="","",INDEX('Per Line'!$F$2:$F$3001,$W632)&amp;"")</f>
        <v/>
      </c>
      <c r="H632">
        <f>IF($W632="","",INDEX('Per Line'!$G$2:$G$3001,$W632)&amp;"")</f>
        <v/>
      </c>
      <c r="I632">
        <f>IF($W632="","",INDEX('Per Line'!$H$2:$H$3001,$W632)&amp;"")</f>
        <v/>
      </c>
      <c r="J632">
        <f>IF($W632="","",INDEX('Per Line'!$I$2:$I$3001,$W632))</f>
        <v/>
      </c>
      <c r="K632" s="7">
        <f>IF($W632="","",J632*T632/100)</f>
        <v/>
      </c>
      <c r="L632" s="14">
        <f>IF($W632="","",INDEX('Per Line'!$V$2:$V$3001,$W632))</f>
        <v/>
      </c>
      <c r="M632">
        <f>IF($W632="","",IF(ISNUMBER(SEARCH("3&amp;12",SUBSTITUTE(F632," ",""))),Settings!$G$7,Settings!$C$7))</f>
        <v/>
      </c>
      <c r="N632" s="7">
        <f>IF($W632="","",SUMIFS('Per Line'!$O$2:$O$3001,'Per Line'!$B$2:$B$3001,$B632,'Per Line'!$AB$2:$AB$3001,0))</f>
        <v/>
      </c>
      <c r="O632" s="7">
        <f>IF($W632="","",N632*M632)</f>
        <v/>
      </c>
      <c r="P632">
        <f>IF($W632="","",IF(ISNUMBER(SEARCH("3&amp;12",SUBSTITUTE(F632," ",""))),Settings!$G$6,Settings!$C$6))</f>
        <v/>
      </c>
      <c r="Q632" s="7">
        <f>IF($W632="","",SUMIFS('Per Line'!$O$2:$O$3001,'Per Line'!$B$2:$B$3001,$B632,'Per Line'!$AB$2:$AB$3001,1))</f>
        <v/>
      </c>
      <c r="R632" s="7">
        <f>IF($W632="","",Q632*P632)</f>
        <v/>
      </c>
      <c r="S632" s="7">
        <f>IF($W632="","",R632+O632)</f>
        <v/>
      </c>
      <c r="T632" s="7">
        <f>IF($W632="","",V632-S632)</f>
        <v/>
      </c>
      <c r="U632" s="7">
        <f>IF($W632="","",V632-S632-K632)</f>
        <v/>
      </c>
      <c r="V632" s="7">
        <f>IF($W632="","",N632+Q632)</f>
        <v/>
      </c>
      <c r="W632" s="16">
        <f>IF(ROWS($W$2:$W632)&lt;=MAX('Per Line'!$AA$2:$AA$3001),MATCH(ROWS($W$2:$W632),'Per Line'!$AA$2:$AA$3001,0),"")</f>
        <v/>
      </c>
      <c r="X632">
        <f>IF($W632="","",D632&amp;"|"&amp;COUNTIF($D$2:$D632,D632))</f>
        <v/>
      </c>
    </row>
    <row r="633">
      <c r="A633" s="15" t="n"/>
      <c r="B633">
        <f>IF($W633="","",INDEX('Per Line'!$B$2:$B$3001,$W633)&amp;"")</f>
        <v/>
      </c>
      <c r="C633">
        <f>IF($W633="","",INDEX('Per Line'!$C$2:$C$3001,$W633)&amp;"")</f>
        <v/>
      </c>
      <c r="D633">
        <f>IF($W633="","",IF(OR(TRIM(E633)="Orient Insurance Company",TRIM(E633)="Allianz"),TRIM(E633),TRIM(F633)))</f>
        <v/>
      </c>
      <c r="E633">
        <f>IF($W633="","",INDEX('Per Line'!$E$2:$E$3001,$W633)&amp;"")</f>
        <v/>
      </c>
      <c r="F633">
        <f>IF($W633="","",INDEX('Per Line'!$D$2:$D$3001,$W633)&amp;"")</f>
        <v/>
      </c>
      <c r="G633">
        <f>IF($W633="","",INDEX('Per Line'!$F$2:$F$3001,$W633)&amp;"")</f>
        <v/>
      </c>
      <c r="H633">
        <f>IF($W633="","",INDEX('Per Line'!$G$2:$G$3001,$W633)&amp;"")</f>
        <v/>
      </c>
      <c r="I633">
        <f>IF($W633="","",INDEX('Per Line'!$H$2:$H$3001,$W633)&amp;"")</f>
        <v/>
      </c>
      <c r="J633">
        <f>IF($W633="","",INDEX('Per Line'!$I$2:$I$3001,$W633))</f>
        <v/>
      </c>
      <c r="K633" s="7">
        <f>IF($W633="","",J633*T633/100)</f>
        <v/>
      </c>
      <c r="L633" s="14">
        <f>IF($W633="","",INDEX('Per Line'!$V$2:$V$3001,$W633))</f>
        <v/>
      </c>
      <c r="M633">
        <f>IF($W633="","",IF(ISNUMBER(SEARCH("3&amp;12",SUBSTITUTE(F633," ",""))),Settings!$G$7,Settings!$C$7))</f>
        <v/>
      </c>
      <c r="N633" s="7">
        <f>IF($W633="","",SUMIFS('Per Line'!$O$2:$O$3001,'Per Line'!$B$2:$B$3001,$B633,'Per Line'!$AB$2:$AB$3001,0))</f>
        <v/>
      </c>
      <c r="O633" s="7">
        <f>IF($W633="","",N633*M633)</f>
        <v/>
      </c>
      <c r="P633">
        <f>IF($W633="","",IF(ISNUMBER(SEARCH("3&amp;12",SUBSTITUTE(F633," ",""))),Settings!$G$6,Settings!$C$6))</f>
        <v/>
      </c>
      <c r="Q633" s="7">
        <f>IF($W633="","",SUMIFS('Per Line'!$O$2:$O$3001,'Per Line'!$B$2:$B$3001,$B633,'Per Line'!$AB$2:$AB$3001,1))</f>
        <v/>
      </c>
      <c r="R633" s="7">
        <f>IF($W633="","",Q633*P633)</f>
        <v/>
      </c>
      <c r="S633" s="7">
        <f>IF($W633="","",R633+O633)</f>
        <v/>
      </c>
      <c r="T633" s="7">
        <f>IF($W633="","",V633-S633)</f>
        <v/>
      </c>
      <c r="U633" s="7">
        <f>IF($W633="","",V633-S633-K633)</f>
        <v/>
      </c>
      <c r="V633" s="7">
        <f>IF($W633="","",N633+Q633)</f>
        <v/>
      </c>
      <c r="W633" s="16">
        <f>IF(ROWS($W$2:$W633)&lt;=MAX('Per Line'!$AA$2:$AA$3001),MATCH(ROWS($W$2:$W633),'Per Line'!$AA$2:$AA$3001,0),"")</f>
        <v/>
      </c>
      <c r="X633">
        <f>IF($W633="","",D633&amp;"|"&amp;COUNTIF($D$2:$D633,D633))</f>
        <v/>
      </c>
    </row>
    <row r="634">
      <c r="A634" s="15" t="n"/>
      <c r="B634">
        <f>IF($W634="","",INDEX('Per Line'!$B$2:$B$3001,$W634)&amp;"")</f>
        <v/>
      </c>
      <c r="C634">
        <f>IF($W634="","",INDEX('Per Line'!$C$2:$C$3001,$W634)&amp;"")</f>
        <v/>
      </c>
      <c r="D634">
        <f>IF($W634="","",IF(OR(TRIM(E634)="Orient Insurance Company",TRIM(E634)="Allianz"),TRIM(E634),TRIM(F634)))</f>
        <v/>
      </c>
      <c r="E634">
        <f>IF($W634="","",INDEX('Per Line'!$E$2:$E$3001,$W634)&amp;"")</f>
        <v/>
      </c>
      <c r="F634">
        <f>IF($W634="","",INDEX('Per Line'!$D$2:$D$3001,$W634)&amp;"")</f>
        <v/>
      </c>
      <c r="G634">
        <f>IF($W634="","",INDEX('Per Line'!$F$2:$F$3001,$W634)&amp;"")</f>
        <v/>
      </c>
      <c r="H634">
        <f>IF($W634="","",INDEX('Per Line'!$G$2:$G$3001,$W634)&amp;"")</f>
        <v/>
      </c>
      <c r="I634">
        <f>IF($W634="","",INDEX('Per Line'!$H$2:$H$3001,$W634)&amp;"")</f>
        <v/>
      </c>
      <c r="J634">
        <f>IF($W634="","",INDEX('Per Line'!$I$2:$I$3001,$W634))</f>
        <v/>
      </c>
      <c r="K634" s="7">
        <f>IF($W634="","",J634*T634/100)</f>
        <v/>
      </c>
      <c r="L634" s="14">
        <f>IF($W634="","",INDEX('Per Line'!$V$2:$V$3001,$W634))</f>
        <v/>
      </c>
      <c r="M634">
        <f>IF($W634="","",IF(ISNUMBER(SEARCH("3&amp;12",SUBSTITUTE(F634," ",""))),Settings!$G$7,Settings!$C$7))</f>
        <v/>
      </c>
      <c r="N634" s="7">
        <f>IF($W634="","",SUMIFS('Per Line'!$O$2:$O$3001,'Per Line'!$B$2:$B$3001,$B634,'Per Line'!$AB$2:$AB$3001,0))</f>
        <v/>
      </c>
      <c r="O634" s="7">
        <f>IF($W634="","",N634*M634)</f>
        <v/>
      </c>
      <c r="P634">
        <f>IF($W634="","",IF(ISNUMBER(SEARCH("3&amp;12",SUBSTITUTE(F634," ",""))),Settings!$G$6,Settings!$C$6))</f>
        <v/>
      </c>
      <c r="Q634" s="7">
        <f>IF($W634="","",SUMIFS('Per Line'!$O$2:$O$3001,'Per Line'!$B$2:$B$3001,$B634,'Per Line'!$AB$2:$AB$3001,1))</f>
        <v/>
      </c>
      <c r="R634" s="7">
        <f>IF($W634="","",Q634*P634)</f>
        <v/>
      </c>
      <c r="S634" s="7">
        <f>IF($W634="","",R634+O634)</f>
        <v/>
      </c>
      <c r="T634" s="7">
        <f>IF($W634="","",V634-S634)</f>
        <v/>
      </c>
      <c r="U634" s="7">
        <f>IF($W634="","",V634-S634-K634)</f>
        <v/>
      </c>
      <c r="V634" s="7">
        <f>IF($W634="","",N634+Q634)</f>
        <v/>
      </c>
      <c r="W634" s="16">
        <f>IF(ROWS($W$2:$W634)&lt;=MAX('Per Line'!$AA$2:$AA$3001),MATCH(ROWS($W$2:$W634),'Per Line'!$AA$2:$AA$3001,0),"")</f>
        <v/>
      </c>
      <c r="X634">
        <f>IF($W634="","",D634&amp;"|"&amp;COUNTIF($D$2:$D634,D634))</f>
        <v/>
      </c>
    </row>
    <row r="635">
      <c r="A635" s="15" t="n"/>
      <c r="B635">
        <f>IF($W635="","",INDEX('Per Line'!$B$2:$B$3001,$W635)&amp;"")</f>
        <v/>
      </c>
      <c r="C635">
        <f>IF($W635="","",INDEX('Per Line'!$C$2:$C$3001,$W635)&amp;"")</f>
        <v/>
      </c>
      <c r="D635">
        <f>IF($W635="","",IF(OR(TRIM(E635)="Orient Insurance Company",TRIM(E635)="Allianz"),TRIM(E635),TRIM(F635)))</f>
        <v/>
      </c>
      <c r="E635">
        <f>IF($W635="","",INDEX('Per Line'!$E$2:$E$3001,$W635)&amp;"")</f>
        <v/>
      </c>
      <c r="F635">
        <f>IF($W635="","",INDEX('Per Line'!$D$2:$D$3001,$W635)&amp;"")</f>
        <v/>
      </c>
      <c r="G635">
        <f>IF($W635="","",INDEX('Per Line'!$F$2:$F$3001,$W635)&amp;"")</f>
        <v/>
      </c>
      <c r="H635">
        <f>IF($W635="","",INDEX('Per Line'!$G$2:$G$3001,$W635)&amp;"")</f>
        <v/>
      </c>
      <c r="I635">
        <f>IF($W635="","",INDEX('Per Line'!$H$2:$H$3001,$W635)&amp;"")</f>
        <v/>
      </c>
      <c r="J635">
        <f>IF($W635="","",INDEX('Per Line'!$I$2:$I$3001,$W635))</f>
        <v/>
      </c>
      <c r="K635" s="7">
        <f>IF($W635="","",J635*T635/100)</f>
        <v/>
      </c>
      <c r="L635" s="14">
        <f>IF($W635="","",INDEX('Per Line'!$V$2:$V$3001,$W635))</f>
        <v/>
      </c>
      <c r="M635">
        <f>IF($W635="","",IF(ISNUMBER(SEARCH("3&amp;12",SUBSTITUTE(F635," ",""))),Settings!$G$7,Settings!$C$7))</f>
        <v/>
      </c>
      <c r="N635" s="7">
        <f>IF($W635="","",SUMIFS('Per Line'!$O$2:$O$3001,'Per Line'!$B$2:$B$3001,$B635,'Per Line'!$AB$2:$AB$3001,0))</f>
        <v/>
      </c>
      <c r="O635" s="7">
        <f>IF($W635="","",N635*M635)</f>
        <v/>
      </c>
      <c r="P635">
        <f>IF($W635="","",IF(ISNUMBER(SEARCH("3&amp;12",SUBSTITUTE(F635," ",""))),Settings!$G$6,Settings!$C$6))</f>
        <v/>
      </c>
      <c r="Q635" s="7">
        <f>IF($W635="","",SUMIFS('Per Line'!$O$2:$O$3001,'Per Line'!$B$2:$B$3001,$B635,'Per Line'!$AB$2:$AB$3001,1))</f>
        <v/>
      </c>
      <c r="R635" s="7">
        <f>IF($W635="","",Q635*P635)</f>
        <v/>
      </c>
      <c r="S635" s="7">
        <f>IF($W635="","",R635+O635)</f>
        <v/>
      </c>
      <c r="T635" s="7">
        <f>IF($W635="","",V635-S635)</f>
        <v/>
      </c>
      <c r="U635" s="7">
        <f>IF($W635="","",V635-S635-K635)</f>
        <v/>
      </c>
      <c r="V635" s="7">
        <f>IF($W635="","",N635+Q635)</f>
        <v/>
      </c>
      <c r="W635" s="16">
        <f>IF(ROWS($W$2:$W635)&lt;=MAX('Per Line'!$AA$2:$AA$3001),MATCH(ROWS($W$2:$W635),'Per Line'!$AA$2:$AA$3001,0),"")</f>
        <v/>
      </c>
      <c r="X635">
        <f>IF($W635="","",D635&amp;"|"&amp;COUNTIF($D$2:$D635,D635))</f>
        <v/>
      </c>
    </row>
    <row r="636">
      <c r="A636" s="15" t="n"/>
      <c r="B636">
        <f>IF($W636="","",INDEX('Per Line'!$B$2:$B$3001,$W636)&amp;"")</f>
        <v/>
      </c>
      <c r="C636">
        <f>IF($W636="","",INDEX('Per Line'!$C$2:$C$3001,$W636)&amp;"")</f>
        <v/>
      </c>
      <c r="D636">
        <f>IF($W636="","",IF(OR(TRIM(E636)="Orient Insurance Company",TRIM(E636)="Allianz"),TRIM(E636),TRIM(F636)))</f>
        <v/>
      </c>
      <c r="E636">
        <f>IF($W636="","",INDEX('Per Line'!$E$2:$E$3001,$W636)&amp;"")</f>
        <v/>
      </c>
      <c r="F636">
        <f>IF($W636="","",INDEX('Per Line'!$D$2:$D$3001,$W636)&amp;"")</f>
        <v/>
      </c>
      <c r="G636">
        <f>IF($W636="","",INDEX('Per Line'!$F$2:$F$3001,$W636)&amp;"")</f>
        <v/>
      </c>
      <c r="H636">
        <f>IF($W636="","",INDEX('Per Line'!$G$2:$G$3001,$W636)&amp;"")</f>
        <v/>
      </c>
      <c r="I636">
        <f>IF($W636="","",INDEX('Per Line'!$H$2:$H$3001,$W636)&amp;"")</f>
        <v/>
      </c>
      <c r="J636">
        <f>IF($W636="","",INDEX('Per Line'!$I$2:$I$3001,$W636))</f>
        <v/>
      </c>
      <c r="K636" s="7">
        <f>IF($W636="","",J636*T636/100)</f>
        <v/>
      </c>
      <c r="L636" s="14">
        <f>IF($W636="","",INDEX('Per Line'!$V$2:$V$3001,$W636))</f>
        <v/>
      </c>
      <c r="M636">
        <f>IF($W636="","",IF(ISNUMBER(SEARCH("3&amp;12",SUBSTITUTE(F636," ",""))),Settings!$G$7,Settings!$C$7))</f>
        <v/>
      </c>
      <c r="N636" s="7">
        <f>IF($W636="","",SUMIFS('Per Line'!$O$2:$O$3001,'Per Line'!$B$2:$B$3001,$B636,'Per Line'!$AB$2:$AB$3001,0))</f>
        <v/>
      </c>
      <c r="O636" s="7">
        <f>IF($W636="","",N636*M636)</f>
        <v/>
      </c>
      <c r="P636">
        <f>IF($W636="","",IF(ISNUMBER(SEARCH("3&amp;12",SUBSTITUTE(F636," ",""))),Settings!$G$6,Settings!$C$6))</f>
        <v/>
      </c>
      <c r="Q636" s="7">
        <f>IF($W636="","",SUMIFS('Per Line'!$O$2:$O$3001,'Per Line'!$B$2:$B$3001,$B636,'Per Line'!$AB$2:$AB$3001,1))</f>
        <v/>
      </c>
      <c r="R636" s="7">
        <f>IF($W636="","",Q636*P636)</f>
        <v/>
      </c>
      <c r="S636" s="7">
        <f>IF($W636="","",R636+O636)</f>
        <v/>
      </c>
      <c r="T636" s="7">
        <f>IF($W636="","",V636-S636)</f>
        <v/>
      </c>
      <c r="U636" s="7">
        <f>IF($W636="","",V636-S636-K636)</f>
        <v/>
      </c>
      <c r="V636" s="7">
        <f>IF($W636="","",N636+Q636)</f>
        <v/>
      </c>
      <c r="W636" s="16">
        <f>IF(ROWS($W$2:$W636)&lt;=MAX('Per Line'!$AA$2:$AA$3001),MATCH(ROWS($W$2:$W636),'Per Line'!$AA$2:$AA$3001,0),"")</f>
        <v/>
      </c>
      <c r="X636">
        <f>IF($W636="","",D636&amp;"|"&amp;COUNTIF($D$2:$D636,D636))</f>
        <v/>
      </c>
    </row>
    <row r="637">
      <c r="A637" s="15" t="n"/>
      <c r="B637">
        <f>IF($W637="","",INDEX('Per Line'!$B$2:$B$3001,$W637)&amp;"")</f>
        <v/>
      </c>
      <c r="C637">
        <f>IF($W637="","",INDEX('Per Line'!$C$2:$C$3001,$W637)&amp;"")</f>
        <v/>
      </c>
      <c r="D637">
        <f>IF($W637="","",IF(OR(TRIM(E637)="Orient Insurance Company",TRIM(E637)="Allianz"),TRIM(E637),TRIM(F637)))</f>
        <v/>
      </c>
      <c r="E637">
        <f>IF($W637="","",INDEX('Per Line'!$E$2:$E$3001,$W637)&amp;"")</f>
        <v/>
      </c>
      <c r="F637">
        <f>IF($W637="","",INDEX('Per Line'!$D$2:$D$3001,$W637)&amp;"")</f>
        <v/>
      </c>
      <c r="G637">
        <f>IF($W637="","",INDEX('Per Line'!$F$2:$F$3001,$W637)&amp;"")</f>
        <v/>
      </c>
      <c r="H637">
        <f>IF($W637="","",INDEX('Per Line'!$G$2:$G$3001,$W637)&amp;"")</f>
        <v/>
      </c>
      <c r="I637">
        <f>IF($W637="","",INDEX('Per Line'!$H$2:$H$3001,$W637)&amp;"")</f>
        <v/>
      </c>
      <c r="J637">
        <f>IF($W637="","",INDEX('Per Line'!$I$2:$I$3001,$W637))</f>
        <v/>
      </c>
      <c r="K637" s="7">
        <f>IF($W637="","",J637*T637/100)</f>
        <v/>
      </c>
      <c r="L637" s="14">
        <f>IF($W637="","",INDEX('Per Line'!$V$2:$V$3001,$W637))</f>
        <v/>
      </c>
      <c r="M637">
        <f>IF($W637="","",IF(ISNUMBER(SEARCH("3&amp;12",SUBSTITUTE(F637," ",""))),Settings!$G$7,Settings!$C$7))</f>
        <v/>
      </c>
      <c r="N637" s="7">
        <f>IF($W637="","",SUMIFS('Per Line'!$O$2:$O$3001,'Per Line'!$B$2:$B$3001,$B637,'Per Line'!$AB$2:$AB$3001,0))</f>
        <v/>
      </c>
      <c r="O637" s="7">
        <f>IF($W637="","",N637*M637)</f>
        <v/>
      </c>
      <c r="P637">
        <f>IF($W637="","",IF(ISNUMBER(SEARCH("3&amp;12",SUBSTITUTE(F637," ",""))),Settings!$G$6,Settings!$C$6))</f>
        <v/>
      </c>
      <c r="Q637" s="7">
        <f>IF($W637="","",SUMIFS('Per Line'!$O$2:$O$3001,'Per Line'!$B$2:$B$3001,$B637,'Per Line'!$AB$2:$AB$3001,1))</f>
        <v/>
      </c>
      <c r="R637" s="7">
        <f>IF($W637="","",Q637*P637)</f>
        <v/>
      </c>
      <c r="S637" s="7">
        <f>IF($W637="","",R637+O637)</f>
        <v/>
      </c>
      <c r="T637" s="7">
        <f>IF($W637="","",V637-S637)</f>
        <v/>
      </c>
      <c r="U637" s="7">
        <f>IF($W637="","",V637-S637-K637)</f>
        <v/>
      </c>
      <c r="V637" s="7">
        <f>IF($W637="","",N637+Q637)</f>
        <v/>
      </c>
      <c r="W637" s="16">
        <f>IF(ROWS($W$2:$W637)&lt;=MAX('Per Line'!$AA$2:$AA$3001),MATCH(ROWS($W$2:$W637),'Per Line'!$AA$2:$AA$3001,0),"")</f>
        <v/>
      </c>
      <c r="X637">
        <f>IF($W637="","",D637&amp;"|"&amp;COUNTIF($D$2:$D637,D637))</f>
        <v/>
      </c>
    </row>
    <row r="638">
      <c r="A638" s="15" t="n"/>
      <c r="B638">
        <f>IF($W638="","",INDEX('Per Line'!$B$2:$B$3001,$W638)&amp;"")</f>
        <v/>
      </c>
      <c r="C638">
        <f>IF($W638="","",INDEX('Per Line'!$C$2:$C$3001,$W638)&amp;"")</f>
        <v/>
      </c>
      <c r="D638">
        <f>IF($W638="","",IF(OR(TRIM(E638)="Orient Insurance Company",TRIM(E638)="Allianz"),TRIM(E638),TRIM(F638)))</f>
        <v/>
      </c>
      <c r="E638">
        <f>IF($W638="","",INDEX('Per Line'!$E$2:$E$3001,$W638)&amp;"")</f>
        <v/>
      </c>
      <c r="F638">
        <f>IF($W638="","",INDEX('Per Line'!$D$2:$D$3001,$W638)&amp;"")</f>
        <v/>
      </c>
      <c r="G638">
        <f>IF($W638="","",INDEX('Per Line'!$F$2:$F$3001,$W638)&amp;"")</f>
        <v/>
      </c>
      <c r="H638">
        <f>IF($W638="","",INDEX('Per Line'!$G$2:$G$3001,$W638)&amp;"")</f>
        <v/>
      </c>
      <c r="I638">
        <f>IF($W638="","",INDEX('Per Line'!$H$2:$H$3001,$W638)&amp;"")</f>
        <v/>
      </c>
      <c r="J638">
        <f>IF($W638="","",INDEX('Per Line'!$I$2:$I$3001,$W638))</f>
        <v/>
      </c>
      <c r="K638" s="7">
        <f>IF($W638="","",J638*T638/100)</f>
        <v/>
      </c>
      <c r="L638" s="14">
        <f>IF($W638="","",INDEX('Per Line'!$V$2:$V$3001,$W638))</f>
        <v/>
      </c>
      <c r="M638">
        <f>IF($W638="","",IF(ISNUMBER(SEARCH("3&amp;12",SUBSTITUTE(F638," ",""))),Settings!$G$7,Settings!$C$7))</f>
        <v/>
      </c>
      <c r="N638" s="7">
        <f>IF($W638="","",SUMIFS('Per Line'!$O$2:$O$3001,'Per Line'!$B$2:$B$3001,$B638,'Per Line'!$AB$2:$AB$3001,0))</f>
        <v/>
      </c>
      <c r="O638" s="7">
        <f>IF($W638="","",N638*M638)</f>
        <v/>
      </c>
      <c r="P638">
        <f>IF($W638="","",IF(ISNUMBER(SEARCH("3&amp;12",SUBSTITUTE(F638," ",""))),Settings!$G$6,Settings!$C$6))</f>
        <v/>
      </c>
      <c r="Q638" s="7">
        <f>IF($W638="","",SUMIFS('Per Line'!$O$2:$O$3001,'Per Line'!$B$2:$B$3001,$B638,'Per Line'!$AB$2:$AB$3001,1))</f>
        <v/>
      </c>
      <c r="R638" s="7">
        <f>IF($W638="","",Q638*P638)</f>
        <v/>
      </c>
      <c r="S638" s="7">
        <f>IF($W638="","",R638+O638)</f>
        <v/>
      </c>
      <c r="T638" s="7">
        <f>IF($W638="","",V638-S638)</f>
        <v/>
      </c>
      <c r="U638" s="7">
        <f>IF($W638="","",V638-S638-K638)</f>
        <v/>
      </c>
      <c r="V638" s="7">
        <f>IF($W638="","",N638+Q638)</f>
        <v/>
      </c>
      <c r="W638" s="16">
        <f>IF(ROWS($W$2:$W638)&lt;=MAX('Per Line'!$AA$2:$AA$3001),MATCH(ROWS($W$2:$W638),'Per Line'!$AA$2:$AA$3001,0),"")</f>
        <v/>
      </c>
      <c r="X638">
        <f>IF($W638="","",D638&amp;"|"&amp;COUNTIF($D$2:$D638,D638))</f>
        <v/>
      </c>
    </row>
    <row r="639">
      <c r="A639" s="15" t="n"/>
      <c r="B639">
        <f>IF($W639="","",INDEX('Per Line'!$B$2:$B$3001,$W639)&amp;"")</f>
        <v/>
      </c>
      <c r="C639">
        <f>IF($W639="","",INDEX('Per Line'!$C$2:$C$3001,$W639)&amp;"")</f>
        <v/>
      </c>
      <c r="D639">
        <f>IF($W639="","",IF(OR(TRIM(E639)="Orient Insurance Company",TRIM(E639)="Allianz"),TRIM(E639),TRIM(F639)))</f>
        <v/>
      </c>
      <c r="E639">
        <f>IF($W639="","",INDEX('Per Line'!$E$2:$E$3001,$W639)&amp;"")</f>
        <v/>
      </c>
      <c r="F639">
        <f>IF($W639="","",INDEX('Per Line'!$D$2:$D$3001,$W639)&amp;"")</f>
        <v/>
      </c>
      <c r="G639">
        <f>IF($W639="","",INDEX('Per Line'!$F$2:$F$3001,$W639)&amp;"")</f>
        <v/>
      </c>
      <c r="H639">
        <f>IF($W639="","",INDEX('Per Line'!$G$2:$G$3001,$W639)&amp;"")</f>
        <v/>
      </c>
      <c r="I639">
        <f>IF($W639="","",INDEX('Per Line'!$H$2:$H$3001,$W639)&amp;"")</f>
        <v/>
      </c>
      <c r="J639">
        <f>IF($W639="","",INDEX('Per Line'!$I$2:$I$3001,$W639))</f>
        <v/>
      </c>
      <c r="K639" s="7">
        <f>IF($W639="","",J639*T639/100)</f>
        <v/>
      </c>
      <c r="L639" s="14">
        <f>IF($W639="","",INDEX('Per Line'!$V$2:$V$3001,$W639))</f>
        <v/>
      </c>
      <c r="M639">
        <f>IF($W639="","",IF(ISNUMBER(SEARCH("3&amp;12",SUBSTITUTE(F639," ",""))),Settings!$G$7,Settings!$C$7))</f>
        <v/>
      </c>
      <c r="N639" s="7">
        <f>IF($W639="","",SUMIFS('Per Line'!$O$2:$O$3001,'Per Line'!$B$2:$B$3001,$B639,'Per Line'!$AB$2:$AB$3001,0))</f>
        <v/>
      </c>
      <c r="O639" s="7">
        <f>IF($W639="","",N639*M639)</f>
        <v/>
      </c>
      <c r="P639">
        <f>IF($W639="","",IF(ISNUMBER(SEARCH("3&amp;12",SUBSTITUTE(F639," ",""))),Settings!$G$6,Settings!$C$6))</f>
        <v/>
      </c>
      <c r="Q639" s="7">
        <f>IF($W639="","",SUMIFS('Per Line'!$O$2:$O$3001,'Per Line'!$B$2:$B$3001,$B639,'Per Line'!$AB$2:$AB$3001,1))</f>
        <v/>
      </c>
      <c r="R639" s="7">
        <f>IF($W639="","",Q639*P639)</f>
        <v/>
      </c>
      <c r="S639" s="7">
        <f>IF($W639="","",R639+O639)</f>
        <v/>
      </c>
      <c r="T639" s="7">
        <f>IF($W639="","",V639-S639)</f>
        <v/>
      </c>
      <c r="U639" s="7">
        <f>IF($W639="","",V639-S639-K639)</f>
        <v/>
      </c>
      <c r="V639" s="7">
        <f>IF($W639="","",N639+Q639)</f>
        <v/>
      </c>
      <c r="W639" s="16">
        <f>IF(ROWS($W$2:$W639)&lt;=MAX('Per Line'!$AA$2:$AA$3001),MATCH(ROWS($W$2:$W639),'Per Line'!$AA$2:$AA$3001,0),"")</f>
        <v/>
      </c>
      <c r="X639">
        <f>IF($W639="","",D639&amp;"|"&amp;COUNTIF($D$2:$D639,D639))</f>
        <v/>
      </c>
    </row>
    <row r="640">
      <c r="A640" s="15" t="n"/>
      <c r="B640">
        <f>IF($W640="","",INDEX('Per Line'!$B$2:$B$3001,$W640)&amp;"")</f>
        <v/>
      </c>
      <c r="C640">
        <f>IF($W640="","",INDEX('Per Line'!$C$2:$C$3001,$W640)&amp;"")</f>
        <v/>
      </c>
      <c r="D640">
        <f>IF($W640="","",IF(OR(TRIM(E640)="Orient Insurance Company",TRIM(E640)="Allianz"),TRIM(E640),TRIM(F640)))</f>
        <v/>
      </c>
      <c r="E640">
        <f>IF($W640="","",INDEX('Per Line'!$E$2:$E$3001,$W640)&amp;"")</f>
        <v/>
      </c>
      <c r="F640">
        <f>IF($W640="","",INDEX('Per Line'!$D$2:$D$3001,$W640)&amp;"")</f>
        <v/>
      </c>
      <c r="G640">
        <f>IF($W640="","",INDEX('Per Line'!$F$2:$F$3001,$W640)&amp;"")</f>
        <v/>
      </c>
      <c r="H640">
        <f>IF($W640="","",INDEX('Per Line'!$G$2:$G$3001,$W640)&amp;"")</f>
        <v/>
      </c>
      <c r="I640">
        <f>IF($W640="","",INDEX('Per Line'!$H$2:$H$3001,$W640)&amp;"")</f>
        <v/>
      </c>
      <c r="J640">
        <f>IF($W640="","",INDEX('Per Line'!$I$2:$I$3001,$W640))</f>
        <v/>
      </c>
      <c r="K640" s="7">
        <f>IF($W640="","",J640*T640/100)</f>
        <v/>
      </c>
      <c r="L640" s="14">
        <f>IF($W640="","",INDEX('Per Line'!$V$2:$V$3001,$W640))</f>
        <v/>
      </c>
      <c r="M640">
        <f>IF($W640="","",IF(ISNUMBER(SEARCH("3&amp;12",SUBSTITUTE(F640," ",""))),Settings!$G$7,Settings!$C$7))</f>
        <v/>
      </c>
      <c r="N640" s="7">
        <f>IF($W640="","",SUMIFS('Per Line'!$O$2:$O$3001,'Per Line'!$B$2:$B$3001,$B640,'Per Line'!$AB$2:$AB$3001,0))</f>
        <v/>
      </c>
      <c r="O640" s="7">
        <f>IF($W640="","",N640*M640)</f>
        <v/>
      </c>
      <c r="P640">
        <f>IF($W640="","",IF(ISNUMBER(SEARCH("3&amp;12",SUBSTITUTE(F640," ",""))),Settings!$G$6,Settings!$C$6))</f>
        <v/>
      </c>
      <c r="Q640" s="7">
        <f>IF($W640="","",SUMIFS('Per Line'!$O$2:$O$3001,'Per Line'!$B$2:$B$3001,$B640,'Per Line'!$AB$2:$AB$3001,1))</f>
        <v/>
      </c>
      <c r="R640" s="7">
        <f>IF($W640="","",Q640*P640)</f>
        <v/>
      </c>
      <c r="S640" s="7">
        <f>IF($W640="","",R640+O640)</f>
        <v/>
      </c>
      <c r="T640" s="7">
        <f>IF($W640="","",V640-S640)</f>
        <v/>
      </c>
      <c r="U640" s="7">
        <f>IF($W640="","",V640-S640-K640)</f>
        <v/>
      </c>
      <c r="V640" s="7">
        <f>IF($W640="","",N640+Q640)</f>
        <v/>
      </c>
      <c r="W640" s="16">
        <f>IF(ROWS($W$2:$W640)&lt;=MAX('Per Line'!$AA$2:$AA$3001),MATCH(ROWS($W$2:$W640),'Per Line'!$AA$2:$AA$3001,0),"")</f>
        <v/>
      </c>
      <c r="X640">
        <f>IF($W640="","",D640&amp;"|"&amp;COUNTIF($D$2:$D640,D640))</f>
        <v/>
      </c>
    </row>
    <row r="641">
      <c r="A641" s="15" t="n"/>
      <c r="B641">
        <f>IF($W641="","",INDEX('Per Line'!$B$2:$B$3001,$W641)&amp;"")</f>
        <v/>
      </c>
      <c r="C641">
        <f>IF($W641="","",INDEX('Per Line'!$C$2:$C$3001,$W641)&amp;"")</f>
        <v/>
      </c>
      <c r="D641">
        <f>IF($W641="","",IF(OR(TRIM(E641)="Orient Insurance Company",TRIM(E641)="Allianz"),TRIM(E641),TRIM(F641)))</f>
        <v/>
      </c>
      <c r="E641">
        <f>IF($W641="","",INDEX('Per Line'!$E$2:$E$3001,$W641)&amp;"")</f>
        <v/>
      </c>
      <c r="F641">
        <f>IF($W641="","",INDEX('Per Line'!$D$2:$D$3001,$W641)&amp;"")</f>
        <v/>
      </c>
      <c r="G641">
        <f>IF($W641="","",INDEX('Per Line'!$F$2:$F$3001,$W641)&amp;"")</f>
        <v/>
      </c>
      <c r="H641">
        <f>IF($W641="","",INDEX('Per Line'!$G$2:$G$3001,$W641)&amp;"")</f>
        <v/>
      </c>
      <c r="I641">
        <f>IF($W641="","",INDEX('Per Line'!$H$2:$H$3001,$W641)&amp;"")</f>
        <v/>
      </c>
      <c r="J641">
        <f>IF($W641="","",INDEX('Per Line'!$I$2:$I$3001,$W641))</f>
        <v/>
      </c>
      <c r="K641" s="7">
        <f>IF($W641="","",J641*T641/100)</f>
        <v/>
      </c>
      <c r="L641" s="14">
        <f>IF($W641="","",INDEX('Per Line'!$V$2:$V$3001,$W641))</f>
        <v/>
      </c>
      <c r="M641">
        <f>IF($W641="","",IF(ISNUMBER(SEARCH("3&amp;12",SUBSTITUTE(F641," ",""))),Settings!$G$7,Settings!$C$7))</f>
        <v/>
      </c>
      <c r="N641" s="7">
        <f>IF($W641="","",SUMIFS('Per Line'!$O$2:$O$3001,'Per Line'!$B$2:$B$3001,$B641,'Per Line'!$AB$2:$AB$3001,0))</f>
        <v/>
      </c>
      <c r="O641" s="7">
        <f>IF($W641="","",N641*M641)</f>
        <v/>
      </c>
      <c r="P641">
        <f>IF($W641="","",IF(ISNUMBER(SEARCH("3&amp;12",SUBSTITUTE(F641," ",""))),Settings!$G$6,Settings!$C$6))</f>
        <v/>
      </c>
      <c r="Q641" s="7">
        <f>IF($W641="","",SUMIFS('Per Line'!$O$2:$O$3001,'Per Line'!$B$2:$B$3001,$B641,'Per Line'!$AB$2:$AB$3001,1))</f>
        <v/>
      </c>
      <c r="R641" s="7">
        <f>IF($W641="","",Q641*P641)</f>
        <v/>
      </c>
      <c r="S641" s="7">
        <f>IF($W641="","",R641+O641)</f>
        <v/>
      </c>
      <c r="T641" s="7">
        <f>IF($W641="","",V641-S641)</f>
        <v/>
      </c>
      <c r="U641" s="7">
        <f>IF($W641="","",V641-S641-K641)</f>
        <v/>
      </c>
      <c r="V641" s="7">
        <f>IF($W641="","",N641+Q641)</f>
        <v/>
      </c>
      <c r="W641" s="16">
        <f>IF(ROWS($W$2:$W641)&lt;=MAX('Per Line'!$AA$2:$AA$3001),MATCH(ROWS($W$2:$W641),'Per Line'!$AA$2:$AA$3001,0),"")</f>
        <v/>
      </c>
      <c r="X641">
        <f>IF($W641="","",D641&amp;"|"&amp;COUNTIF($D$2:$D641,D641))</f>
        <v/>
      </c>
    </row>
    <row r="642">
      <c r="A642" s="15" t="n"/>
      <c r="B642">
        <f>IF($W642="","",INDEX('Per Line'!$B$2:$B$3001,$W642)&amp;"")</f>
        <v/>
      </c>
      <c r="C642">
        <f>IF($W642="","",INDEX('Per Line'!$C$2:$C$3001,$W642)&amp;"")</f>
        <v/>
      </c>
      <c r="D642">
        <f>IF($W642="","",IF(OR(TRIM(E642)="Orient Insurance Company",TRIM(E642)="Allianz"),TRIM(E642),TRIM(F642)))</f>
        <v/>
      </c>
      <c r="E642">
        <f>IF($W642="","",INDEX('Per Line'!$E$2:$E$3001,$W642)&amp;"")</f>
        <v/>
      </c>
      <c r="F642">
        <f>IF($W642="","",INDEX('Per Line'!$D$2:$D$3001,$W642)&amp;"")</f>
        <v/>
      </c>
      <c r="G642">
        <f>IF($W642="","",INDEX('Per Line'!$F$2:$F$3001,$W642)&amp;"")</f>
        <v/>
      </c>
      <c r="H642">
        <f>IF($W642="","",INDEX('Per Line'!$G$2:$G$3001,$W642)&amp;"")</f>
        <v/>
      </c>
      <c r="I642">
        <f>IF($W642="","",INDEX('Per Line'!$H$2:$H$3001,$W642)&amp;"")</f>
        <v/>
      </c>
      <c r="J642">
        <f>IF($W642="","",INDEX('Per Line'!$I$2:$I$3001,$W642))</f>
        <v/>
      </c>
      <c r="K642" s="7">
        <f>IF($W642="","",J642*T642/100)</f>
        <v/>
      </c>
      <c r="L642" s="14">
        <f>IF($W642="","",INDEX('Per Line'!$V$2:$V$3001,$W642))</f>
        <v/>
      </c>
      <c r="M642">
        <f>IF($W642="","",IF(ISNUMBER(SEARCH("3&amp;12",SUBSTITUTE(F642," ",""))),Settings!$G$7,Settings!$C$7))</f>
        <v/>
      </c>
      <c r="N642" s="7">
        <f>IF($W642="","",SUMIFS('Per Line'!$O$2:$O$3001,'Per Line'!$B$2:$B$3001,$B642,'Per Line'!$AB$2:$AB$3001,0))</f>
        <v/>
      </c>
      <c r="O642" s="7">
        <f>IF($W642="","",N642*M642)</f>
        <v/>
      </c>
      <c r="P642">
        <f>IF($W642="","",IF(ISNUMBER(SEARCH("3&amp;12",SUBSTITUTE(F642," ",""))),Settings!$G$6,Settings!$C$6))</f>
        <v/>
      </c>
      <c r="Q642" s="7">
        <f>IF($W642="","",SUMIFS('Per Line'!$O$2:$O$3001,'Per Line'!$B$2:$B$3001,$B642,'Per Line'!$AB$2:$AB$3001,1))</f>
        <v/>
      </c>
      <c r="R642" s="7">
        <f>IF($W642="","",Q642*P642)</f>
        <v/>
      </c>
      <c r="S642" s="7">
        <f>IF($W642="","",R642+O642)</f>
        <v/>
      </c>
      <c r="T642" s="7">
        <f>IF($W642="","",V642-S642)</f>
        <v/>
      </c>
      <c r="U642" s="7">
        <f>IF($W642="","",V642-S642-K642)</f>
        <v/>
      </c>
      <c r="V642" s="7">
        <f>IF($W642="","",N642+Q642)</f>
        <v/>
      </c>
      <c r="W642" s="16">
        <f>IF(ROWS($W$2:$W642)&lt;=MAX('Per Line'!$AA$2:$AA$3001),MATCH(ROWS($W$2:$W642),'Per Line'!$AA$2:$AA$3001,0),"")</f>
        <v/>
      </c>
      <c r="X642">
        <f>IF($W642="","",D642&amp;"|"&amp;COUNTIF($D$2:$D642,D642))</f>
        <v/>
      </c>
    </row>
    <row r="643">
      <c r="A643" s="15" t="n"/>
      <c r="B643">
        <f>IF($W643="","",INDEX('Per Line'!$B$2:$B$3001,$W643)&amp;"")</f>
        <v/>
      </c>
      <c r="C643">
        <f>IF($W643="","",INDEX('Per Line'!$C$2:$C$3001,$W643)&amp;"")</f>
        <v/>
      </c>
      <c r="D643">
        <f>IF($W643="","",IF(OR(TRIM(E643)="Orient Insurance Company",TRIM(E643)="Allianz"),TRIM(E643),TRIM(F643)))</f>
        <v/>
      </c>
      <c r="E643">
        <f>IF($W643="","",INDEX('Per Line'!$E$2:$E$3001,$W643)&amp;"")</f>
        <v/>
      </c>
      <c r="F643">
        <f>IF($W643="","",INDEX('Per Line'!$D$2:$D$3001,$W643)&amp;"")</f>
        <v/>
      </c>
      <c r="G643">
        <f>IF($W643="","",INDEX('Per Line'!$F$2:$F$3001,$W643)&amp;"")</f>
        <v/>
      </c>
      <c r="H643">
        <f>IF($W643="","",INDEX('Per Line'!$G$2:$G$3001,$W643)&amp;"")</f>
        <v/>
      </c>
      <c r="I643">
        <f>IF($W643="","",INDEX('Per Line'!$H$2:$H$3001,$W643)&amp;"")</f>
        <v/>
      </c>
      <c r="J643">
        <f>IF($W643="","",INDEX('Per Line'!$I$2:$I$3001,$W643))</f>
        <v/>
      </c>
      <c r="K643" s="7">
        <f>IF($W643="","",J643*T643/100)</f>
        <v/>
      </c>
      <c r="L643" s="14">
        <f>IF($W643="","",INDEX('Per Line'!$V$2:$V$3001,$W643))</f>
        <v/>
      </c>
      <c r="M643">
        <f>IF($W643="","",IF(ISNUMBER(SEARCH("3&amp;12",SUBSTITUTE(F643," ",""))),Settings!$G$7,Settings!$C$7))</f>
        <v/>
      </c>
      <c r="N643" s="7">
        <f>IF($W643="","",SUMIFS('Per Line'!$O$2:$O$3001,'Per Line'!$B$2:$B$3001,$B643,'Per Line'!$AB$2:$AB$3001,0))</f>
        <v/>
      </c>
      <c r="O643" s="7">
        <f>IF($W643="","",N643*M643)</f>
        <v/>
      </c>
      <c r="P643">
        <f>IF($W643="","",IF(ISNUMBER(SEARCH("3&amp;12",SUBSTITUTE(F643," ",""))),Settings!$G$6,Settings!$C$6))</f>
        <v/>
      </c>
      <c r="Q643" s="7">
        <f>IF($W643="","",SUMIFS('Per Line'!$O$2:$O$3001,'Per Line'!$B$2:$B$3001,$B643,'Per Line'!$AB$2:$AB$3001,1))</f>
        <v/>
      </c>
      <c r="R643" s="7">
        <f>IF($W643="","",Q643*P643)</f>
        <v/>
      </c>
      <c r="S643" s="7">
        <f>IF($W643="","",R643+O643)</f>
        <v/>
      </c>
      <c r="T643" s="7">
        <f>IF($W643="","",V643-S643)</f>
        <v/>
      </c>
      <c r="U643" s="7">
        <f>IF($W643="","",V643-S643-K643)</f>
        <v/>
      </c>
      <c r="V643" s="7">
        <f>IF($W643="","",N643+Q643)</f>
        <v/>
      </c>
      <c r="W643" s="16">
        <f>IF(ROWS($W$2:$W643)&lt;=MAX('Per Line'!$AA$2:$AA$3001),MATCH(ROWS($W$2:$W643),'Per Line'!$AA$2:$AA$3001,0),"")</f>
        <v/>
      </c>
      <c r="X643">
        <f>IF($W643="","",D643&amp;"|"&amp;COUNTIF($D$2:$D643,D643))</f>
        <v/>
      </c>
    </row>
    <row r="644">
      <c r="A644" s="15" t="n"/>
      <c r="B644">
        <f>IF($W644="","",INDEX('Per Line'!$B$2:$B$3001,$W644)&amp;"")</f>
        <v/>
      </c>
      <c r="C644">
        <f>IF($W644="","",INDEX('Per Line'!$C$2:$C$3001,$W644)&amp;"")</f>
        <v/>
      </c>
      <c r="D644">
        <f>IF($W644="","",IF(OR(TRIM(E644)="Orient Insurance Company",TRIM(E644)="Allianz"),TRIM(E644),TRIM(F644)))</f>
        <v/>
      </c>
      <c r="E644">
        <f>IF($W644="","",INDEX('Per Line'!$E$2:$E$3001,$W644)&amp;"")</f>
        <v/>
      </c>
      <c r="F644">
        <f>IF($W644="","",INDEX('Per Line'!$D$2:$D$3001,$W644)&amp;"")</f>
        <v/>
      </c>
      <c r="G644">
        <f>IF($W644="","",INDEX('Per Line'!$F$2:$F$3001,$W644)&amp;"")</f>
        <v/>
      </c>
      <c r="H644">
        <f>IF($W644="","",INDEX('Per Line'!$G$2:$G$3001,$W644)&amp;"")</f>
        <v/>
      </c>
      <c r="I644">
        <f>IF($W644="","",INDEX('Per Line'!$H$2:$H$3001,$W644)&amp;"")</f>
        <v/>
      </c>
      <c r="J644">
        <f>IF($W644="","",INDEX('Per Line'!$I$2:$I$3001,$W644))</f>
        <v/>
      </c>
      <c r="K644" s="7">
        <f>IF($W644="","",J644*T644/100)</f>
        <v/>
      </c>
      <c r="L644" s="14">
        <f>IF($W644="","",INDEX('Per Line'!$V$2:$V$3001,$W644))</f>
        <v/>
      </c>
      <c r="M644">
        <f>IF($W644="","",IF(ISNUMBER(SEARCH("3&amp;12",SUBSTITUTE(F644," ",""))),Settings!$G$7,Settings!$C$7))</f>
        <v/>
      </c>
      <c r="N644" s="7">
        <f>IF($W644="","",SUMIFS('Per Line'!$O$2:$O$3001,'Per Line'!$B$2:$B$3001,$B644,'Per Line'!$AB$2:$AB$3001,0))</f>
        <v/>
      </c>
      <c r="O644" s="7">
        <f>IF($W644="","",N644*M644)</f>
        <v/>
      </c>
      <c r="P644">
        <f>IF($W644="","",IF(ISNUMBER(SEARCH("3&amp;12",SUBSTITUTE(F644," ",""))),Settings!$G$6,Settings!$C$6))</f>
        <v/>
      </c>
      <c r="Q644" s="7">
        <f>IF($W644="","",SUMIFS('Per Line'!$O$2:$O$3001,'Per Line'!$B$2:$B$3001,$B644,'Per Line'!$AB$2:$AB$3001,1))</f>
        <v/>
      </c>
      <c r="R644" s="7">
        <f>IF($W644="","",Q644*P644)</f>
        <v/>
      </c>
      <c r="S644" s="7">
        <f>IF($W644="","",R644+O644)</f>
        <v/>
      </c>
      <c r="T644" s="7">
        <f>IF($W644="","",V644-S644)</f>
        <v/>
      </c>
      <c r="U644" s="7">
        <f>IF($W644="","",V644-S644-K644)</f>
        <v/>
      </c>
      <c r="V644" s="7">
        <f>IF($W644="","",N644+Q644)</f>
        <v/>
      </c>
      <c r="W644" s="16">
        <f>IF(ROWS($W$2:$W644)&lt;=MAX('Per Line'!$AA$2:$AA$3001),MATCH(ROWS($W$2:$W644),'Per Line'!$AA$2:$AA$3001,0),"")</f>
        <v/>
      </c>
      <c r="X644">
        <f>IF($W644="","",D644&amp;"|"&amp;COUNTIF($D$2:$D644,D644))</f>
        <v/>
      </c>
    </row>
    <row r="645">
      <c r="A645" s="15" t="n"/>
      <c r="B645">
        <f>IF($W645="","",INDEX('Per Line'!$B$2:$B$3001,$W645)&amp;"")</f>
        <v/>
      </c>
      <c r="C645">
        <f>IF($W645="","",INDEX('Per Line'!$C$2:$C$3001,$W645)&amp;"")</f>
        <v/>
      </c>
      <c r="D645">
        <f>IF($W645="","",IF(OR(TRIM(E645)="Orient Insurance Company",TRIM(E645)="Allianz"),TRIM(E645),TRIM(F645)))</f>
        <v/>
      </c>
      <c r="E645">
        <f>IF($W645="","",INDEX('Per Line'!$E$2:$E$3001,$W645)&amp;"")</f>
        <v/>
      </c>
      <c r="F645">
        <f>IF($W645="","",INDEX('Per Line'!$D$2:$D$3001,$W645)&amp;"")</f>
        <v/>
      </c>
      <c r="G645">
        <f>IF($W645="","",INDEX('Per Line'!$F$2:$F$3001,$W645)&amp;"")</f>
        <v/>
      </c>
      <c r="H645">
        <f>IF($W645="","",INDEX('Per Line'!$G$2:$G$3001,$W645)&amp;"")</f>
        <v/>
      </c>
      <c r="I645">
        <f>IF($W645="","",INDEX('Per Line'!$H$2:$H$3001,$W645)&amp;"")</f>
        <v/>
      </c>
      <c r="J645">
        <f>IF($W645="","",INDEX('Per Line'!$I$2:$I$3001,$W645))</f>
        <v/>
      </c>
      <c r="K645" s="7">
        <f>IF($W645="","",J645*T645/100)</f>
        <v/>
      </c>
      <c r="L645" s="14">
        <f>IF($W645="","",INDEX('Per Line'!$V$2:$V$3001,$W645))</f>
        <v/>
      </c>
      <c r="M645">
        <f>IF($W645="","",IF(ISNUMBER(SEARCH("3&amp;12",SUBSTITUTE(F645," ",""))),Settings!$G$7,Settings!$C$7))</f>
        <v/>
      </c>
      <c r="N645" s="7">
        <f>IF($W645="","",SUMIFS('Per Line'!$O$2:$O$3001,'Per Line'!$B$2:$B$3001,$B645,'Per Line'!$AB$2:$AB$3001,0))</f>
        <v/>
      </c>
      <c r="O645" s="7">
        <f>IF($W645="","",N645*M645)</f>
        <v/>
      </c>
      <c r="P645">
        <f>IF($W645="","",IF(ISNUMBER(SEARCH("3&amp;12",SUBSTITUTE(F645," ",""))),Settings!$G$6,Settings!$C$6))</f>
        <v/>
      </c>
      <c r="Q645" s="7">
        <f>IF($W645="","",SUMIFS('Per Line'!$O$2:$O$3001,'Per Line'!$B$2:$B$3001,$B645,'Per Line'!$AB$2:$AB$3001,1))</f>
        <v/>
      </c>
      <c r="R645" s="7">
        <f>IF($W645="","",Q645*P645)</f>
        <v/>
      </c>
      <c r="S645" s="7">
        <f>IF($W645="","",R645+O645)</f>
        <v/>
      </c>
      <c r="T645" s="7">
        <f>IF($W645="","",V645-S645)</f>
        <v/>
      </c>
      <c r="U645" s="7">
        <f>IF($W645="","",V645-S645-K645)</f>
        <v/>
      </c>
      <c r="V645" s="7">
        <f>IF($W645="","",N645+Q645)</f>
        <v/>
      </c>
      <c r="W645" s="16">
        <f>IF(ROWS($W$2:$W645)&lt;=MAX('Per Line'!$AA$2:$AA$3001),MATCH(ROWS($W$2:$W645),'Per Line'!$AA$2:$AA$3001,0),"")</f>
        <v/>
      </c>
      <c r="X645">
        <f>IF($W645="","",D645&amp;"|"&amp;COUNTIF($D$2:$D645,D645))</f>
        <v/>
      </c>
    </row>
    <row r="646">
      <c r="A646" s="15" t="n"/>
      <c r="B646">
        <f>IF($W646="","",INDEX('Per Line'!$B$2:$B$3001,$W646)&amp;"")</f>
        <v/>
      </c>
      <c r="C646">
        <f>IF($W646="","",INDEX('Per Line'!$C$2:$C$3001,$W646)&amp;"")</f>
        <v/>
      </c>
      <c r="D646">
        <f>IF($W646="","",IF(OR(TRIM(E646)="Orient Insurance Company",TRIM(E646)="Allianz"),TRIM(E646),TRIM(F646)))</f>
        <v/>
      </c>
      <c r="E646">
        <f>IF($W646="","",INDEX('Per Line'!$E$2:$E$3001,$W646)&amp;"")</f>
        <v/>
      </c>
      <c r="F646">
        <f>IF($W646="","",INDEX('Per Line'!$D$2:$D$3001,$W646)&amp;"")</f>
        <v/>
      </c>
      <c r="G646">
        <f>IF($W646="","",INDEX('Per Line'!$F$2:$F$3001,$W646)&amp;"")</f>
        <v/>
      </c>
      <c r="H646">
        <f>IF($W646="","",INDEX('Per Line'!$G$2:$G$3001,$W646)&amp;"")</f>
        <v/>
      </c>
      <c r="I646">
        <f>IF($W646="","",INDEX('Per Line'!$H$2:$H$3001,$W646)&amp;"")</f>
        <v/>
      </c>
      <c r="J646">
        <f>IF($W646="","",INDEX('Per Line'!$I$2:$I$3001,$W646))</f>
        <v/>
      </c>
      <c r="K646" s="7">
        <f>IF($W646="","",J646*T646/100)</f>
        <v/>
      </c>
      <c r="L646" s="14">
        <f>IF($W646="","",INDEX('Per Line'!$V$2:$V$3001,$W646))</f>
        <v/>
      </c>
      <c r="M646">
        <f>IF($W646="","",IF(ISNUMBER(SEARCH("3&amp;12",SUBSTITUTE(F646," ",""))),Settings!$G$7,Settings!$C$7))</f>
        <v/>
      </c>
      <c r="N646" s="7">
        <f>IF($W646="","",SUMIFS('Per Line'!$O$2:$O$3001,'Per Line'!$B$2:$B$3001,$B646,'Per Line'!$AB$2:$AB$3001,0))</f>
        <v/>
      </c>
      <c r="O646" s="7">
        <f>IF($W646="","",N646*M646)</f>
        <v/>
      </c>
      <c r="P646">
        <f>IF($W646="","",IF(ISNUMBER(SEARCH("3&amp;12",SUBSTITUTE(F646," ",""))),Settings!$G$6,Settings!$C$6))</f>
        <v/>
      </c>
      <c r="Q646" s="7">
        <f>IF($W646="","",SUMIFS('Per Line'!$O$2:$O$3001,'Per Line'!$B$2:$B$3001,$B646,'Per Line'!$AB$2:$AB$3001,1))</f>
        <v/>
      </c>
      <c r="R646" s="7">
        <f>IF($W646="","",Q646*P646)</f>
        <v/>
      </c>
      <c r="S646" s="7">
        <f>IF($W646="","",R646+O646)</f>
        <v/>
      </c>
      <c r="T646" s="7">
        <f>IF($W646="","",V646-S646)</f>
        <v/>
      </c>
      <c r="U646" s="7">
        <f>IF($W646="","",V646-S646-K646)</f>
        <v/>
      </c>
      <c r="V646" s="7">
        <f>IF($W646="","",N646+Q646)</f>
        <v/>
      </c>
      <c r="W646" s="16">
        <f>IF(ROWS($W$2:$W646)&lt;=MAX('Per Line'!$AA$2:$AA$3001),MATCH(ROWS($W$2:$W646),'Per Line'!$AA$2:$AA$3001,0),"")</f>
        <v/>
      </c>
      <c r="X646">
        <f>IF($W646="","",D646&amp;"|"&amp;COUNTIF($D$2:$D646,D646))</f>
        <v/>
      </c>
    </row>
    <row r="647">
      <c r="A647" s="15" t="n"/>
      <c r="B647">
        <f>IF($W647="","",INDEX('Per Line'!$B$2:$B$3001,$W647)&amp;"")</f>
        <v/>
      </c>
      <c r="C647">
        <f>IF($W647="","",INDEX('Per Line'!$C$2:$C$3001,$W647)&amp;"")</f>
        <v/>
      </c>
      <c r="D647">
        <f>IF($W647="","",IF(OR(TRIM(E647)="Orient Insurance Company",TRIM(E647)="Allianz"),TRIM(E647),TRIM(F647)))</f>
        <v/>
      </c>
      <c r="E647">
        <f>IF($W647="","",INDEX('Per Line'!$E$2:$E$3001,$W647)&amp;"")</f>
        <v/>
      </c>
      <c r="F647">
        <f>IF($W647="","",INDEX('Per Line'!$D$2:$D$3001,$W647)&amp;"")</f>
        <v/>
      </c>
      <c r="G647">
        <f>IF($W647="","",INDEX('Per Line'!$F$2:$F$3001,$W647)&amp;"")</f>
        <v/>
      </c>
      <c r="H647">
        <f>IF($W647="","",INDEX('Per Line'!$G$2:$G$3001,$W647)&amp;"")</f>
        <v/>
      </c>
      <c r="I647">
        <f>IF($W647="","",INDEX('Per Line'!$H$2:$H$3001,$W647)&amp;"")</f>
        <v/>
      </c>
      <c r="J647">
        <f>IF($W647="","",INDEX('Per Line'!$I$2:$I$3001,$W647))</f>
        <v/>
      </c>
      <c r="K647" s="7">
        <f>IF($W647="","",J647*T647/100)</f>
        <v/>
      </c>
      <c r="L647" s="14">
        <f>IF($W647="","",INDEX('Per Line'!$V$2:$V$3001,$W647))</f>
        <v/>
      </c>
      <c r="M647">
        <f>IF($W647="","",IF(ISNUMBER(SEARCH("3&amp;12",SUBSTITUTE(F647," ",""))),Settings!$G$7,Settings!$C$7))</f>
        <v/>
      </c>
      <c r="N647" s="7">
        <f>IF($W647="","",SUMIFS('Per Line'!$O$2:$O$3001,'Per Line'!$B$2:$B$3001,$B647,'Per Line'!$AB$2:$AB$3001,0))</f>
        <v/>
      </c>
      <c r="O647" s="7">
        <f>IF($W647="","",N647*M647)</f>
        <v/>
      </c>
      <c r="P647">
        <f>IF($W647="","",IF(ISNUMBER(SEARCH("3&amp;12",SUBSTITUTE(F647," ",""))),Settings!$G$6,Settings!$C$6))</f>
        <v/>
      </c>
      <c r="Q647" s="7">
        <f>IF($W647="","",SUMIFS('Per Line'!$O$2:$O$3001,'Per Line'!$B$2:$B$3001,$B647,'Per Line'!$AB$2:$AB$3001,1))</f>
        <v/>
      </c>
      <c r="R647" s="7">
        <f>IF($W647="","",Q647*P647)</f>
        <v/>
      </c>
      <c r="S647" s="7">
        <f>IF($W647="","",R647+O647)</f>
        <v/>
      </c>
      <c r="T647" s="7">
        <f>IF($W647="","",V647-S647)</f>
        <v/>
      </c>
      <c r="U647" s="7">
        <f>IF($W647="","",V647-S647-K647)</f>
        <v/>
      </c>
      <c r="V647" s="7">
        <f>IF($W647="","",N647+Q647)</f>
        <v/>
      </c>
      <c r="W647" s="16">
        <f>IF(ROWS($W$2:$W647)&lt;=MAX('Per Line'!$AA$2:$AA$3001),MATCH(ROWS($W$2:$W647),'Per Line'!$AA$2:$AA$3001,0),"")</f>
        <v/>
      </c>
      <c r="X647">
        <f>IF($W647="","",D647&amp;"|"&amp;COUNTIF($D$2:$D647,D647))</f>
        <v/>
      </c>
    </row>
    <row r="648">
      <c r="A648" s="15" t="n"/>
      <c r="B648">
        <f>IF($W648="","",INDEX('Per Line'!$B$2:$B$3001,$W648)&amp;"")</f>
        <v/>
      </c>
      <c r="C648">
        <f>IF($W648="","",INDEX('Per Line'!$C$2:$C$3001,$W648)&amp;"")</f>
        <v/>
      </c>
      <c r="D648">
        <f>IF($W648="","",IF(OR(TRIM(E648)="Orient Insurance Company",TRIM(E648)="Allianz"),TRIM(E648),TRIM(F648)))</f>
        <v/>
      </c>
      <c r="E648">
        <f>IF($W648="","",INDEX('Per Line'!$E$2:$E$3001,$W648)&amp;"")</f>
        <v/>
      </c>
      <c r="F648">
        <f>IF($W648="","",INDEX('Per Line'!$D$2:$D$3001,$W648)&amp;"")</f>
        <v/>
      </c>
      <c r="G648">
        <f>IF($W648="","",INDEX('Per Line'!$F$2:$F$3001,$W648)&amp;"")</f>
        <v/>
      </c>
      <c r="H648">
        <f>IF($W648="","",INDEX('Per Line'!$G$2:$G$3001,$W648)&amp;"")</f>
        <v/>
      </c>
      <c r="I648">
        <f>IF($W648="","",INDEX('Per Line'!$H$2:$H$3001,$W648)&amp;"")</f>
        <v/>
      </c>
      <c r="J648">
        <f>IF($W648="","",INDEX('Per Line'!$I$2:$I$3001,$W648))</f>
        <v/>
      </c>
      <c r="K648" s="7">
        <f>IF($W648="","",J648*T648/100)</f>
        <v/>
      </c>
      <c r="L648" s="14">
        <f>IF($W648="","",INDEX('Per Line'!$V$2:$V$3001,$W648))</f>
        <v/>
      </c>
      <c r="M648">
        <f>IF($W648="","",IF(ISNUMBER(SEARCH("3&amp;12",SUBSTITUTE(F648," ",""))),Settings!$G$7,Settings!$C$7))</f>
        <v/>
      </c>
      <c r="N648" s="7">
        <f>IF($W648="","",SUMIFS('Per Line'!$O$2:$O$3001,'Per Line'!$B$2:$B$3001,$B648,'Per Line'!$AB$2:$AB$3001,0))</f>
        <v/>
      </c>
      <c r="O648" s="7">
        <f>IF($W648="","",N648*M648)</f>
        <v/>
      </c>
      <c r="P648">
        <f>IF($W648="","",IF(ISNUMBER(SEARCH("3&amp;12",SUBSTITUTE(F648," ",""))),Settings!$G$6,Settings!$C$6))</f>
        <v/>
      </c>
      <c r="Q648" s="7">
        <f>IF($W648="","",SUMIFS('Per Line'!$O$2:$O$3001,'Per Line'!$B$2:$B$3001,$B648,'Per Line'!$AB$2:$AB$3001,1))</f>
        <v/>
      </c>
      <c r="R648" s="7">
        <f>IF($W648="","",Q648*P648)</f>
        <v/>
      </c>
      <c r="S648" s="7">
        <f>IF($W648="","",R648+O648)</f>
        <v/>
      </c>
      <c r="T648" s="7">
        <f>IF($W648="","",V648-S648)</f>
        <v/>
      </c>
      <c r="U648" s="7">
        <f>IF($W648="","",V648-S648-K648)</f>
        <v/>
      </c>
      <c r="V648" s="7">
        <f>IF($W648="","",N648+Q648)</f>
        <v/>
      </c>
      <c r="W648" s="16">
        <f>IF(ROWS($W$2:$W648)&lt;=MAX('Per Line'!$AA$2:$AA$3001),MATCH(ROWS($W$2:$W648),'Per Line'!$AA$2:$AA$3001,0),"")</f>
        <v/>
      </c>
      <c r="X648">
        <f>IF($W648="","",D648&amp;"|"&amp;COUNTIF($D$2:$D648,D648))</f>
        <v/>
      </c>
    </row>
    <row r="649">
      <c r="A649" s="15" t="n"/>
      <c r="B649">
        <f>IF($W649="","",INDEX('Per Line'!$B$2:$B$3001,$W649)&amp;"")</f>
        <v/>
      </c>
      <c r="C649">
        <f>IF($W649="","",INDEX('Per Line'!$C$2:$C$3001,$W649)&amp;"")</f>
        <v/>
      </c>
      <c r="D649">
        <f>IF($W649="","",IF(OR(TRIM(E649)="Orient Insurance Company",TRIM(E649)="Allianz"),TRIM(E649),TRIM(F649)))</f>
        <v/>
      </c>
      <c r="E649">
        <f>IF($W649="","",INDEX('Per Line'!$E$2:$E$3001,$W649)&amp;"")</f>
        <v/>
      </c>
      <c r="F649">
        <f>IF($W649="","",INDEX('Per Line'!$D$2:$D$3001,$W649)&amp;"")</f>
        <v/>
      </c>
      <c r="G649">
        <f>IF($W649="","",INDEX('Per Line'!$F$2:$F$3001,$W649)&amp;"")</f>
        <v/>
      </c>
      <c r="H649">
        <f>IF($W649="","",INDEX('Per Line'!$G$2:$G$3001,$W649)&amp;"")</f>
        <v/>
      </c>
      <c r="I649">
        <f>IF($W649="","",INDEX('Per Line'!$H$2:$H$3001,$W649)&amp;"")</f>
        <v/>
      </c>
      <c r="J649">
        <f>IF($W649="","",INDEX('Per Line'!$I$2:$I$3001,$W649))</f>
        <v/>
      </c>
      <c r="K649" s="7">
        <f>IF($W649="","",J649*T649/100)</f>
        <v/>
      </c>
      <c r="L649" s="14">
        <f>IF($W649="","",INDEX('Per Line'!$V$2:$V$3001,$W649))</f>
        <v/>
      </c>
      <c r="M649">
        <f>IF($W649="","",IF(ISNUMBER(SEARCH("3&amp;12",SUBSTITUTE(F649," ",""))),Settings!$G$7,Settings!$C$7))</f>
        <v/>
      </c>
      <c r="N649" s="7">
        <f>IF($W649="","",SUMIFS('Per Line'!$O$2:$O$3001,'Per Line'!$B$2:$B$3001,$B649,'Per Line'!$AB$2:$AB$3001,0))</f>
        <v/>
      </c>
      <c r="O649" s="7">
        <f>IF($W649="","",N649*M649)</f>
        <v/>
      </c>
      <c r="P649">
        <f>IF($W649="","",IF(ISNUMBER(SEARCH("3&amp;12",SUBSTITUTE(F649," ",""))),Settings!$G$6,Settings!$C$6))</f>
        <v/>
      </c>
      <c r="Q649" s="7">
        <f>IF($W649="","",SUMIFS('Per Line'!$O$2:$O$3001,'Per Line'!$B$2:$B$3001,$B649,'Per Line'!$AB$2:$AB$3001,1))</f>
        <v/>
      </c>
      <c r="R649" s="7">
        <f>IF($W649="","",Q649*P649)</f>
        <v/>
      </c>
      <c r="S649" s="7">
        <f>IF($W649="","",R649+O649)</f>
        <v/>
      </c>
      <c r="T649" s="7">
        <f>IF($W649="","",V649-S649)</f>
        <v/>
      </c>
      <c r="U649" s="7">
        <f>IF($W649="","",V649-S649-K649)</f>
        <v/>
      </c>
      <c r="V649" s="7">
        <f>IF($W649="","",N649+Q649)</f>
        <v/>
      </c>
      <c r="W649" s="16">
        <f>IF(ROWS($W$2:$W649)&lt;=MAX('Per Line'!$AA$2:$AA$3001),MATCH(ROWS($W$2:$W649),'Per Line'!$AA$2:$AA$3001,0),"")</f>
        <v/>
      </c>
      <c r="X649">
        <f>IF($W649="","",D649&amp;"|"&amp;COUNTIF($D$2:$D649,D649))</f>
        <v/>
      </c>
    </row>
    <row r="650">
      <c r="A650" s="15" t="n"/>
      <c r="B650">
        <f>IF($W650="","",INDEX('Per Line'!$B$2:$B$3001,$W650)&amp;"")</f>
        <v/>
      </c>
      <c r="C650">
        <f>IF($W650="","",INDEX('Per Line'!$C$2:$C$3001,$W650)&amp;"")</f>
        <v/>
      </c>
      <c r="D650">
        <f>IF($W650="","",IF(OR(TRIM(E650)="Orient Insurance Company",TRIM(E650)="Allianz"),TRIM(E650),TRIM(F650)))</f>
        <v/>
      </c>
      <c r="E650">
        <f>IF($W650="","",INDEX('Per Line'!$E$2:$E$3001,$W650)&amp;"")</f>
        <v/>
      </c>
      <c r="F650">
        <f>IF($W650="","",INDEX('Per Line'!$D$2:$D$3001,$W650)&amp;"")</f>
        <v/>
      </c>
      <c r="G650">
        <f>IF($W650="","",INDEX('Per Line'!$F$2:$F$3001,$W650)&amp;"")</f>
        <v/>
      </c>
      <c r="H650">
        <f>IF($W650="","",INDEX('Per Line'!$G$2:$G$3001,$W650)&amp;"")</f>
        <v/>
      </c>
      <c r="I650">
        <f>IF($W650="","",INDEX('Per Line'!$H$2:$H$3001,$W650)&amp;"")</f>
        <v/>
      </c>
      <c r="J650">
        <f>IF($W650="","",INDEX('Per Line'!$I$2:$I$3001,$W650))</f>
        <v/>
      </c>
      <c r="K650" s="7">
        <f>IF($W650="","",J650*T650/100)</f>
        <v/>
      </c>
      <c r="L650" s="14">
        <f>IF($W650="","",INDEX('Per Line'!$V$2:$V$3001,$W650))</f>
        <v/>
      </c>
      <c r="M650">
        <f>IF($W650="","",IF(ISNUMBER(SEARCH("3&amp;12",SUBSTITUTE(F650," ",""))),Settings!$G$7,Settings!$C$7))</f>
        <v/>
      </c>
      <c r="N650" s="7">
        <f>IF($W650="","",SUMIFS('Per Line'!$O$2:$O$3001,'Per Line'!$B$2:$B$3001,$B650,'Per Line'!$AB$2:$AB$3001,0))</f>
        <v/>
      </c>
      <c r="O650" s="7">
        <f>IF($W650="","",N650*M650)</f>
        <v/>
      </c>
      <c r="P650">
        <f>IF($W650="","",IF(ISNUMBER(SEARCH("3&amp;12",SUBSTITUTE(F650," ",""))),Settings!$G$6,Settings!$C$6))</f>
        <v/>
      </c>
      <c r="Q650" s="7">
        <f>IF($W650="","",SUMIFS('Per Line'!$O$2:$O$3001,'Per Line'!$B$2:$B$3001,$B650,'Per Line'!$AB$2:$AB$3001,1))</f>
        <v/>
      </c>
      <c r="R650" s="7">
        <f>IF($W650="","",Q650*P650)</f>
        <v/>
      </c>
      <c r="S650" s="7">
        <f>IF($W650="","",R650+O650)</f>
        <v/>
      </c>
      <c r="T650" s="7">
        <f>IF($W650="","",V650-S650)</f>
        <v/>
      </c>
      <c r="U650" s="7">
        <f>IF($W650="","",V650-S650-K650)</f>
        <v/>
      </c>
      <c r="V650" s="7">
        <f>IF($W650="","",N650+Q650)</f>
        <v/>
      </c>
      <c r="W650" s="16">
        <f>IF(ROWS($W$2:$W650)&lt;=MAX('Per Line'!$AA$2:$AA$3001),MATCH(ROWS($W$2:$W650),'Per Line'!$AA$2:$AA$3001,0),"")</f>
        <v/>
      </c>
      <c r="X650">
        <f>IF($W650="","",D650&amp;"|"&amp;COUNTIF($D$2:$D650,D650))</f>
        <v/>
      </c>
    </row>
    <row r="651">
      <c r="A651" s="15" t="n"/>
      <c r="B651">
        <f>IF($W651="","",INDEX('Per Line'!$B$2:$B$3001,$W651)&amp;"")</f>
        <v/>
      </c>
      <c r="C651">
        <f>IF($W651="","",INDEX('Per Line'!$C$2:$C$3001,$W651)&amp;"")</f>
        <v/>
      </c>
      <c r="D651">
        <f>IF($W651="","",IF(OR(TRIM(E651)="Orient Insurance Company",TRIM(E651)="Allianz"),TRIM(E651),TRIM(F651)))</f>
        <v/>
      </c>
      <c r="E651">
        <f>IF($W651="","",INDEX('Per Line'!$E$2:$E$3001,$W651)&amp;"")</f>
        <v/>
      </c>
      <c r="F651">
        <f>IF($W651="","",INDEX('Per Line'!$D$2:$D$3001,$W651)&amp;"")</f>
        <v/>
      </c>
      <c r="G651">
        <f>IF($W651="","",INDEX('Per Line'!$F$2:$F$3001,$W651)&amp;"")</f>
        <v/>
      </c>
      <c r="H651">
        <f>IF($W651="","",INDEX('Per Line'!$G$2:$G$3001,$W651)&amp;"")</f>
        <v/>
      </c>
      <c r="I651">
        <f>IF($W651="","",INDEX('Per Line'!$H$2:$H$3001,$W651)&amp;"")</f>
        <v/>
      </c>
      <c r="J651">
        <f>IF($W651="","",INDEX('Per Line'!$I$2:$I$3001,$W651))</f>
        <v/>
      </c>
      <c r="K651" s="7">
        <f>IF($W651="","",J651*T651/100)</f>
        <v/>
      </c>
      <c r="L651" s="14">
        <f>IF($W651="","",INDEX('Per Line'!$V$2:$V$3001,$W651))</f>
        <v/>
      </c>
      <c r="M651">
        <f>IF($W651="","",IF(ISNUMBER(SEARCH("3&amp;12",SUBSTITUTE(F651," ",""))),Settings!$G$7,Settings!$C$7))</f>
        <v/>
      </c>
      <c r="N651" s="7">
        <f>IF($W651="","",SUMIFS('Per Line'!$O$2:$O$3001,'Per Line'!$B$2:$B$3001,$B651,'Per Line'!$AB$2:$AB$3001,0))</f>
        <v/>
      </c>
      <c r="O651" s="7">
        <f>IF($W651="","",N651*M651)</f>
        <v/>
      </c>
      <c r="P651">
        <f>IF($W651="","",IF(ISNUMBER(SEARCH("3&amp;12",SUBSTITUTE(F651," ",""))),Settings!$G$6,Settings!$C$6))</f>
        <v/>
      </c>
      <c r="Q651" s="7">
        <f>IF($W651="","",SUMIFS('Per Line'!$O$2:$O$3001,'Per Line'!$B$2:$B$3001,$B651,'Per Line'!$AB$2:$AB$3001,1))</f>
        <v/>
      </c>
      <c r="R651" s="7">
        <f>IF($W651="","",Q651*P651)</f>
        <v/>
      </c>
      <c r="S651" s="7">
        <f>IF($W651="","",R651+O651)</f>
        <v/>
      </c>
      <c r="T651" s="7">
        <f>IF($W651="","",V651-S651)</f>
        <v/>
      </c>
      <c r="U651" s="7">
        <f>IF($W651="","",V651-S651-K651)</f>
        <v/>
      </c>
      <c r="V651" s="7">
        <f>IF($W651="","",N651+Q651)</f>
        <v/>
      </c>
      <c r="W651" s="16">
        <f>IF(ROWS($W$2:$W651)&lt;=MAX('Per Line'!$AA$2:$AA$3001),MATCH(ROWS($W$2:$W651),'Per Line'!$AA$2:$AA$3001,0),"")</f>
        <v/>
      </c>
      <c r="X651">
        <f>IF($W651="","",D651&amp;"|"&amp;COUNTIF($D$2:$D651,D651))</f>
        <v/>
      </c>
    </row>
    <row r="652">
      <c r="A652" s="15" t="n"/>
      <c r="B652">
        <f>IF($W652="","",INDEX('Per Line'!$B$2:$B$3001,$W652)&amp;"")</f>
        <v/>
      </c>
      <c r="C652">
        <f>IF($W652="","",INDEX('Per Line'!$C$2:$C$3001,$W652)&amp;"")</f>
        <v/>
      </c>
      <c r="D652">
        <f>IF($W652="","",IF(OR(TRIM(E652)="Orient Insurance Company",TRIM(E652)="Allianz"),TRIM(E652),TRIM(F652)))</f>
        <v/>
      </c>
      <c r="E652">
        <f>IF($W652="","",INDEX('Per Line'!$E$2:$E$3001,$W652)&amp;"")</f>
        <v/>
      </c>
      <c r="F652">
        <f>IF($W652="","",INDEX('Per Line'!$D$2:$D$3001,$W652)&amp;"")</f>
        <v/>
      </c>
      <c r="G652">
        <f>IF($W652="","",INDEX('Per Line'!$F$2:$F$3001,$W652)&amp;"")</f>
        <v/>
      </c>
      <c r="H652">
        <f>IF($W652="","",INDEX('Per Line'!$G$2:$G$3001,$W652)&amp;"")</f>
        <v/>
      </c>
      <c r="I652">
        <f>IF($W652="","",INDEX('Per Line'!$H$2:$H$3001,$W652)&amp;"")</f>
        <v/>
      </c>
      <c r="J652">
        <f>IF($W652="","",INDEX('Per Line'!$I$2:$I$3001,$W652))</f>
        <v/>
      </c>
      <c r="K652" s="7">
        <f>IF($W652="","",J652*T652/100)</f>
        <v/>
      </c>
      <c r="L652" s="14">
        <f>IF($W652="","",INDEX('Per Line'!$V$2:$V$3001,$W652))</f>
        <v/>
      </c>
      <c r="M652">
        <f>IF($W652="","",IF(ISNUMBER(SEARCH("3&amp;12",SUBSTITUTE(F652," ",""))),Settings!$G$7,Settings!$C$7))</f>
        <v/>
      </c>
      <c r="N652" s="7">
        <f>IF($W652="","",SUMIFS('Per Line'!$O$2:$O$3001,'Per Line'!$B$2:$B$3001,$B652,'Per Line'!$AB$2:$AB$3001,0))</f>
        <v/>
      </c>
      <c r="O652" s="7">
        <f>IF($W652="","",N652*M652)</f>
        <v/>
      </c>
      <c r="P652">
        <f>IF($W652="","",IF(ISNUMBER(SEARCH("3&amp;12",SUBSTITUTE(F652," ",""))),Settings!$G$6,Settings!$C$6))</f>
        <v/>
      </c>
      <c r="Q652" s="7">
        <f>IF($W652="","",SUMIFS('Per Line'!$O$2:$O$3001,'Per Line'!$B$2:$B$3001,$B652,'Per Line'!$AB$2:$AB$3001,1))</f>
        <v/>
      </c>
      <c r="R652" s="7">
        <f>IF($W652="","",Q652*P652)</f>
        <v/>
      </c>
      <c r="S652" s="7">
        <f>IF($W652="","",R652+O652)</f>
        <v/>
      </c>
      <c r="T652" s="7">
        <f>IF($W652="","",V652-S652)</f>
        <v/>
      </c>
      <c r="U652" s="7">
        <f>IF($W652="","",V652-S652-K652)</f>
        <v/>
      </c>
      <c r="V652" s="7">
        <f>IF($W652="","",N652+Q652)</f>
        <v/>
      </c>
      <c r="W652" s="16">
        <f>IF(ROWS($W$2:$W652)&lt;=MAX('Per Line'!$AA$2:$AA$3001),MATCH(ROWS($W$2:$W652),'Per Line'!$AA$2:$AA$3001,0),"")</f>
        <v/>
      </c>
      <c r="X652">
        <f>IF($W652="","",D652&amp;"|"&amp;COUNTIF($D$2:$D652,D652))</f>
        <v/>
      </c>
    </row>
    <row r="653">
      <c r="A653" s="15" t="n"/>
      <c r="B653">
        <f>IF($W653="","",INDEX('Per Line'!$B$2:$B$3001,$W653)&amp;"")</f>
        <v/>
      </c>
      <c r="C653">
        <f>IF($W653="","",INDEX('Per Line'!$C$2:$C$3001,$W653)&amp;"")</f>
        <v/>
      </c>
      <c r="D653">
        <f>IF($W653="","",IF(OR(TRIM(E653)="Orient Insurance Company",TRIM(E653)="Allianz"),TRIM(E653),TRIM(F653)))</f>
        <v/>
      </c>
      <c r="E653">
        <f>IF($W653="","",INDEX('Per Line'!$E$2:$E$3001,$W653)&amp;"")</f>
        <v/>
      </c>
      <c r="F653">
        <f>IF($W653="","",INDEX('Per Line'!$D$2:$D$3001,$W653)&amp;"")</f>
        <v/>
      </c>
      <c r="G653">
        <f>IF($W653="","",INDEX('Per Line'!$F$2:$F$3001,$W653)&amp;"")</f>
        <v/>
      </c>
      <c r="H653">
        <f>IF($W653="","",INDEX('Per Line'!$G$2:$G$3001,$W653)&amp;"")</f>
        <v/>
      </c>
      <c r="I653">
        <f>IF($W653="","",INDEX('Per Line'!$H$2:$H$3001,$W653)&amp;"")</f>
        <v/>
      </c>
      <c r="J653">
        <f>IF($W653="","",INDEX('Per Line'!$I$2:$I$3001,$W653))</f>
        <v/>
      </c>
      <c r="K653" s="7">
        <f>IF($W653="","",J653*T653/100)</f>
        <v/>
      </c>
      <c r="L653" s="14">
        <f>IF($W653="","",INDEX('Per Line'!$V$2:$V$3001,$W653))</f>
        <v/>
      </c>
      <c r="M653">
        <f>IF($W653="","",IF(ISNUMBER(SEARCH("3&amp;12",SUBSTITUTE(F653," ",""))),Settings!$G$7,Settings!$C$7))</f>
        <v/>
      </c>
      <c r="N653" s="7">
        <f>IF($W653="","",SUMIFS('Per Line'!$O$2:$O$3001,'Per Line'!$B$2:$B$3001,$B653,'Per Line'!$AB$2:$AB$3001,0))</f>
        <v/>
      </c>
      <c r="O653" s="7">
        <f>IF($W653="","",N653*M653)</f>
        <v/>
      </c>
      <c r="P653">
        <f>IF($W653="","",IF(ISNUMBER(SEARCH("3&amp;12",SUBSTITUTE(F653," ",""))),Settings!$G$6,Settings!$C$6))</f>
        <v/>
      </c>
      <c r="Q653" s="7">
        <f>IF($W653="","",SUMIFS('Per Line'!$O$2:$O$3001,'Per Line'!$B$2:$B$3001,$B653,'Per Line'!$AB$2:$AB$3001,1))</f>
        <v/>
      </c>
      <c r="R653" s="7">
        <f>IF($W653="","",Q653*P653)</f>
        <v/>
      </c>
      <c r="S653" s="7">
        <f>IF($W653="","",R653+O653)</f>
        <v/>
      </c>
      <c r="T653" s="7">
        <f>IF($W653="","",V653-S653)</f>
        <v/>
      </c>
      <c r="U653" s="7">
        <f>IF($W653="","",V653-S653-K653)</f>
        <v/>
      </c>
      <c r="V653" s="7">
        <f>IF($W653="","",N653+Q653)</f>
        <v/>
      </c>
      <c r="W653" s="16">
        <f>IF(ROWS($W$2:$W653)&lt;=MAX('Per Line'!$AA$2:$AA$3001),MATCH(ROWS($W$2:$W653),'Per Line'!$AA$2:$AA$3001,0),"")</f>
        <v/>
      </c>
      <c r="X653">
        <f>IF($W653="","",D653&amp;"|"&amp;COUNTIF($D$2:$D653,D653))</f>
        <v/>
      </c>
    </row>
    <row r="654">
      <c r="A654" s="15" t="n"/>
      <c r="B654">
        <f>IF($W654="","",INDEX('Per Line'!$B$2:$B$3001,$W654)&amp;"")</f>
        <v/>
      </c>
      <c r="C654">
        <f>IF($W654="","",INDEX('Per Line'!$C$2:$C$3001,$W654)&amp;"")</f>
        <v/>
      </c>
      <c r="D654">
        <f>IF($W654="","",IF(OR(TRIM(E654)="Orient Insurance Company",TRIM(E654)="Allianz"),TRIM(E654),TRIM(F654)))</f>
        <v/>
      </c>
      <c r="E654">
        <f>IF($W654="","",INDEX('Per Line'!$E$2:$E$3001,$W654)&amp;"")</f>
        <v/>
      </c>
      <c r="F654">
        <f>IF($W654="","",INDEX('Per Line'!$D$2:$D$3001,$W654)&amp;"")</f>
        <v/>
      </c>
      <c r="G654">
        <f>IF($W654="","",INDEX('Per Line'!$F$2:$F$3001,$W654)&amp;"")</f>
        <v/>
      </c>
      <c r="H654">
        <f>IF($W654="","",INDEX('Per Line'!$G$2:$G$3001,$W654)&amp;"")</f>
        <v/>
      </c>
      <c r="I654">
        <f>IF($W654="","",INDEX('Per Line'!$H$2:$H$3001,$W654)&amp;"")</f>
        <v/>
      </c>
      <c r="J654">
        <f>IF($W654="","",INDEX('Per Line'!$I$2:$I$3001,$W654))</f>
        <v/>
      </c>
      <c r="K654" s="7">
        <f>IF($W654="","",J654*T654/100)</f>
        <v/>
      </c>
      <c r="L654" s="14">
        <f>IF($W654="","",INDEX('Per Line'!$V$2:$V$3001,$W654))</f>
        <v/>
      </c>
      <c r="M654">
        <f>IF($W654="","",IF(ISNUMBER(SEARCH("3&amp;12",SUBSTITUTE(F654," ",""))),Settings!$G$7,Settings!$C$7))</f>
        <v/>
      </c>
      <c r="N654" s="7">
        <f>IF($W654="","",SUMIFS('Per Line'!$O$2:$O$3001,'Per Line'!$B$2:$B$3001,$B654,'Per Line'!$AB$2:$AB$3001,0))</f>
        <v/>
      </c>
      <c r="O654" s="7">
        <f>IF($W654="","",N654*M654)</f>
        <v/>
      </c>
      <c r="P654">
        <f>IF($W654="","",IF(ISNUMBER(SEARCH("3&amp;12",SUBSTITUTE(F654," ",""))),Settings!$G$6,Settings!$C$6))</f>
        <v/>
      </c>
      <c r="Q654" s="7">
        <f>IF($W654="","",SUMIFS('Per Line'!$O$2:$O$3001,'Per Line'!$B$2:$B$3001,$B654,'Per Line'!$AB$2:$AB$3001,1))</f>
        <v/>
      </c>
      <c r="R654" s="7">
        <f>IF($W654="","",Q654*P654)</f>
        <v/>
      </c>
      <c r="S654" s="7">
        <f>IF($W654="","",R654+O654)</f>
        <v/>
      </c>
      <c r="T654" s="7">
        <f>IF($W654="","",V654-S654)</f>
        <v/>
      </c>
      <c r="U654" s="7">
        <f>IF($W654="","",V654-S654-K654)</f>
        <v/>
      </c>
      <c r="V654" s="7">
        <f>IF($W654="","",N654+Q654)</f>
        <v/>
      </c>
      <c r="W654" s="16">
        <f>IF(ROWS($W$2:$W654)&lt;=MAX('Per Line'!$AA$2:$AA$3001),MATCH(ROWS($W$2:$W654),'Per Line'!$AA$2:$AA$3001,0),"")</f>
        <v/>
      </c>
      <c r="X654">
        <f>IF($W654="","",D654&amp;"|"&amp;COUNTIF($D$2:$D654,D654))</f>
        <v/>
      </c>
    </row>
    <row r="655">
      <c r="A655" s="15" t="n"/>
      <c r="B655">
        <f>IF($W655="","",INDEX('Per Line'!$B$2:$B$3001,$W655)&amp;"")</f>
        <v/>
      </c>
      <c r="C655">
        <f>IF($W655="","",INDEX('Per Line'!$C$2:$C$3001,$W655)&amp;"")</f>
        <v/>
      </c>
      <c r="D655">
        <f>IF($W655="","",IF(OR(TRIM(E655)="Orient Insurance Company",TRIM(E655)="Allianz"),TRIM(E655),TRIM(F655)))</f>
        <v/>
      </c>
      <c r="E655">
        <f>IF($W655="","",INDEX('Per Line'!$E$2:$E$3001,$W655)&amp;"")</f>
        <v/>
      </c>
      <c r="F655">
        <f>IF($W655="","",INDEX('Per Line'!$D$2:$D$3001,$W655)&amp;"")</f>
        <v/>
      </c>
      <c r="G655">
        <f>IF($W655="","",INDEX('Per Line'!$F$2:$F$3001,$W655)&amp;"")</f>
        <v/>
      </c>
      <c r="H655">
        <f>IF($W655="","",INDEX('Per Line'!$G$2:$G$3001,$W655)&amp;"")</f>
        <v/>
      </c>
      <c r="I655">
        <f>IF($W655="","",INDEX('Per Line'!$H$2:$H$3001,$W655)&amp;"")</f>
        <v/>
      </c>
      <c r="J655">
        <f>IF($W655="","",INDEX('Per Line'!$I$2:$I$3001,$W655))</f>
        <v/>
      </c>
      <c r="K655" s="7">
        <f>IF($W655="","",J655*T655/100)</f>
        <v/>
      </c>
      <c r="L655" s="14">
        <f>IF($W655="","",INDEX('Per Line'!$V$2:$V$3001,$W655))</f>
        <v/>
      </c>
      <c r="M655">
        <f>IF($W655="","",IF(ISNUMBER(SEARCH("3&amp;12",SUBSTITUTE(F655," ",""))),Settings!$G$7,Settings!$C$7))</f>
        <v/>
      </c>
      <c r="N655" s="7">
        <f>IF($W655="","",SUMIFS('Per Line'!$O$2:$O$3001,'Per Line'!$B$2:$B$3001,$B655,'Per Line'!$AB$2:$AB$3001,0))</f>
        <v/>
      </c>
      <c r="O655" s="7">
        <f>IF($W655="","",N655*M655)</f>
        <v/>
      </c>
      <c r="P655">
        <f>IF($W655="","",IF(ISNUMBER(SEARCH("3&amp;12",SUBSTITUTE(F655," ",""))),Settings!$G$6,Settings!$C$6))</f>
        <v/>
      </c>
      <c r="Q655" s="7">
        <f>IF($W655="","",SUMIFS('Per Line'!$O$2:$O$3001,'Per Line'!$B$2:$B$3001,$B655,'Per Line'!$AB$2:$AB$3001,1))</f>
        <v/>
      </c>
      <c r="R655" s="7">
        <f>IF($W655="","",Q655*P655)</f>
        <v/>
      </c>
      <c r="S655" s="7">
        <f>IF($W655="","",R655+O655)</f>
        <v/>
      </c>
      <c r="T655" s="7">
        <f>IF($W655="","",V655-S655)</f>
        <v/>
      </c>
      <c r="U655" s="7">
        <f>IF($W655="","",V655-S655-K655)</f>
        <v/>
      </c>
      <c r="V655" s="7">
        <f>IF($W655="","",N655+Q655)</f>
        <v/>
      </c>
      <c r="W655" s="16">
        <f>IF(ROWS($W$2:$W655)&lt;=MAX('Per Line'!$AA$2:$AA$3001),MATCH(ROWS($W$2:$W655),'Per Line'!$AA$2:$AA$3001,0),"")</f>
        <v/>
      </c>
      <c r="X655">
        <f>IF($W655="","",D655&amp;"|"&amp;COUNTIF($D$2:$D655,D655))</f>
        <v/>
      </c>
    </row>
    <row r="656">
      <c r="A656" s="15" t="n"/>
      <c r="B656">
        <f>IF($W656="","",INDEX('Per Line'!$B$2:$B$3001,$W656)&amp;"")</f>
        <v/>
      </c>
      <c r="C656">
        <f>IF($W656="","",INDEX('Per Line'!$C$2:$C$3001,$W656)&amp;"")</f>
        <v/>
      </c>
      <c r="D656">
        <f>IF($W656="","",IF(OR(TRIM(E656)="Orient Insurance Company",TRIM(E656)="Allianz"),TRIM(E656),TRIM(F656)))</f>
        <v/>
      </c>
      <c r="E656">
        <f>IF($W656="","",INDEX('Per Line'!$E$2:$E$3001,$W656)&amp;"")</f>
        <v/>
      </c>
      <c r="F656">
        <f>IF($W656="","",INDEX('Per Line'!$D$2:$D$3001,$W656)&amp;"")</f>
        <v/>
      </c>
      <c r="G656">
        <f>IF($W656="","",INDEX('Per Line'!$F$2:$F$3001,$W656)&amp;"")</f>
        <v/>
      </c>
      <c r="H656">
        <f>IF($W656="","",INDEX('Per Line'!$G$2:$G$3001,$W656)&amp;"")</f>
        <v/>
      </c>
      <c r="I656">
        <f>IF($W656="","",INDEX('Per Line'!$H$2:$H$3001,$W656)&amp;"")</f>
        <v/>
      </c>
      <c r="J656">
        <f>IF($W656="","",INDEX('Per Line'!$I$2:$I$3001,$W656))</f>
        <v/>
      </c>
      <c r="K656" s="7">
        <f>IF($W656="","",J656*T656/100)</f>
        <v/>
      </c>
      <c r="L656" s="14">
        <f>IF($W656="","",INDEX('Per Line'!$V$2:$V$3001,$W656))</f>
        <v/>
      </c>
      <c r="M656">
        <f>IF($W656="","",IF(ISNUMBER(SEARCH("3&amp;12",SUBSTITUTE(F656," ",""))),Settings!$G$7,Settings!$C$7))</f>
        <v/>
      </c>
      <c r="N656" s="7">
        <f>IF($W656="","",SUMIFS('Per Line'!$O$2:$O$3001,'Per Line'!$B$2:$B$3001,$B656,'Per Line'!$AB$2:$AB$3001,0))</f>
        <v/>
      </c>
      <c r="O656" s="7">
        <f>IF($W656="","",N656*M656)</f>
        <v/>
      </c>
      <c r="P656">
        <f>IF($W656="","",IF(ISNUMBER(SEARCH("3&amp;12",SUBSTITUTE(F656," ",""))),Settings!$G$6,Settings!$C$6))</f>
        <v/>
      </c>
      <c r="Q656" s="7">
        <f>IF($W656="","",SUMIFS('Per Line'!$O$2:$O$3001,'Per Line'!$B$2:$B$3001,$B656,'Per Line'!$AB$2:$AB$3001,1))</f>
        <v/>
      </c>
      <c r="R656" s="7">
        <f>IF($W656="","",Q656*P656)</f>
        <v/>
      </c>
      <c r="S656" s="7">
        <f>IF($W656="","",R656+O656)</f>
        <v/>
      </c>
      <c r="T656" s="7">
        <f>IF($W656="","",V656-S656)</f>
        <v/>
      </c>
      <c r="U656" s="7">
        <f>IF($W656="","",V656-S656-K656)</f>
        <v/>
      </c>
      <c r="V656" s="7">
        <f>IF($W656="","",N656+Q656)</f>
        <v/>
      </c>
      <c r="W656" s="16">
        <f>IF(ROWS($W$2:$W656)&lt;=MAX('Per Line'!$AA$2:$AA$3001),MATCH(ROWS($W$2:$W656),'Per Line'!$AA$2:$AA$3001,0),"")</f>
        <v/>
      </c>
      <c r="X656">
        <f>IF($W656="","",D656&amp;"|"&amp;COUNTIF($D$2:$D656,D656))</f>
        <v/>
      </c>
    </row>
    <row r="657">
      <c r="A657" s="15" t="n"/>
      <c r="B657">
        <f>IF($W657="","",INDEX('Per Line'!$B$2:$B$3001,$W657)&amp;"")</f>
        <v/>
      </c>
      <c r="C657">
        <f>IF($W657="","",INDEX('Per Line'!$C$2:$C$3001,$W657)&amp;"")</f>
        <v/>
      </c>
      <c r="D657">
        <f>IF($W657="","",IF(OR(TRIM(E657)="Orient Insurance Company",TRIM(E657)="Allianz"),TRIM(E657),TRIM(F657)))</f>
        <v/>
      </c>
      <c r="E657">
        <f>IF($W657="","",INDEX('Per Line'!$E$2:$E$3001,$W657)&amp;"")</f>
        <v/>
      </c>
      <c r="F657">
        <f>IF($W657="","",INDEX('Per Line'!$D$2:$D$3001,$W657)&amp;"")</f>
        <v/>
      </c>
      <c r="G657">
        <f>IF($W657="","",INDEX('Per Line'!$F$2:$F$3001,$W657)&amp;"")</f>
        <v/>
      </c>
      <c r="H657">
        <f>IF($W657="","",INDEX('Per Line'!$G$2:$G$3001,$W657)&amp;"")</f>
        <v/>
      </c>
      <c r="I657">
        <f>IF($W657="","",INDEX('Per Line'!$H$2:$H$3001,$W657)&amp;"")</f>
        <v/>
      </c>
      <c r="J657">
        <f>IF($W657="","",INDEX('Per Line'!$I$2:$I$3001,$W657))</f>
        <v/>
      </c>
      <c r="K657" s="7">
        <f>IF($W657="","",J657*T657/100)</f>
        <v/>
      </c>
      <c r="L657" s="14">
        <f>IF($W657="","",INDEX('Per Line'!$V$2:$V$3001,$W657))</f>
        <v/>
      </c>
      <c r="M657">
        <f>IF($W657="","",IF(ISNUMBER(SEARCH("3&amp;12",SUBSTITUTE(F657," ",""))),Settings!$G$7,Settings!$C$7))</f>
        <v/>
      </c>
      <c r="N657" s="7">
        <f>IF($W657="","",SUMIFS('Per Line'!$O$2:$O$3001,'Per Line'!$B$2:$B$3001,$B657,'Per Line'!$AB$2:$AB$3001,0))</f>
        <v/>
      </c>
      <c r="O657" s="7">
        <f>IF($W657="","",N657*M657)</f>
        <v/>
      </c>
      <c r="P657">
        <f>IF($W657="","",IF(ISNUMBER(SEARCH("3&amp;12",SUBSTITUTE(F657," ",""))),Settings!$G$6,Settings!$C$6))</f>
        <v/>
      </c>
      <c r="Q657" s="7">
        <f>IF($W657="","",SUMIFS('Per Line'!$O$2:$O$3001,'Per Line'!$B$2:$B$3001,$B657,'Per Line'!$AB$2:$AB$3001,1))</f>
        <v/>
      </c>
      <c r="R657" s="7">
        <f>IF($W657="","",Q657*P657)</f>
        <v/>
      </c>
      <c r="S657" s="7">
        <f>IF($W657="","",R657+O657)</f>
        <v/>
      </c>
      <c r="T657" s="7">
        <f>IF($W657="","",V657-S657)</f>
        <v/>
      </c>
      <c r="U657" s="7">
        <f>IF($W657="","",V657-S657-K657)</f>
        <v/>
      </c>
      <c r="V657" s="7">
        <f>IF($W657="","",N657+Q657)</f>
        <v/>
      </c>
      <c r="W657" s="16">
        <f>IF(ROWS($W$2:$W657)&lt;=MAX('Per Line'!$AA$2:$AA$3001),MATCH(ROWS($W$2:$W657),'Per Line'!$AA$2:$AA$3001,0),"")</f>
        <v/>
      </c>
      <c r="X657">
        <f>IF($W657="","",D657&amp;"|"&amp;COUNTIF($D$2:$D657,D657))</f>
        <v/>
      </c>
    </row>
    <row r="658">
      <c r="A658" s="15" t="n"/>
      <c r="B658">
        <f>IF($W658="","",INDEX('Per Line'!$B$2:$B$3001,$W658)&amp;"")</f>
        <v/>
      </c>
      <c r="C658">
        <f>IF($W658="","",INDEX('Per Line'!$C$2:$C$3001,$W658)&amp;"")</f>
        <v/>
      </c>
      <c r="D658">
        <f>IF($W658="","",IF(OR(TRIM(E658)="Orient Insurance Company",TRIM(E658)="Allianz"),TRIM(E658),TRIM(F658)))</f>
        <v/>
      </c>
      <c r="E658">
        <f>IF($W658="","",INDEX('Per Line'!$E$2:$E$3001,$W658)&amp;"")</f>
        <v/>
      </c>
      <c r="F658">
        <f>IF($W658="","",INDEX('Per Line'!$D$2:$D$3001,$W658)&amp;"")</f>
        <v/>
      </c>
      <c r="G658">
        <f>IF($W658="","",INDEX('Per Line'!$F$2:$F$3001,$W658)&amp;"")</f>
        <v/>
      </c>
      <c r="H658">
        <f>IF($W658="","",INDEX('Per Line'!$G$2:$G$3001,$W658)&amp;"")</f>
        <v/>
      </c>
      <c r="I658">
        <f>IF($W658="","",INDEX('Per Line'!$H$2:$H$3001,$W658)&amp;"")</f>
        <v/>
      </c>
      <c r="J658">
        <f>IF($W658="","",INDEX('Per Line'!$I$2:$I$3001,$W658))</f>
        <v/>
      </c>
      <c r="K658" s="7">
        <f>IF($W658="","",J658*T658/100)</f>
        <v/>
      </c>
      <c r="L658" s="14">
        <f>IF($W658="","",INDEX('Per Line'!$V$2:$V$3001,$W658))</f>
        <v/>
      </c>
      <c r="M658">
        <f>IF($W658="","",IF(ISNUMBER(SEARCH("3&amp;12",SUBSTITUTE(F658," ",""))),Settings!$G$7,Settings!$C$7))</f>
        <v/>
      </c>
      <c r="N658" s="7">
        <f>IF($W658="","",SUMIFS('Per Line'!$O$2:$O$3001,'Per Line'!$B$2:$B$3001,$B658,'Per Line'!$AB$2:$AB$3001,0))</f>
        <v/>
      </c>
      <c r="O658" s="7">
        <f>IF($W658="","",N658*M658)</f>
        <v/>
      </c>
      <c r="P658">
        <f>IF($W658="","",IF(ISNUMBER(SEARCH("3&amp;12",SUBSTITUTE(F658," ",""))),Settings!$G$6,Settings!$C$6))</f>
        <v/>
      </c>
      <c r="Q658" s="7">
        <f>IF($W658="","",SUMIFS('Per Line'!$O$2:$O$3001,'Per Line'!$B$2:$B$3001,$B658,'Per Line'!$AB$2:$AB$3001,1))</f>
        <v/>
      </c>
      <c r="R658" s="7">
        <f>IF($W658="","",Q658*P658)</f>
        <v/>
      </c>
      <c r="S658" s="7">
        <f>IF($W658="","",R658+O658)</f>
        <v/>
      </c>
      <c r="T658" s="7">
        <f>IF($W658="","",V658-S658)</f>
        <v/>
      </c>
      <c r="U658" s="7">
        <f>IF($W658="","",V658-S658-K658)</f>
        <v/>
      </c>
      <c r="V658" s="7">
        <f>IF($W658="","",N658+Q658)</f>
        <v/>
      </c>
      <c r="W658" s="16">
        <f>IF(ROWS($W$2:$W658)&lt;=MAX('Per Line'!$AA$2:$AA$3001),MATCH(ROWS($W$2:$W658),'Per Line'!$AA$2:$AA$3001,0),"")</f>
        <v/>
      </c>
      <c r="X658">
        <f>IF($W658="","",D658&amp;"|"&amp;COUNTIF($D$2:$D658,D658))</f>
        <v/>
      </c>
    </row>
    <row r="659">
      <c r="A659" s="15" t="n"/>
      <c r="B659">
        <f>IF($W659="","",INDEX('Per Line'!$B$2:$B$3001,$W659)&amp;"")</f>
        <v/>
      </c>
      <c r="C659">
        <f>IF($W659="","",INDEX('Per Line'!$C$2:$C$3001,$W659)&amp;"")</f>
        <v/>
      </c>
      <c r="D659">
        <f>IF($W659="","",IF(OR(TRIM(E659)="Orient Insurance Company",TRIM(E659)="Allianz"),TRIM(E659),TRIM(F659)))</f>
        <v/>
      </c>
      <c r="E659">
        <f>IF($W659="","",INDEX('Per Line'!$E$2:$E$3001,$W659)&amp;"")</f>
        <v/>
      </c>
      <c r="F659">
        <f>IF($W659="","",INDEX('Per Line'!$D$2:$D$3001,$W659)&amp;"")</f>
        <v/>
      </c>
      <c r="G659">
        <f>IF($W659="","",INDEX('Per Line'!$F$2:$F$3001,$W659)&amp;"")</f>
        <v/>
      </c>
      <c r="H659">
        <f>IF($W659="","",INDEX('Per Line'!$G$2:$G$3001,$W659)&amp;"")</f>
        <v/>
      </c>
      <c r="I659">
        <f>IF($W659="","",INDEX('Per Line'!$H$2:$H$3001,$W659)&amp;"")</f>
        <v/>
      </c>
      <c r="J659">
        <f>IF($W659="","",INDEX('Per Line'!$I$2:$I$3001,$W659))</f>
        <v/>
      </c>
      <c r="K659" s="7">
        <f>IF($W659="","",J659*T659/100)</f>
        <v/>
      </c>
      <c r="L659" s="14">
        <f>IF($W659="","",INDEX('Per Line'!$V$2:$V$3001,$W659))</f>
        <v/>
      </c>
      <c r="M659">
        <f>IF($W659="","",IF(ISNUMBER(SEARCH("3&amp;12",SUBSTITUTE(F659," ",""))),Settings!$G$7,Settings!$C$7))</f>
        <v/>
      </c>
      <c r="N659" s="7">
        <f>IF($W659="","",SUMIFS('Per Line'!$O$2:$O$3001,'Per Line'!$B$2:$B$3001,$B659,'Per Line'!$AB$2:$AB$3001,0))</f>
        <v/>
      </c>
      <c r="O659" s="7">
        <f>IF($W659="","",N659*M659)</f>
        <v/>
      </c>
      <c r="P659">
        <f>IF($W659="","",IF(ISNUMBER(SEARCH("3&amp;12",SUBSTITUTE(F659," ",""))),Settings!$G$6,Settings!$C$6))</f>
        <v/>
      </c>
      <c r="Q659" s="7">
        <f>IF($W659="","",SUMIFS('Per Line'!$O$2:$O$3001,'Per Line'!$B$2:$B$3001,$B659,'Per Line'!$AB$2:$AB$3001,1))</f>
        <v/>
      </c>
      <c r="R659" s="7">
        <f>IF($W659="","",Q659*P659)</f>
        <v/>
      </c>
      <c r="S659" s="7">
        <f>IF($W659="","",R659+O659)</f>
        <v/>
      </c>
      <c r="T659" s="7">
        <f>IF($W659="","",V659-S659)</f>
        <v/>
      </c>
      <c r="U659" s="7">
        <f>IF($W659="","",V659-S659-K659)</f>
        <v/>
      </c>
      <c r="V659" s="7">
        <f>IF($W659="","",N659+Q659)</f>
        <v/>
      </c>
      <c r="W659" s="16">
        <f>IF(ROWS($W$2:$W659)&lt;=MAX('Per Line'!$AA$2:$AA$3001),MATCH(ROWS($W$2:$W659),'Per Line'!$AA$2:$AA$3001,0),"")</f>
        <v/>
      </c>
      <c r="X659">
        <f>IF($W659="","",D659&amp;"|"&amp;COUNTIF($D$2:$D659,D659))</f>
        <v/>
      </c>
    </row>
    <row r="660">
      <c r="A660" s="15" t="n"/>
      <c r="B660">
        <f>IF($W660="","",INDEX('Per Line'!$B$2:$B$3001,$W660)&amp;"")</f>
        <v/>
      </c>
      <c r="C660">
        <f>IF($W660="","",INDEX('Per Line'!$C$2:$C$3001,$W660)&amp;"")</f>
        <v/>
      </c>
      <c r="D660">
        <f>IF($W660="","",IF(OR(TRIM(E660)="Orient Insurance Company",TRIM(E660)="Allianz"),TRIM(E660),TRIM(F660)))</f>
        <v/>
      </c>
      <c r="E660">
        <f>IF($W660="","",INDEX('Per Line'!$E$2:$E$3001,$W660)&amp;"")</f>
        <v/>
      </c>
      <c r="F660">
        <f>IF($W660="","",INDEX('Per Line'!$D$2:$D$3001,$W660)&amp;"")</f>
        <v/>
      </c>
      <c r="G660">
        <f>IF($W660="","",INDEX('Per Line'!$F$2:$F$3001,$W660)&amp;"")</f>
        <v/>
      </c>
      <c r="H660">
        <f>IF($W660="","",INDEX('Per Line'!$G$2:$G$3001,$W660)&amp;"")</f>
        <v/>
      </c>
      <c r="I660">
        <f>IF($W660="","",INDEX('Per Line'!$H$2:$H$3001,$W660)&amp;"")</f>
        <v/>
      </c>
      <c r="J660">
        <f>IF($W660="","",INDEX('Per Line'!$I$2:$I$3001,$W660))</f>
        <v/>
      </c>
      <c r="K660" s="7">
        <f>IF($W660="","",J660*T660/100)</f>
        <v/>
      </c>
      <c r="L660" s="14">
        <f>IF($W660="","",INDEX('Per Line'!$V$2:$V$3001,$W660))</f>
        <v/>
      </c>
      <c r="M660">
        <f>IF($W660="","",IF(ISNUMBER(SEARCH("3&amp;12",SUBSTITUTE(F660," ",""))),Settings!$G$7,Settings!$C$7))</f>
        <v/>
      </c>
      <c r="N660" s="7">
        <f>IF($W660="","",SUMIFS('Per Line'!$O$2:$O$3001,'Per Line'!$B$2:$B$3001,$B660,'Per Line'!$AB$2:$AB$3001,0))</f>
        <v/>
      </c>
      <c r="O660" s="7">
        <f>IF($W660="","",N660*M660)</f>
        <v/>
      </c>
      <c r="P660">
        <f>IF($W660="","",IF(ISNUMBER(SEARCH("3&amp;12",SUBSTITUTE(F660," ",""))),Settings!$G$6,Settings!$C$6))</f>
        <v/>
      </c>
      <c r="Q660" s="7">
        <f>IF($W660="","",SUMIFS('Per Line'!$O$2:$O$3001,'Per Line'!$B$2:$B$3001,$B660,'Per Line'!$AB$2:$AB$3001,1))</f>
        <v/>
      </c>
      <c r="R660" s="7">
        <f>IF($W660="","",Q660*P660)</f>
        <v/>
      </c>
      <c r="S660" s="7">
        <f>IF($W660="","",R660+O660)</f>
        <v/>
      </c>
      <c r="T660" s="7">
        <f>IF($W660="","",V660-S660)</f>
        <v/>
      </c>
      <c r="U660" s="7">
        <f>IF($W660="","",V660-S660-K660)</f>
        <v/>
      </c>
      <c r="V660" s="7">
        <f>IF($W660="","",N660+Q660)</f>
        <v/>
      </c>
      <c r="W660" s="16">
        <f>IF(ROWS($W$2:$W660)&lt;=MAX('Per Line'!$AA$2:$AA$3001),MATCH(ROWS($W$2:$W660),'Per Line'!$AA$2:$AA$3001,0),"")</f>
        <v/>
      </c>
      <c r="X660">
        <f>IF($W660="","",D660&amp;"|"&amp;COUNTIF($D$2:$D660,D660))</f>
        <v/>
      </c>
    </row>
    <row r="661">
      <c r="A661" s="15" t="n"/>
      <c r="B661">
        <f>IF($W661="","",INDEX('Per Line'!$B$2:$B$3001,$W661)&amp;"")</f>
        <v/>
      </c>
      <c r="C661">
        <f>IF($W661="","",INDEX('Per Line'!$C$2:$C$3001,$W661)&amp;"")</f>
        <v/>
      </c>
      <c r="D661">
        <f>IF($W661="","",IF(OR(TRIM(E661)="Orient Insurance Company",TRIM(E661)="Allianz"),TRIM(E661),TRIM(F661)))</f>
        <v/>
      </c>
      <c r="E661">
        <f>IF($W661="","",INDEX('Per Line'!$E$2:$E$3001,$W661)&amp;"")</f>
        <v/>
      </c>
      <c r="F661">
        <f>IF($W661="","",INDEX('Per Line'!$D$2:$D$3001,$W661)&amp;"")</f>
        <v/>
      </c>
      <c r="G661">
        <f>IF($W661="","",INDEX('Per Line'!$F$2:$F$3001,$W661)&amp;"")</f>
        <v/>
      </c>
      <c r="H661">
        <f>IF($W661="","",INDEX('Per Line'!$G$2:$G$3001,$W661)&amp;"")</f>
        <v/>
      </c>
      <c r="I661">
        <f>IF($W661="","",INDEX('Per Line'!$H$2:$H$3001,$W661)&amp;"")</f>
        <v/>
      </c>
      <c r="J661">
        <f>IF($W661="","",INDEX('Per Line'!$I$2:$I$3001,$W661))</f>
        <v/>
      </c>
      <c r="K661" s="7">
        <f>IF($W661="","",J661*T661/100)</f>
        <v/>
      </c>
      <c r="L661" s="14">
        <f>IF($W661="","",INDEX('Per Line'!$V$2:$V$3001,$W661))</f>
        <v/>
      </c>
      <c r="M661">
        <f>IF($W661="","",IF(ISNUMBER(SEARCH("3&amp;12",SUBSTITUTE(F661," ",""))),Settings!$G$7,Settings!$C$7))</f>
        <v/>
      </c>
      <c r="N661" s="7">
        <f>IF($W661="","",SUMIFS('Per Line'!$O$2:$O$3001,'Per Line'!$B$2:$B$3001,$B661,'Per Line'!$AB$2:$AB$3001,0))</f>
        <v/>
      </c>
      <c r="O661" s="7">
        <f>IF($W661="","",N661*M661)</f>
        <v/>
      </c>
      <c r="P661">
        <f>IF($W661="","",IF(ISNUMBER(SEARCH("3&amp;12",SUBSTITUTE(F661," ",""))),Settings!$G$6,Settings!$C$6))</f>
        <v/>
      </c>
      <c r="Q661" s="7">
        <f>IF($W661="","",SUMIFS('Per Line'!$O$2:$O$3001,'Per Line'!$B$2:$B$3001,$B661,'Per Line'!$AB$2:$AB$3001,1))</f>
        <v/>
      </c>
      <c r="R661" s="7">
        <f>IF($W661="","",Q661*P661)</f>
        <v/>
      </c>
      <c r="S661" s="7">
        <f>IF($W661="","",R661+O661)</f>
        <v/>
      </c>
      <c r="T661" s="7">
        <f>IF($W661="","",V661-S661)</f>
        <v/>
      </c>
      <c r="U661" s="7">
        <f>IF($W661="","",V661-S661-K661)</f>
        <v/>
      </c>
      <c r="V661" s="7">
        <f>IF($W661="","",N661+Q661)</f>
        <v/>
      </c>
      <c r="W661" s="16">
        <f>IF(ROWS($W$2:$W661)&lt;=MAX('Per Line'!$AA$2:$AA$3001),MATCH(ROWS($W$2:$W661),'Per Line'!$AA$2:$AA$3001,0),"")</f>
        <v/>
      </c>
      <c r="X661">
        <f>IF($W661="","",D661&amp;"|"&amp;COUNTIF($D$2:$D661,D661))</f>
        <v/>
      </c>
    </row>
    <row r="662">
      <c r="A662" s="15" t="n"/>
      <c r="B662">
        <f>IF($W662="","",INDEX('Per Line'!$B$2:$B$3001,$W662)&amp;"")</f>
        <v/>
      </c>
      <c r="C662">
        <f>IF($W662="","",INDEX('Per Line'!$C$2:$C$3001,$W662)&amp;"")</f>
        <v/>
      </c>
      <c r="D662">
        <f>IF($W662="","",IF(OR(TRIM(E662)="Orient Insurance Company",TRIM(E662)="Allianz"),TRIM(E662),TRIM(F662)))</f>
        <v/>
      </c>
      <c r="E662">
        <f>IF($W662="","",INDEX('Per Line'!$E$2:$E$3001,$W662)&amp;"")</f>
        <v/>
      </c>
      <c r="F662">
        <f>IF($W662="","",INDEX('Per Line'!$D$2:$D$3001,$W662)&amp;"")</f>
        <v/>
      </c>
      <c r="G662">
        <f>IF($W662="","",INDEX('Per Line'!$F$2:$F$3001,$W662)&amp;"")</f>
        <v/>
      </c>
      <c r="H662">
        <f>IF($W662="","",INDEX('Per Line'!$G$2:$G$3001,$W662)&amp;"")</f>
        <v/>
      </c>
      <c r="I662">
        <f>IF($W662="","",INDEX('Per Line'!$H$2:$H$3001,$W662)&amp;"")</f>
        <v/>
      </c>
      <c r="J662">
        <f>IF($W662="","",INDEX('Per Line'!$I$2:$I$3001,$W662))</f>
        <v/>
      </c>
      <c r="K662" s="7">
        <f>IF($W662="","",J662*T662/100)</f>
        <v/>
      </c>
      <c r="L662" s="14">
        <f>IF($W662="","",INDEX('Per Line'!$V$2:$V$3001,$W662))</f>
        <v/>
      </c>
      <c r="M662">
        <f>IF($W662="","",IF(ISNUMBER(SEARCH("3&amp;12",SUBSTITUTE(F662," ",""))),Settings!$G$7,Settings!$C$7))</f>
        <v/>
      </c>
      <c r="N662" s="7">
        <f>IF($W662="","",SUMIFS('Per Line'!$O$2:$O$3001,'Per Line'!$B$2:$B$3001,$B662,'Per Line'!$AB$2:$AB$3001,0))</f>
        <v/>
      </c>
      <c r="O662" s="7">
        <f>IF($W662="","",N662*M662)</f>
        <v/>
      </c>
      <c r="P662">
        <f>IF($W662="","",IF(ISNUMBER(SEARCH("3&amp;12",SUBSTITUTE(F662," ",""))),Settings!$G$6,Settings!$C$6))</f>
        <v/>
      </c>
      <c r="Q662" s="7">
        <f>IF($W662="","",SUMIFS('Per Line'!$O$2:$O$3001,'Per Line'!$B$2:$B$3001,$B662,'Per Line'!$AB$2:$AB$3001,1))</f>
        <v/>
      </c>
      <c r="R662" s="7">
        <f>IF($W662="","",Q662*P662)</f>
        <v/>
      </c>
      <c r="S662" s="7">
        <f>IF($W662="","",R662+O662)</f>
        <v/>
      </c>
      <c r="T662" s="7">
        <f>IF($W662="","",V662-S662)</f>
        <v/>
      </c>
      <c r="U662" s="7">
        <f>IF($W662="","",V662-S662-K662)</f>
        <v/>
      </c>
      <c r="V662" s="7">
        <f>IF($W662="","",N662+Q662)</f>
        <v/>
      </c>
      <c r="W662" s="16">
        <f>IF(ROWS($W$2:$W662)&lt;=MAX('Per Line'!$AA$2:$AA$3001),MATCH(ROWS($W$2:$W662),'Per Line'!$AA$2:$AA$3001,0),"")</f>
        <v/>
      </c>
      <c r="X662">
        <f>IF($W662="","",D662&amp;"|"&amp;COUNTIF($D$2:$D662,D662))</f>
        <v/>
      </c>
    </row>
    <row r="663">
      <c r="A663" s="15" t="n"/>
      <c r="B663">
        <f>IF($W663="","",INDEX('Per Line'!$B$2:$B$3001,$W663)&amp;"")</f>
        <v/>
      </c>
      <c r="C663">
        <f>IF($W663="","",INDEX('Per Line'!$C$2:$C$3001,$W663)&amp;"")</f>
        <v/>
      </c>
      <c r="D663">
        <f>IF($W663="","",IF(OR(TRIM(E663)="Orient Insurance Company",TRIM(E663)="Allianz"),TRIM(E663),TRIM(F663)))</f>
        <v/>
      </c>
      <c r="E663">
        <f>IF($W663="","",INDEX('Per Line'!$E$2:$E$3001,$W663)&amp;"")</f>
        <v/>
      </c>
      <c r="F663">
        <f>IF($W663="","",INDEX('Per Line'!$D$2:$D$3001,$W663)&amp;"")</f>
        <v/>
      </c>
      <c r="G663">
        <f>IF($W663="","",INDEX('Per Line'!$F$2:$F$3001,$W663)&amp;"")</f>
        <v/>
      </c>
      <c r="H663">
        <f>IF($W663="","",INDEX('Per Line'!$G$2:$G$3001,$W663)&amp;"")</f>
        <v/>
      </c>
      <c r="I663">
        <f>IF($W663="","",INDEX('Per Line'!$H$2:$H$3001,$W663)&amp;"")</f>
        <v/>
      </c>
      <c r="J663">
        <f>IF($W663="","",INDEX('Per Line'!$I$2:$I$3001,$W663))</f>
        <v/>
      </c>
      <c r="K663" s="7">
        <f>IF($W663="","",J663*T663/100)</f>
        <v/>
      </c>
      <c r="L663" s="14">
        <f>IF($W663="","",INDEX('Per Line'!$V$2:$V$3001,$W663))</f>
        <v/>
      </c>
      <c r="M663">
        <f>IF($W663="","",IF(ISNUMBER(SEARCH("3&amp;12",SUBSTITUTE(F663," ",""))),Settings!$G$7,Settings!$C$7))</f>
        <v/>
      </c>
      <c r="N663" s="7">
        <f>IF($W663="","",SUMIFS('Per Line'!$O$2:$O$3001,'Per Line'!$B$2:$B$3001,$B663,'Per Line'!$AB$2:$AB$3001,0))</f>
        <v/>
      </c>
      <c r="O663" s="7">
        <f>IF($W663="","",N663*M663)</f>
        <v/>
      </c>
      <c r="P663">
        <f>IF($W663="","",IF(ISNUMBER(SEARCH("3&amp;12",SUBSTITUTE(F663," ",""))),Settings!$G$6,Settings!$C$6))</f>
        <v/>
      </c>
      <c r="Q663" s="7">
        <f>IF($W663="","",SUMIFS('Per Line'!$O$2:$O$3001,'Per Line'!$B$2:$B$3001,$B663,'Per Line'!$AB$2:$AB$3001,1))</f>
        <v/>
      </c>
      <c r="R663" s="7">
        <f>IF($W663="","",Q663*P663)</f>
        <v/>
      </c>
      <c r="S663" s="7">
        <f>IF($W663="","",R663+O663)</f>
        <v/>
      </c>
      <c r="T663" s="7">
        <f>IF($W663="","",V663-S663)</f>
        <v/>
      </c>
      <c r="U663" s="7">
        <f>IF($W663="","",V663-S663-K663)</f>
        <v/>
      </c>
      <c r="V663" s="7">
        <f>IF($W663="","",N663+Q663)</f>
        <v/>
      </c>
      <c r="W663" s="16">
        <f>IF(ROWS($W$2:$W663)&lt;=MAX('Per Line'!$AA$2:$AA$3001),MATCH(ROWS($W$2:$W663),'Per Line'!$AA$2:$AA$3001,0),"")</f>
        <v/>
      </c>
      <c r="X663">
        <f>IF($W663="","",D663&amp;"|"&amp;COUNTIF($D$2:$D663,D663))</f>
        <v/>
      </c>
    </row>
    <row r="664">
      <c r="A664" s="15" t="n"/>
      <c r="B664">
        <f>IF($W664="","",INDEX('Per Line'!$B$2:$B$3001,$W664)&amp;"")</f>
        <v/>
      </c>
      <c r="C664">
        <f>IF($W664="","",INDEX('Per Line'!$C$2:$C$3001,$W664)&amp;"")</f>
        <v/>
      </c>
      <c r="D664">
        <f>IF($W664="","",IF(OR(TRIM(E664)="Orient Insurance Company",TRIM(E664)="Allianz"),TRIM(E664),TRIM(F664)))</f>
        <v/>
      </c>
      <c r="E664">
        <f>IF($W664="","",INDEX('Per Line'!$E$2:$E$3001,$W664)&amp;"")</f>
        <v/>
      </c>
      <c r="F664">
        <f>IF($W664="","",INDEX('Per Line'!$D$2:$D$3001,$W664)&amp;"")</f>
        <v/>
      </c>
      <c r="G664">
        <f>IF($W664="","",INDEX('Per Line'!$F$2:$F$3001,$W664)&amp;"")</f>
        <v/>
      </c>
      <c r="H664">
        <f>IF($W664="","",INDEX('Per Line'!$G$2:$G$3001,$W664)&amp;"")</f>
        <v/>
      </c>
      <c r="I664">
        <f>IF($W664="","",INDEX('Per Line'!$H$2:$H$3001,$W664)&amp;"")</f>
        <v/>
      </c>
      <c r="J664">
        <f>IF($W664="","",INDEX('Per Line'!$I$2:$I$3001,$W664))</f>
        <v/>
      </c>
      <c r="K664" s="7">
        <f>IF($W664="","",J664*T664/100)</f>
        <v/>
      </c>
      <c r="L664" s="14">
        <f>IF($W664="","",INDEX('Per Line'!$V$2:$V$3001,$W664))</f>
        <v/>
      </c>
      <c r="M664">
        <f>IF($W664="","",IF(ISNUMBER(SEARCH("3&amp;12",SUBSTITUTE(F664," ",""))),Settings!$G$7,Settings!$C$7))</f>
        <v/>
      </c>
      <c r="N664" s="7">
        <f>IF($W664="","",SUMIFS('Per Line'!$O$2:$O$3001,'Per Line'!$B$2:$B$3001,$B664,'Per Line'!$AB$2:$AB$3001,0))</f>
        <v/>
      </c>
      <c r="O664" s="7">
        <f>IF($W664="","",N664*M664)</f>
        <v/>
      </c>
      <c r="P664">
        <f>IF($W664="","",IF(ISNUMBER(SEARCH("3&amp;12",SUBSTITUTE(F664," ",""))),Settings!$G$6,Settings!$C$6))</f>
        <v/>
      </c>
      <c r="Q664" s="7">
        <f>IF($W664="","",SUMIFS('Per Line'!$O$2:$O$3001,'Per Line'!$B$2:$B$3001,$B664,'Per Line'!$AB$2:$AB$3001,1))</f>
        <v/>
      </c>
      <c r="R664" s="7">
        <f>IF($W664="","",Q664*P664)</f>
        <v/>
      </c>
      <c r="S664" s="7">
        <f>IF($W664="","",R664+O664)</f>
        <v/>
      </c>
      <c r="T664" s="7">
        <f>IF($W664="","",V664-S664)</f>
        <v/>
      </c>
      <c r="U664" s="7">
        <f>IF($W664="","",V664-S664-K664)</f>
        <v/>
      </c>
      <c r="V664" s="7">
        <f>IF($W664="","",N664+Q664)</f>
        <v/>
      </c>
      <c r="W664" s="16">
        <f>IF(ROWS($W$2:$W664)&lt;=MAX('Per Line'!$AA$2:$AA$3001),MATCH(ROWS($W$2:$W664),'Per Line'!$AA$2:$AA$3001,0),"")</f>
        <v/>
      </c>
      <c r="X664">
        <f>IF($W664="","",D664&amp;"|"&amp;COUNTIF($D$2:$D664,D664))</f>
        <v/>
      </c>
    </row>
    <row r="665">
      <c r="A665" s="15" t="n"/>
      <c r="B665">
        <f>IF($W665="","",INDEX('Per Line'!$B$2:$B$3001,$W665)&amp;"")</f>
        <v/>
      </c>
      <c r="C665">
        <f>IF($W665="","",INDEX('Per Line'!$C$2:$C$3001,$W665)&amp;"")</f>
        <v/>
      </c>
      <c r="D665">
        <f>IF($W665="","",IF(OR(TRIM(E665)="Orient Insurance Company",TRIM(E665)="Allianz"),TRIM(E665),TRIM(F665)))</f>
        <v/>
      </c>
      <c r="E665">
        <f>IF($W665="","",INDEX('Per Line'!$E$2:$E$3001,$W665)&amp;"")</f>
        <v/>
      </c>
      <c r="F665">
        <f>IF($W665="","",INDEX('Per Line'!$D$2:$D$3001,$W665)&amp;"")</f>
        <v/>
      </c>
      <c r="G665">
        <f>IF($W665="","",INDEX('Per Line'!$F$2:$F$3001,$W665)&amp;"")</f>
        <v/>
      </c>
      <c r="H665">
        <f>IF($W665="","",INDEX('Per Line'!$G$2:$G$3001,$W665)&amp;"")</f>
        <v/>
      </c>
      <c r="I665">
        <f>IF($W665="","",INDEX('Per Line'!$H$2:$H$3001,$W665)&amp;"")</f>
        <v/>
      </c>
      <c r="J665">
        <f>IF($W665="","",INDEX('Per Line'!$I$2:$I$3001,$W665))</f>
        <v/>
      </c>
      <c r="K665" s="7">
        <f>IF($W665="","",J665*T665/100)</f>
        <v/>
      </c>
      <c r="L665" s="14">
        <f>IF($W665="","",INDEX('Per Line'!$V$2:$V$3001,$W665))</f>
        <v/>
      </c>
      <c r="M665">
        <f>IF($W665="","",IF(ISNUMBER(SEARCH("3&amp;12",SUBSTITUTE(F665," ",""))),Settings!$G$7,Settings!$C$7))</f>
        <v/>
      </c>
      <c r="N665" s="7">
        <f>IF($W665="","",SUMIFS('Per Line'!$O$2:$O$3001,'Per Line'!$B$2:$B$3001,$B665,'Per Line'!$AB$2:$AB$3001,0))</f>
        <v/>
      </c>
      <c r="O665" s="7">
        <f>IF($W665="","",N665*M665)</f>
        <v/>
      </c>
      <c r="P665">
        <f>IF($W665="","",IF(ISNUMBER(SEARCH("3&amp;12",SUBSTITUTE(F665," ",""))),Settings!$G$6,Settings!$C$6))</f>
        <v/>
      </c>
      <c r="Q665" s="7">
        <f>IF($W665="","",SUMIFS('Per Line'!$O$2:$O$3001,'Per Line'!$B$2:$B$3001,$B665,'Per Line'!$AB$2:$AB$3001,1))</f>
        <v/>
      </c>
      <c r="R665" s="7">
        <f>IF($W665="","",Q665*P665)</f>
        <v/>
      </c>
      <c r="S665" s="7">
        <f>IF($W665="","",R665+O665)</f>
        <v/>
      </c>
      <c r="T665" s="7">
        <f>IF($W665="","",V665-S665)</f>
        <v/>
      </c>
      <c r="U665" s="7">
        <f>IF($W665="","",V665-S665-K665)</f>
        <v/>
      </c>
      <c r="V665" s="7">
        <f>IF($W665="","",N665+Q665)</f>
        <v/>
      </c>
      <c r="W665" s="16">
        <f>IF(ROWS($W$2:$W665)&lt;=MAX('Per Line'!$AA$2:$AA$3001),MATCH(ROWS($W$2:$W665),'Per Line'!$AA$2:$AA$3001,0),"")</f>
        <v/>
      </c>
      <c r="X665">
        <f>IF($W665="","",D665&amp;"|"&amp;COUNTIF($D$2:$D665,D665))</f>
        <v/>
      </c>
    </row>
    <row r="666">
      <c r="A666" s="15" t="n"/>
      <c r="B666">
        <f>IF($W666="","",INDEX('Per Line'!$B$2:$B$3001,$W666)&amp;"")</f>
        <v/>
      </c>
      <c r="C666">
        <f>IF($W666="","",INDEX('Per Line'!$C$2:$C$3001,$W666)&amp;"")</f>
        <v/>
      </c>
      <c r="D666">
        <f>IF($W666="","",IF(OR(TRIM(E666)="Orient Insurance Company",TRIM(E666)="Allianz"),TRIM(E666),TRIM(F666)))</f>
        <v/>
      </c>
      <c r="E666">
        <f>IF($W666="","",INDEX('Per Line'!$E$2:$E$3001,$W666)&amp;"")</f>
        <v/>
      </c>
      <c r="F666">
        <f>IF($W666="","",INDEX('Per Line'!$D$2:$D$3001,$W666)&amp;"")</f>
        <v/>
      </c>
      <c r="G666">
        <f>IF($W666="","",INDEX('Per Line'!$F$2:$F$3001,$W666)&amp;"")</f>
        <v/>
      </c>
      <c r="H666">
        <f>IF($W666="","",INDEX('Per Line'!$G$2:$G$3001,$W666)&amp;"")</f>
        <v/>
      </c>
      <c r="I666">
        <f>IF($W666="","",INDEX('Per Line'!$H$2:$H$3001,$W666)&amp;"")</f>
        <v/>
      </c>
      <c r="J666">
        <f>IF($W666="","",INDEX('Per Line'!$I$2:$I$3001,$W666))</f>
        <v/>
      </c>
      <c r="K666" s="7">
        <f>IF($W666="","",J666*T666/100)</f>
        <v/>
      </c>
      <c r="L666" s="14">
        <f>IF($W666="","",INDEX('Per Line'!$V$2:$V$3001,$W666))</f>
        <v/>
      </c>
      <c r="M666">
        <f>IF($W666="","",IF(ISNUMBER(SEARCH("3&amp;12",SUBSTITUTE(F666," ",""))),Settings!$G$7,Settings!$C$7))</f>
        <v/>
      </c>
      <c r="N666" s="7">
        <f>IF($W666="","",SUMIFS('Per Line'!$O$2:$O$3001,'Per Line'!$B$2:$B$3001,$B666,'Per Line'!$AB$2:$AB$3001,0))</f>
        <v/>
      </c>
      <c r="O666" s="7">
        <f>IF($W666="","",N666*M666)</f>
        <v/>
      </c>
      <c r="P666">
        <f>IF($W666="","",IF(ISNUMBER(SEARCH("3&amp;12",SUBSTITUTE(F666," ",""))),Settings!$G$6,Settings!$C$6))</f>
        <v/>
      </c>
      <c r="Q666" s="7">
        <f>IF($W666="","",SUMIFS('Per Line'!$O$2:$O$3001,'Per Line'!$B$2:$B$3001,$B666,'Per Line'!$AB$2:$AB$3001,1))</f>
        <v/>
      </c>
      <c r="R666" s="7">
        <f>IF($W666="","",Q666*P666)</f>
        <v/>
      </c>
      <c r="S666" s="7">
        <f>IF($W666="","",R666+O666)</f>
        <v/>
      </c>
      <c r="T666" s="7">
        <f>IF($W666="","",V666-S666)</f>
        <v/>
      </c>
      <c r="U666" s="7">
        <f>IF($W666="","",V666-S666-K666)</f>
        <v/>
      </c>
      <c r="V666" s="7">
        <f>IF($W666="","",N666+Q666)</f>
        <v/>
      </c>
      <c r="W666" s="16">
        <f>IF(ROWS($W$2:$W666)&lt;=MAX('Per Line'!$AA$2:$AA$3001),MATCH(ROWS($W$2:$W666),'Per Line'!$AA$2:$AA$3001,0),"")</f>
        <v/>
      </c>
      <c r="X666">
        <f>IF($W666="","",D666&amp;"|"&amp;COUNTIF($D$2:$D666,D666))</f>
        <v/>
      </c>
    </row>
    <row r="667">
      <c r="A667" s="15" t="n"/>
      <c r="B667">
        <f>IF($W667="","",INDEX('Per Line'!$B$2:$B$3001,$W667)&amp;"")</f>
        <v/>
      </c>
      <c r="C667">
        <f>IF($W667="","",INDEX('Per Line'!$C$2:$C$3001,$W667)&amp;"")</f>
        <v/>
      </c>
      <c r="D667">
        <f>IF($W667="","",IF(OR(TRIM(E667)="Orient Insurance Company",TRIM(E667)="Allianz"),TRIM(E667),TRIM(F667)))</f>
        <v/>
      </c>
      <c r="E667">
        <f>IF($W667="","",INDEX('Per Line'!$E$2:$E$3001,$W667)&amp;"")</f>
        <v/>
      </c>
      <c r="F667">
        <f>IF($W667="","",INDEX('Per Line'!$D$2:$D$3001,$W667)&amp;"")</f>
        <v/>
      </c>
      <c r="G667">
        <f>IF($W667="","",INDEX('Per Line'!$F$2:$F$3001,$W667)&amp;"")</f>
        <v/>
      </c>
      <c r="H667">
        <f>IF($W667="","",INDEX('Per Line'!$G$2:$G$3001,$W667)&amp;"")</f>
        <v/>
      </c>
      <c r="I667">
        <f>IF($W667="","",INDEX('Per Line'!$H$2:$H$3001,$W667)&amp;"")</f>
        <v/>
      </c>
      <c r="J667">
        <f>IF($W667="","",INDEX('Per Line'!$I$2:$I$3001,$W667))</f>
        <v/>
      </c>
      <c r="K667" s="7">
        <f>IF($W667="","",J667*T667/100)</f>
        <v/>
      </c>
      <c r="L667" s="14">
        <f>IF($W667="","",INDEX('Per Line'!$V$2:$V$3001,$W667))</f>
        <v/>
      </c>
      <c r="M667">
        <f>IF($W667="","",IF(ISNUMBER(SEARCH("3&amp;12",SUBSTITUTE(F667," ",""))),Settings!$G$7,Settings!$C$7))</f>
        <v/>
      </c>
      <c r="N667" s="7">
        <f>IF($W667="","",SUMIFS('Per Line'!$O$2:$O$3001,'Per Line'!$B$2:$B$3001,$B667,'Per Line'!$AB$2:$AB$3001,0))</f>
        <v/>
      </c>
      <c r="O667" s="7">
        <f>IF($W667="","",N667*M667)</f>
        <v/>
      </c>
      <c r="P667">
        <f>IF($W667="","",IF(ISNUMBER(SEARCH("3&amp;12",SUBSTITUTE(F667," ",""))),Settings!$G$6,Settings!$C$6))</f>
        <v/>
      </c>
      <c r="Q667" s="7">
        <f>IF($W667="","",SUMIFS('Per Line'!$O$2:$O$3001,'Per Line'!$B$2:$B$3001,$B667,'Per Line'!$AB$2:$AB$3001,1))</f>
        <v/>
      </c>
      <c r="R667" s="7">
        <f>IF($W667="","",Q667*P667)</f>
        <v/>
      </c>
      <c r="S667" s="7">
        <f>IF($W667="","",R667+O667)</f>
        <v/>
      </c>
      <c r="T667" s="7">
        <f>IF($W667="","",V667-S667)</f>
        <v/>
      </c>
      <c r="U667" s="7">
        <f>IF($W667="","",V667-S667-K667)</f>
        <v/>
      </c>
      <c r="V667" s="7">
        <f>IF($W667="","",N667+Q667)</f>
        <v/>
      </c>
      <c r="W667" s="16">
        <f>IF(ROWS($W$2:$W667)&lt;=MAX('Per Line'!$AA$2:$AA$3001),MATCH(ROWS($W$2:$W667),'Per Line'!$AA$2:$AA$3001,0),"")</f>
        <v/>
      </c>
      <c r="X667">
        <f>IF($W667="","",D667&amp;"|"&amp;COUNTIF($D$2:$D667,D667))</f>
        <v/>
      </c>
    </row>
    <row r="668">
      <c r="A668" s="15" t="n"/>
      <c r="B668">
        <f>IF($W668="","",INDEX('Per Line'!$B$2:$B$3001,$W668)&amp;"")</f>
        <v/>
      </c>
      <c r="C668">
        <f>IF($W668="","",INDEX('Per Line'!$C$2:$C$3001,$W668)&amp;"")</f>
        <v/>
      </c>
      <c r="D668">
        <f>IF($W668="","",IF(OR(TRIM(E668)="Orient Insurance Company",TRIM(E668)="Allianz"),TRIM(E668),TRIM(F668)))</f>
        <v/>
      </c>
      <c r="E668">
        <f>IF($W668="","",INDEX('Per Line'!$E$2:$E$3001,$W668)&amp;"")</f>
        <v/>
      </c>
      <c r="F668">
        <f>IF($W668="","",INDEX('Per Line'!$D$2:$D$3001,$W668)&amp;"")</f>
        <v/>
      </c>
      <c r="G668">
        <f>IF($W668="","",INDEX('Per Line'!$F$2:$F$3001,$W668)&amp;"")</f>
        <v/>
      </c>
      <c r="H668">
        <f>IF($W668="","",INDEX('Per Line'!$G$2:$G$3001,$W668)&amp;"")</f>
        <v/>
      </c>
      <c r="I668">
        <f>IF($W668="","",INDEX('Per Line'!$H$2:$H$3001,$W668)&amp;"")</f>
        <v/>
      </c>
      <c r="J668">
        <f>IF($W668="","",INDEX('Per Line'!$I$2:$I$3001,$W668))</f>
        <v/>
      </c>
      <c r="K668" s="7">
        <f>IF($W668="","",J668*T668/100)</f>
        <v/>
      </c>
      <c r="L668" s="14">
        <f>IF($W668="","",INDEX('Per Line'!$V$2:$V$3001,$W668))</f>
        <v/>
      </c>
      <c r="M668">
        <f>IF($W668="","",IF(ISNUMBER(SEARCH("3&amp;12",SUBSTITUTE(F668," ",""))),Settings!$G$7,Settings!$C$7))</f>
        <v/>
      </c>
      <c r="N668" s="7">
        <f>IF($W668="","",SUMIFS('Per Line'!$O$2:$O$3001,'Per Line'!$B$2:$B$3001,$B668,'Per Line'!$AB$2:$AB$3001,0))</f>
        <v/>
      </c>
      <c r="O668" s="7">
        <f>IF($W668="","",N668*M668)</f>
        <v/>
      </c>
      <c r="P668">
        <f>IF($W668="","",IF(ISNUMBER(SEARCH("3&amp;12",SUBSTITUTE(F668," ",""))),Settings!$G$6,Settings!$C$6))</f>
        <v/>
      </c>
      <c r="Q668" s="7">
        <f>IF($W668="","",SUMIFS('Per Line'!$O$2:$O$3001,'Per Line'!$B$2:$B$3001,$B668,'Per Line'!$AB$2:$AB$3001,1))</f>
        <v/>
      </c>
      <c r="R668" s="7">
        <f>IF($W668="","",Q668*P668)</f>
        <v/>
      </c>
      <c r="S668" s="7">
        <f>IF($W668="","",R668+O668)</f>
        <v/>
      </c>
      <c r="T668" s="7">
        <f>IF($W668="","",V668-S668)</f>
        <v/>
      </c>
      <c r="U668" s="7">
        <f>IF($W668="","",V668-S668-K668)</f>
        <v/>
      </c>
      <c r="V668" s="7">
        <f>IF($W668="","",N668+Q668)</f>
        <v/>
      </c>
      <c r="W668" s="16">
        <f>IF(ROWS($W$2:$W668)&lt;=MAX('Per Line'!$AA$2:$AA$3001),MATCH(ROWS($W$2:$W668),'Per Line'!$AA$2:$AA$3001,0),"")</f>
        <v/>
      </c>
      <c r="X668">
        <f>IF($W668="","",D668&amp;"|"&amp;COUNTIF($D$2:$D668,D668))</f>
        <v/>
      </c>
    </row>
    <row r="669">
      <c r="A669" s="15" t="n"/>
      <c r="B669">
        <f>IF($W669="","",INDEX('Per Line'!$B$2:$B$3001,$W669)&amp;"")</f>
        <v/>
      </c>
      <c r="C669">
        <f>IF($W669="","",INDEX('Per Line'!$C$2:$C$3001,$W669)&amp;"")</f>
        <v/>
      </c>
      <c r="D669">
        <f>IF($W669="","",IF(OR(TRIM(E669)="Orient Insurance Company",TRIM(E669)="Allianz"),TRIM(E669),TRIM(F669)))</f>
        <v/>
      </c>
      <c r="E669">
        <f>IF($W669="","",INDEX('Per Line'!$E$2:$E$3001,$W669)&amp;"")</f>
        <v/>
      </c>
      <c r="F669">
        <f>IF($W669="","",INDEX('Per Line'!$D$2:$D$3001,$W669)&amp;"")</f>
        <v/>
      </c>
      <c r="G669">
        <f>IF($W669="","",INDEX('Per Line'!$F$2:$F$3001,$W669)&amp;"")</f>
        <v/>
      </c>
      <c r="H669">
        <f>IF($W669="","",INDEX('Per Line'!$G$2:$G$3001,$W669)&amp;"")</f>
        <v/>
      </c>
      <c r="I669">
        <f>IF($W669="","",INDEX('Per Line'!$H$2:$H$3001,$W669)&amp;"")</f>
        <v/>
      </c>
      <c r="J669">
        <f>IF($W669="","",INDEX('Per Line'!$I$2:$I$3001,$W669))</f>
        <v/>
      </c>
      <c r="K669" s="7">
        <f>IF($W669="","",J669*T669/100)</f>
        <v/>
      </c>
      <c r="L669" s="14">
        <f>IF($W669="","",INDEX('Per Line'!$V$2:$V$3001,$W669))</f>
        <v/>
      </c>
      <c r="M669">
        <f>IF($W669="","",IF(ISNUMBER(SEARCH("3&amp;12",SUBSTITUTE(F669," ",""))),Settings!$G$7,Settings!$C$7))</f>
        <v/>
      </c>
      <c r="N669" s="7">
        <f>IF($W669="","",SUMIFS('Per Line'!$O$2:$O$3001,'Per Line'!$B$2:$B$3001,$B669,'Per Line'!$AB$2:$AB$3001,0))</f>
        <v/>
      </c>
      <c r="O669" s="7">
        <f>IF($W669="","",N669*M669)</f>
        <v/>
      </c>
      <c r="P669">
        <f>IF($W669="","",IF(ISNUMBER(SEARCH("3&amp;12",SUBSTITUTE(F669," ",""))),Settings!$G$6,Settings!$C$6))</f>
        <v/>
      </c>
      <c r="Q669" s="7">
        <f>IF($W669="","",SUMIFS('Per Line'!$O$2:$O$3001,'Per Line'!$B$2:$B$3001,$B669,'Per Line'!$AB$2:$AB$3001,1))</f>
        <v/>
      </c>
      <c r="R669" s="7">
        <f>IF($W669="","",Q669*P669)</f>
        <v/>
      </c>
      <c r="S669" s="7">
        <f>IF($W669="","",R669+O669)</f>
        <v/>
      </c>
      <c r="T669" s="7">
        <f>IF($W669="","",V669-S669)</f>
        <v/>
      </c>
      <c r="U669" s="7">
        <f>IF($W669="","",V669-S669-K669)</f>
        <v/>
      </c>
      <c r="V669" s="7">
        <f>IF($W669="","",N669+Q669)</f>
        <v/>
      </c>
      <c r="W669" s="16">
        <f>IF(ROWS($W$2:$W669)&lt;=MAX('Per Line'!$AA$2:$AA$3001),MATCH(ROWS($W$2:$W669),'Per Line'!$AA$2:$AA$3001,0),"")</f>
        <v/>
      </c>
      <c r="X669">
        <f>IF($W669="","",D669&amp;"|"&amp;COUNTIF($D$2:$D669,D669))</f>
        <v/>
      </c>
    </row>
    <row r="670">
      <c r="A670" s="15" t="n"/>
      <c r="B670">
        <f>IF($W670="","",INDEX('Per Line'!$B$2:$B$3001,$W670)&amp;"")</f>
        <v/>
      </c>
      <c r="C670">
        <f>IF($W670="","",INDEX('Per Line'!$C$2:$C$3001,$W670)&amp;"")</f>
        <v/>
      </c>
      <c r="D670">
        <f>IF($W670="","",IF(OR(TRIM(E670)="Orient Insurance Company",TRIM(E670)="Allianz"),TRIM(E670),TRIM(F670)))</f>
        <v/>
      </c>
      <c r="E670">
        <f>IF($W670="","",INDEX('Per Line'!$E$2:$E$3001,$W670)&amp;"")</f>
        <v/>
      </c>
      <c r="F670">
        <f>IF($W670="","",INDEX('Per Line'!$D$2:$D$3001,$W670)&amp;"")</f>
        <v/>
      </c>
      <c r="G670">
        <f>IF($W670="","",INDEX('Per Line'!$F$2:$F$3001,$W670)&amp;"")</f>
        <v/>
      </c>
      <c r="H670">
        <f>IF($W670="","",INDEX('Per Line'!$G$2:$G$3001,$W670)&amp;"")</f>
        <v/>
      </c>
      <c r="I670">
        <f>IF($W670="","",INDEX('Per Line'!$H$2:$H$3001,$W670)&amp;"")</f>
        <v/>
      </c>
      <c r="J670">
        <f>IF($W670="","",INDEX('Per Line'!$I$2:$I$3001,$W670))</f>
        <v/>
      </c>
      <c r="K670" s="7">
        <f>IF($W670="","",J670*T670/100)</f>
        <v/>
      </c>
      <c r="L670" s="14">
        <f>IF($W670="","",INDEX('Per Line'!$V$2:$V$3001,$W670))</f>
        <v/>
      </c>
      <c r="M670">
        <f>IF($W670="","",IF(ISNUMBER(SEARCH("3&amp;12",SUBSTITUTE(F670," ",""))),Settings!$G$7,Settings!$C$7))</f>
        <v/>
      </c>
      <c r="N670" s="7">
        <f>IF($W670="","",SUMIFS('Per Line'!$O$2:$O$3001,'Per Line'!$B$2:$B$3001,$B670,'Per Line'!$AB$2:$AB$3001,0))</f>
        <v/>
      </c>
      <c r="O670" s="7">
        <f>IF($W670="","",N670*M670)</f>
        <v/>
      </c>
      <c r="P670">
        <f>IF($W670="","",IF(ISNUMBER(SEARCH("3&amp;12",SUBSTITUTE(F670," ",""))),Settings!$G$6,Settings!$C$6))</f>
        <v/>
      </c>
      <c r="Q670" s="7">
        <f>IF($W670="","",SUMIFS('Per Line'!$O$2:$O$3001,'Per Line'!$B$2:$B$3001,$B670,'Per Line'!$AB$2:$AB$3001,1))</f>
        <v/>
      </c>
      <c r="R670" s="7">
        <f>IF($W670="","",Q670*P670)</f>
        <v/>
      </c>
      <c r="S670" s="7">
        <f>IF($W670="","",R670+O670)</f>
        <v/>
      </c>
      <c r="T670" s="7">
        <f>IF($W670="","",V670-S670)</f>
        <v/>
      </c>
      <c r="U670" s="7">
        <f>IF($W670="","",V670-S670-K670)</f>
        <v/>
      </c>
      <c r="V670" s="7">
        <f>IF($W670="","",N670+Q670)</f>
        <v/>
      </c>
      <c r="W670" s="16">
        <f>IF(ROWS($W$2:$W670)&lt;=MAX('Per Line'!$AA$2:$AA$3001),MATCH(ROWS($W$2:$W670),'Per Line'!$AA$2:$AA$3001,0),"")</f>
        <v/>
      </c>
      <c r="X670">
        <f>IF($W670="","",D670&amp;"|"&amp;COUNTIF($D$2:$D670,D670))</f>
        <v/>
      </c>
    </row>
    <row r="671">
      <c r="A671" s="15" t="n"/>
      <c r="B671">
        <f>IF($W671="","",INDEX('Per Line'!$B$2:$B$3001,$W671)&amp;"")</f>
        <v/>
      </c>
      <c r="C671">
        <f>IF($W671="","",INDEX('Per Line'!$C$2:$C$3001,$W671)&amp;"")</f>
        <v/>
      </c>
      <c r="D671">
        <f>IF($W671="","",IF(OR(TRIM(E671)="Orient Insurance Company",TRIM(E671)="Allianz"),TRIM(E671),TRIM(F671)))</f>
        <v/>
      </c>
      <c r="E671">
        <f>IF($W671="","",INDEX('Per Line'!$E$2:$E$3001,$W671)&amp;"")</f>
        <v/>
      </c>
      <c r="F671">
        <f>IF($W671="","",INDEX('Per Line'!$D$2:$D$3001,$W671)&amp;"")</f>
        <v/>
      </c>
      <c r="G671">
        <f>IF($W671="","",INDEX('Per Line'!$F$2:$F$3001,$W671)&amp;"")</f>
        <v/>
      </c>
      <c r="H671">
        <f>IF($W671="","",INDEX('Per Line'!$G$2:$G$3001,$W671)&amp;"")</f>
        <v/>
      </c>
      <c r="I671">
        <f>IF($W671="","",INDEX('Per Line'!$H$2:$H$3001,$W671)&amp;"")</f>
        <v/>
      </c>
      <c r="J671">
        <f>IF($W671="","",INDEX('Per Line'!$I$2:$I$3001,$W671))</f>
        <v/>
      </c>
      <c r="K671" s="7">
        <f>IF($W671="","",J671*T671/100)</f>
        <v/>
      </c>
      <c r="L671" s="14">
        <f>IF($W671="","",INDEX('Per Line'!$V$2:$V$3001,$W671))</f>
        <v/>
      </c>
      <c r="M671">
        <f>IF($W671="","",IF(ISNUMBER(SEARCH("3&amp;12",SUBSTITUTE(F671," ",""))),Settings!$G$7,Settings!$C$7))</f>
        <v/>
      </c>
      <c r="N671" s="7">
        <f>IF($W671="","",SUMIFS('Per Line'!$O$2:$O$3001,'Per Line'!$B$2:$B$3001,$B671,'Per Line'!$AB$2:$AB$3001,0))</f>
        <v/>
      </c>
      <c r="O671" s="7">
        <f>IF($W671="","",N671*M671)</f>
        <v/>
      </c>
      <c r="P671">
        <f>IF($W671="","",IF(ISNUMBER(SEARCH("3&amp;12",SUBSTITUTE(F671," ",""))),Settings!$G$6,Settings!$C$6))</f>
        <v/>
      </c>
      <c r="Q671" s="7">
        <f>IF($W671="","",SUMIFS('Per Line'!$O$2:$O$3001,'Per Line'!$B$2:$B$3001,$B671,'Per Line'!$AB$2:$AB$3001,1))</f>
        <v/>
      </c>
      <c r="R671" s="7">
        <f>IF($W671="","",Q671*P671)</f>
        <v/>
      </c>
      <c r="S671" s="7">
        <f>IF($W671="","",R671+O671)</f>
        <v/>
      </c>
      <c r="T671" s="7">
        <f>IF($W671="","",V671-S671)</f>
        <v/>
      </c>
      <c r="U671" s="7">
        <f>IF($W671="","",V671-S671-K671)</f>
        <v/>
      </c>
      <c r="V671" s="7">
        <f>IF($W671="","",N671+Q671)</f>
        <v/>
      </c>
      <c r="W671" s="16">
        <f>IF(ROWS($W$2:$W671)&lt;=MAX('Per Line'!$AA$2:$AA$3001),MATCH(ROWS($W$2:$W671),'Per Line'!$AA$2:$AA$3001,0),"")</f>
        <v/>
      </c>
      <c r="X671">
        <f>IF($W671="","",D671&amp;"|"&amp;COUNTIF($D$2:$D671,D671))</f>
        <v/>
      </c>
    </row>
    <row r="672">
      <c r="A672" s="15" t="n"/>
      <c r="B672">
        <f>IF($W672="","",INDEX('Per Line'!$B$2:$B$3001,$W672)&amp;"")</f>
        <v/>
      </c>
      <c r="C672">
        <f>IF($W672="","",INDEX('Per Line'!$C$2:$C$3001,$W672)&amp;"")</f>
        <v/>
      </c>
      <c r="D672">
        <f>IF($W672="","",IF(OR(TRIM(E672)="Orient Insurance Company",TRIM(E672)="Allianz"),TRIM(E672),TRIM(F672)))</f>
        <v/>
      </c>
      <c r="E672">
        <f>IF($W672="","",INDEX('Per Line'!$E$2:$E$3001,$W672)&amp;"")</f>
        <v/>
      </c>
      <c r="F672">
        <f>IF($W672="","",INDEX('Per Line'!$D$2:$D$3001,$W672)&amp;"")</f>
        <v/>
      </c>
      <c r="G672">
        <f>IF($W672="","",INDEX('Per Line'!$F$2:$F$3001,$W672)&amp;"")</f>
        <v/>
      </c>
      <c r="H672">
        <f>IF($W672="","",INDEX('Per Line'!$G$2:$G$3001,$W672)&amp;"")</f>
        <v/>
      </c>
      <c r="I672">
        <f>IF($W672="","",INDEX('Per Line'!$H$2:$H$3001,$W672)&amp;"")</f>
        <v/>
      </c>
      <c r="J672">
        <f>IF($W672="","",INDEX('Per Line'!$I$2:$I$3001,$W672))</f>
        <v/>
      </c>
      <c r="K672" s="7">
        <f>IF($W672="","",J672*T672/100)</f>
        <v/>
      </c>
      <c r="L672" s="14">
        <f>IF($W672="","",INDEX('Per Line'!$V$2:$V$3001,$W672))</f>
        <v/>
      </c>
      <c r="M672">
        <f>IF($W672="","",IF(ISNUMBER(SEARCH("3&amp;12",SUBSTITUTE(F672," ",""))),Settings!$G$7,Settings!$C$7))</f>
        <v/>
      </c>
      <c r="N672" s="7">
        <f>IF($W672="","",SUMIFS('Per Line'!$O$2:$O$3001,'Per Line'!$B$2:$B$3001,$B672,'Per Line'!$AB$2:$AB$3001,0))</f>
        <v/>
      </c>
      <c r="O672" s="7">
        <f>IF($W672="","",N672*M672)</f>
        <v/>
      </c>
      <c r="P672">
        <f>IF($W672="","",IF(ISNUMBER(SEARCH("3&amp;12",SUBSTITUTE(F672," ",""))),Settings!$G$6,Settings!$C$6))</f>
        <v/>
      </c>
      <c r="Q672" s="7">
        <f>IF($W672="","",SUMIFS('Per Line'!$O$2:$O$3001,'Per Line'!$B$2:$B$3001,$B672,'Per Line'!$AB$2:$AB$3001,1))</f>
        <v/>
      </c>
      <c r="R672" s="7">
        <f>IF($W672="","",Q672*P672)</f>
        <v/>
      </c>
      <c r="S672" s="7">
        <f>IF($W672="","",R672+O672)</f>
        <v/>
      </c>
      <c r="T672" s="7">
        <f>IF($W672="","",V672-S672)</f>
        <v/>
      </c>
      <c r="U672" s="7">
        <f>IF($W672="","",V672-S672-K672)</f>
        <v/>
      </c>
      <c r="V672" s="7">
        <f>IF($W672="","",N672+Q672)</f>
        <v/>
      </c>
      <c r="W672" s="16">
        <f>IF(ROWS($W$2:$W672)&lt;=MAX('Per Line'!$AA$2:$AA$3001),MATCH(ROWS($W$2:$W672),'Per Line'!$AA$2:$AA$3001,0),"")</f>
        <v/>
      </c>
      <c r="X672">
        <f>IF($W672="","",D672&amp;"|"&amp;COUNTIF($D$2:$D672,D672))</f>
        <v/>
      </c>
    </row>
    <row r="673">
      <c r="A673" s="15" t="n"/>
      <c r="B673">
        <f>IF($W673="","",INDEX('Per Line'!$B$2:$B$3001,$W673)&amp;"")</f>
        <v/>
      </c>
      <c r="C673">
        <f>IF($W673="","",INDEX('Per Line'!$C$2:$C$3001,$W673)&amp;"")</f>
        <v/>
      </c>
      <c r="D673">
        <f>IF($W673="","",IF(OR(TRIM(E673)="Orient Insurance Company",TRIM(E673)="Allianz"),TRIM(E673),TRIM(F673)))</f>
        <v/>
      </c>
      <c r="E673">
        <f>IF($W673="","",INDEX('Per Line'!$E$2:$E$3001,$W673)&amp;"")</f>
        <v/>
      </c>
      <c r="F673">
        <f>IF($W673="","",INDEX('Per Line'!$D$2:$D$3001,$W673)&amp;"")</f>
        <v/>
      </c>
      <c r="G673">
        <f>IF($W673="","",INDEX('Per Line'!$F$2:$F$3001,$W673)&amp;"")</f>
        <v/>
      </c>
      <c r="H673">
        <f>IF($W673="","",INDEX('Per Line'!$G$2:$G$3001,$W673)&amp;"")</f>
        <v/>
      </c>
      <c r="I673">
        <f>IF($W673="","",INDEX('Per Line'!$H$2:$H$3001,$W673)&amp;"")</f>
        <v/>
      </c>
      <c r="J673">
        <f>IF($W673="","",INDEX('Per Line'!$I$2:$I$3001,$W673))</f>
        <v/>
      </c>
      <c r="K673" s="7">
        <f>IF($W673="","",J673*T673/100)</f>
        <v/>
      </c>
      <c r="L673" s="14">
        <f>IF($W673="","",INDEX('Per Line'!$V$2:$V$3001,$W673))</f>
        <v/>
      </c>
      <c r="M673">
        <f>IF($W673="","",IF(ISNUMBER(SEARCH("3&amp;12",SUBSTITUTE(F673," ",""))),Settings!$G$7,Settings!$C$7))</f>
        <v/>
      </c>
      <c r="N673" s="7">
        <f>IF($W673="","",SUMIFS('Per Line'!$O$2:$O$3001,'Per Line'!$B$2:$B$3001,$B673,'Per Line'!$AB$2:$AB$3001,0))</f>
        <v/>
      </c>
      <c r="O673" s="7">
        <f>IF($W673="","",N673*M673)</f>
        <v/>
      </c>
      <c r="P673">
        <f>IF($W673="","",IF(ISNUMBER(SEARCH("3&amp;12",SUBSTITUTE(F673," ",""))),Settings!$G$6,Settings!$C$6))</f>
        <v/>
      </c>
      <c r="Q673" s="7">
        <f>IF($W673="","",SUMIFS('Per Line'!$O$2:$O$3001,'Per Line'!$B$2:$B$3001,$B673,'Per Line'!$AB$2:$AB$3001,1))</f>
        <v/>
      </c>
      <c r="R673" s="7">
        <f>IF($W673="","",Q673*P673)</f>
        <v/>
      </c>
      <c r="S673" s="7">
        <f>IF($W673="","",R673+O673)</f>
        <v/>
      </c>
      <c r="T673" s="7">
        <f>IF($W673="","",V673-S673)</f>
        <v/>
      </c>
      <c r="U673" s="7">
        <f>IF($W673="","",V673-S673-K673)</f>
        <v/>
      </c>
      <c r="V673" s="7">
        <f>IF($W673="","",N673+Q673)</f>
        <v/>
      </c>
      <c r="W673" s="16">
        <f>IF(ROWS($W$2:$W673)&lt;=MAX('Per Line'!$AA$2:$AA$3001),MATCH(ROWS($W$2:$W673),'Per Line'!$AA$2:$AA$3001,0),"")</f>
        <v/>
      </c>
      <c r="X673">
        <f>IF($W673="","",D673&amp;"|"&amp;COUNTIF($D$2:$D673,D673))</f>
        <v/>
      </c>
    </row>
    <row r="674">
      <c r="A674" s="15" t="n"/>
      <c r="B674">
        <f>IF($W674="","",INDEX('Per Line'!$B$2:$B$3001,$W674)&amp;"")</f>
        <v/>
      </c>
      <c r="C674">
        <f>IF($W674="","",INDEX('Per Line'!$C$2:$C$3001,$W674)&amp;"")</f>
        <v/>
      </c>
      <c r="D674">
        <f>IF($W674="","",IF(OR(TRIM(E674)="Orient Insurance Company",TRIM(E674)="Allianz"),TRIM(E674),TRIM(F674)))</f>
        <v/>
      </c>
      <c r="E674">
        <f>IF($W674="","",INDEX('Per Line'!$E$2:$E$3001,$W674)&amp;"")</f>
        <v/>
      </c>
      <c r="F674">
        <f>IF($W674="","",INDEX('Per Line'!$D$2:$D$3001,$W674)&amp;"")</f>
        <v/>
      </c>
      <c r="G674">
        <f>IF($W674="","",INDEX('Per Line'!$F$2:$F$3001,$W674)&amp;"")</f>
        <v/>
      </c>
      <c r="H674">
        <f>IF($W674="","",INDEX('Per Line'!$G$2:$G$3001,$W674)&amp;"")</f>
        <v/>
      </c>
      <c r="I674">
        <f>IF($W674="","",INDEX('Per Line'!$H$2:$H$3001,$W674)&amp;"")</f>
        <v/>
      </c>
      <c r="J674">
        <f>IF($W674="","",INDEX('Per Line'!$I$2:$I$3001,$W674))</f>
        <v/>
      </c>
      <c r="K674" s="7">
        <f>IF($W674="","",J674*T674/100)</f>
        <v/>
      </c>
      <c r="L674" s="14">
        <f>IF($W674="","",INDEX('Per Line'!$V$2:$V$3001,$W674))</f>
        <v/>
      </c>
      <c r="M674">
        <f>IF($W674="","",IF(ISNUMBER(SEARCH("3&amp;12",SUBSTITUTE(F674," ",""))),Settings!$G$7,Settings!$C$7))</f>
        <v/>
      </c>
      <c r="N674" s="7">
        <f>IF($W674="","",SUMIFS('Per Line'!$O$2:$O$3001,'Per Line'!$B$2:$B$3001,$B674,'Per Line'!$AB$2:$AB$3001,0))</f>
        <v/>
      </c>
      <c r="O674" s="7">
        <f>IF($W674="","",N674*M674)</f>
        <v/>
      </c>
      <c r="P674">
        <f>IF($W674="","",IF(ISNUMBER(SEARCH("3&amp;12",SUBSTITUTE(F674," ",""))),Settings!$G$6,Settings!$C$6))</f>
        <v/>
      </c>
      <c r="Q674" s="7">
        <f>IF($W674="","",SUMIFS('Per Line'!$O$2:$O$3001,'Per Line'!$B$2:$B$3001,$B674,'Per Line'!$AB$2:$AB$3001,1))</f>
        <v/>
      </c>
      <c r="R674" s="7">
        <f>IF($W674="","",Q674*P674)</f>
        <v/>
      </c>
      <c r="S674" s="7">
        <f>IF($W674="","",R674+O674)</f>
        <v/>
      </c>
      <c r="T674" s="7">
        <f>IF($W674="","",V674-S674)</f>
        <v/>
      </c>
      <c r="U674" s="7">
        <f>IF($W674="","",V674-S674-K674)</f>
        <v/>
      </c>
      <c r="V674" s="7">
        <f>IF($W674="","",N674+Q674)</f>
        <v/>
      </c>
      <c r="W674" s="16">
        <f>IF(ROWS($W$2:$W674)&lt;=MAX('Per Line'!$AA$2:$AA$3001),MATCH(ROWS($W$2:$W674),'Per Line'!$AA$2:$AA$3001,0),"")</f>
        <v/>
      </c>
      <c r="X674">
        <f>IF($W674="","",D674&amp;"|"&amp;COUNTIF($D$2:$D674,D674))</f>
        <v/>
      </c>
    </row>
    <row r="675">
      <c r="A675" s="15" t="n"/>
      <c r="B675">
        <f>IF($W675="","",INDEX('Per Line'!$B$2:$B$3001,$W675)&amp;"")</f>
        <v/>
      </c>
      <c r="C675">
        <f>IF($W675="","",INDEX('Per Line'!$C$2:$C$3001,$W675)&amp;"")</f>
        <v/>
      </c>
      <c r="D675">
        <f>IF($W675="","",IF(OR(TRIM(E675)="Orient Insurance Company",TRIM(E675)="Allianz"),TRIM(E675),TRIM(F675)))</f>
        <v/>
      </c>
      <c r="E675">
        <f>IF($W675="","",INDEX('Per Line'!$E$2:$E$3001,$W675)&amp;"")</f>
        <v/>
      </c>
      <c r="F675">
        <f>IF($W675="","",INDEX('Per Line'!$D$2:$D$3001,$W675)&amp;"")</f>
        <v/>
      </c>
      <c r="G675">
        <f>IF($W675="","",INDEX('Per Line'!$F$2:$F$3001,$W675)&amp;"")</f>
        <v/>
      </c>
      <c r="H675">
        <f>IF($W675="","",INDEX('Per Line'!$G$2:$G$3001,$W675)&amp;"")</f>
        <v/>
      </c>
      <c r="I675">
        <f>IF($W675="","",INDEX('Per Line'!$H$2:$H$3001,$W675)&amp;"")</f>
        <v/>
      </c>
      <c r="J675">
        <f>IF($W675="","",INDEX('Per Line'!$I$2:$I$3001,$W675))</f>
        <v/>
      </c>
      <c r="K675" s="7">
        <f>IF($W675="","",J675*T675/100)</f>
        <v/>
      </c>
      <c r="L675" s="14">
        <f>IF($W675="","",INDEX('Per Line'!$V$2:$V$3001,$W675))</f>
        <v/>
      </c>
      <c r="M675">
        <f>IF($W675="","",IF(ISNUMBER(SEARCH("3&amp;12",SUBSTITUTE(F675," ",""))),Settings!$G$7,Settings!$C$7))</f>
        <v/>
      </c>
      <c r="N675" s="7">
        <f>IF($W675="","",SUMIFS('Per Line'!$O$2:$O$3001,'Per Line'!$B$2:$B$3001,$B675,'Per Line'!$AB$2:$AB$3001,0))</f>
        <v/>
      </c>
      <c r="O675" s="7">
        <f>IF($W675="","",N675*M675)</f>
        <v/>
      </c>
      <c r="P675">
        <f>IF($W675="","",IF(ISNUMBER(SEARCH("3&amp;12",SUBSTITUTE(F675," ",""))),Settings!$G$6,Settings!$C$6))</f>
        <v/>
      </c>
      <c r="Q675" s="7">
        <f>IF($W675="","",SUMIFS('Per Line'!$O$2:$O$3001,'Per Line'!$B$2:$B$3001,$B675,'Per Line'!$AB$2:$AB$3001,1))</f>
        <v/>
      </c>
      <c r="R675" s="7">
        <f>IF($W675="","",Q675*P675)</f>
        <v/>
      </c>
      <c r="S675" s="7">
        <f>IF($W675="","",R675+O675)</f>
        <v/>
      </c>
      <c r="T675" s="7">
        <f>IF($W675="","",V675-S675)</f>
        <v/>
      </c>
      <c r="U675" s="7">
        <f>IF($W675="","",V675-S675-K675)</f>
        <v/>
      </c>
      <c r="V675" s="7">
        <f>IF($W675="","",N675+Q675)</f>
        <v/>
      </c>
      <c r="W675" s="16">
        <f>IF(ROWS($W$2:$W675)&lt;=MAX('Per Line'!$AA$2:$AA$3001),MATCH(ROWS($W$2:$W675),'Per Line'!$AA$2:$AA$3001,0),"")</f>
        <v/>
      </c>
      <c r="X675">
        <f>IF($W675="","",D675&amp;"|"&amp;COUNTIF($D$2:$D675,D675))</f>
        <v/>
      </c>
    </row>
    <row r="676">
      <c r="A676" s="15" t="n"/>
      <c r="B676">
        <f>IF($W676="","",INDEX('Per Line'!$B$2:$B$3001,$W676)&amp;"")</f>
        <v/>
      </c>
      <c r="C676">
        <f>IF($W676="","",INDEX('Per Line'!$C$2:$C$3001,$W676)&amp;"")</f>
        <v/>
      </c>
      <c r="D676">
        <f>IF($W676="","",IF(OR(TRIM(E676)="Orient Insurance Company",TRIM(E676)="Allianz"),TRIM(E676),TRIM(F676)))</f>
        <v/>
      </c>
      <c r="E676">
        <f>IF($W676="","",INDEX('Per Line'!$E$2:$E$3001,$W676)&amp;"")</f>
        <v/>
      </c>
      <c r="F676">
        <f>IF($W676="","",INDEX('Per Line'!$D$2:$D$3001,$W676)&amp;"")</f>
        <v/>
      </c>
      <c r="G676">
        <f>IF($W676="","",INDEX('Per Line'!$F$2:$F$3001,$W676)&amp;"")</f>
        <v/>
      </c>
      <c r="H676">
        <f>IF($W676="","",INDEX('Per Line'!$G$2:$G$3001,$W676)&amp;"")</f>
        <v/>
      </c>
      <c r="I676">
        <f>IF($W676="","",INDEX('Per Line'!$H$2:$H$3001,$W676)&amp;"")</f>
        <v/>
      </c>
      <c r="J676">
        <f>IF($W676="","",INDEX('Per Line'!$I$2:$I$3001,$W676))</f>
        <v/>
      </c>
      <c r="K676" s="7">
        <f>IF($W676="","",J676*T676/100)</f>
        <v/>
      </c>
      <c r="L676" s="14">
        <f>IF($W676="","",INDEX('Per Line'!$V$2:$V$3001,$W676))</f>
        <v/>
      </c>
      <c r="M676">
        <f>IF($W676="","",IF(ISNUMBER(SEARCH("3&amp;12",SUBSTITUTE(F676," ",""))),Settings!$G$7,Settings!$C$7))</f>
        <v/>
      </c>
      <c r="N676" s="7">
        <f>IF($W676="","",SUMIFS('Per Line'!$O$2:$O$3001,'Per Line'!$B$2:$B$3001,$B676,'Per Line'!$AB$2:$AB$3001,0))</f>
        <v/>
      </c>
      <c r="O676" s="7">
        <f>IF($W676="","",N676*M676)</f>
        <v/>
      </c>
      <c r="P676">
        <f>IF($W676="","",IF(ISNUMBER(SEARCH("3&amp;12",SUBSTITUTE(F676," ",""))),Settings!$G$6,Settings!$C$6))</f>
        <v/>
      </c>
      <c r="Q676" s="7">
        <f>IF($W676="","",SUMIFS('Per Line'!$O$2:$O$3001,'Per Line'!$B$2:$B$3001,$B676,'Per Line'!$AB$2:$AB$3001,1))</f>
        <v/>
      </c>
      <c r="R676" s="7">
        <f>IF($W676="","",Q676*P676)</f>
        <v/>
      </c>
      <c r="S676" s="7">
        <f>IF($W676="","",R676+O676)</f>
        <v/>
      </c>
      <c r="T676" s="7">
        <f>IF($W676="","",V676-S676)</f>
        <v/>
      </c>
      <c r="U676" s="7">
        <f>IF($W676="","",V676-S676-K676)</f>
        <v/>
      </c>
      <c r="V676" s="7">
        <f>IF($W676="","",N676+Q676)</f>
        <v/>
      </c>
      <c r="W676" s="16">
        <f>IF(ROWS($W$2:$W676)&lt;=MAX('Per Line'!$AA$2:$AA$3001),MATCH(ROWS($W$2:$W676),'Per Line'!$AA$2:$AA$3001,0),"")</f>
        <v/>
      </c>
      <c r="X676">
        <f>IF($W676="","",D676&amp;"|"&amp;COUNTIF($D$2:$D676,D676))</f>
        <v/>
      </c>
    </row>
    <row r="677">
      <c r="A677" s="15" t="n"/>
      <c r="B677">
        <f>IF($W677="","",INDEX('Per Line'!$B$2:$B$3001,$W677)&amp;"")</f>
        <v/>
      </c>
      <c r="C677">
        <f>IF($W677="","",INDEX('Per Line'!$C$2:$C$3001,$W677)&amp;"")</f>
        <v/>
      </c>
      <c r="D677">
        <f>IF($W677="","",IF(OR(TRIM(E677)="Orient Insurance Company",TRIM(E677)="Allianz"),TRIM(E677),TRIM(F677)))</f>
        <v/>
      </c>
      <c r="E677">
        <f>IF($W677="","",INDEX('Per Line'!$E$2:$E$3001,$W677)&amp;"")</f>
        <v/>
      </c>
      <c r="F677">
        <f>IF($W677="","",INDEX('Per Line'!$D$2:$D$3001,$W677)&amp;"")</f>
        <v/>
      </c>
      <c r="G677">
        <f>IF($W677="","",INDEX('Per Line'!$F$2:$F$3001,$W677)&amp;"")</f>
        <v/>
      </c>
      <c r="H677">
        <f>IF($W677="","",INDEX('Per Line'!$G$2:$G$3001,$W677)&amp;"")</f>
        <v/>
      </c>
      <c r="I677">
        <f>IF($W677="","",INDEX('Per Line'!$H$2:$H$3001,$W677)&amp;"")</f>
        <v/>
      </c>
      <c r="J677">
        <f>IF($W677="","",INDEX('Per Line'!$I$2:$I$3001,$W677))</f>
        <v/>
      </c>
      <c r="K677" s="7">
        <f>IF($W677="","",J677*T677/100)</f>
        <v/>
      </c>
      <c r="L677" s="14">
        <f>IF($W677="","",INDEX('Per Line'!$V$2:$V$3001,$W677))</f>
        <v/>
      </c>
      <c r="M677">
        <f>IF($W677="","",IF(ISNUMBER(SEARCH("3&amp;12",SUBSTITUTE(F677," ",""))),Settings!$G$7,Settings!$C$7))</f>
        <v/>
      </c>
      <c r="N677" s="7">
        <f>IF($W677="","",SUMIFS('Per Line'!$O$2:$O$3001,'Per Line'!$B$2:$B$3001,$B677,'Per Line'!$AB$2:$AB$3001,0))</f>
        <v/>
      </c>
      <c r="O677" s="7">
        <f>IF($W677="","",N677*M677)</f>
        <v/>
      </c>
      <c r="P677">
        <f>IF($W677="","",IF(ISNUMBER(SEARCH("3&amp;12",SUBSTITUTE(F677," ",""))),Settings!$G$6,Settings!$C$6))</f>
        <v/>
      </c>
      <c r="Q677" s="7">
        <f>IF($W677="","",SUMIFS('Per Line'!$O$2:$O$3001,'Per Line'!$B$2:$B$3001,$B677,'Per Line'!$AB$2:$AB$3001,1))</f>
        <v/>
      </c>
      <c r="R677" s="7">
        <f>IF($W677="","",Q677*P677)</f>
        <v/>
      </c>
      <c r="S677" s="7">
        <f>IF($W677="","",R677+O677)</f>
        <v/>
      </c>
      <c r="T677" s="7">
        <f>IF($W677="","",V677-S677)</f>
        <v/>
      </c>
      <c r="U677" s="7">
        <f>IF($W677="","",V677-S677-K677)</f>
        <v/>
      </c>
      <c r="V677" s="7">
        <f>IF($W677="","",N677+Q677)</f>
        <v/>
      </c>
      <c r="W677" s="16">
        <f>IF(ROWS($W$2:$W677)&lt;=MAX('Per Line'!$AA$2:$AA$3001),MATCH(ROWS($W$2:$W677),'Per Line'!$AA$2:$AA$3001,0),"")</f>
        <v/>
      </c>
      <c r="X677">
        <f>IF($W677="","",D677&amp;"|"&amp;COUNTIF($D$2:$D677,D677))</f>
        <v/>
      </c>
    </row>
    <row r="678">
      <c r="A678" s="15" t="n"/>
      <c r="B678">
        <f>IF($W678="","",INDEX('Per Line'!$B$2:$B$3001,$W678)&amp;"")</f>
        <v/>
      </c>
      <c r="C678">
        <f>IF($W678="","",INDEX('Per Line'!$C$2:$C$3001,$W678)&amp;"")</f>
        <v/>
      </c>
      <c r="D678">
        <f>IF($W678="","",IF(OR(TRIM(E678)="Orient Insurance Company",TRIM(E678)="Allianz"),TRIM(E678),TRIM(F678)))</f>
        <v/>
      </c>
      <c r="E678">
        <f>IF($W678="","",INDEX('Per Line'!$E$2:$E$3001,$W678)&amp;"")</f>
        <v/>
      </c>
      <c r="F678">
        <f>IF($W678="","",INDEX('Per Line'!$D$2:$D$3001,$W678)&amp;"")</f>
        <v/>
      </c>
      <c r="G678">
        <f>IF($W678="","",INDEX('Per Line'!$F$2:$F$3001,$W678)&amp;"")</f>
        <v/>
      </c>
      <c r="H678">
        <f>IF($W678="","",INDEX('Per Line'!$G$2:$G$3001,$W678)&amp;"")</f>
        <v/>
      </c>
      <c r="I678">
        <f>IF($W678="","",INDEX('Per Line'!$H$2:$H$3001,$W678)&amp;"")</f>
        <v/>
      </c>
      <c r="J678">
        <f>IF($W678="","",INDEX('Per Line'!$I$2:$I$3001,$W678))</f>
        <v/>
      </c>
      <c r="K678" s="7">
        <f>IF($W678="","",J678*T678/100)</f>
        <v/>
      </c>
      <c r="L678" s="14">
        <f>IF($W678="","",INDEX('Per Line'!$V$2:$V$3001,$W678))</f>
        <v/>
      </c>
      <c r="M678">
        <f>IF($W678="","",IF(ISNUMBER(SEARCH("3&amp;12",SUBSTITUTE(F678," ",""))),Settings!$G$7,Settings!$C$7))</f>
        <v/>
      </c>
      <c r="N678" s="7">
        <f>IF($W678="","",SUMIFS('Per Line'!$O$2:$O$3001,'Per Line'!$B$2:$B$3001,$B678,'Per Line'!$AB$2:$AB$3001,0))</f>
        <v/>
      </c>
      <c r="O678" s="7">
        <f>IF($W678="","",N678*M678)</f>
        <v/>
      </c>
      <c r="P678">
        <f>IF($W678="","",IF(ISNUMBER(SEARCH("3&amp;12",SUBSTITUTE(F678," ",""))),Settings!$G$6,Settings!$C$6))</f>
        <v/>
      </c>
      <c r="Q678" s="7">
        <f>IF($W678="","",SUMIFS('Per Line'!$O$2:$O$3001,'Per Line'!$B$2:$B$3001,$B678,'Per Line'!$AB$2:$AB$3001,1))</f>
        <v/>
      </c>
      <c r="R678" s="7">
        <f>IF($W678="","",Q678*P678)</f>
        <v/>
      </c>
      <c r="S678" s="7">
        <f>IF($W678="","",R678+O678)</f>
        <v/>
      </c>
      <c r="T678" s="7">
        <f>IF($W678="","",V678-S678)</f>
        <v/>
      </c>
      <c r="U678" s="7">
        <f>IF($W678="","",V678-S678-K678)</f>
        <v/>
      </c>
      <c r="V678" s="7">
        <f>IF($W678="","",N678+Q678)</f>
        <v/>
      </c>
      <c r="W678" s="16">
        <f>IF(ROWS($W$2:$W678)&lt;=MAX('Per Line'!$AA$2:$AA$3001),MATCH(ROWS($W$2:$W678),'Per Line'!$AA$2:$AA$3001,0),"")</f>
        <v/>
      </c>
      <c r="X678">
        <f>IF($W678="","",D678&amp;"|"&amp;COUNTIF($D$2:$D678,D678))</f>
        <v/>
      </c>
    </row>
    <row r="679">
      <c r="A679" s="15" t="n"/>
      <c r="B679">
        <f>IF($W679="","",INDEX('Per Line'!$B$2:$B$3001,$W679)&amp;"")</f>
        <v/>
      </c>
      <c r="C679">
        <f>IF($W679="","",INDEX('Per Line'!$C$2:$C$3001,$W679)&amp;"")</f>
        <v/>
      </c>
      <c r="D679">
        <f>IF($W679="","",IF(OR(TRIM(E679)="Orient Insurance Company",TRIM(E679)="Allianz"),TRIM(E679),TRIM(F679)))</f>
        <v/>
      </c>
      <c r="E679">
        <f>IF($W679="","",INDEX('Per Line'!$E$2:$E$3001,$W679)&amp;"")</f>
        <v/>
      </c>
      <c r="F679">
        <f>IF($W679="","",INDEX('Per Line'!$D$2:$D$3001,$W679)&amp;"")</f>
        <v/>
      </c>
      <c r="G679">
        <f>IF($W679="","",INDEX('Per Line'!$F$2:$F$3001,$W679)&amp;"")</f>
        <v/>
      </c>
      <c r="H679">
        <f>IF($W679="","",INDEX('Per Line'!$G$2:$G$3001,$W679)&amp;"")</f>
        <v/>
      </c>
      <c r="I679">
        <f>IF($W679="","",INDEX('Per Line'!$H$2:$H$3001,$W679)&amp;"")</f>
        <v/>
      </c>
      <c r="J679">
        <f>IF($W679="","",INDEX('Per Line'!$I$2:$I$3001,$W679))</f>
        <v/>
      </c>
      <c r="K679" s="7">
        <f>IF($W679="","",J679*T679/100)</f>
        <v/>
      </c>
      <c r="L679" s="14">
        <f>IF($W679="","",INDEX('Per Line'!$V$2:$V$3001,$W679))</f>
        <v/>
      </c>
      <c r="M679">
        <f>IF($W679="","",IF(ISNUMBER(SEARCH("3&amp;12",SUBSTITUTE(F679," ",""))),Settings!$G$7,Settings!$C$7))</f>
        <v/>
      </c>
      <c r="N679" s="7">
        <f>IF($W679="","",SUMIFS('Per Line'!$O$2:$O$3001,'Per Line'!$B$2:$B$3001,$B679,'Per Line'!$AB$2:$AB$3001,0))</f>
        <v/>
      </c>
      <c r="O679" s="7">
        <f>IF($W679="","",N679*M679)</f>
        <v/>
      </c>
      <c r="P679">
        <f>IF($W679="","",IF(ISNUMBER(SEARCH("3&amp;12",SUBSTITUTE(F679," ",""))),Settings!$G$6,Settings!$C$6))</f>
        <v/>
      </c>
      <c r="Q679" s="7">
        <f>IF($W679="","",SUMIFS('Per Line'!$O$2:$O$3001,'Per Line'!$B$2:$B$3001,$B679,'Per Line'!$AB$2:$AB$3001,1))</f>
        <v/>
      </c>
      <c r="R679" s="7">
        <f>IF($W679="","",Q679*P679)</f>
        <v/>
      </c>
      <c r="S679" s="7">
        <f>IF($W679="","",R679+O679)</f>
        <v/>
      </c>
      <c r="T679" s="7">
        <f>IF($W679="","",V679-S679)</f>
        <v/>
      </c>
      <c r="U679" s="7">
        <f>IF($W679="","",V679-S679-K679)</f>
        <v/>
      </c>
      <c r="V679" s="7">
        <f>IF($W679="","",N679+Q679)</f>
        <v/>
      </c>
      <c r="W679" s="16">
        <f>IF(ROWS($W$2:$W679)&lt;=MAX('Per Line'!$AA$2:$AA$3001),MATCH(ROWS($W$2:$W679),'Per Line'!$AA$2:$AA$3001,0),"")</f>
        <v/>
      </c>
      <c r="X679">
        <f>IF($W679="","",D679&amp;"|"&amp;COUNTIF($D$2:$D679,D679))</f>
        <v/>
      </c>
    </row>
    <row r="680">
      <c r="A680" s="15" t="n"/>
      <c r="B680">
        <f>IF($W680="","",INDEX('Per Line'!$B$2:$B$3001,$W680)&amp;"")</f>
        <v/>
      </c>
      <c r="C680">
        <f>IF($W680="","",INDEX('Per Line'!$C$2:$C$3001,$W680)&amp;"")</f>
        <v/>
      </c>
      <c r="D680">
        <f>IF($W680="","",IF(OR(TRIM(E680)="Orient Insurance Company",TRIM(E680)="Allianz"),TRIM(E680),TRIM(F680)))</f>
        <v/>
      </c>
      <c r="E680">
        <f>IF($W680="","",INDEX('Per Line'!$E$2:$E$3001,$W680)&amp;"")</f>
        <v/>
      </c>
      <c r="F680">
        <f>IF($W680="","",INDEX('Per Line'!$D$2:$D$3001,$W680)&amp;"")</f>
        <v/>
      </c>
      <c r="G680">
        <f>IF($W680="","",INDEX('Per Line'!$F$2:$F$3001,$W680)&amp;"")</f>
        <v/>
      </c>
      <c r="H680">
        <f>IF($W680="","",INDEX('Per Line'!$G$2:$G$3001,$W680)&amp;"")</f>
        <v/>
      </c>
      <c r="I680">
        <f>IF($W680="","",INDEX('Per Line'!$H$2:$H$3001,$W680)&amp;"")</f>
        <v/>
      </c>
      <c r="J680">
        <f>IF($W680="","",INDEX('Per Line'!$I$2:$I$3001,$W680))</f>
        <v/>
      </c>
      <c r="K680" s="7">
        <f>IF($W680="","",J680*T680/100)</f>
        <v/>
      </c>
      <c r="L680" s="14">
        <f>IF($W680="","",INDEX('Per Line'!$V$2:$V$3001,$W680))</f>
        <v/>
      </c>
      <c r="M680">
        <f>IF($W680="","",IF(ISNUMBER(SEARCH("3&amp;12",SUBSTITUTE(F680," ",""))),Settings!$G$7,Settings!$C$7))</f>
        <v/>
      </c>
      <c r="N680" s="7">
        <f>IF($W680="","",SUMIFS('Per Line'!$O$2:$O$3001,'Per Line'!$B$2:$B$3001,$B680,'Per Line'!$AB$2:$AB$3001,0))</f>
        <v/>
      </c>
      <c r="O680" s="7">
        <f>IF($W680="","",N680*M680)</f>
        <v/>
      </c>
      <c r="P680">
        <f>IF($W680="","",IF(ISNUMBER(SEARCH("3&amp;12",SUBSTITUTE(F680," ",""))),Settings!$G$6,Settings!$C$6))</f>
        <v/>
      </c>
      <c r="Q680" s="7">
        <f>IF($W680="","",SUMIFS('Per Line'!$O$2:$O$3001,'Per Line'!$B$2:$B$3001,$B680,'Per Line'!$AB$2:$AB$3001,1))</f>
        <v/>
      </c>
      <c r="R680" s="7">
        <f>IF($W680="","",Q680*P680)</f>
        <v/>
      </c>
      <c r="S680" s="7">
        <f>IF($W680="","",R680+O680)</f>
        <v/>
      </c>
      <c r="T680" s="7">
        <f>IF($W680="","",V680-S680)</f>
        <v/>
      </c>
      <c r="U680" s="7">
        <f>IF($W680="","",V680-S680-K680)</f>
        <v/>
      </c>
      <c r="V680" s="7">
        <f>IF($W680="","",N680+Q680)</f>
        <v/>
      </c>
      <c r="W680" s="16">
        <f>IF(ROWS($W$2:$W680)&lt;=MAX('Per Line'!$AA$2:$AA$3001),MATCH(ROWS($W$2:$W680),'Per Line'!$AA$2:$AA$3001,0),"")</f>
        <v/>
      </c>
      <c r="X680">
        <f>IF($W680="","",D680&amp;"|"&amp;COUNTIF($D$2:$D680,D680))</f>
        <v/>
      </c>
    </row>
    <row r="681">
      <c r="A681" s="15" t="n"/>
      <c r="B681">
        <f>IF($W681="","",INDEX('Per Line'!$B$2:$B$3001,$W681)&amp;"")</f>
        <v/>
      </c>
      <c r="C681">
        <f>IF($W681="","",INDEX('Per Line'!$C$2:$C$3001,$W681)&amp;"")</f>
        <v/>
      </c>
      <c r="D681">
        <f>IF($W681="","",IF(OR(TRIM(E681)="Orient Insurance Company",TRIM(E681)="Allianz"),TRIM(E681),TRIM(F681)))</f>
        <v/>
      </c>
      <c r="E681">
        <f>IF($W681="","",INDEX('Per Line'!$E$2:$E$3001,$W681)&amp;"")</f>
        <v/>
      </c>
      <c r="F681">
        <f>IF($W681="","",INDEX('Per Line'!$D$2:$D$3001,$W681)&amp;"")</f>
        <v/>
      </c>
      <c r="G681">
        <f>IF($W681="","",INDEX('Per Line'!$F$2:$F$3001,$W681)&amp;"")</f>
        <v/>
      </c>
      <c r="H681">
        <f>IF($W681="","",INDEX('Per Line'!$G$2:$G$3001,$W681)&amp;"")</f>
        <v/>
      </c>
      <c r="I681">
        <f>IF($W681="","",INDEX('Per Line'!$H$2:$H$3001,$W681)&amp;"")</f>
        <v/>
      </c>
      <c r="J681">
        <f>IF($W681="","",INDEX('Per Line'!$I$2:$I$3001,$W681))</f>
        <v/>
      </c>
      <c r="K681" s="7">
        <f>IF($W681="","",J681*T681/100)</f>
        <v/>
      </c>
      <c r="L681" s="14">
        <f>IF($W681="","",INDEX('Per Line'!$V$2:$V$3001,$W681))</f>
        <v/>
      </c>
      <c r="M681">
        <f>IF($W681="","",IF(ISNUMBER(SEARCH("3&amp;12",SUBSTITUTE(F681," ",""))),Settings!$G$7,Settings!$C$7))</f>
        <v/>
      </c>
      <c r="N681" s="7">
        <f>IF($W681="","",SUMIFS('Per Line'!$O$2:$O$3001,'Per Line'!$B$2:$B$3001,$B681,'Per Line'!$AB$2:$AB$3001,0))</f>
        <v/>
      </c>
      <c r="O681" s="7">
        <f>IF($W681="","",N681*M681)</f>
        <v/>
      </c>
      <c r="P681">
        <f>IF($W681="","",IF(ISNUMBER(SEARCH("3&amp;12",SUBSTITUTE(F681," ",""))),Settings!$G$6,Settings!$C$6))</f>
        <v/>
      </c>
      <c r="Q681" s="7">
        <f>IF($W681="","",SUMIFS('Per Line'!$O$2:$O$3001,'Per Line'!$B$2:$B$3001,$B681,'Per Line'!$AB$2:$AB$3001,1))</f>
        <v/>
      </c>
      <c r="R681" s="7">
        <f>IF($W681="","",Q681*P681)</f>
        <v/>
      </c>
      <c r="S681" s="7">
        <f>IF($W681="","",R681+O681)</f>
        <v/>
      </c>
      <c r="T681" s="7">
        <f>IF($W681="","",V681-S681)</f>
        <v/>
      </c>
      <c r="U681" s="7">
        <f>IF($W681="","",V681-S681-K681)</f>
        <v/>
      </c>
      <c r="V681" s="7">
        <f>IF($W681="","",N681+Q681)</f>
        <v/>
      </c>
      <c r="W681" s="16">
        <f>IF(ROWS($W$2:$W681)&lt;=MAX('Per Line'!$AA$2:$AA$3001),MATCH(ROWS($W$2:$W681),'Per Line'!$AA$2:$AA$3001,0),"")</f>
        <v/>
      </c>
      <c r="X681">
        <f>IF($W681="","",D681&amp;"|"&amp;COUNTIF($D$2:$D681,D681))</f>
        <v/>
      </c>
    </row>
    <row r="682">
      <c r="A682" s="15" t="n"/>
      <c r="B682">
        <f>IF($W682="","",INDEX('Per Line'!$B$2:$B$3001,$W682)&amp;"")</f>
        <v/>
      </c>
      <c r="C682">
        <f>IF($W682="","",INDEX('Per Line'!$C$2:$C$3001,$W682)&amp;"")</f>
        <v/>
      </c>
      <c r="D682">
        <f>IF($W682="","",IF(OR(TRIM(E682)="Orient Insurance Company",TRIM(E682)="Allianz"),TRIM(E682),TRIM(F682)))</f>
        <v/>
      </c>
      <c r="E682">
        <f>IF($W682="","",INDEX('Per Line'!$E$2:$E$3001,$W682)&amp;"")</f>
        <v/>
      </c>
      <c r="F682">
        <f>IF($W682="","",INDEX('Per Line'!$D$2:$D$3001,$W682)&amp;"")</f>
        <v/>
      </c>
      <c r="G682">
        <f>IF($W682="","",INDEX('Per Line'!$F$2:$F$3001,$W682)&amp;"")</f>
        <v/>
      </c>
      <c r="H682">
        <f>IF($W682="","",INDEX('Per Line'!$G$2:$G$3001,$W682)&amp;"")</f>
        <v/>
      </c>
      <c r="I682">
        <f>IF($W682="","",INDEX('Per Line'!$H$2:$H$3001,$W682)&amp;"")</f>
        <v/>
      </c>
      <c r="J682">
        <f>IF($W682="","",INDEX('Per Line'!$I$2:$I$3001,$W682))</f>
        <v/>
      </c>
      <c r="K682" s="7">
        <f>IF($W682="","",J682*T682/100)</f>
        <v/>
      </c>
      <c r="L682" s="14">
        <f>IF($W682="","",INDEX('Per Line'!$V$2:$V$3001,$W682))</f>
        <v/>
      </c>
      <c r="M682">
        <f>IF($W682="","",IF(ISNUMBER(SEARCH("3&amp;12",SUBSTITUTE(F682," ",""))),Settings!$G$7,Settings!$C$7))</f>
        <v/>
      </c>
      <c r="N682" s="7">
        <f>IF($W682="","",SUMIFS('Per Line'!$O$2:$O$3001,'Per Line'!$B$2:$B$3001,$B682,'Per Line'!$AB$2:$AB$3001,0))</f>
        <v/>
      </c>
      <c r="O682" s="7">
        <f>IF($W682="","",N682*M682)</f>
        <v/>
      </c>
      <c r="P682">
        <f>IF($W682="","",IF(ISNUMBER(SEARCH("3&amp;12",SUBSTITUTE(F682," ",""))),Settings!$G$6,Settings!$C$6))</f>
        <v/>
      </c>
      <c r="Q682" s="7">
        <f>IF($W682="","",SUMIFS('Per Line'!$O$2:$O$3001,'Per Line'!$B$2:$B$3001,$B682,'Per Line'!$AB$2:$AB$3001,1))</f>
        <v/>
      </c>
      <c r="R682" s="7">
        <f>IF($W682="","",Q682*P682)</f>
        <v/>
      </c>
      <c r="S682" s="7">
        <f>IF($W682="","",R682+O682)</f>
        <v/>
      </c>
      <c r="T682" s="7">
        <f>IF($W682="","",V682-S682)</f>
        <v/>
      </c>
      <c r="U682" s="7">
        <f>IF($W682="","",V682-S682-K682)</f>
        <v/>
      </c>
      <c r="V682" s="7">
        <f>IF($W682="","",N682+Q682)</f>
        <v/>
      </c>
      <c r="W682" s="16">
        <f>IF(ROWS($W$2:$W682)&lt;=MAX('Per Line'!$AA$2:$AA$3001),MATCH(ROWS($W$2:$W682),'Per Line'!$AA$2:$AA$3001,0),"")</f>
        <v/>
      </c>
      <c r="X682">
        <f>IF($W682="","",D682&amp;"|"&amp;COUNTIF($D$2:$D682,D682))</f>
        <v/>
      </c>
    </row>
    <row r="683">
      <c r="A683" s="15" t="n"/>
      <c r="B683">
        <f>IF($W683="","",INDEX('Per Line'!$B$2:$B$3001,$W683)&amp;"")</f>
        <v/>
      </c>
      <c r="C683">
        <f>IF($W683="","",INDEX('Per Line'!$C$2:$C$3001,$W683)&amp;"")</f>
        <v/>
      </c>
      <c r="D683">
        <f>IF($W683="","",IF(OR(TRIM(E683)="Orient Insurance Company",TRIM(E683)="Allianz"),TRIM(E683),TRIM(F683)))</f>
        <v/>
      </c>
      <c r="E683">
        <f>IF($W683="","",INDEX('Per Line'!$E$2:$E$3001,$W683)&amp;"")</f>
        <v/>
      </c>
      <c r="F683">
        <f>IF($W683="","",INDEX('Per Line'!$D$2:$D$3001,$W683)&amp;"")</f>
        <v/>
      </c>
      <c r="G683">
        <f>IF($W683="","",INDEX('Per Line'!$F$2:$F$3001,$W683)&amp;"")</f>
        <v/>
      </c>
      <c r="H683">
        <f>IF($W683="","",INDEX('Per Line'!$G$2:$G$3001,$W683)&amp;"")</f>
        <v/>
      </c>
      <c r="I683">
        <f>IF($W683="","",INDEX('Per Line'!$H$2:$H$3001,$W683)&amp;"")</f>
        <v/>
      </c>
      <c r="J683">
        <f>IF($W683="","",INDEX('Per Line'!$I$2:$I$3001,$W683))</f>
        <v/>
      </c>
      <c r="K683" s="7">
        <f>IF($W683="","",J683*T683/100)</f>
        <v/>
      </c>
      <c r="L683" s="14">
        <f>IF($W683="","",INDEX('Per Line'!$V$2:$V$3001,$W683))</f>
        <v/>
      </c>
      <c r="M683">
        <f>IF($W683="","",IF(ISNUMBER(SEARCH("3&amp;12",SUBSTITUTE(F683," ",""))),Settings!$G$7,Settings!$C$7))</f>
        <v/>
      </c>
      <c r="N683" s="7">
        <f>IF($W683="","",SUMIFS('Per Line'!$O$2:$O$3001,'Per Line'!$B$2:$B$3001,$B683,'Per Line'!$AB$2:$AB$3001,0))</f>
        <v/>
      </c>
      <c r="O683" s="7">
        <f>IF($W683="","",N683*M683)</f>
        <v/>
      </c>
      <c r="P683">
        <f>IF($W683="","",IF(ISNUMBER(SEARCH("3&amp;12",SUBSTITUTE(F683," ",""))),Settings!$G$6,Settings!$C$6))</f>
        <v/>
      </c>
      <c r="Q683" s="7">
        <f>IF($W683="","",SUMIFS('Per Line'!$O$2:$O$3001,'Per Line'!$B$2:$B$3001,$B683,'Per Line'!$AB$2:$AB$3001,1))</f>
        <v/>
      </c>
      <c r="R683" s="7">
        <f>IF($W683="","",Q683*P683)</f>
        <v/>
      </c>
      <c r="S683" s="7">
        <f>IF($W683="","",R683+O683)</f>
        <v/>
      </c>
      <c r="T683" s="7">
        <f>IF($W683="","",V683-S683)</f>
        <v/>
      </c>
      <c r="U683" s="7">
        <f>IF($W683="","",V683-S683-K683)</f>
        <v/>
      </c>
      <c r="V683" s="7">
        <f>IF($W683="","",N683+Q683)</f>
        <v/>
      </c>
      <c r="W683" s="16">
        <f>IF(ROWS($W$2:$W683)&lt;=MAX('Per Line'!$AA$2:$AA$3001),MATCH(ROWS($W$2:$W683),'Per Line'!$AA$2:$AA$3001,0),"")</f>
        <v/>
      </c>
      <c r="X683">
        <f>IF($W683="","",D683&amp;"|"&amp;COUNTIF($D$2:$D683,D683))</f>
        <v/>
      </c>
    </row>
    <row r="684">
      <c r="A684" s="15" t="n"/>
      <c r="B684">
        <f>IF($W684="","",INDEX('Per Line'!$B$2:$B$3001,$W684)&amp;"")</f>
        <v/>
      </c>
      <c r="C684">
        <f>IF($W684="","",INDEX('Per Line'!$C$2:$C$3001,$W684)&amp;"")</f>
        <v/>
      </c>
      <c r="D684">
        <f>IF($W684="","",IF(OR(TRIM(E684)="Orient Insurance Company",TRIM(E684)="Allianz"),TRIM(E684),TRIM(F684)))</f>
        <v/>
      </c>
      <c r="E684">
        <f>IF($W684="","",INDEX('Per Line'!$E$2:$E$3001,$W684)&amp;"")</f>
        <v/>
      </c>
      <c r="F684">
        <f>IF($W684="","",INDEX('Per Line'!$D$2:$D$3001,$W684)&amp;"")</f>
        <v/>
      </c>
      <c r="G684">
        <f>IF($W684="","",INDEX('Per Line'!$F$2:$F$3001,$W684)&amp;"")</f>
        <v/>
      </c>
      <c r="H684">
        <f>IF($W684="","",INDEX('Per Line'!$G$2:$G$3001,$W684)&amp;"")</f>
        <v/>
      </c>
      <c r="I684">
        <f>IF($W684="","",INDEX('Per Line'!$H$2:$H$3001,$W684)&amp;"")</f>
        <v/>
      </c>
      <c r="J684">
        <f>IF($W684="","",INDEX('Per Line'!$I$2:$I$3001,$W684))</f>
        <v/>
      </c>
      <c r="K684" s="7">
        <f>IF($W684="","",J684*T684/100)</f>
        <v/>
      </c>
      <c r="L684" s="14">
        <f>IF($W684="","",INDEX('Per Line'!$V$2:$V$3001,$W684))</f>
        <v/>
      </c>
      <c r="M684">
        <f>IF($W684="","",IF(ISNUMBER(SEARCH("3&amp;12",SUBSTITUTE(F684," ",""))),Settings!$G$7,Settings!$C$7))</f>
        <v/>
      </c>
      <c r="N684" s="7">
        <f>IF($W684="","",SUMIFS('Per Line'!$O$2:$O$3001,'Per Line'!$B$2:$B$3001,$B684,'Per Line'!$AB$2:$AB$3001,0))</f>
        <v/>
      </c>
      <c r="O684" s="7">
        <f>IF($W684="","",N684*M684)</f>
        <v/>
      </c>
      <c r="P684">
        <f>IF($W684="","",IF(ISNUMBER(SEARCH("3&amp;12",SUBSTITUTE(F684," ",""))),Settings!$G$6,Settings!$C$6))</f>
        <v/>
      </c>
      <c r="Q684" s="7">
        <f>IF($W684="","",SUMIFS('Per Line'!$O$2:$O$3001,'Per Line'!$B$2:$B$3001,$B684,'Per Line'!$AB$2:$AB$3001,1))</f>
        <v/>
      </c>
      <c r="R684" s="7">
        <f>IF($W684="","",Q684*P684)</f>
        <v/>
      </c>
      <c r="S684" s="7">
        <f>IF($W684="","",R684+O684)</f>
        <v/>
      </c>
      <c r="T684" s="7">
        <f>IF($W684="","",V684-S684)</f>
        <v/>
      </c>
      <c r="U684" s="7">
        <f>IF($W684="","",V684-S684-K684)</f>
        <v/>
      </c>
      <c r="V684" s="7">
        <f>IF($W684="","",N684+Q684)</f>
        <v/>
      </c>
      <c r="W684" s="16">
        <f>IF(ROWS($W$2:$W684)&lt;=MAX('Per Line'!$AA$2:$AA$3001),MATCH(ROWS($W$2:$W684),'Per Line'!$AA$2:$AA$3001,0),"")</f>
        <v/>
      </c>
      <c r="X684">
        <f>IF($W684="","",D684&amp;"|"&amp;COUNTIF($D$2:$D684,D684))</f>
        <v/>
      </c>
    </row>
    <row r="685">
      <c r="A685" s="15" t="n"/>
      <c r="B685">
        <f>IF($W685="","",INDEX('Per Line'!$B$2:$B$3001,$W685)&amp;"")</f>
        <v/>
      </c>
      <c r="C685">
        <f>IF($W685="","",INDEX('Per Line'!$C$2:$C$3001,$W685)&amp;"")</f>
        <v/>
      </c>
      <c r="D685">
        <f>IF($W685="","",IF(OR(TRIM(E685)="Orient Insurance Company",TRIM(E685)="Allianz"),TRIM(E685),TRIM(F685)))</f>
        <v/>
      </c>
      <c r="E685">
        <f>IF($W685="","",INDEX('Per Line'!$E$2:$E$3001,$W685)&amp;"")</f>
        <v/>
      </c>
      <c r="F685">
        <f>IF($W685="","",INDEX('Per Line'!$D$2:$D$3001,$W685)&amp;"")</f>
        <v/>
      </c>
      <c r="G685">
        <f>IF($W685="","",INDEX('Per Line'!$F$2:$F$3001,$W685)&amp;"")</f>
        <v/>
      </c>
      <c r="H685">
        <f>IF($W685="","",INDEX('Per Line'!$G$2:$G$3001,$W685)&amp;"")</f>
        <v/>
      </c>
      <c r="I685">
        <f>IF($W685="","",INDEX('Per Line'!$H$2:$H$3001,$W685)&amp;"")</f>
        <v/>
      </c>
      <c r="J685">
        <f>IF($W685="","",INDEX('Per Line'!$I$2:$I$3001,$W685))</f>
        <v/>
      </c>
      <c r="K685" s="7">
        <f>IF($W685="","",J685*T685/100)</f>
        <v/>
      </c>
      <c r="L685" s="14">
        <f>IF($W685="","",INDEX('Per Line'!$V$2:$V$3001,$W685))</f>
        <v/>
      </c>
      <c r="M685">
        <f>IF($W685="","",IF(ISNUMBER(SEARCH("3&amp;12",SUBSTITUTE(F685," ",""))),Settings!$G$7,Settings!$C$7))</f>
        <v/>
      </c>
      <c r="N685" s="7">
        <f>IF($W685="","",SUMIFS('Per Line'!$O$2:$O$3001,'Per Line'!$B$2:$B$3001,$B685,'Per Line'!$AB$2:$AB$3001,0))</f>
        <v/>
      </c>
      <c r="O685" s="7">
        <f>IF($W685="","",N685*M685)</f>
        <v/>
      </c>
      <c r="P685">
        <f>IF($W685="","",IF(ISNUMBER(SEARCH("3&amp;12",SUBSTITUTE(F685," ",""))),Settings!$G$6,Settings!$C$6))</f>
        <v/>
      </c>
      <c r="Q685" s="7">
        <f>IF($W685="","",SUMIFS('Per Line'!$O$2:$O$3001,'Per Line'!$B$2:$B$3001,$B685,'Per Line'!$AB$2:$AB$3001,1))</f>
        <v/>
      </c>
      <c r="R685" s="7">
        <f>IF($W685="","",Q685*P685)</f>
        <v/>
      </c>
      <c r="S685" s="7">
        <f>IF($W685="","",R685+O685)</f>
        <v/>
      </c>
      <c r="T685" s="7">
        <f>IF($W685="","",V685-S685)</f>
        <v/>
      </c>
      <c r="U685" s="7">
        <f>IF($W685="","",V685-S685-K685)</f>
        <v/>
      </c>
      <c r="V685" s="7">
        <f>IF($W685="","",N685+Q685)</f>
        <v/>
      </c>
      <c r="W685" s="16">
        <f>IF(ROWS($W$2:$W685)&lt;=MAX('Per Line'!$AA$2:$AA$3001),MATCH(ROWS($W$2:$W685),'Per Line'!$AA$2:$AA$3001,0),"")</f>
        <v/>
      </c>
      <c r="X685">
        <f>IF($W685="","",D685&amp;"|"&amp;COUNTIF($D$2:$D685,D685))</f>
        <v/>
      </c>
    </row>
    <row r="686">
      <c r="A686" s="15" t="n"/>
      <c r="B686">
        <f>IF($W686="","",INDEX('Per Line'!$B$2:$B$3001,$W686)&amp;"")</f>
        <v/>
      </c>
      <c r="C686">
        <f>IF($W686="","",INDEX('Per Line'!$C$2:$C$3001,$W686)&amp;"")</f>
        <v/>
      </c>
      <c r="D686">
        <f>IF($W686="","",IF(OR(TRIM(E686)="Orient Insurance Company",TRIM(E686)="Allianz"),TRIM(E686),TRIM(F686)))</f>
        <v/>
      </c>
      <c r="E686">
        <f>IF($W686="","",INDEX('Per Line'!$E$2:$E$3001,$W686)&amp;"")</f>
        <v/>
      </c>
      <c r="F686">
        <f>IF($W686="","",INDEX('Per Line'!$D$2:$D$3001,$W686)&amp;"")</f>
        <v/>
      </c>
      <c r="G686">
        <f>IF($W686="","",INDEX('Per Line'!$F$2:$F$3001,$W686)&amp;"")</f>
        <v/>
      </c>
      <c r="H686">
        <f>IF($W686="","",INDEX('Per Line'!$G$2:$G$3001,$W686)&amp;"")</f>
        <v/>
      </c>
      <c r="I686">
        <f>IF($W686="","",INDEX('Per Line'!$H$2:$H$3001,$W686)&amp;"")</f>
        <v/>
      </c>
      <c r="J686">
        <f>IF($W686="","",INDEX('Per Line'!$I$2:$I$3001,$W686))</f>
        <v/>
      </c>
      <c r="K686" s="7">
        <f>IF($W686="","",J686*T686/100)</f>
        <v/>
      </c>
      <c r="L686" s="14">
        <f>IF($W686="","",INDEX('Per Line'!$V$2:$V$3001,$W686))</f>
        <v/>
      </c>
      <c r="M686">
        <f>IF($W686="","",IF(ISNUMBER(SEARCH("3&amp;12",SUBSTITUTE(F686," ",""))),Settings!$G$7,Settings!$C$7))</f>
        <v/>
      </c>
      <c r="N686" s="7">
        <f>IF($W686="","",SUMIFS('Per Line'!$O$2:$O$3001,'Per Line'!$B$2:$B$3001,$B686,'Per Line'!$AB$2:$AB$3001,0))</f>
        <v/>
      </c>
      <c r="O686" s="7">
        <f>IF($W686="","",N686*M686)</f>
        <v/>
      </c>
      <c r="P686">
        <f>IF($W686="","",IF(ISNUMBER(SEARCH("3&amp;12",SUBSTITUTE(F686," ",""))),Settings!$G$6,Settings!$C$6))</f>
        <v/>
      </c>
      <c r="Q686" s="7">
        <f>IF($W686="","",SUMIFS('Per Line'!$O$2:$O$3001,'Per Line'!$B$2:$B$3001,$B686,'Per Line'!$AB$2:$AB$3001,1))</f>
        <v/>
      </c>
      <c r="R686" s="7">
        <f>IF($W686="","",Q686*P686)</f>
        <v/>
      </c>
      <c r="S686" s="7">
        <f>IF($W686="","",R686+O686)</f>
        <v/>
      </c>
      <c r="T686" s="7">
        <f>IF($W686="","",V686-S686)</f>
        <v/>
      </c>
      <c r="U686" s="7">
        <f>IF($W686="","",V686-S686-K686)</f>
        <v/>
      </c>
      <c r="V686" s="7">
        <f>IF($W686="","",N686+Q686)</f>
        <v/>
      </c>
      <c r="W686" s="16">
        <f>IF(ROWS($W$2:$W686)&lt;=MAX('Per Line'!$AA$2:$AA$3001),MATCH(ROWS($W$2:$W686),'Per Line'!$AA$2:$AA$3001,0),"")</f>
        <v/>
      </c>
      <c r="X686">
        <f>IF($W686="","",D686&amp;"|"&amp;COUNTIF($D$2:$D686,D686))</f>
        <v/>
      </c>
    </row>
    <row r="687">
      <c r="A687" s="15" t="n"/>
      <c r="B687">
        <f>IF($W687="","",INDEX('Per Line'!$B$2:$B$3001,$W687)&amp;"")</f>
        <v/>
      </c>
      <c r="C687">
        <f>IF($W687="","",INDEX('Per Line'!$C$2:$C$3001,$W687)&amp;"")</f>
        <v/>
      </c>
      <c r="D687">
        <f>IF($W687="","",IF(OR(TRIM(E687)="Orient Insurance Company",TRIM(E687)="Allianz"),TRIM(E687),TRIM(F687)))</f>
        <v/>
      </c>
      <c r="E687">
        <f>IF($W687="","",INDEX('Per Line'!$E$2:$E$3001,$W687)&amp;"")</f>
        <v/>
      </c>
      <c r="F687">
        <f>IF($W687="","",INDEX('Per Line'!$D$2:$D$3001,$W687)&amp;"")</f>
        <v/>
      </c>
      <c r="G687">
        <f>IF($W687="","",INDEX('Per Line'!$F$2:$F$3001,$W687)&amp;"")</f>
        <v/>
      </c>
      <c r="H687">
        <f>IF($W687="","",INDEX('Per Line'!$G$2:$G$3001,$W687)&amp;"")</f>
        <v/>
      </c>
      <c r="I687">
        <f>IF($W687="","",INDEX('Per Line'!$H$2:$H$3001,$W687)&amp;"")</f>
        <v/>
      </c>
      <c r="J687">
        <f>IF($W687="","",INDEX('Per Line'!$I$2:$I$3001,$W687))</f>
        <v/>
      </c>
      <c r="K687" s="7">
        <f>IF($W687="","",J687*T687/100)</f>
        <v/>
      </c>
      <c r="L687" s="14">
        <f>IF($W687="","",INDEX('Per Line'!$V$2:$V$3001,$W687))</f>
        <v/>
      </c>
      <c r="M687">
        <f>IF($W687="","",IF(ISNUMBER(SEARCH("3&amp;12",SUBSTITUTE(F687," ",""))),Settings!$G$7,Settings!$C$7))</f>
        <v/>
      </c>
      <c r="N687" s="7">
        <f>IF($W687="","",SUMIFS('Per Line'!$O$2:$O$3001,'Per Line'!$B$2:$B$3001,$B687,'Per Line'!$AB$2:$AB$3001,0))</f>
        <v/>
      </c>
      <c r="O687" s="7">
        <f>IF($W687="","",N687*M687)</f>
        <v/>
      </c>
      <c r="P687">
        <f>IF($W687="","",IF(ISNUMBER(SEARCH("3&amp;12",SUBSTITUTE(F687," ",""))),Settings!$G$6,Settings!$C$6))</f>
        <v/>
      </c>
      <c r="Q687" s="7">
        <f>IF($W687="","",SUMIFS('Per Line'!$O$2:$O$3001,'Per Line'!$B$2:$B$3001,$B687,'Per Line'!$AB$2:$AB$3001,1))</f>
        <v/>
      </c>
      <c r="R687" s="7">
        <f>IF($W687="","",Q687*P687)</f>
        <v/>
      </c>
      <c r="S687" s="7">
        <f>IF($W687="","",R687+O687)</f>
        <v/>
      </c>
      <c r="T687" s="7">
        <f>IF($W687="","",V687-S687)</f>
        <v/>
      </c>
      <c r="U687" s="7">
        <f>IF($W687="","",V687-S687-K687)</f>
        <v/>
      </c>
      <c r="V687" s="7">
        <f>IF($W687="","",N687+Q687)</f>
        <v/>
      </c>
      <c r="W687" s="16">
        <f>IF(ROWS($W$2:$W687)&lt;=MAX('Per Line'!$AA$2:$AA$3001),MATCH(ROWS($W$2:$W687),'Per Line'!$AA$2:$AA$3001,0),"")</f>
        <v/>
      </c>
      <c r="X687">
        <f>IF($W687="","",D687&amp;"|"&amp;COUNTIF($D$2:$D687,D687))</f>
        <v/>
      </c>
    </row>
    <row r="688">
      <c r="A688" s="15" t="n"/>
      <c r="B688">
        <f>IF($W688="","",INDEX('Per Line'!$B$2:$B$3001,$W688)&amp;"")</f>
        <v/>
      </c>
      <c r="C688">
        <f>IF($W688="","",INDEX('Per Line'!$C$2:$C$3001,$W688)&amp;"")</f>
        <v/>
      </c>
      <c r="D688">
        <f>IF($W688="","",IF(OR(TRIM(E688)="Orient Insurance Company",TRIM(E688)="Allianz"),TRIM(E688),TRIM(F688)))</f>
        <v/>
      </c>
      <c r="E688">
        <f>IF($W688="","",INDEX('Per Line'!$E$2:$E$3001,$W688)&amp;"")</f>
        <v/>
      </c>
      <c r="F688">
        <f>IF($W688="","",INDEX('Per Line'!$D$2:$D$3001,$W688)&amp;"")</f>
        <v/>
      </c>
      <c r="G688">
        <f>IF($W688="","",INDEX('Per Line'!$F$2:$F$3001,$W688)&amp;"")</f>
        <v/>
      </c>
      <c r="H688">
        <f>IF($W688="","",INDEX('Per Line'!$G$2:$G$3001,$W688)&amp;"")</f>
        <v/>
      </c>
      <c r="I688">
        <f>IF($W688="","",INDEX('Per Line'!$H$2:$H$3001,$W688)&amp;"")</f>
        <v/>
      </c>
      <c r="J688">
        <f>IF($W688="","",INDEX('Per Line'!$I$2:$I$3001,$W688))</f>
        <v/>
      </c>
      <c r="K688" s="7">
        <f>IF($W688="","",J688*T688/100)</f>
        <v/>
      </c>
      <c r="L688" s="14">
        <f>IF($W688="","",INDEX('Per Line'!$V$2:$V$3001,$W688))</f>
        <v/>
      </c>
      <c r="M688">
        <f>IF($W688="","",IF(ISNUMBER(SEARCH("3&amp;12",SUBSTITUTE(F688," ",""))),Settings!$G$7,Settings!$C$7))</f>
        <v/>
      </c>
      <c r="N688" s="7">
        <f>IF($W688="","",SUMIFS('Per Line'!$O$2:$O$3001,'Per Line'!$B$2:$B$3001,$B688,'Per Line'!$AB$2:$AB$3001,0))</f>
        <v/>
      </c>
      <c r="O688" s="7">
        <f>IF($W688="","",N688*M688)</f>
        <v/>
      </c>
      <c r="P688">
        <f>IF($W688="","",IF(ISNUMBER(SEARCH("3&amp;12",SUBSTITUTE(F688," ",""))),Settings!$G$6,Settings!$C$6))</f>
        <v/>
      </c>
      <c r="Q688" s="7">
        <f>IF($W688="","",SUMIFS('Per Line'!$O$2:$O$3001,'Per Line'!$B$2:$B$3001,$B688,'Per Line'!$AB$2:$AB$3001,1))</f>
        <v/>
      </c>
      <c r="R688" s="7">
        <f>IF($W688="","",Q688*P688)</f>
        <v/>
      </c>
      <c r="S688" s="7">
        <f>IF($W688="","",R688+O688)</f>
        <v/>
      </c>
      <c r="T688" s="7">
        <f>IF($W688="","",V688-S688)</f>
        <v/>
      </c>
      <c r="U688" s="7">
        <f>IF($W688="","",V688-S688-K688)</f>
        <v/>
      </c>
      <c r="V688" s="7">
        <f>IF($W688="","",N688+Q688)</f>
        <v/>
      </c>
      <c r="W688" s="16">
        <f>IF(ROWS($W$2:$W688)&lt;=MAX('Per Line'!$AA$2:$AA$3001),MATCH(ROWS($W$2:$W688),'Per Line'!$AA$2:$AA$3001,0),"")</f>
        <v/>
      </c>
      <c r="X688">
        <f>IF($W688="","",D688&amp;"|"&amp;COUNTIF($D$2:$D688,D688))</f>
        <v/>
      </c>
    </row>
    <row r="689">
      <c r="A689" s="15" t="n"/>
      <c r="B689">
        <f>IF($W689="","",INDEX('Per Line'!$B$2:$B$3001,$W689)&amp;"")</f>
        <v/>
      </c>
      <c r="C689">
        <f>IF($W689="","",INDEX('Per Line'!$C$2:$C$3001,$W689)&amp;"")</f>
        <v/>
      </c>
      <c r="D689">
        <f>IF($W689="","",IF(OR(TRIM(E689)="Orient Insurance Company",TRIM(E689)="Allianz"),TRIM(E689),TRIM(F689)))</f>
        <v/>
      </c>
      <c r="E689">
        <f>IF($W689="","",INDEX('Per Line'!$E$2:$E$3001,$W689)&amp;"")</f>
        <v/>
      </c>
      <c r="F689">
        <f>IF($W689="","",INDEX('Per Line'!$D$2:$D$3001,$W689)&amp;"")</f>
        <v/>
      </c>
      <c r="G689">
        <f>IF($W689="","",INDEX('Per Line'!$F$2:$F$3001,$W689)&amp;"")</f>
        <v/>
      </c>
      <c r="H689">
        <f>IF($W689="","",INDEX('Per Line'!$G$2:$G$3001,$W689)&amp;"")</f>
        <v/>
      </c>
      <c r="I689">
        <f>IF($W689="","",INDEX('Per Line'!$H$2:$H$3001,$W689)&amp;"")</f>
        <v/>
      </c>
      <c r="J689">
        <f>IF($W689="","",INDEX('Per Line'!$I$2:$I$3001,$W689))</f>
        <v/>
      </c>
      <c r="K689" s="7">
        <f>IF($W689="","",J689*T689/100)</f>
        <v/>
      </c>
      <c r="L689" s="14">
        <f>IF($W689="","",INDEX('Per Line'!$V$2:$V$3001,$W689))</f>
        <v/>
      </c>
      <c r="M689">
        <f>IF($W689="","",IF(ISNUMBER(SEARCH("3&amp;12",SUBSTITUTE(F689," ",""))),Settings!$G$7,Settings!$C$7))</f>
        <v/>
      </c>
      <c r="N689" s="7">
        <f>IF($W689="","",SUMIFS('Per Line'!$O$2:$O$3001,'Per Line'!$B$2:$B$3001,$B689,'Per Line'!$AB$2:$AB$3001,0))</f>
        <v/>
      </c>
      <c r="O689" s="7">
        <f>IF($W689="","",N689*M689)</f>
        <v/>
      </c>
      <c r="P689">
        <f>IF($W689="","",IF(ISNUMBER(SEARCH("3&amp;12",SUBSTITUTE(F689," ",""))),Settings!$G$6,Settings!$C$6))</f>
        <v/>
      </c>
      <c r="Q689" s="7">
        <f>IF($W689="","",SUMIFS('Per Line'!$O$2:$O$3001,'Per Line'!$B$2:$B$3001,$B689,'Per Line'!$AB$2:$AB$3001,1))</f>
        <v/>
      </c>
      <c r="R689" s="7">
        <f>IF($W689="","",Q689*P689)</f>
        <v/>
      </c>
      <c r="S689" s="7">
        <f>IF($W689="","",R689+O689)</f>
        <v/>
      </c>
      <c r="T689" s="7">
        <f>IF($W689="","",V689-S689)</f>
        <v/>
      </c>
      <c r="U689" s="7">
        <f>IF($W689="","",V689-S689-K689)</f>
        <v/>
      </c>
      <c r="V689" s="7">
        <f>IF($W689="","",N689+Q689)</f>
        <v/>
      </c>
      <c r="W689" s="16">
        <f>IF(ROWS($W$2:$W689)&lt;=MAX('Per Line'!$AA$2:$AA$3001),MATCH(ROWS($W$2:$W689),'Per Line'!$AA$2:$AA$3001,0),"")</f>
        <v/>
      </c>
      <c r="X689">
        <f>IF($W689="","",D689&amp;"|"&amp;COUNTIF($D$2:$D689,D689))</f>
        <v/>
      </c>
    </row>
    <row r="690">
      <c r="A690" s="15" t="n"/>
      <c r="B690">
        <f>IF($W690="","",INDEX('Per Line'!$B$2:$B$3001,$W690)&amp;"")</f>
        <v/>
      </c>
      <c r="C690">
        <f>IF($W690="","",INDEX('Per Line'!$C$2:$C$3001,$W690)&amp;"")</f>
        <v/>
      </c>
      <c r="D690">
        <f>IF($W690="","",IF(OR(TRIM(E690)="Orient Insurance Company",TRIM(E690)="Allianz"),TRIM(E690),TRIM(F690)))</f>
        <v/>
      </c>
      <c r="E690">
        <f>IF($W690="","",INDEX('Per Line'!$E$2:$E$3001,$W690)&amp;"")</f>
        <v/>
      </c>
      <c r="F690">
        <f>IF($W690="","",INDEX('Per Line'!$D$2:$D$3001,$W690)&amp;"")</f>
        <v/>
      </c>
      <c r="G690">
        <f>IF($W690="","",INDEX('Per Line'!$F$2:$F$3001,$W690)&amp;"")</f>
        <v/>
      </c>
      <c r="H690">
        <f>IF($W690="","",INDEX('Per Line'!$G$2:$G$3001,$W690)&amp;"")</f>
        <v/>
      </c>
      <c r="I690">
        <f>IF($W690="","",INDEX('Per Line'!$H$2:$H$3001,$W690)&amp;"")</f>
        <v/>
      </c>
      <c r="J690">
        <f>IF($W690="","",INDEX('Per Line'!$I$2:$I$3001,$W690))</f>
        <v/>
      </c>
      <c r="K690" s="7">
        <f>IF($W690="","",J690*T690/100)</f>
        <v/>
      </c>
      <c r="L690" s="14">
        <f>IF($W690="","",INDEX('Per Line'!$V$2:$V$3001,$W690))</f>
        <v/>
      </c>
      <c r="M690">
        <f>IF($W690="","",IF(ISNUMBER(SEARCH("3&amp;12",SUBSTITUTE(F690," ",""))),Settings!$G$7,Settings!$C$7))</f>
        <v/>
      </c>
      <c r="N690" s="7">
        <f>IF($W690="","",SUMIFS('Per Line'!$O$2:$O$3001,'Per Line'!$B$2:$B$3001,$B690,'Per Line'!$AB$2:$AB$3001,0))</f>
        <v/>
      </c>
      <c r="O690" s="7">
        <f>IF($W690="","",N690*M690)</f>
        <v/>
      </c>
      <c r="P690">
        <f>IF($W690="","",IF(ISNUMBER(SEARCH("3&amp;12",SUBSTITUTE(F690," ",""))),Settings!$G$6,Settings!$C$6))</f>
        <v/>
      </c>
      <c r="Q690" s="7">
        <f>IF($W690="","",SUMIFS('Per Line'!$O$2:$O$3001,'Per Line'!$B$2:$B$3001,$B690,'Per Line'!$AB$2:$AB$3001,1))</f>
        <v/>
      </c>
      <c r="R690" s="7">
        <f>IF($W690="","",Q690*P690)</f>
        <v/>
      </c>
      <c r="S690" s="7">
        <f>IF($W690="","",R690+O690)</f>
        <v/>
      </c>
      <c r="T690" s="7">
        <f>IF($W690="","",V690-S690)</f>
        <v/>
      </c>
      <c r="U690" s="7">
        <f>IF($W690="","",V690-S690-K690)</f>
        <v/>
      </c>
      <c r="V690" s="7">
        <f>IF($W690="","",N690+Q690)</f>
        <v/>
      </c>
      <c r="W690" s="16">
        <f>IF(ROWS($W$2:$W690)&lt;=MAX('Per Line'!$AA$2:$AA$3001),MATCH(ROWS($W$2:$W690),'Per Line'!$AA$2:$AA$3001,0),"")</f>
        <v/>
      </c>
      <c r="X690">
        <f>IF($W690="","",D690&amp;"|"&amp;COUNTIF($D$2:$D690,D690))</f>
        <v/>
      </c>
    </row>
    <row r="691">
      <c r="A691" s="15" t="n"/>
      <c r="B691">
        <f>IF($W691="","",INDEX('Per Line'!$B$2:$B$3001,$W691)&amp;"")</f>
        <v/>
      </c>
      <c r="C691">
        <f>IF($W691="","",INDEX('Per Line'!$C$2:$C$3001,$W691)&amp;"")</f>
        <v/>
      </c>
      <c r="D691">
        <f>IF($W691="","",IF(OR(TRIM(E691)="Orient Insurance Company",TRIM(E691)="Allianz"),TRIM(E691),TRIM(F691)))</f>
        <v/>
      </c>
      <c r="E691">
        <f>IF($W691="","",INDEX('Per Line'!$E$2:$E$3001,$W691)&amp;"")</f>
        <v/>
      </c>
      <c r="F691">
        <f>IF($W691="","",INDEX('Per Line'!$D$2:$D$3001,$W691)&amp;"")</f>
        <v/>
      </c>
      <c r="G691">
        <f>IF($W691="","",INDEX('Per Line'!$F$2:$F$3001,$W691)&amp;"")</f>
        <v/>
      </c>
      <c r="H691">
        <f>IF($W691="","",INDEX('Per Line'!$G$2:$G$3001,$W691)&amp;"")</f>
        <v/>
      </c>
      <c r="I691">
        <f>IF($W691="","",INDEX('Per Line'!$H$2:$H$3001,$W691)&amp;"")</f>
        <v/>
      </c>
      <c r="J691">
        <f>IF($W691="","",INDEX('Per Line'!$I$2:$I$3001,$W691))</f>
        <v/>
      </c>
      <c r="K691" s="7">
        <f>IF($W691="","",J691*T691/100)</f>
        <v/>
      </c>
      <c r="L691" s="14">
        <f>IF($W691="","",INDEX('Per Line'!$V$2:$V$3001,$W691))</f>
        <v/>
      </c>
      <c r="M691">
        <f>IF($W691="","",IF(ISNUMBER(SEARCH("3&amp;12",SUBSTITUTE(F691," ",""))),Settings!$G$7,Settings!$C$7))</f>
        <v/>
      </c>
      <c r="N691" s="7">
        <f>IF($W691="","",SUMIFS('Per Line'!$O$2:$O$3001,'Per Line'!$B$2:$B$3001,$B691,'Per Line'!$AB$2:$AB$3001,0))</f>
        <v/>
      </c>
      <c r="O691" s="7">
        <f>IF($W691="","",N691*M691)</f>
        <v/>
      </c>
      <c r="P691">
        <f>IF($W691="","",IF(ISNUMBER(SEARCH("3&amp;12",SUBSTITUTE(F691," ",""))),Settings!$G$6,Settings!$C$6))</f>
        <v/>
      </c>
      <c r="Q691" s="7">
        <f>IF($W691="","",SUMIFS('Per Line'!$O$2:$O$3001,'Per Line'!$B$2:$B$3001,$B691,'Per Line'!$AB$2:$AB$3001,1))</f>
        <v/>
      </c>
      <c r="R691" s="7">
        <f>IF($W691="","",Q691*P691)</f>
        <v/>
      </c>
      <c r="S691" s="7">
        <f>IF($W691="","",R691+O691)</f>
        <v/>
      </c>
      <c r="T691" s="7">
        <f>IF($W691="","",V691-S691)</f>
        <v/>
      </c>
      <c r="U691" s="7">
        <f>IF($W691="","",V691-S691-K691)</f>
        <v/>
      </c>
      <c r="V691" s="7">
        <f>IF($W691="","",N691+Q691)</f>
        <v/>
      </c>
      <c r="W691" s="16">
        <f>IF(ROWS($W$2:$W691)&lt;=MAX('Per Line'!$AA$2:$AA$3001),MATCH(ROWS($W$2:$W691),'Per Line'!$AA$2:$AA$3001,0),"")</f>
        <v/>
      </c>
      <c r="X691">
        <f>IF($W691="","",D691&amp;"|"&amp;COUNTIF($D$2:$D691,D691))</f>
        <v/>
      </c>
    </row>
    <row r="692">
      <c r="A692" s="15" t="n"/>
      <c r="B692">
        <f>IF($W692="","",INDEX('Per Line'!$B$2:$B$3001,$W692)&amp;"")</f>
        <v/>
      </c>
      <c r="C692">
        <f>IF($W692="","",INDEX('Per Line'!$C$2:$C$3001,$W692)&amp;"")</f>
        <v/>
      </c>
      <c r="D692">
        <f>IF($W692="","",IF(OR(TRIM(E692)="Orient Insurance Company",TRIM(E692)="Allianz"),TRIM(E692),TRIM(F692)))</f>
        <v/>
      </c>
      <c r="E692">
        <f>IF($W692="","",INDEX('Per Line'!$E$2:$E$3001,$W692)&amp;"")</f>
        <v/>
      </c>
      <c r="F692">
        <f>IF($W692="","",INDEX('Per Line'!$D$2:$D$3001,$W692)&amp;"")</f>
        <v/>
      </c>
      <c r="G692">
        <f>IF($W692="","",INDEX('Per Line'!$F$2:$F$3001,$W692)&amp;"")</f>
        <v/>
      </c>
      <c r="H692">
        <f>IF($W692="","",INDEX('Per Line'!$G$2:$G$3001,$W692)&amp;"")</f>
        <v/>
      </c>
      <c r="I692">
        <f>IF($W692="","",INDEX('Per Line'!$H$2:$H$3001,$W692)&amp;"")</f>
        <v/>
      </c>
      <c r="J692">
        <f>IF($W692="","",INDEX('Per Line'!$I$2:$I$3001,$W692))</f>
        <v/>
      </c>
      <c r="K692" s="7">
        <f>IF($W692="","",J692*T692/100)</f>
        <v/>
      </c>
      <c r="L692" s="14">
        <f>IF($W692="","",INDEX('Per Line'!$V$2:$V$3001,$W692))</f>
        <v/>
      </c>
      <c r="M692">
        <f>IF($W692="","",IF(ISNUMBER(SEARCH("3&amp;12",SUBSTITUTE(F692," ",""))),Settings!$G$7,Settings!$C$7))</f>
        <v/>
      </c>
      <c r="N692" s="7">
        <f>IF($W692="","",SUMIFS('Per Line'!$O$2:$O$3001,'Per Line'!$B$2:$B$3001,$B692,'Per Line'!$AB$2:$AB$3001,0))</f>
        <v/>
      </c>
      <c r="O692" s="7">
        <f>IF($W692="","",N692*M692)</f>
        <v/>
      </c>
      <c r="P692">
        <f>IF($W692="","",IF(ISNUMBER(SEARCH("3&amp;12",SUBSTITUTE(F692," ",""))),Settings!$G$6,Settings!$C$6))</f>
        <v/>
      </c>
      <c r="Q692" s="7">
        <f>IF($W692="","",SUMIFS('Per Line'!$O$2:$O$3001,'Per Line'!$B$2:$B$3001,$B692,'Per Line'!$AB$2:$AB$3001,1))</f>
        <v/>
      </c>
      <c r="R692" s="7">
        <f>IF($W692="","",Q692*P692)</f>
        <v/>
      </c>
      <c r="S692" s="7">
        <f>IF($W692="","",R692+O692)</f>
        <v/>
      </c>
      <c r="T692" s="7">
        <f>IF($W692="","",V692-S692)</f>
        <v/>
      </c>
      <c r="U692" s="7">
        <f>IF($W692="","",V692-S692-K692)</f>
        <v/>
      </c>
      <c r="V692" s="7">
        <f>IF($W692="","",N692+Q692)</f>
        <v/>
      </c>
      <c r="W692" s="16">
        <f>IF(ROWS($W$2:$W692)&lt;=MAX('Per Line'!$AA$2:$AA$3001),MATCH(ROWS($W$2:$W692),'Per Line'!$AA$2:$AA$3001,0),"")</f>
        <v/>
      </c>
      <c r="X692">
        <f>IF($W692="","",D692&amp;"|"&amp;COUNTIF($D$2:$D692,D692))</f>
        <v/>
      </c>
    </row>
    <row r="693">
      <c r="A693" s="15" t="n"/>
      <c r="B693">
        <f>IF($W693="","",INDEX('Per Line'!$B$2:$B$3001,$W693)&amp;"")</f>
        <v/>
      </c>
      <c r="C693">
        <f>IF($W693="","",INDEX('Per Line'!$C$2:$C$3001,$W693)&amp;"")</f>
        <v/>
      </c>
      <c r="D693">
        <f>IF($W693="","",IF(OR(TRIM(E693)="Orient Insurance Company",TRIM(E693)="Allianz"),TRIM(E693),TRIM(F693)))</f>
        <v/>
      </c>
      <c r="E693">
        <f>IF($W693="","",INDEX('Per Line'!$E$2:$E$3001,$W693)&amp;"")</f>
        <v/>
      </c>
      <c r="F693">
        <f>IF($W693="","",INDEX('Per Line'!$D$2:$D$3001,$W693)&amp;"")</f>
        <v/>
      </c>
      <c r="G693">
        <f>IF($W693="","",INDEX('Per Line'!$F$2:$F$3001,$W693)&amp;"")</f>
        <v/>
      </c>
      <c r="H693">
        <f>IF($W693="","",INDEX('Per Line'!$G$2:$G$3001,$W693)&amp;"")</f>
        <v/>
      </c>
      <c r="I693">
        <f>IF($W693="","",INDEX('Per Line'!$H$2:$H$3001,$W693)&amp;"")</f>
        <v/>
      </c>
      <c r="J693">
        <f>IF($W693="","",INDEX('Per Line'!$I$2:$I$3001,$W693))</f>
        <v/>
      </c>
      <c r="K693" s="7">
        <f>IF($W693="","",J693*T693/100)</f>
        <v/>
      </c>
      <c r="L693" s="14">
        <f>IF($W693="","",INDEX('Per Line'!$V$2:$V$3001,$W693))</f>
        <v/>
      </c>
      <c r="M693">
        <f>IF($W693="","",IF(ISNUMBER(SEARCH("3&amp;12",SUBSTITUTE(F693," ",""))),Settings!$G$7,Settings!$C$7))</f>
        <v/>
      </c>
      <c r="N693" s="7">
        <f>IF($W693="","",SUMIFS('Per Line'!$O$2:$O$3001,'Per Line'!$B$2:$B$3001,$B693,'Per Line'!$AB$2:$AB$3001,0))</f>
        <v/>
      </c>
      <c r="O693" s="7">
        <f>IF($W693="","",N693*M693)</f>
        <v/>
      </c>
      <c r="P693">
        <f>IF($W693="","",IF(ISNUMBER(SEARCH("3&amp;12",SUBSTITUTE(F693," ",""))),Settings!$G$6,Settings!$C$6))</f>
        <v/>
      </c>
      <c r="Q693" s="7">
        <f>IF($W693="","",SUMIFS('Per Line'!$O$2:$O$3001,'Per Line'!$B$2:$B$3001,$B693,'Per Line'!$AB$2:$AB$3001,1))</f>
        <v/>
      </c>
      <c r="R693" s="7">
        <f>IF($W693="","",Q693*P693)</f>
        <v/>
      </c>
      <c r="S693" s="7">
        <f>IF($W693="","",R693+O693)</f>
        <v/>
      </c>
      <c r="T693" s="7">
        <f>IF($W693="","",V693-S693)</f>
        <v/>
      </c>
      <c r="U693" s="7">
        <f>IF($W693="","",V693-S693-K693)</f>
        <v/>
      </c>
      <c r="V693" s="7">
        <f>IF($W693="","",N693+Q693)</f>
        <v/>
      </c>
      <c r="W693" s="16">
        <f>IF(ROWS($W$2:$W693)&lt;=MAX('Per Line'!$AA$2:$AA$3001),MATCH(ROWS($W$2:$W693),'Per Line'!$AA$2:$AA$3001,0),"")</f>
        <v/>
      </c>
      <c r="X693">
        <f>IF($W693="","",D693&amp;"|"&amp;COUNTIF($D$2:$D693,D693))</f>
        <v/>
      </c>
    </row>
    <row r="694">
      <c r="A694" s="15" t="n"/>
      <c r="B694">
        <f>IF($W694="","",INDEX('Per Line'!$B$2:$B$3001,$W694)&amp;"")</f>
        <v/>
      </c>
      <c r="C694">
        <f>IF($W694="","",INDEX('Per Line'!$C$2:$C$3001,$W694)&amp;"")</f>
        <v/>
      </c>
      <c r="D694">
        <f>IF($W694="","",IF(OR(TRIM(E694)="Orient Insurance Company",TRIM(E694)="Allianz"),TRIM(E694),TRIM(F694)))</f>
        <v/>
      </c>
      <c r="E694">
        <f>IF($W694="","",INDEX('Per Line'!$E$2:$E$3001,$W694)&amp;"")</f>
        <v/>
      </c>
      <c r="F694">
        <f>IF($W694="","",INDEX('Per Line'!$D$2:$D$3001,$W694)&amp;"")</f>
        <v/>
      </c>
      <c r="G694">
        <f>IF($W694="","",INDEX('Per Line'!$F$2:$F$3001,$W694)&amp;"")</f>
        <v/>
      </c>
      <c r="H694">
        <f>IF($W694="","",INDEX('Per Line'!$G$2:$G$3001,$W694)&amp;"")</f>
        <v/>
      </c>
      <c r="I694">
        <f>IF($W694="","",INDEX('Per Line'!$H$2:$H$3001,$W694)&amp;"")</f>
        <v/>
      </c>
      <c r="J694">
        <f>IF($W694="","",INDEX('Per Line'!$I$2:$I$3001,$W694))</f>
        <v/>
      </c>
      <c r="K694" s="7">
        <f>IF($W694="","",J694*T694/100)</f>
        <v/>
      </c>
      <c r="L694" s="14">
        <f>IF($W694="","",INDEX('Per Line'!$V$2:$V$3001,$W694))</f>
        <v/>
      </c>
      <c r="M694">
        <f>IF($W694="","",IF(ISNUMBER(SEARCH("3&amp;12",SUBSTITUTE(F694," ",""))),Settings!$G$7,Settings!$C$7))</f>
        <v/>
      </c>
      <c r="N694" s="7">
        <f>IF($W694="","",SUMIFS('Per Line'!$O$2:$O$3001,'Per Line'!$B$2:$B$3001,$B694,'Per Line'!$AB$2:$AB$3001,0))</f>
        <v/>
      </c>
      <c r="O694" s="7">
        <f>IF($W694="","",N694*M694)</f>
        <v/>
      </c>
      <c r="P694">
        <f>IF($W694="","",IF(ISNUMBER(SEARCH("3&amp;12",SUBSTITUTE(F694," ",""))),Settings!$G$6,Settings!$C$6))</f>
        <v/>
      </c>
      <c r="Q694" s="7">
        <f>IF($W694="","",SUMIFS('Per Line'!$O$2:$O$3001,'Per Line'!$B$2:$B$3001,$B694,'Per Line'!$AB$2:$AB$3001,1))</f>
        <v/>
      </c>
      <c r="R694" s="7">
        <f>IF($W694="","",Q694*P694)</f>
        <v/>
      </c>
      <c r="S694" s="7">
        <f>IF($W694="","",R694+O694)</f>
        <v/>
      </c>
      <c r="T694" s="7">
        <f>IF($W694="","",V694-S694)</f>
        <v/>
      </c>
      <c r="U694" s="7">
        <f>IF($W694="","",V694-S694-K694)</f>
        <v/>
      </c>
      <c r="V694" s="7">
        <f>IF($W694="","",N694+Q694)</f>
        <v/>
      </c>
      <c r="W694" s="16">
        <f>IF(ROWS($W$2:$W694)&lt;=MAX('Per Line'!$AA$2:$AA$3001),MATCH(ROWS($W$2:$W694),'Per Line'!$AA$2:$AA$3001,0),"")</f>
        <v/>
      </c>
      <c r="X694">
        <f>IF($W694="","",D694&amp;"|"&amp;COUNTIF($D$2:$D694,D694))</f>
        <v/>
      </c>
    </row>
    <row r="695">
      <c r="A695" s="15" t="n"/>
      <c r="B695">
        <f>IF($W695="","",INDEX('Per Line'!$B$2:$B$3001,$W695)&amp;"")</f>
        <v/>
      </c>
      <c r="C695">
        <f>IF($W695="","",INDEX('Per Line'!$C$2:$C$3001,$W695)&amp;"")</f>
        <v/>
      </c>
      <c r="D695">
        <f>IF($W695="","",IF(OR(TRIM(E695)="Orient Insurance Company",TRIM(E695)="Allianz"),TRIM(E695),TRIM(F695)))</f>
        <v/>
      </c>
      <c r="E695">
        <f>IF($W695="","",INDEX('Per Line'!$E$2:$E$3001,$W695)&amp;"")</f>
        <v/>
      </c>
      <c r="F695">
        <f>IF($W695="","",INDEX('Per Line'!$D$2:$D$3001,$W695)&amp;"")</f>
        <v/>
      </c>
      <c r="G695">
        <f>IF($W695="","",INDEX('Per Line'!$F$2:$F$3001,$W695)&amp;"")</f>
        <v/>
      </c>
      <c r="H695">
        <f>IF($W695="","",INDEX('Per Line'!$G$2:$G$3001,$W695)&amp;"")</f>
        <v/>
      </c>
      <c r="I695">
        <f>IF($W695="","",INDEX('Per Line'!$H$2:$H$3001,$W695)&amp;"")</f>
        <v/>
      </c>
      <c r="J695">
        <f>IF($W695="","",INDEX('Per Line'!$I$2:$I$3001,$W695))</f>
        <v/>
      </c>
      <c r="K695" s="7">
        <f>IF($W695="","",J695*T695/100)</f>
        <v/>
      </c>
      <c r="L695" s="14">
        <f>IF($W695="","",INDEX('Per Line'!$V$2:$V$3001,$W695))</f>
        <v/>
      </c>
      <c r="M695">
        <f>IF($W695="","",IF(ISNUMBER(SEARCH("3&amp;12",SUBSTITUTE(F695," ",""))),Settings!$G$7,Settings!$C$7))</f>
        <v/>
      </c>
      <c r="N695" s="7">
        <f>IF($W695="","",SUMIFS('Per Line'!$O$2:$O$3001,'Per Line'!$B$2:$B$3001,$B695,'Per Line'!$AB$2:$AB$3001,0))</f>
        <v/>
      </c>
      <c r="O695" s="7">
        <f>IF($W695="","",N695*M695)</f>
        <v/>
      </c>
      <c r="P695">
        <f>IF($W695="","",IF(ISNUMBER(SEARCH("3&amp;12",SUBSTITUTE(F695," ",""))),Settings!$G$6,Settings!$C$6))</f>
        <v/>
      </c>
      <c r="Q695" s="7">
        <f>IF($W695="","",SUMIFS('Per Line'!$O$2:$O$3001,'Per Line'!$B$2:$B$3001,$B695,'Per Line'!$AB$2:$AB$3001,1))</f>
        <v/>
      </c>
      <c r="R695" s="7">
        <f>IF($W695="","",Q695*P695)</f>
        <v/>
      </c>
      <c r="S695" s="7">
        <f>IF($W695="","",R695+O695)</f>
        <v/>
      </c>
      <c r="T695" s="7">
        <f>IF($W695="","",V695-S695)</f>
        <v/>
      </c>
      <c r="U695" s="7">
        <f>IF($W695="","",V695-S695-K695)</f>
        <v/>
      </c>
      <c r="V695" s="7">
        <f>IF($W695="","",N695+Q695)</f>
        <v/>
      </c>
      <c r="W695" s="16">
        <f>IF(ROWS($W$2:$W695)&lt;=MAX('Per Line'!$AA$2:$AA$3001),MATCH(ROWS($W$2:$W695),'Per Line'!$AA$2:$AA$3001,0),"")</f>
        <v/>
      </c>
      <c r="X695">
        <f>IF($W695="","",D695&amp;"|"&amp;COUNTIF($D$2:$D695,D695))</f>
        <v/>
      </c>
    </row>
    <row r="696">
      <c r="A696" s="15" t="n"/>
      <c r="B696">
        <f>IF($W696="","",INDEX('Per Line'!$B$2:$B$3001,$W696)&amp;"")</f>
        <v/>
      </c>
      <c r="C696">
        <f>IF($W696="","",INDEX('Per Line'!$C$2:$C$3001,$W696)&amp;"")</f>
        <v/>
      </c>
      <c r="D696">
        <f>IF($W696="","",IF(OR(TRIM(E696)="Orient Insurance Company",TRIM(E696)="Allianz"),TRIM(E696),TRIM(F696)))</f>
        <v/>
      </c>
      <c r="E696">
        <f>IF($W696="","",INDEX('Per Line'!$E$2:$E$3001,$W696)&amp;"")</f>
        <v/>
      </c>
      <c r="F696">
        <f>IF($W696="","",INDEX('Per Line'!$D$2:$D$3001,$W696)&amp;"")</f>
        <v/>
      </c>
      <c r="G696">
        <f>IF($W696="","",INDEX('Per Line'!$F$2:$F$3001,$W696)&amp;"")</f>
        <v/>
      </c>
      <c r="H696">
        <f>IF($W696="","",INDEX('Per Line'!$G$2:$G$3001,$W696)&amp;"")</f>
        <v/>
      </c>
      <c r="I696">
        <f>IF($W696="","",INDEX('Per Line'!$H$2:$H$3001,$W696)&amp;"")</f>
        <v/>
      </c>
      <c r="J696">
        <f>IF($W696="","",INDEX('Per Line'!$I$2:$I$3001,$W696))</f>
        <v/>
      </c>
      <c r="K696" s="7">
        <f>IF($W696="","",J696*T696/100)</f>
        <v/>
      </c>
      <c r="L696" s="14">
        <f>IF($W696="","",INDEX('Per Line'!$V$2:$V$3001,$W696))</f>
        <v/>
      </c>
      <c r="M696">
        <f>IF($W696="","",IF(ISNUMBER(SEARCH("3&amp;12",SUBSTITUTE(F696," ",""))),Settings!$G$7,Settings!$C$7))</f>
        <v/>
      </c>
      <c r="N696" s="7">
        <f>IF($W696="","",SUMIFS('Per Line'!$O$2:$O$3001,'Per Line'!$B$2:$B$3001,$B696,'Per Line'!$AB$2:$AB$3001,0))</f>
        <v/>
      </c>
      <c r="O696" s="7">
        <f>IF($W696="","",N696*M696)</f>
        <v/>
      </c>
      <c r="P696">
        <f>IF($W696="","",IF(ISNUMBER(SEARCH("3&amp;12",SUBSTITUTE(F696," ",""))),Settings!$G$6,Settings!$C$6))</f>
        <v/>
      </c>
      <c r="Q696" s="7">
        <f>IF($W696="","",SUMIFS('Per Line'!$O$2:$O$3001,'Per Line'!$B$2:$B$3001,$B696,'Per Line'!$AB$2:$AB$3001,1))</f>
        <v/>
      </c>
      <c r="R696" s="7">
        <f>IF($W696="","",Q696*P696)</f>
        <v/>
      </c>
      <c r="S696" s="7">
        <f>IF($W696="","",R696+O696)</f>
        <v/>
      </c>
      <c r="T696" s="7">
        <f>IF($W696="","",V696-S696)</f>
        <v/>
      </c>
      <c r="U696" s="7">
        <f>IF($W696="","",V696-S696-K696)</f>
        <v/>
      </c>
      <c r="V696" s="7">
        <f>IF($W696="","",N696+Q696)</f>
        <v/>
      </c>
      <c r="W696" s="16">
        <f>IF(ROWS($W$2:$W696)&lt;=MAX('Per Line'!$AA$2:$AA$3001),MATCH(ROWS($W$2:$W696),'Per Line'!$AA$2:$AA$3001,0),"")</f>
        <v/>
      </c>
      <c r="X696">
        <f>IF($W696="","",D696&amp;"|"&amp;COUNTIF($D$2:$D696,D696))</f>
        <v/>
      </c>
    </row>
    <row r="697">
      <c r="A697" s="15" t="n"/>
      <c r="B697">
        <f>IF($W697="","",INDEX('Per Line'!$B$2:$B$3001,$W697)&amp;"")</f>
        <v/>
      </c>
      <c r="C697">
        <f>IF($W697="","",INDEX('Per Line'!$C$2:$C$3001,$W697)&amp;"")</f>
        <v/>
      </c>
      <c r="D697">
        <f>IF($W697="","",IF(OR(TRIM(E697)="Orient Insurance Company",TRIM(E697)="Allianz"),TRIM(E697),TRIM(F697)))</f>
        <v/>
      </c>
      <c r="E697">
        <f>IF($W697="","",INDEX('Per Line'!$E$2:$E$3001,$W697)&amp;"")</f>
        <v/>
      </c>
      <c r="F697">
        <f>IF($W697="","",INDEX('Per Line'!$D$2:$D$3001,$W697)&amp;"")</f>
        <v/>
      </c>
      <c r="G697">
        <f>IF($W697="","",INDEX('Per Line'!$F$2:$F$3001,$W697)&amp;"")</f>
        <v/>
      </c>
      <c r="H697">
        <f>IF($W697="","",INDEX('Per Line'!$G$2:$G$3001,$W697)&amp;"")</f>
        <v/>
      </c>
      <c r="I697">
        <f>IF($W697="","",INDEX('Per Line'!$H$2:$H$3001,$W697)&amp;"")</f>
        <v/>
      </c>
      <c r="J697">
        <f>IF($W697="","",INDEX('Per Line'!$I$2:$I$3001,$W697))</f>
        <v/>
      </c>
      <c r="K697" s="7">
        <f>IF($W697="","",J697*T697/100)</f>
        <v/>
      </c>
      <c r="L697" s="14">
        <f>IF($W697="","",INDEX('Per Line'!$V$2:$V$3001,$W697))</f>
        <v/>
      </c>
      <c r="M697">
        <f>IF($W697="","",IF(ISNUMBER(SEARCH("3&amp;12",SUBSTITUTE(F697," ",""))),Settings!$G$7,Settings!$C$7))</f>
        <v/>
      </c>
      <c r="N697" s="7">
        <f>IF($W697="","",SUMIFS('Per Line'!$O$2:$O$3001,'Per Line'!$B$2:$B$3001,$B697,'Per Line'!$AB$2:$AB$3001,0))</f>
        <v/>
      </c>
      <c r="O697" s="7">
        <f>IF($W697="","",N697*M697)</f>
        <v/>
      </c>
      <c r="P697">
        <f>IF($W697="","",IF(ISNUMBER(SEARCH("3&amp;12",SUBSTITUTE(F697," ",""))),Settings!$G$6,Settings!$C$6))</f>
        <v/>
      </c>
      <c r="Q697" s="7">
        <f>IF($W697="","",SUMIFS('Per Line'!$O$2:$O$3001,'Per Line'!$B$2:$B$3001,$B697,'Per Line'!$AB$2:$AB$3001,1))</f>
        <v/>
      </c>
      <c r="R697" s="7">
        <f>IF($W697="","",Q697*P697)</f>
        <v/>
      </c>
      <c r="S697" s="7">
        <f>IF($W697="","",R697+O697)</f>
        <v/>
      </c>
      <c r="T697" s="7">
        <f>IF($W697="","",V697-S697)</f>
        <v/>
      </c>
      <c r="U697" s="7">
        <f>IF($W697="","",V697-S697-K697)</f>
        <v/>
      </c>
      <c r="V697" s="7">
        <f>IF($W697="","",N697+Q697)</f>
        <v/>
      </c>
      <c r="W697" s="16">
        <f>IF(ROWS($W$2:$W697)&lt;=MAX('Per Line'!$AA$2:$AA$3001),MATCH(ROWS($W$2:$W697),'Per Line'!$AA$2:$AA$3001,0),"")</f>
        <v/>
      </c>
      <c r="X697">
        <f>IF($W697="","",D697&amp;"|"&amp;COUNTIF($D$2:$D697,D697))</f>
        <v/>
      </c>
    </row>
    <row r="698">
      <c r="A698" s="15" t="n"/>
      <c r="B698">
        <f>IF($W698="","",INDEX('Per Line'!$B$2:$B$3001,$W698)&amp;"")</f>
        <v/>
      </c>
      <c r="C698">
        <f>IF($W698="","",INDEX('Per Line'!$C$2:$C$3001,$W698)&amp;"")</f>
        <v/>
      </c>
      <c r="D698">
        <f>IF($W698="","",IF(OR(TRIM(E698)="Orient Insurance Company",TRIM(E698)="Allianz"),TRIM(E698),TRIM(F698)))</f>
        <v/>
      </c>
      <c r="E698">
        <f>IF($W698="","",INDEX('Per Line'!$E$2:$E$3001,$W698)&amp;"")</f>
        <v/>
      </c>
      <c r="F698">
        <f>IF($W698="","",INDEX('Per Line'!$D$2:$D$3001,$W698)&amp;"")</f>
        <v/>
      </c>
      <c r="G698">
        <f>IF($W698="","",INDEX('Per Line'!$F$2:$F$3001,$W698)&amp;"")</f>
        <v/>
      </c>
      <c r="H698">
        <f>IF($W698="","",INDEX('Per Line'!$G$2:$G$3001,$W698)&amp;"")</f>
        <v/>
      </c>
      <c r="I698">
        <f>IF($W698="","",INDEX('Per Line'!$H$2:$H$3001,$W698)&amp;"")</f>
        <v/>
      </c>
      <c r="J698">
        <f>IF($W698="","",INDEX('Per Line'!$I$2:$I$3001,$W698))</f>
        <v/>
      </c>
      <c r="K698" s="7">
        <f>IF($W698="","",J698*T698/100)</f>
        <v/>
      </c>
      <c r="L698" s="14">
        <f>IF($W698="","",INDEX('Per Line'!$V$2:$V$3001,$W698))</f>
        <v/>
      </c>
      <c r="M698">
        <f>IF($W698="","",IF(ISNUMBER(SEARCH("3&amp;12",SUBSTITUTE(F698," ",""))),Settings!$G$7,Settings!$C$7))</f>
        <v/>
      </c>
      <c r="N698" s="7">
        <f>IF($W698="","",SUMIFS('Per Line'!$O$2:$O$3001,'Per Line'!$B$2:$B$3001,$B698,'Per Line'!$AB$2:$AB$3001,0))</f>
        <v/>
      </c>
      <c r="O698" s="7">
        <f>IF($W698="","",N698*M698)</f>
        <v/>
      </c>
      <c r="P698">
        <f>IF($W698="","",IF(ISNUMBER(SEARCH("3&amp;12",SUBSTITUTE(F698," ",""))),Settings!$G$6,Settings!$C$6))</f>
        <v/>
      </c>
      <c r="Q698" s="7">
        <f>IF($W698="","",SUMIFS('Per Line'!$O$2:$O$3001,'Per Line'!$B$2:$B$3001,$B698,'Per Line'!$AB$2:$AB$3001,1))</f>
        <v/>
      </c>
      <c r="R698" s="7">
        <f>IF($W698="","",Q698*P698)</f>
        <v/>
      </c>
      <c r="S698" s="7">
        <f>IF($W698="","",R698+O698)</f>
        <v/>
      </c>
      <c r="T698" s="7">
        <f>IF($W698="","",V698-S698)</f>
        <v/>
      </c>
      <c r="U698" s="7">
        <f>IF($W698="","",V698-S698-K698)</f>
        <v/>
      </c>
      <c r="V698" s="7">
        <f>IF($W698="","",N698+Q698)</f>
        <v/>
      </c>
      <c r="W698" s="16">
        <f>IF(ROWS($W$2:$W698)&lt;=MAX('Per Line'!$AA$2:$AA$3001),MATCH(ROWS($W$2:$W698),'Per Line'!$AA$2:$AA$3001,0),"")</f>
        <v/>
      </c>
      <c r="X698">
        <f>IF($W698="","",D698&amp;"|"&amp;COUNTIF($D$2:$D698,D698))</f>
        <v/>
      </c>
    </row>
    <row r="699">
      <c r="A699" s="15" t="n"/>
      <c r="B699">
        <f>IF($W699="","",INDEX('Per Line'!$B$2:$B$3001,$W699)&amp;"")</f>
        <v/>
      </c>
      <c r="C699">
        <f>IF($W699="","",INDEX('Per Line'!$C$2:$C$3001,$W699)&amp;"")</f>
        <v/>
      </c>
      <c r="D699">
        <f>IF($W699="","",IF(OR(TRIM(E699)="Orient Insurance Company",TRIM(E699)="Allianz"),TRIM(E699),TRIM(F699)))</f>
        <v/>
      </c>
      <c r="E699">
        <f>IF($W699="","",INDEX('Per Line'!$E$2:$E$3001,$W699)&amp;"")</f>
        <v/>
      </c>
      <c r="F699">
        <f>IF($W699="","",INDEX('Per Line'!$D$2:$D$3001,$W699)&amp;"")</f>
        <v/>
      </c>
      <c r="G699">
        <f>IF($W699="","",INDEX('Per Line'!$F$2:$F$3001,$W699)&amp;"")</f>
        <v/>
      </c>
      <c r="H699">
        <f>IF($W699="","",INDEX('Per Line'!$G$2:$G$3001,$W699)&amp;"")</f>
        <v/>
      </c>
      <c r="I699">
        <f>IF($W699="","",INDEX('Per Line'!$H$2:$H$3001,$W699)&amp;"")</f>
        <v/>
      </c>
      <c r="J699">
        <f>IF($W699="","",INDEX('Per Line'!$I$2:$I$3001,$W699))</f>
        <v/>
      </c>
      <c r="K699" s="7">
        <f>IF($W699="","",J699*T699/100)</f>
        <v/>
      </c>
      <c r="L699" s="14">
        <f>IF($W699="","",INDEX('Per Line'!$V$2:$V$3001,$W699))</f>
        <v/>
      </c>
      <c r="M699">
        <f>IF($W699="","",IF(ISNUMBER(SEARCH("3&amp;12",SUBSTITUTE(F699," ",""))),Settings!$G$7,Settings!$C$7))</f>
        <v/>
      </c>
      <c r="N699" s="7">
        <f>IF($W699="","",SUMIFS('Per Line'!$O$2:$O$3001,'Per Line'!$B$2:$B$3001,$B699,'Per Line'!$AB$2:$AB$3001,0))</f>
        <v/>
      </c>
      <c r="O699" s="7">
        <f>IF($W699="","",N699*M699)</f>
        <v/>
      </c>
      <c r="P699">
        <f>IF($W699="","",IF(ISNUMBER(SEARCH("3&amp;12",SUBSTITUTE(F699," ",""))),Settings!$G$6,Settings!$C$6))</f>
        <v/>
      </c>
      <c r="Q699" s="7">
        <f>IF($W699="","",SUMIFS('Per Line'!$O$2:$O$3001,'Per Line'!$B$2:$B$3001,$B699,'Per Line'!$AB$2:$AB$3001,1))</f>
        <v/>
      </c>
      <c r="R699" s="7">
        <f>IF($W699="","",Q699*P699)</f>
        <v/>
      </c>
      <c r="S699" s="7">
        <f>IF($W699="","",R699+O699)</f>
        <v/>
      </c>
      <c r="T699" s="7">
        <f>IF($W699="","",V699-S699)</f>
        <v/>
      </c>
      <c r="U699" s="7">
        <f>IF($W699="","",V699-S699-K699)</f>
        <v/>
      </c>
      <c r="V699" s="7">
        <f>IF($W699="","",N699+Q699)</f>
        <v/>
      </c>
      <c r="W699" s="16">
        <f>IF(ROWS($W$2:$W699)&lt;=MAX('Per Line'!$AA$2:$AA$3001),MATCH(ROWS($W$2:$W699),'Per Line'!$AA$2:$AA$3001,0),"")</f>
        <v/>
      </c>
      <c r="X699">
        <f>IF($W699="","",D699&amp;"|"&amp;COUNTIF($D$2:$D699,D699))</f>
        <v/>
      </c>
    </row>
    <row r="700">
      <c r="A700" s="15" t="n"/>
      <c r="B700">
        <f>IF($W700="","",INDEX('Per Line'!$B$2:$B$3001,$W700)&amp;"")</f>
        <v/>
      </c>
      <c r="C700">
        <f>IF($W700="","",INDEX('Per Line'!$C$2:$C$3001,$W700)&amp;"")</f>
        <v/>
      </c>
      <c r="D700">
        <f>IF($W700="","",IF(OR(TRIM(E700)="Orient Insurance Company",TRIM(E700)="Allianz"),TRIM(E700),TRIM(F700)))</f>
        <v/>
      </c>
      <c r="E700">
        <f>IF($W700="","",INDEX('Per Line'!$E$2:$E$3001,$W700)&amp;"")</f>
        <v/>
      </c>
      <c r="F700">
        <f>IF($W700="","",INDEX('Per Line'!$D$2:$D$3001,$W700)&amp;"")</f>
        <v/>
      </c>
      <c r="G700">
        <f>IF($W700="","",INDEX('Per Line'!$F$2:$F$3001,$W700)&amp;"")</f>
        <v/>
      </c>
      <c r="H700">
        <f>IF($W700="","",INDEX('Per Line'!$G$2:$G$3001,$W700)&amp;"")</f>
        <v/>
      </c>
      <c r="I700">
        <f>IF($W700="","",INDEX('Per Line'!$H$2:$H$3001,$W700)&amp;"")</f>
        <v/>
      </c>
      <c r="J700">
        <f>IF($W700="","",INDEX('Per Line'!$I$2:$I$3001,$W700))</f>
        <v/>
      </c>
      <c r="K700" s="7">
        <f>IF($W700="","",J700*T700/100)</f>
        <v/>
      </c>
      <c r="L700" s="14">
        <f>IF($W700="","",INDEX('Per Line'!$V$2:$V$3001,$W700))</f>
        <v/>
      </c>
      <c r="M700">
        <f>IF($W700="","",IF(ISNUMBER(SEARCH("3&amp;12",SUBSTITUTE(F700," ",""))),Settings!$G$7,Settings!$C$7))</f>
        <v/>
      </c>
      <c r="N700" s="7">
        <f>IF($W700="","",SUMIFS('Per Line'!$O$2:$O$3001,'Per Line'!$B$2:$B$3001,$B700,'Per Line'!$AB$2:$AB$3001,0))</f>
        <v/>
      </c>
      <c r="O700" s="7">
        <f>IF($W700="","",N700*M700)</f>
        <v/>
      </c>
      <c r="P700">
        <f>IF($W700="","",IF(ISNUMBER(SEARCH("3&amp;12",SUBSTITUTE(F700," ",""))),Settings!$G$6,Settings!$C$6))</f>
        <v/>
      </c>
      <c r="Q700" s="7">
        <f>IF($W700="","",SUMIFS('Per Line'!$O$2:$O$3001,'Per Line'!$B$2:$B$3001,$B700,'Per Line'!$AB$2:$AB$3001,1))</f>
        <v/>
      </c>
      <c r="R700" s="7">
        <f>IF($W700="","",Q700*P700)</f>
        <v/>
      </c>
      <c r="S700" s="7">
        <f>IF($W700="","",R700+O700)</f>
        <v/>
      </c>
      <c r="T700" s="7">
        <f>IF($W700="","",V700-S700)</f>
        <v/>
      </c>
      <c r="U700" s="7">
        <f>IF($W700="","",V700-S700-K700)</f>
        <v/>
      </c>
      <c r="V700" s="7">
        <f>IF($W700="","",N700+Q700)</f>
        <v/>
      </c>
      <c r="W700" s="16">
        <f>IF(ROWS($W$2:$W700)&lt;=MAX('Per Line'!$AA$2:$AA$3001),MATCH(ROWS($W$2:$W700),'Per Line'!$AA$2:$AA$3001,0),"")</f>
        <v/>
      </c>
      <c r="X700">
        <f>IF($W700="","",D700&amp;"|"&amp;COUNTIF($D$2:$D700,D700))</f>
        <v/>
      </c>
    </row>
    <row r="701">
      <c r="A701" s="15" t="n"/>
      <c r="B701">
        <f>IF($W701="","",INDEX('Per Line'!$B$2:$B$3001,$W701)&amp;"")</f>
        <v/>
      </c>
      <c r="C701">
        <f>IF($W701="","",INDEX('Per Line'!$C$2:$C$3001,$W701)&amp;"")</f>
        <v/>
      </c>
      <c r="D701">
        <f>IF($W701="","",IF(OR(TRIM(E701)="Orient Insurance Company",TRIM(E701)="Allianz"),TRIM(E701),TRIM(F701)))</f>
        <v/>
      </c>
      <c r="E701">
        <f>IF($W701="","",INDEX('Per Line'!$E$2:$E$3001,$W701)&amp;"")</f>
        <v/>
      </c>
      <c r="F701">
        <f>IF($W701="","",INDEX('Per Line'!$D$2:$D$3001,$W701)&amp;"")</f>
        <v/>
      </c>
      <c r="G701">
        <f>IF($W701="","",INDEX('Per Line'!$F$2:$F$3001,$W701)&amp;"")</f>
        <v/>
      </c>
      <c r="H701">
        <f>IF($W701="","",INDEX('Per Line'!$G$2:$G$3001,$W701)&amp;"")</f>
        <v/>
      </c>
      <c r="I701">
        <f>IF($W701="","",INDEX('Per Line'!$H$2:$H$3001,$W701)&amp;"")</f>
        <v/>
      </c>
      <c r="J701">
        <f>IF($W701="","",INDEX('Per Line'!$I$2:$I$3001,$W701))</f>
        <v/>
      </c>
      <c r="K701" s="7">
        <f>IF($W701="","",J701*T701/100)</f>
        <v/>
      </c>
      <c r="L701" s="14">
        <f>IF($W701="","",INDEX('Per Line'!$V$2:$V$3001,$W701))</f>
        <v/>
      </c>
      <c r="M701">
        <f>IF($W701="","",IF(ISNUMBER(SEARCH("3&amp;12",SUBSTITUTE(F701," ",""))),Settings!$G$7,Settings!$C$7))</f>
        <v/>
      </c>
      <c r="N701" s="7">
        <f>IF($W701="","",SUMIFS('Per Line'!$O$2:$O$3001,'Per Line'!$B$2:$B$3001,$B701,'Per Line'!$AB$2:$AB$3001,0))</f>
        <v/>
      </c>
      <c r="O701" s="7">
        <f>IF($W701="","",N701*M701)</f>
        <v/>
      </c>
      <c r="P701">
        <f>IF($W701="","",IF(ISNUMBER(SEARCH("3&amp;12",SUBSTITUTE(F701," ",""))),Settings!$G$6,Settings!$C$6))</f>
        <v/>
      </c>
      <c r="Q701" s="7">
        <f>IF($W701="","",SUMIFS('Per Line'!$O$2:$O$3001,'Per Line'!$B$2:$B$3001,$B701,'Per Line'!$AB$2:$AB$3001,1))</f>
        <v/>
      </c>
      <c r="R701" s="7">
        <f>IF($W701="","",Q701*P701)</f>
        <v/>
      </c>
      <c r="S701" s="7">
        <f>IF($W701="","",R701+O701)</f>
        <v/>
      </c>
      <c r="T701" s="7">
        <f>IF($W701="","",V701-S701)</f>
        <v/>
      </c>
      <c r="U701" s="7">
        <f>IF($W701="","",V701-S701-K701)</f>
        <v/>
      </c>
      <c r="V701" s="7">
        <f>IF($W701="","",N701+Q701)</f>
        <v/>
      </c>
      <c r="W701" s="16">
        <f>IF(ROWS($W$2:$W701)&lt;=MAX('Per Line'!$AA$2:$AA$3001),MATCH(ROWS($W$2:$W701),'Per Line'!$AA$2:$AA$3001,0),"")</f>
        <v/>
      </c>
      <c r="X701">
        <f>IF($W701="","",D701&amp;"|"&amp;COUNTIF($D$2:$D701,D701))</f>
        <v/>
      </c>
    </row>
    <row r="702">
      <c r="A702" s="15" t="n"/>
      <c r="B702">
        <f>IF($W702="","",INDEX('Per Line'!$B$2:$B$3001,$W702)&amp;"")</f>
        <v/>
      </c>
      <c r="C702">
        <f>IF($W702="","",INDEX('Per Line'!$C$2:$C$3001,$W702)&amp;"")</f>
        <v/>
      </c>
      <c r="D702">
        <f>IF($W702="","",IF(OR(TRIM(E702)="Orient Insurance Company",TRIM(E702)="Allianz"),TRIM(E702),TRIM(F702)))</f>
        <v/>
      </c>
      <c r="E702">
        <f>IF($W702="","",INDEX('Per Line'!$E$2:$E$3001,$W702)&amp;"")</f>
        <v/>
      </c>
      <c r="F702">
        <f>IF($W702="","",INDEX('Per Line'!$D$2:$D$3001,$W702)&amp;"")</f>
        <v/>
      </c>
      <c r="G702">
        <f>IF($W702="","",INDEX('Per Line'!$F$2:$F$3001,$W702)&amp;"")</f>
        <v/>
      </c>
      <c r="H702">
        <f>IF($W702="","",INDEX('Per Line'!$G$2:$G$3001,$W702)&amp;"")</f>
        <v/>
      </c>
      <c r="I702">
        <f>IF($W702="","",INDEX('Per Line'!$H$2:$H$3001,$W702)&amp;"")</f>
        <v/>
      </c>
      <c r="J702">
        <f>IF($W702="","",INDEX('Per Line'!$I$2:$I$3001,$W702))</f>
        <v/>
      </c>
      <c r="K702" s="7">
        <f>IF($W702="","",J702*T702/100)</f>
        <v/>
      </c>
      <c r="L702" s="14">
        <f>IF($W702="","",INDEX('Per Line'!$V$2:$V$3001,$W702))</f>
        <v/>
      </c>
      <c r="M702">
        <f>IF($W702="","",IF(ISNUMBER(SEARCH("3&amp;12",SUBSTITUTE(F702," ",""))),Settings!$G$7,Settings!$C$7))</f>
        <v/>
      </c>
      <c r="N702" s="7">
        <f>IF($W702="","",SUMIFS('Per Line'!$O$2:$O$3001,'Per Line'!$B$2:$B$3001,$B702,'Per Line'!$AB$2:$AB$3001,0))</f>
        <v/>
      </c>
      <c r="O702" s="7">
        <f>IF($W702="","",N702*M702)</f>
        <v/>
      </c>
      <c r="P702">
        <f>IF($W702="","",IF(ISNUMBER(SEARCH("3&amp;12",SUBSTITUTE(F702," ",""))),Settings!$G$6,Settings!$C$6))</f>
        <v/>
      </c>
      <c r="Q702" s="7">
        <f>IF($W702="","",SUMIFS('Per Line'!$O$2:$O$3001,'Per Line'!$B$2:$B$3001,$B702,'Per Line'!$AB$2:$AB$3001,1))</f>
        <v/>
      </c>
      <c r="R702" s="7">
        <f>IF($W702="","",Q702*P702)</f>
        <v/>
      </c>
      <c r="S702" s="7">
        <f>IF($W702="","",R702+O702)</f>
        <v/>
      </c>
      <c r="T702" s="7">
        <f>IF($W702="","",V702-S702)</f>
        <v/>
      </c>
      <c r="U702" s="7">
        <f>IF($W702="","",V702-S702-K702)</f>
        <v/>
      </c>
      <c r="V702" s="7">
        <f>IF($W702="","",N702+Q702)</f>
        <v/>
      </c>
      <c r="W702" s="16">
        <f>IF(ROWS($W$2:$W702)&lt;=MAX('Per Line'!$AA$2:$AA$3001),MATCH(ROWS($W$2:$W702),'Per Line'!$AA$2:$AA$3001,0),"")</f>
        <v/>
      </c>
      <c r="X702">
        <f>IF($W702="","",D702&amp;"|"&amp;COUNTIF($D$2:$D702,D702))</f>
        <v/>
      </c>
    </row>
    <row r="703">
      <c r="A703" s="15" t="n"/>
      <c r="B703">
        <f>IF($W703="","",INDEX('Per Line'!$B$2:$B$3001,$W703)&amp;"")</f>
        <v/>
      </c>
      <c r="C703">
        <f>IF($W703="","",INDEX('Per Line'!$C$2:$C$3001,$W703)&amp;"")</f>
        <v/>
      </c>
      <c r="D703">
        <f>IF($W703="","",IF(OR(TRIM(E703)="Orient Insurance Company",TRIM(E703)="Allianz"),TRIM(E703),TRIM(F703)))</f>
        <v/>
      </c>
      <c r="E703">
        <f>IF($W703="","",INDEX('Per Line'!$E$2:$E$3001,$W703)&amp;"")</f>
        <v/>
      </c>
      <c r="F703">
        <f>IF($W703="","",INDEX('Per Line'!$D$2:$D$3001,$W703)&amp;"")</f>
        <v/>
      </c>
      <c r="G703">
        <f>IF($W703="","",INDEX('Per Line'!$F$2:$F$3001,$W703)&amp;"")</f>
        <v/>
      </c>
      <c r="H703">
        <f>IF($W703="","",INDEX('Per Line'!$G$2:$G$3001,$W703)&amp;"")</f>
        <v/>
      </c>
      <c r="I703">
        <f>IF($W703="","",INDEX('Per Line'!$H$2:$H$3001,$W703)&amp;"")</f>
        <v/>
      </c>
      <c r="J703">
        <f>IF($W703="","",INDEX('Per Line'!$I$2:$I$3001,$W703))</f>
        <v/>
      </c>
      <c r="K703" s="7">
        <f>IF($W703="","",J703*T703/100)</f>
        <v/>
      </c>
      <c r="L703" s="14">
        <f>IF($W703="","",INDEX('Per Line'!$V$2:$V$3001,$W703))</f>
        <v/>
      </c>
      <c r="M703">
        <f>IF($W703="","",IF(ISNUMBER(SEARCH("3&amp;12",SUBSTITUTE(F703," ",""))),Settings!$G$7,Settings!$C$7))</f>
        <v/>
      </c>
      <c r="N703" s="7">
        <f>IF($W703="","",SUMIFS('Per Line'!$O$2:$O$3001,'Per Line'!$B$2:$B$3001,$B703,'Per Line'!$AB$2:$AB$3001,0))</f>
        <v/>
      </c>
      <c r="O703" s="7">
        <f>IF($W703="","",N703*M703)</f>
        <v/>
      </c>
      <c r="P703">
        <f>IF($W703="","",IF(ISNUMBER(SEARCH("3&amp;12",SUBSTITUTE(F703," ",""))),Settings!$G$6,Settings!$C$6))</f>
        <v/>
      </c>
      <c r="Q703" s="7">
        <f>IF($W703="","",SUMIFS('Per Line'!$O$2:$O$3001,'Per Line'!$B$2:$B$3001,$B703,'Per Line'!$AB$2:$AB$3001,1))</f>
        <v/>
      </c>
      <c r="R703" s="7">
        <f>IF($W703="","",Q703*P703)</f>
        <v/>
      </c>
      <c r="S703" s="7">
        <f>IF($W703="","",R703+O703)</f>
        <v/>
      </c>
      <c r="T703" s="7">
        <f>IF($W703="","",V703-S703)</f>
        <v/>
      </c>
      <c r="U703" s="7">
        <f>IF($W703="","",V703-S703-K703)</f>
        <v/>
      </c>
      <c r="V703" s="7">
        <f>IF($W703="","",N703+Q703)</f>
        <v/>
      </c>
      <c r="W703" s="16">
        <f>IF(ROWS($W$2:$W703)&lt;=MAX('Per Line'!$AA$2:$AA$3001),MATCH(ROWS($W$2:$W703),'Per Line'!$AA$2:$AA$3001,0),"")</f>
        <v/>
      </c>
      <c r="X703">
        <f>IF($W703="","",D703&amp;"|"&amp;COUNTIF($D$2:$D703,D703))</f>
        <v/>
      </c>
    </row>
    <row r="704">
      <c r="A704" s="15" t="n"/>
      <c r="B704">
        <f>IF($W704="","",INDEX('Per Line'!$B$2:$B$3001,$W704)&amp;"")</f>
        <v/>
      </c>
      <c r="C704">
        <f>IF($W704="","",INDEX('Per Line'!$C$2:$C$3001,$W704)&amp;"")</f>
        <v/>
      </c>
      <c r="D704">
        <f>IF($W704="","",IF(OR(TRIM(E704)="Orient Insurance Company",TRIM(E704)="Allianz"),TRIM(E704),TRIM(F704)))</f>
        <v/>
      </c>
      <c r="E704">
        <f>IF($W704="","",INDEX('Per Line'!$E$2:$E$3001,$W704)&amp;"")</f>
        <v/>
      </c>
      <c r="F704">
        <f>IF($W704="","",INDEX('Per Line'!$D$2:$D$3001,$W704)&amp;"")</f>
        <v/>
      </c>
      <c r="G704">
        <f>IF($W704="","",INDEX('Per Line'!$F$2:$F$3001,$W704)&amp;"")</f>
        <v/>
      </c>
      <c r="H704">
        <f>IF($W704="","",INDEX('Per Line'!$G$2:$G$3001,$W704)&amp;"")</f>
        <v/>
      </c>
      <c r="I704">
        <f>IF($W704="","",INDEX('Per Line'!$H$2:$H$3001,$W704)&amp;"")</f>
        <v/>
      </c>
      <c r="J704">
        <f>IF($W704="","",INDEX('Per Line'!$I$2:$I$3001,$W704))</f>
        <v/>
      </c>
      <c r="K704" s="7">
        <f>IF($W704="","",J704*T704/100)</f>
        <v/>
      </c>
      <c r="L704" s="14">
        <f>IF($W704="","",INDEX('Per Line'!$V$2:$V$3001,$W704))</f>
        <v/>
      </c>
      <c r="M704">
        <f>IF($W704="","",IF(ISNUMBER(SEARCH("3&amp;12",SUBSTITUTE(F704," ",""))),Settings!$G$7,Settings!$C$7))</f>
        <v/>
      </c>
      <c r="N704" s="7">
        <f>IF($W704="","",SUMIFS('Per Line'!$O$2:$O$3001,'Per Line'!$B$2:$B$3001,$B704,'Per Line'!$AB$2:$AB$3001,0))</f>
        <v/>
      </c>
      <c r="O704" s="7">
        <f>IF($W704="","",N704*M704)</f>
        <v/>
      </c>
      <c r="P704">
        <f>IF($W704="","",IF(ISNUMBER(SEARCH("3&amp;12",SUBSTITUTE(F704," ",""))),Settings!$G$6,Settings!$C$6))</f>
        <v/>
      </c>
      <c r="Q704" s="7">
        <f>IF($W704="","",SUMIFS('Per Line'!$O$2:$O$3001,'Per Line'!$B$2:$B$3001,$B704,'Per Line'!$AB$2:$AB$3001,1))</f>
        <v/>
      </c>
      <c r="R704" s="7">
        <f>IF($W704="","",Q704*P704)</f>
        <v/>
      </c>
      <c r="S704" s="7">
        <f>IF($W704="","",R704+O704)</f>
        <v/>
      </c>
      <c r="T704" s="7">
        <f>IF($W704="","",V704-S704)</f>
        <v/>
      </c>
      <c r="U704" s="7">
        <f>IF($W704="","",V704-S704-K704)</f>
        <v/>
      </c>
      <c r="V704" s="7">
        <f>IF($W704="","",N704+Q704)</f>
        <v/>
      </c>
      <c r="W704" s="16">
        <f>IF(ROWS($W$2:$W704)&lt;=MAX('Per Line'!$AA$2:$AA$3001),MATCH(ROWS($W$2:$W704),'Per Line'!$AA$2:$AA$3001,0),"")</f>
        <v/>
      </c>
      <c r="X704">
        <f>IF($W704="","",D704&amp;"|"&amp;COUNTIF($D$2:$D704,D704))</f>
        <v/>
      </c>
    </row>
    <row r="705">
      <c r="A705" s="15" t="n"/>
      <c r="B705">
        <f>IF($W705="","",INDEX('Per Line'!$B$2:$B$3001,$W705)&amp;"")</f>
        <v/>
      </c>
      <c r="C705">
        <f>IF($W705="","",INDEX('Per Line'!$C$2:$C$3001,$W705)&amp;"")</f>
        <v/>
      </c>
      <c r="D705">
        <f>IF($W705="","",IF(OR(TRIM(E705)="Orient Insurance Company",TRIM(E705)="Allianz"),TRIM(E705),TRIM(F705)))</f>
        <v/>
      </c>
      <c r="E705">
        <f>IF($W705="","",INDEX('Per Line'!$E$2:$E$3001,$W705)&amp;"")</f>
        <v/>
      </c>
      <c r="F705">
        <f>IF($W705="","",INDEX('Per Line'!$D$2:$D$3001,$W705)&amp;"")</f>
        <v/>
      </c>
      <c r="G705">
        <f>IF($W705="","",INDEX('Per Line'!$F$2:$F$3001,$W705)&amp;"")</f>
        <v/>
      </c>
      <c r="H705">
        <f>IF($W705="","",INDEX('Per Line'!$G$2:$G$3001,$W705)&amp;"")</f>
        <v/>
      </c>
      <c r="I705">
        <f>IF($W705="","",INDEX('Per Line'!$H$2:$H$3001,$W705)&amp;"")</f>
        <v/>
      </c>
      <c r="J705">
        <f>IF($W705="","",INDEX('Per Line'!$I$2:$I$3001,$W705))</f>
        <v/>
      </c>
      <c r="K705" s="7">
        <f>IF($W705="","",J705*T705/100)</f>
        <v/>
      </c>
      <c r="L705" s="14">
        <f>IF($W705="","",INDEX('Per Line'!$V$2:$V$3001,$W705))</f>
        <v/>
      </c>
      <c r="M705">
        <f>IF($W705="","",IF(ISNUMBER(SEARCH("3&amp;12",SUBSTITUTE(F705," ",""))),Settings!$G$7,Settings!$C$7))</f>
        <v/>
      </c>
      <c r="N705" s="7">
        <f>IF($W705="","",SUMIFS('Per Line'!$O$2:$O$3001,'Per Line'!$B$2:$B$3001,$B705,'Per Line'!$AB$2:$AB$3001,0))</f>
        <v/>
      </c>
      <c r="O705" s="7">
        <f>IF($W705="","",N705*M705)</f>
        <v/>
      </c>
      <c r="P705">
        <f>IF($W705="","",IF(ISNUMBER(SEARCH("3&amp;12",SUBSTITUTE(F705," ",""))),Settings!$G$6,Settings!$C$6))</f>
        <v/>
      </c>
      <c r="Q705" s="7">
        <f>IF($W705="","",SUMIFS('Per Line'!$O$2:$O$3001,'Per Line'!$B$2:$B$3001,$B705,'Per Line'!$AB$2:$AB$3001,1))</f>
        <v/>
      </c>
      <c r="R705" s="7">
        <f>IF($W705="","",Q705*P705)</f>
        <v/>
      </c>
      <c r="S705" s="7">
        <f>IF($W705="","",R705+O705)</f>
        <v/>
      </c>
      <c r="T705" s="7">
        <f>IF($W705="","",V705-S705)</f>
        <v/>
      </c>
      <c r="U705" s="7">
        <f>IF($W705="","",V705-S705-K705)</f>
        <v/>
      </c>
      <c r="V705" s="7">
        <f>IF($W705="","",N705+Q705)</f>
        <v/>
      </c>
      <c r="W705" s="16">
        <f>IF(ROWS($W$2:$W705)&lt;=MAX('Per Line'!$AA$2:$AA$3001),MATCH(ROWS($W$2:$W705),'Per Line'!$AA$2:$AA$3001,0),"")</f>
        <v/>
      </c>
      <c r="X705">
        <f>IF($W705="","",D705&amp;"|"&amp;COUNTIF($D$2:$D705,D705))</f>
        <v/>
      </c>
    </row>
    <row r="706">
      <c r="A706" s="15" t="n"/>
      <c r="B706">
        <f>IF($W706="","",INDEX('Per Line'!$B$2:$B$3001,$W706)&amp;"")</f>
        <v/>
      </c>
      <c r="C706">
        <f>IF($W706="","",INDEX('Per Line'!$C$2:$C$3001,$W706)&amp;"")</f>
        <v/>
      </c>
      <c r="D706">
        <f>IF($W706="","",IF(OR(TRIM(E706)="Orient Insurance Company",TRIM(E706)="Allianz"),TRIM(E706),TRIM(F706)))</f>
        <v/>
      </c>
      <c r="E706">
        <f>IF($W706="","",INDEX('Per Line'!$E$2:$E$3001,$W706)&amp;"")</f>
        <v/>
      </c>
      <c r="F706">
        <f>IF($W706="","",INDEX('Per Line'!$D$2:$D$3001,$W706)&amp;"")</f>
        <v/>
      </c>
      <c r="G706">
        <f>IF($W706="","",INDEX('Per Line'!$F$2:$F$3001,$W706)&amp;"")</f>
        <v/>
      </c>
      <c r="H706">
        <f>IF($W706="","",INDEX('Per Line'!$G$2:$G$3001,$W706)&amp;"")</f>
        <v/>
      </c>
      <c r="I706">
        <f>IF($W706="","",INDEX('Per Line'!$H$2:$H$3001,$W706)&amp;"")</f>
        <v/>
      </c>
      <c r="J706">
        <f>IF($W706="","",INDEX('Per Line'!$I$2:$I$3001,$W706))</f>
        <v/>
      </c>
      <c r="K706" s="7">
        <f>IF($W706="","",J706*T706/100)</f>
        <v/>
      </c>
      <c r="L706" s="14">
        <f>IF($W706="","",INDEX('Per Line'!$V$2:$V$3001,$W706))</f>
        <v/>
      </c>
      <c r="M706">
        <f>IF($W706="","",IF(ISNUMBER(SEARCH("3&amp;12",SUBSTITUTE(F706," ",""))),Settings!$G$7,Settings!$C$7))</f>
        <v/>
      </c>
      <c r="N706" s="7">
        <f>IF($W706="","",SUMIFS('Per Line'!$O$2:$O$3001,'Per Line'!$B$2:$B$3001,$B706,'Per Line'!$AB$2:$AB$3001,0))</f>
        <v/>
      </c>
      <c r="O706" s="7">
        <f>IF($W706="","",N706*M706)</f>
        <v/>
      </c>
      <c r="P706">
        <f>IF($W706="","",IF(ISNUMBER(SEARCH("3&amp;12",SUBSTITUTE(F706," ",""))),Settings!$G$6,Settings!$C$6))</f>
        <v/>
      </c>
      <c r="Q706" s="7">
        <f>IF($W706="","",SUMIFS('Per Line'!$O$2:$O$3001,'Per Line'!$B$2:$B$3001,$B706,'Per Line'!$AB$2:$AB$3001,1))</f>
        <v/>
      </c>
      <c r="R706" s="7">
        <f>IF($W706="","",Q706*P706)</f>
        <v/>
      </c>
      <c r="S706" s="7">
        <f>IF($W706="","",R706+O706)</f>
        <v/>
      </c>
      <c r="T706" s="7">
        <f>IF($W706="","",V706-S706)</f>
        <v/>
      </c>
      <c r="U706" s="7">
        <f>IF($W706="","",V706-S706-K706)</f>
        <v/>
      </c>
      <c r="V706" s="7">
        <f>IF($W706="","",N706+Q706)</f>
        <v/>
      </c>
      <c r="W706" s="16">
        <f>IF(ROWS($W$2:$W706)&lt;=MAX('Per Line'!$AA$2:$AA$3001),MATCH(ROWS($W$2:$W706),'Per Line'!$AA$2:$AA$3001,0),"")</f>
        <v/>
      </c>
      <c r="X706">
        <f>IF($W706="","",D706&amp;"|"&amp;COUNTIF($D$2:$D706,D706))</f>
        <v/>
      </c>
    </row>
    <row r="707">
      <c r="A707" s="15" t="n"/>
      <c r="B707">
        <f>IF($W707="","",INDEX('Per Line'!$B$2:$B$3001,$W707)&amp;"")</f>
        <v/>
      </c>
      <c r="C707">
        <f>IF($W707="","",INDEX('Per Line'!$C$2:$C$3001,$W707)&amp;"")</f>
        <v/>
      </c>
      <c r="D707">
        <f>IF($W707="","",IF(OR(TRIM(E707)="Orient Insurance Company",TRIM(E707)="Allianz"),TRIM(E707),TRIM(F707)))</f>
        <v/>
      </c>
      <c r="E707">
        <f>IF($W707="","",INDEX('Per Line'!$E$2:$E$3001,$W707)&amp;"")</f>
        <v/>
      </c>
      <c r="F707">
        <f>IF($W707="","",INDEX('Per Line'!$D$2:$D$3001,$W707)&amp;"")</f>
        <v/>
      </c>
      <c r="G707">
        <f>IF($W707="","",INDEX('Per Line'!$F$2:$F$3001,$W707)&amp;"")</f>
        <v/>
      </c>
      <c r="H707">
        <f>IF($W707="","",INDEX('Per Line'!$G$2:$G$3001,$W707)&amp;"")</f>
        <v/>
      </c>
      <c r="I707">
        <f>IF($W707="","",INDEX('Per Line'!$H$2:$H$3001,$W707)&amp;"")</f>
        <v/>
      </c>
      <c r="J707">
        <f>IF($W707="","",INDEX('Per Line'!$I$2:$I$3001,$W707))</f>
        <v/>
      </c>
      <c r="K707" s="7">
        <f>IF($W707="","",J707*T707/100)</f>
        <v/>
      </c>
      <c r="L707" s="14">
        <f>IF($W707="","",INDEX('Per Line'!$V$2:$V$3001,$W707))</f>
        <v/>
      </c>
      <c r="M707">
        <f>IF($W707="","",IF(ISNUMBER(SEARCH("3&amp;12",SUBSTITUTE(F707," ",""))),Settings!$G$7,Settings!$C$7))</f>
        <v/>
      </c>
      <c r="N707" s="7">
        <f>IF($W707="","",SUMIFS('Per Line'!$O$2:$O$3001,'Per Line'!$B$2:$B$3001,$B707,'Per Line'!$AB$2:$AB$3001,0))</f>
        <v/>
      </c>
      <c r="O707" s="7">
        <f>IF($W707="","",N707*M707)</f>
        <v/>
      </c>
      <c r="P707">
        <f>IF($W707="","",IF(ISNUMBER(SEARCH("3&amp;12",SUBSTITUTE(F707," ",""))),Settings!$G$6,Settings!$C$6))</f>
        <v/>
      </c>
      <c r="Q707" s="7">
        <f>IF($W707="","",SUMIFS('Per Line'!$O$2:$O$3001,'Per Line'!$B$2:$B$3001,$B707,'Per Line'!$AB$2:$AB$3001,1))</f>
        <v/>
      </c>
      <c r="R707" s="7">
        <f>IF($W707="","",Q707*P707)</f>
        <v/>
      </c>
      <c r="S707" s="7">
        <f>IF($W707="","",R707+O707)</f>
        <v/>
      </c>
      <c r="T707" s="7">
        <f>IF($W707="","",V707-S707)</f>
        <v/>
      </c>
      <c r="U707" s="7">
        <f>IF($W707="","",V707-S707-K707)</f>
        <v/>
      </c>
      <c r="V707" s="7">
        <f>IF($W707="","",N707+Q707)</f>
        <v/>
      </c>
      <c r="W707" s="16">
        <f>IF(ROWS($W$2:$W707)&lt;=MAX('Per Line'!$AA$2:$AA$3001),MATCH(ROWS($W$2:$W707),'Per Line'!$AA$2:$AA$3001,0),"")</f>
        <v/>
      </c>
      <c r="X707">
        <f>IF($W707="","",D707&amp;"|"&amp;COUNTIF($D$2:$D707,D707))</f>
        <v/>
      </c>
    </row>
    <row r="708">
      <c r="A708" s="15" t="n"/>
      <c r="B708">
        <f>IF($W708="","",INDEX('Per Line'!$B$2:$B$3001,$W708)&amp;"")</f>
        <v/>
      </c>
      <c r="C708">
        <f>IF($W708="","",INDEX('Per Line'!$C$2:$C$3001,$W708)&amp;"")</f>
        <v/>
      </c>
      <c r="D708">
        <f>IF($W708="","",IF(OR(TRIM(E708)="Orient Insurance Company",TRIM(E708)="Allianz"),TRIM(E708),TRIM(F708)))</f>
        <v/>
      </c>
      <c r="E708">
        <f>IF($W708="","",INDEX('Per Line'!$E$2:$E$3001,$W708)&amp;"")</f>
        <v/>
      </c>
      <c r="F708">
        <f>IF($W708="","",INDEX('Per Line'!$D$2:$D$3001,$W708)&amp;"")</f>
        <v/>
      </c>
      <c r="G708">
        <f>IF($W708="","",INDEX('Per Line'!$F$2:$F$3001,$W708)&amp;"")</f>
        <v/>
      </c>
      <c r="H708">
        <f>IF($W708="","",INDEX('Per Line'!$G$2:$G$3001,$W708)&amp;"")</f>
        <v/>
      </c>
      <c r="I708">
        <f>IF($W708="","",INDEX('Per Line'!$H$2:$H$3001,$W708)&amp;"")</f>
        <v/>
      </c>
      <c r="J708">
        <f>IF($W708="","",INDEX('Per Line'!$I$2:$I$3001,$W708))</f>
        <v/>
      </c>
      <c r="K708" s="7">
        <f>IF($W708="","",J708*T708/100)</f>
        <v/>
      </c>
      <c r="L708" s="14">
        <f>IF($W708="","",INDEX('Per Line'!$V$2:$V$3001,$W708))</f>
        <v/>
      </c>
      <c r="M708">
        <f>IF($W708="","",IF(ISNUMBER(SEARCH("3&amp;12",SUBSTITUTE(F708," ",""))),Settings!$G$7,Settings!$C$7))</f>
        <v/>
      </c>
      <c r="N708" s="7">
        <f>IF($W708="","",SUMIFS('Per Line'!$O$2:$O$3001,'Per Line'!$B$2:$B$3001,$B708,'Per Line'!$AB$2:$AB$3001,0))</f>
        <v/>
      </c>
      <c r="O708" s="7">
        <f>IF($W708="","",N708*M708)</f>
        <v/>
      </c>
      <c r="P708">
        <f>IF($W708="","",IF(ISNUMBER(SEARCH("3&amp;12",SUBSTITUTE(F708," ",""))),Settings!$G$6,Settings!$C$6))</f>
        <v/>
      </c>
      <c r="Q708" s="7">
        <f>IF($W708="","",SUMIFS('Per Line'!$O$2:$O$3001,'Per Line'!$B$2:$B$3001,$B708,'Per Line'!$AB$2:$AB$3001,1))</f>
        <v/>
      </c>
      <c r="R708" s="7">
        <f>IF($W708="","",Q708*P708)</f>
        <v/>
      </c>
      <c r="S708" s="7">
        <f>IF($W708="","",R708+O708)</f>
        <v/>
      </c>
      <c r="T708" s="7">
        <f>IF($W708="","",V708-S708)</f>
        <v/>
      </c>
      <c r="U708" s="7">
        <f>IF($W708="","",V708-S708-K708)</f>
        <v/>
      </c>
      <c r="V708" s="7">
        <f>IF($W708="","",N708+Q708)</f>
        <v/>
      </c>
      <c r="W708" s="16">
        <f>IF(ROWS($W$2:$W708)&lt;=MAX('Per Line'!$AA$2:$AA$3001),MATCH(ROWS($W$2:$W708),'Per Line'!$AA$2:$AA$3001,0),"")</f>
        <v/>
      </c>
      <c r="X708">
        <f>IF($W708="","",D708&amp;"|"&amp;COUNTIF($D$2:$D708,D708))</f>
        <v/>
      </c>
    </row>
    <row r="709">
      <c r="A709" s="15" t="n"/>
      <c r="B709">
        <f>IF($W709="","",INDEX('Per Line'!$B$2:$B$3001,$W709)&amp;"")</f>
        <v/>
      </c>
      <c r="C709">
        <f>IF($W709="","",INDEX('Per Line'!$C$2:$C$3001,$W709)&amp;"")</f>
        <v/>
      </c>
      <c r="D709">
        <f>IF($W709="","",IF(OR(TRIM(E709)="Orient Insurance Company",TRIM(E709)="Allianz"),TRIM(E709),TRIM(F709)))</f>
        <v/>
      </c>
      <c r="E709">
        <f>IF($W709="","",INDEX('Per Line'!$E$2:$E$3001,$W709)&amp;"")</f>
        <v/>
      </c>
      <c r="F709">
        <f>IF($W709="","",INDEX('Per Line'!$D$2:$D$3001,$W709)&amp;"")</f>
        <v/>
      </c>
      <c r="G709">
        <f>IF($W709="","",INDEX('Per Line'!$F$2:$F$3001,$W709)&amp;"")</f>
        <v/>
      </c>
      <c r="H709">
        <f>IF($W709="","",INDEX('Per Line'!$G$2:$G$3001,$W709)&amp;"")</f>
        <v/>
      </c>
      <c r="I709">
        <f>IF($W709="","",INDEX('Per Line'!$H$2:$H$3001,$W709)&amp;"")</f>
        <v/>
      </c>
      <c r="J709">
        <f>IF($W709="","",INDEX('Per Line'!$I$2:$I$3001,$W709))</f>
        <v/>
      </c>
      <c r="K709" s="7">
        <f>IF($W709="","",J709*T709/100)</f>
        <v/>
      </c>
      <c r="L709" s="14">
        <f>IF($W709="","",INDEX('Per Line'!$V$2:$V$3001,$W709))</f>
        <v/>
      </c>
      <c r="M709">
        <f>IF($W709="","",IF(ISNUMBER(SEARCH("3&amp;12",SUBSTITUTE(F709," ",""))),Settings!$G$7,Settings!$C$7))</f>
        <v/>
      </c>
      <c r="N709" s="7">
        <f>IF($W709="","",SUMIFS('Per Line'!$O$2:$O$3001,'Per Line'!$B$2:$B$3001,$B709,'Per Line'!$AB$2:$AB$3001,0))</f>
        <v/>
      </c>
      <c r="O709" s="7">
        <f>IF($W709="","",N709*M709)</f>
        <v/>
      </c>
      <c r="P709">
        <f>IF($W709="","",IF(ISNUMBER(SEARCH("3&amp;12",SUBSTITUTE(F709," ",""))),Settings!$G$6,Settings!$C$6))</f>
        <v/>
      </c>
      <c r="Q709" s="7">
        <f>IF($W709="","",SUMIFS('Per Line'!$O$2:$O$3001,'Per Line'!$B$2:$B$3001,$B709,'Per Line'!$AB$2:$AB$3001,1))</f>
        <v/>
      </c>
      <c r="R709" s="7">
        <f>IF($W709="","",Q709*P709)</f>
        <v/>
      </c>
      <c r="S709" s="7">
        <f>IF($W709="","",R709+O709)</f>
        <v/>
      </c>
      <c r="T709" s="7">
        <f>IF($W709="","",V709-S709)</f>
        <v/>
      </c>
      <c r="U709" s="7">
        <f>IF($W709="","",V709-S709-K709)</f>
        <v/>
      </c>
      <c r="V709" s="7">
        <f>IF($W709="","",N709+Q709)</f>
        <v/>
      </c>
      <c r="W709" s="16">
        <f>IF(ROWS($W$2:$W709)&lt;=MAX('Per Line'!$AA$2:$AA$3001),MATCH(ROWS($W$2:$W709),'Per Line'!$AA$2:$AA$3001,0),"")</f>
        <v/>
      </c>
      <c r="X709">
        <f>IF($W709="","",D709&amp;"|"&amp;COUNTIF($D$2:$D709,D709))</f>
        <v/>
      </c>
    </row>
    <row r="710">
      <c r="A710" s="15" t="n"/>
      <c r="B710">
        <f>IF($W710="","",INDEX('Per Line'!$B$2:$B$3001,$W710)&amp;"")</f>
        <v/>
      </c>
      <c r="C710">
        <f>IF($W710="","",INDEX('Per Line'!$C$2:$C$3001,$W710)&amp;"")</f>
        <v/>
      </c>
      <c r="D710">
        <f>IF($W710="","",IF(OR(TRIM(E710)="Orient Insurance Company",TRIM(E710)="Allianz"),TRIM(E710),TRIM(F710)))</f>
        <v/>
      </c>
      <c r="E710">
        <f>IF($W710="","",INDEX('Per Line'!$E$2:$E$3001,$W710)&amp;"")</f>
        <v/>
      </c>
      <c r="F710">
        <f>IF($W710="","",INDEX('Per Line'!$D$2:$D$3001,$W710)&amp;"")</f>
        <v/>
      </c>
      <c r="G710">
        <f>IF($W710="","",INDEX('Per Line'!$F$2:$F$3001,$W710)&amp;"")</f>
        <v/>
      </c>
      <c r="H710">
        <f>IF($W710="","",INDEX('Per Line'!$G$2:$G$3001,$W710)&amp;"")</f>
        <v/>
      </c>
      <c r="I710">
        <f>IF($W710="","",INDEX('Per Line'!$H$2:$H$3001,$W710)&amp;"")</f>
        <v/>
      </c>
      <c r="J710">
        <f>IF($W710="","",INDEX('Per Line'!$I$2:$I$3001,$W710))</f>
        <v/>
      </c>
      <c r="K710" s="7">
        <f>IF($W710="","",J710*T710/100)</f>
        <v/>
      </c>
      <c r="L710" s="14">
        <f>IF($W710="","",INDEX('Per Line'!$V$2:$V$3001,$W710))</f>
        <v/>
      </c>
      <c r="M710">
        <f>IF($W710="","",IF(ISNUMBER(SEARCH("3&amp;12",SUBSTITUTE(F710," ",""))),Settings!$G$7,Settings!$C$7))</f>
        <v/>
      </c>
      <c r="N710" s="7">
        <f>IF($W710="","",SUMIFS('Per Line'!$O$2:$O$3001,'Per Line'!$B$2:$B$3001,$B710,'Per Line'!$AB$2:$AB$3001,0))</f>
        <v/>
      </c>
      <c r="O710" s="7">
        <f>IF($W710="","",N710*M710)</f>
        <v/>
      </c>
      <c r="P710">
        <f>IF($W710="","",IF(ISNUMBER(SEARCH("3&amp;12",SUBSTITUTE(F710," ",""))),Settings!$G$6,Settings!$C$6))</f>
        <v/>
      </c>
      <c r="Q710" s="7">
        <f>IF($W710="","",SUMIFS('Per Line'!$O$2:$O$3001,'Per Line'!$B$2:$B$3001,$B710,'Per Line'!$AB$2:$AB$3001,1))</f>
        <v/>
      </c>
      <c r="R710" s="7">
        <f>IF($W710="","",Q710*P710)</f>
        <v/>
      </c>
      <c r="S710" s="7">
        <f>IF($W710="","",R710+O710)</f>
        <v/>
      </c>
      <c r="T710" s="7">
        <f>IF($W710="","",V710-S710)</f>
        <v/>
      </c>
      <c r="U710" s="7">
        <f>IF($W710="","",V710-S710-K710)</f>
        <v/>
      </c>
      <c r="V710" s="7">
        <f>IF($W710="","",N710+Q710)</f>
        <v/>
      </c>
      <c r="W710" s="16">
        <f>IF(ROWS($W$2:$W710)&lt;=MAX('Per Line'!$AA$2:$AA$3001),MATCH(ROWS($W$2:$W710),'Per Line'!$AA$2:$AA$3001,0),"")</f>
        <v/>
      </c>
      <c r="X710">
        <f>IF($W710="","",D710&amp;"|"&amp;COUNTIF($D$2:$D710,D710))</f>
        <v/>
      </c>
    </row>
    <row r="711">
      <c r="A711" s="15" t="n"/>
      <c r="B711">
        <f>IF($W711="","",INDEX('Per Line'!$B$2:$B$3001,$W711)&amp;"")</f>
        <v/>
      </c>
      <c r="C711">
        <f>IF($W711="","",INDEX('Per Line'!$C$2:$C$3001,$W711)&amp;"")</f>
        <v/>
      </c>
      <c r="D711">
        <f>IF($W711="","",IF(OR(TRIM(E711)="Orient Insurance Company",TRIM(E711)="Allianz"),TRIM(E711),TRIM(F711)))</f>
        <v/>
      </c>
      <c r="E711">
        <f>IF($W711="","",INDEX('Per Line'!$E$2:$E$3001,$W711)&amp;"")</f>
        <v/>
      </c>
      <c r="F711">
        <f>IF($W711="","",INDEX('Per Line'!$D$2:$D$3001,$W711)&amp;"")</f>
        <v/>
      </c>
      <c r="G711">
        <f>IF($W711="","",INDEX('Per Line'!$F$2:$F$3001,$W711)&amp;"")</f>
        <v/>
      </c>
      <c r="H711">
        <f>IF($W711="","",INDEX('Per Line'!$G$2:$G$3001,$W711)&amp;"")</f>
        <v/>
      </c>
      <c r="I711">
        <f>IF($W711="","",INDEX('Per Line'!$H$2:$H$3001,$W711)&amp;"")</f>
        <v/>
      </c>
      <c r="J711">
        <f>IF($W711="","",INDEX('Per Line'!$I$2:$I$3001,$W711))</f>
        <v/>
      </c>
      <c r="K711" s="7">
        <f>IF($W711="","",J711*T711/100)</f>
        <v/>
      </c>
      <c r="L711" s="14">
        <f>IF($W711="","",INDEX('Per Line'!$V$2:$V$3001,$W711))</f>
        <v/>
      </c>
      <c r="M711">
        <f>IF($W711="","",IF(ISNUMBER(SEARCH("3&amp;12",SUBSTITUTE(F711," ",""))),Settings!$G$7,Settings!$C$7))</f>
        <v/>
      </c>
      <c r="N711" s="7">
        <f>IF($W711="","",SUMIFS('Per Line'!$O$2:$O$3001,'Per Line'!$B$2:$B$3001,$B711,'Per Line'!$AB$2:$AB$3001,0))</f>
        <v/>
      </c>
      <c r="O711" s="7">
        <f>IF($W711="","",N711*M711)</f>
        <v/>
      </c>
      <c r="P711">
        <f>IF($W711="","",IF(ISNUMBER(SEARCH("3&amp;12",SUBSTITUTE(F711," ",""))),Settings!$G$6,Settings!$C$6))</f>
        <v/>
      </c>
      <c r="Q711" s="7">
        <f>IF($W711="","",SUMIFS('Per Line'!$O$2:$O$3001,'Per Line'!$B$2:$B$3001,$B711,'Per Line'!$AB$2:$AB$3001,1))</f>
        <v/>
      </c>
      <c r="R711" s="7">
        <f>IF($W711="","",Q711*P711)</f>
        <v/>
      </c>
      <c r="S711" s="7">
        <f>IF($W711="","",R711+O711)</f>
        <v/>
      </c>
      <c r="T711" s="7">
        <f>IF($W711="","",V711-S711)</f>
        <v/>
      </c>
      <c r="U711" s="7">
        <f>IF($W711="","",V711-S711-K711)</f>
        <v/>
      </c>
      <c r="V711" s="7">
        <f>IF($W711="","",N711+Q711)</f>
        <v/>
      </c>
      <c r="W711" s="16">
        <f>IF(ROWS($W$2:$W711)&lt;=MAX('Per Line'!$AA$2:$AA$3001),MATCH(ROWS($W$2:$W711),'Per Line'!$AA$2:$AA$3001,0),"")</f>
        <v/>
      </c>
      <c r="X711">
        <f>IF($W711="","",D711&amp;"|"&amp;COUNTIF($D$2:$D711,D711))</f>
        <v/>
      </c>
    </row>
    <row r="712">
      <c r="A712" s="15" t="n"/>
      <c r="B712">
        <f>IF($W712="","",INDEX('Per Line'!$B$2:$B$3001,$W712)&amp;"")</f>
        <v/>
      </c>
      <c r="C712">
        <f>IF($W712="","",INDEX('Per Line'!$C$2:$C$3001,$W712)&amp;"")</f>
        <v/>
      </c>
      <c r="D712">
        <f>IF($W712="","",IF(OR(TRIM(E712)="Orient Insurance Company",TRIM(E712)="Allianz"),TRIM(E712),TRIM(F712)))</f>
        <v/>
      </c>
      <c r="E712">
        <f>IF($W712="","",INDEX('Per Line'!$E$2:$E$3001,$W712)&amp;"")</f>
        <v/>
      </c>
      <c r="F712">
        <f>IF($W712="","",INDEX('Per Line'!$D$2:$D$3001,$W712)&amp;"")</f>
        <v/>
      </c>
      <c r="G712">
        <f>IF($W712="","",INDEX('Per Line'!$F$2:$F$3001,$W712)&amp;"")</f>
        <v/>
      </c>
      <c r="H712">
        <f>IF($W712="","",INDEX('Per Line'!$G$2:$G$3001,$W712)&amp;"")</f>
        <v/>
      </c>
      <c r="I712">
        <f>IF($W712="","",INDEX('Per Line'!$H$2:$H$3001,$W712)&amp;"")</f>
        <v/>
      </c>
      <c r="J712">
        <f>IF($W712="","",INDEX('Per Line'!$I$2:$I$3001,$W712))</f>
        <v/>
      </c>
      <c r="K712" s="7">
        <f>IF($W712="","",J712*T712/100)</f>
        <v/>
      </c>
      <c r="L712" s="14">
        <f>IF($W712="","",INDEX('Per Line'!$V$2:$V$3001,$W712))</f>
        <v/>
      </c>
      <c r="M712">
        <f>IF($W712="","",IF(ISNUMBER(SEARCH("3&amp;12",SUBSTITUTE(F712," ",""))),Settings!$G$7,Settings!$C$7))</f>
        <v/>
      </c>
      <c r="N712" s="7">
        <f>IF($W712="","",SUMIFS('Per Line'!$O$2:$O$3001,'Per Line'!$B$2:$B$3001,$B712,'Per Line'!$AB$2:$AB$3001,0))</f>
        <v/>
      </c>
      <c r="O712" s="7">
        <f>IF($W712="","",N712*M712)</f>
        <v/>
      </c>
      <c r="P712">
        <f>IF($W712="","",IF(ISNUMBER(SEARCH("3&amp;12",SUBSTITUTE(F712," ",""))),Settings!$G$6,Settings!$C$6))</f>
        <v/>
      </c>
      <c r="Q712" s="7">
        <f>IF($W712="","",SUMIFS('Per Line'!$O$2:$O$3001,'Per Line'!$B$2:$B$3001,$B712,'Per Line'!$AB$2:$AB$3001,1))</f>
        <v/>
      </c>
      <c r="R712" s="7">
        <f>IF($W712="","",Q712*P712)</f>
        <v/>
      </c>
      <c r="S712" s="7">
        <f>IF($W712="","",R712+O712)</f>
        <v/>
      </c>
      <c r="T712" s="7">
        <f>IF($W712="","",V712-S712)</f>
        <v/>
      </c>
      <c r="U712" s="7">
        <f>IF($W712="","",V712-S712-K712)</f>
        <v/>
      </c>
      <c r="V712" s="7">
        <f>IF($W712="","",N712+Q712)</f>
        <v/>
      </c>
      <c r="W712" s="16">
        <f>IF(ROWS($W$2:$W712)&lt;=MAX('Per Line'!$AA$2:$AA$3001),MATCH(ROWS($W$2:$W712),'Per Line'!$AA$2:$AA$3001,0),"")</f>
        <v/>
      </c>
      <c r="X712">
        <f>IF($W712="","",D712&amp;"|"&amp;COUNTIF($D$2:$D712,D712))</f>
        <v/>
      </c>
    </row>
    <row r="713">
      <c r="A713" s="15" t="n"/>
      <c r="B713">
        <f>IF($W713="","",INDEX('Per Line'!$B$2:$B$3001,$W713)&amp;"")</f>
        <v/>
      </c>
      <c r="C713">
        <f>IF($W713="","",INDEX('Per Line'!$C$2:$C$3001,$W713)&amp;"")</f>
        <v/>
      </c>
      <c r="D713">
        <f>IF($W713="","",IF(OR(TRIM(E713)="Orient Insurance Company",TRIM(E713)="Allianz"),TRIM(E713),TRIM(F713)))</f>
        <v/>
      </c>
      <c r="E713">
        <f>IF($W713="","",INDEX('Per Line'!$E$2:$E$3001,$W713)&amp;"")</f>
        <v/>
      </c>
      <c r="F713">
        <f>IF($W713="","",INDEX('Per Line'!$D$2:$D$3001,$W713)&amp;"")</f>
        <v/>
      </c>
      <c r="G713">
        <f>IF($W713="","",INDEX('Per Line'!$F$2:$F$3001,$W713)&amp;"")</f>
        <v/>
      </c>
      <c r="H713">
        <f>IF($W713="","",INDEX('Per Line'!$G$2:$G$3001,$W713)&amp;"")</f>
        <v/>
      </c>
      <c r="I713">
        <f>IF($W713="","",INDEX('Per Line'!$H$2:$H$3001,$W713)&amp;"")</f>
        <v/>
      </c>
      <c r="J713">
        <f>IF($W713="","",INDEX('Per Line'!$I$2:$I$3001,$W713))</f>
        <v/>
      </c>
      <c r="K713" s="7">
        <f>IF($W713="","",J713*T713/100)</f>
        <v/>
      </c>
      <c r="L713" s="14">
        <f>IF($W713="","",INDEX('Per Line'!$V$2:$V$3001,$W713))</f>
        <v/>
      </c>
      <c r="M713">
        <f>IF($W713="","",IF(ISNUMBER(SEARCH("3&amp;12",SUBSTITUTE(F713," ",""))),Settings!$G$7,Settings!$C$7))</f>
        <v/>
      </c>
      <c r="N713" s="7">
        <f>IF($W713="","",SUMIFS('Per Line'!$O$2:$O$3001,'Per Line'!$B$2:$B$3001,$B713,'Per Line'!$AB$2:$AB$3001,0))</f>
        <v/>
      </c>
      <c r="O713" s="7">
        <f>IF($W713="","",N713*M713)</f>
        <v/>
      </c>
      <c r="P713">
        <f>IF($W713="","",IF(ISNUMBER(SEARCH("3&amp;12",SUBSTITUTE(F713," ",""))),Settings!$G$6,Settings!$C$6))</f>
        <v/>
      </c>
      <c r="Q713" s="7">
        <f>IF($W713="","",SUMIFS('Per Line'!$O$2:$O$3001,'Per Line'!$B$2:$B$3001,$B713,'Per Line'!$AB$2:$AB$3001,1))</f>
        <v/>
      </c>
      <c r="R713" s="7">
        <f>IF($W713="","",Q713*P713)</f>
        <v/>
      </c>
      <c r="S713" s="7">
        <f>IF($W713="","",R713+O713)</f>
        <v/>
      </c>
      <c r="T713" s="7">
        <f>IF($W713="","",V713-S713)</f>
        <v/>
      </c>
      <c r="U713" s="7">
        <f>IF($W713="","",V713-S713-K713)</f>
        <v/>
      </c>
      <c r="V713" s="7">
        <f>IF($W713="","",N713+Q713)</f>
        <v/>
      </c>
      <c r="W713" s="16">
        <f>IF(ROWS($W$2:$W713)&lt;=MAX('Per Line'!$AA$2:$AA$3001),MATCH(ROWS($W$2:$W713),'Per Line'!$AA$2:$AA$3001,0),"")</f>
        <v/>
      </c>
      <c r="X713">
        <f>IF($W713="","",D713&amp;"|"&amp;COUNTIF($D$2:$D713,D713))</f>
        <v/>
      </c>
    </row>
    <row r="714">
      <c r="A714" s="15" t="n"/>
      <c r="B714">
        <f>IF($W714="","",INDEX('Per Line'!$B$2:$B$3001,$W714)&amp;"")</f>
        <v/>
      </c>
      <c r="C714">
        <f>IF($W714="","",INDEX('Per Line'!$C$2:$C$3001,$W714)&amp;"")</f>
        <v/>
      </c>
      <c r="D714">
        <f>IF($W714="","",IF(OR(TRIM(E714)="Orient Insurance Company",TRIM(E714)="Allianz"),TRIM(E714),TRIM(F714)))</f>
        <v/>
      </c>
      <c r="E714">
        <f>IF($W714="","",INDEX('Per Line'!$E$2:$E$3001,$W714)&amp;"")</f>
        <v/>
      </c>
      <c r="F714">
        <f>IF($W714="","",INDEX('Per Line'!$D$2:$D$3001,$W714)&amp;"")</f>
        <v/>
      </c>
      <c r="G714">
        <f>IF($W714="","",INDEX('Per Line'!$F$2:$F$3001,$W714)&amp;"")</f>
        <v/>
      </c>
      <c r="H714">
        <f>IF($W714="","",INDEX('Per Line'!$G$2:$G$3001,$W714)&amp;"")</f>
        <v/>
      </c>
      <c r="I714">
        <f>IF($W714="","",INDEX('Per Line'!$H$2:$H$3001,$W714)&amp;"")</f>
        <v/>
      </c>
      <c r="J714">
        <f>IF($W714="","",INDEX('Per Line'!$I$2:$I$3001,$W714))</f>
        <v/>
      </c>
      <c r="K714" s="7">
        <f>IF($W714="","",J714*T714/100)</f>
        <v/>
      </c>
      <c r="L714" s="14">
        <f>IF($W714="","",INDEX('Per Line'!$V$2:$V$3001,$W714))</f>
        <v/>
      </c>
      <c r="M714">
        <f>IF($W714="","",IF(ISNUMBER(SEARCH("3&amp;12",SUBSTITUTE(F714," ",""))),Settings!$G$7,Settings!$C$7))</f>
        <v/>
      </c>
      <c r="N714" s="7">
        <f>IF($W714="","",SUMIFS('Per Line'!$O$2:$O$3001,'Per Line'!$B$2:$B$3001,$B714,'Per Line'!$AB$2:$AB$3001,0))</f>
        <v/>
      </c>
      <c r="O714" s="7">
        <f>IF($W714="","",N714*M714)</f>
        <v/>
      </c>
      <c r="P714">
        <f>IF($W714="","",IF(ISNUMBER(SEARCH("3&amp;12",SUBSTITUTE(F714," ",""))),Settings!$G$6,Settings!$C$6))</f>
        <v/>
      </c>
      <c r="Q714" s="7">
        <f>IF($W714="","",SUMIFS('Per Line'!$O$2:$O$3001,'Per Line'!$B$2:$B$3001,$B714,'Per Line'!$AB$2:$AB$3001,1))</f>
        <v/>
      </c>
      <c r="R714" s="7">
        <f>IF($W714="","",Q714*P714)</f>
        <v/>
      </c>
      <c r="S714" s="7">
        <f>IF($W714="","",R714+O714)</f>
        <v/>
      </c>
      <c r="T714" s="7">
        <f>IF($W714="","",V714-S714)</f>
        <v/>
      </c>
      <c r="U714" s="7">
        <f>IF($W714="","",V714-S714-K714)</f>
        <v/>
      </c>
      <c r="V714" s="7">
        <f>IF($W714="","",N714+Q714)</f>
        <v/>
      </c>
      <c r="W714" s="16">
        <f>IF(ROWS($W$2:$W714)&lt;=MAX('Per Line'!$AA$2:$AA$3001),MATCH(ROWS($W$2:$W714),'Per Line'!$AA$2:$AA$3001,0),"")</f>
        <v/>
      </c>
      <c r="X714">
        <f>IF($W714="","",D714&amp;"|"&amp;COUNTIF($D$2:$D714,D714))</f>
        <v/>
      </c>
    </row>
    <row r="715">
      <c r="A715" s="15" t="n"/>
      <c r="B715">
        <f>IF($W715="","",INDEX('Per Line'!$B$2:$B$3001,$W715)&amp;"")</f>
        <v/>
      </c>
      <c r="C715">
        <f>IF($W715="","",INDEX('Per Line'!$C$2:$C$3001,$W715)&amp;"")</f>
        <v/>
      </c>
      <c r="D715">
        <f>IF($W715="","",IF(OR(TRIM(E715)="Orient Insurance Company",TRIM(E715)="Allianz"),TRIM(E715),TRIM(F715)))</f>
        <v/>
      </c>
      <c r="E715">
        <f>IF($W715="","",INDEX('Per Line'!$E$2:$E$3001,$W715)&amp;"")</f>
        <v/>
      </c>
      <c r="F715">
        <f>IF($W715="","",INDEX('Per Line'!$D$2:$D$3001,$W715)&amp;"")</f>
        <v/>
      </c>
      <c r="G715">
        <f>IF($W715="","",INDEX('Per Line'!$F$2:$F$3001,$W715)&amp;"")</f>
        <v/>
      </c>
      <c r="H715">
        <f>IF($W715="","",INDEX('Per Line'!$G$2:$G$3001,$W715)&amp;"")</f>
        <v/>
      </c>
      <c r="I715">
        <f>IF($W715="","",INDEX('Per Line'!$H$2:$H$3001,$W715)&amp;"")</f>
        <v/>
      </c>
      <c r="J715">
        <f>IF($W715="","",INDEX('Per Line'!$I$2:$I$3001,$W715))</f>
        <v/>
      </c>
      <c r="K715" s="7">
        <f>IF($W715="","",J715*T715/100)</f>
        <v/>
      </c>
      <c r="L715" s="14">
        <f>IF($W715="","",INDEX('Per Line'!$V$2:$V$3001,$W715))</f>
        <v/>
      </c>
      <c r="M715">
        <f>IF($W715="","",IF(ISNUMBER(SEARCH("3&amp;12",SUBSTITUTE(F715," ",""))),Settings!$G$7,Settings!$C$7))</f>
        <v/>
      </c>
      <c r="N715" s="7">
        <f>IF($W715="","",SUMIFS('Per Line'!$O$2:$O$3001,'Per Line'!$B$2:$B$3001,$B715,'Per Line'!$AB$2:$AB$3001,0))</f>
        <v/>
      </c>
      <c r="O715" s="7">
        <f>IF($W715="","",N715*M715)</f>
        <v/>
      </c>
      <c r="P715">
        <f>IF($W715="","",IF(ISNUMBER(SEARCH("3&amp;12",SUBSTITUTE(F715," ",""))),Settings!$G$6,Settings!$C$6))</f>
        <v/>
      </c>
      <c r="Q715" s="7">
        <f>IF($W715="","",SUMIFS('Per Line'!$O$2:$O$3001,'Per Line'!$B$2:$B$3001,$B715,'Per Line'!$AB$2:$AB$3001,1))</f>
        <v/>
      </c>
      <c r="R715" s="7">
        <f>IF($W715="","",Q715*P715)</f>
        <v/>
      </c>
      <c r="S715" s="7">
        <f>IF($W715="","",R715+O715)</f>
        <v/>
      </c>
      <c r="T715" s="7">
        <f>IF($W715="","",V715-S715)</f>
        <v/>
      </c>
      <c r="U715" s="7">
        <f>IF($W715="","",V715-S715-K715)</f>
        <v/>
      </c>
      <c r="V715" s="7">
        <f>IF($W715="","",N715+Q715)</f>
        <v/>
      </c>
      <c r="W715" s="16">
        <f>IF(ROWS($W$2:$W715)&lt;=MAX('Per Line'!$AA$2:$AA$3001),MATCH(ROWS($W$2:$W715),'Per Line'!$AA$2:$AA$3001,0),"")</f>
        <v/>
      </c>
      <c r="X715">
        <f>IF($W715="","",D715&amp;"|"&amp;COUNTIF($D$2:$D715,D715))</f>
        <v/>
      </c>
    </row>
    <row r="716">
      <c r="A716" s="15" t="n"/>
      <c r="B716">
        <f>IF($W716="","",INDEX('Per Line'!$B$2:$B$3001,$W716)&amp;"")</f>
        <v/>
      </c>
      <c r="C716">
        <f>IF($W716="","",INDEX('Per Line'!$C$2:$C$3001,$W716)&amp;"")</f>
        <v/>
      </c>
      <c r="D716">
        <f>IF($W716="","",IF(OR(TRIM(E716)="Orient Insurance Company",TRIM(E716)="Allianz"),TRIM(E716),TRIM(F716)))</f>
        <v/>
      </c>
      <c r="E716">
        <f>IF($W716="","",INDEX('Per Line'!$E$2:$E$3001,$W716)&amp;"")</f>
        <v/>
      </c>
      <c r="F716">
        <f>IF($W716="","",INDEX('Per Line'!$D$2:$D$3001,$W716)&amp;"")</f>
        <v/>
      </c>
      <c r="G716">
        <f>IF($W716="","",INDEX('Per Line'!$F$2:$F$3001,$W716)&amp;"")</f>
        <v/>
      </c>
      <c r="H716">
        <f>IF($W716="","",INDEX('Per Line'!$G$2:$G$3001,$W716)&amp;"")</f>
        <v/>
      </c>
      <c r="I716">
        <f>IF($W716="","",INDEX('Per Line'!$H$2:$H$3001,$W716)&amp;"")</f>
        <v/>
      </c>
      <c r="J716">
        <f>IF($W716="","",INDEX('Per Line'!$I$2:$I$3001,$W716))</f>
        <v/>
      </c>
      <c r="K716" s="7">
        <f>IF($W716="","",J716*T716/100)</f>
        <v/>
      </c>
      <c r="L716" s="14">
        <f>IF($W716="","",INDEX('Per Line'!$V$2:$V$3001,$W716))</f>
        <v/>
      </c>
      <c r="M716">
        <f>IF($W716="","",IF(ISNUMBER(SEARCH("3&amp;12",SUBSTITUTE(F716," ",""))),Settings!$G$7,Settings!$C$7))</f>
        <v/>
      </c>
      <c r="N716" s="7">
        <f>IF($W716="","",SUMIFS('Per Line'!$O$2:$O$3001,'Per Line'!$B$2:$B$3001,$B716,'Per Line'!$AB$2:$AB$3001,0))</f>
        <v/>
      </c>
      <c r="O716" s="7">
        <f>IF($W716="","",N716*M716)</f>
        <v/>
      </c>
      <c r="P716">
        <f>IF($W716="","",IF(ISNUMBER(SEARCH("3&amp;12",SUBSTITUTE(F716," ",""))),Settings!$G$6,Settings!$C$6))</f>
        <v/>
      </c>
      <c r="Q716" s="7">
        <f>IF($W716="","",SUMIFS('Per Line'!$O$2:$O$3001,'Per Line'!$B$2:$B$3001,$B716,'Per Line'!$AB$2:$AB$3001,1))</f>
        <v/>
      </c>
      <c r="R716" s="7">
        <f>IF($W716="","",Q716*P716)</f>
        <v/>
      </c>
      <c r="S716" s="7">
        <f>IF($W716="","",R716+O716)</f>
        <v/>
      </c>
      <c r="T716" s="7">
        <f>IF($W716="","",V716-S716)</f>
        <v/>
      </c>
      <c r="U716" s="7">
        <f>IF($W716="","",V716-S716-K716)</f>
        <v/>
      </c>
      <c r="V716" s="7">
        <f>IF($W716="","",N716+Q716)</f>
        <v/>
      </c>
      <c r="W716" s="16">
        <f>IF(ROWS($W$2:$W716)&lt;=MAX('Per Line'!$AA$2:$AA$3001),MATCH(ROWS($W$2:$W716),'Per Line'!$AA$2:$AA$3001,0),"")</f>
        <v/>
      </c>
      <c r="X716">
        <f>IF($W716="","",D716&amp;"|"&amp;COUNTIF($D$2:$D716,D716))</f>
        <v/>
      </c>
    </row>
    <row r="717">
      <c r="A717" s="15" t="n"/>
      <c r="B717">
        <f>IF($W717="","",INDEX('Per Line'!$B$2:$B$3001,$W717)&amp;"")</f>
        <v/>
      </c>
      <c r="C717">
        <f>IF($W717="","",INDEX('Per Line'!$C$2:$C$3001,$W717)&amp;"")</f>
        <v/>
      </c>
      <c r="D717">
        <f>IF($W717="","",IF(OR(TRIM(E717)="Orient Insurance Company",TRIM(E717)="Allianz"),TRIM(E717),TRIM(F717)))</f>
        <v/>
      </c>
      <c r="E717">
        <f>IF($W717="","",INDEX('Per Line'!$E$2:$E$3001,$W717)&amp;"")</f>
        <v/>
      </c>
      <c r="F717">
        <f>IF($W717="","",INDEX('Per Line'!$D$2:$D$3001,$W717)&amp;"")</f>
        <v/>
      </c>
      <c r="G717">
        <f>IF($W717="","",INDEX('Per Line'!$F$2:$F$3001,$W717)&amp;"")</f>
        <v/>
      </c>
      <c r="H717">
        <f>IF($W717="","",INDEX('Per Line'!$G$2:$G$3001,$W717)&amp;"")</f>
        <v/>
      </c>
      <c r="I717">
        <f>IF($W717="","",INDEX('Per Line'!$H$2:$H$3001,$W717)&amp;"")</f>
        <v/>
      </c>
      <c r="J717">
        <f>IF($W717="","",INDEX('Per Line'!$I$2:$I$3001,$W717))</f>
        <v/>
      </c>
      <c r="K717" s="7">
        <f>IF($W717="","",J717*T717/100)</f>
        <v/>
      </c>
      <c r="L717" s="14">
        <f>IF($W717="","",INDEX('Per Line'!$V$2:$V$3001,$W717))</f>
        <v/>
      </c>
      <c r="M717">
        <f>IF($W717="","",IF(ISNUMBER(SEARCH("3&amp;12",SUBSTITUTE(F717," ",""))),Settings!$G$7,Settings!$C$7))</f>
        <v/>
      </c>
      <c r="N717" s="7">
        <f>IF($W717="","",SUMIFS('Per Line'!$O$2:$O$3001,'Per Line'!$B$2:$B$3001,$B717,'Per Line'!$AB$2:$AB$3001,0))</f>
        <v/>
      </c>
      <c r="O717" s="7">
        <f>IF($W717="","",N717*M717)</f>
        <v/>
      </c>
      <c r="P717">
        <f>IF($W717="","",IF(ISNUMBER(SEARCH("3&amp;12",SUBSTITUTE(F717," ",""))),Settings!$G$6,Settings!$C$6))</f>
        <v/>
      </c>
      <c r="Q717" s="7">
        <f>IF($W717="","",SUMIFS('Per Line'!$O$2:$O$3001,'Per Line'!$B$2:$B$3001,$B717,'Per Line'!$AB$2:$AB$3001,1))</f>
        <v/>
      </c>
      <c r="R717" s="7">
        <f>IF($W717="","",Q717*P717)</f>
        <v/>
      </c>
      <c r="S717" s="7">
        <f>IF($W717="","",R717+O717)</f>
        <v/>
      </c>
      <c r="T717" s="7">
        <f>IF($W717="","",V717-S717)</f>
        <v/>
      </c>
      <c r="U717" s="7">
        <f>IF($W717="","",V717-S717-K717)</f>
        <v/>
      </c>
      <c r="V717" s="7">
        <f>IF($W717="","",N717+Q717)</f>
        <v/>
      </c>
      <c r="W717" s="16">
        <f>IF(ROWS($W$2:$W717)&lt;=MAX('Per Line'!$AA$2:$AA$3001),MATCH(ROWS($W$2:$W717),'Per Line'!$AA$2:$AA$3001,0),"")</f>
        <v/>
      </c>
      <c r="X717">
        <f>IF($W717="","",D717&amp;"|"&amp;COUNTIF($D$2:$D717,D717))</f>
        <v/>
      </c>
    </row>
    <row r="718">
      <c r="A718" s="15" t="n"/>
      <c r="B718">
        <f>IF($W718="","",INDEX('Per Line'!$B$2:$B$3001,$W718)&amp;"")</f>
        <v/>
      </c>
      <c r="C718">
        <f>IF($W718="","",INDEX('Per Line'!$C$2:$C$3001,$W718)&amp;"")</f>
        <v/>
      </c>
      <c r="D718">
        <f>IF($W718="","",IF(OR(TRIM(E718)="Orient Insurance Company",TRIM(E718)="Allianz"),TRIM(E718),TRIM(F718)))</f>
        <v/>
      </c>
      <c r="E718">
        <f>IF($W718="","",INDEX('Per Line'!$E$2:$E$3001,$W718)&amp;"")</f>
        <v/>
      </c>
      <c r="F718">
        <f>IF($W718="","",INDEX('Per Line'!$D$2:$D$3001,$W718)&amp;"")</f>
        <v/>
      </c>
      <c r="G718">
        <f>IF($W718="","",INDEX('Per Line'!$F$2:$F$3001,$W718)&amp;"")</f>
        <v/>
      </c>
      <c r="H718">
        <f>IF($W718="","",INDEX('Per Line'!$G$2:$G$3001,$W718)&amp;"")</f>
        <v/>
      </c>
      <c r="I718">
        <f>IF($W718="","",INDEX('Per Line'!$H$2:$H$3001,$W718)&amp;"")</f>
        <v/>
      </c>
      <c r="J718">
        <f>IF($W718="","",INDEX('Per Line'!$I$2:$I$3001,$W718))</f>
        <v/>
      </c>
      <c r="K718" s="7">
        <f>IF($W718="","",J718*T718/100)</f>
        <v/>
      </c>
      <c r="L718" s="14">
        <f>IF($W718="","",INDEX('Per Line'!$V$2:$V$3001,$W718))</f>
        <v/>
      </c>
      <c r="M718">
        <f>IF($W718="","",IF(ISNUMBER(SEARCH("3&amp;12",SUBSTITUTE(F718," ",""))),Settings!$G$7,Settings!$C$7))</f>
        <v/>
      </c>
      <c r="N718" s="7">
        <f>IF($W718="","",SUMIFS('Per Line'!$O$2:$O$3001,'Per Line'!$B$2:$B$3001,$B718,'Per Line'!$AB$2:$AB$3001,0))</f>
        <v/>
      </c>
      <c r="O718" s="7">
        <f>IF($W718="","",N718*M718)</f>
        <v/>
      </c>
      <c r="P718">
        <f>IF($W718="","",IF(ISNUMBER(SEARCH("3&amp;12",SUBSTITUTE(F718," ",""))),Settings!$G$6,Settings!$C$6))</f>
        <v/>
      </c>
      <c r="Q718" s="7">
        <f>IF($W718="","",SUMIFS('Per Line'!$O$2:$O$3001,'Per Line'!$B$2:$B$3001,$B718,'Per Line'!$AB$2:$AB$3001,1))</f>
        <v/>
      </c>
      <c r="R718" s="7">
        <f>IF($W718="","",Q718*P718)</f>
        <v/>
      </c>
      <c r="S718" s="7">
        <f>IF($W718="","",R718+O718)</f>
        <v/>
      </c>
      <c r="T718" s="7">
        <f>IF($W718="","",V718-S718)</f>
        <v/>
      </c>
      <c r="U718" s="7">
        <f>IF($W718="","",V718-S718-K718)</f>
        <v/>
      </c>
      <c r="V718" s="7">
        <f>IF($W718="","",N718+Q718)</f>
        <v/>
      </c>
      <c r="W718" s="16">
        <f>IF(ROWS($W$2:$W718)&lt;=MAX('Per Line'!$AA$2:$AA$3001),MATCH(ROWS($W$2:$W718),'Per Line'!$AA$2:$AA$3001,0),"")</f>
        <v/>
      </c>
      <c r="X718">
        <f>IF($W718="","",D718&amp;"|"&amp;COUNTIF($D$2:$D718,D718))</f>
        <v/>
      </c>
    </row>
    <row r="719">
      <c r="A719" s="15" t="n"/>
      <c r="B719">
        <f>IF($W719="","",INDEX('Per Line'!$B$2:$B$3001,$W719)&amp;"")</f>
        <v/>
      </c>
      <c r="C719">
        <f>IF($W719="","",INDEX('Per Line'!$C$2:$C$3001,$W719)&amp;"")</f>
        <v/>
      </c>
      <c r="D719">
        <f>IF($W719="","",IF(OR(TRIM(E719)="Orient Insurance Company",TRIM(E719)="Allianz"),TRIM(E719),TRIM(F719)))</f>
        <v/>
      </c>
      <c r="E719">
        <f>IF($W719="","",INDEX('Per Line'!$E$2:$E$3001,$W719)&amp;"")</f>
        <v/>
      </c>
      <c r="F719">
        <f>IF($W719="","",INDEX('Per Line'!$D$2:$D$3001,$W719)&amp;"")</f>
        <v/>
      </c>
      <c r="G719">
        <f>IF($W719="","",INDEX('Per Line'!$F$2:$F$3001,$W719)&amp;"")</f>
        <v/>
      </c>
      <c r="H719">
        <f>IF($W719="","",INDEX('Per Line'!$G$2:$G$3001,$W719)&amp;"")</f>
        <v/>
      </c>
      <c r="I719">
        <f>IF($W719="","",INDEX('Per Line'!$H$2:$H$3001,$W719)&amp;"")</f>
        <v/>
      </c>
      <c r="J719">
        <f>IF($W719="","",INDEX('Per Line'!$I$2:$I$3001,$W719))</f>
        <v/>
      </c>
      <c r="K719" s="7">
        <f>IF($W719="","",J719*T719/100)</f>
        <v/>
      </c>
      <c r="L719" s="14">
        <f>IF($W719="","",INDEX('Per Line'!$V$2:$V$3001,$W719))</f>
        <v/>
      </c>
      <c r="M719">
        <f>IF($W719="","",IF(ISNUMBER(SEARCH("3&amp;12",SUBSTITUTE(F719," ",""))),Settings!$G$7,Settings!$C$7))</f>
        <v/>
      </c>
      <c r="N719" s="7">
        <f>IF($W719="","",SUMIFS('Per Line'!$O$2:$O$3001,'Per Line'!$B$2:$B$3001,$B719,'Per Line'!$AB$2:$AB$3001,0))</f>
        <v/>
      </c>
      <c r="O719" s="7">
        <f>IF($W719="","",N719*M719)</f>
        <v/>
      </c>
      <c r="P719">
        <f>IF($W719="","",IF(ISNUMBER(SEARCH("3&amp;12",SUBSTITUTE(F719," ",""))),Settings!$G$6,Settings!$C$6))</f>
        <v/>
      </c>
      <c r="Q719" s="7">
        <f>IF($W719="","",SUMIFS('Per Line'!$O$2:$O$3001,'Per Line'!$B$2:$B$3001,$B719,'Per Line'!$AB$2:$AB$3001,1))</f>
        <v/>
      </c>
      <c r="R719" s="7">
        <f>IF($W719="","",Q719*P719)</f>
        <v/>
      </c>
      <c r="S719" s="7">
        <f>IF($W719="","",R719+O719)</f>
        <v/>
      </c>
      <c r="T719" s="7">
        <f>IF($W719="","",V719-S719)</f>
        <v/>
      </c>
      <c r="U719" s="7">
        <f>IF($W719="","",V719-S719-K719)</f>
        <v/>
      </c>
      <c r="V719" s="7">
        <f>IF($W719="","",N719+Q719)</f>
        <v/>
      </c>
      <c r="W719" s="16">
        <f>IF(ROWS($W$2:$W719)&lt;=MAX('Per Line'!$AA$2:$AA$3001),MATCH(ROWS($W$2:$W719),'Per Line'!$AA$2:$AA$3001,0),"")</f>
        <v/>
      </c>
      <c r="X719">
        <f>IF($W719="","",D719&amp;"|"&amp;COUNTIF($D$2:$D719,D719))</f>
        <v/>
      </c>
    </row>
    <row r="720">
      <c r="A720" s="15" t="n"/>
      <c r="B720">
        <f>IF($W720="","",INDEX('Per Line'!$B$2:$B$3001,$W720)&amp;"")</f>
        <v/>
      </c>
      <c r="C720">
        <f>IF($W720="","",INDEX('Per Line'!$C$2:$C$3001,$W720)&amp;"")</f>
        <v/>
      </c>
      <c r="D720">
        <f>IF($W720="","",IF(OR(TRIM(E720)="Orient Insurance Company",TRIM(E720)="Allianz"),TRIM(E720),TRIM(F720)))</f>
        <v/>
      </c>
      <c r="E720">
        <f>IF($W720="","",INDEX('Per Line'!$E$2:$E$3001,$W720)&amp;"")</f>
        <v/>
      </c>
      <c r="F720">
        <f>IF($W720="","",INDEX('Per Line'!$D$2:$D$3001,$W720)&amp;"")</f>
        <v/>
      </c>
      <c r="G720">
        <f>IF($W720="","",INDEX('Per Line'!$F$2:$F$3001,$W720)&amp;"")</f>
        <v/>
      </c>
      <c r="H720">
        <f>IF($W720="","",INDEX('Per Line'!$G$2:$G$3001,$W720)&amp;"")</f>
        <v/>
      </c>
      <c r="I720">
        <f>IF($W720="","",INDEX('Per Line'!$H$2:$H$3001,$W720)&amp;"")</f>
        <v/>
      </c>
      <c r="J720">
        <f>IF($W720="","",INDEX('Per Line'!$I$2:$I$3001,$W720))</f>
        <v/>
      </c>
      <c r="K720" s="7">
        <f>IF($W720="","",J720*T720/100)</f>
        <v/>
      </c>
      <c r="L720" s="14">
        <f>IF($W720="","",INDEX('Per Line'!$V$2:$V$3001,$W720))</f>
        <v/>
      </c>
      <c r="M720">
        <f>IF($W720="","",IF(ISNUMBER(SEARCH("3&amp;12",SUBSTITUTE(F720," ",""))),Settings!$G$7,Settings!$C$7))</f>
        <v/>
      </c>
      <c r="N720" s="7">
        <f>IF($W720="","",SUMIFS('Per Line'!$O$2:$O$3001,'Per Line'!$B$2:$B$3001,$B720,'Per Line'!$AB$2:$AB$3001,0))</f>
        <v/>
      </c>
      <c r="O720" s="7">
        <f>IF($W720="","",N720*M720)</f>
        <v/>
      </c>
      <c r="P720">
        <f>IF($W720="","",IF(ISNUMBER(SEARCH("3&amp;12",SUBSTITUTE(F720," ",""))),Settings!$G$6,Settings!$C$6))</f>
        <v/>
      </c>
      <c r="Q720" s="7">
        <f>IF($W720="","",SUMIFS('Per Line'!$O$2:$O$3001,'Per Line'!$B$2:$B$3001,$B720,'Per Line'!$AB$2:$AB$3001,1))</f>
        <v/>
      </c>
      <c r="R720" s="7">
        <f>IF($W720="","",Q720*P720)</f>
        <v/>
      </c>
      <c r="S720" s="7">
        <f>IF($W720="","",R720+O720)</f>
        <v/>
      </c>
      <c r="T720" s="7">
        <f>IF($W720="","",V720-S720)</f>
        <v/>
      </c>
      <c r="U720" s="7">
        <f>IF($W720="","",V720-S720-K720)</f>
        <v/>
      </c>
      <c r="V720" s="7">
        <f>IF($W720="","",N720+Q720)</f>
        <v/>
      </c>
      <c r="W720" s="16">
        <f>IF(ROWS($W$2:$W720)&lt;=MAX('Per Line'!$AA$2:$AA$3001),MATCH(ROWS($W$2:$W720),'Per Line'!$AA$2:$AA$3001,0),"")</f>
        <v/>
      </c>
      <c r="X720">
        <f>IF($W720="","",D720&amp;"|"&amp;COUNTIF($D$2:$D720,D720))</f>
        <v/>
      </c>
    </row>
    <row r="721">
      <c r="A721" s="15" t="n"/>
      <c r="B721">
        <f>IF($W721="","",INDEX('Per Line'!$B$2:$B$3001,$W721)&amp;"")</f>
        <v/>
      </c>
      <c r="C721">
        <f>IF($W721="","",INDEX('Per Line'!$C$2:$C$3001,$W721)&amp;"")</f>
        <v/>
      </c>
      <c r="D721">
        <f>IF($W721="","",IF(OR(TRIM(E721)="Orient Insurance Company",TRIM(E721)="Allianz"),TRIM(E721),TRIM(F721)))</f>
        <v/>
      </c>
      <c r="E721">
        <f>IF($W721="","",INDEX('Per Line'!$E$2:$E$3001,$W721)&amp;"")</f>
        <v/>
      </c>
      <c r="F721">
        <f>IF($W721="","",INDEX('Per Line'!$D$2:$D$3001,$W721)&amp;"")</f>
        <v/>
      </c>
      <c r="G721">
        <f>IF($W721="","",INDEX('Per Line'!$F$2:$F$3001,$W721)&amp;"")</f>
        <v/>
      </c>
      <c r="H721">
        <f>IF($W721="","",INDEX('Per Line'!$G$2:$G$3001,$W721)&amp;"")</f>
        <v/>
      </c>
      <c r="I721">
        <f>IF($W721="","",INDEX('Per Line'!$H$2:$H$3001,$W721)&amp;"")</f>
        <v/>
      </c>
      <c r="J721">
        <f>IF($W721="","",INDEX('Per Line'!$I$2:$I$3001,$W721))</f>
        <v/>
      </c>
      <c r="K721" s="7">
        <f>IF($W721="","",J721*T721/100)</f>
        <v/>
      </c>
      <c r="L721" s="14">
        <f>IF($W721="","",INDEX('Per Line'!$V$2:$V$3001,$W721))</f>
        <v/>
      </c>
      <c r="M721">
        <f>IF($W721="","",IF(ISNUMBER(SEARCH("3&amp;12",SUBSTITUTE(F721," ",""))),Settings!$G$7,Settings!$C$7))</f>
        <v/>
      </c>
      <c r="N721" s="7">
        <f>IF($W721="","",SUMIFS('Per Line'!$O$2:$O$3001,'Per Line'!$B$2:$B$3001,$B721,'Per Line'!$AB$2:$AB$3001,0))</f>
        <v/>
      </c>
      <c r="O721" s="7">
        <f>IF($W721="","",N721*M721)</f>
        <v/>
      </c>
      <c r="P721">
        <f>IF($W721="","",IF(ISNUMBER(SEARCH("3&amp;12",SUBSTITUTE(F721," ",""))),Settings!$G$6,Settings!$C$6))</f>
        <v/>
      </c>
      <c r="Q721" s="7">
        <f>IF($W721="","",SUMIFS('Per Line'!$O$2:$O$3001,'Per Line'!$B$2:$B$3001,$B721,'Per Line'!$AB$2:$AB$3001,1))</f>
        <v/>
      </c>
      <c r="R721" s="7">
        <f>IF($W721="","",Q721*P721)</f>
        <v/>
      </c>
      <c r="S721" s="7">
        <f>IF($W721="","",R721+O721)</f>
        <v/>
      </c>
      <c r="T721" s="7">
        <f>IF($W721="","",V721-S721)</f>
        <v/>
      </c>
      <c r="U721" s="7">
        <f>IF($W721="","",V721-S721-K721)</f>
        <v/>
      </c>
      <c r="V721" s="7">
        <f>IF($W721="","",N721+Q721)</f>
        <v/>
      </c>
      <c r="W721" s="16">
        <f>IF(ROWS($W$2:$W721)&lt;=MAX('Per Line'!$AA$2:$AA$3001),MATCH(ROWS($W$2:$W721),'Per Line'!$AA$2:$AA$3001,0),"")</f>
        <v/>
      </c>
      <c r="X721">
        <f>IF($W721="","",D721&amp;"|"&amp;COUNTIF($D$2:$D721,D721))</f>
        <v/>
      </c>
    </row>
    <row r="722">
      <c r="A722" s="15" t="n"/>
      <c r="B722">
        <f>IF($W722="","",INDEX('Per Line'!$B$2:$B$3001,$W722)&amp;"")</f>
        <v/>
      </c>
      <c r="C722">
        <f>IF($W722="","",INDEX('Per Line'!$C$2:$C$3001,$W722)&amp;"")</f>
        <v/>
      </c>
      <c r="D722">
        <f>IF($W722="","",IF(OR(TRIM(E722)="Orient Insurance Company",TRIM(E722)="Allianz"),TRIM(E722),TRIM(F722)))</f>
        <v/>
      </c>
      <c r="E722">
        <f>IF($W722="","",INDEX('Per Line'!$E$2:$E$3001,$W722)&amp;"")</f>
        <v/>
      </c>
      <c r="F722">
        <f>IF($W722="","",INDEX('Per Line'!$D$2:$D$3001,$W722)&amp;"")</f>
        <v/>
      </c>
      <c r="G722">
        <f>IF($W722="","",INDEX('Per Line'!$F$2:$F$3001,$W722)&amp;"")</f>
        <v/>
      </c>
      <c r="H722">
        <f>IF($W722="","",INDEX('Per Line'!$G$2:$G$3001,$W722)&amp;"")</f>
        <v/>
      </c>
      <c r="I722">
        <f>IF($W722="","",INDEX('Per Line'!$H$2:$H$3001,$W722)&amp;"")</f>
        <v/>
      </c>
      <c r="J722">
        <f>IF($W722="","",INDEX('Per Line'!$I$2:$I$3001,$W722))</f>
        <v/>
      </c>
      <c r="K722" s="7">
        <f>IF($W722="","",J722*T722/100)</f>
        <v/>
      </c>
      <c r="L722" s="14">
        <f>IF($W722="","",INDEX('Per Line'!$V$2:$V$3001,$W722))</f>
        <v/>
      </c>
      <c r="M722">
        <f>IF($W722="","",IF(ISNUMBER(SEARCH("3&amp;12",SUBSTITUTE(F722," ",""))),Settings!$G$7,Settings!$C$7))</f>
        <v/>
      </c>
      <c r="N722" s="7">
        <f>IF($W722="","",SUMIFS('Per Line'!$O$2:$O$3001,'Per Line'!$B$2:$B$3001,$B722,'Per Line'!$AB$2:$AB$3001,0))</f>
        <v/>
      </c>
      <c r="O722" s="7">
        <f>IF($W722="","",N722*M722)</f>
        <v/>
      </c>
      <c r="P722">
        <f>IF($W722="","",IF(ISNUMBER(SEARCH("3&amp;12",SUBSTITUTE(F722," ",""))),Settings!$G$6,Settings!$C$6))</f>
        <v/>
      </c>
      <c r="Q722" s="7">
        <f>IF($W722="","",SUMIFS('Per Line'!$O$2:$O$3001,'Per Line'!$B$2:$B$3001,$B722,'Per Line'!$AB$2:$AB$3001,1))</f>
        <v/>
      </c>
      <c r="R722" s="7">
        <f>IF($W722="","",Q722*P722)</f>
        <v/>
      </c>
      <c r="S722" s="7">
        <f>IF($W722="","",R722+O722)</f>
        <v/>
      </c>
      <c r="T722" s="7">
        <f>IF($W722="","",V722-S722)</f>
        <v/>
      </c>
      <c r="U722" s="7">
        <f>IF($W722="","",V722-S722-K722)</f>
        <v/>
      </c>
      <c r="V722" s="7">
        <f>IF($W722="","",N722+Q722)</f>
        <v/>
      </c>
      <c r="W722" s="16">
        <f>IF(ROWS($W$2:$W722)&lt;=MAX('Per Line'!$AA$2:$AA$3001),MATCH(ROWS($W$2:$W722),'Per Line'!$AA$2:$AA$3001,0),"")</f>
        <v/>
      </c>
      <c r="X722">
        <f>IF($W722="","",D722&amp;"|"&amp;COUNTIF($D$2:$D722,D722))</f>
        <v/>
      </c>
    </row>
    <row r="723">
      <c r="A723" s="15" t="n"/>
      <c r="B723">
        <f>IF($W723="","",INDEX('Per Line'!$B$2:$B$3001,$W723)&amp;"")</f>
        <v/>
      </c>
      <c r="C723">
        <f>IF($W723="","",INDEX('Per Line'!$C$2:$C$3001,$W723)&amp;"")</f>
        <v/>
      </c>
      <c r="D723">
        <f>IF($W723="","",IF(OR(TRIM(E723)="Orient Insurance Company",TRIM(E723)="Allianz"),TRIM(E723),TRIM(F723)))</f>
        <v/>
      </c>
      <c r="E723">
        <f>IF($W723="","",INDEX('Per Line'!$E$2:$E$3001,$W723)&amp;"")</f>
        <v/>
      </c>
      <c r="F723">
        <f>IF($W723="","",INDEX('Per Line'!$D$2:$D$3001,$W723)&amp;"")</f>
        <v/>
      </c>
      <c r="G723">
        <f>IF($W723="","",INDEX('Per Line'!$F$2:$F$3001,$W723)&amp;"")</f>
        <v/>
      </c>
      <c r="H723">
        <f>IF($W723="","",INDEX('Per Line'!$G$2:$G$3001,$W723)&amp;"")</f>
        <v/>
      </c>
      <c r="I723">
        <f>IF($W723="","",INDEX('Per Line'!$H$2:$H$3001,$W723)&amp;"")</f>
        <v/>
      </c>
      <c r="J723">
        <f>IF($W723="","",INDEX('Per Line'!$I$2:$I$3001,$W723))</f>
        <v/>
      </c>
      <c r="K723" s="7">
        <f>IF($W723="","",J723*T723/100)</f>
        <v/>
      </c>
      <c r="L723" s="14">
        <f>IF($W723="","",INDEX('Per Line'!$V$2:$V$3001,$W723))</f>
        <v/>
      </c>
      <c r="M723">
        <f>IF($W723="","",IF(ISNUMBER(SEARCH("3&amp;12",SUBSTITUTE(F723," ",""))),Settings!$G$7,Settings!$C$7))</f>
        <v/>
      </c>
      <c r="N723" s="7">
        <f>IF($W723="","",SUMIFS('Per Line'!$O$2:$O$3001,'Per Line'!$B$2:$B$3001,$B723,'Per Line'!$AB$2:$AB$3001,0))</f>
        <v/>
      </c>
      <c r="O723" s="7">
        <f>IF($W723="","",N723*M723)</f>
        <v/>
      </c>
      <c r="P723">
        <f>IF($W723="","",IF(ISNUMBER(SEARCH("3&amp;12",SUBSTITUTE(F723," ",""))),Settings!$G$6,Settings!$C$6))</f>
        <v/>
      </c>
      <c r="Q723" s="7">
        <f>IF($W723="","",SUMIFS('Per Line'!$O$2:$O$3001,'Per Line'!$B$2:$B$3001,$B723,'Per Line'!$AB$2:$AB$3001,1))</f>
        <v/>
      </c>
      <c r="R723" s="7">
        <f>IF($W723="","",Q723*P723)</f>
        <v/>
      </c>
      <c r="S723" s="7">
        <f>IF($W723="","",R723+O723)</f>
        <v/>
      </c>
      <c r="T723" s="7">
        <f>IF($W723="","",V723-S723)</f>
        <v/>
      </c>
      <c r="U723" s="7">
        <f>IF($W723="","",V723-S723-K723)</f>
        <v/>
      </c>
      <c r="V723" s="7">
        <f>IF($W723="","",N723+Q723)</f>
        <v/>
      </c>
      <c r="W723" s="16">
        <f>IF(ROWS($W$2:$W723)&lt;=MAX('Per Line'!$AA$2:$AA$3001),MATCH(ROWS($W$2:$W723),'Per Line'!$AA$2:$AA$3001,0),"")</f>
        <v/>
      </c>
      <c r="X723">
        <f>IF($W723="","",D723&amp;"|"&amp;COUNTIF($D$2:$D723,D723))</f>
        <v/>
      </c>
    </row>
    <row r="724">
      <c r="A724" s="15" t="n"/>
      <c r="B724">
        <f>IF($W724="","",INDEX('Per Line'!$B$2:$B$3001,$W724)&amp;"")</f>
        <v/>
      </c>
      <c r="C724">
        <f>IF($W724="","",INDEX('Per Line'!$C$2:$C$3001,$W724)&amp;"")</f>
        <v/>
      </c>
      <c r="D724">
        <f>IF($W724="","",IF(OR(TRIM(E724)="Orient Insurance Company",TRIM(E724)="Allianz"),TRIM(E724),TRIM(F724)))</f>
        <v/>
      </c>
      <c r="E724">
        <f>IF($W724="","",INDEX('Per Line'!$E$2:$E$3001,$W724)&amp;"")</f>
        <v/>
      </c>
      <c r="F724">
        <f>IF($W724="","",INDEX('Per Line'!$D$2:$D$3001,$W724)&amp;"")</f>
        <v/>
      </c>
      <c r="G724">
        <f>IF($W724="","",INDEX('Per Line'!$F$2:$F$3001,$W724)&amp;"")</f>
        <v/>
      </c>
      <c r="H724">
        <f>IF($W724="","",INDEX('Per Line'!$G$2:$G$3001,$W724)&amp;"")</f>
        <v/>
      </c>
      <c r="I724">
        <f>IF($W724="","",INDEX('Per Line'!$H$2:$H$3001,$W724)&amp;"")</f>
        <v/>
      </c>
      <c r="J724">
        <f>IF($W724="","",INDEX('Per Line'!$I$2:$I$3001,$W724))</f>
        <v/>
      </c>
      <c r="K724" s="7">
        <f>IF($W724="","",J724*T724/100)</f>
        <v/>
      </c>
      <c r="L724" s="14">
        <f>IF($W724="","",INDEX('Per Line'!$V$2:$V$3001,$W724))</f>
        <v/>
      </c>
      <c r="M724">
        <f>IF($W724="","",IF(ISNUMBER(SEARCH("3&amp;12",SUBSTITUTE(F724," ",""))),Settings!$G$7,Settings!$C$7))</f>
        <v/>
      </c>
      <c r="N724" s="7">
        <f>IF($W724="","",SUMIFS('Per Line'!$O$2:$O$3001,'Per Line'!$B$2:$B$3001,$B724,'Per Line'!$AB$2:$AB$3001,0))</f>
        <v/>
      </c>
      <c r="O724" s="7">
        <f>IF($W724="","",N724*M724)</f>
        <v/>
      </c>
      <c r="P724">
        <f>IF($W724="","",IF(ISNUMBER(SEARCH("3&amp;12",SUBSTITUTE(F724," ",""))),Settings!$G$6,Settings!$C$6))</f>
        <v/>
      </c>
      <c r="Q724" s="7">
        <f>IF($W724="","",SUMIFS('Per Line'!$O$2:$O$3001,'Per Line'!$B$2:$B$3001,$B724,'Per Line'!$AB$2:$AB$3001,1))</f>
        <v/>
      </c>
      <c r="R724" s="7">
        <f>IF($W724="","",Q724*P724)</f>
        <v/>
      </c>
      <c r="S724" s="7">
        <f>IF($W724="","",R724+O724)</f>
        <v/>
      </c>
      <c r="T724" s="7">
        <f>IF($W724="","",V724-S724)</f>
        <v/>
      </c>
      <c r="U724" s="7">
        <f>IF($W724="","",V724-S724-K724)</f>
        <v/>
      </c>
      <c r="V724" s="7">
        <f>IF($W724="","",N724+Q724)</f>
        <v/>
      </c>
      <c r="W724" s="16">
        <f>IF(ROWS($W$2:$W724)&lt;=MAX('Per Line'!$AA$2:$AA$3001),MATCH(ROWS($W$2:$W724),'Per Line'!$AA$2:$AA$3001,0),"")</f>
        <v/>
      </c>
      <c r="X724">
        <f>IF($W724="","",D724&amp;"|"&amp;COUNTIF($D$2:$D724,D724))</f>
        <v/>
      </c>
    </row>
    <row r="725">
      <c r="A725" s="15" t="n"/>
      <c r="B725">
        <f>IF($W725="","",INDEX('Per Line'!$B$2:$B$3001,$W725)&amp;"")</f>
        <v/>
      </c>
      <c r="C725">
        <f>IF($W725="","",INDEX('Per Line'!$C$2:$C$3001,$W725)&amp;"")</f>
        <v/>
      </c>
      <c r="D725">
        <f>IF($W725="","",IF(OR(TRIM(E725)="Orient Insurance Company",TRIM(E725)="Allianz"),TRIM(E725),TRIM(F725)))</f>
        <v/>
      </c>
      <c r="E725">
        <f>IF($W725="","",INDEX('Per Line'!$E$2:$E$3001,$W725)&amp;"")</f>
        <v/>
      </c>
      <c r="F725">
        <f>IF($W725="","",INDEX('Per Line'!$D$2:$D$3001,$W725)&amp;"")</f>
        <v/>
      </c>
      <c r="G725">
        <f>IF($W725="","",INDEX('Per Line'!$F$2:$F$3001,$W725)&amp;"")</f>
        <v/>
      </c>
      <c r="H725">
        <f>IF($W725="","",INDEX('Per Line'!$G$2:$G$3001,$W725)&amp;"")</f>
        <v/>
      </c>
      <c r="I725">
        <f>IF($W725="","",INDEX('Per Line'!$H$2:$H$3001,$W725)&amp;"")</f>
        <v/>
      </c>
      <c r="J725">
        <f>IF($W725="","",INDEX('Per Line'!$I$2:$I$3001,$W725))</f>
        <v/>
      </c>
      <c r="K725" s="7">
        <f>IF($W725="","",J725*T725/100)</f>
        <v/>
      </c>
      <c r="L725" s="14">
        <f>IF($W725="","",INDEX('Per Line'!$V$2:$V$3001,$W725))</f>
        <v/>
      </c>
      <c r="M725">
        <f>IF($W725="","",IF(ISNUMBER(SEARCH("3&amp;12",SUBSTITUTE(F725," ",""))),Settings!$G$7,Settings!$C$7))</f>
        <v/>
      </c>
      <c r="N725" s="7">
        <f>IF($W725="","",SUMIFS('Per Line'!$O$2:$O$3001,'Per Line'!$B$2:$B$3001,$B725,'Per Line'!$AB$2:$AB$3001,0))</f>
        <v/>
      </c>
      <c r="O725" s="7">
        <f>IF($W725="","",N725*M725)</f>
        <v/>
      </c>
      <c r="P725">
        <f>IF($W725="","",IF(ISNUMBER(SEARCH("3&amp;12",SUBSTITUTE(F725," ",""))),Settings!$G$6,Settings!$C$6))</f>
        <v/>
      </c>
      <c r="Q725" s="7">
        <f>IF($W725="","",SUMIFS('Per Line'!$O$2:$O$3001,'Per Line'!$B$2:$B$3001,$B725,'Per Line'!$AB$2:$AB$3001,1))</f>
        <v/>
      </c>
      <c r="R725" s="7">
        <f>IF($W725="","",Q725*P725)</f>
        <v/>
      </c>
      <c r="S725" s="7">
        <f>IF($W725="","",R725+O725)</f>
        <v/>
      </c>
      <c r="T725" s="7">
        <f>IF($W725="","",V725-S725)</f>
        <v/>
      </c>
      <c r="U725" s="7">
        <f>IF($W725="","",V725-S725-K725)</f>
        <v/>
      </c>
      <c r="V725" s="7">
        <f>IF($W725="","",N725+Q725)</f>
        <v/>
      </c>
      <c r="W725" s="16">
        <f>IF(ROWS($W$2:$W725)&lt;=MAX('Per Line'!$AA$2:$AA$3001),MATCH(ROWS($W$2:$W725),'Per Line'!$AA$2:$AA$3001,0),"")</f>
        <v/>
      </c>
      <c r="X725">
        <f>IF($W725="","",D725&amp;"|"&amp;COUNTIF($D$2:$D725,D725))</f>
        <v/>
      </c>
    </row>
    <row r="726">
      <c r="A726" s="15" t="n"/>
      <c r="B726">
        <f>IF($W726="","",INDEX('Per Line'!$B$2:$B$3001,$W726)&amp;"")</f>
        <v/>
      </c>
      <c r="C726">
        <f>IF($W726="","",INDEX('Per Line'!$C$2:$C$3001,$W726)&amp;"")</f>
        <v/>
      </c>
      <c r="D726">
        <f>IF($W726="","",IF(OR(TRIM(E726)="Orient Insurance Company",TRIM(E726)="Allianz"),TRIM(E726),TRIM(F726)))</f>
        <v/>
      </c>
      <c r="E726">
        <f>IF($W726="","",INDEX('Per Line'!$E$2:$E$3001,$W726)&amp;"")</f>
        <v/>
      </c>
      <c r="F726">
        <f>IF($W726="","",INDEX('Per Line'!$D$2:$D$3001,$W726)&amp;"")</f>
        <v/>
      </c>
      <c r="G726">
        <f>IF($W726="","",INDEX('Per Line'!$F$2:$F$3001,$W726)&amp;"")</f>
        <v/>
      </c>
      <c r="H726">
        <f>IF($W726="","",INDEX('Per Line'!$G$2:$G$3001,$W726)&amp;"")</f>
        <v/>
      </c>
      <c r="I726">
        <f>IF($W726="","",INDEX('Per Line'!$H$2:$H$3001,$W726)&amp;"")</f>
        <v/>
      </c>
      <c r="J726">
        <f>IF($W726="","",INDEX('Per Line'!$I$2:$I$3001,$W726))</f>
        <v/>
      </c>
      <c r="K726" s="7">
        <f>IF($W726="","",J726*T726/100)</f>
        <v/>
      </c>
      <c r="L726" s="14">
        <f>IF($W726="","",INDEX('Per Line'!$V$2:$V$3001,$W726))</f>
        <v/>
      </c>
      <c r="M726">
        <f>IF($W726="","",IF(ISNUMBER(SEARCH("3&amp;12",SUBSTITUTE(F726," ",""))),Settings!$G$7,Settings!$C$7))</f>
        <v/>
      </c>
      <c r="N726" s="7">
        <f>IF($W726="","",SUMIFS('Per Line'!$O$2:$O$3001,'Per Line'!$B$2:$B$3001,$B726,'Per Line'!$AB$2:$AB$3001,0))</f>
        <v/>
      </c>
      <c r="O726" s="7">
        <f>IF($W726="","",N726*M726)</f>
        <v/>
      </c>
      <c r="P726">
        <f>IF($W726="","",IF(ISNUMBER(SEARCH("3&amp;12",SUBSTITUTE(F726," ",""))),Settings!$G$6,Settings!$C$6))</f>
        <v/>
      </c>
      <c r="Q726" s="7">
        <f>IF($W726="","",SUMIFS('Per Line'!$O$2:$O$3001,'Per Line'!$B$2:$B$3001,$B726,'Per Line'!$AB$2:$AB$3001,1))</f>
        <v/>
      </c>
      <c r="R726" s="7">
        <f>IF($W726="","",Q726*P726)</f>
        <v/>
      </c>
      <c r="S726" s="7">
        <f>IF($W726="","",R726+O726)</f>
        <v/>
      </c>
      <c r="T726" s="7">
        <f>IF($W726="","",V726-S726)</f>
        <v/>
      </c>
      <c r="U726" s="7">
        <f>IF($W726="","",V726-S726-K726)</f>
        <v/>
      </c>
      <c r="V726" s="7">
        <f>IF($W726="","",N726+Q726)</f>
        <v/>
      </c>
      <c r="W726" s="16">
        <f>IF(ROWS($W$2:$W726)&lt;=MAX('Per Line'!$AA$2:$AA$3001),MATCH(ROWS($W$2:$W726),'Per Line'!$AA$2:$AA$3001,0),"")</f>
        <v/>
      </c>
      <c r="X726">
        <f>IF($W726="","",D726&amp;"|"&amp;COUNTIF($D$2:$D726,D726))</f>
        <v/>
      </c>
    </row>
    <row r="727">
      <c r="A727" s="15" t="n"/>
      <c r="B727">
        <f>IF($W727="","",INDEX('Per Line'!$B$2:$B$3001,$W727)&amp;"")</f>
        <v/>
      </c>
      <c r="C727">
        <f>IF($W727="","",INDEX('Per Line'!$C$2:$C$3001,$W727)&amp;"")</f>
        <v/>
      </c>
      <c r="D727">
        <f>IF($W727="","",IF(OR(TRIM(E727)="Orient Insurance Company",TRIM(E727)="Allianz"),TRIM(E727),TRIM(F727)))</f>
        <v/>
      </c>
      <c r="E727">
        <f>IF($W727="","",INDEX('Per Line'!$E$2:$E$3001,$W727)&amp;"")</f>
        <v/>
      </c>
      <c r="F727">
        <f>IF($W727="","",INDEX('Per Line'!$D$2:$D$3001,$W727)&amp;"")</f>
        <v/>
      </c>
      <c r="G727">
        <f>IF($W727="","",INDEX('Per Line'!$F$2:$F$3001,$W727)&amp;"")</f>
        <v/>
      </c>
      <c r="H727">
        <f>IF($W727="","",INDEX('Per Line'!$G$2:$G$3001,$W727)&amp;"")</f>
        <v/>
      </c>
      <c r="I727">
        <f>IF($W727="","",INDEX('Per Line'!$H$2:$H$3001,$W727)&amp;"")</f>
        <v/>
      </c>
      <c r="J727">
        <f>IF($W727="","",INDEX('Per Line'!$I$2:$I$3001,$W727))</f>
        <v/>
      </c>
      <c r="K727" s="7">
        <f>IF($W727="","",J727*T727/100)</f>
        <v/>
      </c>
      <c r="L727" s="14">
        <f>IF($W727="","",INDEX('Per Line'!$V$2:$V$3001,$W727))</f>
        <v/>
      </c>
      <c r="M727">
        <f>IF($W727="","",IF(ISNUMBER(SEARCH("3&amp;12",SUBSTITUTE(F727," ",""))),Settings!$G$7,Settings!$C$7))</f>
        <v/>
      </c>
      <c r="N727" s="7">
        <f>IF($W727="","",SUMIFS('Per Line'!$O$2:$O$3001,'Per Line'!$B$2:$B$3001,$B727,'Per Line'!$AB$2:$AB$3001,0))</f>
        <v/>
      </c>
      <c r="O727" s="7">
        <f>IF($W727="","",N727*M727)</f>
        <v/>
      </c>
      <c r="P727">
        <f>IF($W727="","",IF(ISNUMBER(SEARCH("3&amp;12",SUBSTITUTE(F727," ",""))),Settings!$G$6,Settings!$C$6))</f>
        <v/>
      </c>
      <c r="Q727" s="7">
        <f>IF($W727="","",SUMIFS('Per Line'!$O$2:$O$3001,'Per Line'!$B$2:$B$3001,$B727,'Per Line'!$AB$2:$AB$3001,1))</f>
        <v/>
      </c>
      <c r="R727" s="7">
        <f>IF($W727="","",Q727*P727)</f>
        <v/>
      </c>
      <c r="S727" s="7">
        <f>IF($W727="","",R727+O727)</f>
        <v/>
      </c>
      <c r="T727" s="7">
        <f>IF($W727="","",V727-S727)</f>
        <v/>
      </c>
      <c r="U727" s="7">
        <f>IF($W727="","",V727-S727-K727)</f>
        <v/>
      </c>
      <c r="V727" s="7">
        <f>IF($W727="","",N727+Q727)</f>
        <v/>
      </c>
      <c r="W727" s="16">
        <f>IF(ROWS($W$2:$W727)&lt;=MAX('Per Line'!$AA$2:$AA$3001),MATCH(ROWS($W$2:$W727),'Per Line'!$AA$2:$AA$3001,0),"")</f>
        <v/>
      </c>
      <c r="X727">
        <f>IF($W727="","",D727&amp;"|"&amp;COUNTIF($D$2:$D727,D727))</f>
        <v/>
      </c>
    </row>
    <row r="728">
      <c r="A728" s="15" t="n"/>
      <c r="B728">
        <f>IF($W728="","",INDEX('Per Line'!$B$2:$B$3001,$W728)&amp;"")</f>
        <v/>
      </c>
      <c r="C728">
        <f>IF($W728="","",INDEX('Per Line'!$C$2:$C$3001,$W728)&amp;"")</f>
        <v/>
      </c>
      <c r="D728">
        <f>IF($W728="","",IF(OR(TRIM(E728)="Orient Insurance Company",TRIM(E728)="Allianz"),TRIM(E728),TRIM(F728)))</f>
        <v/>
      </c>
      <c r="E728">
        <f>IF($W728="","",INDEX('Per Line'!$E$2:$E$3001,$W728)&amp;"")</f>
        <v/>
      </c>
      <c r="F728">
        <f>IF($W728="","",INDEX('Per Line'!$D$2:$D$3001,$W728)&amp;"")</f>
        <v/>
      </c>
      <c r="G728">
        <f>IF($W728="","",INDEX('Per Line'!$F$2:$F$3001,$W728)&amp;"")</f>
        <v/>
      </c>
      <c r="H728">
        <f>IF($W728="","",INDEX('Per Line'!$G$2:$G$3001,$W728)&amp;"")</f>
        <v/>
      </c>
      <c r="I728">
        <f>IF($W728="","",INDEX('Per Line'!$H$2:$H$3001,$W728)&amp;"")</f>
        <v/>
      </c>
      <c r="J728">
        <f>IF($W728="","",INDEX('Per Line'!$I$2:$I$3001,$W728))</f>
        <v/>
      </c>
      <c r="K728" s="7">
        <f>IF($W728="","",J728*T728/100)</f>
        <v/>
      </c>
      <c r="L728" s="14">
        <f>IF($W728="","",INDEX('Per Line'!$V$2:$V$3001,$W728))</f>
        <v/>
      </c>
      <c r="M728">
        <f>IF($W728="","",IF(ISNUMBER(SEARCH("3&amp;12",SUBSTITUTE(F728," ",""))),Settings!$G$7,Settings!$C$7))</f>
        <v/>
      </c>
      <c r="N728" s="7">
        <f>IF($W728="","",SUMIFS('Per Line'!$O$2:$O$3001,'Per Line'!$B$2:$B$3001,$B728,'Per Line'!$AB$2:$AB$3001,0))</f>
        <v/>
      </c>
      <c r="O728" s="7">
        <f>IF($W728="","",N728*M728)</f>
        <v/>
      </c>
      <c r="P728">
        <f>IF($W728="","",IF(ISNUMBER(SEARCH("3&amp;12",SUBSTITUTE(F728," ",""))),Settings!$G$6,Settings!$C$6))</f>
        <v/>
      </c>
      <c r="Q728" s="7">
        <f>IF($W728="","",SUMIFS('Per Line'!$O$2:$O$3001,'Per Line'!$B$2:$B$3001,$B728,'Per Line'!$AB$2:$AB$3001,1))</f>
        <v/>
      </c>
      <c r="R728" s="7">
        <f>IF($W728="","",Q728*P728)</f>
        <v/>
      </c>
      <c r="S728" s="7">
        <f>IF($W728="","",R728+O728)</f>
        <v/>
      </c>
      <c r="T728" s="7">
        <f>IF($W728="","",V728-S728)</f>
        <v/>
      </c>
      <c r="U728" s="7">
        <f>IF($W728="","",V728-S728-K728)</f>
        <v/>
      </c>
      <c r="V728" s="7">
        <f>IF($W728="","",N728+Q728)</f>
        <v/>
      </c>
      <c r="W728" s="16">
        <f>IF(ROWS($W$2:$W728)&lt;=MAX('Per Line'!$AA$2:$AA$3001),MATCH(ROWS($W$2:$W728),'Per Line'!$AA$2:$AA$3001,0),"")</f>
        <v/>
      </c>
      <c r="X728">
        <f>IF($W728="","",D728&amp;"|"&amp;COUNTIF($D$2:$D728,D728))</f>
        <v/>
      </c>
    </row>
    <row r="729">
      <c r="A729" s="15" t="n"/>
      <c r="B729">
        <f>IF($W729="","",INDEX('Per Line'!$B$2:$B$3001,$W729)&amp;"")</f>
        <v/>
      </c>
      <c r="C729">
        <f>IF($W729="","",INDEX('Per Line'!$C$2:$C$3001,$W729)&amp;"")</f>
        <v/>
      </c>
      <c r="D729">
        <f>IF($W729="","",IF(OR(TRIM(E729)="Orient Insurance Company",TRIM(E729)="Allianz"),TRIM(E729),TRIM(F729)))</f>
        <v/>
      </c>
      <c r="E729">
        <f>IF($W729="","",INDEX('Per Line'!$E$2:$E$3001,$W729)&amp;"")</f>
        <v/>
      </c>
      <c r="F729">
        <f>IF($W729="","",INDEX('Per Line'!$D$2:$D$3001,$W729)&amp;"")</f>
        <v/>
      </c>
      <c r="G729">
        <f>IF($W729="","",INDEX('Per Line'!$F$2:$F$3001,$W729)&amp;"")</f>
        <v/>
      </c>
      <c r="H729">
        <f>IF($W729="","",INDEX('Per Line'!$G$2:$G$3001,$W729)&amp;"")</f>
        <v/>
      </c>
      <c r="I729">
        <f>IF($W729="","",INDEX('Per Line'!$H$2:$H$3001,$W729)&amp;"")</f>
        <v/>
      </c>
      <c r="J729">
        <f>IF($W729="","",INDEX('Per Line'!$I$2:$I$3001,$W729))</f>
        <v/>
      </c>
      <c r="K729" s="7">
        <f>IF($W729="","",J729*T729/100)</f>
        <v/>
      </c>
      <c r="L729" s="14">
        <f>IF($W729="","",INDEX('Per Line'!$V$2:$V$3001,$W729))</f>
        <v/>
      </c>
      <c r="M729">
        <f>IF($W729="","",IF(ISNUMBER(SEARCH("3&amp;12",SUBSTITUTE(F729," ",""))),Settings!$G$7,Settings!$C$7))</f>
        <v/>
      </c>
      <c r="N729" s="7">
        <f>IF($W729="","",SUMIFS('Per Line'!$O$2:$O$3001,'Per Line'!$B$2:$B$3001,$B729,'Per Line'!$AB$2:$AB$3001,0))</f>
        <v/>
      </c>
      <c r="O729" s="7">
        <f>IF($W729="","",N729*M729)</f>
        <v/>
      </c>
      <c r="P729">
        <f>IF($W729="","",IF(ISNUMBER(SEARCH("3&amp;12",SUBSTITUTE(F729," ",""))),Settings!$G$6,Settings!$C$6))</f>
        <v/>
      </c>
      <c r="Q729" s="7">
        <f>IF($W729="","",SUMIFS('Per Line'!$O$2:$O$3001,'Per Line'!$B$2:$B$3001,$B729,'Per Line'!$AB$2:$AB$3001,1))</f>
        <v/>
      </c>
      <c r="R729" s="7">
        <f>IF($W729="","",Q729*P729)</f>
        <v/>
      </c>
      <c r="S729" s="7">
        <f>IF($W729="","",R729+O729)</f>
        <v/>
      </c>
      <c r="T729" s="7">
        <f>IF($W729="","",V729-S729)</f>
        <v/>
      </c>
      <c r="U729" s="7">
        <f>IF($W729="","",V729-S729-K729)</f>
        <v/>
      </c>
      <c r="V729" s="7">
        <f>IF($W729="","",N729+Q729)</f>
        <v/>
      </c>
      <c r="W729" s="16">
        <f>IF(ROWS($W$2:$W729)&lt;=MAX('Per Line'!$AA$2:$AA$3001),MATCH(ROWS($W$2:$W729),'Per Line'!$AA$2:$AA$3001,0),"")</f>
        <v/>
      </c>
      <c r="X729">
        <f>IF($W729="","",D729&amp;"|"&amp;COUNTIF($D$2:$D729,D729))</f>
        <v/>
      </c>
    </row>
    <row r="730">
      <c r="A730" s="15" t="n"/>
      <c r="B730">
        <f>IF($W730="","",INDEX('Per Line'!$B$2:$B$3001,$W730)&amp;"")</f>
        <v/>
      </c>
      <c r="C730">
        <f>IF($W730="","",INDEX('Per Line'!$C$2:$C$3001,$W730)&amp;"")</f>
        <v/>
      </c>
      <c r="D730">
        <f>IF($W730="","",IF(OR(TRIM(E730)="Orient Insurance Company",TRIM(E730)="Allianz"),TRIM(E730),TRIM(F730)))</f>
        <v/>
      </c>
      <c r="E730">
        <f>IF($W730="","",INDEX('Per Line'!$E$2:$E$3001,$W730)&amp;"")</f>
        <v/>
      </c>
      <c r="F730">
        <f>IF($W730="","",INDEX('Per Line'!$D$2:$D$3001,$W730)&amp;"")</f>
        <v/>
      </c>
      <c r="G730">
        <f>IF($W730="","",INDEX('Per Line'!$F$2:$F$3001,$W730)&amp;"")</f>
        <v/>
      </c>
      <c r="H730">
        <f>IF($W730="","",INDEX('Per Line'!$G$2:$G$3001,$W730)&amp;"")</f>
        <v/>
      </c>
      <c r="I730">
        <f>IF($W730="","",INDEX('Per Line'!$H$2:$H$3001,$W730)&amp;"")</f>
        <v/>
      </c>
      <c r="J730">
        <f>IF($W730="","",INDEX('Per Line'!$I$2:$I$3001,$W730))</f>
        <v/>
      </c>
      <c r="K730" s="7">
        <f>IF($W730="","",J730*T730/100)</f>
        <v/>
      </c>
      <c r="L730" s="14">
        <f>IF($W730="","",INDEX('Per Line'!$V$2:$V$3001,$W730))</f>
        <v/>
      </c>
      <c r="M730">
        <f>IF($W730="","",IF(ISNUMBER(SEARCH("3&amp;12",SUBSTITUTE(F730," ",""))),Settings!$G$7,Settings!$C$7))</f>
        <v/>
      </c>
      <c r="N730" s="7">
        <f>IF($W730="","",SUMIFS('Per Line'!$O$2:$O$3001,'Per Line'!$B$2:$B$3001,$B730,'Per Line'!$AB$2:$AB$3001,0))</f>
        <v/>
      </c>
      <c r="O730" s="7">
        <f>IF($W730="","",N730*M730)</f>
        <v/>
      </c>
      <c r="P730">
        <f>IF($W730="","",IF(ISNUMBER(SEARCH("3&amp;12",SUBSTITUTE(F730," ",""))),Settings!$G$6,Settings!$C$6))</f>
        <v/>
      </c>
      <c r="Q730" s="7">
        <f>IF($W730="","",SUMIFS('Per Line'!$O$2:$O$3001,'Per Line'!$B$2:$B$3001,$B730,'Per Line'!$AB$2:$AB$3001,1))</f>
        <v/>
      </c>
      <c r="R730" s="7">
        <f>IF($W730="","",Q730*P730)</f>
        <v/>
      </c>
      <c r="S730" s="7">
        <f>IF($W730="","",R730+O730)</f>
        <v/>
      </c>
      <c r="T730" s="7">
        <f>IF($W730="","",V730-S730)</f>
        <v/>
      </c>
      <c r="U730" s="7">
        <f>IF($W730="","",V730-S730-K730)</f>
        <v/>
      </c>
      <c r="V730" s="7">
        <f>IF($W730="","",N730+Q730)</f>
        <v/>
      </c>
      <c r="W730" s="16">
        <f>IF(ROWS($W$2:$W730)&lt;=MAX('Per Line'!$AA$2:$AA$3001),MATCH(ROWS($W$2:$W730),'Per Line'!$AA$2:$AA$3001,0),"")</f>
        <v/>
      </c>
      <c r="X730">
        <f>IF($W730="","",D730&amp;"|"&amp;COUNTIF($D$2:$D730,D730))</f>
        <v/>
      </c>
    </row>
    <row r="731">
      <c r="A731" s="15" t="n"/>
      <c r="B731">
        <f>IF($W731="","",INDEX('Per Line'!$B$2:$B$3001,$W731)&amp;"")</f>
        <v/>
      </c>
      <c r="C731">
        <f>IF($W731="","",INDEX('Per Line'!$C$2:$C$3001,$W731)&amp;"")</f>
        <v/>
      </c>
      <c r="D731">
        <f>IF($W731="","",IF(OR(TRIM(E731)="Orient Insurance Company",TRIM(E731)="Allianz"),TRIM(E731),TRIM(F731)))</f>
        <v/>
      </c>
      <c r="E731">
        <f>IF($W731="","",INDEX('Per Line'!$E$2:$E$3001,$W731)&amp;"")</f>
        <v/>
      </c>
      <c r="F731">
        <f>IF($W731="","",INDEX('Per Line'!$D$2:$D$3001,$W731)&amp;"")</f>
        <v/>
      </c>
      <c r="G731">
        <f>IF($W731="","",INDEX('Per Line'!$F$2:$F$3001,$W731)&amp;"")</f>
        <v/>
      </c>
      <c r="H731">
        <f>IF($W731="","",INDEX('Per Line'!$G$2:$G$3001,$W731)&amp;"")</f>
        <v/>
      </c>
      <c r="I731">
        <f>IF($W731="","",INDEX('Per Line'!$H$2:$H$3001,$W731)&amp;"")</f>
        <v/>
      </c>
      <c r="J731">
        <f>IF($W731="","",INDEX('Per Line'!$I$2:$I$3001,$W731))</f>
        <v/>
      </c>
      <c r="K731" s="7">
        <f>IF($W731="","",J731*T731/100)</f>
        <v/>
      </c>
      <c r="L731" s="14">
        <f>IF($W731="","",INDEX('Per Line'!$V$2:$V$3001,$W731))</f>
        <v/>
      </c>
      <c r="M731">
        <f>IF($W731="","",IF(ISNUMBER(SEARCH("3&amp;12",SUBSTITUTE(F731," ",""))),Settings!$G$7,Settings!$C$7))</f>
        <v/>
      </c>
      <c r="N731" s="7">
        <f>IF($W731="","",SUMIFS('Per Line'!$O$2:$O$3001,'Per Line'!$B$2:$B$3001,$B731,'Per Line'!$AB$2:$AB$3001,0))</f>
        <v/>
      </c>
      <c r="O731" s="7">
        <f>IF($W731="","",N731*M731)</f>
        <v/>
      </c>
      <c r="P731">
        <f>IF($W731="","",IF(ISNUMBER(SEARCH("3&amp;12",SUBSTITUTE(F731," ",""))),Settings!$G$6,Settings!$C$6))</f>
        <v/>
      </c>
      <c r="Q731" s="7">
        <f>IF($W731="","",SUMIFS('Per Line'!$O$2:$O$3001,'Per Line'!$B$2:$B$3001,$B731,'Per Line'!$AB$2:$AB$3001,1))</f>
        <v/>
      </c>
      <c r="R731" s="7">
        <f>IF($W731="","",Q731*P731)</f>
        <v/>
      </c>
      <c r="S731" s="7">
        <f>IF($W731="","",R731+O731)</f>
        <v/>
      </c>
      <c r="T731" s="7">
        <f>IF($W731="","",V731-S731)</f>
        <v/>
      </c>
      <c r="U731" s="7">
        <f>IF($W731="","",V731-S731-K731)</f>
        <v/>
      </c>
      <c r="V731" s="7">
        <f>IF($W731="","",N731+Q731)</f>
        <v/>
      </c>
      <c r="W731" s="16">
        <f>IF(ROWS($W$2:$W731)&lt;=MAX('Per Line'!$AA$2:$AA$3001),MATCH(ROWS($W$2:$W731),'Per Line'!$AA$2:$AA$3001,0),"")</f>
        <v/>
      </c>
      <c r="X731">
        <f>IF($W731="","",D731&amp;"|"&amp;COUNTIF($D$2:$D731,D731))</f>
        <v/>
      </c>
    </row>
    <row r="732">
      <c r="A732" s="15" t="n"/>
      <c r="B732">
        <f>IF($W732="","",INDEX('Per Line'!$B$2:$B$3001,$W732)&amp;"")</f>
        <v/>
      </c>
      <c r="C732">
        <f>IF($W732="","",INDEX('Per Line'!$C$2:$C$3001,$W732)&amp;"")</f>
        <v/>
      </c>
      <c r="D732">
        <f>IF($W732="","",IF(OR(TRIM(E732)="Orient Insurance Company",TRIM(E732)="Allianz"),TRIM(E732),TRIM(F732)))</f>
        <v/>
      </c>
      <c r="E732">
        <f>IF($W732="","",INDEX('Per Line'!$E$2:$E$3001,$W732)&amp;"")</f>
        <v/>
      </c>
      <c r="F732">
        <f>IF($W732="","",INDEX('Per Line'!$D$2:$D$3001,$W732)&amp;"")</f>
        <v/>
      </c>
      <c r="G732">
        <f>IF($W732="","",INDEX('Per Line'!$F$2:$F$3001,$W732)&amp;"")</f>
        <v/>
      </c>
      <c r="H732">
        <f>IF($W732="","",INDEX('Per Line'!$G$2:$G$3001,$W732)&amp;"")</f>
        <v/>
      </c>
      <c r="I732">
        <f>IF($W732="","",INDEX('Per Line'!$H$2:$H$3001,$W732)&amp;"")</f>
        <v/>
      </c>
      <c r="J732">
        <f>IF($W732="","",INDEX('Per Line'!$I$2:$I$3001,$W732))</f>
        <v/>
      </c>
      <c r="K732" s="7">
        <f>IF($W732="","",J732*T732/100)</f>
        <v/>
      </c>
      <c r="L732" s="14">
        <f>IF($W732="","",INDEX('Per Line'!$V$2:$V$3001,$W732))</f>
        <v/>
      </c>
      <c r="M732">
        <f>IF($W732="","",IF(ISNUMBER(SEARCH("3&amp;12",SUBSTITUTE(F732," ",""))),Settings!$G$7,Settings!$C$7))</f>
        <v/>
      </c>
      <c r="N732" s="7">
        <f>IF($W732="","",SUMIFS('Per Line'!$O$2:$O$3001,'Per Line'!$B$2:$B$3001,$B732,'Per Line'!$AB$2:$AB$3001,0))</f>
        <v/>
      </c>
      <c r="O732" s="7">
        <f>IF($W732="","",N732*M732)</f>
        <v/>
      </c>
      <c r="P732">
        <f>IF($W732="","",IF(ISNUMBER(SEARCH("3&amp;12",SUBSTITUTE(F732," ",""))),Settings!$G$6,Settings!$C$6))</f>
        <v/>
      </c>
      <c r="Q732" s="7">
        <f>IF($W732="","",SUMIFS('Per Line'!$O$2:$O$3001,'Per Line'!$B$2:$B$3001,$B732,'Per Line'!$AB$2:$AB$3001,1))</f>
        <v/>
      </c>
      <c r="R732" s="7">
        <f>IF($W732="","",Q732*P732)</f>
        <v/>
      </c>
      <c r="S732" s="7">
        <f>IF($W732="","",R732+O732)</f>
        <v/>
      </c>
      <c r="T732" s="7">
        <f>IF($W732="","",V732-S732)</f>
        <v/>
      </c>
      <c r="U732" s="7">
        <f>IF($W732="","",V732-S732-K732)</f>
        <v/>
      </c>
      <c r="V732" s="7">
        <f>IF($W732="","",N732+Q732)</f>
        <v/>
      </c>
      <c r="W732" s="16">
        <f>IF(ROWS($W$2:$W732)&lt;=MAX('Per Line'!$AA$2:$AA$3001),MATCH(ROWS($W$2:$W732),'Per Line'!$AA$2:$AA$3001,0),"")</f>
        <v/>
      </c>
      <c r="X732">
        <f>IF($W732="","",D732&amp;"|"&amp;COUNTIF($D$2:$D732,D732))</f>
        <v/>
      </c>
    </row>
    <row r="733">
      <c r="A733" s="15" t="n"/>
      <c r="B733">
        <f>IF($W733="","",INDEX('Per Line'!$B$2:$B$3001,$W733)&amp;"")</f>
        <v/>
      </c>
      <c r="C733">
        <f>IF($W733="","",INDEX('Per Line'!$C$2:$C$3001,$W733)&amp;"")</f>
        <v/>
      </c>
      <c r="D733">
        <f>IF($W733="","",IF(OR(TRIM(E733)="Orient Insurance Company",TRIM(E733)="Allianz"),TRIM(E733),TRIM(F733)))</f>
        <v/>
      </c>
      <c r="E733">
        <f>IF($W733="","",INDEX('Per Line'!$E$2:$E$3001,$W733)&amp;"")</f>
        <v/>
      </c>
      <c r="F733">
        <f>IF($W733="","",INDEX('Per Line'!$D$2:$D$3001,$W733)&amp;"")</f>
        <v/>
      </c>
      <c r="G733">
        <f>IF($W733="","",INDEX('Per Line'!$F$2:$F$3001,$W733)&amp;"")</f>
        <v/>
      </c>
      <c r="H733">
        <f>IF($W733="","",INDEX('Per Line'!$G$2:$G$3001,$W733)&amp;"")</f>
        <v/>
      </c>
      <c r="I733">
        <f>IF($W733="","",INDEX('Per Line'!$H$2:$H$3001,$W733)&amp;"")</f>
        <v/>
      </c>
      <c r="J733">
        <f>IF($W733="","",INDEX('Per Line'!$I$2:$I$3001,$W733))</f>
        <v/>
      </c>
      <c r="K733" s="7">
        <f>IF($W733="","",J733*T733/100)</f>
        <v/>
      </c>
      <c r="L733" s="14">
        <f>IF($W733="","",INDEX('Per Line'!$V$2:$V$3001,$W733))</f>
        <v/>
      </c>
      <c r="M733">
        <f>IF($W733="","",IF(ISNUMBER(SEARCH("3&amp;12",SUBSTITUTE(F733," ",""))),Settings!$G$7,Settings!$C$7))</f>
        <v/>
      </c>
      <c r="N733" s="7">
        <f>IF($W733="","",SUMIFS('Per Line'!$O$2:$O$3001,'Per Line'!$B$2:$B$3001,$B733,'Per Line'!$AB$2:$AB$3001,0))</f>
        <v/>
      </c>
      <c r="O733" s="7">
        <f>IF($W733="","",N733*M733)</f>
        <v/>
      </c>
      <c r="P733">
        <f>IF($W733="","",IF(ISNUMBER(SEARCH("3&amp;12",SUBSTITUTE(F733," ",""))),Settings!$G$6,Settings!$C$6))</f>
        <v/>
      </c>
      <c r="Q733" s="7">
        <f>IF($W733="","",SUMIFS('Per Line'!$O$2:$O$3001,'Per Line'!$B$2:$B$3001,$B733,'Per Line'!$AB$2:$AB$3001,1))</f>
        <v/>
      </c>
      <c r="R733" s="7">
        <f>IF($W733="","",Q733*P733)</f>
        <v/>
      </c>
      <c r="S733" s="7">
        <f>IF($W733="","",R733+O733)</f>
        <v/>
      </c>
      <c r="T733" s="7">
        <f>IF($W733="","",V733-S733)</f>
        <v/>
      </c>
      <c r="U733" s="7">
        <f>IF($W733="","",V733-S733-K733)</f>
        <v/>
      </c>
      <c r="V733" s="7">
        <f>IF($W733="","",N733+Q733)</f>
        <v/>
      </c>
      <c r="W733" s="16">
        <f>IF(ROWS($W$2:$W733)&lt;=MAX('Per Line'!$AA$2:$AA$3001),MATCH(ROWS($W$2:$W733),'Per Line'!$AA$2:$AA$3001,0),"")</f>
        <v/>
      </c>
      <c r="X733">
        <f>IF($W733="","",D733&amp;"|"&amp;COUNTIF($D$2:$D733,D733))</f>
        <v/>
      </c>
    </row>
    <row r="734">
      <c r="A734" s="15" t="n"/>
      <c r="B734">
        <f>IF($W734="","",INDEX('Per Line'!$B$2:$B$3001,$W734)&amp;"")</f>
        <v/>
      </c>
      <c r="C734">
        <f>IF($W734="","",INDEX('Per Line'!$C$2:$C$3001,$W734)&amp;"")</f>
        <v/>
      </c>
      <c r="D734">
        <f>IF($W734="","",IF(OR(TRIM(E734)="Orient Insurance Company",TRIM(E734)="Allianz"),TRIM(E734),TRIM(F734)))</f>
        <v/>
      </c>
      <c r="E734">
        <f>IF($W734="","",INDEX('Per Line'!$E$2:$E$3001,$W734)&amp;"")</f>
        <v/>
      </c>
      <c r="F734">
        <f>IF($W734="","",INDEX('Per Line'!$D$2:$D$3001,$W734)&amp;"")</f>
        <v/>
      </c>
      <c r="G734">
        <f>IF($W734="","",INDEX('Per Line'!$F$2:$F$3001,$W734)&amp;"")</f>
        <v/>
      </c>
      <c r="H734">
        <f>IF($W734="","",INDEX('Per Line'!$G$2:$G$3001,$W734)&amp;"")</f>
        <v/>
      </c>
      <c r="I734">
        <f>IF($W734="","",INDEX('Per Line'!$H$2:$H$3001,$W734)&amp;"")</f>
        <v/>
      </c>
      <c r="J734">
        <f>IF($W734="","",INDEX('Per Line'!$I$2:$I$3001,$W734))</f>
        <v/>
      </c>
      <c r="K734" s="7">
        <f>IF($W734="","",J734*T734/100)</f>
        <v/>
      </c>
      <c r="L734" s="14">
        <f>IF($W734="","",INDEX('Per Line'!$V$2:$V$3001,$W734))</f>
        <v/>
      </c>
      <c r="M734">
        <f>IF($W734="","",IF(ISNUMBER(SEARCH("3&amp;12",SUBSTITUTE(F734," ",""))),Settings!$G$7,Settings!$C$7))</f>
        <v/>
      </c>
      <c r="N734" s="7">
        <f>IF($W734="","",SUMIFS('Per Line'!$O$2:$O$3001,'Per Line'!$B$2:$B$3001,$B734,'Per Line'!$AB$2:$AB$3001,0))</f>
        <v/>
      </c>
      <c r="O734" s="7">
        <f>IF($W734="","",N734*M734)</f>
        <v/>
      </c>
      <c r="P734">
        <f>IF($W734="","",IF(ISNUMBER(SEARCH("3&amp;12",SUBSTITUTE(F734," ",""))),Settings!$G$6,Settings!$C$6))</f>
        <v/>
      </c>
      <c r="Q734" s="7">
        <f>IF($W734="","",SUMIFS('Per Line'!$O$2:$O$3001,'Per Line'!$B$2:$B$3001,$B734,'Per Line'!$AB$2:$AB$3001,1))</f>
        <v/>
      </c>
      <c r="R734" s="7">
        <f>IF($W734="","",Q734*P734)</f>
        <v/>
      </c>
      <c r="S734" s="7">
        <f>IF($W734="","",R734+O734)</f>
        <v/>
      </c>
      <c r="T734" s="7">
        <f>IF($W734="","",V734-S734)</f>
        <v/>
      </c>
      <c r="U734" s="7">
        <f>IF($W734="","",V734-S734-K734)</f>
        <v/>
      </c>
      <c r="V734" s="7">
        <f>IF($W734="","",N734+Q734)</f>
        <v/>
      </c>
      <c r="W734" s="16">
        <f>IF(ROWS($W$2:$W734)&lt;=MAX('Per Line'!$AA$2:$AA$3001),MATCH(ROWS($W$2:$W734),'Per Line'!$AA$2:$AA$3001,0),"")</f>
        <v/>
      </c>
      <c r="X734">
        <f>IF($W734="","",D734&amp;"|"&amp;COUNTIF($D$2:$D734,D734))</f>
        <v/>
      </c>
    </row>
    <row r="735">
      <c r="A735" s="15" t="n"/>
      <c r="B735">
        <f>IF($W735="","",INDEX('Per Line'!$B$2:$B$3001,$W735)&amp;"")</f>
        <v/>
      </c>
      <c r="C735">
        <f>IF($W735="","",INDEX('Per Line'!$C$2:$C$3001,$W735)&amp;"")</f>
        <v/>
      </c>
      <c r="D735">
        <f>IF($W735="","",IF(OR(TRIM(E735)="Orient Insurance Company",TRIM(E735)="Allianz"),TRIM(E735),TRIM(F735)))</f>
        <v/>
      </c>
      <c r="E735">
        <f>IF($W735="","",INDEX('Per Line'!$E$2:$E$3001,$W735)&amp;"")</f>
        <v/>
      </c>
      <c r="F735">
        <f>IF($W735="","",INDEX('Per Line'!$D$2:$D$3001,$W735)&amp;"")</f>
        <v/>
      </c>
      <c r="G735">
        <f>IF($W735="","",INDEX('Per Line'!$F$2:$F$3001,$W735)&amp;"")</f>
        <v/>
      </c>
      <c r="H735">
        <f>IF($W735="","",INDEX('Per Line'!$G$2:$G$3001,$W735)&amp;"")</f>
        <v/>
      </c>
      <c r="I735">
        <f>IF($W735="","",INDEX('Per Line'!$H$2:$H$3001,$W735)&amp;"")</f>
        <v/>
      </c>
      <c r="J735">
        <f>IF($W735="","",INDEX('Per Line'!$I$2:$I$3001,$W735))</f>
        <v/>
      </c>
      <c r="K735" s="7">
        <f>IF($W735="","",J735*T735/100)</f>
        <v/>
      </c>
      <c r="L735" s="14">
        <f>IF($W735="","",INDEX('Per Line'!$V$2:$V$3001,$W735))</f>
        <v/>
      </c>
      <c r="M735">
        <f>IF($W735="","",IF(ISNUMBER(SEARCH("3&amp;12",SUBSTITUTE(F735," ",""))),Settings!$G$7,Settings!$C$7))</f>
        <v/>
      </c>
      <c r="N735" s="7">
        <f>IF($W735="","",SUMIFS('Per Line'!$O$2:$O$3001,'Per Line'!$B$2:$B$3001,$B735,'Per Line'!$AB$2:$AB$3001,0))</f>
        <v/>
      </c>
      <c r="O735" s="7">
        <f>IF($W735="","",N735*M735)</f>
        <v/>
      </c>
      <c r="P735">
        <f>IF($W735="","",IF(ISNUMBER(SEARCH("3&amp;12",SUBSTITUTE(F735," ",""))),Settings!$G$6,Settings!$C$6))</f>
        <v/>
      </c>
      <c r="Q735" s="7">
        <f>IF($W735="","",SUMIFS('Per Line'!$O$2:$O$3001,'Per Line'!$B$2:$B$3001,$B735,'Per Line'!$AB$2:$AB$3001,1))</f>
        <v/>
      </c>
      <c r="R735" s="7">
        <f>IF($W735="","",Q735*P735)</f>
        <v/>
      </c>
      <c r="S735" s="7">
        <f>IF($W735="","",R735+O735)</f>
        <v/>
      </c>
      <c r="T735" s="7">
        <f>IF($W735="","",V735-S735)</f>
        <v/>
      </c>
      <c r="U735" s="7">
        <f>IF($W735="","",V735-S735-K735)</f>
        <v/>
      </c>
      <c r="V735" s="7">
        <f>IF($W735="","",N735+Q735)</f>
        <v/>
      </c>
      <c r="W735" s="16">
        <f>IF(ROWS($W$2:$W735)&lt;=MAX('Per Line'!$AA$2:$AA$3001),MATCH(ROWS($W$2:$W735),'Per Line'!$AA$2:$AA$3001,0),"")</f>
        <v/>
      </c>
      <c r="X735">
        <f>IF($W735="","",D735&amp;"|"&amp;COUNTIF($D$2:$D735,D735))</f>
        <v/>
      </c>
    </row>
    <row r="736">
      <c r="A736" s="15" t="n"/>
      <c r="B736">
        <f>IF($W736="","",INDEX('Per Line'!$B$2:$B$3001,$W736)&amp;"")</f>
        <v/>
      </c>
      <c r="C736">
        <f>IF($W736="","",INDEX('Per Line'!$C$2:$C$3001,$W736)&amp;"")</f>
        <v/>
      </c>
      <c r="D736">
        <f>IF($W736="","",IF(OR(TRIM(E736)="Orient Insurance Company",TRIM(E736)="Allianz"),TRIM(E736),TRIM(F736)))</f>
        <v/>
      </c>
      <c r="E736">
        <f>IF($W736="","",INDEX('Per Line'!$E$2:$E$3001,$W736)&amp;"")</f>
        <v/>
      </c>
      <c r="F736">
        <f>IF($W736="","",INDEX('Per Line'!$D$2:$D$3001,$W736)&amp;"")</f>
        <v/>
      </c>
      <c r="G736">
        <f>IF($W736="","",INDEX('Per Line'!$F$2:$F$3001,$W736)&amp;"")</f>
        <v/>
      </c>
      <c r="H736">
        <f>IF($W736="","",INDEX('Per Line'!$G$2:$G$3001,$W736)&amp;"")</f>
        <v/>
      </c>
      <c r="I736">
        <f>IF($W736="","",INDEX('Per Line'!$H$2:$H$3001,$W736)&amp;"")</f>
        <v/>
      </c>
      <c r="J736">
        <f>IF($W736="","",INDEX('Per Line'!$I$2:$I$3001,$W736))</f>
        <v/>
      </c>
      <c r="K736" s="7">
        <f>IF($W736="","",J736*T736/100)</f>
        <v/>
      </c>
      <c r="L736" s="14">
        <f>IF($W736="","",INDEX('Per Line'!$V$2:$V$3001,$W736))</f>
        <v/>
      </c>
      <c r="M736">
        <f>IF($W736="","",IF(ISNUMBER(SEARCH("3&amp;12",SUBSTITUTE(F736," ",""))),Settings!$G$7,Settings!$C$7))</f>
        <v/>
      </c>
      <c r="N736" s="7">
        <f>IF($W736="","",SUMIFS('Per Line'!$O$2:$O$3001,'Per Line'!$B$2:$B$3001,$B736,'Per Line'!$AB$2:$AB$3001,0))</f>
        <v/>
      </c>
      <c r="O736" s="7">
        <f>IF($W736="","",N736*M736)</f>
        <v/>
      </c>
      <c r="P736">
        <f>IF($W736="","",IF(ISNUMBER(SEARCH("3&amp;12",SUBSTITUTE(F736," ",""))),Settings!$G$6,Settings!$C$6))</f>
        <v/>
      </c>
      <c r="Q736" s="7">
        <f>IF($W736="","",SUMIFS('Per Line'!$O$2:$O$3001,'Per Line'!$B$2:$B$3001,$B736,'Per Line'!$AB$2:$AB$3001,1))</f>
        <v/>
      </c>
      <c r="R736" s="7">
        <f>IF($W736="","",Q736*P736)</f>
        <v/>
      </c>
      <c r="S736" s="7">
        <f>IF($W736="","",R736+O736)</f>
        <v/>
      </c>
      <c r="T736" s="7">
        <f>IF($W736="","",V736-S736)</f>
        <v/>
      </c>
      <c r="U736" s="7">
        <f>IF($W736="","",V736-S736-K736)</f>
        <v/>
      </c>
      <c r="V736" s="7">
        <f>IF($W736="","",N736+Q736)</f>
        <v/>
      </c>
      <c r="W736" s="16">
        <f>IF(ROWS($W$2:$W736)&lt;=MAX('Per Line'!$AA$2:$AA$3001),MATCH(ROWS($W$2:$W736),'Per Line'!$AA$2:$AA$3001,0),"")</f>
        <v/>
      </c>
      <c r="X736">
        <f>IF($W736="","",D736&amp;"|"&amp;COUNTIF($D$2:$D736,D736))</f>
        <v/>
      </c>
    </row>
    <row r="737">
      <c r="A737" s="15" t="n"/>
      <c r="B737">
        <f>IF($W737="","",INDEX('Per Line'!$B$2:$B$3001,$W737)&amp;"")</f>
        <v/>
      </c>
      <c r="C737">
        <f>IF($W737="","",INDEX('Per Line'!$C$2:$C$3001,$W737)&amp;"")</f>
        <v/>
      </c>
      <c r="D737">
        <f>IF($W737="","",IF(OR(TRIM(E737)="Orient Insurance Company",TRIM(E737)="Allianz"),TRIM(E737),TRIM(F737)))</f>
        <v/>
      </c>
      <c r="E737">
        <f>IF($W737="","",INDEX('Per Line'!$E$2:$E$3001,$W737)&amp;"")</f>
        <v/>
      </c>
      <c r="F737">
        <f>IF($W737="","",INDEX('Per Line'!$D$2:$D$3001,$W737)&amp;"")</f>
        <v/>
      </c>
      <c r="G737">
        <f>IF($W737="","",INDEX('Per Line'!$F$2:$F$3001,$W737)&amp;"")</f>
        <v/>
      </c>
      <c r="H737">
        <f>IF($W737="","",INDEX('Per Line'!$G$2:$G$3001,$W737)&amp;"")</f>
        <v/>
      </c>
      <c r="I737">
        <f>IF($W737="","",INDEX('Per Line'!$H$2:$H$3001,$W737)&amp;"")</f>
        <v/>
      </c>
      <c r="J737">
        <f>IF($W737="","",INDEX('Per Line'!$I$2:$I$3001,$W737))</f>
        <v/>
      </c>
      <c r="K737" s="7">
        <f>IF($W737="","",J737*T737/100)</f>
        <v/>
      </c>
      <c r="L737" s="14">
        <f>IF($W737="","",INDEX('Per Line'!$V$2:$V$3001,$W737))</f>
        <v/>
      </c>
      <c r="M737">
        <f>IF($W737="","",IF(ISNUMBER(SEARCH("3&amp;12",SUBSTITUTE(F737," ",""))),Settings!$G$7,Settings!$C$7))</f>
        <v/>
      </c>
      <c r="N737" s="7">
        <f>IF($W737="","",SUMIFS('Per Line'!$O$2:$O$3001,'Per Line'!$B$2:$B$3001,$B737,'Per Line'!$AB$2:$AB$3001,0))</f>
        <v/>
      </c>
      <c r="O737" s="7">
        <f>IF($W737="","",N737*M737)</f>
        <v/>
      </c>
      <c r="P737">
        <f>IF($W737="","",IF(ISNUMBER(SEARCH("3&amp;12",SUBSTITUTE(F737," ",""))),Settings!$G$6,Settings!$C$6))</f>
        <v/>
      </c>
      <c r="Q737" s="7">
        <f>IF($W737="","",SUMIFS('Per Line'!$O$2:$O$3001,'Per Line'!$B$2:$B$3001,$B737,'Per Line'!$AB$2:$AB$3001,1))</f>
        <v/>
      </c>
      <c r="R737" s="7">
        <f>IF($W737="","",Q737*P737)</f>
        <v/>
      </c>
      <c r="S737" s="7">
        <f>IF($W737="","",R737+O737)</f>
        <v/>
      </c>
      <c r="T737" s="7">
        <f>IF($W737="","",V737-S737)</f>
        <v/>
      </c>
      <c r="U737" s="7">
        <f>IF($W737="","",V737-S737-K737)</f>
        <v/>
      </c>
      <c r="V737" s="7">
        <f>IF($W737="","",N737+Q737)</f>
        <v/>
      </c>
      <c r="W737" s="16">
        <f>IF(ROWS($W$2:$W737)&lt;=MAX('Per Line'!$AA$2:$AA$3001),MATCH(ROWS($W$2:$W737),'Per Line'!$AA$2:$AA$3001,0),"")</f>
        <v/>
      </c>
      <c r="X737">
        <f>IF($W737="","",D737&amp;"|"&amp;COUNTIF($D$2:$D737,D737))</f>
        <v/>
      </c>
    </row>
    <row r="738">
      <c r="A738" s="15" t="n"/>
      <c r="B738">
        <f>IF($W738="","",INDEX('Per Line'!$B$2:$B$3001,$W738)&amp;"")</f>
        <v/>
      </c>
      <c r="C738">
        <f>IF($W738="","",INDEX('Per Line'!$C$2:$C$3001,$W738)&amp;"")</f>
        <v/>
      </c>
      <c r="D738">
        <f>IF($W738="","",IF(OR(TRIM(E738)="Orient Insurance Company",TRIM(E738)="Allianz"),TRIM(E738),TRIM(F738)))</f>
        <v/>
      </c>
      <c r="E738">
        <f>IF($W738="","",INDEX('Per Line'!$E$2:$E$3001,$W738)&amp;"")</f>
        <v/>
      </c>
      <c r="F738">
        <f>IF($W738="","",INDEX('Per Line'!$D$2:$D$3001,$W738)&amp;"")</f>
        <v/>
      </c>
      <c r="G738">
        <f>IF($W738="","",INDEX('Per Line'!$F$2:$F$3001,$W738)&amp;"")</f>
        <v/>
      </c>
      <c r="H738">
        <f>IF($W738="","",INDEX('Per Line'!$G$2:$G$3001,$W738)&amp;"")</f>
        <v/>
      </c>
      <c r="I738">
        <f>IF($W738="","",INDEX('Per Line'!$H$2:$H$3001,$W738)&amp;"")</f>
        <v/>
      </c>
      <c r="J738">
        <f>IF($W738="","",INDEX('Per Line'!$I$2:$I$3001,$W738))</f>
        <v/>
      </c>
      <c r="K738" s="7">
        <f>IF($W738="","",J738*T738/100)</f>
        <v/>
      </c>
      <c r="L738" s="14">
        <f>IF($W738="","",INDEX('Per Line'!$V$2:$V$3001,$W738))</f>
        <v/>
      </c>
      <c r="M738">
        <f>IF($W738="","",IF(ISNUMBER(SEARCH("3&amp;12",SUBSTITUTE(F738," ",""))),Settings!$G$7,Settings!$C$7))</f>
        <v/>
      </c>
      <c r="N738" s="7">
        <f>IF($W738="","",SUMIFS('Per Line'!$O$2:$O$3001,'Per Line'!$B$2:$B$3001,$B738,'Per Line'!$AB$2:$AB$3001,0))</f>
        <v/>
      </c>
      <c r="O738" s="7">
        <f>IF($W738="","",N738*M738)</f>
        <v/>
      </c>
      <c r="P738">
        <f>IF($W738="","",IF(ISNUMBER(SEARCH("3&amp;12",SUBSTITUTE(F738," ",""))),Settings!$G$6,Settings!$C$6))</f>
        <v/>
      </c>
      <c r="Q738" s="7">
        <f>IF($W738="","",SUMIFS('Per Line'!$O$2:$O$3001,'Per Line'!$B$2:$B$3001,$B738,'Per Line'!$AB$2:$AB$3001,1))</f>
        <v/>
      </c>
      <c r="R738" s="7">
        <f>IF($W738="","",Q738*P738)</f>
        <v/>
      </c>
      <c r="S738" s="7">
        <f>IF($W738="","",R738+O738)</f>
        <v/>
      </c>
      <c r="T738" s="7">
        <f>IF($W738="","",V738-S738)</f>
        <v/>
      </c>
      <c r="U738" s="7">
        <f>IF($W738="","",V738-S738-K738)</f>
        <v/>
      </c>
      <c r="V738" s="7">
        <f>IF($W738="","",N738+Q738)</f>
        <v/>
      </c>
      <c r="W738" s="16">
        <f>IF(ROWS($W$2:$W738)&lt;=MAX('Per Line'!$AA$2:$AA$3001),MATCH(ROWS($W$2:$W738),'Per Line'!$AA$2:$AA$3001,0),"")</f>
        <v/>
      </c>
      <c r="X738">
        <f>IF($W738="","",D738&amp;"|"&amp;COUNTIF($D$2:$D738,D738))</f>
        <v/>
      </c>
    </row>
    <row r="739">
      <c r="A739" s="15" t="n"/>
      <c r="B739">
        <f>IF($W739="","",INDEX('Per Line'!$B$2:$B$3001,$W739)&amp;"")</f>
        <v/>
      </c>
      <c r="C739">
        <f>IF($W739="","",INDEX('Per Line'!$C$2:$C$3001,$W739)&amp;"")</f>
        <v/>
      </c>
      <c r="D739">
        <f>IF($W739="","",IF(OR(TRIM(E739)="Orient Insurance Company",TRIM(E739)="Allianz"),TRIM(E739),TRIM(F739)))</f>
        <v/>
      </c>
      <c r="E739">
        <f>IF($W739="","",INDEX('Per Line'!$E$2:$E$3001,$W739)&amp;"")</f>
        <v/>
      </c>
      <c r="F739">
        <f>IF($W739="","",INDEX('Per Line'!$D$2:$D$3001,$W739)&amp;"")</f>
        <v/>
      </c>
      <c r="G739">
        <f>IF($W739="","",INDEX('Per Line'!$F$2:$F$3001,$W739)&amp;"")</f>
        <v/>
      </c>
      <c r="H739">
        <f>IF($W739="","",INDEX('Per Line'!$G$2:$G$3001,$W739)&amp;"")</f>
        <v/>
      </c>
      <c r="I739">
        <f>IF($W739="","",INDEX('Per Line'!$H$2:$H$3001,$W739)&amp;"")</f>
        <v/>
      </c>
      <c r="J739">
        <f>IF($W739="","",INDEX('Per Line'!$I$2:$I$3001,$W739))</f>
        <v/>
      </c>
      <c r="K739" s="7">
        <f>IF($W739="","",J739*T739/100)</f>
        <v/>
      </c>
      <c r="L739" s="14">
        <f>IF($W739="","",INDEX('Per Line'!$V$2:$V$3001,$W739))</f>
        <v/>
      </c>
      <c r="M739">
        <f>IF($W739="","",IF(ISNUMBER(SEARCH("3&amp;12",SUBSTITUTE(F739," ",""))),Settings!$G$7,Settings!$C$7))</f>
        <v/>
      </c>
      <c r="N739" s="7">
        <f>IF($W739="","",SUMIFS('Per Line'!$O$2:$O$3001,'Per Line'!$B$2:$B$3001,$B739,'Per Line'!$AB$2:$AB$3001,0))</f>
        <v/>
      </c>
      <c r="O739" s="7">
        <f>IF($W739="","",N739*M739)</f>
        <v/>
      </c>
      <c r="P739">
        <f>IF($W739="","",IF(ISNUMBER(SEARCH("3&amp;12",SUBSTITUTE(F739," ",""))),Settings!$G$6,Settings!$C$6))</f>
        <v/>
      </c>
      <c r="Q739" s="7">
        <f>IF($W739="","",SUMIFS('Per Line'!$O$2:$O$3001,'Per Line'!$B$2:$B$3001,$B739,'Per Line'!$AB$2:$AB$3001,1))</f>
        <v/>
      </c>
      <c r="R739" s="7">
        <f>IF($W739="","",Q739*P739)</f>
        <v/>
      </c>
      <c r="S739" s="7">
        <f>IF($W739="","",R739+O739)</f>
        <v/>
      </c>
      <c r="T739" s="7">
        <f>IF($W739="","",V739-S739)</f>
        <v/>
      </c>
      <c r="U739" s="7">
        <f>IF($W739="","",V739-S739-K739)</f>
        <v/>
      </c>
      <c r="V739" s="7">
        <f>IF($W739="","",N739+Q739)</f>
        <v/>
      </c>
      <c r="W739" s="16">
        <f>IF(ROWS($W$2:$W739)&lt;=MAX('Per Line'!$AA$2:$AA$3001),MATCH(ROWS($W$2:$W739),'Per Line'!$AA$2:$AA$3001,0),"")</f>
        <v/>
      </c>
      <c r="X739">
        <f>IF($W739="","",D739&amp;"|"&amp;COUNTIF($D$2:$D739,D739))</f>
        <v/>
      </c>
    </row>
    <row r="740">
      <c r="A740" s="15" t="n"/>
      <c r="B740">
        <f>IF($W740="","",INDEX('Per Line'!$B$2:$B$3001,$W740)&amp;"")</f>
        <v/>
      </c>
      <c r="C740">
        <f>IF($W740="","",INDEX('Per Line'!$C$2:$C$3001,$W740)&amp;"")</f>
        <v/>
      </c>
      <c r="D740">
        <f>IF($W740="","",IF(OR(TRIM(E740)="Orient Insurance Company",TRIM(E740)="Allianz"),TRIM(E740),TRIM(F740)))</f>
        <v/>
      </c>
      <c r="E740">
        <f>IF($W740="","",INDEX('Per Line'!$E$2:$E$3001,$W740)&amp;"")</f>
        <v/>
      </c>
      <c r="F740">
        <f>IF($W740="","",INDEX('Per Line'!$D$2:$D$3001,$W740)&amp;"")</f>
        <v/>
      </c>
      <c r="G740">
        <f>IF($W740="","",INDEX('Per Line'!$F$2:$F$3001,$W740)&amp;"")</f>
        <v/>
      </c>
      <c r="H740">
        <f>IF($W740="","",INDEX('Per Line'!$G$2:$G$3001,$W740)&amp;"")</f>
        <v/>
      </c>
      <c r="I740">
        <f>IF($W740="","",INDEX('Per Line'!$H$2:$H$3001,$W740)&amp;"")</f>
        <v/>
      </c>
      <c r="J740">
        <f>IF($W740="","",INDEX('Per Line'!$I$2:$I$3001,$W740))</f>
        <v/>
      </c>
      <c r="K740" s="7">
        <f>IF($W740="","",J740*T740/100)</f>
        <v/>
      </c>
      <c r="L740" s="14">
        <f>IF($W740="","",INDEX('Per Line'!$V$2:$V$3001,$W740))</f>
        <v/>
      </c>
      <c r="M740">
        <f>IF($W740="","",IF(ISNUMBER(SEARCH("3&amp;12",SUBSTITUTE(F740," ",""))),Settings!$G$7,Settings!$C$7))</f>
        <v/>
      </c>
      <c r="N740" s="7">
        <f>IF($W740="","",SUMIFS('Per Line'!$O$2:$O$3001,'Per Line'!$B$2:$B$3001,$B740,'Per Line'!$AB$2:$AB$3001,0))</f>
        <v/>
      </c>
      <c r="O740" s="7">
        <f>IF($W740="","",N740*M740)</f>
        <v/>
      </c>
      <c r="P740">
        <f>IF($W740="","",IF(ISNUMBER(SEARCH("3&amp;12",SUBSTITUTE(F740," ",""))),Settings!$G$6,Settings!$C$6))</f>
        <v/>
      </c>
      <c r="Q740" s="7">
        <f>IF($W740="","",SUMIFS('Per Line'!$O$2:$O$3001,'Per Line'!$B$2:$B$3001,$B740,'Per Line'!$AB$2:$AB$3001,1))</f>
        <v/>
      </c>
      <c r="R740" s="7">
        <f>IF($W740="","",Q740*P740)</f>
        <v/>
      </c>
      <c r="S740" s="7">
        <f>IF($W740="","",R740+O740)</f>
        <v/>
      </c>
      <c r="T740" s="7">
        <f>IF($W740="","",V740-S740)</f>
        <v/>
      </c>
      <c r="U740" s="7">
        <f>IF($W740="","",V740-S740-K740)</f>
        <v/>
      </c>
      <c r="V740" s="7">
        <f>IF($W740="","",N740+Q740)</f>
        <v/>
      </c>
      <c r="W740" s="16">
        <f>IF(ROWS($W$2:$W740)&lt;=MAX('Per Line'!$AA$2:$AA$3001),MATCH(ROWS($W$2:$W740),'Per Line'!$AA$2:$AA$3001,0),"")</f>
        <v/>
      </c>
      <c r="X740">
        <f>IF($W740="","",D740&amp;"|"&amp;COUNTIF($D$2:$D740,D740))</f>
        <v/>
      </c>
    </row>
    <row r="741">
      <c r="A741" s="15" t="n"/>
      <c r="B741">
        <f>IF($W741="","",INDEX('Per Line'!$B$2:$B$3001,$W741)&amp;"")</f>
        <v/>
      </c>
      <c r="C741">
        <f>IF($W741="","",INDEX('Per Line'!$C$2:$C$3001,$W741)&amp;"")</f>
        <v/>
      </c>
      <c r="D741">
        <f>IF($W741="","",IF(OR(TRIM(E741)="Orient Insurance Company",TRIM(E741)="Allianz"),TRIM(E741),TRIM(F741)))</f>
        <v/>
      </c>
      <c r="E741">
        <f>IF($W741="","",INDEX('Per Line'!$E$2:$E$3001,$W741)&amp;"")</f>
        <v/>
      </c>
      <c r="F741">
        <f>IF($W741="","",INDEX('Per Line'!$D$2:$D$3001,$W741)&amp;"")</f>
        <v/>
      </c>
      <c r="G741">
        <f>IF($W741="","",INDEX('Per Line'!$F$2:$F$3001,$W741)&amp;"")</f>
        <v/>
      </c>
      <c r="H741">
        <f>IF($W741="","",INDEX('Per Line'!$G$2:$G$3001,$W741)&amp;"")</f>
        <v/>
      </c>
      <c r="I741">
        <f>IF($W741="","",INDEX('Per Line'!$H$2:$H$3001,$W741)&amp;"")</f>
        <v/>
      </c>
      <c r="J741">
        <f>IF($W741="","",INDEX('Per Line'!$I$2:$I$3001,$W741))</f>
        <v/>
      </c>
      <c r="K741" s="7">
        <f>IF($W741="","",J741*T741/100)</f>
        <v/>
      </c>
      <c r="L741" s="14">
        <f>IF($W741="","",INDEX('Per Line'!$V$2:$V$3001,$W741))</f>
        <v/>
      </c>
      <c r="M741">
        <f>IF($W741="","",IF(ISNUMBER(SEARCH("3&amp;12",SUBSTITUTE(F741," ",""))),Settings!$G$7,Settings!$C$7))</f>
        <v/>
      </c>
      <c r="N741" s="7">
        <f>IF($W741="","",SUMIFS('Per Line'!$O$2:$O$3001,'Per Line'!$B$2:$B$3001,$B741,'Per Line'!$AB$2:$AB$3001,0))</f>
        <v/>
      </c>
      <c r="O741" s="7">
        <f>IF($W741="","",N741*M741)</f>
        <v/>
      </c>
      <c r="P741">
        <f>IF($W741="","",IF(ISNUMBER(SEARCH("3&amp;12",SUBSTITUTE(F741," ",""))),Settings!$G$6,Settings!$C$6))</f>
        <v/>
      </c>
      <c r="Q741" s="7">
        <f>IF($W741="","",SUMIFS('Per Line'!$O$2:$O$3001,'Per Line'!$B$2:$B$3001,$B741,'Per Line'!$AB$2:$AB$3001,1))</f>
        <v/>
      </c>
      <c r="R741" s="7">
        <f>IF($W741="","",Q741*P741)</f>
        <v/>
      </c>
      <c r="S741" s="7">
        <f>IF($W741="","",R741+O741)</f>
        <v/>
      </c>
      <c r="T741" s="7">
        <f>IF($W741="","",V741-S741)</f>
        <v/>
      </c>
      <c r="U741" s="7">
        <f>IF($W741="","",V741-S741-K741)</f>
        <v/>
      </c>
      <c r="V741" s="7">
        <f>IF($W741="","",N741+Q741)</f>
        <v/>
      </c>
      <c r="W741" s="16">
        <f>IF(ROWS($W$2:$W741)&lt;=MAX('Per Line'!$AA$2:$AA$3001),MATCH(ROWS($W$2:$W741),'Per Line'!$AA$2:$AA$3001,0),"")</f>
        <v/>
      </c>
      <c r="X741">
        <f>IF($W741="","",D741&amp;"|"&amp;COUNTIF($D$2:$D741,D741))</f>
        <v/>
      </c>
    </row>
    <row r="742">
      <c r="A742" s="15" t="n"/>
      <c r="B742">
        <f>IF($W742="","",INDEX('Per Line'!$B$2:$B$3001,$W742)&amp;"")</f>
        <v/>
      </c>
      <c r="C742">
        <f>IF($W742="","",INDEX('Per Line'!$C$2:$C$3001,$W742)&amp;"")</f>
        <v/>
      </c>
      <c r="D742">
        <f>IF($W742="","",IF(OR(TRIM(E742)="Orient Insurance Company",TRIM(E742)="Allianz"),TRIM(E742),TRIM(F742)))</f>
        <v/>
      </c>
      <c r="E742">
        <f>IF($W742="","",INDEX('Per Line'!$E$2:$E$3001,$W742)&amp;"")</f>
        <v/>
      </c>
      <c r="F742">
        <f>IF($W742="","",INDEX('Per Line'!$D$2:$D$3001,$W742)&amp;"")</f>
        <v/>
      </c>
      <c r="G742">
        <f>IF($W742="","",INDEX('Per Line'!$F$2:$F$3001,$W742)&amp;"")</f>
        <v/>
      </c>
      <c r="H742">
        <f>IF($W742="","",INDEX('Per Line'!$G$2:$G$3001,$W742)&amp;"")</f>
        <v/>
      </c>
      <c r="I742">
        <f>IF($W742="","",INDEX('Per Line'!$H$2:$H$3001,$W742)&amp;"")</f>
        <v/>
      </c>
      <c r="J742">
        <f>IF($W742="","",INDEX('Per Line'!$I$2:$I$3001,$W742))</f>
        <v/>
      </c>
      <c r="K742" s="7">
        <f>IF($W742="","",J742*T742/100)</f>
        <v/>
      </c>
      <c r="L742" s="14">
        <f>IF($W742="","",INDEX('Per Line'!$V$2:$V$3001,$W742))</f>
        <v/>
      </c>
      <c r="M742">
        <f>IF($W742="","",IF(ISNUMBER(SEARCH("3&amp;12",SUBSTITUTE(F742," ",""))),Settings!$G$7,Settings!$C$7))</f>
        <v/>
      </c>
      <c r="N742" s="7">
        <f>IF($W742="","",SUMIFS('Per Line'!$O$2:$O$3001,'Per Line'!$B$2:$B$3001,$B742,'Per Line'!$AB$2:$AB$3001,0))</f>
        <v/>
      </c>
      <c r="O742" s="7">
        <f>IF($W742="","",N742*M742)</f>
        <v/>
      </c>
      <c r="P742">
        <f>IF($W742="","",IF(ISNUMBER(SEARCH("3&amp;12",SUBSTITUTE(F742," ",""))),Settings!$G$6,Settings!$C$6))</f>
        <v/>
      </c>
      <c r="Q742" s="7">
        <f>IF($W742="","",SUMIFS('Per Line'!$O$2:$O$3001,'Per Line'!$B$2:$B$3001,$B742,'Per Line'!$AB$2:$AB$3001,1))</f>
        <v/>
      </c>
      <c r="R742" s="7">
        <f>IF($W742="","",Q742*P742)</f>
        <v/>
      </c>
      <c r="S742" s="7">
        <f>IF($W742="","",R742+O742)</f>
        <v/>
      </c>
      <c r="T742" s="7">
        <f>IF($W742="","",V742-S742)</f>
        <v/>
      </c>
      <c r="U742" s="7">
        <f>IF($W742="","",V742-S742-K742)</f>
        <v/>
      </c>
      <c r="V742" s="7">
        <f>IF($W742="","",N742+Q742)</f>
        <v/>
      </c>
      <c r="W742" s="16">
        <f>IF(ROWS($W$2:$W742)&lt;=MAX('Per Line'!$AA$2:$AA$3001),MATCH(ROWS($W$2:$W742),'Per Line'!$AA$2:$AA$3001,0),"")</f>
        <v/>
      </c>
      <c r="X742">
        <f>IF($W742="","",D742&amp;"|"&amp;COUNTIF($D$2:$D742,D742))</f>
        <v/>
      </c>
    </row>
    <row r="743">
      <c r="A743" s="15" t="n"/>
      <c r="B743">
        <f>IF($W743="","",INDEX('Per Line'!$B$2:$B$3001,$W743)&amp;"")</f>
        <v/>
      </c>
      <c r="C743">
        <f>IF($W743="","",INDEX('Per Line'!$C$2:$C$3001,$W743)&amp;"")</f>
        <v/>
      </c>
      <c r="D743">
        <f>IF($W743="","",IF(OR(TRIM(E743)="Orient Insurance Company",TRIM(E743)="Allianz"),TRIM(E743),TRIM(F743)))</f>
        <v/>
      </c>
      <c r="E743">
        <f>IF($W743="","",INDEX('Per Line'!$E$2:$E$3001,$W743)&amp;"")</f>
        <v/>
      </c>
      <c r="F743">
        <f>IF($W743="","",INDEX('Per Line'!$D$2:$D$3001,$W743)&amp;"")</f>
        <v/>
      </c>
      <c r="G743">
        <f>IF($W743="","",INDEX('Per Line'!$F$2:$F$3001,$W743)&amp;"")</f>
        <v/>
      </c>
      <c r="H743">
        <f>IF($W743="","",INDEX('Per Line'!$G$2:$G$3001,$W743)&amp;"")</f>
        <v/>
      </c>
      <c r="I743">
        <f>IF($W743="","",INDEX('Per Line'!$H$2:$H$3001,$W743)&amp;"")</f>
        <v/>
      </c>
      <c r="J743">
        <f>IF($W743="","",INDEX('Per Line'!$I$2:$I$3001,$W743))</f>
        <v/>
      </c>
      <c r="K743" s="7">
        <f>IF($W743="","",J743*T743/100)</f>
        <v/>
      </c>
      <c r="L743" s="14">
        <f>IF($W743="","",INDEX('Per Line'!$V$2:$V$3001,$W743))</f>
        <v/>
      </c>
      <c r="M743">
        <f>IF($W743="","",IF(ISNUMBER(SEARCH("3&amp;12",SUBSTITUTE(F743," ",""))),Settings!$G$7,Settings!$C$7))</f>
        <v/>
      </c>
      <c r="N743" s="7">
        <f>IF($W743="","",SUMIFS('Per Line'!$O$2:$O$3001,'Per Line'!$B$2:$B$3001,$B743,'Per Line'!$AB$2:$AB$3001,0))</f>
        <v/>
      </c>
      <c r="O743" s="7">
        <f>IF($W743="","",N743*M743)</f>
        <v/>
      </c>
      <c r="P743">
        <f>IF($W743="","",IF(ISNUMBER(SEARCH("3&amp;12",SUBSTITUTE(F743," ",""))),Settings!$G$6,Settings!$C$6))</f>
        <v/>
      </c>
      <c r="Q743" s="7">
        <f>IF($W743="","",SUMIFS('Per Line'!$O$2:$O$3001,'Per Line'!$B$2:$B$3001,$B743,'Per Line'!$AB$2:$AB$3001,1))</f>
        <v/>
      </c>
      <c r="R743" s="7">
        <f>IF($W743="","",Q743*P743)</f>
        <v/>
      </c>
      <c r="S743" s="7">
        <f>IF($W743="","",R743+O743)</f>
        <v/>
      </c>
      <c r="T743" s="7">
        <f>IF($W743="","",V743-S743)</f>
        <v/>
      </c>
      <c r="U743" s="7">
        <f>IF($W743="","",V743-S743-K743)</f>
        <v/>
      </c>
      <c r="V743" s="7">
        <f>IF($W743="","",N743+Q743)</f>
        <v/>
      </c>
      <c r="W743" s="16">
        <f>IF(ROWS($W$2:$W743)&lt;=MAX('Per Line'!$AA$2:$AA$3001),MATCH(ROWS($W$2:$W743),'Per Line'!$AA$2:$AA$3001,0),"")</f>
        <v/>
      </c>
      <c r="X743">
        <f>IF($W743="","",D743&amp;"|"&amp;COUNTIF($D$2:$D743,D743))</f>
        <v/>
      </c>
    </row>
    <row r="744">
      <c r="A744" s="15" t="n"/>
      <c r="B744">
        <f>IF($W744="","",INDEX('Per Line'!$B$2:$B$3001,$W744)&amp;"")</f>
        <v/>
      </c>
      <c r="C744">
        <f>IF($W744="","",INDEX('Per Line'!$C$2:$C$3001,$W744)&amp;"")</f>
        <v/>
      </c>
      <c r="D744">
        <f>IF($W744="","",IF(OR(TRIM(E744)="Orient Insurance Company",TRIM(E744)="Allianz"),TRIM(E744),TRIM(F744)))</f>
        <v/>
      </c>
      <c r="E744">
        <f>IF($W744="","",INDEX('Per Line'!$E$2:$E$3001,$W744)&amp;"")</f>
        <v/>
      </c>
      <c r="F744">
        <f>IF($W744="","",INDEX('Per Line'!$D$2:$D$3001,$W744)&amp;"")</f>
        <v/>
      </c>
      <c r="G744">
        <f>IF($W744="","",INDEX('Per Line'!$F$2:$F$3001,$W744)&amp;"")</f>
        <v/>
      </c>
      <c r="H744">
        <f>IF($W744="","",INDEX('Per Line'!$G$2:$G$3001,$W744)&amp;"")</f>
        <v/>
      </c>
      <c r="I744">
        <f>IF($W744="","",INDEX('Per Line'!$H$2:$H$3001,$W744)&amp;"")</f>
        <v/>
      </c>
      <c r="J744">
        <f>IF($W744="","",INDEX('Per Line'!$I$2:$I$3001,$W744))</f>
        <v/>
      </c>
      <c r="K744" s="7">
        <f>IF($W744="","",J744*T744/100)</f>
        <v/>
      </c>
      <c r="L744" s="14">
        <f>IF($W744="","",INDEX('Per Line'!$V$2:$V$3001,$W744))</f>
        <v/>
      </c>
      <c r="M744">
        <f>IF($W744="","",IF(ISNUMBER(SEARCH("3&amp;12",SUBSTITUTE(F744," ",""))),Settings!$G$7,Settings!$C$7))</f>
        <v/>
      </c>
      <c r="N744" s="7">
        <f>IF($W744="","",SUMIFS('Per Line'!$O$2:$O$3001,'Per Line'!$B$2:$B$3001,$B744,'Per Line'!$AB$2:$AB$3001,0))</f>
        <v/>
      </c>
      <c r="O744" s="7">
        <f>IF($W744="","",N744*M744)</f>
        <v/>
      </c>
      <c r="P744">
        <f>IF($W744="","",IF(ISNUMBER(SEARCH("3&amp;12",SUBSTITUTE(F744," ",""))),Settings!$G$6,Settings!$C$6))</f>
        <v/>
      </c>
      <c r="Q744" s="7">
        <f>IF($W744="","",SUMIFS('Per Line'!$O$2:$O$3001,'Per Line'!$B$2:$B$3001,$B744,'Per Line'!$AB$2:$AB$3001,1))</f>
        <v/>
      </c>
      <c r="R744" s="7">
        <f>IF($W744="","",Q744*P744)</f>
        <v/>
      </c>
      <c r="S744" s="7">
        <f>IF($W744="","",R744+O744)</f>
        <v/>
      </c>
      <c r="T744" s="7">
        <f>IF($W744="","",V744-S744)</f>
        <v/>
      </c>
      <c r="U744" s="7">
        <f>IF($W744="","",V744-S744-K744)</f>
        <v/>
      </c>
      <c r="V744" s="7">
        <f>IF($W744="","",N744+Q744)</f>
        <v/>
      </c>
      <c r="W744" s="16">
        <f>IF(ROWS($W$2:$W744)&lt;=MAX('Per Line'!$AA$2:$AA$3001),MATCH(ROWS($W$2:$W744),'Per Line'!$AA$2:$AA$3001,0),"")</f>
        <v/>
      </c>
      <c r="X744">
        <f>IF($W744="","",D744&amp;"|"&amp;COUNTIF($D$2:$D744,D744))</f>
        <v/>
      </c>
    </row>
    <row r="745">
      <c r="A745" s="15" t="n"/>
      <c r="B745">
        <f>IF($W745="","",INDEX('Per Line'!$B$2:$B$3001,$W745)&amp;"")</f>
        <v/>
      </c>
      <c r="C745">
        <f>IF($W745="","",INDEX('Per Line'!$C$2:$C$3001,$W745)&amp;"")</f>
        <v/>
      </c>
      <c r="D745">
        <f>IF($W745="","",IF(OR(TRIM(E745)="Orient Insurance Company",TRIM(E745)="Allianz"),TRIM(E745),TRIM(F745)))</f>
        <v/>
      </c>
      <c r="E745">
        <f>IF($W745="","",INDEX('Per Line'!$E$2:$E$3001,$W745)&amp;"")</f>
        <v/>
      </c>
      <c r="F745">
        <f>IF($W745="","",INDEX('Per Line'!$D$2:$D$3001,$W745)&amp;"")</f>
        <v/>
      </c>
      <c r="G745">
        <f>IF($W745="","",INDEX('Per Line'!$F$2:$F$3001,$W745)&amp;"")</f>
        <v/>
      </c>
      <c r="H745">
        <f>IF($W745="","",INDEX('Per Line'!$G$2:$G$3001,$W745)&amp;"")</f>
        <v/>
      </c>
      <c r="I745">
        <f>IF($W745="","",INDEX('Per Line'!$H$2:$H$3001,$W745)&amp;"")</f>
        <v/>
      </c>
      <c r="J745">
        <f>IF($W745="","",INDEX('Per Line'!$I$2:$I$3001,$W745))</f>
        <v/>
      </c>
      <c r="K745" s="7">
        <f>IF($W745="","",J745*T745/100)</f>
        <v/>
      </c>
      <c r="L745" s="14">
        <f>IF($W745="","",INDEX('Per Line'!$V$2:$V$3001,$W745))</f>
        <v/>
      </c>
      <c r="M745">
        <f>IF($W745="","",IF(ISNUMBER(SEARCH("3&amp;12",SUBSTITUTE(F745," ",""))),Settings!$G$7,Settings!$C$7))</f>
        <v/>
      </c>
      <c r="N745" s="7">
        <f>IF($W745="","",SUMIFS('Per Line'!$O$2:$O$3001,'Per Line'!$B$2:$B$3001,$B745,'Per Line'!$AB$2:$AB$3001,0))</f>
        <v/>
      </c>
      <c r="O745" s="7">
        <f>IF($W745="","",N745*M745)</f>
        <v/>
      </c>
      <c r="P745">
        <f>IF($W745="","",IF(ISNUMBER(SEARCH("3&amp;12",SUBSTITUTE(F745," ",""))),Settings!$G$6,Settings!$C$6))</f>
        <v/>
      </c>
      <c r="Q745" s="7">
        <f>IF($W745="","",SUMIFS('Per Line'!$O$2:$O$3001,'Per Line'!$B$2:$B$3001,$B745,'Per Line'!$AB$2:$AB$3001,1))</f>
        <v/>
      </c>
      <c r="R745" s="7">
        <f>IF($W745="","",Q745*P745)</f>
        <v/>
      </c>
      <c r="S745" s="7">
        <f>IF($W745="","",R745+O745)</f>
        <v/>
      </c>
      <c r="T745" s="7">
        <f>IF($W745="","",V745-S745)</f>
        <v/>
      </c>
      <c r="U745" s="7">
        <f>IF($W745="","",V745-S745-K745)</f>
        <v/>
      </c>
      <c r="V745" s="7">
        <f>IF($W745="","",N745+Q745)</f>
        <v/>
      </c>
      <c r="W745" s="16">
        <f>IF(ROWS($W$2:$W745)&lt;=MAX('Per Line'!$AA$2:$AA$3001),MATCH(ROWS($W$2:$W745),'Per Line'!$AA$2:$AA$3001,0),"")</f>
        <v/>
      </c>
      <c r="X745">
        <f>IF($W745="","",D745&amp;"|"&amp;COUNTIF($D$2:$D745,D745))</f>
        <v/>
      </c>
    </row>
    <row r="746">
      <c r="A746" s="15" t="n"/>
      <c r="B746">
        <f>IF($W746="","",INDEX('Per Line'!$B$2:$B$3001,$W746)&amp;"")</f>
        <v/>
      </c>
      <c r="C746">
        <f>IF($W746="","",INDEX('Per Line'!$C$2:$C$3001,$W746)&amp;"")</f>
        <v/>
      </c>
      <c r="D746">
        <f>IF($W746="","",IF(OR(TRIM(E746)="Orient Insurance Company",TRIM(E746)="Allianz"),TRIM(E746),TRIM(F746)))</f>
        <v/>
      </c>
      <c r="E746">
        <f>IF($W746="","",INDEX('Per Line'!$E$2:$E$3001,$W746)&amp;"")</f>
        <v/>
      </c>
      <c r="F746">
        <f>IF($W746="","",INDEX('Per Line'!$D$2:$D$3001,$W746)&amp;"")</f>
        <v/>
      </c>
      <c r="G746">
        <f>IF($W746="","",INDEX('Per Line'!$F$2:$F$3001,$W746)&amp;"")</f>
        <v/>
      </c>
      <c r="H746">
        <f>IF($W746="","",INDEX('Per Line'!$G$2:$G$3001,$W746)&amp;"")</f>
        <v/>
      </c>
      <c r="I746">
        <f>IF($W746="","",INDEX('Per Line'!$H$2:$H$3001,$W746)&amp;"")</f>
        <v/>
      </c>
      <c r="J746">
        <f>IF($W746="","",INDEX('Per Line'!$I$2:$I$3001,$W746))</f>
        <v/>
      </c>
      <c r="K746" s="7">
        <f>IF($W746="","",J746*T746/100)</f>
        <v/>
      </c>
      <c r="L746" s="14">
        <f>IF($W746="","",INDEX('Per Line'!$V$2:$V$3001,$W746))</f>
        <v/>
      </c>
      <c r="M746">
        <f>IF($W746="","",IF(ISNUMBER(SEARCH("3&amp;12",SUBSTITUTE(F746," ",""))),Settings!$G$7,Settings!$C$7))</f>
        <v/>
      </c>
      <c r="N746" s="7">
        <f>IF($W746="","",SUMIFS('Per Line'!$O$2:$O$3001,'Per Line'!$B$2:$B$3001,$B746,'Per Line'!$AB$2:$AB$3001,0))</f>
        <v/>
      </c>
      <c r="O746" s="7">
        <f>IF($W746="","",N746*M746)</f>
        <v/>
      </c>
      <c r="P746">
        <f>IF($W746="","",IF(ISNUMBER(SEARCH("3&amp;12",SUBSTITUTE(F746," ",""))),Settings!$G$6,Settings!$C$6))</f>
        <v/>
      </c>
      <c r="Q746" s="7">
        <f>IF($W746="","",SUMIFS('Per Line'!$O$2:$O$3001,'Per Line'!$B$2:$B$3001,$B746,'Per Line'!$AB$2:$AB$3001,1))</f>
        <v/>
      </c>
      <c r="R746" s="7">
        <f>IF($W746="","",Q746*P746)</f>
        <v/>
      </c>
      <c r="S746" s="7">
        <f>IF($W746="","",R746+O746)</f>
        <v/>
      </c>
      <c r="T746" s="7">
        <f>IF($W746="","",V746-S746)</f>
        <v/>
      </c>
      <c r="U746" s="7">
        <f>IF($W746="","",V746-S746-K746)</f>
        <v/>
      </c>
      <c r="V746" s="7">
        <f>IF($W746="","",N746+Q746)</f>
        <v/>
      </c>
      <c r="W746" s="16">
        <f>IF(ROWS($W$2:$W746)&lt;=MAX('Per Line'!$AA$2:$AA$3001),MATCH(ROWS($W$2:$W746),'Per Line'!$AA$2:$AA$3001,0),"")</f>
        <v/>
      </c>
      <c r="X746">
        <f>IF($W746="","",D746&amp;"|"&amp;COUNTIF($D$2:$D746,D746))</f>
        <v/>
      </c>
    </row>
    <row r="747">
      <c r="A747" s="15" t="n"/>
      <c r="B747">
        <f>IF($W747="","",INDEX('Per Line'!$B$2:$B$3001,$W747)&amp;"")</f>
        <v/>
      </c>
      <c r="C747">
        <f>IF($W747="","",INDEX('Per Line'!$C$2:$C$3001,$W747)&amp;"")</f>
        <v/>
      </c>
      <c r="D747">
        <f>IF($W747="","",IF(OR(TRIM(E747)="Orient Insurance Company",TRIM(E747)="Allianz"),TRIM(E747),TRIM(F747)))</f>
        <v/>
      </c>
      <c r="E747">
        <f>IF($W747="","",INDEX('Per Line'!$E$2:$E$3001,$W747)&amp;"")</f>
        <v/>
      </c>
      <c r="F747">
        <f>IF($W747="","",INDEX('Per Line'!$D$2:$D$3001,$W747)&amp;"")</f>
        <v/>
      </c>
      <c r="G747">
        <f>IF($W747="","",INDEX('Per Line'!$F$2:$F$3001,$W747)&amp;"")</f>
        <v/>
      </c>
      <c r="H747">
        <f>IF($W747="","",INDEX('Per Line'!$G$2:$G$3001,$W747)&amp;"")</f>
        <v/>
      </c>
      <c r="I747">
        <f>IF($W747="","",INDEX('Per Line'!$H$2:$H$3001,$W747)&amp;"")</f>
        <v/>
      </c>
      <c r="J747">
        <f>IF($W747="","",INDEX('Per Line'!$I$2:$I$3001,$W747))</f>
        <v/>
      </c>
      <c r="K747" s="7">
        <f>IF($W747="","",J747*T747/100)</f>
        <v/>
      </c>
      <c r="L747" s="14">
        <f>IF($W747="","",INDEX('Per Line'!$V$2:$V$3001,$W747))</f>
        <v/>
      </c>
      <c r="M747">
        <f>IF($W747="","",IF(ISNUMBER(SEARCH("3&amp;12",SUBSTITUTE(F747," ",""))),Settings!$G$7,Settings!$C$7))</f>
        <v/>
      </c>
      <c r="N747" s="7">
        <f>IF($W747="","",SUMIFS('Per Line'!$O$2:$O$3001,'Per Line'!$B$2:$B$3001,$B747,'Per Line'!$AB$2:$AB$3001,0))</f>
        <v/>
      </c>
      <c r="O747" s="7">
        <f>IF($W747="","",N747*M747)</f>
        <v/>
      </c>
      <c r="P747">
        <f>IF($W747="","",IF(ISNUMBER(SEARCH("3&amp;12",SUBSTITUTE(F747," ",""))),Settings!$G$6,Settings!$C$6))</f>
        <v/>
      </c>
      <c r="Q747" s="7">
        <f>IF($W747="","",SUMIFS('Per Line'!$O$2:$O$3001,'Per Line'!$B$2:$B$3001,$B747,'Per Line'!$AB$2:$AB$3001,1))</f>
        <v/>
      </c>
      <c r="R747" s="7">
        <f>IF($W747="","",Q747*P747)</f>
        <v/>
      </c>
      <c r="S747" s="7">
        <f>IF($W747="","",R747+O747)</f>
        <v/>
      </c>
      <c r="T747" s="7">
        <f>IF($W747="","",V747-S747)</f>
        <v/>
      </c>
      <c r="U747" s="7">
        <f>IF($W747="","",V747-S747-K747)</f>
        <v/>
      </c>
      <c r="V747" s="7">
        <f>IF($W747="","",N747+Q747)</f>
        <v/>
      </c>
      <c r="W747" s="16">
        <f>IF(ROWS($W$2:$W747)&lt;=MAX('Per Line'!$AA$2:$AA$3001),MATCH(ROWS($W$2:$W747),'Per Line'!$AA$2:$AA$3001,0),"")</f>
        <v/>
      </c>
      <c r="X747">
        <f>IF($W747="","",D747&amp;"|"&amp;COUNTIF($D$2:$D747,D747))</f>
        <v/>
      </c>
    </row>
    <row r="748">
      <c r="A748" s="15" t="n"/>
      <c r="B748">
        <f>IF($W748="","",INDEX('Per Line'!$B$2:$B$3001,$W748)&amp;"")</f>
        <v/>
      </c>
      <c r="C748">
        <f>IF($W748="","",INDEX('Per Line'!$C$2:$C$3001,$W748)&amp;"")</f>
        <v/>
      </c>
      <c r="D748">
        <f>IF($W748="","",IF(OR(TRIM(E748)="Orient Insurance Company",TRIM(E748)="Allianz"),TRIM(E748),TRIM(F748)))</f>
        <v/>
      </c>
      <c r="E748">
        <f>IF($W748="","",INDEX('Per Line'!$E$2:$E$3001,$W748)&amp;"")</f>
        <v/>
      </c>
      <c r="F748">
        <f>IF($W748="","",INDEX('Per Line'!$D$2:$D$3001,$W748)&amp;"")</f>
        <v/>
      </c>
      <c r="G748">
        <f>IF($W748="","",INDEX('Per Line'!$F$2:$F$3001,$W748)&amp;"")</f>
        <v/>
      </c>
      <c r="H748">
        <f>IF($W748="","",INDEX('Per Line'!$G$2:$G$3001,$W748)&amp;"")</f>
        <v/>
      </c>
      <c r="I748">
        <f>IF($W748="","",INDEX('Per Line'!$H$2:$H$3001,$W748)&amp;"")</f>
        <v/>
      </c>
      <c r="J748">
        <f>IF($W748="","",INDEX('Per Line'!$I$2:$I$3001,$W748))</f>
        <v/>
      </c>
      <c r="K748" s="7">
        <f>IF($W748="","",J748*T748/100)</f>
        <v/>
      </c>
      <c r="L748" s="14">
        <f>IF($W748="","",INDEX('Per Line'!$V$2:$V$3001,$W748))</f>
        <v/>
      </c>
      <c r="M748">
        <f>IF($W748="","",IF(ISNUMBER(SEARCH("3&amp;12",SUBSTITUTE(F748," ",""))),Settings!$G$7,Settings!$C$7))</f>
        <v/>
      </c>
      <c r="N748" s="7">
        <f>IF($W748="","",SUMIFS('Per Line'!$O$2:$O$3001,'Per Line'!$B$2:$B$3001,$B748,'Per Line'!$AB$2:$AB$3001,0))</f>
        <v/>
      </c>
      <c r="O748" s="7">
        <f>IF($W748="","",N748*M748)</f>
        <v/>
      </c>
      <c r="P748">
        <f>IF($W748="","",IF(ISNUMBER(SEARCH("3&amp;12",SUBSTITUTE(F748," ",""))),Settings!$G$6,Settings!$C$6))</f>
        <v/>
      </c>
      <c r="Q748" s="7">
        <f>IF($W748="","",SUMIFS('Per Line'!$O$2:$O$3001,'Per Line'!$B$2:$B$3001,$B748,'Per Line'!$AB$2:$AB$3001,1))</f>
        <v/>
      </c>
      <c r="R748" s="7">
        <f>IF($W748="","",Q748*P748)</f>
        <v/>
      </c>
      <c r="S748" s="7">
        <f>IF($W748="","",R748+O748)</f>
        <v/>
      </c>
      <c r="T748" s="7">
        <f>IF($W748="","",V748-S748)</f>
        <v/>
      </c>
      <c r="U748" s="7">
        <f>IF($W748="","",V748-S748-K748)</f>
        <v/>
      </c>
      <c r="V748" s="7">
        <f>IF($W748="","",N748+Q748)</f>
        <v/>
      </c>
      <c r="W748" s="16">
        <f>IF(ROWS($W$2:$W748)&lt;=MAX('Per Line'!$AA$2:$AA$3001),MATCH(ROWS($W$2:$W748),'Per Line'!$AA$2:$AA$3001,0),"")</f>
        <v/>
      </c>
      <c r="X748">
        <f>IF($W748="","",D748&amp;"|"&amp;COUNTIF($D$2:$D748,D748))</f>
        <v/>
      </c>
    </row>
    <row r="749">
      <c r="A749" s="15" t="n"/>
      <c r="B749">
        <f>IF($W749="","",INDEX('Per Line'!$B$2:$B$3001,$W749)&amp;"")</f>
        <v/>
      </c>
      <c r="C749">
        <f>IF($W749="","",INDEX('Per Line'!$C$2:$C$3001,$W749)&amp;"")</f>
        <v/>
      </c>
      <c r="D749">
        <f>IF($W749="","",IF(OR(TRIM(E749)="Orient Insurance Company",TRIM(E749)="Allianz"),TRIM(E749),TRIM(F749)))</f>
        <v/>
      </c>
      <c r="E749">
        <f>IF($W749="","",INDEX('Per Line'!$E$2:$E$3001,$W749)&amp;"")</f>
        <v/>
      </c>
      <c r="F749">
        <f>IF($W749="","",INDEX('Per Line'!$D$2:$D$3001,$W749)&amp;"")</f>
        <v/>
      </c>
      <c r="G749">
        <f>IF($W749="","",INDEX('Per Line'!$F$2:$F$3001,$W749)&amp;"")</f>
        <v/>
      </c>
      <c r="H749">
        <f>IF($W749="","",INDEX('Per Line'!$G$2:$G$3001,$W749)&amp;"")</f>
        <v/>
      </c>
      <c r="I749">
        <f>IF($W749="","",INDEX('Per Line'!$H$2:$H$3001,$W749)&amp;"")</f>
        <v/>
      </c>
      <c r="J749">
        <f>IF($W749="","",INDEX('Per Line'!$I$2:$I$3001,$W749))</f>
        <v/>
      </c>
      <c r="K749" s="7">
        <f>IF($W749="","",J749*T749/100)</f>
        <v/>
      </c>
      <c r="L749" s="14">
        <f>IF($W749="","",INDEX('Per Line'!$V$2:$V$3001,$W749))</f>
        <v/>
      </c>
      <c r="M749">
        <f>IF($W749="","",IF(ISNUMBER(SEARCH("3&amp;12",SUBSTITUTE(F749," ",""))),Settings!$G$7,Settings!$C$7))</f>
        <v/>
      </c>
      <c r="N749" s="7">
        <f>IF($W749="","",SUMIFS('Per Line'!$O$2:$O$3001,'Per Line'!$B$2:$B$3001,$B749,'Per Line'!$AB$2:$AB$3001,0))</f>
        <v/>
      </c>
      <c r="O749" s="7">
        <f>IF($W749="","",N749*M749)</f>
        <v/>
      </c>
      <c r="P749">
        <f>IF($W749="","",IF(ISNUMBER(SEARCH("3&amp;12",SUBSTITUTE(F749," ",""))),Settings!$G$6,Settings!$C$6))</f>
        <v/>
      </c>
      <c r="Q749" s="7">
        <f>IF($W749="","",SUMIFS('Per Line'!$O$2:$O$3001,'Per Line'!$B$2:$B$3001,$B749,'Per Line'!$AB$2:$AB$3001,1))</f>
        <v/>
      </c>
      <c r="R749" s="7">
        <f>IF($W749="","",Q749*P749)</f>
        <v/>
      </c>
      <c r="S749" s="7">
        <f>IF($W749="","",R749+O749)</f>
        <v/>
      </c>
      <c r="T749" s="7">
        <f>IF($W749="","",V749-S749)</f>
        <v/>
      </c>
      <c r="U749" s="7">
        <f>IF($W749="","",V749-S749-K749)</f>
        <v/>
      </c>
      <c r="V749" s="7">
        <f>IF($W749="","",N749+Q749)</f>
        <v/>
      </c>
      <c r="W749" s="16">
        <f>IF(ROWS($W$2:$W749)&lt;=MAX('Per Line'!$AA$2:$AA$3001),MATCH(ROWS($W$2:$W749),'Per Line'!$AA$2:$AA$3001,0),"")</f>
        <v/>
      </c>
      <c r="X749">
        <f>IF($W749="","",D749&amp;"|"&amp;COUNTIF($D$2:$D749,D749))</f>
        <v/>
      </c>
    </row>
    <row r="750">
      <c r="A750" s="15" t="n"/>
      <c r="B750">
        <f>IF($W750="","",INDEX('Per Line'!$B$2:$B$3001,$W750)&amp;"")</f>
        <v/>
      </c>
      <c r="C750">
        <f>IF($W750="","",INDEX('Per Line'!$C$2:$C$3001,$W750)&amp;"")</f>
        <v/>
      </c>
      <c r="D750">
        <f>IF($W750="","",IF(OR(TRIM(E750)="Orient Insurance Company",TRIM(E750)="Allianz"),TRIM(E750),TRIM(F750)))</f>
        <v/>
      </c>
      <c r="E750">
        <f>IF($W750="","",INDEX('Per Line'!$E$2:$E$3001,$W750)&amp;"")</f>
        <v/>
      </c>
      <c r="F750">
        <f>IF($W750="","",INDEX('Per Line'!$D$2:$D$3001,$W750)&amp;"")</f>
        <v/>
      </c>
      <c r="G750">
        <f>IF($W750="","",INDEX('Per Line'!$F$2:$F$3001,$W750)&amp;"")</f>
        <v/>
      </c>
      <c r="H750">
        <f>IF($W750="","",INDEX('Per Line'!$G$2:$G$3001,$W750)&amp;"")</f>
        <v/>
      </c>
      <c r="I750">
        <f>IF($W750="","",INDEX('Per Line'!$H$2:$H$3001,$W750)&amp;"")</f>
        <v/>
      </c>
      <c r="J750">
        <f>IF($W750="","",INDEX('Per Line'!$I$2:$I$3001,$W750))</f>
        <v/>
      </c>
      <c r="K750" s="7">
        <f>IF($W750="","",J750*T750/100)</f>
        <v/>
      </c>
      <c r="L750" s="14">
        <f>IF($W750="","",INDEX('Per Line'!$V$2:$V$3001,$W750))</f>
        <v/>
      </c>
      <c r="M750">
        <f>IF($W750="","",IF(ISNUMBER(SEARCH("3&amp;12",SUBSTITUTE(F750," ",""))),Settings!$G$7,Settings!$C$7))</f>
        <v/>
      </c>
      <c r="N750" s="7">
        <f>IF($W750="","",SUMIFS('Per Line'!$O$2:$O$3001,'Per Line'!$B$2:$B$3001,$B750,'Per Line'!$AB$2:$AB$3001,0))</f>
        <v/>
      </c>
      <c r="O750" s="7">
        <f>IF($W750="","",N750*M750)</f>
        <v/>
      </c>
      <c r="P750">
        <f>IF($W750="","",IF(ISNUMBER(SEARCH("3&amp;12",SUBSTITUTE(F750," ",""))),Settings!$G$6,Settings!$C$6))</f>
        <v/>
      </c>
      <c r="Q750" s="7">
        <f>IF($W750="","",SUMIFS('Per Line'!$O$2:$O$3001,'Per Line'!$B$2:$B$3001,$B750,'Per Line'!$AB$2:$AB$3001,1))</f>
        <v/>
      </c>
      <c r="R750" s="7">
        <f>IF($W750="","",Q750*P750)</f>
        <v/>
      </c>
      <c r="S750" s="7">
        <f>IF($W750="","",R750+O750)</f>
        <v/>
      </c>
      <c r="T750" s="7">
        <f>IF($W750="","",V750-S750)</f>
        <v/>
      </c>
      <c r="U750" s="7">
        <f>IF($W750="","",V750-S750-K750)</f>
        <v/>
      </c>
      <c r="V750" s="7">
        <f>IF($W750="","",N750+Q750)</f>
        <v/>
      </c>
      <c r="W750" s="16">
        <f>IF(ROWS($W$2:$W750)&lt;=MAX('Per Line'!$AA$2:$AA$3001),MATCH(ROWS($W$2:$W750),'Per Line'!$AA$2:$AA$3001,0),"")</f>
        <v/>
      </c>
      <c r="X750">
        <f>IF($W750="","",D750&amp;"|"&amp;COUNTIF($D$2:$D750,D750))</f>
        <v/>
      </c>
    </row>
    <row r="751">
      <c r="A751" s="15" t="n"/>
      <c r="B751">
        <f>IF($W751="","",INDEX('Per Line'!$B$2:$B$3001,$W751)&amp;"")</f>
        <v/>
      </c>
      <c r="C751">
        <f>IF($W751="","",INDEX('Per Line'!$C$2:$C$3001,$W751)&amp;"")</f>
        <v/>
      </c>
      <c r="D751">
        <f>IF($W751="","",IF(OR(TRIM(E751)="Orient Insurance Company",TRIM(E751)="Allianz"),TRIM(E751),TRIM(F751)))</f>
        <v/>
      </c>
      <c r="E751">
        <f>IF($W751="","",INDEX('Per Line'!$E$2:$E$3001,$W751)&amp;"")</f>
        <v/>
      </c>
      <c r="F751">
        <f>IF($W751="","",INDEX('Per Line'!$D$2:$D$3001,$W751)&amp;"")</f>
        <v/>
      </c>
      <c r="G751">
        <f>IF($W751="","",INDEX('Per Line'!$F$2:$F$3001,$W751)&amp;"")</f>
        <v/>
      </c>
      <c r="H751">
        <f>IF($W751="","",INDEX('Per Line'!$G$2:$G$3001,$W751)&amp;"")</f>
        <v/>
      </c>
      <c r="I751">
        <f>IF($W751="","",INDEX('Per Line'!$H$2:$H$3001,$W751)&amp;"")</f>
        <v/>
      </c>
      <c r="J751">
        <f>IF($W751="","",INDEX('Per Line'!$I$2:$I$3001,$W751))</f>
        <v/>
      </c>
      <c r="K751" s="7">
        <f>IF($W751="","",J751*T751/100)</f>
        <v/>
      </c>
      <c r="L751" s="14">
        <f>IF($W751="","",INDEX('Per Line'!$V$2:$V$3001,$W751))</f>
        <v/>
      </c>
      <c r="M751">
        <f>IF($W751="","",IF(ISNUMBER(SEARCH("3&amp;12",SUBSTITUTE(F751," ",""))),Settings!$G$7,Settings!$C$7))</f>
        <v/>
      </c>
      <c r="N751" s="7">
        <f>IF($W751="","",SUMIFS('Per Line'!$O$2:$O$3001,'Per Line'!$B$2:$B$3001,$B751,'Per Line'!$AB$2:$AB$3001,0))</f>
        <v/>
      </c>
      <c r="O751" s="7">
        <f>IF($W751="","",N751*M751)</f>
        <v/>
      </c>
      <c r="P751">
        <f>IF($W751="","",IF(ISNUMBER(SEARCH("3&amp;12",SUBSTITUTE(F751," ",""))),Settings!$G$6,Settings!$C$6))</f>
        <v/>
      </c>
      <c r="Q751" s="7">
        <f>IF($W751="","",SUMIFS('Per Line'!$O$2:$O$3001,'Per Line'!$B$2:$B$3001,$B751,'Per Line'!$AB$2:$AB$3001,1))</f>
        <v/>
      </c>
      <c r="R751" s="7">
        <f>IF($W751="","",Q751*P751)</f>
        <v/>
      </c>
      <c r="S751" s="7">
        <f>IF($W751="","",R751+O751)</f>
        <v/>
      </c>
      <c r="T751" s="7">
        <f>IF($W751="","",V751-S751)</f>
        <v/>
      </c>
      <c r="U751" s="7">
        <f>IF($W751="","",V751-S751-K751)</f>
        <v/>
      </c>
      <c r="V751" s="7">
        <f>IF($W751="","",N751+Q751)</f>
        <v/>
      </c>
      <c r="W751" s="16">
        <f>IF(ROWS($W$2:$W751)&lt;=MAX('Per Line'!$AA$2:$AA$3001),MATCH(ROWS($W$2:$W751),'Per Line'!$AA$2:$AA$3001,0),"")</f>
        <v/>
      </c>
      <c r="X751">
        <f>IF($W751="","",D751&amp;"|"&amp;COUNTIF($D$2:$D751,D751))</f>
        <v/>
      </c>
    </row>
    <row r="752">
      <c r="A752" s="15" t="n"/>
      <c r="B752">
        <f>IF($W752="","",INDEX('Per Line'!$B$2:$B$3001,$W752)&amp;"")</f>
        <v/>
      </c>
      <c r="C752">
        <f>IF($W752="","",INDEX('Per Line'!$C$2:$C$3001,$W752)&amp;"")</f>
        <v/>
      </c>
      <c r="D752">
        <f>IF($W752="","",IF(OR(TRIM(E752)="Orient Insurance Company",TRIM(E752)="Allianz"),TRIM(E752),TRIM(F752)))</f>
        <v/>
      </c>
      <c r="E752">
        <f>IF($W752="","",INDEX('Per Line'!$E$2:$E$3001,$W752)&amp;"")</f>
        <v/>
      </c>
      <c r="F752">
        <f>IF($W752="","",INDEX('Per Line'!$D$2:$D$3001,$W752)&amp;"")</f>
        <v/>
      </c>
      <c r="G752">
        <f>IF($W752="","",INDEX('Per Line'!$F$2:$F$3001,$W752)&amp;"")</f>
        <v/>
      </c>
      <c r="H752">
        <f>IF($W752="","",INDEX('Per Line'!$G$2:$G$3001,$W752)&amp;"")</f>
        <v/>
      </c>
      <c r="I752">
        <f>IF($W752="","",INDEX('Per Line'!$H$2:$H$3001,$W752)&amp;"")</f>
        <v/>
      </c>
      <c r="J752">
        <f>IF($W752="","",INDEX('Per Line'!$I$2:$I$3001,$W752))</f>
        <v/>
      </c>
      <c r="K752" s="7">
        <f>IF($W752="","",J752*T752/100)</f>
        <v/>
      </c>
      <c r="L752" s="14">
        <f>IF($W752="","",INDEX('Per Line'!$V$2:$V$3001,$W752))</f>
        <v/>
      </c>
      <c r="M752">
        <f>IF($W752="","",IF(ISNUMBER(SEARCH("3&amp;12",SUBSTITUTE(F752," ",""))),Settings!$G$7,Settings!$C$7))</f>
        <v/>
      </c>
      <c r="N752" s="7">
        <f>IF($W752="","",SUMIFS('Per Line'!$O$2:$O$3001,'Per Line'!$B$2:$B$3001,$B752,'Per Line'!$AB$2:$AB$3001,0))</f>
        <v/>
      </c>
      <c r="O752" s="7">
        <f>IF($W752="","",N752*M752)</f>
        <v/>
      </c>
      <c r="P752">
        <f>IF($W752="","",IF(ISNUMBER(SEARCH("3&amp;12",SUBSTITUTE(F752," ",""))),Settings!$G$6,Settings!$C$6))</f>
        <v/>
      </c>
      <c r="Q752" s="7">
        <f>IF($W752="","",SUMIFS('Per Line'!$O$2:$O$3001,'Per Line'!$B$2:$B$3001,$B752,'Per Line'!$AB$2:$AB$3001,1))</f>
        <v/>
      </c>
      <c r="R752" s="7">
        <f>IF($W752="","",Q752*P752)</f>
        <v/>
      </c>
      <c r="S752" s="7">
        <f>IF($W752="","",R752+O752)</f>
        <v/>
      </c>
      <c r="T752" s="7">
        <f>IF($W752="","",V752-S752)</f>
        <v/>
      </c>
      <c r="U752" s="7">
        <f>IF($W752="","",V752-S752-K752)</f>
        <v/>
      </c>
      <c r="V752" s="7">
        <f>IF($W752="","",N752+Q752)</f>
        <v/>
      </c>
      <c r="W752" s="16">
        <f>IF(ROWS($W$2:$W752)&lt;=MAX('Per Line'!$AA$2:$AA$3001),MATCH(ROWS($W$2:$W752),'Per Line'!$AA$2:$AA$3001,0),"")</f>
        <v/>
      </c>
      <c r="X752">
        <f>IF($W752="","",D752&amp;"|"&amp;COUNTIF($D$2:$D752,D752))</f>
        <v/>
      </c>
    </row>
    <row r="753">
      <c r="A753" s="15" t="n"/>
      <c r="B753">
        <f>IF($W753="","",INDEX('Per Line'!$B$2:$B$3001,$W753)&amp;"")</f>
        <v/>
      </c>
      <c r="C753">
        <f>IF($W753="","",INDEX('Per Line'!$C$2:$C$3001,$W753)&amp;"")</f>
        <v/>
      </c>
      <c r="D753">
        <f>IF($W753="","",IF(OR(TRIM(E753)="Orient Insurance Company",TRIM(E753)="Allianz"),TRIM(E753),TRIM(F753)))</f>
        <v/>
      </c>
      <c r="E753">
        <f>IF($W753="","",INDEX('Per Line'!$E$2:$E$3001,$W753)&amp;"")</f>
        <v/>
      </c>
      <c r="F753">
        <f>IF($W753="","",INDEX('Per Line'!$D$2:$D$3001,$W753)&amp;"")</f>
        <v/>
      </c>
      <c r="G753">
        <f>IF($W753="","",INDEX('Per Line'!$F$2:$F$3001,$W753)&amp;"")</f>
        <v/>
      </c>
      <c r="H753">
        <f>IF($W753="","",INDEX('Per Line'!$G$2:$G$3001,$W753)&amp;"")</f>
        <v/>
      </c>
      <c r="I753">
        <f>IF($W753="","",INDEX('Per Line'!$H$2:$H$3001,$W753)&amp;"")</f>
        <v/>
      </c>
      <c r="J753">
        <f>IF($W753="","",INDEX('Per Line'!$I$2:$I$3001,$W753))</f>
        <v/>
      </c>
      <c r="K753" s="7">
        <f>IF($W753="","",J753*T753/100)</f>
        <v/>
      </c>
      <c r="L753" s="14">
        <f>IF($W753="","",INDEX('Per Line'!$V$2:$V$3001,$W753))</f>
        <v/>
      </c>
      <c r="M753">
        <f>IF($W753="","",IF(ISNUMBER(SEARCH("3&amp;12",SUBSTITUTE(F753," ",""))),Settings!$G$7,Settings!$C$7))</f>
        <v/>
      </c>
      <c r="N753" s="7">
        <f>IF($W753="","",SUMIFS('Per Line'!$O$2:$O$3001,'Per Line'!$B$2:$B$3001,$B753,'Per Line'!$AB$2:$AB$3001,0))</f>
        <v/>
      </c>
      <c r="O753" s="7">
        <f>IF($W753="","",N753*M753)</f>
        <v/>
      </c>
      <c r="P753">
        <f>IF($W753="","",IF(ISNUMBER(SEARCH("3&amp;12",SUBSTITUTE(F753," ",""))),Settings!$G$6,Settings!$C$6))</f>
        <v/>
      </c>
      <c r="Q753" s="7">
        <f>IF($W753="","",SUMIFS('Per Line'!$O$2:$O$3001,'Per Line'!$B$2:$B$3001,$B753,'Per Line'!$AB$2:$AB$3001,1))</f>
        <v/>
      </c>
      <c r="R753" s="7">
        <f>IF($W753="","",Q753*P753)</f>
        <v/>
      </c>
      <c r="S753" s="7">
        <f>IF($W753="","",R753+O753)</f>
        <v/>
      </c>
      <c r="T753" s="7">
        <f>IF($W753="","",V753-S753)</f>
        <v/>
      </c>
      <c r="U753" s="7">
        <f>IF($W753="","",V753-S753-K753)</f>
        <v/>
      </c>
      <c r="V753" s="7">
        <f>IF($W753="","",N753+Q753)</f>
        <v/>
      </c>
      <c r="W753" s="16">
        <f>IF(ROWS($W$2:$W753)&lt;=MAX('Per Line'!$AA$2:$AA$3001),MATCH(ROWS($W$2:$W753),'Per Line'!$AA$2:$AA$3001,0),"")</f>
        <v/>
      </c>
      <c r="X753">
        <f>IF($W753="","",D753&amp;"|"&amp;COUNTIF($D$2:$D753,D753))</f>
        <v/>
      </c>
    </row>
    <row r="754">
      <c r="A754" s="15" t="n"/>
      <c r="B754">
        <f>IF($W754="","",INDEX('Per Line'!$B$2:$B$3001,$W754)&amp;"")</f>
        <v/>
      </c>
      <c r="C754">
        <f>IF($W754="","",INDEX('Per Line'!$C$2:$C$3001,$W754)&amp;"")</f>
        <v/>
      </c>
      <c r="D754">
        <f>IF($W754="","",IF(OR(TRIM(E754)="Orient Insurance Company",TRIM(E754)="Allianz"),TRIM(E754),TRIM(F754)))</f>
        <v/>
      </c>
      <c r="E754">
        <f>IF($W754="","",INDEX('Per Line'!$E$2:$E$3001,$W754)&amp;"")</f>
        <v/>
      </c>
      <c r="F754">
        <f>IF($W754="","",INDEX('Per Line'!$D$2:$D$3001,$W754)&amp;"")</f>
        <v/>
      </c>
      <c r="G754">
        <f>IF($W754="","",INDEX('Per Line'!$F$2:$F$3001,$W754)&amp;"")</f>
        <v/>
      </c>
      <c r="H754">
        <f>IF($W754="","",INDEX('Per Line'!$G$2:$G$3001,$W754)&amp;"")</f>
        <v/>
      </c>
      <c r="I754">
        <f>IF($W754="","",INDEX('Per Line'!$H$2:$H$3001,$W754)&amp;"")</f>
        <v/>
      </c>
      <c r="J754">
        <f>IF($W754="","",INDEX('Per Line'!$I$2:$I$3001,$W754))</f>
        <v/>
      </c>
      <c r="K754" s="7">
        <f>IF($W754="","",J754*T754/100)</f>
        <v/>
      </c>
      <c r="L754" s="14">
        <f>IF($W754="","",INDEX('Per Line'!$V$2:$V$3001,$W754))</f>
        <v/>
      </c>
      <c r="M754">
        <f>IF($W754="","",IF(ISNUMBER(SEARCH("3&amp;12",SUBSTITUTE(F754," ",""))),Settings!$G$7,Settings!$C$7))</f>
        <v/>
      </c>
      <c r="N754" s="7">
        <f>IF($W754="","",SUMIFS('Per Line'!$O$2:$O$3001,'Per Line'!$B$2:$B$3001,$B754,'Per Line'!$AB$2:$AB$3001,0))</f>
        <v/>
      </c>
      <c r="O754" s="7">
        <f>IF($W754="","",N754*M754)</f>
        <v/>
      </c>
      <c r="P754">
        <f>IF($W754="","",IF(ISNUMBER(SEARCH("3&amp;12",SUBSTITUTE(F754," ",""))),Settings!$G$6,Settings!$C$6))</f>
        <v/>
      </c>
      <c r="Q754" s="7">
        <f>IF($W754="","",SUMIFS('Per Line'!$O$2:$O$3001,'Per Line'!$B$2:$B$3001,$B754,'Per Line'!$AB$2:$AB$3001,1))</f>
        <v/>
      </c>
      <c r="R754" s="7">
        <f>IF($W754="","",Q754*P754)</f>
        <v/>
      </c>
      <c r="S754" s="7">
        <f>IF($W754="","",R754+O754)</f>
        <v/>
      </c>
      <c r="T754" s="7">
        <f>IF($W754="","",V754-S754)</f>
        <v/>
      </c>
      <c r="U754" s="7">
        <f>IF($W754="","",V754-S754-K754)</f>
        <v/>
      </c>
      <c r="V754" s="7">
        <f>IF($W754="","",N754+Q754)</f>
        <v/>
      </c>
      <c r="W754" s="16">
        <f>IF(ROWS($W$2:$W754)&lt;=MAX('Per Line'!$AA$2:$AA$3001),MATCH(ROWS($W$2:$W754),'Per Line'!$AA$2:$AA$3001,0),"")</f>
        <v/>
      </c>
      <c r="X754">
        <f>IF($W754="","",D754&amp;"|"&amp;COUNTIF($D$2:$D754,D754))</f>
        <v/>
      </c>
    </row>
    <row r="755">
      <c r="A755" s="15" t="n"/>
      <c r="B755">
        <f>IF($W755="","",INDEX('Per Line'!$B$2:$B$3001,$W755)&amp;"")</f>
        <v/>
      </c>
      <c r="C755">
        <f>IF($W755="","",INDEX('Per Line'!$C$2:$C$3001,$W755)&amp;"")</f>
        <v/>
      </c>
      <c r="D755">
        <f>IF($W755="","",IF(OR(TRIM(E755)="Orient Insurance Company",TRIM(E755)="Allianz"),TRIM(E755),TRIM(F755)))</f>
        <v/>
      </c>
      <c r="E755">
        <f>IF($W755="","",INDEX('Per Line'!$E$2:$E$3001,$W755)&amp;"")</f>
        <v/>
      </c>
      <c r="F755">
        <f>IF($W755="","",INDEX('Per Line'!$D$2:$D$3001,$W755)&amp;"")</f>
        <v/>
      </c>
      <c r="G755">
        <f>IF($W755="","",INDEX('Per Line'!$F$2:$F$3001,$W755)&amp;"")</f>
        <v/>
      </c>
      <c r="H755">
        <f>IF($W755="","",INDEX('Per Line'!$G$2:$G$3001,$W755)&amp;"")</f>
        <v/>
      </c>
      <c r="I755">
        <f>IF($W755="","",INDEX('Per Line'!$H$2:$H$3001,$W755)&amp;"")</f>
        <v/>
      </c>
      <c r="J755">
        <f>IF($W755="","",INDEX('Per Line'!$I$2:$I$3001,$W755))</f>
        <v/>
      </c>
      <c r="K755" s="7">
        <f>IF($W755="","",J755*T755/100)</f>
        <v/>
      </c>
      <c r="L755" s="14">
        <f>IF($W755="","",INDEX('Per Line'!$V$2:$V$3001,$W755))</f>
        <v/>
      </c>
      <c r="M755">
        <f>IF($W755="","",IF(ISNUMBER(SEARCH("3&amp;12",SUBSTITUTE(F755," ",""))),Settings!$G$7,Settings!$C$7))</f>
        <v/>
      </c>
      <c r="N755" s="7">
        <f>IF($W755="","",SUMIFS('Per Line'!$O$2:$O$3001,'Per Line'!$B$2:$B$3001,$B755,'Per Line'!$AB$2:$AB$3001,0))</f>
        <v/>
      </c>
      <c r="O755" s="7">
        <f>IF($W755="","",N755*M755)</f>
        <v/>
      </c>
      <c r="P755">
        <f>IF($W755="","",IF(ISNUMBER(SEARCH("3&amp;12",SUBSTITUTE(F755," ",""))),Settings!$G$6,Settings!$C$6))</f>
        <v/>
      </c>
      <c r="Q755" s="7">
        <f>IF($W755="","",SUMIFS('Per Line'!$O$2:$O$3001,'Per Line'!$B$2:$B$3001,$B755,'Per Line'!$AB$2:$AB$3001,1))</f>
        <v/>
      </c>
      <c r="R755" s="7">
        <f>IF($W755="","",Q755*P755)</f>
        <v/>
      </c>
      <c r="S755" s="7">
        <f>IF($W755="","",R755+O755)</f>
        <v/>
      </c>
      <c r="T755" s="7">
        <f>IF($W755="","",V755-S755)</f>
        <v/>
      </c>
      <c r="U755" s="7">
        <f>IF($W755="","",V755-S755-K755)</f>
        <v/>
      </c>
      <c r="V755" s="7">
        <f>IF($W755="","",N755+Q755)</f>
        <v/>
      </c>
      <c r="W755" s="16">
        <f>IF(ROWS($W$2:$W755)&lt;=MAX('Per Line'!$AA$2:$AA$3001),MATCH(ROWS($W$2:$W755),'Per Line'!$AA$2:$AA$3001,0),"")</f>
        <v/>
      </c>
      <c r="X755">
        <f>IF($W755="","",D755&amp;"|"&amp;COUNTIF($D$2:$D755,D755))</f>
        <v/>
      </c>
    </row>
    <row r="756">
      <c r="A756" s="15" t="n"/>
      <c r="B756">
        <f>IF($W756="","",INDEX('Per Line'!$B$2:$B$3001,$W756)&amp;"")</f>
        <v/>
      </c>
      <c r="C756">
        <f>IF($W756="","",INDEX('Per Line'!$C$2:$C$3001,$W756)&amp;"")</f>
        <v/>
      </c>
      <c r="D756">
        <f>IF($W756="","",IF(OR(TRIM(E756)="Orient Insurance Company",TRIM(E756)="Allianz"),TRIM(E756),TRIM(F756)))</f>
        <v/>
      </c>
      <c r="E756">
        <f>IF($W756="","",INDEX('Per Line'!$E$2:$E$3001,$W756)&amp;"")</f>
        <v/>
      </c>
      <c r="F756">
        <f>IF($W756="","",INDEX('Per Line'!$D$2:$D$3001,$W756)&amp;"")</f>
        <v/>
      </c>
      <c r="G756">
        <f>IF($W756="","",INDEX('Per Line'!$F$2:$F$3001,$W756)&amp;"")</f>
        <v/>
      </c>
      <c r="H756">
        <f>IF($W756="","",INDEX('Per Line'!$G$2:$G$3001,$W756)&amp;"")</f>
        <v/>
      </c>
      <c r="I756">
        <f>IF($W756="","",INDEX('Per Line'!$H$2:$H$3001,$W756)&amp;"")</f>
        <v/>
      </c>
      <c r="J756">
        <f>IF($W756="","",INDEX('Per Line'!$I$2:$I$3001,$W756))</f>
        <v/>
      </c>
      <c r="K756" s="7">
        <f>IF($W756="","",J756*T756/100)</f>
        <v/>
      </c>
      <c r="L756" s="14">
        <f>IF($W756="","",INDEX('Per Line'!$V$2:$V$3001,$W756))</f>
        <v/>
      </c>
      <c r="M756">
        <f>IF($W756="","",IF(ISNUMBER(SEARCH("3&amp;12",SUBSTITUTE(F756," ",""))),Settings!$G$7,Settings!$C$7))</f>
        <v/>
      </c>
      <c r="N756" s="7">
        <f>IF($W756="","",SUMIFS('Per Line'!$O$2:$O$3001,'Per Line'!$B$2:$B$3001,$B756,'Per Line'!$AB$2:$AB$3001,0))</f>
        <v/>
      </c>
      <c r="O756" s="7">
        <f>IF($W756="","",N756*M756)</f>
        <v/>
      </c>
      <c r="P756">
        <f>IF($W756="","",IF(ISNUMBER(SEARCH("3&amp;12",SUBSTITUTE(F756," ",""))),Settings!$G$6,Settings!$C$6))</f>
        <v/>
      </c>
      <c r="Q756" s="7">
        <f>IF($W756="","",SUMIFS('Per Line'!$O$2:$O$3001,'Per Line'!$B$2:$B$3001,$B756,'Per Line'!$AB$2:$AB$3001,1))</f>
        <v/>
      </c>
      <c r="R756" s="7">
        <f>IF($W756="","",Q756*P756)</f>
        <v/>
      </c>
      <c r="S756" s="7">
        <f>IF($W756="","",R756+O756)</f>
        <v/>
      </c>
      <c r="T756" s="7">
        <f>IF($W756="","",V756-S756)</f>
        <v/>
      </c>
      <c r="U756" s="7">
        <f>IF($W756="","",V756-S756-K756)</f>
        <v/>
      </c>
      <c r="V756" s="7">
        <f>IF($W756="","",N756+Q756)</f>
        <v/>
      </c>
      <c r="W756" s="16">
        <f>IF(ROWS($W$2:$W756)&lt;=MAX('Per Line'!$AA$2:$AA$3001),MATCH(ROWS($W$2:$W756),'Per Line'!$AA$2:$AA$3001,0),"")</f>
        <v/>
      </c>
      <c r="X756">
        <f>IF($W756="","",D756&amp;"|"&amp;COUNTIF($D$2:$D756,D756))</f>
        <v/>
      </c>
    </row>
    <row r="757">
      <c r="A757" s="15" t="n"/>
      <c r="B757">
        <f>IF($W757="","",INDEX('Per Line'!$B$2:$B$3001,$W757)&amp;"")</f>
        <v/>
      </c>
      <c r="C757">
        <f>IF($W757="","",INDEX('Per Line'!$C$2:$C$3001,$W757)&amp;"")</f>
        <v/>
      </c>
      <c r="D757">
        <f>IF($W757="","",IF(OR(TRIM(E757)="Orient Insurance Company",TRIM(E757)="Allianz"),TRIM(E757),TRIM(F757)))</f>
        <v/>
      </c>
      <c r="E757">
        <f>IF($W757="","",INDEX('Per Line'!$E$2:$E$3001,$W757)&amp;"")</f>
        <v/>
      </c>
      <c r="F757">
        <f>IF($W757="","",INDEX('Per Line'!$D$2:$D$3001,$W757)&amp;"")</f>
        <v/>
      </c>
      <c r="G757">
        <f>IF($W757="","",INDEX('Per Line'!$F$2:$F$3001,$W757)&amp;"")</f>
        <v/>
      </c>
      <c r="H757">
        <f>IF($W757="","",INDEX('Per Line'!$G$2:$G$3001,$W757)&amp;"")</f>
        <v/>
      </c>
      <c r="I757">
        <f>IF($W757="","",INDEX('Per Line'!$H$2:$H$3001,$W757)&amp;"")</f>
        <v/>
      </c>
      <c r="J757">
        <f>IF($W757="","",INDEX('Per Line'!$I$2:$I$3001,$W757))</f>
        <v/>
      </c>
      <c r="K757" s="7">
        <f>IF($W757="","",J757*T757/100)</f>
        <v/>
      </c>
      <c r="L757" s="14">
        <f>IF($W757="","",INDEX('Per Line'!$V$2:$V$3001,$W757))</f>
        <v/>
      </c>
      <c r="M757">
        <f>IF($W757="","",IF(ISNUMBER(SEARCH("3&amp;12",SUBSTITUTE(F757," ",""))),Settings!$G$7,Settings!$C$7))</f>
        <v/>
      </c>
      <c r="N757" s="7">
        <f>IF($W757="","",SUMIFS('Per Line'!$O$2:$O$3001,'Per Line'!$B$2:$B$3001,$B757,'Per Line'!$AB$2:$AB$3001,0))</f>
        <v/>
      </c>
      <c r="O757" s="7">
        <f>IF($W757="","",N757*M757)</f>
        <v/>
      </c>
      <c r="P757">
        <f>IF($W757="","",IF(ISNUMBER(SEARCH("3&amp;12",SUBSTITUTE(F757," ",""))),Settings!$G$6,Settings!$C$6))</f>
        <v/>
      </c>
      <c r="Q757" s="7">
        <f>IF($W757="","",SUMIFS('Per Line'!$O$2:$O$3001,'Per Line'!$B$2:$B$3001,$B757,'Per Line'!$AB$2:$AB$3001,1))</f>
        <v/>
      </c>
      <c r="R757" s="7">
        <f>IF($W757="","",Q757*P757)</f>
        <v/>
      </c>
      <c r="S757" s="7">
        <f>IF($W757="","",R757+O757)</f>
        <v/>
      </c>
      <c r="T757" s="7">
        <f>IF($W757="","",V757-S757)</f>
        <v/>
      </c>
      <c r="U757" s="7">
        <f>IF($W757="","",V757-S757-K757)</f>
        <v/>
      </c>
      <c r="V757" s="7">
        <f>IF($W757="","",N757+Q757)</f>
        <v/>
      </c>
      <c r="W757" s="16">
        <f>IF(ROWS($W$2:$W757)&lt;=MAX('Per Line'!$AA$2:$AA$3001),MATCH(ROWS($W$2:$W757),'Per Line'!$AA$2:$AA$3001,0),"")</f>
        <v/>
      </c>
      <c r="X757">
        <f>IF($W757="","",D757&amp;"|"&amp;COUNTIF($D$2:$D757,D757))</f>
        <v/>
      </c>
    </row>
    <row r="758">
      <c r="A758" s="15" t="n"/>
      <c r="B758">
        <f>IF($W758="","",INDEX('Per Line'!$B$2:$B$3001,$W758)&amp;"")</f>
        <v/>
      </c>
      <c r="C758">
        <f>IF($W758="","",INDEX('Per Line'!$C$2:$C$3001,$W758)&amp;"")</f>
        <v/>
      </c>
      <c r="D758">
        <f>IF($W758="","",IF(OR(TRIM(E758)="Orient Insurance Company",TRIM(E758)="Allianz"),TRIM(E758),TRIM(F758)))</f>
        <v/>
      </c>
      <c r="E758">
        <f>IF($W758="","",INDEX('Per Line'!$E$2:$E$3001,$W758)&amp;"")</f>
        <v/>
      </c>
      <c r="F758">
        <f>IF($W758="","",INDEX('Per Line'!$D$2:$D$3001,$W758)&amp;"")</f>
        <v/>
      </c>
      <c r="G758">
        <f>IF($W758="","",INDEX('Per Line'!$F$2:$F$3001,$W758)&amp;"")</f>
        <v/>
      </c>
      <c r="H758">
        <f>IF($W758="","",INDEX('Per Line'!$G$2:$G$3001,$W758)&amp;"")</f>
        <v/>
      </c>
      <c r="I758">
        <f>IF($W758="","",INDEX('Per Line'!$H$2:$H$3001,$W758)&amp;"")</f>
        <v/>
      </c>
      <c r="J758">
        <f>IF($W758="","",INDEX('Per Line'!$I$2:$I$3001,$W758))</f>
        <v/>
      </c>
      <c r="K758" s="7">
        <f>IF($W758="","",J758*T758/100)</f>
        <v/>
      </c>
      <c r="L758" s="14">
        <f>IF($W758="","",INDEX('Per Line'!$V$2:$V$3001,$W758))</f>
        <v/>
      </c>
      <c r="M758">
        <f>IF($W758="","",IF(ISNUMBER(SEARCH("3&amp;12",SUBSTITUTE(F758," ",""))),Settings!$G$7,Settings!$C$7))</f>
        <v/>
      </c>
      <c r="N758" s="7">
        <f>IF($W758="","",SUMIFS('Per Line'!$O$2:$O$3001,'Per Line'!$B$2:$B$3001,$B758,'Per Line'!$AB$2:$AB$3001,0))</f>
        <v/>
      </c>
      <c r="O758" s="7">
        <f>IF($W758="","",N758*M758)</f>
        <v/>
      </c>
      <c r="P758">
        <f>IF($W758="","",IF(ISNUMBER(SEARCH("3&amp;12",SUBSTITUTE(F758," ",""))),Settings!$G$6,Settings!$C$6))</f>
        <v/>
      </c>
      <c r="Q758" s="7">
        <f>IF($W758="","",SUMIFS('Per Line'!$O$2:$O$3001,'Per Line'!$B$2:$B$3001,$B758,'Per Line'!$AB$2:$AB$3001,1))</f>
        <v/>
      </c>
      <c r="R758" s="7">
        <f>IF($W758="","",Q758*P758)</f>
        <v/>
      </c>
      <c r="S758" s="7">
        <f>IF($W758="","",R758+O758)</f>
        <v/>
      </c>
      <c r="T758" s="7">
        <f>IF($W758="","",V758-S758)</f>
        <v/>
      </c>
      <c r="U758" s="7">
        <f>IF($W758="","",V758-S758-K758)</f>
        <v/>
      </c>
      <c r="V758" s="7">
        <f>IF($W758="","",N758+Q758)</f>
        <v/>
      </c>
      <c r="W758" s="16">
        <f>IF(ROWS($W$2:$W758)&lt;=MAX('Per Line'!$AA$2:$AA$3001),MATCH(ROWS($W$2:$W758),'Per Line'!$AA$2:$AA$3001,0),"")</f>
        <v/>
      </c>
      <c r="X758">
        <f>IF($W758="","",D758&amp;"|"&amp;COUNTIF($D$2:$D758,D758))</f>
        <v/>
      </c>
    </row>
    <row r="759">
      <c r="A759" s="15" t="n"/>
      <c r="B759">
        <f>IF($W759="","",INDEX('Per Line'!$B$2:$B$3001,$W759)&amp;"")</f>
        <v/>
      </c>
      <c r="C759">
        <f>IF($W759="","",INDEX('Per Line'!$C$2:$C$3001,$W759)&amp;"")</f>
        <v/>
      </c>
      <c r="D759">
        <f>IF($W759="","",IF(OR(TRIM(E759)="Orient Insurance Company",TRIM(E759)="Allianz"),TRIM(E759),TRIM(F759)))</f>
        <v/>
      </c>
      <c r="E759">
        <f>IF($W759="","",INDEX('Per Line'!$E$2:$E$3001,$W759)&amp;"")</f>
        <v/>
      </c>
      <c r="F759">
        <f>IF($W759="","",INDEX('Per Line'!$D$2:$D$3001,$W759)&amp;"")</f>
        <v/>
      </c>
      <c r="G759">
        <f>IF($W759="","",INDEX('Per Line'!$F$2:$F$3001,$W759)&amp;"")</f>
        <v/>
      </c>
      <c r="H759">
        <f>IF($W759="","",INDEX('Per Line'!$G$2:$G$3001,$W759)&amp;"")</f>
        <v/>
      </c>
      <c r="I759">
        <f>IF($W759="","",INDEX('Per Line'!$H$2:$H$3001,$W759)&amp;"")</f>
        <v/>
      </c>
      <c r="J759">
        <f>IF($W759="","",INDEX('Per Line'!$I$2:$I$3001,$W759))</f>
        <v/>
      </c>
      <c r="K759" s="7">
        <f>IF($W759="","",J759*T759/100)</f>
        <v/>
      </c>
      <c r="L759" s="14">
        <f>IF($W759="","",INDEX('Per Line'!$V$2:$V$3001,$W759))</f>
        <v/>
      </c>
      <c r="M759">
        <f>IF($W759="","",IF(ISNUMBER(SEARCH("3&amp;12",SUBSTITUTE(F759," ",""))),Settings!$G$7,Settings!$C$7))</f>
        <v/>
      </c>
      <c r="N759" s="7">
        <f>IF($W759="","",SUMIFS('Per Line'!$O$2:$O$3001,'Per Line'!$B$2:$B$3001,$B759,'Per Line'!$AB$2:$AB$3001,0))</f>
        <v/>
      </c>
      <c r="O759" s="7">
        <f>IF($W759="","",N759*M759)</f>
        <v/>
      </c>
      <c r="P759">
        <f>IF($W759="","",IF(ISNUMBER(SEARCH("3&amp;12",SUBSTITUTE(F759," ",""))),Settings!$G$6,Settings!$C$6))</f>
        <v/>
      </c>
      <c r="Q759" s="7">
        <f>IF($W759="","",SUMIFS('Per Line'!$O$2:$O$3001,'Per Line'!$B$2:$B$3001,$B759,'Per Line'!$AB$2:$AB$3001,1))</f>
        <v/>
      </c>
      <c r="R759" s="7">
        <f>IF($W759="","",Q759*P759)</f>
        <v/>
      </c>
      <c r="S759" s="7">
        <f>IF($W759="","",R759+O759)</f>
        <v/>
      </c>
      <c r="T759" s="7">
        <f>IF($W759="","",V759-S759)</f>
        <v/>
      </c>
      <c r="U759" s="7">
        <f>IF($W759="","",V759-S759-K759)</f>
        <v/>
      </c>
      <c r="V759" s="7">
        <f>IF($W759="","",N759+Q759)</f>
        <v/>
      </c>
      <c r="W759" s="16">
        <f>IF(ROWS($W$2:$W759)&lt;=MAX('Per Line'!$AA$2:$AA$3001),MATCH(ROWS($W$2:$W759),'Per Line'!$AA$2:$AA$3001,0),"")</f>
        <v/>
      </c>
      <c r="X759">
        <f>IF($W759="","",D759&amp;"|"&amp;COUNTIF($D$2:$D759,D759))</f>
        <v/>
      </c>
    </row>
    <row r="760">
      <c r="A760" s="15" t="n"/>
      <c r="B760">
        <f>IF($W760="","",INDEX('Per Line'!$B$2:$B$3001,$W760)&amp;"")</f>
        <v/>
      </c>
      <c r="C760">
        <f>IF($W760="","",INDEX('Per Line'!$C$2:$C$3001,$W760)&amp;"")</f>
        <v/>
      </c>
      <c r="D760">
        <f>IF($W760="","",IF(OR(TRIM(E760)="Orient Insurance Company",TRIM(E760)="Allianz"),TRIM(E760),TRIM(F760)))</f>
        <v/>
      </c>
      <c r="E760">
        <f>IF($W760="","",INDEX('Per Line'!$E$2:$E$3001,$W760)&amp;"")</f>
        <v/>
      </c>
      <c r="F760">
        <f>IF($W760="","",INDEX('Per Line'!$D$2:$D$3001,$W760)&amp;"")</f>
        <v/>
      </c>
      <c r="G760">
        <f>IF($W760="","",INDEX('Per Line'!$F$2:$F$3001,$W760)&amp;"")</f>
        <v/>
      </c>
      <c r="H760">
        <f>IF($W760="","",INDEX('Per Line'!$G$2:$G$3001,$W760)&amp;"")</f>
        <v/>
      </c>
      <c r="I760">
        <f>IF($W760="","",INDEX('Per Line'!$H$2:$H$3001,$W760)&amp;"")</f>
        <v/>
      </c>
      <c r="J760">
        <f>IF($W760="","",INDEX('Per Line'!$I$2:$I$3001,$W760))</f>
        <v/>
      </c>
      <c r="K760" s="7">
        <f>IF($W760="","",J760*T760/100)</f>
        <v/>
      </c>
      <c r="L760" s="14">
        <f>IF($W760="","",INDEX('Per Line'!$V$2:$V$3001,$W760))</f>
        <v/>
      </c>
      <c r="M760">
        <f>IF($W760="","",IF(ISNUMBER(SEARCH("3&amp;12",SUBSTITUTE(F760," ",""))),Settings!$G$7,Settings!$C$7))</f>
        <v/>
      </c>
      <c r="N760" s="7">
        <f>IF($W760="","",SUMIFS('Per Line'!$O$2:$O$3001,'Per Line'!$B$2:$B$3001,$B760,'Per Line'!$AB$2:$AB$3001,0))</f>
        <v/>
      </c>
      <c r="O760" s="7">
        <f>IF($W760="","",N760*M760)</f>
        <v/>
      </c>
      <c r="P760">
        <f>IF($W760="","",IF(ISNUMBER(SEARCH("3&amp;12",SUBSTITUTE(F760," ",""))),Settings!$G$6,Settings!$C$6))</f>
        <v/>
      </c>
      <c r="Q760" s="7">
        <f>IF($W760="","",SUMIFS('Per Line'!$O$2:$O$3001,'Per Line'!$B$2:$B$3001,$B760,'Per Line'!$AB$2:$AB$3001,1))</f>
        <v/>
      </c>
      <c r="R760" s="7">
        <f>IF($W760="","",Q760*P760)</f>
        <v/>
      </c>
      <c r="S760" s="7">
        <f>IF($W760="","",R760+O760)</f>
        <v/>
      </c>
      <c r="T760" s="7">
        <f>IF($W760="","",V760-S760)</f>
        <v/>
      </c>
      <c r="U760" s="7">
        <f>IF($W760="","",V760-S760-K760)</f>
        <v/>
      </c>
      <c r="V760" s="7">
        <f>IF($W760="","",N760+Q760)</f>
        <v/>
      </c>
      <c r="W760" s="16">
        <f>IF(ROWS($W$2:$W760)&lt;=MAX('Per Line'!$AA$2:$AA$3001),MATCH(ROWS($W$2:$W760),'Per Line'!$AA$2:$AA$3001,0),"")</f>
        <v/>
      </c>
      <c r="X760">
        <f>IF($W760="","",D760&amp;"|"&amp;COUNTIF($D$2:$D760,D760))</f>
        <v/>
      </c>
    </row>
    <row r="761">
      <c r="A761" s="15" t="n"/>
      <c r="B761">
        <f>IF($W761="","",INDEX('Per Line'!$B$2:$B$3001,$W761)&amp;"")</f>
        <v/>
      </c>
      <c r="C761">
        <f>IF($W761="","",INDEX('Per Line'!$C$2:$C$3001,$W761)&amp;"")</f>
        <v/>
      </c>
      <c r="D761">
        <f>IF($W761="","",IF(OR(TRIM(E761)="Orient Insurance Company",TRIM(E761)="Allianz"),TRIM(E761),TRIM(F761)))</f>
        <v/>
      </c>
      <c r="E761">
        <f>IF($W761="","",INDEX('Per Line'!$E$2:$E$3001,$W761)&amp;"")</f>
        <v/>
      </c>
      <c r="F761">
        <f>IF($W761="","",INDEX('Per Line'!$D$2:$D$3001,$W761)&amp;"")</f>
        <v/>
      </c>
      <c r="G761">
        <f>IF($W761="","",INDEX('Per Line'!$F$2:$F$3001,$W761)&amp;"")</f>
        <v/>
      </c>
      <c r="H761">
        <f>IF($W761="","",INDEX('Per Line'!$G$2:$G$3001,$W761)&amp;"")</f>
        <v/>
      </c>
      <c r="I761">
        <f>IF($W761="","",INDEX('Per Line'!$H$2:$H$3001,$W761)&amp;"")</f>
        <v/>
      </c>
      <c r="J761">
        <f>IF($W761="","",INDEX('Per Line'!$I$2:$I$3001,$W761))</f>
        <v/>
      </c>
      <c r="K761" s="7">
        <f>IF($W761="","",J761*T761/100)</f>
        <v/>
      </c>
      <c r="L761" s="14">
        <f>IF($W761="","",INDEX('Per Line'!$V$2:$V$3001,$W761))</f>
        <v/>
      </c>
      <c r="M761">
        <f>IF($W761="","",IF(ISNUMBER(SEARCH("3&amp;12",SUBSTITUTE(F761," ",""))),Settings!$G$7,Settings!$C$7))</f>
        <v/>
      </c>
      <c r="N761" s="7">
        <f>IF($W761="","",SUMIFS('Per Line'!$O$2:$O$3001,'Per Line'!$B$2:$B$3001,$B761,'Per Line'!$AB$2:$AB$3001,0))</f>
        <v/>
      </c>
      <c r="O761" s="7">
        <f>IF($W761="","",N761*M761)</f>
        <v/>
      </c>
      <c r="P761">
        <f>IF($W761="","",IF(ISNUMBER(SEARCH("3&amp;12",SUBSTITUTE(F761," ",""))),Settings!$G$6,Settings!$C$6))</f>
        <v/>
      </c>
      <c r="Q761" s="7">
        <f>IF($W761="","",SUMIFS('Per Line'!$O$2:$O$3001,'Per Line'!$B$2:$B$3001,$B761,'Per Line'!$AB$2:$AB$3001,1))</f>
        <v/>
      </c>
      <c r="R761" s="7">
        <f>IF($W761="","",Q761*P761)</f>
        <v/>
      </c>
      <c r="S761" s="7">
        <f>IF($W761="","",R761+O761)</f>
        <v/>
      </c>
      <c r="T761" s="7">
        <f>IF($W761="","",V761-S761)</f>
        <v/>
      </c>
      <c r="U761" s="7">
        <f>IF($W761="","",V761-S761-K761)</f>
        <v/>
      </c>
      <c r="V761" s="7">
        <f>IF($W761="","",N761+Q761)</f>
        <v/>
      </c>
      <c r="W761" s="16">
        <f>IF(ROWS($W$2:$W761)&lt;=MAX('Per Line'!$AA$2:$AA$3001),MATCH(ROWS($W$2:$W761),'Per Line'!$AA$2:$AA$3001,0),"")</f>
        <v/>
      </c>
      <c r="X761">
        <f>IF($W761="","",D761&amp;"|"&amp;COUNTIF($D$2:$D761,D761))</f>
        <v/>
      </c>
    </row>
    <row r="762">
      <c r="A762" s="15" t="n"/>
      <c r="B762">
        <f>IF($W762="","",INDEX('Per Line'!$B$2:$B$3001,$W762)&amp;"")</f>
        <v/>
      </c>
      <c r="C762">
        <f>IF($W762="","",INDEX('Per Line'!$C$2:$C$3001,$W762)&amp;"")</f>
        <v/>
      </c>
      <c r="D762">
        <f>IF($W762="","",IF(OR(TRIM(E762)="Orient Insurance Company",TRIM(E762)="Allianz"),TRIM(E762),TRIM(F762)))</f>
        <v/>
      </c>
      <c r="E762">
        <f>IF($W762="","",INDEX('Per Line'!$E$2:$E$3001,$W762)&amp;"")</f>
        <v/>
      </c>
      <c r="F762">
        <f>IF($W762="","",INDEX('Per Line'!$D$2:$D$3001,$W762)&amp;"")</f>
        <v/>
      </c>
      <c r="G762">
        <f>IF($W762="","",INDEX('Per Line'!$F$2:$F$3001,$W762)&amp;"")</f>
        <v/>
      </c>
      <c r="H762">
        <f>IF($W762="","",INDEX('Per Line'!$G$2:$G$3001,$W762)&amp;"")</f>
        <v/>
      </c>
      <c r="I762">
        <f>IF($W762="","",INDEX('Per Line'!$H$2:$H$3001,$W762)&amp;"")</f>
        <v/>
      </c>
      <c r="J762">
        <f>IF($W762="","",INDEX('Per Line'!$I$2:$I$3001,$W762))</f>
        <v/>
      </c>
      <c r="K762" s="7">
        <f>IF($W762="","",J762*T762/100)</f>
        <v/>
      </c>
      <c r="L762" s="14">
        <f>IF($W762="","",INDEX('Per Line'!$V$2:$V$3001,$W762))</f>
        <v/>
      </c>
      <c r="M762">
        <f>IF($W762="","",IF(ISNUMBER(SEARCH("3&amp;12",SUBSTITUTE(F762," ",""))),Settings!$G$7,Settings!$C$7))</f>
        <v/>
      </c>
      <c r="N762" s="7">
        <f>IF($W762="","",SUMIFS('Per Line'!$O$2:$O$3001,'Per Line'!$B$2:$B$3001,$B762,'Per Line'!$AB$2:$AB$3001,0))</f>
        <v/>
      </c>
      <c r="O762" s="7">
        <f>IF($W762="","",N762*M762)</f>
        <v/>
      </c>
      <c r="P762">
        <f>IF($W762="","",IF(ISNUMBER(SEARCH("3&amp;12",SUBSTITUTE(F762," ",""))),Settings!$G$6,Settings!$C$6))</f>
        <v/>
      </c>
      <c r="Q762" s="7">
        <f>IF($W762="","",SUMIFS('Per Line'!$O$2:$O$3001,'Per Line'!$B$2:$B$3001,$B762,'Per Line'!$AB$2:$AB$3001,1))</f>
        <v/>
      </c>
      <c r="R762" s="7">
        <f>IF($W762="","",Q762*P762)</f>
        <v/>
      </c>
      <c r="S762" s="7">
        <f>IF($W762="","",R762+O762)</f>
        <v/>
      </c>
      <c r="T762" s="7">
        <f>IF($W762="","",V762-S762)</f>
        <v/>
      </c>
      <c r="U762" s="7">
        <f>IF($W762="","",V762-S762-K762)</f>
        <v/>
      </c>
      <c r="V762" s="7">
        <f>IF($W762="","",N762+Q762)</f>
        <v/>
      </c>
      <c r="W762" s="16">
        <f>IF(ROWS($W$2:$W762)&lt;=MAX('Per Line'!$AA$2:$AA$3001),MATCH(ROWS($W$2:$W762),'Per Line'!$AA$2:$AA$3001,0),"")</f>
        <v/>
      </c>
      <c r="X762">
        <f>IF($W762="","",D762&amp;"|"&amp;COUNTIF($D$2:$D762,D762))</f>
        <v/>
      </c>
    </row>
    <row r="763">
      <c r="A763" s="15" t="n"/>
      <c r="B763">
        <f>IF($W763="","",INDEX('Per Line'!$B$2:$B$3001,$W763)&amp;"")</f>
        <v/>
      </c>
      <c r="C763">
        <f>IF($W763="","",INDEX('Per Line'!$C$2:$C$3001,$W763)&amp;"")</f>
        <v/>
      </c>
      <c r="D763">
        <f>IF($W763="","",IF(OR(TRIM(E763)="Orient Insurance Company",TRIM(E763)="Allianz"),TRIM(E763),TRIM(F763)))</f>
        <v/>
      </c>
      <c r="E763">
        <f>IF($W763="","",INDEX('Per Line'!$E$2:$E$3001,$W763)&amp;"")</f>
        <v/>
      </c>
      <c r="F763">
        <f>IF($W763="","",INDEX('Per Line'!$D$2:$D$3001,$W763)&amp;"")</f>
        <v/>
      </c>
      <c r="G763">
        <f>IF($W763="","",INDEX('Per Line'!$F$2:$F$3001,$W763)&amp;"")</f>
        <v/>
      </c>
      <c r="H763">
        <f>IF($W763="","",INDEX('Per Line'!$G$2:$G$3001,$W763)&amp;"")</f>
        <v/>
      </c>
      <c r="I763">
        <f>IF($W763="","",INDEX('Per Line'!$H$2:$H$3001,$W763)&amp;"")</f>
        <v/>
      </c>
      <c r="J763">
        <f>IF($W763="","",INDEX('Per Line'!$I$2:$I$3001,$W763))</f>
        <v/>
      </c>
      <c r="K763" s="7">
        <f>IF($W763="","",J763*T763/100)</f>
        <v/>
      </c>
      <c r="L763" s="14">
        <f>IF($W763="","",INDEX('Per Line'!$V$2:$V$3001,$W763))</f>
        <v/>
      </c>
      <c r="M763">
        <f>IF($W763="","",IF(ISNUMBER(SEARCH("3&amp;12",SUBSTITUTE(F763," ",""))),Settings!$G$7,Settings!$C$7))</f>
        <v/>
      </c>
      <c r="N763" s="7">
        <f>IF($W763="","",SUMIFS('Per Line'!$O$2:$O$3001,'Per Line'!$B$2:$B$3001,$B763,'Per Line'!$AB$2:$AB$3001,0))</f>
        <v/>
      </c>
      <c r="O763" s="7">
        <f>IF($W763="","",N763*M763)</f>
        <v/>
      </c>
      <c r="P763">
        <f>IF($W763="","",IF(ISNUMBER(SEARCH("3&amp;12",SUBSTITUTE(F763," ",""))),Settings!$G$6,Settings!$C$6))</f>
        <v/>
      </c>
      <c r="Q763" s="7">
        <f>IF($W763="","",SUMIFS('Per Line'!$O$2:$O$3001,'Per Line'!$B$2:$B$3001,$B763,'Per Line'!$AB$2:$AB$3001,1))</f>
        <v/>
      </c>
      <c r="R763" s="7">
        <f>IF($W763="","",Q763*P763)</f>
        <v/>
      </c>
      <c r="S763" s="7">
        <f>IF($W763="","",R763+O763)</f>
        <v/>
      </c>
      <c r="T763" s="7">
        <f>IF($W763="","",V763-S763)</f>
        <v/>
      </c>
      <c r="U763" s="7">
        <f>IF($W763="","",V763-S763-K763)</f>
        <v/>
      </c>
      <c r="V763" s="7">
        <f>IF($W763="","",N763+Q763)</f>
        <v/>
      </c>
      <c r="W763" s="16">
        <f>IF(ROWS($W$2:$W763)&lt;=MAX('Per Line'!$AA$2:$AA$3001),MATCH(ROWS($W$2:$W763),'Per Line'!$AA$2:$AA$3001,0),"")</f>
        <v/>
      </c>
      <c r="X763">
        <f>IF($W763="","",D763&amp;"|"&amp;COUNTIF($D$2:$D763,D763))</f>
        <v/>
      </c>
    </row>
    <row r="764">
      <c r="A764" s="15" t="n"/>
      <c r="B764">
        <f>IF($W764="","",INDEX('Per Line'!$B$2:$B$3001,$W764)&amp;"")</f>
        <v/>
      </c>
      <c r="C764">
        <f>IF($W764="","",INDEX('Per Line'!$C$2:$C$3001,$W764)&amp;"")</f>
        <v/>
      </c>
      <c r="D764">
        <f>IF($W764="","",IF(OR(TRIM(E764)="Orient Insurance Company",TRIM(E764)="Allianz"),TRIM(E764),TRIM(F764)))</f>
        <v/>
      </c>
      <c r="E764">
        <f>IF($W764="","",INDEX('Per Line'!$E$2:$E$3001,$W764)&amp;"")</f>
        <v/>
      </c>
      <c r="F764">
        <f>IF($W764="","",INDEX('Per Line'!$D$2:$D$3001,$W764)&amp;"")</f>
        <v/>
      </c>
      <c r="G764">
        <f>IF($W764="","",INDEX('Per Line'!$F$2:$F$3001,$W764)&amp;"")</f>
        <v/>
      </c>
      <c r="H764">
        <f>IF($W764="","",INDEX('Per Line'!$G$2:$G$3001,$W764)&amp;"")</f>
        <v/>
      </c>
      <c r="I764">
        <f>IF($W764="","",INDEX('Per Line'!$H$2:$H$3001,$W764)&amp;"")</f>
        <v/>
      </c>
      <c r="J764">
        <f>IF($W764="","",INDEX('Per Line'!$I$2:$I$3001,$W764))</f>
        <v/>
      </c>
      <c r="K764" s="7">
        <f>IF($W764="","",J764*T764/100)</f>
        <v/>
      </c>
      <c r="L764" s="14">
        <f>IF($W764="","",INDEX('Per Line'!$V$2:$V$3001,$W764))</f>
        <v/>
      </c>
      <c r="M764">
        <f>IF($W764="","",IF(ISNUMBER(SEARCH("3&amp;12",SUBSTITUTE(F764," ",""))),Settings!$G$7,Settings!$C$7))</f>
        <v/>
      </c>
      <c r="N764" s="7">
        <f>IF($W764="","",SUMIFS('Per Line'!$O$2:$O$3001,'Per Line'!$B$2:$B$3001,$B764,'Per Line'!$AB$2:$AB$3001,0))</f>
        <v/>
      </c>
      <c r="O764" s="7">
        <f>IF($W764="","",N764*M764)</f>
        <v/>
      </c>
      <c r="P764">
        <f>IF($W764="","",IF(ISNUMBER(SEARCH("3&amp;12",SUBSTITUTE(F764," ",""))),Settings!$G$6,Settings!$C$6))</f>
        <v/>
      </c>
      <c r="Q764" s="7">
        <f>IF($W764="","",SUMIFS('Per Line'!$O$2:$O$3001,'Per Line'!$B$2:$B$3001,$B764,'Per Line'!$AB$2:$AB$3001,1))</f>
        <v/>
      </c>
      <c r="R764" s="7">
        <f>IF($W764="","",Q764*P764)</f>
        <v/>
      </c>
      <c r="S764" s="7">
        <f>IF($W764="","",R764+O764)</f>
        <v/>
      </c>
      <c r="T764" s="7">
        <f>IF($W764="","",V764-S764)</f>
        <v/>
      </c>
      <c r="U764" s="7">
        <f>IF($W764="","",V764-S764-K764)</f>
        <v/>
      </c>
      <c r="V764" s="7">
        <f>IF($W764="","",N764+Q764)</f>
        <v/>
      </c>
      <c r="W764" s="16">
        <f>IF(ROWS($W$2:$W764)&lt;=MAX('Per Line'!$AA$2:$AA$3001),MATCH(ROWS($W$2:$W764),'Per Line'!$AA$2:$AA$3001,0),"")</f>
        <v/>
      </c>
      <c r="X764">
        <f>IF($W764="","",D764&amp;"|"&amp;COUNTIF($D$2:$D764,D764))</f>
        <v/>
      </c>
    </row>
    <row r="765">
      <c r="A765" s="15" t="n"/>
      <c r="B765">
        <f>IF($W765="","",INDEX('Per Line'!$B$2:$B$3001,$W765)&amp;"")</f>
        <v/>
      </c>
      <c r="C765">
        <f>IF($W765="","",INDEX('Per Line'!$C$2:$C$3001,$W765)&amp;"")</f>
        <v/>
      </c>
      <c r="D765">
        <f>IF($W765="","",IF(OR(TRIM(E765)="Orient Insurance Company",TRIM(E765)="Allianz"),TRIM(E765),TRIM(F765)))</f>
        <v/>
      </c>
      <c r="E765">
        <f>IF($W765="","",INDEX('Per Line'!$E$2:$E$3001,$W765)&amp;"")</f>
        <v/>
      </c>
      <c r="F765">
        <f>IF($W765="","",INDEX('Per Line'!$D$2:$D$3001,$W765)&amp;"")</f>
        <v/>
      </c>
      <c r="G765">
        <f>IF($W765="","",INDEX('Per Line'!$F$2:$F$3001,$W765)&amp;"")</f>
        <v/>
      </c>
      <c r="H765">
        <f>IF($W765="","",INDEX('Per Line'!$G$2:$G$3001,$W765)&amp;"")</f>
        <v/>
      </c>
      <c r="I765">
        <f>IF($W765="","",INDEX('Per Line'!$H$2:$H$3001,$W765)&amp;"")</f>
        <v/>
      </c>
      <c r="J765">
        <f>IF($W765="","",INDEX('Per Line'!$I$2:$I$3001,$W765))</f>
        <v/>
      </c>
      <c r="K765" s="7">
        <f>IF($W765="","",J765*T765/100)</f>
        <v/>
      </c>
      <c r="L765" s="14">
        <f>IF($W765="","",INDEX('Per Line'!$V$2:$V$3001,$W765))</f>
        <v/>
      </c>
      <c r="M765">
        <f>IF($W765="","",IF(ISNUMBER(SEARCH("3&amp;12",SUBSTITUTE(F765," ",""))),Settings!$G$7,Settings!$C$7))</f>
        <v/>
      </c>
      <c r="N765" s="7">
        <f>IF($W765="","",SUMIFS('Per Line'!$O$2:$O$3001,'Per Line'!$B$2:$B$3001,$B765,'Per Line'!$AB$2:$AB$3001,0))</f>
        <v/>
      </c>
      <c r="O765" s="7">
        <f>IF($W765="","",N765*M765)</f>
        <v/>
      </c>
      <c r="P765">
        <f>IF($W765="","",IF(ISNUMBER(SEARCH("3&amp;12",SUBSTITUTE(F765," ",""))),Settings!$G$6,Settings!$C$6))</f>
        <v/>
      </c>
      <c r="Q765" s="7">
        <f>IF($W765="","",SUMIFS('Per Line'!$O$2:$O$3001,'Per Line'!$B$2:$B$3001,$B765,'Per Line'!$AB$2:$AB$3001,1))</f>
        <v/>
      </c>
      <c r="R765" s="7">
        <f>IF($W765="","",Q765*P765)</f>
        <v/>
      </c>
      <c r="S765" s="7">
        <f>IF($W765="","",R765+O765)</f>
        <v/>
      </c>
      <c r="T765" s="7">
        <f>IF($W765="","",V765-S765)</f>
        <v/>
      </c>
      <c r="U765" s="7">
        <f>IF($W765="","",V765-S765-K765)</f>
        <v/>
      </c>
      <c r="V765" s="7">
        <f>IF($W765="","",N765+Q765)</f>
        <v/>
      </c>
      <c r="W765" s="16">
        <f>IF(ROWS($W$2:$W765)&lt;=MAX('Per Line'!$AA$2:$AA$3001),MATCH(ROWS($W$2:$W765),'Per Line'!$AA$2:$AA$3001,0),"")</f>
        <v/>
      </c>
      <c r="X765">
        <f>IF($W765="","",D765&amp;"|"&amp;COUNTIF($D$2:$D765,D765))</f>
        <v/>
      </c>
    </row>
    <row r="766">
      <c r="A766" s="15" t="n"/>
      <c r="B766">
        <f>IF($W766="","",INDEX('Per Line'!$B$2:$B$3001,$W766)&amp;"")</f>
        <v/>
      </c>
      <c r="C766">
        <f>IF($W766="","",INDEX('Per Line'!$C$2:$C$3001,$W766)&amp;"")</f>
        <v/>
      </c>
      <c r="D766">
        <f>IF($W766="","",IF(OR(TRIM(E766)="Orient Insurance Company",TRIM(E766)="Allianz"),TRIM(E766),TRIM(F766)))</f>
        <v/>
      </c>
      <c r="E766">
        <f>IF($W766="","",INDEX('Per Line'!$E$2:$E$3001,$W766)&amp;"")</f>
        <v/>
      </c>
      <c r="F766">
        <f>IF($W766="","",INDEX('Per Line'!$D$2:$D$3001,$W766)&amp;"")</f>
        <v/>
      </c>
      <c r="G766">
        <f>IF($W766="","",INDEX('Per Line'!$F$2:$F$3001,$W766)&amp;"")</f>
        <v/>
      </c>
      <c r="H766">
        <f>IF($W766="","",INDEX('Per Line'!$G$2:$G$3001,$W766)&amp;"")</f>
        <v/>
      </c>
      <c r="I766">
        <f>IF($W766="","",INDEX('Per Line'!$H$2:$H$3001,$W766)&amp;"")</f>
        <v/>
      </c>
      <c r="J766">
        <f>IF($W766="","",INDEX('Per Line'!$I$2:$I$3001,$W766))</f>
        <v/>
      </c>
      <c r="K766" s="7">
        <f>IF($W766="","",J766*T766/100)</f>
        <v/>
      </c>
      <c r="L766" s="14">
        <f>IF($W766="","",INDEX('Per Line'!$V$2:$V$3001,$W766))</f>
        <v/>
      </c>
      <c r="M766">
        <f>IF($W766="","",IF(ISNUMBER(SEARCH("3&amp;12",SUBSTITUTE(F766," ",""))),Settings!$G$7,Settings!$C$7))</f>
        <v/>
      </c>
      <c r="N766" s="7">
        <f>IF($W766="","",SUMIFS('Per Line'!$O$2:$O$3001,'Per Line'!$B$2:$B$3001,$B766,'Per Line'!$AB$2:$AB$3001,0))</f>
        <v/>
      </c>
      <c r="O766" s="7">
        <f>IF($W766="","",N766*M766)</f>
        <v/>
      </c>
      <c r="P766">
        <f>IF($W766="","",IF(ISNUMBER(SEARCH("3&amp;12",SUBSTITUTE(F766," ",""))),Settings!$G$6,Settings!$C$6))</f>
        <v/>
      </c>
      <c r="Q766" s="7">
        <f>IF($W766="","",SUMIFS('Per Line'!$O$2:$O$3001,'Per Line'!$B$2:$B$3001,$B766,'Per Line'!$AB$2:$AB$3001,1))</f>
        <v/>
      </c>
      <c r="R766" s="7">
        <f>IF($W766="","",Q766*P766)</f>
        <v/>
      </c>
      <c r="S766" s="7">
        <f>IF($W766="","",R766+O766)</f>
        <v/>
      </c>
      <c r="T766" s="7">
        <f>IF($W766="","",V766-S766)</f>
        <v/>
      </c>
      <c r="U766" s="7">
        <f>IF($W766="","",V766-S766-K766)</f>
        <v/>
      </c>
      <c r="V766" s="7">
        <f>IF($W766="","",N766+Q766)</f>
        <v/>
      </c>
      <c r="W766" s="16">
        <f>IF(ROWS($W$2:$W766)&lt;=MAX('Per Line'!$AA$2:$AA$3001),MATCH(ROWS($W$2:$W766),'Per Line'!$AA$2:$AA$3001,0),"")</f>
        <v/>
      </c>
      <c r="X766">
        <f>IF($W766="","",D766&amp;"|"&amp;COUNTIF($D$2:$D766,D766))</f>
        <v/>
      </c>
    </row>
    <row r="767">
      <c r="A767" s="15" t="n"/>
      <c r="B767">
        <f>IF($W767="","",INDEX('Per Line'!$B$2:$B$3001,$W767)&amp;"")</f>
        <v/>
      </c>
      <c r="C767">
        <f>IF($W767="","",INDEX('Per Line'!$C$2:$C$3001,$W767)&amp;"")</f>
        <v/>
      </c>
      <c r="D767">
        <f>IF($W767="","",IF(OR(TRIM(E767)="Orient Insurance Company",TRIM(E767)="Allianz"),TRIM(E767),TRIM(F767)))</f>
        <v/>
      </c>
      <c r="E767">
        <f>IF($W767="","",INDEX('Per Line'!$E$2:$E$3001,$W767)&amp;"")</f>
        <v/>
      </c>
      <c r="F767">
        <f>IF($W767="","",INDEX('Per Line'!$D$2:$D$3001,$W767)&amp;"")</f>
        <v/>
      </c>
      <c r="G767">
        <f>IF($W767="","",INDEX('Per Line'!$F$2:$F$3001,$W767)&amp;"")</f>
        <v/>
      </c>
      <c r="H767">
        <f>IF($W767="","",INDEX('Per Line'!$G$2:$G$3001,$W767)&amp;"")</f>
        <v/>
      </c>
      <c r="I767">
        <f>IF($W767="","",INDEX('Per Line'!$H$2:$H$3001,$W767)&amp;"")</f>
        <v/>
      </c>
      <c r="J767">
        <f>IF($W767="","",INDEX('Per Line'!$I$2:$I$3001,$W767))</f>
        <v/>
      </c>
      <c r="K767" s="7">
        <f>IF($W767="","",J767*T767/100)</f>
        <v/>
      </c>
      <c r="L767" s="14">
        <f>IF($W767="","",INDEX('Per Line'!$V$2:$V$3001,$W767))</f>
        <v/>
      </c>
      <c r="M767">
        <f>IF($W767="","",IF(ISNUMBER(SEARCH("3&amp;12",SUBSTITUTE(F767," ",""))),Settings!$G$7,Settings!$C$7))</f>
        <v/>
      </c>
      <c r="N767" s="7">
        <f>IF($W767="","",SUMIFS('Per Line'!$O$2:$O$3001,'Per Line'!$B$2:$B$3001,$B767,'Per Line'!$AB$2:$AB$3001,0))</f>
        <v/>
      </c>
      <c r="O767" s="7">
        <f>IF($W767="","",N767*M767)</f>
        <v/>
      </c>
      <c r="P767">
        <f>IF($W767="","",IF(ISNUMBER(SEARCH("3&amp;12",SUBSTITUTE(F767," ",""))),Settings!$G$6,Settings!$C$6))</f>
        <v/>
      </c>
      <c r="Q767" s="7">
        <f>IF($W767="","",SUMIFS('Per Line'!$O$2:$O$3001,'Per Line'!$B$2:$B$3001,$B767,'Per Line'!$AB$2:$AB$3001,1))</f>
        <v/>
      </c>
      <c r="R767" s="7">
        <f>IF($W767="","",Q767*P767)</f>
        <v/>
      </c>
      <c r="S767" s="7">
        <f>IF($W767="","",R767+O767)</f>
        <v/>
      </c>
      <c r="T767" s="7">
        <f>IF($W767="","",V767-S767)</f>
        <v/>
      </c>
      <c r="U767" s="7">
        <f>IF($W767="","",V767-S767-K767)</f>
        <v/>
      </c>
      <c r="V767" s="7">
        <f>IF($W767="","",N767+Q767)</f>
        <v/>
      </c>
      <c r="W767" s="16">
        <f>IF(ROWS($W$2:$W767)&lt;=MAX('Per Line'!$AA$2:$AA$3001),MATCH(ROWS($W$2:$W767),'Per Line'!$AA$2:$AA$3001,0),"")</f>
        <v/>
      </c>
      <c r="X767">
        <f>IF($W767="","",D767&amp;"|"&amp;COUNTIF($D$2:$D767,D767))</f>
        <v/>
      </c>
    </row>
    <row r="768">
      <c r="A768" s="15" t="n"/>
      <c r="B768">
        <f>IF($W768="","",INDEX('Per Line'!$B$2:$B$3001,$W768)&amp;"")</f>
        <v/>
      </c>
      <c r="C768">
        <f>IF($W768="","",INDEX('Per Line'!$C$2:$C$3001,$W768)&amp;"")</f>
        <v/>
      </c>
      <c r="D768">
        <f>IF($W768="","",IF(OR(TRIM(E768)="Orient Insurance Company",TRIM(E768)="Allianz"),TRIM(E768),TRIM(F768)))</f>
        <v/>
      </c>
      <c r="E768">
        <f>IF($W768="","",INDEX('Per Line'!$E$2:$E$3001,$W768)&amp;"")</f>
        <v/>
      </c>
      <c r="F768">
        <f>IF($W768="","",INDEX('Per Line'!$D$2:$D$3001,$W768)&amp;"")</f>
        <v/>
      </c>
      <c r="G768">
        <f>IF($W768="","",INDEX('Per Line'!$F$2:$F$3001,$W768)&amp;"")</f>
        <v/>
      </c>
      <c r="H768">
        <f>IF($W768="","",INDEX('Per Line'!$G$2:$G$3001,$W768)&amp;"")</f>
        <v/>
      </c>
      <c r="I768">
        <f>IF($W768="","",INDEX('Per Line'!$H$2:$H$3001,$W768)&amp;"")</f>
        <v/>
      </c>
      <c r="J768">
        <f>IF($W768="","",INDEX('Per Line'!$I$2:$I$3001,$W768))</f>
        <v/>
      </c>
      <c r="K768" s="7">
        <f>IF($W768="","",J768*T768/100)</f>
        <v/>
      </c>
      <c r="L768" s="14">
        <f>IF($W768="","",INDEX('Per Line'!$V$2:$V$3001,$W768))</f>
        <v/>
      </c>
      <c r="M768">
        <f>IF($W768="","",IF(ISNUMBER(SEARCH("3&amp;12",SUBSTITUTE(F768," ",""))),Settings!$G$7,Settings!$C$7))</f>
        <v/>
      </c>
      <c r="N768" s="7">
        <f>IF($W768="","",SUMIFS('Per Line'!$O$2:$O$3001,'Per Line'!$B$2:$B$3001,$B768,'Per Line'!$AB$2:$AB$3001,0))</f>
        <v/>
      </c>
      <c r="O768" s="7">
        <f>IF($W768="","",N768*M768)</f>
        <v/>
      </c>
      <c r="P768">
        <f>IF($W768="","",IF(ISNUMBER(SEARCH("3&amp;12",SUBSTITUTE(F768," ",""))),Settings!$G$6,Settings!$C$6))</f>
        <v/>
      </c>
      <c r="Q768" s="7">
        <f>IF($W768="","",SUMIFS('Per Line'!$O$2:$O$3001,'Per Line'!$B$2:$B$3001,$B768,'Per Line'!$AB$2:$AB$3001,1))</f>
        <v/>
      </c>
      <c r="R768" s="7">
        <f>IF($W768="","",Q768*P768)</f>
        <v/>
      </c>
      <c r="S768" s="7">
        <f>IF($W768="","",R768+O768)</f>
        <v/>
      </c>
      <c r="T768" s="7">
        <f>IF($W768="","",V768-S768)</f>
        <v/>
      </c>
      <c r="U768" s="7">
        <f>IF($W768="","",V768-S768-K768)</f>
        <v/>
      </c>
      <c r="V768" s="7">
        <f>IF($W768="","",N768+Q768)</f>
        <v/>
      </c>
      <c r="W768" s="16">
        <f>IF(ROWS($W$2:$W768)&lt;=MAX('Per Line'!$AA$2:$AA$3001),MATCH(ROWS($W$2:$W768),'Per Line'!$AA$2:$AA$3001,0),"")</f>
        <v/>
      </c>
      <c r="X768">
        <f>IF($W768="","",D768&amp;"|"&amp;COUNTIF($D$2:$D768,D768))</f>
        <v/>
      </c>
    </row>
    <row r="769">
      <c r="A769" s="15" t="n"/>
      <c r="B769">
        <f>IF($W769="","",INDEX('Per Line'!$B$2:$B$3001,$W769)&amp;"")</f>
        <v/>
      </c>
      <c r="C769">
        <f>IF($W769="","",INDEX('Per Line'!$C$2:$C$3001,$W769)&amp;"")</f>
        <v/>
      </c>
      <c r="D769">
        <f>IF($W769="","",IF(OR(TRIM(E769)="Orient Insurance Company",TRIM(E769)="Allianz"),TRIM(E769),TRIM(F769)))</f>
        <v/>
      </c>
      <c r="E769">
        <f>IF($W769="","",INDEX('Per Line'!$E$2:$E$3001,$W769)&amp;"")</f>
        <v/>
      </c>
      <c r="F769">
        <f>IF($W769="","",INDEX('Per Line'!$D$2:$D$3001,$W769)&amp;"")</f>
        <v/>
      </c>
      <c r="G769">
        <f>IF($W769="","",INDEX('Per Line'!$F$2:$F$3001,$W769)&amp;"")</f>
        <v/>
      </c>
      <c r="H769">
        <f>IF($W769="","",INDEX('Per Line'!$G$2:$G$3001,$W769)&amp;"")</f>
        <v/>
      </c>
      <c r="I769">
        <f>IF($W769="","",INDEX('Per Line'!$H$2:$H$3001,$W769)&amp;"")</f>
        <v/>
      </c>
      <c r="J769">
        <f>IF($W769="","",INDEX('Per Line'!$I$2:$I$3001,$W769))</f>
        <v/>
      </c>
      <c r="K769" s="7">
        <f>IF($W769="","",J769*T769/100)</f>
        <v/>
      </c>
      <c r="L769" s="14">
        <f>IF($W769="","",INDEX('Per Line'!$V$2:$V$3001,$W769))</f>
        <v/>
      </c>
      <c r="M769">
        <f>IF($W769="","",IF(ISNUMBER(SEARCH("3&amp;12",SUBSTITUTE(F769," ",""))),Settings!$G$7,Settings!$C$7))</f>
        <v/>
      </c>
      <c r="N769" s="7">
        <f>IF($W769="","",SUMIFS('Per Line'!$O$2:$O$3001,'Per Line'!$B$2:$B$3001,$B769,'Per Line'!$AB$2:$AB$3001,0))</f>
        <v/>
      </c>
      <c r="O769" s="7">
        <f>IF($W769="","",N769*M769)</f>
        <v/>
      </c>
      <c r="P769">
        <f>IF($W769="","",IF(ISNUMBER(SEARCH("3&amp;12",SUBSTITUTE(F769," ",""))),Settings!$G$6,Settings!$C$6))</f>
        <v/>
      </c>
      <c r="Q769" s="7">
        <f>IF($W769="","",SUMIFS('Per Line'!$O$2:$O$3001,'Per Line'!$B$2:$B$3001,$B769,'Per Line'!$AB$2:$AB$3001,1))</f>
        <v/>
      </c>
      <c r="R769" s="7">
        <f>IF($W769="","",Q769*P769)</f>
        <v/>
      </c>
      <c r="S769" s="7">
        <f>IF($W769="","",R769+O769)</f>
        <v/>
      </c>
      <c r="T769" s="7">
        <f>IF($W769="","",V769-S769)</f>
        <v/>
      </c>
      <c r="U769" s="7">
        <f>IF($W769="","",V769-S769-K769)</f>
        <v/>
      </c>
      <c r="V769" s="7">
        <f>IF($W769="","",N769+Q769)</f>
        <v/>
      </c>
      <c r="W769" s="16">
        <f>IF(ROWS($W$2:$W769)&lt;=MAX('Per Line'!$AA$2:$AA$3001),MATCH(ROWS($W$2:$W769),'Per Line'!$AA$2:$AA$3001,0),"")</f>
        <v/>
      </c>
      <c r="X769">
        <f>IF($W769="","",D769&amp;"|"&amp;COUNTIF($D$2:$D769,D769))</f>
        <v/>
      </c>
    </row>
    <row r="770">
      <c r="A770" s="15" t="n"/>
      <c r="B770">
        <f>IF($W770="","",INDEX('Per Line'!$B$2:$B$3001,$W770)&amp;"")</f>
        <v/>
      </c>
      <c r="C770">
        <f>IF($W770="","",INDEX('Per Line'!$C$2:$C$3001,$W770)&amp;"")</f>
        <v/>
      </c>
      <c r="D770">
        <f>IF($W770="","",IF(OR(TRIM(E770)="Orient Insurance Company",TRIM(E770)="Allianz"),TRIM(E770),TRIM(F770)))</f>
        <v/>
      </c>
      <c r="E770">
        <f>IF($W770="","",INDEX('Per Line'!$E$2:$E$3001,$W770)&amp;"")</f>
        <v/>
      </c>
      <c r="F770">
        <f>IF($W770="","",INDEX('Per Line'!$D$2:$D$3001,$W770)&amp;"")</f>
        <v/>
      </c>
      <c r="G770">
        <f>IF($W770="","",INDEX('Per Line'!$F$2:$F$3001,$W770)&amp;"")</f>
        <v/>
      </c>
      <c r="H770">
        <f>IF($W770="","",INDEX('Per Line'!$G$2:$G$3001,$W770)&amp;"")</f>
        <v/>
      </c>
      <c r="I770">
        <f>IF($W770="","",INDEX('Per Line'!$H$2:$H$3001,$W770)&amp;"")</f>
        <v/>
      </c>
      <c r="J770">
        <f>IF($W770="","",INDEX('Per Line'!$I$2:$I$3001,$W770))</f>
        <v/>
      </c>
      <c r="K770" s="7">
        <f>IF($W770="","",J770*T770/100)</f>
        <v/>
      </c>
      <c r="L770" s="14">
        <f>IF($W770="","",INDEX('Per Line'!$V$2:$V$3001,$W770))</f>
        <v/>
      </c>
      <c r="M770">
        <f>IF($W770="","",IF(ISNUMBER(SEARCH("3&amp;12",SUBSTITUTE(F770," ",""))),Settings!$G$7,Settings!$C$7))</f>
        <v/>
      </c>
      <c r="N770" s="7">
        <f>IF($W770="","",SUMIFS('Per Line'!$O$2:$O$3001,'Per Line'!$B$2:$B$3001,$B770,'Per Line'!$AB$2:$AB$3001,0))</f>
        <v/>
      </c>
      <c r="O770" s="7">
        <f>IF($W770="","",N770*M770)</f>
        <v/>
      </c>
      <c r="P770">
        <f>IF($W770="","",IF(ISNUMBER(SEARCH("3&amp;12",SUBSTITUTE(F770," ",""))),Settings!$G$6,Settings!$C$6))</f>
        <v/>
      </c>
      <c r="Q770" s="7">
        <f>IF($W770="","",SUMIFS('Per Line'!$O$2:$O$3001,'Per Line'!$B$2:$B$3001,$B770,'Per Line'!$AB$2:$AB$3001,1))</f>
        <v/>
      </c>
      <c r="R770" s="7">
        <f>IF($W770="","",Q770*P770)</f>
        <v/>
      </c>
      <c r="S770" s="7">
        <f>IF($W770="","",R770+O770)</f>
        <v/>
      </c>
      <c r="T770" s="7">
        <f>IF($W770="","",V770-S770)</f>
        <v/>
      </c>
      <c r="U770" s="7">
        <f>IF($W770="","",V770-S770-K770)</f>
        <v/>
      </c>
      <c r="V770" s="7">
        <f>IF($W770="","",N770+Q770)</f>
        <v/>
      </c>
      <c r="W770" s="16">
        <f>IF(ROWS($W$2:$W770)&lt;=MAX('Per Line'!$AA$2:$AA$3001),MATCH(ROWS($W$2:$W770),'Per Line'!$AA$2:$AA$3001,0),"")</f>
        <v/>
      </c>
      <c r="X770">
        <f>IF($W770="","",D770&amp;"|"&amp;COUNTIF($D$2:$D770,D770))</f>
        <v/>
      </c>
    </row>
    <row r="771">
      <c r="A771" s="15" t="n"/>
      <c r="B771">
        <f>IF($W771="","",INDEX('Per Line'!$B$2:$B$3001,$W771)&amp;"")</f>
        <v/>
      </c>
      <c r="C771">
        <f>IF($W771="","",INDEX('Per Line'!$C$2:$C$3001,$W771)&amp;"")</f>
        <v/>
      </c>
      <c r="D771">
        <f>IF($W771="","",IF(OR(TRIM(E771)="Orient Insurance Company",TRIM(E771)="Allianz"),TRIM(E771),TRIM(F771)))</f>
        <v/>
      </c>
      <c r="E771">
        <f>IF($W771="","",INDEX('Per Line'!$E$2:$E$3001,$W771)&amp;"")</f>
        <v/>
      </c>
      <c r="F771">
        <f>IF($W771="","",INDEX('Per Line'!$D$2:$D$3001,$W771)&amp;"")</f>
        <v/>
      </c>
      <c r="G771">
        <f>IF($W771="","",INDEX('Per Line'!$F$2:$F$3001,$W771)&amp;"")</f>
        <v/>
      </c>
      <c r="H771">
        <f>IF($W771="","",INDEX('Per Line'!$G$2:$G$3001,$W771)&amp;"")</f>
        <v/>
      </c>
      <c r="I771">
        <f>IF($W771="","",INDEX('Per Line'!$H$2:$H$3001,$W771)&amp;"")</f>
        <v/>
      </c>
      <c r="J771">
        <f>IF($W771="","",INDEX('Per Line'!$I$2:$I$3001,$W771))</f>
        <v/>
      </c>
      <c r="K771" s="7">
        <f>IF($W771="","",J771*T771/100)</f>
        <v/>
      </c>
      <c r="L771" s="14">
        <f>IF($W771="","",INDEX('Per Line'!$V$2:$V$3001,$W771))</f>
        <v/>
      </c>
      <c r="M771">
        <f>IF($W771="","",IF(ISNUMBER(SEARCH("3&amp;12",SUBSTITUTE(F771," ",""))),Settings!$G$7,Settings!$C$7))</f>
        <v/>
      </c>
      <c r="N771" s="7">
        <f>IF($W771="","",SUMIFS('Per Line'!$O$2:$O$3001,'Per Line'!$B$2:$B$3001,$B771,'Per Line'!$AB$2:$AB$3001,0))</f>
        <v/>
      </c>
      <c r="O771" s="7">
        <f>IF($W771="","",N771*M771)</f>
        <v/>
      </c>
      <c r="P771">
        <f>IF($W771="","",IF(ISNUMBER(SEARCH("3&amp;12",SUBSTITUTE(F771," ",""))),Settings!$G$6,Settings!$C$6))</f>
        <v/>
      </c>
      <c r="Q771" s="7">
        <f>IF($W771="","",SUMIFS('Per Line'!$O$2:$O$3001,'Per Line'!$B$2:$B$3001,$B771,'Per Line'!$AB$2:$AB$3001,1))</f>
        <v/>
      </c>
      <c r="R771" s="7">
        <f>IF($W771="","",Q771*P771)</f>
        <v/>
      </c>
      <c r="S771" s="7">
        <f>IF($W771="","",R771+O771)</f>
        <v/>
      </c>
      <c r="T771" s="7">
        <f>IF($W771="","",V771-S771)</f>
        <v/>
      </c>
      <c r="U771" s="7">
        <f>IF($W771="","",V771-S771-K771)</f>
        <v/>
      </c>
      <c r="V771" s="7">
        <f>IF($W771="","",N771+Q771)</f>
        <v/>
      </c>
      <c r="W771" s="16">
        <f>IF(ROWS($W$2:$W771)&lt;=MAX('Per Line'!$AA$2:$AA$3001),MATCH(ROWS($W$2:$W771),'Per Line'!$AA$2:$AA$3001,0),"")</f>
        <v/>
      </c>
      <c r="X771">
        <f>IF($W771="","",D771&amp;"|"&amp;COUNTIF($D$2:$D771,D771))</f>
        <v/>
      </c>
    </row>
    <row r="772">
      <c r="A772" s="15" t="n"/>
      <c r="B772">
        <f>IF($W772="","",INDEX('Per Line'!$B$2:$B$3001,$W772)&amp;"")</f>
        <v/>
      </c>
      <c r="C772">
        <f>IF($W772="","",INDEX('Per Line'!$C$2:$C$3001,$W772)&amp;"")</f>
        <v/>
      </c>
      <c r="D772">
        <f>IF($W772="","",IF(OR(TRIM(E772)="Orient Insurance Company",TRIM(E772)="Allianz"),TRIM(E772),TRIM(F772)))</f>
        <v/>
      </c>
      <c r="E772">
        <f>IF($W772="","",INDEX('Per Line'!$E$2:$E$3001,$W772)&amp;"")</f>
        <v/>
      </c>
      <c r="F772">
        <f>IF($W772="","",INDEX('Per Line'!$D$2:$D$3001,$W772)&amp;"")</f>
        <v/>
      </c>
      <c r="G772">
        <f>IF($W772="","",INDEX('Per Line'!$F$2:$F$3001,$W772)&amp;"")</f>
        <v/>
      </c>
      <c r="H772">
        <f>IF($W772="","",INDEX('Per Line'!$G$2:$G$3001,$W772)&amp;"")</f>
        <v/>
      </c>
      <c r="I772">
        <f>IF($W772="","",INDEX('Per Line'!$H$2:$H$3001,$W772)&amp;"")</f>
        <v/>
      </c>
      <c r="J772">
        <f>IF($W772="","",INDEX('Per Line'!$I$2:$I$3001,$W772))</f>
        <v/>
      </c>
      <c r="K772" s="7">
        <f>IF($W772="","",J772*T772/100)</f>
        <v/>
      </c>
      <c r="L772" s="14">
        <f>IF($W772="","",INDEX('Per Line'!$V$2:$V$3001,$W772))</f>
        <v/>
      </c>
      <c r="M772">
        <f>IF($W772="","",IF(ISNUMBER(SEARCH("3&amp;12",SUBSTITUTE(F772," ",""))),Settings!$G$7,Settings!$C$7))</f>
        <v/>
      </c>
      <c r="N772" s="7">
        <f>IF($W772="","",SUMIFS('Per Line'!$O$2:$O$3001,'Per Line'!$B$2:$B$3001,$B772,'Per Line'!$AB$2:$AB$3001,0))</f>
        <v/>
      </c>
      <c r="O772" s="7">
        <f>IF($W772="","",N772*M772)</f>
        <v/>
      </c>
      <c r="P772">
        <f>IF($W772="","",IF(ISNUMBER(SEARCH("3&amp;12",SUBSTITUTE(F772," ",""))),Settings!$G$6,Settings!$C$6))</f>
        <v/>
      </c>
      <c r="Q772" s="7">
        <f>IF($W772="","",SUMIFS('Per Line'!$O$2:$O$3001,'Per Line'!$B$2:$B$3001,$B772,'Per Line'!$AB$2:$AB$3001,1))</f>
        <v/>
      </c>
      <c r="R772" s="7">
        <f>IF($W772="","",Q772*P772)</f>
        <v/>
      </c>
      <c r="S772" s="7">
        <f>IF($W772="","",R772+O772)</f>
        <v/>
      </c>
      <c r="T772" s="7">
        <f>IF($W772="","",V772-S772)</f>
        <v/>
      </c>
      <c r="U772" s="7">
        <f>IF($W772="","",V772-S772-K772)</f>
        <v/>
      </c>
      <c r="V772" s="7">
        <f>IF($W772="","",N772+Q772)</f>
        <v/>
      </c>
      <c r="W772" s="16">
        <f>IF(ROWS($W$2:$W772)&lt;=MAX('Per Line'!$AA$2:$AA$3001),MATCH(ROWS($W$2:$W772),'Per Line'!$AA$2:$AA$3001,0),"")</f>
        <v/>
      </c>
      <c r="X772">
        <f>IF($W772="","",D772&amp;"|"&amp;COUNTIF($D$2:$D772,D772))</f>
        <v/>
      </c>
    </row>
    <row r="773">
      <c r="A773" s="15" t="n"/>
      <c r="B773">
        <f>IF($W773="","",INDEX('Per Line'!$B$2:$B$3001,$W773)&amp;"")</f>
        <v/>
      </c>
      <c r="C773">
        <f>IF($W773="","",INDEX('Per Line'!$C$2:$C$3001,$W773)&amp;"")</f>
        <v/>
      </c>
      <c r="D773">
        <f>IF($W773="","",IF(OR(TRIM(E773)="Orient Insurance Company",TRIM(E773)="Allianz"),TRIM(E773),TRIM(F773)))</f>
        <v/>
      </c>
      <c r="E773">
        <f>IF($W773="","",INDEX('Per Line'!$E$2:$E$3001,$W773)&amp;"")</f>
        <v/>
      </c>
      <c r="F773">
        <f>IF($W773="","",INDEX('Per Line'!$D$2:$D$3001,$W773)&amp;"")</f>
        <v/>
      </c>
      <c r="G773">
        <f>IF($W773="","",INDEX('Per Line'!$F$2:$F$3001,$W773)&amp;"")</f>
        <v/>
      </c>
      <c r="H773">
        <f>IF($W773="","",INDEX('Per Line'!$G$2:$G$3001,$W773)&amp;"")</f>
        <v/>
      </c>
      <c r="I773">
        <f>IF($W773="","",INDEX('Per Line'!$H$2:$H$3001,$W773)&amp;"")</f>
        <v/>
      </c>
      <c r="J773">
        <f>IF($W773="","",INDEX('Per Line'!$I$2:$I$3001,$W773))</f>
        <v/>
      </c>
      <c r="K773" s="7">
        <f>IF($W773="","",J773*T773/100)</f>
        <v/>
      </c>
      <c r="L773" s="14">
        <f>IF($W773="","",INDEX('Per Line'!$V$2:$V$3001,$W773))</f>
        <v/>
      </c>
      <c r="M773">
        <f>IF($W773="","",IF(ISNUMBER(SEARCH("3&amp;12",SUBSTITUTE(F773," ",""))),Settings!$G$7,Settings!$C$7))</f>
        <v/>
      </c>
      <c r="N773" s="7">
        <f>IF($W773="","",SUMIFS('Per Line'!$O$2:$O$3001,'Per Line'!$B$2:$B$3001,$B773,'Per Line'!$AB$2:$AB$3001,0))</f>
        <v/>
      </c>
      <c r="O773" s="7">
        <f>IF($W773="","",N773*M773)</f>
        <v/>
      </c>
      <c r="P773">
        <f>IF($W773="","",IF(ISNUMBER(SEARCH("3&amp;12",SUBSTITUTE(F773," ",""))),Settings!$G$6,Settings!$C$6))</f>
        <v/>
      </c>
      <c r="Q773" s="7">
        <f>IF($W773="","",SUMIFS('Per Line'!$O$2:$O$3001,'Per Line'!$B$2:$B$3001,$B773,'Per Line'!$AB$2:$AB$3001,1))</f>
        <v/>
      </c>
      <c r="R773" s="7">
        <f>IF($W773="","",Q773*P773)</f>
        <v/>
      </c>
      <c r="S773" s="7">
        <f>IF($W773="","",R773+O773)</f>
        <v/>
      </c>
      <c r="T773" s="7">
        <f>IF($W773="","",V773-S773)</f>
        <v/>
      </c>
      <c r="U773" s="7">
        <f>IF($W773="","",V773-S773-K773)</f>
        <v/>
      </c>
      <c r="V773" s="7">
        <f>IF($W773="","",N773+Q773)</f>
        <v/>
      </c>
      <c r="W773" s="16">
        <f>IF(ROWS($W$2:$W773)&lt;=MAX('Per Line'!$AA$2:$AA$3001),MATCH(ROWS($W$2:$W773),'Per Line'!$AA$2:$AA$3001,0),"")</f>
        <v/>
      </c>
      <c r="X773">
        <f>IF($W773="","",D773&amp;"|"&amp;COUNTIF($D$2:$D773,D773))</f>
        <v/>
      </c>
    </row>
    <row r="774">
      <c r="A774" s="15" t="n"/>
      <c r="B774">
        <f>IF($W774="","",INDEX('Per Line'!$B$2:$B$3001,$W774)&amp;"")</f>
        <v/>
      </c>
      <c r="C774">
        <f>IF($W774="","",INDEX('Per Line'!$C$2:$C$3001,$W774)&amp;"")</f>
        <v/>
      </c>
      <c r="D774">
        <f>IF($W774="","",IF(OR(TRIM(E774)="Orient Insurance Company",TRIM(E774)="Allianz"),TRIM(E774),TRIM(F774)))</f>
        <v/>
      </c>
      <c r="E774">
        <f>IF($W774="","",INDEX('Per Line'!$E$2:$E$3001,$W774)&amp;"")</f>
        <v/>
      </c>
      <c r="F774">
        <f>IF($W774="","",INDEX('Per Line'!$D$2:$D$3001,$W774)&amp;"")</f>
        <v/>
      </c>
      <c r="G774">
        <f>IF($W774="","",INDEX('Per Line'!$F$2:$F$3001,$W774)&amp;"")</f>
        <v/>
      </c>
      <c r="H774">
        <f>IF($W774="","",INDEX('Per Line'!$G$2:$G$3001,$W774)&amp;"")</f>
        <v/>
      </c>
      <c r="I774">
        <f>IF($W774="","",INDEX('Per Line'!$H$2:$H$3001,$W774)&amp;"")</f>
        <v/>
      </c>
      <c r="J774">
        <f>IF($W774="","",INDEX('Per Line'!$I$2:$I$3001,$W774))</f>
        <v/>
      </c>
      <c r="K774" s="7">
        <f>IF($W774="","",J774*T774/100)</f>
        <v/>
      </c>
      <c r="L774" s="14">
        <f>IF($W774="","",INDEX('Per Line'!$V$2:$V$3001,$W774))</f>
        <v/>
      </c>
      <c r="M774">
        <f>IF($W774="","",IF(ISNUMBER(SEARCH("3&amp;12",SUBSTITUTE(F774," ",""))),Settings!$G$7,Settings!$C$7))</f>
        <v/>
      </c>
      <c r="N774" s="7">
        <f>IF($W774="","",SUMIFS('Per Line'!$O$2:$O$3001,'Per Line'!$B$2:$B$3001,$B774,'Per Line'!$AB$2:$AB$3001,0))</f>
        <v/>
      </c>
      <c r="O774" s="7">
        <f>IF($W774="","",N774*M774)</f>
        <v/>
      </c>
      <c r="P774">
        <f>IF($W774="","",IF(ISNUMBER(SEARCH("3&amp;12",SUBSTITUTE(F774," ",""))),Settings!$G$6,Settings!$C$6))</f>
        <v/>
      </c>
      <c r="Q774" s="7">
        <f>IF($W774="","",SUMIFS('Per Line'!$O$2:$O$3001,'Per Line'!$B$2:$B$3001,$B774,'Per Line'!$AB$2:$AB$3001,1))</f>
        <v/>
      </c>
      <c r="R774" s="7">
        <f>IF($W774="","",Q774*P774)</f>
        <v/>
      </c>
      <c r="S774" s="7">
        <f>IF($W774="","",R774+O774)</f>
        <v/>
      </c>
      <c r="T774" s="7">
        <f>IF($W774="","",V774-S774)</f>
        <v/>
      </c>
      <c r="U774" s="7">
        <f>IF($W774="","",V774-S774-K774)</f>
        <v/>
      </c>
      <c r="V774" s="7">
        <f>IF($W774="","",N774+Q774)</f>
        <v/>
      </c>
      <c r="W774" s="16">
        <f>IF(ROWS($W$2:$W774)&lt;=MAX('Per Line'!$AA$2:$AA$3001),MATCH(ROWS($W$2:$W774),'Per Line'!$AA$2:$AA$3001,0),"")</f>
        <v/>
      </c>
      <c r="X774">
        <f>IF($W774="","",D774&amp;"|"&amp;COUNTIF($D$2:$D774,D774))</f>
        <v/>
      </c>
    </row>
    <row r="775">
      <c r="A775" s="15" t="n"/>
      <c r="B775">
        <f>IF($W775="","",INDEX('Per Line'!$B$2:$B$3001,$W775)&amp;"")</f>
        <v/>
      </c>
      <c r="C775">
        <f>IF($W775="","",INDEX('Per Line'!$C$2:$C$3001,$W775)&amp;"")</f>
        <v/>
      </c>
      <c r="D775">
        <f>IF($W775="","",IF(OR(TRIM(E775)="Orient Insurance Company",TRIM(E775)="Allianz"),TRIM(E775),TRIM(F775)))</f>
        <v/>
      </c>
      <c r="E775">
        <f>IF($W775="","",INDEX('Per Line'!$E$2:$E$3001,$W775)&amp;"")</f>
        <v/>
      </c>
      <c r="F775">
        <f>IF($W775="","",INDEX('Per Line'!$D$2:$D$3001,$W775)&amp;"")</f>
        <v/>
      </c>
      <c r="G775">
        <f>IF($W775="","",INDEX('Per Line'!$F$2:$F$3001,$W775)&amp;"")</f>
        <v/>
      </c>
      <c r="H775">
        <f>IF($W775="","",INDEX('Per Line'!$G$2:$G$3001,$W775)&amp;"")</f>
        <v/>
      </c>
      <c r="I775">
        <f>IF($W775="","",INDEX('Per Line'!$H$2:$H$3001,$W775)&amp;"")</f>
        <v/>
      </c>
      <c r="J775">
        <f>IF($W775="","",INDEX('Per Line'!$I$2:$I$3001,$W775))</f>
        <v/>
      </c>
      <c r="K775" s="7">
        <f>IF($W775="","",J775*T775/100)</f>
        <v/>
      </c>
      <c r="L775" s="14">
        <f>IF($W775="","",INDEX('Per Line'!$V$2:$V$3001,$W775))</f>
        <v/>
      </c>
      <c r="M775">
        <f>IF($W775="","",IF(ISNUMBER(SEARCH("3&amp;12",SUBSTITUTE(F775," ",""))),Settings!$G$7,Settings!$C$7))</f>
        <v/>
      </c>
      <c r="N775" s="7">
        <f>IF($W775="","",SUMIFS('Per Line'!$O$2:$O$3001,'Per Line'!$B$2:$B$3001,$B775,'Per Line'!$AB$2:$AB$3001,0))</f>
        <v/>
      </c>
      <c r="O775" s="7">
        <f>IF($W775="","",N775*M775)</f>
        <v/>
      </c>
      <c r="P775">
        <f>IF($W775="","",IF(ISNUMBER(SEARCH("3&amp;12",SUBSTITUTE(F775," ",""))),Settings!$G$6,Settings!$C$6))</f>
        <v/>
      </c>
      <c r="Q775" s="7">
        <f>IF($W775="","",SUMIFS('Per Line'!$O$2:$O$3001,'Per Line'!$B$2:$B$3001,$B775,'Per Line'!$AB$2:$AB$3001,1))</f>
        <v/>
      </c>
      <c r="R775" s="7">
        <f>IF($W775="","",Q775*P775)</f>
        <v/>
      </c>
      <c r="S775" s="7">
        <f>IF($W775="","",R775+O775)</f>
        <v/>
      </c>
      <c r="T775" s="7">
        <f>IF($W775="","",V775-S775)</f>
        <v/>
      </c>
      <c r="U775" s="7">
        <f>IF($W775="","",V775-S775-K775)</f>
        <v/>
      </c>
      <c r="V775" s="7">
        <f>IF($W775="","",N775+Q775)</f>
        <v/>
      </c>
      <c r="W775" s="16">
        <f>IF(ROWS($W$2:$W775)&lt;=MAX('Per Line'!$AA$2:$AA$3001),MATCH(ROWS($W$2:$W775),'Per Line'!$AA$2:$AA$3001,0),"")</f>
        <v/>
      </c>
      <c r="X775">
        <f>IF($W775="","",D775&amp;"|"&amp;COUNTIF($D$2:$D775,D775))</f>
        <v/>
      </c>
    </row>
    <row r="776">
      <c r="A776" s="15" t="n"/>
      <c r="B776">
        <f>IF($W776="","",INDEX('Per Line'!$B$2:$B$3001,$W776)&amp;"")</f>
        <v/>
      </c>
      <c r="C776">
        <f>IF($W776="","",INDEX('Per Line'!$C$2:$C$3001,$W776)&amp;"")</f>
        <v/>
      </c>
      <c r="D776">
        <f>IF($W776="","",IF(OR(TRIM(E776)="Orient Insurance Company",TRIM(E776)="Allianz"),TRIM(E776),TRIM(F776)))</f>
        <v/>
      </c>
      <c r="E776">
        <f>IF($W776="","",INDEX('Per Line'!$E$2:$E$3001,$W776)&amp;"")</f>
        <v/>
      </c>
      <c r="F776">
        <f>IF($W776="","",INDEX('Per Line'!$D$2:$D$3001,$W776)&amp;"")</f>
        <v/>
      </c>
      <c r="G776">
        <f>IF($W776="","",INDEX('Per Line'!$F$2:$F$3001,$W776)&amp;"")</f>
        <v/>
      </c>
      <c r="H776">
        <f>IF($W776="","",INDEX('Per Line'!$G$2:$G$3001,$W776)&amp;"")</f>
        <v/>
      </c>
      <c r="I776">
        <f>IF($W776="","",INDEX('Per Line'!$H$2:$H$3001,$W776)&amp;"")</f>
        <v/>
      </c>
      <c r="J776">
        <f>IF($W776="","",INDEX('Per Line'!$I$2:$I$3001,$W776))</f>
        <v/>
      </c>
      <c r="K776" s="7">
        <f>IF($W776="","",J776*T776/100)</f>
        <v/>
      </c>
      <c r="L776" s="14">
        <f>IF($W776="","",INDEX('Per Line'!$V$2:$V$3001,$W776))</f>
        <v/>
      </c>
      <c r="M776">
        <f>IF($W776="","",IF(ISNUMBER(SEARCH("3&amp;12",SUBSTITUTE(F776," ",""))),Settings!$G$7,Settings!$C$7))</f>
        <v/>
      </c>
      <c r="N776" s="7">
        <f>IF($W776="","",SUMIFS('Per Line'!$O$2:$O$3001,'Per Line'!$B$2:$B$3001,$B776,'Per Line'!$AB$2:$AB$3001,0))</f>
        <v/>
      </c>
      <c r="O776" s="7">
        <f>IF($W776="","",N776*M776)</f>
        <v/>
      </c>
      <c r="P776">
        <f>IF($W776="","",IF(ISNUMBER(SEARCH("3&amp;12",SUBSTITUTE(F776," ",""))),Settings!$G$6,Settings!$C$6))</f>
        <v/>
      </c>
      <c r="Q776" s="7">
        <f>IF($W776="","",SUMIFS('Per Line'!$O$2:$O$3001,'Per Line'!$B$2:$B$3001,$B776,'Per Line'!$AB$2:$AB$3001,1))</f>
        <v/>
      </c>
      <c r="R776" s="7">
        <f>IF($W776="","",Q776*P776)</f>
        <v/>
      </c>
      <c r="S776" s="7">
        <f>IF($W776="","",R776+O776)</f>
        <v/>
      </c>
      <c r="T776" s="7">
        <f>IF($W776="","",V776-S776)</f>
        <v/>
      </c>
      <c r="U776" s="7">
        <f>IF($W776="","",V776-S776-K776)</f>
        <v/>
      </c>
      <c r="V776" s="7">
        <f>IF($W776="","",N776+Q776)</f>
        <v/>
      </c>
      <c r="W776" s="16">
        <f>IF(ROWS($W$2:$W776)&lt;=MAX('Per Line'!$AA$2:$AA$3001),MATCH(ROWS($W$2:$W776),'Per Line'!$AA$2:$AA$3001,0),"")</f>
        <v/>
      </c>
      <c r="X776">
        <f>IF($W776="","",D776&amp;"|"&amp;COUNTIF($D$2:$D776,D776))</f>
        <v/>
      </c>
    </row>
    <row r="777">
      <c r="A777" s="15" t="n"/>
      <c r="B777">
        <f>IF($W777="","",INDEX('Per Line'!$B$2:$B$3001,$W777)&amp;"")</f>
        <v/>
      </c>
      <c r="C777">
        <f>IF($W777="","",INDEX('Per Line'!$C$2:$C$3001,$W777)&amp;"")</f>
        <v/>
      </c>
      <c r="D777">
        <f>IF($W777="","",IF(OR(TRIM(E777)="Orient Insurance Company",TRIM(E777)="Allianz"),TRIM(E777),TRIM(F777)))</f>
        <v/>
      </c>
      <c r="E777">
        <f>IF($W777="","",INDEX('Per Line'!$E$2:$E$3001,$W777)&amp;"")</f>
        <v/>
      </c>
      <c r="F777">
        <f>IF($W777="","",INDEX('Per Line'!$D$2:$D$3001,$W777)&amp;"")</f>
        <v/>
      </c>
      <c r="G777">
        <f>IF($W777="","",INDEX('Per Line'!$F$2:$F$3001,$W777)&amp;"")</f>
        <v/>
      </c>
      <c r="H777">
        <f>IF($W777="","",INDEX('Per Line'!$G$2:$G$3001,$W777)&amp;"")</f>
        <v/>
      </c>
      <c r="I777">
        <f>IF($W777="","",INDEX('Per Line'!$H$2:$H$3001,$W777)&amp;"")</f>
        <v/>
      </c>
      <c r="J777">
        <f>IF($W777="","",INDEX('Per Line'!$I$2:$I$3001,$W777))</f>
        <v/>
      </c>
      <c r="K777" s="7">
        <f>IF($W777="","",J777*T777/100)</f>
        <v/>
      </c>
      <c r="L777" s="14">
        <f>IF($W777="","",INDEX('Per Line'!$V$2:$V$3001,$W777))</f>
        <v/>
      </c>
      <c r="M777">
        <f>IF($W777="","",IF(ISNUMBER(SEARCH("3&amp;12",SUBSTITUTE(F777," ",""))),Settings!$G$7,Settings!$C$7))</f>
        <v/>
      </c>
      <c r="N777" s="7">
        <f>IF($W777="","",SUMIFS('Per Line'!$O$2:$O$3001,'Per Line'!$B$2:$B$3001,$B777,'Per Line'!$AB$2:$AB$3001,0))</f>
        <v/>
      </c>
      <c r="O777" s="7">
        <f>IF($W777="","",N777*M777)</f>
        <v/>
      </c>
      <c r="P777">
        <f>IF($W777="","",IF(ISNUMBER(SEARCH("3&amp;12",SUBSTITUTE(F777," ",""))),Settings!$G$6,Settings!$C$6))</f>
        <v/>
      </c>
      <c r="Q777" s="7">
        <f>IF($W777="","",SUMIFS('Per Line'!$O$2:$O$3001,'Per Line'!$B$2:$B$3001,$B777,'Per Line'!$AB$2:$AB$3001,1))</f>
        <v/>
      </c>
      <c r="R777" s="7">
        <f>IF($W777="","",Q777*P777)</f>
        <v/>
      </c>
      <c r="S777" s="7">
        <f>IF($W777="","",R777+O777)</f>
        <v/>
      </c>
      <c r="T777" s="7">
        <f>IF($W777="","",V777-S777)</f>
        <v/>
      </c>
      <c r="U777" s="7">
        <f>IF($W777="","",V777-S777-K777)</f>
        <v/>
      </c>
      <c r="V777" s="7">
        <f>IF($W777="","",N777+Q777)</f>
        <v/>
      </c>
      <c r="W777" s="16">
        <f>IF(ROWS($W$2:$W777)&lt;=MAX('Per Line'!$AA$2:$AA$3001),MATCH(ROWS($W$2:$W777),'Per Line'!$AA$2:$AA$3001,0),"")</f>
        <v/>
      </c>
      <c r="X777">
        <f>IF($W777="","",D777&amp;"|"&amp;COUNTIF($D$2:$D777,D777))</f>
        <v/>
      </c>
    </row>
    <row r="778">
      <c r="A778" s="15" t="n"/>
      <c r="B778">
        <f>IF($W778="","",INDEX('Per Line'!$B$2:$B$3001,$W778)&amp;"")</f>
        <v/>
      </c>
      <c r="C778">
        <f>IF($W778="","",INDEX('Per Line'!$C$2:$C$3001,$W778)&amp;"")</f>
        <v/>
      </c>
      <c r="D778">
        <f>IF($W778="","",IF(OR(TRIM(E778)="Orient Insurance Company",TRIM(E778)="Allianz"),TRIM(E778),TRIM(F778)))</f>
        <v/>
      </c>
      <c r="E778">
        <f>IF($W778="","",INDEX('Per Line'!$E$2:$E$3001,$W778)&amp;"")</f>
        <v/>
      </c>
      <c r="F778">
        <f>IF($W778="","",INDEX('Per Line'!$D$2:$D$3001,$W778)&amp;"")</f>
        <v/>
      </c>
      <c r="G778">
        <f>IF($W778="","",INDEX('Per Line'!$F$2:$F$3001,$W778)&amp;"")</f>
        <v/>
      </c>
      <c r="H778">
        <f>IF($W778="","",INDEX('Per Line'!$G$2:$G$3001,$W778)&amp;"")</f>
        <v/>
      </c>
      <c r="I778">
        <f>IF($W778="","",INDEX('Per Line'!$H$2:$H$3001,$W778)&amp;"")</f>
        <v/>
      </c>
      <c r="J778">
        <f>IF($W778="","",INDEX('Per Line'!$I$2:$I$3001,$W778))</f>
        <v/>
      </c>
      <c r="K778" s="7">
        <f>IF($W778="","",J778*T778/100)</f>
        <v/>
      </c>
      <c r="L778" s="14">
        <f>IF($W778="","",INDEX('Per Line'!$V$2:$V$3001,$W778))</f>
        <v/>
      </c>
      <c r="M778">
        <f>IF($W778="","",IF(ISNUMBER(SEARCH("3&amp;12",SUBSTITUTE(F778," ",""))),Settings!$G$7,Settings!$C$7))</f>
        <v/>
      </c>
      <c r="N778" s="7">
        <f>IF($W778="","",SUMIFS('Per Line'!$O$2:$O$3001,'Per Line'!$B$2:$B$3001,$B778,'Per Line'!$AB$2:$AB$3001,0))</f>
        <v/>
      </c>
      <c r="O778" s="7">
        <f>IF($W778="","",N778*M778)</f>
        <v/>
      </c>
      <c r="P778">
        <f>IF($W778="","",IF(ISNUMBER(SEARCH("3&amp;12",SUBSTITUTE(F778," ",""))),Settings!$G$6,Settings!$C$6))</f>
        <v/>
      </c>
      <c r="Q778" s="7">
        <f>IF($W778="","",SUMIFS('Per Line'!$O$2:$O$3001,'Per Line'!$B$2:$B$3001,$B778,'Per Line'!$AB$2:$AB$3001,1))</f>
        <v/>
      </c>
      <c r="R778" s="7">
        <f>IF($W778="","",Q778*P778)</f>
        <v/>
      </c>
      <c r="S778" s="7">
        <f>IF($W778="","",R778+O778)</f>
        <v/>
      </c>
      <c r="T778" s="7">
        <f>IF($W778="","",V778-S778)</f>
        <v/>
      </c>
      <c r="U778" s="7">
        <f>IF($W778="","",V778-S778-K778)</f>
        <v/>
      </c>
      <c r="V778" s="7">
        <f>IF($W778="","",N778+Q778)</f>
        <v/>
      </c>
      <c r="W778" s="16">
        <f>IF(ROWS($W$2:$W778)&lt;=MAX('Per Line'!$AA$2:$AA$3001),MATCH(ROWS($W$2:$W778),'Per Line'!$AA$2:$AA$3001,0),"")</f>
        <v/>
      </c>
      <c r="X778">
        <f>IF($W778="","",D778&amp;"|"&amp;COUNTIF($D$2:$D778,D778))</f>
        <v/>
      </c>
    </row>
    <row r="779">
      <c r="A779" s="15" t="n"/>
      <c r="B779">
        <f>IF($W779="","",INDEX('Per Line'!$B$2:$B$3001,$W779)&amp;"")</f>
        <v/>
      </c>
      <c r="C779">
        <f>IF($W779="","",INDEX('Per Line'!$C$2:$C$3001,$W779)&amp;"")</f>
        <v/>
      </c>
      <c r="D779">
        <f>IF($W779="","",IF(OR(TRIM(E779)="Orient Insurance Company",TRIM(E779)="Allianz"),TRIM(E779),TRIM(F779)))</f>
        <v/>
      </c>
      <c r="E779">
        <f>IF($W779="","",INDEX('Per Line'!$E$2:$E$3001,$W779)&amp;"")</f>
        <v/>
      </c>
      <c r="F779">
        <f>IF($W779="","",INDEX('Per Line'!$D$2:$D$3001,$W779)&amp;"")</f>
        <v/>
      </c>
      <c r="G779">
        <f>IF($W779="","",INDEX('Per Line'!$F$2:$F$3001,$W779)&amp;"")</f>
        <v/>
      </c>
      <c r="H779">
        <f>IF($W779="","",INDEX('Per Line'!$G$2:$G$3001,$W779)&amp;"")</f>
        <v/>
      </c>
      <c r="I779">
        <f>IF($W779="","",INDEX('Per Line'!$H$2:$H$3001,$W779)&amp;"")</f>
        <v/>
      </c>
      <c r="J779">
        <f>IF($W779="","",INDEX('Per Line'!$I$2:$I$3001,$W779))</f>
        <v/>
      </c>
      <c r="K779" s="7">
        <f>IF($W779="","",J779*T779/100)</f>
        <v/>
      </c>
      <c r="L779" s="14">
        <f>IF($W779="","",INDEX('Per Line'!$V$2:$V$3001,$W779))</f>
        <v/>
      </c>
      <c r="M779">
        <f>IF($W779="","",IF(ISNUMBER(SEARCH("3&amp;12",SUBSTITUTE(F779," ",""))),Settings!$G$7,Settings!$C$7))</f>
        <v/>
      </c>
      <c r="N779" s="7">
        <f>IF($W779="","",SUMIFS('Per Line'!$O$2:$O$3001,'Per Line'!$B$2:$B$3001,$B779,'Per Line'!$AB$2:$AB$3001,0))</f>
        <v/>
      </c>
      <c r="O779" s="7">
        <f>IF($W779="","",N779*M779)</f>
        <v/>
      </c>
      <c r="P779">
        <f>IF($W779="","",IF(ISNUMBER(SEARCH("3&amp;12",SUBSTITUTE(F779," ",""))),Settings!$G$6,Settings!$C$6))</f>
        <v/>
      </c>
      <c r="Q779" s="7">
        <f>IF($W779="","",SUMIFS('Per Line'!$O$2:$O$3001,'Per Line'!$B$2:$B$3001,$B779,'Per Line'!$AB$2:$AB$3001,1))</f>
        <v/>
      </c>
      <c r="R779" s="7">
        <f>IF($W779="","",Q779*P779)</f>
        <v/>
      </c>
      <c r="S779" s="7">
        <f>IF($W779="","",R779+O779)</f>
        <v/>
      </c>
      <c r="T779" s="7">
        <f>IF($W779="","",V779-S779)</f>
        <v/>
      </c>
      <c r="U779" s="7">
        <f>IF($W779="","",V779-S779-K779)</f>
        <v/>
      </c>
      <c r="V779" s="7">
        <f>IF($W779="","",N779+Q779)</f>
        <v/>
      </c>
      <c r="W779" s="16">
        <f>IF(ROWS($W$2:$W779)&lt;=MAX('Per Line'!$AA$2:$AA$3001),MATCH(ROWS($W$2:$W779),'Per Line'!$AA$2:$AA$3001,0),"")</f>
        <v/>
      </c>
      <c r="X779">
        <f>IF($W779="","",D779&amp;"|"&amp;COUNTIF($D$2:$D779,D779))</f>
        <v/>
      </c>
    </row>
    <row r="780">
      <c r="A780" s="15" t="n"/>
      <c r="B780">
        <f>IF($W780="","",INDEX('Per Line'!$B$2:$B$3001,$W780)&amp;"")</f>
        <v/>
      </c>
      <c r="C780">
        <f>IF($W780="","",INDEX('Per Line'!$C$2:$C$3001,$W780)&amp;"")</f>
        <v/>
      </c>
      <c r="D780">
        <f>IF($W780="","",IF(OR(TRIM(E780)="Orient Insurance Company",TRIM(E780)="Allianz"),TRIM(E780),TRIM(F780)))</f>
        <v/>
      </c>
      <c r="E780">
        <f>IF($W780="","",INDEX('Per Line'!$E$2:$E$3001,$W780)&amp;"")</f>
        <v/>
      </c>
      <c r="F780">
        <f>IF($W780="","",INDEX('Per Line'!$D$2:$D$3001,$W780)&amp;"")</f>
        <v/>
      </c>
      <c r="G780">
        <f>IF($W780="","",INDEX('Per Line'!$F$2:$F$3001,$W780)&amp;"")</f>
        <v/>
      </c>
      <c r="H780">
        <f>IF($W780="","",INDEX('Per Line'!$G$2:$G$3001,$W780)&amp;"")</f>
        <v/>
      </c>
      <c r="I780">
        <f>IF($W780="","",INDEX('Per Line'!$H$2:$H$3001,$W780)&amp;"")</f>
        <v/>
      </c>
      <c r="J780">
        <f>IF($W780="","",INDEX('Per Line'!$I$2:$I$3001,$W780))</f>
        <v/>
      </c>
      <c r="K780" s="7">
        <f>IF($W780="","",J780*T780/100)</f>
        <v/>
      </c>
      <c r="L780" s="14">
        <f>IF($W780="","",INDEX('Per Line'!$V$2:$V$3001,$W780))</f>
        <v/>
      </c>
      <c r="M780">
        <f>IF($W780="","",IF(ISNUMBER(SEARCH("3&amp;12",SUBSTITUTE(F780," ",""))),Settings!$G$7,Settings!$C$7))</f>
        <v/>
      </c>
      <c r="N780" s="7">
        <f>IF($W780="","",SUMIFS('Per Line'!$O$2:$O$3001,'Per Line'!$B$2:$B$3001,$B780,'Per Line'!$AB$2:$AB$3001,0))</f>
        <v/>
      </c>
      <c r="O780" s="7">
        <f>IF($W780="","",N780*M780)</f>
        <v/>
      </c>
      <c r="P780">
        <f>IF($W780="","",IF(ISNUMBER(SEARCH("3&amp;12",SUBSTITUTE(F780," ",""))),Settings!$G$6,Settings!$C$6))</f>
        <v/>
      </c>
      <c r="Q780" s="7">
        <f>IF($W780="","",SUMIFS('Per Line'!$O$2:$O$3001,'Per Line'!$B$2:$B$3001,$B780,'Per Line'!$AB$2:$AB$3001,1))</f>
        <v/>
      </c>
      <c r="R780" s="7">
        <f>IF($W780="","",Q780*P780)</f>
        <v/>
      </c>
      <c r="S780" s="7">
        <f>IF($W780="","",R780+O780)</f>
        <v/>
      </c>
      <c r="T780" s="7">
        <f>IF($W780="","",V780-S780)</f>
        <v/>
      </c>
      <c r="U780" s="7">
        <f>IF($W780="","",V780-S780-K780)</f>
        <v/>
      </c>
      <c r="V780" s="7">
        <f>IF($W780="","",N780+Q780)</f>
        <v/>
      </c>
      <c r="W780" s="16">
        <f>IF(ROWS($W$2:$W780)&lt;=MAX('Per Line'!$AA$2:$AA$3001),MATCH(ROWS($W$2:$W780),'Per Line'!$AA$2:$AA$3001,0),"")</f>
        <v/>
      </c>
      <c r="X780">
        <f>IF($W780="","",D780&amp;"|"&amp;COUNTIF($D$2:$D780,D780))</f>
        <v/>
      </c>
    </row>
    <row r="781">
      <c r="A781" s="15" t="n"/>
      <c r="B781">
        <f>IF($W781="","",INDEX('Per Line'!$B$2:$B$3001,$W781)&amp;"")</f>
        <v/>
      </c>
      <c r="C781">
        <f>IF($W781="","",INDEX('Per Line'!$C$2:$C$3001,$W781)&amp;"")</f>
        <v/>
      </c>
      <c r="D781">
        <f>IF($W781="","",IF(OR(TRIM(E781)="Orient Insurance Company",TRIM(E781)="Allianz"),TRIM(E781),TRIM(F781)))</f>
        <v/>
      </c>
      <c r="E781">
        <f>IF($W781="","",INDEX('Per Line'!$E$2:$E$3001,$W781)&amp;"")</f>
        <v/>
      </c>
      <c r="F781">
        <f>IF($W781="","",INDEX('Per Line'!$D$2:$D$3001,$W781)&amp;"")</f>
        <v/>
      </c>
      <c r="G781">
        <f>IF($W781="","",INDEX('Per Line'!$F$2:$F$3001,$W781)&amp;"")</f>
        <v/>
      </c>
      <c r="H781">
        <f>IF($W781="","",INDEX('Per Line'!$G$2:$G$3001,$W781)&amp;"")</f>
        <v/>
      </c>
      <c r="I781">
        <f>IF($W781="","",INDEX('Per Line'!$H$2:$H$3001,$W781)&amp;"")</f>
        <v/>
      </c>
      <c r="J781">
        <f>IF($W781="","",INDEX('Per Line'!$I$2:$I$3001,$W781))</f>
        <v/>
      </c>
      <c r="K781" s="7">
        <f>IF($W781="","",J781*T781/100)</f>
        <v/>
      </c>
      <c r="L781" s="14">
        <f>IF($W781="","",INDEX('Per Line'!$V$2:$V$3001,$W781))</f>
        <v/>
      </c>
      <c r="M781">
        <f>IF($W781="","",IF(ISNUMBER(SEARCH("3&amp;12",SUBSTITUTE(F781," ",""))),Settings!$G$7,Settings!$C$7))</f>
        <v/>
      </c>
      <c r="N781" s="7">
        <f>IF($W781="","",SUMIFS('Per Line'!$O$2:$O$3001,'Per Line'!$B$2:$B$3001,$B781,'Per Line'!$AB$2:$AB$3001,0))</f>
        <v/>
      </c>
      <c r="O781" s="7">
        <f>IF($W781="","",N781*M781)</f>
        <v/>
      </c>
      <c r="P781">
        <f>IF($W781="","",IF(ISNUMBER(SEARCH("3&amp;12",SUBSTITUTE(F781," ",""))),Settings!$G$6,Settings!$C$6))</f>
        <v/>
      </c>
      <c r="Q781" s="7">
        <f>IF($W781="","",SUMIFS('Per Line'!$O$2:$O$3001,'Per Line'!$B$2:$B$3001,$B781,'Per Line'!$AB$2:$AB$3001,1))</f>
        <v/>
      </c>
      <c r="R781" s="7">
        <f>IF($W781="","",Q781*P781)</f>
        <v/>
      </c>
      <c r="S781" s="7">
        <f>IF($W781="","",R781+O781)</f>
        <v/>
      </c>
      <c r="T781" s="7">
        <f>IF($W781="","",V781-S781)</f>
        <v/>
      </c>
      <c r="U781" s="7">
        <f>IF($W781="","",V781-S781-K781)</f>
        <v/>
      </c>
      <c r="V781" s="7">
        <f>IF($W781="","",N781+Q781)</f>
        <v/>
      </c>
      <c r="W781" s="16">
        <f>IF(ROWS($W$2:$W781)&lt;=MAX('Per Line'!$AA$2:$AA$3001),MATCH(ROWS($W$2:$W781),'Per Line'!$AA$2:$AA$3001,0),"")</f>
        <v/>
      </c>
      <c r="X781">
        <f>IF($W781="","",D781&amp;"|"&amp;COUNTIF($D$2:$D781,D781))</f>
        <v/>
      </c>
    </row>
    <row r="782">
      <c r="A782" s="15" t="n"/>
      <c r="B782">
        <f>IF($W782="","",INDEX('Per Line'!$B$2:$B$3001,$W782)&amp;"")</f>
        <v/>
      </c>
      <c r="C782">
        <f>IF($W782="","",INDEX('Per Line'!$C$2:$C$3001,$W782)&amp;"")</f>
        <v/>
      </c>
      <c r="D782">
        <f>IF($W782="","",IF(OR(TRIM(E782)="Orient Insurance Company",TRIM(E782)="Allianz"),TRIM(E782),TRIM(F782)))</f>
        <v/>
      </c>
      <c r="E782">
        <f>IF($W782="","",INDEX('Per Line'!$E$2:$E$3001,$W782)&amp;"")</f>
        <v/>
      </c>
      <c r="F782">
        <f>IF($W782="","",INDEX('Per Line'!$D$2:$D$3001,$W782)&amp;"")</f>
        <v/>
      </c>
      <c r="G782">
        <f>IF($W782="","",INDEX('Per Line'!$F$2:$F$3001,$W782)&amp;"")</f>
        <v/>
      </c>
      <c r="H782">
        <f>IF($W782="","",INDEX('Per Line'!$G$2:$G$3001,$W782)&amp;"")</f>
        <v/>
      </c>
      <c r="I782">
        <f>IF($W782="","",INDEX('Per Line'!$H$2:$H$3001,$W782)&amp;"")</f>
        <v/>
      </c>
      <c r="J782">
        <f>IF($W782="","",INDEX('Per Line'!$I$2:$I$3001,$W782))</f>
        <v/>
      </c>
      <c r="K782" s="7">
        <f>IF($W782="","",J782*T782/100)</f>
        <v/>
      </c>
      <c r="L782" s="14">
        <f>IF($W782="","",INDEX('Per Line'!$V$2:$V$3001,$W782))</f>
        <v/>
      </c>
      <c r="M782">
        <f>IF($W782="","",IF(ISNUMBER(SEARCH("3&amp;12",SUBSTITUTE(F782," ",""))),Settings!$G$7,Settings!$C$7))</f>
        <v/>
      </c>
      <c r="N782" s="7">
        <f>IF($W782="","",SUMIFS('Per Line'!$O$2:$O$3001,'Per Line'!$B$2:$B$3001,$B782,'Per Line'!$AB$2:$AB$3001,0))</f>
        <v/>
      </c>
      <c r="O782" s="7">
        <f>IF($W782="","",N782*M782)</f>
        <v/>
      </c>
      <c r="P782">
        <f>IF($W782="","",IF(ISNUMBER(SEARCH("3&amp;12",SUBSTITUTE(F782," ",""))),Settings!$G$6,Settings!$C$6))</f>
        <v/>
      </c>
      <c r="Q782" s="7">
        <f>IF($W782="","",SUMIFS('Per Line'!$O$2:$O$3001,'Per Line'!$B$2:$B$3001,$B782,'Per Line'!$AB$2:$AB$3001,1))</f>
        <v/>
      </c>
      <c r="R782" s="7">
        <f>IF($W782="","",Q782*P782)</f>
        <v/>
      </c>
      <c r="S782" s="7">
        <f>IF($W782="","",R782+O782)</f>
        <v/>
      </c>
      <c r="T782" s="7">
        <f>IF($W782="","",V782-S782)</f>
        <v/>
      </c>
      <c r="U782" s="7">
        <f>IF($W782="","",V782-S782-K782)</f>
        <v/>
      </c>
      <c r="V782" s="7">
        <f>IF($W782="","",N782+Q782)</f>
        <v/>
      </c>
      <c r="W782" s="16">
        <f>IF(ROWS($W$2:$W782)&lt;=MAX('Per Line'!$AA$2:$AA$3001),MATCH(ROWS($W$2:$W782),'Per Line'!$AA$2:$AA$3001,0),"")</f>
        <v/>
      </c>
      <c r="X782">
        <f>IF($W782="","",D782&amp;"|"&amp;COUNTIF($D$2:$D782,D782))</f>
        <v/>
      </c>
    </row>
    <row r="783">
      <c r="A783" s="15" t="n"/>
      <c r="B783">
        <f>IF($W783="","",INDEX('Per Line'!$B$2:$B$3001,$W783)&amp;"")</f>
        <v/>
      </c>
      <c r="C783">
        <f>IF($W783="","",INDEX('Per Line'!$C$2:$C$3001,$W783)&amp;"")</f>
        <v/>
      </c>
      <c r="D783">
        <f>IF($W783="","",IF(OR(TRIM(E783)="Orient Insurance Company",TRIM(E783)="Allianz"),TRIM(E783),TRIM(F783)))</f>
        <v/>
      </c>
      <c r="E783">
        <f>IF($W783="","",INDEX('Per Line'!$E$2:$E$3001,$W783)&amp;"")</f>
        <v/>
      </c>
      <c r="F783">
        <f>IF($W783="","",INDEX('Per Line'!$D$2:$D$3001,$W783)&amp;"")</f>
        <v/>
      </c>
      <c r="G783">
        <f>IF($W783="","",INDEX('Per Line'!$F$2:$F$3001,$W783)&amp;"")</f>
        <v/>
      </c>
      <c r="H783">
        <f>IF($W783="","",INDEX('Per Line'!$G$2:$G$3001,$W783)&amp;"")</f>
        <v/>
      </c>
      <c r="I783">
        <f>IF($W783="","",INDEX('Per Line'!$H$2:$H$3001,$W783)&amp;"")</f>
        <v/>
      </c>
      <c r="J783">
        <f>IF($W783="","",INDEX('Per Line'!$I$2:$I$3001,$W783))</f>
        <v/>
      </c>
      <c r="K783" s="7">
        <f>IF($W783="","",J783*T783/100)</f>
        <v/>
      </c>
      <c r="L783" s="14">
        <f>IF($W783="","",INDEX('Per Line'!$V$2:$V$3001,$W783))</f>
        <v/>
      </c>
      <c r="M783">
        <f>IF($W783="","",IF(ISNUMBER(SEARCH("3&amp;12",SUBSTITUTE(F783," ",""))),Settings!$G$7,Settings!$C$7))</f>
        <v/>
      </c>
      <c r="N783" s="7">
        <f>IF($W783="","",SUMIFS('Per Line'!$O$2:$O$3001,'Per Line'!$B$2:$B$3001,$B783,'Per Line'!$AB$2:$AB$3001,0))</f>
        <v/>
      </c>
      <c r="O783" s="7">
        <f>IF($W783="","",N783*M783)</f>
        <v/>
      </c>
      <c r="P783">
        <f>IF($W783="","",IF(ISNUMBER(SEARCH("3&amp;12",SUBSTITUTE(F783," ",""))),Settings!$G$6,Settings!$C$6))</f>
        <v/>
      </c>
      <c r="Q783" s="7">
        <f>IF($W783="","",SUMIFS('Per Line'!$O$2:$O$3001,'Per Line'!$B$2:$B$3001,$B783,'Per Line'!$AB$2:$AB$3001,1))</f>
        <v/>
      </c>
      <c r="R783" s="7">
        <f>IF($W783="","",Q783*P783)</f>
        <v/>
      </c>
      <c r="S783" s="7">
        <f>IF($W783="","",R783+O783)</f>
        <v/>
      </c>
      <c r="T783" s="7">
        <f>IF($W783="","",V783-S783)</f>
        <v/>
      </c>
      <c r="U783" s="7">
        <f>IF($W783="","",V783-S783-K783)</f>
        <v/>
      </c>
      <c r="V783" s="7">
        <f>IF($W783="","",N783+Q783)</f>
        <v/>
      </c>
      <c r="W783" s="16">
        <f>IF(ROWS($W$2:$W783)&lt;=MAX('Per Line'!$AA$2:$AA$3001),MATCH(ROWS($W$2:$W783),'Per Line'!$AA$2:$AA$3001,0),"")</f>
        <v/>
      </c>
      <c r="X783">
        <f>IF($W783="","",D783&amp;"|"&amp;COUNTIF($D$2:$D783,D783))</f>
        <v/>
      </c>
    </row>
    <row r="784">
      <c r="A784" s="15" t="n"/>
      <c r="B784">
        <f>IF($W784="","",INDEX('Per Line'!$B$2:$B$3001,$W784)&amp;"")</f>
        <v/>
      </c>
      <c r="C784">
        <f>IF($W784="","",INDEX('Per Line'!$C$2:$C$3001,$W784)&amp;"")</f>
        <v/>
      </c>
      <c r="D784">
        <f>IF($W784="","",IF(OR(TRIM(E784)="Orient Insurance Company",TRIM(E784)="Allianz"),TRIM(E784),TRIM(F784)))</f>
        <v/>
      </c>
      <c r="E784">
        <f>IF($W784="","",INDEX('Per Line'!$E$2:$E$3001,$W784)&amp;"")</f>
        <v/>
      </c>
      <c r="F784">
        <f>IF($W784="","",INDEX('Per Line'!$D$2:$D$3001,$W784)&amp;"")</f>
        <v/>
      </c>
      <c r="G784">
        <f>IF($W784="","",INDEX('Per Line'!$F$2:$F$3001,$W784)&amp;"")</f>
        <v/>
      </c>
      <c r="H784">
        <f>IF($W784="","",INDEX('Per Line'!$G$2:$G$3001,$W784)&amp;"")</f>
        <v/>
      </c>
      <c r="I784">
        <f>IF($W784="","",INDEX('Per Line'!$H$2:$H$3001,$W784)&amp;"")</f>
        <v/>
      </c>
      <c r="J784">
        <f>IF($W784="","",INDEX('Per Line'!$I$2:$I$3001,$W784))</f>
        <v/>
      </c>
      <c r="K784" s="7">
        <f>IF($W784="","",J784*T784/100)</f>
        <v/>
      </c>
      <c r="L784" s="14">
        <f>IF($W784="","",INDEX('Per Line'!$V$2:$V$3001,$W784))</f>
        <v/>
      </c>
      <c r="M784">
        <f>IF($W784="","",IF(ISNUMBER(SEARCH("3&amp;12",SUBSTITUTE(F784," ",""))),Settings!$G$7,Settings!$C$7))</f>
        <v/>
      </c>
      <c r="N784" s="7">
        <f>IF($W784="","",SUMIFS('Per Line'!$O$2:$O$3001,'Per Line'!$B$2:$B$3001,$B784,'Per Line'!$AB$2:$AB$3001,0))</f>
        <v/>
      </c>
      <c r="O784" s="7">
        <f>IF($W784="","",N784*M784)</f>
        <v/>
      </c>
      <c r="P784">
        <f>IF($W784="","",IF(ISNUMBER(SEARCH("3&amp;12",SUBSTITUTE(F784," ",""))),Settings!$G$6,Settings!$C$6))</f>
        <v/>
      </c>
      <c r="Q784" s="7">
        <f>IF($W784="","",SUMIFS('Per Line'!$O$2:$O$3001,'Per Line'!$B$2:$B$3001,$B784,'Per Line'!$AB$2:$AB$3001,1))</f>
        <v/>
      </c>
      <c r="R784" s="7">
        <f>IF($W784="","",Q784*P784)</f>
        <v/>
      </c>
      <c r="S784" s="7">
        <f>IF($W784="","",R784+O784)</f>
        <v/>
      </c>
      <c r="T784" s="7">
        <f>IF($W784="","",V784-S784)</f>
        <v/>
      </c>
      <c r="U784" s="7">
        <f>IF($W784="","",V784-S784-K784)</f>
        <v/>
      </c>
      <c r="V784" s="7">
        <f>IF($W784="","",N784+Q784)</f>
        <v/>
      </c>
      <c r="W784" s="16">
        <f>IF(ROWS($W$2:$W784)&lt;=MAX('Per Line'!$AA$2:$AA$3001),MATCH(ROWS($W$2:$W784),'Per Line'!$AA$2:$AA$3001,0),"")</f>
        <v/>
      </c>
      <c r="X784">
        <f>IF($W784="","",D784&amp;"|"&amp;COUNTIF($D$2:$D784,D784))</f>
        <v/>
      </c>
    </row>
    <row r="785">
      <c r="A785" s="15" t="n"/>
      <c r="B785">
        <f>IF($W785="","",INDEX('Per Line'!$B$2:$B$3001,$W785)&amp;"")</f>
        <v/>
      </c>
      <c r="C785">
        <f>IF($W785="","",INDEX('Per Line'!$C$2:$C$3001,$W785)&amp;"")</f>
        <v/>
      </c>
      <c r="D785">
        <f>IF($W785="","",IF(OR(TRIM(E785)="Orient Insurance Company",TRIM(E785)="Allianz"),TRIM(E785),TRIM(F785)))</f>
        <v/>
      </c>
      <c r="E785">
        <f>IF($W785="","",INDEX('Per Line'!$E$2:$E$3001,$W785)&amp;"")</f>
        <v/>
      </c>
      <c r="F785">
        <f>IF($W785="","",INDEX('Per Line'!$D$2:$D$3001,$W785)&amp;"")</f>
        <v/>
      </c>
      <c r="G785">
        <f>IF($W785="","",INDEX('Per Line'!$F$2:$F$3001,$W785)&amp;"")</f>
        <v/>
      </c>
      <c r="H785">
        <f>IF($W785="","",INDEX('Per Line'!$G$2:$G$3001,$W785)&amp;"")</f>
        <v/>
      </c>
      <c r="I785">
        <f>IF($W785="","",INDEX('Per Line'!$H$2:$H$3001,$W785)&amp;"")</f>
        <v/>
      </c>
      <c r="J785">
        <f>IF($W785="","",INDEX('Per Line'!$I$2:$I$3001,$W785))</f>
        <v/>
      </c>
      <c r="K785" s="7">
        <f>IF($W785="","",J785*T785/100)</f>
        <v/>
      </c>
      <c r="L785" s="14">
        <f>IF($W785="","",INDEX('Per Line'!$V$2:$V$3001,$W785))</f>
        <v/>
      </c>
      <c r="M785">
        <f>IF($W785="","",IF(ISNUMBER(SEARCH("3&amp;12",SUBSTITUTE(F785," ",""))),Settings!$G$7,Settings!$C$7))</f>
        <v/>
      </c>
      <c r="N785" s="7">
        <f>IF($W785="","",SUMIFS('Per Line'!$O$2:$O$3001,'Per Line'!$B$2:$B$3001,$B785,'Per Line'!$AB$2:$AB$3001,0))</f>
        <v/>
      </c>
      <c r="O785" s="7">
        <f>IF($W785="","",N785*M785)</f>
        <v/>
      </c>
      <c r="P785">
        <f>IF($W785="","",IF(ISNUMBER(SEARCH("3&amp;12",SUBSTITUTE(F785," ",""))),Settings!$G$6,Settings!$C$6))</f>
        <v/>
      </c>
      <c r="Q785" s="7">
        <f>IF($W785="","",SUMIFS('Per Line'!$O$2:$O$3001,'Per Line'!$B$2:$B$3001,$B785,'Per Line'!$AB$2:$AB$3001,1))</f>
        <v/>
      </c>
      <c r="R785" s="7">
        <f>IF($W785="","",Q785*P785)</f>
        <v/>
      </c>
      <c r="S785" s="7">
        <f>IF($W785="","",R785+O785)</f>
        <v/>
      </c>
      <c r="T785" s="7">
        <f>IF($W785="","",V785-S785)</f>
        <v/>
      </c>
      <c r="U785" s="7">
        <f>IF($W785="","",V785-S785-K785)</f>
        <v/>
      </c>
      <c r="V785" s="7">
        <f>IF($W785="","",N785+Q785)</f>
        <v/>
      </c>
      <c r="W785" s="16">
        <f>IF(ROWS($W$2:$W785)&lt;=MAX('Per Line'!$AA$2:$AA$3001),MATCH(ROWS($W$2:$W785),'Per Line'!$AA$2:$AA$3001,0),"")</f>
        <v/>
      </c>
      <c r="X785">
        <f>IF($W785="","",D785&amp;"|"&amp;COUNTIF($D$2:$D785,D785))</f>
        <v/>
      </c>
    </row>
    <row r="786">
      <c r="A786" s="15" t="n"/>
      <c r="B786">
        <f>IF($W786="","",INDEX('Per Line'!$B$2:$B$3001,$W786)&amp;"")</f>
        <v/>
      </c>
      <c r="C786">
        <f>IF($W786="","",INDEX('Per Line'!$C$2:$C$3001,$W786)&amp;"")</f>
        <v/>
      </c>
      <c r="D786">
        <f>IF($W786="","",IF(OR(TRIM(E786)="Orient Insurance Company",TRIM(E786)="Allianz"),TRIM(E786),TRIM(F786)))</f>
        <v/>
      </c>
      <c r="E786">
        <f>IF($W786="","",INDEX('Per Line'!$E$2:$E$3001,$W786)&amp;"")</f>
        <v/>
      </c>
      <c r="F786">
        <f>IF($W786="","",INDEX('Per Line'!$D$2:$D$3001,$W786)&amp;"")</f>
        <v/>
      </c>
      <c r="G786">
        <f>IF($W786="","",INDEX('Per Line'!$F$2:$F$3001,$W786)&amp;"")</f>
        <v/>
      </c>
      <c r="H786">
        <f>IF($W786="","",INDEX('Per Line'!$G$2:$G$3001,$W786)&amp;"")</f>
        <v/>
      </c>
      <c r="I786">
        <f>IF($W786="","",INDEX('Per Line'!$H$2:$H$3001,$W786)&amp;"")</f>
        <v/>
      </c>
      <c r="J786">
        <f>IF($W786="","",INDEX('Per Line'!$I$2:$I$3001,$W786))</f>
        <v/>
      </c>
      <c r="K786" s="7">
        <f>IF($W786="","",J786*T786/100)</f>
        <v/>
      </c>
      <c r="L786" s="14">
        <f>IF($W786="","",INDEX('Per Line'!$V$2:$V$3001,$W786))</f>
        <v/>
      </c>
      <c r="M786">
        <f>IF($W786="","",IF(ISNUMBER(SEARCH("3&amp;12",SUBSTITUTE(F786," ",""))),Settings!$G$7,Settings!$C$7))</f>
        <v/>
      </c>
      <c r="N786" s="7">
        <f>IF($W786="","",SUMIFS('Per Line'!$O$2:$O$3001,'Per Line'!$B$2:$B$3001,$B786,'Per Line'!$AB$2:$AB$3001,0))</f>
        <v/>
      </c>
      <c r="O786" s="7">
        <f>IF($W786="","",N786*M786)</f>
        <v/>
      </c>
      <c r="P786">
        <f>IF($W786="","",IF(ISNUMBER(SEARCH("3&amp;12",SUBSTITUTE(F786," ",""))),Settings!$G$6,Settings!$C$6))</f>
        <v/>
      </c>
      <c r="Q786" s="7">
        <f>IF($W786="","",SUMIFS('Per Line'!$O$2:$O$3001,'Per Line'!$B$2:$B$3001,$B786,'Per Line'!$AB$2:$AB$3001,1))</f>
        <v/>
      </c>
      <c r="R786" s="7">
        <f>IF($W786="","",Q786*P786)</f>
        <v/>
      </c>
      <c r="S786" s="7">
        <f>IF($W786="","",R786+O786)</f>
        <v/>
      </c>
      <c r="T786" s="7">
        <f>IF($W786="","",V786-S786)</f>
        <v/>
      </c>
      <c r="U786" s="7">
        <f>IF($W786="","",V786-S786-K786)</f>
        <v/>
      </c>
      <c r="V786" s="7">
        <f>IF($W786="","",N786+Q786)</f>
        <v/>
      </c>
      <c r="W786" s="16">
        <f>IF(ROWS($W$2:$W786)&lt;=MAX('Per Line'!$AA$2:$AA$3001),MATCH(ROWS($W$2:$W786),'Per Line'!$AA$2:$AA$3001,0),"")</f>
        <v/>
      </c>
      <c r="X786">
        <f>IF($W786="","",D786&amp;"|"&amp;COUNTIF($D$2:$D786,D786))</f>
        <v/>
      </c>
    </row>
    <row r="787">
      <c r="A787" s="15" t="n"/>
      <c r="B787">
        <f>IF($W787="","",INDEX('Per Line'!$B$2:$B$3001,$W787)&amp;"")</f>
        <v/>
      </c>
      <c r="C787">
        <f>IF($W787="","",INDEX('Per Line'!$C$2:$C$3001,$W787)&amp;"")</f>
        <v/>
      </c>
      <c r="D787">
        <f>IF($W787="","",IF(OR(TRIM(E787)="Orient Insurance Company",TRIM(E787)="Allianz"),TRIM(E787),TRIM(F787)))</f>
        <v/>
      </c>
      <c r="E787">
        <f>IF($W787="","",INDEX('Per Line'!$E$2:$E$3001,$W787)&amp;"")</f>
        <v/>
      </c>
      <c r="F787">
        <f>IF($W787="","",INDEX('Per Line'!$D$2:$D$3001,$W787)&amp;"")</f>
        <v/>
      </c>
      <c r="G787">
        <f>IF($W787="","",INDEX('Per Line'!$F$2:$F$3001,$W787)&amp;"")</f>
        <v/>
      </c>
      <c r="H787">
        <f>IF($W787="","",INDEX('Per Line'!$G$2:$G$3001,$W787)&amp;"")</f>
        <v/>
      </c>
      <c r="I787">
        <f>IF($W787="","",INDEX('Per Line'!$H$2:$H$3001,$W787)&amp;"")</f>
        <v/>
      </c>
      <c r="J787">
        <f>IF($W787="","",INDEX('Per Line'!$I$2:$I$3001,$W787))</f>
        <v/>
      </c>
      <c r="K787" s="7">
        <f>IF($W787="","",J787*T787/100)</f>
        <v/>
      </c>
      <c r="L787" s="14">
        <f>IF($W787="","",INDEX('Per Line'!$V$2:$V$3001,$W787))</f>
        <v/>
      </c>
      <c r="M787">
        <f>IF($W787="","",IF(ISNUMBER(SEARCH("3&amp;12",SUBSTITUTE(F787," ",""))),Settings!$G$7,Settings!$C$7))</f>
        <v/>
      </c>
      <c r="N787" s="7">
        <f>IF($W787="","",SUMIFS('Per Line'!$O$2:$O$3001,'Per Line'!$B$2:$B$3001,$B787,'Per Line'!$AB$2:$AB$3001,0))</f>
        <v/>
      </c>
      <c r="O787" s="7">
        <f>IF($W787="","",N787*M787)</f>
        <v/>
      </c>
      <c r="P787">
        <f>IF($W787="","",IF(ISNUMBER(SEARCH("3&amp;12",SUBSTITUTE(F787," ",""))),Settings!$G$6,Settings!$C$6))</f>
        <v/>
      </c>
      <c r="Q787" s="7">
        <f>IF($W787="","",SUMIFS('Per Line'!$O$2:$O$3001,'Per Line'!$B$2:$B$3001,$B787,'Per Line'!$AB$2:$AB$3001,1))</f>
        <v/>
      </c>
      <c r="R787" s="7">
        <f>IF($W787="","",Q787*P787)</f>
        <v/>
      </c>
      <c r="S787" s="7">
        <f>IF($W787="","",R787+O787)</f>
        <v/>
      </c>
      <c r="T787" s="7">
        <f>IF($W787="","",V787-S787)</f>
        <v/>
      </c>
      <c r="U787" s="7">
        <f>IF($W787="","",V787-S787-K787)</f>
        <v/>
      </c>
      <c r="V787" s="7">
        <f>IF($W787="","",N787+Q787)</f>
        <v/>
      </c>
      <c r="W787" s="16">
        <f>IF(ROWS($W$2:$W787)&lt;=MAX('Per Line'!$AA$2:$AA$3001),MATCH(ROWS($W$2:$W787),'Per Line'!$AA$2:$AA$3001,0),"")</f>
        <v/>
      </c>
      <c r="X787">
        <f>IF($W787="","",D787&amp;"|"&amp;COUNTIF($D$2:$D787,D787))</f>
        <v/>
      </c>
    </row>
    <row r="788">
      <c r="A788" s="15" t="n"/>
      <c r="B788">
        <f>IF($W788="","",INDEX('Per Line'!$B$2:$B$3001,$W788)&amp;"")</f>
        <v/>
      </c>
      <c r="C788">
        <f>IF($W788="","",INDEX('Per Line'!$C$2:$C$3001,$W788)&amp;"")</f>
        <v/>
      </c>
      <c r="D788">
        <f>IF($W788="","",IF(OR(TRIM(E788)="Orient Insurance Company",TRIM(E788)="Allianz"),TRIM(E788),TRIM(F788)))</f>
        <v/>
      </c>
      <c r="E788">
        <f>IF($W788="","",INDEX('Per Line'!$E$2:$E$3001,$W788)&amp;"")</f>
        <v/>
      </c>
      <c r="F788">
        <f>IF($W788="","",INDEX('Per Line'!$D$2:$D$3001,$W788)&amp;"")</f>
        <v/>
      </c>
      <c r="G788">
        <f>IF($W788="","",INDEX('Per Line'!$F$2:$F$3001,$W788)&amp;"")</f>
        <v/>
      </c>
      <c r="H788">
        <f>IF($W788="","",INDEX('Per Line'!$G$2:$G$3001,$W788)&amp;"")</f>
        <v/>
      </c>
      <c r="I788">
        <f>IF($W788="","",INDEX('Per Line'!$H$2:$H$3001,$W788)&amp;"")</f>
        <v/>
      </c>
      <c r="J788">
        <f>IF($W788="","",INDEX('Per Line'!$I$2:$I$3001,$W788))</f>
        <v/>
      </c>
      <c r="K788" s="7">
        <f>IF($W788="","",J788*T788/100)</f>
        <v/>
      </c>
      <c r="L788" s="14">
        <f>IF($W788="","",INDEX('Per Line'!$V$2:$V$3001,$W788))</f>
        <v/>
      </c>
      <c r="M788">
        <f>IF($W788="","",IF(ISNUMBER(SEARCH("3&amp;12",SUBSTITUTE(F788," ",""))),Settings!$G$7,Settings!$C$7))</f>
        <v/>
      </c>
      <c r="N788" s="7">
        <f>IF($W788="","",SUMIFS('Per Line'!$O$2:$O$3001,'Per Line'!$B$2:$B$3001,$B788,'Per Line'!$AB$2:$AB$3001,0))</f>
        <v/>
      </c>
      <c r="O788" s="7">
        <f>IF($W788="","",N788*M788)</f>
        <v/>
      </c>
      <c r="P788">
        <f>IF($W788="","",IF(ISNUMBER(SEARCH("3&amp;12",SUBSTITUTE(F788," ",""))),Settings!$G$6,Settings!$C$6))</f>
        <v/>
      </c>
      <c r="Q788" s="7">
        <f>IF($W788="","",SUMIFS('Per Line'!$O$2:$O$3001,'Per Line'!$B$2:$B$3001,$B788,'Per Line'!$AB$2:$AB$3001,1))</f>
        <v/>
      </c>
      <c r="R788" s="7">
        <f>IF($W788="","",Q788*P788)</f>
        <v/>
      </c>
      <c r="S788" s="7">
        <f>IF($W788="","",R788+O788)</f>
        <v/>
      </c>
      <c r="T788" s="7">
        <f>IF($W788="","",V788-S788)</f>
        <v/>
      </c>
      <c r="U788" s="7">
        <f>IF($W788="","",V788-S788-K788)</f>
        <v/>
      </c>
      <c r="V788" s="7">
        <f>IF($W788="","",N788+Q788)</f>
        <v/>
      </c>
      <c r="W788" s="16">
        <f>IF(ROWS($W$2:$W788)&lt;=MAX('Per Line'!$AA$2:$AA$3001),MATCH(ROWS($W$2:$W788),'Per Line'!$AA$2:$AA$3001,0),"")</f>
        <v/>
      </c>
      <c r="X788">
        <f>IF($W788="","",D788&amp;"|"&amp;COUNTIF($D$2:$D788,D788))</f>
        <v/>
      </c>
    </row>
    <row r="789">
      <c r="A789" s="15" t="n"/>
      <c r="B789">
        <f>IF($W789="","",INDEX('Per Line'!$B$2:$B$3001,$W789)&amp;"")</f>
        <v/>
      </c>
      <c r="C789">
        <f>IF($W789="","",INDEX('Per Line'!$C$2:$C$3001,$W789)&amp;"")</f>
        <v/>
      </c>
      <c r="D789">
        <f>IF($W789="","",IF(OR(TRIM(E789)="Orient Insurance Company",TRIM(E789)="Allianz"),TRIM(E789),TRIM(F789)))</f>
        <v/>
      </c>
      <c r="E789">
        <f>IF($W789="","",INDEX('Per Line'!$E$2:$E$3001,$W789)&amp;"")</f>
        <v/>
      </c>
      <c r="F789">
        <f>IF($W789="","",INDEX('Per Line'!$D$2:$D$3001,$W789)&amp;"")</f>
        <v/>
      </c>
      <c r="G789">
        <f>IF($W789="","",INDEX('Per Line'!$F$2:$F$3001,$W789)&amp;"")</f>
        <v/>
      </c>
      <c r="H789">
        <f>IF($W789="","",INDEX('Per Line'!$G$2:$G$3001,$W789)&amp;"")</f>
        <v/>
      </c>
      <c r="I789">
        <f>IF($W789="","",INDEX('Per Line'!$H$2:$H$3001,$W789)&amp;"")</f>
        <v/>
      </c>
      <c r="J789">
        <f>IF($W789="","",INDEX('Per Line'!$I$2:$I$3001,$W789))</f>
        <v/>
      </c>
      <c r="K789" s="7">
        <f>IF($W789="","",J789*T789/100)</f>
        <v/>
      </c>
      <c r="L789" s="14">
        <f>IF($W789="","",INDEX('Per Line'!$V$2:$V$3001,$W789))</f>
        <v/>
      </c>
      <c r="M789">
        <f>IF($W789="","",IF(ISNUMBER(SEARCH("3&amp;12",SUBSTITUTE(F789," ",""))),Settings!$G$7,Settings!$C$7))</f>
        <v/>
      </c>
      <c r="N789" s="7">
        <f>IF($W789="","",SUMIFS('Per Line'!$O$2:$O$3001,'Per Line'!$B$2:$B$3001,$B789,'Per Line'!$AB$2:$AB$3001,0))</f>
        <v/>
      </c>
      <c r="O789" s="7">
        <f>IF($W789="","",N789*M789)</f>
        <v/>
      </c>
      <c r="P789">
        <f>IF($W789="","",IF(ISNUMBER(SEARCH("3&amp;12",SUBSTITUTE(F789," ",""))),Settings!$G$6,Settings!$C$6))</f>
        <v/>
      </c>
      <c r="Q789" s="7">
        <f>IF($W789="","",SUMIFS('Per Line'!$O$2:$O$3001,'Per Line'!$B$2:$B$3001,$B789,'Per Line'!$AB$2:$AB$3001,1))</f>
        <v/>
      </c>
      <c r="R789" s="7">
        <f>IF($W789="","",Q789*P789)</f>
        <v/>
      </c>
      <c r="S789" s="7">
        <f>IF($W789="","",R789+O789)</f>
        <v/>
      </c>
      <c r="T789" s="7">
        <f>IF($W789="","",V789-S789)</f>
        <v/>
      </c>
      <c r="U789" s="7">
        <f>IF($W789="","",V789-S789-K789)</f>
        <v/>
      </c>
      <c r="V789" s="7">
        <f>IF($W789="","",N789+Q789)</f>
        <v/>
      </c>
      <c r="W789" s="16">
        <f>IF(ROWS($W$2:$W789)&lt;=MAX('Per Line'!$AA$2:$AA$3001),MATCH(ROWS($W$2:$W789),'Per Line'!$AA$2:$AA$3001,0),"")</f>
        <v/>
      </c>
      <c r="X789">
        <f>IF($W789="","",D789&amp;"|"&amp;COUNTIF($D$2:$D789,D789))</f>
        <v/>
      </c>
    </row>
    <row r="790">
      <c r="A790" s="15" t="n"/>
      <c r="B790">
        <f>IF($W790="","",INDEX('Per Line'!$B$2:$B$3001,$W790)&amp;"")</f>
        <v/>
      </c>
      <c r="C790">
        <f>IF($W790="","",INDEX('Per Line'!$C$2:$C$3001,$W790)&amp;"")</f>
        <v/>
      </c>
      <c r="D790">
        <f>IF($W790="","",IF(OR(TRIM(E790)="Orient Insurance Company",TRIM(E790)="Allianz"),TRIM(E790),TRIM(F790)))</f>
        <v/>
      </c>
      <c r="E790">
        <f>IF($W790="","",INDEX('Per Line'!$E$2:$E$3001,$W790)&amp;"")</f>
        <v/>
      </c>
      <c r="F790">
        <f>IF($W790="","",INDEX('Per Line'!$D$2:$D$3001,$W790)&amp;"")</f>
        <v/>
      </c>
      <c r="G790">
        <f>IF($W790="","",INDEX('Per Line'!$F$2:$F$3001,$W790)&amp;"")</f>
        <v/>
      </c>
      <c r="H790">
        <f>IF($W790="","",INDEX('Per Line'!$G$2:$G$3001,$W790)&amp;"")</f>
        <v/>
      </c>
      <c r="I790">
        <f>IF($W790="","",INDEX('Per Line'!$H$2:$H$3001,$W790)&amp;"")</f>
        <v/>
      </c>
      <c r="J790">
        <f>IF($W790="","",INDEX('Per Line'!$I$2:$I$3001,$W790))</f>
        <v/>
      </c>
      <c r="K790" s="7">
        <f>IF($W790="","",J790*T790/100)</f>
        <v/>
      </c>
      <c r="L790" s="14">
        <f>IF($W790="","",INDEX('Per Line'!$V$2:$V$3001,$W790))</f>
        <v/>
      </c>
      <c r="M790">
        <f>IF($W790="","",IF(ISNUMBER(SEARCH("3&amp;12",SUBSTITUTE(F790," ",""))),Settings!$G$7,Settings!$C$7))</f>
        <v/>
      </c>
      <c r="N790" s="7">
        <f>IF($W790="","",SUMIFS('Per Line'!$O$2:$O$3001,'Per Line'!$B$2:$B$3001,$B790,'Per Line'!$AB$2:$AB$3001,0))</f>
        <v/>
      </c>
      <c r="O790" s="7">
        <f>IF($W790="","",N790*M790)</f>
        <v/>
      </c>
      <c r="P790">
        <f>IF($W790="","",IF(ISNUMBER(SEARCH("3&amp;12",SUBSTITUTE(F790," ",""))),Settings!$G$6,Settings!$C$6))</f>
        <v/>
      </c>
      <c r="Q790" s="7">
        <f>IF($W790="","",SUMIFS('Per Line'!$O$2:$O$3001,'Per Line'!$B$2:$B$3001,$B790,'Per Line'!$AB$2:$AB$3001,1))</f>
        <v/>
      </c>
      <c r="R790" s="7">
        <f>IF($W790="","",Q790*P790)</f>
        <v/>
      </c>
      <c r="S790" s="7">
        <f>IF($W790="","",R790+O790)</f>
        <v/>
      </c>
      <c r="T790" s="7">
        <f>IF($W790="","",V790-S790)</f>
        <v/>
      </c>
      <c r="U790" s="7">
        <f>IF($W790="","",V790-S790-K790)</f>
        <v/>
      </c>
      <c r="V790" s="7">
        <f>IF($W790="","",N790+Q790)</f>
        <v/>
      </c>
      <c r="W790" s="16">
        <f>IF(ROWS($W$2:$W790)&lt;=MAX('Per Line'!$AA$2:$AA$3001),MATCH(ROWS($W$2:$W790),'Per Line'!$AA$2:$AA$3001,0),"")</f>
        <v/>
      </c>
      <c r="X790">
        <f>IF($W790="","",D790&amp;"|"&amp;COUNTIF($D$2:$D790,D790))</f>
        <v/>
      </c>
    </row>
    <row r="791">
      <c r="A791" s="15" t="n"/>
      <c r="B791">
        <f>IF($W791="","",INDEX('Per Line'!$B$2:$B$3001,$W791)&amp;"")</f>
        <v/>
      </c>
      <c r="C791">
        <f>IF($W791="","",INDEX('Per Line'!$C$2:$C$3001,$W791)&amp;"")</f>
        <v/>
      </c>
      <c r="D791">
        <f>IF($W791="","",IF(OR(TRIM(E791)="Orient Insurance Company",TRIM(E791)="Allianz"),TRIM(E791),TRIM(F791)))</f>
        <v/>
      </c>
      <c r="E791">
        <f>IF($W791="","",INDEX('Per Line'!$E$2:$E$3001,$W791)&amp;"")</f>
        <v/>
      </c>
      <c r="F791">
        <f>IF($W791="","",INDEX('Per Line'!$D$2:$D$3001,$W791)&amp;"")</f>
        <v/>
      </c>
      <c r="G791">
        <f>IF($W791="","",INDEX('Per Line'!$F$2:$F$3001,$W791)&amp;"")</f>
        <v/>
      </c>
      <c r="H791">
        <f>IF($W791="","",INDEX('Per Line'!$G$2:$G$3001,$W791)&amp;"")</f>
        <v/>
      </c>
      <c r="I791">
        <f>IF($W791="","",INDEX('Per Line'!$H$2:$H$3001,$W791)&amp;"")</f>
        <v/>
      </c>
      <c r="J791">
        <f>IF($W791="","",INDEX('Per Line'!$I$2:$I$3001,$W791))</f>
        <v/>
      </c>
      <c r="K791" s="7">
        <f>IF($W791="","",J791*T791/100)</f>
        <v/>
      </c>
      <c r="L791" s="14">
        <f>IF($W791="","",INDEX('Per Line'!$V$2:$V$3001,$W791))</f>
        <v/>
      </c>
      <c r="M791">
        <f>IF($W791="","",IF(ISNUMBER(SEARCH("3&amp;12",SUBSTITUTE(F791," ",""))),Settings!$G$7,Settings!$C$7))</f>
        <v/>
      </c>
      <c r="N791" s="7">
        <f>IF($W791="","",SUMIFS('Per Line'!$O$2:$O$3001,'Per Line'!$B$2:$B$3001,$B791,'Per Line'!$AB$2:$AB$3001,0))</f>
        <v/>
      </c>
      <c r="O791" s="7">
        <f>IF($W791="","",N791*M791)</f>
        <v/>
      </c>
      <c r="P791">
        <f>IF($W791="","",IF(ISNUMBER(SEARCH("3&amp;12",SUBSTITUTE(F791," ",""))),Settings!$G$6,Settings!$C$6))</f>
        <v/>
      </c>
      <c r="Q791" s="7">
        <f>IF($W791="","",SUMIFS('Per Line'!$O$2:$O$3001,'Per Line'!$B$2:$B$3001,$B791,'Per Line'!$AB$2:$AB$3001,1))</f>
        <v/>
      </c>
      <c r="R791" s="7">
        <f>IF($W791="","",Q791*P791)</f>
        <v/>
      </c>
      <c r="S791" s="7">
        <f>IF($W791="","",R791+O791)</f>
        <v/>
      </c>
      <c r="T791" s="7">
        <f>IF($W791="","",V791-S791)</f>
        <v/>
      </c>
      <c r="U791" s="7">
        <f>IF($W791="","",V791-S791-K791)</f>
        <v/>
      </c>
      <c r="V791" s="7">
        <f>IF($W791="","",N791+Q791)</f>
        <v/>
      </c>
      <c r="W791" s="16">
        <f>IF(ROWS($W$2:$W791)&lt;=MAX('Per Line'!$AA$2:$AA$3001),MATCH(ROWS($W$2:$W791),'Per Line'!$AA$2:$AA$3001,0),"")</f>
        <v/>
      </c>
      <c r="X791">
        <f>IF($W791="","",D791&amp;"|"&amp;COUNTIF($D$2:$D791,D791))</f>
        <v/>
      </c>
    </row>
    <row r="792">
      <c r="A792" s="15" t="n"/>
      <c r="B792">
        <f>IF($W792="","",INDEX('Per Line'!$B$2:$B$3001,$W792)&amp;"")</f>
        <v/>
      </c>
      <c r="C792">
        <f>IF($W792="","",INDEX('Per Line'!$C$2:$C$3001,$W792)&amp;"")</f>
        <v/>
      </c>
      <c r="D792">
        <f>IF($W792="","",IF(OR(TRIM(E792)="Orient Insurance Company",TRIM(E792)="Allianz"),TRIM(E792),TRIM(F792)))</f>
        <v/>
      </c>
      <c r="E792">
        <f>IF($W792="","",INDEX('Per Line'!$E$2:$E$3001,$W792)&amp;"")</f>
        <v/>
      </c>
      <c r="F792">
        <f>IF($W792="","",INDEX('Per Line'!$D$2:$D$3001,$W792)&amp;"")</f>
        <v/>
      </c>
      <c r="G792">
        <f>IF($W792="","",INDEX('Per Line'!$F$2:$F$3001,$W792)&amp;"")</f>
        <v/>
      </c>
      <c r="H792">
        <f>IF($W792="","",INDEX('Per Line'!$G$2:$G$3001,$W792)&amp;"")</f>
        <v/>
      </c>
      <c r="I792">
        <f>IF($W792="","",INDEX('Per Line'!$H$2:$H$3001,$W792)&amp;"")</f>
        <v/>
      </c>
      <c r="J792">
        <f>IF($W792="","",INDEX('Per Line'!$I$2:$I$3001,$W792))</f>
        <v/>
      </c>
      <c r="K792" s="7">
        <f>IF($W792="","",J792*T792/100)</f>
        <v/>
      </c>
      <c r="L792" s="14">
        <f>IF($W792="","",INDEX('Per Line'!$V$2:$V$3001,$W792))</f>
        <v/>
      </c>
      <c r="M792">
        <f>IF($W792="","",IF(ISNUMBER(SEARCH("3&amp;12",SUBSTITUTE(F792," ",""))),Settings!$G$7,Settings!$C$7))</f>
        <v/>
      </c>
      <c r="N792" s="7">
        <f>IF($W792="","",SUMIFS('Per Line'!$O$2:$O$3001,'Per Line'!$B$2:$B$3001,$B792,'Per Line'!$AB$2:$AB$3001,0))</f>
        <v/>
      </c>
      <c r="O792" s="7">
        <f>IF($W792="","",N792*M792)</f>
        <v/>
      </c>
      <c r="P792">
        <f>IF($W792="","",IF(ISNUMBER(SEARCH("3&amp;12",SUBSTITUTE(F792," ",""))),Settings!$G$6,Settings!$C$6))</f>
        <v/>
      </c>
      <c r="Q792" s="7">
        <f>IF($W792="","",SUMIFS('Per Line'!$O$2:$O$3001,'Per Line'!$B$2:$B$3001,$B792,'Per Line'!$AB$2:$AB$3001,1))</f>
        <v/>
      </c>
      <c r="R792" s="7">
        <f>IF($W792="","",Q792*P792)</f>
        <v/>
      </c>
      <c r="S792" s="7">
        <f>IF($W792="","",R792+O792)</f>
        <v/>
      </c>
      <c r="T792" s="7">
        <f>IF($W792="","",V792-S792)</f>
        <v/>
      </c>
      <c r="U792" s="7">
        <f>IF($W792="","",V792-S792-K792)</f>
        <v/>
      </c>
      <c r="V792" s="7">
        <f>IF($W792="","",N792+Q792)</f>
        <v/>
      </c>
      <c r="W792" s="16">
        <f>IF(ROWS($W$2:$W792)&lt;=MAX('Per Line'!$AA$2:$AA$3001),MATCH(ROWS($W$2:$W792),'Per Line'!$AA$2:$AA$3001,0),"")</f>
        <v/>
      </c>
      <c r="X792">
        <f>IF($W792="","",D792&amp;"|"&amp;COUNTIF($D$2:$D792,D792))</f>
        <v/>
      </c>
    </row>
    <row r="793">
      <c r="A793" s="15" t="n"/>
      <c r="B793">
        <f>IF($W793="","",INDEX('Per Line'!$B$2:$B$3001,$W793)&amp;"")</f>
        <v/>
      </c>
      <c r="C793">
        <f>IF($W793="","",INDEX('Per Line'!$C$2:$C$3001,$W793)&amp;"")</f>
        <v/>
      </c>
      <c r="D793">
        <f>IF($W793="","",IF(OR(TRIM(E793)="Orient Insurance Company",TRIM(E793)="Allianz"),TRIM(E793),TRIM(F793)))</f>
        <v/>
      </c>
      <c r="E793">
        <f>IF($W793="","",INDEX('Per Line'!$E$2:$E$3001,$W793)&amp;"")</f>
        <v/>
      </c>
      <c r="F793">
        <f>IF($W793="","",INDEX('Per Line'!$D$2:$D$3001,$W793)&amp;"")</f>
        <v/>
      </c>
      <c r="G793">
        <f>IF($W793="","",INDEX('Per Line'!$F$2:$F$3001,$W793)&amp;"")</f>
        <v/>
      </c>
      <c r="H793">
        <f>IF($W793="","",INDEX('Per Line'!$G$2:$G$3001,$W793)&amp;"")</f>
        <v/>
      </c>
      <c r="I793">
        <f>IF($W793="","",INDEX('Per Line'!$H$2:$H$3001,$W793)&amp;"")</f>
        <v/>
      </c>
      <c r="J793">
        <f>IF($W793="","",INDEX('Per Line'!$I$2:$I$3001,$W793))</f>
        <v/>
      </c>
      <c r="K793" s="7">
        <f>IF($W793="","",J793*T793/100)</f>
        <v/>
      </c>
      <c r="L793" s="14">
        <f>IF($W793="","",INDEX('Per Line'!$V$2:$V$3001,$W793))</f>
        <v/>
      </c>
      <c r="M793">
        <f>IF($W793="","",IF(ISNUMBER(SEARCH("3&amp;12",SUBSTITUTE(F793," ",""))),Settings!$G$7,Settings!$C$7))</f>
        <v/>
      </c>
      <c r="N793" s="7">
        <f>IF($W793="","",SUMIFS('Per Line'!$O$2:$O$3001,'Per Line'!$B$2:$B$3001,$B793,'Per Line'!$AB$2:$AB$3001,0))</f>
        <v/>
      </c>
      <c r="O793" s="7">
        <f>IF($W793="","",N793*M793)</f>
        <v/>
      </c>
      <c r="P793">
        <f>IF($W793="","",IF(ISNUMBER(SEARCH("3&amp;12",SUBSTITUTE(F793," ",""))),Settings!$G$6,Settings!$C$6))</f>
        <v/>
      </c>
      <c r="Q793" s="7">
        <f>IF($W793="","",SUMIFS('Per Line'!$O$2:$O$3001,'Per Line'!$B$2:$B$3001,$B793,'Per Line'!$AB$2:$AB$3001,1))</f>
        <v/>
      </c>
      <c r="R793" s="7">
        <f>IF($W793="","",Q793*P793)</f>
        <v/>
      </c>
      <c r="S793" s="7">
        <f>IF($W793="","",R793+O793)</f>
        <v/>
      </c>
      <c r="T793" s="7">
        <f>IF($W793="","",V793-S793)</f>
        <v/>
      </c>
      <c r="U793" s="7">
        <f>IF($W793="","",V793-S793-K793)</f>
        <v/>
      </c>
      <c r="V793" s="7">
        <f>IF($W793="","",N793+Q793)</f>
        <v/>
      </c>
      <c r="W793" s="16">
        <f>IF(ROWS($W$2:$W793)&lt;=MAX('Per Line'!$AA$2:$AA$3001),MATCH(ROWS($W$2:$W793),'Per Line'!$AA$2:$AA$3001,0),"")</f>
        <v/>
      </c>
      <c r="X793">
        <f>IF($W793="","",D793&amp;"|"&amp;COUNTIF($D$2:$D793,D793))</f>
        <v/>
      </c>
    </row>
    <row r="794">
      <c r="A794" s="15" t="n"/>
      <c r="B794">
        <f>IF($W794="","",INDEX('Per Line'!$B$2:$B$3001,$W794)&amp;"")</f>
        <v/>
      </c>
      <c r="C794">
        <f>IF($W794="","",INDEX('Per Line'!$C$2:$C$3001,$W794)&amp;"")</f>
        <v/>
      </c>
      <c r="D794">
        <f>IF($W794="","",IF(OR(TRIM(E794)="Orient Insurance Company",TRIM(E794)="Allianz"),TRIM(E794),TRIM(F794)))</f>
        <v/>
      </c>
      <c r="E794">
        <f>IF($W794="","",INDEX('Per Line'!$E$2:$E$3001,$W794)&amp;"")</f>
        <v/>
      </c>
      <c r="F794">
        <f>IF($W794="","",INDEX('Per Line'!$D$2:$D$3001,$W794)&amp;"")</f>
        <v/>
      </c>
      <c r="G794">
        <f>IF($W794="","",INDEX('Per Line'!$F$2:$F$3001,$W794)&amp;"")</f>
        <v/>
      </c>
      <c r="H794">
        <f>IF($W794="","",INDEX('Per Line'!$G$2:$G$3001,$W794)&amp;"")</f>
        <v/>
      </c>
      <c r="I794">
        <f>IF($W794="","",INDEX('Per Line'!$H$2:$H$3001,$W794)&amp;"")</f>
        <v/>
      </c>
      <c r="J794">
        <f>IF($W794="","",INDEX('Per Line'!$I$2:$I$3001,$W794))</f>
        <v/>
      </c>
      <c r="K794" s="7">
        <f>IF($W794="","",J794*T794/100)</f>
        <v/>
      </c>
      <c r="L794" s="14">
        <f>IF($W794="","",INDEX('Per Line'!$V$2:$V$3001,$W794))</f>
        <v/>
      </c>
      <c r="M794">
        <f>IF($W794="","",IF(ISNUMBER(SEARCH("3&amp;12",SUBSTITUTE(F794," ",""))),Settings!$G$7,Settings!$C$7))</f>
        <v/>
      </c>
      <c r="N794" s="7">
        <f>IF($W794="","",SUMIFS('Per Line'!$O$2:$O$3001,'Per Line'!$B$2:$B$3001,$B794,'Per Line'!$AB$2:$AB$3001,0))</f>
        <v/>
      </c>
      <c r="O794" s="7">
        <f>IF($W794="","",N794*M794)</f>
        <v/>
      </c>
      <c r="P794">
        <f>IF($W794="","",IF(ISNUMBER(SEARCH("3&amp;12",SUBSTITUTE(F794," ",""))),Settings!$G$6,Settings!$C$6))</f>
        <v/>
      </c>
      <c r="Q794" s="7">
        <f>IF($W794="","",SUMIFS('Per Line'!$O$2:$O$3001,'Per Line'!$B$2:$B$3001,$B794,'Per Line'!$AB$2:$AB$3001,1))</f>
        <v/>
      </c>
      <c r="R794" s="7">
        <f>IF($W794="","",Q794*P794)</f>
        <v/>
      </c>
      <c r="S794" s="7">
        <f>IF($W794="","",R794+O794)</f>
        <v/>
      </c>
      <c r="T794" s="7">
        <f>IF($W794="","",V794-S794)</f>
        <v/>
      </c>
      <c r="U794" s="7">
        <f>IF($W794="","",V794-S794-K794)</f>
        <v/>
      </c>
      <c r="V794" s="7">
        <f>IF($W794="","",N794+Q794)</f>
        <v/>
      </c>
      <c r="W794" s="16">
        <f>IF(ROWS($W$2:$W794)&lt;=MAX('Per Line'!$AA$2:$AA$3001),MATCH(ROWS($W$2:$W794),'Per Line'!$AA$2:$AA$3001,0),"")</f>
        <v/>
      </c>
      <c r="X794">
        <f>IF($W794="","",D794&amp;"|"&amp;COUNTIF($D$2:$D794,D794))</f>
        <v/>
      </c>
    </row>
    <row r="795">
      <c r="A795" s="15" t="n"/>
      <c r="B795">
        <f>IF($W795="","",INDEX('Per Line'!$B$2:$B$3001,$W795)&amp;"")</f>
        <v/>
      </c>
      <c r="C795">
        <f>IF($W795="","",INDEX('Per Line'!$C$2:$C$3001,$W795)&amp;"")</f>
        <v/>
      </c>
      <c r="D795">
        <f>IF($W795="","",IF(OR(TRIM(E795)="Orient Insurance Company",TRIM(E795)="Allianz"),TRIM(E795),TRIM(F795)))</f>
        <v/>
      </c>
      <c r="E795">
        <f>IF($W795="","",INDEX('Per Line'!$E$2:$E$3001,$W795)&amp;"")</f>
        <v/>
      </c>
      <c r="F795">
        <f>IF($W795="","",INDEX('Per Line'!$D$2:$D$3001,$W795)&amp;"")</f>
        <v/>
      </c>
      <c r="G795">
        <f>IF($W795="","",INDEX('Per Line'!$F$2:$F$3001,$W795)&amp;"")</f>
        <v/>
      </c>
      <c r="H795">
        <f>IF($W795="","",INDEX('Per Line'!$G$2:$G$3001,$W795)&amp;"")</f>
        <v/>
      </c>
      <c r="I795">
        <f>IF($W795="","",INDEX('Per Line'!$H$2:$H$3001,$W795)&amp;"")</f>
        <v/>
      </c>
      <c r="J795">
        <f>IF($W795="","",INDEX('Per Line'!$I$2:$I$3001,$W795))</f>
        <v/>
      </c>
      <c r="K795" s="7">
        <f>IF($W795="","",J795*T795/100)</f>
        <v/>
      </c>
      <c r="L795" s="14">
        <f>IF($W795="","",INDEX('Per Line'!$V$2:$V$3001,$W795))</f>
        <v/>
      </c>
      <c r="M795">
        <f>IF($W795="","",IF(ISNUMBER(SEARCH("3&amp;12",SUBSTITUTE(F795," ",""))),Settings!$G$7,Settings!$C$7))</f>
        <v/>
      </c>
      <c r="N795" s="7">
        <f>IF($W795="","",SUMIFS('Per Line'!$O$2:$O$3001,'Per Line'!$B$2:$B$3001,$B795,'Per Line'!$AB$2:$AB$3001,0))</f>
        <v/>
      </c>
      <c r="O795" s="7">
        <f>IF($W795="","",N795*M795)</f>
        <v/>
      </c>
      <c r="P795">
        <f>IF($W795="","",IF(ISNUMBER(SEARCH("3&amp;12",SUBSTITUTE(F795," ",""))),Settings!$G$6,Settings!$C$6))</f>
        <v/>
      </c>
      <c r="Q795" s="7">
        <f>IF($W795="","",SUMIFS('Per Line'!$O$2:$O$3001,'Per Line'!$B$2:$B$3001,$B795,'Per Line'!$AB$2:$AB$3001,1))</f>
        <v/>
      </c>
      <c r="R795" s="7">
        <f>IF($W795="","",Q795*P795)</f>
        <v/>
      </c>
      <c r="S795" s="7">
        <f>IF($W795="","",R795+O795)</f>
        <v/>
      </c>
      <c r="T795" s="7">
        <f>IF($W795="","",V795-S795)</f>
        <v/>
      </c>
      <c r="U795" s="7">
        <f>IF($W795="","",V795-S795-K795)</f>
        <v/>
      </c>
      <c r="V795" s="7">
        <f>IF($W795="","",N795+Q795)</f>
        <v/>
      </c>
      <c r="W795" s="16">
        <f>IF(ROWS($W$2:$W795)&lt;=MAX('Per Line'!$AA$2:$AA$3001),MATCH(ROWS($W$2:$W795),'Per Line'!$AA$2:$AA$3001,0),"")</f>
        <v/>
      </c>
      <c r="X795">
        <f>IF($W795="","",D795&amp;"|"&amp;COUNTIF($D$2:$D795,D795))</f>
        <v/>
      </c>
    </row>
    <row r="796">
      <c r="A796" s="15" t="n"/>
      <c r="B796">
        <f>IF($W796="","",INDEX('Per Line'!$B$2:$B$3001,$W796)&amp;"")</f>
        <v/>
      </c>
      <c r="C796">
        <f>IF($W796="","",INDEX('Per Line'!$C$2:$C$3001,$W796)&amp;"")</f>
        <v/>
      </c>
      <c r="D796">
        <f>IF($W796="","",IF(OR(TRIM(E796)="Orient Insurance Company",TRIM(E796)="Allianz"),TRIM(E796),TRIM(F796)))</f>
        <v/>
      </c>
      <c r="E796">
        <f>IF($W796="","",INDEX('Per Line'!$E$2:$E$3001,$W796)&amp;"")</f>
        <v/>
      </c>
      <c r="F796">
        <f>IF($W796="","",INDEX('Per Line'!$D$2:$D$3001,$W796)&amp;"")</f>
        <v/>
      </c>
      <c r="G796">
        <f>IF($W796="","",INDEX('Per Line'!$F$2:$F$3001,$W796)&amp;"")</f>
        <v/>
      </c>
      <c r="H796">
        <f>IF($W796="","",INDEX('Per Line'!$G$2:$G$3001,$W796)&amp;"")</f>
        <v/>
      </c>
      <c r="I796">
        <f>IF($W796="","",INDEX('Per Line'!$H$2:$H$3001,$W796)&amp;"")</f>
        <v/>
      </c>
      <c r="J796">
        <f>IF($W796="","",INDEX('Per Line'!$I$2:$I$3001,$W796))</f>
        <v/>
      </c>
      <c r="K796" s="7">
        <f>IF($W796="","",J796*T796/100)</f>
        <v/>
      </c>
      <c r="L796" s="14">
        <f>IF($W796="","",INDEX('Per Line'!$V$2:$V$3001,$W796))</f>
        <v/>
      </c>
      <c r="M796">
        <f>IF($W796="","",IF(ISNUMBER(SEARCH("3&amp;12",SUBSTITUTE(F796," ",""))),Settings!$G$7,Settings!$C$7))</f>
        <v/>
      </c>
      <c r="N796" s="7">
        <f>IF($W796="","",SUMIFS('Per Line'!$O$2:$O$3001,'Per Line'!$B$2:$B$3001,$B796,'Per Line'!$AB$2:$AB$3001,0))</f>
        <v/>
      </c>
      <c r="O796" s="7">
        <f>IF($W796="","",N796*M796)</f>
        <v/>
      </c>
      <c r="P796">
        <f>IF($W796="","",IF(ISNUMBER(SEARCH("3&amp;12",SUBSTITUTE(F796," ",""))),Settings!$G$6,Settings!$C$6))</f>
        <v/>
      </c>
      <c r="Q796" s="7">
        <f>IF($W796="","",SUMIFS('Per Line'!$O$2:$O$3001,'Per Line'!$B$2:$B$3001,$B796,'Per Line'!$AB$2:$AB$3001,1))</f>
        <v/>
      </c>
      <c r="R796" s="7">
        <f>IF($W796="","",Q796*P796)</f>
        <v/>
      </c>
      <c r="S796" s="7">
        <f>IF($W796="","",R796+O796)</f>
        <v/>
      </c>
      <c r="T796" s="7">
        <f>IF($W796="","",V796-S796)</f>
        <v/>
      </c>
      <c r="U796" s="7">
        <f>IF($W796="","",V796-S796-K796)</f>
        <v/>
      </c>
      <c r="V796" s="7">
        <f>IF($W796="","",N796+Q796)</f>
        <v/>
      </c>
      <c r="W796" s="16">
        <f>IF(ROWS($W$2:$W796)&lt;=MAX('Per Line'!$AA$2:$AA$3001),MATCH(ROWS($W$2:$W796),'Per Line'!$AA$2:$AA$3001,0),"")</f>
        <v/>
      </c>
      <c r="X796">
        <f>IF($W796="","",D796&amp;"|"&amp;COUNTIF($D$2:$D796,D796))</f>
        <v/>
      </c>
    </row>
    <row r="797">
      <c r="A797" s="15" t="n"/>
      <c r="B797">
        <f>IF($W797="","",INDEX('Per Line'!$B$2:$B$3001,$W797)&amp;"")</f>
        <v/>
      </c>
      <c r="C797">
        <f>IF($W797="","",INDEX('Per Line'!$C$2:$C$3001,$W797)&amp;"")</f>
        <v/>
      </c>
      <c r="D797">
        <f>IF($W797="","",IF(OR(TRIM(E797)="Orient Insurance Company",TRIM(E797)="Allianz"),TRIM(E797),TRIM(F797)))</f>
        <v/>
      </c>
      <c r="E797">
        <f>IF($W797="","",INDEX('Per Line'!$E$2:$E$3001,$W797)&amp;"")</f>
        <v/>
      </c>
      <c r="F797">
        <f>IF($W797="","",INDEX('Per Line'!$D$2:$D$3001,$W797)&amp;"")</f>
        <v/>
      </c>
      <c r="G797">
        <f>IF($W797="","",INDEX('Per Line'!$F$2:$F$3001,$W797)&amp;"")</f>
        <v/>
      </c>
      <c r="H797">
        <f>IF($W797="","",INDEX('Per Line'!$G$2:$G$3001,$W797)&amp;"")</f>
        <v/>
      </c>
      <c r="I797">
        <f>IF($W797="","",INDEX('Per Line'!$H$2:$H$3001,$W797)&amp;"")</f>
        <v/>
      </c>
      <c r="J797">
        <f>IF($W797="","",INDEX('Per Line'!$I$2:$I$3001,$W797))</f>
        <v/>
      </c>
      <c r="K797" s="7">
        <f>IF($W797="","",J797*T797/100)</f>
        <v/>
      </c>
      <c r="L797" s="14">
        <f>IF($W797="","",INDEX('Per Line'!$V$2:$V$3001,$W797))</f>
        <v/>
      </c>
      <c r="M797">
        <f>IF($W797="","",IF(ISNUMBER(SEARCH("3&amp;12",SUBSTITUTE(F797," ",""))),Settings!$G$7,Settings!$C$7))</f>
        <v/>
      </c>
      <c r="N797" s="7">
        <f>IF($W797="","",SUMIFS('Per Line'!$O$2:$O$3001,'Per Line'!$B$2:$B$3001,$B797,'Per Line'!$AB$2:$AB$3001,0))</f>
        <v/>
      </c>
      <c r="O797" s="7">
        <f>IF($W797="","",N797*M797)</f>
        <v/>
      </c>
      <c r="P797">
        <f>IF($W797="","",IF(ISNUMBER(SEARCH("3&amp;12",SUBSTITUTE(F797," ",""))),Settings!$G$6,Settings!$C$6))</f>
        <v/>
      </c>
      <c r="Q797" s="7">
        <f>IF($W797="","",SUMIFS('Per Line'!$O$2:$O$3001,'Per Line'!$B$2:$B$3001,$B797,'Per Line'!$AB$2:$AB$3001,1))</f>
        <v/>
      </c>
      <c r="R797" s="7">
        <f>IF($W797="","",Q797*P797)</f>
        <v/>
      </c>
      <c r="S797" s="7">
        <f>IF($W797="","",R797+O797)</f>
        <v/>
      </c>
      <c r="T797" s="7">
        <f>IF($W797="","",V797-S797)</f>
        <v/>
      </c>
      <c r="U797" s="7">
        <f>IF($W797="","",V797-S797-K797)</f>
        <v/>
      </c>
      <c r="V797" s="7">
        <f>IF($W797="","",N797+Q797)</f>
        <v/>
      </c>
      <c r="W797" s="16">
        <f>IF(ROWS($W$2:$W797)&lt;=MAX('Per Line'!$AA$2:$AA$3001),MATCH(ROWS($W$2:$W797),'Per Line'!$AA$2:$AA$3001,0),"")</f>
        <v/>
      </c>
      <c r="X797">
        <f>IF($W797="","",D797&amp;"|"&amp;COUNTIF($D$2:$D797,D797))</f>
        <v/>
      </c>
    </row>
    <row r="798">
      <c r="A798" s="15" t="n"/>
      <c r="B798">
        <f>IF($W798="","",INDEX('Per Line'!$B$2:$B$3001,$W798)&amp;"")</f>
        <v/>
      </c>
      <c r="C798">
        <f>IF($W798="","",INDEX('Per Line'!$C$2:$C$3001,$W798)&amp;"")</f>
        <v/>
      </c>
      <c r="D798">
        <f>IF($W798="","",IF(OR(TRIM(E798)="Orient Insurance Company",TRIM(E798)="Allianz"),TRIM(E798),TRIM(F798)))</f>
        <v/>
      </c>
      <c r="E798">
        <f>IF($W798="","",INDEX('Per Line'!$E$2:$E$3001,$W798)&amp;"")</f>
        <v/>
      </c>
      <c r="F798">
        <f>IF($W798="","",INDEX('Per Line'!$D$2:$D$3001,$W798)&amp;"")</f>
        <v/>
      </c>
      <c r="G798">
        <f>IF($W798="","",INDEX('Per Line'!$F$2:$F$3001,$W798)&amp;"")</f>
        <v/>
      </c>
      <c r="H798">
        <f>IF($W798="","",INDEX('Per Line'!$G$2:$G$3001,$W798)&amp;"")</f>
        <v/>
      </c>
      <c r="I798">
        <f>IF($W798="","",INDEX('Per Line'!$H$2:$H$3001,$W798)&amp;"")</f>
        <v/>
      </c>
      <c r="J798">
        <f>IF($W798="","",INDEX('Per Line'!$I$2:$I$3001,$W798))</f>
        <v/>
      </c>
      <c r="K798" s="7">
        <f>IF($W798="","",J798*T798/100)</f>
        <v/>
      </c>
      <c r="L798" s="14">
        <f>IF($W798="","",INDEX('Per Line'!$V$2:$V$3001,$W798))</f>
        <v/>
      </c>
      <c r="M798">
        <f>IF($W798="","",IF(ISNUMBER(SEARCH("3&amp;12",SUBSTITUTE(F798," ",""))),Settings!$G$7,Settings!$C$7))</f>
        <v/>
      </c>
      <c r="N798" s="7">
        <f>IF($W798="","",SUMIFS('Per Line'!$O$2:$O$3001,'Per Line'!$B$2:$B$3001,$B798,'Per Line'!$AB$2:$AB$3001,0))</f>
        <v/>
      </c>
      <c r="O798" s="7">
        <f>IF($W798="","",N798*M798)</f>
        <v/>
      </c>
      <c r="P798">
        <f>IF($W798="","",IF(ISNUMBER(SEARCH("3&amp;12",SUBSTITUTE(F798," ",""))),Settings!$G$6,Settings!$C$6))</f>
        <v/>
      </c>
      <c r="Q798" s="7">
        <f>IF($W798="","",SUMIFS('Per Line'!$O$2:$O$3001,'Per Line'!$B$2:$B$3001,$B798,'Per Line'!$AB$2:$AB$3001,1))</f>
        <v/>
      </c>
      <c r="R798" s="7">
        <f>IF($W798="","",Q798*P798)</f>
        <v/>
      </c>
      <c r="S798" s="7">
        <f>IF($W798="","",R798+O798)</f>
        <v/>
      </c>
      <c r="T798" s="7">
        <f>IF($W798="","",V798-S798)</f>
        <v/>
      </c>
      <c r="U798" s="7">
        <f>IF($W798="","",V798-S798-K798)</f>
        <v/>
      </c>
      <c r="V798" s="7">
        <f>IF($W798="","",N798+Q798)</f>
        <v/>
      </c>
      <c r="W798" s="16">
        <f>IF(ROWS($W$2:$W798)&lt;=MAX('Per Line'!$AA$2:$AA$3001),MATCH(ROWS($W$2:$W798),'Per Line'!$AA$2:$AA$3001,0),"")</f>
        <v/>
      </c>
      <c r="X798">
        <f>IF($W798="","",D798&amp;"|"&amp;COUNTIF($D$2:$D798,D798))</f>
        <v/>
      </c>
    </row>
    <row r="799">
      <c r="A799" s="15" t="n"/>
      <c r="B799">
        <f>IF($W799="","",INDEX('Per Line'!$B$2:$B$3001,$W799)&amp;"")</f>
        <v/>
      </c>
      <c r="C799">
        <f>IF($W799="","",INDEX('Per Line'!$C$2:$C$3001,$W799)&amp;"")</f>
        <v/>
      </c>
      <c r="D799">
        <f>IF($W799="","",IF(OR(TRIM(E799)="Orient Insurance Company",TRIM(E799)="Allianz"),TRIM(E799),TRIM(F799)))</f>
        <v/>
      </c>
      <c r="E799">
        <f>IF($W799="","",INDEX('Per Line'!$E$2:$E$3001,$W799)&amp;"")</f>
        <v/>
      </c>
      <c r="F799">
        <f>IF($W799="","",INDEX('Per Line'!$D$2:$D$3001,$W799)&amp;"")</f>
        <v/>
      </c>
      <c r="G799">
        <f>IF($W799="","",INDEX('Per Line'!$F$2:$F$3001,$W799)&amp;"")</f>
        <v/>
      </c>
      <c r="H799">
        <f>IF($W799="","",INDEX('Per Line'!$G$2:$G$3001,$W799)&amp;"")</f>
        <v/>
      </c>
      <c r="I799">
        <f>IF($W799="","",INDEX('Per Line'!$H$2:$H$3001,$W799)&amp;"")</f>
        <v/>
      </c>
      <c r="J799">
        <f>IF($W799="","",INDEX('Per Line'!$I$2:$I$3001,$W799))</f>
        <v/>
      </c>
      <c r="K799" s="7">
        <f>IF($W799="","",J799*T799/100)</f>
        <v/>
      </c>
      <c r="L799" s="14">
        <f>IF($W799="","",INDEX('Per Line'!$V$2:$V$3001,$W799))</f>
        <v/>
      </c>
      <c r="M799">
        <f>IF($W799="","",IF(ISNUMBER(SEARCH("3&amp;12",SUBSTITUTE(F799," ",""))),Settings!$G$7,Settings!$C$7))</f>
        <v/>
      </c>
      <c r="N799" s="7">
        <f>IF($W799="","",SUMIFS('Per Line'!$O$2:$O$3001,'Per Line'!$B$2:$B$3001,$B799,'Per Line'!$AB$2:$AB$3001,0))</f>
        <v/>
      </c>
      <c r="O799" s="7">
        <f>IF($W799="","",N799*M799)</f>
        <v/>
      </c>
      <c r="P799">
        <f>IF($W799="","",IF(ISNUMBER(SEARCH("3&amp;12",SUBSTITUTE(F799," ",""))),Settings!$G$6,Settings!$C$6))</f>
        <v/>
      </c>
      <c r="Q799" s="7">
        <f>IF($W799="","",SUMIFS('Per Line'!$O$2:$O$3001,'Per Line'!$B$2:$B$3001,$B799,'Per Line'!$AB$2:$AB$3001,1))</f>
        <v/>
      </c>
      <c r="R799" s="7">
        <f>IF($W799="","",Q799*P799)</f>
        <v/>
      </c>
      <c r="S799" s="7">
        <f>IF($W799="","",R799+O799)</f>
        <v/>
      </c>
      <c r="T799" s="7">
        <f>IF($W799="","",V799-S799)</f>
        <v/>
      </c>
      <c r="U799" s="7">
        <f>IF($W799="","",V799-S799-K799)</f>
        <v/>
      </c>
      <c r="V799" s="7">
        <f>IF($W799="","",N799+Q799)</f>
        <v/>
      </c>
      <c r="W799" s="16">
        <f>IF(ROWS($W$2:$W799)&lt;=MAX('Per Line'!$AA$2:$AA$3001),MATCH(ROWS($W$2:$W799),'Per Line'!$AA$2:$AA$3001,0),"")</f>
        <v/>
      </c>
      <c r="X799">
        <f>IF($W799="","",D799&amp;"|"&amp;COUNTIF($D$2:$D799,D799))</f>
        <v/>
      </c>
    </row>
    <row r="800">
      <c r="A800" s="15" t="n"/>
      <c r="B800">
        <f>IF($W800="","",INDEX('Per Line'!$B$2:$B$3001,$W800)&amp;"")</f>
        <v/>
      </c>
      <c r="C800">
        <f>IF($W800="","",INDEX('Per Line'!$C$2:$C$3001,$W800)&amp;"")</f>
        <v/>
      </c>
      <c r="D800">
        <f>IF($W800="","",IF(OR(TRIM(E800)="Orient Insurance Company",TRIM(E800)="Allianz"),TRIM(E800),TRIM(F800)))</f>
        <v/>
      </c>
      <c r="E800">
        <f>IF($W800="","",INDEX('Per Line'!$E$2:$E$3001,$W800)&amp;"")</f>
        <v/>
      </c>
      <c r="F800">
        <f>IF($W800="","",INDEX('Per Line'!$D$2:$D$3001,$W800)&amp;"")</f>
        <v/>
      </c>
      <c r="G800">
        <f>IF($W800="","",INDEX('Per Line'!$F$2:$F$3001,$W800)&amp;"")</f>
        <v/>
      </c>
      <c r="H800">
        <f>IF($W800="","",INDEX('Per Line'!$G$2:$G$3001,$W800)&amp;"")</f>
        <v/>
      </c>
      <c r="I800">
        <f>IF($W800="","",INDEX('Per Line'!$H$2:$H$3001,$W800)&amp;"")</f>
        <v/>
      </c>
      <c r="J800">
        <f>IF($W800="","",INDEX('Per Line'!$I$2:$I$3001,$W800))</f>
        <v/>
      </c>
      <c r="K800" s="7">
        <f>IF($W800="","",J800*T800/100)</f>
        <v/>
      </c>
      <c r="L800" s="14">
        <f>IF($W800="","",INDEX('Per Line'!$V$2:$V$3001,$W800))</f>
        <v/>
      </c>
      <c r="M800">
        <f>IF($W800="","",IF(ISNUMBER(SEARCH("3&amp;12",SUBSTITUTE(F800," ",""))),Settings!$G$7,Settings!$C$7))</f>
        <v/>
      </c>
      <c r="N800" s="7">
        <f>IF($W800="","",SUMIFS('Per Line'!$O$2:$O$3001,'Per Line'!$B$2:$B$3001,$B800,'Per Line'!$AB$2:$AB$3001,0))</f>
        <v/>
      </c>
      <c r="O800" s="7">
        <f>IF($W800="","",N800*M800)</f>
        <v/>
      </c>
      <c r="P800">
        <f>IF($W800="","",IF(ISNUMBER(SEARCH("3&amp;12",SUBSTITUTE(F800," ",""))),Settings!$G$6,Settings!$C$6))</f>
        <v/>
      </c>
      <c r="Q800" s="7">
        <f>IF($W800="","",SUMIFS('Per Line'!$O$2:$O$3001,'Per Line'!$B$2:$B$3001,$B800,'Per Line'!$AB$2:$AB$3001,1))</f>
        <v/>
      </c>
      <c r="R800" s="7">
        <f>IF($W800="","",Q800*P800)</f>
        <v/>
      </c>
      <c r="S800" s="7">
        <f>IF($W800="","",R800+O800)</f>
        <v/>
      </c>
      <c r="T800" s="7">
        <f>IF($W800="","",V800-S800)</f>
        <v/>
      </c>
      <c r="U800" s="7">
        <f>IF($W800="","",V800-S800-K800)</f>
        <v/>
      </c>
      <c r="V800" s="7">
        <f>IF($W800="","",N800+Q800)</f>
        <v/>
      </c>
      <c r="W800" s="16">
        <f>IF(ROWS($W$2:$W800)&lt;=MAX('Per Line'!$AA$2:$AA$3001),MATCH(ROWS($W$2:$W800),'Per Line'!$AA$2:$AA$3001,0),"")</f>
        <v/>
      </c>
      <c r="X800">
        <f>IF($W800="","",D800&amp;"|"&amp;COUNTIF($D$2:$D800,D800))</f>
        <v/>
      </c>
    </row>
    <row r="801">
      <c r="A801" s="15" t="n"/>
      <c r="B801">
        <f>IF($W801="","",INDEX('Per Line'!$B$2:$B$3001,$W801)&amp;"")</f>
        <v/>
      </c>
      <c r="C801">
        <f>IF($W801="","",INDEX('Per Line'!$C$2:$C$3001,$W801)&amp;"")</f>
        <v/>
      </c>
      <c r="D801">
        <f>IF($W801="","",IF(OR(TRIM(E801)="Orient Insurance Company",TRIM(E801)="Allianz"),TRIM(E801),TRIM(F801)))</f>
        <v/>
      </c>
      <c r="E801">
        <f>IF($W801="","",INDEX('Per Line'!$E$2:$E$3001,$W801)&amp;"")</f>
        <v/>
      </c>
      <c r="F801">
        <f>IF($W801="","",INDEX('Per Line'!$D$2:$D$3001,$W801)&amp;"")</f>
        <v/>
      </c>
      <c r="G801">
        <f>IF($W801="","",INDEX('Per Line'!$F$2:$F$3001,$W801)&amp;"")</f>
        <v/>
      </c>
      <c r="H801">
        <f>IF($W801="","",INDEX('Per Line'!$G$2:$G$3001,$W801)&amp;"")</f>
        <v/>
      </c>
      <c r="I801">
        <f>IF($W801="","",INDEX('Per Line'!$H$2:$H$3001,$W801)&amp;"")</f>
        <v/>
      </c>
      <c r="J801">
        <f>IF($W801="","",INDEX('Per Line'!$I$2:$I$3001,$W801))</f>
        <v/>
      </c>
      <c r="K801" s="7">
        <f>IF($W801="","",J801*T801/100)</f>
        <v/>
      </c>
      <c r="L801" s="14">
        <f>IF($W801="","",INDEX('Per Line'!$V$2:$V$3001,$W801))</f>
        <v/>
      </c>
      <c r="M801">
        <f>IF($W801="","",IF(ISNUMBER(SEARCH("3&amp;12",SUBSTITUTE(F801," ",""))),Settings!$G$7,Settings!$C$7))</f>
        <v/>
      </c>
      <c r="N801" s="7">
        <f>IF($W801="","",SUMIFS('Per Line'!$O$2:$O$3001,'Per Line'!$B$2:$B$3001,$B801,'Per Line'!$AB$2:$AB$3001,0))</f>
        <v/>
      </c>
      <c r="O801" s="7">
        <f>IF($W801="","",N801*M801)</f>
        <v/>
      </c>
      <c r="P801">
        <f>IF($W801="","",IF(ISNUMBER(SEARCH("3&amp;12",SUBSTITUTE(F801," ",""))),Settings!$G$6,Settings!$C$6))</f>
        <v/>
      </c>
      <c r="Q801" s="7">
        <f>IF($W801="","",SUMIFS('Per Line'!$O$2:$O$3001,'Per Line'!$B$2:$B$3001,$B801,'Per Line'!$AB$2:$AB$3001,1))</f>
        <v/>
      </c>
      <c r="R801" s="7">
        <f>IF($W801="","",Q801*P801)</f>
        <v/>
      </c>
      <c r="S801" s="7">
        <f>IF($W801="","",R801+O801)</f>
        <v/>
      </c>
      <c r="T801" s="7">
        <f>IF($W801="","",V801-S801)</f>
        <v/>
      </c>
      <c r="U801" s="7">
        <f>IF($W801="","",V801-S801-K801)</f>
        <v/>
      </c>
      <c r="V801" s="7">
        <f>IF($W801="","",N801+Q801)</f>
        <v/>
      </c>
      <c r="W801" s="16">
        <f>IF(ROWS($W$2:$W801)&lt;=MAX('Per Line'!$AA$2:$AA$3001),MATCH(ROWS($W$2:$W801),'Per Line'!$AA$2:$AA$3001,0),"")</f>
        <v/>
      </c>
      <c r="X801">
        <f>IF($W801="","",D801&amp;"|"&amp;COUNTIF($D$2:$D801,D801))</f>
        <v/>
      </c>
    </row>
  </sheetData>
  <autoFilter ref="A1:X8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26" customWidth="1" min="8" max="8"/>
    <col width="13" customWidth="1" min="9" max="9"/>
    <col width="12" customWidth="1" min="10" max="10"/>
    <col width="1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 ht="32" customHeight="1">
      <c r="A1" s="10" t="inlineStr">
        <is>
          <t>Invoice</t>
        </is>
      </c>
      <c r="B1" s="10" t="inlineStr">
        <is>
          <t>Pos Reference</t>
        </is>
      </c>
      <c r="C1" s="10" t="inlineStr">
        <is>
          <t>Approval</t>
        </is>
      </c>
      <c r="D1" s="10" t="inlineStr">
        <is>
          <t>##</t>
        </is>
      </c>
      <c r="E1" s="10" t="inlineStr">
        <is>
          <t>Payer</t>
        </is>
      </c>
      <c r="F1" s="10" t="inlineStr">
        <is>
          <t>Payment term</t>
        </is>
      </c>
      <c r="G1" s="10" t="inlineStr">
        <is>
          <t>Insurance Company</t>
        </is>
      </c>
      <c r="H1" s="10" t="inlineStr">
        <is>
          <t>Name</t>
        </is>
      </c>
      <c r="I1" s="10" t="inlineStr">
        <is>
          <t>Card Number</t>
        </is>
      </c>
      <c r="J1" s="10" t="inlineStr">
        <is>
          <t>Co Payment %</t>
        </is>
      </c>
      <c r="K1" s="10" t="inlineStr">
        <is>
          <t>Co val</t>
        </is>
      </c>
      <c r="L1" s="10" t="inlineStr">
        <is>
          <t>Create Date</t>
        </is>
      </c>
      <c r="M1" s="10" t="inlineStr">
        <is>
          <t>Imp%</t>
        </is>
      </c>
      <c r="N1" s="10" t="inlineStr">
        <is>
          <t>Imp</t>
        </is>
      </c>
      <c r="O1" s="10" t="inlineStr">
        <is>
          <t>Imp_Val</t>
        </is>
      </c>
      <c r="P1" s="10" t="inlineStr">
        <is>
          <t>Local%</t>
        </is>
      </c>
      <c r="Q1" s="10" t="inlineStr">
        <is>
          <t>Local</t>
        </is>
      </c>
      <c r="R1" s="10" t="inlineStr">
        <is>
          <t>Local_Val</t>
        </is>
      </c>
      <c r="S1" s="10" t="inlineStr">
        <is>
          <t>Discount</t>
        </is>
      </c>
      <c r="T1" s="10" t="inlineStr">
        <is>
          <t>Subtotal</t>
        </is>
      </c>
      <c r="U1" s="10" t="inlineStr">
        <is>
          <t>Net</t>
        </is>
      </c>
      <c r="V1" s="10" t="inlineStr">
        <is>
          <t>Grand Total</t>
        </is>
      </c>
      <c r="W1" s="13" t="inlineStr">
        <is>
          <t>Src Row (helper)</t>
        </is>
      </c>
    </row>
    <row r="2">
      <c r="A2">
        <f>IF($W2="","",IF(INDEX('Per Invoice'!A$2:A$801,$W2)="","",INDEX('Per Invoice'!A$2:A$801,$W2)))</f>
        <v/>
      </c>
      <c r="B2">
        <f>IF($W2="","",IF(INDEX('Per Invoice'!B$2:B$801,$W2)="","",INDEX('Per Invoice'!B$2:B$801,$W2)))</f>
        <v/>
      </c>
      <c r="C2">
        <f>IF($W2="","",IF(INDEX('Per Invoice'!C$2:C$801,$W2)="","",INDEX('Per Invoice'!C$2:C$801,$W2)))</f>
        <v/>
      </c>
      <c r="D2">
        <f>IF($W2="","",IF(INDEX('Per Invoice'!D$2:D$801,$W2)="","",INDEX('Per Invoice'!D$2:D$801,$W2)))</f>
        <v/>
      </c>
      <c r="E2">
        <f>IF($W2="","",IF(INDEX('Per Invoice'!E$2:E$801,$W2)="","",INDEX('Per Invoice'!E$2:E$801,$W2)))</f>
        <v/>
      </c>
      <c r="F2">
        <f>IF($W2="","",IF(INDEX('Per Invoice'!F$2:F$801,$W2)="","",INDEX('Per Invoice'!F$2:F$801,$W2)))</f>
        <v/>
      </c>
      <c r="G2">
        <f>IF($W2="","",IF(INDEX('Per Invoice'!G$2:G$801,$W2)="","",INDEX('Per Invoice'!G$2:G$801,$W2)))</f>
        <v/>
      </c>
      <c r="H2">
        <f>IF($W2="","",IF(INDEX('Per Invoice'!H$2:H$801,$W2)="","",INDEX('Per Invoice'!H$2:H$801,$W2)))</f>
        <v/>
      </c>
      <c r="I2">
        <f>IF($W2="","",IF(INDEX('Per Invoice'!I$2:I$801,$W2)="","",INDEX('Per Invoice'!I$2:I$801,$W2)))</f>
        <v/>
      </c>
      <c r="J2">
        <f>IF($W2="","",IF(INDEX('Per Invoice'!J$2:J$801,$W2)="","",INDEX('Per Invoice'!J$2:J$801,$W2)))</f>
        <v/>
      </c>
      <c r="K2" s="7">
        <f>IF($W2="","",IF(INDEX('Per Invoice'!K$2:K$801,$W2)="","",INDEX('Per Invoice'!K$2:K$801,$W2)))</f>
        <v/>
      </c>
      <c r="L2" s="14">
        <f>IF($W2="","",IF(INDEX('Per Invoice'!L$2:L$801,$W2)="","",INDEX('Per Invoice'!L$2:L$801,$W2)))</f>
        <v/>
      </c>
      <c r="M2">
        <f>IF($W2="","",IF(INDEX('Per Invoice'!M$2:M$801,$W2)="","",INDEX('Per Invoice'!M$2:M$801,$W2)))</f>
        <v/>
      </c>
      <c r="N2" s="7">
        <f>IF($W2="","",IF(INDEX('Per Invoice'!N$2:N$801,$W2)="","",INDEX('Per Invoice'!N$2:N$801,$W2)))</f>
        <v/>
      </c>
      <c r="O2" s="7">
        <f>IF($W2="","",IF(INDEX('Per Invoice'!O$2:O$801,$W2)="","",INDEX('Per Invoice'!O$2:O$801,$W2)))</f>
        <v/>
      </c>
      <c r="P2">
        <f>IF($W2="","",IF(INDEX('Per Invoice'!P$2:P$801,$W2)="","",INDEX('Per Invoice'!P$2:P$801,$W2)))</f>
        <v/>
      </c>
      <c r="Q2" s="7">
        <f>IF($W2="","",IF(INDEX('Per Invoice'!Q$2:Q$801,$W2)="","",INDEX('Per Invoice'!Q$2:Q$801,$W2)))</f>
        <v/>
      </c>
      <c r="R2" s="7">
        <f>IF($W2="","",IF(INDEX('Per Invoice'!R$2:R$801,$W2)="","",INDEX('Per Invoice'!R$2:R$801,$W2)))</f>
        <v/>
      </c>
      <c r="S2" s="7">
        <f>IF($W2="","",IF(INDEX('Per Invoice'!S$2:S$801,$W2)="","",INDEX('Per Invoice'!S$2:S$801,$W2)))</f>
        <v/>
      </c>
      <c r="T2" s="7">
        <f>IF($W2="","",IF(INDEX('Per Invoice'!T$2:T$801,$W2)="","",INDEX('Per Invoice'!T$2:T$801,$W2)))</f>
        <v/>
      </c>
      <c r="U2" s="7">
        <f>IF($W2="","",IF(INDEX('Per Invoice'!U$2:U$801,$W2)="","",INDEX('Per Invoice'!U$2:U$801,$W2)))</f>
        <v/>
      </c>
      <c r="V2" s="7">
        <f>IF($W2="","",IF(INDEX('Per Invoice'!V$2:V$801,$W2)="","",INDEX('Per Invoice'!V$2:V$801,$W2)))</f>
        <v/>
      </c>
      <c r="W2" s="16">
        <f>IFERROR(MATCH(Settings!$C$26&amp;"|"&amp;ROWS($W$2:$W2),'Per Invoice'!$X$2:$X$801,0),"")</f>
        <v/>
      </c>
    </row>
    <row r="3">
      <c r="A3">
        <f>IF($W3="","",IF(INDEX('Per Invoice'!A$2:A$801,$W3)="","",INDEX('Per Invoice'!A$2:A$801,$W3)))</f>
        <v/>
      </c>
      <c r="B3">
        <f>IF($W3="","",IF(INDEX('Per Invoice'!B$2:B$801,$W3)="","",INDEX('Per Invoice'!B$2:B$801,$W3)))</f>
        <v/>
      </c>
      <c r="C3">
        <f>IF($W3="","",IF(INDEX('Per Invoice'!C$2:C$801,$W3)="","",INDEX('Per Invoice'!C$2:C$801,$W3)))</f>
        <v/>
      </c>
      <c r="D3">
        <f>IF($W3="","",IF(INDEX('Per Invoice'!D$2:D$801,$W3)="","",INDEX('Per Invoice'!D$2:D$801,$W3)))</f>
        <v/>
      </c>
      <c r="E3">
        <f>IF($W3="","",IF(INDEX('Per Invoice'!E$2:E$801,$W3)="","",INDEX('Per Invoice'!E$2:E$801,$W3)))</f>
        <v/>
      </c>
      <c r="F3">
        <f>IF($W3="","",IF(INDEX('Per Invoice'!F$2:F$801,$W3)="","",INDEX('Per Invoice'!F$2:F$801,$W3)))</f>
        <v/>
      </c>
      <c r="G3">
        <f>IF($W3="","",IF(INDEX('Per Invoice'!G$2:G$801,$W3)="","",INDEX('Per Invoice'!G$2:G$801,$W3)))</f>
        <v/>
      </c>
      <c r="H3">
        <f>IF($W3="","",IF(INDEX('Per Invoice'!H$2:H$801,$W3)="","",INDEX('Per Invoice'!H$2:H$801,$W3)))</f>
        <v/>
      </c>
      <c r="I3">
        <f>IF($W3="","",IF(INDEX('Per Invoice'!I$2:I$801,$W3)="","",INDEX('Per Invoice'!I$2:I$801,$W3)))</f>
        <v/>
      </c>
      <c r="J3">
        <f>IF($W3="","",IF(INDEX('Per Invoice'!J$2:J$801,$W3)="","",INDEX('Per Invoice'!J$2:J$801,$W3)))</f>
        <v/>
      </c>
      <c r="K3" s="7">
        <f>IF($W3="","",IF(INDEX('Per Invoice'!K$2:K$801,$W3)="","",INDEX('Per Invoice'!K$2:K$801,$W3)))</f>
        <v/>
      </c>
      <c r="L3" s="14">
        <f>IF($W3="","",IF(INDEX('Per Invoice'!L$2:L$801,$W3)="","",INDEX('Per Invoice'!L$2:L$801,$W3)))</f>
        <v/>
      </c>
      <c r="M3">
        <f>IF($W3="","",IF(INDEX('Per Invoice'!M$2:M$801,$W3)="","",INDEX('Per Invoice'!M$2:M$801,$W3)))</f>
        <v/>
      </c>
      <c r="N3" s="7">
        <f>IF($W3="","",IF(INDEX('Per Invoice'!N$2:N$801,$W3)="","",INDEX('Per Invoice'!N$2:N$801,$W3)))</f>
        <v/>
      </c>
      <c r="O3" s="7">
        <f>IF($W3="","",IF(INDEX('Per Invoice'!O$2:O$801,$W3)="","",INDEX('Per Invoice'!O$2:O$801,$W3)))</f>
        <v/>
      </c>
      <c r="P3">
        <f>IF($W3="","",IF(INDEX('Per Invoice'!P$2:P$801,$W3)="","",INDEX('Per Invoice'!P$2:P$801,$W3)))</f>
        <v/>
      </c>
      <c r="Q3" s="7">
        <f>IF($W3="","",IF(INDEX('Per Invoice'!Q$2:Q$801,$W3)="","",INDEX('Per Invoice'!Q$2:Q$801,$W3)))</f>
        <v/>
      </c>
      <c r="R3" s="7">
        <f>IF($W3="","",IF(INDEX('Per Invoice'!R$2:R$801,$W3)="","",INDEX('Per Invoice'!R$2:R$801,$W3)))</f>
        <v/>
      </c>
      <c r="S3" s="7">
        <f>IF($W3="","",IF(INDEX('Per Invoice'!S$2:S$801,$W3)="","",INDEX('Per Invoice'!S$2:S$801,$W3)))</f>
        <v/>
      </c>
      <c r="T3" s="7">
        <f>IF($W3="","",IF(INDEX('Per Invoice'!T$2:T$801,$W3)="","",INDEX('Per Invoice'!T$2:T$801,$W3)))</f>
        <v/>
      </c>
      <c r="U3" s="7">
        <f>IF($W3="","",IF(INDEX('Per Invoice'!U$2:U$801,$W3)="","",INDEX('Per Invoice'!U$2:U$801,$W3)))</f>
        <v/>
      </c>
      <c r="V3" s="7">
        <f>IF($W3="","",IF(INDEX('Per Invoice'!V$2:V$801,$W3)="","",INDEX('Per Invoice'!V$2:V$801,$W3)))</f>
        <v/>
      </c>
      <c r="W3" s="16">
        <f>IFERROR(MATCH(Settings!$C$26&amp;"|"&amp;ROWS($W$2:$W3),'Per Invoice'!$X$2:$X$801,0),"")</f>
        <v/>
      </c>
    </row>
    <row r="4">
      <c r="A4">
        <f>IF($W4="","",IF(INDEX('Per Invoice'!A$2:A$801,$W4)="","",INDEX('Per Invoice'!A$2:A$801,$W4)))</f>
        <v/>
      </c>
      <c r="B4">
        <f>IF($W4="","",IF(INDEX('Per Invoice'!B$2:B$801,$W4)="","",INDEX('Per Invoice'!B$2:B$801,$W4)))</f>
        <v/>
      </c>
      <c r="C4">
        <f>IF($W4="","",IF(INDEX('Per Invoice'!C$2:C$801,$W4)="","",INDEX('Per Invoice'!C$2:C$801,$W4)))</f>
        <v/>
      </c>
      <c r="D4">
        <f>IF($W4="","",IF(INDEX('Per Invoice'!D$2:D$801,$W4)="","",INDEX('Per Invoice'!D$2:D$801,$W4)))</f>
        <v/>
      </c>
      <c r="E4">
        <f>IF($W4="","",IF(INDEX('Per Invoice'!E$2:E$801,$W4)="","",INDEX('Per Invoice'!E$2:E$801,$W4)))</f>
        <v/>
      </c>
      <c r="F4">
        <f>IF($W4="","",IF(INDEX('Per Invoice'!F$2:F$801,$W4)="","",INDEX('Per Invoice'!F$2:F$801,$W4)))</f>
        <v/>
      </c>
      <c r="G4">
        <f>IF($W4="","",IF(INDEX('Per Invoice'!G$2:G$801,$W4)="","",INDEX('Per Invoice'!G$2:G$801,$W4)))</f>
        <v/>
      </c>
      <c r="H4">
        <f>IF($W4="","",IF(INDEX('Per Invoice'!H$2:H$801,$W4)="","",INDEX('Per Invoice'!H$2:H$801,$W4)))</f>
        <v/>
      </c>
      <c r="I4">
        <f>IF($W4="","",IF(INDEX('Per Invoice'!I$2:I$801,$W4)="","",INDEX('Per Invoice'!I$2:I$801,$W4)))</f>
        <v/>
      </c>
      <c r="J4">
        <f>IF($W4="","",IF(INDEX('Per Invoice'!J$2:J$801,$W4)="","",INDEX('Per Invoice'!J$2:J$801,$W4)))</f>
        <v/>
      </c>
      <c r="K4" s="7">
        <f>IF($W4="","",IF(INDEX('Per Invoice'!K$2:K$801,$W4)="","",INDEX('Per Invoice'!K$2:K$801,$W4)))</f>
        <v/>
      </c>
      <c r="L4" s="14">
        <f>IF($W4="","",IF(INDEX('Per Invoice'!L$2:L$801,$W4)="","",INDEX('Per Invoice'!L$2:L$801,$W4)))</f>
        <v/>
      </c>
      <c r="M4">
        <f>IF($W4="","",IF(INDEX('Per Invoice'!M$2:M$801,$W4)="","",INDEX('Per Invoice'!M$2:M$801,$W4)))</f>
        <v/>
      </c>
      <c r="N4" s="7">
        <f>IF($W4="","",IF(INDEX('Per Invoice'!N$2:N$801,$W4)="","",INDEX('Per Invoice'!N$2:N$801,$W4)))</f>
        <v/>
      </c>
      <c r="O4" s="7">
        <f>IF($W4="","",IF(INDEX('Per Invoice'!O$2:O$801,$W4)="","",INDEX('Per Invoice'!O$2:O$801,$W4)))</f>
        <v/>
      </c>
      <c r="P4">
        <f>IF($W4="","",IF(INDEX('Per Invoice'!P$2:P$801,$W4)="","",INDEX('Per Invoice'!P$2:P$801,$W4)))</f>
        <v/>
      </c>
      <c r="Q4" s="7">
        <f>IF($W4="","",IF(INDEX('Per Invoice'!Q$2:Q$801,$W4)="","",INDEX('Per Invoice'!Q$2:Q$801,$W4)))</f>
        <v/>
      </c>
      <c r="R4" s="7">
        <f>IF($W4="","",IF(INDEX('Per Invoice'!R$2:R$801,$W4)="","",INDEX('Per Invoice'!R$2:R$801,$W4)))</f>
        <v/>
      </c>
      <c r="S4" s="7">
        <f>IF($W4="","",IF(INDEX('Per Invoice'!S$2:S$801,$W4)="","",INDEX('Per Invoice'!S$2:S$801,$W4)))</f>
        <v/>
      </c>
      <c r="T4" s="7">
        <f>IF($W4="","",IF(INDEX('Per Invoice'!T$2:T$801,$W4)="","",INDEX('Per Invoice'!T$2:T$801,$W4)))</f>
        <v/>
      </c>
      <c r="U4" s="7">
        <f>IF($W4="","",IF(INDEX('Per Invoice'!U$2:U$801,$W4)="","",INDEX('Per Invoice'!U$2:U$801,$W4)))</f>
        <v/>
      </c>
      <c r="V4" s="7">
        <f>IF($W4="","",IF(INDEX('Per Invoice'!V$2:V$801,$W4)="","",INDEX('Per Invoice'!V$2:V$801,$W4)))</f>
        <v/>
      </c>
      <c r="W4" s="16">
        <f>IFERROR(MATCH(Settings!$C$26&amp;"|"&amp;ROWS($W$2:$W4),'Per Invoice'!$X$2:$X$801,0),"")</f>
        <v/>
      </c>
    </row>
    <row r="5">
      <c r="A5">
        <f>IF($W5="","",IF(INDEX('Per Invoice'!A$2:A$801,$W5)="","",INDEX('Per Invoice'!A$2:A$801,$W5)))</f>
        <v/>
      </c>
      <c r="B5">
        <f>IF($W5="","",IF(INDEX('Per Invoice'!B$2:B$801,$W5)="","",INDEX('Per Invoice'!B$2:B$801,$W5)))</f>
        <v/>
      </c>
      <c r="C5">
        <f>IF($W5="","",IF(INDEX('Per Invoice'!C$2:C$801,$W5)="","",INDEX('Per Invoice'!C$2:C$801,$W5)))</f>
        <v/>
      </c>
      <c r="D5">
        <f>IF($W5="","",IF(INDEX('Per Invoice'!D$2:D$801,$W5)="","",INDEX('Per Invoice'!D$2:D$801,$W5)))</f>
        <v/>
      </c>
      <c r="E5">
        <f>IF($W5="","",IF(INDEX('Per Invoice'!E$2:E$801,$W5)="","",INDEX('Per Invoice'!E$2:E$801,$W5)))</f>
        <v/>
      </c>
      <c r="F5">
        <f>IF($W5="","",IF(INDEX('Per Invoice'!F$2:F$801,$W5)="","",INDEX('Per Invoice'!F$2:F$801,$W5)))</f>
        <v/>
      </c>
      <c r="G5">
        <f>IF($W5="","",IF(INDEX('Per Invoice'!G$2:G$801,$W5)="","",INDEX('Per Invoice'!G$2:G$801,$W5)))</f>
        <v/>
      </c>
      <c r="H5">
        <f>IF($W5="","",IF(INDEX('Per Invoice'!H$2:H$801,$W5)="","",INDEX('Per Invoice'!H$2:H$801,$W5)))</f>
        <v/>
      </c>
      <c r="I5">
        <f>IF($W5="","",IF(INDEX('Per Invoice'!I$2:I$801,$W5)="","",INDEX('Per Invoice'!I$2:I$801,$W5)))</f>
        <v/>
      </c>
      <c r="J5">
        <f>IF($W5="","",IF(INDEX('Per Invoice'!J$2:J$801,$W5)="","",INDEX('Per Invoice'!J$2:J$801,$W5)))</f>
        <v/>
      </c>
      <c r="K5" s="7">
        <f>IF($W5="","",IF(INDEX('Per Invoice'!K$2:K$801,$W5)="","",INDEX('Per Invoice'!K$2:K$801,$W5)))</f>
        <v/>
      </c>
      <c r="L5" s="14">
        <f>IF($W5="","",IF(INDEX('Per Invoice'!L$2:L$801,$W5)="","",INDEX('Per Invoice'!L$2:L$801,$W5)))</f>
        <v/>
      </c>
      <c r="M5">
        <f>IF($W5="","",IF(INDEX('Per Invoice'!M$2:M$801,$W5)="","",INDEX('Per Invoice'!M$2:M$801,$W5)))</f>
        <v/>
      </c>
      <c r="N5" s="7">
        <f>IF($W5="","",IF(INDEX('Per Invoice'!N$2:N$801,$W5)="","",INDEX('Per Invoice'!N$2:N$801,$W5)))</f>
        <v/>
      </c>
      <c r="O5" s="7">
        <f>IF($W5="","",IF(INDEX('Per Invoice'!O$2:O$801,$W5)="","",INDEX('Per Invoice'!O$2:O$801,$W5)))</f>
        <v/>
      </c>
      <c r="P5">
        <f>IF($W5="","",IF(INDEX('Per Invoice'!P$2:P$801,$W5)="","",INDEX('Per Invoice'!P$2:P$801,$W5)))</f>
        <v/>
      </c>
      <c r="Q5" s="7">
        <f>IF($W5="","",IF(INDEX('Per Invoice'!Q$2:Q$801,$W5)="","",INDEX('Per Invoice'!Q$2:Q$801,$W5)))</f>
        <v/>
      </c>
      <c r="R5" s="7">
        <f>IF($W5="","",IF(INDEX('Per Invoice'!R$2:R$801,$W5)="","",INDEX('Per Invoice'!R$2:R$801,$W5)))</f>
        <v/>
      </c>
      <c r="S5" s="7">
        <f>IF($W5="","",IF(INDEX('Per Invoice'!S$2:S$801,$W5)="","",INDEX('Per Invoice'!S$2:S$801,$W5)))</f>
        <v/>
      </c>
      <c r="T5" s="7">
        <f>IF($W5="","",IF(INDEX('Per Invoice'!T$2:T$801,$W5)="","",INDEX('Per Invoice'!T$2:T$801,$W5)))</f>
        <v/>
      </c>
      <c r="U5" s="7">
        <f>IF($W5="","",IF(INDEX('Per Invoice'!U$2:U$801,$W5)="","",INDEX('Per Invoice'!U$2:U$801,$W5)))</f>
        <v/>
      </c>
      <c r="V5" s="7">
        <f>IF($W5="","",IF(INDEX('Per Invoice'!V$2:V$801,$W5)="","",INDEX('Per Invoice'!V$2:V$801,$W5)))</f>
        <v/>
      </c>
      <c r="W5" s="16">
        <f>IFERROR(MATCH(Settings!$C$26&amp;"|"&amp;ROWS($W$2:$W5),'Per Invoice'!$X$2:$X$801,0),"")</f>
        <v/>
      </c>
    </row>
    <row r="6">
      <c r="A6">
        <f>IF($W6="","",IF(INDEX('Per Invoice'!A$2:A$801,$W6)="","",INDEX('Per Invoice'!A$2:A$801,$W6)))</f>
        <v/>
      </c>
      <c r="B6">
        <f>IF($W6="","",IF(INDEX('Per Invoice'!B$2:B$801,$W6)="","",INDEX('Per Invoice'!B$2:B$801,$W6)))</f>
        <v/>
      </c>
      <c r="C6">
        <f>IF($W6="","",IF(INDEX('Per Invoice'!C$2:C$801,$W6)="","",INDEX('Per Invoice'!C$2:C$801,$W6)))</f>
        <v/>
      </c>
      <c r="D6">
        <f>IF($W6="","",IF(INDEX('Per Invoice'!D$2:D$801,$W6)="","",INDEX('Per Invoice'!D$2:D$801,$W6)))</f>
        <v/>
      </c>
      <c r="E6">
        <f>IF($W6="","",IF(INDEX('Per Invoice'!E$2:E$801,$W6)="","",INDEX('Per Invoice'!E$2:E$801,$W6)))</f>
        <v/>
      </c>
      <c r="F6">
        <f>IF($W6="","",IF(INDEX('Per Invoice'!F$2:F$801,$W6)="","",INDEX('Per Invoice'!F$2:F$801,$W6)))</f>
        <v/>
      </c>
      <c r="G6">
        <f>IF($W6="","",IF(INDEX('Per Invoice'!G$2:G$801,$W6)="","",INDEX('Per Invoice'!G$2:G$801,$W6)))</f>
        <v/>
      </c>
      <c r="H6">
        <f>IF($W6="","",IF(INDEX('Per Invoice'!H$2:H$801,$W6)="","",INDEX('Per Invoice'!H$2:H$801,$W6)))</f>
        <v/>
      </c>
      <c r="I6">
        <f>IF($W6="","",IF(INDEX('Per Invoice'!I$2:I$801,$W6)="","",INDEX('Per Invoice'!I$2:I$801,$W6)))</f>
        <v/>
      </c>
      <c r="J6">
        <f>IF($W6="","",IF(INDEX('Per Invoice'!J$2:J$801,$W6)="","",INDEX('Per Invoice'!J$2:J$801,$W6)))</f>
        <v/>
      </c>
      <c r="K6" s="7">
        <f>IF($W6="","",IF(INDEX('Per Invoice'!K$2:K$801,$W6)="","",INDEX('Per Invoice'!K$2:K$801,$W6)))</f>
        <v/>
      </c>
      <c r="L6" s="14">
        <f>IF($W6="","",IF(INDEX('Per Invoice'!L$2:L$801,$W6)="","",INDEX('Per Invoice'!L$2:L$801,$W6)))</f>
        <v/>
      </c>
      <c r="M6">
        <f>IF($W6="","",IF(INDEX('Per Invoice'!M$2:M$801,$W6)="","",INDEX('Per Invoice'!M$2:M$801,$W6)))</f>
        <v/>
      </c>
      <c r="N6" s="7">
        <f>IF($W6="","",IF(INDEX('Per Invoice'!N$2:N$801,$W6)="","",INDEX('Per Invoice'!N$2:N$801,$W6)))</f>
        <v/>
      </c>
      <c r="O6" s="7">
        <f>IF($W6="","",IF(INDEX('Per Invoice'!O$2:O$801,$W6)="","",INDEX('Per Invoice'!O$2:O$801,$W6)))</f>
        <v/>
      </c>
      <c r="P6">
        <f>IF($W6="","",IF(INDEX('Per Invoice'!P$2:P$801,$W6)="","",INDEX('Per Invoice'!P$2:P$801,$W6)))</f>
        <v/>
      </c>
      <c r="Q6" s="7">
        <f>IF($W6="","",IF(INDEX('Per Invoice'!Q$2:Q$801,$W6)="","",INDEX('Per Invoice'!Q$2:Q$801,$W6)))</f>
        <v/>
      </c>
      <c r="R6" s="7">
        <f>IF($W6="","",IF(INDEX('Per Invoice'!R$2:R$801,$W6)="","",INDEX('Per Invoice'!R$2:R$801,$W6)))</f>
        <v/>
      </c>
      <c r="S6" s="7">
        <f>IF($W6="","",IF(INDEX('Per Invoice'!S$2:S$801,$W6)="","",INDEX('Per Invoice'!S$2:S$801,$W6)))</f>
        <v/>
      </c>
      <c r="T6" s="7">
        <f>IF($W6="","",IF(INDEX('Per Invoice'!T$2:T$801,$W6)="","",INDEX('Per Invoice'!T$2:T$801,$W6)))</f>
        <v/>
      </c>
      <c r="U6" s="7">
        <f>IF($W6="","",IF(INDEX('Per Invoice'!U$2:U$801,$W6)="","",INDEX('Per Invoice'!U$2:U$801,$W6)))</f>
        <v/>
      </c>
      <c r="V6" s="7">
        <f>IF($W6="","",IF(INDEX('Per Invoice'!V$2:V$801,$W6)="","",INDEX('Per Invoice'!V$2:V$801,$W6)))</f>
        <v/>
      </c>
      <c r="W6" s="16">
        <f>IFERROR(MATCH(Settings!$C$26&amp;"|"&amp;ROWS($W$2:$W6),'Per Invoice'!$X$2:$X$801,0),"")</f>
        <v/>
      </c>
    </row>
    <row r="7">
      <c r="A7">
        <f>IF($W7="","",IF(INDEX('Per Invoice'!A$2:A$801,$W7)="","",INDEX('Per Invoice'!A$2:A$801,$W7)))</f>
        <v/>
      </c>
      <c r="B7">
        <f>IF($W7="","",IF(INDEX('Per Invoice'!B$2:B$801,$W7)="","",INDEX('Per Invoice'!B$2:B$801,$W7)))</f>
        <v/>
      </c>
      <c r="C7">
        <f>IF($W7="","",IF(INDEX('Per Invoice'!C$2:C$801,$W7)="","",INDEX('Per Invoice'!C$2:C$801,$W7)))</f>
        <v/>
      </c>
      <c r="D7">
        <f>IF($W7="","",IF(INDEX('Per Invoice'!D$2:D$801,$W7)="","",INDEX('Per Invoice'!D$2:D$801,$W7)))</f>
        <v/>
      </c>
      <c r="E7">
        <f>IF($W7="","",IF(INDEX('Per Invoice'!E$2:E$801,$W7)="","",INDEX('Per Invoice'!E$2:E$801,$W7)))</f>
        <v/>
      </c>
      <c r="F7">
        <f>IF($W7="","",IF(INDEX('Per Invoice'!F$2:F$801,$W7)="","",INDEX('Per Invoice'!F$2:F$801,$W7)))</f>
        <v/>
      </c>
      <c r="G7">
        <f>IF($W7="","",IF(INDEX('Per Invoice'!G$2:G$801,$W7)="","",INDEX('Per Invoice'!G$2:G$801,$W7)))</f>
        <v/>
      </c>
      <c r="H7">
        <f>IF($W7="","",IF(INDEX('Per Invoice'!H$2:H$801,$W7)="","",INDEX('Per Invoice'!H$2:H$801,$W7)))</f>
        <v/>
      </c>
      <c r="I7">
        <f>IF($W7="","",IF(INDEX('Per Invoice'!I$2:I$801,$W7)="","",INDEX('Per Invoice'!I$2:I$801,$W7)))</f>
        <v/>
      </c>
      <c r="J7">
        <f>IF($W7="","",IF(INDEX('Per Invoice'!J$2:J$801,$W7)="","",INDEX('Per Invoice'!J$2:J$801,$W7)))</f>
        <v/>
      </c>
      <c r="K7" s="7">
        <f>IF($W7="","",IF(INDEX('Per Invoice'!K$2:K$801,$W7)="","",INDEX('Per Invoice'!K$2:K$801,$W7)))</f>
        <v/>
      </c>
      <c r="L7" s="14">
        <f>IF($W7="","",IF(INDEX('Per Invoice'!L$2:L$801,$W7)="","",INDEX('Per Invoice'!L$2:L$801,$W7)))</f>
        <v/>
      </c>
      <c r="M7">
        <f>IF($W7="","",IF(INDEX('Per Invoice'!M$2:M$801,$W7)="","",INDEX('Per Invoice'!M$2:M$801,$W7)))</f>
        <v/>
      </c>
      <c r="N7" s="7">
        <f>IF($W7="","",IF(INDEX('Per Invoice'!N$2:N$801,$W7)="","",INDEX('Per Invoice'!N$2:N$801,$W7)))</f>
        <v/>
      </c>
      <c r="O7" s="7">
        <f>IF($W7="","",IF(INDEX('Per Invoice'!O$2:O$801,$W7)="","",INDEX('Per Invoice'!O$2:O$801,$W7)))</f>
        <v/>
      </c>
      <c r="P7">
        <f>IF($W7="","",IF(INDEX('Per Invoice'!P$2:P$801,$W7)="","",INDEX('Per Invoice'!P$2:P$801,$W7)))</f>
        <v/>
      </c>
      <c r="Q7" s="7">
        <f>IF($W7="","",IF(INDEX('Per Invoice'!Q$2:Q$801,$W7)="","",INDEX('Per Invoice'!Q$2:Q$801,$W7)))</f>
        <v/>
      </c>
      <c r="R7" s="7">
        <f>IF($W7="","",IF(INDEX('Per Invoice'!R$2:R$801,$W7)="","",INDEX('Per Invoice'!R$2:R$801,$W7)))</f>
        <v/>
      </c>
      <c r="S7" s="7">
        <f>IF($W7="","",IF(INDEX('Per Invoice'!S$2:S$801,$W7)="","",INDEX('Per Invoice'!S$2:S$801,$W7)))</f>
        <v/>
      </c>
      <c r="T7" s="7">
        <f>IF($W7="","",IF(INDEX('Per Invoice'!T$2:T$801,$W7)="","",INDEX('Per Invoice'!T$2:T$801,$W7)))</f>
        <v/>
      </c>
      <c r="U7" s="7">
        <f>IF($W7="","",IF(INDEX('Per Invoice'!U$2:U$801,$W7)="","",INDEX('Per Invoice'!U$2:U$801,$W7)))</f>
        <v/>
      </c>
      <c r="V7" s="7">
        <f>IF($W7="","",IF(INDEX('Per Invoice'!V$2:V$801,$W7)="","",INDEX('Per Invoice'!V$2:V$801,$W7)))</f>
        <v/>
      </c>
      <c r="W7" s="16">
        <f>IFERROR(MATCH(Settings!$C$26&amp;"|"&amp;ROWS($W$2:$W7),'Per Invoice'!$X$2:$X$801,0),"")</f>
        <v/>
      </c>
    </row>
    <row r="8">
      <c r="A8">
        <f>IF($W8="","",IF(INDEX('Per Invoice'!A$2:A$801,$W8)="","",INDEX('Per Invoice'!A$2:A$801,$W8)))</f>
        <v/>
      </c>
      <c r="B8">
        <f>IF($W8="","",IF(INDEX('Per Invoice'!B$2:B$801,$W8)="","",INDEX('Per Invoice'!B$2:B$801,$W8)))</f>
        <v/>
      </c>
      <c r="C8">
        <f>IF($W8="","",IF(INDEX('Per Invoice'!C$2:C$801,$W8)="","",INDEX('Per Invoice'!C$2:C$801,$W8)))</f>
        <v/>
      </c>
      <c r="D8">
        <f>IF($W8="","",IF(INDEX('Per Invoice'!D$2:D$801,$W8)="","",INDEX('Per Invoice'!D$2:D$801,$W8)))</f>
        <v/>
      </c>
      <c r="E8">
        <f>IF($W8="","",IF(INDEX('Per Invoice'!E$2:E$801,$W8)="","",INDEX('Per Invoice'!E$2:E$801,$W8)))</f>
        <v/>
      </c>
      <c r="F8">
        <f>IF($W8="","",IF(INDEX('Per Invoice'!F$2:F$801,$W8)="","",INDEX('Per Invoice'!F$2:F$801,$W8)))</f>
        <v/>
      </c>
      <c r="G8">
        <f>IF($W8="","",IF(INDEX('Per Invoice'!G$2:G$801,$W8)="","",INDEX('Per Invoice'!G$2:G$801,$W8)))</f>
        <v/>
      </c>
      <c r="H8">
        <f>IF($W8="","",IF(INDEX('Per Invoice'!H$2:H$801,$W8)="","",INDEX('Per Invoice'!H$2:H$801,$W8)))</f>
        <v/>
      </c>
      <c r="I8">
        <f>IF($W8="","",IF(INDEX('Per Invoice'!I$2:I$801,$W8)="","",INDEX('Per Invoice'!I$2:I$801,$W8)))</f>
        <v/>
      </c>
      <c r="J8">
        <f>IF($W8="","",IF(INDEX('Per Invoice'!J$2:J$801,$W8)="","",INDEX('Per Invoice'!J$2:J$801,$W8)))</f>
        <v/>
      </c>
      <c r="K8" s="7">
        <f>IF($W8="","",IF(INDEX('Per Invoice'!K$2:K$801,$W8)="","",INDEX('Per Invoice'!K$2:K$801,$W8)))</f>
        <v/>
      </c>
      <c r="L8" s="14">
        <f>IF($W8="","",IF(INDEX('Per Invoice'!L$2:L$801,$W8)="","",INDEX('Per Invoice'!L$2:L$801,$W8)))</f>
        <v/>
      </c>
      <c r="M8">
        <f>IF($W8="","",IF(INDEX('Per Invoice'!M$2:M$801,$W8)="","",INDEX('Per Invoice'!M$2:M$801,$W8)))</f>
        <v/>
      </c>
      <c r="N8" s="7">
        <f>IF($W8="","",IF(INDEX('Per Invoice'!N$2:N$801,$W8)="","",INDEX('Per Invoice'!N$2:N$801,$W8)))</f>
        <v/>
      </c>
      <c r="O8" s="7">
        <f>IF($W8="","",IF(INDEX('Per Invoice'!O$2:O$801,$W8)="","",INDEX('Per Invoice'!O$2:O$801,$W8)))</f>
        <v/>
      </c>
      <c r="P8">
        <f>IF($W8="","",IF(INDEX('Per Invoice'!P$2:P$801,$W8)="","",INDEX('Per Invoice'!P$2:P$801,$W8)))</f>
        <v/>
      </c>
      <c r="Q8" s="7">
        <f>IF($W8="","",IF(INDEX('Per Invoice'!Q$2:Q$801,$W8)="","",INDEX('Per Invoice'!Q$2:Q$801,$W8)))</f>
        <v/>
      </c>
      <c r="R8" s="7">
        <f>IF($W8="","",IF(INDEX('Per Invoice'!R$2:R$801,$W8)="","",INDEX('Per Invoice'!R$2:R$801,$W8)))</f>
        <v/>
      </c>
      <c r="S8" s="7">
        <f>IF($W8="","",IF(INDEX('Per Invoice'!S$2:S$801,$W8)="","",INDEX('Per Invoice'!S$2:S$801,$W8)))</f>
        <v/>
      </c>
      <c r="T8" s="7">
        <f>IF($W8="","",IF(INDEX('Per Invoice'!T$2:T$801,$W8)="","",INDEX('Per Invoice'!T$2:T$801,$W8)))</f>
        <v/>
      </c>
      <c r="U8" s="7">
        <f>IF($W8="","",IF(INDEX('Per Invoice'!U$2:U$801,$W8)="","",INDEX('Per Invoice'!U$2:U$801,$W8)))</f>
        <v/>
      </c>
      <c r="V8" s="7">
        <f>IF($W8="","",IF(INDEX('Per Invoice'!V$2:V$801,$W8)="","",INDEX('Per Invoice'!V$2:V$801,$W8)))</f>
        <v/>
      </c>
      <c r="W8" s="16">
        <f>IFERROR(MATCH(Settings!$C$26&amp;"|"&amp;ROWS($W$2:$W8),'Per Invoice'!$X$2:$X$801,0),"")</f>
        <v/>
      </c>
    </row>
    <row r="9">
      <c r="A9">
        <f>IF($W9="","",IF(INDEX('Per Invoice'!A$2:A$801,$W9)="","",INDEX('Per Invoice'!A$2:A$801,$W9)))</f>
        <v/>
      </c>
      <c r="B9">
        <f>IF($W9="","",IF(INDEX('Per Invoice'!B$2:B$801,$W9)="","",INDEX('Per Invoice'!B$2:B$801,$W9)))</f>
        <v/>
      </c>
      <c r="C9">
        <f>IF($W9="","",IF(INDEX('Per Invoice'!C$2:C$801,$W9)="","",INDEX('Per Invoice'!C$2:C$801,$W9)))</f>
        <v/>
      </c>
      <c r="D9">
        <f>IF($W9="","",IF(INDEX('Per Invoice'!D$2:D$801,$W9)="","",INDEX('Per Invoice'!D$2:D$801,$W9)))</f>
        <v/>
      </c>
      <c r="E9">
        <f>IF($W9="","",IF(INDEX('Per Invoice'!E$2:E$801,$W9)="","",INDEX('Per Invoice'!E$2:E$801,$W9)))</f>
        <v/>
      </c>
      <c r="F9">
        <f>IF($W9="","",IF(INDEX('Per Invoice'!F$2:F$801,$W9)="","",INDEX('Per Invoice'!F$2:F$801,$W9)))</f>
        <v/>
      </c>
      <c r="G9">
        <f>IF($W9="","",IF(INDEX('Per Invoice'!G$2:G$801,$W9)="","",INDEX('Per Invoice'!G$2:G$801,$W9)))</f>
        <v/>
      </c>
      <c r="H9">
        <f>IF($W9="","",IF(INDEX('Per Invoice'!H$2:H$801,$W9)="","",INDEX('Per Invoice'!H$2:H$801,$W9)))</f>
        <v/>
      </c>
      <c r="I9">
        <f>IF($W9="","",IF(INDEX('Per Invoice'!I$2:I$801,$W9)="","",INDEX('Per Invoice'!I$2:I$801,$W9)))</f>
        <v/>
      </c>
      <c r="J9">
        <f>IF($W9="","",IF(INDEX('Per Invoice'!J$2:J$801,$W9)="","",INDEX('Per Invoice'!J$2:J$801,$W9)))</f>
        <v/>
      </c>
      <c r="K9" s="7">
        <f>IF($W9="","",IF(INDEX('Per Invoice'!K$2:K$801,$W9)="","",INDEX('Per Invoice'!K$2:K$801,$W9)))</f>
        <v/>
      </c>
      <c r="L9" s="14">
        <f>IF($W9="","",IF(INDEX('Per Invoice'!L$2:L$801,$W9)="","",INDEX('Per Invoice'!L$2:L$801,$W9)))</f>
        <v/>
      </c>
      <c r="M9">
        <f>IF($W9="","",IF(INDEX('Per Invoice'!M$2:M$801,$W9)="","",INDEX('Per Invoice'!M$2:M$801,$W9)))</f>
        <v/>
      </c>
      <c r="N9" s="7">
        <f>IF($W9="","",IF(INDEX('Per Invoice'!N$2:N$801,$W9)="","",INDEX('Per Invoice'!N$2:N$801,$W9)))</f>
        <v/>
      </c>
      <c r="O9" s="7">
        <f>IF($W9="","",IF(INDEX('Per Invoice'!O$2:O$801,$W9)="","",INDEX('Per Invoice'!O$2:O$801,$W9)))</f>
        <v/>
      </c>
      <c r="P9">
        <f>IF($W9="","",IF(INDEX('Per Invoice'!P$2:P$801,$W9)="","",INDEX('Per Invoice'!P$2:P$801,$W9)))</f>
        <v/>
      </c>
      <c r="Q9" s="7">
        <f>IF($W9="","",IF(INDEX('Per Invoice'!Q$2:Q$801,$W9)="","",INDEX('Per Invoice'!Q$2:Q$801,$W9)))</f>
        <v/>
      </c>
      <c r="R9" s="7">
        <f>IF($W9="","",IF(INDEX('Per Invoice'!R$2:R$801,$W9)="","",INDEX('Per Invoice'!R$2:R$801,$W9)))</f>
        <v/>
      </c>
      <c r="S9" s="7">
        <f>IF($W9="","",IF(INDEX('Per Invoice'!S$2:S$801,$W9)="","",INDEX('Per Invoice'!S$2:S$801,$W9)))</f>
        <v/>
      </c>
      <c r="T9" s="7">
        <f>IF($W9="","",IF(INDEX('Per Invoice'!T$2:T$801,$W9)="","",INDEX('Per Invoice'!T$2:T$801,$W9)))</f>
        <v/>
      </c>
      <c r="U9" s="7">
        <f>IF($W9="","",IF(INDEX('Per Invoice'!U$2:U$801,$W9)="","",INDEX('Per Invoice'!U$2:U$801,$W9)))</f>
        <v/>
      </c>
      <c r="V9" s="7">
        <f>IF($W9="","",IF(INDEX('Per Invoice'!V$2:V$801,$W9)="","",INDEX('Per Invoice'!V$2:V$801,$W9)))</f>
        <v/>
      </c>
      <c r="W9" s="16">
        <f>IFERROR(MATCH(Settings!$C$26&amp;"|"&amp;ROWS($W$2:$W9),'Per Invoice'!$X$2:$X$801,0),"")</f>
        <v/>
      </c>
    </row>
    <row r="10">
      <c r="A10">
        <f>IF($W10="","",IF(INDEX('Per Invoice'!A$2:A$801,$W10)="","",INDEX('Per Invoice'!A$2:A$801,$W10)))</f>
        <v/>
      </c>
      <c r="B10">
        <f>IF($W10="","",IF(INDEX('Per Invoice'!B$2:B$801,$W10)="","",INDEX('Per Invoice'!B$2:B$801,$W10)))</f>
        <v/>
      </c>
      <c r="C10">
        <f>IF($W10="","",IF(INDEX('Per Invoice'!C$2:C$801,$W10)="","",INDEX('Per Invoice'!C$2:C$801,$W10)))</f>
        <v/>
      </c>
      <c r="D10">
        <f>IF($W10="","",IF(INDEX('Per Invoice'!D$2:D$801,$W10)="","",INDEX('Per Invoice'!D$2:D$801,$W10)))</f>
        <v/>
      </c>
      <c r="E10">
        <f>IF($W10="","",IF(INDEX('Per Invoice'!E$2:E$801,$W10)="","",INDEX('Per Invoice'!E$2:E$801,$W10)))</f>
        <v/>
      </c>
      <c r="F10">
        <f>IF($W10="","",IF(INDEX('Per Invoice'!F$2:F$801,$W10)="","",INDEX('Per Invoice'!F$2:F$801,$W10)))</f>
        <v/>
      </c>
      <c r="G10">
        <f>IF($W10="","",IF(INDEX('Per Invoice'!G$2:G$801,$W10)="","",INDEX('Per Invoice'!G$2:G$801,$W10)))</f>
        <v/>
      </c>
      <c r="H10">
        <f>IF($W10="","",IF(INDEX('Per Invoice'!H$2:H$801,$W10)="","",INDEX('Per Invoice'!H$2:H$801,$W10)))</f>
        <v/>
      </c>
      <c r="I10">
        <f>IF($W10="","",IF(INDEX('Per Invoice'!I$2:I$801,$W10)="","",INDEX('Per Invoice'!I$2:I$801,$W10)))</f>
        <v/>
      </c>
      <c r="J10">
        <f>IF($W10="","",IF(INDEX('Per Invoice'!J$2:J$801,$W10)="","",INDEX('Per Invoice'!J$2:J$801,$W10)))</f>
        <v/>
      </c>
      <c r="K10" s="7">
        <f>IF($W10="","",IF(INDEX('Per Invoice'!K$2:K$801,$W10)="","",INDEX('Per Invoice'!K$2:K$801,$W10)))</f>
        <v/>
      </c>
      <c r="L10" s="14">
        <f>IF($W10="","",IF(INDEX('Per Invoice'!L$2:L$801,$W10)="","",INDEX('Per Invoice'!L$2:L$801,$W10)))</f>
        <v/>
      </c>
      <c r="M10">
        <f>IF($W10="","",IF(INDEX('Per Invoice'!M$2:M$801,$W10)="","",INDEX('Per Invoice'!M$2:M$801,$W10)))</f>
        <v/>
      </c>
      <c r="N10" s="7">
        <f>IF($W10="","",IF(INDEX('Per Invoice'!N$2:N$801,$W10)="","",INDEX('Per Invoice'!N$2:N$801,$W10)))</f>
        <v/>
      </c>
      <c r="O10" s="7">
        <f>IF($W10="","",IF(INDEX('Per Invoice'!O$2:O$801,$W10)="","",INDEX('Per Invoice'!O$2:O$801,$W10)))</f>
        <v/>
      </c>
      <c r="P10">
        <f>IF($W10="","",IF(INDEX('Per Invoice'!P$2:P$801,$W10)="","",INDEX('Per Invoice'!P$2:P$801,$W10)))</f>
        <v/>
      </c>
      <c r="Q10" s="7">
        <f>IF($W10="","",IF(INDEX('Per Invoice'!Q$2:Q$801,$W10)="","",INDEX('Per Invoice'!Q$2:Q$801,$W10)))</f>
        <v/>
      </c>
      <c r="R10" s="7">
        <f>IF($W10="","",IF(INDEX('Per Invoice'!R$2:R$801,$W10)="","",INDEX('Per Invoice'!R$2:R$801,$W10)))</f>
        <v/>
      </c>
      <c r="S10" s="7">
        <f>IF($W10="","",IF(INDEX('Per Invoice'!S$2:S$801,$W10)="","",INDEX('Per Invoice'!S$2:S$801,$W10)))</f>
        <v/>
      </c>
      <c r="T10" s="7">
        <f>IF($W10="","",IF(INDEX('Per Invoice'!T$2:T$801,$W10)="","",INDEX('Per Invoice'!T$2:T$801,$W10)))</f>
        <v/>
      </c>
      <c r="U10" s="7">
        <f>IF($W10="","",IF(INDEX('Per Invoice'!U$2:U$801,$W10)="","",INDEX('Per Invoice'!U$2:U$801,$W10)))</f>
        <v/>
      </c>
      <c r="V10" s="7">
        <f>IF($W10="","",IF(INDEX('Per Invoice'!V$2:V$801,$W10)="","",INDEX('Per Invoice'!V$2:V$801,$W10)))</f>
        <v/>
      </c>
      <c r="W10" s="16">
        <f>IFERROR(MATCH(Settings!$C$26&amp;"|"&amp;ROWS($W$2:$W10),'Per Invoice'!$X$2:$X$801,0),"")</f>
        <v/>
      </c>
    </row>
    <row r="11">
      <c r="A11">
        <f>IF($W11="","",IF(INDEX('Per Invoice'!A$2:A$801,$W11)="","",INDEX('Per Invoice'!A$2:A$801,$W11)))</f>
        <v/>
      </c>
      <c r="B11">
        <f>IF($W11="","",IF(INDEX('Per Invoice'!B$2:B$801,$W11)="","",INDEX('Per Invoice'!B$2:B$801,$W11)))</f>
        <v/>
      </c>
      <c r="C11">
        <f>IF($W11="","",IF(INDEX('Per Invoice'!C$2:C$801,$W11)="","",INDEX('Per Invoice'!C$2:C$801,$W11)))</f>
        <v/>
      </c>
      <c r="D11">
        <f>IF($W11="","",IF(INDEX('Per Invoice'!D$2:D$801,$W11)="","",INDEX('Per Invoice'!D$2:D$801,$W11)))</f>
        <v/>
      </c>
      <c r="E11">
        <f>IF($W11="","",IF(INDEX('Per Invoice'!E$2:E$801,$W11)="","",INDEX('Per Invoice'!E$2:E$801,$W11)))</f>
        <v/>
      </c>
      <c r="F11">
        <f>IF($W11="","",IF(INDEX('Per Invoice'!F$2:F$801,$W11)="","",INDEX('Per Invoice'!F$2:F$801,$W11)))</f>
        <v/>
      </c>
      <c r="G11">
        <f>IF($W11="","",IF(INDEX('Per Invoice'!G$2:G$801,$W11)="","",INDEX('Per Invoice'!G$2:G$801,$W11)))</f>
        <v/>
      </c>
      <c r="H11">
        <f>IF($W11="","",IF(INDEX('Per Invoice'!H$2:H$801,$W11)="","",INDEX('Per Invoice'!H$2:H$801,$W11)))</f>
        <v/>
      </c>
      <c r="I11">
        <f>IF($W11="","",IF(INDEX('Per Invoice'!I$2:I$801,$W11)="","",INDEX('Per Invoice'!I$2:I$801,$W11)))</f>
        <v/>
      </c>
      <c r="J11">
        <f>IF($W11="","",IF(INDEX('Per Invoice'!J$2:J$801,$W11)="","",INDEX('Per Invoice'!J$2:J$801,$W11)))</f>
        <v/>
      </c>
      <c r="K11" s="7">
        <f>IF($W11="","",IF(INDEX('Per Invoice'!K$2:K$801,$W11)="","",INDEX('Per Invoice'!K$2:K$801,$W11)))</f>
        <v/>
      </c>
      <c r="L11" s="14">
        <f>IF($W11="","",IF(INDEX('Per Invoice'!L$2:L$801,$W11)="","",INDEX('Per Invoice'!L$2:L$801,$W11)))</f>
        <v/>
      </c>
      <c r="M11">
        <f>IF($W11="","",IF(INDEX('Per Invoice'!M$2:M$801,$W11)="","",INDEX('Per Invoice'!M$2:M$801,$W11)))</f>
        <v/>
      </c>
      <c r="N11" s="7">
        <f>IF($W11="","",IF(INDEX('Per Invoice'!N$2:N$801,$W11)="","",INDEX('Per Invoice'!N$2:N$801,$W11)))</f>
        <v/>
      </c>
      <c r="O11" s="7">
        <f>IF($W11="","",IF(INDEX('Per Invoice'!O$2:O$801,$W11)="","",INDEX('Per Invoice'!O$2:O$801,$W11)))</f>
        <v/>
      </c>
      <c r="P11">
        <f>IF($W11="","",IF(INDEX('Per Invoice'!P$2:P$801,$W11)="","",INDEX('Per Invoice'!P$2:P$801,$W11)))</f>
        <v/>
      </c>
      <c r="Q11" s="7">
        <f>IF($W11="","",IF(INDEX('Per Invoice'!Q$2:Q$801,$W11)="","",INDEX('Per Invoice'!Q$2:Q$801,$W11)))</f>
        <v/>
      </c>
      <c r="R11" s="7">
        <f>IF($W11="","",IF(INDEX('Per Invoice'!R$2:R$801,$W11)="","",INDEX('Per Invoice'!R$2:R$801,$W11)))</f>
        <v/>
      </c>
      <c r="S11" s="7">
        <f>IF($W11="","",IF(INDEX('Per Invoice'!S$2:S$801,$W11)="","",INDEX('Per Invoice'!S$2:S$801,$W11)))</f>
        <v/>
      </c>
      <c r="T11" s="7">
        <f>IF($W11="","",IF(INDEX('Per Invoice'!T$2:T$801,$W11)="","",INDEX('Per Invoice'!T$2:T$801,$W11)))</f>
        <v/>
      </c>
      <c r="U11" s="7">
        <f>IF($W11="","",IF(INDEX('Per Invoice'!U$2:U$801,$W11)="","",INDEX('Per Invoice'!U$2:U$801,$W11)))</f>
        <v/>
      </c>
      <c r="V11" s="7">
        <f>IF($W11="","",IF(INDEX('Per Invoice'!V$2:V$801,$W11)="","",INDEX('Per Invoice'!V$2:V$801,$W11)))</f>
        <v/>
      </c>
      <c r="W11" s="16">
        <f>IFERROR(MATCH(Settings!$C$26&amp;"|"&amp;ROWS($W$2:$W11),'Per Invoice'!$X$2:$X$801,0),"")</f>
        <v/>
      </c>
    </row>
    <row r="12">
      <c r="A12">
        <f>IF($W12="","",IF(INDEX('Per Invoice'!A$2:A$801,$W12)="","",INDEX('Per Invoice'!A$2:A$801,$W12)))</f>
        <v/>
      </c>
      <c r="B12">
        <f>IF($W12="","",IF(INDEX('Per Invoice'!B$2:B$801,$W12)="","",INDEX('Per Invoice'!B$2:B$801,$W12)))</f>
        <v/>
      </c>
      <c r="C12">
        <f>IF($W12="","",IF(INDEX('Per Invoice'!C$2:C$801,$W12)="","",INDEX('Per Invoice'!C$2:C$801,$W12)))</f>
        <v/>
      </c>
      <c r="D12">
        <f>IF($W12="","",IF(INDEX('Per Invoice'!D$2:D$801,$W12)="","",INDEX('Per Invoice'!D$2:D$801,$W12)))</f>
        <v/>
      </c>
      <c r="E12">
        <f>IF($W12="","",IF(INDEX('Per Invoice'!E$2:E$801,$W12)="","",INDEX('Per Invoice'!E$2:E$801,$W12)))</f>
        <v/>
      </c>
      <c r="F12">
        <f>IF($W12="","",IF(INDEX('Per Invoice'!F$2:F$801,$W12)="","",INDEX('Per Invoice'!F$2:F$801,$W12)))</f>
        <v/>
      </c>
      <c r="G12">
        <f>IF($W12="","",IF(INDEX('Per Invoice'!G$2:G$801,$W12)="","",INDEX('Per Invoice'!G$2:G$801,$W12)))</f>
        <v/>
      </c>
      <c r="H12">
        <f>IF($W12="","",IF(INDEX('Per Invoice'!H$2:H$801,$W12)="","",INDEX('Per Invoice'!H$2:H$801,$W12)))</f>
        <v/>
      </c>
      <c r="I12">
        <f>IF($W12="","",IF(INDEX('Per Invoice'!I$2:I$801,$W12)="","",INDEX('Per Invoice'!I$2:I$801,$W12)))</f>
        <v/>
      </c>
      <c r="J12">
        <f>IF($W12="","",IF(INDEX('Per Invoice'!J$2:J$801,$W12)="","",INDEX('Per Invoice'!J$2:J$801,$W12)))</f>
        <v/>
      </c>
      <c r="K12" s="7">
        <f>IF($W12="","",IF(INDEX('Per Invoice'!K$2:K$801,$W12)="","",INDEX('Per Invoice'!K$2:K$801,$W12)))</f>
        <v/>
      </c>
      <c r="L12" s="14">
        <f>IF($W12="","",IF(INDEX('Per Invoice'!L$2:L$801,$W12)="","",INDEX('Per Invoice'!L$2:L$801,$W12)))</f>
        <v/>
      </c>
      <c r="M12">
        <f>IF($W12="","",IF(INDEX('Per Invoice'!M$2:M$801,$W12)="","",INDEX('Per Invoice'!M$2:M$801,$W12)))</f>
        <v/>
      </c>
      <c r="N12" s="7">
        <f>IF($W12="","",IF(INDEX('Per Invoice'!N$2:N$801,$W12)="","",INDEX('Per Invoice'!N$2:N$801,$W12)))</f>
        <v/>
      </c>
      <c r="O12" s="7">
        <f>IF($W12="","",IF(INDEX('Per Invoice'!O$2:O$801,$W12)="","",INDEX('Per Invoice'!O$2:O$801,$W12)))</f>
        <v/>
      </c>
      <c r="P12">
        <f>IF($W12="","",IF(INDEX('Per Invoice'!P$2:P$801,$W12)="","",INDEX('Per Invoice'!P$2:P$801,$W12)))</f>
        <v/>
      </c>
      <c r="Q12" s="7">
        <f>IF($W12="","",IF(INDEX('Per Invoice'!Q$2:Q$801,$W12)="","",INDEX('Per Invoice'!Q$2:Q$801,$W12)))</f>
        <v/>
      </c>
      <c r="R12" s="7">
        <f>IF($W12="","",IF(INDEX('Per Invoice'!R$2:R$801,$W12)="","",INDEX('Per Invoice'!R$2:R$801,$W12)))</f>
        <v/>
      </c>
      <c r="S12" s="7">
        <f>IF($W12="","",IF(INDEX('Per Invoice'!S$2:S$801,$W12)="","",INDEX('Per Invoice'!S$2:S$801,$W12)))</f>
        <v/>
      </c>
      <c r="T12" s="7">
        <f>IF($W12="","",IF(INDEX('Per Invoice'!T$2:T$801,$W12)="","",INDEX('Per Invoice'!T$2:T$801,$W12)))</f>
        <v/>
      </c>
      <c r="U12" s="7">
        <f>IF($W12="","",IF(INDEX('Per Invoice'!U$2:U$801,$W12)="","",INDEX('Per Invoice'!U$2:U$801,$W12)))</f>
        <v/>
      </c>
      <c r="V12" s="7">
        <f>IF($W12="","",IF(INDEX('Per Invoice'!V$2:V$801,$W12)="","",INDEX('Per Invoice'!V$2:V$801,$W12)))</f>
        <v/>
      </c>
      <c r="W12" s="16">
        <f>IFERROR(MATCH(Settings!$C$26&amp;"|"&amp;ROWS($W$2:$W12),'Per Invoice'!$X$2:$X$801,0),"")</f>
        <v/>
      </c>
    </row>
    <row r="13">
      <c r="A13">
        <f>IF($W13="","",IF(INDEX('Per Invoice'!A$2:A$801,$W13)="","",INDEX('Per Invoice'!A$2:A$801,$W13)))</f>
        <v/>
      </c>
      <c r="B13">
        <f>IF($W13="","",IF(INDEX('Per Invoice'!B$2:B$801,$W13)="","",INDEX('Per Invoice'!B$2:B$801,$W13)))</f>
        <v/>
      </c>
      <c r="C13">
        <f>IF($W13="","",IF(INDEX('Per Invoice'!C$2:C$801,$W13)="","",INDEX('Per Invoice'!C$2:C$801,$W13)))</f>
        <v/>
      </c>
      <c r="D13">
        <f>IF($W13="","",IF(INDEX('Per Invoice'!D$2:D$801,$W13)="","",INDEX('Per Invoice'!D$2:D$801,$W13)))</f>
        <v/>
      </c>
      <c r="E13">
        <f>IF($W13="","",IF(INDEX('Per Invoice'!E$2:E$801,$W13)="","",INDEX('Per Invoice'!E$2:E$801,$W13)))</f>
        <v/>
      </c>
      <c r="F13">
        <f>IF($W13="","",IF(INDEX('Per Invoice'!F$2:F$801,$W13)="","",INDEX('Per Invoice'!F$2:F$801,$W13)))</f>
        <v/>
      </c>
      <c r="G13">
        <f>IF($W13="","",IF(INDEX('Per Invoice'!G$2:G$801,$W13)="","",INDEX('Per Invoice'!G$2:G$801,$W13)))</f>
        <v/>
      </c>
      <c r="H13">
        <f>IF($W13="","",IF(INDEX('Per Invoice'!H$2:H$801,$W13)="","",INDEX('Per Invoice'!H$2:H$801,$W13)))</f>
        <v/>
      </c>
      <c r="I13">
        <f>IF($W13="","",IF(INDEX('Per Invoice'!I$2:I$801,$W13)="","",INDEX('Per Invoice'!I$2:I$801,$W13)))</f>
        <v/>
      </c>
      <c r="J13">
        <f>IF($W13="","",IF(INDEX('Per Invoice'!J$2:J$801,$W13)="","",INDEX('Per Invoice'!J$2:J$801,$W13)))</f>
        <v/>
      </c>
      <c r="K13" s="7">
        <f>IF($W13="","",IF(INDEX('Per Invoice'!K$2:K$801,$W13)="","",INDEX('Per Invoice'!K$2:K$801,$W13)))</f>
        <v/>
      </c>
      <c r="L13" s="14">
        <f>IF($W13="","",IF(INDEX('Per Invoice'!L$2:L$801,$W13)="","",INDEX('Per Invoice'!L$2:L$801,$W13)))</f>
        <v/>
      </c>
      <c r="M13">
        <f>IF($W13="","",IF(INDEX('Per Invoice'!M$2:M$801,$W13)="","",INDEX('Per Invoice'!M$2:M$801,$W13)))</f>
        <v/>
      </c>
      <c r="N13" s="7">
        <f>IF($W13="","",IF(INDEX('Per Invoice'!N$2:N$801,$W13)="","",INDEX('Per Invoice'!N$2:N$801,$W13)))</f>
        <v/>
      </c>
      <c r="O13" s="7">
        <f>IF($W13="","",IF(INDEX('Per Invoice'!O$2:O$801,$W13)="","",INDEX('Per Invoice'!O$2:O$801,$W13)))</f>
        <v/>
      </c>
      <c r="P13">
        <f>IF($W13="","",IF(INDEX('Per Invoice'!P$2:P$801,$W13)="","",INDEX('Per Invoice'!P$2:P$801,$W13)))</f>
        <v/>
      </c>
      <c r="Q13" s="7">
        <f>IF($W13="","",IF(INDEX('Per Invoice'!Q$2:Q$801,$W13)="","",INDEX('Per Invoice'!Q$2:Q$801,$W13)))</f>
        <v/>
      </c>
      <c r="R13" s="7">
        <f>IF($W13="","",IF(INDEX('Per Invoice'!R$2:R$801,$W13)="","",INDEX('Per Invoice'!R$2:R$801,$W13)))</f>
        <v/>
      </c>
      <c r="S13" s="7">
        <f>IF($W13="","",IF(INDEX('Per Invoice'!S$2:S$801,$W13)="","",INDEX('Per Invoice'!S$2:S$801,$W13)))</f>
        <v/>
      </c>
      <c r="T13" s="7">
        <f>IF($W13="","",IF(INDEX('Per Invoice'!T$2:T$801,$W13)="","",INDEX('Per Invoice'!T$2:T$801,$W13)))</f>
        <v/>
      </c>
      <c r="U13" s="7">
        <f>IF($W13="","",IF(INDEX('Per Invoice'!U$2:U$801,$W13)="","",INDEX('Per Invoice'!U$2:U$801,$W13)))</f>
        <v/>
      </c>
      <c r="V13" s="7">
        <f>IF($W13="","",IF(INDEX('Per Invoice'!V$2:V$801,$W13)="","",INDEX('Per Invoice'!V$2:V$801,$W13)))</f>
        <v/>
      </c>
      <c r="W13" s="16">
        <f>IFERROR(MATCH(Settings!$C$26&amp;"|"&amp;ROWS($W$2:$W13),'Per Invoice'!$X$2:$X$801,0),"")</f>
        <v/>
      </c>
    </row>
    <row r="14">
      <c r="A14">
        <f>IF($W14="","",IF(INDEX('Per Invoice'!A$2:A$801,$W14)="","",INDEX('Per Invoice'!A$2:A$801,$W14)))</f>
        <v/>
      </c>
      <c r="B14">
        <f>IF($W14="","",IF(INDEX('Per Invoice'!B$2:B$801,$W14)="","",INDEX('Per Invoice'!B$2:B$801,$W14)))</f>
        <v/>
      </c>
      <c r="C14">
        <f>IF($W14="","",IF(INDEX('Per Invoice'!C$2:C$801,$W14)="","",INDEX('Per Invoice'!C$2:C$801,$W14)))</f>
        <v/>
      </c>
      <c r="D14">
        <f>IF($W14="","",IF(INDEX('Per Invoice'!D$2:D$801,$W14)="","",INDEX('Per Invoice'!D$2:D$801,$W14)))</f>
        <v/>
      </c>
      <c r="E14">
        <f>IF($W14="","",IF(INDEX('Per Invoice'!E$2:E$801,$W14)="","",INDEX('Per Invoice'!E$2:E$801,$W14)))</f>
        <v/>
      </c>
      <c r="F14">
        <f>IF($W14="","",IF(INDEX('Per Invoice'!F$2:F$801,$W14)="","",INDEX('Per Invoice'!F$2:F$801,$W14)))</f>
        <v/>
      </c>
      <c r="G14">
        <f>IF($W14="","",IF(INDEX('Per Invoice'!G$2:G$801,$W14)="","",INDEX('Per Invoice'!G$2:G$801,$W14)))</f>
        <v/>
      </c>
      <c r="H14">
        <f>IF($W14="","",IF(INDEX('Per Invoice'!H$2:H$801,$W14)="","",INDEX('Per Invoice'!H$2:H$801,$W14)))</f>
        <v/>
      </c>
      <c r="I14">
        <f>IF($W14="","",IF(INDEX('Per Invoice'!I$2:I$801,$W14)="","",INDEX('Per Invoice'!I$2:I$801,$W14)))</f>
        <v/>
      </c>
      <c r="J14">
        <f>IF($W14="","",IF(INDEX('Per Invoice'!J$2:J$801,$W14)="","",INDEX('Per Invoice'!J$2:J$801,$W14)))</f>
        <v/>
      </c>
      <c r="K14" s="7">
        <f>IF($W14="","",IF(INDEX('Per Invoice'!K$2:K$801,$W14)="","",INDEX('Per Invoice'!K$2:K$801,$W14)))</f>
        <v/>
      </c>
      <c r="L14" s="14">
        <f>IF($W14="","",IF(INDEX('Per Invoice'!L$2:L$801,$W14)="","",INDEX('Per Invoice'!L$2:L$801,$W14)))</f>
        <v/>
      </c>
      <c r="M14">
        <f>IF($W14="","",IF(INDEX('Per Invoice'!M$2:M$801,$W14)="","",INDEX('Per Invoice'!M$2:M$801,$W14)))</f>
        <v/>
      </c>
      <c r="N14" s="7">
        <f>IF($W14="","",IF(INDEX('Per Invoice'!N$2:N$801,$W14)="","",INDEX('Per Invoice'!N$2:N$801,$W14)))</f>
        <v/>
      </c>
      <c r="O14" s="7">
        <f>IF($W14="","",IF(INDEX('Per Invoice'!O$2:O$801,$W14)="","",INDEX('Per Invoice'!O$2:O$801,$W14)))</f>
        <v/>
      </c>
      <c r="P14">
        <f>IF($W14="","",IF(INDEX('Per Invoice'!P$2:P$801,$W14)="","",INDEX('Per Invoice'!P$2:P$801,$W14)))</f>
        <v/>
      </c>
      <c r="Q14" s="7">
        <f>IF($W14="","",IF(INDEX('Per Invoice'!Q$2:Q$801,$W14)="","",INDEX('Per Invoice'!Q$2:Q$801,$W14)))</f>
        <v/>
      </c>
      <c r="R14" s="7">
        <f>IF($W14="","",IF(INDEX('Per Invoice'!R$2:R$801,$W14)="","",INDEX('Per Invoice'!R$2:R$801,$W14)))</f>
        <v/>
      </c>
      <c r="S14" s="7">
        <f>IF($W14="","",IF(INDEX('Per Invoice'!S$2:S$801,$W14)="","",INDEX('Per Invoice'!S$2:S$801,$W14)))</f>
        <v/>
      </c>
      <c r="T14" s="7">
        <f>IF($W14="","",IF(INDEX('Per Invoice'!T$2:T$801,$W14)="","",INDEX('Per Invoice'!T$2:T$801,$W14)))</f>
        <v/>
      </c>
      <c r="U14" s="7">
        <f>IF($W14="","",IF(INDEX('Per Invoice'!U$2:U$801,$W14)="","",INDEX('Per Invoice'!U$2:U$801,$W14)))</f>
        <v/>
      </c>
      <c r="V14" s="7">
        <f>IF($W14="","",IF(INDEX('Per Invoice'!V$2:V$801,$W14)="","",INDEX('Per Invoice'!V$2:V$801,$W14)))</f>
        <v/>
      </c>
      <c r="W14" s="16">
        <f>IFERROR(MATCH(Settings!$C$26&amp;"|"&amp;ROWS($W$2:$W14),'Per Invoice'!$X$2:$X$801,0),"")</f>
        <v/>
      </c>
    </row>
    <row r="15">
      <c r="A15">
        <f>IF($W15="","",IF(INDEX('Per Invoice'!A$2:A$801,$W15)="","",INDEX('Per Invoice'!A$2:A$801,$W15)))</f>
        <v/>
      </c>
      <c r="B15">
        <f>IF($W15="","",IF(INDEX('Per Invoice'!B$2:B$801,$W15)="","",INDEX('Per Invoice'!B$2:B$801,$W15)))</f>
        <v/>
      </c>
      <c r="C15">
        <f>IF($W15="","",IF(INDEX('Per Invoice'!C$2:C$801,$W15)="","",INDEX('Per Invoice'!C$2:C$801,$W15)))</f>
        <v/>
      </c>
      <c r="D15">
        <f>IF($W15="","",IF(INDEX('Per Invoice'!D$2:D$801,$W15)="","",INDEX('Per Invoice'!D$2:D$801,$W15)))</f>
        <v/>
      </c>
      <c r="E15">
        <f>IF($W15="","",IF(INDEX('Per Invoice'!E$2:E$801,$W15)="","",INDEX('Per Invoice'!E$2:E$801,$W15)))</f>
        <v/>
      </c>
      <c r="F15">
        <f>IF($W15="","",IF(INDEX('Per Invoice'!F$2:F$801,$W15)="","",INDEX('Per Invoice'!F$2:F$801,$W15)))</f>
        <v/>
      </c>
      <c r="G15">
        <f>IF($W15="","",IF(INDEX('Per Invoice'!G$2:G$801,$W15)="","",INDEX('Per Invoice'!G$2:G$801,$W15)))</f>
        <v/>
      </c>
      <c r="H15">
        <f>IF($W15="","",IF(INDEX('Per Invoice'!H$2:H$801,$W15)="","",INDEX('Per Invoice'!H$2:H$801,$W15)))</f>
        <v/>
      </c>
      <c r="I15">
        <f>IF($W15="","",IF(INDEX('Per Invoice'!I$2:I$801,$W15)="","",INDEX('Per Invoice'!I$2:I$801,$W15)))</f>
        <v/>
      </c>
      <c r="J15">
        <f>IF($W15="","",IF(INDEX('Per Invoice'!J$2:J$801,$W15)="","",INDEX('Per Invoice'!J$2:J$801,$W15)))</f>
        <v/>
      </c>
      <c r="K15" s="7">
        <f>IF($W15="","",IF(INDEX('Per Invoice'!K$2:K$801,$W15)="","",INDEX('Per Invoice'!K$2:K$801,$W15)))</f>
        <v/>
      </c>
      <c r="L15" s="14">
        <f>IF($W15="","",IF(INDEX('Per Invoice'!L$2:L$801,$W15)="","",INDEX('Per Invoice'!L$2:L$801,$W15)))</f>
        <v/>
      </c>
      <c r="M15">
        <f>IF($W15="","",IF(INDEX('Per Invoice'!M$2:M$801,$W15)="","",INDEX('Per Invoice'!M$2:M$801,$W15)))</f>
        <v/>
      </c>
      <c r="N15" s="7">
        <f>IF($W15="","",IF(INDEX('Per Invoice'!N$2:N$801,$W15)="","",INDEX('Per Invoice'!N$2:N$801,$W15)))</f>
        <v/>
      </c>
      <c r="O15" s="7">
        <f>IF($W15="","",IF(INDEX('Per Invoice'!O$2:O$801,$W15)="","",INDEX('Per Invoice'!O$2:O$801,$W15)))</f>
        <v/>
      </c>
      <c r="P15">
        <f>IF($W15="","",IF(INDEX('Per Invoice'!P$2:P$801,$W15)="","",INDEX('Per Invoice'!P$2:P$801,$W15)))</f>
        <v/>
      </c>
      <c r="Q15" s="7">
        <f>IF($W15="","",IF(INDEX('Per Invoice'!Q$2:Q$801,$W15)="","",INDEX('Per Invoice'!Q$2:Q$801,$W15)))</f>
        <v/>
      </c>
      <c r="R15" s="7">
        <f>IF($W15="","",IF(INDEX('Per Invoice'!R$2:R$801,$W15)="","",INDEX('Per Invoice'!R$2:R$801,$W15)))</f>
        <v/>
      </c>
      <c r="S15" s="7">
        <f>IF($W15="","",IF(INDEX('Per Invoice'!S$2:S$801,$W15)="","",INDEX('Per Invoice'!S$2:S$801,$W15)))</f>
        <v/>
      </c>
      <c r="T15" s="7">
        <f>IF($W15="","",IF(INDEX('Per Invoice'!T$2:T$801,$W15)="","",INDEX('Per Invoice'!T$2:T$801,$W15)))</f>
        <v/>
      </c>
      <c r="U15" s="7">
        <f>IF($W15="","",IF(INDEX('Per Invoice'!U$2:U$801,$W15)="","",INDEX('Per Invoice'!U$2:U$801,$W15)))</f>
        <v/>
      </c>
      <c r="V15" s="7">
        <f>IF($W15="","",IF(INDEX('Per Invoice'!V$2:V$801,$W15)="","",INDEX('Per Invoice'!V$2:V$801,$W15)))</f>
        <v/>
      </c>
      <c r="W15" s="16">
        <f>IFERROR(MATCH(Settings!$C$26&amp;"|"&amp;ROWS($W$2:$W15),'Per Invoice'!$X$2:$X$801,0),"")</f>
        <v/>
      </c>
    </row>
    <row r="16">
      <c r="A16">
        <f>IF($W16="","",IF(INDEX('Per Invoice'!A$2:A$801,$W16)="","",INDEX('Per Invoice'!A$2:A$801,$W16)))</f>
        <v/>
      </c>
      <c r="B16">
        <f>IF($W16="","",IF(INDEX('Per Invoice'!B$2:B$801,$W16)="","",INDEX('Per Invoice'!B$2:B$801,$W16)))</f>
        <v/>
      </c>
      <c r="C16">
        <f>IF($W16="","",IF(INDEX('Per Invoice'!C$2:C$801,$W16)="","",INDEX('Per Invoice'!C$2:C$801,$W16)))</f>
        <v/>
      </c>
      <c r="D16">
        <f>IF($W16="","",IF(INDEX('Per Invoice'!D$2:D$801,$W16)="","",INDEX('Per Invoice'!D$2:D$801,$W16)))</f>
        <v/>
      </c>
      <c r="E16">
        <f>IF($W16="","",IF(INDEX('Per Invoice'!E$2:E$801,$W16)="","",INDEX('Per Invoice'!E$2:E$801,$W16)))</f>
        <v/>
      </c>
      <c r="F16">
        <f>IF($W16="","",IF(INDEX('Per Invoice'!F$2:F$801,$W16)="","",INDEX('Per Invoice'!F$2:F$801,$W16)))</f>
        <v/>
      </c>
      <c r="G16">
        <f>IF($W16="","",IF(INDEX('Per Invoice'!G$2:G$801,$W16)="","",INDEX('Per Invoice'!G$2:G$801,$W16)))</f>
        <v/>
      </c>
      <c r="H16">
        <f>IF($W16="","",IF(INDEX('Per Invoice'!H$2:H$801,$W16)="","",INDEX('Per Invoice'!H$2:H$801,$W16)))</f>
        <v/>
      </c>
      <c r="I16">
        <f>IF($W16="","",IF(INDEX('Per Invoice'!I$2:I$801,$W16)="","",INDEX('Per Invoice'!I$2:I$801,$W16)))</f>
        <v/>
      </c>
      <c r="J16">
        <f>IF($W16="","",IF(INDEX('Per Invoice'!J$2:J$801,$W16)="","",INDEX('Per Invoice'!J$2:J$801,$W16)))</f>
        <v/>
      </c>
      <c r="K16" s="7">
        <f>IF($W16="","",IF(INDEX('Per Invoice'!K$2:K$801,$W16)="","",INDEX('Per Invoice'!K$2:K$801,$W16)))</f>
        <v/>
      </c>
      <c r="L16" s="14">
        <f>IF($W16="","",IF(INDEX('Per Invoice'!L$2:L$801,$W16)="","",INDEX('Per Invoice'!L$2:L$801,$W16)))</f>
        <v/>
      </c>
      <c r="M16">
        <f>IF($W16="","",IF(INDEX('Per Invoice'!M$2:M$801,$W16)="","",INDEX('Per Invoice'!M$2:M$801,$W16)))</f>
        <v/>
      </c>
      <c r="N16" s="7">
        <f>IF($W16="","",IF(INDEX('Per Invoice'!N$2:N$801,$W16)="","",INDEX('Per Invoice'!N$2:N$801,$W16)))</f>
        <v/>
      </c>
      <c r="O16" s="7">
        <f>IF($W16="","",IF(INDEX('Per Invoice'!O$2:O$801,$W16)="","",INDEX('Per Invoice'!O$2:O$801,$W16)))</f>
        <v/>
      </c>
      <c r="P16">
        <f>IF($W16="","",IF(INDEX('Per Invoice'!P$2:P$801,$W16)="","",INDEX('Per Invoice'!P$2:P$801,$W16)))</f>
        <v/>
      </c>
      <c r="Q16" s="7">
        <f>IF($W16="","",IF(INDEX('Per Invoice'!Q$2:Q$801,$W16)="","",INDEX('Per Invoice'!Q$2:Q$801,$W16)))</f>
        <v/>
      </c>
      <c r="R16" s="7">
        <f>IF($W16="","",IF(INDEX('Per Invoice'!R$2:R$801,$W16)="","",INDEX('Per Invoice'!R$2:R$801,$W16)))</f>
        <v/>
      </c>
      <c r="S16" s="7">
        <f>IF($W16="","",IF(INDEX('Per Invoice'!S$2:S$801,$W16)="","",INDEX('Per Invoice'!S$2:S$801,$W16)))</f>
        <v/>
      </c>
      <c r="T16" s="7">
        <f>IF($W16="","",IF(INDEX('Per Invoice'!T$2:T$801,$W16)="","",INDEX('Per Invoice'!T$2:T$801,$W16)))</f>
        <v/>
      </c>
      <c r="U16" s="7">
        <f>IF($W16="","",IF(INDEX('Per Invoice'!U$2:U$801,$W16)="","",INDEX('Per Invoice'!U$2:U$801,$W16)))</f>
        <v/>
      </c>
      <c r="V16" s="7">
        <f>IF($W16="","",IF(INDEX('Per Invoice'!V$2:V$801,$W16)="","",INDEX('Per Invoice'!V$2:V$801,$W16)))</f>
        <v/>
      </c>
      <c r="W16" s="16">
        <f>IFERROR(MATCH(Settings!$C$26&amp;"|"&amp;ROWS($W$2:$W16),'Per Invoice'!$X$2:$X$801,0),"")</f>
        <v/>
      </c>
    </row>
    <row r="17">
      <c r="A17">
        <f>IF($W17="","",IF(INDEX('Per Invoice'!A$2:A$801,$W17)="","",INDEX('Per Invoice'!A$2:A$801,$W17)))</f>
        <v/>
      </c>
      <c r="B17">
        <f>IF($W17="","",IF(INDEX('Per Invoice'!B$2:B$801,$W17)="","",INDEX('Per Invoice'!B$2:B$801,$W17)))</f>
        <v/>
      </c>
      <c r="C17">
        <f>IF($W17="","",IF(INDEX('Per Invoice'!C$2:C$801,$W17)="","",INDEX('Per Invoice'!C$2:C$801,$W17)))</f>
        <v/>
      </c>
      <c r="D17">
        <f>IF($W17="","",IF(INDEX('Per Invoice'!D$2:D$801,$W17)="","",INDEX('Per Invoice'!D$2:D$801,$W17)))</f>
        <v/>
      </c>
      <c r="E17">
        <f>IF($W17="","",IF(INDEX('Per Invoice'!E$2:E$801,$W17)="","",INDEX('Per Invoice'!E$2:E$801,$W17)))</f>
        <v/>
      </c>
      <c r="F17">
        <f>IF($W17="","",IF(INDEX('Per Invoice'!F$2:F$801,$W17)="","",INDEX('Per Invoice'!F$2:F$801,$W17)))</f>
        <v/>
      </c>
      <c r="G17">
        <f>IF($W17="","",IF(INDEX('Per Invoice'!G$2:G$801,$W17)="","",INDEX('Per Invoice'!G$2:G$801,$W17)))</f>
        <v/>
      </c>
      <c r="H17">
        <f>IF($W17="","",IF(INDEX('Per Invoice'!H$2:H$801,$W17)="","",INDEX('Per Invoice'!H$2:H$801,$W17)))</f>
        <v/>
      </c>
      <c r="I17">
        <f>IF($W17="","",IF(INDEX('Per Invoice'!I$2:I$801,$W17)="","",INDEX('Per Invoice'!I$2:I$801,$W17)))</f>
        <v/>
      </c>
      <c r="J17">
        <f>IF($W17="","",IF(INDEX('Per Invoice'!J$2:J$801,$W17)="","",INDEX('Per Invoice'!J$2:J$801,$W17)))</f>
        <v/>
      </c>
      <c r="K17" s="7">
        <f>IF($W17="","",IF(INDEX('Per Invoice'!K$2:K$801,$W17)="","",INDEX('Per Invoice'!K$2:K$801,$W17)))</f>
        <v/>
      </c>
      <c r="L17" s="14">
        <f>IF($W17="","",IF(INDEX('Per Invoice'!L$2:L$801,$W17)="","",INDEX('Per Invoice'!L$2:L$801,$W17)))</f>
        <v/>
      </c>
      <c r="M17">
        <f>IF($W17="","",IF(INDEX('Per Invoice'!M$2:M$801,$W17)="","",INDEX('Per Invoice'!M$2:M$801,$W17)))</f>
        <v/>
      </c>
      <c r="N17" s="7">
        <f>IF($W17="","",IF(INDEX('Per Invoice'!N$2:N$801,$W17)="","",INDEX('Per Invoice'!N$2:N$801,$W17)))</f>
        <v/>
      </c>
      <c r="O17" s="7">
        <f>IF($W17="","",IF(INDEX('Per Invoice'!O$2:O$801,$W17)="","",INDEX('Per Invoice'!O$2:O$801,$W17)))</f>
        <v/>
      </c>
      <c r="P17">
        <f>IF($W17="","",IF(INDEX('Per Invoice'!P$2:P$801,$W17)="","",INDEX('Per Invoice'!P$2:P$801,$W17)))</f>
        <v/>
      </c>
      <c r="Q17" s="7">
        <f>IF($W17="","",IF(INDEX('Per Invoice'!Q$2:Q$801,$W17)="","",INDEX('Per Invoice'!Q$2:Q$801,$W17)))</f>
        <v/>
      </c>
      <c r="R17" s="7">
        <f>IF($W17="","",IF(INDEX('Per Invoice'!R$2:R$801,$W17)="","",INDEX('Per Invoice'!R$2:R$801,$W17)))</f>
        <v/>
      </c>
      <c r="S17" s="7">
        <f>IF($W17="","",IF(INDEX('Per Invoice'!S$2:S$801,$W17)="","",INDEX('Per Invoice'!S$2:S$801,$W17)))</f>
        <v/>
      </c>
      <c r="T17" s="7">
        <f>IF($W17="","",IF(INDEX('Per Invoice'!T$2:T$801,$W17)="","",INDEX('Per Invoice'!T$2:T$801,$W17)))</f>
        <v/>
      </c>
      <c r="U17" s="7">
        <f>IF($W17="","",IF(INDEX('Per Invoice'!U$2:U$801,$W17)="","",INDEX('Per Invoice'!U$2:U$801,$W17)))</f>
        <v/>
      </c>
      <c r="V17" s="7">
        <f>IF($W17="","",IF(INDEX('Per Invoice'!V$2:V$801,$W17)="","",INDEX('Per Invoice'!V$2:V$801,$W17)))</f>
        <v/>
      </c>
      <c r="W17" s="16">
        <f>IFERROR(MATCH(Settings!$C$26&amp;"|"&amp;ROWS($W$2:$W17),'Per Invoice'!$X$2:$X$801,0),"")</f>
        <v/>
      </c>
    </row>
    <row r="18">
      <c r="A18">
        <f>IF($W18="","",IF(INDEX('Per Invoice'!A$2:A$801,$W18)="","",INDEX('Per Invoice'!A$2:A$801,$W18)))</f>
        <v/>
      </c>
      <c r="B18">
        <f>IF($W18="","",IF(INDEX('Per Invoice'!B$2:B$801,$W18)="","",INDEX('Per Invoice'!B$2:B$801,$W18)))</f>
        <v/>
      </c>
      <c r="C18">
        <f>IF($W18="","",IF(INDEX('Per Invoice'!C$2:C$801,$W18)="","",INDEX('Per Invoice'!C$2:C$801,$W18)))</f>
        <v/>
      </c>
      <c r="D18">
        <f>IF($W18="","",IF(INDEX('Per Invoice'!D$2:D$801,$W18)="","",INDEX('Per Invoice'!D$2:D$801,$W18)))</f>
        <v/>
      </c>
      <c r="E18">
        <f>IF($W18="","",IF(INDEX('Per Invoice'!E$2:E$801,$W18)="","",INDEX('Per Invoice'!E$2:E$801,$W18)))</f>
        <v/>
      </c>
      <c r="F18">
        <f>IF($W18="","",IF(INDEX('Per Invoice'!F$2:F$801,$W18)="","",INDEX('Per Invoice'!F$2:F$801,$W18)))</f>
        <v/>
      </c>
      <c r="G18">
        <f>IF($W18="","",IF(INDEX('Per Invoice'!G$2:G$801,$W18)="","",INDEX('Per Invoice'!G$2:G$801,$W18)))</f>
        <v/>
      </c>
      <c r="H18">
        <f>IF($W18="","",IF(INDEX('Per Invoice'!H$2:H$801,$W18)="","",INDEX('Per Invoice'!H$2:H$801,$W18)))</f>
        <v/>
      </c>
      <c r="I18">
        <f>IF($W18="","",IF(INDEX('Per Invoice'!I$2:I$801,$W18)="","",INDEX('Per Invoice'!I$2:I$801,$W18)))</f>
        <v/>
      </c>
      <c r="J18">
        <f>IF($W18="","",IF(INDEX('Per Invoice'!J$2:J$801,$W18)="","",INDEX('Per Invoice'!J$2:J$801,$W18)))</f>
        <v/>
      </c>
      <c r="K18" s="7">
        <f>IF($W18="","",IF(INDEX('Per Invoice'!K$2:K$801,$W18)="","",INDEX('Per Invoice'!K$2:K$801,$W18)))</f>
        <v/>
      </c>
      <c r="L18" s="14">
        <f>IF($W18="","",IF(INDEX('Per Invoice'!L$2:L$801,$W18)="","",INDEX('Per Invoice'!L$2:L$801,$W18)))</f>
        <v/>
      </c>
      <c r="M18">
        <f>IF($W18="","",IF(INDEX('Per Invoice'!M$2:M$801,$W18)="","",INDEX('Per Invoice'!M$2:M$801,$W18)))</f>
        <v/>
      </c>
      <c r="N18" s="7">
        <f>IF($W18="","",IF(INDEX('Per Invoice'!N$2:N$801,$W18)="","",INDEX('Per Invoice'!N$2:N$801,$W18)))</f>
        <v/>
      </c>
      <c r="O18" s="7">
        <f>IF($W18="","",IF(INDEX('Per Invoice'!O$2:O$801,$W18)="","",INDEX('Per Invoice'!O$2:O$801,$W18)))</f>
        <v/>
      </c>
      <c r="P18">
        <f>IF($W18="","",IF(INDEX('Per Invoice'!P$2:P$801,$W18)="","",INDEX('Per Invoice'!P$2:P$801,$W18)))</f>
        <v/>
      </c>
      <c r="Q18" s="7">
        <f>IF($W18="","",IF(INDEX('Per Invoice'!Q$2:Q$801,$W18)="","",INDEX('Per Invoice'!Q$2:Q$801,$W18)))</f>
        <v/>
      </c>
      <c r="R18" s="7">
        <f>IF($W18="","",IF(INDEX('Per Invoice'!R$2:R$801,$W18)="","",INDEX('Per Invoice'!R$2:R$801,$W18)))</f>
        <v/>
      </c>
      <c r="S18" s="7">
        <f>IF($W18="","",IF(INDEX('Per Invoice'!S$2:S$801,$W18)="","",INDEX('Per Invoice'!S$2:S$801,$W18)))</f>
        <v/>
      </c>
      <c r="T18" s="7">
        <f>IF($W18="","",IF(INDEX('Per Invoice'!T$2:T$801,$W18)="","",INDEX('Per Invoice'!T$2:T$801,$W18)))</f>
        <v/>
      </c>
      <c r="U18" s="7">
        <f>IF($W18="","",IF(INDEX('Per Invoice'!U$2:U$801,$W18)="","",INDEX('Per Invoice'!U$2:U$801,$W18)))</f>
        <v/>
      </c>
      <c r="V18" s="7">
        <f>IF($W18="","",IF(INDEX('Per Invoice'!V$2:V$801,$W18)="","",INDEX('Per Invoice'!V$2:V$801,$W18)))</f>
        <v/>
      </c>
      <c r="W18" s="16">
        <f>IFERROR(MATCH(Settings!$C$26&amp;"|"&amp;ROWS($W$2:$W18),'Per Invoice'!$X$2:$X$801,0),"")</f>
        <v/>
      </c>
    </row>
    <row r="19">
      <c r="A19">
        <f>IF($W19="","",IF(INDEX('Per Invoice'!A$2:A$801,$W19)="","",INDEX('Per Invoice'!A$2:A$801,$W19)))</f>
        <v/>
      </c>
      <c r="B19">
        <f>IF($W19="","",IF(INDEX('Per Invoice'!B$2:B$801,$W19)="","",INDEX('Per Invoice'!B$2:B$801,$W19)))</f>
        <v/>
      </c>
      <c r="C19">
        <f>IF($W19="","",IF(INDEX('Per Invoice'!C$2:C$801,$W19)="","",INDEX('Per Invoice'!C$2:C$801,$W19)))</f>
        <v/>
      </c>
      <c r="D19">
        <f>IF($W19="","",IF(INDEX('Per Invoice'!D$2:D$801,$W19)="","",INDEX('Per Invoice'!D$2:D$801,$W19)))</f>
        <v/>
      </c>
      <c r="E19">
        <f>IF($W19="","",IF(INDEX('Per Invoice'!E$2:E$801,$W19)="","",INDEX('Per Invoice'!E$2:E$801,$W19)))</f>
        <v/>
      </c>
      <c r="F19">
        <f>IF($W19="","",IF(INDEX('Per Invoice'!F$2:F$801,$W19)="","",INDEX('Per Invoice'!F$2:F$801,$W19)))</f>
        <v/>
      </c>
      <c r="G19">
        <f>IF($W19="","",IF(INDEX('Per Invoice'!G$2:G$801,$W19)="","",INDEX('Per Invoice'!G$2:G$801,$W19)))</f>
        <v/>
      </c>
      <c r="H19">
        <f>IF($W19="","",IF(INDEX('Per Invoice'!H$2:H$801,$W19)="","",INDEX('Per Invoice'!H$2:H$801,$W19)))</f>
        <v/>
      </c>
      <c r="I19">
        <f>IF($W19="","",IF(INDEX('Per Invoice'!I$2:I$801,$W19)="","",INDEX('Per Invoice'!I$2:I$801,$W19)))</f>
        <v/>
      </c>
      <c r="J19">
        <f>IF($W19="","",IF(INDEX('Per Invoice'!J$2:J$801,$W19)="","",INDEX('Per Invoice'!J$2:J$801,$W19)))</f>
        <v/>
      </c>
      <c r="K19" s="7">
        <f>IF($W19="","",IF(INDEX('Per Invoice'!K$2:K$801,$W19)="","",INDEX('Per Invoice'!K$2:K$801,$W19)))</f>
        <v/>
      </c>
      <c r="L19" s="14">
        <f>IF($W19="","",IF(INDEX('Per Invoice'!L$2:L$801,$W19)="","",INDEX('Per Invoice'!L$2:L$801,$W19)))</f>
        <v/>
      </c>
      <c r="M19">
        <f>IF($W19="","",IF(INDEX('Per Invoice'!M$2:M$801,$W19)="","",INDEX('Per Invoice'!M$2:M$801,$W19)))</f>
        <v/>
      </c>
      <c r="N19" s="7">
        <f>IF($W19="","",IF(INDEX('Per Invoice'!N$2:N$801,$W19)="","",INDEX('Per Invoice'!N$2:N$801,$W19)))</f>
        <v/>
      </c>
      <c r="O19" s="7">
        <f>IF($W19="","",IF(INDEX('Per Invoice'!O$2:O$801,$W19)="","",INDEX('Per Invoice'!O$2:O$801,$W19)))</f>
        <v/>
      </c>
      <c r="P19">
        <f>IF($W19="","",IF(INDEX('Per Invoice'!P$2:P$801,$W19)="","",INDEX('Per Invoice'!P$2:P$801,$W19)))</f>
        <v/>
      </c>
      <c r="Q19" s="7">
        <f>IF($W19="","",IF(INDEX('Per Invoice'!Q$2:Q$801,$W19)="","",INDEX('Per Invoice'!Q$2:Q$801,$W19)))</f>
        <v/>
      </c>
      <c r="R19" s="7">
        <f>IF($W19="","",IF(INDEX('Per Invoice'!R$2:R$801,$W19)="","",INDEX('Per Invoice'!R$2:R$801,$W19)))</f>
        <v/>
      </c>
      <c r="S19" s="7">
        <f>IF($W19="","",IF(INDEX('Per Invoice'!S$2:S$801,$W19)="","",INDEX('Per Invoice'!S$2:S$801,$W19)))</f>
        <v/>
      </c>
      <c r="T19" s="7">
        <f>IF($W19="","",IF(INDEX('Per Invoice'!T$2:T$801,$W19)="","",INDEX('Per Invoice'!T$2:T$801,$W19)))</f>
        <v/>
      </c>
      <c r="U19" s="7">
        <f>IF($W19="","",IF(INDEX('Per Invoice'!U$2:U$801,$W19)="","",INDEX('Per Invoice'!U$2:U$801,$W19)))</f>
        <v/>
      </c>
      <c r="V19" s="7">
        <f>IF($W19="","",IF(INDEX('Per Invoice'!V$2:V$801,$W19)="","",INDEX('Per Invoice'!V$2:V$801,$W19)))</f>
        <v/>
      </c>
      <c r="W19" s="16">
        <f>IFERROR(MATCH(Settings!$C$26&amp;"|"&amp;ROWS($W$2:$W19),'Per Invoice'!$X$2:$X$801,0),"")</f>
        <v/>
      </c>
    </row>
    <row r="20">
      <c r="A20">
        <f>IF($W20="","",IF(INDEX('Per Invoice'!A$2:A$801,$W20)="","",INDEX('Per Invoice'!A$2:A$801,$W20)))</f>
        <v/>
      </c>
      <c r="B20">
        <f>IF($W20="","",IF(INDEX('Per Invoice'!B$2:B$801,$W20)="","",INDEX('Per Invoice'!B$2:B$801,$W20)))</f>
        <v/>
      </c>
      <c r="C20">
        <f>IF($W20="","",IF(INDEX('Per Invoice'!C$2:C$801,$W20)="","",INDEX('Per Invoice'!C$2:C$801,$W20)))</f>
        <v/>
      </c>
      <c r="D20">
        <f>IF($W20="","",IF(INDEX('Per Invoice'!D$2:D$801,$W20)="","",INDEX('Per Invoice'!D$2:D$801,$W20)))</f>
        <v/>
      </c>
      <c r="E20">
        <f>IF($W20="","",IF(INDEX('Per Invoice'!E$2:E$801,$W20)="","",INDEX('Per Invoice'!E$2:E$801,$W20)))</f>
        <v/>
      </c>
      <c r="F20">
        <f>IF($W20="","",IF(INDEX('Per Invoice'!F$2:F$801,$W20)="","",INDEX('Per Invoice'!F$2:F$801,$W20)))</f>
        <v/>
      </c>
      <c r="G20">
        <f>IF($W20="","",IF(INDEX('Per Invoice'!G$2:G$801,$W20)="","",INDEX('Per Invoice'!G$2:G$801,$W20)))</f>
        <v/>
      </c>
      <c r="H20">
        <f>IF($W20="","",IF(INDEX('Per Invoice'!H$2:H$801,$W20)="","",INDEX('Per Invoice'!H$2:H$801,$W20)))</f>
        <v/>
      </c>
      <c r="I20">
        <f>IF($W20="","",IF(INDEX('Per Invoice'!I$2:I$801,$W20)="","",INDEX('Per Invoice'!I$2:I$801,$W20)))</f>
        <v/>
      </c>
      <c r="J20">
        <f>IF($W20="","",IF(INDEX('Per Invoice'!J$2:J$801,$W20)="","",INDEX('Per Invoice'!J$2:J$801,$W20)))</f>
        <v/>
      </c>
      <c r="K20" s="7">
        <f>IF($W20="","",IF(INDEX('Per Invoice'!K$2:K$801,$W20)="","",INDEX('Per Invoice'!K$2:K$801,$W20)))</f>
        <v/>
      </c>
      <c r="L20" s="14">
        <f>IF($W20="","",IF(INDEX('Per Invoice'!L$2:L$801,$W20)="","",INDEX('Per Invoice'!L$2:L$801,$W20)))</f>
        <v/>
      </c>
      <c r="M20">
        <f>IF($W20="","",IF(INDEX('Per Invoice'!M$2:M$801,$W20)="","",INDEX('Per Invoice'!M$2:M$801,$W20)))</f>
        <v/>
      </c>
      <c r="N20" s="7">
        <f>IF($W20="","",IF(INDEX('Per Invoice'!N$2:N$801,$W20)="","",INDEX('Per Invoice'!N$2:N$801,$W20)))</f>
        <v/>
      </c>
      <c r="O20" s="7">
        <f>IF($W20="","",IF(INDEX('Per Invoice'!O$2:O$801,$W20)="","",INDEX('Per Invoice'!O$2:O$801,$W20)))</f>
        <v/>
      </c>
      <c r="P20">
        <f>IF($W20="","",IF(INDEX('Per Invoice'!P$2:P$801,$W20)="","",INDEX('Per Invoice'!P$2:P$801,$W20)))</f>
        <v/>
      </c>
      <c r="Q20" s="7">
        <f>IF($W20="","",IF(INDEX('Per Invoice'!Q$2:Q$801,$W20)="","",INDEX('Per Invoice'!Q$2:Q$801,$W20)))</f>
        <v/>
      </c>
      <c r="R20" s="7">
        <f>IF($W20="","",IF(INDEX('Per Invoice'!R$2:R$801,$W20)="","",INDEX('Per Invoice'!R$2:R$801,$W20)))</f>
        <v/>
      </c>
      <c r="S20" s="7">
        <f>IF($W20="","",IF(INDEX('Per Invoice'!S$2:S$801,$W20)="","",INDEX('Per Invoice'!S$2:S$801,$W20)))</f>
        <v/>
      </c>
      <c r="T20" s="7">
        <f>IF($W20="","",IF(INDEX('Per Invoice'!T$2:T$801,$W20)="","",INDEX('Per Invoice'!T$2:T$801,$W20)))</f>
        <v/>
      </c>
      <c r="U20" s="7">
        <f>IF($W20="","",IF(INDEX('Per Invoice'!U$2:U$801,$W20)="","",INDEX('Per Invoice'!U$2:U$801,$W20)))</f>
        <v/>
      </c>
      <c r="V20" s="7">
        <f>IF($W20="","",IF(INDEX('Per Invoice'!V$2:V$801,$W20)="","",INDEX('Per Invoice'!V$2:V$801,$W20)))</f>
        <v/>
      </c>
      <c r="W20" s="16">
        <f>IFERROR(MATCH(Settings!$C$26&amp;"|"&amp;ROWS($W$2:$W20),'Per Invoice'!$X$2:$X$801,0),"")</f>
        <v/>
      </c>
    </row>
    <row r="21">
      <c r="A21">
        <f>IF($W21="","",IF(INDEX('Per Invoice'!A$2:A$801,$W21)="","",INDEX('Per Invoice'!A$2:A$801,$W21)))</f>
        <v/>
      </c>
      <c r="B21">
        <f>IF($W21="","",IF(INDEX('Per Invoice'!B$2:B$801,$W21)="","",INDEX('Per Invoice'!B$2:B$801,$W21)))</f>
        <v/>
      </c>
      <c r="C21">
        <f>IF($W21="","",IF(INDEX('Per Invoice'!C$2:C$801,$W21)="","",INDEX('Per Invoice'!C$2:C$801,$W21)))</f>
        <v/>
      </c>
      <c r="D21">
        <f>IF($W21="","",IF(INDEX('Per Invoice'!D$2:D$801,$W21)="","",INDEX('Per Invoice'!D$2:D$801,$W21)))</f>
        <v/>
      </c>
      <c r="E21">
        <f>IF($W21="","",IF(INDEX('Per Invoice'!E$2:E$801,$W21)="","",INDEX('Per Invoice'!E$2:E$801,$W21)))</f>
        <v/>
      </c>
      <c r="F21">
        <f>IF($W21="","",IF(INDEX('Per Invoice'!F$2:F$801,$W21)="","",INDEX('Per Invoice'!F$2:F$801,$W21)))</f>
        <v/>
      </c>
      <c r="G21">
        <f>IF($W21="","",IF(INDEX('Per Invoice'!G$2:G$801,$W21)="","",INDEX('Per Invoice'!G$2:G$801,$W21)))</f>
        <v/>
      </c>
      <c r="H21">
        <f>IF($W21="","",IF(INDEX('Per Invoice'!H$2:H$801,$W21)="","",INDEX('Per Invoice'!H$2:H$801,$W21)))</f>
        <v/>
      </c>
      <c r="I21">
        <f>IF($W21="","",IF(INDEX('Per Invoice'!I$2:I$801,$W21)="","",INDEX('Per Invoice'!I$2:I$801,$W21)))</f>
        <v/>
      </c>
      <c r="J21">
        <f>IF($W21="","",IF(INDEX('Per Invoice'!J$2:J$801,$W21)="","",INDEX('Per Invoice'!J$2:J$801,$W21)))</f>
        <v/>
      </c>
      <c r="K21" s="7">
        <f>IF($W21="","",IF(INDEX('Per Invoice'!K$2:K$801,$W21)="","",INDEX('Per Invoice'!K$2:K$801,$W21)))</f>
        <v/>
      </c>
      <c r="L21" s="14">
        <f>IF($W21="","",IF(INDEX('Per Invoice'!L$2:L$801,$W21)="","",INDEX('Per Invoice'!L$2:L$801,$W21)))</f>
        <v/>
      </c>
      <c r="M21">
        <f>IF($W21="","",IF(INDEX('Per Invoice'!M$2:M$801,$W21)="","",INDEX('Per Invoice'!M$2:M$801,$W21)))</f>
        <v/>
      </c>
      <c r="N21" s="7">
        <f>IF($W21="","",IF(INDEX('Per Invoice'!N$2:N$801,$W21)="","",INDEX('Per Invoice'!N$2:N$801,$W21)))</f>
        <v/>
      </c>
      <c r="O21" s="7">
        <f>IF($W21="","",IF(INDEX('Per Invoice'!O$2:O$801,$W21)="","",INDEX('Per Invoice'!O$2:O$801,$W21)))</f>
        <v/>
      </c>
      <c r="P21">
        <f>IF($W21="","",IF(INDEX('Per Invoice'!P$2:P$801,$W21)="","",INDEX('Per Invoice'!P$2:P$801,$W21)))</f>
        <v/>
      </c>
      <c r="Q21" s="7">
        <f>IF($W21="","",IF(INDEX('Per Invoice'!Q$2:Q$801,$W21)="","",INDEX('Per Invoice'!Q$2:Q$801,$W21)))</f>
        <v/>
      </c>
      <c r="R21" s="7">
        <f>IF($W21="","",IF(INDEX('Per Invoice'!R$2:R$801,$W21)="","",INDEX('Per Invoice'!R$2:R$801,$W21)))</f>
        <v/>
      </c>
      <c r="S21" s="7">
        <f>IF($W21="","",IF(INDEX('Per Invoice'!S$2:S$801,$W21)="","",INDEX('Per Invoice'!S$2:S$801,$W21)))</f>
        <v/>
      </c>
      <c r="T21" s="7">
        <f>IF($W21="","",IF(INDEX('Per Invoice'!T$2:T$801,$W21)="","",INDEX('Per Invoice'!T$2:T$801,$W21)))</f>
        <v/>
      </c>
      <c r="U21" s="7">
        <f>IF($W21="","",IF(INDEX('Per Invoice'!U$2:U$801,$W21)="","",INDEX('Per Invoice'!U$2:U$801,$W21)))</f>
        <v/>
      </c>
      <c r="V21" s="7">
        <f>IF($W21="","",IF(INDEX('Per Invoice'!V$2:V$801,$W21)="","",INDEX('Per Invoice'!V$2:V$801,$W21)))</f>
        <v/>
      </c>
      <c r="W21" s="16">
        <f>IFERROR(MATCH(Settings!$C$26&amp;"|"&amp;ROWS($W$2:$W21),'Per Invoice'!$X$2:$X$801,0),"")</f>
        <v/>
      </c>
    </row>
    <row r="22">
      <c r="A22">
        <f>IF($W22="","",IF(INDEX('Per Invoice'!A$2:A$801,$W22)="","",INDEX('Per Invoice'!A$2:A$801,$W22)))</f>
        <v/>
      </c>
      <c r="B22">
        <f>IF($W22="","",IF(INDEX('Per Invoice'!B$2:B$801,$W22)="","",INDEX('Per Invoice'!B$2:B$801,$W22)))</f>
        <v/>
      </c>
      <c r="C22">
        <f>IF($W22="","",IF(INDEX('Per Invoice'!C$2:C$801,$W22)="","",INDEX('Per Invoice'!C$2:C$801,$W22)))</f>
        <v/>
      </c>
      <c r="D22">
        <f>IF($W22="","",IF(INDEX('Per Invoice'!D$2:D$801,$W22)="","",INDEX('Per Invoice'!D$2:D$801,$W22)))</f>
        <v/>
      </c>
      <c r="E22">
        <f>IF($W22="","",IF(INDEX('Per Invoice'!E$2:E$801,$W22)="","",INDEX('Per Invoice'!E$2:E$801,$W22)))</f>
        <v/>
      </c>
      <c r="F22">
        <f>IF($W22="","",IF(INDEX('Per Invoice'!F$2:F$801,$W22)="","",INDEX('Per Invoice'!F$2:F$801,$W22)))</f>
        <v/>
      </c>
      <c r="G22">
        <f>IF($W22="","",IF(INDEX('Per Invoice'!G$2:G$801,$W22)="","",INDEX('Per Invoice'!G$2:G$801,$W22)))</f>
        <v/>
      </c>
      <c r="H22">
        <f>IF($W22="","",IF(INDEX('Per Invoice'!H$2:H$801,$W22)="","",INDEX('Per Invoice'!H$2:H$801,$W22)))</f>
        <v/>
      </c>
      <c r="I22">
        <f>IF($W22="","",IF(INDEX('Per Invoice'!I$2:I$801,$W22)="","",INDEX('Per Invoice'!I$2:I$801,$W22)))</f>
        <v/>
      </c>
      <c r="J22">
        <f>IF($W22="","",IF(INDEX('Per Invoice'!J$2:J$801,$W22)="","",INDEX('Per Invoice'!J$2:J$801,$W22)))</f>
        <v/>
      </c>
      <c r="K22" s="7">
        <f>IF($W22="","",IF(INDEX('Per Invoice'!K$2:K$801,$W22)="","",INDEX('Per Invoice'!K$2:K$801,$W22)))</f>
        <v/>
      </c>
      <c r="L22" s="14">
        <f>IF($W22="","",IF(INDEX('Per Invoice'!L$2:L$801,$W22)="","",INDEX('Per Invoice'!L$2:L$801,$W22)))</f>
        <v/>
      </c>
      <c r="M22">
        <f>IF($W22="","",IF(INDEX('Per Invoice'!M$2:M$801,$W22)="","",INDEX('Per Invoice'!M$2:M$801,$W22)))</f>
        <v/>
      </c>
      <c r="N22" s="7">
        <f>IF($W22="","",IF(INDEX('Per Invoice'!N$2:N$801,$W22)="","",INDEX('Per Invoice'!N$2:N$801,$W22)))</f>
        <v/>
      </c>
      <c r="O22" s="7">
        <f>IF($W22="","",IF(INDEX('Per Invoice'!O$2:O$801,$W22)="","",INDEX('Per Invoice'!O$2:O$801,$W22)))</f>
        <v/>
      </c>
      <c r="P22">
        <f>IF($W22="","",IF(INDEX('Per Invoice'!P$2:P$801,$W22)="","",INDEX('Per Invoice'!P$2:P$801,$W22)))</f>
        <v/>
      </c>
      <c r="Q22" s="7">
        <f>IF($W22="","",IF(INDEX('Per Invoice'!Q$2:Q$801,$W22)="","",INDEX('Per Invoice'!Q$2:Q$801,$W22)))</f>
        <v/>
      </c>
      <c r="R22" s="7">
        <f>IF($W22="","",IF(INDEX('Per Invoice'!R$2:R$801,$W22)="","",INDEX('Per Invoice'!R$2:R$801,$W22)))</f>
        <v/>
      </c>
      <c r="S22" s="7">
        <f>IF($W22="","",IF(INDEX('Per Invoice'!S$2:S$801,$W22)="","",INDEX('Per Invoice'!S$2:S$801,$W22)))</f>
        <v/>
      </c>
      <c r="T22" s="7">
        <f>IF($W22="","",IF(INDEX('Per Invoice'!T$2:T$801,$W22)="","",INDEX('Per Invoice'!T$2:T$801,$W22)))</f>
        <v/>
      </c>
      <c r="U22" s="7">
        <f>IF($W22="","",IF(INDEX('Per Invoice'!U$2:U$801,$W22)="","",INDEX('Per Invoice'!U$2:U$801,$W22)))</f>
        <v/>
      </c>
      <c r="V22" s="7">
        <f>IF($W22="","",IF(INDEX('Per Invoice'!V$2:V$801,$W22)="","",INDEX('Per Invoice'!V$2:V$801,$W22)))</f>
        <v/>
      </c>
      <c r="W22" s="16">
        <f>IFERROR(MATCH(Settings!$C$26&amp;"|"&amp;ROWS($W$2:$W22),'Per Invoice'!$X$2:$X$801,0),"")</f>
        <v/>
      </c>
    </row>
    <row r="23">
      <c r="A23">
        <f>IF($W23="","",IF(INDEX('Per Invoice'!A$2:A$801,$W23)="","",INDEX('Per Invoice'!A$2:A$801,$W23)))</f>
        <v/>
      </c>
      <c r="B23">
        <f>IF($W23="","",IF(INDEX('Per Invoice'!B$2:B$801,$W23)="","",INDEX('Per Invoice'!B$2:B$801,$W23)))</f>
        <v/>
      </c>
      <c r="C23">
        <f>IF($W23="","",IF(INDEX('Per Invoice'!C$2:C$801,$W23)="","",INDEX('Per Invoice'!C$2:C$801,$W23)))</f>
        <v/>
      </c>
      <c r="D23">
        <f>IF($W23="","",IF(INDEX('Per Invoice'!D$2:D$801,$W23)="","",INDEX('Per Invoice'!D$2:D$801,$W23)))</f>
        <v/>
      </c>
      <c r="E23">
        <f>IF($W23="","",IF(INDEX('Per Invoice'!E$2:E$801,$W23)="","",INDEX('Per Invoice'!E$2:E$801,$W23)))</f>
        <v/>
      </c>
      <c r="F23">
        <f>IF($W23="","",IF(INDEX('Per Invoice'!F$2:F$801,$W23)="","",INDEX('Per Invoice'!F$2:F$801,$W23)))</f>
        <v/>
      </c>
      <c r="G23">
        <f>IF($W23="","",IF(INDEX('Per Invoice'!G$2:G$801,$W23)="","",INDEX('Per Invoice'!G$2:G$801,$W23)))</f>
        <v/>
      </c>
      <c r="H23">
        <f>IF($W23="","",IF(INDEX('Per Invoice'!H$2:H$801,$W23)="","",INDEX('Per Invoice'!H$2:H$801,$W23)))</f>
        <v/>
      </c>
      <c r="I23">
        <f>IF($W23="","",IF(INDEX('Per Invoice'!I$2:I$801,$W23)="","",INDEX('Per Invoice'!I$2:I$801,$W23)))</f>
        <v/>
      </c>
      <c r="J23">
        <f>IF($W23="","",IF(INDEX('Per Invoice'!J$2:J$801,$W23)="","",INDEX('Per Invoice'!J$2:J$801,$W23)))</f>
        <v/>
      </c>
      <c r="K23" s="7">
        <f>IF($W23="","",IF(INDEX('Per Invoice'!K$2:K$801,$W23)="","",INDEX('Per Invoice'!K$2:K$801,$W23)))</f>
        <v/>
      </c>
      <c r="L23" s="14">
        <f>IF($W23="","",IF(INDEX('Per Invoice'!L$2:L$801,$W23)="","",INDEX('Per Invoice'!L$2:L$801,$W23)))</f>
        <v/>
      </c>
      <c r="M23">
        <f>IF($W23="","",IF(INDEX('Per Invoice'!M$2:M$801,$W23)="","",INDEX('Per Invoice'!M$2:M$801,$W23)))</f>
        <v/>
      </c>
      <c r="N23" s="7">
        <f>IF($W23="","",IF(INDEX('Per Invoice'!N$2:N$801,$W23)="","",INDEX('Per Invoice'!N$2:N$801,$W23)))</f>
        <v/>
      </c>
      <c r="O23" s="7">
        <f>IF($W23="","",IF(INDEX('Per Invoice'!O$2:O$801,$W23)="","",INDEX('Per Invoice'!O$2:O$801,$W23)))</f>
        <v/>
      </c>
      <c r="P23">
        <f>IF($W23="","",IF(INDEX('Per Invoice'!P$2:P$801,$W23)="","",INDEX('Per Invoice'!P$2:P$801,$W23)))</f>
        <v/>
      </c>
      <c r="Q23" s="7">
        <f>IF($W23="","",IF(INDEX('Per Invoice'!Q$2:Q$801,$W23)="","",INDEX('Per Invoice'!Q$2:Q$801,$W23)))</f>
        <v/>
      </c>
      <c r="R23" s="7">
        <f>IF($W23="","",IF(INDEX('Per Invoice'!R$2:R$801,$W23)="","",INDEX('Per Invoice'!R$2:R$801,$W23)))</f>
        <v/>
      </c>
      <c r="S23" s="7">
        <f>IF($W23="","",IF(INDEX('Per Invoice'!S$2:S$801,$W23)="","",INDEX('Per Invoice'!S$2:S$801,$W23)))</f>
        <v/>
      </c>
      <c r="T23" s="7">
        <f>IF($W23="","",IF(INDEX('Per Invoice'!T$2:T$801,$W23)="","",INDEX('Per Invoice'!T$2:T$801,$W23)))</f>
        <v/>
      </c>
      <c r="U23" s="7">
        <f>IF($W23="","",IF(INDEX('Per Invoice'!U$2:U$801,$W23)="","",INDEX('Per Invoice'!U$2:U$801,$W23)))</f>
        <v/>
      </c>
      <c r="V23" s="7">
        <f>IF($W23="","",IF(INDEX('Per Invoice'!V$2:V$801,$W23)="","",INDEX('Per Invoice'!V$2:V$801,$W23)))</f>
        <v/>
      </c>
      <c r="W23" s="16">
        <f>IFERROR(MATCH(Settings!$C$26&amp;"|"&amp;ROWS($W$2:$W23),'Per Invoice'!$X$2:$X$801,0),"")</f>
        <v/>
      </c>
    </row>
    <row r="24">
      <c r="A24">
        <f>IF($W24="","",IF(INDEX('Per Invoice'!A$2:A$801,$W24)="","",INDEX('Per Invoice'!A$2:A$801,$W24)))</f>
        <v/>
      </c>
      <c r="B24">
        <f>IF($W24="","",IF(INDEX('Per Invoice'!B$2:B$801,$W24)="","",INDEX('Per Invoice'!B$2:B$801,$W24)))</f>
        <v/>
      </c>
      <c r="C24">
        <f>IF($W24="","",IF(INDEX('Per Invoice'!C$2:C$801,$W24)="","",INDEX('Per Invoice'!C$2:C$801,$W24)))</f>
        <v/>
      </c>
      <c r="D24">
        <f>IF($W24="","",IF(INDEX('Per Invoice'!D$2:D$801,$W24)="","",INDEX('Per Invoice'!D$2:D$801,$W24)))</f>
        <v/>
      </c>
      <c r="E24">
        <f>IF($W24="","",IF(INDEX('Per Invoice'!E$2:E$801,$W24)="","",INDEX('Per Invoice'!E$2:E$801,$W24)))</f>
        <v/>
      </c>
      <c r="F24">
        <f>IF($W24="","",IF(INDEX('Per Invoice'!F$2:F$801,$W24)="","",INDEX('Per Invoice'!F$2:F$801,$W24)))</f>
        <v/>
      </c>
      <c r="G24">
        <f>IF($W24="","",IF(INDEX('Per Invoice'!G$2:G$801,$W24)="","",INDEX('Per Invoice'!G$2:G$801,$W24)))</f>
        <v/>
      </c>
      <c r="H24">
        <f>IF($W24="","",IF(INDEX('Per Invoice'!H$2:H$801,$W24)="","",INDEX('Per Invoice'!H$2:H$801,$W24)))</f>
        <v/>
      </c>
      <c r="I24">
        <f>IF($W24="","",IF(INDEX('Per Invoice'!I$2:I$801,$W24)="","",INDEX('Per Invoice'!I$2:I$801,$W24)))</f>
        <v/>
      </c>
      <c r="J24">
        <f>IF($W24="","",IF(INDEX('Per Invoice'!J$2:J$801,$W24)="","",INDEX('Per Invoice'!J$2:J$801,$W24)))</f>
        <v/>
      </c>
      <c r="K24" s="7">
        <f>IF($W24="","",IF(INDEX('Per Invoice'!K$2:K$801,$W24)="","",INDEX('Per Invoice'!K$2:K$801,$W24)))</f>
        <v/>
      </c>
      <c r="L24" s="14">
        <f>IF($W24="","",IF(INDEX('Per Invoice'!L$2:L$801,$W24)="","",INDEX('Per Invoice'!L$2:L$801,$W24)))</f>
        <v/>
      </c>
      <c r="M24">
        <f>IF($W24="","",IF(INDEX('Per Invoice'!M$2:M$801,$W24)="","",INDEX('Per Invoice'!M$2:M$801,$W24)))</f>
        <v/>
      </c>
      <c r="N24" s="7">
        <f>IF($W24="","",IF(INDEX('Per Invoice'!N$2:N$801,$W24)="","",INDEX('Per Invoice'!N$2:N$801,$W24)))</f>
        <v/>
      </c>
      <c r="O24" s="7">
        <f>IF($W24="","",IF(INDEX('Per Invoice'!O$2:O$801,$W24)="","",INDEX('Per Invoice'!O$2:O$801,$W24)))</f>
        <v/>
      </c>
      <c r="P24">
        <f>IF($W24="","",IF(INDEX('Per Invoice'!P$2:P$801,$W24)="","",INDEX('Per Invoice'!P$2:P$801,$W24)))</f>
        <v/>
      </c>
      <c r="Q24" s="7">
        <f>IF($W24="","",IF(INDEX('Per Invoice'!Q$2:Q$801,$W24)="","",INDEX('Per Invoice'!Q$2:Q$801,$W24)))</f>
        <v/>
      </c>
      <c r="R24" s="7">
        <f>IF($W24="","",IF(INDEX('Per Invoice'!R$2:R$801,$W24)="","",INDEX('Per Invoice'!R$2:R$801,$W24)))</f>
        <v/>
      </c>
      <c r="S24" s="7">
        <f>IF($W24="","",IF(INDEX('Per Invoice'!S$2:S$801,$W24)="","",INDEX('Per Invoice'!S$2:S$801,$W24)))</f>
        <v/>
      </c>
      <c r="T24" s="7">
        <f>IF($W24="","",IF(INDEX('Per Invoice'!T$2:T$801,$W24)="","",INDEX('Per Invoice'!T$2:T$801,$W24)))</f>
        <v/>
      </c>
      <c r="U24" s="7">
        <f>IF($W24="","",IF(INDEX('Per Invoice'!U$2:U$801,$W24)="","",INDEX('Per Invoice'!U$2:U$801,$W24)))</f>
        <v/>
      </c>
      <c r="V24" s="7">
        <f>IF($W24="","",IF(INDEX('Per Invoice'!V$2:V$801,$W24)="","",INDEX('Per Invoice'!V$2:V$801,$W24)))</f>
        <v/>
      </c>
      <c r="W24" s="16">
        <f>IFERROR(MATCH(Settings!$C$26&amp;"|"&amp;ROWS($W$2:$W24),'Per Invoice'!$X$2:$X$801,0),"")</f>
        <v/>
      </c>
    </row>
    <row r="25">
      <c r="A25">
        <f>IF($W25="","",IF(INDEX('Per Invoice'!A$2:A$801,$W25)="","",INDEX('Per Invoice'!A$2:A$801,$W25)))</f>
        <v/>
      </c>
      <c r="B25">
        <f>IF($W25="","",IF(INDEX('Per Invoice'!B$2:B$801,$W25)="","",INDEX('Per Invoice'!B$2:B$801,$W25)))</f>
        <v/>
      </c>
      <c r="C25">
        <f>IF($W25="","",IF(INDEX('Per Invoice'!C$2:C$801,$W25)="","",INDEX('Per Invoice'!C$2:C$801,$W25)))</f>
        <v/>
      </c>
      <c r="D25">
        <f>IF($W25="","",IF(INDEX('Per Invoice'!D$2:D$801,$W25)="","",INDEX('Per Invoice'!D$2:D$801,$W25)))</f>
        <v/>
      </c>
      <c r="E25">
        <f>IF($W25="","",IF(INDEX('Per Invoice'!E$2:E$801,$W25)="","",INDEX('Per Invoice'!E$2:E$801,$W25)))</f>
        <v/>
      </c>
      <c r="F25">
        <f>IF($W25="","",IF(INDEX('Per Invoice'!F$2:F$801,$W25)="","",INDEX('Per Invoice'!F$2:F$801,$W25)))</f>
        <v/>
      </c>
      <c r="G25">
        <f>IF($W25="","",IF(INDEX('Per Invoice'!G$2:G$801,$W25)="","",INDEX('Per Invoice'!G$2:G$801,$W25)))</f>
        <v/>
      </c>
      <c r="H25">
        <f>IF($W25="","",IF(INDEX('Per Invoice'!H$2:H$801,$W25)="","",INDEX('Per Invoice'!H$2:H$801,$W25)))</f>
        <v/>
      </c>
      <c r="I25">
        <f>IF($W25="","",IF(INDEX('Per Invoice'!I$2:I$801,$W25)="","",INDEX('Per Invoice'!I$2:I$801,$W25)))</f>
        <v/>
      </c>
      <c r="J25">
        <f>IF($W25="","",IF(INDEX('Per Invoice'!J$2:J$801,$W25)="","",INDEX('Per Invoice'!J$2:J$801,$W25)))</f>
        <v/>
      </c>
      <c r="K25" s="7">
        <f>IF($W25="","",IF(INDEX('Per Invoice'!K$2:K$801,$W25)="","",INDEX('Per Invoice'!K$2:K$801,$W25)))</f>
        <v/>
      </c>
      <c r="L25" s="14">
        <f>IF($W25="","",IF(INDEX('Per Invoice'!L$2:L$801,$W25)="","",INDEX('Per Invoice'!L$2:L$801,$W25)))</f>
        <v/>
      </c>
      <c r="M25">
        <f>IF($W25="","",IF(INDEX('Per Invoice'!M$2:M$801,$W25)="","",INDEX('Per Invoice'!M$2:M$801,$W25)))</f>
        <v/>
      </c>
      <c r="N25" s="7">
        <f>IF($W25="","",IF(INDEX('Per Invoice'!N$2:N$801,$W25)="","",INDEX('Per Invoice'!N$2:N$801,$W25)))</f>
        <v/>
      </c>
      <c r="O25" s="7">
        <f>IF($W25="","",IF(INDEX('Per Invoice'!O$2:O$801,$W25)="","",INDEX('Per Invoice'!O$2:O$801,$W25)))</f>
        <v/>
      </c>
      <c r="P25">
        <f>IF($W25="","",IF(INDEX('Per Invoice'!P$2:P$801,$W25)="","",INDEX('Per Invoice'!P$2:P$801,$W25)))</f>
        <v/>
      </c>
      <c r="Q25" s="7">
        <f>IF($W25="","",IF(INDEX('Per Invoice'!Q$2:Q$801,$W25)="","",INDEX('Per Invoice'!Q$2:Q$801,$W25)))</f>
        <v/>
      </c>
      <c r="R25" s="7">
        <f>IF($W25="","",IF(INDEX('Per Invoice'!R$2:R$801,$W25)="","",INDEX('Per Invoice'!R$2:R$801,$W25)))</f>
        <v/>
      </c>
      <c r="S25" s="7">
        <f>IF($W25="","",IF(INDEX('Per Invoice'!S$2:S$801,$W25)="","",INDEX('Per Invoice'!S$2:S$801,$W25)))</f>
        <v/>
      </c>
      <c r="T25" s="7">
        <f>IF($W25="","",IF(INDEX('Per Invoice'!T$2:T$801,$W25)="","",INDEX('Per Invoice'!T$2:T$801,$W25)))</f>
        <v/>
      </c>
      <c r="U25" s="7">
        <f>IF($W25="","",IF(INDEX('Per Invoice'!U$2:U$801,$W25)="","",INDEX('Per Invoice'!U$2:U$801,$W25)))</f>
        <v/>
      </c>
      <c r="V25" s="7">
        <f>IF($W25="","",IF(INDEX('Per Invoice'!V$2:V$801,$W25)="","",INDEX('Per Invoice'!V$2:V$801,$W25)))</f>
        <v/>
      </c>
      <c r="W25" s="16">
        <f>IFERROR(MATCH(Settings!$C$26&amp;"|"&amp;ROWS($W$2:$W25),'Per Invoice'!$X$2:$X$801,0),"")</f>
        <v/>
      </c>
    </row>
    <row r="26">
      <c r="A26">
        <f>IF($W26="","",IF(INDEX('Per Invoice'!A$2:A$801,$W26)="","",INDEX('Per Invoice'!A$2:A$801,$W26)))</f>
        <v/>
      </c>
      <c r="B26">
        <f>IF($W26="","",IF(INDEX('Per Invoice'!B$2:B$801,$W26)="","",INDEX('Per Invoice'!B$2:B$801,$W26)))</f>
        <v/>
      </c>
      <c r="C26">
        <f>IF($W26="","",IF(INDEX('Per Invoice'!C$2:C$801,$W26)="","",INDEX('Per Invoice'!C$2:C$801,$W26)))</f>
        <v/>
      </c>
      <c r="D26">
        <f>IF($W26="","",IF(INDEX('Per Invoice'!D$2:D$801,$W26)="","",INDEX('Per Invoice'!D$2:D$801,$W26)))</f>
        <v/>
      </c>
      <c r="E26">
        <f>IF($W26="","",IF(INDEX('Per Invoice'!E$2:E$801,$W26)="","",INDEX('Per Invoice'!E$2:E$801,$W26)))</f>
        <v/>
      </c>
      <c r="F26">
        <f>IF($W26="","",IF(INDEX('Per Invoice'!F$2:F$801,$W26)="","",INDEX('Per Invoice'!F$2:F$801,$W26)))</f>
        <v/>
      </c>
      <c r="G26">
        <f>IF($W26="","",IF(INDEX('Per Invoice'!G$2:G$801,$W26)="","",INDEX('Per Invoice'!G$2:G$801,$W26)))</f>
        <v/>
      </c>
      <c r="H26">
        <f>IF($W26="","",IF(INDEX('Per Invoice'!H$2:H$801,$W26)="","",INDEX('Per Invoice'!H$2:H$801,$W26)))</f>
        <v/>
      </c>
      <c r="I26">
        <f>IF($W26="","",IF(INDEX('Per Invoice'!I$2:I$801,$W26)="","",INDEX('Per Invoice'!I$2:I$801,$W26)))</f>
        <v/>
      </c>
      <c r="J26">
        <f>IF($W26="","",IF(INDEX('Per Invoice'!J$2:J$801,$W26)="","",INDEX('Per Invoice'!J$2:J$801,$W26)))</f>
        <v/>
      </c>
      <c r="K26" s="7">
        <f>IF($W26="","",IF(INDEX('Per Invoice'!K$2:K$801,$W26)="","",INDEX('Per Invoice'!K$2:K$801,$W26)))</f>
        <v/>
      </c>
      <c r="L26" s="14">
        <f>IF($W26="","",IF(INDEX('Per Invoice'!L$2:L$801,$W26)="","",INDEX('Per Invoice'!L$2:L$801,$W26)))</f>
        <v/>
      </c>
      <c r="M26">
        <f>IF($W26="","",IF(INDEX('Per Invoice'!M$2:M$801,$W26)="","",INDEX('Per Invoice'!M$2:M$801,$W26)))</f>
        <v/>
      </c>
      <c r="N26" s="7">
        <f>IF($W26="","",IF(INDEX('Per Invoice'!N$2:N$801,$W26)="","",INDEX('Per Invoice'!N$2:N$801,$W26)))</f>
        <v/>
      </c>
      <c r="O26" s="7">
        <f>IF($W26="","",IF(INDEX('Per Invoice'!O$2:O$801,$W26)="","",INDEX('Per Invoice'!O$2:O$801,$W26)))</f>
        <v/>
      </c>
      <c r="P26">
        <f>IF($W26="","",IF(INDEX('Per Invoice'!P$2:P$801,$W26)="","",INDEX('Per Invoice'!P$2:P$801,$W26)))</f>
        <v/>
      </c>
      <c r="Q26" s="7">
        <f>IF($W26="","",IF(INDEX('Per Invoice'!Q$2:Q$801,$W26)="","",INDEX('Per Invoice'!Q$2:Q$801,$W26)))</f>
        <v/>
      </c>
      <c r="R26" s="7">
        <f>IF($W26="","",IF(INDEX('Per Invoice'!R$2:R$801,$W26)="","",INDEX('Per Invoice'!R$2:R$801,$W26)))</f>
        <v/>
      </c>
      <c r="S26" s="7">
        <f>IF($W26="","",IF(INDEX('Per Invoice'!S$2:S$801,$W26)="","",INDEX('Per Invoice'!S$2:S$801,$W26)))</f>
        <v/>
      </c>
      <c r="T26" s="7">
        <f>IF($W26="","",IF(INDEX('Per Invoice'!T$2:T$801,$W26)="","",INDEX('Per Invoice'!T$2:T$801,$W26)))</f>
        <v/>
      </c>
      <c r="U26" s="7">
        <f>IF($W26="","",IF(INDEX('Per Invoice'!U$2:U$801,$W26)="","",INDEX('Per Invoice'!U$2:U$801,$W26)))</f>
        <v/>
      </c>
      <c r="V26" s="7">
        <f>IF($W26="","",IF(INDEX('Per Invoice'!V$2:V$801,$W26)="","",INDEX('Per Invoice'!V$2:V$801,$W26)))</f>
        <v/>
      </c>
      <c r="W26" s="16">
        <f>IFERROR(MATCH(Settings!$C$26&amp;"|"&amp;ROWS($W$2:$W26),'Per Invoice'!$X$2:$X$801,0),"")</f>
        <v/>
      </c>
    </row>
    <row r="27">
      <c r="A27">
        <f>IF($W27="","",IF(INDEX('Per Invoice'!A$2:A$801,$W27)="","",INDEX('Per Invoice'!A$2:A$801,$W27)))</f>
        <v/>
      </c>
      <c r="B27">
        <f>IF($W27="","",IF(INDEX('Per Invoice'!B$2:B$801,$W27)="","",INDEX('Per Invoice'!B$2:B$801,$W27)))</f>
        <v/>
      </c>
      <c r="C27">
        <f>IF($W27="","",IF(INDEX('Per Invoice'!C$2:C$801,$W27)="","",INDEX('Per Invoice'!C$2:C$801,$W27)))</f>
        <v/>
      </c>
      <c r="D27">
        <f>IF($W27="","",IF(INDEX('Per Invoice'!D$2:D$801,$W27)="","",INDEX('Per Invoice'!D$2:D$801,$W27)))</f>
        <v/>
      </c>
      <c r="E27">
        <f>IF($W27="","",IF(INDEX('Per Invoice'!E$2:E$801,$W27)="","",INDEX('Per Invoice'!E$2:E$801,$W27)))</f>
        <v/>
      </c>
      <c r="F27">
        <f>IF($W27="","",IF(INDEX('Per Invoice'!F$2:F$801,$W27)="","",INDEX('Per Invoice'!F$2:F$801,$W27)))</f>
        <v/>
      </c>
      <c r="G27">
        <f>IF($W27="","",IF(INDEX('Per Invoice'!G$2:G$801,$W27)="","",INDEX('Per Invoice'!G$2:G$801,$W27)))</f>
        <v/>
      </c>
      <c r="H27">
        <f>IF($W27="","",IF(INDEX('Per Invoice'!H$2:H$801,$W27)="","",INDEX('Per Invoice'!H$2:H$801,$W27)))</f>
        <v/>
      </c>
      <c r="I27">
        <f>IF($W27="","",IF(INDEX('Per Invoice'!I$2:I$801,$W27)="","",INDEX('Per Invoice'!I$2:I$801,$W27)))</f>
        <v/>
      </c>
      <c r="J27">
        <f>IF($W27="","",IF(INDEX('Per Invoice'!J$2:J$801,$W27)="","",INDEX('Per Invoice'!J$2:J$801,$W27)))</f>
        <v/>
      </c>
      <c r="K27" s="7">
        <f>IF($W27="","",IF(INDEX('Per Invoice'!K$2:K$801,$W27)="","",INDEX('Per Invoice'!K$2:K$801,$W27)))</f>
        <v/>
      </c>
      <c r="L27" s="14">
        <f>IF($W27="","",IF(INDEX('Per Invoice'!L$2:L$801,$W27)="","",INDEX('Per Invoice'!L$2:L$801,$W27)))</f>
        <v/>
      </c>
      <c r="M27">
        <f>IF($W27="","",IF(INDEX('Per Invoice'!M$2:M$801,$W27)="","",INDEX('Per Invoice'!M$2:M$801,$W27)))</f>
        <v/>
      </c>
      <c r="N27" s="7">
        <f>IF($W27="","",IF(INDEX('Per Invoice'!N$2:N$801,$W27)="","",INDEX('Per Invoice'!N$2:N$801,$W27)))</f>
        <v/>
      </c>
      <c r="O27" s="7">
        <f>IF($W27="","",IF(INDEX('Per Invoice'!O$2:O$801,$W27)="","",INDEX('Per Invoice'!O$2:O$801,$W27)))</f>
        <v/>
      </c>
      <c r="P27">
        <f>IF($W27="","",IF(INDEX('Per Invoice'!P$2:P$801,$W27)="","",INDEX('Per Invoice'!P$2:P$801,$W27)))</f>
        <v/>
      </c>
      <c r="Q27" s="7">
        <f>IF($W27="","",IF(INDEX('Per Invoice'!Q$2:Q$801,$W27)="","",INDEX('Per Invoice'!Q$2:Q$801,$W27)))</f>
        <v/>
      </c>
      <c r="R27" s="7">
        <f>IF($W27="","",IF(INDEX('Per Invoice'!R$2:R$801,$W27)="","",INDEX('Per Invoice'!R$2:R$801,$W27)))</f>
        <v/>
      </c>
      <c r="S27" s="7">
        <f>IF($W27="","",IF(INDEX('Per Invoice'!S$2:S$801,$W27)="","",INDEX('Per Invoice'!S$2:S$801,$W27)))</f>
        <v/>
      </c>
      <c r="T27" s="7">
        <f>IF($W27="","",IF(INDEX('Per Invoice'!T$2:T$801,$W27)="","",INDEX('Per Invoice'!T$2:T$801,$W27)))</f>
        <v/>
      </c>
      <c r="U27" s="7">
        <f>IF($W27="","",IF(INDEX('Per Invoice'!U$2:U$801,$W27)="","",INDEX('Per Invoice'!U$2:U$801,$W27)))</f>
        <v/>
      </c>
      <c r="V27" s="7">
        <f>IF($W27="","",IF(INDEX('Per Invoice'!V$2:V$801,$W27)="","",INDEX('Per Invoice'!V$2:V$801,$W27)))</f>
        <v/>
      </c>
      <c r="W27" s="16">
        <f>IFERROR(MATCH(Settings!$C$26&amp;"|"&amp;ROWS($W$2:$W27),'Per Invoice'!$X$2:$X$801,0),"")</f>
        <v/>
      </c>
    </row>
    <row r="28">
      <c r="A28">
        <f>IF($W28="","",IF(INDEX('Per Invoice'!A$2:A$801,$W28)="","",INDEX('Per Invoice'!A$2:A$801,$W28)))</f>
        <v/>
      </c>
      <c r="B28">
        <f>IF($W28="","",IF(INDEX('Per Invoice'!B$2:B$801,$W28)="","",INDEX('Per Invoice'!B$2:B$801,$W28)))</f>
        <v/>
      </c>
      <c r="C28">
        <f>IF($W28="","",IF(INDEX('Per Invoice'!C$2:C$801,$W28)="","",INDEX('Per Invoice'!C$2:C$801,$W28)))</f>
        <v/>
      </c>
      <c r="D28">
        <f>IF($W28="","",IF(INDEX('Per Invoice'!D$2:D$801,$W28)="","",INDEX('Per Invoice'!D$2:D$801,$W28)))</f>
        <v/>
      </c>
      <c r="E28">
        <f>IF($W28="","",IF(INDEX('Per Invoice'!E$2:E$801,$W28)="","",INDEX('Per Invoice'!E$2:E$801,$W28)))</f>
        <v/>
      </c>
      <c r="F28">
        <f>IF($W28="","",IF(INDEX('Per Invoice'!F$2:F$801,$W28)="","",INDEX('Per Invoice'!F$2:F$801,$W28)))</f>
        <v/>
      </c>
      <c r="G28">
        <f>IF($W28="","",IF(INDEX('Per Invoice'!G$2:G$801,$W28)="","",INDEX('Per Invoice'!G$2:G$801,$W28)))</f>
        <v/>
      </c>
      <c r="H28">
        <f>IF($W28="","",IF(INDEX('Per Invoice'!H$2:H$801,$W28)="","",INDEX('Per Invoice'!H$2:H$801,$W28)))</f>
        <v/>
      </c>
      <c r="I28">
        <f>IF($W28="","",IF(INDEX('Per Invoice'!I$2:I$801,$W28)="","",INDEX('Per Invoice'!I$2:I$801,$W28)))</f>
        <v/>
      </c>
      <c r="J28">
        <f>IF($W28="","",IF(INDEX('Per Invoice'!J$2:J$801,$W28)="","",INDEX('Per Invoice'!J$2:J$801,$W28)))</f>
        <v/>
      </c>
      <c r="K28" s="7">
        <f>IF($W28="","",IF(INDEX('Per Invoice'!K$2:K$801,$W28)="","",INDEX('Per Invoice'!K$2:K$801,$W28)))</f>
        <v/>
      </c>
      <c r="L28" s="14">
        <f>IF($W28="","",IF(INDEX('Per Invoice'!L$2:L$801,$W28)="","",INDEX('Per Invoice'!L$2:L$801,$W28)))</f>
        <v/>
      </c>
      <c r="M28">
        <f>IF($W28="","",IF(INDEX('Per Invoice'!M$2:M$801,$W28)="","",INDEX('Per Invoice'!M$2:M$801,$W28)))</f>
        <v/>
      </c>
      <c r="N28" s="7">
        <f>IF($W28="","",IF(INDEX('Per Invoice'!N$2:N$801,$W28)="","",INDEX('Per Invoice'!N$2:N$801,$W28)))</f>
        <v/>
      </c>
      <c r="O28" s="7">
        <f>IF($W28="","",IF(INDEX('Per Invoice'!O$2:O$801,$W28)="","",INDEX('Per Invoice'!O$2:O$801,$W28)))</f>
        <v/>
      </c>
      <c r="P28">
        <f>IF($W28="","",IF(INDEX('Per Invoice'!P$2:P$801,$W28)="","",INDEX('Per Invoice'!P$2:P$801,$W28)))</f>
        <v/>
      </c>
      <c r="Q28" s="7">
        <f>IF($W28="","",IF(INDEX('Per Invoice'!Q$2:Q$801,$W28)="","",INDEX('Per Invoice'!Q$2:Q$801,$W28)))</f>
        <v/>
      </c>
      <c r="R28" s="7">
        <f>IF($W28="","",IF(INDEX('Per Invoice'!R$2:R$801,$W28)="","",INDEX('Per Invoice'!R$2:R$801,$W28)))</f>
        <v/>
      </c>
      <c r="S28" s="7">
        <f>IF($W28="","",IF(INDEX('Per Invoice'!S$2:S$801,$W28)="","",INDEX('Per Invoice'!S$2:S$801,$W28)))</f>
        <v/>
      </c>
      <c r="T28" s="7">
        <f>IF($W28="","",IF(INDEX('Per Invoice'!T$2:T$801,$W28)="","",INDEX('Per Invoice'!T$2:T$801,$W28)))</f>
        <v/>
      </c>
      <c r="U28" s="7">
        <f>IF($W28="","",IF(INDEX('Per Invoice'!U$2:U$801,$W28)="","",INDEX('Per Invoice'!U$2:U$801,$W28)))</f>
        <v/>
      </c>
      <c r="V28" s="7">
        <f>IF($W28="","",IF(INDEX('Per Invoice'!V$2:V$801,$W28)="","",INDEX('Per Invoice'!V$2:V$801,$W28)))</f>
        <v/>
      </c>
      <c r="W28" s="16">
        <f>IFERROR(MATCH(Settings!$C$26&amp;"|"&amp;ROWS($W$2:$W28),'Per Invoice'!$X$2:$X$801,0),"")</f>
        <v/>
      </c>
    </row>
    <row r="29">
      <c r="A29">
        <f>IF($W29="","",IF(INDEX('Per Invoice'!A$2:A$801,$W29)="","",INDEX('Per Invoice'!A$2:A$801,$W29)))</f>
        <v/>
      </c>
      <c r="B29">
        <f>IF($W29="","",IF(INDEX('Per Invoice'!B$2:B$801,$W29)="","",INDEX('Per Invoice'!B$2:B$801,$W29)))</f>
        <v/>
      </c>
      <c r="C29">
        <f>IF($W29="","",IF(INDEX('Per Invoice'!C$2:C$801,$W29)="","",INDEX('Per Invoice'!C$2:C$801,$W29)))</f>
        <v/>
      </c>
      <c r="D29">
        <f>IF($W29="","",IF(INDEX('Per Invoice'!D$2:D$801,$W29)="","",INDEX('Per Invoice'!D$2:D$801,$W29)))</f>
        <v/>
      </c>
      <c r="E29">
        <f>IF($W29="","",IF(INDEX('Per Invoice'!E$2:E$801,$W29)="","",INDEX('Per Invoice'!E$2:E$801,$W29)))</f>
        <v/>
      </c>
      <c r="F29">
        <f>IF($W29="","",IF(INDEX('Per Invoice'!F$2:F$801,$W29)="","",INDEX('Per Invoice'!F$2:F$801,$W29)))</f>
        <v/>
      </c>
      <c r="G29">
        <f>IF($W29="","",IF(INDEX('Per Invoice'!G$2:G$801,$W29)="","",INDEX('Per Invoice'!G$2:G$801,$W29)))</f>
        <v/>
      </c>
      <c r="H29">
        <f>IF($W29="","",IF(INDEX('Per Invoice'!H$2:H$801,$W29)="","",INDEX('Per Invoice'!H$2:H$801,$W29)))</f>
        <v/>
      </c>
      <c r="I29">
        <f>IF($W29="","",IF(INDEX('Per Invoice'!I$2:I$801,$W29)="","",INDEX('Per Invoice'!I$2:I$801,$W29)))</f>
        <v/>
      </c>
      <c r="J29">
        <f>IF($W29="","",IF(INDEX('Per Invoice'!J$2:J$801,$W29)="","",INDEX('Per Invoice'!J$2:J$801,$W29)))</f>
        <v/>
      </c>
      <c r="K29" s="7">
        <f>IF($W29="","",IF(INDEX('Per Invoice'!K$2:K$801,$W29)="","",INDEX('Per Invoice'!K$2:K$801,$W29)))</f>
        <v/>
      </c>
      <c r="L29" s="14">
        <f>IF($W29="","",IF(INDEX('Per Invoice'!L$2:L$801,$W29)="","",INDEX('Per Invoice'!L$2:L$801,$W29)))</f>
        <v/>
      </c>
      <c r="M29">
        <f>IF($W29="","",IF(INDEX('Per Invoice'!M$2:M$801,$W29)="","",INDEX('Per Invoice'!M$2:M$801,$W29)))</f>
        <v/>
      </c>
      <c r="N29" s="7">
        <f>IF($W29="","",IF(INDEX('Per Invoice'!N$2:N$801,$W29)="","",INDEX('Per Invoice'!N$2:N$801,$W29)))</f>
        <v/>
      </c>
      <c r="O29" s="7">
        <f>IF($W29="","",IF(INDEX('Per Invoice'!O$2:O$801,$W29)="","",INDEX('Per Invoice'!O$2:O$801,$W29)))</f>
        <v/>
      </c>
      <c r="P29">
        <f>IF($W29="","",IF(INDEX('Per Invoice'!P$2:P$801,$W29)="","",INDEX('Per Invoice'!P$2:P$801,$W29)))</f>
        <v/>
      </c>
      <c r="Q29" s="7">
        <f>IF($W29="","",IF(INDEX('Per Invoice'!Q$2:Q$801,$W29)="","",INDEX('Per Invoice'!Q$2:Q$801,$W29)))</f>
        <v/>
      </c>
      <c r="R29" s="7">
        <f>IF($W29="","",IF(INDEX('Per Invoice'!R$2:R$801,$W29)="","",INDEX('Per Invoice'!R$2:R$801,$W29)))</f>
        <v/>
      </c>
      <c r="S29" s="7">
        <f>IF($W29="","",IF(INDEX('Per Invoice'!S$2:S$801,$W29)="","",INDEX('Per Invoice'!S$2:S$801,$W29)))</f>
        <v/>
      </c>
      <c r="T29" s="7">
        <f>IF($W29="","",IF(INDEX('Per Invoice'!T$2:T$801,$W29)="","",INDEX('Per Invoice'!T$2:T$801,$W29)))</f>
        <v/>
      </c>
      <c r="U29" s="7">
        <f>IF($W29="","",IF(INDEX('Per Invoice'!U$2:U$801,$W29)="","",INDEX('Per Invoice'!U$2:U$801,$W29)))</f>
        <v/>
      </c>
      <c r="V29" s="7">
        <f>IF($W29="","",IF(INDEX('Per Invoice'!V$2:V$801,$W29)="","",INDEX('Per Invoice'!V$2:V$801,$W29)))</f>
        <v/>
      </c>
      <c r="W29" s="16">
        <f>IFERROR(MATCH(Settings!$C$26&amp;"|"&amp;ROWS($W$2:$W29),'Per Invoice'!$X$2:$X$801,0),"")</f>
        <v/>
      </c>
    </row>
    <row r="30">
      <c r="A30">
        <f>IF($W30="","",IF(INDEX('Per Invoice'!A$2:A$801,$W30)="","",INDEX('Per Invoice'!A$2:A$801,$W30)))</f>
        <v/>
      </c>
      <c r="B30">
        <f>IF($W30="","",IF(INDEX('Per Invoice'!B$2:B$801,$W30)="","",INDEX('Per Invoice'!B$2:B$801,$W30)))</f>
        <v/>
      </c>
      <c r="C30">
        <f>IF($W30="","",IF(INDEX('Per Invoice'!C$2:C$801,$W30)="","",INDEX('Per Invoice'!C$2:C$801,$W30)))</f>
        <v/>
      </c>
      <c r="D30">
        <f>IF($W30="","",IF(INDEX('Per Invoice'!D$2:D$801,$W30)="","",INDEX('Per Invoice'!D$2:D$801,$W30)))</f>
        <v/>
      </c>
      <c r="E30">
        <f>IF($W30="","",IF(INDEX('Per Invoice'!E$2:E$801,$W30)="","",INDEX('Per Invoice'!E$2:E$801,$W30)))</f>
        <v/>
      </c>
      <c r="F30">
        <f>IF($W30="","",IF(INDEX('Per Invoice'!F$2:F$801,$W30)="","",INDEX('Per Invoice'!F$2:F$801,$W30)))</f>
        <v/>
      </c>
      <c r="G30">
        <f>IF($W30="","",IF(INDEX('Per Invoice'!G$2:G$801,$W30)="","",INDEX('Per Invoice'!G$2:G$801,$W30)))</f>
        <v/>
      </c>
      <c r="H30">
        <f>IF($W30="","",IF(INDEX('Per Invoice'!H$2:H$801,$W30)="","",INDEX('Per Invoice'!H$2:H$801,$W30)))</f>
        <v/>
      </c>
      <c r="I30">
        <f>IF($W30="","",IF(INDEX('Per Invoice'!I$2:I$801,$W30)="","",INDEX('Per Invoice'!I$2:I$801,$W30)))</f>
        <v/>
      </c>
      <c r="J30">
        <f>IF($W30="","",IF(INDEX('Per Invoice'!J$2:J$801,$W30)="","",INDEX('Per Invoice'!J$2:J$801,$W30)))</f>
        <v/>
      </c>
      <c r="K30" s="7">
        <f>IF($W30="","",IF(INDEX('Per Invoice'!K$2:K$801,$W30)="","",INDEX('Per Invoice'!K$2:K$801,$W30)))</f>
        <v/>
      </c>
      <c r="L30" s="14">
        <f>IF($W30="","",IF(INDEX('Per Invoice'!L$2:L$801,$W30)="","",INDEX('Per Invoice'!L$2:L$801,$W30)))</f>
        <v/>
      </c>
      <c r="M30">
        <f>IF($W30="","",IF(INDEX('Per Invoice'!M$2:M$801,$W30)="","",INDEX('Per Invoice'!M$2:M$801,$W30)))</f>
        <v/>
      </c>
      <c r="N30" s="7">
        <f>IF($W30="","",IF(INDEX('Per Invoice'!N$2:N$801,$W30)="","",INDEX('Per Invoice'!N$2:N$801,$W30)))</f>
        <v/>
      </c>
      <c r="O30" s="7">
        <f>IF($W30="","",IF(INDEX('Per Invoice'!O$2:O$801,$W30)="","",INDEX('Per Invoice'!O$2:O$801,$W30)))</f>
        <v/>
      </c>
      <c r="P30">
        <f>IF($W30="","",IF(INDEX('Per Invoice'!P$2:P$801,$W30)="","",INDEX('Per Invoice'!P$2:P$801,$W30)))</f>
        <v/>
      </c>
      <c r="Q30" s="7">
        <f>IF($W30="","",IF(INDEX('Per Invoice'!Q$2:Q$801,$W30)="","",INDEX('Per Invoice'!Q$2:Q$801,$W30)))</f>
        <v/>
      </c>
      <c r="R30" s="7">
        <f>IF($W30="","",IF(INDEX('Per Invoice'!R$2:R$801,$W30)="","",INDEX('Per Invoice'!R$2:R$801,$W30)))</f>
        <v/>
      </c>
      <c r="S30" s="7">
        <f>IF($W30="","",IF(INDEX('Per Invoice'!S$2:S$801,$W30)="","",INDEX('Per Invoice'!S$2:S$801,$W30)))</f>
        <v/>
      </c>
      <c r="T30" s="7">
        <f>IF($W30="","",IF(INDEX('Per Invoice'!T$2:T$801,$W30)="","",INDEX('Per Invoice'!T$2:T$801,$W30)))</f>
        <v/>
      </c>
      <c r="U30" s="7">
        <f>IF($W30="","",IF(INDEX('Per Invoice'!U$2:U$801,$W30)="","",INDEX('Per Invoice'!U$2:U$801,$W30)))</f>
        <v/>
      </c>
      <c r="V30" s="7">
        <f>IF($W30="","",IF(INDEX('Per Invoice'!V$2:V$801,$W30)="","",INDEX('Per Invoice'!V$2:V$801,$W30)))</f>
        <v/>
      </c>
      <c r="W30" s="16">
        <f>IFERROR(MATCH(Settings!$C$26&amp;"|"&amp;ROWS($W$2:$W30),'Per Invoice'!$X$2:$X$801,0),"")</f>
        <v/>
      </c>
    </row>
    <row r="31">
      <c r="A31">
        <f>IF($W31="","",IF(INDEX('Per Invoice'!A$2:A$801,$W31)="","",INDEX('Per Invoice'!A$2:A$801,$W31)))</f>
        <v/>
      </c>
      <c r="B31">
        <f>IF($W31="","",IF(INDEX('Per Invoice'!B$2:B$801,$W31)="","",INDEX('Per Invoice'!B$2:B$801,$W31)))</f>
        <v/>
      </c>
      <c r="C31">
        <f>IF($W31="","",IF(INDEX('Per Invoice'!C$2:C$801,$W31)="","",INDEX('Per Invoice'!C$2:C$801,$W31)))</f>
        <v/>
      </c>
      <c r="D31">
        <f>IF($W31="","",IF(INDEX('Per Invoice'!D$2:D$801,$W31)="","",INDEX('Per Invoice'!D$2:D$801,$W31)))</f>
        <v/>
      </c>
      <c r="E31">
        <f>IF($W31="","",IF(INDEX('Per Invoice'!E$2:E$801,$W31)="","",INDEX('Per Invoice'!E$2:E$801,$W31)))</f>
        <v/>
      </c>
      <c r="F31">
        <f>IF($W31="","",IF(INDEX('Per Invoice'!F$2:F$801,$W31)="","",INDEX('Per Invoice'!F$2:F$801,$W31)))</f>
        <v/>
      </c>
      <c r="G31">
        <f>IF($W31="","",IF(INDEX('Per Invoice'!G$2:G$801,$W31)="","",INDEX('Per Invoice'!G$2:G$801,$W31)))</f>
        <v/>
      </c>
      <c r="H31">
        <f>IF($W31="","",IF(INDEX('Per Invoice'!H$2:H$801,$W31)="","",INDEX('Per Invoice'!H$2:H$801,$W31)))</f>
        <v/>
      </c>
      <c r="I31">
        <f>IF($W31="","",IF(INDEX('Per Invoice'!I$2:I$801,$W31)="","",INDEX('Per Invoice'!I$2:I$801,$W31)))</f>
        <v/>
      </c>
      <c r="J31">
        <f>IF($W31="","",IF(INDEX('Per Invoice'!J$2:J$801,$W31)="","",INDEX('Per Invoice'!J$2:J$801,$W31)))</f>
        <v/>
      </c>
      <c r="K31" s="7">
        <f>IF($W31="","",IF(INDEX('Per Invoice'!K$2:K$801,$W31)="","",INDEX('Per Invoice'!K$2:K$801,$W31)))</f>
        <v/>
      </c>
      <c r="L31" s="14">
        <f>IF($W31="","",IF(INDEX('Per Invoice'!L$2:L$801,$W31)="","",INDEX('Per Invoice'!L$2:L$801,$W31)))</f>
        <v/>
      </c>
      <c r="M31">
        <f>IF($W31="","",IF(INDEX('Per Invoice'!M$2:M$801,$W31)="","",INDEX('Per Invoice'!M$2:M$801,$W31)))</f>
        <v/>
      </c>
      <c r="N31" s="7">
        <f>IF($W31="","",IF(INDEX('Per Invoice'!N$2:N$801,$W31)="","",INDEX('Per Invoice'!N$2:N$801,$W31)))</f>
        <v/>
      </c>
      <c r="O31" s="7">
        <f>IF($W31="","",IF(INDEX('Per Invoice'!O$2:O$801,$W31)="","",INDEX('Per Invoice'!O$2:O$801,$W31)))</f>
        <v/>
      </c>
      <c r="P31">
        <f>IF($W31="","",IF(INDEX('Per Invoice'!P$2:P$801,$W31)="","",INDEX('Per Invoice'!P$2:P$801,$W31)))</f>
        <v/>
      </c>
      <c r="Q31" s="7">
        <f>IF($W31="","",IF(INDEX('Per Invoice'!Q$2:Q$801,$W31)="","",INDEX('Per Invoice'!Q$2:Q$801,$W31)))</f>
        <v/>
      </c>
      <c r="R31" s="7">
        <f>IF($W31="","",IF(INDEX('Per Invoice'!R$2:R$801,$W31)="","",INDEX('Per Invoice'!R$2:R$801,$W31)))</f>
        <v/>
      </c>
      <c r="S31" s="7">
        <f>IF($W31="","",IF(INDEX('Per Invoice'!S$2:S$801,$W31)="","",INDEX('Per Invoice'!S$2:S$801,$W31)))</f>
        <v/>
      </c>
      <c r="T31" s="7">
        <f>IF($W31="","",IF(INDEX('Per Invoice'!T$2:T$801,$W31)="","",INDEX('Per Invoice'!T$2:T$801,$W31)))</f>
        <v/>
      </c>
      <c r="U31" s="7">
        <f>IF($W31="","",IF(INDEX('Per Invoice'!U$2:U$801,$W31)="","",INDEX('Per Invoice'!U$2:U$801,$W31)))</f>
        <v/>
      </c>
      <c r="V31" s="7">
        <f>IF($W31="","",IF(INDEX('Per Invoice'!V$2:V$801,$W31)="","",INDEX('Per Invoice'!V$2:V$801,$W31)))</f>
        <v/>
      </c>
      <c r="W31" s="16">
        <f>IFERROR(MATCH(Settings!$C$26&amp;"|"&amp;ROWS($W$2:$W31),'Per Invoice'!$X$2:$X$801,0),"")</f>
        <v/>
      </c>
    </row>
    <row r="32">
      <c r="A32">
        <f>IF($W32="","",IF(INDEX('Per Invoice'!A$2:A$801,$W32)="","",INDEX('Per Invoice'!A$2:A$801,$W32)))</f>
        <v/>
      </c>
      <c r="B32">
        <f>IF($W32="","",IF(INDEX('Per Invoice'!B$2:B$801,$W32)="","",INDEX('Per Invoice'!B$2:B$801,$W32)))</f>
        <v/>
      </c>
      <c r="C32">
        <f>IF($W32="","",IF(INDEX('Per Invoice'!C$2:C$801,$W32)="","",INDEX('Per Invoice'!C$2:C$801,$W32)))</f>
        <v/>
      </c>
      <c r="D32">
        <f>IF($W32="","",IF(INDEX('Per Invoice'!D$2:D$801,$W32)="","",INDEX('Per Invoice'!D$2:D$801,$W32)))</f>
        <v/>
      </c>
      <c r="E32">
        <f>IF($W32="","",IF(INDEX('Per Invoice'!E$2:E$801,$W32)="","",INDEX('Per Invoice'!E$2:E$801,$W32)))</f>
        <v/>
      </c>
      <c r="F32">
        <f>IF($W32="","",IF(INDEX('Per Invoice'!F$2:F$801,$W32)="","",INDEX('Per Invoice'!F$2:F$801,$W32)))</f>
        <v/>
      </c>
      <c r="G32">
        <f>IF($W32="","",IF(INDEX('Per Invoice'!G$2:G$801,$W32)="","",INDEX('Per Invoice'!G$2:G$801,$W32)))</f>
        <v/>
      </c>
      <c r="H32">
        <f>IF($W32="","",IF(INDEX('Per Invoice'!H$2:H$801,$W32)="","",INDEX('Per Invoice'!H$2:H$801,$W32)))</f>
        <v/>
      </c>
      <c r="I32">
        <f>IF($W32="","",IF(INDEX('Per Invoice'!I$2:I$801,$W32)="","",INDEX('Per Invoice'!I$2:I$801,$W32)))</f>
        <v/>
      </c>
      <c r="J32">
        <f>IF($W32="","",IF(INDEX('Per Invoice'!J$2:J$801,$W32)="","",INDEX('Per Invoice'!J$2:J$801,$W32)))</f>
        <v/>
      </c>
      <c r="K32" s="7">
        <f>IF($W32="","",IF(INDEX('Per Invoice'!K$2:K$801,$W32)="","",INDEX('Per Invoice'!K$2:K$801,$W32)))</f>
        <v/>
      </c>
      <c r="L32" s="14">
        <f>IF($W32="","",IF(INDEX('Per Invoice'!L$2:L$801,$W32)="","",INDEX('Per Invoice'!L$2:L$801,$W32)))</f>
        <v/>
      </c>
      <c r="M32">
        <f>IF($W32="","",IF(INDEX('Per Invoice'!M$2:M$801,$W32)="","",INDEX('Per Invoice'!M$2:M$801,$W32)))</f>
        <v/>
      </c>
      <c r="N32" s="7">
        <f>IF($W32="","",IF(INDEX('Per Invoice'!N$2:N$801,$W32)="","",INDEX('Per Invoice'!N$2:N$801,$W32)))</f>
        <v/>
      </c>
      <c r="O32" s="7">
        <f>IF($W32="","",IF(INDEX('Per Invoice'!O$2:O$801,$W32)="","",INDEX('Per Invoice'!O$2:O$801,$W32)))</f>
        <v/>
      </c>
      <c r="P32">
        <f>IF($W32="","",IF(INDEX('Per Invoice'!P$2:P$801,$W32)="","",INDEX('Per Invoice'!P$2:P$801,$W32)))</f>
        <v/>
      </c>
      <c r="Q32" s="7">
        <f>IF($W32="","",IF(INDEX('Per Invoice'!Q$2:Q$801,$W32)="","",INDEX('Per Invoice'!Q$2:Q$801,$W32)))</f>
        <v/>
      </c>
      <c r="R32" s="7">
        <f>IF($W32="","",IF(INDEX('Per Invoice'!R$2:R$801,$W32)="","",INDEX('Per Invoice'!R$2:R$801,$W32)))</f>
        <v/>
      </c>
      <c r="S32" s="7">
        <f>IF($W32="","",IF(INDEX('Per Invoice'!S$2:S$801,$W32)="","",INDEX('Per Invoice'!S$2:S$801,$W32)))</f>
        <v/>
      </c>
      <c r="T32" s="7">
        <f>IF($W32="","",IF(INDEX('Per Invoice'!T$2:T$801,$W32)="","",INDEX('Per Invoice'!T$2:T$801,$W32)))</f>
        <v/>
      </c>
      <c r="U32" s="7">
        <f>IF($W32="","",IF(INDEX('Per Invoice'!U$2:U$801,$W32)="","",INDEX('Per Invoice'!U$2:U$801,$W32)))</f>
        <v/>
      </c>
      <c r="V32" s="7">
        <f>IF($W32="","",IF(INDEX('Per Invoice'!V$2:V$801,$W32)="","",INDEX('Per Invoice'!V$2:V$801,$W32)))</f>
        <v/>
      </c>
      <c r="W32" s="16">
        <f>IFERROR(MATCH(Settings!$C$26&amp;"|"&amp;ROWS($W$2:$W32),'Per Invoice'!$X$2:$X$801,0),"")</f>
        <v/>
      </c>
    </row>
    <row r="33">
      <c r="A33">
        <f>IF($W33="","",IF(INDEX('Per Invoice'!A$2:A$801,$W33)="","",INDEX('Per Invoice'!A$2:A$801,$W33)))</f>
        <v/>
      </c>
      <c r="B33">
        <f>IF($W33="","",IF(INDEX('Per Invoice'!B$2:B$801,$W33)="","",INDEX('Per Invoice'!B$2:B$801,$W33)))</f>
        <v/>
      </c>
      <c r="C33">
        <f>IF($W33="","",IF(INDEX('Per Invoice'!C$2:C$801,$W33)="","",INDEX('Per Invoice'!C$2:C$801,$W33)))</f>
        <v/>
      </c>
      <c r="D33">
        <f>IF($W33="","",IF(INDEX('Per Invoice'!D$2:D$801,$W33)="","",INDEX('Per Invoice'!D$2:D$801,$W33)))</f>
        <v/>
      </c>
      <c r="E33">
        <f>IF($W33="","",IF(INDEX('Per Invoice'!E$2:E$801,$W33)="","",INDEX('Per Invoice'!E$2:E$801,$W33)))</f>
        <v/>
      </c>
      <c r="F33">
        <f>IF($W33="","",IF(INDEX('Per Invoice'!F$2:F$801,$W33)="","",INDEX('Per Invoice'!F$2:F$801,$W33)))</f>
        <v/>
      </c>
      <c r="G33">
        <f>IF($W33="","",IF(INDEX('Per Invoice'!G$2:G$801,$W33)="","",INDEX('Per Invoice'!G$2:G$801,$W33)))</f>
        <v/>
      </c>
      <c r="H33">
        <f>IF($W33="","",IF(INDEX('Per Invoice'!H$2:H$801,$W33)="","",INDEX('Per Invoice'!H$2:H$801,$W33)))</f>
        <v/>
      </c>
      <c r="I33">
        <f>IF($W33="","",IF(INDEX('Per Invoice'!I$2:I$801,$W33)="","",INDEX('Per Invoice'!I$2:I$801,$W33)))</f>
        <v/>
      </c>
      <c r="J33">
        <f>IF($W33="","",IF(INDEX('Per Invoice'!J$2:J$801,$W33)="","",INDEX('Per Invoice'!J$2:J$801,$W33)))</f>
        <v/>
      </c>
      <c r="K33" s="7">
        <f>IF($W33="","",IF(INDEX('Per Invoice'!K$2:K$801,$W33)="","",INDEX('Per Invoice'!K$2:K$801,$W33)))</f>
        <v/>
      </c>
      <c r="L33" s="14">
        <f>IF($W33="","",IF(INDEX('Per Invoice'!L$2:L$801,$W33)="","",INDEX('Per Invoice'!L$2:L$801,$W33)))</f>
        <v/>
      </c>
      <c r="M33">
        <f>IF($W33="","",IF(INDEX('Per Invoice'!M$2:M$801,$W33)="","",INDEX('Per Invoice'!M$2:M$801,$W33)))</f>
        <v/>
      </c>
      <c r="N33" s="7">
        <f>IF($W33="","",IF(INDEX('Per Invoice'!N$2:N$801,$W33)="","",INDEX('Per Invoice'!N$2:N$801,$W33)))</f>
        <v/>
      </c>
      <c r="O33" s="7">
        <f>IF($W33="","",IF(INDEX('Per Invoice'!O$2:O$801,$W33)="","",INDEX('Per Invoice'!O$2:O$801,$W33)))</f>
        <v/>
      </c>
      <c r="P33">
        <f>IF($W33="","",IF(INDEX('Per Invoice'!P$2:P$801,$W33)="","",INDEX('Per Invoice'!P$2:P$801,$W33)))</f>
        <v/>
      </c>
      <c r="Q33" s="7">
        <f>IF($W33="","",IF(INDEX('Per Invoice'!Q$2:Q$801,$W33)="","",INDEX('Per Invoice'!Q$2:Q$801,$W33)))</f>
        <v/>
      </c>
      <c r="R33" s="7">
        <f>IF($W33="","",IF(INDEX('Per Invoice'!R$2:R$801,$W33)="","",INDEX('Per Invoice'!R$2:R$801,$W33)))</f>
        <v/>
      </c>
      <c r="S33" s="7">
        <f>IF($W33="","",IF(INDEX('Per Invoice'!S$2:S$801,$W33)="","",INDEX('Per Invoice'!S$2:S$801,$W33)))</f>
        <v/>
      </c>
      <c r="T33" s="7">
        <f>IF($W33="","",IF(INDEX('Per Invoice'!T$2:T$801,$W33)="","",INDEX('Per Invoice'!T$2:T$801,$W33)))</f>
        <v/>
      </c>
      <c r="U33" s="7">
        <f>IF($W33="","",IF(INDEX('Per Invoice'!U$2:U$801,$W33)="","",INDEX('Per Invoice'!U$2:U$801,$W33)))</f>
        <v/>
      </c>
      <c r="V33" s="7">
        <f>IF($W33="","",IF(INDEX('Per Invoice'!V$2:V$801,$W33)="","",INDEX('Per Invoice'!V$2:V$801,$W33)))</f>
        <v/>
      </c>
      <c r="W33" s="16">
        <f>IFERROR(MATCH(Settings!$C$26&amp;"|"&amp;ROWS($W$2:$W33),'Per Invoice'!$X$2:$X$801,0),"")</f>
        <v/>
      </c>
    </row>
    <row r="34">
      <c r="A34">
        <f>IF($W34="","",IF(INDEX('Per Invoice'!A$2:A$801,$W34)="","",INDEX('Per Invoice'!A$2:A$801,$W34)))</f>
        <v/>
      </c>
      <c r="B34">
        <f>IF($W34="","",IF(INDEX('Per Invoice'!B$2:B$801,$W34)="","",INDEX('Per Invoice'!B$2:B$801,$W34)))</f>
        <v/>
      </c>
      <c r="C34">
        <f>IF($W34="","",IF(INDEX('Per Invoice'!C$2:C$801,$W34)="","",INDEX('Per Invoice'!C$2:C$801,$W34)))</f>
        <v/>
      </c>
      <c r="D34">
        <f>IF($W34="","",IF(INDEX('Per Invoice'!D$2:D$801,$W34)="","",INDEX('Per Invoice'!D$2:D$801,$W34)))</f>
        <v/>
      </c>
      <c r="E34">
        <f>IF($W34="","",IF(INDEX('Per Invoice'!E$2:E$801,$W34)="","",INDEX('Per Invoice'!E$2:E$801,$W34)))</f>
        <v/>
      </c>
      <c r="F34">
        <f>IF($W34="","",IF(INDEX('Per Invoice'!F$2:F$801,$W34)="","",INDEX('Per Invoice'!F$2:F$801,$W34)))</f>
        <v/>
      </c>
      <c r="G34">
        <f>IF($W34="","",IF(INDEX('Per Invoice'!G$2:G$801,$W34)="","",INDEX('Per Invoice'!G$2:G$801,$W34)))</f>
        <v/>
      </c>
      <c r="H34">
        <f>IF($W34="","",IF(INDEX('Per Invoice'!H$2:H$801,$W34)="","",INDEX('Per Invoice'!H$2:H$801,$W34)))</f>
        <v/>
      </c>
      <c r="I34">
        <f>IF($W34="","",IF(INDEX('Per Invoice'!I$2:I$801,$W34)="","",INDEX('Per Invoice'!I$2:I$801,$W34)))</f>
        <v/>
      </c>
      <c r="J34">
        <f>IF($W34="","",IF(INDEX('Per Invoice'!J$2:J$801,$W34)="","",INDEX('Per Invoice'!J$2:J$801,$W34)))</f>
        <v/>
      </c>
      <c r="K34" s="7">
        <f>IF($W34="","",IF(INDEX('Per Invoice'!K$2:K$801,$W34)="","",INDEX('Per Invoice'!K$2:K$801,$W34)))</f>
        <v/>
      </c>
      <c r="L34" s="14">
        <f>IF($W34="","",IF(INDEX('Per Invoice'!L$2:L$801,$W34)="","",INDEX('Per Invoice'!L$2:L$801,$W34)))</f>
        <v/>
      </c>
      <c r="M34">
        <f>IF($W34="","",IF(INDEX('Per Invoice'!M$2:M$801,$W34)="","",INDEX('Per Invoice'!M$2:M$801,$W34)))</f>
        <v/>
      </c>
      <c r="N34" s="7">
        <f>IF($W34="","",IF(INDEX('Per Invoice'!N$2:N$801,$W34)="","",INDEX('Per Invoice'!N$2:N$801,$W34)))</f>
        <v/>
      </c>
      <c r="O34" s="7">
        <f>IF($W34="","",IF(INDEX('Per Invoice'!O$2:O$801,$W34)="","",INDEX('Per Invoice'!O$2:O$801,$W34)))</f>
        <v/>
      </c>
      <c r="P34">
        <f>IF($W34="","",IF(INDEX('Per Invoice'!P$2:P$801,$W34)="","",INDEX('Per Invoice'!P$2:P$801,$W34)))</f>
        <v/>
      </c>
      <c r="Q34" s="7">
        <f>IF($W34="","",IF(INDEX('Per Invoice'!Q$2:Q$801,$W34)="","",INDEX('Per Invoice'!Q$2:Q$801,$W34)))</f>
        <v/>
      </c>
      <c r="R34" s="7">
        <f>IF($W34="","",IF(INDEX('Per Invoice'!R$2:R$801,$W34)="","",INDEX('Per Invoice'!R$2:R$801,$W34)))</f>
        <v/>
      </c>
      <c r="S34" s="7">
        <f>IF($W34="","",IF(INDEX('Per Invoice'!S$2:S$801,$W34)="","",INDEX('Per Invoice'!S$2:S$801,$W34)))</f>
        <v/>
      </c>
      <c r="T34" s="7">
        <f>IF($W34="","",IF(INDEX('Per Invoice'!T$2:T$801,$W34)="","",INDEX('Per Invoice'!T$2:T$801,$W34)))</f>
        <v/>
      </c>
      <c r="U34" s="7">
        <f>IF($W34="","",IF(INDEX('Per Invoice'!U$2:U$801,$W34)="","",INDEX('Per Invoice'!U$2:U$801,$W34)))</f>
        <v/>
      </c>
      <c r="V34" s="7">
        <f>IF($W34="","",IF(INDEX('Per Invoice'!V$2:V$801,$W34)="","",INDEX('Per Invoice'!V$2:V$801,$W34)))</f>
        <v/>
      </c>
      <c r="W34" s="16">
        <f>IFERROR(MATCH(Settings!$C$26&amp;"|"&amp;ROWS($W$2:$W34),'Per Invoice'!$X$2:$X$801,0),"")</f>
        <v/>
      </c>
    </row>
    <row r="35">
      <c r="A35">
        <f>IF($W35="","",IF(INDEX('Per Invoice'!A$2:A$801,$W35)="","",INDEX('Per Invoice'!A$2:A$801,$W35)))</f>
        <v/>
      </c>
      <c r="B35">
        <f>IF($W35="","",IF(INDEX('Per Invoice'!B$2:B$801,$W35)="","",INDEX('Per Invoice'!B$2:B$801,$W35)))</f>
        <v/>
      </c>
      <c r="C35">
        <f>IF($W35="","",IF(INDEX('Per Invoice'!C$2:C$801,$W35)="","",INDEX('Per Invoice'!C$2:C$801,$W35)))</f>
        <v/>
      </c>
      <c r="D35">
        <f>IF($W35="","",IF(INDEX('Per Invoice'!D$2:D$801,$W35)="","",INDEX('Per Invoice'!D$2:D$801,$W35)))</f>
        <v/>
      </c>
      <c r="E35">
        <f>IF($W35="","",IF(INDEX('Per Invoice'!E$2:E$801,$W35)="","",INDEX('Per Invoice'!E$2:E$801,$W35)))</f>
        <v/>
      </c>
      <c r="F35">
        <f>IF($W35="","",IF(INDEX('Per Invoice'!F$2:F$801,$W35)="","",INDEX('Per Invoice'!F$2:F$801,$W35)))</f>
        <v/>
      </c>
      <c r="G35">
        <f>IF($W35="","",IF(INDEX('Per Invoice'!G$2:G$801,$W35)="","",INDEX('Per Invoice'!G$2:G$801,$W35)))</f>
        <v/>
      </c>
      <c r="H35">
        <f>IF($W35="","",IF(INDEX('Per Invoice'!H$2:H$801,$W35)="","",INDEX('Per Invoice'!H$2:H$801,$W35)))</f>
        <v/>
      </c>
      <c r="I35">
        <f>IF($W35="","",IF(INDEX('Per Invoice'!I$2:I$801,$W35)="","",INDEX('Per Invoice'!I$2:I$801,$W35)))</f>
        <v/>
      </c>
      <c r="J35">
        <f>IF($W35="","",IF(INDEX('Per Invoice'!J$2:J$801,$W35)="","",INDEX('Per Invoice'!J$2:J$801,$W35)))</f>
        <v/>
      </c>
      <c r="K35" s="7">
        <f>IF($W35="","",IF(INDEX('Per Invoice'!K$2:K$801,$W35)="","",INDEX('Per Invoice'!K$2:K$801,$W35)))</f>
        <v/>
      </c>
      <c r="L35" s="14">
        <f>IF($W35="","",IF(INDEX('Per Invoice'!L$2:L$801,$W35)="","",INDEX('Per Invoice'!L$2:L$801,$W35)))</f>
        <v/>
      </c>
      <c r="M35">
        <f>IF($W35="","",IF(INDEX('Per Invoice'!M$2:M$801,$W35)="","",INDEX('Per Invoice'!M$2:M$801,$W35)))</f>
        <v/>
      </c>
      <c r="N35" s="7">
        <f>IF($W35="","",IF(INDEX('Per Invoice'!N$2:N$801,$W35)="","",INDEX('Per Invoice'!N$2:N$801,$W35)))</f>
        <v/>
      </c>
      <c r="O35" s="7">
        <f>IF($W35="","",IF(INDEX('Per Invoice'!O$2:O$801,$W35)="","",INDEX('Per Invoice'!O$2:O$801,$W35)))</f>
        <v/>
      </c>
      <c r="P35">
        <f>IF($W35="","",IF(INDEX('Per Invoice'!P$2:P$801,$W35)="","",INDEX('Per Invoice'!P$2:P$801,$W35)))</f>
        <v/>
      </c>
      <c r="Q35" s="7">
        <f>IF($W35="","",IF(INDEX('Per Invoice'!Q$2:Q$801,$W35)="","",INDEX('Per Invoice'!Q$2:Q$801,$W35)))</f>
        <v/>
      </c>
      <c r="R35" s="7">
        <f>IF($W35="","",IF(INDEX('Per Invoice'!R$2:R$801,$W35)="","",INDEX('Per Invoice'!R$2:R$801,$W35)))</f>
        <v/>
      </c>
      <c r="S35" s="7">
        <f>IF($W35="","",IF(INDEX('Per Invoice'!S$2:S$801,$W35)="","",INDEX('Per Invoice'!S$2:S$801,$W35)))</f>
        <v/>
      </c>
      <c r="T35" s="7">
        <f>IF($W35="","",IF(INDEX('Per Invoice'!T$2:T$801,$W35)="","",INDEX('Per Invoice'!T$2:T$801,$W35)))</f>
        <v/>
      </c>
      <c r="U35" s="7">
        <f>IF($W35="","",IF(INDEX('Per Invoice'!U$2:U$801,$W35)="","",INDEX('Per Invoice'!U$2:U$801,$W35)))</f>
        <v/>
      </c>
      <c r="V35" s="7">
        <f>IF($W35="","",IF(INDEX('Per Invoice'!V$2:V$801,$W35)="","",INDEX('Per Invoice'!V$2:V$801,$W35)))</f>
        <v/>
      </c>
      <c r="W35" s="16">
        <f>IFERROR(MATCH(Settings!$C$26&amp;"|"&amp;ROWS($W$2:$W35),'Per Invoice'!$X$2:$X$801,0),"")</f>
        <v/>
      </c>
    </row>
    <row r="36">
      <c r="A36">
        <f>IF($W36="","",IF(INDEX('Per Invoice'!A$2:A$801,$W36)="","",INDEX('Per Invoice'!A$2:A$801,$W36)))</f>
        <v/>
      </c>
      <c r="B36">
        <f>IF($W36="","",IF(INDEX('Per Invoice'!B$2:B$801,$W36)="","",INDEX('Per Invoice'!B$2:B$801,$W36)))</f>
        <v/>
      </c>
      <c r="C36">
        <f>IF($W36="","",IF(INDEX('Per Invoice'!C$2:C$801,$W36)="","",INDEX('Per Invoice'!C$2:C$801,$W36)))</f>
        <v/>
      </c>
      <c r="D36">
        <f>IF($W36="","",IF(INDEX('Per Invoice'!D$2:D$801,$W36)="","",INDEX('Per Invoice'!D$2:D$801,$W36)))</f>
        <v/>
      </c>
      <c r="E36">
        <f>IF($W36="","",IF(INDEX('Per Invoice'!E$2:E$801,$W36)="","",INDEX('Per Invoice'!E$2:E$801,$W36)))</f>
        <v/>
      </c>
      <c r="F36">
        <f>IF($W36="","",IF(INDEX('Per Invoice'!F$2:F$801,$W36)="","",INDEX('Per Invoice'!F$2:F$801,$W36)))</f>
        <v/>
      </c>
      <c r="G36">
        <f>IF($W36="","",IF(INDEX('Per Invoice'!G$2:G$801,$W36)="","",INDEX('Per Invoice'!G$2:G$801,$W36)))</f>
        <v/>
      </c>
      <c r="H36">
        <f>IF($W36="","",IF(INDEX('Per Invoice'!H$2:H$801,$W36)="","",INDEX('Per Invoice'!H$2:H$801,$W36)))</f>
        <v/>
      </c>
      <c r="I36">
        <f>IF($W36="","",IF(INDEX('Per Invoice'!I$2:I$801,$W36)="","",INDEX('Per Invoice'!I$2:I$801,$W36)))</f>
        <v/>
      </c>
      <c r="J36">
        <f>IF($W36="","",IF(INDEX('Per Invoice'!J$2:J$801,$W36)="","",INDEX('Per Invoice'!J$2:J$801,$W36)))</f>
        <v/>
      </c>
      <c r="K36" s="7">
        <f>IF($W36="","",IF(INDEX('Per Invoice'!K$2:K$801,$W36)="","",INDEX('Per Invoice'!K$2:K$801,$W36)))</f>
        <v/>
      </c>
      <c r="L36" s="14">
        <f>IF($W36="","",IF(INDEX('Per Invoice'!L$2:L$801,$W36)="","",INDEX('Per Invoice'!L$2:L$801,$W36)))</f>
        <v/>
      </c>
      <c r="M36">
        <f>IF($W36="","",IF(INDEX('Per Invoice'!M$2:M$801,$W36)="","",INDEX('Per Invoice'!M$2:M$801,$W36)))</f>
        <v/>
      </c>
      <c r="N36" s="7">
        <f>IF($W36="","",IF(INDEX('Per Invoice'!N$2:N$801,$W36)="","",INDEX('Per Invoice'!N$2:N$801,$W36)))</f>
        <v/>
      </c>
      <c r="O36" s="7">
        <f>IF($W36="","",IF(INDEX('Per Invoice'!O$2:O$801,$W36)="","",INDEX('Per Invoice'!O$2:O$801,$W36)))</f>
        <v/>
      </c>
      <c r="P36">
        <f>IF($W36="","",IF(INDEX('Per Invoice'!P$2:P$801,$W36)="","",INDEX('Per Invoice'!P$2:P$801,$W36)))</f>
        <v/>
      </c>
      <c r="Q36" s="7">
        <f>IF($W36="","",IF(INDEX('Per Invoice'!Q$2:Q$801,$W36)="","",INDEX('Per Invoice'!Q$2:Q$801,$W36)))</f>
        <v/>
      </c>
      <c r="R36" s="7">
        <f>IF($W36="","",IF(INDEX('Per Invoice'!R$2:R$801,$W36)="","",INDEX('Per Invoice'!R$2:R$801,$W36)))</f>
        <v/>
      </c>
      <c r="S36" s="7">
        <f>IF($W36="","",IF(INDEX('Per Invoice'!S$2:S$801,$W36)="","",INDEX('Per Invoice'!S$2:S$801,$W36)))</f>
        <v/>
      </c>
      <c r="T36" s="7">
        <f>IF($W36="","",IF(INDEX('Per Invoice'!T$2:T$801,$W36)="","",INDEX('Per Invoice'!T$2:T$801,$W36)))</f>
        <v/>
      </c>
      <c r="U36" s="7">
        <f>IF($W36="","",IF(INDEX('Per Invoice'!U$2:U$801,$W36)="","",INDEX('Per Invoice'!U$2:U$801,$W36)))</f>
        <v/>
      </c>
      <c r="V36" s="7">
        <f>IF($W36="","",IF(INDEX('Per Invoice'!V$2:V$801,$W36)="","",INDEX('Per Invoice'!V$2:V$801,$W36)))</f>
        <v/>
      </c>
      <c r="W36" s="16">
        <f>IFERROR(MATCH(Settings!$C$26&amp;"|"&amp;ROWS($W$2:$W36),'Per Invoice'!$X$2:$X$801,0),"")</f>
        <v/>
      </c>
    </row>
    <row r="37">
      <c r="A37">
        <f>IF($W37="","",IF(INDEX('Per Invoice'!A$2:A$801,$W37)="","",INDEX('Per Invoice'!A$2:A$801,$W37)))</f>
        <v/>
      </c>
      <c r="B37">
        <f>IF($W37="","",IF(INDEX('Per Invoice'!B$2:B$801,$W37)="","",INDEX('Per Invoice'!B$2:B$801,$W37)))</f>
        <v/>
      </c>
      <c r="C37">
        <f>IF($W37="","",IF(INDEX('Per Invoice'!C$2:C$801,$W37)="","",INDEX('Per Invoice'!C$2:C$801,$W37)))</f>
        <v/>
      </c>
      <c r="D37">
        <f>IF($W37="","",IF(INDEX('Per Invoice'!D$2:D$801,$W37)="","",INDEX('Per Invoice'!D$2:D$801,$W37)))</f>
        <v/>
      </c>
      <c r="E37">
        <f>IF($W37="","",IF(INDEX('Per Invoice'!E$2:E$801,$W37)="","",INDEX('Per Invoice'!E$2:E$801,$W37)))</f>
        <v/>
      </c>
      <c r="F37">
        <f>IF($W37="","",IF(INDEX('Per Invoice'!F$2:F$801,$W37)="","",INDEX('Per Invoice'!F$2:F$801,$W37)))</f>
        <v/>
      </c>
      <c r="G37">
        <f>IF($W37="","",IF(INDEX('Per Invoice'!G$2:G$801,$W37)="","",INDEX('Per Invoice'!G$2:G$801,$W37)))</f>
        <v/>
      </c>
      <c r="H37">
        <f>IF($W37="","",IF(INDEX('Per Invoice'!H$2:H$801,$W37)="","",INDEX('Per Invoice'!H$2:H$801,$W37)))</f>
        <v/>
      </c>
      <c r="I37">
        <f>IF($W37="","",IF(INDEX('Per Invoice'!I$2:I$801,$W37)="","",INDEX('Per Invoice'!I$2:I$801,$W37)))</f>
        <v/>
      </c>
      <c r="J37">
        <f>IF($W37="","",IF(INDEX('Per Invoice'!J$2:J$801,$W37)="","",INDEX('Per Invoice'!J$2:J$801,$W37)))</f>
        <v/>
      </c>
      <c r="K37" s="7">
        <f>IF($W37="","",IF(INDEX('Per Invoice'!K$2:K$801,$W37)="","",INDEX('Per Invoice'!K$2:K$801,$W37)))</f>
        <v/>
      </c>
      <c r="L37" s="14">
        <f>IF($W37="","",IF(INDEX('Per Invoice'!L$2:L$801,$W37)="","",INDEX('Per Invoice'!L$2:L$801,$W37)))</f>
        <v/>
      </c>
      <c r="M37">
        <f>IF($W37="","",IF(INDEX('Per Invoice'!M$2:M$801,$W37)="","",INDEX('Per Invoice'!M$2:M$801,$W37)))</f>
        <v/>
      </c>
      <c r="N37" s="7">
        <f>IF($W37="","",IF(INDEX('Per Invoice'!N$2:N$801,$W37)="","",INDEX('Per Invoice'!N$2:N$801,$W37)))</f>
        <v/>
      </c>
      <c r="O37" s="7">
        <f>IF($W37="","",IF(INDEX('Per Invoice'!O$2:O$801,$W37)="","",INDEX('Per Invoice'!O$2:O$801,$W37)))</f>
        <v/>
      </c>
      <c r="P37">
        <f>IF($W37="","",IF(INDEX('Per Invoice'!P$2:P$801,$W37)="","",INDEX('Per Invoice'!P$2:P$801,$W37)))</f>
        <v/>
      </c>
      <c r="Q37" s="7">
        <f>IF($W37="","",IF(INDEX('Per Invoice'!Q$2:Q$801,$W37)="","",INDEX('Per Invoice'!Q$2:Q$801,$W37)))</f>
        <v/>
      </c>
      <c r="R37" s="7">
        <f>IF($W37="","",IF(INDEX('Per Invoice'!R$2:R$801,$W37)="","",INDEX('Per Invoice'!R$2:R$801,$W37)))</f>
        <v/>
      </c>
      <c r="S37" s="7">
        <f>IF($W37="","",IF(INDEX('Per Invoice'!S$2:S$801,$W37)="","",INDEX('Per Invoice'!S$2:S$801,$W37)))</f>
        <v/>
      </c>
      <c r="T37" s="7">
        <f>IF($W37="","",IF(INDEX('Per Invoice'!T$2:T$801,$W37)="","",INDEX('Per Invoice'!T$2:T$801,$W37)))</f>
        <v/>
      </c>
      <c r="U37" s="7">
        <f>IF($W37="","",IF(INDEX('Per Invoice'!U$2:U$801,$W37)="","",INDEX('Per Invoice'!U$2:U$801,$W37)))</f>
        <v/>
      </c>
      <c r="V37" s="7">
        <f>IF($W37="","",IF(INDEX('Per Invoice'!V$2:V$801,$W37)="","",INDEX('Per Invoice'!V$2:V$801,$W37)))</f>
        <v/>
      </c>
      <c r="W37" s="16">
        <f>IFERROR(MATCH(Settings!$C$26&amp;"|"&amp;ROWS($W$2:$W37),'Per Invoice'!$X$2:$X$801,0),"")</f>
        <v/>
      </c>
    </row>
    <row r="38">
      <c r="A38">
        <f>IF($W38="","",IF(INDEX('Per Invoice'!A$2:A$801,$W38)="","",INDEX('Per Invoice'!A$2:A$801,$W38)))</f>
        <v/>
      </c>
      <c r="B38">
        <f>IF($W38="","",IF(INDEX('Per Invoice'!B$2:B$801,$W38)="","",INDEX('Per Invoice'!B$2:B$801,$W38)))</f>
        <v/>
      </c>
      <c r="C38">
        <f>IF($W38="","",IF(INDEX('Per Invoice'!C$2:C$801,$W38)="","",INDEX('Per Invoice'!C$2:C$801,$W38)))</f>
        <v/>
      </c>
      <c r="D38">
        <f>IF($W38="","",IF(INDEX('Per Invoice'!D$2:D$801,$W38)="","",INDEX('Per Invoice'!D$2:D$801,$W38)))</f>
        <v/>
      </c>
      <c r="E38">
        <f>IF($W38="","",IF(INDEX('Per Invoice'!E$2:E$801,$W38)="","",INDEX('Per Invoice'!E$2:E$801,$W38)))</f>
        <v/>
      </c>
      <c r="F38">
        <f>IF($W38="","",IF(INDEX('Per Invoice'!F$2:F$801,$W38)="","",INDEX('Per Invoice'!F$2:F$801,$W38)))</f>
        <v/>
      </c>
      <c r="G38">
        <f>IF($W38="","",IF(INDEX('Per Invoice'!G$2:G$801,$W38)="","",INDEX('Per Invoice'!G$2:G$801,$W38)))</f>
        <v/>
      </c>
      <c r="H38">
        <f>IF($W38="","",IF(INDEX('Per Invoice'!H$2:H$801,$W38)="","",INDEX('Per Invoice'!H$2:H$801,$W38)))</f>
        <v/>
      </c>
      <c r="I38">
        <f>IF($W38="","",IF(INDEX('Per Invoice'!I$2:I$801,$W38)="","",INDEX('Per Invoice'!I$2:I$801,$W38)))</f>
        <v/>
      </c>
      <c r="J38">
        <f>IF($W38="","",IF(INDEX('Per Invoice'!J$2:J$801,$W38)="","",INDEX('Per Invoice'!J$2:J$801,$W38)))</f>
        <v/>
      </c>
      <c r="K38" s="7">
        <f>IF($W38="","",IF(INDEX('Per Invoice'!K$2:K$801,$W38)="","",INDEX('Per Invoice'!K$2:K$801,$W38)))</f>
        <v/>
      </c>
      <c r="L38" s="14">
        <f>IF($W38="","",IF(INDEX('Per Invoice'!L$2:L$801,$W38)="","",INDEX('Per Invoice'!L$2:L$801,$W38)))</f>
        <v/>
      </c>
      <c r="M38">
        <f>IF($W38="","",IF(INDEX('Per Invoice'!M$2:M$801,$W38)="","",INDEX('Per Invoice'!M$2:M$801,$W38)))</f>
        <v/>
      </c>
      <c r="N38" s="7">
        <f>IF($W38="","",IF(INDEX('Per Invoice'!N$2:N$801,$W38)="","",INDEX('Per Invoice'!N$2:N$801,$W38)))</f>
        <v/>
      </c>
      <c r="O38" s="7">
        <f>IF($W38="","",IF(INDEX('Per Invoice'!O$2:O$801,$W38)="","",INDEX('Per Invoice'!O$2:O$801,$W38)))</f>
        <v/>
      </c>
      <c r="P38">
        <f>IF($W38="","",IF(INDEX('Per Invoice'!P$2:P$801,$W38)="","",INDEX('Per Invoice'!P$2:P$801,$W38)))</f>
        <v/>
      </c>
      <c r="Q38" s="7">
        <f>IF($W38="","",IF(INDEX('Per Invoice'!Q$2:Q$801,$W38)="","",INDEX('Per Invoice'!Q$2:Q$801,$W38)))</f>
        <v/>
      </c>
      <c r="R38" s="7">
        <f>IF($W38="","",IF(INDEX('Per Invoice'!R$2:R$801,$W38)="","",INDEX('Per Invoice'!R$2:R$801,$W38)))</f>
        <v/>
      </c>
      <c r="S38" s="7">
        <f>IF($W38="","",IF(INDEX('Per Invoice'!S$2:S$801,$W38)="","",INDEX('Per Invoice'!S$2:S$801,$W38)))</f>
        <v/>
      </c>
      <c r="T38" s="7">
        <f>IF($W38="","",IF(INDEX('Per Invoice'!T$2:T$801,$W38)="","",INDEX('Per Invoice'!T$2:T$801,$W38)))</f>
        <v/>
      </c>
      <c r="U38" s="7">
        <f>IF($W38="","",IF(INDEX('Per Invoice'!U$2:U$801,$W38)="","",INDEX('Per Invoice'!U$2:U$801,$W38)))</f>
        <v/>
      </c>
      <c r="V38" s="7">
        <f>IF($W38="","",IF(INDEX('Per Invoice'!V$2:V$801,$W38)="","",INDEX('Per Invoice'!V$2:V$801,$W38)))</f>
        <v/>
      </c>
      <c r="W38" s="16">
        <f>IFERROR(MATCH(Settings!$C$26&amp;"|"&amp;ROWS($W$2:$W38),'Per Invoice'!$X$2:$X$801,0),"")</f>
        <v/>
      </c>
    </row>
    <row r="39">
      <c r="A39">
        <f>IF($W39="","",IF(INDEX('Per Invoice'!A$2:A$801,$W39)="","",INDEX('Per Invoice'!A$2:A$801,$W39)))</f>
        <v/>
      </c>
      <c r="B39">
        <f>IF($W39="","",IF(INDEX('Per Invoice'!B$2:B$801,$W39)="","",INDEX('Per Invoice'!B$2:B$801,$W39)))</f>
        <v/>
      </c>
      <c r="C39">
        <f>IF($W39="","",IF(INDEX('Per Invoice'!C$2:C$801,$W39)="","",INDEX('Per Invoice'!C$2:C$801,$W39)))</f>
        <v/>
      </c>
      <c r="D39">
        <f>IF($W39="","",IF(INDEX('Per Invoice'!D$2:D$801,$W39)="","",INDEX('Per Invoice'!D$2:D$801,$W39)))</f>
        <v/>
      </c>
      <c r="E39">
        <f>IF($W39="","",IF(INDEX('Per Invoice'!E$2:E$801,$W39)="","",INDEX('Per Invoice'!E$2:E$801,$W39)))</f>
        <v/>
      </c>
      <c r="F39">
        <f>IF($W39="","",IF(INDEX('Per Invoice'!F$2:F$801,$W39)="","",INDEX('Per Invoice'!F$2:F$801,$W39)))</f>
        <v/>
      </c>
      <c r="G39">
        <f>IF($W39="","",IF(INDEX('Per Invoice'!G$2:G$801,$W39)="","",INDEX('Per Invoice'!G$2:G$801,$W39)))</f>
        <v/>
      </c>
      <c r="H39">
        <f>IF($W39="","",IF(INDEX('Per Invoice'!H$2:H$801,$W39)="","",INDEX('Per Invoice'!H$2:H$801,$W39)))</f>
        <v/>
      </c>
      <c r="I39">
        <f>IF($W39="","",IF(INDEX('Per Invoice'!I$2:I$801,$W39)="","",INDEX('Per Invoice'!I$2:I$801,$W39)))</f>
        <v/>
      </c>
      <c r="J39">
        <f>IF($W39="","",IF(INDEX('Per Invoice'!J$2:J$801,$W39)="","",INDEX('Per Invoice'!J$2:J$801,$W39)))</f>
        <v/>
      </c>
      <c r="K39" s="7">
        <f>IF($W39="","",IF(INDEX('Per Invoice'!K$2:K$801,$W39)="","",INDEX('Per Invoice'!K$2:K$801,$W39)))</f>
        <v/>
      </c>
      <c r="L39" s="14">
        <f>IF($W39="","",IF(INDEX('Per Invoice'!L$2:L$801,$W39)="","",INDEX('Per Invoice'!L$2:L$801,$W39)))</f>
        <v/>
      </c>
      <c r="M39">
        <f>IF($W39="","",IF(INDEX('Per Invoice'!M$2:M$801,$W39)="","",INDEX('Per Invoice'!M$2:M$801,$W39)))</f>
        <v/>
      </c>
      <c r="N39" s="7">
        <f>IF($W39="","",IF(INDEX('Per Invoice'!N$2:N$801,$W39)="","",INDEX('Per Invoice'!N$2:N$801,$W39)))</f>
        <v/>
      </c>
      <c r="O39" s="7">
        <f>IF($W39="","",IF(INDEX('Per Invoice'!O$2:O$801,$W39)="","",INDEX('Per Invoice'!O$2:O$801,$W39)))</f>
        <v/>
      </c>
      <c r="P39">
        <f>IF($W39="","",IF(INDEX('Per Invoice'!P$2:P$801,$W39)="","",INDEX('Per Invoice'!P$2:P$801,$W39)))</f>
        <v/>
      </c>
      <c r="Q39" s="7">
        <f>IF($W39="","",IF(INDEX('Per Invoice'!Q$2:Q$801,$W39)="","",INDEX('Per Invoice'!Q$2:Q$801,$W39)))</f>
        <v/>
      </c>
      <c r="R39" s="7">
        <f>IF($W39="","",IF(INDEX('Per Invoice'!R$2:R$801,$W39)="","",INDEX('Per Invoice'!R$2:R$801,$W39)))</f>
        <v/>
      </c>
      <c r="S39" s="7">
        <f>IF($W39="","",IF(INDEX('Per Invoice'!S$2:S$801,$W39)="","",INDEX('Per Invoice'!S$2:S$801,$W39)))</f>
        <v/>
      </c>
      <c r="T39" s="7">
        <f>IF($W39="","",IF(INDEX('Per Invoice'!T$2:T$801,$W39)="","",INDEX('Per Invoice'!T$2:T$801,$W39)))</f>
        <v/>
      </c>
      <c r="U39" s="7">
        <f>IF($W39="","",IF(INDEX('Per Invoice'!U$2:U$801,$W39)="","",INDEX('Per Invoice'!U$2:U$801,$W39)))</f>
        <v/>
      </c>
      <c r="V39" s="7">
        <f>IF($W39="","",IF(INDEX('Per Invoice'!V$2:V$801,$W39)="","",INDEX('Per Invoice'!V$2:V$801,$W39)))</f>
        <v/>
      </c>
      <c r="W39" s="16">
        <f>IFERROR(MATCH(Settings!$C$26&amp;"|"&amp;ROWS($W$2:$W39),'Per Invoice'!$X$2:$X$801,0),"")</f>
        <v/>
      </c>
    </row>
    <row r="40">
      <c r="A40">
        <f>IF($W40="","",IF(INDEX('Per Invoice'!A$2:A$801,$W40)="","",INDEX('Per Invoice'!A$2:A$801,$W40)))</f>
        <v/>
      </c>
      <c r="B40">
        <f>IF($W40="","",IF(INDEX('Per Invoice'!B$2:B$801,$W40)="","",INDEX('Per Invoice'!B$2:B$801,$W40)))</f>
        <v/>
      </c>
      <c r="C40">
        <f>IF($W40="","",IF(INDEX('Per Invoice'!C$2:C$801,$W40)="","",INDEX('Per Invoice'!C$2:C$801,$W40)))</f>
        <v/>
      </c>
      <c r="D40">
        <f>IF($W40="","",IF(INDEX('Per Invoice'!D$2:D$801,$W40)="","",INDEX('Per Invoice'!D$2:D$801,$W40)))</f>
        <v/>
      </c>
      <c r="E40">
        <f>IF($W40="","",IF(INDEX('Per Invoice'!E$2:E$801,$W40)="","",INDEX('Per Invoice'!E$2:E$801,$W40)))</f>
        <v/>
      </c>
      <c r="F40">
        <f>IF($W40="","",IF(INDEX('Per Invoice'!F$2:F$801,$W40)="","",INDEX('Per Invoice'!F$2:F$801,$W40)))</f>
        <v/>
      </c>
      <c r="G40">
        <f>IF($W40="","",IF(INDEX('Per Invoice'!G$2:G$801,$W40)="","",INDEX('Per Invoice'!G$2:G$801,$W40)))</f>
        <v/>
      </c>
      <c r="H40">
        <f>IF($W40="","",IF(INDEX('Per Invoice'!H$2:H$801,$W40)="","",INDEX('Per Invoice'!H$2:H$801,$W40)))</f>
        <v/>
      </c>
      <c r="I40">
        <f>IF($W40="","",IF(INDEX('Per Invoice'!I$2:I$801,$W40)="","",INDEX('Per Invoice'!I$2:I$801,$W40)))</f>
        <v/>
      </c>
      <c r="J40">
        <f>IF($W40="","",IF(INDEX('Per Invoice'!J$2:J$801,$W40)="","",INDEX('Per Invoice'!J$2:J$801,$W40)))</f>
        <v/>
      </c>
      <c r="K40" s="7">
        <f>IF($W40="","",IF(INDEX('Per Invoice'!K$2:K$801,$W40)="","",INDEX('Per Invoice'!K$2:K$801,$W40)))</f>
        <v/>
      </c>
      <c r="L40" s="14">
        <f>IF($W40="","",IF(INDEX('Per Invoice'!L$2:L$801,$W40)="","",INDEX('Per Invoice'!L$2:L$801,$W40)))</f>
        <v/>
      </c>
      <c r="M40">
        <f>IF($W40="","",IF(INDEX('Per Invoice'!M$2:M$801,$W40)="","",INDEX('Per Invoice'!M$2:M$801,$W40)))</f>
        <v/>
      </c>
      <c r="N40" s="7">
        <f>IF($W40="","",IF(INDEX('Per Invoice'!N$2:N$801,$W40)="","",INDEX('Per Invoice'!N$2:N$801,$W40)))</f>
        <v/>
      </c>
      <c r="O40" s="7">
        <f>IF($W40="","",IF(INDEX('Per Invoice'!O$2:O$801,$W40)="","",INDEX('Per Invoice'!O$2:O$801,$W40)))</f>
        <v/>
      </c>
      <c r="P40">
        <f>IF($W40="","",IF(INDEX('Per Invoice'!P$2:P$801,$W40)="","",INDEX('Per Invoice'!P$2:P$801,$W40)))</f>
        <v/>
      </c>
      <c r="Q40" s="7">
        <f>IF($W40="","",IF(INDEX('Per Invoice'!Q$2:Q$801,$W40)="","",INDEX('Per Invoice'!Q$2:Q$801,$W40)))</f>
        <v/>
      </c>
      <c r="R40" s="7">
        <f>IF($W40="","",IF(INDEX('Per Invoice'!R$2:R$801,$W40)="","",INDEX('Per Invoice'!R$2:R$801,$W40)))</f>
        <v/>
      </c>
      <c r="S40" s="7">
        <f>IF($W40="","",IF(INDEX('Per Invoice'!S$2:S$801,$W40)="","",INDEX('Per Invoice'!S$2:S$801,$W40)))</f>
        <v/>
      </c>
      <c r="T40" s="7">
        <f>IF($W40="","",IF(INDEX('Per Invoice'!T$2:T$801,$W40)="","",INDEX('Per Invoice'!T$2:T$801,$W40)))</f>
        <v/>
      </c>
      <c r="U40" s="7">
        <f>IF($W40="","",IF(INDEX('Per Invoice'!U$2:U$801,$W40)="","",INDEX('Per Invoice'!U$2:U$801,$W40)))</f>
        <v/>
      </c>
      <c r="V40" s="7">
        <f>IF($W40="","",IF(INDEX('Per Invoice'!V$2:V$801,$W40)="","",INDEX('Per Invoice'!V$2:V$801,$W40)))</f>
        <v/>
      </c>
      <c r="W40" s="16">
        <f>IFERROR(MATCH(Settings!$C$26&amp;"|"&amp;ROWS($W$2:$W40),'Per Invoice'!$X$2:$X$801,0),"")</f>
        <v/>
      </c>
    </row>
    <row r="41">
      <c r="A41">
        <f>IF($W41="","",IF(INDEX('Per Invoice'!A$2:A$801,$W41)="","",INDEX('Per Invoice'!A$2:A$801,$W41)))</f>
        <v/>
      </c>
      <c r="B41">
        <f>IF($W41="","",IF(INDEX('Per Invoice'!B$2:B$801,$W41)="","",INDEX('Per Invoice'!B$2:B$801,$W41)))</f>
        <v/>
      </c>
      <c r="C41">
        <f>IF($W41="","",IF(INDEX('Per Invoice'!C$2:C$801,$W41)="","",INDEX('Per Invoice'!C$2:C$801,$W41)))</f>
        <v/>
      </c>
      <c r="D41">
        <f>IF($W41="","",IF(INDEX('Per Invoice'!D$2:D$801,$W41)="","",INDEX('Per Invoice'!D$2:D$801,$W41)))</f>
        <v/>
      </c>
      <c r="E41">
        <f>IF($W41="","",IF(INDEX('Per Invoice'!E$2:E$801,$W41)="","",INDEX('Per Invoice'!E$2:E$801,$W41)))</f>
        <v/>
      </c>
      <c r="F41">
        <f>IF($W41="","",IF(INDEX('Per Invoice'!F$2:F$801,$W41)="","",INDEX('Per Invoice'!F$2:F$801,$W41)))</f>
        <v/>
      </c>
      <c r="G41">
        <f>IF($W41="","",IF(INDEX('Per Invoice'!G$2:G$801,$W41)="","",INDEX('Per Invoice'!G$2:G$801,$W41)))</f>
        <v/>
      </c>
      <c r="H41">
        <f>IF($W41="","",IF(INDEX('Per Invoice'!H$2:H$801,$W41)="","",INDEX('Per Invoice'!H$2:H$801,$W41)))</f>
        <v/>
      </c>
      <c r="I41">
        <f>IF($W41="","",IF(INDEX('Per Invoice'!I$2:I$801,$W41)="","",INDEX('Per Invoice'!I$2:I$801,$W41)))</f>
        <v/>
      </c>
      <c r="J41">
        <f>IF($W41="","",IF(INDEX('Per Invoice'!J$2:J$801,$W41)="","",INDEX('Per Invoice'!J$2:J$801,$W41)))</f>
        <v/>
      </c>
      <c r="K41" s="7">
        <f>IF($W41="","",IF(INDEX('Per Invoice'!K$2:K$801,$W41)="","",INDEX('Per Invoice'!K$2:K$801,$W41)))</f>
        <v/>
      </c>
      <c r="L41" s="14">
        <f>IF($W41="","",IF(INDEX('Per Invoice'!L$2:L$801,$W41)="","",INDEX('Per Invoice'!L$2:L$801,$W41)))</f>
        <v/>
      </c>
      <c r="M41">
        <f>IF($W41="","",IF(INDEX('Per Invoice'!M$2:M$801,$W41)="","",INDEX('Per Invoice'!M$2:M$801,$W41)))</f>
        <v/>
      </c>
      <c r="N41" s="7">
        <f>IF($W41="","",IF(INDEX('Per Invoice'!N$2:N$801,$W41)="","",INDEX('Per Invoice'!N$2:N$801,$W41)))</f>
        <v/>
      </c>
      <c r="O41" s="7">
        <f>IF($W41="","",IF(INDEX('Per Invoice'!O$2:O$801,$W41)="","",INDEX('Per Invoice'!O$2:O$801,$W41)))</f>
        <v/>
      </c>
      <c r="P41">
        <f>IF($W41="","",IF(INDEX('Per Invoice'!P$2:P$801,$W41)="","",INDEX('Per Invoice'!P$2:P$801,$W41)))</f>
        <v/>
      </c>
      <c r="Q41" s="7">
        <f>IF($W41="","",IF(INDEX('Per Invoice'!Q$2:Q$801,$W41)="","",INDEX('Per Invoice'!Q$2:Q$801,$W41)))</f>
        <v/>
      </c>
      <c r="R41" s="7">
        <f>IF($W41="","",IF(INDEX('Per Invoice'!R$2:R$801,$W41)="","",INDEX('Per Invoice'!R$2:R$801,$W41)))</f>
        <v/>
      </c>
      <c r="S41" s="7">
        <f>IF($W41="","",IF(INDEX('Per Invoice'!S$2:S$801,$W41)="","",INDEX('Per Invoice'!S$2:S$801,$W41)))</f>
        <v/>
      </c>
      <c r="T41" s="7">
        <f>IF($W41="","",IF(INDEX('Per Invoice'!T$2:T$801,$W41)="","",INDEX('Per Invoice'!T$2:T$801,$W41)))</f>
        <v/>
      </c>
      <c r="U41" s="7">
        <f>IF($W41="","",IF(INDEX('Per Invoice'!U$2:U$801,$W41)="","",INDEX('Per Invoice'!U$2:U$801,$W41)))</f>
        <v/>
      </c>
      <c r="V41" s="7">
        <f>IF($W41="","",IF(INDEX('Per Invoice'!V$2:V$801,$W41)="","",INDEX('Per Invoice'!V$2:V$801,$W41)))</f>
        <v/>
      </c>
      <c r="W41" s="16">
        <f>IFERROR(MATCH(Settings!$C$26&amp;"|"&amp;ROWS($W$2:$W41),'Per Invoice'!$X$2:$X$801,0),"")</f>
        <v/>
      </c>
    </row>
    <row r="42">
      <c r="A42">
        <f>IF($W42="","",IF(INDEX('Per Invoice'!A$2:A$801,$W42)="","",INDEX('Per Invoice'!A$2:A$801,$W42)))</f>
        <v/>
      </c>
      <c r="B42">
        <f>IF($W42="","",IF(INDEX('Per Invoice'!B$2:B$801,$W42)="","",INDEX('Per Invoice'!B$2:B$801,$W42)))</f>
        <v/>
      </c>
      <c r="C42">
        <f>IF($W42="","",IF(INDEX('Per Invoice'!C$2:C$801,$W42)="","",INDEX('Per Invoice'!C$2:C$801,$W42)))</f>
        <v/>
      </c>
      <c r="D42">
        <f>IF($W42="","",IF(INDEX('Per Invoice'!D$2:D$801,$W42)="","",INDEX('Per Invoice'!D$2:D$801,$W42)))</f>
        <v/>
      </c>
      <c r="E42">
        <f>IF($W42="","",IF(INDEX('Per Invoice'!E$2:E$801,$W42)="","",INDEX('Per Invoice'!E$2:E$801,$W42)))</f>
        <v/>
      </c>
      <c r="F42">
        <f>IF($W42="","",IF(INDEX('Per Invoice'!F$2:F$801,$W42)="","",INDEX('Per Invoice'!F$2:F$801,$W42)))</f>
        <v/>
      </c>
      <c r="G42">
        <f>IF($W42="","",IF(INDEX('Per Invoice'!G$2:G$801,$W42)="","",INDEX('Per Invoice'!G$2:G$801,$W42)))</f>
        <v/>
      </c>
      <c r="H42">
        <f>IF($W42="","",IF(INDEX('Per Invoice'!H$2:H$801,$W42)="","",INDEX('Per Invoice'!H$2:H$801,$W42)))</f>
        <v/>
      </c>
      <c r="I42">
        <f>IF($W42="","",IF(INDEX('Per Invoice'!I$2:I$801,$W42)="","",INDEX('Per Invoice'!I$2:I$801,$W42)))</f>
        <v/>
      </c>
      <c r="J42">
        <f>IF($W42="","",IF(INDEX('Per Invoice'!J$2:J$801,$W42)="","",INDEX('Per Invoice'!J$2:J$801,$W42)))</f>
        <v/>
      </c>
      <c r="K42" s="7">
        <f>IF($W42="","",IF(INDEX('Per Invoice'!K$2:K$801,$W42)="","",INDEX('Per Invoice'!K$2:K$801,$W42)))</f>
        <v/>
      </c>
      <c r="L42" s="14">
        <f>IF($W42="","",IF(INDEX('Per Invoice'!L$2:L$801,$W42)="","",INDEX('Per Invoice'!L$2:L$801,$W42)))</f>
        <v/>
      </c>
      <c r="M42">
        <f>IF($W42="","",IF(INDEX('Per Invoice'!M$2:M$801,$W42)="","",INDEX('Per Invoice'!M$2:M$801,$W42)))</f>
        <v/>
      </c>
      <c r="N42" s="7">
        <f>IF($W42="","",IF(INDEX('Per Invoice'!N$2:N$801,$W42)="","",INDEX('Per Invoice'!N$2:N$801,$W42)))</f>
        <v/>
      </c>
      <c r="O42" s="7">
        <f>IF($W42="","",IF(INDEX('Per Invoice'!O$2:O$801,$W42)="","",INDEX('Per Invoice'!O$2:O$801,$W42)))</f>
        <v/>
      </c>
      <c r="P42">
        <f>IF($W42="","",IF(INDEX('Per Invoice'!P$2:P$801,$W42)="","",INDEX('Per Invoice'!P$2:P$801,$W42)))</f>
        <v/>
      </c>
      <c r="Q42" s="7">
        <f>IF($W42="","",IF(INDEX('Per Invoice'!Q$2:Q$801,$W42)="","",INDEX('Per Invoice'!Q$2:Q$801,$W42)))</f>
        <v/>
      </c>
      <c r="R42" s="7">
        <f>IF($W42="","",IF(INDEX('Per Invoice'!R$2:R$801,$W42)="","",INDEX('Per Invoice'!R$2:R$801,$W42)))</f>
        <v/>
      </c>
      <c r="S42" s="7">
        <f>IF($W42="","",IF(INDEX('Per Invoice'!S$2:S$801,$W42)="","",INDEX('Per Invoice'!S$2:S$801,$W42)))</f>
        <v/>
      </c>
      <c r="T42" s="7">
        <f>IF($W42="","",IF(INDEX('Per Invoice'!T$2:T$801,$W42)="","",INDEX('Per Invoice'!T$2:T$801,$W42)))</f>
        <v/>
      </c>
      <c r="U42" s="7">
        <f>IF($W42="","",IF(INDEX('Per Invoice'!U$2:U$801,$W42)="","",INDEX('Per Invoice'!U$2:U$801,$W42)))</f>
        <v/>
      </c>
      <c r="V42" s="7">
        <f>IF($W42="","",IF(INDEX('Per Invoice'!V$2:V$801,$W42)="","",INDEX('Per Invoice'!V$2:V$801,$W42)))</f>
        <v/>
      </c>
      <c r="W42" s="16">
        <f>IFERROR(MATCH(Settings!$C$26&amp;"|"&amp;ROWS($W$2:$W42),'Per Invoice'!$X$2:$X$801,0),"")</f>
        <v/>
      </c>
    </row>
    <row r="43">
      <c r="A43">
        <f>IF($W43="","",IF(INDEX('Per Invoice'!A$2:A$801,$W43)="","",INDEX('Per Invoice'!A$2:A$801,$W43)))</f>
        <v/>
      </c>
      <c r="B43">
        <f>IF($W43="","",IF(INDEX('Per Invoice'!B$2:B$801,$W43)="","",INDEX('Per Invoice'!B$2:B$801,$W43)))</f>
        <v/>
      </c>
      <c r="C43">
        <f>IF($W43="","",IF(INDEX('Per Invoice'!C$2:C$801,$W43)="","",INDEX('Per Invoice'!C$2:C$801,$W43)))</f>
        <v/>
      </c>
      <c r="D43">
        <f>IF($W43="","",IF(INDEX('Per Invoice'!D$2:D$801,$W43)="","",INDEX('Per Invoice'!D$2:D$801,$W43)))</f>
        <v/>
      </c>
      <c r="E43">
        <f>IF($W43="","",IF(INDEX('Per Invoice'!E$2:E$801,$W43)="","",INDEX('Per Invoice'!E$2:E$801,$W43)))</f>
        <v/>
      </c>
      <c r="F43">
        <f>IF($W43="","",IF(INDEX('Per Invoice'!F$2:F$801,$W43)="","",INDEX('Per Invoice'!F$2:F$801,$W43)))</f>
        <v/>
      </c>
      <c r="G43">
        <f>IF($W43="","",IF(INDEX('Per Invoice'!G$2:G$801,$W43)="","",INDEX('Per Invoice'!G$2:G$801,$W43)))</f>
        <v/>
      </c>
      <c r="H43">
        <f>IF($W43="","",IF(INDEX('Per Invoice'!H$2:H$801,$W43)="","",INDEX('Per Invoice'!H$2:H$801,$W43)))</f>
        <v/>
      </c>
      <c r="I43">
        <f>IF($W43="","",IF(INDEX('Per Invoice'!I$2:I$801,$W43)="","",INDEX('Per Invoice'!I$2:I$801,$W43)))</f>
        <v/>
      </c>
      <c r="J43">
        <f>IF($W43="","",IF(INDEX('Per Invoice'!J$2:J$801,$W43)="","",INDEX('Per Invoice'!J$2:J$801,$W43)))</f>
        <v/>
      </c>
      <c r="K43" s="7">
        <f>IF($W43="","",IF(INDEX('Per Invoice'!K$2:K$801,$W43)="","",INDEX('Per Invoice'!K$2:K$801,$W43)))</f>
        <v/>
      </c>
      <c r="L43" s="14">
        <f>IF($W43="","",IF(INDEX('Per Invoice'!L$2:L$801,$W43)="","",INDEX('Per Invoice'!L$2:L$801,$W43)))</f>
        <v/>
      </c>
      <c r="M43">
        <f>IF($W43="","",IF(INDEX('Per Invoice'!M$2:M$801,$W43)="","",INDEX('Per Invoice'!M$2:M$801,$W43)))</f>
        <v/>
      </c>
      <c r="N43" s="7">
        <f>IF($W43="","",IF(INDEX('Per Invoice'!N$2:N$801,$W43)="","",INDEX('Per Invoice'!N$2:N$801,$W43)))</f>
        <v/>
      </c>
      <c r="O43" s="7">
        <f>IF($W43="","",IF(INDEX('Per Invoice'!O$2:O$801,$W43)="","",INDEX('Per Invoice'!O$2:O$801,$W43)))</f>
        <v/>
      </c>
      <c r="P43">
        <f>IF($W43="","",IF(INDEX('Per Invoice'!P$2:P$801,$W43)="","",INDEX('Per Invoice'!P$2:P$801,$W43)))</f>
        <v/>
      </c>
      <c r="Q43" s="7">
        <f>IF($W43="","",IF(INDEX('Per Invoice'!Q$2:Q$801,$W43)="","",INDEX('Per Invoice'!Q$2:Q$801,$W43)))</f>
        <v/>
      </c>
      <c r="R43" s="7">
        <f>IF($W43="","",IF(INDEX('Per Invoice'!R$2:R$801,$W43)="","",INDEX('Per Invoice'!R$2:R$801,$W43)))</f>
        <v/>
      </c>
      <c r="S43" s="7">
        <f>IF($W43="","",IF(INDEX('Per Invoice'!S$2:S$801,$W43)="","",INDEX('Per Invoice'!S$2:S$801,$W43)))</f>
        <v/>
      </c>
      <c r="T43" s="7">
        <f>IF($W43="","",IF(INDEX('Per Invoice'!T$2:T$801,$W43)="","",INDEX('Per Invoice'!T$2:T$801,$W43)))</f>
        <v/>
      </c>
      <c r="U43" s="7">
        <f>IF($W43="","",IF(INDEX('Per Invoice'!U$2:U$801,$W43)="","",INDEX('Per Invoice'!U$2:U$801,$W43)))</f>
        <v/>
      </c>
      <c r="V43" s="7">
        <f>IF($W43="","",IF(INDEX('Per Invoice'!V$2:V$801,$W43)="","",INDEX('Per Invoice'!V$2:V$801,$W43)))</f>
        <v/>
      </c>
      <c r="W43" s="16">
        <f>IFERROR(MATCH(Settings!$C$26&amp;"|"&amp;ROWS($W$2:$W43),'Per Invoice'!$X$2:$X$801,0),"")</f>
        <v/>
      </c>
    </row>
    <row r="44">
      <c r="A44">
        <f>IF($W44="","",IF(INDEX('Per Invoice'!A$2:A$801,$W44)="","",INDEX('Per Invoice'!A$2:A$801,$W44)))</f>
        <v/>
      </c>
      <c r="B44">
        <f>IF($W44="","",IF(INDEX('Per Invoice'!B$2:B$801,$W44)="","",INDEX('Per Invoice'!B$2:B$801,$W44)))</f>
        <v/>
      </c>
      <c r="C44">
        <f>IF($W44="","",IF(INDEX('Per Invoice'!C$2:C$801,$W44)="","",INDEX('Per Invoice'!C$2:C$801,$W44)))</f>
        <v/>
      </c>
      <c r="D44">
        <f>IF($W44="","",IF(INDEX('Per Invoice'!D$2:D$801,$W44)="","",INDEX('Per Invoice'!D$2:D$801,$W44)))</f>
        <v/>
      </c>
      <c r="E44">
        <f>IF($W44="","",IF(INDEX('Per Invoice'!E$2:E$801,$W44)="","",INDEX('Per Invoice'!E$2:E$801,$W44)))</f>
        <v/>
      </c>
      <c r="F44">
        <f>IF($W44="","",IF(INDEX('Per Invoice'!F$2:F$801,$W44)="","",INDEX('Per Invoice'!F$2:F$801,$W44)))</f>
        <v/>
      </c>
      <c r="G44">
        <f>IF($W44="","",IF(INDEX('Per Invoice'!G$2:G$801,$W44)="","",INDEX('Per Invoice'!G$2:G$801,$W44)))</f>
        <v/>
      </c>
      <c r="H44">
        <f>IF($W44="","",IF(INDEX('Per Invoice'!H$2:H$801,$W44)="","",INDEX('Per Invoice'!H$2:H$801,$W44)))</f>
        <v/>
      </c>
      <c r="I44">
        <f>IF($W44="","",IF(INDEX('Per Invoice'!I$2:I$801,$W44)="","",INDEX('Per Invoice'!I$2:I$801,$W44)))</f>
        <v/>
      </c>
      <c r="J44">
        <f>IF($W44="","",IF(INDEX('Per Invoice'!J$2:J$801,$W44)="","",INDEX('Per Invoice'!J$2:J$801,$W44)))</f>
        <v/>
      </c>
      <c r="K44" s="7">
        <f>IF($W44="","",IF(INDEX('Per Invoice'!K$2:K$801,$W44)="","",INDEX('Per Invoice'!K$2:K$801,$W44)))</f>
        <v/>
      </c>
      <c r="L44" s="14">
        <f>IF($W44="","",IF(INDEX('Per Invoice'!L$2:L$801,$W44)="","",INDEX('Per Invoice'!L$2:L$801,$W44)))</f>
        <v/>
      </c>
      <c r="M44">
        <f>IF($W44="","",IF(INDEX('Per Invoice'!M$2:M$801,$W44)="","",INDEX('Per Invoice'!M$2:M$801,$W44)))</f>
        <v/>
      </c>
      <c r="N44" s="7">
        <f>IF($W44="","",IF(INDEX('Per Invoice'!N$2:N$801,$W44)="","",INDEX('Per Invoice'!N$2:N$801,$W44)))</f>
        <v/>
      </c>
      <c r="O44" s="7">
        <f>IF($W44="","",IF(INDEX('Per Invoice'!O$2:O$801,$W44)="","",INDEX('Per Invoice'!O$2:O$801,$W44)))</f>
        <v/>
      </c>
      <c r="P44">
        <f>IF($W44="","",IF(INDEX('Per Invoice'!P$2:P$801,$W44)="","",INDEX('Per Invoice'!P$2:P$801,$W44)))</f>
        <v/>
      </c>
      <c r="Q44" s="7">
        <f>IF($W44="","",IF(INDEX('Per Invoice'!Q$2:Q$801,$W44)="","",INDEX('Per Invoice'!Q$2:Q$801,$W44)))</f>
        <v/>
      </c>
      <c r="R44" s="7">
        <f>IF($W44="","",IF(INDEX('Per Invoice'!R$2:R$801,$W44)="","",INDEX('Per Invoice'!R$2:R$801,$W44)))</f>
        <v/>
      </c>
      <c r="S44" s="7">
        <f>IF($W44="","",IF(INDEX('Per Invoice'!S$2:S$801,$W44)="","",INDEX('Per Invoice'!S$2:S$801,$W44)))</f>
        <v/>
      </c>
      <c r="T44" s="7">
        <f>IF($W44="","",IF(INDEX('Per Invoice'!T$2:T$801,$W44)="","",INDEX('Per Invoice'!T$2:T$801,$W44)))</f>
        <v/>
      </c>
      <c r="U44" s="7">
        <f>IF($W44="","",IF(INDEX('Per Invoice'!U$2:U$801,$W44)="","",INDEX('Per Invoice'!U$2:U$801,$W44)))</f>
        <v/>
      </c>
      <c r="V44" s="7">
        <f>IF($W44="","",IF(INDEX('Per Invoice'!V$2:V$801,$W44)="","",INDEX('Per Invoice'!V$2:V$801,$W44)))</f>
        <v/>
      </c>
      <c r="W44" s="16">
        <f>IFERROR(MATCH(Settings!$C$26&amp;"|"&amp;ROWS($W$2:$W44),'Per Invoice'!$X$2:$X$801,0),"")</f>
        <v/>
      </c>
    </row>
    <row r="45">
      <c r="A45">
        <f>IF($W45="","",IF(INDEX('Per Invoice'!A$2:A$801,$W45)="","",INDEX('Per Invoice'!A$2:A$801,$W45)))</f>
        <v/>
      </c>
      <c r="B45">
        <f>IF($W45="","",IF(INDEX('Per Invoice'!B$2:B$801,$W45)="","",INDEX('Per Invoice'!B$2:B$801,$W45)))</f>
        <v/>
      </c>
      <c r="C45">
        <f>IF($W45="","",IF(INDEX('Per Invoice'!C$2:C$801,$W45)="","",INDEX('Per Invoice'!C$2:C$801,$W45)))</f>
        <v/>
      </c>
      <c r="D45">
        <f>IF($W45="","",IF(INDEX('Per Invoice'!D$2:D$801,$W45)="","",INDEX('Per Invoice'!D$2:D$801,$W45)))</f>
        <v/>
      </c>
      <c r="E45">
        <f>IF($W45="","",IF(INDEX('Per Invoice'!E$2:E$801,$W45)="","",INDEX('Per Invoice'!E$2:E$801,$W45)))</f>
        <v/>
      </c>
      <c r="F45">
        <f>IF($W45="","",IF(INDEX('Per Invoice'!F$2:F$801,$W45)="","",INDEX('Per Invoice'!F$2:F$801,$W45)))</f>
        <v/>
      </c>
      <c r="G45">
        <f>IF($W45="","",IF(INDEX('Per Invoice'!G$2:G$801,$W45)="","",INDEX('Per Invoice'!G$2:G$801,$W45)))</f>
        <v/>
      </c>
      <c r="H45">
        <f>IF($W45="","",IF(INDEX('Per Invoice'!H$2:H$801,$W45)="","",INDEX('Per Invoice'!H$2:H$801,$W45)))</f>
        <v/>
      </c>
      <c r="I45">
        <f>IF($W45="","",IF(INDEX('Per Invoice'!I$2:I$801,$W45)="","",INDEX('Per Invoice'!I$2:I$801,$W45)))</f>
        <v/>
      </c>
      <c r="J45">
        <f>IF($W45="","",IF(INDEX('Per Invoice'!J$2:J$801,$W45)="","",INDEX('Per Invoice'!J$2:J$801,$W45)))</f>
        <v/>
      </c>
      <c r="K45" s="7">
        <f>IF($W45="","",IF(INDEX('Per Invoice'!K$2:K$801,$W45)="","",INDEX('Per Invoice'!K$2:K$801,$W45)))</f>
        <v/>
      </c>
      <c r="L45" s="14">
        <f>IF($W45="","",IF(INDEX('Per Invoice'!L$2:L$801,$W45)="","",INDEX('Per Invoice'!L$2:L$801,$W45)))</f>
        <v/>
      </c>
      <c r="M45">
        <f>IF($W45="","",IF(INDEX('Per Invoice'!M$2:M$801,$W45)="","",INDEX('Per Invoice'!M$2:M$801,$W45)))</f>
        <v/>
      </c>
      <c r="N45" s="7">
        <f>IF($W45="","",IF(INDEX('Per Invoice'!N$2:N$801,$W45)="","",INDEX('Per Invoice'!N$2:N$801,$W45)))</f>
        <v/>
      </c>
      <c r="O45" s="7">
        <f>IF($W45="","",IF(INDEX('Per Invoice'!O$2:O$801,$W45)="","",INDEX('Per Invoice'!O$2:O$801,$W45)))</f>
        <v/>
      </c>
      <c r="P45">
        <f>IF($W45="","",IF(INDEX('Per Invoice'!P$2:P$801,$W45)="","",INDEX('Per Invoice'!P$2:P$801,$W45)))</f>
        <v/>
      </c>
      <c r="Q45" s="7">
        <f>IF($W45="","",IF(INDEX('Per Invoice'!Q$2:Q$801,$W45)="","",INDEX('Per Invoice'!Q$2:Q$801,$W45)))</f>
        <v/>
      </c>
      <c r="R45" s="7">
        <f>IF($W45="","",IF(INDEX('Per Invoice'!R$2:R$801,$W45)="","",INDEX('Per Invoice'!R$2:R$801,$W45)))</f>
        <v/>
      </c>
      <c r="S45" s="7">
        <f>IF($W45="","",IF(INDEX('Per Invoice'!S$2:S$801,$W45)="","",INDEX('Per Invoice'!S$2:S$801,$W45)))</f>
        <v/>
      </c>
      <c r="T45" s="7">
        <f>IF($W45="","",IF(INDEX('Per Invoice'!T$2:T$801,$W45)="","",INDEX('Per Invoice'!T$2:T$801,$W45)))</f>
        <v/>
      </c>
      <c r="U45" s="7">
        <f>IF($W45="","",IF(INDEX('Per Invoice'!U$2:U$801,$W45)="","",INDEX('Per Invoice'!U$2:U$801,$W45)))</f>
        <v/>
      </c>
      <c r="V45" s="7">
        <f>IF($W45="","",IF(INDEX('Per Invoice'!V$2:V$801,$W45)="","",INDEX('Per Invoice'!V$2:V$801,$W45)))</f>
        <v/>
      </c>
      <c r="W45" s="16">
        <f>IFERROR(MATCH(Settings!$C$26&amp;"|"&amp;ROWS($W$2:$W45),'Per Invoice'!$X$2:$X$801,0),"")</f>
        <v/>
      </c>
    </row>
    <row r="46">
      <c r="A46">
        <f>IF($W46="","",IF(INDEX('Per Invoice'!A$2:A$801,$W46)="","",INDEX('Per Invoice'!A$2:A$801,$W46)))</f>
        <v/>
      </c>
      <c r="B46">
        <f>IF($W46="","",IF(INDEX('Per Invoice'!B$2:B$801,$W46)="","",INDEX('Per Invoice'!B$2:B$801,$W46)))</f>
        <v/>
      </c>
      <c r="C46">
        <f>IF($W46="","",IF(INDEX('Per Invoice'!C$2:C$801,$W46)="","",INDEX('Per Invoice'!C$2:C$801,$W46)))</f>
        <v/>
      </c>
      <c r="D46">
        <f>IF($W46="","",IF(INDEX('Per Invoice'!D$2:D$801,$W46)="","",INDEX('Per Invoice'!D$2:D$801,$W46)))</f>
        <v/>
      </c>
      <c r="E46">
        <f>IF($W46="","",IF(INDEX('Per Invoice'!E$2:E$801,$W46)="","",INDEX('Per Invoice'!E$2:E$801,$W46)))</f>
        <v/>
      </c>
      <c r="F46">
        <f>IF($W46="","",IF(INDEX('Per Invoice'!F$2:F$801,$W46)="","",INDEX('Per Invoice'!F$2:F$801,$W46)))</f>
        <v/>
      </c>
      <c r="G46">
        <f>IF($W46="","",IF(INDEX('Per Invoice'!G$2:G$801,$W46)="","",INDEX('Per Invoice'!G$2:G$801,$W46)))</f>
        <v/>
      </c>
      <c r="H46">
        <f>IF($W46="","",IF(INDEX('Per Invoice'!H$2:H$801,$W46)="","",INDEX('Per Invoice'!H$2:H$801,$W46)))</f>
        <v/>
      </c>
      <c r="I46">
        <f>IF($W46="","",IF(INDEX('Per Invoice'!I$2:I$801,$W46)="","",INDEX('Per Invoice'!I$2:I$801,$W46)))</f>
        <v/>
      </c>
      <c r="J46">
        <f>IF($W46="","",IF(INDEX('Per Invoice'!J$2:J$801,$W46)="","",INDEX('Per Invoice'!J$2:J$801,$W46)))</f>
        <v/>
      </c>
      <c r="K46" s="7">
        <f>IF($W46="","",IF(INDEX('Per Invoice'!K$2:K$801,$W46)="","",INDEX('Per Invoice'!K$2:K$801,$W46)))</f>
        <v/>
      </c>
      <c r="L46" s="14">
        <f>IF($W46="","",IF(INDEX('Per Invoice'!L$2:L$801,$W46)="","",INDEX('Per Invoice'!L$2:L$801,$W46)))</f>
        <v/>
      </c>
      <c r="M46">
        <f>IF($W46="","",IF(INDEX('Per Invoice'!M$2:M$801,$W46)="","",INDEX('Per Invoice'!M$2:M$801,$W46)))</f>
        <v/>
      </c>
      <c r="N46" s="7">
        <f>IF($W46="","",IF(INDEX('Per Invoice'!N$2:N$801,$W46)="","",INDEX('Per Invoice'!N$2:N$801,$W46)))</f>
        <v/>
      </c>
      <c r="O46" s="7">
        <f>IF($W46="","",IF(INDEX('Per Invoice'!O$2:O$801,$W46)="","",INDEX('Per Invoice'!O$2:O$801,$W46)))</f>
        <v/>
      </c>
      <c r="P46">
        <f>IF($W46="","",IF(INDEX('Per Invoice'!P$2:P$801,$W46)="","",INDEX('Per Invoice'!P$2:P$801,$W46)))</f>
        <v/>
      </c>
      <c r="Q46" s="7">
        <f>IF($W46="","",IF(INDEX('Per Invoice'!Q$2:Q$801,$W46)="","",INDEX('Per Invoice'!Q$2:Q$801,$W46)))</f>
        <v/>
      </c>
      <c r="R46" s="7">
        <f>IF($W46="","",IF(INDEX('Per Invoice'!R$2:R$801,$W46)="","",INDEX('Per Invoice'!R$2:R$801,$W46)))</f>
        <v/>
      </c>
      <c r="S46" s="7">
        <f>IF($W46="","",IF(INDEX('Per Invoice'!S$2:S$801,$W46)="","",INDEX('Per Invoice'!S$2:S$801,$W46)))</f>
        <v/>
      </c>
      <c r="T46" s="7">
        <f>IF($W46="","",IF(INDEX('Per Invoice'!T$2:T$801,$W46)="","",INDEX('Per Invoice'!T$2:T$801,$W46)))</f>
        <v/>
      </c>
      <c r="U46" s="7">
        <f>IF($W46="","",IF(INDEX('Per Invoice'!U$2:U$801,$W46)="","",INDEX('Per Invoice'!U$2:U$801,$W46)))</f>
        <v/>
      </c>
      <c r="V46" s="7">
        <f>IF($W46="","",IF(INDEX('Per Invoice'!V$2:V$801,$W46)="","",INDEX('Per Invoice'!V$2:V$801,$W46)))</f>
        <v/>
      </c>
      <c r="W46" s="16">
        <f>IFERROR(MATCH(Settings!$C$26&amp;"|"&amp;ROWS($W$2:$W46),'Per Invoice'!$X$2:$X$801,0),"")</f>
        <v/>
      </c>
    </row>
    <row r="47">
      <c r="A47">
        <f>IF($W47="","",IF(INDEX('Per Invoice'!A$2:A$801,$W47)="","",INDEX('Per Invoice'!A$2:A$801,$W47)))</f>
        <v/>
      </c>
      <c r="B47">
        <f>IF($W47="","",IF(INDEX('Per Invoice'!B$2:B$801,$W47)="","",INDEX('Per Invoice'!B$2:B$801,$W47)))</f>
        <v/>
      </c>
      <c r="C47">
        <f>IF($W47="","",IF(INDEX('Per Invoice'!C$2:C$801,$W47)="","",INDEX('Per Invoice'!C$2:C$801,$W47)))</f>
        <v/>
      </c>
      <c r="D47">
        <f>IF($W47="","",IF(INDEX('Per Invoice'!D$2:D$801,$W47)="","",INDEX('Per Invoice'!D$2:D$801,$W47)))</f>
        <v/>
      </c>
      <c r="E47">
        <f>IF($W47="","",IF(INDEX('Per Invoice'!E$2:E$801,$W47)="","",INDEX('Per Invoice'!E$2:E$801,$W47)))</f>
        <v/>
      </c>
      <c r="F47">
        <f>IF($W47="","",IF(INDEX('Per Invoice'!F$2:F$801,$W47)="","",INDEX('Per Invoice'!F$2:F$801,$W47)))</f>
        <v/>
      </c>
      <c r="G47">
        <f>IF($W47="","",IF(INDEX('Per Invoice'!G$2:G$801,$W47)="","",INDEX('Per Invoice'!G$2:G$801,$W47)))</f>
        <v/>
      </c>
      <c r="H47">
        <f>IF($W47="","",IF(INDEX('Per Invoice'!H$2:H$801,$W47)="","",INDEX('Per Invoice'!H$2:H$801,$W47)))</f>
        <v/>
      </c>
      <c r="I47">
        <f>IF($W47="","",IF(INDEX('Per Invoice'!I$2:I$801,$W47)="","",INDEX('Per Invoice'!I$2:I$801,$W47)))</f>
        <v/>
      </c>
      <c r="J47">
        <f>IF($W47="","",IF(INDEX('Per Invoice'!J$2:J$801,$W47)="","",INDEX('Per Invoice'!J$2:J$801,$W47)))</f>
        <v/>
      </c>
      <c r="K47" s="7">
        <f>IF($W47="","",IF(INDEX('Per Invoice'!K$2:K$801,$W47)="","",INDEX('Per Invoice'!K$2:K$801,$W47)))</f>
        <v/>
      </c>
      <c r="L47" s="14">
        <f>IF($W47="","",IF(INDEX('Per Invoice'!L$2:L$801,$W47)="","",INDEX('Per Invoice'!L$2:L$801,$W47)))</f>
        <v/>
      </c>
      <c r="M47">
        <f>IF($W47="","",IF(INDEX('Per Invoice'!M$2:M$801,$W47)="","",INDEX('Per Invoice'!M$2:M$801,$W47)))</f>
        <v/>
      </c>
      <c r="N47" s="7">
        <f>IF($W47="","",IF(INDEX('Per Invoice'!N$2:N$801,$W47)="","",INDEX('Per Invoice'!N$2:N$801,$W47)))</f>
        <v/>
      </c>
      <c r="O47" s="7">
        <f>IF($W47="","",IF(INDEX('Per Invoice'!O$2:O$801,$W47)="","",INDEX('Per Invoice'!O$2:O$801,$W47)))</f>
        <v/>
      </c>
      <c r="P47">
        <f>IF($W47="","",IF(INDEX('Per Invoice'!P$2:P$801,$W47)="","",INDEX('Per Invoice'!P$2:P$801,$W47)))</f>
        <v/>
      </c>
      <c r="Q47" s="7">
        <f>IF($W47="","",IF(INDEX('Per Invoice'!Q$2:Q$801,$W47)="","",INDEX('Per Invoice'!Q$2:Q$801,$W47)))</f>
        <v/>
      </c>
      <c r="R47" s="7">
        <f>IF($W47="","",IF(INDEX('Per Invoice'!R$2:R$801,$W47)="","",INDEX('Per Invoice'!R$2:R$801,$W47)))</f>
        <v/>
      </c>
      <c r="S47" s="7">
        <f>IF($W47="","",IF(INDEX('Per Invoice'!S$2:S$801,$W47)="","",INDEX('Per Invoice'!S$2:S$801,$W47)))</f>
        <v/>
      </c>
      <c r="T47" s="7">
        <f>IF($W47="","",IF(INDEX('Per Invoice'!T$2:T$801,$W47)="","",INDEX('Per Invoice'!T$2:T$801,$W47)))</f>
        <v/>
      </c>
      <c r="U47" s="7">
        <f>IF($W47="","",IF(INDEX('Per Invoice'!U$2:U$801,$W47)="","",INDEX('Per Invoice'!U$2:U$801,$W47)))</f>
        <v/>
      </c>
      <c r="V47" s="7">
        <f>IF($W47="","",IF(INDEX('Per Invoice'!V$2:V$801,$W47)="","",INDEX('Per Invoice'!V$2:V$801,$W47)))</f>
        <v/>
      </c>
      <c r="W47" s="16">
        <f>IFERROR(MATCH(Settings!$C$26&amp;"|"&amp;ROWS($W$2:$W47),'Per Invoice'!$X$2:$X$801,0),"")</f>
        <v/>
      </c>
    </row>
    <row r="48">
      <c r="A48">
        <f>IF($W48="","",IF(INDEX('Per Invoice'!A$2:A$801,$W48)="","",INDEX('Per Invoice'!A$2:A$801,$W48)))</f>
        <v/>
      </c>
      <c r="B48">
        <f>IF($W48="","",IF(INDEX('Per Invoice'!B$2:B$801,$W48)="","",INDEX('Per Invoice'!B$2:B$801,$W48)))</f>
        <v/>
      </c>
      <c r="C48">
        <f>IF($W48="","",IF(INDEX('Per Invoice'!C$2:C$801,$W48)="","",INDEX('Per Invoice'!C$2:C$801,$W48)))</f>
        <v/>
      </c>
      <c r="D48">
        <f>IF($W48="","",IF(INDEX('Per Invoice'!D$2:D$801,$W48)="","",INDEX('Per Invoice'!D$2:D$801,$W48)))</f>
        <v/>
      </c>
      <c r="E48">
        <f>IF($W48="","",IF(INDEX('Per Invoice'!E$2:E$801,$W48)="","",INDEX('Per Invoice'!E$2:E$801,$W48)))</f>
        <v/>
      </c>
      <c r="F48">
        <f>IF($W48="","",IF(INDEX('Per Invoice'!F$2:F$801,$W48)="","",INDEX('Per Invoice'!F$2:F$801,$W48)))</f>
        <v/>
      </c>
      <c r="G48">
        <f>IF($W48="","",IF(INDEX('Per Invoice'!G$2:G$801,$W48)="","",INDEX('Per Invoice'!G$2:G$801,$W48)))</f>
        <v/>
      </c>
      <c r="H48">
        <f>IF($W48="","",IF(INDEX('Per Invoice'!H$2:H$801,$W48)="","",INDEX('Per Invoice'!H$2:H$801,$W48)))</f>
        <v/>
      </c>
      <c r="I48">
        <f>IF($W48="","",IF(INDEX('Per Invoice'!I$2:I$801,$W48)="","",INDEX('Per Invoice'!I$2:I$801,$W48)))</f>
        <v/>
      </c>
      <c r="J48">
        <f>IF($W48="","",IF(INDEX('Per Invoice'!J$2:J$801,$W48)="","",INDEX('Per Invoice'!J$2:J$801,$W48)))</f>
        <v/>
      </c>
      <c r="K48" s="7">
        <f>IF($W48="","",IF(INDEX('Per Invoice'!K$2:K$801,$W48)="","",INDEX('Per Invoice'!K$2:K$801,$W48)))</f>
        <v/>
      </c>
      <c r="L48" s="14">
        <f>IF($W48="","",IF(INDEX('Per Invoice'!L$2:L$801,$W48)="","",INDEX('Per Invoice'!L$2:L$801,$W48)))</f>
        <v/>
      </c>
      <c r="M48">
        <f>IF($W48="","",IF(INDEX('Per Invoice'!M$2:M$801,$W48)="","",INDEX('Per Invoice'!M$2:M$801,$W48)))</f>
        <v/>
      </c>
      <c r="N48" s="7">
        <f>IF($W48="","",IF(INDEX('Per Invoice'!N$2:N$801,$W48)="","",INDEX('Per Invoice'!N$2:N$801,$W48)))</f>
        <v/>
      </c>
      <c r="O48" s="7">
        <f>IF($W48="","",IF(INDEX('Per Invoice'!O$2:O$801,$W48)="","",INDEX('Per Invoice'!O$2:O$801,$W48)))</f>
        <v/>
      </c>
      <c r="P48">
        <f>IF($W48="","",IF(INDEX('Per Invoice'!P$2:P$801,$W48)="","",INDEX('Per Invoice'!P$2:P$801,$W48)))</f>
        <v/>
      </c>
      <c r="Q48" s="7">
        <f>IF($W48="","",IF(INDEX('Per Invoice'!Q$2:Q$801,$W48)="","",INDEX('Per Invoice'!Q$2:Q$801,$W48)))</f>
        <v/>
      </c>
      <c r="R48" s="7">
        <f>IF($W48="","",IF(INDEX('Per Invoice'!R$2:R$801,$W48)="","",INDEX('Per Invoice'!R$2:R$801,$W48)))</f>
        <v/>
      </c>
      <c r="S48" s="7">
        <f>IF($W48="","",IF(INDEX('Per Invoice'!S$2:S$801,$W48)="","",INDEX('Per Invoice'!S$2:S$801,$W48)))</f>
        <v/>
      </c>
      <c r="T48" s="7">
        <f>IF($W48="","",IF(INDEX('Per Invoice'!T$2:T$801,$W48)="","",INDEX('Per Invoice'!T$2:T$801,$W48)))</f>
        <v/>
      </c>
      <c r="U48" s="7">
        <f>IF($W48="","",IF(INDEX('Per Invoice'!U$2:U$801,$W48)="","",INDEX('Per Invoice'!U$2:U$801,$W48)))</f>
        <v/>
      </c>
      <c r="V48" s="7">
        <f>IF($W48="","",IF(INDEX('Per Invoice'!V$2:V$801,$W48)="","",INDEX('Per Invoice'!V$2:V$801,$W48)))</f>
        <v/>
      </c>
      <c r="W48" s="16">
        <f>IFERROR(MATCH(Settings!$C$26&amp;"|"&amp;ROWS($W$2:$W48),'Per Invoice'!$X$2:$X$801,0),"")</f>
        <v/>
      </c>
    </row>
    <row r="49">
      <c r="A49">
        <f>IF($W49="","",IF(INDEX('Per Invoice'!A$2:A$801,$W49)="","",INDEX('Per Invoice'!A$2:A$801,$W49)))</f>
        <v/>
      </c>
      <c r="B49">
        <f>IF($W49="","",IF(INDEX('Per Invoice'!B$2:B$801,$W49)="","",INDEX('Per Invoice'!B$2:B$801,$W49)))</f>
        <v/>
      </c>
      <c r="C49">
        <f>IF($W49="","",IF(INDEX('Per Invoice'!C$2:C$801,$W49)="","",INDEX('Per Invoice'!C$2:C$801,$W49)))</f>
        <v/>
      </c>
      <c r="D49">
        <f>IF($W49="","",IF(INDEX('Per Invoice'!D$2:D$801,$W49)="","",INDEX('Per Invoice'!D$2:D$801,$W49)))</f>
        <v/>
      </c>
      <c r="E49">
        <f>IF($W49="","",IF(INDEX('Per Invoice'!E$2:E$801,$W49)="","",INDEX('Per Invoice'!E$2:E$801,$W49)))</f>
        <v/>
      </c>
      <c r="F49">
        <f>IF($W49="","",IF(INDEX('Per Invoice'!F$2:F$801,$W49)="","",INDEX('Per Invoice'!F$2:F$801,$W49)))</f>
        <v/>
      </c>
      <c r="G49">
        <f>IF($W49="","",IF(INDEX('Per Invoice'!G$2:G$801,$W49)="","",INDEX('Per Invoice'!G$2:G$801,$W49)))</f>
        <v/>
      </c>
      <c r="H49">
        <f>IF($W49="","",IF(INDEX('Per Invoice'!H$2:H$801,$W49)="","",INDEX('Per Invoice'!H$2:H$801,$W49)))</f>
        <v/>
      </c>
      <c r="I49">
        <f>IF($W49="","",IF(INDEX('Per Invoice'!I$2:I$801,$W49)="","",INDEX('Per Invoice'!I$2:I$801,$W49)))</f>
        <v/>
      </c>
      <c r="J49">
        <f>IF($W49="","",IF(INDEX('Per Invoice'!J$2:J$801,$W49)="","",INDEX('Per Invoice'!J$2:J$801,$W49)))</f>
        <v/>
      </c>
      <c r="K49" s="7">
        <f>IF($W49="","",IF(INDEX('Per Invoice'!K$2:K$801,$W49)="","",INDEX('Per Invoice'!K$2:K$801,$W49)))</f>
        <v/>
      </c>
      <c r="L49" s="14">
        <f>IF($W49="","",IF(INDEX('Per Invoice'!L$2:L$801,$W49)="","",INDEX('Per Invoice'!L$2:L$801,$W49)))</f>
        <v/>
      </c>
      <c r="M49">
        <f>IF($W49="","",IF(INDEX('Per Invoice'!M$2:M$801,$W49)="","",INDEX('Per Invoice'!M$2:M$801,$W49)))</f>
        <v/>
      </c>
      <c r="N49" s="7">
        <f>IF($W49="","",IF(INDEX('Per Invoice'!N$2:N$801,$W49)="","",INDEX('Per Invoice'!N$2:N$801,$W49)))</f>
        <v/>
      </c>
      <c r="O49" s="7">
        <f>IF($W49="","",IF(INDEX('Per Invoice'!O$2:O$801,$W49)="","",INDEX('Per Invoice'!O$2:O$801,$W49)))</f>
        <v/>
      </c>
      <c r="P49">
        <f>IF($W49="","",IF(INDEX('Per Invoice'!P$2:P$801,$W49)="","",INDEX('Per Invoice'!P$2:P$801,$W49)))</f>
        <v/>
      </c>
      <c r="Q49" s="7">
        <f>IF($W49="","",IF(INDEX('Per Invoice'!Q$2:Q$801,$W49)="","",INDEX('Per Invoice'!Q$2:Q$801,$W49)))</f>
        <v/>
      </c>
      <c r="R49" s="7">
        <f>IF($W49="","",IF(INDEX('Per Invoice'!R$2:R$801,$W49)="","",INDEX('Per Invoice'!R$2:R$801,$W49)))</f>
        <v/>
      </c>
      <c r="S49" s="7">
        <f>IF($W49="","",IF(INDEX('Per Invoice'!S$2:S$801,$W49)="","",INDEX('Per Invoice'!S$2:S$801,$W49)))</f>
        <v/>
      </c>
      <c r="T49" s="7">
        <f>IF($W49="","",IF(INDEX('Per Invoice'!T$2:T$801,$W49)="","",INDEX('Per Invoice'!T$2:T$801,$W49)))</f>
        <v/>
      </c>
      <c r="U49" s="7">
        <f>IF($W49="","",IF(INDEX('Per Invoice'!U$2:U$801,$W49)="","",INDEX('Per Invoice'!U$2:U$801,$W49)))</f>
        <v/>
      </c>
      <c r="V49" s="7">
        <f>IF($W49="","",IF(INDEX('Per Invoice'!V$2:V$801,$W49)="","",INDEX('Per Invoice'!V$2:V$801,$W49)))</f>
        <v/>
      </c>
      <c r="W49" s="16">
        <f>IFERROR(MATCH(Settings!$C$26&amp;"|"&amp;ROWS($W$2:$W49),'Per Invoice'!$X$2:$X$801,0),"")</f>
        <v/>
      </c>
    </row>
    <row r="50">
      <c r="A50">
        <f>IF($W50="","",IF(INDEX('Per Invoice'!A$2:A$801,$W50)="","",INDEX('Per Invoice'!A$2:A$801,$W50)))</f>
        <v/>
      </c>
      <c r="B50">
        <f>IF($W50="","",IF(INDEX('Per Invoice'!B$2:B$801,$W50)="","",INDEX('Per Invoice'!B$2:B$801,$W50)))</f>
        <v/>
      </c>
      <c r="C50">
        <f>IF($W50="","",IF(INDEX('Per Invoice'!C$2:C$801,$W50)="","",INDEX('Per Invoice'!C$2:C$801,$W50)))</f>
        <v/>
      </c>
      <c r="D50">
        <f>IF($W50="","",IF(INDEX('Per Invoice'!D$2:D$801,$W50)="","",INDEX('Per Invoice'!D$2:D$801,$W50)))</f>
        <v/>
      </c>
      <c r="E50">
        <f>IF($W50="","",IF(INDEX('Per Invoice'!E$2:E$801,$W50)="","",INDEX('Per Invoice'!E$2:E$801,$W50)))</f>
        <v/>
      </c>
      <c r="F50">
        <f>IF($W50="","",IF(INDEX('Per Invoice'!F$2:F$801,$W50)="","",INDEX('Per Invoice'!F$2:F$801,$W50)))</f>
        <v/>
      </c>
      <c r="G50">
        <f>IF($W50="","",IF(INDEX('Per Invoice'!G$2:G$801,$W50)="","",INDEX('Per Invoice'!G$2:G$801,$W50)))</f>
        <v/>
      </c>
      <c r="H50">
        <f>IF($W50="","",IF(INDEX('Per Invoice'!H$2:H$801,$W50)="","",INDEX('Per Invoice'!H$2:H$801,$W50)))</f>
        <v/>
      </c>
      <c r="I50">
        <f>IF($W50="","",IF(INDEX('Per Invoice'!I$2:I$801,$W50)="","",INDEX('Per Invoice'!I$2:I$801,$W50)))</f>
        <v/>
      </c>
      <c r="J50">
        <f>IF($W50="","",IF(INDEX('Per Invoice'!J$2:J$801,$W50)="","",INDEX('Per Invoice'!J$2:J$801,$W50)))</f>
        <v/>
      </c>
      <c r="K50" s="7">
        <f>IF($W50="","",IF(INDEX('Per Invoice'!K$2:K$801,$W50)="","",INDEX('Per Invoice'!K$2:K$801,$W50)))</f>
        <v/>
      </c>
      <c r="L50" s="14">
        <f>IF($W50="","",IF(INDEX('Per Invoice'!L$2:L$801,$W50)="","",INDEX('Per Invoice'!L$2:L$801,$W50)))</f>
        <v/>
      </c>
      <c r="M50">
        <f>IF($W50="","",IF(INDEX('Per Invoice'!M$2:M$801,$W50)="","",INDEX('Per Invoice'!M$2:M$801,$W50)))</f>
        <v/>
      </c>
      <c r="N50" s="7">
        <f>IF($W50="","",IF(INDEX('Per Invoice'!N$2:N$801,$W50)="","",INDEX('Per Invoice'!N$2:N$801,$W50)))</f>
        <v/>
      </c>
      <c r="O50" s="7">
        <f>IF($W50="","",IF(INDEX('Per Invoice'!O$2:O$801,$W50)="","",INDEX('Per Invoice'!O$2:O$801,$W50)))</f>
        <v/>
      </c>
      <c r="P50">
        <f>IF($W50="","",IF(INDEX('Per Invoice'!P$2:P$801,$W50)="","",INDEX('Per Invoice'!P$2:P$801,$W50)))</f>
        <v/>
      </c>
      <c r="Q50" s="7">
        <f>IF($W50="","",IF(INDEX('Per Invoice'!Q$2:Q$801,$W50)="","",INDEX('Per Invoice'!Q$2:Q$801,$W50)))</f>
        <v/>
      </c>
      <c r="R50" s="7">
        <f>IF($W50="","",IF(INDEX('Per Invoice'!R$2:R$801,$W50)="","",INDEX('Per Invoice'!R$2:R$801,$W50)))</f>
        <v/>
      </c>
      <c r="S50" s="7">
        <f>IF($W50="","",IF(INDEX('Per Invoice'!S$2:S$801,$W50)="","",INDEX('Per Invoice'!S$2:S$801,$W50)))</f>
        <v/>
      </c>
      <c r="T50" s="7">
        <f>IF($W50="","",IF(INDEX('Per Invoice'!T$2:T$801,$W50)="","",INDEX('Per Invoice'!T$2:T$801,$W50)))</f>
        <v/>
      </c>
      <c r="U50" s="7">
        <f>IF($W50="","",IF(INDEX('Per Invoice'!U$2:U$801,$W50)="","",INDEX('Per Invoice'!U$2:U$801,$W50)))</f>
        <v/>
      </c>
      <c r="V50" s="7">
        <f>IF($W50="","",IF(INDEX('Per Invoice'!V$2:V$801,$W50)="","",INDEX('Per Invoice'!V$2:V$801,$W50)))</f>
        <v/>
      </c>
      <c r="W50" s="16">
        <f>IFERROR(MATCH(Settings!$C$26&amp;"|"&amp;ROWS($W$2:$W50),'Per Invoice'!$X$2:$X$801,0),"")</f>
        <v/>
      </c>
    </row>
    <row r="51">
      <c r="A51">
        <f>IF($W51="","",IF(INDEX('Per Invoice'!A$2:A$801,$W51)="","",INDEX('Per Invoice'!A$2:A$801,$W51)))</f>
        <v/>
      </c>
      <c r="B51">
        <f>IF($W51="","",IF(INDEX('Per Invoice'!B$2:B$801,$W51)="","",INDEX('Per Invoice'!B$2:B$801,$W51)))</f>
        <v/>
      </c>
      <c r="C51">
        <f>IF($W51="","",IF(INDEX('Per Invoice'!C$2:C$801,$W51)="","",INDEX('Per Invoice'!C$2:C$801,$W51)))</f>
        <v/>
      </c>
      <c r="D51">
        <f>IF($W51="","",IF(INDEX('Per Invoice'!D$2:D$801,$W51)="","",INDEX('Per Invoice'!D$2:D$801,$W51)))</f>
        <v/>
      </c>
      <c r="E51">
        <f>IF($W51="","",IF(INDEX('Per Invoice'!E$2:E$801,$W51)="","",INDEX('Per Invoice'!E$2:E$801,$W51)))</f>
        <v/>
      </c>
      <c r="F51">
        <f>IF($W51="","",IF(INDEX('Per Invoice'!F$2:F$801,$W51)="","",INDEX('Per Invoice'!F$2:F$801,$W51)))</f>
        <v/>
      </c>
      <c r="G51">
        <f>IF($W51="","",IF(INDEX('Per Invoice'!G$2:G$801,$W51)="","",INDEX('Per Invoice'!G$2:G$801,$W51)))</f>
        <v/>
      </c>
      <c r="H51">
        <f>IF($W51="","",IF(INDEX('Per Invoice'!H$2:H$801,$W51)="","",INDEX('Per Invoice'!H$2:H$801,$W51)))</f>
        <v/>
      </c>
      <c r="I51">
        <f>IF($W51="","",IF(INDEX('Per Invoice'!I$2:I$801,$W51)="","",INDEX('Per Invoice'!I$2:I$801,$W51)))</f>
        <v/>
      </c>
      <c r="J51">
        <f>IF($W51="","",IF(INDEX('Per Invoice'!J$2:J$801,$W51)="","",INDEX('Per Invoice'!J$2:J$801,$W51)))</f>
        <v/>
      </c>
      <c r="K51" s="7">
        <f>IF($W51="","",IF(INDEX('Per Invoice'!K$2:K$801,$W51)="","",INDEX('Per Invoice'!K$2:K$801,$W51)))</f>
        <v/>
      </c>
      <c r="L51" s="14">
        <f>IF($W51="","",IF(INDEX('Per Invoice'!L$2:L$801,$W51)="","",INDEX('Per Invoice'!L$2:L$801,$W51)))</f>
        <v/>
      </c>
      <c r="M51">
        <f>IF($W51="","",IF(INDEX('Per Invoice'!M$2:M$801,$W51)="","",INDEX('Per Invoice'!M$2:M$801,$W51)))</f>
        <v/>
      </c>
      <c r="N51" s="7">
        <f>IF($W51="","",IF(INDEX('Per Invoice'!N$2:N$801,$W51)="","",INDEX('Per Invoice'!N$2:N$801,$W51)))</f>
        <v/>
      </c>
      <c r="O51" s="7">
        <f>IF($W51="","",IF(INDEX('Per Invoice'!O$2:O$801,$W51)="","",INDEX('Per Invoice'!O$2:O$801,$W51)))</f>
        <v/>
      </c>
      <c r="P51">
        <f>IF($W51="","",IF(INDEX('Per Invoice'!P$2:P$801,$W51)="","",INDEX('Per Invoice'!P$2:P$801,$W51)))</f>
        <v/>
      </c>
      <c r="Q51" s="7">
        <f>IF($W51="","",IF(INDEX('Per Invoice'!Q$2:Q$801,$W51)="","",INDEX('Per Invoice'!Q$2:Q$801,$W51)))</f>
        <v/>
      </c>
      <c r="R51" s="7">
        <f>IF($W51="","",IF(INDEX('Per Invoice'!R$2:R$801,$W51)="","",INDEX('Per Invoice'!R$2:R$801,$W51)))</f>
        <v/>
      </c>
      <c r="S51" s="7">
        <f>IF($W51="","",IF(INDEX('Per Invoice'!S$2:S$801,$W51)="","",INDEX('Per Invoice'!S$2:S$801,$W51)))</f>
        <v/>
      </c>
      <c r="T51" s="7">
        <f>IF($W51="","",IF(INDEX('Per Invoice'!T$2:T$801,$W51)="","",INDEX('Per Invoice'!T$2:T$801,$W51)))</f>
        <v/>
      </c>
      <c r="U51" s="7">
        <f>IF($W51="","",IF(INDEX('Per Invoice'!U$2:U$801,$W51)="","",INDEX('Per Invoice'!U$2:U$801,$W51)))</f>
        <v/>
      </c>
      <c r="V51" s="7">
        <f>IF($W51="","",IF(INDEX('Per Invoice'!V$2:V$801,$W51)="","",INDEX('Per Invoice'!V$2:V$801,$W51)))</f>
        <v/>
      </c>
      <c r="W51" s="16">
        <f>IFERROR(MATCH(Settings!$C$26&amp;"|"&amp;ROWS($W$2:$W51),'Per Invoice'!$X$2:$X$801,0),"")</f>
        <v/>
      </c>
    </row>
    <row r="52">
      <c r="A52">
        <f>IF($W52="","",IF(INDEX('Per Invoice'!A$2:A$801,$W52)="","",INDEX('Per Invoice'!A$2:A$801,$W52)))</f>
        <v/>
      </c>
      <c r="B52">
        <f>IF($W52="","",IF(INDEX('Per Invoice'!B$2:B$801,$W52)="","",INDEX('Per Invoice'!B$2:B$801,$W52)))</f>
        <v/>
      </c>
      <c r="C52">
        <f>IF($W52="","",IF(INDEX('Per Invoice'!C$2:C$801,$W52)="","",INDEX('Per Invoice'!C$2:C$801,$W52)))</f>
        <v/>
      </c>
      <c r="D52">
        <f>IF($W52="","",IF(INDEX('Per Invoice'!D$2:D$801,$W52)="","",INDEX('Per Invoice'!D$2:D$801,$W52)))</f>
        <v/>
      </c>
      <c r="E52">
        <f>IF($W52="","",IF(INDEX('Per Invoice'!E$2:E$801,$W52)="","",INDEX('Per Invoice'!E$2:E$801,$W52)))</f>
        <v/>
      </c>
      <c r="F52">
        <f>IF($W52="","",IF(INDEX('Per Invoice'!F$2:F$801,$W52)="","",INDEX('Per Invoice'!F$2:F$801,$W52)))</f>
        <v/>
      </c>
      <c r="G52">
        <f>IF($W52="","",IF(INDEX('Per Invoice'!G$2:G$801,$W52)="","",INDEX('Per Invoice'!G$2:G$801,$W52)))</f>
        <v/>
      </c>
      <c r="H52">
        <f>IF($W52="","",IF(INDEX('Per Invoice'!H$2:H$801,$W52)="","",INDEX('Per Invoice'!H$2:H$801,$W52)))</f>
        <v/>
      </c>
      <c r="I52">
        <f>IF($W52="","",IF(INDEX('Per Invoice'!I$2:I$801,$W52)="","",INDEX('Per Invoice'!I$2:I$801,$W52)))</f>
        <v/>
      </c>
      <c r="J52">
        <f>IF($W52="","",IF(INDEX('Per Invoice'!J$2:J$801,$W52)="","",INDEX('Per Invoice'!J$2:J$801,$W52)))</f>
        <v/>
      </c>
      <c r="K52" s="7">
        <f>IF($W52="","",IF(INDEX('Per Invoice'!K$2:K$801,$W52)="","",INDEX('Per Invoice'!K$2:K$801,$W52)))</f>
        <v/>
      </c>
      <c r="L52" s="14">
        <f>IF($W52="","",IF(INDEX('Per Invoice'!L$2:L$801,$W52)="","",INDEX('Per Invoice'!L$2:L$801,$W52)))</f>
        <v/>
      </c>
      <c r="M52">
        <f>IF($W52="","",IF(INDEX('Per Invoice'!M$2:M$801,$W52)="","",INDEX('Per Invoice'!M$2:M$801,$W52)))</f>
        <v/>
      </c>
      <c r="N52" s="7">
        <f>IF($W52="","",IF(INDEX('Per Invoice'!N$2:N$801,$W52)="","",INDEX('Per Invoice'!N$2:N$801,$W52)))</f>
        <v/>
      </c>
      <c r="O52" s="7">
        <f>IF($W52="","",IF(INDEX('Per Invoice'!O$2:O$801,$W52)="","",INDEX('Per Invoice'!O$2:O$801,$W52)))</f>
        <v/>
      </c>
      <c r="P52">
        <f>IF($W52="","",IF(INDEX('Per Invoice'!P$2:P$801,$W52)="","",INDEX('Per Invoice'!P$2:P$801,$W52)))</f>
        <v/>
      </c>
      <c r="Q52" s="7">
        <f>IF($W52="","",IF(INDEX('Per Invoice'!Q$2:Q$801,$W52)="","",INDEX('Per Invoice'!Q$2:Q$801,$W52)))</f>
        <v/>
      </c>
      <c r="R52" s="7">
        <f>IF($W52="","",IF(INDEX('Per Invoice'!R$2:R$801,$W52)="","",INDEX('Per Invoice'!R$2:R$801,$W52)))</f>
        <v/>
      </c>
      <c r="S52" s="7">
        <f>IF($W52="","",IF(INDEX('Per Invoice'!S$2:S$801,$W52)="","",INDEX('Per Invoice'!S$2:S$801,$W52)))</f>
        <v/>
      </c>
      <c r="T52" s="7">
        <f>IF($W52="","",IF(INDEX('Per Invoice'!T$2:T$801,$W52)="","",INDEX('Per Invoice'!T$2:T$801,$W52)))</f>
        <v/>
      </c>
      <c r="U52" s="7">
        <f>IF($W52="","",IF(INDEX('Per Invoice'!U$2:U$801,$W52)="","",INDEX('Per Invoice'!U$2:U$801,$W52)))</f>
        <v/>
      </c>
      <c r="V52" s="7">
        <f>IF($W52="","",IF(INDEX('Per Invoice'!V$2:V$801,$W52)="","",INDEX('Per Invoice'!V$2:V$801,$W52)))</f>
        <v/>
      </c>
      <c r="W52" s="16">
        <f>IFERROR(MATCH(Settings!$C$26&amp;"|"&amp;ROWS($W$2:$W52),'Per Invoice'!$X$2:$X$801,0),"")</f>
        <v/>
      </c>
    </row>
    <row r="53">
      <c r="A53">
        <f>IF($W53="","",IF(INDEX('Per Invoice'!A$2:A$801,$W53)="","",INDEX('Per Invoice'!A$2:A$801,$W53)))</f>
        <v/>
      </c>
      <c r="B53">
        <f>IF($W53="","",IF(INDEX('Per Invoice'!B$2:B$801,$W53)="","",INDEX('Per Invoice'!B$2:B$801,$W53)))</f>
        <v/>
      </c>
      <c r="C53">
        <f>IF($W53="","",IF(INDEX('Per Invoice'!C$2:C$801,$W53)="","",INDEX('Per Invoice'!C$2:C$801,$W53)))</f>
        <v/>
      </c>
      <c r="D53">
        <f>IF($W53="","",IF(INDEX('Per Invoice'!D$2:D$801,$W53)="","",INDEX('Per Invoice'!D$2:D$801,$W53)))</f>
        <v/>
      </c>
      <c r="E53">
        <f>IF($W53="","",IF(INDEX('Per Invoice'!E$2:E$801,$W53)="","",INDEX('Per Invoice'!E$2:E$801,$W53)))</f>
        <v/>
      </c>
      <c r="F53">
        <f>IF($W53="","",IF(INDEX('Per Invoice'!F$2:F$801,$W53)="","",INDEX('Per Invoice'!F$2:F$801,$W53)))</f>
        <v/>
      </c>
      <c r="G53">
        <f>IF($W53="","",IF(INDEX('Per Invoice'!G$2:G$801,$W53)="","",INDEX('Per Invoice'!G$2:G$801,$W53)))</f>
        <v/>
      </c>
      <c r="H53">
        <f>IF($W53="","",IF(INDEX('Per Invoice'!H$2:H$801,$W53)="","",INDEX('Per Invoice'!H$2:H$801,$W53)))</f>
        <v/>
      </c>
      <c r="I53">
        <f>IF($W53="","",IF(INDEX('Per Invoice'!I$2:I$801,$W53)="","",INDEX('Per Invoice'!I$2:I$801,$W53)))</f>
        <v/>
      </c>
      <c r="J53">
        <f>IF($W53="","",IF(INDEX('Per Invoice'!J$2:J$801,$W53)="","",INDEX('Per Invoice'!J$2:J$801,$W53)))</f>
        <v/>
      </c>
      <c r="K53" s="7">
        <f>IF($W53="","",IF(INDEX('Per Invoice'!K$2:K$801,$W53)="","",INDEX('Per Invoice'!K$2:K$801,$W53)))</f>
        <v/>
      </c>
      <c r="L53" s="14">
        <f>IF($W53="","",IF(INDEX('Per Invoice'!L$2:L$801,$W53)="","",INDEX('Per Invoice'!L$2:L$801,$W53)))</f>
        <v/>
      </c>
      <c r="M53">
        <f>IF($W53="","",IF(INDEX('Per Invoice'!M$2:M$801,$W53)="","",INDEX('Per Invoice'!M$2:M$801,$W53)))</f>
        <v/>
      </c>
      <c r="N53" s="7">
        <f>IF($W53="","",IF(INDEX('Per Invoice'!N$2:N$801,$W53)="","",INDEX('Per Invoice'!N$2:N$801,$W53)))</f>
        <v/>
      </c>
      <c r="O53" s="7">
        <f>IF($W53="","",IF(INDEX('Per Invoice'!O$2:O$801,$W53)="","",INDEX('Per Invoice'!O$2:O$801,$W53)))</f>
        <v/>
      </c>
      <c r="P53">
        <f>IF($W53="","",IF(INDEX('Per Invoice'!P$2:P$801,$W53)="","",INDEX('Per Invoice'!P$2:P$801,$W53)))</f>
        <v/>
      </c>
      <c r="Q53" s="7">
        <f>IF($W53="","",IF(INDEX('Per Invoice'!Q$2:Q$801,$W53)="","",INDEX('Per Invoice'!Q$2:Q$801,$W53)))</f>
        <v/>
      </c>
      <c r="R53" s="7">
        <f>IF($W53="","",IF(INDEX('Per Invoice'!R$2:R$801,$W53)="","",INDEX('Per Invoice'!R$2:R$801,$W53)))</f>
        <v/>
      </c>
      <c r="S53" s="7">
        <f>IF($W53="","",IF(INDEX('Per Invoice'!S$2:S$801,$W53)="","",INDEX('Per Invoice'!S$2:S$801,$W53)))</f>
        <v/>
      </c>
      <c r="T53" s="7">
        <f>IF($W53="","",IF(INDEX('Per Invoice'!T$2:T$801,$W53)="","",INDEX('Per Invoice'!T$2:T$801,$W53)))</f>
        <v/>
      </c>
      <c r="U53" s="7">
        <f>IF($W53="","",IF(INDEX('Per Invoice'!U$2:U$801,$W53)="","",INDEX('Per Invoice'!U$2:U$801,$W53)))</f>
        <v/>
      </c>
      <c r="V53" s="7">
        <f>IF($W53="","",IF(INDEX('Per Invoice'!V$2:V$801,$W53)="","",INDEX('Per Invoice'!V$2:V$801,$W53)))</f>
        <v/>
      </c>
      <c r="W53" s="16">
        <f>IFERROR(MATCH(Settings!$C$26&amp;"|"&amp;ROWS($W$2:$W53),'Per Invoice'!$X$2:$X$801,0),"")</f>
        <v/>
      </c>
    </row>
    <row r="54">
      <c r="A54">
        <f>IF($W54="","",IF(INDEX('Per Invoice'!A$2:A$801,$W54)="","",INDEX('Per Invoice'!A$2:A$801,$W54)))</f>
        <v/>
      </c>
      <c r="B54">
        <f>IF($W54="","",IF(INDEX('Per Invoice'!B$2:B$801,$W54)="","",INDEX('Per Invoice'!B$2:B$801,$W54)))</f>
        <v/>
      </c>
      <c r="C54">
        <f>IF($W54="","",IF(INDEX('Per Invoice'!C$2:C$801,$W54)="","",INDEX('Per Invoice'!C$2:C$801,$W54)))</f>
        <v/>
      </c>
      <c r="D54">
        <f>IF($W54="","",IF(INDEX('Per Invoice'!D$2:D$801,$W54)="","",INDEX('Per Invoice'!D$2:D$801,$W54)))</f>
        <v/>
      </c>
      <c r="E54">
        <f>IF($W54="","",IF(INDEX('Per Invoice'!E$2:E$801,$W54)="","",INDEX('Per Invoice'!E$2:E$801,$W54)))</f>
        <v/>
      </c>
      <c r="F54">
        <f>IF($W54="","",IF(INDEX('Per Invoice'!F$2:F$801,$W54)="","",INDEX('Per Invoice'!F$2:F$801,$W54)))</f>
        <v/>
      </c>
      <c r="G54">
        <f>IF($W54="","",IF(INDEX('Per Invoice'!G$2:G$801,$W54)="","",INDEX('Per Invoice'!G$2:G$801,$W54)))</f>
        <v/>
      </c>
      <c r="H54">
        <f>IF($W54="","",IF(INDEX('Per Invoice'!H$2:H$801,$W54)="","",INDEX('Per Invoice'!H$2:H$801,$W54)))</f>
        <v/>
      </c>
      <c r="I54">
        <f>IF($W54="","",IF(INDEX('Per Invoice'!I$2:I$801,$W54)="","",INDEX('Per Invoice'!I$2:I$801,$W54)))</f>
        <v/>
      </c>
      <c r="J54">
        <f>IF($W54="","",IF(INDEX('Per Invoice'!J$2:J$801,$W54)="","",INDEX('Per Invoice'!J$2:J$801,$W54)))</f>
        <v/>
      </c>
      <c r="K54" s="7">
        <f>IF($W54="","",IF(INDEX('Per Invoice'!K$2:K$801,$W54)="","",INDEX('Per Invoice'!K$2:K$801,$W54)))</f>
        <v/>
      </c>
      <c r="L54" s="14">
        <f>IF($W54="","",IF(INDEX('Per Invoice'!L$2:L$801,$W54)="","",INDEX('Per Invoice'!L$2:L$801,$W54)))</f>
        <v/>
      </c>
      <c r="M54">
        <f>IF($W54="","",IF(INDEX('Per Invoice'!M$2:M$801,$W54)="","",INDEX('Per Invoice'!M$2:M$801,$W54)))</f>
        <v/>
      </c>
      <c r="N54" s="7">
        <f>IF($W54="","",IF(INDEX('Per Invoice'!N$2:N$801,$W54)="","",INDEX('Per Invoice'!N$2:N$801,$W54)))</f>
        <v/>
      </c>
      <c r="O54" s="7">
        <f>IF($W54="","",IF(INDEX('Per Invoice'!O$2:O$801,$W54)="","",INDEX('Per Invoice'!O$2:O$801,$W54)))</f>
        <v/>
      </c>
      <c r="P54">
        <f>IF($W54="","",IF(INDEX('Per Invoice'!P$2:P$801,$W54)="","",INDEX('Per Invoice'!P$2:P$801,$W54)))</f>
        <v/>
      </c>
      <c r="Q54" s="7">
        <f>IF($W54="","",IF(INDEX('Per Invoice'!Q$2:Q$801,$W54)="","",INDEX('Per Invoice'!Q$2:Q$801,$W54)))</f>
        <v/>
      </c>
      <c r="R54" s="7">
        <f>IF($W54="","",IF(INDEX('Per Invoice'!R$2:R$801,$W54)="","",INDEX('Per Invoice'!R$2:R$801,$W54)))</f>
        <v/>
      </c>
      <c r="S54" s="7">
        <f>IF($W54="","",IF(INDEX('Per Invoice'!S$2:S$801,$W54)="","",INDEX('Per Invoice'!S$2:S$801,$W54)))</f>
        <v/>
      </c>
      <c r="T54" s="7">
        <f>IF($W54="","",IF(INDEX('Per Invoice'!T$2:T$801,$W54)="","",INDEX('Per Invoice'!T$2:T$801,$W54)))</f>
        <v/>
      </c>
      <c r="U54" s="7">
        <f>IF($W54="","",IF(INDEX('Per Invoice'!U$2:U$801,$W54)="","",INDEX('Per Invoice'!U$2:U$801,$W54)))</f>
        <v/>
      </c>
      <c r="V54" s="7">
        <f>IF($W54="","",IF(INDEX('Per Invoice'!V$2:V$801,$W54)="","",INDEX('Per Invoice'!V$2:V$801,$W54)))</f>
        <v/>
      </c>
      <c r="W54" s="16">
        <f>IFERROR(MATCH(Settings!$C$26&amp;"|"&amp;ROWS($W$2:$W54),'Per Invoice'!$X$2:$X$801,0),"")</f>
        <v/>
      </c>
    </row>
    <row r="55">
      <c r="A55">
        <f>IF($W55="","",IF(INDEX('Per Invoice'!A$2:A$801,$W55)="","",INDEX('Per Invoice'!A$2:A$801,$W55)))</f>
        <v/>
      </c>
      <c r="B55">
        <f>IF($W55="","",IF(INDEX('Per Invoice'!B$2:B$801,$W55)="","",INDEX('Per Invoice'!B$2:B$801,$W55)))</f>
        <v/>
      </c>
      <c r="C55">
        <f>IF($W55="","",IF(INDEX('Per Invoice'!C$2:C$801,$W55)="","",INDEX('Per Invoice'!C$2:C$801,$W55)))</f>
        <v/>
      </c>
      <c r="D55">
        <f>IF($W55="","",IF(INDEX('Per Invoice'!D$2:D$801,$W55)="","",INDEX('Per Invoice'!D$2:D$801,$W55)))</f>
        <v/>
      </c>
      <c r="E55">
        <f>IF($W55="","",IF(INDEX('Per Invoice'!E$2:E$801,$W55)="","",INDEX('Per Invoice'!E$2:E$801,$W55)))</f>
        <v/>
      </c>
      <c r="F55">
        <f>IF($W55="","",IF(INDEX('Per Invoice'!F$2:F$801,$W55)="","",INDEX('Per Invoice'!F$2:F$801,$W55)))</f>
        <v/>
      </c>
      <c r="G55">
        <f>IF($W55="","",IF(INDEX('Per Invoice'!G$2:G$801,$W55)="","",INDEX('Per Invoice'!G$2:G$801,$W55)))</f>
        <v/>
      </c>
      <c r="H55">
        <f>IF($W55="","",IF(INDEX('Per Invoice'!H$2:H$801,$W55)="","",INDEX('Per Invoice'!H$2:H$801,$W55)))</f>
        <v/>
      </c>
      <c r="I55">
        <f>IF($W55="","",IF(INDEX('Per Invoice'!I$2:I$801,$W55)="","",INDEX('Per Invoice'!I$2:I$801,$W55)))</f>
        <v/>
      </c>
      <c r="J55">
        <f>IF($W55="","",IF(INDEX('Per Invoice'!J$2:J$801,$W55)="","",INDEX('Per Invoice'!J$2:J$801,$W55)))</f>
        <v/>
      </c>
      <c r="K55" s="7">
        <f>IF($W55="","",IF(INDEX('Per Invoice'!K$2:K$801,$W55)="","",INDEX('Per Invoice'!K$2:K$801,$W55)))</f>
        <v/>
      </c>
      <c r="L55" s="14">
        <f>IF($W55="","",IF(INDEX('Per Invoice'!L$2:L$801,$W55)="","",INDEX('Per Invoice'!L$2:L$801,$W55)))</f>
        <v/>
      </c>
      <c r="M55">
        <f>IF($W55="","",IF(INDEX('Per Invoice'!M$2:M$801,$W55)="","",INDEX('Per Invoice'!M$2:M$801,$W55)))</f>
        <v/>
      </c>
      <c r="N55" s="7">
        <f>IF($W55="","",IF(INDEX('Per Invoice'!N$2:N$801,$W55)="","",INDEX('Per Invoice'!N$2:N$801,$W55)))</f>
        <v/>
      </c>
      <c r="O55" s="7">
        <f>IF($W55="","",IF(INDEX('Per Invoice'!O$2:O$801,$W55)="","",INDEX('Per Invoice'!O$2:O$801,$W55)))</f>
        <v/>
      </c>
      <c r="P55">
        <f>IF($W55="","",IF(INDEX('Per Invoice'!P$2:P$801,$W55)="","",INDEX('Per Invoice'!P$2:P$801,$W55)))</f>
        <v/>
      </c>
      <c r="Q55" s="7">
        <f>IF($W55="","",IF(INDEX('Per Invoice'!Q$2:Q$801,$W55)="","",INDEX('Per Invoice'!Q$2:Q$801,$W55)))</f>
        <v/>
      </c>
      <c r="R55" s="7">
        <f>IF($W55="","",IF(INDEX('Per Invoice'!R$2:R$801,$W55)="","",INDEX('Per Invoice'!R$2:R$801,$W55)))</f>
        <v/>
      </c>
      <c r="S55" s="7">
        <f>IF($W55="","",IF(INDEX('Per Invoice'!S$2:S$801,$W55)="","",INDEX('Per Invoice'!S$2:S$801,$W55)))</f>
        <v/>
      </c>
      <c r="T55" s="7">
        <f>IF($W55="","",IF(INDEX('Per Invoice'!T$2:T$801,$W55)="","",INDEX('Per Invoice'!T$2:T$801,$W55)))</f>
        <v/>
      </c>
      <c r="U55" s="7">
        <f>IF($W55="","",IF(INDEX('Per Invoice'!U$2:U$801,$W55)="","",INDEX('Per Invoice'!U$2:U$801,$W55)))</f>
        <v/>
      </c>
      <c r="V55" s="7">
        <f>IF($W55="","",IF(INDEX('Per Invoice'!V$2:V$801,$W55)="","",INDEX('Per Invoice'!V$2:V$801,$W55)))</f>
        <v/>
      </c>
      <c r="W55" s="16">
        <f>IFERROR(MATCH(Settings!$C$26&amp;"|"&amp;ROWS($W$2:$W55),'Per Invoice'!$X$2:$X$801,0),"")</f>
        <v/>
      </c>
    </row>
    <row r="56">
      <c r="A56">
        <f>IF($W56="","",IF(INDEX('Per Invoice'!A$2:A$801,$W56)="","",INDEX('Per Invoice'!A$2:A$801,$W56)))</f>
        <v/>
      </c>
      <c r="B56">
        <f>IF($W56="","",IF(INDEX('Per Invoice'!B$2:B$801,$W56)="","",INDEX('Per Invoice'!B$2:B$801,$W56)))</f>
        <v/>
      </c>
      <c r="C56">
        <f>IF($W56="","",IF(INDEX('Per Invoice'!C$2:C$801,$W56)="","",INDEX('Per Invoice'!C$2:C$801,$W56)))</f>
        <v/>
      </c>
      <c r="D56">
        <f>IF($W56="","",IF(INDEX('Per Invoice'!D$2:D$801,$W56)="","",INDEX('Per Invoice'!D$2:D$801,$W56)))</f>
        <v/>
      </c>
      <c r="E56">
        <f>IF($W56="","",IF(INDEX('Per Invoice'!E$2:E$801,$W56)="","",INDEX('Per Invoice'!E$2:E$801,$W56)))</f>
        <v/>
      </c>
      <c r="F56">
        <f>IF($W56="","",IF(INDEX('Per Invoice'!F$2:F$801,$W56)="","",INDEX('Per Invoice'!F$2:F$801,$W56)))</f>
        <v/>
      </c>
      <c r="G56">
        <f>IF($W56="","",IF(INDEX('Per Invoice'!G$2:G$801,$W56)="","",INDEX('Per Invoice'!G$2:G$801,$W56)))</f>
        <v/>
      </c>
      <c r="H56">
        <f>IF($W56="","",IF(INDEX('Per Invoice'!H$2:H$801,$W56)="","",INDEX('Per Invoice'!H$2:H$801,$W56)))</f>
        <v/>
      </c>
      <c r="I56">
        <f>IF($W56="","",IF(INDEX('Per Invoice'!I$2:I$801,$W56)="","",INDEX('Per Invoice'!I$2:I$801,$W56)))</f>
        <v/>
      </c>
      <c r="J56">
        <f>IF($W56="","",IF(INDEX('Per Invoice'!J$2:J$801,$W56)="","",INDEX('Per Invoice'!J$2:J$801,$W56)))</f>
        <v/>
      </c>
      <c r="K56" s="7">
        <f>IF($W56="","",IF(INDEX('Per Invoice'!K$2:K$801,$W56)="","",INDEX('Per Invoice'!K$2:K$801,$W56)))</f>
        <v/>
      </c>
      <c r="L56" s="14">
        <f>IF($W56="","",IF(INDEX('Per Invoice'!L$2:L$801,$W56)="","",INDEX('Per Invoice'!L$2:L$801,$W56)))</f>
        <v/>
      </c>
      <c r="M56">
        <f>IF($W56="","",IF(INDEX('Per Invoice'!M$2:M$801,$W56)="","",INDEX('Per Invoice'!M$2:M$801,$W56)))</f>
        <v/>
      </c>
      <c r="N56" s="7">
        <f>IF($W56="","",IF(INDEX('Per Invoice'!N$2:N$801,$W56)="","",INDEX('Per Invoice'!N$2:N$801,$W56)))</f>
        <v/>
      </c>
      <c r="O56" s="7">
        <f>IF($W56="","",IF(INDEX('Per Invoice'!O$2:O$801,$W56)="","",INDEX('Per Invoice'!O$2:O$801,$W56)))</f>
        <v/>
      </c>
      <c r="P56">
        <f>IF($W56="","",IF(INDEX('Per Invoice'!P$2:P$801,$W56)="","",INDEX('Per Invoice'!P$2:P$801,$W56)))</f>
        <v/>
      </c>
      <c r="Q56" s="7">
        <f>IF($W56="","",IF(INDEX('Per Invoice'!Q$2:Q$801,$W56)="","",INDEX('Per Invoice'!Q$2:Q$801,$W56)))</f>
        <v/>
      </c>
      <c r="R56" s="7">
        <f>IF($W56="","",IF(INDEX('Per Invoice'!R$2:R$801,$W56)="","",INDEX('Per Invoice'!R$2:R$801,$W56)))</f>
        <v/>
      </c>
      <c r="S56" s="7">
        <f>IF($W56="","",IF(INDEX('Per Invoice'!S$2:S$801,$W56)="","",INDEX('Per Invoice'!S$2:S$801,$W56)))</f>
        <v/>
      </c>
      <c r="T56" s="7">
        <f>IF($W56="","",IF(INDEX('Per Invoice'!T$2:T$801,$W56)="","",INDEX('Per Invoice'!T$2:T$801,$W56)))</f>
        <v/>
      </c>
      <c r="U56" s="7">
        <f>IF($W56="","",IF(INDEX('Per Invoice'!U$2:U$801,$W56)="","",INDEX('Per Invoice'!U$2:U$801,$W56)))</f>
        <v/>
      </c>
      <c r="V56" s="7">
        <f>IF($W56="","",IF(INDEX('Per Invoice'!V$2:V$801,$W56)="","",INDEX('Per Invoice'!V$2:V$801,$W56)))</f>
        <v/>
      </c>
      <c r="W56" s="16">
        <f>IFERROR(MATCH(Settings!$C$26&amp;"|"&amp;ROWS($W$2:$W56),'Per Invoice'!$X$2:$X$801,0),"")</f>
        <v/>
      </c>
    </row>
    <row r="57">
      <c r="A57">
        <f>IF($W57="","",IF(INDEX('Per Invoice'!A$2:A$801,$W57)="","",INDEX('Per Invoice'!A$2:A$801,$W57)))</f>
        <v/>
      </c>
      <c r="B57">
        <f>IF($W57="","",IF(INDEX('Per Invoice'!B$2:B$801,$W57)="","",INDEX('Per Invoice'!B$2:B$801,$W57)))</f>
        <v/>
      </c>
      <c r="C57">
        <f>IF($W57="","",IF(INDEX('Per Invoice'!C$2:C$801,$W57)="","",INDEX('Per Invoice'!C$2:C$801,$W57)))</f>
        <v/>
      </c>
      <c r="D57">
        <f>IF($W57="","",IF(INDEX('Per Invoice'!D$2:D$801,$W57)="","",INDEX('Per Invoice'!D$2:D$801,$W57)))</f>
        <v/>
      </c>
      <c r="E57">
        <f>IF($W57="","",IF(INDEX('Per Invoice'!E$2:E$801,$W57)="","",INDEX('Per Invoice'!E$2:E$801,$W57)))</f>
        <v/>
      </c>
      <c r="F57">
        <f>IF($W57="","",IF(INDEX('Per Invoice'!F$2:F$801,$W57)="","",INDEX('Per Invoice'!F$2:F$801,$W57)))</f>
        <v/>
      </c>
      <c r="G57">
        <f>IF($W57="","",IF(INDEX('Per Invoice'!G$2:G$801,$W57)="","",INDEX('Per Invoice'!G$2:G$801,$W57)))</f>
        <v/>
      </c>
      <c r="H57">
        <f>IF($W57="","",IF(INDEX('Per Invoice'!H$2:H$801,$W57)="","",INDEX('Per Invoice'!H$2:H$801,$W57)))</f>
        <v/>
      </c>
      <c r="I57">
        <f>IF($W57="","",IF(INDEX('Per Invoice'!I$2:I$801,$W57)="","",INDEX('Per Invoice'!I$2:I$801,$W57)))</f>
        <v/>
      </c>
      <c r="J57">
        <f>IF($W57="","",IF(INDEX('Per Invoice'!J$2:J$801,$W57)="","",INDEX('Per Invoice'!J$2:J$801,$W57)))</f>
        <v/>
      </c>
      <c r="K57" s="7">
        <f>IF($W57="","",IF(INDEX('Per Invoice'!K$2:K$801,$W57)="","",INDEX('Per Invoice'!K$2:K$801,$W57)))</f>
        <v/>
      </c>
      <c r="L57" s="14">
        <f>IF($W57="","",IF(INDEX('Per Invoice'!L$2:L$801,$W57)="","",INDEX('Per Invoice'!L$2:L$801,$W57)))</f>
        <v/>
      </c>
      <c r="M57">
        <f>IF($W57="","",IF(INDEX('Per Invoice'!M$2:M$801,$W57)="","",INDEX('Per Invoice'!M$2:M$801,$W57)))</f>
        <v/>
      </c>
      <c r="N57" s="7">
        <f>IF($W57="","",IF(INDEX('Per Invoice'!N$2:N$801,$W57)="","",INDEX('Per Invoice'!N$2:N$801,$W57)))</f>
        <v/>
      </c>
      <c r="O57" s="7">
        <f>IF($W57="","",IF(INDEX('Per Invoice'!O$2:O$801,$W57)="","",INDEX('Per Invoice'!O$2:O$801,$W57)))</f>
        <v/>
      </c>
      <c r="P57">
        <f>IF($W57="","",IF(INDEX('Per Invoice'!P$2:P$801,$W57)="","",INDEX('Per Invoice'!P$2:P$801,$W57)))</f>
        <v/>
      </c>
      <c r="Q57" s="7">
        <f>IF($W57="","",IF(INDEX('Per Invoice'!Q$2:Q$801,$W57)="","",INDEX('Per Invoice'!Q$2:Q$801,$W57)))</f>
        <v/>
      </c>
      <c r="R57" s="7">
        <f>IF($W57="","",IF(INDEX('Per Invoice'!R$2:R$801,$W57)="","",INDEX('Per Invoice'!R$2:R$801,$W57)))</f>
        <v/>
      </c>
      <c r="S57" s="7">
        <f>IF($W57="","",IF(INDEX('Per Invoice'!S$2:S$801,$W57)="","",INDEX('Per Invoice'!S$2:S$801,$W57)))</f>
        <v/>
      </c>
      <c r="T57" s="7">
        <f>IF($W57="","",IF(INDEX('Per Invoice'!T$2:T$801,$W57)="","",INDEX('Per Invoice'!T$2:T$801,$W57)))</f>
        <v/>
      </c>
      <c r="U57" s="7">
        <f>IF($W57="","",IF(INDEX('Per Invoice'!U$2:U$801,$W57)="","",INDEX('Per Invoice'!U$2:U$801,$W57)))</f>
        <v/>
      </c>
      <c r="V57" s="7">
        <f>IF($W57="","",IF(INDEX('Per Invoice'!V$2:V$801,$W57)="","",INDEX('Per Invoice'!V$2:V$801,$W57)))</f>
        <v/>
      </c>
      <c r="W57" s="16">
        <f>IFERROR(MATCH(Settings!$C$26&amp;"|"&amp;ROWS($W$2:$W57),'Per Invoice'!$X$2:$X$801,0),"")</f>
        <v/>
      </c>
    </row>
    <row r="58">
      <c r="A58">
        <f>IF($W58="","",IF(INDEX('Per Invoice'!A$2:A$801,$W58)="","",INDEX('Per Invoice'!A$2:A$801,$W58)))</f>
        <v/>
      </c>
      <c r="B58">
        <f>IF($W58="","",IF(INDEX('Per Invoice'!B$2:B$801,$W58)="","",INDEX('Per Invoice'!B$2:B$801,$W58)))</f>
        <v/>
      </c>
      <c r="C58">
        <f>IF($W58="","",IF(INDEX('Per Invoice'!C$2:C$801,$W58)="","",INDEX('Per Invoice'!C$2:C$801,$W58)))</f>
        <v/>
      </c>
      <c r="D58">
        <f>IF($W58="","",IF(INDEX('Per Invoice'!D$2:D$801,$W58)="","",INDEX('Per Invoice'!D$2:D$801,$W58)))</f>
        <v/>
      </c>
      <c r="E58">
        <f>IF($W58="","",IF(INDEX('Per Invoice'!E$2:E$801,$W58)="","",INDEX('Per Invoice'!E$2:E$801,$W58)))</f>
        <v/>
      </c>
      <c r="F58">
        <f>IF($W58="","",IF(INDEX('Per Invoice'!F$2:F$801,$W58)="","",INDEX('Per Invoice'!F$2:F$801,$W58)))</f>
        <v/>
      </c>
      <c r="G58">
        <f>IF($W58="","",IF(INDEX('Per Invoice'!G$2:G$801,$W58)="","",INDEX('Per Invoice'!G$2:G$801,$W58)))</f>
        <v/>
      </c>
      <c r="H58">
        <f>IF($W58="","",IF(INDEX('Per Invoice'!H$2:H$801,$W58)="","",INDEX('Per Invoice'!H$2:H$801,$W58)))</f>
        <v/>
      </c>
      <c r="I58">
        <f>IF($W58="","",IF(INDEX('Per Invoice'!I$2:I$801,$W58)="","",INDEX('Per Invoice'!I$2:I$801,$W58)))</f>
        <v/>
      </c>
      <c r="J58">
        <f>IF($W58="","",IF(INDEX('Per Invoice'!J$2:J$801,$W58)="","",INDEX('Per Invoice'!J$2:J$801,$W58)))</f>
        <v/>
      </c>
      <c r="K58" s="7">
        <f>IF($W58="","",IF(INDEX('Per Invoice'!K$2:K$801,$W58)="","",INDEX('Per Invoice'!K$2:K$801,$W58)))</f>
        <v/>
      </c>
      <c r="L58" s="14">
        <f>IF($W58="","",IF(INDEX('Per Invoice'!L$2:L$801,$W58)="","",INDEX('Per Invoice'!L$2:L$801,$W58)))</f>
        <v/>
      </c>
      <c r="M58">
        <f>IF($W58="","",IF(INDEX('Per Invoice'!M$2:M$801,$W58)="","",INDEX('Per Invoice'!M$2:M$801,$W58)))</f>
        <v/>
      </c>
      <c r="N58" s="7">
        <f>IF($W58="","",IF(INDEX('Per Invoice'!N$2:N$801,$W58)="","",INDEX('Per Invoice'!N$2:N$801,$W58)))</f>
        <v/>
      </c>
      <c r="O58" s="7">
        <f>IF($W58="","",IF(INDEX('Per Invoice'!O$2:O$801,$W58)="","",INDEX('Per Invoice'!O$2:O$801,$W58)))</f>
        <v/>
      </c>
      <c r="P58">
        <f>IF($W58="","",IF(INDEX('Per Invoice'!P$2:P$801,$W58)="","",INDEX('Per Invoice'!P$2:P$801,$W58)))</f>
        <v/>
      </c>
      <c r="Q58" s="7">
        <f>IF($W58="","",IF(INDEX('Per Invoice'!Q$2:Q$801,$W58)="","",INDEX('Per Invoice'!Q$2:Q$801,$W58)))</f>
        <v/>
      </c>
      <c r="R58" s="7">
        <f>IF($W58="","",IF(INDEX('Per Invoice'!R$2:R$801,$W58)="","",INDEX('Per Invoice'!R$2:R$801,$W58)))</f>
        <v/>
      </c>
      <c r="S58" s="7">
        <f>IF($W58="","",IF(INDEX('Per Invoice'!S$2:S$801,$W58)="","",INDEX('Per Invoice'!S$2:S$801,$W58)))</f>
        <v/>
      </c>
      <c r="T58" s="7">
        <f>IF($W58="","",IF(INDEX('Per Invoice'!T$2:T$801,$W58)="","",INDEX('Per Invoice'!T$2:T$801,$W58)))</f>
        <v/>
      </c>
      <c r="U58" s="7">
        <f>IF($W58="","",IF(INDEX('Per Invoice'!U$2:U$801,$W58)="","",INDEX('Per Invoice'!U$2:U$801,$W58)))</f>
        <v/>
      </c>
      <c r="V58" s="7">
        <f>IF($W58="","",IF(INDEX('Per Invoice'!V$2:V$801,$W58)="","",INDEX('Per Invoice'!V$2:V$801,$W58)))</f>
        <v/>
      </c>
      <c r="W58" s="16">
        <f>IFERROR(MATCH(Settings!$C$26&amp;"|"&amp;ROWS($W$2:$W58),'Per Invoice'!$X$2:$X$801,0),"")</f>
        <v/>
      </c>
    </row>
    <row r="59">
      <c r="A59">
        <f>IF($W59="","",IF(INDEX('Per Invoice'!A$2:A$801,$W59)="","",INDEX('Per Invoice'!A$2:A$801,$W59)))</f>
        <v/>
      </c>
      <c r="B59">
        <f>IF($W59="","",IF(INDEX('Per Invoice'!B$2:B$801,$W59)="","",INDEX('Per Invoice'!B$2:B$801,$W59)))</f>
        <v/>
      </c>
      <c r="C59">
        <f>IF($W59="","",IF(INDEX('Per Invoice'!C$2:C$801,$W59)="","",INDEX('Per Invoice'!C$2:C$801,$W59)))</f>
        <v/>
      </c>
      <c r="D59">
        <f>IF($W59="","",IF(INDEX('Per Invoice'!D$2:D$801,$W59)="","",INDEX('Per Invoice'!D$2:D$801,$W59)))</f>
        <v/>
      </c>
      <c r="E59">
        <f>IF($W59="","",IF(INDEX('Per Invoice'!E$2:E$801,$W59)="","",INDEX('Per Invoice'!E$2:E$801,$W59)))</f>
        <v/>
      </c>
      <c r="F59">
        <f>IF($W59="","",IF(INDEX('Per Invoice'!F$2:F$801,$W59)="","",INDEX('Per Invoice'!F$2:F$801,$W59)))</f>
        <v/>
      </c>
      <c r="G59">
        <f>IF($W59="","",IF(INDEX('Per Invoice'!G$2:G$801,$W59)="","",INDEX('Per Invoice'!G$2:G$801,$W59)))</f>
        <v/>
      </c>
      <c r="H59">
        <f>IF($W59="","",IF(INDEX('Per Invoice'!H$2:H$801,$W59)="","",INDEX('Per Invoice'!H$2:H$801,$W59)))</f>
        <v/>
      </c>
      <c r="I59">
        <f>IF($W59="","",IF(INDEX('Per Invoice'!I$2:I$801,$W59)="","",INDEX('Per Invoice'!I$2:I$801,$W59)))</f>
        <v/>
      </c>
      <c r="J59">
        <f>IF($W59="","",IF(INDEX('Per Invoice'!J$2:J$801,$W59)="","",INDEX('Per Invoice'!J$2:J$801,$W59)))</f>
        <v/>
      </c>
      <c r="K59" s="7">
        <f>IF($W59="","",IF(INDEX('Per Invoice'!K$2:K$801,$W59)="","",INDEX('Per Invoice'!K$2:K$801,$W59)))</f>
        <v/>
      </c>
      <c r="L59" s="14">
        <f>IF($W59="","",IF(INDEX('Per Invoice'!L$2:L$801,$W59)="","",INDEX('Per Invoice'!L$2:L$801,$W59)))</f>
        <v/>
      </c>
      <c r="M59">
        <f>IF($W59="","",IF(INDEX('Per Invoice'!M$2:M$801,$W59)="","",INDEX('Per Invoice'!M$2:M$801,$W59)))</f>
        <v/>
      </c>
      <c r="N59" s="7">
        <f>IF($W59="","",IF(INDEX('Per Invoice'!N$2:N$801,$W59)="","",INDEX('Per Invoice'!N$2:N$801,$W59)))</f>
        <v/>
      </c>
      <c r="O59" s="7">
        <f>IF($W59="","",IF(INDEX('Per Invoice'!O$2:O$801,$W59)="","",INDEX('Per Invoice'!O$2:O$801,$W59)))</f>
        <v/>
      </c>
      <c r="P59">
        <f>IF($W59="","",IF(INDEX('Per Invoice'!P$2:P$801,$W59)="","",INDEX('Per Invoice'!P$2:P$801,$W59)))</f>
        <v/>
      </c>
      <c r="Q59" s="7">
        <f>IF($W59="","",IF(INDEX('Per Invoice'!Q$2:Q$801,$W59)="","",INDEX('Per Invoice'!Q$2:Q$801,$W59)))</f>
        <v/>
      </c>
      <c r="R59" s="7">
        <f>IF($W59="","",IF(INDEX('Per Invoice'!R$2:R$801,$W59)="","",INDEX('Per Invoice'!R$2:R$801,$W59)))</f>
        <v/>
      </c>
      <c r="S59" s="7">
        <f>IF($W59="","",IF(INDEX('Per Invoice'!S$2:S$801,$W59)="","",INDEX('Per Invoice'!S$2:S$801,$W59)))</f>
        <v/>
      </c>
      <c r="T59" s="7">
        <f>IF($W59="","",IF(INDEX('Per Invoice'!T$2:T$801,$W59)="","",INDEX('Per Invoice'!T$2:T$801,$W59)))</f>
        <v/>
      </c>
      <c r="U59" s="7">
        <f>IF($W59="","",IF(INDEX('Per Invoice'!U$2:U$801,$W59)="","",INDEX('Per Invoice'!U$2:U$801,$W59)))</f>
        <v/>
      </c>
      <c r="V59" s="7">
        <f>IF($W59="","",IF(INDEX('Per Invoice'!V$2:V$801,$W59)="","",INDEX('Per Invoice'!V$2:V$801,$W59)))</f>
        <v/>
      </c>
      <c r="W59" s="16">
        <f>IFERROR(MATCH(Settings!$C$26&amp;"|"&amp;ROWS($W$2:$W59),'Per Invoice'!$X$2:$X$801,0),"")</f>
        <v/>
      </c>
    </row>
    <row r="60">
      <c r="A60">
        <f>IF($W60="","",IF(INDEX('Per Invoice'!A$2:A$801,$W60)="","",INDEX('Per Invoice'!A$2:A$801,$W60)))</f>
        <v/>
      </c>
      <c r="B60">
        <f>IF($W60="","",IF(INDEX('Per Invoice'!B$2:B$801,$W60)="","",INDEX('Per Invoice'!B$2:B$801,$W60)))</f>
        <v/>
      </c>
      <c r="C60">
        <f>IF($W60="","",IF(INDEX('Per Invoice'!C$2:C$801,$W60)="","",INDEX('Per Invoice'!C$2:C$801,$W60)))</f>
        <v/>
      </c>
      <c r="D60">
        <f>IF($W60="","",IF(INDEX('Per Invoice'!D$2:D$801,$W60)="","",INDEX('Per Invoice'!D$2:D$801,$W60)))</f>
        <v/>
      </c>
      <c r="E60">
        <f>IF($W60="","",IF(INDEX('Per Invoice'!E$2:E$801,$W60)="","",INDEX('Per Invoice'!E$2:E$801,$W60)))</f>
        <v/>
      </c>
      <c r="F60">
        <f>IF($W60="","",IF(INDEX('Per Invoice'!F$2:F$801,$W60)="","",INDEX('Per Invoice'!F$2:F$801,$W60)))</f>
        <v/>
      </c>
      <c r="G60">
        <f>IF($W60="","",IF(INDEX('Per Invoice'!G$2:G$801,$W60)="","",INDEX('Per Invoice'!G$2:G$801,$W60)))</f>
        <v/>
      </c>
      <c r="H60">
        <f>IF($W60="","",IF(INDEX('Per Invoice'!H$2:H$801,$W60)="","",INDEX('Per Invoice'!H$2:H$801,$W60)))</f>
        <v/>
      </c>
      <c r="I60">
        <f>IF($W60="","",IF(INDEX('Per Invoice'!I$2:I$801,$W60)="","",INDEX('Per Invoice'!I$2:I$801,$W60)))</f>
        <v/>
      </c>
      <c r="J60">
        <f>IF($W60="","",IF(INDEX('Per Invoice'!J$2:J$801,$W60)="","",INDEX('Per Invoice'!J$2:J$801,$W60)))</f>
        <v/>
      </c>
      <c r="K60" s="7">
        <f>IF($W60="","",IF(INDEX('Per Invoice'!K$2:K$801,$W60)="","",INDEX('Per Invoice'!K$2:K$801,$W60)))</f>
        <v/>
      </c>
      <c r="L60" s="14">
        <f>IF($W60="","",IF(INDEX('Per Invoice'!L$2:L$801,$W60)="","",INDEX('Per Invoice'!L$2:L$801,$W60)))</f>
        <v/>
      </c>
      <c r="M60">
        <f>IF($W60="","",IF(INDEX('Per Invoice'!M$2:M$801,$W60)="","",INDEX('Per Invoice'!M$2:M$801,$W60)))</f>
        <v/>
      </c>
      <c r="N60" s="7">
        <f>IF($W60="","",IF(INDEX('Per Invoice'!N$2:N$801,$W60)="","",INDEX('Per Invoice'!N$2:N$801,$W60)))</f>
        <v/>
      </c>
      <c r="O60" s="7">
        <f>IF($W60="","",IF(INDEX('Per Invoice'!O$2:O$801,$W60)="","",INDEX('Per Invoice'!O$2:O$801,$W60)))</f>
        <v/>
      </c>
      <c r="P60">
        <f>IF($W60="","",IF(INDEX('Per Invoice'!P$2:P$801,$W60)="","",INDEX('Per Invoice'!P$2:P$801,$W60)))</f>
        <v/>
      </c>
      <c r="Q60" s="7">
        <f>IF($W60="","",IF(INDEX('Per Invoice'!Q$2:Q$801,$W60)="","",INDEX('Per Invoice'!Q$2:Q$801,$W60)))</f>
        <v/>
      </c>
      <c r="R60" s="7">
        <f>IF($W60="","",IF(INDEX('Per Invoice'!R$2:R$801,$W60)="","",INDEX('Per Invoice'!R$2:R$801,$W60)))</f>
        <v/>
      </c>
      <c r="S60" s="7">
        <f>IF($W60="","",IF(INDEX('Per Invoice'!S$2:S$801,$W60)="","",INDEX('Per Invoice'!S$2:S$801,$W60)))</f>
        <v/>
      </c>
      <c r="T60" s="7">
        <f>IF($W60="","",IF(INDEX('Per Invoice'!T$2:T$801,$W60)="","",INDEX('Per Invoice'!T$2:T$801,$W60)))</f>
        <v/>
      </c>
      <c r="U60" s="7">
        <f>IF($W60="","",IF(INDEX('Per Invoice'!U$2:U$801,$W60)="","",INDEX('Per Invoice'!U$2:U$801,$W60)))</f>
        <v/>
      </c>
      <c r="V60" s="7">
        <f>IF($W60="","",IF(INDEX('Per Invoice'!V$2:V$801,$W60)="","",INDEX('Per Invoice'!V$2:V$801,$W60)))</f>
        <v/>
      </c>
      <c r="W60" s="16">
        <f>IFERROR(MATCH(Settings!$C$26&amp;"|"&amp;ROWS($W$2:$W60),'Per Invoice'!$X$2:$X$801,0),"")</f>
        <v/>
      </c>
    </row>
    <row r="61">
      <c r="A61">
        <f>IF($W61="","",IF(INDEX('Per Invoice'!A$2:A$801,$W61)="","",INDEX('Per Invoice'!A$2:A$801,$W61)))</f>
        <v/>
      </c>
      <c r="B61">
        <f>IF($W61="","",IF(INDEX('Per Invoice'!B$2:B$801,$W61)="","",INDEX('Per Invoice'!B$2:B$801,$W61)))</f>
        <v/>
      </c>
      <c r="C61">
        <f>IF($W61="","",IF(INDEX('Per Invoice'!C$2:C$801,$W61)="","",INDEX('Per Invoice'!C$2:C$801,$W61)))</f>
        <v/>
      </c>
      <c r="D61">
        <f>IF($W61="","",IF(INDEX('Per Invoice'!D$2:D$801,$W61)="","",INDEX('Per Invoice'!D$2:D$801,$W61)))</f>
        <v/>
      </c>
      <c r="E61">
        <f>IF($W61="","",IF(INDEX('Per Invoice'!E$2:E$801,$W61)="","",INDEX('Per Invoice'!E$2:E$801,$W61)))</f>
        <v/>
      </c>
      <c r="F61">
        <f>IF($W61="","",IF(INDEX('Per Invoice'!F$2:F$801,$W61)="","",INDEX('Per Invoice'!F$2:F$801,$W61)))</f>
        <v/>
      </c>
      <c r="G61">
        <f>IF($W61="","",IF(INDEX('Per Invoice'!G$2:G$801,$W61)="","",INDEX('Per Invoice'!G$2:G$801,$W61)))</f>
        <v/>
      </c>
      <c r="H61">
        <f>IF($W61="","",IF(INDEX('Per Invoice'!H$2:H$801,$W61)="","",INDEX('Per Invoice'!H$2:H$801,$W61)))</f>
        <v/>
      </c>
      <c r="I61">
        <f>IF($W61="","",IF(INDEX('Per Invoice'!I$2:I$801,$W61)="","",INDEX('Per Invoice'!I$2:I$801,$W61)))</f>
        <v/>
      </c>
      <c r="J61">
        <f>IF($W61="","",IF(INDEX('Per Invoice'!J$2:J$801,$W61)="","",INDEX('Per Invoice'!J$2:J$801,$W61)))</f>
        <v/>
      </c>
      <c r="K61" s="7">
        <f>IF($W61="","",IF(INDEX('Per Invoice'!K$2:K$801,$W61)="","",INDEX('Per Invoice'!K$2:K$801,$W61)))</f>
        <v/>
      </c>
      <c r="L61" s="14">
        <f>IF($W61="","",IF(INDEX('Per Invoice'!L$2:L$801,$W61)="","",INDEX('Per Invoice'!L$2:L$801,$W61)))</f>
        <v/>
      </c>
      <c r="M61">
        <f>IF($W61="","",IF(INDEX('Per Invoice'!M$2:M$801,$W61)="","",INDEX('Per Invoice'!M$2:M$801,$W61)))</f>
        <v/>
      </c>
      <c r="N61" s="7">
        <f>IF($W61="","",IF(INDEX('Per Invoice'!N$2:N$801,$W61)="","",INDEX('Per Invoice'!N$2:N$801,$W61)))</f>
        <v/>
      </c>
      <c r="O61" s="7">
        <f>IF($W61="","",IF(INDEX('Per Invoice'!O$2:O$801,$W61)="","",INDEX('Per Invoice'!O$2:O$801,$W61)))</f>
        <v/>
      </c>
      <c r="P61">
        <f>IF($W61="","",IF(INDEX('Per Invoice'!P$2:P$801,$W61)="","",INDEX('Per Invoice'!P$2:P$801,$W61)))</f>
        <v/>
      </c>
      <c r="Q61" s="7">
        <f>IF($W61="","",IF(INDEX('Per Invoice'!Q$2:Q$801,$W61)="","",INDEX('Per Invoice'!Q$2:Q$801,$W61)))</f>
        <v/>
      </c>
      <c r="R61" s="7">
        <f>IF($W61="","",IF(INDEX('Per Invoice'!R$2:R$801,$W61)="","",INDEX('Per Invoice'!R$2:R$801,$W61)))</f>
        <v/>
      </c>
      <c r="S61" s="7">
        <f>IF($W61="","",IF(INDEX('Per Invoice'!S$2:S$801,$W61)="","",INDEX('Per Invoice'!S$2:S$801,$W61)))</f>
        <v/>
      </c>
      <c r="T61" s="7">
        <f>IF($W61="","",IF(INDEX('Per Invoice'!T$2:T$801,$W61)="","",INDEX('Per Invoice'!T$2:T$801,$W61)))</f>
        <v/>
      </c>
      <c r="U61" s="7">
        <f>IF($W61="","",IF(INDEX('Per Invoice'!U$2:U$801,$W61)="","",INDEX('Per Invoice'!U$2:U$801,$W61)))</f>
        <v/>
      </c>
      <c r="V61" s="7">
        <f>IF($W61="","",IF(INDEX('Per Invoice'!V$2:V$801,$W61)="","",INDEX('Per Invoice'!V$2:V$801,$W61)))</f>
        <v/>
      </c>
      <c r="W61" s="16">
        <f>IFERROR(MATCH(Settings!$C$26&amp;"|"&amp;ROWS($W$2:$W61),'Per Invoice'!$X$2:$X$801,0),"")</f>
        <v/>
      </c>
    </row>
    <row r="62">
      <c r="A62">
        <f>IF($W62="","",IF(INDEX('Per Invoice'!A$2:A$801,$W62)="","",INDEX('Per Invoice'!A$2:A$801,$W62)))</f>
        <v/>
      </c>
      <c r="B62">
        <f>IF($W62="","",IF(INDEX('Per Invoice'!B$2:B$801,$W62)="","",INDEX('Per Invoice'!B$2:B$801,$W62)))</f>
        <v/>
      </c>
      <c r="C62">
        <f>IF($W62="","",IF(INDEX('Per Invoice'!C$2:C$801,$W62)="","",INDEX('Per Invoice'!C$2:C$801,$W62)))</f>
        <v/>
      </c>
      <c r="D62">
        <f>IF($W62="","",IF(INDEX('Per Invoice'!D$2:D$801,$W62)="","",INDEX('Per Invoice'!D$2:D$801,$W62)))</f>
        <v/>
      </c>
      <c r="E62">
        <f>IF($W62="","",IF(INDEX('Per Invoice'!E$2:E$801,$W62)="","",INDEX('Per Invoice'!E$2:E$801,$W62)))</f>
        <v/>
      </c>
      <c r="F62">
        <f>IF($W62="","",IF(INDEX('Per Invoice'!F$2:F$801,$W62)="","",INDEX('Per Invoice'!F$2:F$801,$W62)))</f>
        <v/>
      </c>
      <c r="G62">
        <f>IF($W62="","",IF(INDEX('Per Invoice'!G$2:G$801,$W62)="","",INDEX('Per Invoice'!G$2:G$801,$W62)))</f>
        <v/>
      </c>
      <c r="H62">
        <f>IF($W62="","",IF(INDEX('Per Invoice'!H$2:H$801,$W62)="","",INDEX('Per Invoice'!H$2:H$801,$W62)))</f>
        <v/>
      </c>
      <c r="I62">
        <f>IF($W62="","",IF(INDEX('Per Invoice'!I$2:I$801,$W62)="","",INDEX('Per Invoice'!I$2:I$801,$W62)))</f>
        <v/>
      </c>
      <c r="J62">
        <f>IF($W62="","",IF(INDEX('Per Invoice'!J$2:J$801,$W62)="","",INDEX('Per Invoice'!J$2:J$801,$W62)))</f>
        <v/>
      </c>
      <c r="K62" s="7">
        <f>IF($W62="","",IF(INDEX('Per Invoice'!K$2:K$801,$W62)="","",INDEX('Per Invoice'!K$2:K$801,$W62)))</f>
        <v/>
      </c>
      <c r="L62" s="14">
        <f>IF($W62="","",IF(INDEX('Per Invoice'!L$2:L$801,$W62)="","",INDEX('Per Invoice'!L$2:L$801,$W62)))</f>
        <v/>
      </c>
      <c r="M62">
        <f>IF($W62="","",IF(INDEX('Per Invoice'!M$2:M$801,$W62)="","",INDEX('Per Invoice'!M$2:M$801,$W62)))</f>
        <v/>
      </c>
      <c r="N62" s="7">
        <f>IF($W62="","",IF(INDEX('Per Invoice'!N$2:N$801,$W62)="","",INDEX('Per Invoice'!N$2:N$801,$W62)))</f>
        <v/>
      </c>
      <c r="O62" s="7">
        <f>IF($W62="","",IF(INDEX('Per Invoice'!O$2:O$801,$W62)="","",INDEX('Per Invoice'!O$2:O$801,$W62)))</f>
        <v/>
      </c>
      <c r="P62">
        <f>IF($W62="","",IF(INDEX('Per Invoice'!P$2:P$801,$W62)="","",INDEX('Per Invoice'!P$2:P$801,$W62)))</f>
        <v/>
      </c>
      <c r="Q62" s="7">
        <f>IF($W62="","",IF(INDEX('Per Invoice'!Q$2:Q$801,$W62)="","",INDEX('Per Invoice'!Q$2:Q$801,$W62)))</f>
        <v/>
      </c>
      <c r="R62" s="7">
        <f>IF($W62="","",IF(INDEX('Per Invoice'!R$2:R$801,$W62)="","",INDEX('Per Invoice'!R$2:R$801,$W62)))</f>
        <v/>
      </c>
      <c r="S62" s="7">
        <f>IF($W62="","",IF(INDEX('Per Invoice'!S$2:S$801,$W62)="","",INDEX('Per Invoice'!S$2:S$801,$W62)))</f>
        <v/>
      </c>
      <c r="T62" s="7">
        <f>IF($W62="","",IF(INDEX('Per Invoice'!T$2:T$801,$W62)="","",INDEX('Per Invoice'!T$2:T$801,$W62)))</f>
        <v/>
      </c>
      <c r="U62" s="7">
        <f>IF($W62="","",IF(INDEX('Per Invoice'!U$2:U$801,$W62)="","",INDEX('Per Invoice'!U$2:U$801,$W62)))</f>
        <v/>
      </c>
      <c r="V62" s="7">
        <f>IF($W62="","",IF(INDEX('Per Invoice'!V$2:V$801,$W62)="","",INDEX('Per Invoice'!V$2:V$801,$W62)))</f>
        <v/>
      </c>
      <c r="W62" s="16">
        <f>IFERROR(MATCH(Settings!$C$26&amp;"|"&amp;ROWS($W$2:$W62),'Per Invoice'!$X$2:$X$801,0),"")</f>
        <v/>
      </c>
    </row>
    <row r="63">
      <c r="A63">
        <f>IF($W63="","",IF(INDEX('Per Invoice'!A$2:A$801,$W63)="","",INDEX('Per Invoice'!A$2:A$801,$W63)))</f>
        <v/>
      </c>
      <c r="B63">
        <f>IF($W63="","",IF(INDEX('Per Invoice'!B$2:B$801,$W63)="","",INDEX('Per Invoice'!B$2:B$801,$W63)))</f>
        <v/>
      </c>
      <c r="C63">
        <f>IF($W63="","",IF(INDEX('Per Invoice'!C$2:C$801,$W63)="","",INDEX('Per Invoice'!C$2:C$801,$W63)))</f>
        <v/>
      </c>
      <c r="D63">
        <f>IF($W63="","",IF(INDEX('Per Invoice'!D$2:D$801,$W63)="","",INDEX('Per Invoice'!D$2:D$801,$W63)))</f>
        <v/>
      </c>
      <c r="E63">
        <f>IF($W63="","",IF(INDEX('Per Invoice'!E$2:E$801,$W63)="","",INDEX('Per Invoice'!E$2:E$801,$W63)))</f>
        <v/>
      </c>
      <c r="F63">
        <f>IF($W63="","",IF(INDEX('Per Invoice'!F$2:F$801,$W63)="","",INDEX('Per Invoice'!F$2:F$801,$W63)))</f>
        <v/>
      </c>
      <c r="G63">
        <f>IF($W63="","",IF(INDEX('Per Invoice'!G$2:G$801,$W63)="","",INDEX('Per Invoice'!G$2:G$801,$W63)))</f>
        <v/>
      </c>
      <c r="H63">
        <f>IF($W63="","",IF(INDEX('Per Invoice'!H$2:H$801,$W63)="","",INDEX('Per Invoice'!H$2:H$801,$W63)))</f>
        <v/>
      </c>
      <c r="I63">
        <f>IF($W63="","",IF(INDEX('Per Invoice'!I$2:I$801,$W63)="","",INDEX('Per Invoice'!I$2:I$801,$W63)))</f>
        <v/>
      </c>
      <c r="J63">
        <f>IF($W63="","",IF(INDEX('Per Invoice'!J$2:J$801,$W63)="","",INDEX('Per Invoice'!J$2:J$801,$W63)))</f>
        <v/>
      </c>
      <c r="K63" s="7">
        <f>IF($W63="","",IF(INDEX('Per Invoice'!K$2:K$801,$W63)="","",INDEX('Per Invoice'!K$2:K$801,$W63)))</f>
        <v/>
      </c>
      <c r="L63" s="14">
        <f>IF($W63="","",IF(INDEX('Per Invoice'!L$2:L$801,$W63)="","",INDEX('Per Invoice'!L$2:L$801,$W63)))</f>
        <v/>
      </c>
      <c r="M63">
        <f>IF($W63="","",IF(INDEX('Per Invoice'!M$2:M$801,$W63)="","",INDEX('Per Invoice'!M$2:M$801,$W63)))</f>
        <v/>
      </c>
      <c r="N63" s="7">
        <f>IF($W63="","",IF(INDEX('Per Invoice'!N$2:N$801,$W63)="","",INDEX('Per Invoice'!N$2:N$801,$W63)))</f>
        <v/>
      </c>
      <c r="O63" s="7">
        <f>IF($W63="","",IF(INDEX('Per Invoice'!O$2:O$801,$W63)="","",INDEX('Per Invoice'!O$2:O$801,$W63)))</f>
        <v/>
      </c>
      <c r="P63">
        <f>IF($W63="","",IF(INDEX('Per Invoice'!P$2:P$801,$W63)="","",INDEX('Per Invoice'!P$2:P$801,$W63)))</f>
        <v/>
      </c>
      <c r="Q63" s="7">
        <f>IF($W63="","",IF(INDEX('Per Invoice'!Q$2:Q$801,$W63)="","",INDEX('Per Invoice'!Q$2:Q$801,$W63)))</f>
        <v/>
      </c>
      <c r="R63" s="7">
        <f>IF($W63="","",IF(INDEX('Per Invoice'!R$2:R$801,$W63)="","",INDEX('Per Invoice'!R$2:R$801,$W63)))</f>
        <v/>
      </c>
      <c r="S63" s="7">
        <f>IF($W63="","",IF(INDEX('Per Invoice'!S$2:S$801,$W63)="","",INDEX('Per Invoice'!S$2:S$801,$W63)))</f>
        <v/>
      </c>
      <c r="T63" s="7">
        <f>IF($W63="","",IF(INDEX('Per Invoice'!T$2:T$801,$W63)="","",INDEX('Per Invoice'!T$2:T$801,$W63)))</f>
        <v/>
      </c>
      <c r="U63" s="7">
        <f>IF($W63="","",IF(INDEX('Per Invoice'!U$2:U$801,$W63)="","",INDEX('Per Invoice'!U$2:U$801,$W63)))</f>
        <v/>
      </c>
      <c r="V63" s="7">
        <f>IF($W63="","",IF(INDEX('Per Invoice'!V$2:V$801,$W63)="","",INDEX('Per Invoice'!V$2:V$801,$W63)))</f>
        <v/>
      </c>
      <c r="W63" s="16">
        <f>IFERROR(MATCH(Settings!$C$26&amp;"|"&amp;ROWS($W$2:$W63),'Per Invoice'!$X$2:$X$801,0),"")</f>
        <v/>
      </c>
    </row>
    <row r="64">
      <c r="A64">
        <f>IF($W64="","",IF(INDEX('Per Invoice'!A$2:A$801,$W64)="","",INDEX('Per Invoice'!A$2:A$801,$W64)))</f>
        <v/>
      </c>
      <c r="B64">
        <f>IF($W64="","",IF(INDEX('Per Invoice'!B$2:B$801,$W64)="","",INDEX('Per Invoice'!B$2:B$801,$W64)))</f>
        <v/>
      </c>
      <c r="C64">
        <f>IF($W64="","",IF(INDEX('Per Invoice'!C$2:C$801,$W64)="","",INDEX('Per Invoice'!C$2:C$801,$W64)))</f>
        <v/>
      </c>
      <c r="D64">
        <f>IF($W64="","",IF(INDEX('Per Invoice'!D$2:D$801,$W64)="","",INDEX('Per Invoice'!D$2:D$801,$W64)))</f>
        <v/>
      </c>
      <c r="E64">
        <f>IF($W64="","",IF(INDEX('Per Invoice'!E$2:E$801,$W64)="","",INDEX('Per Invoice'!E$2:E$801,$W64)))</f>
        <v/>
      </c>
      <c r="F64">
        <f>IF($W64="","",IF(INDEX('Per Invoice'!F$2:F$801,$W64)="","",INDEX('Per Invoice'!F$2:F$801,$W64)))</f>
        <v/>
      </c>
      <c r="G64">
        <f>IF($W64="","",IF(INDEX('Per Invoice'!G$2:G$801,$W64)="","",INDEX('Per Invoice'!G$2:G$801,$W64)))</f>
        <v/>
      </c>
      <c r="H64">
        <f>IF($W64="","",IF(INDEX('Per Invoice'!H$2:H$801,$W64)="","",INDEX('Per Invoice'!H$2:H$801,$W64)))</f>
        <v/>
      </c>
      <c r="I64">
        <f>IF($W64="","",IF(INDEX('Per Invoice'!I$2:I$801,$W64)="","",INDEX('Per Invoice'!I$2:I$801,$W64)))</f>
        <v/>
      </c>
      <c r="J64">
        <f>IF($W64="","",IF(INDEX('Per Invoice'!J$2:J$801,$W64)="","",INDEX('Per Invoice'!J$2:J$801,$W64)))</f>
        <v/>
      </c>
      <c r="K64" s="7">
        <f>IF($W64="","",IF(INDEX('Per Invoice'!K$2:K$801,$W64)="","",INDEX('Per Invoice'!K$2:K$801,$W64)))</f>
        <v/>
      </c>
      <c r="L64" s="14">
        <f>IF($W64="","",IF(INDEX('Per Invoice'!L$2:L$801,$W64)="","",INDEX('Per Invoice'!L$2:L$801,$W64)))</f>
        <v/>
      </c>
      <c r="M64">
        <f>IF($W64="","",IF(INDEX('Per Invoice'!M$2:M$801,$W64)="","",INDEX('Per Invoice'!M$2:M$801,$W64)))</f>
        <v/>
      </c>
      <c r="N64" s="7">
        <f>IF($W64="","",IF(INDEX('Per Invoice'!N$2:N$801,$W64)="","",INDEX('Per Invoice'!N$2:N$801,$W64)))</f>
        <v/>
      </c>
      <c r="O64" s="7">
        <f>IF($W64="","",IF(INDEX('Per Invoice'!O$2:O$801,$W64)="","",INDEX('Per Invoice'!O$2:O$801,$W64)))</f>
        <v/>
      </c>
      <c r="P64">
        <f>IF($W64="","",IF(INDEX('Per Invoice'!P$2:P$801,$W64)="","",INDEX('Per Invoice'!P$2:P$801,$W64)))</f>
        <v/>
      </c>
      <c r="Q64" s="7">
        <f>IF($W64="","",IF(INDEX('Per Invoice'!Q$2:Q$801,$W64)="","",INDEX('Per Invoice'!Q$2:Q$801,$W64)))</f>
        <v/>
      </c>
      <c r="R64" s="7">
        <f>IF($W64="","",IF(INDEX('Per Invoice'!R$2:R$801,$W64)="","",INDEX('Per Invoice'!R$2:R$801,$W64)))</f>
        <v/>
      </c>
      <c r="S64" s="7">
        <f>IF($W64="","",IF(INDEX('Per Invoice'!S$2:S$801,$W64)="","",INDEX('Per Invoice'!S$2:S$801,$W64)))</f>
        <v/>
      </c>
      <c r="T64" s="7">
        <f>IF($W64="","",IF(INDEX('Per Invoice'!T$2:T$801,$W64)="","",INDEX('Per Invoice'!T$2:T$801,$W64)))</f>
        <v/>
      </c>
      <c r="U64" s="7">
        <f>IF($W64="","",IF(INDEX('Per Invoice'!U$2:U$801,$W64)="","",INDEX('Per Invoice'!U$2:U$801,$W64)))</f>
        <v/>
      </c>
      <c r="V64" s="7">
        <f>IF($W64="","",IF(INDEX('Per Invoice'!V$2:V$801,$W64)="","",INDEX('Per Invoice'!V$2:V$801,$W64)))</f>
        <v/>
      </c>
      <c r="W64" s="16">
        <f>IFERROR(MATCH(Settings!$C$26&amp;"|"&amp;ROWS($W$2:$W64),'Per Invoice'!$X$2:$X$801,0),"")</f>
        <v/>
      </c>
    </row>
    <row r="65">
      <c r="A65">
        <f>IF($W65="","",IF(INDEX('Per Invoice'!A$2:A$801,$W65)="","",INDEX('Per Invoice'!A$2:A$801,$W65)))</f>
        <v/>
      </c>
      <c r="B65">
        <f>IF($W65="","",IF(INDEX('Per Invoice'!B$2:B$801,$W65)="","",INDEX('Per Invoice'!B$2:B$801,$W65)))</f>
        <v/>
      </c>
      <c r="C65">
        <f>IF($W65="","",IF(INDEX('Per Invoice'!C$2:C$801,$W65)="","",INDEX('Per Invoice'!C$2:C$801,$W65)))</f>
        <v/>
      </c>
      <c r="D65">
        <f>IF($W65="","",IF(INDEX('Per Invoice'!D$2:D$801,$W65)="","",INDEX('Per Invoice'!D$2:D$801,$W65)))</f>
        <v/>
      </c>
      <c r="E65">
        <f>IF($W65="","",IF(INDEX('Per Invoice'!E$2:E$801,$W65)="","",INDEX('Per Invoice'!E$2:E$801,$W65)))</f>
        <v/>
      </c>
      <c r="F65">
        <f>IF($W65="","",IF(INDEX('Per Invoice'!F$2:F$801,$W65)="","",INDEX('Per Invoice'!F$2:F$801,$W65)))</f>
        <v/>
      </c>
      <c r="G65">
        <f>IF($W65="","",IF(INDEX('Per Invoice'!G$2:G$801,$W65)="","",INDEX('Per Invoice'!G$2:G$801,$W65)))</f>
        <v/>
      </c>
      <c r="H65">
        <f>IF($W65="","",IF(INDEX('Per Invoice'!H$2:H$801,$W65)="","",INDEX('Per Invoice'!H$2:H$801,$W65)))</f>
        <v/>
      </c>
      <c r="I65">
        <f>IF($W65="","",IF(INDEX('Per Invoice'!I$2:I$801,$W65)="","",INDEX('Per Invoice'!I$2:I$801,$W65)))</f>
        <v/>
      </c>
      <c r="J65">
        <f>IF($W65="","",IF(INDEX('Per Invoice'!J$2:J$801,$W65)="","",INDEX('Per Invoice'!J$2:J$801,$W65)))</f>
        <v/>
      </c>
      <c r="K65" s="7">
        <f>IF($W65="","",IF(INDEX('Per Invoice'!K$2:K$801,$W65)="","",INDEX('Per Invoice'!K$2:K$801,$W65)))</f>
        <v/>
      </c>
      <c r="L65" s="14">
        <f>IF($W65="","",IF(INDEX('Per Invoice'!L$2:L$801,$W65)="","",INDEX('Per Invoice'!L$2:L$801,$W65)))</f>
        <v/>
      </c>
      <c r="M65">
        <f>IF($W65="","",IF(INDEX('Per Invoice'!M$2:M$801,$W65)="","",INDEX('Per Invoice'!M$2:M$801,$W65)))</f>
        <v/>
      </c>
      <c r="N65" s="7">
        <f>IF($W65="","",IF(INDEX('Per Invoice'!N$2:N$801,$W65)="","",INDEX('Per Invoice'!N$2:N$801,$W65)))</f>
        <v/>
      </c>
      <c r="O65" s="7">
        <f>IF($W65="","",IF(INDEX('Per Invoice'!O$2:O$801,$W65)="","",INDEX('Per Invoice'!O$2:O$801,$W65)))</f>
        <v/>
      </c>
      <c r="P65">
        <f>IF($W65="","",IF(INDEX('Per Invoice'!P$2:P$801,$W65)="","",INDEX('Per Invoice'!P$2:P$801,$W65)))</f>
        <v/>
      </c>
      <c r="Q65" s="7">
        <f>IF($W65="","",IF(INDEX('Per Invoice'!Q$2:Q$801,$W65)="","",INDEX('Per Invoice'!Q$2:Q$801,$W65)))</f>
        <v/>
      </c>
      <c r="R65" s="7">
        <f>IF($W65="","",IF(INDEX('Per Invoice'!R$2:R$801,$W65)="","",INDEX('Per Invoice'!R$2:R$801,$W65)))</f>
        <v/>
      </c>
      <c r="S65" s="7">
        <f>IF($W65="","",IF(INDEX('Per Invoice'!S$2:S$801,$W65)="","",INDEX('Per Invoice'!S$2:S$801,$W65)))</f>
        <v/>
      </c>
      <c r="T65" s="7">
        <f>IF($W65="","",IF(INDEX('Per Invoice'!T$2:T$801,$W65)="","",INDEX('Per Invoice'!T$2:T$801,$W65)))</f>
        <v/>
      </c>
      <c r="U65" s="7">
        <f>IF($W65="","",IF(INDEX('Per Invoice'!U$2:U$801,$W65)="","",INDEX('Per Invoice'!U$2:U$801,$W65)))</f>
        <v/>
      </c>
      <c r="V65" s="7">
        <f>IF($W65="","",IF(INDEX('Per Invoice'!V$2:V$801,$W65)="","",INDEX('Per Invoice'!V$2:V$801,$W65)))</f>
        <v/>
      </c>
      <c r="W65" s="16">
        <f>IFERROR(MATCH(Settings!$C$26&amp;"|"&amp;ROWS($W$2:$W65),'Per Invoice'!$X$2:$X$801,0),"")</f>
        <v/>
      </c>
    </row>
    <row r="66">
      <c r="A66">
        <f>IF($W66="","",IF(INDEX('Per Invoice'!A$2:A$801,$W66)="","",INDEX('Per Invoice'!A$2:A$801,$W66)))</f>
        <v/>
      </c>
      <c r="B66">
        <f>IF($W66="","",IF(INDEX('Per Invoice'!B$2:B$801,$W66)="","",INDEX('Per Invoice'!B$2:B$801,$W66)))</f>
        <v/>
      </c>
      <c r="C66">
        <f>IF($W66="","",IF(INDEX('Per Invoice'!C$2:C$801,$W66)="","",INDEX('Per Invoice'!C$2:C$801,$W66)))</f>
        <v/>
      </c>
      <c r="D66">
        <f>IF($W66="","",IF(INDEX('Per Invoice'!D$2:D$801,$W66)="","",INDEX('Per Invoice'!D$2:D$801,$W66)))</f>
        <v/>
      </c>
      <c r="E66">
        <f>IF($W66="","",IF(INDEX('Per Invoice'!E$2:E$801,$W66)="","",INDEX('Per Invoice'!E$2:E$801,$W66)))</f>
        <v/>
      </c>
      <c r="F66">
        <f>IF($W66="","",IF(INDEX('Per Invoice'!F$2:F$801,$W66)="","",INDEX('Per Invoice'!F$2:F$801,$W66)))</f>
        <v/>
      </c>
      <c r="G66">
        <f>IF($W66="","",IF(INDEX('Per Invoice'!G$2:G$801,$W66)="","",INDEX('Per Invoice'!G$2:G$801,$W66)))</f>
        <v/>
      </c>
      <c r="H66">
        <f>IF($W66="","",IF(INDEX('Per Invoice'!H$2:H$801,$W66)="","",INDEX('Per Invoice'!H$2:H$801,$W66)))</f>
        <v/>
      </c>
      <c r="I66">
        <f>IF($W66="","",IF(INDEX('Per Invoice'!I$2:I$801,$W66)="","",INDEX('Per Invoice'!I$2:I$801,$W66)))</f>
        <v/>
      </c>
      <c r="J66">
        <f>IF($W66="","",IF(INDEX('Per Invoice'!J$2:J$801,$W66)="","",INDEX('Per Invoice'!J$2:J$801,$W66)))</f>
        <v/>
      </c>
      <c r="K66" s="7">
        <f>IF($W66="","",IF(INDEX('Per Invoice'!K$2:K$801,$W66)="","",INDEX('Per Invoice'!K$2:K$801,$W66)))</f>
        <v/>
      </c>
      <c r="L66" s="14">
        <f>IF($W66="","",IF(INDEX('Per Invoice'!L$2:L$801,$W66)="","",INDEX('Per Invoice'!L$2:L$801,$W66)))</f>
        <v/>
      </c>
      <c r="M66">
        <f>IF($W66="","",IF(INDEX('Per Invoice'!M$2:M$801,$W66)="","",INDEX('Per Invoice'!M$2:M$801,$W66)))</f>
        <v/>
      </c>
      <c r="N66" s="7">
        <f>IF($W66="","",IF(INDEX('Per Invoice'!N$2:N$801,$W66)="","",INDEX('Per Invoice'!N$2:N$801,$W66)))</f>
        <v/>
      </c>
      <c r="O66" s="7">
        <f>IF($W66="","",IF(INDEX('Per Invoice'!O$2:O$801,$W66)="","",INDEX('Per Invoice'!O$2:O$801,$W66)))</f>
        <v/>
      </c>
      <c r="P66">
        <f>IF($W66="","",IF(INDEX('Per Invoice'!P$2:P$801,$W66)="","",INDEX('Per Invoice'!P$2:P$801,$W66)))</f>
        <v/>
      </c>
      <c r="Q66" s="7">
        <f>IF($W66="","",IF(INDEX('Per Invoice'!Q$2:Q$801,$W66)="","",INDEX('Per Invoice'!Q$2:Q$801,$W66)))</f>
        <v/>
      </c>
      <c r="R66" s="7">
        <f>IF($W66="","",IF(INDEX('Per Invoice'!R$2:R$801,$W66)="","",INDEX('Per Invoice'!R$2:R$801,$W66)))</f>
        <v/>
      </c>
      <c r="S66" s="7">
        <f>IF($W66="","",IF(INDEX('Per Invoice'!S$2:S$801,$W66)="","",INDEX('Per Invoice'!S$2:S$801,$W66)))</f>
        <v/>
      </c>
      <c r="T66" s="7">
        <f>IF($W66="","",IF(INDEX('Per Invoice'!T$2:T$801,$W66)="","",INDEX('Per Invoice'!T$2:T$801,$W66)))</f>
        <v/>
      </c>
      <c r="U66" s="7">
        <f>IF($W66="","",IF(INDEX('Per Invoice'!U$2:U$801,$W66)="","",INDEX('Per Invoice'!U$2:U$801,$W66)))</f>
        <v/>
      </c>
      <c r="V66" s="7">
        <f>IF($W66="","",IF(INDEX('Per Invoice'!V$2:V$801,$W66)="","",INDEX('Per Invoice'!V$2:V$801,$W66)))</f>
        <v/>
      </c>
      <c r="W66" s="16">
        <f>IFERROR(MATCH(Settings!$C$26&amp;"|"&amp;ROWS($W$2:$W66),'Per Invoice'!$X$2:$X$801,0),"")</f>
        <v/>
      </c>
    </row>
    <row r="67">
      <c r="A67">
        <f>IF($W67="","",IF(INDEX('Per Invoice'!A$2:A$801,$W67)="","",INDEX('Per Invoice'!A$2:A$801,$W67)))</f>
        <v/>
      </c>
      <c r="B67">
        <f>IF($W67="","",IF(INDEX('Per Invoice'!B$2:B$801,$W67)="","",INDEX('Per Invoice'!B$2:B$801,$W67)))</f>
        <v/>
      </c>
      <c r="C67">
        <f>IF($W67="","",IF(INDEX('Per Invoice'!C$2:C$801,$W67)="","",INDEX('Per Invoice'!C$2:C$801,$W67)))</f>
        <v/>
      </c>
      <c r="D67">
        <f>IF($W67="","",IF(INDEX('Per Invoice'!D$2:D$801,$W67)="","",INDEX('Per Invoice'!D$2:D$801,$W67)))</f>
        <v/>
      </c>
      <c r="E67">
        <f>IF($W67="","",IF(INDEX('Per Invoice'!E$2:E$801,$W67)="","",INDEX('Per Invoice'!E$2:E$801,$W67)))</f>
        <v/>
      </c>
      <c r="F67">
        <f>IF($W67="","",IF(INDEX('Per Invoice'!F$2:F$801,$W67)="","",INDEX('Per Invoice'!F$2:F$801,$W67)))</f>
        <v/>
      </c>
      <c r="G67">
        <f>IF($W67="","",IF(INDEX('Per Invoice'!G$2:G$801,$W67)="","",INDEX('Per Invoice'!G$2:G$801,$W67)))</f>
        <v/>
      </c>
      <c r="H67">
        <f>IF($W67="","",IF(INDEX('Per Invoice'!H$2:H$801,$W67)="","",INDEX('Per Invoice'!H$2:H$801,$W67)))</f>
        <v/>
      </c>
      <c r="I67">
        <f>IF($W67="","",IF(INDEX('Per Invoice'!I$2:I$801,$W67)="","",INDEX('Per Invoice'!I$2:I$801,$W67)))</f>
        <v/>
      </c>
      <c r="J67">
        <f>IF($W67="","",IF(INDEX('Per Invoice'!J$2:J$801,$W67)="","",INDEX('Per Invoice'!J$2:J$801,$W67)))</f>
        <v/>
      </c>
      <c r="K67" s="7">
        <f>IF($W67="","",IF(INDEX('Per Invoice'!K$2:K$801,$W67)="","",INDEX('Per Invoice'!K$2:K$801,$W67)))</f>
        <v/>
      </c>
      <c r="L67" s="14">
        <f>IF($W67="","",IF(INDEX('Per Invoice'!L$2:L$801,$W67)="","",INDEX('Per Invoice'!L$2:L$801,$W67)))</f>
        <v/>
      </c>
      <c r="M67">
        <f>IF($W67="","",IF(INDEX('Per Invoice'!M$2:M$801,$W67)="","",INDEX('Per Invoice'!M$2:M$801,$W67)))</f>
        <v/>
      </c>
      <c r="N67" s="7">
        <f>IF($W67="","",IF(INDEX('Per Invoice'!N$2:N$801,$W67)="","",INDEX('Per Invoice'!N$2:N$801,$W67)))</f>
        <v/>
      </c>
      <c r="O67" s="7">
        <f>IF($W67="","",IF(INDEX('Per Invoice'!O$2:O$801,$W67)="","",INDEX('Per Invoice'!O$2:O$801,$W67)))</f>
        <v/>
      </c>
      <c r="P67">
        <f>IF($W67="","",IF(INDEX('Per Invoice'!P$2:P$801,$W67)="","",INDEX('Per Invoice'!P$2:P$801,$W67)))</f>
        <v/>
      </c>
      <c r="Q67" s="7">
        <f>IF($W67="","",IF(INDEX('Per Invoice'!Q$2:Q$801,$W67)="","",INDEX('Per Invoice'!Q$2:Q$801,$W67)))</f>
        <v/>
      </c>
      <c r="R67" s="7">
        <f>IF($W67="","",IF(INDEX('Per Invoice'!R$2:R$801,$W67)="","",INDEX('Per Invoice'!R$2:R$801,$W67)))</f>
        <v/>
      </c>
      <c r="S67" s="7">
        <f>IF($W67="","",IF(INDEX('Per Invoice'!S$2:S$801,$W67)="","",INDEX('Per Invoice'!S$2:S$801,$W67)))</f>
        <v/>
      </c>
      <c r="T67" s="7">
        <f>IF($W67="","",IF(INDEX('Per Invoice'!T$2:T$801,$W67)="","",INDEX('Per Invoice'!T$2:T$801,$W67)))</f>
        <v/>
      </c>
      <c r="U67" s="7">
        <f>IF($W67="","",IF(INDEX('Per Invoice'!U$2:U$801,$W67)="","",INDEX('Per Invoice'!U$2:U$801,$W67)))</f>
        <v/>
      </c>
      <c r="V67" s="7">
        <f>IF($W67="","",IF(INDEX('Per Invoice'!V$2:V$801,$W67)="","",INDEX('Per Invoice'!V$2:V$801,$W67)))</f>
        <v/>
      </c>
      <c r="W67" s="16">
        <f>IFERROR(MATCH(Settings!$C$26&amp;"|"&amp;ROWS($W$2:$W67),'Per Invoice'!$X$2:$X$801,0),"")</f>
        <v/>
      </c>
    </row>
    <row r="68">
      <c r="A68">
        <f>IF($W68="","",IF(INDEX('Per Invoice'!A$2:A$801,$W68)="","",INDEX('Per Invoice'!A$2:A$801,$W68)))</f>
        <v/>
      </c>
      <c r="B68">
        <f>IF($W68="","",IF(INDEX('Per Invoice'!B$2:B$801,$W68)="","",INDEX('Per Invoice'!B$2:B$801,$W68)))</f>
        <v/>
      </c>
      <c r="C68">
        <f>IF($W68="","",IF(INDEX('Per Invoice'!C$2:C$801,$W68)="","",INDEX('Per Invoice'!C$2:C$801,$W68)))</f>
        <v/>
      </c>
      <c r="D68">
        <f>IF($W68="","",IF(INDEX('Per Invoice'!D$2:D$801,$W68)="","",INDEX('Per Invoice'!D$2:D$801,$W68)))</f>
        <v/>
      </c>
      <c r="E68">
        <f>IF($W68="","",IF(INDEX('Per Invoice'!E$2:E$801,$W68)="","",INDEX('Per Invoice'!E$2:E$801,$W68)))</f>
        <v/>
      </c>
      <c r="F68">
        <f>IF($W68="","",IF(INDEX('Per Invoice'!F$2:F$801,$W68)="","",INDEX('Per Invoice'!F$2:F$801,$W68)))</f>
        <v/>
      </c>
      <c r="G68">
        <f>IF($W68="","",IF(INDEX('Per Invoice'!G$2:G$801,$W68)="","",INDEX('Per Invoice'!G$2:G$801,$W68)))</f>
        <v/>
      </c>
      <c r="H68">
        <f>IF($W68="","",IF(INDEX('Per Invoice'!H$2:H$801,$W68)="","",INDEX('Per Invoice'!H$2:H$801,$W68)))</f>
        <v/>
      </c>
      <c r="I68">
        <f>IF($W68="","",IF(INDEX('Per Invoice'!I$2:I$801,$W68)="","",INDEX('Per Invoice'!I$2:I$801,$W68)))</f>
        <v/>
      </c>
      <c r="J68">
        <f>IF($W68="","",IF(INDEX('Per Invoice'!J$2:J$801,$W68)="","",INDEX('Per Invoice'!J$2:J$801,$W68)))</f>
        <v/>
      </c>
      <c r="K68" s="7">
        <f>IF($W68="","",IF(INDEX('Per Invoice'!K$2:K$801,$W68)="","",INDEX('Per Invoice'!K$2:K$801,$W68)))</f>
        <v/>
      </c>
      <c r="L68" s="14">
        <f>IF($W68="","",IF(INDEX('Per Invoice'!L$2:L$801,$W68)="","",INDEX('Per Invoice'!L$2:L$801,$W68)))</f>
        <v/>
      </c>
      <c r="M68">
        <f>IF($W68="","",IF(INDEX('Per Invoice'!M$2:M$801,$W68)="","",INDEX('Per Invoice'!M$2:M$801,$W68)))</f>
        <v/>
      </c>
      <c r="N68" s="7">
        <f>IF($W68="","",IF(INDEX('Per Invoice'!N$2:N$801,$W68)="","",INDEX('Per Invoice'!N$2:N$801,$W68)))</f>
        <v/>
      </c>
      <c r="O68" s="7">
        <f>IF($W68="","",IF(INDEX('Per Invoice'!O$2:O$801,$W68)="","",INDEX('Per Invoice'!O$2:O$801,$W68)))</f>
        <v/>
      </c>
      <c r="P68">
        <f>IF($W68="","",IF(INDEX('Per Invoice'!P$2:P$801,$W68)="","",INDEX('Per Invoice'!P$2:P$801,$W68)))</f>
        <v/>
      </c>
      <c r="Q68" s="7">
        <f>IF($W68="","",IF(INDEX('Per Invoice'!Q$2:Q$801,$W68)="","",INDEX('Per Invoice'!Q$2:Q$801,$W68)))</f>
        <v/>
      </c>
      <c r="R68" s="7">
        <f>IF($W68="","",IF(INDEX('Per Invoice'!R$2:R$801,$W68)="","",INDEX('Per Invoice'!R$2:R$801,$W68)))</f>
        <v/>
      </c>
      <c r="S68" s="7">
        <f>IF($W68="","",IF(INDEX('Per Invoice'!S$2:S$801,$W68)="","",INDEX('Per Invoice'!S$2:S$801,$W68)))</f>
        <v/>
      </c>
      <c r="T68" s="7">
        <f>IF($W68="","",IF(INDEX('Per Invoice'!T$2:T$801,$W68)="","",INDEX('Per Invoice'!T$2:T$801,$W68)))</f>
        <v/>
      </c>
      <c r="U68" s="7">
        <f>IF($W68="","",IF(INDEX('Per Invoice'!U$2:U$801,$W68)="","",INDEX('Per Invoice'!U$2:U$801,$W68)))</f>
        <v/>
      </c>
      <c r="V68" s="7">
        <f>IF($W68="","",IF(INDEX('Per Invoice'!V$2:V$801,$W68)="","",INDEX('Per Invoice'!V$2:V$801,$W68)))</f>
        <v/>
      </c>
      <c r="W68" s="16">
        <f>IFERROR(MATCH(Settings!$C$26&amp;"|"&amp;ROWS($W$2:$W68),'Per Invoice'!$X$2:$X$801,0),"")</f>
        <v/>
      </c>
    </row>
    <row r="69">
      <c r="A69">
        <f>IF($W69="","",IF(INDEX('Per Invoice'!A$2:A$801,$W69)="","",INDEX('Per Invoice'!A$2:A$801,$W69)))</f>
        <v/>
      </c>
      <c r="B69">
        <f>IF($W69="","",IF(INDEX('Per Invoice'!B$2:B$801,$W69)="","",INDEX('Per Invoice'!B$2:B$801,$W69)))</f>
        <v/>
      </c>
      <c r="C69">
        <f>IF($W69="","",IF(INDEX('Per Invoice'!C$2:C$801,$W69)="","",INDEX('Per Invoice'!C$2:C$801,$W69)))</f>
        <v/>
      </c>
      <c r="D69">
        <f>IF($W69="","",IF(INDEX('Per Invoice'!D$2:D$801,$W69)="","",INDEX('Per Invoice'!D$2:D$801,$W69)))</f>
        <v/>
      </c>
      <c r="E69">
        <f>IF($W69="","",IF(INDEX('Per Invoice'!E$2:E$801,$W69)="","",INDEX('Per Invoice'!E$2:E$801,$W69)))</f>
        <v/>
      </c>
      <c r="F69">
        <f>IF($W69="","",IF(INDEX('Per Invoice'!F$2:F$801,$W69)="","",INDEX('Per Invoice'!F$2:F$801,$W69)))</f>
        <v/>
      </c>
      <c r="G69">
        <f>IF($W69="","",IF(INDEX('Per Invoice'!G$2:G$801,$W69)="","",INDEX('Per Invoice'!G$2:G$801,$W69)))</f>
        <v/>
      </c>
      <c r="H69">
        <f>IF($W69="","",IF(INDEX('Per Invoice'!H$2:H$801,$W69)="","",INDEX('Per Invoice'!H$2:H$801,$W69)))</f>
        <v/>
      </c>
      <c r="I69">
        <f>IF($W69="","",IF(INDEX('Per Invoice'!I$2:I$801,$W69)="","",INDEX('Per Invoice'!I$2:I$801,$W69)))</f>
        <v/>
      </c>
      <c r="J69">
        <f>IF($W69="","",IF(INDEX('Per Invoice'!J$2:J$801,$W69)="","",INDEX('Per Invoice'!J$2:J$801,$W69)))</f>
        <v/>
      </c>
      <c r="K69" s="7">
        <f>IF($W69="","",IF(INDEX('Per Invoice'!K$2:K$801,$W69)="","",INDEX('Per Invoice'!K$2:K$801,$W69)))</f>
        <v/>
      </c>
      <c r="L69" s="14">
        <f>IF($W69="","",IF(INDEX('Per Invoice'!L$2:L$801,$W69)="","",INDEX('Per Invoice'!L$2:L$801,$W69)))</f>
        <v/>
      </c>
      <c r="M69">
        <f>IF($W69="","",IF(INDEX('Per Invoice'!M$2:M$801,$W69)="","",INDEX('Per Invoice'!M$2:M$801,$W69)))</f>
        <v/>
      </c>
      <c r="N69" s="7">
        <f>IF($W69="","",IF(INDEX('Per Invoice'!N$2:N$801,$W69)="","",INDEX('Per Invoice'!N$2:N$801,$W69)))</f>
        <v/>
      </c>
      <c r="O69" s="7">
        <f>IF($W69="","",IF(INDEX('Per Invoice'!O$2:O$801,$W69)="","",INDEX('Per Invoice'!O$2:O$801,$W69)))</f>
        <v/>
      </c>
      <c r="P69">
        <f>IF($W69="","",IF(INDEX('Per Invoice'!P$2:P$801,$W69)="","",INDEX('Per Invoice'!P$2:P$801,$W69)))</f>
        <v/>
      </c>
      <c r="Q69" s="7">
        <f>IF($W69="","",IF(INDEX('Per Invoice'!Q$2:Q$801,$W69)="","",INDEX('Per Invoice'!Q$2:Q$801,$W69)))</f>
        <v/>
      </c>
      <c r="R69" s="7">
        <f>IF($W69="","",IF(INDEX('Per Invoice'!R$2:R$801,$W69)="","",INDEX('Per Invoice'!R$2:R$801,$W69)))</f>
        <v/>
      </c>
      <c r="S69" s="7">
        <f>IF($W69="","",IF(INDEX('Per Invoice'!S$2:S$801,$W69)="","",INDEX('Per Invoice'!S$2:S$801,$W69)))</f>
        <v/>
      </c>
      <c r="T69" s="7">
        <f>IF($W69="","",IF(INDEX('Per Invoice'!T$2:T$801,$W69)="","",INDEX('Per Invoice'!T$2:T$801,$W69)))</f>
        <v/>
      </c>
      <c r="U69" s="7">
        <f>IF($W69="","",IF(INDEX('Per Invoice'!U$2:U$801,$W69)="","",INDEX('Per Invoice'!U$2:U$801,$W69)))</f>
        <v/>
      </c>
      <c r="V69" s="7">
        <f>IF($W69="","",IF(INDEX('Per Invoice'!V$2:V$801,$W69)="","",INDEX('Per Invoice'!V$2:V$801,$W69)))</f>
        <v/>
      </c>
      <c r="W69" s="16">
        <f>IFERROR(MATCH(Settings!$C$26&amp;"|"&amp;ROWS($W$2:$W69),'Per Invoice'!$X$2:$X$801,0),"")</f>
        <v/>
      </c>
    </row>
    <row r="70">
      <c r="A70">
        <f>IF($W70="","",IF(INDEX('Per Invoice'!A$2:A$801,$W70)="","",INDEX('Per Invoice'!A$2:A$801,$W70)))</f>
        <v/>
      </c>
      <c r="B70">
        <f>IF($W70="","",IF(INDEX('Per Invoice'!B$2:B$801,$W70)="","",INDEX('Per Invoice'!B$2:B$801,$W70)))</f>
        <v/>
      </c>
      <c r="C70">
        <f>IF($W70="","",IF(INDEX('Per Invoice'!C$2:C$801,$W70)="","",INDEX('Per Invoice'!C$2:C$801,$W70)))</f>
        <v/>
      </c>
      <c r="D70">
        <f>IF($W70="","",IF(INDEX('Per Invoice'!D$2:D$801,$W70)="","",INDEX('Per Invoice'!D$2:D$801,$W70)))</f>
        <v/>
      </c>
      <c r="E70">
        <f>IF($W70="","",IF(INDEX('Per Invoice'!E$2:E$801,$W70)="","",INDEX('Per Invoice'!E$2:E$801,$W70)))</f>
        <v/>
      </c>
      <c r="F70">
        <f>IF($W70="","",IF(INDEX('Per Invoice'!F$2:F$801,$W70)="","",INDEX('Per Invoice'!F$2:F$801,$W70)))</f>
        <v/>
      </c>
      <c r="G70">
        <f>IF($W70="","",IF(INDEX('Per Invoice'!G$2:G$801,$W70)="","",INDEX('Per Invoice'!G$2:G$801,$W70)))</f>
        <v/>
      </c>
      <c r="H70">
        <f>IF($W70="","",IF(INDEX('Per Invoice'!H$2:H$801,$W70)="","",INDEX('Per Invoice'!H$2:H$801,$W70)))</f>
        <v/>
      </c>
      <c r="I70">
        <f>IF($W70="","",IF(INDEX('Per Invoice'!I$2:I$801,$W70)="","",INDEX('Per Invoice'!I$2:I$801,$W70)))</f>
        <v/>
      </c>
      <c r="J70">
        <f>IF($W70="","",IF(INDEX('Per Invoice'!J$2:J$801,$W70)="","",INDEX('Per Invoice'!J$2:J$801,$W70)))</f>
        <v/>
      </c>
      <c r="K70" s="7">
        <f>IF($W70="","",IF(INDEX('Per Invoice'!K$2:K$801,$W70)="","",INDEX('Per Invoice'!K$2:K$801,$W70)))</f>
        <v/>
      </c>
      <c r="L70" s="14">
        <f>IF($W70="","",IF(INDEX('Per Invoice'!L$2:L$801,$W70)="","",INDEX('Per Invoice'!L$2:L$801,$W70)))</f>
        <v/>
      </c>
      <c r="M70">
        <f>IF($W70="","",IF(INDEX('Per Invoice'!M$2:M$801,$W70)="","",INDEX('Per Invoice'!M$2:M$801,$W70)))</f>
        <v/>
      </c>
      <c r="N70" s="7">
        <f>IF($W70="","",IF(INDEX('Per Invoice'!N$2:N$801,$W70)="","",INDEX('Per Invoice'!N$2:N$801,$W70)))</f>
        <v/>
      </c>
      <c r="O70" s="7">
        <f>IF($W70="","",IF(INDEX('Per Invoice'!O$2:O$801,$W70)="","",INDEX('Per Invoice'!O$2:O$801,$W70)))</f>
        <v/>
      </c>
      <c r="P70">
        <f>IF($W70="","",IF(INDEX('Per Invoice'!P$2:P$801,$W70)="","",INDEX('Per Invoice'!P$2:P$801,$W70)))</f>
        <v/>
      </c>
      <c r="Q70" s="7">
        <f>IF($W70="","",IF(INDEX('Per Invoice'!Q$2:Q$801,$W70)="","",INDEX('Per Invoice'!Q$2:Q$801,$W70)))</f>
        <v/>
      </c>
      <c r="R70" s="7">
        <f>IF($W70="","",IF(INDEX('Per Invoice'!R$2:R$801,$W70)="","",INDEX('Per Invoice'!R$2:R$801,$W70)))</f>
        <v/>
      </c>
      <c r="S70" s="7">
        <f>IF($W70="","",IF(INDEX('Per Invoice'!S$2:S$801,$W70)="","",INDEX('Per Invoice'!S$2:S$801,$W70)))</f>
        <v/>
      </c>
      <c r="T70" s="7">
        <f>IF($W70="","",IF(INDEX('Per Invoice'!T$2:T$801,$W70)="","",INDEX('Per Invoice'!T$2:T$801,$W70)))</f>
        <v/>
      </c>
      <c r="U70" s="7">
        <f>IF($W70="","",IF(INDEX('Per Invoice'!U$2:U$801,$W70)="","",INDEX('Per Invoice'!U$2:U$801,$W70)))</f>
        <v/>
      </c>
      <c r="V70" s="7">
        <f>IF($W70="","",IF(INDEX('Per Invoice'!V$2:V$801,$W70)="","",INDEX('Per Invoice'!V$2:V$801,$W70)))</f>
        <v/>
      </c>
      <c r="W70" s="16">
        <f>IFERROR(MATCH(Settings!$C$26&amp;"|"&amp;ROWS($W$2:$W70),'Per Invoice'!$X$2:$X$801,0),"")</f>
        <v/>
      </c>
    </row>
    <row r="71">
      <c r="A71">
        <f>IF($W71="","",IF(INDEX('Per Invoice'!A$2:A$801,$W71)="","",INDEX('Per Invoice'!A$2:A$801,$W71)))</f>
        <v/>
      </c>
      <c r="B71">
        <f>IF($W71="","",IF(INDEX('Per Invoice'!B$2:B$801,$W71)="","",INDEX('Per Invoice'!B$2:B$801,$W71)))</f>
        <v/>
      </c>
      <c r="C71">
        <f>IF($W71="","",IF(INDEX('Per Invoice'!C$2:C$801,$W71)="","",INDEX('Per Invoice'!C$2:C$801,$W71)))</f>
        <v/>
      </c>
      <c r="D71">
        <f>IF($W71="","",IF(INDEX('Per Invoice'!D$2:D$801,$W71)="","",INDEX('Per Invoice'!D$2:D$801,$W71)))</f>
        <v/>
      </c>
      <c r="E71">
        <f>IF($W71="","",IF(INDEX('Per Invoice'!E$2:E$801,$W71)="","",INDEX('Per Invoice'!E$2:E$801,$W71)))</f>
        <v/>
      </c>
      <c r="F71">
        <f>IF($W71="","",IF(INDEX('Per Invoice'!F$2:F$801,$W71)="","",INDEX('Per Invoice'!F$2:F$801,$W71)))</f>
        <v/>
      </c>
      <c r="G71">
        <f>IF($W71="","",IF(INDEX('Per Invoice'!G$2:G$801,$W71)="","",INDEX('Per Invoice'!G$2:G$801,$W71)))</f>
        <v/>
      </c>
      <c r="H71">
        <f>IF($W71="","",IF(INDEX('Per Invoice'!H$2:H$801,$W71)="","",INDEX('Per Invoice'!H$2:H$801,$W71)))</f>
        <v/>
      </c>
      <c r="I71">
        <f>IF($W71="","",IF(INDEX('Per Invoice'!I$2:I$801,$W71)="","",INDEX('Per Invoice'!I$2:I$801,$W71)))</f>
        <v/>
      </c>
      <c r="J71">
        <f>IF($W71="","",IF(INDEX('Per Invoice'!J$2:J$801,$W71)="","",INDEX('Per Invoice'!J$2:J$801,$W71)))</f>
        <v/>
      </c>
      <c r="K71" s="7">
        <f>IF($W71="","",IF(INDEX('Per Invoice'!K$2:K$801,$W71)="","",INDEX('Per Invoice'!K$2:K$801,$W71)))</f>
        <v/>
      </c>
      <c r="L71" s="14">
        <f>IF($W71="","",IF(INDEX('Per Invoice'!L$2:L$801,$W71)="","",INDEX('Per Invoice'!L$2:L$801,$W71)))</f>
        <v/>
      </c>
      <c r="M71">
        <f>IF($W71="","",IF(INDEX('Per Invoice'!M$2:M$801,$W71)="","",INDEX('Per Invoice'!M$2:M$801,$W71)))</f>
        <v/>
      </c>
      <c r="N71" s="7">
        <f>IF($W71="","",IF(INDEX('Per Invoice'!N$2:N$801,$W71)="","",INDEX('Per Invoice'!N$2:N$801,$W71)))</f>
        <v/>
      </c>
      <c r="O71" s="7">
        <f>IF($W71="","",IF(INDEX('Per Invoice'!O$2:O$801,$W71)="","",INDEX('Per Invoice'!O$2:O$801,$W71)))</f>
        <v/>
      </c>
      <c r="P71">
        <f>IF($W71="","",IF(INDEX('Per Invoice'!P$2:P$801,$W71)="","",INDEX('Per Invoice'!P$2:P$801,$W71)))</f>
        <v/>
      </c>
      <c r="Q71" s="7">
        <f>IF($W71="","",IF(INDEX('Per Invoice'!Q$2:Q$801,$W71)="","",INDEX('Per Invoice'!Q$2:Q$801,$W71)))</f>
        <v/>
      </c>
      <c r="R71" s="7">
        <f>IF($W71="","",IF(INDEX('Per Invoice'!R$2:R$801,$W71)="","",INDEX('Per Invoice'!R$2:R$801,$W71)))</f>
        <v/>
      </c>
      <c r="S71" s="7">
        <f>IF($W71="","",IF(INDEX('Per Invoice'!S$2:S$801,$W71)="","",INDEX('Per Invoice'!S$2:S$801,$W71)))</f>
        <v/>
      </c>
      <c r="T71" s="7">
        <f>IF($W71="","",IF(INDEX('Per Invoice'!T$2:T$801,$W71)="","",INDEX('Per Invoice'!T$2:T$801,$W71)))</f>
        <v/>
      </c>
      <c r="U71" s="7">
        <f>IF($W71="","",IF(INDEX('Per Invoice'!U$2:U$801,$W71)="","",INDEX('Per Invoice'!U$2:U$801,$W71)))</f>
        <v/>
      </c>
      <c r="V71" s="7">
        <f>IF($W71="","",IF(INDEX('Per Invoice'!V$2:V$801,$W71)="","",INDEX('Per Invoice'!V$2:V$801,$W71)))</f>
        <v/>
      </c>
      <c r="W71" s="16">
        <f>IFERROR(MATCH(Settings!$C$26&amp;"|"&amp;ROWS($W$2:$W71),'Per Invoice'!$X$2:$X$801,0),"")</f>
        <v/>
      </c>
    </row>
    <row r="72">
      <c r="A72">
        <f>IF($W72="","",IF(INDEX('Per Invoice'!A$2:A$801,$W72)="","",INDEX('Per Invoice'!A$2:A$801,$W72)))</f>
        <v/>
      </c>
      <c r="B72">
        <f>IF($W72="","",IF(INDEX('Per Invoice'!B$2:B$801,$W72)="","",INDEX('Per Invoice'!B$2:B$801,$W72)))</f>
        <v/>
      </c>
      <c r="C72">
        <f>IF($W72="","",IF(INDEX('Per Invoice'!C$2:C$801,$W72)="","",INDEX('Per Invoice'!C$2:C$801,$W72)))</f>
        <v/>
      </c>
      <c r="D72">
        <f>IF($W72="","",IF(INDEX('Per Invoice'!D$2:D$801,$W72)="","",INDEX('Per Invoice'!D$2:D$801,$W72)))</f>
        <v/>
      </c>
      <c r="E72">
        <f>IF($W72="","",IF(INDEX('Per Invoice'!E$2:E$801,$W72)="","",INDEX('Per Invoice'!E$2:E$801,$W72)))</f>
        <v/>
      </c>
      <c r="F72">
        <f>IF($W72="","",IF(INDEX('Per Invoice'!F$2:F$801,$W72)="","",INDEX('Per Invoice'!F$2:F$801,$W72)))</f>
        <v/>
      </c>
      <c r="G72">
        <f>IF($W72="","",IF(INDEX('Per Invoice'!G$2:G$801,$W72)="","",INDEX('Per Invoice'!G$2:G$801,$W72)))</f>
        <v/>
      </c>
      <c r="H72">
        <f>IF($W72="","",IF(INDEX('Per Invoice'!H$2:H$801,$W72)="","",INDEX('Per Invoice'!H$2:H$801,$W72)))</f>
        <v/>
      </c>
      <c r="I72">
        <f>IF($W72="","",IF(INDEX('Per Invoice'!I$2:I$801,$W72)="","",INDEX('Per Invoice'!I$2:I$801,$W72)))</f>
        <v/>
      </c>
      <c r="J72">
        <f>IF($W72="","",IF(INDEX('Per Invoice'!J$2:J$801,$W72)="","",INDEX('Per Invoice'!J$2:J$801,$W72)))</f>
        <v/>
      </c>
      <c r="K72" s="7">
        <f>IF($W72="","",IF(INDEX('Per Invoice'!K$2:K$801,$W72)="","",INDEX('Per Invoice'!K$2:K$801,$W72)))</f>
        <v/>
      </c>
      <c r="L72" s="14">
        <f>IF($W72="","",IF(INDEX('Per Invoice'!L$2:L$801,$W72)="","",INDEX('Per Invoice'!L$2:L$801,$W72)))</f>
        <v/>
      </c>
      <c r="M72">
        <f>IF($W72="","",IF(INDEX('Per Invoice'!M$2:M$801,$W72)="","",INDEX('Per Invoice'!M$2:M$801,$W72)))</f>
        <v/>
      </c>
      <c r="N72" s="7">
        <f>IF($W72="","",IF(INDEX('Per Invoice'!N$2:N$801,$W72)="","",INDEX('Per Invoice'!N$2:N$801,$W72)))</f>
        <v/>
      </c>
      <c r="O72" s="7">
        <f>IF($W72="","",IF(INDEX('Per Invoice'!O$2:O$801,$W72)="","",INDEX('Per Invoice'!O$2:O$801,$W72)))</f>
        <v/>
      </c>
      <c r="P72">
        <f>IF($W72="","",IF(INDEX('Per Invoice'!P$2:P$801,$W72)="","",INDEX('Per Invoice'!P$2:P$801,$W72)))</f>
        <v/>
      </c>
      <c r="Q72" s="7">
        <f>IF($W72="","",IF(INDEX('Per Invoice'!Q$2:Q$801,$W72)="","",INDEX('Per Invoice'!Q$2:Q$801,$W72)))</f>
        <v/>
      </c>
      <c r="R72" s="7">
        <f>IF($W72="","",IF(INDEX('Per Invoice'!R$2:R$801,$W72)="","",INDEX('Per Invoice'!R$2:R$801,$W72)))</f>
        <v/>
      </c>
      <c r="S72" s="7">
        <f>IF($W72="","",IF(INDEX('Per Invoice'!S$2:S$801,$W72)="","",INDEX('Per Invoice'!S$2:S$801,$W72)))</f>
        <v/>
      </c>
      <c r="T72" s="7">
        <f>IF($W72="","",IF(INDEX('Per Invoice'!T$2:T$801,$W72)="","",INDEX('Per Invoice'!T$2:T$801,$W72)))</f>
        <v/>
      </c>
      <c r="U72" s="7">
        <f>IF($W72="","",IF(INDEX('Per Invoice'!U$2:U$801,$W72)="","",INDEX('Per Invoice'!U$2:U$801,$W72)))</f>
        <v/>
      </c>
      <c r="V72" s="7">
        <f>IF($W72="","",IF(INDEX('Per Invoice'!V$2:V$801,$W72)="","",INDEX('Per Invoice'!V$2:V$801,$W72)))</f>
        <v/>
      </c>
      <c r="W72" s="16">
        <f>IFERROR(MATCH(Settings!$C$26&amp;"|"&amp;ROWS($W$2:$W72),'Per Invoice'!$X$2:$X$801,0),"")</f>
        <v/>
      </c>
    </row>
    <row r="73">
      <c r="A73">
        <f>IF($W73="","",IF(INDEX('Per Invoice'!A$2:A$801,$W73)="","",INDEX('Per Invoice'!A$2:A$801,$W73)))</f>
        <v/>
      </c>
      <c r="B73">
        <f>IF($W73="","",IF(INDEX('Per Invoice'!B$2:B$801,$W73)="","",INDEX('Per Invoice'!B$2:B$801,$W73)))</f>
        <v/>
      </c>
      <c r="C73">
        <f>IF($W73="","",IF(INDEX('Per Invoice'!C$2:C$801,$W73)="","",INDEX('Per Invoice'!C$2:C$801,$W73)))</f>
        <v/>
      </c>
      <c r="D73">
        <f>IF($W73="","",IF(INDEX('Per Invoice'!D$2:D$801,$W73)="","",INDEX('Per Invoice'!D$2:D$801,$W73)))</f>
        <v/>
      </c>
      <c r="E73">
        <f>IF($W73="","",IF(INDEX('Per Invoice'!E$2:E$801,$W73)="","",INDEX('Per Invoice'!E$2:E$801,$W73)))</f>
        <v/>
      </c>
      <c r="F73">
        <f>IF($W73="","",IF(INDEX('Per Invoice'!F$2:F$801,$W73)="","",INDEX('Per Invoice'!F$2:F$801,$W73)))</f>
        <v/>
      </c>
      <c r="G73">
        <f>IF($W73="","",IF(INDEX('Per Invoice'!G$2:G$801,$W73)="","",INDEX('Per Invoice'!G$2:G$801,$W73)))</f>
        <v/>
      </c>
      <c r="H73">
        <f>IF($W73="","",IF(INDEX('Per Invoice'!H$2:H$801,$W73)="","",INDEX('Per Invoice'!H$2:H$801,$W73)))</f>
        <v/>
      </c>
      <c r="I73">
        <f>IF($W73="","",IF(INDEX('Per Invoice'!I$2:I$801,$W73)="","",INDEX('Per Invoice'!I$2:I$801,$W73)))</f>
        <v/>
      </c>
      <c r="J73">
        <f>IF($W73="","",IF(INDEX('Per Invoice'!J$2:J$801,$W73)="","",INDEX('Per Invoice'!J$2:J$801,$W73)))</f>
        <v/>
      </c>
      <c r="K73" s="7">
        <f>IF($W73="","",IF(INDEX('Per Invoice'!K$2:K$801,$W73)="","",INDEX('Per Invoice'!K$2:K$801,$W73)))</f>
        <v/>
      </c>
      <c r="L73" s="14">
        <f>IF($W73="","",IF(INDEX('Per Invoice'!L$2:L$801,$W73)="","",INDEX('Per Invoice'!L$2:L$801,$W73)))</f>
        <v/>
      </c>
      <c r="M73">
        <f>IF($W73="","",IF(INDEX('Per Invoice'!M$2:M$801,$W73)="","",INDEX('Per Invoice'!M$2:M$801,$W73)))</f>
        <v/>
      </c>
      <c r="N73" s="7">
        <f>IF($W73="","",IF(INDEX('Per Invoice'!N$2:N$801,$W73)="","",INDEX('Per Invoice'!N$2:N$801,$W73)))</f>
        <v/>
      </c>
      <c r="O73" s="7">
        <f>IF($W73="","",IF(INDEX('Per Invoice'!O$2:O$801,$W73)="","",INDEX('Per Invoice'!O$2:O$801,$W73)))</f>
        <v/>
      </c>
      <c r="P73">
        <f>IF($W73="","",IF(INDEX('Per Invoice'!P$2:P$801,$W73)="","",INDEX('Per Invoice'!P$2:P$801,$W73)))</f>
        <v/>
      </c>
      <c r="Q73" s="7">
        <f>IF($W73="","",IF(INDEX('Per Invoice'!Q$2:Q$801,$W73)="","",INDEX('Per Invoice'!Q$2:Q$801,$W73)))</f>
        <v/>
      </c>
      <c r="R73" s="7">
        <f>IF($W73="","",IF(INDEX('Per Invoice'!R$2:R$801,$W73)="","",INDEX('Per Invoice'!R$2:R$801,$W73)))</f>
        <v/>
      </c>
      <c r="S73" s="7">
        <f>IF($W73="","",IF(INDEX('Per Invoice'!S$2:S$801,$W73)="","",INDEX('Per Invoice'!S$2:S$801,$W73)))</f>
        <v/>
      </c>
      <c r="T73" s="7">
        <f>IF($W73="","",IF(INDEX('Per Invoice'!T$2:T$801,$W73)="","",INDEX('Per Invoice'!T$2:T$801,$W73)))</f>
        <v/>
      </c>
      <c r="U73" s="7">
        <f>IF($W73="","",IF(INDEX('Per Invoice'!U$2:U$801,$W73)="","",INDEX('Per Invoice'!U$2:U$801,$W73)))</f>
        <v/>
      </c>
      <c r="V73" s="7">
        <f>IF($W73="","",IF(INDEX('Per Invoice'!V$2:V$801,$W73)="","",INDEX('Per Invoice'!V$2:V$801,$W73)))</f>
        <v/>
      </c>
      <c r="W73" s="16">
        <f>IFERROR(MATCH(Settings!$C$26&amp;"|"&amp;ROWS($W$2:$W73),'Per Invoice'!$X$2:$X$801,0),"")</f>
        <v/>
      </c>
    </row>
    <row r="74">
      <c r="A74">
        <f>IF($W74="","",IF(INDEX('Per Invoice'!A$2:A$801,$W74)="","",INDEX('Per Invoice'!A$2:A$801,$W74)))</f>
        <v/>
      </c>
      <c r="B74">
        <f>IF($W74="","",IF(INDEX('Per Invoice'!B$2:B$801,$W74)="","",INDEX('Per Invoice'!B$2:B$801,$W74)))</f>
        <v/>
      </c>
      <c r="C74">
        <f>IF($W74="","",IF(INDEX('Per Invoice'!C$2:C$801,$W74)="","",INDEX('Per Invoice'!C$2:C$801,$W74)))</f>
        <v/>
      </c>
      <c r="D74">
        <f>IF($W74="","",IF(INDEX('Per Invoice'!D$2:D$801,$W74)="","",INDEX('Per Invoice'!D$2:D$801,$W74)))</f>
        <v/>
      </c>
      <c r="E74">
        <f>IF($W74="","",IF(INDEX('Per Invoice'!E$2:E$801,$W74)="","",INDEX('Per Invoice'!E$2:E$801,$W74)))</f>
        <v/>
      </c>
      <c r="F74">
        <f>IF($W74="","",IF(INDEX('Per Invoice'!F$2:F$801,$W74)="","",INDEX('Per Invoice'!F$2:F$801,$W74)))</f>
        <v/>
      </c>
      <c r="G74">
        <f>IF($W74="","",IF(INDEX('Per Invoice'!G$2:G$801,$W74)="","",INDEX('Per Invoice'!G$2:G$801,$W74)))</f>
        <v/>
      </c>
      <c r="H74">
        <f>IF($W74="","",IF(INDEX('Per Invoice'!H$2:H$801,$W74)="","",INDEX('Per Invoice'!H$2:H$801,$W74)))</f>
        <v/>
      </c>
      <c r="I74">
        <f>IF($W74="","",IF(INDEX('Per Invoice'!I$2:I$801,$W74)="","",INDEX('Per Invoice'!I$2:I$801,$W74)))</f>
        <v/>
      </c>
      <c r="J74">
        <f>IF($W74="","",IF(INDEX('Per Invoice'!J$2:J$801,$W74)="","",INDEX('Per Invoice'!J$2:J$801,$W74)))</f>
        <v/>
      </c>
      <c r="K74" s="7">
        <f>IF($W74="","",IF(INDEX('Per Invoice'!K$2:K$801,$W74)="","",INDEX('Per Invoice'!K$2:K$801,$W74)))</f>
        <v/>
      </c>
      <c r="L74" s="14">
        <f>IF($W74="","",IF(INDEX('Per Invoice'!L$2:L$801,$W74)="","",INDEX('Per Invoice'!L$2:L$801,$W74)))</f>
        <v/>
      </c>
      <c r="M74">
        <f>IF($W74="","",IF(INDEX('Per Invoice'!M$2:M$801,$W74)="","",INDEX('Per Invoice'!M$2:M$801,$W74)))</f>
        <v/>
      </c>
      <c r="N74" s="7">
        <f>IF($W74="","",IF(INDEX('Per Invoice'!N$2:N$801,$W74)="","",INDEX('Per Invoice'!N$2:N$801,$W74)))</f>
        <v/>
      </c>
      <c r="O74" s="7">
        <f>IF($W74="","",IF(INDEX('Per Invoice'!O$2:O$801,$W74)="","",INDEX('Per Invoice'!O$2:O$801,$W74)))</f>
        <v/>
      </c>
      <c r="P74">
        <f>IF($W74="","",IF(INDEX('Per Invoice'!P$2:P$801,$W74)="","",INDEX('Per Invoice'!P$2:P$801,$W74)))</f>
        <v/>
      </c>
      <c r="Q74" s="7">
        <f>IF($W74="","",IF(INDEX('Per Invoice'!Q$2:Q$801,$W74)="","",INDEX('Per Invoice'!Q$2:Q$801,$W74)))</f>
        <v/>
      </c>
      <c r="R74" s="7">
        <f>IF($W74="","",IF(INDEX('Per Invoice'!R$2:R$801,$W74)="","",INDEX('Per Invoice'!R$2:R$801,$W74)))</f>
        <v/>
      </c>
      <c r="S74" s="7">
        <f>IF($W74="","",IF(INDEX('Per Invoice'!S$2:S$801,$W74)="","",INDEX('Per Invoice'!S$2:S$801,$W74)))</f>
        <v/>
      </c>
      <c r="T74" s="7">
        <f>IF($W74="","",IF(INDEX('Per Invoice'!T$2:T$801,$W74)="","",INDEX('Per Invoice'!T$2:T$801,$W74)))</f>
        <v/>
      </c>
      <c r="U74" s="7">
        <f>IF($W74="","",IF(INDEX('Per Invoice'!U$2:U$801,$W74)="","",INDEX('Per Invoice'!U$2:U$801,$W74)))</f>
        <v/>
      </c>
      <c r="V74" s="7">
        <f>IF($W74="","",IF(INDEX('Per Invoice'!V$2:V$801,$W74)="","",INDEX('Per Invoice'!V$2:V$801,$W74)))</f>
        <v/>
      </c>
      <c r="W74" s="16">
        <f>IFERROR(MATCH(Settings!$C$26&amp;"|"&amp;ROWS($W$2:$W74),'Per Invoice'!$X$2:$X$801,0),"")</f>
        <v/>
      </c>
    </row>
    <row r="75">
      <c r="A75">
        <f>IF($W75="","",IF(INDEX('Per Invoice'!A$2:A$801,$W75)="","",INDEX('Per Invoice'!A$2:A$801,$W75)))</f>
        <v/>
      </c>
      <c r="B75">
        <f>IF($W75="","",IF(INDEX('Per Invoice'!B$2:B$801,$W75)="","",INDEX('Per Invoice'!B$2:B$801,$W75)))</f>
        <v/>
      </c>
      <c r="C75">
        <f>IF($W75="","",IF(INDEX('Per Invoice'!C$2:C$801,$W75)="","",INDEX('Per Invoice'!C$2:C$801,$W75)))</f>
        <v/>
      </c>
      <c r="D75">
        <f>IF($W75="","",IF(INDEX('Per Invoice'!D$2:D$801,$W75)="","",INDEX('Per Invoice'!D$2:D$801,$W75)))</f>
        <v/>
      </c>
      <c r="E75">
        <f>IF($W75="","",IF(INDEX('Per Invoice'!E$2:E$801,$W75)="","",INDEX('Per Invoice'!E$2:E$801,$W75)))</f>
        <v/>
      </c>
      <c r="F75">
        <f>IF($W75="","",IF(INDEX('Per Invoice'!F$2:F$801,$W75)="","",INDEX('Per Invoice'!F$2:F$801,$W75)))</f>
        <v/>
      </c>
      <c r="G75">
        <f>IF($W75="","",IF(INDEX('Per Invoice'!G$2:G$801,$W75)="","",INDEX('Per Invoice'!G$2:G$801,$W75)))</f>
        <v/>
      </c>
      <c r="H75">
        <f>IF($W75="","",IF(INDEX('Per Invoice'!H$2:H$801,$W75)="","",INDEX('Per Invoice'!H$2:H$801,$W75)))</f>
        <v/>
      </c>
      <c r="I75">
        <f>IF($W75="","",IF(INDEX('Per Invoice'!I$2:I$801,$W75)="","",INDEX('Per Invoice'!I$2:I$801,$W75)))</f>
        <v/>
      </c>
      <c r="J75">
        <f>IF($W75="","",IF(INDEX('Per Invoice'!J$2:J$801,$W75)="","",INDEX('Per Invoice'!J$2:J$801,$W75)))</f>
        <v/>
      </c>
      <c r="K75" s="7">
        <f>IF($W75="","",IF(INDEX('Per Invoice'!K$2:K$801,$W75)="","",INDEX('Per Invoice'!K$2:K$801,$W75)))</f>
        <v/>
      </c>
      <c r="L75" s="14">
        <f>IF($W75="","",IF(INDEX('Per Invoice'!L$2:L$801,$W75)="","",INDEX('Per Invoice'!L$2:L$801,$W75)))</f>
        <v/>
      </c>
      <c r="M75">
        <f>IF($W75="","",IF(INDEX('Per Invoice'!M$2:M$801,$W75)="","",INDEX('Per Invoice'!M$2:M$801,$W75)))</f>
        <v/>
      </c>
      <c r="N75" s="7">
        <f>IF($W75="","",IF(INDEX('Per Invoice'!N$2:N$801,$W75)="","",INDEX('Per Invoice'!N$2:N$801,$W75)))</f>
        <v/>
      </c>
      <c r="O75" s="7">
        <f>IF($W75="","",IF(INDEX('Per Invoice'!O$2:O$801,$W75)="","",INDEX('Per Invoice'!O$2:O$801,$W75)))</f>
        <v/>
      </c>
      <c r="P75">
        <f>IF($W75="","",IF(INDEX('Per Invoice'!P$2:P$801,$W75)="","",INDEX('Per Invoice'!P$2:P$801,$W75)))</f>
        <v/>
      </c>
      <c r="Q75" s="7">
        <f>IF($W75="","",IF(INDEX('Per Invoice'!Q$2:Q$801,$W75)="","",INDEX('Per Invoice'!Q$2:Q$801,$W75)))</f>
        <v/>
      </c>
      <c r="R75" s="7">
        <f>IF($W75="","",IF(INDEX('Per Invoice'!R$2:R$801,$W75)="","",INDEX('Per Invoice'!R$2:R$801,$W75)))</f>
        <v/>
      </c>
      <c r="S75" s="7">
        <f>IF($W75="","",IF(INDEX('Per Invoice'!S$2:S$801,$W75)="","",INDEX('Per Invoice'!S$2:S$801,$W75)))</f>
        <v/>
      </c>
      <c r="T75" s="7">
        <f>IF($W75="","",IF(INDEX('Per Invoice'!T$2:T$801,$W75)="","",INDEX('Per Invoice'!T$2:T$801,$W75)))</f>
        <v/>
      </c>
      <c r="U75" s="7">
        <f>IF($W75="","",IF(INDEX('Per Invoice'!U$2:U$801,$W75)="","",INDEX('Per Invoice'!U$2:U$801,$W75)))</f>
        <v/>
      </c>
      <c r="V75" s="7">
        <f>IF($W75="","",IF(INDEX('Per Invoice'!V$2:V$801,$W75)="","",INDEX('Per Invoice'!V$2:V$801,$W75)))</f>
        <v/>
      </c>
      <c r="W75" s="16">
        <f>IFERROR(MATCH(Settings!$C$26&amp;"|"&amp;ROWS($W$2:$W75),'Per Invoice'!$X$2:$X$801,0),"")</f>
        <v/>
      </c>
    </row>
    <row r="76">
      <c r="A76">
        <f>IF($W76="","",IF(INDEX('Per Invoice'!A$2:A$801,$W76)="","",INDEX('Per Invoice'!A$2:A$801,$W76)))</f>
        <v/>
      </c>
      <c r="B76">
        <f>IF($W76="","",IF(INDEX('Per Invoice'!B$2:B$801,$W76)="","",INDEX('Per Invoice'!B$2:B$801,$W76)))</f>
        <v/>
      </c>
      <c r="C76">
        <f>IF($W76="","",IF(INDEX('Per Invoice'!C$2:C$801,$W76)="","",INDEX('Per Invoice'!C$2:C$801,$W76)))</f>
        <v/>
      </c>
      <c r="D76">
        <f>IF($W76="","",IF(INDEX('Per Invoice'!D$2:D$801,$W76)="","",INDEX('Per Invoice'!D$2:D$801,$W76)))</f>
        <v/>
      </c>
      <c r="E76">
        <f>IF($W76="","",IF(INDEX('Per Invoice'!E$2:E$801,$W76)="","",INDEX('Per Invoice'!E$2:E$801,$W76)))</f>
        <v/>
      </c>
      <c r="F76">
        <f>IF($W76="","",IF(INDEX('Per Invoice'!F$2:F$801,$W76)="","",INDEX('Per Invoice'!F$2:F$801,$W76)))</f>
        <v/>
      </c>
      <c r="G76">
        <f>IF($W76="","",IF(INDEX('Per Invoice'!G$2:G$801,$W76)="","",INDEX('Per Invoice'!G$2:G$801,$W76)))</f>
        <v/>
      </c>
      <c r="H76">
        <f>IF($W76="","",IF(INDEX('Per Invoice'!H$2:H$801,$W76)="","",INDEX('Per Invoice'!H$2:H$801,$W76)))</f>
        <v/>
      </c>
      <c r="I76">
        <f>IF($W76="","",IF(INDEX('Per Invoice'!I$2:I$801,$W76)="","",INDEX('Per Invoice'!I$2:I$801,$W76)))</f>
        <v/>
      </c>
      <c r="J76">
        <f>IF($W76="","",IF(INDEX('Per Invoice'!J$2:J$801,$W76)="","",INDEX('Per Invoice'!J$2:J$801,$W76)))</f>
        <v/>
      </c>
      <c r="K76" s="7">
        <f>IF($W76="","",IF(INDEX('Per Invoice'!K$2:K$801,$W76)="","",INDEX('Per Invoice'!K$2:K$801,$W76)))</f>
        <v/>
      </c>
      <c r="L76" s="14">
        <f>IF($W76="","",IF(INDEX('Per Invoice'!L$2:L$801,$W76)="","",INDEX('Per Invoice'!L$2:L$801,$W76)))</f>
        <v/>
      </c>
      <c r="M76">
        <f>IF($W76="","",IF(INDEX('Per Invoice'!M$2:M$801,$W76)="","",INDEX('Per Invoice'!M$2:M$801,$W76)))</f>
        <v/>
      </c>
      <c r="N76" s="7">
        <f>IF($W76="","",IF(INDEX('Per Invoice'!N$2:N$801,$W76)="","",INDEX('Per Invoice'!N$2:N$801,$W76)))</f>
        <v/>
      </c>
      <c r="O76" s="7">
        <f>IF($W76="","",IF(INDEX('Per Invoice'!O$2:O$801,$W76)="","",INDEX('Per Invoice'!O$2:O$801,$W76)))</f>
        <v/>
      </c>
      <c r="P76">
        <f>IF($W76="","",IF(INDEX('Per Invoice'!P$2:P$801,$W76)="","",INDEX('Per Invoice'!P$2:P$801,$W76)))</f>
        <v/>
      </c>
      <c r="Q76" s="7">
        <f>IF($W76="","",IF(INDEX('Per Invoice'!Q$2:Q$801,$W76)="","",INDEX('Per Invoice'!Q$2:Q$801,$W76)))</f>
        <v/>
      </c>
      <c r="R76" s="7">
        <f>IF($W76="","",IF(INDEX('Per Invoice'!R$2:R$801,$W76)="","",INDEX('Per Invoice'!R$2:R$801,$W76)))</f>
        <v/>
      </c>
      <c r="S76" s="7">
        <f>IF($W76="","",IF(INDEX('Per Invoice'!S$2:S$801,$W76)="","",INDEX('Per Invoice'!S$2:S$801,$W76)))</f>
        <v/>
      </c>
      <c r="T76" s="7">
        <f>IF($W76="","",IF(INDEX('Per Invoice'!T$2:T$801,$W76)="","",INDEX('Per Invoice'!T$2:T$801,$W76)))</f>
        <v/>
      </c>
      <c r="U76" s="7">
        <f>IF($W76="","",IF(INDEX('Per Invoice'!U$2:U$801,$W76)="","",INDEX('Per Invoice'!U$2:U$801,$W76)))</f>
        <v/>
      </c>
      <c r="V76" s="7">
        <f>IF($W76="","",IF(INDEX('Per Invoice'!V$2:V$801,$W76)="","",INDEX('Per Invoice'!V$2:V$801,$W76)))</f>
        <v/>
      </c>
      <c r="W76" s="16">
        <f>IFERROR(MATCH(Settings!$C$26&amp;"|"&amp;ROWS($W$2:$W76),'Per Invoice'!$X$2:$X$801,0),"")</f>
        <v/>
      </c>
    </row>
    <row r="77">
      <c r="A77">
        <f>IF($W77="","",IF(INDEX('Per Invoice'!A$2:A$801,$W77)="","",INDEX('Per Invoice'!A$2:A$801,$W77)))</f>
        <v/>
      </c>
      <c r="B77">
        <f>IF($W77="","",IF(INDEX('Per Invoice'!B$2:B$801,$W77)="","",INDEX('Per Invoice'!B$2:B$801,$W77)))</f>
        <v/>
      </c>
      <c r="C77">
        <f>IF($W77="","",IF(INDEX('Per Invoice'!C$2:C$801,$W77)="","",INDEX('Per Invoice'!C$2:C$801,$W77)))</f>
        <v/>
      </c>
      <c r="D77">
        <f>IF($W77="","",IF(INDEX('Per Invoice'!D$2:D$801,$W77)="","",INDEX('Per Invoice'!D$2:D$801,$W77)))</f>
        <v/>
      </c>
      <c r="E77">
        <f>IF($W77="","",IF(INDEX('Per Invoice'!E$2:E$801,$W77)="","",INDEX('Per Invoice'!E$2:E$801,$W77)))</f>
        <v/>
      </c>
      <c r="F77">
        <f>IF($W77="","",IF(INDEX('Per Invoice'!F$2:F$801,$W77)="","",INDEX('Per Invoice'!F$2:F$801,$W77)))</f>
        <v/>
      </c>
      <c r="G77">
        <f>IF($W77="","",IF(INDEX('Per Invoice'!G$2:G$801,$W77)="","",INDEX('Per Invoice'!G$2:G$801,$W77)))</f>
        <v/>
      </c>
      <c r="H77">
        <f>IF($W77="","",IF(INDEX('Per Invoice'!H$2:H$801,$W77)="","",INDEX('Per Invoice'!H$2:H$801,$W77)))</f>
        <v/>
      </c>
      <c r="I77">
        <f>IF($W77="","",IF(INDEX('Per Invoice'!I$2:I$801,$W77)="","",INDEX('Per Invoice'!I$2:I$801,$W77)))</f>
        <v/>
      </c>
      <c r="J77">
        <f>IF($W77="","",IF(INDEX('Per Invoice'!J$2:J$801,$W77)="","",INDEX('Per Invoice'!J$2:J$801,$W77)))</f>
        <v/>
      </c>
      <c r="K77" s="7">
        <f>IF($W77="","",IF(INDEX('Per Invoice'!K$2:K$801,$W77)="","",INDEX('Per Invoice'!K$2:K$801,$W77)))</f>
        <v/>
      </c>
      <c r="L77" s="14">
        <f>IF($W77="","",IF(INDEX('Per Invoice'!L$2:L$801,$W77)="","",INDEX('Per Invoice'!L$2:L$801,$W77)))</f>
        <v/>
      </c>
      <c r="M77">
        <f>IF($W77="","",IF(INDEX('Per Invoice'!M$2:M$801,$W77)="","",INDEX('Per Invoice'!M$2:M$801,$W77)))</f>
        <v/>
      </c>
      <c r="N77" s="7">
        <f>IF($W77="","",IF(INDEX('Per Invoice'!N$2:N$801,$W77)="","",INDEX('Per Invoice'!N$2:N$801,$W77)))</f>
        <v/>
      </c>
      <c r="O77" s="7">
        <f>IF($W77="","",IF(INDEX('Per Invoice'!O$2:O$801,$W77)="","",INDEX('Per Invoice'!O$2:O$801,$W77)))</f>
        <v/>
      </c>
      <c r="P77">
        <f>IF($W77="","",IF(INDEX('Per Invoice'!P$2:P$801,$W77)="","",INDEX('Per Invoice'!P$2:P$801,$W77)))</f>
        <v/>
      </c>
      <c r="Q77" s="7">
        <f>IF($W77="","",IF(INDEX('Per Invoice'!Q$2:Q$801,$W77)="","",INDEX('Per Invoice'!Q$2:Q$801,$W77)))</f>
        <v/>
      </c>
      <c r="R77" s="7">
        <f>IF($W77="","",IF(INDEX('Per Invoice'!R$2:R$801,$W77)="","",INDEX('Per Invoice'!R$2:R$801,$W77)))</f>
        <v/>
      </c>
      <c r="S77" s="7">
        <f>IF($W77="","",IF(INDEX('Per Invoice'!S$2:S$801,$W77)="","",INDEX('Per Invoice'!S$2:S$801,$W77)))</f>
        <v/>
      </c>
      <c r="T77" s="7">
        <f>IF($W77="","",IF(INDEX('Per Invoice'!T$2:T$801,$W77)="","",INDEX('Per Invoice'!T$2:T$801,$W77)))</f>
        <v/>
      </c>
      <c r="U77" s="7">
        <f>IF($W77="","",IF(INDEX('Per Invoice'!U$2:U$801,$W77)="","",INDEX('Per Invoice'!U$2:U$801,$W77)))</f>
        <v/>
      </c>
      <c r="V77" s="7">
        <f>IF($W77="","",IF(INDEX('Per Invoice'!V$2:V$801,$W77)="","",INDEX('Per Invoice'!V$2:V$801,$W77)))</f>
        <v/>
      </c>
      <c r="W77" s="16">
        <f>IFERROR(MATCH(Settings!$C$26&amp;"|"&amp;ROWS($W$2:$W77),'Per Invoice'!$X$2:$X$801,0),"")</f>
        <v/>
      </c>
    </row>
    <row r="78">
      <c r="A78">
        <f>IF($W78="","",IF(INDEX('Per Invoice'!A$2:A$801,$W78)="","",INDEX('Per Invoice'!A$2:A$801,$W78)))</f>
        <v/>
      </c>
      <c r="B78">
        <f>IF($W78="","",IF(INDEX('Per Invoice'!B$2:B$801,$W78)="","",INDEX('Per Invoice'!B$2:B$801,$W78)))</f>
        <v/>
      </c>
      <c r="C78">
        <f>IF($W78="","",IF(INDEX('Per Invoice'!C$2:C$801,$W78)="","",INDEX('Per Invoice'!C$2:C$801,$W78)))</f>
        <v/>
      </c>
      <c r="D78">
        <f>IF($W78="","",IF(INDEX('Per Invoice'!D$2:D$801,$W78)="","",INDEX('Per Invoice'!D$2:D$801,$W78)))</f>
        <v/>
      </c>
      <c r="E78">
        <f>IF($W78="","",IF(INDEX('Per Invoice'!E$2:E$801,$W78)="","",INDEX('Per Invoice'!E$2:E$801,$W78)))</f>
        <v/>
      </c>
      <c r="F78">
        <f>IF($W78="","",IF(INDEX('Per Invoice'!F$2:F$801,$W78)="","",INDEX('Per Invoice'!F$2:F$801,$W78)))</f>
        <v/>
      </c>
      <c r="G78">
        <f>IF($W78="","",IF(INDEX('Per Invoice'!G$2:G$801,$W78)="","",INDEX('Per Invoice'!G$2:G$801,$W78)))</f>
        <v/>
      </c>
      <c r="H78">
        <f>IF($W78="","",IF(INDEX('Per Invoice'!H$2:H$801,$W78)="","",INDEX('Per Invoice'!H$2:H$801,$W78)))</f>
        <v/>
      </c>
      <c r="I78">
        <f>IF($W78="","",IF(INDEX('Per Invoice'!I$2:I$801,$W78)="","",INDEX('Per Invoice'!I$2:I$801,$W78)))</f>
        <v/>
      </c>
      <c r="J78">
        <f>IF($W78="","",IF(INDEX('Per Invoice'!J$2:J$801,$W78)="","",INDEX('Per Invoice'!J$2:J$801,$W78)))</f>
        <v/>
      </c>
      <c r="K78" s="7">
        <f>IF($W78="","",IF(INDEX('Per Invoice'!K$2:K$801,$W78)="","",INDEX('Per Invoice'!K$2:K$801,$W78)))</f>
        <v/>
      </c>
      <c r="L78" s="14">
        <f>IF($W78="","",IF(INDEX('Per Invoice'!L$2:L$801,$W78)="","",INDEX('Per Invoice'!L$2:L$801,$W78)))</f>
        <v/>
      </c>
      <c r="M78">
        <f>IF($W78="","",IF(INDEX('Per Invoice'!M$2:M$801,$W78)="","",INDEX('Per Invoice'!M$2:M$801,$W78)))</f>
        <v/>
      </c>
      <c r="N78" s="7">
        <f>IF($W78="","",IF(INDEX('Per Invoice'!N$2:N$801,$W78)="","",INDEX('Per Invoice'!N$2:N$801,$W78)))</f>
        <v/>
      </c>
      <c r="O78" s="7">
        <f>IF($W78="","",IF(INDEX('Per Invoice'!O$2:O$801,$W78)="","",INDEX('Per Invoice'!O$2:O$801,$W78)))</f>
        <v/>
      </c>
      <c r="P78">
        <f>IF($W78="","",IF(INDEX('Per Invoice'!P$2:P$801,$W78)="","",INDEX('Per Invoice'!P$2:P$801,$W78)))</f>
        <v/>
      </c>
      <c r="Q78" s="7">
        <f>IF($W78="","",IF(INDEX('Per Invoice'!Q$2:Q$801,$W78)="","",INDEX('Per Invoice'!Q$2:Q$801,$W78)))</f>
        <v/>
      </c>
      <c r="R78" s="7">
        <f>IF($W78="","",IF(INDEX('Per Invoice'!R$2:R$801,$W78)="","",INDEX('Per Invoice'!R$2:R$801,$W78)))</f>
        <v/>
      </c>
      <c r="S78" s="7">
        <f>IF($W78="","",IF(INDEX('Per Invoice'!S$2:S$801,$W78)="","",INDEX('Per Invoice'!S$2:S$801,$W78)))</f>
        <v/>
      </c>
      <c r="T78" s="7">
        <f>IF($W78="","",IF(INDEX('Per Invoice'!T$2:T$801,$W78)="","",INDEX('Per Invoice'!T$2:T$801,$W78)))</f>
        <v/>
      </c>
      <c r="U78" s="7">
        <f>IF($W78="","",IF(INDEX('Per Invoice'!U$2:U$801,$W78)="","",INDEX('Per Invoice'!U$2:U$801,$W78)))</f>
        <v/>
      </c>
      <c r="V78" s="7">
        <f>IF($W78="","",IF(INDEX('Per Invoice'!V$2:V$801,$W78)="","",INDEX('Per Invoice'!V$2:V$801,$W78)))</f>
        <v/>
      </c>
      <c r="W78" s="16">
        <f>IFERROR(MATCH(Settings!$C$26&amp;"|"&amp;ROWS($W$2:$W78),'Per Invoice'!$X$2:$X$801,0),"")</f>
        <v/>
      </c>
    </row>
    <row r="79">
      <c r="A79">
        <f>IF($W79="","",IF(INDEX('Per Invoice'!A$2:A$801,$W79)="","",INDEX('Per Invoice'!A$2:A$801,$W79)))</f>
        <v/>
      </c>
      <c r="B79">
        <f>IF($W79="","",IF(INDEX('Per Invoice'!B$2:B$801,$W79)="","",INDEX('Per Invoice'!B$2:B$801,$W79)))</f>
        <v/>
      </c>
      <c r="C79">
        <f>IF($W79="","",IF(INDEX('Per Invoice'!C$2:C$801,$W79)="","",INDEX('Per Invoice'!C$2:C$801,$W79)))</f>
        <v/>
      </c>
      <c r="D79">
        <f>IF($W79="","",IF(INDEX('Per Invoice'!D$2:D$801,$W79)="","",INDEX('Per Invoice'!D$2:D$801,$W79)))</f>
        <v/>
      </c>
      <c r="E79">
        <f>IF($W79="","",IF(INDEX('Per Invoice'!E$2:E$801,$W79)="","",INDEX('Per Invoice'!E$2:E$801,$W79)))</f>
        <v/>
      </c>
      <c r="F79">
        <f>IF($W79="","",IF(INDEX('Per Invoice'!F$2:F$801,$W79)="","",INDEX('Per Invoice'!F$2:F$801,$W79)))</f>
        <v/>
      </c>
      <c r="G79">
        <f>IF($W79="","",IF(INDEX('Per Invoice'!G$2:G$801,$W79)="","",INDEX('Per Invoice'!G$2:G$801,$W79)))</f>
        <v/>
      </c>
      <c r="H79">
        <f>IF($W79="","",IF(INDEX('Per Invoice'!H$2:H$801,$W79)="","",INDEX('Per Invoice'!H$2:H$801,$W79)))</f>
        <v/>
      </c>
      <c r="I79">
        <f>IF($W79="","",IF(INDEX('Per Invoice'!I$2:I$801,$W79)="","",INDEX('Per Invoice'!I$2:I$801,$W79)))</f>
        <v/>
      </c>
      <c r="J79">
        <f>IF($W79="","",IF(INDEX('Per Invoice'!J$2:J$801,$W79)="","",INDEX('Per Invoice'!J$2:J$801,$W79)))</f>
        <v/>
      </c>
      <c r="K79" s="7">
        <f>IF($W79="","",IF(INDEX('Per Invoice'!K$2:K$801,$W79)="","",INDEX('Per Invoice'!K$2:K$801,$W79)))</f>
        <v/>
      </c>
      <c r="L79" s="14">
        <f>IF($W79="","",IF(INDEX('Per Invoice'!L$2:L$801,$W79)="","",INDEX('Per Invoice'!L$2:L$801,$W79)))</f>
        <v/>
      </c>
      <c r="M79">
        <f>IF($W79="","",IF(INDEX('Per Invoice'!M$2:M$801,$W79)="","",INDEX('Per Invoice'!M$2:M$801,$W79)))</f>
        <v/>
      </c>
      <c r="N79" s="7">
        <f>IF($W79="","",IF(INDEX('Per Invoice'!N$2:N$801,$W79)="","",INDEX('Per Invoice'!N$2:N$801,$W79)))</f>
        <v/>
      </c>
      <c r="O79" s="7">
        <f>IF($W79="","",IF(INDEX('Per Invoice'!O$2:O$801,$W79)="","",INDEX('Per Invoice'!O$2:O$801,$W79)))</f>
        <v/>
      </c>
      <c r="P79">
        <f>IF($W79="","",IF(INDEX('Per Invoice'!P$2:P$801,$W79)="","",INDEX('Per Invoice'!P$2:P$801,$W79)))</f>
        <v/>
      </c>
      <c r="Q79" s="7">
        <f>IF($W79="","",IF(INDEX('Per Invoice'!Q$2:Q$801,$W79)="","",INDEX('Per Invoice'!Q$2:Q$801,$W79)))</f>
        <v/>
      </c>
      <c r="R79" s="7">
        <f>IF($W79="","",IF(INDEX('Per Invoice'!R$2:R$801,$W79)="","",INDEX('Per Invoice'!R$2:R$801,$W79)))</f>
        <v/>
      </c>
      <c r="S79" s="7">
        <f>IF($W79="","",IF(INDEX('Per Invoice'!S$2:S$801,$W79)="","",INDEX('Per Invoice'!S$2:S$801,$W79)))</f>
        <v/>
      </c>
      <c r="T79" s="7">
        <f>IF($W79="","",IF(INDEX('Per Invoice'!T$2:T$801,$W79)="","",INDEX('Per Invoice'!T$2:T$801,$W79)))</f>
        <v/>
      </c>
      <c r="U79" s="7">
        <f>IF($W79="","",IF(INDEX('Per Invoice'!U$2:U$801,$W79)="","",INDEX('Per Invoice'!U$2:U$801,$W79)))</f>
        <v/>
      </c>
      <c r="V79" s="7">
        <f>IF($W79="","",IF(INDEX('Per Invoice'!V$2:V$801,$W79)="","",INDEX('Per Invoice'!V$2:V$801,$W79)))</f>
        <v/>
      </c>
      <c r="W79" s="16">
        <f>IFERROR(MATCH(Settings!$C$26&amp;"|"&amp;ROWS($W$2:$W79),'Per Invoice'!$X$2:$X$801,0),"")</f>
        <v/>
      </c>
    </row>
    <row r="80">
      <c r="A80">
        <f>IF($W80="","",IF(INDEX('Per Invoice'!A$2:A$801,$W80)="","",INDEX('Per Invoice'!A$2:A$801,$W80)))</f>
        <v/>
      </c>
      <c r="B80">
        <f>IF($W80="","",IF(INDEX('Per Invoice'!B$2:B$801,$W80)="","",INDEX('Per Invoice'!B$2:B$801,$W80)))</f>
        <v/>
      </c>
      <c r="C80">
        <f>IF($W80="","",IF(INDEX('Per Invoice'!C$2:C$801,$W80)="","",INDEX('Per Invoice'!C$2:C$801,$W80)))</f>
        <v/>
      </c>
      <c r="D80">
        <f>IF($W80="","",IF(INDEX('Per Invoice'!D$2:D$801,$W80)="","",INDEX('Per Invoice'!D$2:D$801,$W80)))</f>
        <v/>
      </c>
      <c r="E80">
        <f>IF($W80="","",IF(INDEX('Per Invoice'!E$2:E$801,$W80)="","",INDEX('Per Invoice'!E$2:E$801,$W80)))</f>
        <v/>
      </c>
      <c r="F80">
        <f>IF($W80="","",IF(INDEX('Per Invoice'!F$2:F$801,$W80)="","",INDEX('Per Invoice'!F$2:F$801,$W80)))</f>
        <v/>
      </c>
      <c r="G80">
        <f>IF($W80="","",IF(INDEX('Per Invoice'!G$2:G$801,$W80)="","",INDEX('Per Invoice'!G$2:G$801,$W80)))</f>
        <v/>
      </c>
      <c r="H80">
        <f>IF($W80="","",IF(INDEX('Per Invoice'!H$2:H$801,$W80)="","",INDEX('Per Invoice'!H$2:H$801,$W80)))</f>
        <v/>
      </c>
      <c r="I80">
        <f>IF($W80="","",IF(INDEX('Per Invoice'!I$2:I$801,$W80)="","",INDEX('Per Invoice'!I$2:I$801,$W80)))</f>
        <v/>
      </c>
      <c r="J80">
        <f>IF($W80="","",IF(INDEX('Per Invoice'!J$2:J$801,$W80)="","",INDEX('Per Invoice'!J$2:J$801,$W80)))</f>
        <v/>
      </c>
      <c r="K80" s="7">
        <f>IF($W80="","",IF(INDEX('Per Invoice'!K$2:K$801,$W80)="","",INDEX('Per Invoice'!K$2:K$801,$W80)))</f>
        <v/>
      </c>
      <c r="L80" s="14">
        <f>IF($W80="","",IF(INDEX('Per Invoice'!L$2:L$801,$W80)="","",INDEX('Per Invoice'!L$2:L$801,$W80)))</f>
        <v/>
      </c>
      <c r="M80">
        <f>IF($W80="","",IF(INDEX('Per Invoice'!M$2:M$801,$W80)="","",INDEX('Per Invoice'!M$2:M$801,$W80)))</f>
        <v/>
      </c>
      <c r="N80" s="7">
        <f>IF($W80="","",IF(INDEX('Per Invoice'!N$2:N$801,$W80)="","",INDEX('Per Invoice'!N$2:N$801,$W80)))</f>
        <v/>
      </c>
      <c r="O80" s="7">
        <f>IF($W80="","",IF(INDEX('Per Invoice'!O$2:O$801,$W80)="","",INDEX('Per Invoice'!O$2:O$801,$W80)))</f>
        <v/>
      </c>
      <c r="P80">
        <f>IF($W80="","",IF(INDEX('Per Invoice'!P$2:P$801,$W80)="","",INDEX('Per Invoice'!P$2:P$801,$W80)))</f>
        <v/>
      </c>
      <c r="Q80" s="7">
        <f>IF($W80="","",IF(INDEX('Per Invoice'!Q$2:Q$801,$W80)="","",INDEX('Per Invoice'!Q$2:Q$801,$W80)))</f>
        <v/>
      </c>
      <c r="R80" s="7">
        <f>IF($W80="","",IF(INDEX('Per Invoice'!R$2:R$801,$W80)="","",INDEX('Per Invoice'!R$2:R$801,$W80)))</f>
        <v/>
      </c>
      <c r="S80" s="7">
        <f>IF($W80="","",IF(INDEX('Per Invoice'!S$2:S$801,$W80)="","",INDEX('Per Invoice'!S$2:S$801,$W80)))</f>
        <v/>
      </c>
      <c r="T80" s="7">
        <f>IF($W80="","",IF(INDEX('Per Invoice'!T$2:T$801,$W80)="","",INDEX('Per Invoice'!T$2:T$801,$W80)))</f>
        <v/>
      </c>
      <c r="U80" s="7">
        <f>IF($W80="","",IF(INDEX('Per Invoice'!U$2:U$801,$W80)="","",INDEX('Per Invoice'!U$2:U$801,$W80)))</f>
        <v/>
      </c>
      <c r="V80" s="7">
        <f>IF($W80="","",IF(INDEX('Per Invoice'!V$2:V$801,$W80)="","",INDEX('Per Invoice'!V$2:V$801,$W80)))</f>
        <v/>
      </c>
      <c r="W80" s="16">
        <f>IFERROR(MATCH(Settings!$C$26&amp;"|"&amp;ROWS($W$2:$W80),'Per Invoice'!$X$2:$X$801,0),"")</f>
        <v/>
      </c>
    </row>
    <row r="81">
      <c r="A81">
        <f>IF($W81="","",IF(INDEX('Per Invoice'!A$2:A$801,$W81)="","",INDEX('Per Invoice'!A$2:A$801,$W81)))</f>
        <v/>
      </c>
      <c r="B81">
        <f>IF($W81="","",IF(INDEX('Per Invoice'!B$2:B$801,$W81)="","",INDEX('Per Invoice'!B$2:B$801,$W81)))</f>
        <v/>
      </c>
      <c r="C81">
        <f>IF($W81="","",IF(INDEX('Per Invoice'!C$2:C$801,$W81)="","",INDEX('Per Invoice'!C$2:C$801,$W81)))</f>
        <v/>
      </c>
      <c r="D81">
        <f>IF($W81="","",IF(INDEX('Per Invoice'!D$2:D$801,$W81)="","",INDEX('Per Invoice'!D$2:D$801,$W81)))</f>
        <v/>
      </c>
      <c r="E81">
        <f>IF($W81="","",IF(INDEX('Per Invoice'!E$2:E$801,$W81)="","",INDEX('Per Invoice'!E$2:E$801,$W81)))</f>
        <v/>
      </c>
      <c r="F81">
        <f>IF($W81="","",IF(INDEX('Per Invoice'!F$2:F$801,$W81)="","",INDEX('Per Invoice'!F$2:F$801,$W81)))</f>
        <v/>
      </c>
      <c r="G81">
        <f>IF($W81="","",IF(INDEX('Per Invoice'!G$2:G$801,$W81)="","",INDEX('Per Invoice'!G$2:G$801,$W81)))</f>
        <v/>
      </c>
      <c r="H81">
        <f>IF($W81="","",IF(INDEX('Per Invoice'!H$2:H$801,$W81)="","",INDEX('Per Invoice'!H$2:H$801,$W81)))</f>
        <v/>
      </c>
      <c r="I81">
        <f>IF($W81="","",IF(INDEX('Per Invoice'!I$2:I$801,$W81)="","",INDEX('Per Invoice'!I$2:I$801,$W81)))</f>
        <v/>
      </c>
      <c r="J81">
        <f>IF($W81="","",IF(INDEX('Per Invoice'!J$2:J$801,$W81)="","",INDEX('Per Invoice'!J$2:J$801,$W81)))</f>
        <v/>
      </c>
      <c r="K81" s="7">
        <f>IF($W81="","",IF(INDEX('Per Invoice'!K$2:K$801,$W81)="","",INDEX('Per Invoice'!K$2:K$801,$W81)))</f>
        <v/>
      </c>
      <c r="L81" s="14">
        <f>IF($W81="","",IF(INDEX('Per Invoice'!L$2:L$801,$W81)="","",INDEX('Per Invoice'!L$2:L$801,$W81)))</f>
        <v/>
      </c>
      <c r="M81">
        <f>IF($W81="","",IF(INDEX('Per Invoice'!M$2:M$801,$W81)="","",INDEX('Per Invoice'!M$2:M$801,$W81)))</f>
        <v/>
      </c>
      <c r="N81" s="7">
        <f>IF($W81="","",IF(INDEX('Per Invoice'!N$2:N$801,$W81)="","",INDEX('Per Invoice'!N$2:N$801,$W81)))</f>
        <v/>
      </c>
      <c r="O81" s="7">
        <f>IF($W81="","",IF(INDEX('Per Invoice'!O$2:O$801,$W81)="","",INDEX('Per Invoice'!O$2:O$801,$W81)))</f>
        <v/>
      </c>
      <c r="P81">
        <f>IF($W81="","",IF(INDEX('Per Invoice'!P$2:P$801,$W81)="","",INDEX('Per Invoice'!P$2:P$801,$W81)))</f>
        <v/>
      </c>
      <c r="Q81" s="7">
        <f>IF($W81="","",IF(INDEX('Per Invoice'!Q$2:Q$801,$W81)="","",INDEX('Per Invoice'!Q$2:Q$801,$W81)))</f>
        <v/>
      </c>
      <c r="R81" s="7">
        <f>IF($W81="","",IF(INDEX('Per Invoice'!R$2:R$801,$W81)="","",INDEX('Per Invoice'!R$2:R$801,$W81)))</f>
        <v/>
      </c>
      <c r="S81" s="7">
        <f>IF($W81="","",IF(INDEX('Per Invoice'!S$2:S$801,$W81)="","",INDEX('Per Invoice'!S$2:S$801,$W81)))</f>
        <v/>
      </c>
      <c r="T81" s="7">
        <f>IF($W81="","",IF(INDEX('Per Invoice'!T$2:T$801,$W81)="","",INDEX('Per Invoice'!T$2:T$801,$W81)))</f>
        <v/>
      </c>
      <c r="U81" s="7">
        <f>IF($W81="","",IF(INDEX('Per Invoice'!U$2:U$801,$W81)="","",INDEX('Per Invoice'!U$2:U$801,$W81)))</f>
        <v/>
      </c>
      <c r="V81" s="7">
        <f>IF($W81="","",IF(INDEX('Per Invoice'!V$2:V$801,$W81)="","",INDEX('Per Invoice'!V$2:V$801,$W81)))</f>
        <v/>
      </c>
      <c r="W81" s="16">
        <f>IFERROR(MATCH(Settings!$C$26&amp;"|"&amp;ROWS($W$2:$W81),'Per Invoice'!$X$2:$X$801,0),"")</f>
        <v/>
      </c>
    </row>
    <row r="82">
      <c r="A82">
        <f>IF($W82="","",IF(INDEX('Per Invoice'!A$2:A$801,$W82)="","",INDEX('Per Invoice'!A$2:A$801,$W82)))</f>
        <v/>
      </c>
      <c r="B82">
        <f>IF($W82="","",IF(INDEX('Per Invoice'!B$2:B$801,$W82)="","",INDEX('Per Invoice'!B$2:B$801,$W82)))</f>
        <v/>
      </c>
      <c r="C82">
        <f>IF($W82="","",IF(INDEX('Per Invoice'!C$2:C$801,$W82)="","",INDEX('Per Invoice'!C$2:C$801,$W82)))</f>
        <v/>
      </c>
      <c r="D82">
        <f>IF($W82="","",IF(INDEX('Per Invoice'!D$2:D$801,$W82)="","",INDEX('Per Invoice'!D$2:D$801,$W82)))</f>
        <v/>
      </c>
      <c r="E82">
        <f>IF($W82="","",IF(INDEX('Per Invoice'!E$2:E$801,$W82)="","",INDEX('Per Invoice'!E$2:E$801,$W82)))</f>
        <v/>
      </c>
      <c r="F82">
        <f>IF($W82="","",IF(INDEX('Per Invoice'!F$2:F$801,$W82)="","",INDEX('Per Invoice'!F$2:F$801,$W82)))</f>
        <v/>
      </c>
      <c r="G82">
        <f>IF($W82="","",IF(INDEX('Per Invoice'!G$2:G$801,$W82)="","",INDEX('Per Invoice'!G$2:G$801,$W82)))</f>
        <v/>
      </c>
      <c r="H82">
        <f>IF($W82="","",IF(INDEX('Per Invoice'!H$2:H$801,$W82)="","",INDEX('Per Invoice'!H$2:H$801,$W82)))</f>
        <v/>
      </c>
      <c r="I82">
        <f>IF($W82="","",IF(INDEX('Per Invoice'!I$2:I$801,$W82)="","",INDEX('Per Invoice'!I$2:I$801,$W82)))</f>
        <v/>
      </c>
      <c r="J82">
        <f>IF($W82="","",IF(INDEX('Per Invoice'!J$2:J$801,$W82)="","",INDEX('Per Invoice'!J$2:J$801,$W82)))</f>
        <v/>
      </c>
      <c r="K82" s="7">
        <f>IF($W82="","",IF(INDEX('Per Invoice'!K$2:K$801,$W82)="","",INDEX('Per Invoice'!K$2:K$801,$W82)))</f>
        <v/>
      </c>
      <c r="L82" s="14">
        <f>IF($W82="","",IF(INDEX('Per Invoice'!L$2:L$801,$W82)="","",INDEX('Per Invoice'!L$2:L$801,$W82)))</f>
        <v/>
      </c>
      <c r="M82">
        <f>IF($W82="","",IF(INDEX('Per Invoice'!M$2:M$801,$W82)="","",INDEX('Per Invoice'!M$2:M$801,$W82)))</f>
        <v/>
      </c>
      <c r="N82" s="7">
        <f>IF($W82="","",IF(INDEX('Per Invoice'!N$2:N$801,$W82)="","",INDEX('Per Invoice'!N$2:N$801,$W82)))</f>
        <v/>
      </c>
      <c r="O82" s="7">
        <f>IF($W82="","",IF(INDEX('Per Invoice'!O$2:O$801,$W82)="","",INDEX('Per Invoice'!O$2:O$801,$W82)))</f>
        <v/>
      </c>
      <c r="P82">
        <f>IF($W82="","",IF(INDEX('Per Invoice'!P$2:P$801,$W82)="","",INDEX('Per Invoice'!P$2:P$801,$W82)))</f>
        <v/>
      </c>
      <c r="Q82" s="7">
        <f>IF($W82="","",IF(INDEX('Per Invoice'!Q$2:Q$801,$W82)="","",INDEX('Per Invoice'!Q$2:Q$801,$W82)))</f>
        <v/>
      </c>
      <c r="R82" s="7">
        <f>IF($W82="","",IF(INDEX('Per Invoice'!R$2:R$801,$W82)="","",INDEX('Per Invoice'!R$2:R$801,$W82)))</f>
        <v/>
      </c>
      <c r="S82" s="7">
        <f>IF($W82="","",IF(INDEX('Per Invoice'!S$2:S$801,$W82)="","",INDEX('Per Invoice'!S$2:S$801,$W82)))</f>
        <v/>
      </c>
      <c r="T82" s="7">
        <f>IF($W82="","",IF(INDEX('Per Invoice'!T$2:T$801,$W82)="","",INDEX('Per Invoice'!T$2:T$801,$W82)))</f>
        <v/>
      </c>
      <c r="U82" s="7">
        <f>IF($W82="","",IF(INDEX('Per Invoice'!U$2:U$801,$W82)="","",INDEX('Per Invoice'!U$2:U$801,$W82)))</f>
        <v/>
      </c>
      <c r="V82" s="7">
        <f>IF($W82="","",IF(INDEX('Per Invoice'!V$2:V$801,$W82)="","",INDEX('Per Invoice'!V$2:V$801,$W82)))</f>
        <v/>
      </c>
      <c r="W82" s="16">
        <f>IFERROR(MATCH(Settings!$C$26&amp;"|"&amp;ROWS($W$2:$W82),'Per Invoice'!$X$2:$X$801,0),"")</f>
        <v/>
      </c>
    </row>
    <row r="83">
      <c r="A83">
        <f>IF($W83="","",IF(INDEX('Per Invoice'!A$2:A$801,$W83)="","",INDEX('Per Invoice'!A$2:A$801,$W83)))</f>
        <v/>
      </c>
      <c r="B83">
        <f>IF($W83="","",IF(INDEX('Per Invoice'!B$2:B$801,$W83)="","",INDEX('Per Invoice'!B$2:B$801,$W83)))</f>
        <v/>
      </c>
      <c r="C83">
        <f>IF($W83="","",IF(INDEX('Per Invoice'!C$2:C$801,$W83)="","",INDEX('Per Invoice'!C$2:C$801,$W83)))</f>
        <v/>
      </c>
      <c r="D83">
        <f>IF($W83="","",IF(INDEX('Per Invoice'!D$2:D$801,$W83)="","",INDEX('Per Invoice'!D$2:D$801,$W83)))</f>
        <v/>
      </c>
      <c r="E83">
        <f>IF($W83="","",IF(INDEX('Per Invoice'!E$2:E$801,$W83)="","",INDEX('Per Invoice'!E$2:E$801,$W83)))</f>
        <v/>
      </c>
      <c r="F83">
        <f>IF($W83="","",IF(INDEX('Per Invoice'!F$2:F$801,$W83)="","",INDEX('Per Invoice'!F$2:F$801,$W83)))</f>
        <v/>
      </c>
      <c r="G83">
        <f>IF($W83="","",IF(INDEX('Per Invoice'!G$2:G$801,$W83)="","",INDEX('Per Invoice'!G$2:G$801,$W83)))</f>
        <v/>
      </c>
      <c r="H83">
        <f>IF($W83="","",IF(INDEX('Per Invoice'!H$2:H$801,$W83)="","",INDEX('Per Invoice'!H$2:H$801,$W83)))</f>
        <v/>
      </c>
      <c r="I83">
        <f>IF($W83="","",IF(INDEX('Per Invoice'!I$2:I$801,$W83)="","",INDEX('Per Invoice'!I$2:I$801,$W83)))</f>
        <v/>
      </c>
      <c r="J83">
        <f>IF($W83="","",IF(INDEX('Per Invoice'!J$2:J$801,$W83)="","",INDEX('Per Invoice'!J$2:J$801,$W83)))</f>
        <v/>
      </c>
      <c r="K83" s="7">
        <f>IF($W83="","",IF(INDEX('Per Invoice'!K$2:K$801,$W83)="","",INDEX('Per Invoice'!K$2:K$801,$W83)))</f>
        <v/>
      </c>
      <c r="L83" s="14">
        <f>IF($W83="","",IF(INDEX('Per Invoice'!L$2:L$801,$W83)="","",INDEX('Per Invoice'!L$2:L$801,$W83)))</f>
        <v/>
      </c>
      <c r="M83">
        <f>IF($W83="","",IF(INDEX('Per Invoice'!M$2:M$801,$W83)="","",INDEX('Per Invoice'!M$2:M$801,$W83)))</f>
        <v/>
      </c>
      <c r="N83" s="7">
        <f>IF($W83="","",IF(INDEX('Per Invoice'!N$2:N$801,$W83)="","",INDEX('Per Invoice'!N$2:N$801,$W83)))</f>
        <v/>
      </c>
      <c r="O83" s="7">
        <f>IF($W83="","",IF(INDEX('Per Invoice'!O$2:O$801,$W83)="","",INDEX('Per Invoice'!O$2:O$801,$W83)))</f>
        <v/>
      </c>
      <c r="P83">
        <f>IF($W83="","",IF(INDEX('Per Invoice'!P$2:P$801,$W83)="","",INDEX('Per Invoice'!P$2:P$801,$W83)))</f>
        <v/>
      </c>
      <c r="Q83" s="7">
        <f>IF($W83="","",IF(INDEX('Per Invoice'!Q$2:Q$801,$W83)="","",INDEX('Per Invoice'!Q$2:Q$801,$W83)))</f>
        <v/>
      </c>
      <c r="R83" s="7">
        <f>IF($W83="","",IF(INDEX('Per Invoice'!R$2:R$801,$W83)="","",INDEX('Per Invoice'!R$2:R$801,$W83)))</f>
        <v/>
      </c>
      <c r="S83" s="7">
        <f>IF($W83="","",IF(INDEX('Per Invoice'!S$2:S$801,$W83)="","",INDEX('Per Invoice'!S$2:S$801,$W83)))</f>
        <v/>
      </c>
      <c r="T83" s="7">
        <f>IF($W83="","",IF(INDEX('Per Invoice'!T$2:T$801,$W83)="","",INDEX('Per Invoice'!T$2:T$801,$W83)))</f>
        <v/>
      </c>
      <c r="U83" s="7">
        <f>IF($W83="","",IF(INDEX('Per Invoice'!U$2:U$801,$W83)="","",INDEX('Per Invoice'!U$2:U$801,$W83)))</f>
        <v/>
      </c>
      <c r="V83" s="7">
        <f>IF($W83="","",IF(INDEX('Per Invoice'!V$2:V$801,$W83)="","",INDEX('Per Invoice'!V$2:V$801,$W83)))</f>
        <v/>
      </c>
      <c r="W83" s="16">
        <f>IFERROR(MATCH(Settings!$C$26&amp;"|"&amp;ROWS($W$2:$W83),'Per Invoice'!$X$2:$X$801,0),"")</f>
        <v/>
      </c>
    </row>
    <row r="84">
      <c r="A84">
        <f>IF($W84="","",IF(INDEX('Per Invoice'!A$2:A$801,$W84)="","",INDEX('Per Invoice'!A$2:A$801,$W84)))</f>
        <v/>
      </c>
      <c r="B84">
        <f>IF($W84="","",IF(INDEX('Per Invoice'!B$2:B$801,$W84)="","",INDEX('Per Invoice'!B$2:B$801,$W84)))</f>
        <v/>
      </c>
      <c r="C84">
        <f>IF($W84="","",IF(INDEX('Per Invoice'!C$2:C$801,$W84)="","",INDEX('Per Invoice'!C$2:C$801,$W84)))</f>
        <v/>
      </c>
      <c r="D84">
        <f>IF($W84="","",IF(INDEX('Per Invoice'!D$2:D$801,$W84)="","",INDEX('Per Invoice'!D$2:D$801,$W84)))</f>
        <v/>
      </c>
      <c r="E84">
        <f>IF($W84="","",IF(INDEX('Per Invoice'!E$2:E$801,$W84)="","",INDEX('Per Invoice'!E$2:E$801,$W84)))</f>
        <v/>
      </c>
      <c r="F84">
        <f>IF($W84="","",IF(INDEX('Per Invoice'!F$2:F$801,$W84)="","",INDEX('Per Invoice'!F$2:F$801,$W84)))</f>
        <v/>
      </c>
      <c r="G84">
        <f>IF($W84="","",IF(INDEX('Per Invoice'!G$2:G$801,$W84)="","",INDEX('Per Invoice'!G$2:G$801,$W84)))</f>
        <v/>
      </c>
      <c r="H84">
        <f>IF($W84="","",IF(INDEX('Per Invoice'!H$2:H$801,$W84)="","",INDEX('Per Invoice'!H$2:H$801,$W84)))</f>
        <v/>
      </c>
      <c r="I84">
        <f>IF($W84="","",IF(INDEX('Per Invoice'!I$2:I$801,$W84)="","",INDEX('Per Invoice'!I$2:I$801,$W84)))</f>
        <v/>
      </c>
      <c r="J84">
        <f>IF($W84="","",IF(INDEX('Per Invoice'!J$2:J$801,$W84)="","",INDEX('Per Invoice'!J$2:J$801,$W84)))</f>
        <v/>
      </c>
      <c r="K84" s="7">
        <f>IF($W84="","",IF(INDEX('Per Invoice'!K$2:K$801,$W84)="","",INDEX('Per Invoice'!K$2:K$801,$W84)))</f>
        <v/>
      </c>
      <c r="L84" s="14">
        <f>IF($W84="","",IF(INDEX('Per Invoice'!L$2:L$801,$W84)="","",INDEX('Per Invoice'!L$2:L$801,$W84)))</f>
        <v/>
      </c>
      <c r="M84">
        <f>IF($W84="","",IF(INDEX('Per Invoice'!M$2:M$801,$W84)="","",INDEX('Per Invoice'!M$2:M$801,$W84)))</f>
        <v/>
      </c>
      <c r="N84" s="7">
        <f>IF($W84="","",IF(INDEX('Per Invoice'!N$2:N$801,$W84)="","",INDEX('Per Invoice'!N$2:N$801,$W84)))</f>
        <v/>
      </c>
      <c r="O84" s="7">
        <f>IF($W84="","",IF(INDEX('Per Invoice'!O$2:O$801,$W84)="","",INDEX('Per Invoice'!O$2:O$801,$W84)))</f>
        <v/>
      </c>
      <c r="P84">
        <f>IF($W84="","",IF(INDEX('Per Invoice'!P$2:P$801,$W84)="","",INDEX('Per Invoice'!P$2:P$801,$W84)))</f>
        <v/>
      </c>
      <c r="Q84" s="7">
        <f>IF($W84="","",IF(INDEX('Per Invoice'!Q$2:Q$801,$W84)="","",INDEX('Per Invoice'!Q$2:Q$801,$W84)))</f>
        <v/>
      </c>
      <c r="R84" s="7">
        <f>IF($W84="","",IF(INDEX('Per Invoice'!R$2:R$801,$W84)="","",INDEX('Per Invoice'!R$2:R$801,$W84)))</f>
        <v/>
      </c>
      <c r="S84" s="7">
        <f>IF($W84="","",IF(INDEX('Per Invoice'!S$2:S$801,$W84)="","",INDEX('Per Invoice'!S$2:S$801,$W84)))</f>
        <v/>
      </c>
      <c r="T84" s="7">
        <f>IF($W84="","",IF(INDEX('Per Invoice'!T$2:T$801,$W84)="","",INDEX('Per Invoice'!T$2:T$801,$W84)))</f>
        <v/>
      </c>
      <c r="U84" s="7">
        <f>IF($W84="","",IF(INDEX('Per Invoice'!U$2:U$801,$W84)="","",INDEX('Per Invoice'!U$2:U$801,$W84)))</f>
        <v/>
      </c>
      <c r="V84" s="7">
        <f>IF($W84="","",IF(INDEX('Per Invoice'!V$2:V$801,$W84)="","",INDEX('Per Invoice'!V$2:V$801,$W84)))</f>
        <v/>
      </c>
      <c r="W84" s="16">
        <f>IFERROR(MATCH(Settings!$C$26&amp;"|"&amp;ROWS($W$2:$W84),'Per Invoice'!$X$2:$X$801,0),"")</f>
        <v/>
      </c>
    </row>
    <row r="85">
      <c r="A85">
        <f>IF($W85="","",IF(INDEX('Per Invoice'!A$2:A$801,$W85)="","",INDEX('Per Invoice'!A$2:A$801,$W85)))</f>
        <v/>
      </c>
      <c r="B85">
        <f>IF($W85="","",IF(INDEX('Per Invoice'!B$2:B$801,$W85)="","",INDEX('Per Invoice'!B$2:B$801,$W85)))</f>
        <v/>
      </c>
      <c r="C85">
        <f>IF($W85="","",IF(INDEX('Per Invoice'!C$2:C$801,$W85)="","",INDEX('Per Invoice'!C$2:C$801,$W85)))</f>
        <v/>
      </c>
      <c r="D85">
        <f>IF($W85="","",IF(INDEX('Per Invoice'!D$2:D$801,$W85)="","",INDEX('Per Invoice'!D$2:D$801,$W85)))</f>
        <v/>
      </c>
      <c r="E85">
        <f>IF($W85="","",IF(INDEX('Per Invoice'!E$2:E$801,$W85)="","",INDEX('Per Invoice'!E$2:E$801,$W85)))</f>
        <v/>
      </c>
      <c r="F85">
        <f>IF($W85="","",IF(INDEX('Per Invoice'!F$2:F$801,$W85)="","",INDEX('Per Invoice'!F$2:F$801,$W85)))</f>
        <v/>
      </c>
      <c r="G85">
        <f>IF($W85="","",IF(INDEX('Per Invoice'!G$2:G$801,$W85)="","",INDEX('Per Invoice'!G$2:G$801,$W85)))</f>
        <v/>
      </c>
      <c r="H85">
        <f>IF($W85="","",IF(INDEX('Per Invoice'!H$2:H$801,$W85)="","",INDEX('Per Invoice'!H$2:H$801,$W85)))</f>
        <v/>
      </c>
      <c r="I85">
        <f>IF($W85="","",IF(INDEX('Per Invoice'!I$2:I$801,$W85)="","",INDEX('Per Invoice'!I$2:I$801,$W85)))</f>
        <v/>
      </c>
      <c r="J85">
        <f>IF($W85="","",IF(INDEX('Per Invoice'!J$2:J$801,$W85)="","",INDEX('Per Invoice'!J$2:J$801,$W85)))</f>
        <v/>
      </c>
      <c r="K85" s="7">
        <f>IF($W85="","",IF(INDEX('Per Invoice'!K$2:K$801,$W85)="","",INDEX('Per Invoice'!K$2:K$801,$W85)))</f>
        <v/>
      </c>
      <c r="L85" s="14">
        <f>IF($W85="","",IF(INDEX('Per Invoice'!L$2:L$801,$W85)="","",INDEX('Per Invoice'!L$2:L$801,$W85)))</f>
        <v/>
      </c>
      <c r="M85">
        <f>IF($W85="","",IF(INDEX('Per Invoice'!M$2:M$801,$W85)="","",INDEX('Per Invoice'!M$2:M$801,$W85)))</f>
        <v/>
      </c>
      <c r="N85" s="7">
        <f>IF($W85="","",IF(INDEX('Per Invoice'!N$2:N$801,$W85)="","",INDEX('Per Invoice'!N$2:N$801,$W85)))</f>
        <v/>
      </c>
      <c r="O85" s="7">
        <f>IF($W85="","",IF(INDEX('Per Invoice'!O$2:O$801,$W85)="","",INDEX('Per Invoice'!O$2:O$801,$W85)))</f>
        <v/>
      </c>
      <c r="P85">
        <f>IF($W85="","",IF(INDEX('Per Invoice'!P$2:P$801,$W85)="","",INDEX('Per Invoice'!P$2:P$801,$W85)))</f>
        <v/>
      </c>
      <c r="Q85" s="7">
        <f>IF($W85="","",IF(INDEX('Per Invoice'!Q$2:Q$801,$W85)="","",INDEX('Per Invoice'!Q$2:Q$801,$W85)))</f>
        <v/>
      </c>
      <c r="R85" s="7">
        <f>IF($W85="","",IF(INDEX('Per Invoice'!R$2:R$801,$W85)="","",INDEX('Per Invoice'!R$2:R$801,$W85)))</f>
        <v/>
      </c>
      <c r="S85" s="7">
        <f>IF($W85="","",IF(INDEX('Per Invoice'!S$2:S$801,$W85)="","",INDEX('Per Invoice'!S$2:S$801,$W85)))</f>
        <v/>
      </c>
      <c r="T85" s="7">
        <f>IF($W85="","",IF(INDEX('Per Invoice'!T$2:T$801,$W85)="","",INDEX('Per Invoice'!T$2:T$801,$W85)))</f>
        <v/>
      </c>
      <c r="U85" s="7">
        <f>IF($W85="","",IF(INDEX('Per Invoice'!U$2:U$801,$W85)="","",INDEX('Per Invoice'!U$2:U$801,$W85)))</f>
        <v/>
      </c>
      <c r="V85" s="7">
        <f>IF($W85="","",IF(INDEX('Per Invoice'!V$2:V$801,$W85)="","",INDEX('Per Invoice'!V$2:V$801,$W85)))</f>
        <v/>
      </c>
      <c r="W85" s="16">
        <f>IFERROR(MATCH(Settings!$C$26&amp;"|"&amp;ROWS($W$2:$W85),'Per Invoice'!$X$2:$X$801,0),"")</f>
        <v/>
      </c>
    </row>
    <row r="86">
      <c r="A86">
        <f>IF($W86="","",IF(INDEX('Per Invoice'!A$2:A$801,$W86)="","",INDEX('Per Invoice'!A$2:A$801,$W86)))</f>
        <v/>
      </c>
      <c r="B86">
        <f>IF($W86="","",IF(INDEX('Per Invoice'!B$2:B$801,$W86)="","",INDEX('Per Invoice'!B$2:B$801,$W86)))</f>
        <v/>
      </c>
      <c r="C86">
        <f>IF($W86="","",IF(INDEX('Per Invoice'!C$2:C$801,$W86)="","",INDEX('Per Invoice'!C$2:C$801,$W86)))</f>
        <v/>
      </c>
      <c r="D86">
        <f>IF($W86="","",IF(INDEX('Per Invoice'!D$2:D$801,$W86)="","",INDEX('Per Invoice'!D$2:D$801,$W86)))</f>
        <v/>
      </c>
      <c r="E86">
        <f>IF($W86="","",IF(INDEX('Per Invoice'!E$2:E$801,$W86)="","",INDEX('Per Invoice'!E$2:E$801,$W86)))</f>
        <v/>
      </c>
      <c r="F86">
        <f>IF($W86="","",IF(INDEX('Per Invoice'!F$2:F$801,$W86)="","",INDEX('Per Invoice'!F$2:F$801,$W86)))</f>
        <v/>
      </c>
      <c r="G86">
        <f>IF($W86="","",IF(INDEX('Per Invoice'!G$2:G$801,$W86)="","",INDEX('Per Invoice'!G$2:G$801,$W86)))</f>
        <v/>
      </c>
      <c r="H86">
        <f>IF($W86="","",IF(INDEX('Per Invoice'!H$2:H$801,$W86)="","",INDEX('Per Invoice'!H$2:H$801,$W86)))</f>
        <v/>
      </c>
      <c r="I86">
        <f>IF($W86="","",IF(INDEX('Per Invoice'!I$2:I$801,$W86)="","",INDEX('Per Invoice'!I$2:I$801,$W86)))</f>
        <v/>
      </c>
      <c r="J86">
        <f>IF($W86="","",IF(INDEX('Per Invoice'!J$2:J$801,$W86)="","",INDEX('Per Invoice'!J$2:J$801,$W86)))</f>
        <v/>
      </c>
      <c r="K86" s="7">
        <f>IF($W86="","",IF(INDEX('Per Invoice'!K$2:K$801,$W86)="","",INDEX('Per Invoice'!K$2:K$801,$W86)))</f>
        <v/>
      </c>
      <c r="L86" s="14">
        <f>IF($W86="","",IF(INDEX('Per Invoice'!L$2:L$801,$W86)="","",INDEX('Per Invoice'!L$2:L$801,$W86)))</f>
        <v/>
      </c>
      <c r="M86">
        <f>IF($W86="","",IF(INDEX('Per Invoice'!M$2:M$801,$W86)="","",INDEX('Per Invoice'!M$2:M$801,$W86)))</f>
        <v/>
      </c>
      <c r="N86" s="7">
        <f>IF($W86="","",IF(INDEX('Per Invoice'!N$2:N$801,$W86)="","",INDEX('Per Invoice'!N$2:N$801,$W86)))</f>
        <v/>
      </c>
      <c r="O86" s="7">
        <f>IF($W86="","",IF(INDEX('Per Invoice'!O$2:O$801,$W86)="","",INDEX('Per Invoice'!O$2:O$801,$W86)))</f>
        <v/>
      </c>
      <c r="P86">
        <f>IF($W86="","",IF(INDEX('Per Invoice'!P$2:P$801,$W86)="","",INDEX('Per Invoice'!P$2:P$801,$W86)))</f>
        <v/>
      </c>
      <c r="Q86" s="7">
        <f>IF($W86="","",IF(INDEX('Per Invoice'!Q$2:Q$801,$W86)="","",INDEX('Per Invoice'!Q$2:Q$801,$W86)))</f>
        <v/>
      </c>
      <c r="R86" s="7">
        <f>IF($W86="","",IF(INDEX('Per Invoice'!R$2:R$801,$W86)="","",INDEX('Per Invoice'!R$2:R$801,$W86)))</f>
        <v/>
      </c>
      <c r="S86" s="7">
        <f>IF($W86="","",IF(INDEX('Per Invoice'!S$2:S$801,$W86)="","",INDEX('Per Invoice'!S$2:S$801,$W86)))</f>
        <v/>
      </c>
      <c r="T86" s="7">
        <f>IF($W86="","",IF(INDEX('Per Invoice'!T$2:T$801,$W86)="","",INDEX('Per Invoice'!T$2:T$801,$W86)))</f>
        <v/>
      </c>
      <c r="U86" s="7">
        <f>IF($W86="","",IF(INDEX('Per Invoice'!U$2:U$801,$W86)="","",INDEX('Per Invoice'!U$2:U$801,$W86)))</f>
        <v/>
      </c>
      <c r="V86" s="7">
        <f>IF($W86="","",IF(INDEX('Per Invoice'!V$2:V$801,$W86)="","",INDEX('Per Invoice'!V$2:V$801,$W86)))</f>
        <v/>
      </c>
      <c r="W86" s="16">
        <f>IFERROR(MATCH(Settings!$C$26&amp;"|"&amp;ROWS($W$2:$W86),'Per Invoice'!$X$2:$X$801,0),"")</f>
        <v/>
      </c>
    </row>
    <row r="87">
      <c r="A87">
        <f>IF($W87="","",IF(INDEX('Per Invoice'!A$2:A$801,$W87)="","",INDEX('Per Invoice'!A$2:A$801,$W87)))</f>
        <v/>
      </c>
      <c r="B87">
        <f>IF($W87="","",IF(INDEX('Per Invoice'!B$2:B$801,$W87)="","",INDEX('Per Invoice'!B$2:B$801,$W87)))</f>
        <v/>
      </c>
      <c r="C87">
        <f>IF($W87="","",IF(INDEX('Per Invoice'!C$2:C$801,$W87)="","",INDEX('Per Invoice'!C$2:C$801,$W87)))</f>
        <v/>
      </c>
      <c r="D87">
        <f>IF($W87="","",IF(INDEX('Per Invoice'!D$2:D$801,$W87)="","",INDEX('Per Invoice'!D$2:D$801,$W87)))</f>
        <v/>
      </c>
      <c r="E87">
        <f>IF($W87="","",IF(INDEX('Per Invoice'!E$2:E$801,$W87)="","",INDEX('Per Invoice'!E$2:E$801,$W87)))</f>
        <v/>
      </c>
      <c r="F87">
        <f>IF($W87="","",IF(INDEX('Per Invoice'!F$2:F$801,$W87)="","",INDEX('Per Invoice'!F$2:F$801,$W87)))</f>
        <v/>
      </c>
      <c r="G87">
        <f>IF($W87="","",IF(INDEX('Per Invoice'!G$2:G$801,$W87)="","",INDEX('Per Invoice'!G$2:G$801,$W87)))</f>
        <v/>
      </c>
      <c r="H87">
        <f>IF($W87="","",IF(INDEX('Per Invoice'!H$2:H$801,$W87)="","",INDEX('Per Invoice'!H$2:H$801,$W87)))</f>
        <v/>
      </c>
      <c r="I87">
        <f>IF($W87="","",IF(INDEX('Per Invoice'!I$2:I$801,$W87)="","",INDEX('Per Invoice'!I$2:I$801,$W87)))</f>
        <v/>
      </c>
      <c r="J87">
        <f>IF($W87="","",IF(INDEX('Per Invoice'!J$2:J$801,$W87)="","",INDEX('Per Invoice'!J$2:J$801,$W87)))</f>
        <v/>
      </c>
      <c r="K87" s="7">
        <f>IF($W87="","",IF(INDEX('Per Invoice'!K$2:K$801,$W87)="","",INDEX('Per Invoice'!K$2:K$801,$W87)))</f>
        <v/>
      </c>
      <c r="L87" s="14">
        <f>IF($W87="","",IF(INDEX('Per Invoice'!L$2:L$801,$W87)="","",INDEX('Per Invoice'!L$2:L$801,$W87)))</f>
        <v/>
      </c>
      <c r="M87">
        <f>IF($W87="","",IF(INDEX('Per Invoice'!M$2:M$801,$W87)="","",INDEX('Per Invoice'!M$2:M$801,$W87)))</f>
        <v/>
      </c>
      <c r="N87" s="7">
        <f>IF($W87="","",IF(INDEX('Per Invoice'!N$2:N$801,$W87)="","",INDEX('Per Invoice'!N$2:N$801,$W87)))</f>
        <v/>
      </c>
      <c r="O87" s="7">
        <f>IF($W87="","",IF(INDEX('Per Invoice'!O$2:O$801,$W87)="","",INDEX('Per Invoice'!O$2:O$801,$W87)))</f>
        <v/>
      </c>
      <c r="P87">
        <f>IF($W87="","",IF(INDEX('Per Invoice'!P$2:P$801,$W87)="","",INDEX('Per Invoice'!P$2:P$801,$W87)))</f>
        <v/>
      </c>
      <c r="Q87" s="7">
        <f>IF($W87="","",IF(INDEX('Per Invoice'!Q$2:Q$801,$W87)="","",INDEX('Per Invoice'!Q$2:Q$801,$W87)))</f>
        <v/>
      </c>
      <c r="R87" s="7">
        <f>IF($W87="","",IF(INDEX('Per Invoice'!R$2:R$801,$W87)="","",INDEX('Per Invoice'!R$2:R$801,$W87)))</f>
        <v/>
      </c>
      <c r="S87" s="7">
        <f>IF($W87="","",IF(INDEX('Per Invoice'!S$2:S$801,$W87)="","",INDEX('Per Invoice'!S$2:S$801,$W87)))</f>
        <v/>
      </c>
      <c r="T87" s="7">
        <f>IF($W87="","",IF(INDEX('Per Invoice'!T$2:T$801,$W87)="","",INDEX('Per Invoice'!T$2:T$801,$W87)))</f>
        <v/>
      </c>
      <c r="U87" s="7">
        <f>IF($W87="","",IF(INDEX('Per Invoice'!U$2:U$801,$W87)="","",INDEX('Per Invoice'!U$2:U$801,$W87)))</f>
        <v/>
      </c>
      <c r="V87" s="7">
        <f>IF($W87="","",IF(INDEX('Per Invoice'!V$2:V$801,$W87)="","",INDEX('Per Invoice'!V$2:V$801,$W87)))</f>
        <v/>
      </c>
      <c r="W87" s="16">
        <f>IFERROR(MATCH(Settings!$C$26&amp;"|"&amp;ROWS($W$2:$W87),'Per Invoice'!$X$2:$X$801,0),"")</f>
        <v/>
      </c>
    </row>
    <row r="88">
      <c r="A88">
        <f>IF($W88="","",IF(INDEX('Per Invoice'!A$2:A$801,$W88)="","",INDEX('Per Invoice'!A$2:A$801,$W88)))</f>
        <v/>
      </c>
      <c r="B88">
        <f>IF($W88="","",IF(INDEX('Per Invoice'!B$2:B$801,$W88)="","",INDEX('Per Invoice'!B$2:B$801,$W88)))</f>
        <v/>
      </c>
      <c r="C88">
        <f>IF($W88="","",IF(INDEX('Per Invoice'!C$2:C$801,$W88)="","",INDEX('Per Invoice'!C$2:C$801,$W88)))</f>
        <v/>
      </c>
      <c r="D88">
        <f>IF($W88="","",IF(INDEX('Per Invoice'!D$2:D$801,$W88)="","",INDEX('Per Invoice'!D$2:D$801,$W88)))</f>
        <v/>
      </c>
      <c r="E88">
        <f>IF($W88="","",IF(INDEX('Per Invoice'!E$2:E$801,$W88)="","",INDEX('Per Invoice'!E$2:E$801,$W88)))</f>
        <v/>
      </c>
      <c r="F88">
        <f>IF($W88="","",IF(INDEX('Per Invoice'!F$2:F$801,$W88)="","",INDEX('Per Invoice'!F$2:F$801,$W88)))</f>
        <v/>
      </c>
      <c r="G88">
        <f>IF($W88="","",IF(INDEX('Per Invoice'!G$2:G$801,$W88)="","",INDEX('Per Invoice'!G$2:G$801,$W88)))</f>
        <v/>
      </c>
      <c r="H88">
        <f>IF($W88="","",IF(INDEX('Per Invoice'!H$2:H$801,$W88)="","",INDEX('Per Invoice'!H$2:H$801,$W88)))</f>
        <v/>
      </c>
      <c r="I88">
        <f>IF($W88="","",IF(INDEX('Per Invoice'!I$2:I$801,$W88)="","",INDEX('Per Invoice'!I$2:I$801,$W88)))</f>
        <v/>
      </c>
      <c r="J88">
        <f>IF($W88="","",IF(INDEX('Per Invoice'!J$2:J$801,$W88)="","",INDEX('Per Invoice'!J$2:J$801,$W88)))</f>
        <v/>
      </c>
      <c r="K88" s="7">
        <f>IF($W88="","",IF(INDEX('Per Invoice'!K$2:K$801,$W88)="","",INDEX('Per Invoice'!K$2:K$801,$W88)))</f>
        <v/>
      </c>
      <c r="L88" s="14">
        <f>IF($W88="","",IF(INDEX('Per Invoice'!L$2:L$801,$W88)="","",INDEX('Per Invoice'!L$2:L$801,$W88)))</f>
        <v/>
      </c>
      <c r="M88">
        <f>IF($W88="","",IF(INDEX('Per Invoice'!M$2:M$801,$W88)="","",INDEX('Per Invoice'!M$2:M$801,$W88)))</f>
        <v/>
      </c>
      <c r="N88" s="7">
        <f>IF($W88="","",IF(INDEX('Per Invoice'!N$2:N$801,$W88)="","",INDEX('Per Invoice'!N$2:N$801,$W88)))</f>
        <v/>
      </c>
      <c r="O88" s="7">
        <f>IF($W88="","",IF(INDEX('Per Invoice'!O$2:O$801,$W88)="","",INDEX('Per Invoice'!O$2:O$801,$W88)))</f>
        <v/>
      </c>
      <c r="P88">
        <f>IF($W88="","",IF(INDEX('Per Invoice'!P$2:P$801,$W88)="","",INDEX('Per Invoice'!P$2:P$801,$W88)))</f>
        <v/>
      </c>
      <c r="Q88" s="7">
        <f>IF($W88="","",IF(INDEX('Per Invoice'!Q$2:Q$801,$W88)="","",INDEX('Per Invoice'!Q$2:Q$801,$W88)))</f>
        <v/>
      </c>
      <c r="R88" s="7">
        <f>IF($W88="","",IF(INDEX('Per Invoice'!R$2:R$801,$W88)="","",INDEX('Per Invoice'!R$2:R$801,$W88)))</f>
        <v/>
      </c>
      <c r="S88" s="7">
        <f>IF($W88="","",IF(INDEX('Per Invoice'!S$2:S$801,$W88)="","",INDEX('Per Invoice'!S$2:S$801,$W88)))</f>
        <v/>
      </c>
      <c r="T88" s="7">
        <f>IF($W88="","",IF(INDEX('Per Invoice'!T$2:T$801,$W88)="","",INDEX('Per Invoice'!T$2:T$801,$W88)))</f>
        <v/>
      </c>
      <c r="U88" s="7">
        <f>IF($W88="","",IF(INDEX('Per Invoice'!U$2:U$801,$W88)="","",INDEX('Per Invoice'!U$2:U$801,$W88)))</f>
        <v/>
      </c>
      <c r="V88" s="7">
        <f>IF($W88="","",IF(INDEX('Per Invoice'!V$2:V$801,$W88)="","",INDEX('Per Invoice'!V$2:V$801,$W88)))</f>
        <v/>
      </c>
      <c r="W88" s="16">
        <f>IFERROR(MATCH(Settings!$C$26&amp;"|"&amp;ROWS($W$2:$W88),'Per Invoice'!$X$2:$X$801,0),"")</f>
        <v/>
      </c>
    </row>
    <row r="89">
      <c r="A89">
        <f>IF($W89="","",IF(INDEX('Per Invoice'!A$2:A$801,$W89)="","",INDEX('Per Invoice'!A$2:A$801,$W89)))</f>
        <v/>
      </c>
      <c r="B89">
        <f>IF($W89="","",IF(INDEX('Per Invoice'!B$2:B$801,$W89)="","",INDEX('Per Invoice'!B$2:B$801,$W89)))</f>
        <v/>
      </c>
      <c r="C89">
        <f>IF($W89="","",IF(INDEX('Per Invoice'!C$2:C$801,$W89)="","",INDEX('Per Invoice'!C$2:C$801,$W89)))</f>
        <v/>
      </c>
      <c r="D89">
        <f>IF($W89="","",IF(INDEX('Per Invoice'!D$2:D$801,$W89)="","",INDEX('Per Invoice'!D$2:D$801,$W89)))</f>
        <v/>
      </c>
      <c r="E89">
        <f>IF($W89="","",IF(INDEX('Per Invoice'!E$2:E$801,$W89)="","",INDEX('Per Invoice'!E$2:E$801,$W89)))</f>
        <v/>
      </c>
      <c r="F89">
        <f>IF($W89="","",IF(INDEX('Per Invoice'!F$2:F$801,$W89)="","",INDEX('Per Invoice'!F$2:F$801,$W89)))</f>
        <v/>
      </c>
      <c r="G89">
        <f>IF($W89="","",IF(INDEX('Per Invoice'!G$2:G$801,$W89)="","",INDEX('Per Invoice'!G$2:G$801,$W89)))</f>
        <v/>
      </c>
      <c r="H89">
        <f>IF($W89="","",IF(INDEX('Per Invoice'!H$2:H$801,$W89)="","",INDEX('Per Invoice'!H$2:H$801,$W89)))</f>
        <v/>
      </c>
      <c r="I89">
        <f>IF($W89="","",IF(INDEX('Per Invoice'!I$2:I$801,$W89)="","",INDEX('Per Invoice'!I$2:I$801,$W89)))</f>
        <v/>
      </c>
      <c r="J89">
        <f>IF($W89="","",IF(INDEX('Per Invoice'!J$2:J$801,$W89)="","",INDEX('Per Invoice'!J$2:J$801,$W89)))</f>
        <v/>
      </c>
      <c r="K89" s="7">
        <f>IF($W89="","",IF(INDEX('Per Invoice'!K$2:K$801,$W89)="","",INDEX('Per Invoice'!K$2:K$801,$W89)))</f>
        <v/>
      </c>
      <c r="L89" s="14">
        <f>IF($W89="","",IF(INDEX('Per Invoice'!L$2:L$801,$W89)="","",INDEX('Per Invoice'!L$2:L$801,$W89)))</f>
        <v/>
      </c>
      <c r="M89">
        <f>IF($W89="","",IF(INDEX('Per Invoice'!M$2:M$801,$W89)="","",INDEX('Per Invoice'!M$2:M$801,$W89)))</f>
        <v/>
      </c>
      <c r="N89" s="7">
        <f>IF($W89="","",IF(INDEX('Per Invoice'!N$2:N$801,$W89)="","",INDEX('Per Invoice'!N$2:N$801,$W89)))</f>
        <v/>
      </c>
      <c r="O89" s="7">
        <f>IF($W89="","",IF(INDEX('Per Invoice'!O$2:O$801,$W89)="","",INDEX('Per Invoice'!O$2:O$801,$W89)))</f>
        <v/>
      </c>
      <c r="P89">
        <f>IF($W89="","",IF(INDEX('Per Invoice'!P$2:P$801,$W89)="","",INDEX('Per Invoice'!P$2:P$801,$W89)))</f>
        <v/>
      </c>
      <c r="Q89" s="7">
        <f>IF($W89="","",IF(INDEX('Per Invoice'!Q$2:Q$801,$W89)="","",INDEX('Per Invoice'!Q$2:Q$801,$W89)))</f>
        <v/>
      </c>
      <c r="R89" s="7">
        <f>IF($W89="","",IF(INDEX('Per Invoice'!R$2:R$801,$W89)="","",INDEX('Per Invoice'!R$2:R$801,$W89)))</f>
        <v/>
      </c>
      <c r="S89" s="7">
        <f>IF($W89="","",IF(INDEX('Per Invoice'!S$2:S$801,$W89)="","",INDEX('Per Invoice'!S$2:S$801,$W89)))</f>
        <v/>
      </c>
      <c r="T89" s="7">
        <f>IF($W89="","",IF(INDEX('Per Invoice'!T$2:T$801,$W89)="","",INDEX('Per Invoice'!T$2:T$801,$W89)))</f>
        <v/>
      </c>
      <c r="U89" s="7">
        <f>IF($W89="","",IF(INDEX('Per Invoice'!U$2:U$801,$W89)="","",INDEX('Per Invoice'!U$2:U$801,$W89)))</f>
        <v/>
      </c>
      <c r="V89" s="7">
        <f>IF($W89="","",IF(INDEX('Per Invoice'!V$2:V$801,$W89)="","",INDEX('Per Invoice'!V$2:V$801,$W89)))</f>
        <v/>
      </c>
      <c r="W89" s="16">
        <f>IFERROR(MATCH(Settings!$C$26&amp;"|"&amp;ROWS($W$2:$W89),'Per Invoice'!$X$2:$X$801,0),"")</f>
        <v/>
      </c>
    </row>
    <row r="90">
      <c r="A90">
        <f>IF($W90="","",IF(INDEX('Per Invoice'!A$2:A$801,$W90)="","",INDEX('Per Invoice'!A$2:A$801,$W90)))</f>
        <v/>
      </c>
      <c r="B90">
        <f>IF($W90="","",IF(INDEX('Per Invoice'!B$2:B$801,$W90)="","",INDEX('Per Invoice'!B$2:B$801,$W90)))</f>
        <v/>
      </c>
      <c r="C90">
        <f>IF($W90="","",IF(INDEX('Per Invoice'!C$2:C$801,$W90)="","",INDEX('Per Invoice'!C$2:C$801,$W90)))</f>
        <v/>
      </c>
      <c r="D90">
        <f>IF($W90="","",IF(INDEX('Per Invoice'!D$2:D$801,$W90)="","",INDEX('Per Invoice'!D$2:D$801,$W90)))</f>
        <v/>
      </c>
      <c r="E90">
        <f>IF($W90="","",IF(INDEX('Per Invoice'!E$2:E$801,$W90)="","",INDEX('Per Invoice'!E$2:E$801,$W90)))</f>
        <v/>
      </c>
      <c r="F90">
        <f>IF($W90="","",IF(INDEX('Per Invoice'!F$2:F$801,$W90)="","",INDEX('Per Invoice'!F$2:F$801,$W90)))</f>
        <v/>
      </c>
      <c r="G90">
        <f>IF($W90="","",IF(INDEX('Per Invoice'!G$2:G$801,$W90)="","",INDEX('Per Invoice'!G$2:G$801,$W90)))</f>
        <v/>
      </c>
      <c r="H90">
        <f>IF($W90="","",IF(INDEX('Per Invoice'!H$2:H$801,$W90)="","",INDEX('Per Invoice'!H$2:H$801,$W90)))</f>
        <v/>
      </c>
      <c r="I90">
        <f>IF($W90="","",IF(INDEX('Per Invoice'!I$2:I$801,$W90)="","",INDEX('Per Invoice'!I$2:I$801,$W90)))</f>
        <v/>
      </c>
      <c r="J90">
        <f>IF($W90="","",IF(INDEX('Per Invoice'!J$2:J$801,$W90)="","",INDEX('Per Invoice'!J$2:J$801,$W90)))</f>
        <v/>
      </c>
      <c r="K90" s="7">
        <f>IF($W90="","",IF(INDEX('Per Invoice'!K$2:K$801,$W90)="","",INDEX('Per Invoice'!K$2:K$801,$W90)))</f>
        <v/>
      </c>
      <c r="L90" s="14">
        <f>IF($W90="","",IF(INDEX('Per Invoice'!L$2:L$801,$W90)="","",INDEX('Per Invoice'!L$2:L$801,$W90)))</f>
        <v/>
      </c>
      <c r="M90">
        <f>IF($W90="","",IF(INDEX('Per Invoice'!M$2:M$801,$W90)="","",INDEX('Per Invoice'!M$2:M$801,$W90)))</f>
        <v/>
      </c>
      <c r="N90" s="7">
        <f>IF($W90="","",IF(INDEX('Per Invoice'!N$2:N$801,$W90)="","",INDEX('Per Invoice'!N$2:N$801,$W90)))</f>
        <v/>
      </c>
      <c r="O90" s="7">
        <f>IF($W90="","",IF(INDEX('Per Invoice'!O$2:O$801,$W90)="","",INDEX('Per Invoice'!O$2:O$801,$W90)))</f>
        <v/>
      </c>
      <c r="P90">
        <f>IF($W90="","",IF(INDEX('Per Invoice'!P$2:P$801,$W90)="","",INDEX('Per Invoice'!P$2:P$801,$W90)))</f>
        <v/>
      </c>
      <c r="Q90" s="7">
        <f>IF($W90="","",IF(INDEX('Per Invoice'!Q$2:Q$801,$W90)="","",INDEX('Per Invoice'!Q$2:Q$801,$W90)))</f>
        <v/>
      </c>
      <c r="R90" s="7">
        <f>IF($W90="","",IF(INDEX('Per Invoice'!R$2:R$801,$W90)="","",INDEX('Per Invoice'!R$2:R$801,$W90)))</f>
        <v/>
      </c>
      <c r="S90" s="7">
        <f>IF($W90="","",IF(INDEX('Per Invoice'!S$2:S$801,$W90)="","",INDEX('Per Invoice'!S$2:S$801,$W90)))</f>
        <v/>
      </c>
      <c r="T90" s="7">
        <f>IF($W90="","",IF(INDEX('Per Invoice'!T$2:T$801,$W90)="","",INDEX('Per Invoice'!T$2:T$801,$W90)))</f>
        <v/>
      </c>
      <c r="U90" s="7">
        <f>IF($W90="","",IF(INDEX('Per Invoice'!U$2:U$801,$W90)="","",INDEX('Per Invoice'!U$2:U$801,$W90)))</f>
        <v/>
      </c>
      <c r="V90" s="7">
        <f>IF($W90="","",IF(INDEX('Per Invoice'!V$2:V$801,$W90)="","",INDEX('Per Invoice'!V$2:V$801,$W90)))</f>
        <v/>
      </c>
      <c r="W90" s="16">
        <f>IFERROR(MATCH(Settings!$C$26&amp;"|"&amp;ROWS($W$2:$W90),'Per Invoice'!$X$2:$X$801,0),"")</f>
        <v/>
      </c>
    </row>
    <row r="91">
      <c r="A91">
        <f>IF($W91="","",IF(INDEX('Per Invoice'!A$2:A$801,$W91)="","",INDEX('Per Invoice'!A$2:A$801,$W91)))</f>
        <v/>
      </c>
      <c r="B91">
        <f>IF($W91="","",IF(INDEX('Per Invoice'!B$2:B$801,$W91)="","",INDEX('Per Invoice'!B$2:B$801,$W91)))</f>
        <v/>
      </c>
      <c r="C91">
        <f>IF($W91="","",IF(INDEX('Per Invoice'!C$2:C$801,$W91)="","",INDEX('Per Invoice'!C$2:C$801,$W91)))</f>
        <v/>
      </c>
      <c r="D91">
        <f>IF($W91="","",IF(INDEX('Per Invoice'!D$2:D$801,$W91)="","",INDEX('Per Invoice'!D$2:D$801,$W91)))</f>
        <v/>
      </c>
      <c r="E91">
        <f>IF($W91="","",IF(INDEX('Per Invoice'!E$2:E$801,$W91)="","",INDEX('Per Invoice'!E$2:E$801,$W91)))</f>
        <v/>
      </c>
      <c r="F91">
        <f>IF($W91="","",IF(INDEX('Per Invoice'!F$2:F$801,$W91)="","",INDEX('Per Invoice'!F$2:F$801,$W91)))</f>
        <v/>
      </c>
      <c r="G91">
        <f>IF($W91="","",IF(INDEX('Per Invoice'!G$2:G$801,$W91)="","",INDEX('Per Invoice'!G$2:G$801,$W91)))</f>
        <v/>
      </c>
      <c r="H91">
        <f>IF($W91="","",IF(INDEX('Per Invoice'!H$2:H$801,$W91)="","",INDEX('Per Invoice'!H$2:H$801,$W91)))</f>
        <v/>
      </c>
      <c r="I91">
        <f>IF($W91="","",IF(INDEX('Per Invoice'!I$2:I$801,$W91)="","",INDEX('Per Invoice'!I$2:I$801,$W91)))</f>
        <v/>
      </c>
      <c r="J91">
        <f>IF($W91="","",IF(INDEX('Per Invoice'!J$2:J$801,$W91)="","",INDEX('Per Invoice'!J$2:J$801,$W91)))</f>
        <v/>
      </c>
      <c r="K91" s="7">
        <f>IF($W91="","",IF(INDEX('Per Invoice'!K$2:K$801,$W91)="","",INDEX('Per Invoice'!K$2:K$801,$W91)))</f>
        <v/>
      </c>
      <c r="L91" s="14">
        <f>IF($W91="","",IF(INDEX('Per Invoice'!L$2:L$801,$W91)="","",INDEX('Per Invoice'!L$2:L$801,$W91)))</f>
        <v/>
      </c>
      <c r="M91">
        <f>IF($W91="","",IF(INDEX('Per Invoice'!M$2:M$801,$W91)="","",INDEX('Per Invoice'!M$2:M$801,$W91)))</f>
        <v/>
      </c>
      <c r="N91" s="7">
        <f>IF($W91="","",IF(INDEX('Per Invoice'!N$2:N$801,$W91)="","",INDEX('Per Invoice'!N$2:N$801,$W91)))</f>
        <v/>
      </c>
      <c r="O91" s="7">
        <f>IF($W91="","",IF(INDEX('Per Invoice'!O$2:O$801,$W91)="","",INDEX('Per Invoice'!O$2:O$801,$W91)))</f>
        <v/>
      </c>
      <c r="P91">
        <f>IF($W91="","",IF(INDEX('Per Invoice'!P$2:P$801,$W91)="","",INDEX('Per Invoice'!P$2:P$801,$W91)))</f>
        <v/>
      </c>
      <c r="Q91" s="7">
        <f>IF($W91="","",IF(INDEX('Per Invoice'!Q$2:Q$801,$W91)="","",INDEX('Per Invoice'!Q$2:Q$801,$W91)))</f>
        <v/>
      </c>
      <c r="R91" s="7">
        <f>IF($W91="","",IF(INDEX('Per Invoice'!R$2:R$801,$W91)="","",INDEX('Per Invoice'!R$2:R$801,$W91)))</f>
        <v/>
      </c>
      <c r="S91" s="7">
        <f>IF($W91="","",IF(INDEX('Per Invoice'!S$2:S$801,$W91)="","",INDEX('Per Invoice'!S$2:S$801,$W91)))</f>
        <v/>
      </c>
      <c r="T91" s="7">
        <f>IF($W91="","",IF(INDEX('Per Invoice'!T$2:T$801,$W91)="","",INDEX('Per Invoice'!T$2:T$801,$W91)))</f>
        <v/>
      </c>
      <c r="U91" s="7">
        <f>IF($W91="","",IF(INDEX('Per Invoice'!U$2:U$801,$W91)="","",INDEX('Per Invoice'!U$2:U$801,$W91)))</f>
        <v/>
      </c>
      <c r="V91" s="7">
        <f>IF($W91="","",IF(INDEX('Per Invoice'!V$2:V$801,$W91)="","",INDEX('Per Invoice'!V$2:V$801,$W91)))</f>
        <v/>
      </c>
      <c r="W91" s="16">
        <f>IFERROR(MATCH(Settings!$C$26&amp;"|"&amp;ROWS($W$2:$W91),'Per Invoice'!$X$2:$X$801,0),"")</f>
        <v/>
      </c>
    </row>
    <row r="92">
      <c r="A92">
        <f>IF($W92="","",IF(INDEX('Per Invoice'!A$2:A$801,$W92)="","",INDEX('Per Invoice'!A$2:A$801,$W92)))</f>
        <v/>
      </c>
      <c r="B92">
        <f>IF($W92="","",IF(INDEX('Per Invoice'!B$2:B$801,$W92)="","",INDEX('Per Invoice'!B$2:B$801,$W92)))</f>
        <v/>
      </c>
      <c r="C92">
        <f>IF($W92="","",IF(INDEX('Per Invoice'!C$2:C$801,$W92)="","",INDEX('Per Invoice'!C$2:C$801,$W92)))</f>
        <v/>
      </c>
      <c r="D92">
        <f>IF($W92="","",IF(INDEX('Per Invoice'!D$2:D$801,$W92)="","",INDEX('Per Invoice'!D$2:D$801,$W92)))</f>
        <v/>
      </c>
      <c r="E92">
        <f>IF($W92="","",IF(INDEX('Per Invoice'!E$2:E$801,$W92)="","",INDEX('Per Invoice'!E$2:E$801,$W92)))</f>
        <v/>
      </c>
      <c r="F92">
        <f>IF($W92="","",IF(INDEX('Per Invoice'!F$2:F$801,$W92)="","",INDEX('Per Invoice'!F$2:F$801,$W92)))</f>
        <v/>
      </c>
      <c r="G92">
        <f>IF($W92="","",IF(INDEX('Per Invoice'!G$2:G$801,$W92)="","",INDEX('Per Invoice'!G$2:G$801,$W92)))</f>
        <v/>
      </c>
      <c r="H92">
        <f>IF($W92="","",IF(INDEX('Per Invoice'!H$2:H$801,$W92)="","",INDEX('Per Invoice'!H$2:H$801,$W92)))</f>
        <v/>
      </c>
      <c r="I92">
        <f>IF($W92="","",IF(INDEX('Per Invoice'!I$2:I$801,$W92)="","",INDEX('Per Invoice'!I$2:I$801,$W92)))</f>
        <v/>
      </c>
      <c r="J92">
        <f>IF($W92="","",IF(INDEX('Per Invoice'!J$2:J$801,$W92)="","",INDEX('Per Invoice'!J$2:J$801,$W92)))</f>
        <v/>
      </c>
      <c r="K92" s="7">
        <f>IF($W92="","",IF(INDEX('Per Invoice'!K$2:K$801,$W92)="","",INDEX('Per Invoice'!K$2:K$801,$W92)))</f>
        <v/>
      </c>
      <c r="L92" s="14">
        <f>IF($W92="","",IF(INDEX('Per Invoice'!L$2:L$801,$W92)="","",INDEX('Per Invoice'!L$2:L$801,$W92)))</f>
        <v/>
      </c>
      <c r="M92">
        <f>IF($W92="","",IF(INDEX('Per Invoice'!M$2:M$801,$W92)="","",INDEX('Per Invoice'!M$2:M$801,$W92)))</f>
        <v/>
      </c>
      <c r="N92" s="7">
        <f>IF($W92="","",IF(INDEX('Per Invoice'!N$2:N$801,$W92)="","",INDEX('Per Invoice'!N$2:N$801,$W92)))</f>
        <v/>
      </c>
      <c r="O92" s="7">
        <f>IF($W92="","",IF(INDEX('Per Invoice'!O$2:O$801,$W92)="","",INDEX('Per Invoice'!O$2:O$801,$W92)))</f>
        <v/>
      </c>
      <c r="P92">
        <f>IF($W92="","",IF(INDEX('Per Invoice'!P$2:P$801,$W92)="","",INDEX('Per Invoice'!P$2:P$801,$W92)))</f>
        <v/>
      </c>
      <c r="Q92" s="7">
        <f>IF($W92="","",IF(INDEX('Per Invoice'!Q$2:Q$801,$W92)="","",INDEX('Per Invoice'!Q$2:Q$801,$W92)))</f>
        <v/>
      </c>
      <c r="R92" s="7">
        <f>IF($W92="","",IF(INDEX('Per Invoice'!R$2:R$801,$W92)="","",INDEX('Per Invoice'!R$2:R$801,$W92)))</f>
        <v/>
      </c>
      <c r="S92" s="7">
        <f>IF($W92="","",IF(INDEX('Per Invoice'!S$2:S$801,$W92)="","",INDEX('Per Invoice'!S$2:S$801,$W92)))</f>
        <v/>
      </c>
      <c r="T92" s="7">
        <f>IF($W92="","",IF(INDEX('Per Invoice'!T$2:T$801,$W92)="","",INDEX('Per Invoice'!T$2:T$801,$W92)))</f>
        <v/>
      </c>
      <c r="U92" s="7">
        <f>IF($W92="","",IF(INDEX('Per Invoice'!U$2:U$801,$W92)="","",INDEX('Per Invoice'!U$2:U$801,$W92)))</f>
        <v/>
      </c>
      <c r="V92" s="7">
        <f>IF($W92="","",IF(INDEX('Per Invoice'!V$2:V$801,$W92)="","",INDEX('Per Invoice'!V$2:V$801,$W92)))</f>
        <v/>
      </c>
      <c r="W92" s="16">
        <f>IFERROR(MATCH(Settings!$C$26&amp;"|"&amp;ROWS($W$2:$W92),'Per Invoice'!$X$2:$X$801,0),"")</f>
        <v/>
      </c>
    </row>
    <row r="93">
      <c r="A93">
        <f>IF($W93="","",IF(INDEX('Per Invoice'!A$2:A$801,$W93)="","",INDEX('Per Invoice'!A$2:A$801,$W93)))</f>
        <v/>
      </c>
      <c r="B93">
        <f>IF($W93="","",IF(INDEX('Per Invoice'!B$2:B$801,$W93)="","",INDEX('Per Invoice'!B$2:B$801,$W93)))</f>
        <v/>
      </c>
      <c r="C93">
        <f>IF($W93="","",IF(INDEX('Per Invoice'!C$2:C$801,$W93)="","",INDEX('Per Invoice'!C$2:C$801,$W93)))</f>
        <v/>
      </c>
      <c r="D93">
        <f>IF($W93="","",IF(INDEX('Per Invoice'!D$2:D$801,$W93)="","",INDEX('Per Invoice'!D$2:D$801,$W93)))</f>
        <v/>
      </c>
      <c r="E93">
        <f>IF($W93="","",IF(INDEX('Per Invoice'!E$2:E$801,$W93)="","",INDEX('Per Invoice'!E$2:E$801,$W93)))</f>
        <v/>
      </c>
      <c r="F93">
        <f>IF($W93="","",IF(INDEX('Per Invoice'!F$2:F$801,$W93)="","",INDEX('Per Invoice'!F$2:F$801,$W93)))</f>
        <v/>
      </c>
      <c r="G93">
        <f>IF($W93="","",IF(INDEX('Per Invoice'!G$2:G$801,$W93)="","",INDEX('Per Invoice'!G$2:G$801,$W93)))</f>
        <v/>
      </c>
      <c r="H93">
        <f>IF($W93="","",IF(INDEX('Per Invoice'!H$2:H$801,$W93)="","",INDEX('Per Invoice'!H$2:H$801,$W93)))</f>
        <v/>
      </c>
      <c r="I93">
        <f>IF($W93="","",IF(INDEX('Per Invoice'!I$2:I$801,$W93)="","",INDEX('Per Invoice'!I$2:I$801,$W93)))</f>
        <v/>
      </c>
      <c r="J93">
        <f>IF($W93="","",IF(INDEX('Per Invoice'!J$2:J$801,$W93)="","",INDEX('Per Invoice'!J$2:J$801,$W93)))</f>
        <v/>
      </c>
      <c r="K93" s="7">
        <f>IF($W93="","",IF(INDEX('Per Invoice'!K$2:K$801,$W93)="","",INDEX('Per Invoice'!K$2:K$801,$W93)))</f>
        <v/>
      </c>
      <c r="L93" s="14">
        <f>IF($W93="","",IF(INDEX('Per Invoice'!L$2:L$801,$W93)="","",INDEX('Per Invoice'!L$2:L$801,$W93)))</f>
        <v/>
      </c>
      <c r="M93">
        <f>IF($W93="","",IF(INDEX('Per Invoice'!M$2:M$801,$W93)="","",INDEX('Per Invoice'!M$2:M$801,$W93)))</f>
        <v/>
      </c>
      <c r="N93" s="7">
        <f>IF($W93="","",IF(INDEX('Per Invoice'!N$2:N$801,$W93)="","",INDEX('Per Invoice'!N$2:N$801,$W93)))</f>
        <v/>
      </c>
      <c r="O93" s="7">
        <f>IF($W93="","",IF(INDEX('Per Invoice'!O$2:O$801,$W93)="","",INDEX('Per Invoice'!O$2:O$801,$W93)))</f>
        <v/>
      </c>
      <c r="P93">
        <f>IF($W93="","",IF(INDEX('Per Invoice'!P$2:P$801,$W93)="","",INDEX('Per Invoice'!P$2:P$801,$W93)))</f>
        <v/>
      </c>
      <c r="Q93" s="7">
        <f>IF($W93="","",IF(INDEX('Per Invoice'!Q$2:Q$801,$W93)="","",INDEX('Per Invoice'!Q$2:Q$801,$W93)))</f>
        <v/>
      </c>
      <c r="R93" s="7">
        <f>IF($W93="","",IF(INDEX('Per Invoice'!R$2:R$801,$W93)="","",INDEX('Per Invoice'!R$2:R$801,$W93)))</f>
        <v/>
      </c>
      <c r="S93" s="7">
        <f>IF($W93="","",IF(INDEX('Per Invoice'!S$2:S$801,$W93)="","",INDEX('Per Invoice'!S$2:S$801,$W93)))</f>
        <v/>
      </c>
      <c r="T93" s="7">
        <f>IF($W93="","",IF(INDEX('Per Invoice'!T$2:T$801,$W93)="","",INDEX('Per Invoice'!T$2:T$801,$W93)))</f>
        <v/>
      </c>
      <c r="U93" s="7">
        <f>IF($W93="","",IF(INDEX('Per Invoice'!U$2:U$801,$W93)="","",INDEX('Per Invoice'!U$2:U$801,$W93)))</f>
        <v/>
      </c>
      <c r="V93" s="7">
        <f>IF($W93="","",IF(INDEX('Per Invoice'!V$2:V$801,$W93)="","",INDEX('Per Invoice'!V$2:V$801,$W93)))</f>
        <v/>
      </c>
      <c r="W93" s="16">
        <f>IFERROR(MATCH(Settings!$C$26&amp;"|"&amp;ROWS($W$2:$W93),'Per Invoice'!$X$2:$X$801,0),"")</f>
        <v/>
      </c>
    </row>
    <row r="94">
      <c r="A94">
        <f>IF($W94="","",IF(INDEX('Per Invoice'!A$2:A$801,$W94)="","",INDEX('Per Invoice'!A$2:A$801,$W94)))</f>
        <v/>
      </c>
      <c r="B94">
        <f>IF($W94="","",IF(INDEX('Per Invoice'!B$2:B$801,$W94)="","",INDEX('Per Invoice'!B$2:B$801,$W94)))</f>
        <v/>
      </c>
      <c r="C94">
        <f>IF($W94="","",IF(INDEX('Per Invoice'!C$2:C$801,$W94)="","",INDEX('Per Invoice'!C$2:C$801,$W94)))</f>
        <v/>
      </c>
      <c r="D94">
        <f>IF($W94="","",IF(INDEX('Per Invoice'!D$2:D$801,$W94)="","",INDEX('Per Invoice'!D$2:D$801,$W94)))</f>
        <v/>
      </c>
      <c r="E94">
        <f>IF($W94="","",IF(INDEX('Per Invoice'!E$2:E$801,$W94)="","",INDEX('Per Invoice'!E$2:E$801,$W94)))</f>
        <v/>
      </c>
      <c r="F94">
        <f>IF($W94="","",IF(INDEX('Per Invoice'!F$2:F$801,$W94)="","",INDEX('Per Invoice'!F$2:F$801,$W94)))</f>
        <v/>
      </c>
      <c r="G94">
        <f>IF($W94="","",IF(INDEX('Per Invoice'!G$2:G$801,$W94)="","",INDEX('Per Invoice'!G$2:G$801,$W94)))</f>
        <v/>
      </c>
      <c r="H94">
        <f>IF($W94="","",IF(INDEX('Per Invoice'!H$2:H$801,$W94)="","",INDEX('Per Invoice'!H$2:H$801,$W94)))</f>
        <v/>
      </c>
      <c r="I94">
        <f>IF($W94="","",IF(INDEX('Per Invoice'!I$2:I$801,$W94)="","",INDEX('Per Invoice'!I$2:I$801,$W94)))</f>
        <v/>
      </c>
      <c r="J94">
        <f>IF($W94="","",IF(INDEX('Per Invoice'!J$2:J$801,$W94)="","",INDEX('Per Invoice'!J$2:J$801,$W94)))</f>
        <v/>
      </c>
      <c r="K94" s="7">
        <f>IF($W94="","",IF(INDEX('Per Invoice'!K$2:K$801,$W94)="","",INDEX('Per Invoice'!K$2:K$801,$W94)))</f>
        <v/>
      </c>
      <c r="L94" s="14">
        <f>IF($W94="","",IF(INDEX('Per Invoice'!L$2:L$801,$W94)="","",INDEX('Per Invoice'!L$2:L$801,$W94)))</f>
        <v/>
      </c>
      <c r="M94">
        <f>IF($W94="","",IF(INDEX('Per Invoice'!M$2:M$801,$W94)="","",INDEX('Per Invoice'!M$2:M$801,$W94)))</f>
        <v/>
      </c>
      <c r="N94" s="7">
        <f>IF($W94="","",IF(INDEX('Per Invoice'!N$2:N$801,$W94)="","",INDEX('Per Invoice'!N$2:N$801,$W94)))</f>
        <v/>
      </c>
      <c r="O94" s="7">
        <f>IF($W94="","",IF(INDEX('Per Invoice'!O$2:O$801,$W94)="","",INDEX('Per Invoice'!O$2:O$801,$W94)))</f>
        <v/>
      </c>
      <c r="P94">
        <f>IF($W94="","",IF(INDEX('Per Invoice'!P$2:P$801,$W94)="","",INDEX('Per Invoice'!P$2:P$801,$W94)))</f>
        <v/>
      </c>
      <c r="Q94" s="7">
        <f>IF($W94="","",IF(INDEX('Per Invoice'!Q$2:Q$801,$W94)="","",INDEX('Per Invoice'!Q$2:Q$801,$W94)))</f>
        <v/>
      </c>
      <c r="R94" s="7">
        <f>IF($W94="","",IF(INDEX('Per Invoice'!R$2:R$801,$W94)="","",INDEX('Per Invoice'!R$2:R$801,$W94)))</f>
        <v/>
      </c>
      <c r="S94" s="7">
        <f>IF($W94="","",IF(INDEX('Per Invoice'!S$2:S$801,$W94)="","",INDEX('Per Invoice'!S$2:S$801,$W94)))</f>
        <v/>
      </c>
      <c r="T94" s="7">
        <f>IF($W94="","",IF(INDEX('Per Invoice'!T$2:T$801,$W94)="","",INDEX('Per Invoice'!T$2:T$801,$W94)))</f>
        <v/>
      </c>
      <c r="U94" s="7">
        <f>IF($W94="","",IF(INDEX('Per Invoice'!U$2:U$801,$W94)="","",INDEX('Per Invoice'!U$2:U$801,$W94)))</f>
        <v/>
      </c>
      <c r="V94" s="7">
        <f>IF($W94="","",IF(INDEX('Per Invoice'!V$2:V$801,$W94)="","",INDEX('Per Invoice'!V$2:V$801,$W94)))</f>
        <v/>
      </c>
      <c r="W94" s="16">
        <f>IFERROR(MATCH(Settings!$C$26&amp;"|"&amp;ROWS($W$2:$W94),'Per Invoice'!$X$2:$X$801,0),"")</f>
        <v/>
      </c>
    </row>
    <row r="95">
      <c r="A95">
        <f>IF($W95="","",IF(INDEX('Per Invoice'!A$2:A$801,$W95)="","",INDEX('Per Invoice'!A$2:A$801,$W95)))</f>
        <v/>
      </c>
      <c r="B95">
        <f>IF($W95="","",IF(INDEX('Per Invoice'!B$2:B$801,$W95)="","",INDEX('Per Invoice'!B$2:B$801,$W95)))</f>
        <v/>
      </c>
      <c r="C95">
        <f>IF($W95="","",IF(INDEX('Per Invoice'!C$2:C$801,$W95)="","",INDEX('Per Invoice'!C$2:C$801,$W95)))</f>
        <v/>
      </c>
      <c r="D95">
        <f>IF($W95="","",IF(INDEX('Per Invoice'!D$2:D$801,$W95)="","",INDEX('Per Invoice'!D$2:D$801,$W95)))</f>
        <v/>
      </c>
      <c r="E95">
        <f>IF($W95="","",IF(INDEX('Per Invoice'!E$2:E$801,$W95)="","",INDEX('Per Invoice'!E$2:E$801,$W95)))</f>
        <v/>
      </c>
      <c r="F95">
        <f>IF($W95="","",IF(INDEX('Per Invoice'!F$2:F$801,$W95)="","",INDEX('Per Invoice'!F$2:F$801,$W95)))</f>
        <v/>
      </c>
      <c r="G95">
        <f>IF($W95="","",IF(INDEX('Per Invoice'!G$2:G$801,$W95)="","",INDEX('Per Invoice'!G$2:G$801,$W95)))</f>
        <v/>
      </c>
      <c r="H95">
        <f>IF($W95="","",IF(INDEX('Per Invoice'!H$2:H$801,$W95)="","",INDEX('Per Invoice'!H$2:H$801,$W95)))</f>
        <v/>
      </c>
      <c r="I95">
        <f>IF($W95="","",IF(INDEX('Per Invoice'!I$2:I$801,$W95)="","",INDEX('Per Invoice'!I$2:I$801,$W95)))</f>
        <v/>
      </c>
      <c r="J95">
        <f>IF($W95="","",IF(INDEX('Per Invoice'!J$2:J$801,$W95)="","",INDEX('Per Invoice'!J$2:J$801,$W95)))</f>
        <v/>
      </c>
      <c r="K95" s="7">
        <f>IF($W95="","",IF(INDEX('Per Invoice'!K$2:K$801,$W95)="","",INDEX('Per Invoice'!K$2:K$801,$W95)))</f>
        <v/>
      </c>
      <c r="L95" s="14">
        <f>IF($W95="","",IF(INDEX('Per Invoice'!L$2:L$801,$W95)="","",INDEX('Per Invoice'!L$2:L$801,$W95)))</f>
        <v/>
      </c>
      <c r="M95">
        <f>IF($W95="","",IF(INDEX('Per Invoice'!M$2:M$801,$W95)="","",INDEX('Per Invoice'!M$2:M$801,$W95)))</f>
        <v/>
      </c>
      <c r="N95" s="7">
        <f>IF($W95="","",IF(INDEX('Per Invoice'!N$2:N$801,$W95)="","",INDEX('Per Invoice'!N$2:N$801,$W95)))</f>
        <v/>
      </c>
      <c r="O95" s="7">
        <f>IF($W95="","",IF(INDEX('Per Invoice'!O$2:O$801,$W95)="","",INDEX('Per Invoice'!O$2:O$801,$W95)))</f>
        <v/>
      </c>
      <c r="P95">
        <f>IF($W95="","",IF(INDEX('Per Invoice'!P$2:P$801,$W95)="","",INDEX('Per Invoice'!P$2:P$801,$W95)))</f>
        <v/>
      </c>
      <c r="Q95" s="7">
        <f>IF($W95="","",IF(INDEX('Per Invoice'!Q$2:Q$801,$W95)="","",INDEX('Per Invoice'!Q$2:Q$801,$W95)))</f>
        <v/>
      </c>
      <c r="R95" s="7">
        <f>IF($W95="","",IF(INDEX('Per Invoice'!R$2:R$801,$W95)="","",INDEX('Per Invoice'!R$2:R$801,$W95)))</f>
        <v/>
      </c>
      <c r="S95" s="7">
        <f>IF($W95="","",IF(INDEX('Per Invoice'!S$2:S$801,$W95)="","",INDEX('Per Invoice'!S$2:S$801,$W95)))</f>
        <v/>
      </c>
      <c r="T95" s="7">
        <f>IF($W95="","",IF(INDEX('Per Invoice'!T$2:T$801,$W95)="","",INDEX('Per Invoice'!T$2:T$801,$W95)))</f>
        <v/>
      </c>
      <c r="U95" s="7">
        <f>IF($W95="","",IF(INDEX('Per Invoice'!U$2:U$801,$W95)="","",INDEX('Per Invoice'!U$2:U$801,$W95)))</f>
        <v/>
      </c>
      <c r="V95" s="7">
        <f>IF($W95="","",IF(INDEX('Per Invoice'!V$2:V$801,$W95)="","",INDEX('Per Invoice'!V$2:V$801,$W95)))</f>
        <v/>
      </c>
      <c r="W95" s="16">
        <f>IFERROR(MATCH(Settings!$C$26&amp;"|"&amp;ROWS($W$2:$W95),'Per Invoice'!$X$2:$X$801,0),"")</f>
        <v/>
      </c>
    </row>
    <row r="96">
      <c r="A96">
        <f>IF($W96="","",IF(INDEX('Per Invoice'!A$2:A$801,$W96)="","",INDEX('Per Invoice'!A$2:A$801,$W96)))</f>
        <v/>
      </c>
      <c r="B96">
        <f>IF($W96="","",IF(INDEX('Per Invoice'!B$2:B$801,$W96)="","",INDEX('Per Invoice'!B$2:B$801,$W96)))</f>
        <v/>
      </c>
      <c r="C96">
        <f>IF($W96="","",IF(INDEX('Per Invoice'!C$2:C$801,$W96)="","",INDEX('Per Invoice'!C$2:C$801,$W96)))</f>
        <v/>
      </c>
      <c r="D96">
        <f>IF($W96="","",IF(INDEX('Per Invoice'!D$2:D$801,$W96)="","",INDEX('Per Invoice'!D$2:D$801,$W96)))</f>
        <v/>
      </c>
      <c r="E96">
        <f>IF($W96="","",IF(INDEX('Per Invoice'!E$2:E$801,$W96)="","",INDEX('Per Invoice'!E$2:E$801,$W96)))</f>
        <v/>
      </c>
      <c r="F96">
        <f>IF($W96="","",IF(INDEX('Per Invoice'!F$2:F$801,$W96)="","",INDEX('Per Invoice'!F$2:F$801,$W96)))</f>
        <v/>
      </c>
      <c r="G96">
        <f>IF($W96="","",IF(INDEX('Per Invoice'!G$2:G$801,$W96)="","",INDEX('Per Invoice'!G$2:G$801,$W96)))</f>
        <v/>
      </c>
      <c r="H96">
        <f>IF($W96="","",IF(INDEX('Per Invoice'!H$2:H$801,$W96)="","",INDEX('Per Invoice'!H$2:H$801,$W96)))</f>
        <v/>
      </c>
      <c r="I96">
        <f>IF($W96="","",IF(INDEX('Per Invoice'!I$2:I$801,$W96)="","",INDEX('Per Invoice'!I$2:I$801,$W96)))</f>
        <v/>
      </c>
      <c r="J96">
        <f>IF($W96="","",IF(INDEX('Per Invoice'!J$2:J$801,$W96)="","",INDEX('Per Invoice'!J$2:J$801,$W96)))</f>
        <v/>
      </c>
      <c r="K96" s="7">
        <f>IF($W96="","",IF(INDEX('Per Invoice'!K$2:K$801,$W96)="","",INDEX('Per Invoice'!K$2:K$801,$W96)))</f>
        <v/>
      </c>
      <c r="L96" s="14">
        <f>IF($W96="","",IF(INDEX('Per Invoice'!L$2:L$801,$W96)="","",INDEX('Per Invoice'!L$2:L$801,$W96)))</f>
        <v/>
      </c>
      <c r="M96">
        <f>IF($W96="","",IF(INDEX('Per Invoice'!M$2:M$801,$W96)="","",INDEX('Per Invoice'!M$2:M$801,$W96)))</f>
        <v/>
      </c>
      <c r="N96" s="7">
        <f>IF($W96="","",IF(INDEX('Per Invoice'!N$2:N$801,$W96)="","",INDEX('Per Invoice'!N$2:N$801,$W96)))</f>
        <v/>
      </c>
      <c r="O96" s="7">
        <f>IF($W96="","",IF(INDEX('Per Invoice'!O$2:O$801,$W96)="","",INDEX('Per Invoice'!O$2:O$801,$W96)))</f>
        <v/>
      </c>
      <c r="P96">
        <f>IF($W96="","",IF(INDEX('Per Invoice'!P$2:P$801,$W96)="","",INDEX('Per Invoice'!P$2:P$801,$W96)))</f>
        <v/>
      </c>
      <c r="Q96" s="7">
        <f>IF($W96="","",IF(INDEX('Per Invoice'!Q$2:Q$801,$W96)="","",INDEX('Per Invoice'!Q$2:Q$801,$W96)))</f>
        <v/>
      </c>
      <c r="R96" s="7">
        <f>IF($W96="","",IF(INDEX('Per Invoice'!R$2:R$801,$W96)="","",INDEX('Per Invoice'!R$2:R$801,$W96)))</f>
        <v/>
      </c>
      <c r="S96" s="7">
        <f>IF($W96="","",IF(INDEX('Per Invoice'!S$2:S$801,$W96)="","",INDEX('Per Invoice'!S$2:S$801,$W96)))</f>
        <v/>
      </c>
      <c r="T96" s="7">
        <f>IF($W96="","",IF(INDEX('Per Invoice'!T$2:T$801,$W96)="","",INDEX('Per Invoice'!T$2:T$801,$W96)))</f>
        <v/>
      </c>
      <c r="U96" s="7">
        <f>IF($W96="","",IF(INDEX('Per Invoice'!U$2:U$801,$W96)="","",INDEX('Per Invoice'!U$2:U$801,$W96)))</f>
        <v/>
      </c>
      <c r="V96" s="7">
        <f>IF($W96="","",IF(INDEX('Per Invoice'!V$2:V$801,$W96)="","",INDEX('Per Invoice'!V$2:V$801,$W96)))</f>
        <v/>
      </c>
      <c r="W96" s="16">
        <f>IFERROR(MATCH(Settings!$C$26&amp;"|"&amp;ROWS($W$2:$W96),'Per Invoice'!$X$2:$X$801,0),"")</f>
        <v/>
      </c>
    </row>
    <row r="97">
      <c r="A97">
        <f>IF($W97="","",IF(INDEX('Per Invoice'!A$2:A$801,$W97)="","",INDEX('Per Invoice'!A$2:A$801,$W97)))</f>
        <v/>
      </c>
      <c r="B97">
        <f>IF($W97="","",IF(INDEX('Per Invoice'!B$2:B$801,$W97)="","",INDEX('Per Invoice'!B$2:B$801,$W97)))</f>
        <v/>
      </c>
      <c r="C97">
        <f>IF($W97="","",IF(INDEX('Per Invoice'!C$2:C$801,$W97)="","",INDEX('Per Invoice'!C$2:C$801,$W97)))</f>
        <v/>
      </c>
      <c r="D97">
        <f>IF($W97="","",IF(INDEX('Per Invoice'!D$2:D$801,$W97)="","",INDEX('Per Invoice'!D$2:D$801,$W97)))</f>
        <v/>
      </c>
      <c r="E97">
        <f>IF($W97="","",IF(INDEX('Per Invoice'!E$2:E$801,$W97)="","",INDEX('Per Invoice'!E$2:E$801,$W97)))</f>
        <v/>
      </c>
      <c r="F97">
        <f>IF($W97="","",IF(INDEX('Per Invoice'!F$2:F$801,$W97)="","",INDEX('Per Invoice'!F$2:F$801,$W97)))</f>
        <v/>
      </c>
      <c r="G97">
        <f>IF($W97="","",IF(INDEX('Per Invoice'!G$2:G$801,$W97)="","",INDEX('Per Invoice'!G$2:G$801,$W97)))</f>
        <v/>
      </c>
      <c r="H97">
        <f>IF($W97="","",IF(INDEX('Per Invoice'!H$2:H$801,$W97)="","",INDEX('Per Invoice'!H$2:H$801,$W97)))</f>
        <v/>
      </c>
      <c r="I97">
        <f>IF($W97="","",IF(INDEX('Per Invoice'!I$2:I$801,$W97)="","",INDEX('Per Invoice'!I$2:I$801,$W97)))</f>
        <v/>
      </c>
      <c r="J97">
        <f>IF($W97="","",IF(INDEX('Per Invoice'!J$2:J$801,$W97)="","",INDEX('Per Invoice'!J$2:J$801,$W97)))</f>
        <v/>
      </c>
      <c r="K97" s="7">
        <f>IF($W97="","",IF(INDEX('Per Invoice'!K$2:K$801,$W97)="","",INDEX('Per Invoice'!K$2:K$801,$W97)))</f>
        <v/>
      </c>
      <c r="L97" s="14">
        <f>IF($W97="","",IF(INDEX('Per Invoice'!L$2:L$801,$W97)="","",INDEX('Per Invoice'!L$2:L$801,$W97)))</f>
        <v/>
      </c>
      <c r="M97">
        <f>IF($W97="","",IF(INDEX('Per Invoice'!M$2:M$801,$W97)="","",INDEX('Per Invoice'!M$2:M$801,$W97)))</f>
        <v/>
      </c>
      <c r="N97" s="7">
        <f>IF($W97="","",IF(INDEX('Per Invoice'!N$2:N$801,$W97)="","",INDEX('Per Invoice'!N$2:N$801,$W97)))</f>
        <v/>
      </c>
      <c r="O97" s="7">
        <f>IF($W97="","",IF(INDEX('Per Invoice'!O$2:O$801,$W97)="","",INDEX('Per Invoice'!O$2:O$801,$W97)))</f>
        <v/>
      </c>
      <c r="P97">
        <f>IF($W97="","",IF(INDEX('Per Invoice'!P$2:P$801,$W97)="","",INDEX('Per Invoice'!P$2:P$801,$W97)))</f>
        <v/>
      </c>
      <c r="Q97" s="7">
        <f>IF($W97="","",IF(INDEX('Per Invoice'!Q$2:Q$801,$W97)="","",INDEX('Per Invoice'!Q$2:Q$801,$W97)))</f>
        <v/>
      </c>
      <c r="R97" s="7">
        <f>IF($W97="","",IF(INDEX('Per Invoice'!R$2:R$801,$W97)="","",INDEX('Per Invoice'!R$2:R$801,$W97)))</f>
        <v/>
      </c>
      <c r="S97" s="7">
        <f>IF($W97="","",IF(INDEX('Per Invoice'!S$2:S$801,$W97)="","",INDEX('Per Invoice'!S$2:S$801,$W97)))</f>
        <v/>
      </c>
      <c r="T97" s="7">
        <f>IF($W97="","",IF(INDEX('Per Invoice'!T$2:T$801,$W97)="","",INDEX('Per Invoice'!T$2:T$801,$W97)))</f>
        <v/>
      </c>
      <c r="U97" s="7">
        <f>IF($W97="","",IF(INDEX('Per Invoice'!U$2:U$801,$W97)="","",INDEX('Per Invoice'!U$2:U$801,$W97)))</f>
        <v/>
      </c>
      <c r="V97" s="7">
        <f>IF($W97="","",IF(INDEX('Per Invoice'!V$2:V$801,$W97)="","",INDEX('Per Invoice'!V$2:V$801,$W97)))</f>
        <v/>
      </c>
      <c r="W97" s="16">
        <f>IFERROR(MATCH(Settings!$C$26&amp;"|"&amp;ROWS($W$2:$W97),'Per Invoice'!$X$2:$X$801,0),"")</f>
        <v/>
      </c>
    </row>
    <row r="98">
      <c r="A98">
        <f>IF($W98="","",IF(INDEX('Per Invoice'!A$2:A$801,$W98)="","",INDEX('Per Invoice'!A$2:A$801,$W98)))</f>
        <v/>
      </c>
      <c r="B98">
        <f>IF($W98="","",IF(INDEX('Per Invoice'!B$2:B$801,$W98)="","",INDEX('Per Invoice'!B$2:B$801,$W98)))</f>
        <v/>
      </c>
      <c r="C98">
        <f>IF($W98="","",IF(INDEX('Per Invoice'!C$2:C$801,$W98)="","",INDEX('Per Invoice'!C$2:C$801,$W98)))</f>
        <v/>
      </c>
      <c r="D98">
        <f>IF($W98="","",IF(INDEX('Per Invoice'!D$2:D$801,$W98)="","",INDEX('Per Invoice'!D$2:D$801,$W98)))</f>
        <v/>
      </c>
      <c r="E98">
        <f>IF($W98="","",IF(INDEX('Per Invoice'!E$2:E$801,$W98)="","",INDEX('Per Invoice'!E$2:E$801,$W98)))</f>
        <v/>
      </c>
      <c r="F98">
        <f>IF($W98="","",IF(INDEX('Per Invoice'!F$2:F$801,$W98)="","",INDEX('Per Invoice'!F$2:F$801,$W98)))</f>
        <v/>
      </c>
      <c r="G98">
        <f>IF($W98="","",IF(INDEX('Per Invoice'!G$2:G$801,$W98)="","",INDEX('Per Invoice'!G$2:G$801,$W98)))</f>
        <v/>
      </c>
      <c r="H98">
        <f>IF($W98="","",IF(INDEX('Per Invoice'!H$2:H$801,$W98)="","",INDEX('Per Invoice'!H$2:H$801,$W98)))</f>
        <v/>
      </c>
      <c r="I98">
        <f>IF($W98="","",IF(INDEX('Per Invoice'!I$2:I$801,$W98)="","",INDEX('Per Invoice'!I$2:I$801,$W98)))</f>
        <v/>
      </c>
      <c r="J98">
        <f>IF($W98="","",IF(INDEX('Per Invoice'!J$2:J$801,$W98)="","",INDEX('Per Invoice'!J$2:J$801,$W98)))</f>
        <v/>
      </c>
      <c r="K98" s="7">
        <f>IF($W98="","",IF(INDEX('Per Invoice'!K$2:K$801,$W98)="","",INDEX('Per Invoice'!K$2:K$801,$W98)))</f>
        <v/>
      </c>
      <c r="L98" s="14">
        <f>IF($W98="","",IF(INDEX('Per Invoice'!L$2:L$801,$W98)="","",INDEX('Per Invoice'!L$2:L$801,$W98)))</f>
        <v/>
      </c>
      <c r="M98">
        <f>IF($W98="","",IF(INDEX('Per Invoice'!M$2:M$801,$W98)="","",INDEX('Per Invoice'!M$2:M$801,$W98)))</f>
        <v/>
      </c>
      <c r="N98" s="7">
        <f>IF($W98="","",IF(INDEX('Per Invoice'!N$2:N$801,$W98)="","",INDEX('Per Invoice'!N$2:N$801,$W98)))</f>
        <v/>
      </c>
      <c r="O98" s="7">
        <f>IF($W98="","",IF(INDEX('Per Invoice'!O$2:O$801,$W98)="","",INDEX('Per Invoice'!O$2:O$801,$W98)))</f>
        <v/>
      </c>
      <c r="P98">
        <f>IF($W98="","",IF(INDEX('Per Invoice'!P$2:P$801,$W98)="","",INDEX('Per Invoice'!P$2:P$801,$W98)))</f>
        <v/>
      </c>
      <c r="Q98" s="7">
        <f>IF($W98="","",IF(INDEX('Per Invoice'!Q$2:Q$801,$W98)="","",INDEX('Per Invoice'!Q$2:Q$801,$W98)))</f>
        <v/>
      </c>
      <c r="R98" s="7">
        <f>IF($W98="","",IF(INDEX('Per Invoice'!R$2:R$801,$W98)="","",INDEX('Per Invoice'!R$2:R$801,$W98)))</f>
        <v/>
      </c>
      <c r="S98" s="7">
        <f>IF($W98="","",IF(INDEX('Per Invoice'!S$2:S$801,$W98)="","",INDEX('Per Invoice'!S$2:S$801,$W98)))</f>
        <v/>
      </c>
      <c r="T98" s="7">
        <f>IF($W98="","",IF(INDEX('Per Invoice'!T$2:T$801,$W98)="","",INDEX('Per Invoice'!T$2:T$801,$W98)))</f>
        <v/>
      </c>
      <c r="U98" s="7">
        <f>IF($W98="","",IF(INDEX('Per Invoice'!U$2:U$801,$W98)="","",INDEX('Per Invoice'!U$2:U$801,$W98)))</f>
        <v/>
      </c>
      <c r="V98" s="7">
        <f>IF($W98="","",IF(INDEX('Per Invoice'!V$2:V$801,$W98)="","",INDEX('Per Invoice'!V$2:V$801,$W98)))</f>
        <v/>
      </c>
      <c r="W98" s="16">
        <f>IFERROR(MATCH(Settings!$C$26&amp;"|"&amp;ROWS($W$2:$W98),'Per Invoice'!$X$2:$X$801,0),"")</f>
        <v/>
      </c>
    </row>
    <row r="99">
      <c r="A99">
        <f>IF($W99="","",IF(INDEX('Per Invoice'!A$2:A$801,$W99)="","",INDEX('Per Invoice'!A$2:A$801,$W99)))</f>
        <v/>
      </c>
      <c r="B99">
        <f>IF($W99="","",IF(INDEX('Per Invoice'!B$2:B$801,$W99)="","",INDEX('Per Invoice'!B$2:B$801,$W99)))</f>
        <v/>
      </c>
      <c r="C99">
        <f>IF($W99="","",IF(INDEX('Per Invoice'!C$2:C$801,$W99)="","",INDEX('Per Invoice'!C$2:C$801,$W99)))</f>
        <v/>
      </c>
      <c r="D99">
        <f>IF($W99="","",IF(INDEX('Per Invoice'!D$2:D$801,$W99)="","",INDEX('Per Invoice'!D$2:D$801,$W99)))</f>
        <v/>
      </c>
      <c r="E99">
        <f>IF($W99="","",IF(INDEX('Per Invoice'!E$2:E$801,$W99)="","",INDEX('Per Invoice'!E$2:E$801,$W99)))</f>
        <v/>
      </c>
      <c r="F99">
        <f>IF($W99="","",IF(INDEX('Per Invoice'!F$2:F$801,$W99)="","",INDEX('Per Invoice'!F$2:F$801,$W99)))</f>
        <v/>
      </c>
      <c r="G99">
        <f>IF($W99="","",IF(INDEX('Per Invoice'!G$2:G$801,$W99)="","",INDEX('Per Invoice'!G$2:G$801,$W99)))</f>
        <v/>
      </c>
      <c r="H99">
        <f>IF($W99="","",IF(INDEX('Per Invoice'!H$2:H$801,$W99)="","",INDEX('Per Invoice'!H$2:H$801,$W99)))</f>
        <v/>
      </c>
      <c r="I99">
        <f>IF($W99="","",IF(INDEX('Per Invoice'!I$2:I$801,$W99)="","",INDEX('Per Invoice'!I$2:I$801,$W99)))</f>
        <v/>
      </c>
      <c r="J99">
        <f>IF($W99="","",IF(INDEX('Per Invoice'!J$2:J$801,$W99)="","",INDEX('Per Invoice'!J$2:J$801,$W99)))</f>
        <v/>
      </c>
      <c r="K99" s="7">
        <f>IF($W99="","",IF(INDEX('Per Invoice'!K$2:K$801,$W99)="","",INDEX('Per Invoice'!K$2:K$801,$W99)))</f>
        <v/>
      </c>
      <c r="L99" s="14">
        <f>IF($W99="","",IF(INDEX('Per Invoice'!L$2:L$801,$W99)="","",INDEX('Per Invoice'!L$2:L$801,$W99)))</f>
        <v/>
      </c>
      <c r="M99">
        <f>IF($W99="","",IF(INDEX('Per Invoice'!M$2:M$801,$W99)="","",INDEX('Per Invoice'!M$2:M$801,$W99)))</f>
        <v/>
      </c>
      <c r="N99" s="7">
        <f>IF($W99="","",IF(INDEX('Per Invoice'!N$2:N$801,$W99)="","",INDEX('Per Invoice'!N$2:N$801,$W99)))</f>
        <v/>
      </c>
      <c r="O99" s="7">
        <f>IF($W99="","",IF(INDEX('Per Invoice'!O$2:O$801,$W99)="","",INDEX('Per Invoice'!O$2:O$801,$W99)))</f>
        <v/>
      </c>
      <c r="P99">
        <f>IF($W99="","",IF(INDEX('Per Invoice'!P$2:P$801,$W99)="","",INDEX('Per Invoice'!P$2:P$801,$W99)))</f>
        <v/>
      </c>
      <c r="Q99" s="7">
        <f>IF($W99="","",IF(INDEX('Per Invoice'!Q$2:Q$801,$W99)="","",INDEX('Per Invoice'!Q$2:Q$801,$W99)))</f>
        <v/>
      </c>
      <c r="R99" s="7">
        <f>IF($W99="","",IF(INDEX('Per Invoice'!R$2:R$801,$W99)="","",INDEX('Per Invoice'!R$2:R$801,$W99)))</f>
        <v/>
      </c>
      <c r="S99" s="7">
        <f>IF($W99="","",IF(INDEX('Per Invoice'!S$2:S$801,$W99)="","",INDEX('Per Invoice'!S$2:S$801,$W99)))</f>
        <v/>
      </c>
      <c r="T99" s="7">
        <f>IF($W99="","",IF(INDEX('Per Invoice'!T$2:T$801,$W99)="","",INDEX('Per Invoice'!T$2:T$801,$W99)))</f>
        <v/>
      </c>
      <c r="U99" s="7">
        <f>IF($W99="","",IF(INDEX('Per Invoice'!U$2:U$801,$W99)="","",INDEX('Per Invoice'!U$2:U$801,$W99)))</f>
        <v/>
      </c>
      <c r="V99" s="7">
        <f>IF($W99="","",IF(INDEX('Per Invoice'!V$2:V$801,$W99)="","",INDEX('Per Invoice'!V$2:V$801,$W99)))</f>
        <v/>
      </c>
      <c r="W99" s="16">
        <f>IFERROR(MATCH(Settings!$C$26&amp;"|"&amp;ROWS($W$2:$W99),'Per Invoice'!$X$2:$X$801,0),"")</f>
        <v/>
      </c>
    </row>
    <row r="100">
      <c r="A100">
        <f>IF($W100="","",IF(INDEX('Per Invoice'!A$2:A$801,$W100)="","",INDEX('Per Invoice'!A$2:A$801,$W100)))</f>
        <v/>
      </c>
      <c r="B100">
        <f>IF($W100="","",IF(INDEX('Per Invoice'!B$2:B$801,$W100)="","",INDEX('Per Invoice'!B$2:B$801,$W100)))</f>
        <v/>
      </c>
      <c r="C100">
        <f>IF($W100="","",IF(INDEX('Per Invoice'!C$2:C$801,$W100)="","",INDEX('Per Invoice'!C$2:C$801,$W100)))</f>
        <v/>
      </c>
      <c r="D100">
        <f>IF($W100="","",IF(INDEX('Per Invoice'!D$2:D$801,$W100)="","",INDEX('Per Invoice'!D$2:D$801,$W100)))</f>
        <v/>
      </c>
      <c r="E100">
        <f>IF($W100="","",IF(INDEX('Per Invoice'!E$2:E$801,$W100)="","",INDEX('Per Invoice'!E$2:E$801,$W100)))</f>
        <v/>
      </c>
      <c r="F100">
        <f>IF($W100="","",IF(INDEX('Per Invoice'!F$2:F$801,$W100)="","",INDEX('Per Invoice'!F$2:F$801,$W100)))</f>
        <v/>
      </c>
      <c r="G100">
        <f>IF($W100="","",IF(INDEX('Per Invoice'!G$2:G$801,$W100)="","",INDEX('Per Invoice'!G$2:G$801,$W100)))</f>
        <v/>
      </c>
      <c r="H100">
        <f>IF($W100="","",IF(INDEX('Per Invoice'!H$2:H$801,$W100)="","",INDEX('Per Invoice'!H$2:H$801,$W100)))</f>
        <v/>
      </c>
      <c r="I100">
        <f>IF($W100="","",IF(INDEX('Per Invoice'!I$2:I$801,$W100)="","",INDEX('Per Invoice'!I$2:I$801,$W100)))</f>
        <v/>
      </c>
      <c r="J100">
        <f>IF($W100="","",IF(INDEX('Per Invoice'!J$2:J$801,$W100)="","",INDEX('Per Invoice'!J$2:J$801,$W100)))</f>
        <v/>
      </c>
      <c r="K100" s="7">
        <f>IF($W100="","",IF(INDEX('Per Invoice'!K$2:K$801,$W100)="","",INDEX('Per Invoice'!K$2:K$801,$W100)))</f>
        <v/>
      </c>
      <c r="L100" s="14">
        <f>IF($W100="","",IF(INDEX('Per Invoice'!L$2:L$801,$W100)="","",INDEX('Per Invoice'!L$2:L$801,$W100)))</f>
        <v/>
      </c>
      <c r="M100">
        <f>IF($W100="","",IF(INDEX('Per Invoice'!M$2:M$801,$W100)="","",INDEX('Per Invoice'!M$2:M$801,$W100)))</f>
        <v/>
      </c>
      <c r="N100" s="7">
        <f>IF($W100="","",IF(INDEX('Per Invoice'!N$2:N$801,$W100)="","",INDEX('Per Invoice'!N$2:N$801,$W100)))</f>
        <v/>
      </c>
      <c r="O100" s="7">
        <f>IF($W100="","",IF(INDEX('Per Invoice'!O$2:O$801,$W100)="","",INDEX('Per Invoice'!O$2:O$801,$W100)))</f>
        <v/>
      </c>
      <c r="P100">
        <f>IF($W100="","",IF(INDEX('Per Invoice'!P$2:P$801,$W100)="","",INDEX('Per Invoice'!P$2:P$801,$W100)))</f>
        <v/>
      </c>
      <c r="Q100" s="7">
        <f>IF($W100="","",IF(INDEX('Per Invoice'!Q$2:Q$801,$W100)="","",INDEX('Per Invoice'!Q$2:Q$801,$W100)))</f>
        <v/>
      </c>
      <c r="R100" s="7">
        <f>IF($W100="","",IF(INDEX('Per Invoice'!R$2:R$801,$W100)="","",INDEX('Per Invoice'!R$2:R$801,$W100)))</f>
        <v/>
      </c>
      <c r="S100" s="7">
        <f>IF($W100="","",IF(INDEX('Per Invoice'!S$2:S$801,$W100)="","",INDEX('Per Invoice'!S$2:S$801,$W100)))</f>
        <v/>
      </c>
      <c r="T100" s="7">
        <f>IF($W100="","",IF(INDEX('Per Invoice'!T$2:T$801,$W100)="","",INDEX('Per Invoice'!T$2:T$801,$W100)))</f>
        <v/>
      </c>
      <c r="U100" s="7">
        <f>IF($W100="","",IF(INDEX('Per Invoice'!U$2:U$801,$W100)="","",INDEX('Per Invoice'!U$2:U$801,$W100)))</f>
        <v/>
      </c>
      <c r="V100" s="7">
        <f>IF($W100="","",IF(INDEX('Per Invoice'!V$2:V$801,$W100)="","",INDEX('Per Invoice'!V$2:V$801,$W100)))</f>
        <v/>
      </c>
      <c r="W100" s="16">
        <f>IFERROR(MATCH(Settings!$C$26&amp;"|"&amp;ROWS($W$2:$W100),'Per Invoice'!$X$2:$X$801,0),"")</f>
        <v/>
      </c>
    </row>
    <row r="101">
      <c r="A101">
        <f>IF($W101="","",IF(INDEX('Per Invoice'!A$2:A$801,$W101)="","",INDEX('Per Invoice'!A$2:A$801,$W101)))</f>
        <v/>
      </c>
      <c r="B101">
        <f>IF($W101="","",IF(INDEX('Per Invoice'!B$2:B$801,$W101)="","",INDEX('Per Invoice'!B$2:B$801,$W101)))</f>
        <v/>
      </c>
      <c r="C101">
        <f>IF($W101="","",IF(INDEX('Per Invoice'!C$2:C$801,$W101)="","",INDEX('Per Invoice'!C$2:C$801,$W101)))</f>
        <v/>
      </c>
      <c r="D101">
        <f>IF($W101="","",IF(INDEX('Per Invoice'!D$2:D$801,$W101)="","",INDEX('Per Invoice'!D$2:D$801,$W101)))</f>
        <v/>
      </c>
      <c r="E101">
        <f>IF($W101="","",IF(INDEX('Per Invoice'!E$2:E$801,$W101)="","",INDEX('Per Invoice'!E$2:E$801,$W101)))</f>
        <v/>
      </c>
      <c r="F101">
        <f>IF($W101="","",IF(INDEX('Per Invoice'!F$2:F$801,$W101)="","",INDEX('Per Invoice'!F$2:F$801,$W101)))</f>
        <v/>
      </c>
      <c r="G101">
        <f>IF($W101="","",IF(INDEX('Per Invoice'!G$2:G$801,$W101)="","",INDEX('Per Invoice'!G$2:G$801,$W101)))</f>
        <v/>
      </c>
      <c r="H101">
        <f>IF($W101="","",IF(INDEX('Per Invoice'!H$2:H$801,$W101)="","",INDEX('Per Invoice'!H$2:H$801,$W101)))</f>
        <v/>
      </c>
      <c r="I101">
        <f>IF($W101="","",IF(INDEX('Per Invoice'!I$2:I$801,$W101)="","",INDEX('Per Invoice'!I$2:I$801,$W101)))</f>
        <v/>
      </c>
      <c r="J101">
        <f>IF($W101="","",IF(INDEX('Per Invoice'!J$2:J$801,$W101)="","",INDEX('Per Invoice'!J$2:J$801,$W101)))</f>
        <v/>
      </c>
      <c r="K101" s="7">
        <f>IF($W101="","",IF(INDEX('Per Invoice'!K$2:K$801,$W101)="","",INDEX('Per Invoice'!K$2:K$801,$W101)))</f>
        <v/>
      </c>
      <c r="L101" s="14">
        <f>IF($W101="","",IF(INDEX('Per Invoice'!L$2:L$801,$W101)="","",INDEX('Per Invoice'!L$2:L$801,$W101)))</f>
        <v/>
      </c>
      <c r="M101">
        <f>IF($W101="","",IF(INDEX('Per Invoice'!M$2:M$801,$W101)="","",INDEX('Per Invoice'!M$2:M$801,$W101)))</f>
        <v/>
      </c>
      <c r="N101" s="7">
        <f>IF($W101="","",IF(INDEX('Per Invoice'!N$2:N$801,$W101)="","",INDEX('Per Invoice'!N$2:N$801,$W101)))</f>
        <v/>
      </c>
      <c r="O101" s="7">
        <f>IF($W101="","",IF(INDEX('Per Invoice'!O$2:O$801,$W101)="","",INDEX('Per Invoice'!O$2:O$801,$W101)))</f>
        <v/>
      </c>
      <c r="P101">
        <f>IF($W101="","",IF(INDEX('Per Invoice'!P$2:P$801,$W101)="","",INDEX('Per Invoice'!P$2:P$801,$W101)))</f>
        <v/>
      </c>
      <c r="Q101" s="7">
        <f>IF($W101="","",IF(INDEX('Per Invoice'!Q$2:Q$801,$W101)="","",INDEX('Per Invoice'!Q$2:Q$801,$W101)))</f>
        <v/>
      </c>
      <c r="R101" s="7">
        <f>IF($W101="","",IF(INDEX('Per Invoice'!R$2:R$801,$W101)="","",INDEX('Per Invoice'!R$2:R$801,$W101)))</f>
        <v/>
      </c>
      <c r="S101" s="7">
        <f>IF($W101="","",IF(INDEX('Per Invoice'!S$2:S$801,$W101)="","",INDEX('Per Invoice'!S$2:S$801,$W101)))</f>
        <v/>
      </c>
      <c r="T101" s="7">
        <f>IF($W101="","",IF(INDEX('Per Invoice'!T$2:T$801,$W101)="","",INDEX('Per Invoice'!T$2:T$801,$W101)))</f>
        <v/>
      </c>
      <c r="U101" s="7">
        <f>IF($W101="","",IF(INDEX('Per Invoice'!U$2:U$801,$W101)="","",INDEX('Per Invoice'!U$2:U$801,$W101)))</f>
        <v/>
      </c>
      <c r="V101" s="7">
        <f>IF($W101="","",IF(INDEX('Per Invoice'!V$2:V$801,$W101)="","",INDEX('Per Invoice'!V$2:V$801,$W101)))</f>
        <v/>
      </c>
      <c r="W101" s="16">
        <f>IFERROR(MATCH(Settings!$C$26&amp;"|"&amp;ROWS($W$2:$W101),'Per Invoice'!$X$2:$X$801,0),"")</f>
        <v/>
      </c>
    </row>
    <row r="102">
      <c r="A102">
        <f>IF($W102="","",IF(INDEX('Per Invoice'!A$2:A$801,$W102)="","",INDEX('Per Invoice'!A$2:A$801,$W102)))</f>
        <v/>
      </c>
      <c r="B102">
        <f>IF($W102="","",IF(INDEX('Per Invoice'!B$2:B$801,$W102)="","",INDEX('Per Invoice'!B$2:B$801,$W102)))</f>
        <v/>
      </c>
      <c r="C102">
        <f>IF($W102="","",IF(INDEX('Per Invoice'!C$2:C$801,$W102)="","",INDEX('Per Invoice'!C$2:C$801,$W102)))</f>
        <v/>
      </c>
      <c r="D102">
        <f>IF($W102="","",IF(INDEX('Per Invoice'!D$2:D$801,$W102)="","",INDEX('Per Invoice'!D$2:D$801,$W102)))</f>
        <v/>
      </c>
      <c r="E102">
        <f>IF($W102="","",IF(INDEX('Per Invoice'!E$2:E$801,$W102)="","",INDEX('Per Invoice'!E$2:E$801,$W102)))</f>
        <v/>
      </c>
      <c r="F102">
        <f>IF($W102="","",IF(INDEX('Per Invoice'!F$2:F$801,$W102)="","",INDEX('Per Invoice'!F$2:F$801,$W102)))</f>
        <v/>
      </c>
      <c r="G102">
        <f>IF($W102="","",IF(INDEX('Per Invoice'!G$2:G$801,$W102)="","",INDEX('Per Invoice'!G$2:G$801,$W102)))</f>
        <v/>
      </c>
      <c r="H102">
        <f>IF($W102="","",IF(INDEX('Per Invoice'!H$2:H$801,$W102)="","",INDEX('Per Invoice'!H$2:H$801,$W102)))</f>
        <v/>
      </c>
      <c r="I102">
        <f>IF($W102="","",IF(INDEX('Per Invoice'!I$2:I$801,$W102)="","",INDEX('Per Invoice'!I$2:I$801,$W102)))</f>
        <v/>
      </c>
      <c r="J102">
        <f>IF($W102="","",IF(INDEX('Per Invoice'!J$2:J$801,$W102)="","",INDEX('Per Invoice'!J$2:J$801,$W102)))</f>
        <v/>
      </c>
      <c r="K102" s="7">
        <f>IF($W102="","",IF(INDEX('Per Invoice'!K$2:K$801,$W102)="","",INDEX('Per Invoice'!K$2:K$801,$W102)))</f>
        <v/>
      </c>
      <c r="L102" s="14">
        <f>IF($W102="","",IF(INDEX('Per Invoice'!L$2:L$801,$W102)="","",INDEX('Per Invoice'!L$2:L$801,$W102)))</f>
        <v/>
      </c>
      <c r="M102">
        <f>IF($W102="","",IF(INDEX('Per Invoice'!M$2:M$801,$W102)="","",INDEX('Per Invoice'!M$2:M$801,$W102)))</f>
        <v/>
      </c>
      <c r="N102" s="7">
        <f>IF($W102="","",IF(INDEX('Per Invoice'!N$2:N$801,$W102)="","",INDEX('Per Invoice'!N$2:N$801,$W102)))</f>
        <v/>
      </c>
      <c r="O102" s="7">
        <f>IF($W102="","",IF(INDEX('Per Invoice'!O$2:O$801,$W102)="","",INDEX('Per Invoice'!O$2:O$801,$W102)))</f>
        <v/>
      </c>
      <c r="P102">
        <f>IF($W102="","",IF(INDEX('Per Invoice'!P$2:P$801,$W102)="","",INDEX('Per Invoice'!P$2:P$801,$W102)))</f>
        <v/>
      </c>
      <c r="Q102" s="7">
        <f>IF($W102="","",IF(INDEX('Per Invoice'!Q$2:Q$801,$W102)="","",INDEX('Per Invoice'!Q$2:Q$801,$W102)))</f>
        <v/>
      </c>
      <c r="R102" s="7">
        <f>IF($W102="","",IF(INDEX('Per Invoice'!R$2:R$801,$W102)="","",INDEX('Per Invoice'!R$2:R$801,$W102)))</f>
        <v/>
      </c>
      <c r="S102" s="7">
        <f>IF($W102="","",IF(INDEX('Per Invoice'!S$2:S$801,$W102)="","",INDEX('Per Invoice'!S$2:S$801,$W102)))</f>
        <v/>
      </c>
      <c r="T102" s="7">
        <f>IF($W102="","",IF(INDEX('Per Invoice'!T$2:T$801,$W102)="","",INDEX('Per Invoice'!T$2:T$801,$W102)))</f>
        <v/>
      </c>
      <c r="U102" s="7">
        <f>IF($W102="","",IF(INDEX('Per Invoice'!U$2:U$801,$W102)="","",INDEX('Per Invoice'!U$2:U$801,$W102)))</f>
        <v/>
      </c>
      <c r="V102" s="7">
        <f>IF($W102="","",IF(INDEX('Per Invoice'!V$2:V$801,$W102)="","",INDEX('Per Invoice'!V$2:V$801,$W102)))</f>
        <v/>
      </c>
      <c r="W102" s="16">
        <f>IFERROR(MATCH(Settings!$C$26&amp;"|"&amp;ROWS($W$2:$W102),'Per Invoice'!$X$2:$X$801,0),"")</f>
        <v/>
      </c>
    </row>
    <row r="103">
      <c r="A103">
        <f>IF($W103="","",IF(INDEX('Per Invoice'!A$2:A$801,$W103)="","",INDEX('Per Invoice'!A$2:A$801,$W103)))</f>
        <v/>
      </c>
      <c r="B103">
        <f>IF($W103="","",IF(INDEX('Per Invoice'!B$2:B$801,$W103)="","",INDEX('Per Invoice'!B$2:B$801,$W103)))</f>
        <v/>
      </c>
      <c r="C103">
        <f>IF($W103="","",IF(INDEX('Per Invoice'!C$2:C$801,$W103)="","",INDEX('Per Invoice'!C$2:C$801,$W103)))</f>
        <v/>
      </c>
      <c r="D103">
        <f>IF($W103="","",IF(INDEX('Per Invoice'!D$2:D$801,$W103)="","",INDEX('Per Invoice'!D$2:D$801,$W103)))</f>
        <v/>
      </c>
      <c r="E103">
        <f>IF($W103="","",IF(INDEX('Per Invoice'!E$2:E$801,$W103)="","",INDEX('Per Invoice'!E$2:E$801,$W103)))</f>
        <v/>
      </c>
      <c r="F103">
        <f>IF($W103="","",IF(INDEX('Per Invoice'!F$2:F$801,$W103)="","",INDEX('Per Invoice'!F$2:F$801,$W103)))</f>
        <v/>
      </c>
      <c r="G103">
        <f>IF($W103="","",IF(INDEX('Per Invoice'!G$2:G$801,$W103)="","",INDEX('Per Invoice'!G$2:G$801,$W103)))</f>
        <v/>
      </c>
      <c r="H103">
        <f>IF($W103="","",IF(INDEX('Per Invoice'!H$2:H$801,$W103)="","",INDEX('Per Invoice'!H$2:H$801,$W103)))</f>
        <v/>
      </c>
      <c r="I103">
        <f>IF($W103="","",IF(INDEX('Per Invoice'!I$2:I$801,$W103)="","",INDEX('Per Invoice'!I$2:I$801,$W103)))</f>
        <v/>
      </c>
      <c r="J103">
        <f>IF($W103="","",IF(INDEX('Per Invoice'!J$2:J$801,$W103)="","",INDEX('Per Invoice'!J$2:J$801,$W103)))</f>
        <v/>
      </c>
      <c r="K103" s="7">
        <f>IF($W103="","",IF(INDEX('Per Invoice'!K$2:K$801,$W103)="","",INDEX('Per Invoice'!K$2:K$801,$W103)))</f>
        <v/>
      </c>
      <c r="L103" s="14">
        <f>IF($W103="","",IF(INDEX('Per Invoice'!L$2:L$801,$W103)="","",INDEX('Per Invoice'!L$2:L$801,$W103)))</f>
        <v/>
      </c>
      <c r="M103">
        <f>IF($W103="","",IF(INDEX('Per Invoice'!M$2:M$801,$W103)="","",INDEX('Per Invoice'!M$2:M$801,$W103)))</f>
        <v/>
      </c>
      <c r="N103" s="7">
        <f>IF($W103="","",IF(INDEX('Per Invoice'!N$2:N$801,$W103)="","",INDEX('Per Invoice'!N$2:N$801,$W103)))</f>
        <v/>
      </c>
      <c r="O103" s="7">
        <f>IF($W103="","",IF(INDEX('Per Invoice'!O$2:O$801,$W103)="","",INDEX('Per Invoice'!O$2:O$801,$W103)))</f>
        <v/>
      </c>
      <c r="P103">
        <f>IF($W103="","",IF(INDEX('Per Invoice'!P$2:P$801,$W103)="","",INDEX('Per Invoice'!P$2:P$801,$W103)))</f>
        <v/>
      </c>
      <c r="Q103" s="7">
        <f>IF($W103="","",IF(INDEX('Per Invoice'!Q$2:Q$801,$W103)="","",INDEX('Per Invoice'!Q$2:Q$801,$W103)))</f>
        <v/>
      </c>
      <c r="R103" s="7">
        <f>IF($W103="","",IF(INDEX('Per Invoice'!R$2:R$801,$W103)="","",INDEX('Per Invoice'!R$2:R$801,$W103)))</f>
        <v/>
      </c>
      <c r="S103" s="7">
        <f>IF($W103="","",IF(INDEX('Per Invoice'!S$2:S$801,$W103)="","",INDEX('Per Invoice'!S$2:S$801,$W103)))</f>
        <v/>
      </c>
      <c r="T103" s="7">
        <f>IF($W103="","",IF(INDEX('Per Invoice'!T$2:T$801,$W103)="","",INDEX('Per Invoice'!T$2:T$801,$W103)))</f>
        <v/>
      </c>
      <c r="U103" s="7">
        <f>IF($W103="","",IF(INDEX('Per Invoice'!U$2:U$801,$W103)="","",INDEX('Per Invoice'!U$2:U$801,$W103)))</f>
        <v/>
      </c>
      <c r="V103" s="7">
        <f>IF($W103="","",IF(INDEX('Per Invoice'!V$2:V$801,$W103)="","",INDEX('Per Invoice'!V$2:V$801,$W103)))</f>
        <v/>
      </c>
      <c r="W103" s="16">
        <f>IFERROR(MATCH(Settings!$C$26&amp;"|"&amp;ROWS($W$2:$W103),'Per Invoice'!$X$2:$X$801,0),"")</f>
        <v/>
      </c>
    </row>
    <row r="104">
      <c r="A104">
        <f>IF($W104="","",IF(INDEX('Per Invoice'!A$2:A$801,$W104)="","",INDEX('Per Invoice'!A$2:A$801,$W104)))</f>
        <v/>
      </c>
      <c r="B104">
        <f>IF($W104="","",IF(INDEX('Per Invoice'!B$2:B$801,$W104)="","",INDEX('Per Invoice'!B$2:B$801,$W104)))</f>
        <v/>
      </c>
      <c r="C104">
        <f>IF($W104="","",IF(INDEX('Per Invoice'!C$2:C$801,$W104)="","",INDEX('Per Invoice'!C$2:C$801,$W104)))</f>
        <v/>
      </c>
      <c r="D104">
        <f>IF($W104="","",IF(INDEX('Per Invoice'!D$2:D$801,$W104)="","",INDEX('Per Invoice'!D$2:D$801,$W104)))</f>
        <v/>
      </c>
      <c r="E104">
        <f>IF($W104="","",IF(INDEX('Per Invoice'!E$2:E$801,$W104)="","",INDEX('Per Invoice'!E$2:E$801,$W104)))</f>
        <v/>
      </c>
      <c r="F104">
        <f>IF($W104="","",IF(INDEX('Per Invoice'!F$2:F$801,$W104)="","",INDEX('Per Invoice'!F$2:F$801,$W104)))</f>
        <v/>
      </c>
      <c r="G104">
        <f>IF($W104="","",IF(INDEX('Per Invoice'!G$2:G$801,$W104)="","",INDEX('Per Invoice'!G$2:G$801,$W104)))</f>
        <v/>
      </c>
      <c r="H104">
        <f>IF($W104="","",IF(INDEX('Per Invoice'!H$2:H$801,$W104)="","",INDEX('Per Invoice'!H$2:H$801,$W104)))</f>
        <v/>
      </c>
      <c r="I104">
        <f>IF($W104="","",IF(INDEX('Per Invoice'!I$2:I$801,$W104)="","",INDEX('Per Invoice'!I$2:I$801,$W104)))</f>
        <v/>
      </c>
      <c r="J104">
        <f>IF($W104="","",IF(INDEX('Per Invoice'!J$2:J$801,$W104)="","",INDEX('Per Invoice'!J$2:J$801,$W104)))</f>
        <v/>
      </c>
      <c r="K104" s="7">
        <f>IF($W104="","",IF(INDEX('Per Invoice'!K$2:K$801,$W104)="","",INDEX('Per Invoice'!K$2:K$801,$W104)))</f>
        <v/>
      </c>
      <c r="L104" s="14">
        <f>IF($W104="","",IF(INDEX('Per Invoice'!L$2:L$801,$W104)="","",INDEX('Per Invoice'!L$2:L$801,$W104)))</f>
        <v/>
      </c>
      <c r="M104">
        <f>IF($W104="","",IF(INDEX('Per Invoice'!M$2:M$801,$W104)="","",INDEX('Per Invoice'!M$2:M$801,$W104)))</f>
        <v/>
      </c>
      <c r="N104" s="7">
        <f>IF($W104="","",IF(INDEX('Per Invoice'!N$2:N$801,$W104)="","",INDEX('Per Invoice'!N$2:N$801,$W104)))</f>
        <v/>
      </c>
      <c r="O104" s="7">
        <f>IF($W104="","",IF(INDEX('Per Invoice'!O$2:O$801,$W104)="","",INDEX('Per Invoice'!O$2:O$801,$W104)))</f>
        <v/>
      </c>
      <c r="P104">
        <f>IF($W104="","",IF(INDEX('Per Invoice'!P$2:P$801,$W104)="","",INDEX('Per Invoice'!P$2:P$801,$W104)))</f>
        <v/>
      </c>
      <c r="Q104" s="7">
        <f>IF($W104="","",IF(INDEX('Per Invoice'!Q$2:Q$801,$W104)="","",INDEX('Per Invoice'!Q$2:Q$801,$W104)))</f>
        <v/>
      </c>
      <c r="R104" s="7">
        <f>IF($W104="","",IF(INDEX('Per Invoice'!R$2:R$801,$W104)="","",INDEX('Per Invoice'!R$2:R$801,$W104)))</f>
        <v/>
      </c>
      <c r="S104" s="7">
        <f>IF($W104="","",IF(INDEX('Per Invoice'!S$2:S$801,$W104)="","",INDEX('Per Invoice'!S$2:S$801,$W104)))</f>
        <v/>
      </c>
      <c r="T104" s="7">
        <f>IF($W104="","",IF(INDEX('Per Invoice'!T$2:T$801,$W104)="","",INDEX('Per Invoice'!T$2:T$801,$W104)))</f>
        <v/>
      </c>
      <c r="U104" s="7">
        <f>IF($W104="","",IF(INDEX('Per Invoice'!U$2:U$801,$W104)="","",INDEX('Per Invoice'!U$2:U$801,$W104)))</f>
        <v/>
      </c>
      <c r="V104" s="7">
        <f>IF($W104="","",IF(INDEX('Per Invoice'!V$2:V$801,$W104)="","",INDEX('Per Invoice'!V$2:V$801,$W104)))</f>
        <v/>
      </c>
      <c r="W104" s="16">
        <f>IFERROR(MATCH(Settings!$C$26&amp;"|"&amp;ROWS($W$2:$W104),'Per Invoice'!$X$2:$X$801,0),"")</f>
        <v/>
      </c>
    </row>
    <row r="105">
      <c r="A105">
        <f>IF($W105="","",IF(INDEX('Per Invoice'!A$2:A$801,$W105)="","",INDEX('Per Invoice'!A$2:A$801,$W105)))</f>
        <v/>
      </c>
      <c r="B105">
        <f>IF($W105="","",IF(INDEX('Per Invoice'!B$2:B$801,$W105)="","",INDEX('Per Invoice'!B$2:B$801,$W105)))</f>
        <v/>
      </c>
      <c r="C105">
        <f>IF($W105="","",IF(INDEX('Per Invoice'!C$2:C$801,$W105)="","",INDEX('Per Invoice'!C$2:C$801,$W105)))</f>
        <v/>
      </c>
      <c r="D105">
        <f>IF($W105="","",IF(INDEX('Per Invoice'!D$2:D$801,$W105)="","",INDEX('Per Invoice'!D$2:D$801,$W105)))</f>
        <v/>
      </c>
      <c r="E105">
        <f>IF($W105="","",IF(INDEX('Per Invoice'!E$2:E$801,$W105)="","",INDEX('Per Invoice'!E$2:E$801,$W105)))</f>
        <v/>
      </c>
      <c r="F105">
        <f>IF($W105="","",IF(INDEX('Per Invoice'!F$2:F$801,$W105)="","",INDEX('Per Invoice'!F$2:F$801,$W105)))</f>
        <v/>
      </c>
      <c r="G105">
        <f>IF($W105="","",IF(INDEX('Per Invoice'!G$2:G$801,$W105)="","",INDEX('Per Invoice'!G$2:G$801,$W105)))</f>
        <v/>
      </c>
      <c r="H105">
        <f>IF($W105="","",IF(INDEX('Per Invoice'!H$2:H$801,$W105)="","",INDEX('Per Invoice'!H$2:H$801,$W105)))</f>
        <v/>
      </c>
      <c r="I105">
        <f>IF($W105="","",IF(INDEX('Per Invoice'!I$2:I$801,$W105)="","",INDEX('Per Invoice'!I$2:I$801,$W105)))</f>
        <v/>
      </c>
      <c r="J105">
        <f>IF($W105="","",IF(INDEX('Per Invoice'!J$2:J$801,$W105)="","",INDEX('Per Invoice'!J$2:J$801,$W105)))</f>
        <v/>
      </c>
      <c r="K105" s="7">
        <f>IF($W105="","",IF(INDEX('Per Invoice'!K$2:K$801,$W105)="","",INDEX('Per Invoice'!K$2:K$801,$W105)))</f>
        <v/>
      </c>
      <c r="L105" s="14">
        <f>IF($W105="","",IF(INDEX('Per Invoice'!L$2:L$801,$W105)="","",INDEX('Per Invoice'!L$2:L$801,$W105)))</f>
        <v/>
      </c>
      <c r="M105">
        <f>IF($W105="","",IF(INDEX('Per Invoice'!M$2:M$801,$W105)="","",INDEX('Per Invoice'!M$2:M$801,$W105)))</f>
        <v/>
      </c>
      <c r="N105" s="7">
        <f>IF($W105="","",IF(INDEX('Per Invoice'!N$2:N$801,$W105)="","",INDEX('Per Invoice'!N$2:N$801,$W105)))</f>
        <v/>
      </c>
      <c r="O105" s="7">
        <f>IF($W105="","",IF(INDEX('Per Invoice'!O$2:O$801,$W105)="","",INDEX('Per Invoice'!O$2:O$801,$W105)))</f>
        <v/>
      </c>
      <c r="P105">
        <f>IF($W105="","",IF(INDEX('Per Invoice'!P$2:P$801,$W105)="","",INDEX('Per Invoice'!P$2:P$801,$W105)))</f>
        <v/>
      </c>
      <c r="Q105" s="7">
        <f>IF($W105="","",IF(INDEX('Per Invoice'!Q$2:Q$801,$W105)="","",INDEX('Per Invoice'!Q$2:Q$801,$W105)))</f>
        <v/>
      </c>
      <c r="R105" s="7">
        <f>IF($W105="","",IF(INDEX('Per Invoice'!R$2:R$801,$W105)="","",INDEX('Per Invoice'!R$2:R$801,$W105)))</f>
        <v/>
      </c>
      <c r="S105" s="7">
        <f>IF($W105="","",IF(INDEX('Per Invoice'!S$2:S$801,$W105)="","",INDEX('Per Invoice'!S$2:S$801,$W105)))</f>
        <v/>
      </c>
      <c r="T105" s="7">
        <f>IF($W105="","",IF(INDEX('Per Invoice'!T$2:T$801,$W105)="","",INDEX('Per Invoice'!T$2:T$801,$W105)))</f>
        <v/>
      </c>
      <c r="U105" s="7">
        <f>IF($W105="","",IF(INDEX('Per Invoice'!U$2:U$801,$W105)="","",INDEX('Per Invoice'!U$2:U$801,$W105)))</f>
        <v/>
      </c>
      <c r="V105" s="7">
        <f>IF($W105="","",IF(INDEX('Per Invoice'!V$2:V$801,$W105)="","",INDEX('Per Invoice'!V$2:V$801,$W105)))</f>
        <v/>
      </c>
      <c r="W105" s="16">
        <f>IFERROR(MATCH(Settings!$C$26&amp;"|"&amp;ROWS($W$2:$W105),'Per Invoice'!$X$2:$X$801,0),"")</f>
        <v/>
      </c>
    </row>
    <row r="106">
      <c r="A106">
        <f>IF($W106="","",IF(INDEX('Per Invoice'!A$2:A$801,$W106)="","",INDEX('Per Invoice'!A$2:A$801,$W106)))</f>
        <v/>
      </c>
      <c r="B106">
        <f>IF($W106="","",IF(INDEX('Per Invoice'!B$2:B$801,$W106)="","",INDEX('Per Invoice'!B$2:B$801,$W106)))</f>
        <v/>
      </c>
      <c r="C106">
        <f>IF($W106="","",IF(INDEX('Per Invoice'!C$2:C$801,$W106)="","",INDEX('Per Invoice'!C$2:C$801,$W106)))</f>
        <v/>
      </c>
      <c r="D106">
        <f>IF($W106="","",IF(INDEX('Per Invoice'!D$2:D$801,$W106)="","",INDEX('Per Invoice'!D$2:D$801,$W106)))</f>
        <v/>
      </c>
      <c r="E106">
        <f>IF($W106="","",IF(INDEX('Per Invoice'!E$2:E$801,$W106)="","",INDEX('Per Invoice'!E$2:E$801,$W106)))</f>
        <v/>
      </c>
      <c r="F106">
        <f>IF($W106="","",IF(INDEX('Per Invoice'!F$2:F$801,$W106)="","",INDEX('Per Invoice'!F$2:F$801,$W106)))</f>
        <v/>
      </c>
      <c r="G106">
        <f>IF($W106="","",IF(INDEX('Per Invoice'!G$2:G$801,$W106)="","",INDEX('Per Invoice'!G$2:G$801,$W106)))</f>
        <v/>
      </c>
      <c r="H106">
        <f>IF($W106="","",IF(INDEX('Per Invoice'!H$2:H$801,$W106)="","",INDEX('Per Invoice'!H$2:H$801,$W106)))</f>
        <v/>
      </c>
      <c r="I106">
        <f>IF($W106="","",IF(INDEX('Per Invoice'!I$2:I$801,$W106)="","",INDEX('Per Invoice'!I$2:I$801,$W106)))</f>
        <v/>
      </c>
      <c r="J106">
        <f>IF($W106="","",IF(INDEX('Per Invoice'!J$2:J$801,$W106)="","",INDEX('Per Invoice'!J$2:J$801,$W106)))</f>
        <v/>
      </c>
      <c r="K106" s="7">
        <f>IF($W106="","",IF(INDEX('Per Invoice'!K$2:K$801,$W106)="","",INDEX('Per Invoice'!K$2:K$801,$W106)))</f>
        <v/>
      </c>
      <c r="L106" s="14">
        <f>IF($W106="","",IF(INDEX('Per Invoice'!L$2:L$801,$W106)="","",INDEX('Per Invoice'!L$2:L$801,$W106)))</f>
        <v/>
      </c>
      <c r="M106">
        <f>IF($W106="","",IF(INDEX('Per Invoice'!M$2:M$801,$W106)="","",INDEX('Per Invoice'!M$2:M$801,$W106)))</f>
        <v/>
      </c>
      <c r="N106" s="7">
        <f>IF($W106="","",IF(INDEX('Per Invoice'!N$2:N$801,$W106)="","",INDEX('Per Invoice'!N$2:N$801,$W106)))</f>
        <v/>
      </c>
      <c r="O106" s="7">
        <f>IF($W106="","",IF(INDEX('Per Invoice'!O$2:O$801,$W106)="","",INDEX('Per Invoice'!O$2:O$801,$W106)))</f>
        <v/>
      </c>
      <c r="P106">
        <f>IF($W106="","",IF(INDEX('Per Invoice'!P$2:P$801,$W106)="","",INDEX('Per Invoice'!P$2:P$801,$W106)))</f>
        <v/>
      </c>
      <c r="Q106" s="7">
        <f>IF($W106="","",IF(INDEX('Per Invoice'!Q$2:Q$801,$W106)="","",INDEX('Per Invoice'!Q$2:Q$801,$W106)))</f>
        <v/>
      </c>
      <c r="R106" s="7">
        <f>IF($W106="","",IF(INDEX('Per Invoice'!R$2:R$801,$W106)="","",INDEX('Per Invoice'!R$2:R$801,$W106)))</f>
        <v/>
      </c>
      <c r="S106" s="7">
        <f>IF($W106="","",IF(INDEX('Per Invoice'!S$2:S$801,$W106)="","",INDEX('Per Invoice'!S$2:S$801,$W106)))</f>
        <v/>
      </c>
      <c r="T106" s="7">
        <f>IF($W106="","",IF(INDEX('Per Invoice'!T$2:T$801,$W106)="","",INDEX('Per Invoice'!T$2:T$801,$W106)))</f>
        <v/>
      </c>
      <c r="U106" s="7">
        <f>IF($W106="","",IF(INDEX('Per Invoice'!U$2:U$801,$W106)="","",INDEX('Per Invoice'!U$2:U$801,$W106)))</f>
        <v/>
      </c>
      <c r="V106" s="7">
        <f>IF($W106="","",IF(INDEX('Per Invoice'!V$2:V$801,$W106)="","",INDEX('Per Invoice'!V$2:V$801,$W106)))</f>
        <v/>
      </c>
      <c r="W106" s="16">
        <f>IFERROR(MATCH(Settings!$C$26&amp;"|"&amp;ROWS($W$2:$W106),'Per Invoice'!$X$2:$X$801,0),"")</f>
        <v/>
      </c>
    </row>
    <row r="107">
      <c r="A107">
        <f>IF($W107="","",IF(INDEX('Per Invoice'!A$2:A$801,$W107)="","",INDEX('Per Invoice'!A$2:A$801,$W107)))</f>
        <v/>
      </c>
      <c r="B107">
        <f>IF($W107="","",IF(INDEX('Per Invoice'!B$2:B$801,$W107)="","",INDEX('Per Invoice'!B$2:B$801,$W107)))</f>
        <v/>
      </c>
      <c r="C107">
        <f>IF($W107="","",IF(INDEX('Per Invoice'!C$2:C$801,$W107)="","",INDEX('Per Invoice'!C$2:C$801,$W107)))</f>
        <v/>
      </c>
      <c r="D107">
        <f>IF($W107="","",IF(INDEX('Per Invoice'!D$2:D$801,$W107)="","",INDEX('Per Invoice'!D$2:D$801,$W107)))</f>
        <v/>
      </c>
      <c r="E107">
        <f>IF($W107="","",IF(INDEX('Per Invoice'!E$2:E$801,$W107)="","",INDEX('Per Invoice'!E$2:E$801,$W107)))</f>
        <v/>
      </c>
      <c r="F107">
        <f>IF($W107="","",IF(INDEX('Per Invoice'!F$2:F$801,$W107)="","",INDEX('Per Invoice'!F$2:F$801,$W107)))</f>
        <v/>
      </c>
      <c r="G107">
        <f>IF($W107="","",IF(INDEX('Per Invoice'!G$2:G$801,$W107)="","",INDEX('Per Invoice'!G$2:G$801,$W107)))</f>
        <v/>
      </c>
      <c r="H107">
        <f>IF($W107="","",IF(INDEX('Per Invoice'!H$2:H$801,$W107)="","",INDEX('Per Invoice'!H$2:H$801,$W107)))</f>
        <v/>
      </c>
      <c r="I107">
        <f>IF($W107="","",IF(INDEX('Per Invoice'!I$2:I$801,$W107)="","",INDEX('Per Invoice'!I$2:I$801,$W107)))</f>
        <v/>
      </c>
      <c r="J107">
        <f>IF($W107="","",IF(INDEX('Per Invoice'!J$2:J$801,$W107)="","",INDEX('Per Invoice'!J$2:J$801,$W107)))</f>
        <v/>
      </c>
      <c r="K107" s="7">
        <f>IF($W107="","",IF(INDEX('Per Invoice'!K$2:K$801,$W107)="","",INDEX('Per Invoice'!K$2:K$801,$W107)))</f>
        <v/>
      </c>
      <c r="L107" s="14">
        <f>IF($W107="","",IF(INDEX('Per Invoice'!L$2:L$801,$W107)="","",INDEX('Per Invoice'!L$2:L$801,$W107)))</f>
        <v/>
      </c>
      <c r="M107">
        <f>IF($W107="","",IF(INDEX('Per Invoice'!M$2:M$801,$W107)="","",INDEX('Per Invoice'!M$2:M$801,$W107)))</f>
        <v/>
      </c>
      <c r="N107" s="7">
        <f>IF($W107="","",IF(INDEX('Per Invoice'!N$2:N$801,$W107)="","",INDEX('Per Invoice'!N$2:N$801,$W107)))</f>
        <v/>
      </c>
      <c r="O107" s="7">
        <f>IF($W107="","",IF(INDEX('Per Invoice'!O$2:O$801,$W107)="","",INDEX('Per Invoice'!O$2:O$801,$W107)))</f>
        <v/>
      </c>
      <c r="P107">
        <f>IF($W107="","",IF(INDEX('Per Invoice'!P$2:P$801,$W107)="","",INDEX('Per Invoice'!P$2:P$801,$W107)))</f>
        <v/>
      </c>
      <c r="Q107" s="7">
        <f>IF($W107="","",IF(INDEX('Per Invoice'!Q$2:Q$801,$W107)="","",INDEX('Per Invoice'!Q$2:Q$801,$W107)))</f>
        <v/>
      </c>
      <c r="R107" s="7">
        <f>IF($W107="","",IF(INDEX('Per Invoice'!R$2:R$801,$W107)="","",INDEX('Per Invoice'!R$2:R$801,$W107)))</f>
        <v/>
      </c>
      <c r="S107" s="7">
        <f>IF($W107="","",IF(INDEX('Per Invoice'!S$2:S$801,$W107)="","",INDEX('Per Invoice'!S$2:S$801,$W107)))</f>
        <v/>
      </c>
      <c r="T107" s="7">
        <f>IF($W107="","",IF(INDEX('Per Invoice'!T$2:T$801,$W107)="","",INDEX('Per Invoice'!T$2:T$801,$W107)))</f>
        <v/>
      </c>
      <c r="U107" s="7">
        <f>IF($W107="","",IF(INDEX('Per Invoice'!U$2:U$801,$W107)="","",INDEX('Per Invoice'!U$2:U$801,$W107)))</f>
        <v/>
      </c>
      <c r="V107" s="7">
        <f>IF($W107="","",IF(INDEX('Per Invoice'!V$2:V$801,$W107)="","",INDEX('Per Invoice'!V$2:V$801,$W107)))</f>
        <v/>
      </c>
      <c r="W107" s="16">
        <f>IFERROR(MATCH(Settings!$C$26&amp;"|"&amp;ROWS($W$2:$W107),'Per Invoice'!$X$2:$X$801,0),"")</f>
        <v/>
      </c>
    </row>
    <row r="108">
      <c r="A108">
        <f>IF($W108="","",IF(INDEX('Per Invoice'!A$2:A$801,$W108)="","",INDEX('Per Invoice'!A$2:A$801,$W108)))</f>
        <v/>
      </c>
      <c r="B108">
        <f>IF($W108="","",IF(INDEX('Per Invoice'!B$2:B$801,$W108)="","",INDEX('Per Invoice'!B$2:B$801,$W108)))</f>
        <v/>
      </c>
      <c r="C108">
        <f>IF($W108="","",IF(INDEX('Per Invoice'!C$2:C$801,$W108)="","",INDEX('Per Invoice'!C$2:C$801,$W108)))</f>
        <v/>
      </c>
      <c r="D108">
        <f>IF($W108="","",IF(INDEX('Per Invoice'!D$2:D$801,$W108)="","",INDEX('Per Invoice'!D$2:D$801,$W108)))</f>
        <v/>
      </c>
      <c r="E108">
        <f>IF($W108="","",IF(INDEX('Per Invoice'!E$2:E$801,$W108)="","",INDEX('Per Invoice'!E$2:E$801,$W108)))</f>
        <v/>
      </c>
      <c r="F108">
        <f>IF($W108="","",IF(INDEX('Per Invoice'!F$2:F$801,$W108)="","",INDEX('Per Invoice'!F$2:F$801,$W108)))</f>
        <v/>
      </c>
      <c r="G108">
        <f>IF($W108="","",IF(INDEX('Per Invoice'!G$2:G$801,$W108)="","",INDEX('Per Invoice'!G$2:G$801,$W108)))</f>
        <v/>
      </c>
      <c r="H108">
        <f>IF($W108="","",IF(INDEX('Per Invoice'!H$2:H$801,$W108)="","",INDEX('Per Invoice'!H$2:H$801,$W108)))</f>
        <v/>
      </c>
      <c r="I108">
        <f>IF($W108="","",IF(INDEX('Per Invoice'!I$2:I$801,$W108)="","",INDEX('Per Invoice'!I$2:I$801,$W108)))</f>
        <v/>
      </c>
      <c r="J108">
        <f>IF($W108="","",IF(INDEX('Per Invoice'!J$2:J$801,$W108)="","",INDEX('Per Invoice'!J$2:J$801,$W108)))</f>
        <v/>
      </c>
      <c r="K108" s="7">
        <f>IF($W108="","",IF(INDEX('Per Invoice'!K$2:K$801,$W108)="","",INDEX('Per Invoice'!K$2:K$801,$W108)))</f>
        <v/>
      </c>
      <c r="L108" s="14">
        <f>IF($W108="","",IF(INDEX('Per Invoice'!L$2:L$801,$W108)="","",INDEX('Per Invoice'!L$2:L$801,$W108)))</f>
        <v/>
      </c>
      <c r="M108">
        <f>IF($W108="","",IF(INDEX('Per Invoice'!M$2:M$801,$W108)="","",INDEX('Per Invoice'!M$2:M$801,$W108)))</f>
        <v/>
      </c>
      <c r="N108" s="7">
        <f>IF($W108="","",IF(INDEX('Per Invoice'!N$2:N$801,$W108)="","",INDEX('Per Invoice'!N$2:N$801,$W108)))</f>
        <v/>
      </c>
      <c r="O108" s="7">
        <f>IF($W108="","",IF(INDEX('Per Invoice'!O$2:O$801,$W108)="","",INDEX('Per Invoice'!O$2:O$801,$W108)))</f>
        <v/>
      </c>
      <c r="P108">
        <f>IF($W108="","",IF(INDEX('Per Invoice'!P$2:P$801,$W108)="","",INDEX('Per Invoice'!P$2:P$801,$W108)))</f>
        <v/>
      </c>
      <c r="Q108" s="7">
        <f>IF($W108="","",IF(INDEX('Per Invoice'!Q$2:Q$801,$W108)="","",INDEX('Per Invoice'!Q$2:Q$801,$W108)))</f>
        <v/>
      </c>
      <c r="R108" s="7">
        <f>IF($W108="","",IF(INDEX('Per Invoice'!R$2:R$801,$W108)="","",INDEX('Per Invoice'!R$2:R$801,$W108)))</f>
        <v/>
      </c>
      <c r="S108" s="7">
        <f>IF($W108="","",IF(INDEX('Per Invoice'!S$2:S$801,$W108)="","",INDEX('Per Invoice'!S$2:S$801,$W108)))</f>
        <v/>
      </c>
      <c r="T108" s="7">
        <f>IF($W108="","",IF(INDEX('Per Invoice'!T$2:T$801,$W108)="","",INDEX('Per Invoice'!T$2:T$801,$W108)))</f>
        <v/>
      </c>
      <c r="U108" s="7">
        <f>IF($W108="","",IF(INDEX('Per Invoice'!U$2:U$801,$W108)="","",INDEX('Per Invoice'!U$2:U$801,$W108)))</f>
        <v/>
      </c>
      <c r="V108" s="7">
        <f>IF($W108="","",IF(INDEX('Per Invoice'!V$2:V$801,$W108)="","",INDEX('Per Invoice'!V$2:V$801,$W108)))</f>
        <v/>
      </c>
      <c r="W108" s="16">
        <f>IFERROR(MATCH(Settings!$C$26&amp;"|"&amp;ROWS($W$2:$W108),'Per Invoice'!$X$2:$X$801,0),"")</f>
        <v/>
      </c>
    </row>
    <row r="109">
      <c r="A109">
        <f>IF($W109="","",IF(INDEX('Per Invoice'!A$2:A$801,$W109)="","",INDEX('Per Invoice'!A$2:A$801,$W109)))</f>
        <v/>
      </c>
      <c r="B109">
        <f>IF($W109="","",IF(INDEX('Per Invoice'!B$2:B$801,$W109)="","",INDEX('Per Invoice'!B$2:B$801,$W109)))</f>
        <v/>
      </c>
      <c r="C109">
        <f>IF($W109="","",IF(INDEX('Per Invoice'!C$2:C$801,$W109)="","",INDEX('Per Invoice'!C$2:C$801,$W109)))</f>
        <v/>
      </c>
      <c r="D109">
        <f>IF($W109="","",IF(INDEX('Per Invoice'!D$2:D$801,$W109)="","",INDEX('Per Invoice'!D$2:D$801,$W109)))</f>
        <v/>
      </c>
      <c r="E109">
        <f>IF($W109="","",IF(INDEX('Per Invoice'!E$2:E$801,$W109)="","",INDEX('Per Invoice'!E$2:E$801,$W109)))</f>
        <v/>
      </c>
      <c r="F109">
        <f>IF($W109="","",IF(INDEX('Per Invoice'!F$2:F$801,$W109)="","",INDEX('Per Invoice'!F$2:F$801,$W109)))</f>
        <v/>
      </c>
      <c r="G109">
        <f>IF($W109="","",IF(INDEX('Per Invoice'!G$2:G$801,$W109)="","",INDEX('Per Invoice'!G$2:G$801,$W109)))</f>
        <v/>
      </c>
      <c r="H109">
        <f>IF($W109="","",IF(INDEX('Per Invoice'!H$2:H$801,$W109)="","",INDEX('Per Invoice'!H$2:H$801,$W109)))</f>
        <v/>
      </c>
      <c r="I109">
        <f>IF($W109="","",IF(INDEX('Per Invoice'!I$2:I$801,$W109)="","",INDEX('Per Invoice'!I$2:I$801,$W109)))</f>
        <v/>
      </c>
      <c r="J109">
        <f>IF($W109="","",IF(INDEX('Per Invoice'!J$2:J$801,$W109)="","",INDEX('Per Invoice'!J$2:J$801,$W109)))</f>
        <v/>
      </c>
      <c r="K109" s="7">
        <f>IF($W109="","",IF(INDEX('Per Invoice'!K$2:K$801,$W109)="","",INDEX('Per Invoice'!K$2:K$801,$W109)))</f>
        <v/>
      </c>
      <c r="L109" s="14">
        <f>IF($W109="","",IF(INDEX('Per Invoice'!L$2:L$801,$W109)="","",INDEX('Per Invoice'!L$2:L$801,$W109)))</f>
        <v/>
      </c>
      <c r="M109">
        <f>IF($W109="","",IF(INDEX('Per Invoice'!M$2:M$801,$W109)="","",INDEX('Per Invoice'!M$2:M$801,$W109)))</f>
        <v/>
      </c>
      <c r="N109" s="7">
        <f>IF($W109="","",IF(INDEX('Per Invoice'!N$2:N$801,$W109)="","",INDEX('Per Invoice'!N$2:N$801,$W109)))</f>
        <v/>
      </c>
      <c r="O109" s="7">
        <f>IF($W109="","",IF(INDEX('Per Invoice'!O$2:O$801,$W109)="","",INDEX('Per Invoice'!O$2:O$801,$W109)))</f>
        <v/>
      </c>
      <c r="P109">
        <f>IF($W109="","",IF(INDEX('Per Invoice'!P$2:P$801,$W109)="","",INDEX('Per Invoice'!P$2:P$801,$W109)))</f>
        <v/>
      </c>
      <c r="Q109" s="7">
        <f>IF($W109="","",IF(INDEX('Per Invoice'!Q$2:Q$801,$W109)="","",INDEX('Per Invoice'!Q$2:Q$801,$W109)))</f>
        <v/>
      </c>
      <c r="R109" s="7">
        <f>IF($W109="","",IF(INDEX('Per Invoice'!R$2:R$801,$W109)="","",INDEX('Per Invoice'!R$2:R$801,$W109)))</f>
        <v/>
      </c>
      <c r="S109" s="7">
        <f>IF($W109="","",IF(INDEX('Per Invoice'!S$2:S$801,$W109)="","",INDEX('Per Invoice'!S$2:S$801,$W109)))</f>
        <v/>
      </c>
      <c r="T109" s="7">
        <f>IF($W109="","",IF(INDEX('Per Invoice'!T$2:T$801,$W109)="","",INDEX('Per Invoice'!T$2:T$801,$W109)))</f>
        <v/>
      </c>
      <c r="U109" s="7">
        <f>IF($W109="","",IF(INDEX('Per Invoice'!U$2:U$801,$W109)="","",INDEX('Per Invoice'!U$2:U$801,$W109)))</f>
        <v/>
      </c>
      <c r="V109" s="7">
        <f>IF($W109="","",IF(INDEX('Per Invoice'!V$2:V$801,$W109)="","",INDEX('Per Invoice'!V$2:V$801,$W109)))</f>
        <v/>
      </c>
      <c r="W109" s="16">
        <f>IFERROR(MATCH(Settings!$C$26&amp;"|"&amp;ROWS($W$2:$W109),'Per Invoice'!$X$2:$X$801,0),"")</f>
        <v/>
      </c>
    </row>
    <row r="110">
      <c r="A110">
        <f>IF($W110="","",IF(INDEX('Per Invoice'!A$2:A$801,$W110)="","",INDEX('Per Invoice'!A$2:A$801,$W110)))</f>
        <v/>
      </c>
      <c r="B110">
        <f>IF($W110="","",IF(INDEX('Per Invoice'!B$2:B$801,$W110)="","",INDEX('Per Invoice'!B$2:B$801,$W110)))</f>
        <v/>
      </c>
      <c r="C110">
        <f>IF($W110="","",IF(INDEX('Per Invoice'!C$2:C$801,$W110)="","",INDEX('Per Invoice'!C$2:C$801,$W110)))</f>
        <v/>
      </c>
      <c r="D110">
        <f>IF($W110="","",IF(INDEX('Per Invoice'!D$2:D$801,$W110)="","",INDEX('Per Invoice'!D$2:D$801,$W110)))</f>
        <v/>
      </c>
      <c r="E110">
        <f>IF($W110="","",IF(INDEX('Per Invoice'!E$2:E$801,$W110)="","",INDEX('Per Invoice'!E$2:E$801,$W110)))</f>
        <v/>
      </c>
      <c r="F110">
        <f>IF($W110="","",IF(INDEX('Per Invoice'!F$2:F$801,$W110)="","",INDEX('Per Invoice'!F$2:F$801,$W110)))</f>
        <v/>
      </c>
      <c r="G110">
        <f>IF($W110="","",IF(INDEX('Per Invoice'!G$2:G$801,$W110)="","",INDEX('Per Invoice'!G$2:G$801,$W110)))</f>
        <v/>
      </c>
      <c r="H110">
        <f>IF($W110="","",IF(INDEX('Per Invoice'!H$2:H$801,$W110)="","",INDEX('Per Invoice'!H$2:H$801,$W110)))</f>
        <v/>
      </c>
      <c r="I110">
        <f>IF($W110="","",IF(INDEX('Per Invoice'!I$2:I$801,$W110)="","",INDEX('Per Invoice'!I$2:I$801,$W110)))</f>
        <v/>
      </c>
      <c r="J110">
        <f>IF($W110="","",IF(INDEX('Per Invoice'!J$2:J$801,$W110)="","",INDEX('Per Invoice'!J$2:J$801,$W110)))</f>
        <v/>
      </c>
      <c r="K110" s="7">
        <f>IF($W110="","",IF(INDEX('Per Invoice'!K$2:K$801,$W110)="","",INDEX('Per Invoice'!K$2:K$801,$W110)))</f>
        <v/>
      </c>
      <c r="L110" s="14">
        <f>IF($W110="","",IF(INDEX('Per Invoice'!L$2:L$801,$W110)="","",INDEX('Per Invoice'!L$2:L$801,$W110)))</f>
        <v/>
      </c>
      <c r="M110">
        <f>IF($W110="","",IF(INDEX('Per Invoice'!M$2:M$801,$W110)="","",INDEX('Per Invoice'!M$2:M$801,$W110)))</f>
        <v/>
      </c>
      <c r="N110" s="7">
        <f>IF($W110="","",IF(INDEX('Per Invoice'!N$2:N$801,$W110)="","",INDEX('Per Invoice'!N$2:N$801,$W110)))</f>
        <v/>
      </c>
      <c r="O110" s="7">
        <f>IF($W110="","",IF(INDEX('Per Invoice'!O$2:O$801,$W110)="","",INDEX('Per Invoice'!O$2:O$801,$W110)))</f>
        <v/>
      </c>
      <c r="P110">
        <f>IF($W110="","",IF(INDEX('Per Invoice'!P$2:P$801,$W110)="","",INDEX('Per Invoice'!P$2:P$801,$W110)))</f>
        <v/>
      </c>
      <c r="Q110" s="7">
        <f>IF($W110="","",IF(INDEX('Per Invoice'!Q$2:Q$801,$W110)="","",INDEX('Per Invoice'!Q$2:Q$801,$W110)))</f>
        <v/>
      </c>
      <c r="R110" s="7">
        <f>IF($W110="","",IF(INDEX('Per Invoice'!R$2:R$801,$W110)="","",INDEX('Per Invoice'!R$2:R$801,$W110)))</f>
        <v/>
      </c>
      <c r="S110" s="7">
        <f>IF($W110="","",IF(INDEX('Per Invoice'!S$2:S$801,$W110)="","",INDEX('Per Invoice'!S$2:S$801,$W110)))</f>
        <v/>
      </c>
      <c r="T110" s="7">
        <f>IF($W110="","",IF(INDEX('Per Invoice'!T$2:T$801,$W110)="","",INDEX('Per Invoice'!T$2:T$801,$W110)))</f>
        <v/>
      </c>
      <c r="U110" s="7">
        <f>IF($W110="","",IF(INDEX('Per Invoice'!U$2:U$801,$W110)="","",INDEX('Per Invoice'!U$2:U$801,$W110)))</f>
        <v/>
      </c>
      <c r="V110" s="7">
        <f>IF($W110="","",IF(INDEX('Per Invoice'!V$2:V$801,$W110)="","",INDEX('Per Invoice'!V$2:V$801,$W110)))</f>
        <v/>
      </c>
      <c r="W110" s="16">
        <f>IFERROR(MATCH(Settings!$C$26&amp;"|"&amp;ROWS($W$2:$W110),'Per Invoice'!$X$2:$X$801,0),"")</f>
        <v/>
      </c>
    </row>
    <row r="111">
      <c r="A111">
        <f>IF($W111="","",IF(INDEX('Per Invoice'!A$2:A$801,$W111)="","",INDEX('Per Invoice'!A$2:A$801,$W111)))</f>
        <v/>
      </c>
      <c r="B111">
        <f>IF($W111="","",IF(INDEX('Per Invoice'!B$2:B$801,$W111)="","",INDEX('Per Invoice'!B$2:B$801,$W111)))</f>
        <v/>
      </c>
      <c r="C111">
        <f>IF($W111="","",IF(INDEX('Per Invoice'!C$2:C$801,$W111)="","",INDEX('Per Invoice'!C$2:C$801,$W111)))</f>
        <v/>
      </c>
      <c r="D111">
        <f>IF($W111="","",IF(INDEX('Per Invoice'!D$2:D$801,$W111)="","",INDEX('Per Invoice'!D$2:D$801,$W111)))</f>
        <v/>
      </c>
      <c r="E111">
        <f>IF($W111="","",IF(INDEX('Per Invoice'!E$2:E$801,$W111)="","",INDEX('Per Invoice'!E$2:E$801,$W111)))</f>
        <v/>
      </c>
      <c r="F111">
        <f>IF($W111="","",IF(INDEX('Per Invoice'!F$2:F$801,$W111)="","",INDEX('Per Invoice'!F$2:F$801,$W111)))</f>
        <v/>
      </c>
      <c r="G111">
        <f>IF($W111="","",IF(INDEX('Per Invoice'!G$2:G$801,$W111)="","",INDEX('Per Invoice'!G$2:G$801,$W111)))</f>
        <v/>
      </c>
      <c r="H111">
        <f>IF($W111="","",IF(INDEX('Per Invoice'!H$2:H$801,$W111)="","",INDEX('Per Invoice'!H$2:H$801,$W111)))</f>
        <v/>
      </c>
      <c r="I111">
        <f>IF($W111="","",IF(INDEX('Per Invoice'!I$2:I$801,$W111)="","",INDEX('Per Invoice'!I$2:I$801,$W111)))</f>
        <v/>
      </c>
      <c r="J111">
        <f>IF($W111="","",IF(INDEX('Per Invoice'!J$2:J$801,$W111)="","",INDEX('Per Invoice'!J$2:J$801,$W111)))</f>
        <v/>
      </c>
      <c r="K111" s="7">
        <f>IF($W111="","",IF(INDEX('Per Invoice'!K$2:K$801,$W111)="","",INDEX('Per Invoice'!K$2:K$801,$W111)))</f>
        <v/>
      </c>
      <c r="L111" s="14">
        <f>IF($W111="","",IF(INDEX('Per Invoice'!L$2:L$801,$W111)="","",INDEX('Per Invoice'!L$2:L$801,$W111)))</f>
        <v/>
      </c>
      <c r="M111">
        <f>IF($W111="","",IF(INDEX('Per Invoice'!M$2:M$801,$W111)="","",INDEX('Per Invoice'!M$2:M$801,$W111)))</f>
        <v/>
      </c>
      <c r="N111" s="7">
        <f>IF($W111="","",IF(INDEX('Per Invoice'!N$2:N$801,$W111)="","",INDEX('Per Invoice'!N$2:N$801,$W111)))</f>
        <v/>
      </c>
      <c r="O111" s="7">
        <f>IF($W111="","",IF(INDEX('Per Invoice'!O$2:O$801,$W111)="","",INDEX('Per Invoice'!O$2:O$801,$W111)))</f>
        <v/>
      </c>
      <c r="P111">
        <f>IF($W111="","",IF(INDEX('Per Invoice'!P$2:P$801,$W111)="","",INDEX('Per Invoice'!P$2:P$801,$W111)))</f>
        <v/>
      </c>
      <c r="Q111" s="7">
        <f>IF($W111="","",IF(INDEX('Per Invoice'!Q$2:Q$801,$W111)="","",INDEX('Per Invoice'!Q$2:Q$801,$W111)))</f>
        <v/>
      </c>
      <c r="R111" s="7">
        <f>IF($W111="","",IF(INDEX('Per Invoice'!R$2:R$801,$W111)="","",INDEX('Per Invoice'!R$2:R$801,$W111)))</f>
        <v/>
      </c>
      <c r="S111" s="7">
        <f>IF($W111="","",IF(INDEX('Per Invoice'!S$2:S$801,$W111)="","",INDEX('Per Invoice'!S$2:S$801,$W111)))</f>
        <v/>
      </c>
      <c r="T111" s="7">
        <f>IF($W111="","",IF(INDEX('Per Invoice'!T$2:T$801,$W111)="","",INDEX('Per Invoice'!T$2:T$801,$W111)))</f>
        <v/>
      </c>
      <c r="U111" s="7">
        <f>IF($W111="","",IF(INDEX('Per Invoice'!U$2:U$801,$W111)="","",INDEX('Per Invoice'!U$2:U$801,$W111)))</f>
        <v/>
      </c>
      <c r="V111" s="7">
        <f>IF($W111="","",IF(INDEX('Per Invoice'!V$2:V$801,$W111)="","",INDEX('Per Invoice'!V$2:V$801,$W111)))</f>
        <v/>
      </c>
      <c r="W111" s="16">
        <f>IFERROR(MATCH(Settings!$C$26&amp;"|"&amp;ROWS($W$2:$W111),'Per Invoice'!$X$2:$X$801,0),"")</f>
        <v/>
      </c>
    </row>
    <row r="112">
      <c r="A112">
        <f>IF($W112="","",IF(INDEX('Per Invoice'!A$2:A$801,$W112)="","",INDEX('Per Invoice'!A$2:A$801,$W112)))</f>
        <v/>
      </c>
      <c r="B112">
        <f>IF($W112="","",IF(INDEX('Per Invoice'!B$2:B$801,$W112)="","",INDEX('Per Invoice'!B$2:B$801,$W112)))</f>
        <v/>
      </c>
      <c r="C112">
        <f>IF($W112="","",IF(INDEX('Per Invoice'!C$2:C$801,$W112)="","",INDEX('Per Invoice'!C$2:C$801,$W112)))</f>
        <v/>
      </c>
      <c r="D112">
        <f>IF($W112="","",IF(INDEX('Per Invoice'!D$2:D$801,$W112)="","",INDEX('Per Invoice'!D$2:D$801,$W112)))</f>
        <v/>
      </c>
      <c r="E112">
        <f>IF($W112="","",IF(INDEX('Per Invoice'!E$2:E$801,$W112)="","",INDEX('Per Invoice'!E$2:E$801,$W112)))</f>
        <v/>
      </c>
      <c r="F112">
        <f>IF($W112="","",IF(INDEX('Per Invoice'!F$2:F$801,$W112)="","",INDEX('Per Invoice'!F$2:F$801,$W112)))</f>
        <v/>
      </c>
      <c r="G112">
        <f>IF($W112="","",IF(INDEX('Per Invoice'!G$2:G$801,$W112)="","",INDEX('Per Invoice'!G$2:G$801,$W112)))</f>
        <v/>
      </c>
      <c r="H112">
        <f>IF($W112="","",IF(INDEX('Per Invoice'!H$2:H$801,$W112)="","",INDEX('Per Invoice'!H$2:H$801,$W112)))</f>
        <v/>
      </c>
      <c r="I112">
        <f>IF($W112="","",IF(INDEX('Per Invoice'!I$2:I$801,$W112)="","",INDEX('Per Invoice'!I$2:I$801,$W112)))</f>
        <v/>
      </c>
      <c r="J112">
        <f>IF($W112="","",IF(INDEX('Per Invoice'!J$2:J$801,$W112)="","",INDEX('Per Invoice'!J$2:J$801,$W112)))</f>
        <v/>
      </c>
      <c r="K112" s="7">
        <f>IF($W112="","",IF(INDEX('Per Invoice'!K$2:K$801,$W112)="","",INDEX('Per Invoice'!K$2:K$801,$W112)))</f>
        <v/>
      </c>
      <c r="L112" s="14">
        <f>IF($W112="","",IF(INDEX('Per Invoice'!L$2:L$801,$W112)="","",INDEX('Per Invoice'!L$2:L$801,$W112)))</f>
        <v/>
      </c>
      <c r="M112">
        <f>IF($W112="","",IF(INDEX('Per Invoice'!M$2:M$801,$W112)="","",INDEX('Per Invoice'!M$2:M$801,$W112)))</f>
        <v/>
      </c>
      <c r="N112" s="7">
        <f>IF($W112="","",IF(INDEX('Per Invoice'!N$2:N$801,$W112)="","",INDEX('Per Invoice'!N$2:N$801,$W112)))</f>
        <v/>
      </c>
      <c r="O112" s="7">
        <f>IF($W112="","",IF(INDEX('Per Invoice'!O$2:O$801,$W112)="","",INDEX('Per Invoice'!O$2:O$801,$W112)))</f>
        <v/>
      </c>
      <c r="P112">
        <f>IF($W112="","",IF(INDEX('Per Invoice'!P$2:P$801,$W112)="","",INDEX('Per Invoice'!P$2:P$801,$W112)))</f>
        <v/>
      </c>
      <c r="Q112" s="7">
        <f>IF($W112="","",IF(INDEX('Per Invoice'!Q$2:Q$801,$W112)="","",INDEX('Per Invoice'!Q$2:Q$801,$W112)))</f>
        <v/>
      </c>
      <c r="R112" s="7">
        <f>IF($W112="","",IF(INDEX('Per Invoice'!R$2:R$801,$W112)="","",INDEX('Per Invoice'!R$2:R$801,$W112)))</f>
        <v/>
      </c>
      <c r="S112" s="7">
        <f>IF($W112="","",IF(INDEX('Per Invoice'!S$2:S$801,$W112)="","",INDEX('Per Invoice'!S$2:S$801,$W112)))</f>
        <v/>
      </c>
      <c r="T112" s="7">
        <f>IF($W112="","",IF(INDEX('Per Invoice'!T$2:T$801,$W112)="","",INDEX('Per Invoice'!T$2:T$801,$W112)))</f>
        <v/>
      </c>
      <c r="U112" s="7">
        <f>IF($W112="","",IF(INDEX('Per Invoice'!U$2:U$801,$W112)="","",INDEX('Per Invoice'!U$2:U$801,$W112)))</f>
        <v/>
      </c>
      <c r="V112" s="7">
        <f>IF($W112="","",IF(INDEX('Per Invoice'!V$2:V$801,$W112)="","",INDEX('Per Invoice'!V$2:V$801,$W112)))</f>
        <v/>
      </c>
      <c r="W112" s="16">
        <f>IFERROR(MATCH(Settings!$C$26&amp;"|"&amp;ROWS($W$2:$W112),'Per Invoice'!$X$2:$X$801,0),"")</f>
        <v/>
      </c>
    </row>
    <row r="113">
      <c r="A113">
        <f>IF($W113="","",IF(INDEX('Per Invoice'!A$2:A$801,$W113)="","",INDEX('Per Invoice'!A$2:A$801,$W113)))</f>
        <v/>
      </c>
      <c r="B113">
        <f>IF($W113="","",IF(INDEX('Per Invoice'!B$2:B$801,$W113)="","",INDEX('Per Invoice'!B$2:B$801,$W113)))</f>
        <v/>
      </c>
      <c r="C113">
        <f>IF($W113="","",IF(INDEX('Per Invoice'!C$2:C$801,$W113)="","",INDEX('Per Invoice'!C$2:C$801,$W113)))</f>
        <v/>
      </c>
      <c r="D113">
        <f>IF($W113="","",IF(INDEX('Per Invoice'!D$2:D$801,$W113)="","",INDEX('Per Invoice'!D$2:D$801,$W113)))</f>
        <v/>
      </c>
      <c r="E113">
        <f>IF($W113="","",IF(INDEX('Per Invoice'!E$2:E$801,$W113)="","",INDEX('Per Invoice'!E$2:E$801,$W113)))</f>
        <v/>
      </c>
      <c r="F113">
        <f>IF($W113="","",IF(INDEX('Per Invoice'!F$2:F$801,$W113)="","",INDEX('Per Invoice'!F$2:F$801,$W113)))</f>
        <v/>
      </c>
      <c r="G113">
        <f>IF($W113="","",IF(INDEX('Per Invoice'!G$2:G$801,$W113)="","",INDEX('Per Invoice'!G$2:G$801,$W113)))</f>
        <v/>
      </c>
      <c r="H113">
        <f>IF($W113="","",IF(INDEX('Per Invoice'!H$2:H$801,$W113)="","",INDEX('Per Invoice'!H$2:H$801,$W113)))</f>
        <v/>
      </c>
      <c r="I113">
        <f>IF($W113="","",IF(INDEX('Per Invoice'!I$2:I$801,$W113)="","",INDEX('Per Invoice'!I$2:I$801,$W113)))</f>
        <v/>
      </c>
      <c r="J113">
        <f>IF($W113="","",IF(INDEX('Per Invoice'!J$2:J$801,$W113)="","",INDEX('Per Invoice'!J$2:J$801,$W113)))</f>
        <v/>
      </c>
      <c r="K113" s="7">
        <f>IF($W113="","",IF(INDEX('Per Invoice'!K$2:K$801,$W113)="","",INDEX('Per Invoice'!K$2:K$801,$W113)))</f>
        <v/>
      </c>
      <c r="L113" s="14">
        <f>IF($W113="","",IF(INDEX('Per Invoice'!L$2:L$801,$W113)="","",INDEX('Per Invoice'!L$2:L$801,$W113)))</f>
        <v/>
      </c>
      <c r="M113">
        <f>IF($W113="","",IF(INDEX('Per Invoice'!M$2:M$801,$W113)="","",INDEX('Per Invoice'!M$2:M$801,$W113)))</f>
        <v/>
      </c>
      <c r="N113" s="7">
        <f>IF($W113="","",IF(INDEX('Per Invoice'!N$2:N$801,$W113)="","",INDEX('Per Invoice'!N$2:N$801,$W113)))</f>
        <v/>
      </c>
      <c r="O113" s="7">
        <f>IF($W113="","",IF(INDEX('Per Invoice'!O$2:O$801,$W113)="","",INDEX('Per Invoice'!O$2:O$801,$W113)))</f>
        <v/>
      </c>
      <c r="P113">
        <f>IF($W113="","",IF(INDEX('Per Invoice'!P$2:P$801,$W113)="","",INDEX('Per Invoice'!P$2:P$801,$W113)))</f>
        <v/>
      </c>
      <c r="Q113" s="7">
        <f>IF($W113="","",IF(INDEX('Per Invoice'!Q$2:Q$801,$W113)="","",INDEX('Per Invoice'!Q$2:Q$801,$W113)))</f>
        <v/>
      </c>
      <c r="R113" s="7">
        <f>IF($W113="","",IF(INDEX('Per Invoice'!R$2:R$801,$W113)="","",INDEX('Per Invoice'!R$2:R$801,$W113)))</f>
        <v/>
      </c>
      <c r="S113" s="7">
        <f>IF($W113="","",IF(INDEX('Per Invoice'!S$2:S$801,$W113)="","",INDEX('Per Invoice'!S$2:S$801,$W113)))</f>
        <v/>
      </c>
      <c r="T113" s="7">
        <f>IF($W113="","",IF(INDEX('Per Invoice'!T$2:T$801,$W113)="","",INDEX('Per Invoice'!T$2:T$801,$W113)))</f>
        <v/>
      </c>
      <c r="U113" s="7">
        <f>IF($W113="","",IF(INDEX('Per Invoice'!U$2:U$801,$W113)="","",INDEX('Per Invoice'!U$2:U$801,$W113)))</f>
        <v/>
      </c>
      <c r="V113" s="7">
        <f>IF($W113="","",IF(INDEX('Per Invoice'!V$2:V$801,$W113)="","",INDEX('Per Invoice'!V$2:V$801,$W113)))</f>
        <v/>
      </c>
      <c r="W113" s="16">
        <f>IFERROR(MATCH(Settings!$C$26&amp;"|"&amp;ROWS($W$2:$W113),'Per Invoice'!$X$2:$X$801,0),"")</f>
        <v/>
      </c>
    </row>
    <row r="114">
      <c r="A114">
        <f>IF($W114="","",IF(INDEX('Per Invoice'!A$2:A$801,$W114)="","",INDEX('Per Invoice'!A$2:A$801,$W114)))</f>
        <v/>
      </c>
      <c r="B114">
        <f>IF($W114="","",IF(INDEX('Per Invoice'!B$2:B$801,$W114)="","",INDEX('Per Invoice'!B$2:B$801,$W114)))</f>
        <v/>
      </c>
      <c r="C114">
        <f>IF($W114="","",IF(INDEX('Per Invoice'!C$2:C$801,$W114)="","",INDEX('Per Invoice'!C$2:C$801,$W114)))</f>
        <v/>
      </c>
      <c r="D114">
        <f>IF($W114="","",IF(INDEX('Per Invoice'!D$2:D$801,$W114)="","",INDEX('Per Invoice'!D$2:D$801,$W114)))</f>
        <v/>
      </c>
      <c r="E114">
        <f>IF($W114="","",IF(INDEX('Per Invoice'!E$2:E$801,$W114)="","",INDEX('Per Invoice'!E$2:E$801,$W114)))</f>
        <v/>
      </c>
      <c r="F114">
        <f>IF($W114="","",IF(INDEX('Per Invoice'!F$2:F$801,$W114)="","",INDEX('Per Invoice'!F$2:F$801,$W114)))</f>
        <v/>
      </c>
      <c r="G114">
        <f>IF($W114="","",IF(INDEX('Per Invoice'!G$2:G$801,$W114)="","",INDEX('Per Invoice'!G$2:G$801,$W114)))</f>
        <v/>
      </c>
      <c r="H114">
        <f>IF($W114="","",IF(INDEX('Per Invoice'!H$2:H$801,$W114)="","",INDEX('Per Invoice'!H$2:H$801,$W114)))</f>
        <v/>
      </c>
      <c r="I114">
        <f>IF($W114="","",IF(INDEX('Per Invoice'!I$2:I$801,$W114)="","",INDEX('Per Invoice'!I$2:I$801,$W114)))</f>
        <v/>
      </c>
      <c r="J114">
        <f>IF($W114="","",IF(INDEX('Per Invoice'!J$2:J$801,$W114)="","",INDEX('Per Invoice'!J$2:J$801,$W114)))</f>
        <v/>
      </c>
      <c r="K114" s="7">
        <f>IF($W114="","",IF(INDEX('Per Invoice'!K$2:K$801,$W114)="","",INDEX('Per Invoice'!K$2:K$801,$W114)))</f>
        <v/>
      </c>
      <c r="L114" s="14">
        <f>IF($W114="","",IF(INDEX('Per Invoice'!L$2:L$801,$W114)="","",INDEX('Per Invoice'!L$2:L$801,$W114)))</f>
        <v/>
      </c>
      <c r="M114">
        <f>IF($W114="","",IF(INDEX('Per Invoice'!M$2:M$801,$W114)="","",INDEX('Per Invoice'!M$2:M$801,$W114)))</f>
        <v/>
      </c>
      <c r="N114" s="7">
        <f>IF($W114="","",IF(INDEX('Per Invoice'!N$2:N$801,$W114)="","",INDEX('Per Invoice'!N$2:N$801,$W114)))</f>
        <v/>
      </c>
      <c r="O114" s="7">
        <f>IF($W114="","",IF(INDEX('Per Invoice'!O$2:O$801,$W114)="","",INDEX('Per Invoice'!O$2:O$801,$W114)))</f>
        <v/>
      </c>
      <c r="P114">
        <f>IF($W114="","",IF(INDEX('Per Invoice'!P$2:P$801,$W114)="","",INDEX('Per Invoice'!P$2:P$801,$W114)))</f>
        <v/>
      </c>
      <c r="Q114" s="7">
        <f>IF($W114="","",IF(INDEX('Per Invoice'!Q$2:Q$801,$W114)="","",INDEX('Per Invoice'!Q$2:Q$801,$W114)))</f>
        <v/>
      </c>
      <c r="R114" s="7">
        <f>IF($W114="","",IF(INDEX('Per Invoice'!R$2:R$801,$W114)="","",INDEX('Per Invoice'!R$2:R$801,$W114)))</f>
        <v/>
      </c>
      <c r="S114" s="7">
        <f>IF($W114="","",IF(INDEX('Per Invoice'!S$2:S$801,$W114)="","",INDEX('Per Invoice'!S$2:S$801,$W114)))</f>
        <v/>
      </c>
      <c r="T114" s="7">
        <f>IF($W114="","",IF(INDEX('Per Invoice'!T$2:T$801,$W114)="","",INDEX('Per Invoice'!T$2:T$801,$W114)))</f>
        <v/>
      </c>
      <c r="U114" s="7">
        <f>IF($W114="","",IF(INDEX('Per Invoice'!U$2:U$801,$W114)="","",INDEX('Per Invoice'!U$2:U$801,$W114)))</f>
        <v/>
      </c>
      <c r="V114" s="7">
        <f>IF($W114="","",IF(INDEX('Per Invoice'!V$2:V$801,$W114)="","",INDEX('Per Invoice'!V$2:V$801,$W114)))</f>
        <v/>
      </c>
      <c r="W114" s="16">
        <f>IFERROR(MATCH(Settings!$C$26&amp;"|"&amp;ROWS($W$2:$W114),'Per Invoice'!$X$2:$X$801,0),"")</f>
        <v/>
      </c>
    </row>
    <row r="115">
      <c r="A115">
        <f>IF($W115="","",IF(INDEX('Per Invoice'!A$2:A$801,$W115)="","",INDEX('Per Invoice'!A$2:A$801,$W115)))</f>
        <v/>
      </c>
      <c r="B115">
        <f>IF($W115="","",IF(INDEX('Per Invoice'!B$2:B$801,$W115)="","",INDEX('Per Invoice'!B$2:B$801,$W115)))</f>
        <v/>
      </c>
      <c r="C115">
        <f>IF($W115="","",IF(INDEX('Per Invoice'!C$2:C$801,$W115)="","",INDEX('Per Invoice'!C$2:C$801,$W115)))</f>
        <v/>
      </c>
      <c r="D115">
        <f>IF($W115="","",IF(INDEX('Per Invoice'!D$2:D$801,$W115)="","",INDEX('Per Invoice'!D$2:D$801,$W115)))</f>
        <v/>
      </c>
      <c r="E115">
        <f>IF($W115="","",IF(INDEX('Per Invoice'!E$2:E$801,$W115)="","",INDEX('Per Invoice'!E$2:E$801,$W115)))</f>
        <v/>
      </c>
      <c r="F115">
        <f>IF($W115="","",IF(INDEX('Per Invoice'!F$2:F$801,$W115)="","",INDEX('Per Invoice'!F$2:F$801,$W115)))</f>
        <v/>
      </c>
      <c r="G115">
        <f>IF($W115="","",IF(INDEX('Per Invoice'!G$2:G$801,$W115)="","",INDEX('Per Invoice'!G$2:G$801,$W115)))</f>
        <v/>
      </c>
      <c r="H115">
        <f>IF($W115="","",IF(INDEX('Per Invoice'!H$2:H$801,$W115)="","",INDEX('Per Invoice'!H$2:H$801,$W115)))</f>
        <v/>
      </c>
      <c r="I115">
        <f>IF($W115="","",IF(INDEX('Per Invoice'!I$2:I$801,$W115)="","",INDEX('Per Invoice'!I$2:I$801,$W115)))</f>
        <v/>
      </c>
      <c r="J115">
        <f>IF($W115="","",IF(INDEX('Per Invoice'!J$2:J$801,$W115)="","",INDEX('Per Invoice'!J$2:J$801,$W115)))</f>
        <v/>
      </c>
      <c r="K115" s="7">
        <f>IF($W115="","",IF(INDEX('Per Invoice'!K$2:K$801,$W115)="","",INDEX('Per Invoice'!K$2:K$801,$W115)))</f>
        <v/>
      </c>
      <c r="L115" s="14">
        <f>IF($W115="","",IF(INDEX('Per Invoice'!L$2:L$801,$W115)="","",INDEX('Per Invoice'!L$2:L$801,$W115)))</f>
        <v/>
      </c>
      <c r="M115">
        <f>IF($W115="","",IF(INDEX('Per Invoice'!M$2:M$801,$W115)="","",INDEX('Per Invoice'!M$2:M$801,$W115)))</f>
        <v/>
      </c>
      <c r="N115" s="7">
        <f>IF($W115="","",IF(INDEX('Per Invoice'!N$2:N$801,$W115)="","",INDEX('Per Invoice'!N$2:N$801,$W115)))</f>
        <v/>
      </c>
      <c r="O115" s="7">
        <f>IF($W115="","",IF(INDEX('Per Invoice'!O$2:O$801,$W115)="","",INDEX('Per Invoice'!O$2:O$801,$W115)))</f>
        <v/>
      </c>
      <c r="P115">
        <f>IF($W115="","",IF(INDEX('Per Invoice'!P$2:P$801,$W115)="","",INDEX('Per Invoice'!P$2:P$801,$W115)))</f>
        <v/>
      </c>
      <c r="Q115" s="7">
        <f>IF($W115="","",IF(INDEX('Per Invoice'!Q$2:Q$801,$W115)="","",INDEX('Per Invoice'!Q$2:Q$801,$W115)))</f>
        <v/>
      </c>
      <c r="R115" s="7">
        <f>IF($W115="","",IF(INDEX('Per Invoice'!R$2:R$801,$W115)="","",INDEX('Per Invoice'!R$2:R$801,$W115)))</f>
        <v/>
      </c>
      <c r="S115" s="7">
        <f>IF($W115="","",IF(INDEX('Per Invoice'!S$2:S$801,$W115)="","",INDEX('Per Invoice'!S$2:S$801,$W115)))</f>
        <v/>
      </c>
      <c r="T115" s="7">
        <f>IF($W115="","",IF(INDEX('Per Invoice'!T$2:T$801,$W115)="","",INDEX('Per Invoice'!T$2:T$801,$W115)))</f>
        <v/>
      </c>
      <c r="U115" s="7">
        <f>IF($W115="","",IF(INDEX('Per Invoice'!U$2:U$801,$W115)="","",INDEX('Per Invoice'!U$2:U$801,$W115)))</f>
        <v/>
      </c>
      <c r="V115" s="7">
        <f>IF($W115="","",IF(INDEX('Per Invoice'!V$2:V$801,$W115)="","",INDEX('Per Invoice'!V$2:V$801,$W115)))</f>
        <v/>
      </c>
      <c r="W115" s="16">
        <f>IFERROR(MATCH(Settings!$C$26&amp;"|"&amp;ROWS($W$2:$W115),'Per Invoice'!$X$2:$X$801,0),"")</f>
        <v/>
      </c>
    </row>
    <row r="116">
      <c r="A116">
        <f>IF($W116="","",IF(INDEX('Per Invoice'!A$2:A$801,$W116)="","",INDEX('Per Invoice'!A$2:A$801,$W116)))</f>
        <v/>
      </c>
      <c r="B116">
        <f>IF($W116="","",IF(INDEX('Per Invoice'!B$2:B$801,$W116)="","",INDEX('Per Invoice'!B$2:B$801,$W116)))</f>
        <v/>
      </c>
      <c r="C116">
        <f>IF($W116="","",IF(INDEX('Per Invoice'!C$2:C$801,$W116)="","",INDEX('Per Invoice'!C$2:C$801,$W116)))</f>
        <v/>
      </c>
      <c r="D116">
        <f>IF($W116="","",IF(INDEX('Per Invoice'!D$2:D$801,$W116)="","",INDEX('Per Invoice'!D$2:D$801,$W116)))</f>
        <v/>
      </c>
      <c r="E116">
        <f>IF($W116="","",IF(INDEX('Per Invoice'!E$2:E$801,$W116)="","",INDEX('Per Invoice'!E$2:E$801,$W116)))</f>
        <v/>
      </c>
      <c r="F116">
        <f>IF($W116="","",IF(INDEX('Per Invoice'!F$2:F$801,$W116)="","",INDEX('Per Invoice'!F$2:F$801,$W116)))</f>
        <v/>
      </c>
      <c r="G116">
        <f>IF($W116="","",IF(INDEX('Per Invoice'!G$2:G$801,$W116)="","",INDEX('Per Invoice'!G$2:G$801,$W116)))</f>
        <v/>
      </c>
      <c r="H116">
        <f>IF($W116="","",IF(INDEX('Per Invoice'!H$2:H$801,$W116)="","",INDEX('Per Invoice'!H$2:H$801,$W116)))</f>
        <v/>
      </c>
      <c r="I116">
        <f>IF($W116="","",IF(INDEX('Per Invoice'!I$2:I$801,$W116)="","",INDEX('Per Invoice'!I$2:I$801,$W116)))</f>
        <v/>
      </c>
      <c r="J116">
        <f>IF($W116="","",IF(INDEX('Per Invoice'!J$2:J$801,$W116)="","",INDEX('Per Invoice'!J$2:J$801,$W116)))</f>
        <v/>
      </c>
      <c r="K116" s="7">
        <f>IF($W116="","",IF(INDEX('Per Invoice'!K$2:K$801,$W116)="","",INDEX('Per Invoice'!K$2:K$801,$W116)))</f>
        <v/>
      </c>
      <c r="L116" s="14">
        <f>IF($W116="","",IF(INDEX('Per Invoice'!L$2:L$801,$W116)="","",INDEX('Per Invoice'!L$2:L$801,$W116)))</f>
        <v/>
      </c>
      <c r="M116">
        <f>IF($W116="","",IF(INDEX('Per Invoice'!M$2:M$801,$W116)="","",INDEX('Per Invoice'!M$2:M$801,$W116)))</f>
        <v/>
      </c>
      <c r="N116" s="7">
        <f>IF($W116="","",IF(INDEX('Per Invoice'!N$2:N$801,$W116)="","",INDEX('Per Invoice'!N$2:N$801,$W116)))</f>
        <v/>
      </c>
      <c r="O116" s="7">
        <f>IF($W116="","",IF(INDEX('Per Invoice'!O$2:O$801,$W116)="","",INDEX('Per Invoice'!O$2:O$801,$W116)))</f>
        <v/>
      </c>
      <c r="P116">
        <f>IF($W116="","",IF(INDEX('Per Invoice'!P$2:P$801,$W116)="","",INDEX('Per Invoice'!P$2:P$801,$W116)))</f>
        <v/>
      </c>
      <c r="Q116" s="7">
        <f>IF($W116="","",IF(INDEX('Per Invoice'!Q$2:Q$801,$W116)="","",INDEX('Per Invoice'!Q$2:Q$801,$W116)))</f>
        <v/>
      </c>
      <c r="R116" s="7">
        <f>IF($W116="","",IF(INDEX('Per Invoice'!R$2:R$801,$W116)="","",INDEX('Per Invoice'!R$2:R$801,$W116)))</f>
        <v/>
      </c>
      <c r="S116" s="7">
        <f>IF($W116="","",IF(INDEX('Per Invoice'!S$2:S$801,$W116)="","",INDEX('Per Invoice'!S$2:S$801,$W116)))</f>
        <v/>
      </c>
      <c r="T116" s="7">
        <f>IF($W116="","",IF(INDEX('Per Invoice'!T$2:T$801,$W116)="","",INDEX('Per Invoice'!T$2:T$801,$W116)))</f>
        <v/>
      </c>
      <c r="U116" s="7">
        <f>IF($W116="","",IF(INDEX('Per Invoice'!U$2:U$801,$W116)="","",INDEX('Per Invoice'!U$2:U$801,$W116)))</f>
        <v/>
      </c>
      <c r="V116" s="7">
        <f>IF($W116="","",IF(INDEX('Per Invoice'!V$2:V$801,$W116)="","",INDEX('Per Invoice'!V$2:V$801,$W116)))</f>
        <v/>
      </c>
      <c r="W116" s="16">
        <f>IFERROR(MATCH(Settings!$C$26&amp;"|"&amp;ROWS($W$2:$W116),'Per Invoice'!$X$2:$X$801,0),"")</f>
        <v/>
      </c>
    </row>
    <row r="117">
      <c r="A117">
        <f>IF($W117="","",IF(INDEX('Per Invoice'!A$2:A$801,$W117)="","",INDEX('Per Invoice'!A$2:A$801,$W117)))</f>
        <v/>
      </c>
      <c r="B117">
        <f>IF($W117="","",IF(INDEX('Per Invoice'!B$2:B$801,$W117)="","",INDEX('Per Invoice'!B$2:B$801,$W117)))</f>
        <v/>
      </c>
      <c r="C117">
        <f>IF($W117="","",IF(INDEX('Per Invoice'!C$2:C$801,$W117)="","",INDEX('Per Invoice'!C$2:C$801,$W117)))</f>
        <v/>
      </c>
      <c r="D117">
        <f>IF($W117="","",IF(INDEX('Per Invoice'!D$2:D$801,$W117)="","",INDEX('Per Invoice'!D$2:D$801,$W117)))</f>
        <v/>
      </c>
      <c r="E117">
        <f>IF($W117="","",IF(INDEX('Per Invoice'!E$2:E$801,$W117)="","",INDEX('Per Invoice'!E$2:E$801,$W117)))</f>
        <v/>
      </c>
      <c r="F117">
        <f>IF($W117="","",IF(INDEX('Per Invoice'!F$2:F$801,$W117)="","",INDEX('Per Invoice'!F$2:F$801,$W117)))</f>
        <v/>
      </c>
      <c r="G117">
        <f>IF($W117="","",IF(INDEX('Per Invoice'!G$2:G$801,$W117)="","",INDEX('Per Invoice'!G$2:G$801,$W117)))</f>
        <v/>
      </c>
      <c r="H117">
        <f>IF($W117="","",IF(INDEX('Per Invoice'!H$2:H$801,$W117)="","",INDEX('Per Invoice'!H$2:H$801,$W117)))</f>
        <v/>
      </c>
      <c r="I117">
        <f>IF($W117="","",IF(INDEX('Per Invoice'!I$2:I$801,$W117)="","",INDEX('Per Invoice'!I$2:I$801,$W117)))</f>
        <v/>
      </c>
      <c r="J117">
        <f>IF($W117="","",IF(INDEX('Per Invoice'!J$2:J$801,$W117)="","",INDEX('Per Invoice'!J$2:J$801,$W117)))</f>
        <v/>
      </c>
      <c r="K117" s="7">
        <f>IF($W117="","",IF(INDEX('Per Invoice'!K$2:K$801,$W117)="","",INDEX('Per Invoice'!K$2:K$801,$W117)))</f>
        <v/>
      </c>
      <c r="L117" s="14">
        <f>IF($W117="","",IF(INDEX('Per Invoice'!L$2:L$801,$W117)="","",INDEX('Per Invoice'!L$2:L$801,$W117)))</f>
        <v/>
      </c>
      <c r="M117">
        <f>IF($W117="","",IF(INDEX('Per Invoice'!M$2:M$801,$W117)="","",INDEX('Per Invoice'!M$2:M$801,$W117)))</f>
        <v/>
      </c>
      <c r="N117" s="7">
        <f>IF($W117="","",IF(INDEX('Per Invoice'!N$2:N$801,$W117)="","",INDEX('Per Invoice'!N$2:N$801,$W117)))</f>
        <v/>
      </c>
      <c r="O117" s="7">
        <f>IF($W117="","",IF(INDEX('Per Invoice'!O$2:O$801,$W117)="","",INDEX('Per Invoice'!O$2:O$801,$W117)))</f>
        <v/>
      </c>
      <c r="P117">
        <f>IF($W117="","",IF(INDEX('Per Invoice'!P$2:P$801,$W117)="","",INDEX('Per Invoice'!P$2:P$801,$W117)))</f>
        <v/>
      </c>
      <c r="Q117" s="7">
        <f>IF($W117="","",IF(INDEX('Per Invoice'!Q$2:Q$801,$W117)="","",INDEX('Per Invoice'!Q$2:Q$801,$W117)))</f>
        <v/>
      </c>
      <c r="R117" s="7">
        <f>IF($W117="","",IF(INDEX('Per Invoice'!R$2:R$801,$W117)="","",INDEX('Per Invoice'!R$2:R$801,$W117)))</f>
        <v/>
      </c>
      <c r="S117" s="7">
        <f>IF($W117="","",IF(INDEX('Per Invoice'!S$2:S$801,$W117)="","",INDEX('Per Invoice'!S$2:S$801,$W117)))</f>
        <v/>
      </c>
      <c r="T117" s="7">
        <f>IF($W117="","",IF(INDEX('Per Invoice'!T$2:T$801,$W117)="","",INDEX('Per Invoice'!T$2:T$801,$W117)))</f>
        <v/>
      </c>
      <c r="U117" s="7">
        <f>IF($W117="","",IF(INDEX('Per Invoice'!U$2:U$801,$W117)="","",INDEX('Per Invoice'!U$2:U$801,$W117)))</f>
        <v/>
      </c>
      <c r="V117" s="7">
        <f>IF($W117="","",IF(INDEX('Per Invoice'!V$2:V$801,$W117)="","",INDEX('Per Invoice'!V$2:V$801,$W117)))</f>
        <v/>
      </c>
      <c r="W117" s="16">
        <f>IFERROR(MATCH(Settings!$C$26&amp;"|"&amp;ROWS($W$2:$W117),'Per Invoice'!$X$2:$X$801,0),"")</f>
        <v/>
      </c>
    </row>
    <row r="118">
      <c r="A118">
        <f>IF($W118="","",IF(INDEX('Per Invoice'!A$2:A$801,$W118)="","",INDEX('Per Invoice'!A$2:A$801,$W118)))</f>
        <v/>
      </c>
      <c r="B118">
        <f>IF($W118="","",IF(INDEX('Per Invoice'!B$2:B$801,$W118)="","",INDEX('Per Invoice'!B$2:B$801,$W118)))</f>
        <v/>
      </c>
      <c r="C118">
        <f>IF($W118="","",IF(INDEX('Per Invoice'!C$2:C$801,$W118)="","",INDEX('Per Invoice'!C$2:C$801,$W118)))</f>
        <v/>
      </c>
      <c r="D118">
        <f>IF($W118="","",IF(INDEX('Per Invoice'!D$2:D$801,$W118)="","",INDEX('Per Invoice'!D$2:D$801,$W118)))</f>
        <v/>
      </c>
      <c r="E118">
        <f>IF($W118="","",IF(INDEX('Per Invoice'!E$2:E$801,$W118)="","",INDEX('Per Invoice'!E$2:E$801,$W118)))</f>
        <v/>
      </c>
      <c r="F118">
        <f>IF($W118="","",IF(INDEX('Per Invoice'!F$2:F$801,$W118)="","",INDEX('Per Invoice'!F$2:F$801,$W118)))</f>
        <v/>
      </c>
      <c r="G118">
        <f>IF($W118="","",IF(INDEX('Per Invoice'!G$2:G$801,$W118)="","",INDEX('Per Invoice'!G$2:G$801,$W118)))</f>
        <v/>
      </c>
      <c r="H118">
        <f>IF($W118="","",IF(INDEX('Per Invoice'!H$2:H$801,$W118)="","",INDEX('Per Invoice'!H$2:H$801,$W118)))</f>
        <v/>
      </c>
      <c r="I118">
        <f>IF($W118="","",IF(INDEX('Per Invoice'!I$2:I$801,$W118)="","",INDEX('Per Invoice'!I$2:I$801,$W118)))</f>
        <v/>
      </c>
      <c r="J118">
        <f>IF($W118="","",IF(INDEX('Per Invoice'!J$2:J$801,$W118)="","",INDEX('Per Invoice'!J$2:J$801,$W118)))</f>
        <v/>
      </c>
      <c r="K118" s="7">
        <f>IF($W118="","",IF(INDEX('Per Invoice'!K$2:K$801,$W118)="","",INDEX('Per Invoice'!K$2:K$801,$W118)))</f>
        <v/>
      </c>
      <c r="L118" s="14">
        <f>IF($W118="","",IF(INDEX('Per Invoice'!L$2:L$801,$W118)="","",INDEX('Per Invoice'!L$2:L$801,$W118)))</f>
        <v/>
      </c>
      <c r="M118">
        <f>IF($W118="","",IF(INDEX('Per Invoice'!M$2:M$801,$W118)="","",INDEX('Per Invoice'!M$2:M$801,$W118)))</f>
        <v/>
      </c>
      <c r="N118" s="7">
        <f>IF($W118="","",IF(INDEX('Per Invoice'!N$2:N$801,$W118)="","",INDEX('Per Invoice'!N$2:N$801,$W118)))</f>
        <v/>
      </c>
      <c r="O118" s="7">
        <f>IF($W118="","",IF(INDEX('Per Invoice'!O$2:O$801,$W118)="","",INDEX('Per Invoice'!O$2:O$801,$W118)))</f>
        <v/>
      </c>
      <c r="P118">
        <f>IF($W118="","",IF(INDEX('Per Invoice'!P$2:P$801,$W118)="","",INDEX('Per Invoice'!P$2:P$801,$W118)))</f>
        <v/>
      </c>
      <c r="Q118" s="7">
        <f>IF($W118="","",IF(INDEX('Per Invoice'!Q$2:Q$801,$W118)="","",INDEX('Per Invoice'!Q$2:Q$801,$W118)))</f>
        <v/>
      </c>
      <c r="R118" s="7">
        <f>IF($W118="","",IF(INDEX('Per Invoice'!R$2:R$801,$W118)="","",INDEX('Per Invoice'!R$2:R$801,$W118)))</f>
        <v/>
      </c>
      <c r="S118" s="7">
        <f>IF($W118="","",IF(INDEX('Per Invoice'!S$2:S$801,$W118)="","",INDEX('Per Invoice'!S$2:S$801,$W118)))</f>
        <v/>
      </c>
      <c r="T118" s="7">
        <f>IF($W118="","",IF(INDEX('Per Invoice'!T$2:T$801,$W118)="","",INDEX('Per Invoice'!T$2:T$801,$W118)))</f>
        <v/>
      </c>
      <c r="U118" s="7">
        <f>IF($W118="","",IF(INDEX('Per Invoice'!U$2:U$801,$W118)="","",INDEX('Per Invoice'!U$2:U$801,$W118)))</f>
        <v/>
      </c>
      <c r="V118" s="7">
        <f>IF($W118="","",IF(INDEX('Per Invoice'!V$2:V$801,$W118)="","",INDEX('Per Invoice'!V$2:V$801,$W118)))</f>
        <v/>
      </c>
      <c r="W118" s="16">
        <f>IFERROR(MATCH(Settings!$C$26&amp;"|"&amp;ROWS($W$2:$W118),'Per Invoice'!$X$2:$X$801,0),"")</f>
        <v/>
      </c>
    </row>
    <row r="119">
      <c r="A119">
        <f>IF($W119="","",IF(INDEX('Per Invoice'!A$2:A$801,$W119)="","",INDEX('Per Invoice'!A$2:A$801,$W119)))</f>
        <v/>
      </c>
      <c r="B119">
        <f>IF($W119="","",IF(INDEX('Per Invoice'!B$2:B$801,$W119)="","",INDEX('Per Invoice'!B$2:B$801,$W119)))</f>
        <v/>
      </c>
      <c r="C119">
        <f>IF($W119="","",IF(INDEX('Per Invoice'!C$2:C$801,$W119)="","",INDEX('Per Invoice'!C$2:C$801,$W119)))</f>
        <v/>
      </c>
      <c r="D119">
        <f>IF($W119="","",IF(INDEX('Per Invoice'!D$2:D$801,$W119)="","",INDEX('Per Invoice'!D$2:D$801,$W119)))</f>
        <v/>
      </c>
      <c r="E119">
        <f>IF($W119="","",IF(INDEX('Per Invoice'!E$2:E$801,$W119)="","",INDEX('Per Invoice'!E$2:E$801,$W119)))</f>
        <v/>
      </c>
      <c r="F119">
        <f>IF($W119="","",IF(INDEX('Per Invoice'!F$2:F$801,$W119)="","",INDEX('Per Invoice'!F$2:F$801,$W119)))</f>
        <v/>
      </c>
      <c r="G119">
        <f>IF($W119="","",IF(INDEX('Per Invoice'!G$2:G$801,$W119)="","",INDEX('Per Invoice'!G$2:G$801,$W119)))</f>
        <v/>
      </c>
      <c r="H119">
        <f>IF($W119="","",IF(INDEX('Per Invoice'!H$2:H$801,$W119)="","",INDEX('Per Invoice'!H$2:H$801,$W119)))</f>
        <v/>
      </c>
      <c r="I119">
        <f>IF($W119="","",IF(INDEX('Per Invoice'!I$2:I$801,$W119)="","",INDEX('Per Invoice'!I$2:I$801,$W119)))</f>
        <v/>
      </c>
      <c r="J119">
        <f>IF($W119="","",IF(INDEX('Per Invoice'!J$2:J$801,$W119)="","",INDEX('Per Invoice'!J$2:J$801,$W119)))</f>
        <v/>
      </c>
      <c r="K119" s="7">
        <f>IF($W119="","",IF(INDEX('Per Invoice'!K$2:K$801,$W119)="","",INDEX('Per Invoice'!K$2:K$801,$W119)))</f>
        <v/>
      </c>
      <c r="L119" s="14">
        <f>IF($W119="","",IF(INDEX('Per Invoice'!L$2:L$801,$W119)="","",INDEX('Per Invoice'!L$2:L$801,$W119)))</f>
        <v/>
      </c>
      <c r="M119">
        <f>IF($W119="","",IF(INDEX('Per Invoice'!M$2:M$801,$W119)="","",INDEX('Per Invoice'!M$2:M$801,$W119)))</f>
        <v/>
      </c>
      <c r="N119" s="7">
        <f>IF($W119="","",IF(INDEX('Per Invoice'!N$2:N$801,$W119)="","",INDEX('Per Invoice'!N$2:N$801,$W119)))</f>
        <v/>
      </c>
      <c r="O119" s="7">
        <f>IF($W119="","",IF(INDEX('Per Invoice'!O$2:O$801,$W119)="","",INDEX('Per Invoice'!O$2:O$801,$W119)))</f>
        <v/>
      </c>
      <c r="P119">
        <f>IF($W119="","",IF(INDEX('Per Invoice'!P$2:P$801,$W119)="","",INDEX('Per Invoice'!P$2:P$801,$W119)))</f>
        <v/>
      </c>
      <c r="Q119" s="7">
        <f>IF($W119="","",IF(INDEX('Per Invoice'!Q$2:Q$801,$W119)="","",INDEX('Per Invoice'!Q$2:Q$801,$W119)))</f>
        <v/>
      </c>
      <c r="R119" s="7">
        <f>IF($W119="","",IF(INDEX('Per Invoice'!R$2:R$801,$W119)="","",INDEX('Per Invoice'!R$2:R$801,$W119)))</f>
        <v/>
      </c>
      <c r="S119" s="7">
        <f>IF($W119="","",IF(INDEX('Per Invoice'!S$2:S$801,$W119)="","",INDEX('Per Invoice'!S$2:S$801,$W119)))</f>
        <v/>
      </c>
      <c r="T119" s="7">
        <f>IF($W119="","",IF(INDEX('Per Invoice'!T$2:T$801,$W119)="","",INDEX('Per Invoice'!T$2:T$801,$W119)))</f>
        <v/>
      </c>
      <c r="U119" s="7">
        <f>IF($W119="","",IF(INDEX('Per Invoice'!U$2:U$801,$W119)="","",INDEX('Per Invoice'!U$2:U$801,$W119)))</f>
        <v/>
      </c>
      <c r="V119" s="7">
        <f>IF($W119="","",IF(INDEX('Per Invoice'!V$2:V$801,$W119)="","",INDEX('Per Invoice'!V$2:V$801,$W119)))</f>
        <v/>
      </c>
      <c r="W119" s="16">
        <f>IFERROR(MATCH(Settings!$C$26&amp;"|"&amp;ROWS($W$2:$W119),'Per Invoice'!$X$2:$X$801,0),"")</f>
        <v/>
      </c>
    </row>
    <row r="120">
      <c r="A120">
        <f>IF($W120="","",IF(INDEX('Per Invoice'!A$2:A$801,$W120)="","",INDEX('Per Invoice'!A$2:A$801,$W120)))</f>
        <v/>
      </c>
      <c r="B120">
        <f>IF($W120="","",IF(INDEX('Per Invoice'!B$2:B$801,$W120)="","",INDEX('Per Invoice'!B$2:B$801,$W120)))</f>
        <v/>
      </c>
      <c r="C120">
        <f>IF($W120="","",IF(INDEX('Per Invoice'!C$2:C$801,$W120)="","",INDEX('Per Invoice'!C$2:C$801,$W120)))</f>
        <v/>
      </c>
      <c r="D120">
        <f>IF($W120="","",IF(INDEX('Per Invoice'!D$2:D$801,$W120)="","",INDEX('Per Invoice'!D$2:D$801,$W120)))</f>
        <v/>
      </c>
      <c r="E120">
        <f>IF($W120="","",IF(INDEX('Per Invoice'!E$2:E$801,$W120)="","",INDEX('Per Invoice'!E$2:E$801,$W120)))</f>
        <v/>
      </c>
      <c r="F120">
        <f>IF($W120="","",IF(INDEX('Per Invoice'!F$2:F$801,$W120)="","",INDEX('Per Invoice'!F$2:F$801,$W120)))</f>
        <v/>
      </c>
      <c r="G120">
        <f>IF($W120="","",IF(INDEX('Per Invoice'!G$2:G$801,$W120)="","",INDEX('Per Invoice'!G$2:G$801,$W120)))</f>
        <v/>
      </c>
      <c r="H120">
        <f>IF($W120="","",IF(INDEX('Per Invoice'!H$2:H$801,$W120)="","",INDEX('Per Invoice'!H$2:H$801,$W120)))</f>
        <v/>
      </c>
      <c r="I120">
        <f>IF($W120="","",IF(INDEX('Per Invoice'!I$2:I$801,$W120)="","",INDEX('Per Invoice'!I$2:I$801,$W120)))</f>
        <v/>
      </c>
      <c r="J120">
        <f>IF($W120="","",IF(INDEX('Per Invoice'!J$2:J$801,$W120)="","",INDEX('Per Invoice'!J$2:J$801,$W120)))</f>
        <v/>
      </c>
      <c r="K120" s="7">
        <f>IF($W120="","",IF(INDEX('Per Invoice'!K$2:K$801,$W120)="","",INDEX('Per Invoice'!K$2:K$801,$W120)))</f>
        <v/>
      </c>
      <c r="L120" s="14">
        <f>IF($W120="","",IF(INDEX('Per Invoice'!L$2:L$801,$W120)="","",INDEX('Per Invoice'!L$2:L$801,$W120)))</f>
        <v/>
      </c>
      <c r="M120">
        <f>IF($W120="","",IF(INDEX('Per Invoice'!M$2:M$801,$W120)="","",INDEX('Per Invoice'!M$2:M$801,$W120)))</f>
        <v/>
      </c>
      <c r="N120" s="7">
        <f>IF($W120="","",IF(INDEX('Per Invoice'!N$2:N$801,$W120)="","",INDEX('Per Invoice'!N$2:N$801,$W120)))</f>
        <v/>
      </c>
      <c r="O120" s="7">
        <f>IF($W120="","",IF(INDEX('Per Invoice'!O$2:O$801,$W120)="","",INDEX('Per Invoice'!O$2:O$801,$W120)))</f>
        <v/>
      </c>
      <c r="P120">
        <f>IF($W120="","",IF(INDEX('Per Invoice'!P$2:P$801,$W120)="","",INDEX('Per Invoice'!P$2:P$801,$W120)))</f>
        <v/>
      </c>
      <c r="Q120" s="7">
        <f>IF($W120="","",IF(INDEX('Per Invoice'!Q$2:Q$801,$W120)="","",INDEX('Per Invoice'!Q$2:Q$801,$W120)))</f>
        <v/>
      </c>
      <c r="R120" s="7">
        <f>IF($W120="","",IF(INDEX('Per Invoice'!R$2:R$801,$W120)="","",INDEX('Per Invoice'!R$2:R$801,$W120)))</f>
        <v/>
      </c>
      <c r="S120" s="7">
        <f>IF($W120="","",IF(INDEX('Per Invoice'!S$2:S$801,$W120)="","",INDEX('Per Invoice'!S$2:S$801,$W120)))</f>
        <v/>
      </c>
      <c r="T120" s="7">
        <f>IF($W120="","",IF(INDEX('Per Invoice'!T$2:T$801,$W120)="","",INDEX('Per Invoice'!T$2:T$801,$W120)))</f>
        <v/>
      </c>
      <c r="U120" s="7">
        <f>IF($W120="","",IF(INDEX('Per Invoice'!U$2:U$801,$W120)="","",INDEX('Per Invoice'!U$2:U$801,$W120)))</f>
        <v/>
      </c>
      <c r="V120" s="7">
        <f>IF($W120="","",IF(INDEX('Per Invoice'!V$2:V$801,$W120)="","",INDEX('Per Invoice'!V$2:V$801,$W120)))</f>
        <v/>
      </c>
      <c r="W120" s="16">
        <f>IFERROR(MATCH(Settings!$C$26&amp;"|"&amp;ROWS($W$2:$W120),'Per Invoice'!$X$2:$X$801,0),"")</f>
        <v/>
      </c>
    </row>
    <row r="121">
      <c r="A121">
        <f>IF($W121="","",IF(INDEX('Per Invoice'!A$2:A$801,$W121)="","",INDEX('Per Invoice'!A$2:A$801,$W121)))</f>
        <v/>
      </c>
      <c r="B121">
        <f>IF($W121="","",IF(INDEX('Per Invoice'!B$2:B$801,$W121)="","",INDEX('Per Invoice'!B$2:B$801,$W121)))</f>
        <v/>
      </c>
      <c r="C121">
        <f>IF($W121="","",IF(INDEX('Per Invoice'!C$2:C$801,$W121)="","",INDEX('Per Invoice'!C$2:C$801,$W121)))</f>
        <v/>
      </c>
      <c r="D121">
        <f>IF($W121="","",IF(INDEX('Per Invoice'!D$2:D$801,$W121)="","",INDEX('Per Invoice'!D$2:D$801,$W121)))</f>
        <v/>
      </c>
      <c r="E121">
        <f>IF($W121="","",IF(INDEX('Per Invoice'!E$2:E$801,$W121)="","",INDEX('Per Invoice'!E$2:E$801,$W121)))</f>
        <v/>
      </c>
      <c r="F121">
        <f>IF($W121="","",IF(INDEX('Per Invoice'!F$2:F$801,$W121)="","",INDEX('Per Invoice'!F$2:F$801,$W121)))</f>
        <v/>
      </c>
      <c r="G121">
        <f>IF($W121="","",IF(INDEX('Per Invoice'!G$2:G$801,$W121)="","",INDEX('Per Invoice'!G$2:G$801,$W121)))</f>
        <v/>
      </c>
      <c r="H121">
        <f>IF($W121="","",IF(INDEX('Per Invoice'!H$2:H$801,$W121)="","",INDEX('Per Invoice'!H$2:H$801,$W121)))</f>
        <v/>
      </c>
      <c r="I121">
        <f>IF($W121="","",IF(INDEX('Per Invoice'!I$2:I$801,$W121)="","",INDEX('Per Invoice'!I$2:I$801,$W121)))</f>
        <v/>
      </c>
      <c r="J121">
        <f>IF($W121="","",IF(INDEX('Per Invoice'!J$2:J$801,$W121)="","",INDEX('Per Invoice'!J$2:J$801,$W121)))</f>
        <v/>
      </c>
      <c r="K121" s="7">
        <f>IF($W121="","",IF(INDEX('Per Invoice'!K$2:K$801,$W121)="","",INDEX('Per Invoice'!K$2:K$801,$W121)))</f>
        <v/>
      </c>
      <c r="L121" s="14">
        <f>IF($W121="","",IF(INDEX('Per Invoice'!L$2:L$801,$W121)="","",INDEX('Per Invoice'!L$2:L$801,$W121)))</f>
        <v/>
      </c>
      <c r="M121">
        <f>IF($W121="","",IF(INDEX('Per Invoice'!M$2:M$801,$W121)="","",INDEX('Per Invoice'!M$2:M$801,$W121)))</f>
        <v/>
      </c>
      <c r="N121" s="7">
        <f>IF($W121="","",IF(INDEX('Per Invoice'!N$2:N$801,$W121)="","",INDEX('Per Invoice'!N$2:N$801,$W121)))</f>
        <v/>
      </c>
      <c r="O121" s="7">
        <f>IF($W121="","",IF(INDEX('Per Invoice'!O$2:O$801,$W121)="","",INDEX('Per Invoice'!O$2:O$801,$W121)))</f>
        <v/>
      </c>
      <c r="P121">
        <f>IF($W121="","",IF(INDEX('Per Invoice'!P$2:P$801,$W121)="","",INDEX('Per Invoice'!P$2:P$801,$W121)))</f>
        <v/>
      </c>
      <c r="Q121" s="7">
        <f>IF($W121="","",IF(INDEX('Per Invoice'!Q$2:Q$801,$W121)="","",INDEX('Per Invoice'!Q$2:Q$801,$W121)))</f>
        <v/>
      </c>
      <c r="R121" s="7">
        <f>IF($W121="","",IF(INDEX('Per Invoice'!R$2:R$801,$W121)="","",INDEX('Per Invoice'!R$2:R$801,$W121)))</f>
        <v/>
      </c>
      <c r="S121" s="7">
        <f>IF($W121="","",IF(INDEX('Per Invoice'!S$2:S$801,$W121)="","",INDEX('Per Invoice'!S$2:S$801,$W121)))</f>
        <v/>
      </c>
      <c r="T121" s="7">
        <f>IF($W121="","",IF(INDEX('Per Invoice'!T$2:T$801,$W121)="","",INDEX('Per Invoice'!T$2:T$801,$W121)))</f>
        <v/>
      </c>
      <c r="U121" s="7">
        <f>IF($W121="","",IF(INDEX('Per Invoice'!U$2:U$801,$W121)="","",INDEX('Per Invoice'!U$2:U$801,$W121)))</f>
        <v/>
      </c>
      <c r="V121" s="7">
        <f>IF($W121="","",IF(INDEX('Per Invoice'!V$2:V$801,$W121)="","",INDEX('Per Invoice'!V$2:V$801,$W121)))</f>
        <v/>
      </c>
      <c r="W121" s="16">
        <f>IFERROR(MATCH(Settings!$C$26&amp;"|"&amp;ROWS($W$2:$W121),'Per Invoice'!$X$2:$X$801,0),"")</f>
        <v/>
      </c>
    </row>
    <row r="122">
      <c r="A122">
        <f>IF($W122="","",IF(INDEX('Per Invoice'!A$2:A$801,$W122)="","",INDEX('Per Invoice'!A$2:A$801,$W122)))</f>
        <v/>
      </c>
      <c r="B122">
        <f>IF($W122="","",IF(INDEX('Per Invoice'!B$2:B$801,$W122)="","",INDEX('Per Invoice'!B$2:B$801,$W122)))</f>
        <v/>
      </c>
      <c r="C122">
        <f>IF($W122="","",IF(INDEX('Per Invoice'!C$2:C$801,$W122)="","",INDEX('Per Invoice'!C$2:C$801,$W122)))</f>
        <v/>
      </c>
      <c r="D122">
        <f>IF($W122="","",IF(INDEX('Per Invoice'!D$2:D$801,$W122)="","",INDEX('Per Invoice'!D$2:D$801,$W122)))</f>
        <v/>
      </c>
      <c r="E122">
        <f>IF($W122="","",IF(INDEX('Per Invoice'!E$2:E$801,$W122)="","",INDEX('Per Invoice'!E$2:E$801,$W122)))</f>
        <v/>
      </c>
      <c r="F122">
        <f>IF($W122="","",IF(INDEX('Per Invoice'!F$2:F$801,$W122)="","",INDEX('Per Invoice'!F$2:F$801,$W122)))</f>
        <v/>
      </c>
      <c r="G122">
        <f>IF($W122="","",IF(INDEX('Per Invoice'!G$2:G$801,$W122)="","",INDEX('Per Invoice'!G$2:G$801,$W122)))</f>
        <v/>
      </c>
      <c r="H122">
        <f>IF($W122="","",IF(INDEX('Per Invoice'!H$2:H$801,$W122)="","",INDEX('Per Invoice'!H$2:H$801,$W122)))</f>
        <v/>
      </c>
      <c r="I122">
        <f>IF($W122="","",IF(INDEX('Per Invoice'!I$2:I$801,$W122)="","",INDEX('Per Invoice'!I$2:I$801,$W122)))</f>
        <v/>
      </c>
      <c r="J122">
        <f>IF($W122="","",IF(INDEX('Per Invoice'!J$2:J$801,$W122)="","",INDEX('Per Invoice'!J$2:J$801,$W122)))</f>
        <v/>
      </c>
      <c r="K122" s="7">
        <f>IF($W122="","",IF(INDEX('Per Invoice'!K$2:K$801,$W122)="","",INDEX('Per Invoice'!K$2:K$801,$W122)))</f>
        <v/>
      </c>
      <c r="L122" s="14">
        <f>IF($W122="","",IF(INDEX('Per Invoice'!L$2:L$801,$W122)="","",INDEX('Per Invoice'!L$2:L$801,$W122)))</f>
        <v/>
      </c>
      <c r="M122">
        <f>IF($W122="","",IF(INDEX('Per Invoice'!M$2:M$801,$W122)="","",INDEX('Per Invoice'!M$2:M$801,$W122)))</f>
        <v/>
      </c>
      <c r="N122" s="7">
        <f>IF($W122="","",IF(INDEX('Per Invoice'!N$2:N$801,$W122)="","",INDEX('Per Invoice'!N$2:N$801,$W122)))</f>
        <v/>
      </c>
      <c r="O122" s="7">
        <f>IF($W122="","",IF(INDEX('Per Invoice'!O$2:O$801,$W122)="","",INDEX('Per Invoice'!O$2:O$801,$W122)))</f>
        <v/>
      </c>
      <c r="P122">
        <f>IF($W122="","",IF(INDEX('Per Invoice'!P$2:P$801,$W122)="","",INDEX('Per Invoice'!P$2:P$801,$W122)))</f>
        <v/>
      </c>
      <c r="Q122" s="7">
        <f>IF($W122="","",IF(INDEX('Per Invoice'!Q$2:Q$801,$W122)="","",INDEX('Per Invoice'!Q$2:Q$801,$W122)))</f>
        <v/>
      </c>
      <c r="R122" s="7">
        <f>IF($W122="","",IF(INDEX('Per Invoice'!R$2:R$801,$W122)="","",INDEX('Per Invoice'!R$2:R$801,$W122)))</f>
        <v/>
      </c>
      <c r="S122" s="7">
        <f>IF($W122="","",IF(INDEX('Per Invoice'!S$2:S$801,$W122)="","",INDEX('Per Invoice'!S$2:S$801,$W122)))</f>
        <v/>
      </c>
      <c r="T122" s="7">
        <f>IF($W122="","",IF(INDEX('Per Invoice'!T$2:T$801,$W122)="","",INDEX('Per Invoice'!T$2:T$801,$W122)))</f>
        <v/>
      </c>
      <c r="U122" s="7">
        <f>IF($W122="","",IF(INDEX('Per Invoice'!U$2:U$801,$W122)="","",INDEX('Per Invoice'!U$2:U$801,$W122)))</f>
        <v/>
      </c>
      <c r="V122" s="7">
        <f>IF($W122="","",IF(INDEX('Per Invoice'!V$2:V$801,$W122)="","",INDEX('Per Invoice'!V$2:V$801,$W122)))</f>
        <v/>
      </c>
      <c r="W122" s="16">
        <f>IFERROR(MATCH(Settings!$C$26&amp;"|"&amp;ROWS($W$2:$W122),'Per Invoice'!$X$2:$X$801,0),"")</f>
        <v/>
      </c>
    </row>
    <row r="123">
      <c r="A123">
        <f>IF($W123="","",IF(INDEX('Per Invoice'!A$2:A$801,$W123)="","",INDEX('Per Invoice'!A$2:A$801,$W123)))</f>
        <v/>
      </c>
      <c r="B123">
        <f>IF($W123="","",IF(INDEX('Per Invoice'!B$2:B$801,$W123)="","",INDEX('Per Invoice'!B$2:B$801,$W123)))</f>
        <v/>
      </c>
      <c r="C123">
        <f>IF($W123="","",IF(INDEX('Per Invoice'!C$2:C$801,$W123)="","",INDEX('Per Invoice'!C$2:C$801,$W123)))</f>
        <v/>
      </c>
      <c r="D123">
        <f>IF($W123="","",IF(INDEX('Per Invoice'!D$2:D$801,$W123)="","",INDEX('Per Invoice'!D$2:D$801,$W123)))</f>
        <v/>
      </c>
      <c r="E123">
        <f>IF($W123="","",IF(INDEX('Per Invoice'!E$2:E$801,$W123)="","",INDEX('Per Invoice'!E$2:E$801,$W123)))</f>
        <v/>
      </c>
      <c r="F123">
        <f>IF($W123="","",IF(INDEX('Per Invoice'!F$2:F$801,$W123)="","",INDEX('Per Invoice'!F$2:F$801,$W123)))</f>
        <v/>
      </c>
      <c r="G123">
        <f>IF($W123="","",IF(INDEX('Per Invoice'!G$2:G$801,$W123)="","",INDEX('Per Invoice'!G$2:G$801,$W123)))</f>
        <v/>
      </c>
      <c r="H123">
        <f>IF($W123="","",IF(INDEX('Per Invoice'!H$2:H$801,$W123)="","",INDEX('Per Invoice'!H$2:H$801,$W123)))</f>
        <v/>
      </c>
      <c r="I123">
        <f>IF($W123="","",IF(INDEX('Per Invoice'!I$2:I$801,$W123)="","",INDEX('Per Invoice'!I$2:I$801,$W123)))</f>
        <v/>
      </c>
      <c r="J123">
        <f>IF($W123="","",IF(INDEX('Per Invoice'!J$2:J$801,$W123)="","",INDEX('Per Invoice'!J$2:J$801,$W123)))</f>
        <v/>
      </c>
      <c r="K123" s="7">
        <f>IF($W123="","",IF(INDEX('Per Invoice'!K$2:K$801,$W123)="","",INDEX('Per Invoice'!K$2:K$801,$W123)))</f>
        <v/>
      </c>
      <c r="L123" s="14">
        <f>IF($W123="","",IF(INDEX('Per Invoice'!L$2:L$801,$W123)="","",INDEX('Per Invoice'!L$2:L$801,$W123)))</f>
        <v/>
      </c>
      <c r="M123">
        <f>IF($W123="","",IF(INDEX('Per Invoice'!M$2:M$801,$W123)="","",INDEX('Per Invoice'!M$2:M$801,$W123)))</f>
        <v/>
      </c>
      <c r="N123" s="7">
        <f>IF($W123="","",IF(INDEX('Per Invoice'!N$2:N$801,$W123)="","",INDEX('Per Invoice'!N$2:N$801,$W123)))</f>
        <v/>
      </c>
      <c r="O123" s="7">
        <f>IF($W123="","",IF(INDEX('Per Invoice'!O$2:O$801,$W123)="","",INDEX('Per Invoice'!O$2:O$801,$W123)))</f>
        <v/>
      </c>
      <c r="P123">
        <f>IF($W123="","",IF(INDEX('Per Invoice'!P$2:P$801,$W123)="","",INDEX('Per Invoice'!P$2:P$801,$W123)))</f>
        <v/>
      </c>
      <c r="Q123" s="7">
        <f>IF($W123="","",IF(INDEX('Per Invoice'!Q$2:Q$801,$W123)="","",INDEX('Per Invoice'!Q$2:Q$801,$W123)))</f>
        <v/>
      </c>
      <c r="R123" s="7">
        <f>IF($W123="","",IF(INDEX('Per Invoice'!R$2:R$801,$W123)="","",INDEX('Per Invoice'!R$2:R$801,$W123)))</f>
        <v/>
      </c>
      <c r="S123" s="7">
        <f>IF($W123="","",IF(INDEX('Per Invoice'!S$2:S$801,$W123)="","",INDEX('Per Invoice'!S$2:S$801,$W123)))</f>
        <v/>
      </c>
      <c r="T123" s="7">
        <f>IF($W123="","",IF(INDEX('Per Invoice'!T$2:T$801,$W123)="","",INDEX('Per Invoice'!T$2:T$801,$W123)))</f>
        <v/>
      </c>
      <c r="U123" s="7">
        <f>IF($W123="","",IF(INDEX('Per Invoice'!U$2:U$801,$W123)="","",INDEX('Per Invoice'!U$2:U$801,$W123)))</f>
        <v/>
      </c>
      <c r="V123" s="7">
        <f>IF($W123="","",IF(INDEX('Per Invoice'!V$2:V$801,$W123)="","",INDEX('Per Invoice'!V$2:V$801,$W123)))</f>
        <v/>
      </c>
      <c r="W123" s="16">
        <f>IFERROR(MATCH(Settings!$C$26&amp;"|"&amp;ROWS($W$2:$W123),'Per Invoice'!$X$2:$X$801,0),"")</f>
        <v/>
      </c>
    </row>
    <row r="124">
      <c r="A124">
        <f>IF($W124="","",IF(INDEX('Per Invoice'!A$2:A$801,$W124)="","",INDEX('Per Invoice'!A$2:A$801,$W124)))</f>
        <v/>
      </c>
      <c r="B124">
        <f>IF($W124="","",IF(INDEX('Per Invoice'!B$2:B$801,$W124)="","",INDEX('Per Invoice'!B$2:B$801,$W124)))</f>
        <v/>
      </c>
      <c r="C124">
        <f>IF($W124="","",IF(INDEX('Per Invoice'!C$2:C$801,$W124)="","",INDEX('Per Invoice'!C$2:C$801,$W124)))</f>
        <v/>
      </c>
      <c r="D124">
        <f>IF($W124="","",IF(INDEX('Per Invoice'!D$2:D$801,$W124)="","",INDEX('Per Invoice'!D$2:D$801,$W124)))</f>
        <v/>
      </c>
      <c r="E124">
        <f>IF($W124="","",IF(INDEX('Per Invoice'!E$2:E$801,$W124)="","",INDEX('Per Invoice'!E$2:E$801,$W124)))</f>
        <v/>
      </c>
      <c r="F124">
        <f>IF($W124="","",IF(INDEX('Per Invoice'!F$2:F$801,$W124)="","",INDEX('Per Invoice'!F$2:F$801,$W124)))</f>
        <v/>
      </c>
      <c r="G124">
        <f>IF($W124="","",IF(INDEX('Per Invoice'!G$2:G$801,$W124)="","",INDEX('Per Invoice'!G$2:G$801,$W124)))</f>
        <v/>
      </c>
      <c r="H124">
        <f>IF($W124="","",IF(INDEX('Per Invoice'!H$2:H$801,$W124)="","",INDEX('Per Invoice'!H$2:H$801,$W124)))</f>
        <v/>
      </c>
      <c r="I124">
        <f>IF($W124="","",IF(INDEX('Per Invoice'!I$2:I$801,$W124)="","",INDEX('Per Invoice'!I$2:I$801,$W124)))</f>
        <v/>
      </c>
      <c r="J124">
        <f>IF($W124="","",IF(INDEX('Per Invoice'!J$2:J$801,$W124)="","",INDEX('Per Invoice'!J$2:J$801,$W124)))</f>
        <v/>
      </c>
      <c r="K124" s="7">
        <f>IF($W124="","",IF(INDEX('Per Invoice'!K$2:K$801,$W124)="","",INDEX('Per Invoice'!K$2:K$801,$W124)))</f>
        <v/>
      </c>
      <c r="L124" s="14">
        <f>IF($W124="","",IF(INDEX('Per Invoice'!L$2:L$801,$W124)="","",INDEX('Per Invoice'!L$2:L$801,$W124)))</f>
        <v/>
      </c>
      <c r="M124">
        <f>IF($W124="","",IF(INDEX('Per Invoice'!M$2:M$801,$W124)="","",INDEX('Per Invoice'!M$2:M$801,$W124)))</f>
        <v/>
      </c>
      <c r="N124" s="7">
        <f>IF($W124="","",IF(INDEX('Per Invoice'!N$2:N$801,$W124)="","",INDEX('Per Invoice'!N$2:N$801,$W124)))</f>
        <v/>
      </c>
      <c r="O124" s="7">
        <f>IF($W124="","",IF(INDEX('Per Invoice'!O$2:O$801,$W124)="","",INDEX('Per Invoice'!O$2:O$801,$W124)))</f>
        <v/>
      </c>
      <c r="P124">
        <f>IF($W124="","",IF(INDEX('Per Invoice'!P$2:P$801,$W124)="","",INDEX('Per Invoice'!P$2:P$801,$W124)))</f>
        <v/>
      </c>
      <c r="Q124" s="7">
        <f>IF($W124="","",IF(INDEX('Per Invoice'!Q$2:Q$801,$W124)="","",INDEX('Per Invoice'!Q$2:Q$801,$W124)))</f>
        <v/>
      </c>
      <c r="R124" s="7">
        <f>IF($W124="","",IF(INDEX('Per Invoice'!R$2:R$801,$W124)="","",INDEX('Per Invoice'!R$2:R$801,$W124)))</f>
        <v/>
      </c>
      <c r="S124" s="7">
        <f>IF($W124="","",IF(INDEX('Per Invoice'!S$2:S$801,$W124)="","",INDEX('Per Invoice'!S$2:S$801,$W124)))</f>
        <v/>
      </c>
      <c r="T124" s="7">
        <f>IF($W124="","",IF(INDEX('Per Invoice'!T$2:T$801,$W124)="","",INDEX('Per Invoice'!T$2:T$801,$W124)))</f>
        <v/>
      </c>
      <c r="U124" s="7">
        <f>IF($W124="","",IF(INDEX('Per Invoice'!U$2:U$801,$W124)="","",INDEX('Per Invoice'!U$2:U$801,$W124)))</f>
        <v/>
      </c>
      <c r="V124" s="7">
        <f>IF($W124="","",IF(INDEX('Per Invoice'!V$2:V$801,$W124)="","",INDEX('Per Invoice'!V$2:V$801,$W124)))</f>
        <v/>
      </c>
      <c r="W124" s="16">
        <f>IFERROR(MATCH(Settings!$C$26&amp;"|"&amp;ROWS($W$2:$W124),'Per Invoice'!$X$2:$X$801,0),"")</f>
        <v/>
      </c>
    </row>
    <row r="125">
      <c r="A125">
        <f>IF($W125="","",IF(INDEX('Per Invoice'!A$2:A$801,$W125)="","",INDEX('Per Invoice'!A$2:A$801,$W125)))</f>
        <v/>
      </c>
      <c r="B125">
        <f>IF($W125="","",IF(INDEX('Per Invoice'!B$2:B$801,$W125)="","",INDEX('Per Invoice'!B$2:B$801,$W125)))</f>
        <v/>
      </c>
      <c r="C125">
        <f>IF($W125="","",IF(INDEX('Per Invoice'!C$2:C$801,$W125)="","",INDEX('Per Invoice'!C$2:C$801,$W125)))</f>
        <v/>
      </c>
      <c r="D125">
        <f>IF($W125="","",IF(INDEX('Per Invoice'!D$2:D$801,$W125)="","",INDEX('Per Invoice'!D$2:D$801,$W125)))</f>
        <v/>
      </c>
      <c r="E125">
        <f>IF($W125="","",IF(INDEX('Per Invoice'!E$2:E$801,$W125)="","",INDEX('Per Invoice'!E$2:E$801,$W125)))</f>
        <v/>
      </c>
      <c r="F125">
        <f>IF($W125="","",IF(INDEX('Per Invoice'!F$2:F$801,$W125)="","",INDEX('Per Invoice'!F$2:F$801,$W125)))</f>
        <v/>
      </c>
      <c r="G125">
        <f>IF($W125="","",IF(INDEX('Per Invoice'!G$2:G$801,$W125)="","",INDEX('Per Invoice'!G$2:G$801,$W125)))</f>
        <v/>
      </c>
      <c r="H125">
        <f>IF($W125="","",IF(INDEX('Per Invoice'!H$2:H$801,$W125)="","",INDEX('Per Invoice'!H$2:H$801,$W125)))</f>
        <v/>
      </c>
      <c r="I125">
        <f>IF($W125="","",IF(INDEX('Per Invoice'!I$2:I$801,$W125)="","",INDEX('Per Invoice'!I$2:I$801,$W125)))</f>
        <v/>
      </c>
      <c r="J125">
        <f>IF($W125="","",IF(INDEX('Per Invoice'!J$2:J$801,$W125)="","",INDEX('Per Invoice'!J$2:J$801,$W125)))</f>
        <v/>
      </c>
      <c r="K125" s="7">
        <f>IF($W125="","",IF(INDEX('Per Invoice'!K$2:K$801,$W125)="","",INDEX('Per Invoice'!K$2:K$801,$W125)))</f>
        <v/>
      </c>
      <c r="L125" s="14">
        <f>IF($W125="","",IF(INDEX('Per Invoice'!L$2:L$801,$W125)="","",INDEX('Per Invoice'!L$2:L$801,$W125)))</f>
        <v/>
      </c>
      <c r="M125">
        <f>IF($W125="","",IF(INDEX('Per Invoice'!M$2:M$801,$W125)="","",INDEX('Per Invoice'!M$2:M$801,$W125)))</f>
        <v/>
      </c>
      <c r="N125" s="7">
        <f>IF($W125="","",IF(INDEX('Per Invoice'!N$2:N$801,$W125)="","",INDEX('Per Invoice'!N$2:N$801,$W125)))</f>
        <v/>
      </c>
      <c r="O125" s="7">
        <f>IF($W125="","",IF(INDEX('Per Invoice'!O$2:O$801,$W125)="","",INDEX('Per Invoice'!O$2:O$801,$W125)))</f>
        <v/>
      </c>
      <c r="P125">
        <f>IF($W125="","",IF(INDEX('Per Invoice'!P$2:P$801,$W125)="","",INDEX('Per Invoice'!P$2:P$801,$W125)))</f>
        <v/>
      </c>
      <c r="Q125" s="7">
        <f>IF($W125="","",IF(INDEX('Per Invoice'!Q$2:Q$801,$W125)="","",INDEX('Per Invoice'!Q$2:Q$801,$W125)))</f>
        <v/>
      </c>
      <c r="R125" s="7">
        <f>IF($W125="","",IF(INDEX('Per Invoice'!R$2:R$801,$W125)="","",INDEX('Per Invoice'!R$2:R$801,$W125)))</f>
        <v/>
      </c>
      <c r="S125" s="7">
        <f>IF($W125="","",IF(INDEX('Per Invoice'!S$2:S$801,$W125)="","",INDEX('Per Invoice'!S$2:S$801,$W125)))</f>
        <v/>
      </c>
      <c r="T125" s="7">
        <f>IF($W125="","",IF(INDEX('Per Invoice'!T$2:T$801,$W125)="","",INDEX('Per Invoice'!T$2:T$801,$W125)))</f>
        <v/>
      </c>
      <c r="U125" s="7">
        <f>IF($W125="","",IF(INDEX('Per Invoice'!U$2:U$801,$W125)="","",INDEX('Per Invoice'!U$2:U$801,$W125)))</f>
        <v/>
      </c>
      <c r="V125" s="7">
        <f>IF($W125="","",IF(INDEX('Per Invoice'!V$2:V$801,$W125)="","",INDEX('Per Invoice'!V$2:V$801,$W125)))</f>
        <v/>
      </c>
      <c r="W125" s="16">
        <f>IFERROR(MATCH(Settings!$C$26&amp;"|"&amp;ROWS($W$2:$W125),'Per Invoice'!$X$2:$X$801,0),"")</f>
        <v/>
      </c>
    </row>
    <row r="126">
      <c r="A126">
        <f>IF($W126="","",IF(INDEX('Per Invoice'!A$2:A$801,$W126)="","",INDEX('Per Invoice'!A$2:A$801,$W126)))</f>
        <v/>
      </c>
      <c r="B126">
        <f>IF($W126="","",IF(INDEX('Per Invoice'!B$2:B$801,$W126)="","",INDEX('Per Invoice'!B$2:B$801,$W126)))</f>
        <v/>
      </c>
      <c r="C126">
        <f>IF($W126="","",IF(INDEX('Per Invoice'!C$2:C$801,$W126)="","",INDEX('Per Invoice'!C$2:C$801,$W126)))</f>
        <v/>
      </c>
      <c r="D126">
        <f>IF($W126="","",IF(INDEX('Per Invoice'!D$2:D$801,$W126)="","",INDEX('Per Invoice'!D$2:D$801,$W126)))</f>
        <v/>
      </c>
      <c r="E126">
        <f>IF($W126="","",IF(INDEX('Per Invoice'!E$2:E$801,$W126)="","",INDEX('Per Invoice'!E$2:E$801,$W126)))</f>
        <v/>
      </c>
      <c r="F126">
        <f>IF($W126="","",IF(INDEX('Per Invoice'!F$2:F$801,$W126)="","",INDEX('Per Invoice'!F$2:F$801,$W126)))</f>
        <v/>
      </c>
      <c r="G126">
        <f>IF($W126="","",IF(INDEX('Per Invoice'!G$2:G$801,$W126)="","",INDEX('Per Invoice'!G$2:G$801,$W126)))</f>
        <v/>
      </c>
      <c r="H126">
        <f>IF($W126="","",IF(INDEX('Per Invoice'!H$2:H$801,$W126)="","",INDEX('Per Invoice'!H$2:H$801,$W126)))</f>
        <v/>
      </c>
      <c r="I126">
        <f>IF($W126="","",IF(INDEX('Per Invoice'!I$2:I$801,$W126)="","",INDEX('Per Invoice'!I$2:I$801,$W126)))</f>
        <v/>
      </c>
      <c r="J126">
        <f>IF($W126="","",IF(INDEX('Per Invoice'!J$2:J$801,$W126)="","",INDEX('Per Invoice'!J$2:J$801,$W126)))</f>
        <v/>
      </c>
      <c r="K126" s="7">
        <f>IF($W126="","",IF(INDEX('Per Invoice'!K$2:K$801,$W126)="","",INDEX('Per Invoice'!K$2:K$801,$W126)))</f>
        <v/>
      </c>
      <c r="L126" s="14">
        <f>IF($W126="","",IF(INDEX('Per Invoice'!L$2:L$801,$W126)="","",INDEX('Per Invoice'!L$2:L$801,$W126)))</f>
        <v/>
      </c>
      <c r="M126">
        <f>IF($W126="","",IF(INDEX('Per Invoice'!M$2:M$801,$W126)="","",INDEX('Per Invoice'!M$2:M$801,$W126)))</f>
        <v/>
      </c>
      <c r="N126" s="7">
        <f>IF($W126="","",IF(INDEX('Per Invoice'!N$2:N$801,$W126)="","",INDEX('Per Invoice'!N$2:N$801,$W126)))</f>
        <v/>
      </c>
      <c r="O126" s="7">
        <f>IF($W126="","",IF(INDEX('Per Invoice'!O$2:O$801,$W126)="","",INDEX('Per Invoice'!O$2:O$801,$W126)))</f>
        <v/>
      </c>
      <c r="P126">
        <f>IF($W126="","",IF(INDEX('Per Invoice'!P$2:P$801,$W126)="","",INDEX('Per Invoice'!P$2:P$801,$W126)))</f>
        <v/>
      </c>
      <c r="Q126" s="7">
        <f>IF($W126="","",IF(INDEX('Per Invoice'!Q$2:Q$801,$W126)="","",INDEX('Per Invoice'!Q$2:Q$801,$W126)))</f>
        <v/>
      </c>
      <c r="R126" s="7">
        <f>IF($W126="","",IF(INDEX('Per Invoice'!R$2:R$801,$W126)="","",INDEX('Per Invoice'!R$2:R$801,$W126)))</f>
        <v/>
      </c>
      <c r="S126" s="7">
        <f>IF($W126="","",IF(INDEX('Per Invoice'!S$2:S$801,$W126)="","",INDEX('Per Invoice'!S$2:S$801,$W126)))</f>
        <v/>
      </c>
      <c r="T126" s="7">
        <f>IF($W126="","",IF(INDEX('Per Invoice'!T$2:T$801,$W126)="","",INDEX('Per Invoice'!T$2:T$801,$W126)))</f>
        <v/>
      </c>
      <c r="U126" s="7">
        <f>IF($W126="","",IF(INDEX('Per Invoice'!U$2:U$801,$W126)="","",INDEX('Per Invoice'!U$2:U$801,$W126)))</f>
        <v/>
      </c>
      <c r="V126" s="7">
        <f>IF($W126="","",IF(INDEX('Per Invoice'!V$2:V$801,$W126)="","",INDEX('Per Invoice'!V$2:V$801,$W126)))</f>
        <v/>
      </c>
      <c r="W126" s="16">
        <f>IFERROR(MATCH(Settings!$C$26&amp;"|"&amp;ROWS($W$2:$W126),'Per Invoice'!$X$2:$X$801,0),"")</f>
        <v/>
      </c>
    </row>
    <row r="127">
      <c r="A127">
        <f>IF($W127="","",IF(INDEX('Per Invoice'!A$2:A$801,$W127)="","",INDEX('Per Invoice'!A$2:A$801,$W127)))</f>
        <v/>
      </c>
      <c r="B127">
        <f>IF($W127="","",IF(INDEX('Per Invoice'!B$2:B$801,$W127)="","",INDEX('Per Invoice'!B$2:B$801,$W127)))</f>
        <v/>
      </c>
      <c r="C127">
        <f>IF($W127="","",IF(INDEX('Per Invoice'!C$2:C$801,$W127)="","",INDEX('Per Invoice'!C$2:C$801,$W127)))</f>
        <v/>
      </c>
      <c r="D127">
        <f>IF($W127="","",IF(INDEX('Per Invoice'!D$2:D$801,$W127)="","",INDEX('Per Invoice'!D$2:D$801,$W127)))</f>
        <v/>
      </c>
      <c r="E127">
        <f>IF($W127="","",IF(INDEX('Per Invoice'!E$2:E$801,$W127)="","",INDEX('Per Invoice'!E$2:E$801,$W127)))</f>
        <v/>
      </c>
      <c r="F127">
        <f>IF($W127="","",IF(INDEX('Per Invoice'!F$2:F$801,$W127)="","",INDEX('Per Invoice'!F$2:F$801,$W127)))</f>
        <v/>
      </c>
      <c r="G127">
        <f>IF($W127="","",IF(INDEX('Per Invoice'!G$2:G$801,$W127)="","",INDEX('Per Invoice'!G$2:G$801,$W127)))</f>
        <v/>
      </c>
      <c r="H127">
        <f>IF($W127="","",IF(INDEX('Per Invoice'!H$2:H$801,$W127)="","",INDEX('Per Invoice'!H$2:H$801,$W127)))</f>
        <v/>
      </c>
      <c r="I127">
        <f>IF($W127="","",IF(INDEX('Per Invoice'!I$2:I$801,$W127)="","",INDEX('Per Invoice'!I$2:I$801,$W127)))</f>
        <v/>
      </c>
      <c r="J127">
        <f>IF($W127="","",IF(INDEX('Per Invoice'!J$2:J$801,$W127)="","",INDEX('Per Invoice'!J$2:J$801,$W127)))</f>
        <v/>
      </c>
      <c r="K127" s="7">
        <f>IF($W127="","",IF(INDEX('Per Invoice'!K$2:K$801,$W127)="","",INDEX('Per Invoice'!K$2:K$801,$W127)))</f>
        <v/>
      </c>
      <c r="L127" s="14">
        <f>IF($W127="","",IF(INDEX('Per Invoice'!L$2:L$801,$W127)="","",INDEX('Per Invoice'!L$2:L$801,$W127)))</f>
        <v/>
      </c>
      <c r="M127">
        <f>IF($W127="","",IF(INDEX('Per Invoice'!M$2:M$801,$W127)="","",INDEX('Per Invoice'!M$2:M$801,$W127)))</f>
        <v/>
      </c>
      <c r="N127" s="7">
        <f>IF($W127="","",IF(INDEX('Per Invoice'!N$2:N$801,$W127)="","",INDEX('Per Invoice'!N$2:N$801,$W127)))</f>
        <v/>
      </c>
      <c r="O127" s="7">
        <f>IF($W127="","",IF(INDEX('Per Invoice'!O$2:O$801,$W127)="","",INDEX('Per Invoice'!O$2:O$801,$W127)))</f>
        <v/>
      </c>
      <c r="P127">
        <f>IF($W127="","",IF(INDEX('Per Invoice'!P$2:P$801,$W127)="","",INDEX('Per Invoice'!P$2:P$801,$W127)))</f>
        <v/>
      </c>
      <c r="Q127" s="7">
        <f>IF($W127="","",IF(INDEX('Per Invoice'!Q$2:Q$801,$W127)="","",INDEX('Per Invoice'!Q$2:Q$801,$W127)))</f>
        <v/>
      </c>
      <c r="R127" s="7">
        <f>IF($W127="","",IF(INDEX('Per Invoice'!R$2:R$801,$W127)="","",INDEX('Per Invoice'!R$2:R$801,$W127)))</f>
        <v/>
      </c>
      <c r="S127" s="7">
        <f>IF($W127="","",IF(INDEX('Per Invoice'!S$2:S$801,$W127)="","",INDEX('Per Invoice'!S$2:S$801,$W127)))</f>
        <v/>
      </c>
      <c r="T127" s="7">
        <f>IF($W127="","",IF(INDEX('Per Invoice'!T$2:T$801,$W127)="","",INDEX('Per Invoice'!T$2:T$801,$W127)))</f>
        <v/>
      </c>
      <c r="U127" s="7">
        <f>IF($W127="","",IF(INDEX('Per Invoice'!U$2:U$801,$W127)="","",INDEX('Per Invoice'!U$2:U$801,$W127)))</f>
        <v/>
      </c>
      <c r="V127" s="7">
        <f>IF($W127="","",IF(INDEX('Per Invoice'!V$2:V$801,$W127)="","",INDEX('Per Invoice'!V$2:V$801,$W127)))</f>
        <v/>
      </c>
      <c r="W127" s="16">
        <f>IFERROR(MATCH(Settings!$C$26&amp;"|"&amp;ROWS($W$2:$W127),'Per Invoice'!$X$2:$X$801,0),"")</f>
        <v/>
      </c>
    </row>
    <row r="128">
      <c r="A128">
        <f>IF($W128="","",IF(INDEX('Per Invoice'!A$2:A$801,$W128)="","",INDEX('Per Invoice'!A$2:A$801,$W128)))</f>
        <v/>
      </c>
      <c r="B128">
        <f>IF($W128="","",IF(INDEX('Per Invoice'!B$2:B$801,$W128)="","",INDEX('Per Invoice'!B$2:B$801,$W128)))</f>
        <v/>
      </c>
      <c r="C128">
        <f>IF($W128="","",IF(INDEX('Per Invoice'!C$2:C$801,$W128)="","",INDEX('Per Invoice'!C$2:C$801,$W128)))</f>
        <v/>
      </c>
      <c r="D128">
        <f>IF($W128="","",IF(INDEX('Per Invoice'!D$2:D$801,$W128)="","",INDEX('Per Invoice'!D$2:D$801,$W128)))</f>
        <v/>
      </c>
      <c r="E128">
        <f>IF($W128="","",IF(INDEX('Per Invoice'!E$2:E$801,$W128)="","",INDEX('Per Invoice'!E$2:E$801,$W128)))</f>
        <v/>
      </c>
      <c r="F128">
        <f>IF($W128="","",IF(INDEX('Per Invoice'!F$2:F$801,$W128)="","",INDEX('Per Invoice'!F$2:F$801,$W128)))</f>
        <v/>
      </c>
      <c r="G128">
        <f>IF($W128="","",IF(INDEX('Per Invoice'!G$2:G$801,$W128)="","",INDEX('Per Invoice'!G$2:G$801,$W128)))</f>
        <v/>
      </c>
      <c r="H128">
        <f>IF($W128="","",IF(INDEX('Per Invoice'!H$2:H$801,$W128)="","",INDEX('Per Invoice'!H$2:H$801,$W128)))</f>
        <v/>
      </c>
      <c r="I128">
        <f>IF($W128="","",IF(INDEX('Per Invoice'!I$2:I$801,$W128)="","",INDEX('Per Invoice'!I$2:I$801,$W128)))</f>
        <v/>
      </c>
      <c r="J128">
        <f>IF($W128="","",IF(INDEX('Per Invoice'!J$2:J$801,$W128)="","",INDEX('Per Invoice'!J$2:J$801,$W128)))</f>
        <v/>
      </c>
      <c r="K128" s="7">
        <f>IF($W128="","",IF(INDEX('Per Invoice'!K$2:K$801,$W128)="","",INDEX('Per Invoice'!K$2:K$801,$W128)))</f>
        <v/>
      </c>
      <c r="L128" s="14">
        <f>IF($W128="","",IF(INDEX('Per Invoice'!L$2:L$801,$W128)="","",INDEX('Per Invoice'!L$2:L$801,$W128)))</f>
        <v/>
      </c>
      <c r="M128">
        <f>IF($W128="","",IF(INDEX('Per Invoice'!M$2:M$801,$W128)="","",INDEX('Per Invoice'!M$2:M$801,$W128)))</f>
        <v/>
      </c>
      <c r="N128" s="7">
        <f>IF($W128="","",IF(INDEX('Per Invoice'!N$2:N$801,$W128)="","",INDEX('Per Invoice'!N$2:N$801,$W128)))</f>
        <v/>
      </c>
      <c r="O128" s="7">
        <f>IF($W128="","",IF(INDEX('Per Invoice'!O$2:O$801,$W128)="","",INDEX('Per Invoice'!O$2:O$801,$W128)))</f>
        <v/>
      </c>
      <c r="P128">
        <f>IF($W128="","",IF(INDEX('Per Invoice'!P$2:P$801,$W128)="","",INDEX('Per Invoice'!P$2:P$801,$W128)))</f>
        <v/>
      </c>
      <c r="Q128" s="7">
        <f>IF($W128="","",IF(INDEX('Per Invoice'!Q$2:Q$801,$W128)="","",INDEX('Per Invoice'!Q$2:Q$801,$W128)))</f>
        <v/>
      </c>
      <c r="R128" s="7">
        <f>IF($W128="","",IF(INDEX('Per Invoice'!R$2:R$801,$W128)="","",INDEX('Per Invoice'!R$2:R$801,$W128)))</f>
        <v/>
      </c>
      <c r="S128" s="7">
        <f>IF($W128="","",IF(INDEX('Per Invoice'!S$2:S$801,$W128)="","",INDEX('Per Invoice'!S$2:S$801,$W128)))</f>
        <v/>
      </c>
      <c r="T128" s="7">
        <f>IF($W128="","",IF(INDEX('Per Invoice'!T$2:T$801,$W128)="","",INDEX('Per Invoice'!T$2:T$801,$W128)))</f>
        <v/>
      </c>
      <c r="U128" s="7">
        <f>IF($W128="","",IF(INDEX('Per Invoice'!U$2:U$801,$W128)="","",INDEX('Per Invoice'!U$2:U$801,$W128)))</f>
        <v/>
      </c>
      <c r="V128" s="7">
        <f>IF($W128="","",IF(INDEX('Per Invoice'!V$2:V$801,$W128)="","",INDEX('Per Invoice'!V$2:V$801,$W128)))</f>
        <v/>
      </c>
      <c r="W128" s="16">
        <f>IFERROR(MATCH(Settings!$C$26&amp;"|"&amp;ROWS($W$2:$W128),'Per Invoice'!$X$2:$X$801,0),"")</f>
        <v/>
      </c>
    </row>
    <row r="129">
      <c r="A129">
        <f>IF($W129="","",IF(INDEX('Per Invoice'!A$2:A$801,$W129)="","",INDEX('Per Invoice'!A$2:A$801,$W129)))</f>
        <v/>
      </c>
      <c r="B129">
        <f>IF($W129="","",IF(INDEX('Per Invoice'!B$2:B$801,$W129)="","",INDEX('Per Invoice'!B$2:B$801,$W129)))</f>
        <v/>
      </c>
      <c r="C129">
        <f>IF($W129="","",IF(INDEX('Per Invoice'!C$2:C$801,$W129)="","",INDEX('Per Invoice'!C$2:C$801,$W129)))</f>
        <v/>
      </c>
      <c r="D129">
        <f>IF($W129="","",IF(INDEX('Per Invoice'!D$2:D$801,$W129)="","",INDEX('Per Invoice'!D$2:D$801,$W129)))</f>
        <v/>
      </c>
      <c r="E129">
        <f>IF($W129="","",IF(INDEX('Per Invoice'!E$2:E$801,$W129)="","",INDEX('Per Invoice'!E$2:E$801,$W129)))</f>
        <v/>
      </c>
      <c r="F129">
        <f>IF($W129="","",IF(INDEX('Per Invoice'!F$2:F$801,$W129)="","",INDEX('Per Invoice'!F$2:F$801,$W129)))</f>
        <v/>
      </c>
      <c r="G129">
        <f>IF($W129="","",IF(INDEX('Per Invoice'!G$2:G$801,$W129)="","",INDEX('Per Invoice'!G$2:G$801,$W129)))</f>
        <v/>
      </c>
      <c r="H129">
        <f>IF($W129="","",IF(INDEX('Per Invoice'!H$2:H$801,$W129)="","",INDEX('Per Invoice'!H$2:H$801,$W129)))</f>
        <v/>
      </c>
      <c r="I129">
        <f>IF($W129="","",IF(INDEX('Per Invoice'!I$2:I$801,$W129)="","",INDEX('Per Invoice'!I$2:I$801,$W129)))</f>
        <v/>
      </c>
      <c r="J129">
        <f>IF($W129="","",IF(INDEX('Per Invoice'!J$2:J$801,$W129)="","",INDEX('Per Invoice'!J$2:J$801,$W129)))</f>
        <v/>
      </c>
      <c r="K129" s="7">
        <f>IF($W129="","",IF(INDEX('Per Invoice'!K$2:K$801,$W129)="","",INDEX('Per Invoice'!K$2:K$801,$W129)))</f>
        <v/>
      </c>
      <c r="L129" s="14">
        <f>IF($W129="","",IF(INDEX('Per Invoice'!L$2:L$801,$W129)="","",INDEX('Per Invoice'!L$2:L$801,$W129)))</f>
        <v/>
      </c>
      <c r="M129">
        <f>IF($W129="","",IF(INDEX('Per Invoice'!M$2:M$801,$W129)="","",INDEX('Per Invoice'!M$2:M$801,$W129)))</f>
        <v/>
      </c>
      <c r="N129" s="7">
        <f>IF($W129="","",IF(INDEX('Per Invoice'!N$2:N$801,$W129)="","",INDEX('Per Invoice'!N$2:N$801,$W129)))</f>
        <v/>
      </c>
      <c r="O129" s="7">
        <f>IF($W129="","",IF(INDEX('Per Invoice'!O$2:O$801,$W129)="","",INDEX('Per Invoice'!O$2:O$801,$W129)))</f>
        <v/>
      </c>
      <c r="P129">
        <f>IF($W129="","",IF(INDEX('Per Invoice'!P$2:P$801,$W129)="","",INDEX('Per Invoice'!P$2:P$801,$W129)))</f>
        <v/>
      </c>
      <c r="Q129" s="7">
        <f>IF($W129="","",IF(INDEX('Per Invoice'!Q$2:Q$801,$W129)="","",INDEX('Per Invoice'!Q$2:Q$801,$W129)))</f>
        <v/>
      </c>
      <c r="R129" s="7">
        <f>IF($W129="","",IF(INDEX('Per Invoice'!R$2:R$801,$W129)="","",INDEX('Per Invoice'!R$2:R$801,$W129)))</f>
        <v/>
      </c>
      <c r="S129" s="7">
        <f>IF($W129="","",IF(INDEX('Per Invoice'!S$2:S$801,$W129)="","",INDEX('Per Invoice'!S$2:S$801,$W129)))</f>
        <v/>
      </c>
      <c r="T129" s="7">
        <f>IF($W129="","",IF(INDEX('Per Invoice'!T$2:T$801,$W129)="","",INDEX('Per Invoice'!T$2:T$801,$W129)))</f>
        <v/>
      </c>
      <c r="U129" s="7">
        <f>IF($W129="","",IF(INDEX('Per Invoice'!U$2:U$801,$W129)="","",INDEX('Per Invoice'!U$2:U$801,$W129)))</f>
        <v/>
      </c>
      <c r="V129" s="7">
        <f>IF($W129="","",IF(INDEX('Per Invoice'!V$2:V$801,$W129)="","",INDEX('Per Invoice'!V$2:V$801,$W129)))</f>
        <v/>
      </c>
      <c r="W129" s="16">
        <f>IFERROR(MATCH(Settings!$C$26&amp;"|"&amp;ROWS($W$2:$W129),'Per Invoice'!$X$2:$X$801,0),"")</f>
        <v/>
      </c>
    </row>
    <row r="130">
      <c r="A130">
        <f>IF($W130="","",IF(INDEX('Per Invoice'!A$2:A$801,$W130)="","",INDEX('Per Invoice'!A$2:A$801,$W130)))</f>
        <v/>
      </c>
      <c r="B130">
        <f>IF($W130="","",IF(INDEX('Per Invoice'!B$2:B$801,$W130)="","",INDEX('Per Invoice'!B$2:B$801,$W130)))</f>
        <v/>
      </c>
      <c r="C130">
        <f>IF($W130="","",IF(INDEX('Per Invoice'!C$2:C$801,$W130)="","",INDEX('Per Invoice'!C$2:C$801,$W130)))</f>
        <v/>
      </c>
      <c r="D130">
        <f>IF($W130="","",IF(INDEX('Per Invoice'!D$2:D$801,$W130)="","",INDEX('Per Invoice'!D$2:D$801,$W130)))</f>
        <v/>
      </c>
      <c r="E130">
        <f>IF($W130="","",IF(INDEX('Per Invoice'!E$2:E$801,$W130)="","",INDEX('Per Invoice'!E$2:E$801,$W130)))</f>
        <v/>
      </c>
      <c r="F130">
        <f>IF($W130="","",IF(INDEX('Per Invoice'!F$2:F$801,$W130)="","",INDEX('Per Invoice'!F$2:F$801,$W130)))</f>
        <v/>
      </c>
      <c r="G130">
        <f>IF($W130="","",IF(INDEX('Per Invoice'!G$2:G$801,$W130)="","",INDEX('Per Invoice'!G$2:G$801,$W130)))</f>
        <v/>
      </c>
      <c r="H130">
        <f>IF($W130="","",IF(INDEX('Per Invoice'!H$2:H$801,$W130)="","",INDEX('Per Invoice'!H$2:H$801,$W130)))</f>
        <v/>
      </c>
      <c r="I130">
        <f>IF($W130="","",IF(INDEX('Per Invoice'!I$2:I$801,$W130)="","",INDEX('Per Invoice'!I$2:I$801,$W130)))</f>
        <v/>
      </c>
      <c r="J130">
        <f>IF($W130="","",IF(INDEX('Per Invoice'!J$2:J$801,$W130)="","",INDEX('Per Invoice'!J$2:J$801,$W130)))</f>
        <v/>
      </c>
      <c r="K130" s="7">
        <f>IF($W130="","",IF(INDEX('Per Invoice'!K$2:K$801,$W130)="","",INDEX('Per Invoice'!K$2:K$801,$W130)))</f>
        <v/>
      </c>
      <c r="L130" s="14">
        <f>IF($W130="","",IF(INDEX('Per Invoice'!L$2:L$801,$W130)="","",INDEX('Per Invoice'!L$2:L$801,$W130)))</f>
        <v/>
      </c>
      <c r="M130">
        <f>IF($W130="","",IF(INDEX('Per Invoice'!M$2:M$801,$W130)="","",INDEX('Per Invoice'!M$2:M$801,$W130)))</f>
        <v/>
      </c>
      <c r="N130" s="7">
        <f>IF($W130="","",IF(INDEX('Per Invoice'!N$2:N$801,$W130)="","",INDEX('Per Invoice'!N$2:N$801,$W130)))</f>
        <v/>
      </c>
      <c r="O130" s="7">
        <f>IF($W130="","",IF(INDEX('Per Invoice'!O$2:O$801,$W130)="","",INDEX('Per Invoice'!O$2:O$801,$W130)))</f>
        <v/>
      </c>
      <c r="P130">
        <f>IF($W130="","",IF(INDEX('Per Invoice'!P$2:P$801,$W130)="","",INDEX('Per Invoice'!P$2:P$801,$W130)))</f>
        <v/>
      </c>
      <c r="Q130" s="7">
        <f>IF($W130="","",IF(INDEX('Per Invoice'!Q$2:Q$801,$W130)="","",INDEX('Per Invoice'!Q$2:Q$801,$W130)))</f>
        <v/>
      </c>
      <c r="R130" s="7">
        <f>IF($W130="","",IF(INDEX('Per Invoice'!R$2:R$801,$W130)="","",INDEX('Per Invoice'!R$2:R$801,$W130)))</f>
        <v/>
      </c>
      <c r="S130" s="7">
        <f>IF($W130="","",IF(INDEX('Per Invoice'!S$2:S$801,$W130)="","",INDEX('Per Invoice'!S$2:S$801,$W130)))</f>
        <v/>
      </c>
      <c r="T130" s="7">
        <f>IF($W130="","",IF(INDEX('Per Invoice'!T$2:T$801,$W130)="","",INDEX('Per Invoice'!T$2:T$801,$W130)))</f>
        <v/>
      </c>
      <c r="U130" s="7">
        <f>IF($W130="","",IF(INDEX('Per Invoice'!U$2:U$801,$W130)="","",INDEX('Per Invoice'!U$2:U$801,$W130)))</f>
        <v/>
      </c>
      <c r="V130" s="7">
        <f>IF($W130="","",IF(INDEX('Per Invoice'!V$2:V$801,$W130)="","",INDEX('Per Invoice'!V$2:V$801,$W130)))</f>
        <v/>
      </c>
      <c r="W130" s="16">
        <f>IFERROR(MATCH(Settings!$C$26&amp;"|"&amp;ROWS($W$2:$W130),'Per Invoice'!$X$2:$X$801,0),"")</f>
        <v/>
      </c>
    </row>
    <row r="131">
      <c r="A131">
        <f>IF($W131="","",IF(INDEX('Per Invoice'!A$2:A$801,$W131)="","",INDEX('Per Invoice'!A$2:A$801,$W131)))</f>
        <v/>
      </c>
      <c r="B131">
        <f>IF($W131="","",IF(INDEX('Per Invoice'!B$2:B$801,$W131)="","",INDEX('Per Invoice'!B$2:B$801,$W131)))</f>
        <v/>
      </c>
      <c r="C131">
        <f>IF($W131="","",IF(INDEX('Per Invoice'!C$2:C$801,$W131)="","",INDEX('Per Invoice'!C$2:C$801,$W131)))</f>
        <v/>
      </c>
      <c r="D131">
        <f>IF($W131="","",IF(INDEX('Per Invoice'!D$2:D$801,$W131)="","",INDEX('Per Invoice'!D$2:D$801,$W131)))</f>
        <v/>
      </c>
      <c r="E131">
        <f>IF($W131="","",IF(INDEX('Per Invoice'!E$2:E$801,$W131)="","",INDEX('Per Invoice'!E$2:E$801,$W131)))</f>
        <v/>
      </c>
      <c r="F131">
        <f>IF($W131="","",IF(INDEX('Per Invoice'!F$2:F$801,$W131)="","",INDEX('Per Invoice'!F$2:F$801,$W131)))</f>
        <v/>
      </c>
      <c r="G131">
        <f>IF($W131="","",IF(INDEX('Per Invoice'!G$2:G$801,$W131)="","",INDEX('Per Invoice'!G$2:G$801,$W131)))</f>
        <v/>
      </c>
      <c r="H131">
        <f>IF($W131="","",IF(INDEX('Per Invoice'!H$2:H$801,$W131)="","",INDEX('Per Invoice'!H$2:H$801,$W131)))</f>
        <v/>
      </c>
      <c r="I131">
        <f>IF($W131="","",IF(INDEX('Per Invoice'!I$2:I$801,$W131)="","",INDEX('Per Invoice'!I$2:I$801,$W131)))</f>
        <v/>
      </c>
      <c r="J131">
        <f>IF($W131="","",IF(INDEX('Per Invoice'!J$2:J$801,$W131)="","",INDEX('Per Invoice'!J$2:J$801,$W131)))</f>
        <v/>
      </c>
      <c r="K131" s="7">
        <f>IF($W131="","",IF(INDEX('Per Invoice'!K$2:K$801,$W131)="","",INDEX('Per Invoice'!K$2:K$801,$W131)))</f>
        <v/>
      </c>
      <c r="L131" s="14">
        <f>IF($W131="","",IF(INDEX('Per Invoice'!L$2:L$801,$W131)="","",INDEX('Per Invoice'!L$2:L$801,$W131)))</f>
        <v/>
      </c>
      <c r="M131">
        <f>IF($W131="","",IF(INDEX('Per Invoice'!M$2:M$801,$W131)="","",INDEX('Per Invoice'!M$2:M$801,$W131)))</f>
        <v/>
      </c>
      <c r="N131" s="7">
        <f>IF($W131="","",IF(INDEX('Per Invoice'!N$2:N$801,$W131)="","",INDEX('Per Invoice'!N$2:N$801,$W131)))</f>
        <v/>
      </c>
      <c r="O131" s="7">
        <f>IF($W131="","",IF(INDEX('Per Invoice'!O$2:O$801,$W131)="","",INDEX('Per Invoice'!O$2:O$801,$W131)))</f>
        <v/>
      </c>
      <c r="P131">
        <f>IF($W131="","",IF(INDEX('Per Invoice'!P$2:P$801,$W131)="","",INDEX('Per Invoice'!P$2:P$801,$W131)))</f>
        <v/>
      </c>
      <c r="Q131" s="7">
        <f>IF($W131="","",IF(INDEX('Per Invoice'!Q$2:Q$801,$W131)="","",INDEX('Per Invoice'!Q$2:Q$801,$W131)))</f>
        <v/>
      </c>
      <c r="R131" s="7">
        <f>IF($W131="","",IF(INDEX('Per Invoice'!R$2:R$801,$W131)="","",INDEX('Per Invoice'!R$2:R$801,$W131)))</f>
        <v/>
      </c>
      <c r="S131" s="7">
        <f>IF($W131="","",IF(INDEX('Per Invoice'!S$2:S$801,$W131)="","",INDEX('Per Invoice'!S$2:S$801,$W131)))</f>
        <v/>
      </c>
      <c r="T131" s="7">
        <f>IF($W131="","",IF(INDEX('Per Invoice'!T$2:T$801,$W131)="","",INDEX('Per Invoice'!T$2:T$801,$W131)))</f>
        <v/>
      </c>
      <c r="U131" s="7">
        <f>IF($W131="","",IF(INDEX('Per Invoice'!U$2:U$801,$W131)="","",INDEX('Per Invoice'!U$2:U$801,$W131)))</f>
        <v/>
      </c>
      <c r="V131" s="7">
        <f>IF($W131="","",IF(INDEX('Per Invoice'!V$2:V$801,$W131)="","",INDEX('Per Invoice'!V$2:V$801,$W131)))</f>
        <v/>
      </c>
      <c r="W131" s="16">
        <f>IFERROR(MATCH(Settings!$C$26&amp;"|"&amp;ROWS($W$2:$W131),'Per Invoice'!$X$2:$X$801,0),"")</f>
        <v/>
      </c>
    </row>
    <row r="132">
      <c r="A132">
        <f>IF($W132="","",IF(INDEX('Per Invoice'!A$2:A$801,$W132)="","",INDEX('Per Invoice'!A$2:A$801,$W132)))</f>
        <v/>
      </c>
      <c r="B132">
        <f>IF($W132="","",IF(INDEX('Per Invoice'!B$2:B$801,$W132)="","",INDEX('Per Invoice'!B$2:B$801,$W132)))</f>
        <v/>
      </c>
      <c r="C132">
        <f>IF($W132="","",IF(INDEX('Per Invoice'!C$2:C$801,$W132)="","",INDEX('Per Invoice'!C$2:C$801,$W132)))</f>
        <v/>
      </c>
      <c r="D132">
        <f>IF($W132="","",IF(INDEX('Per Invoice'!D$2:D$801,$W132)="","",INDEX('Per Invoice'!D$2:D$801,$W132)))</f>
        <v/>
      </c>
      <c r="E132">
        <f>IF($W132="","",IF(INDEX('Per Invoice'!E$2:E$801,$W132)="","",INDEX('Per Invoice'!E$2:E$801,$W132)))</f>
        <v/>
      </c>
      <c r="F132">
        <f>IF($W132="","",IF(INDEX('Per Invoice'!F$2:F$801,$W132)="","",INDEX('Per Invoice'!F$2:F$801,$W132)))</f>
        <v/>
      </c>
      <c r="G132">
        <f>IF($W132="","",IF(INDEX('Per Invoice'!G$2:G$801,$W132)="","",INDEX('Per Invoice'!G$2:G$801,$W132)))</f>
        <v/>
      </c>
      <c r="H132">
        <f>IF($W132="","",IF(INDEX('Per Invoice'!H$2:H$801,$W132)="","",INDEX('Per Invoice'!H$2:H$801,$W132)))</f>
        <v/>
      </c>
      <c r="I132">
        <f>IF($W132="","",IF(INDEX('Per Invoice'!I$2:I$801,$W132)="","",INDEX('Per Invoice'!I$2:I$801,$W132)))</f>
        <v/>
      </c>
      <c r="J132">
        <f>IF($W132="","",IF(INDEX('Per Invoice'!J$2:J$801,$W132)="","",INDEX('Per Invoice'!J$2:J$801,$W132)))</f>
        <v/>
      </c>
      <c r="K132" s="7">
        <f>IF($W132="","",IF(INDEX('Per Invoice'!K$2:K$801,$W132)="","",INDEX('Per Invoice'!K$2:K$801,$W132)))</f>
        <v/>
      </c>
      <c r="L132" s="14">
        <f>IF($W132="","",IF(INDEX('Per Invoice'!L$2:L$801,$W132)="","",INDEX('Per Invoice'!L$2:L$801,$W132)))</f>
        <v/>
      </c>
      <c r="M132">
        <f>IF($W132="","",IF(INDEX('Per Invoice'!M$2:M$801,$W132)="","",INDEX('Per Invoice'!M$2:M$801,$W132)))</f>
        <v/>
      </c>
      <c r="N132" s="7">
        <f>IF($W132="","",IF(INDEX('Per Invoice'!N$2:N$801,$W132)="","",INDEX('Per Invoice'!N$2:N$801,$W132)))</f>
        <v/>
      </c>
      <c r="O132" s="7">
        <f>IF($W132="","",IF(INDEX('Per Invoice'!O$2:O$801,$W132)="","",INDEX('Per Invoice'!O$2:O$801,$W132)))</f>
        <v/>
      </c>
      <c r="P132">
        <f>IF($W132="","",IF(INDEX('Per Invoice'!P$2:P$801,$W132)="","",INDEX('Per Invoice'!P$2:P$801,$W132)))</f>
        <v/>
      </c>
      <c r="Q132" s="7">
        <f>IF($W132="","",IF(INDEX('Per Invoice'!Q$2:Q$801,$W132)="","",INDEX('Per Invoice'!Q$2:Q$801,$W132)))</f>
        <v/>
      </c>
      <c r="R132" s="7">
        <f>IF($W132="","",IF(INDEX('Per Invoice'!R$2:R$801,$W132)="","",INDEX('Per Invoice'!R$2:R$801,$W132)))</f>
        <v/>
      </c>
      <c r="S132" s="7">
        <f>IF($W132="","",IF(INDEX('Per Invoice'!S$2:S$801,$W132)="","",INDEX('Per Invoice'!S$2:S$801,$W132)))</f>
        <v/>
      </c>
      <c r="T132" s="7">
        <f>IF($W132="","",IF(INDEX('Per Invoice'!T$2:T$801,$W132)="","",INDEX('Per Invoice'!T$2:T$801,$W132)))</f>
        <v/>
      </c>
      <c r="U132" s="7">
        <f>IF($W132="","",IF(INDEX('Per Invoice'!U$2:U$801,$W132)="","",INDEX('Per Invoice'!U$2:U$801,$W132)))</f>
        <v/>
      </c>
      <c r="V132" s="7">
        <f>IF($W132="","",IF(INDEX('Per Invoice'!V$2:V$801,$W132)="","",INDEX('Per Invoice'!V$2:V$801,$W132)))</f>
        <v/>
      </c>
      <c r="W132" s="16">
        <f>IFERROR(MATCH(Settings!$C$26&amp;"|"&amp;ROWS($W$2:$W132),'Per Invoice'!$X$2:$X$801,0),"")</f>
        <v/>
      </c>
    </row>
    <row r="133">
      <c r="A133">
        <f>IF($W133="","",IF(INDEX('Per Invoice'!A$2:A$801,$W133)="","",INDEX('Per Invoice'!A$2:A$801,$W133)))</f>
        <v/>
      </c>
      <c r="B133">
        <f>IF($W133="","",IF(INDEX('Per Invoice'!B$2:B$801,$W133)="","",INDEX('Per Invoice'!B$2:B$801,$W133)))</f>
        <v/>
      </c>
      <c r="C133">
        <f>IF($W133="","",IF(INDEX('Per Invoice'!C$2:C$801,$W133)="","",INDEX('Per Invoice'!C$2:C$801,$W133)))</f>
        <v/>
      </c>
      <c r="D133">
        <f>IF($W133="","",IF(INDEX('Per Invoice'!D$2:D$801,$W133)="","",INDEX('Per Invoice'!D$2:D$801,$W133)))</f>
        <v/>
      </c>
      <c r="E133">
        <f>IF($W133="","",IF(INDEX('Per Invoice'!E$2:E$801,$W133)="","",INDEX('Per Invoice'!E$2:E$801,$W133)))</f>
        <v/>
      </c>
      <c r="F133">
        <f>IF($W133="","",IF(INDEX('Per Invoice'!F$2:F$801,$W133)="","",INDEX('Per Invoice'!F$2:F$801,$W133)))</f>
        <v/>
      </c>
      <c r="G133">
        <f>IF($W133="","",IF(INDEX('Per Invoice'!G$2:G$801,$W133)="","",INDEX('Per Invoice'!G$2:G$801,$W133)))</f>
        <v/>
      </c>
      <c r="H133">
        <f>IF($W133="","",IF(INDEX('Per Invoice'!H$2:H$801,$W133)="","",INDEX('Per Invoice'!H$2:H$801,$W133)))</f>
        <v/>
      </c>
      <c r="I133">
        <f>IF($W133="","",IF(INDEX('Per Invoice'!I$2:I$801,$W133)="","",INDEX('Per Invoice'!I$2:I$801,$W133)))</f>
        <v/>
      </c>
      <c r="J133">
        <f>IF($W133="","",IF(INDEX('Per Invoice'!J$2:J$801,$W133)="","",INDEX('Per Invoice'!J$2:J$801,$W133)))</f>
        <v/>
      </c>
      <c r="K133" s="7">
        <f>IF($W133="","",IF(INDEX('Per Invoice'!K$2:K$801,$W133)="","",INDEX('Per Invoice'!K$2:K$801,$W133)))</f>
        <v/>
      </c>
      <c r="L133" s="14">
        <f>IF($W133="","",IF(INDEX('Per Invoice'!L$2:L$801,$W133)="","",INDEX('Per Invoice'!L$2:L$801,$W133)))</f>
        <v/>
      </c>
      <c r="M133">
        <f>IF($W133="","",IF(INDEX('Per Invoice'!M$2:M$801,$W133)="","",INDEX('Per Invoice'!M$2:M$801,$W133)))</f>
        <v/>
      </c>
      <c r="N133" s="7">
        <f>IF($W133="","",IF(INDEX('Per Invoice'!N$2:N$801,$W133)="","",INDEX('Per Invoice'!N$2:N$801,$W133)))</f>
        <v/>
      </c>
      <c r="O133" s="7">
        <f>IF($W133="","",IF(INDEX('Per Invoice'!O$2:O$801,$W133)="","",INDEX('Per Invoice'!O$2:O$801,$W133)))</f>
        <v/>
      </c>
      <c r="P133">
        <f>IF($W133="","",IF(INDEX('Per Invoice'!P$2:P$801,$W133)="","",INDEX('Per Invoice'!P$2:P$801,$W133)))</f>
        <v/>
      </c>
      <c r="Q133" s="7">
        <f>IF($W133="","",IF(INDEX('Per Invoice'!Q$2:Q$801,$W133)="","",INDEX('Per Invoice'!Q$2:Q$801,$W133)))</f>
        <v/>
      </c>
      <c r="R133" s="7">
        <f>IF($W133="","",IF(INDEX('Per Invoice'!R$2:R$801,$W133)="","",INDEX('Per Invoice'!R$2:R$801,$W133)))</f>
        <v/>
      </c>
      <c r="S133" s="7">
        <f>IF($W133="","",IF(INDEX('Per Invoice'!S$2:S$801,$W133)="","",INDEX('Per Invoice'!S$2:S$801,$W133)))</f>
        <v/>
      </c>
      <c r="T133" s="7">
        <f>IF($W133="","",IF(INDEX('Per Invoice'!T$2:T$801,$W133)="","",INDEX('Per Invoice'!T$2:T$801,$W133)))</f>
        <v/>
      </c>
      <c r="U133" s="7">
        <f>IF($W133="","",IF(INDEX('Per Invoice'!U$2:U$801,$W133)="","",INDEX('Per Invoice'!U$2:U$801,$W133)))</f>
        <v/>
      </c>
      <c r="V133" s="7">
        <f>IF($W133="","",IF(INDEX('Per Invoice'!V$2:V$801,$W133)="","",INDEX('Per Invoice'!V$2:V$801,$W133)))</f>
        <v/>
      </c>
      <c r="W133" s="16">
        <f>IFERROR(MATCH(Settings!$C$26&amp;"|"&amp;ROWS($W$2:$W133),'Per Invoice'!$X$2:$X$801,0),"")</f>
        <v/>
      </c>
    </row>
    <row r="134">
      <c r="A134">
        <f>IF($W134="","",IF(INDEX('Per Invoice'!A$2:A$801,$W134)="","",INDEX('Per Invoice'!A$2:A$801,$W134)))</f>
        <v/>
      </c>
      <c r="B134">
        <f>IF($W134="","",IF(INDEX('Per Invoice'!B$2:B$801,$W134)="","",INDEX('Per Invoice'!B$2:B$801,$W134)))</f>
        <v/>
      </c>
      <c r="C134">
        <f>IF($W134="","",IF(INDEX('Per Invoice'!C$2:C$801,$W134)="","",INDEX('Per Invoice'!C$2:C$801,$W134)))</f>
        <v/>
      </c>
      <c r="D134">
        <f>IF($W134="","",IF(INDEX('Per Invoice'!D$2:D$801,$W134)="","",INDEX('Per Invoice'!D$2:D$801,$W134)))</f>
        <v/>
      </c>
      <c r="E134">
        <f>IF($W134="","",IF(INDEX('Per Invoice'!E$2:E$801,$W134)="","",INDEX('Per Invoice'!E$2:E$801,$W134)))</f>
        <v/>
      </c>
      <c r="F134">
        <f>IF($W134="","",IF(INDEX('Per Invoice'!F$2:F$801,$W134)="","",INDEX('Per Invoice'!F$2:F$801,$W134)))</f>
        <v/>
      </c>
      <c r="G134">
        <f>IF($W134="","",IF(INDEX('Per Invoice'!G$2:G$801,$W134)="","",INDEX('Per Invoice'!G$2:G$801,$W134)))</f>
        <v/>
      </c>
      <c r="H134">
        <f>IF($W134="","",IF(INDEX('Per Invoice'!H$2:H$801,$W134)="","",INDEX('Per Invoice'!H$2:H$801,$W134)))</f>
        <v/>
      </c>
      <c r="I134">
        <f>IF($W134="","",IF(INDEX('Per Invoice'!I$2:I$801,$W134)="","",INDEX('Per Invoice'!I$2:I$801,$W134)))</f>
        <v/>
      </c>
      <c r="J134">
        <f>IF($W134="","",IF(INDEX('Per Invoice'!J$2:J$801,$W134)="","",INDEX('Per Invoice'!J$2:J$801,$W134)))</f>
        <v/>
      </c>
      <c r="K134" s="7">
        <f>IF($W134="","",IF(INDEX('Per Invoice'!K$2:K$801,$W134)="","",INDEX('Per Invoice'!K$2:K$801,$W134)))</f>
        <v/>
      </c>
      <c r="L134" s="14">
        <f>IF($W134="","",IF(INDEX('Per Invoice'!L$2:L$801,$W134)="","",INDEX('Per Invoice'!L$2:L$801,$W134)))</f>
        <v/>
      </c>
      <c r="M134">
        <f>IF($W134="","",IF(INDEX('Per Invoice'!M$2:M$801,$W134)="","",INDEX('Per Invoice'!M$2:M$801,$W134)))</f>
        <v/>
      </c>
      <c r="N134" s="7">
        <f>IF($W134="","",IF(INDEX('Per Invoice'!N$2:N$801,$W134)="","",INDEX('Per Invoice'!N$2:N$801,$W134)))</f>
        <v/>
      </c>
      <c r="O134" s="7">
        <f>IF($W134="","",IF(INDEX('Per Invoice'!O$2:O$801,$W134)="","",INDEX('Per Invoice'!O$2:O$801,$W134)))</f>
        <v/>
      </c>
      <c r="P134">
        <f>IF($W134="","",IF(INDEX('Per Invoice'!P$2:P$801,$W134)="","",INDEX('Per Invoice'!P$2:P$801,$W134)))</f>
        <v/>
      </c>
      <c r="Q134" s="7">
        <f>IF($W134="","",IF(INDEX('Per Invoice'!Q$2:Q$801,$W134)="","",INDEX('Per Invoice'!Q$2:Q$801,$W134)))</f>
        <v/>
      </c>
      <c r="R134" s="7">
        <f>IF($W134="","",IF(INDEX('Per Invoice'!R$2:R$801,$W134)="","",INDEX('Per Invoice'!R$2:R$801,$W134)))</f>
        <v/>
      </c>
      <c r="S134" s="7">
        <f>IF($W134="","",IF(INDEX('Per Invoice'!S$2:S$801,$W134)="","",INDEX('Per Invoice'!S$2:S$801,$W134)))</f>
        <v/>
      </c>
      <c r="T134" s="7">
        <f>IF($W134="","",IF(INDEX('Per Invoice'!T$2:T$801,$W134)="","",INDEX('Per Invoice'!T$2:T$801,$W134)))</f>
        <v/>
      </c>
      <c r="U134" s="7">
        <f>IF($W134="","",IF(INDEX('Per Invoice'!U$2:U$801,$W134)="","",INDEX('Per Invoice'!U$2:U$801,$W134)))</f>
        <v/>
      </c>
      <c r="V134" s="7">
        <f>IF($W134="","",IF(INDEX('Per Invoice'!V$2:V$801,$W134)="","",INDEX('Per Invoice'!V$2:V$801,$W134)))</f>
        <v/>
      </c>
      <c r="W134" s="16">
        <f>IFERROR(MATCH(Settings!$C$26&amp;"|"&amp;ROWS($W$2:$W134),'Per Invoice'!$X$2:$X$801,0),"")</f>
        <v/>
      </c>
    </row>
    <row r="135">
      <c r="A135">
        <f>IF($W135="","",IF(INDEX('Per Invoice'!A$2:A$801,$W135)="","",INDEX('Per Invoice'!A$2:A$801,$W135)))</f>
        <v/>
      </c>
      <c r="B135">
        <f>IF($W135="","",IF(INDEX('Per Invoice'!B$2:B$801,$W135)="","",INDEX('Per Invoice'!B$2:B$801,$W135)))</f>
        <v/>
      </c>
      <c r="C135">
        <f>IF($W135="","",IF(INDEX('Per Invoice'!C$2:C$801,$W135)="","",INDEX('Per Invoice'!C$2:C$801,$W135)))</f>
        <v/>
      </c>
      <c r="D135">
        <f>IF($W135="","",IF(INDEX('Per Invoice'!D$2:D$801,$W135)="","",INDEX('Per Invoice'!D$2:D$801,$W135)))</f>
        <v/>
      </c>
      <c r="E135">
        <f>IF($W135="","",IF(INDEX('Per Invoice'!E$2:E$801,$W135)="","",INDEX('Per Invoice'!E$2:E$801,$W135)))</f>
        <v/>
      </c>
      <c r="F135">
        <f>IF($W135="","",IF(INDEX('Per Invoice'!F$2:F$801,$W135)="","",INDEX('Per Invoice'!F$2:F$801,$W135)))</f>
        <v/>
      </c>
      <c r="G135">
        <f>IF($W135="","",IF(INDEX('Per Invoice'!G$2:G$801,$W135)="","",INDEX('Per Invoice'!G$2:G$801,$W135)))</f>
        <v/>
      </c>
      <c r="H135">
        <f>IF($W135="","",IF(INDEX('Per Invoice'!H$2:H$801,$W135)="","",INDEX('Per Invoice'!H$2:H$801,$W135)))</f>
        <v/>
      </c>
      <c r="I135">
        <f>IF($W135="","",IF(INDEX('Per Invoice'!I$2:I$801,$W135)="","",INDEX('Per Invoice'!I$2:I$801,$W135)))</f>
        <v/>
      </c>
      <c r="J135">
        <f>IF($W135="","",IF(INDEX('Per Invoice'!J$2:J$801,$W135)="","",INDEX('Per Invoice'!J$2:J$801,$W135)))</f>
        <v/>
      </c>
      <c r="K135" s="7">
        <f>IF($W135="","",IF(INDEX('Per Invoice'!K$2:K$801,$W135)="","",INDEX('Per Invoice'!K$2:K$801,$W135)))</f>
        <v/>
      </c>
      <c r="L135" s="14">
        <f>IF($W135="","",IF(INDEX('Per Invoice'!L$2:L$801,$W135)="","",INDEX('Per Invoice'!L$2:L$801,$W135)))</f>
        <v/>
      </c>
      <c r="M135">
        <f>IF($W135="","",IF(INDEX('Per Invoice'!M$2:M$801,$W135)="","",INDEX('Per Invoice'!M$2:M$801,$W135)))</f>
        <v/>
      </c>
      <c r="N135" s="7">
        <f>IF($W135="","",IF(INDEX('Per Invoice'!N$2:N$801,$W135)="","",INDEX('Per Invoice'!N$2:N$801,$W135)))</f>
        <v/>
      </c>
      <c r="O135" s="7">
        <f>IF($W135="","",IF(INDEX('Per Invoice'!O$2:O$801,$W135)="","",INDEX('Per Invoice'!O$2:O$801,$W135)))</f>
        <v/>
      </c>
      <c r="P135">
        <f>IF($W135="","",IF(INDEX('Per Invoice'!P$2:P$801,$W135)="","",INDEX('Per Invoice'!P$2:P$801,$W135)))</f>
        <v/>
      </c>
      <c r="Q135" s="7">
        <f>IF($W135="","",IF(INDEX('Per Invoice'!Q$2:Q$801,$W135)="","",INDEX('Per Invoice'!Q$2:Q$801,$W135)))</f>
        <v/>
      </c>
      <c r="R135" s="7">
        <f>IF($W135="","",IF(INDEX('Per Invoice'!R$2:R$801,$W135)="","",INDEX('Per Invoice'!R$2:R$801,$W135)))</f>
        <v/>
      </c>
      <c r="S135" s="7">
        <f>IF($W135="","",IF(INDEX('Per Invoice'!S$2:S$801,$W135)="","",INDEX('Per Invoice'!S$2:S$801,$W135)))</f>
        <v/>
      </c>
      <c r="T135" s="7">
        <f>IF($W135="","",IF(INDEX('Per Invoice'!T$2:T$801,$W135)="","",INDEX('Per Invoice'!T$2:T$801,$W135)))</f>
        <v/>
      </c>
      <c r="U135" s="7">
        <f>IF($W135="","",IF(INDEX('Per Invoice'!U$2:U$801,$W135)="","",INDEX('Per Invoice'!U$2:U$801,$W135)))</f>
        <v/>
      </c>
      <c r="V135" s="7">
        <f>IF($W135="","",IF(INDEX('Per Invoice'!V$2:V$801,$W135)="","",INDEX('Per Invoice'!V$2:V$801,$W135)))</f>
        <v/>
      </c>
      <c r="W135" s="16">
        <f>IFERROR(MATCH(Settings!$C$26&amp;"|"&amp;ROWS($W$2:$W135),'Per Invoice'!$X$2:$X$801,0),"")</f>
        <v/>
      </c>
    </row>
    <row r="136">
      <c r="A136">
        <f>IF($W136="","",IF(INDEX('Per Invoice'!A$2:A$801,$W136)="","",INDEX('Per Invoice'!A$2:A$801,$W136)))</f>
        <v/>
      </c>
      <c r="B136">
        <f>IF($W136="","",IF(INDEX('Per Invoice'!B$2:B$801,$W136)="","",INDEX('Per Invoice'!B$2:B$801,$W136)))</f>
        <v/>
      </c>
      <c r="C136">
        <f>IF($W136="","",IF(INDEX('Per Invoice'!C$2:C$801,$W136)="","",INDEX('Per Invoice'!C$2:C$801,$W136)))</f>
        <v/>
      </c>
      <c r="D136">
        <f>IF($W136="","",IF(INDEX('Per Invoice'!D$2:D$801,$W136)="","",INDEX('Per Invoice'!D$2:D$801,$W136)))</f>
        <v/>
      </c>
      <c r="E136">
        <f>IF($W136="","",IF(INDEX('Per Invoice'!E$2:E$801,$W136)="","",INDEX('Per Invoice'!E$2:E$801,$W136)))</f>
        <v/>
      </c>
      <c r="F136">
        <f>IF($W136="","",IF(INDEX('Per Invoice'!F$2:F$801,$W136)="","",INDEX('Per Invoice'!F$2:F$801,$W136)))</f>
        <v/>
      </c>
      <c r="G136">
        <f>IF($W136="","",IF(INDEX('Per Invoice'!G$2:G$801,$W136)="","",INDEX('Per Invoice'!G$2:G$801,$W136)))</f>
        <v/>
      </c>
      <c r="H136">
        <f>IF($W136="","",IF(INDEX('Per Invoice'!H$2:H$801,$W136)="","",INDEX('Per Invoice'!H$2:H$801,$W136)))</f>
        <v/>
      </c>
      <c r="I136">
        <f>IF($W136="","",IF(INDEX('Per Invoice'!I$2:I$801,$W136)="","",INDEX('Per Invoice'!I$2:I$801,$W136)))</f>
        <v/>
      </c>
      <c r="J136">
        <f>IF($W136="","",IF(INDEX('Per Invoice'!J$2:J$801,$W136)="","",INDEX('Per Invoice'!J$2:J$801,$W136)))</f>
        <v/>
      </c>
      <c r="K136" s="7">
        <f>IF($W136="","",IF(INDEX('Per Invoice'!K$2:K$801,$W136)="","",INDEX('Per Invoice'!K$2:K$801,$W136)))</f>
        <v/>
      </c>
      <c r="L136" s="14">
        <f>IF($W136="","",IF(INDEX('Per Invoice'!L$2:L$801,$W136)="","",INDEX('Per Invoice'!L$2:L$801,$W136)))</f>
        <v/>
      </c>
      <c r="M136">
        <f>IF($W136="","",IF(INDEX('Per Invoice'!M$2:M$801,$W136)="","",INDEX('Per Invoice'!M$2:M$801,$W136)))</f>
        <v/>
      </c>
      <c r="N136" s="7">
        <f>IF($W136="","",IF(INDEX('Per Invoice'!N$2:N$801,$W136)="","",INDEX('Per Invoice'!N$2:N$801,$W136)))</f>
        <v/>
      </c>
      <c r="O136" s="7">
        <f>IF($W136="","",IF(INDEX('Per Invoice'!O$2:O$801,$W136)="","",INDEX('Per Invoice'!O$2:O$801,$W136)))</f>
        <v/>
      </c>
      <c r="P136">
        <f>IF($W136="","",IF(INDEX('Per Invoice'!P$2:P$801,$W136)="","",INDEX('Per Invoice'!P$2:P$801,$W136)))</f>
        <v/>
      </c>
      <c r="Q136" s="7">
        <f>IF($W136="","",IF(INDEX('Per Invoice'!Q$2:Q$801,$W136)="","",INDEX('Per Invoice'!Q$2:Q$801,$W136)))</f>
        <v/>
      </c>
      <c r="R136" s="7">
        <f>IF($W136="","",IF(INDEX('Per Invoice'!R$2:R$801,$W136)="","",INDEX('Per Invoice'!R$2:R$801,$W136)))</f>
        <v/>
      </c>
      <c r="S136" s="7">
        <f>IF($W136="","",IF(INDEX('Per Invoice'!S$2:S$801,$W136)="","",INDEX('Per Invoice'!S$2:S$801,$W136)))</f>
        <v/>
      </c>
      <c r="T136" s="7">
        <f>IF($W136="","",IF(INDEX('Per Invoice'!T$2:T$801,$W136)="","",INDEX('Per Invoice'!T$2:T$801,$W136)))</f>
        <v/>
      </c>
      <c r="U136" s="7">
        <f>IF($W136="","",IF(INDEX('Per Invoice'!U$2:U$801,$W136)="","",INDEX('Per Invoice'!U$2:U$801,$W136)))</f>
        <v/>
      </c>
      <c r="V136" s="7">
        <f>IF($W136="","",IF(INDEX('Per Invoice'!V$2:V$801,$W136)="","",INDEX('Per Invoice'!V$2:V$801,$W136)))</f>
        <v/>
      </c>
      <c r="W136" s="16">
        <f>IFERROR(MATCH(Settings!$C$26&amp;"|"&amp;ROWS($W$2:$W136),'Per Invoice'!$X$2:$X$801,0),"")</f>
        <v/>
      </c>
    </row>
    <row r="137">
      <c r="A137">
        <f>IF($W137="","",IF(INDEX('Per Invoice'!A$2:A$801,$W137)="","",INDEX('Per Invoice'!A$2:A$801,$W137)))</f>
        <v/>
      </c>
      <c r="B137">
        <f>IF($W137="","",IF(INDEX('Per Invoice'!B$2:B$801,$W137)="","",INDEX('Per Invoice'!B$2:B$801,$W137)))</f>
        <v/>
      </c>
      <c r="C137">
        <f>IF($W137="","",IF(INDEX('Per Invoice'!C$2:C$801,$W137)="","",INDEX('Per Invoice'!C$2:C$801,$W137)))</f>
        <v/>
      </c>
      <c r="D137">
        <f>IF($W137="","",IF(INDEX('Per Invoice'!D$2:D$801,$W137)="","",INDEX('Per Invoice'!D$2:D$801,$W137)))</f>
        <v/>
      </c>
      <c r="E137">
        <f>IF($W137="","",IF(INDEX('Per Invoice'!E$2:E$801,$W137)="","",INDEX('Per Invoice'!E$2:E$801,$W137)))</f>
        <v/>
      </c>
      <c r="F137">
        <f>IF($W137="","",IF(INDEX('Per Invoice'!F$2:F$801,$W137)="","",INDEX('Per Invoice'!F$2:F$801,$W137)))</f>
        <v/>
      </c>
      <c r="G137">
        <f>IF($W137="","",IF(INDEX('Per Invoice'!G$2:G$801,$W137)="","",INDEX('Per Invoice'!G$2:G$801,$W137)))</f>
        <v/>
      </c>
      <c r="H137">
        <f>IF($W137="","",IF(INDEX('Per Invoice'!H$2:H$801,$W137)="","",INDEX('Per Invoice'!H$2:H$801,$W137)))</f>
        <v/>
      </c>
      <c r="I137">
        <f>IF($W137="","",IF(INDEX('Per Invoice'!I$2:I$801,$W137)="","",INDEX('Per Invoice'!I$2:I$801,$W137)))</f>
        <v/>
      </c>
      <c r="J137">
        <f>IF($W137="","",IF(INDEX('Per Invoice'!J$2:J$801,$W137)="","",INDEX('Per Invoice'!J$2:J$801,$W137)))</f>
        <v/>
      </c>
      <c r="K137" s="7">
        <f>IF($W137="","",IF(INDEX('Per Invoice'!K$2:K$801,$W137)="","",INDEX('Per Invoice'!K$2:K$801,$W137)))</f>
        <v/>
      </c>
      <c r="L137" s="14">
        <f>IF($W137="","",IF(INDEX('Per Invoice'!L$2:L$801,$W137)="","",INDEX('Per Invoice'!L$2:L$801,$W137)))</f>
        <v/>
      </c>
      <c r="M137">
        <f>IF($W137="","",IF(INDEX('Per Invoice'!M$2:M$801,$W137)="","",INDEX('Per Invoice'!M$2:M$801,$W137)))</f>
        <v/>
      </c>
      <c r="N137" s="7">
        <f>IF($W137="","",IF(INDEX('Per Invoice'!N$2:N$801,$W137)="","",INDEX('Per Invoice'!N$2:N$801,$W137)))</f>
        <v/>
      </c>
      <c r="O137" s="7">
        <f>IF($W137="","",IF(INDEX('Per Invoice'!O$2:O$801,$W137)="","",INDEX('Per Invoice'!O$2:O$801,$W137)))</f>
        <v/>
      </c>
      <c r="P137">
        <f>IF($W137="","",IF(INDEX('Per Invoice'!P$2:P$801,$W137)="","",INDEX('Per Invoice'!P$2:P$801,$W137)))</f>
        <v/>
      </c>
      <c r="Q137" s="7">
        <f>IF($W137="","",IF(INDEX('Per Invoice'!Q$2:Q$801,$W137)="","",INDEX('Per Invoice'!Q$2:Q$801,$W137)))</f>
        <v/>
      </c>
      <c r="R137" s="7">
        <f>IF($W137="","",IF(INDEX('Per Invoice'!R$2:R$801,$W137)="","",INDEX('Per Invoice'!R$2:R$801,$W137)))</f>
        <v/>
      </c>
      <c r="S137" s="7">
        <f>IF($W137="","",IF(INDEX('Per Invoice'!S$2:S$801,$W137)="","",INDEX('Per Invoice'!S$2:S$801,$W137)))</f>
        <v/>
      </c>
      <c r="T137" s="7">
        <f>IF($W137="","",IF(INDEX('Per Invoice'!T$2:T$801,$W137)="","",INDEX('Per Invoice'!T$2:T$801,$W137)))</f>
        <v/>
      </c>
      <c r="U137" s="7">
        <f>IF($W137="","",IF(INDEX('Per Invoice'!U$2:U$801,$W137)="","",INDEX('Per Invoice'!U$2:U$801,$W137)))</f>
        <v/>
      </c>
      <c r="V137" s="7">
        <f>IF($W137="","",IF(INDEX('Per Invoice'!V$2:V$801,$W137)="","",INDEX('Per Invoice'!V$2:V$801,$W137)))</f>
        <v/>
      </c>
      <c r="W137" s="16">
        <f>IFERROR(MATCH(Settings!$C$26&amp;"|"&amp;ROWS($W$2:$W137),'Per Invoice'!$X$2:$X$801,0),"")</f>
        <v/>
      </c>
    </row>
    <row r="138">
      <c r="A138">
        <f>IF($W138="","",IF(INDEX('Per Invoice'!A$2:A$801,$W138)="","",INDEX('Per Invoice'!A$2:A$801,$W138)))</f>
        <v/>
      </c>
      <c r="B138">
        <f>IF($W138="","",IF(INDEX('Per Invoice'!B$2:B$801,$W138)="","",INDEX('Per Invoice'!B$2:B$801,$W138)))</f>
        <v/>
      </c>
      <c r="C138">
        <f>IF($W138="","",IF(INDEX('Per Invoice'!C$2:C$801,$W138)="","",INDEX('Per Invoice'!C$2:C$801,$W138)))</f>
        <v/>
      </c>
      <c r="D138">
        <f>IF($W138="","",IF(INDEX('Per Invoice'!D$2:D$801,$W138)="","",INDEX('Per Invoice'!D$2:D$801,$W138)))</f>
        <v/>
      </c>
      <c r="E138">
        <f>IF($W138="","",IF(INDEX('Per Invoice'!E$2:E$801,$W138)="","",INDEX('Per Invoice'!E$2:E$801,$W138)))</f>
        <v/>
      </c>
      <c r="F138">
        <f>IF($W138="","",IF(INDEX('Per Invoice'!F$2:F$801,$W138)="","",INDEX('Per Invoice'!F$2:F$801,$W138)))</f>
        <v/>
      </c>
      <c r="G138">
        <f>IF($W138="","",IF(INDEX('Per Invoice'!G$2:G$801,$W138)="","",INDEX('Per Invoice'!G$2:G$801,$W138)))</f>
        <v/>
      </c>
      <c r="H138">
        <f>IF($W138="","",IF(INDEX('Per Invoice'!H$2:H$801,$W138)="","",INDEX('Per Invoice'!H$2:H$801,$W138)))</f>
        <v/>
      </c>
      <c r="I138">
        <f>IF($W138="","",IF(INDEX('Per Invoice'!I$2:I$801,$W138)="","",INDEX('Per Invoice'!I$2:I$801,$W138)))</f>
        <v/>
      </c>
      <c r="J138">
        <f>IF($W138="","",IF(INDEX('Per Invoice'!J$2:J$801,$W138)="","",INDEX('Per Invoice'!J$2:J$801,$W138)))</f>
        <v/>
      </c>
      <c r="K138" s="7">
        <f>IF($W138="","",IF(INDEX('Per Invoice'!K$2:K$801,$W138)="","",INDEX('Per Invoice'!K$2:K$801,$W138)))</f>
        <v/>
      </c>
      <c r="L138" s="14">
        <f>IF($W138="","",IF(INDEX('Per Invoice'!L$2:L$801,$W138)="","",INDEX('Per Invoice'!L$2:L$801,$W138)))</f>
        <v/>
      </c>
      <c r="M138">
        <f>IF($W138="","",IF(INDEX('Per Invoice'!M$2:M$801,$W138)="","",INDEX('Per Invoice'!M$2:M$801,$W138)))</f>
        <v/>
      </c>
      <c r="N138" s="7">
        <f>IF($W138="","",IF(INDEX('Per Invoice'!N$2:N$801,$W138)="","",INDEX('Per Invoice'!N$2:N$801,$W138)))</f>
        <v/>
      </c>
      <c r="O138" s="7">
        <f>IF($W138="","",IF(INDEX('Per Invoice'!O$2:O$801,$W138)="","",INDEX('Per Invoice'!O$2:O$801,$W138)))</f>
        <v/>
      </c>
      <c r="P138">
        <f>IF($W138="","",IF(INDEX('Per Invoice'!P$2:P$801,$W138)="","",INDEX('Per Invoice'!P$2:P$801,$W138)))</f>
        <v/>
      </c>
      <c r="Q138" s="7">
        <f>IF($W138="","",IF(INDEX('Per Invoice'!Q$2:Q$801,$W138)="","",INDEX('Per Invoice'!Q$2:Q$801,$W138)))</f>
        <v/>
      </c>
      <c r="R138" s="7">
        <f>IF($W138="","",IF(INDEX('Per Invoice'!R$2:R$801,$W138)="","",INDEX('Per Invoice'!R$2:R$801,$W138)))</f>
        <v/>
      </c>
      <c r="S138" s="7">
        <f>IF($W138="","",IF(INDEX('Per Invoice'!S$2:S$801,$W138)="","",INDEX('Per Invoice'!S$2:S$801,$W138)))</f>
        <v/>
      </c>
      <c r="T138" s="7">
        <f>IF($W138="","",IF(INDEX('Per Invoice'!T$2:T$801,$W138)="","",INDEX('Per Invoice'!T$2:T$801,$W138)))</f>
        <v/>
      </c>
      <c r="U138" s="7">
        <f>IF($W138="","",IF(INDEX('Per Invoice'!U$2:U$801,$W138)="","",INDEX('Per Invoice'!U$2:U$801,$W138)))</f>
        <v/>
      </c>
      <c r="V138" s="7">
        <f>IF($W138="","",IF(INDEX('Per Invoice'!V$2:V$801,$W138)="","",INDEX('Per Invoice'!V$2:V$801,$W138)))</f>
        <v/>
      </c>
      <c r="W138" s="16">
        <f>IFERROR(MATCH(Settings!$C$26&amp;"|"&amp;ROWS($W$2:$W138),'Per Invoice'!$X$2:$X$801,0),"")</f>
        <v/>
      </c>
    </row>
    <row r="139">
      <c r="A139">
        <f>IF($W139="","",IF(INDEX('Per Invoice'!A$2:A$801,$W139)="","",INDEX('Per Invoice'!A$2:A$801,$W139)))</f>
        <v/>
      </c>
      <c r="B139">
        <f>IF($W139="","",IF(INDEX('Per Invoice'!B$2:B$801,$W139)="","",INDEX('Per Invoice'!B$2:B$801,$W139)))</f>
        <v/>
      </c>
      <c r="C139">
        <f>IF($W139="","",IF(INDEX('Per Invoice'!C$2:C$801,$W139)="","",INDEX('Per Invoice'!C$2:C$801,$W139)))</f>
        <v/>
      </c>
      <c r="D139">
        <f>IF($W139="","",IF(INDEX('Per Invoice'!D$2:D$801,$W139)="","",INDEX('Per Invoice'!D$2:D$801,$W139)))</f>
        <v/>
      </c>
      <c r="E139">
        <f>IF($W139="","",IF(INDEX('Per Invoice'!E$2:E$801,$W139)="","",INDEX('Per Invoice'!E$2:E$801,$W139)))</f>
        <v/>
      </c>
      <c r="F139">
        <f>IF($W139="","",IF(INDEX('Per Invoice'!F$2:F$801,$W139)="","",INDEX('Per Invoice'!F$2:F$801,$W139)))</f>
        <v/>
      </c>
      <c r="G139">
        <f>IF($W139="","",IF(INDEX('Per Invoice'!G$2:G$801,$W139)="","",INDEX('Per Invoice'!G$2:G$801,$W139)))</f>
        <v/>
      </c>
      <c r="H139">
        <f>IF($W139="","",IF(INDEX('Per Invoice'!H$2:H$801,$W139)="","",INDEX('Per Invoice'!H$2:H$801,$W139)))</f>
        <v/>
      </c>
      <c r="I139">
        <f>IF($W139="","",IF(INDEX('Per Invoice'!I$2:I$801,$W139)="","",INDEX('Per Invoice'!I$2:I$801,$W139)))</f>
        <v/>
      </c>
      <c r="J139">
        <f>IF($W139="","",IF(INDEX('Per Invoice'!J$2:J$801,$W139)="","",INDEX('Per Invoice'!J$2:J$801,$W139)))</f>
        <v/>
      </c>
      <c r="K139" s="7">
        <f>IF($W139="","",IF(INDEX('Per Invoice'!K$2:K$801,$W139)="","",INDEX('Per Invoice'!K$2:K$801,$W139)))</f>
        <v/>
      </c>
      <c r="L139" s="14">
        <f>IF($W139="","",IF(INDEX('Per Invoice'!L$2:L$801,$W139)="","",INDEX('Per Invoice'!L$2:L$801,$W139)))</f>
        <v/>
      </c>
      <c r="M139">
        <f>IF($W139="","",IF(INDEX('Per Invoice'!M$2:M$801,$W139)="","",INDEX('Per Invoice'!M$2:M$801,$W139)))</f>
        <v/>
      </c>
      <c r="N139" s="7">
        <f>IF($W139="","",IF(INDEX('Per Invoice'!N$2:N$801,$W139)="","",INDEX('Per Invoice'!N$2:N$801,$W139)))</f>
        <v/>
      </c>
      <c r="O139" s="7">
        <f>IF($W139="","",IF(INDEX('Per Invoice'!O$2:O$801,$W139)="","",INDEX('Per Invoice'!O$2:O$801,$W139)))</f>
        <v/>
      </c>
      <c r="P139">
        <f>IF($W139="","",IF(INDEX('Per Invoice'!P$2:P$801,$W139)="","",INDEX('Per Invoice'!P$2:P$801,$W139)))</f>
        <v/>
      </c>
      <c r="Q139" s="7">
        <f>IF($W139="","",IF(INDEX('Per Invoice'!Q$2:Q$801,$W139)="","",INDEX('Per Invoice'!Q$2:Q$801,$W139)))</f>
        <v/>
      </c>
      <c r="R139" s="7">
        <f>IF($W139="","",IF(INDEX('Per Invoice'!R$2:R$801,$W139)="","",INDEX('Per Invoice'!R$2:R$801,$W139)))</f>
        <v/>
      </c>
      <c r="S139" s="7">
        <f>IF($W139="","",IF(INDEX('Per Invoice'!S$2:S$801,$W139)="","",INDEX('Per Invoice'!S$2:S$801,$W139)))</f>
        <v/>
      </c>
      <c r="T139" s="7">
        <f>IF($W139="","",IF(INDEX('Per Invoice'!T$2:T$801,$W139)="","",INDEX('Per Invoice'!T$2:T$801,$W139)))</f>
        <v/>
      </c>
      <c r="U139" s="7">
        <f>IF($W139="","",IF(INDEX('Per Invoice'!U$2:U$801,$W139)="","",INDEX('Per Invoice'!U$2:U$801,$W139)))</f>
        <v/>
      </c>
      <c r="V139" s="7">
        <f>IF($W139="","",IF(INDEX('Per Invoice'!V$2:V$801,$W139)="","",INDEX('Per Invoice'!V$2:V$801,$W139)))</f>
        <v/>
      </c>
      <c r="W139" s="16">
        <f>IFERROR(MATCH(Settings!$C$26&amp;"|"&amp;ROWS($W$2:$W139),'Per Invoice'!$X$2:$X$801,0),"")</f>
        <v/>
      </c>
    </row>
    <row r="140">
      <c r="A140">
        <f>IF($W140="","",IF(INDEX('Per Invoice'!A$2:A$801,$W140)="","",INDEX('Per Invoice'!A$2:A$801,$W140)))</f>
        <v/>
      </c>
      <c r="B140">
        <f>IF($W140="","",IF(INDEX('Per Invoice'!B$2:B$801,$W140)="","",INDEX('Per Invoice'!B$2:B$801,$W140)))</f>
        <v/>
      </c>
      <c r="C140">
        <f>IF($W140="","",IF(INDEX('Per Invoice'!C$2:C$801,$W140)="","",INDEX('Per Invoice'!C$2:C$801,$W140)))</f>
        <v/>
      </c>
      <c r="D140">
        <f>IF($W140="","",IF(INDEX('Per Invoice'!D$2:D$801,$W140)="","",INDEX('Per Invoice'!D$2:D$801,$W140)))</f>
        <v/>
      </c>
      <c r="E140">
        <f>IF($W140="","",IF(INDEX('Per Invoice'!E$2:E$801,$W140)="","",INDEX('Per Invoice'!E$2:E$801,$W140)))</f>
        <v/>
      </c>
      <c r="F140">
        <f>IF($W140="","",IF(INDEX('Per Invoice'!F$2:F$801,$W140)="","",INDEX('Per Invoice'!F$2:F$801,$W140)))</f>
        <v/>
      </c>
      <c r="G140">
        <f>IF($W140="","",IF(INDEX('Per Invoice'!G$2:G$801,$W140)="","",INDEX('Per Invoice'!G$2:G$801,$W140)))</f>
        <v/>
      </c>
      <c r="H140">
        <f>IF($W140="","",IF(INDEX('Per Invoice'!H$2:H$801,$W140)="","",INDEX('Per Invoice'!H$2:H$801,$W140)))</f>
        <v/>
      </c>
      <c r="I140">
        <f>IF($W140="","",IF(INDEX('Per Invoice'!I$2:I$801,$W140)="","",INDEX('Per Invoice'!I$2:I$801,$W140)))</f>
        <v/>
      </c>
      <c r="J140">
        <f>IF($W140="","",IF(INDEX('Per Invoice'!J$2:J$801,$W140)="","",INDEX('Per Invoice'!J$2:J$801,$W140)))</f>
        <v/>
      </c>
      <c r="K140" s="7">
        <f>IF($W140="","",IF(INDEX('Per Invoice'!K$2:K$801,$W140)="","",INDEX('Per Invoice'!K$2:K$801,$W140)))</f>
        <v/>
      </c>
      <c r="L140" s="14">
        <f>IF($W140="","",IF(INDEX('Per Invoice'!L$2:L$801,$W140)="","",INDEX('Per Invoice'!L$2:L$801,$W140)))</f>
        <v/>
      </c>
      <c r="M140">
        <f>IF($W140="","",IF(INDEX('Per Invoice'!M$2:M$801,$W140)="","",INDEX('Per Invoice'!M$2:M$801,$W140)))</f>
        <v/>
      </c>
      <c r="N140" s="7">
        <f>IF($W140="","",IF(INDEX('Per Invoice'!N$2:N$801,$W140)="","",INDEX('Per Invoice'!N$2:N$801,$W140)))</f>
        <v/>
      </c>
      <c r="O140" s="7">
        <f>IF($W140="","",IF(INDEX('Per Invoice'!O$2:O$801,$W140)="","",INDEX('Per Invoice'!O$2:O$801,$W140)))</f>
        <v/>
      </c>
      <c r="P140">
        <f>IF($W140="","",IF(INDEX('Per Invoice'!P$2:P$801,$W140)="","",INDEX('Per Invoice'!P$2:P$801,$W140)))</f>
        <v/>
      </c>
      <c r="Q140" s="7">
        <f>IF($W140="","",IF(INDEX('Per Invoice'!Q$2:Q$801,$W140)="","",INDEX('Per Invoice'!Q$2:Q$801,$W140)))</f>
        <v/>
      </c>
      <c r="R140" s="7">
        <f>IF($W140="","",IF(INDEX('Per Invoice'!R$2:R$801,$W140)="","",INDEX('Per Invoice'!R$2:R$801,$W140)))</f>
        <v/>
      </c>
      <c r="S140" s="7">
        <f>IF($W140="","",IF(INDEX('Per Invoice'!S$2:S$801,$W140)="","",INDEX('Per Invoice'!S$2:S$801,$W140)))</f>
        <v/>
      </c>
      <c r="T140" s="7">
        <f>IF($W140="","",IF(INDEX('Per Invoice'!T$2:T$801,$W140)="","",INDEX('Per Invoice'!T$2:T$801,$W140)))</f>
        <v/>
      </c>
      <c r="U140" s="7">
        <f>IF($W140="","",IF(INDEX('Per Invoice'!U$2:U$801,$W140)="","",INDEX('Per Invoice'!U$2:U$801,$W140)))</f>
        <v/>
      </c>
      <c r="V140" s="7">
        <f>IF($W140="","",IF(INDEX('Per Invoice'!V$2:V$801,$W140)="","",INDEX('Per Invoice'!V$2:V$801,$W140)))</f>
        <v/>
      </c>
      <c r="W140" s="16">
        <f>IFERROR(MATCH(Settings!$C$26&amp;"|"&amp;ROWS($W$2:$W140),'Per Invoice'!$X$2:$X$801,0),"")</f>
        <v/>
      </c>
    </row>
    <row r="141">
      <c r="A141">
        <f>IF($W141="","",IF(INDEX('Per Invoice'!A$2:A$801,$W141)="","",INDEX('Per Invoice'!A$2:A$801,$W141)))</f>
        <v/>
      </c>
      <c r="B141">
        <f>IF($W141="","",IF(INDEX('Per Invoice'!B$2:B$801,$W141)="","",INDEX('Per Invoice'!B$2:B$801,$W141)))</f>
        <v/>
      </c>
      <c r="C141">
        <f>IF($W141="","",IF(INDEX('Per Invoice'!C$2:C$801,$W141)="","",INDEX('Per Invoice'!C$2:C$801,$W141)))</f>
        <v/>
      </c>
      <c r="D141">
        <f>IF($W141="","",IF(INDEX('Per Invoice'!D$2:D$801,$W141)="","",INDEX('Per Invoice'!D$2:D$801,$W141)))</f>
        <v/>
      </c>
      <c r="E141">
        <f>IF($W141="","",IF(INDEX('Per Invoice'!E$2:E$801,$W141)="","",INDEX('Per Invoice'!E$2:E$801,$W141)))</f>
        <v/>
      </c>
      <c r="F141">
        <f>IF($W141="","",IF(INDEX('Per Invoice'!F$2:F$801,$W141)="","",INDEX('Per Invoice'!F$2:F$801,$W141)))</f>
        <v/>
      </c>
      <c r="G141">
        <f>IF($W141="","",IF(INDEX('Per Invoice'!G$2:G$801,$W141)="","",INDEX('Per Invoice'!G$2:G$801,$W141)))</f>
        <v/>
      </c>
      <c r="H141">
        <f>IF($W141="","",IF(INDEX('Per Invoice'!H$2:H$801,$W141)="","",INDEX('Per Invoice'!H$2:H$801,$W141)))</f>
        <v/>
      </c>
      <c r="I141">
        <f>IF($W141="","",IF(INDEX('Per Invoice'!I$2:I$801,$W141)="","",INDEX('Per Invoice'!I$2:I$801,$W141)))</f>
        <v/>
      </c>
      <c r="J141">
        <f>IF($W141="","",IF(INDEX('Per Invoice'!J$2:J$801,$W141)="","",INDEX('Per Invoice'!J$2:J$801,$W141)))</f>
        <v/>
      </c>
      <c r="K141" s="7">
        <f>IF($W141="","",IF(INDEX('Per Invoice'!K$2:K$801,$W141)="","",INDEX('Per Invoice'!K$2:K$801,$W141)))</f>
        <v/>
      </c>
      <c r="L141" s="14">
        <f>IF($W141="","",IF(INDEX('Per Invoice'!L$2:L$801,$W141)="","",INDEX('Per Invoice'!L$2:L$801,$W141)))</f>
        <v/>
      </c>
      <c r="M141">
        <f>IF($W141="","",IF(INDEX('Per Invoice'!M$2:M$801,$W141)="","",INDEX('Per Invoice'!M$2:M$801,$W141)))</f>
        <v/>
      </c>
      <c r="N141" s="7">
        <f>IF($W141="","",IF(INDEX('Per Invoice'!N$2:N$801,$W141)="","",INDEX('Per Invoice'!N$2:N$801,$W141)))</f>
        <v/>
      </c>
      <c r="O141" s="7">
        <f>IF($W141="","",IF(INDEX('Per Invoice'!O$2:O$801,$W141)="","",INDEX('Per Invoice'!O$2:O$801,$W141)))</f>
        <v/>
      </c>
      <c r="P141">
        <f>IF($W141="","",IF(INDEX('Per Invoice'!P$2:P$801,$W141)="","",INDEX('Per Invoice'!P$2:P$801,$W141)))</f>
        <v/>
      </c>
      <c r="Q141" s="7">
        <f>IF($W141="","",IF(INDEX('Per Invoice'!Q$2:Q$801,$W141)="","",INDEX('Per Invoice'!Q$2:Q$801,$W141)))</f>
        <v/>
      </c>
      <c r="R141" s="7">
        <f>IF($W141="","",IF(INDEX('Per Invoice'!R$2:R$801,$W141)="","",INDEX('Per Invoice'!R$2:R$801,$W141)))</f>
        <v/>
      </c>
      <c r="S141" s="7">
        <f>IF($W141="","",IF(INDEX('Per Invoice'!S$2:S$801,$W141)="","",INDEX('Per Invoice'!S$2:S$801,$W141)))</f>
        <v/>
      </c>
      <c r="T141" s="7">
        <f>IF($W141="","",IF(INDEX('Per Invoice'!T$2:T$801,$W141)="","",INDEX('Per Invoice'!T$2:T$801,$W141)))</f>
        <v/>
      </c>
      <c r="U141" s="7">
        <f>IF($W141="","",IF(INDEX('Per Invoice'!U$2:U$801,$W141)="","",INDEX('Per Invoice'!U$2:U$801,$W141)))</f>
        <v/>
      </c>
      <c r="V141" s="7">
        <f>IF($W141="","",IF(INDEX('Per Invoice'!V$2:V$801,$W141)="","",INDEX('Per Invoice'!V$2:V$801,$W141)))</f>
        <v/>
      </c>
      <c r="W141" s="16">
        <f>IFERROR(MATCH(Settings!$C$26&amp;"|"&amp;ROWS($W$2:$W141),'Per Invoice'!$X$2:$X$801,0),"")</f>
        <v/>
      </c>
    </row>
    <row r="142">
      <c r="A142">
        <f>IF($W142="","",IF(INDEX('Per Invoice'!A$2:A$801,$W142)="","",INDEX('Per Invoice'!A$2:A$801,$W142)))</f>
        <v/>
      </c>
      <c r="B142">
        <f>IF($W142="","",IF(INDEX('Per Invoice'!B$2:B$801,$W142)="","",INDEX('Per Invoice'!B$2:B$801,$W142)))</f>
        <v/>
      </c>
      <c r="C142">
        <f>IF($W142="","",IF(INDEX('Per Invoice'!C$2:C$801,$W142)="","",INDEX('Per Invoice'!C$2:C$801,$W142)))</f>
        <v/>
      </c>
      <c r="D142">
        <f>IF($W142="","",IF(INDEX('Per Invoice'!D$2:D$801,$W142)="","",INDEX('Per Invoice'!D$2:D$801,$W142)))</f>
        <v/>
      </c>
      <c r="E142">
        <f>IF($W142="","",IF(INDEX('Per Invoice'!E$2:E$801,$W142)="","",INDEX('Per Invoice'!E$2:E$801,$W142)))</f>
        <v/>
      </c>
      <c r="F142">
        <f>IF($W142="","",IF(INDEX('Per Invoice'!F$2:F$801,$W142)="","",INDEX('Per Invoice'!F$2:F$801,$W142)))</f>
        <v/>
      </c>
      <c r="G142">
        <f>IF($W142="","",IF(INDEX('Per Invoice'!G$2:G$801,$W142)="","",INDEX('Per Invoice'!G$2:G$801,$W142)))</f>
        <v/>
      </c>
      <c r="H142">
        <f>IF($W142="","",IF(INDEX('Per Invoice'!H$2:H$801,$W142)="","",INDEX('Per Invoice'!H$2:H$801,$W142)))</f>
        <v/>
      </c>
      <c r="I142">
        <f>IF($W142="","",IF(INDEX('Per Invoice'!I$2:I$801,$W142)="","",INDEX('Per Invoice'!I$2:I$801,$W142)))</f>
        <v/>
      </c>
      <c r="J142">
        <f>IF($W142="","",IF(INDEX('Per Invoice'!J$2:J$801,$W142)="","",INDEX('Per Invoice'!J$2:J$801,$W142)))</f>
        <v/>
      </c>
      <c r="K142" s="7">
        <f>IF($W142="","",IF(INDEX('Per Invoice'!K$2:K$801,$W142)="","",INDEX('Per Invoice'!K$2:K$801,$W142)))</f>
        <v/>
      </c>
      <c r="L142" s="14">
        <f>IF($W142="","",IF(INDEX('Per Invoice'!L$2:L$801,$W142)="","",INDEX('Per Invoice'!L$2:L$801,$W142)))</f>
        <v/>
      </c>
      <c r="M142">
        <f>IF($W142="","",IF(INDEX('Per Invoice'!M$2:M$801,$W142)="","",INDEX('Per Invoice'!M$2:M$801,$W142)))</f>
        <v/>
      </c>
      <c r="N142" s="7">
        <f>IF($W142="","",IF(INDEX('Per Invoice'!N$2:N$801,$W142)="","",INDEX('Per Invoice'!N$2:N$801,$W142)))</f>
        <v/>
      </c>
      <c r="O142" s="7">
        <f>IF($W142="","",IF(INDEX('Per Invoice'!O$2:O$801,$W142)="","",INDEX('Per Invoice'!O$2:O$801,$W142)))</f>
        <v/>
      </c>
      <c r="P142">
        <f>IF($W142="","",IF(INDEX('Per Invoice'!P$2:P$801,$W142)="","",INDEX('Per Invoice'!P$2:P$801,$W142)))</f>
        <v/>
      </c>
      <c r="Q142" s="7">
        <f>IF($W142="","",IF(INDEX('Per Invoice'!Q$2:Q$801,$W142)="","",INDEX('Per Invoice'!Q$2:Q$801,$W142)))</f>
        <v/>
      </c>
      <c r="R142" s="7">
        <f>IF($W142="","",IF(INDEX('Per Invoice'!R$2:R$801,$W142)="","",INDEX('Per Invoice'!R$2:R$801,$W142)))</f>
        <v/>
      </c>
      <c r="S142" s="7">
        <f>IF($W142="","",IF(INDEX('Per Invoice'!S$2:S$801,$W142)="","",INDEX('Per Invoice'!S$2:S$801,$W142)))</f>
        <v/>
      </c>
      <c r="T142" s="7">
        <f>IF($W142="","",IF(INDEX('Per Invoice'!T$2:T$801,$W142)="","",INDEX('Per Invoice'!T$2:T$801,$W142)))</f>
        <v/>
      </c>
      <c r="U142" s="7">
        <f>IF($W142="","",IF(INDEX('Per Invoice'!U$2:U$801,$W142)="","",INDEX('Per Invoice'!U$2:U$801,$W142)))</f>
        <v/>
      </c>
      <c r="V142" s="7">
        <f>IF($W142="","",IF(INDEX('Per Invoice'!V$2:V$801,$W142)="","",INDEX('Per Invoice'!V$2:V$801,$W142)))</f>
        <v/>
      </c>
      <c r="W142" s="16">
        <f>IFERROR(MATCH(Settings!$C$26&amp;"|"&amp;ROWS($W$2:$W142),'Per Invoice'!$X$2:$X$801,0),"")</f>
        <v/>
      </c>
    </row>
    <row r="143">
      <c r="A143">
        <f>IF($W143="","",IF(INDEX('Per Invoice'!A$2:A$801,$W143)="","",INDEX('Per Invoice'!A$2:A$801,$W143)))</f>
        <v/>
      </c>
      <c r="B143">
        <f>IF($W143="","",IF(INDEX('Per Invoice'!B$2:B$801,$W143)="","",INDEX('Per Invoice'!B$2:B$801,$W143)))</f>
        <v/>
      </c>
      <c r="C143">
        <f>IF($W143="","",IF(INDEX('Per Invoice'!C$2:C$801,$W143)="","",INDEX('Per Invoice'!C$2:C$801,$W143)))</f>
        <v/>
      </c>
      <c r="D143">
        <f>IF($W143="","",IF(INDEX('Per Invoice'!D$2:D$801,$W143)="","",INDEX('Per Invoice'!D$2:D$801,$W143)))</f>
        <v/>
      </c>
      <c r="E143">
        <f>IF($W143="","",IF(INDEX('Per Invoice'!E$2:E$801,$W143)="","",INDEX('Per Invoice'!E$2:E$801,$W143)))</f>
        <v/>
      </c>
      <c r="F143">
        <f>IF($W143="","",IF(INDEX('Per Invoice'!F$2:F$801,$W143)="","",INDEX('Per Invoice'!F$2:F$801,$W143)))</f>
        <v/>
      </c>
      <c r="G143">
        <f>IF($W143="","",IF(INDEX('Per Invoice'!G$2:G$801,$W143)="","",INDEX('Per Invoice'!G$2:G$801,$W143)))</f>
        <v/>
      </c>
      <c r="H143">
        <f>IF($W143="","",IF(INDEX('Per Invoice'!H$2:H$801,$W143)="","",INDEX('Per Invoice'!H$2:H$801,$W143)))</f>
        <v/>
      </c>
      <c r="I143">
        <f>IF($W143="","",IF(INDEX('Per Invoice'!I$2:I$801,$W143)="","",INDEX('Per Invoice'!I$2:I$801,$W143)))</f>
        <v/>
      </c>
      <c r="J143">
        <f>IF($W143="","",IF(INDEX('Per Invoice'!J$2:J$801,$W143)="","",INDEX('Per Invoice'!J$2:J$801,$W143)))</f>
        <v/>
      </c>
      <c r="K143" s="7">
        <f>IF($W143="","",IF(INDEX('Per Invoice'!K$2:K$801,$W143)="","",INDEX('Per Invoice'!K$2:K$801,$W143)))</f>
        <v/>
      </c>
      <c r="L143" s="14">
        <f>IF($W143="","",IF(INDEX('Per Invoice'!L$2:L$801,$W143)="","",INDEX('Per Invoice'!L$2:L$801,$W143)))</f>
        <v/>
      </c>
      <c r="M143">
        <f>IF($W143="","",IF(INDEX('Per Invoice'!M$2:M$801,$W143)="","",INDEX('Per Invoice'!M$2:M$801,$W143)))</f>
        <v/>
      </c>
      <c r="N143" s="7">
        <f>IF($W143="","",IF(INDEX('Per Invoice'!N$2:N$801,$W143)="","",INDEX('Per Invoice'!N$2:N$801,$W143)))</f>
        <v/>
      </c>
      <c r="O143" s="7">
        <f>IF($W143="","",IF(INDEX('Per Invoice'!O$2:O$801,$W143)="","",INDEX('Per Invoice'!O$2:O$801,$W143)))</f>
        <v/>
      </c>
      <c r="P143">
        <f>IF($W143="","",IF(INDEX('Per Invoice'!P$2:P$801,$W143)="","",INDEX('Per Invoice'!P$2:P$801,$W143)))</f>
        <v/>
      </c>
      <c r="Q143" s="7">
        <f>IF($W143="","",IF(INDEX('Per Invoice'!Q$2:Q$801,$W143)="","",INDEX('Per Invoice'!Q$2:Q$801,$W143)))</f>
        <v/>
      </c>
      <c r="R143" s="7">
        <f>IF($W143="","",IF(INDEX('Per Invoice'!R$2:R$801,$W143)="","",INDEX('Per Invoice'!R$2:R$801,$W143)))</f>
        <v/>
      </c>
      <c r="S143" s="7">
        <f>IF($W143="","",IF(INDEX('Per Invoice'!S$2:S$801,$W143)="","",INDEX('Per Invoice'!S$2:S$801,$W143)))</f>
        <v/>
      </c>
      <c r="T143" s="7">
        <f>IF($W143="","",IF(INDEX('Per Invoice'!T$2:T$801,$W143)="","",INDEX('Per Invoice'!T$2:T$801,$W143)))</f>
        <v/>
      </c>
      <c r="U143" s="7">
        <f>IF($W143="","",IF(INDEX('Per Invoice'!U$2:U$801,$W143)="","",INDEX('Per Invoice'!U$2:U$801,$W143)))</f>
        <v/>
      </c>
      <c r="V143" s="7">
        <f>IF($W143="","",IF(INDEX('Per Invoice'!V$2:V$801,$W143)="","",INDEX('Per Invoice'!V$2:V$801,$W143)))</f>
        <v/>
      </c>
      <c r="W143" s="16">
        <f>IFERROR(MATCH(Settings!$C$26&amp;"|"&amp;ROWS($W$2:$W143),'Per Invoice'!$X$2:$X$801,0),"")</f>
        <v/>
      </c>
    </row>
    <row r="144">
      <c r="A144">
        <f>IF($W144="","",IF(INDEX('Per Invoice'!A$2:A$801,$W144)="","",INDEX('Per Invoice'!A$2:A$801,$W144)))</f>
        <v/>
      </c>
      <c r="B144">
        <f>IF($W144="","",IF(INDEX('Per Invoice'!B$2:B$801,$W144)="","",INDEX('Per Invoice'!B$2:B$801,$W144)))</f>
        <v/>
      </c>
      <c r="C144">
        <f>IF($W144="","",IF(INDEX('Per Invoice'!C$2:C$801,$W144)="","",INDEX('Per Invoice'!C$2:C$801,$W144)))</f>
        <v/>
      </c>
      <c r="D144">
        <f>IF($W144="","",IF(INDEX('Per Invoice'!D$2:D$801,$W144)="","",INDEX('Per Invoice'!D$2:D$801,$W144)))</f>
        <v/>
      </c>
      <c r="E144">
        <f>IF($W144="","",IF(INDEX('Per Invoice'!E$2:E$801,$W144)="","",INDEX('Per Invoice'!E$2:E$801,$W144)))</f>
        <v/>
      </c>
      <c r="F144">
        <f>IF($W144="","",IF(INDEX('Per Invoice'!F$2:F$801,$W144)="","",INDEX('Per Invoice'!F$2:F$801,$W144)))</f>
        <v/>
      </c>
      <c r="G144">
        <f>IF($W144="","",IF(INDEX('Per Invoice'!G$2:G$801,$W144)="","",INDEX('Per Invoice'!G$2:G$801,$W144)))</f>
        <v/>
      </c>
      <c r="H144">
        <f>IF($W144="","",IF(INDEX('Per Invoice'!H$2:H$801,$W144)="","",INDEX('Per Invoice'!H$2:H$801,$W144)))</f>
        <v/>
      </c>
      <c r="I144">
        <f>IF($W144="","",IF(INDEX('Per Invoice'!I$2:I$801,$W144)="","",INDEX('Per Invoice'!I$2:I$801,$W144)))</f>
        <v/>
      </c>
      <c r="J144">
        <f>IF($W144="","",IF(INDEX('Per Invoice'!J$2:J$801,$W144)="","",INDEX('Per Invoice'!J$2:J$801,$W144)))</f>
        <v/>
      </c>
      <c r="K144" s="7">
        <f>IF($W144="","",IF(INDEX('Per Invoice'!K$2:K$801,$W144)="","",INDEX('Per Invoice'!K$2:K$801,$W144)))</f>
        <v/>
      </c>
      <c r="L144" s="14">
        <f>IF($W144="","",IF(INDEX('Per Invoice'!L$2:L$801,$W144)="","",INDEX('Per Invoice'!L$2:L$801,$W144)))</f>
        <v/>
      </c>
      <c r="M144">
        <f>IF($W144="","",IF(INDEX('Per Invoice'!M$2:M$801,$W144)="","",INDEX('Per Invoice'!M$2:M$801,$W144)))</f>
        <v/>
      </c>
      <c r="N144" s="7">
        <f>IF($W144="","",IF(INDEX('Per Invoice'!N$2:N$801,$W144)="","",INDEX('Per Invoice'!N$2:N$801,$W144)))</f>
        <v/>
      </c>
      <c r="O144" s="7">
        <f>IF($W144="","",IF(INDEX('Per Invoice'!O$2:O$801,$W144)="","",INDEX('Per Invoice'!O$2:O$801,$W144)))</f>
        <v/>
      </c>
      <c r="P144">
        <f>IF($W144="","",IF(INDEX('Per Invoice'!P$2:P$801,$W144)="","",INDEX('Per Invoice'!P$2:P$801,$W144)))</f>
        <v/>
      </c>
      <c r="Q144" s="7">
        <f>IF($W144="","",IF(INDEX('Per Invoice'!Q$2:Q$801,$W144)="","",INDEX('Per Invoice'!Q$2:Q$801,$W144)))</f>
        <v/>
      </c>
      <c r="R144" s="7">
        <f>IF($W144="","",IF(INDEX('Per Invoice'!R$2:R$801,$W144)="","",INDEX('Per Invoice'!R$2:R$801,$W144)))</f>
        <v/>
      </c>
      <c r="S144" s="7">
        <f>IF($W144="","",IF(INDEX('Per Invoice'!S$2:S$801,$W144)="","",INDEX('Per Invoice'!S$2:S$801,$W144)))</f>
        <v/>
      </c>
      <c r="T144" s="7">
        <f>IF($W144="","",IF(INDEX('Per Invoice'!T$2:T$801,$W144)="","",INDEX('Per Invoice'!T$2:T$801,$W144)))</f>
        <v/>
      </c>
      <c r="U144" s="7">
        <f>IF($W144="","",IF(INDEX('Per Invoice'!U$2:U$801,$W144)="","",INDEX('Per Invoice'!U$2:U$801,$W144)))</f>
        <v/>
      </c>
      <c r="V144" s="7">
        <f>IF($W144="","",IF(INDEX('Per Invoice'!V$2:V$801,$W144)="","",INDEX('Per Invoice'!V$2:V$801,$W144)))</f>
        <v/>
      </c>
      <c r="W144" s="16">
        <f>IFERROR(MATCH(Settings!$C$26&amp;"|"&amp;ROWS($W$2:$W144),'Per Invoice'!$X$2:$X$801,0),"")</f>
        <v/>
      </c>
    </row>
    <row r="145">
      <c r="A145">
        <f>IF($W145="","",IF(INDEX('Per Invoice'!A$2:A$801,$W145)="","",INDEX('Per Invoice'!A$2:A$801,$W145)))</f>
        <v/>
      </c>
      <c r="B145">
        <f>IF($W145="","",IF(INDEX('Per Invoice'!B$2:B$801,$W145)="","",INDEX('Per Invoice'!B$2:B$801,$W145)))</f>
        <v/>
      </c>
      <c r="C145">
        <f>IF($W145="","",IF(INDEX('Per Invoice'!C$2:C$801,$W145)="","",INDEX('Per Invoice'!C$2:C$801,$W145)))</f>
        <v/>
      </c>
      <c r="D145">
        <f>IF($W145="","",IF(INDEX('Per Invoice'!D$2:D$801,$W145)="","",INDEX('Per Invoice'!D$2:D$801,$W145)))</f>
        <v/>
      </c>
      <c r="E145">
        <f>IF($W145="","",IF(INDEX('Per Invoice'!E$2:E$801,$W145)="","",INDEX('Per Invoice'!E$2:E$801,$W145)))</f>
        <v/>
      </c>
      <c r="F145">
        <f>IF($W145="","",IF(INDEX('Per Invoice'!F$2:F$801,$W145)="","",INDEX('Per Invoice'!F$2:F$801,$W145)))</f>
        <v/>
      </c>
      <c r="G145">
        <f>IF($W145="","",IF(INDEX('Per Invoice'!G$2:G$801,$W145)="","",INDEX('Per Invoice'!G$2:G$801,$W145)))</f>
        <v/>
      </c>
      <c r="H145">
        <f>IF($W145="","",IF(INDEX('Per Invoice'!H$2:H$801,$W145)="","",INDEX('Per Invoice'!H$2:H$801,$W145)))</f>
        <v/>
      </c>
      <c r="I145">
        <f>IF($W145="","",IF(INDEX('Per Invoice'!I$2:I$801,$W145)="","",INDEX('Per Invoice'!I$2:I$801,$W145)))</f>
        <v/>
      </c>
      <c r="J145">
        <f>IF($W145="","",IF(INDEX('Per Invoice'!J$2:J$801,$W145)="","",INDEX('Per Invoice'!J$2:J$801,$W145)))</f>
        <v/>
      </c>
      <c r="K145" s="7">
        <f>IF($W145="","",IF(INDEX('Per Invoice'!K$2:K$801,$W145)="","",INDEX('Per Invoice'!K$2:K$801,$W145)))</f>
        <v/>
      </c>
      <c r="L145" s="14">
        <f>IF($W145="","",IF(INDEX('Per Invoice'!L$2:L$801,$W145)="","",INDEX('Per Invoice'!L$2:L$801,$W145)))</f>
        <v/>
      </c>
      <c r="M145">
        <f>IF($W145="","",IF(INDEX('Per Invoice'!M$2:M$801,$W145)="","",INDEX('Per Invoice'!M$2:M$801,$W145)))</f>
        <v/>
      </c>
      <c r="N145" s="7">
        <f>IF($W145="","",IF(INDEX('Per Invoice'!N$2:N$801,$W145)="","",INDEX('Per Invoice'!N$2:N$801,$W145)))</f>
        <v/>
      </c>
      <c r="O145" s="7">
        <f>IF($W145="","",IF(INDEX('Per Invoice'!O$2:O$801,$W145)="","",INDEX('Per Invoice'!O$2:O$801,$W145)))</f>
        <v/>
      </c>
      <c r="P145">
        <f>IF($W145="","",IF(INDEX('Per Invoice'!P$2:P$801,$W145)="","",INDEX('Per Invoice'!P$2:P$801,$W145)))</f>
        <v/>
      </c>
      <c r="Q145" s="7">
        <f>IF($W145="","",IF(INDEX('Per Invoice'!Q$2:Q$801,$W145)="","",INDEX('Per Invoice'!Q$2:Q$801,$W145)))</f>
        <v/>
      </c>
      <c r="R145" s="7">
        <f>IF($W145="","",IF(INDEX('Per Invoice'!R$2:R$801,$W145)="","",INDEX('Per Invoice'!R$2:R$801,$W145)))</f>
        <v/>
      </c>
      <c r="S145" s="7">
        <f>IF($W145="","",IF(INDEX('Per Invoice'!S$2:S$801,$W145)="","",INDEX('Per Invoice'!S$2:S$801,$W145)))</f>
        <v/>
      </c>
      <c r="T145" s="7">
        <f>IF($W145="","",IF(INDEX('Per Invoice'!T$2:T$801,$W145)="","",INDEX('Per Invoice'!T$2:T$801,$W145)))</f>
        <v/>
      </c>
      <c r="U145" s="7">
        <f>IF($W145="","",IF(INDEX('Per Invoice'!U$2:U$801,$W145)="","",INDEX('Per Invoice'!U$2:U$801,$W145)))</f>
        <v/>
      </c>
      <c r="V145" s="7">
        <f>IF($W145="","",IF(INDEX('Per Invoice'!V$2:V$801,$W145)="","",INDEX('Per Invoice'!V$2:V$801,$W145)))</f>
        <v/>
      </c>
      <c r="W145" s="16">
        <f>IFERROR(MATCH(Settings!$C$26&amp;"|"&amp;ROWS($W$2:$W145),'Per Invoice'!$X$2:$X$801,0),"")</f>
        <v/>
      </c>
    </row>
    <row r="146">
      <c r="A146">
        <f>IF($W146="","",IF(INDEX('Per Invoice'!A$2:A$801,$W146)="","",INDEX('Per Invoice'!A$2:A$801,$W146)))</f>
        <v/>
      </c>
      <c r="B146">
        <f>IF($W146="","",IF(INDEX('Per Invoice'!B$2:B$801,$W146)="","",INDEX('Per Invoice'!B$2:B$801,$W146)))</f>
        <v/>
      </c>
      <c r="C146">
        <f>IF($W146="","",IF(INDEX('Per Invoice'!C$2:C$801,$W146)="","",INDEX('Per Invoice'!C$2:C$801,$W146)))</f>
        <v/>
      </c>
      <c r="D146">
        <f>IF($W146="","",IF(INDEX('Per Invoice'!D$2:D$801,$W146)="","",INDEX('Per Invoice'!D$2:D$801,$W146)))</f>
        <v/>
      </c>
      <c r="E146">
        <f>IF($W146="","",IF(INDEX('Per Invoice'!E$2:E$801,$W146)="","",INDEX('Per Invoice'!E$2:E$801,$W146)))</f>
        <v/>
      </c>
      <c r="F146">
        <f>IF($W146="","",IF(INDEX('Per Invoice'!F$2:F$801,$W146)="","",INDEX('Per Invoice'!F$2:F$801,$W146)))</f>
        <v/>
      </c>
      <c r="G146">
        <f>IF($W146="","",IF(INDEX('Per Invoice'!G$2:G$801,$W146)="","",INDEX('Per Invoice'!G$2:G$801,$W146)))</f>
        <v/>
      </c>
      <c r="H146">
        <f>IF($W146="","",IF(INDEX('Per Invoice'!H$2:H$801,$W146)="","",INDEX('Per Invoice'!H$2:H$801,$W146)))</f>
        <v/>
      </c>
      <c r="I146">
        <f>IF($W146="","",IF(INDEX('Per Invoice'!I$2:I$801,$W146)="","",INDEX('Per Invoice'!I$2:I$801,$W146)))</f>
        <v/>
      </c>
      <c r="J146">
        <f>IF($W146="","",IF(INDEX('Per Invoice'!J$2:J$801,$W146)="","",INDEX('Per Invoice'!J$2:J$801,$W146)))</f>
        <v/>
      </c>
      <c r="K146" s="7">
        <f>IF($W146="","",IF(INDEX('Per Invoice'!K$2:K$801,$W146)="","",INDEX('Per Invoice'!K$2:K$801,$W146)))</f>
        <v/>
      </c>
      <c r="L146" s="14">
        <f>IF($W146="","",IF(INDEX('Per Invoice'!L$2:L$801,$W146)="","",INDEX('Per Invoice'!L$2:L$801,$W146)))</f>
        <v/>
      </c>
      <c r="M146">
        <f>IF($W146="","",IF(INDEX('Per Invoice'!M$2:M$801,$W146)="","",INDEX('Per Invoice'!M$2:M$801,$W146)))</f>
        <v/>
      </c>
      <c r="N146" s="7">
        <f>IF($W146="","",IF(INDEX('Per Invoice'!N$2:N$801,$W146)="","",INDEX('Per Invoice'!N$2:N$801,$W146)))</f>
        <v/>
      </c>
      <c r="O146" s="7">
        <f>IF($W146="","",IF(INDEX('Per Invoice'!O$2:O$801,$W146)="","",INDEX('Per Invoice'!O$2:O$801,$W146)))</f>
        <v/>
      </c>
      <c r="P146">
        <f>IF($W146="","",IF(INDEX('Per Invoice'!P$2:P$801,$W146)="","",INDEX('Per Invoice'!P$2:P$801,$W146)))</f>
        <v/>
      </c>
      <c r="Q146" s="7">
        <f>IF($W146="","",IF(INDEX('Per Invoice'!Q$2:Q$801,$W146)="","",INDEX('Per Invoice'!Q$2:Q$801,$W146)))</f>
        <v/>
      </c>
      <c r="R146" s="7">
        <f>IF($W146="","",IF(INDEX('Per Invoice'!R$2:R$801,$W146)="","",INDEX('Per Invoice'!R$2:R$801,$W146)))</f>
        <v/>
      </c>
      <c r="S146" s="7">
        <f>IF($W146="","",IF(INDEX('Per Invoice'!S$2:S$801,$W146)="","",INDEX('Per Invoice'!S$2:S$801,$W146)))</f>
        <v/>
      </c>
      <c r="T146" s="7">
        <f>IF($W146="","",IF(INDEX('Per Invoice'!T$2:T$801,$W146)="","",INDEX('Per Invoice'!T$2:T$801,$W146)))</f>
        <v/>
      </c>
      <c r="U146" s="7">
        <f>IF($W146="","",IF(INDEX('Per Invoice'!U$2:U$801,$W146)="","",INDEX('Per Invoice'!U$2:U$801,$W146)))</f>
        <v/>
      </c>
      <c r="V146" s="7">
        <f>IF($W146="","",IF(INDEX('Per Invoice'!V$2:V$801,$W146)="","",INDEX('Per Invoice'!V$2:V$801,$W146)))</f>
        <v/>
      </c>
      <c r="W146" s="16">
        <f>IFERROR(MATCH(Settings!$C$26&amp;"|"&amp;ROWS($W$2:$W146),'Per Invoice'!$X$2:$X$801,0),"")</f>
        <v/>
      </c>
    </row>
    <row r="147">
      <c r="A147">
        <f>IF($W147="","",IF(INDEX('Per Invoice'!A$2:A$801,$W147)="","",INDEX('Per Invoice'!A$2:A$801,$W147)))</f>
        <v/>
      </c>
      <c r="B147">
        <f>IF($W147="","",IF(INDEX('Per Invoice'!B$2:B$801,$W147)="","",INDEX('Per Invoice'!B$2:B$801,$W147)))</f>
        <v/>
      </c>
      <c r="C147">
        <f>IF($W147="","",IF(INDEX('Per Invoice'!C$2:C$801,$W147)="","",INDEX('Per Invoice'!C$2:C$801,$W147)))</f>
        <v/>
      </c>
      <c r="D147">
        <f>IF($W147="","",IF(INDEX('Per Invoice'!D$2:D$801,$W147)="","",INDEX('Per Invoice'!D$2:D$801,$W147)))</f>
        <v/>
      </c>
      <c r="E147">
        <f>IF($W147="","",IF(INDEX('Per Invoice'!E$2:E$801,$W147)="","",INDEX('Per Invoice'!E$2:E$801,$W147)))</f>
        <v/>
      </c>
      <c r="F147">
        <f>IF($W147="","",IF(INDEX('Per Invoice'!F$2:F$801,$W147)="","",INDEX('Per Invoice'!F$2:F$801,$W147)))</f>
        <v/>
      </c>
      <c r="G147">
        <f>IF($W147="","",IF(INDEX('Per Invoice'!G$2:G$801,$W147)="","",INDEX('Per Invoice'!G$2:G$801,$W147)))</f>
        <v/>
      </c>
      <c r="H147">
        <f>IF($W147="","",IF(INDEX('Per Invoice'!H$2:H$801,$W147)="","",INDEX('Per Invoice'!H$2:H$801,$W147)))</f>
        <v/>
      </c>
      <c r="I147">
        <f>IF($W147="","",IF(INDEX('Per Invoice'!I$2:I$801,$W147)="","",INDEX('Per Invoice'!I$2:I$801,$W147)))</f>
        <v/>
      </c>
      <c r="J147">
        <f>IF($W147="","",IF(INDEX('Per Invoice'!J$2:J$801,$W147)="","",INDEX('Per Invoice'!J$2:J$801,$W147)))</f>
        <v/>
      </c>
      <c r="K147" s="7">
        <f>IF($W147="","",IF(INDEX('Per Invoice'!K$2:K$801,$W147)="","",INDEX('Per Invoice'!K$2:K$801,$W147)))</f>
        <v/>
      </c>
      <c r="L147" s="14">
        <f>IF($W147="","",IF(INDEX('Per Invoice'!L$2:L$801,$W147)="","",INDEX('Per Invoice'!L$2:L$801,$W147)))</f>
        <v/>
      </c>
      <c r="M147">
        <f>IF($W147="","",IF(INDEX('Per Invoice'!M$2:M$801,$W147)="","",INDEX('Per Invoice'!M$2:M$801,$W147)))</f>
        <v/>
      </c>
      <c r="N147" s="7">
        <f>IF($W147="","",IF(INDEX('Per Invoice'!N$2:N$801,$W147)="","",INDEX('Per Invoice'!N$2:N$801,$W147)))</f>
        <v/>
      </c>
      <c r="O147" s="7">
        <f>IF($W147="","",IF(INDEX('Per Invoice'!O$2:O$801,$W147)="","",INDEX('Per Invoice'!O$2:O$801,$W147)))</f>
        <v/>
      </c>
      <c r="P147">
        <f>IF($W147="","",IF(INDEX('Per Invoice'!P$2:P$801,$W147)="","",INDEX('Per Invoice'!P$2:P$801,$W147)))</f>
        <v/>
      </c>
      <c r="Q147" s="7">
        <f>IF($W147="","",IF(INDEX('Per Invoice'!Q$2:Q$801,$W147)="","",INDEX('Per Invoice'!Q$2:Q$801,$W147)))</f>
        <v/>
      </c>
      <c r="R147" s="7">
        <f>IF($W147="","",IF(INDEX('Per Invoice'!R$2:R$801,$W147)="","",INDEX('Per Invoice'!R$2:R$801,$W147)))</f>
        <v/>
      </c>
      <c r="S147" s="7">
        <f>IF($W147="","",IF(INDEX('Per Invoice'!S$2:S$801,$W147)="","",INDEX('Per Invoice'!S$2:S$801,$W147)))</f>
        <v/>
      </c>
      <c r="T147" s="7">
        <f>IF($W147="","",IF(INDEX('Per Invoice'!T$2:T$801,$W147)="","",INDEX('Per Invoice'!T$2:T$801,$W147)))</f>
        <v/>
      </c>
      <c r="U147" s="7">
        <f>IF($W147="","",IF(INDEX('Per Invoice'!U$2:U$801,$W147)="","",INDEX('Per Invoice'!U$2:U$801,$W147)))</f>
        <v/>
      </c>
      <c r="V147" s="7">
        <f>IF($W147="","",IF(INDEX('Per Invoice'!V$2:V$801,$W147)="","",INDEX('Per Invoice'!V$2:V$801,$W147)))</f>
        <v/>
      </c>
      <c r="W147" s="16">
        <f>IFERROR(MATCH(Settings!$C$26&amp;"|"&amp;ROWS($W$2:$W147),'Per Invoice'!$X$2:$X$801,0),"")</f>
        <v/>
      </c>
    </row>
    <row r="148">
      <c r="A148">
        <f>IF($W148="","",IF(INDEX('Per Invoice'!A$2:A$801,$W148)="","",INDEX('Per Invoice'!A$2:A$801,$W148)))</f>
        <v/>
      </c>
      <c r="B148">
        <f>IF($W148="","",IF(INDEX('Per Invoice'!B$2:B$801,$W148)="","",INDEX('Per Invoice'!B$2:B$801,$W148)))</f>
        <v/>
      </c>
      <c r="C148">
        <f>IF($W148="","",IF(INDEX('Per Invoice'!C$2:C$801,$W148)="","",INDEX('Per Invoice'!C$2:C$801,$W148)))</f>
        <v/>
      </c>
      <c r="D148">
        <f>IF($W148="","",IF(INDEX('Per Invoice'!D$2:D$801,$W148)="","",INDEX('Per Invoice'!D$2:D$801,$W148)))</f>
        <v/>
      </c>
      <c r="E148">
        <f>IF($W148="","",IF(INDEX('Per Invoice'!E$2:E$801,$W148)="","",INDEX('Per Invoice'!E$2:E$801,$W148)))</f>
        <v/>
      </c>
      <c r="F148">
        <f>IF($W148="","",IF(INDEX('Per Invoice'!F$2:F$801,$W148)="","",INDEX('Per Invoice'!F$2:F$801,$W148)))</f>
        <v/>
      </c>
      <c r="G148">
        <f>IF($W148="","",IF(INDEX('Per Invoice'!G$2:G$801,$W148)="","",INDEX('Per Invoice'!G$2:G$801,$W148)))</f>
        <v/>
      </c>
      <c r="H148">
        <f>IF($W148="","",IF(INDEX('Per Invoice'!H$2:H$801,$W148)="","",INDEX('Per Invoice'!H$2:H$801,$W148)))</f>
        <v/>
      </c>
      <c r="I148">
        <f>IF($W148="","",IF(INDEX('Per Invoice'!I$2:I$801,$W148)="","",INDEX('Per Invoice'!I$2:I$801,$W148)))</f>
        <v/>
      </c>
      <c r="J148">
        <f>IF($W148="","",IF(INDEX('Per Invoice'!J$2:J$801,$W148)="","",INDEX('Per Invoice'!J$2:J$801,$W148)))</f>
        <v/>
      </c>
      <c r="K148" s="7">
        <f>IF($W148="","",IF(INDEX('Per Invoice'!K$2:K$801,$W148)="","",INDEX('Per Invoice'!K$2:K$801,$W148)))</f>
        <v/>
      </c>
      <c r="L148" s="14">
        <f>IF($W148="","",IF(INDEX('Per Invoice'!L$2:L$801,$W148)="","",INDEX('Per Invoice'!L$2:L$801,$W148)))</f>
        <v/>
      </c>
      <c r="M148">
        <f>IF($W148="","",IF(INDEX('Per Invoice'!M$2:M$801,$W148)="","",INDEX('Per Invoice'!M$2:M$801,$W148)))</f>
        <v/>
      </c>
      <c r="N148" s="7">
        <f>IF($W148="","",IF(INDEX('Per Invoice'!N$2:N$801,$W148)="","",INDEX('Per Invoice'!N$2:N$801,$W148)))</f>
        <v/>
      </c>
      <c r="O148" s="7">
        <f>IF($W148="","",IF(INDEX('Per Invoice'!O$2:O$801,$W148)="","",INDEX('Per Invoice'!O$2:O$801,$W148)))</f>
        <v/>
      </c>
      <c r="P148">
        <f>IF($W148="","",IF(INDEX('Per Invoice'!P$2:P$801,$W148)="","",INDEX('Per Invoice'!P$2:P$801,$W148)))</f>
        <v/>
      </c>
      <c r="Q148" s="7">
        <f>IF($W148="","",IF(INDEX('Per Invoice'!Q$2:Q$801,$W148)="","",INDEX('Per Invoice'!Q$2:Q$801,$W148)))</f>
        <v/>
      </c>
      <c r="R148" s="7">
        <f>IF($W148="","",IF(INDEX('Per Invoice'!R$2:R$801,$W148)="","",INDEX('Per Invoice'!R$2:R$801,$W148)))</f>
        <v/>
      </c>
      <c r="S148" s="7">
        <f>IF($W148="","",IF(INDEX('Per Invoice'!S$2:S$801,$W148)="","",INDEX('Per Invoice'!S$2:S$801,$W148)))</f>
        <v/>
      </c>
      <c r="T148" s="7">
        <f>IF($W148="","",IF(INDEX('Per Invoice'!T$2:T$801,$W148)="","",INDEX('Per Invoice'!T$2:T$801,$W148)))</f>
        <v/>
      </c>
      <c r="U148" s="7">
        <f>IF($W148="","",IF(INDEX('Per Invoice'!U$2:U$801,$W148)="","",INDEX('Per Invoice'!U$2:U$801,$W148)))</f>
        <v/>
      </c>
      <c r="V148" s="7">
        <f>IF($W148="","",IF(INDEX('Per Invoice'!V$2:V$801,$W148)="","",INDEX('Per Invoice'!V$2:V$801,$W148)))</f>
        <v/>
      </c>
      <c r="W148" s="16">
        <f>IFERROR(MATCH(Settings!$C$26&amp;"|"&amp;ROWS($W$2:$W148),'Per Invoice'!$X$2:$X$801,0),"")</f>
        <v/>
      </c>
    </row>
    <row r="149">
      <c r="A149">
        <f>IF($W149="","",IF(INDEX('Per Invoice'!A$2:A$801,$W149)="","",INDEX('Per Invoice'!A$2:A$801,$W149)))</f>
        <v/>
      </c>
      <c r="B149">
        <f>IF($W149="","",IF(INDEX('Per Invoice'!B$2:B$801,$W149)="","",INDEX('Per Invoice'!B$2:B$801,$W149)))</f>
        <v/>
      </c>
      <c r="C149">
        <f>IF($W149="","",IF(INDEX('Per Invoice'!C$2:C$801,$W149)="","",INDEX('Per Invoice'!C$2:C$801,$W149)))</f>
        <v/>
      </c>
      <c r="D149">
        <f>IF($W149="","",IF(INDEX('Per Invoice'!D$2:D$801,$W149)="","",INDEX('Per Invoice'!D$2:D$801,$W149)))</f>
        <v/>
      </c>
      <c r="E149">
        <f>IF($W149="","",IF(INDEX('Per Invoice'!E$2:E$801,$W149)="","",INDEX('Per Invoice'!E$2:E$801,$W149)))</f>
        <v/>
      </c>
      <c r="F149">
        <f>IF($W149="","",IF(INDEX('Per Invoice'!F$2:F$801,$W149)="","",INDEX('Per Invoice'!F$2:F$801,$W149)))</f>
        <v/>
      </c>
      <c r="G149">
        <f>IF($W149="","",IF(INDEX('Per Invoice'!G$2:G$801,$W149)="","",INDEX('Per Invoice'!G$2:G$801,$W149)))</f>
        <v/>
      </c>
      <c r="H149">
        <f>IF($W149="","",IF(INDEX('Per Invoice'!H$2:H$801,$W149)="","",INDEX('Per Invoice'!H$2:H$801,$W149)))</f>
        <v/>
      </c>
      <c r="I149">
        <f>IF($W149="","",IF(INDEX('Per Invoice'!I$2:I$801,$W149)="","",INDEX('Per Invoice'!I$2:I$801,$W149)))</f>
        <v/>
      </c>
      <c r="J149">
        <f>IF($W149="","",IF(INDEX('Per Invoice'!J$2:J$801,$W149)="","",INDEX('Per Invoice'!J$2:J$801,$W149)))</f>
        <v/>
      </c>
      <c r="K149" s="7">
        <f>IF($W149="","",IF(INDEX('Per Invoice'!K$2:K$801,$W149)="","",INDEX('Per Invoice'!K$2:K$801,$W149)))</f>
        <v/>
      </c>
      <c r="L149" s="14">
        <f>IF($W149="","",IF(INDEX('Per Invoice'!L$2:L$801,$W149)="","",INDEX('Per Invoice'!L$2:L$801,$W149)))</f>
        <v/>
      </c>
      <c r="M149">
        <f>IF($W149="","",IF(INDEX('Per Invoice'!M$2:M$801,$W149)="","",INDEX('Per Invoice'!M$2:M$801,$W149)))</f>
        <v/>
      </c>
      <c r="N149" s="7">
        <f>IF($W149="","",IF(INDEX('Per Invoice'!N$2:N$801,$W149)="","",INDEX('Per Invoice'!N$2:N$801,$W149)))</f>
        <v/>
      </c>
      <c r="O149" s="7">
        <f>IF($W149="","",IF(INDEX('Per Invoice'!O$2:O$801,$W149)="","",INDEX('Per Invoice'!O$2:O$801,$W149)))</f>
        <v/>
      </c>
      <c r="P149">
        <f>IF($W149="","",IF(INDEX('Per Invoice'!P$2:P$801,$W149)="","",INDEX('Per Invoice'!P$2:P$801,$W149)))</f>
        <v/>
      </c>
      <c r="Q149" s="7">
        <f>IF($W149="","",IF(INDEX('Per Invoice'!Q$2:Q$801,$W149)="","",INDEX('Per Invoice'!Q$2:Q$801,$W149)))</f>
        <v/>
      </c>
      <c r="R149" s="7">
        <f>IF($W149="","",IF(INDEX('Per Invoice'!R$2:R$801,$W149)="","",INDEX('Per Invoice'!R$2:R$801,$W149)))</f>
        <v/>
      </c>
      <c r="S149" s="7">
        <f>IF($W149="","",IF(INDEX('Per Invoice'!S$2:S$801,$W149)="","",INDEX('Per Invoice'!S$2:S$801,$W149)))</f>
        <v/>
      </c>
      <c r="T149" s="7">
        <f>IF($W149="","",IF(INDEX('Per Invoice'!T$2:T$801,$W149)="","",INDEX('Per Invoice'!T$2:T$801,$W149)))</f>
        <v/>
      </c>
      <c r="U149" s="7">
        <f>IF($W149="","",IF(INDEX('Per Invoice'!U$2:U$801,$W149)="","",INDEX('Per Invoice'!U$2:U$801,$W149)))</f>
        <v/>
      </c>
      <c r="V149" s="7">
        <f>IF($W149="","",IF(INDEX('Per Invoice'!V$2:V$801,$W149)="","",INDEX('Per Invoice'!V$2:V$801,$W149)))</f>
        <v/>
      </c>
      <c r="W149" s="16">
        <f>IFERROR(MATCH(Settings!$C$26&amp;"|"&amp;ROWS($W$2:$W149),'Per Invoice'!$X$2:$X$801,0),"")</f>
        <v/>
      </c>
    </row>
    <row r="150">
      <c r="A150">
        <f>IF($W150="","",IF(INDEX('Per Invoice'!A$2:A$801,$W150)="","",INDEX('Per Invoice'!A$2:A$801,$W150)))</f>
        <v/>
      </c>
      <c r="B150">
        <f>IF($W150="","",IF(INDEX('Per Invoice'!B$2:B$801,$W150)="","",INDEX('Per Invoice'!B$2:B$801,$W150)))</f>
        <v/>
      </c>
      <c r="C150">
        <f>IF($W150="","",IF(INDEX('Per Invoice'!C$2:C$801,$W150)="","",INDEX('Per Invoice'!C$2:C$801,$W150)))</f>
        <v/>
      </c>
      <c r="D150">
        <f>IF($W150="","",IF(INDEX('Per Invoice'!D$2:D$801,$W150)="","",INDEX('Per Invoice'!D$2:D$801,$W150)))</f>
        <v/>
      </c>
      <c r="E150">
        <f>IF($W150="","",IF(INDEX('Per Invoice'!E$2:E$801,$W150)="","",INDEX('Per Invoice'!E$2:E$801,$W150)))</f>
        <v/>
      </c>
      <c r="F150">
        <f>IF($W150="","",IF(INDEX('Per Invoice'!F$2:F$801,$W150)="","",INDEX('Per Invoice'!F$2:F$801,$W150)))</f>
        <v/>
      </c>
      <c r="G150">
        <f>IF($W150="","",IF(INDEX('Per Invoice'!G$2:G$801,$W150)="","",INDEX('Per Invoice'!G$2:G$801,$W150)))</f>
        <v/>
      </c>
      <c r="H150">
        <f>IF($W150="","",IF(INDEX('Per Invoice'!H$2:H$801,$W150)="","",INDEX('Per Invoice'!H$2:H$801,$W150)))</f>
        <v/>
      </c>
      <c r="I150">
        <f>IF($W150="","",IF(INDEX('Per Invoice'!I$2:I$801,$W150)="","",INDEX('Per Invoice'!I$2:I$801,$W150)))</f>
        <v/>
      </c>
      <c r="J150">
        <f>IF($W150="","",IF(INDEX('Per Invoice'!J$2:J$801,$W150)="","",INDEX('Per Invoice'!J$2:J$801,$W150)))</f>
        <v/>
      </c>
      <c r="K150" s="7">
        <f>IF($W150="","",IF(INDEX('Per Invoice'!K$2:K$801,$W150)="","",INDEX('Per Invoice'!K$2:K$801,$W150)))</f>
        <v/>
      </c>
      <c r="L150" s="14">
        <f>IF($W150="","",IF(INDEX('Per Invoice'!L$2:L$801,$W150)="","",INDEX('Per Invoice'!L$2:L$801,$W150)))</f>
        <v/>
      </c>
      <c r="M150">
        <f>IF($W150="","",IF(INDEX('Per Invoice'!M$2:M$801,$W150)="","",INDEX('Per Invoice'!M$2:M$801,$W150)))</f>
        <v/>
      </c>
      <c r="N150" s="7">
        <f>IF($W150="","",IF(INDEX('Per Invoice'!N$2:N$801,$W150)="","",INDEX('Per Invoice'!N$2:N$801,$W150)))</f>
        <v/>
      </c>
      <c r="O150" s="7">
        <f>IF($W150="","",IF(INDEX('Per Invoice'!O$2:O$801,$W150)="","",INDEX('Per Invoice'!O$2:O$801,$W150)))</f>
        <v/>
      </c>
      <c r="P150">
        <f>IF($W150="","",IF(INDEX('Per Invoice'!P$2:P$801,$W150)="","",INDEX('Per Invoice'!P$2:P$801,$W150)))</f>
        <v/>
      </c>
      <c r="Q150" s="7">
        <f>IF($W150="","",IF(INDEX('Per Invoice'!Q$2:Q$801,$W150)="","",INDEX('Per Invoice'!Q$2:Q$801,$W150)))</f>
        <v/>
      </c>
      <c r="R150" s="7">
        <f>IF($W150="","",IF(INDEX('Per Invoice'!R$2:R$801,$W150)="","",INDEX('Per Invoice'!R$2:R$801,$W150)))</f>
        <v/>
      </c>
      <c r="S150" s="7">
        <f>IF($W150="","",IF(INDEX('Per Invoice'!S$2:S$801,$W150)="","",INDEX('Per Invoice'!S$2:S$801,$W150)))</f>
        <v/>
      </c>
      <c r="T150" s="7">
        <f>IF($W150="","",IF(INDEX('Per Invoice'!T$2:T$801,$W150)="","",INDEX('Per Invoice'!T$2:T$801,$W150)))</f>
        <v/>
      </c>
      <c r="U150" s="7">
        <f>IF($W150="","",IF(INDEX('Per Invoice'!U$2:U$801,$W150)="","",INDEX('Per Invoice'!U$2:U$801,$W150)))</f>
        <v/>
      </c>
      <c r="V150" s="7">
        <f>IF($W150="","",IF(INDEX('Per Invoice'!V$2:V$801,$W150)="","",INDEX('Per Invoice'!V$2:V$801,$W150)))</f>
        <v/>
      </c>
      <c r="W150" s="16">
        <f>IFERROR(MATCH(Settings!$C$26&amp;"|"&amp;ROWS($W$2:$W150),'Per Invoice'!$X$2:$X$801,0),"")</f>
        <v/>
      </c>
    </row>
    <row r="151">
      <c r="A151">
        <f>IF($W151="","",IF(INDEX('Per Invoice'!A$2:A$801,$W151)="","",INDEX('Per Invoice'!A$2:A$801,$W151)))</f>
        <v/>
      </c>
      <c r="B151">
        <f>IF($W151="","",IF(INDEX('Per Invoice'!B$2:B$801,$W151)="","",INDEX('Per Invoice'!B$2:B$801,$W151)))</f>
        <v/>
      </c>
      <c r="C151">
        <f>IF($W151="","",IF(INDEX('Per Invoice'!C$2:C$801,$W151)="","",INDEX('Per Invoice'!C$2:C$801,$W151)))</f>
        <v/>
      </c>
      <c r="D151">
        <f>IF($W151="","",IF(INDEX('Per Invoice'!D$2:D$801,$W151)="","",INDEX('Per Invoice'!D$2:D$801,$W151)))</f>
        <v/>
      </c>
      <c r="E151">
        <f>IF($W151="","",IF(INDEX('Per Invoice'!E$2:E$801,$W151)="","",INDEX('Per Invoice'!E$2:E$801,$W151)))</f>
        <v/>
      </c>
      <c r="F151">
        <f>IF($W151="","",IF(INDEX('Per Invoice'!F$2:F$801,$W151)="","",INDEX('Per Invoice'!F$2:F$801,$W151)))</f>
        <v/>
      </c>
      <c r="G151">
        <f>IF($W151="","",IF(INDEX('Per Invoice'!G$2:G$801,$W151)="","",INDEX('Per Invoice'!G$2:G$801,$W151)))</f>
        <v/>
      </c>
      <c r="H151">
        <f>IF($W151="","",IF(INDEX('Per Invoice'!H$2:H$801,$W151)="","",INDEX('Per Invoice'!H$2:H$801,$W151)))</f>
        <v/>
      </c>
      <c r="I151">
        <f>IF($W151="","",IF(INDEX('Per Invoice'!I$2:I$801,$W151)="","",INDEX('Per Invoice'!I$2:I$801,$W151)))</f>
        <v/>
      </c>
      <c r="J151">
        <f>IF($W151="","",IF(INDEX('Per Invoice'!J$2:J$801,$W151)="","",INDEX('Per Invoice'!J$2:J$801,$W151)))</f>
        <v/>
      </c>
      <c r="K151" s="7">
        <f>IF($W151="","",IF(INDEX('Per Invoice'!K$2:K$801,$W151)="","",INDEX('Per Invoice'!K$2:K$801,$W151)))</f>
        <v/>
      </c>
      <c r="L151" s="14">
        <f>IF($W151="","",IF(INDEX('Per Invoice'!L$2:L$801,$W151)="","",INDEX('Per Invoice'!L$2:L$801,$W151)))</f>
        <v/>
      </c>
      <c r="M151">
        <f>IF($W151="","",IF(INDEX('Per Invoice'!M$2:M$801,$W151)="","",INDEX('Per Invoice'!M$2:M$801,$W151)))</f>
        <v/>
      </c>
      <c r="N151" s="7">
        <f>IF($W151="","",IF(INDEX('Per Invoice'!N$2:N$801,$W151)="","",INDEX('Per Invoice'!N$2:N$801,$W151)))</f>
        <v/>
      </c>
      <c r="O151" s="7">
        <f>IF($W151="","",IF(INDEX('Per Invoice'!O$2:O$801,$W151)="","",INDEX('Per Invoice'!O$2:O$801,$W151)))</f>
        <v/>
      </c>
      <c r="P151">
        <f>IF($W151="","",IF(INDEX('Per Invoice'!P$2:P$801,$W151)="","",INDEX('Per Invoice'!P$2:P$801,$W151)))</f>
        <v/>
      </c>
      <c r="Q151" s="7">
        <f>IF($W151="","",IF(INDEX('Per Invoice'!Q$2:Q$801,$W151)="","",INDEX('Per Invoice'!Q$2:Q$801,$W151)))</f>
        <v/>
      </c>
      <c r="R151" s="7">
        <f>IF($W151="","",IF(INDEX('Per Invoice'!R$2:R$801,$W151)="","",INDEX('Per Invoice'!R$2:R$801,$W151)))</f>
        <v/>
      </c>
      <c r="S151" s="7">
        <f>IF($W151="","",IF(INDEX('Per Invoice'!S$2:S$801,$W151)="","",INDEX('Per Invoice'!S$2:S$801,$W151)))</f>
        <v/>
      </c>
      <c r="T151" s="7">
        <f>IF($W151="","",IF(INDEX('Per Invoice'!T$2:T$801,$W151)="","",INDEX('Per Invoice'!T$2:T$801,$W151)))</f>
        <v/>
      </c>
      <c r="U151" s="7">
        <f>IF($W151="","",IF(INDEX('Per Invoice'!U$2:U$801,$W151)="","",INDEX('Per Invoice'!U$2:U$801,$W151)))</f>
        <v/>
      </c>
      <c r="V151" s="7">
        <f>IF($W151="","",IF(INDEX('Per Invoice'!V$2:V$801,$W151)="","",INDEX('Per Invoice'!V$2:V$801,$W151)))</f>
        <v/>
      </c>
      <c r="W151" s="16">
        <f>IFERROR(MATCH(Settings!$C$26&amp;"|"&amp;ROWS($W$2:$W151),'Per Invoice'!$X$2:$X$801,0),"")</f>
        <v/>
      </c>
    </row>
    <row r="152">
      <c r="A152">
        <f>IF($W152="","",IF(INDEX('Per Invoice'!A$2:A$801,$W152)="","",INDEX('Per Invoice'!A$2:A$801,$W152)))</f>
        <v/>
      </c>
      <c r="B152">
        <f>IF($W152="","",IF(INDEX('Per Invoice'!B$2:B$801,$W152)="","",INDEX('Per Invoice'!B$2:B$801,$W152)))</f>
        <v/>
      </c>
      <c r="C152">
        <f>IF($W152="","",IF(INDEX('Per Invoice'!C$2:C$801,$W152)="","",INDEX('Per Invoice'!C$2:C$801,$W152)))</f>
        <v/>
      </c>
      <c r="D152">
        <f>IF($W152="","",IF(INDEX('Per Invoice'!D$2:D$801,$W152)="","",INDEX('Per Invoice'!D$2:D$801,$W152)))</f>
        <v/>
      </c>
      <c r="E152">
        <f>IF($W152="","",IF(INDEX('Per Invoice'!E$2:E$801,$W152)="","",INDEX('Per Invoice'!E$2:E$801,$W152)))</f>
        <v/>
      </c>
      <c r="F152">
        <f>IF($W152="","",IF(INDEX('Per Invoice'!F$2:F$801,$W152)="","",INDEX('Per Invoice'!F$2:F$801,$W152)))</f>
        <v/>
      </c>
      <c r="G152">
        <f>IF($W152="","",IF(INDEX('Per Invoice'!G$2:G$801,$W152)="","",INDEX('Per Invoice'!G$2:G$801,$W152)))</f>
        <v/>
      </c>
      <c r="H152">
        <f>IF($W152="","",IF(INDEX('Per Invoice'!H$2:H$801,$W152)="","",INDEX('Per Invoice'!H$2:H$801,$W152)))</f>
        <v/>
      </c>
      <c r="I152">
        <f>IF($W152="","",IF(INDEX('Per Invoice'!I$2:I$801,$W152)="","",INDEX('Per Invoice'!I$2:I$801,$W152)))</f>
        <v/>
      </c>
      <c r="J152">
        <f>IF($W152="","",IF(INDEX('Per Invoice'!J$2:J$801,$W152)="","",INDEX('Per Invoice'!J$2:J$801,$W152)))</f>
        <v/>
      </c>
      <c r="K152" s="7">
        <f>IF($W152="","",IF(INDEX('Per Invoice'!K$2:K$801,$W152)="","",INDEX('Per Invoice'!K$2:K$801,$W152)))</f>
        <v/>
      </c>
      <c r="L152" s="14">
        <f>IF($W152="","",IF(INDEX('Per Invoice'!L$2:L$801,$W152)="","",INDEX('Per Invoice'!L$2:L$801,$W152)))</f>
        <v/>
      </c>
      <c r="M152">
        <f>IF($W152="","",IF(INDEX('Per Invoice'!M$2:M$801,$W152)="","",INDEX('Per Invoice'!M$2:M$801,$W152)))</f>
        <v/>
      </c>
      <c r="N152" s="7">
        <f>IF($W152="","",IF(INDEX('Per Invoice'!N$2:N$801,$W152)="","",INDEX('Per Invoice'!N$2:N$801,$W152)))</f>
        <v/>
      </c>
      <c r="O152" s="7">
        <f>IF($W152="","",IF(INDEX('Per Invoice'!O$2:O$801,$W152)="","",INDEX('Per Invoice'!O$2:O$801,$W152)))</f>
        <v/>
      </c>
      <c r="P152">
        <f>IF($W152="","",IF(INDEX('Per Invoice'!P$2:P$801,$W152)="","",INDEX('Per Invoice'!P$2:P$801,$W152)))</f>
        <v/>
      </c>
      <c r="Q152" s="7">
        <f>IF($W152="","",IF(INDEX('Per Invoice'!Q$2:Q$801,$W152)="","",INDEX('Per Invoice'!Q$2:Q$801,$W152)))</f>
        <v/>
      </c>
      <c r="R152" s="7">
        <f>IF($W152="","",IF(INDEX('Per Invoice'!R$2:R$801,$W152)="","",INDEX('Per Invoice'!R$2:R$801,$W152)))</f>
        <v/>
      </c>
      <c r="S152" s="7">
        <f>IF($W152="","",IF(INDEX('Per Invoice'!S$2:S$801,$W152)="","",INDEX('Per Invoice'!S$2:S$801,$W152)))</f>
        <v/>
      </c>
      <c r="T152" s="7">
        <f>IF($W152="","",IF(INDEX('Per Invoice'!T$2:T$801,$W152)="","",INDEX('Per Invoice'!T$2:T$801,$W152)))</f>
        <v/>
      </c>
      <c r="U152" s="7">
        <f>IF($W152="","",IF(INDEX('Per Invoice'!U$2:U$801,$W152)="","",INDEX('Per Invoice'!U$2:U$801,$W152)))</f>
        <v/>
      </c>
      <c r="V152" s="7">
        <f>IF($W152="","",IF(INDEX('Per Invoice'!V$2:V$801,$W152)="","",INDEX('Per Invoice'!V$2:V$801,$W152)))</f>
        <v/>
      </c>
      <c r="W152" s="16">
        <f>IFERROR(MATCH(Settings!$C$26&amp;"|"&amp;ROWS($W$2:$W152),'Per Invoice'!$X$2:$X$801,0),"")</f>
        <v/>
      </c>
    </row>
    <row r="153">
      <c r="A153">
        <f>IF($W153="","",IF(INDEX('Per Invoice'!A$2:A$801,$W153)="","",INDEX('Per Invoice'!A$2:A$801,$W153)))</f>
        <v/>
      </c>
      <c r="B153">
        <f>IF($W153="","",IF(INDEX('Per Invoice'!B$2:B$801,$W153)="","",INDEX('Per Invoice'!B$2:B$801,$W153)))</f>
        <v/>
      </c>
      <c r="C153">
        <f>IF($W153="","",IF(INDEX('Per Invoice'!C$2:C$801,$W153)="","",INDEX('Per Invoice'!C$2:C$801,$W153)))</f>
        <v/>
      </c>
      <c r="D153">
        <f>IF($W153="","",IF(INDEX('Per Invoice'!D$2:D$801,$W153)="","",INDEX('Per Invoice'!D$2:D$801,$W153)))</f>
        <v/>
      </c>
      <c r="E153">
        <f>IF($W153="","",IF(INDEX('Per Invoice'!E$2:E$801,$W153)="","",INDEX('Per Invoice'!E$2:E$801,$W153)))</f>
        <v/>
      </c>
      <c r="F153">
        <f>IF($W153="","",IF(INDEX('Per Invoice'!F$2:F$801,$W153)="","",INDEX('Per Invoice'!F$2:F$801,$W153)))</f>
        <v/>
      </c>
      <c r="G153">
        <f>IF($W153="","",IF(INDEX('Per Invoice'!G$2:G$801,$W153)="","",INDEX('Per Invoice'!G$2:G$801,$W153)))</f>
        <v/>
      </c>
      <c r="H153">
        <f>IF($W153="","",IF(INDEX('Per Invoice'!H$2:H$801,$W153)="","",INDEX('Per Invoice'!H$2:H$801,$W153)))</f>
        <v/>
      </c>
      <c r="I153">
        <f>IF($W153="","",IF(INDEX('Per Invoice'!I$2:I$801,$W153)="","",INDEX('Per Invoice'!I$2:I$801,$W153)))</f>
        <v/>
      </c>
      <c r="J153">
        <f>IF($W153="","",IF(INDEX('Per Invoice'!J$2:J$801,$W153)="","",INDEX('Per Invoice'!J$2:J$801,$W153)))</f>
        <v/>
      </c>
      <c r="K153" s="7">
        <f>IF($W153="","",IF(INDEX('Per Invoice'!K$2:K$801,$W153)="","",INDEX('Per Invoice'!K$2:K$801,$W153)))</f>
        <v/>
      </c>
      <c r="L153" s="14">
        <f>IF($W153="","",IF(INDEX('Per Invoice'!L$2:L$801,$W153)="","",INDEX('Per Invoice'!L$2:L$801,$W153)))</f>
        <v/>
      </c>
      <c r="M153">
        <f>IF($W153="","",IF(INDEX('Per Invoice'!M$2:M$801,$W153)="","",INDEX('Per Invoice'!M$2:M$801,$W153)))</f>
        <v/>
      </c>
      <c r="N153" s="7">
        <f>IF($W153="","",IF(INDEX('Per Invoice'!N$2:N$801,$W153)="","",INDEX('Per Invoice'!N$2:N$801,$W153)))</f>
        <v/>
      </c>
      <c r="O153" s="7">
        <f>IF($W153="","",IF(INDEX('Per Invoice'!O$2:O$801,$W153)="","",INDEX('Per Invoice'!O$2:O$801,$W153)))</f>
        <v/>
      </c>
      <c r="P153">
        <f>IF($W153="","",IF(INDEX('Per Invoice'!P$2:P$801,$W153)="","",INDEX('Per Invoice'!P$2:P$801,$W153)))</f>
        <v/>
      </c>
      <c r="Q153" s="7">
        <f>IF($W153="","",IF(INDEX('Per Invoice'!Q$2:Q$801,$W153)="","",INDEX('Per Invoice'!Q$2:Q$801,$W153)))</f>
        <v/>
      </c>
      <c r="R153" s="7">
        <f>IF($W153="","",IF(INDEX('Per Invoice'!R$2:R$801,$W153)="","",INDEX('Per Invoice'!R$2:R$801,$W153)))</f>
        <v/>
      </c>
      <c r="S153" s="7">
        <f>IF($W153="","",IF(INDEX('Per Invoice'!S$2:S$801,$W153)="","",INDEX('Per Invoice'!S$2:S$801,$W153)))</f>
        <v/>
      </c>
      <c r="T153" s="7">
        <f>IF($W153="","",IF(INDEX('Per Invoice'!T$2:T$801,$W153)="","",INDEX('Per Invoice'!T$2:T$801,$W153)))</f>
        <v/>
      </c>
      <c r="U153" s="7">
        <f>IF($W153="","",IF(INDEX('Per Invoice'!U$2:U$801,$W153)="","",INDEX('Per Invoice'!U$2:U$801,$W153)))</f>
        <v/>
      </c>
      <c r="V153" s="7">
        <f>IF($W153="","",IF(INDEX('Per Invoice'!V$2:V$801,$W153)="","",INDEX('Per Invoice'!V$2:V$801,$W153)))</f>
        <v/>
      </c>
      <c r="W153" s="16">
        <f>IFERROR(MATCH(Settings!$C$26&amp;"|"&amp;ROWS($W$2:$W153),'Per Invoice'!$X$2:$X$801,0),"")</f>
        <v/>
      </c>
    </row>
    <row r="154">
      <c r="A154">
        <f>IF($W154="","",IF(INDEX('Per Invoice'!A$2:A$801,$W154)="","",INDEX('Per Invoice'!A$2:A$801,$W154)))</f>
        <v/>
      </c>
      <c r="B154">
        <f>IF($W154="","",IF(INDEX('Per Invoice'!B$2:B$801,$W154)="","",INDEX('Per Invoice'!B$2:B$801,$W154)))</f>
        <v/>
      </c>
      <c r="C154">
        <f>IF($W154="","",IF(INDEX('Per Invoice'!C$2:C$801,$W154)="","",INDEX('Per Invoice'!C$2:C$801,$W154)))</f>
        <v/>
      </c>
      <c r="D154">
        <f>IF($W154="","",IF(INDEX('Per Invoice'!D$2:D$801,$W154)="","",INDEX('Per Invoice'!D$2:D$801,$W154)))</f>
        <v/>
      </c>
      <c r="E154">
        <f>IF($W154="","",IF(INDEX('Per Invoice'!E$2:E$801,$W154)="","",INDEX('Per Invoice'!E$2:E$801,$W154)))</f>
        <v/>
      </c>
      <c r="F154">
        <f>IF($W154="","",IF(INDEX('Per Invoice'!F$2:F$801,$W154)="","",INDEX('Per Invoice'!F$2:F$801,$W154)))</f>
        <v/>
      </c>
      <c r="G154">
        <f>IF($W154="","",IF(INDEX('Per Invoice'!G$2:G$801,$W154)="","",INDEX('Per Invoice'!G$2:G$801,$W154)))</f>
        <v/>
      </c>
      <c r="H154">
        <f>IF($W154="","",IF(INDEX('Per Invoice'!H$2:H$801,$W154)="","",INDEX('Per Invoice'!H$2:H$801,$W154)))</f>
        <v/>
      </c>
      <c r="I154">
        <f>IF($W154="","",IF(INDEX('Per Invoice'!I$2:I$801,$W154)="","",INDEX('Per Invoice'!I$2:I$801,$W154)))</f>
        <v/>
      </c>
      <c r="J154">
        <f>IF($W154="","",IF(INDEX('Per Invoice'!J$2:J$801,$W154)="","",INDEX('Per Invoice'!J$2:J$801,$W154)))</f>
        <v/>
      </c>
      <c r="K154" s="7">
        <f>IF($W154="","",IF(INDEX('Per Invoice'!K$2:K$801,$W154)="","",INDEX('Per Invoice'!K$2:K$801,$W154)))</f>
        <v/>
      </c>
      <c r="L154" s="14">
        <f>IF($W154="","",IF(INDEX('Per Invoice'!L$2:L$801,$W154)="","",INDEX('Per Invoice'!L$2:L$801,$W154)))</f>
        <v/>
      </c>
      <c r="M154">
        <f>IF($W154="","",IF(INDEX('Per Invoice'!M$2:M$801,$W154)="","",INDEX('Per Invoice'!M$2:M$801,$W154)))</f>
        <v/>
      </c>
      <c r="N154" s="7">
        <f>IF($W154="","",IF(INDEX('Per Invoice'!N$2:N$801,$W154)="","",INDEX('Per Invoice'!N$2:N$801,$W154)))</f>
        <v/>
      </c>
      <c r="O154" s="7">
        <f>IF($W154="","",IF(INDEX('Per Invoice'!O$2:O$801,$W154)="","",INDEX('Per Invoice'!O$2:O$801,$W154)))</f>
        <v/>
      </c>
      <c r="P154">
        <f>IF($W154="","",IF(INDEX('Per Invoice'!P$2:P$801,$W154)="","",INDEX('Per Invoice'!P$2:P$801,$W154)))</f>
        <v/>
      </c>
      <c r="Q154" s="7">
        <f>IF($W154="","",IF(INDEX('Per Invoice'!Q$2:Q$801,$W154)="","",INDEX('Per Invoice'!Q$2:Q$801,$W154)))</f>
        <v/>
      </c>
      <c r="R154" s="7">
        <f>IF($W154="","",IF(INDEX('Per Invoice'!R$2:R$801,$W154)="","",INDEX('Per Invoice'!R$2:R$801,$W154)))</f>
        <v/>
      </c>
      <c r="S154" s="7">
        <f>IF($W154="","",IF(INDEX('Per Invoice'!S$2:S$801,$W154)="","",INDEX('Per Invoice'!S$2:S$801,$W154)))</f>
        <v/>
      </c>
      <c r="T154" s="7">
        <f>IF($W154="","",IF(INDEX('Per Invoice'!T$2:T$801,$W154)="","",INDEX('Per Invoice'!T$2:T$801,$W154)))</f>
        <v/>
      </c>
      <c r="U154" s="7">
        <f>IF($W154="","",IF(INDEX('Per Invoice'!U$2:U$801,$W154)="","",INDEX('Per Invoice'!U$2:U$801,$W154)))</f>
        <v/>
      </c>
      <c r="V154" s="7">
        <f>IF($W154="","",IF(INDEX('Per Invoice'!V$2:V$801,$W154)="","",INDEX('Per Invoice'!V$2:V$801,$W154)))</f>
        <v/>
      </c>
      <c r="W154" s="16">
        <f>IFERROR(MATCH(Settings!$C$26&amp;"|"&amp;ROWS($W$2:$W154),'Per Invoice'!$X$2:$X$801,0),"")</f>
        <v/>
      </c>
    </row>
    <row r="155">
      <c r="A155">
        <f>IF($W155="","",IF(INDEX('Per Invoice'!A$2:A$801,$W155)="","",INDEX('Per Invoice'!A$2:A$801,$W155)))</f>
        <v/>
      </c>
      <c r="B155">
        <f>IF($W155="","",IF(INDEX('Per Invoice'!B$2:B$801,$W155)="","",INDEX('Per Invoice'!B$2:B$801,$W155)))</f>
        <v/>
      </c>
      <c r="C155">
        <f>IF($W155="","",IF(INDEX('Per Invoice'!C$2:C$801,$W155)="","",INDEX('Per Invoice'!C$2:C$801,$W155)))</f>
        <v/>
      </c>
      <c r="D155">
        <f>IF($W155="","",IF(INDEX('Per Invoice'!D$2:D$801,$W155)="","",INDEX('Per Invoice'!D$2:D$801,$W155)))</f>
        <v/>
      </c>
      <c r="E155">
        <f>IF($W155="","",IF(INDEX('Per Invoice'!E$2:E$801,$W155)="","",INDEX('Per Invoice'!E$2:E$801,$W155)))</f>
        <v/>
      </c>
      <c r="F155">
        <f>IF($W155="","",IF(INDEX('Per Invoice'!F$2:F$801,$W155)="","",INDEX('Per Invoice'!F$2:F$801,$W155)))</f>
        <v/>
      </c>
      <c r="G155">
        <f>IF($W155="","",IF(INDEX('Per Invoice'!G$2:G$801,$W155)="","",INDEX('Per Invoice'!G$2:G$801,$W155)))</f>
        <v/>
      </c>
      <c r="H155">
        <f>IF($W155="","",IF(INDEX('Per Invoice'!H$2:H$801,$W155)="","",INDEX('Per Invoice'!H$2:H$801,$W155)))</f>
        <v/>
      </c>
      <c r="I155">
        <f>IF($W155="","",IF(INDEX('Per Invoice'!I$2:I$801,$W155)="","",INDEX('Per Invoice'!I$2:I$801,$W155)))</f>
        <v/>
      </c>
      <c r="J155">
        <f>IF($W155="","",IF(INDEX('Per Invoice'!J$2:J$801,$W155)="","",INDEX('Per Invoice'!J$2:J$801,$W155)))</f>
        <v/>
      </c>
      <c r="K155" s="7">
        <f>IF($W155="","",IF(INDEX('Per Invoice'!K$2:K$801,$W155)="","",INDEX('Per Invoice'!K$2:K$801,$W155)))</f>
        <v/>
      </c>
      <c r="L155" s="14">
        <f>IF($W155="","",IF(INDEX('Per Invoice'!L$2:L$801,$W155)="","",INDEX('Per Invoice'!L$2:L$801,$W155)))</f>
        <v/>
      </c>
      <c r="M155">
        <f>IF($W155="","",IF(INDEX('Per Invoice'!M$2:M$801,$W155)="","",INDEX('Per Invoice'!M$2:M$801,$W155)))</f>
        <v/>
      </c>
      <c r="N155" s="7">
        <f>IF($W155="","",IF(INDEX('Per Invoice'!N$2:N$801,$W155)="","",INDEX('Per Invoice'!N$2:N$801,$W155)))</f>
        <v/>
      </c>
      <c r="O155" s="7">
        <f>IF($W155="","",IF(INDEX('Per Invoice'!O$2:O$801,$W155)="","",INDEX('Per Invoice'!O$2:O$801,$W155)))</f>
        <v/>
      </c>
      <c r="P155">
        <f>IF($W155="","",IF(INDEX('Per Invoice'!P$2:P$801,$W155)="","",INDEX('Per Invoice'!P$2:P$801,$W155)))</f>
        <v/>
      </c>
      <c r="Q155" s="7">
        <f>IF($W155="","",IF(INDEX('Per Invoice'!Q$2:Q$801,$W155)="","",INDEX('Per Invoice'!Q$2:Q$801,$W155)))</f>
        <v/>
      </c>
      <c r="R155" s="7">
        <f>IF($W155="","",IF(INDEX('Per Invoice'!R$2:R$801,$W155)="","",INDEX('Per Invoice'!R$2:R$801,$W155)))</f>
        <v/>
      </c>
      <c r="S155" s="7">
        <f>IF($W155="","",IF(INDEX('Per Invoice'!S$2:S$801,$W155)="","",INDEX('Per Invoice'!S$2:S$801,$W155)))</f>
        <v/>
      </c>
      <c r="T155" s="7">
        <f>IF($W155="","",IF(INDEX('Per Invoice'!T$2:T$801,$W155)="","",INDEX('Per Invoice'!T$2:T$801,$W155)))</f>
        <v/>
      </c>
      <c r="U155" s="7">
        <f>IF($W155="","",IF(INDEX('Per Invoice'!U$2:U$801,$W155)="","",INDEX('Per Invoice'!U$2:U$801,$W155)))</f>
        <v/>
      </c>
      <c r="V155" s="7">
        <f>IF($W155="","",IF(INDEX('Per Invoice'!V$2:V$801,$W155)="","",INDEX('Per Invoice'!V$2:V$801,$W155)))</f>
        <v/>
      </c>
      <c r="W155" s="16">
        <f>IFERROR(MATCH(Settings!$C$26&amp;"|"&amp;ROWS($W$2:$W155),'Per Invoice'!$X$2:$X$801,0),"")</f>
        <v/>
      </c>
    </row>
    <row r="156">
      <c r="A156">
        <f>IF($W156="","",IF(INDEX('Per Invoice'!A$2:A$801,$W156)="","",INDEX('Per Invoice'!A$2:A$801,$W156)))</f>
        <v/>
      </c>
      <c r="B156">
        <f>IF($W156="","",IF(INDEX('Per Invoice'!B$2:B$801,$W156)="","",INDEX('Per Invoice'!B$2:B$801,$W156)))</f>
        <v/>
      </c>
      <c r="C156">
        <f>IF($W156="","",IF(INDEX('Per Invoice'!C$2:C$801,$W156)="","",INDEX('Per Invoice'!C$2:C$801,$W156)))</f>
        <v/>
      </c>
      <c r="D156">
        <f>IF($W156="","",IF(INDEX('Per Invoice'!D$2:D$801,$W156)="","",INDEX('Per Invoice'!D$2:D$801,$W156)))</f>
        <v/>
      </c>
      <c r="E156">
        <f>IF($W156="","",IF(INDEX('Per Invoice'!E$2:E$801,$W156)="","",INDEX('Per Invoice'!E$2:E$801,$W156)))</f>
        <v/>
      </c>
      <c r="F156">
        <f>IF($W156="","",IF(INDEX('Per Invoice'!F$2:F$801,$W156)="","",INDEX('Per Invoice'!F$2:F$801,$W156)))</f>
        <v/>
      </c>
      <c r="G156">
        <f>IF($W156="","",IF(INDEX('Per Invoice'!G$2:G$801,$W156)="","",INDEX('Per Invoice'!G$2:G$801,$W156)))</f>
        <v/>
      </c>
      <c r="H156">
        <f>IF($W156="","",IF(INDEX('Per Invoice'!H$2:H$801,$W156)="","",INDEX('Per Invoice'!H$2:H$801,$W156)))</f>
        <v/>
      </c>
      <c r="I156">
        <f>IF($W156="","",IF(INDEX('Per Invoice'!I$2:I$801,$W156)="","",INDEX('Per Invoice'!I$2:I$801,$W156)))</f>
        <v/>
      </c>
      <c r="J156">
        <f>IF($W156="","",IF(INDEX('Per Invoice'!J$2:J$801,$W156)="","",INDEX('Per Invoice'!J$2:J$801,$W156)))</f>
        <v/>
      </c>
      <c r="K156" s="7">
        <f>IF($W156="","",IF(INDEX('Per Invoice'!K$2:K$801,$W156)="","",INDEX('Per Invoice'!K$2:K$801,$W156)))</f>
        <v/>
      </c>
      <c r="L156" s="14">
        <f>IF($W156="","",IF(INDEX('Per Invoice'!L$2:L$801,$W156)="","",INDEX('Per Invoice'!L$2:L$801,$W156)))</f>
        <v/>
      </c>
      <c r="M156">
        <f>IF($W156="","",IF(INDEX('Per Invoice'!M$2:M$801,$W156)="","",INDEX('Per Invoice'!M$2:M$801,$W156)))</f>
        <v/>
      </c>
      <c r="N156" s="7">
        <f>IF($W156="","",IF(INDEX('Per Invoice'!N$2:N$801,$W156)="","",INDEX('Per Invoice'!N$2:N$801,$W156)))</f>
        <v/>
      </c>
      <c r="O156" s="7">
        <f>IF($W156="","",IF(INDEX('Per Invoice'!O$2:O$801,$W156)="","",INDEX('Per Invoice'!O$2:O$801,$W156)))</f>
        <v/>
      </c>
      <c r="P156">
        <f>IF($W156="","",IF(INDEX('Per Invoice'!P$2:P$801,$W156)="","",INDEX('Per Invoice'!P$2:P$801,$W156)))</f>
        <v/>
      </c>
      <c r="Q156" s="7">
        <f>IF($W156="","",IF(INDEX('Per Invoice'!Q$2:Q$801,$W156)="","",INDEX('Per Invoice'!Q$2:Q$801,$W156)))</f>
        <v/>
      </c>
      <c r="R156" s="7">
        <f>IF($W156="","",IF(INDEX('Per Invoice'!R$2:R$801,$W156)="","",INDEX('Per Invoice'!R$2:R$801,$W156)))</f>
        <v/>
      </c>
      <c r="S156" s="7">
        <f>IF($W156="","",IF(INDEX('Per Invoice'!S$2:S$801,$W156)="","",INDEX('Per Invoice'!S$2:S$801,$W156)))</f>
        <v/>
      </c>
      <c r="T156" s="7">
        <f>IF($W156="","",IF(INDEX('Per Invoice'!T$2:T$801,$W156)="","",INDEX('Per Invoice'!T$2:T$801,$W156)))</f>
        <v/>
      </c>
      <c r="U156" s="7">
        <f>IF($W156="","",IF(INDEX('Per Invoice'!U$2:U$801,$W156)="","",INDEX('Per Invoice'!U$2:U$801,$W156)))</f>
        <v/>
      </c>
      <c r="V156" s="7">
        <f>IF($W156="","",IF(INDEX('Per Invoice'!V$2:V$801,$W156)="","",INDEX('Per Invoice'!V$2:V$801,$W156)))</f>
        <v/>
      </c>
      <c r="W156" s="16">
        <f>IFERROR(MATCH(Settings!$C$26&amp;"|"&amp;ROWS($W$2:$W156),'Per Invoice'!$X$2:$X$801,0),"")</f>
        <v/>
      </c>
    </row>
    <row r="157">
      <c r="A157">
        <f>IF($W157="","",IF(INDEX('Per Invoice'!A$2:A$801,$W157)="","",INDEX('Per Invoice'!A$2:A$801,$W157)))</f>
        <v/>
      </c>
      <c r="B157">
        <f>IF($W157="","",IF(INDEX('Per Invoice'!B$2:B$801,$W157)="","",INDEX('Per Invoice'!B$2:B$801,$W157)))</f>
        <v/>
      </c>
      <c r="C157">
        <f>IF($W157="","",IF(INDEX('Per Invoice'!C$2:C$801,$W157)="","",INDEX('Per Invoice'!C$2:C$801,$W157)))</f>
        <v/>
      </c>
      <c r="D157">
        <f>IF($W157="","",IF(INDEX('Per Invoice'!D$2:D$801,$W157)="","",INDEX('Per Invoice'!D$2:D$801,$W157)))</f>
        <v/>
      </c>
      <c r="E157">
        <f>IF($W157="","",IF(INDEX('Per Invoice'!E$2:E$801,$W157)="","",INDEX('Per Invoice'!E$2:E$801,$W157)))</f>
        <v/>
      </c>
      <c r="F157">
        <f>IF($W157="","",IF(INDEX('Per Invoice'!F$2:F$801,$W157)="","",INDEX('Per Invoice'!F$2:F$801,$W157)))</f>
        <v/>
      </c>
      <c r="G157">
        <f>IF($W157="","",IF(INDEX('Per Invoice'!G$2:G$801,$W157)="","",INDEX('Per Invoice'!G$2:G$801,$W157)))</f>
        <v/>
      </c>
      <c r="H157">
        <f>IF($W157="","",IF(INDEX('Per Invoice'!H$2:H$801,$W157)="","",INDEX('Per Invoice'!H$2:H$801,$W157)))</f>
        <v/>
      </c>
      <c r="I157">
        <f>IF($W157="","",IF(INDEX('Per Invoice'!I$2:I$801,$W157)="","",INDEX('Per Invoice'!I$2:I$801,$W157)))</f>
        <v/>
      </c>
      <c r="J157">
        <f>IF($W157="","",IF(INDEX('Per Invoice'!J$2:J$801,$W157)="","",INDEX('Per Invoice'!J$2:J$801,$W157)))</f>
        <v/>
      </c>
      <c r="K157" s="7">
        <f>IF($W157="","",IF(INDEX('Per Invoice'!K$2:K$801,$W157)="","",INDEX('Per Invoice'!K$2:K$801,$W157)))</f>
        <v/>
      </c>
      <c r="L157" s="14">
        <f>IF($W157="","",IF(INDEX('Per Invoice'!L$2:L$801,$W157)="","",INDEX('Per Invoice'!L$2:L$801,$W157)))</f>
        <v/>
      </c>
      <c r="M157">
        <f>IF($W157="","",IF(INDEX('Per Invoice'!M$2:M$801,$W157)="","",INDEX('Per Invoice'!M$2:M$801,$W157)))</f>
        <v/>
      </c>
      <c r="N157" s="7">
        <f>IF($W157="","",IF(INDEX('Per Invoice'!N$2:N$801,$W157)="","",INDEX('Per Invoice'!N$2:N$801,$W157)))</f>
        <v/>
      </c>
      <c r="O157" s="7">
        <f>IF($W157="","",IF(INDEX('Per Invoice'!O$2:O$801,$W157)="","",INDEX('Per Invoice'!O$2:O$801,$W157)))</f>
        <v/>
      </c>
      <c r="P157">
        <f>IF($W157="","",IF(INDEX('Per Invoice'!P$2:P$801,$W157)="","",INDEX('Per Invoice'!P$2:P$801,$W157)))</f>
        <v/>
      </c>
      <c r="Q157" s="7">
        <f>IF($W157="","",IF(INDEX('Per Invoice'!Q$2:Q$801,$W157)="","",INDEX('Per Invoice'!Q$2:Q$801,$W157)))</f>
        <v/>
      </c>
      <c r="R157" s="7">
        <f>IF($W157="","",IF(INDEX('Per Invoice'!R$2:R$801,$W157)="","",INDEX('Per Invoice'!R$2:R$801,$W157)))</f>
        <v/>
      </c>
      <c r="S157" s="7">
        <f>IF($W157="","",IF(INDEX('Per Invoice'!S$2:S$801,$W157)="","",INDEX('Per Invoice'!S$2:S$801,$W157)))</f>
        <v/>
      </c>
      <c r="T157" s="7">
        <f>IF($W157="","",IF(INDEX('Per Invoice'!T$2:T$801,$W157)="","",INDEX('Per Invoice'!T$2:T$801,$W157)))</f>
        <v/>
      </c>
      <c r="U157" s="7">
        <f>IF($W157="","",IF(INDEX('Per Invoice'!U$2:U$801,$W157)="","",INDEX('Per Invoice'!U$2:U$801,$W157)))</f>
        <v/>
      </c>
      <c r="V157" s="7">
        <f>IF($W157="","",IF(INDEX('Per Invoice'!V$2:V$801,$W157)="","",INDEX('Per Invoice'!V$2:V$801,$W157)))</f>
        <v/>
      </c>
      <c r="W157" s="16">
        <f>IFERROR(MATCH(Settings!$C$26&amp;"|"&amp;ROWS($W$2:$W157),'Per Invoice'!$X$2:$X$801,0),"")</f>
        <v/>
      </c>
    </row>
    <row r="158">
      <c r="A158">
        <f>IF($W158="","",IF(INDEX('Per Invoice'!A$2:A$801,$W158)="","",INDEX('Per Invoice'!A$2:A$801,$W158)))</f>
        <v/>
      </c>
      <c r="B158">
        <f>IF($W158="","",IF(INDEX('Per Invoice'!B$2:B$801,$W158)="","",INDEX('Per Invoice'!B$2:B$801,$W158)))</f>
        <v/>
      </c>
      <c r="C158">
        <f>IF($W158="","",IF(INDEX('Per Invoice'!C$2:C$801,$W158)="","",INDEX('Per Invoice'!C$2:C$801,$W158)))</f>
        <v/>
      </c>
      <c r="D158">
        <f>IF($W158="","",IF(INDEX('Per Invoice'!D$2:D$801,$W158)="","",INDEX('Per Invoice'!D$2:D$801,$W158)))</f>
        <v/>
      </c>
      <c r="E158">
        <f>IF($W158="","",IF(INDEX('Per Invoice'!E$2:E$801,$W158)="","",INDEX('Per Invoice'!E$2:E$801,$W158)))</f>
        <v/>
      </c>
      <c r="F158">
        <f>IF($W158="","",IF(INDEX('Per Invoice'!F$2:F$801,$W158)="","",INDEX('Per Invoice'!F$2:F$801,$W158)))</f>
        <v/>
      </c>
      <c r="G158">
        <f>IF($W158="","",IF(INDEX('Per Invoice'!G$2:G$801,$W158)="","",INDEX('Per Invoice'!G$2:G$801,$W158)))</f>
        <v/>
      </c>
      <c r="H158">
        <f>IF($W158="","",IF(INDEX('Per Invoice'!H$2:H$801,$W158)="","",INDEX('Per Invoice'!H$2:H$801,$W158)))</f>
        <v/>
      </c>
      <c r="I158">
        <f>IF($W158="","",IF(INDEX('Per Invoice'!I$2:I$801,$W158)="","",INDEX('Per Invoice'!I$2:I$801,$W158)))</f>
        <v/>
      </c>
      <c r="J158">
        <f>IF($W158="","",IF(INDEX('Per Invoice'!J$2:J$801,$W158)="","",INDEX('Per Invoice'!J$2:J$801,$W158)))</f>
        <v/>
      </c>
      <c r="K158" s="7">
        <f>IF($W158="","",IF(INDEX('Per Invoice'!K$2:K$801,$W158)="","",INDEX('Per Invoice'!K$2:K$801,$W158)))</f>
        <v/>
      </c>
      <c r="L158" s="14">
        <f>IF($W158="","",IF(INDEX('Per Invoice'!L$2:L$801,$W158)="","",INDEX('Per Invoice'!L$2:L$801,$W158)))</f>
        <v/>
      </c>
      <c r="M158">
        <f>IF($W158="","",IF(INDEX('Per Invoice'!M$2:M$801,$W158)="","",INDEX('Per Invoice'!M$2:M$801,$W158)))</f>
        <v/>
      </c>
      <c r="N158" s="7">
        <f>IF($W158="","",IF(INDEX('Per Invoice'!N$2:N$801,$W158)="","",INDEX('Per Invoice'!N$2:N$801,$W158)))</f>
        <v/>
      </c>
      <c r="O158" s="7">
        <f>IF($W158="","",IF(INDEX('Per Invoice'!O$2:O$801,$W158)="","",INDEX('Per Invoice'!O$2:O$801,$W158)))</f>
        <v/>
      </c>
      <c r="P158">
        <f>IF($W158="","",IF(INDEX('Per Invoice'!P$2:P$801,$W158)="","",INDEX('Per Invoice'!P$2:P$801,$W158)))</f>
        <v/>
      </c>
      <c r="Q158" s="7">
        <f>IF($W158="","",IF(INDEX('Per Invoice'!Q$2:Q$801,$W158)="","",INDEX('Per Invoice'!Q$2:Q$801,$W158)))</f>
        <v/>
      </c>
      <c r="R158" s="7">
        <f>IF($W158="","",IF(INDEX('Per Invoice'!R$2:R$801,$W158)="","",INDEX('Per Invoice'!R$2:R$801,$W158)))</f>
        <v/>
      </c>
      <c r="S158" s="7">
        <f>IF($W158="","",IF(INDEX('Per Invoice'!S$2:S$801,$W158)="","",INDEX('Per Invoice'!S$2:S$801,$W158)))</f>
        <v/>
      </c>
      <c r="T158" s="7">
        <f>IF($W158="","",IF(INDEX('Per Invoice'!T$2:T$801,$W158)="","",INDEX('Per Invoice'!T$2:T$801,$W158)))</f>
        <v/>
      </c>
      <c r="U158" s="7">
        <f>IF($W158="","",IF(INDEX('Per Invoice'!U$2:U$801,$W158)="","",INDEX('Per Invoice'!U$2:U$801,$W158)))</f>
        <v/>
      </c>
      <c r="V158" s="7">
        <f>IF($W158="","",IF(INDEX('Per Invoice'!V$2:V$801,$W158)="","",INDEX('Per Invoice'!V$2:V$801,$W158)))</f>
        <v/>
      </c>
      <c r="W158" s="16">
        <f>IFERROR(MATCH(Settings!$C$26&amp;"|"&amp;ROWS($W$2:$W158),'Per Invoice'!$X$2:$X$801,0),"")</f>
        <v/>
      </c>
    </row>
    <row r="159">
      <c r="A159">
        <f>IF($W159="","",IF(INDEX('Per Invoice'!A$2:A$801,$W159)="","",INDEX('Per Invoice'!A$2:A$801,$W159)))</f>
        <v/>
      </c>
      <c r="B159">
        <f>IF($W159="","",IF(INDEX('Per Invoice'!B$2:B$801,$W159)="","",INDEX('Per Invoice'!B$2:B$801,$W159)))</f>
        <v/>
      </c>
      <c r="C159">
        <f>IF($W159="","",IF(INDEX('Per Invoice'!C$2:C$801,$W159)="","",INDEX('Per Invoice'!C$2:C$801,$W159)))</f>
        <v/>
      </c>
      <c r="D159">
        <f>IF($W159="","",IF(INDEX('Per Invoice'!D$2:D$801,$W159)="","",INDEX('Per Invoice'!D$2:D$801,$W159)))</f>
        <v/>
      </c>
      <c r="E159">
        <f>IF($W159="","",IF(INDEX('Per Invoice'!E$2:E$801,$W159)="","",INDEX('Per Invoice'!E$2:E$801,$W159)))</f>
        <v/>
      </c>
      <c r="F159">
        <f>IF($W159="","",IF(INDEX('Per Invoice'!F$2:F$801,$W159)="","",INDEX('Per Invoice'!F$2:F$801,$W159)))</f>
        <v/>
      </c>
      <c r="G159">
        <f>IF($W159="","",IF(INDEX('Per Invoice'!G$2:G$801,$W159)="","",INDEX('Per Invoice'!G$2:G$801,$W159)))</f>
        <v/>
      </c>
      <c r="H159">
        <f>IF($W159="","",IF(INDEX('Per Invoice'!H$2:H$801,$W159)="","",INDEX('Per Invoice'!H$2:H$801,$W159)))</f>
        <v/>
      </c>
      <c r="I159">
        <f>IF($W159="","",IF(INDEX('Per Invoice'!I$2:I$801,$W159)="","",INDEX('Per Invoice'!I$2:I$801,$W159)))</f>
        <v/>
      </c>
      <c r="J159">
        <f>IF($W159="","",IF(INDEX('Per Invoice'!J$2:J$801,$W159)="","",INDEX('Per Invoice'!J$2:J$801,$W159)))</f>
        <v/>
      </c>
      <c r="K159" s="7">
        <f>IF($W159="","",IF(INDEX('Per Invoice'!K$2:K$801,$W159)="","",INDEX('Per Invoice'!K$2:K$801,$W159)))</f>
        <v/>
      </c>
      <c r="L159" s="14">
        <f>IF($W159="","",IF(INDEX('Per Invoice'!L$2:L$801,$W159)="","",INDEX('Per Invoice'!L$2:L$801,$W159)))</f>
        <v/>
      </c>
      <c r="M159">
        <f>IF($W159="","",IF(INDEX('Per Invoice'!M$2:M$801,$W159)="","",INDEX('Per Invoice'!M$2:M$801,$W159)))</f>
        <v/>
      </c>
      <c r="N159" s="7">
        <f>IF($W159="","",IF(INDEX('Per Invoice'!N$2:N$801,$W159)="","",INDEX('Per Invoice'!N$2:N$801,$W159)))</f>
        <v/>
      </c>
      <c r="O159" s="7">
        <f>IF($W159="","",IF(INDEX('Per Invoice'!O$2:O$801,$W159)="","",INDEX('Per Invoice'!O$2:O$801,$W159)))</f>
        <v/>
      </c>
      <c r="P159">
        <f>IF($W159="","",IF(INDEX('Per Invoice'!P$2:P$801,$W159)="","",INDEX('Per Invoice'!P$2:P$801,$W159)))</f>
        <v/>
      </c>
      <c r="Q159" s="7">
        <f>IF($W159="","",IF(INDEX('Per Invoice'!Q$2:Q$801,$W159)="","",INDEX('Per Invoice'!Q$2:Q$801,$W159)))</f>
        <v/>
      </c>
      <c r="R159" s="7">
        <f>IF($W159="","",IF(INDEX('Per Invoice'!R$2:R$801,$W159)="","",INDEX('Per Invoice'!R$2:R$801,$W159)))</f>
        <v/>
      </c>
      <c r="S159" s="7">
        <f>IF($W159="","",IF(INDEX('Per Invoice'!S$2:S$801,$W159)="","",INDEX('Per Invoice'!S$2:S$801,$W159)))</f>
        <v/>
      </c>
      <c r="T159" s="7">
        <f>IF($W159="","",IF(INDEX('Per Invoice'!T$2:T$801,$W159)="","",INDEX('Per Invoice'!T$2:T$801,$W159)))</f>
        <v/>
      </c>
      <c r="U159" s="7">
        <f>IF($W159="","",IF(INDEX('Per Invoice'!U$2:U$801,$W159)="","",INDEX('Per Invoice'!U$2:U$801,$W159)))</f>
        <v/>
      </c>
      <c r="V159" s="7">
        <f>IF($W159="","",IF(INDEX('Per Invoice'!V$2:V$801,$W159)="","",INDEX('Per Invoice'!V$2:V$801,$W159)))</f>
        <v/>
      </c>
      <c r="W159" s="16">
        <f>IFERROR(MATCH(Settings!$C$26&amp;"|"&amp;ROWS($W$2:$W159),'Per Invoice'!$X$2:$X$801,0),"")</f>
        <v/>
      </c>
    </row>
    <row r="160">
      <c r="A160">
        <f>IF($W160="","",IF(INDEX('Per Invoice'!A$2:A$801,$W160)="","",INDEX('Per Invoice'!A$2:A$801,$W160)))</f>
        <v/>
      </c>
      <c r="B160">
        <f>IF($W160="","",IF(INDEX('Per Invoice'!B$2:B$801,$W160)="","",INDEX('Per Invoice'!B$2:B$801,$W160)))</f>
        <v/>
      </c>
      <c r="C160">
        <f>IF($W160="","",IF(INDEX('Per Invoice'!C$2:C$801,$W160)="","",INDEX('Per Invoice'!C$2:C$801,$W160)))</f>
        <v/>
      </c>
      <c r="D160">
        <f>IF($W160="","",IF(INDEX('Per Invoice'!D$2:D$801,$W160)="","",INDEX('Per Invoice'!D$2:D$801,$W160)))</f>
        <v/>
      </c>
      <c r="E160">
        <f>IF($W160="","",IF(INDEX('Per Invoice'!E$2:E$801,$W160)="","",INDEX('Per Invoice'!E$2:E$801,$W160)))</f>
        <v/>
      </c>
      <c r="F160">
        <f>IF($W160="","",IF(INDEX('Per Invoice'!F$2:F$801,$W160)="","",INDEX('Per Invoice'!F$2:F$801,$W160)))</f>
        <v/>
      </c>
      <c r="G160">
        <f>IF($W160="","",IF(INDEX('Per Invoice'!G$2:G$801,$W160)="","",INDEX('Per Invoice'!G$2:G$801,$W160)))</f>
        <v/>
      </c>
      <c r="H160">
        <f>IF($W160="","",IF(INDEX('Per Invoice'!H$2:H$801,$W160)="","",INDEX('Per Invoice'!H$2:H$801,$W160)))</f>
        <v/>
      </c>
      <c r="I160">
        <f>IF($W160="","",IF(INDEX('Per Invoice'!I$2:I$801,$W160)="","",INDEX('Per Invoice'!I$2:I$801,$W160)))</f>
        <v/>
      </c>
      <c r="J160">
        <f>IF($W160="","",IF(INDEX('Per Invoice'!J$2:J$801,$W160)="","",INDEX('Per Invoice'!J$2:J$801,$W160)))</f>
        <v/>
      </c>
      <c r="K160" s="7">
        <f>IF($W160="","",IF(INDEX('Per Invoice'!K$2:K$801,$W160)="","",INDEX('Per Invoice'!K$2:K$801,$W160)))</f>
        <v/>
      </c>
      <c r="L160" s="14">
        <f>IF($W160="","",IF(INDEX('Per Invoice'!L$2:L$801,$W160)="","",INDEX('Per Invoice'!L$2:L$801,$W160)))</f>
        <v/>
      </c>
      <c r="M160">
        <f>IF($W160="","",IF(INDEX('Per Invoice'!M$2:M$801,$W160)="","",INDEX('Per Invoice'!M$2:M$801,$W160)))</f>
        <v/>
      </c>
      <c r="N160" s="7">
        <f>IF($W160="","",IF(INDEX('Per Invoice'!N$2:N$801,$W160)="","",INDEX('Per Invoice'!N$2:N$801,$W160)))</f>
        <v/>
      </c>
      <c r="O160" s="7">
        <f>IF($W160="","",IF(INDEX('Per Invoice'!O$2:O$801,$W160)="","",INDEX('Per Invoice'!O$2:O$801,$W160)))</f>
        <v/>
      </c>
      <c r="P160">
        <f>IF($W160="","",IF(INDEX('Per Invoice'!P$2:P$801,$W160)="","",INDEX('Per Invoice'!P$2:P$801,$W160)))</f>
        <v/>
      </c>
      <c r="Q160" s="7">
        <f>IF($W160="","",IF(INDEX('Per Invoice'!Q$2:Q$801,$W160)="","",INDEX('Per Invoice'!Q$2:Q$801,$W160)))</f>
        <v/>
      </c>
      <c r="R160" s="7">
        <f>IF($W160="","",IF(INDEX('Per Invoice'!R$2:R$801,$W160)="","",INDEX('Per Invoice'!R$2:R$801,$W160)))</f>
        <v/>
      </c>
      <c r="S160" s="7">
        <f>IF($W160="","",IF(INDEX('Per Invoice'!S$2:S$801,$W160)="","",INDEX('Per Invoice'!S$2:S$801,$W160)))</f>
        <v/>
      </c>
      <c r="T160" s="7">
        <f>IF($W160="","",IF(INDEX('Per Invoice'!T$2:T$801,$W160)="","",INDEX('Per Invoice'!T$2:T$801,$W160)))</f>
        <v/>
      </c>
      <c r="U160" s="7">
        <f>IF($W160="","",IF(INDEX('Per Invoice'!U$2:U$801,$W160)="","",INDEX('Per Invoice'!U$2:U$801,$W160)))</f>
        <v/>
      </c>
      <c r="V160" s="7">
        <f>IF($W160="","",IF(INDEX('Per Invoice'!V$2:V$801,$W160)="","",INDEX('Per Invoice'!V$2:V$801,$W160)))</f>
        <v/>
      </c>
      <c r="W160" s="16">
        <f>IFERROR(MATCH(Settings!$C$26&amp;"|"&amp;ROWS($W$2:$W160),'Per Invoice'!$X$2:$X$801,0),"")</f>
        <v/>
      </c>
    </row>
    <row r="161">
      <c r="A161">
        <f>IF($W161="","",IF(INDEX('Per Invoice'!A$2:A$801,$W161)="","",INDEX('Per Invoice'!A$2:A$801,$W161)))</f>
        <v/>
      </c>
      <c r="B161">
        <f>IF($W161="","",IF(INDEX('Per Invoice'!B$2:B$801,$W161)="","",INDEX('Per Invoice'!B$2:B$801,$W161)))</f>
        <v/>
      </c>
      <c r="C161">
        <f>IF($W161="","",IF(INDEX('Per Invoice'!C$2:C$801,$W161)="","",INDEX('Per Invoice'!C$2:C$801,$W161)))</f>
        <v/>
      </c>
      <c r="D161">
        <f>IF($W161="","",IF(INDEX('Per Invoice'!D$2:D$801,$W161)="","",INDEX('Per Invoice'!D$2:D$801,$W161)))</f>
        <v/>
      </c>
      <c r="E161">
        <f>IF($W161="","",IF(INDEX('Per Invoice'!E$2:E$801,$W161)="","",INDEX('Per Invoice'!E$2:E$801,$W161)))</f>
        <v/>
      </c>
      <c r="F161">
        <f>IF($W161="","",IF(INDEX('Per Invoice'!F$2:F$801,$W161)="","",INDEX('Per Invoice'!F$2:F$801,$W161)))</f>
        <v/>
      </c>
      <c r="G161">
        <f>IF($W161="","",IF(INDEX('Per Invoice'!G$2:G$801,$W161)="","",INDEX('Per Invoice'!G$2:G$801,$W161)))</f>
        <v/>
      </c>
      <c r="H161">
        <f>IF($W161="","",IF(INDEX('Per Invoice'!H$2:H$801,$W161)="","",INDEX('Per Invoice'!H$2:H$801,$W161)))</f>
        <v/>
      </c>
      <c r="I161">
        <f>IF($W161="","",IF(INDEX('Per Invoice'!I$2:I$801,$W161)="","",INDEX('Per Invoice'!I$2:I$801,$W161)))</f>
        <v/>
      </c>
      <c r="J161">
        <f>IF($W161="","",IF(INDEX('Per Invoice'!J$2:J$801,$W161)="","",INDEX('Per Invoice'!J$2:J$801,$W161)))</f>
        <v/>
      </c>
      <c r="K161" s="7">
        <f>IF($W161="","",IF(INDEX('Per Invoice'!K$2:K$801,$W161)="","",INDEX('Per Invoice'!K$2:K$801,$W161)))</f>
        <v/>
      </c>
      <c r="L161" s="14">
        <f>IF($W161="","",IF(INDEX('Per Invoice'!L$2:L$801,$W161)="","",INDEX('Per Invoice'!L$2:L$801,$W161)))</f>
        <v/>
      </c>
      <c r="M161">
        <f>IF($W161="","",IF(INDEX('Per Invoice'!M$2:M$801,$W161)="","",INDEX('Per Invoice'!M$2:M$801,$W161)))</f>
        <v/>
      </c>
      <c r="N161" s="7">
        <f>IF($W161="","",IF(INDEX('Per Invoice'!N$2:N$801,$W161)="","",INDEX('Per Invoice'!N$2:N$801,$W161)))</f>
        <v/>
      </c>
      <c r="O161" s="7">
        <f>IF($W161="","",IF(INDEX('Per Invoice'!O$2:O$801,$W161)="","",INDEX('Per Invoice'!O$2:O$801,$W161)))</f>
        <v/>
      </c>
      <c r="P161">
        <f>IF($W161="","",IF(INDEX('Per Invoice'!P$2:P$801,$W161)="","",INDEX('Per Invoice'!P$2:P$801,$W161)))</f>
        <v/>
      </c>
      <c r="Q161" s="7">
        <f>IF($W161="","",IF(INDEX('Per Invoice'!Q$2:Q$801,$W161)="","",INDEX('Per Invoice'!Q$2:Q$801,$W161)))</f>
        <v/>
      </c>
      <c r="R161" s="7">
        <f>IF($W161="","",IF(INDEX('Per Invoice'!R$2:R$801,$W161)="","",INDEX('Per Invoice'!R$2:R$801,$W161)))</f>
        <v/>
      </c>
      <c r="S161" s="7">
        <f>IF($W161="","",IF(INDEX('Per Invoice'!S$2:S$801,$W161)="","",INDEX('Per Invoice'!S$2:S$801,$W161)))</f>
        <v/>
      </c>
      <c r="T161" s="7">
        <f>IF($W161="","",IF(INDEX('Per Invoice'!T$2:T$801,$W161)="","",INDEX('Per Invoice'!T$2:T$801,$W161)))</f>
        <v/>
      </c>
      <c r="U161" s="7">
        <f>IF($W161="","",IF(INDEX('Per Invoice'!U$2:U$801,$W161)="","",INDEX('Per Invoice'!U$2:U$801,$W161)))</f>
        <v/>
      </c>
      <c r="V161" s="7">
        <f>IF($W161="","",IF(INDEX('Per Invoice'!V$2:V$801,$W161)="","",INDEX('Per Invoice'!V$2:V$801,$W161)))</f>
        <v/>
      </c>
      <c r="W161" s="16">
        <f>IFERROR(MATCH(Settings!$C$26&amp;"|"&amp;ROWS($W$2:$W161),'Per Invoice'!$X$2:$X$801,0),"")</f>
        <v/>
      </c>
    </row>
    <row r="162">
      <c r="A162">
        <f>IF($W162="","",IF(INDEX('Per Invoice'!A$2:A$801,$W162)="","",INDEX('Per Invoice'!A$2:A$801,$W162)))</f>
        <v/>
      </c>
      <c r="B162">
        <f>IF($W162="","",IF(INDEX('Per Invoice'!B$2:B$801,$W162)="","",INDEX('Per Invoice'!B$2:B$801,$W162)))</f>
        <v/>
      </c>
      <c r="C162">
        <f>IF($W162="","",IF(INDEX('Per Invoice'!C$2:C$801,$W162)="","",INDEX('Per Invoice'!C$2:C$801,$W162)))</f>
        <v/>
      </c>
      <c r="D162">
        <f>IF($W162="","",IF(INDEX('Per Invoice'!D$2:D$801,$W162)="","",INDEX('Per Invoice'!D$2:D$801,$W162)))</f>
        <v/>
      </c>
      <c r="E162">
        <f>IF($W162="","",IF(INDEX('Per Invoice'!E$2:E$801,$W162)="","",INDEX('Per Invoice'!E$2:E$801,$W162)))</f>
        <v/>
      </c>
      <c r="F162">
        <f>IF($W162="","",IF(INDEX('Per Invoice'!F$2:F$801,$W162)="","",INDEX('Per Invoice'!F$2:F$801,$W162)))</f>
        <v/>
      </c>
      <c r="G162">
        <f>IF($W162="","",IF(INDEX('Per Invoice'!G$2:G$801,$W162)="","",INDEX('Per Invoice'!G$2:G$801,$W162)))</f>
        <v/>
      </c>
      <c r="H162">
        <f>IF($W162="","",IF(INDEX('Per Invoice'!H$2:H$801,$W162)="","",INDEX('Per Invoice'!H$2:H$801,$W162)))</f>
        <v/>
      </c>
      <c r="I162">
        <f>IF($W162="","",IF(INDEX('Per Invoice'!I$2:I$801,$W162)="","",INDEX('Per Invoice'!I$2:I$801,$W162)))</f>
        <v/>
      </c>
      <c r="J162">
        <f>IF($W162="","",IF(INDEX('Per Invoice'!J$2:J$801,$W162)="","",INDEX('Per Invoice'!J$2:J$801,$W162)))</f>
        <v/>
      </c>
      <c r="K162" s="7">
        <f>IF($W162="","",IF(INDEX('Per Invoice'!K$2:K$801,$W162)="","",INDEX('Per Invoice'!K$2:K$801,$W162)))</f>
        <v/>
      </c>
      <c r="L162" s="14">
        <f>IF($W162="","",IF(INDEX('Per Invoice'!L$2:L$801,$W162)="","",INDEX('Per Invoice'!L$2:L$801,$W162)))</f>
        <v/>
      </c>
      <c r="M162">
        <f>IF($W162="","",IF(INDEX('Per Invoice'!M$2:M$801,$W162)="","",INDEX('Per Invoice'!M$2:M$801,$W162)))</f>
        <v/>
      </c>
      <c r="N162" s="7">
        <f>IF($W162="","",IF(INDEX('Per Invoice'!N$2:N$801,$W162)="","",INDEX('Per Invoice'!N$2:N$801,$W162)))</f>
        <v/>
      </c>
      <c r="O162" s="7">
        <f>IF($W162="","",IF(INDEX('Per Invoice'!O$2:O$801,$W162)="","",INDEX('Per Invoice'!O$2:O$801,$W162)))</f>
        <v/>
      </c>
      <c r="P162">
        <f>IF($W162="","",IF(INDEX('Per Invoice'!P$2:P$801,$W162)="","",INDEX('Per Invoice'!P$2:P$801,$W162)))</f>
        <v/>
      </c>
      <c r="Q162" s="7">
        <f>IF($W162="","",IF(INDEX('Per Invoice'!Q$2:Q$801,$W162)="","",INDEX('Per Invoice'!Q$2:Q$801,$W162)))</f>
        <v/>
      </c>
      <c r="R162" s="7">
        <f>IF($W162="","",IF(INDEX('Per Invoice'!R$2:R$801,$W162)="","",INDEX('Per Invoice'!R$2:R$801,$W162)))</f>
        <v/>
      </c>
      <c r="S162" s="7">
        <f>IF($W162="","",IF(INDEX('Per Invoice'!S$2:S$801,$W162)="","",INDEX('Per Invoice'!S$2:S$801,$W162)))</f>
        <v/>
      </c>
      <c r="T162" s="7">
        <f>IF($W162="","",IF(INDEX('Per Invoice'!T$2:T$801,$W162)="","",INDEX('Per Invoice'!T$2:T$801,$W162)))</f>
        <v/>
      </c>
      <c r="U162" s="7">
        <f>IF($W162="","",IF(INDEX('Per Invoice'!U$2:U$801,$W162)="","",INDEX('Per Invoice'!U$2:U$801,$W162)))</f>
        <v/>
      </c>
      <c r="V162" s="7">
        <f>IF($W162="","",IF(INDEX('Per Invoice'!V$2:V$801,$W162)="","",INDEX('Per Invoice'!V$2:V$801,$W162)))</f>
        <v/>
      </c>
      <c r="W162" s="16">
        <f>IFERROR(MATCH(Settings!$C$26&amp;"|"&amp;ROWS($W$2:$W162),'Per Invoice'!$X$2:$X$801,0),"")</f>
        <v/>
      </c>
    </row>
    <row r="163">
      <c r="A163">
        <f>IF($W163="","",IF(INDEX('Per Invoice'!A$2:A$801,$W163)="","",INDEX('Per Invoice'!A$2:A$801,$W163)))</f>
        <v/>
      </c>
      <c r="B163">
        <f>IF($W163="","",IF(INDEX('Per Invoice'!B$2:B$801,$W163)="","",INDEX('Per Invoice'!B$2:B$801,$W163)))</f>
        <v/>
      </c>
      <c r="C163">
        <f>IF($W163="","",IF(INDEX('Per Invoice'!C$2:C$801,$W163)="","",INDEX('Per Invoice'!C$2:C$801,$W163)))</f>
        <v/>
      </c>
      <c r="D163">
        <f>IF($W163="","",IF(INDEX('Per Invoice'!D$2:D$801,$W163)="","",INDEX('Per Invoice'!D$2:D$801,$W163)))</f>
        <v/>
      </c>
      <c r="E163">
        <f>IF($W163="","",IF(INDEX('Per Invoice'!E$2:E$801,$W163)="","",INDEX('Per Invoice'!E$2:E$801,$W163)))</f>
        <v/>
      </c>
      <c r="F163">
        <f>IF($W163="","",IF(INDEX('Per Invoice'!F$2:F$801,$W163)="","",INDEX('Per Invoice'!F$2:F$801,$W163)))</f>
        <v/>
      </c>
      <c r="G163">
        <f>IF($W163="","",IF(INDEX('Per Invoice'!G$2:G$801,$W163)="","",INDEX('Per Invoice'!G$2:G$801,$W163)))</f>
        <v/>
      </c>
      <c r="H163">
        <f>IF($W163="","",IF(INDEX('Per Invoice'!H$2:H$801,$W163)="","",INDEX('Per Invoice'!H$2:H$801,$W163)))</f>
        <v/>
      </c>
      <c r="I163">
        <f>IF($W163="","",IF(INDEX('Per Invoice'!I$2:I$801,$W163)="","",INDEX('Per Invoice'!I$2:I$801,$W163)))</f>
        <v/>
      </c>
      <c r="J163">
        <f>IF($W163="","",IF(INDEX('Per Invoice'!J$2:J$801,$W163)="","",INDEX('Per Invoice'!J$2:J$801,$W163)))</f>
        <v/>
      </c>
      <c r="K163" s="7">
        <f>IF($W163="","",IF(INDEX('Per Invoice'!K$2:K$801,$W163)="","",INDEX('Per Invoice'!K$2:K$801,$W163)))</f>
        <v/>
      </c>
      <c r="L163" s="14">
        <f>IF($W163="","",IF(INDEX('Per Invoice'!L$2:L$801,$W163)="","",INDEX('Per Invoice'!L$2:L$801,$W163)))</f>
        <v/>
      </c>
      <c r="M163">
        <f>IF($W163="","",IF(INDEX('Per Invoice'!M$2:M$801,$W163)="","",INDEX('Per Invoice'!M$2:M$801,$W163)))</f>
        <v/>
      </c>
      <c r="N163" s="7">
        <f>IF($W163="","",IF(INDEX('Per Invoice'!N$2:N$801,$W163)="","",INDEX('Per Invoice'!N$2:N$801,$W163)))</f>
        <v/>
      </c>
      <c r="O163" s="7">
        <f>IF($W163="","",IF(INDEX('Per Invoice'!O$2:O$801,$W163)="","",INDEX('Per Invoice'!O$2:O$801,$W163)))</f>
        <v/>
      </c>
      <c r="P163">
        <f>IF($W163="","",IF(INDEX('Per Invoice'!P$2:P$801,$W163)="","",INDEX('Per Invoice'!P$2:P$801,$W163)))</f>
        <v/>
      </c>
      <c r="Q163" s="7">
        <f>IF($W163="","",IF(INDEX('Per Invoice'!Q$2:Q$801,$W163)="","",INDEX('Per Invoice'!Q$2:Q$801,$W163)))</f>
        <v/>
      </c>
      <c r="R163" s="7">
        <f>IF($W163="","",IF(INDEX('Per Invoice'!R$2:R$801,$W163)="","",INDEX('Per Invoice'!R$2:R$801,$W163)))</f>
        <v/>
      </c>
      <c r="S163" s="7">
        <f>IF($W163="","",IF(INDEX('Per Invoice'!S$2:S$801,$W163)="","",INDEX('Per Invoice'!S$2:S$801,$W163)))</f>
        <v/>
      </c>
      <c r="T163" s="7">
        <f>IF($W163="","",IF(INDEX('Per Invoice'!T$2:T$801,$W163)="","",INDEX('Per Invoice'!T$2:T$801,$W163)))</f>
        <v/>
      </c>
      <c r="U163" s="7">
        <f>IF($W163="","",IF(INDEX('Per Invoice'!U$2:U$801,$W163)="","",INDEX('Per Invoice'!U$2:U$801,$W163)))</f>
        <v/>
      </c>
      <c r="V163" s="7">
        <f>IF($W163="","",IF(INDEX('Per Invoice'!V$2:V$801,$W163)="","",INDEX('Per Invoice'!V$2:V$801,$W163)))</f>
        <v/>
      </c>
      <c r="W163" s="16">
        <f>IFERROR(MATCH(Settings!$C$26&amp;"|"&amp;ROWS($W$2:$W163),'Per Invoice'!$X$2:$X$801,0),"")</f>
        <v/>
      </c>
    </row>
    <row r="164">
      <c r="A164">
        <f>IF($W164="","",IF(INDEX('Per Invoice'!A$2:A$801,$W164)="","",INDEX('Per Invoice'!A$2:A$801,$W164)))</f>
        <v/>
      </c>
      <c r="B164">
        <f>IF($W164="","",IF(INDEX('Per Invoice'!B$2:B$801,$W164)="","",INDEX('Per Invoice'!B$2:B$801,$W164)))</f>
        <v/>
      </c>
      <c r="C164">
        <f>IF($W164="","",IF(INDEX('Per Invoice'!C$2:C$801,$W164)="","",INDEX('Per Invoice'!C$2:C$801,$W164)))</f>
        <v/>
      </c>
      <c r="D164">
        <f>IF($W164="","",IF(INDEX('Per Invoice'!D$2:D$801,$W164)="","",INDEX('Per Invoice'!D$2:D$801,$W164)))</f>
        <v/>
      </c>
      <c r="E164">
        <f>IF($W164="","",IF(INDEX('Per Invoice'!E$2:E$801,$W164)="","",INDEX('Per Invoice'!E$2:E$801,$W164)))</f>
        <v/>
      </c>
      <c r="F164">
        <f>IF($W164="","",IF(INDEX('Per Invoice'!F$2:F$801,$W164)="","",INDEX('Per Invoice'!F$2:F$801,$W164)))</f>
        <v/>
      </c>
      <c r="G164">
        <f>IF($W164="","",IF(INDEX('Per Invoice'!G$2:G$801,$W164)="","",INDEX('Per Invoice'!G$2:G$801,$W164)))</f>
        <v/>
      </c>
      <c r="H164">
        <f>IF($W164="","",IF(INDEX('Per Invoice'!H$2:H$801,$W164)="","",INDEX('Per Invoice'!H$2:H$801,$W164)))</f>
        <v/>
      </c>
      <c r="I164">
        <f>IF($W164="","",IF(INDEX('Per Invoice'!I$2:I$801,$W164)="","",INDEX('Per Invoice'!I$2:I$801,$W164)))</f>
        <v/>
      </c>
      <c r="J164">
        <f>IF($W164="","",IF(INDEX('Per Invoice'!J$2:J$801,$W164)="","",INDEX('Per Invoice'!J$2:J$801,$W164)))</f>
        <v/>
      </c>
      <c r="K164" s="7">
        <f>IF($W164="","",IF(INDEX('Per Invoice'!K$2:K$801,$W164)="","",INDEX('Per Invoice'!K$2:K$801,$W164)))</f>
        <v/>
      </c>
      <c r="L164" s="14">
        <f>IF($W164="","",IF(INDEX('Per Invoice'!L$2:L$801,$W164)="","",INDEX('Per Invoice'!L$2:L$801,$W164)))</f>
        <v/>
      </c>
      <c r="M164">
        <f>IF($W164="","",IF(INDEX('Per Invoice'!M$2:M$801,$W164)="","",INDEX('Per Invoice'!M$2:M$801,$W164)))</f>
        <v/>
      </c>
      <c r="N164" s="7">
        <f>IF($W164="","",IF(INDEX('Per Invoice'!N$2:N$801,$W164)="","",INDEX('Per Invoice'!N$2:N$801,$W164)))</f>
        <v/>
      </c>
      <c r="O164" s="7">
        <f>IF($W164="","",IF(INDEX('Per Invoice'!O$2:O$801,$W164)="","",INDEX('Per Invoice'!O$2:O$801,$W164)))</f>
        <v/>
      </c>
      <c r="P164">
        <f>IF($W164="","",IF(INDEX('Per Invoice'!P$2:P$801,$W164)="","",INDEX('Per Invoice'!P$2:P$801,$W164)))</f>
        <v/>
      </c>
      <c r="Q164" s="7">
        <f>IF($W164="","",IF(INDEX('Per Invoice'!Q$2:Q$801,$W164)="","",INDEX('Per Invoice'!Q$2:Q$801,$W164)))</f>
        <v/>
      </c>
      <c r="R164" s="7">
        <f>IF($W164="","",IF(INDEX('Per Invoice'!R$2:R$801,$W164)="","",INDEX('Per Invoice'!R$2:R$801,$W164)))</f>
        <v/>
      </c>
      <c r="S164" s="7">
        <f>IF($W164="","",IF(INDEX('Per Invoice'!S$2:S$801,$W164)="","",INDEX('Per Invoice'!S$2:S$801,$W164)))</f>
        <v/>
      </c>
      <c r="T164" s="7">
        <f>IF($W164="","",IF(INDEX('Per Invoice'!T$2:T$801,$W164)="","",INDEX('Per Invoice'!T$2:T$801,$W164)))</f>
        <v/>
      </c>
      <c r="U164" s="7">
        <f>IF($W164="","",IF(INDEX('Per Invoice'!U$2:U$801,$W164)="","",INDEX('Per Invoice'!U$2:U$801,$W164)))</f>
        <v/>
      </c>
      <c r="V164" s="7">
        <f>IF($W164="","",IF(INDEX('Per Invoice'!V$2:V$801,$W164)="","",INDEX('Per Invoice'!V$2:V$801,$W164)))</f>
        <v/>
      </c>
      <c r="W164" s="16">
        <f>IFERROR(MATCH(Settings!$C$26&amp;"|"&amp;ROWS($W$2:$W164),'Per Invoice'!$X$2:$X$801,0),"")</f>
        <v/>
      </c>
    </row>
    <row r="165">
      <c r="A165">
        <f>IF($W165="","",IF(INDEX('Per Invoice'!A$2:A$801,$W165)="","",INDEX('Per Invoice'!A$2:A$801,$W165)))</f>
        <v/>
      </c>
      <c r="B165">
        <f>IF($W165="","",IF(INDEX('Per Invoice'!B$2:B$801,$W165)="","",INDEX('Per Invoice'!B$2:B$801,$W165)))</f>
        <v/>
      </c>
      <c r="C165">
        <f>IF($W165="","",IF(INDEX('Per Invoice'!C$2:C$801,$W165)="","",INDEX('Per Invoice'!C$2:C$801,$W165)))</f>
        <v/>
      </c>
      <c r="D165">
        <f>IF($W165="","",IF(INDEX('Per Invoice'!D$2:D$801,$W165)="","",INDEX('Per Invoice'!D$2:D$801,$W165)))</f>
        <v/>
      </c>
      <c r="E165">
        <f>IF($W165="","",IF(INDEX('Per Invoice'!E$2:E$801,$W165)="","",INDEX('Per Invoice'!E$2:E$801,$W165)))</f>
        <v/>
      </c>
      <c r="F165">
        <f>IF($W165="","",IF(INDEX('Per Invoice'!F$2:F$801,$W165)="","",INDEX('Per Invoice'!F$2:F$801,$W165)))</f>
        <v/>
      </c>
      <c r="G165">
        <f>IF($W165="","",IF(INDEX('Per Invoice'!G$2:G$801,$W165)="","",INDEX('Per Invoice'!G$2:G$801,$W165)))</f>
        <v/>
      </c>
      <c r="H165">
        <f>IF($W165="","",IF(INDEX('Per Invoice'!H$2:H$801,$W165)="","",INDEX('Per Invoice'!H$2:H$801,$W165)))</f>
        <v/>
      </c>
      <c r="I165">
        <f>IF($W165="","",IF(INDEX('Per Invoice'!I$2:I$801,$W165)="","",INDEX('Per Invoice'!I$2:I$801,$W165)))</f>
        <v/>
      </c>
      <c r="J165">
        <f>IF($W165="","",IF(INDEX('Per Invoice'!J$2:J$801,$W165)="","",INDEX('Per Invoice'!J$2:J$801,$W165)))</f>
        <v/>
      </c>
      <c r="K165" s="7">
        <f>IF($W165="","",IF(INDEX('Per Invoice'!K$2:K$801,$W165)="","",INDEX('Per Invoice'!K$2:K$801,$W165)))</f>
        <v/>
      </c>
      <c r="L165" s="14">
        <f>IF($W165="","",IF(INDEX('Per Invoice'!L$2:L$801,$W165)="","",INDEX('Per Invoice'!L$2:L$801,$W165)))</f>
        <v/>
      </c>
      <c r="M165">
        <f>IF($W165="","",IF(INDEX('Per Invoice'!M$2:M$801,$W165)="","",INDEX('Per Invoice'!M$2:M$801,$W165)))</f>
        <v/>
      </c>
      <c r="N165" s="7">
        <f>IF($W165="","",IF(INDEX('Per Invoice'!N$2:N$801,$W165)="","",INDEX('Per Invoice'!N$2:N$801,$W165)))</f>
        <v/>
      </c>
      <c r="O165" s="7">
        <f>IF($W165="","",IF(INDEX('Per Invoice'!O$2:O$801,$W165)="","",INDEX('Per Invoice'!O$2:O$801,$W165)))</f>
        <v/>
      </c>
      <c r="P165">
        <f>IF($W165="","",IF(INDEX('Per Invoice'!P$2:P$801,$W165)="","",INDEX('Per Invoice'!P$2:P$801,$W165)))</f>
        <v/>
      </c>
      <c r="Q165" s="7">
        <f>IF($W165="","",IF(INDEX('Per Invoice'!Q$2:Q$801,$W165)="","",INDEX('Per Invoice'!Q$2:Q$801,$W165)))</f>
        <v/>
      </c>
      <c r="R165" s="7">
        <f>IF($W165="","",IF(INDEX('Per Invoice'!R$2:R$801,$W165)="","",INDEX('Per Invoice'!R$2:R$801,$W165)))</f>
        <v/>
      </c>
      <c r="S165" s="7">
        <f>IF($W165="","",IF(INDEX('Per Invoice'!S$2:S$801,$W165)="","",INDEX('Per Invoice'!S$2:S$801,$W165)))</f>
        <v/>
      </c>
      <c r="T165" s="7">
        <f>IF($W165="","",IF(INDEX('Per Invoice'!T$2:T$801,$W165)="","",INDEX('Per Invoice'!T$2:T$801,$W165)))</f>
        <v/>
      </c>
      <c r="U165" s="7">
        <f>IF($W165="","",IF(INDEX('Per Invoice'!U$2:U$801,$W165)="","",INDEX('Per Invoice'!U$2:U$801,$W165)))</f>
        <v/>
      </c>
      <c r="V165" s="7">
        <f>IF($W165="","",IF(INDEX('Per Invoice'!V$2:V$801,$W165)="","",INDEX('Per Invoice'!V$2:V$801,$W165)))</f>
        <v/>
      </c>
      <c r="W165" s="16">
        <f>IFERROR(MATCH(Settings!$C$26&amp;"|"&amp;ROWS($W$2:$W165),'Per Invoice'!$X$2:$X$801,0),"")</f>
        <v/>
      </c>
    </row>
    <row r="166">
      <c r="A166">
        <f>IF($W166="","",IF(INDEX('Per Invoice'!A$2:A$801,$W166)="","",INDEX('Per Invoice'!A$2:A$801,$W166)))</f>
        <v/>
      </c>
      <c r="B166">
        <f>IF($W166="","",IF(INDEX('Per Invoice'!B$2:B$801,$W166)="","",INDEX('Per Invoice'!B$2:B$801,$W166)))</f>
        <v/>
      </c>
      <c r="C166">
        <f>IF($W166="","",IF(INDEX('Per Invoice'!C$2:C$801,$W166)="","",INDEX('Per Invoice'!C$2:C$801,$W166)))</f>
        <v/>
      </c>
      <c r="D166">
        <f>IF($W166="","",IF(INDEX('Per Invoice'!D$2:D$801,$W166)="","",INDEX('Per Invoice'!D$2:D$801,$W166)))</f>
        <v/>
      </c>
      <c r="E166">
        <f>IF($W166="","",IF(INDEX('Per Invoice'!E$2:E$801,$W166)="","",INDEX('Per Invoice'!E$2:E$801,$W166)))</f>
        <v/>
      </c>
      <c r="F166">
        <f>IF($W166="","",IF(INDEX('Per Invoice'!F$2:F$801,$W166)="","",INDEX('Per Invoice'!F$2:F$801,$W166)))</f>
        <v/>
      </c>
      <c r="G166">
        <f>IF($W166="","",IF(INDEX('Per Invoice'!G$2:G$801,$W166)="","",INDEX('Per Invoice'!G$2:G$801,$W166)))</f>
        <v/>
      </c>
      <c r="H166">
        <f>IF($W166="","",IF(INDEX('Per Invoice'!H$2:H$801,$W166)="","",INDEX('Per Invoice'!H$2:H$801,$W166)))</f>
        <v/>
      </c>
      <c r="I166">
        <f>IF($W166="","",IF(INDEX('Per Invoice'!I$2:I$801,$W166)="","",INDEX('Per Invoice'!I$2:I$801,$W166)))</f>
        <v/>
      </c>
      <c r="J166">
        <f>IF($W166="","",IF(INDEX('Per Invoice'!J$2:J$801,$W166)="","",INDEX('Per Invoice'!J$2:J$801,$W166)))</f>
        <v/>
      </c>
      <c r="K166" s="7">
        <f>IF($W166="","",IF(INDEX('Per Invoice'!K$2:K$801,$W166)="","",INDEX('Per Invoice'!K$2:K$801,$W166)))</f>
        <v/>
      </c>
      <c r="L166" s="14">
        <f>IF($W166="","",IF(INDEX('Per Invoice'!L$2:L$801,$W166)="","",INDEX('Per Invoice'!L$2:L$801,$W166)))</f>
        <v/>
      </c>
      <c r="M166">
        <f>IF($W166="","",IF(INDEX('Per Invoice'!M$2:M$801,$W166)="","",INDEX('Per Invoice'!M$2:M$801,$W166)))</f>
        <v/>
      </c>
      <c r="N166" s="7">
        <f>IF($W166="","",IF(INDEX('Per Invoice'!N$2:N$801,$W166)="","",INDEX('Per Invoice'!N$2:N$801,$W166)))</f>
        <v/>
      </c>
      <c r="O166" s="7">
        <f>IF($W166="","",IF(INDEX('Per Invoice'!O$2:O$801,$W166)="","",INDEX('Per Invoice'!O$2:O$801,$W166)))</f>
        <v/>
      </c>
      <c r="P166">
        <f>IF($W166="","",IF(INDEX('Per Invoice'!P$2:P$801,$W166)="","",INDEX('Per Invoice'!P$2:P$801,$W166)))</f>
        <v/>
      </c>
      <c r="Q166" s="7">
        <f>IF($W166="","",IF(INDEX('Per Invoice'!Q$2:Q$801,$W166)="","",INDEX('Per Invoice'!Q$2:Q$801,$W166)))</f>
        <v/>
      </c>
      <c r="R166" s="7">
        <f>IF($W166="","",IF(INDEX('Per Invoice'!R$2:R$801,$W166)="","",INDEX('Per Invoice'!R$2:R$801,$W166)))</f>
        <v/>
      </c>
      <c r="S166" s="7">
        <f>IF($W166="","",IF(INDEX('Per Invoice'!S$2:S$801,$W166)="","",INDEX('Per Invoice'!S$2:S$801,$W166)))</f>
        <v/>
      </c>
      <c r="T166" s="7">
        <f>IF($W166="","",IF(INDEX('Per Invoice'!T$2:T$801,$W166)="","",INDEX('Per Invoice'!T$2:T$801,$W166)))</f>
        <v/>
      </c>
      <c r="U166" s="7">
        <f>IF($W166="","",IF(INDEX('Per Invoice'!U$2:U$801,$W166)="","",INDEX('Per Invoice'!U$2:U$801,$W166)))</f>
        <v/>
      </c>
      <c r="V166" s="7">
        <f>IF($W166="","",IF(INDEX('Per Invoice'!V$2:V$801,$W166)="","",INDEX('Per Invoice'!V$2:V$801,$W166)))</f>
        <v/>
      </c>
      <c r="W166" s="16">
        <f>IFERROR(MATCH(Settings!$C$26&amp;"|"&amp;ROWS($W$2:$W166),'Per Invoice'!$X$2:$X$801,0),"")</f>
        <v/>
      </c>
    </row>
    <row r="167">
      <c r="A167">
        <f>IF($W167="","",IF(INDEX('Per Invoice'!A$2:A$801,$W167)="","",INDEX('Per Invoice'!A$2:A$801,$W167)))</f>
        <v/>
      </c>
      <c r="B167">
        <f>IF($W167="","",IF(INDEX('Per Invoice'!B$2:B$801,$W167)="","",INDEX('Per Invoice'!B$2:B$801,$W167)))</f>
        <v/>
      </c>
      <c r="C167">
        <f>IF($W167="","",IF(INDEX('Per Invoice'!C$2:C$801,$W167)="","",INDEX('Per Invoice'!C$2:C$801,$W167)))</f>
        <v/>
      </c>
      <c r="D167">
        <f>IF($W167="","",IF(INDEX('Per Invoice'!D$2:D$801,$W167)="","",INDEX('Per Invoice'!D$2:D$801,$W167)))</f>
        <v/>
      </c>
      <c r="E167">
        <f>IF($W167="","",IF(INDEX('Per Invoice'!E$2:E$801,$W167)="","",INDEX('Per Invoice'!E$2:E$801,$W167)))</f>
        <v/>
      </c>
      <c r="F167">
        <f>IF($W167="","",IF(INDEX('Per Invoice'!F$2:F$801,$W167)="","",INDEX('Per Invoice'!F$2:F$801,$W167)))</f>
        <v/>
      </c>
      <c r="G167">
        <f>IF($W167="","",IF(INDEX('Per Invoice'!G$2:G$801,$W167)="","",INDEX('Per Invoice'!G$2:G$801,$W167)))</f>
        <v/>
      </c>
      <c r="H167">
        <f>IF($W167="","",IF(INDEX('Per Invoice'!H$2:H$801,$W167)="","",INDEX('Per Invoice'!H$2:H$801,$W167)))</f>
        <v/>
      </c>
      <c r="I167">
        <f>IF($W167="","",IF(INDEX('Per Invoice'!I$2:I$801,$W167)="","",INDEX('Per Invoice'!I$2:I$801,$W167)))</f>
        <v/>
      </c>
      <c r="J167">
        <f>IF($W167="","",IF(INDEX('Per Invoice'!J$2:J$801,$W167)="","",INDEX('Per Invoice'!J$2:J$801,$W167)))</f>
        <v/>
      </c>
      <c r="K167" s="7">
        <f>IF($W167="","",IF(INDEX('Per Invoice'!K$2:K$801,$W167)="","",INDEX('Per Invoice'!K$2:K$801,$W167)))</f>
        <v/>
      </c>
      <c r="L167" s="14">
        <f>IF($W167="","",IF(INDEX('Per Invoice'!L$2:L$801,$W167)="","",INDEX('Per Invoice'!L$2:L$801,$W167)))</f>
        <v/>
      </c>
      <c r="M167">
        <f>IF($W167="","",IF(INDEX('Per Invoice'!M$2:M$801,$W167)="","",INDEX('Per Invoice'!M$2:M$801,$W167)))</f>
        <v/>
      </c>
      <c r="N167" s="7">
        <f>IF($W167="","",IF(INDEX('Per Invoice'!N$2:N$801,$W167)="","",INDEX('Per Invoice'!N$2:N$801,$W167)))</f>
        <v/>
      </c>
      <c r="O167" s="7">
        <f>IF($W167="","",IF(INDEX('Per Invoice'!O$2:O$801,$W167)="","",INDEX('Per Invoice'!O$2:O$801,$W167)))</f>
        <v/>
      </c>
      <c r="P167">
        <f>IF($W167="","",IF(INDEX('Per Invoice'!P$2:P$801,$W167)="","",INDEX('Per Invoice'!P$2:P$801,$W167)))</f>
        <v/>
      </c>
      <c r="Q167" s="7">
        <f>IF($W167="","",IF(INDEX('Per Invoice'!Q$2:Q$801,$W167)="","",INDEX('Per Invoice'!Q$2:Q$801,$W167)))</f>
        <v/>
      </c>
      <c r="R167" s="7">
        <f>IF($W167="","",IF(INDEX('Per Invoice'!R$2:R$801,$W167)="","",INDEX('Per Invoice'!R$2:R$801,$W167)))</f>
        <v/>
      </c>
      <c r="S167" s="7">
        <f>IF($W167="","",IF(INDEX('Per Invoice'!S$2:S$801,$W167)="","",INDEX('Per Invoice'!S$2:S$801,$W167)))</f>
        <v/>
      </c>
      <c r="T167" s="7">
        <f>IF($W167="","",IF(INDEX('Per Invoice'!T$2:T$801,$W167)="","",INDEX('Per Invoice'!T$2:T$801,$W167)))</f>
        <v/>
      </c>
      <c r="U167" s="7">
        <f>IF($W167="","",IF(INDEX('Per Invoice'!U$2:U$801,$W167)="","",INDEX('Per Invoice'!U$2:U$801,$W167)))</f>
        <v/>
      </c>
      <c r="V167" s="7">
        <f>IF($W167="","",IF(INDEX('Per Invoice'!V$2:V$801,$W167)="","",INDEX('Per Invoice'!V$2:V$801,$W167)))</f>
        <v/>
      </c>
      <c r="W167" s="16">
        <f>IFERROR(MATCH(Settings!$C$26&amp;"|"&amp;ROWS($W$2:$W167),'Per Invoice'!$X$2:$X$801,0),"")</f>
        <v/>
      </c>
    </row>
    <row r="168">
      <c r="A168">
        <f>IF($W168="","",IF(INDEX('Per Invoice'!A$2:A$801,$W168)="","",INDEX('Per Invoice'!A$2:A$801,$W168)))</f>
        <v/>
      </c>
      <c r="B168">
        <f>IF($W168="","",IF(INDEX('Per Invoice'!B$2:B$801,$W168)="","",INDEX('Per Invoice'!B$2:B$801,$W168)))</f>
        <v/>
      </c>
      <c r="C168">
        <f>IF($W168="","",IF(INDEX('Per Invoice'!C$2:C$801,$W168)="","",INDEX('Per Invoice'!C$2:C$801,$W168)))</f>
        <v/>
      </c>
      <c r="D168">
        <f>IF($W168="","",IF(INDEX('Per Invoice'!D$2:D$801,$W168)="","",INDEX('Per Invoice'!D$2:D$801,$W168)))</f>
        <v/>
      </c>
      <c r="E168">
        <f>IF($W168="","",IF(INDEX('Per Invoice'!E$2:E$801,$W168)="","",INDEX('Per Invoice'!E$2:E$801,$W168)))</f>
        <v/>
      </c>
      <c r="F168">
        <f>IF($W168="","",IF(INDEX('Per Invoice'!F$2:F$801,$W168)="","",INDEX('Per Invoice'!F$2:F$801,$W168)))</f>
        <v/>
      </c>
      <c r="G168">
        <f>IF($W168="","",IF(INDEX('Per Invoice'!G$2:G$801,$W168)="","",INDEX('Per Invoice'!G$2:G$801,$W168)))</f>
        <v/>
      </c>
      <c r="H168">
        <f>IF($W168="","",IF(INDEX('Per Invoice'!H$2:H$801,$W168)="","",INDEX('Per Invoice'!H$2:H$801,$W168)))</f>
        <v/>
      </c>
      <c r="I168">
        <f>IF($W168="","",IF(INDEX('Per Invoice'!I$2:I$801,$W168)="","",INDEX('Per Invoice'!I$2:I$801,$W168)))</f>
        <v/>
      </c>
      <c r="J168">
        <f>IF($W168="","",IF(INDEX('Per Invoice'!J$2:J$801,$W168)="","",INDEX('Per Invoice'!J$2:J$801,$W168)))</f>
        <v/>
      </c>
      <c r="K168" s="7">
        <f>IF($W168="","",IF(INDEX('Per Invoice'!K$2:K$801,$W168)="","",INDEX('Per Invoice'!K$2:K$801,$W168)))</f>
        <v/>
      </c>
      <c r="L168" s="14">
        <f>IF($W168="","",IF(INDEX('Per Invoice'!L$2:L$801,$W168)="","",INDEX('Per Invoice'!L$2:L$801,$W168)))</f>
        <v/>
      </c>
      <c r="M168">
        <f>IF($W168="","",IF(INDEX('Per Invoice'!M$2:M$801,$W168)="","",INDEX('Per Invoice'!M$2:M$801,$W168)))</f>
        <v/>
      </c>
      <c r="N168" s="7">
        <f>IF($W168="","",IF(INDEX('Per Invoice'!N$2:N$801,$W168)="","",INDEX('Per Invoice'!N$2:N$801,$W168)))</f>
        <v/>
      </c>
      <c r="O168" s="7">
        <f>IF($W168="","",IF(INDEX('Per Invoice'!O$2:O$801,$W168)="","",INDEX('Per Invoice'!O$2:O$801,$W168)))</f>
        <v/>
      </c>
      <c r="P168">
        <f>IF($W168="","",IF(INDEX('Per Invoice'!P$2:P$801,$W168)="","",INDEX('Per Invoice'!P$2:P$801,$W168)))</f>
        <v/>
      </c>
      <c r="Q168" s="7">
        <f>IF($W168="","",IF(INDEX('Per Invoice'!Q$2:Q$801,$W168)="","",INDEX('Per Invoice'!Q$2:Q$801,$W168)))</f>
        <v/>
      </c>
      <c r="R168" s="7">
        <f>IF($W168="","",IF(INDEX('Per Invoice'!R$2:R$801,$W168)="","",INDEX('Per Invoice'!R$2:R$801,$W168)))</f>
        <v/>
      </c>
      <c r="S168" s="7">
        <f>IF($W168="","",IF(INDEX('Per Invoice'!S$2:S$801,$W168)="","",INDEX('Per Invoice'!S$2:S$801,$W168)))</f>
        <v/>
      </c>
      <c r="T168" s="7">
        <f>IF($W168="","",IF(INDEX('Per Invoice'!T$2:T$801,$W168)="","",INDEX('Per Invoice'!T$2:T$801,$W168)))</f>
        <v/>
      </c>
      <c r="U168" s="7">
        <f>IF($W168="","",IF(INDEX('Per Invoice'!U$2:U$801,$W168)="","",INDEX('Per Invoice'!U$2:U$801,$W168)))</f>
        <v/>
      </c>
      <c r="V168" s="7">
        <f>IF($W168="","",IF(INDEX('Per Invoice'!V$2:V$801,$W168)="","",INDEX('Per Invoice'!V$2:V$801,$W168)))</f>
        <v/>
      </c>
      <c r="W168" s="16">
        <f>IFERROR(MATCH(Settings!$C$26&amp;"|"&amp;ROWS($W$2:$W168),'Per Invoice'!$X$2:$X$801,0),"")</f>
        <v/>
      </c>
    </row>
    <row r="169">
      <c r="A169">
        <f>IF($W169="","",IF(INDEX('Per Invoice'!A$2:A$801,$W169)="","",INDEX('Per Invoice'!A$2:A$801,$W169)))</f>
        <v/>
      </c>
      <c r="B169">
        <f>IF($W169="","",IF(INDEX('Per Invoice'!B$2:B$801,$W169)="","",INDEX('Per Invoice'!B$2:B$801,$W169)))</f>
        <v/>
      </c>
      <c r="C169">
        <f>IF($W169="","",IF(INDEX('Per Invoice'!C$2:C$801,$W169)="","",INDEX('Per Invoice'!C$2:C$801,$W169)))</f>
        <v/>
      </c>
      <c r="D169">
        <f>IF($W169="","",IF(INDEX('Per Invoice'!D$2:D$801,$W169)="","",INDEX('Per Invoice'!D$2:D$801,$W169)))</f>
        <v/>
      </c>
      <c r="E169">
        <f>IF($W169="","",IF(INDEX('Per Invoice'!E$2:E$801,$W169)="","",INDEX('Per Invoice'!E$2:E$801,$W169)))</f>
        <v/>
      </c>
      <c r="F169">
        <f>IF($W169="","",IF(INDEX('Per Invoice'!F$2:F$801,$W169)="","",INDEX('Per Invoice'!F$2:F$801,$W169)))</f>
        <v/>
      </c>
      <c r="G169">
        <f>IF($W169="","",IF(INDEX('Per Invoice'!G$2:G$801,$W169)="","",INDEX('Per Invoice'!G$2:G$801,$W169)))</f>
        <v/>
      </c>
      <c r="H169">
        <f>IF($W169="","",IF(INDEX('Per Invoice'!H$2:H$801,$W169)="","",INDEX('Per Invoice'!H$2:H$801,$W169)))</f>
        <v/>
      </c>
      <c r="I169">
        <f>IF($W169="","",IF(INDEX('Per Invoice'!I$2:I$801,$W169)="","",INDEX('Per Invoice'!I$2:I$801,$W169)))</f>
        <v/>
      </c>
      <c r="J169">
        <f>IF($W169="","",IF(INDEX('Per Invoice'!J$2:J$801,$W169)="","",INDEX('Per Invoice'!J$2:J$801,$W169)))</f>
        <v/>
      </c>
      <c r="K169" s="7">
        <f>IF($W169="","",IF(INDEX('Per Invoice'!K$2:K$801,$W169)="","",INDEX('Per Invoice'!K$2:K$801,$W169)))</f>
        <v/>
      </c>
      <c r="L169" s="14">
        <f>IF($W169="","",IF(INDEX('Per Invoice'!L$2:L$801,$W169)="","",INDEX('Per Invoice'!L$2:L$801,$W169)))</f>
        <v/>
      </c>
      <c r="M169">
        <f>IF($W169="","",IF(INDEX('Per Invoice'!M$2:M$801,$W169)="","",INDEX('Per Invoice'!M$2:M$801,$W169)))</f>
        <v/>
      </c>
      <c r="N169" s="7">
        <f>IF($W169="","",IF(INDEX('Per Invoice'!N$2:N$801,$W169)="","",INDEX('Per Invoice'!N$2:N$801,$W169)))</f>
        <v/>
      </c>
      <c r="O169" s="7">
        <f>IF($W169="","",IF(INDEX('Per Invoice'!O$2:O$801,$W169)="","",INDEX('Per Invoice'!O$2:O$801,$W169)))</f>
        <v/>
      </c>
      <c r="P169">
        <f>IF($W169="","",IF(INDEX('Per Invoice'!P$2:P$801,$W169)="","",INDEX('Per Invoice'!P$2:P$801,$W169)))</f>
        <v/>
      </c>
      <c r="Q169" s="7">
        <f>IF($W169="","",IF(INDEX('Per Invoice'!Q$2:Q$801,$W169)="","",INDEX('Per Invoice'!Q$2:Q$801,$W169)))</f>
        <v/>
      </c>
      <c r="R169" s="7">
        <f>IF($W169="","",IF(INDEX('Per Invoice'!R$2:R$801,$W169)="","",INDEX('Per Invoice'!R$2:R$801,$W169)))</f>
        <v/>
      </c>
      <c r="S169" s="7">
        <f>IF($W169="","",IF(INDEX('Per Invoice'!S$2:S$801,$W169)="","",INDEX('Per Invoice'!S$2:S$801,$W169)))</f>
        <v/>
      </c>
      <c r="T169" s="7">
        <f>IF($W169="","",IF(INDEX('Per Invoice'!T$2:T$801,$W169)="","",INDEX('Per Invoice'!T$2:T$801,$W169)))</f>
        <v/>
      </c>
      <c r="U169" s="7">
        <f>IF($W169="","",IF(INDEX('Per Invoice'!U$2:U$801,$W169)="","",INDEX('Per Invoice'!U$2:U$801,$W169)))</f>
        <v/>
      </c>
      <c r="V169" s="7">
        <f>IF($W169="","",IF(INDEX('Per Invoice'!V$2:V$801,$W169)="","",INDEX('Per Invoice'!V$2:V$801,$W169)))</f>
        <v/>
      </c>
      <c r="W169" s="16">
        <f>IFERROR(MATCH(Settings!$C$26&amp;"|"&amp;ROWS($W$2:$W169),'Per Invoice'!$X$2:$X$801,0),"")</f>
        <v/>
      </c>
    </row>
    <row r="170">
      <c r="A170">
        <f>IF($W170="","",IF(INDEX('Per Invoice'!A$2:A$801,$W170)="","",INDEX('Per Invoice'!A$2:A$801,$W170)))</f>
        <v/>
      </c>
      <c r="B170">
        <f>IF($W170="","",IF(INDEX('Per Invoice'!B$2:B$801,$W170)="","",INDEX('Per Invoice'!B$2:B$801,$W170)))</f>
        <v/>
      </c>
      <c r="C170">
        <f>IF($W170="","",IF(INDEX('Per Invoice'!C$2:C$801,$W170)="","",INDEX('Per Invoice'!C$2:C$801,$W170)))</f>
        <v/>
      </c>
      <c r="D170">
        <f>IF($W170="","",IF(INDEX('Per Invoice'!D$2:D$801,$W170)="","",INDEX('Per Invoice'!D$2:D$801,$W170)))</f>
        <v/>
      </c>
      <c r="E170">
        <f>IF($W170="","",IF(INDEX('Per Invoice'!E$2:E$801,$W170)="","",INDEX('Per Invoice'!E$2:E$801,$W170)))</f>
        <v/>
      </c>
      <c r="F170">
        <f>IF($W170="","",IF(INDEX('Per Invoice'!F$2:F$801,$W170)="","",INDEX('Per Invoice'!F$2:F$801,$W170)))</f>
        <v/>
      </c>
      <c r="G170">
        <f>IF($W170="","",IF(INDEX('Per Invoice'!G$2:G$801,$W170)="","",INDEX('Per Invoice'!G$2:G$801,$W170)))</f>
        <v/>
      </c>
      <c r="H170">
        <f>IF($W170="","",IF(INDEX('Per Invoice'!H$2:H$801,$W170)="","",INDEX('Per Invoice'!H$2:H$801,$W170)))</f>
        <v/>
      </c>
      <c r="I170">
        <f>IF($W170="","",IF(INDEX('Per Invoice'!I$2:I$801,$W170)="","",INDEX('Per Invoice'!I$2:I$801,$W170)))</f>
        <v/>
      </c>
      <c r="J170">
        <f>IF($W170="","",IF(INDEX('Per Invoice'!J$2:J$801,$W170)="","",INDEX('Per Invoice'!J$2:J$801,$W170)))</f>
        <v/>
      </c>
      <c r="K170" s="7">
        <f>IF($W170="","",IF(INDEX('Per Invoice'!K$2:K$801,$W170)="","",INDEX('Per Invoice'!K$2:K$801,$W170)))</f>
        <v/>
      </c>
      <c r="L170" s="14">
        <f>IF($W170="","",IF(INDEX('Per Invoice'!L$2:L$801,$W170)="","",INDEX('Per Invoice'!L$2:L$801,$W170)))</f>
        <v/>
      </c>
      <c r="M170">
        <f>IF($W170="","",IF(INDEX('Per Invoice'!M$2:M$801,$W170)="","",INDEX('Per Invoice'!M$2:M$801,$W170)))</f>
        <v/>
      </c>
      <c r="N170" s="7">
        <f>IF($W170="","",IF(INDEX('Per Invoice'!N$2:N$801,$W170)="","",INDEX('Per Invoice'!N$2:N$801,$W170)))</f>
        <v/>
      </c>
      <c r="O170" s="7">
        <f>IF($W170="","",IF(INDEX('Per Invoice'!O$2:O$801,$W170)="","",INDEX('Per Invoice'!O$2:O$801,$W170)))</f>
        <v/>
      </c>
      <c r="P170">
        <f>IF($W170="","",IF(INDEX('Per Invoice'!P$2:P$801,$W170)="","",INDEX('Per Invoice'!P$2:P$801,$W170)))</f>
        <v/>
      </c>
      <c r="Q170" s="7">
        <f>IF($W170="","",IF(INDEX('Per Invoice'!Q$2:Q$801,$W170)="","",INDEX('Per Invoice'!Q$2:Q$801,$W170)))</f>
        <v/>
      </c>
      <c r="R170" s="7">
        <f>IF($W170="","",IF(INDEX('Per Invoice'!R$2:R$801,$W170)="","",INDEX('Per Invoice'!R$2:R$801,$W170)))</f>
        <v/>
      </c>
      <c r="S170" s="7">
        <f>IF($W170="","",IF(INDEX('Per Invoice'!S$2:S$801,$W170)="","",INDEX('Per Invoice'!S$2:S$801,$W170)))</f>
        <v/>
      </c>
      <c r="T170" s="7">
        <f>IF($W170="","",IF(INDEX('Per Invoice'!T$2:T$801,$W170)="","",INDEX('Per Invoice'!T$2:T$801,$W170)))</f>
        <v/>
      </c>
      <c r="U170" s="7">
        <f>IF($W170="","",IF(INDEX('Per Invoice'!U$2:U$801,$W170)="","",INDEX('Per Invoice'!U$2:U$801,$W170)))</f>
        <v/>
      </c>
      <c r="V170" s="7">
        <f>IF($W170="","",IF(INDEX('Per Invoice'!V$2:V$801,$W170)="","",INDEX('Per Invoice'!V$2:V$801,$W170)))</f>
        <v/>
      </c>
      <c r="W170" s="16">
        <f>IFERROR(MATCH(Settings!$C$26&amp;"|"&amp;ROWS($W$2:$W170),'Per Invoice'!$X$2:$X$801,0),"")</f>
        <v/>
      </c>
    </row>
    <row r="171">
      <c r="A171">
        <f>IF($W171="","",IF(INDEX('Per Invoice'!A$2:A$801,$W171)="","",INDEX('Per Invoice'!A$2:A$801,$W171)))</f>
        <v/>
      </c>
      <c r="B171">
        <f>IF($W171="","",IF(INDEX('Per Invoice'!B$2:B$801,$W171)="","",INDEX('Per Invoice'!B$2:B$801,$W171)))</f>
        <v/>
      </c>
      <c r="C171">
        <f>IF($W171="","",IF(INDEX('Per Invoice'!C$2:C$801,$W171)="","",INDEX('Per Invoice'!C$2:C$801,$W171)))</f>
        <v/>
      </c>
      <c r="D171">
        <f>IF($W171="","",IF(INDEX('Per Invoice'!D$2:D$801,$W171)="","",INDEX('Per Invoice'!D$2:D$801,$W171)))</f>
        <v/>
      </c>
      <c r="E171">
        <f>IF($W171="","",IF(INDEX('Per Invoice'!E$2:E$801,$W171)="","",INDEX('Per Invoice'!E$2:E$801,$W171)))</f>
        <v/>
      </c>
      <c r="F171">
        <f>IF($W171="","",IF(INDEX('Per Invoice'!F$2:F$801,$W171)="","",INDEX('Per Invoice'!F$2:F$801,$W171)))</f>
        <v/>
      </c>
      <c r="G171">
        <f>IF($W171="","",IF(INDEX('Per Invoice'!G$2:G$801,$W171)="","",INDEX('Per Invoice'!G$2:G$801,$W171)))</f>
        <v/>
      </c>
      <c r="H171">
        <f>IF($W171="","",IF(INDEX('Per Invoice'!H$2:H$801,$W171)="","",INDEX('Per Invoice'!H$2:H$801,$W171)))</f>
        <v/>
      </c>
      <c r="I171">
        <f>IF($W171="","",IF(INDEX('Per Invoice'!I$2:I$801,$W171)="","",INDEX('Per Invoice'!I$2:I$801,$W171)))</f>
        <v/>
      </c>
      <c r="J171">
        <f>IF($W171="","",IF(INDEX('Per Invoice'!J$2:J$801,$W171)="","",INDEX('Per Invoice'!J$2:J$801,$W171)))</f>
        <v/>
      </c>
      <c r="K171" s="7">
        <f>IF($W171="","",IF(INDEX('Per Invoice'!K$2:K$801,$W171)="","",INDEX('Per Invoice'!K$2:K$801,$W171)))</f>
        <v/>
      </c>
      <c r="L171" s="14">
        <f>IF($W171="","",IF(INDEX('Per Invoice'!L$2:L$801,$W171)="","",INDEX('Per Invoice'!L$2:L$801,$W171)))</f>
        <v/>
      </c>
      <c r="M171">
        <f>IF($W171="","",IF(INDEX('Per Invoice'!M$2:M$801,$W171)="","",INDEX('Per Invoice'!M$2:M$801,$W171)))</f>
        <v/>
      </c>
      <c r="N171" s="7">
        <f>IF($W171="","",IF(INDEX('Per Invoice'!N$2:N$801,$W171)="","",INDEX('Per Invoice'!N$2:N$801,$W171)))</f>
        <v/>
      </c>
      <c r="O171" s="7">
        <f>IF($W171="","",IF(INDEX('Per Invoice'!O$2:O$801,$W171)="","",INDEX('Per Invoice'!O$2:O$801,$W171)))</f>
        <v/>
      </c>
      <c r="P171">
        <f>IF($W171="","",IF(INDEX('Per Invoice'!P$2:P$801,$W171)="","",INDEX('Per Invoice'!P$2:P$801,$W171)))</f>
        <v/>
      </c>
      <c r="Q171" s="7">
        <f>IF($W171="","",IF(INDEX('Per Invoice'!Q$2:Q$801,$W171)="","",INDEX('Per Invoice'!Q$2:Q$801,$W171)))</f>
        <v/>
      </c>
      <c r="R171" s="7">
        <f>IF($W171="","",IF(INDEX('Per Invoice'!R$2:R$801,$W171)="","",INDEX('Per Invoice'!R$2:R$801,$W171)))</f>
        <v/>
      </c>
      <c r="S171" s="7">
        <f>IF($W171="","",IF(INDEX('Per Invoice'!S$2:S$801,$W171)="","",INDEX('Per Invoice'!S$2:S$801,$W171)))</f>
        <v/>
      </c>
      <c r="T171" s="7">
        <f>IF($W171="","",IF(INDEX('Per Invoice'!T$2:T$801,$W171)="","",INDEX('Per Invoice'!T$2:T$801,$W171)))</f>
        <v/>
      </c>
      <c r="U171" s="7">
        <f>IF($W171="","",IF(INDEX('Per Invoice'!U$2:U$801,$W171)="","",INDEX('Per Invoice'!U$2:U$801,$W171)))</f>
        <v/>
      </c>
      <c r="V171" s="7">
        <f>IF($W171="","",IF(INDEX('Per Invoice'!V$2:V$801,$W171)="","",INDEX('Per Invoice'!V$2:V$801,$W171)))</f>
        <v/>
      </c>
      <c r="W171" s="16">
        <f>IFERROR(MATCH(Settings!$C$26&amp;"|"&amp;ROWS($W$2:$W171),'Per Invoice'!$X$2:$X$801,0),"")</f>
        <v/>
      </c>
    </row>
    <row r="172">
      <c r="A172">
        <f>IF($W172="","",IF(INDEX('Per Invoice'!A$2:A$801,$W172)="","",INDEX('Per Invoice'!A$2:A$801,$W172)))</f>
        <v/>
      </c>
      <c r="B172">
        <f>IF($W172="","",IF(INDEX('Per Invoice'!B$2:B$801,$W172)="","",INDEX('Per Invoice'!B$2:B$801,$W172)))</f>
        <v/>
      </c>
      <c r="C172">
        <f>IF($W172="","",IF(INDEX('Per Invoice'!C$2:C$801,$W172)="","",INDEX('Per Invoice'!C$2:C$801,$W172)))</f>
        <v/>
      </c>
      <c r="D172">
        <f>IF($W172="","",IF(INDEX('Per Invoice'!D$2:D$801,$W172)="","",INDEX('Per Invoice'!D$2:D$801,$W172)))</f>
        <v/>
      </c>
      <c r="E172">
        <f>IF($W172="","",IF(INDEX('Per Invoice'!E$2:E$801,$W172)="","",INDEX('Per Invoice'!E$2:E$801,$W172)))</f>
        <v/>
      </c>
      <c r="F172">
        <f>IF($W172="","",IF(INDEX('Per Invoice'!F$2:F$801,$W172)="","",INDEX('Per Invoice'!F$2:F$801,$W172)))</f>
        <v/>
      </c>
      <c r="G172">
        <f>IF($W172="","",IF(INDEX('Per Invoice'!G$2:G$801,$W172)="","",INDEX('Per Invoice'!G$2:G$801,$W172)))</f>
        <v/>
      </c>
      <c r="H172">
        <f>IF($W172="","",IF(INDEX('Per Invoice'!H$2:H$801,$W172)="","",INDEX('Per Invoice'!H$2:H$801,$W172)))</f>
        <v/>
      </c>
      <c r="I172">
        <f>IF($W172="","",IF(INDEX('Per Invoice'!I$2:I$801,$W172)="","",INDEX('Per Invoice'!I$2:I$801,$W172)))</f>
        <v/>
      </c>
      <c r="J172">
        <f>IF($W172="","",IF(INDEX('Per Invoice'!J$2:J$801,$W172)="","",INDEX('Per Invoice'!J$2:J$801,$W172)))</f>
        <v/>
      </c>
      <c r="K172" s="7">
        <f>IF($W172="","",IF(INDEX('Per Invoice'!K$2:K$801,$W172)="","",INDEX('Per Invoice'!K$2:K$801,$W172)))</f>
        <v/>
      </c>
      <c r="L172" s="14">
        <f>IF($W172="","",IF(INDEX('Per Invoice'!L$2:L$801,$W172)="","",INDEX('Per Invoice'!L$2:L$801,$W172)))</f>
        <v/>
      </c>
      <c r="M172">
        <f>IF($W172="","",IF(INDEX('Per Invoice'!M$2:M$801,$W172)="","",INDEX('Per Invoice'!M$2:M$801,$W172)))</f>
        <v/>
      </c>
      <c r="N172" s="7">
        <f>IF($W172="","",IF(INDEX('Per Invoice'!N$2:N$801,$W172)="","",INDEX('Per Invoice'!N$2:N$801,$W172)))</f>
        <v/>
      </c>
      <c r="O172" s="7">
        <f>IF($W172="","",IF(INDEX('Per Invoice'!O$2:O$801,$W172)="","",INDEX('Per Invoice'!O$2:O$801,$W172)))</f>
        <v/>
      </c>
      <c r="P172">
        <f>IF($W172="","",IF(INDEX('Per Invoice'!P$2:P$801,$W172)="","",INDEX('Per Invoice'!P$2:P$801,$W172)))</f>
        <v/>
      </c>
      <c r="Q172" s="7">
        <f>IF($W172="","",IF(INDEX('Per Invoice'!Q$2:Q$801,$W172)="","",INDEX('Per Invoice'!Q$2:Q$801,$W172)))</f>
        <v/>
      </c>
      <c r="R172" s="7">
        <f>IF($W172="","",IF(INDEX('Per Invoice'!R$2:R$801,$W172)="","",INDEX('Per Invoice'!R$2:R$801,$W172)))</f>
        <v/>
      </c>
      <c r="S172" s="7">
        <f>IF($W172="","",IF(INDEX('Per Invoice'!S$2:S$801,$W172)="","",INDEX('Per Invoice'!S$2:S$801,$W172)))</f>
        <v/>
      </c>
      <c r="T172" s="7">
        <f>IF($W172="","",IF(INDEX('Per Invoice'!T$2:T$801,$W172)="","",INDEX('Per Invoice'!T$2:T$801,$W172)))</f>
        <v/>
      </c>
      <c r="U172" s="7">
        <f>IF($W172="","",IF(INDEX('Per Invoice'!U$2:U$801,$W172)="","",INDEX('Per Invoice'!U$2:U$801,$W172)))</f>
        <v/>
      </c>
      <c r="V172" s="7">
        <f>IF($W172="","",IF(INDEX('Per Invoice'!V$2:V$801,$W172)="","",INDEX('Per Invoice'!V$2:V$801,$W172)))</f>
        <v/>
      </c>
      <c r="W172" s="16">
        <f>IFERROR(MATCH(Settings!$C$26&amp;"|"&amp;ROWS($W$2:$W172),'Per Invoice'!$X$2:$X$801,0),"")</f>
        <v/>
      </c>
    </row>
    <row r="173">
      <c r="A173">
        <f>IF($W173="","",IF(INDEX('Per Invoice'!A$2:A$801,$W173)="","",INDEX('Per Invoice'!A$2:A$801,$W173)))</f>
        <v/>
      </c>
      <c r="B173">
        <f>IF($W173="","",IF(INDEX('Per Invoice'!B$2:B$801,$W173)="","",INDEX('Per Invoice'!B$2:B$801,$W173)))</f>
        <v/>
      </c>
      <c r="C173">
        <f>IF($W173="","",IF(INDEX('Per Invoice'!C$2:C$801,$W173)="","",INDEX('Per Invoice'!C$2:C$801,$W173)))</f>
        <v/>
      </c>
      <c r="D173">
        <f>IF($W173="","",IF(INDEX('Per Invoice'!D$2:D$801,$W173)="","",INDEX('Per Invoice'!D$2:D$801,$W173)))</f>
        <v/>
      </c>
      <c r="E173">
        <f>IF($W173="","",IF(INDEX('Per Invoice'!E$2:E$801,$W173)="","",INDEX('Per Invoice'!E$2:E$801,$W173)))</f>
        <v/>
      </c>
      <c r="F173">
        <f>IF($W173="","",IF(INDEX('Per Invoice'!F$2:F$801,$W173)="","",INDEX('Per Invoice'!F$2:F$801,$W173)))</f>
        <v/>
      </c>
      <c r="G173">
        <f>IF($W173="","",IF(INDEX('Per Invoice'!G$2:G$801,$W173)="","",INDEX('Per Invoice'!G$2:G$801,$W173)))</f>
        <v/>
      </c>
      <c r="H173">
        <f>IF($W173="","",IF(INDEX('Per Invoice'!H$2:H$801,$W173)="","",INDEX('Per Invoice'!H$2:H$801,$W173)))</f>
        <v/>
      </c>
      <c r="I173">
        <f>IF($W173="","",IF(INDEX('Per Invoice'!I$2:I$801,$W173)="","",INDEX('Per Invoice'!I$2:I$801,$W173)))</f>
        <v/>
      </c>
      <c r="J173">
        <f>IF($W173="","",IF(INDEX('Per Invoice'!J$2:J$801,$W173)="","",INDEX('Per Invoice'!J$2:J$801,$W173)))</f>
        <v/>
      </c>
      <c r="K173" s="7">
        <f>IF($W173="","",IF(INDEX('Per Invoice'!K$2:K$801,$W173)="","",INDEX('Per Invoice'!K$2:K$801,$W173)))</f>
        <v/>
      </c>
      <c r="L173" s="14">
        <f>IF($W173="","",IF(INDEX('Per Invoice'!L$2:L$801,$W173)="","",INDEX('Per Invoice'!L$2:L$801,$W173)))</f>
        <v/>
      </c>
      <c r="M173">
        <f>IF($W173="","",IF(INDEX('Per Invoice'!M$2:M$801,$W173)="","",INDEX('Per Invoice'!M$2:M$801,$W173)))</f>
        <v/>
      </c>
      <c r="N173" s="7">
        <f>IF($W173="","",IF(INDEX('Per Invoice'!N$2:N$801,$W173)="","",INDEX('Per Invoice'!N$2:N$801,$W173)))</f>
        <v/>
      </c>
      <c r="O173" s="7">
        <f>IF($W173="","",IF(INDEX('Per Invoice'!O$2:O$801,$W173)="","",INDEX('Per Invoice'!O$2:O$801,$W173)))</f>
        <v/>
      </c>
      <c r="P173">
        <f>IF($W173="","",IF(INDEX('Per Invoice'!P$2:P$801,$W173)="","",INDEX('Per Invoice'!P$2:P$801,$W173)))</f>
        <v/>
      </c>
      <c r="Q173" s="7">
        <f>IF($W173="","",IF(INDEX('Per Invoice'!Q$2:Q$801,$W173)="","",INDEX('Per Invoice'!Q$2:Q$801,$W173)))</f>
        <v/>
      </c>
      <c r="R173" s="7">
        <f>IF($W173="","",IF(INDEX('Per Invoice'!R$2:R$801,$W173)="","",INDEX('Per Invoice'!R$2:R$801,$W173)))</f>
        <v/>
      </c>
      <c r="S173" s="7">
        <f>IF($W173="","",IF(INDEX('Per Invoice'!S$2:S$801,$W173)="","",INDEX('Per Invoice'!S$2:S$801,$W173)))</f>
        <v/>
      </c>
      <c r="T173" s="7">
        <f>IF($W173="","",IF(INDEX('Per Invoice'!T$2:T$801,$W173)="","",INDEX('Per Invoice'!T$2:T$801,$W173)))</f>
        <v/>
      </c>
      <c r="U173" s="7">
        <f>IF($W173="","",IF(INDEX('Per Invoice'!U$2:U$801,$W173)="","",INDEX('Per Invoice'!U$2:U$801,$W173)))</f>
        <v/>
      </c>
      <c r="V173" s="7">
        <f>IF($W173="","",IF(INDEX('Per Invoice'!V$2:V$801,$W173)="","",INDEX('Per Invoice'!V$2:V$801,$W173)))</f>
        <v/>
      </c>
      <c r="W173" s="16">
        <f>IFERROR(MATCH(Settings!$C$26&amp;"|"&amp;ROWS($W$2:$W173),'Per Invoice'!$X$2:$X$801,0),"")</f>
        <v/>
      </c>
    </row>
    <row r="174">
      <c r="A174">
        <f>IF($W174="","",IF(INDEX('Per Invoice'!A$2:A$801,$W174)="","",INDEX('Per Invoice'!A$2:A$801,$W174)))</f>
        <v/>
      </c>
      <c r="B174">
        <f>IF($W174="","",IF(INDEX('Per Invoice'!B$2:B$801,$W174)="","",INDEX('Per Invoice'!B$2:B$801,$W174)))</f>
        <v/>
      </c>
      <c r="C174">
        <f>IF($W174="","",IF(INDEX('Per Invoice'!C$2:C$801,$W174)="","",INDEX('Per Invoice'!C$2:C$801,$W174)))</f>
        <v/>
      </c>
      <c r="D174">
        <f>IF($W174="","",IF(INDEX('Per Invoice'!D$2:D$801,$W174)="","",INDEX('Per Invoice'!D$2:D$801,$W174)))</f>
        <v/>
      </c>
      <c r="E174">
        <f>IF($W174="","",IF(INDEX('Per Invoice'!E$2:E$801,$W174)="","",INDEX('Per Invoice'!E$2:E$801,$W174)))</f>
        <v/>
      </c>
      <c r="F174">
        <f>IF($W174="","",IF(INDEX('Per Invoice'!F$2:F$801,$W174)="","",INDEX('Per Invoice'!F$2:F$801,$W174)))</f>
        <v/>
      </c>
      <c r="G174">
        <f>IF($W174="","",IF(INDEX('Per Invoice'!G$2:G$801,$W174)="","",INDEX('Per Invoice'!G$2:G$801,$W174)))</f>
        <v/>
      </c>
      <c r="H174">
        <f>IF($W174="","",IF(INDEX('Per Invoice'!H$2:H$801,$W174)="","",INDEX('Per Invoice'!H$2:H$801,$W174)))</f>
        <v/>
      </c>
      <c r="I174">
        <f>IF($W174="","",IF(INDEX('Per Invoice'!I$2:I$801,$W174)="","",INDEX('Per Invoice'!I$2:I$801,$W174)))</f>
        <v/>
      </c>
      <c r="J174">
        <f>IF($W174="","",IF(INDEX('Per Invoice'!J$2:J$801,$W174)="","",INDEX('Per Invoice'!J$2:J$801,$W174)))</f>
        <v/>
      </c>
      <c r="K174" s="7">
        <f>IF($W174="","",IF(INDEX('Per Invoice'!K$2:K$801,$W174)="","",INDEX('Per Invoice'!K$2:K$801,$W174)))</f>
        <v/>
      </c>
      <c r="L174" s="14">
        <f>IF($W174="","",IF(INDEX('Per Invoice'!L$2:L$801,$W174)="","",INDEX('Per Invoice'!L$2:L$801,$W174)))</f>
        <v/>
      </c>
      <c r="M174">
        <f>IF($W174="","",IF(INDEX('Per Invoice'!M$2:M$801,$W174)="","",INDEX('Per Invoice'!M$2:M$801,$W174)))</f>
        <v/>
      </c>
      <c r="N174" s="7">
        <f>IF($W174="","",IF(INDEX('Per Invoice'!N$2:N$801,$W174)="","",INDEX('Per Invoice'!N$2:N$801,$W174)))</f>
        <v/>
      </c>
      <c r="O174" s="7">
        <f>IF($W174="","",IF(INDEX('Per Invoice'!O$2:O$801,$W174)="","",INDEX('Per Invoice'!O$2:O$801,$W174)))</f>
        <v/>
      </c>
      <c r="P174">
        <f>IF($W174="","",IF(INDEX('Per Invoice'!P$2:P$801,$W174)="","",INDEX('Per Invoice'!P$2:P$801,$W174)))</f>
        <v/>
      </c>
      <c r="Q174" s="7">
        <f>IF($W174="","",IF(INDEX('Per Invoice'!Q$2:Q$801,$W174)="","",INDEX('Per Invoice'!Q$2:Q$801,$W174)))</f>
        <v/>
      </c>
      <c r="R174" s="7">
        <f>IF($W174="","",IF(INDEX('Per Invoice'!R$2:R$801,$W174)="","",INDEX('Per Invoice'!R$2:R$801,$W174)))</f>
        <v/>
      </c>
      <c r="S174" s="7">
        <f>IF($W174="","",IF(INDEX('Per Invoice'!S$2:S$801,$W174)="","",INDEX('Per Invoice'!S$2:S$801,$W174)))</f>
        <v/>
      </c>
      <c r="T174" s="7">
        <f>IF($W174="","",IF(INDEX('Per Invoice'!T$2:T$801,$W174)="","",INDEX('Per Invoice'!T$2:T$801,$W174)))</f>
        <v/>
      </c>
      <c r="U174" s="7">
        <f>IF($W174="","",IF(INDEX('Per Invoice'!U$2:U$801,$W174)="","",INDEX('Per Invoice'!U$2:U$801,$W174)))</f>
        <v/>
      </c>
      <c r="V174" s="7">
        <f>IF($W174="","",IF(INDEX('Per Invoice'!V$2:V$801,$W174)="","",INDEX('Per Invoice'!V$2:V$801,$W174)))</f>
        <v/>
      </c>
      <c r="W174" s="16">
        <f>IFERROR(MATCH(Settings!$C$26&amp;"|"&amp;ROWS($W$2:$W174),'Per Invoice'!$X$2:$X$801,0),"")</f>
        <v/>
      </c>
    </row>
    <row r="175">
      <c r="A175">
        <f>IF($W175="","",IF(INDEX('Per Invoice'!A$2:A$801,$W175)="","",INDEX('Per Invoice'!A$2:A$801,$W175)))</f>
        <v/>
      </c>
      <c r="B175">
        <f>IF($W175="","",IF(INDEX('Per Invoice'!B$2:B$801,$W175)="","",INDEX('Per Invoice'!B$2:B$801,$W175)))</f>
        <v/>
      </c>
      <c r="C175">
        <f>IF($W175="","",IF(INDEX('Per Invoice'!C$2:C$801,$W175)="","",INDEX('Per Invoice'!C$2:C$801,$W175)))</f>
        <v/>
      </c>
      <c r="D175">
        <f>IF($W175="","",IF(INDEX('Per Invoice'!D$2:D$801,$W175)="","",INDEX('Per Invoice'!D$2:D$801,$W175)))</f>
        <v/>
      </c>
      <c r="E175">
        <f>IF($W175="","",IF(INDEX('Per Invoice'!E$2:E$801,$W175)="","",INDEX('Per Invoice'!E$2:E$801,$W175)))</f>
        <v/>
      </c>
      <c r="F175">
        <f>IF($W175="","",IF(INDEX('Per Invoice'!F$2:F$801,$W175)="","",INDEX('Per Invoice'!F$2:F$801,$W175)))</f>
        <v/>
      </c>
      <c r="G175">
        <f>IF($W175="","",IF(INDEX('Per Invoice'!G$2:G$801,$W175)="","",INDEX('Per Invoice'!G$2:G$801,$W175)))</f>
        <v/>
      </c>
      <c r="H175">
        <f>IF($W175="","",IF(INDEX('Per Invoice'!H$2:H$801,$W175)="","",INDEX('Per Invoice'!H$2:H$801,$W175)))</f>
        <v/>
      </c>
      <c r="I175">
        <f>IF($W175="","",IF(INDEX('Per Invoice'!I$2:I$801,$W175)="","",INDEX('Per Invoice'!I$2:I$801,$W175)))</f>
        <v/>
      </c>
      <c r="J175">
        <f>IF($W175="","",IF(INDEX('Per Invoice'!J$2:J$801,$W175)="","",INDEX('Per Invoice'!J$2:J$801,$W175)))</f>
        <v/>
      </c>
      <c r="K175" s="7">
        <f>IF($W175="","",IF(INDEX('Per Invoice'!K$2:K$801,$W175)="","",INDEX('Per Invoice'!K$2:K$801,$W175)))</f>
        <v/>
      </c>
      <c r="L175" s="14">
        <f>IF($W175="","",IF(INDEX('Per Invoice'!L$2:L$801,$W175)="","",INDEX('Per Invoice'!L$2:L$801,$W175)))</f>
        <v/>
      </c>
      <c r="M175">
        <f>IF($W175="","",IF(INDEX('Per Invoice'!M$2:M$801,$W175)="","",INDEX('Per Invoice'!M$2:M$801,$W175)))</f>
        <v/>
      </c>
      <c r="N175" s="7">
        <f>IF($W175="","",IF(INDEX('Per Invoice'!N$2:N$801,$W175)="","",INDEX('Per Invoice'!N$2:N$801,$W175)))</f>
        <v/>
      </c>
      <c r="O175" s="7">
        <f>IF($W175="","",IF(INDEX('Per Invoice'!O$2:O$801,$W175)="","",INDEX('Per Invoice'!O$2:O$801,$W175)))</f>
        <v/>
      </c>
      <c r="P175">
        <f>IF($W175="","",IF(INDEX('Per Invoice'!P$2:P$801,$W175)="","",INDEX('Per Invoice'!P$2:P$801,$W175)))</f>
        <v/>
      </c>
      <c r="Q175" s="7">
        <f>IF($W175="","",IF(INDEX('Per Invoice'!Q$2:Q$801,$W175)="","",INDEX('Per Invoice'!Q$2:Q$801,$W175)))</f>
        <v/>
      </c>
      <c r="R175" s="7">
        <f>IF($W175="","",IF(INDEX('Per Invoice'!R$2:R$801,$W175)="","",INDEX('Per Invoice'!R$2:R$801,$W175)))</f>
        <v/>
      </c>
      <c r="S175" s="7">
        <f>IF($W175="","",IF(INDEX('Per Invoice'!S$2:S$801,$W175)="","",INDEX('Per Invoice'!S$2:S$801,$W175)))</f>
        <v/>
      </c>
      <c r="T175" s="7">
        <f>IF($W175="","",IF(INDEX('Per Invoice'!T$2:T$801,$W175)="","",INDEX('Per Invoice'!T$2:T$801,$W175)))</f>
        <v/>
      </c>
      <c r="U175" s="7">
        <f>IF($W175="","",IF(INDEX('Per Invoice'!U$2:U$801,$W175)="","",INDEX('Per Invoice'!U$2:U$801,$W175)))</f>
        <v/>
      </c>
      <c r="V175" s="7">
        <f>IF($W175="","",IF(INDEX('Per Invoice'!V$2:V$801,$W175)="","",INDEX('Per Invoice'!V$2:V$801,$W175)))</f>
        <v/>
      </c>
      <c r="W175" s="16">
        <f>IFERROR(MATCH(Settings!$C$26&amp;"|"&amp;ROWS($W$2:$W175),'Per Invoice'!$X$2:$X$801,0),"")</f>
        <v/>
      </c>
    </row>
    <row r="176">
      <c r="A176">
        <f>IF($W176="","",IF(INDEX('Per Invoice'!A$2:A$801,$W176)="","",INDEX('Per Invoice'!A$2:A$801,$W176)))</f>
        <v/>
      </c>
      <c r="B176">
        <f>IF($W176="","",IF(INDEX('Per Invoice'!B$2:B$801,$W176)="","",INDEX('Per Invoice'!B$2:B$801,$W176)))</f>
        <v/>
      </c>
      <c r="C176">
        <f>IF($W176="","",IF(INDEX('Per Invoice'!C$2:C$801,$W176)="","",INDEX('Per Invoice'!C$2:C$801,$W176)))</f>
        <v/>
      </c>
      <c r="D176">
        <f>IF($W176="","",IF(INDEX('Per Invoice'!D$2:D$801,$W176)="","",INDEX('Per Invoice'!D$2:D$801,$W176)))</f>
        <v/>
      </c>
      <c r="E176">
        <f>IF($W176="","",IF(INDEX('Per Invoice'!E$2:E$801,$W176)="","",INDEX('Per Invoice'!E$2:E$801,$W176)))</f>
        <v/>
      </c>
      <c r="F176">
        <f>IF($W176="","",IF(INDEX('Per Invoice'!F$2:F$801,$W176)="","",INDEX('Per Invoice'!F$2:F$801,$W176)))</f>
        <v/>
      </c>
      <c r="G176">
        <f>IF($W176="","",IF(INDEX('Per Invoice'!G$2:G$801,$W176)="","",INDEX('Per Invoice'!G$2:G$801,$W176)))</f>
        <v/>
      </c>
      <c r="H176">
        <f>IF($W176="","",IF(INDEX('Per Invoice'!H$2:H$801,$W176)="","",INDEX('Per Invoice'!H$2:H$801,$W176)))</f>
        <v/>
      </c>
      <c r="I176">
        <f>IF($W176="","",IF(INDEX('Per Invoice'!I$2:I$801,$W176)="","",INDEX('Per Invoice'!I$2:I$801,$W176)))</f>
        <v/>
      </c>
      <c r="J176">
        <f>IF($W176="","",IF(INDEX('Per Invoice'!J$2:J$801,$W176)="","",INDEX('Per Invoice'!J$2:J$801,$W176)))</f>
        <v/>
      </c>
      <c r="K176" s="7">
        <f>IF($W176="","",IF(INDEX('Per Invoice'!K$2:K$801,$W176)="","",INDEX('Per Invoice'!K$2:K$801,$W176)))</f>
        <v/>
      </c>
      <c r="L176" s="14">
        <f>IF($W176="","",IF(INDEX('Per Invoice'!L$2:L$801,$W176)="","",INDEX('Per Invoice'!L$2:L$801,$W176)))</f>
        <v/>
      </c>
      <c r="M176">
        <f>IF($W176="","",IF(INDEX('Per Invoice'!M$2:M$801,$W176)="","",INDEX('Per Invoice'!M$2:M$801,$W176)))</f>
        <v/>
      </c>
      <c r="N176" s="7">
        <f>IF($W176="","",IF(INDEX('Per Invoice'!N$2:N$801,$W176)="","",INDEX('Per Invoice'!N$2:N$801,$W176)))</f>
        <v/>
      </c>
      <c r="O176" s="7">
        <f>IF($W176="","",IF(INDEX('Per Invoice'!O$2:O$801,$W176)="","",INDEX('Per Invoice'!O$2:O$801,$W176)))</f>
        <v/>
      </c>
      <c r="P176">
        <f>IF($W176="","",IF(INDEX('Per Invoice'!P$2:P$801,$W176)="","",INDEX('Per Invoice'!P$2:P$801,$W176)))</f>
        <v/>
      </c>
      <c r="Q176" s="7">
        <f>IF($W176="","",IF(INDEX('Per Invoice'!Q$2:Q$801,$W176)="","",INDEX('Per Invoice'!Q$2:Q$801,$W176)))</f>
        <v/>
      </c>
      <c r="R176" s="7">
        <f>IF($W176="","",IF(INDEX('Per Invoice'!R$2:R$801,$W176)="","",INDEX('Per Invoice'!R$2:R$801,$W176)))</f>
        <v/>
      </c>
      <c r="S176" s="7">
        <f>IF($W176="","",IF(INDEX('Per Invoice'!S$2:S$801,$W176)="","",INDEX('Per Invoice'!S$2:S$801,$W176)))</f>
        <v/>
      </c>
      <c r="T176" s="7">
        <f>IF($W176="","",IF(INDEX('Per Invoice'!T$2:T$801,$W176)="","",INDEX('Per Invoice'!T$2:T$801,$W176)))</f>
        <v/>
      </c>
      <c r="U176" s="7">
        <f>IF($W176="","",IF(INDEX('Per Invoice'!U$2:U$801,$W176)="","",INDEX('Per Invoice'!U$2:U$801,$W176)))</f>
        <v/>
      </c>
      <c r="V176" s="7">
        <f>IF($W176="","",IF(INDEX('Per Invoice'!V$2:V$801,$W176)="","",INDEX('Per Invoice'!V$2:V$801,$W176)))</f>
        <v/>
      </c>
      <c r="W176" s="16">
        <f>IFERROR(MATCH(Settings!$C$26&amp;"|"&amp;ROWS($W$2:$W176),'Per Invoice'!$X$2:$X$801,0),"")</f>
        <v/>
      </c>
    </row>
    <row r="177">
      <c r="A177">
        <f>IF($W177="","",IF(INDEX('Per Invoice'!A$2:A$801,$W177)="","",INDEX('Per Invoice'!A$2:A$801,$W177)))</f>
        <v/>
      </c>
      <c r="B177">
        <f>IF($W177="","",IF(INDEX('Per Invoice'!B$2:B$801,$W177)="","",INDEX('Per Invoice'!B$2:B$801,$W177)))</f>
        <v/>
      </c>
      <c r="C177">
        <f>IF($W177="","",IF(INDEX('Per Invoice'!C$2:C$801,$W177)="","",INDEX('Per Invoice'!C$2:C$801,$W177)))</f>
        <v/>
      </c>
      <c r="D177">
        <f>IF($W177="","",IF(INDEX('Per Invoice'!D$2:D$801,$W177)="","",INDEX('Per Invoice'!D$2:D$801,$W177)))</f>
        <v/>
      </c>
      <c r="E177">
        <f>IF($W177="","",IF(INDEX('Per Invoice'!E$2:E$801,$W177)="","",INDEX('Per Invoice'!E$2:E$801,$W177)))</f>
        <v/>
      </c>
      <c r="F177">
        <f>IF($W177="","",IF(INDEX('Per Invoice'!F$2:F$801,$W177)="","",INDEX('Per Invoice'!F$2:F$801,$W177)))</f>
        <v/>
      </c>
      <c r="G177">
        <f>IF($W177="","",IF(INDEX('Per Invoice'!G$2:G$801,$W177)="","",INDEX('Per Invoice'!G$2:G$801,$W177)))</f>
        <v/>
      </c>
      <c r="H177">
        <f>IF($W177="","",IF(INDEX('Per Invoice'!H$2:H$801,$W177)="","",INDEX('Per Invoice'!H$2:H$801,$W177)))</f>
        <v/>
      </c>
      <c r="I177">
        <f>IF($W177="","",IF(INDEX('Per Invoice'!I$2:I$801,$W177)="","",INDEX('Per Invoice'!I$2:I$801,$W177)))</f>
        <v/>
      </c>
      <c r="J177">
        <f>IF($W177="","",IF(INDEX('Per Invoice'!J$2:J$801,$W177)="","",INDEX('Per Invoice'!J$2:J$801,$W177)))</f>
        <v/>
      </c>
      <c r="K177" s="7">
        <f>IF($W177="","",IF(INDEX('Per Invoice'!K$2:K$801,$W177)="","",INDEX('Per Invoice'!K$2:K$801,$W177)))</f>
        <v/>
      </c>
      <c r="L177" s="14">
        <f>IF($W177="","",IF(INDEX('Per Invoice'!L$2:L$801,$W177)="","",INDEX('Per Invoice'!L$2:L$801,$W177)))</f>
        <v/>
      </c>
      <c r="M177">
        <f>IF($W177="","",IF(INDEX('Per Invoice'!M$2:M$801,$W177)="","",INDEX('Per Invoice'!M$2:M$801,$W177)))</f>
        <v/>
      </c>
      <c r="N177" s="7">
        <f>IF($W177="","",IF(INDEX('Per Invoice'!N$2:N$801,$W177)="","",INDEX('Per Invoice'!N$2:N$801,$W177)))</f>
        <v/>
      </c>
      <c r="O177" s="7">
        <f>IF($W177="","",IF(INDEX('Per Invoice'!O$2:O$801,$W177)="","",INDEX('Per Invoice'!O$2:O$801,$W177)))</f>
        <v/>
      </c>
      <c r="P177">
        <f>IF($W177="","",IF(INDEX('Per Invoice'!P$2:P$801,$W177)="","",INDEX('Per Invoice'!P$2:P$801,$W177)))</f>
        <v/>
      </c>
      <c r="Q177" s="7">
        <f>IF($W177="","",IF(INDEX('Per Invoice'!Q$2:Q$801,$W177)="","",INDEX('Per Invoice'!Q$2:Q$801,$W177)))</f>
        <v/>
      </c>
      <c r="R177" s="7">
        <f>IF($W177="","",IF(INDEX('Per Invoice'!R$2:R$801,$W177)="","",INDEX('Per Invoice'!R$2:R$801,$W177)))</f>
        <v/>
      </c>
      <c r="S177" s="7">
        <f>IF($W177="","",IF(INDEX('Per Invoice'!S$2:S$801,$W177)="","",INDEX('Per Invoice'!S$2:S$801,$W177)))</f>
        <v/>
      </c>
      <c r="T177" s="7">
        <f>IF($W177="","",IF(INDEX('Per Invoice'!T$2:T$801,$W177)="","",INDEX('Per Invoice'!T$2:T$801,$W177)))</f>
        <v/>
      </c>
      <c r="U177" s="7">
        <f>IF($W177="","",IF(INDEX('Per Invoice'!U$2:U$801,$W177)="","",INDEX('Per Invoice'!U$2:U$801,$W177)))</f>
        <v/>
      </c>
      <c r="V177" s="7">
        <f>IF($W177="","",IF(INDEX('Per Invoice'!V$2:V$801,$W177)="","",INDEX('Per Invoice'!V$2:V$801,$W177)))</f>
        <v/>
      </c>
      <c r="W177" s="16">
        <f>IFERROR(MATCH(Settings!$C$26&amp;"|"&amp;ROWS($W$2:$W177),'Per Invoice'!$X$2:$X$801,0),"")</f>
        <v/>
      </c>
    </row>
    <row r="178">
      <c r="A178">
        <f>IF($W178="","",IF(INDEX('Per Invoice'!A$2:A$801,$W178)="","",INDEX('Per Invoice'!A$2:A$801,$W178)))</f>
        <v/>
      </c>
      <c r="B178">
        <f>IF($W178="","",IF(INDEX('Per Invoice'!B$2:B$801,$W178)="","",INDEX('Per Invoice'!B$2:B$801,$W178)))</f>
        <v/>
      </c>
      <c r="C178">
        <f>IF($W178="","",IF(INDEX('Per Invoice'!C$2:C$801,$W178)="","",INDEX('Per Invoice'!C$2:C$801,$W178)))</f>
        <v/>
      </c>
      <c r="D178">
        <f>IF($W178="","",IF(INDEX('Per Invoice'!D$2:D$801,$W178)="","",INDEX('Per Invoice'!D$2:D$801,$W178)))</f>
        <v/>
      </c>
      <c r="E178">
        <f>IF($W178="","",IF(INDEX('Per Invoice'!E$2:E$801,$W178)="","",INDEX('Per Invoice'!E$2:E$801,$W178)))</f>
        <v/>
      </c>
      <c r="F178">
        <f>IF($W178="","",IF(INDEX('Per Invoice'!F$2:F$801,$W178)="","",INDEX('Per Invoice'!F$2:F$801,$W178)))</f>
        <v/>
      </c>
      <c r="G178">
        <f>IF($W178="","",IF(INDEX('Per Invoice'!G$2:G$801,$W178)="","",INDEX('Per Invoice'!G$2:G$801,$W178)))</f>
        <v/>
      </c>
      <c r="H178">
        <f>IF($W178="","",IF(INDEX('Per Invoice'!H$2:H$801,$W178)="","",INDEX('Per Invoice'!H$2:H$801,$W178)))</f>
        <v/>
      </c>
      <c r="I178">
        <f>IF($W178="","",IF(INDEX('Per Invoice'!I$2:I$801,$W178)="","",INDEX('Per Invoice'!I$2:I$801,$W178)))</f>
        <v/>
      </c>
      <c r="J178">
        <f>IF($W178="","",IF(INDEX('Per Invoice'!J$2:J$801,$W178)="","",INDEX('Per Invoice'!J$2:J$801,$W178)))</f>
        <v/>
      </c>
      <c r="K178" s="7">
        <f>IF($W178="","",IF(INDEX('Per Invoice'!K$2:K$801,$W178)="","",INDEX('Per Invoice'!K$2:K$801,$W178)))</f>
        <v/>
      </c>
      <c r="L178" s="14">
        <f>IF($W178="","",IF(INDEX('Per Invoice'!L$2:L$801,$W178)="","",INDEX('Per Invoice'!L$2:L$801,$W178)))</f>
        <v/>
      </c>
      <c r="M178">
        <f>IF($W178="","",IF(INDEX('Per Invoice'!M$2:M$801,$W178)="","",INDEX('Per Invoice'!M$2:M$801,$W178)))</f>
        <v/>
      </c>
      <c r="N178" s="7">
        <f>IF($W178="","",IF(INDEX('Per Invoice'!N$2:N$801,$W178)="","",INDEX('Per Invoice'!N$2:N$801,$W178)))</f>
        <v/>
      </c>
      <c r="O178" s="7">
        <f>IF($W178="","",IF(INDEX('Per Invoice'!O$2:O$801,$W178)="","",INDEX('Per Invoice'!O$2:O$801,$W178)))</f>
        <v/>
      </c>
      <c r="P178">
        <f>IF($W178="","",IF(INDEX('Per Invoice'!P$2:P$801,$W178)="","",INDEX('Per Invoice'!P$2:P$801,$W178)))</f>
        <v/>
      </c>
      <c r="Q178" s="7">
        <f>IF($W178="","",IF(INDEX('Per Invoice'!Q$2:Q$801,$W178)="","",INDEX('Per Invoice'!Q$2:Q$801,$W178)))</f>
        <v/>
      </c>
      <c r="R178" s="7">
        <f>IF($W178="","",IF(INDEX('Per Invoice'!R$2:R$801,$W178)="","",INDEX('Per Invoice'!R$2:R$801,$W178)))</f>
        <v/>
      </c>
      <c r="S178" s="7">
        <f>IF($W178="","",IF(INDEX('Per Invoice'!S$2:S$801,$W178)="","",INDEX('Per Invoice'!S$2:S$801,$W178)))</f>
        <v/>
      </c>
      <c r="T178" s="7">
        <f>IF($W178="","",IF(INDEX('Per Invoice'!T$2:T$801,$W178)="","",INDEX('Per Invoice'!T$2:T$801,$W178)))</f>
        <v/>
      </c>
      <c r="U178" s="7">
        <f>IF($W178="","",IF(INDEX('Per Invoice'!U$2:U$801,$W178)="","",INDEX('Per Invoice'!U$2:U$801,$W178)))</f>
        <v/>
      </c>
      <c r="V178" s="7">
        <f>IF($W178="","",IF(INDEX('Per Invoice'!V$2:V$801,$W178)="","",INDEX('Per Invoice'!V$2:V$801,$W178)))</f>
        <v/>
      </c>
      <c r="W178" s="16">
        <f>IFERROR(MATCH(Settings!$C$26&amp;"|"&amp;ROWS($W$2:$W178),'Per Invoice'!$X$2:$X$801,0),"")</f>
        <v/>
      </c>
    </row>
    <row r="179">
      <c r="A179">
        <f>IF($W179="","",IF(INDEX('Per Invoice'!A$2:A$801,$W179)="","",INDEX('Per Invoice'!A$2:A$801,$W179)))</f>
        <v/>
      </c>
      <c r="B179">
        <f>IF($W179="","",IF(INDEX('Per Invoice'!B$2:B$801,$W179)="","",INDEX('Per Invoice'!B$2:B$801,$W179)))</f>
        <v/>
      </c>
      <c r="C179">
        <f>IF($W179="","",IF(INDEX('Per Invoice'!C$2:C$801,$W179)="","",INDEX('Per Invoice'!C$2:C$801,$W179)))</f>
        <v/>
      </c>
      <c r="D179">
        <f>IF($W179="","",IF(INDEX('Per Invoice'!D$2:D$801,$W179)="","",INDEX('Per Invoice'!D$2:D$801,$W179)))</f>
        <v/>
      </c>
      <c r="E179">
        <f>IF($W179="","",IF(INDEX('Per Invoice'!E$2:E$801,$W179)="","",INDEX('Per Invoice'!E$2:E$801,$W179)))</f>
        <v/>
      </c>
      <c r="F179">
        <f>IF($W179="","",IF(INDEX('Per Invoice'!F$2:F$801,$W179)="","",INDEX('Per Invoice'!F$2:F$801,$W179)))</f>
        <v/>
      </c>
      <c r="G179">
        <f>IF($W179="","",IF(INDEX('Per Invoice'!G$2:G$801,$W179)="","",INDEX('Per Invoice'!G$2:G$801,$W179)))</f>
        <v/>
      </c>
      <c r="H179">
        <f>IF($W179="","",IF(INDEX('Per Invoice'!H$2:H$801,$W179)="","",INDEX('Per Invoice'!H$2:H$801,$W179)))</f>
        <v/>
      </c>
      <c r="I179">
        <f>IF($W179="","",IF(INDEX('Per Invoice'!I$2:I$801,$W179)="","",INDEX('Per Invoice'!I$2:I$801,$W179)))</f>
        <v/>
      </c>
      <c r="J179">
        <f>IF($W179="","",IF(INDEX('Per Invoice'!J$2:J$801,$W179)="","",INDEX('Per Invoice'!J$2:J$801,$W179)))</f>
        <v/>
      </c>
      <c r="K179" s="7">
        <f>IF($W179="","",IF(INDEX('Per Invoice'!K$2:K$801,$W179)="","",INDEX('Per Invoice'!K$2:K$801,$W179)))</f>
        <v/>
      </c>
      <c r="L179" s="14">
        <f>IF($W179="","",IF(INDEX('Per Invoice'!L$2:L$801,$W179)="","",INDEX('Per Invoice'!L$2:L$801,$W179)))</f>
        <v/>
      </c>
      <c r="M179">
        <f>IF($W179="","",IF(INDEX('Per Invoice'!M$2:M$801,$W179)="","",INDEX('Per Invoice'!M$2:M$801,$W179)))</f>
        <v/>
      </c>
      <c r="N179" s="7">
        <f>IF($W179="","",IF(INDEX('Per Invoice'!N$2:N$801,$W179)="","",INDEX('Per Invoice'!N$2:N$801,$W179)))</f>
        <v/>
      </c>
      <c r="O179" s="7">
        <f>IF($W179="","",IF(INDEX('Per Invoice'!O$2:O$801,$W179)="","",INDEX('Per Invoice'!O$2:O$801,$W179)))</f>
        <v/>
      </c>
      <c r="P179">
        <f>IF($W179="","",IF(INDEX('Per Invoice'!P$2:P$801,$W179)="","",INDEX('Per Invoice'!P$2:P$801,$W179)))</f>
        <v/>
      </c>
      <c r="Q179" s="7">
        <f>IF($W179="","",IF(INDEX('Per Invoice'!Q$2:Q$801,$W179)="","",INDEX('Per Invoice'!Q$2:Q$801,$W179)))</f>
        <v/>
      </c>
      <c r="R179" s="7">
        <f>IF($W179="","",IF(INDEX('Per Invoice'!R$2:R$801,$W179)="","",INDEX('Per Invoice'!R$2:R$801,$W179)))</f>
        <v/>
      </c>
      <c r="S179" s="7">
        <f>IF($W179="","",IF(INDEX('Per Invoice'!S$2:S$801,$W179)="","",INDEX('Per Invoice'!S$2:S$801,$W179)))</f>
        <v/>
      </c>
      <c r="T179" s="7">
        <f>IF($W179="","",IF(INDEX('Per Invoice'!T$2:T$801,$W179)="","",INDEX('Per Invoice'!T$2:T$801,$W179)))</f>
        <v/>
      </c>
      <c r="U179" s="7">
        <f>IF($W179="","",IF(INDEX('Per Invoice'!U$2:U$801,$W179)="","",INDEX('Per Invoice'!U$2:U$801,$W179)))</f>
        <v/>
      </c>
      <c r="V179" s="7">
        <f>IF($W179="","",IF(INDEX('Per Invoice'!V$2:V$801,$W179)="","",INDEX('Per Invoice'!V$2:V$801,$W179)))</f>
        <v/>
      </c>
      <c r="W179" s="16">
        <f>IFERROR(MATCH(Settings!$C$26&amp;"|"&amp;ROWS($W$2:$W179),'Per Invoice'!$X$2:$X$801,0),"")</f>
        <v/>
      </c>
    </row>
    <row r="180">
      <c r="A180">
        <f>IF($W180="","",IF(INDEX('Per Invoice'!A$2:A$801,$W180)="","",INDEX('Per Invoice'!A$2:A$801,$W180)))</f>
        <v/>
      </c>
      <c r="B180">
        <f>IF($W180="","",IF(INDEX('Per Invoice'!B$2:B$801,$W180)="","",INDEX('Per Invoice'!B$2:B$801,$W180)))</f>
        <v/>
      </c>
      <c r="C180">
        <f>IF($W180="","",IF(INDEX('Per Invoice'!C$2:C$801,$W180)="","",INDEX('Per Invoice'!C$2:C$801,$W180)))</f>
        <v/>
      </c>
      <c r="D180">
        <f>IF($W180="","",IF(INDEX('Per Invoice'!D$2:D$801,$W180)="","",INDEX('Per Invoice'!D$2:D$801,$W180)))</f>
        <v/>
      </c>
      <c r="E180">
        <f>IF($W180="","",IF(INDEX('Per Invoice'!E$2:E$801,$W180)="","",INDEX('Per Invoice'!E$2:E$801,$W180)))</f>
        <v/>
      </c>
      <c r="F180">
        <f>IF($W180="","",IF(INDEX('Per Invoice'!F$2:F$801,$W180)="","",INDEX('Per Invoice'!F$2:F$801,$W180)))</f>
        <v/>
      </c>
      <c r="G180">
        <f>IF($W180="","",IF(INDEX('Per Invoice'!G$2:G$801,$W180)="","",INDEX('Per Invoice'!G$2:G$801,$W180)))</f>
        <v/>
      </c>
      <c r="H180">
        <f>IF($W180="","",IF(INDEX('Per Invoice'!H$2:H$801,$W180)="","",INDEX('Per Invoice'!H$2:H$801,$W180)))</f>
        <v/>
      </c>
      <c r="I180">
        <f>IF($W180="","",IF(INDEX('Per Invoice'!I$2:I$801,$W180)="","",INDEX('Per Invoice'!I$2:I$801,$W180)))</f>
        <v/>
      </c>
      <c r="J180">
        <f>IF($W180="","",IF(INDEX('Per Invoice'!J$2:J$801,$W180)="","",INDEX('Per Invoice'!J$2:J$801,$W180)))</f>
        <v/>
      </c>
      <c r="K180" s="7">
        <f>IF($W180="","",IF(INDEX('Per Invoice'!K$2:K$801,$W180)="","",INDEX('Per Invoice'!K$2:K$801,$W180)))</f>
        <v/>
      </c>
      <c r="L180" s="14">
        <f>IF($W180="","",IF(INDEX('Per Invoice'!L$2:L$801,$W180)="","",INDEX('Per Invoice'!L$2:L$801,$W180)))</f>
        <v/>
      </c>
      <c r="M180">
        <f>IF($W180="","",IF(INDEX('Per Invoice'!M$2:M$801,$W180)="","",INDEX('Per Invoice'!M$2:M$801,$W180)))</f>
        <v/>
      </c>
      <c r="N180" s="7">
        <f>IF($W180="","",IF(INDEX('Per Invoice'!N$2:N$801,$W180)="","",INDEX('Per Invoice'!N$2:N$801,$W180)))</f>
        <v/>
      </c>
      <c r="O180" s="7">
        <f>IF($W180="","",IF(INDEX('Per Invoice'!O$2:O$801,$W180)="","",INDEX('Per Invoice'!O$2:O$801,$W180)))</f>
        <v/>
      </c>
      <c r="P180">
        <f>IF($W180="","",IF(INDEX('Per Invoice'!P$2:P$801,$W180)="","",INDEX('Per Invoice'!P$2:P$801,$W180)))</f>
        <v/>
      </c>
      <c r="Q180" s="7">
        <f>IF($W180="","",IF(INDEX('Per Invoice'!Q$2:Q$801,$W180)="","",INDEX('Per Invoice'!Q$2:Q$801,$W180)))</f>
        <v/>
      </c>
      <c r="R180" s="7">
        <f>IF($W180="","",IF(INDEX('Per Invoice'!R$2:R$801,$W180)="","",INDEX('Per Invoice'!R$2:R$801,$W180)))</f>
        <v/>
      </c>
      <c r="S180" s="7">
        <f>IF($W180="","",IF(INDEX('Per Invoice'!S$2:S$801,$W180)="","",INDEX('Per Invoice'!S$2:S$801,$W180)))</f>
        <v/>
      </c>
      <c r="T180" s="7">
        <f>IF($W180="","",IF(INDEX('Per Invoice'!T$2:T$801,$W180)="","",INDEX('Per Invoice'!T$2:T$801,$W180)))</f>
        <v/>
      </c>
      <c r="U180" s="7">
        <f>IF($W180="","",IF(INDEX('Per Invoice'!U$2:U$801,$W180)="","",INDEX('Per Invoice'!U$2:U$801,$W180)))</f>
        <v/>
      </c>
      <c r="V180" s="7">
        <f>IF($W180="","",IF(INDEX('Per Invoice'!V$2:V$801,$W180)="","",INDEX('Per Invoice'!V$2:V$801,$W180)))</f>
        <v/>
      </c>
      <c r="W180" s="16">
        <f>IFERROR(MATCH(Settings!$C$26&amp;"|"&amp;ROWS($W$2:$W180),'Per Invoice'!$X$2:$X$801,0),"")</f>
        <v/>
      </c>
    </row>
    <row r="181">
      <c r="A181">
        <f>IF($W181="","",IF(INDEX('Per Invoice'!A$2:A$801,$W181)="","",INDEX('Per Invoice'!A$2:A$801,$W181)))</f>
        <v/>
      </c>
      <c r="B181">
        <f>IF($W181="","",IF(INDEX('Per Invoice'!B$2:B$801,$W181)="","",INDEX('Per Invoice'!B$2:B$801,$W181)))</f>
        <v/>
      </c>
      <c r="C181">
        <f>IF($W181="","",IF(INDEX('Per Invoice'!C$2:C$801,$W181)="","",INDEX('Per Invoice'!C$2:C$801,$W181)))</f>
        <v/>
      </c>
      <c r="D181">
        <f>IF($W181="","",IF(INDEX('Per Invoice'!D$2:D$801,$W181)="","",INDEX('Per Invoice'!D$2:D$801,$W181)))</f>
        <v/>
      </c>
      <c r="E181">
        <f>IF($W181="","",IF(INDEX('Per Invoice'!E$2:E$801,$W181)="","",INDEX('Per Invoice'!E$2:E$801,$W181)))</f>
        <v/>
      </c>
      <c r="F181">
        <f>IF($W181="","",IF(INDEX('Per Invoice'!F$2:F$801,$W181)="","",INDEX('Per Invoice'!F$2:F$801,$W181)))</f>
        <v/>
      </c>
      <c r="G181">
        <f>IF($W181="","",IF(INDEX('Per Invoice'!G$2:G$801,$W181)="","",INDEX('Per Invoice'!G$2:G$801,$W181)))</f>
        <v/>
      </c>
      <c r="H181">
        <f>IF($W181="","",IF(INDEX('Per Invoice'!H$2:H$801,$W181)="","",INDEX('Per Invoice'!H$2:H$801,$W181)))</f>
        <v/>
      </c>
      <c r="I181">
        <f>IF($W181="","",IF(INDEX('Per Invoice'!I$2:I$801,$W181)="","",INDEX('Per Invoice'!I$2:I$801,$W181)))</f>
        <v/>
      </c>
      <c r="J181">
        <f>IF($W181="","",IF(INDEX('Per Invoice'!J$2:J$801,$W181)="","",INDEX('Per Invoice'!J$2:J$801,$W181)))</f>
        <v/>
      </c>
      <c r="K181" s="7">
        <f>IF($W181="","",IF(INDEX('Per Invoice'!K$2:K$801,$W181)="","",INDEX('Per Invoice'!K$2:K$801,$W181)))</f>
        <v/>
      </c>
      <c r="L181" s="14">
        <f>IF($W181="","",IF(INDEX('Per Invoice'!L$2:L$801,$W181)="","",INDEX('Per Invoice'!L$2:L$801,$W181)))</f>
        <v/>
      </c>
      <c r="M181">
        <f>IF($W181="","",IF(INDEX('Per Invoice'!M$2:M$801,$W181)="","",INDEX('Per Invoice'!M$2:M$801,$W181)))</f>
        <v/>
      </c>
      <c r="N181" s="7">
        <f>IF($W181="","",IF(INDEX('Per Invoice'!N$2:N$801,$W181)="","",INDEX('Per Invoice'!N$2:N$801,$W181)))</f>
        <v/>
      </c>
      <c r="O181" s="7">
        <f>IF($W181="","",IF(INDEX('Per Invoice'!O$2:O$801,$W181)="","",INDEX('Per Invoice'!O$2:O$801,$W181)))</f>
        <v/>
      </c>
      <c r="P181">
        <f>IF($W181="","",IF(INDEX('Per Invoice'!P$2:P$801,$W181)="","",INDEX('Per Invoice'!P$2:P$801,$W181)))</f>
        <v/>
      </c>
      <c r="Q181" s="7">
        <f>IF($W181="","",IF(INDEX('Per Invoice'!Q$2:Q$801,$W181)="","",INDEX('Per Invoice'!Q$2:Q$801,$W181)))</f>
        <v/>
      </c>
      <c r="R181" s="7">
        <f>IF($W181="","",IF(INDEX('Per Invoice'!R$2:R$801,$W181)="","",INDEX('Per Invoice'!R$2:R$801,$W181)))</f>
        <v/>
      </c>
      <c r="S181" s="7">
        <f>IF($W181="","",IF(INDEX('Per Invoice'!S$2:S$801,$W181)="","",INDEX('Per Invoice'!S$2:S$801,$W181)))</f>
        <v/>
      </c>
      <c r="T181" s="7">
        <f>IF($W181="","",IF(INDEX('Per Invoice'!T$2:T$801,$W181)="","",INDEX('Per Invoice'!T$2:T$801,$W181)))</f>
        <v/>
      </c>
      <c r="U181" s="7">
        <f>IF($W181="","",IF(INDEX('Per Invoice'!U$2:U$801,$W181)="","",INDEX('Per Invoice'!U$2:U$801,$W181)))</f>
        <v/>
      </c>
      <c r="V181" s="7">
        <f>IF($W181="","",IF(INDEX('Per Invoice'!V$2:V$801,$W181)="","",INDEX('Per Invoice'!V$2:V$801,$W181)))</f>
        <v/>
      </c>
      <c r="W181" s="16">
        <f>IFERROR(MATCH(Settings!$C$26&amp;"|"&amp;ROWS($W$2:$W181),'Per Invoice'!$X$2:$X$801,0),"")</f>
        <v/>
      </c>
    </row>
    <row r="182">
      <c r="A182">
        <f>IF($W182="","",IF(INDEX('Per Invoice'!A$2:A$801,$W182)="","",INDEX('Per Invoice'!A$2:A$801,$W182)))</f>
        <v/>
      </c>
      <c r="B182">
        <f>IF($W182="","",IF(INDEX('Per Invoice'!B$2:B$801,$W182)="","",INDEX('Per Invoice'!B$2:B$801,$W182)))</f>
        <v/>
      </c>
      <c r="C182">
        <f>IF($W182="","",IF(INDEX('Per Invoice'!C$2:C$801,$W182)="","",INDEX('Per Invoice'!C$2:C$801,$W182)))</f>
        <v/>
      </c>
      <c r="D182">
        <f>IF($W182="","",IF(INDEX('Per Invoice'!D$2:D$801,$W182)="","",INDEX('Per Invoice'!D$2:D$801,$W182)))</f>
        <v/>
      </c>
      <c r="E182">
        <f>IF($W182="","",IF(INDEX('Per Invoice'!E$2:E$801,$W182)="","",INDEX('Per Invoice'!E$2:E$801,$W182)))</f>
        <v/>
      </c>
      <c r="F182">
        <f>IF($W182="","",IF(INDEX('Per Invoice'!F$2:F$801,$W182)="","",INDEX('Per Invoice'!F$2:F$801,$W182)))</f>
        <v/>
      </c>
      <c r="G182">
        <f>IF($W182="","",IF(INDEX('Per Invoice'!G$2:G$801,$W182)="","",INDEX('Per Invoice'!G$2:G$801,$W182)))</f>
        <v/>
      </c>
      <c r="H182">
        <f>IF($W182="","",IF(INDEX('Per Invoice'!H$2:H$801,$W182)="","",INDEX('Per Invoice'!H$2:H$801,$W182)))</f>
        <v/>
      </c>
      <c r="I182">
        <f>IF($W182="","",IF(INDEX('Per Invoice'!I$2:I$801,$W182)="","",INDEX('Per Invoice'!I$2:I$801,$W182)))</f>
        <v/>
      </c>
      <c r="J182">
        <f>IF($W182="","",IF(INDEX('Per Invoice'!J$2:J$801,$W182)="","",INDEX('Per Invoice'!J$2:J$801,$W182)))</f>
        <v/>
      </c>
      <c r="K182" s="7">
        <f>IF($W182="","",IF(INDEX('Per Invoice'!K$2:K$801,$W182)="","",INDEX('Per Invoice'!K$2:K$801,$W182)))</f>
        <v/>
      </c>
      <c r="L182" s="14">
        <f>IF($W182="","",IF(INDEX('Per Invoice'!L$2:L$801,$W182)="","",INDEX('Per Invoice'!L$2:L$801,$W182)))</f>
        <v/>
      </c>
      <c r="M182">
        <f>IF($W182="","",IF(INDEX('Per Invoice'!M$2:M$801,$W182)="","",INDEX('Per Invoice'!M$2:M$801,$W182)))</f>
        <v/>
      </c>
      <c r="N182" s="7">
        <f>IF($W182="","",IF(INDEX('Per Invoice'!N$2:N$801,$W182)="","",INDEX('Per Invoice'!N$2:N$801,$W182)))</f>
        <v/>
      </c>
      <c r="O182" s="7">
        <f>IF($W182="","",IF(INDEX('Per Invoice'!O$2:O$801,$W182)="","",INDEX('Per Invoice'!O$2:O$801,$W182)))</f>
        <v/>
      </c>
      <c r="P182">
        <f>IF($W182="","",IF(INDEX('Per Invoice'!P$2:P$801,$W182)="","",INDEX('Per Invoice'!P$2:P$801,$W182)))</f>
        <v/>
      </c>
      <c r="Q182" s="7">
        <f>IF($W182="","",IF(INDEX('Per Invoice'!Q$2:Q$801,$W182)="","",INDEX('Per Invoice'!Q$2:Q$801,$W182)))</f>
        <v/>
      </c>
      <c r="R182" s="7">
        <f>IF($W182="","",IF(INDEX('Per Invoice'!R$2:R$801,$W182)="","",INDEX('Per Invoice'!R$2:R$801,$W182)))</f>
        <v/>
      </c>
      <c r="S182" s="7">
        <f>IF($W182="","",IF(INDEX('Per Invoice'!S$2:S$801,$W182)="","",INDEX('Per Invoice'!S$2:S$801,$W182)))</f>
        <v/>
      </c>
      <c r="T182" s="7">
        <f>IF($W182="","",IF(INDEX('Per Invoice'!T$2:T$801,$W182)="","",INDEX('Per Invoice'!T$2:T$801,$W182)))</f>
        <v/>
      </c>
      <c r="U182" s="7">
        <f>IF($W182="","",IF(INDEX('Per Invoice'!U$2:U$801,$W182)="","",INDEX('Per Invoice'!U$2:U$801,$W182)))</f>
        <v/>
      </c>
      <c r="V182" s="7">
        <f>IF($W182="","",IF(INDEX('Per Invoice'!V$2:V$801,$W182)="","",INDEX('Per Invoice'!V$2:V$801,$W182)))</f>
        <v/>
      </c>
      <c r="W182" s="16">
        <f>IFERROR(MATCH(Settings!$C$26&amp;"|"&amp;ROWS($W$2:$W182),'Per Invoice'!$X$2:$X$801,0),"")</f>
        <v/>
      </c>
    </row>
    <row r="183">
      <c r="A183">
        <f>IF($W183="","",IF(INDEX('Per Invoice'!A$2:A$801,$W183)="","",INDEX('Per Invoice'!A$2:A$801,$W183)))</f>
        <v/>
      </c>
      <c r="B183">
        <f>IF($W183="","",IF(INDEX('Per Invoice'!B$2:B$801,$W183)="","",INDEX('Per Invoice'!B$2:B$801,$W183)))</f>
        <v/>
      </c>
      <c r="C183">
        <f>IF($W183="","",IF(INDEX('Per Invoice'!C$2:C$801,$W183)="","",INDEX('Per Invoice'!C$2:C$801,$W183)))</f>
        <v/>
      </c>
      <c r="D183">
        <f>IF($W183="","",IF(INDEX('Per Invoice'!D$2:D$801,$W183)="","",INDEX('Per Invoice'!D$2:D$801,$W183)))</f>
        <v/>
      </c>
      <c r="E183">
        <f>IF($W183="","",IF(INDEX('Per Invoice'!E$2:E$801,$W183)="","",INDEX('Per Invoice'!E$2:E$801,$W183)))</f>
        <v/>
      </c>
      <c r="F183">
        <f>IF($W183="","",IF(INDEX('Per Invoice'!F$2:F$801,$W183)="","",INDEX('Per Invoice'!F$2:F$801,$W183)))</f>
        <v/>
      </c>
      <c r="G183">
        <f>IF($W183="","",IF(INDEX('Per Invoice'!G$2:G$801,$W183)="","",INDEX('Per Invoice'!G$2:G$801,$W183)))</f>
        <v/>
      </c>
      <c r="H183">
        <f>IF($W183="","",IF(INDEX('Per Invoice'!H$2:H$801,$W183)="","",INDEX('Per Invoice'!H$2:H$801,$W183)))</f>
        <v/>
      </c>
      <c r="I183">
        <f>IF($W183="","",IF(INDEX('Per Invoice'!I$2:I$801,$W183)="","",INDEX('Per Invoice'!I$2:I$801,$W183)))</f>
        <v/>
      </c>
      <c r="J183">
        <f>IF($W183="","",IF(INDEX('Per Invoice'!J$2:J$801,$W183)="","",INDEX('Per Invoice'!J$2:J$801,$W183)))</f>
        <v/>
      </c>
      <c r="K183" s="7">
        <f>IF($W183="","",IF(INDEX('Per Invoice'!K$2:K$801,$W183)="","",INDEX('Per Invoice'!K$2:K$801,$W183)))</f>
        <v/>
      </c>
      <c r="L183" s="14">
        <f>IF($W183="","",IF(INDEX('Per Invoice'!L$2:L$801,$W183)="","",INDEX('Per Invoice'!L$2:L$801,$W183)))</f>
        <v/>
      </c>
      <c r="M183">
        <f>IF($W183="","",IF(INDEX('Per Invoice'!M$2:M$801,$W183)="","",INDEX('Per Invoice'!M$2:M$801,$W183)))</f>
        <v/>
      </c>
      <c r="N183" s="7">
        <f>IF($W183="","",IF(INDEX('Per Invoice'!N$2:N$801,$W183)="","",INDEX('Per Invoice'!N$2:N$801,$W183)))</f>
        <v/>
      </c>
      <c r="O183" s="7">
        <f>IF($W183="","",IF(INDEX('Per Invoice'!O$2:O$801,$W183)="","",INDEX('Per Invoice'!O$2:O$801,$W183)))</f>
        <v/>
      </c>
      <c r="P183">
        <f>IF($W183="","",IF(INDEX('Per Invoice'!P$2:P$801,$W183)="","",INDEX('Per Invoice'!P$2:P$801,$W183)))</f>
        <v/>
      </c>
      <c r="Q183" s="7">
        <f>IF($W183="","",IF(INDEX('Per Invoice'!Q$2:Q$801,$W183)="","",INDEX('Per Invoice'!Q$2:Q$801,$W183)))</f>
        <v/>
      </c>
      <c r="R183" s="7">
        <f>IF($W183="","",IF(INDEX('Per Invoice'!R$2:R$801,$W183)="","",INDEX('Per Invoice'!R$2:R$801,$W183)))</f>
        <v/>
      </c>
      <c r="S183" s="7">
        <f>IF($W183="","",IF(INDEX('Per Invoice'!S$2:S$801,$W183)="","",INDEX('Per Invoice'!S$2:S$801,$W183)))</f>
        <v/>
      </c>
      <c r="T183" s="7">
        <f>IF($W183="","",IF(INDEX('Per Invoice'!T$2:T$801,$W183)="","",INDEX('Per Invoice'!T$2:T$801,$W183)))</f>
        <v/>
      </c>
      <c r="U183" s="7">
        <f>IF($W183="","",IF(INDEX('Per Invoice'!U$2:U$801,$W183)="","",INDEX('Per Invoice'!U$2:U$801,$W183)))</f>
        <v/>
      </c>
      <c r="V183" s="7">
        <f>IF($W183="","",IF(INDEX('Per Invoice'!V$2:V$801,$W183)="","",INDEX('Per Invoice'!V$2:V$801,$W183)))</f>
        <v/>
      </c>
      <c r="W183" s="16">
        <f>IFERROR(MATCH(Settings!$C$26&amp;"|"&amp;ROWS($W$2:$W183),'Per Invoice'!$X$2:$X$801,0),"")</f>
        <v/>
      </c>
    </row>
    <row r="184">
      <c r="A184">
        <f>IF($W184="","",IF(INDEX('Per Invoice'!A$2:A$801,$W184)="","",INDEX('Per Invoice'!A$2:A$801,$W184)))</f>
        <v/>
      </c>
      <c r="B184">
        <f>IF($W184="","",IF(INDEX('Per Invoice'!B$2:B$801,$W184)="","",INDEX('Per Invoice'!B$2:B$801,$W184)))</f>
        <v/>
      </c>
      <c r="C184">
        <f>IF($W184="","",IF(INDEX('Per Invoice'!C$2:C$801,$W184)="","",INDEX('Per Invoice'!C$2:C$801,$W184)))</f>
        <v/>
      </c>
      <c r="D184">
        <f>IF($W184="","",IF(INDEX('Per Invoice'!D$2:D$801,$W184)="","",INDEX('Per Invoice'!D$2:D$801,$W184)))</f>
        <v/>
      </c>
      <c r="E184">
        <f>IF($W184="","",IF(INDEX('Per Invoice'!E$2:E$801,$W184)="","",INDEX('Per Invoice'!E$2:E$801,$W184)))</f>
        <v/>
      </c>
      <c r="F184">
        <f>IF($W184="","",IF(INDEX('Per Invoice'!F$2:F$801,$W184)="","",INDEX('Per Invoice'!F$2:F$801,$W184)))</f>
        <v/>
      </c>
      <c r="G184">
        <f>IF($W184="","",IF(INDEX('Per Invoice'!G$2:G$801,$W184)="","",INDEX('Per Invoice'!G$2:G$801,$W184)))</f>
        <v/>
      </c>
      <c r="H184">
        <f>IF($W184="","",IF(INDEX('Per Invoice'!H$2:H$801,$W184)="","",INDEX('Per Invoice'!H$2:H$801,$W184)))</f>
        <v/>
      </c>
      <c r="I184">
        <f>IF($W184="","",IF(INDEX('Per Invoice'!I$2:I$801,$W184)="","",INDEX('Per Invoice'!I$2:I$801,$W184)))</f>
        <v/>
      </c>
      <c r="J184">
        <f>IF($W184="","",IF(INDEX('Per Invoice'!J$2:J$801,$W184)="","",INDEX('Per Invoice'!J$2:J$801,$W184)))</f>
        <v/>
      </c>
      <c r="K184" s="7">
        <f>IF($W184="","",IF(INDEX('Per Invoice'!K$2:K$801,$W184)="","",INDEX('Per Invoice'!K$2:K$801,$W184)))</f>
        <v/>
      </c>
      <c r="L184" s="14">
        <f>IF($W184="","",IF(INDEX('Per Invoice'!L$2:L$801,$W184)="","",INDEX('Per Invoice'!L$2:L$801,$W184)))</f>
        <v/>
      </c>
      <c r="M184">
        <f>IF($W184="","",IF(INDEX('Per Invoice'!M$2:M$801,$W184)="","",INDEX('Per Invoice'!M$2:M$801,$W184)))</f>
        <v/>
      </c>
      <c r="N184" s="7">
        <f>IF($W184="","",IF(INDEX('Per Invoice'!N$2:N$801,$W184)="","",INDEX('Per Invoice'!N$2:N$801,$W184)))</f>
        <v/>
      </c>
      <c r="O184" s="7">
        <f>IF($W184="","",IF(INDEX('Per Invoice'!O$2:O$801,$W184)="","",INDEX('Per Invoice'!O$2:O$801,$W184)))</f>
        <v/>
      </c>
      <c r="P184">
        <f>IF($W184="","",IF(INDEX('Per Invoice'!P$2:P$801,$W184)="","",INDEX('Per Invoice'!P$2:P$801,$W184)))</f>
        <v/>
      </c>
      <c r="Q184" s="7">
        <f>IF($W184="","",IF(INDEX('Per Invoice'!Q$2:Q$801,$W184)="","",INDEX('Per Invoice'!Q$2:Q$801,$W184)))</f>
        <v/>
      </c>
      <c r="R184" s="7">
        <f>IF($W184="","",IF(INDEX('Per Invoice'!R$2:R$801,$W184)="","",INDEX('Per Invoice'!R$2:R$801,$W184)))</f>
        <v/>
      </c>
      <c r="S184" s="7">
        <f>IF($W184="","",IF(INDEX('Per Invoice'!S$2:S$801,$W184)="","",INDEX('Per Invoice'!S$2:S$801,$W184)))</f>
        <v/>
      </c>
      <c r="T184" s="7">
        <f>IF($W184="","",IF(INDEX('Per Invoice'!T$2:T$801,$W184)="","",INDEX('Per Invoice'!T$2:T$801,$W184)))</f>
        <v/>
      </c>
      <c r="U184" s="7">
        <f>IF($W184="","",IF(INDEX('Per Invoice'!U$2:U$801,$W184)="","",INDEX('Per Invoice'!U$2:U$801,$W184)))</f>
        <v/>
      </c>
      <c r="V184" s="7">
        <f>IF($W184="","",IF(INDEX('Per Invoice'!V$2:V$801,$W184)="","",INDEX('Per Invoice'!V$2:V$801,$W184)))</f>
        <v/>
      </c>
      <c r="W184" s="16">
        <f>IFERROR(MATCH(Settings!$C$26&amp;"|"&amp;ROWS($W$2:$W184),'Per Invoice'!$X$2:$X$801,0),"")</f>
        <v/>
      </c>
    </row>
    <row r="185">
      <c r="A185">
        <f>IF($W185="","",IF(INDEX('Per Invoice'!A$2:A$801,$W185)="","",INDEX('Per Invoice'!A$2:A$801,$W185)))</f>
        <v/>
      </c>
      <c r="B185">
        <f>IF($W185="","",IF(INDEX('Per Invoice'!B$2:B$801,$W185)="","",INDEX('Per Invoice'!B$2:B$801,$W185)))</f>
        <v/>
      </c>
      <c r="C185">
        <f>IF($W185="","",IF(INDEX('Per Invoice'!C$2:C$801,$W185)="","",INDEX('Per Invoice'!C$2:C$801,$W185)))</f>
        <v/>
      </c>
      <c r="D185">
        <f>IF($W185="","",IF(INDEX('Per Invoice'!D$2:D$801,$W185)="","",INDEX('Per Invoice'!D$2:D$801,$W185)))</f>
        <v/>
      </c>
      <c r="E185">
        <f>IF($W185="","",IF(INDEX('Per Invoice'!E$2:E$801,$W185)="","",INDEX('Per Invoice'!E$2:E$801,$W185)))</f>
        <v/>
      </c>
      <c r="F185">
        <f>IF($W185="","",IF(INDEX('Per Invoice'!F$2:F$801,$W185)="","",INDEX('Per Invoice'!F$2:F$801,$W185)))</f>
        <v/>
      </c>
      <c r="G185">
        <f>IF($W185="","",IF(INDEX('Per Invoice'!G$2:G$801,$W185)="","",INDEX('Per Invoice'!G$2:G$801,$W185)))</f>
        <v/>
      </c>
      <c r="H185">
        <f>IF($W185="","",IF(INDEX('Per Invoice'!H$2:H$801,$W185)="","",INDEX('Per Invoice'!H$2:H$801,$W185)))</f>
        <v/>
      </c>
      <c r="I185">
        <f>IF($W185="","",IF(INDEX('Per Invoice'!I$2:I$801,$W185)="","",INDEX('Per Invoice'!I$2:I$801,$W185)))</f>
        <v/>
      </c>
      <c r="J185">
        <f>IF($W185="","",IF(INDEX('Per Invoice'!J$2:J$801,$W185)="","",INDEX('Per Invoice'!J$2:J$801,$W185)))</f>
        <v/>
      </c>
      <c r="K185" s="7">
        <f>IF($W185="","",IF(INDEX('Per Invoice'!K$2:K$801,$W185)="","",INDEX('Per Invoice'!K$2:K$801,$W185)))</f>
        <v/>
      </c>
      <c r="L185" s="14">
        <f>IF($W185="","",IF(INDEX('Per Invoice'!L$2:L$801,$W185)="","",INDEX('Per Invoice'!L$2:L$801,$W185)))</f>
        <v/>
      </c>
      <c r="M185">
        <f>IF($W185="","",IF(INDEX('Per Invoice'!M$2:M$801,$W185)="","",INDEX('Per Invoice'!M$2:M$801,$W185)))</f>
        <v/>
      </c>
      <c r="N185" s="7">
        <f>IF($W185="","",IF(INDEX('Per Invoice'!N$2:N$801,$W185)="","",INDEX('Per Invoice'!N$2:N$801,$W185)))</f>
        <v/>
      </c>
      <c r="O185" s="7">
        <f>IF($W185="","",IF(INDEX('Per Invoice'!O$2:O$801,$W185)="","",INDEX('Per Invoice'!O$2:O$801,$W185)))</f>
        <v/>
      </c>
      <c r="P185">
        <f>IF($W185="","",IF(INDEX('Per Invoice'!P$2:P$801,$W185)="","",INDEX('Per Invoice'!P$2:P$801,$W185)))</f>
        <v/>
      </c>
      <c r="Q185" s="7">
        <f>IF($W185="","",IF(INDEX('Per Invoice'!Q$2:Q$801,$W185)="","",INDEX('Per Invoice'!Q$2:Q$801,$W185)))</f>
        <v/>
      </c>
      <c r="R185" s="7">
        <f>IF($W185="","",IF(INDEX('Per Invoice'!R$2:R$801,$W185)="","",INDEX('Per Invoice'!R$2:R$801,$W185)))</f>
        <v/>
      </c>
      <c r="S185" s="7">
        <f>IF($W185="","",IF(INDEX('Per Invoice'!S$2:S$801,$W185)="","",INDEX('Per Invoice'!S$2:S$801,$W185)))</f>
        <v/>
      </c>
      <c r="T185" s="7">
        <f>IF($W185="","",IF(INDEX('Per Invoice'!T$2:T$801,$W185)="","",INDEX('Per Invoice'!T$2:T$801,$W185)))</f>
        <v/>
      </c>
      <c r="U185" s="7">
        <f>IF($W185="","",IF(INDEX('Per Invoice'!U$2:U$801,$W185)="","",INDEX('Per Invoice'!U$2:U$801,$W185)))</f>
        <v/>
      </c>
      <c r="V185" s="7">
        <f>IF($W185="","",IF(INDEX('Per Invoice'!V$2:V$801,$W185)="","",INDEX('Per Invoice'!V$2:V$801,$W185)))</f>
        <v/>
      </c>
      <c r="W185" s="16">
        <f>IFERROR(MATCH(Settings!$C$26&amp;"|"&amp;ROWS($W$2:$W185),'Per Invoice'!$X$2:$X$801,0),"")</f>
        <v/>
      </c>
    </row>
    <row r="186">
      <c r="A186">
        <f>IF($W186="","",IF(INDEX('Per Invoice'!A$2:A$801,$W186)="","",INDEX('Per Invoice'!A$2:A$801,$W186)))</f>
        <v/>
      </c>
      <c r="B186">
        <f>IF($W186="","",IF(INDEX('Per Invoice'!B$2:B$801,$W186)="","",INDEX('Per Invoice'!B$2:B$801,$W186)))</f>
        <v/>
      </c>
      <c r="C186">
        <f>IF($W186="","",IF(INDEX('Per Invoice'!C$2:C$801,$W186)="","",INDEX('Per Invoice'!C$2:C$801,$W186)))</f>
        <v/>
      </c>
      <c r="D186">
        <f>IF($W186="","",IF(INDEX('Per Invoice'!D$2:D$801,$W186)="","",INDEX('Per Invoice'!D$2:D$801,$W186)))</f>
        <v/>
      </c>
      <c r="E186">
        <f>IF($W186="","",IF(INDEX('Per Invoice'!E$2:E$801,$W186)="","",INDEX('Per Invoice'!E$2:E$801,$W186)))</f>
        <v/>
      </c>
      <c r="F186">
        <f>IF($W186="","",IF(INDEX('Per Invoice'!F$2:F$801,$W186)="","",INDEX('Per Invoice'!F$2:F$801,$W186)))</f>
        <v/>
      </c>
      <c r="G186">
        <f>IF($W186="","",IF(INDEX('Per Invoice'!G$2:G$801,$W186)="","",INDEX('Per Invoice'!G$2:G$801,$W186)))</f>
        <v/>
      </c>
      <c r="H186">
        <f>IF($W186="","",IF(INDEX('Per Invoice'!H$2:H$801,$W186)="","",INDEX('Per Invoice'!H$2:H$801,$W186)))</f>
        <v/>
      </c>
      <c r="I186">
        <f>IF($W186="","",IF(INDEX('Per Invoice'!I$2:I$801,$W186)="","",INDEX('Per Invoice'!I$2:I$801,$W186)))</f>
        <v/>
      </c>
      <c r="J186">
        <f>IF($W186="","",IF(INDEX('Per Invoice'!J$2:J$801,$W186)="","",INDEX('Per Invoice'!J$2:J$801,$W186)))</f>
        <v/>
      </c>
      <c r="K186" s="7">
        <f>IF($W186="","",IF(INDEX('Per Invoice'!K$2:K$801,$W186)="","",INDEX('Per Invoice'!K$2:K$801,$W186)))</f>
        <v/>
      </c>
      <c r="L186" s="14">
        <f>IF($W186="","",IF(INDEX('Per Invoice'!L$2:L$801,$W186)="","",INDEX('Per Invoice'!L$2:L$801,$W186)))</f>
        <v/>
      </c>
      <c r="M186">
        <f>IF($W186="","",IF(INDEX('Per Invoice'!M$2:M$801,$W186)="","",INDEX('Per Invoice'!M$2:M$801,$W186)))</f>
        <v/>
      </c>
      <c r="N186" s="7">
        <f>IF($W186="","",IF(INDEX('Per Invoice'!N$2:N$801,$W186)="","",INDEX('Per Invoice'!N$2:N$801,$W186)))</f>
        <v/>
      </c>
      <c r="O186" s="7">
        <f>IF($W186="","",IF(INDEX('Per Invoice'!O$2:O$801,$W186)="","",INDEX('Per Invoice'!O$2:O$801,$W186)))</f>
        <v/>
      </c>
      <c r="P186">
        <f>IF($W186="","",IF(INDEX('Per Invoice'!P$2:P$801,$W186)="","",INDEX('Per Invoice'!P$2:P$801,$W186)))</f>
        <v/>
      </c>
      <c r="Q186" s="7">
        <f>IF($W186="","",IF(INDEX('Per Invoice'!Q$2:Q$801,$W186)="","",INDEX('Per Invoice'!Q$2:Q$801,$W186)))</f>
        <v/>
      </c>
      <c r="R186" s="7">
        <f>IF($W186="","",IF(INDEX('Per Invoice'!R$2:R$801,$W186)="","",INDEX('Per Invoice'!R$2:R$801,$W186)))</f>
        <v/>
      </c>
      <c r="S186" s="7">
        <f>IF($W186="","",IF(INDEX('Per Invoice'!S$2:S$801,$W186)="","",INDEX('Per Invoice'!S$2:S$801,$W186)))</f>
        <v/>
      </c>
      <c r="T186" s="7">
        <f>IF($W186="","",IF(INDEX('Per Invoice'!T$2:T$801,$W186)="","",INDEX('Per Invoice'!T$2:T$801,$W186)))</f>
        <v/>
      </c>
      <c r="U186" s="7">
        <f>IF($W186="","",IF(INDEX('Per Invoice'!U$2:U$801,$W186)="","",INDEX('Per Invoice'!U$2:U$801,$W186)))</f>
        <v/>
      </c>
      <c r="V186" s="7">
        <f>IF($W186="","",IF(INDEX('Per Invoice'!V$2:V$801,$W186)="","",INDEX('Per Invoice'!V$2:V$801,$W186)))</f>
        <v/>
      </c>
      <c r="W186" s="16">
        <f>IFERROR(MATCH(Settings!$C$26&amp;"|"&amp;ROWS($W$2:$W186),'Per Invoice'!$X$2:$X$801,0),"")</f>
        <v/>
      </c>
    </row>
    <row r="187">
      <c r="A187">
        <f>IF($W187="","",IF(INDEX('Per Invoice'!A$2:A$801,$W187)="","",INDEX('Per Invoice'!A$2:A$801,$W187)))</f>
        <v/>
      </c>
      <c r="B187">
        <f>IF($W187="","",IF(INDEX('Per Invoice'!B$2:B$801,$W187)="","",INDEX('Per Invoice'!B$2:B$801,$W187)))</f>
        <v/>
      </c>
      <c r="C187">
        <f>IF($W187="","",IF(INDEX('Per Invoice'!C$2:C$801,$W187)="","",INDEX('Per Invoice'!C$2:C$801,$W187)))</f>
        <v/>
      </c>
      <c r="D187">
        <f>IF($W187="","",IF(INDEX('Per Invoice'!D$2:D$801,$W187)="","",INDEX('Per Invoice'!D$2:D$801,$W187)))</f>
        <v/>
      </c>
      <c r="E187">
        <f>IF($W187="","",IF(INDEX('Per Invoice'!E$2:E$801,$W187)="","",INDEX('Per Invoice'!E$2:E$801,$W187)))</f>
        <v/>
      </c>
      <c r="F187">
        <f>IF($W187="","",IF(INDEX('Per Invoice'!F$2:F$801,$W187)="","",INDEX('Per Invoice'!F$2:F$801,$W187)))</f>
        <v/>
      </c>
      <c r="G187">
        <f>IF($W187="","",IF(INDEX('Per Invoice'!G$2:G$801,$W187)="","",INDEX('Per Invoice'!G$2:G$801,$W187)))</f>
        <v/>
      </c>
      <c r="H187">
        <f>IF($W187="","",IF(INDEX('Per Invoice'!H$2:H$801,$W187)="","",INDEX('Per Invoice'!H$2:H$801,$W187)))</f>
        <v/>
      </c>
      <c r="I187">
        <f>IF($W187="","",IF(INDEX('Per Invoice'!I$2:I$801,$W187)="","",INDEX('Per Invoice'!I$2:I$801,$W187)))</f>
        <v/>
      </c>
      <c r="J187">
        <f>IF($W187="","",IF(INDEX('Per Invoice'!J$2:J$801,$W187)="","",INDEX('Per Invoice'!J$2:J$801,$W187)))</f>
        <v/>
      </c>
      <c r="K187" s="7">
        <f>IF($W187="","",IF(INDEX('Per Invoice'!K$2:K$801,$W187)="","",INDEX('Per Invoice'!K$2:K$801,$W187)))</f>
        <v/>
      </c>
      <c r="L187" s="14">
        <f>IF($W187="","",IF(INDEX('Per Invoice'!L$2:L$801,$W187)="","",INDEX('Per Invoice'!L$2:L$801,$W187)))</f>
        <v/>
      </c>
      <c r="M187">
        <f>IF($W187="","",IF(INDEX('Per Invoice'!M$2:M$801,$W187)="","",INDEX('Per Invoice'!M$2:M$801,$W187)))</f>
        <v/>
      </c>
      <c r="N187" s="7">
        <f>IF($W187="","",IF(INDEX('Per Invoice'!N$2:N$801,$W187)="","",INDEX('Per Invoice'!N$2:N$801,$W187)))</f>
        <v/>
      </c>
      <c r="O187" s="7">
        <f>IF($W187="","",IF(INDEX('Per Invoice'!O$2:O$801,$W187)="","",INDEX('Per Invoice'!O$2:O$801,$W187)))</f>
        <v/>
      </c>
      <c r="P187">
        <f>IF($W187="","",IF(INDEX('Per Invoice'!P$2:P$801,$W187)="","",INDEX('Per Invoice'!P$2:P$801,$W187)))</f>
        <v/>
      </c>
      <c r="Q187" s="7">
        <f>IF($W187="","",IF(INDEX('Per Invoice'!Q$2:Q$801,$W187)="","",INDEX('Per Invoice'!Q$2:Q$801,$W187)))</f>
        <v/>
      </c>
      <c r="R187" s="7">
        <f>IF($W187="","",IF(INDEX('Per Invoice'!R$2:R$801,$W187)="","",INDEX('Per Invoice'!R$2:R$801,$W187)))</f>
        <v/>
      </c>
      <c r="S187" s="7">
        <f>IF($W187="","",IF(INDEX('Per Invoice'!S$2:S$801,$W187)="","",INDEX('Per Invoice'!S$2:S$801,$W187)))</f>
        <v/>
      </c>
      <c r="T187" s="7">
        <f>IF($W187="","",IF(INDEX('Per Invoice'!T$2:T$801,$W187)="","",INDEX('Per Invoice'!T$2:T$801,$W187)))</f>
        <v/>
      </c>
      <c r="U187" s="7">
        <f>IF($W187="","",IF(INDEX('Per Invoice'!U$2:U$801,$W187)="","",INDEX('Per Invoice'!U$2:U$801,$W187)))</f>
        <v/>
      </c>
      <c r="V187" s="7">
        <f>IF($W187="","",IF(INDEX('Per Invoice'!V$2:V$801,$W187)="","",INDEX('Per Invoice'!V$2:V$801,$W187)))</f>
        <v/>
      </c>
      <c r="W187" s="16">
        <f>IFERROR(MATCH(Settings!$C$26&amp;"|"&amp;ROWS($W$2:$W187),'Per Invoice'!$X$2:$X$801,0),"")</f>
        <v/>
      </c>
    </row>
    <row r="188">
      <c r="A188">
        <f>IF($W188="","",IF(INDEX('Per Invoice'!A$2:A$801,$W188)="","",INDEX('Per Invoice'!A$2:A$801,$W188)))</f>
        <v/>
      </c>
      <c r="B188">
        <f>IF($W188="","",IF(INDEX('Per Invoice'!B$2:B$801,$W188)="","",INDEX('Per Invoice'!B$2:B$801,$W188)))</f>
        <v/>
      </c>
      <c r="C188">
        <f>IF($W188="","",IF(INDEX('Per Invoice'!C$2:C$801,$W188)="","",INDEX('Per Invoice'!C$2:C$801,$W188)))</f>
        <v/>
      </c>
      <c r="D188">
        <f>IF($W188="","",IF(INDEX('Per Invoice'!D$2:D$801,$W188)="","",INDEX('Per Invoice'!D$2:D$801,$W188)))</f>
        <v/>
      </c>
      <c r="E188">
        <f>IF($W188="","",IF(INDEX('Per Invoice'!E$2:E$801,$W188)="","",INDEX('Per Invoice'!E$2:E$801,$W188)))</f>
        <v/>
      </c>
      <c r="F188">
        <f>IF($W188="","",IF(INDEX('Per Invoice'!F$2:F$801,$W188)="","",INDEX('Per Invoice'!F$2:F$801,$W188)))</f>
        <v/>
      </c>
      <c r="G188">
        <f>IF($W188="","",IF(INDEX('Per Invoice'!G$2:G$801,$W188)="","",INDEX('Per Invoice'!G$2:G$801,$W188)))</f>
        <v/>
      </c>
      <c r="H188">
        <f>IF($W188="","",IF(INDEX('Per Invoice'!H$2:H$801,$W188)="","",INDEX('Per Invoice'!H$2:H$801,$W188)))</f>
        <v/>
      </c>
      <c r="I188">
        <f>IF($W188="","",IF(INDEX('Per Invoice'!I$2:I$801,$W188)="","",INDEX('Per Invoice'!I$2:I$801,$W188)))</f>
        <v/>
      </c>
      <c r="J188">
        <f>IF($W188="","",IF(INDEX('Per Invoice'!J$2:J$801,$W188)="","",INDEX('Per Invoice'!J$2:J$801,$W188)))</f>
        <v/>
      </c>
      <c r="K188" s="7">
        <f>IF($W188="","",IF(INDEX('Per Invoice'!K$2:K$801,$W188)="","",INDEX('Per Invoice'!K$2:K$801,$W188)))</f>
        <v/>
      </c>
      <c r="L188" s="14">
        <f>IF($W188="","",IF(INDEX('Per Invoice'!L$2:L$801,$W188)="","",INDEX('Per Invoice'!L$2:L$801,$W188)))</f>
        <v/>
      </c>
      <c r="M188">
        <f>IF($W188="","",IF(INDEX('Per Invoice'!M$2:M$801,$W188)="","",INDEX('Per Invoice'!M$2:M$801,$W188)))</f>
        <v/>
      </c>
      <c r="N188" s="7">
        <f>IF($W188="","",IF(INDEX('Per Invoice'!N$2:N$801,$W188)="","",INDEX('Per Invoice'!N$2:N$801,$W188)))</f>
        <v/>
      </c>
      <c r="O188" s="7">
        <f>IF($W188="","",IF(INDEX('Per Invoice'!O$2:O$801,$W188)="","",INDEX('Per Invoice'!O$2:O$801,$W188)))</f>
        <v/>
      </c>
      <c r="P188">
        <f>IF($W188="","",IF(INDEX('Per Invoice'!P$2:P$801,$W188)="","",INDEX('Per Invoice'!P$2:P$801,$W188)))</f>
        <v/>
      </c>
      <c r="Q188" s="7">
        <f>IF($W188="","",IF(INDEX('Per Invoice'!Q$2:Q$801,$W188)="","",INDEX('Per Invoice'!Q$2:Q$801,$W188)))</f>
        <v/>
      </c>
      <c r="R188" s="7">
        <f>IF($W188="","",IF(INDEX('Per Invoice'!R$2:R$801,$W188)="","",INDEX('Per Invoice'!R$2:R$801,$W188)))</f>
        <v/>
      </c>
      <c r="S188" s="7">
        <f>IF($W188="","",IF(INDEX('Per Invoice'!S$2:S$801,$W188)="","",INDEX('Per Invoice'!S$2:S$801,$W188)))</f>
        <v/>
      </c>
      <c r="T188" s="7">
        <f>IF($W188="","",IF(INDEX('Per Invoice'!T$2:T$801,$W188)="","",INDEX('Per Invoice'!T$2:T$801,$W188)))</f>
        <v/>
      </c>
      <c r="U188" s="7">
        <f>IF($W188="","",IF(INDEX('Per Invoice'!U$2:U$801,$W188)="","",INDEX('Per Invoice'!U$2:U$801,$W188)))</f>
        <v/>
      </c>
      <c r="V188" s="7">
        <f>IF($W188="","",IF(INDEX('Per Invoice'!V$2:V$801,$W188)="","",INDEX('Per Invoice'!V$2:V$801,$W188)))</f>
        <v/>
      </c>
      <c r="W188" s="16">
        <f>IFERROR(MATCH(Settings!$C$26&amp;"|"&amp;ROWS($W$2:$W188),'Per Invoice'!$X$2:$X$801,0),"")</f>
        <v/>
      </c>
    </row>
    <row r="189">
      <c r="A189">
        <f>IF($W189="","",IF(INDEX('Per Invoice'!A$2:A$801,$W189)="","",INDEX('Per Invoice'!A$2:A$801,$W189)))</f>
        <v/>
      </c>
      <c r="B189">
        <f>IF($W189="","",IF(INDEX('Per Invoice'!B$2:B$801,$W189)="","",INDEX('Per Invoice'!B$2:B$801,$W189)))</f>
        <v/>
      </c>
      <c r="C189">
        <f>IF($W189="","",IF(INDEX('Per Invoice'!C$2:C$801,$W189)="","",INDEX('Per Invoice'!C$2:C$801,$W189)))</f>
        <v/>
      </c>
      <c r="D189">
        <f>IF($W189="","",IF(INDEX('Per Invoice'!D$2:D$801,$W189)="","",INDEX('Per Invoice'!D$2:D$801,$W189)))</f>
        <v/>
      </c>
      <c r="E189">
        <f>IF($W189="","",IF(INDEX('Per Invoice'!E$2:E$801,$W189)="","",INDEX('Per Invoice'!E$2:E$801,$W189)))</f>
        <v/>
      </c>
      <c r="F189">
        <f>IF($W189="","",IF(INDEX('Per Invoice'!F$2:F$801,$W189)="","",INDEX('Per Invoice'!F$2:F$801,$W189)))</f>
        <v/>
      </c>
      <c r="G189">
        <f>IF($W189="","",IF(INDEX('Per Invoice'!G$2:G$801,$W189)="","",INDEX('Per Invoice'!G$2:G$801,$W189)))</f>
        <v/>
      </c>
      <c r="H189">
        <f>IF($W189="","",IF(INDEX('Per Invoice'!H$2:H$801,$W189)="","",INDEX('Per Invoice'!H$2:H$801,$W189)))</f>
        <v/>
      </c>
      <c r="I189">
        <f>IF($W189="","",IF(INDEX('Per Invoice'!I$2:I$801,$W189)="","",INDEX('Per Invoice'!I$2:I$801,$W189)))</f>
        <v/>
      </c>
      <c r="J189">
        <f>IF($W189="","",IF(INDEX('Per Invoice'!J$2:J$801,$W189)="","",INDEX('Per Invoice'!J$2:J$801,$W189)))</f>
        <v/>
      </c>
      <c r="K189" s="7">
        <f>IF($W189="","",IF(INDEX('Per Invoice'!K$2:K$801,$W189)="","",INDEX('Per Invoice'!K$2:K$801,$W189)))</f>
        <v/>
      </c>
      <c r="L189" s="14">
        <f>IF($W189="","",IF(INDEX('Per Invoice'!L$2:L$801,$W189)="","",INDEX('Per Invoice'!L$2:L$801,$W189)))</f>
        <v/>
      </c>
      <c r="M189">
        <f>IF($W189="","",IF(INDEX('Per Invoice'!M$2:M$801,$W189)="","",INDEX('Per Invoice'!M$2:M$801,$W189)))</f>
        <v/>
      </c>
      <c r="N189" s="7">
        <f>IF($W189="","",IF(INDEX('Per Invoice'!N$2:N$801,$W189)="","",INDEX('Per Invoice'!N$2:N$801,$W189)))</f>
        <v/>
      </c>
      <c r="O189" s="7">
        <f>IF($W189="","",IF(INDEX('Per Invoice'!O$2:O$801,$W189)="","",INDEX('Per Invoice'!O$2:O$801,$W189)))</f>
        <v/>
      </c>
      <c r="P189">
        <f>IF($W189="","",IF(INDEX('Per Invoice'!P$2:P$801,$W189)="","",INDEX('Per Invoice'!P$2:P$801,$W189)))</f>
        <v/>
      </c>
      <c r="Q189" s="7">
        <f>IF($W189="","",IF(INDEX('Per Invoice'!Q$2:Q$801,$W189)="","",INDEX('Per Invoice'!Q$2:Q$801,$W189)))</f>
        <v/>
      </c>
      <c r="R189" s="7">
        <f>IF($W189="","",IF(INDEX('Per Invoice'!R$2:R$801,$W189)="","",INDEX('Per Invoice'!R$2:R$801,$W189)))</f>
        <v/>
      </c>
      <c r="S189" s="7">
        <f>IF($W189="","",IF(INDEX('Per Invoice'!S$2:S$801,$W189)="","",INDEX('Per Invoice'!S$2:S$801,$W189)))</f>
        <v/>
      </c>
      <c r="T189" s="7">
        <f>IF($W189="","",IF(INDEX('Per Invoice'!T$2:T$801,$W189)="","",INDEX('Per Invoice'!T$2:T$801,$W189)))</f>
        <v/>
      </c>
      <c r="U189" s="7">
        <f>IF($W189="","",IF(INDEX('Per Invoice'!U$2:U$801,$W189)="","",INDEX('Per Invoice'!U$2:U$801,$W189)))</f>
        <v/>
      </c>
      <c r="V189" s="7">
        <f>IF($W189="","",IF(INDEX('Per Invoice'!V$2:V$801,$W189)="","",INDEX('Per Invoice'!V$2:V$801,$W189)))</f>
        <v/>
      </c>
      <c r="W189" s="16">
        <f>IFERROR(MATCH(Settings!$C$26&amp;"|"&amp;ROWS($W$2:$W189),'Per Invoice'!$X$2:$X$801,0),"")</f>
        <v/>
      </c>
    </row>
    <row r="190">
      <c r="A190">
        <f>IF($W190="","",IF(INDEX('Per Invoice'!A$2:A$801,$W190)="","",INDEX('Per Invoice'!A$2:A$801,$W190)))</f>
        <v/>
      </c>
      <c r="B190">
        <f>IF($W190="","",IF(INDEX('Per Invoice'!B$2:B$801,$W190)="","",INDEX('Per Invoice'!B$2:B$801,$W190)))</f>
        <v/>
      </c>
      <c r="C190">
        <f>IF($W190="","",IF(INDEX('Per Invoice'!C$2:C$801,$W190)="","",INDEX('Per Invoice'!C$2:C$801,$W190)))</f>
        <v/>
      </c>
      <c r="D190">
        <f>IF($W190="","",IF(INDEX('Per Invoice'!D$2:D$801,$W190)="","",INDEX('Per Invoice'!D$2:D$801,$W190)))</f>
        <v/>
      </c>
      <c r="E190">
        <f>IF($W190="","",IF(INDEX('Per Invoice'!E$2:E$801,$W190)="","",INDEX('Per Invoice'!E$2:E$801,$W190)))</f>
        <v/>
      </c>
      <c r="F190">
        <f>IF($W190="","",IF(INDEX('Per Invoice'!F$2:F$801,$W190)="","",INDEX('Per Invoice'!F$2:F$801,$W190)))</f>
        <v/>
      </c>
      <c r="G190">
        <f>IF($W190="","",IF(INDEX('Per Invoice'!G$2:G$801,$W190)="","",INDEX('Per Invoice'!G$2:G$801,$W190)))</f>
        <v/>
      </c>
      <c r="H190">
        <f>IF($W190="","",IF(INDEX('Per Invoice'!H$2:H$801,$W190)="","",INDEX('Per Invoice'!H$2:H$801,$W190)))</f>
        <v/>
      </c>
      <c r="I190">
        <f>IF($W190="","",IF(INDEX('Per Invoice'!I$2:I$801,$W190)="","",INDEX('Per Invoice'!I$2:I$801,$W190)))</f>
        <v/>
      </c>
      <c r="J190">
        <f>IF($W190="","",IF(INDEX('Per Invoice'!J$2:J$801,$W190)="","",INDEX('Per Invoice'!J$2:J$801,$W190)))</f>
        <v/>
      </c>
      <c r="K190" s="7">
        <f>IF($W190="","",IF(INDEX('Per Invoice'!K$2:K$801,$W190)="","",INDEX('Per Invoice'!K$2:K$801,$W190)))</f>
        <v/>
      </c>
      <c r="L190" s="14">
        <f>IF($W190="","",IF(INDEX('Per Invoice'!L$2:L$801,$W190)="","",INDEX('Per Invoice'!L$2:L$801,$W190)))</f>
        <v/>
      </c>
      <c r="M190">
        <f>IF($W190="","",IF(INDEX('Per Invoice'!M$2:M$801,$W190)="","",INDEX('Per Invoice'!M$2:M$801,$W190)))</f>
        <v/>
      </c>
      <c r="N190" s="7">
        <f>IF($W190="","",IF(INDEX('Per Invoice'!N$2:N$801,$W190)="","",INDEX('Per Invoice'!N$2:N$801,$W190)))</f>
        <v/>
      </c>
      <c r="O190" s="7">
        <f>IF($W190="","",IF(INDEX('Per Invoice'!O$2:O$801,$W190)="","",INDEX('Per Invoice'!O$2:O$801,$W190)))</f>
        <v/>
      </c>
      <c r="P190">
        <f>IF($W190="","",IF(INDEX('Per Invoice'!P$2:P$801,$W190)="","",INDEX('Per Invoice'!P$2:P$801,$W190)))</f>
        <v/>
      </c>
      <c r="Q190" s="7">
        <f>IF($W190="","",IF(INDEX('Per Invoice'!Q$2:Q$801,$W190)="","",INDEX('Per Invoice'!Q$2:Q$801,$W190)))</f>
        <v/>
      </c>
      <c r="R190" s="7">
        <f>IF($W190="","",IF(INDEX('Per Invoice'!R$2:R$801,$W190)="","",INDEX('Per Invoice'!R$2:R$801,$W190)))</f>
        <v/>
      </c>
      <c r="S190" s="7">
        <f>IF($W190="","",IF(INDEX('Per Invoice'!S$2:S$801,$W190)="","",INDEX('Per Invoice'!S$2:S$801,$W190)))</f>
        <v/>
      </c>
      <c r="T190" s="7">
        <f>IF($W190="","",IF(INDEX('Per Invoice'!T$2:T$801,$W190)="","",INDEX('Per Invoice'!T$2:T$801,$W190)))</f>
        <v/>
      </c>
      <c r="U190" s="7">
        <f>IF($W190="","",IF(INDEX('Per Invoice'!U$2:U$801,$W190)="","",INDEX('Per Invoice'!U$2:U$801,$W190)))</f>
        <v/>
      </c>
      <c r="V190" s="7">
        <f>IF($W190="","",IF(INDEX('Per Invoice'!V$2:V$801,$W190)="","",INDEX('Per Invoice'!V$2:V$801,$W190)))</f>
        <v/>
      </c>
      <c r="W190" s="16">
        <f>IFERROR(MATCH(Settings!$C$26&amp;"|"&amp;ROWS($W$2:$W190),'Per Invoice'!$X$2:$X$801,0),"")</f>
        <v/>
      </c>
    </row>
    <row r="191">
      <c r="A191">
        <f>IF($W191="","",IF(INDEX('Per Invoice'!A$2:A$801,$W191)="","",INDEX('Per Invoice'!A$2:A$801,$W191)))</f>
        <v/>
      </c>
      <c r="B191">
        <f>IF($W191="","",IF(INDEX('Per Invoice'!B$2:B$801,$W191)="","",INDEX('Per Invoice'!B$2:B$801,$W191)))</f>
        <v/>
      </c>
      <c r="C191">
        <f>IF($W191="","",IF(INDEX('Per Invoice'!C$2:C$801,$W191)="","",INDEX('Per Invoice'!C$2:C$801,$W191)))</f>
        <v/>
      </c>
      <c r="D191">
        <f>IF($W191="","",IF(INDEX('Per Invoice'!D$2:D$801,$W191)="","",INDEX('Per Invoice'!D$2:D$801,$W191)))</f>
        <v/>
      </c>
      <c r="E191">
        <f>IF($W191="","",IF(INDEX('Per Invoice'!E$2:E$801,$W191)="","",INDEX('Per Invoice'!E$2:E$801,$W191)))</f>
        <v/>
      </c>
      <c r="F191">
        <f>IF($W191="","",IF(INDEX('Per Invoice'!F$2:F$801,$W191)="","",INDEX('Per Invoice'!F$2:F$801,$W191)))</f>
        <v/>
      </c>
      <c r="G191">
        <f>IF($W191="","",IF(INDEX('Per Invoice'!G$2:G$801,$W191)="","",INDEX('Per Invoice'!G$2:G$801,$W191)))</f>
        <v/>
      </c>
      <c r="H191">
        <f>IF($W191="","",IF(INDEX('Per Invoice'!H$2:H$801,$W191)="","",INDEX('Per Invoice'!H$2:H$801,$W191)))</f>
        <v/>
      </c>
      <c r="I191">
        <f>IF($W191="","",IF(INDEX('Per Invoice'!I$2:I$801,$W191)="","",INDEX('Per Invoice'!I$2:I$801,$W191)))</f>
        <v/>
      </c>
      <c r="J191">
        <f>IF($W191="","",IF(INDEX('Per Invoice'!J$2:J$801,$W191)="","",INDEX('Per Invoice'!J$2:J$801,$W191)))</f>
        <v/>
      </c>
      <c r="K191" s="7">
        <f>IF($W191="","",IF(INDEX('Per Invoice'!K$2:K$801,$W191)="","",INDEX('Per Invoice'!K$2:K$801,$W191)))</f>
        <v/>
      </c>
      <c r="L191" s="14">
        <f>IF($W191="","",IF(INDEX('Per Invoice'!L$2:L$801,$W191)="","",INDEX('Per Invoice'!L$2:L$801,$W191)))</f>
        <v/>
      </c>
      <c r="M191">
        <f>IF($W191="","",IF(INDEX('Per Invoice'!M$2:M$801,$W191)="","",INDEX('Per Invoice'!M$2:M$801,$W191)))</f>
        <v/>
      </c>
      <c r="N191" s="7">
        <f>IF($W191="","",IF(INDEX('Per Invoice'!N$2:N$801,$W191)="","",INDEX('Per Invoice'!N$2:N$801,$W191)))</f>
        <v/>
      </c>
      <c r="O191" s="7">
        <f>IF($W191="","",IF(INDEX('Per Invoice'!O$2:O$801,$W191)="","",INDEX('Per Invoice'!O$2:O$801,$W191)))</f>
        <v/>
      </c>
      <c r="P191">
        <f>IF($W191="","",IF(INDEX('Per Invoice'!P$2:P$801,$W191)="","",INDEX('Per Invoice'!P$2:P$801,$W191)))</f>
        <v/>
      </c>
      <c r="Q191" s="7">
        <f>IF($W191="","",IF(INDEX('Per Invoice'!Q$2:Q$801,$W191)="","",INDEX('Per Invoice'!Q$2:Q$801,$W191)))</f>
        <v/>
      </c>
      <c r="R191" s="7">
        <f>IF($W191="","",IF(INDEX('Per Invoice'!R$2:R$801,$W191)="","",INDEX('Per Invoice'!R$2:R$801,$W191)))</f>
        <v/>
      </c>
      <c r="S191" s="7">
        <f>IF($W191="","",IF(INDEX('Per Invoice'!S$2:S$801,$W191)="","",INDEX('Per Invoice'!S$2:S$801,$W191)))</f>
        <v/>
      </c>
      <c r="T191" s="7">
        <f>IF($W191="","",IF(INDEX('Per Invoice'!T$2:T$801,$W191)="","",INDEX('Per Invoice'!T$2:T$801,$W191)))</f>
        <v/>
      </c>
      <c r="U191" s="7">
        <f>IF($W191="","",IF(INDEX('Per Invoice'!U$2:U$801,$W191)="","",INDEX('Per Invoice'!U$2:U$801,$W191)))</f>
        <v/>
      </c>
      <c r="V191" s="7">
        <f>IF($W191="","",IF(INDEX('Per Invoice'!V$2:V$801,$W191)="","",INDEX('Per Invoice'!V$2:V$801,$W191)))</f>
        <v/>
      </c>
      <c r="W191" s="16">
        <f>IFERROR(MATCH(Settings!$C$26&amp;"|"&amp;ROWS($W$2:$W191),'Per Invoice'!$X$2:$X$801,0),"")</f>
        <v/>
      </c>
    </row>
    <row r="192">
      <c r="A192">
        <f>IF($W192="","",IF(INDEX('Per Invoice'!A$2:A$801,$W192)="","",INDEX('Per Invoice'!A$2:A$801,$W192)))</f>
        <v/>
      </c>
      <c r="B192">
        <f>IF($W192="","",IF(INDEX('Per Invoice'!B$2:B$801,$W192)="","",INDEX('Per Invoice'!B$2:B$801,$W192)))</f>
        <v/>
      </c>
      <c r="C192">
        <f>IF($W192="","",IF(INDEX('Per Invoice'!C$2:C$801,$W192)="","",INDEX('Per Invoice'!C$2:C$801,$W192)))</f>
        <v/>
      </c>
      <c r="D192">
        <f>IF($W192="","",IF(INDEX('Per Invoice'!D$2:D$801,$W192)="","",INDEX('Per Invoice'!D$2:D$801,$W192)))</f>
        <v/>
      </c>
      <c r="E192">
        <f>IF($W192="","",IF(INDEX('Per Invoice'!E$2:E$801,$W192)="","",INDEX('Per Invoice'!E$2:E$801,$W192)))</f>
        <v/>
      </c>
      <c r="F192">
        <f>IF($W192="","",IF(INDEX('Per Invoice'!F$2:F$801,$W192)="","",INDEX('Per Invoice'!F$2:F$801,$W192)))</f>
        <v/>
      </c>
      <c r="G192">
        <f>IF($W192="","",IF(INDEX('Per Invoice'!G$2:G$801,$W192)="","",INDEX('Per Invoice'!G$2:G$801,$W192)))</f>
        <v/>
      </c>
      <c r="H192">
        <f>IF($W192="","",IF(INDEX('Per Invoice'!H$2:H$801,$W192)="","",INDEX('Per Invoice'!H$2:H$801,$W192)))</f>
        <v/>
      </c>
      <c r="I192">
        <f>IF($W192="","",IF(INDEX('Per Invoice'!I$2:I$801,$W192)="","",INDEX('Per Invoice'!I$2:I$801,$W192)))</f>
        <v/>
      </c>
      <c r="J192">
        <f>IF($W192="","",IF(INDEX('Per Invoice'!J$2:J$801,$W192)="","",INDEX('Per Invoice'!J$2:J$801,$W192)))</f>
        <v/>
      </c>
      <c r="K192" s="7">
        <f>IF($W192="","",IF(INDEX('Per Invoice'!K$2:K$801,$W192)="","",INDEX('Per Invoice'!K$2:K$801,$W192)))</f>
        <v/>
      </c>
      <c r="L192" s="14">
        <f>IF($W192="","",IF(INDEX('Per Invoice'!L$2:L$801,$W192)="","",INDEX('Per Invoice'!L$2:L$801,$W192)))</f>
        <v/>
      </c>
      <c r="M192">
        <f>IF($W192="","",IF(INDEX('Per Invoice'!M$2:M$801,$W192)="","",INDEX('Per Invoice'!M$2:M$801,$W192)))</f>
        <v/>
      </c>
      <c r="N192" s="7">
        <f>IF($W192="","",IF(INDEX('Per Invoice'!N$2:N$801,$W192)="","",INDEX('Per Invoice'!N$2:N$801,$W192)))</f>
        <v/>
      </c>
      <c r="O192" s="7">
        <f>IF($W192="","",IF(INDEX('Per Invoice'!O$2:O$801,$W192)="","",INDEX('Per Invoice'!O$2:O$801,$W192)))</f>
        <v/>
      </c>
      <c r="P192">
        <f>IF($W192="","",IF(INDEX('Per Invoice'!P$2:P$801,$W192)="","",INDEX('Per Invoice'!P$2:P$801,$W192)))</f>
        <v/>
      </c>
      <c r="Q192" s="7">
        <f>IF($W192="","",IF(INDEX('Per Invoice'!Q$2:Q$801,$W192)="","",INDEX('Per Invoice'!Q$2:Q$801,$W192)))</f>
        <v/>
      </c>
      <c r="R192" s="7">
        <f>IF($W192="","",IF(INDEX('Per Invoice'!R$2:R$801,$W192)="","",INDEX('Per Invoice'!R$2:R$801,$W192)))</f>
        <v/>
      </c>
      <c r="S192" s="7">
        <f>IF($W192="","",IF(INDEX('Per Invoice'!S$2:S$801,$W192)="","",INDEX('Per Invoice'!S$2:S$801,$W192)))</f>
        <v/>
      </c>
      <c r="T192" s="7">
        <f>IF($W192="","",IF(INDEX('Per Invoice'!T$2:T$801,$W192)="","",INDEX('Per Invoice'!T$2:T$801,$W192)))</f>
        <v/>
      </c>
      <c r="U192" s="7">
        <f>IF($W192="","",IF(INDEX('Per Invoice'!U$2:U$801,$W192)="","",INDEX('Per Invoice'!U$2:U$801,$W192)))</f>
        <v/>
      </c>
      <c r="V192" s="7">
        <f>IF($W192="","",IF(INDEX('Per Invoice'!V$2:V$801,$W192)="","",INDEX('Per Invoice'!V$2:V$801,$W192)))</f>
        <v/>
      </c>
      <c r="W192" s="16">
        <f>IFERROR(MATCH(Settings!$C$26&amp;"|"&amp;ROWS($W$2:$W192),'Per Invoice'!$X$2:$X$801,0),"")</f>
        <v/>
      </c>
    </row>
    <row r="193">
      <c r="A193">
        <f>IF($W193="","",IF(INDEX('Per Invoice'!A$2:A$801,$W193)="","",INDEX('Per Invoice'!A$2:A$801,$W193)))</f>
        <v/>
      </c>
      <c r="B193">
        <f>IF($W193="","",IF(INDEX('Per Invoice'!B$2:B$801,$W193)="","",INDEX('Per Invoice'!B$2:B$801,$W193)))</f>
        <v/>
      </c>
      <c r="C193">
        <f>IF($W193="","",IF(INDEX('Per Invoice'!C$2:C$801,$W193)="","",INDEX('Per Invoice'!C$2:C$801,$W193)))</f>
        <v/>
      </c>
      <c r="D193">
        <f>IF($W193="","",IF(INDEX('Per Invoice'!D$2:D$801,$W193)="","",INDEX('Per Invoice'!D$2:D$801,$W193)))</f>
        <v/>
      </c>
      <c r="E193">
        <f>IF($W193="","",IF(INDEX('Per Invoice'!E$2:E$801,$W193)="","",INDEX('Per Invoice'!E$2:E$801,$W193)))</f>
        <v/>
      </c>
      <c r="F193">
        <f>IF($W193="","",IF(INDEX('Per Invoice'!F$2:F$801,$W193)="","",INDEX('Per Invoice'!F$2:F$801,$W193)))</f>
        <v/>
      </c>
      <c r="G193">
        <f>IF($W193="","",IF(INDEX('Per Invoice'!G$2:G$801,$W193)="","",INDEX('Per Invoice'!G$2:G$801,$W193)))</f>
        <v/>
      </c>
      <c r="H193">
        <f>IF($W193="","",IF(INDEX('Per Invoice'!H$2:H$801,$W193)="","",INDEX('Per Invoice'!H$2:H$801,$W193)))</f>
        <v/>
      </c>
      <c r="I193">
        <f>IF($W193="","",IF(INDEX('Per Invoice'!I$2:I$801,$W193)="","",INDEX('Per Invoice'!I$2:I$801,$W193)))</f>
        <v/>
      </c>
      <c r="J193">
        <f>IF($W193="","",IF(INDEX('Per Invoice'!J$2:J$801,$W193)="","",INDEX('Per Invoice'!J$2:J$801,$W193)))</f>
        <v/>
      </c>
      <c r="K193" s="7">
        <f>IF($W193="","",IF(INDEX('Per Invoice'!K$2:K$801,$W193)="","",INDEX('Per Invoice'!K$2:K$801,$W193)))</f>
        <v/>
      </c>
      <c r="L193" s="14">
        <f>IF($W193="","",IF(INDEX('Per Invoice'!L$2:L$801,$W193)="","",INDEX('Per Invoice'!L$2:L$801,$W193)))</f>
        <v/>
      </c>
      <c r="M193">
        <f>IF($W193="","",IF(INDEX('Per Invoice'!M$2:M$801,$W193)="","",INDEX('Per Invoice'!M$2:M$801,$W193)))</f>
        <v/>
      </c>
      <c r="N193" s="7">
        <f>IF($W193="","",IF(INDEX('Per Invoice'!N$2:N$801,$W193)="","",INDEX('Per Invoice'!N$2:N$801,$W193)))</f>
        <v/>
      </c>
      <c r="O193" s="7">
        <f>IF($W193="","",IF(INDEX('Per Invoice'!O$2:O$801,$W193)="","",INDEX('Per Invoice'!O$2:O$801,$W193)))</f>
        <v/>
      </c>
      <c r="P193">
        <f>IF($W193="","",IF(INDEX('Per Invoice'!P$2:P$801,$W193)="","",INDEX('Per Invoice'!P$2:P$801,$W193)))</f>
        <v/>
      </c>
      <c r="Q193" s="7">
        <f>IF($W193="","",IF(INDEX('Per Invoice'!Q$2:Q$801,$W193)="","",INDEX('Per Invoice'!Q$2:Q$801,$W193)))</f>
        <v/>
      </c>
      <c r="R193" s="7">
        <f>IF($W193="","",IF(INDEX('Per Invoice'!R$2:R$801,$W193)="","",INDEX('Per Invoice'!R$2:R$801,$W193)))</f>
        <v/>
      </c>
      <c r="S193" s="7">
        <f>IF($W193="","",IF(INDEX('Per Invoice'!S$2:S$801,$W193)="","",INDEX('Per Invoice'!S$2:S$801,$W193)))</f>
        <v/>
      </c>
      <c r="T193" s="7">
        <f>IF($W193="","",IF(INDEX('Per Invoice'!T$2:T$801,$W193)="","",INDEX('Per Invoice'!T$2:T$801,$W193)))</f>
        <v/>
      </c>
      <c r="U193" s="7">
        <f>IF($W193="","",IF(INDEX('Per Invoice'!U$2:U$801,$W193)="","",INDEX('Per Invoice'!U$2:U$801,$W193)))</f>
        <v/>
      </c>
      <c r="V193" s="7">
        <f>IF($W193="","",IF(INDEX('Per Invoice'!V$2:V$801,$W193)="","",INDEX('Per Invoice'!V$2:V$801,$W193)))</f>
        <v/>
      </c>
      <c r="W193" s="16">
        <f>IFERROR(MATCH(Settings!$C$26&amp;"|"&amp;ROWS($W$2:$W193),'Per Invoice'!$X$2:$X$801,0),"")</f>
        <v/>
      </c>
    </row>
    <row r="194">
      <c r="A194">
        <f>IF($W194="","",IF(INDEX('Per Invoice'!A$2:A$801,$W194)="","",INDEX('Per Invoice'!A$2:A$801,$W194)))</f>
        <v/>
      </c>
      <c r="B194">
        <f>IF($W194="","",IF(INDEX('Per Invoice'!B$2:B$801,$W194)="","",INDEX('Per Invoice'!B$2:B$801,$W194)))</f>
        <v/>
      </c>
      <c r="C194">
        <f>IF($W194="","",IF(INDEX('Per Invoice'!C$2:C$801,$W194)="","",INDEX('Per Invoice'!C$2:C$801,$W194)))</f>
        <v/>
      </c>
      <c r="D194">
        <f>IF($W194="","",IF(INDEX('Per Invoice'!D$2:D$801,$W194)="","",INDEX('Per Invoice'!D$2:D$801,$W194)))</f>
        <v/>
      </c>
      <c r="E194">
        <f>IF($W194="","",IF(INDEX('Per Invoice'!E$2:E$801,$W194)="","",INDEX('Per Invoice'!E$2:E$801,$W194)))</f>
        <v/>
      </c>
      <c r="F194">
        <f>IF($W194="","",IF(INDEX('Per Invoice'!F$2:F$801,$W194)="","",INDEX('Per Invoice'!F$2:F$801,$W194)))</f>
        <v/>
      </c>
      <c r="G194">
        <f>IF($W194="","",IF(INDEX('Per Invoice'!G$2:G$801,$W194)="","",INDEX('Per Invoice'!G$2:G$801,$W194)))</f>
        <v/>
      </c>
      <c r="H194">
        <f>IF($W194="","",IF(INDEX('Per Invoice'!H$2:H$801,$W194)="","",INDEX('Per Invoice'!H$2:H$801,$W194)))</f>
        <v/>
      </c>
      <c r="I194">
        <f>IF($W194="","",IF(INDEX('Per Invoice'!I$2:I$801,$W194)="","",INDEX('Per Invoice'!I$2:I$801,$W194)))</f>
        <v/>
      </c>
      <c r="J194">
        <f>IF($W194="","",IF(INDEX('Per Invoice'!J$2:J$801,$W194)="","",INDEX('Per Invoice'!J$2:J$801,$W194)))</f>
        <v/>
      </c>
      <c r="K194" s="7">
        <f>IF($W194="","",IF(INDEX('Per Invoice'!K$2:K$801,$W194)="","",INDEX('Per Invoice'!K$2:K$801,$W194)))</f>
        <v/>
      </c>
      <c r="L194" s="14">
        <f>IF($W194="","",IF(INDEX('Per Invoice'!L$2:L$801,$W194)="","",INDEX('Per Invoice'!L$2:L$801,$W194)))</f>
        <v/>
      </c>
      <c r="M194">
        <f>IF($W194="","",IF(INDEX('Per Invoice'!M$2:M$801,$W194)="","",INDEX('Per Invoice'!M$2:M$801,$W194)))</f>
        <v/>
      </c>
      <c r="N194" s="7">
        <f>IF($W194="","",IF(INDEX('Per Invoice'!N$2:N$801,$W194)="","",INDEX('Per Invoice'!N$2:N$801,$W194)))</f>
        <v/>
      </c>
      <c r="O194" s="7">
        <f>IF($W194="","",IF(INDEX('Per Invoice'!O$2:O$801,$W194)="","",INDEX('Per Invoice'!O$2:O$801,$W194)))</f>
        <v/>
      </c>
      <c r="P194">
        <f>IF($W194="","",IF(INDEX('Per Invoice'!P$2:P$801,$W194)="","",INDEX('Per Invoice'!P$2:P$801,$W194)))</f>
        <v/>
      </c>
      <c r="Q194" s="7">
        <f>IF($W194="","",IF(INDEX('Per Invoice'!Q$2:Q$801,$W194)="","",INDEX('Per Invoice'!Q$2:Q$801,$W194)))</f>
        <v/>
      </c>
      <c r="R194" s="7">
        <f>IF($W194="","",IF(INDEX('Per Invoice'!R$2:R$801,$W194)="","",INDEX('Per Invoice'!R$2:R$801,$W194)))</f>
        <v/>
      </c>
      <c r="S194" s="7">
        <f>IF($W194="","",IF(INDEX('Per Invoice'!S$2:S$801,$W194)="","",INDEX('Per Invoice'!S$2:S$801,$W194)))</f>
        <v/>
      </c>
      <c r="T194" s="7">
        <f>IF($W194="","",IF(INDEX('Per Invoice'!T$2:T$801,$W194)="","",INDEX('Per Invoice'!T$2:T$801,$W194)))</f>
        <v/>
      </c>
      <c r="U194" s="7">
        <f>IF($W194="","",IF(INDEX('Per Invoice'!U$2:U$801,$W194)="","",INDEX('Per Invoice'!U$2:U$801,$W194)))</f>
        <v/>
      </c>
      <c r="V194" s="7">
        <f>IF($W194="","",IF(INDEX('Per Invoice'!V$2:V$801,$W194)="","",INDEX('Per Invoice'!V$2:V$801,$W194)))</f>
        <v/>
      </c>
      <c r="W194" s="16">
        <f>IFERROR(MATCH(Settings!$C$26&amp;"|"&amp;ROWS($W$2:$W194),'Per Invoice'!$X$2:$X$801,0),"")</f>
        <v/>
      </c>
    </row>
    <row r="195">
      <c r="A195">
        <f>IF($W195="","",IF(INDEX('Per Invoice'!A$2:A$801,$W195)="","",INDEX('Per Invoice'!A$2:A$801,$W195)))</f>
        <v/>
      </c>
      <c r="B195">
        <f>IF($W195="","",IF(INDEX('Per Invoice'!B$2:B$801,$W195)="","",INDEX('Per Invoice'!B$2:B$801,$W195)))</f>
        <v/>
      </c>
      <c r="C195">
        <f>IF($W195="","",IF(INDEX('Per Invoice'!C$2:C$801,$W195)="","",INDEX('Per Invoice'!C$2:C$801,$W195)))</f>
        <v/>
      </c>
      <c r="D195">
        <f>IF($W195="","",IF(INDEX('Per Invoice'!D$2:D$801,$W195)="","",INDEX('Per Invoice'!D$2:D$801,$W195)))</f>
        <v/>
      </c>
      <c r="E195">
        <f>IF($W195="","",IF(INDEX('Per Invoice'!E$2:E$801,$W195)="","",INDEX('Per Invoice'!E$2:E$801,$W195)))</f>
        <v/>
      </c>
      <c r="F195">
        <f>IF($W195="","",IF(INDEX('Per Invoice'!F$2:F$801,$W195)="","",INDEX('Per Invoice'!F$2:F$801,$W195)))</f>
        <v/>
      </c>
      <c r="G195">
        <f>IF($W195="","",IF(INDEX('Per Invoice'!G$2:G$801,$W195)="","",INDEX('Per Invoice'!G$2:G$801,$W195)))</f>
        <v/>
      </c>
      <c r="H195">
        <f>IF($W195="","",IF(INDEX('Per Invoice'!H$2:H$801,$W195)="","",INDEX('Per Invoice'!H$2:H$801,$W195)))</f>
        <v/>
      </c>
      <c r="I195">
        <f>IF($W195="","",IF(INDEX('Per Invoice'!I$2:I$801,$W195)="","",INDEX('Per Invoice'!I$2:I$801,$W195)))</f>
        <v/>
      </c>
      <c r="J195">
        <f>IF($W195="","",IF(INDEX('Per Invoice'!J$2:J$801,$W195)="","",INDEX('Per Invoice'!J$2:J$801,$W195)))</f>
        <v/>
      </c>
      <c r="K195" s="7">
        <f>IF($W195="","",IF(INDEX('Per Invoice'!K$2:K$801,$W195)="","",INDEX('Per Invoice'!K$2:K$801,$W195)))</f>
        <v/>
      </c>
      <c r="L195" s="14">
        <f>IF($W195="","",IF(INDEX('Per Invoice'!L$2:L$801,$W195)="","",INDEX('Per Invoice'!L$2:L$801,$W195)))</f>
        <v/>
      </c>
      <c r="M195">
        <f>IF($W195="","",IF(INDEX('Per Invoice'!M$2:M$801,$W195)="","",INDEX('Per Invoice'!M$2:M$801,$W195)))</f>
        <v/>
      </c>
      <c r="N195" s="7">
        <f>IF($W195="","",IF(INDEX('Per Invoice'!N$2:N$801,$W195)="","",INDEX('Per Invoice'!N$2:N$801,$W195)))</f>
        <v/>
      </c>
      <c r="O195" s="7">
        <f>IF($W195="","",IF(INDEX('Per Invoice'!O$2:O$801,$W195)="","",INDEX('Per Invoice'!O$2:O$801,$W195)))</f>
        <v/>
      </c>
      <c r="P195">
        <f>IF($W195="","",IF(INDEX('Per Invoice'!P$2:P$801,$W195)="","",INDEX('Per Invoice'!P$2:P$801,$W195)))</f>
        <v/>
      </c>
      <c r="Q195" s="7">
        <f>IF($W195="","",IF(INDEX('Per Invoice'!Q$2:Q$801,$W195)="","",INDEX('Per Invoice'!Q$2:Q$801,$W195)))</f>
        <v/>
      </c>
      <c r="R195" s="7">
        <f>IF($W195="","",IF(INDEX('Per Invoice'!R$2:R$801,$W195)="","",INDEX('Per Invoice'!R$2:R$801,$W195)))</f>
        <v/>
      </c>
      <c r="S195" s="7">
        <f>IF($W195="","",IF(INDEX('Per Invoice'!S$2:S$801,$W195)="","",INDEX('Per Invoice'!S$2:S$801,$W195)))</f>
        <v/>
      </c>
      <c r="T195" s="7">
        <f>IF($W195="","",IF(INDEX('Per Invoice'!T$2:T$801,$W195)="","",INDEX('Per Invoice'!T$2:T$801,$W195)))</f>
        <v/>
      </c>
      <c r="U195" s="7">
        <f>IF($W195="","",IF(INDEX('Per Invoice'!U$2:U$801,$W195)="","",INDEX('Per Invoice'!U$2:U$801,$W195)))</f>
        <v/>
      </c>
      <c r="V195" s="7">
        <f>IF($W195="","",IF(INDEX('Per Invoice'!V$2:V$801,$W195)="","",INDEX('Per Invoice'!V$2:V$801,$W195)))</f>
        <v/>
      </c>
      <c r="W195" s="16">
        <f>IFERROR(MATCH(Settings!$C$26&amp;"|"&amp;ROWS($W$2:$W195),'Per Invoice'!$X$2:$X$801,0),"")</f>
        <v/>
      </c>
    </row>
    <row r="196">
      <c r="A196">
        <f>IF($W196="","",IF(INDEX('Per Invoice'!A$2:A$801,$W196)="","",INDEX('Per Invoice'!A$2:A$801,$W196)))</f>
        <v/>
      </c>
      <c r="B196">
        <f>IF($W196="","",IF(INDEX('Per Invoice'!B$2:B$801,$W196)="","",INDEX('Per Invoice'!B$2:B$801,$W196)))</f>
        <v/>
      </c>
      <c r="C196">
        <f>IF($W196="","",IF(INDEX('Per Invoice'!C$2:C$801,$W196)="","",INDEX('Per Invoice'!C$2:C$801,$W196)))</f>
        <v/>
      </c>
      <c r="D196">
        <f>IF($W196="","",IF(INDEX('Per Invoice'!D$2:D$801,$W196)="","",INDEX('Per Invoice'!D$2:D$801,$W196)))</f>
        <v/>
      </c>
      <c r="E196">
        <f>IF($W196="","",IF(INDEX('Per Invoice'!E$2:E$801,$W196)="","",INDEX('Per Invoice'!E$2:E$801,$W196)))</f>
        <v/>
      </c>
      <c r="F196">
        <f>IF($W196="","",IF(INDEX('Per Invoice'!F$2:F$801,$W196)="","",INDEX('Per Invoice'!F$2:F$801,$W196)))</f>
        <v/>
      </c>
      <c r="G196">
        <f>IF($W196="","",IF(INDEX('Per Invoice'!G$2:G$801,$W196)="","",INDEX('Per Invoice'!G$2:G$801,$W196)))</f>
        <v/>
      </c>
      <c r="H196">
        <f>IF($W196="","",IF(INDEX('Per Invoice'!H$2:H$801,$W196)="","",INDEX('Per Invoice'!H$2:H$801,$W196)))</f>
        <v/>
      </c>
      <c r="I196">
        <f>IF($W196="","",IF(INDEX('Per Invoice'!I$2:I$801,$W196)="","",INDEX('Per Invoice'!I$2:I$801,$W196)))</f>
        <v/>
      </c>
      <c r="J196">
        <f>IF($W196="","",IF(INDEX('Per Invoice'!J$2:J$801,$W196)="","",INDEX('Per Invoice'!J$2:J$801,$W196)))</f>
        <v/>
      </c>
      <c r="K196" s="7">
        <f>IF($W196="","",IF(INDEX('Per Invoice'!K$2:K$801,$W196)="","",INDEX('Per Invoice'!K$2:K$801,$W196)))</f>
        <v/>
      </c>
      <c r="L196" s="14">
        <f>IF($W196="","",IF(INDEX('Per Invoice'!L$2:L$801,$W196)="","",INDEX('Per Invoice'!L$2:L$801,$W196)))</f>
        <v/>
      </c>
      <c r="M196">
        <f>IF($W196="","",IF(INDEX('Per Invoice'!M$2:M$801,$W196)="","",INDEX('Per Invoice'!M$2:M$801,$W196)))</f>
        <v/>
      </c>
      <c r="N196" s="7">
        <f>IF($W196="","",IF(INDEX('Per Invoice'!N$2:N$801,$W196)="","",INDEX('Per Invoice'!N$2:N$801,$W196)))</f>
        <v/>
      </c>
      <c r="O196" s="7">
        <f>IF($W196="","",IF(INDEX('Per Invoice'!O$2:O$801,$W196)="","",INDEX('Per Invoice'!O$2:O$801,$W196)))</f>
        <v/>
      </c>
      <c r="P196">
        <f>IF($W196="","",IF(INDEX('Per Invoice'!P$2:P$801,$W196)="","",INDEX('Per Invoice'!P$2:P$801,$W196)))</f>
        <v/>
      </c>
      <c r="Q196" s="7">
        <f>IF($W196="","",IF(INDEX('Per Invoice'!Q$2:Q$801,$W196)="","",INDEX('Per Invoice'!Q$2:Q$801,$W196)))</f>
        <v/>
      </c>
      <c r="R196" s="7">
        <f>IF($W196="","",IF(INDEX('Per Invoice'!R$2:R$801,$W196)="","",INDEX('Per Invoice'!R$2:R$801,$W196)))</f>
        <v/>
      </c>
      <c r="S196" s="7">
        <f>IF($W196="","",IF(INDEX('Per Invoice'!S$2:S$801,$W196)="","",INDEX('Per Invoice'!S$2:S$801,$W196)))</f>
        <v/>
      </c>
      <c r="T196" s="7">
        <f>IF($W196="","",IF(INDEX('Per Invoice'!T$2:T$801,$W196)="","",INDEX('Per Invoice'!T$2:T$801,$W196)))</f>
        <v/>
      </c>
      <c r="U196" s="7">
        <f>IF($W196="","",IF(INDEX('Per Invoice'!U$2:U$801,$W196)="","",INDEX('Per Invoice'!U$2:U$801,$W196)))</f>
        <v/>
      </c>
      <c r="V196" s="7">
        <f>IF($W196="","",IF(INDEX('Per Invoice'!V$2:V$801,$W196)="","",INDEX('Per Invoice'!V$2:V$801,$W196)))</f>
        <v/>
      </c>
      <c r="W196" s="16">
        <f>IFERROR(MATCH(Settings!$C$26&amp;"|"&amp;ROWS($W$2:$W196),'Per Invoice'!$X$2:$X$801,0),"")</f>
        <v/>
      </c>
    </row>
    <row r="197">
      <c r="A197">
        <f>IF($W197="","",IF(INDEX('Per Invoice'!A$2:A$801,$W197)="","",INDEX('Per Invoice'!A$2:A$801,$W197)))</f>
        <v/>
      </c>
      <c r="B197">
        <f>IF($W197="","",IF(INDEX('Per Invoice'!B$2:B$801,$W197)="","",INDEX('Per Invoice'!B$2:B$801,$W197)))</f>
        <v/>
      </c>
      <c r="C197">
        <f>IF($W197="","",IF(INDEX('Per Invoice'!C$2:C$801,$W197)="","",INDEX('Per Invoice'!C$2:C$801,$W197)))</f>
        <v/>
      </c>
      <c r="D197">
        <f>IF($W197="","",IF(INDEX('Per Invoice'!D$2:D$801,$W197)="","",INDEX('Per Invoice'!D$2:D$801,$W197)))</f>
        <v/>
      </c>
      <c r="E197">
        <f>IF($W197="","",IF(INDEX('Per Invoice'!E$2:E$801,$W197)="","",INDEX('Per Invoice'!E$2:E$801,$W197)))</f>
        <v/>
      </c>
      <c r="F197">
        <f>IF($W197="","",IF(INDEX('Per Invoice'!F$2:F$801,$W197)="","",INDEX('Per Invoice'!F$2:F$801,$W197)))</f>
        <v/>
      </c>
      <c r="G197">
        <f>IF($W197="","",IF(INDEX('Per Invoice'!G$2:G$801,$W197)="","",INDEX('Per Invoice'!G$2:G$801,$W197)))</f>
        <v/>
      </c>
      <c r="H197">
        <f>IF($W197="","",IF(INDEX('Per Invoice'!H$2:H$801,$W197)="","",INDEX('Per Invoice'!H$2:H$801,$W197)))</f>
        <v/>
      </c>
      <c r="I197">
        <f>IF($W197="","",IF(INDEX('Per Invoice'!I$2:I$801,$W197)="","",INDEX('Per Invoice'!I$2:I$801,$W197)))</f>
        <v/>
      </c>
      <c r="J197">
        <f>IF($W197="","",IF(INDEX('Per Invoice'!J$2:J$801,$W197)="","",INDEX('Per Invoice'!J$2:J$801,$W197)))</f>
        <v/>
      </c>
      <c r="K197" s="7">
        <f>IF($W197="","",IF(INDEX('Per Invoice'!K$2:K$801,$W197)="","",INDEX('Per Invoice'!K$2:K$801,$W197)))</f>
        <v/>
      </c>
      <c r="L197" s="14">
        <f>IF($W197="","",IF(INDEX('Per Invoice'!L$2:L$801,$W197)="","",INDEX('Per Invoice'!L$2:L$801,$W197)))</f>
        <v/>
      </c>
      <c r="M197">
        <f>IF($W197="","",IF(INDEX('Per Invoice'!M$2:M$801,$W197)="","",INDEX('Per Invoice'!M$2:M$801,$W197)))</f>
        <v/>
      </c>
      <c r="N197" s="7">
        <f>IF($W197="","",IF(INDEX('Per Invoice'!N$2:N$801,$W197)="","",INDEX('Per Invoice'!N$2:N$801,$W197)))</f>
        <v/>
      </c>
      <c r="O197" s="7">
        <f>IF($W197="","",IF(INDEX('Per Invoice'!O$2:O$801,$W197)="","",INDEX('Per Invoice'!O$2:O$801,$W197)))</f>
        <v/>
      </c>
      <c r="P197">
        <f>IF($W197="","",IF(INDEX('Per Invoice'!P$2:P$801,$W197)="","",INDEX('Per Invoice'!P$2:P$801,$W197)))</f>
        <v/>
      </c>
      <c r="Q197" s="7">
        <f>IF($W197="","",IF(INDEX('Per Invoice'!Q$2:Q$801,$W197)="","",INDEX('Per Invoice'!Q$2:Q$801,$W197)))</f>
        <v/>
      </c>
      <c r="R197" s="7">
        <f>IF($W197="","",IF(INDEX('Per Invoice'!R$2:R$801,$W197)="","",INDEX('Per Invoice'!R$2:R$801,$W197)))</f>
        <v/>
      </c>
      <c r="S197" s="7">
        <f>IF($W197="","",IF(INDEX('Per Invoice'!S$2:S$801,$W197)="","",INDEX('Per Invoice'!S$2:S$801,$W197)))</f>
        <v/>
      </c>
      <c r="T197" s="7">
        <f>IF($W197="","",IF(INDEX('Per Invoice'!T$2:T$801,$W197)="","",INDEX('Per Invoice'!T$2:T$801,$W197)))</f>
        <v/>
      </c>
      <c r="U197" s="7">
        <f>IF($W197="","",IF(INDEX('Per Invoice'!U$2:U$801,$W197)="","",INDEX('Per Invoice'!U$2:U$801,$W197)))</f>
        <v/>
      </c>
      <c r="V197" s="7">
        <f>IF($W197="","",IF(INDEX('Per Invoice'!V$2:V$801,$W197)="","",INDEX('Per Invoice'!V$2:V$801,$W197)))</f>
        <v/>
      </c>
      <c r="W197" s="16">
        <f>IFERROR(MATCH(Settings!$C$26&amp;"|"&amp;ROWS($W$2:$W197),'Per Invoice'!$X$2:$X$801,0),"")</f>
        <v/>
      </c>
    </row>
    <row r="198">
      <c r="A198">
        <f>IF($W198="","",IF(INDEX('Per Invoice'!A$2:A$801,$W198)="","",INDEX('Per Invoice'!A$2:A$801,$W198)))</f>
        <v/>
      </c>
      <c r="B198">
        <f>IF($W198="","",IF(INDEX('Per Invoice'!B$2:B$801,$W198)="","",INDEX('Per Invoice'!B$2:B$801,$W198)))</f>
        <v/>
      </c>
      <c r="C198">
        <f>IF($W198="","",IF(INDEX('Per Invoice'!C$2:C$801,$W198)="","",INDEX('Per Invoice'!C$2:C$801,$W198)))</f>
        <v/>
      </c>
      <c r="D198">
        <f>IF($W198="","",IF(INDEX('Per Invoice'!D$2:D$801,$W198)="","",INDEX('Per Invoice'!D$2:D$801,$W198)))</f>
        <v/>
      </c>
      <c r="E198">
        <f>IF($W198="","",IF(INDEX('Per Invoice'!E$2:E$801,$W198)="","",INDEX('Per Invoice'!E$2:E$801,$W198)))</f>
        <v/>
      </c>
      <c r="F198">
        <f>IF($W198="","",IF(INDEX('Per Invoice'!F$2:F$801,$W198)="","",INDEX('Per Invoice'!F$2:F$801,$W198)))</f>
        <v/>
      </c>
      <c r="G198">
        <f>IF($W198="","",IF(INDEX('Per Invoice'!G$2:G$801,$W198)="","",INDEX('Per Invoice'!G$2:G$801,$W198)))</f>
        <v/>
      </c>
      <c r="H198">
        <f>IF($W198="","",IF(INDEX('Per Invoice'!H$2:H$801,$W198)="","",INDEX('Per Invoice'!H$2:H$801,$W198)))</f>
        <v/>
      </c>
      <c r="I198">
        <f>IF($W198="","",IF(INDEX('Per Invoice'!I$2:I$801,$W198)="","",INDEX('Per Invoice'!I$2:I$801,$W198)))</f>
        <v/>
      </c>
      <c r="J198">
        <f>IF($W198="","",IF(INDEX('Per Invoice'!J$2:J$801,$W198)="","",INDEX('Per Invoice'!J$2:J$801,$W198)))</f>
        <v/>
      </c>
      <c r="K198" s="7">
        <f>IF($W198="","",IF(INDEX('Per Invoice'!K$2:K$801,$W198)="","",INDEX('Per Invoice'!K$2:K$801,$W198)))</f>
        <v/>
      </c>
      <c r="L198" s="14">
        <f>IF($W198="","",IF(INDEX('Per Invoice'!L$2:L$801,$W198)="","",INDEX('Per Invoice'!L$2:L$801,$W198)))</f>
        <v/>
      </c>
      <c r="M198">
        <f>IF($W198="","",IF(INDEX('Per Invoice'!M$2:M$801,$W198)="","",INDEX('Per Invoice'!M$2:M$801,$W198)))</f>
        <v/>
      </c>
      <c r="N198" s="7">
        <f>IF($W198="","",IF(INDEX('Per Invoice'!N$2:N$801,$W198)="","",INDEX('Per Invoice'!N$2:N$801,$W198)))</f>
        <v/>
      </c>
      <c r="O198" s="7">
        <f>IF($W198="","",IF(INDEX('Per Invoice'!O$2:O$801,$W198)="","",INDEX('Per Invoice'!O$2:O$801,$W198)))</f>
        <v/>
      </c>
      <c r="P198">
        <f>IF($W198="","",IF(INDEX('Per Invoice'!P$2:P$801,$W198)="","",INDEX('Per Invoice'!P$2:P$801,$W198)))</f>
        <v/>
      </c>
      <c r="Q198" s="7">
        <f>IF($W198="","",IF(INDEX('Per Invoice'!Q$2:Q$801,$W198)="","",INDEX('Per Invoice'!Q$2:Q$801,$W198)))</f>
        <v/>
      </c>
      <c r="R198" s="7">
        <f>IF($W198="","",IF(INDEX('Per Invoice'!R$2:R$801,$W198)="","",INDEX('Per Invoice'!R$2:R$801,$W198)))</f>
        <v/>
      </c>
      <c r="S198" s="7">
        <f>IF($W198="","",IF(INDEX('Per Invoice'!S$2:S$801,$W198)="","",INDEX('Per Invoice'!S$2:S$801,$W198)))</f>
        <v/>
      </c>
      <c r="T198" s="7">
        <f>IF($W198="","",IF(INDEX('Per Invoice'!T$2:T$801,$W198)="","",INDEX('Per Invoice'!T$2:T$801,$W198)))</f>
        <v/>
      </c>
      <c r="U198" s="7">
        <f>IF($W198="","",IF(INDEX('Per Invoice'!U$2:U$801,$W198)="","",INDEX('Per Invoice'!U$2:U$801,$W198)))</f>
        <v/>
      </c>
      <c r="V198" s="7">
        <f>IF($W198="","",IF(INDEX('Per Invoice'!V$2:V$801,$W198)="","",INDEX('Per Invoice'!V$2:V$801,$W198)))</f>
        <v/>
      </c>
      <c r="W198" s="16">
        <f>IFERROR(MATCH(Settings!$C$26&amp;"|"&amp;ROWS($W$2:$W198),'Per Invoice'!$X$2:$X$801,0),"")</f>
        <v/>
      </c>
    </row>
    <row r="199">
      <c r="A199">
        <f>IF($W199="","",IF(INDEX('Per Invoice'!A$2:A$801,$W199)="","",INDEX('Per Invoice'!A$2:A$801,$W199)))</f>
        <v/>
      </c>
      <c r="B199">
        <f>IF($W199="","",IF(INDEX('Per Invoice'!B$2:B$801,$W199)="","",INDEX('Per Invoice'!B$2:B$801,$W199)))</f>
        <v/>
      </c>
      <c r="C199">
        <f>IF($W199="","",IF(INDEX('Per Invoice'!C$2:C$801,$W199)="","",INDEX('Per Invoice'!C$2:C$801,$W199)))</f>
        <v/>
      </c>
      <c r="D199">
        <f>IF($W199="","",IF(INDEX('Per Invoice'!D$2:D$801,$W199)="","",INDEX('Per Invoice'!D$2:D$801,$W199)))</f>
        <v/>
      </c>
      <c r="E199">
        <f>IF($W199="","",IF(INDEX('Per Invoice'!E$2:E$801,$W199)="","",INDEX('Per Invoice'!E$2:E$801,$W199)))</f>
        <v/>
      </c>
      <c r="F199">
        <f>IF($W199="","",IF(INDEX('Per Invoice'!F$2:F$801,$W199)="","",INDEX('Per Invoice'!F$2:F$801,$W199)))</f>
        <v/>
      </c>
      <c r="G199">
        <f>IF($W199="","",IF(INDEX('Per Invoice'!G$2:G$801,$W199)="","",INDEX('Per Invoice'!G$2:G$801,$W199)))</f>
        <v/>
      </c>
      <c r="H199">
        <f>IF($W199="","",IF(INDEX('Per Invoice'!H$2:H$801,$W199)="","",INDEX('Per Invoice'!H$2:H$801,$W199)))</f>
        <v/>
      </c>
      <c r="I199">
        <f>IF($W199="","",IF(INDEX('Per Invoice'!I$2:I$801,$W199)="","",INDEX('Per Invoice'!I$2:I$801,$W199)))</f>
        <v/>
      </c>
      <c r="J199">
        <f>IF($W199="","",IF(INDEX('Per Invoice'!J$2:J$801,$W199)="","",INDEX('Per Invoice'!J$2:J$801,$W199)))</f>
        <v/>
      </c>
      <c r="K199" s="7">
        <f>IF($W199="","",IF(INDEX('Per Invoice'!K$2:K$801,$W199)="","",INDEX('Per Invoice'!K$2:K$801,$W199)))</f>
        <v/>
      </c>
      <c r="L199" s="14">
        <f>IF($W199="","",IF(INDEX('Per Invoice'!L$2:L$801,$W199)="","",INDEX('Per Invoice'!L$2:L$801,$W199)))</f>
        <v/>
      </c>
      <c r="M199">
        <f>IF($W199="","",IF(INDEX('Per Invoice'!M$2:M$801,$W199)="","",INDEX('Per Invoice'!M$2:M$801,$W199)))</f>
        <v/>
      </c>
      <c r="N199" s="7">
        <f>IF($W199="","",IF(INDEX('Per Invoice'!N$2:N$801,$W199)="","",INDEX('Per Invoice'!N$2:N$801,$W199)))</f>
        <v/>
      </c>
      <c r="O199" s="7">
        <f>IF($W199="","",IF(INDEX('Per Invoice'!O$2:O$801,$W199)="","",INDEX('Per Invoice'!O$2:O$801,$W199)))</f>
        <v/>
      </c>
      <c r="P199">
        <f>IF($W199="","",IF(INDEX('Per Invoice'!P$2:P$801,$W199)="","",INDEX('Per Invoice'!P$2:P$801,$W199)))</f>
        <v/>
      </c>
      <c r="Q199" s="7">
        <f>IF($W199="","",IF(INDEX('Per Invoice'!Q$2:Q$801,$W199)="","",INDEX('Per Invoice'!Q$2:Q$801,$W199)))</f>
        <v/>
      </c>
      <c r="R199" s="7">
        <f>IF($W199="","",IF(INDEX('Per Invoice'!R$2:R$801,$W199)="","",INDEX('Per Invoice'!R$2:R$801,$W199)))</f>
        <v/>
      </c>
      <c r="S199" s="7">
        <f>IF($W199="","",IF(INDEX('Per Invoice'!S$2:S$801,$W199)="","",INDEX('Per Invoice'!S$2:S$801,$W199)))</f>
        <v/>
      </c>
      <c r="T199" s="7">
        <f>IF($W199="","",IF(INDEX('Per Invoice'!T$2:T$801,$W199)="","",INDEX('Per Invoice'!T$2:T$801,$W199)))</f>
        <v/>
      </c>
      <c r="U199" s="7">
        <f>IF($W199="","",IF(INDEX('Per Invoice'!U$2:U$801,$W199)="","",INDEX('Per Invoice'!U$2:U$801,$W199)))</f>
        <v/>
      </c>
      <c r="V199" s="7">
        <f>IF($W199="","",IF(INDEX('Per Invoice'!V$2:V$801,$W199)="","",INDEX('Per Invoice'!V$2:V$801,$W199)))</f>
        <v/>
      </c>
      <c r="W199" s="16">
        <f>IFERROR(MATCH(Settings!$C$26&amp;"|"&amp;ROWS($W$2:$W199),'Per Invoice'!$X$2:$X$801,0),"")</f>
        <v/>
      </c>
    </row>
    <row r="200">
      <c r="A200">
        <f>IF($W200="","",IF(INDEX('Per Invoice'!A$2:A$801,$W200)="","",INDEX('Per Invoice'!A$2:A$801,$W200)))</f>
        <v/>
      </c>
      <c r="B200">
        <f>IF($W200="","",IF(INDEX('Per Invoice'!B$2:B$801,$W200)="","",INDEX('Per Invoice'!B$2:B$801,$W200)))</f>
        <v/>
      </c>
      <c r="C200">
        <f>IF($W200="","",IF(INDEX('Per Invoice'!C$2:C$801,$W200)="","",INDEX('Per Invoice'!C$2:C$801,$W200)))</f>
        <v/>
      </c>
      <c r="D200">
        <f>IF($W200="","",IF(INDEX('Per Invoice'!D$2:D$801,$W200)="","",INDEX('Per Invoice'!D$2:D$801,$W200)))</f>
        <v/>
      </c>
      <c r="E200">
        <f>IF($W200="","",IF(INDEX('Per Invoice'!E$2:E$801,$W200)="","",INDEX('Per Invoice'!E$2:E$801,$W200)))</f>
        <v/>
      </c>
      <c r="F200">
        <f>IF($W200="","",IF(INDEX('Per Invoice'!F$2:F$801,$W200)="","",INDEX('Per Invoice'!F$2:F$801,$W200)))</f>
        <v/>
      </c>
      <c r="G200">
        <f>IF($W200="","",IF(INDEX('Per Invoice'!G$2:G$801,$W200)="","",INDEX('Per Invoice'!G$2:G$801,$W200)))</f>
        <v/>
      </c>
      <c r="H200">
        <f>IF($W200="","",IF(INDEX('Per Invoice'!H$2:H$801,$W200)="","",INDEX('Per Invoice'!H$2:H$801,$W200)))</f>
        <v/>
      </c>
      <c r="I200">
        <f>IF($W200="","",IF(INDEX('Per Invoice'!I$2:I$801,$W200)="","",INDEX('Per Invoice'!I$2:I$801,$W200)))</f>
        <v/>
      </c>
      <c r="J200">
        <f>IF($W200="","",IF(INDEX('Per Invoice'!J$2:J$801,$W200)="","",INDEX('Per Invoice'!J$2:J$801,$W200)))</f>
        <v/>
      </c>
      <c r="K200" s="7">
        <f>IF($W200="","",IF(INDEX('Per Invoice'!K$2:K$801,$W200)="","",INDEX('Per Invoice'!K$2:K$801,$W200)))</f>
        <v/>
      </c>
      <c r="L200" s="14">
        <f>IF($W200="","",IF(INDEX('Per Invoice'!L$2:L$801,$W200)="","",INDEX('Per Invoice'!L$2:L$801,$W200)))</f>
        <v/>
      </c>
      <c r="M200">
        <f>IF($W200="","",IF(INDEX('Per Invoice'!M$2:M$801,$W200)="","",INDEX('Per Invoice'!M$2:M$801,$W200)))</f>
        <v/>
      </c>
      <c r="N200" s="7">
        <f>IF($W200="","",IF(INDEX('Per Invoice'!N$2:N$801,$W200)="","",INDEX('Per Invoice'!N$2:N$801,$W200)))</f>
        <v/>
      </c>
      <c r="O200" s="7">
        <f>IF($W200="","",IF(INDEX('Per Invoice'!O$2:O$801,$W200)="","",INDEX('Per Invoice'!O$2:O$801,$W200)))</f>
        <v/>
      </c>
      <c r="P200">
        <f>IF($W200="","",IF(INDEX('Per Invoice'!P$2:P$801,$W200)="","",INDEX('Per Invoice'!P$2:P$801,$W200)))</f>
        <v/>
      </c>
      <c r="Q200" s="7">
        <f>IF($W200="","",IF(INDEX('Per Invoice'!Q$2:Q$801,$W200)="","",INDEX('Per Invoice'!Q$2:Q$801,$W200)))</f>
        <v/>
      </c>
      <c r="R200" s="7">
        <f>IF($W200="","",IF(INDEX('Per Invoice'!R$2:R$801,$W200)="","",INDEX('Per Invoice'!R$2:R$801,$W200)))</f>
        <v/>
      </c>
      <c r="S200" s="7">
        <f>IF($W200="","",IF(INDEX('Per Invoice'!S$2:S$801,$W200)="","",INDEX('Per Invoice'!S$2:S$801,$W200)))</f>
        <v/>
      </c>
      <c r="T200" s="7">
        <f>IF($W200="","",IF(INDEX('Per Invoice'!T$2:T$801,$W200)="","",INDEX('Per Invoice'!T$2:T$801,$W200)))</f>
        <v/>
      </c>
      <c r="U200" s="7">
        <f>IF($W200="","",IF(INDEX('Per Invoice'!U$2:U$801,$W200)="","",INDEX('Per Invoice'!U$2:U$801,$W200)))</f>
        <v/>
      </c>
      <c r="V200" s="7">
        <f>IF($W200="","",IF(INDEX('Per Invoice'!V$2:V$801,$W200)="","",INDEX('Per Invoice'!V$2:V$801,$W200)))</f>
        <v/>
      </c>
      <c r="W200" s="16">
        <f>IFERROR(MATCH(Settings!$C$26&amp;"|"&amp;ROWS($W$2:$W200),'Per Invoice'!$X$2:$X$801,0),"")</f>
        <v/>
      </c>
    </row>
    <row r="201">
      <c r="A201">
        <f>IF($W201="","",IF(INDEX('Per Invoice'!A$2:A$801,$W201)="","",INDEX('Per Invoice'!A$2:A$801,$W201)))</f>
        <v/>
      </c>
      <c r="B201">
        <f>IF($W201="","",IF(INDEX('Per Invoice'!B$2:B$801,$W201)="","",INDEX('Per Invoice'!B$2:B$801,$W201)))</f>
        <v/>
      </c>
      <c r="C201">
        <f>IF($W201="","",IF(INDEX('Per Invoice'!C$2:C$801,$W201)="","",INDEX('Per Invoice'!C$2:C$801,$W201)))</f>
        <v/>
      </c>
      <c r="D201">
        <f>IF($W201="","",IF(INDEX('Per Invoice'!D$2:D$801,$W201)="","",INDEX('Per Invoice'!D$2:D$801,$W201)))</f>
        <v/>
      </c>
      <c r="E201">
        <f>IF($W201="","",IF(INDEX('Per Invoice'!E$2:E$801,$W201)="","",INDEX('Per Invoice'!E$2:E$801,$W201)))</f>
        <v/>
      </c>
      <c r="F201">
        <f>IF($W201="","",IF(INDEX('Per Invoice'!F$2:F$801,$W201)="","",INDEX('Per Invoice'!F$2:F$801,$W201)))</f>
        <v/>
      </c>
      <c r="G201">
        <f>IF($W201="","",IF(INDEX('Per Invoice'!G$2:G$801,$W201)="","",INDEX('Per Invoice'!G$2:G$801,$W201)))</f>
        <v/>
      </c>
      <c r="H201">
        <f>IF($W201="","",IF(INDEX('Per Invoice'!H$2:H$801,$W201)="","",INDEX('Per Invoice'!H$2:H$801,$W201)))</f>
        <v/>
      </c>
      <c r="I201">
        <f>IF($W201="","",IF(INDEX('Per Invoice'!I$2:I$801,$W201)="","",INDEX('Per Invoice'!I$2:I$801,$W201)))</f>
        <v/>
      </c>
      <c r="J201">
        <f>IF($W201="","",IF(INDEX('Per Invoice'!J$2:J$801,$W201)="","",INDEX('Per Invoice'!J$2:J$801,$W201)))</f>
        <v/>
      </c>
      <c r="K201" s="7">
        <f>IF($W201="","",IF(INDEX('Per Invoice'!K$2:K$801,$W201)="","",INDEX('Per Invoice'!K$2:K$801,$W201)))</f>
        <v/>
      </c>
      <c r="L201" s="14">
        <f>IF($W201="","",IF(INDEX('Per Invoice'!L$2:L$801,$W201)="","",INDEX('Per Invoice'!L$2:L$801,$W201)))</f>
        <v/>
      </c>
      <c r="M201">
        <f>IF($W201="","",IF(INDEX('Per Invoice'!M$2:M$801,$W201)="","",INDEX('Per Invoice'!M$2:M$801,$W201)))</f>
        <v/>
      </c>
      <c r="N201" s="7">
        <f>IF($W201="","",IF(INDEX('Per Invoice'!N$2:N$801,$W201)="","",INDEX('Per Invoice'!N$2:N$801,$W201)))</f>
        <v/>
      </c>
      <c r="O201" s="7">
        <f>IF($W201="","",IF(INDEX('Per Invoice'!O$2:O$801,$W201)="","",INDEX('Per Invoice'!O$2:O$801,$W201)))</f>
        <v/>
      </c>
      <c r="P201">
        <f>IF($W201="","",IF(INDEX('Per Invoice'!P$2:P$801,$W201)="","",INDEX('Per Invoice'!P$2:P$801,$W201)))</f>
        <v/>
      </c>
      <c r="Q201" s="7">
        <f>IF($W201="","",IF(INDEX('Per Invoice'!Q$2:Q$801,$W201)="","",INDEX('Per Invoice'!Q$2:Q$801,$W201)))</f>
        <v/>
      </c>
      <c r="R201" s="7">
        <f>IF($W201="","",IF(INDEX('Per Invoice'!R$2:R$801,$W201)="","",INDEX('Per Invoice'!R$2:R$801,$W201)))</f>
        <v/>
      </c>
      <c r="S201" s="7">
        <f>IF($W201="","",IF(INDEX('Per Invoice'!S$2:S$801,$W201)="","",INDEX('Per Invoice'!S$2:S$801,$W201)))</f>
        <v/>
      </c>
      <c r="T201" s="7">
        <f>IF($W201="","",IF(INDEX('Per Invoice'!T$2:T$801,$W201)="","",INDEX('Per Invoice'!T$2:T$801,$W201)))</f>
        <v/>
      </c>
      <c r="U201" s="7">
        <f>IF($W201="","",IF(INDEX('Per Invoice'!U$2:U$801,$W201)="","",INDEX('Per Invoice'!U$2:U$801,$W201)))</f>
        <v/>
      </c>
      <c r="V201" s="7">
        <f>IF($W201="","",IF(INDEX('Per Invoice'!V$2:V$801,$W201)="","",INDEX('Per Invoice'!V$2:V$801,$W201)))</f>
        <v/>
      </c>
      <c r="W201" s="16">
        <f>IFERROR(MATCH(Settings!$C$26&amp;"|"&amp;ROWS($W$2:$W201),'Per Invoice'!$X$2:$X$801,0),"")</f>
        <v/>
      </c>
    </row>
    <row r="202">
      <c r="A202">
        <f>IF($W202="","",IF(INDEX('Per Invoice'!A$2:A$801,$W202)="","",INDEX('Per Invoice'!A$2:A$801,$W202)))</f>
        <v/>
      </c>
      <c r="B202">
        <f>IF($W202="","",IF(INDEX('Per Invoice'!B$2:B$801,$W202)="","",INDEX('Per Invoice'!B$2:B$801,$W202)))</f>
        <v/>
      </c>
      <c r="C202">
        <f>IF($W202="","",IF(INDEX('Per Invoice'!C$2:C$801,$W202)="","",INDEX('Per Invoice'!C$2:C$801,$W202)))</f>
        <v/>
      </c>
      <c r="D202">
        <f>IF($W202="","",IF(INDEX('Per Invoice'!D$2:D$801,$W202)="","",INDEX('Per Invoice'!D$2:D$801,$W202)))</f>
        <v/>
      </c>
      <c r="E202">
        <f>IF($W202="","",IF(INDEX('Per Invoice'!E$2:E$801,$W202)="","",INDEX('Per Invoice'!E$2:E$801,$W202)))</f>
        <v/>
      </c>
      <c r="F202">
        <f>IF($W202="","",IF(INDEX('Per Invoice'!F$2:F$801,$W202)="","",INDEX('Per Invoice'!F$2:F$801,$W202)))</f>
        <v/>
      </c>
      <c r="G202">
        <f>IF($W202="","",IF(INDEX('Per Invoice'!G$2:G$801,$W202)="","",INDEX('Per Invoice'!G$2:G$801,$W202)))</f>
        <v/>
      </c>
      <c r="H202">
        <f>IF($W202="","",IF(INDEX('Per Invoice'!H$2:H$801,$W202)="","",INDEX('Per Invoice'!H$2:H$801,$W202)))</f>
        <v/>
      </c>
      <c r="I202">
        <f>IF($W202="","",IF(INDEX('Per Invoice'!I$2:I$801,$W202)="","",INDEX('Per Invoice'!I$2:I$801,$W202)))</f>
        <v/>
      </c>
      <c r="J202">
        <f>IF($W202="","",IF(INDEX('Per Invoice'!J$2:J$801,$W202)="","",INDEX('Per Invoice'!J$2:J$801,$W202)))</f>
        <v/>
      </c>
      <c r="K202" s="7">
        <f>IF($W202="","",IF(INDEX('Per Invoice'!K$2:K$801,$W202)="","",INDEX('Per Invoice'!K$2:K$801,$W202)))</f>
        <v/>
      </c>
      <c r="L202" s="14">
        <f>IF($W202="","",IF(INDEX('Per Invoice'!L$2:L$801,$W202)="","",INDEX('Per Invoice'!L$2:L$801,$W202)))</f>
        <v/>
      </c>
      <c r="M202">
        <f>IF($W202="","",IF(INDEX('Per Invoice'!M$2:M$801,$W202)="","",INDEX('Per Invoice'!M$2:M$801,$W202)))</f>
        <v/>
      </c>
      <c r="N202" s="7">
        <f>IF($W202="","",IF(INDEX('Per Invoice'!N$2:N$801,$W202)="","",INDEX('Per Invoice'!N$2:N$801,$W202)))</f>
        <v/>
      </c>
      <c r="O202" s="7">
        <f>IF($W202="","",IF(INDEX('Per Invoice'!O$2:O$801,$W202)="","",INDEX('Per Invoice'!O$2:O$801,$W202)))</f>
        <v/>
      </c>
      <c r="P202">
        <f>IF($W202="","",IF(INDEX('Per Invoice'!P$2:P$801,$W202)="","",INDEX('Per Invoice'!P$2:P$801,$W202)))</f>
        <v/>
      </c>
      <c r="Q202" s="7">
        <f>IF($W202="","",IF(INDEX('Per Invoice'!Q$2:Q$801,$W202)="","",INDEX('Per Invoice'!Q$2:Q$801,$W202)))</f>
        <v/>
      </c>
      <c r="R202" s="7">
        <f>IF($W202="","",IF(INDEX('Per Invoice'!R$2:R$801,$W202)="","",INDEX('Per Invoice'!R$2:R$801,$W202)))</f>
        <v/>
      </c>
      <c r="S202" s="7">
        <f>IF($W202="","",IF(INDEX('Per Invoice'!S$2:S$801,$W202)="","",INDEX('Per Invoice'!S$2:S$801,$W202)))</f>
        <v/>
      </c>
      <c r="T202" s="7">
        <f>IF($W202="","",IF(INDEX('Per Invoice'!T$2:T$801,$W202)="","",INDEX('Per Invoice'!T$2:T$801,$W202)))</f>
        <v/>
      </c>
      <c r="U202" s="7">
        <f>IF($W202="","",IF(INDEX('Per Invoice'!U$2:U$801,$W202)="","",INDEX('Per Invoice'!U$2:U$801,$W202)))</f>
        <v/>
      </c>
      <c r="V202" s="7">
        <f>IF($W202="","",IF(INDEX('Per Invoice'!V$2:V$801,$W202)="","",INDEX('Per Invoice'!V$2:V$801,$W202)))</f>
        <v/>
      </c>
      <c r="W202" s="16">
        <f>IFERROR(MATCH(Settings!$C$26&amp;"|"&amp;ROWS($W$2:$W202),'Per Invoice'!$X$2:$X$801,0),"")</f>
        <v/>
      </c>
    </row>
    <row r="203">
      <c r="A203">
        <f>IF($W203="","",IF(INDEX('Per Invoice'!A$2:A$801,$W203)="","",INDEX('Per Invoice'!A$2:A$801,$W203)))</f>
        <v/>
      </c>
      <c r="B203">
        <f>IF($W203="","",IF(INDEX('Per Invoice'!B$2:B$801,$W203)="","",INDEX('Per Invoice'!B$2:B$801,$W203)))</f>
        <v/>
      </c>
      <c r="C203">
        <f>IF($W203="","",IF(INDEX('Per Invoice'!C$2:C$801,$W203)="","",INDEX('Per Invoice'!C$2:C$801,$W203)))</f>
        <v/>
      </c>
      <c r="D203">
        <f>IF($W203="","",IF(INDEX('Per Invoice'!D$2:D$801,$W203)="","",INDEX('Per Invoice'!D$2:D$801,$W203)))</f>
        <v/>
      </c>
      <c r="E203">
        <f>IF($W203="","",IF(INDEX('Per Invoice'!E$2:E$801,$W203)="","",INDEX('Per Invoice'!E$2:E$801,$W203)))</f>
        <v/>
      </c>
      <c r="F203">
        <f>IF($W203="","",IF(INDEX('Per Invoice'!F$2:F$801,$W203)="","",INDEX('Per Invoice'!F$2:F$801,$W203)))</f>
        <v/>
      </c>
      <c r="G203">
        <f>IF($W203="","",IF(INDEX('Per Invoice'!G$2:G$801,$W203)="","",INDEX('Per Invoice'!G$2:G$801,$W203)))</f>
        <v/>
      </c>
      <c r="H203">
        <f>IF($W203="","",IF(INDEX('Per Invoice'!H$2:H$801,$W203)="","",INDEX('Per Invoice'!H$2:H$801,$W203)))</f>
        <v/>
      </c>
      <c r="I203">
        <f>IF($W203="","",IF(INDEX('Per Invoice'!I$2:I$801,$W203)="","",INDEX('Per Invoice'!I$2:I$801,$W203)))</f>
        <v/>
      </c>
      <c r="J203">
        <f>IF($W203="","",IF(INDEX('Per Invoice'!J$2:J$801,$W203)="","",INDEX('Per Invoice'!J$2:J$801,$W203)))</f>
        <v/>
      </c>
      <c r="K203" s="7">
        <f>IF($W203="","",IF(INDEX('Per Invoice'!K$2:K$801,$W203)="","",INDEX('Per Invoice'!K$2:K$801,$W203)))</f>
        <v/>
      </c>
      <c r="L203" s="14">
        <f>IF($W203="","",IF(INDEX('Per Invoice'!L$2:L$801,$W203)="","",INDEX('Per Invoice'!L$2:L$801,$W203)))</f>
        <v/>
      </c>
      <c r="M203">
        <f>IF($W203="","",IF(INDEX('Per Invoice'!M$2:M$801,$W203)="","",INDEX('Per Invoice'!M$2:M$801,$W203)))</f>
        <v/>
      </c>
      <c r="N203" s="7">
        <f>IF($W203="","",IF(INDEX('Per Invoice'!N$2:N$801,$W203)="","",INDEX('Per Invoice'!N$2:N$801,$W203)))</f>
        <v/>
      </c>
      <c r="O203" s="7">
        <f>IF($W203="","",IF(INDEX('Per Invoice'!O$2:O$801,$W203)="","",INDEX('Per Invoice'!O$2:O$801,$W203)))</f>
        <v/>
      </c>
      <c r="P203">
        <f>IF($W203="","",IF(INDEX('Per Invoice'!P$2:P$801,$W203)="","",INDEX('Per Invoice'!P$2:P$801,$W203)))</f>
        <v/>
      </c>
      <c r="Q203" s="7">
        <f>IF($W203="","",IF(INDEX('Per Invoice'!Q$2:Q$801,$W203)="","",INDEX('Per Invoice'!Q$2:Q$801,$W203)))</f>
        <v/>
      </c>
      <c r="R203" s="7">
        <f>IF($W203="","",IF(INDEX('Per Invoice'!R$2:R$801,$W203)="","",INDEX('Per Invoice'!R$2:R$801,$W203)))</f>
        <v/>
      </c>
      <c r="S203" s="7">
        <f>IF($W203="","",IF(INDEX('Per Invoice'!S$2:S$801,$W203)="","",INDEX('Per Invoice'!S$2:S$801,$W203)))</f>
        <v/>
      </c>
      <c r="T203" s="7">
        <f>IF($W203="","",IF(INDEX('Per Invoice'!T$2:T$801,$W203)="","",INDEX('Per Invoice'!T$2:T$801,$W203)))</f>
        <v/>
      </c>
      <c r="U203" s="7">
        <f>IF($W203="","",IF(INDEX('Per Invoice'!U$2:U$801,$W203)="","",INDEX('Per Invoice'!U$2:U$801,$W203)))</f>
        <v/>
      </c>
      <c r="V203" s="7">
        <f>IF($W203="","",IF(INDEX('Per Invoice'!V$2:V$801,$W203)="","",INDEX('Per Invoice'!V$2:V$801,$W203)))</f>
        <v/>
      </c>
      <c r="W203" s="16">
        <f>IFERROR(MATCH(Settings!$C$26&amp;"|"&amp;ROWS($W$2:$W203),'Per Invoice'!$X$2:$X$801,0),"")</f>
        <v/>
      </c>
    </row>
    <row r="204">
      <c r="A204">
        <f>IF($W204="","",IF(INDEX('Per Invoice'!A$2:A$801,$W204)="","",INDEX('Per Invoice'!A$2:A$801,$W204)))</f>
        <v/>
      </c>
      <c r="B204">
        <f>IF($W204="","",IF(INDEX('Per Invoice'!B$2:B$801,$W204)="","",INDEX('Per Invoice'!B$2:B$801,$W204)))</f>
        <v/>
      </c>
      <c r="C204">
        <f>IF($W204="","",IF(INDEX('Per Invoice'!C$2:C$801,$W204)="","",INDEX('Per Invoice'!C$2:C$801,$W204)))</f>
        <v/>
      </c>
      <c r="D204">
        <f>IF($W204="","",IF(INDEX('Per Invoice'!D$2:D$801,$W204)="","",INDEX('Per Invoice'!D$2:D$801,$W204)))</f>
        <v/>
      </c>
      <c r="E204">
        <f>IF($W204="","",IF(INDEX('Per Invoice'!E$2:E$801,$W204)="","",INDEX('Per Invoice'!E$2:E$801,$W204)))</f>
        <v/>
      </c>
      <c r="F204">
        <f>IF($W204="","",IF(INDEX('Per Invoice'!F$2:F$801,$W204)="","",INDEX('Per Invoice'!F$2:F$801,$W204)))</f>
        <v/>
      </c>
      <c r="G204">
        <f>IF($W204="","",IF(INDEX('Per Invoice'!G$2:G$801,$W204)="","",INDEX('Per Invoice'!G$2:G$801,$W204)))</f>
        <v/>
      </c>
      <c r="H204">
        <f>IF($W204="","",IF(INDEX('Per Invoice'!H$2:H$801,$W204)="","",INDEX('Per Invoice'!H$2:H$801,$W204)))</f>
        <v/>
      </c>
      <c r="I204">
        <f>IF($W204="","",IF(INDEX('Per Invoice'!I$2:I$801,$W204)="","",INDEX('Per Invoice'!I$2:I$801,$W204)))</f>
        <v/>
      </c>
      <c r="J204">
        <f>IF($W204="","",IF(INDEX('Per Invoice'!J$2:J$801,$W204)="","",INDEX('Per Invoice'!J$2:J$801,$W204)))</f>
        <v/>
      </c>
      <c r="K204" s="7">
        <f>IF($W204="","",IF(INDEX('Per Invoice'!K$2:K$801,$W204)="","",INDEX('Per Invoice'!K$2:K$801,$W204)))</f>
        <v/>
      </c>
      <c r="L204" s="14">
        <f>IF($W204="","",IF(INDEX('Per Invoice'!L$2:L$801,$W204)="","",INDEX('Per Invoice'!L$2:L$801,$W204)))</f>
        <v/>
      </c>
      <c r="M204">
        <f>IF($W204="","",IF(INDEX('Per Invoice'!M$2:M$801,$W204)="","",INDEX('Per Invoice'!M$2:M$801,$W204)))</f>
        <v/>
      </c>
      <c r="N204" s="7">
        <f>IF($W204="","",IF(INDEX('Per Invoice'!N$2:N$801,$W204)="","",INDEX('Per Invoice'!N$2:N$801,$W204)))</f>
        <v/>
      </c>
      <c r="O204" s="7">
        <f>IF($W204="","",IF(INDEX('Per Invoice'!O$2:O$801,$W204)="","",INDEX('Per Invoice'!O$2:O$801,$W204)))</f>
        <v/>
      </c>
      <c r="P204">
        <f>IF($W204="","",IF(INDEX('Per Invoice'!P$2:P$801,$W204)="","",INDEX('Per Invoice'!P$2:P$801,$W204)))</f>
        <v/>
      </c>
      <c r="Q204" s="7">
        <f>IF($W204="","",IF(INDEX('Per Invoice'!Q$2:Q$801,$W204)="","",INDEX('Per Invoice'!Q$2:Q$801,$W204)))</f>
        <v/>
      </c>
      <c r="R204" s="7">
        <f>IF($W204="","",IF(INDEX('Per Invoice'!R$2:R$801,$W204)="","",INDEX('Per Invoice'!R$2:R$801,$W204)))</f>
        <v/>
      </c>
      <c r="S204" s="7">
        <f>IF($W204="","",IF(INDEX('Per Invoice'!S$2:S$801,$W204)="","",INDEX('Per Invoice'!S$2:S$801,$W204)))</f>
        <v/>
      </c>
      <c r="T204" s="7">
        <f>IF($W204="","",IF(INDEX('Per Invoice'!T$2:T$801,$W204)="","",INDEX('Per Invoice'!T$2:T$801,$W204)))</f>
        <v/>
      </c>
      <c r="U204" s="7">
        <f>IF($W204="","",IF(INDEX('Per Invoice'!U$2:U$801,$W204)="","",INDEX('Per Invoice'!U$2:U$801,$W204)))</f>
        <v/>
      </c>
      <c r="V204" s="7">
        <f>IF($W204="","",IF(INDEX('Per Invoice'!V$2:V$801,$W204)="","",INDEX('Per Invoice'!V$2:V$801,$W204)))</f>
        <v/>
      </c>
      <c r="W204" s="16">
        <f>IFERROR(MATCH(Settings!$C$26&amp;"|"&amp;ROWS($W$2:$W204),'Per Invoice'!$X$2:$X$801,0),"")</f>
        <v/>
      </c>
    </row>
    <row r="205">
      <c r="A205">
        <f>IF($W205="","",IF(INDEX('Per Invoice'!A$2:A$801,$W205)="","",INDEX('Per Invoice'!A$2:A$801,$W205)))</f>
        <v/>
      </c>
      <c r="B205">
        <f>IF($W205="","",IF(INDEX('Per Invoice'!B$2:B$801,$W205)="","",INDEX('Per Invoice'!B$2:B$801,$W205)))</f>
        <v/>
      </c>
      <c r="C205">
        <f>IF($W205="","",IF(INDEX('Per Invoice'!C$2:C$801,$W205)="","",INDEX('Per Invoice'!C$2:C$801,$W205)))</f>
        <v/>
      </c>
      <c r="D205">
        <f>IF($W205="","",IF(INDEX('Per Invoice'!D$2:D$801,$W205)="","",INDEX('Per Invoice'!D$2:D$801,$W205)))</f>
        <v/>
      </c>
      <c r="E205">
        <f>IF($W205="","",IF(INDEX('Per Invoice'!E$2:E$801,$W205)="","",INDEX('Per Invoice'!E$2:E$801,$W205)))</f>
        <v/>
      </c>
      <c r="F205">
        <f>IF($W205="","",IF(INDEX('Per Invoice'!F$2:F$801,$W205)="","",INDEX('Per Invoice'!F$2:F$801,$W205)))</f>
        <v/>
      </c>
      <c r="G205">
        <f>IF($W205="","",IF(INDEX('Per Invoice'!G$2:G$801,$W205)="","",INDEX('Per Invoice'!G$2:G$801,$W205)))</f>
        <v/>
      </c>
      <c r="H205">
        <f>IF($W205="","",IF(INDEX('Per Invoice'!H$2:H$801,$W205)="","",INDEX('Per Invoice'!H$2:H$801,$W205)))</f>
        <v/>
      </c>
      <c r="I205">
        <f>IF($W205="","",IF(INDEX('Per Invoice'!I$2:I$801,$W205)="","",INDEX('Per Invoice'!I$2:I$801,$W205)))</f>
        <v/>
      </c>
      <c r="J205">
        <f>IF($W205="","",IF(INDEX('Per Invoice'!J$2:J$801,$W205)="","",INDEX('Per Invoice'!J$2:J$801,$W205)))</f>
        <v/>
      </c>
      <c r="K205" s="7">
        <f>IF($W205="","",IF(INDEX('Per Invoice'!K$2:K$801,$W205)="","",INDEX('Per Invoice'!K$2:K$801,$W205)))</f>
        <v/>
      </c>
      <c r="L205" s="14">
        <f>IF($W205="","",IF(INDEX('Per Invoice'!L$2:L$801,$W205)="","",INDEX('Per Invoice'!L$2:L$801,$W205)))</f>
        <v/>
      </c>
      <c r="M205">
        <f>IF($W205="","",IF(INDEX('Per Invoice'!M$2:M$801,$W205)="","",INDEX('Per Invoice'!M$2:M$801,$W205)))</f>
        <v/>
      </c>
      <c r="N205" s="7">
        <f>IF($W205="","",IF(INDEX('Per Invoice'!N$2:N$801,$W205)="","",INDEX('Per Invoice'!N$2:N$801,$W205)))</f>
        <v/>
      </c>
      <c r="O205" s="7">
        <f>IF($W205="","",IF(INDEX('Per Invoice'!O$2:O$801,$W205)="","",INDEX('Per Invoice'!O$2:O$801,$W205)))</f>
        <v/>
      </c>
      <c r="P205">
        <f>IF($W205="","",IF(INDEX('Per Invoice'!P$2:P$801,$W205)="","",INDEX('Per Invoice'!P$2:P$801,$W205)))</f>
        <v/>
      </c>
      <c r="Q205" s="7">
        <f>IF($W205="","",IF(INDEX('Per Invoice'!Q$2:Q$801,$W205)="","",INDEX('Per Invoice'!Q$2:Q$801,$W205)))</f>
        <v/>
      </c>
      <c r="R205" s="7">
        <f>IF($W205="","",IF(INDEX('Per Invoice'!R$2:R$801,$W205)="","",INDEX('Per Invoice'!R$2:R$801,$W205)))</f>
        <v/>
      </c>
      <c r="S205" s="7">
        <f>IF($W205="","",IF(INDEX('Per Invoice'!S$2:S$801,$W205)="","",INDEX('Per Invoice'!S$2:S$801,$W205)))</f>
        <v/>
      </c>
      <c r="T205" s="7">
        <f>IF($W205="","",IF(INDEX('Per Invoice'!T$2:T$801,$W205)="","",INDEX('Per Invoice'!T$2:T$801,$W205)))</f>
        <v/>
      </c>
      <c r="U205" s="7">
        <f>IF($W205="","",IF(INDEX('Per Invoice'!U$2:U$801,$W205)="","",INDEX('Per Invoice'!U$2:U$801,$W205)))</f>
        <v/>
      </c>
      <c r="V205" s="7">
        <f>IF($W205="","",IF(INDEX('Per Invoice'!V$2:V$801,$W205)="","",INDEX('Per Invoice'!V$2:V$801,$W205)))</f>
        <v/>
      </c>
      <c r="W205" s="16">
        <f>IFERROR(MATCH(Settings!$C$26&amp;"|"&amp;ROWS($W$2:$W205),'Per Invoice'!$X$2:$X$801,0),"")</f>
        <v/>
      </c>
    </row>
    <row r="206">
      <c r="A206">
        <f>IF($W206="","",IF(INDEX('Per Invoice'!A$2:A$801,$W206)="","",INDEX('Per Invoice'!A$2:A$801,$W206)))</f>
        <v/>
      </c>
      <c r="B206">
        <f>IF($W206="","",IF(INDEX('Per Invoice'!B$2:B$801,$W206)="","",INDEX('Per Invoice'!B$2:B$801,$W206)))</f>
        <v/>
      </c>
      <c r="C206">
        <f>IF($W206="","",IF(INDEX('Per Invoice'!C$2:C$801,$W206)="","",INDEX('Per Invoice'!C$2:C$801,$W206)))</f>
        <v/>
      </c>
      <c r="D206">
        <f>IF($W206="","",IF(INDEX('Per Invoice'!D$2:D$801,$W206)="","",INDEX('Per Invoice'!D$2:D$801,$W206)))</f>
        <v/>
      </c>
      <c r="E206">
        <f>IF($W206="","",IF(INDEX('Per Invoice'!E$2:E$801,$W206)="","",INDEX('Per Invoice'!E$2:E$801,$W206)))</f>
        <v/>
      </c>
      <c r="F206">
        <f>IF($W206="","",IF(INDEX('Per Invoice'!F$2:F$801,$W206)="","",INDEX('Per Invoice'!F$2:F$801,$W206)))</f>
        <v/>
      </c>
      <c r="G206">
        <f>IF($W206="","",IF(INDEX('Per Invoice'!G$2:G$801,$W206)="","",INDEX('Per Invoice'!G$2:G$801,$W206)))</f>
        <v/>
      </c>
      <c r="H206">
        <f>IF($W206="","",IF(INDEX('Per Invoice'!H$2:H$801,$W206)="","",INDEX('Per Invoice'!H$2:H$801,$W206)))</f>
        <v/>
      </c>
      <c r="I206">
        <f>IF($W206="","",IF(INDEX('Per Invoice'!I$2:I$801,$W206)="","",INDEX('Per Invoice'!I$2:I$801,$W206)))</f>
        <v/>
      </c>
      <c r="J206">
        <f>IF($W206="","",IF(INDEX('Per Invoice'!J$2:J$801,$W206)="","",INDEX('Per Invoice'!J$2:J$801,$W206)))</f>
        <v/>
      </c>
      <c r="K206" s="7">
        <f>IF($W206="","",IF(INDEX('Per Invoice'!K$2:K$801,$W206)="","",INDEX('Per Invoice'!K$2:K$801,$W206)))</f>
        <v/>
      </c>
      <c r="L206" s="14">
        <f>IF($W206="","",IF(INDEX('Per Invoice'!L$2:L$801,$W206)="","",INDEX('Per Invoice'!L$2:L$801,$W206)))</f>
        <v/>
      </c>
      <c r="M206">
        <f>IF($W206="","",IF(INDEX('Per Invoice'!M$2:M$801,$W206)="","",INDEX('Per Invoice'!M$2:M$801,$W206)))</f>
        <v/>
      </c>
      <c r="N206" s="7">
        <f>IF($W206="","",IF(INDEX('Per Invoice'!N$2:N$801,$W206)="","",INDEX('Per Invoice'!N$2:N$801,$W206)))</f>
        <v/>
      </c>
      <c r="O206" s="7">
        <f>IF($W206="","",IF(INDEX('Per Invoice'!O$2:O$801,$W206)="","",INDEX('Per Invoice'!O$2:O$801,$W206)))</f>
        <v/>
      </c>
      <c r="P206">
        <f>IF($W206="","",IF(INDEX('Per Invoice'!P$2:P$801,$W206)="","",INDEX('Per Invoice'!P$2:P$801,$W206)))</f>
        <v/>
      </c>
      <c r="Q206" s="7">
        <f>IF($W206="","",IF(INDEX('Per Invoice'!Q$2:Q$801,$W206)="","",INDEX('Per Invoice'!Q$2:Q$801,$W206)))</f>
        <v/>
      </c>
      <c r="R206" s="7">
        <f>IF($W206="","",IF(INDEX('Per Invoice'!R$2:R$801,$W206)="","",INDEX('Per Invoice'!R$2:R$801,$W206)))</f>
        <v/>
      </c>
      <c r="S206" s="7">
        <f>IF($W206="","",IF(INDEX('Per Invoice'!S$2:S$801,$W206)="","",INDEX('Per Invoice'!S$2:S$801,$W206)))</f>
        <v/>
      </c>
      <c r="T206" s="7">
        <f>IF($W206="","",IF(INDEX('Per Invoice'!T$2:T$801,$W206)="","",INDEX('Per Invoice'!T$2:T$801,$W206)))</f>
        <v/>
      </c>
      <c r="U206" s="7">
        <f>IF($W206="","",IF(INDEX('Per Invoice'!U$2:U$801,$W206)="","",INDEX('Per Invoice'!U$2:U$801,$W206)))</f>
        <v/>
      </c>
      <c r="V206" s="7">
        <f>IF($W206="","",IF(INDEX('Per Invoice'!V$2:V$801,$W206)="","",INDEX('Per Invoice'!V$2:V$801,$W206)))</f>
        <v/>
      </c>
      <c r="W206" s="16">
        <f>IFERROR(MATCH(Settings!$C$26&amp;"|"&amp;ROWS($W$2:$W206),'Per Invoice'!$X$2:$X$801,0),"")</f>
        <v/>
      </c>
    </row>
    <row r="207">
      <c r="A207">
        <f>IF($W207="","",IF(INDEX('Per Invoice'!A$2:A$801,$W207)="","",INDEX('Per Invoice'!A$2:A$801,$W207)))</f>
        <v/>
      </c>
      <c r="B207">
        <f>IF($W207="","",IF(INDEX('Per Invoice'!B$2:B$801,$W207)="","",INDEX('Per Invoice'!B$2:B$801,$W207)))</f>
        <v/>
      </c>
      <c r="C207">
        <f>IF($W207="","",IF(INDEX('Per Invoice'!C$2:C$801,$W207)="","",INDEX('Per Invoice'!C$2:C$801,$W207)))</f>
        <v/>
      </c>
      <c r="D207">
        <f>IF($W207="","",IF(INDEX('Per Invoice'!D$2:D$801,$W207)="","",INDEX('Per Invoice'!D$2:D$801,$W207)))</f>
        <v/>
      </c>
      <c r="E207">
        <f>IF($W207="","",IF(INDEX('Per Invoice'!E$2:E$801,$W207)="","",INDEX('Per Invoice'!E$2:E$801,$W207)))</f>
        <v/>
      </c>
      <c r="F207">
        <f>IF($W207="","",IF(INDEX('Per Invoice'!F$2:F$801,$W207)="","",INDEX('Per Invoice'!F$2:F$801,$W207)))</f>
        <v/>
      </c>
      <c r="G207">
        <f>IF($W207="","",IF(INDEX('Per Invoice'!G$2:G$801,$W207)="","",INDEX('Per Invoice'!G$2:G$801,$W207)))</f>
        <v/>
      </c>
      <c r="H207">
        <f>IF($W207="","",IF(INDEX('Per Invoice'!H$2:H$801,$W207)="","",INDEX('Per Invoice'!H$2:H$801,$W207)))</f>
        <v/>
      </c>
      <c r="I207">
        <f>IF($W207="","",IF(INDEX('Per Invoice'!I$2:I$801,$W207)="","",INDEX('Per Invoice'!I$2:I$801,$W207)))</f>
        <v/>
      </c>
      <c r="J207">
        <f>IF($W207="","",IF(INDEX('Per Invoice'!J$2:J$801,$W207)="","",INDEX('Per Invoice'!J$2:J$801,$W207)))</f>
        <v/>
      </c>
      <c r="K207" s="7">
        <f>IF($W207="","",IF(INDEX('Per Invoice'!K$2:K$801,$W207)="","",INDEX('Per Invoice'!K$2:K$801,$W207)))</f>
        <v/>
      </c>
      <c r="L207" s="14">
        <f>IF($W207="","",IF(INDEX('Per Invoice'!L$2:L$801,$W207)="","",INDEX('Per Invoice'!L$2:L$801,$W207)))</f>
        <v/>
      </c>
      <c r="M207">
        <f>IF($W207="","",IF(INDEX('Per Invoice'!M$2:M$801,$W207)="","",INDEX('Per Invoice'!M$2:M$801,$W207)))</f>
        <v/>
      </c>
      <c r="N207" s="7">
        <f>IF($W207="","",IF(INDEX('Per Invoice'!N$2:N$801,$W207)="","",INDEX('Per Invoice'!N$2:N$801,$W207)))</f>
        <v/>
      </c>
      <c r="O207" s="7">
        <f>IF($W207="","",IF(INDEX('Per Invoice'!O$2:O$801,$W207)="","",INDEX('Per Invoice'!O$2:O$801,$W207)))</f>
        <v/>
      </c>
      <c r="P207">
        <f>IF($W207="","",IF(INDEX('Per Invoice'!P$2:P$801,$W207)="","",INDEX('Per Invoice'!P$2:P$801,$W207)))</f>
        <v/>
      </c>
      <c r="Q207" s="7">
        <f>IF($W207="","",IF(INDEX('Per Invoice'!Q$2:Q$801,$W207)="","",INDEX('Per Invoice'!Q$2:Q$801,$W207)))</f>
        <v/>
      </c>
      <c r="R207" s="7">
        <f>IF($W207="","",IF(INDEX('Per Invoice'!R$2:R$801,$W207)="","",INDEX('Per Invoice'!R$2:R$801,$W207)))</f>
        <v/>
      </c>
      <c r="S207" s="7">
        <f>IF($W207="","",IF(INDEX('Per Invoice'!S$2:S$801,$W207)="","",INDEX('Per Invoice'!S$2:S$801,$W207)))</f>
        <v/>
      </c>
      <c r="T207" s="7">
        <f>IF($W207="","",IF(INDEX('Per Invoice'!T$2:T$801,$W207)="","",INDEX('Per Invoice'!T$2:T$801,$W207)))</f>
        <v/>
      </c>
      <c r="U207" s="7">
        <f>IF($W207="","",IF(INDEX('Per Invoice'!U$2:U$801,$W207)="","",INDEX('Per Invoice'!U$2:U$801,$W207)))</f>
        <v/>
      </c>
      <c r="V207" s="7">
        <f>IF($W207="","",IF(INDEX('Per Invoice'!V$2:V$801,$W207)="","",INDEX('Per Invoice'!V$2:V$801,$W207)))</f>
        <v/>
      </c>
      <c r="W207" s="16">
        <f>IFERROR(MATCH(Settings!$C$26&amp;"|"&amp;ROWS($W$2:$W207),'Per Invoice'!$X$2:$X$801,0),"")</f>
        <v/>
      </c>
    </row>
    <row r="208">
      <c r="A208">
        <f>IF($W208="","",IF(INDEX('Per Invoice'!A$2:A$801,$W208)="","",INDEX('Per Invoice'!A$2:A$801,$W208)))</f>
        <v/>
      </c>
      <c r="B208">
        <f>IF($W208="","",IF(INDEX('Per Invoice'!B$2:B$801,$W208)="","",INDEX('Per Invoice'!B$2:B$801,$W208)))</f>
        <v/>
      </c>
      <c r="C208">
        <f>IF($W208="","",IF(INDEX('Per Invoice'!C$2:C$801,$W208)="","",INDEX('Per Invoice'!C$2:C$801,$W208)))</f>
        <v/>
      </c>
      <c r="D208">
        <f>IF($W208="","",IF(INDEX('Per Invoice'!D$2:D$801,$W208)="","",INDEX('Per Invoice'!D$2:D$801,$W208)))</f>
        <v/>
      </c>
      <c r="E208">
        <f>IF($W208="","",IF(INDEX('Per Invoice'!E$2:E$801,$W208)="","",INDEX('Per Invoice'!E$2:E$801,$W208)))</f>
        <v/>
      </c>
      <c r="F208">
        <f>IF($W208="","",IF(INDEX('Per Invoice'!F$2:F$801,$W208)="","",INDEX('Per Invoice'!F$2:F$801,$W208)))</f>
        <v/>
      </c>
      <c r="G208">
        <f>IF($W208="","",IF(INDEX('Per Invoice'!G$2:G$801,$W208)="","",INDEX('Per Invoice'!G$2:G$801,$W208)))</f>
        <v/>
      </c>
      <c r="H208">
        <f>IF($W208="","",IF(INDEX('Per Invoice'!H$2:H$801,$W208)="","",INDEX('Per Invoice'!H$2:H$801,$W208)))</f>
        <v/>
      </c>
      <c r="I208">
        <f>IF($W208="","",IF(INDEX('Per Invoice'!I$2:I$801,$W208)="","",INDEX('Per Invoice'!I$2:I$801,$W208)))</f>
        <v/>
      </c>
      <c r="J208">
        <f>IF($W208="","",IF(INDEX('Per Invoice'!J$2:J$801,$W208)="","",INDEX('Per Invoice'!J$2:J$801,$W208)))</f>
        <v/>
      </c>
      <c r="K208" s="7">
        <f>IF($W208="","",IF(INDEX('Per Invoice'!K$2:K$801,$W208)="","",INDEX('Per Invoice'!K$2:K$801,$W208)))</f>
        <v/>
      </c>
      <c r="L208" s="14">
        <f>IF($W208="","",IF(INDEX('Per Invoice'!L$2:L$801,$W208)="","",INDEX('Per Invoice'!L$2:L$801,$W208)))</f>
        <v/>
      </c>
      <c r="M208">
        <f>IF($W208="","",IF(INDEX('Per Invoice'!M$2:M$801,$W208)="","",INDEX('Per Invoice'!M$2:M$801,$W208)))</f>
        <v/>
      </c>
      <c r="N208" s="7">
        <f>IF($W208="","",IF(INDEX('Per Invoice'!N$2:N$801,$W208)="","",INDEX('Per Invoice'!N$2:N$801,$W208)))</f>
        <v/>
      </c>
      <c r="O208" s="7">
        <f>IF($W208="","",IF(INDEX('Per Invoice'!O$2:O$801,$W208)="","",INDEX('Per Invoice'!O$2:O$801,$W208)))</f>
        <v/>
      </c>
      <c r="P208">
        <f>IF($W208="","",IF(INDEX('Per Invoice'!P$2:P$801,$W208)="","",INDEX('Per Invoice'!P$2:P$801,$W208)))</f>
        <v/>
      </c>
      <c r="Q208" s="7">
        <f>IF($W208="","",IF(INDEX('Per Invoice'!Q$2:Q$801,$W208)="","",INDEX('Per Invoice'!Q$2:Q$801,$W208)))</f>
        <v/>
      </c>
      <c r="R208" s="7">
        <f>IF($W208="","",IF(INDEX('Per Invoice'!R$2:R$801,$W208)="","",INDEX('Per Invoice'!R$2:R$801,$W208)))</f>
        <v/>
      </c>
      <c r="S208" s="7">
        <f>IF($W208="","",IF(INDEX('Per Invoice'!S$2:S$801,$W208)="","",INDEX('Per Invoice'!S$2:S$801,$W208)))</f>
        <v/>
      </c>
      <c r="T208" s="7">
        <f>IF($W208="","",IF(INDEX('Per Invoice'!T$2:T$801,$W208)="","",INDEX('Per Invoice'!T$2:T$801,$W208)))</f>
        <v/>
      </c>
      <c r="U208" s="7">
        <f>IF($W208="","",IF(INDEX('Per Invoice'!U$2:U$801,$W208)="","",INDEX('Per Invoice'!U$2:U$801,$W208)))</f>
        <v/>
      </c>
      <c r="V208" s="7">
        <f>IF($W208="","",IF(INDEX('Per Invoice'!V$2:V$801,$W208)="","",INDEX('Per Invoice'!V$2:V$801,$W208)))</f>
        <v/>
      </c>
      <c r="W208" s="16">
        <f>IFERROR(MATCH(Settings!$C$26&amp;"|"&amp;ROWS($W$2:$W208),'Per Invoice'!$X$2:$X$801,0),"")</f>
        <v/>
      </c>
    </row>
    <row r="209">
      <c r="A209">
        <f>IF($W209="","",IF(INDEX('Per Invoice'!A$2:A$801,$W209)="","",INDEX('Per Invoice'!A$2:A$801,$W209)))</f>
        <v/>
      </c>
      <c r="B209">
        <f>IF($W209="","",IF(INDEX('Per Invoice'!B$2:B$801,$W209)="","",INDEX('Per Invoice'!B$2:B$801,$W209)))</f>
        <v/>
      </c>
      <c r="C209">
        <f>IF($W209="","",IF(INDEX('Per Invoice'!C$2:C$801,$W209)="","",INDEX('Per Invoice'!C$2:C$801,$W209)))</f>
        <v/>
      </c>
      <c r="D209">
        <f>IF($W209="","",IF(INDEX('Per Invoice'!D$2:D$801,$W209)="","",INDEX('Per Invoice'!D$2:D$801,$W209)))</f>
        <v/>
      </c>
      <c r="E209">
        <f>IF($W209="","",IF(INDEX('Per Invoice'!E$2:E$801,$W209)="","",INDEX('Per Invoice'!E$2:E$801,$W209)))</f>
        <v/>
      </c>
      <c r="F209">
        <f>IF($W209="","",IF(INDEX('Per Invoice'!F$2:F$801,$W209)="","",INDEX('Per Invoice'!F$2:F$801,$W209)))</f>
        <v/>
      </c>
      <c r="G209">
        <f>IF($W209="","",IF(INDEX('Per Invoice'!G$2:G$801,$W209)="","",INDEX('Per Invoice'!G$2:G$801,$W209)))</f>
        <v/>
      </c>
      <c r="H209">
        <f>IF($W209="","",IF(INDEX('Per Invoice'!H$2:H$801,$W209)="","",INDEX('Per Invoice'!H$2:H$801,$W209)))</f>
        <v/>
      </c>
      <c r="I209">
        <f>IF($W209="","",IF(INDEX('Per Invoice'!I$2:I$801,$W209)="","",INDEX('Per Invoice'!I$2:I$801,$W209)))</f>
        <v/>
      </c>
      <c r="J209">
        <f>IF($W209="","",IF(INDEX('Per Invoice'!J$2:J$801,$W209)="","",INDEX('Per Invoice'!J$2:J$801,$W209)))</f>
        <v/>
      </c>
      <c r="K209" s="7">
        <f>IF($W209="","",IF(INDEX('Per Invoice'!K$2:K$801,$W209)="","",INDEX('Per Invoice'!K$2:K$801,$W209)))</f>
        <v/>
      </c>
      <c r="L209" s="14">
        <f>IF($W209="","",IF(INDEX('Per Invoice'!L$2:L$801,$W209)="","",INDEX('Per Invoice'!L$2:L$801,$W209)))</f>
        <v/>
      </c>
      <c r="M209">
        <f>IF($W209="","",IF(INDEX('Per Invoice'!M$2:M$801,$W209)="","",INDEX('Per Invoice'!M$2:M$801,$W209)))</f>
        <v/>
      </c>
      <c r="N209" s="7">
        <f>IF($W209="","",IF(INDEX('Per Invoice'!N$2:N$801,$W209)="","",INDEX('Per Invoice'!N$2:N$801,$W209)))</f>
        <v/>
      </c>
      <c r="O209" s="7">
        <f>IF($W209="","",IF(INDEX('Per Invoice'!O$2:O$801,$W209)="","",INDEX('Per Invoice'!O$2:O$801,$W209)))</f>
        <v/>
      </c>
      <c r="P209">
        <f>IF($W209="","",IF(INDEX('Per Invoice'!P$2:P$801,$W209)="","",INDEX('Per Invoice'!P$2:P$801,$W209)))</f>
        <v/>
      </c>
      <c r="Q209" s="7">
        <f>IF($W209="","",IF(INDEX('Per Invoice'!Q$2:Q$801,$W209)="","",INDEX('Per Invoice'!Q$2:Q$801,$W209)))</f>
        <v/>
      </c>
      <c r="R209" s="7">
        <f>IF($W209="","",IF(INDEX('Per Invoice'!R$2:R$801,$W209)="","",INDEX('Per Invoice'!R$2:R$801,$W209)))</f>
        <v/>
      </c>
      <c r="S209" s="7">
        <f>IF($W209="","",IF(INDEX('Per Invoice'!S$2:S$801,$W209)="","",INDEX('Per Invoice'!S$2:S$801,$W209)))</f>
        <v/>
      </c>
      <c r="T209" s="7">
        <f>IF($W209="","",IF(INDEX('Per Invoice'!T$2:T$801,$W209)="","",INDEX('Per Invoice'!T$2:T$801,$W209)))</f>
        <v/>
      </c>
      <c r="U209" s="7">
        <f>IF($W209="","",IF(INDEX('Per Invoice'!U$2:U$801,$W209)="","",INDEX('Per Invoice'!U$2:U$801,$W209)))</f>
        <v/>
      </c>
      <c r="V209" s="7">
        <f>IF($W209="","",IF(INDEX('Per Invoice'!V$2:V$801,$W209)="","",INDEX('Per Invoice'!V$2:V$801,$W209)))</f>
        <v/>
      </c>
      <c r="W209" s="16">
        <f>IFERROR(MATCH(Settings!$C$26&amp;"|"&amp;ROWS($W$2:$W209),'Per Invoice'!$X$2:$X$801,0),"")</f>
        <v/>
      </c>
    </row>
    <row r="210">
      <c r="A210">
        <f>IF($W210="","",IF(INDEX('Per Invoice'!A$2:A$801,$W210)="","",INDEX('Per Invoice'!A$2:A$801,$W210)))</f>
        <v/>
      </c>
      <c r="B210">
        <f>IF($W210="","",IF(INDEX('Per Invoice'!B$2:B$801,$W210)="","",INDEX('Per Invoice'!B$2:B$801,$W210)))</f>
        <v/>
      </c>
      <c r="C210">
        <f>IF($W210="","",IF(INDEX('Per Invoice'!C$2:C$801,$W210)="","",INDEX('Per Invoice'!C$2:C$801,$W210)))</f>
        <v/>
      </c>
      <c r="D210">
        <f>IF($W210="","",IF(INDEX('Per Invoice'!D$2:D$801,$W210)="","",INDEX('Per Invoice'!D$2:D$801,$W210)))</f>
        <v/>
      </c>
      <c r="E210">
        <f>IF($W210="","",IF(INDEX('Per Invoice'!E$2:E$801,$W210)="","",INDEX('Per Invoice'!E$2:E$801,$W210)))</f>
        <v/>
      </c>
      <c r="F210">
        <f>IF($W210="","",IF(INDEX('Per Invoice'!F$2:F$801,$W210)="","",INDEX('Per Invoice'!F$2:F$801,$W210)))</f>
        <v/>
      </c>
      <c r="G210">
        <f>IF($W210="","",IF(INDEX('Per Invoice'!G$2:G$801,$W210)="","",INDEX('Per Invoice'!G$2:G$801,$W210)))</f>
        <v/>
      </c>
      <c r="H210">
        <f>IF($W210="","",IF(INDEX('Per Invoice'!H$2:H$801,$W210)="","",INDEX('Per Invoice'!H$2:H$801,$W210)))</f>
        <v/>
      </c>
      <c r="I210">
        <f>IF($W210="","",IF(INDEX('Per Invoice'!I$2:I$801,$W210)="","",INDEX('Per Invoice'!I$2:I$801,$W210)))</f>
        <v/>
      </c>
      <c r="J210">
        <f>IF($W210="","",IF(INDEX('Per Invoice'!J$2:J$801,$W210)="","",INDEX('Per Invoice'!J$2:J$801,$W210)))</f>
        <v/>
      </c>
      <c r="K210" s="7">
        <f>IF($W210="","",IF(INDEX('Per Invoice'!K$2:K$801,$W210)="","",INDEX('Per Invoice'!K$2:K$801,$W210)))</f>
        <v/>
      </c>
      <c r="L210" s="14">
        <f>IF($W210="","",IF(INDEX('Per Invoice'!L$2:L$801,$W210)="","",INDEX('Per Invoice'!L$2:L$801,$W210)))</f>
        <v/>
      </c>
      <c r="M210">
        <f>IF($W210="","",IF(INDEX('Per Invoice'!M$2:M$801,$W210)="","",INDEX('Per Invoice'!M$2:M$801,$W210)))</f>
        <v/>
      </c>
      <c r="N210" s="7">
        <f>IF($W210="","",IF(INDEX('Per Invoice'!N$2:N$801,$W210)="","",INDEX('Per Invoice'!N$2:N$801,$W210)))</f>
        <v/>
      </c>
      <c r="O210" s="7">
        <f>IF($W210="","",IF(INDEX('Per Invoice'!O$2:O$801,$W210)="","",INDEX('Per Invoice'!O$2:O$801,$W210)))</f>
        <v/>
      </c>
      <c r="P210">
        <f>IF($W210="","",IF(INDEX('Per Invoice'!P$2:P$801,$W210)="","",INDEX('Per Invoice'!P$2:P$801,$W210)))</f>
        <v/>
      </c>
      <c r="Q210" s="7">
        <f>IF($W210="","",IF(INDEX('Per Invoice'!Q$2:Q$801,$W210)="","",INDEX('Per Invoice'!Q$2:Q$801,$W210)))</f>
        <v/>
      </c>
      <c r="R210" s="7">
        <f>IF($W210="","",IF(INDEX('Per Invoice'!R$2:R$801,$W210)="","",INDEX('Per Invoice'!R$2:R$801,$W210)))</f>
        <v/>
      </c>
      <c r="S210" s="7">
        <f>IF($W210="","",IF(INDEX('Per Invoice'!S$2:S$801,$W210)="","",INDEX('Per Invoice'!S$2:S$801,$W210)))</f>
        <v/>
      </c>
      <c r="T210" s="7">
        <f>IF($W210="","",IF(INDEX('Per Invoice'!T$2:T$801,$W210)="","",INDEX('Per Invoice'!T$2:T$801,$W210)))</f>
        <v/>
      </c>
      <c r="U210" s="7">
        <f>IF($W210="","",IF(INDEX('Per Invoice'!U$2:U$801,$W210)="","",INDEX('Per Invoice'!U$2:U$801,$W210)))</f>
        <v/>
      </c>
      <c r="V210" s="7">
        <f>IF($W210="","",IF(INDEX('Per Invoice'!V$2:V$801,$W210)="","",INDEX('Per Invoice'!V$2:V$801,$W210)))</f>
        <v/>
      </c>
      <c r="W210" s="16">
        <f>IFERROR(MATCH(Settings!$C$26&amp;"|"&amp;ROWS($W$2:$W210),'Per Invoice'!$X$2:$X$801,0),"")</f>
        <v/>
      </c>
    </row>
    <row r="211">
      <c r="A211">
        <f>IF($W211="","",IF(INDEX('Per Invoice'!A$2:A$801,$W211)="","",INDEX('Per Invoice'!A$2:A$801,$W211)))</f>
        <v/>
      </c>
      <c r="B211">
        <f>IF($W211="","",IF(INDEX('Per Invoice'!B$2:B$801,$W211)="","",INDEX('Per Invoice'!B$2:B$801,$W211)))</f>
        <v/>
      </c>
      <c r="C211">
        <f>IF($W211="","",IF(INDEX('Per Invoice'!C$2:C$801,$W211)="","",INDEX('Per Invoice'!C$2:C$801,$W211)))</f>
        <v/>
      </c>
      <c r="D211">
        <f>IF($W211="","",IF(INDEX('Per Invoice'!D$2:D$801,$W211)="","",INDEX('Per Invoice'!D$2:D$801,$W211)))</f>
        <v/>
      </c>
      <c r="E211">
        <f>IF($W211="","",IF(INDEX('Per Invoice'!E$2:E$801,$W211)="","",INDEX('Per Invoice'!E$2:E$801,$W211)))</f>
        <v/>
      </c>
      <c r="F211">
        <f>IF($W211="","",IF(INDEX('Per Invoice'!F$2:F$801,$W211)="","",INDEX('Per Invoice'!F$2:F$801,$W211)))</f>
        <v/>
      </c>
      <c r="G211">
        <f>IF($W211="","",IF(INDEX('Per Invoice'!G$2:G$801,$W211)="","",INDEX('Per Invoice'!G$2:G$801,$W211)))</f>
        <v/>
      </c>
      <c r="H211">
        <f>IF($W211="","",IF(INDEX('Per Invoice'!H$2:H$801,$W211)="","",INDEX('Per Invoice'!H$2:H$801,$W211)))</f>
        <v/>
      </c>
      <c r="I211">
        <f>IF($W211="","",IF(INDEX('Per Invoice'!I$2:I$801,$W211)="","",INDEX('Per Invoice'!I$2:I$801,$W211)))</f>
        <v/>
      </c>
      <c r="J211">
        <f>IF($W211="","",IF(INDEX('Per Invoice'!J$2:J$801,$W211)="","",INDEX('Per Invoice'!J$2:J$801,$W211)))</f>
        <v/>
      </c>
      <c r="K211" s="7">
        <f>IF($W211="","",IF(INDEX('Per Invoice'!K$2:K$801,$W211)="","",INDEX('Per Invoice'!K$2:K$801,$W211)))</f>
        <v/>
      </c>
      <c r="L211" s="14">
        <f>IF($W211="","",IF(INDEX('Per Invoice'!L$2:L$801,$W211)="","",INDEX('Per Invoice'!L$2:L$801,$W211)))</f>
        <v/>
      </c>
      <c r="M211">
        <f>IF($W211="","",IF(INDEX('Per Invoice'!M$2:M$801,$W211)="","",INDEX('Per Invoice'!M$2:M$801,$W211)))</f>
        <v/>
      </c>
      <c r="N211" s="7">
        <f>IF($W211="","",IF(INDEX('Per Invoice'!N$2:N$801,$W211)="","",INDEX('Per Invoice'!N$2:N$801,$W211)))</f>
        <v/>
      </c>
      <c r="O211" s="7">
        <f>IF($W211="","",IF(INDEX('Per Invoice'!O$2:O$801,$W211)="","",INDEX('Per Invoice'!O$2:O$801,$W211)))</f>
        <v/>
      </c>
      <c r="P211">
        <f>IF($W211="","",IF(INDEX('Per Invoice'!P$2:P$801,$W211)="","",INDEX('Per Invoice'!P$2:P$801,$W211)))</f>
        <v/>
      </c>
      <c r="Q211" s="7">
        <f>IF($W211="","",IF(INDEX('Per Invoice'!Q$2:Q$801,$W211)="","",INDEX('Per Invoice'!Q$2:Q$801,$W211)))</f>
        <v/>
      </c>
      <c r="R211" s="7">
        <f>IF($W211="","",IF(INDEX('Per Invoice'!R$2:R$801,$W211)="","",INDEX('Per Invoice'!R$2:R$801,$W211)))</f>
        <v/>
      </c>
      <c r="S211" s="7">
        <f>IF($W211="","",IF(INDEX('Per Invoice'!S$2:S$801,$W211)="","",INDEX('Per Invoice'!S$2:S$801,$W211)))</f>
        <v/>
      </c>
      <c r="T211" s="7">
        <f>IF($W211="","",IF(INDEX('Per Invoice'!T$2:T$801,$W211)="","",INDEX('Per Invoice'!T$2:T$801,$W211)))</f>
        <v/>
      </c>
      <c r="U211" s="7">
        <f>IF($W211="","",IF(INDEX('Per Invoice'!U$2:U$801,$W211)="","",INDEX('Per Invoice'!U$2:U$801,$W211)))</f>
        <v/>
      </c>
      <c r="V211" s="7">
        <f>IF($W211="","",IF(INDEX('Per Invoice'!V$2:V$801,$W211)="","",INDEX('Per Invoice'!V$2:V$801,$W211)))</f>
        <v/>
      </c>
      <c r="W211" s="16">
        <f>IFERROR(MATCH(Settings!$C$26&amp;"|"&amp;ROWS($W$2:$W211),'Per Invoice'!$X$2:$X$801,0),"")</f>
        <v/>
      </c>
    </row>
    <row r="212">
      <c r="A212">
        <f>IF($W212="","",IF(INDEX('Per Invoice'!A$2:A$801,$W212)="","",INDEX('Per Invoice'!A$2:A$801,$W212)))</f>
        <v/>
      </c>
      <c r="B212">
        <f>IF($W212="","",IF(INDEX('Per Invoice'!B$2:B$801,$W212)="","",INDEX('Per Invoice'!B$2:B$801,$W212)))</f>
        <v/>
      </c>
      <c r="C212">
        <f>IF($W212="","",IF(INDEX('Per Invoice'!C$2:C$801,$W212)="","",INDEX('Per Invoice'!C$2:C$801,$W212)))</f>
        <v/>
      </c>
      <c r="D212">
        <f>IF($W212="","",IF(INDEX('Per Invoice'!D$2:D$801,$W212)="","",INDEX('Per Invoice'!D$2:D$801,$W212)))</f>
        <v/>
      </c>
      <c r="E212">
        <f>IF($W212="","",IF(INDEX('Per Invoice'!E$2:E$801,$W212)="","",INDEX('Per Invoice'!E$2:E$801,$W212)))</f>
        <v/>
      </c>
      <c r="F212">
        <f>IF($W212="","",IF(INDEX('Per Invoice'!F$2:F$801,$W212)="","",INDEX('Per Invoice'!F$2:F$801,$W212)))</f>
        <v/>
      </c>
      <c r="G212">
        <f>IF($W212="","",IF(INDEX('Per Invoice'!G$2:G$801,$W212)="","",INDEX('Per Invoice'!G$2:G$801,$W212)))</f>
        <v/>
      </c>
      <c r="H212">
        <f>IF($W212="","",IF(INDEX('Per Invoice'!H$2:H$801,$W212)="","",INDEX('Per Invoice'!H$2:H$801,$W212)))</f>
        <v/>
      </c>
      <c r="I212">
        <f>IF($W212="","",IF(INDEX('Per Invoice'!I$2:I$801,$W212)="","",INDEX('Per Invoice'!I$2:I$801,$W212)))</f>
        <v/>
      </c>
      <c r="J212">
        <f>IF($W212="","",IF(INDEX('Per Invoice'!J$2:J$801,$W212)="","",INDEX('Per Invoice'!J$2:J$801,$W212)))</f>
        <v/>
      </c>
      <c r="K212" s="7">
        <f>IF($W212="","",IF(INDEX('Per Invoice'!K$2:K$801,$W212)="","",INDEX('Per Invoice'!K$2:K$801,$W212)))</f>
        <v/>
      </c>
      <c r="L212" s="14">
        <f>IF($W212="","",IF(INDEX('Per Invoice'!L$2:L$801,$W212)="","",INDEX('Per Invoice'!L$2:L$801,$W212)))</f>
        <v/>
      </c>
      <c r="M212">
        <f>IF($W212="","",IF(INDEX('Per Invoice'!M$2:M$801,$W212)="","",INDEX('Per Invoice'!M$2:M$801,$W212)))</f>
        <v/>
      </c>
      <c r="N212" s="7">
        <f>IF($W212="","",IF(INDEX('Per Invoice'!N$2:N$801,$W212)="","",INDEX('Per Invoice'!N$2:N$801,$W212)))</f>
        <v/>
      </c>
      <c r="O212" s="7">
        <f>IF($W212="","",IF(INDEX('Per Invoice'!O$2:O$801,$W212)="","",INDEX('Per Invoice'!O$2:O$801,$W212)))</f>
        <v/>
      </c>
      <c r="P212">
        <f>IF($W212="","",IF(INDEX('Per Invoice'!P$2:P$801,$W212)="","",INDEX('Per Invoice'!P$2:P$801,$W212)))</f>
        <v/>
      </c>
      <c r="Q212" s="7">
        <f>IF($W212="","",IF(INDEX('Per Invoice'!Q$2:Q$801,$W212)="","",INDEX('Per Invoice'!Q$2:Q$801,$W212)))</f>
        <v/>
      </c>
      <c r="R212" s="7">
        <f>IF($W212="","",IF(INDEX('Per Invoice'!R$2:R$801,$W212)="","",INDEX('Per Invoice'!R$2:R$801,$W212)))</f>
        <v/>
      </c>
      <c r="S212" s="7">
        <f>IF($W212="","",IF(INDEX('Per Invoice'!S$2:S$801,$W212)="","",INDEX('Per Invoice'!S$2:S$801,$W212)))</f>
        <v/>
      </c>
      <c r="T212" s="7">
        <f>IF($W212="","",IF(INDEX('Per Invoice'!T$2:T$801,$W212)="","",INDEX('Per Invoice'!T$2:T$801,$W212)))</f>
        <v/>
      </c>
      <c r="U212" s="7">
        <f>IF($W212="","",IF(INDEX('Per Invoice'!U$2:U$801,$W212)="","",INDEX('Per Invoice'!U$2:U$801,$W212)))</f>
        <v/>
      </c>
      <c r="V212" s="7">
        <f>IF($W212="","",IF(INDEX('Per Invoice'!V$2:V$801,$W212)="","",INDEX('Per Invoice'!V$2:V$801,$W212)))</f>
        <v/>
      </c>
      <c r="W212" s="16">
        <f>IFERROR(MATCH(Settings!$C$26&amp;"|"&amp;ROWS($W$2:$W212),'Per Invoice'!$X$2:$X$801,0),"")</f>
        <v/>
      </c>
    </row>
    <row r="213">
      <c r="A213">
        <f>IF($W213="","",IF(INDEX('Per Invoice'!A$2:A$801,$W213)="","",INDEX('Per Invoice'!A$2:A$801,$W213)))</f>
        <v/>
      </c>
      <c r="B213">
        <f>IF($W213="","",IF(INDEX('Per Invoice'!B$2:B$801,$W213)="","",INDEX('Per Invoice'!B$2:B$801,$W213)))</f>
        <v/>
      </c>
      <c r="C213">
        <f>IF($W213="","",IF(INDEX('Per Invoice'!C$2:C$801,$W213)="","",INDEX('Per Invoice'!C$2:C$801,$W213)))</f>
        <v/>
      </c>
      <c r="D213">
        <f>IF($W213="","",IF(INDEX('Per Invoice'!D$2:D$801,$W213)="","",INDEX('Per Invoice'!D$2:D$801,$W213)))</f>
        <v/>
      </c>
      <c r="E213">
        <f>IF($W213="","",IF(INDEX('Per Invoice'!E$2:E$801,$W213)="","",INDEX('Per Invoice'!E$2:E$801,$W213)))</f>
        <v/>
      </c>
      <c r="F213">
        <f>IF($W213="","",IF(INDEX('Per Invoice'!F$2:F$801,$W213)="","",INDEX('Per Invoice'!F$2:F$801,$W213)))</f>
        <v/>
      </c>
      <c r="G213">
        <f>IF($W213="","",IF(INDEX('Per Invoice'!G$2:G$801,$W213)="","",INDEX('Per Invoice'!G$2:G$801,$W213)))</f>
        <v/>
      </c>
      <c r="H213">
        <f>IF($W213="","",IF(INDEX('Per Invoice'!H$2:H$801,$W213)="","",INDEX('Per Invoice'!H$2:H$801,$W213)))</f>
        <v/>
      </c>
      <c r="I213">
        <f>IF($W213="","",IF(INDEX('Per Invoice'!I$2:I$801,$W213)="","",INDEX('Per Invoice'!I$2:I$801,$W213)))</f>
        <v/>
      </c>
      <c r="J213">
        <f>IF($W213="","",IF(INDEX('Per Invoice'!J$2:J$801,$W213)="","",INDEX('Per Invoice'!J$2:J$801,$W213)))</f>
        <v/>
      </c>
      <c r="K213" s="7">
        <f>IF($W213="","",IF(INDEX('Per Invoice'!K$2:K$801,$W213)="","",INDEX('Per Invoice'!K$2:K$801,$W213)))</f>
        <v/>
      </c>
      <c r="L213" s="14">
        <f>IF($W213="","",IF(INDEX('Per Invoice'!L$2:L$801,$W213)="","",INDEX('Per Invoice'!L$2:L$801,$W213)))</f>
        <v/>
      </c>
      <c r="M213">
        <f>IF($W213="","",IF(INDEX('Per Invoice'!M$2:M$801,$W213)="","",INDEX('Per Invoice'!M$2:M$801,$W213)))</f>
        <v/>
      </c>
      <c r="N213" s="7">
        <f>IF($W213="","",IF(INDEX('Per Invoice'!N$2:N$801,$W213)="","",INDEX('Per Invoice'!N$2:N$801,$W213)))</f>
        <v/>
      </c>
      <c r="O213" s="7">
        <f>IF($W213="","",IF(INDEX('Per Invoice'!O$2:O$801,$W213)="","",INDEX('Per Invoice'!O$2:O$801,$W213)))</f>
        <v/>
      </c>
      <c r="P213">
        <f>IF($W213="","",IF(INDEX('Per Invoice'!P$2:P$801,$W213)="","",INDEX('Per Invoice'!P$2:P$801,$W213)))</f>
        <v/>
      </c>
      <c r="Q213" s="7">
        <f>IF($W213="","",IF(INDEX('Per Invoice'!Q$2:Q$801,$W213)="","",INDEX('Per Invoice'!Q$2:Q$801,$W213)))</f>
        <v/>
      </c>
      <c r="R213" s="7">
        <f>IF($W213="","",IF(INDEX('Per Invoice'!R$2:R$801,$W213)="","",INDEX('Per Invoice'!R$2:R$801,$W213)))</f>
        <v/>
      </c>
      <c r="S213" s="7">
        <f>IF($W213="","",IF(INDEX('Per Invoice'!S$2:S$801,$W213)="","",INDEX('Per Invoice'!S$2:S$801,$W213)))</f>
        <v/>
      </c>
      <c r="T213" s="7">
        <f>IF($W213="","",IF(INDEX('Per Invoice'!T$2:T$801,$W213)="","",INDEX('Per Invoice'!T$2:T$801,$W213)))</f>
        <v/>
      </c>
      <c r="U213" s="7">
        <f>IF($W213="","",IF(INDEX('Per Invoice'!U$2:U$801,$W213)="","",INDEX('Per Invoice'!U$2:U$801,$W213)))</f>
        <v/>
      </c>
      <c r="V213" s="7">
        <f>IF($W213="","",IF(INDEX('Per Invoice'!V$2:V$801,$W213)="","",INDEX('Per Invoice'!V$2:V$801,$W213)))</f>
        <v/>
      </c>
      <c r="W213" s="16">
        <f>IFERROR(MATCH(Settings!$C$26&amp;"|"&amp;ROWS($W$2:$W213),'Per Invoice'!$X$2:$X$801,0),"")</f>
        <v/>
      </c>
    </row>
    <row r="214">
      <c r="A214">
        <f>IF($W214="","",IF(INDEX('Per Invoice'!A$2:A$801,$W214)="","",INDEX('Per Invoice'!A$2:A$801,$W214)))</f>
        <v/>
      </c>
      <c r="B214">
        <f>IF($W214="","",IF(INDEX('Per Invoice'!B$2:B$801,$W214)="","",INDEX('Per Invoice'!B$2:B$801,$W214)))</f>
        <v/>
      </c>
      <c r="C214">
        <f>IF($W214="","",IF(INDEX('Per Invoice'!C$2:C$801,$W214)="","",INDEX('Per Invoice'!C$2:C$801,$W214)))</f>
        <v/>
      </c>
      <c r="D214">
        <f>IF($W214="","",IF(INDEX('Per Invoice'!D$2:D$801,$W214)="","",INDEX('Per Invoice'!D$2:D$801,$W214)))</f>
        <v/>
      </c>
      <c r="E214">
        <f>IF($W214="","",IF(INDEX('Per Invoice'!E$2:E$801,$W214)="","",INDEX('Per Invoice'!E$2:E$801,$W214)))</f>
        <v/>
      </c>
      <c r="F214">
        <f>IF($W214="","",IF(INDEX('Per Invoice'!F$2:F$801,$W214)="","",INDEX('Per Invoice'!F$2:F$801,$W214)))</f>
        <v/>
      </c>
      <c r="G214">
        <f>IF($W214="","",IF(INDEX('Per Invoice'!G$2:G$801,$W214)="","",INDEX('Per Invoice'!G$2:G$801,$W214)))</f>
        <v/>
      </c>
      <c r="H214">
        <f>IF($W214="","",IF(INDEX('Per Invoice'!H$2:H$801,$W214)="","",INDEX('Per Invoice'!H$2:H$801,$W214)))</f>
        <v/>
      </c>
      <c r="I214">
        <f>IF($W214="","",IF(INDEX('Per Invoice'!I$2:I$801,$W214)="","",INDEX('Per Invoice'!I$2:I$801,$W214)))</f>
        <v/>
      </c>
      <c r="J214">
        <f>IF($W214="","",IF(INDEX('Per Invoice'!J$2:J$801,$W214)="","",INDEX('Per Invoice'!J$2:J$801,$W214)))</f>
        <v/>
      </c>
      <c r="K214" s="7">
        <f>IF($W214="","",IF(INDEX('Per Invoice'!K$2:K$801,$W214)="","",INDEX('Per Invoice'!K$2:K$801,$W214)))</f>
        <v/>
      </c>
      <c r="L214" s="14">
        <f>IF($W214="","",IF(INDEX('Per Invoice'!L$2:L$801,$W214)="","",INDEX('Per Invoice'!L$2:L$801,$W214)))</f>
        <v/>
      </c>
      <c r="M214">
        <f>IF($W214="","",IF(INDEX('Per Invoice'!M$2:M$801,$W214)="","",INDEX('Per Invoice'!M$2:M$801,$W214)))</f>
        <v/>
      </c>
      <c r="N214" s="7">
        <f>IF($W214="","",IF(INDEX('Per Invoice'!N$2:N$801,$W214)="","",INDEX('Per Invoice'!N$2:N$801,$W214)))</f>
        <v/>
      </c>
      <c r="O214" s="7">
        <f>IF($W214="","",IF(INDEX('Per Invoice'!O$2:O$801,$W214)="","",INDEX('Per Invoice'!O$2:O$801,$W214)))</f>
        <v/>
      </c>
      <c r="P214">
        <f>IF($W214="","",IF(INDEX('Per Invoice'!P$2:P$801,$W214)="","",INDEX('Per Invoice'!P$2:P$801,$W214)))</f>
        <v/>
      </c>
      <c r="Q214" s="7">
        <f>IF($W214="","",IF(INDEX('Per Invoice'!Q$2:Q$801,$W214)="","",INDEX('Per Invoice'!Q$2:Q$801,$W214)))</f>
        <v/>
      </c>
      <c r="R214" s="7">
        <f>IF($W214="","",IF(INDEX('Per Invoice'!R$2:R$801,$W214)="","",INDEX('Per Invoice'!R$2:R$801,$W214)))</f>
        <v/>
      </c>
      <c r="S214" s="7">
        <f>IF($W214="","",IF(INDEX('Per Invoice'!S$2:S$801,$W214)="","",INDEX('Per Invoice'!S$2:S$801,$W214)))</f>
        <v/>
      </c>
      <c r="T214" s="7">
        <f>IF($W214="","",IF(INDEX('Per Invoice'!T$2:T$801,$W214)="","",INDEX('Per Invoice'!T$2:T$801,$W214)))</f>
        <v/>
      </c>
      <c r="U214" s="7">
        <f>IF($W214="","",IF(INDEX('Per Invoice'!U$2:U$801,$W214)="","",INDEX('Per Invoice'!U$2:U$801,$W214)))</f>
        <v/>
      </c>
      <c r="V214" s="7">
        <f>IF($W214="","",IF(INDEX('Per Invoice'!V$2:V$801,$W214)="","",INDEX('Per Invoice'!V$2:V$801,$W214)))</f>
        <v/>
      </c>
      <c r="W214" s="16">
        <f>IFERROR(MATCH(Settings!$C$26&amp;"|"&amp;ROWS($W$2:$W214),'Per Invoice'!$X$2:$X$801,0),"")</f>
        <v/>
      </c>
    </row>
    <row r="215">
      <c r="A215">
        <f>IF($W215="","",IF(INDEX('Per Invoice'!A$2:A$801,$W215)="","",INDEX('Per Invoice'!A$2:A$801,$W215)))</f>
        <v/>
      </c>
      <c r="B215">
        <f>IF($W215="","",IF(INDEX('Per Invoice'!B$2:B$801,$W215)="","",INDEX('Per Invoice'!B$2:B$801,$W215)))</f>
        <v/>
      </c>
      <c r="C215">
        <f>IF($W215="","",IF(INDEX('Per Invoice'!C$2:C$801,$W215)="","",INDEX('Per Invoice'!C$2:C$801,$W215)))</f>
        <v/>
      </c>
      <c r="D215">
        <f>IF($W215="","",IF(INDEX('Per Invoice'!D$2:D$801,$W215)="","",INDEX('Per Invoice'!D$2:D$801,$W215)))</f>
        <v/>
      </c>
      <c r="E215">
        <f>IF($W215="","",IF(INDEX('Per Invoice'!E$2:E$801,$W215)="","",INDEX('Per Invoice'!E$2:E$801,$W215)))</f>
        <v/>
      </c>
      <c r="F215">
        <f>IF($W215="","",IF(INDEX('Per Invoice'!F$2:F$801,$W215)="","",INDEX('Per Invoice'!F$2:F$801,$W215)))</f>
        <v/>
      </c>
      <c r="G215">
        <f>IF($W215="","",IF(INDEX('Per Invoice'!G$2:G$801,$W215)="","",INDEX('Per Invoice'!G$2:G$801,$W215)))</f>
        <v/>
      </c>
      <c r="H215">
        <f>IF($W215="","",IF(INDEX('Per Invoice'!H$2:H$801,$W215)="","",INDEX('Per Invoice'!H$2:H$801,$W215)))</f>
        <v/>
      </c>
      <c r="I215">
        <f>IF($W215="","",IF(INDEX('Per Invoice'!I$2:I$801,$W215)="","",INDEX('Per Invoice'!I$2:I$801,$W215)))</f>
        <v/>
      </c>
      <c r="J215">
        <f>IF($W215="","",IF(INDEX('Per Invoice'!J$2:J$801,$W215)="","",INDEX('Per Invoice'!J$2:J$801,$W215)))</f>
        <v/>
      </c>
      <c r="K215" s="7">
        <f>IF($W215="","",IF(INDEX('Per Invoice'!K$2:K$801,$W215)="","",INDEX('Per Invoice'!K$2:K$801,$W215)))</f>
        <v/>
      </c>
      <c r="L215" s="14">
        <f>IF($W215="","",IF(INDEX('Per Invoice'!L$2:L$801,$W215)="","",INDEX('Per Invoice'!L$2:L$801,$W215)))</f>
        <v/>
      </c>
      <c r="M215">
        <f>IF($W215="","",IF(INDEX('Per Invoice'!M$2:M$801,$W215)="","",INDEX('Per Invoice'!M$2:M$801,$W215)))</f>
        <v/>
      </c>
      <c r="N215" s="7">
        <f>IF($W215="","",IF(INDEX('Per Invoice'!N$2:N$801,$W215)="","",INDEX('Per Invoice'!N$2:N$801,$W215)))</f>
        <v/>
      </c>
      <c r="O215" s="7">
        <f>IF($W215="","",IF(INDEX('Per Invoice'!O$2:O$801,$W215)="","",INDEX('Per Invoice'!O$2:O$801,$W215)))</f>
        <v/>
      </c>
      <c r="P215">
        <f>IF($W215="","",IF(INDEX('Per Invoice'!P$2:P$801,$W215)="","",INDEX('Per Invoice'!P$2:P$801,$W215)))</f>
        <v/>
      </c>
      <c r="Q215" s="7">
        <f>IF($W215="","",IF(INDEX('Per Invoice'!Q$2:Q$801,$W215)="","",INDEX('Per Invoice'!Q$2:Q$801,$W215)))</f>
        <v/>
      </c>
      <c r="R215" s="7">
        <f>IF($W215="","",IF(INDEX('Per Invoice'!R$2:R$801,$W215)="","",INDEX('Per Invoice'!R$2:R$801,$W215)))</f>
        <v/>
      </c>
      <c r="S215" s="7">
        <f>IF($W215="","",IF(INDEX('Per Invoice'!S$2:S$801,$W215)="","",INDEX('Per Invoice'!S$2:S$801,$W215)))</f>
        <v/>
      </c>
      <c r="T215" s="7">
        <f>IF($W215="","",IF(INDEX('Per Invoice'!T$2:T$801,$W215)="","",INDEX('Per Invoice'!T$2:T$801,$W215)))</f>
        <v/>
      </c>
      <c r="U215" s="7">
        <f>IF($W215="","",IF(INDEX('Per Invoice'!U$2:U$801,$W215)="","",INDEX('Per Invoice'!U$2:U$801,$W215)))</f>
        <v/>
      </c>
      <c r="V215" s="7">
        <f>IF($W215="","",IF(INDEX('Per Invoice'!V$2:V$801,$W215)="","",INDEX('Per Invoice'!V$2:V$801,$W215)))</f>
        <v/>
      </c>
      <c r="W215" s="16">
        <f>IFERROR(MATCH(Settings!$C$26&amp;"|"&amp;ROWS($W$2:$W215),'Per Invoice'!$X$2:$X$801,0),"")</f>
        <v/>
      </c>
    </row>
    <row r="216">
      <c r="A216">
        <f>IF($W216="","",IF(INDEX('Per Invoice'!A$2:A$801,$W216)="","",INDEX('Per Invoice'!A$2:A$801,$W216)))</f>
        <v/>
      </c>
      <c r="B216">
        <f>IF($W216="","",IF(INDEX('Per Invoice'!B$2:B$801,$W216)="","",INDEX('Per Invoice'!B$2:B$801,$W216)))</f>
        <v/>
      </c>
      <c r="C216">
        <f>IF($W216="","",IF(INDEX('Per Invoice'!C$2:C$801,$W216)="","",INDEX('Per Invoice'!C$2:C$801,$W216)))</f>
        <v/>
      </c>
      <c r="D216">
        <f>IF($W216="","",IF(INDEX('Per Invoice'!D$2:D$801,$W216)="","",INDEX('Per Invoice'!D$2:D$801,$W216)))</f>
        <v/>
      </c>
      <c r="E216">
        <f>IF($W216="","",IF(INDEX('Per Invoice'!E$2:E$801,$W216)="","",INDEX('Per Invoice'!E$2:E$801,$W216)))</f>
        <v/>
      </c>
      <c r="F216">
        <f>IF($W216="","",IF(INDEX('Per Invoice'!F$2:F$801,$W216)="","",INDEX('Per Invoice'!F$2:F$801,$W216)))</f>
        <v/>
      </c>
      <c r="G216">
        <f>IF($W216="","",IF(INDEX('Per Invoice'!G$2:G$801,$W216)="","",INDEX('Per Invoice'!G$2:G$801,$W216)))</f>
        <v/>
      </c>
      <c r="H216">
        <f>IF($W216="","",IF(INDEX('Per Invoice'!H$2:H$801,$W216)="","",INDEX('Per Invoice'!H$2:H$801,$W216)))</f>
        <v/>
      </c>
      <c r="I216">
        <f>IF($W216="","",IF(INDEX('Per Invoice'!I$2:I$801,$W216)="","",INDEX('Per Invoice'!I$2:I$801,$W216)))</f>
        <v/>
      </c>
      <c r="J216">
        <f>IF($W216="","",IF(INDEX('Per Invoice'!J$2:J$801,$W216)="","",INDEX('Per Invoice'!J$2:J$801,$W216)))</f>
        <v/>
      </c>
      <c r="K216" s="7">
        <f>IF($W216="","",IF(INDEX('Per Invoice'!K$2:K$801,$W216)="","",INDEX('Per Invoice'!K$2:K$801,$W216)))</f>
        <v/>
      </c>
      <c r="L216" s="14">
        <f>IF($W216="","",IF(INDEX('Per Invoice'!L$2:L$801,$W216)="","",INDEX('Per Invoice'!L$2:L$801,$W216)))</f>
        <v/>
      </c>
      <c r="M216">
        <f>IF($W216="","",IF(INDEX('Per Invoice'!M$2:M$801,$W216)="","",INDEX('Per Invoice'!M$2:M$801,$W216)))</f>
        <v/>
      </c>
      <c r="N216" s="7">
        <f>IF($W216="","",IF(INDEX('Per Invoice'!N$2:N$801,$W216)="","",INDEX('Per Invoice'!N$2:N$801,$W216)))</f>
        <v/>
      </c>
      <c r="O216" s="7">
        <f>IF($W216="","",IF(INDEX('Per Invoice'!O$2:O$801,$W216)="","",INDEX('Per Invoice'!O$2:O$801,$W216)))</f>
        <v/>
      </c>
      <c r="P216">
        <f>IF($W216="","",IF(INDEX('Per Invoice'!P$2:P$801,$W216)="","",INDEX('Per Invoice'!P$2:P$801,$W216)))</f>
        <v/>
      </c>
      <c r="Q216" s="7">
        <f>IF($W216="","",IF(INDEX('Per Invoice'!Q$2:Q$801,$W216)="","",INDEX('Per Invoice'!Q$2:Q$801,$W216)))</f>
        <v/>
      </c>
      <c r="R216" s="7">
        <f>IF($W216="","",IF(INDEX('Per Invoice'!R$2:R$801,$W216)="","",INDEX('Per Invoice'!R$2:R$801,$W216)))</f>
        <v/>
      </c>
      <c r="S216" s="7">
        <f>IF($W216="","",IF(INDEX('Per Invoice'!S$2:S$801,$W216)="","",INDEX('Per Invoice'!S$2:S$801,$W216)))</f>
        <v/>
      </c>
      <c r="T216" s="7">
        <f>IF($W216="","",IF(INDEX('Per Invoice'!T$2:T$801,$W216)="","",INDEX('Per Invoice'!T$2:T$801,$W216)))</f>
        <v/>
      </c>
      <c r="U216" s="7">
        <f>IF($W216="","",IF(INDEX('Per Invoice'!U$2:U$801,$W216)="","",INDEX('Per Invoice'!U$2:U$801,$W216)))</f>
        <v/>
      </c>
      <c r="V216" s="7">
        <f>IF($W216="","",IF(INDEX('Per Invoice'!V$2:V$801,$W216)="","",INDEX('Per Invoice'!V$2:V$801,$W216)))</f>
        <v/>
      </c>
      <c r="W216" s="16">
        <f>IFERROR(MATCH(Settings!$C$26&amp;"|"&amp;ROWS($W$2:$W216),'Per Invoice'!$X$2:$X$801,0),"")</f>
        <v/>
      </c>
    </row>
    <row r="217">
      <c r="A217">
        <f>IF($W217="","",IF(INDEX('Per Invoice'!A$2:A$801,$W217)="","",INDEX('Per Invoice'!A$2:A$801,$W217)))</f>
        <v/>
      </c>
      <c r="B217">
        <f>IF($W217="","",IF(INDEX('Per Invoice'!B$2:B$801,$W217)="","",INDEX('Per Invoice'!B$2:B$801,$W217)))</f>
        <v/>
      </c>
      <c r="C217">
        <f>IF($W217="","",IF(INDEX('Per Invoice'!C$2:C$801,$W217)="","",INDEX('Per Invoice'!C$2:C$801,$W217)))</f>
        <v/>
      </c>
      <c r="D217">
        <f>IF($W217="","",IF(INDEX('Per Invoice'!D$2:D$801,$W217)="","",INDEX('Per Invoice'!D$2:D$801,$W217)))</f>
        <v/>
      </c>
      <c r="E217">
        <f>IF($W217="","",IF(INDEX('Per Invoice'!E$2:E$801,$W217)="","",INDEX('Per Invoice'!E$2:E$801,$W217)))</f>
        <v/>
      </c>
      <c r="F217">
        <f>IF($W217="","",IF(INDEX('Per Invoice'!F$2:F$801,$W217)="","",INDEX('Per Invoice'!F$2:F$801,$W217)))</f>
        <v/>
      </c>
      <c r="G217">
        <f>IF($W217="","",IF(INDEX('Per Invoice'!G$2:G$801,$W217)="","",INDEX('Per Invoice'!G$2:G$801,$W217)))</f>
        <v/>
      </c>
      <c r="H217">
        <f>IF($W217="","",IF(INDEX('Per Invoice'!H$2:H$801,$W217)="","",INDEX('Per Invoice'!H$2:H$801,$W217)))</f>
        <v/>
      </c>
      <c r="I217">
        <f>IF($W217="","",IF(INDEX('Per Invoice'!I$2:I$801,$W217)="","",INDEX('Per Invoice'!I$2:I$801,$W217)))</f>
        <v/>
      </c>
      <c r="J217">
        <f>IF($W217="","",IF(INDEX('Per Invoice'!J$2:J$801,$W217)="","",INDEX('Per Invoice'!J$2:J$801,$W217)))</f>
        <v/>
      </c>
      <c r="K217" s="7">
        <f>IF($W217="","",IF(INDEX('Per Invoice'!K$2:K$801,$W217)="","",INDEX('Per Invoice'!K$2:K$801,$W217)))</f>
        <v/>
      </c>
      <c r="L217" s="14">
        <f>IF($W217="","",IF(INDEX('Per Invoice'!L$2:L$801,$W217)="","",INDEX('Per Invoice'!L$2:L$801,$W217)))</f>
        <v/>
      </c>
      <c r="M217">
        <f>IF($W217="","",IF(INDEX('Per Invoice'!M$2:M$801,$W217)="","",INDEX('Per Invoice'!M$2:M$801,$W217)))</f>
        <v/>
      </c>
      <c r="N217" s="7">
        <f>IF($W217="","",IF(INDEX('Per Invoice'!N$2:N$801,$W217)="","",INDEX('Per Invoice'!N$2:N$801,$W217)))</f>
        <v/>
      </c>
      <c r="O217" s="7">
        <f>IF($W217="","",IF(INDEX('Per Invoice'!O$2:O$801,$W217)="","",INDEX('Per Invoice'!O$2:O$801,$W217)))</f>
        <v/>
      </c>
      <c r="P217">
        <f>IF($W217="","",IF(INDEX('Per Invoice'!P$2:P$801,$W217)="","",INDEX('Per Invoice'!P$2:P$801,$W217)))</f>
        <v/>
      </c>
      <c r="Q217" s="7">
        <f>IF($W217="","",IF(INDEX('Per Invoice'!Q$2:Q$801,$W217)="","",INDEX('Per Invoice'!Q$2:Q$801,$W217)))</f>
        <v/>
      </c>
      <c r="R217" s="7">
        <f>IF($W217="","",IF(INDEX('Per Invoice'!R$2:R$801,$W217)="","",INDEX('Per Invoice'!R$2:R$801,$W217)))</f>
        <v/>
      </c>
      <c r="S217" s="7">
        <f>IF($W217="","",IF(INDEX('Per Invoice'!S$2:S$801,$W217)="","",INDEX('Per Invoice'!S$2:S$801,$W217)))</f>
        <v/>
      </c>
      <c r="T217" s="7">
        <f>IF($W217="","",IF(INDEX('Per Invoice'!T$2:T$801,$W217)="","",INDEX('Per Invoice'!T$2:T$801,$W217)))</f>
        <v/>
      </c>
      <c r="U217" s="7">
        <f>IF($W217="","",IF(INDEX('Per Invoice'!U$2:U$801,$W217)="","",INDEX('Per Invoice'!U$2:U$801,$W217)))</f>
        <v/>
      </c>
      <c r="V217" s="7">
        <f>IF($W217="","",IF(INDEX('Per Invoice'!V$2:V$801,$W217)="","",INDEX('Per Invoice'!V$2:V$801,$W217)))</f>
        <v/>
      </c>
      <c r="W217" s="16">
        <f>IFERROR(MATCH(Settings!$C$26&amp;"|"&amp;ROWS($W$2:$W217),'Per Invoice'!$X$2:$X$801,0),"")</f>
        <v/>
      </c>
    </row>
    <row r="218">
      <c r="A218">
        <f>IF($W218="","",IF(INDEX('Per Invoice'!A$2:A$801,$W218)="","",INDEX('Per Invoice'!A$2:A$801,$W218)))</f>
        <v/>
      </c>
      <c r="B218">
        <f>IF($W218="","",IF(INDEX('Per Invoice'!B$2:B$801,$W218)="","",INDEX('Per Invoice'!B$2:B$801,$W218)))</f>
        <v/>
      </c>
      <c r="C218">
        <f>IF($W218="","",IF(INDEX('Per Invoice'!C$2:C$801,$W218)="","",INDEX('Per Invoice'!C$2:C$801,$W218)))</f>
        <v/>
      </c>
      <c r="D218">
        <f>IF($W218="","",IF(INDEX('Per Invoice'!D$2:D$801,$W218)="","",INDEX('Per Invoice'!D$2:D$801,$W218)))</f>
        <v/>
      </c>
      <c r="E218">
        <f>IF($W218="","",IF(INDEX('Per Invoice'!E$2:E$801,$W218)="","",INDEX('Per Invoice'!E$2:E$801,$W218)))</f>
        <v/>
      </c>
      <c r="F218">
        <f>IF($W218="","",IF(INDEX('Per Invoice'!F$2:F$801,$W218)="","",INDEX('Per Invoice'!F$2:F$801,$W218)))</f>
        <v/>
      </c>
      <c r="G218">
        <f>IF($W218="","",IF(INDEX('Per Invoice'!G$2:G$801,$W218)="","",INDEX('Per Invoice'!G$2:G$801,$W218)))</f>
        <v/>
      </c>
      <c r="H218">
        <f>IF($W218="","",IF(INDEX('Per Invoice'!H$2:H$801,$W218)="","",INDEX('Per Invoice'!H$2:H$801,$W218)))</f>
        <v/>
      </c>
      <c r="I218">
        <f>IF($W218="","",IF(INDEX('Per Invoice'!I$2:I$801,$W218)="","",INDEX('Per Invoice'!I$2:I$801,$W218)))</f>
        <v/>
      </c>
      <c r="J218">
        <f>IF($W218="","",IF(INDEX('Per Invoice'!J$2:J$801,$W218)="","",INDEX('Per Invoice'!J$2:J$801,$W218)))</f>
        <v/>
      </c>
      <c r="K218" s="7">
        <f>IF($W218="","",IF(INDEX('Per Invoice'!K$2:K$801,$W218)="","",INDEX('Per Invoice'!K$2:K$801,$W218)))</f>
        <v/>
      </c>
      <c r="L218" s="14">
        <f>IF($W218="","",IF(INDEX('Per Invoice'!L$2:L$801,$W218)="","",INDEX('Per Invoice'!L$2:L$801,$W218)))</f>
        <v/>
      </c>
      <c r="M218">
        <f>IF($W218="","",IF(INDEX('Per Invoice'!M$2:M$801,$W218)="","",INDEX('Per Invoice'!M$2:M$801,$W218)))</f>
        <v/>
      </c>
      <c r="N218" s="7">
        <f>IF($W218="","",IF(INDEX('Per Invoice'!N$2:N$801,$W218)="","",INDEX('Per Invoice'!N$2:N$801,$W218)))</f>
        <v/>
      </c>
      <c r="O218" s="7">
        <f>IF($W218="","",IF(INDEX('Per Invoice'!O$2:O$801,$W218)="","",INDEX('Per Invoice'!O$2:O$801,$W218)))</f>
        <v/>
      </c>
      <c r="P218">
        <f>IF($W218="","",IF(INDEX('Per Invoice'!P$2:P$801,$W218)="","",INDEX('Per Invoice'!P$2:P$801,$W218)))</f>
        <v/>
      </c>
      <c r="Q218" s="7">
        <f>IF($W218="","",IF(INDEX('Per Invoice'!Q$2:Q$801,$W218)="","",INDEX('Per Invoice'!Q$2:Q$801,$W218)))</f>
        <v/>
      </c>
      <c r="R218" s="7">
        <f>IF($W218="","",IF(INDEX('Per Invoice'!R$2:R$801,$W218)="","",INDEX('Per Invoice'!R$2:R$801,$W218)))</f>
        <v/>
      </c>
      <c r="S218" s="7">
        <f>IF($W218="","",IF(INDEX('Per Invoice'!S$2:S$801,$W218)="","",INDEX('Per Invoice'!S$2:S$801,$W218)))</f>
        <v/>
      </c>
      <c r="T218" s="7">
        <f>IF($W218="","",IF(INDEX('Per Invoice'!T$2:T$801,$W218)="","",INDEX('Per Invoice'!T$2:T$801,$W218)))</f>
        <v/>
      </c>
      <c r="U218" s="7">
        <f>IF($W218="","",IF(INDEX('Per Invoice'!U$2:U$801,$W218)="","",INDEX('Per Invoice'!U$2:U$801,$W218)))</f>
        <v/>
      </c>
      <c r="V218" s="7">
        <f>IF($W218="","",IF(INDEX('Per Invoice'!V$2:V$801,$W218)="","",INDEX('Per Invoice'!V$2:V$801,$W218)))</f>
        <v/>
      </c>
      <c r="W218" s="16">
        <f>IFERROR(MATCH(Settings!$C$26&amp;"|"&amp;ROWS($W$2:$W218),'Per Invoice'!$X$2:$X$801,0),"")</f>
        <v/>
      </c>
    </row>
    <row r="219">
      <c r="A219">
        <f>IF($W219="","",IF(INDEX('Per Invoice'!A$2:A$801,$W219)="","",INDEX('Per Invoice'!A$2:A$801,$W219)))</f>
        <v/>
      </c>
      <c r="B219">
        <f>IF($W219="","",IF(INDEX('Per Invoice'!B$2:B$801,$W219)="","",INDEX('Per Invoice'!B$2:B$801,$W219)))</f>
        <v/>
      </c>
      <c r="C219">
        <f>IF($W219="","",IF(INDEX('Per Invoice'!C$2:C$801,$W219)="","",INDEX('Per Invoice'!C$2:C$801,$W219)))</f>
        <v/>
      </c>
      <c r="D219">
        <f>IF($W219="","",IF(INDEX('Per Invoice'!D$2:D$801,$W219)="","",INDEX('Per Invoice'!D$2:D$801,$W219)))</f>
        <v/>
      </c>
      <c r="E219">
        <f>IF($W219="","",IF(INDEX('Per Invoice'!E$2:E$801,$W219)="","",INDEX('Per Invoice'!E$2:E$801,$W219)))</f>
        <v/>
      </c>
      <c r="F219">
        <f>IF($W219="","",IF(INDEX('Per Invoice'!F$2:F$801,$W219)="","",INDEX('Per Invoice'!F$2:F$801,$W219)))</f>
        <v/>
      </c>
      <c r="G219">
        <f>IF($W219="","",IF(INDEX('Per Invoice'!G$2:G$801,$W219)="","",INDEX('Per Invoice'!G$2:G$801,$W219)))</f>
        <v/>
      </c>
      <c r="H219">
        <f>IF($W219="","",IF(INDEX('Per Invoice'!H$2:H$801,$W219)="","",INDEX('Per Invoice'!H$2:H$801,$W219)))</f>
        <v/>
      </c>
      <c r="I219">
        <f>IF($W219="","",IF(INDEX('Per Invoice'!I$2:I$801,$W219)="","",INDEX('Per Invoice'!I$2:I$801,$W219)))</f>
        <v/>
      </c>
      <c r="J219">
        <f>IF($W219="","",IF(INDEX('Per Invoice'!J$2:J$801,$W219)="","",INDEX('Per Invoice'!J$2:J$801,$W219)))</f>
        <v/>
      </c>
      <c r="K219" s="7">
        <f>IF($W219="","",IF(INDEX('Per Invoice'!K$2:K$801,$W219)="","",INDEX('Per Invoice'!K$2:K$801,$W219)))</f>
        <v/>
      </c>
      <c r="L219" s="14">
        <f>IF($W219="","",IF(INDEX('Per Invoice'!L$2:L$801,$W219)="","",INDEX('Per Invoice'!L$2:L$801,$W219)))</f>
        <v/>
      </c>
      <c r="M219">
        <f>IF($W219="","",IF(INDEX('Per Invoice'!M$2:M$801,$W219)="","",INDEX('Per Invoice'!M$2:M$801,$W219)))</f>
        <v/>
      </c>
      <c r="N219" s="7">
        <f>IF($W219="","",IF(INDEX('Per Invoice'!N$2:N$801,$W219)="","",INDEX('Per Invoice'!N$2:N$801,$W219)))</f>
        <v/>
      </c>
      <c r="O219" s="7">
        <f>IF($W219="","",IF(INDEX('Per Invoice'!O$2:O$801,$W219)="","",INDEX('Per Invoice'!O$2:O$801,$W219)))</f>
        <v/>
      </c>
      <c r="P219">
        <f>IF($W219="","",IF(INDEX('Per Invoice'!P$2:P$801,$W219)="","",INDEX('Per Invoice'!P$2:P$801,$W219)))</f>
        <v/>
      </c>
      <c r="Q219" s="7">
        <f>IF($W219="","",IF(INDEX('Per Invoice'!Q$2:Q$801,$W219)="","",INDEX('Per Invoice'!Q$2:Q$801,$W219)))</f>
        <v/>
      </c>
      <c r="R219" s="7">
        <f>IF($W219="","",IF(INDEX('Per Invoice'!R$2:R$801,$W219)="","",INDEX('Per Invoice'!R$2:R$801,$W219)))</f>
        <v/>
      </c>
      <c r="S219" s="7">
        <f>IF($W219="","",IF(INDEX('Per Invoice'!S$2:S$801,$W219)="","",INDEX('Per Invoice'!S$2:S$801,$W219)))</f>
        <v/>
      </c>
      <c r="T219" s="7">
        <f>IF($W219="","",IF(INDEX('Per Invoice'!T$2:T$801,$W219)="","",INDEX('Per Invoice'!T$2:T$801,$W219)))</f>
        <v/>
      </c>
      <c r="U219" s="7">
        <f>IF($W219="","",IF(INDEX('Per Invoice'!U$2:U$801,$W219)="","",INDEX('Per Invoice'!U$2:U$801,$W219)))</f>
        <v/>
      </c>
      <c r="V219" s="7">
        <f>IF($W219="","",IF(INDEX('Per Invoice'!V$2:V$801,$W219)="","",INDEX('Per Invoice'!V$2:V$801,$W219)))</f>
        <v/>
      </c>
      <c r="W219" s="16">
        <f>IFERROR(MATCH(Settings!$C$26&amp;"|"&amp;ROWS($W$2:$W219),'Per Invoice'!$X$2:$X$801,0),"")</f>
        <v/>
      </c>
    </row>
    <row r="220">
      <c r="A220">
        <f>IF($W220="","",IF(INDEX('Per Invoice'!A$2:A$801,$W220)="","",INDEX('Per Invoice'!A$2:A$801,$W220)))</f>
        <v/>
      </c>
      <c r="B220">
        <f>IF($W220="","",IF(INDEX('Per Invoice'!B$2:B$801,$W220)="","",INDEX('Per Invoice'!B$2:B$801,$W220)))</f>
        <v/>
      </c>
      <c r="C220">
        <f>IF($W220="","",IF(INDEX('Per Invoice'!C$2:C$801,$W220)="","",INDEX('Per Invoice'!C$2:C$801,$W220)))</f>
        <v/>
      </c>
      <c r="D220">
        <f>IF($W220="","",IF(INDEX('Per Invoice'!D$2:D$801,$W220)="","",INDEX('Per Invoice'!D$2:D$801,$W220)))</f>
        <v/>
      </c>
      <c r="E220">
        <f>IF($W220="","",IF(INDEX('Per Invoice'!E$2:E$801,$W220)="","",INDEX('Per Invoice'!E$2:E$801,$W220)))</f>
        <v/>
      </c>
      <c r="F220">
        <f>IF($W220="","",IF(INDEX('Per Invoice'!F$2:F$801,$W220)="","",INDEX('Per Invoice'!F$2:F$801,$W220)))</f>
        <v/>
      </c>
      <c r="G220">
        <f>IF($W220="","",IF(INDEX('Per Invoice'!G$2:G$801,$W220)="","",INDEX('Per Invoice'!G$2:G$801,$W220)))</f>
        <v/>
      </c>
      <c r="H220">
        <f>IF($W220="","",IF(INDEX('Per Invoice'!H$2:H$801,$W220)="","",INDEX('Per Invoice'!H$2:H$801,$W220)))</f>
        <v/>
      </c>
      <c r="I220">
        <f>IF($W220="","",IF(INDEX('Per Invoice'!I$2:I$801,$W220)="","",INDEX('Per Invoice'!I$2:I$801,$W220)))</f>
        <v/>
      </c>
      <c r="J220">
        <f>IF($W220="","",IF(INDEX('Per Invoice'!J$2:J$801,$W220)="","",INDEX('Per Invoice'!J$2:J$801,$W220)))</f>
        <v/>
      </c>
      <c r="K220" s="7">
        <f>IF($W220="","",IF(INDEX('Per Invoice'!K$2:K$801,$W220)="","",INDEX('Per Invoice'!K$2:K$801,$W220)))</f>
        <v/>
      </c>
      <c r="L220" s="14">
        <f>IF($W220="","",IF(INDEX('Per Invoice'!L$2:L$801,$W220)="","",INDEX('Per Invoice'!L$2:L$801,$W220)))</f>
        <v/>
      </c>
      <c r="M220">
        <f>IF($W220="","",IF(INDEX('Per Invoice'!M$2:M$801,$W220)="","",INDEX('Per Invoice'!M$2:M$801,$W220)))</f>
        <v/>
      </c>
      <c r="N220" s="7">
        <f>IF($W220="","",IF(INDEX('Per Invoice'!N$2:N$801,$W220)="","",INDEX('Per Invoice'!N$2:N$801,$W220)))</f>
        <v/>
      </c>
      <c r="O220" s="7">
        <f>IF($W220="","",IF(INDEX('Per Invoice'!O$2:O$801,$W220)="","",INDEX('Per Invoice'!O$2:O$801,$W220)))</f>
        <v/>
      </c>
      <c r="P220">
        <f>IF($W220="","",IF(INDEX('Per Invoice'!P$2:P$801,$W220)="","",INDEX('Per Invoice'!P$2:P$801,$W220)))</f>
        <v/>
      </c>
      <c r="Q220" s="7">
        <f>IF($W220="","",IF(INDEX('Per Invoice'!Q$2:Q$801,$W220)="","",INDEX('Per Invoice'!Q$2:Q$801,$W220)))</f>
        <v/>
      </c>
      <c r="R220" s="7">
        <f>IF($W220="","",IF(INDEX('Per Invoice'!R$2:R$801,$W220)="","",INDEX('Per Invoice'!R$2:R$801,$W220)))</f>
        <v/>
      </c>
      <c r="S220" s="7">
        <f>IF($W220="","",IF(INDEX('Per Invoice'!S$2:S$801,$W220)="","",INDEX('Per Invoice'!S$2:S$801,$W220)))</f>
        <v/>
      </c>
      <c r="T220" s="7">
        <f>IF($W220="","",IF(INDEX('Per Invoice'!T$2:T$801,$W220)="","",INDEX('Per Invoice'!T$2:T$801,$W220)))</f>
        <v/>
      </c>
      <c r="U220" s="7">
        <f>IF($W220="","",IF(INDEX('Per Invoice'!U$2:U$801,$W220)="","",INDEX('Per Invoice'!U$2:U$801,$W220)))</f>
        <v/>
      </c>
      <c r="V220" s="7">
        <f>IF($W220="","",IF(INDEX('Per Invoice'!V$2:V$801,$W220)="","",INDEX('Per Invoice'!V$2:V$801,$W220)))</f>
        <v/>
      </c>
      <c r="W220" s="16">
        <f>IFERROR(MATCH(Settings!$C$26&amp;"|"&amp;ROWS($W$2:$W220),'Per Invoice'!$X$2:$X$801,0),"")</f>
        <v/>
      </c>
    </row>
    <row r="221">
      <c r="A221">
        <f>IF($W221="","",IF(INDEX('Per Invoice'!A$2:A$801,$W221)="","",INDEX('Per Invoice'!A$2:A$801,$W221)))</f>
        <v/>
      </c>
      <c r="B221">
        <f>IF($W221="","",IF(INDEX('Per Invoice'!B$2:B$801,$W221)="","",INDEX('Per Invoice'!B$2:B$801,$W221)))</f>
        <v/>
      </c>
      <c r="C221">
        <f>IF($W221="","",IF(INDEX('Per Invoice'!C$2:C$801,$W221)="","",INDEX('Per Invoice'!C$2:C$801,$W221)))</f>
        <v/>
      </c>
      <c r="D221">
        <f>IF($W221="","",IF(INDEX('Per Invoice'!D$2:D$801,$W221)="","",INDEX('Per Invoice'!D$2:D$801,$W221)))</f>
        <v/>
      </c>
      <c r="E221">
        <f>IF($W221="","",IF(INDEX('Per Invoice'!E$2:E$801,$W221)="","",INDEX('Per Invoice'!E$2:E$801,$W221)))</f>
        <v/>
      </c>
      <c r="F221">
        <f>IF($W221="","",IF(INDEX('Per Invoice'!F$2:F$801,$W221)="","",INDEX('Per Invoice'!F$2:F$801,$W221)))</f>
        <v/>
      </c>
      <c r="G221">
        <f>IF($W221="","",IF(INDEX('Per Invoice'!G$2:G$801,$W221)="","",INDEX('Per Invoice'!G$2:G$801,$W221)))</f>
        <v/>
      </c>
      <c r="H221">
        <f>IF($W221="","",IF(INDEX('Per Invoice'!H$2:H$801,$W221)="","",INDEX('Per Invoice'!H$2:H$801,$W221)))</f>
        <v/>
      </c>
      <c r="I221">
        <f>IF($W221="","",IF(INDEX('Per Invoice'!I$2:I$801,$W221)="","",INDEX('Per Invoice'!I$2:I$801,$W221)))</f>
        <v/>
      </c>
      <c r="J221">
        <f>IF($W221="","",IF(INDEX('Per Invoice'!J$2:J$801,$W221)="","",INDEX('Per Invoice'!J$2:J$801,$W221)))</f>
        <v/>
      </c>
      <c r="K221" s="7">
        <f>IF($W221="","",IF(INDEX('Per Invoice'!K$2:K$801,$W221)="","",INDEX('Per Invoice'!K$2:K$801,$W221)))</f>
        <v/>
      </c>
      <c r="L221" s="14">
        <f>IF($W221="","",IF(INDEX('Per Invoice'!L$2:L$801,$W221)="","",INDEX('Per Invoice'!L$2:L$801,$W221)))</f>
        <v/>
      </c>
      <c r="M221">
        <f>IF($W221="","",IF(INDEX('Per Invoice'!M$2:M$801,$W221)="","",INDEX('Per Invoice'!M$2:M$801,$W221)))</f>
        <v/>
      </c>
      <c r="N221" s="7">
        <f>IF($W221="","",IF(INDEX('Per Invoice'!N$2:N$801,$W221)="","",INDEX('Per Invoice'!N$2:N$801,$W221)))</f>
        <v/>
      </c>
      <c r="O221" s="7">
        <f>IF($W221="","",IF(INDEX('Per Invoice'!O$2:O$801,$W221)="","",INDEX('Per Invoice'!O$2:O$801,$W221)))</f>
        <v/>
      </c>
      <c r="P221">
        <f>IF($W221="","",IF(INDEX('Per Invoice'!P$2:P$801,$W221)="","",INDEX('Per Invoice'!P$2:P$801,$W221)))</f>
        <v/>
      </c>
      <c r="Q221" s="7">
        <f>IF($W221="","",IF(INDEX('Per Invoice'!Q$2:Q$801,$W221)="","",INDEX('Per Invoice'!Q$2:Q$801,$W221)))</f>
        <v/>
      </c>
      <c r="R221" s="7">
        <f>IF($W221="","",IF(INDEX('Per Invoice'!R$2:R$801,$W221)="","",INDEX('Per Invoice'!R$2:R$801,$W221)))</f>
        <v/>
      </c>
      <c r="S221" s="7">
        <f>IF($W221="","",IF(INDEX('Per Invoice'!S$2:S$801,$W221)="","",INDEX('Per Invoice'!S$2:S$801,$W221)))</f>
        <v/>
      </c>
      <c r="T221" s="7">
        <f>IF($W221="","",IF(INDEX('Per Invoice'!T$2:T$801,$W221)="","",INDEX('Per Invoice'!T$2:T$801,$W221)))</f>
        <v/>
      </c>
      <c r="U221" s="7">
        <f>IF($W221="","",IF(INDEX('Per Invoice'!U$2:U$801,$W221)="","",INDEX('Per Invoice'!U$2:U$801,$W221)))</f>
        <v/>
      </c>
      <c r="V221" s="7">
        <f>IF($W221="","",IF(INDEX('Per Invoice'!V$2:V$801,$W221)="","",INDEX('Per Invoice'!V$2:V$801,$W221)))</f>
        <v/>
      </c>
      <c r="W221" s="16">
        <f>IFERROR(MATCH(Settings!$C$26&amp;"|"&amp;ROWS($W$2:$W221),'Per Invoice'!$X$2:$X$801,0),"")</f>
        <v/>
      </c>
    </row>
    <row r="222">
      <c r="A222">
        <f>IF($W222="","",IF(INDEX('Per Invoice'!A$2:A$801,$W222)="","",INDEX('Per Invoice'!A$2:A$801,$W222)))</f>
        <v/>
      </c>
      <c r="B222">
        <f>IF($W222="","",IF(INDEX('Per Invoice'!B$2:B$801,$W222)="","",INDEX('Per Invoice'!B$2:B$801,$W222)))</f>
        <v/>
      </c>
      <c r="C222">
        <f>IF($W222="","",IF(INDEX('Per Invoice'!C$2:C$801,$W222)="","",INDEX('Per Invoice'!C$2:C$801,$W222)))</f>
        <v/>
      </c>
      <c r="D222">
        <f>IF($W222="","",IF(INDEX('Per Invoice'!D$2:D$801,$W222)="","",INDEX('Per Invoice'!D$2:D$801,$W222)))</f>
        <v/>
      </c>
      <c r="E222">
        <f>IF($W222="","",IF(INDEX('Per Invoice'!E$2:E$801,$W222)="","",INDEX('Per Invoice'!E$2:E$801,$W222)))</f>
        <v/>
      </c>
      <c r="F222">
        <f>IF($W222="","",IF(INDEX('Per Invoice'!F$2:F$801,$W222)="","",INDEX('Per Invoice'!F$2:F$801,$W222)))</f>
        <v/>
      </c>
      <c r="G222">
        <f>IF($W222="","",IF(INDEX('Per Invoice'!G$2:G$801,$W222)="","",INDEX('Per Invoice'!G$2:G$801,$W222)))</f>
        <v/>
      </c>
      <c r="H222">
        <f>IF($W222="","",IF(INDEX('Per Invoice'!H$2:H$801,$W222)="","",INDEX('Per Invoice'!H$2:H$801,$W222)))</f>
        <v/>
      </c>
      <c r="I222">
        <f>IF($W222="","",IF(INDEX('Per Invoice'!I$2:I$801,$W222)="","",INDEX('Per Invoice'!I$2:I$801,$W222)))</f>
        <v/>
      </c>
      <c r="J222">
        <f>IF($W222="","",IF(INDEX('Per Invoice'!J$2:J$801,$W222)="","",INDEX('Per Invoice'!J$2:J$801,$W222)))</f>
        <v/>
      </c>
      <c r="K222" s="7">
        <f>IF($W222="","",IF(INDEX('Per Invoice'!K$2:K$801,$W222)="","",INDEX('Per Invoice'!K$2:K$801,$W222)))</f>
        <v/>
      </c>
      <c r="L222" s="14">
        <f>IF($W222="","",IF(INDEX('Per Invoice'!L$2:L$801,$W222)="","",INDEX('Per Invoice'!L$2:L$801,$W222)))</f>
        <v/>
      </c>
      <c r="M222">
        <f>IF($W222="","",IF(INDEX('Per Invoice'!M$2:M$801,$W222)="","",INDEX('Per Invoice'!M$2:M$801,$W222)))</f>
        <v/>
      </c>
      <c r="N222" s="7">
        <f>IF($W222="","",IF(INDEX('Per Invoice'!N$2:N$801,$W222)="","",INDEX('Per Invoice'!N$2:N$801,$W222)))</f>
        <v/>
      </c>
      <c r="O222" s="7">
        <f>IF($W222="","",IF(INDEX('Per Invoice'!O$2:O$801,$W222)="","",INDEX('Per Invoice'!O$2:O$801,$W222)))</f>
        <v/>
      </c>
      <c r="P222">
        <f>IF($W222="","",IF(INDEX('Per Invoice'!P$2:P$801,$W222)="","",INDEX('Per Invoice'!P$2:P$801,$W222)))</f>
        <v/>
      </c>
      <c r="Q222" s="7">
        <f>IF($W222="","",IF(INDEX('Per Invoice'!Q$2:Q$801,$W222)="","",INDEX('Per Invoice'!Q$2:Q$801,$W222)))</f>
        <v/>
      </c>
      <c r="R222" s="7">
        <f>IF($W222="","",IF(INDEX('Per Invoice'!R$2:R$801,$W222)="","",INDEX('Per Invoice'!R$2:R$801,$W222)))</f>
        <v/>
      </c>
      <c r="S222" s="7">
        <f>IF($W222="","",IF(INDEX('Per Invoice'!S$2:S$801,$W222)="","",INDEX('Per Invoice'!S$2:S$801,$W222)))</f>
        <v/>
      </c>
      <c r="T222" s="7">
        <f>IF($W222="","",IF(INDEX('Per Invoice'!T$2:T$801,$W222)="","",INDEX('Per Invoice'!T$2:T$801,$W222)))</f>
        <v/>
      </c>
      <c r="U222" s="7">
        <f>IF($W222="","",IF(INDEX('Per Invoice'!U$2:U$801,$W222)="","",INDEX('Per Invoice'!U$2:U$801,$W222)))</f>
        <v/>
      </c>
      <c r="V222" s="7">
        <f>IF($W222="","",IF(INDEX('Per Invoice'!V$2:V$801,$W222)="","",INDEX('Per Invoice'!V$2:V$801,$W222)))</f>
        <v/>
      </c>
      <c r="W222" s="16">
        <f>IFERROR(MATCH(Settings!$C$26&amp;"|"&amp;ROWS($W$2:$W222),'Per Invoice'!$X$2:$X$801,0),"")</f>
        <v/>
      </c>
    </row>
    <row r="223">
      <c r="A223">
        <f>IF($W223="","",IF(INDEX('Per Invoice'!A$2:A$801,$W223)="","",INDEX('Per Invoice'!A$2:A$801,$W223)))</f>
        <v/>
      </c>
      <c r="B223">
        <f>IF($W223="","",IF(INDEX('Per Invoice'!B$2:B$801,$W223)="","",INDEX('Per Invoice'!B$2:B$801,$W223)))</f>
        <v/>
      </c>
      <c r="C223">
        <f>IF($W223="","",IF(INDEX('Per Invoice'!C$2:C$801,$W223)="","",INDEX('Per Invoice'!C$2:C$801,$W223)))</f>
        <v/>
      </c>
      <c r="D223">
        <f>IF($W223="","",IF(INDEX('Per Invoice'!D$2:D$801,$W223)="","",INDEX('Per Invoice'!D$2:D$801,$W223)))</f>
        <v/>
      </c>
      <c r="E223">
        <f>IF($W223="","",IF(INDEX('Per Invoice'!E$2:E$801,$W223)="","",INDEX('Per Invoice'!E$2:E$801,$W223)))</f>
        <v/>
      </c>
      <c r="F223">
        <f>IF($W223="","",IF(INDEX('Per Invoice'!F$2:F$801,$W223)="","",INDEX('Per Invoice'!F$2:F$801,$W223)))</f>
        <v/>
      </c>
      <c r="G223">
        <f>IF($W223="","",IF(INDEX('Per Invoice'!G$2:G$801,$W223)="","",INDEX('Per Invoice'!G$2:G$801,$W223)))</f>
        <v/>
      </c>
      <c r="H223">
        <f>IF($W223="","",IF(INDEX('Per Invoice'!H$2:H$801,$W223)="","",INDEX('Per Invoice'!H$2:H$801,$W223)))</f>
        <v/>
      </c>
      <c r="I223">
        <f>IF($W223="","",IF(INDEX('Per Invoice'!I$2:I$801,$W223)="","",INDEX('Per Invoice'!I$2:I$801,$W223)))</f>
        <v/>
      </c>
      <c r="J223">
        <f>IF($W223="","",IF(INDEX('Per Invoice'!J$2:J$801,$W223)="","",INDEX('Per Invoice'!J$2:J$801,$W223)))</f>
        <v/>
      </c>
      <c r="K223" s="7">
        <f>IF($W223="","",IF(INDEX('Per Invoice'!K$2:K$801,$W223)="","",INDEX('Per Invoice'!K$2:K$801,$W223)))</f>
        <v/>
      </c>
      <c r="L223" s="14">
        <f>IF($W223="","",IF(INDEX('Per Invoice'!L$2:L$801,$W223)="","",INDEX('Per Invoice'!L$2:L$801,$W223)))</f>
        <v/>
      </c>
      <c r="M223">
        <f>IF($W223="","",IF(INDEX('Per Invoice'!M$2:M$801,$W223)="","",INDEX('Per Invoice'!M$2:M$801,$W223)))</f>
        <v/>
      </c>
      <c r="N223" s="7">
        <f>IF($W223="","",IF(INDEX('Per Invoice'!N$2:N$801,$W223)="","",INDEX('Per Invoice'!N$2:N$801,$W223)))</f>
        <v/>
      </c>
      <c r="O223" s="7">
        <f>IF($W223="","",IF(INDEX('Per Invoice'!O$2:O$801,$W223)="","",INDEX('Per Invoice'!O$2:O$801,$W223)))</f>
        <v/>
      </c>
      <c r="P223">
        <f>IF($W223="","",IF(INDEX('Per Invoice'!P$2:P$801,$W223)="","",INDEX('Per Invoice'!P$2:P$801,$W223)))</f>
        <v/>
      </c>
      <c r="Q223" s="7">
        <f>IF($W223="","",IF(INDEX('Per Invoice'!Q$2:Q$801,$W223)="","",INDEX('Per Invoice'!Q$2:Q$801,$W223)))</f>
        <v/>
      </c>
      <c r="R223" s="7">
        <f>IF($W223="","",IF(INDEX('Per Invoice'!R$2:R$801,$W223)="","",INDEX('Per Invoice'!R$2:R$801,$W223)))</f>
        <v/>
      </c>
      <c r="S223" s="7">
        <f>IF($W223="","",IF(INDEX('Per Invoice'!S$2:S$801,$W223)="","",INDEX('Per Invoice'!S$2:S$801,$W223)))</f>
        <v/>
      </c>
      <c r="T223" s="7">
        <f>IF($W223="","",IF(INDEX('Per Invoice'!T$2:T$801,$W223)="","",INDEX('Per Invoice'!T$2:T$801,$W223)))</f>
        <v/>
      </c>
      <c r="U223" s="7">
        <f>IF($W223="","",IF(INDEX('Per Invoice'!U$2:U$801,$W223)="","",INDEX('Per Invoice'!U$2:U$801,$W223)))</f>
        <v/>
      </c>
      <c r="V223" s="7">
        <f>IF($W223="","",IF(INDEX('Per Invoice'!V$2:V$801,$W223)="","",INDEX('Per Invoice'!V$2:V$801,$W223)))</f>
        <v/>
      </c>
      <c r="W223" s="16">
        <f>IFERROR(MATCH(Settings!$C$26&amp;"|"&amp;ROWS($W$2:$W223),'Per Invoice'!$X$2:$X$801,0),"")</f>
        <v/>
      </c>
    </row>
    <row r="224">
      <c r="A224">
        <f>IF($W224="","",IF(INDEX('Per Invoice'!A$2:A$801,$W224)="","",INDEX('Per Invoice'!A$2:A$801,$W224)))</f>
        <v/>
      </c>
      <c r="B224">
        <f>IF($W224="","",IF(INDEX('Per Invoice'!B$2:B$801,$W224)="","",INDEX('Per Invoice'!B$2:B$801,$W224)))</f>
        <v/>
      </c>
      <c r="C224">
        <f>IF($W224="","",IF(INDEX('Per Invoice'!C$2:C$801,$W224)="","",INDEX('Per Invoice'!C$2:C$801,$W224)))</f>
        <v/>
      </c>
      <c r="D224">
        <f>IF($W224="","",IF(INDEX('Per Invoice'!D$2:D$801,$W224)="","",INDEX('Per Invoice'!D$2:D$801,$W224)))</f>
        <v/>
      </c>
      <c r="E224">
        <f>IF($W224="","",IF(INDEX('Per Invoice'!E$2:E$801,$W224)="","",INDEX('Per Invoice'!E$2:E$801,$W224)))</f>
        <v/>
      </c>
      <c r="F224">
        <f>IF($W224="","",IF(INDEX('Per Invoice'!F$2:F$801,$W224)="","",INDEX('Per Invoice'!F$2:F$801,$W224)))</f>
        <v/>
      </c>
      <c r="G224">
        <f>IF($W224="","",IF(INDEX('Per Invoice'!G$2:G$801,$W224)="","",INDEX('Per Invoice'!G$2:G$801,$W224)))</f>
        <v/>
      </c>
      <c r="H224">
        <f>IF($W224="","",IF(INDEX('Per Invoice'!H$2:H$801,$W224)="","",INDEX('Per Invoice'!H$2:H$801,$W224)))</f>
        <v/>
      </c>
      <c r="I224">
        <f>IF($W224="","",IF(INDEX('Per Invoice'!I$2:I$801,$W224)="","",INDEX('Per Invoice'!I$2:I$801,$W224)))</f>
        <v/>
      </c>
      <c r="J224">
        <f>IF($W224="","",IF(INDEX('Per Invoice'!J$2:J$801,$W224)="","",INDEX('Per Invoice'!J$2:J$801,$W224)))</f>
        <v/>
      </c>
      <c r="K224" s="7">
        <f>IF($W224="","",IF(INDEX('Per Invoice'!K$2:K$801,$W224)="","",INDEX('Per Invoice'!K$2:K$801,$W224)))</f>
        <v/>
      </c>
      <c r="L224" s="14">
        <f>IF($W224="","",IF(INDEX('Per Invoice'!L$2:L$801,$W224)="","",INDEX('Per Invoice'!L$2:L$801,$W224)))</f>
        <v/>
      </c>
      <c r="M224">
        <f>IF($W224="","",IF(INDEX('Per Invoice'!M$2:M$801,$W224)="","",INDEX('Per Invoice'!M$2:M$801,$W224)))</f>
        <v/>
      </c>
      <c r="N224" s="7">
        <f>IF($W224="","",IF(INDEX('Per Invoice'!N$2:N$801,$W224)="","",INDEX('Per Invoice'!N$2:N$801,$W224)))</f>
        <v/>
      </c>
      <c r="O224" s="7">
        <f>IF($W224="","",IF(INDEX('Per Invoice'!O$2:O$801,$W224)="","",INDEX('Per Invoice'!O$2:O$801,$W224)))</f>
        <v/>
      </c>
      <c r="P224">
        <f>IF($W224="","",IF(INDEX('Per Invoice'!P$2:P$801,$W224)="","",INDEX('Per Invoice'!P$2:P$801,$W224)))</f>
        <v/>
      </c>
      <c r="Q224" s="7">
        <f>IF($W224="","",IF(INDEX('Per Invoice'!Q$2:Q$801,$W224)="","",INDEX('Per Invoice'!Q$2:Q$801,$W224)))</f>
        <v/>
      </c>
      <c r="R224" s="7">
        <f>IF($W224="","",IF(INDEX('Per Invoice'!R$2:R$801,$W224)="","",INDEX('Per Invoice'!R$2:R$801,$W224)))</f>
        <v/>
      </c>
      <c r="S224" s="7">
        <f>IF($W224="","",IF(INDEX('Per Invoice'!S$2:S$801,$W224)="","",INDEX('Per Invoice'!S$2:S$801,$W224)))</f>
        <v/>
      </c>
      <c r="T224" s="7">
        <f>IF($W224="","",IF(INDEX('Per Invoice'!T$2:T$801,$W224)="","",INDEX('Per Invoice'!T$2:T$801,$W224)))</f>
        <v/>
      </c>
      <c r="U224" s="7">
        <f>IF($W224="","",IF(INDEX('Per Invoice'!U$2:U$801,$W224)="","",INDEX('Per Invoice'!U$2:U$801,$W224)))</f>
        <v/>
      </c>
      <c r="V224" s="7">
        <f>IF($W224="","",IF(INDEX('Per Invoice'!V$2:V$801,$W224)="","",INDEX('Per Invoice'!V$2:V$801,$W224)))</f>
        <v/>
      </c>
      <c r="W224" s="16">
        <f>IFERROR(MATCH(Settings!$C$26&amp;"|"&amp;ROWS($W$2:$W224),'Per Invoice'!$X$2:$X$801,0),"")</f>
        <v/>
      </c>
    </row>
    <row r="225">
      <c r="A225">
        <f>IF($W225="","",IF(INDEX('Per Invoice'!A$2:A$801,$W225)="","",INDEX('Per Invoice'!A$2:A$801,$W225)))</f>
        <v/>
      </c>
      <c r="B225">
        <f>IF($W225="","",IF(INDEX('Per Invoice'!B$2:B$801,$W225)="","",INDEX('Per Invoice'!B$2:B$801,$W225)))</f>
        <v/>
      </c>
      <c r="C225">
        <f>IF($W225="","",IF(INDEX('Per Invoice'!C$2:C$801,$W225)="","",INDEX('Per Invoice'!C$2:C$801,$W225)))</f>
        <v/>
      </c>
      <c r="D225">
        <f>IF($W225="","",IF(INDEX('Per Invoice'!D$2:D$801,$W225)="","",INDEX('Per Invoice'!D$2:D$801,$W225)))</f>
        <v/>
      </c>
      <c r="E225">
        <f>IF($W225="","",IF(INDEX('Per Invoice'!E$2:E$801,$W225)="","",INDEX('Per Invoice'!E$2:E$801,$W225)))</f>
        <v/>
      </c>
      <c r="F225">
        <f>IF($W225="","",IF(INDEX('Per Invoice'!F$2:F$801,$W225)="","",INDEX('Per Invoice'!F$2:F$801,$W225)))</f>
        <v/>
      </c>
      <c r="G225">
        <f>IF($W225="","",IF(INDEX('Per Invoice'!G$2:G$801,$W225)="","",INDEX('Per Invoice'!G$2:G$801,$W225)))</f>
        <v/>
      </c>
      <c r="H225">
        <f>IF($W225="","",IF(INDEX('Per Invoice'!H$2:H$801,$W225)="","",INDEX('Per Invoice'!H$2:H$801,$W225)))</f>
        <v/>
      </c>
      <c r="I225">
        <f>IF($W225="","",IF(INDEX('Per Invoice'!I$2:I$801,$W225)="","",INDEX('Per Invoice'!I$2:I$801,$W225)))</f>
        <v/>
      </c>
      <c r="J225">
        <f>IF($W225="","",IF(INDEX('Per Invoice'!J$2:J$801,$W225)="","",INDEX('Per Invoice'!J$2:J$801,$W225)))</f>
        <v/>
      </c>
      <c r="K225" s="7">
        <f>IF($W225="","",IF(INDEX('Per Invoice'!K$2:K$801,$W225)="","",INDEX('Per Invoice'!K$2:K$801,$W225)))</f>
        <v/>
      </c>
      <c r="L225" s="14">
        <f>IF($W225="","",IF(INDEX('Per Invoice'!L$2:L$801,$W225)="","",INDEX('Per Invoice'!L$2:L$801,$W225)))</f>
        <v/>
      </c>
      <c r="M225">
        <f>IF($W225="","",IF(INDEX('Per Invoice'!M$2:M$801,$W225)="","",INDEX('Per Invoice'!M$2:M$801,$W225)))</f>
        <v/>
      </c>
      <c r="N225" s="7">
        <f>IF($W225="","",IF(INDEX('Per Invoice'!N$2:N$801,$W225)="","",INDEX('Per Invoice'!N$2:N$801,$W225)))</f>
        <v/>
      </c>
      <c r="O225" s="7">
        <f>IF($W225="","",IF(INDEX('Per Invoice'!O$2:O$801,$W225)="","",INDEX('Per Invoice'!O$2:O$801,$W225)))</f>
        <v/>
      </c>
      <c r="P225">
        <f>IF($W225="","",IF(INDEX('Per Invoice'!P$2:P$801,$W225)="","",INDEX('Per Invoice'!P$2:P$801,$W225)))</f>
        <v/>
      </c>
      <c r="Q225" s="7">
        <f>IF($W225="","",IF(INDEX('Per Invoice'!Q$2:Q$801,$W225)="","",INDEX('Per Invoice'!Q$2:Q$801,$W225)))</f>
        <v/>
      </c>
      <c r="R225" s="7">
        <f>IF($W225="","",IF(INDEX('Per Invoice'!R$2:R$801,$W225)="","",INDEX('Per Invoice'!R$2:R$801,$W225)))</f>
        <v/>
      </c>
      <c r="S225" s="7">
        <f>IF($W225="","",IF(INDEX('Per Invoice'!S$2:S$801,$W225)="","",INDEX('Per Invoice'!S$2:S$801,$W225)))</f>
        <v/>
      </c>
      <c r="T225" s="7">
        <f>IF($W225="","",IF(INDEX('Per Invoice'!T$2:T$801,$W225)="","",INDEX('Per Invoice'!T$2:T$801,$W225)))</f>
        <v/>
      </c>
      <c r="U225" s="7">
        <f>IF($W225="","",IF(INDEX('Per Invoice'!U$2:U$801,$W225)="","",INDEX('Per Invoice'!U$2:U$801,$W225)))</f>
        <v/>
      </c>
      <c r="V225" s="7">
        <f>IF($W225="","",IF(INDEX('Per Invoice'!V$2:V$801,$W225)="","",INDEX('Per Invoice'!V$2:V$801,$W225)))</f>
        <v/>
      </c>
      <c r="W225" s="16">
        <f>IFERROR(MATCH(Settings!$C$26&amp;"|"&amp;ROWS($W$2:$W225),'Per Invoice'!$X$2:$X$801,0),"")</f>
        <v/>
      </c>
    </row>
    <row r="226">
      <c r="A226">
        <f>IF($W226="","",IF(INDEX('Per Invoice'!A$2:A$801,$W226)="","",INDEX('Per Invoice'!A$2:A$801,$W226)))</f>
        <v/>
      </c>
      <c r="B226">
        <f>IF($W226="","",IF(INDEX('Per Invoice'!B$2:B$801,$W226)="","",INDEX('Per Invoice'!B$2:B$801,$W226)))</f>
        <v/>
      </c>
      <c r="C226">
        <f>IF($W226="","",IF(INDEX('Per Invoice'!C$2:C$801,$W226)="","",INDEX('Per Invoice'!C$2:C$801,$W226)))</f>
        <v/>
      </c>
      <c r="D226">
        <f>IF($W226="","",IF(INDEX('Per Invoice'!D$2:D$801,$W226)="","",INDEX('Per Invoice'!D$2:D$801,$W226)))</f>
        <v/>
      </c>
      <c r="E226">
        <f>IF($W226="","",IF(INDEX('Per Invoice'!E$2:E$801,$W226)="","",INDEX('Per Invoice'!E$2:E$801,$W226)))</f>
        <v/>
      </c>
      <c r="F226">
        <f>IF($W226="","",IF(INDEX('Per Invoice'!F$2:F$801,$W226)="","",INDEX('Per Invoice'!F$2:F$801,$W226)))</f>
        <v/>
      </c>
      <c r="G226">
        <f>IF($W226="","",IF(INDEX('Per Invoice'!G$2:G$801,$W226)="","",INDEX('Per Invoice'!G$2:G$801,$W226)))</f>
        <v/>
      </c>
      <c r="H226">
        <f>IF($W226="","",IF(INDEX('Per Invoice'!H$2:H$801,$W226)="","",INDEX('Per Invoice'!H$2:H$801,$W226)))</f>
        <v/>
      </c>
      <c r="I226">
        <f>IF($W226="","",IF(INDEX('Per Invoice'!I$2:I$801,$W226)="","",INDEX('Per Invoice'!I$2:I$801,$W226)))</f>
        <v/>
      </c>
      <c r="J226">
        <f>IF($W226="","",IF(INDEX('Per Invoice'!J$2:J$801,$W226)="","",INDEX('Per Invoice'!J$2:J$801,$W226)))</f>
        <v/>
      </c>
      <c r="K226" s="7">
        <f>IF($W226="","",IF(INDEX('Per Invoice'!K$2:K$801,$W226)="","",INDEX('Per Invoice'!K$2:K$801,$W226)))</f>
        <v/>
      </c>
      <c r="L226" s="14">
        <f>IF($W226="","",IF(INDEX('Per Invoice'!L$2:L$801,$W226)="","",INDEX('Per Invoice'!L$2:L$801,$W226)))</f>
        <v/>
      </c>
      <c r="M226">
        <f>IF($W226="","",IF(INDEX('Per Invoice'!M$2:M$801,$W226)="","",INDEX('Per Invoice'!M$2:M$801,$W226)))</f>
        <v/>
      </c>
      <c r="N226" s="7">
        <f>IF($W226="","",IF(INDEX('Per Invoice'!N$2:N$801,$W226)="","",INDEX('Per Invoice'!N$2:N$801,$W226)))</f>
        <v/>
      </c>
      <c r="O226" s="7">
        <f>IF($W226="","",IF(INDEX('Per Invoice'!O$2:O$801,$W226)="","",INDEX('Per Invoice'!O$2:O$801,$W226)))</f>
        <v/>
      </c>
      <c r="P226">
        <f>IF($W226="","",IF(INDEX('Per Invoice'!P$2:P$801,$W226)="","",INDEX('Per Invoice'!P$2:P$801,$W226)))</f>
        <v/>
      </c>
      <c r="Q226" s="7">
        <f>IF($W226="","",IF(INDEX('Per Invoice'!Q$2:Q$801,$W226)="","",INDEX('Per Invoice'!Q$2:Q$801,$W226)))</f>
        <v/>
      </c>
      <c r="R226" s="7">
        <f>IF($W226="","",IF(INDEX('Per Invoice'!R$2:R$801,$W226)="","",INDEX('Per Invoice'!R$2:R$801,$W226)))</f>
        <v/>
      </c>
      <c r="S226" s="7">
        <f>IF($W226="","",IF(INDEX('Per Invoice'!S$2:S$801,$W226)="","",INDEX('Per Invoice'!S$2:S$801,$W226)))</f>
        <v/>
      </c>
      <c r="T226" s="7">
        <f>IF($W226="","",IF(INDEX('Per Invoice'!T$2:T$801,$W226)="","",INDEX('Per Invoice'!T$2:T$801,$W226)))</f>
        <v/>
      </c>
      <c r="U226" s="7">
        <f>IF($W226="","",IF(INDEX('Per Invoice'!U$2:U$801,$W226)="","",INDEX('Per Invoice'!U$2:U$801,$W226)))</f>
        <v/>
      </c>
      <c r="V226" s="7">
        <f>IF($W226="","",IF(INDEX('Per Invoice'!V$2:V$801,$W226)="","",INDEX('Per Invoice'!V$2:V$801,$W226)))</f>
        <v/>
      </c>
      <c r="W226" s="16">
        <f>IFERROR(MATCH(Settings!$C$26&amp;"|"&amp;ROWS($W$2:$W226),'Per Invoice'!$X$2:$X$801,0),"")</f>
        <v/>
      </c>
    </row>
    <row r="227">
      <c r="A227">
        <f>IF($W227="","",IF(INDEX('Per Invoice'!A$2:A$801,$W227)="","",INDEX('Per Invoice'!A$2:A$801,$W227)))</f>
        <v/>
      </c>
      <c r="B227">
        <f>IF($W227="","",IF(INDEX('Per Invoice'!B$2:B$801,$W227)="","",INDEX('Per Invoice'!B$2:B$801,$W227)))</f>
        <v/>
      </c>
      <c r="C227">
        <f>IF($W227="","",IF(INDEX('Per Invoice'!C$2:C$801,$W227)="","",INDEX('Per Invoice'!C$2:C$801,$W227)))</f>
        <v/>
      </c>
      <c r="D227">
        <f>IF($W227="","",IF(INDEX('Per Invoice'!D$2:D$801,$W227)="","",INDEX('Per Invoice'!D$2:D$801,$W227)))</f>
        <v/>
      </c>
      <c r="E227">
        <f>IF($W227="","",IF(INDEX('Per Invoice'!E$2:E$801,$W227)="","",INDEX('Per Invoice'!E$2:E$801,$W227)))</f>
        <v/>
      </c>
      <c r="F227">
        <f>IF($W227="","",IF(INDEX('Per Invoice'!F$2:F$801,$W227)="","",INDEX('Per Invoice'!F$2:F$801,$W227)))</f>
        <v/>
      </c>
      <c r="G227">
        <f>IF($W227="","",IF(INDEX('Per Invoice'!G$2:G$801,$W227)="","",INDEX('Per Invoice'!G$2:G$801,$W227)))</f>
        <v/>
      </c>
      <c r="H227">
        <f>IF($W227="","",IF(INDEX('Per Invoice'!H$2:H$801,$W227)="","",INDEX('Per Invoice'!H$2:H$801,$W227)))</f>
        <v/>
      </c>
      <c r="I227">
        <f>IF($W227="","",IF(INDEX('Per Invoice'!I$2:I$801,$W227)="","",INDEX('Per Invoice'!I$2:I$801,$W227)))</f>
        <v/>
      </c>
      <c r="J227">
        <f>IF($W227="","",IF(INDEX('Per Invoice'!J$2:J$801,$W227)="","",INDEX('Per Invoice'!J$2:J$801,$W227)))</f>
        <v/>
      </c>
      <c r="K227" s="7">
        <f>IF($W227="","",IF(INDEX('Per Invoice'!K$2:K$801,$W227)="","",INDEX('Per Invoice'!K$2:K$801,$W227)))</f>
        <v/>
      </c>
      <c r="L227" s="14">
        <f>IF($W227="","",IF(INDEX('Per Invoice'!L$2:L$801,$W227)="","",INDEX('Per Invoice'!L$2:L$801,$W227)))</f>
        <v/>
      </c>
      <c r="M227">
        <f>IF($W227="","",IF(INDEX('Per Invoice'!M$2:M$801,$W227)="","",INDEX('Per Invoice'!M$2:M$801,$W227)))</f>
        <v/>
      </c>
      <c r="N227" s="7">
        <f>IF($W227="","",IF(INDEX('Per Invoice'!N$2:N$801,$W227)="","",INDEX('Per Invoice'!N$2:N$801,$W227)))</f>
        <v/>
      </c>
      <c r="O227" s="7">
        <f>IF($W227="","",IF(INDEX('Per Invoice'!O$2:O$801,$W227)="","",INDEX('Per Invoice'!O$2:O$801,$W227)))</f>
        <v/>
      </c>
      <c r="P227">
        <f>IF($W227="","",IF(INDEX('Per Invoice'!P$2:P$801,$W227)="","",INDEX('Per Invoice'!P$2:P$801,$W227)))</f>
        <v/>
      </c>
      <c r="Q227" s="7">
        <f>IF($W227="","",IF(INDEX('Per Invoice'!Q$2:Q$801,$W227)="","",INDEX('Per Invoice'!Q$2:Q$801,$W227)))</f>
        <v/>
      </c>
      <c r="R227" s="7">
        <f>IF($W227="","",IF(INDEX('Per Invoice'!R$2:R$801,$W227)="","",INDEX('Per Invoice'!R$2:R$801,$W227)))</f>
        <v/>
      </c>
      <c r="S227" s="7">
        <f>IF($W227="","",IF(INDEX('Per Invoice'!S$2:S$801,$W227)="","",INDEX('Per Invoice'!S$2:S$801,$W227)))</f>
        <v/>
      </c>
      <c r="T227" s="7">
        <f>IF($W227="","",IF(INDEX('Per Invoice'!T$2:T$801,$W227)="","",INDEX('Per Invoice'!T$2:T$801,$W227)))</f>
        <v/>
      </c>
      <c r="U227" s="7">
        <f>IF($W227="","",IF(INDEX('Per Invoice'!U$2:U$801,$W227)="","",INDEX('Per Invoice'!U$2:U$801,$W227)))</f>
        <v/>
      </c>
      <c r="V227" s="7">
        <f>IF($W227="","",IF(INDEX('Per Invoice'!V$2:V$801,$W227)="","",INDEX('Per Invoice'!V$2:V$801,$W227)))</f>
        <v/>
      </c>
      <c r="W227" s="16">
        <f>IFERROR(MATCH(Settings!$C$26&amp;"|"&amp;ROWS($W$2:$W227),'Per Invoice'!$X$2:$X$801,0),"")</f>
        <v/>
      </c>
    </row>
    <row r="228">
      <c r="A228">
        <f>IF($W228="","",IF(INDEX('Per Invoice'!A$2:A$801,$W228)="","",INDEX('Per Invoice'!A$2:A$801,$W228)))</f>
        <v/>
      </c>
      <c r="B228">
        <f>IF($W228="","",IF(INDEX('Per Invoice'!B$2:B$801,$W228)="","",INDEX('Per Invoice'!B$2:B$801,$W228)))</f>
        <v/>
      </c>
      <c r="C228">
        <f>IF($W228="","",IF(INDEX('Per Invoice'!C$2:C$801,$W228)="","",INDEX('Per Invoice'!C$2:C$801,$W228)))</f>
        <v/>
      </c>
      <c r="D228">
        <f>IF($W228="","",IF(INDEX('Per Invoice'!D$2:D$801,$W228)="","",INDEX('Per Invoice'!D$2:D$801,$W228)))</f>
        <v/>
      </c>
      <c r="E228">
        <f>IF($W228="","",IF(INDEX('Per Invoice'!E$2:E$801,$W228)="","",INDEX('Per Invoice'!E$2:E$801,$W228)))</f>
        <v/>
      </c>
      <c r="F228">
        <f>IF($W228="","",IF(INDEX('Per Invoice'!F$2:F$801,$W228)="","",INDEX('Per Invoice'!F$2:F$801,$W228)))</f>
        <v/>
      </c>
      <c r="G228">
        <f>IF($W228="","",IF(INDEX('Per Invoice'!G$2:G$801,$W228)="","",INDEX('Per Invoice'!G$2:G$801,$W228)))</f>
        <v/>
      </c>
      <c r="H228">
        <f>IF($W228="","",IF(INDEX('Per Invoice'!H$2:H$801,$W228)="","",INDEX('Per Invoice'!H$2:H$801,$W228)))</f>
        <v/>
      </c>
      <c r="I228">
        <f>IF($W228="","",IF(INDEX('Per Invoice'!I$2:I$801,$W228)="","",INDEX('Per Invoice'!I$2:I$801,$W228)))</f>
        <v/>
      </c>
      <c r="J228">
        <f>IF($W228="","",IF(INDEX('Per Invoice'!J$2:J$801,$W228)="","",INDEX('Per Invoice'!J$2:J$801,$W228)))</f>
        <v/>
      </c>
      <c r="K228" s="7">
        <f>IF($W228="","",IF(INDEX('Per Invoice'!K$2:K$801,$W228)="","",INDEX('Per Invoice'!K$2:K$801,$W228)))</f>
        <v/>
      </c>
      <c r="L228" s="14">
        <f>IF($W228="","",IF(INDEX('Per Invoice'!L$2:L$801,$W228)="","",INDEX('Per Invoice'!L$2:L$801,$W228)))</f>
        <v/>
      </c>
      <c r="M228">
        <f>IF($W228="","",IF(INDEX('Per Invoice'!M$2:M$801,$W228)="","",INDEX('Per Invoice'!M$2:M$801,$W228)))</f>
        <v/>
      </c>
      <c r="N228" s="7">
        <f>IF($W228="","",IF(INDEX('Per Invoice'!N$2:N$801,$W228)="","",INDEX('Per Invoice'!N$2:N$801,$W228)))</f>
        <v/>
      </c>
      <c r="O228" s="7">
        <f>IF($W228="","",IF(INDEX('Per Invoice'!O$2:O$801,$W228)="","",INDEX('Per Invoice'!O$2:O$801,$W228)))</f>
        <v/>
      </c>
      <c r="P228">
        <f>IF($W228="","",IF(INDEX('Per Invoice'!P$2:P$801,$W228)="","",INDEX('Per Invoice'!P$2:P$801,$W228)))</f>
        <v/>
      </c>
      <c r="Q228" s="7">
        <f>IF($W228="","",IF(INDEX('Per Invoice'!Q$2:Q$801,$W228)="","",INDEX('Per Invoice'!Q$2:Q$801,$W228)))</f>
        <v/>
      </c>
      <c r="R228" s="7">
        <f>IF($W228="","",IF(INDEX('Per Invoice'!R$2:R$801,$W228)="","",INDEX('Per Invoice'!R$2:R$801,$W228)))</f>
        <v/>
      </c>
      <c r="S228" s="7">
        <f>IF($W228="","",IF(INDEX('Per Invoice'!S$2:S$801,$W228)="","",INDEX('Per Invoice'!S$2:S$801,$W228)))</f>
        <v/>
      </c>
      <c r="T228" s="7">
        <f>IF($W228="","",IF(INDEX('Per Invoice'!T$2:T$801,$W228)="","",INDEX('Per Invoice'!T$2:T$801,$W228)))</f>
        <v/>
      </c>
      <c r="U228" s="7">
        <f>IF($W228="","",IF(INDEX('Per Invoice'!U$2:U$801,$W228)="","",INDEX('Per Invoice'!U$2:U$801,$W228)))</f>
        <v/>
      </c>
      <c r="V228" s="7">
        <f>IF($W228="","",IF(INDEX('Per Invoice'!V$2:V$801,$W228)="","",INDEX('Per Invoice'!V$2:V$801,$W228)))</f>
        <v/>
      </c>
      <c r="W228" s="16">
        <f>IFERROR(MATCH(Settings!$C$26&amp;"|"&amp;ROWS($W$2:$W228),'Per Invoice'!$X$2:$X$801,0),"")</f>
        <v/>
      </c>
    </row>
    <row r="229">
      <c r="A229">
        <f>IF($W229="","",IF(INDEX('Per Invoice'!A$2:A$801,$W229)="","",INDEX('Per Invoice'!A$2:A$801,$W229)))</f>
        <v/>
      </c>
      <c r="B229">
        <f>IF($W229="","",IF(INDEX('Per Invoice'!B$2:B$801,$W229)="","",INDEX('Per Invoice'!B$2:B$801,$W229)))</f>
        <v/>
      </c>
      <c r="C229">
        <f>IF($W229="","",IF(INDEX('Per Invoice'!C$2:C$801,$W229)="","",INDEX('Per Invoice'!C$2:C$801,$W229)))</f>
        <v/>
      </c>
      <c r="D229">
        <f>IF($W229="","",IF(INDEX('Per Invoice'!D$2:D$801,$W229)="","",INDEX('Per Invoice'!D$2:D$801,$W229)))</f>
        <v/>
      </c>
      <c r="E229">
        <f>IF($W229="","",IF(INDEX('Per Invoice'!E$2:E$801,$W229)="","",INDEX('Per Invoice'!E$2:E$801,$W229)))</f>
        <v/>
      </c>
      <c r="F229">
        <f>IF($W229="","",IF(INDEX('Per Invoice'!F$2:F$801,$W229)="","",INDEX('Per Invoice'!F$2:F$801,$W229)))</f>
        <v/>
      </c>
      <c r="G229">
        <f>IF($W229="","",IF(INDEX('Per Invoice'!G$2:G$801,$W229)="","",INDEX('Per Invoice'!G$2:G$801,$W229)))</f>
        <v/>
      </c>
      <c r="H229">
        <f>IF($W229="","",IF(INDEX('Per Invoice'!H$2:H$801,$W229)="","",INDEX('Per Invoice'!H$2:H$801,$W229)))</f>
        <v/>
      </c>
      <c r="I229">
        <f>IF($W229="","",IF(INDEX('Per Invoice'!I$2:I$801,$W229)="","",INDEX('Per Invoice'!I$2:I$801,$W229)))</f>
        <v/>
      </c>
      <c r="J229">
        <f>IF($W229="","",IF(INDEX('Per Invoice'!J$2:J$801,$W229)="","",INDEX('Per Invoice'!J$2:J$801,$W229)))</f>
        <v/>
      </c>
      <c r="K229" s="7">
        <f>IF($W229="","",IF(INDEX('Per Invoice'!K$2:K$801,$W229)="","",INDEX('Per Invoice'!K$2:K$801,$W229)))</f>
        <v/>
      </c>
      <c r="L229" s="14">
        <f>IF($W229="","",IF(INDEX('Per Invoice'!L$2:L$801,$W229)="","",INDEX('Per Invoice'!L$2:L$801,$W229)))</f>
        <v/>
      </c>
      <c r="M229">
        <f>IF($W229="","",IF(INDEX('Per Invoice'!M$2:M$801,$W229)="","",INDEX('Per Invoice'!M$2:M$801,$W229)))</f>
        <v/>
      </c>
      <c r="N229" s="7">
        <f>IF($W229="","",IF(INDEX('Per Invoice'!N$2:N$801,$W229)="","",INDEX('Per Invoice'!N$2:N$801,$W229)))</f>
        <v/>
      </c>
      <c r="O229" s="7">
        <f>IF($W229="","",IF(INDEX('Per Invoice'!O$2:O$801,$W229)="","",INDEX('Per Invoice'!O$2:O$801,$W229)))</f>
        <v/>
      </c>
      <c r="P229">
        <f>IF($W229="","",IF(INDEX('Per Invoice'!P$2:P$801,$W229)="","",INDEX('Per Invoice'!P$2:P$801,$W229)))</f>
        <v/>
      </c>
      <c r="Q229" s="7">
        <f>IF($W229="","",IF(INDEX('Per Invoice'!Q$2:Q$801,$W229)="","",INDEX('Per Invoice'!Q$2:Q$801,$W229)))</f>
        <v/>
      </c>
      <c r="R229" s="7">
        <f>IF($W229="","",IF(INDEX('Per Invoice'!R$2:R$801,$W229)="","",INDEX('Per Invoice'!R$2:R$801,$W229)))</f>
        <v/>
      </c>
      <c r="S229" s="7">
        <f>IF($W229="","",IF(INDEX('Per Invoice'!S$2:S$801,$W229)="","",INDEX('Per Invoice'!S$2:S$801,$W229)))</f>
        <v/>
      </c>
      <c r="T229" s="7">
        <f>IF($W229="","",IF(INDEX('Per Invoice'!T$2:T$801,$W229)="","",INDEX('Per Invoice'!T$2:T$801,$W229)))</f>
        <v/>
      </c>
      <c r="U229" s="7">
        <f>IF($W229="","",IF(INDEX('Per Invoice'!U$2:U$801,$W229)="","",INDEX('Per Invoice'!U$2:U$801,$W229)))</f>
        <v/>
      </c>
      <c r="V229" s="7">
        <f>IF($W229="","",IF(INDEX('Per Invoice'!V$2:V$801,$W229)="","",INDEX('Per Invoice'!V$2:V$801,$W229)))</f>
        <v/>
      </c>
      <c r="W229" s="16">
        <f>IFERROR(MATCH(Settings!$C$26&amp;"|"&amp;ROWS($W$2:$W229),'Per Invoice'!$X$2:$X$801,0),"")</f>
        <v/>
      </c>
    </row>
    <row r="230">
      <c r="A230">
        <f>IF($W230="","",IF(INDEX('Per Invoice'!A$2:A$801,$W230)="","",INDEX('Per Invoice'!A$2:A$801,$W230)))</f>
        <v/>
      </c>
      <c r="B230">
        <f>IF($W230="","",IF(INDEX('Per Invoice'!B$2:B$801,$W230)="","",INDEX('Per Invoice'!B$2:B$801,$W230)))</f>
        <v/>
      </c>
      <c r="C230">
        <f>IF($W230="","",IF(INDEX('Per Invoice'!C$2:C$801,$W230)="","",INDEX('Per Invoice'!C$2:C$801,$W230)))</f>
        <v/>
      </c>
      <c r="D230">
        <f>IF($W230="","",IF(INDEX('Per Invoice'!D$2:D$801,$W230)="","",INDEX('Per Invoice'!D$2:D$801,$W230)))</f>
        <v/>
      </c>
      <c r="E230">
        <f>IF($W230="","",IF(INDEX('Per Invoice'!E$2:E$801,$W230)="","",INDEX('Per Invoice'!E$2:E$801,$W230)))</f>
        <v/>
      </c>
      <c r="F230">
        <f>IF($W230="","",IF(INDEX('Per Invoice'!F$2:F$801,$W230)="","",INDEX('Per Invoice'!F$2:F$801,$W230)))</f>
        <v/>
      </c>
      <c r="G230">
        <f>IF($W230="","",IF(INDEX('Per Invoice'!G$2:G$801,$W230)="","",INDEX('Per Invoice'!G$2:G$801,$W230)))</f>
        <v/>
      </c>
      <c r="H230">
        <f>IF($W230="","",IF(INDEX('Per Invoice'!H$2:H$801,$W230)="","",INDEX('Per Invoice'!H$2:H$801,$W230)))</f>
        <v/>
      </c>
      <c r="I230">
        <f>IF($W230="","",IF(INDEX('Per Invoice'!I$2:I$801,$W230)="","",INDEX('Per Invoice'!I$2:I$801,$W230)))</f>
        <v/>
      </c>
      <c r="J230">
        <f>IF($W230="","",IF(INDEX('Per Invoice'!J$2:J$801,$W230)="","",INDEX('Per Invoice'!J$2:J$801,$W230)))</f>
        <v/>
      </c>
      <c r="K230" s="7">
        <f>IF($W230="","",IF(INDEX('Per Invoice'!K$2:K$801,$W230)="","",INDEX('Per Invoice'!K$2:K$801,$W230)))</f>
        <v/>
      </c>
      <c r="L230" s="14">
        <f>IF($W230="","",IF(INDEX('Per Invoice'!L$2:L$801,$W230)="","",INDEX('Per Invoice'!L$2:L$801,$W230)))</f>
        <v/>
      </c>
      <c r="M230">
        <f>IF($W230="","",IF(INDEX('Per Invoice'!M$2:M$801,$W230)="","",INDEX('Per Invoice'!M$2:M$801,$W230)))</f>
        <v/>
      </c>
      <c r="N230" s="7">
        <f>IF($W230="","",IF(INDEX('Per Invoice'!N$2:N$801,$W230)="","",INDEX('Per Invoice'!N$2:N$801,$W230)))</f>
        <v/>
      </c>
      <c r="O230" s="7">
        <f>IF($W230="","",IF(INDEX('Per Invoice'!O$2:O$801,$W230)="","",INDEX('Per Invoice'!O$2:O$801,$W230)))</f>
        <v/>
      </c>
      <c r="P230">
        <f>IF($W230="","",IF(INDEX('Per Invoice'!P$2:P$801,$W230)="","",INDEX('Per Invoice'!P$2:P$801,$W230)))</f>
        <v/>
      </c>
      <c r="Q230" s="7">
        <f>IF($W230="","",IF(INDEX('Per Invoice'!Q$2:Q$801,$W230)="","",INDEX('Per Invoice'!Q$2:Q$801,$W230)))</f>
        <v/>
      </c>
      <c r="R230" s="7">
        <f>IF($W230="","",IF(INDEX('Per Invoice'!R$2:R$801,$W230)="","",INDEX('Per Invoice'!R$2:R$801,$W230)))</f>
        <v/>
      </c>
      <c r="S230" s="7">
        <f>IF($W230="","",IF(INDEX('Per Invoice'!S$2:S$801,$W230)="","",INDEX('Per Invoice'!S$2:S$801,$W230)))</f>
        <v/>
      </c>
      <c r="T230" s="7">
        <f>IF($W230="","",IF(INDEX('Per Invoice'!T$2:T$801,$W230)="","",INDEX('Per Invoice'!T$2:T$801,$W230)))</f>
        <v/>
      </c>
      <c r="U230" s="7">
        <f>IF($W230="","",IF(INDEX('Per Invoice'!U$2:U$801,$W230)="","",INDEX('Per Invoice'!U$2:U$801,$W230)))</f>
        <v/>
      </c>
      <c r="V230" s="7">
        <f>IF($W230="","",IF(INDEX('Per Invoice'!V$2:V$801,$W230)="","",INDEX('Per Invoice'!V$2:V$801,$W230)))</f>
        <v/>
      </c>
      <c r="W230" s="16">
        <f>IFERROR(MATCH(Settings!$C$26&amp;"|"&amp;ROWS($W$2:$W230),'Per Invoice'!$X$2:$X$801,0),"")</f>
        <v/>
      </c>
    </row>
    <row r="231">
      <c r="A231">
        <f>IF($W231="","",IF(INDEX('Per Invoice'!A$2:A$801,$W231)="","",INDEX('Per Invoice'!A$2:A$801,$W231)))</f>
        <v/>
      </c>
      <c r="B231">
        <f>IF($W231="","",IF(INDEX('Per Invoice'!B$2:B$801,$W231)="","",INDEX('Per Invoice'!B$2:B$801,$W231)))</f>
        <v/>
      </c>
      <c r="C231">
        <f>IF($W231="","",IF(INDEX('Per Invoice'!C$2:C$801,$W231)="","",INDEX('Per Invoice'!C$2:C$801,$W231)))</f>
        <v/>
      </c>
      <c r="D231">
        <f>IF($W231="","",IF(INDEX('Per Invoice'!D$2:D$801,$W231)="","",INDEX('Per Invoice'!D$2:D$801,$W231)))</f>
        <v/>
      </c>
      <c r="E231">
        <f>IF($W231="","",IF(INDEX('Per Invoice'!E$2:E$801,$W231)="","",INDEX('Per Invoice'!E$2:E$801,$W231)))</f>
        <v/>
      </c>
      <c r="F231">
        <f>IF($W231="","",IF(INDEX('Per Invoice'!F$2:F$801,$W231)="","",INDEX('Per Invoice'!F$2:F$801,$W231)))</f>
        <v/>
      </c>
      <c r="G231">
        <f>IF($W231="","",IF(INDEX('Per Invoice'!G$2:G$801,$W231)="","",INDEX('Per Invoice'!G$2:G$801,$W231)))</f>
        <v/>
      </c>
      <c r="H231">
        <f>IF($W231="","",IF(INDEX('Per Invoice'!H$2:H$801,$W231)="","",INDEX('Per Invoice'!H$2:H$801,$W231)))</f>
        <v/>
      </c>
      <c r="I231">
        <f>IF($W231="","",IF(INDEX('Per Invoice'!I$2:I$801,$W231)="","",INDEX('Per Invoice'!I$2:I$801,$W231)))</f>
        <v/>
      </c>
      <c r="J231">
        <f>IF($W231="","",IF(INDEX('Per Invoice'!J$2:J$801,$W231)="","",INDEX('Per Invoice'!J$2:J$801,$W231)))</f>
        <v/>
      </c>
      <c r="K231" s="7">
        <f>IF($W231="","",IF(INDEX('Per Invoice'!K$2:K$801,$W231)="","",INDEX('Per Invoice'!K$2:K$801,$W231)))</f>
        <v/>
      </c>
      <c r="L231" s="14">
        <f>IF($W231="","",IF(INDEX('Per Invoice'!L$2:L$801,$W231)="","",INDEX('Per Invoice'!L$2:L$801,$W231)))</f>
        <v/>
      </c>
      <c r="M231">
        <f>IF($W231="","",IF(INDEX('Per Invoice'!M$2:M$801,$W231)="","",INDEX('Per Invoice'!M$2:M$801,$W231)))</f>
        <v/>
      </c>
      <c r="N231" s="7">
        <f>IF($W231="","",IF(INDEX('Per Invoice'!N$2:N$801,$W231)="","",INDEX('Per Invoice'!N$2:N$801,$W231)))</f>
        <v/>
      </c>
      <c r="O231" s="7">
        <f>IF($W231="","",IF(INDEX('Per Invoice'!O$2:O$801,$W231)="","",INDEX('Per Invoice'!O$2:O$801,$W231)))</f>
        <v/>
      </c>
      <c r="P231">
        <f>IF($W231="","",IF(INDEX('Per Invoice'!P$2:P$801,$W231)="","",INDEX('Per Invoice'!P$2:P$801,$W231)))</f>
        <v/>
      </c>
      <c r="Q231" s="7">
        <f>IF($W231="","",IF(INDEX('Per Invoice'!Q$2:Q$801,$W231)="","",INDEX('Per Invoice'!Q$2:Q$801,$W231)))</f>
        <v/>
      </c>
      <c r="R231" s="7">
        <f>IF($W231="","",IF(INDEX('Per Invoice'!R$2:R$801,$W231)="","",INDEX('Per Invoice'!R$2:R$801,$W231)))</f>
        <v/>
      </c>
      <c r="S231" s="7">
        <f>IF($W231="","",IF(INDEX('Per Invoice'!S$2:S$801,$W231)="","",INDEX('Per Invoice'!S$2:S$801,$W231)))</f>
        <v/>
      </c>
      <c r="T231" s="7">
        <f>IF($W231="","",IF(INDEX('Per Invoice'!T$2:T$801,$W231)="","",INDEX('Per Invoice'!T$2:T$801,$W231)))</f>
        <v/>
      </c>
      <c r="U231" s="7">
        <f>IF($W231="","",IF(INDEX('Per Invoice'!U$2:U$801,$W231)="","",INDEX('Per Invoice'!U$2:U$801,$W231)))</f>
        <v/>
      </c>
      <c r="V231" s="7">
        <f>IF($W231="","",IF(INDEX('Per Invoice'!V$2:V$801,$W231)="","",INDEX('Per Invoice'!V$2:V$801,$W231)))</f>
        <v/>
      </c>
      <c r="W231" s="16">
        <f>IFERROR(MATCH(Settings!$C$26&amp;"|"&amp;ROWS($W$2:$W231),'Per Invoice'!$X$2:$X$801,0),"")</f>
        <v/>
      </c>
    </row>
    <row r="232">
      <c r="A232">
        <f>IF($W232="","",IF(INDEX('Per Invoice'!A$2:A$801,$W232)="","",INDEX('Per Invoice'!A$2:A$801,$W232)))</f>
        <v/>
      </c>
      <c r="B232">
        <f>IF($W232="","",IF(INDEX('Per Invoice'!B$2:B$801,$W232)="","",INDEX('Per Invoice'!B$2:B$801,$W232)))</f>
        <v/>
      </c>
      <c r="C232">
        <f>IF($W232="","",IF(INDEX('Per Invoice'!C$2:C$801,$W232)="","",INDEX('Per Invoice'!C$2:C$801,$W232)))</f>
        <v/>
      </c>
      <c r="D232">
        <f>IF($W232="","",IF(INDEX('Per Invoice'!D$2:D$801,$W232)="","",INDEX('Per Invoice'!D$2:D$801,$W232)))</f>
        <v/>
      </c>
      <c r="E232">
        <f>IF($W232="","",IF(INDEX('Per Invoice'!E$2:E$801,$W232)="","",INDEX('Per Invoice'!E$2:E$801,$W232)))</f>
        <v/>
      </c>
      <c r="F232">
        <f>IF($W232="","",IF(INDEX('Per Invoice'!F$2:F$801,$W232)="","",INDEX('Per Invoice'!F$2:F$801,$W232)))</f>
        <v/>
      </c>
      <c r="G232">
        <f>IF($W232="","",IF(INDEX('Per Invoice'!G$2:G$801,$W232)="","",INDEX('Per Invoice'!G$2:G$801,$W232)))</f>
        <v/>
      </c>
      <c r="H232">
        <f>IF($W232="","",IF(INDEX('Per Invoice'!H$2:H$801,$W232)="","",INDEX('Per Invoice'!H$2:H$801,$W232)))</f>
        <v/>
      </c>
      <c r="I232">
        <f>IF($W232="","",IF(INDEX('Per Invoice'!I$2:I$801,$W232)="","",INDEX('Per Invoice'!I$2:I$801,$W232)))</f>
        <v/>
      </c>
      <c r="J232">
        <f>IF($W232="","",IF(INDEX('Per Invoice'!J$2:J$801,$W232)="","",INDEX('Per Invoice'!J$2:J$801,$W232)))</f>
        <v/>
      </c>
      <c r="K232" s="7">
        <f>IF($W232="","",IF(INDEX('Per Invoice'!K$2:K$801,$W232)="","",INDEX('Per Invoice'!K$2:K$801,$W232)))</f>
        <v/>
      </c>
      <c r="L232" s="14">
        <f>IF($W232="","",IF(INDEX('Per Invoice'!L$2:L$801,$W232)="","",INDEX('Per Invoice'!L$2:L$801,$W232)))</f>
        <v/>
      </c>
      <c r="M232">
        <f>IF($W232="","",IF(INDEX('Per Invoice'!M$2:M$801,$W232)="","",INDEX('Per Invoice'!M$2:M$801,$W232)))</f>
        <v/>
      </c>
      <c r="N232" s="7">
        <f>IF($W232="","",IF(INDEX('Per Invoice'!N$2:N$801,$W232)="","",INDEX('Per Invoice'!N$2:N$801,$W232)))</f>
        <v/>
      </c>
      <c r="O232" s="7">
        <f>IF($W232="","",IF(INDEX('Per Invoice'!O$2:O$801,$W232)="","",INDEX('Per Invoice'!O$2:O$801,$W232)))</f>
        <v/>
      </c>
      <c r="P232">
        <f>IF($W232="","",IF(INDEX('Per Invoice'!P$2:P$801,$W232)="","",INDEX('Per Invoice'!P$2:P$801,$W232)))</f>
        <v/>
      </c>
      <c r="Q232" s="7">
        <f>IF($W232="","",IF(INDEX('Per Invoice'!Q$2:Q$801,$W232)="","",INDEX('Per Invoice'!Q$2:Q$801,$W232)))</f>
        <v/>
      </c>
      <c r="R232" s="7">
        <f>IF($W232="","",IF(INDEX('Per Invoice'!R$2:R$801,$W232)="","",INDEX('Per Invoice'!R$2:R$801,$W232)))</f>
        <v/>
      </c>
      <c r="S232" s="7">
        <f>IF($W232="","",IF(INDEX('Per Invoice'!S$2:S$801,$W232)="","",INDEX('Per Invoice'!S$2:S$801,$W232)))</f>
        <v/>
      </c>
      <c r="T232" s="7">
        <f>IF($W232="","",IF(INDEX('Per Invoice'!T$2:T$801,$W232)="","",INDEX('Per Invoice'!T$2:T$801,$W232)))</f>
        <v/>
      </c>
      <c r="U232" s="7">
        <f>IF($W232="","",IF(INDEX('Per Invoice'!U$2:U$801,$W232)="","",INDEX('Per Invoice'!U$2:U$801,$W232)))</f>
        <v/>
      </c>
      <c r="V232" s="7">
        <f>IF($W232="","",IF(INDEX('Per Invoice'!V$2:V$801,$W232)="","",INDEX('Per Invoice'!V$2:V$801,$W232)))</f>
        <v/>
      </c>
      <c r="W232" s="16">
        <f>IFERROR(MATCH(Settings!$C$26&amp;"|"&amp;ROWS($W$2:$W232),'Per Invoice'!$X$2:$X$801,0),"")</f>
        <v/>
      </c>
    </row>
    <row r="233">
      <c r="A233">
        <f>IF($W233="","",IF(INDEX('Per Invoice'!A$2:A$801,$W233)="","",INDEX('Per Invoice'!A$2:A$801,$W233)))</f>
        <v/>
      </c>
      <c r="B233">
        <f>IF($W233="","",IF(INDEX('Per Invoice'!B$2:B$801,$W233)="","",INDEX('Per Invoice'!B$2:B$801,$W233)))</f>
        <v/>
      </c>
      <c r="C233">
        <f>IF($W233="","",IF(INDEX('Per Invoice'!C$2:C$801,$W233)="","",INDEX('Per Invoice'!C$2:C$801,$W233)))</f>
        <v/>
      </c>
      <c r="D233">
        <f>IF($W233="","",IF(INDEX('Per Invoice'!D$2:D$801,$W233)="","",INDEX('Per Invoice'!D$2:D$801,$W233)))</f>
        <v/>
      </c>
      <c r="E233">
        <f>IF($W233="","",IF(INDEX('Per Invoice'!E$2:E$801,$W233)="","",INDEX('Per Invoice'!E$2:E$801,$W233)))</f>
        <v/>
      </c>
      <c r="F233">
        <f>IF($W233="","",IF(INDEX('Per Invoice'!F$2:F$801,$W233)="","",INDEX('Per Invoice'!F$2:F$801,$W233)))</f>
        <v/>
      </c>
      <c r="G233">
        <f>IF($W233="","",IF(INDEX('Per Invoice'!G$2:G$801,$W233)="","",INDEX('Per Invoice'!G$2:G$801,$W233)))</f>
        <v/>
      </c>
      <c r="H233">
        <f>IF($W233="","",IF(INDEX('Per Invoice'!H$2:H$801,$W233)="","",INDEX('Per Invoice'!H$2:H$801,$W233)))</f>
        <v/>
      </c>
      <c r="I233">
        <f>IF($W233="","",IF(INDEX('Per Invoice'!I$2:I$801,$W233)="","",INDEX('Per Invoice'!I$2:I$801,$W233)))</f>
        <v/>
      </c>
      <c r="J233">
        <f>IF($W233="","",IF(INDEX('Per Invoice'!J$2:J$801,$W233)="","",INDEX('Per Invoice'!J$2:J$801,$W233)))</f>
        <v/>
      </c>
      <c r="K233" s="7">
        <f>IF($W233="","",IF(INDEX('Per Invoice'!K$2:K$801,$W233)="","",INDEX('Per Invoice'!K$2:K$801,$W233)))</f>
        <v/>
      </c>
      <c r="L233" s="14">
        <f>IF($W233="","",IF(INDEX('Per Invoice'!L$2:L$801,$W233)="","",INDEX('Per Invoice'!L$2:L$801,$W233)))</f>
        <v/>
      </c>
      <c r="M233">
        <f>IF($W233="","",IF(INDEX('Per Invoice'!M$2:M$801,$W233)="","",INDEX('Per Invoice'!M$2:M$801,$W233)))</f>
        <v/>
      </c>
      <c r="N233" s="7">
        <f>IF($W233="","",IF(INDEX('Per Invoice'!N$2:N$801,$W233)="","",INDEX('Per Invoice'!N$2:N$801,$W233)))</f>
        <v/>
      </c>
      <c r="O233" s="7">
        <f>IF($W233="","",IF(INDEX('Per Invoice'!O$2:O$801,$W233)="","",INDEX('Per Invoice'!O$2:O$801,$W233)))</f>
        <v/>
      </c>
      <c r="P233">
        <f>IF($W233="","",IF(INDEX('Per Invoice'!P$2:P$801,$W233)="","",INDEX('Per Invoice'!P$2:P$801,$W233)))</f>
        <v/>
      </c>
      <c r="Q233" s="7">
        <f>IF($W233="","",IF(INDEX('Per Invoice'!Q$2:Q$801,$W233)="","",INDEX('Per Invoice'!Q$2:Q$801,$W233)))</f>
        <v/>
      </c>
      <c r="R233" s="7">
        <f>IF($W233="","",IF(INDEX('Per Invoice'!R$2:R$801,$W233)="","",INDEX('Per Invoice'!R$2:R$801,$W233)))</f>
        <v/>
      </c>
      <c r="S233" s="7">
        <f>IF($W233="","",IF(INDEX('Per Invoice'!S$2:S$801,$W233)="","",INDEX('Per Invoice'!S$2:S$801,$W233)))</f>
        <v/>
      </c>
      <c r="T233" s="7">
        <f>IF($W233="","",IF(INDEX('Per Invoice'!T$2:T$801,$W233)="","",INDEX('Per Invoice'!T$2:T$801,$W233)))</f>
        <v/>
      </c>
      <c r="U233" s="7">
        <f>IF($W233="","",IF(INDEX('Per Invoice'!U$2:U$801,$W233)="","",INDEX('Per Invoice'!U$2:U$801,$W233)))</f>
        <v/>
      </c>
      <c r="V233" s="7">
        <f>IF($W233="","",IF(INDEX('Per Invoice'!V$2:V$801,$W233)="","",INDEX('Per Invoice'!V$2:V$801,$W233)))</f>
        <v/>
      </c>
      <c r="W233" s="16">
        <f>IFERROR(MATCH(Settings!$C$26&amp;"|"&amp;ROWS($W$2:$W233),'Per Invoice'!$X$2:$X$801,0),"")</f>
        <v/>
      </c>
    </row>
    <row r="234">
      <c r="A234">
        <f>IF($W234="","",IF(INDEX('Per Invoice'!A$2:A$801,$W234)="","",INDEX('Per Invoice'!A$2:A$801,$W234)))</f>
        <v/>
      </c>
      <c r="B234">
        <f>IF($W234="","",IF(INDEX('Per Invoice'!B$2:B$801,$W234)="","",INDEX('Per Invoice'!B$2:B$801,$W234)))</f>
        <v/>
      </c>
      <c r="C234">
        <f>IF($W234="","",IF(INDEX('Per Invoice'!C$2:C$801,$W234)="","",INDEX('Per Invoice'!C$2:C$801,$W234)))</f>
        <v/>
      </c>
      <c r="D234">
        <f>IF($W234="","",IF(INDEX('Per Invoice'!D$2:D$801,$W234)="","",INDEX('Per Invoice'!D$2:D$801,$W234)))</f>
        <v/>
      </c>
      <c r="E234">
        <f>IF($W234="","",IF(INDEX('Per Invoice'!E$2:E$801,$W234)="","",INDEX('Per Invoice'!E$2:E$801,$W234)))</f>
        <v/>
      </c>
      <c r="F234">
        <f>IF($W234="","",IF(INDEX('Per Invoice'!F$2:F$801,$W234)="","",INDEX('Per Invoice'!F$2:F$801,$W234)))</f>
        <v/>
      </c>
      <c r="G234">
        <f>IF($W234="","",IF(INDEX('Per Invoice'!G$2:G$801,$W234)="","",INDEX('Per Invoice'!G$2:G$801,$W234)))</f>
        <v/>
      </c>
      <c r="H234">
        <f>IF($W234="","",IF(INDEX('Per Invoice'!H$2:H$801,$W234)="","",INDEX('Per Invoice'!H$2:H$801,$W234)))</f>
        <v/>
      </c>
      <c r="I234">
        <f>IF($W234="","",IF(INDEX('Per Invoice'!I$2:I$801,$W234)="","",INDEX('Per Invoice'!I$2:I$801,$W234)))</f>
        <v/>
      </c>
      <c r="J234">
        <f>IF($W234="","",IF(INDEX('Per Invoice'!J$2:J$801,$W234)="","",INDEX('Per Invoice'!J$2:J$801,$W234)))</f>
        <v/>
      </c>
      <c r="K234" s="7">
        <f>IF($W234="","",IF(INDEX('Per Invoice'!K$2:K$801,$W234)="","",INDEX('Per Invoice'!K$2:K$801,$W234)))</f>
        <v/>
      </c>
      <c r="L234" s="14">
        <f>IF($W234="","",IF(INDEX('Per Invoice'!L$2:L$801,$W234)="","",INDEX('Per Invoice'!L$2:L$801,$W234)))</f>
        <v/>
      </c>
      <c r="M234">
        <f>IF($W234="","",IF(INDEX('Per Invoice'!M$2:M$801,$W234)="","",INDEX('Per Invoice'!M$2:M$801,$W234)))</f>
        <v/>
      </c>
      <c r="N234" s="7">
        <f>IF($W234="","",IF(INDEX('Per Invoice'!N$2:N$801,$W234)="","",INDEX('Per Invoice'!N$2:N$801,$W234)))</f>
        <v/>
      </c>
      <c r="O234" s="7">
        <f>IF($W234="","",IF(INDEX('Per Invoice'!O$2:O$801,$W234)="","",INDEX('Per Invoice'!O$2:O$801,$W234)))</f>
        <v/>
      </c>
      <c r="P234">
        <f>IF($W234="","",IF(INDEX('Per Invoice'!P$2:P$801,$W234)="","",INDEX('Per Invoice'!P$2:P$801,$W234)))</f>
        <v/>
      </c>
      <c r="Q234" s="7">
        <f>IF($W234="","",IF(INDEX('Per Invoice'!Q$2:Q$801,$W234)="","",INDEX('Per Invoice'!Q$2:Q$801,$W234)))</f>
        <v/>
      </c>
      <c r="R234" s="7">
        <f>IF($W234="","",IF(INDEX('Per Invoice'!R$2:R$801,$W234)="","",INDEX('Per Invoice'!R$2:R$801,$W234)))</f>
        <v/>
      </c>
      <c r="S234" s="7">
        <f>IF($W234="","",IF(INDEX('Per Invoice'!S$2:S$801,$W234)="","",INDEX('Per Invoice'!S$2:S$801,$W234)))</f>
        <v/>
      </c>
      <c r="T234" s="7">
        <f>IF($W234="","",IF(INDEX('Per Invoice'!T$2:T$801,$W234)="","",INDEX('Per Invoice'!T$2:T$801,$W234)))</f>
        <v/>
      </c>
      <c r="U234" s="7">
        <f>IF($W234="","",IF(INDEX('Per Invoice'!U$2:U$801,$W234)="","",INDEX('Per Invoice'!U$2:U$801,$W234)))</f>
        <v/>
      </c>
      <c r="V234" s="7">
        <f>IF($W234="","",IF(INDEX('Per Invoice'!V$2:V$801,$W234)="","",INDEX('Per Invoice'!V$2:V$801,$W234)))</f>
        <v/>
      </c>
      <c r="W234" s="16">
        <f>IFERROR(MATCH(Settings!$C$26&amp;"|"&amp;ROWS($W$2:$W234),'Per Invoice'!$X$2:$X$801,0),"")</f>
        <v/>
      </c>
    </row>
    <row r="235">
      <c r="A235">
        <f>IF($W235="","",IF(INDEX('Per Invoice'!A$2:A$801,$W235)="","",INDEX('Per Invoice'!A$2:A$801,$W235)))</f>
        <v/>
      </c>
      <c r="B235">
        <f>IF($W235="","",IF(INDEX('Per Invoice'!B$2:B$801,$W235)="","",INDEX('Per Invoice'!B$2:B$801,$W235)))</f>
        <v/>
      </c>
      <c r="C235">
        <f>IF($W235="","",IF(INDEX('Per Invoice'!C$2:C$801,$W235)="","",INDEX('Per Invoice'!C$2:C$801,$W235)))</f>
        <v/>
      </c>
      <c r="D235">
        <f>IF($W235="","",IF(INDEX('Per Invoice'!D$2:D$801,$W235)="","",INDEX('Per Invoice'!D$2:D$801,$W235)))</f>
        <v/>
      </c>
      <c r="E235">
        <f>IF($W235="","",IF(INDEX('Per Invoice'!E$2:E$801,$W235)="","",INDEX('Per Invoice'!E$2:E$801,$W235)))</f>
        <v/>
      </c>
      <c r="F235">
        <f>IF($W235="","",IF(INDEX('Per Invoice'!F$2:F$801,$W235)="","",INDEX('Per Invoice'!F$2:F$801,$W235)))</f>
        <v/>
      </c>
      <c r="G235">
        <f>IF($W235="","",IF(INDEX('Per Invoice'!G$2:G$801,$W235)="","",INDEX('Per Invoice'!G$2:G$801,$W235)))</f>
        <v/>
      </c>
      <c r="H235">
        <f>IF($W235="","",IF(INDEX('Per Invoice'!H$2:H$801,$W235)="","",INDEX('Per Invoice'!H$2:H$801,$W235)))</f>
        <v/>
      </c>
      <c r="I235">
        <f>IF($W235="","",IF(INDEX('Per Invoice'!I$2:I$801,$W235)="","",INDEX('Per Invoice'!I$2:I$801,$W235)))</f>
        <v/>
      </c>
      <c r="J235">
        <f>IF($W235="","",IF(INDEX('Per Invoice'!J$2:J$801,$W235)="","",INDEX('Per Invoice'!J$2:J$801,$W235)))</f>
        <v/>
      </c>
      <c r="K235" s="7">
        <f>IF($W235="","",IF(INDEX('Per Invoice'!K$2:K$801,$W235)="","",INDEX('Per Invoice'!K$2:K$801,$W235)))</f>
        <v/>
      </c>
      <c r="L235" s="14">
        <f>IF($W235="","",IF(INDEX('Per Invoice'!L$2:L$801,$W235)="","",INDEX('Per Invoice'!L$2:L$801,$W235)))</f>
        <v/>
      </c>
      <c r="M235">
        <f>IF($W235="","",IF(INDEX('Per Invoice'!M$2:M$801,$W235)="","",INDEX('Per Invoice'!M$2:M$801,$W235)))</f>
        <v/>
      </c>
      <c r="N235" s="7">
        <f>IF($W235="","",IF(INDEX('Per Invoice'!N$2:N$801,$W235)="","",INDEX('Per Invoice'!N$2:N$801,$W235)))</f>
        <v/>
      </c>
      <c r="O235" s="7">
        <f>IF($W235="","",IF(INDEX('Per Invoice'!O$2:O$801,$W235)="","",INDEX('Per Invoice'!O$2:O$801,$W235)))</f>
        <v/>
      </c>
      <c r="P235">
        <f>IF($W235="","",IF(INDEX('Per Invoice'!P$2:P$801,$W235)="","",INDEX('Per Invoice'!P$2:P$801,$W235)))</f>
        <v/>
      </c>
      <c r="Q235" s="7">
        <f>IF($W235="","",IF(INDEX('Per Invoice'!Q$2:Q$801,$W235)="","",INDEX('Per Invoice'!Q$2:Q$801,$W235)))</f>
        <v/>
      </c>
      <c r="R235" s="7">
        <f>IF($W235="","",IF(INDEX('Per Invoice'!R$2:R$801,$W235)="","",INDEX('Per Invoice'!R$2:R$801,$W235)))</f>
        <v/>
      </c>
      <c r="S235" s="7">
        <f>IF($W235="","",IF(INDEX('Per Invoice'!S$2:S$801,$W235)="","",INDEX('Per Invoice'!S$2:S$801,$W235)))</f>
        <v/>
      </c>
      <c r="T235" s="7">
        <f>IF($W235="","",IF(INDEX('Per Invoice'!T$2:T$801,$W235)="","",INDEX('Per Invoice'!T$2:T$801,$W235)))</f>
        <v/>
      </c>
      <c r="U235" s="7">
        <f>IF($W235="","",IF(INDEX('Per Invoice'!U$2:U$801,$W235)="","",INDEX('Per Invoice'!U$2:U$801,$W235)))</f>
        <v/>
      </c>
      <c r="V235" s="7">
        <f>IF($W235="","",IF(INDEX('Per Invoice'!V$2:V$801,$W235)="","",INDEX('Per Invoice'!V$2:V$801,$W235)))</f>
        <v/>
      </c>
      <c r="W235" s="16">
        <f>IFERROR(MATCH(Settings!$C$26&amp;"|"&amp;ROWS($W$2:$W235),'Per Invoice'!$X$2:$X$801,0),"")</f>
        <v/>
      </c>
    </row>
    <row r="236">
      <c r="A236">
        <f>IF($W236="","",IF(INDEX('Per Invoice'!A$2:A$801,$W236)="","",INDEX('Per Invoice'!A$2:A$801,$W236)))</f>
        <v/>
      </c>
      <c r="B236">
        <f>IF($W236="","",IF(INDEX('Per Invoice'!B$2:B$801,$W236)="","",INDEX('Per Invoice'!B$2:B$801,$W236)))</f>
        <v/>
      </c>
      <c r="C236">
        <f>IF($W236="","",IF(INDEX('Per Invoice'!C$2:C$801,$W236)="","",INDEX('Per Invoice'!C$2:C$801,$W236)))</f>
        <v/>
      </c>
      <c r="D236">
        <f>IF($W236="","",IF(INDEX('Per Invoice'!D$2:D$801,$W236)="","",INDEX('Per Invoice'!D$2:D$801,$W236)))</f>
        <v/>
      </c>
      <c r="E236">
        <f>IF($W236="","",IF(INDEX('Per Invoice'!E$2:E$801,$W236)="","",INDEX('Per Invoice'!E$2:E$801,$W236)))</f>
        <v/>
      </c>
      <c r="F236">
        <f>IF($W236="","",IF(INDEX('Per Invoice'!F$2:F$801,$W236)="","",INDEX('Per Invoice'!F$2:F$801,$W236)))</f>
        <v/>
      </c>
      <c r="G236">
        <f>IF($W236="","",IF(INDEX('Per Invoice'!G$2:G$801,$W236)="","",INDEX('Per Invoice'!G$2:G$801,$W236)))</f>
        <v/>
      </c>
      <c r="H236">
        <f>IF($W236="","",IF(INDEX('Per Invoice'!H$2:H$801,$W236)="","",INDEX('Per Invoice'!H$2:H$801,$W236)))</f>
        <v/>
      </c>
      <c r="I236">
        <f>IF($W236="","",IF(INDEX('Per Invoice'!I$2:I$801,$W236)="","",INDEX('Per Invoice'!I$2:I$801,$W236)))</f>
        <v/>
      </c>
      <c r="J236">
        <f>IF($W236="","",IF(INDEX('Per Invoice'!J$2:J$801,$W236)="","",INDEX('Per Invoice'!J$2:J$801,$W236)))</f>
        <v/>
      </c>
      <c r="K236" s="7">
        <f>IF($W236="","",IF(INDEX('Per Invoice'!K$2:K$801,$W236)="","",INDEX('Per Invoice'!K$2:K$801,$W236)))</f>
        <v/>
      </c>
      <c r="L236" s="14">
        <f>IF($W236="","",IF(INDEX('Per Invoice'!L$2:L$801,$W236)="","",INDEX('Per Invoice'!L$2:L$801,$W236)))</f>
        <v/>
      </c>
      <c r="M236">
        <f>IF($W236="","",IF(INDEX('Per Invoice'!M$2:M$801,$W236)="","",INDEX('Per Invoice'!M$2:M$801,$W236)))</f>
        <v/>
      </c>
      <c r="N236" s="7">
        <f>IF($W236="","",IF(INDEX('Per Invoice'!N$2:N$801,$W236)="","",INDEX('Per Invoice'!N$2:N$801,$W236)))</f>
        <v/>
      </c>
      <c r="O236" s="7">
        <f>IF($W236="","",IF(INDEX('Per Invoice'!O$2:O$801,$W236)="","",INDEX('Per Invoice'!O$2:O$801,$W236)))</f>
        <v/>
      </c>
      <c r="P236">
        <f>IF($W236="","",IF(INDEX('Per Invoice'!P$2:P$801,$W236)="","",INDEX('Per Invoice'!P$2:P$801,$W236)))</f>
        <v/>
      </c>
      <c r="Q236" s="7">
        <f>IF($W236="","",IF(INDEX('Per Invoice'!Q$2:Q$801,$W236)="","",INDEX('Per Invoice'!Q$2:Q$801,$W236)))</f>
        <v/>
      </c>
      <c r="R236" s="7">
        <f>IF($W236="","",IF(INDEX('Per Invoice'!R$2:R$801,$W236)="","",INDEX('Per Invoice'!R$2:R$801,$W236)))</f>
        <v/>
      </c>
      <c r="S236" s="7">
        <f>IF($W236="","",IF(INDEX('Per Invoice'!S$2:S$801,$W236)="","",INDEX('Per Invoice'!S$2:S$801,$W236)))</f>
        <v/>
      </c>
      <c r="T236" s="7">
        <f>IF($W236="","",IF(INDEX('Per Invoice'!T$2:T$801,$W236)="","",INDEX('Per Invoice'!T$2:T$801,$W236)))</f>
        <v/>
      </c>
      <c r="U236" s="7">
        <f>IF($W236="","",IF(INDEX('Per Invoice'!U$2:U$801,$W236)="","",INDEX('Per Invoice'!U$2:U$801,$W236)))</f>
        <v/>
      </c>
      <c r="V236" s="7">
        <f>IF($W236="","",IF(INDEX('Per Invoice'!V$2:V$801,$W236)="","",INDEX('Per Invoice'!V$2:V$801,$W236)))</f>
        <v/>
      </c>
      <c r="W236" s="16">
        <f>IFERROR(MATCH(Settings!$C$26&amp;"|"&amp;ROWS($W$2:$W236),'Per Invoice'!$X$2:$X$801,0),"")</f>
        <v/>
      </c>
    </row>
    <row r="237">
      <c r="A237">
        <f>IF($W237="","",IF(INDEX('Per Invoice'!A$2:A$801,$W237)="","",INDEX('Per Invoice'!A$2:A$801,$W237)))</f>
        <v/>
      </c>
      <c r="B237">
        <f>IF($W237="","",IF(INDEX('Per Invoice'!B$2:B$801,$W237)="","",INDEX('Per Invoice'!B$2:B$801,$W237)))</f>
        <v/>
      </c>
      <c r="C237">
        <f>IF($W237="","",IF(INDEX('Per Invoice'!C$2:C$801,$W237)="","",INDEX('Per Invoice'!C$2:C$801,$W237)))</f>
        <v/>
      </c>
      <c r="D237">
        <f>IF($W237="","",IF(INDEX('Per Invoice'!D$2:D$801,$W237)="","",INDEX('Per Invoice'!D$2:D$801,$W237)))</f>
        <v/>
      </c>
      <c r="E237">
        <f>IF($W237="","",IF(INDEX('Per Invoice'!E$2:E$801,$W237)="","",INDEX('Per Invoice'!E$2:E$801,$W237)))</f>
        <v/>
      </c>
      <c r="F237">
        <f>IF($W237="","",IF(INDEX('Per Invoice'!F$2:F$801,$W237)="","",INDEX('Per Invoice'!F$2:F$801,$W237)))</f>
        <v/>
      </c>
      <c r="G237">
        <f>IF($W237="","",IF(INDEX('Per Invoice'!G$2:G$801,$W237)="","",INDEX('Per Invoice'!G$2:G$801,$W237)))</f>
        <v/>
      </c>
      <c r="H237">
        <f>IF($W237="","",IF(INDEX('Per Invoice'!H$2:H$801,$W237)="","",INDEX('Per Invoice'!H$2:H$801,$W237)))</f>
        <v/>
      </c>
      <c r="I237">
        <f>IF($W237="","",IF(INDEX('Per Invoice'!I$2:I$801,$W237)="","",INDEX('Per Invoice'!I$2:I$801,$W237)))</f>
        <v/>
      </c>
      <c r="J237">
        <f>IF($W237="","",IF(INDEX('Per Invoice'!J$2:J$801,$W237)="","",INDEX('Per Invoice'!J$2:J$801,$W237)))</f>
        <v/>
      </c>
      <c r="K237" s="7">
        <f>IF($W237="","",IF(INDEX('Per Invoice'!K$2:K$801,$W237)="","",INDEX('Per Invoice'!K$2:K$801,$W237)))</f>
        <v/>
      </c>
      <c r="L237" s="14">
        <f>IF($W237="","",IF(INDEX('Per Invoice'!L$2:L$801,$W237)="","",INDEX('Per Invoice'!L$2:L$801,$W237)))</f>
        <v/>
      </c>
      <c r="M237">
        <f>IF($W237="","",IF(INDEX('Per Invoice'!M$2:M$801,$W237)="","",INDEX('Per Invoice'!M$2:M$801,$W237)))</f>
        <v/>
      </c>
      <c r="N237" s="7">
        <f>IF($W237="","",IF(INDEX('Per Invoice'!N$2:N$801,$W237)="","",INDEX('Per Invoice'!N$2:N$801,$W237)))</f>
        <v/>
      </c>
      <c r="O237" s="7">
        <f>IF($W237="","",IF(INDEX('Per Invoice'!O$2:O$801,$W237)="","",INDEX('Per Invoice'!O$2:O$801,$W237)))</f>
        <v/>
      </c>
      <c r="P237">
        <f>IF($W237="","",IF(INDEX('Per Invoice'!P$2:P$801,$W237)="","",INDEX('Per Invoice'!P$2:P$801,$W237)))</f>
        <v/>
      </c>
      <c r="Q237" s="7">
        <f>IF($W237="","",IF(INDEX('Per Invoice'!Q$2:Q$801,$W237)="","",INDEX('Per Invoice'!Q$2:Q$801,$W237)))</f>
        <v/>
      </c>
      <c r="R237" s="7">
        <f>IF($W237="","",IF(INDEX('Per Invoice'!R$2:R$801,$W237)="","",INDEX('Per Invoice'!R$2:R$801,$W237)))</f>
        <v/>
      </c>
      <c r="S237" s="7">
        <f>IF($W237="","",IF(INDEX('Per Invoice'!S$2:S$801,$W237)="","",INDEX('Per Invoice'!S$2:S$801,$W237)))</f>
        <v/>
      </c>
      <c r="T237" s="7">
        <f>IF($W237="","",IF(INDEX('Per Invoice'!T$2:T$801,$W237)="","",INDEX('Per Invoice'!T$2:T$801,$W237)))</f>
        <v/>
      </c>
      <c r="U237" s="7">
        <f>IF($W237="","",IF(INDEX('Per Invoice'!U$2:U$801,$W237)="","",INDEX('Per Invoice'!U$2:U$801,$W237)))</f>
        <v/>
      </c>
      <c r="V237" s="7">
        <f>IF($W237="","",IF(INDEX('Per Invoice'!V$2:V$801,$W237)="","",INDEX('Per Invoice'!V$2:V$801,$W237)))</f>
        <v/>
      </c>
      <c r="W237" s="16">
        <f>IFERROR(MATCH(Settings!$C$26&amp;"|"&amp;ROWS($W$2:$W237),'Per Invoice'!$X$2:$X$801,0),"")</f>
        <v/>
      </c>
    </row>
    <row r="238">
      <c r="A238">
        <f>IF($W238="","",IF(INDEX('Per Invoice'!A$2:A$801,$W238)="","",INDEX('Per Invoice'!A$2:A$801,$W238)))</f>
        <v/>
      </c>
      <c r="B238">
        <f>IF($W238="","",IF(INDEX('Per Invoice'!B$2:B$801,$W238)="","",INDEX('Per Invoice'!B$2:B$801,$W238)))</f>
        <v/>
      </c>
      <c r="C238">
        <f>IF($W238="","",IF(INDEX('Per Invoice'!C$2:C$801,$W238)="","",INDEX('Per Invoice'!C$2:C$801,$W238)))</f>
        <v/>
      </c>
      <c r="D238">
        <f>IF($W238="","",IF(INDEX('Per Invoice'!D$2:D$801,$W238)="","",INDEX('Per Invoice'!D$2:D$801,$W238)))</f>
        <v/>
      </c>
      <c r="E238">
        <f>IF($W238="","",IF(INDEX('Per Invoice'!E$2:E$801,$W238)="","",INDEX('Per Invoice'!E$2:E$801,$W238)))</f>
        <v/>
      </c>
      <c r="F238">
        <f>IF($W238="","",IF(INDEX('Per Invoice'!F$2:F$801,$W238)="","",INDEX('Per Invoice'!F$2:F$801,$W238)))</f>
        <v/>
      </c>
      <c r="G238">
        <f>IF($W238="","",IF(INDEX('Per Invoice'!G$2:G$801,$W238)="","",INDEX('Per Invoice'!G$2:G$801,$W238)))</f>
        <v/>
      </c>
      <c r="H238">
        <f>IF($W238="","",IF(INDEX('Per Invoice'!H$2:H$801,$W238)="","",INDEX('Per Invoice'!H$2:H$801,$W238)))</f>
        <v/>
      </c>
      <c r="I238">
        <f>IF($W238="","",IF(INDEX('Per Invoice'!I$2:I$801,$W238)="","",INDEX('Per Invoice'!I$2:I$801,$W238)))</f>
        <v/>
      </c>
      <c r="J238">
        <f>IF($W238="","",IF(INDEX('Per Invoice'!J$2:J$801,$W238)="","",INDEX('Per Invoice'!J$2:J$801,$W238)))</f>
        <v/>
      </c>
      <c r="K238" s="7">
        <f>IF($W238="","",IF(INDEX('Per Invoice'!K$2:K$801,$W238)="","",INDEX('Per Invoice'!K$2:K$801,$W238)))</f>
        <v/>
      </c>
      <c r="L238" s="14">
        <f>IF($W238="","",IF(INDEX('Per Invoice'!L$2:L$801,$W238)="","",INDEX('Per Invoice'!L$2:L$801,$W238)))</f>
        <v/>
      </c>
      <c r="M238">
        <f>IF($W238="","",IF(INDEX('Per Invoice'!M$2:M$801,$W238)="","",INDEX('Per Invoice'!M$2:M$801,$W238)))</f>
        <v/>
      </c>
      <c r="N238" s="7">
        <f>IF($W238="","",IF(INDEX('Per Invoice'!N$2:N$801,$W238)="","",INDEX('Per Invoice'!N$2:N$801,$W238)))</f>
        <v/>
      </c>
      <c r="O238" s="7">
        <f>IF($W238="","",IF(INDEX('Per Invoice'!O$2:O$801,$W238)="","",INDEX('Per Invoice'!O$2:O$801,$W238)))</f>
        <v/>
      </c>
      <c r="P238">
        <f>IF($W238="","",IF(INDEX('Per Invoice'!P$2:P$801,$W238)="","",INDEX('Per Invoice'!P$2:P$801,$W238)))</f>
        <v/>
      </c>
      <c r="Q238" s="7">
        <f>IF($W238="","",IF(INDEX('Per Invoice'!Q$2:Q$801,$W238)="","",INDEX('Per Invoice'!Q$2:Q$801,$W238)))</f>
        <v/>
      </c>
      <c r="R238" s="7">
        <f>IF($W238="","",IF(INDEX('Per Invoice'!R$2:R$801,$W238)="","",INDEX('Per Invoice'!R$2:R$801,$W238)))</f>
        <v/>
      </c>
      <c r="S238" s="7">
        <f>IF($W238="","",IF(INDEX('Per Invoice'!S$2:S$801,$W238)="","",INDEX('Per Invoice'!S$2:S$801,$W238)))</f>
        <v/>
      </c>
      <c r="T238" s="7">
        <f>IF($W238="","",IF(INDEX('Per Invoice'!T$2:T$801,$W238)="","",INDEX('Per Invoice'!T$2:T$801,$W238)))</f>
        <v/>
      </c>
      <c r="U238" s="7">
        <f>IF($W238="","",IF(INDEX('Per Invoice'!U$2:U$801,$W238)="","",INDEX('Per Invoice'!U$2:U$801,$W238)))</f>
        <v/>
      </c>
      <c r="V238" s="7">
        <f>IF($W238="","",IF(INDEX('Per Invoice'!V$2:V$801,$W238)="","",INDEX('Per Invoice'!V$2:V$801,$W238)))</f>
        <v/>
      </c>
      <c r="W238" s="16">
        <f>IFERROR(MATCH(Settings!$C$26&amp;"|"&amp;ROWS($W$2:$W238),'Per Invoice'!$X$2:$X$801,0),"")</f>
        <v/>
      </c>
    </row>
    <row r="239">
      <c r="A239">
        <f>IF($W239="","",IF(INDEX('Per Invoice'!A$2:A$801,$W239)="","",INDEX('Per Invoice'!A$2:A$801,$W239)))</f>
        <v/>
      </c>
      <c r="B239">
        <f>IF($W239="","",IF(INDEX('Per Invoice'!B$2:B$801,$W239)="","",INDEX('Per Invoice'!B$2:B$801,$W239)))</f>
        <v/>
      </c>
      <c r="C239">
        <f>IF($W239="","",IF(INDEX('Per Invoice'!C$2:C$801,$W239)="","",INDEX('Per Invoice'!C$2:C$801,$W239)))</f>
        <v/>
      </c>
      <c r="D239">
        <f>IF($W239="","",IF(INDEX('Per Invoice'!D$2:D$801,$W239)="","",INDEX('Per Invoice'!D$2:D$801,$W239)))</f>
        <v/>
      </c>
      <c r="E239">
        <f>IF($W239="","",IF(INDEX('Per Invoice'!E$2:E$801,$W239)="","",INDEX('Per Invoice'!E$2:E$801,$W239)))</f>
        <v/>
      </c>
      <c r="F239">
        <f>IF($W239="","",IF(INDEX('Per Invoice'!F$2:F$801,$W239)="","",INDEX('Per Invoice'!F$2:F$801,$W239)))</f>
        <v/>
      </c>
      <c r="G239">
        <f>IF($W239="","",IF(INDEX('Per Invoice'!G$2:G$801,$W239)="","",INDEX('Per Invoice'!G$2:G$801,$W239)))</f>
        <v/>
      </c>
      <c r="H239">
        <f>IF($W239="","",IF(INDEX('Per Invoice'!H$2:H$801,$W239)="","",INDEX('Per Invoice'!H$2:H$801,$W239)))</f>
        <v/>
      </c>
      <c r="I239">
        <f>IF($W239="","",IF(INDEX('Per Invoice'!I$2:I$801,$W239)="","",INDEX('Per Invoice'!I$2:I$801,$W239)))</f>
        <v/>
      </c>
      <c r="J239">
        <f>IF($W239="","",IF(INDEX('Per Invoice'!J$2:J$801,$W239)="","",INDEX('Per Invoice'!J$2:J$801,$W239)))</f>
        <v/>
      </c>
      <c r="K239" s="7">
        <f>IF($W239="","",IF(INDEX('Per Invoice'!K$2:K$801,$W239)="","",INDEX('Per Invoice'!K$2:K$801,$W239)))</f>
        <v/>
      </c>
      <c r="L239" s="14">
        <f>IF($W239="","",IF(INDEX('Per Invoice'!L$2:L$801,$W239)="","",INDEX('Per Invoice'!L$2:L$801,$W239)))</f>
        <v/>
      </c>
      <c r="M239">
        <f>IF($W239="","",IF(INDEX('Per Invoice'!M$2:M$801,$W239)="","",INDEX('Per Invoice'!M$2:M$801,$W239)))</f>
        <v/>
      </c>
      <c r="N239" s="7">
        <f>IF($W239="","",IF(INDEX('Per Invoice'!N$2:N$801,$W239)="","",INDEX('Per Invoice'!N$2:N$801,$W239)))</f>
        <v/>
      </c>
      <c r="O239" s="7">
        <f>IF($W239="","",IF(INDEX('Per Invoice'!O$2:O$801,$W239)="","",INDEX('Per Invoice'!O$2:O$801,$W239)))</f>
        <v/>
      </c>
      <c r="P239">
        <f>IF($W239="","",IF(INDEX('Per Invoice'!P$2:P$801,$W239)="","",INDEX('Per Invoice'!P$2:P$801,$W239)))</f>
        <v/>
      </c>
      <c r="Q239" s="7">
        <f>IF($W239="","",IF(INDEX('Per Invoice'!Q$2:Q$801,$W239)="","",INDEX('Per Invoice'!Q$2:Q$801,$W239)))</f>
        <v/>
      </c>
      <c r="R239" s="7">
        <f>IF($W239="","",IF(INDEX('Per Invoice'!R$2:R$801,$W239)="","",INDEX('Per Invoice'!R$2:R$801,$W239)))</f>
        <v/>
      </c>
      <c r="S239" s="7">
        <f>IF($W239="","",IF(INDEX('Per Invoice'!S$2:S$801,$W239)="","",INDEX('Per Invoice'!S$2:S$801,$W239)))</f>
        <v/>
      </c>
      <c r="T239" s="7">
        <f>IF($W239="","",IF(INDEX('Per Invoice'!T$2:T$801,$W239)="","",INDEX('Per Invoice'!T$2:T$801,$W239)))</f>
        <v/>
      </c>
      <c r="U239" s="7">
        <f>IF($W239="","",IF(INDEX('Per Invoice'!U$2:U$801,$W239)="","",INDEX('Per Invoice'!U$2:U$801,$W239)))</f>
        <v/>
      </c>
      <c r="V239" s="7">
        <f>IF($W239="","",IF(INDEX('Per Invoice'!V$2:V$801,$W239)="","",INDEX('Per Invoice'!V$2:V$801,$W239)))</f>
        <v/>
      </c>
      <c r="W239" s="16">
        <f>IFERROR(MATCH(Settings!$C$26&amp;"|"&amp;ROWS($W$2:$W239),'Per Invoice'!$X$2:$X$801,0),"")</f>
        <v/>
      </c>
    </row>
    <row r="240">
      <c r="A240">
        <f>IF($W240="","",IF(INDEX('Per Invoice'!A$2:A$801,$W240)="","",INDEX('Per Invoice'!A$2:A$801,$W240)))</f>
        <v/>
      </c>
      <c r="B240">
        <f>IF($W240="","",IF(INDEX('Per Invoice'!B$2:B$801,$W240)="","",INDEX('Per Invoice'!B$2:B$801,$W240)))</f>
        <v/>
      </c>
      <c r="C240">
        <f>IF($W240="","",IF(INDEX('Per Invoice'!C$2:C$801,$W240)="","",INDEX('Per Invoice'!C$2:C$801,$W240)))</f>
        <v/>
      </c>
      <c r="D240">
        <f>IF($W240="","",IF(INDEX('Per Invoice'!D$2:D$801,$W240)="","",INDEX('Per Invoice'!D$2:D$801,$W240)))</f>
        <v/>
      </c>
      <c r="E240">
        <f>IF($W240="","",IF(INDEX('Per Invoice'!E$2:E$801,$W240)="","",INDEX('Per Invoice'!E$2:E$801,$W240)))</f>
        <v/>
      </c>
      <c r="F240">
        <f>IF($W240="","",IF(INDEX('Per Invoice'!F$2:F$801,$W240)="","",INDEX('Per Invoice'!F$2:F$801,$W240)))</f>
        <v/>
      </c>
      <c r="G240">
        <f>IF($W240="","",IF(INDEX('Per Invoice'!G$2:G$801,$W240)="","",INDEX('Per Invoice'!G$2:G$801,$W240)))</f>
        <v/>
      </c>
      <c r="H240">
        <f>IF($W240="","",IF(INDEX('Per Invoice'!H$2:H$801,$W240)="","",INDEX('Per Invoice'!H$2:H$801,$W240)))</f>
        <v/>
      </c>
      <c r="I240">
        <f>IF($W240="","",IF(INDEX('Per Invoice'!I$2:I$801,$W240)="","",INDEX('Per Invoice'!I$2:I$801,$W240)))</f>
        <v/>
      </c>
      <c r="J240">
        <f>IF($W240="","",IF(INDEX('Per Invoice'!J$2:J$801,$W240)="","",INDEX('Per Invoice'!J$2:J$801,$W240)))</f>
        <v/>
      </c>
      <c r="K240" s="7">
        <f>IF($W240="","",IF(INDEX('Per Invoice'!K$2:K$801,$W240)="","",INDEX('Per Invoice'!K$2:K$801,$W240)))</f>
        <v/>
      </c>
      <c r="L240" s="14">
        <f>IF($W240="","",IF(INDEX('Per Invoice'!L$2:L$801,$W240)="","",INDEX('Per Invoice'!L$2:L$801,$W240)))</f>
        <v/>
      </c>
      <c r="M240">
        <f>IF($W240="","",IF(INDEX('Per Invoice'!M$2:M$801,$W240)="","",INDEX('Per Invoice'!M$2:M$801,$W240)))</f>
        <v/>
      </c>
      <c r="N240" s="7">
        <f>IF($W240="","",IF(INDEX('Per Invoice'!N$2:N$801,$W240)="","",INDEX('Per Invoice'!N$2:N$801,$W240)))</f>
        <v/>
      </c>
      <c r="O240" s="7">
        <f>IF($W240="","",IF(INDEX('Per Invoice'!O$2:O$801,$W240)="","",INDEX('Per Invoice'!O$2:O$801,$W240)))</f>
        <v/>
      </c>
      <c r="P240">
        <f>IF($W240="","",IF(INDEX('Per Invoice'!P$2:P$801,$W240)="","",INDEX('Per Invoice'!P$2:P$801,$W240)))</f>
        <v/>
      </c>
      <c r="Q240" s="7">
        <f>IF($W240="","",IF(INDEX('Per Invoice'!Q$2:Q$801,$W240)="","",INDEX('Per Invoice'!Q$2:Q$801,$W240)))</f>
        <v/>
      </c>
      <c r="R240" s="7">
        <f>IF($W240="","",IF(INDEX('Per Invoice'!R$2:R$801,$W240)="","",INDEX('Per Invoice'!R$2:R$801,$W240)))</f>
        <v/>
      </c>
      <c r="S240" s="7">
        <f>IF($W240="","",IF(INDEX('Per Invoice'!S$2:S$801,$W240)="","",INDEX('Per Invoice'!S$2:S$801,$W240)))</f>
        <v/>
      </c>
      <c r="T240" s="7">
        <f>IF($W240="","",IF(INDEX('Per Invoice'!T$2:T$801,$W240)="","",INDEX('Per Invoice'!T$2:T$801,$W240)))</f>
        <v/>
      </c>
      <c r="U240" s="7">
        <f>IF($W240="","",IF(INDEX('Per Invoice'!U$2:U$801,$W240)="","",INDEX('Per Invoice'!U$2:U$801,$W240)))</f>
        <v/>
      </c>
      <c r="V240" s="7">
        <f>IF($W240="","",IF(INDEX('Per Invoice'!V$2:V$801,$W240)="","",INDEX('Per Invoice'!V$2:V$801,$W240)))</f>
        <v/>
      </c>
      <c r="W240" s="16">
        <f>IFERROR(MATCH(Settings!$C$26&amp;"|"&amp;ROWS($W$2:$W240),'Per Invoice'!$X$2:$X$801,0),"")</f>
        <v/>
      </c>
    </row>
    <row r="241">
      <c r="A241">
        <f>IF($W241="","",IF(INDEX('Per Invoice'!A$2:A$801,$W241)="","",INDEX('Per Invoice'!A$2:A$801,$W241)))</f>
        <v/>
      </c>
      <c r="B241">
        <f>IF($W241="","",IF(INDEX('Per Invoice'!B$2:B$801,$W241)="","",INDEX('Per Invoice'!B$2:B$801,$W241)))</f>
        <v/>
      </c>
      <c r="C241">
        <f>IF($W241="","",IF(INDEX('Per Invoice'!C$2:C$801,$W241)="","",INDEX('Per Invoice'!C$2:C$801,$W241)))</f>
        <v/>
      </c>
      <c r="D241">
        <f>IF($W241="","",IF(INDEX('Per Invoice'!D$2:D$801,$W241)="","",INDEX('Per Invoice'!D$2:D$801,$W241)))</f>
        <v/>
      </c>
      <c r="E241">
        <f>IF($W241="","",IF(INDEX('Per Invoice'!E$2:E$801,$W241)="","",INDEX('Per Invoice'!E$2:E$801,$W241)))</f>
        <v/>
      </c>
      <c r="F241">
        <f>IF($W241="","",IF(INDEX('Per Invoice'!F$2:F$801,$W241)="","",INDEX('Per Invoice'!F$2:F$801,$W241)))</f>
        <v/>
      </c>
      <c r="G241">
        <f>IF($W241="","",IF(INDEX('Per Invoice'!G$2:G$801,$W241)="","",INDEX('Per Invoice'!G$2:G$801,$W241)))</f>
        <v/>
      </c>
      <c r="H241">
        <f>IF($W241="","",IF(INDEX('Per Invoice'!H$2:H$801,$W241)="","",INDEX('Per Invoice'!H$2:H$801,$W241)))</f>
        <v/>
      </c>
      <c r="I241">
        <f>IF($W241="","",IF(INDEX('Per Invoice'!I$2:I$801,$W241)="","",INDEX('Per Invoice'!I$2:I$801,$W241)))</f>
        <v/>
      </c>
      <c r="J241">
        <f>IF($W241="","",IF(INDEX('Per Invoice'!J$2:J$801,$W241)="","",INDEX('Per Invoice'!J$2:J$801,$W241)))</f>
        <v/>
      </c>
      <c r="K241" s="7">
        <f>IF($W241="","",IF(INDEX('Per Invoice'!K$2:K$801,$W241)="","",INDEX('Per Invoice'!K$2:K$801,$W241)))</f>
        <v/>
      </c>
      <c r="L241" s="14">
        <f>IF($W241="","",IF(INDEX('Per Invoice'!L$2:L$801,$W241)="","",INDEX('Per Invoice'!L$2:L$801,$W241)))</f>
        <v/>
      </c>
      <c r="M241">
        <f>IF($W241="","",IF(INDEX('Per Invoice'!M$2:M$801,$W241)="","",INDEX('Per Invoice'!M$2:M$801,$W241)))</f>
        <v/>
      </c>
      <c r="N241" s="7">
        <f>IF($W241="","",IF(INDEX('Per Invoice'!N$2:N$801,$W241)="","",INDEX('Per Invoice'!N$2:N$801,$W241)))</f>
        <v/>
      </c>
      <c r="O241" s="7">
        <f>IF($W241="","",IF(INDEX('Per Invoice'!O$2:O$801,$W241)="","",INDEX('Per Invoice'!O$2:O$801,$W241)))</f>
        <v/>
      </c>
      <c r="P241">
        <f>IF($W241="","",IF(INDEX('Per Invoice'!P$2:P$801,$W241)="","",INDEX('Per Invoice'!P$2:P$801,$W241)))</f>
        <v/>
      </c>
      <c r="Q241" s="7">
        <f>IF($W241="","",IF(INDEX('Per Invoice'!Q$2:Q$801,$W241)="","",INDEX('Per Invoice'!Q$2:Q$801,$W241)))</f>
        <v/>
      </c>
      <c r="R241" s="7">
        <f>IF($W241="","",IF(INDEX('Per Invoice'!R$2:R$801,$W241)="","",INDEX('Per Invoice'!R$2:R$801,$W241)))</f>
        <v/>
      </c>
      <c r="S241" s="7">
        <f>IF($W241="","",IF(INDEX('Per Invoice'!S$2:S$801,$W241)="","",INDEX('Per Invoice'!S$2:S$801,$W241)))</f>
        <v/>
      </c>
      <c r="T241" s="7">
        <f>IF($W241="","",IF(INDEX('Per Invoice'!T$2:T$801,$W241)="","",INDEX('Per Invoice'!T$2:T$801,$W241)))</f>
        <v/>
      </c>
      <c r="U241" s="7">
        <f>IF($W241="","",IF(INDEX('Per Invoice'!U$2:U$801,$W241)="","",INDEX('Per Invoice'!U$2:U$801,$W241)))</f>
        <v/>
      </c>
      <c r="V241" s="7">
        <f>IF($W241="","",IF(INDEX('Per Invoice'!V$2:V$801,$W241)="","",INDEX('Per Invoice'!V$2:V$801,$W241)))</f>
        <v/>
      </c>
      <c r="W241" s="16">
        <f>IFERROR(MATCH(Settings!$C$26&amp;"|"&amp;ROWS($W$2:$W241),'Per Invoice'!$X$2:$X$801,0),"")</f>
        <v/>
      </c>
    </row>
    <row r="242">
      <c r="A242">
        <f>IF($W242="","",IF(INDEX('Per Invoice'!A$2:A$801,$W242)="","",INDEX('Per Invoice'!A$2:A$801,$W242)))</f>
        <v/>
      </c>
      <c r="B242">
        <f>IF($W242="","",IF(INDEX('Per Invoice'!B$2:B$801,$W242)="","",INDEX('Per Invoice'!B$2:B$801,$W242)))</f>
        <v/>
      </c>
      <c r="C242">
        <f>IF($W242="","",IF(INDEX('Per Invoice'!C$2:C$801,$W242)="","",INDEX('Per Invoice'!C$2:C$801,$W242)))</f>
        <v/>
      </c>
      <c r="D242">
        <f>IF($W242="","",IF(INDEX('Per Invoice'!D$2:D$801,$W242)="","",INDEX('Per Invoice'!D$2:D$801,$W242)))</f>
        <v/>
      </c>
      <c r="E242">
        <f>IF($W242="","",IF(INDEX('Per Invoice'!E$2:E$801,$W242)="","",INDEX('Per Invoice'!E$2:E$801,$W242)))</f>
        <v/>
      </c>
      <c r="F242">
        <f>IF($W242="","",IF(INDEX('Per Invoice'!F$2:F$801,$W242)="","",INDEX('Per Invoice'!F$2:F$801,$W242)))</f>
        <v/>
      </c>
      <c r="G242">
        <f>IF($W242="","",IF(INDEX('Per Invoice'!G$2:G$801,$W242)="","",INDEX('Per Invoice'!G$2:G$801,$W242)))</f>
        <v/>
      </c>
      <c r="H242">
        <f>IF($W242="","",IF(INDEX('Per Invoice'!H$2:H$801,$W242)="","",INDEX('Per Invoice'!H$2:H$801,$W242)))</f>
        <v/>
      </c>
      <c r="I242">
        <f>IF($W242="","",IF(INDEX('Per Invoice'!I$2:I$801,$W242)="","",INDEX('Per Invoice'!I$2:I$801,$W242)))</f>
        <v/>
      </c>
      <c r="J242">
        <f>IF($W242="","",IF(INDEX('Per Invoice'!J$2:J$801,$W242)="","",INDEX('Per Invoice'!J$2:J$801,$W242)))</f>
        <v/>
      </c>
      <c r="K242" s="7">
        <f>IF($W242="","",IF(INDEX('Per Invoice'!K$2:K$801,$W242)="","",INDEX('Per Invoice'!K$2:K$801,$W242)))</f>
        <v/>
      </c>
      <c r="L242" s="14">
        <f>IF($W242="","",IF(INDEX('Per Invoice'!L$2:L$801,$W242)="","",INDEX('Per Invoice'!L$2:L$801,$W242)))</f>
        <v/>
      </c>
      <c r="M242">
        <f>IF($W242="","",IF(INDEX('Per Invoice'!M$2:M$801,$W242)="","",INDEX('Per Invoice'!M$2:M$801,$W242)))</f>
        <v/>
      </c>
      <c r="N242" s="7">
        <f>IF($W242="","",IF(INDEX('Per Invoice'!N$2:N$801,$W242)="","",INDEX('Per Invoice'!N$2:N$801,$W242)))</f>
        <v/>
      </c>
      <c r="O242" s="7">
        <f>IF($W242="","",IF(INDEX('Per Invoice'!O$2:O$801,$W242)="","",INDEX('Per Invoice'!O$2:O$801,$W242)))</f>
        <v/>
      </c>
      <c r="P242">
        <f>IF($W242="","",IF(INDEX('Per Invoice'!P$2:P$801,$W242)="","",INDEX('Per Invoice'!P$2:P$801,$W242)))</f>
        <v/>
      </c>
      <c r="Q242" s="7">
        <f>IF($W242="","",IF(INDEX('Per Invoice'!Q$2:Q$801,$W242)="","",INDEX('Per Invoice'!Q$2:Q$801,$W242)))</f>
        <v/>
      </c>
      <c r="R242" s="7">
        <f>IF($W242="","",IF(INDEX('Per Invoice'!R$2:R$801,$W242)="","",INDEX('Per Invoice'!R$2:R$801,$W242)))</f>
        <v/>
      </c>
      <c r="S242" s="7">
        <f>IF($W242="","",IF(INDEX('Per Invoice'!S$2:S$801,$W242)="","",INDEX('Per Invoice'!S$2:S$801,$W242)))</f>
        <v/>
      </c>
      <c r="T242" s="7">
        <f>IF($W242="","",IF(INDEX('Per Invoice'!T$2:T$801,$W242)="","",INDEX('Per Invoice'!T$2:T$801,$W242)))</f>
        <v/>
      </c>
      <c r="U242" s="7">
        <f>IF($W242="","",IF(INDEX('Per Invoice'!U$2:U$801,$W242)="","",INDEX('Per Invoice'!U$2:U$801,$W242)))</f>
        <v/>
      </c>
      <c r="V242" s="7">
        <f>IF($W242="","",IF(INDEX('Per Invoice'!V$2:V$801,$W242)="","",INDEX('Per Invoice'!V$2:V$801,$W242)))</f>
        <v/>
      </c>
      <c r="W242" s="16">
        <f>IFERROR(MATCH(Settings!$C$26&amp;"|"&amp;ROWS($W$2:$W242),'Per Invoice'!$X$2:$X$801,0),"")</f>
        <v/>
      </c>
    </row>
    <row r="243">
      <c r="A243">
        <f>IF($W243="","",IF(INDEX('Per Invoice'!A$2:A$801,$W243)="","",INDEX('Per Invoice'!A$2:A$801,$W243)))</f>
        <v/>
      </c>
      <c r="B243">
        <f>IF($W243="","",IF(INDEX('Per Invoice'!B$2:B$801,$W243)="","",INDEX('Per Invoice'!B$2:B$801,$W243)))</f>
        <v/>
      </c>
      <c r="C243">
        <f>IF($W243="","",IF(INDEX('Per Invoice'!C$2:C$801,$W243)="","",INDEX('Per Invoice'!C$2:C$801,$W243)))</f>
        <v/>
      </c>
      <c r="D243">
        <f>IF($W243="","",IF(INDEX('Per Invoice'!D$2:D$801,$W243)="","",INDEX('Per Invoice'!D$2:D$801,$W243)))</f>
        <v/>
      </c>
      <c r="E243">
        <f>IF($W243="","",IF(INDEX('Per Invoice'!E$2:E$801,$W243)="","",INDEX('Per Invoice'!E$2:E$801,$W243)))</f>
        <v/>
      </c>
      <c r="F243">
        <f>IF($W243="","",IF(INDEX('Per Invoice'!F$2:F$801,$W243)="","",INDEX('Per Invoice'!F$2:F$801,$W243)))</f>
        <v/>
      </c>
      <c r="G243">
        <f>IF($W243="","",IF(INDEX('Per Invoice'!G$2:G$801,$W243)="","",INDEX('Per Invoice'!G$2:G$801,$W243)))</f>
        <v/>
      </c>
      <c r="H243">
        <f>IF($W243="","",IF(INDEX('Per Invoice'!H$2:H$801,$W243)="","",INDEX('Per Invoice'!H$2:H$801,$W243)))</f>
        <v/>
      </c>
      <c r="I243">
        <f>IF($W243="","",IF(INDEX('Per Invoice'!I$2:I$801,$W243)="","",INDEX('Per Invoice'!I$2:I$801,$W243)))</f>
        <v/>
      </c>
      <c r="J243">
        <f>IF($W243="","",IF(INDEX('Per Invoice'!J$2:J$801,$W243)="","",INDEX('Per Invoice'!J$2:J$801,$W243)))</f>
        <v/>
      </c>
      <c r="K243" s="7">
        <f>IF($W243="","",IF(INDEX('Per Invoice'!K$2:K$801,$W243)="","",INDEX('Per Invoice'!K$2:K$801,$W243)))</f>
        <v/>
      </c>
      <c r="L243" s="14">
        <f>IF($W243="","",IF(INDEX('Per Invoice'!L$2:L$801,$W243)="","",INDEX('Per Invoice'!L$2:L$801,$W243)))</f>
        <v/>
      </c>
      <c r="M243">
        <f>IF($W243="","",IF(INDEX('Per Invoice'!M$2:M$801,$W243)="","",INDEX('Per Invoice'!M$2:M$801,$W243)))</f>
        <v/>
      </c>
      <c r="N243" s="7">
        <f>IF($W243="","",IF(INDEX('Per Invoice'!N$2:N$801,$W243)="","",INDEX('Per Invoice'!N$2:N$801,$W243)))</f>
        <v/>
      </c>
      <c r="O243" s="7">
        <f>IF($W243="","",IF(INDEX('Per Invoice'!O$2:O$801,$W243)="","",INDEX('Per Invoice'!O$2:O$801,$W243)))</f>
        <v/>
      </c>
      <c r="P243">
        <f>IF($W243="","",IF(INDEX('Per Invoice'!P$2:P$801,$W243)="","",INDEX('Per Invoice'!P$2:P$801,$W243)))</f>
        <v/>
      </c>
      <c r="Q243" s="7">
        <f>IF($W243="","",IF(INDEX('Per Invoice'!Q$2:Q$801,$W243)="","",INDEX('Per Invoice'!Q$2:Q$801,$W243)))</f>
        <v/>
      </c>
      <c r="R243" s="7">
        <f>IF($W243="","",IF(INDEX('Per Invoice'!R$2:R$801,$W243)="","",INDEX('Per Invoice'!R$2:R$801,$W243)))</f>
        <v/>
      </c>
      <c r="S243" s="7">
        <f>IF($W243="","",IF(INDEX('Per Invoice'!S$2:S$801,$W243)="","",INDEX('Per Invoice'!S$2:S$801,$W243)))</f>
        <v/>
      </c>
      <c r="T243" s="7">
        <f>IF($W243="","",IF(INDEX('Per Invoice'!T$2:T$801,$W243)="","",INDEX('Per Invoice'!T$2:T$801,$W243)))</f>
        <v/>
      </c>
      <c r="U243" s="7">
        <f>IF($W243="","",IF(INDEX('Per Invoice'!U$2:U$801,$W243)="","",INDEX('Per Invoice'!U$2:U$801,$W243)))</f>
        <v/>
      </c>
      <c r="V243" s="7">
        <f>IF($W243="","",IF(INDEX('Per Invoice'!V$2:V$801,$W243)="","",INDEX('Per Invoice'!V$2:V$801,$W243)))</f>
        <v/>
      </c>
      <c r="W243" s="16">
        <f>IFERROR(MATCH(Settings!$C$26&amp;"|"&amp;ROWS($W$2:$W243),'Per Invoice'!$X$2:$X$801,0),"")</f>
        <v/>
      </c>
    </row>
    <row r="244">
      <c r="A244">
        <f>IF($W244="","",IF(INDEX('Per Invoice'!A$2:A$801,$W244)="","",INDEX('Per Invoice'!A$2:A$801,$W244)))</f>
        <v/>
      </c>
      <c r="B244">
        <f>IF($W244="","",IF(INDEX('Per Invoice'!B$2:B$801,$W244)="","",INDEX('Per Invoice'!B$2:B$801,$W244)))</f>
        <v/>
      </c>
      <c r="C244">
        <f>IF($W244="","",IF(INDEX('Per Invoice'!C$2:C$801,$W244)="","",INDEX('Per Invoice'!C$2:C$801,$W244)))</f>
        <v/>
      </c>
      <c r="D244">
        <f>IF($W244="","",IF(INDEX('Per Invoice'!D$2:D$801,$W244)="","",INDEX('Per Invoice'!D$2:D$801,$W244)))</f>
        <v/>
      </c>
      <c r="E244">
        <f>IF($W244="","",IF(INDEX('Per Invoice'!E$2:E$801,$W244)="","",INDEX('Per Invoice'!E$2:E$801,$W244)))</f>
        <v/>
      </c>
      <c r="F244">
        <f>IF($W244="","",IF(INDEX('Per Invoice'!F$2:F$801,$W244)="","",INDEX('Per Invoice'!F$2:F$801,$W244)))</f>
        <v/>
      </c>
      <c r="G244">
        <f>IF($W244="","",IF(INDEX('Per Invoice'!G$2:G$801,$W244)="","",INDEX('Per Invoice'!G$2:G$801,$W244)))</f>
        <v/>
      </c>
      <c r="H244">
        <f>IF($W244="","",IF(INDEX('Per Invoice'!H$2:H$801,$W244)="","",INDEX('Per Invoice'!H$2:H$801,$W244)))</f>
        <v/>
      </c>
      <c r="I244">
        <f>IF($W244="","",IF(INDEX('Per Invoice'!I$2:I$801,$W244)="","",INDEX('Per Invoice'!I$2:I$801,$W244)))</f>
        <v/>
      </c>
      <c r="J244">
        <f>IF($W244="","",IF(INDEX('Per Invoice'!J$2:J$801,$W244)="","",INDEX('Per Invoice'!J$2:J$801,$W244)))</f>
        <v/>
      </c>
      <c r="K244" s="7">
        <f>IF($W244="","",IF(INDEX('Per Invoice'!K$2:K$801,$W244)="","",INDEX('Per Invoice'!K$2:K$801,$W244)))</f>
        <v/>
      </c>
      <c r="L244" s="14">
        <f>IF($W244="","",IF(INDEX('Per Invoice'!L$2:L$801,$W244)="","",INDEX('Per Invoice'!L$2:L$801,$W244)))</f>
        <v/>
      </c>
      <c r="M244">
        <f>IF($W244="","",IF(INDEX('Per Invoice'!M$2:M$801,$W244)="","",INDEX('Per Invoice'!M$2:M$801,$W244)))</f>
        <v/>
      </c>
      <c r="N244" s="7">
        <f>IF($W244="","",IF(INDEX('Per Invoice'!N$2:N$801,$W244)="","",INDEX('Per Invoice'!N$2:N$801,$W244)))</f>
        <v/>
      </c>
      <c r="O244" s="7">
        <f>IF($W244="","",IF(INDEX('Per Invoice'!O$2:O$801,$W244)="","",INDEX('Per Invoice'!O$2:O$801,$W244)))</f>
        <v/>
      </c>
      <c r="P244">
        <f>IF($W244="","",IF(INDEX('Per Invoice'!P$2:P$801,$W244)="","",INDEX('Per Invoice'!P$2:P$801,$W244)))</f>
        <v/>
      </c>
      <c r="Q244" s="7">
        <f>IF($W244="","",IF(INDEX('Per Invoice'!Q$2:Q$801,$W244)="","",INDEX('Per Invoice'!Q$2:Q$801,$W244)))</f>
        <v/>
      </c>
      <c r="R244" s="7">
        <f>IF($W244="","",IF(INDEX('Per Invoice'!R$2:R$801,$W244)="","",INDEX('Per Invoice'!R$2:R$801,$W244)))</f>
        <v/>
      </c>
      <c r="S244" s="7">
        <f>IF($W244="","",IF(INDEX('Per Invoice'!S$2:S$801,$W244)="","",INDEX('Per Invoice'!S$2:S$801,$W244)))</f>
        <v/>
      </c>
      <c r="T244" s="7">
        <f>IF($W244="","",IF(INDEX('Per Invoice'!T$2:T$801,$W244)="","",INDEX('Per Invoice'!T$2:T$801,$W244)))</f>
        <v/>
      </c>
      <c r="U244" s="7">
        <f>IF($W244="","",IF(INDEX('Per Invoice'!U$2:U$801,$W244)="","",INDEX('Per Invoice'!U$2:U$801,$W244)))</f>
        <v/>
      </c>
      <c r="V244" s="7">
        <f>IF($W244="","",IF(INDEX('Per Invoice'!V$2:V$801,$W244)="","",INDEX('Per Invoice'!V$2:V$801,$W244)))</f>
        <v/>
      </c>
      <c r="W244" s="16">
        <f>IFERROR(MATCH(Settings!$C$26&amp;"|"&amp;ROWS($W$2:$W244),'Per Invoice'!$X$2:$X$801,0),"")</f>
        <v/>
      </c>
    </row>
    <row r="245">
      <c r="A245">
        <f>IF($W245="","",IF(INDEX('Per Invoice'!A$2:A$801,$W245)="","",INDEX('Per Invoice'!A$2:A$801,$W245)))</f>
        <v/>
      </c>
      <c r="B245">
        <f>IF($W245="","",IF(INDEX('Per Invoice'!B$2:B$801,$W245)="","",INDEX('Per Invoice'!B$2:B$801,$W245)))</f>
        <v/>
      </c>
      <c r="C245">
        <f>IF($W245="","",IF(INDEX('Per Invoice'!C$2:C$801,$W245)="","",INDEX('Per Invoice'!C$2:C$801,$W245)))</f>
        <v/>
      </c>
      <c r="D245">
        <f>IF($W245="","",IF(INDEX('Per Invoice'!D$2:D$801,$W245)="","",INDEX('Per Invoice'!D$2:D$801,$W245)))</f>
        <v/>
      </c>
      <c r="E245">
        <f>IF($W245="","",IF(INDEX('Per Invoice'!E$2:E$801,$W245)="","",INDEX('Per Invoice'!E$2:E$801,$W245)))</f>
        <v/>
      </c>
      <c r="F245">
        <f>IF($W245="","",IF(INDEX('Per Invoice'!F$2:F$801,$W245)="","",INDEX('Per Invoice'!F$2:F$801,$W245)))</f>
        <v/>
      </c>
      <c r="G245">
        <f>IF($W245="","",IF(INDEX('Per Invoice'!G$2:G$801,$W245)="","",INDEX('Per Invoice'!G$2:G$801,$W245)))</f>
        <v/>
      </c>
      <c r="H245">
        <f>IF($W245="","",IF(INDEX('Per Invoice'!H$2:H$801,$W245)="","",INDEX('Per Invoice'!H$2:H$801,$W245)))</f>
        <v/>
      </c>
      <c r="I245">
        <f>IF($W245="","",IF(INDEX('Per Invoice'!I$2:I$801,$W245)="","",INDEX('Per Invoice'!I$2:I$801,$W245)))</f>
        <v/>
      </c>
      <c r="J245">
        <f>IF($W245="","",IF(INDEX('Per Invoice'!J$2:J$801,$W245)="","",INDEX('Per Invoice'!J$2:J$801,$W245)))</f>
        <v/>
      </c>
      <c r="K245" s="7">
        <f>IF($W245="","",IF(INDEX('Per Invoice'!K$2:K$801,$W245)="","",INDEX('Per Invoice'!K$2:K$801,$W245)))</f>
        <v/>
      </c>
      <c r="L245" s="14">
        <f>IF($W245="","",IF(INDEX('Per Invoice'!L$2:L$801,$W245)="","",INDEX('Per Invoice'!L$2:L$801,$W245)))</f>
        <v/>
      </c>
      <c r="M245">
        <f>IF($W245="","",IF(INDEX('Per Invoice'!M$2:M$801,$W245)="","",INDEX('Per Invoice'!M$2:M$801,$W245)))</f>
        <v/>
      </c>
      <c r="N245" s="7">
        <f>IF($W245="","",IF(INDEX('Per Invoice'!N$2:N$801,$W245)="","",INDEX('Per Invoice'!N$2:N$801,$W245)))</f>
        <v/>
      </c>
      <c r="O245" s="7">
        <f>IF($W245="","",IF(INDEX('Per Invoice'!O$2:O$801,$W245)="","",INDEX('Per Invoice'!O$2:O$801,$W245)))</f>
        <v/>
      </c>
      <c r="P245">
        <f>IF($W245="","",IF(INDEX('Per Invoice'!P$2:P$801,$W245)="","",INDEX('Per Invoice'!P$2:P$801,$W245)))</f>
        <v/>
      </c>
      <c r="Q245" s="7">
        <f>IF($W245="","",IF(INDEX('Per Invoice'!Q$2:Q$801,$W245)="","",INDEX('Per Invoice'!Q$2:Q$801,$W245)))</f>
        <v/>
      </c>
      <c r="R245" s="7">
        <f>IF($W245="","",IF(INDEX('Per Invoice'!R$2:R$801,$W245)="","",INDEX('Per Invoice'!R$2:R$801,$W245)))</f>
        <v/>
      </c>
      <c r="S245" s="7">
        <f>IF($W245="","",IF(INDEX('Per Invoice'!S$2:S$801,$W245)="","",INDEX('Per Invoice'!S$2:S$801,$W245)))</f>
        <v/>
      </c>
      <c r="T245" s="7">
        <f>IF($W245="","",IF(INDEX('Per Invoice'!T$2:T$801,$W245)="","",INDEX('Per Invoice'!T$2:T$801,$W245)))</f>
        <v/>
      </c>
      <c r="U245" s="7">
        <f>IF($W245="","",IF(INDEX('Per Invoice'!U$2:U$801,$W245)="","",INDEX('Per Invoice'!U$2:U$801,$W245)))</f>
        <v/>
      </c>
      <c r="V245" s="7">
        <f>IF($W245="","",IF(INDEX('Per Invoice'!V$2:V$801,$W245)="","",INDEX('Per Invoice'!V$2:V$801,$W245)))</f>
        <v/>
      </c>
      <c r="W245" s="16">
        <f>IFERROR(MATCH(Settings!$C$26&amp;"|"&amp;ROWS($W$2:$W245),'Per Invoice'!$X$2:$X$801,0),"")</f>
        <v/>
      </c>
    </row>
    <row r="246">
      <c r="A246">
        <f>IF($W246="","",IF(INDEX('Per Invoice'!A$2:A$801,$W246)="","",INDEX('Per Invoice'!A$2:A$801,$W246)))</f>
        <v/>
      </c>
      <c r="B246">
        <f>IF($W246="","",IF(INDEX('Per Invoice'!B$2:B$801,$W246)="","",INDEX('Per Invoice'!B$2:B$801,$W246)))</f>
        <v/>
      </c>
      <c r="C246">
        <f>IF($W246="","",IF(INDEX('Per Invoice'!C$2:C$801,$W246)="","",INDEX('Per Invoice'!C$2:C$801,$W246)))</f>
        <v/>
      </c>
      <c r="D246">
        <f>IF($W246="","",IF(INDEX('Per Invoice'!D$2:D$801,$W246)="","",INDEX('Per Invoice'!D$2:D$801,$W246)))</f>
        <v/>
      </c>
      <c r="E246">
        <f>IF($W246="","",IF(INDEX('Per Invoice'!E$2:E$801,$W246)="","",INDEX('Per Invoice'!E$2:E$801,$W246)))</f>
        <v/>
      </c>
      <c r="F246">
        <f>IF($W246="","",IF(INDEX('Per Invoice'!F$2:F$801,$W246)="","",INDEX('Per Invoice'!F$2:F$801,$W246)))</f>
        <v/>
      </c>
      <c r="G246">
        <f>IF($W246="","",IF(INDEX('Per Invoice'!G$2:G$801,$W246)="","",INDEX('Per Invoice'!G$2:G$801,$W246)))</f>
        <v/>
      </c>
      <c r="H246">
        <f>IF($W246="","",IF(INDEX('Per Invoice'!H$2:H$801,$W246)="","",INDEX('Per Invoice'!H$2:H$801,$W246)))</f>
        <v/>
      </c>
      <c r="I246">
        <f>IF($W246="","",IF(INDEX('Per Invoice'!I$2:I$801,$W246)="","",INDEX('Per Invoice'!I$2:I$801,$W246)))</f>
        <v/>
      </c>
      <c r="J246">
        <f>IF($W246="","",IF(INDEX('Per Invoice'!J$2:J$801,$W246)="","",INDEX('Per Invoice'!J$2:J$801,$W246)))</f>
        <v/>
      </c>
      <c r="K246" s="7">
        <f>IF($W246="","",IF(INDEX('Per Invoice'!K$2:K$801,$W246)="","",INDEX('Per Invoice'!K$2:K$801,$W246)))</f>
        <v/>
      </c>
      <c r="L246" s="14">
        <f>IF($W246="","",IF(INDEX('Per Invoice'!L$2:L$801,$W246)="","",INDEX('Per Invoice'!L$2:L$801,$W246)))</f>
        <v/>
      </c>
      <c r="M246">
        <f>IF($W246="","",IF(INDEX('Per Invoice'!M$2:M$801,$W246)="","",INDEX('Per Invoice'!M$2:M$801,$W246)))</f>
        <v/>
      </c>
      <c r="N246" s="7">
        <f>IF($W246="","",IF(INDEX('Per Invoice'!N$2:N$801,$W246)="","",INDEX('Per Invoice'!N$2:N$801,$W246)))</f>
        <v/>
      </c>
      <c r="O246" s="7">
        <f>IF($W246="","",IF(INDEX('Per Invoice'!O$2:O$801,$W246)="","",INDEX('Per Invoice'!O$2:O$801,$W246)))</f>
        <v/>
      </c>
      <c r="P246">
        <f>IF($W246="","",IF(INDEX('Per Invoice'!P$2:P$801,$W246)="","",INDEX('Per Invoice'!P$2:P$801,$W246)))</f>
        <v/>
      </c>
      <c r="Q246" s="7">
        <f>IF($W246="","",IF(INDEX('Per Invoice'!Q$2:Q$801,$W246)="","",INDEX('Per Invoice'!Q$2:Q$801,$W246)))</f>
        <v/>
      </c>
      <c r="R246" s="7">
        <f>IF($W246="","",IF(INDEX('Per Invoice'!R$2:R$801,$W246)="","",INDEX('Per Invoice'!R$2:R$801,$W246)))</f>
        <v/>
      </c>
      <c r="S246" s="7">
        <f>IF($W246="","",IF(INDEX('Per Invoice'!S$2:S$801,$W246)="","",INDEX('Per Invoice'!S$2:S$801,$W246)))</f>
        <v/>
      </c>
      <c r="T246" s="7">
        <f>IF($W246="","",IF(INDEX('Per Invoice'!T$2:T$801,$W246)="","",INDEX('Per Invoice'!T$2:T$801,$W246)))</f>
        <v/>
      </c>
      <c r="U246" s="7">
        <f>IF($W246="","",IF(INDEX('Per Invoice'!U$2:U$801,$W246)="","",INDEX('Per Invoice'!U$2:U$801,$W246)))</f>
        <v/>
      </c>
      <c r="V246" s="7">
        <f>IF($W246="","",IF(INDEX('Per Invoice'!V$2:V$801,$W246)="","",INDEX('Per Invoice'!V$2:V$801,$W246)))</f>
        <v/>
      </c>
      <c r="W246" s="16">
        <f>IFERROR(MATCH(Settings!$C$26&amp;"|"&amp;ROWS($W$2:$W246),'Per Invoice'!$X$2:$X$801,0),"")</f>
        <v/>
      </c>
    </row>
    <row r="247">
      <c r="A247">
        <f>IF($W247="","",IF(INDEX('Per Invoice'!A$2:A$801,$W247)="","",INDEX('Per Invoice'!A$2:A$801,$W247)))</f>
        <v/>
      </c>
      <c r="B247">
        <f>IF($W247="","",IF(INDEX('Per Invoice'!B$2:B$801,$W247)="","",INDEX('Per Invoice'!B$2:B$801,$W247)))</f>
        <v/>
      </c>
      <c r="C247">
        <f>IF($W247="","",IF(INDEX('Per Invoice'!C$2:C$801,$W247)="","",INDEX('Per Invoice'!C$2:C$801,$W247)))</f>
        <v/>
      </c>
      <c r="D247">
        <f>IF($W247="","",IF(INDEX('Per Invoice'!D$2:D$801,$W247)="","",INDEX('Per Invoice'!D$2:D$801,$W247)))</f>
        <v/>
      </c>
      <c r="E247">
        <f>IF($W247="","",IF(INDEX('Per Invoice'!E$2:E$801,$W247)="","",INDEX('Per Invoice'!E$2:E$801,$W247)))</f>
        <v/>
      </c>
      <c r="F247">
        <f>IF($W247="","",IF(INDEX('Per Invoice'!F$2:F$801,$W247)="","",INDEX('Per Invoice'!F$2:F$801,$W247)))</f>
        <v/>
      </c>
      <c r="G247">
        <f>IF($W247="","",IF(INDEX('Per Invoice'!G$2:G$801,$W247)="","",INDEX('Per Invoice'!G$2:G$801,$W247)))</f>
        <v/>
      </c>
      <c r="H247">
        <f>IF($W247="","",IF(INDEX('Per Invoice'!H$2:H$801,$W247)="","",INDEX('Per Invoice'!H$2:H$801,$W247)))</f>
        <v/>
      </c>
      <c r="I247">
        <f>IF($W247="","",IF(INDEX('Per Invoice'!I$2:I$801,$W247)="","",INDEX('Per Invoice'!I$2:I$801,$W247)))</f>
        <v/>
      </c>
      <c r="J247">
        <f>IF($W247="","",IF(INDEX('Per Invoice'!J$2:J$801,$W247)="","",INDEX('Per Invoice'!J$2:J$801,$W247)))</f>
        <v/>
      </c>
      <c r="K247" s="7">
        <f>IF($W247="","",IF(INDEX('Per Invoice'!K$2:K$801,$W247)="","",INDEX('Per Invoice'!K$2:K$801,$W247)))</f>
        <v/>
      </c>
      <c r="L247" s="14">
        <f>IF($W247="","",IF(INDEX('Per Invoice'!L$2:L$801,$W247)="","",INDEX('Per Invoice'!L$2:L$801,$W247)))</f>
        <v/>
      </c>
      <c r="M247">
        <f>IF($W247="","",IF(INDEX('Per Invoice'!M$2:M$801,$W247)="","",INDEX('Per Invoice'!M$2:M$801,$W247)))</f>
        <v/>
      </c>
      <c r="N247" s="7">
        <f>IF($W247="","",IF(INDEX('Per Invoice'!N$2:N$801,$W247)="","",INDEX('Per Invoice'!N$2:N$801,$W247)))</f>
        <v/>
      </c>
      <c r="O247" s="7">
        <f>IF($W247="","",IF(INDEX('Per Invoice'!O$2:O$801,$W247)="","",INDEX('Per Invoice'!O$2:O$801,$W247)))</f>
        <v/>
      </c>
      <c r="P247">
        <f>IF($W247="","",IF(INDEX('Per Invoice'!P$2:P$801,$W247)="","",INDEX('Per Invoice'!P$2:P$801,$W247)))</f>
        <v/>
      </c>
      <c r="Q247" s="7">
        <f>IF($W247="","",IF(INDEX('Per Invoice'!Q$2:Q$801,$W247)="","",INDEX('Per Invoice'!Q$2:Q$801,$W247)))</f>
        <v/>
      </c>
      <c r="R247" s="7">
        <f>IF($W247="","",IF(INDEX('Per Invoice'!R$2:R$801,$W247)="","",INDEX('Per Invoice'!R$2:R$801,$W247)))</f>
        <v/>
      </c>
      <c r="S247" s="7">
        <f>IF($W247="","",IF(INDEX('Per Invoice'!S$2:S$801,$W247)="","",INDEX('Per Invoice'!S$2:S$801,$W247)))</f>
        <v/>
      </c>
      <c r="T247" s="7">
        <f>IF($W247="","",IF(INDEX('Per Invoice'!T$2:T$801,$W247)="","",INDEX('Per Invoice'!T$2:T$801,$W247)))</f>
        <v/>
      </c>
      <c r="U247" s="7">
        <f>IF($W247="","",IF(INDEX('Per Invoice'!U$2:U$801,$W247)="","",INDEX('Per Invoice'!U$2:U$801,$W247)))</f>
        <v/>
      </c>
      <c r="V247" s="7">
        <f>IF($W247="","",IF(INDEX('Per Invoice'!V$2:V$801,$W247)="","",INDEX('Per Invoice'!V$2:V$801,$W247)))</f>
        <v/>
      </c>
      <c r="W247" s="16">
        <f>IFERROR(MATCH(Settings!$C$26&amp;"|"&amp;ROWS($W$2:$W247),'Per Invoice'!$X$2:$X$801,0),"")</f>
        <v/>
      </c>
    </row>
    <row r="248">
      <c r="A248">
        <f>IF($W248="","",IF(INDEX('Per Invoice'!A$2:A$801,$W248)="","",INDEX('Per Invoice'!A$2:A$801,$W248)))</f>
        <v/>
      </c>
      <c r="B248">
        <f>IF($W248="","",IF(INDEX('Per Invoice'!B$2:B$801,$W248)="","",INDEX('Per Invoice'!B$2:B$801,$W248)))</f>
        <v/>
      </c>
      <c r="C248">
        <f>IF($W248="","",IF(INDEX('Per Invoice'!C$2:C$801,$W248)="","",INDEX('Per Invoice'!C$2:C$801,$W248)))</f>
        <v/>
      </c>
      <c r="D248">
        <f>IF($W248="","",IF(INDEX('Per Invoice'!D$2:D$801,$W248)="","",INDEX('Per Invoice'!D$2:D$801,$W248)))</f>
        <v/>
      </c>
      <c r="E248">
        <f>IF($W248="","",IF(INDEX('Per Invoice'!E$2:E$801,$W248)="","",INDEX('Per Invoice'!E$2:E$801,$W248)))</f>
        <v/>
      </c>
      <c r="F248">
        <f>IF($W248="","",IF(INDEX('Per Invoice'!F$2:F$801,$W248)="","",INDEX('Per Invoice'!F$2:F$801,$W248)))</f>
        <v/>
      </c>
      <c r="G248">
        <f>IF($W248="","",IF(INDEX('Per Invoice'!G$2:G$801,$W248)="","",INDEX('Per Invoice'!G$2:G$801,$W248)))</f>
        <v/>
      </c>
      <c r="H248">
        <f>IF($W248="","",IF(INDEX('Per Invoice'!H$2:H$801,$W248)="","",INDEX('Per Invoice'!H$2:H$801,$W248)))</f>
        <v/>
      </c>
      <c r="I248">
        <f>IF($W248="","",IF(INDEX('Per Invoice'!I$2:I$801,$W248)="","",INDEX('Per Invoice'!I$2:I$801,$W248)))</f>
        <v/>
      </c>
      <c r="J248">
        <f>IF($W248="","",IF(INDEX('Per Invoice'!J$2:J$801,$W248)="","",INDEX('Per Invoice'!J$2:J$801,$W248)))</f>
        <v/>
      </c>
      <c r="K248" s="7">
        <f>IF($W248="","",IF(INDEX('Per Invoice'!K$2:K$801,$W248)="","",INDEX('Per Invoice'!K$2:K$801,$W248)))</f>
        <v/>
      </c>
      <c r="L248" s="14">
        <f>IF($W248="","",IF(INDEX('Per Invoice'!L$2:L$801,$W248)="","",INDEX('Per Invoice'!L$2:L$801,$W248)))</f>
        <v/>
      </c>
      <c r="M248">
        <f>IF($W248="","",IF(INDEX('Per Invoice'!M$2:M$801,$W248)="","",INDEX('Per Invoice'!M$2:M$801,$W248)))</f>
        <v/>
      </c>
      <c r="N248" s="7">
        <f>IF($W248="","",IF(INDEX('Per Invoice'!N$2:N$801,$W248)="","",INDEX('Per Invoice'!N$2:N$801,$W248)))</f>
        <v/>
      </c>
      <c r="O248" s="7">
        <f>IF($W248="","",IF(INDEX('Per Invoice'!O$2:O$801,$W248)="","",INDEX('Per Invoice'!O$2:O$801,$W248)))</f>
        <v/>
      </c>
      <c r="P248">
        <f>IF($W248="","",IF(INDEX('Per Invoice'!P$2:P$801,$W248)="","",INDEX('Per Invoice'!P$2:P$801,$W248)))</f>
        <v/>
      </c>
      <c r="Q248" s="7">
        <f>IF($W248="","",IF(INDEX('Per Invoice'!Q$2:Q$801,$W248)="","",INDEX('Per Invoice'!Q$2:Q$801,$W248)))</f>
        <v/>
      </c>
      <c r="R248" s="7">
        <f>IF($W248="","",IF(INDEX('Per Invoice'!R$2:R$801,$W248)="","",INDEX('Per Invoice'!R$2:R$801,$W248)))</f>
        <v/>
      </c>
      <c r="S248" s="7">
        <f>IF($W248="","",IF(INDEX('Per Invoice'!S$2:S$801,$W248)="","",INDEX('Per Invoice'!S$2:S$801,$W248)))</f>
        <v/>
      </c>
      <c r="T248" s="7">
        <f>IF($W248="","",IF(INDEX('Per Invoice'!T$2:T$801,$W248)="","",INDEX('Per Invoice'!T$2:T$801,$W248)))</f>
        <v/>
      </c>
      <c r="U248" s="7">
        <f>IF($W248="","",IF(INDEX('Per Invoice'!U$2:U$801,$W248)="","",INDEX('Per Invoice'!U$2:U$801,$W248)))</f>
        <v/>
      </c>
      <c r="V248" s="7">
        <f>IF($W248="","",IF(INDEX('Per Invoice'!V$2:V$801,$W248)="","",INDEX('Per Invoice'!V$2:V$801,$W248)))</f>
        <v/>
      </c>
      <c r="W248" s="16">
        <f>IFERROR(MATCH(Settings!$C$26&amp;"|"&amp;ROWS($W$2:$W248),'Per Invoice'!$X$2:$X$801,0),"")</f>
        <v/>
      </c>
    </row>
    <row r="249">
      <c r="A249">
        <f>IF($W249="","",IF(INDEX('Per Invoice'!A$2:A$801,$W249)="","",INDEX('Per Invoice'!A$2:A$801,$W249)))</f>
        <v/>
      </c>
      <c r="B249">
        <f>IF($W249="","",IF(INDEX('Per Invoice'!B$2:B$801,$W249)="","",INDEX('Per Invoice'!B$2:B$801,$W249)))</f>
        <v/>
      </c>
      <c r="C249">
        <f>IF($W249="","",IF(INDEX('Per Invoice'!C$2:C$801,$W249)="","",INDEX('Per Invoice'!C$2:C$801,$W249)))</f>
        <v/>
      </c>
      <c r="D249">
        <f>IF($W249="","",IF(INDEX('Per Invoice'!D$2:D$801,$W249)="","",INDEX('Per Invoice'!D$2:D$801,$W249)))</f>
        <v/>
      </c>
      <c r="E249">
        <f>IF($W249="","",IF(INDEX('Per Invoice'!E$2:E$801,$W249)="","",INDEX('Per Invoice'!E$2:E$801,$W249)))</f>
        <v/>
      </c>
      <c r="F249">
        <f>IF($W249="","",IF(INDEX('Per Invoice'!F$2:F$801,$W249)="","",INDEX('Per Invoice'!F$2:F$801,$W249)))</f>
        <v/>
      </c>
      <c r="G249">
        <f>IF($W249="","",IF(INDEX('Per Invoice'!G$2:G$801,$W249)="","",INDEX('Per Invoice'!G$2:G$801,$W249)))</f>
        <v/>
      </c>
      <c r="H249">
        <f>IF($W249="","",IF(INDEX('Per Invoice'!H$2:H$801,$W249)="","",INDEX('Per Invoice'!H$2:H$801,$W249)))</f>
        <v/>
      </c>
      <c r="I249">
        <f>IF($W249="","",IF(INDEX('Per Invoice'!I$2:I$801,$W249)="","",INDEX('Per Invoice'!I$2:I$801,$W249)))</f>
        <v/>
      </c>
      <c r="J249">
        <f>IF($W249="","",IF(INDEX('Per Invoice'!J$2:J$801,$W249)="","",INDEX('Per Invoice'!J$2:J$801,$W249)))</f>
        <v/>
      </c>
      <c r="K249" s="7">
        <f>IF($W249="","",IF(INDEX('Per Invoice'!K$2:K$801,$W249)="","",INDEX('Per Invoice'!K$2:K$801,$W249)))</f>
        <v/>
      </c>
      <c r="L249" s="14">
        <f>IF($W249="","",IF(INDEX('Per Invoice'!L$2:L$801,$W249)="","",INDEX('Per Invoice'!L$2:L$801,$W249)))</f>
        <v/>
      </c>
      <c r="M249">
        <f>IF($W249="","",IF(INDEX('Per Invoice'!M$2:M$801,$W249)="","",INDEX('Per Invoice'!M$2:M$801,$W249)))</f>
        <v/>
      </c>
      <c r="N249" s="7">
        <f>IF($W249="","",IF(INDEX('Per Invoice'!N$2:N$801,$W249)="","",INDEX('Per Invoice'!N$2:N$801,$W249)))</f>
        <v/>
      </c>
      <c r="O249" s="7">
        <f>IF($W249="","",IF(INDEX('Per Invoice'!O$2:O$801,$W249)="","",INDEX('Per Invoice'!O$2:O$801,$W249)))</f>
        <v/>
      </c>
      <c r="P249">
        <f>IF($W249="","",IF(INDEX('Per Invoice'!P$2:P$801,$W249)="","",INDEX('Per Invoice'!P$2:P$801,$W249)))</f>
        <v/>
      </c>
      <c r="Q249" s="7">
        <f>IF($W249="","",IF(INDEX('Per Invoice'!Q$2:Q$801,$W249)="","",INDEX('Per Invoice'!Q$2:Q$801,$W249)))</f>
        <v/>
      </c>
      <c r="R249" s="7">
        <f>IF($W249="","",IF(INDEX('Per Invoice'!R$2:R$801,$W249)="","",INDEX('Per Invoice'!R$2:R$801,$W249)))</f>
        <v/>
      </c>
      <c r="S249" s="7">
        <f>IF($W249="","",IF(INDEX('Per Invoice'!S$2:S$801,$W249)="","",INDEX('Per Invoice'!S$2:S$801,$W249)))</f>
        <v/>
      </c>
      <c r="T249" s="7">
        <f>IF($W249="","",IF(INDEX('Per Invoice'!T$2:T$801,$W249)="","",INDEX('Per Invoice'!T$2:T$801,$W249)))</f>
        <v/>
      </c>
      <c r="U249" s="7">
        <f>IF($W249="","",IF(INDEX('Per Invoice'!U$2:U$801,$W249)="","",INDEX('Per Invoice'!U$2:U$801,$W249)))</f>
        <v/>
      </c>
      <c r="V249" s="7">
        <f>IF($W249="","",IF(INDEX('Per Invoice'!V$2:V$801,$W249)="","",INDEX('Per Invoice'!V$2:V$801,$W249)))</f>
        <v/>
      </c>
      <c r="W249" s="16">
        <f>IFERROR(MATCH(Settings!$C$26&amp;"|"&amp;ROWS($W$2:$W249),'Per Invoice'!$X$2:$X$801,0),"")</f>
        <v/>
      </c>
    </row>
    <row r="250">
      <c r="A250">
        <f>IF($W250="","",IF(INDEX('Per Invoice'!A$2:A$801,$W250)="","",INDEX('Per Invoice'!A$2:A$801,$W250)))</f>
        <v/>
      </c>
      <c r="B250">
        <f>IF($W250="","",IF(INDEX('Per Invoice'!B$2:B$801,$W250)="","",INDEX('Per Invoice'!B$2:B$801,$W250)))</f>
        <v/>
      </c>
      <c r="C250">
        <f>IF($W250="","",IF(INDEX('Per Invoice'!C$2:C$801,$W250)="","",INDEX('Per Invoice'!C$2:C$801,$W250)))</f>
        <v/>
      </c>
      <c r="D250">
        <f>IF($W250="","",IF(INDEX('Per Invoice'!D$2:D$801,$W250)="","",INDEX('Per Invoice'!D$2:D$801,$W250)))</f>
        <v/>
      </c>
      <c r="E250">
        <f>IF($W250="","",IF(INDEX('Per Invoice'!E$2:E$801,$W250)="","",INDEX('Per Invoice'!E$2:E$801,$W250)))</f>
        <v/>
      </c>
      <c r="F250">
        <f>IF($W250="","",IF(INDEX('Per Invoice'!F$2:F$801,$W250)="","",INDEX('Per Invoice'!F$2:F$801,$W250)))</f>
        <v/>
      </c>
      <c r="G250">
        <f>IF($W250="","",IF(INDEX('Per Invoice'!G$2:G$801,$W250)="","",INDEX('Per Invoice'!G$2:G$801,$W250)))</f>
        <v/>
      </c>
      <c r="H250">
        <f>IF($W250="","",IF(INDEX('Per Invoice'!H$2:H$801,$W250)="","",INDEX('Per Invoice'!H$2:H$801,$W250)))</f>
        <v/>
      </c>
      <c r="I250">
        <f>IF($W250="","",IF(INDEX('Per Invoice'!I$2:I$801,$W250)="","",INDEX('Per Invoice'!I$2:I$801,$W250)))</f>
        <v/>
      </c>
      <c r="J250">
        <f>IF($W250="","",IF(INDEX('Per Invoice'!J$2:J$801,$W250)="","",INDEX('Per Invoice'!J$2:J$801,$W250)))</f>
        <v/>
      </c>
      <c r="K250" s="7">
        <f>IF($W250="","",IF(INDEX('Per Invoice'!K$2:K$801,$W250)="","",INDEX('Per Invoice'!K$2:K$801,$W250)))</f>
        <v/>
      </c>
      <c r="L250" s="14">
        <f>IF($W250="","",IF(INDEX('Per Invoice'!L$2:L$801,$W250)="","",INDEX('Per Invoice'!L$2:L$801,$W250)))</f>
        <v/>
      </c>
      <c r="M250">
        <f>IF($W250="","",IF(INDEX('Per Invoice'!M$2:M$801,$W250)="","",INDEX('Per Invoice'!M$2:M$801,$W250)))</f>
        <v/>
      </c>
      <c r="N250" s="7">
        <f>IF($W250="","",IF(INDEX('Per Invoice'!N$2:N$801,$W250)="","",INDEX('Per Invoice'!N$2:N$801,$W250)))</f>
        <v/>
      </c>
      <c r="O250" s="7">
        <f>IF($W250="","",IF(INDEX('Per Invoice'!O$2:O$801,$W250)="","",INDEX('Per Invoice'!O$2:O$801,$W250)))</f>
        <v/>
      </c>
      <c r="P250">
        <f>IF($W250="","",IF(INDEX('Per Invoice'!P$2:P$801,$W250)="","",INDEX('Per Invoice'!P$2:P$801,$W250)))</f>
        <v/>
      </c>
      <c r="Q250" s="7">
        <f>IF($W250="","",IF(INDEX('Per Invoice'!Q$2:Q$801,$W250)="","",INDEX('Per Invoice'!Q$2:Q$801,$W250)))</f>
        <v/>
      </c>
      <c r="R250" s="7">
        <f>IF($W250="","",IF(INDEX('Per Invoice'!R$2:R$801,$W250)="","",INDEX('Per Invoice'!R$2:R$801,$W250)))</f>
        <v/>
      </c>
      <c r="S250" s="7">
        <f>IF($W250="","",IF(INDEX('Per Invoice'!S$2:S$801,$W250)="","",INDEX('Per Invoice'!S$2:S$801,$W250)))</f>
        <v/>
      </c>
      <c r="T250" s="7">
        <f>IF($W250="","",IF(INDEX('Per Invoice'!T$2:T$801,$W250)="","",INDEX('Per Invoice'!T$2:T$801,$W250)))</f>
        <v/>
      </c>
      <c r="U250" s="7">
        <f>IF($W250="","",IF(INDEX('Per Invoice'!U$2:U$801,$W250)="","",INDEX('Per Invoice'!U$2:U$801,$W250)))</f>
        <v/>
      </c>
      <c r="V250" s="7">
        <f>IF($W250="","",IF(INDEX('Per Invoice'!V$2:V$801,$W250)="","",INDEX('Per Invoice'!V$2:V$801,$W250)))</f>
        <v/>
      </c>
      <c r="W250" s="16">
        <f>IFERROR(MATCH(Settings!$C$26&amp;"|"&amp;ROWS($W$2:$W250),'Per Invoice'!$X$2:$X$801,0),"")</f>
        <v/>
      </c>
    </row>
    <row r="251">
      <c r="A251">
        <f>IF($W251="","",IF(INDEX('Per Invoice'!A$2:A$801,$W251)="","",INDEX('Per Invoice'!A$2:A$801,$W251)))</f>
        <v/>
      </c>
      <c r="B251">
        <f>IF($W251="","",IF(INDEX('Per Invoice'!B$2:B$801,$W251)="","",INDEX('Per Invoice'!B$2:B$801,$W251)))</f>
        <v/>
      </c>
      <c r="C251">
        <f>IF($W251="","",IF(INDEX('Per Invoice'!C$2:C$801,$W251)="","",INDEX('Per Invoice'!C$2:C$801,$W251)))</f>
        <v/>
      </c>
      <c r="D251">
        <f>IF($W251="","",IF(INDEX('Per Invoice'!D$2:D$801,$W251)="","",INDEX('Per Invoice'!D$2:D$801,$W251)))</f>
        <v/>
      </c>
      <c r="E251">
        <f>IF($W251="","",IF(INDEX('Per Invoice'!E$2:E$801,$W251)="","",INDEX('Per Invoice'!E$2:E$801,$W251)))</f>
        <v/>
      </c>
      <c r="F251">
        <f>IF($W251="","",IF(INDEX('Per Invoice'!F$2:F$801,$W251)="","",INDEX('Per Invoice'!F$2:F$801,$W251)))</f>
        <v/>
      </c>
      <c r="G251">
        <f>IF($W251="","",IF(INDEX('Per Invoice'!G$2:G$801,$W251)="","",INDEX('Per Invoice'!G$2:G$801,$W251)))</f>
        <v/>
      </c>
      <c r="H251">
        <f>IF($W251="","",IF(INDEX('Per Invoice'!H$2:H$801,$W251)="","",INDEX('Per Invoice'!H$2:H$801,$W251)))</f>
        <v/>
      </c>
      <c r="I251">
        <f>IF($W251="","",IF(INDEX('Per Invoice'!I$2:I$801,$W251)="","",INDEX('Per Invoice'!I$2:I$801,$W251)))</f>
        <v/>
      </c>
      <c r="J251">
        <f>IF($W251="","",IF(INDEX('Per Invoice'!J$2:J$801,$W251)="","",INDEX('Per Invoice'!J$2:J$801,$W251)))</f>
        <v/>
      </c>
      <c r="K251" s="7">
        <f>IF($W251="","",IF(INDEX('Per Invoice'!K$2:K$801,$W251)="","",INDEX('Per Invoice'!K$2:K$801,$W251)))</f>
        <v/>
      </c>
      <c r="L251" s="14">
        <f>IF($W251="","",IF(INDEX('Per Invoice'!L$2:L$801,$W251)="","",INDEX('Per Invoice'!L$2:L$801,$W251)))</f>
        <v/>
      </c>
      <c r="M251">
        <f>IF($W251="","",IF(INDEX('Per Invoice'!M$2:M$801,$W251)="","",INDEX('Per Invoice'!M$2:M$801,$W251)))</f>
        <v/>
      </c>
      <c r="N251" s="7">
        <f>IF($W251="","",IF(INDEX('Per Invoice'!N$2:N$801,$W251)="","",INDEX('Per Invoice'!N$2:N$801,$W251)))</f>
        <v/>
      </c>
      <c r="O251" s="7">
        <f>IF($W251="","",IF(INDEX('Per Invoice'!O$2:O$801,$W251)="","",INDEX('Per Invoice'!O$2:O$801,$W251)))</f>
        <v/>
      </c>
      <c r="P251">
        <f>IF($W251="","",IF(INDEX('Per Invoice'!P$2:P$801,$W251)="","",INDEX('Per Invoice'!P$2:P$801,$W251)))</f>
        <v/>
      </c>
      <c r="Q251" s="7">
        <f>IF($W251="","",IF(INDEX('Per Invoice'!Q$2:Q$801,$W251)="","",INDEX('Per Invoice'!Q$2:Q$801,$W251)))</f>
        <v/>
      </c>
      <c r="R251" s="7">
        <f>IF($W251="","",IF(INDEX('Per Invoice'!R$2:R$801,$W251)="","",INDEX('Per Invoice'!R$2:R$801,$W251)))</f>
        <v/>
      </c>
      <c r="S251" s="7">
        <f>IF($W251="","",IF(INDEX('Per Invoice'!S$2:S$801,$W251)="","",INDEX('Per Invoice'!S$2:S$801,$W251)))</f>
        <v/>
      </c>
      <c r="T251" s="7">
        <f>IF($W251="","",IF(INDEX('Per Invoice'!T$2:T$801,$W251)="","",INDEX('Per Invoice'!T$2:T$801,$W251)))</f>
        <v/>
      </c>
      <c r="U251" s="7">
        <f>IF($W251="","",IF(INDEX('Per Invoice'!U$2:U$801,$W251)="","",INDEX('Per Invoice'!U$2:U$801,$W251)))</f>
        <v/>
      </c>
      <c r="V251" s="7">
        <f>IF($W251="","",IF(INDEX('Per Invoice'!V$2:V$801,$W251)="","",INDEX('Per Invoice'!V$2:V$801,$W251)))</f>
        <v/>
      </c>
      <c r="W251" s="16">
        <f>IFERROR(MATCH(Settings!$C$26&amp;"|"&amp;ROWS($W$2:$W251),'Per Invoice'!$X$2:$X$801,0),"")</f>
        <v/>
      </c>
    </row>
    <row r="252">
      <c r="A252">
        <f>IF($W252="","",IF(INDEX('Per Invoice'!A$2:A$801,$W252)="","",INDEX('Per Invoice'!A$2:A$801,$W252)))</f>
        <v/>
      </c>
      <c r="B252">
        <f>IF($W252="","",IF(INDEX('Per Invoice'!B$2:B$801,$W252)="","",INDEX('Per Invoice'!B$2:B$801,$W252)))</f>
        <v/>
      </c>
      <c r="C252">
        <f>IF($W252="","",IF(INDEX('Per Invoice'!C$2:C$801,$W252)="","",INDEX('Per Invoice'!C$2:C$801,$W252)))</f>
        <v/>
      </c>
      <c r="D252">
        <f>IF($W252="","",IF(INDEX('Per Invoice'!D$2:D$801,$W252)="","",INDEX('Per Invoice'!D$2:D$801,$W252)))</f>
        <v/>
      </c>
      <c r="E252">
        <f>IF($W252="","",IF(INDEX('Per Invoice'!E$2:E$801,$W252)="","",INDEX('Per Invoice'!E$2:E$801,$W252)))</f>
        <v/>
      </c>
      <c r="F252">
        <f>IF($W252="","",IF(INDEX('Per Invoice'!F$2:F$801,$W252)="","",INDEX('Per Invoice'!F$2:F$801,$W252)))</f>
        <v/>
      </c>
      <c r="G252">
        <f>IF($W252="","",IF(INDEX('Per Invoice'!G$2:G$801,$W252)="","",INDEX('Per Invoice'!G$2:G$801,$W252)))</f>
        <v/>
      </c>
      <c r="H252">
        <f>IF($W252="","",IF(INDEX('Per Invoice'!H$2:H$801,$W252)="","",INDEX('Per Invoice'!H$2:H$801,$W252)))</f>
        <v/>
      </c>
      <c r="I252">
        <f>IF($W252="","",IF(INDEX('Per Invoice'!I$2:I$801,$W252)="","",INDEX('Per Invoice'!I$2:I$801,$W252)))</f>
        <v/>
      </c>
      <c r="J252">
        <f>IF($W252="","",IF(INDEX('Per Invoice'!J$2:J$801,$W252)="","",INDEX('Per Invoice'!J$2:J$801,$W252)))</f>
        <v/>
      </c>
      <c r="K252" s="7">
        <f>IF($W252="","",IF(INDEX('Per Invoice'!K$2:K$801,$W252)="","",INDEX('Per Invoice'!K$2:K$801,$W252)))</f>
        <v/>
      </c>
      <c r="L252" s="14">
        <f>IF($W252="","",IF(INDEX('Per Invoice'!L$2:L$801,$W252)="","",INDEX('Per Invoice'!L$2:L$801,$W252)))</f>
        <v/>
      </c>
      <c r="M252">
        <f>IF($W252="","",IF(INDEX('Per Invoice'!M$2:M$801,$W252)="","",INDEX('Per Invoice'!M$2:M$801,$W252)))</f>
        <v/>
      </c>
      <c r="N252" s="7">
        <f>IF($W252="","",IF(INDEX('Per Invoice'!N$2:N$801,$W252)="","",INDEX('Per Invoice'!N$2:N$801,$W252)))</f>
        <v/>
      </c>
      <c r="O252" s="7">
        <f>IF($W252="","",IF(INDEX('Per Invoice'!O$2:O$801,$W252)="","",INDEX('Per Invoice'!O$2:O$801,$W252)))</f>
        <v/>
      </c>
      <c r="P252">
        <f>IF($W252="","",IF(INDEX('Per Invoice'!P$2:P$801,$W252)="","",INDEX('Per Invoice'!P$2:P$801,$W252)))</f>
        <v/>
      </c>
      <c r="Q252" s="7">
        <f>IF($W252="","",IF(INDEX('Per Invoice'!Q$2:Q$801,$W252)="","",INDEX('Per Invoice'!Q$2:Q$801,$W252)))</f>
        <v/>
      </c>
      <c r="R252" s="7">
        <f>IF($W252="","",IF(INDEX('Per Invoice'!R$2:R$801,$W252)="","",INDEX('Per Invoice'!R$2:R$801,$W252)))</f>
        <v/>
      </c>
      <c r="S252" s="7">
        <f>IF($W252="","",IF(INDEX('Per Invoice'!S$2:S$801,$W252)="","",INDEX('Per Invoice'!S$2:S$801,$W252)))</f>
        <v/>
      </c>
      <c r="T252" s="7">
        <f>IF($W252="","",IF(INDEX('Per Invoice'!T$2:T$801,$W252)="","",INDEX('Per Invoice'!T$2:T$801,$W252)))</f>
        <v/>
      </c>
      <c r="U252" s="7">
        <f>IF($W252="","",IF(INDEX('Per Invoice'!U$2:U$801,$W252)="","",INDEX('Per Invoice'!U$2:U$801,$W252)))</f>
        <v/>
      </c>
      <c r="V252" s="7">
        <f>IF($W252="","",IF(INDEX('Per Invoice'!V$2:V$801,$W252)="","",INDEX('Per Invoice'!V$2:V$801,$W252)))</f>
        <v/>
      </c>
      <c r="W252" s="16">
        <f>IFERROR(MATCH(Settings!$C$26&amp;"|"&amp;ROWS($W$2:$W252),'Per Invoice'!$X$2:$X$801,0),"")</f>
        <v/>
      </c>
    </row>
    <row r="253">
      <c r="A253">
        <f>IF($W253="","",IF(INDEX('Per Invoice'!A$2:A$801,$W253)="","",INDEX('Per Invoice'!A$2:A$801,$W253)))</f>
        <v/>
      </c>
      <c r="B253">
        <f>IF($W253="","",IF(INDEX('Per Invoice'!B$2:B$801,$W253)="","",INDEX('Per Invoice'!B$2:B$801,$W253)))</f>
        <v/>
      </c>
      <c r="C253">
        <f>IF($W253="","",IF(INDEX('Per Invoice'!C$2:C$801,$W253)="","",INDEX('Per Invoice'!C$2:C$801,$W253)))</f>
        <v/>
      </c>
      <c r="D253">
        <f>IF($W253="","",IF(INDEX('Per Invoice'!D$2:D$801,$W253)="","",INDEX('Per Invoice'!D$2:D$801,$W253)))</f>
        <v/>
      </c>
      <c r="E253">
        <f>IF($W253="","",IF(INDEX('Per Invoice'!E$2:E$801,$W253)="","",INDEX('Per Invoice'!E$2:E$801,$W253)))</f>
        <v/>
      </c>
      <c r="F253">
        <f>IF($W253="","",IF(INDEX('Per Invoice'!F$2:F$801,$W253)="","",INDEX('Per Invoice'!F$2:F$801,$W253)))</f>
        <v/>
      </c>
      <c r="G253">
        <f>IF($W253="","",IF(INDEX('Per Invoice'!G$2:G$801,$W253)="","",INDEX('Per Invoice'!G$2:G$801,$W253)))</f>
        <v/>
      </c>
      <c r="H253">
        <f>IF($W253="","",IF(INDEX('Per Invoice'!H$2:H$801,$W253)="","",INDEX('Per Invoice'!H$2:H$801,$W253)))</f>
        <v/>
      </c>
      <c r="I253">
        <f>IF($W253="","",IF(INDEX('Per Invoice'!I$2:I$801,$W253)="","",INDEX('Per Invoice'!I$2:I$801,$W253)))</f>
        <v/>
      </c>
      <c r="J253">
        <f>IF($W253="","",IF(INDEX('Per Invoice'!J$2:J$801,$W253)="","",INDEX('Per Invoice'!J$2:J$801,$W253)))</f>
        <v/>
      </c>
      <c r="K253" s="7">
        <f>IF($W253="","",IF(INDEX('Per Invoice'!K$2:K$801,$W253)="","",INDEX('Per Invoice'!K$2:K$801,$W253)))</f>
        <v/>
      </c>
      <c r="L253" s="14">
        <f>IF($W253="","",IF(INDEX('Per Invoice'!L$2:L$801,$W253)="","",INDEX('Per Invoice'!L$2:L$801,$W253)))</f>
        <v/>
      </c>
      <c r="M253">
        <f>IF($W253="","",IF(INDEX('Per Invoice'!M$2:M$801,$W253)="","",INDEX('Per Invoice'!M$2:M$801,$W253)))</f>
        <v/>
      </c>
      <c r="N253" s="7">
        <f>IF($W253="","",IF(INDEX('Per Invoice'!N$2:N$801,$W253)="","",INDEX('Per Invoice'!N$2:N$801,$W253)))</f>
        <v/>
      </c>
      <c r="O253" s="7">
        <f>IF($W253="","",IF(INDEX('Per Invoice'!O$2:O$801,$W253)="","",INDEX('Per Invoice'!O$2:O$801,$W253)))</f>
        <v/>
      </c>
      <c r="P253">
        <f>IF($W253="","",IF(INDEX('Per Invoice'!P$2:P$801,$W253)="","",INDEX('Per Invoice'!P$2:P$801,$W253)))</f>
        <v/>
      </c>
      <c r="Q253" s="7">
        <f>IF($W253="","",IF(INDEX('Per Invoice'!Q$2:Q$801,$W253)="","",INDEX('Per Invoice'!Q$2:Q$801,$W253)))</f>
        <v/>
      </c>
      <c r="R253" s="7">
        <f>IF($W253="","",IF(INDEX('Per Invoice'!R$2:R$801,$W253)="","",INDEX('Per Invoice'!R$2:R$801,$W253)))</f>
        <v/>
      </c>
      <c r="S253" s="7">
        <f>IF($W253="","",IF(INDEX('Per Invoice'!S$2:S$801,$W253)="","",INDEX('Per Invoice'!S$2:S$801,$W253)))</f>
        <v/>
      </c>
      <c r="T253" s="7">
        <f>IF($W253="","",IF(INDEX('Per Invoice'!T$2:T$801,$W253)="","",INDEX('Per Invoice'!T$2:T$801,$W253)))</f>
        <v/>
      </c>
      <c r="U253" s="7">
        <f>IF($W253="","",IF(INDEX('Per Invoice'!U$2:U$801,$W253)="","",INDEX('Per Invoice'!U$2:U$801,$W253)))</f>
        <v/>
      </c>
      <c r="V253" s="7">
        <f>IF($W253="","",IF(INDEX('Per Invoice'!V$2:V$801,$W253)="","",INDEX('Per Invoice'!V$2:V$801,$W253)))</f>
        <v/>
      </c>
      <c r="W253" s="16">
        <f>IFERROR(MATCH(Settings!$C$26&amp;"|"&amp;ROWS($W$2:$W253),'Per Invoice'!$X$2:$X$801,0),"")</f>
        <v/>
      </c>
    </row>
    <row r="254">
      <c r="A254">
        <f>IF($W254="","",IF(INDEX('Per Invoice'!A$2:A$801,$W254)="","",INDEX('Per Invoice'!A$2:A$801,$W254)))</f>
        <v/>
      </c>
      <c r="B254">
        <f>IF($W254="","",IF(INDEX('Per Invoice'!B$2:B$801,$W254)="","",INDEX('Per Invoice'!B$2:B$801,$W254)))</f>
        <v/>
      </c>
      <c r="C254">
        <f>IF($W254="","",IF(INDEX('Per Invoice'!C$2:C$801,$W254)="","",INDEX('Per Invoice'!C$2:C$801,$W254)))</f>
        <v/>
      </c>
      <c r="D254">
        <f>IF($W254="","",IF(INDEX('Per Invoice'!D$2:D$801,$W254)="","",INDEX('Per Invoice'!D$2:D$801,$W254)))</f>
        <v/>
      </c>
      <c r="E254">
        <f>IF($W254="","",IF(INDEX('Per Invoice'!E$2:E$801,$W254)="","",INDEX('Per Invoice'!E$2:E$801,$W254)))</f>
        <v/>
      </c>
      <c r="F254">
        <f>IF($W254="","",IF(INDEX('Per Invoice'!F$2:F$801,$W254)="","",INDEX('Per Invoice'!F$2:F$801,$W254)))</f>
        <v/>
      </c>
      <c r="G254">
        <f>IF($W254="","",IF(INDEX('Per Invoice'!G$2:G$801,$W254)="","",INDEX('Per Invoice'!G$2:G$801,$W254)))</f>
        <v/>
      </c>
      <c r="H254">
        <f>IF($W254="","",IF(INDEX('Per Invoice'!H$2:H$801,$W254)="","",INDEX('Per Invoice'!H$2:H$801,$W254)))</f>
        <v/>
      </c>
      <c r="I254">
        <f>IF($W254="","",IF(INDEX('Per Invoice'!I$2:I$801,$W254)="","",INDEX('Per Invoice'!I$2:I$801,$W254)))</f>
        <v/>
      </c>
      <c r="J254">
        <f>IF($W254="","",IF(INDEX('Per Invoice'!J$2:J$801,$W254)="","",INDEX('Per Invoice'!J$2:J$801,$W254)))</f>
        <v/>
      </c>
      <c r="K254" s="7">
        <f>IF($W254="","",IF(INDEX('Per Invoice'!K$2:K$801,$W254)="","",INDEX('Per Invoice'!K$2:K$801,$W254)))</f>
        <v/>
      </c>
      <c r="L254" s="14">
        <f>IF($W254="","",IF(INDEX('Per Invoice'!L$2:L$801,$W254)="","",INDEX('Per Invoice'!L$2:L$801,$W254)))</f>
        <v/>
      </c>
      <c r="M254">
        <f>IF($W254="","",IF(INDEX('Per Invoice'!M$2:M$801,$W254)="","",INDEX('Per Invoice'!M$2:M$801,$W254)))</f>
        <v/>
      </c>
      <c r="N254" s="7">
        <f>IF($W254="","",IF(INDEX('Per Invoice'!N$2:N$801,$W254)="","",INDEX('Per Invoice'!N$2:N$801,$W254)))</f>
        <v/>
      </c>
      <c r="O254" s="7">
        <f>IF($W254="","",IF(INDEX('Per Invoice'!O$2:O$801,$W254)="","",INDEX('Per Invoice'!O$2:O$801,$W254)))</f>
        <v/>
      </c>
      <c r="P254">
        <f>IF($W254="","",IF(INDEX('Per Invoice'!P$2:P$801,$W254)="","",INDEX('Per Invoice'!P$2:P$801,$W254)))</f>
        <v/>
      </c>
      <c r="Q254" s="7">
        <f>IF($W254="","",IF(INDEX('Per Invoice'!Q$2:Q$801,$W254)="","",INDEX('Per Invoice'!Q$2:Q$801,$W254)))</f>
        <v/>
      </c>
      <c r="R254" s="7">
        <f>IF($W254="","",IF(INDEX('Per Invoice'!R$2:R$801,$W254)="","",INDEX('Per Invoice'!R$2:R$801,$W254)))</f>
        <v/>
      </c>
      <c r="S254" s="7">
        <f>IF($W254="","",IF(INDEX('Per Invoice'!S$2:S$801,$W254)="","",INDEX('Per Invoice'!S$2:S$801,$W254)))</f>
        <v/>
      </c>
      <c r="T254" s="7">
        <f>IF($W254="","",IF(INDEX('Per Invoice'!T$2:T$801,$W254)="","",INDEX('Per Invoice'!T$2:T$801,$W254)))</f>
        <v/>
      </c>
      <c r="U254" s="7">
        <f>IF($W254="","",IF(INDEX('Per Invoice'!U$2:U$801,$W254)="","",INDEX('Per Invoice'!U$2:U$801,$W254)))</f>
        <v/>
      </c>
      <c r="V254" s="7">
        <f>IF($W254="","",IF(INDEX('Per Invoice'!V$2:V$801,$W254)="","",INDEX('Per Invoice'!V$2:V$801,$W254)))</f>
        <v/>
      </c>
      <c r="W254" s="16">
        <f>IFERROR(MATCH(Settings!$C$26&amp;"|"&amp;ROWS($W$2:$W254),'Per Invoice'!$X$2:$X$801,0),"")</f>
        <v/>
      </c>
    </row>
    <row r="255">
      <c r="A255">
        <f>IF($W255="","",IF(INDEX('Per Invoice'!A$2:A$801,$W255)="","",INDEX('Per Invoice'!A$2:A$801,$W255)))</f>
        <v/>
      </c>
      <c r="B255">
        <f>IF($W255="","",IF(INDEX('Per Invoice'!B$2:B$801,$W255)="","",INDEX('Per Invoice'!B$2:B$801,$W255)))</f>
        <v/>
      </c>
      <c r="C255">
        <f>IF($W255="","",IF(INDEX('Per Invoice'!C$2:C$801,$W255)="","",INDEX('Per Invoice'!C$2:C$801,$W255)))</f>
        <v/>
      </c>
      <c r="D255">
        <f>IF($W255="","",IF(INDEX('Per Invoice'!D$2:D$801,$W255)="","",INDEX('Per Invoice'!D$2:D$801,$W255)))</f>
        <v/>
      </c>
      <c r="E255">
        <f>IF($W255="","",IF(INDEX('Per Invoice'!E$2:E$801,$W255)="","",INDEX('Per Invoice'!E$2:E$801,$W255)))</f>
        <v/>
      </c>
      <c r="F255">
        <f>IF($W255="","",IF(INDEX('Per Invoice'!F$2:F$801,$W255)="","",INDEX('Per Invoice'!F$2:F$801,$W255)))</f>
        <v/>
      </c>
      <c r="G255">
        <f>IF($W255="","",IF(INDEX('Per Invoice'!G$2:G$801,$W255)="","",INDEX('Per Invoice'!G$2:G$801,$W255)))</f>
        <v/>
      </c>
      <c r="H255">
        <f>IF($W255="","",IF(INDEX('Per Invoice'!H$2:H$801,$W255)="","",INDEX('Per Invoice'!H$2:H$801,$W255)))</f>
        <v/>
      </c>
      <c r="I255">
        <f>IF($W255="","",IF(INDEX('Per Invoice'!I$2:I$801,$W255)="","",INDEX('Per Invoice'!I$2:I$801,$W255)))</f>
        <v/>
      </c>
      <c r="J255">
        <f>IF($W255="","",IF(INDEX('Per Invoice'!J$2:J$801,$W255)="","",INDEX('Per Invoice'!J$2:J$801,$W255)))</f>
        <v/>
      </c>
      <c r="K255" s="7">
        <f>IF($W255="","",IF(INDEX('Per Invoice'!K$2:K$801,$W255)="","",INDEX('Per Invoice'!K$2:K$801,$W255)))</f>
        <v/>
      </c>
      <c r="L255" s="14">
        <f>IF($W255="","",IF(INDEX('Per Invoice'!L$2:L$801,$W255)="","",INDEX('Per Invoice'!L$2:L$801,$W255)))</f>
        <v/>
      </c>
      <c r="M255">
        <f>IF($W255="","",IF(INDEX('Per Invoice'!M$2:M$801,$W255)="","",INDEX('Per Invoice'!M$2:M$801,$W255)))</f>
        <v/>
      </c>
      <c r="N255" s="7">
        <f>IF($W255="","",IF(INDEX('Per Invoice'!N$2:N$801,$W255)="","",INDEX('Per Invoice'!N$2:N$801,$W255)))</f>
        <v/>
      </c>
      <c r="O255" s="7">
        <f>IF($W255="","",IF(INDEX('Per Invoice'!O$2:O$801,$W255)="","",INDEX('Per Invoice'!O$2:O$801,$W255)))</f>
        <v/>
      </c>
      <c r="P255">
        <f>IF($W255="","",IF(INDEX('Per Invoice'!P$2:P$801,$W255)="","",INDEX('Per Invoice'!P$2:P$801,$W255)))</f>
        <v/>
      </c>
      <c r="Q255" s="7">
        <f>IF($W255="","",IF(INDEX('Per Invoice'!Q$2:Q$801,$W255)="","",INDEX('Per Invoice'!Q$2:Q$801,$W255)))</f>
        <v/>
      </c>
      <c r="R255" s="7">
        <f>IF($W255="","",IF(INDEX('Per Invoice'!R$2:R$801,$W255)="","",INDEX('Per Invoice'!R$2:R$801,$W255)))</f>
        <v/>
      </c>
      <c r="S255" s="7">
        <f>IF($W255="","",IF(INDEX('Per Invoice'!S$2:S$801,$W255)="","",INDEX('Per Invoice'!S$2:S$801,$W255)))</f>
        <v/>
      </c>
      <c r="T255" s="7">
        <f>IF($W255="","",IF(INDEX('Per Invoice'!T$2:T$801,$W255)="","",INDEX('Per Invoice'!T$2:T$801,$W255)))</f>
        <v/>
      </c>
      <c r="U255" s="7">
        <f>IF($W255="","",IF(INDEX('Per Invoice'!U$2:U$801,$W255)="","",INDEX('Per Invoice'!U$2:U$801,$W255)))</f>
        <v/>
      </c>
      <c r="V255" s="7">
        <f>IF($W255="","",IF(INDEX('Per Invoice'!V$2:V$801,$W255)="","",INDEX('Per Invoice'!V$2:V$801,$W255)))</f>
        <v/>
      </c>
      <c r="W255" s="16">
        <f>IFERROR(MATCH(Settings!$C$26&amp;"|"&amp;ROWS($W$2:$W255),'Per Invoice'!$X$2:$X$801,0),"")</f>
        <v/>
      </c>
    </row>
    <row r="256">
      <c r="A256">
        <f>IF($W256="","",IF(INDEX('Per Invoice'!A$2:A$801,$W256)="","",INDEX('Per Invoice'!A$2:A$801,$W256)))</f>
        <v/>
      </c>
      <c r="B256">
        <f>IF($W256="","",IF(INDEX('Per Invoice'!B$2:B$801,$W256)="","",INDEX('Per Invoice'!B$2:B$801,$W256)))</f>
        <v/>
      </c>
      <c r="C256">
        <f>IF($W256="","",IF(INDEX('Per Invoice'!C$2:C$801,$W256)="","",INDEX('Per Invoice'!C$2:C$801,$W256)))</f>
        <v/>
      </c>
      <c r="D256">
        <f>IF($W256="","",IF(INDEX('Per Invoice'!D$2:D$801,$W256)="","",INDEX('Per Invoice'!D$2:D$801,$W256)))</f>
        <v/>
      </c>
      <c r="E256">
        <f>IF($W256="","",IF(INDEX('Per Invoice'!E$2:E$801,$W256)="","",INDEX('Per Invoice'!E$2:E$801,$W256)))</f>
        <v/>
      </c>
      <c r="F256">
        <f>IF($W256="","",IF(INDEX('Per Invoice'!F$2:F$801,$W256)="","",INDEX('Per Invoice'!F$2:F$801,$W256)))</f>
        <v/>
      </c>
      <c r="G256">
        <f>IF($W256="","",IF(INDEX('Per Invoice'!G$2:G$801,$W256)="","",INDEX('Per Invoice'!G$2:G$801,$W256)))</f>
        <v/>
      </c>
      <c r="H256">
        <f>IF($W256="","",IF(INDEX('Per Invoice'!H$2:H$801,$W256)="","",INDEX('Per Invoice'!H$2:H$801,$W256)))</f>
        <v/>
      </c>
      <c r="I256">
        <f>IF($W256="","",IF(INDEX('Per Invoice'!I$2:I$801,$W256)="","",INDEX('Per Invoice'!I$2:I$801,$W256)))</f>
        <v/>
      </c>
      <c r="J256">
        <f>IF($W256="","",IF(INDEX('Per Invoice'!J$2:J$801,$W256)="","",INDEX('Per Invoice'!J$2:J$801,$W256)))</f>
        <v/>
      </c>
      <c r="K256" s="7">
        <f>IF($W256="","",IF(INDEX('Per Invoice'!K$2:K$801,$W256)="","",INDEX('Per Invoice'!K$2:K$801,$W256)))</f>
        <v/>
      </c>
      <c r="L256" s="14">
        <f>IF($W256="","",IF(INDEX('Per Invoice'!L$2:L$801,$W256)="","",INDEX('Per Invoice'!L$2:L$801,$W256)))</f>
        <v/>
      </c>
      <c r="M256">
        <f>IF($W256="","",IF(INDEX('Per Invoice'!M$2:M$801,$W256)="","",INDEX('Per Invoice'!M$2:M$801,$W256)))</f>
        <v/>
      </c>
      <c r="N256" s="7">
        <f>IF($W256="","",IF(INDEX('Per Invoice'!N$2:N$801,$W256)="","",INDEX('Per Invoice'!N$2:N$801,$W256)))</f>
        <v/>
      </c>
      <c r="O256" s="7">
        <f>IF($W256="","",IF(INDEX('Per Invoice'!O$2:O$801,$W256)="","",INDEX('Per Invoice'!O$2:O$801,$W256)))</f>
        <v/>
      </c>
      <c r="P256">
        <f>IF($W256="","",IF(INDEX('Per Invoice'!P$2:P$801,$W256)="","",INDEX('Per Invoice'!P$2:P$801,$W256)))</f>
        <v/>
      </c>
      <c r="Q256" s="7">
        <f>IF($W256="","",IF(INDEX('Per Invoice'!Q$2:Q$801,$W256)="","",INDEX('Per Invoice'!Q$2:Q$801,$W256)))</f>
        <v/>
      </c>
      <c r="R256" s="7">
        <f>IF($W256="","",IF(INDEX('Per Invoice'!R$2:R$801,$W256)="","",INDEX('Per Invoice'!R$2:R$801,$W256)))</f>
        <v/>
      </c>
      <c r="S256" s="7">
        <f>IF($W256="","",IF(INDEX('Per Invoice'!S$2:S$801,$W256)="","",INDEX('Per Invoice'!S$2:S$801,$W256)))</f>
        <v/>
      </c>
      <c r="T256" s="7">
        <f>IF($W256="","",IF(INDEX('Per Invoice'!T$2:T$801,$W256)="","",INDEX('Per Invoice'!T$2:T$801,$W256)))</f>
        <v/>
      </c>
      <c r="U256" s="7">
        <f>IF($W256="","",IF(INDEX('Per Invoice'!U$2:U$801,$W256)="","",INDEX('Per Invoice'!U$2:U$801,$W256)))</f>
        <v/>
      </c>
      <c r="V256" s="7">
        <f>IF($W256="","",IF(INDEX('Per Invoice'!V$2:V$801,$W256)="","",INDEX('Per Invoice'!V$2:V$801,$W256)))</f>
        <v/>
      </c>
      <c r="W256" s="16">
        <f>IFERROR(MATCH(Settings!$C$26&amp;"|"&amp;ROWS($W$2:$W256),'Per Invoice'!$X$2:$X$801,0),"")</f>
        <v/>
      </c>
    </row>
    <row r="257">
      <c r="A257">
        <f>IF($W257="","",IF(INDEX('Per Invoice'!A$2:A$801,$W257)="","",INDEX('Per Invoice'!A$2:A$801,$W257)))</f>
        <v/>
      </c>
      <c r="B257">
        <f>IF($W257="","",IF(INDEX('Per Invoice'!B$2:B$801,$W257)="","",INDEX('Per Invoice'!B$2:B$801,$W257)))</f>
        <v/>
      </c>
      <c r="C257">
        <f>IF($W257="","",IF(INDEX('Per Invoice'!C$2:C$801,$W257)="","",INDEX('Per Invoice'!C$2:C$801,$W257)))</f>
        <v/>
      </c>
      <c r="D257">
        <f>IF($W257="","",IF(INDEX('Per Invoice'!D$2:D$801,$W257)="","",INDEX('Per Invoice'!D$2:D$801,$W257)))</f>
        <v/>
      </c>
      <c r="E257">
        <f>IF($W257="","",IF(INDEX('Per Invoice'!E$2:E$801,$W257)="","",INDEX('Per Invoice'!E$2:E$801,$W257)))</f>
        <v/>
      </c>
      <c r="F257">
        <f>IF($W257="","",IF(INDEX('Per Invoice'!F$2:F$801,$W257)="","",INDEX('Per Invoice'!F$2:F$801,$W257)))</f>
        <v/>
      </c>
      <c r="G257">
        <f>IF($W257="","",IF(INDEX('Per Invoice'!G$2:G$801,$W257)="","",INDEX('Per Invoice'!G$2:G$801,$W257)))</f>
        <v/>
      </c>
      <c r="H257">
        <f>IF($W257="","",IF(INDEX('Per Invoice'!H$2:H$801,$W257)="","",INDEX('Per Invoice'!H$2:H$801,$W257)))</f>
        <v/>
      </c>
      <c r="I257">
        <f>IF($W257="","",IF(INDEX('Per Invoice'!I$2:I$801,$W257)="","",INDEX('Per Invoice'!I$2:I$801,$W257)))</f>
        <v/>
      </c>
      <c r="J257">
        <f>IF($W257="","",IF(INDEX('Per Invoice'!J$2:J$801,$W257)="","",INDEX('Per Invoice'!J$2:J$801,$W257)))</f>
        <v/>
      </c>
      <c r="K257" s="7">
        <f>IF($W257="","",IF(INDEX('Per Invoice'!K$2:K$801,$W257)="","",INDEX('Per Invoice'!K$2:K$801,$W257)))</f>
        <v/>
      </c>
      <c r="L257" s="14">
        <f>IF($W257="","",IF(INDEX('Per Invoice'!L$2:L$801,$W257)="","",INDEX('Per Invoice'!L$2:L$801,$W257)))</f>
        <v/>
      </c>
      <c r="M257">
        <f>IF($W257="","",IF(INDEX('Per Invoice'!M$2:M$801,$W257)="","",INDEX('Per Invoice'!M$2:M$801,$W257)))</f>
        <v/>
      </c>
      <c r="N257" s="7">
        <f>IF($W257="","",IF(INDEX('Per Invoice'!N$2:N$801,$W257)="","",INDEX('Per Invoice'!N$2:N$801,$W257)))</f>
        <v/>
      </c>
      <c r="O257" s="7">
        <f>IF($W257="","",IF(INDEX('Per Invoice'!O$2:O$801,$W257)="","",INDEX('Per Invoice'!O$2:O$801,$W257)))</f>
        <v/>
      </c>
      <c r="P257">
        <f>IF($W257="","",IF(INDEX('Per Invoice'!P$2:P$801,$W257)="","",INDEX('Per Invoice'!P$2:P$801,$W257)))</f>
        <v/>
      </c>
      <c r="Q257" s="7">
        <f>IF($W257="","",IF(INDEX('Per Invoice'!Q$2:Q$801,$W257)="","",INDEX('Per Invoice'!Q$2:Q$801,$W257)))</f>
        <v/>
      </c>
      <c r="R257" s="7">
        <f>IF($W257="","",IF(INDEX('Per Invoice'!R$2:R$801,$W257)="","",INDEX('Per Invoice'!R$2:R$801,$W257)))</f>
        <v/>
      </c>
      <c r="S257" s="7">
        <f>IF($W257="","",IF(INDEX('Per Invoice'!S$2:S$801,$W257)="","",INDEX('Per Invoice'!S$2:S$801,$W257)))</f>
        <v/>
      </c>
      <c r="T257" s="7">
        <f>IF($W257="","",IF(INDEX('Per Invoice'!T$2:T$801,$W257)="","",INDEX('Per Invoice'!T$2:T$801,$W257)))</f>
        <v/>
      </c>
      <c r="U257" s="7">
        <f>IF($W257="","",IF(INDEX('Per Invoice'!U$2:U$801,$W257)="","",INDEX('Per Invoice'!U$2:U$801,$W257)))</f>
        <v/>
      </c>
      <c r="V257" s="7">
        <f>IF($W257="","",IF(INDEX('Per Invoice'!V$2:V$801,$W257)="","",INDEX('Per Invoice'!V$2:V$801,$W257)))</f>
        <v/>
      </c>
      <c r="W257" s="16">
        <f>IFERROR(MATCH(Settings!$C$26&amp;"|"&amp;ROWS($W$2:$W257),'Per Invoice'!$X$2:$X$801,0),"")</f>
        <v/>
      </c>
    </row>
    <row r="258">
      <c r="A258">
        <f>IF($W258="","",IF(INDEX('Per Invoice'!A$2:A$801,$W258)="","",INDEX('Per Invoice'!A$2:A$801,$W258)))</f>
        <v/>
      </c>
      <c r="B258">
        <f>IF($W258="","",IF(INDEX('Per Invoice'!B$2:B$801,$W258)="","",INDEX('Per Invoice'!B$2:B$801,$W258)))</f>
        <v/>
      </c>
      <c r="C258">
        <f>IF($W258="","",IF(INDEX('Per Invoice'!C$2:C$801,$W258)="","",INDEX('Per Invoice'!C$2:C$801,$W258)))</f>
        <v/>
      </c>
      <c r="D258">
        <f>IF($W258="","",IF(INDEX('Per Invoice'!D$2:D$801,$W258)="","",INDEX('Per Invoice'!D$2:D$801,$W258)))</f>
        <v/>
      </c>
      <c r="E258">
        <f>IF($W258="","",IF(INDEX('Per Invoice'!E$2:E$801,$W258)="","",INDEX('Per Invoice'!E$2:E$801,$W258)))</f>
        <v/>
      </c>
      <c r="F258">
        <f>IF($W258="","",IF(INDEX('Per Invoice'!F$2:F$801,$W258)="","",INDEX('Per Invoice'!F$2:F$801,$W258)))</f>
        <v/>
      </c>
      <c r="G258">
        <f>IF($W258="","",IF(INDEX('Per Invoice'!G$2:G$801,$W258)="","",INDEX('Per Invoice'!G$2:G$801,$W258)))</f>
        <v/>
      </c>
      <c r="H258">
        <f>IF($W258="","",IF(INDEX('Per Invoice'!H$2:H$801,$W258)="","",INDEX('Per Invoice'!H$2:H$801,$W258)))</f>
        <v/>
      </c>
      <c r="I258">
        <f>IF($W258="","",IF(INDEX('Per Invoice'!I$2:I$801,$W258)="","",INDEX('Per Invoice'!I$2:I$801,$W258)))</f>
        <v/>
      </c>
      <c r="J258">
        <f>IF($W258="","",IF(INDEX('Per Invoice'!J$2:J$801,$W258)="","",INDEX('Per Invoice'!J$2:J$801,$W258)))</f>
        <v/>
      </c>
      <c r="K258" s="7">
        <f>IF($W258="","",IF(INDEX('Per Invoice'!K$2:K$801,$W258)="","",INDEX('Per Invoice'!K$2:K$801,$W258)))</f>
        <v/>
      </c>
      <c r="L258" s="14">
        <f>IF($W258="","",IF(INDEX('Per Invoice'!L$2:L$801,$W258)="","",INDEX('Per Invoice'!L$2:L$801,$W258)))</f>
        <v/>
      </c>
      <c r="M258">
        <f>IF($W258="","",IF(INDEX('Per Invoice'!M$2:M$801,$W258)="","",INDEX('Per Invoice'!M$2:M$801,$W258)))</f>
        <v/>
      </c>
      <c r="N258" s="7">
        <f>IF($W258="","",IF(INDEX('Per Invoice'!N$2:N$801,$W258)="","",INDEX('Per Invoice'!N$2:N$801,$W258)))</f>
        <v/>
      </c>
      <c r="O258" s="7">
        <f>IF($W258="","",IF(INDEX('Per Invoice'!O$2:O$801,$W258)="","",INDEX('Per Invoice'!O$2:O$801,$W258)))</f>
        <v/>
      </c>
      <c r="P258">
        <f>IF($W258="","",IF(INDEX('Per Invoice'!P$2:P$801,$W258)="","",INDEX('Per Invoice'!P$2:P$801,$W258)))</f>
        <v/>
      </c>
      <c r="Q258" s="7">
        <f>IF($W258="","",IF(INDEX('Per Invoice'!Q$2:Q$801,$W258)="","",INDEX('Per Invoice'!Q$2:Q$801,$W258)))</f>
        <v/>
      </c>
      <c r="R258" s="7">
        <f>IF($W258="","",IF(INDEX('Per Invoice'!R$2:R$801,$W258)="","",INDEX('Per Invoice'!R$2:R$801,$W258)))</f>
        <v/>
      </c>
      <c r="S258" s="7">
        <f>IF($W258="","",IF(INDEX('Per Invoice'!S$2:S$801,$W258)="","",INDEX('Per Invoice'!S$2:S$801,$W258)))</f>
        <v/>
      </c>
      <c r="T258" s="7">
        <f>IF($W258="","",IF(INDEX('Per Invoice'!T$2:T$801,$W258)="","",INDEX('Per Invoice'!T$2:T$801,$W258)))</f>
        <v/>
      </c>
      <c r="U258" s="7">
        <f>IF($W258="","",IF(INDEX('Per Invoice'!U$2:U$801,$W258)="","",INDEX('Per Invoice'!U$2:U$801,$W258)))</f>
        <v/>
      </c>
      <c r="V258" s="7">
        <f>IF($W258="","",IF(INDEX('Per Invoice'!V$2:V$801,$W258)="","",INDEX('Per Invoice'!V$2:V$801,$W258)))</f>
        <v/>
      </c>
      <c r="W258" s="16">
        <f>IFERROR(MATCH(Settings!$C$26&amp;"|"&amp;ROWS($W$2:$W258),'Per Invoice'!$X$2:$X$801,0),"")</f>
        <v/>
      </c>
    </row>
    <row r="259">
      <c r="A259">
        <f>IF($W259="","",IF(INDEX('Per Invoice'!A$2:A$801,$W259)="","",INDEX('Per Invoice'!A$2:A$801,$W259)))</f>
        <v/>
      </c>
      <c r="B259">
        <f>IF($W259="","",IF(INDEX('Per Invoice'!B$2:B$801,$W259)="","",INDEX('Per Invoice'!B$2:B$801,$W259)))</f>
        <v/>
      </c>
      <c r="C259">
        <f>IF($W259="","",IF(INDEX('Per Invoice'!C$2:C$801,$W259)="","",INDEX('Per Invoice'!C$2:C$801,$W259)))</f>
        <v/>
      </c>
      <c r="D259">
        <f>IF($W259="","",IF(INDEX('Per Invoice'!D$2:D$801,$W259)="","",INDEX('Per Invoice'!D$2:D$801,$W259)))</f>
        <v/>
      </c>
      <c r="E259">
        <f>IF($W259="","",IF(INDEX('Per Invoice'!E$2:E$801,$W259)="","",INDEX('Per Invoice'!E$2:E$801,$W259)))</f>
        <v/>
      </c>
      <c r="F259">
        <f>IF($W259="","",IF(INDEX('Per Invoice'!F$2:F$801,$W259)="","",INDEX('Per Invoice'!F$2:F$801,$W259)))</f>
        <v/>
      </c>
      <c r="G259">
        <f>IF($W259="","",IF(INDEX('Per Invoice'!G$2:G$801,$W259)="","",INDEX('Per Invoice'!G$2:G$801,$W259)))</f>
        <v/>
      </c>
      <c r="H259">
        <f>IF($W259="","",IF(INDEX('Per Invoice'!H$2:H$801,$W259)="","",INDEX('Per Invoice'!H$2:H$801,$W259)))</f>
        <v/>
      </c>
      <c r="I259">
        <f>IF($W259="","",IF(INDEX('Per Invoice'!I$2:I$801,$W259)="","",INDEX('Per Invoice'!I$2:I$801,$W259)))</f>
        <v/>
      </c>
      <c r="J259">
        <f>IF($W259="","",IF(INDEX('Per Invoice'!J$2:J$801,$W259)="","",INDEX('Per Invoice'!J$2:J$801,$W259)))</f>
        <v/>
      </c>
      <c r="K259" s="7">
        <f>IF($W259="","",IF(INDEX('Per Invoice'!K$2:K$801,$W259)="","",INDEX('Per Invoice'!K$2:K$801,$W259)))</f>
        <v/>
      </c>
      <c r="L259" s="14">
        <f>IF($W259="","",IF(INDEX('Per Invoice'!L$2:L$801,$W259)="","",INDEX('Per Invoice'!L$2:L$801,$W259)))</f>
        <v/>
      </c>
      <c r="M259">
        <f>IF($W259="","",IF(INDEX('Per Invoice'!M$2:M$801,$W259)="","",INDEX('Per Invoice'!M$2:M$801,$W259)))</f>
        <v/>
      </c>
      <c r="N259" s="7">
        <f>IF($W259="","",IF(INDEX('Per Invoice'!N$2:N$801,$W259)="","",INDEX('Per Invoice'!N$2:N$801,$W259)))</f>
        <v/>
      </c>
      <c r="O259" s="7">
        <f>IF($W259="","",IF(INDEX('Per Invoice'!O$2:O$801,$W259)="","",INDEX('Per Invoice'!O$2:O$801,$W259)))</f>
        <v/>
      </c>
      <c r="P259">
        <f>IF($W259="","",IF(INDEX('Per Invoice'!P$2:P$801,$W259)="","",INDEX('Per Invoice'!P$2:P$801,$W259)))</f>
        <v/>
      </c>
      <c r="Q259" s="7">
        <f>IF($W259="","",IF(INDEX('Per Invoice'!Q$2:Q$801,$W259)="","",INDEX('Per Invoice'!Q$2:Q$801,$W259)))</f>
        <v/>
      </c>
      <c r="R259" s="7">
        <f>IF($W259="","",IF(INDEX('Per Invoice'!R$2:R$801,$W259)="","",INDEX('Per Invoice'!R$2:R$801,$W259)))</f>
        <v/>
      </c>
      <c r="S259" s="7">
        <f>IF($W259="","",IF(INDEX('Per Invoice'!S$2:S$801,$W259)="","",INDEX('Per Invoice'!S$2:S$801,$W259)))</f>
        <v/>
      </c>
      <c r="T259" s="7">
        <f>IF($W259="","",IF(INDEX('Per Invoice'!T$2:T$801,$W259)="","",INDEX('Per Invoice'!T$2:T$801,$W259)))</f>
        <v/>
      </c>
      <c r="U259" s="7">
        <f>IF($W259="","",IF(INDEX('Per Invoice'!U$2:U$801,$W259)="","",INDEX('Per Invoice'!U$2:U$801,$W259)))</f>
        <v/>
      </c>
      <c r="V259" s="7">
        <f>IF($W259="","",IF(INDEX('Per Invoice'!V$2:V$801,$W259)="","",INDEX('Per Invoice'!V$2:V$801,$W259)))</f>
        <v/>
      </c>
      <c r="W259" s="16">
        <f>IFERROR(MATCH(Settings!$C$26&amp;"|"&amp;ROWS($W$2:$W259),'Per Invoice'!$X$2:$X$801,0),"")</f>
        <v/>
      </c>
    </row>
    <row r="260">
      <c r="A260">
        <f>IF($W260="","",IF(INDEX('Per Invoice'!A$2:A$801,$W260)="","",INDEX('Per Invoice'!A$2:A$801,$W260)))</f>
        <v/>
      </c>
      <c r="B260">
        <f>IF($W260="","",IF(INDEX('Per Invoice'!B$2:B$801,$W260)="","",INDEX('Per Invoice'!B$2:B$801,$W260)))</f>
        <v/>
      </c>
      <c r="C260">
        <f>IF($W260="","",IF(INDEX('Per Invoice'!C$2:C$801,$W260)="","",INDEX('Per Invoice'!C$2:C$801,$W260)))</f>
        <v/>
      </c>
      <c r="D260">
        <f>IF($W260="","",IF(INDEX('Per Invoice'!D$2:D$801,$W260)="","",INDEX('Per Invoice'!D$2:D$801,$W260)))</f>
        <v/>
      </c>
      <c r="E260">
        <f>IF($W260="","",IF(INDEX('Per Invoice'!E$2:E$801,$W260)="","",INDEX('Per Invoice'!E$2:E$801,$W260)))</f>
        <v/>
      </c>
      <c r="F260">
        <f>IF($W260="","",IF(INDEX('Per Invoice'!F$2:F$801,$W260)="","",INDEX('Per Invoice'!F$2:F$801,$W260)))</f>
        <v/>
      </c>
      <c r="G260">
        <f>IF($W260="","",IF(INDEX('Per Invoice'!G$2:G$801,$W260)="","",INDEX('Per Invoice'!G$2:G$801,$W260)))</f>
        <v/>
      </c>
      <c r="H260">
        <f>IF($W260="","",IF(INDEX('Per Invoice'!H$2:H$801,$W260)="","",INDEX('Per Invoice'!H$2:H$801,$W260)))</f>
        <v/>
      </c>
      <c r="I260">
        <f>IF($W260="","",IF(INDEX('Per Invoice'!I$2:I$801,$W260)="","",INDEX('Per Invoice'!I$2:I$801,$W260)))</f>
        <v/>
      </c>
      <c r="J260">
        <f>IF($W260="","",IF(INDEX('Per Invoice'!J$2:J$801,$W260)="","",INDEX('Per Invoice'!J$2:J$801,$W260)))</f>
        <v/>
      </c>
      <c r="K260" s="7">
        <f>IF($W260="","",IF(INDEX('Per Invoice'!K$2:K$801,$W260)="","",INDEX('Per Invoice'!K$2:K$801,$W260)))</f>
        <v/>
      </c>
      <c r="L260" s="14">
        <f>IF($W260="","",IF(INDEX('Per Invoice'!L$2:L$801,$W260)="","",INDEX('Per Invoice'!L$2:L$801,$W260)))</f>
        <v/>
      </c>
      <c r="M260">
        <f>IF($W260="","",IF(INDEX('Per Invoice'!M$2:M$801,$W260)="","",INDEX('Per Invoice'!M$2:M$801,$W260)))</f>
        <v/>
      </c>
      <c r="N260" s="7">
        <f>IF($W260="","",IF(INDEX('Per Invoice'!N$2:N$801,$W260)="","",INDEX('Per Invoice'!N$2:N$801,$W260)))</f>
        <v/>
      </c>
      <c r="O260" s="7">
        <f>IF($W260="","",IF(INDEX('Per Invoice'!O$2:O$801,$W260)="","",INDEX('Per Invoice'!O$2:O$801,$W260)))</f>
        <v/>
      </c>
      <c r="P260">
        <f>IF($W260="","",IF(INDEX('Per Invoice'!P$2:P$801,$W260)="","",INDEX('Per Invoice'!P$2:P$801,$W260)))</f>
        <v/>
      </c>
      <c r="Q260" s="7">
        <f>IF($W260="","",IF(INDEX('Per Invoice'!Q$2:Q$801,$W260)="","",INDEX('Per Invoice'!Q$2:Q$801,$W260)))</f>
        <v/>
      </c>
      <c r="R260" s="7">
        <f>IF($W260="","",IF(INDEX('Per Invoice'!R$2:R$801,$W260)="","",INDEX('Per Invoice'!R$2:R$801,$W260)))</f>
        <v/>
      </c>
      <c r="S260" s="7">
        <f>IF($W260="","",IF(INDEX('Per Invoice'!S$2:S$801,$W260)="","",INDEX('Per Invoice'!S$2:S$801,$W260)))</f>
        <v/>
      </c>
      <c r="T260" s="7">
        <f>IF($W260="","",IF(INDEX('Per Invoice'!T$2:T$801,$W260)="","",INDEX('Per Invoice'!T$2:T$801,$W260)))</f>
        <v/>
      </c>
      <c r="U260" s="7">
        <f>IF($W260="","",IF(INDEX('Per Invoice'!U$2:U$801,$W260)="","",INDEX('Per Invoice'!U$2:U$801,$W260)))</f>
        <v/>
      </c>
      <c r="V260" s="7">
        <f>IF($W260="","",IF(INDEX('Per Invoice'!V$2:V$801,$W260)="","",INDEX('Per Invoice'!V$2:V$801,$W260)))</f>
        <v/>
      </c>
      <c r="W260" s="16">
        <f>IFERROR(MATCH(Settings!$C$26&amp;"|"&amp;ROWS($W$2:$W260),'Per Invoice'!$X$2:$X$801,0),"")</f>
        <v/>
      </c>
    </row>
    <row r="261">
      <c r="A261">
        <f>IF($W261="","",IF(INDEX('Per Invoice'!A$2:A$801,$W261)="","",INDEX('Per Invoice'!A$2:A$801,$W261)))</f>
        <v/>
      </c>
      <c r="B261">
        <f>IF($W261="","",IF(INDEX('Per Invoice'!B$2:B$801,$W261)="","",INDEX('Per Invoice'!B$2:B$801,$W261)))</f>
        <v/>
      </c>
      <c r="C261">
        <f>IF($W261="","",IF(INDEX('Per Invoice'!C$2:C$801,$W261)="","",INDEX('Per Invoice'!C$2:C$801,$W261)))</f>
        <v/>
      </c>
      <c r="D261">
        <f>IF($W261="","",IF(INDEX('Per Invoice'!D$2:D$801,$W261)="","",INDEX('Per Invoice'!D$2:D$801,$W261)))</f>
        <v/>
      </c>
      <c r="E261">
        <f>IF($W261="","",IF(INDEX('Per Invoice'!E$2:E$801,$W261)="","",INDEX('Per Invoice'!E$2:E$801,$W261)))</f>
        <v/>
      </c>
      <c r="F261">
        <f>IF($W261="","",IF(INDEX('Per Invoice'!F$2:F$801,$W261)="","",INDEX('Per Invoice'!F$2:F$801,$W261)))</f>
        <v/>
      </c>
      <c r="G261">
        <f>IF($W261="","",IF(INDEX('Per Invoice'!G$2:G$801,$W261)="","",INDEX('Per Invoice'!G$2:G$801,$W261)))</f>
        <v/>
      </c>
      <c r="H261">
        <f>IF($W261="","",IF(INDEX('Per Invoice'!H$2:H$801,$W261)="","",INDEX('Per Invoice'!H$2:H$801,$W261)))</f>
        <v/>
      </c>
      <c r="I261">
        <f>IF($W261="","",IF(INDEX('Per Invoice'!I$2:I$801,$W261)="","",INDEX('Per Invoice'!I$2:I$801,$W261)))</f>
        <v/>
      </c>
      <c r="J261">
        <f>IF($W261="","",IF(INDEX('Per Invoice'!J$2:J$801,$W261)="","",INDEX('Per Invoice'!J$2:J$801,$W261)))</f>
        <v/>
      </c>
      <c r="K261" s="7">
        <f>IF($W261="","",IF(INDEX('Per Invoice'!K$2:K$801,$W261)="","",INDEX('Per Invoice'!K$2:K$801,$W261)))</f>
        <v/>
      </c>
      <c r="L261" s="14">
        <f>IF($W261="","",IF(INDEX('Per Invoice'!L$2:L$801,$W261)="","",INDEX('Per Invoice'!L$2:L$801,$W261)))</f>
        <v/>
      </c>
      <c r="M261">
        <f>IF($W261="","",IF(INDEX('Per Invoice'!M$2:M$801,$W261)="","",INDEX('Per Invoice'!M$2:M$801,$W261)))</f>
        <v/>
      </c>
      <c r="N261" s="7">
        <f>IF($W261="","",IF(INDEX('Per Invoice'!N$2:N$801,$W261)="","",INDEX('Per Invoice'!N$2:N$801,$W261)))</f>
        <v/>
      </c>
      <c r="O261" s="7">
        <f>IF($W261="","",IF(INDEX('Per Invoice'!O$2:O$801,$W261)="","",INDEX('Per Invoice'!O$2:O$801,$W261)))</f>
        <v/>
      </c>
      <c r="P261">
        <f>IF($W261="","",IF(INDEX('Per Invoice'!P$2:P$801,$W261)="","",INDEX('Per Invoice'!P$2:P$801,$W261)))</f>
        <v/>
      </c>
      <c r="Q261" s="7">
        <f>IF($W261="","",IF(INDEX('Per Invoice'!Q$2:Q$801,$W261)="","",INDEX('Per Invoice'!Q$2:Q$801,$W261)))</f>
        <v/>
      </c>
      <c r="R261" s="7">
        <f>IF($W261="","",IF(INDEX('Per Invoice'!R$2:R$801,$W261)="","",INDEX('Per Invoice'!R$2:R$801,$W261)))</f>
        <v/>
      </c>
      <c r="S261" s="7">
        <f>IF($W261="","",IF(INDEX('Per Invoice'!S$2:S$801,$W261)="","",INDEX('Per Invoice'!S$2:S$801,$W261)))</f>
        <v/>
      </c>
      <c r="T261" s="7">
        <f>IF($W261="","",IF(INDEX('Per Invoice'!T$2:T$801,$W261)="","",INDEX('Per Invoice'!T$2:T$801,$W261)))</f>
        <v/>
      </c>
      <c r="U261" s="7">
        <f>IF($W261="","",IF(INDEX('Per Invoice'!U$2:U$801,$W261)="","",INDEX('Per Invoice'!U$2:U$801,$W261)))</f>
        <v/>
      </c>
      <c r="V261" s="7">
        <f>IF($W261="","",IF(INDEX('Per Invoice'!V$2:V$801,$W261)="","",INDEX('Per Invoice'!V$2:V$801,$W261)))</f>
        <v/>
      </c>
      <c r="W261" s="16">
        <f>IFERROR(MATCH(Settings!$C$26&amp;"|"&amp;ROWS($W$2:$W261),'Per Invoice'!$X$2:$X$801,0),"")</f>
        <v/>
      </c>
    </row>
    <row r="262">
      <c r="A262">
        <f>IF($W262="","",IF(INDEX('Per Invoice'!A$2:A$801,$W262)="","",INDEX('Per Invoice'!A$2:A$801,$W262)))</f>
        <v/>
      </c>
      <c r="B262">
        <f>IF($W262="","",IF(INDEX('Per Invoice'!B$2:B$801,$W262)="","",INDEX('Per Invoice'!B$2:B$801,$W262)))</f>
        <v/>
      </c>
      <c r="C262">
        <f>IF($W262="","",IF(INDEX('Per Invoice'!C$2:C$801,$W262)="","",INDEX('Per Invoice'!C$2:C$801,$W262)))</f>
        <v/>
      </c>
      <c r="D262">
        <f>IF($W262="","",IF(INDEX('Per Invoice'!D$2:D$801,$W262)="","",INDEX('Per Invoice'!D$2:D$801,$W262)))</f>
        <v/>
      </c>
      <c r="E262">
        <f>IF($W262="","",IF(INDEX('Per Invoice'!E$2:E$801,$W262)="","",INDEX('Per Invoice'!E$2:E$801,$W262)))</f>
        <v/>
      </c>
      <c r="F262">
        <f>IF($W262="","",IF(INDEX('Per Invoice'!F$2:F$801,$W262)="","",INDEX('Per Invoice'!F$2:F$801,$W262)))</f>
        <v/>
      </c>
      <c r="G262">
        <f>IF($W262="","",IF(INDEX('Per Invoice'!G$2:G$801,$W262)="","",INDEX('Per Invoice'!G$2:G$801,$W262)))</f>
        <v/>
      </c>
      <c r="H262">
        <f>IF($W262="","",IF(INDEX('Per Invoice'!H$2:H$801,$W262)="","",INDEX('Per Invoice'!H$2:H$801,$W262)))</f>
        <v/>
      </c>
      <c r="I262">
        <f>IF($W262="","",IF(INDEX('Per Invoice'!I$2:I$801,$W262)="","",INDEX('Per Invoice'!I$2:I$801,$W262)))</f>
        <v/>
      </c>
      <c r="J262">
        <f>IF($W262="","",IF(INDEX('Per Invoice'!J$2:J$801,$W262)="","",INDEX('Per Invoice'!J$2:J$801,$W262)))</f>
        <v/>
      </c>
      <c r="K262" s="7">
        <f>IF($W262="","",IF(INDEX('Per Invoice'!K$2:K$801,$W262)="","",INDEX('Per Invoice'!K$2:K$801,$W262)))</f>
        <v/>
      </c>
      <c r="L262" s="14">
        <f>IF($W262="","",IF(INDEX('Per Invoice'!L$2:L$801,$W262)="","",INDEX('Per Invoice'!L$2:L$801,$W262)))</f>
        <v/>
      </c>
      <c r="M262">
        <f>IF($W262="","",IF(INDEX('Per Invoice'!M$2:M$801,$W262)="","",INDEX('Per Invoice'!M$2:M$801,$W262)))</f>
        <v/>
      </c>
      <c r="N262" s="7">
        <f>IF($W262="","",IF(INDEX('Per Invoice'!N$2:N$801,$W262)="","",INDEX('Per Invoice'!N$2:N$801,$W262)))</f>
        <v/>
      </c>
      <c r="O262" s="7">
        <f>IF($W262="","",IF(INDEX('Per Invoice'!O$2:O$801,$W262)="","",INDEX('Per Invoice'!O$2:O$801,$W262)))</f>
        <v/>
      </c>
      <c r="P262">
        <f>IF($W262="","",IF(INDEX('Per Invoice'!P$2:P$801,$W262)="","",INDEX('Per Invoice'!P$2:P$801,$W262)))</f>
        <v/>
      </c>
      <c r="Q262" s="7">
        <f>IF($W262="","",IF(INDEX('Per Invoice'!Q$2:Q$801,$W262)="","",INDEX('Per Invoice'!Q$2:Q$801,$W262)))</f>
        <v/>
      </c>
      <c r="R262" s="7">
        <f>IF($W262="","",IF(INDEX('Per Invoice'!R$2:R$801,$W262)="","",INDEX('Per Invoice'!R$2:R$801,$W262)))</f>
        <v/>
      </c>
      <c r="S262" s="7">
        <f>IF($W262="","",IF(INDEX('Per Invoice'!S$2:S$801,$W262)="","",INDEX('Per Invoice'!S$2:S$801,$W262)))</f>
        <v/>
      </c>
      <c r="T262" s="7">
        <f>IF($W262="","",IF(INDEX('Per Invoice'!T$2:T$801,$W262)="","",INDEX('Per Invoice'!T$2:T$801,$W262)))</f>
        <v/>
      </c>
      <c r="U262" s="7">
        <f>IF($W262="","",IF(INDEX('Per Invoice'!U$2:U$801,$W262)="","",INDEX('Per Invoice'!U$2:U$801,$W262)))</f>
        <v/>
      </c>
      <c r="V262" s="7">
        <f>IF($W262="","",IF(INDEX('Per Invoice'!V$2:V$801,$W262)="","",INDEX('Per Invoice'!V$2:V$801,$W262)))</f>
        <v/>
      </c>
      <c r="W262" s="16">
        <f>IFERROR(MATCH(Settings!$C$26&amp;"|"&amp;ROWS($W$2:$W262),'Per Invoice'!$X$2:$X$801,0),"")</f>
        <v/>
      </c>
    </row>
    <row r="263">
      <c r="A263">
        <f>IF($W263="","",IF(INDEX('Per Invoice'!A$2:A$801,$W263)="","",INDEX('Per Invoice'!A$2:A$801,$W263)))</f>
        <v/>
      </c>
      <c r="B263">
        <f>IF($W263="","",IF(INDEX('Per Invoice'!B$2:B$801,$W263)="","",INDEX('Per Invoice'!B$2:B$801,$W263)))</f>
        <v/>
      </c>
      <c r="C263">
        <f>IF($W263="","",IF(INDEX('Per Invoice'!C$2:C$801,$W263)="","",INDEX('Per Invoice'!C$2:C$801,$W263)))</f>
        <v/>
      </c>
      <c r="D263">
        <f>IF($W263="","",IF(INDEX('Per Invoice'!D$2:D$801,$W263)="","",INDEX('Per Invoice'!D$2:D$801,$W263)))</f>
        <v/>
      </c>
      <c r="E263">
        <f>IF($W263="","",IF(INDEX('Per Invoice'!E$2:E$801,$W263)="","",INDEX('Per Invoice'!E$2:E$801,$W263)))</f>
        <v/>
      </c>
      <c r="F263">
        <f>IF($W263="","",IF(INDEX('Per Invoice'!F$2:F$801,$W263)="","",INDEX('Per Invoice'!F$2:F$801,$W263)))</f>
        <v/>
      </c>
      <c r="G263">
        <f>IF($W263="","",IF(INDEX('Per Invoice'!G$2:G$801,$W263)="","",INDEX('Per Invoice'!G$2:G$801,$W263)))</f>
        <v/>
      </c>
      <c r="H263">
        <f>IF($W263="","",IF(INDEX('Per Invoice'!H$2:H$801,$W263)="","",INDEX('Per Invoice'!H$2:H$801,$W263)))</f>
        <v/>
      </c>
      <c r="I263">
        <f>IF($W263="","",IF(INDEX('Per Invoice'!I$2:I$801,$W263)="","",INDEX('Per Invoice'!I$2:I$801,$W263)))</f>
        <v/>
      </c>
      <c r="J263">
        <f>IF($W263="","",IF(INDEX('Per Invoice'!J$2:J$801,$W263)="","",INDEX('Per Invoice'!J$2:J$801,$W263)))</f>
        <v/>
      </c>
      <c r="K263" s="7">
        <f>IF($W263="","",IF(INDEX('Per Invoice'!K$2:K$801,$W263)="","",INDEX('Per Invoice'!K$2:K$801,$W263)))</f>
        <v/>
      </c>
      <c r="L263" s="14">
        <f>IF($W263="","",IF(INDEX('Per Invoice'!L$2:L$801,$W263)="","",INDEX('Per Invoice'!L$2:L$801,$W263)))</f>
        <v/>
      </c>
      <c r="M263">
        <f>IF($W263="","",IF(INDEX('Per Invoice'!M$2:M$801,$W263)="","",INDEX('Per Invoice'!M$2:M$801,$W263)))</f>
        <v/>
      </c>
      <c r="N263" s="7">
        <f>IF($W263="","",IF(INDEX('Per Invoice'!N$2:N$801,$W263)="","",INDEX('Per Invoice'!N$2:N$801,$W263)))</f>
        <v/>
      </c>
      <c r="O263" s="7">
        <f>IF($W263="","",IF(INDEX('Per Invoice'!O$2:O$801,$W263)="","",INDEX('Per Invoice'!O$2:O$801,$W263)))</f>
        <v/>
      </c>
      <c r="P263">
        <f>IF($W263="","",IF(INDEX('Per Invoice'!P$2:P$801,$W263)="","",INDEX('Per Invoice'!P$2:P$801,$W263)))</f>
        <v/>
      </c>
      <c r="Q263" s="7">
        <f>IF($W263="","",IF(INDEX('Per Invoice'!Q$2:Q$801,$W263)="","",INDEX('Per Invoice'!Q$2:Q$801,$W263)))</f>
        <v/>
      </c>
      <c r="R263" s="7">
        <f>IF($W263="","",IF(INDEX('Per Invoice'!R$2:R$801,$W263)="","",INDEX('Per Invoice'!R$2:R$801,$W263)))</f>
        <v/>
      </c>
      <c r="S263" s="7">
        <f>IF($W263="","",IF(INDEX('Per Invoice'!S$2:S$801,$W263)="","",INDEX('Per Invoice'!S$2:S$801,$W263)))</f>
        <v/>
      </c>
      <c r="T263" s="7">
        <f>IF($W263="","",IF(INDEX('Per Invoice'!T$2:T$801,$W263)="","",INDEX('Per Invoice'!T$2:T$801,$W263)))</f>
        <v/>
      </c>
      <c r="U263" s="7">
        <f>IF($W263="","",IF(INDEX('Per Invoice'!U$2:U$801,$W263)="","",INDEX('Per Invoice'!U$2:U$801,$W263)))</f>
        <v/>
      </c>
      <c r="V263" s="7">
        <f>IF($W263="","",IF(INDEX('Per Invoice'!V$2:V$801,$W263)="","",INDEX('Per Invoice'!V$2:V$801,$W263)))</f>
        <v/>
      </c>
      <c r="W263" s="16">
        <f>IFERROR(MATCH(Settings!$C$26&amp;"|"&amp;ROWS($W$2:$W263),'Per Invoice'!$X$2:$X$801,0),"")</f>
        <v/>
      </c>
    </row>
    <row r="264">
      <c r="A264">
        <f>IF($W264="","",IF(INDEX('Per Invoice'!A$2:A$801,$W264)="","",INDEX('Per Invoice'!A$2:A$801,$W264)))</f>
        <v/>
      </c>
      <c r="B264">
        <f>IF($W264="","",IF(INDEX('Per Invoice'!B$2:B$801,$W264)="","",INDEX('Per Invoice'!B$2:B$801,$W264)))</f>
        <v/>
      </c>
      <c r="C264">
        <f>IF($W264="","",IF(INDEX('Per Invoice'!C$2:C$801,$W264)="","",INDEX('Per Invoice'!C$2:C$801,$W264)))</f>
        <v/>
      </c>
      <c r="D264">
        <f>IF($W264="","",IF(INDEX('Per Invoice'!D$2:D$801,$W264)="","",INDEX('Per Invoice'!D$2:D$801,$W264)))</f>
        <v/>
      </c>
      <c r="E264">
        <f>IF($W264="","",IF(INDEX('Per Invoice'!E$2:E$801,$W264)="","",INDEX('Per Invoice'!E$2:E$801,$W264)))</f>
        <v/>
      </c>
      <c r="F264">
        <f>IF($W264="","",IF(INDEX('Per Invoice'!F$2:F$801,$W264)="","",INDEX('Per Invoice'!F$2:F$801,$W264)))</f>
        <v/>
      </c>
      <c r="G264">
        <f>IF($W264="","",IF(INDEX('Per Invoice'!G$2:G$801,$W264)="","",INDEX('Per Invoice'!G$2:G$801,$W264)))</f>
        <v/>
      </c>
      <c r="H264">
        <f>IF($W264="","",IF(INDEX('Per Invoice'!H$2:H$801,$W264)="","",INDEX('Per Invoice'!H$2:H$801,$W264)))</f>
        <v/>
      </c>
      <c r="I264">
        <f>IF($W264="","",IF(INDEX('Per Invoice'!I$2:I$801,$W264)="","",INDEX('Per Invoice'!I$2:I$801,$W264)))</f>
        <v/>
      </c>
      <c r="J264">
        <f>IF($W264="","",IF(INDEX('Per Invoice'!J$2:J$801,$W264)="","",INDEX('Per Invoice'!J$2:J$801,$W264)))</f>
        <v/>
      </c>
      <c r="K264" s="7">
        <f>IF($W264="","",IF(INDEX('Per Invoice'!K$2:K$801,$W264)="","",INDEX('Per Invoice'!K$2:K$801,$W264)))</f>
        <v/>
      </c>
      <c r="L264" s="14">
        <f>IF($W264="","",IF(INDEX('Per Invoice'!L$2:L$801,$W264)="","",INDEX('Per Invoice'!L$2:L$801,$W264)))</f>
        <v/>
      </c>
      <c r="M264">
        <f>IF($W264="","",IF(INDEX('Per Invoice'!M$2:M$801,$W264)="","",INDEX('Per Invoice'!M$2:M$801,$W264)))</f>
        <v/>
      </c>
      <c r="N264" s="7">
        <f>IF($W264="","",IF(INDEX('Per Invoice'!N$2:N$801,$W264)="","",INDEX('Per Invoice'!N$2:N$801,$W264)))</f>
        <v/>
      </c>
      <c r="O264" s="7">
        <f>IF($W264="","",IF(INDEX('Per Invoice'!O$2:O$801,$W264)="","",INDEX('Per Invoice'!O$2:O$801,$W264)))</f>
        <v/>
      </c>
      <c r="P264">
        <f>IF($W264="","",IF(INDEX('Per Invoice'!P$2:P$801,$W264)="","",INDEX('Per Invoice'!P$2:P$801,$W264)))</f>
        <v/>
      </c>
      <c r="Q264" s="7">
        <f>IF($W264="","",IF(INDEX('Per Invoice'!Q$2:Q$801,$W264)="","",INDEX('Per Invoice'!Q$2:Q$801,$W264)))</f>
        <v/>
      </c>
      <c r="R264" s="7">
        <f>IF($W264="","",IF(INDEX('Per Invoice'!R$2:R$801,$W264)="","",INDEX('Per Invoice'!R$2:R$801,$W264)))</f>
        <v/>
      </c>
      <c r="S264" s="7">
        <f>IF($W264="","",IF(INDEX('Per Invoice'!S$2:S$801,$W264)="","",INDEX('Per Invoice'!S$2:S$801,$W264)))</f>
        <v/>
      </c>
      <c r="T264" s="7">
        <f>IF($W264="","",IF(INDEX('Per Invoice'!T$2:T$801,$W264)="","",INDEX('Per Invoice'!T$2:T$801,$W264)))</f>
        <v/>
      </c>
      <c r="U264" s="7">
        <f>IF($W264="","",IF(INDEX('Per Invoice'!U$2:U$801,$W264)="","",INDEX('Per Invoice'!U$2:U$801,$W264)))</f>
        <v/>
      </c>
      <c r="V264" s="7">
        <f>IF($W264="","",IF(INDEX('Per Invoice'!V$2:V$801,$W264)="","",INDEX('Per Invoice'!V$2:V$801,$W264)))</f>
        <v/>
      </c>
      <c r="W264" s="16">
        <f>IFERROR(MATCH(Settings!$C$26&amp;"|"&amp;ROWS($W$2:$W264),'Per Invoice'!$X$2:$X$801,0),"")</f>
        <v/>
      </c>
    </row>
    <row r="265">
      <c r="A265">
        <f>IF($W265="","",IF(INDEX('Per Invoice'!A$2:A$801,$W265)="","",INDEX('Per Invoice'!A$2:A$801,$W265)))</f>
        <v/>
      </c>
      <c r="B265">
        <f>IF($W265="","",IF(INDEX('Per Invoice'!B$2:B$801,$W265)="","",INDEX('Per Invoice'!B$2:B$801,$W265)))</f>
        <v/>
      </c>
      <c r="C265">
        <f>IF($W265="","",IF(INDEX('Per Invoice'!C$2:C$801,$W265)="","",INDEX('Per Invoice'!C$2:C$801,$W265)))</f>
        <v/>
      </c>
      <c r="D265">
        <f>IF($W265="","",IF(INDEX('Per Invoice'!D$2:D$801,$W265)="","",INDEX('Per Invoice'!D$2:D$801,$W265)))</f>
        <v/>
      </c>
      <c r="E265">
        <f>IF($W265="","",IF(INDEX('Per Invoice'!E$2:E$801,$W265)="","",INDEX('Per Invoice'!E$2:E$801,$W265)))</f>
        <v/>
      </c>
      <c r="F265">
        <f>IF($W265="","",IF(INDEX('Per Invoice'!F$2:F$801,$W265)="","",INDEX('Per Invoice'!F$2:F$801,$W265)))</f>
        <v/>
      </c>
      <c r="G265">
        <f>IF($W265="","",IF(INDEX('Per Invoice'!G$2:G$801,$W265)="","",INDEX('Per Invoice'!G$2:G$801,$W265)))</f>
        <v/>
      </c>
      <c r="H265">
        <f>IF($W265="","",IF(INDEX('Per Invoice'!H$2:H$801,$W265)="","",INDEX('Per Invoice'!H$2:H$801,$W265)))</f>
        <v/>
      </c>
      <c r="I265">
        <f>IF($W265="","",IF(INDEX('Per Invoice'!I$2:I$801,$W265)="","",INDEX('Per Invoice'!I$2:I$801,$W265)))</f>
        <v/>
      </c>
      <c r="J265">
        <f>IF($W265="","",IF(INDEX('Per Invoice'!J$2:J$801,$W265)="","",INDEX('Per Invoice'!J$2:J$801,$W265)))</f>
        <v/>
      </c>
      <c r="K265" s="7">
        <f>IF($W265="","",IF(INDEX('Per Invoice'!K$2:K$801,$W265)="","",INDEX('Per Invoice'!K$2:K$801,$W265)))</f>
        <v/>
      </c>
      <c r="L265" s="14">
        <f>IF($W265="","",IF(INDEX('Per Invoice'!L$2:L$801,$W265)="","",INDEX('Per Invoice'!L$2:L$801,$W265)))</f>
        <v/>
      </c>
      <c r="M265">
        <f>IF($W265="","",IF(INDEX('Per Invoice'!M$2:M$801,$W265)="","",INDEX('Per Invoice'!M$2:M$801,$W265)))</f>
        <v/>
      </c>
      <c r="N265" s="7">
        <f>IF($W265="","",IF(INDEX('Per Invoice'!N$2:N$801,$W265)="","",INDEX('Per Invoice'!N$2:N$801,$W265)))</f>
        <v/>
      </c>
      <c r="O265" s="7">
        <f>IF($W265="","",IF(INDEX('Per Invoice'!O$2:O$801,$W265)="","",INDEX('Per Invoice'!O$2:O$801,$W265)))</f>
        <v/>
      </c>
      <c r="P265">
        <f>IF($W265="","",IF(INDEX('Per Invoice'!P$2:P$801,$W265)="","",INDEX('Per Invoice'!P$2:P$801,$W265)))</f>
        <v/>
      </c>
      <c r="Q265" s="7">
        <f>IF($W265="","",IF(INDEX('Per Invoice'!Q$2:Q$801,$W265)="","",INDEX('Per Invoice'!Q$2:Q$801,$W265)))</f>
        <v/>
      </c>
      <c r="R265" s="7">
        <f>IF($W265="","",IF(INDEX('Per Invoice'!R$2:R$801,$W265)="","",INDEX('Per Invoice'!R$2:R$801,$W265)))</f>
        <v/>
      </c>
      <c r="S265" s="7">
        <f>IF($W265="","",IF(INDEX('Per Invoice'!S$2:S$801,$W265)="","",INDEX('Per Invoice'!S$2:S$801,$W265)))</f>
        <v/>
      </c>
      <c r="T265" s="7">
        <f>IF($W265="","",IF(INDEX('Per Invoice'!T$2:T$801,$W265)="","",INDEX('Per Invoice'!T$2:T$801,$W265)))</f>
        <v/>
      </c>
      <c r="U265" s="7">
        <f>IF($W265="","",IF(INDEX('Per Invoice'!U$2:U$801,$W265)="","",INDEX('Per Invoice'!U$2:U$801,$W265)))</f>
        <v/>
      </c>
      <c r="V265" s="7">
        <f>IF($W265="","",IF(INDEX('Per Invoice'!V$2:V$801,$W265)="","",INDEX('Per Invoice'!V$2:V$801,$W265)))</f>
        <v/>
      </c>
      <c r="W265" s="16">
        <f>IFERROR(MATCH(Settings!$C$26&amp;"|"&amp;ROWS($W$2:$W265),'Per Invoice'!$X$2:$X$801,0),"")</f>
        <v/>
      </c>
    </row>
    <row r="266">
      <c r="A266">
        <f>IF($W266="","",IF(INDEX('Per Invoice'!A$2:A$801,$W266)="","",INDEX('Per Invoice'!A$2:A$801,$W266)))</f>
        <v/>
      </c>
      <c r="B266">
        <f>IF($W266="","",IF(INDEX('Per Invoice'!B$2:B$801,$W266)="","",INDEX('Per Invoice'!B$2:B$801,$W266)))</f>
        <v/>
      </c>
      <c r="C266">
        <f>IF($W266="","",IF(INDEX('Per Invoice'!C$2:C$801,$W266)="","",INDEX('Per Invoice'!C$2:C$801,$W266)))</f>
        <v/>
      </c>
      <c r="D266">
        <f>IF($W266="","",IF(INDEX('Per Invoice'!D$2:D$801,$W266)="","",INDEX('Per Invoice'!D$2:D$801,$W266)))</f>
        <v/>
      </c>
      <c r="E266">
        <f>IF($W266="","",IF(INDEX('Per Invoice'!E$2:E$801,$W266)="","",INDEX('Per Invoice'!E$2:E$801,$W266)))</f>
        <v/>
      </c>
      <c r="F266">
        <f>IF($W266="","",IF(INDEX('Per Invoice'!F$2:F$801,$W266)="","",INDEX('Per Invoice'!F$2:F$801,$W266)))</f>
        <v/>
      </c>
      <c r="G266">
        <f>IF($W266="","",IF(INDEX('Per Invoice'!G$2:G$801,$W266)="","",INDEX('Per Invoice'!G$2:G$801,$W266)))</f>
        <v/>
      </c>
      <c r="H266">
        <f>IF($W266="","",IF(INDEX('Per Invoice'!H$2:H$801,$W266)="","",INDEX('Per Invoice'!H$2:H$801,$W266)))</f>
        <v/>
      </c>
      <c r="I266">
        <f>IF($W266="","",IF(INDEX('Per Invoice'!I$2:I$801,$W266)="","",INDEX('Per Invoice'!I$2:I$801,$W266)))</f>
        <v/>
      </c>
      <c r="J266">
        <f>IF($W266="","",IF(INDEX('Per Invoice'!J$2:J$801,$W266)="","",INDEX('Per Invoice'!J$2:J$801,$W266)))</f>
        <v/>
      </c>
      <c r="K266" s="7">
        <f>IF($W266="","",IF(INDEX('Per Invoice'!K$2:K$801,$W266)="","",INDEX('Per Invoice'!K$2:K$801,$W266)))</f>
        <v/>
      </c>
      <c r="L266" s="14">
        <f>IF($W266="","",IF(INDEX('Per Invoice'!L$2:L$801,$W266)="","",INDEX('Per Invoice'!L$2:L$801,$W266)))</f>
        <v/>
      </c>
      <c r="M266">
        <f>IF($W266="","",IF(INDEX('Per Invoice'!M$2:M$801,$W266)="","",INDEX('Per Invoice'!M$2:M$801,$W266)))</f>
        <v/>
      </c>
      <c r="N266" s="7">
        <f>IF($W266="","",IF(INDEX('Per Invoice'!N$2:N$801,$W266)="","",INDEX('Per Invoice'!N$2:N$801,$W266)))</f>
        <v/>
      </c>
      <c r="O266" s="7">
        <f>IF($W266="","",IF(INDEX('Per Invoice'!O$2:O$801,$W266)="","",INDEX('Per Invoice'!O$2:O$801,$W266)))</f>
        <v/>
      </c>
      <c r="P266">
        <f>IF($W266="","",IF(INDEX('Per Invoice'!P$2:P$801,$W266)="","",INDEX('Per Invoice'!P$2:P$801,$W266)))</f>
        <v/>
      </c>
      <c r="Q266" s="7">
        <f>IF($W266="","",IF(INDEX('Per Invoice'!Q$2:Q$801,$W266)="","",INDEX('Per Invoice'!Q$2:Q$801,$W266)))</f>
        <v/>
      </c>
      <c r="R266" s="7">
        <f>IF($W266="","",IF(INDEX('Per Invoice'!R$2:R$801,$W266)="","",INDEX('Per Invoice'!R$2:R$801,$W266)))</f>
        <v/>
      </c>
      <c r="S266" s="7">
        <f>IF($W266="","",IF(INDEX('Per Invoice'!S$2:S$801,$W266)="","",INDEX('Per Invoice'!S$2:S$801,$W266)))</f>
        <v/>
      </c>
      <c r="T266" s="7">
        <f>IF($W266="","",IF(INDEX('Per Invoice'!T$2:T$801,$W266)="","",INDEX('Per Invoice'!T$2:T$801,$W266)))</f>
        <v/>
      </c>
      <c r="U266" s="7">
        <f>IF($W266="","",IF(INDEX('Per Invoice'!U$2:U$801,$W266)="","",INDEX('Per Invoice'!U$2:U$801,$W266)))</f>
        <v/>
      </c>
      <c r="V266" s="7">
        <f>IF($W266="","",IF(INDEX('Per Invoice'!V$2:V$801,$W266)="","",INDEX('Per Invoice'!V$2:V$801,$W266)))</f>
        <v/>
      </c>
      <c r="W266" s="16">
        <f>IFERROR(MATCH(Settings!$C$26&amp;"|"&amp;ROWS($W$2:$W266),'Per Invoice'!$X$2:$X$801,0),"")</f>
        <v/>
      </c>
    </row>
    <row r="267">
      <c r="A267">
        <f>IF($W267="","",IF(INDEX('Per Invoice'!A$2:A$801,$W267)="","",INDEX('Per Invoice'!A$2:A$801,$W267)))</f>
        <v/>
      </c>
      <c r="B267">
        <f>IF($W267="","",IF(INDEX('Per Invoice'!B$2:B$801,$W267)="","",INDEX('Per Invoice'!B$2:B$801,$W267)))</f>
        <v/>
      </c>
      <c r="C267">
        <f>IF($W267="","",IF(INDEX('Per Invoice'!C$2:C$801,$W267)="","",INDEX('Per Invoice'!C$2:C$801,$W267)))</f>
        <v/>
      </c>
      <c r="D267">
        <f>IF($W267="","",IF(INDEX('Per Invoice'!D$2:D$801,$W267)="","",INDEX('Per Invoice'!D$2:D$801,$W267)))</f>
        <v/>
      </c>
      <c r="E267">
        <f>IF($W267="","",IF(INDEX('Per Invoice'!E$2:E$801,$W267)="","",INDEX('Per Invoice'!E$2:E$801,$W267)))</f>
        <v/>
      </c>
      <c r="F267">
        <f>IF($W267="","",IF(INDEX('Per Invoice'!F$2:F$801,$W267)="","",INDEX('Per Invoice'!F$2:F$801,$W267)))</f>
        <v/>
      </c>
      <c r="G267">
        <f>IF($W267="","",IF(INDEX('Per Invoice'!G$2:G$801,$W267)="","",INDEX('Per Invoice'!G$2:G$801,$W267)))</f>
        <v/>
      </c>
      <c r="H267">
        <f>IF($W267="","",IF(INDEX('Per Invoice'!H$2:H$801,$W267)="","",INDEX('Per Invoice'!H$2:H$801,$W267)))</f>
        <v/>
      </c>
      <c r="I267">
        <f>IF($W267="","",IF(INDEX('Per Invoice'!I$2:I$801,$W267)="","",INDEX('Per Invoice'!I$2:I$801,$W267)))</f>
        <v/>
      </c>
      <c r="J267">
        <f>IF($W267="","",IF(INDEX('Per Invoice'!J$2:J$801,$W267)="","",INDEX('Per Invoice'!J$2:J$801,$W267)))</f>
        <v/>
      </c>
      <c r="K267" s="7">
        <f>IF($W267="","",IF(INDEX('Per Invoice'!K$2:K$801,$W267)="","",INDEX('Per Invoice'!K$2:K$801,$W267)))</f>
        <v/>
      </c>
      <c r="L267" s="14">
        <f>IF($W267="","",IF(INDEX('Per Invoice'!L$2:L$801,$W267)="","",INDEX('Per Invoice'!L$2:L$801,$W267)))</f>
        <v/>
      </c>
      <c r="M267">
        <f>IF($W267="","",IF(INDEX('Per Invoice'!M$2:M$801,$W267)="","",INDEX('Per Invoice'!M$2:M$801,$W267)))</f>
        <v/>
      </c>
      <c r="N267" s="7">
        <f>IF($W267="","",IF(INDEX('Per Invoice'!N$2:N$801,$W267)="","",INDEX('Per Invoice'!N$2:N$801,$W267)))</f>
        <v/>
      </c>
      <c r="O267" s="7">
        <f>IF($W267="","",IF(INDEX('Per Invoice'!O$2:O$801,$W267)="","",INDEX('Per Invoice'!O$2:O$801,$W267)))</f>
        <v/>
      </c>
      <c r="P267">
        <f>IF($W267="","",IF(INDEX('Per Invoice'!P$2:P$801,$W267)="","",INDEX('Per Invoice'!P$2:P$801,$W267)))</f>
        <v/>
      </c>
      <c r="Q267" s="7">
        <f>IF($W267="","",IF(INDEX('Per Invoice'!Q$2:Q$801,$W267)="","",INDEX('Per Invoice'!Q$2:Q$801,$W267)))</f>
        <v/>
      </c>
      <c r="R267" s="7">
        <f>IF($W267="","",IF(INDEX('Per Invoice'!R$2:R$801,$W267)="","",INDEX('Per Invoice'!R$2:R$801,$W267)))</f>
        <v/>
      </c>
      <c r="S267" s="7">
        <f>IF($W267="","",IF(INDEX('Per Invoice'!S$2:S$801,$W267)="","",INDEX('Per Invoice'!S$2:S$801,$W267)))</f>
        <v/>
      </c>
      <c r="T267" s="7">
        <f>IF($W267="","",IF(INDEX('Per Invoice'!T$2:T$801,$W267)="","",INDEX('Per Invoice'!T$2:T$801,$W267)))</f>
        <v/>
      </c>
      <c r="U267" s="7">
        <f>IF($W267="","",IF(INDEX('Per Invoice'!U$2:U$801,$W267)="","",INDEX('Per Invoice'!U$2:U$801,$W267)))</f>
        <v/>
      </c>
      <c r="V267" s="7">
        <f>IF($W267="","",IF(INDEX('Per Invoice'!V$2:V$801,$W267)="","",INDEX('Per Invoice'!V$2:V$801,$W267)))</f>
        <v/>
      </c>
      <c r="W267" s="16">
        <f>IFERROR(MATCH(Settings!$C$26&amp;"|"&amp;ROWS($W$2:$W267),'Per Invoice'!$X$2:$X$801,0),"")</f>
        <v/>
      </c>
    </row>
    <row r="268">
      <c r="A268">
        <f>IF($W268="","",IF(INDEX('Per Invoice'!A$2:A$801,$W268)="","",INDEX('Per Invoice'!A$2:A$801,$W268)))</f>
        <v/>
      </c>
      <c r="B268">
        <f>IF($W268="","",IF(INDEX('Per Invoice'!B$2:B$801,$W268)="","",INDEX('Per Invoice'!B$2:B$801,$W268)))</f>
        <v/>
      </c>
      <c r="C268">
        <f>IF($W268="","",IF(INDEX('Per Invoice'!C$2:C$801,$W268)="","",INDEX('Per Invoice'!C$2:C$801,$W268)))</f>
        <v/>
      </c>
      <c r="D268">
        <f>IF($W268="","",IF(INDEX('Per Invoice'!D$2:D$801,$W268)="","",INDEX('Per Invoice'!D$2:D$801,$W268)))</f>
        <v/>
      </c>
      <c r="E268">
        <f>IF($W268="","",IF(INDEX('Per Invoice'!E$2:E$801,$W268)="","",INDEX('Per Invoice'!E$2:E$801,$W268)))</f>
        <v/>
      </c>
      <c r="F268">
        <f>IF($W268="","",IF(INDEX('Per Invoice'!F$2:F$801,$W268)="","",INDEX('Per Invoice'!F$2:F$801,$W268)))</f>
        <v/>
      </c>
      <c r="G268">
        <f>IF($W268="","",IF(INDEX('Per Invoice'!G$2:G$801,$W268)="","",INDEX('Per Invoice'!G$2:G$801,$W268)))</f>
        <v/>
      </c>
      <c r="H268">
        <f>IF($W268="","",IF(INDEX('Per Invoice'!H$2:H$801,$W268)="","",INDEX('Per Invoice'!H$2:H$801,$W268)))</f>
        <v/>
      </c>
      <c r="I268">
        <f>IF($W268="","",IF(INDEX('Per Invoice'!I$2:I$801,$W268)="","",INDEX('Per Invoice'!I$2:I$801,$W268)))</f>
        <v/>
      </c>
      <c r="J268">
        <f>IF($W268="","",IF(INDEX('Per Invoice'!J$2:J$801,$W268)="","",INDEX('Per Invoice'!J$2:J$801,$W268)))</f>
        <v/>
      </c>
      <c r="K268" s="7">
        <f>IF($W268="","",IF(INDEX('Per Invoice'!K$2:K$801,$W268)="","",INDEX('Per Invoice'!K$2:K$801,$W268)))</f>
        <v/>
      </c>
      <c r="L268" s="14">
        <f>IF($W268="","",IF(INDEX('Per Invoice'!L$2:L$801,$W268)="","",INDEX('Per Invoice'!L$2:L$801,$W268)))</f>
        <v/>
      </c>
      <c r="M268">
        <f>IF($W268="","",IF(INDEX('Per Invoice'!M$2:M$801,$W268)="","",INDEX('Per Invoice'!M$2:M$801,$W268)))</f>
        <v/>
      </c>
      <c r="N268" s="7">
        <f>IF($W268="","",IF(INDEX('Per Invoice'!N$2:N$801,$W268)="","",INDEX('Per Invoice'!N$2:N$801,$W268)))</f>
        <v/>
      </c>
      <c r="O268" s="7">
        <f>IF($W268="","",IF(INDEX('Per Invoice'!O$2:O$801,$W268)="","",INDEX('Per Invoice'!O$2:O$801,$W268)))</f>
        <v/>
      </c>
      <c r="P268">
        <f>IF($W268="","",IF(INDEX('Per Invoice'!P$2:P$801,$W268)="","",INDEX('Per Invoice'!P$2:P$801,$W268)))</f>
        <v/>
      </c>
      <c r="Q268" s="7">
        <f>IF($W268="","",IF(INDEX('Per Invoice'!Q$2:Q$801,$W268)="","",INDEX('Per Invoice'!Q$2:Q$801,$W268)))</f>
        <v/>
      </c>
      <c r="R268" s="7">
        <f>IF($W268="","",IF(INDEX('Per Invoice'!R$2:R$801,$W268)="","",INDEX('Per Invoice'!R$2:R$801,$W268)))</f>
        <v/>
      </c>
      <c r="S268" s="7">
        <f>IF($W268="","",IF(INDEX('Per Invoice'!S$2:S$801,$W268)="","",INDEX('Per Invoice'!S$2:S$801,$W268)))</f>
        <v/>
      </c>
      <c r="T268" s="7">
        <f>IF($W268="","",IF(INDEX('Per Invoice'!T$2:T$801,$W268)="","",INDEX('Per Invoice'!T$2:T$801,$W268)))</f>
        <v/>
      </c>
      <c r="U268" s="7">
        <f>IF($W268="","",IF(INDEX('Per Invoice'!U$2:U$801,$W268)="","",INDEX('Per Invoice'!U$2:U$801,$W268)))</f>
        <v/>
      </c>
      <c r="V268" s="7">
        <f>IF($W268="","",IF(INDEX('Per Invoice'!V$2:V$801,$W268)="","",INDEX('Per Invoice'!V$2:V$801,$W268)))</f>
        <v/>
      </c>
      <c r="W268" s="16">
        <f>IFERROR(MATCH(Settings!$C$26&amp;"|"&amp;ROWS($W$2:$W268),'Per Invoice'!$X$2:$X$801,0),"")</f>
        <v/>
      </c>
    </row>
    <row r="269">
      <c r="A269">
        <f>IF($W269="","",IF(INDEX('Per Invoice'!A$2:A$801,$W269)="","",INDEX('Per Invoice'!A$2:A$801,$W269)))</f>
        <v/>
      </c>
      <c r="B269">
        <f>IF($W269="","",IF(INDEX('Per Invoice'!B$2:B$801,$W269)="","",INDEX('Per Invoice'!B$2:B$801,$W269)))</f>
        <v/>
      </c>
      <c r="C269">
        <f>IF($W269="","",IF(INDEX('Per Invoice'!C$2:C$801,$W269)="","",INDEX('Per Invoice'!C$2:C$801,$W269)))</f>
        <v/>
      </c>
      <c r="D269">
        <f>IF($W269="","",IF(INDEX('Per Invoice'!D$2:D$801,$W269)="","",INDEX('Per Invoice'!D$2:D$801,$W269)))</f>
        <v/>
      </c>
      <c r="E269">
        <f>IF($W269="","",IF(INDEX('Per Invoice'!E$2:E$801,$W269)="","",INDEX('Per Invoice'!E$2:E$801,$W269)))</f>
        <v/>
      </c>
      <c r="F269">
        <f>IF($W269="","",IF(INDEX('Per Invoice'!F$2:F$801,$W269)="","",INDEX('Per Invoice'!F$2:F$801,$W269)))</f>
        <v/>
      </c>
      <c r="G269">
        <f>IF($W269="","",IF(INDEX('Per Invoice'!G$2:G$801,$W269)="","",INDEX('Per Invoice'!G$2:G$801,$W269)))</f>
        <v/>
      </c>
      <c r="H269">
        <f>IF($W269="","",IF(INDEX('Per Invoice'!H$2:H$801,$W269)="","",INDEX('Per Invoice'!H$2:H$801,$W269)))</f>
        <v/>
      </c>
      <c r="I269">
        <f>IF($W269="","",IF(INDEX('Per Invoice'!I$2:I$801,$W269)="","",INDEX('Per Invoice'!I$2:I$801,$W269)))</f>
        <v/>
      </c>
      <c r="J269">
        <f>IF($W269="","",IF(INDEX('Per Invoice'!J$2:J$801,$W269)="","",INDEX('Per Invoice'!J$2:J$801,$W269)))</f>
        <v/>
      </c>
      <c r="K269" s="7">
        <f>IF($W269="","",IF(INDEX('Per Invoice'!K$2:K$801,$W269)="","",INDEX('Per Invoice'!K$2:K$801,$W269)))</f>
        <v/>
      </c>
      <c r="L269" s="14">
        <f>IF($W269="","",IF(INDEX('Per Invoice'!L$2:L$801,$W269)="","",INDEX('Per Invoice'!L$2:L$801,$W269)))</f>
        <v/>
      </c>
      <c r="M269">
        <f>IF($W269="","",IF(INDEX('Per Invoice'!M$2:M$801,$W269)="","",INDEX('Per Invoice'!M$2:M$801,$W269)))</f>
        <v/>
      </c>
      <c r="N269" s="7">
        <f>IF($W269="","",IF(INDEX('Per Invoice'!N$2:N$801,$W269)="","",INDEX('Per Invoice'!N$2:N$801,$W269)))</f>
        <v/>
      </c>
      <c r="O269" s="7">
        <f>IF($W269="","",IF(INDEX('Per Invoice'!O$2:O$801,$W269)="","",INDEX('Per Invoice'!O$2:O$801,$W269)))</f>
        <v/>
      </c>
      <c r="P269">
        <f>IF($W269="","",IF(INDEX('Per Invoice'!P$2:P$801,$W269)="","",INDEX('Per Invoice'!P$2:P$801,$W269)))</f>
        <v/>
      </c>
      <c r="Q269" s="7">
        <f>IF($W269="","",IF(INDEX('Per Invoice'!Q$2:Q$801,$W269)="","",INDEX('Per Invoice'!Q$2:Q$801,$W269)))</f>
        <v/>
      </c>
      <c r="R269" s="7">
        <f>IF($W269="","",IF(INDEX('Per Invoice'!R$2:R$801,$W269)="","",INDEX('Per Invoice'!R$2:R$801,$W269)))</f>
        <v/>
      </c>
      <c r="S269" s="7">
        <f>IF($W269="","",IF(INDEX('Per Invoice'!S$2:S$801,$W269)="","",INDEX('Per Invoice'!S$2:S$801,$W269)))</f>
        <v/>
      </c>
      <c r="T269" s="7">
        <f>IF($W269="","",IF(INDEX('Per Invoice'!T$2:T$801,$W269)="","",INDEX('Per Invoice'!T$2:T$801,$W269)))</f>
        <v/>
      </c>
      <c r="U269" s="7">
        <f>IF($W269="","",IF(INDEX('Per Invoice'!U$2:U$801,$W269)="","",INDEX('Per Invoice'!U$2:U$801,$W269)))</f>
        <v/>
      </c>
      <c r="V269" s="7">
        <f>IF($W269="","",IF(INDEX('Per Invoice'!V$2:V$801,$W269)="","",INDEX('Per Invoice'!V$2:V$801,$W269)))</f>
        <v/>
      </c>
      <c r="W269" s="16">
        <f>IFERROR(MATCH(Settings!$C$26&amp;"|"&amp;ROWS($W$2:$W269),'Per Invoice'!$X$2:$X$801,0),"")</f>
        <v/>
      </c>
    </row>
    <row r="270">
      <c r="A270">
        <f>IF($W270="","",IF(INDEX('Per Invoice'!A$2:A$801,$W270)="","",INDEX('Per Invoice'!A$2:A$801,$W270)))</f>
        <v/>
      </c>
      <c r="B270">
        <f>IF($W270="","",IF(INDEX('Per Invoice'!B$2:B$801,$W270)="","",INDEX('Per Invoice'!B$2:B$801,$W270)))</f>
        <v/>
      </c>
      <c r="C270">
        <f>IF($W270="","",IF(INDEX('Per Invoice'!C$2:C$801,$W270)="","",INDEX('Per Invoice'!C$2:C$801,$W270)))</f>
        <v/>
      </c>
      <c r="D270">
        <f>IF($W270="","",IF(INDEX('Per Invoice'!D$2:D$801,$W270)="","",INDEX('Per Invoice'!D$2:D$801,$W270)))</f>
        <v/>
      </c>
      <c r="E270">
        <f>IF($W270="","",IF(INDEX('Per Invoice'!E$2:E$801,$W270)="","",INDEX('Per Invoice'!E$2:E$801,$W270)))</f>
        <v/>
      </c>
      <c r="F270">
        <f>IF($W270="","",IF(INDEX('Per Invoice'!F$2:F$801,$W270)="","",INDEX('Per Invoice'!F$2:F$801,$W270)))</f>
        <v/>
      </c>
      <c r="G270">
        <f>IF($W270="","",IF(INDEX('Per Invoice'!G$2:G$801,$W270)="","",INDEX('Per Invoice'!G$2:G$801,$W270)))</f>
        <v/>
      </c>
      <c r="H270">
        <f>IF($W270="","",IF(INDEX('Per Invoice'!H$2:H$801,$W270)="","",INDEX('Per Invoice'!H$2:H$801,$W270)))</f>
        <v/>
      </c>
      <c r="I270">
        <f>IF($W270="","",IF(INDEX('Per Invoice'!I$2:I$801,$W270)="","",INDEX('Per Invoice'!I$2:I$801,$W270)))</f>
        <v/>
      </c>
      <c r="J270">
        <f>IF($W270="","",IF(INDEX('Per Invoice'!J$2:J$801,$W270)="","",INDEX('Per Invoice'!J$2:J$801,$W270)))</f>
        <v/>
      </c>
      <c r="K270" s="7">
        <f>IF($W270="","",IF(INDEX('Per Invoice'!K$2:K$801,$W270)="","",INDEX('Per Invoice'!K$2:K$801,$W270)))</f>
        <v/>
      </c>
      <c r="L270" s="14">
        <f>IF($W270="","",IF(INDEX('Per Invoice'!L$2:L$801,$W270)="","",INDEX('Per Invoice'!L$2:L$801,$W270)))</f>
        <v/>
      </c>
      <c r="M270">
        <f>IF($W270="","",IF(INDEX('Per Invoice'!M$2:M$801,$W270)="","",INDEX('Per Invoice'!M$2:M$801,$W270)))</f>
        <v/>
      </c>
      <c r="N270" s="7">
        <f>IF($W270="","",IF(INDEX('Per Invoice'!N$2:N$801,$W270)="","",INDEX('Per Invoice'!N$2:N$801,$W270)))</f>
        <v/>
      </c>
      <c r="O270" s="7">
        <f>IF($W270="","",IF(INDEX('Per Invoice'!O$2:O$801,$W270)="","",INDEX('Per Invoice'!O$2:O$801,$W270)))</f>
        <v/>
      </c>
      <c r="P270">
        <f>IF($W270="","",IF(INDEX('Per Invoice'!P$2:P$801,$W270)="","",INDEX('Per Invoice'!P$2:P$801,$W270)))</f>
        <v/>
      </c>
      <c r="Q270" s="7">
        <f>IF($W270="","",IF(INDEX('Per Invoice'!Q$2:Q$801,$W270)="","",INDEX('Per Invoice'!Q$2:Q$801,$W270)))</f>
        <v/>
      </c>
      <c r="R270" s="7">
        <f>IF($W270="","",IF(INDEX('Per Invoice'!R$2:R$801,$W270)="","",INDEX('Per Invoice'!R$2:R$801,$W270)))</f>
        <v/>
      </c>
      <c r="S270" s="7">
        <f>IF($W270="","",IF(INDEX('Per Invoice'!S$2:S$801,$W270)="","",INDEX('Per Invoice'!S$2:S$801,$W270)))</f>
        <v/>
      </c>
      <c r="T270" s="7">
        <f>IF($W270="","",IF(INDEX('Per Invoice'!T$2:T$801,$W270)="","",INDEX('Per Invoice'!T$2:T$801,$W270)))</f>
        <v/>
      </c>
      <c r="U270" s="7">
        <f>IF($W270="","",IF(INDEX('Per Invoice'!U$2:U$801,$W270)="","",INDEX('Per Invoice'!U$2:U$801,$W270)))</f>
        <v/>
      </c>
      <c r="V270" s="7">
        <f>IF($W270="","",IF(INDEX('Per Invoice'!V$2:V$801,$W270)="","",INDEX('Per Invoice'!V$2:V$801,$W270)))</f>
        <v/>
      </c>
      <c r="W270" s="16">
        <f>IFERROR(MATCH(Settings!$C$26&amp;"|"&amp;ROWS($W$2:$W270),'Per Invoice'!$X$2:$X$801,0),"")</f>
        <v/>
      </c>
    </row>
    <row r="271">
      <c r="A271">
        <f>IF($W271="","",IF(INDEX('Per Invoice'!A$2:A$801,$W271)="","",INDEX('Per Invoice'!A$2:A$801,$W271)))</f>
        <v/>
      </c>
      <c r="B271">
        <f>IF($W271="","",IF(INDEX('Per Invoice'!B$2:B$801,$W271)="","",INDEX('Per Invoice'!B$2:B$801,$W271)))</f>
        <v/>
      </c>
      <c r="C271">
        <f>IF($W271="","",IF(INDEX('Per Invoice'!C$2:C$801,$W271)="","",INDEX('Per Invoice'!C$2:C$801,$W271)))</f>
        <v/>
      </c>
      <c r="D271">
        <f>IF($W271="","",IF(INDEX('Per Invoice'!D$2:D$801,$W271)="","",INDEX('Per Invoice'!D$2:D$801,$W271)))</f>
        <v/>
      </c>
      <c r="E271">
        <f>IF($W271="","",IF(INDEX('Per Invoice'!E$2:E$801,$W271)="","",INDEX('Per Invoice'!E$2:E$801,$W271)))</f>
        <v/>
      </c>
      <c r="F271">
        <f>IF($W271="","",IF(INDEX('Per Invoice'!F$2:F$801,$W271)="","",INDEX('Per Invoice'!F$2:F$801,$W271)))</f>
        <v/>
      </c>
      <c r="G271">
        <f>IF($W271="","",IF(INDEX('Per Invoice'!G$2:G$801,$W271)="","",INDEX('Per Invoice'!G$2:G$801,$W271)))</f>
        <v/>
      </c>
      <c r="H271">
        <f>IF($W271="","",IF(INDEX('Per Invoice'!H$2:H$801,$W271)="","",INDEX('Per Invoice'!H$2:H$801,$W271)))</f>
        <v/>
      </c>
      <c r="I271">
        <f>IF($W271="","",IF(INDEX('Per Invoice'!I$2:I$801,$W271)="","",INDEX('Per Invoice'!I$2:I$801,$W271)))</f>
        <v/>
      </c>
      <c r="J271">
        <f>IF($W271="","",IF(INDEX('Per Invoice'!J$2:J$801,$W271)="","",INDEX('Per Invoice'!J$2:J$801,$W271)))</f>
        <v/>
      </c>
      <c r="K271" s="7">
        <f>IF($W271="","",IF(INDEX('Per Invoice'!K$2:K$801,$W271)="","",INDEX('Per Invoice'!K$2:K$801,$W271)))</f>
        <v/>
      </c>
      <c r="L271" s="14">
        <f>IF($W271="","",IF(INDEX('Per Invoice'!L$2:L$801,$W271)="","",INDEX('Per Invoice'!L$2:L$801,$W271)))</f>
        <v/>
      </c>
      <c r="M271">
        <f>IF($W271="","",IF(INDEX('Per Invoice'!M$2:M$801,$W271)="","",INDEX('Per Invoice'!M$2:M$801,$W271)))</f>
        <v/>
      </c>
      <c r="N271" s="7">
        <f>IF($W271="","",IF(INDEX('Per Invoice'!N$2:N$801,$W271)="","",INDEX('Per Invoice'!N$2:N$801,$W271)))</f>
        <v/>
      </c>
      <c r="O271" s="7">
        <f>IF($W271="","",IF(INDEX('Per Invoice'!O$2:O$801,$W271)="","",INDEX('Per Invoice'!O$2:O$801,$W271)))</f>
        <v/>
      </c>
      <c r="P271">
        <f>IF($W271="","",IF(INDEX('Per Invoice'!P$2:P$801,$W271)="","",INDEX('Per Invoice'!P$2:P$801,$W271)))</f>
        <v/>
      </c>
      <c r="Q271" s="7">
        <f>IF($W271="","",IF(INDEX('Per Invoice'!Q$2:Q$801,$W271)="","",INDEX('Per Invoice'!Q$2:Q$801,$W271)))</f>
        <v/>
      </c>
      <c r="R271" s="7">
        <f>IF($W271="","",IF(INDEX('Per Invoice'!R$2:R$801,$W271)="","",INDEX('Per Invoice'!R$2:R$801,$W271)))</f>
        <v/>
      </c>
      <c r="S271" s="7">
        <f>IF($W271="","",IF(INDEX('Per Invoice'!S$2:S$801,$W271)="","",INDEX('Per Invoice'!S$2:S$801,$W271)))</f>
        <v/>
      </c>
      <c r="T271" s="7">
        <f>IF($W271="","",IF(INDEX('Per Invoice'!T$2:T$801,$W271)="","",INDEX('Per Invoice'!T$2:T$801,$W271)))</f>
        <v/>
      </c>
      <c r="U271" s="7">
        <f>IF($W271="","",IF(INDEX('Per Invoice'!U$2:U$801,$W271)="","",INDEX('Per Invoice'!U$2:U$801,$W271)))</f>
        <v/>
      </c>
      <c r="V271" s="7">
        <f>IF($W271="","",IF(INDEX('Per Invoice'!V$2:V$801,$W271)="","",INDEX('Per Invoice'!V$2:V$801,$W271)))</f>
        <v/>
      </c>
      <c r="W271" s="16">
        <f>IFERROR(MATCH(Settings!$C$26&amp;"|"&amp;ROWS($W$2:$W271),'Per Invoice'!$X$2:$X$801,0),"")</f>
        <v/>
      </c>
    </row>
    <row r="272">
      <c r="A272">
        <f>IF($W272="","",IF(INDEX('Per Invoice'!A$2:A$801,$W272)="","",INDEX('Per Invoice'!A$2:A$801,$W272)))</f>
        <v/>
      </c>
      <c r="B272">
        <f>IF($W272="","",IF(INDEX('Per Invoice'!B$2:B$801,$W272)="","",INDEX('Per Invoice'!B$2:B$801,$W272)))</f>
        <v/>
      </c>
      <c r="C272">
        <f>IF($W272="","",IF(INDEX('Per Invoice'!C$2:C$801,$W272)="","",INDEX('Per Invoice'!C$2:C$801,$W272)))</f>
        <v/>
      </c>
      <c r="D272">
        <f>IF($W272="","",IF(INDEX('Per Invoice'!D$2:D$801,$W272)="","",INDEX('Per Invoice'!D$2:D$801,$W272)))</f>
        <v/>
      </c>
      <c r="E272">
        <f>IF($W272="","",IF(INDEX('Per Invoice'!E$2:E$801,$W272)="","",INDEX('Per Invoice'!E$2:E$801,$W272)))</f>
        <v/>
      </c>
      <c r="F272">
        <f>IF($W272="","",IF(INDEX('Per Invoice'!F$2:F$801,$W272)="","",INDEX('Per Invoice'!F$2:F$801,$W272)))</f>
        <v/>
      </c>
      <c r="G272">
        <f>IF($W272="","",IF(INDEX('Per Invoice'!G$2:G$801,$W272)="","",INDEX('Per Invoice'!G$2:G$801,$W272)))</f>
        <v/>
      </c>
      <c r="H272">
        <f>IF($W272="","",IF(INDEX('Per Invoice'!H$2:H$801,$W272)="","",INDEX('Per Invoice'!H$2:H$801,$W272)))</f>
        <v/>
      </c>
      <c r="I272">
        <f>IF($W272="","",IF(INDEX('Per Invoice'!I$2:I$801,$W272)="","",INDEX('Per Invoice'!I$2:I$801,$W272)))</f>
        <v/>
      </c>
      <c r="J272">
        <f>IF($W272="","",IF(INDEX('Per Invoice'!J$2:J$801,$W272)="","",INDEX('Per Invoice'!J$2:J$801,$W272)))</f>
        <v/>
      </c>
      <c r="K272" s="7">
        <f>IF($W272="","",IF(INDEX('Per Invoice'!K$2:K$801,$W272)="","",INDEX('Per Invoice'!K$2:K$801,$W272)))</f>
        <v/>
      </c>
      <c r="L272" s="14">
        <f>IF($W272="","",IF(INDEX('Per Invoice'!L$2:L$801,$W272)="","",INDEX('Per Invoice'!L$2:L$801,$W272)))</f>
        <v/>
      </c>
      <c r="M272">
        <f>IF($W272="","",IF(INDEX('Per Invoice'!M$2:M$801,$W272)="","",INDEX('Per Invoice'!M$2:M$801,$W272)))</f>
        <v/>
      </c>
      <c r="N272" s="7">
        <f>IF($W272="","",IF(INDEX('Per Invoice'!N$2:N$801,$W272)="","",INDEX('Per Invoice'!N$2:N$801,$W272)))</f>
        <v/>
      </c>
      <c r="O272" s="7">
        <f>IF($W272="","",IF(INDEX('Per Invoice'!O$2:O$801,$W272)="","",INDEX('Per Invoice'!O$2:O$801,$W272)))</f>
        <v/>
      </c>
      <c r="P272">
        <f>IF($W272="","",IF(INDEX('Per Invoice'!P$2:P$801,$W272)="","",INDEX('Per Invoice'!P$2:P$801,$W272)))</f>
        <v/>
      </c>
      <c r="Q272" s="7">
        <f>IF($W272="","",IF(INDEX('Per Invoice'!Q$2:Q$801,$W272)="","",INDEX('Per Invoice'!Q$2:Q$801,$W272)))</f>
        <v/>
      </c>
      <c r="R272" s="7">
        <f>IF($W272="","",IF(INDEX('Per Invoice'!R$2:R$801,$W272)="","",INDEX('Per Invoice'!R$2:R$801,$W272)))</f>
        <v/>
      </c>
      <c r="S272" s="7">
        <f>IF($W272="","",IF(INDEX('Per Invoice'!S$2:S$801,$W272)="","",INDEX('Per Invoice'!S$2:S$801,$W272)))</f>
        <v/>
      </c>
      <c r="T272" s="7">
        <f>IF($W272="","",IF(INDEX('Per Invoice'!T$2:T$801,$W272)="","",INDEX('Per Invoice'!T$2:T$801,$W272)))</f>
        <v/>
      </c>
      <c r="U272" s="7">
        <f>IF($W272="","",IF(INDEX('Per Invoice'!U$2:U$801,$W272)="","",INDEX('Per Invoice'!U$2:U$801,$W272)))</f>
        <v/>
      </c>
      <c r="V272" s="7">
        <f>IF($W272="","",IF(INDEX('Per Invoice'!V$2:V$801,$W272)="","",INDEX('Per Invoice'!V$2:V$801,$W272)))</f>
        <v/>
      </c>
      <c r="W272" s="16">
        <f>IFERROR(MATCH(Settings!$C$26&amp;"|"&amp;ROWS($W$2:$W272),'Per Invoice'!$X$2:$X$801,0),"")</f>
        <v/>
      </c>
    </row>
    <row r="273">
      <c r="A273">
        <f>IF($W273="","",IF(INDEX('Per Invoice'!A$2:A$801,$W273)="","",INDEX('Per Invoice'!A$2:A$801,$W273)))</f>
        <v/>
      </c>
      <c r="B273">
        <f>IF($W273="","",IF(INDEX('Per Invoice'!B$2:B$801,$W273)="","",INDEX('Per Invoice'!B$2:B$801,$W273)))</f>
        <v/>
      </c>
      <c r="C273">
        <f>IF($W273="","",IF(INDEX('Per Invoice'!C$2:C$801,$W273)="","",INDEX('Per Invoice'!C$2:C$801,$W273)))</f>
        <v/>
      </c>
      <c r="D273">
        <f>IF($W273="","",IF(INDEX('Per Invoice'!D$2:D$801,$W273)="","",INDEX('Per Invoice'!D$2:D$801,$W273)))</f>
        <v/>
      </c>
      <c r="E273">
        <f>IF($W273="","",IF(INDEX('Per Invoice'!E$2:E$801,$W273)="","",INDEX('Per Invoice'!E$2:E$801,$W273)))</f>
        <v/>
      </c>
      <c r="F273">
        <f>IF($W273="","",IF(INDEX('Per Invoice'!F$2:F$801,$W273)="","",INDEX('Per Invoice'!F$2:F$801,$W273)))</f>
        <v/>
      </c>
      <c r="G273">
        <f>IF($W273="","",IF(INDEX('Per Invoice'!G$2:G$801,$W273)="","",INDEX('Per Invoice'!G$2:G$801,$W273)))</f>
        <v/>
      </c>
      <c r="H273">
        <f>IF($W273="","",IF(INDEX('Per Invoice'!H$2:H$801,$W273)="","",INDEX('Per Invoice'!H$2:H$801,$W273)))</f>
        <v/>
      </c>
      <c r="I273">
        <f>IF($W273="","",IF(INDEX('Per Invoice'!I$2:I$801,$W273)="","",INDEX('Per Invoice'!I$2:I$801,$W273)))</f>
        <v/>
      </c>
      <c r="J273">
        <f>IF($W273="","",IF(INDEX('Per Invoice'!J$2:J$801,$W273)="","",INDEX('Per Invoice'!J$2:J$801,$W273)))</f>
        <v/>
      </c>
      <c r="K273" s="7">
        <f>IF($W273="","",IF(INDEX('Per Invoice'!K$2:K$801,$W273)="","",INDEX('Per Invoice'!K$2:K$801,$W273)))</f>
        <v/>
      </c>
      <c r="L273" s="14">
        <f>IF($W273="","",IF(INDEX('Per Invoice'!L$2:L$801,$W273)="","",INDEX('Per Invoice'!L$2:L$801,$W273)))</f>
        <v/>
      </c>
      <c r="M273">
        <f>IF($W273="","",IF(INDEX('Per Invoice'!M$2:M$801,$W273)="","",INDEX('Per Invoice'!M$2:M$801,$W273)))</f>
        <v/>
      </c>
      <c r="N273" s="7">
        <f>IF($W273="","",IF(INDEX('Per Invoice'!N$2:N$801,$W273)="","",INDEX('Per Invoice'!N$2:N$801,$W273)))</f>
        <v/>
      </c>
      <c r="O273" s="7">
        <f>IF($W273="","",IF(INDEX('Per Invoice'!O$2:O$801,$W273)="","",INDEX('Per Invoice'!O$2:O$801,$W273)))</f>
        <v/>
      </c>
      <c r="P273">
        <f>IF($W273="","",IF(INDEX('Per Invoice'!P$2:P$801,$W273)="","",INDEX('Per Invoice'!P$2:P$801,$W273)))</f>
        <v/>
      </c>
      <c r="Q273" s="7">
        <f>IF($W273="","",IF(INDEX('Per Invoice'!Q$2:Q$801,$W273)="","",INDEX('Per Invoice'!Q$2:Q$801,$W273)))</f>
        <v/>
      </c>
      <c r="R273" s="7">
        <f>IF($W273="","",IF(INDEX('Per Invoice'!R$2:R$801,$W273)="","",INDEX('Per Invoice'!R$2:R$801,$W273)))</f>
        <v/>
      </c>
      <c r="S273" s="7">
        <f>IF($W273="","",IF(INDEX('Per Invoice'!S$2:S$801,$W273)="","",INDEX('Per Invoice'!S$2:S$801,$W273)))</f>
        <v/>
      </c>
      <c r="T273" s="7">
        <f>IF($W273="","",IF(INDEX('Per Invoice'!T$2:T$801,$W273)="","",INDEX('Per Invoice'!T$2:T$801,$W273)))</f>
        <v/>
      </c>
      <c r="U273" s="7">
        <f>IF($W273="","",IF(INDEX('Per Invoice'!U$2:U$801,$W273)="","",INDEX('Per Invoice'!U$2:U$801,$W273)))</f>
        <v/>
      </c>
      <c r="V273" s="7">
        <f>IF($W273="","",IF(INDEX('Per Invoice'!V$2:V$801,$W273)="","",INDEX('Per Invoice'!V$2:V$801,$W273)))</f>
        <v/>
      </c>
      <c r="W273" s="16">
        <f>IFERROR(MATCH(Settings!$C$26&amp;"|"&amp;ROWS($W$2:$W273),'Per Invoice'!$X$2:$X$801,0),"")</f>
        <v/>
      </c>
    </row>
    <row r="274">
      <c r="A274">
        <f>IF($W274="","",IF(INDEX('Per Invoice'!A$2:A$801,$W274)="","",INDEX('Per Invoice'!A$2:A$801,$W274)))</f>
        <v/>
      </c>
      <c r="B274">
        <f>IF($W274="","",IF(INDEX('Per Invoice'!B$2:B$801,$W274)="","",INDEX('Per Invoice'!B$2:B$801,$W274)))</f>
        <v/>
      </c>
      <c r="C274">
        <f>IF($W274="","",IF(INDEX('Per Invoice'!C$2:C$801,$W274)="","",INDEX('Per Invoice'!C$2:C$801,$W274)))</f>
        <v/>
      </c>
      <c r="D274">
        <f>IF($W274="","",IF(INDEX('Per Invoice'!D$2:D$801,$W274)="","",INDEX('Per Invoice'!D$2:D$801,$W274)))</f>
        <v/>
      </c>
      <c r="E274">
        <f>IF($W274="","",IF(INDEX('Per Invoice'!E$2:E$801,$W274)="","",INDEX('Per Invoice'!E$2:E$801,$W274)))</f>
        <v/>
      </c>
      <c r="F274">
        <f>IF($W274="","",IF(INDEX('Per Invoice'!F$2:F$801,$W274)="","",INDEX('Per Invoice'!F$2:F$801,$W274)))</f>
        <v/>
      </c>
      <c r="G274">
        <f>IF($W274="","",IF(INDEX('Per Invoice'!G$2:G$801,$W274)="","",INDEX('Per Invoice'!G$2:G$801,$W274)))</f>
        <v/>
      </c>
      <c r="H274">
        <f>IF($W274="","",IF(INDEX('Per Invoice'!H$2:H$801,$W274)="","",INDEX('Per Invoice'!H$2:H$801,$W274)))</f>
        <v/>
      </c>
      <c r="I274">
        <f>IF($W274="","",IF(INDEX('Per Invoice'!I$2:I$801,$W274)="","",INDEX('Per Invoice'!I$2:I$801,$W274)))</f>
        <v/>
      </c>
      <c r="J274">
        <f>IF($W274="","",IF(INDEX('Per Invoice'!J$2:J$801,$W274)="","",INDEX('Per Invoice'!J$2:J$801,$W274)))</f>
        <v/>
      </c>
      <c r="K274" s="7">
        <f>IF($W274="","",IF(INDEX('Per Invoice'!K$2:K$801,$W274)="","",INDEX('Per Invoice'!K$2:K$801,$W274)))</f>
        <v/>
      </c>
      <c r="L274" s="14">
        <f>IF($W274="","",IF(INDEX('Per Invoice'!L$2:L$801,$W274)="","",INDEX('Per Invoice'!L$2:L$801,$W274)))</f>
        <v/>
      </c>
      <c r="M274">
        <f>IF($W274="","",IF(INDEX('Per Invoice'!M$2:M$801,$W274)="","",INDEX('Per Invoice'!M$2:M$801,$W274)))</f>
        <v/>
      </c>
      <c r="N274" s="7">
        <f>IF($W274="","",IF(INDEX('Per Invoice'!N$2:N$801,$W274)="","",INDEX('Per Invoice'!N$2:N$801,$W274)))</f>
        <v/>
      </c>
      <c r="O274" s="7">
        <f>IF($W274="","",IF(INDEX('Per Invoice'!O$2:O$801,$W274)="","",INDEX('Per Invoice'!O$2:O$801,$W274)))</f>
        <v/>
      </c>
      <c r="P274">
        <f>IF($W274="","",IF(INDEX('Per Invoice'!P$2:P$801,$W274)="","",INDEX('Per Invoice'!P$2:P$801,$W274)))</f>
        <v/>
      </c>
      <c r="Q274" s="7">
        <f>IF($W274="","",IF(INDEX('Per Invoice'!Q$2:Q$801,$W274)="","",INDEX('Per Invoice'!Q$2:Q$801,$W274)))</f>
        <v/>
      </c>
      <c r="R274" s="7">
        <f>IF($W274="","",IF(INDEX('Per Invoice'!R$2:R$801,$W274)="","",INDEX('Per Invoice'!R$2:R$801,$W274)))</f>
        <v/>
      </c>
      <c r="S274" s="7">
        <f>IF($W274="","",IF(INDEX('Per Invoice'!S$2:S$801,$W274)="","",INDEX('Per Invoice'!S$2:S$801,$W274)))</f>
        <v/>
      </c>
      <c r="T274" s="7">
        <f>IF($W274="","",IF(INDEX('Per Invoice'!T$2:T$801,$W274)="","",INDEX('Per Invoice'!T$2:T$801,$W274)))</f>
        <v/>
      </c>
      <c r="U274" s="7">
        <f>IF($W274="","",IF(INDEX('Per Invoice'!U$2:U$801,$W274)="","",INDEX('Per Invoice'!U$2:U$801,$W274)))</f>
        <v/>
      </c>
      <c r="V274" s="7">
        <f>IF($W274="","",IF(INDEX('Per Invoice'!V$2:V$801,$W274)="","",INDEX('Per Invoice'!V$2:V$801,$W274)))</f>
        <v/>
      </c>
      <c r="W274" s="16">
        <f>IFERROR(MATCH(Settings!$C$26&amp;"|"&amp;ROWS($W$2:$W274),'Per Invoice'!$X$2:$X$801,0),"")</f>
        <v/>
      </c>
    </row>
    <row r="275">
      <c r="A275">
        <f>IF($W275="","",IF(INDEX('Per Invoice'!A$2:A$801,$W275)="","",INDEX('Per Invoice'!A$2:A$801,$W275)))</f>
        <v/>
      </c>
      <c r="B275">
        <f>IF($W275="","",IF(INDEX('Per Invoice'!B$2:B$801,$W275)="","",INDEX('Per Invoice'!B$2:B$801,$W275)))</f>
        <v/>
      </c>
      <c r="C275">
        <f>IF($W275="","",IF(INDEX('Per Invoice'!C$2:C$801,$W275)="","",INDEX('Per Invoice'!C$2:C$801,$W275)))</f>
        <v/>
      </c>
      <c r="D275">
        <f>IF($W275="","",IF(INDEX('Per Invoice'!D$2:D$801,$W275)="","",INDEX('Per Invoice'!D$2:D$801,$W275)))</f>
        <v/>
      </c>
      <c r="E275">
        <f>IF($W275="","",IF(INDEX('Per Invoice'!E$2:E$801,$W275)="","",INDEX('Per Invoice'!E$2:E$801,$W275)))</f>
        <v/>
      </c>
      <c r="F275">
        <f>IF($W275="","",IF(INDEX('Per Invoice'!F$2:F$801,$W275)="","",INDEX('Per Invoice'!F$2:F$801,$W275)))</f>
        <v/>
      </c>
      <c r="G275">
        <f>IF($W275="","",IF(INDEX('Per Invoice'!G$2:G$801,$W275)="","",INDEX('Per Invoice'!G$2:G$801,$W275)))</f>
        <v/>
      </c>
      <c r="H275">
        <f>IF($W275="","",IF(INDEX('Per Invoice'!H$2:H$801,$W275)="","",INDEX('Per Invoice'!H$2:H$801,$W275)))</f>
        <v/>
      </c>
      <c r="I275">
        <f>IF($W275="","",IF(INDEX('Per Invoice'!I$2:I$801,$W275)="","",INDEX('Per Invoice'!I$2:I$801,$W275)))</f>
        <v/>
      </c>
      <c r="J275">
        <f>IF($W275="","",IF(INDEX('Per Invoice'!J$2:J$801,$W275)="","",INDEX('Per Invoice'!J$2:J$801,$W275)))</f>
        <v/>
      </c>
      <c r="K275" s="7">
        <f>IF($W275="","",IF(INDEX('Per Invoice'!K$2:K$801,$W275)="","",INDEX('Per Invoice'!K$2:K$801,$W275)))</f>
        <v/>
      </c>
      <c r="L275" s="14">
        <f>IF($W275="","",IF(INDEX('Per Invoice'!L$2:L$801,$W275)="","",INDEX('Per Invoice'!L$2:L$801,$W275)))</f>
        <v/>
      </c>
      <c r="M275">
        <f>IF($W275="","",IF(INDEX('Per Invoice'!M$2:M$801,$W275)="","",INDEX('Per Invoice'!M$2:M$801,$W275)))</f>
        <v/>
      </c>
      <c r="N275" s="7">
        <f>IF($W275="","",IF(INDEX('Per Invoice'!N$2:N$801,$W275)="","",INDEX('Per Invoice'!N$2:N$801,$W275)))</f>
        <v/>
      </c>
      <c r="O275" s="7">
        <f>IF($W275="","",IF(INDEX('Per Invoice'!O$2:O$801,$W275)="","",INDEX('Per Invoice'!O$2:O$801,$W275)))</f>
        <v/>
      </c>
      <c r="P275">
        <f>IF($W275="","",IF(INDEX('Per Invoice'!P$2:P$801,$W275)="","",INDEX('Per Invoice'!P$2:P$801,$W275)))</f>
        <v/>
      </c>
      <c r="Q275" s="7">
        <f>IF($W275="","",IF(INDEX('Per Invoice'!Q$2:Q$801,$W275)="","",INDEX('Per Invoice'!Q$2:Q$801,$W275)))</f>
        <v/>
      </c>
      <c r="R275" s="7">
        <f>IF($W275="","",IF(INDEX('Per Invoice'!R$2:R$801,$W275)="","",INDEX('Per Invoice'!R$2:R$801,$W275)))</f>
        <v/>
      </c>
      <c r="S275" s="7">
        <f>IF($W275="","",IF(INDEX('Per Invoice'!S$2:S$801,$W275)="","",INDEX('Per Invoice'!S$2:S$801,$W275)))</f>
        <v/>
      </c>
      <c r="T275" s="7">
        <f>IF($W275="","",IF(INDEX('Per Invoice'!T$2:T$801,$W275)="","",INDEX('Per Invoice'!T$2:T$801,$W275)))</f>
        <v/>
      </c>
      <c r="U275" s="7">
        <f>IF($W275="","",IF(INDEX('Per Invoice'!U$2:U$801,$W275)="","",INDEX('Per Invoice'!U$2:U$801,$W275)))</f>
        <v/>
      </c>
      <c r="V275" s="7">
        <f>IF($W275="","",IF(INDEX('Per Invoice'!V$2:V$801,$W275)="","",INDEX('Per Invoice'!V$2:V$801,$W275)))</f>
        <v/>
      </c>
      <c r="W275" s="16">
        <f>IFERROR(MATCH(Settings!$C$26&amp;"|"&amp;ROWS($W$2:$W275),'Per Invoice'!$X$2:$X$801,0),"")</f>
        <v/>
      </c>
    </row>
    <row r="276">
      <c r="A276">
        <f>IF($W276="","",IF(INDEX('Per Invoice'!A$2:A$801,$W276)="","",INDEX('Per Invoice'!A$2:A$801,$W276)))</f>
        <v/>
      </c>
      <c r="B276">
        <f>IF($W276="","",IF(INDEX('Per Invoice'!B$2:B$801,$W276)="","",INDEX('Per Invoice'!B$2:B$801,$W276)))</f>
        <v/>
      </c>
      <c r="C276">
        <f>IF($W276="","",IF(INDEX('Per Invoice'!C$2:C$801,$W276)="","",INDEX('Per Invoice'!C$2:C$801,$W276)))</f>
        <v/>
      </c>
      <c r="D276">
        <f>IF($W276="","",IF(INDEX('Per Invoice'!D$2:D$801,$W276)="","",INDEX('Per Invoice'!D$2:D$801,$W276)))</f>
        <v/>
      </c>
      <c r="E276">
        <f>IF($W276="","",IF(INDEX('Per Invoice'!E$2:E$801,$W276)="","",INDEX('Per Invoice'!E$2:E$801,$W276)))</f>
        <v/>
      </c>
      <c r="F276">
        <f>IF($W276="","",IF(INDEX('Per Invoice'!F$2:F$801,$W276)="","",INDEX('Per Invoice'!F$2:F$801,$W276)))</f>
        <v/>
      </c>
      <c r="G276">
        <f>IF($W276="","",IF(INDEX('Per Invoice'!G$2:G$801,$W276)="","",INDEX('Per Invoice'!G$2:G$801,$W276)))</f>
        <v/>
      </c>
      <c r="H276">
        <f>IF($W276="","",IF(INDEX('Per Invoice'!H$2:H$801,$W276)="","",INDEX('Per Invoice'!H$2:H$801,$W276)))</f>
        <v/>
      </c>
      <c r="I276">
        <f>IF($W276="","",IF(INDEX('Per Invoice'!I$2:I$801,$W276)="","",INDEX('Per Invoice'!I$2:I$801,$W276)))</f>
        <v/>
      </c>
      <c r="J276">
        <f>IF($W276="","",IF(INDEX('Per Invoice'!J$2:J$801,$W276)="","",INDEX('Per Invoice'!J$2:J$801,$W276)))</f>
        <v/>
      </c>
      <c r="K276" s="7">
        <f>IF($W276="","",IF(INDEX('Per Invoice'!K$2:K$801,$W276)="","",INDEX('Per Invoice'!K$2:K$801,$W276)))</f>
        <v/>
      </c>
      <c r="L276" s="14">
        <f>IF($W276="","",IF(INDEX('Per Invoice'!L$2:L$801,$W276)="","",INDEX('Per Invoice'!L$2:L$801,$W276)))</f>
        <v/>
      </c>
      <c r="M276">
        <f>IF($W276="","",IF(INDEX('Per Invoice'!M$2:M$801,$W276)="","",INDEX('Per Invoice'!M$2:M$801,$W276)))</f>
        <v/>
      </c>
      <c r="N276" s="7">
        <f>IF($W276="","",IF(INDEX('Per Invoice'!N$2:N$801,$W276)="","",INDEX('Per Invoice'!N$2:N$801,$W276)))</f>
        <v/>
      </c>
      <c r="O276" s="7">
        <f>IF($W276="","",IF(INDEX('Per Invoice'!O$2:O$801,$W276)="","",INDEX('Per Invoice'!O$2:O$801,$W276)))</f>
        <v/>
      </c>
      <c r="P276">
        <f>IF($W276="","",IF(INDEX('Per Invoice'!P$2:P$801,$W276)="","",INDEX('Per Invoice'!P$2:P$801,$W276)))</f>
        <v/>
      </c>
      <c r="Q276" s="7">
        <f>IF($W276="","",IF(INDEX('Per Invoice'!Q$2:Q$801,$W276)="","",INDEX('Per Invoice'!Q$2:Q$801,$W276)))</f>
        <v/>
      </c>
      <c r="R276" s="7">
        <f>IF($W276="","",IF(INDEX('Per Invoice'!R$2:R$801,$W276)="","",INDEX('Per Invoice'!R$2:R$801,$W276)))</f>
        <v/>
      </c>
      <c r="S276" s="7">
        <f>IF($W276="","",IF(INDEX('Per Invoice'!S$2:S$801,$W276)="","",INDEX('Per Invoice'!S$2:S$801,$W276)))</f>
        <v/>
      </c>
      <c r="T276" s="7">
        <f>IF($W276="","",IF(INDEX('Per Invoice'!T$2:T$801,$W276)="","",INDEX('Per Invoice'!T$2:T$801,$W276)))</f>
        <v/>
      </c>
      <c r="U276" s="7">
        <f>IF($W276="","",IF(INDEX('Per Invoice'!U$2:U$801,$W276)="","",INDEX('Per Invoice'!U$2:U$801,$W276)))</f>
        <v/>
      </c>
      <c r="V276" s="7">
        <f>IF($W276="","",IF(INDEX('Per Invoice'!V$2:V$801,$W276)="","",INDEX('Per Invoice'!V$2:V$801,$W276)))</f>
        <v/>
      </c>
      <c r="W276" s="16">
        <f>IFERROR(MATCH(Settings!$C$26&amp;"|"&amp;ROWS($W$2:$W276),'Per Invoice'!$X$2:$X$801,0),"")</f>
        <v/>
      </c>
    </row>
    <row r="277">
      <c r="A277">
        <f>IF($W277="","",IF(INDEX('Per Invoice'!A$2:A$801,$W277)="","",INDEX('Per Invoice'!A$2:A$801,$W277)))</f>
        <v/>
      </c>
      <c r="B277">
        <f>IF($W277="","",IF(INDEX('Per Invoice'!B$2:B$801,$W277)="","",INDEX('Per Invoice'!B$2:B$801,$W277)))</f>
        <v/>
      </c>
      <c r="C277">
        <f>IF($W277="","",IF(INDEX('Per Invoice'!C$2:C$801,$W277)="","",INDEX('Per Invoice'!C$2:C$801,$W277)))</f>
        <v/>
      </c>
      <c r="D277">
        <f>IF($W277="","",IF(INDEX('Per Invoice'!D$2:D$801,$W277)="","",INDEX('Per Invoice'!D$2:D$801,$W277)))</f>
        <v/>
      </c>
      <c r="E277">
        <f>IF($W277="","",IF(INDEX('Per Invoice'!E$2:E$801,$W277)="","",INDEX('Per Invoice'!E$2:E$801,$W277)))</f>
        <v/>
      </c>
      <c r="F277">
        <f>IF($W277="","",IF(INDEX('Per Invoice'!F$2:F$801,$W277)="","",INDEX('Per Invoice'!F$2:F$801,$W277)))</f>
        <v/>
      </c>
      <c r="G277">
        <f>IF($W277="","",IF(INDEX('Per Invoice'!G$2:G$801,$W277)="","",INDEX('Per Invoice'!G$2:G$801,$W277)))</f>
        <v/>
      </c>
      <c r="H277">
        <f>IF($W277="","",IF(INDEX('Per Invoice'!H$2:H$801,$W277)="","",INDEX('Per Invoice'!H$2:H$801,$W277)))</f>
        <v/>
      </c>
      <c r="I277">
        <f>IF($W277="","",IF(INDEX('Per Invoice'!I$2:I$801,$W277)="","",INDEX('Per Invoice'!I$2:I$801,$W277)))</f>
        <v/>
      </c>
      <c r="J277">
        <f>IF($W277="","",IF(INDEX('Per Invoice'!J$2:J$801,$W277)="","",INDEX('Per Invoice'!J$2:J$801,$W277)))</f>
        <v/>
      </c>
      <c r="K277" s="7">
        <f>IF($W277="","",IF(INDEX('Per Invoice'!K$2:K$801,$W277)="","",INDEX('Per Invoice'!K$2:K$801,$W277)))</f>
        <v/>
      </c>
      <c r="L277" s="14">
        <f>IF($W277="","",IF(INDEX('Per Invoice'!L$2:L$801,$W277)="","",INDEX('Per Invoice'!L$2:L$801,$W277)))</f>
        <v/>
      </c>
      <c r="M277">
        <f>IF($W277="","",IF(INDEX('Per Invoice'!M$2:M$801,$W277)="","",INDEX('Per Invoice'!M$2:M$801,$W277)))</f>
        <v/>
      </c>
      <c r="N277" s="7">
        <f>IF($W277="","",IF(INDEX('Per Invoice'!N$2:N$801,$W277)="","",INDEX('Per Invoice'!N$2:N$801,$W277)))</f>
        <v/>
      </c>
      <c r="O277" s="7">
        <f>IF($W277="","",IF(INDEX('Per Invoice'!O$2:O$801,$W277)="","",INDEX('Per Invoice'!O$2:O$801,$W277)))</f>
        <v/>
      </c>
      <c r="P277">
        <f>IF($W277="","",IF(INDEX('Per Invoice'!P$2:P$801,$W277)="","",INDEX('Per Invoice'!P$2:P$801,$W277)))</f>
        <v/>
      </c>
      <c r="Q277" s="7">
        <f>IF($W277="","",IF(INDEX('Per Invoice'!Q$2:Q$801,$W277)="","",INDEX('Per Invoice'!Q$2:Q$801,$W277)))</f>
        <v/>
      </c>
      <c r="R277" s="7">
        <f>IF($W277="","",IF(INDEX('Per Invoice'!R$2:R$801,$W277)="","",INDEX('Per Invoice'!R$2:R$801,$W277)))</f>
        <v/>
      </c>
      <c r="S277" s="7">
        <f>IF($W277="","",IF(INDEX('Per Invoice'!S$2:S$801,$W277)="","",INDEX('Per Invoice'!S$2:S$801,$W277)))</f>
        <v/>
      </c>
      <c r="T277" s="7">
        <f>IF($W277="","",IF(INDEX('Per Invoice'!T$2:T$801,$W277)="","",INDEX('Per Invoice'!T$2:T$801,$W277)))</f>
        <v/>
      </c>
      <c r="U277" s="7">
        <f>IF($W277="","",IF(INDEX('Per Invoice'!U$2:U$801,$W277)="","",INDEX('Per Invoice'!U$2:U$801,$W277)))</f>
        <v/>
      </c>
      <c r="V277" s="7">
        <f>IF($W277="","",IF(INDEX('Per Invoice'!V$2:V$801,$W277)="","",INDEX('Per Invoice'!V$2:V$801,$W277)))</f>
        <v/>
      </c>
      <c r="W277" s="16">
        <f>IFERROR(MATCH(Settings!$C$26&amp;"|"&amp;ROWS($W$2:$W277),'Per Invoice'!$X$2:$X$801,0),"")</f>
        <v/>
      </c>
    </row>
    <row r="278">
      <c r="A278">
        <f>IF($W278="","",IF(INDEX('Per Invoice'!A$2:A$801,$W278)="","",INDEX('Per Invoice'!A$2:A$801,$W278)))</f>
        <v/>
      </c>
      <c r="B278">
        <f>IF($W278="","",IF(INDEX('Per Invoice'!B$2:B$801,$W278)="","",INDEX('Per Invoice'!B$2:B$801,$W278)))</f>
        <v/>
      </c>
      <c r="C278">
        <f>IF($W278="","",IF(INDEX('Per Invoice'!C$2:C$801,$W278)="","",INDEX('Per Invoice'!C$2:C$801,$W278)))</f>
        <v/>
      </c>
      <c r="D278">
        <f>IF($W278="","",IF(INDEX('Per Invoice'!D$2:D$801,$W278)="","",INDEX('Per Invoice'!D$2:D$801,$W278)))</f>
        <v/>
      </c>
      <c r="E278">
        <f>IF($W278="","",IF(INDEX('Per Invoice'!E$2:E$801,$W278)="","",INDEX('Per Invoice'!E$2:E$801,$W278)))</f>
        <v/>
      </c>
      <c r="F278">
        <f>IF($W278="","",IF(INDEX('Per Invoice'!F$2:F$801,$W278)="","",INDEX('Per Invoice'!F$2:F$801,$W278)))</f>
        <v/>
      </c>
      <c r="G278">
        <f>IF($W278="","",IF(INDEX('Per Invoice'!G$2:G$801,$W278)="","",INDEX('Per Invoice'!G$2:G$801,$W278)))</f>
        <v/>
      </c>
      <c r="H278">
        <f>IF($W278="","",IF(INDEX('Per Invoice'!H$2:H$801,$W278)="","",INDEX('Per Invoice'!H$2:H$801,$W278)))</f>
        <v/>
      </c>
      <c r="I278">
        <f>IF($W278="","",IF(INDEX('Per Invoice'!I$2:I$801,$W278)="","",INDEX('Per Invoice'!I$2:I$801,$W278)))</f>
        <v/>
      </c>
      <c r="J278">
        <f>IF($W278="","",IF(INDEX('Per Invoice'!J$2:J$801,$W278)="","",INDEX('Per Invoice'!J$2:J$801,$W278)))</f>
        <v/>
      </c>
      <c r="K278" s="7">
        <f>IF($W278="","",IF(INDEX('Per Invoice'!K$2:K$801,$W278)="","",INDEX('Per Invoice'!K$2:K$801,$W278)))</f>
        <v/>
      </c>
      <c r="L278" s="14">
        <f>IF($W278="","",IF(INDEX('Per Invoice'!L$2:L$801,$W278)="","",INDEX('Per Invoice'!L$2:L$801,$W278)))</f>
        <v/>
      </c>
      <c r="M278">
        <f>IF($W278="","",IF(INDEX('Per Invoice'!M$2:M$801,$W278)="","",INDEX('Per Invoice'!M$2:M$801,$W278)))</f>
        <v/>
      </c>
      <c r="N278" s="7">
        <f>IF($W278="","",IF(INDEX('Per Invoice'!N$2:N$801,$W278)="","",INDEX('Per Invoice'!N$2:N$801,$W278)))</f>
        <v/>
      </c>
      <c r="O278" s="7">
        <f>IF($W278="","",IF(INDEX('Per Invoice'!O$2:O$801,$W278)="","",INDEX('Per Invoice'!O$2:O$801,$W278)))</f>
        <v/>
      </c>
      <c r="P278">
        <f>IF($W278="","",IF(INDEX('Per Invoice'!P$2:P$801,$W278)="","",INDEX('Per Invoice'!P$2:P$801,$W278)))</f>
        <v/>
      </c>
      <c r="Q278" s="7">
        <f>IF($W278="","",IF(INDEX('Per Invoice'!Q$2:Q$801,$W278)="","",INDEX('Per Invoice'!Q$2:Q$801,$W278)))</f>
        <v/>
      </c>
      <c r="R278" s="7">
        <f>IF($W278="","",IF(INDEX('Per Invoice'!R$2:R$801,$W278)="","",INDEX('Per Invoice'!R$2:R$801,$W278)))</f>
        <v/>
      </c>
      <c r="S278" s="7">
        <f>IF($W278="","",IF(INDEX('Per Invoice'!S$2:S$801,$W278)="","",INDEX('Per Invoice'!S$2:S$801,$W278)))</f>
        <v/>
      </c>
      <c r="T278" s="7">
        <f>IF($W278="","",IF(INDEX('Per Invoice'!T$2:T$801,$W278)="","",INDEX('Per Invoice'!T$2:T$801,$W278)))</f>
        <v/>
      </c>
      <c r="U278" s="7">
        <f>IF($W278="","",IF(INDEX('Per Invoice'!U$2:U$801,$W278)="","",INDEX('Per Invoice'!U$2:U$801,$W278)))</f>
        <v/>
      </c>
      <c r="V278" s="7">
        <f>IF($W278="","",IF(INDEX('Per Invoice'!V$2:V$801,$W278)="","",INDEX('Per Invoice'!V$2:V$801,$W278)))</f>
        <v/>
      </c>
      <c r="W278" s="16">
        <f>IFERROR(MATCH(Settings!$C$26&amp;"|"&amp;ROWS($W$2:$W278),'Per Invoice'!$X$2:$X$801,0),"")</f>
        <v/>
      </c>
    </row>
    <row r="279">
      <c r="A279">
        <f>IF($W279="","",IF(INDEX('Per Invoice'!A$2:A$801,$W279)="","",INDEX('Per Invoice'!A$2:A$801,$W279)))</f>
        <v/>
      </c>
      <c r="B279">
        <f>IF($W279="","",IF(INDEX('Per Invoice'!B$2:B$801,$W279)="","",INDEX('Per Invoice'!B$2:B$801,$W279)))</f>
        <v/>
      </c>
      <c r="C279">
        <f>IF($W279="","",IF(INDEX('Per Invoice'!C$2:C$801,$W279)="","",INDEX('Per Invoice'!C$2:C$801,$W279)))</f>
        <v/>
      </c>
      <c r="D279">
        <f>IF($W279="","",IF(INDEX('Per Invoice'!D$2:D$801,$W279)="","",INDEX('Per Invoice'!D$2:D$801,$W279)))</f>
        <v/>
      </c>
      <c r="E279">
        <f>IF($W279="","",IF(INDEX('Per Invoice'!E$2:E$801,$W279)="","",INDEX('Per Invoice'!E$2:E$801,$W279)))</f>
        <v/>
      </c>
      <c r="F279">
        <f>IF($W279="","",IF(INDEX('Per Invoice'!F$2:F$801,$W279)="","",INDEX('Per Invoice'!F$2:F$801,$W279)))</f>
        <v/>
      </c>
      <c r="G279">
        <f>IF($W279="","",IF(INDEX('Per Invoice'!G$2:G$801,$W279)="","",INDEX('Per Invoice'!G$2:G$801,$W279)))</f>
        <v/>
      </c>
      <c r="H279">
        <f>IF($W279="","",IF(INDEX('Per Invoice'!H$2:H$801,$W279)="","",INDEX('Per Invoice'!H$2:H$801,$W279)))</f>
        <v/>
      </c>
      <c r="I279">
        <f>IF($W279="","",IF(INDEX('Per Invoice'!I$2:I$801,$W279)="","",INDEX('Per Invoice'!I$2:I$801,$W279)))</f>
        <v/>
      </c>
      <c r="J279">
        <f>IF($W279="","",IF(INDEX('Per Invoice'!J$2:J$801,$W279)="","",INDEX('Per Invoice'!J$2:J$801,$W279)))</f>
        <v/>
      </c>
      <c r="K279" s="7">
        <f>IF($W279="","",IF(INDEX('Per Invoice'!K$2:K$801,$W279)="","",INDEX('Per Invoice'!K$2:K$801,$W279)))</f>
        <v/>
      </c>
      <c r="L279" s="14">
        <f>IF($W279="","",IF(INDEX('Per Invoice'!L$2:L$801,$W279)="","",INDEX('Per Invoice'!L$2:L$801,$W279)))</f>
        <v/>
      </c>
      <c r="M279">
        <f>IF($W279="","",IF(INDEX('Per Invoice'!M$2:M$801,$W279)="","",INDEX('Per Invoice'!M$2:M$801,$W279)))</f>
        <v/>
      </c>
      <c r="N279" s="7">
        <f>IF($W279="","",IF(INDEX('Per Invoice'!N$2:N$801,$W279)="","",INDEX('Per Invoice'!N$2:N$801,$W279)))</f>
        <v/>
      </c>
      <c r="O279" s="7">
        <f>IF($W279="","",IF(INDEX('Per Invoice'!O$2:O$801,$W279)="","",INDEX('Per Invoice'!O$2:O$801,$W279)))</f>
        <v/>
      </c>
      <c r="P279">
        <f>IF($W279="","",IF(INDEX('Per Invoice'!P$2:P$801,$W279)="","",INDEX('Per Invoice'!P$2:P$801,$W279)))</f>
        <v/>
      </c>
      <c r="Q279" s="7">
        <f>IF($W279="","",IF(INDEX('Per Invoice'!Q$2:Q$801,$W279)="","",INDEX('Per Invoice'!Q$2:Q$801,$W279)))</f>
        <v/>
      </c>
      <c r="R279" s="7">
        <f>IF($W279="","",IF(INDEX('Per Invoice'!R$2:R$801,$W279)="","",INDEX('Per Invoice'!R$2:R$801,$W279)))</f>
        <v/>
      </c>
      <c r="S279" s="7">
        <f>IF($W279="","",IF(INDEX('Per Invoice'!S$2:S$801,$W279)="","",INDEX('Per Invoice'!S$2:S$801,$W279)))</f>
        <v/>
      </c>
      <c r="T279" s="7">
        <f>IF($W279="","",IF(INDEX('Per Invoice'!T$2:T$801,$W279)="","",INDEX('Per Invoice'!T$2:T$801,$W279)))</f>
        <v/>
      </c>
      <c r="U279" s="7">
        <f>IF($W279="","",IF(INDEX('Per Invoice'!U$2:U$801,$W279)="","",INDEX('Per Invoice'!U$2:U$801,$W279)))</f>
        <v/>
      </c>
      <c r="V279" s="7">
        <f>IF($W279="","",IF(INDEX('Per Invoice'!V$2:V$801,$W279)="","",INDEX('Per Invoice'!V$2:V$801,$W279)))</f>
        <v/>
      </c>
      <c r="W279" s="16">
        <f>IFERROR(MATCH(Settings!$C$26&amp;"|"&amp;ROWS($W$2:$W279),'Per Invoice'!$X$2:$X$801,0),"")</f>
        <v/>
      </c>
    </row>
    <row r="280">
      <c r="A280">
        <f>IF($W280="","",IF(INDEX('Per Invoice'!A$2:A$801,$W280)="","",INDEX('Per Invoice'!A$2:A$801,$W280)))</f>
        <v/>
      </c>
      <c r="B280">
        <f>IF($W280="","",IF(INDEX('Per Invoice'!B$2:B$801,$W280)="","",INDEX('Per Invoice'!B$2:B$801,$W280)))</f>
        <v/>
      </c>
      <c r="C280">
        <f>IF($W280="","",IF(INDEX('Per Invoice'!C$2:C$801,$W280)="","",INDEX('Per Invoice'!C$2:C$801,$W280)))</f>
        <v/>
      </c>
      <c r="D280">
        <f>IF($W280="","",IF(INDEX('Per Invoice'!D$2:D$801,$W280)="","",INDEX('Per Invoice'!D$2:D$801,$W280)))</f>
        <v/>
      </c>
      <c r="E280">
        <f>IF($W280="","",IF(INDEX('Per Invoice'!E$2:E$801,$W280)="","",INDEX('Per Invoice'!E$2:E$801,$W280)))</f>
        <v/>
      </c>
      <c r="F280">
        <f>IF($W280="","",IF(INDEX('Per Invoice'!F$2:F$801,$W280)="","",INDEX('Per Invoice'!F$2:F$801,$W280)))</f>
        <v/>
      </c>
      <c r="G280">
        <f>IF($W280="","",IF(INDEX('Per Invoice'!G$2:G$801,$W280)="","",INDEX('Per Invoice'!G$2:G$801,$W280)))</f>
        <v/>
      </c>
      <c r="H280">
        <f>IF($W280="","",IF(INDEX('Per Invoice'!H$2:H$801,$W280)="","",INDEX('Per Invoice'!H$2:H$801,$W280)))</f>
        <v/>
      </c>
      <c r="I280">
        <f>IF($W280="","",IF(INDEX('Per Invoice'!I$2:I$801,$W280)="","",INDEX('Per Invoice'!I$2:I$801,$W280)))</f>
        <v/>
      </c>
      <c r="J280">
        <f>IF($W280="","",IF(INDEX('Per Invoice'!J$2:J$801,$W280)="","",INDEX('Per Invoice'!J$2:J$801,$W280)))</f>
        <v/>
      </c>
      <c r="K280" s="7">
        <f>IF($W280="","",IF(INDEX('Per Invoice'!K$2:K$801,$W280)="","",INDEX('Per Invoice'!K$2:K$801,$W280)))</f>
        <v/>
      </c>
      <c r="L280" s="14">
        <f>IF($W280="","",IF(INDEX('Per Invoice'!L$2:L$801,$W280)="","",INDEX('Per Invoice'!L$2:L$801,$W280)))</f>
        <v/>
      </c>
      <c r="M280">
        <f>IF($W280="","",IF(INDEX('Per Invoice'!M$2:M$801,$W280)="","",INDEX('Per Invoice'!M$2:M$801,$W280)))</f>
        <v/>
      </c>
      <c r="N280" s="7">
        <f>IF($W280="","",IF(INDEX('Per Invoice'!N$2:N$801,$W280)="","",INDEX('Per Invoice'!N$2:N$801,$W280)))</f>
        <v/>
      </c>
      <c r="O280" s="7">
        <f>IF($W280="","",IF(INDEX('Per Invoice'!O$2:O$801,$W280)="","",INDEX('Per Invoice'!O$2:O$801,$W280)))</f>
        <v/>
      </c>
      <c r="P280">
        <f>IF($W280="","",IF(INDEX('Per Invoice'!P$2:P$801,$W280)="","",INDEX('Per Invoice'!P$2:P$801,$W280)))</f>
        <v/>
      </c>
      <c r="Q280" s="7">
        <f>IF($W280="","",IF(INDEX('Per Invoice'!Q$2:Q$801,$W280)="","",INDEX('Per Invoice'!Q$2:Q$801,$W280)))</f>
        <v/>
      </c>
      <c r="R280" s="7">
        <f>IF($W280="","",IF(INDEX('Per Invoice'!R$2:R$801,$W280)="","",INDEX('Per Invoice'!R$2:R$801,$W280)))</f>
        <v/>
      </c>
      <c r="S280" s="7">
        <f>IF($W280="","",IF(INDEX('Per Invoice'!S$2:S$801,$W280)="","",INDEX('Per Invoice'!S$2:S$801,$W280)))</f>
        <v/>
      </c>
      <c r="T280" s="7">
        <f>IF($W280="","",IF(INDEX('Per Invoice'!T$2:T$801,$W280)="","",INDEX('Per Invoice'!T$2:T$801,$W280)))</f>
        <v/>
      </c>
      <c r="U280" s="7">
        <f>IF($W280="","",IF(INDEX('Per Invoice'!U$2:U$801,$W280)="","",INDEX('Per Invoice'!U$2:U$801,$W280)))</f>
        <v/>
      </c>
      <c r="V280" s="7">
        <f>IF($W280="","",IF(INDEX('Per Invoice'!V$2:V$801,$W280)="","",INDEX('Per Invoice'!V$2:V$801,$W280)))</f>
        <v/>
      </c>
      <c r="W280" s="16">
        <f>IFERROR(MATCH(Settings!$C$26&amp;"|"&amp;ROWS($W$2:$W280),'Per Invoice'!$X$2:$X$801,0),"")</f>
        <v/>
      </c>
    </row>
    <row r="281">
      <c r="A281">
        <f>IF($W281="","",IF(INDEX('Per Invoice'!A$2:A$801,$W281)="","",INDEX('Per Invoice'!A$2:A$801,$W281)))</f>
        <v/>
      </c>
      <c r="B281">
        <f>IF($W281="","",IF(INDEX('Per Invoice'!B$2:B$801,$W281)="","",INDEX('Per Invoice'!B$2:B$801,$W281)))</f>
        <v/>
      </c>
      <c r="C281">
        <f>IF($W281="","",IF(INDEX('Per Invoice'!C$2:C$801,$W281)="","",INDEX('Per Invoice'!C$2:C$801,$W281)))</f>
        <v/>
      </c>
      <c r="D281">
        <f>IF($W281="","",IF(INDEX('Per Invoice'!D$2:D$801,$W281)="","",INDEX('Per Invoice'!D$2:D$801,$W281)))</f>
        <v/>
      </c>
      <c r="E281">
        <f>IF($W281="","",IF(INDEX('Per Invoice'!E$2:E$801,$W281)="","",INDEX('Per Invoice'!E$2:E$801,$W281)))</f>
        <v/>
      </c>
      <c r="F281">
        <f>IF($W281="","",IF(INDEX('Per Invoice'!F$2:F$801,$W281)="","",INDEX('Per Invoice'!F$2:F$801,$W281)))</f>
        <v/>
      </c>
      <c r="G281">
        <f>IF($W281="","",IF(INDEX('Per Invoice'!G$2:G$801,$W281)="","",INDEX('Per Invoice'!G$2:G$801,$W281)))</f>
        <v/>
      </c>
      <c r="H281">
        <f>IF($W281="","",IF(INDEX('Per Invoice'!H$2:H$801,$W281)="","",INDEX('Per Invoice'!H$2:H$801,$W281)))</f>
        <v/>
      </c>
      <c r="I281">
        <f>IF($W281="","",IF(INDEX('Per Invoice'!I$2:I$801,$W281)="","",INDEX('Per Invoice'!I$2:I$801,$W281)))</f>
        <v/>
      </c>
      <c r="J281">
        <f>IF($W281="","",IF(INDEX('Per Invoice'!J$2:J$801,$W281)="","",INDEX('Per Invoice'!J$2:J$801,$W281)))</f>
        <v/>
      </c>
      <c r="K281" s="7">
        <f>IF($W281="","",IF(INDEX('Per Invoice'!K$2:K$801,$W281)="","",INDEX('Per Invoice'!K$2:K$801,$W281)))</f>
        <v/>
      </c>
      <c r="L281" s="14">
        <f>IF($W281="","",IF(INDEX('Per Invoice'!L$2:L$801,$W281)="","",INDEX('Per Invoice'!L$2:L$801,$W281)))</f>
        <v/>
      </c>
      <c r="M281">
        <f>IF($W281="","",IF(INDEX('Per Invoice'!M$2:M$801,$W281)="","",INDEX('Per Invoice'!M$2:M$801,$W281)))</f>
        <v/>
      </c>
      <c r="N281" s="7">
        <f>IF($W281="","",IF(INDEX('Per Invoice'!N$2:N$801,$W281)="","",INDEX('Per Invoice'!N$2:N$801,$W281)))</f>
        <v/>
      </c>
      <c r="O281" s="7">
        <f>IF($W281="","",IF(INDEX('Per Invoice'!O$2:O$801,$W281)="","",INDEX('Per Invoice'!O$2:O$801,$W281)))</f>
        <v/>
      </c>
      <c r="P281">
        <f>IF($W281="","",IF(INDEX('Per Invoice'!P$2:P$801,$W281)="","",INDEX('Per Invoice'!P$2:P$801,$W281)))</f>
        <v/>
      </c>
      <c r="Q281" s="7">
        <f>IF($W281="","",IF(INDEX('Per Invoice'!Q$2:Q$801,$W281)="","",INDEX('Per Invoice'!Q$2:Q$801,$W281)))</f>
        <v/>
      </c>
      <c r="R281" s="7">
        <f>IF($W281="","",IF(INDEX('Per Invoice'!R$2:R$801,$W281)="","",INDEX('Per Invoice'!R$2:R$801,$W281)))</f>
        <v/>
      </c>
      <c r="S281" s="7">
        <f>IF($W281="","",IF(INDEX('Per Invoice'!S$2:S$801,$W281)="","",INDEX('Per Invoice'!S$2:S$801,$W281)))</f>
        <v/>
      </c>
      <c r="T281" s="7">
        <f>IF($W281="","",IF(INDEX('Per Invoice'!T$2:T$801,$W281)="","",INDEX('Per Invoice'!T$2:T$801,$W281)))</f>
        <v/>
      </c>
      <c r="U281" s="7">
        <f>IF($W281="","",IF(INDEX('Per Invoice'!U$2:U$801,$W281)="","",INDEX('Per Invoice'!U$2:U$801,$W281)))</f>
        <v/>
      </c>
      <c r="V281" s="7">
        <f>IF($W281="","",IF(INDEX('Per Invoice'!V$2:V$801,$W281)="","",INDEX('Per Invoice'!V$2:V$801,$W281)))</f>
        <v/>
      </c>
      <c r="W281" s="16">
        <f>IFERROR(MATCH(Settings!$C$26&amp;"|"&amp;ROWS($W$2:$W281),'Per Invoice'!$X$2:$X$801,0),"")</f>
        <v/>
      </c>
    </row>
    <row r="282">
      <c r="A282">
        <f>IF($W282="","",IF(INDEX('Per Invoice'!A$2:A$801,$W282)="","",INDEX('Per Invoice'!A$2:A$801,$W282)))</f>
        <v/>
      </c>
      <c r="B282">
        <f>IF($W282="","",IF(INDEX('Per Invoice'!B$2:B$801,$W282)="","",INDEX('Per Invoice'!B$2:B$801,$W282)))</f>
        <v/>
      </c>
      <c r="C282">
        <f>IF($W282="","",IF(INDEX('Per Invoice'!C$2:C$801,$W282)="","",INDEX('Per Invoice'!C$2:C$801,$W282)))</f>
        <v/>
      </c>
      <c r="D282">
        <f>IF($W282="","",IF(INDEX('Per Invoice'!D$2:D$801,$W282)="","",INDEX('Per Invoice'!D$2:D$801,$W282)))</f>
        <v/>
      </c>
      <c r="E282">
        <f>IF($W282="","",IF(INDEX('Per Invoice'!E$2:E$801,$W282)="","",INDEX('Per Invoice'!E$2:E$801,$W282)))</f>
        <v/>
      </c>
      <c r="F282">
        <f>IF($W282="","",IF(INDEX('Per Invoice'!F$2:F$801,$W282)="","",INDEX('Per Invoice'!F$2:F$801,$W282)))</f>
        <v/>
      </c>
      <c r="G282">
        <f>IF($W282="","",IF(INDEX('Per Invoice'!G$2:G$801,$W282)="","",INDEX('Per Invoice'!G$2:G$801,$W282)))</f>
        <v/>
      </c>
      <c r="H282">
        <f>IF($W282="","",IF(INDEX('Per Invoice'!H$2:H$801,$W282)="","",INDEX('Per Invoice'!H$2:H$801,$W282)))</f>
        <v/>
      </c>
      <c r="I282">
        <f>IF($W282="","",IF(INDEX('Per Invoice'!I$2:I$801,$W282)="","",INDEX('Per Invoice'!I$2:I$801,$W282)))</f>
        <v/>
      </c>
      <c r="J282">
        <f>IF($W282="","",IF(INDEX('Per Invoice'!J$2:J$801,$W282)="","",INDEX('Per Invoice'!J$2:J$801,$W282)))</f>
        <v/>
      </c>
      <c r="K282" s="7">
        <f>IF($W282="","",IF(INDEX('Per Invoice'!K$2:K$801,$W282)="","",INDEX('Per Invoice'!K$2:K$801,$W282)))</f>
        <v/>
      </c>
      <c r="L282" s="14">
        <f>IF($W282="","",IF(INDEX('Per Invoice'!L$2:L$801,$W282)="","",INDEX('Per Invoice'!L$2:L$801,$W282)))</f>
        <v/>
      </c>
      <c r="M282">
        <f>IF($W282="","",IF(INDEX('Per Invoice'!M$2:M$801,$W282)="","",INDEX('Per Invoice'!M$2:M$801,$W282)))</f>
        <v/>
      </c>
      <c r="N282" s="7">
        <f>IF($W282="","",IF(INDEX('Per Invoice'!N$2:N$801,$W282)="","",INDEX('Per Invoice'!N$2:N$801,$W282)))</f>
        <v/>
      </c>
      <c r="O282" s="7">
        <f>IF($W282="","",IF(INDEX('Per Invoice'!O$2:O$801,$W282)="","",INDEX('Per Invoice'!O$2:O$801,$W282)))</f>
        <v/>
      </c>
      <c r="P282">
        <f>IF($W282="","",IF(INDEX('Per Invoice'!P$2:P$801,$W282)="","",INDEX('Per Invoice'!P$2:P$801,$W282)))</f>
        <v/>
      </c>
      <c r="Q282" s="7">
        <f>IF($W282="","",IF(INDEX('Per Invoice'!Q$2:Q$801,$W282)="","",INDEX('Per Invoice'!Q$2:Q$801,$W282)))</f>
        <v/>
      </c>
      <c r="R282" s="7">
        <f>IF($W282="","",IF(INDEX('Per Invoice'!R$2:R$801,$W282)="","",INDEX('Per Invoice'!R$2:R$801,$W282)))</f>
        <v/>
      </c>
      <c r="S282" s="7">
        <f>IF($W282="","",IF(INDEX('Per Invoice'!S$2:S$801,$W282)="","",INDEX('Per Invoice'!S$2:S$801,$W282)))</f>
        <v/>
      </c>
      <c r="T282" s="7">
        <f>IF($W282="","",IF(INDEX('Per Invoice'!T$2:T$801,$W282)="","",INDEX('Per Invoice'!T$2:T$801,$W282)))</f>
        <v/>
      </c>
      <c r="U282" s="7">
        <f>IF($W282="","",IF(INDEX('Per Invoice'!U$2:U$801,$W282)="","",INDEX('Per Invoice'!U$2:U$801,$W282)))</f>
        <v/>
      </c>
      <c r="V282" s="7">
        <f>IF($W282="","",IF(INDEX('Per Invoice'!V$2:V$801,$W282)="","",INDEX('Per Invoice'!V$2:V$801,$W282)))</f>
        <v/>
      </c>
      <c r="W282" s="16">
        <f>IFERROR(MATCH(Settings!$C$26&amp;"|"&amp;ROWS($W$2:$W282),'Per Invoice'!$X$2:$X$801,0),"")</f>
        <v/>
      </c>
    </row>
    <row r="283">
      <c r="A283">
        <f>IF($W283="","",IF(INDEX('Per Invoice'!A$2:A$801,$W283)="","",INDEX('Per Invoice'!A$2:A$801,$W283)))</f>
        <v/>
      </c>
      <c r="B283">
        <f>IF($W283="","",IF(INDEX('Per Invoice'!B$2:B$801,$W283)="","",INDEX('Per Invoice'!B$2:B$801,$W283)))</f>
        <v/>
      </c>
      <c r="C283">
        <f>IF($W283="","",IF(INDEX('Per Invoice'!C$2:C$801,$W283)="","",INDEX('Per Invoice'!C$2:C$801,$W283)))</f>
        <v/>
      </c>
      <c r="D283">
        <f>IF($W283="","",IF(INDEX('Per Invoice'!D$2:D$801,$W283)="","",INDEX('Per Invoice'!D$2:D$801,$W283)))</f>
        <v/>
      </c>
      <c r="E283">
        <f>IF($W283="","",IF(INDEX('Per Invoice'!E$2:E$801,$W283)="","",INDEX('Per Invoice'!E$2:E$801,$W283)))</f>
        <v/>
      </c>
      <c r="F283">
        <f>IF($W283="","",IF(INDEX('Per Invoice'!F$2:F$801,$W283)="","",INDEX('Per Invoice'!F$2:F$801,$W283)))</f>
        <v/>
      </c>
      <c r="G283">
        <f>IF($W283="","",IF(INDEX('Per Invoice'!G$2:G$801,$W283)="","",INDEX('Per Invoice'!G$2:G$801,$W283)))</f>
        <v/>
      </c>
      <c r="H283">
        <f>IF($W283="","",IF(INDEX('Per Invoice'!H$2:H$801,$W283)="","",INDEX('Per Invoice'!H$2:H$801,$W283)))</f>
        <v/>
      </c>
      <c r="I283">
        <f>IF($W283="","",IF(INDEX('Per Invoice'!I$2:I$801,$W283)="","",INDEX('Per Invoice'!I$2:I$801,$W283)))</f>
        <v/>
      </c>
      <c r="J283">
        <f>IF($W283="","",IF(INDEX('Per Invoice'!J$2:J$801,$W283)="","",INDEX('Per Invoice'!J$2:J$801,$W283)))</f>
        <v/>
      </c>
      <c r="K283" s="7">
        <f>IF($W283="","",IF(INDEX('Per Invoice'!K$2:K$801,$W283)="","",INDEX('Per Invoice'!K$2:K$801,$W283)))</f>
        <v/>
      </c>
      <c r="L283" s="14">
        <f>IF($W283="","",IF(INDEX('Per Invoice'!L$2:L$801,$W283)="","",INDEX('Per Invoice'!L$2:L$801,$W283)))</f>
        <v/>
      </c>
      <c r="M283">
        <f>IF($W283="","",IF(INDEX('Per Invoice'!M$2:M$801,$W283)="","",INDEX('Per Invoice'!M$2:M$801,$W283)))</f>
        <v/>
      </c>
      <c r="N283" s="7">
        <f>IF($W283="","",IF(INDEX('Per Invoice'!N$2:N$801,$W283)="","",INDEX('Per Invoice'!N$2:N$801,$W283)))</f>
        <v/>
      </c>
      <c r="O283" s="7">
        <f>IF($W283="","",IF(INDEX('Per Invoice'!O$2:O$801,$W283)="","",INDEX('Per Invoice'!O$2:O$801,$W283)))</f>
        <v/>
      </c>
      <c r="P283">
        <f>IF($W283="","",IF(INDEX('Per Invoice'!P$2:P$801,$W283)="","",INDEX('Per Invoice'!P$2:P$801,$W283)))</f>
        <v/>
      </c>
      <c r="Q283" s="7">
        <f>IF($W283="","",IF(INDEX('Per Invoice'!Q$2:Q$801,$W283)="","",INDEX('Per Invoice'!Q$2:Q$801,$W283)))</f>
        <v/>
      </c>
      <c r="R283" s="7">
        <f>IF($W283="","",IF(INDEX('Per Invoice'!R$2:R$801,$W283)="","",INDEX('Per Invoice'!R$2:R$801,$W283)))</f>
        <v/>
      </c>
      <c r="S283" s="7">
        <f>IF($W283="","",IF(INDEX('Per Invoice'!S$2:S$801,$W283)="","",INDEX('Per Invoice'!S$2:S$801,$W283)))</f>
        <v/>
      </c>
      <c r="T283" s="7">
        <f>IF($W283="","",IF(INDEX('Per Invoice'!T$2:T$801,$W283)="","",INDEX('Per Invoice'!T$2:T$801,$W283)))</f>
        <v/>
      </c>
      <c r="U283" s="7">
        <f>IF($W283="","",IF(INDEX('Per Invoice'!U$2:U$801,$W283)="","",INDEX('Per Invoice'!U$2:U$801,$W283)))</f>
        <v/>
      </c>
      <c r="V283" s="7">
        <f>IF($W283="","",IF(INDEX('Per Invoice'!V$2:V$801,$W283)="","",INDEX('Per Invoice'!V$2:V$801,$W283)))</f>
        <v/>
      </c>
      <c r="W283" s="16">
        <f>IFERROR(MATCH(Settings!$C$26&amp;"|"&amp;ROWS($W$2:$W283),'Per Invoice'!$X$2:$X$801,0),"")</f>
        <v/>
      </c>
    </row>
    <row r="284">
      <c r="A284">
        <f>IF($W284="","",IF(INDEX('Per Invoice'!A$2:A$801,$W284)="","",INDEX('Per Invoice'!A$2:A$801,$W284)))</f>
        <v/>
      </c>
      <c r="B284">
        <f>IF($W284="","",IF(INDEX('Per Invoice'!B$2:B$801,$W284)="","",INDEX('Per Invoice'!B$2:B$801,$W284)))</f>
        <v/>
      </c>
      <c r="C284">
        <f>IF($W284="","",IF(INDEX('Per Invoice'!C$2:C$801,$W284)="","",INDEX('Per Invoice'!C$2:C$801,$W284)))</f>
        <v/>
      </c>
      <c r="D284">
        <f>IF($W284="","",IF(INDEX('Per Invoice'!D$2:D$801,$W284)="","",INDEX('Per Invoice'!D$2:D$801,$W284)))</f>
        <v/>
      </c>
      <c r="E284">
        <f>IF($W284="","",IF(INDEX('Per Invoice'!E$2:E$801,$W284)="","",INDEX('Per Invoice'!E$2:E$801,$W284)))</f>
        <v/>
      </c>
      <c r="F284">
        <f>IF($W284="","",IF(INDEX('Per Invoice'!F$2:F$801,$W284)="","",INDEX('Per Invoice'!F$2:F$801,$W284)))</f>
        <v/>
      </c>
      <c r="G284">
        <f>IF($W284="","",IF(INDEX('Per Invoice'!G$2:G$801,$W284)="","",INDEX('Per Invoice'!G$2:G$801,$W284)))</f>
        <v/>
      </c>
      <c r="H284">
        <f>IF($W284="","",IF(INDEX('Per Invoice'!H$2:H$801,$W284)="","",INDEX('Per Invoice'!H$2:H$801,$W284)))</f>
        <v/>
      </c>
      <c r="I284">
        <f>IF($W284="","",IF(INDEX('Per Invoice'!I$2:I$801,$W284)="","",INDEX('Per Invoice'!I$2:I$801,$W284)))</f>
        <v/>
      </c>
      <c r="J284">
        <f>IF($W284="","",IF(INDEX('Per Invoice'!J$2:J$801,$W284)="","",INDEX('Per Invoice'!J$2:J$801,$W284)))</f>
        <v/>
      </c>
      <c r="K284" s="7">
        <f>IF($W284="","",IF(INDEX('Per Invoice'!K$2:K$801,$W284)="","",INDEX('Per Invoice'!K$2:K$801,$W284)))</f>
        <v/>
      </c>
      <c r="L284" s="14">
        <f>IF($W284="","",IF(INDEX('Per Invoice'!L$2:L$801,$W284)="","",INDEX('Per Invoice'!L$2:L$801,$W284)))</f>
        <v/>
      </c>
      <c r="M284">
        <f>IF($W284="","",IF(INDEX('Per Invoice'!M$2:M$801,$W284)="","",INDEX('Per Invoice'!M$2:M$801,$W284)))</f>
        <v/>
      </c>
      <c r="N284" s="7">
        <f>IF($W284="","",IF(INDEX('Per Invoice'!N$2:N$801,$W284)="","",INDEX('Per Invoice'!N$2:N$801,$W284)))</f>
        <v/>
      </c>
      <c r="O284" s="7">
        <f>IF($W284="","",IF(INDEX('Per Invoice'!O$2:O$801,$W284)="","",INDEX('Per Invoice'!O$2:O$801,$W284)))</f>
        <v/>
      </c>
      <c r="P284">
        <f>IF($W284="","",IF(INDEX('Per Invoice'!P$2:P$801,$W284)="","",INDEX('Per Invoice'!P$2:P$801,$W284)))</f>
        <v/>
      </c>
      <c r="Q284" s="7">
        <f>IF($W284="","",IF(INDEX('Per Invoice'!Q$2:Q$801,$W284)="","",INDEX('Per Invoice'!Q$2:Q$801,$W284)))</f>
        <v/>
      </c>
      <c r="R284" s="7">
        <f>IF($W284="","",IF(INDEX('Per Invoice'!R$2:R$801,$W284)="","",INDEX('Per Invoice'!R$2:R$801,$W284)))</f>
        <v/>
      </c>
      <c r="S284" s="7">
        <f>IF($W284="","",IF(INDEX('Per Invoice'!S$2:S$801,$W284)="","",INDEX('Per Invoice'!S$2:S$801,$W284)))</f>
        <v/>
      </c>
      <c r="T284" s="7">
        <f>IF($W284="","",IF(INDEX('Per Invoice'!T$2:T$801,$W284)="","",INDEX('Per Invoice'!T$2:T$801,$W284)))</f>
        <v/>
      </c>
      <c r="U284" s="7">
        <f>IF($W284="","",IF(INDEX('Per Invoice'!U$2:U$801,$W284)="","",INDEX('Per Invoice'!U$2:U$801,$W284)))</f>
        <v/>
      </c>
      <c r="V284" s="7">
        <f>IF($W284="","",IF(INDEX('Per Invoice'!V$2:V$801,$W284)="","",INDEX('Per Invoice'!V$2:V$801,$W284)))</f>
        <v/>
      </c>
      <c r="W284" s="16">
        <f>IFERROR(MATCH(Settings!$C$26&amp;"|"&amp;ROWS($W$2:$W284),'Per Invoice'!$X$2:$X$801,0),"")</f>
        <v/>
      </c>
    </row>
    <row r="285">
      <c r="A285">
        <f>IF($W285="","",IF(INDEX('Per Invoice'!A$2:A$801,$W285)="","",INDEX('Per Invoice'!A$2:A$801,$W285)))</f>
        <v/>
      </c>
      <c r="B285">
        <f>IF($W285="","",IF(INDEX('Per Invoice'!B$2:B$801,$W285)="","",INDEX('Per Invoice'!B$2:B$801,$W285)))</f>
        <v/>
      </c>
      <c r="C285">
        <f>IF($W285="","",IF(INDEX('Per Invoice'!C$2:C$801,$W285)="","",INDEX('Per Invoice'!C$2:C$801,$W285)))</f>
        <v/>
      </c>
      <c r="D285">
        <f>IF($W285="","",IF(INDEX('Per Invoice'!D$2:D$801,$W285)="","",INDEX('Per Invoice'!D$2:D$801,$W285)))</f>
        <v/>
      </c>
      <c r="E285">
        <f>IF($W285="","",IF(INDEX('Per Invoice'!E$2:E$801,$W285)="","",INDEX('Per Invoice'!E$2:E$801,$W285)))</f>
        <v/>
      </c>
      <c r="F285">
        <f>IF($W285="","",IF(INDEX('Per Invoice'!F$2:F$801,$W285)="","",INDEX('Per Invoice'!F$2:F$801,$W285)))</f>
        <v/>
      </c>
      <c r="G285">
        <f>IF($W285="","",IF(INDEX('Per Invoice'!G$2:G$801,$W285)="","",INDEX('Per Invoice'!G$2:G$801,$W285)))</f>
        <v/>
      </c>
      <c r="H285">
        <f>IF($W285="","",IF(INDEX('Per Invoice'!H$2:H$801,$W285)="","",INDEX('Per Invoice'!H$2:H$801,$W285)))</f>
        <v/>
      </c>
      <c r="I285">
        <f>IF($W285="","",IF(INDEX('Per Invoice'!I$2:I$801,$W285)="","",INDEX('Per Invoice'!I$2:I$801,$W285)))</f>
        <v/>
      </c>
      <c r="J285">
        <f>IF($W285="","",IF(INDEX('Per Invoice'!J$2:J$801,$W285)="","",INDEX('Per Invoice'!J$2:J$801,$W285)))</f>
        <v/>
      </c>
      <c r="K285" s="7">
        <f>IF($W285="","",IF(INDEX('Per Invoice'!K$2:K$801,$W285)="","",INDEX('Per Invoice'!K$2:K$801,$W285)))</f>
        <v/>
      </c>
      <c r="L285" s="14">
        <f>IF($W285="","",IF(INDEX('Per Invoice'!L$2:L$801,$W285)="","",INDEX('Per Invoice'!L$2:L$801,$W285)))</f>
        <v/>
      </c>
      <c r="M285">
        <f>IF($W285="","",IF(INDEX('Per Invoice'!M$2:M$801,$W285)="","",INDEX('Per Invoice'!M$2:M$801,$W285)))</f>
        <v/>
      </c>
      <c r="N285" s="7">
        <f>IF($W285="","",IF(INDEX('Per Invoice'!N$2:N$801,$W285)="","",INDEX('Per Invoice'!N$2:N$801,$W285)))</f>
        <v/>
      </c>
      <c r="O285" s="7">
        <f>IF($W285="","",IF(INDEX('Per Invoice'!O$2:O$801,$W285)="","",INDEX('Per Invoice'!O$2:O$801,$W285)))</f>
        <v/>
      </c>
      <c r="P285">
        <f>IF($W285="","",IF(INDEX('Per Invoice'!P$2:P$801,$W285)="","",INDEX('Per Invoice'!P$2:P$801,$W285)))</f>
        <v/>
      </c>
      <c r="Q285" s="7">
        <f>IF($W285="","",IF(INDEX('Per Invoice'!Q$2:Q$801,$W285)="","",INDEX('Per Invoice'!Q$2:Q$801,$W285)))</f>
        <v/>
      </c>
      <c r="R285" s="7">
        <f>IF($W285="","",IF(INDEX('Per Invoice'!R$2:R$801,$W285)="","",INDEX('Per Invoice'!R$2:R$801,$W285)))</f>
        <v/>
      </c>
      <c r="S285" s="7">
        <f>IF($W285="","",IF(INDEX('Per Invoice'!S$2:S$801,$W285)="","",INDEX('Per Invoice'!S$2:S$801,$W285)))</f>
        <v/>
      </c>
      <c r="T285" s="7">
        <f>IF($W285="","",IF(INDEX('Per Invoice'!T$2:T$801,$W285)="","",INDEX('Per Invoice'!T$2:T$801,$W285)))</f>
        <v/>
      </c>
      <c r="U285" s="7">
        <f>IF($W285="","",IF(INDEX('Per Invoice'!U$2:U$801,$W285)="","",INDEX('Per Invoice'!U$2:U$801,$W285)))</f>
        <v/>
      </c>
      <c r="V285" s="7">
        <f>IF($W285="","",IF(INDEX('Per Invoice'!V$2:V$801,$W285)="","",INDEX('Per Invoice'!V$2:V$801,$W285)))</f>
        <v/>
      </c>
      <c r="W285" s="16">
        <f>IFERROR(MATCH(Settings!$C$26&amp;"|"&amp;ROWS($W$2:$W285),'Per Invoice'!$X$2:$X$801,0),"")</f>
        <v/>
      </c>
    </row>
    <row r="286">
      <c r="A286">
        <f>IF($W286="","",IF(INDEX('Per Invoice'!A$2:A$801,$W286)="","",INDEX('Per Invoice'!A$2:A$801,$W286)))</f>
        <v/>
      </c>
      <c r="B286">
        <f>IF($W286="","",IF(INDEX('Per Invoice'!B$2:B$801,$W286)="","",INDEX('Per Invoice'!B$2:B$801,$W286)))</f>
        <v/>
      </c>
      <c r="C286">
        <f>IF($W286="","",IF(INDEX('Per Invoice'!C$2:C$801,$W286)="","",INDEX('Per Invoice'!C$2:C$801,$W286)))</f>
        <v/>
      </c>
      <c r="D286">
        <f>IF($W286="","",IF(INDEX('Per Invoice'!D$2:D$801,$W286)="","",INDEX('Per Invoice'!D$2:D$801,$W286)))</f>
        <v/>
      </c>
      <c r="E286">
        <f>IF($W286="","",IF(INDEX('Per Invoice'!E$2:E$801,$W286)="","",INDEX('Per Invoice'!E$2:E$801,$W286)))</f>
        <v/>
      </c>
      <c r="F286">
        <f>IF($W286="","",IF(INDEX('Per Invoice'!F$2:F$801,$W286)="","",INDEX('Per Invoice'!F$2:F$801,$W286)))</f>
        <v/>
      </c>
      <c r="G286">
        <f>IF($W286="","",IF(INDEX('Per Invoice'!G$2:G$801,$W286)="","",INDEX('Per Invoice'!G$2:G$801,$W286)))</f>
        <v/>
      </c>
      <c r="H286">
        <f>IF($W286="","",IF(INDEX('Per Invoice'!H$2:H$801,$W286)="","",INDEX('Per Invoice'!H$2:H$801,$W286)))</f>
        <v/>
      </c>
      <c r="I286">
        <f>IF($W286="","",IF(INDEX('Per Invoice'!I$2:I$801,$W286)="","",INDEX('Per Invoice'!I$2:I$801,$W286)))</f>
        <v/>
      </c>
      <c r="J286">
        <f>IF($W286="","",IF(INDEX('Per Invoice'!J$2:J$801,$W286)="","",INDEX('Per Invoice'!J$2:J$801,$W286)))</f>
        <v/>
      </c>
      <c r="K286" s="7">
        <f>IF($W286="","",IF(INDEX('Per Invoice'!K$2:K$801,$W286)="","",INDEX('Per Invoice'!K$2:K$801,$W286)))</f>
        <v/>
      </c>
      <c r="L286" s="14">
        <f>IF($W286="","",IF(INDEX('Per Invoice'!L$2:L$801,$W286)="","",INDEX('Per Invoice'!L$2:L$801,$W286)))</f>
        <v/>
      </c>
      <c r="M286">
        <f>IF($W286="","",IF(INDEX('Per Invoice'!M$2:M$801,$W286)="","",INDEX('Per Invoice'!M$2:M$801,$W286)))</f>
        <v/>
      </c>
      <c r="N286" s="7">
        <f>IF($W286="","",IF(INDEX('Per Invoice'!N$2:N$801,$W286)="","",INDEX('Per Invoice'!N$2:N$801,$W286)))</f>
        <v/>
      </c>
      <c r="O286" s="7">
        <f>IF($W286="","",IF(INDEX('Per Invoice'!O$2:O$801,$W286)="","",INDEX('Per Invoice'!O$2:O$801,$W286)))</f>
        <v/>
      </c>
      <c r="P286">
        <f>IF($W286="","",IF(INDEX('Per Invoice'!P$2:P$801,$W286)="","",INDEX('Per Invoice'!P$2:P$801,$W286)))</f>
        <v/>
      </c>
      <c r="Q286" s="7">
        <f>IF($W286="","",IF(INDEX('Per Invoice'!Q$2:Q$801,$W286)="","",INDEX('Per Invoice'!Q$2:Q$801,$W286)))</f>
        <v/>
      </c>
      <c r="R286" s="7">
        <f>IF($W286="","",IF(INDEX('Per Invoice'!R$2:R$801,$W286)="","",INDEX('Per Invoice'!R$2:R$801,$W286)))</f>
        <v/>
      </c>
      <c r="S286" s="7">
        <f>IF($W286="","",IF(INDEX('Per Invoice'!S$2:S$801,$W286)="","",INDEX('Per Invoice'!S$2:S$801,$W286)))</f>
        <v/>
      </c>
      <c r="T286" s="7">
        <f>IF($W286="","",IF(INDEX('Per Invoice'!T$2:T$801,$W286)="","",INDEX('Per Invoice'!T$2:T$801,$W286)))</f>
        <v/>
      </c>
      <c r="U286" s="7">
        <f>IF($W286="","",IF(INDEX('Per Invoice'!U$2:U$801,$W286)="","",INDEX('Per Invoice'!U$2:U$801,$W286)))</f>
        <v/>
      </c>
      <c r="V286" s="7">
        <f>IF($W286="","",IF(INDEX('Per Invoice'!V$2:V$801,$W286)="","",INDEX('Per Invoice'!V$2:V$801,$W286)))</f>
        <v/>
      </c>
      <c r="W286" s="16">
        <f>IFERROR(MATCH(Settings!$C$26&amp;"|"&amp;ROWS($W$2:$W286),'Per Invoice'!$X$2:$X$801,0),"")</f>
        <v/>
      </c>
    </row>
    <row r="287">
      <c r="A287">
        <f>IF($W287="","",IF(INDEX('Per Invoice'!A$2:A$801,$W287)="","",INDEX('Per Invoice'!A$2:A$801,$W287)))</f>
        <v/>
      </c>
      <c r="B287">
        <f>IF($W287="","",IF(INDEX('Per Invoice'!B$2:B$801,$W287)="","",INDEX('Per Invoice'!B$2:B$801,$W287)))</f>
        <v/>
      </c>
      <c r="C287">
        <f>IF($W287="","",IF(INDEX('Per Invoice'!C$2:C$801,$W287)="","",INDEX('Per Invoice'!C$2:C$801,$W287)))</f>
        <v/>
      </c>
      <c r="D287">
        <f>IF($W287="","",IF(INDEX('Per Invoice'!D$2:D$801,$W287)="","",INDEX('Per Invoice'!D$2:D$801,$W287)))</f>
        <v/>
      </c>
      <c r="E287">
        <f>IF($W287="","",IF(INDEX('Per Invoice'!E$2:E$801,$W287)="","",INDEX('Per Invoice'!E$2:E$801,$W287)))</f>
        <v/>
      </c>
      <c r="F287">
        <f>IF($W287="","",IF(INDEX('Per Invoice'!F$2:F$801,$W287)="","",INDEX('Per Invoice'!F$2:F$801,$W287)))</f>
        <v/>
      </c>
      <c r="G287">
        <f>IF($W287="","",IF(INDEX('Per Invoice'!G$2:G$801,$W287)="","",INDEX('Per Invoice'!G$2:G$801,$W287)))</f>
        <v/>
      </c>
      <c r="H287">
        <f>IF($W287="","",IF(INDEX('Per Invoice'!H$2:H$801,$W287)="","",INDEX('Per Invoice'!H$2:H$801,$W287)))</f>
        <v/>
      </c>
      <c r="I287">
        <f>IF($W287="","",IF(INDEX('Per Invoice'!I$2:I$801,$W287)="","",INDEX('Per Invoice'!I$2:I$801,$W287)))</f>
        <v/>
      </c>
      <c r="J287">
        <f>IF($W287="","",IF(INDEX('Per Invoice'!J$2:J$801,$W287)="","",INDEX('Per Invoice'!J$2:J$801,$W287)))</f>
        <v/>
      </c>
      <c r="K287" s="7">
        <f>IF($W287="","",IF(INDEX('Per Invoice'!K$2:K$801,$W287)="","",INDEX('Per Invoice'!K$2:K$801,$W287)))</f>
        <v/>
      </c>
      <c r="L287" s="14">
        <f>IF($W287="","",IF(INDEX('Per Invoice'!L$2:L$801,$W287)="","",INDEX('Per Invoice'!L$2:L$801,$W287)))</f>
        <v/>
      </c>
      <c r="M287">
        <f>IF($W287="","",IF(INDEX('Per Invoice'!M$2:M$801,$W287)="","",INDEX('Per Invoice'!M$2:M$801,$W287)))</f>
        <v/>
      </c>
      <c r="N287" s="7">
        <f>IF($W287="","",IF(INDEX('Per Invoice'!N$2:N$801,$W287)="","",INDEX('Per Invoice'!N$2:N$801,$W287)))</f>
        <v/>
      </c>
      <c r="O287" s="7">
        <f>IF($W287="","",IF(INDEX('Per Invoice'!O$2:O$801,$W287)="","",INDEX('Per Invoice'!O$2:O$801,$W287)))</f>
        <v/>
      </c>
      <c r="P287">
        <f>IF($W287="","",IF(INDEX('Per Invoice'!P$2:P$801,$W287)="","",INDEX('Per Invoice'!P$2:P$801,$W287)))</f>
        <v/>
      </c>
      <c r="Q287" s="7">
        <f>IF($W287="","",IF(INDEX('Per Invoice'!Q$2:Q$801,$W287)="","",INDEX('Per Invoice'!Q$2:Q$801,$W287)))</f>
        <v/>
      </c>
      <c r="R287" s="7">
        <f>IF($W287="","",IF(INDEX('Per Invoice'!R$2:R$801,$W287)="","",INDEX('Per Invoice'!R$2:R$801,$W287)))</f>
        <v/>
      </c>
      <c r="S287" s="7">
        <f>IF($W287="","",IF(INDEX('Per Invoice'!S$2:S$801,$W287)="","",INDEX('Per Invoice'!S$2:S$801,$W287)))</f>
        <v/>
      </c>
      <c r="T287" s="7">
        <f>IF($W287="","",IF(INDEX('Per Invoice'!T$2:T$801,$W287)="","",INDEX('Per Invoice'!T$2:T$801,$W287)))</f>
        <v/>
      </c>
      <c r="U287" s="7">
        <f>IF($W287="","",IF(INDEX('Per Invoice'!U$2:U$801,$W287)="","",INDEX('Per Invoice'!U$2:U$801,$W287)))</f>
        <v/>
      </c>
      <c r="V287" s="7">
        <f>IF($W287="","",IF(INDEX('Per Invoice'!V$2:V$801,$W287)="","",INDEX('Per Invoice'!V$2:V$801,$W287)))</f>
        <v/>
      </c>
      <c r="W287" s="16">
        <f>IFERROR(MATCH(Settings!$C$26&amp;"|"&amp;ROWS($W$2:$W287),'Per Invoice'!$X$2:$X$801,0),"")</f>
        <v/>
      </c>
    </row>
    <row r="288">
      <c r="A288">
        <f>IF($W288="","",IF(INDEX('Per Invoice'!A$2:A$801,$W288)="","",INDEX('Per Invoice'!A$2:A$801,$W288)))</f>
        <v/>
      </c>
      <c r="B288">
        <f>IF($W288="","",IF(INDEX('Per Invoice'!B$2:B$801,$W288)="","",INDEX('Per Invoice'!B$2:B$801,$W288)))</f>
        <v/>
      </c>
      <c r="C288">
        <f>IF($W288="","",IF(INDEX('Per Invoice'!C$2:C$801,$W288)="","",INDEX('Per Invoice'!C$2:C$801,$W288)))</f>
        <v/>
      </c>
      <c r="D288">
        <f>IF($W288="","",IF(INDEX('Per Invoice'!D$2:D$801,$W288)="","",INDEX('Per Invoice'!D$2:D$801,$W288)))</f>
        <v/>
      </c>
      <c r="E288">
        <f>IF($W288="","",IF(INDEX('Per Invoice'!E$2:E$801,$W288)="","",INDEX('Per Invoice'!E$2:E$801,$W288)))</f>
        <v/>
      </c>
      <c r="F288">
        <f>IF($W288="","",IF(INDEX('Per Invoice'!F$2:F$801,$W288)="","",INDEX('Per Invoice'!F$2:F$801,$W288)))</f>
        <v/>
      </c>
      <c r="G288">
        <f>IF($W288="","",IF(INDEX('Per Invoice'!G$2:G$801,$W288)="","",INDEX('Per Invoice'!G$2:G$801,$W288)))</f>
        <v/>
      </c>
      <c r="H288">
        <f>IF($W288="","",IF(INDEX('Per Invoice'!H$2:H$801,$W288)="","",INDEX('Per Invoice'!H$2:H$801,$W288)))</f>
        <v/>
      </c>
      <c r="I288">
        <f>IF($W288="","",IF(INDEX('Per Invoice'!I$2:I$801,$W288)="","",INDEX('Per Invoice'!I$2:I$801,$W288)))</f>
        <v/>
      </c>
      <c r="J288">
        <f>IF($W288="","",IF(INDEX('Per Invoice'!J$2:J$801,$W288)="","",INDEX('Per Invoice'!J$2:J$801,$W288)))</f>
        <v/>
      </c>
      <c r="K288" s="7">
        <f>IF($W288="","",IF(INDEX('Per Invoice'!K$2:K$801,$W288)="","",INDEX('Per Invoice'!K$2:K$801,$W288)))</f>
        <v/>
      </c>
      <c r="L288" s="14">
        <f>IF($W288="","",IF(INDEX('Per Invoice'!L$2:L$801,$W288)="","",INDEX('Per Invoice'!L$2:L$801,$W288)))</f>
        <v/>
      </c>
      <c r="M288">
        <f>IF($W288="","",IF(INDEX('Per Invoice'!M$2:M$801,$W288)="","",INDEX('Per Invoice'!M$2:M$801,$W288)))</f>
        <v/>
      </c>
      <c r="N288" s="7">
        <f>IF($W288="","",IF(INDEX('Per Invoice'!N$2:N$801,$W288)="","",INDEX('Per Invoice'!N$2:N$801,$W288)))</f>
        <v/>
      </c>
      <c r="O288" s="7">
        <f>IF($W288="","",IF(INDEX('Per Invoice'!O$2:O$801,$W288)="","",INDEX('Per Invoice'!O$2:O$801,$W288)))</f>
        <v/>
      </c>
      <c r="P288">
        <f>IF($W288="","",IF(INDEX('Per Invoice'!P$2:P$801,$W288)="","",INDEX('Per Invoice'!P$2:P$801,$W288)))</f>
        <v/>
      </c>
      <c r="Q288" s="7">
        <f>IF($W288="","",IF(INDEX('Per Invoice'!Q$2:Q$801,$W288)="","",INDEX('Per Invoice'!Q$2:Q$801,$W288)))</f>
        <v/>
      </c>
      <c r="R288" s="7">
        <f>IF($W288="","",IF(INDEX('Per Invoice'!R$2:R$801,$W288)="","",INDEX('Per Invoice'!R$2:R$801,$W288)))</f>
        <v/>
      </c>
      <c r="S288" s="7">
        <f>IF($W288="","",IF(INDEX('Per Invoice'!S$2:S$801,$W288)="","",INDEX('Per Invoice'!S$2:S$801,$W288)))</f>
        <v/>
      </c>
      <c r="T288" s="7">
        <f>IF($W288="","",IF(INDEX('Per Invoice'!T$2:T$801,$W288)="","",INDEX('Per Invoice'!T$2:T$801,$W288)))</f>
        <v/>
      </c>
      <c r="U288" s="7">
        <f>IF($W288="","",IF(INDEX('Per Invoice'!U$2:U$801,$W288)="","",INDEX('Per Invoice'!U$2:U$801,$W288)))</f>
        <v/>
      </c>
      <c r="V288" s="7">
        <f>IF($W288="","",IF(INDEX('Per Invoice'!V$2:V$801,$W288)="","",INDEX('Per Invoice'!V$2:V$801,$W288)))</f>
        <v/>
      </c>
      <c r="W288" s="16">
        <f>IFERROR(MATCH(Settings!$C$26&amp;"|"&amp;ROWS($W$2:$W288),'Per Invoice'!$X$2:$X$801,0),"")</f>
        <v/>
      </c>
    </row>
    <row r="289">
      <c r="A289">
        <f>IF($W289="","",IF(INDEX('Per Invoice'!A$2:A$801,$W289)="","",INDEX('Per Invoice'!A$2:A$801,$W289)))</f>
        <v/>
      </c>
      <c r="B289">
        <f>IF($W289="","",IF(INDEX('Per Invoice'!B$2:B$801,$W289)="","",INDEX('Per Invoice'!B$2:B$801,$W289)))</f>
        <v/>
      </c>
      <c r="C289">
        <f>IF($W289="","",IF(INDEX('Per Invoice'!C$2:C$801,$W289)="","",INDEX('Per Invoice'!C$2:C$801,$W289)))</f>
        <v/>
      </c>
      <c r="D289">
        <f>IF($W289="","",IF(INDEX('Per Invoice'!D$2:D$801,$W289)="","",INDEX('Per Invoice'!D$2:D$801,$W289)))</f>
        <v/>
      </c>
      <c r="E289">
        <f>IF($W289="","",IF(INDEX('Per Invoice'!E$2:E$801,$W289)="","",INDEX('Per Invoice'!E$2:E$801,$W289)))</f>
        <v/>
      </c>
      <c r="F289">
        <f>IF($W289="","",IF(INDEX('Per Invoice'!F$2:F$801,$W289)="","",INDEX('Per Invoice'!F$2:F$801,$W289)))</f>
        <v/>
      </c>
      <c r="G289">
        <f>IF($W289="","",IF(INDEX('Per Invoice'!G$2:G$801,$W289)="","",INDEX('Per Invoice'!G$2:G$801,$W289)))</f>
        <v/>
      </c>
      <c r="H289">
        <f>IF($W289="","",IF(INDEX('Per Invoice'!H$2:H$801,$W289)="","",INDEX('Per Invoice'!H$2:H$801,$W289)))</f>
        <v/>
      </c>
      <c r="I289">
        <f>IF($W289="","",IF(INDEX('Per Invoice'!I$2:I$801,$W289)="","",INDEX('Per Invoice'!I$2:I$801,$W289)))</f>
        <v/>
      </c>
      <c r="J289">
        <f>IF($W289="","",IF(INDEX('Per Invoice'!J$2:J$801,$W289)="","",INDEX('Per Invoice'!J$2:J$801,$W289)))</f>
        <v/>
      </c>
      <c r="K289" s="7">
        <f>IF($W289="","",IF(INDEX('Per Invoice'!K$2:K$801,$W289)="","",INDEX('Per Invoice'!K$2:K$801,$W289)))</f>
        <v/>
      </c>
      <c r="L289" s="14">
        <f>IF($W289="","",IF(INDEX('Per Invoice'!L$2:L$801,$W289)="","",INDEX('Per Invoice'!L$2:L$801,$W289)))</f>
        <v/>
      </c>
      <c r="M289">
        <f>IF($W289="","",IF(INDEX('Per Invoice'!M$2:M$801,$W289)="","",INDEX('Per Invoice'!M$2:M$801,$W289)))</f>
        <v/>
      </c>
      <c r="N289" s="7">
        <f>IF($W289="","",IF(INDEX('Per Invoice'!N$2:N$801,$W289)="","",INDEX('Per Invoice'!N$2:N$801,$W289)))</f>
        <v/>
      </c>
      <c r="O289" s="7">
        <f>IF($W289="","",IF(INDEX('Per Invoice'!O$2:O$801,$W289)="","",INDEX('Per Invoice'!O$2:O$801,$W289)))</f>
        <v/>
      </c>
      <c r="P289">
        <f>IF($W289="","",IF(INDEX('Per Invoice'!P$2:P$801,$W289)="","",INDEX('Per Invoice'!P$2:P$801,$W289)))</f>
        <v/>
      </c>
      <c r="Q289" s="7">
        <f>IF($W289="","",IF(INDEX('Per Invoice'!Q$2:Q$801,$W289)="","",INDEX('Per Invoice'!Q$2:Q$801,$W289)))</f>
        <v/>
      </c>
      <c r="R289" s="7">
        <f>IF($W289="","",IF(INDEX('Per Invoice'!R$2:R$801,$W289)="","",INDEX('Per Invoice'!R$2:R$801,$W289)))</f>
        <v/>
      </c>
      <c r="S289" s="7">
        <f>IF($W289="","",IF(INDEX('Per Invoice'!S$2:S$801,$W289)="","",INDEX('Per Invoice'!S$2:S$801,$W289)))</f>
        <v/>
      </c>
      <c r="T289" s="7">
        <f>IF($W289="","",IF(INDEX('Per Invoice'!T$2:T$801,$W289)="","",INDEX('Per Invoice'!T$2:T$801,$W289)))</f>
        <v/>
      </c>
      <c r="U289" s="7">
        <f>IF($W289="","",IF(INDEX('Per Invoice'!U$2:U$801,$W289)="","",INDEX('Per Invoice'!U$2:U$801,$W289)))</f>
        <v/>
      </c>
      <c r="V289" s="7">
        <f>IF($W289="","",IF(INDEX('Per Invoice'!V$2:V$801,$W289)="","",INDEX('Per Invoice'!V$2:V$801,$W289)))</f>
        <v/>
      </c>
      <c r="W289" s="16">
        <f>IFERROR(MATCH(Settings!$C$26&amp;"|"&amp;ROWS($W$2:$W289),'Per Invoice'!$X$2:$X$801,0),"")</f>
        <v/>
      </c>
    </row>
    <row r="290">
      <c r="A290">
        <f>IF($W290="","",IF(INDEX('Per Invoice'!A$2:A$801,$W290)="","",INDEX('Per Invoice'!A$2:A$801,$W290)))</f>
        <v/>
      </c>
      <c r="B290">
        <f>IF($W290="","",IF(INDEX('Per Invoice'!B$2:B$801,$W290)="","",INDEX('Per Invoice'!B$2:B$801,$W290)))</f>
        <v/>
      </c>
      <c r="C290">
        <f>IF($W290="","",IF(INDEX('Per Invoice'!C$2:C$801,$W290)="","",INDEX('Per Invoice'!C$2:C$801,$W290)))</f>
        <v/>
      </c>
      <c r="D290">
        <f>IF($W290="","",IF(INDEX('Per Invoice'!D$2:D$801,$W290)="","",INDEX('Per Invoice'!D$2:D$801,$W290)))</f>
        <v/>
      </c>
      <c r="E290">
        <f>IF($W290="","",IF(INDEX('Per Invoice'!E$2:E$801,$W290)="","",INDEX('Per Invoice'!E$2:E$801,$W290)))</f>
        <v/>
      </c>
      <c r="F290">
        <f>IF($W290="","",IF(INDEX('Per Invoice'!F$2:F$801,$W290)="","",INDEX('Per Invoice'!F$2:F$801,$W290)))</f>
        <v/>
      </c>
      <c r="G290">
        <f>IF($W290="","",IF(INDEX('Per Invoice'!G$2:G$801,$W290)="","",INDEX('Per Invoice'!G$2:G$801,$W290)))</f>
        <v/>
      </c>
      <c r="H290">
        <f>IF($W290="","",IF(INDEX('Per Invoice'!H$2:H$801,$W290)="","",INDEX('Per Invoice'!H$2:H$801,$W290)))</f>
        <v/>
      </c>
      <c r="I290">
        <f>IF($W290="","",IF(INDEX('Per Invoice'!I$2:I$801,$W290)="","",INDEX('Per Invoice'!I$2:I$801,$W290)))</f>
        <v/>
      </c>
      <c r="J290">
        <f>IF($W290="","",IF(INDEX('Per Invoice'!J$2:J$801,$W290)="","",INDEX('Per Invoice'!J$2:J$801,$W290)))</f>
        <v/>
      </c>
      <c r="K290" s="7">
        <f>IF($W290="","",IF(INDEX('Per Invoice'!K$2:K$801,$W290)="","",INDEX('Per Invoice'!K$2:K$801,$W290)))</f>
        <v/>
      </c>
      <c r="L290" s="14">
        <f>IF($W290="","",IF(INDEX('Per Invoice'!L$2:L$801,$W290)="","",INDEX('Per Invoice'!L$2:L$801,$W290)))</f>
        <v/>
      </c>
      <c r="M290">
        <f>IF($W290="","",IF(INDEX('Per Invoice'!M$2:M$801,$W290)="","",INDEX('Per Invoice'!M$2:M$801,$W290)))</f>
        <v/>
      </c>
      <c r="N290" s="7">
        <f>IF($W290="","",IF(INDEX('Per Invoice'!N$2:N$801,$W290)="","",INDEX('Per Invoice'!N$2:N$801,$W290)))</f>
        <v/>
      </c>
      <c r="O290" s="7">
        <f>IF($W290="","",IF(INDEX('Per Invoice'!O$2:O$801,$W290)="","",INDEX('Per Invoice'!O$2:O$801,$W290)))</f>
        <v/>
      </c>
      <c r="P290">
        <f>IF($W290="","",IF(INDEX('Per Invoice'!P$2:P$801,$W290)="","",INDEX('Per Invoice'!P$2:P$801,$W290)))</f>
        <v/>
      </c>
      <c r="Q290" s="7">
        <f>IF($W290="","",IF(INDEX('Per Invoice'!Q$2:Q$801,$W290)="","",INDEX('Per Invoice'!Q$2:Q$801,$W290)))</f>
        <v/>
      </c>
      <c r="R290" s="7">
        <f>IF($W290="","",IF(INDEX('Per Invoice'!R$2:R$801,$W290)="","",INDEX('Per Invoice'!R$2:R$801,$W290)))</f>
        <v/>
      </c>
      <c r="S290" s="7">
        <f>IF($W290="","",IF(INDEX('Per Invoice'!S$2:S$801,$W290)="","",INDEX('Per Invoice'!S$2:S$801,$W290)))</f>
        <v/>
      </c>
      <c r="T290" s="7">
        <f>IF($W290="","",IF(INDEX('Per Invoice'!T$2:T$801,$W290)="","",INDEX('Per Invoice'!T$2:T$801,$W290)))</f>
        <v/>
      </c>
      <c r="U290" s="7">
        <f>IF($W290="","",IF(INDEX('Per Invoice'!U$2:U$801,$W290)="","",INDEX('Per Invoice'!U$2:U$801,$W290)))</f>
        <v/>
      </c>
      <c r="V290" s="7">
        <f>IF($W290="","",IF(INDEX('Per Invoice'!V$2:V$801,$W290)="","",INDEX('Per Invoice'!V$2:V$801,$W290)))</f>
        <v/>
      </c>
      <c r="W290" s="16">
        <f>IFERROR(MATCH(Settings!$C$26&amp;"|"&amp;ROWS($W$2:$W290),'Per Invoice'!$X$2:$X$801,0),"")</f>
        <v/>
      </c>
    </row>
    <row r="291">
      <c r="A291">
        <f>IF($W291="","",IF(INDEX('Per Invoice'!A$2:A$801,$W291)="","",INDEX('Per Invoice'!A$2:A$801,$W291)))</f>
        <v/>
      </c>
      <c r="B291">
        <f>IF($W291="","",IF(INDEX('Per Invoice'!B$2:B$801,$W291)="","",INDEX('Per Invoice'!B$2:B$801,$W291)))</f>
        <v/>
      </c>
      <c r="C291">
        <f>IF($W291="","",IF(INDEX('Per Invoice'!C$2:C$801,$W291)="","",INDEX('Per Invoice'!C$2:C$801,$W291)))</f>
        <v/>
      </c>
      <c r="D291">
        <f>IF($W291="","",IF(INDEX('Per Invoice'!D$2:D$801,$W291)="","",INDEX('Per Invoice'!D$2:D$801,$W291)))</f>
        <v/>
      </c>
      <c r="E291">
        <f>IF($W291="","",IF(INDEX('Per Invoice'!E$2:E$801,$W291)="","",INDEX('Per Invoice'!E$2:E$801,$W291)))</f>
        <v/>
      </c>
      <c r="F291">
        <f>IF($W291="","",IF(INDEX('Per Invoice'!F$2:F$801,$W291)="","",INDEX('Per Invoice'!F$2:F$801,$W291)))</f>
        <v/>
      </c>
      <c r="G291">
        <f>IF($W291="","",IF(INDEX('Per Invoice'!G$2:G$801,$W291)="","",INDEX('Per Invoice'!G$2:G$801,$W291)))</f>
        <v/>
      </c>
      <c r="H291">
        <f>IF($W291="","",IF(INDEX('Per Invoice'!H$2:H$801,$W291)="","",INDEX('Per Invoice'!H$2:H$801,$W291)))</f>
        <v/>
      </c>
      <c r="I291">
        <f>IF($W291="","",IF(INDEX('Per Invoice'!I$2:I$801,$W291)="","",INDEX('Per Invoice'!I$2:I$801,$W291)))</f>
        <v/>
      </c>
      <c r="J291">
        <f>IF($W291="","",IF(INDEX('Per Invoice'!J$2:J$801,$W291)="","",INDEX('Per Invoice'!J$2:J$801,$W291)))</f>
        <v/>
      </c>
      <c r="K291" s="7">
        <f>IF($W291="","",IF(INDEX('Per Invoice'!K$2:K$801,$W291)="","",INDEX('Per Invoice'!K$2:K$801,$W291)))</f>
        <v/>
      </c>
      <c r="L291" s="14">
        <f>IF($W291="","",IF(INDEX('Per Invoice'!L$2:L$801,$W291)="","",INDEX('Per Invoice'!L$2:L$801,$W291)))</f>
        <v/>
      </c>
      <c r="M291">
        <f>IF($W291="","",IF(INDEX('Per Invoice'!M$2:M$801,$W291)="","",INDEX('Per Invoice'!M$2:M$801,$W291)))</f>
        <v/>
      </c>
      <c r="N291" s="7">
        <f>IF($W291="","",IF(INDEX('Per Invoice'!N$2:N$801,$W291)="","",INDEX('Per Invoice'!N$2:N$801,$W291)))</f>
        <v/>
      </c>
      <c r="O291" s="7">
        <f>IF($W291="","",IF(INDEX('Per Invoice'!O$2:O$801,$W291)="","",INDEX('Per Invoice'!O$2:O$801,$W291)))</f>
        <v/>
      </c>
      <c r="P291">
        <f>IF($W291="","",IF(INDEX('Per Invoice'!P$2:P$801,$W291)="","",INDEX('Per Invoice'!P$2:P$801,$W291)))</f>
        <v/>
      </c>
      <c r="Q291" s="7">
        <f>IF($W291="","",IF(INDEX('Per Invoice'!Q$2:Q$801,$W291)="","",INDEX('Per Invoice'!Q$2:Q$801,$W291)))</f>
        <v/>
      </c>
      <c r="R291" s="7">
        <f>IF($W291="","",IF(INDEX('Per Invoice'!R$2:R$801,$W291)="","",INDEX('Per Invoice'!R$2:R$801,$W291)))</f>
        <v/>
      </c>
      <c r="S291" s="7">
        <f>IF($W291="","",IF(INDEX('Per Invoice'!S$2:S$801,$W291)="","",INDEX('Per Invoice'!S$2:S$801,$W291)))</f>
        <v/>
      </c>
      <c r="T291" s="7">
        <f>IF($W291="","",IF(INDEX('Per Invoice'!T$2:T$801,$W291)="","",INDEX('Per Invoice'!T$2:T$801,$W291)))</f>
        <v/>
      </c>
      <c r="U291" s="7">
        <f>IF($W291="","",IF(INDEX('Per Invoice'!U$2:U$801,$W291)="","",INDEX('Per Invoice'!U$2:U$801,$W291)))</f>
        <v/>
      </c>
      <c r="V291" s="7">
        <f>IF($W291="","",IF(INDEX('Per Invoice'!V$2:V$801,$W291)="","",INDEX('Per Invoice'!V$2:V$801,$W291)))</f>
        <v/>
      </c>
      <c r="W291" s="16">
        <f>IFERROR(MATCH(Settings!$C$26&amp;"|"&amp;ROWS($W$2:$W291),'Per Invoice'!$X$2:$X$801,0),"")</f>
        <v/>
      </c>
    </row>
    <row r="292">
      <c r="A292">
        <f>IF($W292="","",IF(INDEX('Per Invoice'!A$2:A$801,$W292)="","",INDEX('Per Invoice'!A$2:A$801,$W292)))</f>
        <v/>
      </c>
      <c r="B292">
        <f>IF($W292="","",IF(INDEX('Per Invoice'!B$2:B$801,$W292)="","",INDEX('Per Invoice'!B$2:B$801,$W292)))</f>
        <v/>
      </c>
      <c r="C292">
        <f>IF($W292="","",IF(INDEX('Per Invoice'!C$2:C$801,$W292)="","",INDEX('Per Invoice'!C$2:C$801,$W292)))</f>
        <v/>
      </c>
      <c r="D292">
        <f>IF($W292="","",IF(INDEX('Per Invoice'!D$2:D$801,$W292)="","",INDEX('Per Invoice'!D$2:D$801,$W292)))</f>
        <v/>
      </c>
      <c r="E292">
        <f>IF($W292="","",IF(INDEX('Per Invoice'!E$2:E$801,$W292)="","",INDEX('Per Invoice'!E$2:E$801,$W292)))</f>
        <v/>
      </c>
      <c r="F292">
        <f>IF($W292="","",IF(INDEX('Per Invoice'!F$2:F$801,$W292)="","",INDEX('Per Invoice'!F$2:F$801,$W292)))</f>
        <v/>
      </c>
      <c r="G292">
        <f>IF($W292="","",IF(INDEX('Per Invoice'!G$2:G$801,$W292)="","",INDEX('Per Invoice'!G$2:G$801,$W292)))</f>
        <v/>
      </c>
      <c r="H292">
        <f>IF($W292="","",IF(INDEX('Per Invoice'!H$2:H$801,$W292)="","",INDEX('Per Invoice'!H$2:H$801,$W292)))</f>
        <v/>
      </c>
      <c r="I292">
        <f>IF($W292="","",IF(INDEX('Per Invoice'!I$2:I$801,$W292)="","",INDEX('Per Invoice'!I$2:I$801,$W292)))</f>
        <v/>
      </c>
      <c r="J292">
        <f>IF($W292="","",IF(INDEX('Per Invoice'!J$2:J$801,$W292)="","",INDEX('Per Invoice'!J$2:J$801,$W292)))</f>
        <v/>
      </c>
      <c r="K292" s="7">
        <f>IF($W292="","",IF(INDEX('Per Invoice'!K$2:K$801,$W292)="","",INDEX('Per Invoice'!K$2:K$801,$W292)))</f>
        <v/>
      </c>
      <c r="L292" s="14">
        <f>IF($W292="","",IF(INDEX('Per Invoice'!L$2:L$801,$W292)="","",INDEX('Per Invoice'!L$2:L$801,$W292)))</f>
        <v/>
      </c>
      <c r="M292">
        <f>IF($W292="","",IF(INDEX('Per Invoice'!M$2:M$801,$W292)="","",INDEX('Per Invoice'!M$2:M$801,$W292)))</f>
        <v/>
      </c>
      <c r="N292" s="7">
        <f>IF($W292="","",IF(INDEX('Per Invoice'!N$2:N$801,$W292)="","",INDEX('Per Invoice'!N$2:N$801,$W292)))</f>
        <v/>
      </c>
      <c r="O292" s="7">
        <f>IF($W292="","",IF(INDEX('Per Invoice'!O$2:O$801,$W292)="","",INDEX('Per Invoice'!O$2:O$801,$W292)))</f>
        <v/>
      </c>
      <c r="P292">
        <f>IF($W292="","",IF(INDEX('Per Invoice'!P$2:P$801,$W292)="","",INDEX('Per Invoice'!P$2:P$801,$W292)))</f>
        <v/>
      </c>
      <c r="Q292" s="7">
        <f>IF($W292="","",IF(INDEX('Per Invoice'!Q$2:Q$801,$W292)="","",INDEX('Per Invoice'!Q$2:Q$801,$W292)))</f>
        <v/>
      </c>
      <c r="R292" s="7">
        <f>IF($W292="","",IF(INDEX('Per Invoice'!R$2:R$801,$W292)="","",INDEX('Per Invoice'!R$2:R$801,$W292)))</f>
        <v/>
      </c>
      <c r="S292" s="7">
        <f>IF($W292="","",IF(INDEX('Per Invoice'!S$2:S$801,$W292)="","",INDEX('Per Invoice'!S$2:S$801,$W292)))</f>
        <v/>
      </c>
      <c r="T292" s="7">
        <f>IF($W292="","",IF(INDEX('Per Invoice'!T$2:T$801,$W292)="","",INDEX('Per Invoice'!T$2:T$801,$W292)))</f>
        <v/>
      </c>
      <c r="U292" s="7">
        <f>IF($W292="","",IF(INDEX('Per Invoice'!U$2:U$801,$W292)="","",INDEX('Per Invoice'!U$2:U$801,$W292)))</f>
        <v/>
      </c>
      <c r="V292" s="7">
        <f>IF($W292="","",IF(INDEX('Per Invoice'!V$2:V$801,$W292)="","",INDEX('Per Invoice'!V$2:V$801,$W292)))</f>
        <v/>
      </c>
      <c r="W292" s="16">
        <f>IFERROR(MATCH(Settings!$C$26&amp;"|"&amp;ROWS($W$2:$W292),'Per Invoice'!$X$2:$X$801,0),"")</f>
        <v/>
      </c>
    </row>
    <row r="293">
      <c r="A293">
        <f>IF($W293="","",IF(INDEX('Per Invoice'!A$2:A$801,$W293)="","",INDEX('Per Invoice'!A$2:A$801,$W293)))</f>
        <v/>
      </c>
      <c r="B293">
        <f>IF($W293="","",IF(INDEX('Per Invoice'!B$2:B$801,$W293)="","",INDEX('Per Invoice'!B$2:B$801,$W293)))</f>
        <v/>
      </c>
      <c r="C293">
        <f>IF($W293="","",IF(INDEX('Per Invoice'!C$2:C$801,$W293)="","",INDEX('Per Invoice'!C$2:C$801,$W293)))</f>
        <v/>
      </c>
      <c r="D293">
        <f>IF($W293="","",IF(INDEX('Per Invoice'!D$2:D$801,$W293)="","",INDEX('Per Invoice'!D$2:D$801,$W293)))</f>
        <v/>
      </c>
      <c r="E293">
        <f>IF($W293="","",IF(INDEX('Per Invoice'!E$2:E$801,$W293)="","",INDEX('Per Invoice'!E$2:E$801,$W293)))</f>
        <v/>
      </c>
      <c r="F293">
        <f>IF($W293="","",IF(INDEX('Per Invoice'!F$2:F$801,$W293)="","",INDEX('Per Invoice'!F$2:F$801,$W293)))</f>
        <v/>
      </c>
      <c r="G293">
        <f>IF($W293="","",IF(INDEX('Per Invoice'!G$2:G$801,$W293)="","",INDEX('Per Invoice'!G$2:G$801,$W293)))</f>
        <v/>
      </c>
      <c r="H293">
        <f>IF($W293="","",IF(INDEX('Per Invoice'!H$2:H$801,$W293)="","",INDEX('Per Invoice'!H$2:H$801,$W293)))</f>
        <v/>
      </c>
      <c r="I293">
        <f>IF($W293="","",IF(INDEX('Per Invoice'!I$2:I$801,$W293)="","",INDEX('Per Invoice'!I$2:I$801,$W293)))</f>
        <v/>
      </c>
      <c r="J293">
        <f>IF($W293="","",IF(INDEX('Per Invoice'!J$2:J$801,$W293)="","",INDEX('Per Invoice'!J$2:J$801,$W293)))</f>
        <v/>
      </c>
      <c r="K293" s="7">
        <f>IF($W293="","",IF(INDEX('Per Invoice'!K$2:K$801,$W293)="","",INDEX('Per Invoice'!K$2:K$801,$W293)))</f>
        <v/>
      </c>
      <c r="L293" s="14">
        <f>IF($W293="","",IF(INDEX('Per Invoice'!L$2:L$801,$W293)="","",INDEX('Per Invoice'!L$2:L$801,$W293)))</f>
        <v/>
      </c>
      <c r="M293">
        <f>IF($W293="","",IF(INDEX('Per Invoice'!M$2:M$801,$W293)="","",INDEX('Per Invoice'!M$2:M$801,$W293)))</f>
        <v/>
      </c>
      <c r="N293" s="7">
        <f>IF($W293="","",IF(INDEX('Per Invoice'!N$2:N$801,$W293)="","",INDEX('Per Invoice'!N$2:N$801,$W293)))</f>
        <v/>
      </c>
      <c r="O293" s="7">
        <f>IF($W293="","",IF(INDEX('Per Invoice'!O$2:O$801,$W293)="","",INDEX('Per Invoice'!O$2:O$801,$W293)))</f>
        <v/>
      </c>
      <c r="P293">
        <f>IF($W293="","",IF(INDEX('Per Invoice'!P$2:P$801,$W293)="","",INDEX('Per Invoice'!P$2:P$801,$W293)))</f>
        <v/>
      </c>
      <c r="Q293" s="7">
        <f>IF($W293="","",IF(INDEX('Per Invoice'!Q$2:Q$801,$W293)="","",INDEX('Per Invoice'!Q$2:Q$801,$W293)))</f>
        <v/>
      </c>
      <c r="R293" s="7">
        <f>IF($W293="","",IF(INDEX('Per Invoice'!R$2:R$801,$W293)="","",INDEX('Per Invoice'!R$2:R$801,$W293)))</f>
        <v/>
      </c>
      <c r="S293" s="7">
        <f>IF($W293="","",IF(INDEX('Per Invoice'!S$2:S$801,$W293)="","",INDEX('Per Invoice'!S$2:S$801,$W293)))</f>
        <v/>
      </c>
      <c r="T293" s="7">
        <f>IF($W293="","",IF(INDEX('Per Invoice'!T$2:T$801,$W293)="","",INDEX('Per Invoice'!T$2:T$801,$W293)))</f>
        <v/>
      </c>
      <c r="U293" s="7">
        <f>IF($W293="","",IF(INDEX('Per Invoice'!U$2:U$801,$W293)="","",INDEX('Per Invoice'!U$2:U$801,$W293)))</f>
        <v/>
      </c>
      <c r="V293" s="7">
        <f>IF($W293="","",IF(INDEX('Per Invoice'!V$2:V$801,$W293)="","",INDEX('Per Invoice'!V$2:V$801,$W293)))</f>
        <v/>
      </c>
      <c r="W293" s="16">
        <f>IFERROR(MATCH(Settings!$C$26&amp;"|"&amp;ROWS($W$2:$W293),'Per Invoice'!$X$2:$X$801,0),"")</f>
        <v/>
      </c>
    </row>
    <row r="294">
      <c r="A294">
        <f>IF($W294="","",IF(INDEX('Per Invoice'!A$2:A$801,$W294)="","",INDEX('Per Invoice'!A$2:A$801,$W294)))</f>
        <v/>
      </c>
      <c r="B294">
        <f>IF($W294="","",IF(INDEX('Per Invoice'!B$2:B$801,$W294)="","",INDEX('Per Invoice'!B$2:B$801,$W294)))</f>
        <v/>
      </c>
      <c r="C294">
        <f>IF($W294="","",IF(INDEX('Per Invoice'!C$2:C$801,$W294)="","",INDEX('Per Invoice'!C$2:C$801,$W294)))</f>
        <v/>
      </c>
      <c r="D294">
        <f>IF($W294="","",IF(INDEX('Per Invoice'!D$2:D$801,$W294)="","",INDEX('Per Invoice'!D$2:D$801,$W294)))</f>
        <v/>
      </c>
      <c r="E294">
        <f>IF($W294="","",IF(INDEX('Per Invoice'!E$2:E$801,$W294)="","",INDEX('Per Invoice'!E$2:E$801,$W294)))</f>
        <v/>
      </c>
      <c r="F294">
        <f>IF($W294="","",IF(INDEX('Per Invoice'!F$2:F$801,$W294)="","",INDEX('Per Invoice'!F$2:F$801,$W294)))</f>
        <v/>
      </c>
      <c r="G294">
        <f>IF($W294="","",IF(INDEX('Per Invoice'!G$2:G$801,$W294)="","",INDEX('Per Invoice'!G$2:G$801,$W294)))</f>
        <v/>
      </c>
      <c r="H294">
        <f>IF($W294="","",IF(INDEX('Per Invoice'!H$2:H$801,$W294)="","",INDEX('Per Invoice'!H$2:H$801,$W294)))</f>
        <v/>
      </c>
      <c r="I294">
        <f>IF($W294="","",IF(INDEX('Per Invoice'!I$2:I$801,$W294)="","",INDEX('Per Invoice'!I$2:I$801,$W294)))</f>
        <v/>
      </c>
      <c r="J294">
        <f>IF($W294="","",IF(INDEX('Per Invoice'!J$2:J$801,$W294)="","",INDEX('Per Invoice'!J$2:J$801,$W294)))</f>
        <v/>
      </c>
      <c r="K294" s="7">
        <f>IF($W294="","",IF(INDEX('Per Invoice'!K$2:K$801,$W294)="","",INDEX('Per Invoice'!K$2:K$801,$W294)))</f>
        <v/>
      </c>
      <c r="L294" s="14">
        <f>IF($W294="","",IF(INDEX('Per Invoice'!L$2:L$801,$W294)="","",INDEX('Per Invoice'!L$2:L$801,$W294)))</f>
        <v/>
      </c>
      <c r="M294">
        <f>IF($W294="","",IF(INDEX('Per Invoice'!M$2:M$801,$W294)="","",INDEX('Per Invoice'!M$2:M$801,$W294)))</f>
        <v/>
      </c>
      <c r="N294" s="7">
        <f>IF($W294="","",IF(INDEX('Per Invoice'!N$2:N$801,$W294)="","",INDEX('Per Invoice'!N$2:N$801,$W294)))</f>
        <v/>
      </c>
      <c r="O294" s="7">
        <f>IF($W294="","",IF(INDEX('Per Invoice'!O$2:O$801,$W294)="","",INDEX('Per Invoice'!O$2:O$801,$W294)))</f>
        <v/>
      </c>
      <c r="P294">
        <f>IF($W294="","",IF(INDEX('Per Invoice'!P$2:P$801,$W294)="","",INDEX('Per Invoice'!P$2:P$801,$W294)))</f>
        <v/>
      </c>
      <c r="Q294" s="7">
        <f>IF($W294="","",IF(INDEX('Per Invoice'!Q$2:Q$801,$W294)="","",INDEX('Per Invoice'!Q$2:Q$801,$W294)))</f>
        <v/>
      </c>
      <c r="R294" s="7">
        <f>IF($W294="","",IF(INDEX('Per Invoice'!R$2:R$801,$W294)="","",INDEX('Per Invoice'!R$2:R$801,$W294)))</f>
        <v/>
      </c>
      <c r="S294" s="7">
        <f>IF($W294="","",IF(INDEX('Per Invoice'!S$2:S$801,$W294)="","",INDEX('Per Invoice'!S$2:S$801,$W294)))</f>
        <v/>
      </c>
      <c r="T294" s="7">
        <f>IF($W294="","",IF(INDEX('Per Invoice'!T$2:T$801,$W294)="","",INDEX('Per Invoice'!T$2:T$801,$W294)))</f>
        <v/>
      </c>
      <c r="U294" s="7">
        <f>IF($W294="","",IF(INDEX('Per Invoice'!U$2:U$801,$W294)="","",INDEX('Per Invoice'!U$2:U$801,$W294)))</f>
        <v/>
      </c>
      <c r="V294" s="7">
        <f>IF($W294="","",IF(INDEX('Per Invoice'!V$2:V$801,$W294)="","",INDEX('Per Invoice'!V$2:V$801,$W294)))</f>
        <v/>
      </c>
      <c r="W294" s="16">
        <f>IFERROR(MATCH(Settings!$C$26&amp;"|"&amp;ROWS($W$2:$W294),'Per Invoice'!$X$2:$X$801,0),"")</f>
        <v/>
      </c>
    </row>
    <row r="295">
      <c r="A295">
        <f>IF($W295="","",IF(INDEX('Per Invoice'!A$2:A$801,$W295)="","",INDEX('Per Invoice'!A$2:A$801,$W295)))</f>
        <v/>
      </c>
      <c r="B295">
        <f>IF($W295="","",IF(INDEX('Per Invoice'!B$2:B$801,$W295)="","",INDEX('Per Invoice'!B$2:B$801,$W295)))</f>
        <v/>
      </c>
      <c r="C295">
        <f>IF($W295="","",IF(INDEX('Per Invoice'!C$2:C$801,$W295)="","",INDEX('Per Invoice'!C$2:C$801,$W295)))</f>
        <v/>
      </c>
      <c r="D295">
        <f>IF($W295="","",IF(INDEX('Per Invoice'!D$2:D$801,$W295)="","",INDEX('Per Invoice'!D$2:D$801,$W295)))</f>
        <v/>
      </c>
      <c r="E295">
        <f>IF($W295="","",IF(INDEX('Per Invoice'!E$2:E$801,$W295)="","",INDEX('Per Invoice'!E$2:E$801,$W295)))</f>
        <v/>
      </c>
      <c r="F295">
        <f>IF($W295="","",IF(INDEX('Per Invoice'!F$2:F$801,$W295)="","",INDEX('Per Invoice'!F$2:F$801,$W295)))</f>
        <v/>
      </c>
      <c r="G295">
        <f>IF($W295="","",IF(INDEX('Per Invoice'!G$2:G$801,$W295)="","",INDEX('Per Invoice'!G$2:G$801,$W295)))</f>
        <v/>
      </c>
      <c r="H295">
        <f>IF($W295="","",IF(INDEX('Per Invoice'!H$2:H$801,$W295)="","",INDEX('Per Invoice'!H$2:H$801,$W295)))</f>
        <v/>
      </c>
      <c r="I295">
        <f>IF($W295="","",IF(INDEX('Per Invoice'!I$2:I$801,$W295)="","",INDEX('Per Invoice'!I$2:I$801,$W295)))</f>
        <v/>
      </c>
      <c r="J295">
        <f>IF($W295="","",IF(INDEX('Per Invoice'!J$2:J$801,$W295)="","",INDEX('Per Invoice'!J$2:J$801,$W295)))</f>
        <v/>
      </c>
      <c r="K295" s="7">
        <f>IF($W295="","",IF(INDEX('Per Invoice'!K$2:K$801,$W295)="","",INDEX('Per Invoice'!K$2:K$801,$W295)))</f>
        <v/>
      </c>
      <c r="L295" s="14">
        <f>IF($W295="","",IF(INDEX('Per Invoice'!L$2:L$801,$W295)="","",INDEX('Per Invoice'!L$2:L$801,$W295)))</f>
        <v/>
      </c>
      <c r="M295">
        <f>IF($W295="","",IF(INDEX('Per Invoice'!M$2:M$801,$W295)="","",INDEX('Per Invoice'!M$2:M$801,$W295)))</f>
        <v/>
      </c>
      <c r="N295" s="7">
        <f>IF($W295="","",IF(INDEX('Per Invoice'!N$2:N$801,$W295)="","",INDEX('Per Invoice'!N$2:N$801,$W295)))</f>
        <v/>
      </c>
      <c r="O295" s="7">
        <f>IF($W295="","",IF(INDEX('Per Invoice'!O$2:O$801,$W295)="","",INDEX('Per Invoice'!O$2:O$801,$W295)))</f>
        <v/>
      </c>
      <c r="P295">
        <f>IF($W295="","",IF(INDEX('Per Invoice'!P$2:P$801,$W295)="","",INDEX('Per Invoice'!P$2:P$801,$W295)))</f>
        <v/>
      </c>
      <c r="Q295" s="7">
        <f>IF($W295="","",IF(INDEX('Per Invoice'!Q$2:Q$801,$W295)="","",INDEX('Per Invoice'!Q$2:Q$801,$W295)))</f>
        <v/>
      </c>
      <c r="R295" s="7">
        <f>IF($W295="","",IF(INDEX('Per Invoice'!R$2:R$801,$W295)="","",INDEX('Per Invoice'!R$2:R$801,$W295)))</f>
        <v/>
      </c>
      <c r="S295" s="7">
        <f>IF($W295="","",IF(INDEX('Per Invoice'!S$2:S$801,$W295)="","",INDEX('Per Invoice'!S$2:S$801,$W295)))</f>
        <v/>
      </c>
      <c r="T295" s="7">
        <f>IF($W295="","",IF(INDEX('Per Invoice'!T$2:T$801,$W295)="","",INDEX('Per Invoice'!T$2:T$801,$W295)))</f>
        <v/>
      </c>
      <c r="U295" s="7">
        <f>IF($W295="","",IF(INDEX('Per Invoice'!U$2:U$801,$W295)="","",INDEX('Per Invoice'!U$2:U$801,$W295)))</f>
        <v/>
      </c>
      <c r="V295" s="7">
        <f>IF($W295="","",IF(INDEX('Per Invoice'!V$2:V$801,$W295)="","",INDEX('Per Invoice'!V$2:V$801,$W295)))</f>
        <v/>
      </c>
      <c r="W295" s="16">
        <f>IFERROR(MATCH(Settings!$C$26&amp;"|"&amp;ROWS($W$2:$W295),'Per Invoice'!$X$2:$X$801,0),"")</f>
        <v/>
      </c>
    </row>
    <row r="296">
      <c r="A296">
        <f>IF($W296="","",IF(INDEX('Per Invoice'!A$2:A$801,$W296)="","",INDEX('Per Invoice'!A$2:A$801,$W296)))</f>
        <v/>
      </c>
      <c r="B296">
        <f>IF($W296="","",IF(INDEX('Per Invoice'!B$2:B$801,$W296)="","",INDEX('Per Invoice'!B$2:B$801,$W296)))</f>
        <v/>
      </c>
      <c r="C296">
        <f>IF($W296="","",IF(INDEX('Per Invoice'!C$2:C$801,$W296)="","",INDEX('Per Invoice'!C$2:C$801,$W296)))</f>
        <v/>
      </c>
      <c r="D296">
        <f>IF($W296="","",IF(INDEX('Per Invoice'!D$2:D$801,$W296)="","",INDEX('Per Invoice'!D$2:D$801,$W296)))</f>
        <v/>
      </c>
      <c r="E296">
        <f>IF($W296="","",IF(INDEX('Per Invoice'!E$2:E$801,$W296)="","",INDEX('Per Invoice'!E$2:E$801,$W296)))</f>
        <v/>
      </c>
      <c r="F296">
        <f>IF($W296="","",IF(INDEX('Per Invoice'!F$2:F$801,$W296)="","",INDEX('Per Invoice'!F$2:F$801,$W296)))</f>
        <v/>
      </c>
      <c r="G296">
        <f>IF($W296="","",IF(INDEX('Per Invoice'!G$2:G$801,$W296)="","",INDEX('Per Invoice'!G$2:G$801,$W296)))</f>
        <v/>
      </c>
      <c r="H296">
        <f>IF($W296="","",IF(INDEX('Per Invoice'!H$2:H$801,$W296)="","",INDEX('Per Invoice'!H$2:H$801,$W296)))</f>
        <v/>
      </c>
      <c r="I296">
        <f>IF($W296="","",IF(INDEX('Per Invoice'!I$2:I$801,$W296)="","",INDEX('Per Invoice'!I$2:I$801,$W296)))</f>
        <v/>
      </c>
      <c r="J296">
        <f>IF($W296="","",IF(INDEX('Per Invoice'!J$2:J$801,$W296)="","",INDEX('Per Invoice'!J$2:J$801,$W296)))</f>
        <v/>
      </c>
      <c r="K296" s="7">
        <f>IF($W296="","",IF(INDEX('Per Invoice'!K$2:K$801,$W296)="","",INDEX('Per Invoice'!K$2:K$801,$W296)))</f>
        <v/>
      </c>
      <c r="L296" s="14">
        <f>IF($W296="","",IF(INDEX('Per Invoice'!L$2:L$801,$W296)="","",INDEX('Per Invoice'!L$2:L$801,$W296)))</f>
        <v/>
      </c>
      <c r="M296">
        <f>IF($W296="","",IF(INDEX('Per Invoice'!M$2:M$801,$W296)="","",INDEX('Per Invoice'!M$2:M$801,$W296)))</f>
        <v/>
      </c>
      <c r="N296" s="7">
        <f>IF($W296="","",IF(INDEX('Per Invoice'!N$2:N$801,$W296)="","",INDEX('Per Invoice'!N$2:N$801,$W296)))</f>
        <v/>
      </c>
      <c r="O296" s="7">
        <f>IF($W296="","",IF(INDEX('Per Invoice'!O$2:O$801,$W296)="","",INDEX('Per Invoice'!O$2:O$801,$W296)))</f>
        <v/>
      </c>
      <c r="P296">
        <f>IF($W296="","",IF(INDEX('Per Invoice'!P$2:P$801,$W296)="","",INDEX('Per Invoice'!P$2:P$801,$W296)))</f>
        <v/>
      </c>
      <c r="Q296" s="7">
        <f>IF($W296="","",IF(INDEX('Per Invoice'!Q$2:Q$801,$W296)="","",INDEX('Per Invoice'!Q$2:Q$801,$W296)))</f>
        <v/>
      </c>
      <c r="R296" s="7">
        <f>IF($W296="","",IF(INDEX('Per Invoice'!R$2:R$801,$W296)="","",INDEX('Per Invoice'!R$2:R$801,$W296)))</f>
        <v/>
      </c>
      <c r="S296" s="7">
        <f>IF($W296="","",IF(INDEX('Per Invoice'!S$2:S$801,$W296)="","",INDEX('Per Invoice'!S$2:S$801,$W296)))</f>
        <v/>
      </c>
      <c r="T296" s="7">
        <f>IF($W296="","",IF(INDEX('Per Invoice'!T$2:T$801,$W296)="","",INDEX('Per Invoice'!T$2:T$801,$W296)))</f>
        <v/>
      </c>
      <c r="U296" s="7">
        <f>IF($W296="","",IF(INDEX('Per Invoice'!U$2:U$801,$W296)="","",INDEX('Per Invoice'!U$2:U$801,$W296)))</f>
        <v/>
      </c>
      <c r="V296" s="7">
        <f>IF($W296="","",IF(INDEX('Per Invoice'!V$2:V$801,$W296)="","",INDEX('Per Invoice'!V$2:V$801,$W296)))</f>
        <v/>
      </c>
      <c r="W296" s="16">
        <f>IFERROR(MATCH(Settings!$C$26&amp;"|"&amp;ROWS($W$2:$W296),'Per Invoice'!$X$2:$X$801,0),"")</f>
        <v/>
      </c>
    </row>
    <row r="297">
      <c r="A297">
        <f>IF($W297="","",IF(INDEX('Per Invoice'!A$2:A$801,$W297)="","",INDEX('Per Invoice'!A$2:A$801,$W297)))</f>
        <v/>
      </c>
      <c r="B297">
        <f>IF($W297="","",IF(INDEX('Per Invoice'!B$2:B$801,$W297)="","",INDEX('Per Invoice'!B$2:B$801,$W297)))</f>
        <v/>
      </c>
      <c r="C297">
        <f>IF($W297="","",IF(INDEX('Per Invoice'!C$2:C$801,$W297)="","",INDEX('Per Invoice'!C$2:C$801,$W297)))</f>
        <v/>
      </c>
      <c r="D297">
        <f>IF($W297="","",IF(INDEX('Per Invoice'!D$2:D$801,$W297)="","",INDEX('Per Invoice'!D$2:D$801,$W297)))</f>
        <v/>
      </c>
      <c r="E297">
        <f>IF($W297="","",IF(INDEX('Per Invoice'!E$2:E$801,$W297)="","",INDEX('Per Invoice'!E$2:E$801,$W297)))</f>
        <v/>
      </c>
      <c r="F297">
        <f>IF($W297="","",IF(INDEX('Per Invoice'!F$2:F$801,$W297)="","",INDEX('Per Invoice'!F$2:F$801,$W297)))</f>
        <v/>
      </c>
      <c r="G297">
        <f>IF($W297="","",IF(INDEX('Per Invoice'!G$2:G$801,$W297)="","",INDEX('Per Invoice'!G$2:G$801,$W297)))</f>
        <v/>
      </c>
      <c r="H297">
        <f>IF($W297="","",IF(INDEX('Per Invoice'!H$2:H$801,$W297)="","",INDEX('Per Invoice'!H$2:H$801,$W297)))</f>
        <v/>
      </c>
      <c r="I297">
        <f>IF($W297="","",IF(INDEX('Per Invoice'!I$2:I$801,$W297)="","",INDEX('Per Invoice'!I$2:I$801,$W297)))</f>
        <v/>
      </c>
      <c r="J297">
        <f>IF($W297="","",IF(INDEX('Per Invoice'!J$2:J$801,$W297)="","",INDEX('Per Invoice'!J$2:J$801,$W297)))</f>
        <v/>
      </c>
      <c r="K297" s="7">
        <f>IF($W297="","",IF(INDEX('Per Invoice'!K$2:K$801,$W297)="","",INDEX('Per Invoice'!K$2:K$801,$W297)))</f>
        <v/>
      </c>
      <c r="L297" s="14">
        <f>IF($W297="","",IF(INDEX('Per Invoice'!L$2:L$801,$W297)="","",INDEX('Per Invoice'!L$2:L$801,$W297)))</f>
        <v/>
      </c>
      <c r="M297">
        <f>IF($W297="","",IF(INDEX('Per Invoice'!M$2:M$801,$W297)="","",INDEX('Per Invoice'!M$2:M$801,$W297)))</f>
        <v/>
      </c>
      <c r="N297" s="7">
        <f>IF($W297="","",IF(INDEX('Per Invoice'!N$2:N$801,$W297)="","",INDEX('Per Invoice'!N$2:N$801,$W297)))</f>
        <v/>
      </c>
      <c r="O297" s="7">
        <f>IF($W297="","",IF(INDEX('Per Invoice'!O$2:O$801,$W297)="","",INDEX('Per Invoice'!O$2:O$801,$W297)))</f>
        <v/>
      </c>
      <c r="P297">
        <f>IF($W297="","",IF(INDEX('Per Invoice'!P$2:P$801,$W297)="","",INDEX('Per Invoice'!P$2:P$801,$W297)))</f>
        <v/>
      </c>
      <c r="Q297" s="7">
        <f>IF($W297="","",IF(INDEX('Per Invoice'!Q$2:Q$801,$W297)="","",INDEX('Per Invoice'!Q$2:Q$801,$W297)))</f>
        <v/>
      </c>
      <c r="R297" s="7">
        <f>IF($W297="","",IF(INDEX('Per Invoice'!R$2:R$801,$W297)="","",INDEX('Per Invoice'!R$2:R$801,$W297)))</f>
        <v/>
      </c>
      <c r="S297" s="7">
        <f>IF($W297="","",IF(INDEX('Per Invoice'!S$2:S$801,$W297)="","",INDEX('Per Invoice'!S$2:S$801,$W297)))</f>
        <v/>
      </c>
      <c r="T297" s="7">
        <f>IF($W297="","",IF(INDEX('Per Invoice'!T$2:T$801,$W297)="","",INDEX('Per Invoice'!T$2:T$801,$W297)))</f>
        <v/>
      </c>
      <c r="U297" s="7">
        <f>IF($W297="","",IF(INDEX('Per Invoice'!U$2:U$801,$W297)="","",INDEX('Per Invoice'!U$2:U$801,$W297)))</f>
        <v/>
      </c>
      <c r="V297" s="7">
        <f>IF($W297="","",IF(INDEX('Per Invoice'!V$2:V$801,$W297)="","",INDEX('Per Invoice'!V$2:V$801,$W297)))</f>
        <v/>
      </c>
      <c r="W297" s="16">
        <f>IFERROR(MATCH(Settings!$C$26&amp;"|"&amp;ROWS($W$2:$W297),'Per Invoice'!$X$2:$X$801,0),"")</f>
        <v/>
      </c>
    </row>
    <row r="298">
      <c r="A298">
        <f>IF($W298="","",IF(INDEX('Per Invoice'!A$2:A$801,$W298)="","",INDEX('Per Invoice'!A$2:A$801,$W298)))</f>
        <v/>
      </c>
      <c r="B298">
        <f>IF($W298="","",IF(INDEX('Per Invoice'!B$2:B$801,$W298)="","",INDEX('Per Invoice'!B$2:B$801,$W298)))</f>
        <v/>
      </c>
      <c r="C298">
        <f>IF($W298="","",IF(INDEX('Per Invoice'!C$2:C$801,$W298)="","",INDEX('Per Invoice'!C$2:C$801,$W298)))</f>
        <v/>
      </c>
      <c r="D298">
        <f>IF($W298="","",IF(INDEX('Per Invoice'!D$2:D$801,$W298)="","",INDEX('Per Invoice'!D$2:D$801,$W298)))</f>
        <v/>
      </c>
      <c r="E298">
        <f>IF($W298="","",IF(INDEX('Per Invoice'!E$2:E$801,$W298)="","",INDEX('Per Invoice'!E$2:E$801,$W298)))</f>
        <v/>
      </c>
      <c r="F298">
        <f>IF($W298="","",IF(INDEX('Per Invoice'!F$2:F$801,$W298)="","",INDEX('Per Invoice'!F$2:F$801,$W298)))</f>
        <v/>
      </c>
      <c r="G298">
        <f>IF($W298="","",IF(INDEX('Per Invoice'!G$2:G$801,$W298)="","",INDEX('Per Invoice'!G$2:G$801,$W298)))</f>
        <v/>
      </c>
      <c r="H298">
        <f>IF($W298="","",IF(INDEX('Per Invoice'!H$2:H$801,$W298)="","",INDEX('Per Invoice'!H$2:H$801,$W298)))</f>
        <v/>
      </c>
      <c r="I298">
        <f>IF($W298="","",IF(INDEX('Per Invoice'!I$2:I$801,$W298)="","",INDEX('Per Invoice'!I$2:I$801,$W298)))</f>
        <v/>
      </c>
      <c r="J298">
        <f>IF($W298="","",IF(INDEX('Per Invoice'!J$2:J$801,$W298)="","",INDEX('Per Invoice'!J$2:J$801,$W298)))</f>
        <v/>
      </c>
      <c r="K298" s="7">
        <f>IF($W298="","",IF(INDEX('Per Invoice'!K$2:K$801,$W298)="","",INDEX('Per Invoice'!K$2:K$801,$W298)))</f>
        <v/>
      </c>
      <c r="L298" s="14">
        <f>IF($W298="","",IF(INDEX('Per Invoice'!L$2:L$801,$W298)="","",INDEX('Per Invoice'!L$2:L$801,$W298)))</f>
        <v/>
      </c>
      <c r="M298">
        <f>IF($W298="","",IF(INDEX('Per Invoice'!M$2:M$801,$W298)="","",INDEX('Per Invoice'!M$2:M$801,$W298)))</f>
        <v/>
      </c>
      <c r="N298" s="7">
        <f>IF($W298="","",IF(INDEX('Per Invoice'!N$2:N$801,$W298)="","",INDEX('Per Invoice'!N$2:N$801,$W298)))</f>
        <v/>
      </c>
      <c r="O298" s="7">
        <f>IF($W298="","",IF(INDEX('Per Invoice'!O$2:O$801,$W298)="","",INDEX('Per Invoice'!O$2:O$801,$W298)))</f>
        <v/>
      </c>
      <c r="P298">
        <f>IF($W298="","",IF(INDEX('Per Invoice'!P$2:P$801,$W298)="","",INDEX('Per Invoice'!P$2:P$801,$W298)))</f>
        <v/>
      </c>
      <c r="Q298" s="7">
        <f>IF($W298="","",IF(INDEX('Per Invoice'!Q$2:Q$801,$W298)="","",INDEX('Per Invoice'!Q$2:Q$801,$W298)))</f>
        <v/>
      </c>
      <c r="R298" s="7">
        <f>IF($W298="","",IF(INDEX('Per Invoice'!R$2:R$801,$W298)="","",INDEX('Per Invoice'!R$2:R$801,$W298)))</f>
        <v/>
      </c>
      <c r="S298" s="7">
        <f>IF($W298="","",IF(INDEX('Per Invoice'!S$2:S$801,$W298)="","",INDEX('Per Invoice'!S$2:S$801,$W298)))</f>
        <v/>
      </c>
      <c r="T298" s="7">
        <f>IF($W298="","",IF(INDEX('Per Invoice'!T$2:T$801,$W298)="","",INDEX('Per Invoice'!T$2:T$801,$W298)))</f>
        <v/>
      </c>
      <c r="U298" s="7">
        <f>IF($W298="","",IF(INDEX('Per Invoice'!U$2:U$801,$W298)="","",INDEX('Per Invoice'!U$2:U$801,$W298)))</f>
        <v/>
      </c>
      <c r="V298" s="7">
        <f>IF($W298="","",IF(INDEX('Per Invoice'!V$2:V$801,$W298)="","",INDEX('Per Invoice'!V$2:V$801,$W298)))</f>
        <v/>
      </c>
      <c r="W298" s="16">
        <f>IFERROR(MATCH(Settings!$C$26&amp;"|"&amp;ROWS($W$2:$W298),'Per Invoice'!$X$2:$X$801,0),"")</f>
        <v/>
      </c>
    </row>
    <row r="299">
      <c r="A299">
        <f>IF($W299="","",IF(INDEX('Per Invoice'!A$2:A$801,$W299)="","",INDEX('Per Invoice'!A$2:A$801,$W299)))</f>
        <v/>
      </c>
      <c r="B299">
        <f>IF($W299="","",IF(INDEX('Per Invoice'!B$2:B$801,$W299)="","",INDEX('Per Invoice'!B$2:B$801,$W299)))</f>
        <v/>
      </c>
      <c r="C299">
        <f>IF($W299="","",IF(INDEX('Per Invoice'!C$2:C$801,$W299)="","",INDEX('Per Invoice'!C$2:C$801,$W299)))</f>
        <v/>
      </c>
      <c r="D299">
        <f>IF($W299="","",IF(INDEX('Per Invoice'!D$2:D$801,$W299)="","",INDEX('Per Invoice'!D$2:D$801,$W299)))</f>
        <v/>
      </c>
      <c r="E299">
        <f>IF($W299="","",IF(INDEX('Per Invoice'!E$2:E$801,$W299)="","",INDEX('Per Invoice'!E$2:E$801,$W299)))</f>
        <v/>
      </c>
      <c r="F299">
        <f>IF($W299="","",IF(INDEX('Per Invoice'!F$2:F$801,$W299)="","",INDEX('Per Invoice'!F$2:F$801,$W299)))</f>
        <v/>
      </c>
      <c r="G299">
        <f>IF($W299="","",IF(INDEX('Per Invoice'!G$2:G$801,$W299)="","",INDEX('Per Invoice'!G$2:G$801,$W299)))</f>
        <v/>
      </c>
      <c r="H299">
        <f>IF($W299="","",IF(INDEX('Per Invoice'!H$2:H$801,$W299)="","",INDEX('Per Invoice'!H$2:H$801,$W299)))</f>
        <v/>
      </c>
      <c r="I299">
        <f>IF($W299="","",IF(INDEX('Per Invoice'!I$2:I$801,$W299)="","",INDEX('Per Invoice'!I$2:I$801,$W299)))</f>
        <v/>
      </c>
      <c r="J299">
        <f>IF($W299="","",IF(INDEX('Per Invoice'!J$2:J$801,$W299)="","",INDEX('Per Invoice'!J$2:J$801,$W299)))</f>
        <v/>
      </c>
      <c r="K299" s="7">
        <f>IF($W299="","",IF(INDEX('Per Invoice'!K$2:K$801,$W299)="","",INDEX('Per Invoice'!K$2:K$801,$W299)))</f>
        <v/>
      </c>
      <c r="L299" s="14">
        <f>IF($W299="","",IF(INDEX('Per Invoice'!L$2:L$801,$W299)="","",INDEX('Per Invoice'!L$2:L$801,$W299)))</f>
        <v/>
      </c>
      <c r="M299">
        <f>IF($W299="","",IF(INDEX('Per Invoice'!M$2:M$801,$W299)="","",INDEX('Per Invoice'!M$2:M$801,$W299)))</f>
        <v/>
      </c>
      <c r="N299" s="7">
        <f>IF($W299="","",IF(INDEX('Per Invoice'!N$2:N$801,$W299)="","",INDEX('Per Invoice'!N$2:N$801,$W299)))</f>
        <v/>
      </c>
      <c r="O299" s="7">
        <f>IF($W299="","",IF(INDEX('Per Invoice'!O$2:O$801,$W299)="","",INDEX('Per Invoice'!O$2:O$801,$W299)))</f>
        <v/>
      </c>
      <c r="P299">
        <f>IF($W299="","",IF(INDEX('Per Invoice'!P$2:P$801,$W299)="","",INDEX('Per Invoice'!P$2:P$801,$W299)))</f>
        <v/>
      </c>
      <c r="Q299" s="7">
        <f>IF($W299="","",IF(INDEX('Per Invoice'!Q$2:Q$801,$W299)="","",INDEX('Per Invoice'!Q$2:Q$801,$W299)))</f>
        <v/>
      </c>
      <c r="R299" s="7">
        <f>IF($W299="","",IF(INDEX('Per Invoice'!R$2:R$801,$W299)="","",INDEX('Per Invoice'!R$2:R$801,$W299)))</f>
        <v/>
      </c>
      <c r="S299" s="7">
        <f>IF($W299="","",IF(INDEX('Per Invoice'!S$2:S$801,$W299)="","",INDEX('Per Invoice'!S$2:S$801,$W299)))</f>
        <v/>
      </c>
      <c r="T299" s="7">
        <f>IF($W299="","",IF(INDEX('Per Invoice'!T$2:T$801,$W299)="","",INDEX('Per Invoice'!T$2:T$801,$W299)))</f>
        <v/>
      </c>
      <c r="U299" s="7">
        <f>IF($W299="","",IF(INDEX('Per Invoice'!U$2:U$801,$W299)="","",INDEX('Per Invoice'!U$2:U$801,$W299)))</f>
        <v/>
      </c>
      <c r="V299" s="7">
        <f>IF($W299="","",IF(INDEX('Per Invoice'!V$2:V$801,$W299)="","",INDEX('Per Invoice'!V$2:V$801,$W299)))</f>
        <v/>
      </c>
      <c r="W299" s="16">
        <f>IFERROR(MATCH(Settings!$C$26&amp;"|"&amp;ROWS($W$2:$W299),'Per Invoice'!$X$2:$X$801,0),"")</f>
        <v/>
      </c>
    </row>
    <row r="300">
      <c r="A300">
        <f>IF($W300="","",IF(INDEX('Per Invoice'!A$2:A$801,$W300)="","",INDEX('Per Invoice'!A$2:A$801,$W300)))</f>
        <v/>
      </c>
      <c r="B300">
        <f>IF($W300="","",IF(INDEX('Per Invoice'!B$2:B$801,$W300)="","",INDEX('Per Invoice'!B$2:B$801,$W300)))</f>
        <v/>
      </c>
      <c r="C300">
        <f>IF($W300="","",IF(INDEX('Per Invoice'!C$2:C$801,$W300)="","",INDEX('Per Invoice'!C$2:C$801,$W300)))</f>
        <v/>
      </c>
      <c r="D300">
        <f>IF($W300="","",IF(INDEX('Per Invoice'!D$2:D$801,$W300)="","",INDEX('Per Invoice'!D$2:D$801,$W300)))</f>
        <v/>
      </c>
      <c r="E300">
        <f>IF($W300="","",IF(INDEX('Per Invoice'!E$2:E$801,$W300)="","",INDEX('Per Invoice'!E$2:E$801,$W300)))</f>
        <v/>
      </c>
      <c r="F300">
        <f>IF($W300="","",IF(INDEX('Per Invoice'!F$2:F$801,$W300)="","",INDEX('Per Invoice'!F$2:F$801,$W300)))</f>
        <v/>
      </c>
      <c r="G300">
        <f>IF($W300="","",IF(INDEX('Per Invoice'!G$2:G$801,$W300)="","",INDEX('Per Invoice'!G$2:G$801,$W300)))</f>
        <v/>
      </c>
      <c r="H300">
        <f>IF($W300="","",IF(INDEX('Per Invoice'!H$2:H$801,$W300)="","",INDEX('Per Invoice'!H$2:H$801,$W300)))</f>
        <v/>
      </c>
      <c r="I300">
        <f>IF($W300="","",IF(INDEX('Per Invoice'!I$2:I$801,$W300)="","",INDEX('Per Invoice'!I$2:I$801,$W300)))</f>
        <v/>
      </c>
      <c r="J300">
        <f>IF($W300="","",IF(INDEX('Per Invoice'!J$2:J$801,$W300)="","",INDEX('Per Invoice'!J$2:J$801,$W300)))</f>
        <v/>
      </c>
      <c r="K300" s="7">
        <f>IF($W300="","",IF(INDEX('Per Invoice'!K$2:K$801,$W300)="","",INDEX('Per Invoice'!K$2:K$801,$W300)))</f>
        <v/>
      </c>
      <c r="L300" s="14">
        <f>IF($W300="","",IF(INDEX('Per Invoice'!L$2:L$801,$W300)="","",INDEX('Per Invoice'!L$2:L$801,$W300)))</f>
        <v/>
      </c>
      <c r="M300">
        <f>IF($W300="","",IF(INDEX('Per Invoice'!M$2:M$801,$W300)="","",INDEX('Per Invoice'!M$2:M$801,$W300)))</f>
        <v/>
      </c>
      <c r="N300" s="7">
        <f>IF($W300="","",IF(INDEX('Per Invoice'!N$2:N$801,$W300)="","",INDEX('Per Invoice'!N$2:N$801,$W300)))</f>
        <v/>
      </c>
      <c r="O300" s="7">
        <f>IF($W300="","",IF(INDEX('Per Invoice'!O$2:O$801,$W300)="","",INDEX('Per Invoice'!O$2:O$801,$W300)))</f>
        <v/>
      </c>
      <c r="P300">
        <f>IF($W300="","",IF(INDEX('Per Invoice'!P$2:P$801,$W300)="","",INDEX('Per Invoice'!P$2:P$801,$W300)))</f>
        <v/>
      </c>
      <c r="Q300" s="7">
        <f>IF($W300="","",IF(INDEX('Per Invoice'!Q$2:Q$801,$W300)="","",INDEX('Per Invoice'!Q$2:Q$801,$W300)))</f>
        <v/>
      </c>
      <c r="R300" s="7">
        <f>IF($W300="","",IF(INDEX('Per Invoice'!R$2:R$801,$W300)="","",INDEX('Per Invoice'!R$2:R$801,$W300)))</f>
        <v/>
      </c>
      <c r="S300" s="7">
        <f>IF($W300="","",IF(INDEX('Per Invoice'!S$2:S$801,$W300)="","",INDEX('Per Invoice'!S$2:S$801,$W300)))</f>
        <v/>
      </c>
      <c r="T300" s="7">
        <f>IF($W300="","",IF(INDEX('Per Invoice'!T$2:T$801,$W300)="","",INDEX('Per Invoice'!T$2:T$801,$W300)))</f>
        <v/>
      </c>
      <c r="U300" s="7">
        <f>IF($W300="","",IF(INDEX('Per Invoice'!U$2:U$801,$W300)="","",INDEX('Per Invoice'!U$2:U$801,$W300)))</f>
        <v/>
      </c>
      <c r="V300" s="7">
        <f>IF($W300="","",IF(INDEX('Per Invoice'!V$2:V$801,$W300)="","",INDEX('Per Invoice'!V$2:V$801,$W300)))</f>
        <v/>
      </c>
      <c r="W300" s="16">
        <f>IFERROR(MATCH(Settings!$C$26&amp;"|"&amp;ROWS($W$2:$W300),'Per Invoice'!$X$2:$X$801,0),"")</f>
        <v/>
      </c>
    </row>
    <row r="301">
      <c r="A301">
        <f>IF($W301="","",IF(INDEX('Per Invoice'!A$2:A$801,$W301)="","",INDEX('Per Invoice'!A$2:A$801,$W301)))</f>
        <v/>
      </c>
      <c r="B301">
        <f>IF($W301="","",IF(INDEX('Per Invoice'!B$2:B$801,$W301)="","",INDEX('Per Invoice'!B$2:B$801,$W301)))</f>
        <v/>
      </c>
      <c r="C301">
        <f>IF($W301="","",IF(INDEX('Per Invoice'!C$2:C$801,$W301)="","",INDEX('Per Invoice'!C$2:C$801,$W301)))</f>
        <v/>
      </c>
      <c r="D301">
        <f>IF($W301="","",IF(INDEX('Per Invoice'!D$2:D$801,$W301)="","",INDEX('Per Invoice'!D$2:D$801,$W301)))</f>
        <v/>
      </c>
      <c r="E301">
        <f>IF($W301="","",IF(INDEX('Per Invoice'!E$2:E$801,$W301)="","",INDEX('Per Invoice'!E$2:E$801,$W301)))</f>
        <v/>
      </c>
      <c r="F301">
        <f>IF($W301="","",IF(INDEX('Per Invoice'!F$2:F$801,$W301)="","",INDEX('Per Invoice'!F$2:F$801,$W301)))</f>
        <v/>
      </c>
      <c r="G301">
        <f>IF($W301="","",IF(INDEX('Per Invoice'!G$2:G$801,$W301)="","",INDEX('Per Invoice'!G$2:G$801,$W301)))</f>
        <v/>
      </c>
      <c r="H301">
        <f>IF($W301="","",IF(INDEX('Per Invoice'!H$2:H$801,$W301)="","",INDEX('Per Invoice'!H$2:H$801,$W301)))</f>
        <v/>
      </c>
      <c r="I301">
        <f>IF($W301="","",IF(INDEX('Per Invoice'!I$2:I$801,$W301)="","",INDEX('Per Invoice'!I$2:I$801,$W301)))</f>
        <v/>
      </c>
      <c r="J301">
        <f>IF($W301="","",IF(INDEX('Per Invoice'!J$2:J$801,$W301)="","",INDEX('Per Invoice'!J$2:J$801,$W301)))</f>
        <v/>
      </c>
      <c r="K301" s="7">
        <f>IF($W301="","",IF(INDEX('Per Invoice'!K$2:K$801,$W301)="","",INDEX('Per Invoice'!K$2:K$801,$W301)))</f>
        <v/>
      </c>
      <c r="L301" s="14">
        <f>IF($W301="","",IF(INDEX('Per Invoice'!L$2:L$801,$W301)="","",INDEX('Per Invoice'!L$2:L$801,$W301)))</f>
        <v/>
      </c>
      <c r="M301">
        <f>IF($W301="","",IF(INDEX('Per Invoice'!M$2:M$801,$W301)="","",INDEX('Per Invoice'!M$2:M$801,$W301)))</f>
        <v/>
      </c>
      <c r="N301" s="7">
        <f>IF($W301="","",IF(INDEX('Per Invoice'!N$2:N$801,$W301)="","",INDEX('Per Invoice'!N$2:N$801,$W301)))</f>
        <v/>
      </c>
      <c r="O301" s="7">
        <f>IF($W301="","",IF(INDEX('Per Invoice'!O$2:O$801,$W301)="","",INDEX('Per Invoice'!O$2:O$801,$W301)))</f>
        <v/>
      </c>
      <c r="P301">
        <f>IF($W301="","",IF(INDEX('Per Invoice'!P$2:P$801,$W301)="","",INDEX('Per Invoice'!P$2:P$801,$W301)))</f>
        <v/>
      </c>
      <c r="Q301" s="7">
        <f>IF($W301="","",IF(INDEX('Per Invoice'!Q$2:Q$801,$W301)="","",INDEX('Per Invoice'!Q$2:Q$801,$W301)))</f>
        <v/>
      </c>
      <c r="R301" s="7">
        <f>IF($W301="","",IF(INDEX('Per Invoice'!R$2:R$801,$W301)="","",INDEX('Per Invoice'!R$2:R$801,$W301)))</f>
        <v/>
      </c>
      <c r="S301" s="7">
        <f>IF($W301="","",IF(INDEX('Per Invoice'!S$2:S$801,$W301)="","",INDEX('Per Invoice'!S$2:S$801,$W301)))</f>
        <v/>
      </c>
      <c r="T301" s="7">
        <f>IF($W301="","",IF(INDEX('Per Invoice'!T$2:T$801,$W301)="","",INDEX('Per Invoice'!T$2:T$801,$W301)))</f>
        <v/>
      </c>
      <c r="U301" s="7">
        <f>IF($W301="","",IF(INDEX('Per Invoice'!U$2:U$801,$W301)="","",INDEX('Per Invoice'!U$2:U$801,$W301)))</f>
        <v/>
      </c>
      <c r="V301" s="7">
        <f>IF($W301="","",IF(INDEX('Per Invoice'!V$2:V$801,$W301)="","",INDEX('Per Invoice'!V$2:V$801,$W301)))</f>
        <v/>
      </c>
      <c r="W301" s="16">
        <f>IFERROR(MATCH(Settings!$C$26&amp;"|"&amp;ROWS($W$2:$W301),'Per Invoice'!$X$2:$X$801,0),"")</f>
        <v/>
      </c>
    </row>
  </sheetData>
  <autoFilter ref="A1:W3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26" customWidth="1" min="8" max="8"/>
    <col width="13" customWidth="1" min="9" max="9"/>
    <col width="12" customWidth="1" min="10" max="10"/>
    <col width="1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 ht="32" customHeight="1">
      <c r="A1" s="10" t="inlineStr">
        <is>
          <t>Invoice</t>
        </is>
      </c>
      <c r="B1" s="10" t="inlineStr">
        <is>
          <t>Pos Reference</t>
        </is>
      </c>
      <c r="C1" s="10" t="inlineStr">
        <is>
          <t>Approval</t>
        </is>
      </c>
      <c r="D1" s="10" t="inlineStr">
        <is>
          <t>##</t>
        </is>
      </c>
      <c r="E1" s="10" t="inlineStr">
        <is>
          <t>Payer</t>
        </is>
      </c>
      <c r="F1" s="10" t="inlineStr">
        <is>
          <t>Payment term</t>
        </is>
      </c>
      <c r="G1" s="10" t="inlineStr">
        <is>
          <t>Insurance Company</t>
        </is>
      </c>
      <c r="H1" s="10" t="inlineStr">
        <is>
          <t>Name</t>
        </is>
      </c>
      <c r="I1" s="10" t="inlineStr">
        <is>
          <t>Card Number</t>
        </is>
      </c>
      <c r="J1" s="10" t="inlineStr">
        <is>
          <t>Co Payment %</t>
        </is>
      </c>
      <c r="K1" s="10" t="inlineStr">
        <is>
          <t>Co val</t>
        </is>
      </c>
      <c r="L1" s="10" t="inlineStr">
        <is>
          <t>Create Date</t>
        </is>
      </c>
      <c r="M1" s="10" t="inlineStr">
        <is>
          <t>Imp%</t>
        </is>
      </c>
      <c r="N1" s="10" t="inlineStr">
        <is>
          <t>Imp</t>
        </is>
      </c>
      <c r="O1" s="10" t="inlineStr">
        <is>
          <t>Imp_Val</t>
        </is>
      </c>
      <c r="P1" s="10" t="inlineStr">
        <is>
          <t>Local%</t>
        </is>
      </c>
      <c r="Q1" s="10" t="inlineStr">
        <is>
          <t>Local</t>
        </is>
      </c>
      <c r="R1" s="10" t="inlineStr">
        <is>
          <t>Local_Val</t>
        </is>
      </c>
      <c r="S1" s="10" t="inlineStr">
        <is>
          <t>Discount</t>
        </is>
      </c>
      <c r="T1" s="10" t="inlineStr">
        <is>
          <t>Subtotal</t>
        </is>
      </c>
      <c r="U1" s="10" t="inlineStr">
        <is>
          <t>Net</t>
        </is>
      </c>
      <c r="V1" s="10" t="inlineStr">
        <is>
          <t>Grand Total</t>
        </is>
      </c>
      <c r="W1" s="13" t="inlineStr">
        <is>
          <t>Src Row (helper)</t>
        </is>
      </c>
    </row>
    <row r="2">
      <c r="A2">
        <f>IF($W2="","",IF(INDEX('Per Invoice'!A$2:A$801,$W2)="","",INDEX('Per Invoice'!A$2:A$801,$W2)))</f>
        <v/>
      </c>
      <c r="B2">
        <f>IF($W2="","",IF(INDEX('Per Invoice'!B$2:B$801,$W2)="","",INDEX('Per Invoice'!B$2:B$801,$W2)))</f>
        <v/>
      </c>
      <c r="C2">
        <f>IF($W2="","",IF(INDEX('Per Invoice'!C$2:C$801,$W2)="","",INDEX('Per Invoice'!C$2:C$801,$W2)))</f>
        <v/>
      </c>
      <c r="D2">
        <f>IF($W2="","",IF(INDEX('Per Invoice'!D$2:D$801,$W2)="","",INDEX('Per Invoice'!D$2:D$801,$W2)))</f>
        <v/>
      </c>
      <c r="E2">
        <f>IF($W2="","",IF(INDEX('Per Invoice'!E$2:E$801,$W2)="","",INDEX('Per Invoice'!E$2:E$801,$W2)))</f>
        <v/>
      </c>
      <c r="F2">
        <f>IF($W2="","",IF(INDEX('Per Invoice'!F$2:F$801,$W2)="","",INDEX('Per Invoice'!F$2:F$801,$W2)))</f>
        <v/>
      </c>
      <c r="G2">
        <f>IF($W2="","",IF(INDEX('Per Invoice'!G$2:G$801,$W2)="","",INDEX('Per Invoice'!G$2:G$801,$W2)))</f>
        <v/>
      </c>
      <c r="H2">
        <f>IF($W2="","",IF(INDEX('Per Invoice'!H$2:H$801,$W2)="","",INDEX('Per Invoice'!H$2:H$801,$W2)))</f>
        <v/>
      </c>
      <c r="I2">
        <f>IF($W2="","",IF(INDEX('Per Invoice'!I$2:I$801,$W2)="","",INDEX('Per Invoice'!I$2:I$801,$W2)))</f>
        <v/>
      </c>
      <c r="J2">
        <f>IF($W2="","",IF(INDEX('Per Invoice'!J$2:J$801,$W2)="","",INDEX('Per Invoice'!J$2:J$801,$W2)))</f>
        <v/>
      </c>
      <c r="K2" s="7">
        <f>IF($W2="","",IF(INDEX('Per Invoice'!K$2:K$801,$W2)="","",INDEX('Per Invoice'!K$2:K$801,$W2)))</f>
        <v/>
      </c>
      <c r="L2" s="14">
        <f>IF($W2="","",IF(INDEX('Per Invoice'!L$2:L$801,$W2)="","",INDEX('Per Invoice'!L$2:L$801,$W2)))</f>
        <v/>
      </c>
      <c r="M2">
        <f>IF($W2="","",IF(INDEX('Per Invoice'!M$2:M$801,$W2)="","",INDEX('Per Invoice'!M$2:M$801,$W2)))</f>
        <v/>
      </c>
      <c r="N2" s="7">
        <f>IF($W2="","",IF(INDEX('Per Invoice'!N$2:N$801,$W2)="","",INDEX('Per Invoice'!N$2:N$801,$W2)))</f>
        <v/>
      </c>
      <c r="O2" s="7">
        <f>IF($W2="","",IF(INDEX('Per Invoice'!O$2:O$801,$W2)="","",INDEX('Per Invoice'!O$2:O$801,$W2)))</f>
        <v/>
      </c>
      <c r="P2">
        <f>IF($W2="","",IF(INDEX('Per Invoice'!P$2:P$801,$W2)="","",INDEX('Per Invoice'!P$2:P$801,$W2)))</f>
        <v/>
      </c>
      <c r="Q2" s="7">
        <f>IF($W2="","",IF(INDEX('Per Invoice'!Q$2:Q$801,$W2)="","",INDEX('Per Invoice'!Q$2:Q$801,$W2)))</f>
        <v/>
      </c>
      <c r="R2" s="7">
        <f>IF($W2="","",IF(INDEX('Per Invoice'!R$2:R$801,$W2)="","",INDEX('Per Invoice'!R$2:R$801,$W2)))</f>
        <v/>
      </c>
      <c r="S2" s="7">
        <f>IF($W2="","",IF(INDEX('Per Invoice'!S$2:S$801,$W2)="","",INDEX('Per Invoice'!S$2:S$801,$W2)))</f>
        <v/>
      </c>
      <c r="T2" s="7">
        <f>IF($W2="","",IF(INDEX('Per Invoice'!T$2:T$801,$W2)="","",INDEX('Per Invoice'!T$2:T$801,$W2)))</f>
        <v/>
      </c>
      <c r="U2" s="7">
        <f>IF($W2="","",IF(INDEX('Per Invoice'!U$2:U$801,$W2)="","",INDEX('Per Invoice'!U$2:U$801,$W2)))</f>
        <v/>
      </c>
      <c r="V2" s="7">
        <f>IF($W2="","",IF(INDEX('Per Invoice'!V$2:V$801,$W2)="","",INDEX('Per Invoice'!V$2:V$801,$W2)))</f>
        <v/>
      </c>
      <c r="W2" s="16">
        <f>IFERROR(MATCH(Settings!$C$27&amp;"|"&amp;ROWS($W$2:$W2),'Per Invoice'!$X$2:$X$801,0),"")</f>
        <v/>
      </c>
    </row>
    <row r="3">
      <c r="A3">
        <f>IF($W3="","",IF(INDEX('Per Invoice'!A$2:A$801,$W3)="","",INDEX('Per Invoice'!A$2:A$801,$W3)))</f>
        <v/>
      </c>
      <c r="B3">
        <f>IF($W3="","",IF(INDEX('Per Invoice'!B$2:B$801,$W3)="","",INDEX('Per Invoice'!B$2:B$801,$W3)))</f>
        <v/>
      </c>
      <c r="C3">
        <f>IF($W3="","",IF(INDEX('Per Invoice'!C$2:C$801,$W3)="","",INDEX('Per Invoice'!C$2:C$801,$W3)))</f>
        <v/>
      </c>
      <c r="D3">
        <f>IF($W3="","",IF(INDEX('Per Invoice'!D$2:D$801,$W3)="","",INDEX('Per Invoice'!D$2:D$801,$W3)))</f>
        <v/>
      </c>
      <c r="E3">
        <f>IF($W3="","",IF(INDEX('Per Invoice'!E$2:E$801,$W3)="","",INDEX('Per Invoice'!E$2:E$801,$W3)))</f>
        <v/>
      </c>
      <c r="F3">
        <f>IF($W3="","",IF(INDEX('Per Invoice'!F$2:F$801,$W3)="","",INDEX('Per Invoice'!F$2:F$801,$W3)))</f>
        <v/>
      </c>
      <c r="G3">
        <f>IF($W3="","",IF(INDEX('Per Invoice'!G$2:G$801,$W3)="","",INDEX('Per Invoice'!G$2:G$801,$W3)))</f>
        <v/>
      </c>
      <c r="H3">
        <f>IF($W3="","",IF(INDEX('Per Invoice'!H$2:H$801,$W3)="","",INDEX('Per Invoice'!H$2:H$801,$W3)))</f>
        <v/>
      </c>
      <c r="I3">
        <f>IF($W3="","",IF(INDEX('Per Invoice'!I$2:I$801,$W3)="","",INDEX('Per Invoice'!I$2:I$801,$W3)))</f>
        <v/>
      </c>
      <c r="J3">
        <f>IF($W3="","",IF(INDEX('Per Invoice'!J$2:J$801,$W3)="","",INDEX('Per Invoice'!J$2:J$801,$W3)))</f>
        <v/>
      </c>
      <c r="K3" s="7">
        <f>IF($W3="","",IF(INDEX('Per Invoice'!K$2:K$801,$W3)="","",INDEX('Per Invoice'!K$2:K$801,$W3)))</f>
        <v/>
      </c>
      <c r="L3" s="14">
        <f>IF($W3="","",IF(INDEX('Per Invoice'!L$2:L$801,$W3)="","",INDEX('Per Invoice'!L$2:L$801,$W3)))</f>
        <v/>
      </c>
      <c r="M3">
        <f>IF($W3="","",IF(INDEX('Per Invoice'!M$2:M$801,$W3)="","",INDEX('Per Invoice'!M$2:M$801,$W3)))</f>
        <v/>
      </c>
      <c r="N3" s="7">
        <f>IF($W3="","",IF(INDEX('Per Invoice'!N$2:N$801,$W3)="","",INDEX('Per Invoice'!N$2:N$801,$W3)))</f>
        <v/>
      </c>
      <c r="O3" s="7">
        <f>IF($W3="","",IF(INDEX('Per Invoice'!O$2:O$801,$W3)="","",INDEX('Per Invoice'!O$2:O$801,$W3)))</f>
        <v/>
      </c>
      <c r="P3">
        <f>IF($W3="","",IF(INDEX('Per Invoice'!P$2:P$801,$W3)="","",INDEX('Per Invoice'!P$2:P$801,$W3)))</f>
        <v/>
      </c>
      <c r="Q3" s="7">
        <f>IF($W3="","",IF(INDEX('Per Invoice'!Q$2:Q$801,$W3)="","",INDEX('Per Invoice'!Q$2:Q$801,$W3)))</f>
        <v/>
      </c>
      <c r="R3" s="7">
        <f>IF($W3="","",IF(INDEX('Per Invoice'!R$2:R$801,$W3)="","",INDEX('Per Invoice'!R$2:R$801,$W3)))</f>
        <v/>
      </c>
      <c r="S3" s="7">
        <f>IF($W3="","",IF(INDEX('Per Invoice'!S$2:S$801,$W3)="","",INDEX('Per Invoice'!S$2:S$801,$W3)))</f>
        <v/>
      </c>
      <c r="T3" s="7">
        <f>IF($W3="","",IF(INDEX('Per Invoice'!T$2:T$801,$W3)="","",INDEX('Per Invoice'!T$2:T$801,$W3)))</f>
        <v/>
      </c>
      <c r="U3" s="7">
        <f>IF($W3="","",IF(INDEX('Per Invoice'!U$2:U$801,$W3)="","",INDEX('Per Invoice'!U$2:U$801,$W3)))</f>
        <v/>
      </c>
      <c r="V3" s="7">
        <f>IF($W3="","",IF(INDEX('Per Invoice'!V$2:V$801,$W3)="","",INDEX('Per Invoice'!V$2:V$801,$W3)))</f>
        <v/>
      </c>
      <c r="W3" s="16">
        <f>IFERROR(MATCH(Settings!$C$27&amp;"|"&amp;ROWS($W$2:$W3),'Per Invoice'!$X$2:$X$801,0),"")</f>
        <v/>
      </c>
    </row>
    <row r="4">
      <c r="A4">
        <f>IF($W4="","",IF(INDEX('Per Invoice'!A$2:A$801,$W4)="","",INDEX('Per Invoice'!A$2:A$801,$W4)))</f>
        <v/>
      </c>
      <c r="B4">
        <f>IF($W4="","",IF(INDEX('Per Invoice'!B$2:B$801,$W4)="","",INDEX('Per Invoice'!B$2:B$801,$W4)))</f>
        <v/>
      </c>
      <c r="C4">
        <f>IF($W4="","",IF(INDEX('Per Invoice'!C$2:C$801,$W4)="","",INDEX('Per Invoice'!C$2:C$801,$W4)))</f>
        <v/>
      </c>
      <c r="D4">
        <f>IF($W4="","",IF(INDEX('Per Invoice'!D$2:D$801,$W4)="","",INDEX('Per Invoice'!D$2:D$801,$W4)))</f>
        <v/>
      </c>
      <c r="E4">
        <f>IF($W4="","",IF(INDEX('Per Invoice'!E$2:E$801,$W4)="","",INDEX('Per Invoice'!E$2:E$801,$W4)))</f>
        <v/>
      </c>
      <c r="F4">
        <f>IF($W4="","",IF(INDEX('Per Invoice'!F$2:F$801,$W4)="","",INDEX('Per Invoice'!F$2:F$801,$W4)))</f>
        <v/>
      </c>
      <c r="G4">
        <f>IF($W4="","",IF(INDEX('Per Invoice'!G$2:G$801,$W4)="","",INDEX('Per Invoice'!G$2:G$801,$W4)))</f>
        <v/>
      </c>
      <c r="H4">
        <f>IF($W4="","",IF(INDEX('Per Invoice'!H$2:H$801,$W4)="","",INDEX('Per Invoice'!H$2:H$801,$W4)))</f>
        <v/>
      </c>
      <c r="I4">
        <f>IF($W4="","",IF(INDEX('Per Invoice'!I$2:I$801,$W4)="","",INDEX('Per Invoice'!I$2:I$801,$W4)))</f>
        <v/>
      </c>
      <c r="J4">
        <f>IF($W4="","",IF(INDEX('Per Invoice'!J$2:J$801,$W4)="","",INDEX('Per Invoice'!J$2:J$801,$W4)))</f>
        <v/>
      </c>
      <c r="K4" s="7">
        <f>IF($W4="","",IF(INDEX('Per Invoice'!K$2:K$801,$W4)="","",INDEX('Per Invoice'!K$2:K$801,$W4)))</f>
        <v/>
      </c>
      <c r="L4" s="14">
        <f>IF($W4="","",IF(INDEX('Per Invoice'!L$2:L$801,$W4)="","",INDEX('Per Invoice'!L$2:L$801,$W4)))</f>
        <v/>
      </c>
      <c r="M4">
        <f>IF($W4="","",IF(INDEX('Per Invoice'!M$2:M$801,$W4)="","",INDEX('Per Invoice'!M$2:M$801,$W4)))</f>
        <v/>
      </c>
      <c r="N4" s="7">
        <f>IF($W4="","",IF(INDEX('Per Invoice'!N$2:N$801,$W4)="","",INDEX('Per Invoice'!N$2:N$801,$W4)))</f>
        <v/>
      </c>
      <c r="O4" s="7">
        <f>IF($W4="","",IF(INDEX('Per Invoice'!O$2:O$801,$W4)="","",INDEX('Per Invoice'!O$2:O$801,$W4)))</f>
        <v/>
      </c>
      <c r="P4">
        <f>IF($W4="","",IF(INDEX('Per Invoice'!P$2:P$801,$W4)="","",INDEX('Per Invoice'!P$2:P$801,$W4)))</f>
        <v/>
      </c>
      <c r="Q4" s="7">
        <f>IF($W4="","",IF(INDEX('Per Invoice'!Q$2:Q$801,$W4)="","",INDEX('Per Invoice'!Q$2:Q$801,$W4)))</f>
        <v/>
      </c>
      <c r="R4" s="7">
        <f>IF($W4="","",IF(INDEX('Per Invoice'!R$2:R$801,$W4)="","",INDEX('Per Invoice'!R$2:R$801,$W4)))</f>
        <v/>
      </c>
      <c r="S4" s="7">
        <f>IF($W4="","",IF(INDEX('Per Invoice'!S$2:S$801,$W4)="","",INDEX('Per Invoice'!S$2:S$801,$W4)))</f>
        <v/>
      </c>
      <c r="T4" s="7">
        <f>IF($W4="","",IF(INDEX('Per Invoice'!T$2:T$801,$W4)="","",INDEX('Per Invoice'!T$2:T$801,$W4)))</f>
        <v/>
      </c>
      <c r="U4" s="7">
        <f>IF($W4="","",IF(INDEX('Per Invoice'!U$2:U$801,$W4)="","",INDEX('Per Invoice'!U$2:U$801,$W4)))</f>
        <v/>
      </c>
      <c r="V4" s="7">
        <f>IF($W4="","",IF(INDEX('Per Invoice'!V$2:V$801,$W4)="","",INDEX('Per Invoice'!V$2:V$801,$W4)))</f>
        <v/>
      </c>
      <c r="W4" s="16">
        <f>IFERROR(MATCH(Settings!$C$27&amp;"|"&amp;ROWS($W$2:$W4),'Per Invoice'!$X$2:$X$801,0),"")</f>
        <v/>
      </c>
    </row>
    <row r="5">
      <c r="A5">
        <f>IF($W5="","",IF(INDEX('Per Invoice'!A$2:A$801,$W5)="","",INDEX('Per Invoice'!A$2:A$801,$W5)))</f>
        <v/>
      </c>
      <c r="B5">
        <f>IF($W5="","",IF(INDEX('Per Invoice'!B$2:B$801,$W5)="","",INDEX('Per Invoice'!B$2:B$801,$W5)))</f>
        <v/>
      </c>
      <c r="C5">
        <f>IF($W5="","",IF(INDEX('Per Invoice'!C$2:C$801,$W5)="","",INDEX('Per Invoice'!C$2:C$801,$W5)))</f>
        <v/>
      </c>
      <c r="D5">
        <f>IF($W5="","",IF(INDEX('Per Invoice'!D$2:D$801,$W5)="","",INDEX('Per Invoice'!D$2:D$801,$W5)))</f>
        <v/>
      </c>
      <c r="E5">
        <f>IF($W5="","",IF(INDEX('Per Invoice'!E$2:E$801,$W5)="","",INDEX('Per Invoice'!E$2:E$801,$W5)))</f>
        <v/>
      </c>
      <c r="F5">
        <f>IF($W5="","",IF(INDEX('Per Invoice'!F$2:F$801,$W5)="","",INDEX('Per Invoice'!F$2:F$801,$W5)))</f>
        <v/>
      </c>
      <c r="G5">
        <f>IF($W5="","",IF(INDEX('Per Invoice'!G$2:G$801,$W5)="","",INDEX('Per Invoice'!G$2:G$801,$W5)))</f>
        <v/>
      </c>
      <c r="H5">
        <f>IF($W5="","",IF(INDEX('Per Invoice'!H$2:H$801,$W5)="","",INDEX('Per Invoice'!H$2:H$801,$W5)))</f>
        <v/>
      </c>
      <c r="I5">
        <f>IF($W5="","",IF(INDEX('Per Invoice'!I$2:I$801,$W5)="","",INDEX('Per Invoice'!I$2:I$801,$W5)))</f>
        <v/>
      </c>
      <c r="J5">
        <f>IF($W5="","",IF(INDEX('Per Invoice'!J$2:J$801,$W5)="","",INDEX('Per Invoice'!J$2:J$801,$W5)))</f>
        <v/>
      </c>
      <c r="K5" s="7">
        <f>IF($W5="","",IF(INDEX('Per Invoice'!K$2:K$801,$W5)="","",INDEX('Per Invoice'!K$2:K$801,$W5)))</f>
        <v/>
      </c>
      <c r="L5" s="14">
        <f>IF($W5="","",IF(INDEX('Per Invoice'!L$2:L$801,$W5)="","",INDEX('Per Invoice'!L$2:L$801,$W5)))</f>
        <v/>
      </c>
      <c r="M5">
        <f>IF($W5="","",IF(INDEX('Per Invoice'!M$2:M$801,$W5)="","",INDEX('Per Invoice'!M$2:M$801,$W5)))</f>
        <v/>
      </c>
      <c r="N5" s="7">
        <f>IF($W5="","",IF(INDEX('Per Invoice'!N$2:N$801,$W5)="","",INDEX('Per Invoice'!N$2:N$801,$W5)))</f>
        <v/>
      </c>
      <c r="O5" s="7">
        <f>IF($W5="","",IF(INDEX('Per Invoice'!O$2:O$801,$W5)="","",INDEX('Per Invoice'!O$2:O$801,$W5)))</f>
        <v/>
      </c>
      <c r="P5">
        <f>IF($W5="","",IF(INDEX('Per Invoice'!P$2:P$801,$W5)="","",INDEX('Per Invoice'!P$2:P$801,$W5)))</f>
        <v/>
      </c>
      <c r="Q5" s="7">
        <f>IF($W5="","",IF(INDEX('Per Invoice'!Q$2:Q$801,$W5)="","",INDEX('Per Invoice'!Q$2:Q$801,$W5)))</f>
        <v/>
      </c>
      <c r="R5" s="7">
        <f>IF($W5="","",IF(INDEX('Per Invoice'!R$2:R$801,$W5)="","",INDEX('Per Invoice'!R$2:R$801,$W5)))</f>
        <v/>
      </c>
      <c r="S5" s="7">
        <f>IF($W5="","",IF(INDEX('Per Invoice'!S$2:S$801,$W5)="","",INDEX('Per Invoice'!S$2:S$801,$W5)))</f>
        <v/>
      </c>
      <c r="T5" s="7">
        <f>IF($W5="","",IF(INDEX('Per Invoice'!T$2:T$801,$W5)="","",INDEX('Per Invoice'!T$2:T$801,$W5)))</f>
        <v/>
      </c>
      <c r="U5" s="7">
        <f>IF($W5="","",IF(INDEX('Per Invoice'!U$2:U$801,$W5)="","",INDEX('Per Invoice'!U$2:U$801,$W5)))</f>
        <v/>
      </c>
      <c r="V5" s="7">
        <f>IF($W5="","",IF(INDEX('Per Invoice'!V$2:V$801,$W5)="","",INDEX('Per Invoice'!V$2:V$801,$W5)))</f>
        <v/>
      </c>
      <c r="W5" s="16">
        <f>IFERROR(MATCH(Settings!$C$27&amp;"|"&amp;ROWS($W$2:$W5),'Per Invoice'!$X$2:$X$801,0),"")</f>
        <v/>
      </c>
    </row>
    <row r="6">
      <c r="A6">
        <f>IF($W6="","",IF(INDEX('Per Invoice'!A$2:A$801,$W6)="","",INDEX('Per Invoice'!A$2:A$801,$W6)))</f>
        <v/>
      </c>
      <c r="B6">
        <f>IF($W6="","",IF(INDEX('Per Invoice'!B$2:B$801,$W6)="","",INDEX('Per Invoice'!B$2:B$801,$W6)))</f>
        <v/>
      </c>
      <c r="C6">
        <f>IF($W6="","",IF(INDEX('Per Invoice'!C$2:C$801,$W6)="","",INDEX('Per Invoice'!C$2:C$801,$W6)))</f>
        <v/>
      </c>
      <c r="D6">
        <f>IF($W6="","",IF(INDEX('Per Invoice'!D$2:D$801,$W6)="","",INDEX('Per Invoice'!D$2:D$801,$W6)))</f>
        <v/>
      </c>
      <c r="E6">
        <f>IF($W6="","",IF(INDEX('Per Invoice'!E$2:E$801,$W6)="","",INDEX('Per Invoice'!E$2:E$801,$W6)))</f>
        <v/>
      </c>
      <c r="F6">
        <f>IF($W6="","",IF(INDEX('Per Invoice'!F$2:F$801,$W6)="","",INDEX('Per Invoice'!F$2:F$801,$W6)))</f>
        <v/>
      </c>
      <c r="G6">
        <f>IF($W6="","",IF(INDEX('Per Invoice'!G$2:G$801,$W6)="","",INDEX('Per Invoice'!G$2:G$801,$W6)))</f>
        <v/>
      </c>
      <c r="H6">
        <f>IF($W6="","",IF(INDEX('Per Invoice'!H$2:H$801,$W6)="","",INDEX('Per Invoice'!H$2:H$801,$W6)))</f>
        <v/>
      </c>
      <c r="I6">
        <f>IF($W6="","",IF(INDEX('Per Invoice'!I$2:I$801,$W6)="","",INDEX('Per Invoice'!I$2:I$801,$W6)))</f>
        <v/>
      </c>
      <c r="J6">
        <f>IF($W6="","",IF(INDEX('Per Invoice'!J$2:J$801,$W6)="","",INDEX('Per Invoice'!J$2:J$801,$W6)))</f>
        <v/>
      </c>
      <c r="K6" s="7">
        <f>IF($W6="","",IF(INDEX('Per Invoice'!K$2:K$801,$W6)="","",INDEX('Per Invoice'!K$2:K$801,$W6)))</f>
        <v/>
      </c>
      <c r="L6" s="14">
        <f>IF($W6="","",IF(INDEX('Per Invoice'!L$2:L$801,$W6)="","",INDEX('Per Invoice'!L$2:L$801,$W6)))</f>
        <v/>
      </c>
      <c r="M6">
        <f>IF($W6="","",IF(INDEX('Per Invoice'!M$2:M$801,$W6)="","",INDEX('Per Invoice'!M$2:M$801,$W6)))</f>
        <v/>
      </c>
      <c r="N6" s="7">
        <f>IF($W6="","",IF(INDEX('Per Invoice'!N$2:N$801,$W6)="","",INDEX('Per Invoice'!N$2:N$801,$W6)))</f>
        <v/>
      </c>
      <c r="O6" s="7">
        <f>IF($W6="","",IF(INDEX('Per Invoice'!O$2:O$801,$W6)="","",INDEX('Per Invoice'!O$2:O$801,$W6)))</f>
        <v/>
      </c>
      <c r="P6">
        <f>IF($W6="","",IF(INDEX('Per Invoice'!P$2:P$801,$W6)="","",INDEX('Per Invoice'!P$2:P$801,$W6)))</f>
        <v/>
      </c>
      <c r="Q6" s="7">
        <f>IF($W6="","",IF(INDEX('Per Invoice'!Q$2:Q$801,$W6)="","",INDEX('Per Invoice'!Q$2:Q$801,$W6)))</f>
        <v/>
      </c>
      <c r="R6" s="7">
        <f>IF($W6="","",IF(INDEX('Per Invoice'!R$2:R$801,$W6)="","",INDEX('Per Invoice'!R$2:R$801,$W6)))</f>
        <v/>
      </c>
      <c r="S6" s="7">
        <f>IF($W6="","",IF(INDEX('Per Invoice'!S$2:S$801,$W6)="","",INDEX('Per Invoice'!S$2:S$801,$W6)))</f>
        <v/>
      </c>
      <c r="T6" s="7">
        <f>IF($W6="","",IF(INDEX('Per Invoice'!T$2:T$801,$W6)="","",INDEX('Per Invoice'!T$2:T$801,$W6)))</f>
        <v/>
      </c>
      <c r="U6" s="7">
        <f>IF($W6="","",IF(INDEX('Per Invoice'!U$2:U$801,$W6)="","",INDEX('Per Invoice'!U$2:U$801,$W6)))</f>
        <v/>
      </c>
      <c r="V6" s="7">
        <f>IF($W6="","",IF(INDEX('Per Invoice'!V$2:V$801,$W6)="","",INDEX('Per Invoice'!V$2:V$801,$W6)))</f>
        <v/>
      </c>
      <c r="W6" s="16">
        <f>IFERROR(MATCH(Settings!$C$27&amp;"|"&amp;ROWS($W$2:$W6),'Per Invoice'!$X$2:$X$801,0),"")</f>
        <v/>
      </c>
    </row>
    <row r="7">
      <c r="A7">
        <f>IF($W7="","",IF(INDEX('Per Invoice'!A$2:A$801,$W7)="","",INDEX('Per Invoice'!A$2:A$801,$W7)))</f>
        <v/>
      </c>
      <c r="B7">
        <f>IF($W7="","",IF(INDEX('Per Invoice'!B$2:B$801,$W7)="","",INDEX('Per Invoice'!B$2:B$801,$W7)))</f>
        <v/>
      </c>
      <c r="C7">
        <f>IF($W7="","",IF(INDEX('Per Invoice'!C$2:C$801,$W7)="","",INDEX('Per Invoice'!C$2:C$801,$W7)))</f>
        <v/>
      </c>
      <c r="D7">
        <f>IF($W7="","",IF(INDEX('Per Invoice'!D$2:D$801,$W7)="","",INDEX('Per Invoice'!D$2:D$801,$W7)))</f>
        <v/>
      </c>
      <c r="E7">
        <f>IF($W7="","",IF(INDEX('Per Invoice'!E$2:E$801,$W7)="","",INDEX('Per Invoice'!E$2:E$801,$W7)))</f>
        <v/>
      </c>
      <c r="F7">
        <f>IF($W7="","",IF(INDEX('Per Invoice'!F$2:F$801,$W7)="","",INDEX('Per Invoice'!F$2:F$801,$W7)))</f>
        <v/>
      </c>
      <c r="G7">
        <f>IF($W7="","",IF(INDEX('Per Invoice'!G$2:G$801,$W7)="","",INDEX('Per Invoice'!G$2:G$801,$W7)))</f>
        <v/>
      </c>
      <c r="H7">
        <f>IF($W7="","",IF(INDEX('Per Invoice'!H$2:H$801,$W7)="","",INDEX('Per Invoice'!H$2:H$801,$W7)))</f>
        <v/>
      </c>
      <c r="I7">
        <f>IF($W7="","",IF(INDEX('Per Invoice'!I$2:I$801,$W7)="","",INDEX('Per Invoice'!I$2:I$801,$W7)))</f>
        <v/>
      </c>
      <c r="J7">
        <f>IF($W7="","",IF(INDEX('Per Invoice'!J$2:J$801,$W7)="","",INDEX('Per Invoice'!J$2:J$801,$W7)))</f>
        <v/>
      </c>
      <c r="K7" s="7">
        <f>IF($W7="","",IF(INDEX('Per Invoice'!K$2:K$801,$W7)="","",INDEX('Per Invoice'!K$2:K$801,$W7)))</f>
        <v/>
      </c>
      <c r="L7" s="14">
        <f>IF($W7="","",IF(INDEX('Per Invoice'!L$2:L$801,$W7)="","",INDEX('Per Invoice'!L$2:L$801,$W7)))</f>
        <v/>
      </c>
      <c r="M7">
        <f>IF($W7="","",IF(INDEX('Per Invoice'!M$2:M$801,$W7)="","",INDEX('Per Invoice'!M$2:M$801,$W7)))</f>
        <v/>
      </c>
      <c r="N7" s="7">
        <f>IF($W7="","",IF(INDEX('Per Invoice'!N$2:N$801,$W7)="","",INDEX('Per Invoice'!N$2:N$801,$W7)))</f>
        <v/>
      </c>
      <c r="O7" s="7">
        <f>IF($W7="","",IF(INDEX('Per Invoice'!O$2:O$801,$W7)="","",INDEX('Per Invoice'!O$2:O$801,$W7)))</f>
        <v/>
      </c>
      <c r="P7">
        <f>IF($W7="","",IF(INDEX('Per Invoice'!P$2:P$801,$W7)="","",INDEX('Per Invoice'!P$2:P$801,$W7)))</f>
        <v/>
      </c>
      <c r="Q7" s="7">
        <f>IF($W7="","",IF(INDEX('Per Invoice'!Q$2:Q$801,$W7)="","",INDEX('Per Invoice'!Q$2:Q$801,$W7)))</f>
        <v/>
      </c>
      <c r="R7" s="7">
        <f>IF($W7="","",IF(INDEX('Per Invoice'!R$2:R$801,$W7)="","",INDEX('Per Invoice'!R$2:R$801,$W7)))</f>
        <v/>
      </c>
      <c r="S7" s="7">
        <f>IF($W7="","",IF(INDEX('Per Invoice'!S$2:S$801,$W7)="","",INDEX('Per Invoice'!S$2:S$801,$W7)))</f>
        <v/>
      </c>
      <c r="T7" s="7">
        <f>IF($W7="","",IF(INDEX('Per Invoice'!T$2:T$801,$W7)="","",INDEX('Per Invoice'!T$2:T$801,$W7)))</f>
        <v/>
      </c>
      <c r="U7" s="7">
        <f>IF($W7="","",IF(INDEX('Per Invoice'!U$2:U$801,$W7)="","",INDEX('Per Invoice'!U$2:U$801,$W7)))</f>
        <v/>
      </c>
      <c r="V7" s="7">
        <f>IF($W7="","",IF(INDEX('Per Invoice'!V$2:V$801,$W7)="","",INDEX('Per Invoice'!V$2:V$801,$W7)))</f>
        <v/>
      </c>
      <c r="W7" s="16">
        <f>IFERROR(MATCH(Settings!$C$27&amp;"|"&amp;ROWS($W$2:$W7),'Per Invoice'!$X$2:$X$801,0),"")</f>
        <v/>
      </c>
    </row>
    <row r="8">
      <c r="A8">
        <f>IF($W8="","",IF(INDEX('Per Invoice'!A$2:A$801,$W8)="","",INDEX('Per Invoice'!A$2:A$801,$W8)))</f>
        <v/>
      </c>
      <c r="B8">
        <f>IF($W8="","",IF(INDEX('Per Invoice'!B$2:B$801,$W8)="","",INDEX('Per Invoice'!B$2:B$801,$W8)))</f>
        <v/>
      </c>
      <c r="C8">
        <f>IF($W8="","",IF(INDEX('Per Invoice'!C$2:C$801,$W8)="","",INDEX('Per Invoice'!C$2:C$801,$W8)))</f>
        <v/>
      </c>
      <c r="D8">
        <f>IF($W8="","",IF(INDEX('Per Invoice'!D$2:D$801,$W8)="","",INDEX('Per Invoice'!D$2:D$801,$W8)))</f>
        <v/>
      </c>
      <c r="E8">
        <f>IF($W8="","",IF(INDEX('Per Invoice'!E$2:E$801,$W8)="","",INDEX('Per Invoice'!E$2:E$801,$W8)))</f>
        <v/>
      </c>
      <c r="F8">
        <f>IF($W8="","",IF(INDEX('Per Invoice'!F$2:F$801,$W8)="","",INDEX('Per Invoice'!F$2:F$801,$W8)))</f>
        <v/>
      </c>
      <c r="G8">
        <f>IF($W8="","",IF(INDEX('Per Invoice'!G$2:G$801,$W8)="","",INDEX('Per Invoice'!G$2:G$801,$W8)))</f>
        <v/>
      </c>
      <c r="H8">
        <f>IF($W8="","",IF(INDEX('Per Invoice'!H$2:H$801,$W8)="","",INDEX('Per Invoice'!H$2:H$801,$W8)))</f>
        <v/>
      </c>
      <c r="I8">
        <f>IF($W8="","",IF(INDEX('Per Invoice'!I$2:I$801,$W8)="","",INDEX('Per Invoice'!I$2:I$801,$W8)))</f>
        <v/>
      </c>
      <c r="J8">
        <f>IF($W8="","",IF(INDEX('Per Invoice'!J$2:J$801,$W8)="","",INDEX('Per Invoice'!J$2:J$801,$W8)))</f>
        <v/>
      </c>
      <c r="K8" s="7">
        <f>IF($W8="","",IF(INDEX('Per Invoice'!K$2:K$801,$W8)="","",INDEX('Per Invoice'!K$2:K$801,$W8)))</f>
        <v/>
      </c>
      <c r="L8" s="14">
        <f>IF($W8="","",IF(INDEX('Per Invoice'!L$2:L$801,$W8)="","",INDEX('Per Invoice'!L$2:L$801,$W8)))</f>
        <v/>
      </c>
      <c r="M8">
        <f>IF($W8="","",IF(INDEX('Per Invoice'!M$2:M$801,$W8)="","",INDEX('Per Invoice'!M$2:M$801,$W8)))</f>
        <v/>
      </c>
      <c r="N8" s="7">
        <f>IF($W8="","",IF(INDEX('Per Invoice'!N$2:N$801,$W8)="","",INDEX('Per Invoice'!N$2:N$801,$W8)))</f>
        <v/>
      </c>
      <c r="O8" s="7">
        <f>IF($W8="","",IF(INDEX('Per Invoice'!O$2:O$801,$W8)="","",INDEX('Per Invoice'!O$2:O$801,$W8)))</f>
        <v/>
      </c>
      <c r="P8">
        <f>IF($W8="","",IF(INDEX('Per Invoice'!P$2:P$801,$W8)="","",INDEX('Per Invoice'!P$2:P$801,$W8)))</f>
        <v/>
      </c>
      <c r="Q8" s="7">
        <f>IF($W8="","",IF(INDEX('Per Invoice'!Q$2:Q$801,$W8)="","",INDEX('Per Invoice'!Q$2:Q$801,$W8)))</f>
        <v/>
      </c>
      <c r="R8" s="7">
        <f>IF($W8="","",IF(INDEX('Per Invoice'!R$2:R$801,$W8)="","",INDEX('Per Invoice'!R$2:R$801,$W8)))</f>
        <v/>
      </c>
      <c r="S8" s="7">
        <f>IF($W8="","",IF(INDEX('Per Invoice'!S$2:S$801,$W8)="","",INDEX('Per Invoice'!S$2:S$801,$W8)))</f>
        <v/>
      </c>
      <c r="T8" s="7">
        <f>IF($W8="","",IF(INDEX('Per Invoice'!T$2:T$801,$W8)="","",INDEX('Per Invoice'!T$2:T$801,$W8)))</f>
        <v/>
      </c>
      <c r="U8" s="7">
        <f>IF($W8="","",IF(INDEX('Per Invoice'!U$2:U$801,$W8)="","",INDEX('Per Invoice'!U$2:U$801,$W8)))</f>
        <v/>
      </c>
      <c r="V8" s="7">
        <f>IF($W8="","",IF(INDEX('Per Invoice'!V$2:V$801,$W8)="","",INDEX('Per Invoice'!V$2:V$801,$W8)))</f>
        <v/>
      </c>
      <c r="W8" s="16">
        <f>IFERROR(MATCH(Settings!$C$27&amp;"|"&amp;ROWS($W$2:$W8),'Per Invoice'!$X$2:$X$801,0),"")</f>
        <v/>
      </c>
    </row>
    <row r="9">
      <c r="A9">
        <f>IF($W9="","",IF(INDEX('Per Invoice'!A$2:A$801,$W9)="","",INDEX('Per Invoice'!A$2:A$801,$W9)))</f>
        <v/>
      </c>
      <c r="B9">
        <f>IF($W9="","",IF(INDEX('Per Invoice'!B$2:B$801,$W9)="","",INDEX('Per Invoice'!B$2:B$801,$W9)))</f>
        <v/>
      </c>
      <c r="C9">
        <f>IF($W9="","",IF(INDEX('Per Invoice'!C$2:C$801,$W9)="","",INDEX('Per Invoice'!C$2:C$801,$W9)))</f>
        <v/>
      </c>
      <c r="D9">
        <f>IF($W9="","",IF(INDEX('Per Invoice'!D$2:D$801,$W9)="","",INDEX('Per Invoice'!D$2:D$801,$W9)))</f>
        <v/>
      </c>
      <c r="E9">
        <f>IF($W9="","",IF(INDEX('Per Invoice'!E$2:E$801,$W9)="","",INDEX('Per Invoice'!E$2:E$801,$W9)))</f>
        <v/>
      </c>
      <c r="F9">
        <f>IF($W9="","",IF(INDEX('Per Invoice'!F$2:F$801,$W9)="","",INDEX('Per Invoice'!F$2:F$801,$W9)))</f>
        <v/>
      </c>
      <c r="G9">
        <f>IF($W9="","",IF(INDEX('Per Invoice'!G$2:G$801,$W9)="","",INDEX('Per Invoice'!G$2:G$801,$W9)))</f>
        <v/>
      </c>
      <c r="H9">
        <f>IF($W9="","",IF(INDEX('Per Invoice'!H$2:H$801,$W9)="","",INDEX('Per Invoice'!H$2:H$801,$W9)))</f>
        <v/>
      </c>
      <c r="I9">
        <f>IF($W9="","",IF(INDEX('Per Invoice'!I$2:I$801,$W9)="","",INDEX('Per Invoice'!I$2:I$801,$W9)))</f>
        <v/>
      </c>
      <c r="J9">
        <f>IF($W9="","",IF(INDEX('Per Invoice'!J$2:J$801,$W9)="","",INDEX('Per Invoice'!J$2:J$801,$W9)))</f>
        <v/>
      </c>
      <c r="K9" s="7">
        <f>IF($W9="","",IF(INDEX('Per Invoice'!K$2:K$801,$W9)="","",INDEX('Per Invoice'!K$2:K$801,$W9)))</f>
        <v/>
      </c>
      <c r="L9" s="14">
        <f>IF($W9="","",IF(INDEX('Per Invoice'!L$2:L$801,$W9)="","",INDEX('Per Invoice'!L$2:L$801,$W9)))</f>
        <v/>
      </c>
      <c r="M9">
        <f>IF($W9="","",IF(INDEX('Per Invoice'!M$2:M$801,$W9)="","",INDEX('Per Invoice'!M$2:M$801,$W9)))</f>
        <v/>
      </c>
      <c r="N9" s="7">
        <f>IF($W9="","",IF(INDEX('Per Invoice'!N$2:N$801,$W9)="","",INDEX('Per Invoice'!N$2:N$801,$W9)))</f>
        <v/>
      </c>
      <c r="O9" s="7">
        <f>IF($W9="","",IF(INDEX('Per Invoice'!O$2:O$801,$W9)="","",INDEX('Per Invoice'!O$2:O$801,$W9)))</f>
        <v/>
      </c>
      <c r="P9">
        <f>IF($W9="","",IF(INDEX('Per Invoice'!P$2:P$801,$W9)="","",INDEX('Per Invoice'!P$2:P$801,$W9)))</f>
        <v/>
      </c>
      <c r="Q9" s="7">
        <f>IF($W9="","",IF(INDEX('Per Invoice'!Q$2:Q$801,$W9)="","",INDEX('Per Invoice'!Q$2:Q$801,$W9)))</f>
        <v/>
      </c>
      <c r="R9" s="7">
        <f>IF($W9="","",IF(INDEX('Per Invoice'!R$2:R$801,$W9)="","",INDEX('Per Invoice'!R$2:R$801,$W9)))</f>
        <v/>
      </c>
      <c r="S9" s="7">
        <f>IF($W9="","",IF(INDEX('Per Invoice'!S$2:S$801,$W9)="","",INDEX('Per Invoice'!S$2:S$801,$W9)))</f>
        <v/>
      </c>
      <c r="T9" s="7">
        <f>IF($W9="","",IF(INDEX('Per Invoice'!T$2:T$801,$W9)="","",INDEX('Per Invoice'!T$2:T$801,$W9)))</f>
        <v/>
      </c>
      <c r="U9" s="7">
        <f>IF($W9="","",IF(INDEX('Per Invoice'!U$2:U$801,$W9)="","",INDEX('Per Invoice'!U$2:U$801,$W9)))</f>
        <v/>
      </c>
      <c r="V9" s="7">
        <f>IF($W9="","",IF(INDEX('Per Invoice'!V$2:V$801,$W9)="","",INDEX('Per Invoice'!V$2:V$801,$W9)))</f>
        <v/>
      </c>
      <c r="W9" s="16">
        <f>IFERROR(MATCH(Settings!$C$27&amp;"|"&amp;ROWS($W$2:$W9),'Per Invoice'!$X$2:$X$801,0),"")</f>
        <v/>
      </c>
    </row>
    <row r="10">
      <c r="A10">
        <f>IF($W10="","",IF(INDEX('Per Invoice'!A$2:A$801,$W10)="","",INDEX('Per Invoice'!A$2:A$801,$W10)))</f>
        <v/>
      </c>
      <c r="B10">
        <f>IF($W10="","",IF(INDEX('Per Invoice'!B$2:B$801,$W10)="","",INDEX('Per Invoice'!B$2:B$801,$W10)))</f>
        <v/>
      </c>
      <c r="C10">
        <f>IF($W10="","",IF(INDEX('Per Invoice'!C$2:C$801,$W10)="","",INDEX('Per Invoice'!C$2:C$801,$W10)))</f>
        <v/>
      </c>
      <c r="D10">
        <f>IF($W10="","",IF(INDEX('Per Invoice'!D$2:D$801,$W10)="","",INDEX('Per Invoice'!D$2:D$801,$W10)))</f>
        <v/>
      </c>
      <c r="E10">
        <f>IF($W10="","",IF(INDEX('Per Invoice'!E$2:E$801,$W10)="","",INDEX('Per Invoice'!E$2:E$801,$W10)))</f>
        <v/>
      </c>
      <c r="F10">
        <f>IF($W10="","",IF(INDEX('Per Invoice'!F$2:F$801,$W10)="","",INDEX('Per Invoice'!F$2:F$801,$W10)))</f>
        <v/>
      </c>
      <c r="G10">
        <f>IF($W10="","",IF(INDEX('Per Invoice'!G$2:G$801,$W10)="","",INDEX('Per Invoice'!G$2:G$801,$W10)))</f>
        <v/>
      </c>
      <c r="H10">
        <f>IF($W10="","",IF(INDEX('Per Invoice'!H$2:H$801,$W10)="","",INDEX('Per Invoice'!H$2:H$801,$W10)))</f>
        <v/>
      </c>
      <c r="I10">
        <f>IF($W10="","",IF(INDEX('Per Invoice'!I$2:I$801,$W10)="","",INDEX('Per Invoice'!I$2:I$801,$W10)))</f>
        <v/>
      </c>
      <c r="J10">
        <f>IF($W10="","",IF(INDEX('Per Invoice'!J$2:J$801,$W10)="","",INDEX('Per Invoice'!J$2:J$801,$W10)))</f>
        <v/>
      </c>
      <c r="K10" s="7">
        <f>IF($W10="","",IF(INDEX('Per Invoice'!K$2:K$801,$W10)="","",INDEX('Per Invoice'!K$2:K$801,$W10)))</f>
        <v/>
      </c>
      <c r="L10" s="14">
        <f>IF($W10="","",IF(INDEX('Per Invoice'!L$2:L$801,$W10)="","",INDEX('Per Invoice'!L$2:L$801,$W10)))</f>
        <v/>
      </c>
      <c r="M10">
        <f>IF($W10="","",IF(INDEX('Per Invoice'!M$2:M$801,$W10)="","",INDEX('Per Invoice'!M$2:M$801,$W10)))</f>
        <v/>
      </c>
      <c r="N10" s="7">
        <f>IF($W10="","",IF(INDEX('Per Invoice'!N$2:N$801,$W10)="","",INDEX('Per Invoice'!N$2:N$801,$W10)))</f>
        <v/>
      </c>
      <c r="O10" s="7">
        <f>IF($W10="","",IF(INDEX('Per Invoice'!O$2:O$801,$W10)="","",INDEX('Per Invoice'!O$2:O$801,$W10)))</f>
        <v/>
      </c>
      <c r="P10">
        <f>IF($W10="","",IF(INDEX('Per Invoice'!P$2:P$801,$W10)="","",INDEX('Per Invoice'!P$2:P$801,$W10)))</f>
        <v/>
      </c>
      <c r="Q10" s="7">
        <f>IF($W10="","",IF(INDEX('Per Invoice'!Q$2:Q$801,$W10)="","",INDEX('Per Invoice'!Q$2:Q$801,$W10)))</f>
        <v/>
      </c>
      <c r="R10" s="7">
        <f>IF($W10="","",IF(INDEX('Per Invoice'!R$2:R$801,$W10)="","",INDEX('Per Invoice'!R$2:R$801,$W10)))</f>
        <v/>
      </c>
      <c r="S10" s="7">
        <f>IF($W10="","",IF(INDEX('Per Invoice'!S$2:S$801,$W10)="","",INDEX('Per Invoice'!S$2:S$801,$W10)))</f>
        <v/>
      </c>
      <c r="T10" s="7">
        <f>IF($W10="","",IF(INDEX('Per Invoice'!T$2:T$801,$W10)="","",INDEX('Per Invoice'!T$2:T$801,$W10)))</f>
        <v/>
      </c>
      <c r="U10" s="7">
        <f>IF($W10="","",IF(INDEX('Per Invoice'!U$2:U$801,$W10)="","",INDEX('Per Invoice'!U$2:U$801,$W10)))</f>
        <v/>
      </c>
      <c r="V10" s="7">
        <f>IF($W10="","",IF(INDEX('Per Invoice'!V$2:V$801,$W10)="","",INDEX('Per Invoice'!V$2:V$801,$W10)))</f>
        <v/>
      </c>
      <c r="W10" s="16">
        <f>IFERROR(MATCH(Settings!$C$27&amp;"|"&amp;ROWS($W$2:$W10),'Per Invoice'!$X$2:$X$801,0),"")</f>
        <v/>
      </c>
    </row>
    <row r="11">
      <c r="A11">
        <f>IF($W11="","",IF(INDEX('Per Invoice'!A$2:A$801,$W11)="","",INDEX('Per Invoice'!A$2:A$801,$W11)))</f>
        <v/>
      </c>
      <c r="B11">
        <f>IF($W11="","",IF(INDEX('Per Invoice'!B$2:B$801,$W11)="","",INDEX('Per Invoice'!B$2:B$801,$W11)))</f>
        <v/>
      </c>
      <c r="C11">
        <f>IF($W11="","",IF(INDEX('Per Invoice'!C$2:C$801,$W11)="","",INDEX('Per Invoice'!C$2:C$801,$W11)))</f>
        <v/>
      </c>
      <c r="D11">
        <f>IF($W11="","",IF(INDEX('Per Invoice'!D$2:D$801,$W11)="","",INDEX('Per Invoice'!D$2:D$801,$W11)))</f>
        <v/>
      </c>
      <c r="E11">
        <f>IF($W11="","",IF(INDEX('Per Invoice'!E$2:E$801,$W11)="","",INDEX('Per Invoice'!E$2:E$801,$W11)))</f>
        <v/>
      </c>
      <c r="F11">
        <f>IF($W11="","",IF(INDEX('Per Invoice'!F$2:F$801,$W11)="","",INDEX('Per Invoice'!F$2:F$801,$W11)))</f>
        <v/>
      </c>
      <c r="G11">
        <f>IF($W11="","",IF(INDEX('Per Invoice'!G$2:G$801,$W11)="","",INDEX('Per Invoice'!G$2:G$801,$W11)))</f>
        <v/>
      </c>
      <c r="H11">
        <f>IF($W11="","",IF(INDEX('Per Invoice'!H$2:H$801,$W11)="","",INDEX('Per Invoice'!H$2:H$801,$W11)))</f>
        <v/>
      </c>
      <c r="I11">
        <f>IF($W11="","",IF(INDEX('Per Invoice'!I$2:I$801,$W11)="","",INDEX('Per Invoice'!I$2:I$801,$W11)))</f>
        <v/>
      </c>
      <c r="J11">
        <f>IF($W11="","",IF(INDEX('Per Invoice'!J$2:J$801,$W11)="","",INDEX('Per Invoice'!J$2:J$801,$W11)))</f>
        <v/>
      </c>
      <c r="K11" s="7">
        <f>IF($W11="","",IF(INDEX('Per Invoice'!K$2:K$801,$W11)="","",INDEX('Per Invoice'!K$2:K$801,$W11)))</f>
        <v/>
      </c>
      <c r="L11" s="14">
        <f>IF($W11="","",IF(INDEX('Per Invoice'!L$2:L$801,$W11)="","",INDEX('Per Invoice'!L$2:L$801,$W11)))</f>
        <v/>
      </c>
      <c r="M11">
        <f>IF($W11="","",IF(INDEX('Per Invoice'!M$2:M$801,$W11)="","",INDEX('Per Invoice'!M$2:M$801,$W11)))</f>
        <v/>
      </c>
      <c r="N11" s="7">
        <f>IF($W11="","",IF(INDEX('Per Invoice'!N$2:N$801,$W11)="","",INDEX('Per Invoice'!N$2:N$801,$W11)))</f>
        <v/>
      </c>
      <c r="O11" s="7">
        <f>IF($W11="","",IF(INDEX('Per Invoice'!O$2:O$801,$W11)="","",INDEX('Per Invoice'!O$2:O$801,$W11)))</f>
        <v/>
      </c>
      <c r="P11">
        <f>IF($W11="","",IF(INDEX('Per Invoice'!P$2:P$801,$W11)="","",INDEX('Per Invoice'!P$2:P$801,$W11)))</f>
        <v/>
      </c>
      <c r="Q11" s="7">
        <f>IF($W11="","",IF(INDEX('Per Invoice'!Q$2:Q$801,$W11)="","",INDEX('Per Invoice'!Q$2:Q$801,$W11)))</f>
        <v/>
      </c>
      <c r="R11" s="7">
        <f>IF($W11="","",IF(INDEX('Per Invoice'!R$2:R$801,$W11)="","",INDEX('Per Invoice'!R$2:R$801,$W11)))</f>
        <v/>
      </c>
      <c r="S11" s="7">
        <f>IF($W11="","",IF(INDEX('Per Invoice'!S$2:S$801,$W11)="","",INDEX('Per Invoice'!S$2:S$801,$W11)))</f>
        <v/>
      </c>
      <c r="T11" s="7">
        <f>IF($W11="","",IF(INDEX('Per Invoice'!T$2:T$801,$W11)="","",INDEX('Per Invoice'!T$2:T$801,$W11)))</f>
        <v/>
      </c>
      <c r="U11" s="7">
        <f>IF($W11="","",IF(INDEX('Per Invoice'!U$2:U$801,$W11)="","",INDEX('Per Invoice'!U$2:U$801,$W11)))</f>
        <v/>
      </c>
      <c r="V11" s="7">
        <f>IF($W11="","",IF(INDEX('Per Invoice'!V$2:V$801,$W11)="","",INDEX('Per Invoice'!V$2:V$801,$W11)))</f>
        <v/>
      </c>
      <c r="W11" s="16">
        <f>IFERROR(MATCH(Settings!$C$27&amp;"|"&amp;ROWS($W$2:$W11),'Per Invoice'!$X$2:$X$801,0),"")</f>
        <v/>
      </c>
    </row>
    <row r="12">
      <c r="A12">
        <f>IF($W12="","",IF(INDEX('Per Invoice'!A$2:A$801,$W12)="","",INDEX('Per Invoice'!A$2:A$801,$W12)))</f>
        <v/>
      </c>
      <c r="B12">
        <f>IF($W12="","",IF(INDEX('Per Invoice'!B$2:B$801,$W12)="","",INDEX('Per Invoice'!B$2:B$801,$W12)))</f>
        <v/>
      </c>
      <c r="C12">
        <f>IF($W12="","",IF(INDEX('Per Invoice'!C$2:C$801,$W12)="","",INDEX('Per Invoice'!C$2:C$801,$W12)))</f>
        <v/>
      </c>
      <c r="D12">
        <f>IF($W12="","",IF(INDEX('Per Invoice'!D$2:D$801,$W12)="","",INDEX('Per Invoice'!D$2:D$801,$W12)))</f>
        <v/>
      </c>
      <c r="E12">
        <f>IF($W12="","",IF(INDEX('Per Invoice'!E$2:E$801,$W12)="","",INDEX('Per Invoice'!E$2:E$801,$W12)))</f>
        <v/>
      </c>
      <c r="F12">
        <f>IF($W12="","",IF(INDEX('Per Invoice'!F$2:F$801,$W12)="","",INDEX('Per Invoice'!F$2:F$801,$W12)))</f>
        <v/>
      </c>
      <c r="G12">
        <f>IF($W12="","",IF(INDEX('Per Invoice'!G$2:G$801,$W12)="","",INDEX('Per Invoice'!G$2:G$801,$W12)))</f>
        <v/>
      </c>
      <c r="H12">
        <f>IF($W12="","",IF(INDEX('Per Invoice'!H$2:H$801,$W12)="","",INDEX('Per Invoice'!H$2:H$801,$W12)))</f>
        <v/>
      </c>
      <c r="I12">
        <f>IF($W12="","",IF(INDEX('Per Invoice'!I$2:I$801,$W12)="","",INDEX('Per Invoice'!I$2:I$801,$W12)))</f>
        <v/>
      </c>
      <c r="J12">
        <f>IF($W12="","",IF(INDEX('Per Invoice'!J$2:J$801,$W12)="","",INDEX('Per Invoice'!J$2:J$801,$W12)))</f>
        <v/>
      </c>
      <c r="K12" s="7">
        <f>IF($W12="","",IF(INDEX('Per Invoice'!K$2:K$801,$W12)="","",INDEX('Per Invoice'!K$2:K$801,$W12)))</f>
        <v/>
      </c>
      <c r="L12" s="14">
        <f>IF($W12="","",IF(INDEX('Per Invoice'!L$2:L$801,$W12)="","",INDEX('Per Invoice'!L$2:L$801,$W12)))</f>
        <v/>
      </c>
      <c r="M12">
        <f>IF($W12="","",IF(INDEX('Per Invoice'!M$2:M$801,$W12)="","",INDEX('Per Invoice'!M$2:M$801,$W12)))</f>
        <v/>
      </c>
      <c r="N12" s="7">
        <f>IF($W12="","",IF(INDEX('Per Invoice'!N$2:N$801,$W12)="","",INDEX('Per Invoice'!N$2:N$801,$W12)))</f>
        <v/>
      </c>
      <c r="O12" s="7">
        <f>IF($W12="","",IF(INDEX('Per Invoice'!O$2:O$801,$W12)="","",INDEX('Per Invoice'!O$2:O$801,$W12)))</f>
        <v/>
      </c>
      <c r="P12">
        <f>IF($W12="","",IF(INDEX('Per Invoice'!P$2:P$801,$W12)="","",INDEX('Per Invoice'!P$2:P$801,$W12)))</f>
        <v/>
      </c>
      <c r="Q12" s="7">
        <f>IF($W12="","",IF(INDEX('Per Invoice'!Q$2:Q$801,$W12)="","",INDEX('Per Invoice'!Q$2:Q$801,$W12)))</f>
        <v/>
      </c>
      <c r="R12" s="7">
        <f>IF($W12="","",IF(INDEX('Per Invoice'!R$2:R$801,$W12)="","",INDEX('Per Invoice'!R$2:R$801,$W12)))</f>
        <v/>
      </c>
      <c r="S12" s="7">
        <f>IF($W12="","",IF(INDEX('Per Invoice'!S$2:S$801,$W12)="","",INDEX('Per Invoice'!S$2:S$801,$W12)))</f>
        <v/>
      </c>
      <c r="T12" s="7">
        <f>IF($W12="","",IF(INDEX('Per Invoice'!T$2:T$801,$W12)="","",INDEX('Per Invoice'!T$2:T$801,$W12)))</f>
        <v/>
      </c>
      <c r="U12" s="7">
        <f>IF($W12="","",IF(INDEX('Per Invoice'!U$2:U$801,$W12)="","",INDEX('Per Invoice'!U$2:U$801,$W12)))</f>
        <v/>
      </c>
      <c r="V12" s="7">
        <f>IF($W12="","",IF(INDEX('Per Invoice'!V$2:V$801,$W12)="","",INDEX('Per Invoice'!V$2:V$801,$W12)))</f>
        <v/>
      </c>
      <c r="W12" s="16">
        <f>IFERROR(MATCH(Settings!$C$27&amp;"|"&amp;ROWS($W$2:$W12),'Per Invoice'!$X$2:$X$801,0),"")</f>
        <v/>
      </c>
    </row>
    <row r="13">
      <c r="A13">
        <f>IF($W13="","",IF(INDEX('Per Invoice'!A$2:A$801,$W13)="","",INDEX('Per Invoice'!A$2:A$801,$W13)))</f>
        <v/>
      </c>
      <c r="B13">
        <f>IF($W13="","",IF(INDEX('Per Invoice'!B$2:B$801,$W13)="","",INDEX('Per Invoice'!B$2:B$801,$W13)))</f>
        <v/>
      </c>
      <c r="C13">
        <f>IF($W13="","",IF(INDEX('Per Invoice'!C$2:C$801,$W13)="","",INDEX('Per Invoice'!C$2:C$801,$W13)))</f>
        <v/>
      </c>
      <c r="D13">
        <f>IF($W13="","",IF(INDEX('Per Invoice'!D$2:D$801,$W13)="","",INDEX('Per Invoice'!D$2:D$801,$W13)))</f>
        <v/>
      </c>
      <c r="E13">
        <f>IF($W13="","",IF(INDEX('Per Invoice'!E$2:E$801,$W13)="","",INDEX('Per Invoice'!E$2:E$801,$W13)))</f>
        <v/>
      </c>
      <c r="F13">
        <f>IF($W13="","",IF(INDEX('Per Invoice'!F$2:F$801,$W13)="","",INDEX('Per Invoice'!F$2:F$801,$W13)))</f>
        <v/>
      </c>
      <c r="G13">
        <f>IF($W13="","",IF(INDEX('Per Invoice'!G$2:G$801,$W13)="","",INDEX('Per Invoice'!G$2:G$801,$W13)))</f>
        <v/>
      </c>
      <c r="H13">
        <f>IF($W13="","",IF(INDEX('Per Invoice'!H$2:H$801,$W13)="","",INDEX('Per Invoice'!H$2:H$801,$W13)))</f>
        <v/>
      </c>
      <c r="I13">
        <f>IF($W13="","",IF(INDEX('Per Invoice'!I$2:I$801,$W13)="","",INDEX('Per Invoice'!I$2:I$801,$W13)))</f>
        <v/>
      </c>
      <c r="J13">
        <f>IF($W13="","",IF(INDEX('Per Invoice'!J$2:J$801,$W13)="","",INDEX('Per Invoice'!J$2:J$801,$W13)))</f>
        <v/>
      </c>
      <c r="K13" s="7">
        <f>IF($W13="","",IF(INDEX('Per Invoice'!K$2:K$801,$W13)="","",INDEX('Per Invoice'!K$2:K$801,$W13)))</f>
        <v/>
      </c>
      <c r="L13" s="14">
        <f>IF($W13="","",IF(INDEX('Per Invoice'!L$2:L$801,$W13)="","",INDEX('Per Invoice'!L$2:L$801,$W13)))</f>
        <v/>
      </c>
      <c r="M13">
        <f>IF($W13="","",IF(INDEX('Per Invoice'!M$2:M$801,$W13)="","",INDEX('Per Invoice'!M$2:M$801,$W13)))</f>
        <v/>
      </c>
      <c r="N13" s="7">
        <f>IF($W13="","",IF(INDEX('Per Invoice'!N$2:N$801,$W13)="","",INDEX('Per Invoice'!N$2:N$801,$W13)))</f>
        <v/>
      </c>
      <c r="O13" s="7">
        <f>IF($W13="","",IF(INDEX('Per Invoice'!O$2:O$801,$W13)="","",INDEX('Per Invoice'!O$2:O$801,$W13)))</f>
        <v/>
      </c>
      <c r="P13">
        <f>IF($W13="","",IF(INDEX('Per Invoice'!P$2:P$801,$W13)="","",INDEX('Per Invoice'!P$2:P$801,$W13)))</f>
        <v/>
      </c>
      <c r="Q13" s="7">
        <f>IF($W13="","",IF(INDEX('Per Invoice'!Q$2:Q$801,$W13)="","",INDEX('Per Invoice'!Q$2:Q$801,$W13)))</f>
        <v/>
      </c>
      <c r="R13" s="7">
        <f>IF($W13="","",IF(INDEX('Per Invoice'!R$2:R$801,$W13)="","",INDEX('Per Invoice'!R$2:R$801,$W13)))</f>
        <v/>
      </c>
      <c r="S13" s="7">
        <f>IF($W13="","",IF(INDEX('Per Invoice'!S$2:S$801,$W13)="","",INDEX('Per Invoice'!S$2:S$801,$W13)))</f>
        <v/>
      </c>
      <c r="T13" s="7">
        <f>IF($W13="","",IF(INDEX('Per Invoice'!T$2:T$801,$W13)="","",INDEX('Per Invoice'!T$2:T$801,$W13)))</f>
        <v/>
      </c>
      <c r="U13" s="7">
        <f>IF($W13="","",IF(INDEX('Per Invoice'!U$2:U$801,$W13)="","",INDEX('Per Invoice'!U$2:U$801,$W13)))</f>
        <v/>
      </c>
      <c r="V13" s="7">
        <f>IF($W13="","",IF(INDEX('Per Invoice'!V$2:V$801,$W13)="","",INDEX('Per Invoice'!V$2:V$801,$W13)))</f>
        <v/>
      </c>
      <c r="W13" s="16">
        <f>IFERROR(MATCH(Settings!$C$27&amp;"|"&amp;ROWS($W$2:$W13),'Per Invoice'!$X$2:$X$801,0),"")</f>
        <v/>
      </c>
    </row>
    <row r="14">
      <c r="A14">
        <f>IF($W14="","",IF(INDEX('Per Invoice'!A$2:A$801,$W14)="","",INDEX('Per Invoice'!A$2:A$801,$W14)))</f>
        <v/>
      </c>
      <c r="B14">
        <f>IF($W14="","",IF(INDEX('Per Invoice'!B$2:B$801,$W14)="","",INDEX('Per Invoice'!B$2:B$801,$W14)))</f>
        <v/>
      </c>
      <c r="C14">
        <f>IF($W14="","",IF(INDEX('Per Invoice'!C$2:C$801,$W14)="","",INDEX('Per Invoice'!C$2:C$801,$W14)))</f>
        <v/>
      </c>
      <c r="D14">
        <f>IF($W14="","",IF(INDEX('Per Invoice'!D$2:D$801,$W14)="","",INDEX('Per Invoice'!D$2:D$801,$W14)))</f>
        <v/>
      </c>
      <c r="E14">
        <f>IF($W14="","",IF(INDEX('Per Invoice'!E$2:E$801,$W14)="","",INDEX('Per Invoice'!E$2:E$801,$W14)))</f>
        <v/>
      </c>
      <c r="F14">
        <f>IF($W14="","",IF(INDEX('Per Invoice'!F$2:F$801,$W14)="","",INDEX('Per Invoice'!F$2:F$801,$W14)))</f>
        <v/>
      </c>
      <c r="G14">
        <f>IF($W14="","",IF(INDEX('Per Invoice'!G$2:G$801,$W14)="","",INDEX('Per Invoice'!G$2:G$801,$W14)))</f>
        <v/>
      </c>
      <c r="H14">
        <f>IF($W14="","",IF(INDEX('Per Invoice'!H$2:H$801,$W14)="","",INDEX('Per Invoice'!H$2:H$801,$W14)))</f>
        <v/>
      </c>
      <c r="I14">
        <f>IF($W14="","",IF(INDEX('Per Invoice'!I$2:I$801,$W14)="","",INDEX('Per Invoice'!I$2:I$801,$W14)))</f>
        <v/>
      </c>
      <c r="J14">
        <f>IF($W14="","",IF(INDEX('Per Invoice'!J$2:J$801,$W14)="","",INDEX('Per Invoice'!J$2:J$801,$W14)))</f>
        <v/>
      </c>
      <c r="K14" s="7">
        <f>IF($W14="","",IF(INDEX('Per Invoice'!K$2:K$801,$W14)="","",INDEX('Per Invoice'!K$2:K$801,$W14)))</f>
        <v/>
      </c>
      <c r="L14" s="14">
        <f>IF($W14="","",IF(INDEX('Per Invoice'!L$2:L$801,$W14)="","",INDEX('Per Invoice'!L$2:L$801,$W14)))</f>
        <v/>
      </c>
      <c r="M14">
        <f>IF($W14="","",IF(INDEX('Per Invoice'!M$2:M$801,$W14)="","",INDEX('Per Invoice'!M$2:M$801,$W14)))</f>
        <v/>
      </c>
      <c r="N14" s="7">
        <f>IF($W14="","",IF(INDEX('Per Invoice'!N$2:N$801,$W14)="","",INDEX('Per Invoice'!N$2:N$801,$W14)))</f>
        <v/>
      </c>
      <c r="O14" s="7">
        <f>IF($W14="","",IF(INDEX('Per Invoice'!O$2:O$801,$W14)="","",INDEX('Per Invoice'!O$2:O$801,$W14)))</f>
        <v/>
      </c>
      <c r="P14">
        <f>IF($W14="","",IF(INDEX('Per Invoice'!P$2:P$801,$W14)="","",INDEX('Per Invoice'!P$2:P$801,$W14)))</f>
        <v/>
      </c>
      <c r="Q14" s="7">
        <f>IF($W14="","",IF(INDEX('Per Invoice'!Q$2:Q$801,$W14)="","",INDEX('Per Invoice'!Q$2:Q$801,$W14)))</f>
        <v/>
      </c>
      <c r="R14" s="7">
        <f>IF($W14="","",IF(INDEX('Per Invoice'!R$2:R$801,$W14)="","",INDEX('Per Invoice'!R$2:R$801,$W14)))</f>
        <v/>
      </c>
      <c r="S14" s="7">
        <f>IF($W14="","",IF(INDEX('Per Invoice'!S$2:S$801,$W14)="","",INDEX('Per Invoice'!S$2:S$801,$W14)))</f>
        <v/>
      </c>
      <c r="T14" s="7">
        <f>IF($W14="","",IF(INDEX('Per Invoice'!T$2:T$801,$W14)="","",INDEX('Per Invoice'!T$2:T$801,$W14)))</f>
        <v/>
      </c>
      <c r="U14" s="7">
        <f>IF($W14="","",IF(INDEX('Per Invoice'!U$2:U$801,$W14)="","",INDEX('Per Invoice'!U$2:U$801,$W14)))</f>
        <v/>
      </c>
      <c r="V14" s="7">
        <f>IF($W14="","",IF(INDEX('Per Invoice'!V$2:V$801,$W14)="","",INDEX('Per Invoice'!V$2:V$801,$W14)))</f>
        <v/>
      </c>
      <c r="W14" s="16">
        <f>IFERROR(MATCH(Settings!$C$27&amp;"|"&amp;ROWS($W$2:$W14),'Per Invoice'!$X$2:$X$801,0),"")</f>
        <v/>
      </c>
    </row>
    <row r="15">
      <c r="A15">
        <f>IF($W15="","",IF(INDEX('Per Invoice'!A$2:A$801,$W15)="","",INDEX('Per Invoice'!A$2:A$801,$W15)))</f>
        <v/>
      </c>
      <c r="B15">
        <f>IF($W15="","",IF(INDEX('Per Invoice'!B$2:B$801,$W15)="","",INDEX('Per Invoice'!B$2:B$801,$W15)))</f>
        <v/>
      </c>
      <c r="C15">
        <f>IF($W15="","",IF(INDEX('Per Invoice'!C$2:C$801,$W15)="","",INDEX('Per Invoice'!C$2:C$801,$W15)))</f>
        <v/>
      </c>
      <c r="D15">
        <f>IF($W15="","",IF(INDEX('Per Invoice'!D$2:D$801,$W15)="","",INDEX('Per Invoice'!D$2:D$801,$W15)))</f>
        <v/>
      </c>
      <c r="E15">
        <f>IF($W15="","",IF(INDEX('Per Invoice'!E$2:E$801,$W15)="","",INDEX('Per Invoice'!E$2:E$801,$W15)))</f>
        <v/>
      </c>
      <c r="F15">
        <f>IF($W15="","",IF(INDEX('Per Invoice'!F$2:F$801,$W15)="","",INDEX('Per Invoice'!F$2:F$801,$W15)))</f>
        <v/>
      </c>
      <c r="G15">
        <f>IF($W15="","",IF(INDEX('Per Invoice'!G$2:G$801,$W15)="","",INDEX('Per Invoice'!G$2:G$801,$W15)))</f>
        <v/>
      </c>
      <c r="H15">
        <f>IF($W15="","",IF(INDEX('Per Invoice'!H$2:H$801,$W15)="","",INDEX('Per Invoice'!H$2:H$801,$W15)))</f>
        <v/>
      </c>
      <c r="I15">
        <f>IF($W15="","",IF(INDEX('Per Invoice'!I$2:I$801,$W15)="","",INDEX('Per Invoice'!I$2:I$801,$W15)))</f>
        <v/>
      </c>
      <c r="J15">
        <f>IF($W15="","",IF(INDEX('Per Invoice'!J$2:J$801,$W15)="","",INDEX('Per Invoice'!J$2:J$801,$W15)))</f>
        <v/>
      </c>
      <c r="K15" s="7">
        <f>IF($W15="","",IF(INDEX('Per Invoice'!K$2:K$801,$W15)="","",INDEX('Per Invoice'!K$2:K$801,$W15)))</f>
        <v/>
      </c>
      <c r="L15" s="14">
        <f>IF($W15="","",IF(INDEX('Per Invoice'!L$2:L$801,$W15)="","",INDEX('Per Invoice'!L$2:L$801,$W15)))</f>
        <v/>
      </c>
      <c r="M15">
        <f>IF($W15="","",IF(INDEX('Per Invoice'!M$2:M$801,$W15)="","",INDEX('Per Invoice'!M$2:M$801,$W15)))</f>
        <v/>
      </c>
      <c r="N15" s="7">
        <f>IF($W15="","",IF(INDEX('Per Invoice'!N$2:N$801,$W15)="","",INDEX('Per Invoice'!N$2:N$801,$W15)))</f>
        <v/>
      </c>
      <c r="O15" s="7">
        <f>IF($W15="","",IF(INDEX('Per Invoice'!O$2:O$801,$W15)="","",INDEX('Per Invoice'!O$2:O$801,$W15)))</f>
        <v/>
      </c>
      <c r="P15">
        <f>IF($W15="","",IF(INDEX('Per Invoice'!P$2:P$801,$W15)="","",INDEX('Per Invoice'!P$2:P$801,$W15)))</f>
        <v/>
      </c>
      <c r="Q15" s="7">
        <f>IF($W15="","",IF(INDEX('Per Invoice'!Q$2:Q$801,$W15)="","",INDEX('Per Invoice'!Q$2:Q$801,$W15)))</f>
        <v/>
      </c>
      <c r="R15" s="7">
        <f>IF($W15="","",IF(INDEX('Per Invoice'!R$2:R$801,$W15)="","",INDEX('Per Invoice'!R$2:R$801,$W15)))</f>
        <v/>
      </c>
      <c r="S15" s="7">
        <f>IF($W15="","",IF(INDEX('Per Invoice'!S$2:S$801,$W15)="","",INDEX('Per Invoice'!S$2:S$801,$W15)))</f>
        <v/>
      </c>
      <c r="T15" s="7">
        <f>IF($W15="","",IF(INDEX('Per Invoice'!T$2:T$801,$W15)="","",INDEX('Per Invoice'!T$2:T$801,$W15)))</f>
        <v/>
      </c>
      <c r="U15" s="7">
        <f>IF($W15="","",IF(INDEX('Per Invoice'!U$2:U$801,$W15)="","",INDEX('Per Invoice'!U$2:U$801,$W15)))</f>
        <v/>
      </c>
      <c r="V15" s="7">
        <f>IF($W15="","",IF(INDEX('Per Invoice'!V$2:V$801,$W15)="","",INDEX('Per Invoice'!V$2:V$801,$W15)))</f>
        <v/>
      </c>
      <c r="W15" s="16">
        <f>IFERROR(MATCH(Settings!$C$27&amp;"|"&amp;ROWS($W$2:$W15),'Per Invoice'!$X$2:$X$801,0),"")</f>
        <v/>
      </c>
    </row>
    <row r="16">
      <c r="A16">
        <f>IF($W16="","",IF(INDEX('Per Invoice'!A$2:A$801,$W16)="","",INDEX('Per Invoice'!A$2:A$801,$W16)))</f>
        <v/>
      </c>
      <c r="B16">
        <f>IF($W16="","",IF(INDEX('Per Invoice'!B$2:B$801,$W16)="","",INDEX('Per Invoice'!B$2:B$801,$W16)))</f>
        <v/>
      </c>
      <c r="C16">
        <f>IF($W16="","",IF(INDEX('Per Invoice'!C$2:C$801,$W16)="","",INDEX('Per Invoice'!C$2:C$801,$W16)))</f>
        <v/>
      </c>
      <c r="D16">
        <f>IF($W16="","",IF(INDEX('Per Invoice'!D$2:D$801,$W16)="","",INDEX('Per Invoice'!D$2:D$801,$W16)))</f>
        <v/>
      </c>
      <c r="E16">
        <f>IF($W16="","",IF(INDEX('Per Invoice'!E$2:E$801,$W16)="","",INDEX('Per Invoice'!E$2:E$801,$W16)))</f>
        <v/>
      </c>
      <c r="F16">
        <f>IF($W16="","",IF(INDEX('Per Invoice'!F$2:F$801,$W16)="","",INDEX('Per Invoice'!F$2:F$801,$W16)))</f>
        <v/>
      </c>
      <c r="G16">
        <f>IF($W16="","",IF(INDEX('Per Invoice'!G$2:G$801,$W16)="","",INDEX('Per Invoice'!G$2:G$801,$W16)))</f>
        <v/>
      </c>
      <c r="H16">
        <f>IF($W16="","",IF(INDEX('Per Invoice'!H$2:H$801,$W16)="","",INDEX('Per Invoice'!H$2:H$801,$W16)))</f>
        <v/>
      </c>
      <c r="I16">
        <f>IF($W16="","",IF(INDEX('Per Invoice'!I$2:I$801,$W16)="","",INDEX('Per Invoice'!I$2:I$801,$W16)))</f>
        <v/>
      </c>
      <c r="J16">
        <f>IF($W16="","",IF(INDEX('Per Invoice'!J$2:J$801,$W16)="","",INDEX('Per Invoice'!J$2:J$801,$W16)))</f>
        <v/>
      </c>
      <c r="K16" s="7">
        <f>IF($W16="","",IF(INDEX('Per Invoice'!K$2:K$801,$W16)="","",INDEX('Per Invoice'!K$2:K$801,$W16)))</f>
        <v/>
      </c>
      <c r="L16" s="14">
        <f>IF($W16="","",IF(INDEX('Per Invoice'!L$2:L$801,$W16)="","",INDEX('Per Invoice'!L$2:L$801,$W16)))</f>
        <v/>
      </c>
      <c r="M16">
        <f>IF($W16="","",IF(INDEX('Per Invoice'!M$2:M$801,$W16)="","",INDEX('Per Invoice'!M$2:M$801,$W16)))</f>
        <v/>
      </c>
      <c r="N16" s="7">
        <f>IF($W16="","",IF(INDEX('Per Invoice'!N$2:N$801,$W16)="","",INDEX('Per Invoice'!N$2:N$801,$W16)))</f>
        <v/>
      </c>
      <c r="O16" s="7">
        <f>IF($W16="","",IF(INDEX('Per Invoice'!O$2:O$801,$W16)="","",INDEX('Per Invoice'!O$2:O$801,$W16)))</f>
        <v/>
      </c>
      <c r="P16">
        <f>IF($W16="","",IF(INDEX('Per Invoice'!P$2:P$801,$W16)="","",INDEX('Per Invoice'!P$2:P$801,$W16)))</f>
        <v/>
      </c>
      <c r="Q16" s="7">
        <f>IF($W16="","",IF(INDEX('Per Invoice'!Q$2:Q$801,$W16)="","",INDEX('Per Invoice'!Q$2:Q$801,$W16)))</f>
        <v/>
      </c>
      <c r="R16" s="7">
        <f>IF($W16="","",IF(INDEX('Per Invoice'!R$2:R$801,$W16)="","",INDEX('Per Invoice'!R$2:R$801,$W16)))</f>
        <v/>
      </c>
      <c r="S16" s="7">
        <f>IF($W16="","",IF(INDEX('Per Invoice'!S$2:S$801,$W16)="","",INDEX('Per Invoice'!S$2:S$801,$W16)))</f>
        <v/>
      </c>
      <c r="T16" s="7">
        <f>IF($W16="","",IF(INDEX('Per Invoice'!T$2:T$801,$W16)="","",INDEX('Per Invoice'!T$2:T$801,$W16)))</f>
        <v/>
      </c>
      <c r="U16" s="7">
        <f>IF($W16="","",IF(INDEX('Per Invoice'!U$2:U$801,$W16)="","",INDEX('Per Invoice'!U$2:U$801,$W16)))</f>
        <v/>
      </c>
      <c r="V16" s="7">
        <f>IF($W16="","",IF(INDEX('Per Invoice'!V$2:V$801,$W16)="","",INDEX('Per Invoice'!V$2:V$801,$W16)))</f>
        <v/>
      </c>
      <c r="W16" s="16">
        <f>IFERROR(MATCH(Settings!$C$27&amp;"|"&amp;ROWS($W$2:$W16),'Per Invoice'!$X$2:$X$801,0),"")</f>
        <v/>
      </c>
    </row>
    <row r="17">
      <c r="A17">
        <f>IF($W17="","",IF(INDEX('Per Invoice'!A$2:A$801,$W17)="","",INDEX('Per Invoice'!A$2:A$801,$W17)))</f>
        <v/>
      </c>
      <c r="B17">
        <f>IF($W17="","",IF(INDEX('Per Invoice'!B$2:B$801,$W17)="","",INDEX('Per Invoice'!B$2:B$801,$W17)))</f>
        <v/>
      </c>
      <c r="C17">
        <f>IF($W17="","",IF(INDEX('Per Invoice'!C$2:C$801,$W17)="","",INDEX('Per Invoice'!C$2:C$801,$W17)))</f>
        <v/>
      </c>
      <c r="D17">
        <f>IF($W17="","",IF(INDEX('Per Invoice'!D$2:D$801,$W17)="","",INDEX('Per Invoice'!D$2:D$801,$W17)))</f>
        <v/>
      </c>
      <c r="E17">
        <f>IF($W17="","",IF(INDEX('Per Invoice'!E$2:E$801,$W17)="","",INDEX('Per Invoice'!E$2:E$801,$W17)))</f>
        <v/>
      </c>
      <c r="F17">
        <f>IF($W17="","",IF(INDEX('Per Invoice'!F$2:F$801,$W17)="","",INDEX('Per Invoice'!F$2:F$801,$W17)))</f>
        <v/>
      </c>
      <c r="G17">
        <f>IF($W17="","",IF(INDEX('Per Invoice'!G$2:G$801,$W17)="","",INDEX('Per Invoice'!G$2:G$801,$W17)))</f>
        <v/>
      </c>
      <c r="H17">
        <f>IF($W17="","",IF(INDEX('Per Invoice'!H$2:H$801,$W17)="","",INDEX('Per Invoice'!H$2:H$801,$W17)))</f>
        <v/>
      </c>
      <c r="I17">
        <f>IF($W17="","",IF(INDEX('Per Invoice'!I$2:I$801,$W17)="","",INDEX('Per Invoice'!I$2:I$801,$W17)))</f>
        <v/>
      </c>
      <c r="J17">
        <f>IF($W17="","",IF(INDEX('Per Invoice'!J$2:J$801,$W17)="","",INDEX('Per Invoice'!J$2:J$801,$W17)))</f>
        <v/>
      </c>
      <c r="K17" s="7">
        <f>IF($W17="","",IF(INDEX('Per Invoice'!K$2:K$801,$W17)="","",INDEX('Per Invoice'!K$2:K$801,$W17)))</f>
        <v/>
      </c>
      <c r="L17" s="14">
        <f>IF($W17="","",IF(INDEX('Per Invoice'!L$2:L$801,$W17)="","",INDEX('Per Invoice'!L$2:L$801,$W17)))</f>
        <v/>
      </c>
      <c r="M17">
        <f>IF($W17="","",IF(INDEX('Per Invoice'!M$2:M$801,$W17)="","",INDEX('Per Invoice'!M$2:M$801,$W17)))</f>
        <v/>
      </c>
      <c r="N17" s="7">
        <f>IF($W17="","",IF(INDEX('Per Invoice'!N$2:N$801,$W17)="","",INDEX('Per Invoice'!N$2:N$801,$W17)))</f>
        <v/>
      </c>
      <c r="O17" s="7">
        <f>IF($W17="","",IF(INDEX('Per Invoice'!O$2:O$801,$W17)="","",INDEX('Per Invoice'!O$2:O$801,$W17)))</f>
        <v/>
      </c>
      <c r="P17">
        <f>IF($W17="","",IF(INDEX('Per Invoice'!P$2:P$801,$W17)="","",INDEX('Per Invoice'!P$2:P$801,$W17)))</f>
        <v/>
      </c>
      <c r="Q17" s="7">
        <f>IF($W17="","",IF(INDEX('Per Invoice'!Q$2:Q$801,$W17)="","",INDEX('Per Invoice'!Q$2:Q$801,$W17)))</f>
        <v/>
      </c>
      <c r="R17" s="7">
        <f>IF($W17="","",IF(INDEX('Per Invoice'!R$2:R$801,$W17)="","",INDEX('Per Invoice'!R$2:R$801,$W17)))</f>
        <v/>
      </c>
      <c r="S17" s="7">
        <f>IF($W17="","",IF(INDEX('Per Invoice'!S$2:S$801,$W17)="","",INDEX('Per Invoice'!S$2:S$801,$W17)))</f>
        <v/>
      </c>
      <c r="T17" s="7">
        <f>IF($W17="","",IF(INDEX('Per Invoice'!T$2:T$801,$W17)="","",INDEX('Per Invoice'!T$2:T$801,$W17)))</f>
        <v/>
      </c>
      <c r="U17" s="7">
        <f>IF($W17="","",IF(INDEX('Per Invoice'!U$2:U$801,$W17)="","",INDEX('Per Invoice'!U$2:U$801,$W17)))</f>
        <v/>
      </c>
      <c r="V17" s="7">
        <f>IF($W17="","",IF(INDEX('Per Invoice'!V$2:V$801,$W17)="","",INDEX('Per Invoice'!V$2:V$801,$W17)))</f>
        <v/>
      </c>
      <c r="W17" s="16">
        <f>IFERROR(MATCH(Settings!$C$27&amp;"|"&amp;ROWS($W$2:$W17),'Per Invoice'!$X$2:$X$801,0),"")</f>
        <v/>
      </c>
    </row>
    <row r="18">
      <c r="A18">
        <f>IF($W18="","",IF(INDEX('Per Invoice'!A$2:A$801,$W18)="","",INDEX('Per Invoice'!A$2:A$801,$W18)))</f>
        <v/>
      </c>
      <c r="B18">
        <f>IF($W18="","",IF(INDEX('Per Invoice'!B$2:B$801,$W18)="","",INDEX('Per Invoice'!B$2:B$801,$W18)))</f>
        <v/>
      </c>
      <c r="C18">
        <f>IF($W18="","",IF(INDEX('Per Invoice'!C$2:C$801,$W18)="","",INDEX('Per Invoice'!C$2:C$801,$W18)))</f>
        <v/>
      </c>
      <c r="D18">
        <f>IF($W18="","",IF(INDEX('Per Invoice'!D$2:D$801,$W18)="","",INDEX('Per Invoice'!D$2:D$801,$W18)))</f>
        <v/>
      </c>
      <c r="E18">
        <f>IF($W18="","",IF(INDEX('Per Invoice'!E$2:E$801,$W18)="","",INDEX('Per Invoice'!E$2:E$801,$W18)))</f>
        <v/>
      </c>
      <c r="F18">
        <f>IF($W18="","",IF(INDEX('Per Invoice'!F$2:F$801,$W18)="","",INDEX('Per Invoice'!F$2:F$801,$W18)))</f>
        <v/>
      </c>
      <c r="G18">
        <f>IF($W18="","",IF(INDEX('Per Invoice'!G$2:G$801,$W18)="","",INDEX('Per Invoice'!G$2:G$801,$W18)))</f>
        <v/>
      </c>
      <c r="H18">
        <f>IF($W18="","",IF(INDEX('Per Invoice'!H$2:H$801,$W18)="","",INDEX('Per Invoice'!H$2:H$801,$W18)))</f>
        <v/>
      </c>
      <c r="I18">
        <f>IF($W18="","",IF(INDEX('Per Invoice'!I$2:I$801,$W18)="","",INDEX('Per Invoice'!I$2:I$801,$W18)))</f>
        <v/>
      </c>
      <c r="J18">
        <f>IF($W18="","",IF(INDEX('Per Invoice'!J$2:J$801,$W18)="","",INDEX('Per Invoice'!J$2:J$801,$W18)))</f>
        <v/>
      </c>
      <c r="K18" s="7">
        <f>IF($W18="","",IF(INDEX('Per Invoice'!K$2:K$801,$W18)="","",INDEX('Per Invoice'!K$2:K$801,$W18)))</f>
        <v/>
      </c>
      <c r="L18" s="14">
        <f>IF($W18="","",IF(INDEX('Per Invoice'!L$2:L$801,$W18)="","",INDEX('Per Invoice'!L$2:L$801,$W18)))</f>
        <v/>
      </c>
      <c r="M18">
        <f>IF($W18="","",IF(INDEX('Per Invoice'!M$2:M$801,$W18)="","",INDEX('Per Invoice'!M$2:M$801,$W18)))</f>
        <v/>
      </c>
      <c r="N18" s="7">
        <f>IF($W18="","",IF(INDEX('Per Invoice'!N$2:N$801,$W18)="","",INDEX('Per Invoice'!N$2:N$801,$W18)))</f>
        <v/>
      </c>
      <c r="O18" s="7">
        <f>IF($W18="","",IF(INDEX('Per Invoice'!O$2:O$801,$W18)="","",INDEX('Per Invoice'!O$2:O$801,$W18)))</f>
        <v/>
      </c>
      <c r="P18">
        <f>IF($W18="","",IF(INDEX('Per Invoice'!P$2:P$801,$W18)="","",INDEX('Per Invoice'!P$2:P$801,$W18)))</f>
        <v/>
      </c>
      <c r="Q18" s="7">
        <f>IF($W18="","",IF(INDEX('Per Invoice'!Q$2:Q$801,$W18)="","",INDEX('Per Invoice'!Q$2:Q$801,$W18)))</f>
        <v/>
      </c>
      <c r="R18" s="7">
        <f>IF($W18="","",IF(INDEX('Per Invoice'!R$2:R$801,$W18)="","",INDEX('Per Invoice'!R$2:R$801,$W18)))</f>
        <v/>
      </c>
      <c r="S18" s="7">
        <f>IF($W18="","",IF(INDEX('Per Invoice'!S$2:S$801,$W18)="","",INDEX('Per Invoice'!S$2:S$801,$W18)))</f>
        <v/>
      </c>
      <c r="T18" s="7">
        <f>IF($W18="","",IF(INDEX('Per Invoice'!T$2:T$801,$W18)="","",INDEX('Per Invoice'!T$2:T$801,$W18)))</f>
        <v/>
      </c>
      <c r="U18" s="7">
        <f>IF($W18="","",IF(INDEX('Per Invoice'!U$2:U$801,$W18)="","",INDEX('Per Invoice'!U$2:U$801,$W18)))</f>
        <v/>
      </c>
      <c r="V18" s="7">
        <f>IF($W18="","",IF(INDEX('Per Invoice'!V$2:V$801,$W18)="","",INDEX('Per Invoice'!V$2:V$801,$W18)))</f>
        <v/>
      </c>
      <c r="W18" s="16">
        <f>IFERROR(MATCH(Settings!$C$27&amp;"|"&amp;ROWS($W$2:$W18),'Per Invoice'!$X$2:$X$801,0),"")</f>
        <v/>
      </c>
    </row>
    <row r="19">
      <c r="A19">
        <f>IF($W19="","",IF(INDEX('Per Invoice'!A$2:A$801,$W19)="","",INDEX('Per Invoice'!A$2:A$801,$W19)))</f>
        <v/>
      </c>
      <c r="B19">
        <f>IF($W19="","",IF(INDEX('Per Invoice'!B$2:B$801,$W19)="","",INDEX('Per Invoice'!B$2:B$801,$W19)))</f>
        <v/>
      </c>
      <c r="C19">
        <f>IF($W19="","",IF(INDEX('Per Invoice'!C$2:C$801,$W19)="","",INDEX('Per Invoice'!C$2:C$801,$W19)))</f>
        <v/>
      </c>
      <c r="D19">
        <f>IF($W19="","",IF(INDEX('Per Invoice'!D$2:D$801,$W19)="","",INDEX('Per Invoice'!D$2:D$801,$W19)))</f>
        <v/>
      </c>
      <c r="E19">
        <f>IF($W19="","",IF(INDEX('Per Invoice'!E$2:E$801,$W19)="","",INDEX('Per Invoice'!E$2:E$801,$W19)))</f>
        <v/>
      </c>
      <c r="F19">
        <f>IF($W19="","",IF(INDEX('Per Invoice'!F$2:F$801,$W19)="","",INDEX('Per Invoice'!F$2:F$801,$W19)))</f>
        <v/>
      </c>
      <c r="G19">
        <f>IF($W19="","",IF(INDEX('Per Invoice'!G$2:G$801,$W19)="","",INDEX('Per Invoice'!G$2:G$801,$W19)))</f>
        <v/>
      </c>
      <c r="H19">
        <f>IF($W19="","",IF(INDEX('Per Invoice'!H$2:H$801,$W19)="","",INDEX('Per Invoice'!H$2:H$801,$W19)))</f>
        <v/>
      </c>
      <c r="I19">
        <f>IF($W19="","",IF(INDEX('Per Invoice'!I$2:I$801,$W19)="","",INDEX('Per Invoice'!I$2:I$801,$W19)))</f>
        <v/>
      </c>
      <c r="J19">
        <f>IF($W19="","",IF(INDEX('Per Invoice'!J$2:J$801,$W19)="","",INDEX('Per Invoice'!J$2:J$801,$W19)))</f>
        <v/>
      </c>
      <c r="K19" s="7">
        <f>IF($W19="","",IF(INDEX('Per Invoice'!K$2:K$801,$W19)="","",INDEX('Per Invoice'!K$2:K$801,$W19)))</f>
        <v/>
      </c>
      <c r="L19" s="14">
        <f>IF($W19="","",IF(INDEX('Per Invoice'!L$2:L$801,$W19)="","",INDEX('Per Invoice'!L$2:L$801,$W19)))</f>
        <v/>
      </c>
      <c r="M19">
        <f>IF($W19="","",IF(INDEX('Per Invoice'!M$2:M$801,$W19)="","",INDEX('Per Invoice'!M$2:M$801,$W19)))</f>
        <v/>
      </c>
      <c r="N19" s="7">
        <f>IF($W19="","",IF(INDEX('Per Invoice'!N$2:N$801,$W19)="","",INDEX('Per Invoice'!N$2:N$801,$W19)))</f>
        <v/>
      </c>
      <c r="O19" s="7">
        <f>IF($W19="","",IF(INDEX('Per Invoice'!O$2:O$801,$W19)="","",INDEX('Per Invoice'!O$2:O$801,$W19)))</f>
        <v/>
      </c>
      <c r="P19">
        <f>IF($W19="","",IF(INDEX('Per Invoice'!P$2:P$801,$W19)="","",INDEX('Per Invoice'!P$2:P$801,$W19)))</f>
        <v/>
      </c>
      <c r="Q19" s="7">
        <f>IF($W19="","",IF(INDEX('Per Invoice'!Q$2:Q$801,$W19)="","",INDEX('Per Invoice'!Q$2:Q$801,$W19)))</f>
        <v/>
      </c>
      <c r="R19" s="7">
        <f>IF($W19="","",IF(INDEX('Per Invoice'!R$2:R$801,$W19)="","",INDEX('Per Invoice'!R$2:R$801,$W19)))</f>
        <v/>
      </c>
      <c r="S19" s="7">
        <f>IF($W19="","",IF(INDEX('Per Invoice'!S$2:S$801,$W19)="","",INDEX('Per Invoice'!S$2:S$801,$W19)))</f>
        <v/>
      </c>
      <c r="T19" s="7">
        <f>IF($W19="","",IF(INDEX('Per Invoice'!T$2:T$801,$W19)="","",INDEX('Per Invoice'!T$2:T$801,$W19)))</f>
        <v/>
      </c>
      <c r="U19" s="7">
        <f>IF($W19="","",IF(INDEX('Per Invoice'!U$2:U$801,$W19)="","",INDEX('Per Invoice'!U$2:U$801,$W19)))</f>
        <v/>
      </c>
      <c r="V19" s="7">
        <f>IF($W19="","",IF(INDEX('Per Invoice'!V$2:V$801,$W19)="","",INDEX('Per Invoice'!V$2:V$801,$W19)))</f>
        <v/>
      </c>
      <c r="W19" s="16">
        <f>IFERROR(MATCH(Settings!$C$27&amp;"|"&amp;ROWS($W$2:$W19),'Per Invoice'!$X$2:$X$801,0),"")</f>
        <v/>
      </c>
    </row>
    <row r="20">
      <c r="A20">
        <f>IF($W20="","",IF(INDEX('Per Invoice'!A$2:A$801,$W20)="","",INDEX('Per Invoice'!A$2:A$801,$W20)))</f>
        <v/>
      </c>
      <c r="B20">
        <f>IF($W20="","",IF(INDEX('Per Invoice'!B$2:B$801,$W20)="","",INDEX('Per Invoice'!B$2:B$801,$W20)))</f>
        <v/>
      </c>
      <c r="C20">
        <f>IF($W20="","",IF(INDEX('Per Invoice'!C$2:C$801,$W20)="","",INDEX('Per Invoice'!C$2:C$801,$W20)))</f>
        <v/>
      </c>
      <c r="D20">
        <f>IF($W20="","",IF(INDEX('Per Invoice'!D$2:D$801,$W20)="","",INDEX('Per Invoice'!D$2:D$801,$W20)))</f>
        <v/>
      </c>
      <c r="E20">
        <f>IF($W20="","",IF(INDEX('Per Invoice'!E$2:E$801,$W20)="","",INDEX('Per Invoice'!E$2:E$801,$W20)))</f>
        <v/>
      </c>
      <c r="F20">
        <f>IF($W20="","",IF(INDEX('Per Invoice'!F$2:F$801,$W20)="","",INDEX('Per Invoice'!F$2:F$801,$W20)))</f>
        <v/>
      </c>
      <c r="G20">
        <f>IF($W20="","",IF(INDEX('Per Invoice'!G$2:G$801,$W20)="","",INDEX('Per Invoice'!G$2:G$801,$W20)))</f>
        <v/>
      </c>
      <c r="H20">
        <f>IF($W20="","",IF(INDEX('Per Invoice'!H$2:H$801,$W20)="","",INDEX('Per Invoice'!H$2:H$801,$W20)))</f>
        <v/>
      </c>
      <c r="I20">
        <f>IF($W20="","",IF(INDEX('Per Invoice'!I$2:I$801,$W20)="","",INDEX('Per Invoice'!I$2:I$801,$W20)))</f>
        <v/>
      </c>
      <c r="J20">
        <f>IF($W20="","",IF(INDEX('Per Invoice'!J$2:J$801,$W20)="","",INDEX('Per Invoice'!J$2:J$801,$W20)))</f>
        <v/>
      </c>
      <c r="K20" s="7">
        <f>IF($W20="","",IF(INDEX('Per Invoice'!K$2:K$801,$W20)="","",INDEX('Per Invoice'!K$2:K$801,$W20)))</f>
        <v/>
      </c>
      <c r="L20" s="14">
        <f>IF($W20="","",IF(INDEX('Per Invoice'!L$2:L$801,$W20)="","",INDEX('Per Invoice'!L$2:L$801,$W20)))</f>
        <v/>
      </c>
      <c r="M20">
        <f>IF($W20="","",IF(INDEX('Per Invoice'!M$2:M$801,$W20)="","",INDEX('Per Invoice'!M$2:M$801,$W20)))</f>
        <v/>
      </c>
      <c r="N20" s="7">
        <f>IF($W20="","",IF(INDEX('Per Invoice'!N$2:N$801,$W20)="","",INDEX('Per Invoice'!N$2:N$801,$W20)))</f>
        <v/>
      </c>
      <c r="O20" s="7">
        <f>IF($W20="","",IF(INDEX('Per Invoice'!O$2:O$801,$W20)="","",INDEX('Per Invoice'!O$2:O$801,$W20)))</f>
        <v/>
      </c>
      <c r="P20">
        <f>IF($W20="","",IF(INDEX('Per Invoice'!P$2:P$801,$W20)="","",INDEX('Per Invoice'!P$2:P$801,$W20)))</f>
        <v/>
      </c>
      <c r="Q20" s="7">
        <f>IF($W20="","",IF(INDEX('Per Invoice'!Q$2:Q$801,$W20)="","",INDEX('Per Invoice'!Q$2:Q$801,$W20)))</f>
        <v/>
      </c>
      <c r="R20" s="7">
        <f>IF($W20="","",IF(INDEX('Per Invoice'!R$2:R$801,$W20)="","",INDEX('Per Invoice'!R$2:R$801,$W20)))</f>
        <v/>
      </c>
      <c r="S20" s="7">
        <f>IF($W20="","",IF(INDEX('Per Invoice'!S$2:S$801,$W20)="","",INDEX('Per Invoice'!S$2:S$801,$W20)))</f>
        <v/>
      </c>
      <c r="T20" s="7">
        <f>IF($W20="","",IF(INDEX('Per Invoice'!T$2:T$801,$W20)="","",INDEX('Per Invoice'!T$2:T$801,$W20)))</f>
        <v/>
      </c>
      <c r="U20" s="7">
        <f>IF($W20="","",IF(INDEX('Per Invoice'!U$2:U$801,$W20)="","",INDEX('Per Invoice'!U$2:U$801,$W20)))</f>
        <v/>
      </c>
      <c r="V20" s="7">
        <f>IF($W20="","",IF(INDEX('Per Invoice'!V$2:V$801,$W20)="","",INDEX('Per Invoice'!V$2:V$801,$W20)))</f>
        <v/>
      </c>
      <c r="W20" s="16">
        <f>IFERROR(MATCH(Settings!$C$27&amp;"|"&amp;ROWS($W$2:$W20),'Per Invoice'!$X$2:$X$801,0),"")</f>
        <v/>
      </c>
    </row>
    <row r="21">
      <c r="A21">
        <f>IF($W21="","",IF(INDEX('Per Invoice'!A$2:A$801,$W21)="","",INDEX('Per Invoice'!A$2:A$801,$W21)))</f>
        <v/>
      </c>
      <c r="B21">
        <f>IF($W21="","",IF(INDEX('Per Invoice'!B$2:B$801,$W21)="","",INDEX('Per Invoice'!B$2:B$801,$W21)))</f>
        <v/>
      </c>
      <c r="C21">
        <f>IF($W21="","",IF(INDEX('Per Invoice'!C$2:C$801,$W21)="","",INDEX('Per Invoice'!C$2:C$801,$W21)))</f>
        <v/>
      </c>
      <c r="D21">
        <f>IF($W21="","",IF(INDEX('Per Invoice'!D$2:D$801,$W21)="","",INDEX('Per Invoice'!D$2:D$801,$W21)))</f>
        <v/>
      </c>
      <c r="E21">
        <f>IF($W21="","",IF(INDEX('Per Invoice'!E$2:E$801,$W21)="","",INDEX('Per Invoice'!E$2:E$801,$W21)))</f>
        <v/>
      </c>
      <c r="F21">
        <f>IF($W21="","",IF(INDEX('Per Invoice'!F$2:F$801,$W21)="","",INDEX('Per Invoice'!F$2:F$801,$W21)))</f>
        <v/>
      </c>
      <c r="G21">
        <f>IF($W21="","",IF(INDEX('Per Invoice'!G$2:G$801,$W21)="","",INDEX('Per Invoice'!G$2:G$801,$W21)))</f>
        <v/>
      </c>
      <c r="H21">
        <f>IF($W21="","",IF(INDEX('Per Invoice'!H$2:H$801,$W21)="","",INDEX('Per Invoice'!H$2:H$801,$W21)))</f>
        <v/>
      </c>
      <c r="I21">
        <f>IF($W21="","",IF(INDEX('Per Invoice'!I$2:I$801,$W21)="","",INDEX('Per Invoice'!I$2:I$801,$W21)))</f>
        <v/>
      </c>
      <c r="J21">
        <f>IF($W21="","",IF(INDEX('Per Invoice'!J$2:J$801,$W21)="","",INDEX('Per Invoice'!J$2:J$801,$W21)))</f>
        <v/>
      </c>
      <c r="K21" s="7">
        <f>IF($W21="","",IF(INDEX('Per Invoice'!K$2:K$801,$W21)="","",INDEX('Per Invoice'!K$2:K$801,$W21)))</f>
        <v/>
      </c>
      <c r="L21" s="14">
        <f>IF($W21="","",IF(INDEX('Per Invoice'!L$2:L$801,$W21)="","",INDEX('Per Invoice'!L$2:L$801,$W21)))</f>
        <v/>
      </c>
      <c r="M21">
        <f>IF($W21="","",IF(INDEX('Per Invoice'!M$2:M$801,$W21)="","",INDEX('Per Invoice'!M$2:M$801,$W21)))</f>
        <v/>
      </c>
      <c r="N21" s="7">
        <f>IF($W21="","",IF(INDEX('Per Invoice'!N$2:N$801,$W21)="","",INDEX('Per Invoice'!N$2:N$801,$W21)))</f>
        <v/>
      </c>
      <c r="O21" s="7">
        <f>IF($W21="","",IF(INDEX('Per Invoice'!O$2:O$801,$W21)="","",INDEX('Per Invoice'!O$2:O$801,$W21)))</f>
        <v/>
      </c>
      <c r="P21">
        <f>IF($W21="","",IF(INDEX('Per Invoice'!P$2:P$801,$W21)="","",INDEX('Per Invoice'!P$2:P$801,$W21)))</f>
        <v/>
      </c>
      <c r="Q21" s="7">
        <f>IF($W21="","",IF(INDEX('Per Invoice'!Q$2:Q$801,$W21)="","",INDEX('Per Invoice'!Q$2:Q$801,$W21)))</f>
        <v/>
      </c>
      <c r="R21" s="7">
        <f>IF($W21="","",IF(INDEX('Per Invoice'!R$2:R$801,$W21)="","",INDEX('Per Invoice'!R$2:R$801,$W21)))</f>
        <v/>
      </c>
      <c r="S21" s="7">
        <f>IF($W21="","",IF(INDEX('Per Invoice'!S$2:S$801,$W21)="","",INDEX('Per Invoice'!S$2:S$801,$W21)))</f>
        <v/>
      </c>
      <c r="T21" s="7">
        <f>IF($W21="","",IF(INDEX('Per Invoice'!T$2:T$801,$W21)="","",INDEX('Per Invoice'!T$2:T$801,$W21)))</f>
        <v/>
      </c>
      <c r="U21" s="7">
        <f>IF($W21="","",IF(INDEX('Per Invoice'!U$2:U$801,$W21)="","",INDEX('Per Invoice'!U$2:U$801,$W21)))</f>
        <v/>
      </c>
      <c r="V21" s="7">
        <f>IF($W21="","",IF(INDEX('Per Invoice'!V$2:V$801,$W21)="","",INDEX('Per Invoice'!V$2:V$801,$W21)))</f>
        <v/>
      </c>
      <c r="W21" s="16">
        <f>IFERROR(MATCH(Settings!$C$27&amp;"|"&amp;ROWS($W$2:$W21),'Per Invoice'!$X$2:$X$801,0),"")</f>
        <v/>
      </c>
    </row>
    <row r="22">
      <c r="A22">
        <f>IF($W22="","",IF(INDEX('Per Invoice'!A$2:A$801,$W22)="","",INDEX('Per Invoice'!A$2:A$801,$W22)))</f>
        <v/>
      </c>
      <c r="B22">
        <f>IF($W22="","",IF(INDEX('Per Invoice'!B$2:B$801,$W22)="","",INDEX('Per Invoice'!B$2:B$801,$W22)))</f>
        <v/>
      </c>
      <c r="C22">
        <f>IF($W22="","",IF(INDEX('Per Invoice'!C$2:C$801,$W22)="","",INDEX('Per Invoice'!C$2:C$801,$W22)))</f>
        <v/>
      </c>
      <c r="D22">
        <f>IF($W22="","",IF(INDEX('Per Invoice'!D$2:D$801,$W22)="","",INDEX('Per Invoice'!D$2:D$801,$W22)))</f>
        <v/>
      </c>
      <c r="E22">
        <f>IF($W22="","",IF(INDEX('Per Invoice'!E$2:E$801,$W22)="","",INDEX('Per Invoice'!E$2:E$801,$W22)))</f>
        <v/>
      </c>
      <c r="F22">
        <f>IF($W22="","",IF(INDEX('Per Invoice'!F$2:F$801,$W22)="","",INDEX('Per Invoice'!F$2:F$801,$W22)))</f>
        <v/>
      </c>
      <c r="G22">
        <f>IF($W22="","",IF(INDEX('Per Invoice'!G$2:G$801,$W22)="","",INDEX('Per Invoice'!G$2:G$801,$W22)))</f>
        <v/>
      </c>
      <c r="H22">
        <f>IF($W22="","",IF(INDEX('Per Invoice'!H$2:H$801,$W22)="","",INDEX('Per Invoice'!H$2:H$801,$W22)))</f>
        <v/>
      </c>
      <c r="I22">
        <f>IF($W22="","",IF(INDEX('Per Invoice'!I$2:I$801,$W22)="","",INDEX('Per Invoice'!I$2:I$801,$W22)))</f>
        <v/>
      </c>
      <c r="J22">
        <f>IF($W22="","",IF(INDEX('Per Invoice'!J$2:J$801,$W22)="","",INDEX('Per Invoice'!J$2:J$801,$W22)))</f>
        <v/>
      </c>
      <c r="K22" s="7">
        <f>IF($W22="","",IF(INDEX('Per Invoice'!K$2:K$801,$W22)="","",INDEX('Per Invoice'!K$2:K$801,$W22)))</f>
        <v/>
      </c>
      <c r="L22" s="14">
        <f>IF($W22="","",IF(INDEX('Per Invoice'!L$2:L$801,$W22)="","",INDEX('Per Invoice'!L$2:L$801,$W22)))</f>
        <v/>
      </c>
      <c r="M22">
        <f>IF($W22="","",IF(INDEX('Per Invoice'!M$2:M$801,$W22)="","",INDEX('Per Invoice'!M$2:M$801,$W22)))</f>
        <v/>
      </c>
      <c r="N22" s="7">
        <f>IF($W22="","",IF(INDEX('Per Invoice'!N$2:N$801,$W22)="","",INDEX('Per Invoice'!N$2:N$801,$W22)))</f>
        <v/>
      </c>
      <c r="O22" s="7">
        <f>IF($W22="","",IF(INDEX('Per Invoice'!O$2:O$801,$W22)="","",INDEX('Per Invoice'!O$2:O$801,$W22)))</f>
        <v/>
      </c>
      <c r="P22">
        <f>IF($W22="","",IF(INDEX('Per Invoice'!P$2:P$801,$W22)="","",INDEX('Per Invoice'!P$2:P$801,$W22)))</f>
        <v/>
      </c>
      <c r="Q22" s="7">
        <f>IF($W22="","",IF(INDEX('Per Invoice'!Q$2:Q$801,$W22)="","",INDEX('Per Invoice'!Q$2:Q$801,$W22)))</f>
        <v/>
      </c>
      <c r="R22" s="7">
        <f>IF($W22="","",IF(INDEX('Per Invoice'!R$2:R$801,$W22)="","",INDEX('Per Invoice'!R$2:R$801,$W22)))</f>
        <v/>
      </c>
      <c r="S22" s="7">
        <f>IF($W22="","",IF(INDEX('Per Invoice'!S$2:S$801,$W22)="","",INDEX('Per Invoice'!S$2:S$801,$W22)))</f>
        <v/>
      </c>
      <c r="T22" s="7">
        <f>IF($W22="","",IF(INDEX('Per Invoice'!T$2:T$801,$W22)="","",INDEX('Per Invoice'!T$2:T$801,$W22)))</f>
        <v/>
      </c>
      <c r="U22" s="7">
        <f>IF($W22="","",IF(INDEX('Per Invoice'!U$2:U$801,$W22)="","",INDEX('Per Invoice'!U$2:U$801,$W22)))</f>
        <v/>
      </c>
      <c r="V22" s="7">
        <f>IF($W22="","",IF(INDEX('Per Invoice'!V$2:V$801,$W22)="","",INDEX('Per Invoice'!V$2:V$801,$W22)))</f>
        <v/>
      </c>
      <c r="W22" s="16">
        <f>IFERROR(MATCH(Settings!$C$27&amp;"|"&amp;ROWS($W$2:$W22),'Per Invoice'!$X$2:$X$801,0),"")</f>
        <v/>
      </c>
    </row>
    <row r="23">
      <c r="A23">
        <f>IF($W23="","",IF(INDEX('Per Invoice'!A$2:A$801,$W23)="","",INDEX('Per Invoice'!A$2:A$801,$W23)))</f>
        <v/>
      </c>
      <c r="B23">
        <f>IF($W23="","",IF(INDEX('Per Invoice'!B$2:B$801,$W23)="","",INDEX('Per Invoice'!B$2:B$801,$W23)))</f>
        <v/>
      </c>
      <c r="C23">
        <f>IF($W23="","",IF(INDEX('Per Invoice'!C$2:C$801,$W23)="","",INDEX('Per Invoice'!C$2:C$801,$W23)))</f>
        <v/>
      </c>
      <c r="D23">
        <f>IF($W23="","",IF(INDEX('Per Invoice'!D$2:D$801,$W23)="","",INDEX('Per Invoice'!D$2:D$801,$W23)))</f>
        <v/>
      </c>
      <c r="E23">
        <f>IF($W23="","",IF(INDEX('Per Invoice'!E$2:E$801,$W23)="","",INDEX('Per Invoice'!E$2:E$801,$W23)))</f>
        <v/>
      </c>
      <c r="F23">
        <f>IF($W23="","",IF(INDEX('Per Invoice'!F$2:F$801,$W23)="","",INDEX('Per Invoice'!F$2:F$801,$W23)))</f>
        <v/>
      </c>
      <c r="G23">
        <f>IF($W23="","",IF(INDEX('Per Invoice'!G$2:G$801,$W23)="","",INDEX('Per Invoice'!G$2:G$801,$W23)))</f>
        <v/>
      </c>
      <c r="H23">
        <f>IF($W23="","",IF(INDEX('Per Invoice'!H$2:H$801,$W23)="","",INDEX('Per Invoice'!H$2:H$801,$W23)))</f>
        <v/>
      </c>
      <c r="I23">
        <f>IF($W23="","",IF(INDEX('Per Invoice'!I$2:I$801,$W23)="","",INDEX('Per Invoice'!I$2:I$801,$W23)))</f>
        <v/>
      </c>
      <c r="J23">
        <f>IF($W23="","",IF(INDEX('Per Invoice'!J$2:J$801,$W23)="","",INDEX('Per Invoice'!J$2:J$801,$W23)))</f>
        <v/>
      </c>
      <c r="K23" s="7">
        <f>IF($W23="","",IF(INDEX('Per Invoice'!K$2:K$801,$W23)="","",INDEX('Per Invoice'!K$2:K$801,$W23)))</f>
        <v/>
      </c>
      <c r="L23" s="14">
        <f>IF($W23="","",IF(INDEX('Per Invoice'!L$2:L$801,$W23)="","",INDEX('Per Invoice'!L$2:L$801,$W23)))</f>
        <v/>
      </c>
      <c r="M23">
        <f>IF($W23="","",IF(INDEX('Per Invoice'!M$2:M$801,$W23)="","",INDEX('Per Invoice'!M$2:M$801,$W23)))</f>
        <v/>
      </c>
      <c r="N23" s="7">
        <f>IF($W23="","",IF(INDEX('Per Invoice'!N$2:N$801,$W23)="","",INDEX('Per Invoice'!N$2:N$801,$W23)))</f>
        <v/>
      </c>
      <c r="O23" s="7">
        <f>IF($W23="","",IF(INDEX('Per Invoice'!O$2:O$801,$W23)="","",INDEX('Per Invoice'!O$2:O$801,$W23)))</f>
        <v/>
      </c>
      <c r="P23">
        <f>IF($W23="","",IF(INDEX('Per Invoice'!P$2:P$801,$W23)="","",INDEX('Per Invoice'!P$2:P$801,$W23)))</f>
        <v/>
      </c>
      <c r="Q23" s="7">
        <f>IF($W23="","",IF(INDEX('Per Invoice'!Q$2:Q$801,$W23)="","",INDEX('Per Invoice'!Q$2:Q$801,$W23)))</f>
        <v/>
      </c>
      <c r="R23" s="7">
        <f>IF($W23="","",IF(INDEX('Per Invoice'!R$2:R$801,$W23)="","",INDEX('Per Invoice'!R$2:R$801,$W23)))</f>
        <v/>
      </c>
      <c r="S23" s="7">
        <f>IF($W23="","",IF(INDEX('Per Invoice'!S$2:S$801,$W23)="","",INDEX('Per Invoice'!S$2:S$801,$W23)))</f>
        <v/>
      </c>
      <c r="T23" s="7">
        <f>IF($W23="","",IF(INDEX('Per Invoice'!T$2:T$801,$W23)="","",INDEX('Per Invoice'!T$2:T$801,$W23)))</f>
        <v/>
      </c>
      <c r="U23" s="7">
        <f>IF($W23="","",IF(INDEX('Per Invoice'!U$2:U$801,$W23)="","",INDEX('Per Invoice'!U$2:U$801,$W23)))</f>
        <v/>
      </c>
      <c r="V23" s="7">
        <f>IF($W23="","",IF(INDEX('Per Invoice'!V$2:V$801,$W23)="","",INDEX('Per Invoice'!V$2:V$801,$W23)))</f>
        <v/>
      </c>
      <c r="W23" s="16">
        <f>IFERROR(MATCH(Settings!$C$27&amp;"|"&amp;ROWS($W$2:$W23),'Per Invoice'!$X$2:$X$801,0),"")</f>
        <v/>
      </c>
    </row>
    <row r="24">
      <c r="A24">
        <f>IF($W24="","",IF(INDEX('Per Invoice'!A$2:A$801,$W24)="","",INDEX('Per Invoice'!A$2:A$801,$W24)))</f>
        <v/>
      </c>
      <c r="B24">
        <f>IF($W24="","",IF(INDEX('Per Invoice'!B$2:B$801,$W24)="","",INDEX('Per Invoice'!B$2:B$801,$W24)))</f>
        <v/>
      </c>
      <c r="C24">
        <f>IF($W24="","",IF(INDEX('Per Invoice'!C$2:C$801,$W24)="","",INDEX('Per Invoice'!C$2:C$801,$W24)))</f>
        <v/>
      </c>
      <c r="D24">
        <f>IF($W24="","",IF(INDEX('Per Invoice'!D$2:D$801,$W24)="","",INDEX('Per Invoice'!D$2:D$801,$W24)))</f>
        <v/>
      </c>
      <c r="E24">
        <f>IF($W24="","",IF(INDEX('Per Invoice'!E$2:E$801,$W24)="","",INDEX('Per Invoice'!E$2:E$801,$W24)))</f>
        <v/>
      </c>
      <c r="F24">
        <f>IF($W24="","",IF(INDEX('Per Invoice'!F$2:F$801,$W24)="","",INDEX('Per Invoice'!F$2:F$801,$W24)))</f>
        <v/>
      </c>
      <c r="G24">
        <f>IF($W24="","",IF(INDEX('Per Invoice'!G$2:G$801,$W24)="","",INDEX('Per Invoice'!G$2:G$801,$W24)))</f>
        <v/>
      </c>
      <c r="H24">
        <f>IF($W24="","",IF(INDEX('Per Invoice'!H$2:H$801,$W24)="","",INDEX('Per Invoice'!H$2:H$801,$W24)))</f>
        <v/>
      </c>
      <c r="I24">
        <f>IF($W24="","",IF(INDEX('Per Invoice'!I$2:I$801,$W24)="","",INDEX('Per Invoice'!I$2:I$801,$W24)))</f>
        <v/>
      </c>
      <c r="J24">
        <f>IF($W24="","",IF(INDEX('Per Invoice'!J$2:J$801,$W24)="","",INDEX('Per Invoice'!J$2:J$801,$W24)))</f>
        <v/>
      </c>
      <c r="K24" s="7">
        <f>IF($W24="","",IF(INDEX('Per Invoice'!K$2:K$801,$W24)="","",INDEX('Per Invoice'!K$2:K$801,$W24)))</f>
        <v/>
      </c>
      <c r="L24" s="14">
        <f>IF($W24="","",IF(INDEX('Per Invoice'!L$2:L$801,$W24)="","",INDEX('Per Invoice'!L$2:L$801,$W24)))</f>
        <v/>
      </c>
      <c r="M24">
        <f>IF($W24="","",IF(INDEX('Per Invoice'!M$2:M$801,$W24)="","",INDEX('Per Invoice'!M$2:M$801,$W24)))</f>
        <v/>
      </c>
      <c r="N24" s="7">
        <f>IF($W24="","",IF(INDEX('Per Invoice'!N$2:N$801,$W24)="","",INDEX('Per Invoice'!N$2:N$801,$W24)))</f>
        <v/>
      </c>
      <c r="O24" s="7">
        <f>IF($W24="","",IF(INDEX('Per Invoice'!O$2:O$801,$W24)="","",INDEX('Per Invoice'!O$2:O$801,$W24)))</f>
        <v/>
      </c>
      <c r="P24">
        <f>IF($W24="","",IF(INDEX('Per Invoice'!P$2:P$801,$W24)="","",INDEX('Per Invoice'!P$2:P$801,$W24)))</f>
        <v/>
      </c>
      <c r="Q24" s="7">
        <f>IF($W24="","",IF(INDEX('Per Invoice'!Q$2:Q$801,$W24)="","",INDEX('Per Invoice'!Q$2:Q$801,$W24)))</f>
        <v/>
      </c>
      <c r="R24" s="7">
        <f>IF($W24="","",IF(INDEX('Per Invoice'!R$2:R$801,$W24)="","",INDEX('Per Invoice'!R$2:R$801,$W24)))</f>
        <v/>
      </c>
      <c r="S24" s="7">
        <f>IF($W24="","",IF(INDEX('Per Invoice'!S$2:S$801,$W24)="","",INDEX('Per Invoice'!S$2:S$801,$W24)))</f>
        <v/>
      </c>
      <c r="T24" s="7">
        <f>IF($W24="","",IF(INDEX('Per Invoice'!T$2:T$801,$W24)="","",INDEX('Per Invoice'!T$2:T$801,$W24)))</f>
        <v/>
      </c>
      <c r="U24" s="7">
        <f>IF($W24="","",IF(INDEX('Per Invoice'!U$2:U$801,$W24)="","",INDEX('Per Invoice'!U$2:U$801,$W24)))</f>
        <v/>
      </c>
      <c r="V24" s="7">
        <f>IF($W24="","",IF(INDEX('Per Invoice'!V$2:V$801,$W24)="","",INDEX('Per Invoice'!V$2:V$801,$W24)))</f>
        <v/>
      </c>
      <c r="W24" s="16">
        <f>IFERROR(MATCH(Settings!$C$27&amp;"|"&amp;ROWS($W$2:$W24),'Per Invoice'!$X$2:$X$801,0),"")</f>
        <v/>
      </c>
    </row>
    <row r="25">
      <c r="A25">
        <f>IF($W25="","",IF(INDEX('Per Invoice'!A$2:A$801,$W25)="","",INDEX('Per Invoice'!A$2:A$801,$W25)))</f>
        <v/>
      </c>
      <c r="B25">
        <f>IF($W25="","",IF(INDEX('Per Invoice'!B$2:B$801,$W25)="","",INDEX('Per Invoice'!B$2:B$801,$W25)))</f>
        <v/>
      </c>
      <c r="C25">
        <f>IF($W25="","",IF(INDEX('Per Invoice'!C$2:C$801,$W25)="","",INDEX('Per Invoice'!C$2:C$801,$W25)))</f>
        <v/>
      </c>
      <c r="D25">
        <f>IF($W25="","",IF(INDEX('Per Invoice'!D$2:D$801,$W25)="","",INDEX('Per Invoice'!D$2:D$801,$W25)))</f>
        <v/>
      </c>
      <c r="E25">
        <f>IF($W25="","",IF(INDEX('Per Invoice'!E$2:E$801,$W25)="","",INDEX('Per Invoice'!E$2:E$801,$W25)))</f>
        <v/>
      </c>
      <c r="F25">
        <f>IF($W25="","",IF(INDEX('Per Invoice'!F$2:F$801,$W25)="","",INDEX('Per Invoice'!F$2:F$801,$W25)))</f>
        <v/>
      </c>
      <c r="G25">
        <f>IF($W25="","",IF(INDEX('Per Invoice'!G$2:G$801,$W25)="","",INDEX('Per Invoice'!G$2:G$801,$W25)))</f>
        <v/>
      </c>
      <c r="H25">
        <f>IF($W25="","",IF(INDEX('Per Invoice'!H$2:H$801,$W25)="","",INDEX('Per Invoice'!H$2:H$801,$W25)))</f>
        <v/>
      </c>
      <c r="I25">
        <f>IF($W25="","",IF(INDEX('Per Invoice'!I$2:I$801,$W25)="","",INDEX('Per Invoice'!I$2:I$801,$W25)))</f>
        <v/>
      </c>
      <c r="J25">
        <f>IF($W25="","",IF(INDEX('Per Invoice'!J$2:J$801,$W25)="","",INDEX('Per Invoice'!J$2:J$801,$W25)))</f>
        <v/>
      </c>
      <c r="K25" s="7">
        <f>IF($W25="","",IF(INDEX('Per Invoice'!K$2:K$801,$W25)="","",INDEX('Per Invoice'!K$2:K$801,$W25)))</f>
        <v/>
      </c>
      <c r="L25" s="14">
        <f>IF($W25="","",IF(INDEX('Per Invoice'!L$2:L$801,$W25)="","",INDEX('Per Invoice'!L$2:L$801,$W25)))</f>
        <v/>
      </c>
      <c r="M25">
        <f>IF($W25="","",IF(INDEX('Per Invoice'!M$2:M$801,$W25)="","",INDEX('Per Invoice'!M$2:M$801,$W25)))</f>
        <v/>
      </c>
      <c r="N25" s="7">
        <f>IF($W25="","",IF(INDEX('Per Invoice'!N$2:N$801,$W25)="","",INDEX('Per Invoice'!N$2:N$801,$W25)))</f>
        <v/>
      </c>
      <c r="O25" s="7">
        <f>IF($W25="","",IF(INDEX('Per Invoice'!O$2:O$801,$W25)="","",INDEX('Per Invoice'!O$2:O$801,$W25)))</f>
        <v/>
      </c>
      <c r="P25">
        <f>IF($W25="","",IF(INDEX('Per Invoice'!P$2:P$801,$W25)="","",INDEX('Per Invoice'!P$2:P$801,$W25)))</f>
        <v/>
      </c>
      <c r="Q25" s="7">
        <f>IF($W25="","",IF(INDEX('Per Invoice'!Q$2:Q$801,$W25)="","",INDEX('Per Invoice'!Q$2:Q$801,$W25)))</f>
        <v/>
      </c>
      <c r="R25" s="7">
        <f>IF($W25="","",IF(INDEX('Per Invoice'!R$2:R$801,$W25)="","",INDEX('Per Invoice'!R$2:R$801,$W25)))</f>
        <v/>
      </c>
      <c r="S25" s="7">
        <f>IF($W25="","",IF(INDEX('Per Invoice'!S$2:S$801,$W25)="","",INDEX('Per Invoice'!S$2:S$801,$W25)))</f>
        <v/>
      </c>
      <c r="T25" s="7">
        <f>IF($W25="","",IF(INDEX('Per Invoice'!T$2:T$801,$W25)="","",INDEX('Per Invoice'!T$2:T$801,$W25)))</f>
        <v/>
      </c>
      <c r="U25" s="7">
        <f>IF($W25="","",IF(INDEX('Per Invoice'!U$2:U$801,$W25)="","",INDEX('Per Invoice'!U$2:U$801,$W25)))</f>
        <v/>
      </c>
      <c r="V25" s="7">
        <f>IF($W25="","",IF(INDEX('Per Invoice'!V$2:V$801,$W25)="","",INDEX('Per Invoice'!V$2:V$801,$W25)))</f>
        <v/>
      </c>
      <c r="W25" s="16">
        <f>IFERROR(MATCH(Settings!$C$27&amp;"|"&amp;ROWS($W$2:$W25),'Per Invoice'!$X$2:$X$801,0),"")</f>
        <v/>
      </c>
    </row>
    <row r="26">
      <c r="A26">
        <f>IF($W26="","",IF(INDEX('Per Invoice'!A$2:A$801,$W26)="","",INDEX('Per Invoice'!A$2:A$801,$W26)))</f>
        <v/>
      </c>
      <c r="B26">
        <f>IF($W26="","",IF(INDEX('Per Invoice'!B$2:B$801,$W26)="","",INDEX('Per Invoice'!B$2:B$801,$W26)))</f>
        <v/>
      </c>
      <c r="C26">
        <f>IF($W26="","",IF(INDEX('Per Invoice'!C$2:C$801,$W26)="","",INDEX('Per Invoice'!C$2:C$801,$W26)))</f>
        <v/>
      </c>
      <c r="D26">
        <f>IF($W26="","",IF(INDEX('Per Invoice'!D$2:D$801,$W26)="","",INDEX('Per Invoice'!D$2:D$801,$W26)))</f>
        <v/>
      </c>
      <c r="E26">
        <f>IF($W26="","",IF(INDEX('Per Invoice'!E$2:E$801,$W26)="","",INDEX('Per Invoice'!E$2:E$801,$W26)))</f>
        <v/>
      </c>
      <c r="F26">
        <f>IF($W26="","",IF(INDEX('Per Invoice'!F$2:F$801,$W26)="","",INDEX('Per Invoice'!F$2:F$801,$W26)))</f>
        <v/>
      </c>
      <c r="G26">
        <f>IF($W26="","",IF(INDEX('Per Invoice'!G$2:G$801,$W26)="","",INDEX('Per Invoice'!G$2:G$801,$W26)))</f>
        <v/>
      </c>
      <c r="H26">
        <f>IF($W26="","",IF(INDEX('Per Invoice'!H$2:H$801,$W26)="","",INDEX('Per Invoice'!H$2:H$801,$W26)))</f>
        <v/>
      </c>
      <c r="I26">
        <f>IF($W26="","",IF(INDEX('Per Invoice'!I$2:I$801,$W26)="","",INDEX('Per Invoice'!I$2:I$801,$W26)))</f>
        <v/>
      </c>
      <c r="J26">
        <f>IF($W26="","",IF(INDEX('Per Invoice'!J$2:J$801,$W26)="","",INDEX('Per Invoice'!J$2:J$801,$W26)))</f>
        <v/>
      </c>
      <c r="K26" s="7">
        <f>IF($W26="","",IF(INDEX('Per Invoice'!K$2:K$801,$W26)="","",INDEX('Per Invoice'!K$2:K$801,$W26)))</f>
        <v/>
      </c>
      <c r="L26" s="14">
        <f>IF($W26="","",IF(INDEX('Per Invoice'!L$2:L$801,$W26)="","",INDEX('Per Invoice'!L$2:L$801,$W26)))</f>
        <v/>
      </c>
      <c r="M26">
        <f>IF($W26="","",IF(INDEX('Per Invoice'!M$2:M$801,$W26)="","",INDEX('Per Invoice'!M$2:M$801,$W26)))</f>
        <v/>
      </c>
      <c r="N26" s="7">
        <f>IF($W26="","",IF(INDEX('Per Invoice'!N$2:N$801,$W26)="","",INDEX('Per Invoice'!N$2:N$801,$W26)))</f>
        <v/>
      </c>
      <c r="O26" s="7">
        <f>IF($W26="","",IF(INDEX('Per Invoice'!O$2:O$801,$W26)="","",INDEX('Per Invoice'!O$2:O$801,$W26)))</f>
        <v/>
      </c>
      <c r="P26">
        <f>IF($W26="","",IF(INDEX('Per Invoice'!P$2:P$801,$W26)="","",INDEX('Per Invoice'!P$2:P$801,$W26)))</f>
        <v/>
      </c>
      <c r="Q26" s="7">
        <f>IF($W26="","",IF(INDEX('Per Invoice'!Q$2:Q$801,$W26)="","",INDEX('Per Invoice'!Q$2:Q$801,$W26)))</f>
        <v/>
      </c>
      <c r="R26" s="7">
        <f>IF($W26="","",IF(INDEX('Per Invoice'!R$2:R$801,$W26)="","",INDEX('Per Invoice'!R$2:R$801,$W26)))</f>
        <v/>
      </c>
      <c r="S26" s="7">
        <f>IF($W26="","",IF(INDEX('Per Invoice'!S$2:S$801,$W26)="","",INDEX('Per Invoice'!S$2:S$801,$W26)))</f>
        <v/>
      </c>
      <c r="T26" s="7">
        <f>IF($W26="","",IF(INDEX('Per Invoice'!T$2:T$801,$W26)="","",INDEX('Per Invoice'!T$2:T$801,$W26)))</f>
        <v/>
      </c>
      <c r="U26" s="7">
        <f>IF($W26="","",IF(INDEX('Per Invoice'!U$2:U$801,$W26)="","",INDEX('Per Invoice'!U$2:U$801,$W26)))</f>
        <v/>
      </c>
      <c r="V26" s="7">
        <f>IF($W26="","",IF(INDEX('Per Invoice'!V$2:V$801,$W26)="","",INDEX('Per Invoice'!V$2:V$801,$W26)))</f>
        <v/>
      </c>
      <c r="W26" s="16">
        <f>IFERROR(MATCH(Settings!$C$27&amp;"|"&amp;ROWS($W$2:$W26),'Per Invoice'!$X$2:$X$801,0),"")</f>
        <v/>
      </c>
    </row>
    <row r="27">
      <c r="A27">
        <f>IF($W27="","",IF(INDEX('Per Invoice'!A$2:A$801,$W27)="","",INDEX('Per Invoice'!A$2:A$801,$W27)))</f>
        <v/>
      </c>
      <c r="B27">
        <f>IF($W27="","",IF(INDEX('Per Invoice'!B$2:B$801,$W27)="","",INDEX('Per Invoice'!B$2:B$801,$W27)))</f>
        <v/>
      </c>
      <c r="C27">
        <f>IF($W27="","",IF(INDEX('Per Invoice'!C$2:C$801,$W27)="","",INDEX('Per Invoice'!C$2:C$801,$W27)))</f>
        <v/>
      </c>
      <c r="D27">
        <f>IF($W27="","",IF(INDEX('Per Invoice'!D$2:D$801,$W27)="","",INDEX('Per Invoice'!D$2:D$801,$W27)))</f>
        <v/>
      </c>
      <c r="E27">
        <f>IF($W27="","",IF(INDEX('Per Invoice'!E$2:E$801,$W27)="","",INDEX('Per Invoice'!E$2:E$801,$W27)))</f>
        <v/>
      </c>
      <c r="F27">
        <f>IF($W27="","",IF(INDEX('Per Invoice'!F$2:F$801,$W27)="","",INDEX('Per Invoice'!F$2:F$801,$W27)))</f>
        <v/>
      </c>
      <c r="G27">
        <f>IF($W27="","",IF(INDEX('Per Invoice'!G$2:G$801,$W27)="","",INDEX('Per Invoice'!G$2:G$801,$W27)))</f>
        <v/>
      </c>
      <c r="H27">
        <f>IF($W27="","",IF(INDEX('Per Invoice'!H$2:H$801,$W27)="","",INDEX('Per Invoice'!H$2:H$801,$W27)))</f>
        <v/>
      </c>
      <c r="I27">
        <f>IF($W27="","",IF(INDEX('Per Invoice'!I$2:I$801,$W27)="","",INDEX('Per Invoice'!I$2:I$801,$W27)))</f>
        <v/>
      </c>
      <c r="J27">
        <f>IF($W27="","",IF(INDEX('Per Invoice'!J$2:J$801,$W27)="","",INDEX('Per Invoice'!J$2:J$801,$W27)))</f>
        <v/>
      </c>
      <c r="K27" s="7">
        <f>IF($W27="","",IF(INDEX('Per Invoice'!K$2:K$801,$W27)="","",INDEX('Per Invoice'!K$2:K$801,$W27)))</f>
        <v/>
      </c>
      <c r="L27" s="14">
        <f>IF($W27="","",IF(INDEX('Per Invoice'!L$2:L$801,$W27)="","",INDEX('Per Invoice'!L$2:L$801,$W27)))</f>
        <v/>
      </c>
      <c r="M27">
        <f>IF($W27="","",IF(INDEX('Per Invoice'!M$2:M$801,$W27)="","",INDEX('Per Invoice'!M$2:M$801,$W27)))</f>
        <v/>
      </c>
      <c r="N27" s="7">
        <f>IF($W27="","",IF(INDEX('Per Invoice'!N$2:N$801,$W27)="","",INDEX('Per Invoice'!N$2:N$801,$W27)))</f>
        <v/>
      </c>
      <c r="O27" s="7">
        <f>IF($W27="","",IF(INDEX('Per Invoice'!O$2:O$801,$W27)="","",INDEX('Per Invoice'!O$2:O$801,$W27)))</f>
        <v/>
      </c>
      <c r="P27">
        <f>IF($W27="","",IF(INDEX('Per Invoice'!P$2:P$801,$W27)="","",INDEX('Per Invoice'!P$2:P$801,$W27)))</f>
        <v/>
      </c>
      <c r="Q27" s="7">
        <f>IF($W27="","",IF(INDEX('Per Invoice'!Q$2:Q$801,$W27)="","",INDEX('Per Invoice'!Q$2:Q$801,$W27)))</f>
        <v/>
      </c>
      <c r="R27" s="7">
        <f>IF($W27="","",IF(INDEX('Per Invoice'!R$2:R$801,$W27)="","",INDEX('Per Invoice'!R$2:R$801,$W27)))</f>
        <v/>
      </c>
      <c r="S27" s="7">
        <f>IF($W27="","",IF(INDEX('Per Invoice'!S$2:S$801,$W27)="","",INDEX('Per Invoice'!S$2:S$801,$W27)))</f>
        <v/>
      </c>
      <c r="T27" s="7">
        <f>IF($W27="","",IF(INDEX('Per Invoice'!T$2:T$801,$W27)="","",INDEX('Per Invoice'!T$2:T$801,$W27)))</f>
        <v/>
      </c>
      <c r="U27" s="7">
        <f>IF($W27="","",IF(INDEX('Per Invoice'!U$2:U$801,$W27)="","",INDEX('Per Invoice'!U$2:U$801,$W27)))</f>
        <v/>
      </c>
      <c r="V27" s="7">
        <f>IF($W27="","",IF(INDEX('Per Invoice'!V$2:V$801,$W27)="","",INDEX('Per Invoice'!V$2:V$801,$W27)))</f>
        <v/>
      </c>
      <c r="W27" s="16">
        <f>IFERROR(MATCH(Settings!$C$27&amp;"|"&amp;ROWS($W$2:$W27),'Per Invoice'!$X$2:$X$801,0),"")</f>
        <v/>
      </c>
    </row>
    <row r="28">
      <c r="A28">
        <f>IF($W28="","",IF(INDEX('Per Invoice'!A$2:A$801,$W28)="","",INDEX('Per Invoice'!A$2:A$801,$W28)))</f>
        <v/>
      </c>
      <c r="B28">
        <f>IF($W28="","",IF(INDEX('Per Invoice'!B$2:B$801,$W28)="","",INDEX('Per Invoice'!B$2:B$801,$W28)))</f>
        <v/>
      </c>
      <c r="C28">
        <f>IF($W28="","",IF(INDEX('Per Invoice'!C$2:C$801,$W28)="","",INDEX('Per Invoice'!C$2:C$801,$W28)))</f>
        <v/>
      </c>
      <c r="D28">
        <f>IF($W28="","",IF(INDEX('Per Invoice'!D$2:D$801,$W28)="","",INDEX('Per Invoice'!D$2:D$801,$W28)))</f>
        <v/>
      </c>
      <c r="E28">
        <f>IF($W28="","",IF(INDEX('Per Invoice'!E$2:E$801,$W28)="","",INDEX('Per Invoice'!E$2:E$801,$W28)))</f>
        <v/>
      </c>
      <c r="F28">
        <f>IF($W28="","",IF(INDEX('Per Invoice'!F$2:F$801,$W28)="","",INDEX('Per Invoice'!F$2:F$801,$W28)))</f>
        <v/>
      </c>
      <c r="G28">
        <f>IF($W28="","",IF(INDEX('Per Invoice'!G$2:G$801,$W28)="","",INDEX('Per Invoice'!G$2:G$801,$W28)))</f>
        <v/>
      </c>
      <c r="H28">
        <f>IF($W28="","",IF(INDEX('Per Invoice'!H$2:H$801,$W28)="","",INDEX('Per Invoice'!H$2:H$801,$W28)))</f>
        <v/>
      </c>
      <c r="I28">
        <f>IF($W28="","",IF(INDEX('Per Invoice'!I$2:I$801,$W28)="","",INDEX('Per Invoice'!I$2:I$801,$W28)))</f>
        <v/>
      </c>
      <c r="J28">
        <f>IF($W28="","",IF(INDEX('Per Invoice'!J$2:J$801,$W28)="","",INDEX('Per Invoice'!J$2:J$801,$W28)))</f>
        <v/>
      </c>
      <c r="K28" s="7">
        <f>IF($W28="","",IF(INDEX('Per Invoice'!K$2:K$801,$W28)="","",INDEX('Per Invoice'!K$2:K$801,$W28)))</f>
        <v/>
      </c>
      <c r="L28" s="14">
        <f>IF($W28="","",IF(INDEX('Per Invoice'!L$2:L$801,$W28)="","",INDEX('Per Invoice'!L$2:L$801,$W28)))</f>
        <v/>
      </c>
      <c r="M28">
        <f>IF($W28="","",IF(INDEX('Per Invoice'!M$2:M$801,$W28)="","",INDEX('Per Invoice'!M$2:M$801,$W28)))</f>
        <v/>
      </c>
      <c r="N28" s="7">
        <f>IF($W28="","",IF(INDEX('Per Invoice'!N$2:N$801,$W28)="","",INDEX('Per Invoice'!N$2:N$801,$W28)))</f>
        <v/>
      </c>
      <c r="O28" s="7">
        <f>IF($W28="","",IF(INDEX('Per Invoice'!O$2:O$801,$W28)="","",INDEX('Per Invoice'!O$2:O$801,$W28)))</f>
        <v/>
      </c>
      <c r="P28">
        <f>IF($W28="","",IF(INDEX('Per Invoice'!P$2:P$801,$W28)="","",INDEX('Per Invoice'!P$2:P$801,$W28)))</f>
        <v/>
      </c>
      <c r="Q28" s="7">
        <f>IF($W28="","",IF(INDEX('Per Invoice'!Q$2:Q$801,$W28)="","",INDEX('Per Invoice'!Q$2:Q$801,$W28)))</f>
        <v/>
      </c>
      <c r="R28" s="7">
        <f>IF($W28="","",IF(INDEX('Per Invoice'!R$2:R$801,$W28)="","",INDEX('Per Invoice'!R$2:R$801,$W28)))</f>
        <v/>
      </c>
      <c r="S28" s="7">
        <f>IF($W28="","",IF(INDEX('Per Invoice'!S$2:S$801,$W28)="","",INDEX('Per Invoice'!S$2:S$801,$W28)))</f>
        <v/>
      </c>
      <c r="T28" s="7">
        <f>IF($W28="","",IF(INDEX('Per Invoice'!T$2:T$801,$W28)="","",INDEX('Per Invoice'!T$2:T$801,$W28)))</f>
        <v/>
      </c>
      <c r="U28" s="7">
        <f>IF($W28="","",IF(INDEX('Per Invoice'!U$2:U$801,$W28)="","",INDEX('Per Invoice'!U$2:U$801,$W28)))</f>
        <v/>
      </c>
      <c r="V28" s="7">
        <f>IF($W28="","",IF(INDEX('Per Invoice'!V$2:V$801,$W28)="","",INDEX('Per Invoice'!V$2:V$801,$W28)))</f>
        <v/>
      </c>
      <c r="W28" s="16">
        <f>IFERROR(MATCH(Settings!$C$27&amp;"|"&amp;ROWS($W$2:$W28),'Per Invoice'!$X$2:$X$801,0),"")</f>
        <v/>
      </c>
    </row>
    <row r="29">
      <c r="A29">
        <f>IF($W29="","",IF(INDEX('Per Invoice'!A$2:A$801,$W29)="","",INDEX('Per Invoice'!A$2:A$801,$W29)))</f>
        <v/>
      </c>
      <c r="B29">
        <f>IF($W29="","",IF(INDEX('Per Invoice'!B$2:B$801,$W29)="","",INDEX('Per Invoice'!B$2:B$801,$W29)))</f>
        <v/>
      </c>
      <c r="C29">
        <f>IF($W29="","",IF(INDEX('Per Invoice'!C$2:C$801,$W29)="","",INDEX('Per Invoice'!C$2:C$801,$W29)))</f>
        <v/>
      </c>
      <c r="D29">
        <f>IF($W29="","",IF(INDEX('Per Invoice'!D$2:D$801,$W29)="","",INDEX('Per Invoice'!D$2:D$801,$W29)))</f>
        <v/>
      </c>
      <c r="E29">
        <f>IF($W29="","",IF(INDEX('Per Invoice'!E$2:E$801,$W29)="","",INDEX('Per Invoice'!E$2:E$801,$W29)))</f>
        <v/>
      </c>
      <c r="F29">
        <f>IF($W29="","",IF(INDEX('Per Invoice'!F$2:F$801,$W29)="","",INDEX('Per Invoice'!F$2:F$801,$W29)))</f>
        <v/>
      </c>
      <c r="G29">
        <f>IF($W29="","",IF(INDEX('Per Invoice'!G$2:G$801,$W29)="","",INDEX('Per Invoice'!G$2:G$801,$W29)))</f>
        <v/>
      </c>
      <c r="H29">
        <f>IF($W29="","",IF(INDEX('Per Invoice'!H$2:H$801,$W29)="","",INDEX('Per Invoice'!H$2:H$801,$W29)))</f>
        <v/>
      </c>
      <c r="I29">
        <f>IF($W29="","",IF(INDEX('Per Invoice'!I$2:I$801,$W29)="","",INDEX('Per Invoice'!I$2:I$801,$W29)))</f>
        <v/>
      </c>
      <c r="J29">
        <f>IF($W29="","",IF(INDEX('Per Invoice'!J$2:J$801,$W29)="","",INDEX('Per Invoice'!J$2:J$801,$W29)))</f>
        <v/>
      </c>
      <c r="K29" s="7">
        <f>IF($W29="","",IF(INDEX('Per Invoice'!K$2:K$801,$W29)="","",INDEX('Per Invoice'!K$2:K$801,$W29)))</f>
        <v/>
      </c>
      <c r="L29" s="14">
        <f>IF($W29="","",IF(INDEX('Per Invoice'!L$2:L$801,$W29)="","",INDEX('Per Invoice'!L$2:L$801,$W29)))</f>
        <v/>
      </c>
      <c r="M29">
        <f>IF($W29="","",IF(INDEX('Per Invoice'!M$2:M$801,$W29)="","",INDEX('Per Invoice'!M$2:M$801,$W29)))</f>
        <v/>
      </c>
      <c r="N29" s="7">
        <f>IF($W29="","",IF(INDEX('Per Invoice'!N$2:N$801,$W29)="","",INDEX('Per Invoice'!N$2:N$801,$W29)))</f>
        <v/>
      </c>
      <c r="O29" s="7">
        <f>IF($W29="","",IF(INDEX('Per Invoice'!O$2:O$801,$W29)="","",INDEX('Per Invoice'!O$2:O$801,$W29)))</f>
        <v/>
      </c>
      <c r="P29">
        <f>IF($W29="","",IF(INDEX('Per Invoice'!P$2:P$801,$W29)="","",INDEX('Per Invoice'!P$2:P$801,$W29)))</f>
        <v/>
      </c>
      <c r="Q29" s="7">
        <f>IF($W29="","",IF(INDEX('Per Invoice'!Q$2:Q$801,$W29)="","",INDEX('Per Invoice'!Q$2:Q$801,$W29)))</f>
        <v/>
      </c>
      <c r="R29" s="7">
        <f>IF($W29="","",IF(INDEX('Per Invoice'!R$2:R$801,$W29)="","",INDEX('Per Invoice'!R$2:R$801,$W29)))</f>
        <v/>
      </c>
      <c r="S29" s="7">
        <f>IF($W29="","",IF(INDEX('Per Invoice'!S$2:S$801,$W29)="","",INDEX('Per Invoice'!S$2:S$801,$W29)))</f>
        <v/>
      </c>
      <c r="T29" s="7">
        <f>IF($W29="","",IF(INDEX('Per Invoice'!T$2:T$801,$W29)="","",INDEX('Per Invoice'!T$2:T$801,$W29)))</f>
        <v/>
      </c>
      <c r="U29" s="7">
        <f>IF($W29="","",IF(INDEX('Per Invoice'!U$2:U$801,$W29)="","",INDEX('Per Invoice'!U$2:U$801,$W29)))</f>
        <v/>
      </c>
      <c r="V29" s="7">
        <f>IF($W29="","",IF(INDEX('Per Invoice'!V$2:V$801,$W29)="","",INDEX('Per Invoice'!V$2:V$801,$W29)))</f>
        <v/>
      </c>
      <c r="W29" s="16">
        <f>IFERROR(MATCH(Settings!$C$27&amp;"|"&amp;ROWS($W$2:$W29),'Per Invoice'!$X$2:$X$801,0),"")</f>
        <v/>
      </c>
    </row>
    <row r="30">
      <c r="A30">
        <f>IF($W30="","",IF(INDEX('Per Invoice'!A$2:A$801,$W30)="","",INDEX('Per Invoice'!A$2:A$801,$W30)))</f>
        <v/>
      </c>
      <c r="B30">
        <f>IF($W30="","",IF(INDEX('Per Invoice'!B$2:B$801,$W30)="","",INDEX('Per Invoice'!B$2:B$801,$W30)))</f>
        <v/>
      </c>
      <c r="C30">
        <f>IF($W30="","",IF(INDEX('Per Invoice'!C$2:C$801,$W30)="","",INDEX('Per Invoice'!C$2:C$801,$W30)))</f>
        <v/>
      </c>
      <c r="D30">
        <f>IF($W30="","",IF(INDEX('Per Invoice'!D$2:D$801,$W30)="","",INDEX('Per Invoice'!D$2:D$801,$W30)))</f>
        <v/>
      </c>
      <c r="E30">
        <f>IF($W30="","",IF(INDEX('Per Invoice'!E$2:E$801,$W30)="","",INDEX('Per Invoice'!E$2:E$801,$W30)))</f>
        <v/>
      </c>
      <c r="F30">
        <f>IF($W30="","",IF(INDEX('Per Invoice'!F$2:F$801,$W30)="","",INDEX('Per Invoice'!F$2:F$801,$W30)))</f>
        <v/>
      </c>
      <c r="G30">
        <f>IF($W30="","",IF(INDEX('Per Invoice'!G$2:G$801,$W30)="","",INDEX('Per Invoice'!G$2:G$801,$W30)))</f>
        <v/>
      </c>
      <c r="H30">
        <f>IF($W30="","",IF(INDEX('Per Invoice'!H$2:H$801,$W30)="","",INDEX('Per Invoice'!H$2:H$801,$W30)))</f>
        <v/>
      </c>
      <c r="I30">
        <f>IF($W30="","",IF(INDEX('Per Invoice'!I$2:I$801,$W30)="","",INDEX('Per Invoice'!I$2:I$801,$W30)))</f>
        <v/>
      </c>
      <c r="J30">
        <f>IF($W30="","",IF(INDEX('Per Invoice'!J$2:J$801,$W30)="","",INDEX('Per Invoice'!J$2:J$801,$W30)))</f>
        <v/>
      </c>
      <c r="K30" s="7">
        <f>IF($W30="","",IF(INDEX('Per Invoice'!K$2:K$801,$W30)="","",INDEX('Per Invoice'!K$2:K$801,$W30)))</f>
        <v/>
      </c>
      <c r="L30" s="14">
        <f>IF($W30="","",IF(INDEX('Per Invoice'!L$2:L$801,$W30)="","",INDEX('Per Invoice'!L$2:L$801,$W30)))</f>
        <v/>
      </c>
      <c r="M30">
        <f>IF($W30="","",IF(INDEX('Per Invoice'!M$2:M$801,$W30)="","",INDEX('Per Invoice'!M$2:M$801,$W30)))</f>
        <v/>
      </c>
      <c r="N30" s="7">
        <f>IF($W30="","",IF(INDEX('Per Invoice'!N$2:N$801,$W30)="","",INDEX('Per Invoice'!N$2:N$801,$W30)))</f>
        <v/>
      </c>
      <c r="O30" s="7">
        <f>IF($W30="","",IF(INDEX('Per Invoice'!O$2:O$801,$W30)="","",INDEX('Per Invoice'!O$2:O$801,$W30)))</f>
        <v/>
      </c>
      <c r="P30">
        <f>IF($W30="","",IF(INDEX('Per Invoice'!P$2:P$801,$W30)="","",INDEX('Per Invoice'!P$2:P$801,$W30)))</f>
        <v/>
      </c>
      <c r="Q30" s="7">
        <f>IF($W30="","",IF(INDEX('Per Invoice'!Q$2:Q$801,$W30)="","",INDEX('Per Invoice'!Q$2:Q$801,$W30)))</f>
        <v/>
      </c>
      <c r="R30" s="7">
        <f>IF($W30="","",IF(INDEX('Per Invoice'!R$2:R$801,$W30)="","",INDEX('Per Invoice'!R$2:R$801,$W30)))</f>
        <v/>
      </c>
      <c r="S30" s="7">
        <f>IF($W30="","",IF(INDEX('Per Invoice'!S$2:S$801,$W30)="","",INDEX('Per Invoice'!S$2:S$801,$W30)))</f>
        <v/>
      </c>
      <c r="T30" s="7">
        <f>IF($W30="","",IF(INDEX('Per Invoice'!T$2:T$801,$W30)="","",INDEX('Per Invoice'!T$2:T$801,$W30)))</f>
        <v/>
      </c>
      <c r="U30" s="7">
        <f>IF($W30="","",IF(INDEX('Per Invoice'!U$2:U$801,$W30)="","",INDEX('Per Invoice'!U$2:U$801,$W30)))</f>
        <v/>
      </c>
      <c r="V30" s="7">
        <f>IF($W30="","",IF(INDEX('Per Invoice'!V$2:V$801,$W30)="","",INDEX('Per Invoice'!V$2:V$801,$W30)))</f>
        <v/>
      </c>
      <c r="W30" s="16">
        <f>IFERROR(MATCH(Settings!$C$27&amp;"|"&amp;ROWS($W$2:$W30),'Per Invoice'!$X$2:$X$801,0),"")</f>
        <v/>
      </c>
    </row>
    <row r="31">
      <c r="A31">
        <f>IF($W31="","",IF(INDEX('Per Invoice'!A$2:A$801,$W31)="","",INDEX('Per Invoice'!A$2:A$801,$W31)))</f>
        <v/>
      </c>
      <c r="B31">
        <f>IF($W31="","",IF(INDEX('Per Invoice'!B$2:B$801,$W31)="","",INDEX('Per Invoice'!B$2:B$801,$W31)))</f>
        <v/>
      </c>
      <c r="C31">
        <f>IF($W31="","",IF(INDEX('Per Invoice'!C$2:C$801,$W31)="","",INDEX('Per Invoice'!C$2:C$801,$W31)))</f>
        <v/>
      </c>
      <c r="D31">
        <f>IF($W31="","",IF(INDEX('Per Invoice'!D$2:D$801,$W31)="","",INDEX('Per Invoice'!D$2:D$801,$W31)))</f>
        <v/>
      </c>
      <c r="E31">
        <f>IF($W31="","",IF(INDEX('Per Invoice'!E$2:E$801,$W31)="","",INDEX('Per Invoice'!E$2:E$801,$W31)))</f>
        <v/>
      </c>
      <c r="F31">
        <f>IF($W31="","",IF(INDEX('Per Invoice'!F$2:F$801,$W31)="","",INDEX('Per Invoice'!F$2:F$801,$W31)))</f>
        <v/>
      </c>
      <c r="G31">
        <f>IF($W31="","",IF(INDEX('Per Invoice'!G$2:G$801,$W31)="","",INDEX('Per Invoice'!G$2:G$801,$W31)))</f>
        <v/>
      </c>
      <c r="H31">
        <f>IF($W31="","",IF(INDEX('Per Invoice'!H$2:H$801,$W31)="","",INDEX('Per Invoice'!H$2:H$801,$W31)))</f>
        <v/>
      </c>
      <c r="I31">
        <f>IF($W31="","",IF(INDEX('Per Invoice'!I$2:I$801,$W31)="","",INDEX('Per Invoice'!I$2:I$801,$W31)))</f>
        <v/>
      </c>
      <c r="J31">
        <f>IF($W31="","",IF(INDEX('Per Invoice'!J$2:J$801,$W31)="","",INDEX('Per Invoice'!J$2:J$801,$W31)))</f>
        <v/>
      </c>
      <c r="K31" s="7">
        <f>IF($W31="","",IF(INDEX('Per Invoice'!K$2:K$801,$W31)="","",INDEX('Per Invoice'!K$2:K$801,$W31)))</f>
        <v/>
      </c>
      <c r="L31" s="14">
        <f>IF($W31="","",IF(INDEX('Per Invoice'!L$2:L$801,$W31)="","",INDEX('Per Invoice'!L$2:L$801,$W31)))</f>
        <v/>
      </c>
      <c r="M31">
        <f>IF($W31="","",IF(INDEX('Per Invoice'!M$2:M$801,$W31)="","",INDEX('Per Invoice'!M$2:M$801,$W31)))</f>
        <v/>
      </c>
      <c r="N31" s="7">
        <f>IF($W31="","",IF(INDEX('Per Invoice'!N$2:N$801,$W31)="","",INDEX('Per Invoice'!N$2:N$801,$W31)))</f>
        <v/>
      </c>
      <c r="O31" s="7">
        <f>IF($W31="","",IF(INDEX('Per Invoice'!O$2:O$801,$W31)="","",INDEX('Per Invoice'!O$2:O$801,$W31)))</f>
        <v/>
      </c>
      <c r="P31">
        <f>IF($W31="","",IF(INDEX('Per Invoice'!P$2:P$801,$W31)="","",INDEX('Per Invoice'!P$2:P$801,$W31)))</f>
        <v/>
      </c>
      <c r="Q31" s="7">
        <f>IF($W31="","",IF(INDEX('Per Invoice'!Q$2:Q$801,$W31)="","",INDEX('Per Invoice'!Q$2:Q$801,$W31)))</f>
        <v/>
      </c>
      <c r="R31" s="7">
        <f>IF($W31="","",IF(INDEX('Per Invoice'!R$2:R$801,$W31)="","",INDEX('Per Invoice'!R$2:R$801,$W31)))</f>
        <v/>
      </c>
      <c r="S31" s="7">
        <f>IF($W31="","",IF(INDEX('Per Invoice'!S$2:S$801,$W31)="","",INDEX('Per Invoice'!S$2:S$801,$W31)))</f>
        <v/>
      </c>
      <c r="T31" s="7">
        <f>IF($W31="","",IF(INDEX('Per Invoice'!T$2:T$801,$W31)="","",INDEX('Per Invoice'!T$2:T$801,$W31)))</f>
        <v/>
      </c>
      <c r="U31" s="7">
        <f>IF($W31="","",IF(INDEX('Per Invoice'!U$2:U$801,$W31)="","",INDEX('Per Invoice'!U$2:U$801,$W31)))</f>
        <v/>
      </c>
      <c r="V31" s="7">
        <f>IF($W31="","",IF(INDEX('Per Invoice'!V$2:V$801,$W31)="","",INDEX('Per Invoice'!V$2:V$801,$W31)))</f>
        <v/>
      </c>
      <c r="W31" s="16">
        <f>IFERROR(MATCH(Settings!$C$27&amp;"|"&amp;ROWS($W$2:$W31),'Per Invoice'!$X$2:$X$801,0),"")</f>
        <v/>
      </c>
    </row>
    <row r="32">
      <c r="A32">
        <f>IF($W32="","",IF(INDEX('Per Invoice'!A$2:A$801,$W32)="","",INDEX('Per Invoice'!A$2:A$801,$W32)))</f>
        <v/>
      </c>
      <c r="B32">
        <f>IF($W32="","",IF(INDEX('Per Invoice'!B$2:B$801,$W32)="","",INDEX('Per Invoice'!B$2:B$801,$W32)))</f>
        <v/>
      </c>
      <c r="C32">
        <f>IF($W32="","",IF(INDEX('Per Invoice'!C$2:C$801,$W32)="","",INDEX('Per Invoice'!C$2:C$801,$W32)))</f>
        <v/>
      </c>
      <c r="D32">
        <f>IF($W32="","",IF(INDEX('Per Invoice'!D$2:D$801,$W32)="","",INDEX('Per Invoice'!D$2:D$801,$W32)))</f>
        <v/>
      </c>
      <c r="E32">
        <f>IF($W32="","",IF(INDEX('Per Invoice'!E$2:E$801,$W32)="","",INDEX('Per Invoice'!E$2:E$801,$W32)))</f>
        <v/>
      </c>
      <c r="F32">
        <f>IF($W32="","",IF(INDEX('Per Invoice'!F$2:F$801,$W32)="","",INDEX('Per Invoice'!F$2:F$801,$W32)))</f>
        <v/>
      </c>
      <c r="G32">
        <f>IF($W32="","",IF(INDEX('Per Invoice'!G$2:G$801,$W32)="","",INDEX('Per Invoice'!G$2:G$801,$W32)))</f>
        <v/>
      </c>
      <c r="H32">
        <f>IF($W32="","",IF(INDEX('Per Invoice'!H$2:H$801,$W32)="","",INDEX('Per Invoice'!H$2:H$801,$W32)))</f>
        <v/>
      </c>
      <c r="I32">
        <f>IF($W32="","",IF(INDEX('Per Invoice'!I$2:I$801,$W32)="","",INDEX('Per Invoice'!I$2:I$801,$W32)))</f>
        <v/>
      </c>
      <c r="J32">
        <f>IF($W32="","",IF(INDEX('Per Invoice'!J$2:J$801,$W32)="","",INDEX('Per Invoice'!J$2:J$801,$W32)))</f>
        <v/>
      </c>
      <c r="K32" s="7">
        <f>IF($W32="","",IF(INDEX('Per Invoice'!K$2:K$801,$W32)="","",INDEX('Per Invoice'!K$2:K$801,$W32)))</f>
        <v/>
      </c>
      <c r="L32" s="14">
        <f>IF($W32="","",IF(INDEX('Per Invoice'!L$2:L$801,$W32)="","",INDEX('Per Invoice'!L$2:L$801,$W32)))</f>
        <v/>
      </c>
      <c r="M32">
        <f>IF($W32="","",IF(INDEX('Per Invoice'!M$2:M$801,$W32)="","",INDEX('Per Invoice'!M$2:M$801,$W32)))</f>
        <v/>
      </c>
      <c r="N32" s="7">
        <f>IF($W32="","",IF(INDEX('Per Invoice'!N$2:N$801,$W32)="","",INDEX('Per Invoice'!N$2:N$801,$W32)))</f>
        <v/>
      </c>
      <c r="O32" s="7">
        <f>IF($W32="","",IF(INDEX('Per Invoice'!O$2:O$801,$W32)="","",INDEX('Per Invoice'!O$2:O$801,$W32)))</f>
        <v/>
      </c>
      <c r="P32">
        <f>IF($W32="","",IF(INDEX('Per Invoice'!P$2:P$801,$W32)="","",INDEX('Per Invoice'!P$2:P$801,$W32)))</f>
        <v/>
      </c>
      <c r="Q32" s="7">
        <f>IF($W32="","",IF(INDEX('Per Invoice'!Q$2:Q$801,$W32)="","",INDEX('Per Invoice'!Q$2:Q$801,$W32)))</f>
        <v/>
      </c>
      <c r="R32" s="7">
        <f>IF($W32="","",IF(INDEX('Per Invoice'!R$2:R$801,$W32)="","",INDEX('Per Invoice'!R$2:R$801,$W32)))</f>
        <v/>
      </c>
      <c r="S32" s="7">
        <f>IF($W32="","",IF(INDEX('Per Invoice'!S$2:S$801,$W32)="","",INDEX('Per Invoice'!S$2:S$801,$W32)))</f>
        <v/>
      </c>
      <c r="T32" s="7">
        <f>IF($W32="","",IF(INDEX('Per Invoice'!T$2:T$801,$W32)="","",INDEX('Per Invoice'!T$2:T$801,$W32)))</f>
        <v/>
      </c>
      <c r="U32" s="7">
        <f>IF($W32="","",IF(INDEX('Per Invoice'!U$2:U$801,$W32)="","",INDEX('Per Invoice'!U$2:U$801,$W32)))</f>
        <v/>
      </c>
      <c r="V32" s="7">
        <f>IF($W32="","",IF(INDEX('Per Invoice'!V$2:V$801,$W32)="","",INDEX('Per Invoice'!V$2:V$801,$W32)))</f>
        <v/>
      </c>
      <c r="W32" s="16">
        <f>IFERROR(MATCH(Settings!$C$27&amp;"|"&amp;ROWS($W$2:$W32),'Per Invoice'!$X$2:$X$801,0),"")</f>
        <v/>
      </c>
    </row>
    <row r="33">
      <c r="A33">
        <f>IF($W33="","",IF(INDEX('Per Invoice'!A$2:A$801,$W33)="","",INDEX('Per Invoice'!A$2:A$801,$W33)))</f>
        <v/>
      </c>
      <c r="B33">
        <f>IF($W33="","",IF(INDEX('Per Invoice'!B$2:B$801,$W33)="","",INDEX('Per Invoice'!B$2:B$801,$W33)))</f>
        <v/>
      </c>
      <c r="C33">
        <f>IF($W33="","",IF(INDEX('Per Invoice'!C$2:C$801,$W33)="","",INDEX('Per Invoice'!C$2:C$801,$W33)))</f>
        <v/>
      </c>
      <c r="D33">
        <f>IF($W33="","",IF(INDEX('Per Invoice'!D$2:D$801,$W33)="","",INDEX('Per Invoice'!D$2:D$801,$W33)))</f>
        <v/>
      </c>
      <c r="E33">
        <f>IF($W33="","",IF(INDEX('Per Invoice'!E$2:E$801,$W33)="","",INDEX('Per Invoice'!E$2:E$801,$W33)))</f>
        <v/>
      </c>
      <c r="F33">
        <f>IF($W33="","",IF(INDEX('Per Invoice'!F$2:F$801,$W33)="","",INDEX('Per Invoice'!F$2:F$801,$W33)))</f>
        <v/>
      </c>
      <c r="G33">
        <f>IF($W33="","",IF(INDEX('Per Invoice'!G$2:G$801,$W33)="","",INDEX('Per Invoice'!G$2:G$801,$W33)))</f>
        <v/>
      </c>
      <c r="H33">
        <f>IF($W33="","",IF(INDEX('Per Invoice'!H$2:H$801,$W33)="","",INDEX('Per Invoice'!H$2:H$801,$W33)))</f>
        <v/>
      </c>
      <c r="I33">
        <f>IF($W33="","",IF(INDEX('Per Invoice'!I$2:I$801,$W33)="","",INDEX('Per Invoice'!I$2:I$801,$W33)))</f>
        <v/>
      </c>
      <c r="J33">
        <f>IF($W33="","",IF(INDEX('Per Invoice'!J$2:J$801,$W33)="","",INDEX('Per Invoice'!J$2:J$801,$W33)))</f>
        <v/>
      </c>
      <c r="K33" s="7">
        <f>IF($W33="","",IF(INDEX('Per Invoice'!K$2:K$801,$W33)="","",INDEX('Per Invoice'!K$2:K$801,$W33)))</f>
        <v/>
      </c>
      <c r="L33" s="14">
        <f>IF($W33="","",IF(INDEX('Per Invoice'!L$2:L$801,$W33)="","",INDEX('Per Invoice'!L$2:L$801,$W33)))</f>
        <v/>
      </c>
      <c r="M33">
        <f>IF($W33="","",IF(INDEX('Per Invoice'!M$2:M$801,$W33)="","",INDEX('Per Invoice'!M$2:M$801,$W33)))</f>
        <v/>
      </c>
      <c r="N33" s="7">
        <f>IF($W33="","",IF(INDEX('Per Invoice'!N$2:N$801,$W33)="","",INDEX('Per Invoice'!N$2:N$801,$W33)))</f>
        <v/>
      </c>
      <c r="O33" s="7">
        <f>IF($W33="","",IF(INDEX('Per Invoice'!O$2:O$801,$W33)="","",INDEX('Per Invoice'!O$2:O$801,$W33)))</f>
        <v/>
      </c>
      <c r="P33">
        <f>IF($W33="","",IF(INDEX('Per Invoice'!P$2:P$801,$W33)="","",INDEX('Per Invoice'!P$2:P$801,$W33)))</f>
        <v/>
      </c>
      <c r="Q33" s="7">
        <f>IF($W33="","",IF(INDEX('Per Invoice'!Q$2:Q$801,$W33)="","",INDEX('Per Invoice'!Q$2:Q$801,$W33)))</f>
        <v/>
      </c>
      <c r="R33" s="7">
        <f>IF($W33="","",IF(INDEX('Per Invoice'!R$2:R$801,$W33)="","",INDEX('Per Invoice'!R$2:R$801,$W33)))</f>
        <v/>
      </c>
      <c r="S33" s="7">
        <f>IF($W33="","",IF(INDEX('Per Invoice'!S$2:S$801,$W33)="","",INDEX('Per Invoice'!S$2:S$801,$W33)))</f>
        <v/>
      </c>
      <c r="T33" s="7">
        <f>IF($W33="","",IF(INDEX('Per Invoice'!T$2:T$801,$W33)="","",INDEX('Per Invoice'!T$2:T$801,$W33)))</f>
        <v/>
      </c>
      <c r="U33" s="7">
        <f>IF($W33="","",IF(INDEX('Per Invoice'!U$2:U$801,$W33)="","",INDEX('Per Invoice'!U$2:U$801,$W33)))</f>
        <v/>
      </c>
      <c r="V33" s="7">
        <f>IF($W33="","",IF(INDEX('Per Invoice'!V$2:V$801,$W33)="","",INDEX('Per Invoice'!V$2:V$801,$W33)))</f>
        <v/>
      </c>
      <c r="W33" s="16">
        <f>IFERROR(MATCH(Settings!$C$27&amp;"|"&amp;ROWS($W$2:$W33),'Per Invoice'!$X$2:$X$801,0),"")</f>
        <v/>
      </c>
    </row>
    <row r="34">
      <c r="A34">
        <f>IF($W34="","",IF(INDEX('Per Invoice'!A$2:A$801,$W34)="","",INDEX('Per Invoice'!A$2:A$801,$W34)))</f>
        <v/>
      </c>
      <c r="B34">
        <f>IF($W34="","",IF(INDEX('Per Invoice'!B$2:B$801,$W34)="","",INDEX('Per Invoice'!B$2:B$801,$W34)))</f>
        <v/>
      </c>
      <c r="C34">
        <f>IF($W34="","",IF(INDEX('Per Invoice'!C$2:C$801,$W34)="","",INDEX('Per Invoice'!C$2:C$801,$W34)))</f>
        <v/>
      </c>
      <c r="D34">
        <f>IF($W34="","",IF(INDEX('Per Invoice'!D$2:D$801,$W34)="","",INDEX('Per Invoice'!D$2:D$801,$W34)))</f>
        <v/>
      </c>
      <c r="E34">
        <f>IF($W34="","",IF(INDEX('Per Invoice'!E$2:E$801,$W34)="","",INDEX('Per Invoice'!E$2:E$801,$W34)))</f>
        <v/>
      </c>
      <c r="F34">
        <f>IF($W34="","",IF(INDEX('Per Invoice'!F$2:F$801,$W34)="","",INDEX('Per Invoice'!F$2:F$801,$W34)))</f>
        <v/>
      </c>
      <c r="G34">
        <f>IF($W34="","",IF(INDEX('Per Invoice'!G$2:G$801,$W34)="","",INDEX('Per Invoice'!G$2:G$801,$W34)))</f>
        <v/>
      </c>
      <c r="H34">
        <f>IF($W34="","",IF(INDEX('Per Invoice'!H$2:H$801,$W34)="","",INDEX('Per Invoice'!H$2:H$801,$W34)))</f>
        <v/>
      </c>
      <c r="I34">
        <f>IF($W34="","",IF(INDEX('Per Invoice'!I$2:I$801,$W34)="","",INDEX('Per Invoice'!I$2:I$801,$W34)))</f>
        <v/>
      </c>
      <c r="J34">
        <f>IF($W34="","",IF(INDEX('Per Invoice'!J$2:J$801,$W34)="","",INDEX('Per Invoice'!J$2:J$801,$W34)))</f>
        <v/>
      </c>
      <c r="K34" s="7">
        <f>IF($W34="","",IF(INDEX('Per Invoice'!K$2:K$801,$W34)="","",INDEX('Per Invoice'!K$2:K$801,$W34)))</f>
        <v/>
      </c>
      <c r="L34" s="14">
        <f>IF($W34="","",IF(INDEX('Per Invoice'!L$2:L$801,$W34)="","",INDEX('Per Invoice'!L$2:L$801,$W34)))</f>
        <v/>
      </c>
      <c r="M34">
        <f>IF($W34="","",IF(INDEX('Per Invoice'!M$2:M$801,$W34)="","",INDEX('Per Invoice'!M$2:M$801,$W34)))</f>
        <v/>
      </c>
      <c r="N34" s="7">
        <f>IF($W34="","",IF(INDEX('Per Invoice'!N$2:N$801,$W34)="","",INDEX('Per Invoice'!N$2:N$801,$W34)))</f>
        <v/>
      </c>
      <c r="O34" s="7">
        <f>IF($W34="","",IF(INDEX('Per Invoice'!O$2:O$801,$W34)="","",INDEX('Per Invoice'!O$2:O$801,$W34)))</f>
        <v/>
      </c>
      <c r="P34">
        <f>IF($W34="","",IF(INDEX('Per Invoice'!P$2:P$801,$W34)="","",INDEX('Per Invoice'!P$2:P$801,$W34)))</f>
        <v/>
      </c>
      <c r="Q34" s="7">
        <f>IF($W34="","",IF(INDEX('Per Invoice'!Q$2:Q$801,$W34)="","",INDEX('Per Invoice'!Q$2:Q$801,$W34)))</f>
        <v/>
      </c>
      <c r="R34" s="7">
        <f>IF($W34="","",IF(INDEX('Per Invoice'!R$2:R$801,$W34)="","",INDEX('Per Invoice'!R$2:R$801,$W34)))</f>
        <v/>
      </c>
      <c r="S34" s="7">
        <f>IF($W34="","",IF(INDEX('Per Invoice'!S$2:S$801,$W34)="","",INDEX('Per Invoice'!S$2:S$801,$W34)))</f>
        <v/>
      </c>
      <c r="T34" s="7">
        <f>IF($W34="","",IF(INDEX('Per Invoice'!T$2:T$801,$W34)="","",INDEX('Per Invoice'!T$2:T$801,$W34)))</f>
        <v/>
      </c>
      <c r="U34" s="7">
        <f>IF($W34="","",IF(INDEX('Per Invoice'!U$2:U$801,$W34)="","",INDEX('Per Invoice'!U$2:U$801,$W34)))</f>
        <v/>
      </c>
      <c r="V34" s="7">
        <f>IF($W34="","",IF(INDEX('Per Invoice'!V$2:V$801,$W34)="","",INDEX('Per Invoice'!V$2:V$801,$W34)))</f>
        <v/>
      </c>
      <c r="W34" s="16">
        <f>IFERROR(MATCH(Settings!$C$27&amp;"|"&amp;ROWS($W$2:$W34),'Per Invoice'!$X$2:$X$801,0),"")</f>
        <v/>
      </c>
    </row>
    <row r="35">
      <c r="A35">
        <f>IF($W35="","",IF(INDEX('Per Invoice'!A$2:A$801,$W35)="","",INDEX('Per Invoice'!A$2:A$801,$W35)))</f>
        <v/>
      </c>
      <c r="B35">
        <f>IF($W35="","",IF(INDEX('Per Invoice'!B$2:B$801,$W35)="","",INDEX('Per Invoice'!B$2:B$801,$W35)))</f>
        <v/>
      </c>
      <c r="C35">
        <f>IF($W35="","",IF(INDEX('Per Invoice'!C$2:C$801,$W35)="","",INDEX('Per Invoice'!C$2:C$801,$W35)))</f>
        <v/>
      </c>
      <c r="D35">
        <f>IF($W35="","",IF(INDEX('Per Invoice'!D$2:D$801,$W35)="","",INDEX('Per Invoice'!D$2:D$801,$W35)))</f>
        <v/>
      </c>
      <c r="E35">
        <f>IF($W35="","",IF(INDEX('Per Invoice'!E$2:E$801,$W35)="","",INDEX('Per Invoice'!E$2:E$801,$W35)))</f>
        <v/>
      </c>
      <c r="F35">
        <f>IF($W35="","",IF(INDEX('Per Invoice'!F$2:F$801,$W35)="","",INDEX('Per Invoice'!F$2:F$801,$W35)))</f>
        <v/>
      </c>
      <c r="G35">
        <f>IF($W35="","",IF(INDEX('Per Invoice'!G$2:G$801,$W35)="","",INDEX('Per Invoice'!G$2:G$801,$W35)))</f>
        <v/>
      </c>
      <c r="H35">
        <f>IF($W35="","",IF(INDEX('Per Invoice'!H$2:H$801,$W35)="","",INDEX('Per Invoice'!H$2:H$801,$W35)))</f>
        <v/>
      </c>
      <c r="I35">
        <f>IF($W35="","",IF(INDEX('Per Invoice'!I$2:I$801,$W35)="","",INDEX('Per Invoice'!I$2:I$801,$W35)))</f>
        <v/>
      </c>
      <c r="J35">
        <f>IF($W35="","",IF(INDEX('Per Invoice'!J$2:J$801,$W35)="","",INDEX('Per Invoice'!J$2:J$801,$W35)))</f>
        <v/>
      </c>
      <c r="K35" s="7">
        <f>IF($W35="","",IF(INDEX('Per Invoice'!K$2:K$801,$W35)="","",INDEX('Per Invoice'!K$2:K$801,$W35)))</f>
        <v/>
      </c>
      <c r="L35" s="14">
        <f>IF($W35="","",IF(INDEX('Per Invoice'!L$2:L$801,$W35)="","",INDEX('Per Invoice'!L$2:L$801,$W35)))</f>
        <v/>
      </c>
      <c r="M35">
        <f>IF($W35="","",IF(INDEX('Per Invoice'!M$2:M$801,$W35)="","",INDEX('Per Invoice'!M$2:M$801,$W35)))</f>
        <v/>
      </c>
      <c r="N35" s="7">
        <f>IF($W35="","",IF(INDEX('Per Invoice'!N$2:N$801,$W35)="","",INDEX('Per Invoice'!N$2:N$801,$W35)))</f>
        <v/>
      </c>
      <c r="O35" s="7">
        <f>IF($W35="","",IF(INDEX('Per Invoice'!O$2:O$801,$W35)="","",INDEX('Per Invoice'!O$2:O$801,$W35)))</f>
        <v/>
      </c>
      <c r="P35">
        <f>IF($W35="","",IF(INDEX('Per Invoice'!P$2:P$801,$W35)="","",INDEX('Per Invoice'!P$2:P$801,$W35)))</f>
        <v/>
      </c>
      <c r="Q35" s="7">
        <f>IF($W35="","",IF(INDEX('Per Invoice'!Q$2:Q$801,$W35)="","",INDEX('Per Invoice'!Q$2:Q$801,$W35)))</f>
        <v/>
      </c>
      <c r="R35" s="7">
        <f>IF($W35="","",IF(INDEX('Per Invoice'!R$2:R$801,$W35)="","",INDEX('Per Invoice'!R$2:R$801,$W35)))</f>
        <v/>
      </c>
      <c r="S35" s="7">
        <f>IF($W35="","",IF(INDEX('Per Invoice'!S$2:S$801,$W35)="","",INDEX('Per Invoice'!S$2:S$801,$W35)))</f>
        <v/>
      </c>
      <c r="T35" s="7">
        <f>IF($W35="","",IF(INDEX('Per Invoice'!T$2:T$801,$W35)="","",INDEX('Per Invoice'!T$2:T$801,$W35)))</f>
        <v/>
      </c>
      <c r="U35" s="7">
        <f>IF($W35="","",IF(INDEX('Per Invoice'!U$2:U$801,$W35)="","",INDEX('Per Invoice'!U$2:U$801,$W35)))</f>
        <v/>
      </c>
      <c r="V35" s="7">
        <f>IF($W35="","",IF(INDEX('Per Invoice'!V$2:V$801,$W35)="","",INDEX('Per Invoice'!V$2:V$801,$W35)))</f>
        <v/>
      </c>
      <c r="W35" s="16">
        <f>IFERROR(MATCH(Settings!$C$27&amp;"|"&amp;ROWS($W$2:$W35),'Per Invoice'!$X$2:$X$801,0),"")</f>
        <v/>
      </c>
    </row>
    <row r="36">
      <c r="A36">
        <f>IF($W36="","",IF(INDEX('Per Invoice'!A$2:A$801,$W36)="","",INDEX('Per Invoice'!A$2:A$801,$W36)))</f>
        <v/>
      </c>
      <c r="B36">
        <f>IF($W36="","",IF(INDEX('Per Invoice'!B$2:B$801,$W36)="","",INDEX('Per Invoice'!B$2:B$801,$W36)))</f>
        <v/>
      </c>
      <c r="C36">
        <f>IF($W36="","",IF(INDEX('Per Invoice'!C$2:C$801,$W36)="","",INDEX('Per Invoice'!C$2:C$801,$W36)))</f>
        <v/>
      </c>
      <c r="D36">
        <f>IF($W36="","",IF(INDEX('Per Invoice'!D$2:D$801,$W36)="","",INDEX('Per Invoice'!D$2:D$801,$W36)))</f>
        <v/>
      </c>
      <c r="E36">
        <f>IF($W36="","",IF(INDEX('Per Invoice'!E$2:E$801,$W36)="","",INDEX('Per Invoice'!E$2:E$801,$W36)))</f>
        <v/>
      </c>
      <c r="F36">
        <f>IF($W36="","",IF(INDEX('Per Invoice'!F$2:F$801,$W36)="","",INDEX('Per Invoice'!F$2:F$801,$W36)))</f>
        <v/>
      </c>
      <c r="G36">
        <f>IF($W36="","",IF(INDEX('Per Invoice'!G$2:G$801,$W36)="","",INDEX('Per Invoice'!G$2:G$801,$W36)))</f>
        <v/>
      </c>
      <c r="H36">
        <f>IF($W36="","",IF(INDEX('Per Invoice'!H$2:H$801,$W36)="","",INDEX('Per Invoice'!H$2:H$801,$W36)))</f>
        <v/>
      </c>
      <c r="I36">
        <f>IF($W36="","",IF(INDEX('Per Invoice'!I$2:I$801,$W36)="","",INDEX('Per Invoice'!I$2:I$801,$W36)))</f>
        <v/>
      </c>
      <c r="J36">
        <f>IF($W36="","",IF(INDEX('Per Invoice'!J$2:J$801,$W36)="","",INDEX('Per Invoice'!J$2:J$801,$W36)))</f>
        <v/>
      </c>
      <c r="K36" s="7">
        <f>IF($W36="","",IF(INDEX('Per Invoice'!K$2:K$801,$W36)="","",INDEX('Per Invoice'!K$2:K$801,$W36)))</f>
        <v/>
      </c>
      <c r="L36" s="14">
        <f>IF($W36="","",IF(INDEX('Per Invoice'!L$2:L$801,$W36)="","",INDEX('Per Invoice'!L$2:L$801,$W36)))</f>
        <v/>
      </c>
      <c r="M36">
        <f>IF($W36="","",IF(INDEX('Per Invoice'!M$2:M$801,$W36)="","",INDEX('Per Invoice'!M$2:M$801,$W36)))</f>
        <v/>
      </c>
      <c r="N36" s="7">
        <f>IF($W36="","",IF(INDEX('Per Invoice'!N$2:N$801,$W36)="","",INDEX('Per Invoice'!N$2:N$801,$W36)))</f>
        <v/>
      </c>
      <c r="O36" s="7">
        <f>IF($W36="","",IF(INDEX('Per Invoice'!O$2:O$801,$W36)="","",INDEX('Per Invoice'!O$2:O$801,$W36)))</f>
        <v/>
      </c>
      <c r="P36">
        <f>IF($W36="","",IF(INDEX('Per Invoice'!P$2:P$801,$W36)="","",INDEX('Per Invoice'!P$2:P$801,$W36)))</f>
        <v/>
      </c>
      <c r="Q36" s="7">
        <f>IF($W36="","",IF(INDEX('Per Invoice'!Q$2:Q$801,$W36)="","",INDEX('Per Invoice'!Q$2:Q$801,$W36)))</f>
        <v/>
      </c>
      <c r="R36" s="7">
        <f>IF($W36="","",IF(INDEX('Per Invoice'!R$2:R$801,$W36)="","",INDEX('Per Invoice'!R$2:R$801,$W36)))</f>
        <v/>
      </c>
      <c r="S36" s="7">
        <f>IF($W36="","",IF(INDEX('Per Invoice'!S$2:S$801,$W36)="","",INDEX('Per Invoice'!S$2:S$801,$W36)))</f>
        <v/>
      </c>
      <c r="T36" s="7">
        <f>IF($W36="","",IF(INDEX('Per Invoice'!T$2:T$801,$W36)="","",INDEX('Per Invoice'!T$2:T$801,$W36)))</f>
        <v/>
      </c>
      <c r="U36" s="7">
        <f>IF($W36="","",IF(INDEX('Per Invoice'!U$2:U$801,$W36)="","",INDEX('Per Invoice'!U$2:U$801,$W36)))</f>
        <v/>
      </c>
      <c r="V36" s="7">
        <f>IF($W36="","",IF(INDEX('Per Invoice'!V$2:V$801,$W36)="","",INDEX('Per Invoice'!V$2:V$801,$W36)))</f>
        <v/>
      </c>
      <c r="W36" s="16">
        <f>IFERROR(MATCH(Settings!$C$27&amp;"|"&amp;ROWS($W$2:$W36),'Per Invoice'!$X$2:$X$801,0),"")</f>
        <v/>
      </c>
    </row>
    <row r="37">
      <c r="A37">
        <f>IF($W37="","",IF(INDEX('Per Invoice'!A$2:A$801,$W37)="","",INDEX('Per Invoice'!A$2:A$801,$W37)))</f>
        <v/>
      </c>
      <c r="B37">
        <f>IF($W37="","",IF(INDEX('Per Invoice'!B$2:B$801,$W37)="","",INDEX('Per Invoice'!B$2:B$801,$W37)))</f>
        <v/>
      </c>
      <c r="C37">
        <f>IF($W37="","",IF(INDEX('Per Invoice'!C$2:C$801,$W37)="","",INDEX('Per Invoice'!C$2:C$801,$W37)))</f>
        <v/>
      </c>
      <c r="D37">
        <f>IF($W37="","",IF(INDEX('Per Invoice'!D$2:D$801,$W37)="","",INDEX('Per Invoice'!D$2:D$801,$W37)))</f>
        <v/>
      </c>
      <c r="E37">
        <f>IF($W37="","",IF(INDEX('Per Invoice'!E$2:E$801,$W37)="","",INDEX('Per Invoice'!E$2:E$801,$W37)))</f>
        <v/>
      </c>
      <c r="F37">
        <f>IF($W37="","",IF(INDEX('Per Invoice'!F$2:F$801,$W37)="","",INDEX('Per Invoice'!F$2:F$801,$W37)))</f>
        <v/>
      </c>
      <c r="G37">
        <f>IF($W37="","",IF(INDEX('Per Invoice'!G$2:G$801,$W37)="","",INDEX('Per Invoice'!G$2:G$801,$W37)))</f>
        <v/>
      </c>
      <c r="H37">
        <f>IF($W37="","",IF(INDEX('Per Invoice'!H$2:H$801,$W37)="","",INDEX('Per Invoice'!H$2:H$801,$W37)))</f>
        <v/>
      </c>
      <c r="I37">
        <f>IF($W37="","",IF(INDEX('Per Invoice'!I$2:I$801,$W37)="","",INDEX('Per Invoice'!I$2:I$801,$W37)))</f>
        <v/>
      </c>
      <c r="J37">
        <f>IF($W37="","",IF(INDEX('Per Invoice'!J$2:J$801,$W37)="","",INDEX('Per Invoice'!J$2:J$801,$W37)))</f>
        <v/>
      </c>
      <c r="K37" s="7">
        <f>IF($W37="","",IF(INDEX('Per Invoice'!K$2:K$801,$W37)="","",INDEX('Per Invoice'!K$2:K$801,$W37)))</f>
        <v/>
      </c>
      <c r="L37" s="14">
        <f>IF($W37="","",IF(INDEX('Per Invoice'!L$2:L$801,$W37)="","",INDEX('Per Invoice'!L$2:L$801,$W37)))</f>
        <v/>
      </c>
      <c r="M37">
        <f>IF($W37="","",IF(INDEX('Per Invoice'!M$2:M$801,$W37)="","",INDEX('Per Invoice'!M$2:M$801,$W37)))</f>
        <v/>
      </c>
      <c r="N37" s="7">
        <f>IF($W37="","",IF(INDEX('Per Invoice'!N$2:N$801,$W37)="","",INDEX('Per Invoice'!N$2:N$801,$W37)))</f>
        <v/>
      </c>
      <c r="O37" s="7">
        <f>IF($W37="","",IF(INDEX('Per Invoice'!O$2:O$801,$W37)="","",INDEX('Per Invoice'!O$2:O$801,$W37)))</f>
        <v/>
      </c>
      <c r="P37">
        <f>IF($W37="","",IF(INDEX('Per Invoice'!P$2:P$801,$W37)="","",INDEX('Per Invoice'!P$2:P$801,$W37)))</f>
        <v/>
      </c>
      <c r="Q37" s="7">
        <f>IF($W37="","",IF(INDEX('Per Invoice'!Q$2:Q$801,$W37)="","",INDEX('Per Invoice'!Q$2:Q$801,$W37)))</f>
        <v/>
      </c>
      <c r="R37" s="7">
        <f>IF($W37="","",IF(INDEX('Per Invoice'!R$2:R$801,$W37)="","",INDEX('Per Invoice'!R$2:R$801,$W37)))</f>
        <v/>
      </c>
      <c r="S37" s="7">
        <f>IF($W37="","",IF(INDEX('Per Invoice'!S$2:S$801,$W37)="","",INDEX('Per Invoice'!S$2:S$801,$W37)))</f>
        <v/>
      </c>
      <c r="T37" s="7">
        <f>IF($W37="","",IF(INDEX('Per Invoice'!T$2:T$801,$W37)="","",INDEX('Per Invoice'!T$2:T$801,$W37)))</f>
        <v/>
      </c>
      <c r="U37" s="7">
        <f>IF($W37="","",IF(INDEX('Per Invoice'!U$2:U$801,$W37)="","",INDEX('Per Invoice'!U$2:U$801,$W37)))</f>
        <v/>
      </c>
      <c r="V37" s="7">
        <f>IF($W37="","",IF(INDEX('Per Invoice'!V$2:V$801,$W37)="","",INDEX('Per Invoice'!V$2:V$801,$W37)))</f>
        <v/>
      </c>
      <c r="W37" s="16">
        <f>IFERROR(MATCH(Settings!$C$27&amp;"|"&amp;ROWS($W$2:$W37),'Per Invoice'!$X$2:$X$801,0),"")</f>
        <v/>
      </c>
    </row>
    <row r="38">
      <c r="A38">
        <f>IF($W38="","",IF(INDEX('Per Invoice'!A$2:A$801,$W38)="","",INDEX('Per Invoice'!A$2:A$801,$W38)))</f>
        <v/>
      </c>
      <c r="B38">
        <f>IF($W38="","",IF(INDEX('Per Invoice'!B$2:B$801,$W38)="","",INDEX('Per Invoice'!B$2:B$801,$W38)))</f>
        <v/>
      </c>
      <c r="C38">
        <f>IF($W38="","",IF(INDEX('Per Invoice'!C$2:C$801,$W38)="","",INDEX('Per Invoice'!C$2:C$801,$W38)))</f>
        <v/>
      </c>
      <c r="D38">
        <f>IF($W38="","",IF(INDEX('Per Invoice'!D$2:D$801,$W38)="","",INDEX('Per Invoice'!D$2:D$801,$W38)))</f>
        <v/>
      </c>
      <c r="E38">
        <f>IF($W38="","",IF(INDEX('Per Invoice'!E$2:E$801,$W38)="","",INDEX('Per Invoice'!E$2:E$801,$W38)))</f>
        <v/>
      </c>
      <c r="F38">
        <f>IF($W38="","",IF(INDEX('Per Invoice'!F$2:F$801,$W38)="","",INDEX('Per Invoice'!F$2:F$801,$W38)))</f>
        <v/>
      </c>
      <c r="G38">
        <f>IF($W38="","",IF(INDEX('Per Invoice'!G$2:G$801,$W38)="","",INDEX('Per Invoice'!G$2:G$801,$W38)))</f>
        <v/>
      </c>
      <c r="H38">
        <f>IF($W38="","",IF(INDEX('Per Invoice'!H$2:H$801,$W38)="","",INDEX('Per Invoice'!H$2:H$801,$W38)))</f>
        <v/>
      </c>
      <c r="I38">
        <f>IF($W38="","",IF(INDEX('Per Invoice'!I$2:I$801,$W38)="","",INDEX('Per Invoice'!I$2:I$801,$W38)))</f>
        <v/>
      </c>
      <c r="J38">
        <f>IF($W38="","",IF(INDEX('Per Invoice'!J$2:J$801,$W38)="","",INDEX('Per Invoice'!J$2:J$801,$W38)))</f>
        <v/>
      </c>
      <c r="K38" s="7">
        <f>IF($W38="","",IF(INDEX('Per Invoice'!K$2:K$801,$W38)="","",INDEX('Per Invoice'!K$2:K$801,$W38)))</f>
        <v/>
      </c>
      <c r="L38" s="14">
        <f>IF($W38="","",IF(INDEX('Per Invoice'!L$2:L$801,$W38)="","",INDEX('Per Invoice'!L$2:L$801,$W38)))</f>
        <v/>
      </c>
      <c r="M38">
        <f>IF($W38="","",IF(INDEX('Per Invoice'!M$2:M$801,$W38)="","",INDEX('Per Invoice'!M$2:M$801,$W38)))</f>
        <v/>
      </c>
      <c r="N38" s="7">
        <f>IF($W38="","",IF(INDEX('Per Invoice'!N$2:N$801,$W38)="","",INDEX('Per Invoice'!N$2:N$801,$W38)))</f>
        <v/>
      </c>
      <c r="O38" s="7">
        <f>IF($W38="","",IF(INDEX('Per Invoice'!O$2:O$801,$W38)="","",INDEX('Per Invoice'!O$2:O$801,$W38)))</f>
        <v/>
      </c>
      <c r="P38">
        <f>IF($W38="","",IF(INDEX('Per Invoice'!P$2:P$801,$W38)="","",INDEX('Per Invoice'!P$2:P$801,$W38)))</f>
        <v/>
      </c>
      <c r="Q38" s="7">
        <f>IF($W38="","",IF(INDEX('Per Invoice'!Q$2:Q$801,$W38)="","",INDEX('Per Invoice'!Q$2:Q$801,$W38)))</f>
        <v/>
      </c>
      <c r="R38" s="7">
        <f>IF($W38="","",IF(INDEX('Per Invoice'!R$2:R$801,$W38)="","",INDEX('Per Invoice'!R$2:R$801,$W38)))</f>
        <v/>
      </c>
      <c r="S38" s="7">
        <f>IF($W38="","",IF(INDEX('Per Invoice'!S$2:S$801,$W38)="","",INDEX('Per Invoice'!S$2:S$801,$W38)))</f>
        <v/>
      </c>
      <c r="T38" s="7">
        <f>IF($W38="","",IF(INDEX('Per Invoice'!T$2:T$801,$W38)="","",INDEX('Per Invoice'!T$2:T$801,$W38)))</f>
        <v/>
      </c>
      <c r="U38" s="7">
        <f>IF($W38="","",IF(INDEX('Per Invoice'!U$2:U$801,$W38)="","",INDEX('Per Invoice'!U$2:U$801,$W38)))</f>
        <v/>
      </c>
      <c r="V38" s="7">
        <f>IF($W38="","",IF(INDEX('Per Invoice'!V$2:V$801,$W38)="","",INDEX('Per Invoice'!V$2:V$801,$W38)))</f>
        <v/>
      </c>
      <c r="W38" s="16">
        <f>IFERROR(MATCH(Settings!$C$27&amp;"|"&amp;ROWS($W$2:$W38),'Per Invoice'!$X$2:$X$801,0),"")</f>
        <v/>
      </c>
    </row>
    <row r="39">
      <c r="A39">
        <f>IF($W39="","",IF(INDEX('Per Invoice'!A$2:A$801,$W39)="","",INDEX('Per Invoice'!A$2:A$801,$W39)))</f>
        <v/>
      </c>
      <c r="B39">
        <f>IF($W39="","",IF(INDEX('Per Invoice'!B$2:B$801,$W39)="","",INDEX('Per Invoice'!B$2:B$801,$W39)))</f>
        <v/>
      </c>
      <c r="C39">
        <f>IF($W39="","",IF(INDEX('Per Invoice'!C$2:C$801,$W39)="","",INDEX('Per Invoice'!C$2:C$801,$W39)))</f>
        <v/>
      </c>
      <c r="D39">
        <f>IF($W39="","",IF(INDEX('Per Invoice'!D$2:D$801,$W39)="","",INDEX('Per Invoice'!D$2:D$801,$W39)))</f>
        <v/>
      </c>
      <c r="E39">
        <f>IF($W39="","",IF(INDEX('Per Invoice'!E$2:E$801,$W39)="","",INDEX('Per Invoice'!E$2:E$801,$W39)))</f>
        <v/>
      </c>
      <c r="F39">
        <f>IF($W39="","",IF(INDEX('Per Invoice'!F$2:F$801,$W39)="","",INDEX('Per Invoice'!F$2:F$801,$W39)))</f>
        <v/>
      </c>
      <c r="G39">
        <f>IF($W39="","",IF(INDEX('Per Invoice'!G$2:G$801,$W39)="","",INDEX('Per Invoice'!G$2:G$801,$W39)))</f>
        <v/>
      </c>
      <c r="H39">
        <f>IF($W39="","",IF(INDEX('Per Invoice'!H$2:H$801,$W39)="","",INDEX('Per Invoice'!H$2:H$801,$W39)))</f>
        <v/>
      </c>
      <c r="I39">
        <f>IF($W39="","",IF(INDEX('Per Invoice'!I$2:I$801,$W39)="","",INDEX('Per Invoice'!I$2:I$801,$W39)))</f>
        <v/>
      </c>
      <c r="J39">
        <f>IF($W39="","",IF(INDEX('Per Invoice'!J$2:J$801,$W39)="","",INDEX('Per Invoice'!J$2:J$801,$W39)))</f>
        <v/>
      </c>
      <c r="K39" s="7">
        <f>IF($W39="","",IF(INDEX('Per Invoice'!K$2:K$801,$W39)="","",INDEX('Per Invoice'!K$2:K$801,$W39)))</f>
        <v/>
      </c>
      <c r="L39" s="14">
        <f>IF($W39="","",IF(INDEX('Per Invoice'!L$2:L$801,$W39)="","",INDEX('Per Invoice'!L$2:L$801,$W39)))</f>
        <v/>
      </c>
      <c r="M39">
        <f>IF($W39="","",IF(INDEX('Per Invoice'!M$2:M$801,$W39)="","",INDEX('Per Invoice'!M$2:M$801,$W39)))</f>
        <v/>
      </c>
      <c r="N39" s="7">
        <f>IF($W39="","",IF(INDEX('Per Invoice'!N$2:N$801,$W39)="","",INDEX('Per Invoice'!N$2:N$801,$W39)))</f>
        <v/>
      </c>
      <c r="O39" s="7">
        <f>IF($W39="","",IF(INDEX('Per Invoice'!O$2:O$801,$W39)="","",INDEX('Per Invoice'!O$2:O$801,$W39)))</f>
        <v/>
      </c>
      <c r="P39">
        <f>IF($W39="","",IF(INDEX('Per Invoice'!P$2:P$801,$W39)="","",INDEX('Per Invoice'!P$2:P$801,$W39)))</f>
        <v/>
      </c>
      <c r="Q39" s="7">
        <f>IF($W39="","",IF(INDEX('Per Invoice'!Q$2:Q$801,$W39)="","",INDEX('Per Invoice'!Q$2:Q$801,$W39)))</f>
        <v/>
      </c>
      <c r="R39" s="7">
        <f>IF($W39="","",IF(INDEX('Per Invoice'!R$2:R$801,$W39)="","",INDEX('Per Invoice'!R$2:R$801,$W39)))</f>
        <v/>
      </c>
      <c r="S39" s="7">
        <f>IF($W39="","",IF(INDEX('Per Invoice'!S$2:S$801,$W39)="","",INDEX('Per Invoice'!S$2:S$801,$W39)))</f>
        <v/>
      </c>
      <c r="T39" s="7">
        <f>IF($W39="","",IF(INDEX('Per Invoice'!T$2:T$801,$W39)="","",INDEX('Per Invoice'!T$2:T$801,$W39)))</f>
        <v/>
      </c>
      <c r="U39" s="7">
        <f>IF($W39="","",IF(INDEX('Per Invoice'!U$2:U$801,$W39)="","",INDEX('Per Invoice'!U$2:U$801,$W39)))</f>
        <v/>
      </c>
      <c r="V39" s="7">
        <f>IF($W39="","",IF(INDEX('Per Invoice'!V$2:V$801,$W39)="","",INDEX('Per Invoice'!V$2:V$801,$W39)))</f>
        <v/>
      </c>
      <c r="W39" s="16">
        <f>IFERROR(MATCH(Settings!$C$27&amp;"|"&amp;ROWS($W$2:$W39),'Per Invoice'!$X$2:$X$801,0),"")</f>
        <v/>
      </c>
    </row>
    <row r="40">
      <c r="A40">
        <f>IF($W40="","",IF(INDEX('Per Invoice'!A$2:A$801,$W40)="","",INDEX('Per Invoice'!A$2:A$801,$W40)))</f>
        <v/>
      </c>
      <c r="B40">
        <f>IF($W40="","",IF(INDEX('Per Invoice'!B$2:B$801,$W40)="","",INDEX('Per Invoice'!B$2:B$801,$W40)))</f>
        <v/>
      </c>
      <c r="C40">
        <f>IF($W40="","",IF(INDEX('Per Invoice'!C$2:C$801,$W40)="","",INDEX('Per Invoice'!C$2:C$801,$W40)))</f>
        <v/>
      </c>
      <c r="D40">
        <f>IF($W40="","",IF(INDEX('Per Invoice'!D$2:D$801,$W40)="","",INDEX('Per Invoice'!D$2:D$801,$W40)))</f>
        <v/>
      </c>
      <c r="E40">
        <f>IF($W40="","",IF(INDEX('Per Invoice'!E$2:E$801,$W40)="","",INDEX('Per Invoice'!E$2:E$801,$W40)))</f>
        <v/>
      </c>
      <c r="F40">
        <f>IF($W40="","",IF(INDEX('Per Invoice'!F$2:F$801,$W40)="","",INDEX('Per Invoice'!F$2:F$801,$W40)))</f>
        <v/>
      </c>
      <c r="G40">
        <f>IF($W40="","",IF(INDEX('Per Invoice'!G$2:G$801,$W40)="","",INDEX('Per Invoice'!G$2:G$801,$W40)))</f>
        <v/>
      </c>
      <c r="H40">
        <f>IF($W40="","",IF(INDEX('Per Invoice'!H$2:H$801,$W40)="","",INDEX('Per Invoice'!H$2:H$801,$W40)))</f>
        <v/>
      </c>
      <c r="I40">
        <f>IF($W40="","",IF(INDEX('Per Invoice'!I$2:I$801,$W40)="","",INDEX('Per Invoice'!I$2:I$801,$W40)))</f>
        <v/>
      </c>
      <c r="J40">
        <f>IF($W40="","",IF(INDEX('Per Invoice'!J$2:J$801,$W40)="","",INDEX('Per Invoice'!J$2:J$801,$W40)))</f>
        <v/>
      </c>
      <c r="K40" s="7">
        <f>IF($W40="","",IF(INDEX('Per Invoice'!K$2:K$801,$W40)="","",INDEX('Per Invoice'!K$2:K$801,$W40)))</f>
        <v/>
      </c>
      <c r="L40" s="14">
        <f>IF($W40="","",IF(INDEX('Per Invoice'!L$2:L$801,$W40)="","",INDEX('Per Invoice'!L$2:L$801,$W40)))</f>
        <v/>
      </c>
      <c r="M40">
        <f>IF($W40="","",IF(INDEX('Per Invoice'!M$2:M$801,$W40)="","",INDEX('Per Invoice'!M$2:M$801,$W40)))</f>
        <v/>
      </c>
      <c r="N40" s="7">
        <f>IF($W40="","",IF(INDEX('Per Invoice'!N$2:N$801,$W40)="","",INDEX('Per Invoice'!N$2:N$801,$W40)))</f>
        <v/>
      </c>
      <c r="O40" s="7">
        <f>IF($W40="","",IF(INDEX('Per Invoice'!O$2:O$801,$W40)="","",INDEX('Per Invoice'!O$2:O$801,$W40)))</f>
        <v/>
      </c>
      <c r="P40">
        <f>IF($W40="","",IF(INDEX('Per Invoice'!P$2:P$801,$W40)="","",INDEX('Per Invoice'!P$2:P$801,$W40)))</f>
        <v/>
      </c>
      <c r="Q40" s="7">
        <f>IF($W40="","",IF(INDEX('Per Invoice'!Q$2:Q$801,$W40)="","",INDEX('Per Invoice'!Q$2:Q$801,$W40)))</f>
        <v/>
      </c>
      <c r="R40" s="7">
        <f>IF($W40="","",IF(INDEX('Per Invoice'!R$2:R$801,$W40)="","",INDEX('Per Invoice'!R$2:R$801,$W40)))</f>
        <v/>
      </c>
      <c r="S40" s="7">
        <f>IF($W40="","",IF(INDEX('Per Invoice'!S$2:S$801,$W40)="","",INDEX('Per Invoice'!S$2:S$801,$W40)))</f>
        <v/>
      </c>
      <c r="T40" s="7">
        <f>IF($W40="","",IF(INDEX('Per Invoice'!T$2:T$801,$W40)="","",INDEX('Per Invoice'!T$2:T$801,$W40)))</f>
        <v/>
      </c>
      <c r="U40" s="7">
        <f>IF($W40="","",IF(INDEX('Per Invoice'!U$2:U$801,$W40)="","",INDEX('Per Invoice'!U$2:U$801,$W40)))</f>
        <v/>
      </c>
      <c r="V40" s="7">
        <f>IF($W40="","",IF(INDEX('Per Invoice'!V$2:V$801,$W40)="","",INDEX('Per Invoice'!V$2:V$801,$W40)))</f>
        <v/>
      </c>
      <c r="W40" s="16">
        <f>IFERROR(MATCH(Settings!$C$27&amp;"|"&amp;ROWS($W$2:$W40),'Per Invoice'!$X$2:$X$801,0),"")</f>
        <v/>
      </c>
    </row>
    <row r="41">
      <c r="A41">
        <f>IF($W41="","",IF(INDEX('Per Invoice'!A$2:A$801,$W41)="","",INDEX('Per Invoice'!A$2:A$801,$W41)))</f>
        <v/>
      </c>
      <c r="B41">
        <f>IF($W41="","",IF(INDEX('Per Invoice'!B$2:B$801,$W41)="","",INDEX('Per Invoice'!B$2:B$801,$W41)))</f>
        <v/>
      </c>
      <c r="C41">
        <f>IF($W41="","",IF(INDEX('Per Invoice'!C$2:C$801,$W41)="","",INDEX('Per Invoice'!C$2:C$801,$W41)))</f>
        <v/>
      </c>
      <c r="D41">
        <f>IF($W41="","",IF(INDEX('Per Invoice'!D$2:D$801,$W41)="","",INDEX('Per Invoice'!D$2:D$801,$W41)))</f>
        <v/>
      </c>
      <c r="E41">
        <f>IF($W41="","",IF(INDEX('Per Invoice'!E$2:E$801,$W41)="","",INDEX('Per Invoice'!E$2:E$801,$W41)))</f>
        <v/>
      </c>
      <c r="F41">
        <f>IF($W41="","",IF(INDEX('Per Invoice'!F$2:F$801,$W41)="","",INDEX('Per Invoice'!F$2:F$801,$W41)))</f>
        <v/>
      </c>
      <c r="G41">
        <f>IF($W41="","",IF(INDEX('Per Invoice'!G$2:G$801,$W41)="","",INDEX('Per Invoice'!G$2:G$801,$W41)))</f>
        <v/>
      </c>
      <c r="H41">
        <f>IF($W41="","",IF(INDEX('Per Invoice'!H$2:H$801,$W41)="","",INDEX('Per Invoice'!H$2:H$801,$W41)))</f>
        <v/>
      </c>
      <c r="I41">
        <f>IF($W41="","",IF(INDEX('Per Invoice'!I$2:I$801,$W41)="","",INDEX('Per Invoice'!I$2:I$801,$W41)))</f>
        <v/>
      </c>
      <c r="J41">
        <f>IF($W41="","",IF(INDEX('Per Invoice'!J$2:J$801,$W41)="","",INDEX('Per Invoice'!J$2:J$801,$W41)))</f>
        <v/>
      </c>
      <c r="K41" s="7">
        <f>IF($W41="","",IF(INDEX('Per Invoice'!K$2:K$801,$W41)="","",INDEX('Per Invoice'!K$2:K$801,$W41)))</f>
        <v/>
      </c>
      <c r="L41" s="14">
        <f>IF($W41="","",IF(INDEX('Per Invoice'!L$2:L$801,$W41)="","",INDEX('Per Invoice'!L$2:L$801,$W41)))</f>
        <v/>
      </c>
      <c r="M41">
        <f>IF($W41="","",IF(INDEX('Per Invoice'!M$2:M$801,$W41)="","",INDEX('Per Invoice'!M$2:M$801,$W41)))</f>
        <v/>
      </c>
      <c r="N41" s="7">
        <f>IF($W41="","",IF(INDEX('Per Invoice'!N$2:N$801,$W41)="","",INDEX('Per Invoice'!N$2:N$801,$W41)))</f>
        <v/>
      </c>
      <c r="O41" s="7">
        <f>IF($W41="","",IF(INDEX('Per Invoice'!O$2:O$801,$W41)="","",INDEX('Per Invoice'!O$2:O$801,$W41)))</f>
        <v/>
      </c>
      <c r="P41">
        <f>IF($W41="","",IF(INDEX('Per Invoice'!P$2:P$801,$W41)="","",INDEX('Per Invoice'!P$2:P$801,$W41)))</f>
        <v/>
      </c>
      <c r="Q41" s="7">
        <f>IF($W41="","",IF(INDEX('Per Invoice'!Q$2:Q$801,$W41)="","",INDEX('Per Invoice'!Q$2:Q$801,$W41)))</f>
        <v/>
      </c>
      <c r="R41" s="7">
        <f>IF($W41="","",IF(INDEX('Per Invoice'!R$2:R$801,$W41)="","",INDEX('Per Invoice'!R$2:R$801,$W41)))</f>
        <v/>
      </c>
      <c r="S41" s="7">
        <f>IF($W41="","",IF(INDEX('Per Invoice'!S$2:S$801,$W41)="","",INDEX('Per Invoice'!S$2:S$801,$W41)))</f>
        <v/>
      </c>
      <c r="T41" s="7">
        <f>IF($W41="","",IF(INDEX('Per Invoice'!T$2:T$801,$W41)="","",INDEX('Per Invoice'!T$2:T$801,$W41)))</f>
        <v/>
      </c>
      <c r="U41" s="7">
        <f>IF($W41="","",IF(INDEX('Per Invoice'!U$2:U$801,$W41)="","",INDEX('Per Invoice'!U$2:U$801,$W41)))</f>
        <v/>
      </c>
      <c r="V41" s="7">
        <f>IF($W41="","",IF(INDEX('Per Invoice'!V$2:V$801,$W41)="","",INDEX('Per Invoice'!V$2:V$801,$W41)))</f>
        <v/>
      </c>
      <c r="W41" s="16">
        <f>IFERROR(MATCH(Settings!$C$27&amp;"|"&amp;ROWS($W$2:$W41),'Per Invoice'!$X$2:$X$801,0),"")</f>
        <v/>
      </c>
    </row>
    <row r="42">
      <c r="A42">
        <f>IF($W42="","",IF(INDEX('Per Invoice'!A$2:A$801,$W42)="","",INDEX('Per Invoice'!A$2:A$801,$W42)))</f>
        <v/>
      </c>
      <c r="B42">
        <f>IF($W42="","",IF(INDEX('Per Invoice'!B$2:B$801,$W42)="","",INDEX('Per Invoice'!B$2:B$801,$W42)))</f>
        <v/>
      </c>
      <c r="C42">
        <f>IF($W42="","",IF(INDEX('Per Invoice'!C$2:C$801,$W42)="","",INDEX('Per Invoice'!C$2:C$801,$W42)))</f>
        <v/>
      </c>
      <c r="D42">
        <f>IF($W42="","",IF(INDEX('Per Invoice'!D$2:D$801,$W42)="","",INDEX('Per Invoice'!D$2:D$801,$W42)))</f>
        <v/>
      </c>
      <c r="E42">
        <f>IF($W42="","",IF(INDEX('Per Invoice'!E$2:E$801,$W42)="","",INDEX('Per Invoice'!E$2:E$801,$W42)))</f>
        <v/>
      </c>
      <c r="F42">
        <f>IF($W42="","",IF(INDEX('Per Invoice'!F$2:F$801,$W42)="","",INDEX('Per Invoice'!F$2:F$801,$W42)))</f>
        <v/>
      </c>
      <c r="G42">
        <f>IF($W42="","",IF(INDEX('Per Invoice'!G$2:G$801,$W42)="","",INDEX('Per Invoice'!G$2:G$801,$W42)))</f>
        <v/>
      </c>
      <c r="H42">
        <f>IF($W42="","",IF(INDEX('Per Invoice'!H$2:H$801,$W42)="","",INDEX('Per Invoice'!H$2:H$801,$W42)))</f>
        <v/>
      </c>
      <c r="I42">
        <f>IF($W42="","",IF(INDEX('Per Invoice'!I$2:I$801,$W42)="","",INDEX('Per Invoice'!I$2:I$801,$W42)))</f>
        <v/>
      </c>
      <c r="J42">
        <f>IF($W42="","",IF(INDEX('Per Invoice'!J$2:J$801,$W42)="","",INDEX('Per Invoice'!J$2:J$801,$W42)))</f>
        <v/>
      </c>
      <c r="K42" s="7">
        <f>IF($W42="","",IF(INDEX('Per Invoice'!K$2:K$801,$W42)="","",INDEX('Per Invoice'!K$2:K$801,$W42)))</f>
        <v/>
      </c>
      <c r="L42" s="14">
        <f>IF($W42="","",IF(INDEX('Per Invoice'!L$2:L$801,$W42)="","",INDEX('Per Invoice'!L$2:L$801,$W42)))</f>
        <v/>
      </c>
      <c r="M42">
        <f>IF($W42="","",IF(INDEX('Per Invoice'!M$2:M$801,$W42)="","",INDEX('Per Invoice'!M$2:M$801,$W42)))</f>
        <v/>
      </c>
      <c r="N42" s="7">
        <f>IF($W42="","",IF(INDEX('Per Invoice'!N$2:N$801,$W42)="","",INDEX('Per Invoice'!N$2:N$801,$W42)))</f>
        <v/>
      </c>
      <c r="O42" s="7">
        <f>IF($W42="","",IF(INDEX('Per Invoice'!O$2:O$801,$W42)="","",INDEX('Per Invoice'!O$2:O$801,$W42)))</f>
        <v/>
      </c>
      <c r="P42">
        <f>IF($W42="","",IF(INDEX('Per Invoice'!P$2:P$801,$W42)="","",INDEX('Per Invoice'!P$2:P$801,$W42)))</f>
        <v/>
      </c>
      <c r="Q42" s="7">
        <f>IF($W42="","",IF(INDEX('Per Invoice'!Q$2:Q$801,$W42)="","",INDEX('Per Invoice'!Q$2:Q$801,$W42)))</f>
        <v/>
      </c>
      <c r="R42" s="7">
        <f>IF($W42="","",IF(INDEX('Per Invoice'!R$2:R$801,$W42)="","",INDEX('Per Invoice'!R$2:R$801,$W42)))</f>
        <v/>
      </c>
      <c r="S42" s="7">
        <f>IF($W42="","",IF(INDEX('Per Invoice'!S$2:S$801,$W42)="","",INDEX('Per Invoice'!S$2:S$801,$W42)))</f>
        <v/>
      </c>
      <c r="T42" s="7">
        <f>IF($W42="","",IF(INDEX('Per Invoice'!T$2:T$801,$W42)="","",INDEX('Per Invoice'!T$2:T$801,$W42)))</f>
        <v/>
      </c>
      <c r="U42" s="7">
        <f>IF($W42="","",IF(INDEX('Per Invoice'!U$2:U$801,$W42)="","",INDEX('Per Invoice'!U$2:U$801,$W42)))</f>
        <v/>
      </c>
      <c r="V42" s="7">
        <f>IF($W42="","",IF(INDEX('Per Invoice'!V$2:V$801,$W42)="","",INDEX('Per Invoice'!V$2:V$801,$W42)))</f>
        <v/>
      </c>
      <c r="W42" s="16">
        <f>IFERROR(MATCH(Settings!$C$27&amp;"|"&amp;ROWS($W$2:$W42),'Per Invoice'!$X$2:$X$801,0),"")</f>
        <v/>
      </c>
    </row>
    <row r="43">
      <c r="A43">
        <f>IF($W43="","",IF(INDEX('Per Invoice'!A$2:A$801,$W43)="","",INDEX('Per Invoice'!A$2:A$801,$W43)))</f>
        <v/>
      </c>
      <c r="B43">
        <f>IF($W43="","",IF(INDEX('Per Invoice'!B$2:B$801,$W43)="","",INDEX('Per Invoice'!B$2:B$801,$W43)))</f>
        <v/>
      </c>
      <c r="C43">
        <f>IF($W43="","",IF(INDEX('Per Invoice'!C$2:C$801,$W43)="","",INDEX('Per Invoice'!C$2:C$801,$W43)))</f>
        <v/>
      </c>
      <c r="D43">
        <f>IF($W43="","",IF(INDEX('Per Invoice'!D$2:D$801,$W43)="","",INDEX('Per Invoice'!D$2:D$801,$W43)))</f>
        <v/>
      </c>
      <c r="E43">
        <f>IF($W43="","",IF(INDEX('Per Invoice'!E$2:E$801,$W43)="","",INDEX('Per Invoice'!E$2:E$801,$W43)))</f>
        <v/>
      </c>
      <c r="F43">
        <f>IF($W43="","",IF(INDEX('Per Invoice'!F$2:F$801,$W43)="","",INDEX('Per Invoice'!F$2:F$801,$W43)))</f>
        <v/>
      </c>
      <c r="G43">
        <f>IF($W43="","",IF(INDEX('Per Invoice'!G$2:G$801,$W43)="","",INDEX('Per Invoice'!G$2:G$801,$W43)))</f>
        <v/>
      </c>
      <c r="H43">
        <f>IF($W43="","",IF(INDEX('Per Invoice'!H$2:H$801,$W43)="","",INDEX('Per Invoice'!H$2:H$801,$W43)))</f>
        <v/>
      </c>
      <c r="I43">
        <f>IF($W43="","",IF(INDEX('Per Invoice'!I$2:I$801,$W43)="","",INDEX('Per Invoice'!I$2:I$801,$W43)))</f>
        <v/>
      </c>
      <c r="J43">
        <f>IF($W43="","",IF(INDEX('Per Invoice'!J$2:J$801,$W43)="","",INDEX('Per Invoice'!J$2:J$801,$W43)))</f>
        <v/>
      </c>
      <c r="K43" s="7">
        <f>IF($W43="","",IF(INDEX('Per Invoice'!K$2:K$801,$W43)="","",INDEX('Per Invoice'!K$2:K$801,$W43)))</f>
        <v/>
      </c>
      <c r="L43" s="14">
        <f>IF($W43="","",IF(INDEX('Per Invoice'!L$2:L$801,$W43)="","",INDEX('Per Invoice'!L$2:L$801,$W43)))</f>
        <v/>
      </c>
      <c r="M43">
        <f>IF($W43="","",IF(INDEX('Per Invoice'!M$2:M$801,$W43)="","",INDEX('Per Invoice'!M$2:M$801,$W43)))</f>
        <v/>
      </c>
      <c r="N43" s="7">
        <f>IF($W43="","",IF(INDEX('Per Invoice'!N$2:N$801,$W43)="","",INDEX('Per Invoice'!N$2:N$801,$W43)))</f>
        <v/>
      </c>
      <c r="O43" s="7">
        <f>IF($W43="","",IF(INDEX('Per Invoice'!O$2:O$801,$W43)="","",INDEX('Per Invoice'!O$2:O$801,$W43)))</f>
        <v/>
      </c>
      <c r="P43">
        <f>IF($W43="","",IF(INDEX('Per Invoice'!P$2:P$801,$W43)="","",INDEX('Per Invoice'!P$2:P$801,$W43)))</f>
        <v/>
      </c>
      <c r="Q43" s="7">
        <f>IF($W43="","",IF(INDEX('Per Invoice'!Q$2:Q$801,$W43)="","",INDEX('Per Invoice'!Q$2:Q$801,$W43)))</f>
        <v/>
      </c>
      <c r="R43" s="7">
        <f>IF($W43="","",IF(INDEX('Per Invoice'!R$2:R$801,$W43)="","",INDEX('Per Invoice'!R$2:R$801,$W43)))</f>
        <v/>
      </c>
      <c r="S43" s="7">
        <f>IF($W43="","",IF(INDEX('Per Invoice'!S$2:S$801,$W43)="","",INDEX('Per Invoice'!S$2:S$801,$W43)))</f>
        <v/>
      </c>
      <c r="T43" s="7">
        <f>IF($W43="","",IF(INDEX('Per Invoice'!T$2:T$801,$W43)="","",INDEX('Per Invoice'!T$2:T$801,$W43)))</f>
        <v/>
      </c>
      <c r="U43" s="7">
        <f>IF($W43="","",IF(INDEX('Per Invoice'!U$2:U$801,$W43)="","",INDEX('Per Invoice'!U$2:U$801,$W43)))</f>
        <v/>
      </c>
      <c r="V43" s="7">
        <f>IF($W43="","",IF(INDEX('Per Invoice'!V$2:V$801,$W43)="","",INDEX('Per Invoice'!V$2:V$801,$W43)))</f>
        <v/>
      </c>
      <c r="W43" s="16">
        <f>IFERROR(MATCH(Settings!$C$27&amp;"|"&amp;ROWS($W$2:$W43),'Per Invoice'!$X$2:$X$801,0),"")</f>
        <v/>
      </c>
    </row>
    <row r="44">
      <c r="A44">
        <f>IF($W44="","",IF(INDEX('Per Invoice'!A$2:A$801,$W44)="","",INDEX('Per Invoice'!A$2:A$801,$W44)))</f>
        <v/>
      </c>
      <c r="B44">
        <f>IF($W44="","",IF(INDEX('Per Invoice'!B$2:B$801,$W44)="","",INDEX('Per Invoice'!B$2:B$801,$W44)))</f>
        <v/>
      </c>
      <c r="C44">
        <f>IF($W44="","",IF(INDEX('Per Invoice'!C$2:C$801,$W44)="","",INDEX('Per Invoice'!C$2:C$801,$W44)))</f>
        <v/>
      </c>
      <c r="D44">
        <f>IF($W44="","",IF(INDEX('Per Invoice'!D$2:D$801,$W44)="","",INDEX('Per Invoice'!D$2:D$801,$W44)))</f>
        <v/>
      </c>
      <c r="E44">
        <f>IF($W44="","",IF(INDEX('Per Invoice'!E$2:E$801,$W44)="","",INDEX('Per Invoice'!E$2:E$801,$W44)))</f>
        <v/>
      </c>
      <c r="F44">
        <f>IF($W44="","",IF(INDEX('Per Invoice'!F$2:F$801,$W44)="","",INDEX('Per Invoice'!F$2:F$801,$W44)))</f>
        <v/>
      </c>
      <c r="G44">
        <f>IF($W44="","",IF(INDEX('Per Invoice'!G$2:G$801,$W44)="","",INDEX('Per Invoice'!G$2:G$801,$W44)))</f>
        <v/>
      </c>
      <c r="H44">
        <f>IF($W44="","",IF(INDEX('Per Invoice'!H$2:H$801,$W44)="","",INDEX('Per Invoice'!H$2:H$801,$W44)))</f>
        <v/>
      </c>
      <c r="I44">
        <f>IF($W44="","",IF(INDEX('Per Invoice'!I$2:I$801,$W44)="","",INDEX('Per Invoice'!I$2:I$801,$W44)))</f>
        <v/>
      </c>
      <c r="J44">
        <f>IF($W44="","",IF(INDEX('Per Invoice'!J$2:J$801,$W44)="","",INDEX('Per Invoice'!J$2:J$801,$W44)))</f>
        <v/>
      </c>
      <c r="K44" s="7">
        <f>IF($W44="","",IF(INDEX('Per Invoice'!K$2:K$801,$W44)="","",INDEX('Per Invoice'!K$2:K$801,$W44)))</f>
        <v/>
      </c>
      <c r="L44" s="14">
        <f>IF($W44="","",IF(INDEX('Per Invoice'!L$2:L$801,$W44)="","",INDEX('Per Invoice'!L$2:L$801,$W44)))</f>
        <v/>
      </c>
      <c r="M44">
        <f>IF($W44="","",IF(INDEX('Per Invoice'!M$2:M$801,$W44)="","",INDEX('Per Invoice'!M$2:M$801,$W44)))</f>
        <v/>
      </c>
      <c r="N44" s="7">
        <f>IF($W44="","",IF(INDEX('Per Invoice'!N$2:N$801,$W44)="","",INDEX('Per Invoice'!N$2:N$801,$W44)))</f>
        <v/>
      </c>
      <c r="O44" s="7">
        <f>IF($W44="","",IF(INDEX('Per Invoice'!O$2:O$801,$W44)="","",INDEX('Per Invoice'!O$2:O$801,$W44)))</f>
        <v/>
      </c>
      <c r="P44">
        <f>IF($W44="","",IF(INDEX('Per Invoice'!P$2:P$801,$W44)="","",INDEX('Per Invoice'!P$2:P$801,$W44)))</f>
        <v/>
      </c>
      <c r="Q44" s="7">
        <f>IF($W44="","",IF(INDEX('Per Invoice'!Q$2:Q$801,$W44)="","",INDEX('Per Invoice'!Q$2:Q$801,$W44)))</f>
        <v/>
      </c>
      <c r="R44" s="7">
        <f>IF($W44="","",IF(INDEX('Per Invoice'!R$2:R$801,$W44)="","",INDEX('Per Invoice'!R$2:R$801,$W44)))</f>
        <v/>
      </c>
      <c r="S44" s="7">
        <f>IF($W44="","",IF(INDEX('Per Invoice'!S$2:S$801,$W44)="","",INDEX('Per Invoice'!S$2:S$801,$W44)))</f>
        <v/>
      </c>
      <c r="T44" s="7">
        <f>IF($W44="","",IF(INDEX('Per Invoice'!T$2:T$801,$W44)="","",INDEX('Per Invoice'!T$2:T$801,$W44)))</f>
        <v/>
      </c>
      <c r="U44" s="7">
        <f>IF($W44="","",IF(INDEX('Per Invoice'!U$2:U$801,$W44)="","",INDEX('Per Invoice'!U$2:U$801,$W44)))</f>
        <v/>
      </c>
      <c r="V44" s="7">
        <f>IF($W44="","",IF(INDEX('Per Invoice'!V$2:V$801,$W44)="","",INDEX('Per Invoice'!V$2:V$801,$W44)))</f>
        <v/>
      </c>
      <c r="W44" s="16">
        <f>IFERROR(MATCH(Settings!$C$27&amp;"|"&amp;ROWS($W$2:$W44),'Per Invoice'!$X$2:$X$801,0),"")</f>
        <v/>
      </c>
    </row>
    <row r="45">
      <c r="A45">
        <f>IF($W45="","",IF(INDEX('Per Invoice'!A$2:A$801,$W45)="","",INDEX('Per Invoice'!A$2:A$801,$W45)))</f>
        <v/>
      </c>
      <c r="B45">
        <f>IF($W45="","",IF(INDEX('Per Invoice'!B$2:B$801,$W45)="","",INDEX('Per Invoice'!B$2:B$801,$W45)))</f>
        <v/>
      </c>
      <c r="C45">
        <f>IF($W45="","",IF(INDEX('Per Invoice'!C$2:C$801,$W45)="","",INDEX('Per Invoice'!C$2:C$801,$W45)))</f>
        <v/>
      </c>
      <c r="D45">
        <f>IF($W45="","",IF(INDEX('Per Invoice'!D$2:D$801,$W45)="","",INDEX('Per Invoice'!D$2:D$801,$W45)))</f>
        <v/>
      </c>
      <c r="E45">
        <f>IF($W45="","",IF(INDEX('Per Invoice'!E$2:E$801,$W45)="","",INDEX('Per Invoice'!E$2:E$801,$W45)))</f>
        <v/>
      </c>
      <c r="F45">
        <f>IF($W45="","",IF(INDEX('Per Invoice'!F$2:F$801,$W45)="","",INDEX('Per Invoice'!F$2:F$801,$W45)))</f>
        <v/>
      </c>
      <c r="G45">
        <f>IF($W45="","",IF(INDEX('Per Invoice'!G$2:G$801,$W45)="","",INDEX('Per Invoice'!G$2:G$801,$W45)))</f>
        <v/>
      </c>
      <c r="H45">
        <f>IF($W45="","",IF(INDEX('Per Invoice'!H$2:H$801,$W45)="","",INDEX('Per Invoice'!H$2:H$801,$W45)))</f>
        <v/>
      </c>
      <c r="I45">
        <f>IF($W45="","",IF(INDEX('Per Invoice'!I$2:I$801,$W45)="","",INDEX('Per Invoice'!I$2:I$801,$W45)))</f>
        <v/>
      </c>
      <c r="J45">
        <f>IF($W45="","",IF(INDEX('Per Invoice'!J$2:J$801,$W45)="","",INDEX('Per Invoice'!J$2:J$801,$W45)))</f>
        <v/>
      </c>
      <c r="K45" s="7">
        <f>IF($W45="","",IF(INDEX('Per Invoice'!K$2:K$801,$W45)="","",INDEX('Per Invoice'!K$2:K$801,$W45)))</f>
        <v/>
      </c>
      <c r="L45" s="14">
        <f>IF($W45="","",IF(INDEX('Per Invoice'!L$2:L$801,$W45)="","",INDEX('Per Invoice'!L$2:L$801,$W45)))</f>
        <v/>
      </c>
      <c r="M45">
        <f>IF($W45="","",IF(INDEX('Per Invoice'!M$2:M$801,$W45)="","",INDEX('Per Invoice'!M$2:M$801,$W45)))</f>
        <v/>
      </c>
      <c r="N45" s="7">
        <f>IF($W45="","",IF(INDEX('Per Invoice'!N$2:N$801,$W45)="","",INDEX('Per Invoice'!N$2:N$801,$W45)))</f>
        <v/>
      </c>
      <c r="O45" s="7">
        <f>IF($W45="","",IF(INDEX('Per Invoice'!O$2:O$801,$W45)="","",INDEX('Per Invoice'!O$2:O$801,$W45)))</f>
        <v/>
      </c>
      <c r="P45">
        <f>IF($W45="","",IF(INDEX('Per Invoice'!P$2:P$801,$W45)="","",INDEX('Per Invoice'!P$2:P$801,$W45)))</f>
        <v/>
      </c>
      <c r="Q45" s="7">
        <f>IF($W45="","",IF(INDEX('Per Invoice'!Q$2:Q$801,$W45)="","",INDEX('Per Invoice'!Q$2:Q$801,$W45)))</f>
        <v/>
      </c>
      <c r="R45" s="7">
        <f>IF($W45="","",IF(INDEX('Per Invoice'!R$2:R$801,$W45)="","",INDEX('Per Invoice'!R$2:R$801,$W45)))</f>
        <v/>
      </c>
      <c r="S45" s="7">
        <f>IF($W45="","",IF(INDEX('Per Invoice'!S$2:S$801,$W45)="","",INDEX('Per Invoice'!S$2:S$801,$W45)))</f>
        <v/>
      </c>
      <c r="T45" s="7">
        <f>IF($W45="","",IF(INDEX('Per Invoice'!T$2:T$801,$W45)="","",INDEX('Per Invoice'!T$2:T$801,$W45)))</f>
        <v/>
      </c>
      <c r="U45" s="7">
        <f>IF($W45="","",IF(INDEX('Per Invoice'!U$2:U$801,$W45)="","",INDEX('Per Invoice'!U$2:U$801,$W45)))</f>
        <v/>
      </c>
      <c r="V45" s="7">
        <f>IF($W45="","",IF(INDEX('Per Invoice'!V$2:V$801,$W45)="","",INDEX('Per Invoice'!V$2:V$801,$W45)))</f>
        <v/>
      </c>
      <c r="W45" s="16">
        <f>IFERROR(MATCH(Settings!$C$27&amp;"|"&amp;ROWS($W$2:$W45),'Per Invoice'!$X$2:$X$801,0),"")</f>
        <v/>
      </c>
    </row>
    <row r="46">
      <c r="A46">
        <f>IF($W46="","",IF(INDEX('Per Invoice'!A$2:A$801,$W46)="","",INDEX('Per Invoice'!A$2:A$801,$W46)))</f>
        <v/>
      </c>
      <c r="B46">
        <f>IF($W46="","",IF(INDEX('Per Invoice'!B$2:B$801,$W46)="","",INDEX('Per Invoice'!B$2:B$801,$W46)))</f>
        <v/>
      </c>
      <c r="C46">
        <f>IF($W46="","",IF(INDEX('Per Invoice'!C$2:C$801,$W46)="","",INDEX('Per Invoice'!C$2:C$801,$W46)))</f>
        <v/>
      </c>
      <c r="D46">
        <f>IF($W46="","",IF(INDEX('Per Invoice'!D$2:D$801,$W46)="","",INDEX('Per Invoice'!D$2:D$801,$W46)))</f>
        <v/>
      </c>
      <c r="E46">
        <f>IF($W46="","",IF(INDEX('Per Invoice'!E$2:E$801,$W46)="","",INDEX('Per Invoice'!E$2:E$801,$W46)))</f>
        <v/>
      </c>
      <c r="F46">
        <f>IF($W46="","",IF(INDEX('Per Invoice'!F$2:F$801,$W46)="","",INDEX('Per Invoice'!F$2:F$801,$W46)))</f>
        <v/>
      </c>
      <c r="G46">
        <f>IF($W46="","",IF(INDEX('Per Invoice'!G$2:G$801,$W46)="","",INDEX('Per Invoice'!G$2:G$801,$W46)))</f>
        <v/>
      </c>
      <c r="H46">
        <f>IF($W46="","",IF(INDEX('Per Invoice'!H$2:H$801,$W46)="","",INDEX('Per Invoice'!H$2:H$801,$W46)))</f>
        <v/>
      </c>
      <c r="I46">
        <f>IF($W46="","",IF(INDEX('Per Invoice'!I$2:I$801,$W46)="","",INDEX('Per Invoice'!I$2:I$801,$W46)))</f>
        <v/>
      </c>
      <c r="J46">
        <f>IF($W46="","",IF(INDEX('Per Invoice'!J$2:J$801,$W46)="","",INDEX('Per Invoice'!J$2:J$801,$W46)))</f>
        <v/>
      </c>
      <c r="K46" s="7">
        <f>IF($W46="","",IF(INDEX('Per Invoice'!K$2:K$801,$W46)="","",INDEX('Per Invoice'!K$2:K$801,$W46)))</f>
        <v/>
      </c>
      <c r="L46" s="14">
        <f>IF($W46="","",IF(INDEX('Per Invoice'!L$2:L$801,$W46)="","",INDEX('Per Invoice'!L$2:L$801,$W46)))</f>
        <v/>
      </c>
      <c r="M46">
        <f>IF($W46="","",IF(INDEX('Per Invoice'!M$2:M$801,$W46)="","",INDEX('Per Invoice'!M$2:M$801,$W46)))</f>
        <v/>
      </c>
      <c r="N46" s="7">
        <f>IF($W46="","",IF(INDEX('Per Invoice'!N$2:N$801,$W46)="","",INDEX('Per Invoice'!N$2:N$801,$W46)))</f>
        <v/>
      </c>
      <c r="O46" s="7">
        <f>IF($W46="","",IF(INDEX('Per Invoice'!O$2:O$801,$W46)="","",INDEX('Per Invoice'!O$2:O$801,$W46)))</f>
        <v/>
      </c>
      <c r="P46">
        <f>IF($W46="","",IF(INDEX('Per Invoice'!P$2:P$801,$W46)="","",INDEX('Per Invoice'!P$2:P$801,$W46)))</f>
        <v/>
      </c>
      <c r="Q46" s="7">
        <f>IF($W46="","",IF(INDEX('Per Invoice'!Q$2:Q$801,$W46)="","",INDEX('Per Invoice'!Q$2:Q$801,$W46)))</f>
        <v/>
      </c>
      <c r="R46" s="7">
        <f>IF($W46="","",IF(INDEX('Per Invoice'!R$2:R$801,$W46)="","",INDEX('Per Invoice'!R$2:R$801,$W46)))</f>
        <v/>
      </c>
      <c r="S46" s="7">
        <f>IF($W46="","",IF(INDEX('Per Invoice'!S$2:S$801,$W46)="","",INDEX('Per Invoice'!S$2:S$801,$W46)))</f>
        <v/>
      </c>
      <c r="T46" s="7">
        <f>IF($W46="","",IF(INDEX('Per Invoice'!T$2:T$801,$W46)="","",INDEX('Per Invoice'!T$2:T$801,$W46)))</f>
        <v/>
      </c>
      <c r="U46" s="7">
        <f>IF($W46="","",IF(INDEX('Per Invoice'!U$2:U$801,$W46)="","",INDEX('Per Invoice'!U$2:U$801,$W46)))</f>
        <v/>
      </c>
      <c r="V46" s="7">
        <f>IF($W46="","",IF(INDEX('Per Invoice'!V$2:V$801,$W46)="","",INDEX('Per Invoice'!V$2:V$801,$W46)))</f>
        <v/>
      </c>
      <c r="W46" s="16">
        <f>IFERROR(MATCH(Settings!$C$27&amp;"|"&amp;ROWS($W$2:$W46),'Per Invoice'!$X$2:$X$801,0),"")</f>
        <v/>
      </c>
    </row>
    <row r="47">
      <c r="A47">
        <f>IF($W47="","",IF(INDEX('Per Invoice'!A$2:A$801,$W47)="","",INDEX('Per Invoice'!A$2:A$801,$W47)))</f>
        <v/>
      </c>
      <c r="B47">
        <f>IF($W47="","",IF(INDEX('Per Invoice'!B$2:B$801,$W47)="","",INDEX('Per Invoice'!B$2:B$801,$W47)))</f>
        <v/>
      </c>
      <c r="C47">
        <f>IF($W47="","",IF(INDEX('Per Invoice'!C$2:C$801,$W47)="","",INDEX('Per Invoice'!C$2:C$801,$W47)))</f>
        <v/>
      </c>
      <c r="D47">
        <f>IF($W47="","",IF(INDEX('Per Invoice'!D$2:D$801,$W47)="","",INDEX('Per Invoice'!D$2:D$801,$W47)))</f>
        <v/>
      </c>
      <c r="E47">
        <f>IF($W47="","",IF(INDEX('Per Invoice'!E$2:E$801,$W47)="","",INDEX('Per Invoice'!E$2:E$801,$W47)))</f>
        <v/>
      </c>
      <c r="F47">
        <f>IF($W47="","",IF(INDEX('Per Invoice'!F$2:F$801,$W47)="","",INDEX('Per Invoice'!F$2:F$801,$W47)))</f>
        <v/>
      </c>
      <c r="G47">
        <f>IF($W47="","",IF(INDEX('Per Invoice'!G$2:G$801,$W47)="","",INDEX('Per Invoice'!G$2:G$801,$W47)))</f>
        <v/>
      </c>
      <c r="H47">
        <f>IF($W47="","",IF(INDEX('Per Invoice'!H$2:H$801,$W47)="","",INDEX('Per Invoice'!H$2:H$801,$W47)))</f>
        <v/>
      </c>
      <c r="I47">
        <f>IF($W47="","",IF(INDEX('Per Invoice'!I$2:I$801,$W47)="","",INDEX('Per Invoice'!I$2:I$801,$W47)))</f>
        <v/>
      </c>
      <c r="J47">
        <f>IF($W47="","",IF(INDEX('Per Invoice'!J$2:J$801,$W47)="","",INDEX('Per Invoice'!J$2:J$801,$W47)))</f>
        <v/>
      </c>
      <c r="K47" s="7">
        <f>IF($W47="","",IF(INDEX('Per Invoice'!K$2:K$801,$W47)="","",INDEX('Per Invoice'!K$2:K$801,$W47)))</f>
        <v/>
      </c>
      <c r="L47" s="14">
        <f>IF($W47="","",IF(INDEX('Per Invoice'!L$2:L$801,$W47)="","",INDEX('Per Invoice'!L$2:L$801,$W47)))</f>
        <v/>
      </c>
      <c r="M47">
        <f>IF($W47="","",IF(INDEX('Per Invoice'!M$2:M$801,$W47)="","",INDEX('Per Invoice'!M$2:M$801,$W47)))</f>
        <v/>
      </c>
      <c r="N47" s="7">
        <f>IF($W47="","",IF(INDEX('Per Invoice'!N$2:N$801,$W47)="","",INDEX('Per Invoice'!N$2:N$801,$W47)))</f>
        <v/>
      </c>
      <c r="O47" s="7">
        <f>IF($W47="","",IF(INDEX('Per Invoice'!O$2:O$801,$W47)="","",INDEX('Per Invoice'!O$2:O$801,$W47)))</f>
        <v/>
      </c>
      <c r="P47">
        <f>IF($W47="","",IF(INDEX('Per Invoice'!P$2:P$801,$W47)="","",INDEX('Per Invoice'!P$2:P$801,$W47)))</f>
        <v/>
      </c>
      <c r="Q47" s="7">
        <f>IF($W47="","",IF(INDEX('Per Invoice'!Q$2:Q$801,$W47)="","",INDEX('Per Invoice'!Q$2:Q$801,$W47)))</f>
        <v/>
      </c>
      <c r="R47" s="7">
        <f>IF($W47="","",IF(INDEX('Per Invoice'!R$2:R$801,$W47)="","",INDEX('Per Invoice'!R$2:R$801,$W47)))</f>
        <v/>
      </c>
      <c r="S47" s="7">
        <f>IF($W47="","",IF(INDEX('Per Invoice'!S$2:S$801,$W47)="","",INDEX('Per Invoice'!S$2:S$801,$W47)))</f>
        <v/>
      </c>
      <c r="T47" s="7">
        <f>IF($W47="","",IF(INDEX('Per Invoice'!T$2:T$801,$W47)="","",INDEX('Per Invoice'!T$2:T$801,$W47)))</f>
        <v/>
      </c>
      <c r="U47" s="7">
        <f>IF($W47="","",IF(INDEX('Per Invoice'!U$2:U$801,$W47)="","",INDEX('Per Invoice'!U$2:U$801,$W47)))</f>
        <v/>
      </c>
      <c r="V47" s="7">
        <f>IF($W47="","",IF(INDEX('Per Invoice'!V$2:V$801,$W47)="","",INDEX('Per Invoice'!V$2:V$801,$W47)))</f>
        <v/>
      </c>
      <c r="W47" s="16">
        <f>IFERROR(MATCH(Settings!$C$27&amp;"|"&amp;ROWS($W$2:$W47),'Per Invoice'!$X$2:$X$801,0),"")</f>
        <v/>
      </c>
    </row>
    <row r="48">
      <c r="A48">
        <f>IF($W48="","",IF(INDEX('Per Invoice'!A$2:A$801,$W48)="","",INDEX('Per Invoice'!A$2:A$801,$W48)))</f>
        <v/>
      </c>
      <c r="B48">
        <f>IF($W48="","",IF(INDEX('Per Invoice'!B$2:B$801,$W48)="","",INDEX('Per Invoice'!B$2:B$801,$W48)))</f>
        <v/>
      </c>
      <c r="C48">
        <f>IF($W48="","",IF(INDEX('Per Invoice'!C$2:C$801,$W48)="","",INDEX('Per Invoice'!C$2:C$801,$W48)))</f>
        <v/>
      </c>
      <c r="D48">
        <f>IF($W48="","",IF(INDEX('Per Invoice'!D$2:D$801,$W48)="","",INDEX('Per Invoice'!D$2:D$801,$W48)))</f>
        <v/>
      </c>
      <c r="E48">
        <f>IF($W48="","",IF(INDEX('Per Invoice'!E$2:E$801,$W48)="","",INDEX('Per Invoice'!E$2:E$801,$W48)))</f>
        <v/>
      </c>
      <c r="F48">
        <f>IF($W48="","",IF(INDEX('Per Invoice'!F$2:F$801,$W48)="","",INDEX('Per Invoice'!F$2:F$801,$W48)))</f>
        <v/>
      </c>
      <c r="G48">
        <f>IF($W48="","",IF(INDEX('Per Invoice'!G$2:G$801,$W48)="","",INDEX('Per Invoice'!G$2:G$801,$W48)))</f>
        <v/>
      </c>
      <c r="H48">
        <f>IF($W48="","",IF(INDEX('Per Invoice'!H$2:H$801,$W48)="","",INDEX('Per Invoice'!H$2:H$801,$W48)))</f>
        <v/>
      </c>
      <c r="I48">
        <f>IF($W48="","",IF(INDEX('Per Invoice'!I$2:I$801,$W48)="","",INDEX('Per Invoice'!I$2:I$801,$W48)))</f>
        <v/>
      </c>
      <c r="J48">
        <f>IF($W48="","",IF(INDEX('Per Invoice'!J$2:J$801,$W48)="","",INDEX('Per Invoice'!J$2:J$801,$W48)))</f>
        <v/>
      </c>
      <c r="K48" s="7">
        <f>IF($W48="","",IF(INDEX('Per Invoice'!K$2:K$801,$W48)="","",INDEX('Per Invoice'!K$2:K$801,$W48)))</f>
        <v/>
      </c>
      <c r="L48" s="14">
        <f>IF($W48="","",IF(INDEX('Per Invoice'!L$2:L$801,$W48)="","",INDEX('Per Invoice'!L$2:L$801,$W48)))</f>
        <v/>
      </c>
      <c r="M48">
        <f>IF($W48="","",IF(INDEX('Per Invoice'!M$2:M$801,$W48)="","",INDEX('Per Invoice'!M$2:M$801,$W48)))</f>
        <v/>
      </c>
      <c r="N48" s="7">
        <f>IF($W48="","",IF(INDEX('Per Invoice'!N$2:N$801,$W48)="","",INDEX('Per Invoice'!N$2:N$801,$W48)))</f>
        <v/>
      </c>
      <c r="O48" s="7">
        <f>IF($W48="","",IF(INDEX('Per Invoice'!O$2:O$801,$W48)="","",INDEX('Per Invoice'!O$2:O$801,$W48)))</f>
        <v/>
      </c>
      <c r="P48">
        <f>IF($W48="","",IF(INDEX('Per Invoice'!P$2:P$801,$W48)="","",INDEX('Per Invoice'!P$2:P$801,$W48)))</f>
        <v/>
      </c>
      <c r="Q48" s="7">
        <f>IF($W48="","",IF(INDEX('Per Invoice'!Q$2:Q$801,$W48)="","",INDEX('Per Invoice'!Q$2:Q$801,$W48)))</f>
        <v/>
      </c>
      <c r="R48" s="7">
        <f>IF($W48="","",IF(INDEX('Per Invoice'!R$2:R$801,$W48)="","",INDEX('Per Invoice'!R$2:R$801,$W48)))</f>
        <v/>
      </c>
      <c r="S48" s="7">
        <f>IF($W48="","",IF(INDEX('Per Invoice'!S$2:S$801,$W48)="","",INDEX('Per Invoice'!S$2:S$801,$W48)))</f>
        <v/>
      </c>
      <c r="T48" s="7">
        <f>IF($W48="","",IF(INDEX('Per Invoice'!T$2:T$801,$W48)="","",INDEX('Per Invoice'!T$2:T$801,$W48)))</f>
        <v/>
      </c>
      <c r="U48" s="7">
        <f>IF($W48="","",IF(INDEX('Per Invoice'!U$2:U$801,$W48)="","",INDEX('Per Invoice'!U$2:U$801,$W48)))</f>
        <v/>
      </c>
      <c r="V48" s="7">
        <f>IF($W48="","",IF(INDEX('Per Invoice'!V$2:V$801,$W48)="","",INDEX('Per Invoice'!V$2:V$801,$W48)))</f>
        <v/>
      </c>
      <c r="W48" s="16">
        <f>IFERROR(MATCH(Settings!$C$27&amp;"|"&amp;ROWS($W$2:$W48),'Per Invoice'!$X$2:$X$801,0),"")</f>
        <v/>
      </c>
    </row>
    <row r="49">
      <c r="A49">
        <f>IF($W49="","",IF(INDEX('Per Invoice'!A$2:A$801,$W49)="","",INDEX('Per Invoice'!A$2:A$801,$W49)))</f>
        <v/>
      </c>
      <c r="B49">
        <f>IF($W49="","",IF(INDEX('Per Invoice'!B$2:B$801,$W49)="","",INDEX('Per Invoice'!B$2:B$801,$W49)))</f>
        <v/>
      </c>
      <c r="C49">
        <f>IF($W49="","",IF(INDEX('Per Invoice'!C$2:C$801,$W49)="","",INDEX('Per Invoice'!C$2:C$801,$W49)))</f>
        <v/>
      </c>
      <c r="D49">
        <f>IF($W49="","",IF(INDEX('Per Invoice'!D$2:D$801,$W49)="","",INDEX('Per Invoice'!D$2:D$801,$W49)))</f>
        <v/>
      </c>
      <c r="E49">
        <f>IF($W49="","",IF(INDEX('Per Invoice'!E$2:E$801,$W49)="","",INDEX('Per Invoice'!E$2:E$801,$W49)))</f>
        <v/>
      </c>
      <c r="F49">
        <f>IF($W49="","",IF(INDEX('Per Invoice'!F$2:F$801,$W49)="","",INDEX('Per Invoice'!F$2:F$801,$W49)))</f>
        <v/>
      </c>
      <c r="G49">
        <f>IF($W49="","",IF(INDEX('Per Invoice'!G$2:G$801,$W49)="","",INDEX('Per Invoice'!G$2:G$801,$W49)))</f>
        <v/>
      </c>
      <c r="H49">
        <f>IF($W49="","",IF(INDEX('Per Invoice'!H$2:H$801,$W49)="","",INDEX('Per Invoice'!H$2:H$801,$W49)))</f>
        <v/>
      </c>
      <c r="I49">
        <f>IF($W49="","",IF(INDEX('Per Invoice'!I$2:I$801,$W49)="","",INDEX('Per Invoice'!I$2:I$801,$W49)))</f>
        <v/>
      </c>
      <c r="J49">
        <f>IF($W49="","",IF(INDEX('Per Invoice'!J$2:J$801,$W49)="","",INDEX('Per Invoice'!J$2:J$801,$W49)))</f>
        <v/>
      </c>
      <c r="K49" s="7">
        <f>IF($W49="","",IF(INDEX('Per Invoice'!K$2:K$801,$W49)="","",INDEX('Per Invoice'!K$2:K$801,$W49)))</f>
        <v/>
      </c>
      <c r="L49" s="14">
        <f>IF($W49="","",IF(INDEX('Per Invoice'!L$2:L$801,$W49)="","",INDEX('Per Invoice'!L$2:L$801,$W49)))</f>
        <v/>
      </c>
      <c r="M49">
        <f>IF($W49="","",IF(INDEX('Per Invoice'!M$2:M$801,$W49)="","",INDEX('Per Invoice'!M$2:M$801,$W49)))</f>
        <v/>
      </c>
      <c r="N49" s="7">
        <f>IF($W49="","",IF(INDEX('Per Invoice'!N$2:N$801,$W49)="","",INDEX('Per Invoice'!N$2:N$801,$W49)))</f>
        <v/>
      </c>
      <c r="O49" s="7">
        <f>IF($W49="","",IF(INDEX('Per Invoice'!O$2:O$801,$W49)="","",INDEX('Per Invoice'!O$2:O$801,$W49)))</f>
        <v/>
      </c>
      <c r="P49">
        <f>IF($W49="","",IF(INDEX('Per Invoice'!P$2:P$801,$W49)="","",INDEX('Per Invoice'!P$2:P$801,$W49)))</f>
        <v/>
      </c>
      <c r="Q49" s="7">
        <f>IF($W49="","",IF(INDEX('Per Invoice'!Q$2:Q$801,$W49)="","",INDEX('Per Invoice'!Q$2:Q$801,$W49)))</f>
        <v/>
      </c>
      <c r="R49" s="7">
        <f>IF($W49="","",IF(INDEX('Per Invoice'!R$2:R$801,$W49)="","",INDEX('Per Invoice'!R$2:R$801,$W49)))</f>
        <v/>
      </c>
      <c r="S49" s="7">
        <f>IF($W49="","",IF(INDEX('Per Invoice'!S$2:S$801,$W49)="","",INDEX('Per Invoice'!S$2:S$801,$W49)))</f>
        <v/>
      </c>
      <c r="T49" s="7">
        <f>IF($W49="","",IF(INDEX('Per Invoice'!T$2:T$801,$W49)="","",INDEX('Per Invoice'!T$2:T$801,$W49)))</f>
        <v/>
      </c>
      <c r="U49" s="7">
        <f>IF($W49="","",IF(INDEX('Per Invoice'!U$2:U$801,$W49)="","",INDEX('Per Invoice'!U$2:U$801,$W49)))</f>
        <v/>
      </c>
      <c r="V49" s="7">
        <f>IF($W49="","",IF(INDEX('Per Invoice'!V$2:V$801,$W49)="","",INDEX('Per Invoice'!V$2:V$801,$W49)))</f>
        <v/>
      </c>
      <c r="W49" s="16">
        <f>IFERROR(MATCH(Settings!$C$27&amp;"|"&amp;ROWS($W$2:$W49),'Per Invoice'!$X$2:$X$801,0),"")</f>
        <v/>
      </c>
    </row>
    <row r="50">
      <c r="A50">
        <f>IF($W50="","",IF(INDEX('Per Invoice'!A$2:A$801,$W50)="","",INDEX('Per Invoice'!A$2:A$801,$W50)))</f>
        <v/>
      </c>
      <c r="B50">
        <f>IF($W50="","",IF(INDEX('Per Invoice'!B$2:B$801,$W50)="","",INDEX('Per Invoice'!B$2:B$801,$W50)))</f>
        <v/>
      </c>
      <c r="C50">
        <f>IF($W50="","",IF(INDEX('Per Invoice'!C$2:C$801,$W50)="","",INDEX('Per Invoice'!C$2:C$801,$W50)))</f>
        <v/>
      </c>
      <c r="D50">
        <f>IF($W50="","",IF(INDEX('Per Invoice'!D$2:D$801,$W50)="","",INDEX('Per Invoice'!D$2:D$801,$W50)))</f>
        <v/>
      </c>
      <c r="E50">
        <f>IF($W50="","",IF(INDEX('Per Invoice'!E$2:E$801,$W50)="","",INDEX('Per Invoice'!E$2:E$801,$W50)))</f>
        <v/>
      </c>
      <c r="F50">
        <f>IF($W50="","",IF(INDEX('Per Invoice'!F$2:F$801,$W50)="","",INDEX('Per Invoice'!F$2:F$801,$W50)))</f>
        <v/>
      </c>
      <c r="G50">
        <f>IF($W50="","",IF(INDEX('Per Invoice'!G$2:G$801,$W50)="","",INDEX('Per Invoice'!G$2:G$801,$W50)))</f>
        <v/>
      </c>
      <c r="H50">
        <f>IF($W50="","",IF(INDEX('Per Invoice'!H$2:H$801,$W50)="","",INDEX('Per Invoice'!H$2:H$801,$W50)))</f>
        <v/>
      </c>
      <c r="I50">
        <f>IF($W50="","",IF(INDEX('Per Invoice'!I$2:I$801,$W50)="","",INDEX('Per Invoice'!I$2:I$801,$W50)))</f>
        <v/>
      </c>
      <c r="J50">
        <f>IF($W50="","",IF(INDEX('Per Invoice'!J$2:J$801,$W50)="","",INDEX('Per Invoice'!J$2:J$801,$W50)))</f>
        <v/>
      </c>
      <c r="K50" s="7">
        <f>IF($W50="","",IF(INDEX('Per Invoice'!K$2:K$801,$W50)="","",INDEX('Per Invoice'!K$2:K$801,$W50)))</f>
        <v/>
      </c>
      <c r="L50" s="14">
        <f>IF($W50="","",IF(INDEX('Per Invoice'!L$2:L$801,$W50)="","",INDEX('Per Invoice'!L$2:L$801,$W50)))</f>
        <v/>
      </c>
      <c r="M50">
        <f>IF($W50="","",IF(INDEX('Per Invoice'!M$2:M$801,$W50)="","",INDEX('Per Invoice'!M$2:M$801,$W50)))</f>
        <v/>
      </c>
      <c r="N50" s="7">
        <f>IF($W50="","",IF(INDEX('Per Invoice'!N$2:N$801,$W50)="","",INDEX('Per Invoice'!N$2:N$801,$W50)))</f>
        <v/>
      </c>
      <c r="O50" s="7">
        <f>IF($W50="","",IF(INDEX('Per Invoice'!O$2:O$801,$W50)="","",INDEX('Per Invoice'!O$2:O$801,$W50)))</f>
        <v/>
      </c>
      <c r="P50">
        <f>IF($W50="","",IF(INDEX('Per Invoice'!P$2:P$801,$W50)="","",INDEX('Per Invoice'!P$2:P$801,$W50)))</f>
        <v/>
      </c>
      <c r="Q50" s="7">
        <f>IF($W50="","",IF(INDEX('Per Invoice'!Q$2:Q$801,$W50)="","",INDEX('Per Invoice'!Q$2:Q$801,$W50)))</f>
        <v/>
      </c>
      <c r="R50" s="7">
        <f>IF($W50="","",IF(INDEX('Per Invoice'!R$2:R$801,$W50)="","",INDEX('Per Invoice'!R$2:R$801,$W50)))</f>
        <v/>
      </c>
      <c r="S50" s="7">
        <f>IF($W50="","",IF(INDEX('Per Invoice'!S$2:S$801,$W50)="","",INDEX('Per Invoice'!S$2:S$801,$W50)))</f>
        <v/>
      </c>
      <c r="T50" s="7">
        <f>IF($W50="","",IF(INDEX('Per Invoice'!T$2:T$801,$W50)="","",INDEX('Per Invoice'!T$2:T$801,$W50)))</f>
        <v/>
      </c>
      <c r="U50" s="7">
        <f>IF($W50="","",IF(INDEX('Per Invoice'!U$2:U$801,$W50)="","",INDEX('Per Invoice'!U$2:U$801,$W50)))</f>
        <v/>
      </c>
      <c r="V50" s="7">
        <f>IF($W50="","",IF(INDEX('Per Invoice'!V$2:V$801,$W50)="","",INDEX('Per Invoice'!V$2:V$801,$W50)))</f>
        <v/>
      </c>
      <c r="W50" s="16">
        <f>IFERROR(MATCH(Settings!$C$27&amp;"|"&amp;ROWS($W$2:$W50),'Per Invoice'!$X$2:$X$801,0),"")</f>
        <v/>
      </c>
    </row>
    <row r="51">
      <c r="A51">
        <f>IF($W51="","",IF(INDEX('Per Invoice'!A$2:A$801,$W51)="","",INDEX('Per Invoice'!A$2:A$801,$W51)))</f>
        <v/>
      </c>
      <c r="B51">
        <f>IF($W51="","",IF(INDEX('Per Invoice'!B$2:B$801,$W51)="","",INDEX('Per Invoice'!B$2:B$801,$W51)))</f>
        <v/>
      </c>
      <c r="C51">
        <f>IF($W51="","",IF(INDEX('Per Invoice'!C$2:C$801,$W51)="","",INDEX('Per Invoice'!C$2:C$801,$W51)))</f>
        <v/>
      </c>
      <c r="D51">
        <f>IF($W51="","",IF(INDEX('Per Invoice'!D$2:D$801,$W51)="","",INDEX('Per Invoice'!D$2:D$801,$W51)))</f>
        <v/>
      </c>
      <c r="E51">
        <f>IF($W51="","",IF(INDEX('Per Invoice'!E$2:E$801,$W51)="","",INDEX('Per Invoice'!E$2:E$801,$W51)))</f>
        <v/>
      </c>
      <c r="F51">
        <f>IF($W51="","",IF(INDEX('Per Invoice'!F$2:F$801,$W51)="","",INDEX('Per Invoice'!F$2:F$801,$W51)))</f>
        <v/>
      </c>
      <c r="G51">
        <f>IF($W51="","",IF(INDEX('Per Invoice'!G$2:G$801,$W51)="","",INDEX('Per Invoice'!G$2:G$801,$W51)))</f>
        <v/>
      </c>
      <c r="H51">
        <f>IF($W51="","",IF(INDEX('Per Invoice'!H$2:H$801,$W51)="","",INDEX('Per Invoice'!H$2:H$801,$W51)))</f>
        <v/>
      </c>
      <c r="I51">
        <f>IF($W51="","",IF(INDEX('Per Invoice'!I$2:I$801,$W51)="","",INDEX('Per Invoice'!I$2:I$801,$W51)))</f>
        <v/>
      </c>
      <c r="J51">
        <f>IF($W51="","",IF(INDEX('Per Invoice'!J$2:J$801,$W51)="","",INDEX('Per Invoice'!J$2:J$801,$W51)))</f>
        <v/>
      </c>
      <c r="K51" s="7">
        <f>IF($W51="","",IF(INDEX('Per Invoice'!K$2:K$801,$W51)="","",INDEX('Per Invoice'!K$2:K$801,$W51)))</f>
        <v/>
      </c>
      <c r="L51" s="14">
        <f>IF($W51="","",IF(INDEX('Per Invoice'!L$2:L$801,$W51)="","",INDEX('Per Invoice'!L$2:L$801,$W51)))</f>
        <v/>
      </c>
      <c r="M51">
        <f>IF($W51="","",IF(INDEX('Per Invoice'!M$2:M$801,$W51)="","",INDEX('Per Invoice'!M$2:M$801,$W51)))</f>
        <v/>
      </c>
      <c r="N51" s="7">
        <f>IF($W51="","",IF(INDEX('Per Invoice'!N$2:N$801,$W51)="","",INDEX('Per Invoice'!N$2:N$801,$W51)))</f>
        <v/>
      </c>
      <c r="O51" s="7">
        <f>IF($W51="","",IF(INDEX('Per Invoice'!O$2:O$801,$W51)="","",INDEX('Per Invoice'!O$2:O$801,$W51)))</f>
        <v/>
      </c>
      <c r="P51">
        <f>IF($W51="","",IF(INDEX('Per Invoice'!P$2:P$801,$W51)="","",INDEX('Per Invoice'!P$2:P$801,$W51)))</f>
        <v/>
      </c>
      <c r="Q51" s="7">
        <f>IF($W51="","",IF(INDEX('Per Invoice'!Q$2:Q$801,$W51)="","",INDEX('Per Invoice'!Q$2:Q$801,$W51)))</f>
        <v/>
      </c>
      <c r="R51" s="7">
        <f>IF($W51="","",IF(INDEX('Per Invoice'!R$2:R$801,$W51)="","",INDEX('Per Invoice'!R$2:R$801,$W51)))</f>
        <v/>
      </c>
      <c r="S51" s="7">
        <f>IF($W51="","",IF(INDEX('Per Invoice'!S$2:S$801,$W51)="","",INDEX('Per Invoice'!S$2:S$801,$W51)))</f>
        <v/>
      </c>
      <c r="T51" s="7">
        <f>IF($W51="","",IF(INDEX('Per Invoice'!T$2:T$801,$W51)="","",INDEX('Per Invoice'!T$2:T$801,$W51)))</f>
        <v/>
      </c>
      <c r="U51" s="7">
        <f>IF($W51="","",IF(INDEX('Per Invoice'!U$2:U$801,$W51)="","",INDEX('Per Invoice'!U$2:U$801,$W51)))</f>
        <v/>
      </c>
      <c r="V51" s="7">
        <f>IF($W51="","",IF(INDEX('Per Invoice'!V$2:V$801,$W51)="","",INDEX('Per Invoice'!V$2:V$801,$W51)))</f>
        <v/>
      </c>
      <c r="W51" s="16">
        <f>IFERROR(MATCH(Settings!$C$27&amp;"|"&amp;ROWS($W$2:$W51),'Per Invoice'!$X$2:$X$801,0),"")</f>
        <v/>
      </c>
    </row>
    <row r="52">
      <c r="A52">
        <f>IF($W52="","",IF(INDEX('Per Invoice'!A$2:A$801,$W52)="","",INDEX('Per Invoice'!A$2:A$801,$W52)))</f>
        <v/>
      </c>
      <c r="B52">
        <f>IF($W52="","",IF(INDEX('Per Invoice'!B$2:B$801,$W52)="","",INDEX('Per Invoice'!B$2:B$801,$W52)))</f>
        <v/>
      </c>
      <c r="C52">
        <f>IF($W52="","",IF(INDEX('Per Invoice'!C$2:C$801,$W52)="","",INDEX('Per Invoice'!C$2:C$801,$W52)))</f>
        <v/>
      </c>
      <c r="D52">
        <f>IF($W52="","",IF(INDEX('Per Invoice'!D$2:D$801,$W52)="","",INDEX('Per Invoice'!D$2:D$801,$W52)))</f>
        <v/>
      </c>
      <c r="E52">
        <f>IF($W52="","",IF(INDEX('Per Invoice'!E$2:E$801,$W52)="","",INDEX('Per Invoice'!E$2:E$801,$W52)))</f>
        <v/>
      </c>
      <c r="F52">
        <f>IF($W52="","",IF(INDEX('Per Invoice'!F$2:F$801,$W52)="","",INDEX('Per Invoice'!F$2:F$801,$W52)))</f>
        <v/>
      </c>
      <c r="G52">
        <f>IF($W52="","",IF(INDEX('Per Invoice'!G$2:G$801,$W52)="","",INDEX('Per Invoice'!G$2:G$801,$W52)))</f>
        <v/>
      </c>
      <c r="H52">
        <f>IF($W52="","",IF(INDEX('Per Invoice'!H$2:H$801,$W52)="","",INDEX('Per Invoice'!H$2:H$801,$W52)))</f>
        <v/>
      </c>
      <c r="I52">
        <f>IF($W52="","",IF(INDEX('Per Invoice'!I$2:I$801,$W52)="","",INDEX('Per Invoice'!I$2:I$801,$W52)))</f>
        <v/>
      </c>
      <c r="J52">
        <f>IF($W52="","",IF(INDEX('Per Invoice'!J$2:J$801,$W52)="","",INDEX('Per Invoice'!J$2:J$801,$W52)))</f>
        <v/>
      </c>
      <c r="K52" s="7">
        <f>IF($W52="","",IF(INDEX('Per Invoice'!K$2:K$801,$W52)="","",INDEX('Per Invoice'!K$2:K$801,$W52)))</f>
        <v/>
      </c>
      <c r="L52" s="14">
        <f>IF($W52="","",IF(INDEX('Per Invoice'!L$2:L$801,$W52)="","",INDEX('Per Invoice'!L$2:L$801,$W52)))</f>
        <v/>
      </c>
      <c r="M52">
        <f>IF($W52="","",IF(INDEX('Per Invoice'!M$2:M$801,$W52)="","",INDEX('Per Invoice'!M$2:M$801,$W52)))</f>
        <v/>
      </c>
      <c r="N52" s="7">
        <f>IF($W52="","",IF(INDEX('Per Invoice'!N$2:N$801,$W52)="","",INDEX('Per Invoice'!N$2:N$801,$W52)))</f>
        <v/>
      </c>
      <c r="O52" s="7">
        <f>IF($W52="","",IF(INDEX('Per Invoice'!O$2:O$801,$W52)="","",INDEX('Per Invoice'!O$2:O$801,$W52)))</f>
        <v/>
      </c>
      <c r="P52">
        <f>IF($W52="","",IF(INDEX('Per Invoice'!P$2:P$801,$W52)="","",INDEX('Per Invoice'!P$2:P$801,$W52)))</f>
        <v/>
      </c>
      <c r="Q52" s="7">
        <f>IF($W52="","",IF(INDEX('Per Invoice'!Q$2:Q$801,$W52)="","",INDEX('Per Invoice'!Q$2:Q$801,$W52)))</f>
        <v/>
      </c>
      <c r="R52" s="7">
        <f>IF($W52="","",IF(INDEX('Per Invoice'!R$2:R$801,$W52)="","",INDEX('Per Invoice'!R$2:R$801,$W52)))</f>
        <v/>
      </c>
      <c r="S52" s="7">
        <f>IF($W52="","",IF(INDEX('Per Invoice'!S$2:S$801,$W52)="","",INDEX('Per Invoice'!S$2:S$801,$W52)))</f>
        <v/>
      </c>
      <c r="T52" s="7">
        <f>IF($W52="","",IF(INDEX('Per Invoice'!T$2:T$801,$W52)="","",INDEX('Per Invoice'!T$2:T$801,$W52)))</f>
        <v/>
      </c>
      <c r="U52" s="7">
        <f>IF($W52="","",IF(INDEX('Per Invoice'!U$2:U$801,$W52)="","",INDEX('Per Invoice'!U$2:U$801,$W52)))</f>
        <v/>
      </c>
      <c r="V52" s="7">
        <f>IF($W52="","",IF(INDEX('Per Invoice'!V$2:V$801,$W52)="","",INDEX('Per Invoice'!V$2:V$801,$W52)))</f>
        <v/>
      </c>
      <c r="W52" s="16">
        <f>IFERROR(MATCH(Settings!$C$27&amp;"|"&amp;ROWS($W$2:$W52),'Per Invoice'!$X$2:$X$801,0),"")</f>
        <v/>
      </c>
    </row>
    <row r="53">
      <c r="A53">
        <f>IF($W53="","",IF(INDEX('Per Invoice'!A$2:A$801,$W53)="","",INDEX('Per Invoice'!A$2:A$801,$W53)))</f>
        <v/>
      </c>
      <c r="B53">
        <f>IF($W53="","",IF(INDEX('Per Invoice'!B$2:B$801,$W53)="","",INDEX('Per Invoice'!B$2:B$801,$W53)))</f>
        <v/>
      </c>
      <c r="C53">
        <f>IF($W53="","",IF(INDEX('Per Invoice'!C$2:C$801,$W53)="","",INDEX('Per Invoice'!C$2:C$801,$W53)))</f>
        <v/>
      </c>
      <c r="D53">
        <f>IF($W53="","",IF(INDEX('Per Invoice'!D$2:D$801,$W53)="","",INDEX('Per Invoice'!D$2:D$801,$W53)))</f>
        <v/>
      </c>
      <c r="E53">
        <f>IF($W53="","",IF(INDEX('Per Invoice'!E$2:E$801,$W53)="","",INDEX('Per Invoice'!E$2:E$801,$W53)))</f>
        <v/>
      </c>
      <c r="F53">
        <f>IF($W53="","",IF(INDEX('Per Invoice'!F$2:F$801,$W53)="","",INDEX('Per Invoice'!F$2:F$801,$W53)))</f>
        <v/>
      </c>
      <c r="G53">
        <f>IF($W53="","",IF(INDEX('Per Invoice'!G$2:G$801,$W53)="","",INDEX('Per Invoice'!G$2:G$801,$W53)))</f>
        <v/>
      </c>
      <c r="H53">
        <f>IF($W53="","",IF(INDEX('Per Invoice'!H$2:H$801,$W53)="","",INDEX('Per Invoice'!H$2:H$801,$W53)))</f>
        <v/>
      </c>
      <c r="I53">
        <f>IF($W53="","",IF(INDEX('Per Invoice'!I$2:I$801,$W53)="","",INDEX('Per Invoice'!I$2:I$801,$W53)))</f>
        <v/>
      </c>
      <c r="J53">
        <f>IF($W53="","",IF(INDEX('Per Invoice'!J$2:J$801,$W53)="","",INDEX('Per Invoice'!J$2:J$801,$W53)))</f>
        <v/>
      </c>
      <c r="K53" s="7">
        <f>IF($W53="","",IF(INDEX('Per Invoice'!K$2:K$801,$W53)="","",INDEX('Per Invoice'!K$2:K$801,$W53)))</f>
        <v/>
      </c>
      <c r="L53" s="14">
        <f>IF($W53="","",IF(INDEX('Per Invoice'!L$2:L$801,$W53)="","",INDEX('Per Invoice'!L$2:L$801,$W53)))</f>
        <v/>
      </c>
      <c r="M53">
        <f>IF($W53="","",IF(INDEX('Per Invoice'!M$2:M$801,$W53)="","",INDEX('Per Invoice'!M$2:M$801,$W53)))</f>
        <v/>
      </c>
      <c r="N53" s="7">
        <f>IF($W53="","",IF(INDEX('Per Invoice'!N$2:N$801,$W53)="","",INDEX('Per Invoice'!N$2:N$801,$W53)))</f>
        <v/>
      </c>
      <c r="O53" s="7">
        <f>IF($W53="","",IF(INDEX('Per Invoice'!O$2:O$801,$W53)="","",INDEX('Per Invoice'!O$2:O$801,$W53)))</f>
        <v/>
      </c>
      <c r="P53">
        <f>IF($W53="","",IF(INDEX('Per Invoice'!P$2:P$801,$W53)="","",INDEX('Per Invoice'!P$2:P$801,$W53)))</f>
        <v/>
      </c>
      <c r="Q53" s="7">
        <f>IF($W53="","",IF(INDEX('Per Invoice'!Q$2:Q$801,$W53)="","",INDEX('Per Invoice'!Q$2:Q$801,$W53)))</f>
        <v/>
      </c>
      <c r="R53" s="7">
        <f>IF($W53="","",IF(INDEX('Per Invoice'!R$2:R$801,$W53)="","",INDEX('Per Invoice'!R$2:R$801,$W53)))</f>
        <v/>
      </c>
      <c r="S53" s="7">
        <f>IF($W53="","",IF(INDEX('Per Invoice'!S$2:S$801,$W53)="","",INDEX('Per Invoice'!S$2:S$801,$W53)))</f>
        <v/>
      </c>
      <c r="T53" s="7">
        <f>IF($W53="","",IF(INDEX('Per Invoice'!T$2:T$801,$W53)="","",INDEX('Per Invoice'!T$2:T$801,$W53)))</f>
        <v/>
      </c>
      <c r="U53" s="7">
        <f>IF($W53="","",IF(INDEX('Per Invoice'!U$2:U$801,$W53)="","",INDEX('Per Invoice'!U$2:U$801,$W53)))</f>
        <v/>
      </c>
      <c r="V53" s="7">
        <f>IF($W53="","",IF(INDEX('Per Invoice'!V$2:V$801,$W53)="","",INDEX('Per Invoice'!V$2:V$801,$W53)))</f>
        <v/>
      </c>
      <c r="W53" s="16">
        <f>IFERROR(MATCH(Settings!$C$27&amp;"|"&amp;ROWS($W$2:$W53),'Per Invoice'!$X$2:$X$801,0),"")</f>
        <v/>
      </c>
    </row>
    <row r="54">
      <c r="A54">
        <f>IF($W54="","",IF(INDEX('Per Invoice'!A$2:A$801,$W54)="","",INDEX('Per Invoice'!A$2:A$801,$W54)))</f>
        <v/>
      </c>
      <c r="B54">
        <f>IF($W54="","",IF(INDEX('Per Invoice'!B$2:B$801,$W54)="","",INDEX('Per Invoice'!B$2:B$801,$W54)))</f>
        <v/>
      </c>
      <c r="C54">
        <f>IF($W54="","",IF(INDEX('Per Invoice'!C$2:C$801,$W54)="","",INDEX('Per Invoice'!C$2:C$801,$W54)))</f>
        <v/>
      </c>
      <c r="D54">
        <f>IF($W54="","",IF(INDEX('Per Invoice'!D$2:D$801,$W54)="","",INDEX('Per Invoice'!D$2:D$801,$W54)))</f>
        <v/>
      </c>
      <c r="E54">
        <f>IF($W54="","",IF(INDEX('Per Invoice'!E$2:E$801,$W54)="","",INDEX('Per Invoice'!E$2:E$801,$W54)))</f>
        <v/>
      </c>
      <c r="F54">
        <f>IF($W54="","",IF(INDEX('Per Invoice'!F$2:F$801,$W54)="","",INDEX('Per Invoice'!F$2:F$801,$W54)))</f>
        <v/>
      </c>
      <c r="G54">
        <f>IF($W54="","",IF(INDEX('Per Invoice'!G$2:G$801,$W54)="","",INDEX('Per Invoice'!G$2:G$801,$W54)))</f>
        <v/>
      </c>
      <c r="H54">
        <f>IF($W54="","",IF(INDEX('Per Invoice'!H$2:H$801,$W54)="","",INDEX('Per Invoice'!H$2:H$801,$W54)))</f>
        <v/>
      </c>
      <c r="I54">
        <f>IF($W54="","",IF(INDEX('Per Invoice'!I$2:I$801,$W54)="","",INDEX('Per Invoice'!I$2:I$801,$W54)))</f>
        <v/>
      </c>
      <c r="J54">
        <f>IF($W54="","",IF(INDEX('Per Invoice'!J$2:J$801,$W54)="","",INDEX('Per Invoice'!J$2:J$801,$W54)))</f>
        <v/>
      </c>
      <c r="K54" s="7">
        <f>IF($W54="","",IF(INDEX('Per Invoice'!K$2:K$801,$W54)="","",INDEX('Per Invoice'!K$2:K$801,$W54)))</f>
        <v/>
      </c>
      <c r="L54" s="14">
        <f>IF($W54="","",IF(INDEX('Per Invoice'!L$2:L$801,$W54)="","",INDEX('Per Invoice'!L$2:L$801,$W54)))</f>
        <v/>
      </c>
      <c r="M54">
        <f>IF($W54="","",IF(INDEX('Per Invoice'!M$2:M$801,$W54)="","",INDEX('Per Invoice'!M$2:M$801,$W54)))</f>
        <v/>
      </c>
      <c r="N54" s="7">
        <f>IF($W54="","",IF(INDEX('Per Invoice'!N$2:N$801,$W54)="","",INDEX('Per Invoice'!N$2:N$801,$W54)))</f>
        <v/>
      </c>
      <c r="O54" s="7">
        <f>IF($W54="","",IF(INDEX('Per Invoice'!O$2:O$801,$W54)="","",INDEX('Per Invoice'!O$2:O$801,$W54)))</f>
        <v/>
      </c>
      <c r="P54">
        <f>IF($W54="","",IF(INDEX('Per Invoice'!P$2:P$801,$W54)="","",INDEX('Per Invoice'!P$2:P$801,$W54)))</f>
        <v/>
      </c>
      <c r="Q54" s="7">
        <f>IF($W54="","",IF(INDEX('Per Invoice'!Q$2:Q$801,$W54)="","",INDEX('Per Invoice'!Q$2:Q$801,$W54)))</f>
        <v/>
      </c>
      <c r="R54" s="7">
        <f>IF($W54="","",IF(INDEX('Per Invoice'!R$2:R$801,$W54)="","",INDEX('Per Invoice'!R$2:R$801,$W54)))</f>
        <v/>
      </c>
      <c r="S54" s="7">
        <f>IF($W54="","",IF(INDEX('Per Invoice'!S$2:S$801,$W54)="","",INDEX('Per Invoice'!S$2:S$801,$W54)))</f>
        <v/>
      </c>
      <c r="T54" s="7">
        <f>IF($W54="","",IF(INDEX('Per Invoice'!T$2:T$801,$W54)="","",INDEX('Per Invoice'!T$2:T$801,$W54)))</f>
        <v/>
      </c>
      <c r="U54" s="7">
        <f>IF($W54="","",IF(INDEX('Per Invoice'!U$2:U$801,$W54)="","",INDEX('Per Invoice'!U$2:U$801,$W54)))</f>
        <v/>
      </c>
      <c r="V54" s="7">
        <f>IF($W54="","",IF(INDEX('Per Invoice'!V$2:V$801,$W54)="","",INDEX('Per Invoice'!V$2:V$801,$W54)))</f>
        <v/>
      </c>
      <c r="W54" s="16">
        <f>IFERROR(MATCH(Settings!$C$27&amp;"|"&amp;ROWS($W$2:$W54),'Per Invoice'!$X$2:$X$801,0),"")</f>
        <v/>
      </c>
    </row>
    <row r="55">
      <c r="A55">
        <f>IF($W55="","",IF(INDEX('Per Invoice'!A$2:A$801,$W55)="","",INDEX('Per Invoice'!A$2:A$801,$W55)))</f>
        <v/>
      </c>
      <c r="B55">
        <f>IF($W55="","",IF(INDEX('Per Invoice'!B$2:B$801,$W55)="","",INDEX('Per Invoice'!B$2:B$801,$W55)))</f>
        <v/>
      </c>
      <c r="C55">
        <f>IF($W55="","",IF(INDEX('Per Invoice'!C$2:C$801,$W55)="","",INDEX('Per Invoice'!C$2:C$801,$W55)))</f>
        <v/>
      </c>
      <c r="D55">
        <f>IF($W55="","",IF(INDEX('Per Invoice'!D$2:D$801,$W55)="","",INDEX('Per Invoice'!D$2:D$801,$W55)))</f>
        <v/>
      </c>
      <c r="E55">
        <f>IF($W55="","",IF(INDEX('Per Invoice'!E$2:E$801,$W55)="","",INDEX('Per Invoice'!E$2:E$801,$W55)))</f>
        <v/>
      </c>
      <c r="F55">
        <f>IF($W55="","",IF(INDEX('Per Invoice'!F$2:F$801,$W55)="","",INDEX('Per Invoice'!F$2:F$801,$W55)))</f>
        <v/>
      </c>
      <c r="G55">
        <f>IF($W55="","",IF(INDEX('Per Invoice'!G$2:G$801,$W55)="","",INDEX('Per Invoice'!G$2:G$801,$W55)))</f>
        <v/>
      </c>
      <c r="H55">
        <f>IF($W55="","",IF(INDEX('Per Invoice'!H$2:H$801,$W55)="","",INDEX('Per Invoice'!H$2:H$801,$W55)))</f>
        <v/>
      </c>
      <c r="I55">
        <f>IF($W55="","",IF(INDEX('Per Invoice'!I$2:I$801,$W55)="","",INDEX('Per Invoice'!I$2:I$801,$W55)))</f>
        <v/>
      </c>
      <c r="J55">
        <f>IF($W55="","",IF(INDEX('Per Invoice'!J$2:J$801,$W55)="","",INDEX('Per Invoice'!J$2:J$801,$W55)))</f>
        <v/>
      </c>
      <c r="K55" s="7">
        <f>IF($W55="","",IF(INDEX('Per Invoice'!K$2:K$801,$W55)="","",INDEX('Per Invoice'!K$2:K$801,$W55)))</f>
        <v/>
      </c>
      <c r="L55" s="14">
        <f>IF($W55="","",IF(INDEX('Per Invoice'!L$2:L$801,$W55)="","",INDEX('Per Invoice'!L$2:L$801,$W55)))</f>
        <v/>
      </c>
      <c r="M55">
        <f>IF($W55="","",IF(INDEX('Per Invoice'!M$2:M$801,$W55)="","",INDEX('Per Invoice'!M$2:M$801,$W55)))</f>
        <v/>
      </c>
      <c r="N55" s="7">
        <f>IF($W55="","",IF(INDEX('Per Invoice'!N$2:N$801,$W55)="","",INDEX('Per Invoice'!N$2:N$801,$W55)))</f>
        <v/>
      </c>
      <c r="O55" s="7">
        <f>IF($W55="","",IF(INDEX('Per Invoice'!O$2:O$801,$W55)="","",INDEX('Per Invoice'!O$2:O$801,$W55)))</f>
        <v/>
      </c>
      <c r="P55">
        <f>IF($W55="","",IF(INDEX('Per Invoice'!P$2:P$801,$W55)="","",INDEX('Per Invoice'!P$2:P$801,$W55)))</f>
        <v/>
      </c>
      <c r="Q55" s="7">
        <f>IF($W55="","",IF(INDEX('Per Invoice'!Q$2:Q$801,$W55)="","",INDEX('Per Invoice'!Q$2:Q$801,$W55)))</f>
        <v/>
      </c>
      <c r="R55" s="7">
        <f>IF($W55="","",IF(INDEX('Per Invoice'!R$2:R$801,$W55)="","",INDEX('Per Invoice'!R$2:R$801,$W55)))</f>
        <v/>
      </c>
      <c r="S55" s="7">
        <f>IF($W55="","",IF(INDEX('Per Invoice'!S$2:S$801,$W55)="","",INDEX('Per Invoice'!S$2:S$801,$W55)))</f>
        <v/>
      </c>
      <c r="T55" s="7">
        <f>IF($W55="","",IF(INDEX('Per Invoice'!T$2:T$801,$W55)="","",INDEX('Per Invoice'!T$2:T$801,$W55)))</f>
        <v/>
      </c>
      <c r="U55" s="7">
        <f>IF($W55="","",IF(INDEX('Per Invoice'!U$2:U$801,$W55)="","",INDEX('Per Invoice'!U$2:U$801,$W55)))</f>
        <v/>
      </c>
      <c r="V55" s="7">
        <f>IF($W55="","",IF(INDEX('Per Invoice'!V$2:V$801,$W55)="","",INDEX('Per Invoice'!V$2:V$801,$W55)))</f>
        <v/>
      </c>
      <c r="W55" s="16">
        <f>IFERROR(MATCH(Settings!$C$27&amp;"|"&amp;ROWS($W$2:$W55),'Per Invoice'!$X$2:$X$801,0),"")</f>
        <v/>
      </c>
    </row>
    <row r="56">
      <c r="A56">
        <f>IF($W56="","",IF(INDEX('Per Invoice'!A$2:A$801,$W56)="","",INDEX('Per Invoice'!A$2:A$801,$W56)))</f>
        <v/>
      </c>
      <c r="B56">
        <f>IF($W56="","",IF(INDEX('Per Invoice'!B$2:B$801,$W56)="","",INDEX('Per Invoice'!B$2:B$801,$W56)))</f>
        <v/>
      </c>
      <c r="C56">
        <f>IF($W56="","",IF(INDEX('Per Invoice'!C$2:C$801,$W56)="","",INDEX('Per Invoice'!C$2:C$801,$W56)))</f>
        <v/>
      </c>
      <c r="D56">
        <f>IF($W56="","",IF(INDEX('Per Invoice'!D$2:D$801,$W56)="","",INDEX('Per Invoice'!D$2:D$801,$W56)))</f>
        <v/>
      </c>
      <c r="E56">
        <f>IF($W56="","",IF(INDEX('Per Invoice'!E$2:E$801,$W56)="","",INDEX('Per Invoice'!E$2:E$801,$W56)))</f>
        <v/>
      </c>
      <c r="F56">
        <f>IF($W56="","",IF(INDEX('Per Invoice'!F$2:F$801,$W56)="","",INDEX('Per Invoice'!F$2:F$801,$W56)))</f>
        <v/>
      </c>
      <c r="G56">
        <f>IF($W56="","",IF(INDEX('Per Invoice'!G$2:G$801,$W56)="","",INDEX('Per Invoice'!G$2:G$801,$W56)))</f>
        <v/>
      </c>
      <c r="H56">
        <f>IF($W56="","",IF(INDEX('Per Invoice'!H$2:H$801,$W56)="","",INDEX('Per Invoice'!H$2:H$801,$W56)))</f>
        <v/>
      </c>
      <c r="I56">
        <f>IF($W56="","",IF(INDEX('Per Invoice'!I$2:I$801,$W56)="","",INDEX('Per Invoice'!I$2:I$801,$W56)))</f>
        <v/>
      </c>
      <c r="J56">
        <f>IF($W56="","",IF(INDEX('Per Invoice'!J$2:J$801,$W56)="","",INDEX('Per Invoice'!J$2:J$801,$W56)))</f>
        <v/>
      </c>
      <c r="K56" s="7">
        <f>IF($W56="","",IF(INDEX('Per Invoice'!K$2:K$801,$W56)="","",INDEX('Per Invoice'!K$2:K$801,$W56)))</f>
        <v/>
      </c>
      <c r="L56" s="14">
        <f>IF($W56="","",IF(INDEX('Per Invoice'!L$2:L$801,$W56)="","",INDEX('Per Invoice'!L$2:L$801,$W56)))</f>
        <v/>
      </c>
      <c r="M56">
        <f>IF($W56="","",IF(INDEX('Per Invoice'!M$2:M$801,$W56)="","",INDEX('Per Invoice'!M$2:M$801,$W56)))</f>
        <v/>
      </c>
      <c r="N56" s="7">
        <f>IF($W56="","",IF(INDEX('Per Invoice'!N$2:N$801,$W56)="","",INDEX('Per Invoice'!N$2:N$801,$W56)))</f>
        <v/>
      </c>
      <c r="O56" s="7">
        <f>IF($W56="","",IF(INDEX('Per Invoice'!O$2:O$801,$W56)="","",INDEX('Per Invoice'!O$2:O$801,$W56)))</f>
        <v/>
      </c>
      <c r="P56">
        <f>IF($W56="","",IF(INDEX('Per Invoice'!P$2:P$801,$W56)="","",INDEX('Per Invoice'!P$2:P$801,$W56)))</f>
        <v/>
      </c>
      <c r="Q56" s="7">
        <f>IF($W56="","",IF(INDEX('Per Invoice'!Q$2:Q$801,$W56)="","",INDEX('Per Invoice'!Q$2:Q$801,$W56)))</f>
        <v/>
      </c>
      <c r="R56" s="7">
        <f>IF($W56="","",IF(INDEX('Per Invoice'!R$2:R$801,$W56)="","",INDEX('Per Invoice'!R$2:R$801,$W56)))</f>
        <v/>
      </c>
      <c r="S56" s="7">
        <f>IF($W56="","",IF(INDEX('Per Invoice'!S$2:S$801,$W56)="","",INDEX('Per Invoice'!S$2:S$801,$W56)))</f>
        <v/>
      </c>
      <c r="T56" s="7">
        <f>IF($W56="","",IF(INDEX('Per Invoice'!T$2:T$801,$W56)="","",INDEX('Per Invoice'!T$2:T$801,$W56)))</f>
        <v/>
      </c>
      <c r="U56" s="7">
        <f>IF($W56="","",IF(INDEX('Per Invoice'!U$2:U$801,$W56)="","",INDEX('Per Invoice'!U$2:U$801,$W56)))</f>
        <v/>
      </c>
      <c r="V56" s="7">
        <f>IF($W56="","",IF(INDEX('Per Invoice'!V$2:V$801,$W56)="","",INDEX('Per Invoice'!V$2:V$801,$W56)))</f>
        <v/>
      </c>
      <c r="W56" s="16">
        <f>IFERROR(MATCH(Settings!$C$27&amp;"|"&amp;ROWS($W$2:$W56),'Per Invoice'!$X$2:$X$801,0),"")</f>
        <v/>
      </c>
    </row>
    <row r="57">
      <c r="A57">
        <f>IF($W57="","",IF(INDEX('Per Invoice'!A$2:A$801,$W57)="","",INDEX('Per Invoice'!A$2:A$801,$W57)))</f>
        <v/>
      </c>
      <c r="B57">
        <f>IF($W57="","",IF(INDEX('Per Invoice'!B$2:B$801,$W57)="","",INDEX('Per Invoice'!B$2:B$801,$W57)))</f>
        <v/>
      </c>
      <c r="C57">
        <f>IF($W57="","",IF(INDEX('Per Invoice'!C$2:C$801,$W57)="","",INDEX('Per Invoice'!C$2:C$801,$W57)))</f>
        <v/>
      </c>
      <c r="D57">
        <f>IF($W57="","",IF(INDEX('Per Invoice'!D$2:D$801,$W57)="","",INDEX('Per Invoice'!D$2:D$801,$W57)))</f>
        <v/>
      </c>
      <c r="E57">
        <f>IF($W57="","",IF(INDEX('Per Invoice'!E$2:E$801,$W57)="","",INDEX('Per Invoice'!E$2:E$801,$W57)))</f>
        <v/>
      </c>
      <c r="F57">
        <f>IF($W57="","",IF(INDEX('Per Invoice'!F$2:F$801,$W57)="","",INDEX('Per Invoice'!F$2:F$801,$W57)))</f>
        <v/>
      </c>
      <c r="G57">
        <f>IF($W57="","",IF(INDEX('Per Invoice'!G$2:G$801,$W57)="","",INDEX('Per Invoice'!G$2:G$801,$W57)))</f>
        <v/>
      </c>
      <c r="H57">
        <f>IF($W57="","",IF(INDEX('Per Invoice'!H$2:H$801,$W57)="","",INDEX('Per Invoice'!H$2:H$801,$W57)))</f>
        <v/>
      </c>
      <c r="I57">
        <f>IF($W57="","",IF(INDEX('Per Invoice'!I$2:I$801,$W57)="","",INDEX('Per Invoice'!I$2:I$801,$W57)))</f>
        <v/>
      </c>
      <c r="J57">
        <f>IF($W57="","",IF(INDEX('Per Invoice'!J$2:J$801,$W57)="","",INDEX('Per Invoice'!J$2:J$801,$W57)))</f>
        <v/>
      </c>
      <c r="K57" s="7">
        <f>IF($W57="","",IF(INDEX('Per Invoice'!K$2:K$801,$W57)="","",INDEX('Per Invoice'!K$2:K$801,$W57)))</f>
        <v/>
      </c>
      <c r="L57" s="14">
        <f>IF($W57="","",IF(INDEX('Per Invoice'!L$2:L$801,$W57)="","",INDEX('Per Invoice'!L$2:L$801,$W57)))</f>
        <v/>
      </c>
      <c r="M57">
        <f>IF($W57="","",IF(INDEX('Per Invoice'!M$2:M$801,$W57)="","",INDEX('Per Invoice'!M$2:M$801,$W57)))</f>
        <v/>
      </c>
      <c r="N57" s="7">
        <f>IF($W57="","",IF(INDEX('Per Invoice'!N$2:N$801,$W57)="","",INDEX('Per Invoice'!N$2:N$801,$W57)))</f>
        <v/>
      </c>
      <c r="O57" s="7">
        <f>IF($W57="","",IF(INDEX('Per Invoice'!O$2:O$801,$W57)="","",INDEX('Per Invoice'!O$2:O$801,$W57)))</f>
        <v/>
      </c>
      <c r="P57">
        <f>IF($W57="","",IF(INDEX('Per Invoice'!P$2:P$801,$W57)="","",INDEX('Per Invoice'!P$2:P$801,$W57)))</f>
        <v/>
      </c>
      <c r="Q57" s="7">
        <f>IF($W57="","",IF(INDEX('Per Invoice'!Q$2:Q$801,$W57)="","",INDEX('Per Invoice'!Q$2:Q$801,$W57)))</f>
        <v/>
      </c>
      <c r="R57" s="7">
        <f>IF($W57="","",IF(INDEX('Per Invoice'!R$2:R$801,$W57)="","",INDEX('Per Invoice'!R$2:R$801,$W57)))</f>
        <v/>
      </c>
      <c r="S57" s="7">
        <f>IF($W57="","",IF(INDEX('Per Invoice'!S$2:S$801,$W57)="","",INDEX('Per Invoice'!S$2:S$801,$W57)))</f>
        <v/>
      </c>
      <c r="T57" s="7">
        <f>IF($W57="","",IF(INDEX('Per Invoice'!T$2:T$801,$W57)="","",INDEX('Per Invoice'!T$2:T$801,$W57)))</f>
        <v/>
      </c>
      <c r="U57" s="7">
        <f>IF($W57="","",IF(INDEX('Per Invoice'!U$2:U$801,$W57)="","",INDEX('Per Invoice'!U$2:U$801,$W57)))</f>
        <v/>
      </c>
      <c r="V57" s="7">
        <f>IF($W57="","",IF(INDEX('Per Invoice'!V$2:V$801,$W57)="","",INDEX('Per Invoice'!V$2:V$801,$W57)))</f>
        <v/>
      </c>
      <c r="W57" s="16">
        <f>IFERROR(MATCH(Settings!$C$27&amp;"|"&amp;ROWS($W$2:$W57),'Per Invoice'!$X$2:$X$801,0),"")</f>
        <v/>
      </c>
    </row>
    <row r="58">
      <c r="A58">
        <f>IF($W58="","",IF(INDEX('Per Invoice'!A$2:A$801,$W58)="","",INDEX('Per Invoice'!A$2:A$801,$W58)))</f>
        <v/>
      </c>
      <c r="B58">
        <f>IF($W58="","",IF(INDEX('Per Invoice'!B$2:B$801,$W58)="","",INDEX('Per Invoice'!B$2:B$801,$W58)))</f>
        <v/>
      </c>
      <c r="C58">
        <f>IF($W58="","",IF(INDEX('Per Invoice'!C$2:C$801,$W58)="","",INDEX('Per Invoice'!C$2:C$801,$W58)))</f>
        <v/>
      </c>
      <c r="D58">
        <f>IF($W58="","",IF(INDEX('Per Invoice'!D$2:D$801,$W58)="","",INDEX('Per Invoice'!D$2:D$801,$W58)))</f>
        <v/>
      </c>
      <c r="E58">
        <f>IF($W58="","",IF(INDEX('Per Invoice'!E$2:E$801,$W58)="","",INDEX('Per Invoice'!E$2:E$801,$W58)))</f>
        <v/>
      </c>
      <c r="F58">
        <f>IF($W58="","",IF(INDEX('Per Invoice'!F$2:F$801,$W58)="","",INDEX('Per Invoice'!F$2:F$801,$W58)))</f>
        <v/>
      </c>
      <c r="G58">
        <f>IF($W58="","",IF(INDEX('Per Invoice'!G$2:G$801,$W58)="","",INDEX('Per Invoice'!G$2:G$801,$W58)))</f>
        <v/>
      </c>
      <c r="H58">
        <f>IF($W58="","",IF(INDEX('Per Invoice'!H$2:H$801,$W58)="","",INDEX('Per Invoice'!H$2:H$801,$W58)))</f>
        <v/>
      </c>
      <c r="I58">
        <f>IF($W58="","",IF(INDEX('Per Invoice'!I$2:I$801,$W58)="","",INDEX('Per Invoice'!I$2:I$801,$W58)))</f>
        <v/>
      </c>
      <c r="J58">
        <f>IF($W58="","",IF(INDEX('Per Invoice'!J$2:J$801,$W58)="","",INDEX('Per Invoice'!J$2:J$801,$W58)))</f>
        <v/>
      </c>
      <c r="K58" s="7">
        <f>IF($W58="","",IF(INDEX('Per Invoice'!K$2:K$801,$W58)="","",INDEX('Per Invoice'!K$2:K$801,$W58)))</f>
        <v/>
      </c>
      <c r="L58" s="14">
        <f>IF($W58="","",IF(INDEX('Per Invoice'!L$2:L$801,$W58)="","",INDEX('Per Invoice'!L$2:L$801,$W58)))</f>
        <v/>
      </c>
      <c r="M58">
        <f>IF($W58="","",IF(INDEX('Per Invoice'!M$2:M$801,$W58)="","",INDEX('Per Invoice'!M$2:M$801,$W58)))</f>
        <v/>
      </c>
      <c r="N58" s="7">
        <f>IF($W58="","",IF(INDEX('Per Invoice'!N$2:N$801,$W58)="","",INDEX('Per Invoice'!N$2:N$801,$W58)))</f>
        <v/>
      </c>
      <c r="O58" s="7">
        <f>IF($W58="","",IF(INDEX('Per Invoice'!O$2:O$801,$W58)="","",INDEX('Per Invoice'!O$2:O$801,$W58)))</f>
        <v/>
      </c>
      <c r="P58">
        <f>IF($W58="","",IF(INDEX('Per Invoice'!P$2:P$801,$W58)="","",INDEX('Per Invoice'!P$2:P$801,$W58)))</f>
        <v/>
      </c>
      <c r="Q58" s="7">
        <f>IF($W58="","",IF(INDEX('Per Invoice'!Q$2:Q$801,$W58)="","",INDEX('Per Invoice'!Q$2:Q$801,$W58)))</f>
        <v/>
      </c>
      <c r="R58" s="7">
        <f>IF($W58="","",IF(INDEX('Per Invoice'!R$2:R$801,$W58)="","",INDEX('Per Invoice'!R$2:R$801,$W58)))</f>
        <v/>
      </c>
      <c r="S58" s="7">
        <f>IF($W58="","",IF(INDEX('Per Invoice'!S$2:S$801,$W58)="","",INDEX('Per Invoice'!S$2:S$801,$W58)))</f>
        <v/>
      </c>
      <c r="T58" s="7">
        <f>IF($W58="","",IF(INDEX('Per Invoice'!T$2:T$801,$W58)="","",INDEX('Per Invoice'!T$2:T$801,$W58)))</f>
        <v/>
      </c>
      <c r="U58" s="7">
        <f>IF($W58="","",IF(INDEX('Per Invoice'!U$2:U$801,$W58)="","",INDEX('Per Invoice'!U$2:U$801,$W58)))</f>
        <v/>
      </c>
      <c r="V58" s="7">
        <f>IF($W58="","",IF(INDEX('Per Invoice'!V$2:V$801,$W58)="","",INDEX('Per Invoice'!V$2:V$801,$W58)))</f>
        <v/>
      </c>
      <c r="W58" s="16">
        <f>IFERROR(MATCH(Settings!$C$27&amp;"|"&amp;ROWS($W$2:$W58),'Per Invoice'!$X$2:$X$801,0),"")</f>
        <v/>
      </c>
    </row>
    <row r="59">
      <c r="A59">
        <f>IF($W59="","",IF(INDEX('Per Invoice'!A$2:A$801,$W59)="","",INDEX('Per Invoice'!A$2:A$801,$W59)))</f>
        <v/>
      </c>
      <c r="B59">
        <f>IF($W59="","",IF(INDEX('Per Invoice'!B$2:B$801,$W59)="","",INDEX('Per Invoice'!B$2:B$801,$W59)))</f>
        <v/>
      </c>
      <c r="C59">
        <f>IF($W59="","",IF(INDEX('Per Invoice'!C$2:C$801,$W59)="","",INDEX('Per Invoice'!C$2:C$801,$W59)))</f>
        <v/>
      </c>
      <c r="D59">
        <f>IF($W59="","",IF(INDEX('Per Invoice'!D$2:D$801,$W59)="","",INDEX('Per Invoice'!D$2:D$801,$W59)))</f>
        <v/>
      </c>
      <c r="E59">
        <f>IF($W59="","",IF(INDEX('Per Invoice'!E$2:E$801,$W59)="","",INDEX('Per Invoice'!E$2:E$801,$W59)))</f>
        <v/>
      </c>
      <c r="F59">
        <f>IF($W59="","",IF(INDEX('Per Invoice'!F$2:F$801,$W59)="","",INDEX('Per Invoice'!F$2:F$801,$W59)))</f>
        <v/>
      </c>
      <c r="G59">
        <f>IF($W59="","",IF(INDEX('Per Invoice'!G$2:G$801,$W59)="","",INDEX('Per Invoice'!G$2:G$801,$W59)))</f>
        <v/>
      </c>
      <c r="H59">
        <f>IF($W59="","",IF(INDEX('Per Invoice'!H$2:H$801,$W59)="","",INDEX('Per Invoice'!H$2:H$801,$W59)))</f>
        <v/>
      </c>
      <c r="I59">
        <f>IF($W59="","",IF(INDEX('Per Invoice'!I$2:I$801,$W59)="","",INDEX('Per Invoice'!I$2:I$801,$W59)))</f>
        <v/>
      </c>
      <c r="J59">
        <f>IF($W59="","",IF(INDEX('Per Invoice'!J$2:J$801,$W59)="","",INDEX('Per Invoice'!J$2:J$801,$W59)))</f>
        <v/>
      </c>
      <c r="K59" s="7">
        <f>IF($W59="","",IF(INDEX('Per Invoice'!K$2:K$801,$W59)="","",INDEX('Per Invoice'!K$2:K$801,$W59)))</f>
        <v/>
      </c>
      <c r="L59" s="14">
        <f>IF($W59="","",IF(INDEX('Per Invoice'!L$2:L$801,$W59)="","",INDEX('Per Invoice'!L$2:L$801,$W59)))</f>
        <v/>
      </c>
      <c r="M59">
        <f>IF($W59="","",IF(INDEX('Per Invoice'!M$2:M$801,$W59)="","",INDEX('Per Invoice'!M$2:M$801,$W59)))</f>
        <v/>
      </c>
      <c r="N59" s="7">
        <f>IF($W59="","",IF(INDEX('Per Invoice'!N$2:N$801,$W59)="","",INDEX('Per Invoice'!N$2:N$801,$W59)))</f>
        <v/>
      </c>
      <c r="O59" s="7">
        <f>IF($W59="","",IF(INDEX('Per Invoice'!O$2:O$801,$W59)="","",INDEX('Per Invoice'!O$2:O$801,$W59)))</f>
        <v/>
      </c>
      <c r="P59">
        <f>IF($W59="","",IF(INDEX('Per Invoice'!P$2:P$801,$W59)="","",INDEX('Per Invoice'!P$2:P$801,$W59)))</f>
        <v/>
      </c>
      <c r="Q59" s="7">
        <f>IF($W59="","",IF(INDEX('Per Invoice'!Q$2:Q$801,$W59)="","",INDEX('Per Invoice'!Q$2:Q$801,$W59)))</f>
        <v/>
      </c>
      <c r="R59" s="7">
        <f>IF($W59="","",IF(INDEX('Per Invoice'!R$2:R$801,$W59)="","",INDEX('Per Invoice'!R$2:R$801,$W59)))</f>
        <v/>
      </c>
      <c r="S59" s="7">
        <f>IF($W59="","",IF(INDEX('Per Invoice'!S$2:S$801,$W59)="","",INDEX('Per Invoice'!S$2:S$801,$W59)))</f>
        <v/>
      </c>
      <c r="T59" s="7">
        <f>IF($W59="","",IF(INDEX('Per Invoice'!T$2:T$801,$W59)="","",INDEX('Per Invoice'!T$2:T$801,$W59)))</f>
        <v/>
      </c>
      <c r="U59" s="7">
        <f>IF($W59="","",IF(INDEX('Per Invoice'!U$2:U$801,$W59)="","",INDEX('Per Invoice'!U$2:U$801,$W59)))</f>
        <v/>
      </c>
      <c r="V59" s="7">
        <f>IF($W59="","",IF(INDEX('Per Invoice'!V$2:V$801,$W59)="","",INDEX('Per Invoice'!V$2:V$801,$W59)))</f>
        <v/>
      </c>
      <c r="W59" s="16">
        <f>IFERROR(MATCH(Settings!$C$27&amp;"|"&amp;ROWS($W$2:$W59),'Per Invoice'!$X$2:$X$801,0),"")</f>
        <v/>
      </c>
    </row>
    <row r="60">
      <c r="A60">
        <f>IF($W60="","",IF(INDEX('Per Invoice'!A$2:A$801,$W60)="","",INDEX('Per Invoice'!A$2:A$801,$W60)))</f>
        <v/>
      </c>
      <c r="B60">
        <f>IF($W60="","",IF(INDEX('Per Invoice'!B$2:B$801,$W60)="","",INDEX('Per Invoice'!B$2:B$801,$W60)))</f>
        <v/>
      </c>
      <c r="C60">
        <f>IF($W60="","",IF(INDEX('Per Invoice'!C$2:C$801,$W60)="","",INDEX('Per Invoice'!C$2:C$801,$W60)))</f>
        <v/>
      </c>
      <c r="D60">
        <f>IF($W60="","",IF(INDEX('Per Invoice'!D$2:D$801,$W60)="","",INDEX('Per Invoice'!D$2:D$801,$W60)))</f>
        <v/>
      </c>
      <c r="E60">
        <f>IF($W60="","",IF(INDEX('Per Invoice'!E$2:E$801,$W60)="","",INDEX('Per Invoice'!E$2:E$801,$W60)))</f>
        <v/>
      </c>
      <c r="F60">
        <f>IF($W60="","",IF(INDEX('Per Invoice'!F$2:F$801,$W60)="","",INDEX('Per Invoice'!F$2:F$801,$W60)))</f>
        <v/>
      </c>
      <c r="G60">
        <f>IF($W60="","",IF(INDEX('Per Invoice'!G$2:G$801,$W60)="","",INDEX('Per Invoice'!G$2:G$801,$W60)))</f>
        <v/>
      </c>
      <c r="H60">
        <f>IF($W60="","",IF(INDEX('Per Invoice'!H$2:H$801,$W60)="","",INDEX('Per Invoice'!H$2:H$801,$W60)))</f>
        <v/>
      </c>
      <c r="I60">
        <f>IF($W60="","",IF(INDEX('Per Invoice'!I$2:I$801,$W60)="","",INDEX('Per Invoice'!I$2:I$801,$W60)))</f>
        <v/>
      </c>
      <c r="J60">
        <f>IF($W60="","",IF(INDEX('Per Invoice'!J$2:J$801,$W60)="","",INDEX('Per Invoice'!J$2:J$801,$W60)))</f>
        <v/>
      </c>
      <c r="K60" s="7">
        <f>IF($W60="","",IF(INDEX('Per Invoice'!K$2:K$801,$W60)="","",INDEX('Per Invoice'!K$2:K$801,$W60)))</f>
        <v/>
      </c>
      <c r="L60" s="14">
        <f>IF($W60="","",IF(INDEX('Per Invoice'!L$2:L$801,$W60)="","",INDEX('Per Invoice'!L$2:L$801,$W60)))</f>
        <v/>
      </c>
      <c r="M60">
        <f>IF($W60="","",IF(INDEX('Per Invoice'!M$2:M$801,$W60)="","",INDEX('Per Invoice'!M$2:M$801,$W60)))</f>
        <v/>
      </c>
      <c r="N60" s="7">
        <f>IF($W60="","",IF(INDEX('Per Invoice'!N$2:N$801,$W60)="","",INDEX('Per Invoice'!N$2:N$801,$W60)))</f>
        <v/>
      </c>
      <c r="O60" s="7">
        <f>IF($W60="","",IF(INDEX('Per Invoice'!O$2:O$801,$W60)="","",INDEX('Per Invoice'!O$2:O$801,$W60)))</f>
        <v/>
      </c>
      <c r="P60">
        <f>IF($W60="","",IF(INDEX('Per Invoice'!P$2:P$801,$W60)="","",INDEX('Per Invoice'!P$2:P$801,$W60)))</f>
        <v/>
      </c>
      <c r="Q60" s="7">
        <f>IF($W60="","",IF(INDEX('Per Invoice'!Q$2:Q$801,$W60)="","",INDEX('Per Invoice'!Q$2:Q$801,$W60)))</f>
        <v/>
      </c>
      <c r="R60" s="7">
        <f>IF($W60="","",IF(INDEX('Per Invoice'!R$2:R$801,$W60)="","",INDEX('Per Invoice'!R$2:R$801,$W60)))</f>
        <v/>
      </c>
      <c r="S60" s="7">
        <f>IF($W60="","",IF(INDEX('Per Invoice'!S$2:S$801,$W60)="","",INDEX('Per Invoice'!S$2:S$801,$W60)))</f>
        <v/>
      </c>
      <c r="T60" s="7">
        <f>IF($W60="","",IF(INDEX('Per Invoice'!T$2:T$801,$W60)="","",INDEX('Per Invoice'!T$2:T$801,$W60)))</f>
        <v/>
      </c>
      <c r="U60" s="7">
        <f>IF($W60="","",IF(INDEX('Per Invoice'!U$2:U$801,$W60)="","",INDEX('Per Invoice'!U$2:U$801,$W60)))</f>
        <v/>
      </c>
      <c r="V60" s="7">
        <f>IF($W60="","",IF(INDEX('Per Invoice'!V$2:V$801,$W60)="","",INDEX('Per Invoice'!V$2:V$801,$W60)))</f>
        <v/>
      </c>
      <c r="W60" s="16">
        <f>IFERROR(MATCH(Settings!$C$27&amp;"|"&amp;ROWS($W$2:$W60),'Per Invoice'!$X$2:$X$801,0),"")</f>
        <v/>
      </c>
    </row>
    <row r="61">
      <c r="A61">
        <f>IF($W61="","",IF(INDEX('Per Invoice'!A$2:A$801,$W61)="","",INDEX('Per Invoice'!A$2:A$801,$W61)))</f>
        <v/>
      </c>
      <c r="B61">
        <f>IF($W61="","",IF(INDEX('Per Invoice'!B$2:B$801,$W61)="","",INDEX('Per Invoice'!B$2:B$801,$W61)))</f>
        <v/>
      </c>
      <c r="C61">
        <f>IF($W61="","",IF(INDEX('Per Invoice'!C$2:C$801,$W61)="","",INDEX('Per Invoice'!C$2:C$801,$W61)))</f>
        <v/>
      </c>
      <c r="D61">
        <f>IF($W61="","",IF(INDEX('Per Invoice'!D$2:D$801,$W61)="","",INDEX('Per Invoice'!D$2:D$801,$W61)))</f>
        <v/>
      </c>
      <c r="E61">
        <f>IF($W61="","",IF(INDEX('Per Invoice'!E$2:E$801,$W61)="","",INDEX('Per Invoice'!E$2:E$801,$W61)))</f>
        <v/>
      </c>
      <c r="F61">
        <f>IF($W61="","",IF(INDEX('Per Invoice'!F$2:F$801,$W61)="","",INDEX('Per Invoice'!F$2:F$801,$W61)))</f>
        <v/>
      </c>
      <c r="G61">
        <f>IF($W61="","",IF(INDEX('Per Invoice'!G$2:G$801,$W61)="","",INDEX('Per Invoice'!G$2:G$801,$W61)))</f>
        <v/>
      </c>
      <c r="H61">
        <f>IF($W61="","",IF(INDEX('Per Invoice'!H$2:H$801,$W61)="","",INDEX('Per Invoice'!H$2:H$801,$W61)))</f>
        <v/>
      </c>
      <c r="I61">
        <f>IF($W61="","",IF(INDEX('Per Invoice'!I$2:I$801,$W61)="","",INDEX('Per Invoice'!I$2:I$801,$W61)))</f>
        <v/>
      </c>
      <c r="J61">
        <f>IF($W61="","",IF(INDEX('Per Invoice'!J$2:J$801,$W61)="","",INDEX('Per Invoice'!J$2:J$801,$W61)))</f>
        <v/>
      </c>
      <c r="K61" s="7">
        <f>IF($W61="","",IF(INDEX('Per Invoice'!K$2:K$801,$W61)="","",INDEX('Per Invoice'!K$2:K$801,$W61)))</f>
        <v/>
      </c>
      <c r="L61" s="14">
        <f>IF($W61="","",IF(INDEX('Per Invoice'!L$2:L$801,$W61)="","",INDEX('Per Invoice'!L$2:L$801,$W61)))</f>
        <v/>
      </c>
      <c r="M61">
        <f>IF($W61="","",IF(INDEX('Per Invoice'!M$2:M$801,$W61)="","",INDEX('Per Invoice'!M$2:M$801,$W61)))</f>
        <v/>
      </c>
      <c r="N61" s="7">
        <f>IF($W61="","",IF(INDEX('Per Invoice'!N$2:N$801,$W61)="","",INDEX('Per Invoice'!N$2:N$801,$W61)))</f>
        <v/>
      </c>
      <c r="O61" s="7">
        <f>IF($W61="","",IF(INDEX('Per Invoice'!O$2:O$801,$W61)="","",INDEX('Per Invoice'!O$2:O$801,$W61)))</f>
        <v/>
      </c>
      <c r="P61">
        <f>IF($W61="","",IF(INDEX('Per Invoice'!P$2:P$801,$W61)="","",INDEX('Per Invoice'!P$2:P$801,$W61)))</f>
        <v/>
      </c>
      <c r="Q61" s="7">
        <f>IF($W61="","",IF(INDEX('Per Invoice'!Q$2:Q$801,$W61)="","",INDEX('Per Invoice'!Q$2:Q$801,$W61)))</f>
        <v/>
      </c>
      <c r="R61" s="7">
        <f>IF($W61="","",IF(INDEX('Per Invoice'!R$2:R$801,$W61)="","",INDEX('Per Invoice'!R$2:R$801,$W61)))</f>
        <v/>
      </c>
      <c r="S61" s="7">
        <f>IF($W61="","",IF(INDEX('Per Invoice'!S$2:S$801,$W61)="","",INDEX('Per Invoice'!S$2:S$801,$W61)))</f>
        <v/>
      </c>
      <c r="T61" s="7">
        <f>IF($W61="","",IF(INDEX('Per Invoice'!T$2:T$801,$W61)="","",INDEX('Per Invoice'!T$2:T$801,$W61)))</f>
        <v/>
      </c>
      <c r="U61" s="7">
        <f>IF($W61="","",IF(INDEX('Per Invoice'!U$2:U$801,$W61)="","",INDEX('Per Invoice'!U$2:U$801,$W61)))</f>
        <v/>
      </c>
      <c r="V61" s="7">
        <f>IF($W61="","",IF(INDEX('Per Invoice'!V$2:V$801,$W61)="","",INDEX('Per Invoice'!V$2:V$801,$W61)))</f>
        <v/>
      </c>
      <c r="W61" s="16">
        <f>IFERROR(MATCH(Settings!$C$27&amp;"|"&amp;ROWS($W$2:$W61),'Per Invoice'!$X$2:$X$801,0),"")</f>
        <v/>
      </c>
    </row>
    <row r="62">
      <c r="A62">
        <f>IF($W62="","",IF(INDEX('Per Invoice'!A$2:A$801,$W62)="","",INDEX('Per Invoice'!A$2:A$801,$W62)))</f>
        <v/>
      </c>
      <c r="B62">
        <f>IF($W62="","",IF(INDEX('Per Invoice'!B$2:B$801,$W62)="","",INDEX('Per Invoice'!B$2:B$801,$W62)))</f>
        <v/>
      </c>
      <c r="C62">
        <f>IF($W62="","",IF(INDEX('Per Invoice'!C$2:C$801,$W62)="","",INDEX('Per Invoice'!C$2:C$801,$W62)))</f>
        <v/>
      </c>
      <c r="D62">
        <f>IF($W62="","",IF(INDEX('Per Invoice'!D$2:D$801,$W62)="","",INDEX('Per Invoice'!D$2:D$801,$W62)))</f>
        <v/>
      </c>
      <c r="E62">
        <f>IF($W62="","",IF(INDEX('Per Invoice'!E$2:E$801,$W62)="","",INDEX('Per Invoice'!E$2:E$801,$W62)))</f>
        <v/>
      </c>
      <c r="F62">
        <f>IF($W62="","",IF(INDEX('Per Invoice'!F$2:F$801,$W62)="","",INDEX('Per Invoice'!F$2:F$801,$W62)))</f>
        <v/>
      </c>
      <c r="G62">
        <f>IF($W62="","",IF(INDEX('Per Invoice'!G$2:G$801,$W62)="","",INDEX('Per Invoice'!G$2:G$801,$W62)))</f>
        <v/>
      </c>
      <c r="H62">
        <f>IF($W62="","",IF(INDEX('Per Invoice'!H$2:H$801,$W62)="","",INDEX('Per Invoice'!H$2:H$801,$W62)))</f>
        <v/>
      </c>
      <c r="I62">
        <f>IF($W62="","",IF(INDEX('Per Invoice'!I$2:I$801,$W62)="","",INDEX('Per Invoice'!I$2:I$801,$W62)))</f>
        <v/>
      </c>
      <c r="J62">
        <f>IF($W62="","",IF(INDEX('Per Invoice'!J$2:J$801,$W62)="","",INDEX('Per Invoice'!J$2:J$801,$W62)))</f>
        <v/>
      </c>
      <c r="K62" s="7">
        <f>IF($W62="","",IF(INDEX('Per Invoice'!K$2:K$801,$W62)="","",INDEX('Per Invoice'!K$2:K$801,$W62)))</f>
        <v/>
      </c>
      <c r="L62" s="14">
        <f>IF($W62="","",IF(INDEX('Per Invoice'!L$2:L$801,$W62)="","",INDEX('Per Invoice'!L$2:L$801,$W62)))</f>
        <v/>
      </c>
      <c r="M62">
        <f>IF($W62="","",IF(INDEX('Per Invoice'!M$2:M$801,$W62)="","",INDEX('Per Invoice'!M$2:M$801,$W62)))</f>
        <v/>
      </c>
      <c r="N62" s="7">
        <f>IF($W62="","",IF(INDEX('Per Invoice'!N$2:N$801,$W62)="","",INDEX('Per Invoice'!N$2:N$801,$W62)))</f>
        <v/>
      </c>
      <c r="O62" s="7">
        <f>IF($W62="","",IF(INDEX('Per Invoice'!O$2:O$801,$W62)="","",INDEX('Per Invoice'!O$2:O$801,$W62)))</f>
        <v/>
      </c>
      <c r="P62">
        <f>IF($W62="","",IF(INDEX('Per Invoice'!P$2:P$801,$W62)="","",INDEX('Per Invoice'!P$2:P$801,$W62)))</f>
        <v/>
      </c>
      <c r="Q62" s="7">
        <f>IF($W62="","",IF(INDEX('Per Invoice'!Q$2:Q$801,$W62)="","",INDEX('Per Invoice'!Q$2:Q$801,$W62)))</f>
        <v/>
      </c>
      <c r="R62" s="7">
        <f>IF($W62="","",IF(INDEX('Per Invoice'!R$2:R$801,$W62)="","",INDEX('Per Invoice'!R$2:R$801,$W62)))</f>
        <v/>
      </c>
      <c r="S62" s="7">
        <f>IF($W62="","",IF(INDEX('Per Invoice'!S$2:S$801,$W62)="","",INDEX('Per Invoice'!S$2:S$801,$W62)))</f>
        <v/>
      </c>
      <c r="T62" s="7">
        <f>IF($W62="","",IF(INDEX('Per Invoice'!T$2:T$801,$W62)="","",INDEX('Per Invoice'!T$2:T$801,$W62)))</f>
        <v/>
      </c>
      <c r="U62" s="7">
        <f>IF($W62="","",IF(INDEX('Per Invoice'!U$2:U$801,$W62)="","",INDEX('Per Invoice'!U$2:U$801,$W62)))</f>
        <v/>
      </c>
      <c r="V62" s="7">
        <f>IF($W62="","",IF(INDEX('Per Invoice'!V$2:V$801,$W62)="","",INDEX('Per Invoice'!V$2:V$801,$W62)))</f>
        <v/>
      </c>
      <c r="W62" s="16">
        <f>IFERROR(MATCH(Settings!$C$27&amp;"|"&amp;ROWS($W$2:$W62),'Per Invoice'!$X$2:$X$801,0),"")</f>
        <v/>
      </c>
    </row>
    <row r="63">
      <c r="A63">
        <f>IF($W63="","",IF(INDEX('Per Invoice'!A$2:A$801,$W63)="","",INDEX('Per Invoice'!A$2:A$801,$W63)))</f>
        <v/>
      </c>
      <c r="B63">
        <f>IF($W63="","",IF(INDEX('Per Invoice'!B$2:B$801,$W63)="","",INDEX('Per Invoice'!B$2:B$801,$W63)))</f>
        <v/>
      </c>
      <c r="C63">
        <f>IF($W63="","",IF(INDEX('Per Invoice'!C$2:C$801,$W63)="","",INDEX('Per Invoice'!C$2:C$801,$W63)))</f>
        <v/>
      </c>
      <c r="D63">
        <f>IF($W63="","",IF(INDEX('Per Invoice'!D$2:D$801,$W63)="","",INDEX('Per Invoice'!D$2:D$801,$W63)))</f>
        <v/>
      </c>
      <c r="E63">
        <f>IF($W63="","",IF(INDEX('Per Invoice'!E$2:E$801,$W63)="","",INDEX('Per Invoice'!E$2:E$801,$W63)))</f>
        <v/>
      </c>
      <c r="F63">
        <f>IF($W63="","",IF(INDEX('Per Invoice'!F$2:F$801,$W63)="","",INDEX('Per Invoice'!F$2:F$801,$W63)))</f>
        <v/>
      </c>
      <c r="G63">
        <f>IF($W63="","",IF(INDEX('Per Invoice'!G$2:G$801,$W63)="","",INDEX('Per Invoice'!G$2:G$801,$W63)))</f>
        <v/>
      </c>
      <c r="H63">
        <f>IF($W63="","",IF(INDEX('Per Invoice'!H$2:H$801,$W63)="","",INDEX('Per Invoice'!H$2:H$801,$W63)))</f>
        <v/>
      </c>
      <c r="I63">
        <f>IF($W63="","",IF(INDEX('Per Invoice'!I$2:I$801,$W63)="","",INDEX('Per Invoice'!I$2:I$801,$W63)))</f>
        <v/>
      </c>
      <c r="J63">
        <f>IF($W63="","",IF(INDEX('Per Invoice'!J$2:J$801,$W63)="","",INDEX('Per Invoice'!J$2:J$801,$W63)))</f>
        <v/>
      </c>
      <c r="K63" s="7">
        <f>IF($W63="","",IF(INDEX('Per Invoice'!K$2:K$801,$W63)="","",INDEX('Per Invoice'!K$2:K$801,$W63)))</f>
        <v/>
      </c>
      <c r="L63" s="14">
        <f>IF($W63="","",IF(INDEX('Per Invoice'!L$2:L$801,$W63)="","",INDEX('Per Invoice'!L$2:L$801,$W63)))</f>
        <v/>
      </c>
      <c r="M63">
        <f>IF($W63="","",IF(INDEX('Per Invoice'!M$2:M$801,$W63)="","",INDEX('Per Invoice'!M$2:M$801,$W63)))</f>
        <v/>
      </c>
      <c r="N63" s="7">
        <f>IF($W63="","",IF(INDEX('Per Invoice'!N$2:N$801,$W63)="","",INDEX('Per Invoice'!N$2:N$801,$W63)))</f>
        <v/>
      </c>
      <c r="O63" s="7">
        <f>IF($W63="","",IF(INDEX('Per Invoice'!O$2:O$801,$W63)="","",INDEX('Per Invoice'!O$2:O$801,$W63)))</f>
        <v/>
      </c>
      <c r="P63">
        <f>IF($W63="","",IF(INDEX('Per Invoice'!P$2:P$801,$W63)="","",INDEX('Per Invoice'!P$2:P$801,$W63)))</f>
        <v/>
      </c>
      <c r="Q63" s="7">
        <f>IF($W63="","",IF(INDEX('Per Invoice'!Q$2:Q$801,$W63)="","",INDEX('Per Invoice'!Q$2:Q$801,$W63)))</f>
        <v/>
      </c>
      <c r="R63" s="7">
        <f>IF($W63="","",IF(INDEX('Per Invoice'!R$2:R$801,$W63)="","",INDEX('Per Invoice'!R$2:R$801,$W63)))</f>
        <v/>
      </c>
      <c r="S63" s="7">
        <f>IF($W63="","",IF(INDEX('Per Invoice'!S$2:S$801,$W63)="","",INDEX('Per Invoice'!S$2:S$801,$W63)))</f>
        <v/>
      </c>
      <c r="T63" s="7">
        <f>IF($W63="","",IF(INDEX('Per Invoice'!T$2:T$801,$W63)="","",INDEX('Per Invoice'!T$2:T$801,$W63)))</f>
        <v/>
      </c>
      <c r="U63" s="7">
        <f>IF($W63="","",IF(INDEX('Per Invoice'!U$2:U$801,$W63)="","",INDEX('Per Invoice'!U$2:U$801,$W63)))</f>
        <v/>
      </c>
      <c r="V63" s="7">
        <f>IF($W63="","",IF(INDEX('Per Invoice'!V$2:V$801,$W63)="","",INDEX('Per Invoice'!V$2:V$801,$W63)))</f>
        <v/>
      </c>
      <c r="W63" s="16">
        <f>IFERROR(MATCH(Settings!$C$27&amp;"|"&amp;ROWS($W$2:$W63),'Per Invoice'!$X$2:$X$801,0),"")</f>
        <v/>
      </c>
    </row>
    <row r="64">
      <c r="A64">
        <f>IF($W64="","",IF(INDEX('Per Invoice'!A$2:A$801,$W64)="","",INDEX('Per Invoice'!A$2:A$801,$W64)))</f>
        <v/>
      </c>
      <c r="B64">
        <f>IF($W64="","",IF(INDEX('Per Invoice'!B$2:B$801,$W64)="","",INDEX('Per Invoice'!B$2:B$801,$W64)))</f>
        <v/>
      </c>
      <c r="C64">
        <f>IF($W64="","",IF(INDEX('Per Invoice'!C$2:C$801,$W64)="","",INDEX('Per Invoice'!C$2:C$801,$W64)))</f>
        <v/>
      </c>
      <c r="D64">
        <f>IF($W64="","",IF(INDEX('Per Invoice'!D$2:D$801,$W64)="","",INDEX('Per Invoice'!D$2:D$801,$W64)))</f>
        <v/>
      </c>
      <c r="E64">
        <f>IF($W64="","",IF(INDEX('Per Invoice'!E$2:E$801,$W64)="","",INDEX('Per Invoice'!E$2:E$801,$W64)))</f>
        <v/>
      </c>
      <c r="F64">
        <f>IF($W64="","",IF(INDEX('Per Invoice'!F$2:F$801,$W64)="","",INDEX('Per Invoice'!F$2:F$801,$W64)))</f>
        <v/>
      </c>
      <c r="G64">
        <f>IF($W64="","",IF(INDEX('Per Invoice'!G$2:G$801,$W64)="","",INDEX('Per Invoice'!G$2:G$801,$W64)))</f>
        <v/>
      </c>
      <c r="H64">
        <f>IF($W64="","",IF(INDEX('Per Invoice'!H$2:H$801,$W64)="","",INDEX('Per Invoice'!H$2:H$801,$W64)))</f>
        <v/>
      </c>
      <c r="I64">
        <f>IF($W64="","",IF(INDEX('Per Invoice'!I$2:I$801,$W64)="","",INDEX('Per Invoice'!I$2:I$801,$W64)))</f>
        <v/>
      </c>
      <c r="J64">
        <f>IF($W64="","",IF(INDEX('Per Invoice'!J$2:J$801,$W64)="","",INDEX('Per Invoice'!J$2:J$801,$W64)))</f>
        <v/>
      </c>
      <c r="K64" s="7">
        <f>IF($W64="","",IF(INDEX('Per Invoice'!K$2:K$801,$W64)="","",INDEX('Per Invoice'!K$2:K$801,$W64)))</f>
        <v/>
      </c>
      <c r="L64" s="14">
        <f>IF($W64="","",IF(INDEX('Per Invoice'!L$2:L$801,$W64)="","",INDEX('Per Invoice'!L$2:L$801,$W64)))</f>
        <v/>
      </c>
      <c r="M64">
        <f>IF($W64="","",IF(INDEX('Per Invoice'!M$2:M$801,$W64)="","",INDEX('Per Invoice'!M$2:M$801,$W64)))</f>
        <v/>
      </c>
      <c r="N64" s="7">
        <f>IF($W64="","",IF(INDEX('Per Invoice'!N$2:N$801,$W64)="","",INDEX('Per Invoice'!N$2:N$801,$W64)))</f>
        <v/>
      </c>
      <c r="O64" s="7">
        <f>IF($W64="","",IF(INDEX('Per Invoice'!O$2:O$801,$W64)="","",INDEX('Per Invoice'!O$2:O$801,$W64)))</f>
        <v/>
      </c>
      <c r="P64">
        <f>IF($W64="","",IF(INDEX('Per Invoice'!P$2:P$801,$W64)="","",INDEX('Per Invoice'!P$2:P$801,$W64)))</f>
        <v/>
      </c>
      <c r="Q64" s="7">
        <f>IF($W64="","",IF(INDEX('Per Invoice'!Q$2:Q$801,$W64)="","",INDEX('Per Invoice'!Q$2:Q$801,$W64)))</f>
        <v/>
      </c>
      <c r="R64" s="7">
        <f>IF($W64="","",IF(INDEX('Per Invoice'!R$2:R$801,$W64)="","",INDEX('Per Invoice'!R$2:R$801,$W64)))</f>
        <v/>
      </c>
      <c r="S64" s="7">
        <f>IF($W64="","",IF(INDEX('Per Invoice'!S$2:S$801,$W64)="","",INDEX('Per Invoice'!S$2:S$801,$W64)))</f>
        <v/>
      </c>
      <c r="T64" s="7">
        <f>IF($W64="","",IF(INDEX('Per Invoice'!T$2:T$801,$W64)="","",INDEX('Per Invoice'!T$2:T$801,$W64)))</f>
        <v/>
      </c>
      <c r="U64" s="7">
        <f>IF($W64="","",IF(INDEX('Per Invoice'!U$2:U$801,$W64)="","",INDEX('Per Invoice'!U$2:U$801,$W64)))</f>
        <v/>
      </c>
      <c r="V64" s="7">
        <f>IF($W64="","",IF(INDEX('Per Invoice'!V$2:V$801,$W64)="","",INDEX('Per Invoice'!V$2:V$801,$W64)))</f>
        <v/>
      </c>
      <c r="W64" s="16">
        <f>IFERROR(MATCH(Settings!$C$27&amp;"|"&amp;ROWS($W$2:$W64),'Per Invoice'!$X$2:$X$801,0),"")</f>
        <v/>
      </c>
    </row>
    <row r="65">
      <c r="A65">
        <f>IF($W65="","",IF(INDEX('Per Invoice'!A$2:A$801,$W65)="","",INDEX('Per Invoice'!A$2:A$801,$W65)))</f>
        <v/>
      </c>
      <c r="B65">
        <f>IF($W65="","",IF(INDEX('Per Invoice'!B$2:B$801,$W65)="","",INDEX('Per Invoice'!B$2:B$801,$W65)))</f>
        <v/>
      </c>
      <c r="C65">
        <f>IF($W65="","",IF(INDEX('Per Invoice'!C$2:C$801,$W65)="","",INDEX('Per Invoice'!C$2:C$801,$W65)))</f>
        <v/>
      </c>
      <c r="D65">
        <f>IF($W65="","",IF(INDEX('Per Invoice'!D$2:D$801,$W65)="","",INDEX('Per Invoice'!D$2:D$801,$W65)))</f>
        <v/>
      </c>
      <c r="E65">
        <f>IF($W65="","",IF(INDEX('Per Invoice'!E$2:E$801,$W65)="","",INDEX('Per Invoice'!E$2:E$801,$W65)))</f>
        <v/>
      </c>
      <c r="F65">
        <f>IF($W65="","",IF(INDEX('Per Invoice'!F$2:F$801,$W65)="","",INDEX('Per Invoice'!F$2:F$801,$W65)))</f>
        <v/>
      </c>
      <c r="G65">
        <f>IF($W65="","",IF(INDEX('Per Invoice'!G$2:G$801,$W65)="","",INDEX('Per Invoice'!G$2:G$801,$W65)))</f>
        <v/>
      </c>
      <c r="H65">
        <f>IF($W65="","",IF(INDEX('Per Invoice'!H$2:H$801,$W65)="","",INDEX('Per Invoice'!H$2:H$801,$W65)))</f>
        <v/>
      </c>
      <c r="I65">
        <f>IF($W65="","",IF(INDEX('Per Invoice'!I$2:I$801,$W65)="","",INDEX('Per Invoice'!I$2:I$801,$W65)))</f>
        <v/>
      </c>
      <c r="J65">
        <f>IF($W65="","",IF(INDEX('Per Invoice'!J$2:J$801,$W65)="","",INDEX('Per Invoice'!J$2:J$801,$W65)))</f>
        <v/>
      </c>
      <c r="K65" s="7">
        <f>IF($W65="","",IF(INDEX('Per Invoice'!K$2:K$801,$W65)="","",INDEX('Per Invoice'!K$2:K$801,$W65)))</f>
        <v/>
      </c>
      <c r="L65" s="14">
        <f>IF($W65="","",IF(INDEX('Per Invoice'!L$2:L$801,$W65)="","",INDEX('Per Invoice'!L$2:L$801,$W65)))</f>
        <v/>
      </c>
      <c r="M65">
        <f>IF($W65="","",IF(INDEX('Per Invoice'!M$2:M$801,$W65)="","",INDEX('Per Invoice'!M$2:M$801,$W65)))</f>
        <v/>
      </c>
      <c r="N65" s="7">
        <f>IF($W65="","",IF(INDEX('Per Invoice'!N$2:N$801,$W65)="","",INDEX('Per Invoice'!N$2:N$801,$W65)))</f>
        <v/>
      </c>
      <c r="O65" s="7">
        <f>IF($W65="","",IF(INDEX('Per Invoice'!O$2:O$801,$W65)="","",INDEX('Per Invoice'!O$2:O$801,$W65)))</f>
        <v/>
      </c>
      <c r="P65">
        <f>IF($W65="","",IF(INDEX('Per Invoice'!P$2:P$801,$W65)="","",INDEX('Per Invoice'!P$2:P$801,$W65)))</f>
        <v/>
      </c>
      <c r="Q65" s="7">
        <f>IF($W65="","",IF(INDEX('Per Invoice'!Q$2:Q$801,$W65)="","",INDEX('Per Invoice'!Q$2:Q$801,$W65)))</f>
        <v/>
      </c>
      <c r="R65" s="7">
        <f>IF($W65="","",IF(INDEX('Per Invoice'!R$2:R$801,$W65)="","",INDEX('Per Invoice'!R$2:R$801,$W65)))</f>
        <v/>
      </c>
      <c r="S65" s="7">
        <f>IF($W65="","",IF(INDEX('Per Invoice'!S$2:S$801,$W65)="","",INDEX('Per Invoice'!S$2:S$801,$W65)))</f>
        <v/>
      </c>
      <c r="T65" s="7">
        <f>IF($W65="","",IF(INDEX('Per Invoice'!T$2:T$801,$W65)="","",INDEX('Per Invoice'!T$2:T$801,$W65)))</f>
        <v/>
      </c>
      <c r="U65" s="7">
        <f>IF($W65="","",IF(INDEX('Per Invoice'!U$2:U$801,$W65)="","",INDEX('Per Invoice'!U$2:U$801,$W65)))</f>
        <v/>
      </c>
      <c r="V65" s="7">
        <f>IF($W65="","",IF(INDEX('Per Invoice'!V$2:V$801,$W65)="","",INDEX('Per Invoice'!V$2:V$801,$W65)))</f>
        <v/>
      </c>
      <c r="W65" s="16">
        <f>IFERROR(MATCH(Settings!$C$27&amp;"|"&amp;ROWS($W$2:$W65),'Per Invoice'!$X$2:$X$801,0),"")</f>
        <v/>
      </c>
    </row>
    <row r="66">
      <c r="A66">
        <f>IF($W66="","",IF(INDEX('Per Invoice'!A$2:A$801,$W66)="","",INDEX('Per Invoice'!A$2:A$801,$W66)))</f>
        <v/>
      </c>
      <c r="B66">
        <f>IF($W66="","",IF(INDEX('Per Invoice'!B$2:B$801,$W66)="","",INDEX('Per Invoice'!B$2:B$801,$W66)))</f>
        <v/>
      </c>
      <c r="C66">
        <f>IF($W66="","",IF(INDEX('Per Invoice'!C$2:C$801,$W66)="","",INDEX('Per Invoice'!C$2:C$801,$W66)))</f>
        <v/>
      </c>
      <c r="D66">
        <f>IF($W66="","",IF(INDEX('Per Invoice'!D$2:D$801,$W66)="","",INDEX('Per Invoice'!D$2:D$801,$W66)))</f>
        <v/>
      </c>
      <c r="E66">
        <f>IF($W66="","",IF(INDEX('Per Invoice'!E$2:E$801,$W66)="","",INDEX('Per Invoice'!E$2:E$801,$W66)))</f>
        <v/>
      </c>
      <c r="F66">
        <f>IF($W66="","",IF(INDEX('Per Invoice'!F$2:F$801,$W66)="","",INDEX('Per Invoice'!F$2:F$801,$W66)))</f>
        <v/>
      </c>
      <c r="G66">
        <f>IF($W66="","",IF(INDEX('Per Invoice'!G$2:G$801,$W66)="","",INDEX('Per Invoice'!G$2:G$801,$W66)))</f>
        <v/>
      </c>
      <c r="H66">
        <f>IF($W66="","",IF(INDEX('Per Invoice'!H$2:H$801,$W66)="","",INDEX('Per Invoice'!H$2:H$801,$W66)))</f>
        <v/>
      </c>
      <c r="I66">
        <f>IF($W66="","",IF(INDEX('Per Invoice'!I$2:I$801,$W66)="","",INDEX('Per Invoice'!I$2:I$801,$W66)))</f>
        <v/>
      </c>
      <c r="J66">
        <f>IF($W66="","",IF(INDEX('Per Invoice'!J$2:J$801,$W66)="","",INDEX('Per Invoice'!J$2:J$801,$W66)))</f>
        <v/>
      </c>
      <c r="K66" s="7">
        <f>IF($W66="","",IF(INDEX('Per Invoice'!K$2:K$801,$W66)="","",INDEX('Per Invoice'!K$2:K$801,$W66)))</f>
        <v/>
      </c>
      <c r="L66" s="14">
        <f>IF($W66="","",IF(INDEX('Per Invoice'!L$2:L$801,$W66)="","",INDEX('Per Invoice'!L$2:L$801,$W66)))</f>
        <v/>
      </c>
      <c r="M66">
        <f>IF($W66="","",IF(INDEX('Per Invoice'!M$2:M$801,$W66)="","",INDEX('Per Invoice'!M$2:M$801,$W66)))</f>
        <v/>
      </c>
      <c r="N66" s="7">
        <f>IF($W66="","",IF(INDEX('Per Invoice'!N$2:N$801,$W66)="","",INDEX('Per Invoice'!N$2:N$801,$W66)))</f>
        <v/>
      </c>
      <c r="O66" s="7">
        <f>IF($W66="","",IF(INDEX('Per Invoice'!O$2:O$801,$W66)="","",INDEX('Per Invoice'!O$2:O$801,$W66)))</f>
        <v/>
      </c>
      <c r="P66">
        <f>IF($W66="","",IF(INDEX('Per Invoice'!P$2:P$801,$W66)="","",INDEX('Per Invoice'!P$2:P$801,$W66)))</f>
        <v/>
      </c>
      <c r="Q66" s="7">
        <f>IF($W66="","",IF(INDEX('Per Invoice'!Q$2:Q$801,$W66)="","",INDEX('Per Invoice'!Q$2:Q$801,$W66)))</f>
        <v/>
      </c>
      <c r="R66" s="7">
        <f>IF($W66="","",IF(INDEX('Per Invoice'!R$2:R$801,$W66)="","",INDEX('Per Invoice'!R$2:R$801,$W66)))</f>
        <v/>
      </c>
      <c r="S66" s="7">
        <f>IF($W66="","",IF(INDEX('Per Invoice'!S$2:S$801,$W66)="","",INDEX('Per Invoice'!S$2:S$801,$W66)))</f>
        <v/>
      </c>
      <c r="T66" s="7">
        <f>IF($W66="","",IF(INDEX('Per Invoice'!T$2:T$801,$W66)="","",INDEX('Per Invoice'!T$2:T$801,$W66)))</f>
        <v/>
      </c>
      <c r="U66" s="7">
        <f>IF($W66="","",IF(INDEX('Per Invoice'!U$2:U$801,$W66)="","",INDEX('Per Invoice'!U$2:U$801,$W66)))</f>
        <v/>
      </c>
      <c r="V66" s="7">
        <f>IF($W66="","",IF(INDEX('Per Invoice'!V$2:V$801,$W66)="","",INDEX('Per Invoice'!V$2:V$801,$W66)))</f>
        <v/>
      </c>
      <c r="W66" s="16">
        <f>IFERROR(MATCH(Settings!$C$27&amp;"|"&amp;ROWS($W$2:$W66),'Per Invoice'!$X$2:$X$801,0),"")</f>
        <v/>
      </c>
    </row>
    <row r="67">
      <c r="A67">
        <f>IF($W67="","",IF(INDEX('Per Invoice'!A$2:A$801,$W67)="","",INDEX('Per Invoice'!A$2:A$801,$W67)))</f>
        <v/>
      </c>
      <c r="B67">
        <f>IF($W67="","",IF(INDEX('Per Invoice'!B$2:B$801,$W67)="","",INDEX('Per Invoice'!B$2:B$801,$W67)))</f>
        <v/>
      </c>
      <c r="C67">
        <f>IF($W67="","",IF(INDEX('Per Invoice'!C$2:C$801,$W67)="","",INDEX('Per Invoice'!C$2:C$801,$W67)))</f>
        <v/>
      </c>
      <c r="D67">
        <f>IF($W67="","",IF(INDEX('Per Invoice'!D$2:D$801,$W67)="","",INDEX('Per Invoice'!D$2:D$801,$W67)))</f>
        <v/>
      </c>
      <c r="E67">
        <f>IF($W67="","",IF(INDEX('Per Invoice'!E$2:E$801,$W67)="","",INDEX('Per Invoice'!E$2:E$801,$W67)))</f>
        <v/>
      </c>
      <c r="F67">
        <f>IF($W67="","",IF(INDEX('Per Invoice'!F$2:F$801,$W67)="","",INDEX('Per Invoice'!F$2:F$801,$W67)))</f>
        <v/>
      </c>
      <c r="G67">
        <f>IF($W67="","",IF(INDEX('Per Invoice'!G$2:G$801,$W67)="","",INDEX('Per Invoice'!G$2:G$801,$W67)))</f>
        <v/>
      </c>
      <c r="H67">
        <f>IF($W67="","",IF(INDEX('Per Invoice'!H$2:H$801,$W67)="","",INDEX('Per Invoice'!H$2:H$801,$W67)))</f>
        <v/>
      </c>
      <c r="I67">
        <f>IF($W67="","",IF(INDEX('Per Invoice'!I$2:I$801,$W67)="","",INDEX('Per Invoice'!I$2:I$801,$W67)))</f>
        <v/>
      </c>
      <c r="J67">
        <f>IF($W67="","",IF(INDEX('Per Invoice'!J$2:J$801,$W67)="","",INDEX('Per Invoice'!J$2:J$801,$W67)))</f>
        <v/>
      </c>
      <c r="K67" s="7">
        <f>IF($W67="","",IF(INDEX('Per Invoice'!K$2:K$801,$W67)="","",INDEX('Per Invoice'!K$2:K$801,$W67)))</f>
        <v/>
      </c>
      <c r="L67" s="14">
        <f>IF($W67="","",IF(INDEX('Per Invoice'!L$2:L$801,$W67)="","",INDEX('Per Invoice'!L$2:L$801,$W67)))</f>
        <v/>
      </c>
      <c r="M67">
        <f>IF($W67="","",IF(INDEX('Per Invoice'!M$2:M$801,$W67)="","",INDEX('Per Invoice'!M$2:M$801,$W67)))</f>
        <v/>
      </c>
      <c r="N67" s="7">
        <f>IF($W67="","",IF(INDEX('Per Invoice'!N$2:N$801,$W67)="","",INDEX('Per Invoice'!N$2:N$801,$W67)))</f>
        <v/>
      </c>
      <c r="O67" s="7">
        <f>IF($W67="","",IF(INDEX('Per Invoice'!O$2:O$801,$W67)="","",INDEX('Per Invoice'!O$2:O$801,$W67)))</f>
        <v/>
      </c>
      <c r="P67">
        <f>IF($W67="","",IF(INDEX('Per Invoice'!P$2:P$801,$W67)="","",INDEX('Per Invoice'!P$2:P$801,$W67)))</f>
        <v/>
      </c>
      <c r="Q67" s="7">
        <f>IF($W67="","",IF(INDEX('Per Invoice'!Q$2:Q$801,$W67)="","",INDEX('Per Invoice'!Q$2:Q$801,$W67)))</f>
        <v/>
      </c>
      <c r="R67" s="7">
        <f>IF($W67="","",IF(INDEX('Per Invoice'!R$2:R$801,$W67)="","",INDEX('Per Invoice'!R$2:R$801,$W67)))</f>
        <v/>
      </c>
      <c r="S67" s="7">
        <f>IF($W67="","",IF(INDEX('Per Invoice'!S$2:S$801,$W67)="","",INDEX('Per Invoice'!S$2:S$801,$W67)))</f>
        <v/>
      </c>
      <c r="T67" s="7">
        <f>IF($W67="","",IF(INDEX('Per Invoice'!T$2:T$801,$W67)="","",INDEX('Per Invoice'!T$2:T$801,$W67)))</f>
        <v/>
      </c>
      <c r="U67" s="7">
        <f>IF($W67="","",IF(INDEX('Per Invoice'!U$2:U$801,$W67)="","",INDEX('Per Invoice'!U$2:U$801,$W67)))</f>
        <v/>
      </c>
      <c r="V67" s="7">
        <f>IF($W67="","",IF(INDEX('Per Invoice'!V$2:V$801,$W67)="","",INDEX('Per Invoice'!V$2:V$801,$W67)))</f>
        <v/>
      </c>
      <c r="W67" s="16">
        <f>IFERROR(MATCH(Settings!$C$27&amp;"|"&amp;ROWS($W$2:$W67),'Per Invoice'!$X$2:$X$801,0),"")</f>
        <v/>
      </c>
    </row>
    <row r="68">
      <c r="A68">
        <f>IF($W68="","",IF(INDEX('Per Invoice'!A$2:A$801,$W68)="","",INDEX('Per Invoice'!A$2:A$801,$W68)))</f>
        <v/>
      </c>
      <c r="B68">
        <f>IF($W68="","",IF(INDEX('Per Invoice'!B$2:B$801,$W68)="","",INDEX('Per Invoice'!B$2:B$801,$W68)))</f>
        <v/>
      </c>
      <c r="C68">
        <f>IF($W68="","",IF(INDEX('Per Invoice'!C$2:C$801,$W68)="","",INDEX('Per Invoice'!C$2:C$801,$W68)))</f>
        <v/>
      </c>
      <c r="D68">
        <f>IF($W68="","",IF(INDEX('Per Invoice'!D$2:D$801,$W68)="","",INDEX('Per Invoice'!D$2:D$801,$W68)))</f>
        <v/>
      </c>
      <c r="E68">
        <f>IF($W68="","",IF(INDEX('Per Invoice'!E$2:E$801,$W68)="","",INDEX('Per Invoice'!E$2:E$801,$W68)))</f>
        <v/>
      </c>
      <c r="F68">
        <f>IF($W68="","",IF(INDEX('Per Invoice'!F$2:F$801,$W68)="","",INDEX('Per Invoice'!F$2:F$801,$W68)))</f>
        <v/>
      </c>
      <c r="G68">
        <f>IF($W68="","",IF(INDEX('Per Invoice'!G$2:G$801,$W68)="","",INDEX('Per Invoice'!G$2:G$801,$W68)))</f>
        <v/>
      </c>
      <c r="H68">
        <f>IF($W68="","",IF(INDEX('Per Invoice'!H$2:H$801,$W68)="","",INDEX('Per Invoice'!H$2:H$801,$W68)))</f>
        <v/>
      </c>
      <c r="I68">
        <f>IF($W68="","",IF(INDEX('Per Invoice'!I$2:I$801,$W68)="","",INDEX('Per Invoice'!I$2:I$801,$W68)))</f>
        <v/>
      </c>
      <c r="J68">
        <f>IF($W68="","",IF(INDEX('Per Invoice'!J$2:J$801,$W68)="","",INDEX('Per Invoice'!J$2:J$801,$W68)))</f>
        <v/>
      </c>
      <c r="K68" s="7">
        <f>IF($W68="","",IF(INDEX('Per Invoice'!K$2:K$801,$W68)="","",INDEX('Per Invoice'!K$2:K$801,$W68)))</f>
        <v/>
      </c>
      <c r="L68" s="14">
        <f>IF($W68="","",IF(INDEX('Per Invoice'!L$2:L$801,$W68)="","",INDEX('Per Invoice'!L$2:L$801,$W68)))</f>
        <v/>
      </c>
      <c r="M68">
        <f>IF($W68="","",IF(INDEX('Per Invoice'!M$2:M$801,$W68)="","",INDEX('Per Invoice'!M$2:M$801,$W68)))</f>
        <v/>
      </c>
      <c r="N68" s="7">
        <f>IF($W68="","",IF(INDEX('Per Invoice'!N$2:N$801,$W68)="","",INDEX('Per Invoice'!N$2:N$801,$W68)))</f>
        <v/>
      </c>
      <c r="O68" s="7">
        <f>IF($W68="","",IF(INDEX('Per Invoice'!O$2:O$801,$W68)="","",INDEX('Per Invoice'!O$2:O$801,$W68)))</f>
        <v/>
      </c>
      <c r="P68">
        <f>IF($W68="","",IF(INDEX('Per Invoice'!P$2:P$801,$W68)="","",INDEX('Per Invoice'!P$2:P$801,$W68)))</f>
        <v/>
      </c>
      <c r="Q68" s="7">
        <f>IF($W68="","",IF(INDEX('Per Invoice'!Q$2:Q$801,$W68)="","",INDEX('Per Invoice'!Q$2:Q$801,$W68)))</f>
        <v/>
      </c>
      <c r="R68" s="7">
        <f>IF($W68="","",IF(INDEX('Per Invoice'!R$2:R$801,$W68)="","",INDEX('Per Invoice'!R$2:R$801,$W68)))</f>
        <v/>
      </c>
      <c r="S68" s="7">
        <f>IF($W68="","",IF(INDEX('Per Invoice'!S$2:S$801,$W68)="","",INDEX('Per Invoice'!S$2:S$801,$W68)))</f>
        <v/>
      </c>
      <c r="T68" s="7">
        <f>IF($W68="","",IF(INDEX('Per Invoice'!T$2:T$801,$W68)="","",INDEX('Per Invoice'!T$2:T$801,$W68)))</f>
        <v/>
      </c>
      <c r="U68" s="7">
        <f>IF($W68="","",IF(INDEX('Per Invoice'!U$2:U$801,$W68)="","",INDEX('Per Invoice'!U$2:U$801,$W68)))</f>
        <v/>
      </c>
      <c r="V68" s="7">
        <f>IF($W68="","",IF(INDEX('Per Invoice'!V$2:V$801,$W68)="","",INDEX('Per Invoice'!V$2:V$801,$W68)))</f>
        <v/>
      </c>
      <c r="W68" s="16">
        <f>IFERROR(MATCH(Settings!$C$27&amp;"|"&amp;ROWS($W$2:$W68),'Per Invoice'!$X$2:$X$801,0),"")</f>
        <v/>
      </c>
    </row>
    <row r="69">
      <c r="A69">
        <f>IF($W69="","",IF(INDEX('Per Invoice'!A$2:A$801,$W69)="","",INDEX('Per Invoice'!A$2:A$801,$W69)))</f>
        <v/>
      </c>
      <c r="B69">
        <f>IF($W69="","",IF(INDEX('Per Invoice'!B$2:B$801,$W69)="","",INDEX('Per Invoice'!B$2:B$801,$W69)))</f>
        <v/>
      </c>
      <c r="C69">
        <f>IF($W69="","",IF(INDEX('Per Invoice'!C$2:C$801,$W69)="","",INDEX('Per Invoice'!C$2:C$801,$W69)))</f>
        <v/>
      </c>
      <c r="D69">
        <f>IF($W69="","",IF(INDEX('Per Invoice'!D$2:D$801,$W69)="","",INDEX('Per Invoice'!D$2:D$801,$W69)))</f>
        <v/>
      </c>
      <c r="E69">
        <f>IF($W69="","",IF(INDEX('Per Invoice'!E$2:E$801,$W69)="","",INDEX('Per Invoice'!E$2:E$801,$W69)))</f>
        <v/>
      </c>
      <c r="F69">
        <f>IF($W69="","",IF(INDEX('Per Invoice'!F$2:F$801,$W69)="","",INDEX('Per Invoice'!F$2:F$801,$W69)))</f>
        <v/>
      </c>
      <c r="G69">
        <f>IF($W69="","",IF(INDEX('Per Invoice'!G$2:G$801,$W69)="","",INDEX('Per Invoice'!G$2:G$801,$W69)))</f>
        <v/>
      </c>
      <c r="H69">
        <f>IF($W69="","",IF(INDEX('Per Invoice'!H$2:H$801,$W69)="","",INDEX('Per Invoice'!H$2:H$801,$W69)))</f>
        <v/>
      </c>
      <c r="I69">
        <f>IF($W69="","",IF(INDEX('Per Invoice'!I$2:I$801,$W69)="","",INDEX('Per Invoice'!I$2:I$801,$W69)))</f>
        <v/>
      </c>
      <c r="J69">
        <f>IF($W69="","",IF(INDEX('Per Invoice'!J$2:J$801,$W69)="","",INDEX('Per Invoice'!J$2:J$801,$W69)))</f>
        <v/>
      </c>
      <c r="K69" s="7">
        <f>IF($W69="","",IF(INDEX('Per Invoice'!K$2:K$801,$W69)="","",INDEX('Per Invoice'!K$2:K$801,$W69)))</f>
        <v/>
      </c>
      <c r="L69" s="14">
        <f>IF($W69="","",IF(INDEX('Per Invoice'!L$2:L$801,$W69)="","",INDEX('Per Invoice'!L$2:L$801,$W69)))</f>
        <v/>
      </c>
      <c r="M69">
        <f>IF($W69="","",IF(INDEX('Per Invoice'!M$2:M$801,$W69)="","",INDEX('Per Invoice'!M$2:M$801,$W69)))</f>
        <v/>
      </c>
      <c r="N69" s="7">
        <f>IF($W69="","",IF(INDEX('Per Invoice'!N$2:N$801,$W69)="","",INDEX('Per Invoice'!N$2:N$801,$W69)))</f>
        <v/>
      </c>
      <c r="O69" s="7">
        <f>IF($W69="","",IF(INDEX('Per Invoice'!O$2:O$801,$W69)="","",INDEX('Per Invoice'!O$2:O$801,$W69)))</f>
        <v/>
      </c>
      <c r="P69">
        <f>IF($W69="","",IF(INDEX('Per Invoice'!P$2:P$801,$W69)="","",INDEX('Per Invoice'!P$2:P$801,$W69)))</f>
        <v/>
      </c>
      <c r="Q69" s="7">
        <f>IF($W69="","",IF(INDEX('Per Invoice'!Q$2:Q$801,$W69)="","",INDEX('Per Invoice'!Q$2:Q$801,$W69)))</f>
        <v/>
      </c>
      <c r="R69" s="7">
        <f>IF($W69="","",IF(INDEX('Per Invoice'!R$2:R$801,$W69)="","",INDEX('Per Invoice'!R$2:R$801,$W69)))</f>
        <v/>
      </c>
      <c r="S69" s="7">
        <f>IF($W69="","",IF(INDEX('Per Invoice'!S$2:S$801,$W69)="","",INDEX('Per Invoice'!S$2:S$801,$W69)))</f>
        <v/>
      </c>
      <c r="T69" s="7">
        <f>IF($W69="","",IF(INDEX('Per Invoice'!T$2:T$801,$W69)="","",INDEX('Per Invoice'!T$2:T$801,$W69)))</f>
        <v/>
      </c>
      <c r="U69" s="7">
        <f>IF($W69="","",IF(INDEX('Per Invoice'!U$2:U$801,$W69)="","",INDEX('Per Invoice'!U$2:U$801,$W69)))</f>
        <v/>
      </c>
      <c r="V69" s="7">
        <f>IF($W69="","",IF(INDEX('Per Invoice'!V$2:V$801,$W69)="","",INDEX('Per Invoice'!V$2:V$801,$W69)))</f>
        <v/>
      </c>
      <c r="W69" s="16">
        <f>IFERROR(MATCH(Settings!$C$27&amp;"|"&amp;ROWS($W$2:$W69),'Per Invoice'!$X$2:$X$801,0),"")</f>
        <v/>
      </c>
    </row>
    <row r="70">
      <c r="A70">
        <f>IF($W70="","",IF(INDEX('Per Invoice'!A$2:A$801,$W70)="","",INDEX('Per Invoice'!A$2:A$801,$W70)))</f>
        <v/>
      </c>
      <c r="B70">
        <f>IF($W70="","",IF(INDEX('Per Invoice'!B$2:B$801,$W70)="","",INDEX('Per Invoice'!B$2:B$801,$W70)))</f>
        <v/>
      </c>
      <c r="C70">
        <f>IF($W70="","",IF(INDEX('Per Invoice'!C$2:C$801,$W70)="","",INDEX('Per Invoice'!C$2:C$801,$W70)))</f>
        <v/>
      </c>
      <c r="D70">
        <f>IF($W70="","",IF(INDEX('Per Invoice'!D$2:D$801,$W70)="","",INDEX('Per Invoice'!D$2:D$801,$W70)))</f>
        <v/>
      </c>
      <c r="E70">
        <f>IF($W70="","",IF(INDEX('Per Invoice'!E$2:E$801,$W70)="","",INDEX('Per Invoice'!E$2:E$801,$W70)))</f>
        <v/>
      </c>
      <c r="F70">
        <f>IF($W70="","",IF(INDEX('Per Invoice'!F$2:F$801,$W70)="","",INDEX('Per Invoice'!F$2:F$801,$W70)))</f>
        <v/>
      </c>
      <c r="G70">
        <f>IF($W70="","",IF(INDEX('Per Invoice'!G$2:G$801,$W70)="","",INDEX('Per Invoice'!G$2:G$801,$W70)))</f>
        <v/>
      </c>
      <c r="H70">
        <f>IF($W70="","",IF(INDEX('Per Invoice'!H$2:H$801,$W70)="","",INDEX('Per Invoice'!H$2:H$801,$W70)))</f>
        <v/>
      </c>
      <c r="I70">
        <f>IF($W70="","",IF(INDEX('Per Invoice'!I$2:I$801,$W70)="","",INDEX('Per Invoice'!I$2:I$801,$W70)))</f>
        <v/>
      </c>
      <c r="J70">
        <f>IF($W70="","",IF(INDEX('Per Invoice'!J$2:J$801,$W70)="","",INDEX('Per Invoice'!J$2:J$801,$W70)))</f>
        <v/>
      </c>
      <c r="K70" s="7">
        <f>IF($W70="","",IF(INDEX('Per Invoice'!K$2:K$801,$W70)="","",INDEX('Per Invoice'!K$2:K$801,$W70)))</f>
        <v/>
      </c>
      <c r="L70" s="14">
        <f>IF($W70="","",IF(INDEX('Per Invoice'!L$2:L$801,$W70)="","",INDEX('Per Invoice'!L$2:L$801,$W70)))</f>
        <v/>
      </c>
      <c r="M70">
        <f>IF($W70="","",IF(INDEX('Per Invoice'!M$2:M$801,$W70)="","",INDEX('Per Invoice'!M$2:M$801,$W70)))</f>
        <v/>
      </c>
      <c r="N70" s="7">
        <f>IF($W70="","",IF(INDEX('Per Invoice'!N$2:N$801,$W70)="","",INDEX('Per Invoice'!N$2:N$801,$W70)))</f>
        <v/>
      </c>
      <c r="O70" s="7">
        <f>IF($W70="","",IF(INDEX('Per Invoice'!O$2:O$801,$W70)="","",INDEX('Per Invoice'!O$2:O$801,$W70)))</f>
        <v/>
      </c>
      <c r="P70">
        <f>IF($W70="","",IF(INDEX('Per Invoice'!P$2:P$801,$W70)="","",INDEX('Per Invoice'!P$2:P$801,$W70)))</f>
        <v/>
      </c>
      <c r="Q70" s="7">
        <f>IF($W70="","",IF(INDEX('Per Invoice'!Q$2:Q$801,$W70)="","",INDEX('Per Invoice'!Q$2:Q$801,$W70)))</f>
        <v/>
      </c>
      <c r="R70" s="7">
        <f>IF($W70="","",IF(INDEX('Per Invoice'!R$2:R$801,$W70)="","",INDEX('Per Invoice'!R$2:R$801,$W70)))</f>
        <v/>
      </c>
      <c r="S70" s="7">
        <f>IF($W70="","",IF(INDEX('Per Invoice'!S$2:S$801,$W70)="","",INDEX('Per Invoice'!S$2:S$801,$W70)))</f>
        <v/>
      </c>
      <c r="T70" s="7">
        <f>IF($W70="","",IF(INDEX('Per Invoice'!T$2:T$801,$W70)="","",INDEX('Per Invoice'!T$2:T$801,$W70)))</f>
        <v/>
      </c>
      <c r="U70" s="7">
        <f>IF($W70="","",IF(INDEX('Per Invoice'!U$2:U$801,$W70)="","",INDEX('Per Invoice'!U$2:U$801,$W70)))</f>
        <v/>
      </c>
      <c r="V70" s="7">
        <f>IF($W70="","",IF(INDEX('Per Invoice'!V$2:V$801,$W70)="","",INDEX('Per Invoice'!V$2:V$801,$W70)))</f>
        <v/>
      </c>
      <c r="W70" s="16">
        <f>IFERROR(MATCH(Settings!$C$27&amp;"|"&amp;ROWS($W$2:$W70),'Per Invoice'!$X$2:$X$801,0),"")</f>
        <v/>
      </c>
    </row>
    <row r="71">
      <c r="A71">
        <f>IF($W71="","",IF(INDEX('Per Invoice'!A$2:A$801,$W71)="","",INDEX('Per Invoice'!A$2:A$801,$W71)))</f>
        <v/>
      </c>
      <c r="B71">
        <f>IF($W71="","",IF(INDEX('Per Invoice'!B$2:B$801,$W71)="","",INDEX('Per Invoice'!B$2:B$801,$W71)))</f>
        <v/>
      </c>
      <c r="C71">
        <f>IF($W71="","",IF(INDEX('Per Invoice'!C$2:C$801,$W71)="","",INDEX('Per Invoice'!C$2:C$801,$W71)))</f>
        <v/>
      </c>
      <c r="D71">
        <f>IF($W71="","",IF(INDEX('Per Invoice'!D$2:D$801,$W71)="","",INDEX('Per Invoice'!D$2:D$801,$W71)))</f>
        <v/>
      </c>
      <c r="E71">
        <f>IF($W71="","",IF(INDEX('Per Invoice'!E$2:E$801,$W71)="","",INDEX('Per Invoice'!E$2:E$801,$W71)))</f>
        <v/>
      </c>
      <c r="F71">
        <f>IF($W71="","",IF(INDEX('Per Invoice'!F$2:F$801,$W71)="","",INDEX('Per Invoice'!F$2:F$801,$W71)))</f>
        <v/>
      </c>
      <c r="G71">
        <f>IF($W71="","",IF(INDEX('Per Invoice'!G$2:G$801,$W71)="","",INDEX('Per Invoice'!G$2:G$801,$W71)))</f>
        <v/>
      </c>
      <c r="H71">
        <f>IF($W71="","",IF(INDEX('Per Invoice'!H$2:H$801,$W71)="","",INDEX('Per Invoice'!H$2:H$801,$W71)))</f>
        <v/>
      </c>
      <c r="I71">
        <f>IF($W71="","",IF(INDEX('Per Invoice'!I$2:I$801,$W71)="","",INDEX('Per Invoice'!I$2:I$801,$W71)))</f>
        <v/>
      </c>
      <c r="J71">
        <f>IF($W71="","",IF(INDEX('Per Invoice'!J$2:J$801,$W71)="","",INDEX('Per Invoice'!J$2:J$801,$W71)))</f>
        <v/>
      </c>
      <c r="K71" s="7">
        <f>IF($W71="","",IF(INDEX('Per Invoice'!K$2:K$801,$W71)="","",INDEX('Per Invoice'!K$2:K$801,$W71)))</f>
        <v/>
      </c>
      <c r="L71" s="14">
        <f>IF($W71="","",IF(INDEX('Per Invoice'!L$2:L$801,$W71)="","",INDEX('Per Invoice'!L$2:L$801,$W71)))</f>
        <v/>
      </c>
      <c r="M71">
        <f>IF($W71="","",IF(INDEX('Per Invoice'!M$2:M$801,$W71)="","",INDEX('Per Invoice'!M$2:M$801,$W71)))</f>
        <v/>
      </c>
      <c r="N71" s="7">
        <f>IF($W71="","",IF(INDEX('Per Invoice'!N$2:N$801,$W71)="","",INDEX('Per Invoice'!N$2:N$801,$W71)))</f>
        <v/>
      </c>
      <c r="O71" s="7">
        <f>IF($W71="","",IF(INDEX('Per Invoice'!O$2:O$801,$W71)="","",INDEX('Per Invoice'!O$2:O$801,$W71)))</f>
        <v/>
      </c>
      <c r="P71">
        <f>IF($W71="","",IF(INDEX('Per Invoice'!P$2:P$801,$W71)="","",INDEX('Per Invoice'!P$2:P$801,$W71)))</f>
        <v/>
      </c>
      <c r="Q71" s="7">
        <f>IF($W71="","",IF(INDEX('Per Invoice'!Q$2:Q$801,$W71)="","",INDEX('Per Invoice'!Q$2:Q$801,$W71)))</f>
        <v/>
      </c>
      <c r="R71" s="7">
        <f>IF($W71="","",IF(INDEX('Per Invoice'!R$2:R$801,$W71)="","",INDEX('Per Invoice'!R$2:R$801,$W71)))</f>
        <v/>
      </c>
      <c r="S71" s="7">
        <f>IF($W71="","",IF(INDEX('Per Invoice'!S$2:S$801,$W71)="","",INDEX('Per Invoice'!S$2:S$801,$W71)))</f>
        <v/>
      </c>
      <c r="T71" s="7">
        <f>IF($W71="","",IF(INDEX('Per Invoice'!T$2:T$801,$W71)="","",INDEX('Per Invoice'!T$2:T$801,$W71)))</f>
        <v/>
      </c>
      <c r="U71" s="7">
        <f>IF($W71="","",IF(INDEX('Per Invoice'!U$2:U$801,$W71)="","",INDEX('Per Invoice'!U$2:U$801,$W71)))</f>
        <v/>
      </c>
      <c r="V71" s="7">
        <f>IF($W71="","",IF(INDEX('Per Invoice'!V$2:V$801,$W71)="","",INDEX('Per Invoice'!V$2:V$801,$W71)))</f>
        <v/>
      </c>
      <c r="W71" s="16">
        <f>IFERROR(MATCH(Settings!$C$27&amp;"|"&amp;ROWS($W$2:$W71),'Per Invoice'!$X$2:$X$801,0),"")</f>
        <v/>
      </c>
    </row>
    <row r="72">
      <c r="A72">
        <f>IF($W72="","",IF(INDEX('Per Invoice'!A$2:A$801,$W72)="","",INDEX('Per Invoice'!A$2:A$801,$W72)))</f>
        <v/>
      </c>
      <c r="B72">
        <f>IF($W72="","",IF(INDEX('Per Invoice'!B$2:B$801,$W72)="","",INDEX('Per Invoice'!B$2:B$801,$W72)))</f>
        <v/>
      </c>
      <c r="C72">
        <f>IF($W72="","",IF(INDEX('Per Invoice'!C$2:C$801,$W72)="","",INDEX('Per Invoice'!C$2:C$801,$W72)))</f>
        <v/>
      </c>
      <c r="D72">
        <f>IF($W72="","",IF(INDEX('Per Invoice'!D$2:D$801,$W72)="","",INDEX('Per Invoice'!D$2:D$801,$W72)))</f>
        <v/>
      </c>
      <c r="E72">
        <f>IF($W72="","",IF(INDEX('Per Invoice'!E$2:E$801,$W72)="","",INDEX('Per Invoice'!E$2:E$801,$W72)))</f>
        <v/>
      </c>
      <c r="F72">
        <f>IF($W72="","",IF(INDEX('Per Invoice'!F$2:F$801,$W72)="","",INDEX('Per Invoice'!F$2:F$801,$W72)))</f>
        <v/>
      </c>
      <c r="G72">
        <f>IF($W72="","",IF(INDEX('Per Invoice'!G$2:G$801,$W72)="","",INDEX('Per Invoice'!G$2:G$801,$W72)))</f>
        <v/>
      </c>
      <c r="H72">
        <f>IF($W72="","",IF(INDEX('Per Invoice'!H$2:H$801,$W72)="","",INDEX('Per Invoice'!H$2:H$801,$W72)))</f>
        <v/>
      </c>
      <c r="I72">
        <f>IF($W72="","",IF(INDEX('Per Invoice'!I$2:I$801,$W72)="","",INDEX('Per Invoice'!I$2:I$801,$W72)))</f>
        <v/>
      </c>
      <c r="J72">
        <f>IF($W72="","",IF(INDEX('Per Invoice'!J$2:J$801,$W72)="","",INDEX('Per Invoice'!J$2:J$801,$W72)))</f>
        <v/>
      </c>
      <c r="K72" s="7">
        <f>IF($W72="","",IF(INDEX('Per Invoice'!K$2:K$801,$W72)="","",INDEX('Per Invoice'!K$2:K$801,$W72)))</f>
        <v/>
      </c>
      <c r="L72" s="14">
        <f>IF($W72="","",IF(INDEX('Per Invoice'!L$2:L$801,$W72)="","",INDEX('Per Invoice'!L$2:L$801,$W72)))</f>
        <v/>
      </c>
      <c r="M72">
        <f>IF($W72="","",IF(INDEX('Per Invoice'!M$2:M$801,$W72)="","",INDEX('Per Invoice'!M$2:M$801,$W72)))</f>
        <v/>
      </c>
      <c r="N72" s="7">
        <f>IF($W72="","",IF(INDEX('Per Invoice'!N$2:N$801,$W72)="","",INDEX('Per Invoice'!N$2:N$801,$W72)))</f>
        <v/>
      </c>
      <c r="O72" s="7">
        <f>IF($W72="","",IF(INDEX('Per Invoice'!O$2:O$801,$W72)="","",INDEX('Per Invoice'!O$2:O$801,$W72)))</f>
        <v/>
      </c>
      <c r="P72">
        <f>IF($W72="","",IF(INDEX('Per Invoice'!P$2:P$801,$W72)="","",INDEX('Per Invoice'!P$2:P$801,$W72)))</f>
        <v/>
      </c>
      <c r="Q72" s="7">
        <f>IF($W72="","",IF(INDEX('Per Invoice'!Q$2:Q$801,$W72)="","",INDEX('Per Invoice'!Q$2:Q$801,$W72)))</f>
        <v/>
      </c>
      <c r="R72" s="7">
        <f>IF($W72="","",IF(INDEX('Per Invoice'!R$2:R$801,$W72)="","",INDEX('Per Invoice'!R$2:R$801,$W72)))</f>
        <v/>
      </c>
      <c r="S72" s="7">
        <f>IF($W72="","",IF(INDEX('Per Invoice'!S$2:S$801,$W72)="","",INDEX('Per Invoice'!S$2:S$801,$W72)))</f>
        <v/>
      </c>
      <c r="T72" s="7">
        <f>IF($W72="","",IF(INDEX('Per Invoice'!T$2:T$801,$W72)="","",INDEX('Per Invoice'!T$2:T$801,$W72)))</f>
        <v/>
      </c>
      <c r="U72" s="7">
        <f>IF($W72="","",IF(INDEX('Per Invoice'!U$2:U$801,$W72)="","",INDEX('Per Invoice'!U$2:U$801,$W72)))</f>
        <v/>
      </c>
      <c r="V72" s="7">
        <f>IF($W72="","",IF(INDEX('Per Invoice'!V$2:V$801,$W72)="","",INDEX('Per Invoice'!V$2:V$801,$W72)))</f>
        <v/>
      </c>
      <c r="W72" s="16">
        <f>IFERROR(MATCH(Settings!$C$27&amp;"|"&amp;ROWS($W$2:$W72),'Per Invoice'!$X$2:$X$801,0),"")</f>
        <v/>
      </c>
    </row>
    <row r="73">
      <c r="A73">
        <f>IF($W73="","",IF(INDEX('Per Invoice'!A$2:A$801,$W73)="","",INDEX('Per Invoice'!A$2:A$801,$W73)))</f>
        <v/>
      </c>
      <c r="B73">
        <f>IF($W73="","",IF(INDEX('Per Invoice'!B$2:B$801,$W73)="","",INDEX('Per Invoice'!B$2:B$801,$W73)))</f>
        <v/>
      </c>
      <c r="C73">
        <f>IF($W73="","",IF(INDEX('Per Invoice'!C$2:C$801,$W73)="","",INDEX('Per Invoice'!C$2:C$801,$W73)))</f>
        <v/>
      </c>
      <c r="D73">
        <f>IF($W73="","",IF(INDEX('Per Invoice'!D$2:D$801,$W73)="","",INDEX('Per Invoice'!D$2:D$801,$W73)))</f>
        <v/>
      </c>
      <c r="E73">
        <f>IF($W73="","",IF(INDEX('Per Invoice'!E$2:E$801,$W73)="","",INDEX('Per Invoice'!E$2:E$801,$W73)))</f>
        <v/>
      </c>
      <c r="F73">
        <f>IF($W73="","",IF(INDEX('Per Invoice'!F$2:F$801,$W73)="","",INDEX('Per Invoice'!F$2:F$801,$W73)))</f>
        <v/>
      </c>
      <c r="G73">
        <f>IF($W73="","",IF(INDEX('Per Invoice'!G$2:G$801,$W73)="","",INDEX('Per Invoice'!G$2:G$801,$W73)))</f>
        <v/>
      </c>
      <c r="H73">
        <f>IF($W73="","",IF(INDEX('Per Invoice'!H$2:H$801,$W73)="","",INDEX('Per Invoice'!H$2:H$801,$W73)))</f>
        <v/>
      </c>
      <c r="I73">
        <f>IF($W73="","",IF(INDEX('Per Invoice'!I$2:I$801,$W73)="","",INDEX('Per Invoice'!I$2:I$801,$W73)))</f>
        <v/>
      </c>
      <c r="J73">
        <f>IF($W73="","",IF(INDEX('Per Invoice'!J$2:J$801,$W73)="","",INDEX('Per Invoice'!J$2:J$801,$W73)))</f>
        <v/>
      </c>
      <c r="K73" s="7">
        <f>IF($W73="","",IF(INDEX('Per Invoice'!K$2:K$801,$W73)="","",INDEX('Per Invoice'!K$2:K$801,$W73)))</f>
        <v/>
      </c>
      <c r="L73" s="14">
        <f>IF($W73="","",IF(INDEX('Per Invoice'!L$2:L$801,$W73)="","",INDEX('Per Invoice'!L$2:L$801,$W73)))</f>
        <v/>
      </c>
      <c r="M73">
        <f>IF($W73="","",IF(INDEX('Per Invoice'!M$2:M$801,$W73)="","",INDEX('Per Invoice'!M$2:M$801,$W73)))</f>
        <v/>
      </c>
      <c r="N73" s="7">
        <f>IF($W73="","",IF(INDEX('Per Invoice'!N$2:N$801,$W73)="","",INDEX('Per Invoice'!N$2:N$801,$W73)))</f>
        <v/>
      </c>
      <c r="O73" s="7">
        <f>IF($W73="","",IF(INDEX('Per Invoice'!O$2:O$801,$W73)="","",INDEX('Per Invoice'!O$2:O$801,$W73)))</f>
        <v/>
      </c>
      <c r="P73">
        <f>IF($W73="","",IF(INDEX('Per Invoice'!P$2:P$801,$W73)="","",INDEX('Per Invoice'!P$2:P$801,$W73)))</f>
        <v/>
      </c>
      <c r="Q73" s="7">
        <f>IF($W73="","",IF(INDEX('Per Invoice'!Q$2:Q$801,$W73)="","",INDEX('Per Invoice'!Q$2:Q$801,$W73)))</f>
        <v/>
      </c>
      <c r="R73" s="7">
        <f>IF($W73="","",IF(INDEX('Per Invoice'!R$2:R$801,$W73)="","",INDEX('Per Invoice'!R$2:R$801,$W73)))</f>
        <v/>
      </c>
      <c r="S73" s="7">
        <f>IF($W73="","",IF(INDEX('Per Invoice'!S$2:S$801,$W73)="","",INDEX('Per Invoice'!S$2:S$801,$W73)))</f>
        <v/>
      </c>
      <c r="T73" s="7">
        <f>IF($W73="","",IF(INDEX('Per Invoice'!T$2:T$801,$W73)="","",INDEX('Per Invoice'!T$2:T$801,$W73)))</f>
        <v/>
      </c>
      <c r="U73" s="7">
        <f>IF($W73="","",IF(INDEX('Per Invoice'!U$2:U$801,$W73)="","",INDEX('Per Invoice'!U$2:U$801,$W73)))</f>
        <v/>
      </c>
      <c r="V73" s="7">
        <f>IF($W73="","",IF(INDEX('Per Invoice'!V$2:V$801,$W73)="","",INDEX('Per Invoice'!V$2:V$801,$W73)))</f>
        <v/>
      </c>
      <c r="W73" s="16">
        <f>IFERROR(MATCH(Settings!$C$27&amp;"|"&amp;ROWS($W$2:$W73),'Per Invoice'!$X$2:$X$801,0),"")</f>
        <v/>
      </c>
    </row>
    <row r="74">
      <c r="A74">
        <f>IF($W74="","",IF(INDEX('Per Invoice'!A$2:A$801,$W74)="","",INDEX('Per Invoice'!A$2:A$801,$W74)))</f>
        <v/>
      </c>
      <c r="B74">
        <f>IF($W74="","",IF(INDEX('Per Invoice'!B$2:B$801,$W74)="","",INDEX('Per Invoice'!B$2:B$801,$W74)))</f>
        <v/>
      </c>
      <c r="C74">
        <f>IF($W74="","",IF(INDEX('Per Invoice'!C$2:C$801,$W74)="","",INDEX('Per Invoice'!C$2:C$801,$W74)))</f>
        <v/>
      </c>
      <c r="D74">
        <f>IF($W74="","",IF(INDEX('Per Invoice'!D$2:D$801,$W74)="","",INDEX('Per Invoice'!D$2:D$801,$W74)))</f>
        <v/>
      </c>
      <c r="E74">
        <f>IF($W74="","",IF(INDEX('Per Invoice'!E$2:E$801,$W74)="","",INDEX('Per Invoice'!E$2:E$801,$W74)))</f>
        <v/>
      </c>
      <c r="F74">
        <f>IF($W74="","",IF(INDEX('Per Invoice'!F$2:F$801,$W74)="","",INDEX('Per Invoice'!F$2:F$801,$W74)))</f>
        <v/>
      </c>
      <c r="G74">
        <f>IF($W74="","",IF(INDEX('Per Invoice'!G$2:G$801,$W74)="","",INDEX('Per Invoice'!G$2:G$801,$W74)))</f>
        <v/>
      </c>
      <c r="H74">
        <f>IF($W74="","",IF(INDEX('Per Invoice'!H$2:H$801,$W74)="","",INDEX('Per Invoice'!H$2:H$801,$W74)))</f>
        <v/>
      </c>
      <c r="I74">
        <f>IF($W74="","",IF(INDEX('Per Invoice'!I$2:I$801,$W74)="","",INDEX('Per Invoice'!I$2:I$801,$W74)))</f>
        <v/>
      </c>
      <c r="J74">
        <f>IF($W74="","",IF(INDEX('Per Invoice'!J$2:J$801,$W74)="","",INDEX('Per Invoice'!J$2:J$801,$W74)))</f>
        <v/>
      </c>
      <c r="K74" s="7">
        <f>IF($W74="","",IF(INDEX('Per Invoice'!K$2:K$801,$W74)="","",INDEX('Per Invoice'!K$2:K$801,$W74)))</f>
        <v/>
      </c>
      <c r="L74" s="14">
        <f>IF($W74="","",IF(INDEX('Per Invoice'!L$2:L$801,$W74)="","",INDEX('Per Invoice'!L$2:L$801,$W74)))</f>
        <v/>
      </c>
      <c r="M74">
        <f>IF($W74="","",IF(INDEX('Per Invoice'!M$2:M$801,$W74)="","",INDEX('Per Invoice'!M$2:M$801,$W74)))</f>
        <v/>
      </c>
      <c r="N74" s="7">
        <f>IF($W74="","",IF(INDEX('Per Invoice'!N$2:N$801,$W74)="","",INDEX('Per Invoice'!N$2:N$801,$W74)))</f>
        <v/>
      </c>
      <c r="O74" s="7">
        <f>IF($W74="","",IF(INDEX('Per Invoice'!O$2:O$801,$W74)="","",INDEX('Per Invoice'!O$2:O$801,$W74)))</f>
        <v/>
      </c>
      <c r="P74">
        <f>IF($W74="","",IF(INDEX('Per Invoice'!P$2:P$801,$W74)="","",INDEX('Per Invoice'!P$2:P$801,$W74)))</f>
        <v/>
      </c>
      <c r="Q74" s="7">
        <f>IF($W74="","",IF(INDEX('Per Invoice'!Q$2:Q$801,$W74)="","",INDEX('Per Invoice'!Q$2:Q$801,$W74)))</f>
        <v/>
      </c>
      <c r="R74" s="7">
        <f>IF($W74="","",IF(INDEX('Per Invoice'!R$2:R$801,$W74)="","",INDEX('Per Invoice'!R$2:R$801,$W74)))</f>
        <v/>
      </c>
      <c r="S74" s="7">
        <f>IF($W74="","",IF(INDEX('Per Invoice'!S$2:S$801,$W74)="","",INDEX('Per Invoice'!S$2:S$801,$W74)))</f>
        <v/>
      </c>
      <c r="T74" s="7">
        <f>IF($W74="","",IF(INDEX('Per Invoice'!T$2:T$801,$W74)="","",INDEX('Per Invoice'!T$2:T$801,$W74)))</f>
        <v/>
      </c>
      <c r="U74" s="7">
        <f>IF($W74="","",IF(INDEX('Per Invoice'!U$2:U$801,$W74)="","",INDEX('Per Invoice'!U$2:U$801,$W74)))</f>
        <v/>
      </c>
      <c r="V74" s="7">
        <f>IF($W74="","",IF(INDEX('Per Invoice'!V$2:V$801,$W74)="","",INDEX('Per Invoice'!V$2:V$801,$W74)))</f>
        <v/>
      </c>
      <c r="W74" s="16">
        <f>IFERROR(MATCH(Settings!$C$27&amp;"|"&amp;ROWS($W$2:$W74),'Per Invoice'!$X$2:$X$801,0),"")</f>
        <v/>
      </c>
    </row>
    <row r="75">
      <c r="A75">
        <f>IF($W75="","",IF(INDEX('Per Invoice'!A$2:A$801,$W75)="","",INDEX('Per Invoice'!A$2:A$801,$W75)))</f>
        <v/>
      </c>
      <c r="B75">
        <f>IF($W75="","",IF(INDEX('Per Invoice'!B$2:B$801,$W75)="","",INDEX('Per Invoice'!B$2:B$801,$W75)))</f>
        <v/>
      </c>
      <c r="C75">
        <f>IF($W75="","",IF(INDEX('Per Invoice'!C$2:C$801,$W75)="","",INDEX('Per Invoice'!C$2:C$801,$W75)))</f>
        <v/>
      </c>
      <c r="D75">
        <f>IF($W75="","",IF(INDEX('Per Invoice'!D$2:D$801,$W75)="","",INDEX('Per Invoice'!D$2:D$801,$W75)))</f>
        <v/>
      </c>
      <c r="E75">
        <f>IF($W75="","",IF(INDEX('Per Invoice'!E$2:E$801,$W75)="","",INDEX('Per Invoice'!E$2:E$801,$W75)))</f>
        <v/>
      </c>
      <c r="F75">
        <f>IF($W75="","",IF(INDEX('Per Invoice'!F$2:F$801,$W75)="","",INDEX('Per Invoice'!F$2:F$801,$W75)))</f>
        <v/>
      </c>
      <c r="G75">
        <f>IF($W75="","",IF(INDEX('Per Invoice'!G$2:G$801,$W75)="","",INDEX('Per Invoice'!G$2:G$801,$W75)))</f>
        <v/>
      </c>
      <c r="H75">
        <f>IF($W75="","",IF(INDEX('Per Invoice'!H$2:H$801,$W75)="","",INDEX('Per Invoice'!H$2:H$801,$W75)))</f>
        <v/>
      </c>
      <c r="I75">
        <f>IF($W75="","",IF(INDEX('Per Invoice'!I$2:I$801,$W75)="","",INDEX('Per Invoice'!I$2:I$801,$W75)))</f>
        <v/>
      </c>
      <c r="J75">
        <f>IF($W75="","",IF(INDEX('Per Invoice'!J$2:J$801,$W75)="","",INDEX('Per Invoice'!J$2:J$801,$W75)))</f>
        <v/>
      </c>
      <c r="K75" s="7">
        <f>IF($W75="","",IF(INDEX('Per Invoice'!K$2:K$801,$W75)="","",INDEX('Per Invoice'!K$2:K$801,$W75)))</f>
        <v/>
      </c>
      <c r="L75" s="14">
        <f>IF($W75="","",IF(INDEX('Per Invoice'!L$2:L$801,$W75)="","",INDEX('Per Invoice'!L$2:L$801,$W75)))</f>
        <v/>
      </c>
      <c r="M75">
        <f>IF($W75="","",IF(INDEX('Per Invoice'!M$2:M$801,$W75)="","",INDEX('Per Invoice'!M$2:M$801,$W75)))</f>
        <v/>
      </c>
      <c r="N75" s="7">
        <f>IF($W75="","",IF(INDEX('Per Invoice'!N$2:N$801,$W75)="","",INDEX('Per Invoice'!N$2:N$801,$W75)))</f>
        <v/>
      </c>
      <c r="O75" s="7">
        <f>IF($W75="","",IF(INDEX('Per Invoice'!O$2:O$801,$W75)="","",INDEX('Per Invoice'!O$2:O$801,$W75)))</f>
        <v/>
      </c>
      <c r="P75">
        <f>IF($W75="","",IF(INDEX('Per Invoice'!P$2:P$801,$W75)="","",INDEX('Per Invoice'!P$2:P$801,$W75)))</f>
        <v/>
      </c>
      <c r="Q75" s="7">
        <f>IF($W75="","",IF(INDEX('Per Invoice'!Q$2:Q$801,$W75)="","",INDEX('Per Invoice'!Q$2:Q$801,$W75)))</f>
        <v/>
      </c>
      <c r="R75" s="7">
        <f>IF($W75="","",IF(INDEX('Per Invoice'!R$2:R$801,$W75)="","",INDEX('Per Invoice'!R$2:R$801,$W75)))</f>
        <v/>
      </c>
      <c r="S75" s="7">
        <f>IF($W75="","",IF(INDEX('Per Invoice'!S$2:S$801,$W75)="","",INDEX('Per Invoice'!S$2:S$801,$W75)))</f>
        <v/>
      </c>
      <c r="T75" s="7">
        <f>IF($W75="","",IF(INDEX('Per Invoice'!T$2:T$801,$W75)="","",INDEX('Per Invoice'!T$2:T$801,$W75)))</f>
        <v/>
      </c>
      <c r="U75" s="7">
        <f>IF($W75="","",IF(INDEX('Per Invoice'!U$2:U$801,$W75)="","",INDEX('Per Invoice'!U$2:U$801,$W75)))</f>
        <v/>
      </c>
      <c r="V75" s="7">
        <f>IF($W75="","",IF(INDEX('Per Invoice'!V$2:V$801,$W75)="","",INDEX('Per Invoice'!V$2:V$801,$W75)))</f>
        <v/>
      </c>
      <c r="W75" s="16">
        <f>IFERROR(MATCH(Settings!$C$27&amp;"|"&amp;ROWS($W$2:$W75),'Per Invoice'!$X$2:$X$801,0),"")</f>
        <v/>
      </c>
    </row>
    <row r="76">
      <c r="A76">
        <f>IF($W76="","",IF(INDEX('Per Invoice'!A$2:A$801,$W76)="","",INDEX('Per Invoice'!A$2:A$801,$W76)))</f>
        <v/>
      </c>
      <c r="B76">
        <f>IF($W76="","",IF(INDEX('Per Invoice'!B$2:B$801,$W76)="","",INDEX('Per Invoice'!B$2:B$801,$W76)))</f>
        <v/>
      </c>
      <c r="C76">
        <f>IF($W76="","",IF(INDEX('Per Invoice'!C$2:C$801,$W76)="","",INDEX('Per Invoice'!C$2:C$801,$W76)))</f>
        <v/>
      </c>
      <c r="D76">
        <f>IF($W76="","",IF(INDEX('Per Invoice'!D$2:D$801,$W76)="","",INDEX('Per Invoice'!D$2:D$801,$W76)))</f>
        <v/>
      </c>
      <c r="E76">
        <f>IF($W76="","",IF(INDEX('Per Invoice'!E$2:E$801,$W76)="","",INDEX('Per Invoice'!E$2:E$801,$W76)))</f>
        <v/>
      </c>
      <c r="F76">
        <f>IF($W76="","",IF(INDEX('Per Invoice'!F$2:F$801,$W76)="","",INDEX('Per Invoice'!F$2:F$801,$W76)))</f>
        <v/>
      </c>
      <c r="G76">
        <f>IF($W76="","",IF(INDEX('Per Invoice'!G$2:G$801,$W76)="","",INDEX('Per Invoice'!G$2:G$801,$W76)))</f>
        <v/>
      </c>
      <c r="H76">
        <f>IF($W76="","",IF(INDEX('Per Invoice'!H$2:H$801,$W76)="","",INDEX('Per Invoice'!H$2:H$801,$W76)))</f>
        <v/>
      </c>
      <c r="I76">
        <f>IF($W76="","",IF(INDEX('Per Invoice'!I$2:I$801,$W76)="","",INDEX('Per Invoice'!I$2:I$801,$W76)))</f>
        <v/>
      </c>
      <c r="J76">
        <f>IF($W76="","",IF(INDEX('Per Invoice'!J$2:J$801,$W76)="","",INDEX('Per Invoice'!J$2:J$801,$W76)))</f>
        <v/>
      </c>
      <c r="K76" s="7">
        <f>IF($W76="","",IF(INDEX('Per Invoice'!K$2:K$801,$W76)="","",INDEX('Per Invoice'!K$2:K$801,$W76)))</f>
        <v/>
      </c>
      <c r="L76" s="14">
        <f>IF($W76="","",IF(INDEX('Per Invoice'!L$2:L$801,$W76)="","",INDEX('Per Invoice'!L$2:L$801,$W76)))</f>
        <v/>
      </c>
      <c r="M76">
        <f>IF($W76="","",IF(INDEX('Per Invoice'!M$2:M$801,$W76)="","",INDEX('Per Invoice'!M$2:M$801,$W76)))</f>
        <v/>
      </c>
      <c r="N76" s="7">
        <f>IF($W76="","",IF(INDEX('Per Invoice'!N$2:N$801,$W76)="","",INDEX('Per Invoice'!N$2:N$801,$W76)))</f>
        <v/>
      </c>
      <c r="O76" s="7">
        <f>IF($W76="","",IF(INDEX('Per Invoice'!O$2:O$801,$W76)="","",INDEX('Per Invoice'!O$2:O$801,$W76)))</f>
        <v/>
      </c>
      <c r="P76">
        <f>IF($W76="","",IF(INDEX('Per Invoice'!P$2:P$801,$W76)="","",INDEX('Per Invoice'!P$2:P$801,$W76)))</f>
        <v/>
      </c>
      <c r="Q76" s="7">
        <f>IF($W76="","",IF(INDEX('Per Invoice'!Q$2:Q$801,$W76)="","",INDEX('Per Invoice'!Q$2:Q$801,$W76)))</f>
        <v/>
      </c>
      <c r="R76" s="7">
        <f>IF($W76="","",IF(INDEX('Per Invoice'!R$2:R$801,$W76)="","",INDEX('Per Invoice'!R$2:R$801,$W76)))</f>
        <v/>
      </c>
      <c r="S76" s="7">
        <f>IF($W76="","",IF(INDEX('Per Invoice'!S$2:S$801,$W76)="","",INDEX('Per Invoice'!S$2:S$801,$W76)))</f>
        <v/>
      </c>
      <c r="T76" s="7">
        <f>IF($W76="","",IF(INDEX('Per Invoice'!T$2:T$801,$W76)="","",INDEX('Per Invoice'!T$2:T$801,$W76)))</f>
        <v/>
      </c>
      <c r="U76" s="7">
        <f>IF($W76="","",IF(INDEX('Per Invoice'!U$2:U$801,$W76)="","",INDEX('Per Invoice'!U$2:U$801,$W76)))</f>
        <v/>
      </c>
      <c r="V76" s="7">
        <f>IF($W76="","",IF(INDEX('Per Invoice'!V$2:V$801,$W76)="","",INDEX('Per Invoice'!V$2:V$801,$W76)))</f>
        <v/>
      </c>
      <c r="W76" s="16">
        <f>IFERROR(MATCH(Settings!$C$27&amp;"|"&amp;ROWS($W$2:$W76),'Per Invoice'!$X$2:$X$801,0),"")</f>
        <v/>
      </c>
    </row>
    <row r="77">
      <c r="A77">
        <f>IF($W77="","",IF(INDEX('Per Invoice'!A$2:A$801,$W77)="","",INDEX('Per Invoice'!A$2:A$801,$W77)))</f>
        <v/>
      </c>
      <c r="B77">
        <f>IF($W77="","",IF(INDEX('Per Invoice'!B$2:B$801,$W77)="","",INDEX('Per Invoice'!B$2:B$801,$W77)))</f>
        <v/>
      </c>
      <c r="C77">
        <f>IF($W77="","",IF(INDEX('Per Invoice'!C$2:C$801,$W77)="","",INDEX('Per Invoice'!C$2:C$801,$W77)))</f>
        <v/>
      </c>
      <c r="D77">
        <f>IF($W77="","",IF(INDEX('Per Invoice'!D$2:D$801,$W77)="","",INDEX('Per Invoice'!D$2:D$801,$W77)))</f>
        <v/>
      </c>
      <c r="E77">
        <f>IF($W77="","",IF(INDEX('Per Invoice'!E$2:E$801,$W77)="","",INDEX('Per Invoice'!E$2:E$801,$W77)))</f>
        <v/>
      </c>
      <c r="F77">
        <f>IF($W77="","",IF(INDEX('Per Invoice'!F$2:F$801,$W77)="","",INDEX('Per Invoice'!F$2:F$801,$W77)))</f>
        <v/>
      </c>
      <c r="G77">
        <f>IF($W77="","",IF(INDEX('Per Invoice'!G$2:G$801,$W77)="","",INDEX('Per Invoice'!G$2:G$801,$W77)))</f>
        <v/>
      </c>
      <c r="H77">
        <f>IF($W77="","",IF(INDEX('Per Invoice'!H$2:H$801,$W77)="","",INDEX('Per Invoice'!H$2:H$801,$W77)))</f>
        <v/>
      </c>
      <c r="I77">
        <f>IF($W77="","",IF(INDEX('Per Invoice'!I$2:I$801,$W77)="","",INDEX('Per Invoice'!I$2:I$801,$W77)))</f>
        <v/>
      </c>
      <c r="J77">
        <f>IF($W77="","",IF(INDEX('Per Invoice'!J$2:J$801,$W77)="","",INDEX('Per Invoice'!J$2:J$801,$W77)))</f>
        <v/>
      </c>
      <c r="K77" s="7">
        <f>IF($W77="","",IF(INDEX('Per Invoice'!K$2:K$801,$W77)="","",INDEX('Per Invoice'!K$2:K$801,$W77)))</f>
        <v/>
      </c>
      <c r="L77" s="14">
        <f>IF($W77="","",IF(INDEX('Per Invoice'!L$2:L$801,$W77)="","",INDEX('Per Invoice'!L$2:L$801,$W77)))</f>
        <v/>
      </c>
      <c r="M77">
        <f>IF($W77="","",IF(INDEX('Per Invoice'!M$2:M$801,$W77)="","",INDEX('Per Invoice'!M$2:M$801,$W77)))</f>
        <v/>
      </c>
      <c r="N77" s="7">
        <f>IF($W77="","",IF(INDEX('Per Invoice'!N$2:N$801,$W77)="","",INDEX('Per Invoice'!N$2:N$801,$W77)))</f>
        <v/>
      </c>
      <c r="O77" s="7">
        <f>IF($W77="","",IF(INDEX('Per Invoice'!O$2:O$801,$W77)="","",INDEX('Per Invoice'!O$2:O$801,$W77)))</f>
        <v/>
      </c>
      <c r="P77">
        <f>IF($W77="","",IF(INDEX('Per Invoice'!P$2:P$801,$W77)="","",INDEX('Per Invoice'!P$2:P$801,$W77)))</f>
        <v/>
      </c>
      <c r="Q77" s="7">
        <f>IF($W77="","",IF(INDEX('Per Invoice'!Q$2:Q$801,$W77)="","",INDEX('Per Invoice'!Q$2:Q$801,$W77)))</f>
        <v/>
      </c>
      <c r="R77" s="7">
        <f>IF($W77="","",IF(INDEX('Per Invoice'!R$2:R$801,$W77)="","",INDEX('Per Invoice'!R$2:R$801,$W77)))</f>
        <v/>
      </c>
      <c r="S77" s="7">
        <f>IF($W77="","",IF(INDEX('Per Invoice'!S$2:S$801,$W77)="","",INDEX('Per Invoice'!S$2:S$801,$W77)))</f>
        <v/>
      </c>
      <c r="T77" s="7">
        <f>IF($W77="","",IF(INDEX('Per Invoice'!T$2:T$801,$W77)="","",INDEX('Per Invoice'!T$2:T$801,$W77)))</f>
        <v/>
      </c>
      <c r="U77" s="7">
        <f>IF($W77="","",IF(INDEX('Per Invoice'!U$2:U$801,$W77)="","",INDEX('Per Invoice'!U$2:U$801,$W77)))</f>
        <v/>
      </c>
      <c r="V77" s="7">
        <f>IF($W77="","",IF(INDEX('Per Invoice'!V$2:V$801,$W77)="","",INDEX('Per Invoice'!V$2:V$801,$W77)))</f>
        <v/>
      </c>
      <c r="W77" s="16">
        <f>IFERROR(MATCH(Settings!$C$27&amp;"|"&amp;ROWS($W$2:$W77),'Per Invoice'!$X$2:$X$801,0),"")</f>
        <v/>
      </c>
    </row>
    <row r="78">
      <c r="A78">
        <f>IF($W78="","",IF(INDEX('Per Invoice'!A$2:A$801,$W78)="","",INDEX('Per Invoice'!A$2:A$801,$W78)))</f>
        <v/>
      </c>
      <c r="B78">
        <f>IF($W78="","",IF(INDEX('Per Invoice'!B$2:B$801,$W78)="","",INDEX('Per Invoice'!B$2:B$801,$W78)))</f>
        <v/>
      </c>
      <c r="C78">
        <f>IF($W78="","",IF(INDEX('Per Invoice'!C$2:C$801,$W78)="","",INDEX('Per Invoice'!C$2:C$801,$W78)))</f>
        <v/>
      </c>
      <c r="D78">
        <f>IF($W78="","",IF(INDEX('Per Invoice'!D$2:D$801,$W78)="","",INDEX('Per Invoice'!D$2:D$801,$W78)))</f>
        <v/>
      </c>
      <c r="E78">
        <f>IF($W78="","",IF(INDEX('Per Invoice'!E$2:E$801,$W78)="","",INDEX('Per Invoice'!E$2:E$801,$W78)))</f>
        <v/>
      </c>
      <c r="F78">
        <f>IF($W78="","",IF(INDEX('Per Invoice'!F$2:F$801,$W78)="","",INDEX('Per Invoice'!F$2:F$801,$W78)))</f>
        <v/>
      </c>
      <c r="G78">
        <f>IF($W78="","",IF(INDEX('Per Invoice'!G$2:G$801,$W78)="","",INDEX('Per Invoice'!G$2:G$801,$W78)))</f>
        <v/>
      </c>
      <c r="H78">
        <f>IF($W78="","",IF(INDEX('Per Invoice'!H$2:H$801,$W78)="","",INDEX('Per Invoice'!H$2:H$801,$W78)))</f>
        <v/>
      </c>
      <c r="I78">
        <f>IF($W78="","",IF(INDEX('Per Invoice'!I$2:I$801,$W78)="","",INDEX('Per Invoice'!I$2:I$801,$W78)))</f>
        <v/>
      </c>
      <c r="J78">
        <f>IF($W78="","",IF(INDEX('Per Invoice'!J$2:J$801,$W78)="","",INDEX('Per Invoice'!J$2:J$801,$W78)))</f>
        <v/>
      </c>
      <c r="K78" s="7">
        <f>IF($W78="","",IF(INDEX('Per Invoice'!K$2:K$801,$W78)="","",INDEX('Per Invoice'!K$2:K$801,$W78)))</f>
        <v/>
      </c>
      <c r="L78" s="14">
        <f>IF($W78="","",IF(INDEX('Per Invoice'!L$2:L$801,$W78)="","",INDEX('Per Invoice'!L$2:L$801,$W78)))</f>
        <v/>
      </c>
      <c r="M78">
        <f>IF($W78="","",IF(INDEX('Per Invoice'!M$2:M$801,$W78)="","",INDEX('Per Invoice'!M$2:M$801,$W78)))</f>
        <v/>
      </c>
      <c r="N78" s="7">
        <f>IF($W78="","",IF(INDEX('Per Invoice'!N$2:N$801,$W78)="","",INDEX('Per Invoice'!N$2:N$801,$W78)))</f>
        <v/>
      </c>
      <c r="O78" s="7">
        <f>IF($W78="","",IF(INDEX('Per Invoice'!O$2:O$801,$W78)="","",INDEX('Per Invoice'!O$2:O$801,$W78)))</f>
        <v/>
      </c>
      <c r="P78">
        <f>IF($W78="","",IF(INDEX('Per Invoice'!P$2:P$801,$W78)="","",INDEX('Per Invoice'!P$2:P$801,$W78)))</f>
        <v/>
      </c>
      <c r="Q78" s="7">
        <f>IF($W78="","",IF(INDEX('Per Invoice'!Q$2:Q$801,$W78)="","",INDEX('Per Invoice'!Q$2:Q$801,$W78)))</f>
        <v/>
      </c>
      <c r="R78" s="7">
        <f>IF($W78="","",IF(INDEX('Per Invoice'!R$2:R$801,$W78)="","",INDEX('Per Invoice'!R$2:R$801,$W78)))</f>
        <v/>
      </c>
      <c r="S78" s="7">
        <f>IF($W78="","",IF(INDEX('Per Invoice'!S$2:S$801,$W78)="","",INDEX('Per Invoice'!S$2:S$801,$W78)))</f>
        <v/>
      </c>
      <c r="T78" s="7">
        <f>IF($W78="","",IF(INDEX('Per Invoice'!T$2:T$801,$W78)="","",INDEX('Per Invoice'!T$2:T$801,$W78)))</f>
        <v/>
      </c>
      <c r="U78" s="7">
        <f>IF($W78="","",IF(INDEX('Per Invoice'!U$2:U$801,$W78)="","",INDEX('Per Invoice'!U$2:U$801,$W78)))</f>
        <v/>
      </c>
      <c r="V78" s="7">
        <f>IF($W78="","",IF(INDEX('Per Invoice'!V$2:V$801,$W78)="","",INDEX('Per Invoice'!V$2:V$801,$W78)))</f>
        <v/>
      </c>
      <c r="W78" s="16">
        <f>IFERROR(MATCH(Settings!$C$27&amp;"|"&amp;ROWS($W$2:$W78),'Per Invoice'!$X$2:$X$801,0),"")</f>
        <v/>
      </c>
    </row>
    <row r="79">
      <c r="A79">
        <f>IF($W79="","",IF(INDEX('Per Invoice'!A$2:A$801,$W79)="","",INDEX('Per Invoice'!A$2:A$801,$W79)))</f>
        <v/>
      </c>
      <c r="B79">
        <f>IF($W79="","",IF(INDEX('Per Invoice'!B$2:B$801,$W79)="","",INDEX('Per Invoice'!B$2:B$801,$W79)))</f>
        <v/>
      </c>
      <c r="C79">
        <f>IF($W79="","",IF(INDEX('Per Invoice'!C$2:C$801,$W79)="","",INDEX('Per Invoice'!C$2:C$801,$W79)))</f>
        <v/>
      </c>
      <c r="D79">
        <f>IF($W79="","",IF(INDEX('Per Invoice'!D$2:D$801,$W79)="","",INDEX('Per Invoice'!D$2:D$801,$W79)))</f>
        <v/>
      </c>
      <c r="E79">
        <f>IF($W79="","",IF(INDEX('Per Invoice'!E$2:E$801,$W79)="","",INDEX('Per Invoice'!E$2:E$801,$W79)))</f>
        <v/>
      </c>
      <c r="F79">
        <f>IF($W79="","",IF(INDEX('Per Invoice'!F$2:F$801,$W79)="","",INDEX('Per Invoice'!F$2:F$801,$W79)))</f>
        <v/>
      </c>
      <c r="G79">
        <f>IF($W79="","",IF(INDEX('Per Invoice'!G$2:G$801,$W79)="","",INDEX('Per Invoice'!G$2:G$801,$W79)))</f>
        <v/>
      </c>
      <c r="H79">
        <f>IF($W79="","",IF(INDEX('Per Invoice'!H$2:H$801,$W79)="","",INDEX('Per Invoice'!H$2:H$801,$W79)))</f>
        <v/>
      </c>
      <c r="I79">
        <f>IF($W79="","",IF(INDEX('Per Invoice'!I$2:I$801,$W79)="","",INDEX('Per Invoice'!I$2:I$801,$W79)))</f>
        <v/>
      </c>
      <c r="J79">
        <f>IF($W79="","",IF(INDEX('Per Invoice'!J$2:J$801,$W79)="","",INDEX('Per Invoice'!J$2:J$801,$W79)))</f>
        <v/>
      </c>
      <c r="K79" s="7">
        <f>IF($W79="","",IF(INDEX('Per Invoice'!K$2:K$801,$W79)="","",INDEX('Per Invoice'!K$2:K$801,$W79)))</f>
        <v/>
      </c>
      <c r="L79" s="14">
        <f>IF($W79="","",IF(INDEX('Per Invoice'!L$2:L$801,$W79)="","",INDEX('Per Invoice'!L$2:L$801,$W79)))</f>
        <v/>
      </c>
      <c r="M79">
        <f>IF($W79="","",IF(INDEX('Per Invoice'!M$2:M$801,$W79)="","",INDEX('Per Invoice'!M$2:M$801,$W79)))</f>
        <v/>
      </c>
      <c r="N79" s="7">
        <f>IF($W79="","",IF(INDEX('Per Invoice'!N$2:N$801,$W79)="","",INDEX('Per Invoice'!N$2:N$801,$W79)))</f>
        <v/>
      </c>
      <c r="O79" s="7">
        <f>IF($W79="","",IF(INDEX('Per Invoice'!O$2:O$801,$W79)="","",INDEX('Per Invoice'!O$2:O$801,$W79)))</f>
        <v/>
      </c>
      <c r="P79">
        <f>IF($W79="","",IF(INDEX('Per Invoice'!P$2:P$801,$W79)="","",INDEX('Per Invoice'!P$2:P$801,$W79)))</f>
        <v/>
      </c>
      <c r="Q79" s="7">
        <f>IF($W79="","",IF(INDEX('Per Invoice'!Q$2:Q$801,$W79)="","",INDEX('Per Invoice'!Q$2:Q$801,$W79)))</f>
        <v/>
      </c>
      <c r="R79" s="7">
        <f>IF($W79="","",IF(INDEX('Per Invoice'!R$2:R$801,$W79)="","",INDEX('Per Invoice'!R$2:R$801,$W79)))</f>
        <v/>
      </c>
      <c r="S79" s="7">
        <f>IF($W79="","",IF(INDEX('Per Invoice'!S$2:S$801,$W79)="","",INDEX('Per Invoice'!S$2:S$801,$W79)))</f>
        <v/>
      </c>
      <c r="T79" s="7">
        <f>IF($W79="","",IF(INDEX('Per Invoice'!T$2:T$801,$W79)="","",INDEX('Per Invoice'!T$2:T$801,$W79)))</f>
        <v/>
      </c>
      <c r="U79" s="7">
        <f>IF($W79="","",IF(INDEX('Per Invoice'!U$2:U$801,$W79)="","",INDEX('Per Invoice'!U$2:U$801,$W79)))</f>
        <v/>
      </c>
      <c r="V79" s="7">
        <f>IF($W79="","",IF(INDEX('Per Invoice'!V$2:V$801,$W79)="","",INDEX('Per Invoice'!V$2:V$801,$W79)))</f>
        <v/>
      </c>
      <c r="W79" s="16">
        <f>IFERROR(MATCH(Settings!$C$27&amp;"|"&amp;ROWS($W$2:$W79),'Per Invoice'!$X$2:$X$801,0),"")</f>
        <v/>
      </c>
    </row>
    <row r="80">
      <c r="A80">
        <f>IF($W80="","",IF(INDEX('Per Invoice'!A$2:A$801,$W80)="","",INDEX('Per Invoice'!A$2:A$801,$W80)))</f>
        <v/>
      </c>
      <c r="B80">
        <f>IF($W80="","",IF(INDEX('Per Invoice'!B$2:B$801,$W80)="","",INDEX('Per Invoice'!B$2:B$801,$W80)))</f>
        <v/>
      </c>
      <c r="C80">
        <f>IF($W80="","",IF(INDEX('Per Invoice'!C$2:C$801,$W80)="","",INDEX('Per Invoice'!C$2:C$801,$W80)))</f>
        <v/>
      </c>
      <c r="D80">
        <f>IF($W80="","",IF(INDEX('Per Invoice'!D$2:D$801,$W80)="","",INDEX('Per Invoice'!D$2:D$801,$W80)))</f>
        <v/>
      </c>
      <c r="E80">
        <f>IF($W80="","",IF(INDEX('Per Invoice'!E$2:E$801,$W80)="","",INDEX('Per Invoice'!E$2:E$801,$W80)))</f>
        <v/>
      </c>
      <c r="F80">
        <f>IF($W80="","",IF(INDEX('Per Invoice'!F$2:F$801,$W80)="","",INDEX('Per Invoice'!F$2:F$801,$W80)))</f>
        <v/>
      </c>
      <c r="G80">
        <f>IF($W80="","",IF(INDEX('Per Invoice'!G$2:G$801,$W80)="","",INDEX('Per Invoice'!G$2:G$801,$W80)))</f>
        <v/>
      </c>
      <c r="H80">
        <f>IF($W80="","",IF(INDEX('Per Invoice'!H$2:H$801,$W80)="","",INDEX('Per Invoice'!H$2:H$801,$W80)))</f>
        <v/>
      </c>
      <c r="I80">
        <f>IF($W80="","",IF(INDEX('Per Invoice'!I$2:I$801,$W80)="","",INDEX('Per Invoice'!I$2:I$801,$W80)))</f>
        <v/>
      </c>
      <c r="J80">
        <f>IF($W80="","",IF(INDEX('Per Invoice'!J$2:J$801,$W80)="","",INDEX('Per Invoice'!J$2:J$801,$W80)))</f>
        <v/>
      </c>
      <c r="K80" s="7">
        <f>IF($W80="","",IF(INDEX('Per Invoice'!K$2:K$801,$W80)="","",INDEX('Per Invoice'!K$2:K$801,$W80)))</f>
        <v/>
      </c>
      <c r="L80" s="14">
        <f>IF($W80="","",IF(INDEX('Per Invoice'!L$2:L$801,$W80)="","",INDEX('Per Invoice'!L$2:L$801,$W80)))</f>
        <v/>
      </c>
      <c r="M80">
        <f>IF($W80="","",IF(INDEX('Per Invoice'!M$2:M$801,$W80)="","",INDEX('Per Invoice'!M$2:M$801,$W80)))</f>
        <v/>
      </c>
      <c r="N80" s="7">
        <f>IF($W80="","",IF(INDEX('Per Invoice'!N$2:N$801,$W80)="","",INDEX('Per Invoice'!N$2:N$801,$W80)))</f>
        <v/>
      </c>
      <c r="O80" s="7">
        <f>IF($W80="","",IF(INDEX('Per Invoice'!O$2:O$801,$W80)="","",INDEX('Per Invoice'!O$2:O$801,$W80)))</f>
        <v/>
      </c>
      <c r="P80">
        <f>IF($W80="","",IF(INDEX('Per Invoice'!P$2:P$801,$W80)="","",INDEX('Per Invoice'!P$2:P$801,$W80)))</f>
        <v/>
      </c>
      <c r="Q80" s="7">
        <f>IF($W80="","",IF(INDEX('Per Invoice'!Q$2:Q$801,$W80)="","",INDEX('Per Invoice'!Q$2:Q$801,$W80)))</f>
        <v/>
      </c>
      <c r="R80" s="7">
        <f>IF($W80="","",IF(INDEX('Per Invoice'!R$2:R$801,$W80)="","",INDEX('Per Invoice'!R$2:R$801,$W80)))</f>
        <v/>
      </c>
      <c r="S80" s="7">
        <f>IF($W80="","",IF(INDEX('Per Invoice'!S$2:S$801,$W80)="","",INDEX('Per Invoice'!S$2:S$801,$W80)))</f>
        <v/>
      </c>
      <c r="T80" s="7">
        <f>IF($W80="","",IF(INDEX('Per Invoice'!T$2:T$801,$W80)="","",INDEX('Per Invoice'!T$2:T$801,$W80)))</f>
        <v/>
      </c>
      <c r="U80" s="7">
        <f>IF($W80="","",IF(INDEX('Per Invoice'!U$2:U$801,$W80)="","",INDEX('Per Invoice'!U$2:U$801,$W80)))</f>
        <v/>
      </c>
      <c r="V80" s="7">
        <f>IF($W80="","",IF(INDEX('Per Invoice'!V$2:V$801,$W80)="","",INDEX('Per Invoice'!V$2:V$801,$W80)))</f>
        <v/>
      </c>
      <c r="W80" s="16">
        <f>IFERROR(MATCH(Settings!$C$27&amp;"|"&amp;ROWS($W$2:$W80),'Per Invoice'!$X$2:$X$801,0),"")</f>
        <v/>
      </c>
    </row>
    <row r="81">
      <c r="A81">
        <f>IF($W81="","",IF(INDEX('Per Invoice'!A$2:A$801,$W81)="","",INDEX('Per Invoice'!A$2:A$801,$W81)))</f>
        <v/>
      </c>
      <c r="B81">
        <f>IF($W81="","",IF(INDEX('Per Invoice'!B$2:B$801,$W81)="","",INDEX('Per Invoice'!B$2:B$801,$W81)))</f>
        <v/>
      </c>
      <c r="C81">
        <f>IF($W81="","",IF(INDEX('Per Invoice'!C$2:C$801,$W81)="","",INDEX('Per Invoice'!C$2:C$801,$W81)))</f>
        <v/>
      </c>
      <c r="D81">
        <f>IF($W81="","",IF(INDEX('Per Invoice'!D$2:D$801,$W81)="","",INDEX('Per Invoice'!D$2:D$801,$W81)))</f>
        <v/>
      </c>
      <c r="E81">
        <f>IF($W81="","",IF(INDEX('Per Invoice'!E$2:E$801,$W81)="","",INDEX('Per Invoice'!E$2:E$801,$W81)))</f>
        <v/>
      </c>
      <c r="F81">
        <f>IF($W81="","",IF(INDEX('Per Invoice'!F$2:F$801,$W81)="","",INDEX('Per Invoice'!F$2:F$801,$W81)))</f>
        <v/>
      </c>
      <c r="G81">
        <f>IF($W81="","",IF(INDEX('Per Invoice'!G$2:G$801,$W81)="","",INDEX('Per Invoice'!G$2:G$801,$W81)))</f>
        <v/>
      </c>
      <c r="H81">
        <f>IF($W81="","",IF(INDEX('Per Invoice'!H$2:H$801,$W81)="","",INDEX('Per Invoice'!H$2:H$801,$W81)))</f>
        <v/>
      </c>
      <c r="I81">
        <f>IF($W81="","",IF(INDEX('Per Invoice'!I$2:I$801,$W81)="","",INDEX('Per Invoice'!I$2:I$801,$W81)))</f>
        <v/>
      </c>
      <c r="J81">
        <f>IF($W81="","",IF(INDEX('Per Invoice'!J$2:J$801,$W81)="","",INDEX('Per Invoice'!J$2:J$801,$W81)))</f>
        <v/>
      </c>
      <c r="K81" s="7">
        <f>IF($W81="","",IF(INDEX('Per Invoice'!K$2:K$801,$W81)="","",INDEX('Per Invoice'!K$2:K$801,$W81)))</f>
        <v/>
      </c>
      <c r="L81" s="14">
        <f>IF($W81="","",IF(INDEX('Per Invoice'!L$2:L$801,$W81)="","",INDEX('Per Invoice'!L$2:L$801,$W81)))</f>
        <v/>
      </c>
      <c r="M81">
        <f>IF($W81="","",IF(INDEX('Per Invoice'!M$2:M$801,$W81)="","",INDEX('Per Invoice'!M$2:M$801,$W81)))</f>
        <v/>
      </c>
      <c r="N81" s="7">
        <f>IF($W81="","",IF(INDEX('Per Invoice'!N$2:N$801,$W81)="","",INDEX('Per Invoice'!N$2:N$801,$W81)))</f>
        <v/>
      </c>
      <c r="O81" s="7">
        <f>IF($W81="","",IF(INDEX('Per Invoice'!O$2:O$801,$W81)="","",INDEX('Per Invoice'!O$2:O$801,$W81)))</f>
        <v/>
      </c>
      <c r="P81">
        <f>IF($W81="","",IF(INDEX('Per Invoice'!P$2:P$801,$W81)="","",INDEX('Per Invoice'!P$2:P$801,$W81)))</f>
        <v/>
      </c>
      <c r="Q81" s="7">
        <f>IF($W81="","",IF(INDEX('Per Invoice'!Q$2:Q$801,$W81)="","",INDEX('Per Invoice'!Q$2:Q$801,$W81)))</f>
        <v/>
      </c>
      <c r="R81" s="7">
        <f>IF($W81="","",IF(INDEX('Per Invoice'!R$2:R$801,$W81)="","",INDEX('Per Invoice'!R$2:R$801,$W81)))</f>
        <v/>
      </c>
      <c r="S81" s="7">
        <f>IF($W81="","",IF(INDEX('Per Invoice'!S$2:S$801,$W81)="","",INDEX('Per Invoice'!S$2:S$801,$W81)))</f>
        <v/>
      </c>
      <c r="T81" s="7">
        <f>IF($W81="","",IF(INDEX('Per Invoice'!T$2:T$801,$W81)="","",INDEX('Per Invoice'!T$2:T$801,$W81)))</f>
        <v/>
      </c>
      <c r="U81" s="7">
        <f>IF($W81="","",IF(INDEX('Per Invoice'!U$2:U$801,$W81)="","",INDEX('Per Invoice'!U$2:U$801,$W81)))</f>
        <v/>
      </c>
      <c r="V81" s="7">
        <f>IF($W81="","",IF(INDEX('Per Invoice'!V$2:V$801,$W81)="","",INDEX('Per Invoice'!V$2:V$801,$W81)))</f>
        <v/>
      </c>
      <c r="W81" s="16">
        <f>IFERROR(MATCH(Settings!$C$27&amp;"|"&amp;ROWS($W$2:$W81),'Per Invoice'!$X$2:$X$801,0),"")</f>
        <v/>
      </c>
    </row>
    <row r="82">
      <c r="A82">
        <f>IF($W82="","",IF(INDEX('Per Invoice'!A$2:A$801,$W82)="","",INDEX('Per Invoice'!A$2:A$801,$W82)))</f>
        <v/>
      </c>
      <c r="B82">
        <f>IF($W82="","",IF(INDEX('Per Invoice'!B$2:B$801,$W82)="","",INDEX('Per Invoice'!B$2:B$801,$W82)))</f>
        <v/>
      </c>
      <c r="C82">
        <f>IF($W82="","",IF(INDEX('Per Invoice'!C$2:C$801,$W82)="","",INDEX('Per Invoice'!C$2:C$801,$W82)))</f>
        <v/>
      </c>
      <c r="D82">
        <f>IF($W82="","",IF(INDEX('Per Invoice'!D$2:D$801,$W82)="","",INDEX('Per Invoice'!D$2:D$801,$W82)))</f>
        <v/>
      </c>
      <c r="E82">
        <f>IF($W82="","",IF(INDEX('Per Invoice'!E$2:E$801,$W82)="","",INDEX('Per Invoice'!E$2:E$801,$W82)))</f>
        <v/>
      </c>
      <c r="F82">
        <f>IF($W82="","",IF(INDEX('Per Invoice'!F$2:F$801,$W82)="","",INDEX('Per Invoice'!F$2:F$801,$W82)))</f>
        <v/>
      </c>
      <c r="G82">
        <f>IF($W82="","",IF(INDEX('Per Invoice'!G$2:G$801,$W82)="","",INDEX('Per Invoice'!G$2:G$801,$W82)))</f>
        <v/>
      </c>
      <c r="H82">
        <f>IF($W82="","",IF(INDEX('Per Invoice'!H$2:H$801,$W82)="","",INDEX('Per Invoice'!H$2:H$801,$W82)))</f>
        <v/>
      </c>
      <c r="I82">
        <f>IF($W82="","",IF(INDEX('Per Invoice'!I$2:I$801,$W82)="","",INDEX('Per Invoice'!I$2:I$801,$W82)))</f>
        <v/>
      </c>
      <c r="J82">
        <f>IF($W82="","",IF(INDEX('Per Invoice'!J$2:J$801,$W82)="","",INDEX('Per Invoice'!J$2:J$801,$W82)))</f>
        <v/>
      </c>
      <c r="K82" s="7">
        <f>IF($W82="","",IF(INDEX('Per Invoice'!K$2:K$801,$W82)="","",INDEX('Per Invoice'!K$2:K$801,$W82)))</f>
        <v/>
      </c>
      <c r="L82" s="14">
        <f>IF($W82="","",IF(INDEX('Per Invoice'!L$2:L$801,$W82)="","",INDEX('Per Invoice'!L$2:L$801,$W82)))</f>
        <v/>
      </c>
      <c r="M82">
        <f>IF($W82="","",IF(INDEX('Per Invoice'!M$2:M$801,$W82)="","",INDEX('Per Invoice'!M$2:M$801,$W82)))</f>
        <v/>
      </c>
      <c r="N82" s="7">
        <f>IF($W82="","",IF(INDEX('Per Invoice'!N$2:N$801,$W82)="","",INDEX('Per Invoice'!N$2:N$801,$W82)))</f>
        <v/>
      </c>
      <c r="O82" s="7">
        <f>IF($W82="","",IF(INDEX('Per Invoice'!O$2:O$801,$W82)="","",INDEX('Per Invoice'!O$2:O$801,$W82)))</f>
        <v/>
      </c>
      <c r="P82">
        <f>IF($W82="","",IF(INDEX('Per Invoice'!P$2:P$801,$W82)="","",INDEX('Per Invoice'!P$2:P$801,$W82)))</f>
        <v/>
      </c>
      <c r="Q82" s="7">
        <f>IF($W82="","",IF(INDEX('Per Invoice'!Q$2:Q$801,$W82)="","",INDEX('Per Invoice'!Q$2:Q$801,$W82)))</f>
        <v/>
      </c>
      <c r="R82" s="7">
        <f>IF($W82="","",IF(INDEX('Per Invoice'!R$2:R$801,$W82)="","",INDEX('Per Invoice'!R$2:R$801,$W82)))</f>
        <v/>
      </c>
      <c r="S82" s="7">
        <f>IF($W82="","",IF(INDEX('Per Invoice'!S$2:S$801,$W82)="","",INDEX('Per Invoice'!S$2:S$801,$W82)))</f>
        <v/>
      </c>
      <c r="T82" s="7">
        <f>IF($W82="","",IF(INDEX('Per Invoice'!T$2:T$801,$W82)="","",INDEX('Per Invoice'!T$2:T$801,$W82)))</f>
        <v/>
      </c>
      <c r="U82" s="7">
        <f>IF($W82="","",IF(INDEX('Per Invoice'!U$2:U$801,$W82)="","",INDEX('Per Invoice'!U$2:U$801,$W82)))</f>
        <v/>
      </c>
      <c r="V82" s="7">
        <f>IF($W82="","",IF(INDEX('Per Invoice'!V$2:V$801,$W82)="","",INDEX('Per Invoice'!V$2:V$801,$W82)))</f>
        <v/>
      </c>
      <c r="W82" s="16">
        <f>IFERROR(MATCH(Settings!$C$27&amp;"|"&amp;ROWS($W$2:$W82),'Per Invoice'!$X$2:$X$801,0),"")</f>
        <v/>
      </c>
    </row>
    <row r="83">
      <c r="A83">
        <f>IF($W83="","",IF(INDEX('Per Invoice'!A$2:A$801,$W83)="","",INDEX('Per Invoice'!A$2:A$801,$W83)))</f>
        <v/>
      </c>
      <c r="B83">
        <f>IF($W83="","",IF(INDEX('Per Invoice'!B$2:B$801,$W83)="","",INDEX('Per Invoice'!B$2:B$801,$W83)))</f>
        <v/>
      </c>
      <c r="C83">
        <f>IF($W83="","",IF(INDEX('Per Invoice'!C$2:C$801,$W83)="","",INDEX('Per Invoice'!C$2:C$801,$W83)))</f>
        <v/>
      </c>
      <c r="D83">
        <f>IF($W83="","",IF(INDEX('Per Invoice'!D$2:D$801,$W83)="","",INDEX('Per Invoice'!D$2:D$801,$W83)))</f>
        <v/>
      </c>
      <c r="E83">
        <f>IF($W83="","",IF(INDEX('Per Invoice'!E$2:E$801,$W83)="","",INDEX('Per Invoice'!E$2:E$801,$W83)))</f>
        <v/>
      </c>
      <c r="F83">
        <f>IF($W83="","",IF(INDEX('Per Invoice'!F$2:F$801,$W83)="","",INDEX('Per Invoice'!F$2:F$801,$W83)))</f>
        <v/>
      </c>
      <c r="G83">
        <f>IF($W83="","",IF(INDEX('Per Invoice'!G$2:G$801,$W83)="","",INDEX('Per Invoice'!G$2:G$801,$W83)))</f>
        <v/>
      </c>
      <c r="H83">
        <f>IF($W83="","",IF(INDEX('Per Invoice'!H$2:H$801,$W83)="","",INDEX('Per Invoice'!H$2:H$801,$W83)))</f>
        <v/>
      </c>
      <c r="I83">
        <f>IF($W83="","",IF(INDEX('Per Invoice'!I$2:I$801,$W83)="","",INDEX('Per Invoice'!I$2:I$801,$W83)))</f>
        <v/>
      </c>
      <c r="J83">
        <f>IF($W83="","",IF(INDEX('Per Invoice'!J$2:J$801,$W83)="","",INDEX('Per Invoice'!J$2:J$801,$W83)))</f>
        <v/>
      </c>
      <c r="K83" s="7">
        <f>IF($W83="","",IF(INDEX('Per Invoice'!K$2:K$801,$W83)="","",INDEX('Per Invoice'!K$2:K$801,$W83)))</f>
        <v/>
      </c>
      <c r="L83" s="14">
        <f>IF($W83="","",IF(INDEX('Per Invoice'!L$2:L$801,$W83)="","",INDEX('Per Invoice'!L$2:L$801,$W83)))</f>
        <v/>
      </c>
      <c r="M83">
        <f>IF($W83="","",IF(INDEX('Per Invoice'!M$2:M$801,$W83)="","",INDEX('Per Invoice'!M$2:M$801,$W83)))</f>
        <v/>
      </c>
      <c r="N83" s="7">
        <f>IF($W83="","",IF(INDEX('Per Invoice'!N$2:N$801,$W83)="","",INDEX('Per Invoice'!N$2:N$801,$W83)))</f>
        <v/>
      </c>
      <c r="O83" s="7">
        <f>IF($W83="","",IF(INDEX('Per Invoice'!O$2:O$801,$W83)="","",INDEX('Per Invoice'!O$2:O$801,$W83)))</f>
        <v/>
      </c>
      <c r="P83">
        <f>IF($W83="","",IF(INDEX('Per Invoice'!P$2:P$801,$W83)="","",INDEX('Per Invoice'!P$2:P$801,$W83)))</f>
        <v/>
      </c>
      <c r="Q83" s="7">
        <f>IF($W83="","",IF(INDEX('Per Invoice'!Q$2:Q$801,$W83)="","",INDEX('Per Invoice'!Q$2:Q$801,$W83)))</f>
        <v/>
      </c>
      <c r="R83" s="7">
        <f>IF($W83="","",IF(INDEX('Per Invoice'!R$2:R$801,$W83)="","",INDEX('Per Invoice'!R$2:R$801,$W83)))</f>
        <v/>
      </c>
      <c r="S83" s="7">
        <f>IF($W83="","",IF(INDEX('Per Invoice'!S$2:S$801,$W83)="","",INDEX('Per Invoice'!S$2:S$801,$W83)))</f>
        <v/>
      </c>
      <c r="T83" s="7">
        <f>IF($W83="","",IF(INDEX('Per Invoice'!T$2:T$801,$W83)="","",INDEX('Per Invoice'!T$2:T$801,$W83)))</f>
        <v/>
      </c>
      <c r="U83" s="7">
        <f>IF($W83="","",IF(INDEX('Per Invoice'!U$2:U$801,$W83)="","",INDEX('Per Invoice'!U$2:U$801,$W83)))</f>
        <v/>
      </c>
      <c r="V83" s="7">
        <f>IF($W83="","",IF(INDEX('Per Invoice'!V$2:V$801,$W83)="","",INDEX('Per Invoice'!V$2:V$801,$W83)))</f>
        <v/>
      </c>
      <c r="W83" s="16">
        <f>IFERROR(MATCH(Settings!$C$27&amp;"|"&amp;ROWS($W$2:$W83),'Per Invoice'!$X$2:$X$801,0),"")</f>
        <v/>
      </c>
    </row>
    <row r="84">
      <c r="A84">
        <f>IF($W84="","",IF(INDEX('Per Invoice'!A$2:A$801,$W84)="","",INDEX('Per Invoice'!A$2:A$801,$W84)))</f>
        <v/>
      </c>
      <c r="B84">
        <f>IF($W84="","",IF(INDEX('Per Invoice'!B$2:B$801,$W84)="","",INDEX('Per Invoice'!B$2:B$801,$W84)))</f>
        <v/>
      </c>
      <c r="C84">
        <f>IF($W84="","",IF(INDEX('Per Invoice'!C$2:C$801,$W84)="","",INDEX('Per Invoice'!C$2:C$801,$W84)))</f>
        <v/>
      </c>
      <c r="D84">
        <f>IF($W84="","",IF(INDEX('Per Invoice'!D$2:D$801,$W84)="","",INDEX('Per Invoice'!D$2:D$801,$W84)))</f>
        <v/>
      </c>
      <c r="E84">
        <f>IF($W84="","",IF(INDEX('Per Invoice'!E$2:E$801,$W84)="","",INDEX('Per Invoice'!E$2:E$801,$W84)))</f>
        <v/>
      </c>
      <c r="F84">
        <f>IF($W84="","",IF(INDEX('Per Invoice'!F$2:F$801,$W84)="","",INDEX('Per Invoice'!F$2:F$801,$W84)))</f>
        <v/>
      </c>
      <c r="G84">
        <f>IF($W84="","",IF(INDEX('Per Invoice'!G$2:G$801,$W84)="","",INDEX('Per Invoice'!G$2:G$801,$W84)))</f>
        <v/>
      </c>
      <c r="H84">
        <f>IF($W84="","",IF(INDEX('Per Invoice'!H$2:H$801,$W84)="","",INDEX('Per Invoice'!H$2:H$801,$W84)))</f>
        <v/>
      </c>
      <c r="I84">
        <f>IF($W84="","",IF(INDEX('Per Invoice'!I$2:I$801,$W84)="","",INDEX('Per Invoice'!I$2:I$801,$W84)))</f>
        <v/>
      </c>
      <c r="J84">
        <f>IF($W84="","",IF(INDEX('Per Invoice'!J$2:J$801,$W84)="","",INDEX('Per Invoice'!J$2:J$801,$W84)))</f>
        <v/>
      </c>
      <c r="K84" s="7">
        <f>IF($W84="","",IF(INDEX('Per Invoice'!K$2:K$801,$W84)="","",INDEX('Per Invoice'!K$2:K$801,$W84)))</f>
        <v/>
      </c>
      <c r="L84" s="14">
        <f>IF($W84="","",IF(INDEX('Per Invoice'!L$2:L$801,$W84)="","",INDEX('Per Invoice'!L$2:L$801,$W84)))</f>
        <v/>
      </c>
      <c r="M84">
        <f>IF($W84="","",IF(INDEX('Per Invoice'!M$2:M$801,$W84)="","",INDEX('Per Invoice'!M$2:M$801,$W84)))</f>
        <v/>
      </c>
      <c r="N84" s="7">
        <f>IF($W84="","",IF(INDEX('Per Invoice'!N$2:N$801,$W84)="","",INDEX('Per Invoice'!N$2:N$801,$W84)))</f>
        <v/>
      </c>
      <c r="O84" s="7">
        <f>IF($W84="","",IF(INDEX('Per Invoice'!O$2:O$801,$W84)="","",INDEX('Per Invoice'!O$2:O$801,$W84)))</f>
        <v/>
      </c>
      <c r="P84">
        <f>IF($W84="","",IF(INDEX('Per Invoice'!P$2:P$801,$W84)="","",INDEX('Per Invoice'!P$2:P$801,$W84)))</f>
        <v/>
      </c>
      <c r="Q84" s="7">
        <f>IF($W84="","",IF(INDEX('Per Invoice'!Q$2:Q$801,$W84)="","",INDEX('Per Invoice'!Q$2:Q$801,$W84)))</f>
        <v/>
      </c>
      <c r="R84" s="7">
        <f>IF($W84="","",IF(INDEX('Per Invoice'!R$2:R$801,$W84)="","",INDEX('Per Invoice'!R$2:R$801,$W84)))</f>
        <v/>
      </c>
      <c r="S84" s="7">
        <f>IF($W84="","",IF(INDEX('Per Invoice'!S$2:S$801,$W84)="","",INDEX('Per Invoice'!S$2:S$801,$W84)))</f>
        <v/>
      </c>
      <c r="T84" s="7">
        <f>IF($W84="","",IF(INDEX('Per Invoice'!T$2:T$801,$W84)="","",INDEX('Per Invoice'!T$2:T$801,$W84)))</f>
        <v/>
      </c>
      <c r="U84" s="7">
        <f>IF($W84="","",IF(INDEX('Per Invoice'!U$2:U$801,$W84)="","",INDEX('Per Invoice'!U$2:U$801,$W84)))</f>
        <v/>
      </c>
      <c r="V84" s="7">
        <f>IF($W84="","",IF(INDEX('Per Invoice'!V$2:V$801,$W84)="","",INDEX('Per Invoice'!V$2:V$801,$W84)))</f>
        <v/>
      </c>
      <c r="W84" s="16">
        <f>IFERROR(MATCH(Settings!$C$27&amp;"|"&amp;ROWS($W$2:$W84),'Per Invoice'!$X$2:$X$801,0),"")</f>
        <v/>
      </c>
    </row>
    <row r="85">
      <c r="A85">
        <f>IF($W85="","",IF(INDEX('Per Invoice'!A$2:A$801,$W85)="","",INDEX('Per Invoice'!A$2:A$801,$W85)))</f>
        <v/>
      </c>
      <c r="B85">
        <f>IF($W85="","",IF(INDEX('Per Invoice'!B$2:B$801,$W85)="","",INDEX('Per Invoice'!B$2:B$801,$W85)))</f>
        <v/>
      </c>
      <c r="C85">
        <f>IF($W85="","",IF(INDEX('Per Invoice'!C$2:C$801,$W85)="","",INDEX('Per Invoice'!C$2:C$801,$W85)))</f>
        <v/>
      </c>
      <c r="D85">
        <f>IF($W85="","",IF(INDEX('Per Invoice'!D$2:D$801,$W85)="","",INDEX('Per Invoice'!D$2:D$801,$W85)))</f>
        <v/>
      </c>
      <c r="E85">
        <f>IF($W85="","",IF(INDEX('Per Invoice'!E$2:E$801,$W85)="","",INDEX('Per Invoice'!E$2:E$801,$W85)))</f>
        <v/>
      </c>
      <c r="F85">
        <f>IF($W85="","",IF(INDEX('Per Invoice'!F$2:F$801,$W85)="","",INDEX('Per Invoice'!F$2:F$801,$W85)))</f>
        <v/>
      </c>
      <c r="G85">
        <f>IF($W85="","",IF(INDEX('Per Invoice'!G$2:G$801,$W85)="","",INDEX('Per Invoice'!G$2:G$801,$W85)))</f>
        <v/>
      </c>
      <c r="H85">
        <f>IF($W85="","",IF(INDEX('Per Invoice'!H$2:H$801,$W85)="","",INDEX('Per Invoice'!H$2:H$801,$W85)))</f>
        <v/>
      </c>
      <c r="I85">
        <f>IF($W85="","",IF(INDEX('Per Invoice'!I$2:I$801,$W85)="","",INDEX('Per Invoice'!I$2:I$801,$W85)))</f>
        <v/>
      </c>
      <c r="J85">
        <f>IF($W85="","",IF(INDEX('Per Invoice'!J$2:J$801,$W85)="","",INDEX('Per Invoice'!J$2:J$801,$W85)))</f>
        <v/>
      </c>
      <c r="K85" s="7">
        <f>IF($W85="","",IF(INDEX('Per Invoice'!K$2:K$801,$W85)="","",INDEX('Per Invoice'!K$2:K$801,$W85)))</f>
        <v/>
      </c>
      <c r="L85" s="14">
        <f>IF($W85="","",IF(INDEX('Per Invoice'!L$2:L$801,$W85)="","",INDEX('Per Invoice'!L$2:L$801,$W85)))</f>
        <v/>
      </c>
      <c r="M85">
        <f>IF($W85="","",IF(INDEX('Per Invoice'!M$2:M$801,$W85)="","",INDEX('Per Invoice'!M$2:M$801,$W85)))</f>
        <v/>
      </c>
      <c r="N85" s="7">
        <f>IF($W85="","",IF(INDEX('Per Invoice'!N$2:N$801,$W85)="","",INDEX('Per Invoice'!N$2:N$801,$W85)))</f>
        <v/>
      </c>
      <c r="O85" s="7">
        <f>IF($W85="","",IF(INDEX('Per Invoice'!O$2:O$801,$W85)="","",INDEX('Per Invoice'!O$2:O$801,$W85)))</f>
        <v/>
      </c>
      <c r="P85">
        <f>IF($W85="","",IF(INDEX('Per Invoice'!P$2:P$801,$W85)="","",INDEX('Per Invoice'!P$2:P$801,$W85)))</f>
        <v/>
      </c>
      <c r="Q85" s="7">
        <f>IF($W85="","",IF(INDEX('Per Invoice'!Q$2:Q$801,$W85)="","",INDEX('Per Invoice'!Q$2:Q$801,$W85)))</f>
        <v/>
      </c>
      <c r="R85" s="7">
        <f>IF($W85="","",IF(INDEX('Per Invoice'!R$2:R$801,$W85)="","",INDEX('Per Invoice'!R$2:R$801,$W85)))</f>
        <v/>
      </c>
      <c r="S85" s="7">
        <f>IF($W85="","",IF(INDEX('Per Invoice'!S$2:S$801,$W85)="","",INDEX('Per Invoice'!S$2:S$801,$W85)))</f>
        <v/>
      </c>
      <c r="T85" s="7">
        <f>IF($W85="","",IF(INDEX('Per Invoice'!T$2:T$801,$W85)="","",INDEX('Per Invoice'!T$2:T$801,$W85)))</f>
        <v/>
      </c>
      <c r="U85" s="7">
        <f>IF($W85="","",IF(INDEX('Per Invoice'!U$2:U$801,$W85)="","",INDEX('Per Invoice'!U$2:U$801,$W85)))</f>
        <v/>
      </c>
      <c r="V85" s="7">
        <f>IF($W85="","",IF(INDEX('Per Invoice'!V$2:V$801,$W85)="","",INDEX('Per Invoice'!V$2:V$801,$W85)))</f>
        <v/>
      </c>
      <c r="W85" s="16">
        <f>IFERROR(MATCH(Settings!$C$27&amp;"|"&amp;ROWS($W$2:$W85),'Per Invoice'!$X$2:$X$801,0),"")</f>
        <v/>
      </c>
    </row>
    <row r="86">
      <c r="A86">
        <f>IF($W86="","",IF(INDEX('Per Invoice'!A$2:A$801,$W86)="","",INDEX('Per Invoice'!A$2:A$801,$W86)))</f>
        <v/>
      </c>
      <c r="B86">
        <f>IF($W86="","",IF(INDEX('Per Invoice'!B$2:B$801,$W86)="","",INDEX('Per Invoice'!B$2:B$801,$W86)))</f>
        <v/>
      </c>
      <c r="C86">
        <f>IF($W86="","",IF(INDEX('Per Invoice'!C$2:C$801,$W86)="","",INDEX('Per Invoice'!C$2:C$801,$W86)))</f>
        <v/>
      </c>
      <c r="D86">
        <f>IF($W86="","",IF(INDEX('Per Invoice'!D$2:D$801,$W86)="","",INDEX('Per Invoice'!D$2:D$801,$W86)))</f>
        <v/>
      </c>
      <c r="E86">
        <f>IF($W86="","",IF(INDEX('Per Invoice'!E$2:E$801,$W86)="","",INDEX('Per Invoice'!E$2:E$801,$W86)))</f>
        <v/>
      </c>
      <c r="F86">
        <f>IF($W86="","",IF(INDEX('Per Invoice'!F$2:F$801,$W86)="","",INDEX('Per Invoice'!F$2:F$801,$W86)))</f>
        <v/>
      </c>
      <c r="G86">
        <f>IF($W86="","",IF(INDEX('Per Invoice'!G$2:G$801,$W86)="","",INDEX('Per Invoice'!G$2:G$801,$W86)))</f>
        <v/>
      </c>
      <c r="H86">
        <f>IF($W86="","",IF(INDEX('Per Invoice'!H$2:H$801,$W86)="","",INDEX('Per Invoice'!H$2:H$801,$W86)))</f>
        <v/>
      </c>
      <c r="I86">
        <f>IF($W86="","",IF(INDEX('Per Invoice'!I$2:I$801,$W86)="","",INDEX('Per Invoice'!I$2:I$801,$W86)))</f>
        <v/>
      </c>
      <c r="J86">
        <f>IF($W86="","",IF(INDEX('Per Invoice'!J$2:J$801,$W86)="","",INDEX('Per Invoice'!J$2:J$801,$W86)))</f>
        <v/>
      </c>
      <c r="K86" s="7">
        <f>IF($W86="","",IF(INDEX('Per Invoice'!K$2:K$801,$W86)="","",INDEX('Per Invoice'!K$2:K$801,$W86)))</f>
        <v/>
      </c>
      <c r="L86" s="14">
        <f>IF($W86="","",IF(INDEX('Per Invoice'!L$2:L$801,$W86)="","",INDEX('Per Invoice'!L$2:L$801,$W86)))</f>
        <v/>
      </c>
      <c r="M86">
        <f>IF($W86="","",IF(INDEX('Per Invoice'!M$2:M$801,$W86)="","",INDEX('Per Invoice'!M$2:M$801,$W86)))</f>
        <v/>
      </c>
      <c r="N86" s="7">
        <f>IF($W86="","",IF(INDEX('Per Invoice'!N$2:N$801,$W86)="","",INDEX('Per Invoice'!N$2:N$801,$W86)))</f>
        <v/>
      </c>
      <c r="O86" s="7">
        <f>IF($W86="","",IF(INDEX('Per Invoice'!O$2:O$801,$W86)="","",INDEX('Per Invoice'!O$2:O$801,$W86)))</f>
        <v/>
      </c>
      <c r="P86">
        <f>IF($W86="","",IF(INDEX('Per Invoice'!P$2:P$801,$W86)="","",INDEX('Per Invoice'!P$2:P$801,$W86)))</f>
        <v/>
      </c>
      <c r="Q86" s="7">
        <f>IF($W86="","",IF(INDEX('Per Invoice'!Q$2:Q$801,$W86)="","",INDEX('Per Invoice'!Q$2:Q$801,$W86)))</f>
        <v/>
      </c>
      <c r="R86" s="7">
        <f>IF($W86="","",IF(INDEX('Per Invoice'!R$2:R$801,$W86)="","",INDEX('Per Invoice'!R$2:R$801,$W86)))</f>
        <v/>
      </c>
      <c r="S86" s="7">
        <f>IF($W86="","",IF(INDEX('Per Invoice'!S$2:S$801,$W86)="","",INDEX('Per Invoice'!S$2:S$801,$W86)))</f>
        <v/>
      </c>
      <c r="T86" s="7">
        <f>IF($W86="","",IF(INDEX('Per Invoice'!T$2:T$801,$W86)="","",INDEX('Per Invoice'!T$2:T$801,$W86)))</f>
        <v/>
      </c>
      <c r="U86" s="7">
        <f>IF($W86="","",IF(INDEX('Per Invoice'!U$2:U$801,$W86)="","",INDEX('Per Invoice'!U$2:U$801,$W86)))</f>
        <v/>
      </c>
      <c r="V86" s="7">
        <f>IF($W86="","",IF(INDEX('Per Invoice'!V$2:V$801,$W86)="","",INDEX('Per Invoice'!V$2:V$801,$W86)))</f>
        <v/>
      </c>
      <c r="W86" s="16">
        <f>IFERROR(MATCH(Settings!$C$27&amp;"|"&amp;ROWS($W$2:$W86),'Per Invoice'!$X$2:$X$801,0),"")</f>
        <v/>
      </c>
    </row>
    <row r="87">
      <c r="A87">
        <f>IF($W87="","",IF(INDEX('Per Invoice'!A$2:A$801,$W87)="","",INDEX('Per Invoice'!A$2:A$801,$W87)))</f>
        <v/>
      </c>
      <c r="B87">
        <f>IF($W87="","",IF(INDEX('Per Invoice'!B$2:B$801,$W87)="","",INDEX('Per Invoice'!B$2:B$801,$W87)))</f>
        <v/>
      </c>
      <c r="C87">
        <f>IF($W87="","",IF(INDEX('Per Invoice'!C$2:C$801,$W87)="","",INDEX('Per Invoice'!C$2:C$801,$W87)))</f>
        <v/>
      </c>
      <c r="D87">
        <f>IF($W87="","",IF(INDEX('Per Invoice'!D$2:D$801,$W87)="","",INDEX('Per Invoice'!D$2:D$801,$W87)))</f>
        <v/>
      </c>
      <c r="E87">
        <f>IF($W87="","",IF(INDEX('Per Invoice'!E$2:E$801,$W87)="","",INDEX('Per Invoice'!E$2:E$801,$W87)))</f>
        <v/>
      </c>
      <c r="F87">
        <f>IF($W87="","",IF(INDEX('Per Invoice'!F$2:F$801,$W87)="","",INDEX('Per Invoice'!F$2:F$801,$W87)))</f>
        <v/>
      </c>
      <c r="G87">
        <f>IF($W87="","",IF(INDEX('Per Invoice'!G$2:G$801,$W87)="","",INDEX('Per Invoice'!G$2:G$801,$W87)))</f>
        <v/>
      </c>
      <c r="H87">
        <f>IF($W87="","",IF(INDEX('Per Invoice'!H$2:H$801,$W87)="","",INDEX('Per Invoice'!H$2:H$801,$W87)))</f>
        <v/>
      </c>
      <c r="I87">
        <f>IF($W87="","",IF(INDEX('Per Invoice'!I$2:I$801,$W87)="","",INDEX('Per Invoice'!I$2:I$801,$W87)))</f>
        <v/>
      </c>
      <c r="J87">
        <f>IF($W87="","",IF(INDEX('Per Invoice'!J$2:J$801,$W87)="","",INDEX('Per Invoice'!J$2:J$801,$W87)))</f>
        <v/>
      </c>
      <c r="K87" s="7">
        <f>IF($W87="","",IF(INDEX('Per Invoice'!K$2:K$801,$W87)="","",INDEX('Per Invoice'!K$2:K$801,$W87)))</f>
        <v/>
      </c>
      <c r="L87" s="14">
        <f>IF($W87="","",IF(INDEX('Per Invoice'!L$2:L$801,$W87)="","",INDEX('Per Invoice'!L$2:L$801,$W87)))</f>
        <v/>
      </c>
      <c r="M87">
        <f>IF($W87="","",IF(INDEX('Per Invoice'!M$2:M$801,$W87)="","",INDEX('Per Invoice'!M$2:M$801,$W87)))</f>
        <v/>
      </c>
      <c r="N87" s="7">
        <f>IF($W87="","",IF(INDEX('Per Invoice'!N$2:N$801,$W87)="","",INDEX('Per Invoice'!N$2:N$801,$W87)))</f>
        <v/>
      </c>
      <c r="O87" s="7">
        <f>IF($W87="","",IF(INDEX('Per Invoice'!O$2:O$801,$W87)="","",INDEX('Per Invoice'!O$2:O$801,$W87)))</f>
        <v/>
      </c>
      <c r="P87">
        <f>IF($W87="","",IF(INDEX('Per Invoice'!P$2:P$801,$W87)="","",INDEX('Per Invoice'!P$2:P$801,$W87)))</f>
        <v/>
      </c>
      <c r="Q87" s="7">
        <f>IF($W87="","",IF(INDEX('Per Invoice'!Q$2:Q$801,$W87)="","",INDEX('Per Invoice'!Q$2:Q$801,$W87)))</f>
        <v/>
      </c>
      <c r="R87" s="7">
        <f>IF($W87="","",IF(INDEX('Per Invoice'!R$2:R$801,$W87)="","",INDEX('Per Invoice'!R$2:R$801,$W87)))</f>
        <v/>
      </c>
      <c r="S87" s="7">
        <f>IF($W87="","",IF(INDEX('Per Invoice'!S$2:S$801,$W87)="","",INDEX('Per Invoice'!S$2:S$801,$W87)))</f>
        <v/>
      </c>
      <c r="T87" s="7">
        <f>IF($W87="","",IF(INDEX('Per Invoice'!T$2:T$801,$W87)="","",INDEX('Per Invoice'!T$2:T$801,$W87)))</f>
        <v/>
      </c>
      <c r="U87" s="7">
        <f>IF($W87="","",IF(INDEX('Per Invoice'!U$2:U$801,$W87)="","",INDEX('Per Invoice'!U$2:U$801,$W87)))</f>
        <v/>
      </c>
      <c r="V87" s="7">
        <f>IF($W87="","",IF(INDEX('Per Invoice'!V$2:V$801,$W87)="","",INDEX('Per Invoice'!V$2:V$801,$W87)))</f>
        <v/>
      </c>
      <c r="W87" s="16">
        <f>IFERROR(MATCH(Settings!$C$27&amp;"|"&amp;ROWS($W$2:$W87),'Per Invoice'!$X$2:$X$801,0),"")</f>
        <v/>
      </c>
    </row>
    <row r="88">
      <c r="A88">
        <f>IF($W88="","",IF(INDEX('Per Invoice'!A$2:A$801,$W88)="","",INDEX('Per Invoice'!A$2:A$801,$W88)))</f>
        <v/>
      </c>
      <c r="B88">
        <f>IF($W88="","",IF(INDEX('Per Invoice'!B$2:B$801,$W88)="","",INDEX('Per Invoice'!B$2:B$801,$W88)))</f>
        <v/>
      </c>
      <c r="C88">
        <f>IF($W88="","",IF(INDEX('Per Invoice'!C$2:C$801,$W88)="","",INDEX('Per Invoice'!C$2:C$801,$W88)))</f>
        <v/>
      </c>
      <c r="D88">
        <f>IF($W88="","",IF(INDEX('Per Invoice'!D$2:D$801,$W88)="","",INDEX('Per Invoice'!D$2:D$801,$W88)))</f>
        <v/>
      </c>
      <c r="E88">
        <f>IF($W88="","",IF(INDEX('Per Invoice'!E$2:E$801,$W88)="","",INDEX('Per Invoice'!E$2:E$801,$W88)))</f>
        <v/>
      </c>
      <c r="F88">
        <f>IF($W88="","",IF(INDEX('Per Invoice'!F$2:F$801,$W88)="","",INDEX('Per Invoice'!F$2:F$801,$W88)))</f>
        <v/>
      </c>
      <c r="G88">
        <f>IF($W88="","",IF(INDEX('Per Invoice'!G$2:G$801,$W88)="","",INDEX('Per Invoice'!G$2:G$801,$W88)))</f>
        <v/>
      </c>
      <c r="H88">
        <f>IF($W88="","",IF(INDEX('Per Invoice'!H$2:H$801,$W88)="","",INDEX('Per Invoice'!H$2:H$801,$W88)))</f>
        <v/>
      </c>
      <c r="I88">
        <f>IF($W88="","",IF(INDEX('Per Invoice'!I$2:I$801,$W88)="","",INDEX('Per Invoice'!I$2:I$801,$W88)))</f>
        <v/>
      </c>
      <c r="J88">
        <f>IF($W88="","",IF(INDEX('Per Invoice'!J$2:J$801,$W88)="","",INDEX('Per Invoice'!J$2:J$801,$W88)))</f>
        <v/>
      </c>
      <c r="K88" s="7">
        <f>IF($W88="","",IF(INDEX('Per Invoice'!K$2:K$801,$W88)="","",INDEX('Per Invoice'!K$2:K$801,$W88)))</f>
        <v/>
      </c>
      <c r="L88" s="14">
        <f>IF($W88="","",IF(INDEX('Per Invoice'!L$2:L$801,$W88)="","",INDEX('Per Invoice'!L$2:L$801,$W88)))</f>
        <v/>
      </c>
      <c r="M88">
        <f>IF($W88="","",IF(INDEX('Per Invoice'!M$2:M$801,$W88)="","",INDEX('Per Invoice'!M$2:M$801,$W88)))</f>
        <v/>
      </c>
      <c r="N88" s="7">
        <f>IF($W88="","",IF(INDEX('Per Invoice'!N$2:N$801,$W88)="","",INDEX('Per Invoice'!N$2:N$801,$W88)))</f>
        <v/>
      </c>
      <c r="O88" s="7">
        <f>IF($W88="","",IF(INDEX('Per Invoice'!O$2:O$801,$W88)="","",INDEX('Per Invoice'!O$2:O$801,$W88)))</f>
        <v/>
      </c>
      <c r="P88">
        <f>IF($W88="","",IF(INDEX('Per Invoice'!P$2:P$801,$W88)="","",INDEX('Per Invoice'!P$2:P$801,$W88)))</f>
        <v/>
      </c>
      <c r="Q88" s="7">
        <f>IF($W88="","",IF(INDEX('Per Invoice'!Q$2:Q$801,$W88)="","",INDEX('Per Invoice'!Q$2:Q$801,$W88)))</f>
        <v/>
      </c>
      <c r="R88" s="7">
        <f>IF($W88="","",IF(INDEX('Per Invoice'!R$2:R$801,$W88)="","",INDEX('Per Invoice'!R$2:R$801,$W88)))</f>
        <v/>
      </c>
      <c r="S88" s="7">
        <f>IF($W88="","",IF(INDEX('Per Invoice'!S$2:S$801,$W88)="","",INDEX('Per Invoice'!S$2:S$801,$W88)))</f>
        <v/>
      </c>
      <c r="T88" s="7">
        <f>IF($W88="","",IF(INDEX('Per Invoice'!T$2:T$801,$W88)="","",INDEX('Per Invoice'!T$2:T$801,$W88)))</f>
        <v/>
      </c>
      <c r="U88" s="7">
        <f>IF($W88="","",IF(INDEX('Per Invoice'!U$2:U$801,$W88)="","",INDEX('Per Invoice'!U$2:U$801,$W88)))</f>
        <v/>
      </c>
      <c r="V88" s="7">
        <f>IF($W88="","",IF(INDEX('Per Invoice'!V$2:V$801,$W88)="","",INDEX('Per Invoice'!V$2:V$801,$W88)))</f>
        <v/>
      </c>
      <c r="W88" s="16">
        <f>IFERROR(MATCH(Settings!$C$27&amp;"|"&amp;ROWS($W$2:$W88),'Per Invoice'!$X$2:$X$801,0),"")</f>
        <v/>
      </c>
    </row>
    <row r="89">
      <c r="A89">
        <f>IF($W89="","",IF(INDEX('Per Invoice'!A$2:A$801,$W89)="","",INDEX('Per Invoice'!A$2:A$801,$W89)))</f>
        <v/>
      </c>
      <c r="B89">
        <f>IF($W89="","",IF(INDEX('Per Invoice'!B$2:B$801,$W89)="","",INDEX('Per Invoice'!B$2:B$801,$W89)))</f>
        <v/>
      </c>
      <c r="C89">
        <f>IF($W89="","",IF(INDEX('Per Invoice'!C$2:C$801,$W89)="","",INDEX('Per Invoice'!C$2:C$801,$W89)))</f>
        <v/>
      </c>
      <c r="D89">
        <f>IF($W89="","",IF(INDEX('Per Invoice'!D$2:D$801,$W89)="","",INDEX('Per Invoice'!D$2:D$801,$W89)))</f>
        <v/>
      </c>
      <c r="E89">
        <f>IF($W89="","",IF(INDEX('Per Invoice'!E$2:E$801,$W89)="","",INDEX('Per Invoice'!E$2:E$801,$W89)))</f>
        <v/>
      </c>
      <c r="F89">
        <f>IF($W89="","",IF(INDEX('Per Invoice'!F$2:F$801,$W89)="","",INDEX('Per Invoice'!F$2:F$801,$W89)))</f>
        <v/>
      </c>
      <c r="G89">
        <f>IF($W89="","",IF(INDEX('Per Invoice'!G$2:G$801,$W89)="","",INDEX('Per Invoice'!G$2:G$801,$W89)))</f>
        <v/>
      </c>
      <c r="H89">
        <f>IF($W89="","",IF(INDEX('Per Invoice'!H$2:H$801,$W89)="","",INDEX('Per Invoice'!H$2:H$801,$W89)))</f>
        <v/>
      </c>
      <c r="I89">
        <f>IF($W89="","",IF(INDEX('Per Invoice'!I$2:I$801,$W89)="","",INDEX('Per Invoice'!I$2:I$801,$W89)))</f>
        <v/>
      </c>
      <c r="J89">
        <f>IF($W89="","",IF(INDEX('Per Invoice'!J$2:J$801,$W89)="","",INDEX('Per Invoice'!J$2:J$801,$W89)))</f>
        <v/>
      </c>
      <c r="K89" s="7">
        <f>IF($W89="","",IF(INDEX('Per Invoice'!K$2:K$801,$W89)="","",INDEX('Per Invoice'!K$2:K$801,$W89)))</f>
        <v/>
      </c>
      <c r="L89" s="14">
        <f>IF($W89="","",IF(INDEX('Per Invoice'!L$2:L$801,$W89)="","",INDEX('Per Invoice'!L$2:L$801,$W89)))</f>
        <v/>
      </c>
      <c r="M89">
        <f>IF($W89="","",IF(INDEX('Per Invoice'!M$2:M$801,$W89)="","",INDEX('Per Invoice'!M$2:M$801,$W89)))</f>
        <v/>
      </c>
      <c r="N89" s="7">
        <f>IF($W89="","",IF(INDEX('Per Invoice'!N$2:N$801,$W89)="","",INDEX('Per Invoice'!N$2:N$801,$W89)))</f>
        <v/>
      </c>
      <c r="O89" s="7">
        <f>IF($W89="","",IF(INDEX('Per Invoice'!O$2:O$801,$W89)="","",INDEX('Per Invoice'!O$2:O$801,$W89)))</f>
        <v/>
      </c>
      <c r="P89">
        <f>IF($W89="","",IF(INDEX('Per Invoice'!P$2:P$801,$W89)="","",INDEX('Per Invoice'!P$2:P$801,$W89)))</f>
        <v/>
      </c>
      <c r="Q89" s="7">
        <f>IF($W89="","",IF(INDEX('Per Invoice'!Q$2:Q$801,$W89)="","",INDEX('Per Invoice'!Q$2:Q$801,$W89)))</f>
        <v/>
      </c>
      <c r="R89" s="7">
        <f>IF($W89="","",IF(INDEX('Per Invoice'!R$2:R$801,$W89)="","",INDEX('Per Invoice'!R$2:R$801,$W89)))</f>
        <v/>
      </c>
      <c r="S89" s="7">
        <f>IF($W89="","",IF(INDEX('Per Invoice'!S$2:S$801,$W89)="","",INDEX('Per Invoice'!S$2:S$801,$W89)))</f>
        <v/>
      </c>
      <c r="T89" s="7">
        <f>IF($W89="","",IF(INDEX('Per Invoice'!T$2:T$801,$W89)="","",INDEX('Per Invoice'!T$2:T$801,$W89)))</f>
        <v/>
      </c>
      <c r="U89" s="7">
        <f>IF($W89="","",IF(INDEX('Per Invoice'!U$2:U$801,$W89)="","",INDEX('Per Invoice'!U$2:U$801,$W89)))</f>
        <v/>
      </c>
      <c r="V89" s="7">
        <f>IF($W89="","",IF(INDEX('Per Invoice'!V$2:V$801,$W89)="","",INDEX('Per Invoice'!V$2:V$801,$W89)))</f>
        <v/>
      </c>
      <c r="W89" s="16">
        <f>IFERROR(MATCH(Settings!$C$27&amp;"|"&amp;ROWS($W$2:$W89),'Per Invoice'!$X$2:$X$801,0),"")</f>
        <v/>
      </c>
    </row>
    <row r="90">
      <c r="A90">
        <f>IF($W90="","",IF(INDEX('Per Invoice'!A$2:A$801,$W90)="","",INDEX('Per Invoice'!A$2:A$801,$W90)))</f>
        <v/>
      </c>
      <c r="B90">
        <f>IF($W90="","",IF(INDEX('Per Invoice'!B$2:B$801,$W90)="","",INDEX('Per Invoice'!B$2:B$801,$W90)))</f>
        <v/>
      </c>
      <c r="C90">
        <f>IF($W90="","",IF(INDEX('Per Invoice'!C$2:C$801,$W90)="","",INDEX('Per Invoice'!C$2:C$801,$W90)))</f>
        <v/>
      </c>
      <c r="D90">
        <f>IF($W90="","",IF(INDEX('Per Invoice'!D$2:D$801,$W90)="","",INDEX('Per Invoice'!D$2:D$801,$W90)))</f>
        <v/>
      </c>
      <c r="E90">
        <f>IF($W90="","",IF(INDEX('Per Invoice'!E$2:E$801,$W90)="","",INDEX('Per Invoice'!E$2:E$801,$W90)))</f>
        <v/>
      </c>
      <c r="F90">
        <f>IF($W90="","",IF(INDEX('Per Invoice'!F$2:F$801,$W90)="","",INDEX('Per Invoice'!F$2:F$801,$W90)))</f>
        <v/>
      </c>
      <c r="G90">
        <f>IF($W90="","",IF(INDEX('Per Invoice'!G$2:G$801,$W90)="","",INDEX('Per Invoice'!G$2:G$801,$W90)))</f>
        <v/>
      </c>
      <c r="H90">
        <f>IF($W90="","",IF(INDEX('Per Invoice'!H$2:H$801,$W90)="","",INDEX('Per Invoice'!H$2:H$801,$W90)))</f>
        <v/>
      </c>
      <c r="I90">
        <f>IF($W90="","",IF(INDEX('Per Invoice'!I$2:I$801,$W90)="","",INDEX('Per Invoice'!I$2:I$801,$W90)))</f>
        <v/>
      </c>
      <c r="J90">
        <f>IF($W90="","",IF(INDEX('Per Invoice'!J$2:J$801,$W90)="","",INDEX('Per Invoice'!J$2:J$801,$W90)))</f>
        <v/>
      </c>
      <c r="K90" s="7">
        <f>IF($W90="","",IF(INDEX('Per Invoice'!K$2:K$801,$W90)="","",INDEX('Per Invoice'!K$2:K$801,$W90)))</f>
        <v/>
      </c>
      <c r="L90" s="14">
        <f>IF($W90="","",IF(INDEX('Per Invoice'!L$2:L$801,$W90)="","",INDEX('Per Invoice'!L$2:L$801,$W90)))</f>
        <v/>
      </c>
      <c r="M90">
        <f>IF($W90="","",IF(INDEX('Per Invoice'!M$2:M$801,$W90)="","",INDEX('Per Invoice'!M$2:M$801,$W90)))</f>
        <v/>
      </c>
      <c r="N90" s="7">
        <f>IF($W90="","",IF(INDEX('Per Invoice'!N$2:N$801,$W90)="","",INDEX('Per Invoice'!N$2:N$801,$W90)))</f>
        <v/>
      </c>
      <c r="O90" s="7">
        <f>IF($W90="","",IF(INDEX('Per Invoice'!O$2:O$801,$W90)="","",INDEX('Per Invoice'!O$2:O$801,$W90)))</f>
        <v/>
      </c>
      <c r="P90">
        <f>IF($W90="","",IF(INDEX('Per Invoice'!P$2:P$801,$W90)="","",INDEX('Per Invoice'!P$2:P$801,$W90)))</f>
        <v/>
      </c>
      <c r="Q90" s="7">
        <f>IF($W90="","",IF(INDEX('Per Invoice'!Q$2:Q$801,$W90)="","",INDEX('Per Invoice'!Q$2:Q$801,$W90)))</f>
        <v/>
      </c>
      <c r="R90" s="7">
        <f>IF($W90="","",IF(INDEX('Per Invoice'!R$2:R$801,$W90)="","",INDEX('Per Invoice'!R$2:R$801,$W90)))</f>
        <v/>
      </c>
      <c r="S90" s="7">
        <f>IF($W90="","",IF(INDEX('Per Invoice'!S$2:S$801,$W90)="","",INDEX('Per Invoice'!S$2:S$801,$W90)))</f>
        <v/>
      </c>
      <c r="T90" s="7">
        <f>IF($W90="","",IF(INDEX('Per Invoice'!T$2:T$801,$W90)="","",INDEX('Per Invoice'!T$2:T$801,$W90)))</f>
        <v/>
      </c>
      <c r="U90" s="7">
        <f>IF($W90="","",IF(INDEX('Per Invoice'!U$2:U$801,$W90)="","",INDEX('Per Invoice'!U$2:U$801,$W90)))</f>
        <v/>
      </c>
      <c r="V90" s="7">
        <f>IF($W90="","",IF(INDEX('Per Invoice'!V$2:V$801,$W90)="","",INDEX('Per Invoice'!V$2:V$801,$W90)))</f>
        <v/>
      </c>
      <c r="W90" s="16">
        <f>IFERROR(MATCH(Settings!$C$27&amp;"|"&amp;ROWS($W$2:$W90),'Per Invoice'!$X$2:$X$801,0),"")</f>
        <v/>
      </c>
    </row>
    <row r="91">
      <c r="A91">
        <f>IF($W91="","",IF(INDEX('Per Invoice'!A$2:A$801,$W91)="","",INDEX('Per Invoice'!A$2:A$801,$W91)))</f>
        <v/>
      </c>
      <c r="B91">
        <f>IF($W91="","",IF(INDEX('Per Invoice'!B$2:B$801,$W91)="","",INDEX('Per Invoice'!B$2:B$801,$W91)))</f>
        <v/>
      </c>
      <c r="C91">
        <f>IF($W91="","",IF(INDEX('Per Invoice'!C$2:C$801,$W91)="","",INDEX('Per Invoice'!C$2:C$801,$W91)))</f>
        <v/>
      </c>
      <c r="D91">
        <f>IF($W91="","",IF(INDEX('Per Invoice'!D$2:D$801,$W91)="","",INDEX('Per Invoice'!D$2:D$801,$W91)))</f>
        <v/>
      </c>
      <c r="E91">
        <f>IF($W91="","",IF(INDEX('Per Invoice'!E$2:E$801,$W91)="","",INDEX('Per Invoice'!E$2:E$801,$W91)))</f>
        <v/>
      </c>
      <c r="F91">
        <f>IF($W91="","",IF(INDEX('Per Invoice'!F$2:F$801,$W91)="","",INDEX('Per Invoice'!F$2:F$801,$W91)))</f>
        <v/>
      </c>
      <c r="G91">
        <f>IF($W91="","",IF(INDEX('Per Invoice'!G$2:G$801,$W91)="","",INDEX('Per Invoice'!G$2:G$801,$W91)))</f>
        <v/>
      </c>
      <c r="H91">
        <f>IF($W91="","",IF(INDEX('Per Invoice'!H$2:H$801,$W91)="","",INDEX('Per Invoice'!H$2:H$801,$W91)))</f>
        <v/>
      </c>
      <c r="I91">
        <f>IF($W91="","",IF(INDEX('Per Invoice'!I$2:I$801,$W91)="","",INDEX('Per Invoice'!I$2:I$801,$W91)))</f>
        <v/>
      </c>
      <c r="J91">
        <f>IF($W91="","",IF(INDEX('Per Invoice'!J$2:J$801,$W91)="","",INDEX('Per Invoice'!J$2:J$801,$W91)))</f>
        <v/>
      </c>
      <c r="K91" s="7">
        <f>IF($W91="","",IF(INDEX('Per Invoice'!K$2:K$801,$W91)="","",INDEX('Per Invoice'!K$2:K$801,$W91)))</f>
        <v/>
      </c>
      <c r="L91" s="14">
        <f>IF($W91="","",IF(INDEX('Per Invoice'!L$2:L$801,$W91)="","",INDEX('Per Invoice'!L$2:L$801,$W91)))</f>
        <v/>
      </c>
      <c r="M91">
        <f>IF($W91="","",IF(INDEX('Per Invoice'!M$2:M$801,$W91)="","",INDEX('Per Invoice'!M$2:M$801,$W91)))</f>
        <v/>
      </c>
      <c r="N91" s="7">
        <f>IF($W91="","",IF(INDEX('Per Invoice'!N$2:N$801,$W91)="","",INDEX('Per Invoice'!N$2:N$801,$W91)))</f>
        <v/>
      </c>
      <c r="O91" s="7">
        <f>IF($W91="","",IF(INDEX('Per Invoice'!O$2:O$801,$W91)="","",INDEX('Per Invoice'!O$2:O$801,$W91)))</f>
        <v/>
      </c>
      <c r="P91">
        <f>IF($W91="","",IF(INDEX('Per Invoice'!P$2:P$801,$W91)="","",INDEX('Per Invoice'!P$2:P$801,$W91)))</f>
        <v/>
      </c>
      <c r="Q91" s="7">
        <f>IF($W91="","",IF(INDEX('Per Invoice'!Q$2:Q$801,$W91)="","",INDEX('Per Invoice'!Q$2:Q$801,$W91)))</f>
        <v/>
      </c>
      <c r="R91" s="7">
        <f>IF($W91="","",IF(INDEX('Per Invoice'!R$2:R$801,$W91)="","",INDEX('Per Invoice'!R$2:R$801,$W91)))</f>
        <v/>
      </c>
      <c r="S91" s="7">
        <f>IF($W91="","",IF(INDEX('Per Invoice'!S$2:S$801,$W91)="","",INDEX('Per Invoice'!S$2:S$801,$W91)))</f>
        <v/>
      </c>
      <c r="T91" s="7">
        <f>IF($W91="","",IF(INDEX('Per Invoice'!T$2:T$801,$W91)="","",INDEX('Per Invoice'!T$2:T$801,$W91)))</f>
        <v/>
      </c>
      <c r="U91" s="7">
        <f>IF($W91="","",IF(INDEX('Per Invoice'!U$2:U$801,$W91)="","",INDEX('Per Invoice'!U$2:U$801,$W91)))</f>
        <v/>
      </c>
      <c r="V91" s="7">
        <f>IF($W91="","",IF(INDEX('Per Invoice'!V$2:V$801,$W91)="","",INDEX('Per Invoice'!V$2:V$801,$W91)))</f>
        <v/>
      </c>
      <c r="W91" s="16">
        <f>IFERROR(MATCH(Settings!$C$27&amp;"|"&amp;ROWS($W$2:$W91),'Per Invoice'!$X$2:$X$801,0),"")</f>
        <v/>
      </c>
    </row>
    <row r="92">
      <c r="A92">
        <f>IF($W92="","",IF(INDEX('Per Invoice'!A$2:A$801,$W92)="","",INDEX('Per Invoice'!A$2:A$801,$W92)))</f>
        <v/>
      </c>
      <c r="B92">
        <f>IF($W92="","",IF(INDEX('Per Invoice'!B$2:B$801,$W92)="","",INDEX('Per Invoice'!B$2:B$801,$W92)))</f>
        <v/>
      </c>
      <c r="C92">
        <f>IF($W92="","",IF(INDEX('Per Invoice'!C$2:C$801,$W92)="","",INDEX('Per Invoice'!C$2:C$801,$W92)))</f>
        <v/>
      </c>
      <c r="D92">
        <f>IF($W92="","",IF(INDEX('Per Invoice'!D$2:D$801,$W92)="","",INDEX('Per Invoice'!D$2:D$801,$W92)))</f>
        <v/>
      </c>
      <c r="E92">
        <f>IF($W92="","",IF(INDEX('Per Invoice'!E$2:E$801,$W92)="","",INDEX('Per Invoice'!E$2:E$801,$W92)))</f>
        <v/>
      </c>
      <c r="F92">
        <f>IF($W92="","",IF(INDEX('Per Invoice'!F$2:F$801,$W92)="","",INDEX('Per Invoice'!F$2:F$801,$W92)))</f>
        <v/>
      </c>
      <c r="G92">
        <f>IF($W92="","",IF(INDEX('Per Invoice'!G$2:G$801,$W92)="","",INDEX('Per Invoice'!G$2:G$801,$W92)))</f>
        <v/>
      </c>
      <c r="H92">
        <f>IF($W92="","",IF(INDEX('Per Invoice'!H$2:H$801,$W92)="","",INDEX('Per Invoice'!H$2:H$801,$W92)))</f>
        <v/>
      </c>
      <c r="I92">
        <f>IF($W92="","",IF(INDEX('Per Invoice'!I$2:I$801,$W92)="","",INDEX('Per Invoice'!I$2:I$801,$W92)))</f>
        <v/>
      </c>
      <c r="J92">
        <f>IF($W92="","",IF(INDEX('Per Invoice'!J$2:J$801,$W92)="","",INDEX('Per Invoice'!J$2:J$801,$W92)))</f>
        <v/>
      </c>
      <c r="K92" s="7">
        <f>IF($W92="","",IF(INDEX('Per Invoice'!K$2:K$801,$W92)="","",INDEX('Per Invoice'!K$2:K$801,$W92)))</f>
        <v/>
      </c>
      <c r="L92" s="14">
        <f>IF($W92="","",IF(INDEX('Per Invoice'!L$2:L$801,$W92)="","",INDEX('Per Invoice'!L$2:L$801,$W92)))</f>
        <v/>
      </c>
      <c r="M92">
        <f>IF($W92="","",IF(INDEX('Per Invoice'!M$2:M$801,$W92)="","",INDEX('Per Invoice'!M$2:M$801,$W92)))</f>
        <v/>
      </c>
      <c r="N92" s="7">
        <f>IF($W92="","",IF(INDEX('Per Invoice'!N$2:N$801,$W92)="","",INDEX('Per Invoice'!N$2:N$801,$W92)))</f>
        <v/>
      </c>
      <c r="O92" s="7">
        <f>IF($W92="","",IF(INDEX('Per Invoice'!O$2:O$801,$W92)="","",INDEX('Per Invoice'!O$2:O$801,$W92)))</f>
        <v/>
      </c>
      <c r="P92">
        <f>IF($W92="","",IF(INDEX('Per Invoice'!P$2:P$801,$W92)="","",INDEX('Per Invoice'!P$2:P$801,$W92)))</f>
        <v/>
      </c>
      <c r="Q92" s="7">
        <f>IF($W92="","",IF(INDEX('Per Invoice'!Q$2:Q$801,$W92)="","",INDEX('Per Invoice'!Q$2:Q$801,$W92)))</f>
        <v/>
      </c>
      <c r="R92" s="7">
        <f>IF($W92="","",IF(INDEX('Per Invoice'!R$2:R$801,$W92)="","",INDEX('Per Invoice'!R$2:R$801,$W92)))</f>
        <v/>
      </c>
      <c r="S92" s="7">
        <f>IF($W92="","",IF(INDEX('Per Invoice'!S$2:S$801,$W92)="","",INDEX('Per Invoice'!S$2:S$801,$W92)))</f>
        <v/>
      </c>
      <c r="T92" s="7">
        <f>IF($W92="","",IF(INDEX('Per Invoice'!T$2:T$801,$W92)="","",INDEX('Per Invoice'!T$2:T$801,$W92)))</f>
        <v/>
      </c>
      <c r="U92" s="7">
        <f>IF($W92="","",IF(INDEX('Per Invoice'!U$2:U$801,$W92)="","",INDEX('Per Invoice'!U$2:U$801,$W92)))</f>
        <v/>
      </c>
      <c r="V92" s="7">
        <f>IF($W92="","",IF(INDEX('Per Invoice'!V$2:V$801,$W92)="","",INDEX('Per Invoice'!V$2:V$801,$W92)))</f>
        <v/>
      </c>
      <c r="W92" s="16">
        <f>IFERROR(MATCH(Settings!$C$27&amp;"|"&amp;ROWS($W$2:$W92),'Per Invoice'!$X$2:$X$801,0),"")</f>
        <v/>
      </c>
    </row>
    <row r="93">
      <c r="A93">
        <f>IF($W93="","",IF(INDEX('Per Invoice'!A$2:A$801,$W93)="","",INDEX('Per Invoice'!A$2:A$801,$W93)))</f>
        <v/>
      </c>
      <c r="B93">
        <f>IF($W93="","",IF(INDEX('Per Invoice'!B$2:B$801,$W93)="","",INDEX('Per Invoice'!B$2:B$801,$W93)))</f>
        <v/>
      </c>
      <c r="C93">
        <f>IF($W93="","",IF(INDEX('Per Invoice'!C$2:C$801,$W93)="","",INDEX('Per Invoice'!C$2:C$801,$W93)))</f>
        <v/>
      </c>
      <c r="D93">
        <f>IF($W93="","",IF(INDEX('Per Invoice'!D$2:D$801,$W93)="","",INDEX('Per Invoice'!D$2:D$801,$W93)))</f>
        <v/>
      </c>
      <c r="E93">
        <f>IF($W93="","",IF(INDEX('Per Invoice'!E$2:E$801,$W93)="","",INDEX('Per Invoice'!E$2:E$801,$W93)))</f>
        <v/>
      </c>
      <c r="F93">
        <f>IF($W93="","",IF(INDEX('Per Invoice'!F$2:F$801,$W93)="","",INDEX('Per Invoice'!F$2:F$801,$W93)))</f>
        <v/>
      </c>
      <c r="G93">
        <f>IF($W93="","",IF(INDEX('Per Invoice'!G$2:G$801,$W93)="","",INDEX('Per Invoice'!G$2:G$801,$W93)))</f>
        <v/>
      </c>
      <c r="H93">
        <f>IF($W93="","",IF(INDEX('Per Invoice'!H$2:H$801,$W93)="","",INDEX('Per Invoice'!H$2:H$801,$W93)))</f>
        <v/>
      </c>
      <c r="I93">
        <f>IF($W93="","",IF(INDEX('Per Invoice'!I$2:I$801,$W93)="","",INDEX('Per Invoice'!I$2:I$801,$W93)))</f>
        <v/>
      </c>
      <c r="J93">
        <f>IF($W93="","",IF(INDEX('Per Invoice'!J$2:J$801,$W93)="","",INDEX('Per Invoice'!J$2:J$801,$W93)))</f>
        <v/>
      </c>
      <c r="K93" s="7">
        <f>IF($W93="","",IF(INDEX('Per Invoice'!K$2:K$801,$W93)="","",INDEX('Per Invoice'!K$2:K$801,$W93)))</f>
        <v/>
      </c>
      <c r="L93" s="14">
        <f>IF($W93="","",IF(INDEX('Per Invoice'!L$2:L$801,$W93)="","",INDEX('Per Invoice'!L$2:L$801,$W93)))</f>
        <v/>
      </c>
      <c r="M93">
        <f>IF($W93="","",IF(INDEX('Per Invoice'!M$2:M$801,$W93)="","",INDEX('Per Invoice'!M$2:M$801,$W93)))</f>
        <v/>
      </c>
      <c r="N93" s="7">
        <f>IF($W93="","",IF(INDEX('Per Invoice'!N$2:N$801,$W93)="","",INDEX('Per Invoice'!N$2:N$801,$W93)))</f>
        <v/>
      </c>
      <c r="O93" s="7">
        <f>IF($W93="","",IF(INDEX('Per Invoice'!O$2:O$801,$W93)="","",INDEX('Per Invoice'!O$2:O$801,$W93)))</f>
        <v/>
      </c>
      <c r="P93">
        <f>IF($W93="","",IF(INDEX('Per Invoice'!P$2:P$801,$W93)="","",INDEX('Per Invoice'!P$2:P$801,$W93)))</f>
        <v/>
      </c>
      <c r="Q93" s="7">
        <f>IF($W93="","",IF(INDEX('Per Invoice'!Q$2:Q$801,$W93)="","",INDEX('Per Invoice'!Q$2:Q$801,$W93)))</f>
        <v/>
      </c>
      <c r="R93" s="7">
        <f>IF($W93="","",IF(INDEX('Per Invoice'!R$2:R$801,$W93)="","",INDEX('Per Invoice'!R$2:R$801,$W93)))</f>
        <v/>
      </c>
      <c r="S93" s="7">
        <f>IF($W93="","",IF(INDEX('Per Invoice'!S$2:S$801,$W93)="","",INDEX('Per Invoice'!S$2:S$801,$W93)))</f>
        <v/>
      </c>
      <c r="T93" s="7">
        <f>IF($W93="","",IF(INDEX('Per Invoice'!T$2:T$801,$W93)="","",INDEX('Per Invoice'!T$2:T$801,$W93)))</f>
        <v/>
      </c>
      <c r="U93" s="7">
        <f>IF($W93="","",IF(INDEX('Per Invoice'!U$2:U$801,$W93)="","",INDEX('Per Invoice'!U$2:U$801,$W93)))</f>
        <v/>
      </c>
      <c r="V93" s="7">
        <f>IF($W93="","",IF(INDEX('Per Invoice'!V$2:V$801,$W93)="","",INDEX('Per Invoice'!V$2:V$801,$W93)))</f>
        <v/>
      </c>
      <c r="W93" s="16">
        <f>IFERROR(MATCH(Settings!$C$27&amp;"|"&amp;ROWS($W$2:$W93),'Per Invoice'!$X$2:$X$801,0),"")</f>
        <v/>
      </c>
    </row>
    <row r="94">
      <c r="A94">
        <f>IF($W94="","",IF(INDEX('Per Invoice'!A$2:A$801,$W94)="","",INDEX('Per Invoice'!A$2:A$801,$W94)))</f>
        <v/>
      </c>
      <c r="B94">
        <f>IF($W94="","",IF(INDEX('Per Invoice'!B$2:B$801,$W94)="","",INDEX('Per Invoice'!B$2:B$801,$W94)))</f>
        <v/>
      </c>
      <c r="C94">
        <f>IF($W94="","",IF(INDEX('Per Invoice'!C$2:C$801,$W94)="","",INDEX('Per Invoice'!C$2:C$801,$W94)))</f>
        <v/>
      </c>
      <c r="D94">
        <f>IF($W94="","",IF(INDEX('Per Invoice'!D$2:D$801,$W94)="","",INDEX('Per Invoice'!D$2:D$801,$W94)))</f>
        <v/>
      </c>
      <c r="E94">
        <f>IF($W94="","",IF(INDEX('Per Invoice'!E$2:E$801,$W94)="","",INDEX('Per Invoice'!E$2:E$801,$W94)))</f>
        <v/>
      </c>
      <c r="F94">
        <f>IF($W94="","",IF(INDEX('Per Invoice'!F$2:F$801,$W94)="","",INDEX('Per Invoice'!F$2:F$801,$W94)))</f>
        <v/>
      </c>
      <c r="G94">
        <f>IF($W94="","",IF(INDEX('Per Invoice'!G$2:G$801,$W94)="","",INDEX('Per Invoice'!G$2:G$801,$W94)))</f>
        <v/>
      </c>
      <c r="H94">
        <f>IF($W94="","",IF(INDEX('Per Invoice'!H$2:H$801,$W94)="","",INDEX('Per Invoice'!H$2:H$801,$W94)))</f>
        <v/>
      </c>
      <c r="I94">
        <f>IF($W94="","",IF(INDEX('Per Invoice'!I$2:I$801,$W94)="","",INDEX('Per Invoice'!I$2:I$801,$W94)))</f>
        <v/>
      </c>
      <c r="J94">
        <f>IF($W94="","",IF(INDEX('Per Invoice'!J$2:J$801,$W94)="","",INDEX('Per Invoice'!J$2:J$801,$W94)))</f>
        <v/>
      </c>
      <c r="K94" s="7">
        <f>IF($W94="","",IF(INDEX('Per Invoice'!K$2:K$801,$W94)="","",INDEX('Per Invoice'!K$2:K$801,$W94)))</f>
        <v/>
      </c>
      <c r="L94" s="14">
        <f>IF($W94="","",IF(INDEX('Per Invoice'!L$2:L$801,$W94)="","",INDEX('Per Invoice'!L$2:L$801,$W94)))</f>
        <v/>
      </c>
      <c r="M94">
        <f>IF($W94="","",IF(INDEX('Per Invoice'!M$2:M$801,$W94)="","",INDEX('Per Invoice'!M$2:M$801,$W94)))</f>
        <v/>
      </c>
      <c r="N94" s="7">
        <f>IF($W94="","",IF(INDEX('Per Invoice'!N$2:N$801,$W94)="","",INDEX('Per Invoice'!N$2:N$801,$W94)))</f>
        <v/>
      </c>
      <c r="O94" s="7">
        <f>IF($W94="","",IF(INDEX('Per Invoice'!O$2:O$801,$W94)="","",INDEX('Per Invoice'!O$2:O$801,$W94)))</f>
        <v/>
      </c>
      <c r="P94">
        <f>IF($W94="","",IF(INDEX('Per Invoice'!P$2:P$801,$W94)="","",INDEX('Per Invoice'!P$2:P$801,$W94)))</f>
        <v/>
      </c>
      <c r="Q94" s="7">
        <f>IF($W94="","",IF(INDEX('Per Invoice'!Q$2:Q$801,$W94)="","",INDEX('Per Invoice'!Q$2:Q$801,$W94)))</f>
        <v/>
      </c>
      <c r="R94" s="7">
        <f>IF($W94="","",IF(INDEX('Per Invoice'!R$2:R$801,$W94)="","",INDEX('Per Invoice'!R$2:R$801,$W94)))</f>
        <v/>
      </c>
      <c r="S94" s="7">
        <f>IF($W94="","",IF(INDEX('Per Invoice'!S$2:S$801,$W94)="","",INDEX('Per Invoice'!S$2:S$801,$W94)))</f>
        <v/>
      </c>
      <c r="T94" s="7">
        <f>IF($W94="","",IF(INDEX('Per Invoice'!T$2:T$801,$W94)="","",INDEX('Per Invoice'!T$2:T$801,$W94)))</f>
        <v/>
      </c>
      <c r="U94" s="7">
        <f>IF($W94="","",IF(INDEX('Per Invoice'!U$2:U$801,$W94)="","",INDEX('Per Invoice'!U$2:U$801,$W94)))</f>
        <v/>
      </c>
      <c r="V94" s="7">
        <f>IF($W94="","",IF(INDEX('Per Invoice'!V$2:V$801,$W94)="","",INDEX('Per Invoice'!V$2:V$801,$W94)))</f>
        <v/>
      </c>
      <c r="W94" s="16">
        <f>IFERROR(MATCH(Settings!$C$27&amp;"|"&amp;ROWS($W$2:$W94),'Per Invoice'!$X$2:$X$801,0),"")</f>
        <v/>
      </c>
    </row>
    <row r="95">
      <c r="A95">
        <f>IF($W95="","",IF(INDEX('Per Invoice'!A$2:A$801,$W95)="","",INDEX('Per Invoice'!A$2:A$801,$W95)))</f>
        <v/>
      </c>
      <c r="B95">
        <f>IF($W95="","",IF(INDEX('Per Invoice'!B$2:B$801,$W95)="","",INDEX('Per Invoice'!B$2:B$801,$W95)))</f>
        <v/>
      </c>
      <c r="C95">
        <f>IF($W95="","",IF(INDEX('Per Invoice'!C$2:C$801,$W95)="","",INDEX('Per Invoice'!C$2:C$801,$W95)))</f>
        <v/>
      </c>
      <c r="D95">
        <f>IF($W95="","",IF(INDEX('Per Invoice'!D$2:D$801,$W95)="","",INDEX('Per Invoice'!D$2:D$801,$W95)))</f>
        <v/>
      </c>
      <c r="E95">
        <f>IF($W95="","",IF(INDEX('Per Invoice'!E$2:E$801,$W95)="","",INDEX('Per Invoice'!E$2:E$801,$W95)))</f>
        <v/>
      </c>
      <c r="F95">
        <f>IF($W95="","",IF(INDEX('Per Invoice'!F$2:F$801,$W95)="","",INDEX('Per Invoice'!F$2:F$801,$W95)))</f>
        <v/>
      </c>
      <c r="G95">
        <f>IF($W95="","",IF(INDEX('Per Invoice'!G$2:G$801,$W95)="","",INDEX('Per Invoice'!G$2:G$801,$W95)))</f>
        <v/>
      </c>
      <c r="H95">
        <f>IF($W95="","",IF(INDEX('Per Invoice'!H$2:H$801,$W95)="","",INDEX('Per Invoice'!H$2:H$801,$W95)))</f>
        <v/>
      </c>
      <c r="I95">
        <f>IF($W95="","",IF(INDEX('Per Invoice'!I$2:I$801,$W95)="","",INDEX('Per Invoice'!I$2:I$801,$W95)))</f>
        <v/>
      </c>
      <c r="J95">
        <f>IF($W95="","",IF(INDEX('Per Invoice'!J$2:J$801,$W95)="","",INDEX('Per Invoice'!J$2:J$801,$W95)))</f>
        <v/>
      </c>
      <c r="K95" s="7">
        <f>IF($W95="","",IF(INDEX('Per Invoice'!K$2:K$801,$W95)="","",INDEX('Per Invoice'!K$2:K$801,$W95)))</f>
        <v/>
      </c>
      <c r="L95" s="14">
        <f>IF($W95="","",IF(INDEX('Per Invoice'!L$2:L$801,$W95)="","",INDEX('Per Invoice'!L$2:L$801,$W95)))</f>
        <v/>
      </c>
      <c r="M95">
        <f>IF($W95="","",IF(INDEX('Per Invoice'!M$2:M$801,$W95)="","",INDEX('Per Invoice'!M$2:M$801,$W95)))</f>
        <v/>
      </c>
      <c r="N95" s="7">
        <f>IF($W95="","",IF(INDEX('Per Invoice'!N$2:N$801,$W95)="","",INDEX('Per Invoice'!N$2:N$801,$W95)))</f>
        <v/>
      </c>
      <c r="O95" s="7">
        <f>IF($W95="","",IF(INDEX('Per Invoice'!O$2:O$801,$W95)="","",INDEX('Per Invoice'!O$2:O$801,$W95)))</f>
        <v/>
      </c>
      <c r="P95">
        <f>IF($W95="","",IF(INDEX('Per Invoice'!P$2:P$801,$W95)="","",INDEX('Per Invoice'!P$2:P$801,$W95)))</f>
        <v/>
      </c>
      <c r="Q95" s="7">
        <f>IF($W95="","",IF(INDEX('Per Invoice'!Q$2:Q$801,$W95)="","",INDEX('Per Invoice'!Q$2:Q$801,$W95)))</f>
        <v/>
      </c>
      <c r="R95" s="7">
        <f>IF($W95="","",IF(INDEX('Per Invoice'!R$2:R$801,$W95)="","",INDEX('Per Invoice'!R$2:R$801,$W95)))</f>
        <v/>
      </c>
      <c r="S95" s="7">
        <f>IF($W95="","",IF(INDEX('Per Invoice'!S$2:S$801,$W95)="","",INDEX('Per Invoice'!S$2:S$801,$W95)))</f>
        <v/>
      </c>
      <c r="T95" s="7">
        <f>IF($W95="","",IF(INDEX('Per Invoice'!T$2:T$801,$W95)="","",INDEX('Per Invoice'!T$2:T$801,$W95)))</f>
        <v/>
      </c>
      <c r="U95" s="7">
        <f>IF($W95="","",IF(INDEX('Per Invoice'!U$2:U$801,$W95)="","",INDEX('Per Invoice'!U$2:U$801,$W95)))</f>
        <v/>
      </c>
      <c r="V95" s="7">
        <f>IF($W95="","",IF(INDEX('Per Invoice'!V$2:V$801,$W95)="","",INDEX('Per Invoice'!V$2:V$801,$W95)))</f>
        <v/>
      </c>
      <c r="W95" s="16">
        <f>IFERROR(MATCH(Settings!$C$27&amp;"|"&amp;ROWS($W$2:$W95),'Per Invoice'!$X$2:$X$801,0),"")</f>
        <v/>
      </c>
    </row>
    <row r="96">
      <c r="A96">
        <f>IF($W96="","",IF(INDEX('Per Invoice'!A$2:A$801,$W96)="","",INDEX('Per Invoice'!A$2:A$801,$W96)))</f>
        <v/>
      </c>
      <c r="B96">
        <f>IF($W96="","",IF(INDEX('Per Invoice'!B$2:B$801,$W96)="","",INDEX('Per Invoice'!B$2:B$801,$W96)))</f>
        <v/>
      </c>
      <c r="C96">
        <f>IF($W96="","",IF(INDEX('Per Invoice'!C$2:C$801,$W96)="","",INDEX('Per Invoice'!C$2:C$801,$W96)))</f>
        <v/>
      </c>
      <c r="D96">
        <f>IF($W96="","",IF(INDEX('Per Invoice'!D$2:D$801,$W96)="","",INDEX('Per Invoice'!D$2:D$801,$W96)))</f>
        <v/>
      </c>
      <c r="E96">
        <f>IF($W96="","",IF(INDEX('Per Invoice'!E$2:E$801,$W96)="","",INDEX('Per Invoice'!E$2:E$801,$W96)))</f>
        <v/>
      </c>
      <c r="F96">
        <f>IF($W96="","",IF(INDEX('Per Invoice'!F$2:F$801,$W96)="","",INDEX('Per Invoice'!F$2:F$801,$W96)))</f>
        <v/>
      </c>
      <c r="G96">
        <f>IF($W96="","",IF(INDEX('Per Invoice'!G$2:G$801,$W96)="","",INDEX('Per Invoice'!G$2:G$801,$W96)))</f>
        <v/>
      </c>
      <c r="H96">
        <f>IF($W96="","",IF(INDEX('Per Invoice'!H$2:H$801,$W96)="","",INDEX('Per Invoice'!H$2:H$801,$W96)))</f>
        <v/>
      </c>
      <c r="I96">
        <f>IF($W96="","",IF(INDEX('Per Invoice'!I$2:I$801,$W96)="","",INDEX('Per Invoice'!I$2:I$801,$W96)))</f>
        <v/>
      </c>
      <c r="J96">
        <f>IF($W96="","",IF(INDEX('Per Invoice'!J$2:J$801,$W96)="","",INDEX('Per Invoice'!J$2:J$801,$W96)))</f>
        <v/>
      </c>
      <c r="K96" s="7">
        <f>IF($W96="","",IF(INDEX('Per Invoice'!K$2:K$801,$W96)="","",INDEX('Per Invoice'!K$2:K$801,$W96)))</f>
        <v/>
      </c>
      <c r="L96" s="14">
        <f>IF($W96="","",IF(INDEX('Per Invoice'!L$2:L$801,$W96)="","",INDEX('Per Invoice'!L$2:L$801,$W96)))</f>
        <v/>
      </c>
      <c r="M96">
        <f>IF($W96="","",IF(INDEX('Per Invoice'!M$2:M$801,$W96)="","",INDEX('Per Invoice'!M$2:M$801,$W96)))</f>
        <v/>
      </c>
      <c r="N96" s="7">
        <f>IF($W96="","",IF(INDEX('Per Invoice'!N$2:N$801,$W96)="","",INDEX('Per Invoice'!N$2:N$801,$W96)))</f>
        <v/>
      </c>
      <c r="O96" s="7">
        <f>IF($W96="","",IF(INDEX('Per Invoice'!O$2:O$801,$W96)="","",INDEX('Per Invoice'!O$2:O$801,$W96)))</f>
        <v/>
      </c>
      <c r="P96">
        <f>IF($W96="","",IF(INDEX('Per Invoice'!P$2:P$801,$W96)="","",INDEX('Per Invoice'!P$2:P$801,$W96)))</f>
        <v/>
      </c>
      <c r="Q96" s="7">
        <f>IF($W96="","",IF(INDEX('Per Invoice'!Q$2:Q$801,$W96)="","",INDEX('Per Invoice'!Q$2:Q$801,$W96)))</f>
        <v/>
      </c>
      <c r="R96" s="7">
        <f>IF($W96="","",IF(INDEX('Per Invoice'!R$2:R$801,$W96)="","",INDEX('Per Invoice'!R$2:R$801,$W96)))</f>
        <v/>
      </c>
      <c r="S96" s="7">
        <f>IF($W96="","",IF(INDEX('Per Invoice'!S$2:S$801,$W96)="","",INDEX('Per Invoice'!S$2:S$801,$W96)))</f>
        <v/>
      </c>
      <c r="T96" s="7">
        <f>IF($W96="","",IF(INDEX('Per Invoice'!T$2:T$801,$W96)="","",INDEX('Per Invoice'!T$2:T$801,$W96)))</f>
        <v/>
      </c>
      <c r="U96" s="7">
        <f>IF($W96="","",IF(INDEX('Per Invoice'!U$2:U$801,$W96)="","",INDEX('Per Invoice'!U$2:U$801,$W96)))</f>
        <v/>
      </c>
      <c r="V96" s="7">
        <f>IF($W96="","",IF(INDEX('Per Invoice'!V$2:V$801,$W96)="","",INDEX('Per Invoice'!V$2:V$801,$W96)))</f>
        <v/>
      </c>
      <c r="W96" s="16">
        <f>IFERROR(MATCH(Settings!$C$27&amp;"|"&amp;ROWS($W$2:$W96),'Per Invoice'!$X$2:$X$801,0),"")</f>
        <v/>
      </c>
    </row>
    <row r="97">
      <c r="A97">
        <f>IF($W97="","",IF(INDEX('Per Invoice'!A$2:A$801,$W97)="","",INDEX('Per Invoice'!A$2:A$801,$W97)))</f>
        <v/>
      </c>
      <c r="B97">
        <f>IF($W97="","",IF(INDEX('Per Invoice'!B$2:B$801,$W97)="","",INDEX('Per Invoice'!B$2:B$801,$W97)))</f>
        <v/>
      </c>
      <c r="C97">
        <f>IF($W97="","",IF(INDEX('Per Invoice'!C$2:C$801,$W97)="","",INDEX('Per Invoice'!C$2:C$801,$W97)))</f>
        <v/>
      </c>
      <c r="D97">
        <f>IF($W97="","",IF(INDEX('Per Invoice'!D$2:D$801,$W97)="","",INDEX('Per Invoice'!D$2:D$801,$W97)))</f>
        <v/>
      </c>
      <c r="E97">
        <f>IF($W97="","",IF(INDEX('Per Invoice'!E$2:E$801,$W97)="","",INDEX('Per Invoice'!E$2:E$801,$W97)))</f>
        <v/>
      </c>
      <c r="F97">
        <f>IF($W97="","",IF(INDEX('Per Invoice'!F$2:F$801,$W97)="","",INDEX('Per Invoice'!F$2:F$801,$W97)))</f>
        <v/>
      </c>
      <c r="G97">
        <f>IF($W97="","",IF(INDEX('Per Invoice'!G$2:G$801,$W97)="","",INDEX('Per Invoice'!G$2:G$801,$W97)))</f>
        <v/>
      </c>
      <c r="H97">
        <f>IF($W97="","",IF(INDEX('Per Invoice'!H$2:H$801,$W97)="","",INDEX('Per Invoice'!H$2:H$801,$W97)))</f>
        <v/>
      </c>
      <c r="I97">
        <f>IF($W97="","",IF(INDEX('Per Invoice'!I$2:I$801,$W97)="","",INDEX('Per Invoice'!I$2:I$801,$W97)))</f>
        <v/>
      </c>
      <c r="J97">
        <f>IF($W97="","",IF(INDEX('Per Invoice'!J$2:J$801,$W97)="","",INDEX('Per Invoice'!J$2:J$801,$W97)))</f>
        <v/>
      </c>
      <c r="K97" s="7">
        <f>IF($W97="","",IF(INDEX('Per Invoice'!K$2:K$801,$W97)="","",INDEX('Per Invoice'!K$2:K$801,$W97)))</f>
        <v/>
      </c>
      <c r="L97" s="14">
        <f>IF($W97="","",IF(INDEX('Per Invoice'!L$2:L$801,$W97)="","",INDEX('Per Invoice'!L$2:L$801,$W97)))</f>
        <v/>
      </c>
      <c r="M97">
        <f>IF($W97="","",IF(INDEX('Per Invoice'!M$2:M$801,$W97)="","",INDEX('Per Invoice'!M$2:M$801,$W97)))</f>
        <v/>
      </c>
      <c r="N97" s="7">
        <f>IF($W97="","",IF(INDEX('Per Invoice'!N$2:N$801,$W97)="","",INDEX('Per Invoice'!N$2:N$801,$W97)))</f>
        <v/>
      </c>
      <c r="O97" s="7">
        <f>IF($W97="","",IF(INDEX('Per Invoice'!O$2:O$801,$W97)="","",INDEX('Per Invoice'!O$2:O$801,$W97)))</f>
        <v/>
      </c>
      <c r="P97">
        <f>IF($W97="","",IF(INDEX('Per Invoice'!P$2:P$801,$W97)="","",INDEX('Per Invoice'!P$2:P$801,$W97)))</f>
        <v/>
      </c>
      <c r="Q97" s="7">
        <f>IF($W97="","",IF(INDEX('Per Invoice'!Q$2:Q$801,$W97)="","",INDEX('Per Invoice'!Q$2:Q$801,$W97)))</f>
        <v/>
      </c>
      <c r="R97" s="7">
        <f>IF($W97="","",IF(INDEX('Per Invoice'!R$2:R$801,$W97)="","",INDEX('Per Invoice'!R$2:R$801,$W97)))</f>
        <v/>
      </c>
      <c r="S97" s="7">
        <f>IF($W97="","",IF(INDEX('Per Invoice'!S$2:S$801,$W97)="","",INDEX('Per Invoice'!S$2:S$801,$W97)))</f>
        <v/>
      </c>
      <c r="T97" s="7">
        <f>IF($W97="","",IF(INDEX('Per Invoice'!T$2:T$801,$W97)="","",INDEX('Per Invoice'!T$2:T$801,$W97)))</f>
        <v/>
      </c>
      <c r="U97" s="7">
        <f>IF($W97="","",IF(INDEX('Per Invoice'!U$2:U$801,$W97)="","",INDEX('Per Invoice'!U$2:U$801,$W97)))</f>
        <v/>
      </c>
      <c r="V97" s="7">
        <f>IF($W97="","",IF(INDEX('Per Invoice'!V$2:V$801,$W97)="","",INDEX('Per Invoice'!V$2:V$801,$W97)))</f>
        <v/>
      </c>
      <c r="W97" s="16">
        <f>IFERROR(MATCH(Settings!$C$27&amp;"|"&amp;ROWS($W$2:$W97),'Per Invoice'!$X$2:$X$801,0),"")</f>
        <v/>
      </c>
    </row>
    <row r="98">
      <c r="A98">
        <f>IF($W98="","",IF(INDEX('Per Invoice'!A$2:A$801,$W98)="","",INDEX('Per Invoice'!A$2:A$801,$W98)))</f>
        <v/>
      </c>
      <c r="B98">
        <f>IF($W98="","",IF(INDEX('Per Invoice'!B$2:B$801,$W98)="","",INDEX('Per Invoice'!B$2:B$801,$W98)))</f>
        <v/>
      </c>
      <c r="C98">
        <f>IF($W98="","",IF(INDEX('Per Invoice'!C$2:C$801,$W98)="","",INDEX('Per Invoice'!C$2:C$801,$W98)))</f>
        <v/>
      </c>
      <c r="D98">
        <f>IF($W98="","",IF(INDEX('Per Invoice'!D$2:D$801,$W98)="","",INDEX('Per Invoice'!D$2:D$801,$W98)))</f>
        <v/>
      </c>
      <c r="E98">
        <f>IF($W98="","",IF(INDEX('Per Invoice'!E$2:E$801,$W98)="","",INDEX('Per Invoice'!E$2:E$801,$W98)))</f>
        <v/>
      </c>
      <c r="F98">
        <f>IF($W98="","",IF(INDEX('Per Invoice'!F$2:F$801,$W98)="","",INDEX('Per Invoice'!F$2:F$801,$W98)))</f>
        <v/>
      </c>
      <c r="G98">
        <f>IF($W98="","",IF(INDEX('Per Invoice'!G$2:G$801,$W98)="","",INDEX('Per Invoice'!G$2:G$801,$W98)))</f>
        <v/>
      </c>
      <c r="H98">
        <f>IF($W98="","",IF(INDEX('Per Invoice'!H$2:H$801,$W98)="","",INDEX('Per Invoice'!H$2:H$801,$W98)))</f>
        <v/>
      </c>
      <c r="I98">
        <f>IF($W98="","",IF(INDEX('Per Invoice'!I$2:I$801,$W98)="","",INDEX('Per Invoice'!I$2:I$801,$W98)))</f>
        <v/>
      </c>
      <c r="J98">
        <f>IF($W98="","",IF(INDEX('Per Invoice'!J$2:J$801,$W98)="","",INDEX('Per Invoice'!J$2:J$801,$W98)))</f>
        <v/>
      </c>
      <c r="K98" s="7">
        <f>IF($W98="","",IF(INDEX('Per Invoice'!K$2:K$801,$W98)="","",INDEX('Per Invoice'!K$2:K$801,$W98)))</f>
        <v/>
      </c>
      <c r="L98" s="14">
        <f>IF($W98="","",IF(INDEX('Per Invoice'!L$2:L$801,$W98)="","",INDEX('Per Invoice'!L$2:L$801,$W98)))</f>
        <v/>
      </c>
      <c r="M98">
        <f>IF($W98="","",IF(INDEX('Per Invoice'!M$2:M$801,$W98)="","",INDEX('Per Invoice'!M$2:M$801,$W98)))</f>
        <v/>
      </c>
      <c r="N98" s="7">
        <f>IF($W98="","",IF(INDEX('Per Invoice'!N$2:N$801,$W98)="","",INDEX('Per Invoice'!N$2:N$801,$W98)))</f>
        <v/>
      </c>
      <c r="O98" s="7">
        <f>IF($W98="","",IF(INDEX('Per Invoice'!O$2:O$801,$W98)="","",INDEX('Per Invoice'!O$2:O$801,$W98)))</f>
        <v/>
      </c>
      <c r="P98">
        <f>IF($W98="","",IF(INDEX('Per Invoice'!P$2:P$801,$W98)="","",INDEX('Per Invoice'!P$2:P$801,$W98)))</f>
        <v/>
      </c>
      <c r="Q98" s="7">
        <f>IF($W98="","",IF(INDEX('Per Invoice'!Q$2:Q$801,$W98)="","",INDEX('Per Invoice'!Q$2:Q$801,$W98)))</f>
        <v/>
      </c>
      <c r="R98" s="7">
        <f>IF($W98="","",IF(INDEX('Per Invoice'!R$2:R$801,$W98)="","",INDEX('Per Invoice'!R$2:R$801,$W98)))</f>
        <v/>
      </c>
      <c r="S98" s="7">
        <f>IF($W98="","",IF(INDEX('Per Invoice'!S$2:S$801,$W98)="","",INDEX('Per Invoice'!S$2:S$801,$W98)))</f>
        <v/>
      </c>
      <c r="T98" s="7">
        <f>IF($W98="","",IF(INDEX('Per Invoice'!T$2:T$801,$W98)="","",INDEX('Per Invoice'!T$2:T$801,$W98)))</f>
        <v/>
      </c>
      <c r="U98" s="7">
        <f>IF($W98="","",IF(INDEX('Per Invoice'!U$2:U$801,$W98)="","",INDEX('Per Invoice'!U$2:U$801,$W98)))</f>
        <v/>
      </c>
      <c r="V98" s="7">
        <f>IF($W98="","",IF(INDEX('Per Invoice'!V$2:V$801,$W98)="","",INDEX('Per Invoice'!V$2:V$801,$W98)))</f>
        <v/>
      </c>
      <c r="W98" s="16">
        <f>IFERROR(MATCH(Settings!$C$27&amp;"|"&amp;ROWS($W$2:$W98),'Per Invoice'!$X$2:$X$801,0),"")</f>
        <v/>
      </c>
    </row>
    <row r="99">
      <c r="A99">
        <f>IF($W99="","",IF(INDEX('Per Invoice'!A$2:A$801,$W99)="","",INDEX('Per Invoice'!A$2:A$801,$W99)))</f>
        <v/>
      </c>
      <c r="B99">
        <f>IF($W99="","",IF(INDEX('Per Invoice'!B$2:B$801,$W99)="","",INDEX('Per Invoice'!B$2:B$801,$W99)))</f>
        <v/>
      </c>
      <c r="C99">
        <f>IF($W99="","",IF(INDEX('Per Invoice'!C$2:C$801,$W99)="","",INDEX('Per Invoice'!C$2:C$801,$W99)))</f>
        <v/>
      </c>
      <c r="D99">
        <f>IF($W99="","",IF(INDEX('Per Invoice'!D$2:D$801,$W99)="","",INDEX('Per Invoice'!D$2:D$801,$W99)))</f>
        <v/>
      </c>
      <c r="E99">
        <f>IF($W99="","",IF(INDEX('Per Invoice'!E$2:E$801,$W99)="","",INDEX('Per Invoice'!E$2:E$801,$W99)))</f>
        <v/>
      </c>
      <c r="F99">
        <f>IF($W99="","",IF(INDEX('Per Invoice'!F$2:F$801,$W99)="","",INDEX('Per Invoice'!F$2:F$801,$W99)))</f>
        <v/>
      </c>
      <c r="G99">
        <f>IF($W99="","",IF(INDEX('Per Invoice'!G$2:G$801,$W99)="","",INDEX('Per Invoice'!G$2:G$801,$W99)))</f>
        <v/>
      </c>
      <c r="H99">
        <f>IF($W99="","",IF(INDEX('Per Invoice'!H$2:H$801,$W99)="","",INDEX('Per Invoice'!H$2:H$801,$W99)))</f>
        <v/>
      </c>
      <c r="I99">
        <f>IF($W99="","",IF(INDEX('Per Invoice'!I$2:I$801,$W99)="","",INDEX('Per Invoice'!I$2:I$801,$W99)))</f>
        <v/>
      </c>
      <c r="J99">
        <f>IF($W99="","",IF(INDEX('Per Invoice'!J$2:J$801,$W99)="","",INDEX('Per Invoice'!J$2:J$801,$W99)))</f>
        <v/>
      </c>
      <c r="K99" s="7">
        <f>IF($W99="","",IF(INDEX('Per Invoice'!K$2:K$801,$W99)="","",INDEX('Per Invoice'!K$2:K$801,$W99)))</f>
        <v/>
      </c>
      <c r="L99" s="14">
        <f>IF($W99="","",IF(INDEX('Per Invoice'!L$2:L$801,$W99)="","",INDEX('Per Invoice'!L$2:L$801,$W99)))</f>
        <v/>
      </c>
      <c r="M99">
        <f>IF($W99="","",IF(INDEX('Per Invoice'!M$2:M$801,$W99)="","",INDEX('Per Invoice'!M$2:M$801,$W99)))</f>
        <v/>
      </c>
      <c r="N99" s="7">
        <f>IF($W99="","",IF(INDEX('Per Invoice'!N$2:N$801,$W99)="","",INDEX('Per Invoice'!N$2:N$801,$W99)))</f>
        <v/>
      </c>
      <c r="O99" s="7">
        <f>IF($W99="","",IF(INDEX('Per Invoice'!O$2:O$801,$W99)="","",INDEX('Per Invoice'!O$2:O$801,$W99)))</f>
        <v/>
      </c>
      <c r="P99">
        <f>IF($W99="","",IF(INDEX('Per Invoice'!P$2:P$801,$W99)="","",INDEX('Per Invoice'!P$2:P$801,$W99)))</f>
        <v/>
      </c>
      <c r="Q99" s="7">
        <f>IF($W99="","",IF(INDEX('Per Invoice'!Q$2:Q$801,$W99)="","",INDEX('Per Invoice'!Q$2:Q$801,$W99)))</f>
        <v/>
      </c>
      <c r="R99" s="7">
        <f>IF($W99="","",IF(INDEX('Per Invoice'!R$2:R$801,$W99)="","",INDEX('Per Invoice'!R$2:R$801,$W99)))</f>
        <v/>
      </c>
      <c r="S99" s="7">
        <f>IF($W99="","",IF(INDEX('Per Invoice'!S$2:S$801,$W99)="","",INDEX('Per Invoice'!S$2:S$801,$W99)))</f>
        <v/>
      </c>
      <c r="T99" s="7">
        <f>IF($W99="","",IF(INDEX('Per Invoice'!T$2:T$801,$W99)="","",INDEX('Per Invoice'!T$2:T$801,$W99)))</f>
        <v/>
      </c>
      <c r="U99" s="7">
        <f>IF($W99="","",IF(INDEX('Per Invoice'!U$2:U$801,$W99)="","",INDEX('Per Invoice'!U$2:U$801,$W99)))</f>
        <v/>
      </c>
      <c r="V99" s="7">
        <f>IF($W99="","",IF(INDEX('Per Invoice'!V$2:V$801,$W99)="","",INDEX('Per Invoice'!V$2:V$801,$W99)))</f>
        <v/>
      </c>
      <c r="W99" s="16">
        <f>IFERROR(MATCH(Settings!$C$27&amp;"|"&amp;ROWS($W$2:$W99),'Per Invoice'!$X$2:$X$801,0),"")</f>
        <v/>
      </c>
    </row>
    <row r="100">
      <c r="A100">
        <f>IF($W100="","",IF(INDEX('Per Invoice'!A$2:A$801,$W100)="","",INDEX('Per Invoice'!A$2:A$801,$W100)))</f>
        <v/>
      </c>
      <c r="B100">
        <f>IF($W100="","",IF(INDEX('Per Invoice'!B$2:B$801,$W100)="","",INDEX('Per Invoice'!B$2:B$801,$W100)))</f>
        <v/>
      </c>
      <c r="C100">
        <f>IF($W100="","",IF(INDEX('Per Invoice'!C$2:C$801,$W100)="","",INDEX('Per Invoice'!C$2:C$801,$W100)))</f>
        <v/>
      </c>
      <c r="D100">
        <f>IF($W100="","",IF(INDEX('Per Invoice'!D$2:D$801,$W100)="","",INDEX('Per Invoice'!D$2:D$801,$W100)))</f>
        <v/>
      </c>
      <c r="E100">
        <f>IF($W100="","",IF(INDEX('Per Invoice'!E$2:E$801,$W100)="","",INDEX('Per Invoice'!E$2:E$801,$W100)))</f>
        <v/>
      </c>
      <c r="F100">
        <f>IF($W100="","",IF(INDEX('Per Invoice'!F$2:F$801,$W100)="","",INDEX('Per Invoice'!F$2:F$801,$W100)))</f>
        <v/>
      </c>
      <c r="G100">
        <f>IF($W100="","",IF(INDEX('Per Invoice'!G$2:G$801,$W100)="","",INDEX('Per Invoice'!G$2:G$801,$W100)))</f>
        <v/>
      </c>
      <c r="H100">
        <f>IF($W100="","",IF(INDEX('Per Invoice'!H$2:H$801,$W100)="","",INDEX('Per Invoice'!H$2:H$801,$W100)))</f>
        <v/>
      </c>
      <c r="I100">
        <f>IF($W100="","",IF(INDEX('Per Invoice'!I$2:I$801,$W100)="","",INDEX('Per Invoice'!I$2:I$801,$W100)))</f>
        <v/>
      </c>
      <c r="J100">
        <f>IF($W100="","",IF(INDEX('Per Invoice'!J$2:J$801,$W100)="","",INDEX('Per Invoice'!J$2:J$801,$W100)))</f>
        <v/>
      </c>
      <c r="K100" s="7">
        <f>IF($W100="","",IF(INDEX('Per Invoice'!K$2:K$801,$W100)="","",INDEX('Per Invoice'!K$2:K$801,$W100)))</f>
        <v/>
      </c>
      <c r="L100" s="14">
        <f>IF($W100="","",IF(INDEX('Per Invoice'!L$2:L$801,$W100)="","",INDEX('Per Invoice'!L$2:L$801,$W100)))</f>
        <v/>
      </c>
      <c r="M100">
        <f>IF($W100="","",IF(INDEX('Per Invoice'!M$2:M$801,$W100)="","",INDEX('Per Invoice'!M$2:M$801,$W100)))</f>
        <v/>
      </c>
      <c r="N100" s="7">
        <f>IF($W100="","",IF(INDEX('Per Invoice'!N$2:N$801,$W100)="","",INDEX('Per Invoice'!N$2:N$801,$W100)))</f>
        <v/>
      </c>
      <c r="O100" s="7">
        <f>IF($W100="","",IF(INDEX('Per Invoice'!O$2:O$801,$W100)="","",INDEX('Per Invoice'!O$2:O$801,$W100)))</f>
        <v/>
      </c>
      <c r="P100">
        <f>IF($W100="","",IF(INDEX('Per Invoice'!P$2:P$801,$W100)="","",INDEX('Per Invoice'!P$2:P$801,$W100)))</f>
        <v/>
      </c>
      <c r="Q100" s="7">
        <f>IF($W100="","",IF(INDEX('Per Invoice'!Q$2:Q$801,$W100)="","",INDEX('Per Invoice'!Q$2:Q$801,$W100)))</f>
        <v/>
      </c>
      <c r="R100" s="7">
        <f>IF($W100="","",IF(INDEX('Per Invoice'!R$2:R$801,$W100)="","",INDEX('Per Invoice'!R$2:R$801,$W100)))</f>
        <v/>
      </c>
      <c r="S100" s="7">
        <f>IF($W100="","",IF(INDEX('Per Invoice'!S$2:S$801,$W100)="","",INDEX('Per Invoice'!S$2:S$801,$W100)))</f>
        <v/>
      </c>
      <c r="T100" s="7">
        <f>IF($W100="","",IF(INDEX('Per Invoice'!T$2:T$801,$W100)="","",INDEX('Per Invoice'!T$2:T$801,$W100)))</f>
        <v/>
      </c>
      <c r="U100" s="7">
        <f>IF($W100="","",IF(INDEX('Per Invoice'!U$2:U$801,$W100)="","",INDEX('Per Invoice'!U$2:U$801,$W100)))</f>
        <v/>
      </c>
      <c r="V100" s="7">
        <f>IF($W100="","",IF(INDEX('Per Invoice'!V$2:V$801,$W100)="","",INDEX('Per Invoice'!V$2:V$801,$W100)))</f>
        <v/>
      </c>
      <c r="W100" s="16">
        <f>IFERROR(MATCH(Settings!$C$27&amp;"|"&amp;ROWS($W$2:$W100),'Per Invoice'!$X$2:$X$801,0),"")</f>
        <v/>
      </c>
    </row>
    <row r="101">
      <c r="A101">
        <f>IF($W101="","",IF(INDEX('Per Invoice'!A$2:A$801,$W101)="","",INDEX('Per Invoice'!A$2:A$801,$W101)))</f>
        <v/>
      </c>
      <c r="B101">
        <f>IF($W101="","",IF(INDEX('Per Invoice'!B$2:B$801,$W101)="","",INDEX('Per Invoice'!B$2:B$801,$W101)))</f>
        <v/>
      </c>
      <c r="C101">
        <f>IF($W101="","",IF(INDEX('Per Invoice'!C$2:C$801,$W101)="","",INDEX('Per Invoice'!C$2:C$801,$W101)))</f>
        <v/>
      </c>
      <c r="D101">
        <f>IF($W101="","",IF(INDEX('Per Invoice'!D$2:D$801,$W101)="","",INDEX('Per Invoice'!D$2:D$801,$W101)))</f>
        <v/>
      </c>
      <c r="E101">
        <f>IF($W101="","",IF(INDEX('Per Invoice'!E$2:E$801,$W101)="","",INDEX('Per Invoice'!E$2:E$801,$W101)))</f>
        <v/>
      </c>
      <c r="F101">
        <f>IF($W101="","",IF(INDEX('Per Invoice'!F$2:F$801,$W101)="","",INDEX('Per Invoice'!F$2:F$801,$W101)))</f>
        <v/>
      </c>
      <c r="G101">
        <f>IF($W101="","",IF(INDEX('Per Invoice'!G$2:G$801,$W101)="","",INDEX('Per Invoice'!G$2:G$801,$W101)))</f>
        <v/>
      </c>
      <c r="H101">
        <f>IF($W101="","",IF(INDEX('Per Invoice'!H$2:H$801,$W101)="","",INDEX('Per Invoice'!H$2:H$801,$W101)))</f>
        <v/>
      </c>
      <c r="I101">
        <f>IF($W101="","",IF(INDEX('Per Invoice'!I$2:I$801,$W101)="","",INDEX('Per Invoice'!I$2:I$801,$W101)))</f>
        <v/>
      </c>
      <c r="J101">
        <f>IF($W101="","",IF(INDEX('Per Invoice'!J$2:J$801,$W101)="","",INDEX('Per Invoice'!J$2:J$801,$W101)))</f>
        <v/>
      </c>
      <c r="K101" s="7">
        <f>IF($W101="","",IF(INDEX('Per Invoice'!K$2:K$801,$W101)="","",INDEX('Per Invoice'!K$2:K$801,$W101)))</f>
        <v/>
      </c>
      <c r="L101" s="14">
        <f>IF($W101="","",IF(INDEX('Per Invoice'!L$2:L$801,$W101)="","",INDEX('Per Invoice'!L$2:L$801,$W101)))</f>
        <v/>
      </c>
      <c r="M101">
        <f>IF($W101="","",IF(INDEX('Per Invoice'!M$2:M$801,$W101)="","",INDEX('Per Invoice'!M$2:M$801,$W101)))</f>
        <v/>
      </c>
      <c r="N101" s="7">
        <f>IF($W101="","",IF(INDEX('Per Invoice'!N$2:N$801,$W101)="","",INDEX('Per Invoice'!N$2:N$801,$W101)))</f>
        <v/>
      </c>
      <c r="O101" s="7">
        <f>IF($W101="","",IF(INDEX('Per Invoice'!O$2:O$801,$W101)="","",INDEX('Per Invoice'!O$2:O$801,$W101)))</f>
        <v/>
      </c>
      <c r="P101">
        <f>IF($W101="","",IF(INDEX('Per Invoice'!P$2:P$801,$W101)="","",INDEX('Per Invoice'!P$2:P$801,$W101)))</f>
        <v/>
      </c>
      <c r="Q101" s="7">
        <f>IF($W101="","",IF(INDEX('Per Invoice'!Q$2:Q$801,$W101)="","",INDEX('Per Invoice'!Q$2:Q$801,$W101)))</f>
        <v/>
      </c>
      <c r="R101" s="7">
        <f>IF($W101="","",IF(INDEX('Per Invoice'!R$2:R$801,$W101)="","",INDEX('Per Invoice'!R$2:R$801,$W101)))</f>
        <v/>
      </c>
      <c r="S101" s="7">
        <f>IF($W101="","",IF(INDEX('Per Invoice'!S$2:S$801,$W101)="","",INDEX('Per Invoice'!S$2:S$801,$W101)))</f>
        <v/>
      </c>
      <c r="T101" s="7">
        <f>IF($W101="","",IF(INDEX('Per Invoice'!T$2:T$801,$W101)="","",INDEX('Per Invoice'!T$2:T$801,$W101)))</f>
        <v/>
      </c>
      <c r="U101" s="7">
        <f>IF($W101="","",IF(INDEX('Per Invoice'!U$2:U$801,$W101)="","",INDEX('Per Invoice'!U$2:U$801,$W101)))</f>
        <v/>
      </c>
      <c r="V101" s="7">
        <f>IF($W101="","",IF(INDEX('Per Invoice'!V$2:V$801,$W101)="","",INDEX('Per Invoice'!V$2:V$801,$W101)))</f>
        <v/>
      </c>
      <c r="W101" s="16">
        <f>IFERROR(MATCH(Settings!$C$27&amp;"|"&amp;ROWS($W$2:$W101),'Per Invoice'!$X$2:$X$801,0),"")</f>
        <v/>
      </c>
    </row>
    <row r="102">
      <c r="A102">
        <f>IF($W102="","",IF(INDEX('Per Invoice'!A$2:A$801,$W102)="","",INDEX('Per Invoice'!A$2:A$801,$W102)))</f>
        <v/>
      </c>
      <c r="B102">
        <f>IF($W102="","",IF(INDEX('Per Invoice'!B$2:B$801,$W102)="","",INDEX('Per Invoice'!B$2:B$801,$W102)))</f>
        <v/>
      </c>
      <c r="C102">
        <f>IF($W102="","",IF(INDEX('Per Invoice'!C$2:C$801,$W102)="","",INDEX('Per Invoice'!C$2:C$801,$W102)))</f>
        <v/>
      </c>
      <c r="D102">
        <f>IF($W102="","",IF(INDEX('Per Invoice'!D$2:D$801,$W102)="","",INDEX('Per Invoice'!D$2:D$801,$W102)))</f>
        <v/>
      </c>
      <c r="E102">
        <f>IF($W102="","",IF(INDEX('Per Invoice'!E$2:E$801,$W102)="","",INDEX('Per Invoice'!E$2:E$801,$W102)))</f>
        <v/>
      </c>
      <c r="F102">
        <f>IF($W102="","",IF(INDEX('Per Invoice'!F$2:F$801,$W102)="","",INDEX('Per Invoice'!F$2:F$801,$W102)))</f>
        <v/>
      </c>
      <c r="G102">
        <f>IF($W102="","",IF(INDEX('Per Invoice'!G$2:G$801,$W102)="","",INDEX('Per Invoice'!G$2:G$801,$W102)))</f>
        <v/>
      </c>
      <c r="H102">
        <f>IF($W102="","",IF(INDEX('Per Invoice'!H$2:H$801,$W102)="","",INDEX('Per Invoice'!H$2:H$801,$W102)))</f>
        <v/>
      </c>
      <c r="I102">
        <f>IF($W102="","",IF(INDEX('Per Invoice'!I$2:I$801,$W102)="","",INDEX('Per Invoice'!I$2:I$801,$W102)))</f>
        <v/>
      </c>
      <c r="J102">
        <f>IF($W102="","",IF(INDEX('Per Invoice'!J$2:J$801,$W102)="","",INDEX('Per Invoice'!J$2:J$801,$W102)))</f>
        <v/>
      </c>
      <c r="K102" s="7">
        <f>IF($W102="","",IF(INDEX('Per Invoice'!K$2:K$801,$W102)="","",INDEX('Per Invoice'!K$2:K$801,$W102)))</f>
        <v/>
      </c>
      <c r="L102" s="14">
        <f>IF($W102="","",IF(INDEX('Per Invoice'!L$2:L$801,$W102)="","",INDEX('Per Invoice'!L$2:L$801,$W102)))</f>
        <v/>
      </c>
      <c r="M102">
        <f>IF($W102="","",IF(INDEX('Per Invoice'!M$2:M$801,$W102)="","",INDEX('Per Invoice'!M$2:M$801,$W102)))</f>
        <v/>
      </c>
      <c r="N102" s="7">
        <f>IF($W102="","",IF(INDEX('Per Invoice'!N$2:N$801,$W102)="","",INDEX('Per Invoice'!N$2:N$801,$W102)))</f>
        <v/>
      </c>
      <c r="O102" s="7">
        <f>IF($W102="","",IF(INDEX('Per Invoice'!O$2:O$801,$W102)="","",INDEX('Per Invoice'!O$2:O$801,$W102)))</f>
        <v/>
      </c>
      <c r="P102">
        <f>IF($W102="","",IF(INDEX('Per Invoice'!P$2:P$801,$W102)="","",INDEX('Per Invoice'!P$2:P$801,$W102)))</f>
        <v/>
      </c>
      <c r="Q102" s="7">
        <f>IF($W102="","",IF(INDEX('Per Invoice'!Q$2:Q$801,$W102)="","",INDEX('Per Invoice'!Q$2:Q$801,$W102)))</f>
        <v/>
      </c>
      <c r="R102" s="7">
        <f>IF($W102="","",IF(INDEX('Per Invoice'!R$2:R$801,$W102)="","",INDEX('Per Invoice'!R$2:R$801,$W102)))</f>
        <v/>
      </c>
      <c r="S102" s="7">
        <f>IF($W102="","",IF(INDEX('Per Invoice'!S$2:S$801,$W102)="","",INDEX('Per Invoice'!S$2:S$801,$W102)))</f>
        <v/>
      </c>
      <c r="T102" s="7">
        <f>IF($W102="","",IF(INDEX('Per Invoice'!T$2:T$801,$W102)="","",INDEX('Per Invoice'!T$2:T$801,$W102)))</f>
        <v/>
      </c>
      <c r="U102" s="7">
        <f>IF($W102="","",IF(INDEX('Per Invoice'!U$2:U$801,$W102)="","",INDEX('Per Invoice'!U$2:U$801,$W102)))</f>
        <v/>
      </c>
      <c r="V102" s="7">
        <f>IF($W102="","",IF(INDEX('Per Invoice'!V$2:V$801,$W102)="","",INDEX('Per Invoice'!V$2:V$801,$W102)))</f>
        <v/>
      </c>
      <c r="W102" s="16">
        <f>IFERROR(MATCH(Settings!$C$27&amp;"|"&amp;ROWS($W$2:$W102),'Per Invoice'!$X$2:$X$801,0),"")</f>
        <v/>
      </c>
    </row>
    <row r="103">
      <c r="A103">
        <f>IF($W103="","",IF(INDEX('Per Invoice'!A$2:A$801,$W103)="","",INDEX('Per Invoice'!A$2:A$801,$W103)))</f>
        <v/>
      </c>
      <c r="B103">
        <f>IF($W103="","",IF(INDEX('Per Invoice'!B$2:B$801,$W103)="","",INDEX('Per Invoice'!B$2:B$801,$W103)))</f>
        <v/>
      </c>
      <c r="C103">
        <f>IF($W103="","",IF(INDEX('Per Invoice'!C$2:C$801,$W103)="","",INDEX('Per Invoice'!C$2:C$801,$W103)))</f>
        <v/>
      </c>
      <c r="D103">
        <f>IF($W103="","",IF(INDEX('Per Invoice'!D$2:D$801,$W103)="","",INDEX('Per Invoice'!D$2:D$801,$W103)))</f>
        <v/>
      </c>
      <c r="E103">
        <f>IF($W103="","",IF(INDEX('Per Invoice'!E$2:E$801,$W103)="","",INDEX('Per Invoice'!E$2:E$801,$W103)))</f>
        <v/>
      </c>
      <c r="F103">
        <f>IF($W103="","",IF(INDEX('Per Invoice'!F$2:F$801,$W103)="","",INDEX('Per Invoice'!F$2:F$801,$W103)))</f>
        <v/>
      </c>
      <c r="G103">
        <f>IF($W103="","",IF(INDEX('Per Invoice'!G$2:G$801,$W103)="","",INDEX('Per Invoice'!G$2:G$801,$W103)))</f>
        <v/>
      </c>
      <c r="H103">
        <f>IF($W103="","",IF(INDEX('Per Invoice'!H$2:H$801,$W103)="","",INDEX('Per Invoice'!H$2:H$801,$W103)))</f>
        <v/>
      </c>
      <c r="I103">
        <f>IF($W103="","",IF(INDEX('Per Invoice'!I$2:I$801,$W103)="","",INDEX('Per Invoice'!I$2:I$801,$W103)))</f>
        <v/>
      </c>
      <c r="J103">
        <f>IF($W103="","",IF(INDEX('Per Invoice'!J$2:J$801,$W103)="","",INDEX('Per Invoice'!J$2:J$801,$W103)))</f>
        <v/>
      </c>
      <c r="K103" s="7">
        <f>IF($W103="","",IF(INDEX('Per Invoice'!K$2:K$801,$W103)="","",INDEX('Per Invoice'!K$2:K$801,$W103)))</f>
        <v/>
      </c>
      <c r="L103" s="14">
        <f>IF($W103="","",IF(INDEX('Per Invoice'!L$2:L$801,$W103)="","",INDEX('Per Invoice'!L$2:L$801,$W103)))</f>
        <v/>
      </c>
      <c r="M103">
        <f>IF($W103="","",IF(INDEX('Per Invoice'!M$2:M$801,$W103)="","",INDEX('Per Invoice'!M$2:M$801,$W103)))</f>
        <v/>
      </c>
      <c r="N103" s="7">
        <f>IF($W103="","",IF(INDEX('Per Invoice'!N$2:N$801,$W103)="","",INDEX('Per Invoice'!N$2:N$801,$W103)))</f>
        <v/>
      </c>
      <c r="O103" s="7">
        <f>IF($W103="","",IF(INDEX('Per Invoice'!O$2:O$801,$W103)="","",INDEX('Per Invoice'!O$2:O$801,$W103)))</f>
        <v/>
      </c>
      <c r="P103">
        <f>IF($W103="","",IF(INDEX('Per Invoice'!P$2:P$801,$W103)="","",INDEX('Per Invoice'!P$2:P$801,$W103)))</f>
        <v/>
      </c>
      <c r="Q103" s="7">
        <f>IF($W103="","",IF(INDEX('Per Invoice'!Q$2:Q$801,$W103)="","",INDEX('Per Invoice'!Q$2:Q$801,$W103)))</f>
        <v/>
      </c>
      <c r="R103" s="7">
        <f>IF($W103="","",IF(INDEX('Per Invoice'!R$2:R$801,$W103)="","",INDEX('Per Invoice'!R$2:R$801,$W103)))</f>
        <v/>
      </c>
      <c r="S103" s="7">
        <f>IF($W103="","",IF(INDEX('Per Invoice'!S$2:S$801,$W103)="","",INDEX('Per Invoice'!S$2:S$801,$W103)))</f>
        <v/>
      </c>
      <c r="T103" s="7">
        <f>IF($W103="","",IF(INDEX('Per Invoice'!T$2:T$801,$W103)="","",INDEX('Per Invoice'!T$2:T$801,$W103)))</f>
        <v/>
      </c>
      <c r="U103" s="7">
        <f>IF($W103="","",IF(INDEX('Per Invoice'!U$2:U$801,$W103)="","",INDEX('Per Invoice'!U$2:U$801,$W103)))</f>
        <v/>
      </c>
      <c r="V103" s="7">
        <f>IF($W103="","",IF(INDEX('Per Invoice'!V$2:V$801,$W103)="","",INDEX('Per Invoice'!V$2:V$801,$W103)))</f>
        <v/>
      </c>
      <c r="W103" s="16">
        <f>IFERROR(MATCH(Settings!$C$27&amp;"|"&amp;ROWS($W$2:$W103),'Per Invoice'!$X$2:$X$801,0),"")</f>
        <v/>
      </c>
    </row>
    <row r="104">
      <c r="A104">
        <f>IF($W104="","",IF(INDEX('Per Invoice'!A$2:A$801,$W104)="","",INDEX('Per Invoice'!A$2:A$801,$W104)))</f>
        <v/>
      </c>
      <c r="B104">
        <f>IF($W104="","",IF(INDEX('Per Invoice'!B$2:B$801,$W104)="","",INDEX('Per Invoice'!B$2:B$801,$W104)))</f>
        <v/>
      </c>
      <c r="C104">
        <f>IF($W104="","",IF(INDEX('Per Invoice'!C$2:C$801,$W104)="","",INDEX('Per Invoice'!C$2:C$801,$W104)))</f>
        <v/>
      </c>
      <c r="D104">
        <f>IF($W104="","",IF(INDEX('Per Invoice'!D$2:D$801,$W104)="","",INDEX('Per Invoice'!D$2:D$801,$W104)))</f>
        <v/>
      </c>
      <c r="E104">
        <f>IF($W104="","",IF(INDEX('Per Invoice'!E$2:E$801,$W104)="","",INDEX('Per Invoice'!E$2:E$801,$W104)))</f>
        <v/>
      </c>
      <c r="F104">
        <f>IF($W104="","",IF(INDEX('Per Invoice'!F$2:F$801,$W104)="","",INDEX('Per Invoice'!F$2:F$801,$W104)))</f>
        <v/>
      </c>
      <c r="G104">
        <f>IF($W104="","",IF(INDEX('Per Invoice'!G$2:G$801,$W104)="","",INDEX('Per Invoice'!G$2:G$801,$W104)))</f>
        <v/>
      </c>
      <c r="H104">
        <f>IF($W104="","",IF(INDEX('Per Invoice'!H$2:H$801,$W104)="","",INDEX('Per Invoice'!H$2:H$801,$W104)))</f>
        <v/>
      </c>
      <c r="I104">
        <f>IF($W104="","",IF(INDEX('Per Invoice'!I$2:I$801,$W104)="","",INDEX('Per Invoice'!I$2:I$801,$W104)))</f>
        <v/>
      </c>
      <c r="J104">
        <f>IF($W104="","",IF(INDEX('Per Invoice'!J$2:J$801,$W104)="","",INDEX('Per Invoice'!J$2:J$801,$W104)))</f>
        <v/>
      </c>
      <c r="K104" s="7">
        <f>IF($W104="","",IF(INDEX('Per Invoice'!K$2:K$801,$W104)="","",INDEX('Per Invoice'!K$2:K$801,$W104)))</f>
        <v/>
      </c>
      <c r="L104" s="14">
        <f>IF($W104="","",IF(INDEX('Per Invoice'!L$2:L$801,$W104)="","",INDEX('Per Invoice'!L$2:L$801,$W104)))</f>
        <v/>
      </c>
      <c r="M104">
        <f>IF($W104="","",IF(INDEX('Per Invoice'!M$2:M$801,$W104)="","",INDEX('Per Invoice'!M$2:M$801,$W104)))</f>
        <v/>
      </c>
      <c r="N104" s="7">
        <f>IF($W104="","",IF(INDEX('Per Invoice'!N$2:N$801,$W104)="","",INDEX('Per Invoice'!N$2:N$801,$W104)))</f>
        <v/>
      </c>
      <c r="O104" s="7">
        <f>IF($W104="","",IF(INDEX('Per Invoice'!O$2:O$801,$W104)="","",INDEX('Per Invoice'!O$2:O$801,$W104)))</f>
        <v/>
      </c>
      <c r="P104">
        <f>IF($W104="","",IF(INDEX('Per Invoice'!P$2:P$801,$W104)="","",INDEX('Per Invoice'!P$2:P$801,$W104)))</f>
        <v/>
      </c>
      <c r="Q104" s="7">
        <f>IF($W104="","",IF(INDEX('Per Invoice'!Q$2:Q$801,$W104)="","",INDEX('Per Invoice'!Q$2:Q$801,$W104)))</f>
        <v/>
      </c>
      <c r="R104" s="7">
        <f>IF($W104="","",IF(INDEX('Per Invoice'!R$2:R$801,$W104)="","",INDEX('Per Invoice'!R$2:R$801,$W104)))</f>
        <v/>
      </c>
      <c r="S104" s="7">
        <f>IF($W104="","",IF(INDEX('Per Invoice'!S$2:S$801,$W104)="","",INDEX('Per Invoice'!S$2:S$801,$W104)))</f>
        <v/>
      </c>
      <c r="T104" s="7">
        <f>IF($W104="","",IF(INDEX('Per Invoice'!T$2:T$801,$W104)="","",INDEX('Per Invoice'!T$2:T$801,$W104)))</f>
        <v/>
      </c>
      <c r="U104" s="7">
        <f>IF($W104="","",IF(INDEX('Per Invoice'!U$2:U$801,$W104)="","",INDEX('Per Invoice'!U$2:U$801,$W104)))</f>
        <v/>
      </c>
      <c r="V104" s="7">
        <f>IF($W104="","",IF(INDEX('Per Invoice'!V$2:V$801,$W104)="","",INDEX('Per Invoice'!V$2:V$801,$W104)))</f>
        <v/>
      </c>
      <c r="W104" s="16">
        <f>IFERROR(MATCH(Settings!$C$27&amp;"|"&amp;ROWS($W$2:$W104),'Per Invoice'!$X$2:$X$801,0),"")</f>
        <v/>
      </c>
    </row>
    <row r="105">
      <c r="A105">
        <f>IF($W105="","",IF(INDEX('Per Invoice'!A$2:A$801,$W105)="","",INDEX('Per Invoice'!A$2:A$801,$W105)))</f>
        <v/>
      </c>
      <c r="B105">
        <f>IF($W105="","",IF(INDEX('Per Invoice'!B$2:B$801,$W105)="","",INDEX('Per Invoice'!B$2:B$801,$W105)))</f>
        <v/>
      </c>
      <c r="C105">
        <f>IF($W105="","",IF(INDEX('Per Invoice'!C$2:C$801,$W105)="","",INDEX('Per Invoice'!C$2:C$801,$W105)))</f>
        <v/>
      </c>
      <c r="D105">
        <f>IF($W105="","",IF(INDEX('Per Invoice'!D$2:D$801,$W105)="","",INDEX('Per Invoice'!D$2:D$801,$W105)))</f>
        <v/>
      </c>
      <c r="E105">
        <f>IF($W105="","",IF(INDEX('Per Invoice'!E$2:E$801,$W105)="","",INDEX('Per Invoice'!E$2:E$801,$W105)))</f>
        <v/>
      </c>
      <c r="F105">
        <f>IF($W105="","",IF(INDEX('Per Invoice'!F$2:F$801,$W105)="","",INDEX('Per Invoice'!F$2:F$801,$W105)))</f>
        <v/>
      </c>
      <c r="G105">
        <f>IF($W105="","",IF(INDEX('Per Invoice'!G$2:G$801,$W105)="","",INDEX('Per Invoice'!G$2:G$801,$W105)))</f>
        <v/>
      </c>
      <c r="H105">
        <f>IF($W105="","",IF(INDEX('Per Invoice'!H$2:H$801,$W105)="","",INDEX('Per Invoice'!H$2:H$801,$W105)))</f>
        <v/>
      </c>
      <c r="I105">
        <f>IF($W105="","",IF(INDEX('Per Invoice'!I$2:I$801,$W105)="","",INDEX('Per Invoice'!I$2:I$801,$W105)))</f>
        <v/>
      </c>
      <c r="J105">
        <f>IF($W105="","",IF(INDEX('Per Invoice'!J$2:J$801,$W105)="","",INDEX('Per Invoice'!J$2:J$801,$W105)))</f>
        <v/>
      </c>
      <c r="K105" s="7">
        <f>IF($W105="","",IF(INDEX('Per Invoice'!K$2:K$801,$W105)="","",INDEX('Per Invoice'!K$2:K$801,$W105)))</f>
        <v/>
      </c>
      <c r="L105" s="14">
        <f>IF($W105="","",IF(INDEX('Per Invoice'!L$2:L$801,$W105)="","",INDEX('Per Invoice'!L$2:L$801,$W105)))</f>
        <v/>
      </c>
      <c r="M105">
        <f>IF($W105="","",IF(INDEX('Per Invoice'!M$2:M$801,$W105)="","",INDEX('Per Invoice'!M$2:M$801,$W105)))</f>
        <v/>
      </c>
      <c r="N105" s="7">
        <f>IF($W105="","",IF(INDEX('Per Invoice'!N$2:N$801,$W105)="","",INDEX('Per Invoice'!N$2:N$801,$W105)))</f>
        <v/>
      </c>
      <c r="O105" s="7">
        <f>IF($W105="","",IF(INDEX('Per Invoice'!O$2:O$801,$W105)="","",INDEX('Per Invoice'!O$2:O$801,$W105)))</f>
        <v/>
      </c>
      <c r="P105">
        <f>IF($W105="","",IF(INDEX('Per Invoice'!P$2:P$801,$W105)="","",INDEX('Per Invoice'!P$2:P$801,$W105)))</f>
        <v/>
      </c>
      <c r="Q105" s="7">
        <f>IF($W105="","",IF(INDEX('Per Invoice'!Q$2:Q$801,$W105)="","",INDEX('Per Invoice'!Q$2:Q$801,$W105)))</f>
        <v/>
      </c>
      <c r="R105" s="7">
        <f>IF($W105="","",IF(INDEX('Per Invoice'!R$2:R$801,$W105)="","",INDEX('Per Invoice'!R$2:R$801,$W105)))</f>
        <v/>
      </c>
      <c r="S105" s="7">
        <f>IF($W105="","",IF(INDEX('Per Invoice'!S$2:S$801,$W105)="","",INDEX('Per Invoice'!S$2:S$801,$W105)))</f>
        <v/>
      </c>
      <c r="T105" s="7">
        <f>IF($W105="","",IF(INDEX('Per Invoice'!T$2:T$801,$W105)="","",INDEX('Per Invoice'!T$2:T$801,$W105)))</f>
        <v/>
      </c>
      <c r="U105" s="7">
        <f>IF($W105="","",IF(INDEX('Per Invoice'!U$2:U$801,$W105)="","",INDEX('Per Invoice'!U$2:U$801,$W105)))</f>
        <v/>
      </c>
      <c r="V105" s="7">
        <f>IF($W105="","",IF(INDEX('Per Invoice'!V$2:V$801,$W105)="","",INDEX('Per Invoice'!V$2:V$801,$W105)))</f>
        <v/>
      </c>
      <c r="W105" s="16">
        <f>IFERROR(MATCH(Settings!$C$27&amp;"|"&amp;ROWS($W$2:$W105),'Per Invoice'!$X$2:$X$801,0),"")</f>
        <v/>
      </c>
    </row>
    <row r="106">
      <c r="A106">
        <f>IF($W106="","",IF(INDEX('Per Invoice'!A$2:A$801,$W106)="","",INDEX('Per Invoice'!A$2:A$801,$W106)))</f>
        <v/>
      </c>
      <c r="B106">
        <f>IF($W106="","",IF(INDEX('Per Invoice'!B$2:B$801,$W106)="","",INDEX('Per Invoice'!B$2:B$801,$W106)))</f>
        <v/>
      </c>
      <c r="C106">
        <f>IF($W106="","",IF(INDEX('Per Invoice'!C$2:C$801,$W106)="","",INDEX('Per Invoice'!C$2:C$801,$W106)))</f>
        <v/>
      </c>
      <c r="D106">
        <f>IF($W106="","",IF(INDEX('Per Invoice'!D$2:D$801,$W106)="","",INDEX('Per Invoice'!D$2:D$801,$W106)))</f>
        <v/>
      </c>
      <c r="E106">
        <f>IF($W106="","",IF(INDEX('Per Invoice'!E$2:E$801,$W106)="","",INDEX('Per Invoice'!E$2:E$801,$W106)))</f>
        <v/>
      </c>
      <c r="F106">
        <f>IF($W106="","",IF(INDEX('Per Invoice'!F$2:F$801,$W106)="","",INDEX('Per Invoice'!F$2:F$801,$W106)))</f>
        <v/>
      </c>
      <c r="G106">
        <f>IF($W106="","",IF(INDEX('Per Invoice'!G$2:G$801,$W106)="","",INDEX('Per Invoice'!G$2:G$801,$W106)))</f>
        <v/>
      </c>
      <c r="H106">
        <f>IF($W106="","",IF(INDEX('Per Invoice'!H$2:H$801,$W106)="","",INDEX('Per Invoice'!H$2:H$801,$W106)))</f>
        <v/>
      </c>
      <c r="I106">
        <f>IF($W106="","",IF(INDEX('Per Invoice'!I$2:I$801,$W106)="","",INDEX('Per Invoice'!I$2:I$801,$W106)))</f>
        <v/>
      </c>
      <c r="J106">
        <f>IF($W106="","",IF(INDEX('Per Invoice'!J$2:J$801,$W106)="","",INDEX('Per Invoice'!J$2:J$801,$W106)))</f>
        <v/>
      </c>
      <c r="K106" s="7">
        <f>IF($W106="","",IF(INDEX('Per Invoice'!K$2:K$801,$W106)="","",INDEX('Per Invoice'!K$2:K$801,$W106)))</f>
        <v/>
      </c>
      <c r="L106" s="14">
        <f>IF($W106="","",IF(INDEX('Per Invoice'!L$2:L$801,$W106)="","",INDEX('Per Invoice'!L$2:L$801,$W106)))</f>
        <v/>
      </c>
      <c r="M106">
        <f>IF($W106="","",IF(INDEX('Per Invoice'!M$2:M$801,$W106)="","",INDEX('Per Invoice'!M$2:M$801,$W106)))</f>
        <v/>
      </c>
      <c r="N106" s="7">
        <f>IF($W106="","",IF(INDEX('Per Invoice'!N$2:N$801,$W106)="","",INDEX('Per Invoice'!N$2:N$801,$W106)))</f>
        <v/>
      </c>
      <c r="O106" s="7">
        <f>IF($W106="","",IF(INDEX('Per Invoice'!O$2:O$801,$W106)="","",INDEX('Per Invoice'!O$2:O$801,$W106)))</f>
        <v/>
      </c>
      <c r="P106">
        <f>IF($W106="","",IF(INDEX('Per Invoice'!P$2:P$801,$W106)="","",INDEX('Per Invoice'!P$2:P$801,$W106)))</f>
        <v/>
      </c>
      <c r="Q106" s="7">
        <f>IF($W106="","",IF(INDEX('Per Invoice'!Q$2:Q$801,$W106)="","",INDEX('Per Invoice'!Q$2:Q$801,$W106)))</f>
        <v/>
      </c>
      <c r="R106" s="7">
        <f>IF($W106="","",IF(INDEX('Per Invoice'!R$2:R$801,$W106)="","",INDEX('Per Invoice'!R$2:R$801,$W106)))</f>
        <v/>
      </c>
      <c r="S106" s="7">
        <f>IF($W106="","",IF(INDEX('Per Invoice'!S$2:S$801,$W106)="","",INDEX('Per Invoice'!S$2:S$801,$W106)))</f>
        <v/>
      </c>
      <c r="T106" s="7">
        <f>IF($W106="","",IF(INDEX('Per Invoice'!T$2:T$801,$W106)="","",INDEX('Per Invoice'!T$2:T$801,$W106)))</f>
        <v/>
      </c>
      <c r="U106" s="7">
        <f>IF($W106="","",IF(INDEX('Per Invoice'!U$2:U$801,$W106)="","",INDEX('Per Invoice'!U$2:U$801,$W106)))</f>
        <v/>
      </c>
      <c r="V106" s="7">
        <f>IF($W106="","",IF(INDEX('Per Invoice'!V$2:V$801,$W106)="","",INDEX('Per Invoice'!V$2:V$801,$W106)))</f>
        <v/>
      </c>
      <c r="W106" s="16">
        <f>IFERROR(MATCH(Settings!$C$27&amp;"|"&amp;ROWS($W$2:$W106),'Per Invoice'!$X$2:$X$801,0),"")</f>
        <v/>
      </c>
    </row>
    <row r="107">
      <c r="A107">
        <f>IF($W107="","",IF(INDEX('Per Invoice'!A$2:A$801,$W107)="","",INDEX('Per Invoice'!A$2:A$801,$W107)))</f>
        <v/>
      </c>
      <c r="B107">
        <f>IF($W107="","",IF(INDEX('Per Invoice'!B$2:B$801,$W107)="","",INDEX('Per Invoice'!B$2:B$801,$W107)))</f>
        <v/>
      </c>
      <c r="C107">
        <f>IF($W107="","",IF(INDEX('Per Invoice'!C$2:C$801,$W107)="","",INDEX('Per Invoice'!C$2:C$801,$W107)))</f>
        <v/>
      </c>
      <c r="D107">
        <f>IF($W107="","",IF(INDEX('Per Invoice'!D$2:D$801,$W107)="","",INDEX('Per Invoice'!D$2:D$801,$W107)))</f>
        <v/>
      </c>
      <c r="E107">
        <f>IF($W107="","",IF(INDEX('Per Invoice'!E$2:E$801,$W107)="","",INDEX('Per Invoice'!E$2:E$801,$W107)))</f>
        <v/>
      </c>
      <c r="F107">
        <f>IF($W107="","",IF(INDEX('Per Invoice'!F$2:F$801,$W107)="","",INDEX('Per Invoice'!F$2:F$801,$W107)))</f>
        <v/>
      </c>
      <c r="G107">
        <f>IF($W107="","",IF(INDEX('Per Invoice'!G$2:G$801,$W107)="","",INDEX('Per Invoice'!G$2:G$801,$W107)))</f>
        <v/>
      </c>
      <c r="H107">
        <f>IF($W107="","",IF(INDEX('Per Invoice'!H$2:H$801,$W107)="","",INDEX('Per Invoice'!H$2:H$801,$W107)))</f>
        <v/>
      </c>
      <c r="I107">
        <f>IF($W107="","",IF(INDEX('Per Invoice'!I$2:I$801,$W107)="","",INDEX('Per Invoice'!I$2:I$801,$W107)))</f>
        <v/>
      </c>
      <c r="J107">
        <f>IF($W107="","",IF(INDEX('Per Invoice'!J$2:J$801,$W107)="","",INDEX('Per Invoice'!J$2:J$801,$W107)))</f>
        <v/>
      </c>
      <c r="K107" s="7">
        <f>IF($W107="","",IF(INDEX('Per Invoice'!K$2:K$801,$W107)="","",INDEX('Per Invoice'!K$2:K$801,$W107)))</f>
        <v/>
      </c>
      <c r="L107" s="14">
        <f>IF($W107="","",IF(INDEX('Per Invoice'!L$2:L$801,$W107)="","",INDEX('Per Invoice'!L$2:L$801,$W107)))</f>
        <v/>
      </c>
      <c r="M107">
        <f>IF($W107="","",IF(INDEX('Per Invoice'!M$2:M$801,$W107)="","",INDEX('Per Invoice'!M$2:M$801,$W107)))</f>
        <v/>
      </c>
      <c r="N107" s="7">
        <f>IF($W107="","",IF(INDEX('Per Invoice'!N$2:N$801,$W107)="","",INDEX('Per Invoice'!N$2:N$801,$W107)))</f>
        <v/>
      </c>
      <c r="O107" s="7">
        <f>IF($W107="","",IF(INDEX('Per Invoice'!O$2:O$801,$W107)="","",INDEX('Per Invoice'!O$2:O$801,$W107)))</f>
        <v/>
      </c>
      <c r="P107">
        <f>IF($W107="","",IF(INDEX('Per Invoice'!P$2:P$801,$W107)="","",INDEX('Per Invoice'!P$2:P$801,$W107)))</f>
        <v/>
      </c>
      <c r="Q107" s="7">
        <f>IF($W107="","",IF(INDEX('Per Invoice'!Q$2:Q$801,$W107)="","",INDEX('Per Invoice'!Q$2:Q$801,$W107)))</f>
        <v/>
      </c>
      <c r="R107" s="7">
        <f>IF($W107="","",IF(INDEX('Per Invoice'!R$2:R$801,$W107)="","",INDEX('Per Invoice'!R$2:R$801,$W107)))</f>
        <v/>
      </c>
      <c r="S107" s="7">
        <f>IF($W107="","",IF(INDEX('Per Invoice'!S$2:S$801,$W107)="","",INDEX('Per Invoice'!S$2:S$801,$W107)))</f>
        <v/>
      </c>
      <c r="T107" s="7">
        <f>IF($W107="","",IF(INDEX('Per Invoice'!T$2:T$801,$W107)="","",INDEX('Per Invoice'!T$2:T$801,$W107)))</f>
        <v/>
      </c>
      <c r="U107" s="7">
        <f>IF($W107="","",IF(INDEX('Per Invoice'!U$2:U$801,$W107)="","",INDEX('Per Invoice'!U$2:U$801,$W107)))</f>
        <v/>
      </c>
      <c r="V107" s="7">
        <f>IF($W107="","",IF(INDEX('Per Invoice'!V$2:V$801,$W107)="","",INDEX('Per Invoice'!V$2:V$801,$W107)))</f>
        <v/>
      </c>
      <c r="W107" s="16">
        <f>IFERROR(MATCH(Settings!$C$27&amp;"|"&amp;ROWS($W$2:$W107),'Per Invoice'!$X$2:$X$801,0),"")</f>
        <v/>
      </c>
    </row>
    <row r="108">
      <c r="A108">
        <f>IF($W108="","",IF(INDEX('Per Invoice'!A$2:A$801,$W108)="","",INDEX('Per Invoice'!A$2:A$801,$W108)))</f>
        <v/>
      </c>
      <c r="B108">
        <f>IF($W108="","",IF(INDEX('Per Invoice'!B$2:B$801,$W108)="","",INDEX('Per Invoice'!B$2:B$801,$W108)))</f>
        <v/>
      </c>
      <c r="C108">
        <f>IF($W108="","",IF(INDEX('Per Invoice'!C$2:C$801,$W108)="","",INDEX('Per Invoice'!C$2:C$801,$W108)))</f>
        <v/>
      </c>
      <c r="D108">
        <f>IF($W108="","",IF(INDEX('Per Invoice'!D$2:D$801,$W108)="","",INDEX('Per Invoice'!D$2:D$801,$W108)))</f>
        <v/>
      </c>
      <c r="E108">
        <f>IF($W108="","",IF(INDEX('Per Invoice'!E$2:E$801,$W108)="","",INDEX('Per Invoice'!E$2:E$801,$W108)))</f>
        <v/>
      </c>
      <c r="F108">
        <f>IF($W108="","",IF(INDEX('Per Invoice'!F$2:F$801,$W108)="","",INDEX('Per Invoice'!F$2:F$801,$W108)))</f>
        <v/>
      </c>
      <c r="G108">
        <f>IF($W108="","",IF(INDEX('Per Invoice'!G$2:G$801,$W108)="","",INDEX('Per Invoice'!G$2:G$801,$W108)))</f>
        <v/>
      </c>
      <c r="H108">
        <f>IF($W108="","",IF(INDEX('Per Invoice'!H$2:H$801,$W108)="","",INDEX('Per Invoice'!H$2:H$801,$W108)))</f>
        <v/>
      </c>
      <c r="I108">
        <f>IF($W108="","",IF(INDEX('Per Invoice'!I$2:I$801,$W108)="","",INDEX('Per Invoice'!I$2:I$801,$W108)))</f>
        <v/>
      </c>
      <c r="J108">
        <f>IF($W108="","",IF(INDEX('Per Invoice'!J$2:J$801,$W108)="","",INDEX('Per Invoice'!J$2:J$801,$W108)))</f>
        <v/>
      </c>
      <c r="K108" s="7">
        <f>IF($W108="","",IF(INDEX('Per Invoice'!K$2:K$801,$W108)="","",INDEX('Per Invoice'!K$2:K$801,$W108)))</f>
        <v/>
      </c>
      <c r="L108" s="14">
        <f>IF($W108="","",IF(INDEX('Per Invoice'!L$2:L$801,$W108)="","",INDEX('Per Invoice'!L$2:L$801,$W108)))</f>
        <v/>
      </c>
      <c r="M108">
        <f>IF($W108="","",IF(INDEX('Per Invoice'!M$2:M$801,$W108)="","",INDEX('Per Invoice'!M$2:M$801,$W108)))</f>
        <v/>
      </c>
      <c r="N108" s="7">
        <f>IF($W108="","",IF(INDEX('Per Invoice'!N$2:N$801,$W108)="","",INDEX('Per Invoice'!N$2:N$801,$W108)))</f>
        <v/>
      </c>
      <c r="O108" s="7">
        <f>IF($W108="","",IF(INDEX('Per Invoice'!O$2:O$801,$W108)="","",INDEX('Per Invoice'!O$2:O$801,$W108)))</f>
        <v/>
      </c>
      <c r="P108">
        <f>IF($W108="","",IF(INDEX('Per Invoice'!P$2:P$801,$W108)="","",INDEX('Per Invoice'!P$2:P$801,$W108)))</f>
        <v/>
      </c>
      <c r="Q108" s="7">
        <f>IF($W108="","",IF(INDEX('Per Invoice'!Q$2:Q$801,$W108)="","",INDEX('Per Invoice'!Q$2:Q$801,$W108)))</f>
        <v/>
      </c>
      <c r="R108" s="7">
        <f>IF($W108="","",IF(INDEX('Per Invoice'!R$2:R$801,$W108)="","",INDEX('Per Invoice'!R$2:R$801,$W108)))</f>
        <v/>
      </c>
      <c r="S108" s="7">
        <f>IF($W108="","",IF(INDEX('Per Invoice'!S$2:S$801,$W108)="","",INDEX('Per Invoice'!S$2:S$801,$W108)))</f>
        <v/>
      </c>
      <c r="T108" s="7">
        <f>IF($W108="","",IF(INDEX('Per Invoice'!T$2:T$801,$W108)="","",INDEX('Per Invoice'!T$2:T$801,$W108)))</f>
        <v/>
      </c>
      <c r="U108" s="7">
        <f>IF($W108="","",IF(INDEX('Per Invoice'!U$2:U$801,$W108)="","",INDEX('Per Invoice'!U$2:U$801,$W108)))</f>
        <v/>
      </c>
      <c r="V108" s="7">
        <f>IF($W108="","",IF(INDEX('Per Invoice'!V$2:V$801,$W108)="","",INDEX('Per Invoice'!V$2:V$801,$W108)))</f>
        <v/>
      </c>
      <c r="W108" s="16">
        <f>IFERROR(MATCH(Settings!$C$27&amp;"|"&amp;ROWS($W$2:$W108),'Per Invoice'!$X$2:$X$801,0),"")</f>
        <v/>
      </c>
    </row>
    <row r="109">
      <c r="A109">
        <f>IF($W109="","",IF(INDEX('Per Invoice'!A$2:A$801,$W109)="","",INDEX('Per Invoice'!A$2:A$801,$W109)))</f>
        <v/>
      </c>
      <c r="B109">
        <f>IF($W109="","",IF(INDEX('Per Invoice'!B$2:B$801,$W109)="","",INDEX('Per Invoice'!B$2:B$801,$W109)))</f>
        <v/>
      </c>
      <c r="C109">
        <f>IF($W109="","",IF(INDEX('Per Invoice'!C$2:C$801,$W109)="","",INDEX('Per Invoice'!C$2:C$801,$W109)))</f>
        <v/>
      </c>
      <c r="D109">
        <f>IF($W109="","",IF(INDEX('Per Invoice'!D$2:D$801,$W109)="","",INDEX('Per Invoice'!D$2:D$801,$W109)))</f>
        <v/>
      </c>
      <c r="E109">
        <f>IF($W109="","",IF(INDEX('Per Invoice'!E$2:E$801,$W109)="","",INDEX('Per Invoice'!E$2:E$801,$W109)))</f>
        <v/>
      </c>
      <c r="F109">
        <f>IF($W109="","",IF(INDEX('Per Invoice'!F$2:F$801,$W109)="","",INDEX('Per Invoice'!F$2:F$801,$W109)))</f>
        <v/>
      </c>
      <c r="G109">
        <f>IF($W109="","",IF(INDEX('Per Invoice'!G$2:G$801,$W109)="","",INDEX('Per Invoice'!G$2:G$801,$W109)))</f>
        <v/>
      </c>
      <c r="H109">
        <f>IF($W109="","",IF(INDEX('Per Invoice'!H$2:H$801,$W109)="","",INDEX('Per Invoice'!H$2:H$801,$W109)))</f>
        <v/>
      </c>
      <c r="I109">
        <f>IF($W109="","",IF(INDEX('Per Invoice'!I$2:I$801,$W109)="","",INDEX('Per Invoice'!I$2:I$801,$W109)))</f>
        <v/>
      </c>
      <c r="J109">
        <f>IF($W109="","",IF(INDEX('Per Invoice'!J$2:J$801,$W109)="","",INDEX('Per Invoice'!J$2:J$801,$W109)))</f>
        <v/>
      </c>
      <c r="K109" s="7">
        <f>IF($W109="","",IF(INDEX('Per Invoice'!K$2:K$801,$W109)="","",INDEX('Per Invoice'!K$2:K$801,$W109)))</f>
        <v/>
      </c>
      <c r="L109" s="14">
        <f>IF($W109="","",IF(INDEX('Per Invoice'!L$2:L$801,$W109)="","",INDEX('Per Invoice'!L$2:L$801,$W109)))</f>
        <v/>
      </c>
      <c r="M109">
        <f>IF($W109="","",IF(INDEX('Per Invoice'!M$2:M$801,$W109)="","",INDEX('Per Invoice'!M$2:M$801,$W109)))</f>
        <v/>
      </c>
      <c r="N109" s="7">
        <f>IF($W109="","",IF(INDEX('Per Invoice'!N$2:N$801,$W109)="","",INDEX('Per Invoice'!N$2:N$801,$W109)))</f>
        <v/>
      </c>
      <c r="O109" s="7">
        <f>IF($W109="","",IF(INDEX('Per Invoice'!O$2:O$801,$W109)="","",INDEX('Per Invoice'!O$2:O$801,$W109)))</f>
        <v/>
      </c>
      <c r="P109">
        <f>IF($W109="","",IF(INDEX('Per Invoice'!P$2:P$801,$W109)="","",INDEX('Per Invoice'!P$2:P$801,$W109)))</f>
        <v/>
      </c>
      <c r="Q109" s="7">
        <f>IF($W109="","",IF(INDEX('Per Invoice'!Q$2:Q$801,$W109)="","",INDEX('Per Invoice'!Q$2:Q$801,$W109)))</f>
        <v/>
      </c>
      <c r="R109" s="7">
        <f>IF($W109="","",IF(INDEX('Per Invoice'!R$2:R$801,$W109)="","",INDEX('Per Invoice'!R$2:R$801,$W109)))</f>
        <v/>
      </c>
      <c r="S109" s="7">
        <f>IF($W109="","",IF(INDEX('Per Invoice'!S$2:S$801,$W109)="","",INDEX('Per Invoice'!S$2:S$801,$W109)))</f>
        <v/>
      </c>
      <c r="T109" s="7">
        <f>IF($W109="","",IF(INDEX('Per Invoice'!T$2:T$801,$W109)="","",INDEX('Per Invoice'!T$2:T$801,$W109)))</f>
        <v/>
      </c>
      <c r="U109" s="7">
        <f>IF($W109="","",IF(INDEX('Per Invoice'!U$2:U$801,$W109)="","",INDEX('Per Invoice'!U$2:U$801,$W109)))</f>
        <v/>
      </c>
      <c r="V109" s="7">
        <f>IF($W109="","",IF(INDEX('Per Invoice'!V$2:V$801,$W109)="","",INDEX('Per Invoice'!V$2:V$801,$W109)))</f>
        <v/>
      </c>
      <c r="W109" s="16">
        <f>IFERROR(MATCH(Settings!$C$27&amp;"|"&amp;ROWS($W$2:$W109),'Per Invoice'!$X$2:$X$801,0),"")</f>
        <v/>
      </c>
    </row>
    <row r="110">
      <c r="A110">
        <f>IF($W110="","",IF(INDEX('Per Invoice'!A$2:A$801,$W110)="","",INDEX('Per Invoice'!A$2:A$801,$W110)))</f>
        <v/>
      </c>
      <c r="B110">
        <f>IF($W110="","",IF(INDEX('Per Invoice'!B$2:B$801,$W110)="","",INDEX('Per Invoice'!B$2:B$801,$W110)))</f>
        <v/>
      </c>
      <c r="C110">
        <f>IF($W110="","",IF(INDEX('Per Invoice'!C$2:C$801,$W110)="","",INDEX('Per Invoice'!C$2:C$801,$W110)))</f>
        <v/>
      </c>
      <c r="D110">
        <f>IF($W110="","",IF(INDEX('Per Invoice'!D$2:D$801,$W110)="","",INDEX('Per Invoice'!D$2:D$801,$W110)))</f>
        <v/>
      </c>
      <c r="E110">
        <f>IF($W110="","",IF(INDEX('Per Invoice'!E$2:E$801,$W110)="","",INDEX('Per Invoice'!E$2:E$801,$W110)))</f>
        <v/>
      </c>
      <c r="F110">
        <f>IF($W110="","",IF(INDEX('Per Invoice'!F$2:F$801,$W110)="","",INDEX('Per Invoice'!F$2:F$801,$W110)))</f>
        <v/>
      </c>
      <c r="G110">
        <f>IF($W110="","",IF(INDEX('Per Invoice'!G$2:G$801,$W110)="","",INDEX('Per Invoice'!G$2:G$801,$W110)))</f>
        <v/>
      </c>
      <c r="H110">
        <f>IF($W110="","",IF(INDEX('Per Invoice'!H$2:H$801,$W110)="","",INDEX('Per Invoice'!H$2:H$801,$W110)))</f>
        <v/>
      </c>
      <c r="I110">
        <f>IF($W110="","",IF(INDEX('Per Invoice'!I$2:I$801,$W110)="","",INDEX('Per Invoice'!I$2:I$801,$W110)))</f>
        <v/>
      </c>
      <c r="J110">
        <f>IF($W110="","",IF(INDEX('Per Invoice'!J$2:J$801,$W110)="","",INDEX('Per Invoice'!J$2:J$801,$W110)))</f>
        <v/>
      </c>
      <c r="K110" s="7">
        <f>IF($W110="","",IF(INDEX('Per Invoice'!K$2:K$801,$W110)="","",INDEX('Per Invoice'!K$2:K$801,$W110)))</f>
        <v/>
      </c>
      <c r="L110" s="14">
        <f>IF($W110="","",IF(INDEX('Per Invoice'!L$2:L$801,$W110)="","",INDEX('Per Invoice'!L$2:L$801,$W110)))</f>
        <v/>
      </c>
      <c r="M110">
        <f>IF($W110="","",IF(INDEX('Per Invoice'!M$2:M$801,$W110)="","",INDEX('Per Invoice'!M$2:M$801,$W110)))</f>
        <v/>
      </c>
      <c r="N110" s="7">
        <f>IF($W110="","",IF(INDEX('Per Invoice'!N$2:N$801,$W110)="","",INDEX('Per Invoice'!N$2:N$801,$W110)))</f>
        <v/>
      </c>
      <c r="O110" s="7">
        <f>IF($W110="","",IF(INDEX('Per Invoice'!O$2:O$801,$W110)="","",INDEX('Per Invoice'!O$2:O$801,$W110)))</f>
        <v/>
      </c>
      <c r="P110">
        <f>IF($W110="","",IF(INDEX('Per Invoice'!P$2:P$801,$W110)="","",INDEX('Per Invoice'!P$2:P$801,$W110)))</f>
        <v/>
      </c>
      <c r="Q110" s="7">
        <f>IF($W110="","",IF(INDEX('Per Invoice'!Q$2:Q$801,$W110)="","",INDEX('Per Invoice'!Q$2:Q$801,$W110)))</f>
        <v/>
      </c>
      <c r="R110" s="7">
        <f>IF($W110="","",IF(INDEX('Per Invoice'!R$2:R$801,$W110)="","",INDEX('Per Invoice'!R$2:R$801,$W110)))</f>
        <v/>
      </c>
      <c r="S110" s="7">
        <f>IF($W110="","",IF(INDEX('Per Invoice'!S$2:S$801,$W110)="","",INDEX('Per Invoice'!S$2:S$801,$W110)))</f>
        <v/>
      </c>
      <c r="T110" s="7">
        <f>IF($W110="","",IF(INDEX('Per Invoice'!T$2:T$801,$W110)="","",INDEX('Per Invoice'!T$2:T$801,$W110)))</f>
        <v/>
      </c>
      <c r="U110" s="7">
        <f>IF($W110="","",IF(INDEX('Per Invoice'!U$2:U$801,$W110)="","",INDEX('Per Invoice'!U$2:U$801,$W110)))</f>
        <v/>
      </c>
      <c r="V110" s="7">
        <f>IF($W110="","",IF(INDEX('Per Invoice'!V$2:V$801,$W110)="","",INDEX('Per Invoice'!V$2:V$801,$W110)))</f>
        <v/>
      </c>
      <c r="W110" s="16">
        <f>IFERROR(MATCH(Settings!$C$27&amp;"|"&amp;ROWS($W$2:$W110),'Per Invoice'!$X$2:$X$801,0),"")</f>
        <v/>
      </c>
    </row>
    <row r="111">
      <c r="A111">
        <f>IF($W111="","",IF(INDEX('Per Invoice'!A$2:A$801,$W111)="","",INDEX('Per Invoice'!A$2:A$801,$W111)))</f>
        <v/>
      </c>
      <c r="B111">
        <f>IF($W111="","",IF(INDEX('Per Invoice'!B$2:B$801,$W111)="","",INDEX('Per Invoice'!B$2:B$801,$W111)))</f>
        <v/>
      </c>
      <c r="C111">
        <f>IF($W111="","",IF(INDEX('Per Invoice'!C$2:C$801,$W111)="","",INDEX('Per Invoice'!C$2:C$801,$W111)))</f>
        <v/>
      </c>
      <c r="D111">
        <f>IF($W111="","",IF(INDEX('Per Invoice'!D$2:D$801,$W111)="","",INDEX('Per Invoice'!D$2:D$801,$W111)))</f>
        <v/>
      </c>
      <c r="E111">
        <f>IF($W111="","",IF(INDEX('Per Invoice'!E$2:E$801,$W111)="","",INDEX('Per Invoice'!E$2:E$801,$W111)))</f>
        <v/>
      </c>
      <c r="F111">
        <f>IF($W111="","",IF(INDEX('Per Invoice'!F$2:F$801,$W111)="","",INDEX('Per Invoice'!F$2:F$801,$W111)))</f>
        <v/>
      </c>
      <c r="G111">
        <f>IF($W111="","",IF(INDEX('Per Invoice'!G$2:G$801,$W111)="","",INDEX('Per Invoice'!G$2:G$801,$W111)))</f>
        <v/>
      </c>
      <c r="H111">
        <f>IF($W111="","",IF(INDEX('Per Invoice'!H$2:H$801,$W111)="","",INDEX('Per Invoice'!H$2:H$801,$W111)))</f>
        <v/>
      </c>
      <c r="I111">
        <f>IF($W111="","",IF(INDEX('Per Invoice'!I$2:I$801,$W111)="","",INDEX('Per Invoice'!I$2:I$801,$W111)))</f>
        <v/>
      </c>
      <c r="J111">
        <f>IF($W111="","",IF(INDEX('Per Invoice'!J$2:J$801,$W111)="","",INDEX('Per Invoice'!J$2:J$801,$W111)))</f>
        <v/>
      </c>
      <c r="K111" s="7">
        <f>IF($W111="","",IF(INDEX('Per Invoice'!K$2:K$801,$W111)="","",INDEX('Per Invoice'!K$2:K$801,$W111)))</f>
        <v/>
      </c>
      <c r="L111" s="14">
        <f>IF($W111="","",IF(INDEX('Per Invoice'!L$2:L$801,$W111)="","",INDEX('Per Invoice'!L$2:L$801,$W111)))</f>
        <v/>
      </c>
      <c r="M111">
        <f>IF($W111="","",IF(INDEX('Per Invoice'!M$2:M$801,$W111)="","",INDEX('Per Invoice'!M$2:M$801,$W111)))</f>
        <v/>
      </c>
      <c r="N111" s="7">
        <f>IF($W111="","",IF(INDEX('Per Invoice'!N$2:N$801,$W111)="","",INDEX('Per Invoice'!N$2:N$801,$W111)))</f>
        <v/>
      </c>
      <c r="O111" s="7">
        <f>IF($W111="","",IF(INDEX('Per Invoice'!O$2:O$801,$W111)="","",INDEX('Per Invoice'!O$2:O$801,$W111)))</f>
        <v/>
      </c>
      <c r="P111">
        <f>IF($W111="","",IF(INDEX('Per Invoice'!P$2:P$801,$W111)="","",INDEX('Per Invoice'!P$2:P$801,$W111)))</f>
        <v/>
      </c>
      <c r="Q111" s="7">
        <f>IF($W111="","",IF(INDEX('Per Invoice'!Q$2:Q$801,$W111)="","",INDEX('Per Invoice'!Q$2:Q$801,$W111)))</f>
        <v/>
      </c>
      <c r="R111" s="7">
        <f>IF($W111="","",IF(INDEX('Per Invoice'!R$2:R$801,$W111)="","",INDEX('Per Invoice'!R$2:R$801,$W111)))</f>
        <v/>
      </c>
      <c r="S111" s="7">
        <f>IF($W111="","",IF(INDEX('Per Invoice'!S$2:S$801,$W111)="","",INDEX('Per Invoice'!S$2:S$801,$W111)))</f>
        <v/>
      </c>
      <c r="T111" s="7">
        <f>IF($W111="","",IF(INDEX('Per Invoice'!T$2:T$801,$W111)="","",INDEX('Per Invoice'!T$2:T$801,$W111)))</f>
        <v/>
      </c>
      <c r="U111" s="7">
        <f>IF($W111="","",IF(INDEX('Per Invoice'!U$2:U$801,$W111)="","",INDEX('Per Invoice'!U$2:U$801,$W111)))</f>
        <v/>
      </c>
      <c r="V111" s="7">
        <f>IF($W111="","",IF(INDEX('Per Invoice'!V$2:V$801,$W111)="","",INDEX('Per Invoice'!V$2:V$801,$W111)))</f>
        <v/>
      </c>
      <c r="W111" s="16">
        <f>IFERROR(MATCH(Settings!$C$27&amp;"|"&amp;ROWS($W$2:$W111),'Per Invoice'!$X$2:$X$801,0),"")</f>
        <v/>
      </c>
    </row>
    <row r="112">
      <c r="A112">
        <f>IF($W112="","",IF(INDEX('Per Invoice'!A$2:A$801,$W112)="","",INDEX('Per Invoice'!A$2:A$801,$W112)))</f>
        <v/>
      </c>
      <c r="B112">
        <f>IF($W112="","",IF(INDEX('Per Invoice'!B$2:B$801,$W112)="","",INDEX('Per Invoice'!B$2:B$801,$W112)))</f>
        <v/>
      </c>
      <c r="C112">
        <f>IF($W112="","",IF(INDEX('Per Invoice'!C$2:C$801,$W112)="","",INDEX('Per Invoice'!C$2:C$801,$W112)))</f>
        <v/>
      </c>
      <c r="D112">
        <f>IF($W112="","",IF(INDEX('Per Invoice'!D$2:D$801,$W112)="","",INDEX('Per Invoice'!D$2:D$801,$W112)))</f>
        <v/>
      </c>
      <c r="E112">
        <f>IF($W112="","",IF(INDEX('Per Invoice'!E$2:E$801,$W112)="","",INDEX('Per Invoice'!E$2:E$801,$W112)))</f>
        <v/>
      </c>
      <c r="F112">
        <f>IF($W112="","",IF(INDEX('Per Invoice'!F$2:F$801,$W112)="","",INDEX('Per Invoice'!F$2:F$801,$W112)))</f>
        <v/>
      </c>
      <c r="G112">
        <f>IF($W112="","",IF(INDEX('Per Invoice'!G$2:G$801,$W112)="","",INDEX('Per Invoice'!G$2:G$801,$W112)))</f>
        <v/>
      </c>
      <c r="H112">
        <f>IF($W112="","",IF(INDEX('Per Invoice'!H$2:H$801,$W112)="","",INDEX('Per Invoice'!H$2:H$801,$W112)))</f>
        <v/>
      </c>
      <c r="I112">
        <f>IF($W112="","",IF(INDEX('Per Invoice'!I$2:I$801,$W112)="","",INDEX('Per Invoice'!I$2:I$801,$W112)))</f>
        <v/>
      </c>
      <c r="J112">
        <f>IF($W112="","",IF(INDEX('Per Invoice'!J$2:J$801,$W112)="","",INDEX('Per Invoice'!J$2:J$801,$W112)))</f>
        <v/>
      </c>
      <c r="K112" s="7">
        <f>IF($W112="","",IF(INDEX('Per Invoice'!K$2:K$801,$W112)="","",INDEX('Per Invoice'!K$2:K$801,$W112)))</f>
        <v/>
      </c>
      <c r="L112" s="14">
        <f>IF($W112="","",IF(INDEX('Per Invoice'!L$2:L$801,$W112)="","",INDEX('Per Invoice'!L$2:L$801,$W112)))</f>
        <v/>
      </c>
      <c r="M112">
        <f>IF($W112="","",IF(INDEX('Per Invoice'!M$2:M$801,$W112)="","",INDEX('Per Invoice'!M$2:M$801,$W112)))</f>
        <v/>
      </c>
      <c r="N112" s="7">
        <f>IF($W112="","",IF(INDEX('Per Invoice'!N$2:N$801,$W112)="","",INDEX('Per Invoice'!N$2:N$801,$W112)))</f>
        <v/>
      </c>
      <c r="O112" s="7">
        <f>IF($W112="","",IF(INDEX('Per Invoice'!O$2:O$801,$W112)="","",INDEX('Per Invoice'!O$2:O$801,$W112)))</f>
        <v/>
      </c>
      <c r="P112">
        <f>IF($W112="","",IF(INDEX('Per Invoice'!P$2:P$801,$W112)="","",INDEX('Per Invoice'!P$2:P$801,$W112)))</f>
        <v/>
      </c>
      <c r="Q112" s="7">
        <f>IF($W112="","",IF(INDEX('Per Invoice'!Q$2:Q$801,$W112)="","",INDEX('Per Invoice'!Q$2:Q$801,$W112)))</f>
        <v/>
      </c>
      <c r="R112" s="7">
        <f>IF($W112="","",IF(INDEX('Per Invoice'!R$2:R$801,$W112)="","",INDEX('Per Invoice'!R$2:R$801,$W112)))</f>
        <v/>
      </c>
      <c r="S112" s="7">
        <f>IF($W112="","",IF(INDEX('Per Invoice'!S$2:S$801,$W112)="","",INDEX('Per Invoice'!S$2:S$801,$W112)))</f>
        <v/>
      </c>
      <c r="T112" s="7">
        <f>IF($W112="","",IF(INDEX('Per Invoice'!T$2:T$801,$W112)="","",INDEX('Per Invoice'!T$2:T$801,$W112)))</f>
        <v/>
      </c>
      <c r="U112" s="7">
        <f>IF($W112="","",IF(INDEX('Per Invoice'!U$2:U$801,$W112)="","",INDEX('Per Invoice'!U$2:U$801,$W112)))</f>
        <v/>
      </c>
      <c r="V112" s="7">
        <f>IF($W112="","",IF(INDEX('Per Invoice'!V$2:V$801,$W112)="","",INDEX('Per Invoice'!V$2:V$801,$W112)))</f>
        <v/>
      </c>
      <c r="W112" s="16">
        <f>IFERROR(MATCH(Settings!$C$27&amp;"|"&amp;ROWS($W$2:$W112),'Per Invoice'!$X$2:$X$801,0),"")</f>
        <v/>
      </c>
    </row>
    <row r="113">
      <c r="A113">
        <f>IF($W113="","",IF(INDEX('Per Invoice'!A$2:A$801,$W113)="","",INDEX('Per Invoice'!A$2:A$801,$W113)))</f>
        <v/>
      </c>
      <c r="B113">
        <f>IF($W113="","",IF(INDEX('Per Invoice'!B$2:B$801,$W113)="","",INDEX('Per Invoice'!B$2:B$801,$W113)))</f>
        <v/>
      </c>
      <c r="C113">
        <f>IF($W113="","",IF(INDEX('Per Invoice'!C$2:C$801,$W113)="","",INDEX('Per Invoice'!C$2:C$801,$W113)))</f>
        <v/>
      </c>
      <c r="D113">
        <f>IF($W113="","",IF(INDEX('Per Invoice'!D$2:D$801,$W113)="","",INDEX('Per Invoice'!D$2:D$801,$W113)))</f>
        <v/>
      </c>
      <c r="E113">
        <f>IF($W113="","",IF(INDEX('Per Invoice'!E$2:E$801,$W113)="","",INDEX('Per Invoice'!E$2:E$801,$W113)))</f>
        <v/>
      </c>
      <c r="F113">
        <f>IF($W113="","",IF(INDEX('Per Invoice'!F$2:F$801,$W113)="","",INDEX('Per Invoice'!F$2:F$801,$W113)))</f>
        <v/>
      </c>
      <c r="G113">
        <f>IF($W113="","",IF(INDEX('Per Invoice'!G$2:G$801,$W113)="","",INDEX('Per Invoice'!G$2:G$801,$W113)))</f>
        <v/>
      </c>
      <c r="H113">
        <f>IF($W113="","",IF(INDEX('Per Invoice'!H$2:H$801,$W113)="","",INDEX('Per Invoice'!H$2:H$801,$W113)))</f>
        <v/>
      </c>
      <c r="I113">
        <f>IF($W113="","",IF(INDEX('Per Invoice'!I$2:I$801,$W113)="","",INDEX('Per Invoice'!I$2:I$801,$W113)))</f>
        <v/>
      </c>
      <c r="J113">
        <f>IF($W113="","",IF(INDEX('Per Invoice'!J$2:J$801,$W113)="","",INDEX('Per Invoice'!J$2:J$801,$W113)))</f>
        <v/>
      </c>
      <c r="K113" s="7">
        <f>IF($W113="","",IF(INDEX('Per Invoice'!K$2:K$801,$W113)="","",INDEX('Per Invoice'!K$2:K$801,$W113)))</f>
        <v/>
      </c>
      <c r="L113" s="14">
        <f>IF($W113="","",IF(INDEX('Per Invoice'!L$2:L$801,$W113)="","",INDEX('Per Invoice'!L$2:L$801,$W113)))</f>
        <v/>
      </c>
      <c r="M113">
        <f>IF($W113="","",IF(INDEX('Per Invoice'!M$2:M$801,$W113)="","",INDEX('Per Invoice'!M$2:M$801,$W113)))</f>
        <v/>
      </c>
      <c r="N113" s="7">
        <f>IF($W113="","",IF(INDEX('Per Invoice'!N$2:N$801,$W113)="","",INDEX('Per Invoice'!N$2:N$801,$W113)))</f>
        <v/>
      </c>
      <c r="O113" s="7">
        <f>IF($W113="","",IF(INDEX('Per Invoice'!O$2:O$801,$W113)="","",INDEX('Per Invoice'!O$2:O$801,$W113)))</f>
        <v/>
      </c>
      <c r="P113">
        <f>IF($W113="","",IF(INDEX('Per Invoice'!P$2:P$801,$W113)="","",INDEX('Per Invoice'!P$2:P$801,$W113)))</f>
        <v/>
      </c>
      <c r="Q113" s="7">
        <f>IF($W113="","",IF(INDEX('Per Invoice'!Q$2:Q$801,$W113)="","",INDEX('Per Invoice'!Q$2:Q$801,$W113)))</f>
        <v/>
      </c>
      <c r="R113" s="7">
        <f>IF($W113="","",IF(INDEX('Per Invoice'!R$2:R$801,$W113)="","",INDEX('Per Invoice'!R$2:R$801,$W113)))</f>
        <v/>
      </c>
      <c r="S113" s="7">
        <f>IF($W113="","",IF(INDEX('Per Invoice'!S$2:S$801,$W113)="","",INDEX('Per Invoice'!S$2:S$801,$W113)))</f>
        <v/>
      </c>
      <c r="T113" s="7">
        <f>IF($W113="","",IF(INDEX('Per Invoice'!T$2:T$801,$W113)="","",INDEX('Per Invoice'!T$2:T$801,$W113)))</f>
        <v/>
      </c>
      <c r="U113" s="7">
        <f>IF($W113="","",IF(INDEX('Per Invoice'!U$2:U$801,$W113)="","",INDEX('Per Invoice'!U$2:U$801,$W113)))</f>
        <v/>
      </c>
      <c r="V113" s="7">
        <f>IF($W113="","",IF(INDEX('Per Invoice'!V$2:V$801,$W113)="","",INDEX('Per Invoice'!V$2:V$801,$W113)))</f>
        <v/>
      </c>
      <c r="W113" s="16">
        <f>IFERROR(MATCH(Settings!$C$27&amp;"|"&amp;ROWS($W$2:$W113),'Per Invoice'!$X$2:$X$801,0),"")</f>
        <v/>
      </c>
    </row>
    <row r="114">
      <c r="A114">
        <f>IF($W114="","",IF(INDEX('Per Invoice'!A$2:A$801,$W114)="","",INDEX('Per Invoice'!A$2:A$801,$W114)))</f>
        <v/>
      </c>
      <c r="B114">
        <f>IF($W114="","",IF(INDEX('Per Invoice'!B$2:B$801,$W114)="","",INDEX('Per Invoice'!B$2:B$801,$W114)))</f>
        <v/>
      </c>
      <c r="C114">
        <f>IF($W114="","",IF(INDEX('Per Invoice'!C$2:C$801,$W114)="","",INDEX('Per Invoice'!C$2:C$801,$W114)))</f>
        <v/>
      </c>
      <c r="D114">
        <f>IF($W114="","",IF(INDEX('Per Invoice'!D$2:D$801,$W114)="","",INDEX('Per Invoice'!D$2:D$801,$W114)))</f>
        <v/>
      </c>
      <c r="E114">
        <f>IF($W114="","",IF(INDEX('Per Invoice'!E$2:E$801,$W114)="","",INDEX('Per Invoice'!E$2:E$801,$W114)))</f>
        <v/>
      </c>
      <c r="F114">
        <f>IF($W114="","",IF(INDEX('Per Invoice'!F$2:F$801,$W114)="","",INDEX('Per Invoice'!F$2:F$801,$W114)))</f>
        <v/>
      </c>
      <c r="G114">
        <f>IF($W114="","",IF(INDEX('Per Invoice'!G$2:G$801,$W114)="","",INDEX('Per Invoice'!G$2:G$801,$W114)))</f>
        <v/>
      </c>
      <c r="H114">
        <f>IF($W114="","",IF(INDEX('Per Invoice'!H$2:H$801,$W114)="","",INDEX('Per Invoice'!H$2:H$801,$W114)))</f>
        <v/>
      </c>
      <c r="I114">
        <f>IF($W114="","",IF(INDEX('Per Invoice'!I$2:I$801,$W114)="","",INDEX('Per Invoice'!I$2:I$801,$W114)))</f>
        <v/>
      </c>
      <c r="J114">
        <f>IF($W114="","",IF(INDEX('Per Invoice'!J$2:J$801,$W114)="","",INDEX('Per Invoice'!J$2:J$801,$W114)))</f>
        <v/>
      </c>
      <c r="K114" s="7">
        <f>IF($W114="","",IF(INDEX('Per Invoice'!K$2:K$801,$W114)="","",INDEX('Per Invoice'!K$2:K$801,$W114)))</f>
        <v/>
      </c>
      <c r="L114" s="14">
        <f>IF($W114="","",IF(INDEX('Per Invoice'!L$2:L$801,$W114)="","",INDEX('Per Invoice'!L$2:L$801,$W114)))</f>
        <v/>
      </c>
      <c r="M114">
        <f>IF($W114="","",IF(INDEX('Per Invoice'!M$2:M$801,$W114)="","",INDEX('Per Invoice'!M$2:M$801,$W114)))</f>
        <v/>
      </c>
      <c r="N114" s="7">
        <f>IF($W114="","",IF(INDEX('Per Invoice'!N$2:N$801,$W114)="","",INDEX('Per Invoice'!N$2:N$801,$W114)))</f>
        <v/>
      </c>
      <c r="O114" s="7">
        <f>IF($W114="","",IF(INDEX('Per Invoice'!O$2:O$801,$W114)="","",INDEX('Per Invoice'!O$2:O$801,$W114)))</f>
        <v/>
      </c>
      <c r="P114">
        <f>IF($W114="","",IF(INDEX('Per Invoice'!P$2:P$801,$W114)="","",INDEX('Per Invoice'!P$2:P$801,$W114)))</f>
        <v/>
      </c>
      <c r="Q114" s="7">
        <f>IF($W114="","",IF(INDEX('Per Invoice'!Q$2:Q$801,$W114)="","",INDEX('Per Invoice'!Q$2:Q$801,$W114)))</f>
        <v/>
      </c>
      <c r="R114" s="7">
        <f>IF($W114="","",IF(INDEX('Per Invoice'!R$2:R$801,$W114)="","",INDEX('Per Invoice'!R$2:R$801,$W114)))</f>
        <v/>
      </c>
      <c r="S114" s="7">
        <f>IF($W114="","",IF(INDEX('Per Invoice'!S$2:S$801,$W114)="","",INDEX('Per Invoice'!S$2:S$801,$W114)))</f>
        <v/>
      </c>
      <c r="T114" s="7">
        <f>IF($W114="","",IF(INDEX('Per Invoice'!T$2:T$801,$W114)="","",INDEX('Per Invoice'!T$2:T$801,$W114)))</f>
        <v/>
      </c>
      <c r="U114" s="7">
        <f>IF($W114="","",IF(INDEX('Per Invoice'!U$2:U$801,$W114)="","",INDEX('Per Invoice'!U$2:U$801,$W114)))</f>
        <v/>
      </c>
      <c r="V114" s="7">
        <f>IF($W114="","",IF(INDEX('Per Invoice'!V$2:V$801,$W114)="","",INDEX('Per Invoice'!V$2:V$801,$W114)))</f>
        <v/>
      </c>
      <c r="W114" s="16">
        <f>IFERROR(MATCH(Settings!$C$27&amp;"|"&amp;ROWS($W$2:$W114),'Per Invoice'!$X$2:$X$801,0),"")</f>
        <v/>
      </c>
    </row>
    <row r="115">
      <c r="A115">
        <f>IF($W115="","",IF(INDEX('Per Invoice'!A$2:A$801,$W115)="","",INDEX('Per Invoice'!A$2:A$801,$W115)))</f>
        <v/>
      </c>
      <c r="B115">
        <f>IF($W115="","",IF(INDEX('Per Invoice'!B$2:B$801,$W115)="","",INDEX('Per Invoice'!B$2:B$801,$W115)))</f>
        <v/>
      </c>
      <c r="C115">
        <f>IF($W115="","",IF(INDEX('Per Invoice'!C$2:C$801,$W115)="","",INDEX('Per Invoice'!C$2:C$801,$W115)))</f>
        <v/>
      </c>
      <c r="D115">
        <f>IF($W115="","",IF(INDEX('Per Invoice'!D$2:D$801,$W115)="","",INDEX('Per Invoice'!D$2:D$801,$W115)))</f>
        <v/>
      </c>
      <c r="E115">
        <f>IF($W115="","",IF(INDEX('Per Invoice'!E$2:E$801,$W115)="","",INDEX('Per Invoice'!E$2:E$801,$W115)))</f>
        <v/>
      </c>
      <c r="F115">
        <f>IF($W115="","",IF(INDEX('Per Invoice'!F$2:F$801,$W115)="","",INDEX('Per Invoice'!F$2:F$801,$W115)))</f>
        <v/>
      </c>
      <c r="G115">
        <f>IF($W115="","",IF(INDEX('Per Invoice'!G$2:G$801,$W115)="","",INDEX('Per Invoice'!G$2:G$801,$W115)))</f>
        <v/>
      </c>
      <c r="H115">
        <f>IF($W115="","",IF(INDEX('Per Invoice'!H$2:H$801,$W115)="","",INDEX('Per Invoice'!H$2:H$801,$W115)))</f>
        <v/>
      </c>
      <c r="I115">
        <f>IF($W115="","",IF(INDEX('Per Invoice'!I$2:I$801,$W115)="","",INDEX('Per Invoice'!I$2:I$801,$W115)))</f>
        <v/>
      </c>
      <c r="J115">
        <f>IF($W115="","",IF(INDEX('Per Invoice'!J$2:J$801,$W115)="","",INDEX('Per Invoice'!J$2:J$801,$W115)))</f>
        <v/>
      </c>
      <c r="K115" s="7">
        <f>IF($W115="","",IF(INDEX('Per Invoice'!K$2:K$801,$W115)="","",INDEX('Per Invoice'!K$2:K$801,$W115)))</f>
        <v/>
      </c>
      <c r="L115" s="14">
        <f>IF($W115="","",IF(INDEX('Per Invoice'!L$2:L$801,$W115)="","",INDEX('Per Invoice'!L$2:L$801,$W115)))</f>
        <v/>
      </c>
      <c r="M115">
        <f>IF($W115="","",IF(INDEX('Per Invoice'!M$2:M$801,$W115)="","",INDEX('Per Invoice'!M$2:M$801,$W115)))</f>
        <v/>
      </c>
      <c r="N115" s="7">
        <f>IF($W115="","",IF(INDEX('Per Invoice'!N$2:N$801,$W115)="","",INDEX('Per Invoice'!N$2:N$801,$W115)))</f>
        <v/>
      </c>
      <c r="O115" s="7">
        <f>IF($W115="","",IF(INDEX('Per Invoice'!O$2:O$801,$W115)="","",INDEX('Per Invoice'!O$2:O$801,$W115)))</f>
        <v/>
      </c>
      <c r="P115">
        <f>IF($W115="","",IF(INDEX('Per Invoice'!P$2:P$801,$W115)="","",INDEX('Per Invoice'!P$2:P$801,$W115)))</f>
        <v/>
      </c>
      <c r="Q115" s="7">
        <f>IF($W115="","",IF(INDEX('Per Invoice'!Q$2:Q$801,$W115)="","",INDEX('Per Invoice'!Q$2:Q$801,$W115)))</f>
        <v/>
      </c>
      <c r="R115" s="7">
        <f>IF($W115="","",IF(INDEX('Per Invoice'!R$2:R$801,$W115)="","",INDEX('Per Invoice'!R$2:R$801,$W115)))</f>
        <v/>
      </c>
      <c r="S115" s="7">
        <f>IF($W115="","",IF(INDEX('Per Invoice'!S$2:S$801,$W115)="","",INDEX('Per Invoice'!S$2:S$801,$W115)))</f>
        <v/>
      </c>
      <c r="T115" s="7">
        <f>IF($W115="","",IF(INDEX('Per Invoice'!T$2:T$801,$W115)="","",INDEX('Per Invoice'!T$2:T$801,$W115)))</f>
        <v/>
      </c>
      <c r="U115" s="7">
        <f>IF($W115="","",IF(INDEX('Per Invoice'!U$2:U$801,$W115)="","",INDEX('Per Invoice'!U$2:U$801,$W115)))</f>
        <v/>
      </c>
      <c r="V115" s="7">
        <f>IF($W115="","",IF(INDEX('Per Invoice'!V$2:V$801,$W115)="","",INDEX('Per Invoice'!V$2:V$801,$W115)))</f>
        <v/>
      </c>
      <c r="W115" s="16">
        <f>IFERROR(MATCH(Settings!$C$27&amp;"|"&amp;ROWS($W$2:$W115),'Per Invoice'!$X$2:$X$801,0),"")</f>
        <v/>
      </c>
    </row>
    <row r="116">
      <c r="A116">
        <f>IF($W116="","",IF(INDEX('Per Invoice'!A$2:A$801,$W116)="","",INDEX('Per Invoice'!A$2:A$801,$W116)))</f>
        <v/>
      </c>
      <c r="B116">
        <f>IF($W116="","",IF(INDEX('Per Invoice'!B$2:B$801,$W116)="","",INDEX('Per Invoice'!B$2:B$801,$W116)))</f>
        <v/>
      </c>
      <c r="C116">
        <f>IF($W116="","",IF(INDEX('Per Invoice'!C$2:C$801,$W116)="","",INDEX('Per Invoice'!C$2:C$801,$W116)))</f>
        <v/>
      </c>
      <c r="D116">
        <f>IF($W116="","",IF(INDEX('Per Invoice'!D$2:D$801,$W116)="","",INDEX('Per Invoice'!D$2:D$801,$W116)))</f>
        <v/>
      </c>
      <c r="E116">
        <f>IF($W116="","",IF(INDEX('Per Invoice'!E$2:E$801,$W116)="","",INDEX('Per Invoice'!E$2:E$801,$W116)))</f>
        <v/>
      </c>
      <c r="F116">
        <f>IF($W116="","",IF(INDEX('Per Invoice'!F$2:F$801,$W116)="","",INDEX('Per Invoice'!F$2:F$801,$W116)))</f>
        <v/>
      </c>
      <c r="G116">
        <f>IF($W116="","",IF(INDEX('Per Invoice'!G$2:G$801,$W116)="","",INDEX('Per Invoice'!G$2:G$801,$W116)))</f>
        <v/>
      </c>
      <c r="H116">
        <f>IF($W116="","",IF(INDEX('Per Invoice'!H$2:H$801,$W116)="","",INDEX('Per Invoice'!H$2:H$801,$W116)))</f>
        <v/>
      </c>
      <c r="I116">
        <f>IF($W116="","",IF(INDEX('Per Invoice'!I$2:I$801,$W116)="","",INDEX('Per Invoice'!I$2:I$801,$W116)))</f>
        <v/>
      </c>
      <c r="J116">
        <f>IF($W116="","",IF(INDEX('Per Invoice'!J$2:J$801,$W116)="","",INDEX('Per Invoice'!J$2:J$801,$W116)))</f>
        <v/>
      </c>
      <c r="K116" s="7">
        <f>IF($W116="","",IF(INDEX('Per Invoice'!K$2:K$801,$W116)="","",INDEX('Per Invoice'!K$2:K$801,$W116)))</f>
        <v/>
      </c>
      <c r="L116" s="14">
        <f>IF($W116="","",IF(INDEX('Per Invoice'!L$2:L$801,$W116)="","",INDEX('Per Invoice'!L$2:L$801,$W116)))</f>
        <v/>
      </c>
      <c r="M116">
        <f>IF($W116="","",IF(INDEX('Per Invoice'!M$2:M$801,$W116)="","",INDEX('Per Invoice'!M$2:M$801,$W116)))</f>
        <v/>
      </c>
      <c r="N116" s="7">
        <f>IF($W116="","",IF(INDEX('Per Invoice'!N$2:N$801,$W116)="","",INDEX('Per Invoice'!N$2:N$801,$W116)))</f>
        <v/>
      </c>
      <c r="O116" s="7">
        <f>IF($W116="","",IF(INDEX('Per Invoice'!O$2:O$801,$W116)="","",INDEX('Per Invoice'!O$2:O$801,$W116)))</f>
        <v/>
      </c>
      <c r="P116">
        <f>IF($W116="","",IF(INDEX('Per Invoice'!P$2:P$801,$W116)="","",INDEX('Per Invoice'!P$2:P$801,$W116)))</f>
        <v/>
      </c>
      <c r="Q116" s="7">
        <f>IF($W116="","",IF(INDEX('Per Invoice'!Q$2:Q$801,$W116)="","",INDEX('Per Invoice'!Q$2:Q$801,$W116)))</f>
        <v/>
      </c>
      <c r="R116" s="7">
        <f>IF($W116="","",IF(INDEX('Per Invoice'!R$2:R$801,$W116)="","",INDEX('Per Invoice'!R$2:R$801,$W116)))</f>
        <v/>
      </c>
      <c r="S116" s="7">
        <f>IF($W116="","",IF(INDEX('Per Invoice'!S$2:S$801,$W116)="","",INDEX('Per Invoice'!S$2:S$801,$W116)))</f>
        <v/>
      </c>
      <c r="T116" s="7">
        <f>IF($W116="","",IF(INDEX('Per Invoice'!T$2:T$801,$W116)="","",INDEX('Per Invoice'!T$2:T$801,$W116)))</f>
        <v/>
      </c>
      <c r="U116" s="7">
        <f>IF($W116="","",IF(INDEX('Per Invoice'!U$2:U$801,$W116)="","",INDEX('Per Invoice'!U$2:U$801,$W116)))</f>
        <v/>
      </c>
      <c r="V116" s="7">
        <f>IF($W116="","",IF(INDEX('Per Invoice'!V$2:V$801,$W116)="","",INDEX('Per Invoice'!V$2:V$801,$W116)))</f>
        <v/>
      </c>
      <c r="W116" s="16">
        <f>IFERROR(MATCH(Settings!$C$27&amp;"|"&amp;ROWS($W$2:$W116),'Per Invoice'!$X$2:$X$801,0),"")</f>
        <v/>
      </c>
    </row>
    <row r="117">
      <c r="A117">
        <f>IF($W117="","",IF(INDEX('Per Invoice'!A$2:A$801,$W117)="","",INDEX('Per Invoice'!A$2:A$801,$W117)))</f>
        <v/>
      </c>
      <c r="B117">
        <f>IF($W117="","",IF(INDEX('Per Invoice'!B$2:B$801,$W117)="","",INDEX('Per Invoice'!B$2:B$801,$W117)))</f>
        <v/>
      </c>
      <c r="C117">
        <f>IF($W117="","",IF(INDEX('Per Invoice'!C$2:C$801,$W117)="","",INDEX('Per Invoice'!C$2:C$801,$W117)))</f>
        <v/>
      </c>
      <c r="D117">
        <f>IF($W117="","",IF(INDEX('Per Invoice'!D$2:D$801,$W117)="","",INDEX('Per Invoice'!D$2:D$801,$W117)))</f>
        <v/>
      </c>
      <c r="E117">
        <f>IF($W117="","",IF(INDEX('Per Invoice'!E$2:E$801,$W117)="","",INDEX('Per Invoice'!E$2:E$801,$W117)))</f>
        <v/>
      </c>
      <c r="F117">
        <f>IF($W117="","",IF(INDEX('Per Invoice'!F$2:F$801,$W117)="","",INDEX('Per Invoice'!F$2:F$801,$W117)))</f>
        <v/>
      </c>
      <c r="G117">
        <f>IF($W117="","",IF(INDEX('Per Invoice'!G$2:G$801,$W117)="","",INDEX('Per Invoice'!G$2:G$801,$W117)))</f>
        <v/>
      </c>
      <c r="H117">
        <f>IF($W117="","",IF(INDEX('Per Invoice'!H$2:H$801,$W117)="","",INDEX('Per Invoice'!H$2:H$801,$W117)))</f>
        <v/>
      </c>
      <c r="I117">
        <f>IF($W117="","",IF(INDEX('Per Invoice'!I$2:I$801,$W117)="","",INDEX('Per Invoice'!I$2:I$801,$W117)))</f>
        <v/>
      </c>
      <c r="J117">
        <f>IF($W117="","",IF(INDEX('Per Invoice'!J$2:J$801,$W117)="","",INDEX('Per Invoice'!J$2:J$801,$W117)))</f>
        <v/>
      </c>
      <c r="K117" s="7">
        <f>IF($W117="","",IF(INDEX('Per Invoice'!K$2:K$801,$W117)="","",INDEX('Per Invoice'!K$2:K$801,$W117)))</f>
        <v/>
      </c>
      <c r="L117" s="14">
        <f>IF($W117="","",IF(INDEX('Per Invoice'!L$2:L$801,$W117)="","",INDEX('Per Invoice'!L$2:L$801,$W117)))</f>
        <v/>
      </c>
      <c r="M117">
        <f>IF($W117="","",IF(INDEX('Per Invoice'!M$2:M$801,$W117)="","",INDEX('Per Invoice'!M$2:M$801,$W117)))</f>
        <v/>
      </c>
      <c r="N117" s="7">
        <f>IF($W117="","",IF(INDEX('Per Invoice'!N$2:N$801,$W117)="","",INDEX('Per Invoice'!N$2:N$801,$W117)))</f>
        <v/>
      </c>
      <c r="O117" s="7">
        <f>IF($W117="","",IF(INDEX('Per Invoice'!O$2:O$801,$W117)="","",INDEX('Per Invoice'!O$2:O$801,$W117)))</f>
        <v/>
      </c>
      <c r="P117">
        <f>IF($W117="","",IF(INDEX('Per Invoice'!P$2:P$801,$W117)="","",INDEX('Per Invoice'!P$2:P$801,$W117)))</f>
        <v/>
      </c>
      <c r="Q117" s="7">
        <f>IF($W117="","",IF(INDEX('Per Invoice'!Q$2:Q$801,$W117)="","",INDEX('Per Invoice'!Q$2:Q$801,$W117)))</f>
        <v/>
      </c>
      <c r="R117" s="7">
        <f>IF($W117="","",IF(INDEX('Per Invoice'!R$2:R$801,$W117)="","",INDEX('Per Invoice'!R$2:R$801,$W117)))</f>
        <v/>
      </c>
      <c r="S117" s="7">
        <f>IF($W117="","",IF(INDEX('Per Invoice'!S$2:S$801,$W117)="","",INDEX('Per Invoice'!S$2:S$801,$W117)))</f>
        <v/>
      </c>
      <c r="T117" s="7">
        <f>IF($W117="","",IF(INDEX('Per Invoice'!T$2:T$801,$W117)="","",INDEX('Per Invoice'!T$2:T$801,$W117)))</f>
        <v/>
      </c>
      <c r="U117" s="7">
        <f>IF($W117="","",IF(INDEX('Per Invoice'!U$2:U$801,$W117)="","",INDEX('Per Invoice'!U$2:U$801,$W117)))</f>
        <v/>
      </c>
      <c r="V117" s="7">
        <f>IF($W117="","",IF(INDEX('Per Invoice'!V$2:V$801,$W117)="","",INDEX('Per Invoice'!V$2:V$801,$W117)))</f>
        <v/>
      </c>
      <c r="W117" s="16">
        <f>IFERROR(MATCH(Settings!$C$27&amp;"|"&amp;ROWS($W$2:$W117),'Per Invoice'!$X$2:$X$801,0),"")</f>
        <v/>
      </c>
    </row>
    <row r="118">
      <c r="A118">
        <f>IF($W118="","",IF(INDEX('Per Invoice'!A$2:A$801,$W118)="","",INDEX('Per Invoice'!A$2:A$801,$W118)))</f>
        <v/>
      </c>
      <c r="B118">
        <f>IF($W118="","",IF(INDEX('Per Invoice'!B$2:B$801,$W118)="","",INDEX('Per Invoice'!B$2:B$801,$W118)))</f>
        <v/>
      </c>
      <c r="C118">
        <f>IF($W118="","",IF(INDEX('Per Invoice'!C$2:C$801,$W118)="","",INDEX('Per Invoice'!C$2:C$801,$W118)))</f>
        <v/>
      </c>
      <c r="D118">
        <f>IF($W118="","",IF(INDEX('Per Invoice'!D$2:D$801,$W118)="","",INDEX('Per Invoice'!D$2:D$801,$W118)))</f>
        <v/>
      </c>
      <c r="E118">
        <f>IF($W118="","",IF(INDEX('Per Invoice'!E$2:E$801,$W118)="","",INDEX('Per Invoice'!E$2:E$801,$W118)))</f>
        <v/>
      </c>
      <c r="F118">
        <f>IF($W118="","",IF(INDEX('Per Invoice'!F$2:F$801,$W118)="","",INDEX('Per Invoice'!F$2:F$801,$W118)))</f>
        <v/>
      </c>
      <c r="G118">
        <f>IF($W118="","",IF(INDEX('Per Invoice'!G$2:G$801,$W118)="","",INDEX('Per Invoice'!G$2:G$801,$W118)))</f>
        <v/>
      </c>
      <c r="H118">
        <f>IF($W118="","",IF(INDEX('Per Invoice'!H$2:H$801,$W118)="","",INDEX('Per Invoice'!H$2:H$801,$W118)))</f>
        <v/>
      </c>
      <c r="I118">
        <f>IF($W118="","",IF(INDEX('Per Invoice'!I$2:I$801,$W118)="","",INDEX('Per Invoice'!I$2:I$801,$W118)))</f>
        <v/>
      </c>
      <c r="J118">
        <f>IF($W118="","",IF(INDEX('Per Invoice'!J$2:J$801,$W118)="","",INDEX('Per Invoice'!J$2:J$801,$W118)))</f>
        <v/>
      </c>
      <c r="K118" s="7">
        <f>IF($W118="","",IF(INDEX('Per Invoice'!K$2:K$801,$W118)="","",INDEX('Per Invoice'!K$2:K$801,$W118)))</f>
        <v/>
      </c>
      <c r="L118" s="14">
        <f>IF($W118="","",IF(INDEX('Per Invoice'!L$2:L$801,$W118)="","",INDEX('Per Invoice'!L$2:L$801,$W118)))</f>
        <v/>
      </c>
      <c r="M118">
        <f>IF($W118="","",IF(INDEX('Per Invoice'!M$2:M$801,$W118)="","",INDEX('Per Invoice'!M$2:M$801,$W118)))</f>
        <v/>
      </c>
      <c r="N118" s="7">
        <f>IF($W118="","",IF(INDEX('Per Invoice'!N$2:N$801,$W118)="","",INDEX('Per Invoice'!N$2:N$801,$W118)))</f>
        <v/>
      </c>
      <c r="O118" s="7">
        <f>IF($W118="","",IF(INDEX('Per Invoice'!O$2:O$801,$W118)="","",INDEX('Per Invoice'!O$2:O$801,$W118)))</f>
        <v/>
      </c>
      <c r="P118">
        <f>IF($W118="","",IF(INDEX('Per Invoice'!P$2:P$801,$W118)="","",INDEX('Per Invoice'!P$2:P$801,$W118)))</f>
        <v/>
      </c>
      <c r="Q118" s="7">
        <f>IF($W118="","",IF(INDEX('Per Invoice'!Q$2:Q$801,$W118)="","",INDEX('Per Invoice'!Q$2:Q$801,$W118)))</f>
        <v/>
      </c>
      <c r="R118" s="7">
        <f>IF($W118="","",IF(INDEX('Per Invoice'!R$2:R$801,$W118)="","",INDEX('Per Invoice'!R$2:R$801,$W118)))</f>
        <v/>
      </c>
      <c r="S118" s="7">
        <f>IF($W118="","",IF(INDEX('Per Invoice'!S$2:S$801,$W118)="","",INDEX('Per Invoice'!S$2:S$801,$W118)))</f>
        <v/>
      </c>
      <c r="T118" s="7">
        <f>IF($W118="","",IF(INDEX('Per Invoice'!T$2:T$801,$W118)="","",INDEX('Per Invoice'!T$2:T$801,$W118)))</f>
        <v/>
      </c>
      <c r="U118" s="7">
        <f>IF($W118="","",IF(INDEX('Per Invoice'!U$2:U$801,$W118)="","",INDEX('Per Invoice'!U$2:U$801,$W118)))</f>
        <v/>
      </c>
      <c r="V118" s="7">
        <f>IF($W118="","",IF(INDEX('Per Invoice'!V$2:V$801,$W118)="","",INDEX('Per Invoice'!V$2:V$801,$W118)))</f>
        <v/>
      </c>
      <c r="W118" s="16">
        <f>IFERROR(MATCH(Settings!$C$27&amp;"|"&amp;ROWS($W$2:$W118),'Per Invoice'!$X$2:$X$801,0),"")</f>
        <v/>
      </c>
    </row>
    <row r="119">
      <c r="A119">
        <f>IF($W119="","",IF(INDEX('Per Invoice'!A$2:A$801,$W119)="","",INDEX('Per Invoice'!A$2:A$801,$W119)))</f>
        <v/>
      </c>
      <c r="B119">
        <f>IF($W119="","",IF(INDEX('Per Invoice'!B$2:B$801,$W119)="","",INDEX('Per Invoice'!B$2:B$801,$W119)))</f>
        <v/>
      </c>
      <c r="C119">
        <f>IF($W119="","",IF(INDEX('Per Invoice'!C$2:C$801,$W119)="","",INDEX('Per Invoice'!C$2:C$801,$W119)))</f>
        <v/>
      </c>
      <c r="D119">
        <f>IF($W119="","",IF(INDEX('Per Invoice'!D$2:D$801,$W119)="","",INDEX('Per Invoice'!D$2:D$801,$W119)))</f>
        <v/>
      </c>
      <c r="E119">
        <f>IF($W119="","",IF(INDEX('Per Invoice'!E$2:E$801,$W119)="","",INDEX('Per Invoice'!E$2:E$801,$W119)))</f>
        <v/>
      </c>
      <c r="F119">
        <f>IF($W119="","",IF(INDEX('Per Invoice'!F$2:F$801,$W119)="","",INDEX('Per Invoice'!F$2:F$801,$W119)))</f>
        <v/>
      </c>
      <c r="G119">
        <f>IF($W119="","",IF(INDEX('Per Invoice'!G$2:G$801,$W119)="","",INDEX('Per Invoice'!G$2:G$801,$W119)))</f>
        <v/>
      </c>
      <c r="H119">
        <f>IF($W119="","",IF(INDEX('Per Invoice'!H$2:H$801,$W119)="","",INDEX('Per Invoice'!H$2:H$801,$W119)))</f>
        <v/>
      </c>
      <c r="I119">
        <f>IF($W119="","",IF(INDEX('Per Invoice'!I$2:I$801,$W119)="","",INDEX('Per Invoice'!I$2:I$801,$W119)))</f>
        <v/>
      </c>
      <c r="J119">
        <f>IF($W119="","",IF(INDEX('Per Invoice'!J$2:J$801,$W119)="","",INDEX('Per Invoice'!J$2:J$801,$W119)))</f>
        <v/>
      </c>
      <c r="K119" s="7">
        <f>IF($W119="","",IF(INDEX('Per Invoice'!K$2:K$801,$W119)="","",INDEX('Per Invoice'!K$2:K$801,$W119)))</f>
        <v/>
      </c>
      <c r="L119" s="14">
        <f>IF($W119="","",IF(INDEX('Per Invoice'!L$2:L$801,$W119)="","",INDEX('Per Invoice'!L$2:L$801,$W119)))</f>
        <v/>
      </c>
      <c r="M119">
        <f>IF($W119="","",IF(INDEX('Per Invoice'!M$2:M$801,$W119)="","",INDEX('Per Invoice'!M$2:M$801,$W119)))</f>
        <v/>
      </c>
      <c r="N119" s="7">
        <f>IF($W119="","",IF(INDEX('Per Invoice'!N$2:N$801,$W119)="","",INDEX('Per Invoice'!N$2:N$801,$W119)))</f>
        <v/>
      </c>
      <c r="O119" s="7">
        <f>IF($W119="","",IF(INDEX('Per Invoice'!O$2:O$801,$W119)="","",INDEX('Per Invoice'!O$2:O$801,$W119)))</f>
        <v/>
      </c>
      <c r="P119">
        <f>IF($W119="","",IF(INDEX('Per Invoice'!P$2:P$801,$W119)="","",INDEX('Per Invoice'!P$2:P$801,$W119)))</f>
        <v/>
      </c>
      <c r="Q119" s="7">
        <f>IF($W119="","",IF(INDEX('Per Invoice'!Q$2:Q$801,$W119)="","",INDEX('Per Invoice'!Q$2:Q$801,$W119)))</f>
        <v/>
      </c>
      <c r="R119" s="7">
        <f>IF($W119="","",IF(INDEX('Per Invoice'!R$2:R$801,$W119)="","",INDEX('Per Invoice'!R$2:R$801,$W119)))</f>
        <v/>
      </c>
      <c r="S119" s="7">
        <f>IF($W119="","",IF(INDEX('Per Invoice'!S$2:S$801,$W119)="","",INDEX('Per Invoice'!S$2:S$801,$W119)))</f>
        <v/>
      </c>
      <c r="T119" s="7">
        <f>IF($W119="","",IF(INDEX('Per Invoice'!T$2:T$801,$W119)="","",INDEX('Per Invoice'!T$2:T$801,$W119)))</f>
        <v/>
      </c>
      <c r="U119" s="7">
        <f>IF($W119="","",IF(INDEX('Per Invoice'!U$2:U$801,$W119)="","",INDEX('Per Invoice'!U$2:U$801,$W119)))</f>
        <v/>
      </c>
      <c r="V119" s="7">
        <f>IF($W119="","",IF(INDEX('Per Invoice'!V$2:V$801,$W119)="","",INDEX('Per Invoice'!V$2:V$801,$W119)))</f>
        <v/>
      </c>
      <c r="W119" s="16">
        <f>IFERROR(MATCH(Settings!$C$27&amp;"|"&amp;ROWS($W$2:$W119),'Per Invoice'!$X$2:$X$801,0),"")</f>
        <v/>
      </c>
    </row>
    <row r="120">
      <c r="A120">
        <f>IF($W120="","",IF(INDEX('Per Invoice'!A$2:A$801,$W120)="","",INDEX('Per Invoice'!A$2:A$801,$W120)))</f>
        <v/>
      </c>
      <c r="B120">
        <f>IF($W120="","",IF(INDEX('Per Invoice'!B$2:B$801,$W120)="","",INDEX('Per Invoice'!B$2:B$801,$W120)))</f>
        <v/>
      </c>
      <c r="C120">
        <f>IF($W120="","",IF(INDEX('Per Invoice'!C$2:C$801,$W120)="","",INDEX('Per Invoice'!C$2:C$801,$W120)))</f>
        <v/>
      </c>
      <c r="D120">
        <f>IF($W120="","",IF(INDEX('Per Invoice'!D$2:D$801,$W120)="","",INDEX('Per Invoice'!D$2:D$801,$W120)))</f>
        <v/>
      </c>
      <c r="E120">
        <f>IF($W120="","",IF(INDEX('Per Invoice'!E$2:E$801,$W120)="","",INDEX('Per Invoice'!E$2:E$801,$W120)))</f>
        <v/>
      </c>
      <c r="F120">
        <f>IF($W120="","",IF(INDEX('Per Invoice'!F$2:F$801,$W120)="","",INDEX('Per Invoice'!F$2:F$801,$W120)))</f>
        <v/>
      </c>
      <c r="G120">
        <f>IF($W120="","",IF(INDEX('Per Invoice'!G$2:G$801,$W120)="","",INDEX('Per Invoice'!G$2:G$801,$W120)))</f>
        <v/>
      </c>
      <c r="H120">
        <f>IF($W120="","",IF(INDEX('Per Invoice'!H$2:H$801,$W120)="","",INDEX('Per Invoice'!H$2:H$801,$W120)))</f>
        <v/>
      </c>
      <c r="I120">
        <f>IF($W120="","",IF(INDEX('Per Invoice'!I$2:I$801,$W120)="","",INDEX('Per Invoice'!I$2:I$801,$W120)))</f>
        <v/>
      </c>
      <c r="J120">
        <f>IF($W120="","",IF(INDEX('Per Invoice'!J$2:J$801,$W120)="","",INDEX('Per Invoice'!J$2:J$801,$W120)))</f>
        <v/>
      </c>
      <c r="K120" s="7">
        <f>IF($W120="","",IF(INDEX('Per Invoice'!K$2:K$801,$W120)="","",INDEX('Per Invoice'!K$2:K$801,$W120)))</f>
        <v/>
      </c>
      <c r="L120" s="14">
        <f>IF($W120="","",IF(INDEX('Per Invoice'!L$2:L$801,$W120)="","",INDEX('Per Invoice'!L$2:L$801,$W120)))</f>
        <v/>
      </c>
      <c r="M120">
        <f>IF($W120="","",IF(INDEX('Per Invoice'!M$2:M$801,$W120)="","",INDEX('Per Invoice'!M$2:M$801,$W120)))</f>
        <v/>
      </c>
      <c r="N120" s="7">
        <f>IF($W120="","",IF(INDEX('Per Invoice'!N$2:N$801,$W120)="","",INDEX('Per Invoice'!N$2:N$801,$W120)))</f>
        <v/>
      </c>
      <c r="O120" s="7">
        <f>IF($W120="","",IF(INDEX('Per Invoice'!O$2:O$801,$W120)="","",INDEX('Per Invoice'!O$2:O$801,$W120)))</f>
        <v/>
      </c>
      <c r="P120">
        <f>IF($W120="","",IF(INDEX('Per Invoice'!P$2:P$801,$W120)="","",INDEX('Per Invoice'!P$2:P$801,$W120)))</f>
        <v/>
      </c>
      <c r="Q120" s="7">
        <f>IF($W120="","",IF(INDEX('Per Invoice'!Q$2:Q$801,$W120)="","",INDEX('Per Invoice'!Q$2:Q$801,$W120)))</f>
        <v/>
      </c>
      <c r="R120" s="7">
        <f>IF($W120="","",IF(INDEX('Per Invoice'!R$2:R$801,$W120)="","",INDEX('Per Invoice'!R$2:R$801,$W120)))</f>
        <v/>
      </c>
      <c r="S120" s="7">
        <f>IF($W120="","",IF(INDEX('Per Invoice'!S$2:S$801,$W120)="","",INDEX('Per Invoice'!S$2:S$801,$W120)))</f>
        <v/>
      </c>
      <c r="T120" s="7">
        <f>IF($W120="","",IF(INDEX('Per Invoice'!T$2:T$801,$W120)="","",INDEX('Per Invoice'!T$2:T$801,$W120)))</f>
        <v/>
      </c>
      <c r="U120" s="7">
        <f>IF($W120="","",IF(INDEX('Per Invoice'!U$2:U$801,$W120)="","",INDEX('Per Invoice'!U$2:U$801,$W120)))</f>
        <v/>
      </c>
      <c r="V120" s="7">
        <f>IF($W120="","",IF(INDEX('Per Invoice'!V$2:V$801,$W120)="","",INDEX('Per Invoice'!V$2:V$801,$W120)))</f>
        <v/>
      </c>
      <c r="W120" s="16">
        <f>IFERROR(MATCH(Settings!$C$27&amp;"|"&amp;ROWS($W$2:$W120),'Per Invoice'!$X$2:$X$801,0),"")</f>
        <v/>
      </c>
    </row>
    <row r="121">
      <c r="A121">
        <f>IF($W121="","",IF(INDEX('Per Invoice'!A$2:A$801,$W121)="","",INDEX('Per Invoice'!A$2:A$801,$W121)))</f>
        <v/>
      </c>
      <c r="B121">
        <f>IF($W121="","",IF(INDEX('Per Invoice'!B$2:B$801,$W121)="","",INDEX('Per Invoice'!B$2:B$801,$W121)))</f>
        <v/>
      </c>
      <c r="C121">
        <f>IF($W121="","",IF(INDEX('Per Invoice'!C$2:C$801,$W121)="","",INDEX('Per Invoice'!C$2:C$801,$W121)))</f>
        <v/>
      </c>
      <c r="D121">
        <f>IF($W121="","",IF(INDEX('Per Invoice'!D$2:D$801,$W121)="","",INDEX('Per Invoice'!D$2:D$801,$W121)))</f>
        <v/>
      </c>
      <c r="E121">
        <f>IF($W121="","",IF(INDEX('Per Invoice'!E$2:E$801,$W121)="","",INDEX('Per Invoice'!E$2:E$801,$W121)))</f>
        <v/>
      </c>
      <c r="F121">
        <f>IF($W121="","",IF(INDEX('Per Invoice'!F$2:F$801,$W121)="","",INDEX('Per Invoice'!F$2:F$801,$W121)))</f>
        <v/>
      </c>
      <c r="G121">
        <f>IF($W121="","",IF(INDEX('Per Invoice'!G$2:G$801,$W121)="","",INDEX('Per Invoice'!G$2:G$801,$W121)))</f>
        <v/>
      </c>
      <c r="H121">
        <f>IF($W121="","",IF(INDEX('Per Invoice'!H$2:H$801,$W121)="","",INDEX('Per Invoice'!H$2:H$801,$W121)))</f>
        <v/>
      </c>
      <c r="I121">
        <f>IF($W121="","",IF(INDEX('Per Invoice'!I$2:I$801,$W121)="","",INDEX('Per Invoice'!I$2:I$801,$W121)))</f>
        <v/>
      </c>
      <c r="J121">
        <f>IF($W121="","",IF(INDEX('Per Invoice'!J$2:J$801,$W121)="","",INDEX('Per Invoice'!J$2:J$801,$W121)))</f>
        <v/>
      </c>
      <c r="K121" s="7">
        <f>IF($W121="","",IF(INDEX('Per Invoice'!K$2:K$801,$W121)="","",INDEX('Per Invoice'!K$2:K$801,$W121)))</f>
        <v/>
      </c>
      <c r="L121" s="14">
        <f>IF($W121="","",IF(INDEX('Per Invoice'!L$2:L$801,$W121)="","",INDEX('Per Invoice'!L$2:L$801,$W121)))</f>
        <v/>
      </c>
      <c r="M121">
        <f>IF($W121="","",IF(INDEX('Per Invoice'!M$2:M$801,$W121)="","",INDEX('Per Invoice'!M$2:M$801,$W121)))</f>
        <v/>
      </c>
      <c r="N121" s="7">
        <f>IF($W121="","",IF(INDEX('Per Invoice'!N$2:N$801,$W121)="","",INDEX('Per Invoice'!N$2:N$801,$W121)))</f>
        <v/>
      </c>
      <c r="O121" s="7">
        <f>IF($W121="","",IF(INDEX('Per Invoice'!O$2:O$801,$W121)="","",INDEX('Per Invoice'!O$2:O$801,$W121)))</f>
        <v/>
      </c>
      <c r="P121">
        <f>IF($W121="","",IF(INDEX('Per Invoice'!P$2:P$801,$W121)="","",INDEX('Per Invoice'!P$2:P$801,$W121)))</f>
        <v/>
      </c>
      <c r="Q121" s="7">
        <f>IF($W121="","",IF(INDEX('Per Invoice'!Q$2:Q$801,$W121)="","",INDEX('Per Invoice'!Q$2:Q$801,$W121)))</f>
        <v/>
      </c>
      <c r="R121" s="7">
        <f>IF($W121="","",IF(INDEX('Per Invoice'!R$2:R$801,$W121)="","",INDEX('Per Invoice'!R$2:R$801,$W121)))</f>
        <v/>
      </c>
      <c r="S121" s="7">
        <f>IF($W121="","",IF(INDEX('Per Invoice'!S$2:S$801,$W121)="","",INDEX('Per Invoice'!S$2:S$801,$W121)))</f>
        <v/>
      </c>
      <c r="T121" s="7">
        <f>IF($W121="","",IF(INDEX('Per Invoice'!T$2:T$801,$W121)="","",INDEX('Per Invoice'!T$2:T$801,$W121)))</f>
        <v/>
      </c>
      <c r="U121" s="7">
        <f>IF($W121="","",IF(INDEX('Per Invoice'!U$2:U$801,$W121)="","",INDEX('Per Invoice'!U$2:U$801,$W121)))</f>
        <v/>
      </c>
      <c r="V121" s="7">
        <f>IF($W121="","",IF(INDEX('Per Invoice'!V$2:V$801,$W121)="","",INDEX('Per Invoice'!V$2:V$801,$W121)))</f>
        <v/>
      </c>
      <c r="W121" s="16">
        <f>IFERROR(MATCH(Settings!$C$27&amp;"|"&amp;ROWS($W$2:$W121),'Per Invoice'!$X$2:$X$801,0),"")</f>
        <v/>
      </c>
    </row>
    <row r="122">
      <c r="A122">
        <f>IF($W122="","",IF(INDEX('Per Invoice'!A$2:A$801,$W122)="","",INDEX('Per Invoice'!A$2:A$801,$W122)))</f>
        <v/>
      </c>
      <c r="B122">
        <f>IF($W122="","",IF(INDEX('Per Invoice'!B$2:B$801,$W122)="","",INDEX('Per Invoice'!B$2:B$801,$W122)))</f>
        <v/>
      </c>
      <c r="C122">
        <f>IF($W122="","",IF(INDEX('Per Invoice'!C$2:C$801,$W122)="","",INDEX('Per Invoice'!C$2:C$801,$W122)))</f>
        <v/>
      </c>
      <c r="D122">
        <f>IF($W122="","",IF(INDEX('Per Invoice'!D$2:D$801,$W122)="","",INDEX('Per Invoice'!D$2:D$801,$W122)))</f>
        <v/>
      </c>
      <c r="E122">
        <f>IF($W122="","",IF(INDEX('Per Invoice'!E$2:E$801,$W122)="","",INDEX('Per Invoice'!E$2:E$801,$W122)))</f>
        <v/>
      </c>
      <c r="F122">
        <f>IF($W122="","",IF(INDEX('Per Invoice'!F$2:F$801,$W122)="","",INDEX('Per Invoice'!F$2:F$801,$W122)))</f>
        <v/>
      </c>
      <c r="G122">
        <f>IF($W122="","",IF(INDEX('Per Invoice'!G$2:G$801,$W122)="","",INDEX('Per Invoice'!G$2:G$801,$W122)))</f>
        <v/>
      </c>
      <c r="H122">
        <f>IF($W122="","",IF(INDEX('Per Invoice'!H$2:H$801,$W122)="","",INDEX('Per Invoice'!H$2:H$801,$W122)))</f>
        <v/>
      </c>
      <c r="I122">
        <f>IF($W122="","",IF(INDEX('Per Invoice'!I$2:I$801,$W122)="","",INDEX('Per Invoice'!I$2:I$801,$W122)))</f>
        <v/>
      </c>
      <c r="J122">
        <f>IF($W122="","",IF(INDEX('Per Invoice'!J$2:J$801,$W122)="","",INDEX('Per Invoice'!J$2:J$801,$W122)))</f>
        <v/>
      </c>
      <c r="K122" s="7">
        <f>IF($W122="","",IF(INDEX('Per Invoice'!K$2:K$801,$W122)="","",INDEX('Per Invoice'!K$2:K$801,$W122)))</f>
        <v/>
      </c>
      <c r="L122" s="14">
        <f>IF($W122="","",IF(INDEX('Per Invoice'!L$2:L$801,$W122)="","",INDEX('Per Invoice'!L$2:L$801,$W122)))</f>
        <v/>
      </c>
      <c r="M122">
        <f>IF($W122="","",IF(INDEX('Per Invoice'!M$2:M$801,$W122)="","",INDEX('Per Invoice'!M$2:M$801,$W122)))</f>
        <v/>
      </c>
      <c r="N122" s="7">
        <f>IF($W122="","",IF(INDEX('Per Invoice'!N$2:N$801,$W122)="","",INDEX('Per Invoice'!N$2:N$801,$W122)))</f>
        <v/>
      </c>
      <c r="O122" s="7">
        <f>IF($W122="","",IF(INDEX('Per Invoice'!O$2:O$801,$W122)="","",INDEX('Per Invoice'!O$2:O$801,$W122)))</f>
        <v/>
      </c>
      <c r="P122">
        <f>IF($W122="","",IF(INDEX('Per Invoice'!P$2:P$801,$W122)="","",INDEX('Per Invoice'!P$2:P$801,$W122)))</f>
        <v/>
      </c>
      <c r="Q122" s="7">
        <f>IF($W122="","",IF(INDEX('Per Invoice'!Q$2:Q$801,$W122)="","",INDEX('Per Invoice'!Q$2:Q$801,$W122)))</f>
        <v/>
      </c>
      <c r="R122" s="7">
        <f>IF($W122="","",IF(INDEX('Per Invoice'!R$2:R$801,$W122)="","",INDEX('Per Invoice'!R$2:R$801,$W122)))</f>
        <v/>
      </c>
      <c r="S122" s="7">
        <f>IF($W122="","",IF(INDEX('Per Invoice'!S$2:S$801,$W122)="","",INDEX('Per Invoice'!S$2:S$801,$W122)))</f>
        <v/>
      </c>
      <c r="T122" s="7">
        <f>IF($W122="","",IF(INDEX('Per Invoice'!T$2:T$801,$W122)="","",INDEX('Per Invoice'!T$2:T$801,$W122)))</f>
        <v/>
      </c>
      <c r="U122" s="7">
        <f>IF($W122="","",IF(INDEX('Per Invoice'!U$2:U$801,$W122)="","",INDEX('Per Invoice'!U$2:U$801,$W122)))</f>
        <v/>
      </c>
      <c r="V122" s="7">
        <f>IF($W122="","",IF(INDEX('Per Invoice'!V$2:V$801,$W122)="","",INDEX('Per Invoice'!V$2:V$801,$W122)))</f>
        <v/>
      </c>
      <c r="W122" s="16">
        <f>IFERROR(MATCH(Settings!$C$27&amp;"|"&amp;ROWS($W$2:$W122),'Per Invoice'!$X$2:$X$801,0),"")</f>
        <v/>
      </c>
    </row>
    <row r="123">
      <c r="A123">
        <f>IF($W123="","",IF(INDEX('Per Invoice'!A$2:A$801,$W123)="","",INDEX('Per Invoice'!A$2:A$801,$W123)))</f>
        <v/>
      </c>
      <c r="B123">
        <f>IF($W123="","",IF(INDEX('Per Invoice'!B$2:B$801,$W123)="","",INDEX('Per Invoice'!B$2:B$801,$W123)))</f>
        <v/>
      </c>
      <c r="C123">
        <f>IF($W123="","",IF(INDEX('Per Invoice'!C$2:C$801,$W123)="","",INDEX('Per Invoice'!C$2:C$801,$W123)))</f>
        <v/>
      </c>
      <c r="D123">
        <f>IF($W123="","",IF(INDEX('Per Invoice'!D$2:D$801,$W123)="","",INDEX('Per Invoice'!D$2:D$801,$W123)))</f>
        <v/>
      </c>
      <c r="E123">
        <f>IF($W123="","",IF(INDEX('Per Invoice'!E$2:E$801,$W123)="","",INDEX('Per Invoice'!E$2:E$801,$W123)))</f>
        <v/>
      </c>
      <c r="F123">
        <f>IF($W123="","",IF(INDEX('Per Invoice'!F$2:F$801,$W123)="","",INDEX('Per Invoice'!F$2:F$801,$W123)))</f>
        <v/>
      </c>
      <c r="G123">
        <f>IF($W123="","",IF(INDEX('Per Invoice'!G$2:G$801,$W123)="","",INDEX('Per Invoice'!G$2:G$801,$W123)))</f>
        <v/>
      </c>
      <c r="H123">
        <f>IF($W123="","",IF(INDEX('Per Invoice'!H$2:H$801,$W123)="","",INDEX('Per Invoice'!H$2:H$801,$W123)))</f>
        <v/>
      </c>
      <c r="I123">
        <f>IF($W123="","",IF(INDEX('Per Invoice'!I$2:I$801,$W123)="","",INDEX('Per Invoice'!I$2:I$801,$W123)))</f>
        <v/>
      </c>
      <c r="J123">
        <f>IF($W123="","",IF(INDEX('Per Invoice'!J$2:J$801,$W123)="","",INDEX('Per Invoice'!J$2:J$801,$W123)))</f>
        <v/>
      </c>
      <c r="K123" s="7">
        <f>IF($W123="","",IF(INDEX('Per Invoice'!K$2:K$801,$W123)="","",INDEX('Per Invoice'!K$2:K$801,$W123)))</f>
        <v/>
      </c>
      <c r="L123" s="14">
        <f>IF($W123="","",IF(INDEX('Per Invoice'!L$2:L$801,$W123)="","",INDEX('Per Invoice'!L$2:L$801,$W123)))</f>
        <v/>
      </c>
      <c r="M123">
        <f>IF($W123="","",IF(INDEX('Per Invoice'!M$2:M$801,$W123)="","",INDEX('Per Invoice'!M$2:M$801,$W123)))</f>
        <v/>
      </c>
      <c r="N123" s="7">
        <f>IF($W123="","",IF(INDEX('Per Invoice'!N$2:N$801,$W123)="","",INDEX('Per Invoice'!N$2:N$801,$W123)))</f>
        <v/>
      </c>
      <c r="O123" s="7">
        <f>IF($W123="","",IF(INDEX('Per Invoice'!O$2:O$801,$W123)="","",INDEX('Per Invoice'!O$2:O$801,$W123)))</f>
        <v/>
      </c>
      <c r="P123">
        <f>IF($W123="","",IF(INDEX('Per Invoice'!P$2:P$801,$W123)="","",INDEX('Per Invoice'!P$2:P$801,$W123)))</f>
        <v/>
      </c>
      <c r="Q123" s="7">
        <f>IF($W123="","",IF(INDEX('Per Invoice'!Q$2:Q$801,$W123)="","",INDEX('Per Invoice'!Q$2:Q$801,$W123)))</f>
        <v/>
      </c>
      <c r="R123" s="7">
        <f>IF($W123="","",IF(INDEX('Per Invoice'!R$2:R$801,$W123)="","",INDEX('Per Invoice'!R$2:R$801,$W123)))</f>
        <v/>
      </c>
      <c r="S123" s="7">
        <f>IF($W123="","",IF(INDEX('Per Invoice'!S$2:S$801,$W123)="","",INDEX('Per Invoice'!S$2:S$801,$W123)))</f>
        <v/>
      </c>
      <c r="T123" s="7">
        <f>IF($W123="","",IF(INDEX('Per Invoice'!T$2:T$801,$W123)="","",INDEX('Per Invoice'!T$2:T$801,$W123)))</f>
        <v/>
      </c>
      <c r="U123" s="7">
        <f>IF($W123="","",IF(INDEX('Per Invoice'!U$2:U$801,$W123)="","",INDEX('Per Invoice'!U$2:U$801,$W123)))</f>
        <v/>
      </c>
      <c r="V123" s="7">
        <f>IF($W123="","",IF(INDEX('Per Invoice'!V$2:V$801,$W123)="","",INDEX('Per Invoice'!V$2:V$801,$W123)))</f>
        <v/>
      </c>
      <c r="W123" s="16">
        <f>IFERROR(MATCH(Settings!$C$27&amp;"|"&amp;ROWS($W$2:$W123),'Per Invoice'!$X$2:$X$801,0),"")</f>
        <v/>
      </c>
    </row>
    <row r="124">
      <c r="A124">
        <f>IF($W124="","",IF(INDEX('Per Invoice'!A$2:A$801,$W124)="","",INDEX('Per Invoice'!A$2:A$801,$W124)))</f>
        <v/>
      </c>
      <c r="B124">
        <f>IF($W124="","",IF(INDEX('Per Invoice'!B$2:B$801,$W124)="","",INDEX('Per Invoice'!B$2:B$801,$W124)))</f>
        <v/>
      </c>
      <c r="C124">
        <f>IF($W124="","",IF(INDEX('Per Invoice'!C$2:C$801,$W124)="","",INDEX('Per Invoice'!C$2:C$801,$W124)))</f>
        <v/>
      </c>
      <c r="D124">
        <f>IF($W124="","",IF(INDEX('Per Invoice'!D$2:D$801,$W124)="","",INDEX('Per Invoice'!D$2:D$801,$W124)))</f>
        <v/>
      </c>
      <c r="E124">
        <f>IF($W124="","",IF(INDEX('Per Invoice'!E$2:E$801,$W124)="","",INDEX('Per Invoice'!E$2:E$801,$W124)))</f>
        <v/>
      </c>
      <c r="F124">
        <f>IF($W124="","",IF(INDEX('Per Invoice'!F$2:F$801,$W124)="","",INDEX('Per Invoice'!F$2:F$801,$W124)))</f>
        <v/>
      </c>
      <c r="G124">
        <f>IF($W124="","",IF(INDEX('Per Invoice'!G$2:G$801,$W124)="","",INDEX('Per Invoice'!G$2:G$801,$W124)))</f>
        <v/>
      </c>
      <c r="H124">
        <f>IF($W124="","",IF(INDEX('Per Invoice'!H$2:H$801,$W124)="","",INDEX('Per Invoice'!H$2:H$801,$W124)))</f>
        <v/>
      </c>
      <c r="I124">
        <f>IF($W124="","",IF(INDEX('Per Invoice'!I$2:I$801,$W124)="","",INDEX('Per Invoice'!I$2:I$801,$W124)))</f>
        <v/>
      </c>
      <c r="J124">
        <f>IF($W124="","",IF(INDEX('Per Invoice'!J$2:J$801,$W124)="","",INDEX('Per Invoice'!J$2:J$801,$W124)))</f>
        <v/>
      </c>
      <c r="K124" s="7">
        <f>IF($W124="","",IF(INDEX('Per Invoice'!K$2:K$801,$W124)="","",INDEX('Per Invoice'!K$2:K$801,$W124)))</f>
        <v/>
      </c>
      <c r="L124" s="14">
        <f>IF($W124="","",IF(INDEX('Per Invoice'!L$2:L$801,$W124)="","",INDEX('Per Invoice'!L$2:L$801,$W124)))</f>
        <v/>
      </c>
      <c r="M124">
        <f>IF($W124="","",IF(INDEX('Per Invoice'!M$2:M$801,$W124)="","",INDEX('Per Invoice'!M$2:M$801,$W124)))</f>
        <v/>
      </c>
      <c r="N124" s="7">
        <f>IF($W124="","",IF(INDEX('Per Invoice'!N$2:N$801,$W124)="","",INDEX('Per Invoice'!N$2:N$801,$W124)))</f>
        <v/>
      </c>
      <c r="O124" s="7">
        <f>IF($W124="","",IF(INDEX('Per Invoice'!O$2:O$801,$W124)="","",INDEX('Per Invoice'!O$2:O$801,$W124)))</f>
        <v/>
      </c>
      <c r="P124">
        <f>IF($W124="","",IF(INDEX('Per Invoice'!P$2:P$801,$W124)="","",INDEX('Per Invoice'!P$2:P$801,$W124)))</f>
        <v/>
      </c>
      <c r="Q124" s="7">
        <f>IF($W124="","",IF(INDEX('Per Invoice'!Q$2:Q$801,$W124)="","",INDEX('Per Invoice'!Q$2:Q$801,$W124)))</f>
        <v/>
      </c>
      <c r="R124" s="7">
        <f>IF($W124="","",IF(INDEX('Per Invoice'!R$2:R$801,$W124)="","",INDEX('Per Invoice'!R$2:R$801,$W124)))</f>
        <v/>
      </c>
      <c r="S124" s="7">
        <f>IF($W124="","",IF(INDEX('Per Invoice'!S$2:S$801,$W124)="","",INDEX('Per Invoice'!S$2:S$801,$W124)))</f>
        <v/>
      </c>
      <c r="T124" s="7">
        <f>IF($W124="","",IF(INDEX('Per Invoice'!T$2:T$801,$W124)="","",INDEX('Per Invoice'!T$2:T$801,$W124)))</f>
        <v/>
      </c>
      <c r="U124" s="7">
        <f>IF($W124="","",IF(INDEX('Per Invoice'!U$2:U$801,$W124)="","",INDEX('Per Invoice'!U$2:U$801,$W124)))</f>
        <v/>
      </c>
      <c r="V124" s="7">
        <f>IF($W124="","",IF(INDEX('Per Invoice'!V$2:V$801,$W124)="","",INDEX('Per Invoice'!V$2:V$801,$W124)))</f>
        <v/>
      </c>
      <c r="W124" s="16">
        <f>IFERROR(MATCH(Settings!$C$27&amp;"|"&amp;ROWS($W$2:$W124),'Per Invoice'!$X$2:$X$801,0),"")</f>
        <v/>
      </c>
    </row>
    <row r="125">
      <c r="A125">
        <f>IF($W125="","",IF(INDEX('Per Invoice'!A$2:A$801,$W125)="","",INDEX('Per Invoice'!A$2:A$801,$W125)))</f>
        <v/>
      </c>
      <c r="B125">
        <f>IF($W125="","",IF(INDEX('Per Invoice'!B$2:B$801,$W125)="","",INDEX('Per Invoice'!B$2:B$801,$W125)))</f>
        <v/>
      </c>
      <c r="C125">
        <f>IF($W125="","",IF(INDEX('Per Invoice'!C$2:C$801,$W125)="","",INDEX('Per Invoice'!C$2:C$801,$W125)))</f>
        <v/>
      </c>
      <c r="D125">
        <f>IF($W125="","",IF(INDEX('Per Invoice'!D$2:D$801,$W125)="","",INDEX('Per Invoice'!D$2:D$801,$W125)))</f>
        <v/>
      </c>
      <c r="E125">
        <f>IF($W125="","",IF(INDEX('Per Invoice'!E$2:E$801,$W125)="","",INDEX('Per Invoice'!E$2:E$801,$W125)))</f>
        <v/>
      </c>
      <c r="F125">
        <f>IF($W125="","",IF(INDEX('Per Invoice'!F$2:F$801,$W125)="","",INDEX('Per Invoice'!F$2:F$801,$W125)))</f>
        <v/>
      </c>
      <c r="G125">
        <f>IF($W125="","",IF(INDEX('Per Invoice'!G$2:G$801,$W125)="","",INDEX('Per Invoice'!G$2:G$801,$W125)))</f>
        <v/>
      </c>
      <c r="H125">
        <f>IF($W125="","",IF(INDEX('Per Invoice'!H$2:H$801,$W125)="","",INDEX('Per Invoice'!H$2:H$801,$W125)))</f>
        <v/>
      </c>
      <c r="I125">
        <f>IF($W125="","",IF(INDEX('Per Invoice'!I$2:I$801,$W125)="","",INDEX('Per Invoice'!I$2:I$801,$W125)))</f>
        <v/>
      </c>
      <c r="J125">
        <f>IF($W125="","",IF(INDEX('Per Invoice'!J$2:J$801,$W125)="","",INDEX('Per Invoice'!J$2:J$801,$W125)))</f>
        <v/>
      </c>
      <c r="K125" s="7">
        <f>IF($W125="","",IF(INDEX('Per Invoice'!K$2:K$801,$W125)="","",INDEX('Per Invoice'!K$2:K$801,$W125)))</f>
        <v/>
      </c>
      <c r="L125" s="14">
        <f>IF($W125="","",IF(INDEX('Per Invoice'!L$2:L$801,$W125)="","",INDEX('Per Invoice'!L$2:L$801,$W125)))</f>
        <v/>
      </c>
      <c r="M125">
        <f>IF($W125="","",IF(INDEX('Per Invoice'!M$2:M$801,$W125)="","",INDEX('Per Invoice'!M$2:M$801,$W125)))</f>
        <v/>
      </c>
      <c r="N125" s="7">
        <f>IF($W125="","",IF(INDEX('Per Invoice'!N$2:N$801,$W125)="","",INDEX('Per Invoice'!N$2:N$801,$W125)))</f>
        <v/>
      </c>
      <c r="O125" s="7">
        <f>IF($W125="","",IF(INDEX('Per Invoice'!O$2:O$801,$W125)="","",INDEX('Per Invoice'!O$2:O$801,$W125)))</f>
        <v/>
      </c>
      <c r="P125">
        <f>IF($W125="","",IF(INDEX('Per Invoice'!P$2:P$801,$W125)="","",INDEX('Per Invoice'!P$2:P$801,$W125)))</f>
        <v/>
      </c>
      <c r="Q125" s="7">
        <f>IF($W125="","",IF(INDEX('Per Invoice'!Q$2:Q$801,$W125)="","",INDEX('Per Invoice'!Q$2:Q$801,$W125)))</f>
        <v/>
      </c>
      <c r="R125" s="7">
        <f>IF($W125="","",IF(INDEX('Per Invoice'!R$2:R$801,$W125)="","",INDEX('Per Invoice'!R$2:R$801,$W125)))</f>
        <v/>
      </c>
      <c r="S125" s="7">
        <f>IF($W125="","",IF(INDEX('Per Invoice'!S$2:S$801,$W125)="","",INDEX('Per Invoice'!S$2:S$801,$W125)))</f>
        <v/>
      </c>
      <c r="T125" s="7">
        <f>IF($W125="","",IF(INDEX('Per Invoice'!T$2:T$801,$W125)="","",INDEX('Per Invoice'!T$2:T$801,$W125)))</f>
        <v/>
      </c>
      <c r="U125" s="7">
        <f>IF($W125="","",IF(INDEX('Per Invoice'!U$2:U$801,$W125)="","",INDEX('Per Invoice'!U$2:U$801,$W125)))</f>
        <v/>
      </c>
      <c r="V125" s="7">
        <f>IF($W125="","",IF(INDEX('Per Invoice'!V$2:V$801,$W125)="","",INDEX('Per Invoice'!V$2:V$801,$W125)))</f>
        <v/>
      </c>
      <c r="W125" s="16">
        <f>IFERROR(MATCH(Settings!$C$27&amp;"|"&amp;ROWS($W$2:$W125),'Per Invoice'!$X$2:$X$801,0),"")</f>
        <v/>
      </c>
    </row>
    <row r="126">
      <c r="A126">
        <f>IF($W126="","",IF(INDEX('Per Invoice'!A$2:A$801,$W126)="","",INDEX('Per Invoice'!A$2:A$801,$W126)))</f>
        <v/>
      </c>
      <c r="B126">
        <f>IF($W126="","",IF(INDEX('Per Invoice'!B$2:B$801,$W126)="","",INDEX('Per Invoice'!B$2:B$801,$W126)))</f>
        <v/>
      </c>
      <c r="C126">
        <f>IF($W126="","",IF(INDEX('Per Invoice'!C$2:C$801,$W126)="","",INDEX('Per Invoice'!C$2:C$801,$W126)))</f>
        <v/>
      </c>
      <c r="D126">
        <f>IF($W126="","",IF(INDEX('Per Invoice'!D$2:D$801,$W126)="","",INDEX('Per Invoice'!D$2:D$801,$W126)))</f>
        <v/>
      </c>
      <c r="E126">
        <f>IF($W126="","",IF(INDEX('Per Invoice'!E$2:E$801,$W126)="","",INDEX('Per Invoice'!E$2:E$801,$W126)))</f>
        <v/>
      </c>
      <c r="F126">
        <f>IF($W126="","",IF(INDEX('Per Invoice'!F$2:F$801,$W126)="","",INDEX('Per Invoice'!F$2:F$801,$W126)))</f>
        <v/>
      </c>
      <c r="G126">
        <f>IF($W126="","",IF(INDEX('Per Invoice'!G$2:G$801,$W126)="","",INDEX('Per Invoice'!G$2:G$801,$W126)))</f>
        <v/>
      </c>
      <c r="H126">
        <f>IF($W126="","",IF(INDEX('Per Invoice'!H$2:H$801,$W126)="","",INDEX('Per Invoice'!H$2:H$801,$W126)))</f>
        <v/>
      </c>
      <c r="I126">
        <f>IF($W126="","",IF(INDEX('Per Invoice'!I$2:I$801,$W126)="","",INDEX('Per Invoice'!I$2:I$801,$W126)))</f>
        <v/>
      </c>
      <c r="J126">
        <f>IF($W126="","",IF(INDEX('Per Invoice'!J$2:J$801,$W126)="","",INDEX('Per Invoice'!J$2:J$801,$W126)))</f>
        <v/>
      </c>
      <c r="K126" s="7">
        <f>IF($W126="","",IF(INDEX('Per Invoice'!K$2:K$801,$W126)="","",INDEX('Per Invoice'!K$2:K$801,$W126)))</f>
        <v/>
      </c>
      <c r="L126" s="14">
        <f>IF($W126="","",IF(INDEX('Per Invoice'!L$2:L$801,$W126)="","",INDEX('Per Invoice'!L$2:L$801,$W126)))</f>
        <v/>
      </c>
      <c r="M126">
        <f>IF($W126="","",IF(INDEX('Per Invoice'!M$2:M$801,$W126)="","",INDEX('Per Invoice'!M$2:M$801,$W126)))</f>
        <v/>
      </c>
      <c r="N126" s="7">
        <f>IF($W126="","",IF(INDEX('Per Invoice'!N$2:N$801,$W126)="","",INDEX('Per Invoice'!N$2:N$801,$W126)))</f>
        <v/>
      </c>
      <c r="O126" s="7">
        <f>IF($W126="","",IF(INDEX('Per Invoice'!O$2:O$801,$W126)="","",INDEX('Per Invoice'!O$2:O$801,$W126)))</f>
        <v/>
      </c>
      <c r="P126">
        <f>IF($W126="","",IF(INDEX('Per Invoice'!P$2:P$801,$W126)="","",INDEX('Per Invoice'!P$2:P$801,$W126)))</f>
        <v/>
      </c>
      <c r="Q126" s="7">
        <f>IF($W126="","",IF(INDEX('Per Invoice'!Q$2:Q$801,$W126)="","",INDEX('Per Invoice'!Q$2:Q$801,$W126)))</f>
        <v/>
      </c>
      <c r="R126" s="7">
        <f>IF($W126="","",IF(INDEX('Per Invoice'!R$2:R$801,$W126)="","",INDEX('Per Invoice'!R$2:R$801,$W126)))</f>
        <v/>
      </c>
      <c r="S126" s="7">
        <f>IF($W126="","",IF(INDEX('Per Invoice'!S$2:S$801,$W126)="","",INDEX('Per Invoice'!S$2:S$801,$W126)))</f>
        <v/>
      </c>
      <c r="T126" s="7">
        <f>IF($W126="","",IF(INDEX('Per Invoice'!T$2:T$801,$W126)="","",INDEX('Per Invoice'!T$2:T$801,$W126)))</f>
        <v/>
      </c>
      <c r="U126" s="7">
        <f>IF($W126="","",IF(INDEX('Per Invoice'!U$2:U$801,$W126)="","",INDEX('Per Invoice'!U$2:U$801,$W126)))</f>
        <v/>
      </c>
      <c r="V126" s="7">
        <f>IF($W126="","",IF(INDEX('Per Invoice'!V$2:V$801,$W126)="","",INDEX('Per Invoice'!V$2:V$801,$W126)))</f>
        <v/>
      </c>
      <c r="W126" s="16">
        <f>IFERROR(MATCH(Settings!$C$27&amp;"|"&amp;ROWS($W$2:$W126),'Per Invoice'!$X$2:$X$801,0),"")</f>
        <v/>
      </c>
    </row>
    <row r="127">
      <c r="A127">
        <f>IF($W127="","",IF(INDEX('Per Invoice'!A$2:A$801,$W127)="","",INDEX('Per Invoice'!A$2:A$801,$W127)))</f>
        <v/>
      </c>
      <c r="B127">
        <f>IF($W127="","",IF(INDEX('Per Invoice'!B$2:B$801,$W127)="","",INDEX('Per Invoice'!B$2:B$801,$W127)))</f>
        <v/>
      </c>
      <c r="C127">
        <f>IF($W127="","",IF(INDEX('Per Invoice'!C$2:C$801,$W127)="","",INDEX('Per Invoice'!C$2:C$801,$W127)))</f>
        <v/>
      </c>
      <c r="D127">
        <f>IF($W127="","",IF(INDEX('Per Invoice'!D$2:D$801,$W127)="","",INDEX('Per Invoice'!D$2:D$801,$W127)))</f>
        <v/>
      </c>
      <c r="E127">
        <f>IF($W127="","",IF(INDEX('Per Invoice'!E$2:E$801,$W127)="","",INDEX('Per Invoice'!E$2:E$801,$W127)))</f>
        <v/>
      </c>
      <c r="F127">
        <f>IF($W127="","",IF(INDEX('Per Invoice'!F$2:F$801,$W127)="","",INDEX('Per Invoice'!F$2:F$801,$W127)))</f>
        <v/>
      </c>
      <c r="G127">
        <f>IF($W127="","",IF(INDEX('Per Invoice'!G$2:G$801,$W127)="","",INDEX('Per Invoice'!G$2:G$801,$W127)))</f>
        <v/>
      </c>
      <c r="H127">
        <f>IF($W127="","",IF(INDEX('Per Invoice'!H$2:H$801,$W127)="","",INDEX('Per Invoice'!H$2:H$801,$W127)))</f>
        <v/>
      </c>
      <c r="I127">
        <f>IF($W127="","",IF(INDEX('Per Invoice'!I$2:I$801,$W127)="","",INDEX('Per Invoice'!I$2:I$801,$W127)))</f>
        <v/>
      </c>
      <c r="J127">
        <f>IF($W127="","",IF(INDEX('Per Invoice'!J$2:J$801,$W127)="","",INDEX('Per Invoice'!J$2:J$801,$W127)))</f>
        <v/>
      </c>
      <c r="K127" s="7">
        <f>IF($W127="","",IF(INDEX('Per Invoice'!K$2:K$801,$W127)="","",INDEX('Per Invoice'!K$2:K$801,$W127)))</f>
        <v/>
      </c>
      <c r="L127" s="14">
        <f>IF($W127="","",IF(INDEX('Per Invoice'!L$2:L$801,$W127)="","",INDEX('Per Invoice'!L$2:L$801,$W127)))</f>
        <v/>
      </c>
      <c r="M127">
        <f>IF($W127="","",IF(INDEX('Per Invoice'!M$2:M$801,$W127)="","",INDEX('Per Invoice'!M$2:M$801,$W127)))</f>
        <v/>
      </c>
      <c r="N127" s="7">
        <f>IF($W127="","",IF(INDEX('Per Invoice'!N$2:N$801,$W127)="","",INDEX('Per Invoice'!N$2:N$801,$W127)))</f>
        <v/>
      </c>
      <c r="O127" s="7">
        <f>IF($W127="","",IF(INDEX('Per Invoice'!O$2:O$801,$W127)="","",INDEX('Per Invoice'!O$2:O$801,$W127)))</f>
        <v/>
      </c>
      <c r="P127">
        <f>IF($W127="","",IF(INDEX('Per Invoice'!P$2:P$801,$W127)="","",INDEX('Per Invoice'!P$2:P$801,$W127)))</f>
        <v/>
      </c>
      <c r="Q127" s="7">
        <f>IF($W127="","",IF(INDEX('Per Invoice'!Q$2:Q$801,$W127)="","",INDEX('Per Invoice'!Q$2:Q$801,$W127)))</f>
        <v/>
      </c>
      <c r="R127" s="7">
        <f>IF($W127="","",IF(INDEX('Per Invoice'!R$2:R$801,$W127)="","",INDEX('Per Invoice'!R$2:R$801,$W127)))</f>
        <v/>
      </c>
      <c r="S127" s="7">
        <f>IF($W127="","",IF(INDEX('Per Invoice'!S$2:S$801,$W127)="","",INDEX('Per Invoice'!S$2:S$801,$W127)))</f>
        <v/>
      </c>
      <c r="T127" s="7">
        <f>IF($W127="","",IF(INDEX('Per Invoice'!T$2:T$801,$W127)="","",INDEX('Per Invoice'!T$2:T$801,$W127)))</f>
        <v/>
      </c>
      <c r="U127" s="7">
        <f>IF($W127="","",IF(INDEX('Per Invoice'!U$2:U$801,$W127)="","",INDEX('Per Invoice'!U$2:U$801,$W127)))</f>
        <v/>
      </c>
      <c r="V127" s="7">
        <f>IF($W127="","",IF(INDEX('Per Invoice'!V$2:V$801,$W127)="","",INDEX('Per Invoice'!V$2:V$801,$W127)))</f>
        <v/>
      </c>
      <c r="W127" s="16">
        <f>IFERROR(MATCH(Settings!$C$27&amp;"|"&amp;ROWS($W$2:$W127),'Per Invoice'!$X$2:$X$801,0),"")</f>
        <v/>
      </c>
    </row>
    <row r="128">
      <c r="A128">
        <f>IF($W128="","",IF(INDEX('Per Invoice'!A$2:A$801,$W128)="","",INDEX('Per Invoice'!A$2:A$801,$W128)))</f>
        <v/>
      </c>
      <c r="B128">
        <f>IF($W128="","",IF(INDEX('Per Invoice'!B$2:B$801,$W128)="","",INDEX('Per Invoice'!B$2:B$801,$W128)))</f>
        <v/>
      </c>
      <c r="C128">
        <f>IF($W128="","",IF(INDEX('Per Invoice'!C$2:C$801,$W128)="","",INDEX('Per Invoice'!C$2:C$801,$W128)))</f>
        <v/>
      </c>
      <c r="D128">
        <f>IF($W128="","",IF(INDEX('Per Invoice'!D$2:D$801,$W128)="","",INDEX('Per Invoice'!D$2:D$801,$W128)))</f>
        <v/>
      </c>
      <c r="E128">
        <f>IF($W128="","",IF(INDEX('Per Invoice'!E$2:E$801,$W128)="","",INDEX('Per Invoice'!E$2:E$801,$W128)))</f>
        <v/>
      </c>
      <c r="F128">
        <f>IF($W128="","",IF(INDEX('Per Invoice'!F$2:F$801,$W128)="","",INDEX('Per Invoice'!F$2:F$801,$W128)))</f>
        <v/>
      </c>
      <c r="G128">
        <f>IF($W128="","",IF(INDEX('Per Invoice'!G$2:G$801,$W128)="","",INDEX('Per Invoice'!G$2:G$801,$W128)))</f>
        <v/>
      </c>
      <c r="H128">
        <f>IF($W128="","",IF(INDEX('Per Invoice'!H$2:H$801,$W128)="","",INDEX('Per Invoice'!H$2:H$801,$W128)))</f>
        <v/>
      </c>
      <c r="I128">
        <f>IF($W128="","",IF(INDEX('Per Invoice'!I$2:I$801,$W128)="","",INDEX('Per Invoice'!I$2:I$801,$W128)))</f>
        <v/>
      </c>
      <c r="J128">
        <f>IF($W128="","",IF(INDEX('Per Invoice'!J$2:J$801,$W128)="","",INDEX('Per Invoice'!J$2:J$801,$W128)))</f>
        <v/>
      </c>
      <c r="K128" s="7">
        <f>IF($W128="","",IF(INDEX('Per Invoice'!K$2:K$801,$W128)="","",INDEX('Per Invoice'!K$2:K$801,$W128)))</f>
        <v/>
      </c>
      <c r="L128" s="14">
        <f>IF($W128="","",IF(INDEX('Per Invoice'!L$2:L$801,$W128)="","",INDEX('Per Invoice'!L$2:L$801,$W128)))</f>
        <v/>
      </c>
      <c r="M128">
        <f>IF($W128="","",IF(INDEX('Per Invoice'!M$2:M$801,$W128)="","",INDEX('Per Invoice'!M$2:M$801,$W128)))</f>
        <v/>
      </c>
      <c r="N128" s="7">
        <f>IF($W128="","",IF(INDEX('Per Invoice'!N$2:N$801,$W128)="","",INDEX('Per Invoice'!N$2:N$801,$W128)))</f>
        <v/>
      </c>
      <c r="O128" s="7">
        <f>IF($W128="","",IF(INDEX('Per Invoice'!O$2:O$801,$W128)="","",INDEX('Per Invoice'!O$2:O$801,$W128)))</f>
        <v/>
      </c>
      <c r="P128">
        <f>IF($W128="","",IF(INDEX('Per Invoice'!P$2:P$801,$W128)="","",INDEX('Per Invoice'!P$2:P$801,$W128)))</f>
        <v/>
      </c>
      <c r="Q128" s="7">
        <f>IF($W128="","",IF(INDEX('Per Invoice'!Q$2:Q$801,$W128)="","",INDEX('Per Invoice'!Q$2:Q$801,$W128)))</f>
        <v/>
      </c>
      <c r="R128" s="7">
        <f>IF($W128="","",IF(INDEX('Per Invoice'!R$2:R$801,$W128)="","",INDEX('Per Invoice'!R$2:R$801,$W128)))</f>
        <v/>
      </c>
      <c r="S128" s="7">
        <f>IF($W128="","",IF(INDEX('Per Invoice'!S$2:S$801,$W128)="","",INDEX('Per Invoice'!S$2:S$801,$W128)))</f>
        <v/>
      </c>
      <c r="T128" s="7">
        <f>IF($W128="","",IF(INDEX('Per Invoice'!T$2:T$801,$W128)="","",INDEX('Per Invoice'!T$2:T$801,$W128)))</f>
        <v/>
      </c>
      <c r="U128" s="7">
        <f>IF($W128="","",IF(INDEX('Per Invoice'!U$2:U$801,$W128)="","",INDEX('Per Invoice'!U$2:U$801,$W128)))</f>
        <v/>
      </c>
      <c r="V128" s="7">
        <f>IF($W128="","",IF(INDEX('Per Invoice'!V$2:V$801,$W128)="","",INDEX('Per Invoice'!V$2:V$801,$W128)))</f>
        <v/>
      </c>
      <c r="W128" s="16">
        <f>IFERROR(MATCH(Settings!$C$27&amp;"|"&amp;ROWS($W$2:$W128),'Per Invoice'!$X$2:$X$801,0),"")</f>
        <v/>
      </c>
    </row>
    <row r="129">
      <c r="A129">
        <f>IF($W129="","",IF(INDEX('Per Invoice'!A$2:A$801,$W129)="","",INDEX('Per Invoice'!A$2:A$801,$W129)))</f>
        <v/>
      </c>
      <c r="B129">
        <f>IF($W129="","",IF(INDEX('Per Invoice'!B$2:B$801,$W129)="","",INDEX('Per Invoice'!B$2:B$801,$W129)))</f>
        <v/>
      </c>
      <c r="C129">
        <f>IF($W129="","",IF(INDEX('Per Invoice'!C$2:C$801,$W129)="","",INDEX('Per Invoice'!C$2:C$801,$W129)))</f>
        <v/>
      </c>
      <c r="D129">
        <f>IF($W129="","",IF(INDEX('Per Invoice'!D$2:D$801,$W129)="","",INDEX('Per Invoice'!D$2:D$801,$W129)))</f>
        <v/>
      </c>
      <c r="E129">
        <f>IF($W129="","",IF(INDEX('Per Invoice'!E$2:E$801,$W129)="","",INDEX('Per Invoice'!E$2:E$801,$W129)))</f>
        <v/>
      </c>
      <c r="F129">
        <f>IF($W129="","",IF(INDEX('Per Invoice'!F$2:F$801,$W129)="","",INDEX('Per Invoice'!F$2:F$801,$W129)))</f>
        <v/>
      </c>
      <c r="G129">
        <f>IF($W129="","",IF(INDEX('Per Invoice'!G$2:G$801,$W129)="","",INDEX('Per Invoice'!G$2:G$801,$W129)))</f>
        <v/>
      </c>
      <c r="H129">
        <f>IF($W129="","",IF(INDEX('Per Invoice'!H$2:H$801,$W129)="","",INDEX('Per Invoice'!H$2:H$801,$W129)))</f>
        <v/>
      </c>
      <c r="I129">
        <f>IF($W129="","",IF(INDEX('Per Invoice'!I$2:I$801,$W129)="","",INDEX('Per Invoice'!I$2:I$801,$W129)))</f>
        <v/>
      </c>
      <c r="J129">
        <f>IF($W129="","",IF(INDEX('Per Invoice'!J$2:J$801,$W129)="","",INDEX('Per Invoice'!J$2:J$801,$W129)))</f>
        <v/>
      </c>
      <c r="K129" s="7">
        <f>IF($W129="","",IF(INDEX('Per Invoice'!K$2:K$801,$W129)="","",INDEX('Per Invoice'!K$2:K$801,$W129)))</f>
        <v/>
      </c>
      <c r="L129" s="14">
        <f>IF($W129="","",IF(INDEX('Per Invoice'!L$2:L$801,$W129)="","",INDEX('Per Invoice'!L$2:L$801,$W129)))</f>
        <v/>
      </c>
      <c r="M129">
        <f>IF($W129="","",IF(INDEX('Per Invoice'!M$2:M$801,$W129)="","",INDEX('Per Invoice'!M$2:M$801,$W129)))</f>
        <v/>
      </c>
      <c r="N129" s="7">
        <f>IF($W129="","",IF(INDEX('Per Invoice'!N$2:N$801,$W129)="","",INDEX('Per Invoice'!N$2:N$801,$W129)))</f>
        <v/>
      </c>
      <c r="O129" s="7">
        <f>IF($W129="","",IF(INDEX('Per Invoice'!O$2:O$801,$W129)="","",INDEX('Per Invoice'!O$2:O$801,$W129)))</f>
        <v/>
      </c>
      <c r="P129">
        <f>IF($W129="","",IF(INDEX('Per Invoice'!P$2:P$801,$W129)="","",INDEX('Per Invoice'!P$2:P$801,$W129)))</f>
        <v/>
      </c>
      <c r="Q129" s="7">
        <f>IF($W129="","",IF(INDEX('Per Invoice'!Q$2:Q$801,$W129)="","",INDEX('Per Invoice'!Q$2:Q$801,$W129)))</f>
        <v/>
      </c>
      <c r="R129" s="7">
        <f>IF($W129="","",IF(INDEX('Per Invoice'!R$2:R$801,$W129)="","",INDEX('Per Invoice'!R$2:R$801,$W129)))</f>
        <v/>
      </c>
      <c r="S129" s="7">
        <f>IF($W129="","",IF(INDEX('Per Invoice'!S$2:S$801,$W129)="","",INDEX('Per Invoice'!S$2:S$801,$W129)))</f>
        <v/>
      </c>
      <c r="T129" s="7">
        <f>IF($W129="","",IF(INDEX('Per Invoice'!T$2:T$801,$W129)="","",INDEX('Per Invoice'!T$2:T$801,$W129)))</f>
        <v/>
      </c>
      <c r="U129" s="7">
        <f>IF($W129="","",IF(INDEX('Per Invoice'!U$2:U$801,$W129)="","",INDEX('Per Invoice'!U$2:U$801,$W129)))</f>
        <v/>
      </c>
      <c r="V129" s="7">
        <f>IF($W129="","",IF(INDEX('Per Invoice'!V$2:V$801,$W129)="","",INDEX('Per Invoice'!V$2:V$801,$W129)))</f>
        <v/>
      </c>
      <c r="W129" s="16">
        <f>IFERROR(MATCH(Settings!$C$27&amp;"|"&amp;ROWS($W$2:$W129),'Per Invoice'!$X$2:$X$801,0),"")</f>
        <v/>
      </c>
    </row>
    <row r="130">
      <c r="A130">
        <f>IF($W130="","",IF(INDEX('Per Invoice'!A$2:A$801,$W130)="","",INDEX('Per Invoice'!A$2:A$801,$W130)))</f>
        <v/>
      </c>
      <c r="B130">
        <f>IF($W130="","",IF(INDEX('Per Invoice'!B$2:B$801,$W130)="","",INDEX('Per Invoice'!B$2:B$801,$W130)))</f>
        <v/>
      </c>
      <c r="C130">
        <f>IF($W130="","",IF(INDEX('Per Invoice'!C$2:C$801,$W130)="","",INDEX('Per Invoice'!C$2:C$801,$W130)))</f>
        <v/>
      </c>
      <c r="D130">
        <f>IF($W130="","",IF(INDEX('Per Invoice'!D$2:D$801,$W130)="","",INDEX('Per Invoice'!D$2:D$801,$W130)))</f>
        <v/>
      </c>
      <c r="E130">
        <f>IF($W130="","",IF(INDEX('Per Invoice'!E$2:E$801,$W130)="","",INDEX('Per Invoice'!E$2:E$801,$W130)))</f>
        <v/>
      </c>
      <c r="F130">
        <f>IF($W130="","",IF(INDEX('Per Invoice'!F$2:F$801,$W130)="","",INDEX('Per Invoice'!F$2:F$801,$W130)))</f>
        <v/>
      </c>
      <c r="G130">
        <f>IF($W130="","",IF(INDEX('Per Invoice'!G$2:G$801,$W130)="","",INDEX('Per Invoice'!G$2:G$801,$W130)))</f>
        <v/>
      </c>
      <c r="H130">
        <f>IF($W130="","",IF(INDEX('Per Invoice'!H$2:H$801,$W130)="","",INDEX('Per Invoice'!H$2:H$801,$W130)))</f>
        <v/>
      </c>
      <c r="I130">
        <f>IF($W130="","",IF(INDEX('Per Invoice'!I$2:I$801,$W130)="","",INDEX('Per Invoice'!I$2:I$801,$W130)))</f>
        <v/>
      </c>
      <c r="J130">
        <f>IF($W130="","",IF(INDEX('Per Invoice'!J$2:J$801,$W130)="","",INDEX('Per Invoice'!J$2:J$801,$W130)))</f>
        <v/>
      </c>
      <c r="K130" s="7">
        <f>IF($W130="","",IF(INDEX('Per Invoice'!K$2:K$801,$W130)="","",INDEX('Per Invoice'!K$2:K$801,$W130)))</f>
        <v/>
      </c>
      <c r="L130" s="14">
        <f>IF($W130="","",IF(INDEX('Per Invoice'!L$2:L$801,$W130)="","",INDEX('Per Invoice'!L$2:L$801,$W130)))</f>
        <v/>
      </c>
      <c r="M130">
        <f>IF($W130="","",IF(INDEX('Per Invoice'!M$2:M$801,$W130)="","",INDEX('Per Invoice'!M$2:M$801,$W130)))</f>
        <v/>
      </c>
      <c r="N130" s="7">
        <f>IF($W130="","",IF(INDEX('Per Invoice'!N$2:N$801,$W130)="","",INDEX('Per Invoice'!N$2:N$801,$W130)))</f>
        <v/>
      </c>
      <c r="O130" s="7">
        <f>IF($W130="","",IF(INDEX('Per Invoice'!O$2:O$801,$W130)="","",INDEX('Per Invoice'!O$2:O$801,$W130)))</f>
        <v/>
      </c>
      <c r="P130">
        <f>IF($W130="","",IF(INDEX('Per Invoice'!P$2:P$801,$W130)="","",INDEX('Per Invoice'!P$2:P$801,$W130)))</f>
        <v/>
      </c>
      <c r="Q130" s="7">
        <f>IF($W130="","",IF(INDEX('Per Invoice'!Q$2:Q$801,$W130)="","",INDEX('Per Invoice'!Q$2:Q$801,$W130)))</f>
        <v/>
      </c>
      <c r="R130" s="7">
        <f>IF($W130="","",IF(INDEX('Per Invoice'!R$2:R$801,$W130)="","",INDEX('Per Invoice'!R$2:R$801,$W130)))</f>
        <v/>
      </c>
      <c r="S130" s="7">
        <f>IF($W130="","",IF(INDEX('Per Invoice'!S$2:S$801,$W130)="","",INDEX('Per Invoice'!S$2:S$801,$W130)))</f>
        <v/>
      </c>
      <c r="T130" s="7">
        <f>IF($W130="","",IF(INDEX('Per Invoice'!T$2:T$801,$W130)="","",INDEX('Per Invoice'!T$2:T$801,$W130)))</f>
        <v/>
      </c>
      <c r="U130" s="7">
        <f>IF($W130="","",IF(INDEX('Per Invoice'!U$2:U$801,$W130)="","",INDEX('Per Invoice'!U$2:U$801,$W130)))</f>
        <v/>
      </c>
      <c r="V130" s="7">
        <f>IF($W130="","",IF(INDEX('Per Invoice'!V$2:V$801,$W130)="","",INDEX('Per Invoice'!V$2:V$801,$W130)))</f>
        <v/>
      </c>
      <c r="W130" s="16">
        <f>IFERROR(MATCH(Settings!$C$27&amp;"|"&amp;ROWS($W$2:$W130),'Per Invoice'!$X$2:$X$801,0),"")</f>
        <v/>
      </c>
    </row>
    <row r="131">
      <c r="A131">
        <f>IF($W131="","",IF(INDEX('Per Invoice'!A$2:A$801,$W131)="","",INDEX('Per Invoice'!A$2:A$801,$W131)))</f>
        <v/>
      </c>
      <c r="B131">
        <f>IF($W131="","",IF(INDEX('Per Invoice'!B$2:B$801,$W131)="","",INDEX('Per Invoice'!B$2:B$801,$W131)))</f>
        <v/>
      </c>
      <c r="C131">
        <f>IF($W131="","",IF(INDEX('Per Invoice'!C$2:C$801,$W131)="","",INDEX('Per Invoice'!C$2:C$801,$W131)))</f>
        <v/>
      </c>
      <c r="D131">
        <f>IF($W131="","",IF(INDEX('Per Invoice'!D$2:D$801,$W131)="","",INDEX('Per Invoice'!D$2:D$801,$W131)))</f>
        <v/>
      </c>
      <c r="E131">
        <f>IF($W131="","",IF(INDEX('Per Invoice'!E$2:E$801,$W131)="","",INDEX('Per Invoice'!E$2:E$801,$W131)))</f>
        <v/>
      </c>
      <c r="F131">
        <f>IF($W131="","",IF(INDEX('Per Invoice'!F$2:F$801,$W131)="","",INDEX('Per Invoice'!F$2:F$801,$W131)))</f>
        <v/>
      </c>
      <c r="G131">
        <f>IF($W131="","",IF(INDEX('Per Invoice'!G$2:G$801,$W131)="","",INDEX('Per Invoice'!G$2:G$801,$W131)))</f>
        <v/>
      </c>
      <c r="H131">
        <f>IF($W131="","",IF(INDEX('Per Invoice'!H$2:H$801,$W131)="","",INDEX('Per Invoice'!H$2:H$801,$W131)))</f>
        <v/>
      </c>
      <c r="I131">
        <f>IF($W131="","",IF(INDEX('Per Invoice'!I$2:I$801,$W131)="","",INDEX('Per Invoice'!I$2:I$801,$W131)))</f>
        <v/>
      </c>
      <c r="J131">
        <f>IF($W131="","",IF(INDEX('Per Invoice'!J$2:J$801,$W131)="","",INDEX('Per Invoice'!J$2:J$801,$W131)))</f>
        <v/>
      </c>
      <c r="K131" s="7">
        <f>IF($W131="","",IF(INDEX('Per Invoice'!K$2:K$801,$W131)="","",INDEX('Per Invoice'!K$2:K$801,$W131)))</f>
        <v/>
      </c>
      <c r="L131" s="14">
        <f>IF($W131="","",IF(INDEX('Per Invoice'!L$2:L$801,$W131)="","",INDEX('Per Invoice'!L$2:L$801,$W131)))</f>
        <v/>
      </c>
      <c r="M131">
        <f>IF($W131="","",IF(INDEX('Per Invoice'!M$2:M$801,$W131)="","",INDEX('Per Invoice'!M$2:M$801,$W131)))</f>
        <v/>
      </c>
      <c r="N131" s="7">
        <f>IF($W131="","",IF(INDEX('Per Invoice'!N$2:N$801,$W131)="","",INDEX('Per Invoice'!N$2:N$801,$W131)))</f>
        <v/>
      </c>
      <c r="O131" s="7">
        <f>IF($W131="","",IF(INDEX('Per Invoice'!O$2:O$801,$W131)="","",INDEX('Per Invoice'!O$2:O$801,$W131)))</f>
        <v/>
      </c>
      <c r="P131">
        <f>IF($W131="","",IF(INDEX('Per Invoice'!P$2:P$801,$W131)="","",INDEX('Per Invoice'!P$2:P$801,$W131)))</f>
        <v/>
      </c>
      <c r="Q131" s="7">
        <f>IF($W131="","",IF(INDEX('Per Invoice'!Q$2:Q$801,$W131)="","",INDEX('Per Invoice'!Q$2:Q$801,$W131)))</f>
        <v/>
      </c>
      <c r="R131" s="7">
        <f>IF($W131="","",IF(INDEX('Per Invoice'!R$2:R$801,$W131)="","",INDEX('Per Invoice'!R$2:R$801,$W131)))</f>
        <v/>
      </c>
      <c r="S131" s="7">
        <f>IF($W131="","",IF(INDEX('Per Invoice'!S$2:S$801,$W131)="","",INDEX('Per Invoice'!S$2:S$801,$W131)))</f>
        <v/>
      </c>
      <c r="T131" s="7">
        <f>IF($W131="","",IF(INDEX('Per Invoice'!T$2:T$801,$W131)="","",INDEX('Per Invoice'!T$2:T$801,$W131)))</f>
        <v/>
      </c>
      <c r="U131" s="7">
        <f>IF($W131="","",IF(INDEX('Per Invoice'!U$2:U$801,$W131)="","",INDEX('Per Invoice'!U$2:U$801,$W131)))</f>
        <v/>
      </c>
      <c r="V131" s="7">
        <f>IF($W131="","",IF(INDEX('Per Invoice'!V$2:V$801,$W131)="","",INDEX('Per Invoice'!V$2:V$801,$W131)))</f>
        <v/>
      </c>
      <c r="W131" s="16">
        <f>IFERROR(MATCH(Settings!$C$27&amp;"|"&amp;ROWS($W$2:$W131),'Per Invoice'!$X$2:$X$801,0),"")</f>
        <v/>
      </c>
    </row>
    <row r="132">
      <c r="A132">
        <f>IF($W132="","",IF(INDEX('Per Invoice'!A$2:A$801,$W132)="","",INDEX('Per Invoice'!A$2:A$801,$W132)))</f>
        <v/>
      </c>
      <c r="B132">
        <f>IF($W132="","",IF(INDEX('Per Invoice'!B$2:B$801,$W132)="","",INDEX('Per Invoice'!B$2:B$801,$W132)))</f>
        <v/>
      </c>
      <c r="C132">
        <f>IF($W132="","",IF(INDEX('Per Invoice'!C$2:C$801,$W132)="","",INDEX('Per Invoice'!C$2:C$801,$W132)))</f>
        <v/>
      </c>
      <c r="D132">
        <f>IF($W132="","",IF(INDEX('Per Invoice'!D$2:D$801,$W132)="","",INDEX('Per Invoice'!D$2:D$801,$W132)))</f>
        <v/>
      </c>
      <c r="E132">
        <f>IF($W132="","",IF(INDEX('Per Invoice'!E$2:E$801,$W132)="","",INDEX('Per Invoice'!E$2:E$801,$W132)))</f>
        <v/>
      </c>
      <c r="F132">
        <f>IF($W132="","",IF(INDEX('Per Invoice'!F$2:F$801,$W132)="","",INDEX('Per Invoice'!F$2:F$801,$W132)))</f>
        <v/>
      </c>
      <c r="G132">
        <f>IF($W132="","",IF(INDEX('Per Invoice'!G$2:G$801,$W132)="","",INDEX('Per Invoice'!G$2:G$801,$W132)))</f>
        <v/>
      </c>
      <c r="H132">
        <f>IF($W132="","",IF(INDEX('Per Invoice'!H$2:H$801,$W132)="","",INDEX('Per Invoice'!H$2:H$801,$W132)))</f>
        <v/>
      </c>
      <c r="I132">
        <f>IF($W132="","",IF(INDEX('Per Invoice'!I$2:I$801,$W132)="","",INDEX('Per Invoice'!I$2:I$801,$W132)))</f>
        <v/>
      </c>
      <c r="J132">
        <f>IF($W132="","",IF(INDEX('Per Invoice'!J$2:J$801,$W132)="","",INDEX('Per Invoice'!J$2:J$801,$W132)))</f>
        <v/>
      </c>
      <c r="K132" s="7">
        <f>IF($W132="","",IF(INDEX('Per Invoice'!K$2:K$801,$W132)="","",INDEX('Per Invoice'!K$2:K$801,$W132)))</f>
        <v/>
      </c>
      <c r="L132" s="14">
        <f>IF($W132="","",IF(INDEX('Per Invoice'!L$2:L$801,$W132)="","",INDEX('Per Invoice'!L$2:L$801,$W132)))</f>
        <v/>
      </c>
      <c r="M132">
        <f>IF($W132="","",IF(INDEX('Per Invoice'!M$2:M$801,$W132)="","",INDEX('Per Invoice'!M$2:M$801,$W132)))</f>
        <v/>
      </c>
      <c r="N132" s="7">
        <f>IF($W132="","",IF(INDEX('Per Invoice'!N$2:N$801,$W132)="","",INDEX('Per Invoice'!N$2:N$801,$W132)))</f>
        <v/>
      </c>
      <c r="O132" s="7">
        <f>IF($W132="","",IF(INDEX('Per Invoice'!O$2:O$801,$W132)="","",INDEX('Per Invoice'!O$2:O$801,$W132)))</f>
        <v/>
      </c>
      <c r="P132">
        <f>IF($W132="","",IF(INDEX('Per Invoice'!P$2:P$801,$W132)="","",INDEX('Per Invoice'!P$2:P$801,$W132)))</f>
        <v/>
      </c>
      <c r="Q132" s="7">
        <f>IF($W132="","",IF(INDEX('Per Invoice'!Q$2:Q$801,$W132)="","",INDEX('Per Invoice'!Q$2:Q$801,$W132)))</f>
        <v/>
      </c>
      <c r="R132" s="7">
        <f>IF($W132="","",IF(INDEX('Per Invoice'!R$2:R$801,$W132)="","",INDEX('Per Invoice'!R$2:R$801,$W132)))</f>
        <v/>
      </c>
      <c r="S132" s="7">
        <f>IF($W132="","",IF(INDEX('Per Invoice'!S$2:S$801,$W132)="","",INDEX('Per Invoice'!S$2:S$801,$W132)))</f>
        <v/>
      </c>
      <c r="T132" s="7">
        <f>IF($W132="","",IF(INDEX('Per Invoice'!T$2:T$801,$W132)="","",INDEX('Per Invoice'!T$2:T$801,$W132)))</f>
        <v/>
      </c>
      <c r="U132" s="7">
        <f>IF($W132="","",IF(INDEX('Per Invoice'!U$2:U$801,$W132)="","",INDEX('Per Invoice'!U$2:U$801,$W132)))</f>
        <v/>
      </c>
      <c r="V132" s="7">
        <f>IF($W132="","",IF(INDEX('Per Invoice'!V$2:V$801,$W132)="","",INDEX('Per Invoice'!V$2:V$801,$W132)))</f>
        <v/>
      </c>
      <c r="W132" s="16">
        <f>IFERROR(MATCH(Settings!$C$27&amp;"|"&amp;ROWS($W$2:$W132),'Per Invoice'!$X$2:$X$801,0),"")</f>
        <v/>
      </c>
    </row>
    <row r="133">
      <c r="A133">
        <f>IF($W133="","",IF(INDEX('Per Invoice'!A$2:A$801,$W133)="","",INDEX('Per Invoice'!A$2:A$801,$W133)))</f>
        <v/>
      </c>
      <c r="B133">
        <f>IF($W133="","",IF(INDEX('Per Invoice'!B$2:B$801,$W133)="","",INDEX('Per Invoice'!B$2:B$801,$W133)))</f>
        <v/>
      </c>
      <c r="C133">
        <f>IF($W133="","",IF(INDEX('Per Invoice'!C$2:C$801,$W133)="","",INDEX('Per Invoice'!C$2:C$801,$W133)))</f>
        <v/>
      </c>
      <c r="D133">
        <f>IF($W133="","",IF(INDEX('Per Invoice'!D$2:D$801,$W133)="","",INDEX('Per Invoice'!D$2:D$801,$W133)))</f>
        <v/>
      </c>
      <c r="E133">
        <f>IF($W133="","",IF(INDEX('Per Invoice'!E$2:E$801,$W133)="","",INDEX('Per Invoice'!E$2:E$801,$W133)))</f>
        <v/>
      </c>
      <c r="F133">
        <f>IF($W133="","",IF(INDEX('Per Invoice'!F$2:F$801,$W133)="","",INDEX('Per Invoice'!F$2:F$801,$W133)))</f>
        <v/>
      </c>
      <c r="G133">
        <f>IF($W133="","",IF(INDEX('Per Invoice'!G$2:G$801,$W133)="","",INDEX('Per Invoice'!G$2:G$801,$W133)))</f>
        <v/>
      </c>
      <c r="H133">
        <f>IF($W133="","",IF(INDEX('Per Invoice'!H$2:H$801,$W133)="","",INDEX('Per Invoice'!H$2:H$801,$W133)))</f>
        <v/>
      </c>
      <c r="I133">
        <f>IF($W133="","",IF(INDEX('Per Invoice'!I$2:I$801,$W133)="","",INDEX('Per Invoice'!I$2:I$801,$W133)))</f>
        <v/>
      </c>
      <c r="J133">
        <f>IF($W133="","",IF(INDEX('Per Invoice'!J$2:J$801,$W133)="","",INDEX('Per Invoice'!J$2:J$801,$W133)))</f>
        <v/>
      </c>
      <c r="K133" s="7">
        <f>IF($W133="","",IF(INDEX('Per Invoice'!K$2:K$801,$W133)="","",INDEX('Per Invoice'!K$2:K$801,$W133)))</f>
        <v/>
      </c>
      <c r="L133" s="14">
        <f>IF($W133="","",IF(INDEX('Per Invoice'!L$2:L$801,$W133)="","",INDEX('Per Invoice'!L$2:L$801,$W133)))</f>
        <v/>
      </c>
      <c r="M133">
        <f>IF($W133="","",IF(INDEX('Per Invoice'!M$2:M$801,$W133)="","",INDEX('Per Invoice'!M$2:M$801,$W133)))</f>
        <v/>
      </c>
      <c r="N133" s="7">
        <f>IF($W133="","",IF(INDEX('Per Invoice'!N$2:N$801,$W133)="","",INDEX('Per Invoice'!N$2:N$801,$W133)))</f>
        <v/>
      </c>
      <c r="O133" s="7">
        <f>IF($W133="","",IF(INDEX('Per Invoice'!O$2:O$801,$W133)="","",INDEX('Per Invoice'!O$2:O$801,$W133)))</f>
        <v/>
      </c>
      <c r="P133">
        <f>IF($W133="","",IF(INDEX('Per Invoice'!P$2:P$801,$W133)="","",INDEX('Per Invoice'!P$2:P$801,$W133)))</f>
        <v/>
      </c>
      <c r="Q133" s="7">
        <f>IF($W133="","",IF(INDEX('Per Invoice'!Q$2:Q$801,$W133)="","",INDEX('Per Invoice'!Q$2:Q$801,$W133)))</f>
        <v/>
      </c>
      <c r="R133" s="7">
        <f>IF($W133="","",IF(INDEX('Per Invoice'!R$2:R$801,$W133)="","",INDEX('Per Invoice'!R$2:R$801,$W133)))</f>
        <v/>
      </c>
      <c r="S133" s="7">
        <f>IF($W133="","",IF(INDEX('Per Invoice'!S$2:S$801,$W133)="","",INDEX('Per Invoice'!S$2:S$801,$W133)))</f>
        <v/>
      </c>
      <c r="T133" s="7">
        <f>IF($W133="","",IF(INDEX('Per Invoice'!T$2:T$801,$W133)="","",INDEX('Per Invoice'!T$2:T$801,$W133)))</f>
        <v/>
      </c>
      <c r="U133" s="7">
        <f>IF($W133="","",IF(INDEX('Per Invoice'!U$2:U$801,$W133)="","",INDEX('Per Invoice'!U$2:U$801,$W133)))</f>
        <v/>
      </c>
      <c r="V133" s="7">
        <f>IF($W133="","",IF(INDEX('Per Invoice'!V$2:V$801,$W133)="","",INDEX('Per Invoice'!V$2:V$801,$W133)))</f>
        <v/>
      </c>
      <c r="W133" s="16">
        <f>IFERROR(MATCH(Settings!$C$27&amp;"|"&amp;ROWS($W$2:$W133),'Per Invoice'!$X$2:$X$801,0),"")</f>
        <v/>
      </c>
    </row>
    <row r="134">
      <c r="A134">
        <f>IF($W134="","",IF(INDEX('Per Invoice'!A$2:A$801,$W134)="","",INDEX('Per Invoice'!A$2:A$801,$W134)))</f>
        <v/>
      </c>
      <c r="B134">
        <f>IF($W134="","",IF(INDEX('Per Invoice'!B$2:B$801,$W134)="","",INDEX('Per Invoice'!B$2:B$801,$W134)))</f>
        <v/>
      </c>
      <c r="C134">
        <f>IF($W134="","",IF(INDEX('Per Invoice'!C$2:C$801,$W134)="","",INDEX('Per Invoice'!C$2:C$801,$W134)))</f>
        <v/>
      </c>
      <c r="D134">
        <f>IF($W134="","",IF(INDEX('Per Invoice'!D$2:D$801,$W134)="","",INDEX('Per Invoice'!D$2:D$801,$W134)))</f>
        <v/>
      </c>
      <c r="E134">
        <f>IF($W134="","",IF(INDEX('Per Invoice'!E$2:E$801,$W134)="","",INDEX('Per Invoice'!E$2:E$801,$W134)))</f>
        <v/>
      </c>
      <c r="F134">
        <f>IF($W134="","",IF(INDEX('Per Invoice'!F$2:F$801,$W134)="","",INDEX('Per Invoice'!F$2:F$801,$W134)))</f>
        <v/>
      </c>
      <c r="G134">
        <f>IF($W134="","",IF(INDEX('Per Invoice'!G$2:G$801,$W134)="","",INDEX('Per Invoice'!G$2:G$801,$W134)))</f>
        <v/>
      </c>
      <c r="H134">
        <f>IF($W134="","",IF(INDEX('Per Invoice'!H$2:H$801,$W134)="","",INDEX('Per Invoice'!H$2:H$801,$W134)))</f>
        <v/>
      </c>
      <c r="I134">
        <f>IF($W134="","",IF(INDEX('Per Invoice'!I$2:I$801,$W134)="","",INDEX('Per Invoice'!I$2:I$801,$W134)))</f>
        <v/>
      </c>
      <c r="J134">
        <f>IF($W134="","",IF(INDEX('Per Invoice'!J$2:J$801,$W134)="","",INDEX('Per Invoice'!J$2:J$801,$W134)))</f>
        <v/>
      </c>
      <c r="K134" s="7">
        <f>IF($W134="","",IF(INDEX('Per Invoice'!K$2:K$801,$W134)="","",INDEX('Per Invoice'!K$2:K$801,$W134)))</f>
        <v/>
      </c>
      <c r="L134" s="14">
        <f>IF($W134="","",IF(INDEX('Per Invoice'!L$2:L$801,$W134)="","",INDEX('Per Invoice'!L$2:L$801,$W134)))</f>
        <v/>
      </c>
      <c r="M134">
        <f>IF($W134="","",IF(INDEX('Per Invoice'!M$2:M$801,$W134)="","",INDEX('Per Invoice'!M$2:M$801,$W134)))</f>
        <v/>
      </c>
      <c r="N134" s="7">
        <f>IF($W134="","",IF(INDEX('Per Invoice'!N$2:N$801,$W134)="","",INDEX('Per Invoice'!N$2:N$801,$W134)))</f>
        <v/>
      </c>
      <c r="O134" s="7">
        <f>IF($W134="","",IF(INDEX('Per Invoice'!O$2:O$801,$W134)="","",INDEX('Per Invoice'!O$2:O$801,$W134)))</f>
        <v/>
      </c>
      <c r="P134">
        <f>IF($W134="","",IF(INDEX('Per Invoice'!P$2:P$801,$W134)="","",INDEX('Per Invoice'!P$2:P$801,$W134)))</f>
        <v/>
      </c>
      <c r="Q134" s="7">
        <f>IF($W134="","",IF(INDEX('Per Invoice'!Q$2:Q$801,$W134)="","",INDEX('Per Invoice'!Q$2:Q$801,$W134)))</f>
        <v/>
      </c>
      <c r="R134" s="7">
        <f>IF($W134="","",IF(INDEX('Per Invoice'!R$2:R$801,$W134)="","",INDEX('Per Invoice'!R$2:R$801,$W134)))</f>
        <v/>
      </c>
      <c r="S134" s="7">
        <f>IF($W134="","",IF(INDEX('Per Invoice'!S$2:S$801,$W134)="","",INDEX('Per Invoice'!S$2:S$801,$W134)))</f>
        <v/>
      </c>
      <c r="T134" s="7">
        <f>IF($W134="","",IF(INDEX('Per Invoice'!T$2:T$801,$W134)="","",INDEX('Per Invoice'!T$2:T$801,$W134)))</f>
        <v/>
      </c>
      <c r="U134" s="7">
        <f>IF($W134="","",IF(INDEX('Per Invoice'!U$2:U$801,$W134)="","",INDEX('Per Invoice'!U$2:U$801,$W134)))</f>
        <v/>
      </c>
      <c r="V134" s="7">
        <f>IF($W134="","",IF(INDEX('Per Invoice'!V$2:V$801,$W134)="","",INDEX('Per Invoice'!V$2:V$801,$W134)))</f>
        <v/>
      </c>
      <c r="W134" s="16">
        <f>IFERROR(MATCH(Settings!$C$27&amp;"|"&amp;ROWS($W$2:$W134),'Per Invoice'!$X$2:$X$801,0),"")</f>
        <v/>
      </c>
    </row>
    <row r="135">
      <c r="A135">
        <f>IF($W135="","",IF(INDEX('Per Invoice'!A$2:A$801,$W135)="","",INDEX('Per Invoice'!A$2:A$801,$W135)))</f>
        <v/>
      </c>
      <c r="B135">
        <f>IF($W135="","",IF(INDEX('Per Invoice'!B$2:B$801,$W135)="","",INDEX('Per Invoice'!B$2:B$801,$W135)))</f>
        <v/>
      </c>
      <c r="C135">
        <f>IF($W135="","",IF(INDEX('Per Invoice'!C$2:C$801,$W135)="","",INDEX('Per Invoice'!C$2:C$801,$W135)))</f>
        <v/>
      </c>
      <c r="D135">
        <f>IF($W135="","",IF(INDEX('Per Invoice'!D$2:D$801,$W135)="","",INDEX('Per Invoice'!D$2:D$801,$W135)))</f>
        <v/>
      </c>
      <c r="E135">
        <f>IF($W135="","",IF(INDEX('Per Invoice'!E$2:E$801,$W135)="","",INDEX('Per Invoice'!E$2:E$801,$W135)))</f>
        <v/>
      </c>
      <c r="F135">
        <f>IF($W135="","",IF(INDEX('Per Invoice'!F$2:F$801,$W135)="","",INDEX('Per Invoice'!F$2:F$801,$W135)))</f>
        <v/>
      </c>
      <c r="G135">
        <f>IF($W135="","",IF(INDEX('Per Invoice'!G$2:G$801,$W135)="","",INDEX('Per Invoice'!G$2:G$801,$W135)))</f>
        <v/>
      </c>
      <c r="H135">
        <f>IF($W135="","",IF(INDEX('Per Invoice'!H$2:H$801,$W135)="","",INDEX('Per Invoice'!H$2:H$801,$W135)))</f>
        <v/>
      </c>
      <c r="I135">
        <f>IF($W135="","",IF(INDEX('Per Invoice'!I$2:I$801,$W135)="","",INDEX('Per Invoice'!I$2:I$801,$W135)))</f>
        <v/>
      </c>
      <c r="J135">
        <f>IF($W135="","",IF(INDEX('Per Invoice'!J$2:J$801,$W135)="","",INDEX('Per Invoice'!J$2:J$801,$W135)))</f>
        <v/>
      </c>
      <c r="K135" s="7">
        <f>IF($W135="","",IF(INDEX('Per Invoice'!K$2:K$801,$W135)="","",INDEX('Per Invoice'!K$2:K$801,$W135)))</f>
        <v/>
      </c>
      <c r="L135" s="14">
        <f>IF($W135="","",IF(INDEX('Per Invoice'!L$2:L$801,$W135)="","",INDEX('Per Invoice'!L$2:L$801,$W135)))</f>
        <v/>
      </c>
      <c r="M135">
        <f>IF($W135="","",IF(INDEX('Per Invoice'!M$2:M$801,$W135)="","",INDEX('Per Invoice'!M$2:M$801,$W135)))</f>
        <v/>
      </c>
      <c r="N135" s="7">
        <f>IF($W135="","",IF(INDEX('Per Invoice'!N$2:N$801,$W135)="","",INDEX('Per Invoice'!N$2:N$801,$W135)))</f>
        <v/>
      </c>
      <c r="O135" s="7">
        <f>IF($W135="","",IF(INDEX('Per Invoice'!O$2:O$801,$W135)="","",INDEX('Per Invoice'!O$2:O$801,$W135)))</f>
        <v/>
      </c>
      <c r="P135">
        <f>IF($W135="","",IF(INDEX('Per Invoice'!P$2:P$801,$W135)="","",INDEX('Per Invoice'!P$2:P$801,$W135)))</f>
        <v/>
      </c>
      <c r="Q135" s="7">
        <f>IF($W135="","",IF(INDEX('Per Invoice'!Q$2:Q$801,$W135)="","",INDEX('Per Invoice'!Q$2:Q$801,$W135)))</f>
        <v/>
      </c>
      <c r="R135" s="7">
        <f>IF($W135="","",IF(INDEX('Per Invoice'!R$2:R$801,$W135)="","",INDEX('Per Invoice'!R$2:R$801,$W135)))</f>
        <v/>
      </c>
      <c r="S135" s="7">
        <f>IF($W135="","",IF(INDEX('Per Invoice'!S$2:S$801,$W135)="","",INDEX('Per Invoice'!S$2:S$801,$W135)))</f>
        <v/>
      </c>
      <c r="T135" s="7">
        <f>IF($W135="","",IF(INDEX('Per Invoice'!T$2:T$801,$W135)="","",INDEX('Per Invoice'!T$2:T$801,$W135)))</f>
        <v/>
      </c>
      <c r="U135" s="7">
        <f>IF($W135="","",IF(INDEX('Per Invoice'!U$2:U$801,$W135)="","",INDEX('Per Invoice'!U$2:U$801,$W135)))</f>
        <v/>
      </c>
      <c r="V135" s="7">
        <f>IF($W135="","",IF(INDEX('Per Invoice'!V$2:V$801,$W135)="","",INDEX('Per Invoice'!V$2:V$801,$W135)))</f>
        <v/>
      </c>
      <c r="W135" s="16">
        <f>IFERROR(MATCH(Settings!$C$27&amp;"|"&amp;ROWS($W$2:$W135),'Per Invoice'!$X$2:$X$801,0),"")</f>
        <v/>
      </c>
    </row>
    <row r="136">
      <c r="A136">
        <f>IF($W136="","",IF(INDEX('Per Invoice'!A$2:A$801,$W136)="","",INDEX('Per Invoice'!A$2:A$801,$W136)))</f>
        <v/>
      </c>
      <c r="B136">
        <f>IF($W136="","",IF(INDEX('Per Invoice'!B$2:B$801,$W136)="","",INDEX('Per Invoice'!B$2:B$801,$W136)))</f>
        <v/>
      </c>
      <c r="C136">
        <f>IF($W136="","",IF(INDEX('Per Invoice'!C$2:C$801,$W136)="","",INDEX('Per Invoice'!C$2:C$801,$W136)))</f>
        <v/>
      </c>
      <c r="D136">
        <f>IF($W136="","",IF(INDEX('Per Invoice'!D$2:D$801,$W136)="","",INDEX('Per Invoice'!D$2:D$801,$W136)))</f>
        <v/>
      </c>
      <c r="E136">
        <f>IF($W136="","",IF(INDEX('Per Invoice'!E$2:E$801,$W136)="","",INDEX('Per Invoice'!E$2:E$801,$W136)))</f>
        <v/>
      </c>
      <c r="F136">
        <f>IF($W136="","",IF(INDEX('Per Invoice'!F$2:F$801,$W136)="","",INDEX('Per Invoice'!F$2:F$801,$W136)))</f>
        <v/>
      </c>
      <c r="G136">
        <f>IF($W136="","",IF(INDEX('Per Invoice'!G$2:G$801,$W136)="","",INDEX('Per Invoice'!G$2:G$801,$W136)))</f>
        <v/>
      </c>
      <c r="H136">
        <f>IF($W136="","",IF(INDEX('Per Invoice'!H$2:H$801,$W136)="","",INDEX('Per Invoice'!H$2:H$801,$W136)))</f>
        <v/>
      </c>
      <c r="I136">
        <f>IF($W136="","",IF(INDEX('Per Invoice'!I$2:I$801,$W136)="","",INDEX('Per Invoice'!I$2:I$801,$W136)))</f>
        <v/>
      </c>
      <c r="J136">
        <f>IF($W136="","",IF(INDEX('Per Invoice'!J$2:J$801,$W136)="","",INDEX('Per Invoice'!J$2:J$801,$W136)))</f>
        <v/>
      </c>
      <c r="K136" s="7">
        <f>IF($W136="","",IF(INDEX('Per Invoice'!K$2:K$801,$W136)="","",INDEX('Per Invoice'!K$2:K$801,$W136)))</f>
        <v/>
      </c>
      <c r="L136" s="14">
        <f>IF($W136="","",IF(INDEX('Per Invoice'!L$2:L$801,$W136)="","",INDEX('Per Invoice'!L$2:L$801,$W136)))</f>
        <v/>
      </c>
      <c r="M136">
        <f>IF($W136="","",IF(INDEX('Per Invoice'!M$2:M$801,$W136)="","",INDEX('Per Invoice'!M$2:M$801,$W136)))</f>
        <v/>
      </c>
      <c r="N136" s="7">
        <f>IF($W136="","",IF(INDEX('Per Invoice'!N$2:N$801,$W136)="","",INDEX('Per Invoice'!N$2:N$801,$W136)))</f>
        <v/>
      </c>
      <c r="O136" s="7">
        <f>IF($W136="","",IF(INDEX('Per Invoice'!O$2:O$801,$W136)="","",INDEX('Per Invoice'!O$2:O$801,$W136)))</f>
        <v/>
      </c>
      <c r="P136">
        <f>IF($W136="","",IF(INDEX('Per Invoice'!P$2:P$801,$W136)="","",INDEX('Per Invoice'!P$2:P$801,$W136)))</f>
        <v/>
      </c>
      <c r="Q136" s="7">
        <f>IF($W136="","",IF(INDEX('Per Invoice'!Q$2:Q$801,$W136)="","",INDEX('Per Invoice'!Q$2:Q$801,$W136)))</f>
        <v/>
      </c>
      <c r="R136" s="7">
        <f>IF($W136="","",IF(INDEX('Per Invoice'!R$2:R$801,$W136)="","",INDEX('Per Invoice'!R$2:R$801,$W136)))</f>
        <v/>
      </c>
      <c r="S136" s="7">
        <f>IF($W136="","",IF(INDEX('Per Invoice'!S$2:S$801,$W136)="","",INDEX('Per Invoice'!S$2:S$801,$W136)))</f>
        <v/>
      </c>
      <c r="T136" s="7">
        <f>IF($W136="","",IF(INDEX('Per Invoice'!T$2:T$801,$W136)="","",INDEX('Per Invoice'!T$2:T$801,$W136)))</f>
        <v/>
      </c>
      <c r="U136" s="7">
        <f>IF($W136="","",IF(INDEX('Per Invoice'!U$2:U$801,$W136)="","",INDEX('Per Invoice'!U$2:U$801,$W136)))</f>
        <v/>
      </c>
      <c r="V136" s="7">
        <f>IF($W136="","",IF(INDEX('Per Invoice'!V$2:V$801,$W136)="","",INDEX('Per Invoice'!V$2:V$801,$W136)))</f>
        <v/>
      </c>
      <c r="W136" s="16">
        <f>IFERROR(MATCH(Settings!$C$27&amp;"|"&amp;ROWS($W$2:$W136),'Per Invoice'!$X$2:$X$801,0),"")</f>
        <v/>
      </c>
    </row>
    <row r="137">
      <c r="A137">
        <f>IF($W137="","",IF(INDEX('Per Invoice'!A$2:A$801,$W137)="","",INDEX('Per Invoice'!A$2:A$801,$W137)))</f>
        <v/>
      </c>
      <c r="B137">
        <f>IF($W137="","",IF(INDEX('Per Invoice'!B$2:B$801,$W137)="","",INDEX('Per Invoice'!B$2:B$801,$W137)))</f>
        <v/>
      </c>
      <c r="C137">
        <f>IF($W137="","",IF(INDEX('Per Invoice'!C$2:C$801,$W137)="","",INDEX('Per Invoice'!C$2:C$801,$W137)))</f>
        <v/>
      </c>
      <c r="D137">
        <f>IF($W137="","",IF(INDEX('Per Invoice'!D$2:D$801,$W137)="","",INDEX('Per Invoice'!D$2:D$801,$W137)))</f>
        <v/>
      </c>
      <c r="E137">
        <f>IF($W137="","",IF(INDEX('Per Invoice'!E$2:E$801,$W137)="","",INDEX('Per Invoice'!E$2:E$801,$W137)))</f>
        <v/>
      </c>
      <c r="F137">
        <f>IF($W137="","",IF(INDEX('Per Invoice'!F$2:F$801,$W137)="","",INDEX('Per Invoice'!F$2:F$801,$W137)))</f>
        <v/>
      </c>
      <c r="G137">
        <f>IF($W137="","",IF(INDEX('Per Invoice'!G$2:G$801,$W137)="","",INDEX('Per Invoice'!G$2:G$801,$W137)))</f>
        <v/>
      </c>
      <c r="H137">
        <f>IF($W137="","",IF(INDEX('Per Invoice'!H$2:H$801,$W137)="","",INDEX('Per Invoice'!H$2:H$801,$W137)))</f>
        <v/>
      </c>
      <c r="I137">
        <f>IF($W137="","",IF(INDEX('Per Invoice'!I$2:I$801,$W137)="","",INDEX('Per Invoice'!I$2:I$801,$W137)))</f>
        <v/>
      </c>
      <c r="J137">
        <f>IF($W137="","",IF(INDEX('Per Invoice'!J$2:J$801,$W137)="","",INDEX('Per Invoice'!J$2:J$801,$W137)))</f>
        <v/>
      </c>
      <c r="K137" s="7">
        <f>IF($W137="","",IF(INDEX('Per Invoice'!K$2:K$801,$W137)="","",INDEX('Per Invoice'!K$2:K$801,$W137)))</f>
        <v/>
      </c>
      <c r="L137" s="14">
        <f>IF($W137="","",IF(INDEX('Per Invoice'!L$2:L$801,$W137)="","",INDEX('Per Invoice'!L$2:L$801,$W137)))</f>
        <v/>
      </c>
      <c r="M137">
        <f>IF($W137="","",IF(INDEX('Per Invoice'!M$2:M$801,$W137)="","",INDEX('Per Invoice'!M$2:M$801,$W137)))</f>
        <v/>
      </c>
      <c r="N137" s="7">
        <f>IF($W137="","",IF(INDEX('Per Invoice'!N$2:N$801,$W137)="","",INDEX('Per Invoice'!N$2:N$801,$W137)))</f>
        <v/>
      </c>
      <c r="O137" s="7">
        <f>IF($W137="","",IF(INDEX('Per Invoice'!O$2:O$801,$W137)="","",INDEX('Per Invoice'!O$2:O$801,$W137)))</f>
        <v/>
      </c>
      <c r="P137">
        <f>IF($W137="","",IF(INDEX('Per Invoice'!P$2:P$801,$W137)="","",INDEX('Per Invoice'!P$2:P$801,$W137)))</f>
        <v/>
      </c>
      <c r="Q137" s="7">
        <f>IF($W137="","",IF(INDEX('Per Invoice'!Q$2:Q$801,$W137)="","",INDEX('Per Invoice'!Q$2:Q$801,$W137)))</f>
        <v/>
      </c>
      <c r="R137" s="7">
        <f>IF($W137="","",IF(INDEX('Per Invoice'!R$2:R$801,$W137)="","",INDEX('Per Invoice'!R$2:R$801,$W137)))</f>
        <v/>
      </c>
      <c r="S137" s="7">
        <f>IF($W137="","",IF(INDEX('Per Invoice'!S$2:S$801,$W137)="","",INDEX('Per Invoice'!S$2:S$801,$W137)))</f>
        <v/>
      </c>
      <c r="T137" s="7">
        <f>IF($W137="","",IF(INDEX('Per Invoice'!T$2:T$801,$W137)="","",INDEX('Per Invoice'!T$2:T$801,$W137)))</f>
        <v/>
      </c>
      <c r="U137" s="7">
        <f>IF($W137="","",IF(INDEX('Per Invoice'!U$2:U$801,$W137)="","",INDEX('Per Invoice'!U$2:U$801,$W137)))</f>
        <v/>
      </c>
      <c r="V137" s="7">
        <f>IF($W137="","",IF(INDEX('Per Invoice'!V$2:V$801,$W137)="","",INDEX('Per Invoice'!V$2:V$801,$W137)))</f>
        <v/>
      </c>
      <c r="W137" s="16">
        <f>IFERROR(MATCH(Settings!$C$27&amp;"|"&amp;ROWS($W$2:$W137),'Per Invoice'!$X$2:$X$801,0),"")</f>
        <v/>
      </c>
    </row>
    <row r="138">
      <c r="A138">
        <f>IF($W138="","",IF(INDEX('Per Invoice'!A$2:A$801,$W138)="","",INDEX('Per Invoice'!A$2:A$801,$W138)))</f>
        <v/>
      </c>
      <c r="B138">
        <f>IF($W138="","",IF(INDEX('Per Invoice'!B$2:B$801,$W138)="","",INDEX('Per Invoice'!B$2:B$801,$W138)))</f>
        <v/>
      </c>
      <c r="C138">
        <f>IF($W138="","",IF(INDEX('Per Invoice'!C$2:C$801,$W138)="","",INDEX('Per Invoice'!C$2:C$801,$W138)))</f>
        <v/>
      </c>
      <c r="D138">
        <f>IF($W138="","",IF(INDEX('Per Invoice'!D$2:D$801,$W138)="","",INDEX('Per Invoice'!D$2:D$801,$W138)))</f>
        <v/>
      </c>
      <c r="E138">
        <f>IF($W138="","",IF(INDEX('Per Invoice'!E$2:E$801,$W138)="","",INDEX('Per Invoice'!E$2:E$801,$W138)))</f>
        <v/>
      </c>
      <c r="F138">
        <f>IF($W138="","",IF(INDEX('Per Invoice'!F$2:F$801,$W138)="","",INDEX('Per Invoice'!F$2:F$801,$W138)))</f>
        <v/>
      </c>
      <c r="G138">
        <f>IF($W138="","",IF(INDEX('Per Invoice'!G$2:G$801,$W138)="","",INDEX('Per Invoice'!G$2:G$801,$W138)))</f>
        <v/>
      </c>
      <c r="H138">
        <f>IF($W138="","",IF(INDEX('Per Invoice'!H$2:H$801,$W138)="","",INDEX('Per Invoice'!H$2:H$801,$W138)))</f>
        <v/>
      </c>
      <c r="I138">
        <f>IF($W138="","",IF(INDEX('Per Invoice'!I$2:I$801,$W138)="","",INDEX('Per Invoice'!I$2:I$801,$W138)))</f>
        <v/>
      </c>
      <c r="J138">
        <f>IF($W138="","",IF(INDEX('Per Invoice'!J$2:J$801,$W138)="","",INDEX('Per Invoice'!J$2:J$801,$W138)))</f>
        <v/>
      </c>
      <c r="K138" s="7">
        <f>IF($W138="","",IF(INDEX('Per Invoice'!K$2:K$801,$W138)="","",INDEX('Per Invoice'!K$2:K$801,$W138)))</f>
        <v/>
      </c>
      <c r="L138" s="14">
        <f>IF($W138="","",IF(INDEX('Per Invoice'!L$2:L$801,$W138)="","",INDEX('Per Invoice'!L$2:L$801,$W138)))</f>
        <v/>
      </c>
      <c r="M138">
        <f>IF($W138="","",IF(INDEX('Per Invoice'!M$2:M$801,$W138)="","",INDEX('Per Invoice'!M$2:M$801,$W138)))</f>
        <v/>
      </c>
      <c r="N138" s="7">
        <f>IF($W138="","",IF(INDEX('Per Invoice'!N$2:N$801,$W138)="","",INDEX('Per Invoice'!N$2:N$801,$W138)))</f>
        <v/>
      </c>
      <c r="O138" s="7">
        <f>IF($W138="","",IF(INDEX('Per Invoice'!O$2:O$801,$W138)="","",INDEX('Per Invoice'!O$2:O$801,$W138)))</f>
        <v/>
      </c>
      <c r="P138">
        <f>IF($W138="","",IF(INDEX('Per Invoice'!P$2:P$801,$W138)="","",INDEX('Per Invoice'!P$2:P$801,$W138)))</f>
        <v/>
      </c>
      <c r="Q138" s="7">
        <f>IF($W138="","",IF(INDEX('Per Invoice'!Q$2:Q$801,$W138)="","",INDEX('Per Invoice'!Q$2:Q$801,$W138)))</f>
        <v/>
      </c>
      <c r="R138" s="7">
        <f>IF($W138="","",IF(INDEX('Per Invoice'!R$2:R$801,$W138)="","",INDEX('Per Invoice'!R$2:R$801,$W138)))</f>
        <v/>
      </c>
      <c r="S138" s="7">
        <f>IF($W138="","",IF(INDEX('Per Invoice'!S$2:S$801,$W138)="","",INDEX('Per Invoice'!S$2:S$801,$W138)))</f>
        <v/>
      </c>
      <c r="T138" s="7">
        <f>IF($W138="","",IF(INDEX('Per Invoice'!T$2:T$801,$W138)="","",INDEX('Per Invoice'!T$2:T$801,$W138)))</f>
        <v/>
      </c>
      <c r="U138" s="7">
        <f>IF($W138="","",IF(INDEX('Per Invoice'!U$2:U$801,$W138)="","",INDEX('Per Invoice'!U$2:U$801,$W138)))</f>
        <v/>
      </c>
      <c r="V138" s="7">
        <f>IF($W138="","",IF(INDEX('Per Invoice'!V$2:V$801,$W138)="","",INDEX('Per Invoice'!V$2:V$801,$W138)))</f>
        <v/>
      </c>
      <c r="W138" s="16">
        <f>IFERROR(MATCH(Settings!$C$27&amp;"|"&amp;ROWS($W$2:$W138),'Per Invoice'!$X$2:$X$801,0),"")</f>
        <v/>
      </c>
    </row>
    <row r="139">
      <c r="A139">
        <f>IF($W139="","",IF(INDEX('Per Invoice'!A$2:A$801,$W139)="","",INDEX('Per Invoice'!A$2:A$801,$W139)))</f>
        <v/>
      </c>
      <c r="B139">
        <f>IF($W139="","",IF(INDEX('Per Invoice'!B$2:B$801,$W139)="","",INDEX('Per Invoice'!B$2:B$801,$W139)))</f>
        <v/>
      </c>
      <c r="C139">
        <f>IF($W139="","",IF(INDEX('Per Invoice'!C$2:C$801,$W139)="","",INDEX('Per Invoice'!C$2:C$801,$W139)))</f>
        <v/>
      </c>
      <c r="D139">
        <f>IF($W139="","",IF(INDEX('Per Invoice'!D$2:D$801,$W139)="","",INDEX('Per Invoice'!D$2:D$801,$W139)))</f>
        <v/>
      </c>
      <c r="E139">
        <f>IF($W139="","",IF(INDEX('Per Invoice'!E$2:E$801,$W139)="","",INDEX('Per Invoice'!E$2:E$801,$W139)))</f>
        <v/>
      </c>
      <c r="F139">
        <f>IF($W139="","",IF(INDEX('Per Invoice'!F$2:F$801,$W139)="","",INDEX('Per Invoice'!F$2:F$801,$W139)))</f>
        <v/>
      </c>
      <c r="G139">
        <f>IF($W139="","",IF(INDEX('Per Invoice'!G$2:G$801,$W139)="","",INDEX('Per Invoice'!G$2:G$801,$W139)))</f>
        <v/>
      </c>
      <c r="H139">
        <f>IF($W139="","",IF(INDEX('Per Invoice'!H$2:H$801,$W139)="","",INDEX('Per Invoice'!H$2:H$801,$W139)))</f>
        <v/>
      </c>
      <c r="I139">
        <f>IF($W139="","",IF(INDEX('Per Invoice'!I$2:I$801,$W139)="","",INDEX('Per Invoice'!I$2:I$801,$W139)))</f>
        <v/>
      </c>
      <c r="J139">
        <f>IF($W139="","",IF(INDEX('Per Invoice'!J$2:J$801,$W139)="","",INDEX('Per Invoice'!J$2:J$801,$W139)))</f>
        <v/>
      </c>
      <c r="K139" s="7">
        <f>IF($W139="","",IF(INDEX('Per Invoice'!K$2:K$801,$W139)="","",INDEX('Per Invoice'!K$2:K$801,$W139)))</f>
        <v/>
      </c>
      <c r="L139" s="14">
        <f>IF($W139="","",IF(INDEX('Per Invoice'!L$2:L$801,$W139)="","",INDEX('Per Invoice'!L$2:L$801,$W139)))</f>
        <v/>
      </c>
      <c r="M139">
        <f>IF($W139="","",IF(INDEX('Per Invoice'!M$2:M$801,$W139)="","",INDEX('Per Invoice'!M$2:M$801,$W139)))</f>
        <v/>
      </c>
      <c r="N139" s="7">
        <f>IF($W139="","",IF(INDEX('Per Invoice'!N$2:N$801,$W139)="","",INDEX('Per Invoice'!N$2:N$801,$W139)))</f>
        <v/>
      </c>
      <c r="O139" s="7">
        <f>IF($W139="","",IF(INDEX('Per Invoice'!O$2:O$801,$W139)="","",INDEX('Per Invoice'!O$2:O$801,$W139)))</f>
        <v/>
      </c>
      <c r="P139">
        <f>IF($W139="","",IF(INDEX('Per Invoice'!P$2:P$801,$W139)="","",INDEX('Per Invoice'!P$2:P$801,$W139)))</f>
        <v/>
      </c>
      <c r="Q139" s="7">
        <f>IF($W139="","",IF(INDEX('Per Invoice'!Q$2:Q$801,$W139)="","",INDEX('Per Invoice'!Q$2:Q$801,$W139)))</f>
        <v/>
      </c>
      <c r="R139" s="7">
        <f>IF($W139="","",IF(INDEX('Per Invoice'!R$2:R$801,$W139)="","",INDEX('Per Invoice'!R$2:R$801,$W139)))</f>
        <v/>
      </c>
      <c r="S139" s="7">
        <f>IF($W139="","",IF(INDEX('Per Invoice'!S$2:S$801,$W139)="","",INDEX('Per Invoice'!S$2:S$801,$W139)))</f>
        <v/>
      </c>
      <c r="T139" s="7">
        <f>IF($W139="","",IF(INDEX('Per Invoice'!T$2:T$801,$W139)="","",INDEX('Per Invoice'!T$2:T$801,$W139)))</f>
        <v/>
      </c>
      <c r="U139" s="7">
        <f>IF($W139="","",IF(INDEX('Per Invoice'!U$2:U$801,$W139)="","",INDEX('Per Invoice'!U$2:U$801,$W139)))</f>
        <v/>
      </c>
      <c r="V139" s="7">
        <f>IF($W139="","",IF(INDEX('Per Invoice'!V$2:V$801,$W139)="","",INDEX('Per Invoice'!V$2:V$801,$W139)))</f>
        <v/>
      </c>
      <c r="W139" s="16">
        <f>IFERROR(MATCH(Settings!$C$27&amp;"|"&amp;ROWS($W$2:$W139),'Per Invoice'!$X$2:$X$801,0),"")</f>
        <v/>
      </c>
    </row>
    <row r="140">
      <c r="A140">
        <f>IF($W140="","",IF(INDEX('Per Invoice'!A$2:A$801,$W140)="","",INDEX('Per Invoice'!A$2:A$801,$W140)))</f>
        <v/>
      </c>
      <c r="B140">
        <f>IF($W140="","",IF(INDEX('Per Invoice'!B$2:B$801,$W140)="","",INDEX('Per Invoice'!B$2:B$801,$W140)))</f>
        <v/>
      </c>
      <c r="C140">
        <f>IF($W140="","",IF(INDEX('Per Invoice'!C$2:C$801,$W140)="","",INDEX('Per Invoice'!C$2:C$801,$W140)))</f>
        <v/>
      </c>
      <c r="D140">
        <f>IF($W140="","",IF(INDEX('Per Invoice'!D$2:D$801,$W140)="","",INDEX('Per Invoice'!D$2:D$801,$W140)))</f>
        <v/>
      </c>
      <c r="E140">
        <f>IF($W140="","",IF(INDEX('Per Invoice'!E$2:E$801,$W140)="","",INDEX('Per Invoice'!E$2:E$801,$W140)))</f>
        <v/>
      </c>
      <c r="F140">
        <f>IF($W140="","",IF(INDEX('Per Invoice'!F$2:F$801,$W140)="","",INDEX('Per Invoice'!F$2:F$801,$W140)))</f>
        <v/>
      </c>
      <c r="G140">
        <f>IF($W140="","",IF(INDEX('Per Invoice'!G$2:G$801,$W140)="","",INDEX('Per Invoice'!G$2:G$801,$W140)))</f>
        <v/>
      </c>
      <c r="H140">
        <f>IF($W140="","",IF(INDEX('Per Invoice'!H$2:H$801,$W140)="","",INDEX('Per Invoice'!H$2:H$801,$W140)))</f>
        <v/>
      </c>
      <c r="I140">
        <f>IF($W140="","",IF(INDEX('Per Invoice'!I$2:I$801,$W140)="","",INDEX('Per Invoice'!I$2:I$801,$W140)))</f>
        <v/>
      </c>
      <c r="J140">
        <f>IF($W140="","",IF(INDEX('Per Invoice'!J$2:J$801,$W140)="","",INDEX('Per Invoice'!J$2:J$801,$W140)))</f>
        <v/>
      </c>
      <c r="K140" s="7">
        <f>IF($W140="","",IF(INDEX('Per Invoice'!K$2:K$801,$W140)="","",INDEX('Per Invoice'!K$2:K$801,$W140)))</f>
        <v/>
      </c>
      <c r="L140" s="14">
        <f>IF($W140="","",IF(INDEX('Per Invoice'!L$2:L$801,$W140)="","",INDEX('Per Invoice'!L$2:L$801,$W140)))</f>
        <v/>
      </c>
      <c r="M140">
        <f>IF($W140="","",IF(INDEX('Per Invoice'!M$2:M$801,$W140)="","",INDEX('Per Invoice'!M$2:M$801,$W140)))</f>
        <v/>
      </c>
      <c r="N140" s="7">
        <f>IF($W140="","",IF(INDEX('Per Invoice'!N$2:N$801,$W140)="","",INDEX('Per Invoice'!N$2:N$801,$W140)))</f>
        <v/>
      </c>
      <c r="O140" s="7">
        <f>IF($W140="","",IF(INDEX('Per Invoice'!O$2:O$801,$W140)="","",INDEX('Per Invoice'!O$2:O$801,$W140)))</f>
        <v/>
      </c>
      <c r="P140">
        <f>IF($W140="","",IF(INDEX('Per Invoice'!P$2:P$801,$W140)="","",INDEX('Per Invoice'!P$2:P$801,$W140)))</f>
        <v/>
      </c>
      <c r="Q140" s="7">
        <f>IF($W140="","",IF(INDEX('Per Invoice'!Q$2:Q$801,$W140)="","",INDEX('Per Invoice'!Q$2:Q$801,$W140)))</f>
        <v/>
      </c>
      <c r="R140" s="7">
        <f>IF($W140="","",IF(INDEX('Per Invoice'!R$2:R$801,$W140)="","",INDEX('Per Invoice'!R$2:R$801,$W140)))</f>
        <v/>
      </c>
      <c r="S140" s="7">
        <f>IF($W140="","",IF(INDEX('Per Invoice'!S$2:S$801,$W140)="","",INDEX('Per Invoice'!S$2:S$801,$W140)))</f>
        <v/>
      </c>
      <c r="T140" s="7">
        <f>IF($W140="","",IF(INDEX('Per Invoice'!T$2:T$801,$W140)="","",INDEX('Per Invoice'!T$2:T$801,$W140)))</f>
        <v/>
      </c>
      <c r="U140" s="7">
        <f>IF($W140="","",IF(INDEX('Per Invoice'!U$2:U$801,$W140)="","",INDEX('Per Invoice'!U$2:U$801,$W140)))</f>
        <v/>
      </c>
      <c r="V140" s="7">
        <f>IF($W140="","",IF(INDEX('Per Invoice'!V$2:V$801,$W140)="","",INDEX('Per Invoice'!V$2:V$801,$W140)))</f>
        <v/>
      </c>
      <c r="W140" s="16">
        <f>IFERROR(MATCH(Settings!$C$27&amp;"|"&amp;ROWS($W$2:$W140),'Per Invoice'!$X$2:$X$801,0),"")</f>
        <v/>
      </c>
    </row>
    <row r="141">
      <c r="A141">
        <f>IF($W141="","",IF(INDEX('Per Invoice'!A$2:A$801,$W141)="","",INDEX('Per Invoice'!A$2:A$801,$W141)))</f>
        <v/>
      </c>
      <c r="B141">
        <f>IF($W141="","",IF(INDEX('Per Invoice'!B$2:B$801,$W141)="","",INDEX('Per Invoice'!B$2:B$801,$W141)))</f>
        <v/>
      </c>
      <c r="C141">
        <f>IF($W141="","",IF(INDEX('Per Invoice'!C$2:C$801,$W141)="","",INDEX('Per Invoice'!C$2:C$801,$W141)))</f>
        <v/>
      </c>
      <c r="D141">
        <f>IF($W141="","",IF(INDEX('Per Invoice'!D$2:D$801,$W141)="","",INDEX('Per Invoice'!D$2:D$801,$W141)))</f>
        <v/>
      </c>
      <c r="E141">
        <f>IF($W141="","",IF(INDEX('Per Invoice'!E$2:E$801,$W141)="","",INDEX('Per Invoice'!E$2:E$801,$W141)))</f>
        <v/>
      </c>
      <c r="F141">
        <f>IF($W141="","",IF(INDEX('Per Invoice'!F$2:F$801,$W141)="","",INDEX('Per Invoice'!F$2:F$801,$W141)))</f>
        <v/>
      </c>
      <c r="G141">
        <f>IF($W141="","",IF(INDEX('Per Invoice'!G$2:G$801,$W141)="","",INDEX('Per Invoice'!G$2:G$801,$W141)))</f>
        <v/>
      </c>
      <c r="H141">
        <f>IF($W141="","",IF(INDEX('Per Invoice'!H$2:H$801,$W141)="","",INDEX('Per Invoice'!H$2:H$801,$W141)))</f>
        <v/>
      </c>
      <c r="I141">
        <f>IF($W141="","",IF(INDEX('Per Invoice'!I$2:I$801,$W141)="","",INDEX('Per Invoice'!I$2:I$801,$W141)))</f>
        <v/>
      </c>
      <c r="J141">
        <f>IF($W141="","",IF(INDEX('Per Invoice'!J$2:J$801,$W141)="","",INDEX('Per Invoice'!J$2:J$801,$W141)))</f>
        <v/>
      </c>
      <c r="K141" s="7">
        <f>IF($W141="","",IF(INDEX('Per Invoice'!K$2:K$801,$W141)="","",INDEX('Per Invoice'!K$2:K$801,$W141)))</f>
        <v/>
      </c>
      <c r="L141" s="14">
        <f>IF($W141="","",IF(INDEX('Per Invoice'!L$2:L$801,$W141)="","",INDEX('Per Invoice'!L$2:L$801,$W141)))</f>
        <v/>
      </c>
      <c r="M141">
        <f>IF($W141="","",IF(INDEX('Per Invoice'!M$2:M$801,$W141)="","",INDEX('Per Invoice'!M$2:M$801,$W141)))</f>
        <v/>
      </c>
      <c r="N141" s="7">
        <f>IF($W141="","",IF(INDEX('Per Invoice'!N$2:N$801,$W141)="","",INDEX('Per Invoice'!N$2:N$801,$W141)))</f>
        <v/>
      </c>
      <c r="O141" s="7">
        <f>IF($W141="","",IF(INDEX('Per Invoice'!O$2:O$801,$W141)="","",INDEX('Per Invoice'!O$2:O$801,$W141)))</f>
        <v/>
      </c>
      <c r="P141">
        <f>IF($W141="","",IF(INDEX('Per Invoice'!P$2:P$801,$W141)="","",INDEX('Per Invoice'!P$2:P$801,$W141)))</f>
        <v/>
      </c>
      <c r="Q141" s="7">
        <f>IF($W141="","",IF(INDEX('Per Invoice'!Q$2:Q$801,$W141)="","",INDEX('Per Invoice'!Q$2:Q$801,$W141)))</f>
        <v/>
      </c>
      <c r="R141" s="7">
        <f>IF($W141="","",IF(INDEX('Per Invoice'!R$2:R$801,$W141)="","",INDEX('Per Invoice'!R$2:R$801,$W141)))</f>
        <v/>
      </c>
      <c r="S141" s="7">
        <f>IF($W141="","",IF(INDEX('Per Invoice'!S$2:S$801,$W141)="","",INDEX('Per Invoice'!S$2:S$801,$W141)))</f>
        <v/>
      </c>
      <c r="T141" s="7">
        <f>IF($W141="","",IF(INDEX('Per Invoice'!T$2:T$801,$W141)="","",INDEX('Per Invoice'!T$2:T$801,$W141)))</f>
        <v/>
      </c>
      <c r="U141" s="7">
        <f>IF($W141="","",IF(INDEX('Per Invoice'!U$2:U$801,$W141)="","",INDEX('Per Invoice'!U$2:U$801,$W141)))</f>
        <v/>
      </c>
      <c r="V141" s="7">
        <f>IF($W141="","",IF(INDEX('Per Invoice'!V$2:V$801,$W141)="","",INDEX('Per Invoice'!V$2:V$801,$W141)))</f>
        <v/>
      </c>
      <c r="W141" s="16">
        <f>IFERROR(MATCH(Settings!$C$27&amp;"|"&amp;ROWS($W$2:$W141),'Per Invoice'!$X$2:$X$801,0),"")</f>
        <v/>
      </c>
    </row>
    <row r="142">
      <c r="A142">
        <f>IF($W142="","",IF(INDEX('Per Invoice'!A$2:A$801,$W142)="","",INDEX('Per Invoice'!A$2:A$801,$W142)))</f>
        <v/>
      </c>
      <c r="B142">
        <f>IF($W142="","",IF(INDEX('Per Invoice'!B$2:B$801,$W142)="","",INDEX('Per Invoice'!B$2:B$801,$W142)))</f>
        <v/>
      </c>
      <c r="C142">
        <f>IF($W142="","",IF(INDEX('Per Invoice'!C$2:C$801,$W142)="","",INDEX('Per Invoice'!C$2:C$801,$W142)))</f>
        <v/>
      </c>
      <c r="D142">
        <f>IF($W142="","",IF(INDEX('Per Invoice'!D$2:D$801,$W142)="","",INDEX('Per Invoice'!D$2:D$801,$W142)))</f>
        <v/>
      </c>
      <c r="E142">
        <f>IF($W142="","",IF(INDEX('Per Invoice'!E$2:E$801,$W142)="","",INDEX('Per Invoice'!E$2:E$801,$W142)))</f>
        <v/>
      </c>
      <c r="F142">
        <f>IF($W142="","",IF(INDEX('Per Invoice'!F$2:F$801,$W142)="","",INDEX('Per Invoice'!F$2:F$801,$W142)))</f>
        <v/>
      </c>
      <c r="G142">
        <f>IF($W142="","",IF(INDEX('Per Invoice'!G$2:G$801,$W142)="","",INDEX('Per Invoice'!G$2:G$801,$W142)))</f>
        <v/>
      </c>
      <c r="H142">
        <f>IF($W142="","",IF(INDEX('Per Invoice'!H$2:H$801,$W142)="","",INDEX('Per Invoice'!H$2:H$801,$W142)))</f>
        <v/>
      </c>
      <c r="I142">
        <f>IF($W142="","",IF(INDEX('Per Invoice'!I$2:I$801,$W142)="","",INDEX('Per Invoice'!I$2:I$801,$W142)))</f>
        <v/>
      </c>
      <c r="J142">
        <f>IF($W142="","",IF(INDEX('Per Invoice'!J$2:J$801,$W142)="","",INDEX('Per Invoice'!J$2:J$801,$W142)))</f>
        <v/>
      </c>
      <c r="K142" s="7">
        <f>IF($W142="","",IF(INDEX('Per Invoice'!K$2:K$801,$W142)="","",INDEX('Per Invoice'!K$2:K$801,$W142)))</f>
        <v/>
      </c>
      <c r="L142" s="14">
        <f>IF($W142="","",IF(INDEX('Per Invoice'!L$2:L$801,$W142)="","",INDEX('Per Invoice'!L$2:L$801,$W142)))</f>
        <v/>
      </c>
      <c r="M142">
        <f>IF($W142="","",IF(INDEX('Per Invoice'!M$2:M$801,$W142)="","",INDEX('Per Invoice'!M$2:M$801,$W142)))</f>
        <v/>
      </c>
      <c r="N142" s="7">
        <f>IF($W142="","",IF(INDEX('Per Invoice'!N$2:N$801,$W142)="","",INDEX('Per Invoice'!N$2:N$801,$W142)))</f>
        <v/>
      </c>
      <c r="O142" s="7">
        <f>IF($W142="","",IF(INDEX('Per Invoice'!O$2:O$801,$W142)="","",INDEX('Per Invoice'!O$2:O$801,$W142)))</f>
        <v/>
      </c>
      <c r="P142">
        <f>IF($W142="","",IF(INDEX('Per Invoice'!P$2:P$801,$W142)="","",INDEX('Per Invoice'!P$2:P$801,$W142)))</f>
        <v/>
      </c>
      <c r="Q142" s="7">
        <f>IF($W142="","",IF(INDEX('Per Invoice'!Q$2:Q$801,$W142)="","",INDEX('Per Invoice'!Q$2:Q$801,$W142)))</f>
        <v/>
      </c>
      <c r="R142" s="7">
        <f>IF($W142="","",IF(INDEX('Per Invoice'!R$2:R$801,$W142)="","",INDEX('Per Invoice'!R$2:R$801,$W142)))</f>
        <v/>
      </c>
      <c r="S142" s="7">
        <f>IF($W142="","",IF(INDEX('Per Invoice'!S$2:S$801,$W142)="","",INDEX('Per Invoice'!S$2:S$801,$W142)))</f>
        <v/>
      </c>
      <c r="T142" s="7">
        <f>IF($W142="","",IF(INDEX('Per Invoice'!T$2:T$801,$W142)="","",INDEX('Per Invoice'!T$2:T$801,$W142)))</f>
        <v/>
      </c>
      <c r="U142" s="7">
        <f>IF($W142="","",IF(INDEX('Per Invoice'!U$2:U$801,$W142)="","",INDEX('Per Invoice'!U$2:U$801,$W142)))</f>
        <v/>
      </c>
      <c r="V142" s="7">
        <f>IF($W142="","",IF(INDEX('Per Invoice'!V$2:V$801,$W142)="","",INDEX('Per Invoice'!V$2:V$801,$W142)))</f>
        <v/>
      </c>
      <c r="W142" s="16">
        <f>IFERROR(MATCH(Settings!$C$27&amp;"|"&amp;ROWS($W$2:$W142),'Per Invoice'!$X$2:$X$801,0),"")</f>
        <v/>
      </c>
    </row>
    <row r="143">
      <c r="A143">
        <f>IF($W143="","",IF(INDEX('Per Invoice'!A$2:A$801,$W143)="","",INDEX('Per Invoice'!A$2:A$801,$W143)))</f>
        <v/>
      </c>
      <c r="B143">
        <f>IF($W143="","",IF(INDEX('Per Invoice'!B$2:B$801,$W143)="","",INDEX('Per Invoice'!B$2:B$801,$W143)))</f>
        <v/>
      </c>
      <c r="C143">
        <f>IF($W143="","",IF(INDEX('Per Invoice'!C$2:C$801,$W143)="","",INDEX('Per Invoice'!C$2:C$801,$W143)))</f>
        <v/>
      </c>
      <c r="D143">
        <f>IF($W143="","",IF(INDEX('Per Invoice'!D$2:D$801,$W143)="","",INDEX('Per Invoice'!D$2:D$801,$W143)))</f>
        <v/>
      </c>
      <c r="E143">
        <f>IF($W143="","",IF(INDEX('Per Invoice'!E$2:E$801,$W143)="","",INDEX('Per Invoice'!E$2:E$801,$W143)))</f>
        <v/>
      </c>
      <c r="F143">
        <f>IF($W143="","",IF(INDEX('Per Invoice'!F$2:F$801,$W143)="","",INDEX('Per Invoice'!F$2:F$801,$W143)))</f>
        <v/>
      </c>
      <c r="G143">
        <f>IF($W143="","",IF(INDEX('Per Invoice'!G$2:G$801,$W143)="","",INDEX('Per Invoice'!G$2:G$801,$W143)))</f>
        <v/>
      </c>
      <c r="H143">
        <f>IF($W143="","",IF(INDEX('Per Invoice'!H$2:H$801,$W143)="","",INDEX('Per Invoice'!H$2:H$801,$W143)))</f>
        <v/>
      </c>
      <c r="I143">
        <f>IF($W143="","",IF(INDEX('Per Invoice'!I$2:I$801,$W143)="","",INDEX('Per Invoice'!I$2:I$801,$W143)))</f>
        <v/>
      </c>
      <c r="J143">
        <f>IF($W143="","",IF(INDEX('Per Invoice'!J$2:J$801,$W143)="","",INDEX('Per Invoice'!J$2:J$801,$W143)))</f>
        <v/>
      </c>
      <c r="K143" s="7">
        <f>IF($W143="","",IF(INDEX('Per Invoice'!K$2:K$801,$W143)="","",INDEX('Per Invoice'!K$2:K$801,$W143)))</f>
        <v/>
      </c>
      <c r="L143" s="14">
        <f>IF($W143="","",IF(INDEX('Per Invoice'!L$2:L$801,$W143)="","",INDEX('Per Invoice'!L$2:L$801,$W143)))</f>
        <v/>
      </c>
      <c r="M143">
        <f>IF($W143="","",IF(INDEX('Per Invoice'!M$2:M$801,$W143)="","",INDEX('Per Invoice'!M$2:M$801,$W143)))</f>
        <v/>
      </c>
      <c r="N143" s="7">
        <f>IF($W143="","",IF(INDEX('Per Invoice'!N$2:N$801,$W143)="","",INDEX('Per Invoice'!N$2:N$801,$W143)))</f>
        <v/>
      </c>
      <c r="O143" s="7">
        <f>IF($W143="","",IF(INDEX('Per Invoice'!O$2:O$801,$W143)="","",INDEX('Per Invoice'!O$2:O$801,$W143)))</f>
        <v/>
      </c>
      <c r="P143">
        <f>IF($W143="","",IF(INDEX('Per Invoice'!P$2:P$801,$W143)="","",INDEX('Per Invoice'!P$2:P$801,$W143)))</f>
        <v/>
      </c>
      <c r="Q143" s="7">
        <f>IF($W143="","",IF(INDEX('Per Invoice'!Q$2:Q$801,$W143)="","",INDEX('Per Invoice'!Q$2:Q$801,$W143)))</f>
        <v/>
      </c>
      <c r="R143" s="7">
        <f>IF($W143="","",IF(INDEX('Per Invoice'!R$2:R$801,$W143)="","",INDEX('Per Invoice'!R$2:R$801,$W143)))</f>
        <v/>
      </c>
      <c r="S143" s="7">
        <f>IF($W143="","",IF(INDEX('Per Invoice'!S$2:S$801,$W143)="","",INDEX('Per Invoice'!S$2:S$801,$W143)))</f>
        <v/>
      </c>
      <c r="T143" s="7">
        <f>IF($W143="","",IF(INDEX('Per Invoice'!T$2:T$801,$W143)="","",INDEX('Per Invoice'!T$2:T$801,$W143)))</f>
        <v/>
      </c>
      <c r="U143" s="7">
        <f>IF($W143="","",IF(INDEX('Per Invoice'!U$2:U$801,$W143)="","",INDEX('Per Invoice'!U$2:U$801,$W143)))</f>
        <v/>
      </c>
      <c r="V143" s="7">
        <f>IF($W143="","",IF(INDEX('Per Invoice'!V$2:V$801,$W143)="","",INDEX('Per Invoice'!V$2:V$801,$W143)))</f>
        <v/>
      </c>
      <c r="W143" s="16">
        <f>IFERROR(MATCH(Settings!$C$27&amp;"|"&amp;ROWS($W$2:$W143),'Per Invoice'!$X$2:$X$801,0),"")</f>
        <v/>
      </c>
    </row>
    <row r="144">
      <c r="A144">
        <f>IF($W144="","",IF(INDEX('Per Invoice'!A$2:A$801,$W144)="","",INDEX('Per Invoice'!A$2:A$801,$W144)))</f>
        <v/>
      </c>
      <c r="B144">
        <f>IF($W144="","",IF(INDEX('Per Invoice'!B$2:B$801,$W144)="","",INDEX('Per Invoice'!B$2:B$801,$W144)))</f>
        <v/>
      </c>
      <c r="C144">
        <f>IF($W144="","",IF(INDEX('Per Invoice'!C$2:C$801,$W144)="","",INDEX('Per Invoice'!C$2:C$801,$W144)))</f>
        <v/>
      </c>
      <c r="D144">
        <f>IF($W144="","",IF(INDEX('Per Invoice'!D$2:D$801,$W144)="","",INDEX('Per Invoice'!D$2:D$801,$W144)))</f>
        <v/>
      </c>
      <c r="E144">
        <f>IF($W144="","",IF(INDEX('Per Invoice'!E$2:E$801,$W144)="","",INDEX('Per Invoice'!E$2:E$801,$W144)))</f>
        <v/>
      </c>
      <c r="F144">
        <f>IF($W144="","",IF(INDEX('Per Invoice'!F$2:F$801,$W144)="","",INDEX('Per Invoice'!F$2:F$801,$W144)))</f>
        <v/>
      </c>
      <c r="G144">
        <f>IF($W144="","",IF(INDEX('Per Invoice'!G$2:G$801,$W144)="","",INDEX('Per Invoice'!G$2:G$801,$W144)))</f>
        <v/>
      </c>
      <c r="H144">
        <f>IF($W144="","",IF(INDEX('Per Invoice'!H$2:H$801,$W144)="","",INDEX('Per Invoice'!H$2:H$801,$W144)))</f>
        <v/>
      </c>
      <c r="I144">
        <f>IF($W144="","",IF(INDEX('Per Invoice'!I$2:I$801,$W144)="","",INDEX('Per Invoice'!I$2:I$801,$W144)))</f>
        <v/>
      </c>
      <c r="J144">
        <f>IF($W144="","",IF(INDEX('Per Invoice'!J$2:J$801,$W144)="","",INDEX('Per Invoice'!J$2:J$801,$W144)))</f>
        <v/>
      </c>
      <c r="K144" s="7">
        <f>IF($W144="","",IF(INDEX('Per Invoice'!K$2:K$801,$W144)="","",INDEX('Per Invoice'!K$2:K$801,$W144)))</f>
        <v/>
      </c>
      <c r="L144" s="14">
        <f>IF($W144="","",IF(INDEX('Per Invoice'!L$2:L$801,$W144)="","",INDEX('Per Invoice'!L$2:L$801,$W144)))</f>
        <v/>
      </c>
      <c r="M144">
        <f>IF($W144="","",IF(INDEX('Per Invoice'!M$2:M$801,$W144)="","",INDEX('Per Invoice'!M$2:M$801,$W144)))</f>
        <v/>
      </c>
      <c r="N144" s="7">
        <f>IF($W144="","",IF(INDEX('Per Invoice'!N$2:N$801,$W144)="","",INDEX('Per Invoice'!N$2:N$801,$W144)))</f>
        <v/>
      </c>
      <c r="O144" s="7">
        <f>IF($W144="","",IF(INDEX('Per Invoice'!O$2:O$801,$W144)="","",INDEX('Per Invoice'!O$2:O$801,$W144)))</f>
        <v/>
      </c>
      <c r="P144">
        <f>IF($W144="","",IF(INDEX('Per Invoice'!P$2:P$801,$W144)="","",INDEX('Per Invoice'!P$2:P$801,$W144)))</f>
        <v/>
      </c>
      <c r="Q144" s="7">
        <f>IF($W144="","",IF(INDEX('Per Invoice'!Q$2:Q$801,$W144)="","",INDEX('Per Invoice'!Q$2:Q$801,$W144)))</f>
        <v/>
      </c>
      <c r="R144" s="7">
        <f>IF($W144="","",IF(INDEX('Per Invoice'!R$2:R$801,$W144)="","",INDEX('Per Invoice'!R$2:R$801,$W144)))</f>
        <v/>
      </c>
      <c r="S144" s="7">
        <f>IF($W144="","",IF(INDEX('Per Invoice'!S$2:S$801,$W144)="","",INDEX('Per Invoice'!S$2:S$801,$W144)))</f>
        <v/>
      </c>
      <c r="T144" s="7">
        <f>IF($W144="","",IF(INDEX('Per Invoice'!T$2:T$801,$W144)="","",INDEX('Per Invoice'!T$2:T$801,$W144)))</f>
        <v/>
      </c>
      <c r="U144" s="7">
        <f>IF($W144="","",IF(INDEX('Per Invoice'!U$2:U$801,$W144)="","",INDEX('Per Invoice'!U$2:U$801,$W144)))</f>
        <v/>
      </c>
      <c r="V144" s="7">
        <f>IF($W144="","",IF(INDEX('Per Invoice'!V$2:V$801,$W144)="","",INDEX('Per Invoice'!V$2:V$801,$W144)))</f>
        <v/>
      </c>
      <c r="W144" s="16">
        <f>IFERROR(MATCH(Settings!$C$27&amp;"|"&amp;ROWS($W$2:$W144),'Per Invoice'!$X$2:$X$801,0),"")</f>
        <v/>
      </c>
    </row>
    <row r="145">
      <c r="A145">
        <f>IF($W145="","",IF(INDEX('Per Invoice'!A$2:A$801,$W145)="","",INDEX('Per Invoice'!A$2:A$801,$W145)))</f>
        <v/>
      </c>
      <c r="B145">
        <f>IF($W145="","",IF(INDEX('Per Invoice'!B$2:B$801,$W145)="","",INDEX('Per Invoice'!B$2:B$801,$W145)))</f>
        <v/>
      </c>
      <c r="C145">
        <f>IF($W145="","",IF(INDEX('Per Invoice'!C$2:C$801,$W145)="","",INDEX('Per Invoice'!C$2:C$801,$W145)))</f>
        <v/>
      </c>
      <c r="D145">
        <f>IF($W145="","",IF(INDEX('Per Invoice'!D$2:D$801,$W145)="","",INDEX('Per Invoice'!D$2:D$801,$W145)))</f>
        <v/>
      </c>
      <c r="E145">
        <f>IF($W145="","",IF(INDEX('Per Invoice'!E$2:E$801,$W145)="","",INDEX('Per Invoice'!E$2:E$801,$W145)))</f>
        <v/>
      </c>
      <c r="F145">
        <f>IF($W145="","",IF(INDEX('Per Invoice'!F$2:F$801,$W145)="","",INDEX('Per Invoice'!F$2:F$801,$W145)))</f>
        <v/>
      </c>
      <c r="G145">
        <f>IF($W145="","",IF(INDEX('Per Invoice'!G$2:G$801,$W145)="","",INDEX('Per Invoice'!G$2:G$801,$W145)))</f>
        <v/>
      </c>
      <c r="H145">
        <f>IF($W145="","",IF(INDEX('Per Invoice'!H$2:H$801,$W145)="","",INDEX('Per Invoice'!H$2:H$801,$W145)))</f>
        <v/>
      </c>
      <c r="I145">
        <f>IF($W145="","",IF(INDEX('Per Invoice'!I$2:I$801,$W145)="","",INDEX('Per Invoice'!I$2:I$801,$W145)))</f>
        <v/>
      </c>
      <c r="J145">
        <f>IF($W145="","",IF(INDEX('Per Invoice'!J$2:J$801,$W145)="","",INDEX('Per Invoice'!J$2:J$801,$W145)))</f>
        <v/>
      </c>
      <c r="K145" s="7">
        <f>IF($W145="","",IF(INDEX('Per Invoice'!K$2:K$801,$W145)="","",INDEX('Per Invoice'!K$2:K$801,$W145)))</f>
        <v/>
      </c>
      <c r="L145" s="14">
        <f>IF($W145="","",IF(INDEX('Per Invoice'!L$2:L$801,$W145)="","",INDEX('Per Invoice'!L$2:L$801,$W145)))</f>
        <v/>
      </c>
      <c r="M145">
        <f>IF($W145="","",IF(INDEX('Per Invoice'!M$2:M$801,$W145)="","",INDEX('Per Invoice'!M$2:M$801,$W145)))</f>
        <v/>
      </c>
      <c r="N145" s="7">
        <f>IF($W145="","",IF(INDEX('Per Invoice'!N$2:N$801,$W145)="","",INDEX('Per Invoice'!N$2:N$801,$W145)))</f>
        <v/>
      </c>
      <c r="O145" s="7">
        <f>IF($W145="","",IF(INDEX('Per Invoice'!O$2:O$801,$W145)="","",INDEX('Per Invoice'!O$2:O$801,$W145)))</f>
        <v/>
      </c>
      <c r="P145">
        <f>IF($W145="","",IF(INDEX('Per Invoice'!P$2:P$801,$W145)="","",INDEX('Per Invoice'!P$2:P$801,$W145)))</f>
        <v/>
      </c>
      <c r="Q145" s="7">
        <f>IF($W145="","",IF(INDEX('Per Invoice'!Q$2:Q$801,$W145)="","",INDEX('Per Invoice'!Q$2:Q$801,$W145)))</f>
        <v/>
      </c>
      <c r="R145" s="7">
        <f>IF($W145="","",IF(INDEX('Per Invoice'!R$2:R$801,$W145)="","",INDEX('Per Invoice'!R$2:R$801,$W145)))</f>
        <v/>
      </c>
      <c r="S145" s="7">
        <f>IF($W145="","",IF(INDEX('Per Invoice'!S$2:S$801,$W145)="","",INDEX('Per Invoice'!S$2:S$801,$W145)))</f>
        <v/>
      </c>
      <c r="T145" s="7">
        <f>IF($W145="","",IF(INDEX('Per Invoice'!T$2:T$801,$W145)="","",INDEX('Per Invoice'!T$2:T$801,$W145)))</f>
        <v/>
      </c>
      <c r="U145" s="7">
        <f>IF($W145="","",IF(INDEX('Per Invoice'!U$2:U$801,$W145)="","",INDEX('Per Invoice'!U$2:U$801,$W145)))</f>
        <v/>
      </c>
      <c r="V145" s="7">
        <f>IF($W145="","",IF(INDEX('Per Invoice'!V$2:V$801,$W145)="","",INDEX('Per Invoice'!V$2:V$801,$W145)))</f>
        <v/>
      </c>
      <c r="W145" s="16">
        <f>IFERROR(MATCH(Settings!$C$27&amp;"|"&amp;ROWS($W$2:$W145),'Per Invoice'!$X$2:$X$801,0),"")</f>
        <v/>
      </c>
    </row>
    <row r="146">
      <c r="A146">
        <f>IF($W146="","",IF(INDEX('Per Invoice'!A$2:A$801,$W146)="","",INDEX('Per Invoice'!A$2:A$801,$W146)))</f>
        <v/>
      </c>
      <c r="B146">
        <f>IF($W146="","",IF(INDEX('Per Invoice'!B$2:B$801,$W146)="","",INDEX('Per Invoice'!B$2:B$801,$W146)))</f>
        <v/>
      </c>
      <c r="C146">
        <f>IF($W146="","",IF(INDEX('Per Invoice'!C$2:C$801,$W146)="","",INDEX('Per Invoice'!C$2:C$801,$W146)))</f>
        <v/>
      </c>
      <c r="D146">
        <f>IF($W146="","",IF(INDEX('Per Invoice'!D$2:D$801,$W146)="","",INDEX('Per Invoice'!D$2:D$801,$W146)))</f>
        <v/>
      </c>
      <c r="E146">
        <f>IF($W146="","",IF(INDEX('Per Invoice'!E$2:E$801,$W146)="","",INDEX('Per Invoice'!E$2:E$801,$W146)))</f>
        <v/>
      </c>
      <c r="F146">
        <f>IF($W146="","",IF(INDEX('Per Invoice'!F$2:F$801,$W146)="","",INDEX('Per Invoice'!F$2:F$801,$W146)))</f>
        <v/>
      </c>
      <c r="G146">
        <f>IF($W146="","",IF(INDEX('Per Invoice'!G$2:G$801,$W146)="","",INDEX('Per Invoice'!G$2:G$801,$W146)))</f>
        <v/>
      </c>
      <c r="H146">
        <f>IF($W146="","",IF(INDEX('Per Invoice'!H$2:H$801,$W146)="","",INDEX('Per Invoice'!H$2:H$801,$W146)))</f>
        <v/>
      </c>
      <c r="I146">
        <f>IF($W146="","",IF(INDEX('Per Invoice'!I$2:I$801,$W146)="","",INDEX('Per Invoice'!I$2:I$801,$W146)))</f>
        <v/>
      </c>
      <c r="J146">
        <f>IF($W146="","",IF(INDEX('Per Invoice'!J$2:J$801,$W146)="","",INDEX('Per Invoice'!J$2:J$801,$W146)))</f>
        <v/>
      </c>
      <c r="K146" s="7">
        <f>IF($W146="","",IF(INDEX('Per Invoice'!K$2:K$801,$W146)="","",INDEX('Per Invoice'!K$2:K$801,$W146)))</f>
        <v/>
      </c>
      <c r="L146" s="14">
        <f>IF($W146="","",IF(INDEX('Per Invoice'!L$2:L$801,$W146)="","",INDEX('Per Invoice'!L$2:L$801,$W146)))</f>
        <v/>
      </c>
      <c r="M146">
        <f>IF($W146="","",IF(INDEX('Per Invoice'!M$2:M$801,$W146)="","",INDEX('Per Invoice'!M$2:M$801,$W146)))</f>
        <v/>
      </c>
      <c r="N146" s="7">
        <f>IF($W146="","",IF(INDEX('Per Invoice'!N$2:N$801,$W146)="","",INDEX('Per Invoice'!N$2:N$801,$W146)))</f>
        <v/>
      </c>
      <c r="O146" s="7">
        <f>IF($W146="","",IF(INDEX('Per Invoice'!O$2:O$801,$W146)="","",INDEX('Per Invoice'!O$2:O$801,$W146)))</f>
        <v/>
      </c>
      <c r="P146">
        <f>IF($W146="","",IF(INDEX('Per Invoice'!P$2:P$801,$W146)="","",INDEX('Per Invoice'!P$2:P$801,$W146)))</f>
        <v/>
      </c>
      <c r="Q146" s="7">
        <f>IF($W146="","",IF(INDEX('Per Invoice'!Q$2:Q$801,$W146)="","",INDEX('Per Invoice'!Q$2:Q$801,$W146)))</f>
        <v/>
      </c>
      <c r="R146" s="7">
        <f>IF($W146="","",IF(INDEX('Per Invoice'!R$2:R$801,$W146)="","",INDEX('Per Invoice'!R$2:R$801,$W146)))</f>
        <v/>
      </c>
      <c r="S146" s="7">
        <f>IF($W146="","",IF(INDEX('Per Invoice'!S$2:S$801,$W146)="","",INDEX('Per Invoice'!S$2:S$801,$W146)))</f>
        <v/>
      </c>
      <c r="T146" s="7">
        <f>IF($W146="","",IF(INDEX('Per Invoice'!T$2:T$801,$W146)="","",INDEX('Per Invoice'!T$2:T$801,$W146)))</f>
        <v/>
      </c>
      <c r="U146" s="7">
        <f>IF($W146="","",IF(INDEX('Per Invoice'!U$2:U$801,$W146)="","",INDEX('Per Invoice'!U$2:U$801,$W146)))</f>
        <v/>
      </c>
      <c r="V146" s="7">
        <f>IF($W146="","",IF(INDEX('Per Invoice'!V$2:V$801,$W146)="","",INDEX('Per Invoice'!V$2:V$801,$W146)))</f>
        <v/>
      </c>
      <c r="W146" s="16">
        <f>IFERROR(MATCH(Settings!$C$27&amp;"|"&amp;ROWS($W$2:$W146),'Per Invoice'!$X$2:$X$801,0),"")</f>
        <v/>
      </c>
    </row>
    <row r="147">
      <c r="A147">
        <f>IF($W147="","",IF(INDEX('Per Invoice'!A$2:A$801,$W147)="","",INDEX('Per Invoice'!A$2:A$801,$W147)))</f>
        <v/>
      </c>
      <c r="B147">
        <f>IF($W147="","",IF(INDEX('Per Invoice'!B$2:B$801,$W147)="","",INDEX('Per Invoice'!B$2:B$801,$W147)))</f>
        <v/>
      </c>
      <c r="C147">
        <f>IF($W147="","",IF(INDEX('Per Invoice'!C$2:C$801,$W147)="","",INDEX('Per Invoice'!C$2:C$801,$W147)))</f>
        <v/>
      </c>
      <c r="D147">
        <f>IF($W147="","",IF(INDEX('Per Invoice'!D$2:D$801,$W147)="","",INDEX('Per Invoice'!D$2:D$801,$W147)))</f>
        <v/>
      </c>
      <c r="E147">
        <f>IF($W147="","",IF(INDEX('Per Invoice'!E$2:E$801,$W147)="","",INDEX('Per Invoice'!E$2:E$801,$W147)))</f>
        <v/>
      </c>
      <c r="F147">
        <f>IF($W147="","",IF(INDEX('Per Invoice'!F$2:F$801,$W147)="","",INDEX('Per Invoice'!F$2:F$801,$W147)))</f>
        <v/>
      </c>
      <c r="G147">
        <f>IF($W147="","",IF(INDEX('Per Invoice'!G$2:G$801,$W147)="","",INDEX('Per Invoice'!G$2:G$801,$W147)))</f>
        <v/>
      </c>
      <c r="H147">
        <f>IF($W147="","",IF(INDEX('Per Invoice'!H$2:H$801,$W147)="","",INDEX('Per Invoice'!H$2:H$801,$W147)))</f>
        <v/>
      </c>
      <c r="I147">
        <f>IF($W147="","",IF(INDEX('Per Invoice'!I$2:I$801,$W147)="","",INDEX('Per Invoice'!I$2:I$801,$W147)))</f>
        <v/>
      </c>
      <c r="J147">
        <f>IF($W147="","",IF(INDEX('Per Invoice'!J$2:J$801,$W147)="","",INDEX('Per Invoice'!J$2:J$801,$W147)))</f>
        <v/>
      </c>
      <c r="K147" s="7">
        <f>IF($W147="","",IF(INDEX('Per Invoice'!K$2:K$801,$W147)="","",INDEX('Per Invoice'!K$2:K$801,$W147)))</f>
        <v/>
      </c>
      <c r="L147" s="14">
        <f>IF($W147="","",IF(INDEX('Per Invoice'!L$2:L$801,$W147)="","",INDEX('Per Invoice'!L$2:L$801,$W147)))</f>
        <v/>
      </c>
      <c r="M147">
        <f>IF($W147="","",IF(INDEX('Per Invoice'!M$2:M$801,$W147)="","",INDEX('Per Invoice'!M$2:M$801,$W147)))</f>
        <v/>
      </c>
      <c r="N147" s="7">
        <f>IF($W147="","",IF(INDEX('Per Invoice'!N$2:N$801,$W147)="","",INDEX('Per Invoice'!N$2:N$801,$W147)))</f>
        <v/>
      </c>
      <c r="O147" s="7">
        <f>IF($W147="","",IF(INDEX('Per Invoice'!O$2:O$801,$W147)="","",INDEX('Per Invoice'!O$2:O$801,$W147)))</f>
        <v/>
      </c>
      <c r="P147">
        <f>IF($W147="","",IF(INDEX('Per Invoice'!P$2:P$801,$W147)="","",INDEX('Per Invoice'!P$2:P$801,$W147)))</f>
        <v/>
      </c>
      <c r="Q147" s="7">
        <f>IF($W147="","",IF(INDEX('Per Invoice'!Q$2:Q$801,$W147)="","",INDEX('Per Invoice'!Q$2:Q$801,$W147)))</f>
        <v/>
      </c>
      <c r="R147" s="7">
        <f>IF($W147="","",IF(INDEX('Per Invoice'!R$2:R$801,$W147)="","",INDEX('Per Invoice'!R$2:R$801,$W147)))</f>
        <v/>
      </c>
      <c r="S147" s="7">
        <f>IF($W147="","",IF(INDEX('Per Invoice'!S$2:S$801,$W147)="","",INDEX('Per Invoice'!S$2:S$801,$W147)))</f>
        <v/>
      </c>
      <c r="T147" s="7">
        <f>IF($W147="","",IF(INDEX('Per Invoice'!T$2:T$801,$W147)="","",INDEX('Per Invoice'!T$2:T$801,$W147)))</f>
        <v/>
      </c>
      <c r="U147" s="7">
        <f>IF($W147="","",IF(INDEX('Per Invoice'!U$2:U$801,$W147)="","",INDEX('Per Invoice'!U$2:U$801,$W147)))</f>
        <v/>
      </c>
      <c r="V147" s="7">
        <f>IF($W147="","",IF(INDEX('Per Invoice'!V$2:V$801,$W147)="","",INDEX('Per Invoice'!V$2:V$801,$W147)))</f>
        <v/>
      </c>
      <c r="W147" s="16">
        <f>IFERROR(MATCH(Settings!$C$27&amp;"|"&amp;ROWS($W$2:$W147),'Per Invoice'!$X$2:$X$801,0),"")</f>
        <v/>
      </c>
    </row>
    <row r="148">
      <c r="A148">
        <f>IF($W148="","",IF(INDEX('Per Invoice'!A$2:A$801,$W148)="","",INDEX('Per Invoice'!A$2:A$801,$W148)))</f>
        <v/>
      </c>
      <c r="B148">
        <f>IF($W148="","",IF(INDEX('Per Invoice'!B$2:B$801,$W148)="","",INDEX('Per Invoice'!B$2:B$801,$W148)))</f>
        <v/>
      </c>
      <c r="C148">
        <f>IF($W148="","",IF(INDEX('Per Invoice'!C$2:C$801,$W148)="","",INDEX('Per Invoice'!C$2:C$801,$W148)))</f>
        <v/>
      </c>
      <c r="D148">
        <f>IF($W148="","",IF(INDEX('Per Invoice'!D$2:D$801,$W148)="","",INDEX('Per Invoice'!D$2:D$801,$W148)))</f>
        <v/>
      </c>
      <c r="E148">
        <f>IF($W148="","",IF(INDEX('Per Invoice'!E$2:E$801,$W148)="","",INDEX('Per Invoice'!E$2:E$801,$W148)))</f>
        <v/>
      </c>
      <c r="F148">
        <f>IF($W148="","",IF(INDEX('Per Invoice'!F$2:F$801,$W148)="","",INDEX('Per Invoice'!F$2:F$801,$W148)))</f>
        <v/>
      </c>
      <c r="G148">
        <f>IF($W148="","",IF(INDEX('Per Invoice'!G$2:G$801,$W148)="","",INDEX('Per Invoice'!G$2:G$801,$W148)))</f>
        <v/>
      </c>
      <c r="H148">
        <f>IF($W148="","",IF(INDEX('Per Invoice'!H$2:H$801,$W148)="","",INDEX('Per Invoice'!H$2:H$801,$W148)))</f>
        <v/>
      </c>
      <c r="I148">
        <f>IF($W148="","",IF(INDEX('Per Invoice'!I$2:I$801,$W148)="","",INDEX('Per Invoice'!I$2:I$801,$W148)))</f>
        <v/>
      </c>
      <c r="J148">
        <f>IF($W148="","",IF(INDEX('Per Invoice'!J$2:J$801,$W148)="","",INDEX('Per Invoice'!J$2:J$801,$W148)))</f>
        <v/>
      </c>
      <c r="K148" s="7">
        <f>IF($W148="","",IF(INDEX('Per Invoice'!K$2:K$801,$W148)="","",INDEX('Per Invoice'!K$2:K$801,$W148)))</f>
        <v/>
      </c>
      <c r="L148" s="14">
        <f>IF($W148="","",IF(INDEX('Per Invoice'!L$2:L$801,$W148)="","",INDEX('Per Invoice'!L$2:L$801,$W148)))</f>
        <v/>
      </c>
      <c r="M148">
        <f>IF($W148="","",IF(INDEX('Per Invoice'!M$2:M$801,$W148)="","",INDEX('Per Invoice'!M$2:M$801,$W148)))</f>
        <v/>
      </c>
      <c r="N148" s="7">
        <f>IF($W148="","",IF(INDEX('Per Invoice'!N$2:N$801,$W148)="","",INDEX('Per Invoice'!N$2:N$801,$W148)))</f>
        <v/>
      </c>
      <c r="O148" s="7">
        <f>IF($W148="","",IF(INDEX('Per Invoice'!O$2:O$801,$W148)="","",INDEX('Per Invoice'!O$2:O$801,$W148)))</f>
        <v/>
      </c>
      <c r="P148">
        <f>IF($W148="","",IF(INDEX('Per Invoice'!P$2:P$801,$W148)="","",INDEX('Per Invoice'!P$2:P$801,$W148)))</f>
        <v/>
      </c>
      <c r="Q148" s="7">
        <f>IF($W148="","",IF(INDEX('Per Invoice'!Q$2:Q$801,$W148)="","",INDEX('Per Invoice'!Q$2:Q$801,$W148)))</f>
        <v/>
      </c>
      <c r="R148" s="7">
        <f>IF($W148="","",IF(INDEX('Per Invoice'!R$2:R$801,$W148)="","",INDEX('Per Invoice'!R$2:R$801,$W148)))</f>
        <v/>
      </c>
      <c r="S148" s="7">
        <f>IF($W148="","",IF(INDEX('Per Invoice'!S$2:S$801,$W148)="","",INDEX('Per Invoice'!S$2:S$801,$W148)))</f>
        <v/>
      </c>
      <c r="T148" s="7">
        <f>IF($W148="","",IF(INDEX('Per Invoice'!T$2:T$801,$W148)="","",INDEX('Per Invoice'!T$2:T$801,$W148)))</f>
        <v/>
      </c>
      <c r="U148" s="7">
        <f>IF($W148="","",IF(INDEX('Per Invoice'!U$2:U$801,$W148)="","",INDEX('Per Invoice'!U$2:U$801,$W148)))</f>
        <v/>
      </c>
      <c r="V148" s="7">
        <f>IF($W148="","",IF(INDEX('Per Invoice'!V$2:V$801,$W148)="","",INDEX('Per Invoice'!V$2:V$801,$W148)))</f>
        <v/>
      </c>
      <c r="W148" s="16">
        <f>IFERROR(MATCH(Settings!$C$27&amp;"|"&amp;ROWS($W$2:$W148),'Per Invoice'!$X$2:$X$801,0),"")</f>
        <v/>
      </c>
    </row>
    <row r="149">
      <c r="A149">
        <f>IF($W149="","",IF(INDEX('Per Invoice'!A$2:A$801,$W149)="","",INDEX('Per Invoice'!A$2:A$801,$W149)))</f>
        <v/>
      </c>
      <c r="B149">
        <f>IF($W149="","",IF(INDEX('Per Invoice'!B$2:B$801,$W149)="","",INDEX('Per Invoice'!B$2:B$801,$W149)))</f>
        <v/>
      </c>
      <c r="C149">
        <f>IF($W149="","",IF(INDEX('Per Invoice'!C$2:C$801,$W149)="","",INDEX('Per Invoice'!C$2:C$801,$W149)))</f>
        <v/>
      </c>
      <c r="D149">
        <f>IF($W149="","",IF(INDEX('Per Invoice'!D$2:D$801,$W149)="","",INDEX('Per Invoice'!D$2:D$801,$W149)))</f>
        <v/>
      </c>
      <c r="E149">
        <f>IF($W149="","",IF(INDEX('Per Invoice'!E$2:E$801,$W149)="","",INDEX('Per Invoice'!E$2:E$801,$W149)))</f>
        <v/>
      </c>
      <c r="F149">
        <f>IF($W149="","",IF(INDEX('Per Invoice'!F$2:F$801,$W149)="","",INDEX('Per Invoice'!F$2:F$801,$W149)))</f>
        <v/>
      </c>
      <c r="G149">
        <f>IF($W149="","",IF(INDEX('Per Invoice'!G$2:G$801,$W149)="","",INDEX('Per Invoice'!G$2:G$801,$W149)))</f>
        <v/>
      </c>
      <c r="H149">
        <f>IF($W149="","",IF(INDEX('Per Invoice'!H$2:H$801,$W149)="","",INDEX('Per Invoice'!H$2:H$801,$W149)))</f>
        <v/>
      </c>
      <c r="I149">
        <f>IF($W149="","",IF(INDEX('Per Invoice'!I$2:I$801,$W149)="","",INDEX('Per Invoice'!I$2:I$801,$W149)))</f>
        <v/>
      </c>
      <c r="J149">
        <f>IF($W149="","",IF(INDEX('Per Invoice'!J$2:J$801,$W149)="","",INDEX('Per Invoice'!J$2:J$801,$W149)))</f>
        <v/>
      </c>
      <c r="K149" s="7">
        <f>IF($W149="","",IF(INDEX('Per Invoice'!K$2:K$801,$W149)="","",INDEX('Per Invoice'!K$2:K$801,$W149)))</f>
        <v/>
      </c>
      <c r="L149" s="14">
        <f>IF($W149="","",IF(INDEX('Per Invoice'!L$2:L$801,$W149)="","",INDEX('Per Invoice'!L$2:L$801,$W149)))</f>
        <v/>
      </c>
      <c r="M149">
        <f>IF($W149="","",IF(INDEX('Per Invoice'!M$2:M$801,$W149)="","",INDEX('Per Invoice'!M$2:M$801,$W149)))</f>
        <v/>
      </c>
      <c r="N149" s="7">
        <f>IF($W149="","",IF(INDEX('Per Invoice'!N$2:N$801,$W149)="","",INDEX('Per Invoice'!N$2:N$801,$W149)))</f>
        <v/>
      </c>
      <c r="O149" s="7">
        <f>IF($W149="","",IF(INDEX('Per Invoice'!O$2:O$801,$W149)="","",INDEX('Per Invoice'!O$2:O$801,$W149)))</f>
        <v/>
      </c>
      <c r="P149">
        <f>IF($W149="","",IF(INDEX('Per Invoice'!P$2:P$801,$W149)="","",INDEX('Per Invoice'!P$2:P$801,$W149)))</f>
        <v/>
      </c>
      <c r="Q149" s="7">
        <f>IF($W149="","",IF(INDEX('Per Invoice'!Q$2:Q$801,$W149)="","",INDEX('Per Invoice'!Q$2:Q$801,$W149)))</f>
        <v/>
      </c>
      <c r="R149" s="7">
        <f>IF($W149="","",IF(INDEX('Per Invoice'!R$2:R$801,$W149)="","",INDEX('Per Invoice'!R$2:R$801,$W149)))</f>
        <v/>
      </c>
      <c r="S149" s="7">
        <f>IF($W149="","",IF(INDEX('Per Invoice'!S$2:S$801,$W149)="","",INDEX('Per Invoice'!S$2:S$801,$W149)))</f>
        <v/>
      </c>
      <c r="T149" s="7">
        <f>IF($W149="","",IF(INDEX('Per Invoice'!T$2:T$801,$W149)="","",INDEX('Per Invoice'!T$2:T$801,$W149)))</f>
        <v/>
      </c>
      <c r="U149" s="7">
        <f>IF($W149="","",IF(INDEX('Per Invoice'!U$2:U$801,$W149)="","",INDEX('Per Invoice'!U$2:U$801,$W149)))</f>
        <v/>
      </c>
      <c r="V149" s="7">
        <f>IF($W149="","",IF(INDEX('Per Invoice'!V$2:V$801,$W149)="","",INDEX('Per Invoice'!V$2:V$801,$W149)))</f>
        <v/>
      </c>
      <c r="W149" s="16">
        <f>IFERROR(MATCH(Settings!$C$27&amp;"|"&amp;ROWS($W$2:$W149),'Per Invoice'!$X$2:$X$801,0),"")</f>
        <v/>
      </c>
    </row>
    <row r="150">
      <c r="A150">
        <f>IF($W150="","",IF(INDEX('Per Invoice'!A$2:A$801,$W150)="","",INDEX('Per Invoice'!A$2:A$801,$W150)))</f>
        <v/>
      </c>
      <c r="B150">
        <f>IF($W150="","",IF(INDEX('Per Invoice'!B$2:B$801,$W150)="","",INDEX('Per Invoice'!B$2:B$801,$W150)))</f>
        <v/>
      </c>
      <c r="C150">
        <f>IF($W150="","",IF(INDEX('Per Invoice'!C$2:C$801,$W150)="","",INDEX('Per Invoice'!C$2:C$801,$W150)))</f>
        <v/>
      </c>
      <c r="D150">
        <f>IF($W150="","",IF(INDEX('Per Invoice'!D$2:D$801,$W150)="","",INDEX('Per Invoice'!D$2:D$801,$W150)))</f>
        <v/>
      </c>
      <c r="E150">
        <f>IF($W150="","",IF(INDEX('Per Invoice'!E$2:E$801,$W150)="","",INDEX('Per Invoice'!E$2:E$801,$W150)))</f>
        <v/>
      </c>
      <c r="F150">
        <f>IF($W150="","",IF(INDEX('Per Invoice'!F$2:F$801,$W150)="","",INDEX('Per Invoice'!F$2:F$801,$W150)))</f>
        <v/>
      </c>
      <c r="G150">
        <f>IF($W150="","",IF(INDEX('Per Invoice'!G$2:G$801,$W150)="","",INDEX('Per Invoice'!G$2:G$801,$W150)))</f>
        <v/>
      </c>
      <c r="H150">
        <f>IF($W150="","",IF(INDEX('Per Invoice'!H$2:H$801,$W150)="","",INDEX('Per Invoice'!H$2:H$801,$W150)))</f>
        <v/>
      </c>
      <c r="I150">
        <f>IF($W150="","",IF(INDEX('Per Invoice'!I$2:I$801,$W150)="","",INDEX('Per Invoice'!I$2:I$801,$W150)))</f>
        <v/>
      </c>
      <c r="J150">
        <f>IF($W150="","",IF(INDEX('Per Invoice'!J$2:J$801,$W150)="","",INDEX('Per Invoice'!J$2:J$801,$W150)))</f>
        <v/>
      </c>
      <c r="K150" s="7">
        <f>IF($W150="","",IF(INDEX('Per Invoice'!K$2:K$801,$W150)="","",INDEX('Per Invoice'!K$2:K$801,$W150)))</f>
        <v/>
      </c>
      <c r="L150" s="14">
        <f>IF($W150="","",IF(INDEX('Per Invoice'!L$2:L$801,$W150)="","",INDEX('Per Invoice'!L$2:L$801,$W150)))</f>
        <v/>
      </c>
      <c r="M150">
        <f>IF($W150="","",IF(INDEX('Per Invoice'!M$2:M$801,$W150)="","",INDEX('Per Invoice'!M$2:M$801,$W150)))</f>
        <v/>
      </c>
      <c r="N150" s="7">
        <f>IF($W150="","",IF(INDEX('Per Invoice'!N$2:N$801,$W150)="","",INDEX('Per Invoice'!N$2:N$801,$W150)))</f>
        <v/>
      </c>
      <c r="O150" s="7">
        <f>IF($W150="","",IF(INDEX('Per Invoice'!O$2:O$801,$W150)="","",INDEX('Per Invoice'!O$2:O$801,$W150)))</f>
        <v/>
      </c>
      <c r="P150">
        <f>IF($W150="","",IF(INDEX('Per Invoice'!P$2:P$801,$W150)="","",INDEX('Per Invoice'!P$2:P$801,$W150)))</f>
        <v/>
      </c>
      <c r="Q150" s="7">
        <f>IF($W150="","",IF(INDEX('Per Invoice'!Q$2:Q$801,$W150)="","",INDEX('Per Invoice'!Q$2:Q$801,$W150)))</f>
        <v/>
      </c>
      <c r="R150" s="7">
        <f>IF($W150="","",IF(INDEX('Per Invoice'!R$2:R$801,$W150)="","",INDEX('Per Invoice'!R$2:R$801,$W150)))</f>
        <v/>
      </c>
      <c r="S150" s="7">
        <f>IF($W150="","",IF(INDEX('Per Invoice'!S$2:S$801,$W150)="","",INDEX('Per Invoice'!S$2:S$801,$W150)))</f>
        <v/>
      </c>
      <c r="T150" s="7">
        <f>IF($W150="","",IF(INDEX('Per Invoice'!T$2:T$801,$W150)="","",INDEX('Per Invoice'!T$2:T$801,$W150)))</f>
        <v/>
      </c>
      <c r="U150" s="7">
        <f>IF($W150="","",IF(INDEX('Per Invoice'!U$2:U$801,$W150)="","",INDEX('Per Invoice'!U$2:U$801,$W150)))</f>
        <v/>
      </c>
      <c r="V150" s="7">
        <f>IF($W150="","",IF(INDEX('Per Invoice'!V$2:V$801,$W150)="","",INDEX('Per Invoice'!V$2:V$801,$W150)))</f>
        <v/>
      </c>
      <c r="W150" s="16">
        <f>IFERROR(MATCH(Settings!$C$27&amp;"|"&amp;ROWS($W$2:$W150),'Per Invoice'!$X$2:$X$801,0),"")</f>
        <v/>
      </c>
    </row>
    <row r="151">
      <c r="A151">
        <f>IF($W151="","",IF(INDEX('Per Invoice'!A$2:A$801,$W151)="","",INDEX('Per Invoice'!A$2:A$801,$W151)))</f>
        <v/>
      </c>
      <c r="B151">
        <f>IF($W151="","",IF(INDEX('Per Invoice'!B$2:B$801,$W151)="","",INDEX('Per Invoice'!B$2:B$801,$W151)))</f>
        <v/>
      </c>
      <c r="C151">
        <f>IF($W151="","",IF(INDEX('Per Invoice'!C$2:C$801,$W151)="","",INDEX('Per Invoice'!C$2:C$801,$W151)))</f>
        <v/>
      </c>
      <c r="D151">
        <f>IF($W151="","",IF(INDEX('Per Invoice'!D$2:D$801,$W151)="","",INDEX('Per Invoice'!D$2:D$801,$W151)))</f>
        <v/>
      </c>
      <c r="E151">
        <f>IF($W151="","",IF(INDEX('Per Invoice'!E$2:E$801,$W151)="","",INDEX('Per Invoice'!E$2:E$801,$W151)))</f>
        <v/>
      </c>
      <c r="F151">
        <f>IF($W151="","",IF(INDEX('Per Invoice'!F$2:F$801,$W151)="","",INDEX('Per Invoice'!F$2:F$801,$W151)))</f>
        <v/>
      </c>
      <c r="G151">
        <f>IF($W151="","",IF(INDEX('Per Invoice'!G$2:G$801,$W151)="","",INDEX('Per Invoice'!G$2:G$801,$W151)))</f>
        <v/>
      </c>
      <c r="H151">
        <f>IF($W151="","",IF(INDEX('Per Invoice'!H$2:H$801,$W151)="","",INDEX('Per Invoice'!H$2:H$801,$W151)))</f>
        <v/>
      </c>
      <c r="I151">
        <f>IF($W151="","",IF(INDEX('Per Invoice'!I$2:I$801,$W151)="","",INDEX('Per Invoice'!I$2:I$801,$W151)))</f>
        <v/>
      </c>
      <c r="J151">
        <f>IF($W151="","",IF(INDEX('Per Invoice'!J$2:J$801,$W151)="","",INDEX('Per Invoice'!J$2:J$801,$W151)))</f>
        <v/>
      </c>
      <c r="K151" s="7">
        <f>IF($W151="","",IF(INDEX('Per Invoice'!K$2:K$801,$W151)="","",INDEX('Per Invoice'!K$2:K$801,$W151)))</f>
        <v/>
      </c>
      <c r="L151" s="14">
        <f>IF($W151="","",IF(INDEX('Per Invoice'!L$2:L$801,$W151)="","",INDEX('Per Invoice'!L$2:L$801,$W151)))</f>
        <v/>
      </c>
      <c r="M151">
        <f>IF($W151="","",IF(INDEX('Per Invoice'!M$2:M$801,$W151)="","",INDEX('Per Invoice'!M$2:M$801,$W151)))</f>
        <v/>
      </c>
      <c r="N151" s="7">
        <f>IF($W151="","",IF(INDEX('Per Invoice'!N$2:N$801,$W151)="","",INDEX('Per Invoice'!N$2:N$801,$W151)))</f>
        <v/>
      </c>
      <c r="O151" s="7">
        <f>IF($W151="","",IF(INDEX('Per Invoice'!O$2:O$801,$W151)="","",INDEX('Per Invoice'!O$2:O$801,$W151)))</f>
        <v/>
      </c>
      <c r="P151">
        <f>IF($W151="","",IF(INDEX('Per Invoice'!P$2:P$801,$W151)="","",INDEX('Per Invoice'!P$2:P$801,$W151)))</f>
        <v/>
      </c>
      <c r="Q151" s="7">
        <f>IF($W151="","",IF(INDEX('Per Invoice'!Q$2:Q$801,$W151)="","",INDEX('Per Invoice'!Q$2:Q$801,$W151)))</f>
        <v/>
      </c>
      <c r="R151" s="7">
        <f>IF($W151="","",IF(INDEX('Per Invoice'!R$2:R$801,$W151)="","",INDEX('Per Invoice'!R$2:R$801,$W151)))</f>
        <v/>
      </c>
      <c r="S151" s="7">
        <f>IF($W151="","",IF(INDEX('Per Invoice'!S$2:S$801,$W151)="","",INDEX('Per Invoice'!S$2:S$801,$W151)))</f>
        <v/>
      </c>
      <c r="T151" s="7">
        <f>IF($W151="","",IF(INDEX('Per Invoice'!T$2:T$801,$W151)="","",INDEX('Per Invoice'!T$2:T$801,$W151)))</f>
        <v/>
      </c>
      <c r="U151" s="7">
        <f>IF($W151="","",IF(INDEX('Per Invoice'!U$2:U$801,$W151)="","",INDEX('Per Invoice'!U$2:U$801,$W151)))</f>
        <v/>
      </c>
      <c r="V151" s="7">
        <f>IF($W151="","",IF(INDEX('Per Invoice'!V$2:V$801,$W151)="","",INDEX('Per Invoice'!V$2:V$801,$W151)))</f>
        <v/>
      </c>
      <c r="W151" s="16">
        <f>IFERROR(MATCH(Settings!$C$27&amp;"|"&amp;ROWS($W$2:$W151),'Per Invoice'!$X$2:$X$801,0),"")</f>
        <v/>
      </c>
    </row>
    <row r="152">
      <c r="A152">
        <f>IF($W152="","",IF(INDEX('Per Invoice'!A$2:A$801,$W152)="","",INDEX('Per Invoice'!A$2:A$801,$W152)))</f>
        <v/>
      </c>
      <c r="B152">
        <f>IF($W152="","",IF(INDEX('Per Invoice'!B$2:B$801,$W152)="","",INDEX('Per Invoice'!B$2:B$801,$W152)))</f>
        <v/>
      </c>
      <c r="C152">
        <f>IF($W152="","",IF(INDEX('Per Invoice'!C$2:C$801,$W152)="","",INDEX('Per Invoice'!C$2:C$801,$W152)))</f>
        <v/>
      </c>
      <c r="D152">
        <f>IF($W152="","",IF(INDEX('Per Invoice'!D$2:D$801,$W152)="","",INDEX('Per Invoice'!D$2:D$801,$W152)))</f>
        <v/>
      </c>
      <c r="E152">
        <f>IF($W152="","",IF(INDEX('Per Invoice'!E$2:E$801,$W152)="","",INDEX('Per Invoice'!E$2:E$801,$W152)))</f>
        <v/>
      </c>
      <c r="F152">
        <f>IF($W152="","",IF(INDEX('Per Invoice'!F$2:F$801,$W152)="","",INDEX('Per Invoice'!F$2:F$801,$W152)))</f>
        <v/>
      </c>
      <c r="G152">
        <f>IF($W152="","",IF(INDEX('Per Invoice'!G$2:G$801,$W152)="","",INDEX('Per Invoice'!G$2:G$801,$W152)))</f>
        <v/>
      </c>
      <c r="H152">
        <f>IF($W152="","",IF(INDEX('Per Invoice'!H$2:H$801,$W152)="","",INDEX('Per Invoice'!H$2:H$801,$W152)))</f>
        <v/>
      </c>
      <c r="I152">
        <f>IF($W152="","",IF(INDEX('Per Invoice'!I$2:I$801,$W152)="","",INDEX('Per Invoice'!I$2:I$801,$W152)))</f>
        <v/>
      </c>
      <c r="J152">
        <f>IF($W152="","",IF(INDEX('Per Invoice'!J$2:J$801,$W152)="","",INDEX('Per Invoice'!J$2:J$801,$W152)))</f>
        <v/>
      </c>
      <c r="K152" s="7">
        <f>IF($W152="","",IF(INDEX('Per Invoice'!K$2:K$801,$W152)="","",INDEX('Per Invoice'!K$2:K$801,$W152)))</f>
        <v/>
      </c>
      <c r="L152" s="14">
        <f>IF($W152="","",IF(INDEX('Per Invoice'!L$2:L$801,$W152)="","",INDEX('Per Invoice'!L$2:L$801,$W152)))</f>
        <v/>
      </c>
      <c r="M152">
        <f>IF($W152="","",IF(INDEX('Per Invoice'!M$2:M$801,$W152)="","",INDEX('Per Invoice'!M$2:M$801,$W152)))</f>
        <v/>
      </c>
      <c r="N152" s="7">
        <f>IF($W152="","",IF(INDEX('Per Invoice'!N$2:N$801,$W152)="","",INDEX('Per Invoice'!N$2:N$801,$W152)))</f>
        <v/>
      </c>
      <c r="O152" s="7">
        <f>IF($W152="","",IF(INDEX('Per Invoice'!O$2:O$801,$W152)="","",INDEX('Per Invoice'!O$2:O$801,$W152)))</f>
        <v/>
      </c>
      <c r="P152">
        <f>IF($W152="","",IF(INDEX('Per Invoice'!P$2:P$801,$W152)="","",INDEX('Per Invoice'!P$2:P$801,$W152)))</f>
        <v/>
      </c>
      <c r="Q152" s="7">
        <f>IF($W152="","",IF(INDEX('Per Invoice'!Q$2:Q$801,$W152)="","",INDEX('Per Invoice'!Q$2:Q$801,$W152)))</f>
        <v/>
      </c>
      <c r="R152" s="7">
        <f>IF($W152="","",IF(INDEX('Per Invoice'!R$2:R$801,$W152)="","",INDEX('Per Invoice'!R$2:R$801,$W152)))</f>
        <v/>
      </c>
      <c r="S152" s="7">
        <f>IF($W152="","",IF(INDEX('Per Invoice'!S$2:S$801,$W152)="","",INDEX('Per Invoice'!S$2:S$801,$W152)))</f>
        <v/>
      </c>
      <c r="T152" s="7">
        <f>IF($W152="","",IF(INDEX('Per Invoice'!T$2:T$801,$W152)="","",INDEX('Per Invoice'!T$2:T$801,$W152)))</f>
        <v/>
      </c>
      <c r="U152" s="7">
        <f>IF($W152="","",IF(INDEX('Per Invoice'!U$2:U$801,$W152)="","",INDEX('Per Invoice'!U$2:U$801,$W152)))</f>
        <v/>
      </c>
      <c r="V152" s="7">
        <f>IF($W152="","",IF(INDEX('Per Invoice'!V$2:V$801,$W152)="","",INDEX('Per Invoice'!V$2:V$801,$W152)))</f>
        <v/>
      </c>
      <c r="W152" s="16">
        <f>IFERROR(MATCH(Settings!$C$27&amp;"|"&amp;ROWS($W$2:$W152),'Per Invoice'!$X$2:$X$801,0),"")</f>
        <v/>
      </c>
    </row>
    <row r="153">
      <c r="A153">
        <f>IF($W153="","",IF(INDEX('Per Invoice'!A$2:A$801,$W153)="","",INDEX('Per Invoice'!A$2:A$801,$W153)))</f>
        <v/>
      </c>
      <c r="B153">
        <f>IF($W153="","",IF(INDEX('Per Invoice'!B$2:B$801,$W153)="","",INDEX('Per Invoice'!B$2:B$801,$W153)))</f>
        <v/>
      </c>
      <c r="C153">
        <f>IF($W153="","",IF(INDEX('Per Invoice'!C$2:C$801,$W153)="","",INDEX('Per Invoice'!C$2:C$801,$W153)))</f>
        <v/>
      </c>
      <c r="D153">
        <f>IF($W153="","",IF(INDEX('Per Invoice'!D$2:D$801,$W153)="","",INDEX('Per Invoice'!D$2:D$801,$W153)))</f>
        <v/>
      </c>
      <c r="E153">
        <f>IF($W153="","",IF(INDEX('Per Invoice'!E$2:E$801,$W153)="","",INDEX('Per Invoice'!E$2:E$801,$W153)))</f>
        <v/>
      </c>
      <c r="F153">
        <f>IF($W153="","",IF(INDEX('Per Invoice'!F$2:F$801,$W153)="","",INDEX('Per Invoice'!F$2:F$801,$W153)))</f>
        <v/>
      </c>
      <c r="G153">
        <f>IF($W153="","",IF(INDEX('Per Invoice'!G$2:G$801,$W153)="","",INDEX('Per Invoice'!G$2:G$801,$W153)))</f>
        <v/>
      </c>
      <c r="H153">
        <f>IF($W153="","",IF(INDEX('Per Invoice'!H$2:H$801,$W153)="","",INDEX('Per Invoice'!H$2:H$801,$W153)))</f>
        <v/>
      </c>
      <c r="I153">
        <f>IF($W153="","",IF(INDEX('Per Invoice'!I$2:I$801,$W153)="","",INDEX('Per Invoice'!I$2:I$801,$W153)))</f>
        <v/>
      </c>
      <c r="J153">
        <f>IF($W153="","",IF(INDEX('Per Invoice'!J$2:J$801,$W153)="","",INDEX('Per Invoice'!J$2:J$801,$W153)))</f>
        <v/>
      </c>
      <c r="K153" s="7">
        <f>IF($W153="","",IF(INDEX('Per Invoice'!K$2:K$801,$W153)="","",INDEX('Per Invoice'!K$2:K$801,$W153)))</f>
        <v/>
      </c>
      <c r="L153" s="14">
        <f>IF($W153="","",IF(INDEX('Per Invoice'!L$2:L$801,$W153)="","",INDEX('Per Invoice'!L$2:L$801,$W153)))</f>
        <v/>
      </c>
      <c r="M153">
        <f>IF($W153="","",IF(INDEX('Per Invoice'!M$2:M$801,$W153)="","",INDEX('Per Invoice'!M$2:M$801,$W153)))</f>
        <v/>
      </c>
      <c r="N153" s="7">
        <f>IF($W153="","",IF(INDEX('Per Invoice'!N$2:N$801,$W153)="","",INDEX('Per Invoice'!N$2:N$801,$W153)))</f>
        <v/>
      </c>
      <c r="O153" s="7">
        <f>IF($W153="","",IF(INDEX('Per Invoice'!O$2:O$801,$W153)="","",INDEX('Per Invoice'!O$2:O$801,$W153)))</f>
        <v/>
      </c>
      <c r="P153">
        <f>IF($W153="","",IF(INDEX('Per Invoice'!P$2:P$801,$W153)="","",INDEX('Per Invoice'!P$2:P$801,$W153)))</f>
        <v/>
      </c>
      <c r="Q153" s="7">
        <f>IF($W153="","",IF(INDEX('Per Invoice'!Q$2:Q$801,$W153)="","",INDEX('Per Invoice'!Q$2:Q$801,$W153)))</f>
        <v/>
      </c>
      <c r="R153" s="7">
        <f>IF($W153="","",IF(INDEX('Per Invoice'!R$2:R$801,$W153)="","",INDEX('Per Invoice'!R$2:R$801,$W153)))</f>
        <v/>
      </c>
      <c r="S153" s="7">
        <f>IF($W153="","",IF(INDEX('Per Invoice'!S$2:S$801,$W153)="","",INDEX('Per Invoice'!S$2:S$801,$W153)))</f>
        <v/>
      </c>
      <c r="T153" s="7">
        <f>IF($W153="","",IF(INDEX('Per Invoice'!T$2:T$801,$W153)="","",INDEX('Per Invoice'!T$2:T$801,$W153)))</f>
        <v/>
      </c>
      <c r="U153" s="7">
        <f>IF($W153="","",IF(INDEX('Per Invoice'!U$2:U$801,$W153)="","",INDEX('Per Invoice'!U$2:U$801,$W153)))</f>
        <v/>
      </c>
      <c r="V153" s="7">
        <f>IF($W153="","",IF(INDEX('Per Invoice'!V$2:V$801,$W153)="","",INDEX('Per Invoice'!V$2:V$801,$W153)))</f>
        <v/>
      </c>
      <c r="W153" s="16">
        <f>IFERROR(MATCH(Settings!$C$27&amp;"|"&amp;ROWS($W$2:$W153),'Per Invoice'!$X$2:$X$801,0),"")</f>
        <v/>
      </c>
    </row>
    <row r="154">
      <c r="A154">
        <f>IF($W154="","",IF(INDEX('Per Invoice'!A$2:A$801,$W154)="","",INDEX('Per Invoice'!A$2:A$801,$W154)))</f>
        <v/>
      </c>
      <c r="B154">
        <f>IF($W154="","",IF(INDEX('Per Invoice'!B$2:B$801,$W154)="","",INDEX('Per Invoice'!B$2:B$801,$W154)))</f>
        <v/>
      </c>
      <c r="C154">
        <f>IF($W154="","",IF(INDEX('Per Invoice'!C$2:C$801,$W154)="","",INDEX('Per Invoice'!C$2:C$801,$W154)))</f>
        <v/>
      </c>
      <c r="D154">
        <f>IF($W154="","",IF(INDEX('Per Invoice'!D$2:D$801,$W154)="","",INDEX('Per Invoice'!D$2:D$801,$W154)))</f>
        <v/>
      </c>
      <c r="E154">
        <f>IF($W154="","",IF(INDEX('Per Invoice'!E$2:E$801,$W154)="","",INDEX('Per Invoice'!E$2:E$801,$W154)))</f>
        <v/>
      </c>
      <c r="F154">
        <f>IF($W154="","",IF(INDEX('Per Invoice'!F$2:F$801,$W154)="","",INDEX('Per Invoice'!F$2:F$801,$W154)))</f>
        <v/>
      </c>
      <c r="G154">
        <f>IF($W154="","",IF(INDEX('Per Invoice'!G$2:G$801,$W154)="","",INDEX('Per Invoice'!G$2:G$801,$W154)))</f>
        <v/>
      </c>
      <c r="H154">
        <f>IF($W154="","",IF(INDEX('Per Invoice'!H$2:H$801,$W154)="","",INDEX('Per Invoice'!H$2:H$801,$W154)))</f>
        <v/>
      </c>
      <c r="I154">
        <f>IF($W154="","",IF(INDEX('Per Invoice'!I$2:I$801,$W154)="","",INDEX('Per Invoice'!I$2:I$801,$W154)))</f>
        <v/>
      </c>
      <c r="J154">
        <f>IF($W154="","",IF(INDEX('Per Invoice'!J$2:J$801,$W154)="","",INDEX('Per Invoice'!J$2:J$801,$W154)))</f>
        <v/>
      </c>
      <c r="K154" s="7">
        <f>IF($W154="","",IF(INDEX('Per Invoice'!K$2:K$801,$W154)="","",INDEX('Per Invoice'!K$2:K$801,$W154)))</f>
        <v/>
      </c>
      <c r="L154" s="14">
        <f>IF($W154="","",IF(INDEX('Per Invoice'!L$2:L$801,$W154)="","",INDEX('Per Invoice'!L$2:L$801,$W154)))</f>
        <v/>
      </c>
      <c r="M154">
        <f>IF($W154="","",IF(INDEX('Per Invoice'!M$2:M$801,$W154)="","",INDEX('Per Invoice'!M$2:M$801,$W154)))</f>
        <v/>
      </c>
      <c r="N154" s="7">
        <f>IF($W154="","",IF(INDEX('Per Invoice'!N$2:N$801,$W154)="","",INDEX('Per Invoice'!N$2:N$801,$W154)))</f>
        <v/>
      </c>
      <c r="O154" s="7">
        <f>IF($W154="","",IF(INDEX('Per Invoice'!O$2:O$801,$W154)="","",INDEX('Per Invoice'!O$2:O$801,$W154)))</f>
        <v/>
      </c>
      <c r="P154">
        <f>IF($W154="","",IF(INDEX('Per Invoice'!P$2:P$801,$W154)="","",INDEX('Per Invoice'!P$2:P$801,$W154)))</f>
        <v/>
      </c>
      <c r="Q154" s="7">
        <f>IF($W154="","",IF(INDEX('Per Invoice'!Q$2:Q$801,$W154)="","",INDEX('Per Invoice'!Q$2:Q$801,$W154)))</f>
        <v/>
      </c>
      <c r="R154" s="7">
        <f>IF($W154="","",IF(INDEX('Per Invoice'!R$2:R$801,$W154)="","",INDEX('Per Invoice'!R$2:R$801,$W154)))</f>
        <v/>
      </c>
      <c r="S154" s="7">
        <f>IF($W154="","",IF(INDEX('Per Invoice'!S$2:S$801,$W154)="","",INDEX('Per Invoice'!S$2:S$801,$W154)))</f>
        <v/>
      </c>
      <c r="T154" s="7">
        <f>IF($W154="","",IF(INDEX('Per Invoice'!T$2:T$801,$W154)="","",INDEX('Per Invoice'!T$2:T$801,$W154)))</f>
        <v/>
      </c>
      <c r="U154" s="7">
        <f>IF($W154="","",IF(INDEX('Per Invoice'!U$2:U$801,$W154)="","",INDEX('Per Invoice'!U$2:U$801,$W154)))</f>
        <v/>
      </c>
      <c r="V154" s="7">
        <f>IF($W154="","",IF(INDEX('Per Invoice'!V$2:V$801,$W154)="","",INDEX('Per Invoice'!V$2:V$801,$W154)))</f>
        <v/>
      </c>
      <c r="W154" s="16">
        <f>IFERROR(MATCH(Settings!$C$27&amp;"|"&amp;ROWS($W$2:$W154),'Per Invoice'!$X$2:$X$801,0),"")</f>
        <v/>
      </c>
    </row>
    <row r="155">
      <c r="A155">
        <f>IF($W155="","",IF(INDEX('Per Invoice'!A$2:A$801,$W155)="","",INDEX('Per Invoice'!A$2:A$801,$W155)))</f>
        <v/>
      </c>
      <c r="B155">
        <f>IF($W155="","",IF(INDEX('Per Invoice'!B$2:B$801,$W155)="","",INDEX('Per Invoice'!B$2:B$801,$W155)))</f>
        <v/>
      </c>
      <c r="C155">
        <f>IF($W155="","",IF(INDEX('Per Invoice'!C$2:C$801,$W155)="","",INDEX('Per Invoice'!C$2:C$801,$W155)))</f>
        <v/>
      </c>
      <c r="D155">
        <f>IF($W155="","",IF(INDEX('Per Invoice'!D$2:D$801,$W155)="","",INDEX('Per Invoice'!D$2:D$801,$W155)))</f>
        <v/>
      </c>
      <c r="E155">
        <f>IF($W155="","",IF(INDEX('Per Invoice'!E$2:E$801,$W155)="","",INDEX('Per Invoice'!E$2:E$801,$W155)))</f>
        <v/>
      </c>
      <c r="F155">
        <f>IF($W155="","",IF(INDEX('Per Invoice'!F$2:F$801,$W155)="","",INDEX('Per Invoice'!F$2:F$801,$W155)))</f>
        <v/>
      </c>
      <c r="G155">
        <f>IF($W155="","",IF(INDEX('Per Invoice'!G$2:G$801,$W155)="","",INDEX('Per Invoice'!G$2:G$801,$W155)))</f>
        <v/>
      </c>
      <c r="H155">
        <f>IF($W155="","",IF(INDEX('Per Invoice'!H$2:H$801,$W155)="","",INDEX('Per Invoice'!H$2:H$801,$W155)))</f>
        <v/>
      </c>
      <c r="I155">
        <f>IF($W155="","",IF(INDEX('Per Invoice'!I$2:I$801,$W155)="","",INDEX('Per Invoice'!I$2:I$801,$W155)))</f>
        <v/>
      </c>
      <c r="J155">
        <f>IF($W155="","",IF(INDEX('Per Invoice'!J$2:J$801,$W155)="","",INDEX('Per Invoice'!J$2:J$801,$W155)))</f>
        <v/>
      </c>
      <c r="K155" s="7">
        <f>IF($W155="","",IF(INDEX('Per Invoice'!K$2:K$801,$W155)="","",INDEX('Per Invoice'!K$2:K$801,$W155)))</f>
        <v/>
      </c>
      <c r="L155" s="14">
        <f>IF($W155="","",IF(INDEX('Per Invoice'!L$2:L$801,$W155)="","",INDEX('Per Invoice'!L$2:L$801,$W155)))</f>
        <v/>
      </c>
      <c r="M155">
        <f>IF($W155="","",IF(INDEX('Per Invoice'!M$2:M$801,$W155)="","",INDEX('Per Invoice'!M$2:M$801,$W155)))</f>
        <v/>
      </c>
      <c r="N155" s="7">
        <f>IF($W155="","",IF(INDEX('Per Invoice'!N$2:N$801,$W155)="","",INDEX('Per Invoice'!N$2:N$801,$W155)))</f>
        <v/>
      </c>
      <c r="O155" s="7">
        <f>IF($W155="","",IF(INDEX('Per Invoice'!O$2:O$801,$W155)="","",INDEX('Per Invoice'!O$2:O$801,$W155)))</f>
        <v/>
      </c>
      <c r="P155">
        <f>IF($W155="","",IF(INDEX('Per Invoice'!P$2:P$801,$W155)="","",INDEX('Per Invoice'!P$2:P$801,$W155)))</f>
        <v/>
      </c>
      <c r="Q155" s="7">
        <f>IF($W155="","",IF(INDEX('Per Invoice'!Q$2:Q$801,$W155)="","",INDEX('Per Invoice'!Q$2:Q$801,$W155)))</f>
        <v/>
      </c>
      <c r="R155" s="7">
        <f>IF($W155="","",IF(INDEX('Per Invoice'!R$2:R$801,$W155)="","",INDEX('Per Invoice'!R$2:R$801,$W155)))</f>
        <v/>
      </c>
      <c r="S155" s="7">
        <f>IF($W155="","",IF(INDEX('Per Invoice'!S$2:S$801,$W155)="","",INDEX('Per Invoice'!S$2:S$801,$W155)))</f>
        <v/>
      </c>
      <c r="T155" s="7">
        <f>IF($W155="","",IF(INDEX('Per Invoice'!T$2:T$801,$W155)="","",INDEX('Per Invoice'!T$2:T$801,$W155)))</f>
        <v/>
      </c>
      <c r="U155" s="7">
        <f>IF($W155="","",IF(INDEX('Per Invoice'!U$2:U$801,$W155)="","",INDEX('Per Invoice'!U$2:U$801,$W155)))</f>
        <v/>
      </c>
      <c r="V155" s="7">
        <f>IF($W155="","",IF(INDEX('Per Invoice'!V$2:V$801,$W155)="","",INDEX('Per Invoice'!V$2:V$801,$W155)))</f>
        <v/>
      </c>
      <c r="W155" s="16">
        <f>IFERROR(MATCH(Settings!$C$27&amp;"|"&amp;ROWS($W$2:$W155),'Per Invoice'!$X$2:$X$801,0),"")</f>
        <v/>
      </c>
    </row>
    <row r="156">
      <c r="A156">
        <f>IF($W156="","",IF(INDEX('Per Invoice'!A$2:A$801,$W156)="","",INDEX('Per Invoice'!A$2:A$801,$W156)))</f>
        <v/>
      </c>
      <c r="B156">
        <f>IF($W156="","",IF(INDEX('Per Invoice'!B$2:B$801,$W156)="","",INDEX('Per Invoice'!B$2:B$801,$W156)))</f>
        <v/>
      </c>
      <c r="C156">
        <f>IF($W156="","",IF(INDEX('Per Invoice'!C$2:C$801,$W156)="","",INDEX('Per Invoice'!C$2:C$801,$W156)))</f>
        <v/>
      </c>
      <c r="D156">
        <f>IF($W156="","",IF(INDEX('Per Invoice'!D$2:D$801,$W156)="","",INDEX('Per Invoice'!D$2:D$801,$W156)))</f>
        <v/>
      </c>
      <c r="E156">
        <f>IF($W156="","",IF(INDEX('Per Invoice'!E$2:E$801,$W156)="","",INDEX('Per Invoice'!E$2:E$801,$W156)))</f>
        <v/>
      </c>
      <c r="F156">
        <f>IF($W156="","",IF(INDEX('Per Invoice'!F$2:F$801,$W156)="","",INDEX('Per Invoice'!F$2:F$801,$W156)))</f>
        <v/>
      </c>
      <c r="G156">
        <f>IF($W156="","",IF(INDEX('Per Invoice'!G$2:G$801,$W156)="","",INDEX('Per Invoice'!G$2:G$801,$W156)))</f>
        <v/>
      </c>
      <c r="H156">
        <f>IF($W156="","",IF(INDEX('Per Invoice'!H$2:H$801,$W156)="","",INDEX('Per Invoice'!H$2:H$801,$W156)))</f>
        <v/>
      </c>
      <c r="I156">
        <f>IF($W156="","",IF(INDEX('Per Invoice'!I$2:I$801,$W156)="","",INDEX('Per Invoice'!I$2:I$801,$W156)))</f>
        <v/>
      </c>
      <c r="J156">
        <f>IF($W156="","",IF(INDEX('Per Invoice'!J$2:J$801,$W156)="","",INDEX('Per Invoice'!J$2:J$801,$W156)))</f>
        <v/>
      </c>
      <c r="K156" s="7">
        <f>IF($W156="","",IF(INDEX('Per Invoice'!K$2:K$801,$W156)="","",INDEX('Per Invoice'!K$2:K$801,$W156)))</f>
        <v/>
      </c>
      <c r="L156" s="14">
        <f>IF($W156="","",IF(INDEX('Per Invoice'!L$2:L$801,$W156)="","",INDEX('Per Invoice'!L$2:L$801,$W156)))</f>
        <v/>
      </c>
      <c r="M156">
        <f>IF($W156="","",IF(INDEX('Per Invoice'!M$2:M$801,$W156)="","",INDEX('Per Invoice'!M$2:M$801,$W156)))</f>
        <v/>
      </c>
      <c r="N156" s="7">
        <f>IF($W156="","",IF(INDEX('Per Invoice'!N$2:N$801,$W156)="","",INDEX('Per Invoice'!N$2:N$801,$W156)))</f>
        <v/>
      </c>
      <c r="O156" s="7">
        <f>IF($W156="","",IF(INDEX('Per Invoice'!O$2:O$801,$W156)="","",INDEX('Per Invoice'!O$2:O$801,$W156)))</f>
        <v/>
      </c>
      <c r="P156">
        <f>IF($W156="","",IF(INDEX('Per Invoice'!P$2:P$801,$W156)="","",INDEX('Per Invoice'!P$2:P$801,$W156)))</f>
        <v/>
      </c>
      <c r="Q156" s="7">
        <f>IF($W156="","",IF(INDEX('Per Invoice'!Q$2:Q$801,$W156)="","",INDEX('Per Invoice'!Q$2:Q$801,$W156)))</f>
        <v/>
      </c>
      <c r="R156" s="7">
        <f>IF($W156="","",IF(INDEX('Per Invoice'!R$2:R$801,$W156)="","",INDEX('Per Invoice'!R$2:R$801,$W156)))</f>
        <v/>
      </c>
      <c r="S156" s="7">
        <f>IF($W156="","",IF(INDEX('Per Invoice'!S$2:S$801,$W156)="","",INDEX('Per Invoice'!S$2:S$801,$W156)))</f>
        <v/>
      </c>
      <c r="T156" s="7">
        <f>IF($W156="","",IF(INDEX('Per Invoice'!T$2:T$801,$W156)="","",INDEX('Per Invoice'!T$2:T$801,$W156)))</f>
        <v/>
      </c>
      <c r="U156" s="7">
        <f>IF($W156="","",IF(INDEX('Per Invoice'!U$2:U$801,$W156)="","",INDEX('Per Invoice'!U$2:U$801,$W156)))</f>
        <v/>
      </c>
      <c r="V156" s="7">
        <f>IF($W156="","",IF(INDEX('Per Invoice'!V$2:V$801,$W156)="","",INDEX('Per Invoice'!V$2:V$801,$W156)))</f>
        <v/>
      </c>
      <c r="W156" s="16">
        <f>IFERROR(MATCH(Settings!$C$27&amp;"|"&amp;ROWS($W$2:$W156),'Per Invoice'!$X$2:$X$801,0),"")</f>
        <v/>
      </c>
    </row>
    <row r="157">
      <c r="A157">
        <f>IF($W157="","",IF(INDEX('Per Invoice'!A$2:A$801,$W157)="","",INDEX('Per Invoice'!A$2:A$801,$W157)))</f>
        <v/>
      </c>
      <c r="B157">
        <f>IF($W157="","",IF(INDEX('Per Invoice'!B$2:B$801,$W157)="","",INDEX('Per Invoice'!B$2:B$801,$W157)))</f>
        <v/>
      </c>
      <c r="C157">
        <f>IF($W157="","",IF(INDEX('Per Invoice'!C$2:C$801,$W157)="","",INDEX('Per Invoice'!C$2:C$801,$W157)))</f>
        <v/>
      </c>
      <c r="D157">
        <f>IF($W157="","",IF(INDEX('Per Invoice'!D$2:D$801,$W157)="","",INDEX('Per Invoice'!D$2:D$801,$W157)))</f>
        <v/>
      </c>
      <c r="E157">
        <f>IF($W157="","",IF(INDEX('Per Invoice'!E$2:E$801,$W157)="","",INDEX('Per Invoice'!E$2:E$801,$W157)))</f>
        <v/>
      </c>
      <c r="F157">
        <f>IF($W157="","",IF(INDEX('Per Invoice'!F$2:F$801,$W157)="","",INDEX('Per Invoice'!F$2:F$801,$W157)))</f>
        <v/>
      </c>
      <c r="G157">
        <f>IF($W157="","",IF(INDEX('Per Invoice'!G$2:G$801,$W157)="","",INDEX('Per Invoice'!G$2:G$801,$W157)))</f>
        <v/>
      </c>
      <c r="H157">
        <f>IF($W157="","",IF(INDEX('Per Invoice'!H$2:H$801,$W157)="","",INDEX('Per Invoice'!H$2:H$801,$W157)))</f>
        <v/>
      </c>
      <c r="I157">
        <f>IF($W157="","",IF(INDEX('Per Invoice'!I$2:I$801,$W157)="","",INDEX('Per Invoice'!I$2:I$801,$W157)))</f>
        <v/>
      </c>
      <c r="J157">
        <f>IF($W157="","",IF(INDEX('Per Invoice'!J$2:J$801,$W157)="","",INDEX('Per Invoice'!J$2:J$801,$W157)))</f>
        <v/>
      </c>
      <c r="K157" s="7">
        <f>IF($W157="","",IF(INDEX('Per Invoice'!K$2:K$801,$W157)="","",INDEX('Per Invoice'!K$2:K$801,$W157)))</f>
        <v/>
      </c>
      <c r="L157" s="14">
        <f>IF($W157="","",IF(INDEX('Per Invoice'!L$2:L$801,$W157)="","",INDEX('Per Invoice'!L$2:L$801,$W157)))</f>
        <v/>
      </c>
      <c r="M157">
        <f>IF($W157="","",IF(INDEX('Per Invoice'!M$2:M$801,$W157)="","",INDEX('Per Invoice'!M$2:M$801,$W157)))</f>
        <v/>
      </c>
      <c r="N157" s="7">
        <f>IF($W157="","",IF(INDEX('Per Invoice'!N$2:N$801,$W157)="","",INDEX('Per Invoice'!N$2:N$801,$W157)))</f>
        <v/>
      </c>
      <c r="O157" s="7">
        <f>IF($W157="","",IF(INDEX('Per Invoice'!O$2:O$801,$W157)="","",INDEX('Per Invoice'!O$2:O$801,$W157)))</f>
        <v/>
      </c>
      <c r="P157">
        <f>IF($W157="","",IF(INDEX('Per Invoice'!P$2:P$801,$W157)="","",INDEX('Per Invoice'!P$2:P$801,$W157)))</f>
        <v/>
      </c>
      <c r="Q157" s="7">
        <f>IF($W157="","",IF(INDEX('Per Invoice'!Q$2:Q$801,$W157)="","",INDEX('Per Invoice'!Q$2:Q$801,$W157)))</f>
        <v/>
      </c>
      <c r="R157" s="7">
        <f>IF($W157="","",IF(INDEX('Per Invoice'!R$2:R$801,$W157)="","",INDEX('Per Invoice'!R$2:R$801,$W157)))</f>
        <v/>
      </c>
      <c r="S157" s="7">
        <f>IF($W157="","",IF(INDEX('Per Invoice'!S$2:S$801,$W157)="","",INDEX('Per Invoice'!S$2:S$801,$W157)))</f>
        <v/>
      </c>
      <c r="T157" s="7">
        <f>IF($W157="","",IF(INDEX('Per Invoice'!T$2:T$801,$W157)="","",INDEX('Per Invoice'!T$2:T$801,$W157)))</f>
        <v/>
      </c>
      <c r="U157" s="7">
        <f>IF($W157="","",IF(INDEX('Per Invoice'!U$2:U$801,$W157)="","",INDEX('Per Invoice'!U$2:U$801,$W157)))</f>
        <v/>
      </c>
      <c r="V157" s="7">
        <f>IF($W157="","",IF(INDEX('Per Invoice'!V$2:V$801,$W157)="","",INDEX('Per Invoice'!V$2:V$801,$W157)))</f>
        <v/>
      </c>
      <c r="W157" s="16">
        <f>IFERROR(MATCH(Settings!$C$27&amp;"|"&amp;ROWS($W$2:$W157),'Per Invoice'!$X$2:$X$801,0),"")</f>
        <v/>
      </c>
    </row>
    <row r="158">
      <c r="A158">
        <f>IF($W158="","",IF(INDEX('Per Invoice'!A$2:A$801,$W158)="","",INDEX('Per Invoice'!A$2:A$801,$W158)))</f>
        <v/>
      </c>
      <c r="B158">
        <f>IF($W158="","",IF(INDEX('Per Invoice'!B$2:B$801,$W158)="","",INDEX('Per Invoice'!B$2:B$801,$W158)))</f>
        <v/>
      </c>
      <c r="C158">
        <f>IF($W158="","",IF(INDEX('Per Invoice'!C$2:C$801,$W158)="","",INDEX('Per Invoice'!C$2:C$801,$W158)))</f>
        <v/>
      </c>
      <c r="D158">
        <f>IF($W158="","",IF(INDEX('Per Invoice'!D$2:D$801,$W158)="","",INDEX('Per Invoice'!D$2:D$801,$W158)))</f>
        <v/>
      </c>
      <c r="E158">
        <f>IF($W158="","",IF(INDEX('Per Invoice'!E$2:E$801,$W158)="","",INDEX('Per Invoice'!E$2:E$801,$W158)))</f>
        <v/>
      </c>
      <c r="F158">
        <f>IF($W158="","",IF(INDEX('Per Invoice'!F$2:F$801,$W158)="","",INDEX('Per Invoice'!F$2:F$801,$W158)))</f>
        <v/>
      </c>
      <c r="G158">
        <f>IF($W158="","",IF(INDEX('Per Invoice'!G$2:G$801,$W158)="","",INDEX('Per Invoice'!G$2:G$801,$W158)))</f>
        <v/>
      </c>
      <c r="H158">
        <f>IF($W158="","",IF(INDEX('Per Invoice'!H$2:H$801,$W158)="","",INDEX('Per Invoice'!H$2:H$801,$W158)))</f>
        <v/>
      </c>
      <c r="I158">
        <f>IF($W158="","",IF(INDEX('Per Invoice'!I$2:I$801,$W158)="","",INDEX('Per Invoice'!I$2:I$801,$W158)))</f>
        <v/>
      </c>
      <c r="J158">
        <f>IF($W158="","",IF(INDEX('Per Invoice'!J$2:J$801,$W158)="","",INDEX('Per Invoice'!J$2:J$801,$W158)))</f>
        <v/>
      </c>
      <c r="K158" s="7">
        <f>IF($W158="","",IF(INDEX('Per Invoice'!K$2:K$801,$W158)="","",INDEX('Per Invoice'!K$2:K$801,$W158)))</f>
        <v/>
      </c>
      <c r="L158" s="14">
        <f>IF($W158="","",IF(INDEX('Per Invoice'!L$2:L$801,$W158)="","",INDEX('Per Invoice'!L$2:L$801,$W158)))</f>
        <v/>
      </c>
      <c r="M158">
        <f>IF($W158="","",IF(INDEX('Per Invoice'!M$2:M$801,$W158)="","",INDEX('Per Invoice'!M$2:M$801,$W158)))</f>
        <v/>
      </c>
      <c r="N158" s="7">
        <f>IF($W158="","",IF(INDEX('Per Invoice'!N$2:N$801,$W158)="","",INDEX('Per Invoice'!N$2:N$801,$W158)))</f>
        <v/>
      </c>
      <c r="O158" s="7">
        <f>IF($W158="","",IF(INDEX('Per Invoice'!O$2:O$801,$W158)="","",INDEX('Per Invoice'!O$2:O$801,$W158)))</f>
        <v/>
      </c>
      <c r="P158">
        <f>IF($W158="","",IF(INDEX('Per Invoice'!P$2:P$801,$W158)="","",INDEX('Per Invoice'!P$2:P$801,$W158)))</f>
        <v/>
      </c>
      <c r="Q158" s="7">
        <f>IF($W158="","",IF(INDEX('Per Invoice'!Q$2:Q$801,$W158)="","",INDEX('Per Invoice'!Q$2:Q$801,$W158)))</f>
        <v/>
      </c>
      <c r="R158" s="7">
        <f>IF($W158="","",IF(INDEX('Per Invoice'!R$2:R$801,$W158)="","",INDEX('Per Invoice'!R$2:R$801,$W158)))</f>
        <v/>
      </c>
      <c r="S158" s="7">
        <f>IF($W158="","",IF(INDEX('Per Invoice'!S$2:S$801,$W158)="","",INDEX('Per Invoice'!S$2:S$801,$W158)))</f>
        <v/>
      </c>
      <c r="T158" s="7">
        <f>IF($W158="","",IF(INDEX('Per Invoice'!T$2:T$801,$W158)="","",INDEX('Per Invoice'!T$2:T$801,$W158)))</f>
        <v/>
      </c>
      <c r="U158" s="7">
        <f>IF($W158="","",IF(INDEX('Per Invoice'!U$2:U$801,$W158)="","",INDEX('Per Invoice'!U$2:U$801,$W158)))</f>
        <v/>
      </c>
      <c r="V158" s="7">
        <f>IF($W158="","",IF(INDEX('Per Invoice'!V$2:V$801,$W158)="","",INDEX('Per Invoice'!V$2:V$801,$W158)))</f>
        <v/>
      </c>
      <c r="W158" s="16">
        <f>IFERROR(MATCH(Settings!$C$27&amp;"|"&amp;ROWS($W$2:$W158),'Per Invoice'!$X$2:$X$801,0),"")</f>
        <v/>
      </c>
    </row>
    <row r="159">
      <c r="A159">
        <f>IF($W159="","",IF(INDEX('Per Invoice'!A$2:A$801,$W159)="","",INDEX('Per Invoice'!A$2:A$801,$W159)))</f>
        <v/>
      </c>
      <c r="B159">
        <f>IF($W159="","",IF(INDEX('Per Invoice'!B$2:B$801,$W159)="","",INDEX('Per Invoice'!B$2:B$801,$W159)))</f>
        <v/>
      </c>
      <c r="C159">
        <f>IF($W159="","",IF(INDEX('Per Invoice'!C$2:C$801,$W159)="","",INDEX('Per Invoice'!C$2:C$801,$W159)))</f>
        <v/>
      </c>
      <c r="D159">
        <f>IF($W159="","",IF(INDEX('Per Invoice'!D$2:D$801,$W159)="","",INDEX('Per Invoice'!D$2:D$801,$W159)))</f>
        <v/>
      </c>
      <c r="E159">
        <f>IF($W159="","",IF(INDEX('Per Invoice'!E$2:E$801,$W159)="","",INDEX('Per Invoice'!E$2:E$801,$W159)))</f>
        <v/>
      </c>
      <c r="F159">
        <f>IF($W159="","",IF(INDEX('Per Invoice'!F$2:F$801,$W159)="","",INDEX('Per Invoice'!F$2:F$801,$W159)))</f>
        <v/>
      </c>
      <c r="G159">
        <f>IF($W159="","",IF(INDEX('Per Invoice'!G$2:G$801,$W159)="","",INDEX('Per Invoice'!G$2:G$801,$W159)))</f>
        <v/>
      </c>
      <c r="H159">
        <f>IF($W159="","",IF(INDEX('Per Invoice'!H$2:H$801,$W159)="","",INDEX('Per Invoice'!H$2:H$801,$W159)))</f>
        <v/>
      </c>
      <c r="I159">
        <f>IF($W159="","",IF(INDEX('Per Invoice'!I$2:I$801,$W159)="","",INDEX('Per Invoice'!I$2:I$801,$W159)))</f>
        <v/>
      </c>
      <c r="J159">
        <f>IF($W159="","",IF(INDEX('Per Invoice'!J$2:J$801,$W159)="","",INDEX('Per Invoice'!J$2:J$801,$W159)))</f>
        <v/>
      </c>
      <c r="K159" s="7">
        <f>IF($W159="","",IF(INDEX('Per Invoice'!K$2:K$801,$W159)="","",INDEX('Per Invoice'!K$2:K$801,$W159)))</f>
        <v/>
      </c>
      <c r="L159" s="14">
        <f>IF($W159="","",IF(INDEX('Per Invoice'!L$2:L$801,$W159)="","",INDEX('Per Invoice'!L$2:L$801,$W159)))</f>
        <v/>
      </c>
      <c r="M159">
        <f>IF($W159="","",IF(INDEX('Per Invoice'!M$2:M$801,$W159)="","",INDEX('Per Invoice'!M$2:M$801,$W159)))</f>
        <v/>
      </c>
      <c r="N159" s="7">
        <f>IF($W159="","",IF(INDEX('Per Invoice'!N$2:N$801,$W159)="","",INDEX('Per Invoice'!N$2:N$801,$W159)))</f>
        <v/>
      </c>
      <c r="O159" s="7">
        <f>IF($W159="","",IF(INDEX('Per Invoice'!O$2:O$801,$W159)="","",INDEX('Per Invoice'!O$2:O$801,$W159)))</f>
        <v/>
      </c>
      <c r="P159">
        <f>IF($W159="","",IF(INDEX('Per Invoice'!P$2:P$801,$W159)="","",INDEX('Per Invoice'!P$2:P$801,$W159)))</f>
        <v/>
      </c>
      <c r="Q159" s="7">
        <f>IF($W159="","",IF(INDEX('Per Invoice'!Q$2:Q$801,$W159)="","",INDEX('Per Invoice'!Q$2:Q$801,$W159)))</f>
        <v/>
      </c>
      <c r="R159" s="7">
        <f>IF($W159="","",IF(INDEX('Per Invoice'!R$2:R$801,$W159)="","",INDEX('Per Invoice'!R$2:R$801,$W159)))</f>
        <v/>
      </c>
      <c r="S159" s="7">
        <f>IF($W159="","",IF(INDEX('Per Invoice'!S$2:S$801,$W159)="","",INDEX('Per Invoice'!S$2:S$801,$W159)))</f>
        <v/>
      </c>
      <c r="T159" s="7">
        <f>IF($W159="","",IF(INDEX('Per Invoice'!T$2:T$801,$W159)="","",INDEX('Per Invoice'!T$2:T$801,$W159)))</f>
        <v/>
      </c>
      <c r="U159" s="7">
        <f>IF($W159="","",IF(INDEX('Per Invoice'!U$2:U$801,$W159)="","",INDEX('Per Invoice'!U$2:U$801,$W159)))</f>
        <v/>
      </c>
      <c r="V159" s="7">
        <f>IF($W159="","",IF(INDEX('Per Invoice'!V$2:V$801,$W159)="","",INDEX('Per Invoice'!V$2:V$801,$W159)))</f>
        <v/>
      </c>
      <c r="W159" s="16">
        <f>IFERROR(MATCH(Settings!$C$27&amp;"|"&amp;ROWS($W$2:$W159),'Per Invoice'!$X$2:$X$801,0),"")</f>
        <v/>
      </c>
    </row>
    <row r="160">
      <c r="A160">
        <f>IF($W160="","",IF(INDEX('Per Invoice'!A$2:A$801,$W160)="","",INDEX('Per Invoice'!A$2:A$801,$W160)))</f>
        <v/>
      </c>
      <c r="B160">
        <f>IF($W160="","",IF(INDEX('Per Invoice'!B$2:B$801,$W160)="","",INDEX('Per Invoice'!B$2:B$801,$W160)))</f>
        <v/>
      </c>
      <c r="C160">
        <f>IF($W160="","",IF(INDEX('Per Invoice'!C$2:C$801,$W160)="","",INDEX('Per Invoice'!C$2:C$801,$W160)))</f>
        <v/>
      </c>
      <c r="D160">
        <f>IF($W160="","",IF(INDEX('Per Invoice'!D$2:D$801,$W160)="","",INDEX('Per Invoice'!D$2:D$801,$W160)))</f>
        <v/>
      </c>
      <c r="E160">
        <f>IF($W160="","",IF(INDEX('Per Invoice'!E$2:E$801,$W160)="","",INDEX('Per Invoice'!E$2:E$801,$W160)))</f>
        <v/>
      </c>
      <c r="F160">
        <f>IF($W160="","",IF(INDEX('Per Invoice'!F$2:F$801,$W160)="","",INDEX('Per Invoice'!F$2:F$801,$W160)))</f>
        <v/>
      </c>
      <c r="G160">
        <f>IF($W160="","",IF(INDEX('Per Invoice'!G$2:G$801,$W160)="","",INDEX('Per Invoice'!G$2:G$801,$W160)))</f>
        <v/>
      </c>
      <c r="H160">
        <f>IF($W160="","",IF(INDEX('Per Invoice'!H$2:H$801,$W160)="","",INDEX('Per Invoice'!H$2:H$801,$W160)))</f>
        <v/>
      </c>
      <c r="I160">
        <f>IF($W160="","",IF(INDEX('Per Invoice'!I$2:I$801,$W160)="","",INDEX('Per Invoice'!I$2:I$801,$W160)))</f>
        <v/>
      </c>
      <c r="J160">
        <f>IF($W160="","",IF(INDEX('Per Invoice'!J$2:J$801,$W160)="","",INDEX('Per Invoice'!J$2:J$801,$W160)))</f>
        <v/>
      </c>
      <c r="K160" s="7">
        <f>IF($W160="","",IF(INDEX('Per Invoice'!K$2:K$801,$W160)="","",INDEX('Per Invoice'!K$2:K$801,$W160)))</f>
        <v/>
      </c>
      <c r="L160" s="14">
        <f>IF($W160="","",IF(INDEX('Per Invoice'!L$2:L$801,$W160)="","",INDEX('Per Invoice'!L$2:L$801,$W160)))</f>
        <v/>
      </c>
      <c r="M160">
        <f>IF($W160="","",IF(INDEX('Per Invoice'!M$2:M$801,$W160)="","",INDEX('Per Invoice'!M$2:M$801,$W160)))</f>
        <v/>
      </c>
      <c r="N160" s="7">
        <f>IF($W160="","",IF(INDEX('Per Invoice'!N$2:N$801,$W160)="","",INDEX('Per Invoice'!N$2:N$801,$W160)))</f>
        <v/>
      </c>
      <c r="O160" s="7">
        <f>IF($W160="","",IF(INDEX('Per Invoice'!O$2:O$801,$W160)="","",INDEX('Per Invoice'!O$2:O$801,$W160)))</f>
        <v/>
      </c>
      <c r="P160">
        <f>IF($W160="","",IF(INDEX('Per Invoice'!P$2:P$801,$W160)="","",INDEX('Per Invoice'!P$2:P$801,$W160)))</f>
        <v/>
      </c>
      <c r="Q160" s="7">
        <f>IF($W160="","",IF(INDEX('Per Invoice'!Q$2:Q$801,$W160)="","",INDEX('Per Invoice'!Q$2:Q$801,$W160)))</f>
        <v/>
      </c>
      <c r="R160" s="7">
        <f>IF($W160="","",IF(INDEX('Per Invoice'!R$2:R$801,$W160)="","",INDEX('Per Invoice'!R$2:R$801,$W160)))</f>
        <v/>
      </c>
      <c r="S160" s="7">
        <f>IF($W160="","",IF(INDEX('Per Invoice'!S$2:S$801,$W160)="","",INDEX('Per Invoice'!S$2:S$801,$W160)))</f>
        <v/>
      </c>
      <c r="T160" s="7">
        <f>IF($W160="","",IF(INDEX('Per Invoice'!T$2:T$801,$W160)="","",INDEX('Per Invoice'!T$2:T$801,$W160)))</f>
        <v/>
      </c>
      <c r="U160" s="7">
        <f>IF($W160="","",IF(INDEX('Per Invoice'!U$2:U$801,$W160)="","",INDEX('Per Invoice'!U$2:U$801,$W160)))</f>
        <v/>
      </c>
      <c r="V160" s="7">
        <f>IF($W160="","",IF(INDEX('Per Invoice'!V$2:V$801,$W160)="","",INDEX('Per Invoice'!V$2:V$801,$W160)))</f>
        <v/>
      </c>
      <c r="W160" s="16">
        <f>IFERROR(MATCH(Settings!$C$27&amp;"|"&amp;ROWS($W$2:$W160),'Per Invoice'!$X$2:$X$801,0),"")</f>
        <v/>
      </c>
    </row>
    <row r="161">
      <c r="A161">
        <f>IF($W161="","",IF(INDEX('Per Invoice'!A$2:A$801,$W161)="","",INDEX('Per Invoice'!A$2:A$801,$W161)))</f>
        <v/>
      </c>
      <c r="B161">
        <f>IF($W161="","",IF(INDEX('Per Invoice'!B$2:B$801,$W161)="","",INDEX('Per Invoice'!B$2:B$801,$W161)))</f>
        <v/>
      </c>
      <c r="C161">
        <f>IF($W161="","",IF(INDEX('Per Invoice'!C$2:C$801,$W161)="","",INDEX('Per Invoice'!C$2:C$801,$W161)))</f>
        <v/>
      </c>
      <c r="D161">
        <f>IF($W161="","",IF(INDEX('Per Invoice'!D$2:D$801,$W161)="","",INDEX('Per Invoice'!D$2:D$801,$W161)))</f>
        <v/>
      </c>
      <c r="E161">
        <f>IF($W161="","",IF(INDEX('Per Invoice'!E$2:E$801,$W161)="","",INDEX('Per Invoice'!E$2:E$801,$W161)))</f>
        <v/>
      </c>
      <c r="F161">
        <f>IF($W161="","",IF(INDEX('Per Invoice'!F$2:F$801,$W161)="","",INDEX('Per Invoice'!F$2:F$801,$W161)))</f>
        <v/>
      </c>
      <c r="G161">
        <f>IF($W161="","",IF(INDEX('Per Invoice'!G$2:G$801,$W161)="","",INDEX('Per Invoice'!G$2:G$801,$W161)))</f>
        <v/>
      </c>
      <c r="H161">
        <f>IF($W161="","",IF(INDEX('Per Invoice'!H$2:H$801,$W161)="","",INDEX('Per Invoice'!H$2:H$801,$W161)))</f>
        <v/>
      </c>
      <c r="I161">
        <f>IF($W161="","",IF(INDEX('Per Invoice'!I$2:I$801,$W161)="","",INDEX('Per Invoice'!I$2:I$801,$W161)))</f>
        <v/>
      </c>
      <c r="J161">
        <f>IF($W161="","",IF(INDEX('Per Invoice'!J$2:J$801,$W161)="","",INDEX('Per Invoice'!J$2:J$801,$W161)))</f>
        <v/>
      </c>
      <c r="K161" s="7">
        <f>IF($W161="","",IF(INDEX('Per Invoice'!K$2:K$801,$W161)="","",INDEX('Per Invoice'!K$2:K$801,$W161)))</f>
        <v/>
      </c>
      <c r="L161" s="14">
        <f>IF($W161="","",IF(INDEX('Per Invoice'!L$2:L$801,$W161)="","",INDEX('Per Invoice'!L$2:L$801,$W161)))</f>
        <v/>
      </c>
      <c r="M161">
        <f>IF($W161="","",IF(INDEX('Per Invoice'!M$2:M$801,$W161)="","",INDEX('Per Invoice'!M$2:M$801,$W161)))</f>
        <v/>
      </c>
      <c r="N161" s="7">
        <f>IF($W161="","",IF(INDEX('Per Invoice'!N$2:N$801,$W161)="","",INDEX('Per Invoice'!N$2:N$801,$W161)))</f>
        <v/>
      </c>
      <c r="O161" s="7">
        <f>IF($W161="","",IF(INDEX('Per Invoice'!O$2:O$801,$W161)="","",INDEX('Per Invoice'!O$2:O$801,$W161)))</f>
        <v/>
      </c>
      <c r="P161">
        <f>IF($W161="","",IF(INDEX('Per Invoice'!P$2:P$801,$W161)="","",INDEX('Per Invoice'!P$2:P$801,$W161)))</f>
        <v/>
      </c>
      <c r="Q161" s="7">
        <f>IF($W161="","",IF(INDEX('Per Invoice'!Q$2:Q$801,$W161)="","",INDEX('Per Invoice'!Q$2:Q$801,$W161)))</f>
        <v/>
      </c>
      <c r="R161" s="7">
        <f>IF($W161="","",IF(INDEX('Per Invoice'!R$2:R$801,$W161)="","",INDEX('Per Invoice'!R$2:R$801,$W161)))</f>
        <v/>
      </c>
      <c r="S161" s="7">
        <f>IF($W161="","",IF(INDEX('Per Invoice'!S$2:S$801,$W161)="","",INDEX('Per Invoice'!S$2:S$801,$W161)))</f>
        <v/>
      </c>
      <c r="T161" s="7">
        <f>IF($W161="","",IF(INDEX('Per Invoice'!T$2:T$801,$W161)="","",INDEX('Per Invoice'!T$2:T$801,$W161)))</f>
        <v/>
      </c>
      <c r="U161" s="7">
        <f>IF($W161="","",IF(INDEX('Per Invoice'!U$2:U$801,$W161)="","",INDEX('Per Invoice'!U$2:U$801,$W161)))</f>
        <v/>
      </c>
      <c r="V161" s="7">
        <f>IF($W161="","",IF(INDEX('Per Invoice'!V$2:V$801,$W161)="","",INDEX('Per Invoice'!V$2:V$801,$W161)))</f>
        <v/>
      </c>
      <c r="W161" s="16">
        <f>IFERROR(MATCH(Settings!$C$27&amp;"|"&amp;ROWS($W$2:$W161),'Per Invoice'!$X$2:$X$801,0),"")</f>
        <v/>
      </c>
    </row>
    <row r="162">
      <c r="A162">
        <f>IF($W162="","",IF(INDEX('Per Invoice'!A$2:A$801,$W162)="","",INDEX('Per Invoice'!A$2:A$801,$W162)))</f>
        <v/>
      </c>
      <c r="B162">
        <f>IF($W162="","",IF(INDEX('Per Invoice'!B$2:B$801,$W162)="","",INDEX('Per Invoice'!B$2:B$801,$W162)))</f>
        <v/>
      </c>
      <c r="C162">
        <f>IF($W162="","",IF(INDEX('Per Invoice'!C$2:C$801,$W162)="","",INDEX('Per Invoice'!C$2:C$801,$W162)))</f>
        <v/>
      </c>
      <c r="D162">
        <f>IF($W162="","",IF(INDEX('Per Invoice'!D$2:D$801,$W162)="","",INDEX('Per Invoice'!D$2:D$801,$W162)))</f>
        <v/>
      </c>
      <c r="E162">
        <f>IF($W162="","",IF(INDEX('Per Invoice'!E$2:E$801,$W162)="","",INDEX('Per Invoice'!E$2:E$801,$W162)))</f>
        <v/>
      </c>
      <c r="F162">
        <f>IF($W162="","",IF(INDEX('Per Invoice'!F$2:F$801,$W162)="","",INDEX('Per Invoice'!F$2:F$801,$W162)))</f>
        <v/>
      </c>
      <c r="G162">
        <f>IF($W162="","",IF(INDEX('Per Invoice'!G$2:G$801,$W162)="","",INDEX('Per Invoice'!G$2:G$801,$W162)))</f>
        <v/>
      </c>
      <c r="H162">
        <f>IF($W162="","",IF(INDEX('Per Invoice'!H$2:H$801,$W162)="","",INDEX('Per Invoice'!H$2:H$801,$W162)))</f>
        <v/>
      </c>
      <c r="I162">
        <f>IF($W162="","",IF(INDEX('Per Invoice'!I$2:I$801,$W162)="","",INDEX('Per Invoice'!I$2:I$801,$W162)))</f>
        <v/>
      </c>
      <c r="J162">
        <f>IF($W162="","",IF(INDEX('Per Invoice'!J$2:J$801,$W162)="","",INDEX('Per Invoice'!J$2:J$801,$W162)))</f>
        <v/>
      </c>
      <c r="K162" s="7">
        <f>IF($W162="","",IF(INDEX('Per Invoice'!K$2:K$801,$W162)="","",INDEX('Per Invoice'!K$2:K$801,$W162)))</f>
        <v/>
      </c>
      <c r="L162" s="14">
        <f>IF($W162="","",IF(INDEX('Per Invoice'!L$2:L$801,$W162)="","",INDEX('Per Invoice'!L$2:L$801,$W162)))</f>
        <v/>
      </c>
      <c r="M162">
        <f>IF($W162="","",IF(INDEX('Per Invoice'!M$2:M$801,$W162)="","",INDEX('Per Invoice'!M$2:M$801,$W162)))</f>
        <v/>
      </c>
      <c r="N162" s="7">
        <f>IF($W162="","",IF(INDEX('Per Invoice'!N$2:N$801,$W162)="","",INDEX('Per Invoice'!N$2:N$801,$W162)))</f>
        <v/>
      </c>
      <c r="O162" s="7">
        <f>IF($W162="","",IF(INDEX('Per Invoice'!O$2:O$801,$W162)="","",INDEX('Per Invoice'!O$2:O$801,$W162)))</f>
        <v/>
      </c>
      <c r="P162">
        <f>IF($W162="","",IF(INDEX('Per Invoice'!P$2:P$801,$W162)="","",INDEX('Per Invoice'!P$2:P$801,$W162)))</f>
        <v/>
      </c>
      <c r="Q162" s="7">
        <f>IF($W162="","",IF(INDEX('Per Invoice'!Q$2:Q$801,$W162)="","",INDEX('Per Invoice'!Q$2:Q$801,$W162)))</f>
        <v/>
      </c>
      <c r="R162" s="7">
        <f>IF($W162="","",IF(INDEX('Per Invoice'!R$2:R$801,$W162)="","",INDEX('Per Invoice'!R$2:R$801,$W162)))</f>
        <v/>
      </c>
      <c r="S162" s="7">
        <f>IF($W162="","",IF(INDEX('Per Invoice'!S$2:S$801,$W162)="","",INDEX('Per Invoice'!S$2:S$801,$W162)))</f>
        <v/>
      </c>
      <c r="T162" s="7">
        <f>IF($W162="","",IF(INDEX('Per Invoice'!T$2:T$801,$W162)="","",INDEX('Per Invoice'!T$2:T$801,$W162)))</f>
        <v/>
      </c>
      <c r="U162" s="7">
        <f>IF($W162="","",IF(INDEX('Per Invoice'!U$2:U$801,$W162)="","",INDEX('Per Invoice'!U$2:U$801,$W162)))</f>
        <v/>
      </c>
      <c r="V162" s="7">
        <f>IF($W162="","",IF(INDEX('Per Invoice'!V$2:V$801,$W162)="","",INDEX('Per Invoice'!V$2:V$801,$W162)))</f>
        <v/>
      </c>
      <c r="W162" s="16">
        <f>IFERROR(MATCH(Settings!$C$27&amp;"|"&amp;ROWS($W$2:$W162),'Per Invoice'!$X$2:$X$801,0),"")</f>
        <v/>
      </c>
    </row>
    <row r="163">
      <c r="A163">
        <f>IF($W163="","",IF(INDEX('Per Invoice'!A$2:A$801,$W163)="","",INDEX('Per Invoice'!A$2:A$801,$W163)))</f>
        <v/>
      </c>
      <c r="B163">
        <f>IF($W163="","",IF(INDEX('Per Invoice'!B$2:B$801,$W163)="","",INDEX('Per Invoice'!B$2:B$801,$W163)))</f>
        <v/>
      </c>
      <c r="C163">
        <f>IF($W163="","",IF(INDEX('Per Invoice'!C$2:C$801,$W163)="","",INDEX('Per Invoice'!C$2:C$801,$W163)))</f>
        <v/>
      </c>
      <c r="D163">
        <f>IF($W163="","",IF(INDEX('Per Invoice'!D$2:D$801,$W163)="","",INDEX('Per Invoice'!D$2:D$801,$W163)))</f>
        <v/>
      </c>
      <c r="E163">
        <f>IF($W163="","",IF(INDEX('Per Invoice'!E$2:E$801,$W163)="","",INDEX('Per Invoice'!E$2:E$801,$W163)))</f>
        <v/>
      </c>
      <c r="F163">
        <f>IF($W163="","",IF(INDEX('Per Invoice'!F$2:F$801,$W163)="","",INDEX('Per Invoice'!F$2:F$801,$W163)))</f>
        <v/>
      </c>
      <c r="G163">
        <f>IF($W163="","",IF(INDEX('Per Invoice'!G$2:G$801,$W163)="","",INDEX('Per Invoice'!G$2:G$801,$W163)))</f>
        <v/>
      </c>
      <c r="H163">
        <f>IF($W163="","",IF(INDEX('Per Invoice'!H$2:H$801,$W163)="","",INDEX('Per Invoice'!H$2:H$801,$W163)))</f>
        <v/>
      </c>
      <c r="I163">
        <f>IF($W163="","",IF(INDEX('Per Invoice'!I$2:I$801,$W163)="","",INDEX('Per Invoice'!I$2:I$801,$W163)))</f>
        <v/>
      </c>
      <c r="J163">
        <f>IF($W163="","",IF(INDEX('Per Invoice'!J$2:J$801,$W163)="","",INDEX('Per Invoice'!J$2:J$801,$W163)))</f>
        <v/>
      </c>
      <c r="K163" s="7">
        <f>IF($W163="","",IF(INDEX('Per Invoice'!K$2:K$801,$W163)="","",INDEX('Per Invoice'!K$2:K$801,$W163)))</f>
        <v/>
      </c>
      <c r="L163" s="14">
        <f>IF($W163="","",IF(INDEX('Per Invoice'!L$2:L$801,$W163)="","",INDEX('Per Invoice'!L$2:L$801,$W163)))</f>
        <v/>
      </c>
      <c r="M163">
        <f>IF($W163="","",IF(INDEX('Per Invoice'!M$2:M$801,$W163)="","",INDEX('Per Invoice'!M$2:M$801,$W163)))</f>
        <v/>
      </c>
      <c r="N163" s="7">
        <f>IF($W163="","",IF(INDEX('Per Invoice'!N$2:N$801,$W163)="","",INDEX('Per Invoice'!N$2:N$801,$W163)))</f>
        <v/>
      </c>
      <c r="O163" s="7">
        <f>IF($W163="","",IF(INDEX('Per Invoice'!O$2:O$801,$W163)="","",INDEX('Per Invoice'!O$2:O$801,$W163)))</f>
        <v/>
      </c>
      <c r="P163">
        <f>IF($W163="","",IF(INDEX('Per Invoice'!P$2:P$801,$W163)="","",INDEX('Per Invoice'!P$2:P$801,$W163)))</f>
        <v/>
      </c>
      <c r="Q163" s="7">
        <f>IF($W163="","",IF(INDEX('Per Invoice'!Q$2:Q$801,$W163)="","",INDEX('Per Invoice'!Q$2:Q$801,$W163)))</f>
        <v/>
      </c>
      <c r="R163" s="7">
        <f>IF($W163="","",IF(INDEX('Per Invoice'!R$2:R$801,$W163)="","",INDEX('Per Invoice'!R$2:R$801,$W163)))</f>
        <v/>
      </c>
      <c r="S163" s="7">
        <f>IF($W163="","",IF(INDEX('Per Invoice'!S$2:S$801,$W163)="","",INDEX('Per Invoice'!S$2:S$801,$W163)))</f>
        <v/>
      </c>
      <c r="T163" s="7">
        <f>IF($W163="","",IF(INDEX('Per Invoice'!T$2:T$801,$W163)="","",INDEX('Per Invoice'!T$2:T$801,$W163)))</f>
        <v/>
      </c>
      <c r="U163" s="7">
        <f>IF($W163="","",IF(INDEX('Per Invoice'!U$2:U$801,$W163)="","",INDEX('Per Invoice'!U$2:U$801,$W163)))</f>
        <v/>
      </c>
      <c r="V163" s="7">
        <f>IF($W163="","",IF(INDEX('Per Invoice'!V$2:V$801,$W163)="","",INDEX('Per Invoice'!V$2:V$801,$W163)))</f>
        <v/>
      </c>
      <c r="W163" s="16">
        <f>IFERROR(MATCH(Settings!$C$27&amp;"|"&amp;ROWS($W$2:$W163),'Per Invoice'!$X$2:$X$801,0),"")</f>
        <v/>
      </c>
    </row>
    <row r="164">
      <c r="A164">
        <f>IF($W164="","",IF(INDEX('Per Invoice'!A$2:A$801,$W164)="","",INDEX('Per Invoice'!A$2:A$801,$W164)))</f>
        <v/>
      </c>
      <c r="B164">
        <f>IF($W164="","",IF(INDEX('Per Invoice'!B$2:B$801,$W164)="","",INDEX('Per Invoice'!B$2:B$801,$W164)))</f>
        <v/>
      </c>
      <c r="C164">
        <f>IF($W164="","",IF(INDEX('Per Invoice'!C$2:C$801,$W164)="","",INDEX('Per Invoice'!C$2:C$801,$W164)))</f>
        <v/>
      </c>
      <c r="D164">
        <f>IF($W164="","",IF(INDEX('Per Invoice'!D$2:D$801,$W164)="","",INDEX('Per Invoice'!D$2:D$801,$W164)))</f>
        <v/>
      </c>
      <c r="E164">
        <f>IF($W164="","",IF(INDEX('Per Invoice'!E$2:E$801,$W164)="","",INDEX('Per Invoice'!E$2:E$801,$W164)))</f>
        <v/>
      </c>
      <c r="F164">
        <f>IF($W164="","",IF(INDEX('Per Invoice'!F$2:F$801,$W164)="","",INDEX('Per Invoice'!F$2:F$801,$W164)))</f>
        <v/>
      </c>
      <c r="G164">
        <f>IF($W164="","",IF(INDEX('Per Invoice'!G$2:G$801,$W164)="","",INDEX('Per Invoice'!G$2:G$801,$W164)))</f>
        <v/>
      </c>
      <c r="H164">
        <f>IF($W164="","",IF(INDEX('Per Invoice'!H$2:H$801,$W164)="","",INDEX('Per Invoice'!H$2:H$801,$W164)))</f>
        <v/>
      </c>
      <c r="I164">
        <f>IF($W164="","",IF(INDEX('Per Invoice'!I$2:I$801,$W164)="","",INDEX('Per Invoice'!I$2:I$801,$W164)))</f>
        <v/>
      </c>
      <c r="J164">
        <f>IF($W164="","",IF(INDEX('Per Invoice'!J$2:J$801,$W164)="","",INDEX('Per Invoice'!J$2:J$801,$W164)))</f>
        <v/>
      </c>
      <c r="K164" s="7">
        <f>IF($W164="","",IF(INDEX('Per Invoice'!K$2:K$801,$W164)="","",INDEX('Per Invoice'!K$2:K$801,$W164)))</f>
        <v/>
      </c>
      <c r="L164" s="14">
        <f>IF($W164="","",IF(INDEX('Per Invoice'!L$2:L$801,$W164)="","",INDEX('Per Invoice'!L$2:L$801,$W164)))</f>
        <v/>
      </c>
      <c r="M164">
        <f>IF($W164="","",IF(INDEX('Per Invoice'!M$2:M$801,$W164)="","",INDEX('Per Invoice'!M$2:M$801,$W164)))</f>
        <v/>
      </c>
      <c r="N164" s="7">
        <f>IF($W164="","",IF(INDEX('Per Invoice'!N$2:N$801,$W164)="","",INDEX('Per Invoice'!N$2:N$801,$W164)))</f>
        <v/>
      </c>
      <c r="O164" s="7">
        <f>IF($W164="","",IF(INDEX('Per Invoice'!O$2:O$801,$W164)="","",INDEX('Per Invoice'!O$2:O$801,$W164)))</f>
        <v/>
      </c>
      <c r="P164">
        <f>IF($W164="","",IF(INDEX('Per Invoice'!P$2:P$801,$W164)="","",INDEX('Per Invoice'!P$2:P$801,$W164)))</f>
        <v/>
      </c>
      <c r="Q164" s="7">
        <f>IF($W164="","",IF(INDEX('Per Invoice'!Q$2:Q$801,$W164)="","",INDEX('Per Invoice'!Q$2:Q$801,$W164)))</f>
        <v/>
      </c>
      <c r="R164" s="7">
        <f>IF($W164="","",IF(INDEX('Per Invoice'!R$2:R$801,$W164)="","",INDEX('Per Invoice'!R$2:R$801,$W164)))</f>
        <v/>
      </c>
      <c r="S164" s="7">
        <f>IF($W164="","",IF(INDEX('Per Invoice'!S$2:S$801,$W164)="","",INDEX('Per Invoice'!S$2:S$801,$W164)))</f>
        <v/>
      </c>
      <c r="T164" s="7">
        <f>IF($W164="","",IF(INDEX('Per Invoice'!T$2:T$801,$W164)="","",INDEX('Per Invoice'!T$2:T$801,$W164)))</f>
        <v/>
      </c>
      <c r="U164" s="7">
        <f>IF($W164="","",IF(INDEX('Per Invoice'!U$2:U$801,$W164)="","",INDEX('Per Invoice'!U$2:U$801,$W164)))</f>
        <v/>
      </c>
      <c r="V164" s="7">
        <f>IF($W164="","",IF(INDEX('Per Invoice'!V$2:V$801,$W164)="","",INDEX('Per Invoice'!V$2:V$801,$W164)))</f>
        <v/>
      </c>
      <c r="W164" s="16">
        <f>IFERROR(MATCH(Settings!$C$27&amp;"|"&amp;ROWS($W$2:$W164),'Per Invoice'!$X$2:$X$801,0),"")</f>
        <v/>
      </c>
    </row>
    <row r="165">
      <c r="A165">
        <f>IF($W165="","",IF(INDEX('Per Invoice'!A$2:A$801,$W165)="","",INDEX('Per Invoice'!A$2:A$801,$W165)))</f>
        <v/>
      </c>
      <c r="B165">
        <f>IF($W165="","",IF(INDEX('Per Invoice'!B$2:B$801,$W165)="","",INDEX('Per Invoice'!B$2:B$801,$W165)))</f>
        <v/>
      </c>
      <c r="C165">
        <f>IF($W165="","",IF(INDEX('Per Invoice'!C$2:C$801,$W165)="","",INDEX('Per Invoice'!C$2:C$801,$W165)))</f>
        <v/>
      </c>
      <c r="D165">
        <f>IF($W165="","",IF(INDEX('Per Invoice'!D$2:D$801,$W165)="","",INDEX('Per Invoice'!D$2:D$801,$W165)))</f>
        <v/>
      </c>
      <c r="E165">
        <f>IF($W165="","",IF(INDEX('Per Invoice'!E$2:E$801,$W165)="","",INDEX('Per Invoice'!E$2:E$801,$W165)))</f>
        <v/>
      </c>
      <c r="F165">
        <f>IF($W165="","",IF(INDEX('Per Invoice'!F$2:F$801,$W165)="","",INDEX('Per Invoice'!F$2:F$801,$W165)))</f>
        <v/>
      </c>
      <c r="G165">
        <f>IF($W165="","",IF(INDEX('Per Invoice'!G$2:G$801,$W165)="","",INDEX('Per Invoice'!G$2:G$801,$W165)))</f>
        <v/>
      </c>
      <c r="H165">
        <f>IF($W165="","",IF(INDEX('Per Invoice'!H$2:H$801,$W165)="","",INDEX('Per Invoice'!H$2:H$801,$W165)))</f>
        <v/>
      </c>
      <c r="I165">
        <f>IF($W165="","",IF(INDEX('Per Invoice'!I$2:I$801,$W165)="","",INDEX('Per Invoice'!I$2:I$801,$W165)))</f>
        <v/>
      </c>
      <c r="J165">
        <f>IF($W165="","",IF(INDEX('Per Invoice'!J$2:J$801,$W165)="","",INDEX('Per Invoice'!J$2:J$801,$W165)))</f>
        <v/>
      </c>
      <c r="K165" s="7">
        <f>IF($W165="","",IF(INDEX('Per Invoice'!K$2:K$801,$W165)="","",INDEX('Per Invoice'!K$2:K$801,$W165)))</f>
        <v/>
      </c>
      <c r="L165" s="14">
        <f>IF($W165="","",IF(INDEX('Per Invoice'!L$2:L$801,$W165)="","",INDEX('Per Invoice'!L$2:L$801,$W165)))</f>
        <v/>
      </c>
      <c r="M165">
        <f>IF($W165="","",IF(INDEX('Per Invoice'!M$2:M$801,$W165)="","",INDEX('Per Invoice'!M$2:M$801,$W165)))</f>
        <v/>
      </c>
      <c r="N165" s="7">
        <f>IF($W165="","",IF(INDEX('Per Invoice'!N$2:N$801,$W165)="","",INDEX('Per Invoice'!N$2:N$801,$W165)))</f>
        <v/>
      </c>
      <c r="O165" s="7">
        <f>IF($W165="","",IF(INDEX('Per Invoice'!O$2:O$801,$W165)="","",INDEX('Per Invoice'!O$2:O$801,$W165)))</f>
        <v/>
      </c>
      <c r="P165">
        <f>IF($W165="","",IF(INDEX('Per Invoice'!P$2:P$801,$W165)="","",INDEX('Per Invoice'!P$2:P$801,$W165)))</f>
        <v/>
      </c>
      <c r="Q165" s="7">
        <f>IF($W165="","",IF(INDEX('Per Invoice'!Q$2:Q$801,$W165)="","",INDEX('Per Invoice'!Q$2:Q$801,$W165)))</f>
        <v/>
      </c>
      <c r="R165" s="7">
        <f>IF($W165="","",IF(INDEX('Per Invoice'!R$2:R$801,$W165)="","",INDEX('Per Invoice'!R$2:R$801,$W165)))</f>
        <v/>
      </c>
      <c r="S165" s="7">
        <f>IF($W165="","",IF(INDEX('Per Invoice'!S$2:S$801,$W165)="","",INDEX('Per Invoice'!S$2:S$801,$W165)))</f>
        <v/>
      </c>
      <c r="T165" s="7">
        <f>IF($W165="","",IF(INDEX('Per Invoice'!T$2:T$801,$W165)="","",INDEX('Per Invoice'!T$2:T$801,$W165)))</f>
        <v/>
      </c>
      <c r="U165" s="7">
        <f>IF($W165="","",IF(INDEX('Per Invoice'!U$2:U$801,$W165)="","",INDEX('Per Invoice'!U$2:U$801,$W165)))</f>
        <v/>
      </c>
      <c r="V165" s="7">
        <f>IF($W165="","",IF(INDEX('Per Invoice'!V$2:V$801,$W165)="","",INDEX('Per Invoice'!V$2:V$801,$W165)))</f>
        <v/>
      </c>
      <c r="W165" s="16">
        <f>IFERROR(MATCH(Settings!$C$27&amp;"|"&amp;ROWS($W$2:$W165),'Per Invoice'!$X$2:$X$801,0),"")</f>
        <v/>
      </c>
    </row>
    <row r="166">
      <c r="A166">
        <f>IF($W166="","",IF(INDEX('Per Invoice'!A$2:A$801,$W166)="","",INDEX('Per Invoice'!A$2:A$801,$W166)))</f>
        <v/>
      </c>
      <c r="B166">
        <f>IF($W166="","",IF(INDEX('Per Invoice'!B$2:B$801,$W166)="","",INDEX('Per Invoice'!B$2:B$801,$W166)))</f>
        <v/>
      </c>
      <c r="C166">
        <f>IF($W166="","",IF(INDEX('Per Invoice'!C$2:C$801,$W166)="","",INDEX('Per Invoice'!C$2:C$801,$W166)))</f>
        <v/>
      </c>
      <c r="D166">
        <f>IF($W166="","",IF(INDEX('Per Invoice'!D$2:D$801,$W166)="","",INDEX('Per Invoice'!D$2:D$801,$W166)))</f>
        <v/>
      </c>
      <c r="E166">
        <f>IF($W166="","",IF(INDEX('Per Invoice'!E$2:E$801,$W166)="","",INDEX('Per Invoice'!E$2:E$801,$W166)))</f>
        <v/>
      </c>
      <c r="F166">
        <f>IF($W166="","",IF(INDEX('Per Invoice'!F$2:F$801,$W166)="","",INDEX('Per Invoice'!F$2:F$801,$W166)))</f>
        <v/>
      </c>
      <c r="G166">
        <f>IF($W166="","",IF(INDEX('Per Invoice'!G$2:G$801,$W166)="","",INDEX('Per Invoice'!G$2:G$801,$W166)))</f>
        <v/>
      </c>
      <c r="H166">
        <f>IF($W166="","",IF(INDEX('Per Invoice'!H$2:H$801,$W166)="","",INDEX('Per Invoice'!H$2:H$801,$W166)))</f>
        <v/>
      </c>
      <c r="I166">
        <f>IF($W166="","",IF(INDEX('Per Invoice'!I$2:I$801,$W166)="","",INDEX('Per Invoice'!I$2:I$801,$W166)))</f>
        <v/>
      </c>
      <c r="J166">
        <f>IF($W166="","",IF(INDEX('Per Invoice'!J$2:J$801,$W166)="","",INDEX('Per Invoice'!J$2:J$801,$W166)))</f>
        <v/>
      </c>
      <c r="K166" s="7">
        <f>IF($W166="","",IF(INDEX('Per Invoice'!K$2:K$801,$W166)="","",INDEX('Per Invoice'!K$2:K$801,$W166)))</f>
        <v/>
      </c>
      <c r="L166" s="14">
        <f>IF($W166="","",IF(INDEX('Per Invoice'!L$2:L$801,$W166)="","",INDEX('Per Invoice'!L$2:L$801,$W166)))</f>
        <v/>
      </c>
      <c r="M166">
        <f>IF($W166="","",IF(INDEX('Per Invoice'!M$2:M$801,$W166)="","",INDEX('Per Invoice'!M$2:M$801,$W166)))</f>
        <v/>
      </c>
      <c r="N166" s="7">
        <f>IF($W166="","",IF(INDEX('Per Invoice'!N$2:N$801,$W166)="","",INDEX('Per Invoice'!N$2:N$801,$W166)))</f>
        <v/>
      </c>
      <c r="O166" s="7">
        <f>IF($W166="","",IF(INDEX('Per Invoice'!O$2:O$801,$W166)="","",INDEX('Per Invoice'!O$2:O$801,$W166)))</f>
        <v/>
      </c>
      <c r="P166">
        <f>IF($W166="","",IF(INDEX('Per Invoice'!P$2:P$801,$W166)="","",INDEX('Per Invoice'!P$2:P$801,$W166)))</f>
        <v/>
      </c>
      <c r="Q166" s="7">
        <f>IF($W166="","",IF(INDEX('Per Invoice'!Q$2:Q$801,$W166)="","",INDEX('Per Invoice'!Q$2:Q$801,$W166)))</f>
        <v/>
      </c>
      <c r="R166" s="7">
        <f>IF($W166="","",IF(INDEX('Per Invoice'!R$2:R$801,$W166)="","",INDEX('Per Invoice'!R$2:R$801,$W166)))</f>
        <v/>
      </c>
      <c r="S166" s="7">
        <f>IF($W166="","",IF(INDEX('Per Invoice'!S$2:S$801,$W166)="","",INDEX('Per Invoice'!S$2:S$801,$W166)))</f>
        <v/>
      </c>
      <c r="T166" s="7">
        <f>IF($W166="","",IF(INDEX('Per Invoice'!T$2:T$801,$W166)="","",INDEX('Per Invoice'!T$2:T$801,$W166)))</f>
        <v/>
      </c>
      <c r="U166" s="7">
        <f>IF($W166="","",IF(INDEX('Per Invoice'!U$2:U$801,$W166)="","",INDEX('Per Invoice'!U$2:U$801,$W166)))</f>
        <v/>
      </c>
      <c r="V166" s="7">
        <f>IF($W166="","",IF(INDEX('Per Invoice'!V$2:V$801,$W166)="","",INDEX('Per Invoice'!V$2:V$801,$W166)))</f>
        <v/>
      </c>
      <c r="W166" s="16">
        <f>IFERROR(MATCH(Settings!$C$27&amp;"|"&amp;ROWS($W$2:$W166),'Per Invoice'!$X$2:$X$801,0),"")</f>
        <v/>
      </c>
    </row>
    <row r="167">
      <c r="A167">
        <f>IF($W167="","",IF(INDEX('Per Invoice'!A$2:A$801,$W167)="","",INDEX('Per Invoice'!A$2:A$801,$W167)))</f>
        <v/>
      </c>
      <c r="B167">
        <f>IF($W167="","",IF(INDEX('Per Invoice'!B$2:B$801,$W167)="","",INDEX('Per Invoice'!B$2:B$801,$W167)))</f>
        <v/>
      </c>
      <c r="C167">
        <f>IF($W167="","",IF(INDEX('Per Invoice'!C$2:C$801,$W167)="","",INDEX('Per Invoice'!C$2:C$801,$W167)))</f>
        <v/>
      </c>
      <c r="D167">
        <f>IF($W167="","",IF(INDEX('Per Invoice'!D$2:D$801,$W167)="","",INDEX('Per Invoice'!D$2:D$801,$W167)))</f>
        <v/>
      </c>
      <c r="E167">
        <f>IF($W167="","",IF(INDEX('Per Invoice'!E$2:E$801,$W167)="","",INDEX('Per Invoice'!E$2:E$801,$W167)))</f>
        <v/>
      </c>
      <c r="F167">
        <f>IF($W167="","",IF(INDEX('Per Invoice'!F$2:F$801,$W167)="","",INDEX('Per Invoice'!F$2:F$801,$W167)))</f>
        <v/>
      </c>
      <c r="G167">
        <f>IF($W167="","",IF(INDEX('Per Invoice'!G$2:G$801,$W167)="","",INDEX('Per Invoice'!G$2:G$801,$W167)))</f>
        <v/>
      </c>
      <c r="H167">
        <f>IF($W167="","",IF(INDEX('Per Invoice'!H$2:H$801,$W167)="","",INDEX('Per Invoice'!H$2:H$801,$W167)))</f>
        <v/>
      </c>
      <c r="I167">
        <f>IF($W167="","",IF(INDEX('Per Invoice'!I$2:I$801,$W167)="","",INDEX('Per Invoice'!I$2:I$801,$W167)))</f>
        <v/>
      </c>
      <c r="J167">
        <f>IF($W167="","",IF(INDEX('Per Invoice'!J$2:J$801,$W167)="","",INDEX('Per Invoice'!J$2:J$801,$W167)))</f>
        <v/>
      </c>
      <c r="K167" s="7">
        <f>IF($W167="","",IF(INDEX('Per Invoice'!K$2:K$801,$W167)="","",INDEX('Per Invoice'!K$2:K$801,$W167)))</f>
        <v/>
      </c>
      <c r="L167" s="14">
        <f>IF($W167="","",IF(INDEX('Per Invoice'!L$2:L$801,$W167)="","",INDEX('Per Invoice'!L$2:L$801,$W167)))</f>
        <v/>
      </c>
      <c r="M167">
        <f>IF($W167="","",IF(INDEX('Per Invoice'!M$2:M$801,$W167)="","",INDEX('Per Invoice'!M$2:M$801,$W167)))</f>
        <v/>
      </c>
      <c r="N167" s="7">
        <f>IF($W167="","",IF(INDEX('Per Invoice'!N$2:N$801,$W167)="","",INDEX('Per Invoice'!N$2:N$801,$W167)))</f>
        <v/>
      </c>
      <c r="O167" s="7">
        <f>IF($W167="","",IF(INDEX('Per Invoice'!O$2:O$801,$W167)="","",INDEX('Per Invoice'!O$2:O$801,$W167)))</f>
        <v/>
      </c>
      <c r="P167">
        <f>IF($W167="","",IF(INDEX('Per Invoice'!P$2:P$801,$W167)="","",INDEX('Per Invoice'!P$2:P$801,$W167)))</f>
        <v/>
      </c>
      <c r="Q167" s="7">
        <f>IF($W167="","",IF(INDEX('Per Invoice'!Q$2:Q$801,$W167)="","",INDEX('Per Invoice'!Q$2:Q$801,$W167)))</f>
        <v/>
      </c>
      <c r="R167" s="7">
        <f>IF($W167="","",IF(INDEX('Per Invoice'!R$2:R$801,$W167)="","",INDEX('Per Invoice'!R$2:R$801,$W167)))</f>
        <v/>
      </c>
      <c r="S167" s="7">
        <f>IF($W167="","",IF(INDEX('Per Invoice'!S$2:S$801,$W167)="","",INDEX('Per Invoice'!S$2:S$801,$W167)))</f>
        <v/>
      </c>
      <c r="T167" s="7">
        <f>IF($W167="","",IF(INDEX('Per Invoice'!T$2:T$801,$W167)="","",INDEX('Per Invoice'!T$2:T$801,$W167)))</f>
        <v/>
      </c>
      <c r="U167" s="7">
        <f>IF($W167="","",IF(INDEX('Per Invoice'!U$2:U$801,$W167)="","",INDEX('Per Invoice'!U$2:U$801,$W167)))</f>
        <v/>
      </c>
      <c r="V167" s="7">
        <f>IF($W167="","",IF(INDEX('Per Invoice'!V$2:V$801,$W167)="","",INDEX('Per Invoice'!V$2:V$801,$W167)))</f>
        <v/>
      </c>
      <c r="W167" s="16">
        <f>IFERROR(MATCH(Settings!$C$27&amp;"|"&amp;ROWS($W$2:$W167),'Per Invoice'!$X$2:$X$801,0),"")</f>
        <v/>
      </c>
    </row>
    <row r="168">
      <c r="A168">
        <f>IF($W168="","",IF(INDEX('Per Invoice'!A$2:A$801,$W168)="","",INDEX('Per Invoice'!A$2:A$801,$W168)))</f>
        <v/>
      </c>
      <c r="B168">
        <f>IF($W168="","",IF(INDEX('Per Invoice'!B$2:B$801,$W168)="","",INDEX('Per Invoice'!B$2:B$801,$W168)))</f>
        <v/>
      </c>
      <c r="C168">
        <f>IF($W168="","",IF(INDEX('Per Invoice'!C$2:C$801,$W168)="","",INDEX('Per Invoice'!C$2:C$801,$W168)))</f>
        <v/>
      </c>
      <c r="D168">
        <f>IF($W168="","",IF(INDEX('Per Invoice'!D$2:D$801,$W168)="","",INDEX('Per Invoice'!D$2:D$801,$W168)))</f>
        <v/>
      </c>
      <c r="E168">
        <f>IF($W168="","",IF(INDEX('Per Invoice'!E$2:E$801,$W168)="","",INDEX('Per Invoice'!E$2:E$801,$W168)))</f>
        <v/>
      </c>
      <c r="F168">
        <f>IF($W168="","",IF(INDEX('Per Invoice'!F$2:F$801,$W168)="","",INDEX('Per Invoice'!F$2:F$801,$W168)))</f>
        <v/>
      </c>
      <c r="G168">
        <f>IF($W168="","",IF(INDEX('Per Invoice'!G$2:G$801,$W168)="","",INDEX('Per Invoice'!G$2:G$801,$W168)))</f>
        <v/>
      </c>
      <c r="H168">
        <f>IF($W168="","",IF(INDEX('Per Invoice'!H$2:H$801,$W168)="","",INDEX('Per Invoice'!H$2:H$801,$W168)))</f>
        <v/>
      </c>
      <c r="I168">
        <f>IF($W168="","",IF(INDEX('Per Invoice'!I$2:I$801,$W168)="","",INDEX('Per Invoice'!I$2:I$801,$W168)))</f>
        <v/>
      </c>
      <c r="J168">
        <f>IF($W168="","",IF(INDEX('Per Invoice'!J$2:J$801,$W168)="","",INDEX('Per Invoice'!J$2:J$801,$W168)))</f>
        <v/>
      </c>
      <c r="K168" s="7">
        <f>IF($W168="","",IF(INDEX('Per Invoice'!K$2:K$801,$W168)="","",INDEX('Per Invoice'!K$2:K$801,$W168)))</f>
        <v/>
      </c>
      <c r="L168" s="14">
        <f>IF($W168="","",IF(INDEX('Per Invoice'!L$2:L$801,$W168)="","",INDEX('Per Invoice'!L$2:L$801,$W168)))</f>
        <v/>
      </c>
      <c r="M168">
        <f>IF($W168="","",IF(INDEX('Per Invoice'!M$2:M$801,$W168)="","",INDEX('Per Invoice'!M$2:M$801,$W168)))</f>
        <v/>
      </c>
      <c r="N168" s="7">
        <f>IF($W168="","",IF(INDEX('Per Invoice'!N$2:N$801,$W168)="","",INDEX('Per Invoice'!N$2:N$801,$W168)))</f>
        <v/>
      </c>
      <c r="O168" s="7">
        <f>IF($W168="","",IF(INDEX('Per Invoice'!O$2:O$801,$W168)="","",INDEX('Per Invoice'!O$2:O$801,$W168)))</f>
        <v/>
      </c>
      <c r="P168">
        <f>IF($W168="","",IF(INDEX('Per Invoice'!P$2:P$801,$W168)="","",INDEX('Per Invoice'!P$2:P$801,$W168)))</f>
        <v/>
      </c>
      <c r="Q168" s="7">
        <f>IF($W168="","",IF(INDEX('Per Invoice'!Q$2:Q$801,$W168)="","",INDEX('Per Invoice'!Q$2:Q$801,$W168)))</f>
        <v/>
      </c>
      <c r="R168" s="7">
        <f>IF($W168="","",IF(INDEX('Per Invoice'!R$2:R$801,$W168)="","",INDEX('Per Invoice'!R$2:R$801,$W168)))</f>
        <v/>
      </c>
      <c r="S168" s="7">
        <f>IF($W168="","",IF(INDEX('Per Invoice'!S$2:S$801,$W168)="","",INDEX('Per Invoice'!S$2:S$801,$W168)))</f>
        <v/>
      </c>
      <c r="T168" s="7">
        <f>IF($W168="","",IF(INDEX('Per Invoice'!T$2:T$801,$W168)="","",INDEX('Per Invoice'!T$2:T$801,$W168)))</f>
        <v/>
      </c>
      <c r="U168" s="7">
        <f>IF($W168="","",IF(INDEX('Per Invoice'!U$2:U$801,$W168)="","",INDEX('Per Invoice'!U$2:U$801,$W168)))</f>
        <v/>
      </c>
      <c r="V168" s="7">
        <f>IF($W168="","",IF(INDEX('Per Invoice'!V$2:V$801,$W168)="","",INDEX('Per Invoice'!V$2:V$801,$W168)))</f>
        <v/>
      </c>
      <c r="W168" s="16">
        <f>IFERROR(MATCH(Settings!$C$27&amp;"|"&amp;ROWS($W$2:$W168),'Per Invoice'!$X$2:$X$801,0),"")</f>
        <v/>
      </c>
    </row>
    <row r="169">
      <c r="A169">
        <f>IF($W169="","",IF(INDEX('Per Invoice'!A$2:A$801,$W169)="","",INDEX('Per Invoice'!A$2:A$801,$W169)))</f>
        <v/>
      </c>
      <c r="B169">
        <f>IF($W169="","",IF(INDEX('Per Invoice'!B$2:B$801,$W169)="","",INDEX('Per Invoice'!B$2:B$801,$W169)))</f>
        <v/>
      </c>
      <c r="C169">
        <f>IF($W169="","",IF(INDEX('Per Invoice'!C$2:C$801,$W169)="","",INDEX('Per Invoice'!C$2:C$801,$W169)))</f>
        <v/>
      </c>
      <c r="D169">
        <f>IF($W169="","",IF(INDEX('Per Invoice'!D$2:D$801,$W169)="","",INDEX('Per Invoice'!D$2:D$801,$W169)))</f>
        <v/>
      </c>
      <c r="E169">
        <f>IF($W169="","",IF(INDEX('Per Invoice'!E$2:E$801,$W169)="","",INDEX('Per Invoice'!E$2:E$801,$W169)))</f>
        <v/>
      </c>
      <c r="F169">
        <f>IF($W169="","",IF(INDEX('Per Invoice'!F$2:F$801,$W169)="","",INDEX('Per Invoice'!F$2:F$801,$W169)))</f>
        <v/>
      </c>
      <c r="G169">
        <f>IF($W169="","",IF(INDEX('Per Invoice'!G$2:G$801,$W169)="","",INDEX('Per Invoice'!G$2:G$801,$W169)))</f>
        <v/>
      </c>
      <c r="H169">
        <f>IF($W169="","",IF(INDEX('Per Invoice'!H$2:H$801,$W169)="","",INDEX('Per Invoice'!H$2:H$801,$W169)))</f>
        <v/>
      </c>
      <c r="I169">
        <f>IF($W169="","",IF(INDEX('Per Invoice'!I$2:I$801,$W169)="","",INDEX('Per Invoice'!I$2:I$801,$W169)))</f>
        <v/>
      </c>
      <c r="J169">
        <f>IF($W169="","",IF(INDEX('Per Invoice'!J$2:J$801,$W169)="","",INDEX('Per Invoice'!J$2:J$801,$W169)))</f>
        <v/>
      </c>
      <c r="K169" s="7">
        <f>IF($W169="","",IF(INDEX('Per Invoice'!K$2:K$801,$W169)="","",INDEX('Per Invoice'!K$2:K$801,$W169)))</f>
        <v/>
      </c>
      <c r="L169" s="14">
        <f>IF($W169="","",IF(INDEX('Per Invoice'!L$2:L$801,$W169)="","",INDEX('Per Invoice'!L$2:L$801,$W169)))</f>
        <v/>
      </c>
      <c r="M169">
        <f>IF($W169="","",IF(INDEX('Per Invoice'!M$2:M$801,$W169)="","",INDEX('Per Invoice'!M$2:M$801,$W169)))</f>
        <v/>
      </c>
      <c r="N169" s="7">
        <f>IF($W169="","",IF(INDEX('Per Invoice'!N$2:N$801,$W169)="","",INDEX('Per Invoice'!N$2:N$801,$W169)))</f>
        <v/>
      </c>
      <c r="O169" s="7">
        <f>IF($W169="","",IF(INDEX('Per Invoice'!O$2:O$801,$W169)="","",INDEX('Per Invoice'!O$2:O$801,$W169)))</f>
        <v/>
      </c>
      <c r="P169">
        <f>IF($W169="","",IF(INDEX('Per Invoice'!P$2:P$801,$W169)="","",INDEX('Per Invoice'!P$2:P$801,$W169)))</f>
        <v/>
      </c>
      <c r="Q169" s="7">
        <f>IF($W169="","",IF(INDEX('Per Invoice'!Q$2:Q$801,$W169)="","",INDEX('Per Invoice'!Q$2:Q$801,$W169)))</f>
        <v/>
      </c>
      <c r="R169" s="7">
        <f>IF($W169="","",IF(INDEX('Per Invoice'!R$2:R$801,$W169)="","",INDEX('Per Invoice'!R$2:R$801,$W169)))</f>
        <v/>
      </c>
      <c r="S169" s="7">
        <f>IF($W169="","",IF(INDEX('Per Invoice'!S$2:S$801,$W169)="","",INDEX('Per Invoice'!S$2:S$801,$W169)))</f>
        <v/>
      </c>
      <c r="T169" s="7">
        <f>IF($W169="","",IF(INDEX('Per Invoice'!T$2:T$801,$W169)="","",INDEX('Per Invoice'!T$2:T$801,$W169)))</f>
        <v/>
      </c>
      <c r="U169" s="7">
        <f>IF($W169="","",IF(INDEX('Per Invoice'!U$2:U$801,$W169)="","",INDEX('Per Invoice'!U$2:U$801,$W169)))</f>
        <v/>
      </c>
      <c r="V169" s="7">
        <f>IF($W169="","",IF(INDEX('Per Invoice'!V$2:V$801,$W169)="","",INDEX('Per Invoice'!V$2:V$801,$W169)))</f>
        <v/>
      </c>
      <c r="W169" s="16">
        <f>IFERROR(MATCH(Settings!$C$27&amp;"|"&amp;ROWS($W$2:$W169),'Per Invoice'!$X$2:$X$801,0),"")</f>
        <v/>
      </c>
    </row>
    <row r="170">
      <c r="A170">
        <f>IF($W170="","",IF(INDEX('Per Invoice'!A$2:A$801,$W170)="","",INDEX('Per Invoice'!A$2:A$801,$W170)))</f>
        <v/>
      </c>
      <c r="B170">
        <f>IF($W170="","",IF(INDEX('Per Invoice'!B$2:B$801,$W170)="","",INDEX('Per Invoice'!B$2:B$801,$W170)))</f>
        <v/>
      </c>
      <c r="C170">
        <f>IF($W170="","",IF(INDEX('Per Invoice'!C$2:C$801,$W170)="","",INDEX('Per Invoice'!C$2:C$801,$W170)))</f>
        <v/>
      </c>
      <c r="D170">
        <f>IF($W170="","",IF(INDEX('Per Invoice'!D$2:D$801,$W170)="","",INDEX('Per Invoice'!D$2:D$801,$W170)))</f>
        <v/>
      </c>
      <c r="E170">
        <f>IF($W170="","",IF(INDEX('Per Invoice'!E$2:E$801,$W170)="","",INDEX('Per Invoice'!E$2:E$801,$W170)))</f>
        <v/>
      </c>
      <c r="F170">
        <f>IF($W170="","",IF(INDEX('Per Invoice'!F$2:F$801,$W170)="","",INDEX('Per Invoice'!F$2:F$801,$W170)))</f>
        <v/>
      </c>
      <c r="G170">
        <f>IF($W170="","",IF(INDEX('Per Invoice'!G$2:G$801,$W170)="","",INDEX('Per Invoice'!G$2:G$801,$W170)))</f>
        <v/>
      </c>
      <c r="H170">
        <f>IF($W170="","",IF(INDEX('Per Invoice'!H$2:H$801,$W170)="","",INDEX('Per Invoice'!H$2:H$801,$W170)))</f>
        <v/>
      </c>
      <c r="I170">
        <f>IF($W170="","",IF(INDEX('Per Invoice'!I$2:I$801,$W170)="","",INDEX('Per Invoice'!I$2:I$801,$W170)))</f>
        <v/>
      </c>
      <c r="J170">
        <f>IF($W170="","",IF(INDEX('Per Invoice'!J$2:J$801,$W170)="","",INDEX('Per Invoice'!J$2:J$801,$W170)))</f>
        <v/>
      </c>
      <c r="K170" s="7">
        <f>IF($W170="","",IF(INDEX('Per Invoice'!K$2:K$801,$W170)="","",INDEX('Per Invoice'!K$2:K$801,$W170)))</f>
        <v/>
      </c>
      <c r="L170" s="14">
        <f>IF($W170="","",IF(INDEX('Per Invoice'!L$2:L$801,$W170)="","",INDEX('Per Invoice'!L$2:L$801,$W170)))</f>
        <v/>
      </c>
      <c r="M170">
        <f>IF($W170="","",IF(INDEX('Per Invoice'!M$2:M$801,$W170)="","",INDEX('Per Invoice'!M$2:M$801,$W170)))</f>
        <v/>
      </c>
      <c r="N170" s="7">
        <f>IF($W170="","",IF(INDEX('Per Invoice'!N$2:N$801,$W170)="","",INDEX('Per Invoice'!N$2:N$801,$W170)))</f>
        <v/>
      </c>
      <c r="O170" s="7">
        <f>IF($W170="","",IF(INDEX('Per Invoice'!O$2:O$801,$W170)="","",INDEX('Per Invoice'!O$2:O$801,$W170)))</f>
        <v/>
      </c>
      <c r="P170">
        <f>IF($W170="","",IF(INDEX('Per Invoice'!P$2:P$801,$W170)="","",INDEX('Per Invoice'!P$2:P$801,$W170)))</f>
        <v/>
      </c>
      <c r="Q170" s="7">
        <f>IF($W170="","",IF(INDEX('Per Invoice'!Q$2:Q$801,$W170)="","",INDEX('Per Invoice'!Q$2:Q$801,$W170)))</f>
        <v/>
      </c>
      <c r="R170" s="7">
        <f>IF($W170="","",IF(INDEX('Per Invoice'!R$2:R$801,$W170)="","",INDEX('Per Invoice'!R$2:R$801,$W170)))</f>
        <v/>
      </c>
      <c r="S170" s="7">
        <f>IF($W170="","",IF(INDEX('Per Invoice'!S$2:S$801,$W170)="","",INDEX('Per Invoice'!S$2:S$801,$W170)))</f>
        <v/>
      </c>
      <c r="T170" s="7">
        <f>IF($W170="","",IF(INDEX('Per Invoice'!T$2:T$801,$W170)="","",INDEX('Per Invoice'!T$2:T$801,$W170)))</f>
        <v/>
      </c>
      <c r="U170" s="7">
        <f>IF($W170="","",IF(INDEX('Per Invoice'!U$2:U$801,$W170)="","",INDEX('Per Invoice'!U$2:U$801,$W170)))</f>
        <v/>
      </c>
      <c r="V170" s="7">
        <f>IF($W170="","",IF(INDEX('Per Invoice'!V$2:V$801,$W170)="","",INDEX('Per Invoice'!V$2:V$801,$W170)))</f>
        <v/>
      </c>
      <c r="W170" s="16">
        <f>IFERROR(MATCH(Settings!$C$27&amp;"|"&amp;ROWS($W$2:$W170),'Per Invoice'!$X$2:$X$801,0),"")</f>
        <v/>
      </c>
    </row>
    <row r="171">
      <c r="A171">
        <f>IF($W171="","",IF(INDEX('Per Invoice'!A$2:A$801,$W171)="","",INDEX('Per Invoice'!A$2:A$801,$W171)))</f>
        <v/>
      </c>
      <c r="B171">
        <f>IF($W171="","",IF(INDEX('Per Invoice'!B$2:B$801,$W171)="","",INDEX('Per Invoice'!B$2:B$801,$W171)))</f>
        <v/>
      </c>
      <c r="C171">
        <f>IF($W171="","",IF(INDEX('Per Invoice'!C$2:C$801,$W171)="","",INDEX('Per Invoice'!C$2:C$801,$W171)))</f>
        <v/>
      </c>
      <c r="D171">
        <f>IF($W171="","",IF(INDEX('Per Invoice'!D$2:D$801,$W171)="","",INDEX('Per Invoice'!D$2:D$801,$W171)))</f>
        <v/>
      </c>
      <c r="E171">
        <f>IF($W171="","",IF(INDEX('Per Invoice'!E$2:E$801,$W171)="","",INDEX('Per Invoice'!E$2:E$801,$W171)))</f>
        <v/>
      </c>
      <c r="F171">
        <f>IF($W171="","",IF(INDEX('Per Invoice'!F$2:F$801,$W171)="","",INDEX('Per Invoice'!F$2:F$801,$W171)))</f>
        <v/>
      </c>
      <c r="G171">
        <f>IF($W171="","",IF(INDEX('Per Invoice'!G$2:G$801,$W171)="","",INDEX('Per Invoice'!G$2:G$801,$W171)))</f>
        <v/>
      </c>
      <c r="H171">
        <f>IF($W171="","",IF(INDEX('Per Invoice'!H$2:H$801,$W171)="","",INDEX('Per Invoice'!H$2:H$801,$W171)))</f>
        <v/>
      </c>
      <c r="I171">
        <f>IF($W171="","",IF(INDEX('Per Invoice'!I$2:I$801,$W171)="","",INDEX('Per Invoice'!I$2:I$801,$W171)))</f>
        <v/>
      </c>
      <c r="J171">
        <f>IF($W171="","",IF(INDEX('Per Invoice'!J$2:J$801,$W171)="","",INDEX('Per Invoice'!J$2:J$801,$W171)))</f>
        <v/>
      </c>
      <c r="K171" s="7">
        <f>IF($W171="","",IF(INDEX('Per Invoice'!K$2:K$801,$W171)="","",INDEX('Per Invoice'!K$2:K$801,$W171)))</f>
        <v/>
      </c>
      <c r="L171" s="14">
        <f>IF($W171="","",IF(INDEX('Per Invoice'!L$2:L$801,$W171)="","",INDEX('Per Invoice'!L$2:L$801,$W171)))</f>
        <v/>
      </c>
      <c r="M171">
        <f>IF($W171="","",IF(INDEX('Per Invoice'!M$2:M$801,$W171)="","",INDEX('Per Invoice'!M$2:M$801,$W171)))</f>
        <v/>
      </c>
      <c r="N171" s="7">
        <f>IF($W171="","",IF(INDEX('Per Invoice'!N$2:N$801,$W171)="","",INDEX('Per Invoice'!N$2:N$801,$W171)))</f>
        <v/>
      </c>
      <c r="O171" s="7">
        <f>IF($W171="","",IF(INDEX('Per Invoice'!O$2:O$801,$W171)="","",INDEX('Per Invoice'!O$2:O$801,$W171)))</f>
        <v/>
      </c>
      <c r="P171">
        <f>IF($W171="","",IF(INDEX('Per Invoice'!P$2:P$801,$W171)="","",INDEX('Per Invoice'!P$2:P$801,$W171)))</f>
        <v/>
      </c>
      <c r="Q171" s="7">
        <f>IF($W171="","",IF(INDEX('Per Invoice'!Q$2:Q$801,$W171)="","",INDEX('Per Invoice'!Q$2:Q$801,$W171)))</f>
        <v/>
      </c>
      <c r="R171" s="7">
        <f>IF($W171="","",IF(INDEX('Per Invoice'!R$2:R$801,$W171)="","",INDEX('Per Invoice'!R$2:R$801,$W171)))</f>
        <v/>
      </c>
      <c r="S171" s="7">
        <f>IF($W171="","",IF(INDEX('Per Invoice'!S$2:S$801,$W171)="","",INDEX('Per Invoice'!S$2:S$801,$W171)))</f>
        <v/>
      </c>
      <c r="T171" s="7">
        <f>IF($W171="","",IF(INDEX('Per Invoice'!T$2:T$801,$W171)="","",INDEX('Per Invoice'!T$2:T$801,$W171)))</f>
        <v/>
      </c>
      <c r="U171" s="7">
        <f>IF($W171="","",IF(INDEX('Per Invoice'!U$2:U$801,$W171)="","",INDEX('Per Invoice'!U$2:U$801,$W171)))</f>
        <v/>
      </c>
      <c r="V171" s="7">
        <f>IF($W171="","",IF(INDEX('Per Invoice'!V$2:V$801,$W171)="","",INDEX('Per Invoice'!V$2:V$801,$W171)))</f>
        <v/>
      </c>
      <c r="W171" s="16">
        <f>IFERROR(MATCH(Settings!$C$27&amp;"|"&amp;ROWS($W$2:$W171),'Per Invoice'!$X$2:$X$801,0),"")</f>
        <v/>
      </c>
    </row>
    <row r="172">
      <c r="A172">
        <f>IF($W172="","",IF(INDEX('Per Invoice'!A$2:A$801,$W172)="","",INDEX('Per Invoice'!A$2:A$801,$W172)))</f>
        <v/>
      </c>
      <c r="B172">
        <f>IF($W172="","",IF(INDEX('Per Invoice'!B$2:B$801,$W172)="","",INDEX('Per Invoice'!B$2:B$801,$W172)))</f>
        <v/>
      </c>
      <c r="C172">
        <f>IF($W172="","",IF(INDEX('Per Invoice'!C$2:C$801,$W172)="","",INDEX('Per Invoice'!C$2:C$801,$W172)))</f>
        <v/>
      </c>
      <c r="D172">
        <f>IF($W172="","",IF(INDEX('Per Invoice'!D$2:D$801,$W172)="","",INDEX('Per Invoice'!D$2:D$801,$W172)))</f>
        <v/>
      </c>
      <c r="E172">
        <f>IF($W172="","",IF(INDEX('Per Invoice'!E$2:E$801,$W172)="","",INDEX('Per Invoice'!E$2:E$801,$W172)))</f>
        <v/>
      </c>
      <c r="F172">
        <f>IF($W172="","",IF(INDEX('Per Invoice'!F$2:F$801,$W172)="","",INDEX('Per Invoice'!F$2:F$801,$W172)))</f>
        <v/>
      </c>
      <c r="G172">
        <f>IF($W172="","",IF(INDEX('Per Invoice'!G$2:G$801,$W172)="","",INDEX('Per Invoice'!G$2:G$801,$W172)))</f>
        <v/>
      </c>
      <c r="H172">
        <f>IF($W172="","",IF(INDEX('Per Invoice'!H$2:H$801,$W172)="","",INDEX('Per Invoice'!H$2:H$801,$W172)))</f>
        <v/>
      </c>
      <c r="I172">
        <f>IF($W172="","",IF(INDEX('Per Invoice'!I$2:I$801,$W172)="","",INDEX('Per Invoice'!I$2:I$801,$W172)))</f>
        <v/>
      </c>
      <c r="J172">
        <f>IF($W172="","",IF(INDEX('Per Invoice'!J$2:J$801,$W172)="","",INDEX('Per Invoice'!J$2:J$801,$W172)))</f>
        <v/>
      </c>
      <c r="K172" s="7">
        <f>IF($W172="","",IF(INDEX('Per Invoice'!K$2:K$801,$W172)="","",INDEX('Per Invoice'!K$2:K$801,$W172)))</f>
        <v/>
      </c>
      <c r="L172" s="14">
        <f>IF($W172="","",IF(INDEX('Per Invoice'!L$2:L$801,$W172)="","",INDEX('Per Invoice'!L$2:L$801,$W172)))</f>
        <v/>
      </c>
      <c r="M172">
        <f>IF($W172="","",IF(INDEX('Per Invoice'!M$2:M$801,$W172)="","",INDEX('Per Invoice'!M$2:M$801,$W172)))</f>
        <v/>
      </c>
      <c r="N172" s="7">
        <f>IF($W172="","",IF(INDEX('Per Invoice'!N$2:N$801,$W172)="","",INDEX('Per Invoice'!N$2:N$801,$W172)))</f>
        <v/>
      </c>
      <c r="O172" s="7">
        <f>IF($W172="","",IF(INDEX('Per Invoice'!O$2:O$801,$W172)="","",INDEX('Per Invoice'!O$2:O$801,$W172)))</f>
        <v/>
      </c>
      <c r="P172">
        <f>IF($W172="","",IF(INDEX('Per Invoice'!P$2:P$801,$W172)="","",INDEX('Per Invoice'!P$2:P$801,$W172)))</f>
        <v/>
      </c>
      <c r="Q172" s="7">
        <f>IF($W172="","",IF(INDEX('Per Invoice'!Q$2:Q$801,$W172)="","",INDEX('Per Invoice'!Q$2:Q$801,$W172)))</f>
        <v/>
      </c>
      <c r="R172" s="7">
        <f>IF($W172="","",IF(INDEX('Per Invoice'!R$2:R$801,$W172)="","",INDEX('Per Invoice'!R$2:R$801,$W172)))</f>
        <v/>
      </c>
      <c r="S172" s="7">
        <f>IF($W172="","",IF(INDEX('Per Invoice'!S$2:S$801,$W172)="","",INDEX('Per Invoice'!S$2:S$801,$W172)))</f>
        <v/>
      </c>
      <c r="T172" s="7">
        <f>IF($W172="","",IF(INDEX('Per Invoice'!T$2:T$801,$W172)="","",INDEX('Per Invoice'!T$2:T$801,$W172)))</f>
        <v/>
      </c>
      <c r="U172" s="7">
        <f>IF($W172="","",IF(INDEX('Per Invoice'!U$2:U$801,$W172)="","",INDEX('Per Invoice'!U$2:U$801,$W172)))</f>
        <v/>
      </c>
      <c r="V172" s="7">
        <f>IF($W172="","",IF(INDEX('Per Invoice'!V$2:V$801,$W172)="","",INDEX('Per Invoice'!V$2:V$801,$W172)))</f>
        <v/>
      </c>
      <c r="W172" s="16">
        <f>IFERROR(MATCH(Settings!$C$27&amp;"|"&amp;ROWS($W$2:$W172),'Per Invoice'!$X$2:$X$801,0),"")</f>
        <v/>
      </c>
    </row>
    <row r="173">
      <c r="A173">
        <f>IF($W173="","",IF(INDEX('Per Invoice'!A$2:A$801,$W173)="","",INDEX('Per Invoice'!A$2:A$801,$W173)))</f>
        <v/>
      </c>
      <c r="B173">
        <f>IF($W173="","",IF(INDEX('Per Invoice'!B$2:B$801,$W173)="","",INDEX('Per Invoice'!B$2:B$801,$W173)))</f>
        <v/>
      </c>
      <c r="C173">
        <f>IF($W173="","",IF(INDEX('Per Invoice'!C$2:C$801,$W173)="","",INDEX('Per Invoice'!C$2:C$801,$W173)))</f>
        <v/>
      </c>
      <c r="D173">
        <f>IF($W173="","",IF(INDEX('Per Invoice'!D$2:D$801,$W173)="","",INDEX('Per Invoice'!D$2:D$801,$W173)))</f>
        <v/>
      </c>
      <c r="E173">
        <f>IF($W173="","",IF(INDEX('Per Invoice'!E$2:E$801,$W173)="","",INDEX('Per Invoice'!E$2:E$801,$W173)))</f>
        <v/>
      </c>
      <c r="F173">
        <f>IF($W173="","",IF(INDEX('Per Invoice'!F$2:F$801,$W173)="","",INDEX('Per Invoice'!F$2:F$801,$W173)))</f>
        <v/>
      </c>
      <c r="G173">
        <f>IF($W173="","",IF(INDEX('Per Invoice'!G$2:G$801,$W173)="","",INDEX('Per Invoice'!G$2:G$801,$W173)))</f>
        <v/>
      </c>
      <c r="H173">
        <f>IF($W173="","",IF(INDEX('Per Invoice'!H$2:H$801,$W173)="","",INDEX('Per Invoice'!H$2:H$801,$W173)))</f>
        <v/>
      </c>
      <c r="I173">
        <f>IF($W173="","",IF(INDEX('Per Invoice'!I$2:I$801,$W173)="","",INDEX('Per Invoice'!I$2:I$801,$W173)))</f>
        <v/>
      </c>
      <c r="J173">
        <f>IF($W173="","",IF(INDEX('Per Invoice'!J$2:J$801,$W173)="","",INDEX('Per Invoice'!J$2:J$801,$W173)))</f>
        <v/>
      </c>
      <c r="K173" s="7">
        <f>IF($W173="","",IF(INDEX('Per Invoice'!K$2:K$801,$W173)="","",INDEX('Per Invoice'!K$2:K$801,$W173)))</f>
        <v/>
      </c>
      <c r="L173" s="14">
        <f>IF($W173="","",IF(INDEX('Per Invoice'!L$2:L$801,$W173)="","",INDEX('Per Invoice'!L$2:L$801,$W173)))</f>
        <v/>
      </c>
      <c r="M173">
        <f>IF($W173="","",IF(INDEX('Per Invoice'!M$2:M$801,$W173)="","",INDEX('Per Invoice'!M$2:M$801,$W173)))</f>
        <v/>
      </c>
      <c r="N173" s="7">
        <f>IF($W173="","",IF(INDEX('Per Invoice'!N$2:N$801,$W173)="","",INDEX('Per Invoice'!N$2:N$801,$W173)))</f>
        <v/>
      </c>
      <c r="O173" s="7">
        <f>IF($W173="","",IF(INDEX('Per Invoice'!O$2:O$801,$W173)="","",INDEX('Per Invoice'!O$2:O$801,$W173)))</f>
        <v/>
      </c>
      <c r="P173">
        <f>IF($W173="","",IF(INDEX('Per Invoice'!P$2:P$801,$W173)="","",INDEX('Per Invoice'!P$2:P$801,$W173)))</f>
        <v/>
      </c>
      <c r="Q173" s="7">
        <f>IF($W173="","",IF(INDEX('Per Invoice'!Q$2:Q$801,$W173)="","",INDEX('Per Invoice'!Q$2:Q$801,$W173)))</f>
        <v/>
      </c>
      <c r="R173" s="7">
        <f>IF($W173="","",IF(INDEX('Per Invoice'!R$2:R$801,$W173)="","",INDEX('Per Invoice'!R$2:R$801,$W173)))</f>
        <v/>
      </c>
      <c r="S173" s="7">
        <f>IF($W173="","",IF(INDEX('Per Invoice'!S$2:S$801,$W173)="","",INDEX('Per Invoice'!S$2:S$801,$W173)))</f>
        <v/>
      </c>
      <c r="T173" s="7">
        <f>IF($W173="","",IF(INDEX('Per Invoice'!T$2:T$801,$W173)="","",INDEX('Per Invoice'!T$2:T$801,$W173)))</f>
        <v/>
      </c>
      <c r="U173" s="7">
        <f>IF($W173="","",IF(INDEX('Per Invoice'!U$2:U$801,$W173)="","",INDEX('Per Invoice'!U$2:U$801,$W173)))</f>
        <v/>
      </c>
      <c r="V173" s="7">
        <f>IF($W173="","",IF(INDEX('Per Invoice'!V$2:V$801,$W173)="","",INDEX('Per Invoice'!V$2:V$801,$W173)))</f>
        <v/>
      </c>
      <c r="W173" s="16">
        <f>IFERROR(MATCH(Settings!$C$27&amp;"|"&amp;ROWS($W$2:$W173),'Per Invoice'!$X$2:$X$801,0),"")</f>
        <v/>
      </c>
    </row>
    <row r="174">
      <c r="A174">
        <f>IF($W174="","",IF(INDEX('Per Invoice'!A$2:A$801,$W174)="","",INDEX('Per Invoice'!A$2:A$801,$W174)))</f>
        <v/>
      </c>
      <c r="B174">
        <f>IF($W174="","",IF(INDEX('Per Invoice'!B$2:B$801,$W174)="","",INDEX('Per Invoice'!B$2:B$801,$W174)))</f>
        <v/>
      </c>
      <c r="C174">
        <f>IF($W174="","",IF(INDEX('Per Invoice'!C$2:C$801,$W174)="","",INDEX('Per Invoice'!C$2:C$801,$W174)))</f>
        <v/>
      </c>
      <c r="D174">
        <f>IF($W174="","",IF(INDEX('Per Invoice'!D$2:D$801,$W174)="","",INDEX('Per Invoice'!D$2:D$801,$W174)))</f>
        <v/>
      </c>
      <c r="E174">
        <f>IF($W174="","",IF(INDEX('Per Invoice'!E$2:E$801,$W174)="","",INDEX('Per Invoice'!E$2:E$801,$W174)))</f>
        <v/>
      </c>
      <c r="F174">
        <f>IF($W174="","",IF(INDEX('Per Invoice'!F$2:F$801,$W174)="","",INDEX('Per Invoice'!F$2:F$801,$W174)))</f>
        <v/>
      </c>
      <c r="G174">
        <f>IF($W174="","",IF(INDEX('Per Invoice'!G$2:G$801,$W174)="","",INDEX('Per Invoice'!G$2:G$801,$W174)))</f>
        <v/>
      </c>
      <c r="H174">
        <f>IF($W174="","",IF(INDEX('Per Invoice'!H$2:H$801,$W174)="","",INDEX('Per Invoice'!H$2:H$801,$W174)))</f>
        <v/>
      </c>
      <c r="I174">
        <f>IF($W174="","",IF(INDEX('Per Invoice'!I$2:I$801,$W174)="","",INDEX('Per Invoice'!I$2:I$801,$W174)))</f>
        <v/>
      </c>
      <c r="J174">
        <f>IF($W174="","",IF(INDEX('Per Invoice'!J$2:J$801,$W174)="","",INDEX('Per Invoice'!J$2:J$801,$W174)))</f>
        <v/>
      </c>
      <c r="K174" s="7">
        <f>IF($W174="","",IF(INDEX('Per Invoice'!K$2:K$801,$W174)="","",INDEX('Per Invoice'!K$2:K$801,$W174)))</f>
        <v/>
      </c>
      <c r="L174" s="14">
        <f>IF($W174="","",IF(INDEX('Per Invoice'!L$2:L$801,$W174)="","",INDEX('Per Invoice'!L$2:L$801,$W174)))</f>
        <v/>
      </c>
      <c r="M174">
        <f>IF($W174="","",IF(INDEX('Per Invoice'!M$2:M$801,$W174)="","",INDEX('Per Invoice'!M$2:M$801,$W174)))</f>
        <v/>
      </c>
      <c r="N174" s="7">
        <f>IF($W174="","",IF(INDEX('Per Invoice'!N$2:N$801,$W174)="","",INDEX('Per Invoice'!N$2:N$801,$W174)))</f>
        <v/>
      </c>
      <c r="O174" s="7">
        <f>IF($W174="","",IF(INDEX('Per Invoice'!O$2:O$801,$W174)="","",INDEX('Per Invoice'!O$2:O$801,$W174)))</f>
        <v/>
      </c>
      <c r="P174">
        <f>IF($W174="","",IF(INDEX('Per Invoice'!P$2:P$801,$W174)="","",INDEX('Per Invoice'!P$2:P$801,$W174)))</f>
        <v/>
      </c>
      <c r="Q174" s="7">
        <f>IF($W174="","",IF(INDEX('Per Invoice'!Q$2:Q$801,$W174)="","",INDEX('Per Invoice'!Q$2:Q$801,$W174)))</f>
        <v/>
      </c>
      <c r="R174" s="7">
        <f>IF($W174="","",IF(INDEX('Per Invoice'!R$2:R$801,$W174)="","",INDEX('Per Invoice'!R$2:R$801,$W174)))</f>
        <v/>
      </c>
      <c r="S174" s="7">
        <f>IF($W174="","",IF(INDEX('Per Invoice'!S$2:S$801,$W174)="","",INDEX('Per Invoice'!S$2:S$801,$W174)))</f>
        <v/>
      </c>
      <c r="T174" s="7">
        <f>IF($W174="","",IF(INDEX('Per Invoice'!T$2:T$801,$W174)="","",INDEX('Per Invoice'!T$2:T$801,$W174)))</f>
        <v/>
      </c>
      <c r="U174" s="7">
        <f>IF($W174="","",IF(INDEX('Per Invoice'!U$2:U$801,$W174)="","",INDEX('Per Invoice'!U$2:U$801,$W174)))</f>
        <v/>
      </c>
      <c r="V174" s="7">
        <f>IF($W174="","",IF(INDEX('Per Invoice'!V$2:V$801,$W174)="","",INDEX('Per Invoice'!V$2:V$801,$W174)))</f>
        <v/>
      </c>
      <c r="W174" s="16">
        <f>IFERROR(MATCH(Settings!$C$27&amp;"|"&amp;ROWS($W$2:$W174),'Per Invoice'!$X$2:$X$801,0),"")</f>
        <v/>
      </c>
    </row>
    <row r="175">
      <c r="A175">
        <f>IF($W175="","",IF(INDEX('Per Invoice'!A$2:A$801,$W175)="","",INDEX('Per Invoice'!A$2:A$801,$W175)))</f>
        <v/>
      </c>
      <c r="B175">
        <f>IF($W175="","",IF(INDEX('Per Invoice'!B$2:B$801,$W175)="","",INDEX('Per Invoice'!B$2:B$801,$W175)))</f>
        <v/>
      </c>
      <c r="C175">
        <f>IF($W175="","",IF(INDEX('Per Invoice'!C$2:C$801,$W175)="","",INDEX('Per Invoice'!C$2:C$801,$W175)))</f>
        <v/>
      </c>
      <c r="D175">
        <f>IF($W175="","",IF(INDEX('Per Invoice'!D$2:D$801,$W175)="","",INDEX('Per Invoice'!D$2:D$801,$W175)))</f>
        <v/>
      </c>
      <c r="E175">
        <f>IF($W175="","",IF(INDEX('Per Invoice'!E$2:E$801,$W175)="","",INDEX('Per Invoice'!E$2:E$801,$W175)))</f>
        <v/>
      </c>
      <c r="F175">
        <f>IF($W175="","",IF(INDEX('Per Invoice'!F$2:F$801,$W175)="","",INDEX('Per Invoice'!F$2:F$801,$W175)))</f>
        <v/>
      </c>
      <c r="G175">
        <f>IF($W175="","",IF(INDEX('Per Invoice'!G$2:G$801,$W175)="","",INDEX('Per Invoice'!G$2:G$801,$W175)))</f>
        <v/>
      </c>
      <c r="H175">
        <f>IF($W175="","",IF(INDEX('Per Invoice'!H$2:H$801,$W175)="","",INDEX('Per Invoice'!H$2:H$801,$W175)))</f>
        <v/>
      </c>
      <c r="I175">
        <f>IF($W175="","",IF(INDEX('Per Invoice'!I$2:I$801,$W175)="","",INDEX('Per Invoice'!I$2:I$801,$W175)))</f>
        <v/>
      </c>
      <c r="J175">
        <f>IF($W175="","",IF(INDEX('Per Invoice'!J$2:J$801,$W175)="","",INDEX('Per Invoice'!J$2:J$801,$W175)))</f>
        <v/>
      </c>
      <c r="K175" s="7">
        <f>IF($W175="","",IF(INDEX('Per Invoice'!K$2:K$801,$W175)="","",INDEX('Per Invoice'!K$2:K$801,$W175)))</f>
        <v/>
      </c>
      <c r="L175" s="14">
        <f>IF($W175="","",IF(INDEX('Per Invoice'!L$2:L$801,$W175)="","",INDEX('Per Invoice'!L$2:L$801,$W175)))</f>
        <v/>
      </c>
      <c r="M175">
        <f>IF($W175="","",IF(INDEX('Per Invoice'!M$2:M$801,$W175)="","",INDEX('Per Invoice'!M$2:M$801,$W175)))</f>
        <v/>
      </c>
      <c r="N175" s="7">
        <f>IF($W175="","",IF(INDEX('Per Invoice'!N$2:N$801,$W175)="","",INDEX('Per Invoice'!N$2:N$801,$W175)))</f>
        <v/>
      </c>
      <c r="O175" s="7">
        <f>IF($W175="","",IF(INDEX('Per Invoice'!O$2:O$801,$W175)="","",INDEX('Per Invoice'!O$2:O$801,$W175)))</f>
        <v/>
      </c>
      <c r="P175">
        <f>IF($W175="","",IF(INDEX('Per Invoice'!P$2:P$801,$W175)="","",INDEX('Per Invoice'!P$2:P$801,$W175)))</f>
        <v/>
      </c>
      <c r="Q175" s="7">
        <f>IF($W175="","",IF(INDEX('Per Invoice'!Q$2:Q$801,$W175)="","",INDEX('Per Invoice'!Q$2:Q$801,$W175)))</f>
        <v/>
      </c>
      <c r="R175" s="7">
        <f>IF($W175="","",IF(INDEX('Per Invoice'!R$2:R$801,$W175)="","",INDEX('Per Invoice'!R$2:R$801,$W175)))</f>
        <v/>
      </c>
      <c r="S175" s="7">
        <f>IF($W175="","",IF(INDEX('Per Invoice'!S$2:S$801,$W175)="","",INDEX('Per Invoice'!S$2:S$801,$W175)))</f>
        <v/>
      </c>
      <c r="T175" s="7">
        <f>IF($W175="","",IF(INDEX('Per Invoice'!T$2:T$801,$W175)="","",INDEX('Per Invoice'!T$2:T$801,$W175)))</f>
        <v/>
      </c>
      <c r="U175" s="7">
        <f>IF($W175="","",IF(INDEX('Per Invoice'!U$2:U$801,$W175)="","",INDEX('Per Invoice'!U$2:U$801,$W175)))</f>
        <v/>
      </c>
      <c r="V175" s="7">
        <f>IF($W175="","",IF(INDEX('Per Invoice'!V$2:V$801,$W175)="","",INDEX('Per Invoice'!V$2:V$801,$W175)))</f>
        <v/>
      </c>
      <c r="W175" s="16">
        <f>IFERROR(MATCH(Settings!$C$27&amp;"|"&amp;ROWS($W$2:$W175),'Per Invoice'!$X$2:$X$801,0),"")</f>
        <v/>
      </c>
    </row>
    <row r="176">
      <c r="A176">
        <f>IF($W176="","",IF(INDEX('Per Invoice'!A$2:A$801,$W176)="","",INDEX('Per Invoice'!A$2:A$801,$W176)))</f>
        <v/>
      </c>
      <c r="B176">
        <f>IF($W176="","",IF(INDEX('Per Invoice'!B$2:B$801,$W176)="","",INDEX('Per Invoice'!B$2:B$801,$W176)))</f>
        <v/>
      </c>
      <c r="C176">
        <f>IF($W176="","",IF(INDEX('Per Invoice'!C$2:C$801,$W176)="","",INDEX('Per Invoice'!C$2:C$801,$W176)))</f>
        <v/>
      </c>
      <c r="D176">
        <f>IF($W176="","",IF(INDEX('Per Invoice'!D$2:D$801,$W176)="","",INDEX('Per Invoice'!D$2:D$801,$W176)))</f>
        <v/>
      </c>
      <c r="E176">
        <f>IF($W176="","",IF(INDEX('Per Invoice'!E$2:E$801,$W176)="","",INDEX('Per Invoice'!E$2:E$801,$W176)))</f>
        <v/>
      </c>
      <c r="F176">
        <f>IF($W176="","",IF(INDEX('Per Invoice'!F$2:F$801,$W176)="","",INDEX('Per Invoice'!F$2:F$801,$W176)))</f>
        <v/>
      </c>
      <c r="G176">
        <f>IF($W176="","",IF(INDEX('Per Invoice'!G$2:G$801,$W176)="","",INDEX('Per Invoice'!G$2:G$801,$W176)))</f>
        <v/>
      </c>
      <c r="H176">
        <f>IF($W176="","",IF(INDEX('Per Invoice'!H$2:H$801,$W176)="","",INDEX('Per Invoice'!H$2:H$801,$W176)))</f>
        <v/>
      </c>
      <c r="I176">
        <f>IF($W176="","",IF(INDEX('Per Invoice'!I$2:I$801,$W176)="","",INDEX('Per Invoice'!I$2:I$801,$W176)))</f>
        <v/>
      </c>
      <c r="J176">
        <f>IF($W176="","",IF(INDEX('Per Invoice'!J$2:J$801,$W176)="","",INDEX('Per Invoice'!J$2:J$801,$W176)))</f>
        <v/>
      </c>
      <c r="K176" s="7">
        <f>IF($W176="","",IF(INDEX('Per Invoice'!K$2:K$801,$W176)="","",INDEX('Per Invoice'!K$2:K$801,$W176)))</f>
        <v/>
      </c>
      <c r="L176" s="14">
        <f>IF($W176="","",IF(INDEX('Per Invoice'!L$2:L$801,$W176)="","",INDEX('Per Invoice'!L$2:L$801,$W176)))</f>
        <v/>
      </c>
      <c r="M176">
        <f>IF($W176="","",IF(INDEX('Per Invoice'!M$2:M$801,$W176)="","",INDEX('Per Invoice'!M$2:M$801,$W176)))</f>
        <v/>
      </c>
      <c r="N176" s="7">
        <f>IF($W176="","",IF(INDEX('Per Invoice'!N$2:N$801,$W176)="","",INDEX('Per Invoice'!N$2:N$801,$W176)))</f>
        <v/>
      </c>
      <c r="O176" s="7">
        <f>IF($W176="","",IF(INDEX('Per Invoice'!O$2:O$801,$W176)="","",INDEX('Per Invoice'!O$2:O$801,$W176)))</f>
        <v/>
      </c>
      <c r="P176">
        <f>IF($W176="","",IF(INDEX('Per Invoice'!P$2:P$801,$W176)="","",INDEX('Per Invoice'!P$2:P$801,$W176)))</f>
        <v/>
      </c>
      <c r="Q176" s="7">
        <f>IF($W176="","",IF(INDEX('Per Invoice'!Q$2:Q$801,$W176)="","",INDEX('Per Invoice'!Q$2:Q$801,$W176)))</f>
        <v/>
      </c>
      <c r="R176" s="7">
        <f>IF($W176="","",IF(INDEX('Per Invoice'!R$2:R$801,$W176)="","",INDEX('Per Invoice'!R$2:R$801,$W176)))</f>
        <v/>
      </c>
      <c r="S176" s="7">
        <f>IF($W176="","",IF(INDEX('Per Invoice'!S$2:S$801,$W176)="","",INDEX('Per Invoice'!S$2:S$801,$W176)))</f>
        <v/>
      </c>
      <c r="T176" s="7">
        <f>IF($W176="","",IF(INDEX('Per Invoice'!T$2:T$801,$W176)="","",INDEX('Per Invoice'!T$2:T$801,$W176)))</f>
        <v/>
      </c>
      <c r="U176" s="7">
        <f>IF($W176="","",IF(INDEX('Per Invoice'!U$2:U$801,$W176)="","",INDEX('Per Invoice'!U$2:U$801,$W176)))</f>
        <v/>
      </c>
      <c r="V176" s="7">
        <f>IF($W176="","",IF(INDEX('Per Invoice'!V$2:V$801,$W176)="","",INDEX('Per Invoice'!V$2:V$801,$W176)))</f>
        <v/>
      </c>
      <c r="W176" s="16">
        <f>IFERROR(MATCH(Settings!$C$27&amp;"|"&amp;ROWS($W$2:$W176),'Per Invoice'!$X$2:$X$801,0),"")</f>
        <v/>
      </c>
    </row>
    <row r="177">
      <c r="A177">
        <f>IF($W177="","",IF(INDEX('Per Invoice'!A$2:A$801,$W177)="","",INDEX('Per Invoice'!A$2:A$801,$W177)))</f>
        <v/>
      </c>
      <c r="B177">
        <f>IF($W177="","",IF(INDEX('Per Invoice'!B$2:B$801,$W177)="","",INDEX('Per Invoice'!B$2:B$801,$W177)))</f>
        <v/>
      </c>
      <c r="C177">
        <f>IF($W177="","",IF(INDEX('Per Invoice'!C$2:C$801,$W177)="","",INDEX('Per Invoice'!C$2:C$801,$W177)))</f>
        <v/>
      </c>
      <c r="D177">
        <f>IF($W177="","",IF(INDEX('Per Invoice'!D$2:D$801,$W177)="","",INDEX('Per Invoice'!D$2:D$801,$W177)))</f>
        <v/>
      </c>
      <c r="E177">
        <f>IF($W177="","",IF(INDEX('Per Invoice'!E$2:E$801,$W177)="","",INDEX('Per Invoice'!E$2:E$801,$W177)))</f>
        <v/>
      </c>
      <c r="F177">
        <f>IF($W177="","",IF(INDEX('Per Invoice'!F$2:F$801,$W177)="","",INDEX('Per Invoice'!F$2:F$801,$W177)))</f>
        <v/>
      </c>
      <c r="G177">
        <f>IF($W177="","",IF(INDEX('Per Invoice'!G$2:G$801,$W177)="","",INDEX('Per Invoice'!G$2:G$801,$W177)))</f>
        <v/>
      </c>
      <c r="H177">
        <f>IF($W177="","",IF(INDEX('Per Invoice'!H$2:H$801,$W177)="","",INDEX('Per Invoice'!H$2:H$801,$W177)))</f>
        <v/>
      </c>
      <c r="I177">
        <f>IF($W177="","",IF(INDEX('Per Invoice'!I$2:I$801,$W177)="","",INDEX('Per Invoice'!I$2:I$801,$W177)))</f>
        <v/>
      </c>
      <c r="J177">
        <f>IF($W177="","",IF(INDEX('Per Invoice'!J$2:J$801,$W177)="","",INDEX('Per Invoice'!J$2:J$801,$W177)))</f>
        <v/>
      </c>
      <c r="K177" s="7">
        <f>IF($W177="","",IF(INDEX('Per Invoice'!K$2:K$801,$W177)="","",INDEX('Per Invoice'!K$2:K$801,$W177)))</f>
        <v/>
      </c>
      <c r="L177" s="14">
        <f>IF($W177="","",IF(INDEX('Per Invoice'!L$2:L$801,$W177)="","",INDEX('Per Invoice'!L$2:L$801,$W177)))</f>
        <v/>
      </c>
      <c r="M177">
        <f>IF($W177="","",IF(INDEX('Per Invoice'!M$2:M$801,$W177)="","",INDEX('Per Invoice'!M$2:M$801,$W177)))</f>
        <v/>
      </c>
      <c r="N177" s="7">
        <f>IF($W177="","",IF(INDEX('Per Invoice'!N$2:N$801,$W177)="","",INDEX('Per Invoice'!N$2:N$801,$W177)))</f>
        <v/>
      </c>
      <c r="O177" s="7">
        <f>IF($W177="","",IF(INDEX('Per Invoice'!O$2:O$801,$W177)="","",INDEX('Per Invoice'!O$2:O$801,$W177)))</f>
        <v/>
      </c>
      <c r="P177">
        <f>IF($W177="","",IF(INDEX('Per Invoice'!P$2:P$801,$W177)="","",INDEX('Per Invoice'!P$2:P$801,$W177)))</f>
        <v/>
      </c>
      <c r="Q177" s="7">
        <f>IF($W177="","",IF(INDEX('Per Invoice'!Q$2:Q$801,$W177)="","",INDEX('Per Invoice'!Q$2:Q$801,$W177)))</f>
        <v/>
      </c>
      <c r="R177" s="7">
        <f>IF($W177="","",IF(INDEX('Per Invoice'!R$2:R$801,$W177)="","",INDEX('Per Invoice'!R$2:R$801,$W177)))</f>
        <v/>
      </c>
      <c r="S177" s="7">
        <f>IF($W177="","",IF(INDEX('Per Invoice'!S$2:S$801,$W177)="","",INDEX('Per Invoice'!S$2:S$801,$W177)))</f>
        <v/>
      </c>
      <c r="T177" s="7">
        <f>IF($W177="","",IF(INDEX('Per Invoice'!T$2:T$801,$W177)="","",INDEX('Per Invoice'!T$2:T$801,$W177)))</f>
        <v/>
      </c>
      <c r="U177" s="7">
        <f>IF($W177="","",IF(INDEX('Per Invoice'!U$2:U$801,$W177)="","",INDEX('Per Invoice'!U$2:U$801,$W177)))</f>
        <v/>
      </c>
      <c r="V177" s="7">
        <f>IF($W177="","",IF(INDEX('Per Invoice'!V$2:V$801,$W177)="","",INDEX('Per Invoice'!V$2:V$801,$W177)))</f>
        <v/>
      </c>
      <c r="W177" s="16">
        <f>IFERROR(MATCH(Settings!$C$27&amp;"|"&amp;ROWS($W$2:$W177),'Per Invoice'!$X$2:$X$801,0),"")</f>
        <v/>
      </c>
    </row>
    <row r="178">
      <c r="A178">
        <f>IF($W178="","",IF(INDEX('Per Invoice'!A$2:A$801,$W178)="","",INDEX('Per Invoice'!A$2:A$801,$W178)))</f>
        <v/>
      </c>
      <c r="B178">
        <f>IF($W178="","",IF(INDEX('Per Invoice'!B$2:B$801,$W178)="","",INDEX('Per Invoice'!B$2:B$801,$W178)))</f>
        <v/>
      </c>
      <c r="C178">
        <f>IF($W178="","",IF(INDEX('Per Invoice'!C$2:C$801,$W178)="","",INDEX('Per Invoice'!C$2:C$801,$W178)))</f>
        <v/>
      </c>
      <c r="D178">
        <f>IF($W178="","",IF(INDEX('Per Invoice'!D$2:D$801,$W178)="","",INDEX('Per Invoice'!D$2:D$801,$W178)))</f>
        <v/>
      </c>
      <c r="E178">
        <f>IF($W178="","",IF(INDEX('Per Invoice'!E$2:E$801,$W178)="","",INDEX('Per Invoice'!E$2:E$801,$W178)))</f>
        <v/>
      </c>
      <c r="F178">
        <f>IF($W178="","",IF(INDEX('Per Invoice'!F$2:F$801,$W178)="","",INDEX('Per Invoice'!F$2:F$801,$W178)))</f>
        <v/>
      </c>
      <c r="G178">
        <f>IF($W178="","",IF(INDEX('Per Invoice'!G$2:G$801,$W178)="","",INDEX('Per Invoice'!G$2:G$801,$W178)))</f>
        <v/>
      </c>
      <c r="H178">
        <f>IF($W178="","",IF(INDEX('Per Invoice'!H$2:H$801,$W178)="","",INDEX('Per Invoice'!H$2:H$801,$W178)))</f>
        <v/>
      </c>
      <c r="I178">
        <f>IF($W178="","",IF(INDEX('Per Invoice'!I$2:I$801,$W178)="","",INDEX('Per Invoice'!I$2:I$801,$W178)))</f>
        <v/>
      </c>
      <c r="J178">
        <f>IF($W178="","",IF(INDEX('Per Invoice'!J$2:J$801,$W178)="","",INDEX('Per Invoice'!J$2:J$801,$W178)))</f>
        <v/>
      </c>
      <c r="K178" s="7">
        <f>IF($W178="","",IF(INDEX('Per Invoice'!K$2:K$801,$W178)="","",INDEX('Per Invoice'!K$2:K$801,$W178)))</f>
        <v/>
      </c>
      <c r="L178" s="14">
        <f>IF($W178="","",IF(INDEX('Per Invoice'!L$2:L$801,$W178)="","",INDEX('Per Invoice'!L$2:L$801,$W178)))</f>
        <v/>
      </c>
      <c r="M178">
        <f>IF($W178="","",IF(INDEX('Per Invoice'!M$2:M$801,$W178)="","",INDEX('Per Invoice'!M$2:M$801,$W178)))</f>
        <v/>
      </c>
      <c r="N178" s="7">
        <f>IF($W178="","",IF(INDEX('Per Invoice'!N$2:N$801,$W178)="","",INDEX('Per Invoice'!N$2:N$801,$W178)))</f>
        <v/>
      </c>
      <c r="O178" s="7">
        <f>IF($W178="","",IF(INDEX('Per Invoice'!O$2:O$801,$W178)="","",INDEX('Per Invoice'!O$2:O$801,$W178)))</f>
        <v/>
      </c>
      <c r="P178">
        <f>IF($W178="","",IF(INDEX('Per Invoice'!P$2:P$801,$W178)="","",INDEX('Per Invoice'!P$2:P$801,$W178)))</f>
        <v/>
      </c>
      <c r="Q178" s="7">
        <f>IF($W178="","",IF(INDEX('Per Invoice'!Q$2:Q$801,$W178)="","",INDEX('Per Invoice'!Q$2:Q$801,$W178)))</f>
        <v/>
      </c>
      <c r="R178" s="7">
        <f>IF($W178="","",IF(INDEX('Per Invoice'!R$2:R$801,$W178)="","",INDEX('Per Invoice'!R$2:R$801,$W178)))</f>
        <v/>
      </c>
      <c r="S178" s="7">
        <f>IF($W178="","",IF(INDEX('Per Invoice'!S$2:S$801,$W178)="","",INDEX('Per Invoice'!S$2:S$801,$W178)))</f>
        <v/>
      </c>
      <c r="T178" s="7">
        <f>IF($W178="","",IF(INDEX('Per Invoice'!T$2:T$801,$W178)="","",INDEX('Per Invoice'!T$2:T$801,$W178)))</f>
        <v/>
      </c>
      <c r="U178" s="7">
        <f>IF($W178="","",IF(INDEX('Per Invoice'!U$2:U$801,$W178)="","",INDEX('Per Invoice'!U$2:U$801,$W178)))</f>
        <v/>
      </c>
      <c r="V178" s="7">
        <f>IF($W178="","",IF(INDEX('Per Invoice'!V$2:V$801,$W178)="","",INDEX('Per Invoice'!V$2:V$801,$W178)))</f>
        <v/>
      </c>
      <c r="W178" s="16">
        <f>IFERROR(MATCH(Settings!$C$27&amp;"|"&amp;ROWS($W$2:$W178),'Per Invoice'!$X$2:$X$801,0),"")</f>
        <v/>
      </c>
    </row>
    <row r="179">
      <c r="A179">
        <f>IF($W179="","",IF(INDEX('Per Invoice'!A$2:A$801,$W179)="","",INDEX('Per Invoice'!A$2:A$801,$W179)))</f>
        <v/>
      </c>
      <c r="B179">
        <f>IF($W179="","",IF(INDEX('Per Invoice'!B$2:B$801,$W179)="","",INDEX('Per Invoice'!B$2:B$801,$W179)))</f>
        <v/>
      </c>
      <c r="C179">
        <f>IF($W179="","",IF(INDEX('Per Invoice'!C$2:C$801,$W179)="","",INDEX('Per Invoice'!C$2:C$801,$W179)))</f>
        <v/>
      </c>
      <c r="D179">
        <f>IF($W179="","",IF(INDEX('Per Invoice'!D$2:D$801,$W179)="","",INDEX('Per Invoice'!D$2:D$801,$W179)))</f>
        <v/>
      </c>
      <c r="E179">
        <f>IF($W179="","",IF(INDEX('Per Invoice'!E$2:E$801,$W179)="","",INDEX('Per Invoice'!E$2:E$801,$W179)))</f>
        <v/>
      </c>
      <c r="F179">
        <f>IF($W179="","",IF(INDEX('Per Invoice'!F$2:F$801,$W179)="","",INDEX('Per Invoice'!F$2:F$801,$W179)))</f>
        <v/>
      </c>
      <c r="G179">
        <f>IF($W179="","",IF(INDEX('Per Invoice'!G$2:G$801,$W179)="","",INDEX('Per Invoice'!G$2:G$801,$W179)))</f>
        <v/>
      </c>
      <c r="H179">
        <f>IF($W179="","",IF(INDEX('Per Invoice'!H$2:H$801,$W179)="","",INDEX('Per Invoice'!H$2:H$801,$W179)))</f>
        <v/>
      </c>
      <c r="I179">
        <f>IF($W179="","",IF(INDEX('Per Invoice'!I$2:I$801,$W179)="","",INDEX('Per Invoice'!I$2:I$801,$W179)))</f>
        <v/>
      </c>
      <c r="J179">
        <f>IF($W179="","",IF(INDEX('Per Invoice'!J$2:J$801,$W179)="","",INDEX('Per Invoice'!J$2:J$801,$W179)))</f>
        <v/>
      </c>
      <c r="K179" s="7">
        <f>IF($W179="","",IF(INDEX('Per Invoice'!K$2:K$801,$W179)="","",INDEX('Per Invoice'!K$2:K$801,$W179)))</f>
        <v/>
      </c>
      <c r="L179" s="14">
        <f>IF($W179="","",IF(INDEX('Per Invoice'!L$2:L$801,$W179)="","",INDEX('Per Invoice'!L$2:L$801,$W179)))</f>
        <v/>
      </c>
      <c r="M179">
        <f>IF($W179="","",IF(INDEX('Per Invoice'!M$2:M$801,$W179)="","",INDEX('Per Invoice'!M$2:M$801,$W179)))</f>
        <v/>
      </c>
      <c r="N179" s="7">
        <f>IF($W179="","",IF(INDEX('Per Invoice'!N$2:N$801,$W179)="","",INDEX('Per Invoice'!N$2:N$801,$W179)))</f>
        <v/>
      </c>
      <c r="O179" s="7">
        <f>IF($W179="","",IF(INDEX('Per Invoice'!O$2:O$801,$W179)="","",INDEX('Per Invoice'!O$2:O$801,$W179)))</f>
        <v/>
      </c>
      <c r="P179">
        <f>IF($W179="","",IF(INDEX('Per Invoice'!P$2:P$801,$W179)="","",INDEX('Per Invoice'!P$2:P$801,$W179)))</f>
        <v/>
      </c>
      <c r="Q179" s="7">
        <f>IF($W179="","",IF(INDEX('Per Invoice'!Q$2:Q$801,$W179)="","",INDEX('Per Invoice'!Q$2:Q$801,$W179)))</f>
        <v/>
      </c>
      <c r="R179" s="7">
        <f>IF($W179="","",IF(INDEX('Per Invoice'!R$2:R$801,$W179)="","",INDEX('Per Invoice'!R$2:R$801,$W179)))</f>
        <v/>
      </c>
      <c r="S179" s="7">
        <f>IF($W179="","",IF(INDEX('Per Invoice'!S$2:S$801,$W179)="","",INDEX('Per Invoice'!S$2:S$801,$W179)))</f>
        <v/>
      </c>
      <c r="T179" s="7">
        <f>IF($W179="","",IF(INDEX('Per Invoice'!T$2:T$801,$W179)="","",INDEX('Per Invoice'!T$2:T$801,$W179)))</f>
        <v/>
      </c>
      <c r="U179" s="7">
        <f>IF($W179="","",IF(INDEX('Per Invoice'!U$2:U$801,$W179)="","",INDEX('Per Invoice'!U$2:U$801,$W179)))</f>
        <v/>
      </c>
      <c r="V179" s="7">
        <f>IF($W179="","",IF(INDEX('Per Invoice'!V$2:V$801,$W179)="","",INDEX('Per Invoice'!V$2:V$801,$W179)))</f>
        <v/>
      </c>
      <c r="W179" s="16">
        <f>IFERROR(MATCH(Settings!$C$27&amp;"|"&amp;ROWS($W$2:$W179),'Per Invoice'!$X$2:$X$801,0),"")</f>
        <v/>
      </c>
    </row>
    <row r="180">
      <c r="A180">
        <f>IF($W180="","",IF(INDEX('Per Invoice'!A$2:A$801,$W180)="","",INDEX('Per Invoice'!A$2:A$801,$W180)))</f>
        <v/>
      </c>
      <c r="B180">
        <f>IF($W180="","",IF(INDEX('Per Invoice'!B$2:B$801,$W180)="","",INDEX('Per Invoice'!B$2:B$801,$W180)))</f>
        <v/>
      </c>
      <c r="C180">
        <f>IF($W180="","",IF(INDEX('Per Invoice'!C$2:C$801,$W180)="","",INDEX('Per Invoice'!C$2:C$801,$W180)))</f>
        <v/>
      </c>
      <c r="D180">
        <f>IF($W180="","",IF(INDEX('Per Invoice'!D$2:D$801,$W180)="","",INDEX('Per Invoice'!D$2:D$801,$W180)))</f>
        <v/>
      </c>
      <c r="E180">
        <f>IF($W180="","",IF(INDEX('Per Invoice'!E$2:E$801,$W180)="","",INDEX('Per Invoice'!E$2:E$801,$W180)))</f>
        <v/>
      </c>
      <c r="F180">
        <f>IF($W180="","",IF(INDEX('Per Invoice'!F$2:F$801,$W180)="","",INDEX('Per Invoice'!F$2:F$801,$W180)))</f>
        <v/>
      </c>
      <c r="G180">
        <f>IF($W180="","",IF(INDEX('Per Invoice'!G$2:G$801,$W180)="","",INDEX('Per Invoice'!G$2:G$801,$W180)))</f>
        <v/>
      </c>
      <c r="H180">
        <f>IF($W180="","",IF(INDEX('Per Invoice'!H$2:H$801,$W180)="","",INDEX('Per Invoice'!H$2:H$801,$W180)))</f>
        <v/>
      </c>
      <c r="I180">
        <f>IF($W180="","",IF(INDEX('Per Invoice'!I$2:I$801,$W180)="","",INDEX('Per Invoice'!I$2:I$801,$W180)))</f>
        <v/>
      </c>
      <c r="J180">
        <f>IF($W180="","",IF(INDEX('Per Invoice'!J$2:J$801,$W180)="","",INDEX('Per Invoice'!J$2:J$801,$W180)))</f>
        <v/>
      </c>
      <c r="K180" s="7">
        <f>IF($W180="","",IF(INDEX('Per Invoice'!K$2:K$801,$W180)="","",INDEX('Per Invoice'!K$2:K$801,$W180)))</f>
        <v/>
      </c>
      <c r="L180" s="14">
        <f>IF($W180="","",IF(INDEX('Per Invoice'!L$2:L$801,$W180)="","",INDEX('Per Invoice'!L$2:L$801,$W180)))</f>
        <v/>
      </c>
      <c r="M180">
        <f>IF($W180="","",IF(INDEX('Per Invoice'!M$2:M$801,$W180)="","",INDEX('Per Invoice'!M$2:M$801,$W180)))</f>
        <v/>
      </c>
      <c r="N180" s="7">
        <f>IF($W180="","",IF(INDEX('Per Invoice'!N$2:N$801,$W180)="","",INDEX('Per Invoice'!N$2:N$801,$W180)))</f>
        <v/>
      </c>
      <c r="O180" s="7">
        <f>IF($W180="","",IF(INDEX('Per Invoice'!O$2:O$801,$W180)="","",INDEX('Per Invoice'!O$2:O$801,$W180)))</f>
        <v/>
      </c>
      <c r="P180">
        <f>IF($W180="","",IF(INDEX('Per Invoice'!P$2:P$801,$W180)="","",INDEX('Per Invoice'!P$2:P$801,$W180)))</f>
        <v/>
      </c>
      <c r="Q180" s="7">
        <f>IF($W180="","",IF(INDEX('Per Invoice'!Q$2:Q$801,$W180)="","",INDEX('Per Invoice'!Q$2:Q$801,$W180)))</f>
        <v/>
      </c>
      <c r="R180" s="7">
        <f>IF($W180="","",IF(INDEX('Per Invoice'!R$2:R$801,$W180)="","",INDEX('Per Invoice'!R$2:R$801,$W180)))</f>
        <v/>
      </c>
      <c r="S180" s="7">
        <f>IF($W180="","",IF(INDEX('Per Invoice'!S$2:S$801,$W180)="","",INDEX('Per Invoice'!S$2:S$801,$W180)))</f>
        <v/>
      </c>
      <c r="T180" s="7">
        <f>IF($W180="","",IF(INDEX('Per Invoice'!T$2:T$801,$W180)="","",INDEX('Per Invoice'!T$2:T$801,$W180)))</f>
        <v/>
      </c>
      <c r="U180" s="7">
        <f>IF($W180="","",IF(INDEX('Per Invoice'!U$2:U$801,$W180)="","",INDEX('Per Invoice'!U$2:U$801,$W180)))</f>
        <v/>
      </c>
      <c r="V180" s="7">
        <f>IF($W180="","",IF(INDEX('Per Invoice'!V$2:V$801,$W180)="","",INDEX('Per Invoice'!V$2:V$801,$W180)))</f>
        <v/>
      </c>
      <c r="W180" s="16">
        <f>IFERROR(MATCH(Settings!$C$27&amp;"|"&amp;ROWS($W$2:$W180),'Per Invoice'!$X$2:$X$801,0),"")</f>
        <v/>
      </c>
    </row>
    <row r="181">
      <c r="A181">
        <f>IF($W181="","",IF(INDEX('Per Invoice'!A$2:A$801,$W181)="","",INDEX('Per Invoice'!A$2:A$801,$W181)))</f>
        <v/>
      </c>
      <c r="B181">
        <f>IF($W181="","",IF(INDEX('Per Invoice'!B$2:B$801,$W181)="","",INDEX('Per Invoice'!B$2:B$801,$W181)))</f>
        <v/>
      </c>
      <c r="C181">
        <f>IF($W181="","",IF(INDEX('Per Invoice'!C$2:C$801,$W181)="","",INDEX('Per Invoice'!C$2:C$801,$W181)))</f>
        <v/>
      </c>
      <c r="D181">
        <f>IF($W181="","",IF(INDEX('Per Invoice'!D$2:D$801,$W181)="","",INDEX('Per Invoice'!D$2:D$801,$W181)))</f>
        <v/>
      </c>
      <c r="E181">
        <f>IF($W181="","",IF(INDEX('Per Invoice'!E$2:E$801,$W181)="","",INDEX('Per Invoice'!E$2:E$801,$W181)))</f>
        <v/>
      </c>
      <c r="F181">
        <f>IF($W181="","",IF(INDEX('Per Invoice'!F$2:F$801,$W181)="","",INDEX('Per Invoice'!F$2:F$801,$W181)))</f>
        <v/>
      </c>
      <c r="G181">
        <f>IF($W181="","",IF(INDEX('Per Invoice'!G$2:G$801,$W181)="","",INDEX('Per Invoice'!G$2:G$801,$W181)))</f>
        <v/>
      </c>
      <c r="H181">
        <f>IF($W181="","",IF(INDEX('Per Invoice'!H$2:H$801,$W181)="","",INDEX('Per Invoice'!H$2:H$801,$W181)))</f>
        <v/>
      </c>
      <c r="I181">
        <f>IF($W181="","",IF(INDEX('Per Invoice'!I$2:I$801,$W181)="","",INDEX('Per Invoice'!I$2:I$801,$W181)))</f>
        <v/>
      </c>
      <c r="J181">
        <f>IF($W181="","",IF(INDEX('Per Invoice'!J$2:J$801,$W181)="","",INDEX('Per Invoice'!J$2:J$801,$W181)))</f>
        <v/>
      </c>
      <c r="K181" s="7">
        <f>IF($W181="","",IF(INDEX('Per Invoice'!K$2:K$801,$W181)="","",INDEX('Per Invoice'!K$2:K$801,$W181)))</f>
        <v/>
      </c>
      <c r="L181" s="14">
        <f>IF($W181="","",IF(INDEX('Per Invoice'!L$2:L$801,$W181)="","",INDEX('Per Invoice'!L$2:L$801,$W181)))</f>
        <v/>
      </c>
      <c r="M181">
        <f>IF($W181="","",IF(INDEX('Per Invoice'!M$2:M$801,$W181)="","",INDEX('Per Invoice'!M$2:M$801,$W181)))</f>
        <v/>
      </c>
      <c r="N181" s="7">
        <f>IF($W181="","",IF(INDEX('Per Invoice'!N$2:N$801,$W181)="","",INDEX('Per Invoice'!N$2:N$801,$W181)))</f>
        <v/>
      </c>
      <c r="O181" s="7">
        <f>IF($W181="","",IF(INDEX('Per Invoice'!O$2:O$801,$W181)="","",INDEX('Per Invoice'!O$2:O$801,$W181)))</f>
        <v/>
      </c>
      <c r="P181">
        <f>IF($W181="","",IF(INDEX('Per Invoice'!P$2:P$801,$W181)="","",INDEX('Per Invoice'!P$2:P$801,$W181)))</f>
        <v/>
      </c>
      <c r="Q181" s="7">
        <f>IF($W181="","",IF(INDEX('Per Invoice'!Q$2:Q$801,$W181)="","",INDEX('Per Invoice'!Q$2:Q$801,$W181)))</f>
        <v/>
      </c>
      <c r="R181" s="7">
        <f>IF($W181="","",IF(INDEX('Per Invoice'!R$2:R$801,$W181)="","",INDEX('Per Invoice'!R$2:R$801,$W181)))</f>
        <v/>
      </c>
      <c r="S181" s="7">
        <f>IF($W181="","",IF(INDEX('Per Invoice'!S$2:S$801,$W181)="","",INDEX('Per Invoice'!S$2:S$801,$W181)))</f>
        <v/>
      </c>
      <c r="T181" s="7">
        <f>IF($W181="","",IF(INDEX('Per Invoice'!T$2:T$801,$W181)="","",INDEX('Per Invoice'!T$2:T$801,$W181)))</f>
        <v/>
      </c>
      <c r="U181" s="7">
        <f>IF($W181="","",IF(INDEX('Per Invoice'!U$2:U$801,$W181)="","",INDEX('Per Invoice'!U$2:U$801,$W181)))</f>
        <v/>
      </c>
      <c r="V181" s="7">
        <f>IF($W181="","",IF(INDEX('Per Invoice'!V$2:V$801,$W181)="","",INDEX('Per Invoice'!V$2:V$801,$W181)))</f>
        <v/>
      </c>
      <c r="W181" s="16">
        <f>IFERROR(MATCH(Settings!$C$27&amp;"|"&amp;ROWS($W$2:$W181),'Per Invoice'!$X$2:$X$801,0),"")</f>
        <v/>
      </c>
    </row>
    <row r="182">
      <c r="A182">
        <f>IF($W182="","",IF(INDEX('Per Invoice'!A$2:A$801,$W182)="","",INDEX('Per Invoice'!A$2:A$801,$W182)))</f>
        <v/>
      </c>
      <c r="B182">
        <f>IF($W182="","",IF(INDEX('Per Invoice'!B$2:B$801,$W182)="","",INDEX('Per Invoice'!B$2:B$801,$W182)))</f>
        <v/>
      </c>
      <c r="C182">
        <f>IF($W182="","",IF(INDEX('Per Invoice'!C$2:C$801,$W182)="","",INDEX('Per Invoice'!C$2:C$801,$W182)))</f>
        <v/>
      </c>
      <c r="D182">
        <f>IF($W182="","",IF(INDEX('Per Invoice'!D$2:D$801,$W182)="","",INDEX('Per Invoice'!D$2:D$801,$W182)))</f>
        <v/>
      </c>
      <c r="E182">
        <f>IF($W182="","",IF(INDEX('Per Invoice'!E$2:E$801,$W182)="","",INDEX('Per Invoice'!E$2:E$801,$W182)))</f>
        <v/>
      </c>
      <c r="F182">
        <f>IF($W182="","",IF(INDEX('Per Invoice'!F$2:F$801,$W182)="","",INDEX('Per Invoice'!F$2:F$801,$W182)))</f>
        <v/>
      </c>
      <c r="G182">
        <f>IF($W182="","",IF(INDEX('Per Invoice'!G$2:G$801,$W182)="","",INDEX('Per Invoice'!G$2:G$801,$W182)))</f>
        <v/>
      </c>
      <c r="H182">
        <f>IF($W182="","",IF(INDEX('Per Invoice'!H$2:H$801,$W182)="","",INDEX('Per Invoice'!H$2:H$801,$W182)))</f>
        <v/>
      </c>
      <c r="I182">
        <f>IF($W182="","",IF(INDEX('Per Invoice'!I$2:I$801,$W182)="","",INDEX('Per Invoice'!I$2:I$801,$W182)))</f>
        <v/>
      </c>
      <c r="J182">
        <f>IF($W182="","",IF(INDEX('Per Invoice'!J$2:J$801,$W182)="","",INDEX('Per Invoice'!J$2:J$801,$W182)))</f>
        <v/>
      </c>
      <c r="K182" s="7">
        <f>IF($W182="","",IF(INDEX('Per Invoice'!K$2:K$801,$W182)="","",INDEX('Per Invoice'!K$2:K$801,$W182)))</f>
        <v/>
      </c>
      <c r="L182" s="14">
        <f>IF($W182="","",IF(INDEX('Per Invoice'!L$2:L$801,$W182)="","",INDEX('Per Invoice'!L$2:L$801,$W182)))</f>
        <v/>
      </c>
      <c r="M182">
        <f>IF($W182="","",IF(INDEX('Per Invoice'!M$2:M$801,$W182)="","",INDEX('Per Invoice'!M$2:M$801,$W182)))</f>
        <v/>
      </c>
      <c r="N182" s="7">
        <f>IF($W182="","",IF(INDEX('Per Invoice'!N$2:N$801,$W182)="","",INDEX('Per Invoice'!N$2:N$801,$W182)))</f>
        <v/>
      </c>
      <c r="O182" s="7">
        <f>IF($W182="","",IF(INDEX('Per Invoice'!O$2:O$801,$W182)="","",INDEX('Per Invoice'!O$2:O$801,$W182)))</f>
        <v/>
      </c>
      <c r="P182">
        <f>IF($W182="","",IF(INDEX('Per Invoice'!P$2:P$801,$W182)="","",INDEX('Per Invoice'!P$2:P$801,$W182)))</f>
        <v/>
      </c>
      <c r="Q182" s="7">
        <f>IF($W182="","",IF(INDEX('Per Invoice'!Q$2:Q$801,$W182)="","",INDEX('Per Invoice'!Q$2:Q$801,$W182)))</f>
        <v/>
      </c>
      <c r="R182" s="7">
        <f>IF($W182="","",IF(INDEX('Per Invoice'!R$2:R$801,$W182)="","",INDEX('Per Invoice'!R$2:R$801,$W182)))</f>
        <v/>
      </c>
      <c r="S182" s="7">
        <f>IF($W182="","",IF(INDEX('Per Invoice'!S$2:S$801,$W182)="","",INDEX('Per Invoice'!S$2:S$801,$W182)))</f>
        <v/>
      </c>
      <c r="T182" s="7">
        <f>IF($W182="","",IF(INDEX('Per Invoice'!T$2:T$801,$W182)="","",INDEX('Per Invoice'!T$2:T$801,$W182)))</f>
        <v/>
      </c>
      <c r="U182" s="7">
        <f>IF($W182="","",IF(INDEX('Per Invoice'!U$2:U$801,$W182)="","",INDEX('Per Invoice'!U$2:U$801,$W182)))</f>
        <v/>
      </c>
      <c r="V182" s="7">
        <f>IF($W182="","",IF(INDEX('Per Invoice'!V$2:V$801,$W182)="","",INDEX('Per Invoice'!V$2:V$801,$W182)))</f>
        <v/>
      </c>
      <c r="W182" s="16">
        <f>IFERROR(MATCH(Settings!$C$27&amp;"|"&amp;ROWS($W$2:$W182),'Per Invoice'!$X$2:$X$801,0),"")</f>
        <v/>
      </c>
    </row>
    <row r="183">
      <c r="A183">
        <f>IF($W183="","",IF(INDEX('Per Invoice'!A$2:A$801,$W183)="","",INDEX('Per Invoice'!A$2:A$801,$W183)))</f>
        <v/>
      </c>
      <c r="B183">
        <f>IF($W183="","",IF(INDEX('Per Invoice'!B$2:B$801,$W183)="","",INDEX('Per Invoice'!B$2:B$801,$W183)))</f>
        <v/>
      </c>
      <c r="C183">
        <f>IF($W183="","",IF(INDEX('Per Invoice'!C$2:C$801,$W183)="","",INDEX('Per Invoice'!C$2:C$801,$W183)))</f>
        <v/>
      </c>
      <c r="D183">
        <f>IF($W183="","",IF(INDEX('Per Invoice'!D$2:D$801,$W183)="","",INDEX('Per Invoice'!D$2:D$801,$W183)))</f>
        <v/>
      </c>
      <c r="E183">
        <f>IF($W183="","",IF(INDEX('Per Invoice'!E$2:E$801,$W183)="","",INDEX('Per Invoice'!E$2:E$801,$W183)))</f>
        <v/>
      </c>
      <c r="F183">
        <f>IF($W183="","",IF(INDEX('Per Invoice'!F$2:F$801,$W183)="","",INDEX('Per Invoice'!F$2:F$801,$W183)))</f>
        <v/>
      </c>
      <c r="G183">
        <f>IF($W183="","",IF(INDEX('Per Invoice'!G$2:G$801,$W183)="","",INDEX('Per Invoice'!G$2:G$801,$W183)))</f>
        <v/>
      </c>
      <c r="H183">
        <f>IF($W183="","",IF(INDEX('Per Invoice'!H$2:H$801,$W183)="","",INDEX('Per Invoice'!H$2:H$801,$W183)))</f>
        <v/>
      </c>
      <c r="I183">
        <f>IF($W183="","",IF(INDEX('Per Invoice'!I$2:I$801,$W183)="","",INDEX('Per Invoice'!I$2:I$801,$W183)))</f>
        <v/>
      </c>
      <c r="J183">
        <f>IF($W183="","",IF(INDEX('Per Invoice'!J$2:J$801,$W183)="","",INDEX('Per Invoice'!J$2:J$801,$W183)))</f>
        <v/>
      </c>
      <c r="K183" s="7">
        <f>IF($W183="","",IF(INDEX('Per Invoice'!K$2:K$801,$W183)="","",INDEX('Per Invoice'!K$2:K$801,$W183)))</f>
        <v/>
      </c>
      <c r="L183" s="14">
        <f>IF($W183="","",IF(INDEX('Per Invoice'!L$2:L$801,$W183)="","",INDEX('Per Invoice'!L$2:L$801,$W183)))</f>
        <v/>
      </c>
      <c r="M183">
        <f>IF($W183="","",IF(INDEX('Per Invoice'!M$2:M$801,$W183)="","",INDEX('Per Invoice'!M$2:M$801,$W183)))</f>
        <v/>
      </c>
      <c r="N183" s="7">
        <f>IF($W183="","",IF(INDEX('Per Invoice'!N$2:N$801,$W183)="","",INDEX('Per Invoice'!N$2:N$801,$W183)))</f>
        <v/>
      </c>
      <c r="O183" s="7">
        <f>IF($W183="","",IF(INDEX('Per Invoice'!O$2:O$801,$W183)="","",INDEX('Per Invoice'!O$2:O$801,$W183)))</f>
        <v/>
      </c>
      <c r="P183">
        <f>IF($W183="","",IF(INDEX('Per Invoice'!P$2:P$801,$W183)="","",INDEX('Per Invoice'!P$2:P$801,$W183)))</f>
        <v/>
      </c>
      <c r="Q183" s="7">
        <f>IF($W183="","",IF(INDEX('Per Invoice'!Q$2:Q$801,$W183)="","",INDEX('Per Invoice'!Q$2:Q$801,$W183)))</f>
        <v/>
      </c>
      <c r="R183" s="7">
        <f>IF($W183="","",IF(INDEX('Per Invoice'!R$2:R$801,$W183)="","",INDEX('Per Invoice'!R$2:R$801,$W183)))</f>
        <v/>
      </c>
      <c r="S183" s="7">
        <f>IF($W183="","",IF(INDEX('Per Invoice'!S$2:S$801,$W183)="","",INDEX('Per Invoice'!S$2:S$801,$W183)))</f>
        <v/>
      </c>
      <c r="T183" s="7">
        <f>IF($W183="","",IF(INDEX('Per Invoice'!T$2:T$801,$W183)="","",INDEX('Per Invoice'!T$2:T$801,$W183)))</f>
        <v/>
      </c>
      <c r="U183" s="7">
        <f>IF($W183="","",IF(INDEX('Per Invoice'!U$2:U$801,$W183)="","",INDEX('Per Invoice'!U$2:U$801,$W183)))</f>
        <v/>
      </c>
      <c r="V183" s="7">
        <f>IF($W183="","",IF(INDEX('Per Invoice'!V$2:V$801,$W183)="","",INDEX('Per Invoice'!V$2:V$801,$W183)))</f>
        <v/>
      </c>
      <c r="W183" s="16">
        <f>IFERROR(MATCH(Settings!$C$27&amp;"|"&amp;ROWS($W$2:$W183),'Per Invoice'!$X$2:$X$801,0),"")</f>
        <v/>
      </c>
    </row>
    <row r="184">
      <c r="A184">
        <f>IF($W184="","",IF(INDEX('Per Invoice'!A$2:A$801,$W184)="","",INDEX('Per Invoice'!A$2:A$801,$W184)))</f>
        <v/>
      </c>
      <c r="B184">
        <f>IF($W184="","",IF(INDEX('Per Invoice'!B$2:B$801,$W184)="","",INDEX('Per Invoice'!B$2:B$801,$W184)))</f>
        <v/>
      </c>
      <c r="C184">
        <f>IF($W184="","",IF(INDEX('Per Invoice'!C$2:C$801,$W184)="","",INDEX('Per Invoice'!C$2:C$801,$W184)))</f>
        <v/>
      </c>
      <c r="D184">
        <f>IF($W184="","",IF(INDEX('Per Invoice'!D$2:D$801,$W184)="","",INDEX('Per Invoice'!D$2:D$801,$W184)))</f>
        <v/>
      </c>
      <c r="E184">
        <f>IF($W184="","",IF(INDEX('Per Invoice'!E$2:E$801,$W184)="","",INDEX('Per Invoice'!E$2:E$801,$W184)))</f>
        <v/>
      </c>
      <c r="F184">
        <f>IF($W184="","",IF(INDEX('Per Invoice'!F$2:F$801,$W184)="","",INDEX('Per Invoice'!F$2:F$801,$W184)))</f>
        <v/>
      </c>
      <c r="G184">
        <f>IF($W184="","",IF(INDEX('Per Invoice'!G$2:G$801,$W184)="","",INDEX('Per Invoice'!G$2:G$801,$W184)))</f>
        <v/>
      </c>
      <c r="H184">
        <f>IF($W184="","",IF(INDEX('Per Invoice'!H$2:H$801,$W184)="","",INDEX('Per Invoice'!H$2:H$801,$W184)))</f>
        <v/>
      </c>
      <c r="I184">
        <f>IF($W184="","",IF(INDEX('Per Invoice'!I$2:I$801,$W184)="","",INDEX('Per Invoice'!I$2:I$801,$W184)))</f>
        <v/>
      </c>
      <c r="J184">
        <f>IF($W184="","",IF(INDEX('Per Invoice'!J$2:J$801,$W184)="","",INDEX('Per Invoice'!J$2:J$801,$W184)))</f>
        <v/>
      </c>
      <c r="K184" s="7">
        <f>IF($W184="","",IF(INDEX('Per Invoice'!K$2:K$801,$W184)="","",INDEX('Per Invoice'!K$2:K$801,$W184)))</f>
        <v/>
      </c>
      <c r="L184" s="14">
        <f>IF($W184="","",IF(INDEX('Per Invoice'!L$2:L$801,$W184)="","",INDEX('Per Invoice'!L$2:L$801,$W184)))</f>
        <v/>
      </c>
      <c r="M184">
        <f>IF($W184="","",IF(INDEX('Per Invoice'!M$2:M$801,$W184)="","",INDEX('Per Invoice'!M$2:M$801,$W184)))</f>
        <v/>
      </c>
      <c r="N184" s="7">
        <f>IF($W184="","",IF(INDEX('Per Invoice'!N$2:N$801,$W184)="","",INDEX('Per Invoice'!N$2:N$801,$W184)))</f>
        <v/>
      </c>
      <c r="O184" s="7">
        <f>IF($W184="","",IF(INDEX('Per Invoice'!O$2:O$801,$W184)="","",INDEX('Per Invoice'!O$2:O$801,$W184)))</f>
        <v/>
      </c>
      <c r="P184">
        <f>IF($W184="","",IF(INDEX('Per Invoice'!P$2:P$801,$W184)="","",INDEX('Per Invoice'!P$2:P$801,$W184)))</f>
        <v/>
      </c>
      <c r="Q184" s="7">
        <f>IF($W184="","",IF(INDEX('Per Invoice'!Q$2:Q$801,$W184)="","",INDEX('Per Invoice'!Q$2:Q$801,$W184)))</f>
        <v/>
      </c>
      <c r="R184" s="7">
        <f>IF($W184="","",IF(INDEX('Per Invoice'!R$2:R$801,$W184)="","",INDEX('Per Invoice'!R$2:R$801,$W184)))</f>
        <v/>
      </c>
      <c r="S184" s="7">
        <f>IF($W184="","",IF(INDEX('Per Invoice'!S$2:S$801,$W184)="","",INDEX('Per Invoice'!S$2:S$801,$W184)))</f>
        <v/>
      </c>
      <c r="T184" s="7">
        <f>IF($W184="","",IF(INDEX('Per Invoice'!T$2:T$801,$W184)="","",INDEX('Per Invoice'!T$2:T$801,$W184)))</f>
        <v/>
      </c>
      <c r="U184" s="7">
        <f>IF($W184="","",IF(INDEX('Per Invoice'!U$2:U$801,$W184)="","",INDEX('Per Invoice'!U$2:U$801,$W184)))</f>
        <v/>
      </c>
      <c r="V184" s="7">
        <f>IF($W184="","",IF(INDEX('Per Invoice'!V$2:V$801,$W184)="","",INDEX('Per Invoice'!V$2:V$801,$W184)))</f>
        <v/>
      </c>
      <c r="W184" s="16">
        <f>IFERROR(MATCH(Settings!$C$27&amp;"|"&amp;ROWS($W$2:$W184),'Per Invoice'!$X$2:$X$801,0),"")</f>
        <v/>
      </c>
    </row>
    <row r="185">
      <c r="A185">
        <f>IF($W185="","",IF(INDEX('Per Invoice'!A$2:A$801,$W185)="","",INDEX('Per Invoice'!A$2:A$801,$W185)))</f>
        <v/>
      </c>
      <c r="B185">
        <f>IF($W185="","",IF(INDEX('Per Invoice'!B$2:B$801,$W185)="","",INDEX('Per Invoice'!B$2:B$801,$W185)))</f>
        <v/>
      </c>
      <c r="C185">
        <f>IF($W185="","",IF(INDEX('Per Invoice'!C$2:C$801,$W185)="","",INDEX('Per Invoice'!C$2:C$801,$W185)))</f>
        <v/>
      </c>
      <c r="D185">
        <f>IF($W185="","",IF(INDEX('Per Invoice'!D$2:D$801,$W185)="","",INDEX('Per Invoice'!D$2:D$801,$W185)))</f>
        <v/>
      </c>
      <c r="E185">
        <f>IF($W185="","",IF(INDEX('Per Invoice'!E$2:E$801,$W185)="","",INDEX('Per Invoice'!E$2:E$801,$W185)))</f>
        <v/>
      </c>
      <c r="F185">
        <f>IF($W185="","",IF(INDEX('Per Invoice'!F$2:F$801,$W185)="","",INDEX('Per Invoice'!F$2:F$801,$W185)))</f>
        <v/>
      </c>
      <c r="G185">
        <f>IF($W185="","",IF(INDEX('Per Invoice'!G$2:G$801,$W185)="","",INDEX('Per Invoice'!G$2:G$801,$W185)))</f>
        <v/>
      </c>
      <c r="H185">
        <f>IF($W185="","",IF(INDEX('Per Invoice'!H$2:H$801,$W185)="","",INDEX('Per Invoice'!H$2:H$801,$W185)))</f>
        <v/>
      </c>
      <c r="I185">
        <f>IF($W185="","",IF(INDEX('Per Invoice'!I$2:I$801,$W185)="","",INDEX('Per Invoice'!I$2:I$801,$W185)))</f>
        <v/>
      </c>
      <c r="J185">
        <f>IF($W185="","",IF(INDEX('Per Invoice'!J$2:J$801,$W185)="","",INDEX('Per Invoice'!J$2:J$801,$W185)))</f>
        <v/>
      </c>
      <c r="K185" s="7">
        <f>IF($W185="","",IF(INDEX('Per Invoice'!K$2:K$801,$W185)="","",INDEX('Per Invoice'!K$2:K$801,$W185)))</f>
        <v/>
      </c>
      <c r="L185" s="14">
        <f>IF($W185="","",IF(INDEX('Per Invoice'!L$2:L$801,$W185)="","",INDEX('Per Invoice'!L$2:L$801,$W185)))</f>
        <v/>
      </c>
      <c r="M185">
        <f>IF($W185="","",IF(INDEX('Per Invoice'!M$2:M$801,$W185)="","",INDEX('Per Invoice'!M$2:M$801,$W185)))</f>
        <v/>
      </c>
      <c r="N185" s="7">
        <f>IF($W185="","",IF(INDEX('Per Invoice'!N$2:N$801,$W185)="","",INDEX('Per Invoice'!N$2:N$801,$W185)))</f>
        <v/>
      </c>
      <c r="O185" s="7">
        <f>IF($W185="","",IF(INDEX('Per Invoice'!O$2:O$801,$W185)="","",INDEX('Per Invoice'!O$2:O$801,$W185)))</f>
        <v/>
      </c>
      <c r="P185">
        <f>IF($W185="","",IF(INDEX('Per Invoice'!P$2:P$801,$W185)="","",INDEX('Per Invoice'!P$2:P$801,$W185)))</f>
        <v/>
      </c>
      <c r="Q185" s="7">
        <f>IF($W185="","",IF(INDEX('Per Invoice'!Q$2:Q$801,$W185)="","",INDEX('Per Invoice'!Q$2:Q$801,$W185)))</f>
        <v/>
      </c>
      <c r="R185" s="7">
        <f>IF($W185="","",IF(INDEX('Per Invoice'!R$2:R$801,$W185)="","",INDEX('Per Invoice'!R$2:R$801,$W185)))</f>
        <v/>
      </c>
      <c r="S185" s="7">
        <f>IF($W185="","",IF(INDEX('Per Invoice'!S$2:S$801,$W185)="","",INDEX('Per Invoice'!S$2:S$801,$W185)))</f>
        <v/>
      </c>
      <c r="T185" s="7">
        <f>IF($W185="","",IF(INDEX('Per Invoice'!T$2:T$801,$W185)="","",INDEX('Per Invoice'!T$2:T$801,$W185)))</f>
        <v/>
      </c>
      <c r="U185" s="7">
        <f>IF($W185="","",IF(INDEX('Per Invoice'!U$2:U$801,$W185)="","",INDEX('Per Invoice'!U$2:U$801,$W185)))</f>
        <v/>
      </c>
      <c r="V185" s="7">
        <f>IF($W185="","",IF(INDEX('Per Invoice'!V$2:V$801,$W185)="","",INDEX('Per Invoice'!V$2:V$801,$W185)))</f>
        <v/>
      </c>
      <c r="W185" s="16">
        <f>IFERROR(MATCH(Settings!$C$27&amp;"|"&amp;ROWS($W$2:$W185),'Per Invoice'!$X$2:$X$801,0),"")</f>
        <v/>
      </c>
    </row>
    <row r="186">
      <c r="A186">
        <f>IF($W186="","",IF(INDEX('Per Invoice'!A$2:A$801,$W186)="","",INDEX('Per Invoice'!A$2:A$801,$W186)))</f>
        <v/>
      </c>
      <c r="B186">
        <f>IF($W186="","",IF(INDEX('Per Invoice'!B$2:B$801,$W186)="","",INDEX('Per Invoice'!B$2:B$801,$W186)))</f>
        <v/>
      </c>
      <c r="C186">
        <f>IF($W186="","",IF(INDEX('Per Invoice'!C$2:C$801,$W186)="","",INDEX('Per Invoice'!C$2:C$801,$W186)))</f>
        <v/>
      </c>
      <c r="D186">
        <f>IF($W186="","",IF(INDEX('Per Invoice'!D$2:D$801,$W186)="","",INDEX('Per Invoice'!D$2:D$801,$W186)))</f>
        <v/>
      </c>
      <c r="E186">
        <f>IF($W186="","",IF(INDEX('Per Invoice'!E$2:E$801,$W186)="","",INDEX('Per Invoice'!E$2:E$801,$W186)))</f>
        <v/>
      </c>
      <c r="F186">
        <f>IF($W186="","",IF(INDEX('Per Invoice'!F$2:F$801,$W186)="","",INDEX('Per Invoice'!F$2:F$801,$W186)))</f>
        <v/>
      </c>
      <c r="G186">
        <f>IF($W186="","",IF(INDEX('Per Invoice'!G$2:G$801,$W186)="","",INDEX('Per Invoice'!G$2:G$801,$W186)))</f>
        <v/>
      </c>
      <c r="H186">
        <f>IF($W186="","",IF(INDEX('Per Invoice'!H$2:H$801,$W186)="","",INDEX('Per Invoice'!H$2:H$801,$W186)))</f>
        <v/>
      </c>
      <c r="I186">
        <f>IF($W186="","",IF(INDEX('Per Invoice'!I$2:I$801,$W186)="","",INDEX('Per Invoice'!I$2:I$801,$W186)))</f>
        <v/>
      </c>
      <c r="J186">
        <f>IF($W186="","",IF(INDEX('Per Invoice'!J$2:J$801,$W186)="","",INDEX('Per Invoice'!J$2:J$801,$W186)))</f>
        <v/>
      </c>
      <c r="K186" s="7">
        <f>IF($W186="","",IF(INDEX('Per Invoice'!K$2:K$801,$W186)="","",INDEX('Per Invoice'!K$2:K$801,$W186)))</f>
        <v/>
      </c>
      <c r="L186" s="14">
        <f>IF($W186="","",IF(INDEX('Per Invoice'!L$2:L$801,$W186)="","",INDEX('Per Invoice'!L$2:L$801,$W186)))</f>
        <v/>
      </c>
      <c r="M186">
        <f>IF($W186="","",IF(INDEX('Per Invoice'!M$2:M$801,$W186)="","",INDEX('Per Invoice'!M$2:M$801,$W186)))</f>
        <v/>
      </c>
      <c r="N186" s="7">
        <f>IF($W186="","",IF(INDEX('Per Invoice'!N$2:N$801,$W186)="","",INDEX('Per Invoice'!N$2:N$801,$W186)))</f>
        <v/>
      </c>
      <c r="O186" s="7">
        <f>IF($W186="","",IF(INDEX('Per Invoice'!O$2:O$801,$W186)="","",INDEX('Per Invoice'!O$2:O$801,$W186)))</f>
        <v/>
      </c>
      <c r="P186">
        <f>IF($W186="","",IF(INDEX('Per Invoice'!P$2:P$801,$W186)="","",INDEX('Per Invoice'!P$2:P$801,$W186)))</f>
        <v/>
      </c>
      <c r="Q186" s="7">
        <f>IF($W186="","",IF(INDEX('Per Invoice'!Q$2:Q$801,$W186)="","",INDEX('Per Invoice'!Q$2:Q$801,$W186)))</f>
        <v/>
      </c>
      <c r="R186" s="7">
        <f>IF($W186="","",IF(INDEX('Per Invoice'!R$2:R$801,$W186)="","",INDEX('Per Invoice'!R$2:R$801,$W186)))</f>
        <v/>
      </c>
      <c r="S186" s="7">
        <f>IF($W186="","",IF(INDEX('Per Invoice'!S$2:S$801,$W186)="","",INDEX('Per Invoice'!S$2:S$801,$W186)))</f>
        <v/>
      </c>
      <c r="T186" s="7">
        <f>IF($W186="","",IF(INDEX('Per Invoice'!T$2:T$801,$W186)="","",INDEX('Per Invoice'!T$2:T$801,$W186)))</f>
        <v/>
      </c>
      <c r="U186" s="7">
        <f>IF($W186="","",IF(INDEX('Per Invoice'!U$2:U$801,$W186)="","",INDEX('Per Invoice'!U$2:U$801,$W186)))</f>
        <v/>
      </c>
      <c r="V186" s="7">
        <f>IF($W186="","",IF(INDEX('Per Invoice'!V$2:V$801,$W186)="","",INDEX('Per Invoice'!V$2:V$801,$W186)))</f>
        <v/>
      </c>
      <c r="W186" s="16">
        <f>IFERROR(MATCH(Settings!$C$27&amp;"|"&amp;ROWS($W$2:$W186),'Per Invoice'!$X$2:$X$801,0),"")</f>
        <v/>
      </c>
    </row>
    <row r="187">
      <c r="A187">
        <f>IF($W187="","",IF(INDEX('Per Invoice'!A$2:A$801,$W187)="","",INDEX('Per Invoice'!A$2:A$801,$W187)))</f>
        <v/>
      </c>
      <c r="B187">
        <f>IF($W187="","",IF(INDEX('Per Invoice'!B$2:B$801,$W187)="","",INDEX('Per Invoice'!B$2:B$801,$W187)))</f>
        <v/>
      </c>
      <c r="C187">
        <f>IF($W187="","",IF(INDEX('Per Invoice'!C$2:C$801,$W187)="","",INDEX('Per Invoice'!C$2:C$801,$W187)))</f>
        <v/>
      </c>
      <c r="D187">
        <f>IF($W187="","",IF(INDEX('Per Invoice'!D$2:D$801,$W187)="","",INDEX('Per Invoice'!D$2:D$801,$W187)))</f>
        <v/>
      </c>
      <c r="E187">
        <f>IF($W187="","",IF(INDEX('Per Invoice'!E$2:E$801,$W187)="","",INDEX('Per Invoice'!E$2:E$801,$W187)))</f>
        <v/>
      </c>
      <c r="F187">
        <f>IF($W187="","",IF(INDEX('Per Invoice'!F$2:F$801,$W187)="","",INDEX('Per Invoice'!F$2:F$801,$W187)))</f>
        <v/>
      </c>
      <c r="G187">
        <f>IF($W187="","",IF(INDEX('Per Invoice'!G$2:G$801,$W187)="","",INDEX('Per Invoice'!G$2:G$801,$W187)))</f>
        <v/>
      </c>
      <c r="H187">
        <f>IF($W187="","",IF(INDEX('Per Invoice'!H$2:H$801,$W187)="","",INDEX('Per Invoice'!H$2:H$801,$W187)))</f>
        <v/>
      </c>
      <c r="I187">
        <f>IF($W187="","",IF(INDEX('Per Invoice'!I$2:I$801,$W187)="","",INDEX('Per Invoice'!I$2:I$801,$W187)))</f>
        <v/>
      </c>
      <c r="J187">
        <f>IF($W187="","",IF(INDEX('Per Invoice'!J$2:J$801,$W187)="","",INDEX('Per Invoice'!J$2:J$801,$W187)))</f>
        <v/>
      </c>
      <c r="K187" s="7">
        <f>IF($W187="","",IF(INDEX('Per Invoice'!K$2:K$801,$W187)="","",INDEX('Per Invoice'!K$2:K$801,$W187)))</f>
        <v/>
      </c>
      <c r="L187" s="14">
        <f>IF($W187="","",IF(INDEX('Per Invoice'!L$2:L$801,$W187)="","",INDEX('Per Invoice'!L$2:L$801,$W187)))</f>
        <v/>
      </c>
      <c r="M187">
        <f>IF($W187="","",IF(INDEX('Per Invoice'!M$2:M$801,$W187)="","",INDEX('Per Invoice'!M$2:M$801,$W187)))</f>
        <v/>
      </c>
      <c r="N187" s="7">
        <f>IF($W187="","",IF(INDEX('Per Invoice'!N$2:N$801,$W187)="","",INDEX('Per Invoice'!N$2:N$801,$W187)))</f>
        <v/>
      </c>
      <c r="O187" s="7">
        <f>IF($W187="","",IF(INDEX('Per Invoice'!O$2:O$801,$W187)="","",INDEX('Per Invoice'!O$2:O$801,$W187)))</f>
        <v/>
      </c>
      <c r="P187">
        <f>IF($W187="","",IF(INDEX('Per Invoice'!P$2:P$801,$W187)="","",INDEX('Per Invoice'!P$2:P$801,$W187)))</f>
        <v/>
      </c>
      <c r="Q187" s="7">
        <f>IF($W187="","",IF(INDEX('Per Invoice'!Q$2:Q$801,$W187)="","",INDEX('Per Invoice'!Q$2:Q$801,$W187)))</f>
        <v/>
      </c>
      <c r="R187" s="7">
        <f>IF($W187="","",IF(INDEX('Per Invoice'!R$2:R$801,$W187)="","",INDEX('Per Invoice'!R$2:R$801,$W187)))</f>
        <v/>
      </c>
      <c r="S187" s="7">
        <f>IF($W187="","",IF(INDEX('Per Invoice'!S$2:S$801,$W187)="","",INDEX('Per Invoice'!S$2:S$801,$W187)))</f>
        <v/>
      </c>
      <c r="T187" s="7">
        <f>IF($W187="","",IF(INDEX('Per Invoice'!T$2:T$801,$W187)="","",INDEX('Per Invoice'!T$2:T$801,$W187)))</f>
        <v/>
      </c>
      <c r="U187" s="7">
        <f>IF($W187="","",IF(INDEX('Per Invoice'!U$2:U$801,$W187)="","",INDEX('Per Invoice'!U$2:U$801,$W187)))</f>
        <v/>
      </c>
      <c r="V187" s="7">
        <f>IF($W187="","",IF(INDEX('Per Invoice'!V$2:V$801,$W187)="","",INDEX('Per Invoice'!V$2:V$801,$W187)))</f>
        <v/>
      </c>
      <c r="W187" s="16">
        <f>IFERROR(MATCH(Settings!$C$27&amp;"|"&amp;ROWS($W$2:$W187),'Per Invoice'!$X$2:$X$801,0),"")</f>
        <v/>
      </c>
    </row>
    <row r="188">
      <c r="A188">
        <f>IF($W188="","",IF(INDEX('Per Invoice'!A$2:A$801,$W188)="","",INDEX('Per Invoice'!A$2:A$801,$W188)))</f>
        <v/>
      </c>
      <c r="B188">
        <f>IF($W188="","",IF(INDEX('Per Invoice'!B$2:B$801,$W188)="","",INDEX('Per Invoice'!B$2:B$801,$W188)))</f>
        <v/>
      </c>
      <c r="C188">
        <f>IF($W188="","",IF(INDEX('Per Invoice'!C$2:C$801,$W188)="","",INDEX('Per Invoice'!C$2:C$801,$W188)))</f>
        <v/>
      </c>
      <c r="D188">
        <f>IF($W188="","",IF(INDEX('Per Invoice'!D$2:D$801,$W188)="","",INDEX('Per Invoice'!D$2:D$801,$W188)))</f>
        <v/>
      </c>
      <c r="E188">
        <f>IF($W188="","",IF(INDEX('Per Invoice'!E$2:E$801,$W188)="","",INDEX('Per Invoice'!E$2:E$801,$W188)))</f>
        <v/>
      </c>
      <c r="F188">
        <f>IF($W188="","",IF(INDEX('Per Invoice'!F$2:F$801,$W188)="","",INDEX('Per Invoice'!F$2:F$801,$W188)))</f>
        <v/>
      </c>
      <c r="G188">
        <f>IF($W188="","",IF(INDEX('Per Invoice'!G$2:G$801,$W188)="","",INDEX('Per Invoice'!G$2:G$801,$W188)))</f>
        <v/>
      </c>
      <c r="H188">
        <f>IF($W188="","",IF(INDEX('Per Invoice'!H$2:H$801,$W188)="","",INDEX('Per Invoice'!H$2:H$801,$W188)))</f>
        <v/>
      </c>
      <c r="I188">
        <f>IF($W188="","",IF(INDEX('Per Invoice'!I$2:I$801,$W188)="","",INDEX('Per Invoice'!I$2:I$801,$W188)))</f>
        <v/>
      </c>
      <c r="J188">
        <f>IF($W188="","",IF(INDEX('Per Invoice'!J$2:J$801,$W188)="","",INDEX('Per Invoice'!J$2:J$801,$W188)))</f>
        <v/>
      </c>
      <c r="K188" s="7">
        <f>IF($W188="","",IF(INDEX('Per Invoice'!K$2:K$801,$W188)="","",INDEX('Per Invoice'!K$2:K$801,$W188)))</f>
        <v/>
      </c>
      <c r="L188" s="14">
        <f>IF($W188="","",IF(INDEX('Per Invoice'!L$2:L$801,$W188)="","",INDEX('Per Invoice'!L$2:L$801,$W188)))</f>
        <v/>
      </c>
      <c r="M188">
        <f>IF($W188="","",IF(INDEX('Per Invoice'!M$2:M$801,$W188)="","",INDEX('Per Invoice'!M$2:M$801,$W188)))</f>
        <v/>
      </c>
      <c r="N188" s="7">
        <f>IF($W188="","",IF(INDEX('Per Invoice'!N$2:N$801,$W188)="","",INDEX('Per Invoice'!N$2:N$801,$W188)))</f>
        <v/>
      </c>
      <c r="O188" s="7">
        <f>IF($W188="","",IF(INDEX('Per Invoice'!O$2:O$801,$W188)="","",INDEX('Per Invoice'!O$2:O$801,$W188)))</f>
        <v/>
      </c>
      <c r="P188">
        <f>IF($W188="","",IF(INDEX('Per Invoice'!P$2:P$801,$W188)="","",INDEX('Per Invoice'!P$2:P$801,$W188)))</f>
        <v/>
      </c>
      <c r="Q188" s="7">
        <f>IF($W188="","",IF(INDEX('Per Invoice'!Q$2:Q$801,$W188)="","",INDEX('Per Invoice'!Q$2:Q$801,$W188)))</f>
        <v/>
      </c>
      <c r="R188" s="7">
        <f>IF($W188="","",IF(INDEX('Per Invoice'!R$2:R$801,$W188)="","",INDEX('Per Invoice'!R$2:R$801,$W188)))</f>
        <v/>
      </c>
      <c r="S188" s="7">
        <f>IF($W188="","",IF(INDEX('Per Invoice'!S$2:S$801,$W188)="","",INDEX('Per Invoice'!S$2:S$801,$W188)))</f>
        <v/>
      </c>
      <c r="T188" s="7">
        <f>IF($W188="","",IF(INDEX('Per Invoice'!T$2:T$801,$W188)="","",INDEX('Per Invoice'!T$2:T$801,$W188)))</f>
        <v/>
      </c>
      <c r="U188" s="7">
        <f>IF($W188="","",IF(INDEX('Per Invoice'!U$2:U$801,$W188)="","",INDEX('Per Invoice'!U$2:U$801,$W188)))</f>
        <v/>
      </c>
      <c r="V188" s="7">
        <f>IF($W188="","",IF(INDEX('Per Invoice'!V$2:V$801,$W188)="","",INDEX('Per Invoice'!V$2:V$801,$W188)))</f>
        <v/>
      </c>
      <c r="W188" s="16">
        <f>IFERROR(MATCH(Settings!$C$27&amp;"|"&amp;ROWS($W$2:$W188),'Per Invoice'!$X$2:$X$801,0),"")</f>
        <v/>
      </c>
    </row>
    <row r="189">
      <c r="A189">
        <f>IF($W189="","",IF(INDEX('Per Invoice'!A$2:A$801,$W189)="","",INDEX('Per Invoice'!A$2:A$801,$W189)))</f>
        <v/>
      </c>
      <c r="B189">
        <f>IF($W189="","",IF(INDEX('Per Invoice'!B$2:B$801,$W189)="","",INDEX('Per Invoice'!B$2:B$801,$W189)))</f>
        <v/>
      </c>
      <c r="C189">
        <f>IF($W189="","",IF(INDEX('Per Invoice'!C$2:C$801,$W189)="","",INDEX('Per Invoice'!C$2:C$801,$W189)))</f>
        <v/>
      </c>
      <c r="D189">
        <f>IF($W189="","",IF(INDEX('Per Invoice'!D$2:D$801,$W189)="","",INDEX('Per Invoice'!D$2:D$801,$W189)))</f>
        <v/>
      </c>
      <c r="E189">
        <f>IF($W189="","",IF(INDEX('Per Invoice'!E$2:E$801,$W189)="","",INDEX('Per Invoice'!E$2:E$801,$W189)))</f>
        <v/>
      </c>
      <c r="F189">
        <f>IF($W189="","",IF(INDEX('Per Invoice'!F$2:F$801,$W189)="","",INDEX('Per Invoice'!F$2:F$801,$W189)))</f>
        <v/>
      </c>
      <c r="G189">
        <f>IF($W189="","",IF(INDEX('Per Invoice'!G$2:G$801,$W189)="","",INDEX('Per Invoice'!G$2:G$801,$W189)))</f>
        <v/>
      </c>
      <c r="H189">
        <f>IF($W189="","",IF(INDEX('Per Invoice'!H$2:H$801,$W189)="","",INDEX('Per Invoice'!H$2:H$801,$W189)))</f>
        <v/>
      </c>
      <c r="I189">
        <f>IF($W189="","",IF(INDEX('Per Invoice'!I$2:I$801,$W189)="","",INDEX('Per Invoice'!I$2:I$801,$W189)))</f>
        <v/>
      </c>
      <c r="J189">
        <f>IF($W189="","",IF(INDEX('Per Invoice'!J$2:J$801,$W189)="","",INDEX('Per Invoice'!J$2:J$801,$W189)))</f>
        <v/>
      </c>
      <c r="K189" s="7">
        <f>IF($W189="","",IF(INDEX('Per Invoice'!K$2:K$801,$W189)="","",INDEX('Per Invoice'!K$2:K$801,$W189)))</f>
        <v/>
      </c>
      <c r="L189" s="14">
        <f>IF($W189="","",IF(INDEX('Per Invoice'!L$2:L$801,$W189)="","",INDEX('Per Invoice'!L$2:L$801,$W189)))</f>
        <v/>
      </c>
      <c r="M189">
        <f>IF($W189="","",IF(INDEX('Per Invoice'!M$2:M$801,$W189)="","",INDEX('Per Invoice'!M$2:M$801,$W189)))</f>
        <v/>
      </c>
      <c r="N189" s="7">
        <f>IF($W189="","",IF(INDEX('Per Invoice'!N$2:N$801,$W189)="","",INDEX('Per Invoice'!N$2:N$801,$W189)))</f>
        <v/>
      </c>
      <c r="O189" s="7">
        <f>IF($W189="","",IF(INDEX('Per Invoice'!O$2:O$801,$W189)="","",INDEX('Per Invoice'!O$2:O$801,$W189)))</f>
        <v/>
      </c>
      <c r="P189">
        <f>IF($W189="","",IF(INDEX('Per Invoice'!P$2:P$801,$W189)="","",INDEX('Per Invoice'!P$2:P$801,$W189)))</f>
        <v/>
      </c>
      <c r="Q189" s="7">
        <f>IF($W189="","",IF(INDEX('Per Invoice'!Q$2:Q$801,$W189)="","",INDEX('Per Invoice'!Q$2:Q$801,$W189)))</f>
        <v/>
      </c>
      <c r="R189" s="7">
        <f>IF($W189="","",IF(INDEX('Per Invoice'!R$2:R$801,$W189)="","",INDEX('Per Invoice'!R$2:R$801,$W189)))</f>
        <v/>
      </c>
      <c r="S189" s="7">
        <f>IF($W189="","",IF(INDEX('Per Invoice'!S$2:S$801,$W189)="","",INDEX('Per Invoice'!S$2:S$801,$W189)))</f>
        <v/>
      </c>
      <c r="T189" s="7">
        <f>IF($W189="","",IF(INDEX('Per Invoice'!T$2:T$801,$W189)="","",INDEX('Per Invoice'!T$2:T$801,$W189)))</f>
        <v/>
      </c>
      <c r="U189" s="7">
        <f>IF($W189="","",IF(INDEX('Per Invoice'!U$2:U$801,$W189)="","",INDEX('Per Invoice'!U$2:U$801,$W189)))</f>
        <v/>
      </c>
      <c r="V189" s="7">
        <f>IF($W189="","",IF(INDEX('Per Invoice'!V$2:V$801,$W189)="","",INDEX('Per Invoice'!V$2:V$801,$W189)))</f>
        <v/>
      </c>
      <c r="W189" s="16">
        <f>IFERROR(MATCH(Settings!$C$27&amp;"|"&amp;ROWS($W$2:$W189),'Per Invoice'!$X$2:$X$801,0),"")</f>
        <v/>
      </c>
    </row>
    <row r="190">
      <c r="A190">
        <f>IF($W190="","",IF(INDEX('Per Invoice'!A$2:A$801,$W190)="","",INDEX('Per Invoice'!A$2:A$801,$W190)))</f>
        <v/>
      </c>
      <c r="B190">
        <f>IF($W190="","",IF(INDEX('Per Invoice'!B$2:B$801,$W190)="","",INDEX('Per Invoice'!B$2:B$801,$W190)))</f>
        <v/>
      </c>
      <c r="C190">
        <f>IF($W190="","",IF(INDEX('Per Invoice'!C$2:C$801,$W190)="","",INDEX('Per Invoice'!C$2:C$801,$W190)))</f>
        <v/>
      </c>
      <c r="D190">
        <f>IF($W190="","",IF(INDEX('Per Invoice'!D$2:D$801,$W190)="","",INDEX('Per Invoice'!D$2:D$801,$W190)))</f>
        <v/>
      </c>
      <c r="E190">
        <f>IF($W190="","",IF(INDEX('Per Invoice'!E$2:E$801,$W190)="","",INDEX('Per Invoice'!E$2:E$801,$W190)))</f>
        <v/>
      </c>
      <c r="F190">
        <f>IF($W190="","",IF(INDEX('Per Invoice'!F$2:F$801,$W190)="","",INDEX('Per Invoice'!F$2:F$801,$W190)))</f>
        <v/>
      </c>
      <c r="G190">
        <f>IF($W190="","",IF(INDEX('Per Invoice'!G$2:G$801,$W190)="","",INDEX('Per Invoice'!G$2:G$801,$W190)))</f>
        <v/>
      </c>
      <c r="H190">
        <f>IF($W190="","",IF(INDEX('Per Invoice'!H$2:H$801,$W190)="","",INDEX('Per Invoice'!H$2:H$801,$W190)))</f>
        <v/>
      </c>
      <c r="I190">
        <f>IF($W190="","",IF(INDEX('Per Invoice'!I$2:I$801,$W190)="","",INDEX('Per Invoice'!I$2:I$801,$W190)))</f>
        <v/>
      </c>
      <c r="J190">
        <f>IF($W190="","",IF(INDEX('Per Invoice'!J$2:J$801,$W190)="","",INDEX('Per Invoice'!J$2:J$801,$W190)))</f>
        <v/>
      </c>
      <c r="K190" s="7">
        <f>IF($W190="","",IF(INDEX('Per Invoice'!K$2:K$801,$W190)="","",INDEX('Per Invoice'!K$2:K$801,$W190)))</f>
        <v/>
      </c>
      <c r="L190" s="14">
        <f>IF($W190="","",IF(INDEX('Per Invoice'!L$2:L$801,$W190)="","",INDEX('Per Invoice'!L$2:L$801,$W190)))</f>
        <v/>
      </c>
      <c r="M190">
        <f>IF($W190="","",IF(INDEX('Per Invoice'!M$2:M$801,$W190)="","",INDEX('Per Invoice'!M$2:M$801,$W190)))</f>
        <v/>
      </c>
      <c r="N190" s="7">
        <f>IF($W190="","",IF(INDEX('Per Invoice'!N$2:N$801,$W190)="","",INDEX('Per Invoice'!N$2:N$801,$W190)))</f>
        <v/>
      </c>
      <c r="O190" s="7">
        <f>IF($W190="","",IF(INDEX('Per Invoice'!O$2:O$801,$W190)="","",INDEX('Per Invoice'!O$2:O$801,$W190)))</f>
        <v/>
      </c>
      <c r="P190">
        <f>IF($W190="","",IF(INDEX('Per Invoice'!P$2:P$801,$W190)="","",INDEX('Per Invoice'!P$2:P$801,$W190)))</f>
        <v/>
      </c>
      <c r="Q190" s="7">
        <f>IF($W190="","",IF(INDEX('Per Invoice'!Q$2:Q$801,$W190)="","",INDEX('Per Invoice'!Q$2:Q$801,$W190)))</f>
        <v/>
      </c>
      <c r="R190" s="7">
        <f>IF($W190="","",IF(INDEX('Per Invoice'!R$2:R$801,$W190)="","",INDEX('Per Invoice'!R$2:R$801,$W190)))</f>
        <v/>
      </c>
      <c r="S190" s="7">
        <f>IF($W190="","",IF(INDEX('Per Invoice'!S$2:S$801,$W190)="","",INDEX('Per Invoice'!S$2:S$801,$W190)))</f>
        <v/>
      </c>
      <c r="T190" s="7">
        <f>IF($W190="","",IF(INDEX('Per Invoice'!T$2:T$801,$W190)="","",INDEX('Per Invoice'!T$2:T$801,$W190)))</f>
        <v/>
      </c>
      <c r="U190" s="7">
        <f>IF($W190="","",IF(INDEX('Per Invoice'!U$2:U$801,$W190)="","",INDEX('Per Invoice'!U$2:U$801,$W190)))</f>
        <v/>
      </c>
      <c r="V190" s="7">
        <f>IF($W190="","",IF(INDEX('Per Invoice'!V$2:V$801,$W190)="","",INDEX('Per Invoice'!V$2:V$801,$W190)))</f>
        <v/>
      </c>
      <c r="W190" s="16">
        <f>IFERROR(MATCH(Settings!$C$27&amp;"|"&amp;ROWS($W$2:$W190),'Per Invoice'!$X$2:$X$801,0),"")</f>
        <v/>
      </c>
    </row>
    <row r="191">
      <c r="A191">
        <f>IF($W191="","",IF(INDEX('Per Invoice'!A$2:A$801,$W191)="","",INDEX('Per Invoice'!A$2:A$801,$W191)))</f>
        <v/>
      </c>
      <c r="B191">
        <f>IF($W191="","",IF(INDEX('Per Invoice'!B$2:B$801,$W191)="","",INDEX('Per Invoice'!B$2:B$801,$W191)))</f>
        <v/>
      </c>
      <c r="C191">
        <f>IF($W191="","",IF(INDEX('Per Invoice'!C$2:C$801,$W191)="","",INDEX('Per Invoice'!C$2:C$801,$W191)))</f>
        <v/>
      </c>
      <c r="D191">
        <f>IF($W191="","",IF(INDEX('Per Invoice'!D$2:D$801,$W191)="","",INDEX('Per Invoice'!D$2:D$801,$W191)))</f>
        <v/>
      </c>
      <c r="E191">
        <f>IF($W191="","",IF(INDEX('Per Invoice'!E$2:E$801,$W191)="","",INDEX('Per Invoice'!E$2:E$801,$W191)))</f>
        <v/>
      </c>
      <c r="F191">
        <f>IF($W191="","",IF(INDEX('Per Invoice'!F$2:F$801,$W191)="","",INDEX('Per Invoice'!F$2:F$801,$W191)))</f>
        <v/>
      </c>
      <c r="G191">
        <f>IF($W191="","",IF(INDEX('Per Invoice'!G$2:G$801,$W191)="","",INDEX('Per Invoice'!G$2:G$801,$W191)))</f>
        <v/>
      </c>
      <c r="H191">
        <f>IF($W191="","",IF(INDEX('Per Invoice'!H$2:H$801,$W191)="","",INDEX('Per Invoice'!H$2:H$801,$W191)))</f>
        <v/>
      </c>
      <c r="I191">
        <f>IF($W191="","",IF(INDEX('Per Invoice'!I$2:I$801,$W191)="","",INDEX('Per Invoice'!I$2:I$801,$W191)))</f>
        <v/>
      </c>
      <c r="J191">
        <f>IF($W191="","",IF(INDEX('Per Invoice'!J$2:J$801,$W191)="","",INDEX('Per Invoice'!J$2:J$801,$W191)))</f>
        <v/>
      </c>
      <c r="K191" s="7">
        <f>IF($W191="","",IF(INDEX('Per Invoice'!K$2:K$801,$W191)="","",INDEX('Per Invoice'!K$2:K$801,$W191)))</f>
        <v/>
      </c>
      <c r="L191" s="14">
        <f>IF($W191="","",IF(INDEX('Per Invoice'!L$2:L$801,$W191)="","",INDEX('Per Invoice'!L$2:L$801,$W191)))</f>
        <v/>
      </c>
      <c r="M191">
        <f>IF($W191="","",IF(INDEX('Per Invoice'!M$2:M$801,$W191)="","",INDEX('Per Invoice'!M$2:M$801,$W191)))</f>
        <v/>
      </c>
      <c r="N191" s="7">
        <f>IF($W191="","",IF(INDEX('Per Invoice'!N$2:N$801,$W191)="","",INDEX('Per Invoice'!N$2:N$801,$W191)))</f>
        <v/>
      </c>
      <c r="O191" s="7">
        <f>IF($W191="","",IF(INDEX('Per Invoice'!O$2:O$801,$W191)="","",INDEX('Per Invoice'!O$2:O$801,$W191)))</f>
        <v/>
      </c>
      <c r="P191">
        <f>IF($W191="","",IF(INDEX('Per Invoice'!P$2:P$801,$W191)="","",INDEX('Per Invoice'!P$2:P$801,$W191)))</f>
        <v/>
      </c>
      <c r="Q191" s="7">
        <f>IF($W191="","",IF(INDEX('Per Invoice'!Q$2:Q$801,$W191)="","",INDEX('Per Invoice'!Q$2:Q$801,$W191)))</f>
        <v/>
      </c>
      <c r="R191" s="7">
        <f>IF($W191="","",IF(INDEX('Per Invoice'!R$2:R$801,$W191)="","",INDEX('Per Invoice'!R$2:R$801,$W191)))</f>
        <v/>
      </c>
      <c r="S191" s="7">
        <f>IF($W191="","",IF(INDEX('Per Invoice'!S$2:S$801,$W191)="","",INDEX('Per Invoice'!S$2:S$801,$W191)))</f>
        <v/>
      </c>
      <c r="T191" s="7">
        <f>IF($W191="","",IF(INDEX('Per Invoice'!T$2:T$801,$W191)="","",INDEX('Per Invoice'!T$2:T$801,$W191)))</f>
        <v/>
      </c>
      <c r="U191" s="7">
        <f>IF($W191="","",IF(INDEX('Per Invoice'!U$2:U$801,$W191)="","",INDEX('Per Invoice'!U$2:U$801,$W191)))</f>
        <v/>
      </c>
      <c r="V191" s="7">
        <f>IF($W191="","",IF(INDEX('Per Invoice'!V$2:V$801,$W191)="","",INDEX('Per Invoice'!V$2:V$801,$W191)))</f>
        <v/>
      </c>
      <c r="W191" s="16">
        <f>IFERROR(MATCH(Settings!$C$27&amp;"|"&amp;ROWS($W$2:$W191),'Per Invoice'!$X$2:$X$801,0),"")</f>
        <v/>
      </c>
    </row>
    <row r="192">
      <c r="A192">
        <f>IF($W192="","",IF(INDEX('Per Invoice'!A$2:A$801,$W192)="","",INDEX('Per Invoice'!A$2:A$801,$W192)))</f>
        <v/>
      </c>
      <c r="B192">
        <f>IF($W192="","",IF(INDEX('Per Invoice'!B$2:B$801,$W192)="","",INDEX('Per Invoice'!B$2:B$801,$W192)))</f>
        <v/>
      </c>
      <c r="C192">
        <f>IF($W192="","",IF(INDEX('Per Invoice'!C$2:C$801,$W192)="","",INDEX('Per Invoice'!C$2:C$801,$W192)))</f>
        <v/>
      </c>
      <c r="D192">
        <f>IF($W192="","",IF(INDEX('Per Invoice'!D$2:D$801,$W192)="","",INDEX('Per Invoice'!D$2:D$801,$W192)))</f>
        <v/>
      </c>
      <c r="E192">
        <f>IF($W192="","",IF(INDEX('Per Invoice'!E$2:E$801,$W192)="","",INDEX('Per Invoice'!E$2:E$801,$W192)))</f>
        <v/>
      </c>
      <c r="F192">
        <f>IF($W192="","",IF(INDEX('Per Invoice'!F$2:F$801,$W192)="","",INDEX('Per Invoice'!F$2:F$801,$W192)))</f>
        <v/>
      </c>
      <c r="G192">
        <f>IF($W192="","",IF(INDEX('Per Invoice'!G$2:G$801,$W192)="","",INDEX('Per Invoice'!G$2:G$801,$W192)))</f>
        <v/>
      </c>
      <c r="H192">
        <f>IF($W192="","",IF(INDEX('Per Invoice'!H$2:H$801,$W192)="","",INDEX('Per Invoice'!H$2:H$801,$W192)))</f>
        <v/>
      </c>
      <c r="I192">
        <f>IF($W192="","",IF(INDEX('Per Invoice'!I$2:I$801,$W192)="","",INDEX('Per Invoice'!I$2:I$801,$W192)))</f>
        <v/>
      </c>
      <c r="J192">
        <f>IF($W192="","",IF(INDEX('Per Invoice'!J$2:J$801,$W192)="","",INDEX('Per Invoice'!J$2:J$801,$W192)))</f>
        <v/>
      </c>
      <c r="K192" s="7">
        <f>IF($W192="","",IF(INDEX('Per Invoice'!K$2:K$801,$W192)="","",INDEX('Per Invoice'!K$2:K$801,$W192)))</f>
        <v/>
      </c>
      <c r="L192" s="14">
        <f>IF($W192="","",IF(INDEX('Per Invoice'!L$2:L$801,$W192)="","",INDEX('Per Invoice'!L$2:L$801,$W192)))</f>
        <v/>
      </c>
      <c r="M192">
        <f>IF($W192="","",IF(INDEX('Per Invoice'!M$2:M$801,$W192)="","",INDEX('Per Invoice'!M$2:M$801,$W192)))</f>
        <v/>
      </c>
      <c r="N192" s="7">
        <f>IF($W192="","",IF(INDEX('Per Invoice'!N$2:N$801,$W192)="","",INDEX('Per Invoice'!N$2:N$801,$W192)))</f>
        <v/>
      </c>
      <c r="O192" s="7">
        <f>IF($W192="","",IF(INDEX('Per Invoice'!O$2:O$801,$W192)="","",INDEX('Per Invoice'!O$2:O$801,$W192)))</f>
        <v/>
      </c>
      <c r="P192">
        <f>IF($W192="","",IF(INDEX('Per Invoice'!P$2:P$801,$W192)="","",INDEX('Per Invoice'!P$2:P$801,$W192)))</f>
        <v/>
      </c>
      <c r="Q192" s="7">
        <f>IF($W192="","",IF(INDEX('Per Invoice'!Q$2:Q$801,$W192)="","",INDEX('Per Invoice'!Q$2:Q$801,$W192)))</f>
        <v/>
      </c>
      <c r="R192" s="7">
        <f>IF($W192="","",IF(INDEX('Per Invoice'!R$2:R$801,$W192)="","",INDEX('Per Invoice'!R$2:R$801,$W192)))</f>
        <v/>
      </c>
      <c r="S192" s="7">
        <f>IF($W192="","",IF(INDEX('Per Invoice'!S$2:S$801,$W192)="","",INDEX('Per Invoice'!S$2:S$801,$W192)))</f>
        <v/>
      </c>
      <c r="T192" s="7">
        <f>IF($W192="","",IF(INDEX('Per Invoice'!T$2:T$801,$W192)="","",INDEX('Per Invoice'!T$2:T$801,$W192)))</f>
        <v/>
      </c>
      <c r="U192" s="7">
        <f>IF($W192="","",IF(INDEX('Per Invoice'!U$2:U$801,$W192)="","",INDEX('Per Invoice'!U$2:U$801,$W192)))</f>
        <v/>
      </c>
      <c r="V192" s="7">
        <f>IF($W192="","",IF(INDEX('Per Invoice'!V$2:V$801,$W192)="","",INDEX('Per Invoice'!V$2:V$801,$W192)))</f>
        <v/>
      </c>
      <c r="W192" s="16">
        <f>IFERROR(MATCH(Settings!$C$27&amp;"|"&amp;ROWS($W$2:$W192),'Per Invoice'!$X$2:$X$801,0),"")</f>
        <v/>
      </c>
    </row>
    <row r="193">
      <c r="A193">
        <f>IF($W193="","",IF(INDEX('Per Invoice'!A$2:A$801,$W193)="","",INDEX('Per Invoice'!A$2:A$801,$W193)))</f>
        <v/>
      </c>
      <c r="B193">
        <f>IF($W193="","",IF(INDEX('Per Invoice'!B$2:B$801,$W193)="","",INDEX('Per Invoice'!B$2:B$801,$W193)))</f>
        <v/>
      </c>
      <c r="C193">
        <f>IF($W193="","",IF(INDEX('Per Invoice'!C$2:C$801,$W193)="","",INDEX('Per Invoice'!C$2:C$801,$W193)))</f>
        <v/>
      </c>
      <c r="D193">
        <f>IF($W193="","",IF(INDEX('Per Invoice'!D$2:D$801,$W193)="","",INDEX('Per Invoice'!D$2:D$801,$W193)))</f>
        <v/>
      </c>
      <c r="E193">
        <f>IF($W193="","",IF(INDEX('Per Invoice'!E$2:E$801,$W193)="","",INDEX('Per Invoice'!E$2:E$801,$W193)))</f>
        <v/>
      </c>
      <c r="F193">
        <f>IF($W193="","",IF(INDEX('Per Invoice'!F$2:F$801,$W193)="","",INDEX('Per Invoice'!F$2:F$801,$W193)))</f>
        <v/>
      </c>
      <c r="G193">
        <f>IF($W193="","",IF(INDEX('Per Invoice'!G$2:G$801,$W193)="","",INDEX('Per Invoice'!G$2:G$801,$W193)))</f>
        <v/>
      </c>
      <c r="H193">
        <f>IF($W193="","",IF(INDEX('Per Invoice'!H$2:H$801,$W193)="","",INDEX('Per Invoice'!H$2:H$801,$W193)))</f>
        <v/>
      </c>
      <c r="I193">
        <f>IF($W193="","",IF(INDEX('Per Invoice'!I$2:I$801,$W193)="","",INDEX('Per Invoice'!I$2:I$801,$W193)))</f>
        <v/>
      </c>
      <c r="J193">
        <f>IF($W193="","",IF(INDEX('Per Invoice'!J$2:J$801,$W193)="","",INDEX('Per Invoice'!J$2:J$801,$W193)))</f>
        <v/>
      </c>
      <c r="K193" s="7">
        <f>IF($W193="","",IF(INDEX('Per Invoice'!K$2:K$801,$W193)="","",INDEX('Per Invoice'!K$2:K$801,$W193)))</f>
        <v/>
      </c>
      <c r="L193" s="14">
        <f>IF($W193="","",IF(INDEX('Per Invoice'!L$2:L$801,$W193)="","",INDEX('Per Invoice'!L$2:L$801,$W193)))</f>
        <v/>
      </c>
      <c r="M193">
        <f>IF($W193="","",IF(INDEX('Per Invoice'!M$2:M$801,$W193)="","",INDEX('Per Invoice'!M$2:M$801,$W193)))</f>
        <v/>
      </c>
      <c r="N193" s="7">
        <f>IF($W193="","",IF(INDEX('Per Invoice'!N$2:N$801,$W193)="","",INDEX('Per Invoice'!N$2:N$801,$W193)))</f>
        <v/>
      </c>
      <c r="O193" s="7">
        <f>IF($W193="","",IF(INDEX('Per Invoice'!O$2:O$801,$W193)="","",INDEX('Per Invoice'!O$2:O$801,$W193)))</f>
        <v/>
      </c>
      <c r="P193">
        <f>IF($W193="","",IF(INDEX('Per Invoice'!P$2:P$801,$W193)="","",INDEX('Per Invoice'!P$2:P$801,$W193)))</f>
        <v/>
      </c>
      <c r="Q193" s="7">
        <f>IF($W193="","",IF(INDEX('Per Invoice'!Q$2:Q$801,$W193)="","",INDEX('Per Invoice'!Q$2:Q$801,$W193)))</f>
        <v/>
      </c>
      <c r="R193" s="7">
        <f>IF($W193="","",IF(INDEX('Per Invoice'!R$2:R$801,$W193)="","",INDEX('Per Invoice'!R$2:R$801,$W193)))</f>
        <v/>
      </c>
      <c r="S193" s="7">
        <f>IF($W193="","",IF(INDEX('Per Invoice'!S$2:S$801,$W193)="","",INDEX('Per Invoice'!S$2:S$801,$W193)))</f>
        <v/>
      </c>
      <c r="T193" s="7">
        <f>IF($W193="","",IF(INDEX('Per Invoice'!T$2:T$801,$W193)="","",INDEX('Per Invoice'!T$2:T$801,$W193)))</f>
        <v/>
      </c>
      <c r="U193" s="7">
        <f>IF($W193="","",IF(INDEX('Per Invoice'!U$2:U$801,$W193)="","",INDEX('Per Invoice'!U$2:U$801,$W193)))</f>
        <v/>
      </c>
      <c r="V193" s="7">
        <f>IF($W193="","",IF(INDEX('Per Invoice'!V$2:V$801,$W193)="","",INDEX('Per Invoice'!V$2:V$801,$W193)))</f>
        <v/>
      </c>
      <c r="W193" s="16">
        <f>IFERROR(MATCH(Settings!$C$27&amp;"|"&amp;ROWS($W$2:$W193),'Per Invoice'!$X$2:$X$801,0),"")</f>
        <v/>
      </c>
    </row>
    <row r="194">
      <c r="A194">
        <f>IF($W194="","",IF(INDEX('Per Invoice'!A$2:A$801,$W194)="","",INDEX('Per Invoice'!A$2:A$801,$W194)))</f>
        <v/>
      </c>
      <c r="B194">
        <f>IF($W194="","",IF(INDEX('Per Invoice'!B$2:B$801,$W194)="","",INDEX('Per Invoice'!B$2:B$801,$W194)))</f>
        <v/>
      </c>
      <c r="C194">
        <f>IF($W194="","",IF(INDEX('Per Invoice'!C$2:C$801,$W194)="","",INDEX('Per Invoice'!C$2:C$801,$W194)))</f>
        <v/>
      </c>
      <c r="D194">
        <f>IF($W194="","",IF(INDEX('Per Invoice'!D$2:D$801,$W194)="","",INDEX('Per Invoice'!D$2:D$801,$W194)))</f>
        <v/>
      </c>
      <c r="E194">
        <f>IF($W194="","",IF(INDEX('Per Invoice'!E$2:E$801,$W194)="","",INDEX('Per Invoice'!E$2:E$801,$W194)))</f>
        <v/>
      </c>
      <c r="F194">
        <f>IF($W194="","",IF(INDEX('Per Invoice'!F$2:F$801,$W194)="","",INDEX('Per Invoice'!F$2:F$801,$W194)))</f>
        <v/>
      </c>
      <c r="G194">
        <f>IF($W194="","",IF(INDEX('Per Invoice'!G$2:G$801,$W194)="","",INDEX('Per Invoice'!G$2:G$801,$W194)))</f>
        <v/>
      </c>
      <c r="H194">
        <f>IF($W194="","",IF(INDEX('Per Invoice'!H$2:H$801,$W194)="","",INDEX('Per Invoice'!H$2:H$801,$W194)))</f>
        <v/>
      </c>
      <c r="I194">
        <f>IF($W194="","",IF(INDEX('Per Invoice'!I$2:I$801,$W194)="","",INDEX('Per Invoice'!I$2:I$801,$W194)))</f>
        <v/>
      </c>
      <c r="J194">
        <f>IF($W194="","",IF(INDEX('Per Invoice'!J$2:J$801,$W194)="","",INDEX('Per Invoice'!J$2:J$801,$W194)))</f>
        <v/>
      </c>
      <c r="K194" s="7">
        <f>IF($W194="","",IF(INDEX('Per Invoice'!K$2:K$801,$W194)="","",INDEX('Per Invoice'!K$2:K$801,$W194)))</f>
        <v/>
      </c>
      <c r="L194" s="14">
        <f>IF($W194="","",IF(INDEX('Per Invoice'!L$2:L$801,$W194)="","",INDEX('Per Invoice'!L$2:L$801,$W194)))</f>
        <v/>
      </c>
      <c r="M194">
        <f>IF($W194="","",IF(INDEX('Per Invoice'!M$2:M$801,$W194)="","",INDEX('Per Invoice'!M$2:M$801,$W194)))</f>
        <v/>
      </c>
      <c r="N194" s="7">
        <f>IF($W194="","",IF(INDEX('Per Invoice'!N$2:N$801,$W194)="","",INDEX('Per Invoice'!N$2:N$801,$W194)))</f>
        <v/>
      </c>
      <c r="O194" s="7">
        <f>IF($W194="","",IF(INDEX('Per Invoice'!O$2:O$801,$W194)="","",INDEX('Per Invoice'!O$2:O$801,$W194)))</f>
        <v/>
      </c>
      <c r="P194">
        <f>IF($W194="","",IF(INDEX('Per Invoice'!P$2:P$801,$W194)="","",INDEX('Per Invoice'!P$2:P$801,$W194)))</f>
        <v/>
      </c>
      <c r="Q194" s="7">
        <f>IF($W194="","",IF(INDEX('Per Invoice'!Q$2:Q$801,$W194)="","",INDEX('Per Invoice'!Q$2:Q$801,$W194)))</f>
        <v/>
      </c>
      <c r="R194" s="7">
        <f>IF($W194="","",IF(INDEX('Per Invoice'!R$2:R$801,$W194)="","",INDEX('Per Invoice'!R$2:R$801,$W194)))</f>
        <v/>
      </c>
      <c r="S194" s="7">
        <f>IF($W194="","",IF(INDEX('Per Invoice'!S$2:S$801,$W194)="","",INDEX('Per Invoice'!S$2:S$801,$W194)))</f>
        <v/>
      </c>
      <c r="T194" s="7">
        <f>IF($W194="","",IF(INDEX('Per Invoice'!T$2:T$801,$W194)="","",INDEX('Per Invoice'!T$2:T$801,$W194)))</f>
        <v/>
      </c>
      <c r="U194" s="7">
        <f>IF($W194="","",IF(INDEX('Per Invoice'!U$2:U$801,$W194)="","",INDEX('Per Invoice'!U$2:U$801,$W194)))</f>
        <v/>
      </c>
      <c r="V194" s="7">
        <f>IF($W194="","",IF(INDEX('Per Invoice'!V$2:V$801,$W194)="","",INDEX('Per Invoice'!V$2:V$801,$W194)))</f>
        <v/>
      </c>
      <c r="W194" s="16">
        <f>IFERROR(MATCH(Settings!$C$27&amp;"|"&amp;ROWS($W$2:$W194),'Per Invoice'!$X$2:$X$801,0),"")</f>
        <v/>
      </c>
    </row>
    <row r="195">
      <c r="A195">
        <f>IF($W195="","",IF(INDEX('Per Invoice'!A$2:A$801,$W195)="","",INDEX('Per Invoice'!A$2:A$801,$W195)))</f>
        <v/>
      </c>
      <c r="B195">
        <f>IF($W195="","",IF(INDEX('Per Invoice'!B$2:B$801,$W195)="","",INDEX('Per Invoice'!B$2:B$801,$W195)))</f>
        <v/>
      </c>
      <c r="C195">
        <f>IF($W195="","",IF(INDEX('Per Invoice'!C$2:C$801,$W195)="","",INDEX('Per Invoice'!C$2:C$801,$W195)))</f>
        <v/>
      </c>
      <c r="D195">
        <f>IF($W195="","",IF(INDEX('Per Invoice'!D$2:D$801,$W195)="","",INDEX('Per Invoice'!D$2:D$801,$W195)))</f>
        <v/>
      </c>
      <c r="E195">
        <f>IF($W195="","",IF(INDEX('Per Invoice'!E$2:E$801,$W195)="","",INDEX('Per Invoice'!E$2:E$801,$W195)))</f>
        <v/>
      </c>
      <c r="F195">
        <f>IF($W195="","",IF(INDEX('Per Invoice'!F$2:F$801,$W195)="","",INDEX('Per Invoice'!F$2:F$801,$W195)))</f>
        <v/>
      </c>
      <c r="G195">
        <f>IF($W195="","",IF(INDEX('Per Invoice'!G$2:G$801,$W195)="","",INDEX('Per Invoice'!G$2:G$801,$W195)))</f>
        <v/>
      </c>
      <c r="H195">
        <f>IF($W195="","",IF(INDEX('Per Invoice'!H$2:H$801,$W195)="","",INDEX('Per Invoice'!H$2:H$801,$W195)))</f>
        <v/>
      </c>
      <c r="I195">
        <f>IF($W195="","",IF(INDEX('Per Invoice'!I$2:I$801,$W195)="","",INDEX('Per Invoice'!I$2:I$801,$W195)))</f>
        <v/>
      </c>
      <c r="J195">
        <f>IF($W195="","",IF(INDEX('Per Invoice'!J$2:J$801,$W195)="","",INDEX('Per Invoice'!J$2:J$801,$W195)))</f>
        <v/>
      </c>
      <c r="K195" s="7">
        <f>IF($W195="","",IF(INDEX('Per Invoice'!K$2:K$801,$W195)="","",INDEX('Per Invoice'!K$2:K$801,$W195)))</f>
        <v/>
      </c>
      <c r="L195" s="14">
        <f>IF($W195="","",IF(INDEX('Per Invoice'!L$2:L$801,$W195)="","",INDEX('Per Invoice'!L$2:L$801,$W195)))</f>
        <v/>
      </c>
      <c r="M195">
        <f>IF($W195="","",IF(INDEX('Per Invoice'!M$2:M$801,$W195)="","",INDEX('Per Invoice'!M$2:M$801,$W195)))</f>
        <v/>
      </c>
      <c r="N195" s="7">
        <f>IF($W195="","",IF(INDEX('Per Invoice'!N$2:N$801,$W195)="","",INDEX('Per Invoice'!N$2:N$801,$W195)))</f>
        <v/>
      </c>
      <c r="O195" s="7">
        <f>IF($W195="","",IF(INDEX('Per Invoice'!O$2:O$801,$W195)="","",INDEX('Per Invoice'!O$2:O$801,$W195)))</f>
        <v/>
      </c>
      <c r="P195">
        <f>IF($W195="","",IF(INDEX('Per Invoice'!P$2:P$801,$W195)="","",INDEX('Per Invoice'!P$2:P$801,$W195)))</f>
        <v/>
      </c>
      <c r="Q195" s="7">
        <f>IF($W195="","",IF(INDEX('Per Invoice'!Q$2:Q$801,$W195)="","",INDEX('Per Invoice'!Q$2:Q$801,$W195)))</f>
        <v/>
      </c>
      <c r="R195" s="7">
        <f>IF($W195="","",IF(INDEX('Per Invoice'!R$2:R$801,$W195)="","",INDEX('Per Invoice'!R$2:R$801,$W195)))</f>
        <v/>
      </c>
      <c r="S195" s="7">
        <f>IF($W195="","",IF(INDEX('Per Invoice'!S$2:S$801,$W195)="","",INDEX('Per Invoice'!S$2:S$801,$W195)))</f>
        <v/>
      </c>
      <c r="T195" s="7">
        <f>IF($W195="","",IF(INDEX('Per Invoice'!T$2:T$801,$W195)="","",INDEX('Per Invoice'!T$2:T$801,$W195)))</f>
        <v/>
      </c>
      <c r="U195" s="7">
        <f>IF($W195="","",IF(INDEX('Per Invoice'!U$2:U$801,$W195)="","",INDEX('Per Invoice'!U$2:U$801,$W195)))</f>
        <v/>
      </c>
      <c r="V195" s="7">
        <f>IF($W195="","",IF(INDEX('Per Invoice'!V$2:V$801,$W195)="","",INDEX('Per Invoice'!V$2:V$801,$W195)))</f>
        <v/>
      </c>
      <c r="W195" s="16">
        <f>IFERROR(MATCH(Settings!$C$27&amp;"|"&amp;ROWS($W$2:$W195),'Per Invoice'!$X$2:$X$801,0),"")</f>
        <v/>
      </c>
    </row>
    <row r="196">
      <c r="A196">
        <f>IF($W196="","",IF(INDEX('Per Invoice'!A$2:A$801,$W196)="","",INDEX('Per Invoice'!A$2:A$801,$W196)))</f>
        <v/>
      </c>
      <c r="B196">
        <f>IF($W196="","",IF(INDEX('Per Invoice'!B$2:B$801,$W196)="","",INDEX('Per Invoice'!B$2:B$801,$W196)))</f>
        <v/>
      </c>
      <c r="C196">
        <f>IF($W196="","",IF(INDEX('Per Invoice'!C$2:C$801,$W196)="","",INDEX('Per Invoice'!C$2:C$801,$W196)))</f>
        <v/>
      </c>
      <c r="D196">
        <f>IF($W196="","",IF(INDEX('Per Invoice'!D$2:D$801,$W196)="","",INDEX('Per Invoice'!D$2:D$801,$W196)))</f>
        <v/>
      </c>
      <c r="E196">
        <f>IF($W196="","",IF(INDEX('Per Invoice'!E$2:E$801,$W196)="","",INDEX('Per Invoice'!E$2:E$801,$W196)))</f>
        <v/>
      </c>
      <c r="F196">
        <f>IF($W196="","",IF(INDEX('Per Invoice'!F$2:F$801,$W196)="","",INDEX('Per Invoice'!F$2:F$801,$W196)))</f>
        <v/>
      </c>
      <c r="G196">
        <f>IF($W196="","",IF(INDEX('Per Invoice'!G$2:G$801,$W196)="","",INDEX('Per Invoice'!G$2:G$801,$W196)))</f>
        <v/>
      </c>
      <c r="H196">
        <f>IF($W196="","",IF(INDEX('Per Invoice'!H$2:H$801,$W196)="","",INDEX('Per Invoice'!H$2:H$801,$W196)))</f>
        <v/>
      </c>
      <c r="I196">
        <f>IF($W196="","",IF(INDEX('Per Invoice'!I$2:I$801,$W196)="","",INDEX('Per Invoice'!I$2:I$801,$W196)))</f>
        <v/>
      </c>
      <c r="J196">
        <f>IF($W196="","",IF(INDEX('Per Invoice'!J$2:J$801,$W196)="","",INDEX('Per Invoice'!J$2:J$801,$W196)))</f>
        <v/>
      </c>
      <c r="K196" s="7">
        <f>IF($W196="","",IF(INDEX('Per Invoice'!K$2:K$801,$W196)="","",INDEX('Per Invoice'!K$2:K$801,$W196)))</f>
        <v/>
      </c>
      <c r="L196" s="14">
        <f>IF($W196="","",IF(INDEX('Per Invoice'!L$2:L$801,$W196)="","",INDEX('Per Invoice'!L$2:L$801,$W196)))</f>
        <v/>
      </c>
      <c r="M196">
        <f>IF($W196="","",IF(INDEX('Per Invoice'!M$2:M$801,$W196)="","",INDEX('Per Invoice'!M$2:M$801,$W196)))</f>
        <v/>
      </c>
      <c r="N196" s="7">
        <f>IF($W196="","",IF(INDEX('Per Invoice'!N$2:N$801,$W196)="","",INDEX('Per Invoice'!N$2:N$801,$W196)))</f>
        <v/>
      </c>
      <c r="O196" s="7">
        <f>IF($W196="","",IF(INDEX('Per Invoice'!O$2:O$801,$W196)="","",INDEX('Per Invoice'!O$2:O$801,$W196)))</f>
        <v/>
      </c>
      <c r="P196">
        <f>IF($W196="","",IF(INDEX('Per Invoice'!P$2:P$801,$W196)="","",INDEX('Per Invoice'!P$2:P$801,$W196)))</f>
        <v/>
      </c>
      <c r="Q196" s="7">
        <f>IF($W196="","",IF(INDEX('Per Invoice'!Q$2:Q$801,$W196)="","",INDEX('Per Invoice'!Q$2:Q$801,$W196)))</f>
        <v/>
      </c>
      <c r="R196" s="7">
        <f>IF($W196="","",IF(INDEX('Per Invoice'!R$2:R$801,$W196)="","",INDEX('Per Invoice'!R$2:R$801,$W196)))</f>
        <v/>
      </c>
      <c r="S196" s="7">
        <f>IF($W196="","",IF(INDEX('Per Invoice'!S$2:S$801,$W196)="","",INDEX('Per Invoice'!S$2:S$801,$W196)))</f>
        <v/>
      </c>
      <c r="T196" s="7">
        <f>IF($W196="","",IF(INDEX('Per Invoice'!T$2:T$801,$W196)="","",INDEX('Per Invoice'!T$2:T$801,$W196)))</f>
        <v/>
      </c>
      <c r="U196" s="7">
        <f>IF($W196="","",IF(INDEX('Per Invoice'!U$2:U$801,$W196)="","",INDEX('Per Invoice'!U$2:U$801,$W196)))</f>
        <v/>
      </c>
      <c r="V196" s="7">
        <f>IF($W196="","",IF(INDEX('Per Invoice'!V$2:V$801,$W196)="","",INDEX('Per Invoice'!V$2:V$801,$W196)))</f>
        <v/>
      </c>
      <c r="W196" s="16">
        <f>IFERROR(MATCH(Settings!$C$27&amp;"|"&amp;ROWS($W$2:$W196),'Per Invoice'!$X$2:$X$801,0),"")</f>
        <v/>
      </c>
    </row>
    <row r="197">
      <c r="A197">
        <f>IF($W197="","",IF(INDEX('Per Invoice'!A$2:A$801,$W197)="","",INDEX('Per Invoice'!A$2:A$801,$W197)))</f>
        <v/>
      </c>
      <c r="B197">
        <f>IF($W197="","",IF(INDEX('Per Invoice'!B$2:B$801,$W197)="","",INDEX('Per Invoice'!B$2:B$801,$W197)))</f>
        <v/>
      </c>
      <c r="C197">
        <f>IF($W197="","",IF(INDEX('Per Invoice'!C$2:C$801,$W197)="","",INDEX('Per Invoice'!C$2:C$801,$W197)))</f>
        <v/>
      </c>
      <c r="D197">
        <f>IF($W197="","",IF(INDEX('Per Invoice'!D$2:D$801,$W197)="","",INDEX('Per Invoice'!D$2:D$801,$W197)))</f>
        <v/>
      </c>
      <c r="E197">
        <f>IF($W197="","",IF(INDEX('Per Invoice'!E$2:E$801,$W197)="","",INDEX('Per Invoice'!E$2:E$801,$W197)))</f>
        <v/>
      </c>
      <c r="F197">
        <f>IF($W197="","",IF(INDEX('Per Invoice'!F$2:F$801,$W197)="","",INDEX('Per Invoice'!F$2:F$801,$W197)))</f>
        <v/>
      </c>
      <c r="G197">
        <f>IF($W197="","",IF(INDEX('Per Invoice'!G$2:G$801,$W197)="","",INDEX('Per Invoice'!G$2:G$801,$W197)))</f>
        <v/>
      </c>
      <c r="H197">
        <f>IF($W197="","",IF(INDEX('Per Invoice'!H$2:H$801,$W197)="","",INDEX('Per Invoice'!H$2:H$801,$W197)))</f>
        <v/>
      </c>
      <c r="I197">
        <f>IF($W197="","",IF(INDEX('Per Invoice'!I$2:I$801,$W197)="","",INDEX('Per Invoice'!I$2:I$801,$W197)))</f>
        <v/>
      </c>
      <c r="J197">
        <f>IF($W197="","",IF(INDEX('Per Invoice'!J$2:J$801,$W197)="","",INDEX('Per Invoice'!J$2:J$801,$W197)))</f>
        <v/>
      </c>
      <c r="K197" s="7">
        <f>IF($W197="","",IF(INDEX('Per Invoice'!K$2:K$801,$W197)="","",INDEX('Per Invoice'!K$2:K$801,$W197)))</f>
        <v/>
      </c>
      <c r="L197" s="14">
        <f>IF($W197="","",IF(INDEX('Per Invoice'!L$2:L$801,$W197)="","",INDEX('Per Invoice'!L$2:L$801,$W197)))</f>
        <v/>
      </c>
      <c r="M197">
        <f>IF($W197="","",IF(INDEX('Per Invoice'!M$2:M$801,$W197)="","",INDEX('Per Invoice'!M$2:M$801,$W197)))</f>
        <v/>
      </c>
      <c r="N197" s="7">
        <f>IF($W197="","",IF(INDEX('Per Invoice'!N$2:N$801,$W197)="","",INDEX('Per Invoice'!N$2:N$801,$W197)))</f>
        <v/>
      </c>
      <c r="O197" s="7">
        <f>IF($W197="","",IF(INDEX('Per Invoice'!O$2:O$801,$W197)="","",INDEX('Per Invoice'!O$2:O$801,$W197)))</f>
        <v/>
      </c>
      <c r="P197">
        <f>IF($W197="","",IF(INDEX('Per Invoice'!P$2:P$801,$W197)="","",INDEX('Per Invoice'!P$2:P$801,$W197)))</f>
        <v/>
      </c>
      <c r="Q197" s="7">
        <f>IF($W197="","",IF(INDEX('Per Invoice'!Q$2:Q$801,$W197)="","",INDEX('Per Invoice'!Q$2:Q$801,$W197)))</f>
        <v/>
      </c>
      <c r="R197" s="7">
        <f>IF($W197="","",IF(INDEX('Per Invoice'!R$2:R$801,$W197)="","",INDEX('Per Invoice'!R$2:R$801,$W197)))</f>
        <v/>
      </c>
      <c r="S197" s="7">
        <f>IF($W197="","",IF(INDEX('Per Invoice'!S$2:S$801,$W197)="","",INDEX('Per Invoice'!S$2:S$801,$W197)))</f>
        <v/>
      </c>
      <c r="T197" s="7">
        <f>IF($W197="","",IF(INDEX('Per Invoice'!T$2:T$801,$W197)="","",INDEX('Per Invoice'!T$2:T$801,$W197)))</f>
        <v/>
      </c>
      <c r="U197" s="7">
        <f>IF($W197="","",IF(INDEX('Per Invoice'!U$2:U$801,$W197)="","",INDEX('Per Invoice'!U$2:U$801,$W197)))</f>
        <v/>
      </c>
      <c r="V197" s="7">
        <f>IF($W197="","",IF(INDEX('Per Invoice'!V$2:V$801,$W197)="","",INDEX('Per Invoice'!V$2:V$801,$W197)))</f>
        <v/>
      </c>
      <c r="W197" s="16">
        <f>IFERROR(MATCH(Settings!$C$27&amp;"|"&amp;ROWS($W$2:$W197),'Per Invoice'!$X$2:$X$801,0),"")</f>
        <v/>
      </c>
    </row>
    <row r="198">
      <c r="A198">
        <f>IF($W198="","",IF(INDEX('Per Invoice'!A$2:A$801,$W198)="","",INDEX('Per Invoice'!A$2:A$801,$W198)))</f>
        <v/>
      </c>
      <c r="B198">
        <f>IF($W198="","",IF(INDEX('Per Invoice'!B$2:B$801,$W198)="","",INDEX('Per Invoice'!B$2:B$801,$W198)))</f>
        <v/>
      </c>
      <c r="C198">
        <f>IF($W198="","",IF(INDEX('Per Invoice'!C$2:C$801,$W198)="","",INDEX('Per Invoice'!C$2:C$801,$W198)))</f>
        <v/>
      </c>
      <c r="D198">
        <f>IF($W198="","",IF(INDEX('Per Invoice'!D$2:D$801,$W198)="","",INDEX('Per Invoice'!D$2:D$801,$W198)))</f>
        <v/>
      </c>
      <c r="E198">
        <f>IF($W198="","",IF(INDEX('Per Invoice'!E$2:E$801,$W198)="","",INDEX('Per Invoice'!E$2:E$801,$W198)))</f>
        <v/>
      </c>
      <c r="F198">
        <f>IF($W198="","",IF(INDEX('Per Invoice'!F$2:F$801,$W198)="","",INDEX('Per Invoice'!F$2:F$801,$W198)))</f>
        <v/>
      </c>
      <c r="G198">
        <f>IF($W198="","",IF(INDEX('Per Invoice'!G$2:G$801,$W198)="","",INDEX('Per Invoice'!G$2:G$801,$W198)))</f>
        <v/>
      </c>
      <c r="H198">
        <f>IF($W198="","",IF(INDEX('Per Invoice'!H$2:H$801,$W198)="","",INDEX('Per Invoice'!H$2:H$801,$W198)))</f>
        <v/>
      </c>
      <c r="I198">
        <f>IF($W198="","",IF(INDEX('Per Invoice'!I$2:I$801,$W198)="","",INDEX('Per Invoice'!I$2:I$801,$W198)))</f>
        <v/>
      </c>
      <c r="J198">
        <f>IF($W198="","",IF(INDEX('Per Invoice'!J$2:J$801,$W198)="","",INDEX('Per Invoice'!J$2:J$801,$W198)))</f>
        <v/>
      </c>
      <c r="K198" s="7">
        <f>IF($W198="","",IF(INDEX('Per Invoice'!K$2:K$801,$W198)="","",INDEX('Per Invoice'!K$2:K$801,$W198)))</f>
        <v/>
      </c>
      <c r="L198" s="14">
        <f>IF($W198="","",IF(INDEX('Per Invoice'!L$2:L$801,$W198)="","",INDEX('Per Invoice'!L$2:L$801,$W198)))</f>
        <v/>
      </c>
      <c r="M198">
        <f>IF($W198="","",IF(INDEX('Per Invoice'!M$2:M$801,$W198)="","",INDEX('Per Invoice'!M$2:M$801,$W198)))</f>
        <v/>
      </c>
      <c r="N198" s="7">
        <f>IF($W198="","",IF(INDEX('Per Invoice'!N$2:N$801,$W198)="","",INDEX('Per Invoice'!N$2:N$801,$W198)))</f>
        <v/>
      </c>
      <c r="O198" s="7">
        <f>IF($W198="","",IF(INDEX('Per Invoice'!O$2:O$801,$W198)="","",INDEX('Per Invoice'!O$2:O$801,$W198)))</f>
        <v/>
      </c>
      <c r="P198">
        <f>IF($W198="","",IF(INDEX('Per Invoice'!P$2:P$801,$W198)="","",INDEX('Per Invoice'!P$2:P$801,$W198)))</f>
        <v/>
      </c>
      <c r="Q198" s="7">
        <f>IF($W198="","",IF(INDEX('Per Invoice'!Q$2:Q$801,$W198)="","",INDEX('Per Invoice'!Q$2:Q$801,$W198)))</f>
        <v/>
      </c>
      <c r="R198" s="7">
        <f>IF($W198="","",IF(INDEX('Per Invoice'!R$2:R$801,$W198)="","",INDEX('Per Invoice'!R$2:R$801,$W198)))</f>
        <v/>
      </c>
      <c r="S198" s="7">
        <f>IF($W198="","",IF(INDEX('Per Invoice'!S$2:S$801,$W198)="","",INDEX('Per Invoice'!S$2:S$801,$W198)))</f>
        <v/>
      </c>
      <c r="T198" s="7">
        <f>IF($W198="","",IF(INDEX('Per Invoice'!T$2:T$801,$W198)="","",INDEX('Per Invoice'!T$2:T$801,$W198)))</f>
        <v/>
      </c>
      <c r="U198" s="7">
        <f>IF($W198="","",IF(INDEX('Per Invoice'!U$2:U$801,$W198)="","",INDEX('Per Invoice'!U$2:U$801,$W198)))</f>
        <v/>
      </c>
      <c r="V198" s="7">
        <f>IF($W198="","",IF(INDEX('Per Invoice'!V$2:V$801,$W198)="","",INDEX('Per Invoice'!V$2:V$801,$W198)))</f>
        <v/>
      </c>
      <c r="W198" s="16">
        <f>IFERROR(MATCH(Settings!$C$27&amp;"|"&amp;ROWS($W$2:$W198),'Per Invoice'!$X$2:$X$801,0),"")</f>
        <v/>
      </c>
    </row>
    <row r="199">
      <c r="A199">
        <f>IF($W199="","",IF(INDEX('Per Invoice'!A$2:A$801,$W199)="","",INDEX('Per Invoice'!A$2:A$801,$W199)))</f>
        <v/>
      </c>
      <c r="B199">
        <f>IF($W199="","",IF(INDEX('Per Invoice'!B$2:B$801,$W199)="","",INDEX('Per Invoice'!B$2:B$801,$W199)))</f>
        <v/>
      </c>
      <c r="C199">
        <f>IF($W199="","",IF(INDEX('Per Invoice'!C$2:C$801,$W199)="","",INDEX('Per Invoice'!C$2:C$801,$W199)))</f>
        <v/>
      </c>
      <c r="D199">
        <f>IF($W199="","",IF(INDEX('Per Invoice'!D$2:D$801,$W199)="","",INDEX('Per Invoice'!D$2:D$801,$W199)))</f>
        <v/>
      </c>
      <c r="E199">
        <f>IF($W199="","",IF(INDEX('Per Invoice'!E$2:E$801,$W199)="","",INDEX('Per Invoice'!E$2:E$801,$W199)))</f>
        <v/>
      </c>
      <c r="F199">
        <f>IF($W199="","",IF(INDEX('Per Invoice'!F$2:F$801,$W199)="","",INDEX('Per Invoice'!F$2:F$801,$W199)))</f>
        <v/>
      </c>
      <c r="G199">
        <f>IF($W199="","",IF(INDEX('Per Invoice'!G$2:G$801,$W199)="","",INDEX('Per Invoice'!G$2:G$801,$W199)))</f>
        <v/>
      </c>
      <c r="H199">
        <f>IF($W199="","",IF(INDEX('Per Invoice'!H$2:H$801,$W199)="","",INDEX('Per Invoice'!H$2:H$801,$W199)))</f>
        <v/>
      </c>
      <c r="I199">
        <f>IF($W199="","",IF(INDEX('Per Invoice'!I$2:I$801,$W199)="","",INDEX('Per Invoice'!I$2:I$801,$W199)))</f>
        <v/>
      </c>
      <c r="J199">
        <f>IF($W199="","",IF(INDEX('Per Invoice'!J$2:J$801,$W199)="","",INDEX('Per Invoice'!J$2:J$801,$W199)))</f>
        <v/>
      </c>
      <c r="K199" s="7">
        <f>IF($W199="","",IF(INDEX('Per Invoice'!K$2:K$801,$W199)="","",INDEX('Per Invoice'!K$2:K$801,$W199)))</f>
        <v/>
      </c>
      <c r="L199" s="14">
        <f>IF($W199="","",IF(INDEX('Per Invoice'!L$2:L$801,$W199)="","",INDEX('Per Invoice'!L$2:L$801,$W199)))</f>
        <v/>
      </c>
      <c r="M199">
        <f>IF($W199="","",IF(INDEX('Per Invoice'!M$2:M$801,$W199)="","",INDEX('Per Invoice'!M$2:M$801,$W199)))</f>
        <v/>
      </c>
      <c r="N199" s="7">
        <f>IF($W199="","",IF(INDEX('Per Invoice'!N$2:N$801,$W199)="","",INDEX('Per Invoice'!N$2:N$801,$W199)))</f>
        <v/>
      </c>
      <c r="O199" s="7">
        <f>IF($W199="","",IF(INDEX('Per Invoice'!O$2:O$801,$W199)="","",INDEX('Per Invoice'!O$2:O$801,$W199)))</f>
        <v/>
      </c>
      <c r="P199">
        <f>IF($W199="","",IF(INDEX('Per Invoice'!P$2:P$801,$W199)="","",INDEX('Per Invoice'!P$2:P$801,$W199)))</f>
        <v/>
      </c>
      <c r="Q199" s="7">
        <f>IF($W199="","",IF(INDEX('Per Invoice'!Q$2:Q$801,$W199)="","",INDEX('Per Invoice'!Q$2:Q$801,$W199)))</f>
        <v/>
      </c>
      <c r="R199" s="7">
        <f>IF($W199="","",IF(INDEX('Per Invoice'!R$2:R$801,$W199)="","",INDEX('Per Invoice'!R$2:R$801,$W199)))</f>
        <v/>
      </c>
      <c r="S199" s="7">
        <f>IF($W199="","",IF(INDEX('Per Invoice'!S$2:S$801,$W199)="","",INDEX('Per Invoice'!S$2:S$801,$W199)))</f>
        <v/>
      </c>
      <c r="T199" s="7">
        <f>IF($W199="","",IF(INDEX('Per Invoice'!T$2:T$801,$W199)="","",INDEX('Per Invoice'!T$2:T$801,$W199)))</f>
        <v/>
      </c>
      <c r="U199" s="7">
        <f>IF($W199="","",IF(INDEX('Per Invoice'!U$2:U$801,$W199)="","",INDEX('Per Invoice'!U$2:U$801,$W199)))</f>
        <v/>
      </c>
      <c r="V199" s="7">
        <f>IF($W199="","",IF(INDEX('Per Invoice'!V$2:V$801,$W199)="","",INDEX('Per Invoice'!V$2:V$801,$W199)))</f>
        <v/>
      </c>
      <c r="W199" s="16">
        <f>IFERROR(MATCH(Settings!$C$27&amp;"|"&amp;ROWS($W$2:$W199),'Per Invoice'!$X$2:$X$801,0),"")</f>
        <v/>
      </c>
    </row>
    <row r="200">
      <c r="A200">
        <f>IF($W200="","",IF(INDEX('Per Invoice'!A$2:A$801,$W200)="","",INDEX('Per Invoice'!A$2:A$801,$W200)))</f>
        <v/>
      </c>
      <c r="B200">
        <f>IF($W200="","",IF(INDEX('Per Invoice'!B$2:B$801,$W200)="","",INDEX('Per Invoice'!B$2:B$801,$W200)))</f>
        <v/>
      </c>
      <c r="C200">
        <f>IF($W200="","",IF(INDEX('Per Invoice'!C$2:C$801,$W200)="","",INDEX('Per Invoice'!C$2:C$801,$W200)))</f>
        <v/>
      </c>
      <c r="D200">
        <f>IF($W200="","",IF(INDEX('Per Invoice'!D$2:D$801,$W200)="","",INDEX('Per Invoice'!D$2:D$801,$W200)))</f>
        <v/>
      </c>
      <c r="E200">
        <f>IF($W200="","",IF(INDEX('Per Invoice'!E$2:E$801,$W200)="","",INDEX('Per Invoice'!E$2:E$801,$W200)))</f>
        <v/>
      </c>
      <c r="F200">
        <f>IF($W200="","",IF(INDEX('Per Invoice'!F$2:F$801,$W200)="","",INDEX('Per Invoice'!F$2:F$801,$W200)))</f>
        <v/>
      </c>
      <c r="G200">
        <f>IF($W200="","",IF(INDEX('Per Invoice'!G$2:G$801,$W200)="","",INDEX('Per Invoice'!G$2:G$801,$W200)))</f>
        <v/>
      </c>
      <c r="H200">
        <f>IF($W200="","",IF(INDEX('Per Invoice'!H$2:H$801,$W200)="","",INDEX('Per Invoice'!H$2:H$801,$W200)))</f>
        <v/>
      </c>
      <c r="I200">
        <f>IF($W200="","",IF(INDEX('Per Invoice'!I$2:I$801,$W200)="","",INDEX('Per Invoice'!I$2:I$801,$W200)))</f>
        <v/>
      </c>
      <c r="J200">
        <f>IF($W200="","",IF(INDEX('Per Invoice'!J$2:J$801,$W200)="","",INDEX('Per Invoice'!J$2:J$801,$W200)))</f>
        <v/>
      </c>
      <c r="K200" s="7">
        <f>IF($W200="","",IF(INDEX('Per Invoice'!K$2:K$801,$W200)="","",INDEX('Per Invoice'!K$2:K$801,$W200)))</f>
        <v/>
      </c>
      <c r="L200" s="14">
        <f>IF($W200="","",IF(INDEX('Per Invoice'!L$2:L$801,$W200)="","",INDEX('Per Invoice'!L$2:L$801,$W200)))</f>
        <v/>
      </c>
      <c r="M200">
        <f>IF($W200="","",IF(INDEX('Per Invoice'!M$2:M$801,$W200)="","",INDEX('Per Invoice'!M$2:M$801,$W200)))</f>
        <v/>
      </c>
      <c r="N200" s="7">
        <f>IF($W200="","",IF(INDEX('Per Invoice'!N$2:N$801,$W200)="","",INDEX('Per Invoice'!N$2:N$801,$W200)))</f>
        <v/>
      </c>
      <c r="O200" s="7">
        <f>IF($W200="","",IF(INDEX('Per Invoice'!O$2:O$801,$W200)="","",INDEX('Per Invoice'!O$2:O$801,$W200)))</f>
        <v/>
      </c>
      <c r="P200">
        <f>IF($W200="","",IF(INDEX('Per Invoice'!P$2:P$801,$W200)="","",INDEX('Per Invoice'!P$2:P$801,$W200)))</f>
        <v/>
      </c>
      <c r="Q200" s="7">
        <f>IF($W200="","",IF(INDEX('Per Invoice'!Q$2:Q$801,$W200)="","",INDEX('Per Invoice'!Q$2:Q$801,$W200)))</f>
        <v/>
      </c>
      <c r="R200" s="7">
        <f>IF($W200="","",IF(INDEX('Per Invoice'!R$2:R$801,$W200)="","",INDEX('Per Invoice'!R$2:R$801,$W200)))</f>
        <v/>
      </c>
      <c r="S200" s="7">
        <f>IF($W200="","",IF(INDEX('Per Invoice'!S$2:S$801,$W200)="","",INDEX('Per Invoice'!S$2:S$801,$W200)))</f>
        <v/>
      </c>
      <c r="T200" s="7">
        <f>IF($W200="","",IF(INDEX('Per Invoice'!T$2:T$801,$W200)="","",INDEX('Per Invoice'!T$2:T$801,$W200)))</f>
        <v/>
      </c>
      <c r="U200" s="7">
        <f>IF($W200="","",IF(INDEX('Per Invoice'!U$2:U$801,$W200)="","",INDEX('Per Invoice'!U$2:U$801,$W200)))</f>
        <v/>
      </c>
      <c r="V200" s="7">
        <f>IF($W200="","",IF(INDEX('Per Invoice'!V$2:V$801,$W200)="","",INDEX('Per Invoice'!V$2:V$801,$W200)))</f>
        <v/>
      </c>
      <c r="W200" s="16">
        <f>IFERROR(MATCH(Settings!$C$27&amp;"|"&amp;ROWS($W$2:$W200),'Per Invoice'!$X$2:$X$801,0),"")</f>
        <v/>
      </c>
    </row>
    <row r="201">
      <c r="A201">
        <f>IF($W201="","",IF(INDEX('Per Invoice'!A$2:A$801,$W201)="","",INDEX('Per Invoice'!A$2:A$801,$W201)))</f>
        <v/>
      </c>
      <c r="B201">
        <f>IF($W201="","",IF(INDEX('Per Invoice'!B$2:B$801,$W201)="","",INDEX('Per Invoice'!B$2:B$801,$W201)))</f>
        <v/>
      </c>
      <c r="C201">
        <f>IF($W201="","",IF(INDEX('Per Invoice'!C$2:C$801,$W201)="","",INDEX('Per Invoice'!C$2:C$801,$W201)))</f>
        <v/>
      </c>
      <c r="D201">
        <f>IF($W201="","",IF(INDEX('Per Invoice'!D$2:D$801,$W201)="","",INDEX('Per Invoice'!D$2:D$801,$W201)))</f>
        <v/>
      </c>
      <c r="E201">
        <f>IF($W201="","",IF(INDEX('Per Invoice'!E$2:E$801,$W201)="","",INDEX('Per Invoice'!E$2:E$801,$W201)))</f>
        <v/>
      </c>
      <c r="F201">
        <f>IF($W201="","",IF(INDEX('Per Invoice'!F$2:F$801,$W201)="","",INDEX('Per Invoice'!F$2:F$801,$W201)))</f>
        <v/>
      </c>
      <c r="G201">
        <f>IF($W201="","",IF(INDEX('Per Invoice'!G$2:G$801,$W201)="","",INDEX('Per Invoice'!G$2:G$801,$W201)))</f>
        <v/>
      </c>
      <c r="H201">
        <f>IF($W201="","",IF(INDEX('Per Invoice'!H$2:H$801,$W201)="","",INDEX('Per Invoice'!H$2:H$801,$W201)))</f>
        <v/>
      </c>
      <c r="I201">
        <f>IF($W201="","",IF(INDEX('Per Invoice'!I$2:I$801,$W201)="","",INDEX('Per Invoice'!I$2:I$801,$W201)))</f>
        <v/>
      </c>
      <c r="J201">
        <f>IF($W201="","",IF(INDEX('Per Invoice'!J$2:J$801,$W201)="","",INDEX('Per Invoice'!J$2:J$801,$W201)))</f>
        <v/>
      </c>
      <c r="K201" s="7">
        <f>IF($W201="","",IF(INDEX('Per Invoice'!K$2:K$801,$W201)="","",INDEX('Per Invoice'!K$2:K$801,$W201)))</f>
        <v/>
      </c>
      <c r="L201" s="14">
        <f>IF($W201="","",IF(INDEX('Per Invoice'!L$2:L$801,$W201)="","",INDEX('Per Invoice'!L$2:L$801,$W201)))</f>
        <v/>
      </c>
      <c r="M201">
        <f>IF($W201="","",IF(INDEX('Per Invoice'!M$2:M$801,$W201)="","",INDEX('Per Invoice'!M$2:M$801,$W201)))</f>
        <v/>
      </c>
      <c r="N201" s="7">
        <f>IF($W201="","",IF(INDEX('Per Invoice'!N$2:N$801,$W201)="","",INDEX('Per Invoice'!N$2:N$801,$W201)))</f>
        <v/>
      </c>
      <c r="O201" s="7">
        <f>IF($W201="","",IF(INDEX('Per Invoice'!O$2:O$801,$W201)="","",INDEX('Per Invoice'!O$2:O$801,$W201)))</f>
        <v/>
      </c>
      <c r="P201">
        <f>IF($W201="","",IF(INDEX('Per Invoice'!P$2:P$801,$W201)="","",INDEX('Per Invoice'!P$2:P$801,$W201)))</f>
        <v/>
      </c>
      <c r="Q201" s="7">
        <f>IF($W201="","",IF(INDEX('Per Invoice'!Q$2:Q$801,$W201)="","",INDEX('Per Invoice'!Q$2:Q$801,$W201)))</f>
        <v/>
      </c>
      <c r="R201" s="7">
        <f>IF($W201="","",IF(INDEX('Per Invoice'!R$2:R$801,$W201)="","",INDEX('Per Invoice'!R$2:R$801,$W201)))</f>
        <v/>
      </c>
      <c r="S201" s="7">
        <f>IF($W201="","",IF(INDEX('Per Invoice'!S$2:S$801,$W201)="","",INDEX('Per Invoice'!S$2:S$801,$W201)))</f>
        <v/>
      </c>
      <c r="T201" s="7">
        <f>IF($W201="","",IF(INDEX('Per Invoice'!T$2:T$801,$W201)="","",INDEX('Per Invoice'!T$2:T$801,$W201)))</f>
        <v/>
      </c>
      <c r="U201" s="7">
        <f>IF($W201="","",IF(INDEX('Per Invoice'!U$2:U$801,$W201)="","",INDEX('Per Invoice'!U$2:U$801,$W201)))</f>
        <v/>
      </c>
      <c r="V201" s="7">
        <f>IF($W201="","",IF(INDEX('Per Invoice'!V$2:V$801,$W201)="","",INDEX('Per Invoice'!V$2:V$801,$W201)))</f>
        <v/>
      </c>
      <c r="W201" s="16">
        <f>IFERROR(MATCH(Settings!$C$27&amp;"|"&amp;ROWS($W$2:$W201),'Per Invoice'!$X$2:$X$801,0),"")</f>
        <v/>
      </c>
    </row>
    <row r="202">
      <c r="A202">
        <f>IF($W202="","",IF(INDEX('Per Invoice'!A$2:A$801,$W202)="","",INDEX('Per Invoice'!A$2:A$801,$W202)))</f>
        <v/>
      </c>
      <c r="B202">
        <f>IF($W202="","",IF(INDEX('Per Invoice'!B$2:B$801,$W202)="","",INDEX('Per Invoice'!B$2:B$801,$W202)))</f>
        <v/>
      </c>
      <c r="C202">
        <f>IF($W202="","",IF(INDEX('Per Invoice'!C$2:C$801,$W202)="","",INDEX('Per Invoice'!C$2:C$801,$W202)))</f>
        <v/>
      </c>
      <c r="D202">
        <f>IF($W202="","",IF(INDEX('Per Invoice'!D$2:D$801,$W202)="","",INDEX('Per Invoice'!D$2:D$801,$W202)))</f>
        <v/>
      </c>
      <c r="E202">
        <f>IF($W202="","",IF(INDEX('Per Invoice'!E$2:E$801,$W202)="","",INDEX('Per Invoice'!E$2:E$801,$W202)))</f>
        <v/>
      </c>
      <c r="F202">
        <f>IF($W202="","",IF(INDEX('Per Invoice'!F$2:F$801,$W202)="","",INDEX('Per Invoice'!F$2:F$801,$W202)))</f>
        <v/>
      </c>
      <c r="G202">
        <f>IF($W202="","",IF(INDEX('Per Invoice'!G$2:G$801,$W202)="","",INDEX('Per Invoice'!G$2:G$801,$W202)))</f>
        <v/>
      </c>
      <c r="H202">
        <f>IF($W202="","",IF(INDEX('Per Invoice'!H$2:H$801,$W202)="","",INDEX('Per Invoice'!H$2:H$801,$W202)))</f>
        <v/>
      </c>
      <c r="I202">
        <f>IF($W202="","",IF(INDEX('Per Invoice'!I$2:I$801,$W202)="","",INDEX('Per Invoice'!I$2:I$801,$W202)))</f>
        <v/>
      </c>
      <c r="J202">
        <f>IF($W202="","",IF(INDEX('Per Invoice'!J$2:J$801,$W202)="","",INDEX('Per Invoice'!J$2:J$801,$W202)))</f>
        <v/>
      </c>
      <c r="K202" s="7">
        <f>IF($W202="","",IF(INDEX('Per Invoice'!K$2:K$801,$W202)="","",INDEX('Per Invoice'!K$2:K$801,$W202)))</f>
        <v/>
      </c>
      <c r="L202" s="14">
        <f>IF($W202="","",IF(INDEX('Per Invoice'!L$2:L$801,$W202)="","",INDEX('Per Invoice'!L$2:L$801,$W202)))</f>
        <v/>
      </c>
      <c r="M202">
        <f>IF($W202="","",IF(INDEX('Per Invoice'!M$2:M$801,$W202)="","",INDEX('Per Invoice'!M$2:M$801,$W202)))</f>
        <v/>
      </c>
      <c r="N202" s="7">
        <f>IF($W202="","",IF(INDEX('Per Invoice'!N$2:N$801,$W202)="","",INDEX('Per Invoice'!N$2:N$801,$W202)))</f>
        <v/>
      </c>
      <c r="O202" s="7">
        <f>IF($W202="","",IF(INDEX('Per Invoice'!O$2:O$801,$W202)="","",INDEX('Per Invoice'!O$2:O$801,$W202)))</f>
        <v/>
      </c>
      <c r="P202">
        <f>IF($W202="","",IF(INDEX('Per Invoice'!P$2:P$801,$W202)="","",INDEX('Per Invoice'!P$2:P$801,$W202)))</f>
        <v/>
      </c>
      <c r="Q202" s="7">
        <f>IF($W202="","",IF(INDEX('Per Invoice'!Q$2:Q$801,$W202)="","",INDEX('Per Invoice'!Q$2:Q$801,$W202)))</f>
        <v/>
      </c>
      <c r="R202" s="7">
        <f>IF($W202="","",IF(INDEX('Per Invoice'!R$2:R$801,$W202)="","",INDEX('Per Invoice'!R$2:R$801,$W202)))</f>
        <v/>
      </c>
      <c r="S202" s="7">
        <f>IF($W202="","",IF(INDEX('Per Invoice'!S$2:S$801,$W202)="","",INDEX('Per Invoice'!S$2:S$801,$W202)))</f>
        <v/>
      </c>
      <c r="T202" s="7">
        <f>IF($W202="","",IF(INDEX('Per Invoice'!T$2:T$801,$W202)="","",INDEX('Per Invoice'!T$2:T$801,$W202)))</f>
        <v/>
      </c>
      <c r="U202" s="7">
        <f>IF($W202="","",IF(INDEX('Per Invoice'!U$2:U$801,$W202)="","",INDEX('Per Invoice'!U$2:U$801,$W202)))</f>
        <v/>
      </c>
      <c r="V202" s="7">
        <f>IF($W202="","",IF(INDEX('Per Invoice'!V$2:V$801,$W202)="","",INDEX('Per Invoice'!V$2:V$801,$W202)))</f>
        <v/>
      </c>
      <c r="W202" s="16">
        <f>IFERROR(MATCH(Settings!$C$27&amp;"|"&amp;ROWS($W$2:$W202),'Per Invoice'!$X$2:$X$801,0),"")</f>
        <v/>
      </c>
    </row>
    <row r="203">
      <c r="A203">
        <f>IF($W203="","",IF(INDEX('Per Invoice'!A$2:A$801,$W203)="","",INDEX('Per Invoice'!A$2:A$801,$W203)))</f>
        <v/>
      </c>
      <c r="B203">
        <f>IF($W203="","",IF(INDEX('Per Invoice'!B$2:B$801,$W203)="","",INDEX('Per Invoice'!B$2:B$801,$W203)))</f>
        <v/>
      </c>
      <c r="C203">
        <f>IF($W203="","",IF(INDEX('Per Invoice'!C$2:C$801,$W203)="","",INDEX('Per Invoice'!C$2:C$801,$W203)))</f>
        <v/>
      </c>
      <c r="D203">
        <f>IF($W203="","",IF(INDEX('Per Invoice'!D$2:D$801,$W203)="","",INDEX('Per Invoice'!D$2:D$801,$W203)))</f>
        <v/>
      </c>
      <c r="E203">
        <f>IF($W203="","",IF(INDEX('Per Invoice'!E$2:E$801,$W203)="","",INDEX('Per Invoice'!E$2:E$801,$W203)))</f>
        <v/>
      </c>
      <c r="F203">
        <f>IF($W203="","",IF(INDEX('Per Invoice'!F$2:F$801,$W203)="","",INDEX('Per Invoice'!F$2:F$801,$W203)))</f>
        <v/>
      </c>
      <c r="G203">
        <f>IF($W203="","",IF(INDEX('Per Invoice'!G$2:G$801,$W203)="","",INDEX('Per Invoice'!G$2:G$801,$W203)))</f>
        <v/>
      </c>
      <c r="H203">
        <f>IF($W203="","",IF(INDEX('Per Invoice'!H$2:H$801,$W203)="","",INDEX('Per Invoice'!H$2:H$801,$W203)))</f>
        <v/>
      </c>
      <c r="I203">
        <f>IF($W203="","",IF(INDEX('Per Invoice'!I$2:I$801,$W203)="","",INDEX('Per Invoice'!I$2:I$801,$W203)))</f>
        <v/>
      </c>
      <c r="J203">
        <f>IF($W203="","",IF(INDEX('Per Invoice'!J$2:J$801,$W203)="","",INDEX('Per Invoice'!J$2:J$801,$W203)))</f>
        <v/>
      </c>
      <c r="K203" s="7">
        <f>IF($W203="","",IF(INDEX('Per Invoice'!K$2:K$801,$W203)="","",INDEX('Per Invoice'!K$2:K$801,$W203)))</f>
        <v/>
      </c>
      <c r="L203" s="14">
        <f>IF($W203="","",IF(INDEX('Per Invoice'!L$2:L$801,$W203)="","",INDEX('Per Invoice'!L$2:L$801,$W203)))</f>
        <v/>
      </c>
      <c r="M203">
        <f>IF($W203="","",IF(INDEX('Per Invoice'!M$2:M$801,$W203)="","",INDEX('Per Invoice'!M$2:M$801,$W203)))</f>
        <v/>
      </c>
      <c r="N203" s="7">
        <f>IF($W203="","",IF(INDEX('Per Invoice'!N$2:N$801,$W203)="","",INDEX('Per Invoice'!N$2:N$801,$W203)))</f>
        <v/>
      </c>
      <c r="O203" s="7">
        <f>IF($W203="","",IF(INDEX('Per Invoice'!O$2:O$801,$W203)="","",INDEX('Per Invoice'!O$2:O$801,$W203)))</f>
        <v/>
      </c>
      <c r="P203">
        <f>IF($W203="","",IF(INDEX('Per Invoice'!P$2:P$801,$W203)="","",INDEX('Per Invoice'!P$2:P$801,$W203)))</f>
        <v/>
      </c>
      <c r="Q203" s="7">
        <f>IF($W203="","",IF(INDEX('Per Invoice'!Q$2:Q$801,$W203)="","",INDEX('Per Invoice'!Q$2:Q$801,$W203)))</f>
        <v/>
      </c>
      <c r="R203" s="7">
        <f>IF($W203="","",IF(INDEX('Per Invoice'!R$2:R$801,$W203)="","",INDEX('Per Invoice'!R$2:R$801,$W203)))</f>
        <v/>
      </c>
      <c r="S203" s="7">
        <f>IF($W203="","",IF(INDEX('Per Invoice'!S$2:S$801,$W203)="","",INDEX('Per Invoice'!S$2:S$801,$W203)))</f>
        <v/>
      </c>
      <c r="T203" s="7">
        <f>IF($W203="","",IF(INDEX('Per Invoice'!T$2:T$801,$W203)="","",INDEX('Per Invoice'!T$2:T$801,$W203)))</f>
        <v/>
      </c>
      <c r="U203" s="7">
        <f>IF($W203="","",IF(INDEX('Per Invoice'!U$2:U$801,$W203)="","",INDEX('Per Invoice'!U$2:U$801,$W203)))</f>
        <v/>
      </c>
      <c r="V203" s="7">
        <f>IF($W203="","",IF(INDEX('Per Invoice'!V$2:V$801,$W203)="","",INDEX('Per Invoice'!V$2:V$801,$W203)))</f>
        <v/>
      </c>
      <c r="W203" s="16">
        <f>IFERROR(MATCH(Settings!$C$27&amp;"|"&amp;ROWS($W$2:$W203),'Per Invoice'!$X$2:$X$801,0),"")</f>
        <v/>
      </c>
    </row>
    <row r="204">
      <c r="A204">
        <f>IF($W204="","",IF(INDEX('Per Invoice'!A$2:A$801,$W204)="","",INDEX('Per Invoice'!A$2:A$801,$W204)))</f>
        <v/>
      </c>
      <c r="B204">
        <f>IF($W204="","",IF(INDEX('Per Invoice'!B$2:B$801,$W204)="","",INDEX('Per Invoice'!B$2:B$801,$W204)))</f>
        <v/>
      </c>
      <c r="C204">
        <f>IF($W204="","",IF(INDEX('Per Invoice'!C$2:C$801,$W204)="","",INDEX('Per Invoice'!C$2:C$801,$W204)))</f>
        <v/>
      </c>
      <c r="D204">
        <f>IF($W204="","",IF(INDEX('Per Invoice'!D$2:D$801,$W204)="","",INDEX('Per Invoice'!D$2:D$801,$W204)))</f>
        <v/>
      </c>
      <c r="E204">
        <f>IF($W204="","",IF(INDEX('Per Invoice'!E$2:E$801,$W204)="","",INDEX('Per Invoice'!E$2:E$801,$W204)))</f>
        <v/>
      </c>
      <c r="F204">
        <f>IF($W204="","",IF(INDEX('Per Invoice'!F$2:F$801,$W204)="","",INDEX('Per Invoice'!F$2:F$801,$W204)))</f>
        <v/>
      </c>
      <c r="G204">
        <f>IF($W204="","",IF(INDEX('Per Invoice'!G$2:G$801,$W204)="","",INDEX('Per Invoice'!G$2:G$801,$W204)))</f>
        <v/>
      </c>
      <c r="H204">
        <f>IF($W204="","",IF(INDEX('Per Invoice'!H$2:H$801,$W204)="","",INDEX('Per Invoice'!H$2:H$801,$W204)))</f>
        <v/>
      </c>
      <c r="I204">
        <f>IF($W204="","",IF(INDEX('Per Invoice'!I$2:I$801,$W204)="","",INDEX('Per Invoice'!I$2:I$801,$W204)))</f>
        <v/>
      </c>
      <c r="J204">
        <f>IF($W204="","",IF(INDEX('Per Invoice'!J$2:J$801,$W204)="","",INDEX('Per Invoice'!J$2:J$801,$W204)))</f>
        <v/>
      </c>
      <c r="K204" s="7">
        <f>IF($W204="","",IF(INDEX('Per Invoice'!K$2:K$801,$W204)="","",INDEX('Per Invoice'!K$2:K$801,$W204)))</f>
        <v/>
      </c>
      <c r="L204" s="14">
        <f>IF($W204="","",IF(INDEX('Per Invoice'!L$2:L$801,$W204)="","",INDEX('Per Invoice'!L$2:L$801,$W204)))</f>
        <v/>
      </c>
      <c r="M204">
        <f>IF($W204="","",IF(INDEX('Per Invoice'!M$2:M$801,$W204)="","",INDEX('Per Invoice'!M$2:M$801,$W204)))</f>
        <v/>
      </c>
      <c r="N204" s="7">
        <f>IF($W204="","",IF(INDEX('Per Invoice'!N$2:N$801,$W204)="","",INDEX('Per Invoice'!N$2:N$801,$W204)))</f>
        <v/>
      </c>
      <c r="O204" s="7">
        <f>IF($W204="","",IF(INDEX('Per Invoice'!O$2:O$801,$W204)="","",INDEX('Per Invoice'!O$2:O$801,$W204)))</f>
        <v/>
      </c>
      <c r="P204">
        <f>IF($W204="","",IF(INDEX('Per Invoice'!P$2:P$801,$W204)="","",INDEX('Per Invoice'!P$2:P$801,$W204)))</f>
        <v/>
      </c>
      <c r="Q204" s="7">
        <f>IF($W204="","",IF(INDEX('Per Invoice'!Q$2:Q$801,$W204)="","",INDEX('Per Invoice'!Q$2:Q$801,$W204)))</f>
        <v/>
      </c>
      <c r="R204" s="7">
        <f>IF($W204="","",IF(INDEX('Per Invoice'!R$2:R$801,$W204)="","",INDEX('Per Invoice'!R$2:R$801,$W204)))</f>
        <v/>
      </c>
      <c r="S204" s="7">
        <f>IF($W204="","",IF(INDEX('Per Invoice'!S$2:S$801,$W204)="","",INDEX('Per Invoice'!S$2:S$801,$W204)))</f>
        <v/>
      </c>
      <c r="T204" s="7">
        <f>IF($W204="","",IF(INDEX('Per Invoice'!T$2:T$801,$W204)="","",INDEX('Per Invoice'!T$2:T$801,$W204)))</f>
        <v/>
      </c>
      <c r="U204" s="7">
        <f>IF($W204="","",IF(INDEX('Per Invoice'!U$2:U$801,$W204)="","",INDEX('Per Invoice'!U$2:U$801,$W204)))</f>
        <v/>
      </c>
      <c r="V204" s="7">
        <f>IF($W204="","",IF(INDEX('Per Invoice'!V$2:V$801,$W204)="","",INDEX('Per Invoice'!V$2:V$801,$W204)))</f>
        <v/>
      </c>
      <c r="W204" s="16">
        <f>IFERROR(MATCH(Settings!$C$27&amp;"|"&amp;ROWS($W$2:$W204),'Per Invoice'!$X$2:$X$801,0),"")</f>
        <v/>
      </c>
    </row>
    <row r="205">
      <c r="A205">
        <f>IF($W205="","",IF(INDEX('Per Invoice'!A$2:A$801,$W205)="","",INDEX('Per Invoice'!A$2:A$801,$W205)))</f>
        <v/>
      </c>
      <c r="B205">
        <f>IF($W205="","",IF(INDEX('Per Invoice'!B$2:B$801,$W205)="","",INDEX('Per Invoice'!B$2:B$801,$W205)))</f>
        <v/>
      </c>
      <c r="C205">
        <f>IF($W205="","",IF(INDEX('Per Invoice'!C$2:C$801,$W205)="","",INDEX('Per Invoice'!C$2:C$801,$W205)))</f>
        <v/>
      </c>
      <c r="D205">
        <f>IF($W205="","",IF(INDEX('Per Invoice'!D$2:D$801,$W205)="","",INDEX('Per Invoice'!D$2:D$801,$W205)))</f>
        <v/>
      </c>
      <c r="E205">
        <f>IF($W205="","",IF(INDEX('Per Invoice'!E$2:E$801,$W205)="","",INDEX('Per Invoice'!E$2:E$801,$W205)))</f>
        <v/>
      </c>
      <c r="F205">
        <f>IF($W205="","",IF(INDEX('Per Invoice'!F$2:F$801,$W205)="","",INDEX('Per Invoice'!F$2:F$801,$W205)))</f>
        <v/>
      </c>
      <c r="G205">
        <f>IF($W205="","",IF(INDEX('Per Invoice'!G$2:G$801,$W205)="","",INDEX('Per Invoice'!G$2:G$801,$W205)))</f>
        <v/>
      </c>
      <c r="H205">
        <f>IF($W205="","",IF(INDEX('Per Invoice'!H$2:H$801,$W205)="","",INDEX('Per Invoice'!H$2:H$801,$W205)))</f>
        <v/>
      </c>
      <c r="I205">
        <f>IF($W205="","",IF(INDEX('Per Invoice'!I$2:I$801,$W205)="","",INDEX('Per Invoice'!I$2:I$801,$W205)))</f>
        <v/>
      </c>
      <c r="J205">
        <f>IF($W205="","",IF(INDEX('Per Invoice'!J$2:J$801,$W205)="","",INDEX('Per Invoice'!J$2:J$801,$W205)))</f>
        <v/>
      </c>
      <c r="K205" s="7">
        <f>IF($W205="","",IF(INDEX('Per Invoice'!K$2:K$801,$W205)="","",INDEX('Per Invoice'!K$2:K$801,$W205)))</f>
        <v/>
      </c>
      <c r="L205" s="14">
        <f>IF($W205="","",IF(INDEX('Per Invoice'!L$2:L$801,$W205)="","",INDEX('Per Invoice'!L$2:L$801,$W205)))</f>
        <v/>
      </c>
      <c r="M205">
        <f>IF($W205="","",IF(INDEX('Per Invoice'!M$2:M$801,$W205)="","",INDEX('Per Invoice'!M$2:M$801,$W205)))</f>
        <v/>
      </c>
      <c r="N205" s="7">
        <f>IF($W205="","",IF(INDEX('Per Invoice'!N$2:N$801,$W205)="","",INDEX('Per Invoice'!N$2:N$801,$W205)))</f>
        <v/>
      </c>
      <c r="O205" s="7">
        <f>IF($W205="","",IF(INDEX('Per Invoice'!O$2:O$801,$W205)="","",INDEX('Per Invoice'!O$2:O$801,$W205)))</f>
        <v/>
      </c>
      <c r="P205">
        <f>IF($W205="","",IF(INDEX('Per Invoice'!P$2:P$801,$W205)="","",INDEX('Per Invoice'!P$2:P$801,$W205)))</f>
        <v/>
      </c>
      <c r="Q205" s="7">
        <f>IF($W205="","",IF(INDEX('Per Invoice'!Q$2:Q$801,$W205)="","",INDEX('Per Invoice'!Q$2:Q$801,$W205)))</f>
        <v/>
      </c>
      <c r="R205" s="7">
        <f>IF($W205="","",IF(INDEX('Per Invoice'!R$2:R$801,$W205)="","",INDEX('Per Invoice'!R$2:R$801,$W205)))</f>
        <v/>
      </c>
      <c r="S205" s="7">
        <f>IF($W205="","",IF(INDEX('Per Invoice'!S$2:S$801,$W205)="","",INDEX('Per Invoice'!S$2:S$801,$W205)))</f>
        <v/>
      </c>
      <c r="T205" s="7">
        <f>IF($W205="","",IF(INDEX('Per Invoice'!T$2:T$801,$W205)="","",INDEX('Per Invoice'!T$2:T$801,$W205)))</f>
        <v/>
      </c>
      <c r="U205" s="7">
        <f>IF($W205="","",IF(INDEX('Per Invoice'!U$2:U$801,$W205)="","",INDEX('Per Invoice'!U$2:U$801,$W205)))</f>
        <v/>
      </c>
      <c r="V205" s="7">
        <f>IF($W205="","",IF(INDEX('Per Invoice'!V$2:V$801,$W205)="","",INDEX('Per Invoice'!V$2:V$801,$W205)))</f>
        <v/>
      </c>
      <c r="W205" s="16">
        <f>IFERROR(MATCH(Settings!$C$27&amp;"|"&amp;ROWS($W$2:$W205),'Per Invoice'!$X$2:$X$801,0),"")</f>
        <v/>
      </c>
    </row>
    <row r="206">
      <c r="A206">
        <f>IF($W206="","",IF(INDEX('Per Invoice'!A$2:A$801,$W206)="","",INDEX('Per Invoice'!A$2:A$801,$W206)))</f>
        <v/>
      </c>
      <c r="B206">
        <f>IF($W206="","",IF(INDEX('Per Invoice'!B$2:B$801,$W206)="","",INDEX('Per Invoice'!B$2:B$801,$W206)))</f>
        <v/>
      </c>
      <c r="C206">
        <f>IF($W206="","",IF(INDEX('Per Invoice'!C$2:C$801,$W206)="","",INDEX('Per Invoice'!C$2:C$801,$W206)))</f>
        <v/>
      </c>
      <c r="D206">
        <f>IF($W206="","",IF(INDEX('Per Invoice'!D$2:D$801,$W206)="","",INDEX('Per Invoice'!D$2:D$801,$W206)))</f>
        <v/>
      </c>
      <c r="E206">
        <f>IF($W206="","",IF(INDEX('Per Invoice'!E$2:E$801,$W206)="","",INDEX('Per Invoice'!E$2:E$801,$W206)))</f>
        <v/>
      </c>
      <c r="F206">
        <f>IF($W206="","",IF(INDEX('Per Invoice'!F$2:F$801,$W206)="","",INDEX('Per Invoice'!F$2:F$801,$W206)))</f>
        <v/>
      </c>
      <c r="G206">
        <f>IF($W206="","",IF(INDEX('Per Invoice'!G$2:G$801,$W206)="","",INDEX('Per Invoice'!G$2:G$801,$W206)))</f>
        <v/>
      </c>
      <c r="H206">
        <f>IF($W206="","",IF(INDEX('Per Invoice'!H$2:H$801,$W206)="","",INDEX('Per Invoice'!H$2:H$801,$W206)))</f>
        <v/>
      </c>
      <c r="I206">
        <f>IF($W206="","",IF(INDEX('Per Invoice'!I$2:I$801,$W206)="","",INDEX('Per Invoice'!I$2:I$801,$W206)))</f>
        <v/>
      </c>
      <c r="J206">
        <f>IF($W206="","",IF(INDEX('Per Invoice'!J$2:J$801,$W206)="","",INDEX('Per Invoice'!J$2:J$801,$W206)))</f>
        <v/>
      </c>
      <c r="K206" s="7">
        <f>IF($W206="","",IF(INDEX('Per Invoice'!K$2:K$801,$W206)="","",INDEX('Per Invoice'!K$2:K$801,$W206)))</f>
        <v/>
      </c>
      <c r="L206" s="14">
        <f>IF($W206="","",IF(INDEX('Per Invoice'!L$2:L$801,$W206)="","",INDEX('Per Invoice'!L$2:L$801,$W206)))</f>
        <v/>
      </c>
      <c r="M206">
        <f>IF($W206="","",IF(INDEX('Per Invoice'!M$2:M$801,$W206)="","",INDEX('Per Invoice'!M$2:M$801,$W206)))</f>
        <v/>
      </c>
      <c r="N206" s="7">
        <f>IF($W206="","",IF(INDEX('Per Invoice'!N$2:N$801,$W206)="","",INDEX('Per Invoice'!N$2:N$801,$W206)))</f>
        <v/>
      </c>
      <c r="O206" s="7">
        <f>IF($W206="","",IF(INDEX('Per Invoice'!O$2:O$801,$W206)="","",INDEX('Per Invoice'!O$2:O$801,$W206)))</f>
        <v/>
      </c>
      <c r="P206">
        <f>IF($W206="","",IF(INDEX('Per Invoice'!P$2:P$801,$W206)="","",INDEX('Per Invoice'!P$2:P$801,$W206)))</f>
        <v/>
      </c>
      <c r="Q206" s="7">
        <f>IF($W206="","",IF(INDEX('Per Invoice'!Q$2:Q$801,$W206)="","",INDEX('Per Invoice'!Q$2:Q$801,$W206)))</f>
        <v/>
      </c>
      <c r="R206" s="7">
        <f>IF($W206="","",IF(INDEX('Per Invoice'!R$2:R$801,$W206)="","",INDEX('Per Invoice'!R$2:R$801,$W206)))</f>
        <v/>
      </c>
      <c r="S206" s="7">
        <f>IF($W206="","",IF(INDEX('Per Invoice'!S$2:S$801,$W206)="","",INDEX('Per Invoice'!S$2:S$801,$W206)))</f>
        <v/>
      </c>
      <c r="T206" s="7">
        <f>IF($W206="","",IF(INDEX('Per Invoice'!T$2:T$801,$W206)="","",INDEX('Per Invoice'!T$2:T$801,$W206)))</f>
        <v/>
      </c>
      <c r="U206" s="7">
        <f>IF($W206="","",IF(INDEX('Per Invoice'!U$2:U$801,$W206)="","",INDEX('Per Invoice'!U$2:U$801,$W206)))</f>
        <v/>
      </c>
      <c r="V206" s="7">
        <f>IF($W206="","",IF(INDEX('Per Invoice'!V$2:V$801,$W206)="","",INDEX('Per Invoice'!V$2:V$801,$W206)))</f>
        <v/>
      </c>
      <c r="W206" s="16">
        <f>IFERROR(MATCH(Settings!$C$27&amp;"|"&amp;ROWS($W$2:$W206),'Per Invoice'!$X$2:$X$801,0),"")</f>
        <v/>
      </c>
    </row>
    <row r="207">
      <c r="A207">
        <f>IF($W207="","",IF(INDEX('Per Invoice'!A$2:A$801,$W207)="","",INDEX('Per Invoice'!A$2:A$801,$W207)))</f>
        <v/>
      </c>
      <c r="B207">
        <f>IF($W207="","",IF(INDEX('Per Invoice'!B$2:B$801,$W207)="","",INDEX('Per Invoice'!B$2:B$801,$W207)))</f>
        <v/>
      </c>
      <c r="C207">
        <f>IF($W207="","",IF(INDEX('Per Invoice'!C$2:C$801,$W207)="","",INDEX('Per Invoice'!C$2:C$801,$W207)))</f>
        <v/>
      </c>
      <c r="D207">
        <f>IF($W207="","",IF(INDEX('Per Invoice'!D$2:D$801,$W207)="","",INDEX('Per Invoice'!D$2:D$801,$W207)))</f>
        <v/>
      </c>
      <c r="E207">
        <f>IF($W207="","",IF(INDEX('Per Invoice'!E$2:E$801,$W207)="","",INDEX('Per Invoice'!E$2:E$801,$W207)))</f>
        <v/>
      </c>
      <c r="F207">
        <f>IF($W207="","",IF(INDEX('Per Invoice'!F$2:F$801,$W207)="","",INDEX('Per Invoice'!F$2:F$801,$W207)))</f>
        <v/>
      </c>
      <c r="G207">
        <f>IF($W207="","",IF(INDEX('Per Invoice'!G$2:G$801,$W207)="","",INDEX('Per Invoice'!G$2:G$801,$W207)))</f>
        <v/>
      </c>
      <c r="H207">
        <f>IF($W207="","",IF(INDEX('Per Invoice'!H$2:H$801,$W207)="","",INDEX('Per Invoice'!H$2:H$801,$W207)))</f>
        <v/>
      </c>
      <c r="I207">
        <f>IF($W207="","",IF(INDEX('Per Invoice'!I$2:I$801,$W207)="","",INDEX('Per Invoice'!I$2:I$801,$W207)))</f>
        <v/>
      </c>
      <c r="J207">
        <f>IF($W207="","",IF(INDEX('Per Invoice'!J$2:J$801,$W207)="","",INDEX('Per Invoice'!J$2:J$801,$W207)))</f>
        <v/>
      </c>
      <c r="K207" s="7">
        <f>IF($W207="","",IF(INDEX('Per Invoice'!K$2:K$801,$W207)="","",INDEX('Per Invoice'!K$2:K$801,$W207)))</f>
        <v/>
      </c>
      <c r="L207" s="14">
        <f>IF($W207="","",IF(INDEX('Per Invoice'!L$2:L$801,$W207)="","",INDEX('Per Invoice'!L$2:L$801,$W207)))</f>
        <v/>
      </c>
      <c r="M207">
        <f>IF($W207="","",IF(INDEX('Per Invoice'!M$2:M$801,$W207)="","",INDEX('Per Invoice'!M$2:M$801,$W207)))</f>
        <v/>
      </c>
      <c r="N207" s="7">
        <f>IF($W207="","",IF(INDEX('Per Invoice'!N$2:N$801,$W207)="","",INDEX('Per Invoice'!N$2:N$801,$W207)))</f>
        <v/>
      </c>
      <c r="O207" s="7">
        <f>IF($W207="","",IF(INDEX('Per Invoice'!O$2:O$801,$W207)="","",INDEX('Per Invoice'!O$2:O$801,$W207)))</f>
        <v/>
      </c>
      <c r="P207">
        <f>IF($W207="","",IF(INDEX('Per Invoice'!P$2:P$801,$W207)="","",INDEX('Per Invoice'!P$2:P$801,$W207)))</f>
        <v/>
      </c>
      <c r="Q207" s="7">
        <f>IF($W207="","",IF(INDEX('Per Invoice'!Q$2:Q$801,$W207)="","",INDEX('Per Invoice'!Q$2:Q$801,$W207)))</f>
        <v/>
      </c>
      <c r="R207" s="7">
        <f>IF($W207="","",IF(INDEX('Per Invoice'!R$2:R$801,$W207)="","",INDEX('Per Invoice'!R$2:R$801,$W207)))</f>
        <v/>
      </c>
      <c r="S207" s="7">
        <f>IF($W207="","",IF(INDEX('Per Invoice'!S$2:S$801,$W207)="","",INDEX('Per Invoice'!S$2:S$801,$W207)))</f>
        <v/>
      </c>
      <c r="T207" s="7">
        <f>IF($W207="","",IF(INDEX('Per Invoice'!T$2:T$801,$W207)="","",INDEX('Per Invoice'!T$2:T$801,$W207)))</f>
        <v/>
      </c>
      <c r="U207" s="7">
        <f>IF($W207="","",IF(INDEX('Per Invoice'!U$2:U$801,$W207)="","",INDEX('Per Invoice'!U$2:U$801,$W207)))</f>
        <v/>
      </c>
      <c r="V207" s="7">
        <f>IF($W207="","",IF(INDEX('Per Invoice'!V$2:V$801,$W207)="","",INDEX('Per Invoice'!V$2:V$801,$W207)))</f>
        <v/>
      </c>
      <c r="W207" s="16">
        <f>IFERROR(MATCH(Settings!$C$27&amp;"|"&amp;ROWS($W$2:$W207),'Per Invoice'!$X$2:$X$801,0),"")</f>
        <v/>
      </c>
    </row>
    <row r="208">
      <c r="A208">
        <f>IF($W208="","",IF(INDEX('Per Invoice'!A$2:A$801,$W208)="","",INDEX('Per Invoice'!A$2:A$801,$W208)))</f>
        <v/>
      </c>
      <c r="B208">
        <f>IF($W208="","",IF(INDEX('Per Invoice'!B$2:B$801,$W208)="","",INDEX('Per Invoice'!B$2:B$801,$W208)))</f>
        <v/>
      </c>
      <c r="C208">
        <f>IF($W208="","",IF(INDEX('Per Invoice'!C$2:C$801,$W208)="","",INDEX('Per Invoice'!C$2:C$801,$W208)))</f>
        <v/>
      </c>
      <c r="D208">
        <f>IF($W208="","",IF(INDEX('Per Invoice'!D$2:D$801,$W208)="","",INDEX('Per Invoice'!D$2:D$801,$W208)))</f>
        <v/>
      </c>
      <c r="E208">
        <f>IF($W208="","",IF(INDEX('Per Invoice'!E$2:E$801,$W208)="","",INDEX('Per Invoice'!E$2:E$801,$W208)))</f>
        <v/>
      </c>
      <c r="F208">
        <f>IF($W208="","",IF(INDEX('Per Invoice'!F$2:F$801,$W208)="","",INDEX('Per Invoice'!F$2:F$801,$W208)))</f>
        <v/>
      </c>
      <c r="G208">
        <f>IF($W208="","",IF(INDEX('Per Invoice'!G$2:G$801,$W208)="","",INDEX('Per Invoice'!G$2:G$801,$W208)))</f>
        <v/>
      </c>
      <c r="H208">
        <f>IF($W208="","",IF(INDEX('Per Invoice'!H$2:H$801,$W208)="","",INDEX('Per Invoice'!H$2:H$801,$W208)))</f>
        <v/>
      </c>
      <c r="I208">
        <f>IF($W208="","",IF(INDEX('Per Invoice'!I$2:I$801,$W208)="","",INDEX('Per Invoice'!I$2:I$801,$W208)))</f>
        <v/>
      </c>
      <c r="J208">
        <f>IF($W208="","",IF(INDEX('Per Invoice'!J$2:J$801,$W208)="","",INDEX('Per Invoice'!J$2:J$801,$W208)))</f>
        <v/>
      </c>
      <c r="K208" s="7">
        <f>IF($W208="","",IF(INDEX('Per Invoice'!K$2:K$801,$W208)="","",INDEX('Per Invoice'!K$2:K$801,$W208)))</f>
        <v/>
      </c>
      <c r="L208" s="14">
        <f>IF($W208="","",IF(INDEX('Per Invoice'!L$2:L$801,$W208)="","",INDEX('Per Invoice'!L$2:L$801,$W208)))</f>
        <v/>
      </c>
      <c r="M208">
        <f>IF($W208="","",IF(INDEX('Per Invoice'!M$2:M$801,$W208)="","",INDEX('Per Invoice'!M$2:M$801,$W208)))</f>
        <v/>
      </c>
      <c r="N208" s="7">
        <f>IF($W208="","",IF(INDEX('Per Invoice'!N$2:N$801,$W208)="","",INDEX('Per Invoice'!N$2:N$801,$W208)))</f>
        <v/>
      </c>
      <c r="O208" s="7">
        <f>IF($W208="","",IF(INDEX('Per Invoice'!O$2:O$801,$W208)="","",INDEX('Per Invoice'!O$2:O$801,$W208)))</f>
        <v/>
      </c>
      <c r="P208">
        <f>IF($W208="","",IF(INDEX('Per Invoice'!P$2:P$801,$W208)="","",INDEX('Per Invoice'!P$2:P$801,$W208)))</f>
        <v/>
      </c>
      <c r="Q208" s="7">
        <f>IF($W208="","",IF(INDEX('Per Invoice'!Q$2:Q$801,$W208)="","",INDEX('Per Invoice'!Q$2:Q$801,$W208)))</f>
        <v/>
      </c>
      <c r="R208" s="7">
        <f>IF($W208="","",IF(INDEX('Per Invoice'!R$2:R$801,$W208)="","",INDEX('Per Invoice'!R$2:R$801,$W208)))</f>
        <v/>
      </c>
      <c r="S208" s="7">
        <f>IF($W208="","",IF(INDEX('Per Invoice'!S$2:S$801,$W208)="","",INDEX('Per Invoice'!S$2:S$801,$W208)))</f>
        <v/>
      </c>
      <c r="T208" s="7">
        <f>IF($W208="","",IF(INDEX('Per Invoice'!T$2:T$801,$W208)="","",INDEX('Per Invoice'!T$2:T$801,$W208)))</f>
        <v/>
      </c>
      <c r="U208" s="7">
        <f>IF($W208="","",IF(INDEX('Per Invoice'!U$2:U$801,$W208)="","",INDEX('Per Invoice'!U$2:U$801,$W208)))</f>
        <v/>
      </c>
      <c r="V208" s="7">
        <f>IF($W208="","",IF(INDEX('Per Invoice'!V$2:V$801,$W208)="","",INDEX('Per Invoice'!V$2:V$801,$W208)))</f>
        <v/>
      </c>
      <c r="W208" s="16">
        <f>IFERROR(MATCH(Settings!$C$27&amp;"|"&amp;ROWS($W$2:$W208),'Per Invoice'!$X$2:$X$801,0),"")</f>
        <v/>
      </c>
    </row>
    <row r="209">
      <c r="A209">
        <f>IF($W209="","",IF(INDEX('Per Invoice'!A$2:A$801,$W209)="","",INDEX('Per Invoice'!A$2:A$801,$W209)))</f>
        <v/>
      </c>
      <c r="B209">
        <f>IF($W209="","",IF(INDEX('Per Invoice'!B$2:B$801,$W209)="","",INDEX('Per Invoice'!B$2:B$801,$W209)))</f>
        <v/>
      </c>
      <c r="C209">
        <f>IF($W209="","",IF(INDEX('Per Invoice'!C$2:C$801,$W209)="","",INDEX('Per Invoice'!C$2:C$801,$W209)))</f>
        <v/>
      </c>
      <c r="D209">
        <f>IF($W209="","",IF(INDEX('Per Invoice'!D$2:D$801,$W209)="","",INDEX('Per Invoice'!D$2:D$801,$W209)))</f>
        <v/>
      </c>
      <c r="E209">
        <f>IF($W209="","",IF(INDEX('Per Invoice'!E$2:E$801,$W209)="","",INDEX('Per Invoice'!E$2:E$801,$W209)))</f>
        <v/>
      </c>
      <c r="F209">
        <f>IF($W209="","",IF(INDEX('Per Invoice'!F$2:F$801,$W209)="","",INDEX('Per Invoice'!F$2:F$801,$W209)))</f>
        <v/>
      </c>
      <c r="G209">
        <f>IF($W209="","",IF(INDEX('Per Invoice'!G$2:G$801,$W209)="","",INDEX('Per Invoice'!G$2:G$801,$W209)))</f>
        <v/>
      </c>
      <c r="H209">
        <f>IF($W209="","",IF(INDEX('Per Invoice'!H$2:H$801,$W209)="","",INDEX('Per Invoice'!H$2:H$801,$W209)))</f>
        <v/>
      </c>
      <c r="I209">
        <f>IF($W209="","",IF(INDEX('Per Invoice'!I$2:I$801,$W209)="","",INDEX('Per Invoice'!I$2:I$801,$W209)))</f>
        <v/>
      </c>
      <c r="J209">
        <f>IF($W209="","",IF(INDEX('Per Invoice'!J$2:J$801,$W209)="","",INDEX('Per Invoice'!J$2:J$801,$W209)))</f>
        <v/>
      </c>
      <c r="K209" s="7">
        <f>IF($W209="","",IF(INDEX('Per Invoice'!K$2:K$801,$W209)="","",INDEX('Per Invoice'!K$2:K$801,$W209)))</f>
        <v/>
      </c>
      <c r="L209" s="14">
        <f>IF($W209="","",IF(INDEX('Per Invoice'!L$2:L$801,$W209)="","",INDEX('Per Invoice'!L$2:L$801,$W209)))</f>
        <v/>
      </c>
      <c r="M209">
        <f>IF($W209="","",IF(INDEX('Per Invoice'!M$2:M$801,$W209)="","",INDEX('Per Invoice'!M$2:M$801,$W209)))</f>
        <v/>
      </c>
      <c r="N209" s="7">
        <f>IF($W209="","",IF(INDEX('Per Invoice'!N$2:N$801,$W209)="","",INDEX('Per Invoice'!N$2:N$801,$W209)))</f>
        <v/>
      </c>
      <c r="O209" s="7">
        <f>IF($W209="","",IF(INDEX('Per Invoice'!O$2:O$801,$W209)="","",INDEX('Per Invoice'!O$2:O$801,$W209)))</f>
        <v/>
      </c>
      <c r="P209">
        <f>IF($W209="","",IF(INDEX('Per Invoice'!P$2:P$801,$W209)="","",INDEX('Per Invoice'!P$2:P$801,$W209)))</f>
        <v/>
      </c>
      <c r="Q209" s="7">
        <f>IF($W209="","",IF(INDEX('Per Invoice'!Q$2:Q$801,$W209)="","",INDEX('Per Invoice'!Q$2:Q$801,$W209)))</f>
        <v/>
      </c>
      <c r="R209" s="7">
        <f>IF($W209="","",IF(INDEX('Per Invoice'!R$2:R$801,$W209)="","",INDEX('Per Invoice'!R$2:R$801,$W209)))</f>
        <v/>
      </c>
      <c r="S209" s="7">
        <f>IF($W209="","",IF(INDEX('Per Invoice'!S$2:S$801,$W209)="","",INDEX('Per Invoice'!S$2:S$801,$W209)))</f>
        <v/>
      </c>
      <c r="T209" s="7">
        <f>IF($W209="","",IF(INDEX('Per Invoice'!T$2:T$801,$W209)="","",INDEX('Per Invoice'!T$2:T$801,$W209)))</f>
        <v/>
      </c>
      <c r="U209" s="7">
        <f>IF($W209="","",IF(INDEX('Per Invoice'!U$2:U$801,$W209)="","",INDEX('Per Invoice'!U$2:U$801,$W209)))</f>
        <v/>
      </c>
      <c r="V209" s="7">
        <f>IF($W209="","",IF(INDEX('Per Invoice'!V$2:V$801,$W209)="","",INDEX('Per Invoice'!V$2:V$801,$W209)))</f>
        <v/>
      </c>
      <c r="W209" s="16">
        <f>IFERROR(MATCH(Settings!$C$27&amp;"|"&amp;ROWS($W$2:$W209),'Per Invoice'!$X$2:$X$801,0),"")</f>
        <v/>
      </c>
    </row>
    <row r="210">
      <c r="A210">
        <f>IF($W210="","",IF(INDEX('Per Invoice'!A$2:A$801,$W210)="","",INDEX('Per Invoice'!A$2:A$801,$W210)))</f>
        <v/>
      </c>
      <c r="B210">
        <f>IF($W210="","",IF(INDEX('Per Invoice'!B$2:B$801,$W210)="","",INDEX('Per Invoice'!B$2:B$801,$W210)))</f>
        <v/>
      </c>
      <c r="C210">
        <f>IF($W210="","",IF(INDEX('Per Invoice'!C$2:C$801,$W210)="","",INDEX('Per Invoice'!C$2:C$801,$W210)))</f>
        <v/>
      </c>
      <c r="D210">
        <f>IF($W210="","",IF(INDEX('Per Invoice'!D$2:D$801,$W210)="","",INDEX('Per Invoice'!D$2:D$801,$W210)))</f>
        <v/>
      </c>
      <c r="E210">
        <f>IF($W210="","",IF(INDEX('Per Invoice'!E$2:E$801,$W210)="","",INDEX('Per Invoice'!E$2:E$801,$W210)))</f>
        <v/>
      </c>
      <c r="F210">
        <f>IF($W210="","",IF(INDEX('Per Invoice'!F$2:F$801,$W210)="","",INDEX('Per Invoice'!F$2:F$801,$W210)))</f>
        <v/>
      </c>
      <c r="G210">
        <f>IF($W210="","",IF(INDEX('Per Invoice'!G$2:G$801,$W210)="","",INDEX('Per Invoice'!G$2:G$801,$W210)))</f>
        <v/>
      </c>
      <c r="H210">
        <f>IF($W210="","",IF(INDEX('Per Invoice'!H$2:H$801,$W210)="","",INDEX('Per Invoice'!H$2:H$801,$W210)))</f>
        <v/>
      </c>
      <c r="I210">
        <f>IF($W210="","",IF(INDEX('Per Invoice'!I$2:I$801,$W210)="","",INDEX('Per Invoice'!I$2:I$801,$W210)))</f>
        <v/>
      </c>
      <c r="J210">
        <f>IF($W210="","",IF(INDEX('Per Invoice'!J$2:J$801,$W210)="","",INDEX('Per Invoice'!J$2:J$801,$W210)))</f>
        <v/>
      </c>
      <c r="K210" s="7">
        <f>IF($W210="","",IF(INDEX('Per Invoice'!K$2:K$801,$W210)="","",INDEX('Per Invoice'!K$2:K$801,$W210)))</f>
        <v/>
      </c>
      <c r="L210" s="14">
        <f>IF($W210="","",IF(INDEX('Per Invoice'!L$2:L$801,$W210)="","",INDEX('Per Invoice'!L$2:L$801,$W210)))</f>
        <v/>
      </c>
      <c r="M210">
        <f>IF($W210="","",IF(INDEX('Per Invoice'!M$2:M$801,$W210)="","",INDEX('Per Invoice'!M$2:M$801,$W210)))</f>
        <v/>
      </c>
      <c r="N210" s="7">
        <f>IF($W210="","",IF(INDEX('Per Invoice'!N$2:N$801,$W210)="","",INDEX('Per Invoice'!N$2:N$801,$W210)))</f>
        <v/>
      </c>
      <c r="O210" s="7">
        <f>IF($W210="","",IF(INDEX('Per Invoice'!O$2:O$801,$W210)="","",INDEX('Per Invoice'!O$2:O$801,$W210)))</f>
        <v/>
      </c>
      <c r="P210">
        <f>IF($W210="","",IF(INDEX('Per Invoice'!P$2:P$801,$W210)="","",INDEX('Per Invoice'!P$2:P$801,$W210)))</f>
        <v/>
      </c>
      <c r="Q210" s="7">
        <f>IF($W210="","",IF(INDEX('Per Invoice'!Q$2:Q$801,$W210)="","",INDEX('Per Invoice'!Q$2:Q$801,$W210)))</f>
        <v/>
      </c>
      <c r="R210" s="7">
        <f>IF($W210="","",IF(INDEX('Per Invoice'!R$2:R$801,$W210)="","",INDEX('Per Invoice'!R$2:R$801,$W210)))</f>
        <v/>
      </c>
      <c r="S210" s="7">
        <f>IF($W210="","",IF(INDEX('Per Invoice'!S$2:S$801,$W210)="","",INDEX('Per Invoice'!S$2:S$801,$W210)))</f>
        <v/>
      </c>
      <c r="T210" s="7">
        <f>IF($W210="","",IF(INDEX('Per Invoice'!T$2:T$801,$W210)="","",INDEX('Per Invoice'!T$2:T$801,$W210)))</f>
        <v/>
      </c>
      <c r="U210" s="7">
        <f>IF($W210="","",IF(INDEX('Per Invoice'!U$2:U$801,$W210)="","",INDEX('Per Invoice'!U$2:U$801,$W210)))</f>
        <v/>
      </c>
      <c r="V210" s="7">
        <f>IF($W210="","",IF(INDEX('Per Invoice'!V$2:V$801,$W210)="","",INDEX('Per Invoice'!V$2:V$801,$W210)))</f>
        <v/>
      </c>
      <c r="W210" s="16">
        <f>IFERROR(MATCH(Settings!$C$27&amp;"|"&amp;ROWS($W$2:$W210),'Per Invoice'!$X$2:$X$801,0),"")</f>
        <v/>
      </c>
    </row>
    <row r="211">
      <c r="A211">
        <f>IF($W211="","",IF(INDEX('Per Invoice'!A$2:A$801,$W211)="","",INDEX('Per Invoice'!A$2:A$801,$W211)))</f>
        <v/>
      </c>
      <c r="B211">
        <f>IF($W211="","",IF(INDEX('Per Invoice'!B$2:B$801,$W211)="","",INDEX('Per Invoice'!B$2:B$801,$W211)))</f>
        <v/>
      </c>
      <c r="C211">
        <f>IF($W211="","",IF(INDEX('Per Invoice'!C$2:C$801,$W211)="","",INDEX('Per Invoice'!C$2:C$801,$W211)))</f>
        <v/>
      </c>
      <c r="D211">
        <f>IF($W211="","",IF(INDEX('Per Invoice'!D$2:D$801,$W211)="","",INDEX('Per Invoice'!D$2:D$801,$W211)))</f>
        <v/>
      </c>
      <c r="E211">
        <f>IF($W211="","",IF(INDEX('Per Invoice'!E$2:E$801,$W211)="","",INDEX('Per Invoice'!E$2:E$801,$W211)))</f>
        <v/>
      </c>
      <c r="F211">
        <f>IF($W211="","",IF(INDEX('Per Invoice'!F$2:F$801,$W211)="","",INDEX('Per Invoice'!F$2:F$801,$W211)))</f>
        <v/>
      </c>
      <c r="G211">
        <f>IF($W211="","",IF(INDEX('Per Invoice'!G$2:G$801,$W211)="","",INDEX('Per Invoice'!G$2:G$801,$W211)))</f>
        <v/>
      </c>
      <c r="H211">
        <f>IF($W211="","",IF(INDEX('Per Invoice'!H$2:H$801,$W211)="","",INDEX('Per Invoice'!H$2:H$801,$W211)))</f>
        <v/>
      </c>
      <c r="I211">
        <f>IF($W211="","",IF(INDEX('Per Invoice'!I$2:I$801,$W211)="","",INDEX('Per Invoice'!I$2:I$801,$W211)))</f>
        <v/>
      </c>
      <c r="J211">
        <f>IF($W211="","",IF(INDEX('Per Invoice'!J$2:J$801,$W211)="","",INDEX('Per Invoice'!J$2:J$801,$W211)))</f>
        <v/>
      </c>
      <c r="K211" s="7">
        <f>IF($W211="","",IF(INDEX('Per Invoice'!K$2:K$801,$W211)="","",INDEX('Per Invoice'!K$2:K$801,$W211)))</f>
        <v/>
      </c>
      <c r="L211" s="14">
        <f>IF($W211="","",IF(INDEX('Per Invoice'!L$2:L$801,$W211)="","",INDEX('Per Invoice'!L$2:L$801,$W211)))</f>
        <v/>
      </c>
      <c r="M211">
        <f>IF($W211="","",IF(INDEX('Per Invoice'!M$2:M$801,$W211)="","",INDEX('Per Invoice'!M$2:M$801,$W211)))</f>
        <v/>
      </c>
      <c r="N211" s="7">
        <f>IF($W211="","",IF(INDEX('Per Invoice'!N$2:N$801,$W211)="","",INDEX('Per Invoice'!N$2:N$801,$W211)))</f>
        <v/>
      </c>
      <c r="O211" s="7">
        <f>IF($W211="","",IF(INDEX('Per Invoice'!O$2:O$801,$W211)="","",INDEX('Per Invoice'!O$2:O$801,$W211)))</f>
        <v/>
      </c>
      <c r="P211">
        <f>IF($W211="","",IF(INDEX('Per Invoice'!P$2:P$801,$W211)="","",INDEX('Per Invoice'!P$2:P$801,$W211)))</f>
        <v/>
      </c>
      <c r="Q211" s="7">
        <f>IF($W211="","",IF(INDEX('Per Invoice'!Q$2:Q$801,$W211)="","",INDEX('Per Invoice'!Q$2:Q$801,$W211)))</f>
        <v/>
      </c>
      <c r="R211" s="7">
        <f>IF($W211="","",IF(INDEX('Per Invoice'!R$2:R$801,$W211)="","",INDEX('Per Invoice'!R$2:R$801,$W211)))</f>
        <v/>
      </c>
      <c r="S211" s="7">
        <f>IF($W211="","",IF(INDEX('Per Invoice'!S$2:S$801,$W211)="","",INDEX('Per Invoice'!S$2:S$801,$W211)))</f>
        <v/>
      </c>
      <c r="T211" s="7">
        <f>IF($W211="","",IF(INDEX('Per Invoice'!T$2:T$801,$W211)="","",INDEX('Per Invoice'!T$2:T$801,$W211)))</f>
        <v/>
      </c>
      <c r="U211" s="7">
        <f>IF($W211="","",IF(INDEX('Per Invoice'!U$2:U$801,$W211)="","",INDEX('Per Invoice'!U$2:U$801,$W211)))</f>
        <v/>
      </c>
      <c r="V211" s="7">
        <f>IF($W211="","",IF(INDEX('Per Invoice'!V$2:V$801,$W211)="","",INDEX('Per Invoice'!V$2:V$801,$W211)))</f>
        <v/>
      </c>
      <c r="W211" s="16">
        <f>IFERROR(MATCH(Settings!$C$27&amp;"|"&amp;ROWS($W$2:$W211),'Per Invoice'!$X$2:$X$801,0),"")</f>
        <v/>
      </c>
    </row>
    <row r="212">
      <c r="A212">
        <f>IF($W212="","",IF(INDEX('Per Invoice'!A$2:A$801,$W212)="","",INDEX('Per Invoice'!A$2:A$801,$W212)))</f>
        <v/>
      </c>
      <c r="B212">
        <f>IF($W212="","",IF(INDEX('Per Invoice'!B$2:B$801,$W212)="","",INDEX('Per Invoice'!B$2:B$801,$W212)))</f>
        <v/>
      </c>
      <c r="C212">
        <f>IF($W212="","",IF(INDEX('Per Invoice'!C$2:C$801,$W212)="","",INDEX('Per Invoice'!C$2:C$801,$W212)))</f>
        <v/>
      </c>
      <c r="D212">
        <f>IF($W212="","",IF(INDEX('Per Invoice'!D$2:D$801,$W212)="","",INDEX('Per Invoice'!D$2:D$801,$W212)))</f>
        <v/>
      </c>
      <c r="E212">
        <f>IF($W212="","",IF(INDEX('Per Invoice'!E$2:E$801,$W212)="","",INDEX('Per Invoice'!E$2:E$801,$W212)))</f>
        <v/>
      </c>
      <c r="F212">
        <f>IF($W212="","",IF(INDEX('Per Invoice'!F$2:F$801,$W212)="","",INDEX('Per Invoice'!F$2:F$801,$W212)))</f>
        <v/>
      </c>
      <c r="G212">
        <f>IF($W212="","",IF(INDEX('Per Invoice'!G$2:G$801,$W212)="","",INDEX('Per Invoice'!G$2:G$801,$W212)))</f>
        <v/>
      </c>
      <c r="H212">
        <f>IF($W212="","",IF(INDEX('Per Invoice'!H$2:H$801,$W212)="","",INDEX('Per Invoice'!H$2:H$801,$W212)))</f>
        <v/>
      </c>
      <c r="I212">
        <f>IF($W212="","",IF(INDEX('Per Invoice'!I$2:I$801,$W212)="","",INDEX('Per Invoice'!I$2:I$801,$W212)))</f>
        <v/>
      </c>
      <c r="J212">
        <f>IF($W212="","",IF(INDEX('Per Invoice'!J$2:J$801,$W212)="","",INDEX('Per Invoice'!J$2:J$801,$W212)))</f>
        <v/>
      </c>
      <c r="K212" s="7">
        <f>IF($W212="","",IF(INDEX('Per Invoice'!K$2:K$801,$W212)="","",INDEX('Per Invoice'!K$2:K$801,$W212)))</f>
        <v/>
      </c>
      <c r="L212" s="14">
        <f>IF($W212="","",IF(INDEX('Per Invoice'!L$2:L$801,$W212)="","",INDEX('Per Invoice'!L$2:L$801,$W212)))</f>
        <v/>
      </c>
      <c r="M212">
        <f>IF($W212="","",IF(INDEX('Per Invoice'!M$2:M$801,$W212)="","",INDEX('Per Invoice'!M$2:M$801,$W212)))</f>
        <v/>
      </c>
      <c r="N212" s="7">
        <f>IF($W212="","",IF(INDEX('Per Invoice'!N$2:N$801,$W212)="","",INDEX('Per Invoice'!N$2:N$801,$W212)))</f>
        <v/>
      </c>
      <c r="O212" s="7">
        <f>IF($W212="","",IF(INDEX('Per Invoice'!O$2:O$801,$W212)="","",INDEX('Per Invoice'!O$2:O$801,$W212)))</f>
        <v/>
      </c>
      <c r="P212">
        <f>IF($W212="","",IF(INDEX('Per Invoice'!P$2:P$801,$W212)="","",INDEX('Per Invoice'!P$2:P$801,$W212)))</f>
        <v/>
      </c>
      <c r="Q212" s="7">
        <f>IF($W212="","",IF(INDEX('Per Invoice'!Q$2:Q$801,$W212)="","",INDEX('Per Invoice'!Q$2:Q$801,$W212)))</f>
        <v/>
      </c>
      <c r="R212" s="7">
        <f>IF($W212="","",IF(INDEX('Per Invoice'!R$2:R$801,$W212)="","",INDEX('Per Invoice'!R$2:R$801,$W212)))</f>
        <v/>
      </c>
      <c r="S212" s="7">
        <f>IF($W212="","",IF(INDEX('Per Invoice'!S$2:S$801,$W212)="","",INDEX('Per Invoice'!S$2:S$801,$W212)))</f>
        <v/>
      </c>
      <c r="T212" s="7">
        <f>IF($W212="","",IF(INDEX('Per Invoice'!T$2:T$801,$W212)="","",INDEX('Per Invoice'!T$2:T$801,$W212)))</f>
        <v/>
      </c>
      <c r="U212" s="7">
        <f>IF($W212="","",IF(INDEX('Per Invoice'!U$2:U$801,$W212)="","",INDEX('Per Invoice'!U$2:U$801,$W212)))</f>
        <v/>
      </c>
      <c r="V212" s="7">
        <f>IF($W212="","",IF(INDEX('Per Invoice'!V$2:V$801,$W212)="","",INDEX('Per Invoice'!V$2:V$801,$W212)))</f>
        <v/>
      </c>
      <c r="W212" s="16">
        <f>IFERROR(MATCH(Settings!$C$27&amp;"|"&amp;ROWS($W$2:$W212),'Per Invoice'!$X$2:$X$801,0),"")</f>
        <v/>
      </c>
    </row>
    <row r="213">
      <c r="A213">
        <f>IF($W213="","",IF(INDEX('Per Invoice'!A$2:A$801,$W213)="","",INDEX('Per Invoice'!A$2:A$801,$W213)))</f>
        <v/>
      </c>
      <c r="B213">
        <f>IF($W213="","",IF(INDEX('Per Invoice'!B$2:B$801,$W213)="","",INDEX('Per Invoice'!B$2:B$801,$W213)))</f>
        <v/>
      </c>
      <c r="C213">
        <f>IF($W213="","",IF(INDEX('Per Invoice'!C$2:C$801,$W213)="","",INDEX('Per Invoice'!C$2:C$801,$W213)))</f>
        <v/>
      </c>
      <c r="D213">
        <f>IF($W213="","",IF(INDEX('Per Invoice'!D$2:D$801,$W213)="","",INDEX('Per Invoice'!D$2:D$801,$W213)))</f>
        <v/>
      </c>
      <c r="E213">
        <f>IF($W213="","",IF(INDEX('Per Invoice'!E$2:E$801,$W213)="","",INDEX('Per Invoice'!E$2:E$801,$W213)))</f>
        <v/>
      </c>
      <c r="F213">
        <f>IF($W213="","",IF(INDEX('Per Invoice'!F$2:F$801,$W213)="","",INDEX('Per Invoice'!F$2:F$801,$W213)))</f>
        <v/>
      </c>
      <c r="G213">
        <f>IF($W213="","",IF(INDEX('Per Invoice'!G$2:G$801,$W213)="","",INDEX('Per Invoice'!G$2:G$801,$W213)))</f>
        <v/>
      </c>
      <c r="H213">
        <f>IF($W213="","",IF(INDEX('Per Invoice'!H$2:H$801,$W213)="","",INDEX('Per Invoice'!H$2:H$801,$W213)))</f>
        <v/>
      </c>
      <c r="I213">
        <f>IF($W213="","",IF(INDEX('Per Invoice'!I$2:I$801,$W213)="","",INDEX('Per Invoice'!I$2:I$801,$W213)))</f>
        <v/>
      </c>
      <c r="J213">
        <f>IF($W213="","",IF(INDEX('Per Invoice'!J$2:J$801,$W213)="","",INDEX('Per Invoice'!J$2:J$801,$W213)))</f>
        <v/>
      </c>
      <c r="K213" s="7">
        <f>IF($W213="","",IF(INDEX('Per Invoice'!K$2:K$801,$W213)="","",INDEX('Per Invoice'!K$2:K$801,$W213)))</f>
        <v/>
      </c>
      <c r="L213" s="14">
        <f>IF($W213="","",IF(INDEX('Per Invoice'!L$2:L$801,$W213)="","",INDEX('Per Invoice'!L$2:L$801,$W213)))</f>
        <v/>
      </c>
      <c r="M213">
        <f>IF($W213="","",IF(INDEX('Per Invoice'!M$2:M$801,$W213)="","",INDEX('Per Invoice'!M$2:M$801,$W213)))</f>
        <v/>
      </c>
      <c r="N213" s="7">
        <f>IF($W213="","",IF(INDEX('Per Invoice'!N$2:N$801,$W213)="","",INDEX('Per Invoice'!N$2:N$801,$W213)))</f>
        <v/>
      </c>
      <c r="O213" s="7">
        <f>IF($W213="","",IF(INDEX('Per Invoice'!O$2:O$801,$W213)="","",INDEX('Per Invoice'!O$2:O$801,$W213)))</f>
        <v/>
      </c>
      <c r="P213">
        <f>IF($W213="","",IF(INDEX('Per Invoice'!P$2:P$801,$W213)="","",INDEX('Per Invoice'!P$2:P$801,$W213)))</f>
        <v/>
      </c>
      <c r="Q213" s="7">
        <f>IF($W213="","",IF(INDEX('Per Invoice'!Q$2:Q$801,$W213)="","",INDEX('Per Invoice'!Q$2:Q$801,$W213)))</f>
        <v/>
      </c>
      <c r="R213" s="7">
        <f>IF($W213="","",IF(INDEX('Per Invoice'!R$2:R$801,$W213)="","",INDEX('Per Invoice'!R$2:R$801,$W213)))</f>
        <v/>
      </c>
      <c r="S213" s="7">
        <f>IF($W213="","",IF(INDEX('Per Invoice'!S$2:S$801,$W213)="","",INDEX('Per Invoice'!S$2:S$801,$W213)))</f>
        <v/>
      </c>
      <c r="T213" s="7">
        <f>IF($W213="","",IF(INDEX('Per Invoice'!T$2:T$801,$W213)="","",INDEX('Per Invoice'!T$2:T$801,$W213)))</f>
        <v/>
      </c>
      <c r="U213" s="7">
        <f>IF($W213="","",IF(INDEX('Per Invoice'!U$2:U$801,$W213)="","",INDEX('Per Invoice'!U$2:U$801,$W213)))</f>
        <v/>
      </c>
      <c r="V213" s="7">
        <f>IF($W213="","",IF(INDEX('Per Invoice'!V$2:V$801,$W213)="","",INDEX('Per Invoice'!V$2:V$801,$W213)))</f>
        <v/>
      </c>
      <c r="W213" s="16">
        <f>IFERROR(MATCH(Settings!$C$27&amp;"|"&amp;ROWS($W$2:$W213),'Per Invoice'!$X$2:$X$801,0),"")</f>
        <v/>
      </c>
    </row>
    <row r="214">
      <c r="A214">
        <f>IF($W214="","",IF(INDEX('Per Invoice'!A$2:A$801,$W214)="","",INDEX('Per Invoice'!A$2:A$801,$W214)))</f>
        <v/>
      </c>
      <c r="B214">
        <f>IF($W214="","",IF(INDEX('Per Invoice'!B$2:B$801,$W214)="","",INDEX('Per Invoice'!B$2:B$801,$W214)))</f>
        <v/>
      </c>
      <c r="C214">
        <f>IF($W214="","",IF(INDEX('Per Invoice'!C$2:C$801,$W214)="","",INDEX('Per Invoice'!C$2:C$801,$W214)))</f>
        <v/>
      </c>
      <c r="D214">
        <f>IF($W214="","",IF(INDEX('Per Invoice'!D$2:D$801,$W214)="","",INDEX('Per Invoice'!D$2:D$801,$W214)))</f>
        <v/>
      </c>
      <c r="E214">
        <f>IF($W214="","",IF(INDEX('Per Invoice'!E$2:E$801,$W214)="","",INDEX('Per Invoice'!E$2:E$801,$W214)))</f>
        <v/>
      </c>
      <c r="F214">
        <f>IF($W214="","",IF(INDEX('Per Invoice'!F$2:F$801,$W214)="","",INDEX('Per Invoice'!F$2:F$801,$W214)))</f>
        <v/>
      </c>
      <c r="G214">
        <f>IF($W214="","",IF(INDEX('Per Invoice'!G$2:G$801,$W214)="","",INDEX('Per Invoice'!G$2:G$801,$W214)))</f>
        <v/>
      </c>
      <c r="H214">
        <f>IF($W214="","",IF(INDEX('Per Invoice'!H$2:H$801,$W214)="","",INDEX('Per Invoice'!H$2:H$801,$W214)))</f>
        <v/>
      </c>
      <c r="I214">
        <f>IF($W214="","",IF(INDEX('Per Invoice'!I$2:I$801,$W214)="","",INDEX('Per Invoice'!I$2:I$801,$W214)))</f>
        <v/>
      </c>
      <c r="J214">
        <f>IF($W214="","",IF(INDEX('Per Invoice'!J$2:J$801,$W214)="","",INDEX('Per Invoice'!J$2:J$801,$W214)))</f>
        <v/>
      </c>
      <c r="K214" s="7">
        <f>IF($W214="","",IF(INDEX('Per Invoice'!K$2:K$801,$W214)="","",INDEX('Per Invoice'!K$2:K$801,$W214)))</f>
        <v/>
      </c>
      <c r="L214" s="14">
        <f>IF($W214="","",IF(INDEX('Per Invoice'!L$2:L$801,$W214)="","",INDEX('Per Invoice'!L$2:L$801,$W214)))</f>
        <v/>
      </c>
      <c r="M214">
        <f>IF($W214="","",IF(INDEX('Per Invoice'!M$2:M$801,$W214)="","",INDEX('Per Invoice'!M$2:M$801,$W214)))</f>
        <v/>
      </c>
      <c r="N214" s="7">
        <f>IF($W214="","",IF(INDEX('Per Invoice'!N$2:N$801,$W214)="","",INDEX('Per Invoice'!N$2:N$801,$W214)))</f>
        <v/>
      </c>
      <c r="O214" s="7">
        <f>IF($W214="","",IF(INDEX('Per Invoice'!O$2:O$801,$W214)="","",INDEX('Per Invoice'!O$2:O$801,$W214)))</f>
        <v/>
      </c>
      <c r="P214">
        <f>IF($W214="","",IF(INDEX('Per Invoice'!P$2:P$801,$W214)="","",INDEX('Per Invoice'!P$2:P$801,$W214)))</f>
        <v/>
      </c>
      <c r="Q214" s="7">
        <f>IF($W214="","",IF(INDEX('Per Invoice'!Q$2:Q$801,$W214)="","",INDEX('Per Invoice'!Q$2:Q$801,$W214)))</f>
        <v/>
      </c>
      <c r="R214" s="7">
        <f>IF($W214="","",IF(INDEX('Per Invoice'!R$2:R$801,$W214)="","",INDEX('Per Invoice'!R$2:R$801,$W214)))</f>
        <v/>
      </c>
      <c r="S214" s="7">
        <f>IF($W214="","",IF(INDEX('Per Invoice'!S$2:S$801,$W214)="","",INDEX('Per Invoice'!S$2:S$801,$W214)))</f>
        <v/>
      </c>
      <c r="T214" s="7">
        <f>IF($W214="","",IF(INDEX('Per Invoice'!T$2:T$801,$W214)="","",INDEX('Per Invoice'!T$2:T$801,$W214)))</f>
        <v/>
      </c>
      <c r="U214" s="7">
        <f>IF($W214="","",IF(INDEX('Per Invoice'!U$2:U$801,$W214)="","",INDEX('Per Invoice'!U$2:U$801,$W214)))</f>
        <v/>
      </c>
      <c r="V214" s="7">
        <f>IF($W214="","",IF(INDEX('Per Invoice'!V$2:V$801,$W214)="","",INDEX('Per Invoice'!V$2:V$801,$W214)))</f>
        <v/>
      </c>
      <c r="W214" s="16">
        <f>IFERROR(MATCH(Settings!$C$27&amp;"|"&amp;ROWS($W$2:$W214),'Per Invoice'!$X$2:$X$801,0),"")</f>
        <v/>
      </c>
    </row>
    <row r="215">
      <c r="A215">
        <f>IF($W215="","",IF(INDEX('Per Invoice'!A$2:A$801,$W215)="","",INDEX('Per Invoice'!A$2:A$801,$W215)))</f>
        <v/>
      </c>
      <c r="B215">
        <f>IF($W215="","",IF(INDEX('Per Invoice'!B$2:B$801,$W215)="","",INDEX('Per Invoice'!B$2:B$801,$W215)))</f>
        <v/>
      </c>
      <c r="C215">
        <f>IF($W215="","",IF(INDEX('Per Invoice'!C$2:C$801,$W215)="","",INDEX('Per Invoice'!C$2:C$801,$W215)))</f>
        <v/>
      </c>
      <c r="D215">
        <f>IF($W215="","",IF(INDEX('Per Invoice'!D$2:D$801,$W215)="","",INDEX('Per Invoice'!D$2:D$801,$W215)))</f>
        <v/>
      </c>
      <c r="E215">
        <f>IF($W215="","",IF(INDEX('Per Invoice'!E$2:E$801,$W215)="","",INDEX('Per Invoice'!E$2:E$801,$W215)))</f>
        <v/>
      </c>
      <c r="F215">
        <f>IF($W215="","",IF(INDEX('Per Invoice'!F$2:F$801,$W215)="","",INDEX('Per Invoice'!F$2:F$801,$W215)))</f>
        <v/>
      </c>
      <c r="G215">
        <f>IF($W215="","",IF(INDEX('Per Invoice'!G$2:G$801,$W215)="","",INDEX('Per Invoice'!G$2:G$801,$W215)))</f>
        <v/>
      </c>
      <c r="H215">
        <f>IF($W215="","",IF(INDEX('Per Invoice'!H$2:H$801,$W215)="","",INDEX('Per Invoice'!H$2:H$801,$W215)))</f>
        <v/>
      </c>
      <c r="I215">
        <f>IF($W215="","",IF(INDEX('Per Invoice'!I$2:I$801,$W215)="","",INDEX('Per Invoice'!I$2:I$801,$W215)))</f>
        <v/>
      </c>
      <c r="J215">
        <f>IF($W215="","",IF(INDEX('Per Invoice'!J$2:J$801,$W215)="","",INDEX('Per Invoice'!J$2:J$801,$W215)))</f>
        <v/>
      </c>
      <c r="K215" s="7">
        <f>IF($W215="","",IF(INDEX('Per Invoice'!K$2:K$801,$W215)="","",INDEX('Per Invoice'!K$2:K$801,$W215)))</f>
        <v/>
      </c>
      <c r="L215" s="14">
        <f>IF($W215="","",IF(INDEX('Per Invoice'!L$2:L$801,$W215)="","",INDEX('Per Invoice'!L$2:L$801,$W215)))</f>
        <v/>
      </c>
      <c r="M215">
        <f>IF($W215="","",IF(INDEX('Per Invoice'!M$2:M$801,$W215)="","",INDEX('Per Invoice'!M$2:M$801,$W215)))</f>
        <v/>
      </c>
      <c r="N215" s="7">
        <f>IF($W215="","",IF(INDEX('Per Invoice'!N$2:N$801,$W215)="","",INDEX('Per Invoice'!N$2:N$801,$W215)))</f>
        <v/>
      </c>
      <c r="O215" s="7">
        <f>IF($W215="","",IF(INDEX('Per Invoice'!O$2:O$801,$W215)="","",INDEX('Per Invoice'!O$2:O$801,$W215)))</f>
        <v/>
      </c>
      <c r="P215">
        <f>IF($W215="","",IF(INDEX('Per Invoice'!P$2:P$801,$W215)="","",INDEX('Per Invoice'!P$2:P$801,$W215)))</f>
        <v/>
      </c>
      <c r="Q215" s="7">
        <f>IF($W215="","",IF(INDEX('Per Invoice'!Q$2:Q$801,$W215)="","",INDEX('Per Invoice'!Q$2:Q$801,$W215)))</f>
        <v/>
      </c>
      <c r="R215" s="7">
        <f>IF($W215="","",IF(INDEX('Per Invoice'!R$2:R$801,$W215)="","",INDEX('Per Invoice'!R$2:R$801,$W215)))</f>
        <v/>
      </c>
      <c r="S215" s="7">
        <f>IF($W215="","",IF(INDEX('Per Invoice'!S$2:S$801,$W215)="","",INDEX('Per Invoice'!S$2:S$801,$W215)))</f>
        <v/>
      </c>
      <c r="T215" s="7">
        <f>IF($W215="","",IF(INDEX('Per Invoice'!T$2:T$801,$W215)="","",INDEX('Per Invoice'!T$2:T$801,$W215)))</f>
        <v/>
      </c>
      <c r="U215" s="7">
        <f>IF($W215="","",IF(INDEX('Per Invoice'!U$2:U$801,$W215)="","",INDEX('Per Invoice'!U$2:U$801,$W215)))</f>
        <v/>
      </c>
      <c r="V215" s="7">
        <f>IF($W215="","",IF(INDEX('Per Invoice'!V$2:V$801,$W215)="","",INDEX('Per Invoice'!V$2:V$801,$W215)))</f>
        <v/>
      </c>
      <c r="W215" s="16">
        <f>IFERROR(MATCH(Settings!$C$27&amp;"|"&amp;ROWS($W$2:$W215),'Per Invoice'!$X$2:$X$801,0),"")</f>
        <v/>
      </c>
    </row>
    <row r="216">
      <c r="A216">
        <f>IF($W216="","",IF(INDEX('Per Invoice'!A$2:A$801,$W216)="","",INDEX('Per Invoice'!A$2:A$801,$W216)))</f>
        <v/>
      </c>
      <c r="B216">
        <f>IF($W216="","",IF(INDEX('Per Invoice'!B$2:B$801,$W216)="","",INDEX('Per Invoice'!B$2:B$801,$W216)))</f>
        <v/>
      </c>
      <c r="C216">
        <f>IF($W216="","",IF(INDEX('Per Invoice'!C$2:C$801,$W216)="","",INDEX('Per Invoice'!C$2:C$801,$W216)))</f>
        <v/>
      </c>
      <c r="D216">
        <f>IF($W216="","",IF(INDEX('Per Invoice'!D$2:D$801,$W216)="","",INDEX('Per Invoice'!D$2:D$801,$W216)))</f>
        <v/>
      </c>
      <c r="E216">
        <f>IF($W216="","",IF(INDEX('Per Invoice'!E$2:E$801,$W216)="","",INDEX('Per Invoice'!E$2:E$801,$W216)))</f>
        <v/>
      </c>
      <c r="F216">
        <f>IF($W216="","",IF(INDEX('Per Invoice'!F$2:F$801,$W216)="","",INDEX('Per Invoice'!F$2:F$801,$W216)))</f>
        <v/>
      </c>
      <c r="G216">
        <f>IF($W216="","",IF(INDEX('Per Invoice'!G$2:G$801,$W216)="","",INDEX('Per Invoice'!G$2:G$801,$W216)))</f>
        <v/>
      </c>
      <c r="H216">
        <f>IF($W216="","",IF(INDEX('Per Invoice'!H$2:H$801,$W216)="","",INDEX('Per Invoice'!H$2:H$801,$W216)))</f>
        <v/>
      </c>
      <c r="I216">
        <f>IF($W216="","",IF(INDEX('Per Invoice'!I$2:I$801,$W216)="","",INDEX('Per Invoice'!I$2:I$801,$W216)))</f>
        <v/>
      </c>
      <c r="J216">
        <f>IF($W216="","",IF(INDEX('Per Invoice'!J$2:J$801,$W216)="","",INDEX('Per Invoice'!J$2:J$801,$W216)))</f>
        <v/>
      </c>
      <c r="K216" s="7">
        <f>IF($W216="","",IF(INDEX('Per Invoice'!K$2:K$801,$W216)="","",INDEX('Per Invoice'!K$2:K$801,$W216)))</f>
        <v/>
      </c>
      <c r="L216" s="14">
        <f>IF($W216="","",IF(INDEX('Per Invoice'!L$2:L$801,$W216)="","",INDEX('Per Invoice'!L$2:L$801,$W216)))</f>
        <v/>
      </c>
      <c r="M216">
        <f>IF($W216="","",IF(INDEX('Per Invoice'!M$2:M$801,$W216)="","",INDEX('Per Invoice'!M$2:M$801,$W216)))</f>
        <v/>
      </c>
      <c r="N216" s="7">
        <f>IF($W216="","",IF(INDEX('Per Invoice'!N$2:N$801,$W216)="","",INDEX('Per Invoice'!N$2:N$801,$W216)))</f>
        <v/>
      </c>
      <c r="O216" s="7">
        <f>IF($W216="","",IF(INDEX('Per Invoice'!O$2:O$801,$W216)="","",INDEX('Per Invoice'!O$2:O$801,$W216)))</f>
        <v/>
      </c>
      <c r="P216">
        <f>IF($W216="","",IF(INDEX('Per Invoice'!P$2:P$801,$W216)="","",INDEX('Per Invoice'!P$2:P$801,$W216)))</f>
        <v/>
      </c>
      <c r="Q216" s="7">
        <f>IF($W216="","",IF(INDEX('Per Invoice'!Q$2:Q$801,$W216)="","",INDEX('Per Invoice'!Q$2:Q$801,$W216)))</f>
        <v/>
      </c>
      <c r="R216" s="7">
        <f>IF($W216="","",IF(INDEX('Per Invoice'!R$2:R$801,$W216)="","",INDEX('Per Invoice'!R$2:R$801,$W216)))</f>
        <v/>
      </c>
      <c r="S216" s="7">
        <f>IF($W216="","",IF(INDEX('Per Invoice'!S$2:S$801,$W216)="","",INDEX('Per Invoice'!S$2:S$801,$W216)))</f>
        <v/>
      </c>
      <c r="T216" s="7">
        <f>IF($W216="","",IF(INDEX('Per Invoice'!T$2:T$801,$W216)="","",INDEX('Per Invoice'!T$2:T$801,$W216)))</f>
        <v/>
      </c>
      <c r="U216" s="7">
        <f>IF($W216="","",IF(INDEX('Per Invoice'!U$2:U$801,$W216)="","",INDEX('Per Invoice'!U$2:U$801,$W216)))</f>
        <v/>
      </c>
      <c r="V216" s="7">
        <f>IF($W216="","",IF(INDEX('Per Invoice'!V$2:V$801,$W216)="","",INDEX('Per Invoice'!V$2:V$801,$W216)))</f>
        <v/>
      </c>
      <c r="W216" s="16">
        <f>IFERROR(MATCH(Settings!$C$27&amp;"|"&amp;ROWS($W$2:$W216),'Per Invoice'!$X$2:$X$801,0),"")</f>
        <v/>
      </c>
    </row>
    <row r="217">
      <c r="A217">
        <f>IF($W217="","",IF(INDEX('Per Invoice'!A$2:A$801,$W217)="","",INDEX('Per Invoice'!A$2:A$801,$W217)))</f>
        <v/>
      </c>
      <c r="B217">
        <f>IF($W217="","",IF(INDEX('Per Invoice'!B$2:B$801,$W217)="","",INDEX('Per Invoice'!B$2:B$801,$W217)))</f>
        <v/>
      </c>
      <c r="C217">
        <f>IF($W217="","",IF(INDEX('Per Invoice'!C$2:C$801,$W217)="","",INDEX('Per Invoice'!C$2:C$801,$W217)))</f>
        <v/>
      </c>
      <c r="D217">
        <f>IF($W217="","",IF(INDEX('Per Invoice'!D$2:D$801,$W217)="","",INDEX('Per Invoice'!D$2:D$801,$W217)))</f>
        <v/>
      </c>
      <c r="E217">
        <f>IF($W217="","",IF(INDEX('Per Invoice'!E$2:E$801,$W217)="","",INDEX('Per Invoice'!E$2:E$801,$W217)))</f>
        <v/>
      </c>
      <c r="F217">
        <f>IF($W217="","",IF(INDEX('Per Invoice'!F$2:F$801,$W217)="","",INDEX('Per Invoice'!F$2:F$801,$W217)))</f>
        <v/>
      </c>
      <c r="G217">
        <f>IF($W217="","",IF(INDEX('Per Invoice'!G$2:G$801,$W217)="","",INDEX('Per Invoice'!G$2:G$801,$W217)))</f>
        <v/>
      </c>
      <c r="H217">
        <f>IF($W217="","",IF(INDEX('Per Invoice'!H$2:H$801,$W217)="","",INDEX('Per Invoice'!H$2:H$801,$W217)))</f>
        <v/>
      </c>
      <c r="I217">
        <f>IF($W217="","",IF(INDEX('Per Invoice'!I$2:I$801,$W217)="","",INDEX('Per Invoice'!I$2:I$801,$W217)))</f>
        <v/>
      </c>
      <c r="J217">
        <f>IF($W217="","",IF(INDEX('Per Invoice'!J$2:J$801,$W217)="","",INDEX('Per Invoice'!J$2:J$801,$W217)))</f>
        <v/>
      </c>
      <c r="K217" s="7">
        <f>IF($W217="","",IF(INDEX('Per Invoice'!K$2:K$801,$W217)="","",INDEX('Per Invoice'!K$2:K$801,$W217)))</f>
        <v/>
      </c>
      <c r="L217" s="14">
        <f>IF($W217="","",IF(INDEX('Per Invoice'!L$2:L$801,$W217)="","",INDEX('Per Invoice'!L$2:L$801,$W217)))</f>
        <v/>
      </c>
      <c r="M217">
        <f>IF($W217="","",IF(INDEX('Per Invoice'!M$2:M$801,$W217)="","",INDEX('Per Invoice'!M$2:M$801,$W217)))</f>
        <v/>
      </c>
      <c r="N217" s="7">
        <f>IF($W217="","",IF(INDEX('Per Invoice'!N$2:N$801,$W217)="","",INDEX('Per Invoice'!N$2:N$801,$W217)))</f>
        <v/>
      </c>
      <c r="O217" s="7">
        <f>IF($W217="","",IF(INDEX('Per Invoice'!O$2:O$801,$W217)="","",INDEX('Per Invoice'!O$2:O$801,$W217)))</f>
        <v/>
      </c>
      <c r="P217">
        <f>IF($W217="","",IF(INDEX('Per Invoice'!P$2:P$801,$W217)="","",INDEX('Per Invoice'!P$2:P$801,$W217)))</f>
        <v/>
      </c>
      <c r="Q217" s="7">
        <f>IF($W217="","",IF(INDEX('Per Invoice'!Q$2:Q$801,$W217)="","",INDEX('Per Invoice'!Q$2:Q$801,$W217)))</f>
        <v/>
      </c>
      <c r="R217" s="7">
        <f>IF($W217="","",IF(INDEX('Per Invoice'!R$2:R$801,$W217)="","",INDEX('Per Invoice'!R$2:R$801,$W217)))</f>
        <v/>
      </c>
      <c r="S217" s="7">
        <f>IF($W217="","",IF(INDEX('Per Invoice'!S$2:S$801,$W217)="","",INDEX('Per Invoice'!S$2:S$801,$W217)))</f>
        <v/>
      </c>
      <c r="T217" s="7">
        <f>IF($W217="","",IF(INDEX('Per Invoice'!T$2:T$801,$W217)="","",INDEX('Per Invoice'!T$2:T$801,$W217)))</f>
        <v/>
      </c>
      <c r="U217" s="7">
        <f>IF($W217="","",IF(INDEX('Per Invoice'!U$2:U$801,$W217)="","",INDEX('Per Invoice'!U$2:U$801,$W217)))</f>
        <v/>
      </c>
      <c r="V217" s="7">
        <f>IF($W217="","",IF(INDEX('Per Invoice'!V$2:V$801,$W217)="","",INDEX('Per Invoice'!V$2:V$801,$W217)))</f>
        <v/>
      </c>
      <c r="W217" s="16">
        <f>IFERROR(MATCH(Settings!$C$27&amp;"|"&amp;ROWS($W$2:$W217),'Per Invoice'!$X$2:$X$801,0),"")</f>
        <v/>
      </c>
    </row>
    <row r="218">
      <c r="A218">
        <f>IF($W218="","",IF(INDEX('Per Invoice'!A$2:A$801,$W218)="","",INDEX('Per Invoice'!A$2:A$801,$W218)))</f>
        <v/>
      </c>
      <c r="B218">
        <f>IF($W218="","",IF(INDEX('Per Invoice'!B$2:B$801,$W218)="","",INDEX('Per Invoice'!B$2:B$801,$W218)))</f>
        <v/>
      </c>
      <c r="C218">
        <f>IF($W218="","",IF(INDEX('Per Invoice'!C$2:C$801,$W218)="","",INDEX('Per Invoice'!C$2:C$801,$W218)))</f>
        <v/>
      </c>
      <c r="D218">
        <f>IF($W218="","",IF(INDEX('Per Invoice'!D$2:D$801,$W218)="","",INDEX('Per Invoice'!D$2:D$801,$W218)))</f>
        <v/>
      </c>
      <c r="E218">
        <f>IF($W218="","",IF(INDEX('Per Invoice'!E$2:E$801,$W218)="","",INDEX('Per Invoice'!E$2:E$801,$W218)))</f>
        <v/>
      </c>
      <c r="F218">
        <f>IF($W218="","",IF(INDEX('Per Invoice'!F$2:F$801,$W218)="","",INDEX('Per Invoice'!F$2:F$801,$W218)))</f>
        <v/>
      </c>
      <c r="G218">
        <f>IF($W218="","",IF(INDEX('Per Invoice'!G$2:G$801,$W218)="","",INDEX('Per Invoice'!G$2:G$801,$W218)))</f>
        <v/>
      </c>
      <c r="H218">
        <f>IF($W218="","",IF(INDEX('Per Invoice'!H$2:H$801,$W218)="","",INDEX('Per Invoice'!H$2:H$801,$W218)))</f>
        <v/>
      </c>
      <c r="I218">
        <f>IF($W218="","",IF(INDEX('Per Invoice'!I$2:I$801,$W218)="","",INDEX('Per Invoice'!I$2:I$801,$W218)))</f>
        <v/>
      </c>
      <c r="J218">
        <f>IF($W218="","",IF(INDEX('Per Invoice'!J$2:J$801,$W218)="","",INDEX('Per Invoice'!J$2:J$801,$W218)))</f>
        <v/>
      </c>
      <c r="K218" s="7">
        <f>IF($W218="","",IF(INDEX('Per Invoice'!K$2:K$801,$W218)="","",INDEX('Per Invoice'!K$2:K$801,$W218)))</f>
        <v/>
      </c>
      <c r="L218" s="14">
        <f>IF($W218="","",IF(INDEX('Per Invoice'!L$2:L$801,$W218)="","",INDEX('Per Invoice'!L$2:L$801,$W218)))</f>
        <v/>
      </c>
      <c r="M218">
        <f>IF($W218="","",IF(INDEX('Per Invoice'!M$2:M$801,$W218)="","",INDEX('Per Invoice'!M$2:M$801,$W218)))</f>
        <v/>
      </c>
      <c r="N218" s="7">
        <f>IF($W218="","",IF(INDEX('Per Invoice'!N$2:N$801,$W218)="","",INDEX('Per Invoice'!N$2:N$801,$W218)))</f>
        <v/>
      </c>
      <c r="O218" s="7">
        <f>IF($W218="","",IF(INDEX('Per Invoice'!O$2:O$801,$W218)="","",INDEX('Per Invoice'!O$2:O$801,$W218)))</f>
        <v/>
      </c>
      <c r="P218">
        <f>IF($W218="","",IF(INDEX('Per Invoice'!P$2:P$801,$W218)="","",INDEX('Per Invoice'!P$2:P$801,$W218)))</f>
        <v/>
      </c>
      <c r="Q218" s="7">
        <f>IF($W218="","",IF(INDEX('Per Invoice'!Q$2:Q$801,$W218)="","",INDEX('Per Invoice'!Q$2:Q$801,$W218)))</f>
        <v/>
      </c>
      <c r="R218" s="7">
        <f>IF($W218="","",IF(INDEX('Per Invoice'!R$2:R$801,$W218)="","",INDEX('Per Invoice'!R$2:R$801,$W218)))</f>
        <v/>
      </c>
      <c r="S218" s="7">
        <f>IF($W218="","",IF(INDEX('Per Invoice'!S$2:S$801,$W218)="","",INDEX('Per Invoice'!S$2:S$801,$W218)))</f>
        <v/>
      </c>
      <c r="T218" s="7">
        <f>IF($W218="","",IF(INDEX('Per Invoice'!T$2:T$801,$W218)="","",INDEX('Per Invoice'!T$2:T$801,$W218)))</f>
        <v/>
      </c>
      <c r="U218" s="7">
        <f>IF($W218="","",IF(INDEX('Per Invoice'!U$2:U$801,$W218)="","",INDEX('Per Invoice'!U$2:U$801,$W218)))</f>
        <v/>
      </c>
      <c r="V218" s="7">
        <f>IF($W218="","",IF(INDEX('Per Invoice'!V$2:V$801,$W218)="","",INDEX('Per Invoice'!V$2:V$801,$W218)))</f>
        <v/>
      </c>
      <c r="W218" s="16">
        <f>IFERROR(MATCH(Settings!$C$27&amp;"|"&amp;ROWS($W$2:$W218),'Per Invoice'!$X$2:$X$801,0),"")</f>
        <v/>
      </c>
    </row>
    <row r="219">
      <c r="A219">
        <f>IF($W219="","",IF(INDEX('Per Invoice'!A$2:A$801,$W219)="","",INDEX('Per Invoice'!A$2:A$801,$W219)))</f>
        <v/>
      </c>
      <c r="B219">
        <f>IF($W219="","",IF(INDEX('Per Invoice'!B$2:B$801,$W219)="","",INDEX('Per Invoice'!B$2:B$801,$W219)))</f>
        <v/>
      </c>
      <c r="C219">
        <f>IF($W219="","",IF(INDEX('Per Invoice'!C$2:C$801,$W219)="","",INDEX('Per Invoice'!C$2:C$801,$W219)))</f>
        <v/>
      </c>
      <c r="D219">
        <f>IF($W219="","",IF(INDEX('Per Invoice'!D$2:D$801,$W219)="","",INDEX('Per Invoice'!D$2:D$801,$W219)))</f>
        <v/>
      </c>
      <c r="E219">
        <f>IF($W219="","",IF(INDEX('Per Invoice'!E$2:E$801,$W219)="","",INDEX('Per Invoice'!E$2:E$801,$W219)))</f>
        <v/>
      </c>
      <c r="F219">
        <f>IF($W219="","",IF(INDEX('Per Invoice'!F$2:F$801,$W219)="","",INDEX('Per Invoice'!F$2:F$801,$W219)))</f>
        <v/>
      </c>
      <c r="G219">
        <f>IF($W219="","",IF(INDEX('Per Invoice'!G$2:G$801,$W219)="","",INDEX('Per Invoice'!G$2:G$801,$W219)))</f>
        <v/>
      </c>
      <c r="H219">
        <f>IF($W219="","",IF(INDEX('Per Invoice'!H$2:H$801,$W219)="","",INDEX('Per Invoice'!H$2:H$801,$W219)))</f>
        <v/>
      </c>
      <c r="I219">
        <f>IF($W219="","",IF(INDEX('Per Invoice'!I$2:I$801,$W219)="","",INDEX('Per Invoice'!I$2:I$801,$W219)))</f>
        <v/>
      </c>
      <c r="J219">
        <f>IF($W219="","",IF(INDEX('Per Invoice'!J$2:J$801,$W219)="","",INDEX('Per Invoice'!J$2:J$801,$W219)))</f>
        <v/>
      </c>
      <c r="K219" s="7">
        <f>IF($W219="","",IF(INDEX('Per Invoice'!K$2:K$801,$W219)="","",INDEX('Per Invoice'!K$2:K$801,$W219)))</f>
        <v/>
      </c>
      <c r="L219" s="14">
        <f>IF($W219="","",IF(INDEX('Per Invoice'!L$2:L$801,$W219)="","",INDEX('Per Invoice'!L$2:L$801,$W219)))</f>
        <v/>
      </c>
      <c r="M219">
        <f>IF($W219="","",IF(INDEX('Per Invoice'!M$2:M$801,$W219)="","",INDEX('Per Invoice'!M$2:M$801,$W219)))</f>
        <v/>
      </c>
      <c r="N219" s="7">
        <f>IF($W219="","",IF(INDEX('Per Invoice'!N$2:N$801,$W219)="","",INDEX('Per Invoice'!N$2:N$801,$W219)))</f>
        <v/>
      </c>
      <c r="O219" s="7">
        <f>IF($W219="","",IF(INDEX('Per Invoice'!O$2:O$801,$W219)="","",INDEX('Per Invoice'!O$2:O$801,$W219)))</f>
        <v/>
      </c>
      <c r="P219">
        <f>IF($W219="","",IF(INDEX('Per Invoice'!P$2:P$801,$W219)="","",INDEX('Per Invoice'!P$2:P$801,$W219)))</f>
        <v/>
      </c>
      <c r="Q219" s="7">
        <f>IF($W219="","",IF(INDEX('Per Invoice'!Q$2:Q$801,$W219)="","",INDEX('Per Invoice'!Q$2:Q$801,$W219)))</f>
        <v/>
      </c>
      <c r="R219" s="7">
        <f>IF($W219="","",IF(INDEX('Per Invoice'!R$2:R$801,$W219)="","",INDEX('Per Invoice'!R$2:R$801,$W219)))</f>
        <v/>
      </c>
      <c r="S219" s="7">
        <f>IF($W219="","",IF(INDEX('Per Invoice'!S$2:S$801,$W219)="","",INDEX('Per Invoice'!S$2:S$801,$W219)))</f>
        <v/>
      </c>
      <c r="T219" s="7">
        <f>IF($W219="","",IF(INDEX('Per Invoice'!T$2:T$801,$W219)="","",INDEX('Per Invoice'!T$2:T$801,$W219)))</f>
        <v/>
      </c>
      <c r="U219" s="7">
        <f>IF($W219="","",IF(INDEX('Per Invoice'!U$2:U$801,$W219)="","",INDEX('Per Invoice'!U$2:U$801,$W219)))</f>
        <v/>
      </c>
      <c r="V219" s="7">
        <f>IF($W219="","",IF(INDEX('Per Invoice'!V$2:V$801,$W219)="","",INDEX('Per Invoice'!V$2:V$801,$W219)))</f>
        <v/>
      </c>
      <c r="W219" s="16">
        <f>IFERROR(MATCH(Settings!$C$27&amp;"|"&amp;ROWS($W$2:$W219),'Per Invoice'!$X$2:$X$801,0),"")</f>
        <v/>
      </c>
    </row>
    <row r="220">
      <c r="A220">
        <f>IF($W220="","",IF(INDEX('Per Invoice'!A$2:A$801,$W220)="","",INDEX('Per Invoice'!A$2:A$801,$W220)))</f>
        <v/>
      </c>
      <c r="B220">
        <f>IF($W220="","",IF(INDEX('Per Invoice'!B$2:B$801,$W220)="","",INDEX('Per Invoice'!B$2:B$801,$W220)))</f>
        <v/>
      </c>
      <c r="C220">
        <f>IF($W220="","",IF(INDEX('Per Invoice'!C$2:C$801,$W220)="","",INDEX('Per Invoice'!C$2:C$801,$W220)))</f>
        <v/>
      </c>
      <c r="D220">
        <f>IF($W220="","",IF(INDEX('Per Invoice'!D$2:D$801,$W220)="","",INDEX('Per Invoice'!D$2:D$801,$W220)))</f>
        <v/>
      </c>
      <c r="E220">
        <f>IF($W220="","",IF(INDEX('Per Invoice'!E$2:E$801,$W220)="","",INDEX('Per Invoice'!E$2:E$801,$W220)))</f>
        <v/>
      </c>
      <c r="F220">
        <f>IF($W220="","",IF(INDEX('Per Invoice'!F$2:F$801,$W220)="","",INDEX('Per Invoice'!F$2:F$801,$W220)))</f>
        <v/>
      </c>
      <c r="G220">
        <f>IF($W220="","",IF(INDEX('Per Invoice'!G$2:G$801,$W220)="","",INDEX('Per Invoice'!G$2:G$801,$W220)))</f>
        <v/>
      </c>
      <c r="H220">
        <f>IF($W220="","",IF(INDEX('Per Invoice'!H$2:H$801,$W220)="","",INDEX('Per Invoice'!H$2:H$801,$W220)))</f>
        <v/>
      </c>
      <c r="I220">
        <f>IF($W220="","",IF(INDEX('Per Invoice'!I$2:I$801,$W220)="","",INDEX('Per Invoice'!I$2:I$801,$W220)))</f>
        <v/>
      </c>
      <c r="J220">
        <f>IF($W220="","",IF(INDEX('Per Invoice'!J$2:J$801,$W220)="","",INDEX('Per Invoice'!J$2:J$801,$W220)))</f>
        <v/>
      </c>
      <c r="K220" s="7">
        <f>IF($W220="","",IF(INDEX('Per Invoice'!K$2:K$801,$W220)="","",INDEX('Per Invoice'!K$2:K$801,$W220)))</f>
        <v/>
      </c>
      <c r="L220" s="14">
        <f>IF($W220="","",IF(INDEX('Per Invoice'!L$2:L$801,$W220)="","",INDEX('Per Invoice'!L$2:L$801,$W220)))</f>
        <v/>
      </c>
      <c r="M220">
        <f>IF($W220="","",IF(INDEX('Per Invoice'!M$2:M$801,$W220)="","",INDEX('Per Invoice'!M$2:M$801,$W220)))</f>
        <v/>
      </c>
      <c r="N220" s="7">
        <f>IF($W220="","",IF(INDEX('Per Invoice'!N$2:N$801,$W220)="","",INDEX('Per Invoice'!N$2:N$801,$W220)))</f>
        <v/>
      </c>
      <c r="O220" s="7">
        <f>IF($W220="","",IF(INDEX('Per Invoice'!O$2:O$801,$W220)="","",INDEX('Per Invoice'!O$2:O$801,$W220)))</f>
        <v/>
      </c>
      <c r="P220">
        <f>IF($W220="","",IF(INDEX('Per Invoice'!P$2:P$801,$W220)="","",INDEX('Per Invoice'!P$2:P$801,$W220)))</f>
        <v/>
      </c>
      <c r="Q220" s="7">
        <f>IF($W220="","",IF(INDEX('Per Invoice'!Q$2:Q$801,$W220)="","",INDEX('Per Invoice'!Q$2:Q$801,$W220)))</f>
        <v/>
      </c>
      <c r="R220" s="7">
        <f>IF($W220="","",IF(INDEX('Per Invoice'!R$2:R$801,$W220)="","",INDEX('Per Invoice'!R$2:R$801,$W220)))</f>
        <v/>
      </c>
      <c r="S220" s="7">
        <f>IF($W220="","",IF(INDEX('Per Invoice'!S$2:S$801,$W220)="","",INDEX('Per Invoice'!S$2:S$801,$W220)))</f>
        <v/>
      </c>
      <c r="T220" s="7">
        <f>IF($W220="","",IF(INDEX('Per Invoice'!T$2:T$801,$W220)="","",INDEX('Per Invoice'!T$2:T$801,$W220)))</f>
        <v/>
      </c>
      <c r="U220" s="7">
        <f>IF($W220="","",IF(INDEX('Per Invoice'!U$2:U$801,$W220)="","",INDEX('Per Invoice'!U$2:U$801,$W220)))</f>
        <v/>
      </c>
      <c r="V220" s="7">
        <f>IF($W220="","",IF(INDEX('Per Invoice'!V$2:V$801,$W220)="","",INDEX('Per Invoice'!V$2:V$801,$W220)))</f>
        <v/>
      </c>
      <c r="W220" s="16">
        <f>IFERROR(MATCH(Settings!$C$27&amp;"|"&amp;ROWS($W$2:$W220),'Per Invoice'!$X$2:$X$801,0),"")</f>
        <v/>
      </c>
    </row>
    <row r="221">
      <c r="A221">
        <f>IF($W221="","",IF(INDEX('Per Invoice'!A$2:A$801,$W221)="","",INDEX('Per Invoice'!A$2:A$801,$W221)))</f>
        <v/>
      </c>
      <c r="B221">
        <f>IF($W221="","",IF(INDEX('Per Invoice'!B$2:B$801,$W221)="","",INDEX('Per Invoice'!B$2:B$801,$W221)))</f>
        <v/>
      </c>
      <c r="C221">
        <f>IF($W221="","",IF(INDEX('Per Invoice'!C$2:C$801,$W221)="","",INDEX('Per Invoice'!C$2:C$801,$W221)))</f>
        <v/>
      </c>
      <c r="D221">
        <f>IF($W221="","",IF(INDEX('Per Invoice'!D$2:D$801,$W221)="","",INDEX('Per Invoice'!D$2:D$801,$W221)))</f>
        <v/>
      </c>
      <c r="E221">
        <f>IF($W221="","",IF(INDEX('Per Invoice'!E$2:E$801,$W221)="","",INDEX('Per Invoice'!E$2:E$801,$W221)))</f>
        <v/>
      </c>
      <c r="F221">
        <f>IF($W221="","",IF(INDEX('Per Invoice'!F$2:F$801,$W221)="","",INDEX('Per Invoice'!F$2:F$801,$W221)))</f>
        <v/>
      </c>
      <c r="G221">
        <f>IF($W221="","",IF(INDEX('Per Invoice'!G$2:G$801,$W221)="","",INDEX('Per Invoice'!G$2:G$801,$W221)))</f>
        <v/>
      </c>
      <c r="H221">
        <f>IF($W221="","",IF(INDEX('Per Invoice'!H$2:H$801,$W221)="","",INDEX('Per Invoice'!H$2:H$801,$W221)))</f>
        <v/>
      </c>
      <c r="I221">
        <f>IF($W221="","",IF(INDEX('Per Invoice'!I$2:I$801,$W221)="","",INDEX('Per Invoice'!I$2:I$801,$W221)))</f>
        <v/>
      </c>
      <c r="J221">
        <f>IF($W221="","",IF(INDEX('Per Invoice'!J$2:J$801,$W221)="","",INDEX('Per Invoice'!J$2:J$801,$W221)))</f>
        <v/>
      </c>
      <c r="K221" s="7">
        <f>IF($W221="","",IF(INDEX('Per Invoice'!K$2:K$801,$W221)="","",INDEX('Per Invoice'!K$2:K$801,$W221)))</f>
        <v/>
      </c>
      <c r="L221" s="14">
        <f>IF($W221="","",IF(INDEX('Per Invoice'!L$2:L$801,$W221)="","",INDEX('Per Invoice'!L$2:L$801,$W221)))</f>
        <v/>
      </c>
      <c r="M221">
        <f>IF($W221="","",IF(INDEX('Per Invoice'!M$2:M$801,$W221)="","",INDEX('Per Invoice'!M$2:M$801,$W221)))</f>
        <v/>
      </c>
      <c r="N221" s="7">
        <f>IF($W221="","",IF(INDEX('Per Invoice'!N$2:N$801,$W221)="","",INDEX('Per Invoice'!N$2:N$801,$W221)))</f>
        <v/>
      </c>
      <c r="O221" s="7">
        <f>IF($W221="","",IF(INDEX('Per Invoice'!O$2:O$801,$W221)="","",INDEX('Per Invoice'!O$2:O$801,$W221)))</f>
        <v/>
      </c>
      <c r="P221">
        <f>IF($W221="","",IF(INDEX('Per Invoice'!P$2:P$801,$W221)="","",INDEX('Per Invoice'!P$2:P$801,$W221)))</f>
        <v/>
      </c>
      <c r="Q221" s="7">
        <f>IF($W221="","",IF(INDEX('Per Invoice'!Q$2:Q$801,$W221)="","",INDEX('Per Invoice'!Q$2:Q$801,$W221)))</f>
        <v/>
      </c>
      <c r="R221" s="7">
        <f>IF($W221="","",IF(INDEX('Per Invoice'!R$2:R$801,$W221)="","",INDEX('Per Invoice'!R$2:R$801,$W221)))</f>
        <v/>
      </c>
      <c r="S221" s="7">
        <f>IF($W221="","",IF(INDEX('Per Invoice'!S$2:S$801,$W221)="","",INDEX('Per Invoice'!S$2:S$801,$W221)))</f>
        <v/>
      </c>
      <c r="T221" s="7">
        <f>IF($W221="","",IF(INDEX('Per Invoice'!T$2:T$801,$W221)="","",INDEX('Per Invoice'!T$2:T$801,$W221)))</f>
        <v/>
      </c>
      <c r="U221" s="7">
        <f>IF($W221="","",IF(INDEX('Per Invoice'!U$2:U$801,$W221)="","",INDEX('Per Invoice'!U$2:U$801,$W221)))</f>
        <v/>
      </c>
      <c r="V221" s="7">
        <f>IF($W221="","",IF(INDEX('Per Invoice'!V$2:V$801,$W221)="","",INDEX('Per Invoice'!V$2:V$801,$W221)))</f>
        <v/>
      </c>
      <c r="W221" s="16">
        <f>IFERROR(MATCH(Settings!$C$27&amp;"|"&amp;ROWS($W$2:$W221),'Per Invoice'!$X$2:$X$801,0),"")</f>
        <v/>
      </c>
    </row>
    <row r="222">
      <c r="A222">
        <f>IF($W222="","",IF(INDEX('Per Invoice'!A$2:A$801,$W222)="","",INDEX('Per Invoice'!A$2:A$801,$W222)))</f>
        <v/>
      </c>
      <c r="B222">
        <f>IF($W222="","",IF(INDEX('Per Invoice'!B$2:B$801,$W222)="","",INDEX('Per Invoice'!B$2:B$801,$W222)))</f>
        <v/>
      </c>
      <c r="C222">
        <f>IF($W222="","",IF(INDEX('Per Invoice'!C$2:C$801,$W222)="","",INDEX('Per Invoice'!C$2:C$801,$W222)))</f>
        <v/>
      </c>
      <c r="D222">
        <f>IF($W222="","",IF(INDEX('Per Invoice'!D$2:D$801,$W222)="","",INDEX('Per Invoice'!D$2:D$801,$W222)))</f>
        <v/>
      </c>
      <c r="E222">
        <f>IF($W222="","",IF(INDEX('Per Invoice'!E$2:E$801,$W222)="","",INDEX('Per Invoice'!E$2:E$801,$W222)))</f>
        <v/>
      </c>
      <c r="F222">
        <f>IF($W222="","",IF(INDEX('Per Invoice'!F$2:F$801,$W222)="","",INDEX('Per Invoice'!F$2:F$801,$W222)))</f>
        <v/>
      </c>
      <c r="G222">
        <f>IF($W222="","",IF(INDEX('Per Invoice'!G$2:G$801,$W222)="","",INDEX('Per Invoice'!G$2:G$801,$W222)))</f>
        <v/>
      </c>
      <c r="H222">
        <f>IF($W222="","",IF(INDEX('Per Invoice'!H$2:H$801,$W222)="","",INDEX('Per Invoice'!H$2:H$801,$W222)))</f>
        <v/>
      </c>
      <c r="I222">
        <f>IF($W222="","",IF(INDEX('Per Invoice'!I$2:I$801,$W222)="","",INDEX('Per Invoice'!I$2:I$801,$W222)))</f>
        <v/>
      </c>
      <c r="J222">
        <f>IF($W222="","",IF(INDEX('Per Invoice'!J$2:J$801,$W222)="","",INDEX('Per Invoice'!J$2:J$801,$W222)))</f>
        <v/>
      </c>
      <c r="K222" s="7">
        <f>IF($W222="","",IF(INDEX('Per Invoice'!K$2:K$801,$W222)="","",INDEX('Per Invoice'!K$2:K$801,$W222)))</f>
        <v/>
      </c>
      <c r="L222" s="14">
        <f>IF($W222="","",IF(INDEX('Per Invoice'!L$2:L$801,$W222)="","",INDEX('Per Invoice'!L$2:L$801,$W222)))</f>
        <v/>
      </c>
      <c r="M222">
        <f>IF($W222="","",IF(INDEX('Per Invoice'!M$2:M$801,$W222)="","",INDEX('Per Invoice'!M$2:M$801,$W222)))</f>
        <v/>
      </c>
      <c r="N222" s="7">
        <f>IF($W222="","",IF(INDEX('Per Invoice'!N$2:N$801,$W222)="","",INDEX('Per Invoice'!N$2:N$801,$W222)))</f>
        <v/>
      </c>
      <c r="O222" s="7">
        <f>IF($W222="","",IF(INDEX('Per Invoice'!O$2:O$801,$W222)="","",INDEX('Per Invoice'!O$2:O$801,$W222)))</f>
        <v/>
      </c>
      <c r="P222">
        <f>IF($W222="","",IF(INDEX('Per Invoice'!P$2:P$801,$W222)="","",INDEX('Per Invoice'!P$2:P$801,$W222)))</f>
        <v/>
      </c>
      <c r="Q222" s="7">
        <f>IF($W222="","",IF(INDEX('Per Invoice'!Q$2:Q$801,$W222)="","",INDEX('Per Invoice'!Q$2:Q$801,$W222)))</f>
        <v/>
      </c>
      <c r="R222" s="7">
        <f>IF($W222="","",IF(INDEX('Per Invoice'!R$2:R$801,$W222)="","",INDEX('Per Invoice'!R$2:R$801,$W222)))</f>
        <v/>
      </c>
      <c r="S222" s="7">
        <f>IF($W222="","",IF(INDEX('Per Invoice'!S$2:S$801,$W222)="","",INDEX('Per Invoice'!S$2:S$801,$W222)))</f>
        <v/>
      </c>
      <c r="T222" s="7">
        <f>IF($W222="","",IF(INDEX('Per Invoice'!T$2:T$801,$W222)="","",INDEX('Per Invoice'!T$2:T$801,$W222)))</f>
        <v/>
      </c>
      <c r="U222" s="7">
        <f>IF($W222="","",IF(INDEX('Per Invoice'!U$2:U$801,$W222)="","",INDEX('Per Invoice'!U$2:U$801,$W222)))</f>
        <v/>
      </c>
      <c r="V222" s="7">
        <f>IF($W222="","",IF(INDEX('Per Invoice'!V$2:V$801,$W222)="","",INDEX('Per Invoice'!V$2:V$801,$W222)))</f>
        <v/>
      </c>
      <c r="W222" s="16">
        <f>IFERROR(MATCH(Settings!$C$27&amp;"|"&amp;ROWS($W$2:$W222),'Per Invoice'!$X$2:$X$801,0),"")</f>
        <v/>
      </c>
    </row>
    <row r="223">
      <c r="A223">
        <f>IF($W223="","",IF(INDEX('Per Invoice'!A$2:A$801,$W223)="","",INDEX('Per Invoice'!A$2:A$801,$W223)))</f>
        <v/>
      </c>
      <c r="B223">
        <f>IF($W223="","",IF(INDEX('Per Invoice'!B$2:B$801,$W223)="","",INDEX('Per Invoice'!B$2:B$801,$W223)))</f>
        <v/>
      </c>
      <c r="C223">
        <f>IF($W223="","",IF(INDEX('Per Invoice'!C$2:C$801,$W223)="","",INDEX('Per Invoice'!C$2:C$801,$W223)))</f>
        <v/>
      </c>
      <c r="D223">
        <f>IF($W223="","",IF(INDEX('Per Invoice'!D$2:D$801,$W223)="","",INDEX('Per Invoice'!D$2:D$801,$W223)))</f>
        <v/>
      </c>
      <c r="E223">
        <f>IF($W223="","",IF(INDEX('Per Invoice'!E$2:E$801,$W223)="","",INDEX('Per Invoice'!E$2:E$801,$W223)))</f>
        <v/>
      </c>
      <c r="F223">
        <f>IF($W223="","",IF(INDEX('Per Invoice'!F$2:F$801,$W223)="","",INDEX('Per Invoice'!F$2:F$801,$W223)))</f>
        <v/>
      </c>
      <c r="G223">
        <f>IF($W223="","",IF(INDEX('Per Invoice'!G$2:G$801,$W223)="","",INDEX('Per Invoice'!G$2:G$801,$W223)))</f>
        <v/>
      </c>
      <c r="H223">
        <f>IF($W223="","",IF(INDEX('Per Invoice'!H$2:H$801,$W223)="","",INDEX('Per Invoice'!H$2:H$801,$W223)))</f>
        <v/>
      </c>
      <c r="I223">
        <f>IF($W223="","",IF(INDEX('Per Invoice'!I$2:I$801,$W223)="","",INDEX('Per Invoice'!I$2:I$801,$W223)))</f>
        <v/>
      </c>
      <c r="J223">
        <f>IF($W223="","",IF(INDEX('Per Invoice'!J$2:J$801,$W223)="","",INDEX('Per Invoice'!J$2:J$801,$W223)))</f>
        <v/>
      </c>
      <c r="K223" s="7">
        <f>IF($W223="","",IF(INDEX('Per Invoice'!K$2:K$801,$W223)="","",INDEX('Per Invoice'!K$2:K$801,$W223)))</f>
        <v/>
      </c>
      <c r="L223" s="14">
        <f>IF($W223="","",IF(INDEX('Per Invoice'!L$2:L$801,$W223)="","",INDEX('Per Invoice'!L$2:L$801,$W223)))</f>
        <v/>
      </c>
      <c r="M223">
        <f>IF($W223="","",IF(INDEX('Per Invoice'!M$2:M$801,$W223)="","",INDEX('Per Invoice'!M$2:M$801,$W223)))</f>
        <v/>
      </c>
      <c r="N223" s="7">
        <f>IF($W223="","",IF(INDEX('Per Invoice'!N$2:N$801,$W223)="","",INDEX('Per Invoice'!N$2:N$801,$W223)))</f>
        <v/>
      </c>
      <c r="O223" s="7">
        <f>IF($W223="","",IF(INDEX('Per Invoice'!O$2:O$801,$W223)="","",INDEX('Per Invoice'!O$2:O$801,$W223)))</f>
        <v/>
      </c>
      <c r="P223">
        <f>IF($W223="","",IF(INDEX('Per Invoice'!P$2:P$801,$W223)="","",INDEX('Per Invoice'!P$2:P$801,$W223)))</f>
        <v/>
      </c>
      <c r="Q223" s="7">
        <f>IF($W223="","",IF(INDEX('Per Invoice'!Q$2:Q$801,$W223)="","",INDEX('Per Invoice'!Q$2:Q$801,$W223)))</f>
        <v/>
      </c>
      <c r="R223" s="7">
        <f>IF($W223="","",IF(INDEX('Per Invoice'!R$2:R$801,$W223)="","",INDEX('Per Invoice'!R$2:R$801,$W223)))</f>
        <v/>
      </c>
      <c r="S223" s="7">
        <f>IF($W223="","",IF(INDEX('Per Invoice'!S$2:S$801,$W223)="","",INDEX('Per Invoice'!S$2:S$801,$W223)))</f>
        <v/>
      </c>
      <c r="T223" s="7">
        <f>IF($W223="","",IF(INDEX('Per Invoice'!T$2:T$801,$W223)="","",INDEX('Per Invoice'!T$2:T$801,$W223)))</f>
        <v/>
      </c>
      <c r="U223" s="7">
        <f>IF($W223="","",IF(INDEX('Per Invoice'!U$2:U$801,$W223)="","",INDEX('Per Invoice'!U$2:U$801,$W223)))</f>
        <v/>
      </c>
      <c r="V223" s="7">
        <f>IF($W223="","",IF(INDEX('Per Invoice'!V$2:V$801,$W223)="","",INDEX('Per Invoice'!V$2:V$801,$W223)))</f>
        <v/>
      </c>
      <c r="W223" s="16">
        <f>IFERROR(MATCH(Settings!$C$27&amp;"|"&amp;ROWS($W$2:$W223),'Per Invoice'!$X$2:$X$801,0),"")</f>
        <v/>
      </c>
    </row>
    <row r="224">
      <c r="A224">
        <f>IF($W224="","",IF(INDEX('Per Invoice'!A$2:A$801,$W224)="","",INDEX('Per Invoice'!A$2:A$801,$W224)))</f>
        <v/>
      </c>
      <c r="B224">
        <f>IF($W224="","",IF(INDEX('Per Invoice'!B$2:B$801,$W224)="","",INDEX('Per Invoice'!B$2:B$801,$W224)))</f>
        <v/>
      </c>
      <c r="C224">
        <f>IF($W224="","",IF(INDEX('Per Invoice'!C$2:C$801,$W224)="","",INDEX('Per Invoice'!C$2:C$801,$W224)))</f>
        <v/>
      </c>
      <c r="D224">
        <f>IF($W224="","",IF(INDEX('Per Invoice'!D$2:D$801,$W224)="","",INDEX('Per Invoice'!D$2:D$801,$W224)))</f>
        <v/>
      </c>
      <c r="E224">
        <f>IF($W224="","",IF(INDEX('Per Invoice'!E$2:E$801,$W224)="","",INDEX('Per Invoice'!E$2:E$801,$W224)))</f>
        <v/>
      </c>
      <c r="F224">
        <f>IF($W224="","",IF(INDEX('Per Invoice'!F$2:F$801,$W224)="","",INDEX('Per Invoice'!F$2:F$801,$W224)))</f>
        <v/>
      </c>
      <c r="G224">
        <f>IF($W224="","",IF(INDEX('Per Invoice'!G$2:G$801,$W224)="","",INDEX('Per Invoice'!G$2:G$801,$W224)))</f>
        <v/>
      </c>
      <c r="H224">
        <f>IF($W224="","",IF(INDEX('Per Invoice'!H$2:H$801,$W224)="","",INDEX('Per Invoice'!H$2:H$801,$W224)))</f>
        <v/>
      </c>
      <c r="I224">
        <f>IF($W224="","",IF(INDEX('Per Invoice'!I$2:I$801,$W224)="","",INDEX('Per Invoice'!I$2:I$801,$W224)))</f>
        <v/>
      </c>
      <c r="J224">
        <f>IF($W224="","",IF(INDEX('Per Invoice'!J$2:J$801,$W224)="","",INDEX('Per Invoice'!J$2:J$801,$W224)))</f>
        <v/>
      </c>
      <c r="K224" s="7">
        <f>IF($W224="","",IF(INDEX('Per Invoice'!K$2:K$801,$W224)="","",INDEX('Per Invoice'!K$2:K$801,$W224)))</f>
        <v/>
      </c>
      <c r="L224" s="14">
        <f>IF($W224="","",IF(INDEX('Per Invoice'!L$2:L$801,$W224)="","",INDEX('Per Invoice'!L$2:L$801,$W224)))</f>
        <v/>
      </c>
      <c r="M224">
        <f>IF($W224="","",IF(INDEX('Per Invoice'!M$2:M$801,$W224)="","",INDEX('Per Invoice'!M$2:M$801,$W224)))</f>
        <v/>
      </c>
      <c r="N224" s="7">
        <f>IF($W224="","",IF(INDEX('Per Invoice'!N$2:N$801,$W224)="","",INDEX('Per Invoice'!N$2:N$801,$W224)))</f>
        <v/>
      </c>
      <c r="O224" s="7">
        <f>IF($W224="","",IF(INDEX('Per Invoice'!O$2:O$801,$W224)="","",INDEX('Per Invoice'!O$2:O$801,$W224)))</f>
        <v/>
      </c>
      <c r="P224">
        <f>IF($W224="","",IF(INDEX('Per Invoice'!P$2:P$801,$W224)="","",INDEX('Per Invoice'!P$2:P$801,$W224)))</f>
        <v/>
      </c>
      <c r="Q224" s="7">
        <f>IF($W224="","",IF(INDEX('Per Invoice'!Q$2:Q$801,$W224)="","",INDEX('Per Invoice'!Q$2:Q$801,$W224)))</f>
        <v/>
      </c>
      <c r="R224" s="7">
        <f>IF($W224="","",IF(INDEX('Per Invoice'!R$2:R$801,$W224)="","",INDEX('Per Invoice'!R$2:R$801,$W224)))</f>
        <v/>
      </c>
      <c r="S224" s="7">
        <f>IF($W224="","",IF(INDEX('Per Invoice'!S$2:S$801,$W224)="","",INDEX('Per Invoice'!S$2:S$801,$W224)))</f>
        <v/>
      </c>
      <c r="T224" s="7">
        <f>IF($W224="","",IF(INDEX('Per Invoice'!T$2:T$801,$W224)="","",INDEX('Per Invoice'!T$2:T$801,$W224)))</f>
        <v/>
      </c>
      <c r="U224" s="7">
        <f>IF($W224="","",IF(INDEX('Per Invoice'!U$2:U$801,$W224)="","",INDEX('Per Invoice'!U$2:U$801,$W224)))</f>
        <v/>
      </c>
      <c r="V224" s="7">
        <f>IF($W224="","",IF(INDEX('Per Invoice'!V$2:V$801,$W224)="","",INDEX('Per Invoice'!V$2:V$801,$W224)))</f>
        <v/>
      </c>
      <c r="W224" s="16">
        <f>IFERROR(MATCH(Settings!$C$27&amp;"|"&amp;ROWS($W$2:$W224),'Per Invoice'!$X$2:$X$801,0),"")</f>
        <v/>
      </c>
    </row>
    <row r="225">
      <c r="A225">
        <f>IF($W225="","",IF(INDEX('Per Invoice'!A$2:A$801,$W225)="","",INDEX('Per Invoice'!A$2:A$801,$W225)))</f>
        <v/>
      </c>
      <c r="B225">
        <f>IF($W225="","",IF(INDEX('Per Invoice'!B$2:B$801,$W225)="","",INDEX('Per Invoice'!B$2:B$801,$W225)))</f>
        <v/>
      </c>
      <c r="C225">
        <f>IF($W225="","",IF(INDEX('Per Invoice'!C$2:C$801,$W225)="","",INDEX('Per Invoice'!C$2:C$801,$W225)))</f>
        <v/>
      </c>
      <c r="D225">
        <f>IF($W225="","",IF(INDEX('Per Invoice'!D$2:D$801,$W225)="","",INDEX('Per Invoice'!D$2:D$801,$W225)))</f>
        <v/>
      </c>
      <c r="E225">
        <f>IF($W225="","",IF(INDEX('Per Invoice'!E$2:E$801,$W225)="","",INDEX('Per Invoice'!E$2:E$801,$W225)))</f>
        <v/>
      </c>
      <c r="F225">
        <f>IF($W225="","",IF(INDEX('Per Invoice'!F$2:F$801,$W225)="","",INDEX('Per Invoice'!F$2:F$801,$W225)))</f>
        <v/>
      </c>
      <c r="G225">
        <f>IF($W225="","",IF(INDEX('Per Invoice'!G$2:G$801,$W225)="","",INDEX('Per Invoice'!G$2:G$801,$W225)))</f>
        <v/>
      </c>
      <c r="H225">
        <f>IF($W225="","",IF(INDEX('Per Invoice'!H$2:H$801,$W225)="","",INDEX('Per Invoice'!H$2:H$801,$W225)))</f>
        <v/>
      </c>
      <c r="I225">
        <f>IF($W225="","",IF(INDEX('Per Invoice'!I$2:I$801,$W225)="","",INDEX('Per Invoice'!I$2:I$801,$W225)))</f>
        <v/>
      </c>
      <c r="J225">
        <f>IF($W225="","",IF(INDEX('Per Invoice'!J$2:J$801,$W225)="","",INDEX('Per Invoice'!J$2:J$801,$W225)))</f>
        <v/>
      </c>
      <c r="K225" s="7">
        <f>IF($W225="","",IF(INDEX('Per Invoice'!K$2:K$801,$W225)="","",INDEX('Per Invoice'!K$2:K$801,$W225)))</f>
        <v/>
      </c>
      <c r="L225" s="14">
        <f>IF($W225="","",IF(INDEX('Per Invoice'!L$2:L$801,$W225)="","",INDEX('Per Invoice'!L$2:L$801,$W225)))</f>
        <v/>
      </c>
      <c r="M225">
        <f>IF($W225="","",IF(INDEX('Per Invoice'!M$2:M$801,$W225)="","",INDEX('Per Invoice'!M$2:M$801,$W225)))</f>
        <v/>
      </c>
      <c r="N225" s="7">
        <f>IF($W225="","",IF(INDEX('Per Invoice'!N$2:N$801,$W225)="","",INDEX('Per Invoice'!N$2:N$801,$W225)))</f>
        <v/>
      </c>
      <c r="O225" s="7">
        <f>IF($W225="","",IF(INDEX('Per Invoice'!O$2:O$801,$W225)="","",INDEX('Per Invoice'!O$2:O$801,$W225)))</f>
        <v/>
      </c>
      <c r="P225">
        <f>IF($W225="","",IF(INDEX('Per Invoice'!P$2:P$801,$W225)="","",INDEX('Per Invoice'!P$2:P$801,$W225)))</f>
        <v/>
      </c>
      <c r="Q225" s="7">
        <f>IF($W225="","",IF(INDEX('Per Invoice'!Q$2:Q$801,$W225)="","",INDEX('Per Invoice'!Q$2:Q$801,$W225)))</f>
        <v/>
      </c>
      <c r="R225" s="7">
        <f>IF($W225="","",IF(INDEX('Per Invoice'!R$2:R$801,$W225)="","",INDEX('Per Invoice'!R$2:R$801,$W225)))</f>
        <v/>
      </c>
      <c r="S225" s="7">
        <f>IF($W225="","",IF(INDEX('Per Invoice'!S$2:S$801,$W225)="","",INDEX('Per Invoice'!S$2:S$801,$W225)))</f>
        <v/>
      </c>
      <c r="T225" s="7">
        <f>IF($W225="","",IF(INDEX('Per Invoice'!T$2:T$801,$W225)="","",INDEX('Per Invoice'!T$2:T$801,$W225)))</f>
        <v/>
      </c>
      <c r="U225" s="7">
        <f>IF($W225="","",IF(INDEX('Per Invoice'!U$2:U$801,$W225)="","",INDEX('Per Invoice'!U$2:U$801,$W225)))</f>
        <v/>
      </c>
      <c r="V225" s="7">
        <f>IF($W225="","",IF(INDEX('Per Invoice'!V$2:V$801,$W225)="","",INDEX('Per Invoice'!V$2:V$801,$W225)))</f>
        <v/>
      </c>
      <c r="W225" s="16">
        <f>IFERROR(MATCH(Settings!$C$27&amp;"|"&amp;ROWS($W$2:$W225),'Per Invoice'!$X$2:$X$801,0),"")</f>
        <v/>
      </c>
    </row>
    <row r="226">
      <c r="A226">
        <f>IF($W226="","",IF(INDEX('Per Invoice'!A$2:A$801,$W226)="","",INDEX('Per Invoice'!A$2:A$801,$W226)))</f>
        <v/>
      </c>
      <c r="B226">
        <f>IF($W226="","",IF(INDEX('Per Invoice'!B$2:B$801,$W226)="","",INDEX('Per Invoice'!B$2:B$801,$W226)))</f>
        <v/>
      </c>
      <c r="C226">
        <f>IF($W226="","",IF(INDEX('Per Invoice'!C$2:C$801,$W226)="","",INDEX('Per Invoice'!C$2:C$801,$W226)))</f>
        <v/>
      </c>
      <c r="D226">
        <f>IF($W226="","",IF(INDEX('Per Invoice'!D$2:D$801,$W226)="","",INDEX('Per Invoice'!D$2:D$801,$W226)))</f>
        <v/>
      </c>
      <c r="E226">
        <f>IF($W226="","",IF(INDEX('Per Invoice'!E$2:E$801,$W226)="","",INDEX('Per Invoice'!E$2:E$801,$W226)))</f>
        <v/>
      </c>
      <c r="F226">
        <f>IF($W226="","",IF(INDEX('Per Invoice'!F$2:F$801,$W226)="","",INDEX('Per Invoice'!F$2:F$801,$W226)))</f>
        <v/>
      </c>
      <c r="G226">
        <f>IF($W226="","",IF(INDEX('Per Invoice'!G$2:G$801,$W226)="","",INDEX('Per Invoice'!G$2:G$801,$W226)))</f>
        <v/>
      </c>
      <c r="H226">
        <f>IF($W226="","",IF(INDEX('Per Invoice'!H$2:H$801,$W226)="","",INDEX('Per Invoice'!H$2:H$801,$W226)))</f>
        <v/>
      </c>
      <c r="I226">
        <f>IF($W226="","",IF(INDEX('Per Invoice'!I$2:I$801,$W226)="","",INDEX('Per Invoice'!I$2:I$801,$W226)))</f>
        <v/>
      </c>
      <c r="J226">
        <f>IF($W226="","",IF(INDEX('Per Invoice'!J$2:J$801,$W226)="","",INDEX('Per Invoice'!J$2:J$801,$W226)))</f>
        <v/>
      </c>
      <c r="K226" s="7">
        <f>IF($W226="","",IF(INDEX('Per Invoice'!K$2:K$801,$W226)="","",INDEX('Per Invoice'!K$2:K$801,$W226)))</f>
        <v/>
      </c>
      <c r="L226" s="14">
        <f>IF($W226="","",IF(INDEX('Per Invoice'!L$2:L$801,$W226)="","",INDEX('Per Invoice'!L$2:L$801,$W226)))</f>
        <v/>
      </c>
      <c r="M226">
        <f>IF($W226="","",IF(INDEX('Per Invoice'!M$2:M$801,$W226)="","",INDEX('Per Invoice'!M$2:M$801,$W226)))</f>
        <v/>
      </c>
      <c r="N226" s="7">
        <f>IF($W226="","",IF(INDEX('Per Invoice'!N$2:N$801,$W226)="","",INDEX('Per Invoice'!N$2:N$801,$W226)))</f>
        <v/>
      </c>
      <c r="O226" s="7">
        <f>IF($W226="","",IF(INDEX('Per Invoice'!O$2:O$801,$W226)="","",INDEX('Per Invoice'!O$2:O$801,$W226)))</f>
        <v/>
      </c>
      <c r="P226">
        <f>IF($W226="","",IF(INDEX('Per Invoice'!P$2:P$801,$W226)="","",INDEX('Per Invoice'!P$2:P$801,$W226)))</f>
        <v/>
      </c>
      <c r="Q226" s="7">
        <f>IF($W226="","",IF(INDEX('Per Invoice'!Q$2:Q$801,$W226)="","",INDEX('Per Invoice'!Q$2:Q$801,$W226)))</f>
        <v/>
      </c>
      <c r="R226" s="7">
        <f>IF($W226="","",IF(INDEX('Per Invoice'!R$2:R$801,$W226)="","",INDEX('Per Invoice'!R$2:R$801,$W226)))</f>
        <v/>
      </c>
      <c r="S226" s="7">
        <f>IF($W226="","",IF(INDEX('Per Invoice'!S$2:S$801,$W226)="","",INDEX('Per Invoice'!S$2:S$801,$W226)))</f>
        <v/>
      </c>
      <c r="T226" s="7">
        <f>IF($W226="","",IF(INDEX('Per Invoice'!T$2:T$801,$W226)="","",INDEX('Per Invoice'!T$2:T$801,$W226)))</f>
        <v/>
      </c>
      <c r="U226" s="7">
        <f>IF($W226="","",IF(INDEX('Per Invoice'!U$2:U$801,$W226)="","",INDEX('Per Invoice'!U$2:U$801,$W226)))</f>
        <v/>
      </c>
      <c r="V226" s="7">
        <f>IF($W226="","",IF(INDEX('Per Invoice'!V$2:V$801,$W226)="","",INDEX('Per Invoice'!V$2:V$801,$W226)))</f>
        <v/>
      </c>
      <c r="W226" s="16">
        <f>IFERROR(MATCH(Settings!$C$27&amp;"|"&amp;ROWS($W$2:$W226),'Per Invoice'!$X$2:$X$801,0),"")</f>
        <v/>
      </c>
    </row>
    <row r="227">
      <c r="A227">
        <f>IF($W227="","",IF(INDEX('Per Invoice'!A$2:A$801,$W227)="","",INDEX('Per Invoice'!A$2:A$801,$W227)))</f>
        <v/>
      </c>
      <c r="B227">
        <f>IF($W227="","",IF(INDEX('Per Invoice'!B$2:B$801,$W227)="","",INDEX('Per Invoice'!B$2:B$801,$W227)))</f>
        <v/>
      </c>
      <c r="C227">
        <f>IF($W227="","",IF(INDEX('Per Invoice'!C$2:C$801,$W227)="","",INDEX('Per Invoice'!C$2:C$801,$W227)))</f>
        <v/>
      </c>
      <c r="D227">
        <f>IF($W227="","",IF(INDEX('Per Invoice'!D$2:D$801,$W227)="","",INDEX('Per Invoice'!D$2:D$801,$W227)))</f>
        <v/>
      </c>
      <c r="E227">
        <f>IF($W227="","",IF(INDEX('Per Invoice'!E$2:E$801,$W227)="","",INDEX('Per Invoice'!E$2:E$801,$W227)))</f>
        <v/>
      </c>
      <c r="F227">
        <f>IF($W227="","",IF(INDEX('Per Invoice'!F$2:F$801,$W227)="","",INDEX('Per Invoice'!F$2:F$801,$W227)))</f>
        <v/>
      </c>
      <c r="G227">
        <f>IF($W227="","",IF(INDEX('Per Invoice'!G$2:G$801,$W227)="","",INDEX('Per Invoice'!G$2:G$801,$W227)))</f>
        <v/>
      </c>
      <c r="H227">
        <f>IF($W227="","",IF(INDEX('Per Invoice'!H$2:H$801,$W227)="","",INDEX('Per Invoice'!H$2:H$801,$W227)))</f>
        <v/>
      </c>
      <c r="I227">
        <f>IF($W227="","",IF(INDEX('Per Invoice'!I$2:I$801,$W227)="","",INDEX('Per Invoice'!I$2:I$801,$W227)))</f>
        <v/>
      </c>
      <c r="J227">
        <f>IF($W227="","",IF(INDEX('Per Invoice'!J$2:J$801,$W227)="","",INDEX('Per Invoice'!J$2:J$801,$W227)))</f>
        <v/>
      </c>
      <c r="K227" s="7">
        <f>IF($W227="","",IF(INDEX('Per Invoice'!K$2:K$801,$W227)="","",INDEX('Per Invoice'!K$2:K$801,$W227)))</f>
        <v/>
      </c>
      <c r="L227" s="14">
        <f>IF($W227="","",IF(INDEX('Per Invoice'!L$2:L$801,$W227)="","",INDEX('Per Invoice'!L$2:L$801,$W227)))</f>
        <v/>
      </c>
      <c r="M227">
        <f>IF($W227="","",IF(INDEX('Per Invoice'!M$2:M$801,$W227)="","",INDEX('Per Invoice'!M$2:M$801,$W227)))</f>
        <v/>
      </c>
      <c r="N227" s="7">
        <f>IF($W227="","",IF(INDEX('Per Invoice'!N$2:N$801,$W227)="","",INDEX('Per Invoice'!N$2:N$801,$W227)))</f>
        <v/>
      </c>
      <c r="O227" s="7">
        <f>IF($W227="","",IF(INDEX('Per Invoice'!O$2:O$801,$W227)="","",INDEX('Per Invoice'!O$2:O$801,$W227)))</f>
        <v/>
      </c>
      <c r="P227">
        <f>IF($W227="","",IF(INDEX('Per Invoice'!P$2:P$801,$W227)="","",INDEX('Per Invoice'!P$2:P$801,$W227)))</f>
        <v/>
      </c>
      <c r="Q227" s="7">
        <f>IF($W227="","",IF(INDEX('Per Invoice'!Q$2:Q$801,$W227)="","",INDEX('Per Invoice'!Q$2:Q$801,$W227)))</f>
        <v/>
      </c>
      <c r="R227" s="7">
        <f>IF($W227="","",IF(INDEX('Per Invoice'!R$2:R$801,$W227)="","",INDEX('Per Invoice'!R$2:R$801,$W227)))</f>
        <v/>
      </c>
      <c r="S227" s="7">
        <f>IF($W227="","",IF(INDEX('Per Invoice'!S$2:S$801,$W227)="","",INDEX('Per Invoice'!S$2:S$801,$W227)))</f>
        <v/>
      </c>
      <c r="T227" s="7">
        <f>IF($W227="","",IF(INDEX('Per Invoice'!T$2:T$801,$W227)="","",INDEX('Per Invoice'!T$2:T$801,$W227)))</f>
        <v/>
      </c>
      <c r="U227" s="7">
        <f>IF($W227="","",IF(INDEX('Per Invoice'!U$2:U$801,$W227)="","",INDEX('Per Invoice'!U$2:U$801,$W227)))</f>
        <v/>
      </c>
      <c r="V227" s="7">
        <f>IF($W227="","",IF(INDEX('Per Invoice'!V$2:V$801,$W227)="","",INDEX('Per Invoice'!V$2:V$801,$W227)))</f>
        <v/>
      </c>
      <c r="W227" s="16">
        <f>IFERROR(MATCH(Settings!$C$27&amp;"|"&amp;ROWS($W$2:$W227),'Per Invoice'!$X$2:$X$801,0),"")</f>
        <v/>
      </c>
    </row>
    <row r="228">
      <c r="A228">
        <f>IF($W228="","",IF(INDEX('Per Invoice'!A$2:A$801,$W228)="","",INDEX('Per Invoice'!A$2:A$801,$W228)))</f>
        <v/>
      </c>
      <c r="B228">
        <f>IF($W228="","",IF(INDEX('Per Invoice'!B$2:B$801,$W228)="","",INDEX('Per Invoice'!B$2:B$801,$W228)))</f>
        <v/>
      </c>
      <c r="C228">
        <f>IF($W228="","",IF(INDEX('Per Invoice'!C$2:C$801,$W228)="","",INDEX('Per Invoice'!C$2:C$801,$W228)))</f>
        <v/>
      </c>
      <c r="D228">
        <f>IF($W228="","",IF(INDEX('Per Invoice'!D$2:D$801,$W228)="","",INDEX('Per Invoice'!D$2:D$801,$W228)))</f>
        <v/>
      </c>
      <c r="E228">
        <f>IF($W228="","",IF(INDEX('Per Invoice'!E$2:E$801,$W228)="","",INDEX('Per Invoice'!E$2:E$801,$W228)))</f>
        <v/>
      </c>
      <c r="F228">
        <f>IF($W228="","",IF(INDEX('Per Invoice'!F$2:F$801,$W228)="","",INDEX('Per Invoice'!F$2:F$801,$W228)))</f>
        <v/>
      </c>
      <c r="G228">
        <f>IF($W228="","",IF(INDEX('Per Invoice'!G$2:G$801,$W228)="","",INDEX('Per Invoice'!G$2:G$801,$W228)))</f>
        <v/>
      </c>
      <c r="H228">
        <f>IF($W228="","",IF(INDEX('Per Invoice'!H$2:H$801,$W228)="","",INDEX('Per Invoice'!H$2:H$801,$W228)))</f>
        <v/>
      </c>
      <c r="I228">
        <f>IF($W228="","",IF(INDEX('Per Invoice'!I$2:I$801,$W228)="","",INDEX('Per Invoice'!I$2:I$801,$W228)))</f>
        <v/>
      </c>
      <c r="J228">
        <f>IF($W228="","",IF(INDEX('Per Invoice'!J$2:J$801,$W228)="","",INDEX('Per Invoice'!J$2:J$801,$W228)))</f>
        <v/>
      </c>
      <c r="K228" s="7">
        <f>IF($W228="","",IF(INDEX('Per Invoice'!K$2:K$801,$W228)="","",INDEX('Per Invoice'!K$2:K$801,$W228)))</f>
        <v/>
      </c>
      <c r="L228" s="14">
        <f>IF($W228="","",IF(INDEX('Per Invoice'!L$2:L$801,$W228)="","",INDEX('Per Invoice'!L$2:L$801,$W228)))</f>
        <v/>
      </c>
      <c r="M228">
        <f>IF($W228="","",IF(INDEX('Per Invoice'!M$2:M$801,$W228)="","",INDEX('Per Invoice'!M$2:M$801,$W228)))</f>
        <v/>
      </c>
      <c r="N228" s="7">
        <f>IF($W228="","",IF(INDEX('Per Invoice'!N$2:N$801,$W228)="","",INDEX('Per Invoice'!N$2:N$801,$W228)))</f>
        <v/>
      </c>
      <c r="O228" s="7">
        <f>IF($W228="","",IF(INDEX('Per Invoice'!O$2:O$801,$W228)="","",INDEX('Per Invoice'!O$2:O$801,$W228)))</f>
        <v/>
      </c>
      <c r="P228">
        <f>IF($W228="","",IF(INDEX('Per Invoice'!P$2:P$801,$W228)="","",INDEX('Per Invoice'!P$2:P$801,$W228)))</f>
        <v/>
      </c>
      <c r="Q228" s="7">
        <f>IF($W228="","",IF(INDEX('Per Invoice'!Q$2:Q$801,$W228)="","",INDEX('Per Invoice'!Q$2:Q$801,$W228)))</f>
        <v/>
      </c>
      <c r="R228" s="7">
        <f>IF($W228="","",IF(INDEX('Per Invoice'!R$2:R$801,$W228)="","",INDEX('Per Invoice'!R$2:R$801,$W228)))</f>
        <v/>
      </c>
      <c r="S228" s="7">
        <f>IF($W228="","",IF(INDEX('Per Invoice'!S$2:S$801,$W228)="","",INDEX('Per Invoice'!S$2:S$801,$W228)))</f>
        <v/>
      </c>
      <c r="T228" s="7">
        <f>IF($W228="","",IF(INDEX('Per Invoice'!T$2:T$801,$W228)="","",INDEX('Per Invoice'!T$2:T$801,$W228)))</f>
        <v/>
      </c>
      <c r="U228" s="7">
        <f>IF($W228="","",IF(INDEX('Per Invoice'!U$2:U$801,$W228)="","",INDEX('Per Invoice'!U$2:U$801,$W228)))</f>
        <v/>
      </c>
      <c r="V228" s="7">
        <f>IF($W228="","",IF(INDEX('Per Invoice'!V$2:V$801,$W228)="","",INDEX('Per Invoice'!V$2:V$801,$W228)))</f>
        <v/>
      </c>
      <c r="W228" s="16">
        <f>IFERROR(MATCH(Settings!$C$27&amp;"|"&amp;ROWS($W$2:$W228),'Per Invoice'!$X$2:$X$801,0),"")</f>
        <v/>
      </c>
    </row>
    <row r="229">
      <c r="A229">
        <f>IF($W229="","",IF(INDEX('Per Invoice'!A$2:A$801,$W229)="","",INDEX('Per Invoice'!A$2:A$801,$W229)))</f>
        <v/>
      </c>
      <c r="B229">
        <f>IF($W229="","",IF(INDEX('Per Invoice'!B$2:B$801,$W229)="","",INDEX('Per Invoice'!B$2:B$801,$W229)))</f>
        <v/>
      </c>
      <c r="C229">
        <f>IF($W229="","",IF(INDEX('Per Invoice'!C$2:C$801,$W229)="","",INDEX('Per Invoice'!C$2:C$801,$W229)))</f>
        <v/>
      </c>
      <c r="D229">
        <f>IF($W229="","",IF(INDEX('Per Invoice'!D$2:D$801,$W229)="","",INDEX('Per Invoice'!D$2:D$801,$W229)))</f>
        <v/>
      </c>
      <c r="E229">
        <f>IF($W229="","",IF(INDEX('Per Invoice'!E$2:E$801,$W229)="","",INDEX('Per Invoice'!E$2:E$801,$W229)))</f>
        <v/>
      </c>
      <c r="F229">
        <f>IF($W229="","",IF(INDEX('Per Invoice'!F$2:F$801,$W229)="","",INDEX('Per Invoice'!F$2:F$801,$W229)))</f>
        <v/>
      </c>
      <c r="G229">
        <f>IF($W229="","",IF(INDEX('Per Invoice'!G$2:G$801,$W229)="","",INDEX('Per Invoice'!G$2:G$801,$W229)))</f>
        <v/>
      </c>
      <c r="H229">
        <f>IF($W229="","",IF(INDEX('Per Invoice'!H$2:H$801,$W229)="","",INDEX('Per Invoice'!H$2:H$801,$W229)))</f>
        <v/>
      </c>
      <c r="I229">
        <f>IF($W229="","",IF(INDEX('Per Invoice'!I$2:I$801,$W229)="","",INDEX('Per Invoice'!I$2:I$801,$W229)))</f>
        <v/>
      </c>
      <c r="J229">
        <f>IF($W229="","",IF(INDEX('Per Invoice'!J$2:J$801,$W229)="","",INDEX('Per Invoice'!J$2:J$801,$W229)))</f>
        <v/>
      </c>
      <c r="K229" s="7">
        <f>IF($W229="","",IF(INDEX('Per Invoice'!K$2:K$801,$W229)="","",INDEX('Per Invoice'!K$2:K$801,$W229)))</f>
        <v/>
      </c>
      <c r="L229" s="14">
        <f>IF($W229="","",IF(INDEX('Per Invoice'!L$2:L$801,$W229)="","",INDEX('Per Invoice'!L$2:L$801,$W229)))</f>
        <v/>
      </c>
      <c r="M229">
        <f>IF($W229="","",IF(INDEX('Per Invoice'!M$2:M$801,$W229)="","",INDEX('Per Invoice'!M$2:M$801,$W229)))</f>
        <v/>
      </c>
      <c r="N229" s="7">
        <f>IF($W229="","",IF(INDEX('Per Invoice'!N$2:N$801,$W229)="","",INDEX('Per Invoice'!N$2:N$801,$W229)))</f>
        <v/>
      </c>
      <c r="O229" s="7">
        <f>IF($W229="","",IF(INDEX('Per Invoice'!O$2:O$801,$W229)="","",INDEX('Per Invoice'!O$2:O$801,$W229)))</f>
        <v/>
      </c>
      <c r="P229">
        <f>IF($W229="","",IF(INDEX('Per Invoice'!P$2:P$801,$W229)="","",INDEX('Per Invoice'!P$2:P$801,$W229)))</f>
        <v/>
      </c>
      <c r="Q229" s="7">
        <f>IF($W229="","",IF(INDEX('Per Invoice'!Q$2:Q$801,$W229)="","",INDEX('Per Invoice'!Q$2:Q$801,$W229)))</f>
        <v/>
      </c>
      <c r="R229" s="7">
        <f>IF($W229="","",IF(INDEX('Per Invoice'!R$2:R$801,$W229)="","",INDEX('Per Invoice'!R$2:R$801,$W229)))</f>
        <v/>
      </c>
      <c r="S229" s="7">
        <f>IF($W229="","",IF(INDEX('Per Invoice'!S$2:S$801,$W229)="","",INDEX('Per Invoice'!S$2:S$801,$W229)))</f>
        <v/>
      </c>
      <c r="T229" s="7">
        <f>IF($W229="","",IF(INDEX('Per Invoice'!T$2:T$801,$W229)="","",INDEX('Per Invoice'!T$2:T$801,$W229)))</f>
        <v/>
      </c>
      <c r="U229" s="7">
        <f>IF($W229="","",IF(INDEX('Per Invoice'!U$2:U$801,$W229)="","",INDEX('Per Invoice'!U$2:U$801,$W229)))</f>
        <v/>
      </c>
      <c r="V229" s="7">
        <f>IF($W229="","",IF(INDEX('Per Invoice'!V$2:V$801,$W229)="","",INDEX('Per Invoice'!V$2:V$801,$W229)))</f>
        <v/>
      </c>
      <c r="W229" s="16">
        <f>IFERROR(MATCH(Settings!$C$27&amp;"|"&amp;ROWS($W$2:$W229),'Per Invoice'!$X$2:$X$801,0),"")</f>
        <v/>
      </c>
    </row>
    <row r="230">
      <c r="A230">
        <f>IF($W230="","",IF(INDEX('Per Invoice'!A$2:A$801,$W230)="","",INDEX('Per Invoice'!A$2:A$801,$W230)))</f>
        <v/>
      </c>
      <c r="B230">
        <f>IF($W230="","",IF(INDEX('Per Invoice'!B$2:B$801,$W230)="","",INDEX('Per Invoice'!B$2:B$801,$W230)))</f>
        <v/>
      </c>
      <c r="C230">
        <f>IF($W230="","",IF(INDEX('Per Invoice'!C$2:C$801,$W230)="","",INDEX('Per Invoice'!C$2:C$801,$W230)))</f>
        <v/>
      </c>
      <c r="D230">
        <f>IF($W230="","",IF(INDEX('Per Invoice'!D$2:D$801,$W230)="","",INDEX('Per Invoice'!D$2:D$801,$W230)))</f>
        <v/>
      </c>
      <c r="E230">
        <f>IF($W230="","",IF(INDEX('Per Invoice'!E$2:E$801,$W230)="","",INDEX('Per Invoice'!E$2:E$801,$W230)))</f>
        <v/>
      </c>
      <c r="F230">
        <f>IF($W230="","",IF(INDEX('Per Invoice'!F$2:F$801,$W230)="","",INDEX('Per Invoice'!F$2:F$801,$W230)))</f>
        <v/>
      </c>
      <c r="G230">
        <f>IF($W230="","",IF(INDEX('Per Invoice'!G$2:G$801,$W230)="","",INDEX('Per Invoice'!G$2:G$801,$W230)))</f>
        <v/>
      </c>
      <c r="H230">
        <f>IF($W230="","",IF(INDEX('Per Invoice'!H$2:H$801,$W230)="","",INDEX('Per Invoice'!H$2:H$801,$W230)))</f>
        <v/>
      </c>
      <c r="I230">
        <f>IF($W230="","",IF(INDEX('Per Invoice'!I$2:I$801,$W230)="","",INDEX('Per Invoice'!I$2:I$801,$W230)))</f>
        <v/>
      </c>
      <c r="J230">
        <f>IF($W230="","",IF(INDEX('Per Invoice'!J$2:J$801,$W230)="","",INDEX('Per Invoice'!J$2:J$801,$W230)))</f>
        <v/>
      </c>
      <c r="K230" s="7">
        <f>IF($W230="","",IF(INDEX('Per Invoice'!K$2:K$801,$W230)="","",INDEX('Per Invoice'!K$2:K$801,$W230)))</f>
        <v/>
      </c>
      <c r="L230" s="14">
        <f>IF($W230="","",IF(INDEX('Per Invoice'!L$2:L$801,$W230)="","",INDEX('Per Invoice'!L$2:L$801,$W230)))</f>
        <v/>
      </c>
      <c r="M230">
        <f>IF($W230="","",IF(INDEX('Per Invoice'!M$2:M$801,$W230)="","",INDEX('Per Invoice'!M$2:M$801,$W230)))</f>
        <v/>
      </c>
      <c r="N230" s="7">
        <f>IF($W230="","",IF(INDEX('Per Invoice'!N$2:N$801,$W230)="","",INDEX('Per Invoice'!N$2:N$801,$W230)))</f>
        <v/>
      </c>
      <c r="O230" s="7">
        <f>IF($W230="","",IF(INDEX('Per Invoice'!O$2:O$801,$W230)="","",INDEX('Per Invoice'!O$2:O$801,$W230)))</f>
        <v/>
      </c>
      <c r="P230">
        <f>IF($W230="","",IF(INDEX('Per Invoice'!P$2:P$801,$W230)="","",INDEX('Per Invoice'!P$2:P$801,$W230)))</f>
        <v/>
      </c>
      <c r="Q230" s="7">
        <f>IF($W230="","",IF(INDEX('Per Invoice'!Q$2:Q$801,$W230)="","",INDEX('Per Invoice'!Q$2:Q$801,$W230)))</f>
        <v/>
      </c>
      <c r="R230" s="7">
        <f>IF($W230="","",IF(INDEX('Per Invoice'!R$2:R$801,$W230)="","",INDEX('Per Invoice'!R$2:R$801,$W230)))</f>
        <v/>
      </c>
      <c r="S230" s="7">
        <f>IF($W230="","",IF(INDEX('Per Invoice'!S$2:S$801,$W230)="","",INDEX('Per Invoice'!S$2:S$801,$W230)))</f>
        <v/>
      </c>
      <c r="T230" s="7">
        <f>IF($W230="","",IF(INDEX('Per Invoice'!T$2:T$801,$W230)="","",INDEX('Per Invoice'!T$2:T$801,$W230)))</f>
        <v/>
      </c>
      <c r="U230" s="7">
        <f>IF($W230="","",IF(INDEX('Per Invoice'!U$2:U$801,$W230)="","",INDEX('Per Invoice'!U$2:U$801,$W230)))</f>
        <v/>
      </c>
      <c r="V230" s="7">
        <f>IF($W230="","",IF(INDEX('Per Invoice'!V$2:V$801,$W230)="","",INDEX('Per Invoice'!V$2:V$801,$W230)))</f>
        <v/>
      </c>
      <c r="W230" s="16">
        <f>IFERROR(MATCH(Settings!$C$27&amp;"|"&amp;ROWS($W$2:$W230),'Per Invoice'!$X$2:$X$801,0),"")</f>
        <v/>
      </c>
    </row>
    <row r="231">
      <c r="A231">
        <f>IF($W231="","",IF(INDEX('Per Invoice'!A$2:A$801,$W231)="","",INDEX('Per Invoice'!A$2:A$801,$W231)))</f>
        <v/>
      </c>
      <c r="B231">
        <f>IF($W231="","",IF(INDEX('Per Invoice'!B$2:B$801,$W231)="","",INDEX('Per Invoice'!B$2:B$801,$W231)))</f>
        <v/>
      </c>
      <c r="C231">
        <f>IF($W231="","",IF(INDEX('Per Invoice'!C$2:C$801,$W231)="","",INDEX('Per Invoice'!C$2:C$801,$W231)))</f>
        <v/>
      </c>
      <c r="D231">
        <f>IF($W231="","",IF(INDEX('Per Invoice'!D$2:D$801,$W231)="","",INDEX('Per Invoice'!D$2:D$801,$W231)))</f>
        <v/>
      </c>
      <c r="E231">
        <f>IF($W231="","",IF(INDEX('Per Invoice'!E$2:E$801,$W231)="","",INDEX('Per Invoice'!E$2:E$801,$W231)))</f>
        <v/>
      </c>
      <c r="F231">
        <f>IF($W231="","",IF(INDEX('Per Invoice'!F$2:F$801,$W231)="","",INDEX('Per Invoice'!F$2:F$801,$W231)))</f>
        <v/>
      </c>
      <c r="G231">
        <f>IF($W231="","",IF(INDEX('Per Invoice'!G$2:G$801,$W231)="","",INDEX('Per Invoice'!G$2:G$801,$W231)))</f>
        <v/>
      </c>
      <c r="H231">
        <f>IF($W231="","",IF(INDEX('Per Invoice'!H$2:H$801,$W231)="","",INDEX('Per Invoice'!H$2:H$801,$W231)))</f>
        <v/>
      </c>
      <c r="I231">
        <f>IF($W231="","",IF(INDEX('Per Invoice'!I$2:I$801,$W231)="","",INDEX('Per Invoice'!I$2:I$801,$W231)))</f>
        <v/>
      </c>
      <c r="J231">
        <f>IF($W231="","",IF(INDEX('Per Invoice'!J$2:J$801,$W231)="","",INDEX('Per Invoice'!J$2:J$801,$W231)))</f>
        <v/>
      </c>
      <c r="K231" s="7">
        <f>IF($W231="","",IF(INDEX('Per Invoice'!K$2:K$801,$W231)="","",INDEX('Per Invoice'!K$2:K$801,$W231)))</f>
        <v/>
      </c>
      <c r="L231" s="14">
        <f>IF($W231="","",IF(INDEX('Per Invoice'!L$2:L$801,$W231)="","",INDEX('Per Invoice'!L$2:L$801,$W231)))</f>
        <v/>
      </c>
      <c r="M231">
        <f>IF($W231="","",IF(INDEX('Per Invoice'!M$2:M$801,$W231)="","",INDEX('Per Invoice'!M$2:M$801,$W231)))</f>
        <v/>
      </c>
      <c r="N231" s="7">
        <f>IF($W231="","",IF(INDEX('Per Invoice'!N$2:N$801,$W231)="","",INDEX('Per Invoice'!N$2:N$801,$W231)))</f>
        <v/>
      </c>
      <c r="O231" s="7">
        <f>IF($W231="","",IF(INDEX('Per Invoice'!O$2:O$801,$W231)="","",INDEX('Per Invoice'!O$2:O$801,$W231)))</f>
        <v/>
      </c>
      <c r="P231">
        <f>IF($W231="","",IF(INDEX('Per Invoice'!P$2:P$801,$W231)="","",INDEX('Per Invoice'!P$2:P$801,$W231)))</f>
        <v/>
      </c>
      <c r="Q231" s="7">
        <f>IF($W231="","",IF(INDEX('Per Invoice'!Q$2:Q$801,$W231)="","",INDEX('Per Invoice'!Q$2:Q$801,$W231)))</f>
        <v/>
      </c>
      <c r="R231" s="7">
        <f>IF($W231="","",IF(INDEX('Per Invoice'!R$2:R$801,$W231)="","",INDEX('Per Invoice'!R$2:R$801,$W231)))</f>
        <v/>
      </c>
      <c r="S231" s="7">
        <f>IF($W231="","",IF(INDEX('Per Invoice'!S$2:S$801,$W231)="","",INDEX('Per Invoice'!S$2:S$801,$W231)))</f>
        <v/>
      </c>
      <c r="T231" s="7">
        <f>IF($W231="","",IF(INDEX('Per Invoice'!T$2:T$801,$W231)="","",INDEX('Per Invoice'!T$2:T$801,$W231)))</f>
        <v/>
      </c>
      <c r="U231" s="7">
        <f>IF($W231="","",IF(INDEX('Per Invoice'!U$2:U$801,$W231)="","",INDEX('Per Invoice'!U$2:U$801,$W231)))</f>
        <v/>
      </c>
      <c r="V231" s="7">
        <f>IF($W231="","",IF(INDEX('Per Invoice'!V$2:V$801,$W231)="","",INDEX('Per Invoice'!V$2:V$801,$W231)))</f>
        <v/>
      </c>
      <c r="W231" s="16">
        <f>IFERROR(MATCH(Settings!$C$27&amp;"|"&amp;ROWS($W$2:$W231),'Per Invoice'!$X$2:$X$801,0),"")</f>
        <v/>
      </c>
    </row>
    <row r="232">
      <c r="A232">
        <f>IF($W232="","",IF(INDEX('Per Invoice'!A$2:A$801,$W232)="","",INDEX('Per Invoice'!A$2:A$801,$W232)))</f>
        <v/>
      </c>
      <c r="B232">
        <f>IF($W232="","",IF(INDEX('Per Invoice'!B$2:B$801,$W232)="","",INDEX('Per Invoice'!B$2:B$801,$W232)))</f>
        <v/>
      </c>
      <c r="C232">
        <f>IF($W232="","",IF(INDEX('Per Invoice'!C$2:C$801,$W232)="","",INDEX('Per Invoice'!C$2:C$801,$W232)))</f>
        <v/>
      </c>
      <c r="D232">
        <f>IF($W232="","",IF(INDEX('Per Invoice'!D$2:D$801,$W232)="","",INDEX('Per Invoice'!D$2:D$801,$W232)))</f>
        <v/>
      </c>
      <c r="E232">
        <f>IF($W232="","",IF(INDEX('Per Invoice'!E$2:E$801,$W232)="","",INDEX('Per Invoice'!E$2:E$801,$W232)))</f>
        <v/>
      </c>
      <c r="F232">
        <f>IF($W232="","",IF(INDEX('Per Invoice'!F$2:F$801,$W232)="","",INDEX('Per Invoice'!F$2:F$801,$W232)))</f>
        <v/>
      </c>
      <c r="G232">
        <f>IF($W232="","",IF(INDEX('Per Invoice'!G$2:G$801,$W232)="","",INDEX('Per Invoice'!G$2:G$801,$W232)))</f>
        <v/>
      </c>
      <c r="H232">
        <f>IF($W232="","",IF(INDEX('Per Invoice'!H$2:H$801,$W232)="","",INDEX('Per Invoice'!H$2:H$801,$W232)))</f>
        <v/>
      </c>
      <c r="I232">
        <f>IF($W232="","",IF(INDEX('Per Invoice'!I$2:I$801,$W232)="","",INDEX('Per Invoice'!I$2:I$801,$W232)))</f>
        <v/>
      </c>
      <c r="J232">
        <f>IF($W232="","",IF(INDEX('Per Invoice'!J$2:J$801,$W232)="","",INDEX('Per Invoice'!J$2:J$801,$W232)))</f>
        <v/>
      </c>
      <c r="K232" s="7">
        <f>IF($W232="","",IF(INDEX('Per Invoice'!K$2:K$801,$W232)="","",INDEX('Per Invoice'!K$2:K$801,$W232)))</f>
        <v/>
      </c>
      <c r="L232" s="14">
        <f>IF($W232="","",IF(INDEX('Per Invoice'!L$2:L$801,$W232)="","",INDEX('Per Invoice'!L$2:L$801,$W232)))</f>
        <v/>
      </c>
      <c r="M232">
        <f>IF($W232="","",IF(INDEX('Per Invoice'!M$2:M$801,$W232)="","",INDEX('Per Invoice'!M$2:M$801,$W232)))</f>
        <v/>
      </c>
      <c r="N232" s="7">
        <f>IF($W232="","",IF(INDEX('Per Invoice'!N$2:N$801,$W232)="","",INDEX('Per Invoice'!N$2:N$801,$W232)))</f>
        <v/>
      </c>
      <c r="O232" s="7">
        <f>IF($W232="","",IF(INDEX('Per Invoice'!O$2:O$801,$W232)="","",INDEX('Per Invoice'!O$2:O$801,$W232)))</f>
        <v/>
      </c>
      <c r="P232">
        <f>IF($W232="","",IF(INDEX('Per Invoice'!P$2:P$801,$W232)="","",INDEX('Per Invoice'!P$2:P$801,$W232)))</f>
        <v/>
      </c>
      <c r="Q232" s="7">
        <f>IF($W232="","",IF(INDEX('Per Invoice'!Q$2:Q$801,$W232)="","",INDEX('Per Invoice'!Q$2:Q$801,$W232)))</f>
        <v/>
      </c>
      <c r="R232" s="7">
        <f>IF($W232="","",IF(INDEX('Per Invoice'!R$2:R$801,$W232)="","",INDEX('Per Invoice'!R$2:R$801,$W232)))</f>
        <v/>
      </c>
      <c r="S232" s="7">
        <f>IF($W232="","",IF(INDEX('Per Invoice'!S$2:S$801,$W232)="","",INDEX('Per Invoice'!S$2:S$801,$W232)))</f>
        <v/>
      </c>
      <c r="T232" s="7">
        <f>IF($W232="","",IF(INDEX('Per Invoice'!T$2:T$801,$W232)="","",INDEX('Per Invoice'!T$2:T$801,$W232)))</f>
        <v/>
      </c>
      <c r="U232" s="7">
        <f>IF($W232="","",IF(INDEX('Per Invoice'!U$2:U$801,$W232)="","",INDEX('Per Invoice'!U$2:U$801,$W232)))</f>
        <v/>
      </c>
      <c r="V232" s="7">
        <f>IF($W232="","",IF(INDEX('Per Invoice'!V$2:V$801,$W232)="","",INDEX('Per Invoice'!V$2:V$801,$W232)))</f>
        <v/>
      </c>
      <c r="W232" s="16">
        <f>IFERROR(MATCH(Settings!$C$27&amp;"|"&amp;ROWS($W$2:$W232),'Per Invoice'!$X$2:$X$801,0),"")</f>
        <v/>
      </c>
    </row>
    <row r="233">
      <c r="A233">
        <f>IF($W233="","",IF(INDEX('Per Invoice'!A$2:A$801,$W233)="","",INDEX('Per Invoice'!A$2:A$801,$W233)))</f>
        <v/>
      </c>
      <c r="B233">
        <f>IF($W233="","",IF(INDEX('Per Invoice'!B$2:B$801,$W233)="","",INDEX('Per Invoice'!B$2:B$801,$W233)))</f>
        <v/>
      </c>
      <c r="C233">
        <f>IF($W233="","",IF(INDEX('Per Invoice'!C$2:C$801,$W233)="","",INDEX('Per Invoice'!C$2:C$801,$W233)))</f>
        <v/>
      </c>
      <c r="D233">
        <f>IF($W233="","",IF(INDEX('Per Invoice'!D$2:D$801,$W233)="","",INDEX('Per Invoice'!D$2:D$801,$W233)))</f>
        <v/>
      </c>
      <c r="E233">
        <f>IF($W233="","",IF(INDEX('Per Invoice'!E$2:E$801,$W233)="","",INDEX('Per Invoice'!E$2:E$801,$W233)))</f>
        <v/>
      </c>
      <c r="F233">
        <f>IF($W233="","",IF(INDEX('Per Invoice'!F$2:F$801,$W233)="","",INDEX('Per Invoice'!F$2:F$801,$W233)))</f>
        <v/>
      </c>
      <c r="G233">
        <f>IF($W233="","",IF(INDEX('Per Invoice'!G$2:G$801,$W233)="","",INDEX('Per Invoice'!G$2:G$801,$W233)))</f>
        <v/>
      </c>
      <c r="H233">
        <f>IF($W233="","",IF(INDEX('Per Invoice'!H$2:H$801,$W233)="","",INDEX('Per Invoice'!H$2:H$801,$W233)))</f>
        <v/>
      </c>
      <c r="I233">
        <f>IF($W233="","",IF(INDEX('Per Invoice'!I$2:I$801,$W233)="","",INDEX('Per Invoice'!I$2:I$801,$W233)))</f>
        <v/>
      </c>
      <c r="J233">
        <f>IF($W233="","",IF(INDEX('Per Invoice'!J$2:J$801,$W233)="","",INDEX('Per Invoice'!J$2:J$801,$W233)))</f>
        <v/>
      </c>
      <c r="K233" s="7">
        <f>IF($W233="","",IF(INDEX('Per Invoice'!K$2:K$801,$W233)="","",INDEX('Per Invoice'!K$2:K$801,$W233)))</f>
        <v/>
      </c>
      <c r="L233" s="14">
        <f>IF($W233="","",IF(INDEX('Per Invoice'!L$2:L$801,$W233)="","",INDEX('Per Invoice'!L$2:L$801,$W233)))</f>
        <v/>
      </c>
      <c r="M233">
        <f>IF($W233="","",IF(INDEX('Per Invoice'!M$2:M$801,$W233)="","",INDEX('Per Invoice'!M$2:M$801,$W233)))</f>
        <v/>
      </c>
      <c r="N233" s="7">
        <f>IF($W233="","",IF(INDEX('Per Invoice'!N$2:N$801,$W233)="","",INDEX('Per Invoice'!N$2:N$801,$W233)))</f>
        <v/>
      </c>
      <c r="O233" s="7">
        <f>IF($W233="","",IF(INDEX('Per Invoice'!O$2:O$801,$W233)="","",INDEX('Per Invoice'!O$2:O$801,$W233)))</f>
        <v/>
      </c>
      <c r="P233">
        <f>IF($W233="","",IF(INDEX('Per Invoice'!P$2:P$801,$W233)="","",INDEX('Per Invoice'!P$2:P$801,$W233)))</f>
        <v/>
      </c>
      <c r="Q233" s="7">
        <f>IF($W233="","",IF(INDEX('Per Invoice'!Q$2:Q$801,$W233)="","",INDEX('Per Invoice'!Q$2:Q$801,$W233)))</f>
        <v/>
      </c>
      <c r="R233" s="7">
        <f>IF($W233="","",IF(INDEX('Per Invoice'!R$2:R$801,$W233)="","",INDEX('Per Invoice'!R$2:R$801,$W233)))</f>
        <v/>
      </c>
      <c r="S233" s="7">
        <f>IF($W233="","",IF(INDEX('Per Invoice'!S$2:S$801,$W233)="","",INDEX('Per Invoice'!S$2:S$801,$W233)))</f>
        <v/>
      </c>
      <c r="T233" s="7">
        <f>IF($W233="","",IF(INDEX('Per Invoice'!T$2:T$801,$W233)="","",INDEX('Per Invoice'!T$2:T$801,$W233)))</f>
        <v/>
      </c>
      <c r="U233" s="7">
        <f>IF($W233="","",IF(INDEX('Per Invoice'!U$2:U$801,$W233)="","",INDEX('Per Invoice'!U$2:U$801,$W233)))</f>
        <v/>
      </c>
      <c r="V233" s="7">
        <f>IF($W233="","",IF(INDEX('Per Invoice'!V$2:V$801,$W233)="","",INDEX('Per Invoice'!V$2:V$801,$W233)))</f>
        <v/>
      </c>
      <c r="W233" s="16">
        <f>IFERROR(MATCH(Settings!$C$27&amp;"|"&amp;ROWS($W$2:$W233),'Per Invoice'!$X$2:$X$801,0),"")</f>
        <v/>
      </c>
    </row>
    <row r="234">
      <c r="A234">
        <f>IF($W234="","",IF(INDEX('Per Invoice'!A$2:A$801,$W234)="","",INDEX('Per Invoice'!A$2:A$801,$W234)))</f>
        <v/>
      </c>
      <c r="B234">
        <f>IF($W234="","",IF(INDEX('Per Invoice'!B$2:B$801,$W234)="","",INDEX('Per Invoice'!B$2:B$801,$W234)))</f>
        <v/>
      </c>
      <c r="C234">
        <f>IF($W234="","",IF(INDEX('Per Invoice'!C$2:C$801,$W234)="","",INDEX('Per Invoice'!C$2:C$801,$W234)))</f>
        <v/>
      </c>
      <c r="D234">
        <f>IF($W234="","",IF(INDEX('Per Invoice'!D$2:D$801,$W234)="","",INDEX('Per Invoice'!D$2:D$801,$W234)))</f>
        <v/>
      </c>
      <c r="E234">
        <f>IF($W234="","",IF(INDEX('Per Invoice'!E$2:E$801,$W234)="","",INDEX('Per Invoice'!E$2:E$801,$W234)))</f>
        <v/>
      </c>
      <c r="F234">
        <f>IF($W234="","",IF(INDEX('Per Invoice'!F$2:F$801,$W234)="","",INDEX('Per Invoice'!F$2:F$801,$W234)))</f>
        <v/>
      </c>
      <c r="G234">
        <f>IF($W234="","",IF(INDEX('Per Invoice'!G$2:G$801,$W234)="","",INDEX('Per Invoice'!G$2:G$801,$W234)))</f>
        <v/>
      </c>
      <c r="H234">
        <f>IF($W234="","",IF(INDEX('Per Invoice'!H$2:H$801,$W234)="","",INDEX('Per Invoice'!H$2:H$801,$W234)))</f>
        <v/>
      </c>
      <c r="I234">
        <f>IF($W234="","",IF(INDEX('Per Invoice'!I$2:I$801,$W234)="","",INDEX('Per Invoice'!I$2:I$801,$W234)))</f>
        <v/>
      </c>
      <c r="J234">
        <f>IF($W234="","",IF(INDEX('Per Invoice'!J$2:J$801,$W234)="","",INDEX('Per Invoice'!J$2:J$801,$W234)))</f>
        <v/>
      </c>
      <c r="K234" s="7">
        <f>IF($W234="","",IF(INDEX('Per Invoice'!K$2:K$801,$W234)="","",INDEX('Per Invoice'!K$2:K$801,$W234)))</f>
        <v/>
      </c>
      <c r="L234" s="14">
        <f>IF($W234="","",IF(INDEX('Per Invoice'!L$2:L$801,$W234)="","",INDEX('Per Invoice'!L$2:L$801,$W234)))</f>
        <v/>
      </c>
      <c r="M234">
        <f>IF($W234="","",IF(INDEX('Per Invoice'!M$2:M$801,$W234)="","",INDEX('Per Invoice'!M$2:M$801,$W234)))</f>
        <v/>
      </c>
      <c r="N234" s="7">
        <f>IF($W234="","",IF(INDEX('Per Invoice'!N$2:N$801,$W234)="","",INDEX('Per Invoice'!N$2:N$801,$W234)))</f>
        <v/>
      </c>
      <c r="O234" s="7">
        <f>IF($W234="","",IF(INDEX('Per Invoice'!O$2:O$801,$W234)="","",INDEX('Per Invoice'!O$2:O$801,$W234)))</f>
        <v/>
      </c>
      <c r="P234">
        <f>IF($W234="","",IF(INDEX('Per Invoice'!P$2:P$801,$W234)="","",INDEX('Per Invoice'!P$2:P$801,$W234)))</f>
        <v/>
      </c>
      <c r="Q234" s="7">
        <f>IF($W234="","",IF(INDEX('Per Invoice'!Q$2:Q$801,$W234)="","",INDEX('Per Invoice'!Q$2:Q$801,$W234)))</f>
        <v/>
      </c>
      <c r="R234" s="7">
        <f>IF($W234="","",IF(INDEX('Per Invoice'!R$2:R$801,$W234)="","",INDEX('Per Invoice'!R$2:R$801,$W234)))</f>
        <v/>
      </c>
      <c r="S234" s="7">
        <f>IF($W234="","",IF(INDEX('Per Invoice'!S$2:S$801,$W234)="","",INDEX('Per Invoice'!S$2:S$801,$W234)))</f>
        <v/>
      </c>
      <c r="T234" s="7">
        <f>IF($W234="","",IF(INDEX('Per Invoice'!T$2:T$801,$W234)="","",INDEX('Per Invoice'!T$2:T$801,$W234)))</f>
        <v/>
      </c>
      <c r="U234" s="7">
        <f>IF($W234="","",IF(INDEX('Per Invoice'!U$2:U$801,$W234)="","",INDEX('Per Invoice'!U$2:U$801,$W234)))</f>
        <v/>
      </c>
      <c r="V234" s="7">
        <f>IF($W234="","",IF(INDEX('Per Invoice'!V$2:V$801,$W234)="","",INDEX('Per Invoice'!V$2:V$801,$W234)))</f>
        <v/>
      </c>
      <c r="W234" s="16">
        <f>IFERROR(MATCH(Settings!$C$27&amp;"|"&amp;ROWS($W$2:$W234),'Per Invoice'!$X$2:$X$801,0),"")</f>
        <v/>
      </c>
    </row>
    <row r="235">
      <c r="A235">
        <f>IF($W235="","",IF(INDEX('Per Invoice'!A$2:A$801,$W235)="","",INDEX('Per Invoice'!A$2:A$801,$W235)))</f>
        <v/>
      </c>
      <c r="B235">
        <f>IF($W235="","",IF(INDEX('Per Invoice'!B$2:B$801,$W235)="","",INDEX('Per Invoice'!B$2:B$801,$W235)))</f>
        <v/>
      </c>
      <c r="C235">
        <f>IF($W235="","",IF(INDEX('Per Invoice'!C$2:C$801,$W235)="","",INDEX('Per Invoice'!C$2:C$801,$W235)))</f>
        <v/>
      </c>
      <c r="D235">
        <f>IF($W235="","",IF(INDEX('Per Invoice'!D$2:D$801,$W235)="","",INDEX('Per Invoice'!D$2:D$801,$W235)))</f>
        <v/>
      </c>
      <c r="E235">
        <f>IF($W235="","",IF(INDEX('Per Invoice'!E$2:E$801,$W235)="","",INDEX('Per Invoice'!E$2:E$801,$W235)))</f>
        <v/>
      </c>
      <c r="F235">
        <f>IF($W235="","",IF(INDEX('Per Invoice'!F$2:F$801,$W235)="","",INDEX('Per Invoice'!F$2:F$801,$W235)))</f>
        <v/>
      </c>
      <c r="G235">
        <f>IF($W235="","",IF(INDEX('Per Invoice'!G$2:G$801,$W235)="","",INDEX('Per Invoice'!G$2:G$801,$W235)))</f>
        <v/>
      </c>
      <c r="H235">
        <f>IF($W235="","",IF(INDEX('Per Invoice'!H$2:H$801,$W235)="","",INDEX('Per Invoice'!H$2:H$801,$W235)))</f>
        <v/>
      </c>
      <c r="I235">
        <f>IF($W235="","",IF(INDEX('Per Invoice'!I$2:I$801,$W235)="","",INDEX('Per Invoice'!I$2:I$801,$W235)))</f>
        <v/>
      </c>
      <c r="J235">
        <f>IF($W235="","",IF(INDEX('Per Invoice'!J$2:J$801,$W235)="","",INDEX('Per Invoice'!J$2:J$801,$W235)))</f>
        <v/>
      </c>
      <c r="K235" s="7">
        <f>IF($W235="","",IF(INDEX('Per Invoice'!K$2:K$801,$W235)="","",INDEX('Per Invoice'!K$2:K$801,$W235)))</f>
        <v/>
      </c>
      <c r="L235" s="14">
        <f>IF($W235="","",IF(INDEX('Per Invoice'!L$2:L$801,$W235)="","",INDEX('Per Invoice'!L$2:L$801,$W235)))</f>
        <v/>
      </c>
      <c r="M235">
        <f>IF($W235="","",IF(INDEX('Per Invoice'!M$2:M$801,$W235)="","",INDEX('Per Invoice'!M$2:M$801,$W235)))</f>
        <v/>
      </c>
      <c r="N235" s="7">
        <f>IF($W235="","",IF(INDEX('Per Invoice'!N$2:N$801,$W235)="","",INDEX('Per Invoice'!N$2:N$801,$W235)))</f>
        <v/>
      </c>
      <c r="O235" s="7">
        <f>IF($W235="","",IF(INDEX('Per Invoice'!O$2:O$801,$W235)="","",INDEX('Per Invoice'!O$2:O$801,$W235)))</f>
        <v/>
      </c>
      <c r="P235">
        <f>IF($W235="","",IF(INDEX('Per Invoice'!P$2:P$801,$W235)="","",INDEX('Per Invoice'!P$2:P$801,$W235)))</f>
        <v/>
      </c>
      <c r="Q235" s="7">
        <f>IF($W235="","",IF(INDEX('Per Invoice'!Q$2:Q$801,$W235)="","",INDEX('Per Invoice'!Q$2:Q$801,$W235)))</f>
        <v/>
      </c>
      <c r="R235" s="7">
        <f>IF($W235="","",IF(INDEX('Per Invoice'!R$2:R$801,$W235)="","",INDEX('Per Invoice'!R$2:R$801,$W235)))</f>
        <v/>
      </c>
      <c r="S235" s="7">
        <f>IF($W235="","",IF(INDEX('Per Invoice'!S$2:S$801,$W235)="","",INDEX('Per Invoice'!S$2:S$801,$W235)))</f>
        <v/>
      </c>
      <c r="T235" s="7">
        <f>IF($W235="","",IF(INDEX('Per Invoice'!T$2:T$801,$W235)="","",INDEX('Per Invoice'!T$2:T$801,$W235)))</f>
        <v/>
      </c>
      <c r="U235" s="7">
        <f>IF($W235="","",IF(INDEX('Per Invoice'!U$2:U$801,$W235)="","",INDEX('Per Invoice'!U$2:U$801,$W235)))</f>
        <v/>
      </c>
      <c r="V235" s="7">
        <f>IF($W235="","",IF(INDEX('Per Invoice'!V$2:V$801,$W235)="","",INDEX('Per Invoice'!V$2:V$801,$W235)))</f>
        <v/>
      </c>
      <c r="W235" s="16">
        <f>IFERROR(MATCH(Settings!$C$27&amp;"|"&amp;ROWS($W$2:$W235),'Per Invoice'!$X$2:$X$801,0),"")</f>
        <v/>
      </c>
    </row>
    <row r="236">
      <c r="A236">
        <f>IF($W236="","",IF(INDEX('Per Invoice'!A$2:A$801,$W236)="","",INDEX('Per Invoice'!A$2:A$801,$W236)))</f>
        <v/>
      </c>
      <c r="B236">
        <f>IF($W236="","",IF(INDEX('Per Invoice'!B$2:B$801,$W236)="","",INDEX('Per Invoice'!B$2:B$801,$W236)))</f>
        <v/>
      </c>
      <c r="C236">
        <f>IF($W236="","",IF(INDEX('Per Invoice'!C$2:C$801,$W236)="","",INDEX('Per Invoice'!C$2:C$801,$W236)))</f>
        <v/>
      </c>
      <c r="D236">
        <f>IF($W236="","",IF(INDEX('Per Invoice'!D$2:D$801,$W236)="","",INDEX('Per Invoice'!D$2:D$801,$W236)))</f>
        <v/>
      </c>
      <c r="E236">
        <f>IF($W236="","",IF(INDEX('Per Invoice'!E$2:E$801,$W236)="","",INDEX('Per Invoice'!E$2:E$801,$W236)))</f>
        <v/>
      </c>
      <c r="F236">
        <f>IF($W236="","",IF(INDEX('Per Invoice'!F$2:F$801,$W236)="","",INDEX('Per Invoice'!F$2:F$801,$W236)))</f>
        <v/>
      </c>
      <c r="G236">
        <f>IF($W236="","",IF(INDEX('Per Invoice'!G$2:G$801,$W236)="","",INDEX('Per Invoice'!G$2:G$801,$W236)))</f>
        <v/>
      </c>
      <c r="H236">
        <f>IF($W236="","",IF(INDEX('Per Invoice'!H$2:H$801,$W236)="","",INDEX('Per Invoice'!H$2:H$801,$W236)))</f>
        <v/>
      </c>
      <c r="I236">
        <f>IF($W236="","",IF(INDEX('Per Invoice'!I$2:I$801,$W236)="","",INDEX('Per Invoice'!I$2:I$801,$W236)))</f>
        <v/>
      </c>
      <c r="J236">
        <f>IF($W236="","",IF(INDEX('Per Invoice'!J$2:J$801,$W236)="","",INDEX('Per Invoice'!J$2:J$801,$W236)))</f>
        <v/>
      </c>
      <c r="K236" s="7">
        <f>IF($W236="","",IF(INDEX('Per Invoice'!K$2:K$801,$W236)="","",INDEX('Per Invoice'!K$2:K$801,$W236)))</f>
        <v/>
      </c>
      <c r="L236" s="14">
        <f>IF($W236="","",IF(INDEX('Per Invoice'!L$2:L$801,$W236)="","",INDEX('Per Invoice'!L$2:L$801,$W236)))</f>
        <v/>
      </c>
      <c r="M236">
        <f>IF($W236="","",IF(INDEX('Per Invoice'!M$2:M$801,$W236)="","",INDEX('Per Invoice'!M$2:M$801,$W236)))</f>
        <v/>
      </c>
      <c r="N236" s="7">
        <f>IF($W236="","",IF(INDEX('Per Invoice'!N$2:N$801,$W236)="","",INDEX('Per Invoice'!N$2:N$801,$W236)))</f>
        <v/>
      </c>
      <c r="O236" s="7">
        <f>IF($W236="","",IF(INDEX('Per Invoice'!O$2:O$801,$W236)="","",INDEX('Per Invoice'!O$2:O$801,$W236)))</f>
        <v/>
      </c>
      <c r="P236">
        <f>IF($W236="","",IF(INDEX('Per Invoice'!P$2:P$801,$W236)="","",INDEX('Per Invoice'!P$2:P$801,$W236)))</f>
        <v/>
      </c>
      <c r="Q236" s="7">
        <f>IF($W236="","",IF(INDEX('Per Invoice'!Q$2:Q$801,$W236)="","",INDEX('Per Invoice'!Q$2:Q$801,$W236)))</f>
        <v/>
      </c>
      <c r="R236" s="7">
        <f>IF($W236="","",IF(INDEX('Per Invoice'!R$2:R$801,$W236)="","",INDEX('Per Invoice'!R$2:R$801,$W236)))</f>
        <v/>
      </c>
      <c r="S236" s="7">
        <f>IF($W236="","",IF(INDEX('Per Invoice'!S$2:S$801,$W236)="","",INDEX('Per Invoice'!S$2:S$801,$W236)))</f>
        <v/>
      </c>
      <c r="T236" s="7">
        <f>IF($W236="","",IF(INDEX('Per Invoice'!T$2:T$801,$W236)="","",INDEX('Per Invoice'!T$2:T$801,$W236)))</f>
        <v/>
      </c>
      <c r="U236" s="7">
        <f>IF($W236="","",IF(INDEX('Per Invoice'!U$2:U$801,$W236)="","",INDEX('Per Invoice'!U$2:U$801,$W236)))</f>
        <v/>
      </c>
      <c r="V236" s="7">
        <f>IF($W236="","",IF(INDEX('Per Invoice'!V$2:V$801,$W236)="","",INDEX('Per Invoice'!V$2:V$801,$W236)))</f>
        <v/>
      </c>
      <c r="W236" s="16">
        <f>IFERROR(MATCH(Settings!$C$27&amp;"|"&amp;ROWS($W$2:$W236),'Per Invoice'!$X$2:$X$801,0),"")</f>
        <v/>
      </c>
    </row>
    <row r="237">
      <c r="A237">
        <f>IF($W237="","",IF(INDEX('Per Invoice'!A$2:A$801,$W237)="","",INDEX('Per Invoice'!A$2:A$801,$W237)))</f>
        <v/>
      </c>
      <c r="B237">
        <f>IF($W237="","",IF(INDEX('Per Invoice'!B$2:B$801,$W237)="","",INDEX('Per Invoice'!B$2:B$801,$W237)))</f>
        <v/>
      </c>
      <c r="C237">
        <f>IF($W237="","",IF(INDEX('Per Invoice'!C$2:C$801,$W237)="","",INDEX('Per Invoice'!C$2:C$801,$W237)))</f>
        <v/>
      </c>
      <c r="D237">
        <f>IF($W237="","",IF(INDEX('Per Invoice'!D$2:D$801,$W237)="","",INDEX('Per Invoice'!D$2:D$801,$W237)))</f>
        <v/>
      </c>
      <c r="E237">
        <f>IF($W237="","",IF(INDEX('Per Invoice'!E$2:E$801,$W237)="","",INDEX('Per Invoice'!E$2:E$801,$W237)))</f>
        <v/>
      </c>
      <c r="F237">
        <f>IF($W237="","",IF(INDEX('Per Invoice'!F$2:F$801,$W237)="","",INDEX('Per Invoice'!F$2:F$801,$W237)))</f>
        <v/>
      </c>
      <c r="G237">
        <f>IF($W237="","",IF(INDEX('Per Invoice'!G$2:G$801,$W237)="","",INDEX('Per Invoice'!G$2:G$801,$W237)))</f>
        <v/>
      </c>
      <c r="H237">
        <f>IF($W237="","",IF(INDEX('Per Invoice'!H$2:H$801,$W237)="","",INDEX('Per Invoice'!H$2:H$801,$W237)))</f>
        <v/>
      </c>
      <c r="I237">
        <f>IF($W237="","",IF(INDEX('Per Invoice'!I$2:I$801,$W237)="","",INDEX('Per Invoice'!I$2:I$801,$W237)))</f>
        <v/>
      </c>
      <c r="J237">
        <f>IF($W237="","",IF(INDEX('Per Invoice'!J$2:J$801,$W237)="","",INDEX('Per Invoice'!J$2:J$801,$W237)))</f>
        <v/>
      </c>
      <c r="K237" s="7">
        <f>IF($W237="","",IF(INDEX('Per Invoice'!K$2:K$801,$W237)="","",INDEX('Per Invoice'!K$2:K$801,$W237)))</f>
        <v/>
      </c>
      <c r="L237" s="14">
        <f>IF($W237="","",IF(INDEX('Per Invoice'!L$2:L$801,$W237)="","",INDEX('Per Invoice'!L$2:L$801,$W237)))</f>
        <v/>
      </c>
      <c r="M237">
        <f>IF($W237="","",IF(INDEX('Per Invoice'!M$2:M$801,$W237)="","",INDEX('Per Invoice'!M$2:M$801,$W237)))</f>
        <v/>
      </c>
      <c r="N237" s="7">
        <f>IF($W237="","",IF(INDEX('Per Invoice'!N$2:N$801,$W237)="","",INDEX('Per Invoice'!N$2:N$801,$W237)))</f>
        <v/>
      </c>
      <c r="O237" s="7">
        <f>IF($W237="","",IF(INDEX('Per Invoice'!O$2:O$801,$W237)="","",INDEX('Per Invoice'!O$2:O$801,$W237)))</f>
        <v/>
      </c>
      <c r="P237">
        <f>IF($W237="","",IF(INDEX('Per Invoice'!P$2:P$801,$W237)="","",INDEX('Per Invoice'!P$2:P$801,$W237)))</f>
        <v/>
      </c>
      <c r="Q237" s="7">
        <f>IF($W237="","",IF(INDEX('Per Invoice'!Q$2:Q$801,$W237)="","",INDEX('Per Invoice'!Q$2:Q$801,$W237)))</f>
        <v/>
      </c>
      <c r="R237" s="7">
        <f>IF($W237="","",IF(INDEX('Per Invoice'!R$2:R$801,$W237)="","",INDEX('Per Invoice'!R$2:R$801,$W237)))</f>
        <v/>
      </c>
      <c r="S237" s="7">
        <f>IF($W237="","",IF(INDEX('Per Invoice'!S$2:S$801,$W237)="","",INDEX('Per Invoice'!S$2:S$801,$W237)))</f>
        <v/>
      </c>
      <c r="T237" s="7">
        <f>IF($W237="","",IF(INDEX('Per Invoice'!T$2:T$801,$W237)="","",INDEX('Per Invoice'!T$2:T$801,$W237)))</f>
        <v/>
      </c>
      <c r="U237" s="7">
        <f>IF($W237="","",IF(INDEX('Per Invoice'!U$2:U$801,$W237)="","",INDEX('Per Invoice'!U$2:U$801,$W237)))</f>
        <v/>
      </c>
      <c r="V237" s="7">
        <f>IF($W237="","",IF(INDEX('Per Invoice'!V$2:V$801,$W237)="","",INDEX('Per Invoice'!V$2:V$801,$W237)))</f>
        <v/>
      </c>
      <c r="W237" s="16">
        <f>IFERROR(MATCH(Settings!$C$27&amp;"|"&amp;ROWS($W$2:$W237),'Per Invoice'!$X$2:$X$801,0),"")</f>
        <v/>
      </c>
    </row>
    <row r="238">
      <c r="A238">
        <f>IF($W238="","",IF(INDEX('Per Invoice'!A$2:A$801,$W238)="","",INDEX('Per Invoice'!A$2:A$801,$W238)))</f>
        <v/>
      </c>
      <c r="B238">
        <f>IF($W238="","",IF(INDEX('Per Invoice'!B$2:B$801,$W238)="","",INDEX('Per Invoice'!B$2:B$801,$W238)))</f>
        <v/>
      </c>
      <c r="C238">
        <f>IF($W238="","",IF(INDEX('Per Invoice'!C$2:C$801,$W238)="","",INDEX('Per Invoice'!C$2:C$801,$W238)))</f>
        <v/>
      </c>
      <c r="D238">
        <f>IF($W238="","",IF(INDEX('Per Invoice'!D$2:D$801,$W238)="","",INDEX('Per Invoice'!D$2:D$801,$W238)))</f>
        <v/>
      </c>
      <c r="E238">
        <f>IF($W238="","",IF(INDEX('Per Invoice'!E$2:E$801,$W238)="","",INDEX('Per Invoice'!E$2:E$801,$W238)))</f>
        <v/>
      </c>
      <c r="F238">
        <f>IF($W238="","",IF(INDEX('Per Invoice'!F$2:F$801,$W238)="","",INDEX('Per Invoice'!F$2:F$801,$W238)))</f>
        <v/>
      </c>
      <c r="G238">
        <f>IF($W238="","",IF(INDEX('Per Invoice'!G$2:G$801,$W238)="","",INDEX('Per Invoice'!G$2:G$801,$W238)))</f>
        <v/>
      </c>
      <c r="H238">
        <f>IF($W238="","",IF(INDEX('Per Invoice'!H$2:H$801,$W238)="","",INDEX('Per Invoice'!H$2:H$801,$W238)))</f>
        <v/>
      </c>
      <c r="I238">
        <f>IF($W238="","",IF(INDEX('Per Invoice'!I$2:I$801,$W238)="","",INDEX('Per Invoice'!I$2:I$801,$W238)))</f>
        <v/>
      </c>
      <c r="J238">
        <f>IF($W238="","",IF(INDEX('Per Invoice'!J$2:J$801,$W238)="","",INDEX('Per Invoice'!J$2:J$801,$W238)))</f>
        <v/>
      </c>
      <c r="K238" s="7">
        <f>IF($W238="","",IF(INDEX('Per Invoice'!K$2:K$801,$W238)="","",INDEX('Per Invoice'!K$2:K$801,$W238)))</f>
        <v/>
      </c>
      <c r="L238" s="14">
        <f>IF($W238="","",IF(INDEX('Per Invoice'!L$2:L$801,$W238)="","",INDEX('Per Invoice'!L$2:L$801,$W238)))</f>
        <v/>
      </c>
      <c r="M238">
        <f>IF($W238="","",IF(INDEX('Per Invoice'!M$2:M$801,$W238)="","",INDEX('Per Invoice'!M$2:M$801,$W238)))</f>
        <v/>
      </c>
      <c r="N238" s="7">
        <f>IF($W238="","",IF(INDEX('Per Invoice'!N$2:N$801,$W238)="","",INDEX('Per Invoice'!N$2:N$801,$W238)))</f>
        <v/>
      </c>
      <c r="O238" s="7">
        <f>IF($W238="","",IF(INDEX('Per Invoice'!O$2:O$801,$W238)="","",INDEX('Per Invoice'!O$2:O$801,$W238)))</f>
        <v/>
      </c>
      <c r="P238">
        <f>IF($W238="","",IF(INDEX('Per Invoice'!P$2:P$801,$W238)="","",INDEX('Per Invoice'!P$2:P$801,$W238)))</f>
        <v/>
      </c>
      <c r="Q238" s="7">
        <f>IF($W238="","",IF(INDEX('Per Invoice'!Q$2:Q$801,$W238)="","",INDEX('Per Invoice'!Q$2:Q$801,$W238)))</f>
        <v/>
      </c>
      <c r="R238" s="7">
        <f>IF($W238="","",IF(INDEX('Per Invoice'!R$2:R$801,$W238)="","",INDEX('Per Invoice'!R$2:R$801,$W238)))</f>
        <v/>
      </c>
      <c r="S238" s="7">
        <f>IF($W238="","",IF(INDEX('Per Invoice'!S$2:S$801,$W238)="","",INDEX('Per Invoice'!S$2:S$801,$W238)))</f>
        <v/>
      </c>
      <c r="T238" s="7">
        <f>IF($W238="","",IF(INDEX('Per Invoice'!T$2:T$801,$W238)="","",INDEX('Per Invoice'!T$2:T$801,$W238)))</f>
        <v/>
      </c>
      <c r="U238" s="7">
        <f>IF($W238="","",IF(INDEX('Per Invoice'!U$2:U$801,$W238)="","",INDEX('Per Invoice'!U$2:U$801,$W238)))</f>
        <v/>
      </c>
      <c r="V238" s="7">
        <f>IF($W238="","",IF(INDEX('Per Invoice'!V$2:V$801,$W238)="","",INDEX('Per Invoice'!V$2:V$801,$W238)))</f>
        <v/>
      </c>
      <c r="W238" s="16">
        <f>IFERROR(MATCH(Settings!$C$27&amp;"|"&amp;ROWS($W$2:$W238),'Per Invoice'!$X$2:$X$801,0),"")</f>
        <v/>
      </c>
    </row>
    <row r="239">
      <c r="A239">
        <f>IF($W239="","",IF(INDEX('Per Invoice'!A$2:A$801,$W239)="","",INDEX('Per Invoice'!A$2:A$801,$W239)))</f>
        <v/>
      </c>
      <c r="B239">
        <f>IF($W239="","",IF(INDEX('Per Invoice'!B$2:B$801,$W239)="","",INDEX('Per Invoice'!B$2:B$801,$W239)))</f>
        <v/>
      </c>
      <c r="C239">
        <f>IF($W239="","",IF(INDEX('Per Invoice'!C$2:C$801,$W239)="","",INDEX('Per Invoice'!C$2:C$801,$W239)))</f>
        <v/>
      </c>
      <c r="D239">
        <f>IF($W239="","",IF(INDEX('Per Invoice'!D$2:D$801,$W239)="","",INDEX('Per Invoice'!D$2:D$801,$W239)))</f>
        <v/>
      </c>
      <c r="E239">
        <f>IF($W239="","",IF(INDEX('Per Invoice'!E$2:E$801,$W239)="","",INDEX('Per Invoice'!E$2:E$801,$W239)))</f>
        <v/>
      </c>
      <c r="F239">
        <f>IF($W239="","",IF(INDEX('Per Invoice'!F$2:F$801,$W239)="","",INDEX('Per Invoice'!F$2:F$801,$W239)))</f>
        <v/>
      </c>
      <c r="G239">
        <f>IF($W239="","",IF(INDEX('Per Invoice'!G$2:G$801,$W239)="","",INDEX('Per Invoice'!G$2:G$801,$W239)))</f>
        <v/>
      </c>
      <c r="H239">
        <f>IF($W239="","",IF(INDEX('Per Invoice'!H$2:H$801,$W239)="","",INDEX('Per Invoice'!H$2:H$801,$W239)))</f>
        <v/>
      </c>
      <c r="I239">
        <f>IF($W239="","",IF(INDEX('Per Invoice'!I$2:I$801,$W239)="","",INDEX('Per Invoice'!I$2:I$801,$W239)))</f>
        <v/>
      </c>
      <c r="J239">
        <f>IF($W239="","",IF(INDEX('Per Invoice'!J$2:J$801,$W239)="","",INDEX('Per Invoice'!J$2:J$801,$W239)))</f>
        <v/>
      </c>
      <c r="K239" s="7">
        <f>IF($W239="","",IF(INDEX('Per Invoice'!K$2:K$801,$W239)="","",INDEX('Per Invoice'!K$2:K$801,$W239)))</f>
        <v/>
      </c>
      <c r="L239" s="14">
        <f>IF($W239="","",IF(INDEX('Per Invoice'!L$2:L$801,$W239)="","",INDEX('Per Invoice'!L$2:L$801,$W239)))</f>
        <v/>
      </c>
      <c r="M239">
        <f>IF($W239="","",IF(INDEX('Per Invoice'!M$2:M$801,$W239)="","",INDEX('Per Invoice'!M$2:M$801,$W239)))</f>
        <v/>
      </c>
      <c r="N239" s="7">
        <f>IF($W239="","",IF(INDEX('Per Invoice'!N$2:N$801,$W239)="","",INDEX('Per Invoice'!N$2:N$801,$W239)))</f>
        <v/>
      </c>
      <c r="O239" s="7">
        <f>IF($W239="","",IF(INDEX('Per Invoice'!O$2:O$801,$W239)="","",INDEX('Per Invoice'!O$2:O$801,$W239)))</f>
        <v/>
      </c>
      <c r="P239">
        <f>IF($W239="","",IF(INDEX('Per Invoice'!P$2:P$801,$W239)="","",INDEX('Per Invoice'!P$2:P$801,$W239)))</f>
        <v/>
      </c>
      <c r="Q239" s="7">
        <f>IF($W239="","",IF(INDEX('Per Invoice'!Q$2:Q$801,$W239)="","",INDEX('Per Invoice'!Q$2:Q$801,$W239)))</f>
        <v/>
      </c>
      <c r="R239" s="7">
        <f>IF($W239="","",IF(INDEX('Per Invoice'!R$2:R$801,$W239)="","",INDEX('Per Invoice'!R$2:R$801,$W239)))</f>
        <v/>
      </c>
      <c r="S239" s="7">
        <f>IF($W239="","",IF(INDEX('Per Invoice'!S$2:S$801,$W239)="","",INDEX('Per Invoice'!S$2:S$801,$W239)))</f>
        <v/>
      </c>
      <c r="T239" s="7">
        <f>IF($W239="","",IF(INDEX('Per Invoice'!T$2:T$801,$W239)="","",INDEX('Per Invoice'!T$2:T$801,$W239)))</f>
        <v/>
      </c>
      <c r="U239" s="7">
        <f>IF($W239="","",IF(INDEX('Per Invoice'!U$2:U$801,$W239)="","",INDEX('Per Invoice'!U$2:U$801,$W239)))</f>
        <v/>
      </c>
      <c r="V239" s="7">
        <f>IF($W239="","",IF(INDEX('Per Invoice'!V$2:V$801,$W239)="","",INDEX('Per Invoice'!V$2:V$801,$W239)))</f>
        <v/>
      </c>
      <c r="W239" s="16">
        <f>IFERROR(MATCH(Settings!$C$27&amp;"|"&amp;ROWS($W$2:$W239),'Per Invoice'!$X$2:$X$801,0),"")</f>
        <v/>
      </c>
    </row>
    <row r="240">
      <c r="A240">
        <f>IF($W240="","",IF(INDEX('Per Invoice'!A$2:A$801,$W240)="","",INDEX('Per Invoice'!A$2:A$801,$W240)))</f>
        <v/>
      </c>
      <c r="B240">
        <f>IF($W240="","",IF(INDEX('Per Invoice'!B$2:B$801,$W240)="","",INDEX('Per Invoice'!B$2:B$801,$W240)))</f>
        <v/>
      </c>
      <c r="C240">
        <f>IF($W240="","",IF(INDEX('Per Invoice'!C$2:C$801,$W240)="","",INDEX('Per Invoice'!C$2:C$801,$W240)))</f>
        <v/>
      </c>
      <c r="D240">
        <f>IF($W240="","",IF(INDEX('Per Invoice'!D$2:D$801,$W240)="","",INDEX('Per Invoice'!D$2:D$801,$W240)))</f>
        <v/>
      </c>
      <c r="E240">
        <f>IF($W240="","",IF(INDEX('Per Invoice'!E$2:E$801,$W240)="","",INDEX('Per Invoice'!E$2:E$801,$W240)))</f>
        <v/>
      </c>
      <c r="F240">
        <f>IF($W240="","",IF(INDEX('Per Invoice'!F$2:F$801,$W240)="","",INDEX('Per Invoice'!F$2:F$801,$W240)))</f>
        <v/>
      </c>
      <c r="G240">
        <f>IF($W240="","",IF(INDEX('Per Invoice'!G$2:G$801,$W240)="","",INDEX('Per Invoice'!G$2:G$801,$W240)))</f>
        <v/>
      </c>
      <c r="H240">
        <f>IF($W240="","",IF(INDEX('Per Invoice'!H$2:H$801,$W240)="","",INDEX('Per Invoice'!H$2:H$801,$W240)))</f>
        <v/>
      </c>
      <c r="I240">
        <f>IF($W240="","",IF(INDEX('Per Invoice'!I$2:I$801,$W240)="","",INDEX('Per Invoice'!I$2:I$801,$W240)))</f>
        <v/>
      </c>
      <c r="J240">
        <f>IF($W240="","",IF(INDEX('Per Invoice'!J$2:J$801,$W240)="","",INDEX('Per Invoice'!J$2:J$801,$W240)))</f>
        <v/>
      </c>
      <c r="K240" s="7">
        <f>IF($W240="","",IF(INDEX('Per Invoice'!K$2:K$801,$W240)="","",INDEX('Per Invoice'!K$2:K$801,$W240)))</f>
        <v/>
      </c>
      <c r="L240" s="14">
        <f>IF($W240="","",IF(INDEX('Per Invoice'!L$2:L$801,$W240)="","",INDEX('Per Invoice'!L$2:L$801,$W240)))</f>
        <v/>
      </c>
      <c r="M240">
        <f>IF($W240="","",IF(INDEX('Per Invoice'!M$2:M$801,$W240)="","",INDEX('Per Invoice'!M$2:M$801,$W240)))</f>
        <v/>
      </c>
      <c r="N240" s="7">
        <f>IF($W240="","",IF(INDEX('Per Invoice'!N$2:N$801,$W240)="","",INDEX('Per Invoice'!N$2:N$801,$W240)))</f>
        <v/>
      </c>
      <c r="O240" s="7">
        <f>IF($W240="","",IF(INDEX('Per Invoice'!O$2:O$801,$W240)="","",INDEX('Per Invoice'!O$2:O$801,$W240)))</f>
        <v/>
      </c>
      <c r="P240">
        <f>IF($W240="","",IF(INDEX('Per Invoice'!P$2:P$801,$W240)="","",INDEX('Per Invoice'!P$2:P$801,$W240)))</f>
        <v/>
      </c>
      <c r="Q240" s="7">
        <f>IF($W240="","",IF(INDEX('Per Invoice'!Q$2:Q$801,$W240)="","",INDEX('Per Invoice'!Q$2:Q$801,$W240)))</f>
        <v/>
      </c>
      <c r="R240" s="7">
        <f>IF($W240="","",IF(INDEX('Per Invoice'!R$2:R$801,$W240)="","",INDEX('Per Invoice'!R$2:R$801,$W240)))</f>
        <v/>
      </c>
      <c r="S240" s="7">
        <f>IF($W240="","",IF(INDEX('Per Invoice'!S$2:S$801,$W240)="","",INDEX('Per Invoice'!S$2:S$801,$W240)))</f>
        <v/>
      </c>
      <c r="T240" s="7">
        <f>IF($W240="","",IF(INDEX('Per Invoice'!T$2:T$801,$W240)="","",INDEX('Per Invoice'!T$2:T$801,$W240)))</f>
        <v/>
      </c>
      <c r="U240" s="7">
        <f>IF($W240="","",IF(INDEX('Per Invoice'!U$2:U$801,$W240)="","",INDEX('Per Invoice'!U$2:U$801,$W240)))</f>
        <v/>
      </c>
      <c r="V240" s="7">
        <f>IF($W240="","",IF(INDEX('Per Invoice'!V$2:V$801,$W240)="","",INDEX('Per Invoice'!V$2:V$801,$W240)))</f>
        <v/>
      </c>
      <c r="W240" s="16">
        <f>IFERROR(MATCH(Settings!$C$27&amp;"|"&amp;ROWS($W$2:$W240),'Per Invoice'!$X$2:$X$801,0),"")</f>
        <v/>
      </c>
    </row>
    <row r="241">
      <c r="A241">
        <f>IF($W241="","",IF(INDEX('Per Invoice'!A$2:A$801,$W241)="","",INDEX('Per Invoice'!A$2:A$801,$W241)))</f>
        <v/>
      </c>
      <c r="B241">
        <f>IF($W241="","",IF(INDEX('Per Invoice'!B$2:B$801,$W241)="","",INDEX('Per Invoice'!B$2:B$801,$W241)))</f>
        <v/>
      </c>
      <c r="C241">
        <f>IF($W241="","",IF(INDEX('Per Invoice'!C$2:C$801,$W241)="","",INDEX('Per Invoice'!C$2:C$801,$W241)))</f>
        <v/>
      </c>
      <c r="D241">
        <f>IF($W241="","",IF(INDEX('Per Invoice'!D$2:D$801,$W241)="","",INDEX('Per Invoice'!D$2:D$801,$W241)))</f>
        <v/>
      </c>
      <c r="E241">
        <f>IF($W241="","",IF(INDEX('Per Invoice'!E$2:E$801,$W241)="","",INDEX('Per Invoice'!E$2:E$801,$W241)))</f>
        <v/>
      </c>
      <c r="F241">
        <f>IF($W241="","",IF(INDEX('Per Invoice'!F$2:F$801,$W241)="","",INDEX('Per Invoice'!F$2:F$801,$W241)))</f>
        <v/>
      </c>
      <c r="G241">
        <f>IF($W241="","",IF(INDEX('Per Invoice'!G$2:G$801,$W241)="","",INDEX('Per Invoice'!G$2:G$801,$W241)))</f>
        <v/>
      </c>
      <c r="H241">
        <f>IF($W241="","",IF(INDEX('Per Invoice'!H$2:H$801,$W241)="","",INDEX('Per Invoice'!H$2:H$801,$W241)))</f>
        <v/>
      </c>
      <c r="I241">
        <f>IF($W241="","",IF(INDEX('Per Invoice'!I$2:I$801,$W241)="","",INDEX('Per Invoice'!I$2:I$801,$W241)))</f>
        <v/>
      </c>
      <c r="J241">
        <f>IF($W241="","",IF(INDEX('Per Invoice'!J$2:J$801,$W241)="","",INDEX('Per Invoice'!J$2:J$801,$W241)))</f>
        <v/>
      </c>
      <c r="K241" s="7">
        <f>IF($W241="","",IF(INDEX('Per Invoice'!K$2:K$801,$W241)="","",INDEX('Per Invoice'!K$2:K$801,$W241)))</f>
        <v/>
      </c>
      <c r="L241" s="14">
        <f>IF($W241="","",IF(INDEX('Per Invoice'!L$2:L$801,$W241)="","",INDEX('Per Invoice'!L$2:L$801,$W241)))</f>
        <v/>
      </c>
      <c r="M241">
        <f>IF($W241="","",IF(INDEX('Per Invoice'!M$2:M$801,$W241)="","",INDEX('Per Invoice'!M$2:M$801,$W241)))</f>
        <v/>
      </c>
      <c r="N241" s="7">
        <f>IF($W241="","",IF(INDEX('Per Invoice'!N$2:N$801,$W241)="","",INDEX('Per Invoice'!N$2:N$801,$W241)))</f>
        <v/>
      </c>
      <c r="O241" s="7">
        <f>IF($W241="","",IF(INDEX('Per Invoice'!O$2:O$801,$W241)="","",INDEX('Per Invoice'!O$2:O$801,$W241)))</f>
        <v/>
      </c>
      <c r="P241">
        <f>IF($W241="","",IF(INDEX('Per Invoice'!P$2:P$801,$W241)="","",INDEX('Per Invoice'!P$2:P$801,$W241)))</f>
        <v/>
      </c>
      <c r="Q241" s="7">
        <f>IF($W241="","",IF(INDEX('Per Invoice'!Q$2:Q$801,$W241)="","",INDEX('Per Invoice'!Q$2:Q$801,$W241)))</f>
        <v/>
      </c>
      <c r="R241" s="7">
        <f>IF($W241="","",IF(INDEX('Per Invoice'!R$2:R$801,$W241)="","",INDEX('Per Invoice'!R$2:R$801,$W241)))</f>
        <v/>
      </c>
      <c r="S241" s="7">
        <f>IF($W241="","",IF(INDEX('Per Invoice'!S$2:S$801,$W241)="","",INDEX('Per Invoice'!S$2:S$801,$W241)))</f>
        <v/>
      </c>
      <c r="T241" s="7">
        <f>IF($W241="","",IF(INDEX('Per Invoice'!T$2:T$801,$W241)="","",INDEX('Per Invoice'!T$2:T$801,$W241)))</f>
        <v/>
      </c>
      <c r="U241" s="7">
        <f>IF($W241="","",IF(INDEX('Per Invoice'!U$2:U$801,$W241)="","",INDEX('Per Invoice'!U$2:U$801,$W241)))</f>
        <v/>
      </c>
      <c r="V241" s="7">
        <f>IF($W241="","",IF(INDEX('Per Invoice'!V$2:V$801,$W241)="","",INDEX('Per Invoice'!V$2:V$801,$W241)))</f>
        <v/>
      </c>
      <c r="W241" s="16">
        <f>IFERROR(MATCH(Settings!$C$27&amp;"|"&amp;ROWS($W$2:$W241),'Per Invoice'!$X$2:$X$801,0),"")</f>
        <v/>
      </c>
    </row>
    <row r="242">
      <c r="A242">
        <f>IF($W242="","",IF(INDEX('Per Invoice'!A$2:A$801,$W242)="","",INDEX('Per Invoice'!A$2:A$801,$W242)))</f>
        <v/>
      </c>
      <c r="B242">
        <f>IF($W242="","",IF(INDEX('Per Invoice'!B$2:B$801,$W242)="","",INDEX('Per Invoice'!B$2:B$801,$W242)))</f>
        <v/>
      </c>
      <c r="C242">
        <f>IF($W242="","",IF(INDEX('Per Invoice'!C$2:C$801,$W242)="","",INDEX('Per Invoice'!C$2:C$801,$W242)))</f>
        <v/>
      </c>
      <c r="D242">
        <f>IF($W242="","",IF(INDEX('Per Invoice'!D$2:D$801,$W242)="","",INDEX('Per Invoice'!D$2:D$801,$W242)))</f>
        <v/>
      </c>
      <c r="E242">
        <f>IF($W242="","",IF(INDEX('Per Invoice'!E$2:E$801,$W242)="","",INDEX('Per Invoice'!E$2:E$801,$W242)))</f>
        <v/>
      </c>
      <c r="F242">
        <f>IF($W242="","",IF(INDEX('Per Invoice'!F$2:F$801,$W242)="","",INDEX('Per Invoice'!F$2:F$801,$W242)))</f>
        <v/>
      </c>
      <c r="G242">
        <f>IF($W242="","",IF(INDEX('Per Invoice'!G$2:G$801,$W242)="","",INDEX('Per Invoice'!G$2:G$801,$W242)))</f>
        <v/>
      </c>
      <c r="H242">
        <f>IF($W242="","",IF(INDEX('Per Invoice'!H$2:H$801,$W242)="","",INDEX('Per Invoice'!H$2:H$801,$W242)))</f>
        <v/>
      </c>
      <c r="I242">
        <f>IF($W242="","",IF(INDEX('Per Invoice'!I$2:I$801,$W242)="","",INDEX('Per Invoice'!I$2:I$801,$W242)))</f>
        <v/>
      </c>
      <c r="J242">
        <f>IF($W242="","",IF(INDEX('Per Invoice'!J$2:J$801,$W242)="","",INDEX('Per Invoice'!J$2:J$801,$W242)))</f>
        <v/>
      </c>
      <c r="K242" s="7">
        <f>IF($W242="","",IF(INDEX('Per Invoice'!K$2:K$801,$W242)="","",INDEX('Per Invoice'!K$2:K$801,$W242)))</f>
        <v/>
      </c>
      <c r="L242" s="14">
        <f>IF($W242="","",IF(INDEX('Per Invoice'!L$2:L$801,$W242)="","",INDEX('Per Invoice'!L$2:L$801,$W242)))</f>
        <v/>
      </c>
      <c r="M242">
        <f>IF($W242="","",IF(INDEX('Per Invoice'!M$2:M$801,$W242)="","",INDEX('Per Invoice'!M$2:M$801,$W242)))</f>
        <v/>
      </c>
      <c r="N242" s="7">
        <f>IF($W242="","",IF(INDEX('Per Invoice'!N$2:N$801,$W242)="","",INDEX('Per Invoice'!N$2:N$801,$W242)))</f>
        <v/>
      </c>
      <c r="O242" s="7">
        <f>IF($W242="","",IF(INDEX('Per Invoice'!O$2:O$801,$W242)="","",INDEX('Per Invoice'!O$2:O$801,$W242)))</f>
        <v/>
      </c>
      <c r="P242">
        <f>IF($W242="","",IF(INDEX('Per Invoice'!P$2:P$801,$W242)="","",INDEX('Per Invoice'!P$2:P$801,$W242)))</f>
        <v/>
      </c>
      <c r="Q242" s="7">
        <f>IF($W242="","",IF(INDEX('Per Invoice'!Q$2:Q$801,$W242)="","",INDEX('Per Invoice'!Q$2:Q$801,$W242)))</f>
        <v/>
      </c>
      <c r="R242" s="7">
        <f>IF($W242="","",IF(INDEX('Per Invoice'!R$2:R$801,$W242)="","",INDEX('Per Invoice'!R$2:R$801,$W242)))</f>
        <v/>
      </c>
      <c r="S242" s="7">
        <f>IF($W242="","",IF(INDEX('Per Invoice'!S$2:S$801,$W242)="","",INDEX('Per Invoice'!S$2:S$801,$W242)))</f>
        <v/>
      </c>
      <c r="T242" s="7">
        <f>IF($W242="","",IF(INDEX('Per Invoice'!T$2:T$801,$W242)="","",INDEX('Per Invoice'!T$2:T$801,$W242)))</f>
        <v/>
      </c>
      <c r="U242" s="7">
        <f>IF($W242="","",IF(INDEX('Per Invoice'!U$2:U$801,$W242)="","",INDEX('Per Invoice'!U$2:U$801,$W242)))</f>
        <v/>
      </c>
      <c r="V242" s="7">
        <f>IF($W242="","",IF(INDEX('Per Invoice'!V$2:V$801,$W242)="","",INDEX('Per Invoice'!V$2:V$801,$W242)))</f>
        <v/>
      </c>
      <c r="W242" s="16">
        <f>IFERROR(MATCH(Settings!$C$27&amp;"|"&amp;ROWS($W$2:$W242),'Per Invoice'!$X$2:$X$801,0),"")</f>
        <v/>
      </c>
    </row>
    <row r="243">
      <c r="A243">
        <f>IF($W243="","",IF(INDEX('Per Invoice'!A$2:A$801,$W243)="","",INDEX('Per Invoice'!A$2:A$801,$W243)))</f>
        <v/>
      </c>
      <c r="B243">
        <f>IF($W243="","",IF(INDEX('Per Invoice'!B$2:B$801,$W243)="","",INDEX('Per Invoice'!B$2:B$801,$W243)))</f>
        <v/>
      </c>
      <c r="C243">
        <f>IF($W243="","",IF(INDEX('Per Invoice'!C$2:C$801,$W243)="","",INDEX('Per Invoice'!C$2:C$801,$W243)))</f>
        <v/>
      </c>
      <c r="D243">
        <f>IF($W243="","",IF(INDEX('Per Invoice'!D$2:D$801,$W243)="","",INDEX('Per Invoice'!D$2:D$801,$W243)))</f>
        <v/>
      </c>
      <c r="E243">
        <f>IF($W243="","",IF(INDEX('Per Invoice'!E$2:E$801,$W243)="","",INDEX('Per Invoice'!E$2:E$801,$W243)))</f>
        <v/>
      </c>
      <c r="F243">
        <f>IF($W243="","",IF(INDEX('Per Invoice'!F$2:F$801,$W243)="","",INDEX('Per Invoice'!F$2:F$801,$W243)))</f>
        <v/>
      </c>
      <c r="G243">
        <f>IF($W243="","",IF(INDEX('Per Invoice'!G$2:G$801,$W243)="","",INDEX('Per Invoice'!G$2:G$801,$W243)))</f>
        <v/>
      </c>
      <c r="H243">
        <f>IF($W243="","",IF(INDEX('Per Invoice'!H$2:H$801,$W243)="","",INDEX('Per Invoice'!H$2:H$801,$W243)))</f>
        <v/>
      </c>
      <c r="I243">
        <f>IF($W243="","",IF(INDEX('Per Invoice'!I$2:I$801,$W243)="","",INDEX('Per Invoice'!I$2:I$801,$W243)))</f>
        <v/>
      </c>
      <c r="J243">
        <f>IF($W243="","",IF(INDEX('Per Invoice'!J$2:J$801,$W243)="","",INDEX('Per Invoice'!J$2:J$801,$W243)))</f>
        <v/>
      </c>
      <c r="K243" s="7">
        <f>IF($W243="","",IF(INDEX('Per Invoice'!K$2:K$801,$W243)="","",INDEX('Per Invoice'!K$2:K$801,$W243)))</f>
        <v/>
      </c>
      <c r="L243" s="14">
        <f>IF($W243="","",IF(INDEX('Per Invoice'!L$2:L$801,$W243)="","",INDEX('Per Invoice'!L$2:L$801,$W243)))</f>
        <v/>
      </c>
      <c r="M243">
        <f>IF($W243="","",IF(INDEX('Per Invoice'!M$2:M$801,$W243)="","",INDEX('Per Invoice'!M$2:M$801,$W243)))</f>
        <v/>
      </c>
      <c r="N243" s="7">
        <f>IF($W243="","",IF(INDEX('Per Invoice'!N$2:N$801,$W243)="","",INDEX('Per Invoice'!N$2:N$801,$W243)))</f>
        <v/>
      </c>
      <c r="O243" s="7">
        <f>IF($W243="","",IF(INDEX('Per Invoice'!O$2:O$801,$W243)="","",INDEX('Per Invoice'!O$2:O$801,$W243)))</f>
        <v/>
      </c>
      <c r="P243">
        <f>IF($W243="","",IF(INDEX('Per Invoice'!P$2:P$801,$W243)="","",INDEX('Per Invoice'!P$2:P$801,$W243)))</f>
        <v/>
      </c>
      <c r="Q243" s="7">
        <f>IF($W243="","",IF(INDEX('Per Invoice'!Q$2:Q$801,$W243)="","",INDEX('Per Invoice'!Q$2:Q$801,$W243)))</f>
        <v/>
      </c>
      <c r="R243" s="7">
        <f>IF($W243="","",IF(INDEX('Per Invoice'!R$2:R$801,$W243)="","",INDEX('Per Invoice'!R$2:R$801,$W243)))</f>
        <v/>
      </c>
      <c r="S243" s="7">
        <f>IF($W243="","",IF(INDEX('Per Invoice'!S$2:S$801,$W243)="","",INDEX('Per Invoice'!S$2:S$801,$W243)))</f>
        <v/>
      </c>
      <c r="T243" s="7">
        <f>IF($W243="","",IF(INDEX('Per Invoice'!T$2:T$801,$W243)="","",INDEX('Per Invoice'!T$2:T$801,$W243)))</f>
        <v/>
      </c>
      <c r="U243" s="7">
        <f>IF($W243="","",IF(INDEX('Per Invoice'!U$2:U$801,$W243)="","",INDEX('Per Invoice'!U$2:U$801,$W243)))</f>
        <v/>
      </c>
      <c r="V243" s="7">
        <f>IF($W243="","",IF(INDEX('Per Invoice'!V$2:V$801,$W243)="","",INDEX('Per Invoice'!V$2:V$801,$W243)))</f>
        <v/>
      </c>
      <c r="W243" s="16">
        <f>IFERROR(MATCH(Settings!$C$27&amp;"|"&amp;ROWS($W$2:$W243),'Per Invoice'!$X$2:$X$801,0),"")</f>
        <v/>
      </c>
    </row>
    <row r="244">
      <c r="A244">
        <f>IF($W244="","",IF(INDEX('Per Invoice'!A$2:A$801,$W244)="","",INDEX('Per Invoice'!A$2:A$801,$W244)))</f>
        <v/>
      </c>
      <c r="B244">
        <f>IF($W244="","",IF(INDEX('Per Invoice'!B$2:B$801,$W244)="","",INDEX('Per Invoice'!B$2:B$801,$W244)))</f>
        <v/>
      </c>
      <c r="C244">
        <f>IF($W244="","",IF(INDEX('Per Invoice'!C$2:C$801,$W244)="","",INDEX('Per Invoice'!C$2:C$801,$W244)))</f>
        <v/>
      </c>
      <c r="D244">
        <f>IF($W244="","",IF(INDEX('Per Invoice'!D$2:D$801,$W244)="","",INDEX('Per Invoice'!D$2:D$801,$W244)))</f>
        <v/>
      </c>
      <c r="E244">
        <f>IF($W244="","",IF(INDEX('Per Invoice'!E$2:E$801,$W244)="","",INDEX('Per Invoice'!E$2:E$801,$W244)))</f>
        <v/>
      </c>
      <c r="F244">
        <f>IF($W244="","",IF(INDEX('Per Invoice'!F$2:F$801,$W244)="","",INDEX('Per Invoice'!F$2:F$801,$W244)))</f>
        <v/>
      </c>
      <c r="G244">
        <f>IF($W244="","",IF(INDEX('Per Invoice'!G$2:G$801,$W244)="","",INDEX('Per Invoice'!G$2:G$801,$W244)))</f>
        <v/>
      </c>
      <c r="H244">
        <f>IF($W244="","",IF(INDEX('Per Invoice'!H$2:H$801,$W244)="","",INDEX('Per Invoice'!H$2:H$801,$W244)))</f>
        <v/>
      </c>
      <c r="I244">
        <f>IF($W244="","",IF(INDEX('Per Invoice'!I$2:I$801,$W244)="","",INDEX('Per Invoice'!I$2:I$801,$W244)))</f>
        <v/>
      </c>
      <c r="J244">
        <f>IF($W244="","",IF(INDEX('Per Invoice'!J$2:J$801,$W244)="","",INDEX('Per Invoice'!J$2:J$801,$W244)))</f>
        <v/>
      </c>
      <c r="K244" s="7">
        <f>IF($W244="","",IF(INDEX('Per Invoice'!K$2:K$801,$W244)="","",INDEX('Per Invoice'!K$2:K$801,$W244)))</f>
        <v/>
      </c>
      <c r="L244" s="14">
        <f>IF($W244="","",IF(INDEX('Per Invoice'!L$2:L$801,$W244)="","",INDEX('Per Invoice'!L$2:L$801,$W244)))</f>
        <v/>
      </c>
      <c r="M244">
        <f>IF($W244="","",IF(INDEX('Per Invoice'!M$2:M$801,$W244)="","",INDEX('Per Invoice'!M$2:M$801,$W244)))</f>
        <v/>
      </c>
      <c r="N244" s="7">
        <f>IF($W244="","",IF(INDEX('Per Invoice'!N$2:N$801,$W244)="","",INDEX('Per Invoice'!N$2:N$801,$W244)))</f>
        <v/>
      </c>
      <c r="O244" s="7">
        <f>IF($W244="","",IF(INDEX('Per Invoice'!O$2:O$801,$W244)="","",INDEX('Per Invoice'!O$2:O$801,$W244)))</f>
        <v/>
      </c>
      <c r="P244">
        <f>IF($W244="","",IF(INDEX('Per Invoice'!P$2:P$801,$W244)="","",INDEX('Per Invoice'!P$2:P$801,$W244)))</f>
        <v/>
      </c>
      <c r="Q244" s="7">
        <f>IF($W244="","",IF(INDEX('Per Invoice'!Q$2:Q$801,$W244)="","",INDEX('Per Invoice'!Q$2:Q$801,$W244)))</f>
        <v/>
      </c>
      <c r="R244" s="7">
        <f>IF($W244="","",IF(INDEX('Per Invoice'!R$2:R$801,$W244)="","",INDEX('Per Invoice'!R$2:R$801,$W244)))</f>
        <v/>
      </c>
      <c r="S244" s="7">
        <f>IF($W244="","",IF(INDEX('Per Invoice'!S$2:S$801,$W244)="","",INDEX('Per Invoice'!S$2:S$801,$W244)))</f>
        <v/>
      </c>
      <c r="T244" s="7">
        <f>IF($W244="","",IF(INDEX('Per Invoice'!T$2:T$801,$W244)="","",INDEX('Per Invoice'!T$2:T$801,$W244)))</f>
        <v/>
      </c>
      <c r="U244" s="7">
        <f>IF($W244="","",IF(INDEX('Per Invoice'!U$2:U$801,$W244)="","",INDEX('Per Invoice'!U$2:U$801,$W244)))</f>
        <v/>
      </c>
      <c r="V244" s="7">
        <f>IF($W244="","",IF(INDEX('Per Invoice'!V$2:V$801,$W244)="","",INDEX('Per Invoice'!V$2:V$801,$W244)))</f>
        <v/>
      </c>
      <c r="W244" s="16">
        <f>IFERROR(MATCH(Settings!$C$27&amp;"|"&amp;ROWS($W$2:$W244),'Per Invoice'!$X$2:$X$801,0),"")</f>
        <v/>
      </c>
    </row>
    <row r="245">
      <c r="A245">
        <f>IF($W245="","",IF(INDEX('Per Invoice'!A$2:A$801,$W245)="","",INDEX('Per Invoice'!A$2:A$801,$W245)))</f>
        <v/>
      </c>
      <c r="B245">
        <f>IF($W245="","",IF(INDEX('Per Invoice'!B$2:B$801,$W245)="","",INDEX('Per Invoice'!B$2:B$801,$W245)))</f>
        <v/>
      </c>
      <c r="C245">
        <f>IF($W245="","",IF(INDEX('Per Invoice'!C$2:C$801,$W245)="","",INDEX('Per Invoice'!C$2:C$801,$W245)))</f>
        <v/>
      </c>
      <c r="D245">
        <f>IF($W245="","",IF(INDEX('Per Invoice'!D$2:D$801,$W245)="","",INDEX('Per Invoice'!D$2:D$801,$W245)))</f>
        <v/>
      </c>
      <c r="E245">
        <f>IF($W245="","",IF(INDEX('Per Invoice'!E$2:E$801,$W245)="","",INDEX('Per Invoice'!E$2:E$801,$W245)))</f>
        <v/>
      </c>
      <c r="F245">
        <f>IF($W245="","",IF(INDEX('Per Invoice'!F$2:F$801,$W245)="","",INDEX('Per Invoice'!F$2:F$801,$W245)))</f>
        <v/>
      </c>
      <c r="G245">
        <f>IF($W245="","",IF(INDEX('Per Invoice'!G$2:G$801,$W245)="","",INDEX('Per Invoice'!G$2:G$801,$W245)))</f>
        <v/>
      </c>
      <c r="H245">
        <f>IF($W245="","",IF(INDEX('Per Invoice'!H$2:H$801,$W245)="","",INDEX('Per Invoice'!H$2:H$801,$W245)))</f>
        <v/>
      </c>
      <c r="I245">
        <f>IF($W245="","",IF(INDEX('Per Invoice'!I$2:I$801,$W245)="","",INDEX('Per Invoice'!I$2:I$801,$W245)))</f>
        <v/>
      </c>
      <c r="J245">
        <f>IF($W245="","",IF(INDEX('Per Invoice'!J$2:J$801,$W245)="","",INDEX('Per Invoice'!J$2:J$801,$W245)))</f>
        <v/>
      </c>
      <c r="K245" s="7">
        <f>IF($W245="","",IF(INDEX('Per Invoice'!K$2:K$801,$W245)="","",INDEX('Per Invoice'!K$2:K$801,$W245)))</f>
        <v/>
      </c>
      <c r="L245" s="14">
        <f>IF($W245="","",IF(INDEX('Per Invoice'!L$2:L$801,$W245)="","",INDEX('Per Invoice'!L$2:L$801,$W245)))</f>
        <v/>
      </c>
      <c r="M245">
        <f>IF($W245="","",IF(INDEX('Per Invoice'!M$2:M$801,$W245)="","",INDEX('Per Invoice'!M$2:M$801,$W245)))</f>
        <v/>
      </c>
      <c r="N245" s="7">
        <f>IF($W245="","",IF(INDEX('Per Invoice'!N$2:N$801,$W245)="","",INDEX('Per Invoice'!N$2:N$801,$W245)))</f>
        <v/>
      </c>
      <c r="O245" s="7">
        <f>IF($W245="","",IF(INDEX('Per Invoice'!O$2:O$801,$W245)="","",INDEX('Per Invoice'!O$2:O$801,$W245)))</f>
        <v/>
      </c>
      <c r="P245">
        <f>IF($W245="","",IF(INDEX('Per Invoice'!P$2:P$801,$W245)="","",INDEX('Per Invoice'!P$2:P$801,$W245)))</f>
        <v/>
      </c>
      <c r="Q245" s="7">
        <f>IF($W245="","",IF(INDEX('Per Invoice'!Q$2:Q$801,$W245)="","",INDEX('Per Invoice'!Q$2:Q$801,$W245)))</f>
        <v/>
      </c>
      <c r="R245" s="7">
        <f>IF($W245="","",IF(INDEX('Per Invoice'!R$2:R$801,$W245)="","",INDEX('Per Invoice'!R$2:R$801,$W245)))</f>
        <v/>
      </c>
      <c r="S245" s="7">
        <f>IF($W245="","",IF(INDEX('Per Invoice'!S$2:S$801,$W245)="","",INDEX('Per Invoice'!S$2:S$801,$W245)))</f>
        <v/>
      </c>
      <c r="T245" s="7">
        <f>IF($W245="","",IF(INDEX('Per Invoice'!T$2:T$801,$W245)="","",INDEX('Per Invoice'!T$2:T$801,$W245)))</f>
        <v/>
      </c>
      <c r="U245" s="7">
        <f>IF($W245="","",IF(INDEX('Per Invoice'!U$2:U$801,$W245)="","",INDEX('Per Invoice'!U$2:U$801,$W245)))</f>
        <v/>
      </c>
      <c r="V245" s="7">
        <f>IF($W245="","",IF(INDEX('Per Invoice'!V$2:V$801,$W245)="","",INDEX('Per Invoice'!V$2:V$801,$W245)))</f>
        <v/>
      </c>
      <c r="W245" s="16">
        <f>IFERROR(MATCH(Settings!$C$27&amp;"|"&amp;ROWS($W$2:$W245),'Per Invoice'!$X$2:$X$801,0),"")</f>
        <v/>
      </c>
    </row>
    <row r="246">
      <c r="A246">
        <f>IF($W246="","",IF(INDEX('Per Invoice'!A$2:A$801,$W246)="","",INDEX('Per Invoice'!A$2:A$801,$W246)))</f>
        <v/>
      </c>
      <c r="B246">
        <f>IF($W246="","",IF(INDEX('Per Invoice'!B$2:B$801,$W246)="","",INDEX('Per Invoice'!B$2:B$801,$W246)))</f>
        <v/>
      </c>
      <c r="C246">
        <f>IF($W246="","",IF(INDEX('Per Invoice'!C$2:C$801,$W246)="","",INDEX('Per Invoice'!C$2:C$801,$W246)))</f>
        <v/>
      </c>
      <c r="D246">
        <f>IF($W246="","",IF(INDEX('Per Invoice'!D$2:D$801,$W246)="","",INDEX('Per Invoice'!D$2:D$801,$W246)))</f>
        <v/>
      </c>
      <c r="E246">
        <f>IF($W246="","",IF(INDEX('Per Invoice'!E$2:E$801,$W246)="","",INDEX('Per Invoice'!E$2:E$801,$W246)))</f>
        <v/>
      </c>
      <c r="F246">
        <f>IF($W246="","",IF(INDEX('Per Invoice'!F$2:F$801,$W246)="","",INDEX('Per Invoice'!F$2:F$801,$W246)))</f>
        <v/>
      </c>
      <c r="G246">
        <f>IF($W246="","",IF(INDEX('Per Invoice'!G$2:G$801,$W246)="","",INDEX('Per Invoice'!G$2:G$801,$W246)))</f>
        <v/>
      </c>
      <c r="H246">
        <f>IF($W246="","",IF(INDEX('Per Invoice'!H$2:H$801,$W246)="","",INDEX('Per Invoice'!H$2:H$801,$W246)))</f>
        <v/>
      </c>
      <c r="I246">
        <f>IF($W246="","",IF(INDEX('Per Invoice'!I$2:I$801,$W246)="","",INDEX('Per Invoice'!I$2:I$801,$W246)))</f>
        <v/>
      </c>
      <c r="J246">
        <f>IF($W246="","",IF(INDEX('Per Invoice'!J$2:J$801,$W246)="","",INDEX('Per Invoice'!J$2:J$801,$W246)))</f>
        <v/>
      </c>
      <c r="K246" s="7">
        <f>IF($W246="","",IF(INDEX('Per Invoice'!K$2:K$801,$W246)="","",INDEX('Per Invoice'!K$2:K$801,$W246)))</f>
        <v/>
      </c>
      <c r="L246" s="14">
        <f>IF($W246="","",IF(INDEX('Per Invoice'!L$2:L$801,$W246)="","",INDEX('Per Invoice'!L$2:L$801,$W246)))</f>
        <v/>
      </c>
      <c r="M246">
        <f>IF($W246="","",IF(INDEX('Per Invoice'!M$2:M$801,$W246)="","",INDEX('Per Invoice'!M$2:M$801,$W246)))</f>
        <v/>
      </c>
      <c r="N246" s="7">
        <f>IF($W246="","",IF(INDEX('Per Invoice'!N$2:N$801,$W246)="","",INDEX('Per Invoice'!N$2:N$801,$W246)))</f>
        <v/>
      </c>
      <c r="O246" s="7">
        <f>IF($W246="","",IF(INDEX('Per Invoice'!O$2:O$801,$W246)="","",INDEX('Per Invoice'!O$2:O$801,$W246)))</f>
        <v/>
      </c>
      <c r="P246">
        <f>IF($W246="","",IF(INDEX('Per Invoice'!P$2:P$801,$W246)="","",INDEX('Per Invoice'!P$2:P$801,$W246)))</f>
        <v/>
      </c>
      <c r="Q246" s="7">
        <f>IF($W246="","",IF(INDEX('Per Invoice'!Q$2:Q$801,$W246)="","",INDEX('Per Invoice'!Q$2:Q$801,$W246)))</f>
        <v/>
      </c>
      <c r="R246" s="7">
        <f>IF($W246="","",IF(INDEX('Per Invoice'!R$2:R$801,$W246)="","",INDEX('Per Invoice'!R$2:R$801,$W246)))</f>
        <v/>
      </c>
      <c r="S246" s="7">
        <f>IF($W246="","",IF(INDEX('Per Invoice'!S$2:S$801,$W246)="","",INDEX('Per Invoice'!S$2:S$801,$W246)))</f>
        <v/>
      </c>
      <c r="T246" s="7">
        <f>IF($W246="","",IF(INDEX('Per Invoice'!T$2:T$801,$W246)="","",INDEX('Per Invoice'!T$2:T$801,$W246)))</f>
        <v/>
      </c>
      <c r="U246" s="7">
        <f>IF($W246="","",IF(INDEX('Per Invoice'!U$2:U$801,$W246)="","",INDEX('Per Invoice'!U$2:U$801,$W246)))</f>
        <v/>
      </c>
      <c r="V246" s="7">
        <f>IF($W246="","",IF(INDEX('Per Invoice'!V$2:V$801,$W246)="","",INDEX('Per Invoice'!V$2:V$801,$W246)))</f>
        <v/>
      </c>
      <c r="W246" s="16">
        <f>IFERROR(MATCH(Settings!$C$27&amp;"|"&amp;ROWS($W$2:$W246),'Per Invoice'!$X$2:$X$801,0),"")</f>
        <v/>
      </c>
    </row>
    <row r="247">
      <c r="A247">
        <f>IF($W247="","",IF(INDEX('Per Invoice'!A$2:A$801,$W247)="","",INDEX('Per Invoice'!A$2:A$801,$W247)))</f>
        <v/>
      </c>
      <c r="B247">
        <f>IF($W247="","",IF(INDEX('Per Invoice'!B$2:B$801,$W247)="","",INDEX('Per Invoice'!B$2:B$801,$W247)))</f>
        <v/>
      </c>
      <c r="C247">
        <f>IF($W247="","",IF(INDEX('Per Invoice'!C$2:C$801,$W247)="","",INDEX('Per Invoice'!C$2:C$801,$W247)))</f>
        <v/>
      </c>
      <c r="D247">
        <f>IF($W247="","",IF(INDEX('Per Invoice'!D$2:D$801,$W247)="","",INDEX('Per Invoice'!D$2:D$801,$W247)))</f>
        <v/>
      </c>
      <c r="E247">
        <f>IF($W247="","",IF(INDEX('Per Invoice'!E$2:E$801,$W247)="","",INDEX('Per Invoice'!E$2:E$801,$W247)))</f>
        <v/>
      </c>
      <c r="F247">
        <f>IF($W247="","",IF(INDEX('Per Invoice'!F$2:F$801,$W247)="","",INDEX('Per Invoice'!F$2:F$801,$W247)))</f>
        <v/>
      </c>
      <c r="G247">
        <f>IF($W247="","",IF(INDEX('Per Invoice'!G$2:G$801,$W247)="","",INDEX('Per Invoice'!G$2:G$801,$W247)))</f>
        <v/>
      </c>
      <c r="H247">
        <f>IF($W247="","",IF(INDEX('Per Invoice'!H$2:H$801,$W247)="","",INDEX('Per Invoice'!H$2:H$801,$W247)))</f>
        <v/>
      </c>
      <c r="I247">
        <f>IF($W247="","",IF(INDEX('Per Invoice'!I$2:I$801,$W247)="","",INDEX('Per Invoice'!I$2:I$801,$W247)))</f>
        <v/>
      </c>
      <c r="J247">
        <f>IF($W247="","",IF(INDEX('Per Invoice'!J$2:J$801,$W247)="","",INDEX('Per Invoice'!J$2:J$801,$W247)))</f>
        <v/>
      </c>
      <c r="K247" s="7">
        <f>IF($W247="","",IF(INDEX('Per Invoice'!K$2:K$801,$W247)="","",INDEX('Per Invoice'!K$2:K$801,$W247)))</f>
        <v/>
      </c>
      <c r="L247" s="14">
        <f>IF($W247="","",IF(INDEX('Per Invoice'!L$2:L$801,$W247)="","",INDEX('Per Invoice'!L$2:L$801,$W247)))</f>
        <v/>
      </c>
      <c r="M247">
        <f>IF($W247="","",IF(INDEX('Per Invoice'!M$2:M$801,$W247)="","",INDEX('Per Invoice'!M$2:M$801,$W247)))</f>
        <v/>
      </c>
      <c r="N247" s="7">
        <f>IF($W247="","",IF(INDEX('Per Invoice'!N$2:N$801,$W247)="","",INDEX('Per Invoice'!N$2:N$801,$W247)))</f>
        <v/>
      </c>
      <c r="O247" s="7">
        <f>IF($W247="","",IF(INDEX('Per Invoice'!O$2:O$801,$W247)="","",INDEX('Per Invoice'!O$2:O$801,$W247)))</f>
        <v/>
      </c>
      <c r="P247">
        <f>IF($W247="","",IF(INDEX('Per Invoice'!P$2:P$801,$W247)="","",INDEX('Per Invoice'!P$2:P$801,$W247)))</f>
        <v/>
      </c>
      <c r="Q247" s="7">
        <f>IF($W247="","",IF(INDEX('Per Invoice'!Q$2:Q$801,$W247)="","",INDEX('Per Invoice'!Q$2:Q$801,$W247)))</f>
        <v/>
      </c>
      <c r="R247" s="7">
        <f>IF($W247="","",IF(INDEX('Per Invoice'!R$2:R$801,$W247)="","",INDEX('Per Invoice'!R$2:R$801,$W247)))</f>
        <v/>
      </c>
      <c r="S247" s="7">
        <f>IF($W247="","",IF(INDEX('Per Invoice'!S$2:S$801,$W247)="","",INDEX('Per Invoice'!S$2:S$801,$W247)))</f>
        <v/>
      </c>
      <c r="T247" s="7">
        <f>IF($W247="","",IF(INDEX('Per Invoice'!T$2:T$801,$W247)="","",INDEX('Per Invoice'!T$2:T$801,$W247)))</f>
        <v/>
      </c>
      <c r="U247" s="7">
        <f>IF($W247="","",IF(INDEX('Per Invoice'!U$2:U$801,$W247)="","",INDEX('Per Invoice'!U$2:U$801,$W247)))</f>
        <v/>
      </c>
      <c r="V247" s="7">
        <f>IF($W247="","",IF(INDEX('Per Invoice'!V$2:V$801,$W247)="","",INDEX('Per Invoice'!V$2:V$801,$W247)))</f>
        <v/>
      </c>
      <c r="W247" s="16">
        <f>IFERROR(MATCH(Settings!$C$27&amp;"|"&amp;ROWS($W$2:$W247),'Per Invoice'!$X$2:$X$801,0),"")</f>
        <v/>
      </c>
    </row>
    <row r="248">
      <c r="A248">
        <f>IF($W248="","",IF(INDEX('Per Invoice'!A$2:A$801,$W248)="","",INDEX('Per Invoice'!A$2:A$801,$W248)))</f>
        <v/>
      </c>
      <c r="B248">
        <f>IF($W248="","",IF(INDEX('Per Invoice'!B$2:B$801,$W248)="","",INDEX('Per Invoice'!B$2:B$801,$W248)))</f>
        <v/>
      </c>
      <c r="C248">
        <f>IF($W248="","",IF(INDEX('Per Invoice'!C$2:C$801,$W248)="","",INDEX('Per Invoice'!C$2:C$801,$W248)))</f>
        <v/>
      </c>
      <c r="D248">
        <f>IF($W248="","",IF(INDEX('Per Invoice'!D$2:D$801,$W248)="","",INDEX('Per Invoice'!D$2:D$801,$W248)))</f>
        <v/>
      </c>
      <c r="E248">
        <f>IF($W248="","",IF(INDEX('Per Invoice'!E$2:E$801,$W248)="","",INDEX('Per Invoice'!E$2:E$801,$W248)))</f>
        <v/>
      </c>
      <c r="F248">
        <f>IF($W248="","",IF(INDEX('Per Invoice'!F$2:F$801,$W248)="","",INDEX('Per Invoice'!F$2:F$801,$W248)))</f>
        <v/>
      </c>
      <c r="G248">
        <f>IF($W248="","",IF(INDEX('Per Invoice'!G$2:G$801,$W248)="","",INDEX('Per Invoice'!G$2:G$801,$W248)))</f>
        <v/>
      </c>
      <c r="H248">
        <f>IF($W248="","",IF(INDEX('Per Invoice'!H$2:H$801,$W248)="","",INDEX('Per Invoice'!H$2:H$801,$W248)))</f>
        <v/>
      </c>
      <c r="I248">
        <f>IF($W248="","",IF(INDEX('Per Invoice'!I$2:I$801,$W248)="","",INDEX('Per Invoice'!I$2:I$801,$W248)))</f>
        <v/>
      </c>
      <c r="J248">
        <f>IF($W248="","",IF(INDEX('Per Invoice'!J$2:J$801,$W248)="","",INDEX('Per Invoice'!J$2:J$801,$W248)))</f>
        <v/>
      </c>
      <c r="K248" s="7">
        <f>IF($W248="","",IF(INDEX('Per Invoice'!K$2:K$801,$W248)="","",INDEX('Per Invoice'!K$2:K$801,$W248)))</f>
        <v/>
      </c>
      <c r="L248" s="14">
        <f>IF($W248="","",IF(INDEX('Per Invoice'!L$2:L$801,$W248)="","",INDEX('Per Invoice'!L$2:L$801,$W248)))</f>
        <v/>
      </c>
      <c r="M248">
        <f>IF($W248="","",IF(INDEX('Per Invoice'!M$2:M$801,$W248)="","",INDEX('Per Invoice'!M$2:M$801,$W248)))</f>
        <v/>
      </c>
      <c r="N248" s="7">
        <f>IF($W248="","",IF(INDEX('Per Invoice'!N$2:N$801,$W248)="","",INDEX('Per Invoice'!N$2:N$801,$W248)))</f>
        <v/>
      </c>
      <c r="O248" s="7">
        <f>IF($W248="","",IF(INDEX('Per Invoice'!O$2:O$801,$W248)="","",INDEX('Per Invoice'!O$2:O$801,$W248)))</f>
        <v/>
      </c>
      <c r="P248">
        <f>IF($W248="","",IF(INDEX('Per Invoice'!P$2:P$801,$W248)="","",INDEX('Per Invoice'!P$2:P$801,$W248)))</f>
        <v/>
      </c>
      <c r="Q248" s="7">
        <f>IF($W248="","",IF(INDEX('Per Invoice'!Q$2:Q$801,$W248)="","",INDEX('Per Invoice'!Q$2:Q$801,$W248)))</f>
        <v/>
      </c>
      <c r="R248" s="7">
        <f>IF($W248="","",IF(INDEX('Per Invoice'!R$2:R$801,$W248)="","",INDEX('Per Invoice'!R$2:R$801,$W248)))</f>
        <v/>
      </c>
      <c r="S248" s="7">
        <f>IF($W248="","",IF(INDEX('Per Invoice'!S$2:S$801,$W248)="","",INDEX('Per Invoice'!S$2:S$801,$W248)))</f>
        <v/>
      </c>
      <c r="T248" s="7">
        <f>IF($W248="","",IF(INDEX('Per Invoice'!T$2:T$801,$W248)="","",INDEX('Per Invoice'!T$2:T$801,$W248)))</f>
        <v/>
      </c>
      <c r="U248" s="7">
        <f>IF($W248="","",IF(INDEX('Per Invoice'!U$2:U$801,$W248)="","",INDEX('Per Invoice'!U$2:U$801,$W248)))</f>
        <v/>
      </c>
      <c r="V248" s="7">
        <f>IF($W248="","",IF(INDEX('Per Invoice'!V$2:V$801,$W248)="","",INDEX('Per Invoice'!V$2:V$801,$W248)))</f>
        <v/>
      </c>
      <c r="W248" s="16">
        <f>IFERROR(MATCH(Settings!$C$27&amp;"|"&amp;ROWS($W$2:$W248),'Per Invoice'!$X$2:$X$801,0),"")</f>
        <v/>
      </c>
    </row>
    <row r="249">
      <c r="A249">
        <f>IF($W249="","",IF(INDEX('Per Invoice'!A$2:A$801,$W249)="","",INDEX('Per Invoice'!A$2:A$801,$W249)))</f>
        <v/>
      </c>
      <c r="B249">
        <f>IF($W249="","",IF(INDEX('Per Invoice'!B$2:B$801,$W249)="","",INDEX('Per Invoice'!B$2:B$801,$W249)))</f>
        <v/>
      </c>
      <c r="C249">
        <f>IF($W249="","",IF(INDEX('Per Invoice'!C$2:C$801,$W249)="","",INDEX('Per Invoice'!C$2:C$801,$W249)))</f>
        <v/>
      </c>
      <c r="D249">
        <f>IF($W249="","",IF(INDEX('Per Invoice'!D$2:D$801,$W249)="","",INDEX('Per Invoice'!D$2:D$801,$W249)))</f>
        <v/>
      </c>
      <c r="E249">
        <f>IF($W249="","",IF(INDEX('Per Invoice'!E$2:E$801,$W249)="","",INDEX('Per Invoice'!E$2:E$801,$W249)))</f>
        <v/>
      </c>
      <c r="F249">
        <f>IF($W249="","",IF(INDEX('Per Invoice'!F$2:F$801,$W249)="","",INDEX('Per Invoice'!F$2:F$801,$W249)))</f>
        <v/>
      </c>
      <c r="G249">
        <f>IF($W249="","",IF(INDEX('Per Invoice'!G$2:G$801,$W249)="","",INDEX('Per Invoice'!G$2:G$801,$W249)))</f>
        <v/>
      </c>
      <c r="H249">
        <f>IF($W249="","",IF(INDEX('Per Invoice'!H$2:H$801,$W249)="","",INDEX('Per Invoice'!H$2:H$801,$W249)))</f>
        <v/>
      </c>
      <c r="I249">
        <f>IF($W249="","",IF(INDEX('Per Invoice'!I$2:I$801,$W249)="","",INDEX('Per Invoice'!I$2:I$801,$W249)))</f>
        <v/>
      </c>
      <c r="J249">
        <f>IF($W249="","",IF(INDEX('Per Invoice'!J$2:J$801,$W249)="","",INDEX('Per Invoice'!J$2:J$801,$W249)))</f>
        <v/>
      </c>
      <c r="K249" s="7">
        <f>IF($W249="","",IF(INDEX('Per Invoice'!K$2:K$801,$W249)="","",INDEX('Per Invoice'!K$2:K$801,$W249)))</f>
        <v/>
      </c>
      <c r="L249" s="14">
        <f>IF($W249="","",IF(INDEX('Per Invoice'!L$2:L$801,$W249)="","",INDEX('Per Invoice'!L$2:L$801,$W249)))</f>
        <v/>
      </c>
      <c r="M249">
        <f>IF($W249="","",IF(INDEX('Per Invoice'!M$2:M$801,$W249)="","",INDEX('Per Invoice'!M$2:M$801,$W249)))</f>
        <v/>
      </c>
      <c r="N249" s="7">
        <f>IF($W249="","",IF(INDEX('Per Invoice'!N$2:N$801,$W249)="","",INDEX('Per Invoice'!N$2:N$801,$W249)))</f>
        <v/>
      </c>
      <c r="O249" s="7">
        <f>IF($W249="","",IF(INDEX('Per Invoice'!O$2:O$801,$W249)="","",INDEX('Per Invoice'!O$2:O$801,$W249)))</f>
        <v/>
      </c>
      <c r="P249">
        <f>IF($W249="","",IF(INDEX('Per Invoice'!P$2:P$801,$W249)="","",INDEX('Per Invoice'!P$2:P$801,$W249)))</f>
        <v/>
      </c>
      <c r="Q249" s="7">
        <f>IF($W249="","",IF(INDEX('Per Invoice'!Q$2:Q$801,$W249)="","",INDEX('Per Invoice'!Q$2:Q$801,$W249)))</f>
        <v/>
      </c>
      <c r="R249" s="7">
        <f>IF($W249="","",IF(INDEX('Per Invoice'!R$2:R$801,$W249)="","",INDEX('Per Invoice'!R$2:R$801,$W249)))</f>
        <v/>
      </c>
      <c r="S249" s="7">
        <f>IF($W249="","",IF(INDEX('Per Invoice'!S$2:S$801,$W249)="","",INDEX('Per Invoice'!S$2:S$801,$W249)))</f>
        <v/>
      </c>
      <c r="T249" s="7">
        <f>IF($W249="","",IF(INDEX('Per Invoice'!T$2:T$801,$W249)="","",INDEX('Per Invoice'!T$2:T$801,$W249)))</f>
        <v/>
      </c>
      <c r="U249" s="7">
        <f>IF($W249="","",IF(INDEX('Per Invoice'!U$2:U$801,$W249)="","",INDEX('Per Invoice'!U$2:U$801,$W249)))</f>
        <v/>
      </c>
      <c r="V249" s="7">
        <f>IF($W249="","",IF(INDEX('Per Invoice'!V$2:V$801,$W249)="","",INDEX('Per Invoice'!V$2:V$801,$W249)))</f>
        <v/>
      </c>
      <c r="W249" s="16">
        <f>IFERROR(MATCH(Settings!$C$27&amp;"|"&amp;ROWS($W$2:$W249),'Per Invoice'!$X$2:$X$801,0),"")</f>
        <v/>
      </c>
    </row>
    <row r="250">
      <c r="A250">
        <f>IF($W250="","",IF(INDEX('Per Invoice'!A$2:A$801,$W250)="","",INDEX('Per Invoice'!A$2:A$801,$W250)))</f>
        <v/>
      </c>
      <c r="B250">
        <f>IF($W250="","",IF(INDEX('Per Invoice'!B$2:B$801,$W250)="","",INDEX('Per Invoice'!B$2:B$801,$W250)))</f>
        <v/>
      </c>
      <c r="C250">
        <f>IF($W250="","",IF(INDEX('Per Invoice'!C$2:C$801,$W250)="","",INDEX('Per Invoice'!C$2:C$801,$W250)))</f>
        <v/>
      </c>
      <c r="D250">
        <f>IF($W250="","",IF(INDEX('Per Invoice'!D$2:D$801,$W250)="","",INDEX('Per Invoice'!D$2:D$801,$W250)))</f>
        <v/>
      </c>
      <c r="E250">
        <f>IF($W250="","",IF(INDEX('Per Invoice'!E$2:E$801,$W250)="","",INDEX('Per Invoice'!E$2:E$801,$W250)))</f>
        <v/>
      </c>
      <c r="F250">
        <f>IF($W250="","",IF(INDEX('Per Invoice'!F$2:F$801,$W250)="","",INDEX('Per Invoice'!F$2:F$801,$W250)))</f>
        <v/>
      </c>
      <c r="G250">
        <f>IF($W250="","",IF(INDEX('Per Invoice'!G$2:G$801,$W250)="","",INDEX('Per Invoice'!G$2:G$801,$W250)))</f>
        <v/>
      </c>
      <c r="H250">
        <f>IF($W250="","",IF(INDEX('Per Invoice'!H$2:H$801,$W250)="","",INDEX('Per Invoice'!H$2:H$801,$W250)))</f>
        <v/>
      </c>
      <c r="I250">
        <f>IF($W250="","",IF(INDEX('Per Invoice'!I$2:I$801,$W250)="","",INDEX('Per Invoice'!I$2:I$801,$W250)))</f>
        <v/>
      </c>
      <c r="J250">
        <f>IF($W250="","",IF(INDEX('Per Invoice'!J$2:J$801,$W250)="","",INDEX('Per Invoice'!J$2:J$801,$W250)))</f>
        <v/>
      </c>
      <c r="K250" s="7">
        <f>IF($W250="","",IF(INDEX('Per Invoice'!K$2:K$801,$W250)="","",INDEX('Per Invoice'!K$2:K$801,$W250)))</f>
        <v/>
      </c>
      <c r="L250" s="14">
        <f>IF($W250="","",IF(INDEX('Per Invoice'!L$2:L$801,$W250)="","",INDEX('Per Invoice'!L$2:L$801,$W250)))</f>
        <v/>
      </c>
      <c r="M250">
        <f>IF($W250="","",IF(INDEX('Per Invoice'!M$2:M$801,$W250)="","",INDEX('Per Invoice'!M$2:M$801,$W250)))</f>
        <v/>
      </c>
      <c r="N250" s="7">
        <f>IF($W250="","",IF(INDEX('Per Invoice'!N$2:N$801,$W250)="","",INDEX('Per Invoice'!N$2:N$801,$W250)))</f>
        <v/>
      </c>
      <c r="O250" s="7">
        <f>IF($W250="","",IF(INDEX('Per Invoice'!O$2:O$801,$W250)="","",INDEX('Per Invoice'!O$2:O$801,$W250)))</f>
        <v/>
      </c>
      <c r="P250">
        <f>IF($W250="","",IF(INDEX('Per Invoice'!P$2:P$801,$W250)="","",INDEX('Per Invoice'!P$2:P$801,$W250)))</f>
        <v/>
      </c>
      <c r="Q250" s="7">
        <f>IF($W250="","",IF(INDEX('Per Invoice'!Q$2:Q$801,$W250)="","",INDEX('Per Invoice'!Q$2:Q$801,$W250)))</f>
        <v/>
      </c>
      <c r="R250" s="7">
        <f>IF($W250="","",IF(INDEX('Per Invoice'!R$2:R$801,$W250)="","",INDEX('Per Invoice'!R$2:R$801,$W250)))</f>
        <v/>
      </c>
      <c r="S250" s="7">
        <f>IF($W250="","",IF(INDEX('Per Invoice'!S$2:S$801,$W250)="","",INDEX('Per Invoice'!S$2:S$801,$W250)))</f>
        <v/>
      </c>
      <c r="T250" s="7">
        <f>IF($W250="","",IF(INDEX('Per Invoice'!T$2:T$801,$W250)="","",INDEX('Per Invoice'!T$2:T$801,$W250)))</f>
        <v/>
      </c>
      <c r="U250" s="7">
        <f>IF($W250="","",IF(INDEX('Per Invoice'!U$2:U$801,$W250)="","",INDEX('Per Invoice'!U$2:U$801,$W250)))</f>
        <v/>
      </c>
      <c r="V250" s="7">
        <f>IF($W250="","",IF(INDEX('Per Invoice'!V$2:V$801,$W250)="","",INDEX('Per Invoice'!V$2:V$801,$W250)))</f>
        <v/>
      </c>
      <c r="W250" s="16">
        <f>IFERROR(MATCH(Settings!$C$27&amp;"|"&amp;ROWS($W$2:$W250),'Per Invoice'!$X$2:$X$801,0),"")</f>
        <v/>
      </c>
    </row>
    <row r="251">
      <c r="A251">
        <f>IF($W251="","",IF(INDEX('Per Invoice'!A$2:A$801,$W251)="","",INDEX('Per Invoice'!A$2:A$801,$W251)))</f>
        <v/>
      </c>
      <c r="B251">
        <f>IF($W251="","",IF(INDEX('Per Invoice'!B$2:B$801,$W251)="","",INDEX('Per Invoice'!B$2:B$801,$W251)))</f>
        <v/>
      </c>
      <c r="C251">
        <f>IF($W251="","",IF(INDEX('Per Invoice'!C$2:C$801,$W251)="","",INDEX('Per Invoice'!C$2:C$801,$W251)))</f>
        <v/>
      </c>
      <c r="D251">
        <f>IF($W251="","",IF(INDEX('Per Invoice'!D$2:D$801,$W251)="","",INDEX('Per Invoice'!D$2:D$801,$W251)))</f>
        <v/>
      </c>
      <c r="E251">
        <f>IF($W251="","",IF(INDEX('Per Invoice'!E$2:E$801,$W251)="","",INDEX('Per Invoice'!E$2:E$801,$W251)))</f>
        <v/>
      </c>
      <c r="F251">
        <f>IF($W251="","",IF(INDEX('Per Invoice'!F$2:F$801,$W251)="","",INDEX('Per Invoice'!F$2:F$801,$W251)))</f>
        <v/>
      </c>
      <c r="G251">
        <f>IF($W251="","",IF(INDEX('Per Invoice'!G$2:G$801,$W251)="","",INDEX('Per Invoice'!G$2:G$801,$W251)))</f>
        <v/>
      </c>
      <c r="H251">
        <f>IF($W251="","",IF(INDEX('Per Invoice'!H$2:H$801,$W251)="","",INDEX('Per Invoice'!H$2:H$801,$W251)))</f>
        <v/>
      </c>
      <c r="I251">
        <f>IF($W251="","",IF(INDEX('Per Invoice'!I$2:I$801,$W251)="","",INDEX('Per Invoice'!I$2:I$801,$W251)))</f>
        <v/>
      </c>
      <c r="J251">
        <f>IF($W251="","",IF(INDEX('Per Invoice'!J$2:J$801,$W251)="","",INDEX('Per Invoice'!J$2:J$801,$W251)))</f>
        <v/>
      </c>
      <c r="K251" s="7">
        <f>IF($W251="","",IF(INDEX('Per Invoice'!K$2:K$801,$W251)="","",INDEX('Per Invoice'!K$2:K$801,$W251)))</f>
        <v/>
      </c>
      <c r="L251" s="14">
        <f>IF($W251="","",IF(INDEX('Per Invoice'!L$2:L$801,$W251)="","",INDEX('Per Invoice'!L$2:L$801,$W251)))</f>
        <v/>
      </c>
      <c r="M251">
        <f>IF($W251="","",IF(INDEX('Per Invoice'!M$2:M$801,$W251)="","",INDEX('Per Invoice'!M$2:M$801,$W251)))</f>
        <v/>
      </c>
      <c r="N251" s="7">
        <f>IF($W251="","",IF(INDEX('Per Invoice'!N$2:N$801,$W251)="","",INDEX('Per Invoice'!N$2:N$801,$W251)))</f>
        <v/>
      </c>
      <c r="O251" s="7">
        <f>IF($W251="","",IF(INDEX('Per Invoice'!O$2:O$801,$W251)="","",INDEX('Per Invoice'!O$2:O$801,$W251)))</f>
        <v/>
      </c>
      <c r="P251">
        <f>IF($W251="","",IF(INDEX('Per Invoice'!P$2:P$801,$W251)="","",INDEX('Per Invoice'!P$2:P$801,$W251)))</f>
        <v/>
      </c>
      <c r="Q251" s="7">
        <f>IF($W251="","",IF(INDEX('Per Invoice'!Q$2:Q$801,$W251)="","",INDEX('Per Invoice'!Q$2:Q$801,$W251)))</f>
        <v/>
      </c>
      <c r="R251" s="7">
        <f>IF($W251="","",IF(INDEX('Per Invoice'!R$2:R$801,$W251)="","",INDEX('Per Invoice'!R$2:R$801,$W251)))</f>
        <v/>
      </c>
      <c r="S251" s="7">
        <f>IF($W251="","",IF(INDEX('Per Invoice'!S$2:S$801,$W251)="","",INDEX('Per Invoice'!S$2:S$801,$W251)))</f>
        <v/>
      </c>
      <c r="T251" s="7">
        <f>IF($W251="","",IF(INDEX('Per Invoice'!T$2:T$801,$W251)="","",INDEX('Per Invoice'!T$2:T$801,$W251)))</f>
        <v/>
      </c>
      <c r="U251" s="7">
        <f>IF($W251="","",IF(INDEX('Per Invoice'!U$2:U$801,$W251)="","",INDEX('Per Invoice'!U$2:U$801,$W251)))</f>
        <v/>
      </c>
      <c r="V251" s="7">
        <f>IF($W251="","",IF(INDEX('Per Invoice'!V$2:V$801,$W251)="","",INDEX('Per Invoice'!V$2:V$801,$W251)))</f>
        <v/>
      </c>
      <c r="W251" s="16">
        <f>IFERROR(MATCH(Settings!$C$27&amp;"|"&amp;ROWS($W$2:$W251),'Per Invoice'!$X$2:$X$801,0),"")</f>
        <v/>
      </c>
    </row>
    <row r="252">
      <c r="A252">
        <f>IF($W252="","",IF(INDEX('Per Invoice'!A$2:A$801,$W252)="","",INDEX('Per Invoice'!A$2:A$801,$W252)))</f>
        <v/>
      </c>
      <c r="B252">
        <f>IF($W252="","",IF(INDEX('Per Invoice'!B$2:B$801,$W252)="","",INDEX('Per Invoice'!B$2:B$801,$W252)))</f>
        <v/>
      </c>
      <c r="C252">
        <f>IF($W252="","",IF(INDEX('Per Invoice'!C$2:C$801,$W252)="","",INDEX('Per Invoice'!C$2:C$801,$W252)))</f>
        <v/>
      </c>
      <c r="D252">
        <f>IF($W252="","",IF(INDEX('Per Invoice'!D$2:D$801,$W252)="","",INDEX('Per Invoice'!D$2:D$801,$W252)))</f>
        <v/>
      </c>
      <c r="E252">
        <f>IF($W252="","",IF(INDEX('Per Invoice'!E$2:E$801,$W252)="","",INDEX('Per Invoice'!E$2:E$801,$W252)))</f>
        <v/>
      </c>
      <c r="F252">
        <f>IF($W252="","",IF(INDEX('Per Invoice'!F$2:F$801,$W252)="","",INDEX('Per Invoice'!F$2:F$801,$W252)))</f>
        <v/>
      </c>
      <c r="G252">
        <f>IF($W252="","",IF(INDEX('Per Invoice'!G$2:G$801,$W252)="","",INDEX('Per Invoice'!G$2:G$801,$W252)))</f>
        <v/>
      </c>
      <c r="H252">
        <f>IF($W252="","",IF(INDEX('Per Invoice'!H$2:H$801,$W252)="","",INDEX('Per Invoice'!H$2:H$801,$W252)))</f>
        <v/>
      </c>
      <c r="I252">
        <f>IF($W252="","",IF(INDEX('Per Invoice'!I$2:I$801,$W252)="","",INDEX('Per Invoice'!I$2:I$801,$W252)))</f>
        <v/>
      </c>
      <c r="J252">
        <f>IF($W252="","",IF(INDEX('Per Invoice'!J$2:J$801,$W252)="","",INDEX('Per Invoice'!J$2:J$801,$W252)))</f>
        <v/>
      </c>
      <c r="K252" s="7">
        <f>IF($W252="","",IF(INDEX('Per Invoice'!K$2:K$801,$W252)="","",INDEX('Per Invoice'!K$2:K$801,$W252)))</f>
        <v/>
      </c>
      <c r="L252" s="14">
        <f>IF($W252="","",IF(INDEX('Per Invoice'!L$2:L$801,$W252)="","",INDEX('Per Invoice'!L$2:L$801,$W252)))</f>
        <v/>
      </c>
      <c r="M252">
        <f>IF($W252="","",IF(INDEX('Per Invoice'!M$2:M$801,$W252)="","",INDEX('Per Invoice'!M$2:M$801,$W252)))</f>
        <v/>
      </c>
      <c r="N252" s="7">
        <f>IF($W252="","",IF(INDEX('Per Invoice'!N$2:N$801,$W252)="","",INDEX('Per Invoice'!N$2:N$801,$W252)))</f>
        <v/>
      </c>
      <c r="O252" s="7">
        <f>IF($W252="","",IF(INDEX('Per Invoice'!O$2:O$801,$W252)="","",INDEX('Per Invoice'!O$2:O$801,$W252)))</f>
        <v/>
      </c>
      <c r="P252">
        <f>IF($W252="","",IF(INDEX('Per Invoice'!P$2:P$801,$W252)="","",INDEX('Per Invoice'!P$2:P$801,$W252)))</f>
        <v/>
      </c>
      <c r="Q252" s="7">
        <f>IF($W252="","",IF(INDEX('Per Invoice'!Q$2:Q$801,$W252)="","",INDEX('Per Invoice'!Q$2:Q$801,$W252)))</f>
        <v/>
      </c>
      <c r="R252" s="7">
        <f>IF($W252="","",IF(INDEX('Per Invoice'!R$2:R$801,$W252)="","",INDEX('Per Invoice'!R$2:R$801,$W252)))</f>
        <v/>
      </c>
      <c r="S252" s="7">
        <f>IF($W252="","",IF(INDEX('Per Invoice'!S$2:S$801,$W252)="","",INDEX('Per Invoice'!S$2:S$801,$W252)))</f>
        <v/>
      </c>
      <c r="T252" s="7">
        <f>IF($W252="","",IF(INDEX('Per Invoice'!T$2:T$801,$W252)="","",INDEX('Per Invoice'!T$2:T$801,$W252)))</f>
        <v/>
      </c>
      <c r="U252" s="7">
        <f>IF($W252="","",IF(INDEX('Per Invoice'!U$2:U$801,$W252)="","",INDEX('Per Invoice'!U$2:U$801,$W252)))</f>
        <v/>
      </c>
      <c r="V252" s="7">
        <f>IF($W252="","",IF(INDEX('Per Invoice'!V$2:V$801,$W252)="","",INDEX('Per Invoice'!V$2:V$801,$W252)))</f>
        <v/>
      </c>
      <c r="W252" s="16">
        <f>IFERROR(MATCH(Settings!$C$27&amp;"|"&amp;ROWS($W$2:$W252),'Per Invoice'!$X$2:$X$801,0),"")</f>
        <v/>
      </c>
    </row>
    <row r="253">
      <c r="A253">
        <f>IF($W253="","",IF(INDEX('Per Invoice'!A$2:A$801,$W253)="","",INDEX('Per Invoice'!A$2:A$801,$W253)))</f>
        <v/>
      </c>
      <c r="B253">
        <f>IF($W253="","",IF(INDEX('Per Invoice'!B$2:B$801,$W253)="","",INDEX('Per Invoice'!B$2:B$801,$W253)))</f>
        <v/>
      </c>
      <c r="C253">
        <f>IF($W253="","",IF(INDEX('Per Invoice'!C$2:C$801,$W253)="","",INDEX('Per Invoice'!C$2:C$801,$W253)))</f>
        <v/>
      </c>
      <c r="D253">
        <f>IF($W253="","",IF(INDEX('Per Invoice'!D$2:D$801,$W253)="","",INDEX('Per Invoice'!D$2:D$801,$W253)))</f>
        <v/>
      </c>
      <c r="E253">
        <f>IF($W253="","",IF(INDEX('Per Invoice'!E$2:E$801,$W253)="","",INDEX('Per Invoice'!E$2:E$801,$W253)))</f>
        <v/>
      </c>
      <c r="F253">
        <f>IF($W253="","",IF(INDEX('Per Invoice'!F$2:F$801,$W253)="","",INDEX('Per Invoice'!F$2:F$801,$W253)))</f>
        <v/>
      </c>
      <c r="G253">
        <f>IF($W253="","",IF(INDEX('Per Invoice'!G$2:G$801,$W253)="","",INDEX('Per Invoice'!G$2:G$801,$W253)))</f>
        <v/>
      </c>
      <c r="H253">
        <f>IF($W253="","",IF(INDEX('Per Invoice'!H$2:H$801,$W253)="","",INDEX('Per Invoice'!H$2:H$801,$W253)))</f>
        <v/>
      </c>
      <c r="I253">
        <f>IF($W253="","",IF(INDEX('Per Invoice'!I$2:I$801,$W253)="","",INDEX('Per Invoice'!I$2:I$801,$W253)))</f>
        <v/>
      </c>
      <c r="J253">
        <f>IF($W253="","",IF(INDEX('Per Invoice'!J$2:J$801,$W253)="","",INDEX('Per Invoice'!J$2:J$801,$W253)))</f>
        <v/>
      </c>
      <c r="K253" s="7">
        <f>IF($W253="","",IF(INDEX('Per Invoice'!K$2:K$801,$W253)="","",INDEX('Per Invoice'!K$2:K$801,$W253)))</f>
        <v/>
      </c>
      <c r="L253" s="14">
        <f>IF($W253="","",IF(INDEX('Per Invoice'!L$2:L$801,$W253)="","",INDEX('Per Invoice'!L$2:L$801,$W253)))</f>
        <v/>
      </c>
      <c r="M253">
        <f>IF($W253="","",IF(INDEX('Per Invoice'!M$2:M$801,$W253)="","",INDEX('Per Invoice'!M$2:M$801,$W253)))</f>
        <v/>
      </c>
      <c r="N253" s="7">
        <f>IF($W253="","",IF(INDEX('Per Invoice'!N$2:N$801,$W253)="","",INDEX('Per Invoice'!N$2:N$801,$W253)))</f>
        <v/>
      </c>
      <c r="O253" s="7">
        <f>IF($W253="","",IF(INDEX('Per Invoice'!O$2:O$801,$W253)="","",INDEX('Per Invoice'!O$2:O$801,$W253)))</f>
        <v/>
      </c>
      <c r="P253">
        <f>IF($W253="","",IF(INDEX('Per Invoice'!P$2:P$801,$W253)="","",INDEX('Per Invoice'!P$2:P$801,$W253)))</f>
        <v/>
      </c>
      <c r="Q253" s="7">
        <f>IF($W253="","",IF(INDEX('Per Invoice'!Q$2:Q$801,$W253)="","",INDEX('Per Invoice'!Q$2:Q$801,$W253)))</f>
        <v/>
      </c>
      <c r="R253" s="7">
        <f>IF($W253="","",IF(INDEX('Per Invoice'!R$2:R$801,$W253)="","",INDEX('Per Invoice'!R$2:R$801,$W253)))</f>
        <v/>
      </c>
      <c r="S253" s="7">
        <f>IF($W253="","",IF(INDEX('Per Invoice'!S$2:S$801,$W253)="","",INDEX('Per Invoice'!S$2:S$801,$W253)))</f>
        <v/>
      </c>
      <c r="T253" s="7">
        <f>IF($W253="","",IF(INDEX('Per Invoice'!T$2:T$801,$W253)="","",INDEX('Per Invoice'!T$2:T$801,$W253)))</f>
        <v/>
      </c>
      <c r="U253" s="7">
        <f>IF($W253="","",IF(INDEX('Per Invoice'!U$2:U$801,$W253)="","",INDEX('Per Invoice'!U$2:U$801,$W253)))</f>
        <v/>
      </c>
      <c r="V253" s="7">
        <f>IF($W253="","",IF(INDEX('Per Invoice'!V$2:V$801,$W253)="","",INDEX('Per Invoice'!V$2:V$801,$W253)))</f>
        <v/>
      </c>
      <c r="W253" s="16">
        <f>IFERROR(MATCH(Settings!$C$27&amp;"|"&amp;ROWS($W$2:$W253),'Per Invoice'!$X$2:$X$801,0),"")</f>
        <v/>
      </c>
    </row>
    <row r="254">
      <c r="A254">
        <f>IF($W254="","",IF(INDEX('Per Invoice'!A$2:A$801,$W254)="","",INDEX('Per Invoice'!A$2:A$801,$W254)))</f>
        <v/>
      </c>
      <c r="B254">
        <f>IF($W254="","",IF(INDEX('Per Invoice'!B$2:B$801,$W254)="","",INDEX('Per Invoice'!B$2:B$801,$W254)))</f>
        <v/>
      </c>
      <c r="C254">
        <f>IF($W254="","",IF(INDEX('Per Invoice'!C$2:C$801,$W254)="","",INDEX('Per Invoice'!C$2:C$801,$W254)))</f>
        <v/>
      </c>
      <c r="D254">
        <f>IF($W254="","",IF(INDEX('Per Invoice'!D$2:D$801,$W254)="","",INDEX('Per Invoice'!D$2:D$801,$W254)))</f>
        <v/>
      </c>
      <c r="E254">
        <f>IF($W254="","",IF(INDEX('Per Invoice'!E$2:E$801,$W254)="","",INDEX('Per Invoice'!E$2:E$801,$W254)))</f>
        <v/>
      </c>
      <c r="F254">
        <f>IF($W254="","",IF(INDEX('Per Invoice'!F$2:F$801,$W254)="","",INDEX('Per Invoice'!F$2:F$801,$W254)))</f>
        <v/>
      </c>
      <c r="G254">
        <f>IF($W254="","",IF(INDEX('Per Invoice'!G$2:G$801,$W254)="","",INDEX('Per Invoice'!G$2:G$801,$W254)))</f>
        <v/>
      </c>
      <c r="H254">
        <f>IF($W254="","",IF(INDEX('Per Invoice'!H$2:H$801,$W254)="","",INDEX('Per Invoice'!H$2:H$801,$W254)))</f>
        <v/>
      </c>
      <c r="I254">
        <f>IF($W254="","",IF(INDEX('Per Invoice'!I$2:I$801,$W254)="","",INDEX('Per Invoice'!I$2:I$801,$W254)))</f>
        <v/>
      </c>
      <c r="J254">
        <f>IF($W254="","",IF(INDEX('Per Invoice'!J$2:J$801,$W254)="","",INDEX('Per Invoice'!J$2:J$801,$W254)))</f>
        <v/>
      </c>
      <c r="K254" s="7">
        <f>IF($W254="","",IF(INDEX('Per Invoice'!K$2:K$801,$W254)="","",INDEX('Per Invoice'!K$2:K$801,$W254)))</f>
        <v/>
      </c>
      <c r="L254" s="14">
        <f>IF($W254="","",IF(INDEX('Per Invoice'!L$2:L$801,$W254)="","",INDEX('Per Invoice'!L$2:L$801,$W254)))</f>
        <v/>
      </c>
      <c r="M254">
        <f>IF($W254="","",IF(INDEX('Per Invoice'!M$2:M$801,$W254)="","",INDEX('Per Invoice'!M$2:M$801,$W254)))</f>
        <v/>
      </c>
      <c r="N254" s="7">
        <f>IF($W254="","",IF(INDEX('Per Invoice'!N$2:N$801,$W254)="","",INDEX('Per Invoice'!N$2:N$801,$W254)))</f>
        <v/>
      </c>
      <c r="O254" s="7">
        <f>IF($W254="","",IF(INDEX('Per Invoice'!O$2:O$801,$W254)="","",INDEX('Per Invoice'!O$2:O$801,$W254)))</f>
        <v/>
      </c>
      <c r="P254">
        <f>IF($W254="","",IF(INDEX('Per Invoice'!P$2:P$801,$W254)="","",INDEX('Per Invoice'!P$2:P$801,$W254)))</f>
        <v/>
      </c>
      <c r="Q254" s="7">
        <f>IF($W254="","",IF(INDEX('Per Invoice'!Q$2:Q$801,$W254)="","",INDEX('Per Invoice'!Q$2:Q$801,$W254)))</f>
        <v/>
      </c>
      <c r="R254" s="7">
        <f>IF($W254="","",IF(INDEX('Per Invoice'!R$2:R$801,$W254)="","",INDEX('Per Invoice'!R$2:R$801,$W254)))</f>
        <v/>
      </c>
      <c r="S254" s="7">
        <f>IF($W254="","",IF(INDEX('Per Invoice'!S$2:S$801,$W254)="","",INDEX('Per Invoice'!S$2:S$801,$W254)))</f>
        <v/>
      </c>
      <c r="T254" s="7">
        <f>IF($W254="","",IF(INDEX('Per Invoice'!T$2:T$801,$W254)="","",INDEX('Per Invoice'!T$2:T$801,$W254)))</f>
        <v/>
      </c>
      <c r="U254" s="7">
        <f>IF($W254="","",IF(INDEX('Per Invoice'!U$2:U$801,$W254)="","",INDEX('Per Invoice'!U$2:U$801,$W254)))</f>
        <v/>
      </c>
      <c r="V254" s="7">
        <f>IF($W254="","",IF(INDEX('Per Invoice'!V$2:V$801,$W254)="","",INDEX('Per Invoice'!V$2:V$801,$W254)))</f>
        <v/>
      </c>
      <c r="W254" s="16">
        <f>IFERROR(MATCH(Settings!$C$27&amp;"|"&amp;ROWS($W$2:$W254),'Per Invoice'!$X$2:$X$801,0),"")</f>
        <v/>
      </c>
    </row>
    <row r="255">
      <c r="A255">
        <f>IF($W255="","",IF(INDEX('Per Invoice'!A$2:A$801,$W255)="","",INDEX('Per Invoice'!A$2:A$801,$W255)))</f>
        <v/>
      </c>
      <c r="B255">
        <f>IF($W255="","",IF(INDEX('Per Invoice'!B$2:B$801,$W255)="","",INDEX('Per Invoice'!B$2:B$801,$W255)))</f>
        <v/>
      </c>
      <c r="C255">
        <f>IF($W255="","",IF(INDEX('Per Invoice'!C$2:C$801,$W255)="","",INDEX('Per Invoice'!C$2:C$801,$W255)))</f>
        <v/>
      </c>
      <c r="D255">
        <f>IF($W255="","",IF(INDEX('Per Invoice'!D$2:D$801,$W255)="","",INDEX('Per Invoice'!D$2:D$801,$W255)))</f>
        <v/>
      </c>
      <c r="E255">
        <f>IF($W255="","",IF(INDEX('Per Invoice'!E$2:E$801,$W255)="","",INDEX('Per Invoice'!E$2:E$801,$W255)))</f>
        <v/>
      </c>
      <c r="F255">
        <f>IF($W255="","",IF(INDEX('Per Invoice'!F$2:F$801,$W255)="","",INDEX('Per Invoice'!F$2:F$801,$W255)))</f>
        <v/>
      </c>
      <c r="G255">
        <f>IF($W255="","",IF(INDEX('Per Invoice'!G$2:G$801,$W255)="","",INDEX('Per Invoice'!G$2:G$801,$W255)))</f>
        <v/>
      </c>
      <c r="H255">
        <f>IF($W255="","",IF(INDEX('Per Invoice'!H$2:H$801,$W255)="","",INDEX('Per Invoice'!H$2:H$801,$W255)))</f>
        <v/>
      </c>
      <c r="I255">
        <f>IF($W255="","",IF(INDEX('Per Invoice'!I$2:I$801,$W255)="","",INDEX('Per Invoice'!I$2:I$801,$W255)))</f>
        <v/>
      </c>
      <c r="J255">
        <f>IF($W255="","",IF(INDEX('Per Invoice'!J$2:J$801,$W255)="","",INDEX('Per Invoice'!J$2:J$801,$W255)))</f>
        <v/>
      </c>
      <c r="K255" s="7">
        <f>IF($W255="","",IF(INDEX('Per Invoice'!K$2:K$801,$W255)="","",INDEX('Per Invoice'!K$2:K$801,$W255)))</f>
        <v/>
      </c>
      <c r="L255" s="14">
        <f>IF($W255="","",IF(INDEX('Per Invoice'!L$2:L$801,$W255)="","",INDEX('Per Invoice'!L$2:L$801,$W255)))</f>
        <v/>
      </c>
      <c r="M255">
        <f>IF($W255="","",IF(INDEX('Per Invoice'!M$2:M$801,$W255)="","",INDEX('Per Invoice'!M$2:M$801,$W255)))</f>
        <v/>
      </c>
      <c r="N255" s="7">
        <f>IF($W255="","",IF(INDEX('Per Invoice'!N$2:N$801,$W255)="","",INDEX('Per Invoice'!N$2:N$801,$W255)))</f>
        <v/>
      </c>
      <c r="O255" s="7">
        <f>IF($W255="","",IF(INDEX('Per Invoice'!O$2:O$801,$W255)="","",INDEX('Per Invoice'!O$2:O$801,$W255)))</f>
        <v/>
      </c>
      <c r="P255">
        <f>IF($W255="","",IF(INDEX('Per Invoice'!P$2:P$801,$W255)="","",INDEX('Per Invoice'!P$2:P$801,$W255)))</f>
        <v/>
      </c>
      <c r="Q255" s="7">
        <f>IF($W255="","",IF(INDEX('Per Invoice'!Q$2:Q$801,$W255)="","",INDEX('Per Invoice'!Q$2:Q$801,$W255)))</f>
        <v/>
      </c>
      <c r="R255" s="7">
        <f>IF($W255="","",IF(INDEX('Per Invoice'!R$2:R$801,$W255)="","",INDEX('Per Invoice'!R$2:R$801,$W255)))</f>
        <v/>
      </c>
      <c r="S255" s="7">
        <f>IF($W255="","",IF(INDEX('Per Invoice'!S$2:S$801,$W255)="","",INDEX('Per Invoice'!S$2:S$801,$W255)))</f>
        <v/>
      </c>
      <c r="T255" s="7">
        <f>IF($W255="","",IF(INDEX('Per Invoice'!T$2:T$801,$W255)="","",INDEX('Per Invoice'!T$2:T$801,$W255)))</f>
        <v/>
      </c>
      <c r="U255" s="7">
        <f>IF($W255="","",IF(INDEX('Per Invoice'!U$2:U$801,$W255)="","",INDEX('Per Invoice'!U$2:U$801,$W255)))</f>
        <v/>
      </c>
      <c r="V255" s="7">
        <f>IF($W255="","",IF(INDEX('Per Invoice'!V$2:V$801,$W255)="","",INDEX('Per Invoice'!V$2:V$801,$W255)))</f>
        <v/>
      </c>
      <c r="W255" s="16">
        <f>IFERROR(MATCH(Settings!$C$27&amp;"|"&amp;ROWS($W$2:$W255),'Per Invoice'!$X$2:$X$801,0),"")</f>
        <v/>
      </c>
    </row>
    <row r="256">
      <c r="A256">
        <f>IF($W256="","",IF(INDEX('Per Invoice'!A$2:A$801,$W256)="","",INDEX('Per Invoice'!A$2:A$801,$W256)))</f>
        <v/>
      </c>
      <c r="B256">
        <f>IF($W256="","",IF(INDEX('Per Invoice'!B$2:B$801,$W256)="","",INDEX('Per Invoice'!B$2:B$801,$W256)))</f>
        <v/>
      </c>
      <c r="C256">
        <f>IF($W256="","",IF(INDEX('Per Invoice'!C$2:C$801,$W256)="","",INDEX('Per Invoice'!C$2:C$801,$W256)))</f>
        <v/>
      </c>
      <c r="D256">
        <f>IF($W256="","",IF(INDEX('Per Invoice'!D$2:D$801,$W256)="","",INDEX('Per Invoice'!D$2:D$801,$W256)))</f>
        <v/>
      </c>
      <c r="E256">
        <f>IF($W256="","",IF(INDEX('Per Invoice'!E$2:E$801,$W256)="","",INDEX('Per Invoice'!E$2:E$801,$W256)))</f>
        <v/>
      </c>
      <c r="F256">
        <f>IF($W256="","",IF(INDEX('Per Invoice'!F$2:F$801,$W256)="","",INDEX('Per Invoice'!F$2:F$801,$W256)))</f>
        <v/>
      </c>
      <c r="G256">
        <f>IF($W256="","",IF(INDEX('Per Invoice'!G$2:G$801,$W256)="","",INDEX('Per Invoice'!G$2:G$801,$W256)))</f>
        <v/>
      </c>
      <c r="H256">
        <f>IF($W256="","",IF(INDEX('Per Invoice'!H$2:H$801,$W256)="","",INDEX('Per Invoice'!H$2:H$801,$W256)))</f>
        <v/>
      </c>
      <c r="I256">
        <f>IF($W256="","",IF(INDEX('Per Invoice'!I$2:I$801,$W256)="","",INDEX('Per Invoice'!I$2:I$801,$W256)))</f>
        <v/>
      </c>
      <c r="J256">
        <f>IF($W256="","",IF(INDEX('Per Invoice'!J$2:J$801,$W256)="","",INDEX('Per Invoice'!J$2:J$801,$W256)))</f>
        <v/>
      </c>
      <c r="K256" s="7">
        <f>IF($W256="","",IF(INDEX('Per Invoice'!K$2:K$801,$W256)="","",INDEX('Per Invoice'!K$2:K$801,$W256)))</f>
        <v/>
      </c>
      <c r="L256" s="14">
        <f>IF($W256="","",IF(INDEX('Per Invoice'!L$2:L$801,$W256)="","",INDEX('Per Invoice'!L$2:L$801,$W256)))</f>
        <v/>
      </c>
      <c r="M256">
        <f>IF($W256="","",IF(INDEX('Per Invoice'!M$2:M$801,$W256)="","",INDEX('Per Invoice'!M$2:M$801,$W256)))</f>
        <v/>
      </c>
      <c r="N256" s="7">
        <f>IF($W256="","",IF(INDEX('Per Invoice'!N$2:N$801,$W256)="","",INDEX('Per Invoice'!N$2:N$801,$W256)))</f>
        <v/>
      </c>
      <c r="O256" s="7">
        <f>IF($W256="","",IF(INDEX('Per Invoice'!O$2:O$801,$W256)="","",INDEX('Per Invoice'!O$2:O$801,$W256)))</f>
        <v/>
      </c>
      <c r="P256">
        <f>IF($W256="","",IF(INDEX('Per Invoice'!P$2:P$801,$W256)="","",INDEX('Per Invoice'!P$2:P$801,$W256)))</f>
        <v/>
      </c>
      <c r="Q256" s="7">
        <f>IF($W256="","",IF(INDEX('Per Invoice'!Q$2:Q$801,$W256)="","",INDEX('Per Invoice'!Q$2:Q$801,$W256)))</f>
        <v/>
      </c>
      <c r="R256" s="7">
        <f>IF($W256="","",IF(INDEX('Per Invoice'!R$2:R$801,$W256)="","",INDEX('Per Invoice'!R$2:R$801,$W256)))</f>
        <v/>
      </c>
      <c r="S256" s="7">
        <f>IF($W256="","",IF(INDEX('Per Invoice'!S$2:S$801,$W256)="","",INDEX('Per Invoice'!S$2:S$801,$W256)))</f>
        <v/>
      </c>
      <c r="T256" s="7">
        <f>IF($W256="","",IF(INDEX('Per Invoice'!T$2:T$801,$W256)="","",INDEX('Per Invoice'!T$2:T$801,$W256)))</f>
        <v/>
      </c>
      <c r="U256" s="7">
        <f>IF($W256="","",IF(INDEX('Per Invoice'!U$2:U$801,$W256)="","",INDEX('Per Invoice'!U$2:U$801,$W256)))</f>
        <v/>
      </c>
      <c r="V256" s="7">
        <f>IF($W256="","",IF(INDEX('Per Invoice'!V$2:V$801,$W256)="","",INDEX('Per Invoice'!V$2:V$801,$W256)))</f>
        <v/>
      </c>
      <c r="W256" s="16">
        <f>IFERROR(MATCH(Settings!$C$27&amp;"|"&amp;ROWS($W$2:$W256),'Per Invoice'!$X$2:$X$801,0),"")</f>
        <v/>
      </c>
    </row>
    <row r="257">
      <c r="A257">
        <f>IF($W257="","",IF(INDEX('Per Invoice'!A$2:A$801,$W257)="","",INDEX('Per Invoice'!A$2:A$801,$W257)))</f>
        <v/>
      </c>
      <c r="B257">
        <f>IF($W257="","",IF(INDEX('Per Invoice'!B$2:B$801,$W257)="","",INDEX('Per Invoice'!B$2:B$801,$W257)))</f>
        <v/>
      </c>
      <c r="C257">
        <f>IF($W257="","",IF(INDEX('Per Invoice'!C$2:C$801,$W257)="","",INDEX('Per Invoice'!C$2:C$801,$W257)))</f>
        <v/>
      </c>
      <c r="D257">
        <f>IF($W257="","",IF(INDEX('Per Invoice'!D$2:D$801,$W257)="","",INDEX('Per Invoice'!D$2:D$801,$W257)))</f>
        <v/>
      </c>
      <c r="E257">
        <f>IF($W257="","",IF(INDEX('Per Invoice'!E$2:E$801,$W257)="","",INDEX('Per Invoice'!E$2:E$801,$W257)))</f>
        <v/>
      </c>
      <c r="F257">
        <f>IF($W257="","",IF(INDEX('Per Invoice'!F$2:F$801,$W257)="","",INDEX('Per Invoice'!F$2:F$801,$W257)))</f>
        <v/>
      </c>
      <c r="G257">
        <f>IF($W257="","",IF(INDEX('Per Invoice'!G$2:G$801,$W257)="","",INDEX('Per Invoice'!G$2:G$801,$W257)))</f>
        <v/>
      </c>
      <c r="H257">
        <f>IF($W257="","",IF(INDEX('Per Invoice'!H$2:H$801,$W257)="","",INDEX('Per Invoice'!H$2:H$801,$W257)))</f>
        <v/>
      </c>
      <c r="I257">
        <f>IF($W257="","",IF(INDEX('Per Invoice'!I$2:I$801,$W257)="","",INDEX('Per Invoice'!I$2:I$801,$W257)))</f>
        <v/>
      </c>
      <c r="J257">
        <f>IF($W257="","",IF(INDEX('Per Invoice'!J$2:J$801,$W257)="","",INDEX('Per Invoice'!J$2:J$801,$W257)))</f>
        <v/>
      </c>
      <c r="K257" s="7">
        <f>IF($W257="","",IF(INDEX('Per Invoice'!K$2:K$801,$W257)="","",INDEX('Per Invoice'!K$2:K$801,$W257)))</f>
        <v/>
      </c>
      <c r="L257" s="14">
        <f>IF($W257="","",IF(INDEX('Per Invoice'!L$2:L$801,$W257)="","",INDEX('Per Invoice'!L$2:L$801,$W257)))</f>
        <v/>
      </c>
      <c r="M257">
        <f>IF($W257="","",IF(INDEX('Per Invoice'!M$2:M$801,$W257)="","",INDEX('Per Invoice'!M$2:M$801,$W257)))</f>
        <v/>
      </c>
      <c r="N257" s="7">
        <f>IF($W257="","",IF(INDEX('Per Invoice'!N$2:N$801,$W257)="","",INDEX('Per Invoice'!N$2:N$801,$W257)))</f>
        <v/>
      </c>
      <c r="O257" s="7">
        <f>IF($W257="","",IF(INDEX('Per Invoice'!O$2:O$801,$W257)="","",INDEX('Per Invoice'!O$2:O$801,$W257)))</f>
        <v/>
      </c>
      <c r="P257">
        <f>IF($W257="","",IF(INDEX('Per Invoice'!P$2:P$801,$W257)="","",INDEX('Per Invoice'!P$2:P$801,$W257)))</f>
        <v/>
      </c>
      <c r="Q257" s="7">
        <f>IF($W257="","",IF(INDEX('Per Invoice'!Q$2:Q$801,$W257)="","",INDEX('Per Invoice'!Q$2:Q$801,$W257)))</f>
        <v/>
      </c>
      <c r="R257" s="7">
        <f>IF($W257="","",IF(INDEX('Per Invoice'!R$2:R$801,$W257)="","",INDEX('Per Invoice'!R$2:R$801,$W257)))</f>
        <v/>
      </c>
      <c r="S257" s="7">
        <f>IF($W257="","",IF(INDEX('Per Invoice'!S$2:S$801,$W257)="","",INDEX('Per Invoice'!S$2:S$801,$W257)))</f>
        <v/>
      </c>
      <c r="T257" s="7">
        <f>IF($W257="","",IF(INDEX('Per Invoice'!T$2:T$801,$W257)="","",INDEX('Per Invoice'!T$2:T$801,$W257)))</f>
        <v/>
      </c>
      <c r="U257" s="7">
        <f>IF($W257="","",IF(INDEX('Per Invoice'!U$2:U$801,$W257)="","",INDEX('Per Invoice'!U$2:U$801,$W257)))</f>
        <v/>
      </c>
      <c r="V257" s="7">
        <f>IF($W257="","",IF(INDEX('Per Invoice'!V$2:V$801,$W257)="","",INDEX('Per Invoice'!V$2:V$801,$W257)))</f>
        <v/>
      </c>
      <c r="W257" s="16">
        <f>IFERROR(MATCH(Settings!$C$27&amp;"|"&amp;ROWS($W$2:$W257),'Per Invoice'!$X$2:$X$801,0),"")</f>
        <v/>
      </c>
    </row>
    <row r="258">
      <c r="A258">
        <f>IF($W258="","",IF(INDEX('Per Invoice'!A$2:A$801,$W258)="","",INDEX('Per Invoice'!A$2:A$801,$W258)))</f>
        <v/>
      </c>
      <c r="B258">
        <f>IF($W258="","",IF(INDEX('Per Invoice'!B$2:B$801,$W258)="","",INDEX('Per Invoice'!B$2:B$801,$W258)))</f>
        <v/>
      </c>
      <c r="C258">
        <f>IF($W258="","",IF(INDEX('Per Invoice'!C$2:C$801,$W258)="","",INDEX('Per Invoice'!C$2:C$801,$W258)))</f>
        <v/>
      </c>
      <c r="D258">
        <f>IF($W258="","",IF(INDEX('Per Invoice'!D$2:D$801,$W258)="","",INDEX('Per Invoice'!D$2:D$801,$W258)))</f>
        <v/>
      </c>
      <c r="E258">
        <f>IF($W258="","",IF(INDEX('Per Invoice'!E$2:E$801,$W258)="","",INDEX('Per Invoice'!E$2:E$801,$W258)))</f>
        <v/>
      </c>
      <c r="F258">
        <f>IF($W258="","",IF(INDEX('Per Invoice'!F$2:F$801,$W258)="","",INDEX('Per Invoice'!F$2:F$801,$W258)))</f>
        <v/>
      </c>
      <c r="G258">
        <f>IF($W258="","",IF(INDEX('Per Invoice'!G$2:G$801,$W258)="","",INDEX('Per Invoice'!G$2:G$801,$W258)))</f>
        <v/>
      </c>
      <c r="H258">
        <f>IF($W258="","",IF(INDEX('Per Invoice'!H$2:H$801,$W258)="","",INDEX('Per Invoice'!H$2:H$801,$W258)))</f>
        <v/>
      </c>
      <c r="I258">
        <f>IF($W258="","",IF(INDEX('Per Invoice'!I$2:I$801,$W258)="","",INDEX('Per Invoice'!I$2:I$801,$W258)))</f>
        <v/>
      </c>
      <c r="J258">
        <f>IF($W258="","",IF(INDEX('Per Invoice'!J$2:J$801,$W258)="","",INDEX('Per Invoice'!J$2:J$801,$W258)))</f>
        <v/>
      </c>
      <c r="K258" s="7">
        <f>IF($W258="","",IF(INDEX('Per Invoice'!K$2:K$801,$W258)="","",INDEX('Per Invoice'!K$2:K$801,$W258)))</f>
        <v/>
      </c>
      <c r="L258" s="14">
        <f>IF($W258="","",IF(INDEX('Per Invoice'!L$2:L$801,$W258)="","",INDEX('Per Invoice'!L$2:L$801,$W258)))</f>
        <v/>
      </c>
      <c r="M258">
        <f>IF($W258="","",IF(INDEX('Per Invoice'!M$2:M$801,$W258)="","",INDEX('Per Invoice'!M$2:M$801,$W258)))</f>
        <v/>
      </c>
      <c r="N258" s="7">
        <f>IF($W258="","",IF(INDEX('Per Invoice'!N$2:N$801,$W258)="","",INDEX('Per Invoice'!N$2:N$801,$W258)))</f>
        <v/>
      </c>
      <c r="O258" s="7">
        <f>IF($W258="","",IF(INDEX('Per Invoice'!O$2:O$801,$W258)="","",INDEX('Per Invoice'!O$2:O$801,$W258)))</f>
        <v/>
      </c>
      <c r="P258">
        <f>IF($W258="","",IF(INDEX('Per Invoice'!P$2:P$801,$W258)="","",INDEX('Per Invoice'!P$2:P$801,$W258)))</f>
        <v/>
      </c>
      <c r="Q258" s="7">
        <f>IF($W258="","",IF(INDEX('Per Invoice'!Q$2:Q$801,$W258)="","",INDEX('Per Invoice'!Q$2:Q$801,$W258)))</f>
        <v/>
      </c>
      <c r="R258" s="7">
        <f>IF($W258="","",IF(INDEX('Per Invoice'!R$2:R$801,$W258)="","",INDEX('Per Invoice'!R$2:R$801,$W258)))</f>
        <v/>
      </c>
      <c r="S258" s="7">
        <f>IF($W258="","",IF(INDEX('Per Invoice'!S$2:S$801,$W258)="","",INDEX('Per Invoice'!S$2:S$801,$W258)))</f>
        <v/>
      </c>
      <c r="T258" s="7">
        <f>IF($W258="","",IF(INDEX('Per Invoice'!T$2:T$801,$W258)="","",INDEX('Per Invoice'!T$2:T$801,$W258)))</f>
        <v/>
      </c>
      <c r="U258" s="7">
        <f>IF($W258="","",IF(INDEX('Per Invoice'!U$2:U$801,$W258)="","",INDEX('Per Invoice'!U$2:U$801,$W258)))</f>
        <v/>
      </c>
      <c r="V258" s="7">
        <f>IF($W258="","",IF(INDEX('Per Invoice'!V$2:V$801,$W258)="","",INDEX('Per Invoice'!V$2:V$801,$W258)))</f>
        <v/>
      </c>
      <c r="W258" s="16">
        <f>IFERROR(MATCH(Settings!$C$27&amp;"|"&amp;ROWS($W$2:$W258),'Per Invoice'!$X$2:$X$801,0),"")</f>
        <v/>
      </c>
    </row>
    <row r="259">
      <c r="A259">
        <f>IF($W259="","",IF(INDEX('Per Invoice'!A$2:A$801,$W259)="","",INDEX('Per Invoice'!A$2:A$801,$W259)))</f>
        <v/>
      </c>
      <c r="B259">
        <f>IF($W259="","",IF(INDEX('Per Invoice'!B$2:B$801,$W259)="","",INDEX('Per Invoice'!B$2:B$801,$W259)))</f>
        <v/>
      </c>
      <c r="C259">
        <f>IF($W259="","",IF(INDEX('Per Invoice'!C$2:C$801,$W259)="","",INDEX('Per Invoice'!C$2:C$801,$W259)))</f>
        <v/>
      </c>
      <c r="D259">
        <f>IF($W259="","",IF(INDEX('Per Invoice'!D$2:D$801,$W259)="","",INDEX('Per Invoice'!D$2:D$801,$W259)))</f>
        <v/>
      </c>
      <c r="E259">
        <f>IF($W259="","",IF(INDEX('Per Invoice'!E$2:E$801,$W259)="","",INDEX('Per Invoice'!E$2:E$801,$W259)))</f>
        <v/>
      </c>
      <c r="F259">
        <f>IF($W259="","",IF(INDEX('Per Invoice'!F$2:F$801,$W259)="","",INDEX('Per Invoice'!F$2:F$801,$W259)))</f>
        <v/>
      </c>
      <c r="G259">
        <f>IF($W259="","",IF(INDEX('Per Invoice'!G$2:G$801,$W259)="","",INDEX('Per Invoice'!G$2:G$801,$W259)))</f>
        <v/>
      </c>
      <c r="H259">
        <f>IF($W259="","",IF(INDEX('Per Invoice'!H$2:H$801,$W259)="","",INDEX('Per Invoice'!H$2:H$801,$W259)))</f>
        <v/>
      </c>
      <c r="I259">
        <f>IF($W259="","",IF(INDEX('Per Invoice'!I$2:I$801,$W259)="","",INDEX('Per Invoice'!I$2:I$801,$W259)))</f>
        <v/>
      </c>
      <c r="J259">
        <f>IF($W259="","",IF(INDEX('Per Invoice'!J$2:J$801,$W259)="","",INDEX('Per Invoice'!J$2:J$801,$W259)))</f>
        <v/>
      </c>
      <c r="K259" s="7">
        <f>IF($W259="","",IF(INDEX('Per Invoice'!K$2:K$801,$W259)="","",INDEX('Per Invoice'!K$2:K$801,$W259)))</f>
        <v/>
      </c>
      <c r="L259" s="14">
        <f>IF($W259="","",IF(INDEX('Per Invoice'!L$2:L$801,$W259)="","",INDEX('Per Invoice'!L$2:L$801,$W259)))</f>
        <v/>
      </c>
      <c r="M259">
        <f>IF($W259="","",IF(INDEX('Per Invoice'!M$2:M$801,$W259)="","",INDEX('Per Invoice'!M$2:M$801,$W259)))</f>
        <v/>
      </c>
      <c r="N259" s="7">
        <f>IF($W259="","",IF(INDEX('Per Invoice'!N$2:N$801,$W259)="","",INDEX('Per Invoice'!N$2:N$801,$W259)))</f>
        <v/>
      </c>
      <c r="O259" s="7">
        <f>IF($W259="","",IF(INDEX('Per Invoice'!O$2:O$801,$W259)="","",INDEX('Per Invoice'!O$2:O$801,$W259)))</f>
        <v/>
      </c>
      <c r="P259">
        <f>IF($W259="","",IF(INDEX('Per Invoice'!P$2:P$801,$W259)="","",INDEX('Per Invoice'!P$2:P$801,$W259)))</f>
        <v/>
      </c>
      <c r="Q259" s="7">
        <f>IF($W259="","",IF(INDEX('Per Invoice'!Q$2:Q$801,$W259)="","",INDEX('Per Invoice'!Q$2:Q$801,$W259)))</f>
        <v/>
      </c>
      <c r="R259" s="7">
        <f>IF($W259="","",IF(INDEX('Per Invoice'!R$2:R$801,$W259)="","",INDEX('Per Invoice'!R$2:R$801,$W259)))</f>
        <v/>
      </c>
      <c r="S259" s="7">
        <f>IF($W259="","",IF(INDEX('Per Invoice'!S$2:S$801,$W259)="","",INDEX('Per Invoice'!S$2:S$801,$W259)))</f>
        <v/>
      </c>
      <c r="T259" s="7">
        <f>IF($W259="","",IF(INDEX('Per Invoice'!T$2:T$801,$W259)="","",INDEX('Per Invoice'!T$2:T$801,$W259)))</f>
        <v/>
      </c>
      <c r="U259" s="7">
        <f>IF($W259="","",IF(INDEX('Per Invoice'!U$2:U$801,$W259)="","",INDEX('Per Invoice'!U$2:U$801,$W259)))</f>
        <v/>
      </c>
      <c r="V259" s="7">
        <f>IF($W259="","",IF(INDEX('Per Invoice'!V$2:V$801,$W259)="","",INDEX('Per Invoice'!V$2:V$801,$W259)))</f>
        <v/>
      </c>
      <c r="W259" s="16">
        <f>IFERROR(MATCH(Settings!$C$27&amp;"|"&amp;ROWS($W$2:$W259),'Per Invoice'!$X$2:$X$801,0),"")</f>
        <v/>
      </c>
    </row>
    <row r="260">
      <c r="A260">
        <f>IF($W260="","",IF(INDEX('Per Invoice'!A$2:A$801,$W260)="","",INDEX('Per Invoice'!A$2:A$801,$W260)))</f>
        <v/>
      </c>
      <c r="B260">
        <f>IF($W260="","",IF(INDEX('Per Invoice'!B$2:B$801,$W260)="","",INDEX('Per Invoice'!B$2:B$801,$W260)))</f>
        <v/>
      </c>
      <c r="C260">
        <f>IF($W260="","",IF(INDEX('Per Invoice'!C$2:C$801,$W260)="","",INDEX('Per Invoice'!C$2:C$801,$W260)))</f>
        <v/>
      </c>
      <c r="D260">
        <f>IF($W260="","",IF(INDEX('Per Invoice'!D$2:D$801,$W260)="","",INDEX('Per Invoice'!D$2:D$801,$W260)))</f>
        <v/>
      </c>
      <c r="E260">
        <f>IF($W260="","",IF(INDEX('Per Invoice'!E$2:E$801,$W260)="","",INDEX('Per Invoice'!E$2:E$801,$W260)))</f>
        <v/>
      </c>
      <c r="F260">
        <f>IF($W260="","",IF(INDEX('Per Invoice'!F$2:F$801,$W260)="","",INDEX('Per Invoice'!F$2:F$801,$W260)))</f>
        <v/>
      </c>
      <c r="G260">
        <f>IF($W260="","",IF(INDEX('Per Invoice'!G$2:G$801,$W260)="","",INDEX('Per Invoice'!G$2:G$801,$W260)))</f>
        <v/>
      </c>
      <c r="H260">
        <f>IF($W260="","",IF(INDEX('Per Invoice'!H$2:H$801,$W260)="","",INDEX('Per Invoice'!H$2:H$801,$W260)))</f>
        <v/>
      </c>
      <c r="I260">
        <f>IF($W260="","",IF(INDEX('Per Invoice'!I$2:I$801,$W260)="","",INDEX('Per Invoice'!I$2:I$801,$W260)))</f>
        <v/>
      </c>
      <c r="J260">
        <f>IF($W260="","",IF(INDEX('Per Invoice'!J$2:J$801,$W260)="","",INDEX('Per Invoice'!J$2:J$801,$W260)))</f>
        <v/>
      </c>
      <c r="K260" s="7">
        <f>IF($W260="","",IF(INDEX('Per Invoice'!K$2:K$801,$W260)="","",INDEX('Per Invoice'!K$2:K$801,$W260)))</f>
        <v/>
      </c>
      <c r="L260" s="14">
        <f>IF($W260="","",IF(INDEX('Per Invoice'!L$2:L$801,$W260)="","",INDEX('Per Invoice'!L$2:L$801,$W260)))</f>
        <v/>
      </c>
      <c r="M260">
        <f>IF($W260="","",IF(INDEX('Per Invoice'!M$2:M$801,$W260)="","",INDEX('Per Invoice'!M$2:M$801,$W260)))</f>
        <v/>
      </c>
      <c r="N260" s="7">
        <f>IF($W260="","",IF(INDEX('Per Invoice'!N$2:N$801,$W260)="","",INDEX('Per Invoice'!N$2:N$801,$W260)))</f>
        <v/>
      </c>
      <c r="O260" s="7">
        <f>IF($W260="","",IF(INDEX('Per Invoice'!O$2:O$801,$W260)="","",INDEX('Per Invoice'!O$2:O$801,$W260)))</f>
        <v/>
      </c>
      <c r="P260">
        <f>IF($W260="","",IF(INDEX('Per Invoice'!P$2:P$801,$W260)="","",INDEX('Per Invoice'!P$2:P$801,$W260)))</f>
        <v/>
      </c>
      <c r="Q260" s="7">
        <f>IF($W260="","",IF(INDEX('Per Invoice'!Q$2:Q$801,$W260)="","",INDEX('Per Invoice'!Q$2:Q$801,$W260)))</f>
        <v/>
      </c>
      <c r="R260" s="7">
        <f>IF($W260="","",IF(INDEX('Per Invoice'!R$2:R$801,$W260)="","",INDEX('Per Invoice'!R$2:R$801,$W260)))</f>
        <v/>
      </c>
      <c r="S260" s="7">
        <f>IF($W260="","",IF(INDEX('Per Invoice'!S$2:S$801,$W260)="","",INDEX('Per Invoice'!S$2:S$801,$W260)))</f>
        <v/>
      </c>
      <c r="T260" s="7">
        <f>IF($W260="","",IF(INDEX('Per Invoice'!T$2:T$801,$W260)="","",INDEX('Per Invoice'!T$2:T$801,$W260)))</f>
        <v/>
      </c>
      <c r="U260" s="7">
        <f>IF($W260="","",IF(INDEX('Per Invoice'!U$2:U$801,$W260)="","",INDEX('Per Invoice'!U$2:U$801,$W260)))</f>
        <v/>
      </c>
      <c r="V260" s="7">
        <f>IF($W260="","",IF(INDEX('Per Invoice'!V$2:V$801,$W260)="","",INDEX('Per Invoice'!V$2:V$801,$W260)))</f>
        <v/>
      </c>
      <c r="W260" s="16">
        <f>IFERROR(MATCH(Settings!$C$27&amp;"|"&amp;ROWS($W$2:$W260),'Per Invoice'!$X$2:$X$801,0),"")</f>
        <v/>
      </c>
    </row>
    <row r="261">
      <c r="A261">
        <f>IF($W261="","",IF(INDEX('Per Invoice'!A$2:A$801,$W261)="","",INDEX('Per Invoice'!A$2:A$801,$W261)))</f>
        <v/>
      </c>
      <c r="B261">
        <f>IF($W261="","",IF(INDEX('Per Invoice'!B$2:B$801,$W261)="","",INDEX('Per Invoice'!B$2:B$801,$W261)))</f>
        <v/>
      </c>
      <c r="C261">
        <f>IF($W261="","",IF(INDEX('Per Invoice'!C$2:C$801,$W261)="","",INDEX('Per Invoice'!C$2:C$801,$W261)))</f>
        <v/>
      </c>
      <c r="D261">
        <f>IF($W261="","",IF(INDEX('Per Invoice'!D$2:D$801,$W261)="","",INDEX('Per Invoice'!D$2:D$801,$W261)))</f>
        <v/>
      </c>
      <c r="E261">
        <f>IF($W261="","",IF(INDEX('Per Invoice'!E$2:E$801,$W261)="","",INDEX('Per Invoice'!E$2:E$801,$W261)))</f>
        <v/>
      </c>
      <c r="F261">
        <f>IF($W261="","",IF(INDEX('Per Invoice'!F$2:F$801,$W261)="","",INDEX('Per Invoice'!F$2:F$801,$W261)))</f>
        <v/>
      </c>
      <c r="G261">
        <f>IF($W261="","",IF(INDEX('Per Invoice'!G$2:G$801,$W261)="","",INDEX('Per Invoice'!G$2:G$801,$W261)))</f>
        <v/>
      </c>
      <c r="H261">
        <f>IF($W261="","",IF(INDEX('Per Invoice'!H$2:H$801,$W261)="","",INDEX('Per Invoice'!H$2:H$801,$W261)))</f>
        <v/>
      </c>
      <c r="I261">
        <f>IF($W261="","",IF(INDEX('Per Invoice'!I$2:I$801,$W261)="","",INDEX('Per Invoice'!I$2:I$801,$W261)))</f>
        <v/>
      </c>
      <c r="J261">
        <f>IF($W261="","",IF(INDEX('Per Invoice'!J$2:J$801,$W261)="","",INDEX('Per Invoice'!J$2:J$801,$W261)))</f>
        <v/>
      </c>
      <c r="K261" s="7">
        <f>IF($W261="","",IF(INDEX('Per Invoice'!K$2:K$801,$W261)="","",INDEX('Per Invoice'!K$2:K$801,$W261)))</f>
        <v/>
      </c>
      <c r="L261" s="14">
        <f>IF($W261="","",IF(INDEX('Per Invoice'!L$2:L$801,$W261)="","",INDEX('Per Invoice'!L$2:L$801,$W261)))</f>
        <v/>
      </c>
      <c r="M261">
        <f>IF($W261="","",IF(INDEX('Per Invoice'!M$2:M$801,$W261)="","",INDEX('Per Invoice'!M$2:M$801,$W261)))</f>
        <v/>
      </c>
      <c r="N261" s="7">
        <f>IF($W261="","",IF(INDEX('Per Invoice'!N$2:N$801,$W261)="","",INDEX('Per Invoice'!N$2:N$801,$W261)))</f>
        <v/>
      </c>
      <c r="O261" s="7">
        <f>IF($W261="","",IF(INDEX('Per Invoice'!O$2:O$801,$W261)="","",INDEX('Per Invoice'!O$2:O$801,$W261)))</f>
        <v/>
      </c>
      <c r="P261">
        <f>IF($W261="","",IF(INDEX('Per Invoice'!P$2:P$801,$W261)="","",INDEX('Per Invoice'!P$2:P$801,$W261)))</f>
        <v/>
      </c>
      <c r="Q261" s="7">
        <f>IF($W261="","",IF(INDEX('Per Invoice'!Q$2:Q$801,$W261)="","",INDEX('Per Invoice'!Q$2:Q$801,$W261)))</f>
        <v/>
      </c>
      <c r="R261" s="7">
        <f>IF($W261="","",IF(INDEX('Per Invoice'!R$2:R$801,$W261)="","",INDEX('Per Invoice'!R$2:R$801,$W261)))</f>
        <v/>
      </c>
      <c r="S261" s="7">
        <f>IF($W261="","",IF(INDEX('Per Invoice'!S$2:S$801,$W261)="","",INDEX('Per Invoice'!S$2:S$801,$W261)))</f>
        <v/>
      </c>
      <c r="T261" s="7">
        <f>IF($W261="","",IF(INDEX('Per Invoice'!T$2:T$801,$W261)="","",INDEX('Per Invoice'!T$2:T$801,$W261)))</f>
        <v/>
      </c>
      <c r="U261" s="7">
        <f>IF($W261="","",IF(INDEX('Per Invoice'!U$2:U$801,$W261)="","",INDEX('Per Invoice'!U$2:U$801,$W261)))</f>
        <v/>
      </c>
      <c r="V261" s="7">
        <f>IF($W261="","",IF(INDEX('Per Invoice'!V$2:V$801,$W261)="","",INDEX('Per Invoice'!V$2:V$801,$W261)))</f>
        <v/>
      </c>
      <c r="W261" s="16">
        <f>IFERROR(MATCH(Settings!$C$27&amp;"|"&amp;ROWS($W$2:$W261),'Per Invoice'!$X$2:$X$801,0),"")</f>
        <v/>
      </c>
    </row>
    <row r="262">
      <c r="A262">
        <f>IF($W262="","",IF(INDEX('Per Invoice'!A$2:A$801,$W262)="","",INDEX('Per Invoice'!A$2:A$801,$W262)))</f>
        <v/>
      </c>
      <c r="B262">
        <f>IF($W262="","",IF(INDEX('Per Invoice'!B$2:B$801,$W262)="","",INDEX('Per Invoice'!B$2:B$801,$W262)))</f>
        <v/>
      </c>
      <c r="C262">
        <f>IF($W262="","",IF(INDEX('Per Invoice'!C$2:C$801,$W262)="","",INDEX('Per Invoice'!C$2:C$801,$W262)))</f>
        <v/>
      </c>
      <c r="D262">
        <f>IF($W262="","",IF(INDEX('Per Invoice'!D$2:D$801,$W262)="","",INDEX('Per Invoice'!D$2:D$801,$W262)))</f>
        <v/>
      </c>
      <c r="E262">
        <f>IF($W262="","",IF(INDEX('Per Invoice'!E$2:E$801,$W262)="","",INDEX('Per Invoice'!E$2:E$801,$W262)))</f>
        <v/>
      </c>
      <c r="F262">
        <f>IF($W262="","",IF(INDEX('Per Invoice'!F$2:F$801,$W262)="","",INDEX('Per Invoice'!F$2:F$801,$W262)))</f>
        <v/>
      </c>
      <c r="G262">
        <f>IF($W262="","",IF(INDEX('Per Invoice'!G$2:G$801,$W262)="","",INDEX('Per Invoice'!G$2:G$801,$W262)))</f>
        <v/>
      </c>
      <c r="H262">
        <f>IF($W262="","",IF(INDEX('Per Invoice'!H$2:H$801,$W262)="","",INDEX('Per Invoice'!H$2:H$801,$W262)))</f>
        <v/>
      </c>
      <c r="I262">
        <f>IF($W262="","",IF(INDEX('Per Invoice'!I$2:I$801,$W262)="","",INDEX('Per Invoice'!I$2:I$801,$W262)))</f>
        <v/>
      </c>
      <c r="J262">
        <f>IF($W262="","",IF(INDEX('Per Invoice'!J$2:J$801,$W262)="","",INDEX('Per Invoice'!J$2:J$801,$W262)))</f>
        <v/>
      </c>
      <c r="K262" s="7">
        <f>IF($W262="","",IF(INDEX('Per Invoice'!K$2:K$801,$W262)="","",INDEX('Per Invoice'!K$2:K$801,$W262)))</f>
        <v/>
      </c>
      <c r="L262" s="14">
        <f>IF($W262="","",IF(INDEX('Per Invoice'!L$2:L$801,$W262)="","",INDEX('Per Invoice'!L$2:L$801,$W262)))</f>
        <v/>
      </c>
      <c r="M262">
        <f>IF($W262="","",IF(INDEX('Per Invoice'!M$2:M$801,$W262)="","",INDEX('Per Invoice'!M$2:M$801,$W262)))</f>
        <v/>
      </c>
      <c r="N262" s="7">
        <f>IF($W262="","",IF(INDEX('Per Invoice'!N$2:N$801,$W262)="","",INDEX('Per Invoice'!N$2:N$801,$W262)))</f>
        <v/>
      </c>
      <c r="O262" s="7">
        <f>IF($W262="","",IF(INDEX('Per Invoice'!O$2:O$801,$W262)="","",INDEX('Per Invoice'!O$2:O$801,$W262)))</f>
        <v/>
      </c>
      <c r="P262">
        <f>IF($W262="","",IF(INDEX('Per Invoice'!P$2:P$801,$W262)="","",INDEX('Per Invoice'!P$2:P$801,$W262)))</f>
        <v/>
      </c>
      <c r="Q262" s="7">
        <f>IF($W262="","",IF(INDEX('Per Invoice'!Q$2:Q$801,$W262)="","",INDEX('Per Invoice'!Q$2:Q$801,$W262)))</f>
        <v/>
      </c>
      <c r="R262" s="7">
        <f>IF($W262="","",IF(INDEX('Per Invoice'!R$2:R$801,$W262)="","",INDEX('Per Invoice'!R$2:R$801,$W262)))</f>
        <v/>
      </c>
      <c r="S262" s="7">
        <f>IF($W262="","",IF(INDEX('Per Invoice'!S$2:S$801,$W262)="","",INDEX('Per Invoice'!S$2:S$801,$W262)))</f>
        <v/>
      </c>
      <c r="T262" s="7">
        <f>IF($W262="","",IF(INDEX('Per Invoice'!T$2:T$801,$W262)="","",INDEX('Per Invoice'!T$2:T$801,$W262)))</f>
        <v/>
      </c>
      <c r="U262" s="7">
        <f>IF($W262="","",IF(INDEX('Per Invoice'!U$2:U$801,$W262)="","",INDEX('Per Invoice'!U$2:U$801,$W262)))</f>
        <v/>
      </c>
      <c r="V262" s="7">
        <f>IF($W262="","",IF(INDEX('Per Invoice'!V$2:V$801,$W262)="","",INDEX('Per Invoice'!V$2:V$801,$W262)))</f>
        <v/>
      </c>
      <c r="W262" s="16">
        <f>IFERROR(MATCH(Settings!$C$27&amp;"|"&amp;ROWS($W$2:$W262),'Per Invoice'!$X$2:$X$801,0),"")</f>
        <v/>
      </c>
    </row>
    <row r="263">
      <c r="A263">
        <f>IF($W263="","",IF(INDEX('Per Invoice'!A$2:A$801,$W263)="","",INDEX('Per Invoice'!A$2:A$801,$W263)))</f>
        <v/>
      </c>
      <c r="B263">
        <f>IF($W263="","",IF(INDEX('Per Invoice'!B$2:B$801,$W263)="","",INDEX('Per Invoice'!B$2:B$801,$W263)))</f>
        <v/>
      </c>
      <c r="C263">
        <f>IF($W263="","",IF(INDEX('Per Invoice'!C$2:C$801,$W263)="","",INDEX('Per Invoice'!C$2:C$801,$W263)))</f>
        <v/>
      </c>
      <c r="D263">
        <f>IF($W263="","",IF(INDEX('Per Invoice'!D$2:D$801,$W263)="","",INDEX('Per Invoice'!D$2:D$801,$W263)))</f>
        <v/>
      </c>
      <c r="E263">
        <f>IF($W263="","",IF(INDEX('Per Invoice'!E$2:E$801,$W263)="","",INDEX('Per Invoice'!E$2:E$801,$W263)))</f>
        <v/>
      </c>
      <c r="F263">
        <f>IF($W263="","",IF(INDEX('Per Invoice'!F$2:F$801,$W263)="","",INDEX('Per Invoice'!F$2:F$801,$W263)))</f>
        <v/>
      </c>
      <c r="G263">
        <f>IF($W263="","",IF(INDEX('Per Invoice'!G$2:G$801,$W263)="","",INDEX('Per Invoice'!G$2:G$801,$W263)))</f>
        <v/>
      </c>
      <c r="H263">
        <f>IF($W263="","",IF(INDEX('Per Invoice'!H$2:H$801,$W263)="","",INDEX('Per Invoice'!H$2:H$801,$W263)))</f>
        <v/>
      </c>
      <c r="I263">
        <f>IF($W263="","",IF(INDEX('Per Invoice'!I$2:I$801,$W263)="","",INDEX('Per Invoice'!I$2:I$801,$W263)))</f>
        <v/>
      </c>
      <c r="J263">
        <f>IF($W263="","",IF(INDEX('Per Invoice'!J$2:J$801,$W263)="","",INDEX('Per Invoice'!J$2:J$801,$W263)))</f>
        <v/>
      </c>
      <c r="K263" s="7">
        <f>IF($W263="","",IF(INDEX('Per Invoice'!K$2:K$801,$W263)="","",INDEX('Per Invoice'!K$2:K$801,$W263)))</f>
        <v/>
      </c>
      <c r="L263" s="14">
        <f>IF($W263="","",IF(INDEX('Per Invoice'!L$2:L$801,$W263)="","",INDEX('Per Invoice'!L$2:L$801,$W263)))</f>
        <v/>
      </c>
      <c r="M263">
        <f>IF($W263="","",IF(INDEX('Per Invoice'!M$2:M$801,$W263)="","",INDEX('Per Invoice'!M$2:M$801,$W263)))</f>
        <v/>
      </c>
      <c r="N263" s="7">
        <f>IF($W263="","",IF(INDEX('Per Invoice'!N$2:N$801,$W263)="","",INDEX('Per Invoice'!N$2:N$801,$W263)))</f>
        <v/>
      </c>
      <c r="O263" s="7">
        <f>IF($W263="","",IF(INDEX('Per Invoice'!O$2:O$801,$W263)="","",INDEX('Per Invoice'!O$2:O$801,$W263)))</f>
        <v/>
      </c>
      <c r="P263">
        <f>IF($W263="","",IF(INDEX('Per Invoice'!P$2:P$801,$W263)="","",INDEX('Per Invoice'!P$2:P$801,$W263)))</f>
        <v/>
      </c>
      <c r="Q263" s="7">
        <f>IF($W263="","",IF(INDEX('Per Invoice'!Q$2:Q$801,$W263)="","",INDEX('Per Invoice'!Q$2:Q$801,$W263)))</f>
        <v/>
      </c>
      <c r="R263" s="7">
        <f>IF($W263="","",IF(INDEX('Per Invoice'!R$2:R$801,$W263)="","",INDEX('Per Invoice'!R$2:R$801,$W263)))</f>
        <v/>
      </c>
      <c r="S263" s="7">
        <f>IF($W263="","",IF(INDEX('Per Invoice'!S$2:S$801,$W263)="","",INDEX('Per Invoice'!S$2:S$801,$W263)))</f>
        <v/>
      </c>
      <c r="T263" s="7">
        <f>IF($W263="","",IF(INDEX('Per Invoice'!T$2:T$801,$W263)="","",INDEX('Per Invoice'!T$2:T$801,$W263)))</f>
        <v/>
      </c>
      <c r="U263" s="7">
        <f>IF($W263="","",IF(INDEX('Per Invoice'!U$2:U$801,$W263)="","",INDEX('Per Invoice'!U$2:U$801,$W263)))</f>
        <v/>
      </c>
      <c r="V263" s="7">
        <f>IF($W263="","",IF(INDEX('Per Invoice'!V$2:V$801,$W263)="","",INDEX('Per Invoice'!V$2:V$801,$W263)))</f>
        <v/>
      </c>
      <c r="W263" s="16">
        <f>IFERROR(MATCH(Settings!$C$27&amp;"|"&amp;ROWS($W$2:$W263),'Per Invoice'!$X$2:$X$801,0),"")</f>
        <v/>
      </c>
    </row>
    <row r="264">
      <c r="A264">
        <f>IF($W264="","",IF(INDEX('Per Invoice'!A$2:A$801,$W264)="","",INDEX('Per Invoice'!A$2:A$801,$W264)))</f>
        <v/>
      </c>
      <c r="B264">
        <f>IF($W264="","",IF(INDEX('Per Invoice'!B$2:B$801,$W264)="","",INDEX('Per Invoice'!B$2:B$801,$W264)))</f>
        <v/>
      </c>
      <c r="C264">
        <f>IF($W264="","",IF(INDEX('Per Invoice'!C$2:C$801,$W264)="","",INDEX('Per Invoice'!C$2:C$801,$W264)))</f>
        <v/>
      </c>
      <c r="D264">
        <f>IF($W264="","",IF(INDEX('Per Invoice'!D$2:D$801,$W264)="","",INDEX('Per Invoice'!D$2:D$801,$W264)))</f>
        <v/>
      </c>
      <c r="E264">
        <f>IF($W264="","",IF(INDEX('Per Invoice'!E$2:E$801,$W264)="","",INDEX('Per Invoice'!E$2:E$801,$W264)))</f>
        <v/>
      </c>
      <c r="F264">
        <f>IF($W264="","",IF(INDEX('Per Invoice'!F$2:F$801,$W264)="","",INDEX('Per Invoice'!F$2:F$801,$W264)))</f>
        <v/>
      </c>
      <c r="G264">
        <f>IF($W264="","",IF(INDEX('Per Invoice'!G$2:G$801,$W264)="","",INDEX('Per Invoice'!G$2:G$801,$W264)))</f>
        <v/>
      </c>
      <c r="H264">
        <f>IF($W264="","",IF(INDEX('Per Invoice'!H$2:H$801,$W264)="","",INDEX('Per Invoice'!H$2:H$801,$W264)))</f>
        <v/>
      </c>
      <c r="I264">
        <f>IF($W264="","",IF(INDEX('Per Invoice'!I$2:I$801,$W264)="","",INDEX('Per Invoice'!I$2:I$801,$W264)))</f>
        <v/>
      </c>
      <c r="J264">
        <f>IF($W264="","",IF(INDEX('Per Invoice'!J$2:J$801,$W264)="","",INDEX('Per Invoice'!J$2:J$801,$W264)))</f>
        <v/>
      </c>
      <c r="K264" s="7">
        <f>IF($W264="","",IF(INDEX('Per Invoice'!K$2:K$801,$W264)="","",INDEX('Per Invoice'!K$2:K$801,$W264)))</f>
        <v/>
      </c>
      <c r="L264" s="14">
        <f>IF($W264="","",IF(INDEX('Per Invoice'!L$2:L$801,$W264)="","",INDEX('Per Invoice'!L$2:L$801,$W264)))</f>
        <v/>
      </c>
      <c r="M264">
        <f>IF($W264="","",IF(INDEX('Per Invoice'!M$2:M$801,$W264)="","",INDEX('Per Invoice'!M$2:M$801,$W264)))</f>
        <v/>
      </c>
      <c r="N264" s="7">
        <f>IF($W264="","",IF(INDEX('Per Invoice'!N$2:N$801,$W264)="","",INDEX('Per Invoice'!N$2:N$801,$W264)))</f>
        <v/>
      </c>
      <c r="O264" s="7">
        <f>IF($W264="","",IF(INDEX('Per Invoice'!O$2:O$801,$W264)="","",INDEX('Per Invoice'!O$2:O$801,$W264)))</f>
        <v/>
      </c>
      <c r="P264">
        <f>IF($W264="","",IF(INDEX('Per Invoice'!P$2:P$801,$W264)="","",INDEX('Per Invoice'!P$2:P$801,$W264)))</f>
        <v/>
      </c>
      <c r="Q264" s="7">
        <f>IF($W264="","",IF(INDEX('Per Invoice'!Q$2:Q$801,$W264)="","",INDEX('Per Invoice'!Q$2:Q$801,$W264)))</f>
        <v/>
      </c>
      <c r="R264" s="7">
        <f>IF($W264="","",IF(INDEX('Per Invoice'!R$2:R$801,$W264)="","",INDEX('Per Invoice'!R$2:R$801,$W264)))</f>
        <v/>
      </c>
      <c r="S264" s="7">
        <f>IF($W264="","",IF(INDEX('Per Invoice'!S$2:S$801,$W264)="","",INDEX('Per Invoice'!S$2:S$801,$W264)))</f>
        <v/>
      </c>
      <c r="T264" s="7">
        <f>IF($W264="","",IF(INDEX('Per Invoice'!T$2:T$801,$W264)="","",INDEX('Per Invoice'!T$2:T$801,$W264)))</f>
        <v/>
      </c>
      <c r="U264" s="7">
        <f>IF($W264="","",IF(INDEX('Per Invoice'!U$2:U$801,$W264)="","",INDEX('Per Invoice'!U$2:U$801,$W264)))</f>
        <v/>
      </c>
      <c r="V264" s="7">
        <f>IF($W264="","",IF(INDEX('Per Invoice'!V$2:V$801,$W264)="","",INDEX('Per Invoice'!V$2:V$801,$W264)))</f>
        <v/>
      </c>
      <c r="W264" s="16">
        <f>IFERROR(MATCH(Settings!$C$27&amp;"|"&amp;ROWS($W$2:$W264),'Per Invoice'!$X$2:$X$801,0),"")</f>
        <v/>
      </c>
    </row>
    <row r="265">
      <c r="A265">
        <f>IF($W265="","",IF(INDEX('Per Invoice'!A$2:A$801,$W265)="","",INDEX('Per Invoice'!A$2:A$801,$W265)))</f>
        <v/>
      </c>
      <c r="B265">
        <f>IF($W265="","",IF(INDEX('Per Invoice'!B$2:B$801,$W265)="","",INDEX('Per Invoice'!B$2:B$801,$W265)))</f>
        <v/>
      </c>
      <c r="C265">
        <f>IF($W265="","",IF(INDEX('Per Invoice'!C$2:C$801,$W265)="","",INDEX('Per Invoice'!C$2:C$801,$W265)))</f>
        <v/>
      </c>
      <c r="D265">
        <f>IF($W265="","",IF(INDEX('Per Invoice'!D$2:D$801,$W265)="","",INDEX('Per Invoice'!D$2:D$801,$W265)))</f>
        <v/>
      </c>
      <c r="E265">
        <f>IF($W265="","",IF(INDEX('Per Invoice'!E$2:E$801,$W265)="","",INDEX('Per Invoice'!E$2:E$801,$W265)))</f>
        <v/>
      </c>
      <c r="F265">
        <f>IF($W265="","",IF(INDEX('Per Invoice'!F$2:F$801,$W265)="","",INDEX('Per Invoice'!F$2:F$801,$W265)))</f>
        <v/>
      </c>
      <c r="G265">
        <f>IF($W265="","",IF(INDEX('Per Invoice'!G$2:G$801,$W265)="","",INDEX('Per Invoice'!G$2:G$801,$W265)))</f>
        <v/>
      </c>
      <c r="H265">
        <f>IF($W265="","",IF(INDEX('Per Invoice'!H$2:H$801,$W265)="","",INDEX('Per Invoice'!H$2:H$801,$W265)))</f>
        <v/>
      </c>
      <c r="I265">
        <f>IF($W265="","",IF(INDEX('Per Invoice'!I$2:I$801,$W265)="","",INDEX('Per Invoice'!I$2:I$801,$W265)))</f>
        <v/>
      </c>
      <c r="J265">
        <f>IF($W265="","",IF(INDEX('Per Invoice'!J$2:J$801,$W265)="","",INDEX('Per Invoice'!J$2:J$801,$W265)))</f>
        <v/>
      </c>
      <c r="K265" s="7">
        <f>IF($W265="","",IF(INDEX('Per Invoice'!K$2:K$801,$W265)="","",INDEX('Per Invoice'!K$2:K$801,$W265)))</f>
        <v/>
      </c>
      <c r="L265" s="14">
        <f>IF($W265="","",IF(INDEX('Per Invoice'!L$2:L$801,$W265)="","",INDEX('Per Invoice'!L$2:L$801,$W265)))</f>
        <v/>
      </c>
      <c r="M265">
        <f>IF($W265="","",IF(INDEX('Per Invoice'!M$2:M$801,$W265)="","",INDEX('Per Invoice'!M$2:M$801,$W265)))</f>
        <v/>
      </c>
      <c r="N265" s="7">
        <f>IF($W265="","",IF(INDEX('Per Invoice'!N$2:N$801,$W265)="","",INDEX('Per Invoice'!N$2:N$801,$W265)))</f>
        <v/>
      </c>
      <c r="O265" s="7">
        <f>IF($W265="","",IF(INDEX('Per Invoice'!O$2:O$801,$W265)="","",INDEX('Per Invoice'!O$2:O$801,$W265)))</f>
        <v/>
      </c>
      <c r="P265">
        <f>IF($W265="","",IF(INDEX('Per Invoice'!P$2:P$801,$W265)="","",INDEX('Per Invoice'!P$2:P$801,$W265)))</f>
        <v/>
      </c>
      <c r="Q265" s="7">
        <f>IF($W265="","",IF(INDEX('Per Invoice'!Q$2:Q$801,$W265)="","",INDEX('Per Invoice'!Q$2:Q$801,$W265)))</f>
        <v/>
      </c>
      <c r="R265" s="7">
        <f>IF($W265="","",IF(INDEX('Per Invoice'!R$2:R$801,$W265)="","",INDEX('Per Invoice'!R$2:R$801,$W265)))</f>
        <v/>
      </c>
      <c r="S265" s="7">
        <f>IF($W265="","",IF(INDEX('Per Invoice'!S$2:S$801,$W265)="","",INDEX('Per Invoice'!S$2:S$801,$W265)))</f>
        <v/>
      </c>
      <c r="T265" s="7">
        <f>IF($W265="","",IF(INDEX('Per Invoice'!T$2:T$801,$W265)="","",INDEX('Per Invoice'!T$2:T$801,$W265)))</f>
        <v/>
      </c>
      <c r="U265" s="7">
        <f>IF($W265="","",IF(INDEX('Per Invoice'!U$2:U$801,$W265)="","",INDEX('Per Invoice'!U$2:U$801,$W265)))</f>
        <v/>
      </c>
      <c r="V265" s="7">
        <f>IF($W265="","",IF(INDEX('Per Invoice'!V$2:V$801,$W265)="","",INDEX('Per Invoice'!V$2:V$801,$W265)))</f>
        <v/>
      </c>
      <c r="W265" s="16">
        <f>IFERROR(MATCH(Settings!$C$27&amp;"|"&amp;ROWS($W$2:$W265),'Per Invoice'!$X$2:$X$801,0),"")</f>
        <v/>
      </c>
    </row>
    <row r="266">
      <c r="A266">
        <f>IF($W266="","",IF(INDEX('Per Invoice'!A$2:A$801,$W266)="","",INDEX('Per Invoice'!A$2:A$801,$W266)))</f>
        <v/>
      </c>
      <c r="B266">
        <f>IF($W266="","",IF(INDEX('Per Invoice'!B$2:B$801,$W266)="","",INDEX('Per Invoice'!B$2:B$801,$W266)))</f>
        <v/>
      </c>
      <c r="C266">
        <f>IF($W266="","",IF(INDEX('Per Invoice'!C$2:C$801,$W266)="","",INDEX('Per Invoice'!C$2:C$801,$W266)))</f>
        <v/>
      </c>
      <c r="D266">
        <f>IF($W266="","",IF(INDEX('Per Invoice'!D$2:D$801,$W266)="","",INDEX('Per Invoice'!D$2:D$801,$W266)))</f>
        <v/>
      </c>
      <c r="E266">
        <f>IF($W266="","",IF(INDEX('Per Invoice'!E$2:E$801,$W266)="","",INDEX('Per Invoice'!E$2:E$801,$W266)))</f>
        <v/>
      </c>
      <c r="F266">
        <f>IF($W266="","",IF(INDEX('Per Invoice'!F$2:F$801,$W266)="","",INDEX('Per Invoice'!F$2:F$801,$W266)))</f>
        <v/>
      </c>
      <c r="G266">
        <f>IF($W266="","",IF(INDEX('Per Invoice'!G$2:G$801,$W266)="","",INDEX('Per Invoice'!G$2:G$801,$W266)))</f>
        <v/>
      </c>
      <c r="H266">
        <f>IF($W266="","",IF(INDEX('Per Invoice'!H$2:H$801,$W266)="","",INDEX('Per Invoice'!H$2:H$801,$W266)))</f>
        <v/>
      </c>
      <c r="I266">
        <f>IF($W266="","",IF(INDEX('Per Invoice'!I$2:I$801,$W266)="","",INDEX('Per Invoice'!I$2:I$801,$W266)))</f>
        <v/>
      </c>
      <c r="J266">
        <f>IF($W266="","",IF(INDEX('Per Invoice'!J$2:J$801,$W266)="","",INDEX('Per Invoice'!J$2:J$801,$W266)))</f>
        <v/>
      </c>
      <c r="K266" s="7">
        <f>IF($W266="","",IF(INDEX('Per Invoice'!K$2:K$801,$W266)="","",INDEX('Per Invoice'!K$2:K$801,$W266)))</f>
        <v/>
      </c>
      <c r="L266" s="14">
        <f>IF($W266="","",IF(INDEX('Per Invoice'!L$2:L$801,$W266)="","",INDEX('Per Invoice'!L$2:L$801,$W266)))</f>
        <v/>
      </c>
      <c r="M266">
        <f>IF($W266="","",IF(INDEX('Per Invoice'!M$2:M$801,$W266)="","",INDEX('Per Invoice'!M$2:M$801,$W266)))</f>
        <v/>
      </c>
      <c r="N266" s="7">
        <f>IF($W266="","",IF(INDEX('Per Invoice'!N$2:N$801,$W266)="","",INDEX('Per Invoice'!N$2:N$801,$W266)))</f>
        <v/>
      </c>
      <c r="O266" s="7">
        <f>IF($W266="","",IF(INDEX('Per Invoice'!O$2:O$801,$W266)="","",INDEX('Per Invoice'!O$2:O$801,$W266)))</f>
        <v/>
      </c>
      <c r="P266">
        <f>IF($W266="","",IF(INDEX('Per Invoice'!P$2:P$801,$W266)="","",INDEX('Per Invoice'!P$2:P$801,$W266)))</f>
        <v/>
      </c>
      <c r="Q266" s="7">
        <f>IF($W266="","",IF(INDEX('Per Invoice'!Q$2:Q$801,$W266)="","",INDEX('Per Invoice'!Q$2:Q$801,$W266)))</f>
        <v/>
      </c>
      <c r="R266" s="7">
        <f>IF($W266="","",IF(INDEX('Per Invoice'!R$2:R$801,$W266)="","",INDEX('Per Invoice'!R$2:R$801,$W266)))</f>
        <v/>
      </c>
      <c r="S266" s="7">
        <f>IF($W266="","",IF(INDEX('Per Invoice'!S$2:S$801,$W266)="","",INDEX('Per Invoice'!S$2:S$801,$W266)))</f>
        <v/>
      </c>
      <c r="T266" s="7">
        <f>IF($W266="","",IF(INDEX('Per Invoice'!T$2:T$801,$W266)="","",INDEX('Per Invoice'!T$2:T$801,$W266)))</f>
        <v/>
      </c>
      <c r="U266" s="7">
        <f>IF($W266="","",IF(INDEX('Per Invoice'!U$2:U$801,$W266)="","",INDEX('Per Invoice'!U$2:U$801,$W266)))</f>
        <v/>
      </c>
      <c r="V266" s="7">
        <f>IF($W266="","",IF(INDEX('Per Invoice'!V$2:V$801,$W266)="","",INDEX('Per Invoice'!V$2:V$801,$W266)))</f>
        <v/>
      </c>
      <c r="W266" s="16">
        <f>IFERROR(MATCH(Settings!$C$27&amp;"|"&amp;ROWS($W$2:$W266),'Per Invoice'!$X$2:$X$801,0),"")</f>
        <v/>
      </c>
    </row>
    <row r="267">
      <c r="A267">
        <f>IF($W267="","",IF(INDEX('Per Invoice'!A$2:A$801,$W267)="","",INDEX('Per Invoice'!A$2:A$801,$W267)))</f>
        <v/>
      </c>
      <c r="B267">
        <f>IF($W267="","",IF(INDEX('Per Invoice'!B$2:B$801,$W267)="","",INDEX('Per Invoice'!B$2:B$801,$W267)))</f>
        <v/>
      </c>
      <c r="C267">
        <f>IF($W267="","",IF(INDEX('Per Invoice'!C$2:C$801,$W267)="","",INDEX('Per Invoice'!C$2:C$801,$W267)))</f>
        <v/>
      </c>
      <c r="D267">
        <f>IF($W267="","",IF(INDEX('Per Invoice'!D$2:D$801,$W267)="","",INDEX('Per Invoice'!D$2:D$801,$W267)))</f>
        <v/>
      </c>
      <c r="E267">
        <f>IF($W267="","",IF(INDEX('Per Invoice'!E$2:E$801,$W267)="","",INDEX('Per Invoice'!E$2:E$801,$W267)))</f>
        <v/>
      </c>
      <c r="F267">
        <f>IF($W267="","",IF(INDEX('Per Invoice'!F$2:F$801,$W267)="","",INDEX('Per Invoice'!F$2:F$801,$W267)))</f>
        <v/>
      </c>
      <c r="G267">
        <f>IF($W267="","",IF(INDEX('Per Invoice'!G$2:G$801,$W267)="","",INDEX('Per Invoice'!G$2:G$801,$W267)))</f>
        <v/>
      </c>
      <c r="H267">
        <f>IF($W267="","",IF(INDEX('Per Invoice'!H$2:H$801,$W267)="","",INDEX('Per Invoice'!H$2:H$801,$W267)))</f>
        <v/>
      </c>
      <c r="I267">
        <f>IF($W267="","",IF(INDEX('Per Invoice'!I$2:I$801,$W267)="","",INDEX('Per Invoice'!I$2:I$801,$W267)))</f>
        <v/>
      </c>
      <c r="J267">
        <f>IF($W267="","",IF(INDEX('Per Invoice'!J$2:J$801,$W267)="","",INDEX('Per Invoice'!J$2:J$801,$W267)))</f>
        <v/>
      </c>
      <c r="K267" s="7">
        <f>IF($W267="","",IF(INDEX('Per Invoice'!K$2:K$801,$W267)="","",INDEX('Per Invoice'!K$2:K$801,$W267)))</f>
        <v/>
      </c>
      <c r="L267" s="14">
        <f>IF($W267="","",IF(INDEX('Per Invoice'!L$2:L$801,$W267)="","",INDEX('Per Invoice'!L$2:L$801,$W267)))</f>
        <v/>
      </c>
      <c r="M267">
        <f>IF($W267="","",IF(INDEX('Per Invoice'!M$2:M$801,$W267)="","",INDEX('Per Invoice'!M$2:M$801,$W267)))</f>
        <v/>
      </c>
      <c r="N267" s="7">
        <f>IF($W267="","",IF(INDEX('Per Invoice'!N$2:N$801,$W267)="","",INDEX('Per Invoice'!N$2:N$801,$W267)))</f>
        <v/>
      </c>
      <c r="O267" s="7">
        <f>IF($W267="","",IF(INDEX('Per Invoice'!O$2:O$801,$W267)="","",INDEX('Per Invoice'!O$2:O$801,$W267)))</f>
        <v/>
      </c>
      <c r="P267">
        <f>IF($W267="","",IF(INDEX('Per Invoice'!P$2:P$801,$W267)="","",INDEX('Per Invoice'!P$2:P$801,$W267)))</f>
        <v/>
      </c>
      <c r="Q267" s="7">
        <f>IF($W267="","",IF(INDEX('Per Invoice'!Q$2:Q$801,$W267)="","",INDEX('Per Invoice'!Q$2:Q$801,$W267)))</f>
        <v/>
      </c>
      <c r="R267" s="7">
        <f>IF($W267="","",IF(INDEX('Per Invoice'!R$2:R$801,$W267)="","",INDEX('Per Invoice'!R$2:R$801,$W267)))</f>
        <v/>
      </c>
      <c r="S267" s="7">
        <f>IF($W267="","",IF(INDEX('Per Invoice'!S$2:S$801,$W267)="","",INDEX('Per Invoice'!S$2:S$801,$W267)))</f>
        <v/>
      </c>
      <c r="T267" s="7">
        <f>IF($W267="","",IF(INDEX('Per Invoice'!T$2:T$801,$W267)="","",INDEX('Per Invoice'!T$2:T$801,$W267)))</f>
        <v/>
      </c>
      <c r="U267" s="7">
        <f>IF($W267="","",IF(INDEX('Per Invoice'!U$2:U$801,$W267)="","",INDEX('Per Invoice'!U$2:U$801,$W267)))</f>
        <v/>
      </c>
      <c r="V267" s="7">
        <f>IF($W267="","",IF(INDEX('Per Invoice'!V$2:V$801,$W267)="","",INDEX('Per Invoice'!V$2:V$801,$W267)))</f>
        <v/>
      </c>
      <c r="W267" s="16">
        <f>IFERROR(MATCH(Settings!$C$27&amp;"|"&amp;ROWS($W$2:$W267),'Per Invoice'!$X$2:$X$801,0),"")</f>
        <v/>
      </c>
    </row>
    <row r="268">
      <c r="A268">
        <f>IF($W268="","",IF(INDEX('Per Invoice'!A$2:A$801,$W268)="","",INDEX('Per Invoice'!A$2:A$801,$W268)))</f>
        <v/>
      </c>
      <c r="B268">
        <f>IF($W268="","",IF(INDEX('Per Invoice'!B$2:B$801,$W268)="","",INDEX('Per Invoice'!B$2:B$801,$W268)))</f>
        <v/>
      </c>
      <c r="C268">
        <f>IF($W268="","",IF(INDEX('Per Invoice'!C$2:C$801,$W268)="","",INDEX('Per Invoice'!C$2:C$801,$W268)))</f>
        <v/>
      </c>
      <c r="D268">
        <f>IF($W268="","",IF(INDEX('Per Invoice'!D$2:D$801,$W268)="","",INDEX('Per Invoice'!D$2:D$801,$W268)))</f>
        <v/>
      </c>
      <c r="E268">
        <f>IF($W268="","",IF(INDEX('Per Invoice'!E$2:E$801,$W268)="","",INDEX('Per Invoice'!E$2:E$801,$W268)))</f>
        <v/>
      </c>
      <c r="F268">
        <f>IF($W268="","",IF(INDEX('Per Invoice'!F$2:F$801,$W268)="","",INDEX('Per Invoice'!F$2:F$801,$W268)))</f>
        <v/>
      </c>
      <c r="G268">
        <f>IF($W268="","",IF(INDEX('Per Invoice'!G$2:G$801,$W268)="","",INDEX('Per Invoice'!G$2:G$801,$W268)))</f>
        <v/>
      </c>
      <c r="H268">
        <f>IF($W268="","",IF(INDEX('Per Invoice'!H$2:H$801,$W268)="","",INDEX('Per Invoice'!H$2:H$801,$W268)))</f>
        <v/>
      </c>
      <c r="I268">
        <f>IF($W268="","",IF(INDEX('Per Invoice'!I$2:I$801,$W268)="","",INDEX('Per Invoice'!I$2:I$801,$W268)))</f>
        <v/>
      </c>
      <c r="J268">
        <f>IF($W268="","",IF(INDEX('Per Invoice'!J$2:J$801,$W268)="","",INDEX('Per Invoice'!J$2:J$801,$W268)))</f>
        <v/>
      </c>
      <c r="K268" s="7">
        <f>IF($W268="","",IF(INDEX('Per Invoice'!K$2:K$801,$W268)="","",INDEX('Per Invoice'!K$2:K$801,$W268)))</f>
        <v/>
      </c>
      <c r="L268" s="14">
        <f>IF($W268="","",IF(INDEX('Per Invoice'!L$2:L$801,$W268)="","",INDEX('Per Invoice'!L$2:L$801,$W268)))</f>
        <v/>
      </c>
      <c r="M268">
        <f>IF($W268="","",IF(INDEX('Per Invoice'!M$2:M$801,$W268)="","",INDEX('Per Invoice'!M$2:M$801,$W268)))</f>
        <v/>
      </c>
      <c r="N268" s="7">
        <f>IF($W268="","",IF(INDEX('Per Invoice'!N$2:N$801,$W268)="","",INDEX('Per Invoice'!N$2:N$801,$W268)))</f>
        <v/>
      </c>
      <c r="O268" s="7">
        <f>IF($W268="","",IF(INDEX('Per Invoice'!O$2:O$801,$W268)="","",INDEX('Per Invoice'!O$2:O$801,$W268)))</f>
        <v/>
      </c>
      <c r="P268">
        <f>IF($W268="","",IF(INDEX('Per Invoice'!P$2:P$801,$W268)="","",INDEX('Per Invoice'!P$2:P$801,$W268)))</f>
        <v/>
      </c>
      <c r="Q268" s="7">
        <f>IF($W268="","",IF(INDEX('Per Invoice'!Q$2:Q$801,$W268)="","",INDEX('Per Invoice'!Q$2:Q$801,$W268)))</f>
        <v/>
      </c>
      <c r="R268" s="7">
        <f>IF($W268="","",IF(INDEX('Per Invoice'!R$2:R$801,$W268)="","",INDEX('Per Invoice'!R$2:R$801,$W268)))</f>
        <v/>
      </c>
      <c r="S268" s="7">
        <f>IF($W268="","",IF(INDEX('Per Invoice'!S$2:S$801,$W268)="","",INDEX('Per Invoice'!S$2:S$801,$W268)))</f>
        <v/>
      </c>
      <c r="T268" s="7">
        <f>IF($W268="","",IF(INDEX('Per Invoice'!T$2:T$801,$W268)="","",INDEX('Per Invoice'!T$2:T$801,$W268)))</f>
        <v/>
      </c>
      <c r="U268" s="7">
        <f>IF($W268="","",IF(INDEX('Per Invoice'!U$2:U$801,$W268)="","",INDEX('Per Invoice'!U$2:U$801,$W268)))</f>
        <v/>
      </c>
      <c r="V268" s="7">
        <f>IF($W268="","",IF(INDEX('Per Invoice'!V$2:V$801,$W268)="","",INDEX('Per Invoice'!V$2:V$801,$W268)))</f>
        <v/>
      </c>
      <c r="W268" s="16">
        <f>IFERROR(MATCH(Settings!$C$27&amp;"|"&amp;ROWS($W$2:$W268),'Per Invoice'!$X$2:$X$801,0),"")</f>
        <v/>
      </c>
    </row>
    <row r="269">
      <c r="A269">
        <f>IF($W269="","",IF(INDEX('Per Invoice'!A$2:A$801,$W269)="","",INDEX('Per Invoice'!A$2:A$801,$W269)))</f>
        <v/>
      </c>
      <c r="B269">
        <f>IF($W269="","",IF(INDEX('Per Invoice'!B$2:B$801,$W269)="","",INDEX('Per Invoice'!B$2:B$801,$W269)))</f>
        <v/>
      </c>
      <c r="C269">
        <f>IF($W269="","",IF(INDEX('Per Invoice'!C$2:C$801,$W269)="","",INDEX('Per Invoice'!C$2:C$801,$W269)))</f>
        <v/>
      </c>
      <c r="D269">
        <f>IF($W269="","",IF(INDEX('Per Invoice'!D$2:D$801,$W269)="","",INDEX('Per Invoice'!D$2:D$801,$W269)))</f>
        <v/>
      </c>
      <c r="E269">
        <f>IF($W269="","",IF(INDEX('Per Invoice'!E$2:E$801,$W269)="","",INDEX('Per Invoice'!E$2:E$801,$W269)))</f>
        <v/>
      </c>
      <c r="F269">
        <f>IF($W269="","",IF(INDEX('Per Invoice'!F$2:F$801,$W269)="","",INDEX('Per Invoice'!F$2:F$801,$W269)))</f>
        <v/>
      </c>
      <c r="G269">
        <f>IF($W269="","",IF(INDEX('Per Invoice'!G$2:G$801,$W269)="","",INDEX('Per Invoice'!G$2:G$801,$W269)))</f>
        <v/>
      </c>
      <c r="H269">
        <f>IF($W269="","",IF(INDEX('Per Invoice'!H$2:H$801,$W269)="","",INDEX('Per Invoice'!H$2:H$801,$W269)))</f>
        <v/>
      </c>
      <c r="I269">
        <f>IF($W269="","",IF(INDEX('Per Invoice'!I$2:I$801,$W269)="","",INDEX('Per Invoice'!I$2:I$801,$W269)))</f>
        <v/>
      </c>
      <c r="J269">
        <f>IF($W269="","",IF(INDEX('Per Invoice'!J$2:J$801,$W269)="","",INDEX('Per Invoice'!J$2:J$801,$W269)))</f>
        <v/>
      </c>
      <c r="K269" s="7">
        <f>IF($W269="","",IF(INDEX('Per Invoice'!K$2:K$801,$W269)="","",INDEX('Per Invoice'!K$2:K$801,$W269)))</f>
        <v/>
      </c>
      <c r="L269" s="14">
        <f>IF($W269="","",IF(INDEX('Per Invoice'!L$2:L$801,$W269)="","",INDEX('Per Invoice'!L$2:L$801,$W269)))</f>
        <v/>
      </c>
      <c r="M269">
        <f>IF($W269="","",IF(INDEX('Per Invoice'!M$2:M$801,$W269)="","",INDEX('Per Invoice'!M$2:M$801,$W269)))</f>
        <v/>
      </c>
      <c r="N269" s="7">
        <f>IF($W269="","",IF(INDEX('Per Invoice'!N$2:N$801,$W269)="","",INDEX('Per Invoice'!N$2:N$801,$W269)))</f>
        <v/>
      </c>
      <c r="O269" s="7">
        <f>IF($W269="","",IF(INDEX('Per Invoice'!O$2:O$801,$W269)="","",INDEX('Per Invoice'!O$2:O$801,$W269)))</f>
        <v/>
      </c>
      <c r="P269">
        <f>IF($W269="","",IF(INDEX('Per Invoice'!P$2:P$801,$W269)="","",INDEX('Per Invoice'!P$2:P$801,$W269)))</f>
        <v/>
      </c>
      <c r="Q269" s="7">
        <f>IF($W269="","",IF(INDEX('Per Invoice'!Q$2:Q$801,$W269)="","",INDEX('Per Invoice'!Q$2:Q$801,$W269)))</f>
        <v/>
      </c>
      <c r="R269" s="7">
        <f>IF($W269="","",IF(INDEX('Per Invoice'!R$2:R$801,$W269)="","",INDEX('Per Invoice'!R$2:R$801,$W269)))</f>
        <v/>
      </c>
      <c r="S269" s="7">
        <f>IF($W269="","",IF(INDEX('Per Invoice'!S$2:S$801,$W269)="","",INDEX('Per Invoice'!S$2:S$801,$W269)))</f>
        <v/>
      </c>
      <c r="T269" s="7">
        <f>IF($W269="","",IF(INDEX('Per Invoice'!T$2:T$801,$W269)="","",INDEX('Per Invoice'!T$2:T$801,$W269)))</f>
        <v/>
      </c>
      <c r="U269" s="7">
        <f>IF($W269="","",IF(INDEX('Per Invoice'!U$2:U$801,$W269)="","",INDEX('Per Invoice'!U$2:U$801,$W269)))</f>
        <v/>
      </c>
      <c r="V269" s="7">
        <f>IF($W269="","",IF(INDEX('Per Invoice'!V$2:V$801,$W269)="","",INDEX('Per Invoice'!V$2:V$801,$W269)))</f>
        <v/>
      </c>
      <c r="W269" s="16">
        <f>IFERROR(MATCH(Settings!$C$27&amp;"|"&amp;ROWS($W$2:$W269),'Per Invoice'!$X$2:$X$801,0),"")</f>
        <v/>
      </c>
    </row>
    <row r="270">
      <c r="A270">
        <f>IF($W270="","",IF(INDEX('Per Invoice'!A$2:A$801,$W270)="","",INDEX('Per Invoice'!A$2:A$801,$W270)))</f>
        <v/>
      </c>
      <c r="B270">
        <f>IF($W270="","",IF(INDEX('Per Invoice'!B$2:B$801,$W270)="","",INDEX('Per Invoice'!B$2:B$801,$W270)))</f>
        <v/>
      </c>
      <c r="C270">
        <f>IF($W270="","",IF(INDEX('Per Invoice'!C$2:C$801,$W270)="","",INDEX('Per Invoice'!C$2:C$801,$W270)))</f>
        <v/>
      </c>
      <c r="D270">
        <f>IF($W270="","",IF(INDEX('Per Invoice'!D$2:D$801,$W270)="","",INDEX('Per Invoice'!D$2:D$801,$W270)))</f>
        <v/>
      </c>
      <c r="E270">
        <f>IF($W270="","",IF(INDEX('Per Invoice'!E$2:E$801,$W270)="","",INDEX('Per Invoice'!E$2:E$801,$W270)))</f>
        <v/>
      </c>
      <c r="F270">
        <f>IF($W270="","",IF(INDEX('Per Invoice'!F$2:F$801,$W270)="","",INDEX('Per Invoice'!F$2:F$801,$W270)))</f>
        <v/>
      </c>
      <c r="G270">
        <f>IF($W270="","",IF(INDEX('Per Invoice'!G$2:G$801,$W270)="","",INDEX('Per Invoice'!G$2:G$801,$W270)))</f>
        <v/>
      </c>
      <c r="H270">
        <f>IF($W270="","",IF(INDEX('Per Invoice'!H$2:H$801,$W270)="","",INDEX('Per Invoice'!H$2:H$801,$W270)))</f>
        <v/>
      </c>
      <c r="I270">
        <f>IF($W270="","",IF(INDEX('Per Invoice'!I$2:I$801,$W270)="","",INDEX('Per Invoice'!I$2:I$801,$W270)))</f>
        <v/>
      </c>
      <c r="J270">
        <f>IF($W270="","",IF(INDEX('Per Invoice'!J$2:J$801,$W270)="","",INDEX('Per Invoice'!J$2:J$801,$W270)))</f>
        <v/>
      </c>
      <c r="K270" s="7">
        <f>IF($W270="","",IF(INDEX('Per Invoice'!K$2:K$801,$W270)="","",INDEX('Per Invoice'!K$2:K$801,$W270)))</f>
        <v/>
      </c>
      <c r="L270" s="14">
        <f>IF($W270="","",IF(INDEX('Per Invoice'!L$2:L$801,$W270)="","",INDEX('Per Invoice'!L$2:L$801,$W270)))</f>
        <v/>
      </c>
      <c r="M270">
        <f>IF($W270="","",IF(INDEX('Per Invoice'!M$2:M$801,$W270)="","",INDEX('Per Invoice'!M$2:M$801,$W270)))</f>
        <v/>
      </c>
      <c r="N270" s="7">
        <f>IF($W270="","",IF(INDEX('Per Invoice'!N$2:N$801,$W270)="","",INDEX('Per Invoice'!N$2:N$801,$W270)))</f>
        <v/>
      </c>
      <c r="O270" s="7">
        <f>IF($W270="","",IF(INDEX('Per Invoice'!O$2:O$801,$W270)="","",INDEX('Per Invoice'!O$2:O$801,$W270)))</f>
        <v/>
      </c>
      <c r="P270">
        <f>IF($W270="","",IF(INDEX('Per Invoice'!P$2:P$801,$W270)="","",INDEX('Per Invoice'!P$2:P$801,$W270)))</f>
        <v/>
      </c>
      <c r="Q270" s="7">
        <f>IF($W270="","",IF(INDEX('Per Invoice'!Q$2:Q$801,$W270)="","",INDEX('Per Invoice'!Q$2:Q$801,$W270)))</f>
        <v/>
      </c>
      <c r="R270" s="7">
        <f>IF($W270="","",IF(INDEX('Per Invoice'!R$2:R$801,$W270)="","",INDEX('Per Invoice'!R$2:R$801,$W270)))</f>
        <v/>
      </c>
      <c r="S270" s="7">
        <f>IF($W270="","",IF(INDEX('Per Invoice'!S$2:S$801,$W270)="","",INDEX('Per Invoice'!S$2:S$801,$W270)))</f>
        <v/>
      </c>
      <c r="T270" s="7">
        <f>IF($W270="","",IF(INDEX('Per Invoice'!T$2:T$801,$W270)="","",INDEX('Per Invoice'!T$2:T$801,$W270)))</f>
        <v/>
      </c>
      <c r="U270" s="7">
        <f>IF($W270="","",IF(INDEX('Per Invoice'!U$2:U$801,$W270)="","",INDEX('Per Invoice'!U$2:U$801,$W270)))</f>
        <v/>
      </c>
      <c r="V270" s="7">
        <f>IF($W270="","",IF(INDEX('Per Invoice'!V$2:V$801,$W270)="","",INDEX('Per Invoice'!V$2:V$801,$W270)))</f>
        <v/>
      </c>
      <c r="W270" s="16">
        <f>IFERROR(MATCH(Settings!$C$27&amp;"|"&amp;ROWS($W$2:$W270),'Per Invoice'!$X$2:$X$801,0),"")</f>
        <v/>
      </c>
    </row>
    <row r="271">
      <c r="A271">
        <f>IF($W271="","",IF(INDEX('Per Invoice'!A$2:A$801,$W271)="","",INDEX('Per Invoice'!A$2:A$801,$W271)))</f>
        <v/>
      </c>
      <c r="B271">
        <f>IF($W271="","",IF(INDEX('Per Invoice'!B$2:B$801,$W271)="","",INDEX('Per Invoice'!B$2:B$801,$W271)))</f>
        <v/>
      </c>
      <c r="C271">
        <f>IF($W271="","",IF(INDEX('Per Invoice'!C$2:C$801,$W271)="","",INDEX('Per Invoice'!C$2:C$801,$W271)))</f>
        <v/>
      </c>
      <c r="D271">
        <f>IF($W271="","",IF(INDEX('Per Invoice'!D$2:D$801,$W271)="","",INDEX('Per Invoice'!D$2:D$801,$W271)))</f>
        <v/>
      </c>
      <c r="E271">
        <f>IF($W271="","",IF(INDEX('Per Invoice'!E$2:E$801,$W271)="","",INDEX('Per Invoice'!E$2:E$801,$W271)))</f>
        <v/>
      </c>
      <c r="F271">
        <f>IF($W271="","",IF(INDEX('Per Invoice'!F$2:F$801,$W271)="","",INDEX('Per Invoice'!F$2:F$801,$W271)))</f>
        <v/>
      </c>
      <c r="G271">
        <f>IF($W271="","",IF(INDEX('Per Invoice'!G$2:G$801,$W271)="","",INDEX('Per Invoice'!G$2:G$801,$W271)))</f>
        <v/>
      </c>
      <c r="H271">
        <f>IF($W271="","",IF(INDEX('Per Invoice'!H$2:H$801,$W271)="","",INDEX('Per Invoice'!H$2:H$801,$W271)))</f>
        <v/>
      </c>
      <c r="I271">
        <f>IF($W271="","",IF(INDEX('Per Invoice'!I$2:I$801,$W271)="","",INDEX('Per Invoice'!I$2:I$801,$W271)))</f>
        <v/>
      </c>
      <c r="J271">
        <f>IF($W271="","",IF(INDEX('Per Invoice'!J$2:J$801,$W271)="","",INDEX('Per Invoice'!J$2:J$801,$W271)))</f>
        <v/>
      </c>
      <c r="K271" s="7">
        <f>IF($W271="","",IF(INDEX('Per Invoice'!K$2:K$801,$W271)="","",INDEX('Per Invoice'!K$2:K$801,$W271)))</f>
        <v/>
      </c>
      <c r="L271" s="14">
        <f>IF($W271="","",IF(INDEX('Per Invoice'!L$2:L$801,$W271)="","",INDEX('Per Invoice'!L$2:L$801,$W271)))</f>
        <v/>
      </c>
      <c r="M271">
        <f>IF($W271="","",IF(INDEX('Per Invoice'!M$2:M$801,$W271)="","",INDEX('Per Invoice'!M$2:M$801,$W271)))</f>
        <v/>
      </c>
      <c r="N271" s="7">
        <f>IF($W271="","",IF(INDEX('Per Invoice'!N$2:N$801,$W271)="","",INDEX('Per Invoice'!N$2:N$801,$W271)))</f>
        <v/>
      </c>
      <c r="O271" s="7">
        <f>IF($W271="","",IF(INDEX('Per Invoice'!O$2:O$801,$W271)="","",INDEX('Per Invoice'!O$2:O$801,$W271)))</f>
        <v/>
      </c>
      <c r="P271">
        <f>IF($W271="","",IF(INDEX('Per Invoice'!P$2:P$801,$W271)="","",INDEX('Per Invoice'!P$2:P$801,$W271)))</f>
        <v/>
      </c>
      <c r="Q271" s="7">
        <f>IF($W271="","",IF(INDEX('Per Invoice'!Q$2:Q$801,$W271)="","",INDEX('Per Invoice'!Q$2:Q$801,$W271)))</f>
        <v/>
      </c>
      <c r="R271" s="7">
        <f>IF($W271="","",IF(INDEX('Per Invoice'!R$2:R$801,$W271)="","",INDEX('Per Invoice'!R$2:R$801,$W271)))</f>
        <v/>
      </c>
      <c r="S271" s="7">
        <f>IF($W271="","",IF(INDEX('Per Invoice'!S$2:S$801,$W271)="","",INDEX('Per Invoice'!S$2:S$801,$W271)))</f>
        <v/>
      </c>
      <c r="T271" s="7">
        <f>IF($W271="","",IF(INDEX('Per Invoice'!T$2:T$801,$W271)="","",INDEX('Per Invoice'!T$2:T$801,$W271)))</f>
        <v/>
      </c>
      <c r="U271" s="7">
        <f>IF($W271="","",IF(INDEX('Per Invoice'!U$2:U$801,$W271)="","",INDEX('Per Invoice'!U$2:U$801,$W271)))</f>
        <v/>
      </c>
      <c r="V271" s="7">
        <f>IF($W271="","",IF(INDEX('Per Invoice'!V$2:V$801,$W271)="","",INDEX('Per Invoice'!V$2:V$801,$W271)))</f>
        <v/>
      </c>
      <c r="W271" s="16">
        <f>IFERROR(MATCH(Settings!$C$27&amp;"|"&amp;ROWS($W$2:$W271),'Per Invoice'!$X$2:$X$801,0),"")</f>
        <v/>
      </c>
    </row>
    <row r="272">
      <c r="A272">
        <f>IF($W272="","",IF(INDEX('Per Invoice'!A$2:A$801,$W272)="","",INDEX('Per Invoice'!A$2:A$801,$W272)))</f>
        <v/>
      </c>
      <c r="B272">
        <f>IF($W272="","",IF(INDEX('Per Invoice'!B$2:B$801,$W272)="","",INDEX('Per Invoice'!B$2:B$801,$W272)))</f>
        <v/>
      </c>
      <c r="C272">
        <f>IF($W272="","",IF(INDEX('Per Invoice'!C$2:C$801,$W272)="","",INDEX('Per Invoice'!C$2:C$801,$W272)))</f>
        <v/>
      </c>
      <c r="D272">
        <f>IF($W272="","",IF(INDEX('Per Invoice'!D$2:D$801,$W272)="","",INDEX('Per Invoice'!D$2:D$801,$W272)))</f>
        <v/>
      </c>
      <c r="E272">
        <f>IF($W272="","",IF(INDEX('Per Invoice'!E$2:E$801,$W272)="","",INDEX('Per Invoice'!E$2:E$801,$W272)))</f>
        <v/>
      </c>
      <c r="F272">
        <f>IF($W272="","",IF(INDEX('Per Invoice'!F$2:F$801,$W272)="","",INDEX('Per Invoice'!F$2:F$801,$W272)))</f>
        <v/>
      </c>
      <c r="G272">
        <f>IF($W272="","",IF(INDEX('Per Invoice'!G$2:G$801,$W272)="","",INDEX('Per Invoice'!G$2:G$801,$W272)))</f>
        <v/>
      </c>
      <c r="H272">
        <f>IF($W272="","",IF(INDEX('Per Invoice'!H$2:H$801,$W272)="","",INDEX('Per Invoice'!H$2:H$801,$W272)))</f>
        <v/>
      </c>
      <c r="I272">
        <f>IF($W272="","",IF(INDEX('Per Invoice'!I$2:I$801,$W272)="","",INDEX('Per Invoice'!I$2:I$801,$W272)))</f>
        <v/>
      </c>
      <c r="J272">
        <f>IF($W272="","",IF(INDEX('Per Invoice'!J$2:J$801,$W272)="","",INDEX('Per Invoice'!J$2:J$801,$W272)))</f>
        <v/>
      </c>
      <c r="K272" s="7">
        <f>IF($W272="","",IF(INDEX('Per Invoice'!K$2:K$801,$W272)="","",INDEX('Per Invoice'!K$2:K$801,$W272)))</f>
        <v/>
      </c>
      <c r="L272" s="14">
        <f>IF($W272="","",IF(INDEX('Per Invoice'!L$2:L$801,$W272)="","",INDEX('Per Invoice'!L$2:L$801,$W272)))</f>
        <v/>
      </c>
      <c r="M272">
        <f>IF($W272="","",IF(INDEX('Per Invoice'!M$2:M$801,$W272)="","",INDEX('Per Invoice'!M$2:M$801,$W272)))</f>
        <v/>
      </c>
      <c r="N272" s="7">
        <f>IF($W272="","",IF(INDEX('Per Invoice'!N$2:N$801,$W272)="","",INDEX('Per Invoice'!N$2:N$801,$W272)))</f>
        <v/>
      </c>
      <c r="O272" s="7">
        <f>IF($W272="","",IF(INDEX('Per Invoice'!O$2:O$801,$W272)="","",INDEX('Per Invoice'!O$2:O$801,$W272)))</f>
        <v/>
      </c>
      <c r="P272">
        <f>IF($W272="","",IF(INDEX('Per Invoice'!P$2:P$801,$W272)="","",INDEX('Per Invoice'!P$2:P$801,$W272)))</f>
        <v/>
      </c>
      <c r="Q272" s="7">
        <f>IF($W272="","",IF(INDEX('Per Invoice'!Q$2:Q$801,$W272)="","",INDEX('Per Invoice'!Q$2:Q$801,$W272)))</f>
        <v/>
      </c>
      <c r="R272" s="7">
        <f>IF($W272="","",IF(INDEX('Per Invoice'!R$2:R$801,$W272)="","",INDEX('Per Invoice'!R$2:R$801,$W272)))</f>
        <v/>
      </c>
      <c r="S272" s="7">
        <f>IF($W272="","",IF(INDEX('Per Invoice'!S$2:S$801,$W272)="","",INDEX('Per Invoice'!S$2:S$801,$W272)))</f>
        <v/>
      </c>
      <c r="T272" s="7">
        <f>IF($W272="","",IF(INDEX('Per Invoice'!T$2:T$801,$W272)="","",INDEX('Per Invoice'!T$2:T$801,$W272)))</f>
        <v/>
      </c>
      <c r="U272" s="7">
        <f>IF($W272="","",IF(INDEX('Per Invoice'!U$2:U$801,$W272)="","",INDEX('Per Invoice'!U$2:U$801,$W272)))</f>
        <v/>
      </c>
      <c r="V272" s="7">
        <f>IF($W272="","",IF(INDEX('Per Invoice'!V$2:V$801,$W272)="","",INDEX('Per Invoice'!V$2:V$801,$W272)))</f>
        <v/>
      </c>
      <c r="W272" s="16">
        <f>IFERROR(MATCH(Settings!$C$27&amp;"|"&amp;ROWS($W$2:$W272),'Per Invoice'!$X$2:$X$801,0),"")</f>
        <v/>
      </c>
    </row>
    <row r="273">
      <c r="A273">
        <f>IF($W273="","",IF(INDEX('Per Invoice'!A$2:A$801,$W273)="","",INDEX('Per Invoice'!A$2:A$801,$W273)))</f>
        <v/>
      </c>
      <c r="B273">
        <f>IF($W273="","",IF(INDEX('Per Invoice'!B$2:B$801,$W273)="","",INDEX('Per Invoice'!B$2:B$801,$W273)))</f>
        <v/>
      </c>
      <c r="C273">
        <f>IF($W273="","",IF(INDEX('Per Invoice'!C$2:C$801,$W273)="","",INDEX('Per Invoice'!C$2:C$801,$W273)))</f>
        <v/>
      </c>
      <c r="D273">
        <f>IF($W273="","",IF(INDEX('Per Invoice'!D$2:D$801,$W273)="","",INDEX('Per Invoice'!D$2:D$801,$W273)))</f>
        <v/>
      </c>
      <c r="E273">
        <f>IF($W273="","",IF(INDEX('Per Invoice'!E$2:E$801,$W273)="","",INDEX('Per Invoice'!E$2:E$801,$W273)))</f>
        <v/>
      </c>
      <c r="F273">
        <f>IF($W273="","",IF(INDEX('Per Invoice'!F$2:F$801,$W273)="","",INDEX('Per Invoice'!F$2:F$801,$W273)))</f>
        <v/>
      </c>
      <c r="G273">
        <f>IF($W273="","",IF(INDEX('Per Invoice'!G$2:G$801,$W273)="","",INDEX('Per Invoice'!G$2:G$801,$W273)))</f>
        <v/>
      </c>
      <c r="H273">
        <f>IF($W273="","",IF(INDEX('Per Invoice'!H$2:H$801,$W273)="","",INDEX('Per Invoice'!H$2:H$801,$W273)))</f>
        <v/>
      </c>
      <c r="I273">
        <f>IF($W273="","",IF(INDEX('Per Invoice'!I$2:I$801,$W273)="","",INDEX('Per Invoice'!I$2:I$801,$W273)))</f>
        <v/>
      </c>
      <c r="J273">
        <f>IF($W273="","",IF(INDEX('Per Invoice'!J$2:J$801,$W273)="","",INDEX('Per Invoice'!J$2:J$801,$W273)))</f>
        <v/>
      </c>
      <c r="K273" s="7">
        <f>IF($W273="","",IF(INDEX('Per Invoice'!K$2:K$801,$W273)="","",INDEX('Per Invoice'!K$2:K$801,$W273)))</f>
        <v/>
      </c>
      <c r="L273" s="14">
        <f>IF($W273="","",IF(INDEX('Per Invoice'!L$2:L$801,$W273)="","",INDEX('Per Invoice'!L$2:L$801,$W273)))</f>
        <v/>
      </c>
      <c r="M273">
        <f>IF($W273="","",IF(INDEX('Per Invoice'!M$2:M$801,$W273)="","",INDEX('Per Invoice'!M$2:M$801,$W273)))</f>
        <v/>
      </c>
      <c r="N273" s="7">
        <f>IF($W273="","",IF(INDEX('Per Invoice'!N$2:N$801,$W273)="","",INDEX('Per Invoice'!N$2:N$801,$W273)))</f>
        <v/>
      </c>
      <c r="O273" s="7">
        <f>IF($W273="","",IF(INDEX('Per Invoice'!O$2:O$801,$W273)="","",INDEX('Per Invoice'!O$2:O$801,$W273)))</f>
        <v/>
      </c>
      <c r="P273">
        <f>IF($W273="","",IF(INDEX('Per Invoice'!P$2:P$801,$W273)="","",INDEX('Per Invoice'!P$2:P$801,$W273)))</f>
        <v/>
      </c>
      <c r="Q273" s="7">
        <f>IF($W273="","",IF(INDEX('Per Invoice'!Q$2:Q$801,$W273)="","",INDEX('Per Invoice'!Q$2:Q$801,$W273)))</f>
        <v/>
      </c>
      <c r="R273" s="7">
        <f>IF($W273="","",IF(INDEX('Per Invoice'!R$2:R$801,$W273)="","",INDEX('Per Invoice'!R$2:R$801,$W273)))</f>
        <v/>
      </c>
      <c r="S273" s="7">
        <f>IF($W273="","",IF(INDEX('Per Invoice'!S$2:S$801,$W273)="","",INDEX('Per Invoice'!S$2:S$801,$W273)))</f>
        <v/>
      </c>
      <c r="T273" s="7">
        <f>IF($W273="","",IF(INDEX('Per Invoice'!T$2:T$801,$W273)="","",INDEX('Per Invoice'!T$2:T$801,$W273)))</f>
        <v/>
      </c>
      <c r="U273" s="7">
        <f>IF($W273="","",IF(INDEX('Per Invoice'!U$2:U$801,$W273)="","",INDEX('Per Invoice'!U$2:U$801,$W273)))</f>
        <v/>
      </c>
      <c r="V273" s="7">
        <f>IF($W273="","",IF(INDEX('Per Invoice'!V$2:V$801,$W273)="","",INDEX('Per Invoice'!V$2:V$801,$W273)))</f>
        <v/>
      </c>
      <c r="W273" s="16">
        <f>IFERROR(MATCH(Settings!$C$27&amp;"|"&amp;ROWS($W$2:$W273),'Per Invoice'!$X$2:$X$801,0),"")</f>
        <v/>
      </c>
    </row>
    <row r="274">
      <c r="A274">
        <f>IF($W274="","",IF(INDEX('Per Invoice'!A$2:A$801,$W274)="","",INDEX('Per Invoice'!A$2:A$801,$W274)))</f>
        <v/>
      </c>
      <c r="B274">
        <f>IF($W274="","",IF(INDEX('Per Invoice'!B$2:B$801,$W274)="","",INDEX('Per Invoice'!B$2:B$801,$W274)))</f>
        <v/>
      </c>
      <c r="C274">
        <f>IF($W274="","",IF(INDEX('Per Invoice'!C$2:C$801,$W274)="","",INDEX('Per Invoice'!C$2:C$801,$W274)))</f>
        <v/>
      </c>
      <c r="D274">
        <f>IF($W274="","",IF(INDEX('Per Invoice'!D$2:D$801,$W274)="","",INDEX('Per Invoice'!D$2:D$801,$W274)))</f>
        <v/>
      </c>
      <c r="E274">
        <f>IF($W274="","",IF(INDEX('Per Invoice'!E$2:E$801,$W274)="","",INDEX('Per Invoice'!E$2:E$801,$W274)))</f>
        <v/>
      </c>
      <c r="F274">
        <f>IF($W274="","",IF(INDEX('Per Invoice'!F$2:F$801,$W274)="","",INDEX('Per Invoice'!F$2:F$801,$W274)))</f>
        <v/>
      </c>
      <c r="G274">
        <f>IF($W274="","",IF(INDEX('Per Invoice'!G$2:G$801,$W274)="","",INDEX('Per Invoice'!G$2:G$801,$W274)))</f>
        <v/>
      </c>
      <c r="H274">
        <f>IF($W274="","",IF(INDEX('Per Invoice'!H$2:H$801,$W274)="","",INDEX('Per Invoice'!H$2:H$801,$W274)))</f>
        <v/>
      </c>
      <c r="I274">
        <f>IF($W274="","",IF(INDEX('Per Invoice'!I$2:I$801,$W274)="","",INDEX('Per Invoice'!I$2:I$801,$W274)))</f>
        <v/>
      </c>
      <c r="J274">
        <f>IF($W274="","",IF(INDEX('Per Invoice'!J$2:J$801,$W274)="","",INDEX('Per Invoice'!J$2:J$801,$W274)))</f>
        <v/>
      </c>
      <c r="K274" s="7">
        <f>IF($W274="","",IF(INDEX('Per Invoice'!K$2:K$801,$W274)="","",INDEX('Per Invoice'!K$2:K$801,$W274)))</f>
        <v/>
      </c>
      <c r="L274" s="14">
        <f>IF($W274="","",IF(INDEX('Per Invoice'!L$2:L$801,$W274)="","",INDEX('Per Invoice'!L$2:L$801,$W274)))</f>
        <v/>
      </c>
      <c r="M274">
        <f>IF($W274="","",IF(INDEX('Per Invoice'!M$2:M$801,$W274)="","",INDEX('Per Invoice'!M$2:M$801,$W274)))</f>
        <v/>
      </c>
      <c r="N274" s="7">
        <f>IF($W274="","",IF(INDEX('Per Invoice'!N$2:N$801,$W274)="","",INDEX('Per Invoice'!N$2:N$801,$W274)))</f>
        <v/>
      </c>
      <c r="O274" s="7">
        <f>IF($W274="","",IF(INDEX('Per Invoice'!O$2:O$801,$W274)="","",INDEX('Per Invoice'!O$2:O$801,$W274)))</f>
        <v/>
      </c>
      <c r="P274">
        <f>IF($W274="","",IF(INDEX('Per Invoice'!P$2:P$801,$W274)="","",INDEX('Per Invoice'!P$2:P$801,$W274)))</f>
        <v/>
      </c>
      <c r="Q274" s="7">
        <f>IF($W274="","",IF(INDEX('Per Invoice'!Q$2:Q$801,$W274)="","",INDEX('Per Invoice'!Q$2:Q$801,$W274)))</f>
        <v/>
      </c>
      <c r="R274" s="7">
        <f>IF($W274="","",IF(INDEX('Per Invoice'!R$2:R$801,$W274)="","",INDEX('Per Invoice'!R$2:R$801,$W274)))</f>
        <v/>
      </c>
      <c r="S274" s="7">
        <f>IF($W274="","",IF(INDEX('Per Invoice'!S$2:S$801,$W274)="","",INDEX('Per Invoice'!S$2:S$801,$W274)))</f>
        <v/>
      </c>
      <c r="T274" s="7">
        <f>IF($W274="","",IF(INDEX('Per Invoice'!T$2:T$801,$W274)="","",INDEX('Per Invoice'!T$2:T$801,$W274)))</f>
        <v/>
      </c>
      <c r="U274" s="7">
        <f>IF($W274="","",IF(INDEX('Per Invoice'!U$2:U$801,$W274)="","",INDEX('Per Invoice'!U$2:U$801,$W274)))</f>
        <v/>
      </c>
      <c r="V274" s="7">
        <f>IF($W274="","",IF(INDEX('Per Invoice'!V$2:V$801,$W274)="","",INDEX('Per Invoice'!V$2:V$801,$W274)))</f>
        <v/>
      </c>
      <c r="W274" s="16">
        <f>IFERROR(MATCH(Settings!$C$27&amp;"|"&amp;ROWS($W$2:$W274),'Per Invoice'!$X$2:$X$801,0),"")</f>
        <v/>
      </c>
    </row>
    <row r="275">
      <c r="A275">
        <f>IF($W275="","",IF(INDEX('Per Invoice'!A$2:A$801,$W275)="","",INDEX('Per Invoice'!A$2:A$801,$W275)))</f>
        <v/>
      </c>
      <c r="B275">
        <f>IF($W275="","",IF(INDEX('Per Invoice'!B$2:B$801,$W275)="","",INDEX('Per Invoice'!B$2:B$801,$W275)))</f>
        <v/>
      </c>
      <c r="C275">
        <f>IF($W275="","",IF(INDEX('Per Invoice'!C$2:C$801,$W275)="","",INDEX('Per Invoice'!C$2:C$801,$W275)))</f>
        <v/>
      </c>
      <c r="D275">
        <f>IF($W275="","",IF(INDEX('Per Invoice'!D$2:D$801,$W275)="","",INDEX('Per Invoice'!D$2:D$801,$W275)))</f>
        <v/>
      </c>
      <c r="E275">
        <f>IF($W275="","",IF(INDEX('Per Invoice'!E$2:E$801,$W275)="","",INDEX('Per Invoice'!E$2:E$801,$W275)))</f>
        <v/>
      </c>
      <c r="F275">
        <f>IF($W275="","",IF(INDEX('Per Invoice'!F$2:F$801,$W275)="","",INDEX('Per Invoice'!F$2:F$801,$W275)))</f>
        <v/>
      </c>
      <c r="G275">
        <f>IF($W275="","",IF(INDEX('Per Invoice'!G$2:G$801,$W275)="","",INDEX('Per Invoice'!G$2:G$801,$W275)))</f>
        <v/>
      </c>
      <c r="H275">
        <f>IF($W275="","",IF(INDEX('Per Invoice'!H$2:H$801,$W275)="","",INDEX('Per Invoice'!H$2:H$801,$W275)))</f>
        <v/>
      </c>
      <c r="I275">
        <f>IF($W275="","",IF(INDEX('Per Invoice'!I$2:I$801,$W275)="","",INDEX('Per Invoice'!I$2:I$801,$W275)))</f>
        <v/>
      </c>
      <c r="J275">
        <f>IF($W275="","",IF(INDEX('Per Invoice'!J$2:J$801,$W275)="","",INDEX('Per Invoice'!J$2:J$801,$W275)))</f>
        <v/>
      </c>
      <c r="K275" s="7">
        <f>IF($W275="","",IF(INDEX('Per Invoice'!K$2:K$801,$W275)="","",INDEX('Per Invoice'!K$2:K$801,$W275)))</f>
        <v/>
      </c>
      <c r="L275" s="14">
        <f>IF($W275="","",IF(INDEX('Per Invoice'!L$2:L$801,$W275)="","",INDEX('Per Invoice'!L$2:L$801,$W275)))</f>
        <v/>
      </c>
      <c r="M275">
        <f>IF($W275="","",IF(INDEX('Per Invoice'!M$2:M$801,$W275)="","",INDEX('Per Invoice'!M$2:M$801,$W275)))</f>
        <v/>
      </c>
      <c r="N275" s="7">
        <f>IF($W275="","",IF(INDEX('Per Invoice'!N$2:N$801,$W275)="","",INDEX('Per Invoice'!N$2:N$801,$W275)))</f>
        <v/>
      </c>
      <c r="O275" s="7">
        <f>IF($W275="","",IF(INDEX('Per Invoice'!O$2:O$801,$W275)="","",INDEX('Per Invoice'!O$2:O$801,$W275)))</f>
        <v/>
      </c>
      <c r="P275">
        <f>IF($W275="","",IF(INDEX('Per Invoice'!P$2:P$801,$W275)="","",INDEX('Per Invoice'!P$2:P$801,$W275)))</f>
        <v/>
      </c>
      <c r="Q275" s="7">
        <f>IF($W275="","",IF(INDEX('Per Invoice'!Q$2:Q$801,$W275)="","",INDEX('Per Invoice'!Q$2:Q$801,$W275)))</f>
        <v/>
      </c>
      <c r="R275" s="7">
        <f>IF($W275="","",IF(INDEX('Per Invoice'!R$2:R$801,$W275)="","",INDEX('Per Invoice'!R$2:R$801,$W275)))</f>
        <v/>
      </c>
      <c r="S275" s="7">
        <f>IF($W275="","",IF(INDEX('Per Invoice'!S$2:S$801,$W275)="","",INDEX('Per Invoice'!S$2:S$801,$W275)))</f>
        <v/>
      </c>
      <c r="T275" s="7">
        <f>IF($W275="","",IF(INDEX('Per Invoice'!T$2:T$801,$W275)="","",INDEX('Per Invoice'!T$2:T$801,$W275)))</f>
        <v/>
      </c>
      <c r="U275" s="7">
        <f>IF($W275="","",IF(INDEX('Per Invoice'!U$2:U$801,$W275)="","",INDEX('Per Invoice'!U$2:U$801,$W275)))</f>
        <v/>
      </c>
      <c r="V275" s="7">
        <f>IF($W275="","",IF(INDEX('Per Invoice'!V$2:V$801,$W275)="","",INDEX('Per Invoice'!V$2:V$801,$W275)))</f>
        <v/>
      </c>
      <c r="W275" s="16">
        <f>IFERROR(MATCH(Settings!$C$27&amp;"|"&amp;ROWS($W$2:$W275),'Per Invoice'!$X$2:$X$801,0),"")</f>
        <v/>
      </c>
    </row>
    <row r="276">
      <c r="A276">
        <f>IF($W276="","",IF(INDEX('Per Invoice'!A$2:A$801,$W276)="","",INDEX('Per Invoice'!A$2:A$801,$W276)))</f>
        <v/>
      </c>
      <c r="B276">
        <f>IF($W276="","",IF(INDEX('Per Invoice'!B$2:B$801,$W276)="","",INDEX('Per Invoice'!B$2:B$801,$W276)))</f>
        <v/>
      </c>
      <c r="C276">
        <f>IF($W276="","",IF(INDEX('Per Invoice'!C$2:C$801,$W276)="","",INDEX('Per Invoice'!C$2:C$801,$W276)))</f>
        <v/>
      </c>
      <c r="D276">
        <f>IF($W276="","",IF(INDEX('Per Invoice'!D$2:D$801,$W276)="","",INDEX('Per Invoice'!D$2:D$801,$W276)))</f>
        <v/>
      </c>
      <c r="E276">
        <f>IF($W276="","",IF(INDEX('Per Invoice'!E$2:E$801,$W276)="","",INDEX('Per Invoice'!E$2:E$801,$W276)))</f>
        <v/>
      </c>
      <c r="F276">
        <f>IF($W276="","",IF(INDEX('Per Invoice'!F$2:F$801,$W276)="","",INDEX('Per Invoice'!F$2:F$801,$W276)))</f>
        <v/>
      </c>
      <c r="G276">
        <f>IF($W276="","",IF(INDEX('Per Invoice'!G$2:G$801,$W276)="","",INDEX('Per Invoice'!G$2:G$801,$W276)))</f>
        <v/>
      </c>
      <c r="H276">
        <f>IF($W276="","",IF(INDEX('Per Invoice'!H$2:H$801,$W276)="","",INDEX('Per Invoice'!H$2:H$801,$W276)))</f>
        <v/>
      </c>
      <c r="I276">
        <f>IF($W276="","",IF(INDEX('Per Invoice'!I$2:I$801,$W276)="","",INDEX('Per Invoice'!I$2:I$801,$W276)))</f>
        <v/>
      </c>
      <c r="J276">
        <f>IF($W276="","",IF(INDEX('Per Invoice'!J$2:J$801,$W276)="","",INDEX('Per Invoice'!J$2:J$801,$W276)))</f>
        <v/>
      </c>
      <c r="K276" s="7">
        <f>IF($W276="","",IF(INDEX('Per Invoice'!K$2:K$801,$W276)="","",INDEX('Per Invoice'!K$2:K$801,$W276)))</f>
        <v/>
      </c>
      <c r="L276" s="14">
        <f>IF($W276="","",IF(INDEX('Per Invoice'!L$2:L$801,$W276)="","",INDEX('Per Invoice'!L$2:L$801,$W276)))</f>
        <v/>
      </c>
      <c r="M276">
        <f>IF($W276="","",IF(INDEX('Per Invoice'!M$2:M$801,$W276)="","",INDEX('Per Invoice'!M$2:M$801,$W276)))</f>
        <v/>
      </c>
      <c r="N276" s="7">
        <f>IF($W276="","",IF(INDEX('Per Invoice'!N$2:N$801,$W276)="","",INDEX('Per Invoice'!N$2:N$801,$W276)))</f>
        <v/>
      </c>
      <c r="O276" s="7">
        <f>IF($W276="","",IF(INDEX('Per Invoice'!O$2:O$801,$W276)="","",INDEX('Per Invoice'!O$2:O$801,$W276)))</f>
        <v/>
      </c>
      <c r="P276">
        <f>IF($W276="","",IF(INDEX('Per Invoice'!P$2:P$801,$W276)="","",INDEX('Per Invoice'!P$2:P$801,$W276)))</f>
        <v/>
      </c>
      <c r="Q276" s="7">
        <f>IF($W276="","",IF(INDEX('Per Invoice'!Q$2:Q$801,$W276)="","",INDEX('Per Invoice'!Q$2:Q$801,$W276)))</f>
        <v/>
      </c>
      <c r="R276" s="7">
        <f>IF($W276="","",IF(INDEX('Per Invoice'!R$2:R$801,$W276)="","",INDEX('Per Invoice'!R$2:R$801,$W276)))</f>
        <v/>
      </c>
      <c r="S276" s="7">
        <f>IF($W276="","",IF(INDEX('Per Invoice'!S$2:S$801,$W276)="","",INDEX('Per Invoice'!S$2:S$801,$W276)))</f>
        <v/>
      </c>
      <c r="T276" s="7">
        <f>IF($W276="","",IF(INDEX('Per Invoice'!T$2:T$801,$W276)="","",INDEX('Per Invoice'!T$2:T$801,$W276)))</f>
        <v/>
      </c>
      <c r="U276" s="7">
        <f>IF($W276="","",IF(INDEX('Per Invoice'!U$2:U$801,$W276)="","",INDEX('Per Invoice'!U$2:U$801,$W276)))</f>
        <v/>
      </c>
      <c r="V276" s="7">
        <f>IF($W276="","",IF(INDEX('Per Invoice'!V$2:V$801,$W276)="","",INDEX('Per Invoice'!V$2:V$801,$W276)))</f>
        <v/>
      </c>
      <c r="W276" s="16">
        <f>IFERROR(MATCH(Settings!$C$27&amp;"|"&amp;ROWS($W$2:$W276),'Per Invoice'!$X$2:$X$801,0),"")</f>
        <v/>
      </c>
    </row>
    <row r="277">
      <c r="A277">
        <f>IF($W277="","",IF(INDEX('Per Invoice'!A$2:A$801,$W277)="","",INDEX('Per Invoice'!A$2:A$801,$W277)))</f>
        <v/>
      </c>
      <c r="B277">
        <f>IF($W277="","",IF(INDEX('Per Invoice'!B$2:B$801,$W277)="","",INDEX('Per Invoice'!B$2:B$801,$W277)))</f>
        <v/>
      </c>
      <c r="C277">
        <f>IF($W277="","",IF(INDEX('Per Invoice'!C$2:C$801,$W277)="","",INDEX('Per Invoice'!C$2:C$801,$W277)))</f>
        <v/>
      </c>
      <c r="D277">
        <f>IF($W277="","",IF(INDEX('Per Invoice'!D$2:D$801,$W277)="","",INDEX('Per Invoice'!D$2:D$801,$W277)))</f>
        <v/>
      </c>
      <c r="E277">
        <f>IF($W277="","",IF(INDEX('Per Invoice'!E$2:E$801,$W277)="","",INDEX('Per Invoice'!E$2:E$801,$W277)))</f>
        <v/>
      </c>
      <c r="F277">
        <f>IF($W277="","",IF(INDEX('Per Invoice'!F$2:F$801,$W277)="","",INDEX('Per Invoice'!F$2:F$801,$W277)))</f>
        <v/>
      </c>
      <c r="G277">
        <f>IF($W277="","",IF(INDEX('Per Invoice'!G$2:G$801,$W277)="","",INDEX('Per Invoice'!G$2:G$801,$W277)))</f>
        <v/>
      </c>
      <c r="H277">
        <f>IF($W277="","",IF(INDEX('Per Invoice'!H$2:H$801,$W277)="","",INDEX('Per Invoice'!H$2:H$801,$W277)))</f>
        <v/>
      </c>
      <c r="I277">
        <f>IF($W277="","",IF(INDEX('Per Invoice'!I$2:I$801,$W277)="","",INDEX('Per Invoice'!I$2:I$801,$W277)))</f>
        <v/>
      </c>
      <c r="J277">
        <f>IF($W277="","",IF(INDEX('Per Invoice'!J$2:J$801,$W277)="","",INDEX('Per Invoice'!J$2:J$801,$W277)))</f>
        <v/>
      </c>
      <c r="K277" s="7">
        <f>IF($W277="","",IF(INDEX('Per Invoice'!K$2:K$801,$W277)="","",INDEX('Per Invoice'!K$2:K$801,$W277)))</f>
        <v/>
      </c>
      <c r="L277" s="14">
        <f>IF($W277="","",IF(INDEX('Per Invoice'!L$2:L$801,$W277)="","",INDEX('Per Invoice'!L$2:L$801,$W277)))</f>
        <v/>
      </c>
      <c r="M277">
        <f>IF($W277="","",IF(INDEX('Per Invoice'!M$2:M$801,$W277)="","",INDEX('Per Invoice'!M$2:M$801,$W277)))</f>
        <v/>
      </c>
      <c r="N277" s="7">
        <f>IF($W277="","",IF(INDEX('Per Invoice'!N$2:N$801,$W277)="","",INDEX('Per Invoice'!N$2:N$801,$W277)))</f>
        <v/>
      </c>
      <c r="O277" s="7">
        <f>IF($W277="","",IF(INDEX('Per Invoice'!O$2:O$801,$W277)="","",INDEX('Per Invoice'!O$2:O$801,$W277)))</f>
        <v/>
      </c>
      <c r="P277">
        <f>IF($W277="","",IF(INDEX('Per Invoice'!P$2:P$801,$W277)="","",INDEX('Per Invoice'!P$2:P$801,$W277)))</f>
        <v/>
      </c>
      <c r="Q277" s="7">
        <f>IF($W277="","",IF(INDEX('Per Invoice'!Q$2:Q$801,$W277)="","",INDEX('Per Invoice'!Q$2:Q$801,$W277)))</f>
        <v/>
      </c>
      <c r="R277" s="7">
        <f>IF($W277="","",IF(INDEX('Per Invoice'!R$2:R$801,$W277)="","",INDEX('Per Invoice'!R$2:R$801,$W277)))</f>
        <v/>
      </c>
      <c r="S277" s="7">
        <f>IF($W277="","",IF(INDEX('Per Invoice'!S$2:S$801,$W277)="","",INDEX('Per Invoice'!S$2:S$801,$W277)))</f>
        <v/>
      </c>
      <c r="T277" s="7">
        <f>IF($W277="","",IF(INDEX('Per Invoice'!T$2:T$801,$W277)="","",INDEX('Per Invoice'!T$2:T$801,$W277)))</f>
        <v/>
      </c>
      <c r="U277" s="7">
        <f>IF($W277="","",IF(INDEX('Per Invoice'!U$2:U$801,$W277)="","",INDEX('Per Invoice'!U$2:U$801,$W277)))</f>
        <v/>
      </c>
      <c r="V277" s="7">
        <f>IF($W277="","",IF(INDEX('Per Invoice'!V$2:V$801,$W277)="","",INDEX('Per Invoice'!V$2:V$801,$W277)))</f>
        <v/>
      </c>
      <c r="W277" s="16">
        <f>IFERROR(MATCH(Settings!$C$27&amp;"|"&amp;ROWS($W$2:$W277),'Per Invoice'!$X$2:$X$801,0),"")</f>
        <v/>
      </c>
    </row>
    <row r="278">
      <c r="A278">
        <f>IF($W278="","",IF(INDEX('Per Invoice'!A$2:A$801,$W278)="","",INDEX('Per Invoice'!A$2:A$801,$W278)))</f>
        <v/>
      </c>
      <c r="B278">
        <f>IF($W278="","",IF(INDEX('Per Invoice'!B$2:B$801,$W278)="","",INDEX('Per Invoice'!B$2:B$801,$W278)))</f>
        <v/>
      </c>
      <c r="C278">
        <f>IF($W278="","",IF(INDEX('Per Invoice'!C$2:C$801,$W278)="","",INDEX('Per Invoice'!C$2:C$801,$W278)))</f>
        <v/>
      </c>
      <c r="D278">
        <f>IF($W278="","",IF(INDEX('Per Invoice'!D$2:D$801,$W278)="","",INDEX('Per Invoice'!D$2:D$801,$W278)))</f>
        <v/>
      </c>
      <c r="E278">
        <f>IF($W278="","",IF(INDEX('Per Invoice'!E$2:E$801,$W278)="","",INDEX('Per Invoice'!E$2:E$801,$W278)))</f>
        <v/>
      </c>
      <c r="F278">
        <f>IF($W278="","",IF(INDEX('Per Invoice'!F$2:F$801,$W278)="","",INDEX('Per Invoice'!F$2:F$801,$W278)))</f>
        <v/>
      </c>
      <c r="G278">
        <f>IF($W278="","",IF(INDEX('Per Invoice'!G$2:G$801,$W278)="","",INDEX('Per Invoice'!G$2:G$801,$W278)))</f>
        <v/>
      </c>
      <c r="H278">
        <f>IF($W278="","",IF(INDEX('Per Invoice'!H$2:H$801,$W278)="","",INDEX('Per Invoice'!H$2:H$801,$W278)))</f>
        <v/>
      </c>
      <c r="I278">
        <f>IF($W278="","",IF(INDEX('Per Invoice'!I$2:I$801,$W278)="","",INDEX('Per Invoice'!I$2:I$801,$W278)))</f>
        <v/>
      </c>
      <c r="J278">
        <f>IF($W278="","",IF(INDEX('Per Invoice'!J$2:J$801,$W278)="","",INDEX('Per Invoice'!J$2:J$801,$W278)))</f>
        <v/>
      </c>
      <c r="K278" s="7">
        <f>IF($W278="","",IF(INDEX('Per Invoice'!K$2:K$801,$W278)="","",INDEX('Per Invoice'!K$2:K$801,$W278)))</f>
        <v/>
      </c>
      <c r="L278" s="14">
        <f>IF($W278="","",IF(INDEX('Per Invoice'!L$2:L$801,$W278)="","",INDEX('Per Invoice'!L$2:L$801,$W278)))</f>
        <v/>
      </c>
      <c r="M278">
        <f>IF($W278="","",IF(INDEX('Per Invoice'!M$2:M$801,$W278)="","",INDEX('Per Invoice'!M$2:M$801,$W278)))</f>
        <v/>
      </c>
      <c r="N278" s="7">
        <f>IF($W278="","",IF(INDEX('Per Invoice'!N$2:N$801,$W278)="","",INDEX('Per Invoice'!N$2:N$801,$W278)))</f>
        <v/>
      </c>
      <c r="O278" s="7">
        <f>IF($W278="","",IF(INDEX('Per Invoice'!O$2:O$801,$W278)="","",INDEX('Per Invoice'!O$2:O$801,$W278)))</f>
        <v/>
      </c>
      <c r="P278">
        <f>IF($W278="","",IF(INDEX('Per Invoice'!P$2:P$801,$W278)="","",INDEX('Per Invoice'!P$2:P$801,$W278)))</f>
        <v/>
      </c>
      <c r="Q278" s="7">
        <f>IF($W278="","",IF(INDEX('Per Invoice'!Q$2:Q$801,$W278)="","",INDEX('Per Invoice'!Q$2:Q$801,$W278)))</f>
        <v/>
      </c>
      <c r="R278" s="7">
        <f>IF($W278="","",IF(INDEX('Per Invoice'!R$2:R$801,$W278)="","",INDEX('Per Invoice'!R$2:R$801,$W278)))</f>
        <v/>
      </c>
      <c r="S278" s="7">
        <f>IF($W278="","",IF(INDEX('Per Invoice'!S$2:S$801,$W278)="","",INDEX('Per Invoice'!S$2:S$801,$W278)))</f>
        <v/>
      </c>
      <c r="T278" s="7">
        <f>IF($W278="","",IF(INDEX('Per Invoice'!T$2:T$801,$W278)="","",INDEX('Per Invoice'!T$2:T$801,$W278)))</f>
        <v/>
      </c>
      <c r="U278" s="7">
        <f>IF($W278="","",IF(INDEX('Per Invoice'!U$2:U$801,$W278)="","",INDEX('Per Invoice'!U$2:U$801,$W278)))</f>
        <v/>
      </c>
      <c r="V278" s="7">
        <f>IF($W278="","",IF(INDEX('Per Invoice'!V$2:V$801,$W278)="","",INDEX('Per Invoice'!V$2:V$801,$W278)))</f>
        <v/>
      </c>
      <c r="W278" s="16">
        <f>IFERROR(MATCH(Settings!$C$27&amp;"|"&amp;ROWS($W$2:$W278),'Per Invoice'!$X$2:$X$801,0),"")</f>
        <v/>
      </c>
    </row>
    <row r="279">
      <c r="A279">
        <f>IF($W279="","",IF(INDEX('Per Invoice'!A$2:A$801,$W279)="","",INDEX('Per Invoice'!A$2:A$801,$W279)))</f>
        <v/>
      </c>
      <c r="B279">
        <f>IF($W279="","",IF(INDEX('Per Invoice'!B$2:B$801,$W279)="","",INDEX('Per Invoice'!B$2:B$801,$W279)))</f>
        <v/>
      </c>
      <c r="C279">
        <f>IF($W279="","",IF(INDEX('Per Invoice'!C$2:C$801,$W279)="","",INDEX('Per Invoice'!C$2:C$801,$W279)))</f>
        <v/>
      </c>
      <c r="D279">
        <f>IF($W279="","",IF(INDEX('Per Invoice'!D$2:D$801,$W279)="","",INDEX('Per Invoice'!D$2:D$801,$W279)))</f>
        <v/>
      </c>
      <c r="E279">
        <f>IF($W279="","",IF(INDEX('Per Invoice'!E$2:E$801,$W279)="","",INDEX('Per Invoice'!E$2:E$801,$W279)))</f>
        <v/>
      </c>
      <c r="F279">
        <f>IF($W279="","",IF(INDEX('Per Invoice'!F$2:F$801,$W279)="","",INDEX('Per Invoice'!F$2:F$801,$W279)))</f>
        <v/>
      </c>
      <c r="G279">
        <f>IF($W279="","",IF(INDEX('Per Invoice'!G$2:G$801,$W279)="","",INDEX('Per Invoice'!G$2:G$801,$W279)))</f>
        <v/>
      </c>
      <c r="H279">
        <f>IF($W279="","",IF(INDEX('Per Invoice'!H$2:H$801,$W279)="","",INDEX('Per Invoice'!H$2:H$801,$W279)))</f>
        <v/>
      </c>
      <c r="I279">
        <f>IF($W279="","",IF(INDEX('Per Invoice'!I$2:I$801,$W279)="","",INDEX('Per Invoice'!I$2:I$801,$W279)))</f>
        <v/>
      </c>
      <c r="J279">
        <f>IF($W279="","",IF(INDEX('Per Invoice'!J$2:J$801,$W279)="","",INDEX('Per Invoice'!J$2:J$801,$W279)))</f>
        <v/>
      </c>
      <c r="K279" s="7">
        <f>IF($W279="","",IF(INDEX('Per Invoice'!K$2:K$801,$W279)="","",INDEX('Per Invoice'!K$2:K$801,$W279)))</f>
        <v/>
      </c>
      <c r="L279" s="14">
        <f>IF($W279="","",IF(INDEX('Per Invoice'!L$2:L$801,$W279)="","",INDEX('Per Invoice'!L$2:L$801,$W279)))</f>
        <v/>
      </c>
      <c r="M279">
        <f>IF($W279="","",IF(INDEX('Per Invoice'!M$2:M$801,$W279)="","",INDEX('Per Invoice'!M$2:M$801,$W279)))</f>
        <v/>
      </c>
      <c r="N279" s="7">
        <f>IF($W279="","",IF(INDEX('Per Invoice'!N$2:N$801,$W279)="","",INDEX('Per Invoice'!N$2:N$801,$W279)))</f>
        <v/>
      </c>
      <c r="O279" s="7">
        <f>IF($W279="","",IF(INDEX('Per Invoice'!O$2:O$801,$W279)="","",INDEX('Per Invoice'!O$2:O$801,$W279)))</f>
        <v/>
      </c>
      <c r="P279">
        <f>IF($W279="","",IF(INDEX('Per Invoice'!P$2:P$801,$W279)="","",INDEX('Per Invoice'!P$2:P$801,$W279)))</f>
        <v/>
      </c>
      <c r="Q279" s="7">
        <f>IF($W279="","",IF(INDEX('Per Invoice'!Q$2:Q$801,$W279)="","",INDEX('Per Invoice'!Q$2:Q$801,$W279)))</f>
        <v/>
      </c>
      <c r="R279" s="7">
        <f>IF($W279="","",IF(INDEX('Per Invoice'!R$2:R$801,$W279)="","",INDEX('Per Invoice'!R$2:R$801,$W279)))</f>
        <v/>
      </c>
      <c r="S279" s="7">
        <f>IF($W279="","",IF(INDEX('Per Invoice'!S$2:S$801,$W279)="","",INDEX('Per Invoice'!S$2:S$801,$W279)))</f>
        <v/>
      </c>
      <c r="T279" s="7">
        <f>IF($W279="","",IF(INDEX('Per Invoice'!T$2:T$801,$W279)="","",INDEX('Per Invoice'!T$2:T$801,$W279)))</f>
        <v/>
      </c>
      <c r="U279" s="7">
        <f>IF($W279="","",IF(INDEX('Per Invoice'!U$2:U$801,$W279)="","",INDEX('Per Invoice'!U$2:U$801,$W279)))</f>
        <v/>
      </c>
      <c r="V279" s="7">
        <f>IF($W279="","",IF(INDEX('Per Invoice'!V$2:V$801,$W279)="","",INDEX('Per Invoice'!V$2:V$801,$W279)))</f>
        <v/>
      </c>
      <c r="W279" s="16">
        <f>IFERROR(MATCH(Settings!$C$27&amp;"|"&amp;ROWS($W$2:$W279),'Per Invoice'!$X$2:$X$801,0),"")</f>
        <v/>
      </c>
    </row>
    <row r="280">
      <c r="A280">
        <f>IF($W280="","",IF(INDEX('Per Invoice'!A$2:A$801,$W280)="","",INDEX('Per Invoice'!A$2:A$801,$W280)))</f>
        <v/>
      </c>
      <c r="B280">
        <f>IF($W280="","",IF(INDEX('Per Invoice'!B$2:B$801,$W280)="","",INDEX('Per Invoice'!B$2:B$801,$W280)))</f>
        <v/>
      </c>
      <c r="C280">
        <f>IF($W280="","",IF(INDEX('Per Invoice'!C$2:C$801,$W280)="","",INDEX('Per Invoice'!C$2:C$801,$W280)))</f>
        <v/>
      </c>
      <c r="D280">
        <f>IF($W280="","",IF(INDEX('Per Invoice'!D$2:D$801,$W280)="","",INDEX('Per Invoice'!D$2:D$801,$W280)))</f>
        <v/>
      </c>
      <c r="E280">
        <f>IF($W280="","",IF(INDEX('Per Invoice'!E$2:E$801,$W280)="","",INDEX('Per Invoice'!E$2:E$801,$W280)))</f>
        <v/>
      </c>
      <c r="F280">
        <f>IF($W280="","",IF(INDEX('Per Invoice'!F$2:F$801,$W280)="","",INDEX('Per Invoice'!F$2:F$801,$W280)))</f>
        <v/>
      </c>
      <c r="G280">
        <f>IF($W280="","",IF(INDEX('Per Invoice'!G$2:G$801,$W280)="","",INDEX('Per Invoice'!G$2:G$801,$W280)))</f>
        <v/>
      </c>
      <c r="H280">
        <f>IF($W280="","",IF(INDEX('Per Invoice'!H$2:H$801,$W280)="","",INDEX('Per Invoice'!H$2:H$801,$W280)))</f>
        <v/>
      </c>
      <c r="I280">
        <f>IF($W280="","",IF(INDEX('Per Invoice'!I$2:I$801,$W280)="","",INDEX('Per Invoice'!I$2:I$801,$W280)))</f>
        <v/>
      </c>
      <c r="J280">
        <f>IF($W280="","",IF(INDEX('Per Invoice'!J$2:J$801,$W280)="","",INDEX('Per Invoice'!J$2:J$801,$W280)))</f>
        <v/>
      </c>
      <c r="K280" s="7">
        <f>IF($W280="","",IF(INDEX('Per Invoice'!K$2:K$801,$W280)="","",INDEX('Per Invoice'!K$2:K$801,$W280)))</f>
        <v/>
      </c>
      <c r="L280" s="14">
        <f>IF($W280="","",IF(INDEX('Per Invoice'!L$2:L$801,$W280)="","",INDEX('Per Invoice'!L$2:L$801,$W280)))</f>
        <v/>
      </c>
      <c r="M280">
        <f>IF($W280="","",IF(INDEX('Per Invoice'!M$2:M$801,$W280)="","",INDEX('Per Invoice'!M$2:M$801,$W280)))</f>
        <v/>
      </c>
      <c r="N280" s="7">
        <f>IF($W280="","",IF(INDEX('Per Invoice'!N$2:N$801,$W280)="","",INDEX('Per Invoice'!N$2:N$801,$W280)))</f>
        <v/>
      </c>
      <c r="O280" s="7">
        <f>IF($W280="","",IF(INDEX('Per Invoice'!O$2:O$801,$W280)="","",INDEX('Per Invoice'!O$2:O$801,$W280)))</f>
        <v/>
      </c>
      <c r="P280">
        <f>IF($W280="","",IF(INDEX('Per Invoice'!P$2:P$801,$W280)="","",INDEX('Per Invoice'!P$2:P$801,$W280)))</f>
        <v/>
      </c>
      <c r="Q280" s="7">
        <f>IF($W280="","",IF(INDEX('Per Invoice'!Q$2:Q$801,$W280)="","",INDEX('Per Invoice'!Q$2:Q$801,$W280)))</f>
        <v/>
      </c>
      <c r="R280" s="7">
        <f>IF($W280="","",IF(INDEX('Per Invoice'!R$2:R$801,$W280)="","",INDEX('Per Invoice'!R$2:R$801,$W280)))</f>
        <v/>
      </c>
      <c r="S280" s="7">
        <f>IF($W280="","",IF(INDEX('Per Invoice'!S$2:S$801,$W280)="","",INDEX('Per Invoice'!S$2:S$801,$W280)))</f>
        <v/>
      </c>
      <c r="T280" s="7">
        <f>IF($W280="","",IF(INDEX('Per Invoice'!T$2:T$801,$W280)="","",INDEX('Per Invoice'!T$2:T$801,$W280)))</f>
        <v/>
      </c>
      <c r="U280" s="7">
        <f>IF($W280="","",IF(INDEX('Per Invoice'!U$2:U$801,$W280)="","",INDEX('Per Invoice'!U$2:U$801,$W280)))</f>
        <v/>
      </c>
      <c r="V280" s="7">
        <f>IF($W280="","",IF(INDEX('Per Invoice'!V$2:V$801,$W280)="","",INDEX('Per Invoice'!V$2:V$801,$W280)))</f>
        <v/>
      </c>
      <c r="W280" s="16">
        <f>IFERROR(MATCH(Settings!$C$27&amp;"|"&amp;ROWS($W$2:$W280),'Per Invoice'!$X$2:$X$801,0),"")</f>
        <v/>
      </c>
    </row>
    <row r="281">
      <c r="A281">
        <f>IF($W281="","",IF(INDEX('Per Invoice'!A$2:A$801,$W281)="","",INDEX('Per Invoice'!A$2:A$801,$W281)))</f>
        <v/>
      </c>
      <c r="B281">
        <f>IF($W281="","",IF(INDEX('Per Invoice'!B$2:B$801,$W281)="","",INDEX('Per Invoice'!B$2:B$801,$W281)))</f>
        <v/>
      </c>
      <c r="C281">
        <f>IF($W281="","",IF(INDEX('Per Invoice'!C$2:C$801,$W281)="","",INDEX('Per Invoice'!C$2:C$801,$W281)))</f>
        <v/>
      </c>
      <c r="D281">
        <f>IF($W281="","",IF(INDEX('Per Invoice'!D$2:D$801,$W281)="","",INDEX('Per Invoice'!D$2:D$801,$W281)))</f>
        <v/>
      </c>
      <c r="E281">
        <f>IF($W281="","",IF(INDEX('Per Invoice'!E$2:E$801,$W281)="","",INDEX('Per Invoice'!E$2:E$801,$W281)))</f>
        <v/>
      </c>
      <c r="F281">
        <f>IF($W281="","",IF(INDEX('Per Invoice'!F$2:F$801,$W281)="","",INDEX('Per Invoice'!F$2:F$801,$W281)))</f>
        <v/>
      </c>
      <c r="G281">
        <f>IF($W281="","",IF(INDEX('Per Invoice'!G$2:G$801,$W281)="","",INDEX('Per Invoice'!G$2:G$801,$W281)))</f>
        <v/>
      </c>
      <c r="H281">
        <f>IF($W281="","",IF(INDEX('Per Invoice'!H$2:H$801,$W281)="","",INDEX('Per Invoice'!H$2:H$801,$W281)))</f>
        <v/>
      </c>
      <c r="I281">
        <f>IF($W281="","",IF(INDEX('Per Invoice'!I$2:I$801,$W281)="","",INDEX('Per Invoice'!I$2:I$801,$W281)))</f>
        <v/>
      </c>
      <c r="J281">
        <f>IF($W281="","",IF(INDEX('Per Invoice'!J$2:J$801,$W281)="","",INDEX('Per Invoice'!J$2:J$801,$W281)))</f>
        <v/>
      </c>
      <c r="K281" s="7">
        <f>IF($W281="","",IF(INDEX('Per Invoice'!K$2:K$801,$W281)="","",INDEX('Per Invoice'!K$2:K$801,$W281)))</f>
        <v/>
      </c>
      <c r="L281" s="14">
        <f>IF($W281="","",IF(INDEX('Per Invoice'!L$2:L$801,$W281)="","",INDEX('Per Invoice'!L$2:L$801,$W281)))</f>
        <v/>
      </c>
      <c r="M281">
        <f>IF($W281="","",IF(INDEX('Per Invoice'!M$2:M$801,$W281)="","",INDEX('Per Invoice'!M$2:M$801,$W281)))</f>
        <v/>
      </c>
      <c r="N281" s="7">
        <f>IF($W281="","",IF(INDEX('Per Invoice'!N$2:N$801,$W281)="","",INDEX('Per Invoice'!N$2:N$801,$W281)))</f>
        <v/>
      </c>
      <c r="O281" s="7">
        <f>IF($W281="","",IF(INDEX('Per Invoice'!O$2:O$801,$W281)="","",INDEX('Per Invoice'!O$2:O$801,$W281)))</f>
        <v/>
      </c>
      <c r="P281">
        <f>IF($W281="","",IF(INDEX('Per Invoice'!P$2:P$801,$W281)="","",INDEX('Per Invoice'!P$2:P$801,$W281)))</f>
        <v/>
      </c>
      <c r="Q281" s="7">
        <f>IF($W281="","",IF(INDEX('Per Invoice'!Q$2:Q$801,$W281)="","",INDEX('Per Invoice'!Q$2:Q$801,$W281)))</f>
        <v/>
      </c>
      <c r="R281" s="7">
        <f>IF($W281="","",IF(INDEX('Per Invoice'!R$2:R$801,$W281)="","",INDEX('Per Invoice'!R$2:R$801,$W281)))</f>
        <v/>
      </c>
      <c r="S281" s="7">
        <f>IF($W281="","",IF(INDEX('Per Invoice'!S$2:S$801,$W281)="","",INDEX('Per Invoice'!S$2:S$801,$W281)))</f>
        <v/>
      </c>
      <c r="T281" s="7">
        <f>IF($W281="","",IF(INDEX('Per Invoice'!T$2:T$801,$W281)="","",INDEX('Per Invoice'!T$2:T$801,$W281)))</f>
        <v/>
      </c>
      <c r="U281" s="7">
        <f>IF($W281="","",IF(INDEX('Per Invoice'!U$2:U$801,$W281)="","",INDEX('Per Invoice'!U$2:U$801,$W281)))</f>
        <v/>
      </c>
      <c r="V281" s="7">
        <f>IF($W281="","",IF(INDEX('Per Invoice'!V$2:V$801,$W281)="","",INDEX('Per Invoice'!V$2:V$801,$W281)))</f>
        <v/>
      </c>
      <c r="W281" s="16">
        <f>IFERROR(MATCH(Settings!$C$27&amp;"|"&amp;ROWS($W$2:$W281),'Per Invoice'!$X$2:$X$801,0),"")</f>
        <v/>
      </c>
    </row>
    <row r="282">
      <c r="A282">
        <f>IF($W282="","",IF(INDEX('Per Invoice'!A$2:A$801,$W282)="","",INDEX('Per Invoice'!A$2:A$801,$W282)))</f>
        <v/>
      </c>
      <c r="B282">
        <f>IF($W282="","",IF(INDEX('Per Invoice'!B$2:B$801,$W282)="","",INDEX('Per Invoice'!B$2:B$801,$W282)))</f>
        <v/>
      </c>
      <c r="C282">
        <f>IF($W282="","",IF(INDEX('Per Invoice'!C$2:C$801,$W282)="","",INDEX('Per Invoice'!C$2:C$801,$W282)))</f>
        <v/>
      </c>
      <c r="D282">
        <f>IF($W282="","",IF(INDEX('Per Invoice'!D$2:D$801,$W282)="","",INDEX('Per Invoice'!D$2:D$801,$W282)))</f>
        <v/>
      </c>
      <c r="E282">
        <f>IF($W282="","",IF(INDEX('Per Invoice'!E$2:E$801,$W282)="","",INDEX('Per Invoice'!E$2:E$801,$W282)))</f>
        <v/>
      </c>
      <c r="F282">
        <f>IF($W282="","",IF(INDEX('Per Invoice'!F$2:F$801,$W282)="","",INDEX('Per Invoice'!F$2:F$801,$W282)))</f>
        <v/>
      </c>
      <c r="G282">
        <f>IF($W282="","",IF(INDEX('Per Invoice'!G$2:G$801,$W282)="","",INDEX('Per Invoice'!G$2:G$801,$W282)))</f>
        <v/>
      </c>
      <c r="H282">
        <f>IF($W282="","",IF(INDEX('Per Invoice'!H$2:H$801,$W282)="","",INDEX('Per Invoice'!H$2:H$801,$W282)))</f>
        <v/>
      </c>
      <c r="I282">
        <f>IF($W282="","",IF(INDEX('Per Invoice'!I$2:I$801,$W282)="","",INDEX('Per Invoice'!I$2:I$801,$W282)))</f>
        <v/>
      </c>
      <c r="J282">
        <f>IF($W282="","",IF(INDEX('Per Invoice'!J$2:J$801,$W282)="","",INDEX('Per Invoice'!J$2:J$801,$W282)))</f>
        <v/>
      </c>
      <c r="K282" s="7">
        <f>IF($W282="","",IF(INDEX('Per Invoice'!K$2:K$801,$W282)="","",INDEX('Per Invoice'!K$2:K$801,$W282)))</f>
        <v/>
      </c>
      <c r="L282" s="14">
        <f>IF($W282="","",IF(INDEX('Per Invoice'!L$2:L$801,$W282)="","",INDEX('Per Invoice'!L$2:L$801,$W282)))</f>
        <v/>
      </c>
      <c r="M282">
        <f>IF($W282="","",IF(INDEX('Per Invoice'!M$2:M$801,$W282)="","",INDEX('Per Invoice'!M$2:M$801,$W282)))</f>
        <v/>
      </c>
      <c r="N282" s="7">
        <f>IF($W282="","",IF(INDEX('Per Invoice'!N$2:N$801,$W282)="","",INDEX('Per Invoice'!N$2:N$801,$W282)))</f>
        <v/>
      </c>
      <c r="O282" s="7">
        <f>IF($W282="","",IF(INDEX('Per Invoice'!O$2:O$801,$W282)="","",INDEX('Per Invoice'!O$2:O$801,$W282)))</f>
        <v/>
      </c>
      <c r="P282">
        <f>IF($W282="","",IF(INDEX('Per Invoice'!P$2:P$801,$W282)="","",INDEX('Per Invoice'!P$2:P$801,$W282)))</f>
        <v/>
      </c>
      <c r="Q282" s="7">
        <f>IF($W282="","",IF(INDEX('Per Invoice'!Q$2:Q$801,$W282)="","",INDEX('Per Invoice'!Q$2:Q$801,$W282)))</f>
        <v/>
      </c>
      <c r="R282" s="7">
        <f>IF($W282="","",IF(INDEX('Per Invoice'!R$2:R$801,$W282)="","",INDEX('Per Invoice'!R$2:R$801,$W282)))</f>
        <v/>
      </c>
      <c r="S282" s="7">
        <f>IF($W282="","",IF(INDEX('Per Invoice'!S$2:S$801,$W282)="","",INDEX('Per Invoice'!S$2:S$801,$W282)))</f>
        <v/>
      </c>
      <c r="T282" s="7">
        <f>IF($W282="","",IF(INDEX('Per Invoice'!T$2:T$801,$W282)="","",INDEX('Per Invoice'!T$2:T$801,$W282)))</f>
        <v/>
      </c>
      <c r="U282" s="7">
        <f>IF($W282="","",IF(INDEX('Per Invoice'!U$2:U$801,$W282)="","",INDEX('Per Invoice'!U$2:U$801,$W282)))</f>
        <v/>
      </c>
      <c r="V282" s="7">
        <f>IF($W282="","",IF(INDEX('Per Invoice'!V$2:V$801,$W282)="","",INDEX('Per Invoice'!V$2:V$801,$W282)))</f>
        <v/>
      </c>
      <c r="W282" s="16">
        <f>IFERROR(MATCH(Settings!$C$27&amp;"|"&amp;ROWS($W$2:$W282),'Per Invoice'!$X$2:$X$801,0),"")</f>
        <v/>
      </c>
    </row>
    <row r="283">
      <c r="A283">
        <f>IF($W283="","",IF(INDEX('Per Invoice'!A$2:A$801,$W283)="","",INDEX('Per Invoice'!A$2:A$801,$W283)))</f>
        <v/>
      </c>
      <c r="B283">
        <f>IF($W283="","",IF(INDEX('Per Invoice'!B$2:B$801,$W283)="","",INDEX('Per Invoice'!B$2:B$801,$W283)))</f>
        <v/>
      </c>
      <c r="C283">
        <f>IF($W283="","",IF(INDEX('Per Invoice'!C$2:C$801,$W283)="","",INDEX('Per Invoice'!C$2:C$801,$W283)))</f>
        <v/>
      </c>
      <c r="D283">
        <f>IF($W283="","",IF(INDEX('Per Invoice'!D$2:D$801,$W283)="","",INDEX('Per Invoice'!D$2:D$801,$W283)))</f>
        <v/>
      </c>
      <c r="E283">
        <f>IF($W283="","",IF(INDEX('Per Invoice'!E$2:E$801,$W283)="","",INDEX('Per Invoice'!E$2:E$801,$W283)))</f>
        <v/>
      </c>
      <c r="F283">
        <f>IF($W283="","",IF(INDEX('Per Invoice'!F$2:F$801,$W283)="","",INDEX('Per Invoice'!F$2:F$801,$W283)))</f>
        <v/>
      </c>
      <c r="G283">
        <f>IF($W283="","",IF(INDEX('Per Invoice'!G$2:G$801,$W283)="","",INDEX('Per Invoice'!G$2:G$801,$W283)))</f>
        <v/>
      </c>
      <c r="H283">
        <f>IF($W283="","",IF(INDEX('Per Invoice'!H$2:H$801,$W283)="","",INDEX('Per Invoice'!H$2:H$801,$W283)))</f>
        <v/>
      </c>
      <c r="I283">
        <f>IF($W283="","",IF(INDEX('Per Invoice'!I$2:I$801,$W283)="","",INDEX('Per Invoice'!I$2:I$801,$W283)))</f>
        <v/>
      </c>
      <c r="J283">
        <f>IF($W283="","",IF(INDEX('Per Invoice'!J$2:J$801,$W283)="","",INDEX('Per Invoice'!J$2:J$801,$W283)))</f>
        <v/>
      </c>
      <c r="K283" s="7">
        <f>IF($W283="","",IF(INDEX('Per Invoice'!K$2:K$801,$W283)="","",INDEX('Per Invoice'!K$2:K$801,$W283)))</f>
        <v/>
      </c>
      <c r="L283" s="14">
        <f>IF($W283="","",IF(INDEX('Per Invoice'!L$2:L$801,$W283)="","",INDEX('Per Invoice'!L$2:L$801,$W283)))</f>
        <v/>
      </c>
      <c r="M283">
        <f>IF($W283="","",IF(INDEX('Per Invoice'!M$2:M$801,$W283)="","",INDEX('Per Invoice'!M$2:M$801,$W283)))</f>
        <v/>
      </c>
      <c r="N283" s="7">
        <f>IF($W283="","",IF(INDEX('Per Invoice'!N$2:N$801,$W283)="","",INDEX('Per Invoice'!N$2:N$801,$W283)))</f>
        <v/>
      </c>
      <c r="O283" s="7">
        <f>IF($W283="","",IF(INDEX('Per Invoice'!O$2:O$801,$W283)="","",INDEX('Per Invoice'!O$2:O$801,$W283)))</f>
        <v/>
      </c>
      <c r="P283">
        <f>IF($W283="","",IF(INDEX('Per Invoice'!P$2:P$801,$W283)="","",INDEX('Per Invoice'!P$2:P$801,$W283)))</f>
        <v/>
      </c>
      <c r="Q283" s="7">
        <f>IF($W283="","",IF(INDEX('Per Invoice'!Q$2:Q$801,$W283)="","",INDEX('Per Invoice'!Q$2:Q$801,$W283)))</f>
        <v/>
      </c>
      <c r="R283" s="7">
        <f>IF($W283="","",IF(INDEX('Per Invoice'!R$2:R$801,$W283)="","",INDEX('Per Invoice'!R$2:R$801,$W283)))</f>
        <v/>
      </c>
      <c r="S283" s="7">
        <f>IF($W283="","",IF(INDEX('Per Invoice'!S$2:S$801,$W283)="","",INDEX('Per Invoice'!S$2:S$801,$W283)))</f>
        <v/>
      </c>
      <c r="T283" s="7">
        <f>IF($W283="","",IF(INDEX('Per Invoice'!T$2:T$801,$W283)="","",INDEX('Per Invoice'!T$2:T$801,$W283)))</f>
        <v/>
      </c>
      <c r="U283" s="7">
        <f>IF($W283="","",IF(INDEX('Per Invoice'!U$2:U$801,$W283)="","",INDEX('Per Invoice'!U$2:U$801,$W283)))</f>
        <v/>
      </c>
      <c r="V283" s="7">
        <f>IF($W283="","",IF(INDEX('Per Invoice'!V$2:V$801,$W283)="","",INDEX('Per Invoice'!V$2:V$801,$W283)))</f>
        <v/>
      </c>
      <c r="W283" s="16">
        <f>IFERROR(MATCH(Settings!$C$27&amp;"|"&amp;ROWS($W$2:$W283),'Per Invoice'!$X$2:$X$801,0),"")</f>
        <v/>
      </c>
    </row>
    <row r="284">
      <c r="A284">
        <f>IF($W284="","",IF(INDEX('Per Invoice'!A$2:A$801,$W284)="","",INDEX('Per Invoice'!A$2:A$801,$W284)))</f>
        <v/>
      </c>
      <c r="B284">
        <f>IF($W284="","",IF(INDEX('Per Invoice'!B$2:B$801,$W284)="","",INDEX('Per Invoice'!B$2:B$801,$W284)))</f>
        <v/>
      </c>
      <c r="C284">
        <f>IF($W284="","",IF(INDEX('Per Invoice'!C$2:C$801,$W284)="","",INDEX('Per Invoice'!C$2:C$801,$W284)))</f>
        <v/>
      </c>
      <c r="D284">
        <f>IF($W284="","",IF(INDEX('Per Invoice'!D$2:D$801,$W284)="","",INDEX('Per Invoice'!D$2:D$801,$W284)))</f>
        <v/>
      </c>
      <c r="E284">
        <f>IF($W284="","",IF(INDEX('Per Invoice'!E$2:E$801,$W284)="","",INDEX('Per Invoice'!E$2:E$801,$W284)))</f>
        <v/>
      </c>
      <c r="F284">
        <f>IF($W284="","",IF(INDEX('Per Invoice'!F$2:F$801,$W284)="","",INDEX('Per Invoice'!F$2:F$801,$W284)))</f>
        <v/>
      </c>
      <c r="G284">
        <f>IF($W284="","",IF(INDEX('Per Invoice'!G$2:G$801,$W284)="","",INDEX('Per Invoice'!G$2:G$801,$W284)))</f>
        <v/>
      </c>
      <c r="H284">
        <f>IF($W284="","",IF(INDEX('Per Invoice'!H$2:H$801,$W284)="","",INDEX('Per Invoice'!H$2:H$801,$W284)))</f>
        <v/>
      </c>
      <c r="I284">
        <f>IF($W284="","",IF(INDEX('Per Invoice'!I$2:I$801,$W284)="","",INDEX('Per Invoice'!I$2:I$801,$W284)))</f>
        <v/>
      </c>
      <c r="J284">
        <f>IF($W284="","",IF(INDEX('Per Invoice'!J$2:J$801,$W284)="","",INDEX('Per Invoice'!J$2:J$801,$W284)))</f>
        <v/>
      </c>
      <c r="K284" s="7">
        <f>IF($W284="","",IF(INDEX('Per Invoice'!K$2:K$801,$W284)="","",INDEX('Per Invoice'!K$2:K$801,$W284)))</f>
        <v/>
      </c>
      <c r="L284" s="14">
        <f>IF($W284="","",IF(INDEX('Per Invoice'!L$2:L$801,$W284)="","",INDEX('Per Invoice'!L$2:L$801,$W284)))</f>
        <v/>
      </c>
      <c r="M284">
        <f>IF($W284="","",IF(INDEX('Per Invoice'!M$2:M$801,$W284)="","",INDEX('Per Invoice'!M$2:M$801,$W284)))</f>
        <v/>
      </c>
      <c r="N284" s="7">
        <f>IF($W284="","",IF(INDEX('Per Invoice'!N$2:N$801,$W284)="","",INDEX('Per Invoice'!N$2:N$801,$W284)))</f>
        <v/>
      </c>
      <c r="O284" s="7">
        <f>IF($W284="","",IF(INDEX('Per Invoice'!O$2:O$801,$W284)="","",INDEX('Per Invoice'!O$2:O$801,$W284)))</f>
        <v/>
      </c>
      <c r="P284">
        <f>IF($W284="","",IF(INDEX('Per Invoice'!P$2:P$801,$W284)="","",INDEX('Per Invoice'!P$2:P$801,$W284)))</f>
        <v/>
      </c>
      <c r="Q284" s="7">
        <f>IF($W284="","",IF(INDEX('Per Invoice'!Q$2:Q$801,$W284)="","",INDEX('Per Invoice'!Q$2:Q$801,$W284)))</f>
        <v/>
      </c>
      <c r="R284" s="7">
        <f>IF($W284="","",IF(INDEX('Per Invoice'!R$2:R$801,$W284)="","",INDEX('Per Invoice'!R$2:R$801,$W284)))</f>
        <v/>
      </c>
      <c r="S284" s="7">
        <f>IF($W284="","",IF(INDEX('Per Invoice'!S$2:S$801,$W284)="","",INDEX('Per Invoice'!S$2:S$801,$W284)))</f>
        <v/>
      </c>
      <c r="T284" s="7">
        <f>IF($W284="","",IF(INDEX('Per Invoice'!T$2:T$801,$W284)="","",INDEX('Per Invoice'!T$2:T$801,$W284)))</f>
        <v/>
      </c>
      <c r="U284" s="7">
        <f>IF($W284="","",IF(INDEX('Per Invoice'!U$2:U$801,$W284)="","",INDEX('Per Invoice'!U$2:U$801,$W284)))</f>
        <v/>
      </c>
      <c r="V284" s="7">
        <f>IF($W284="","",IF(INDEX('Per Invoice'!V$2:V$801,$W284)="","",INDEX('Per Invoice'!V$2:V$801,$W284)))</f>
        <v/>
      </c>
      <c r="W284" s="16">
        <f>IFERROR(MATCH(Settings!$C$27&amp;"|"&amp;ROWS($W$2:$W284),'Per Invoice'!$X$2:$X$801,0),"")</f>
        <v/>
      </c>
    </row>
    <row r="285">
      <c r="A285">
        <f>IF($W285="","",IF(INDEX('Per Invoice'!A$2:A$801,$W285)="","",INDEX('Per Invoice'!A$2:A$801,$W285)))</f>
        <v/>
      </c>
      <c r="B285">
        <f>IF($W285="","",IF(INDEX('Per Invoice'!B$2:B$801,$W285)="","",INDEX('Per Invoice'!B$2:B$801,$W285)))</f>
        <v/>
      </c>
      <c r="C285">
        <f>IF($W285="","",IF(INDEX('Per Invoice'!C$2:C$801,$W285)="","",INDEX('Per Invoice'!C$2:C$801,$W285)))</f>
        <v/>
      </c>
      <c r="D285">
        <f>IF($W285="","",IF(INDEX('Per Invoice'!D$2:D$801,$W285)="","",INDEX('Per Invoice'!D$2:D$801,$W285)))</f>
        <v/>
      </c>
      <c r="E285">
        <f>IF($W285="","",IF(INDEX('Per Invoice'!E$2:E$801,$W285)="","",INDEX('Per Invoice'!E$2:E$801,$W285)))</f>
        <v/>
      </c>
      <c r="F285">
        <f>IF($W285="","",IF(INDEX('Per Invoice'!F$2:F$801,$W285)="","",INDEX('Per Invoice'!F$2:F$801,$W285)))</f>
        <v/>
      </c>
      <c r="G285">
        <f>IF($W285="","",IF(INDEX('Per Invoice'!G$2:G$801,$W285)="","",INDEX('Per Invoice'!G$2:G$801,$W285)))</f>
        <v/>
      </c>
      <c r="H285">
        <f>IF($W285="","",IF(INDEX('Per Invoice'!H$2:H$801,$W285)="","",INDEX('Per Invoice'!H$2:H$801,$W285)))</f>
        <v/>
      </c>
      <c r="I285">
        <f>IF($W285="","",IF(INDEX('Per Invoice'!I$2:I$801,$W285)="","",INDEX('Per Invoice'!I$2:I$801,$W285)))</f>
        <v/>
      </c>
      <c r="J285">
        <f>IF($W285="","",IF(INDEX('Per Invoice'!J$2:J$801,$W285)="","",INDEX('Per Invoice'!J$2:J$801,$W285)))</f>
        <v/>
      </c>
      <c r="K285" s="7">
        <f>IF($W285="","",IF(INDEX('Per Invoice'!K$2:K$801,$W285)="","",INDEX('Per Invoice'!K$2:K$801,$W285)))</f>
        <v/>
      </c>
      <c r="L285" s="14">
        <f>IF($W285="","",IF(INDEX('Per Invoice'!L$2:L$801,$W285)="","",INDEX('Per Invoice'!L$2:L$801,$W285)))</f>
        <v/>
      </c>
      <c r="M285">
        <f>IF($W285="","",IF(INDEX('Per Invoice'!M$2:M$801,$W285)="","",INDEX('Per Invoice'!M$2:M$801,$W285)))</f>
        <v/>
      </c>
      <c r="N285" s="7">
        <f>IF($W285="","",IF(INDEX('Per Invoice'!N$2:N$801,$W285)="","",INDEX('Per Invoice'!N$2:N$801,$W285)))</f>
        <v/>
      </c>
      <c r="O285" s="7">
        <f>IF($W285="","",IF(INDEX('Per Invoice'!O$2:O$801,$W285)="","",INDEX('Per Invoice'!O$2:O$801,$W285)))</f>
        <v/>
      </c>
      <c r="P285">
        <f>IF($W285="","",IF(INDEX('Per Invoice'!P$2:P$801,$W285)="","",INDEX('Per Invoice'!P$2:P$801,$W285)))</f>
        <v/>
      </c>
      <c r="Q285" s="7">
        <f>IF($W285="","",IF(INDEX('Per Invoice'!Q$2:Q$801,$W285)="","",INDEX('Per Invoice'!Q$2:Q$801,$W285)))</f>
        <v/>
      </c>
      <c r="R285" s="7">
        <f>IF($W285="","",IF(INDEX('Per Invoice'!R$2:R$801,$W285)="","",INDEX('Per Invoice'!R$2:R$801,$W285)))</f>
        <v/>
      </c>
      <c r="S285" s="7">
        <f>IF($W285="","",IF(INDEX('Per Invoice'!S$2:S$801,$W285)="","",INDEX('Per Invoice'!S$2:S$801,$W285)))</f>
        <v/>
      </c>
      <c r="T285" s="7">
        <f>IF($W285="","",IF(INDEX('Per Invoice'!T$2:T$801,$W285)="","",INDEX('Per Invoice'!T$2:T$801,$W285)))</f>
        <v/>
      </c>
      <c r="U285" s="7">
        <f>IF($W285="","",IF(INDEX('Per Invoice'!U$2:U$801,$W285)="","",INDEX('Per Invoice'!U$2:U$801,$W285)))</f>
        <v/>
      </c>
      <c r="V285" s="7">
        <f>IF($W285="","",IF(INDEX('Per Invoice'!V$2:V$801,$W285)="","",INDEX('Per Invoice'!V$2:V$801,$W285)))</f>
        <v/>
      </c>
      <c r="W285" s="16">
        <f>IFERROR(MATCH(Settings!$C$27&amp;"|"&amp;ROWS($W$2:$W285),'Per Invoice'!$X$2:$X$801,0),"")</f>
        <v/>
      </c>
    </row>
    <row r="286">
      <c r="A286">
        <f>IF($W286="","",IF(INDEX('Per Invoice'!A$2:A$801,$W286)="","",INDEX('Per Invoice'!A$2:A$801,$W286)))</f>
        <v/>
      </c>
      <c r="B286">
        <f>IF($W286="","",IF(INDEX('Per Invoice'!B$2:B$801,$W286)="","",INDEX('Per Invoice'!B$2:B$801,$W286)))</f>
        <v/>
      </c>
      <c r="C286">
        <f>IF($W286="","",IF(INDEX('Per Invoice'!C$2:C$801,$W286)="","",INDEX('Per Invoice'!C$2:C$801,$W286)))</f>
        <v/>
      </c>
      <c r="D286">
        <f>IF($W286="","",IF(INDEX('Per Invoice'!D$2:D$801,$W286)="","",INDEX('Per Invoice'!D$2:D$801,$W286)))</f>
        <v/>
      </c>
      <c r="E286">
        <f>IF($W286="","",IF(INDEX('Per Invoice'!E$2:E$801,$W286)="","",INDEX('Per Invoice'!E$2:E$801,$W286)))</f>
        <v/>
      </c>
      <c r="F286">
        <f>IF($W286="","",IF(INDEX('Per Invoice'!F$2:F$801,$W286)="","",INDEX('Per Invoice'!F$2:F$801,$W286)))</f>
        <v/>
      </c>
      <c r="G286">
        <f>IF($W286="","",IF(INDEX('Per Invoice'!G$2:G$801,$W286)="","",INDEX('Per Invoice'!G$2:G$801,$W286)))</f>
        <v/>
      </c>
      <c r="H286">
        <f>IF($W286="","",IF(INDEX('Per Invoice'!H$2:H$801,$W286)="","",INDEX('Per Invoice'!H$2:H$801,$W286)))</f>
        <v/>
      </c>
      <c r="I286">
        <f>IF($W286="","",IF(INDEX('Per Invoice'!I$2:I$801,$W286)="","",INDEX('Per Invoice'!I$2:I$801,$W286)))</f>
        <v/>
      </c>
      <c r="J286">
        <f>IF($W286="","",IF(INDEX('Per Invoice'!J$2:J$801,$W286)="","",INDEX('Per Invoice'!J$2:J$801,$W286)))</f>
        <v/>
      </c>
      <c r="K286" s="7">
        <f>IF($W286="","",IF(INDEX('Per Invoice'!K$2:K$801,$W286)="","",INDEX('Per Invoice'!K$2:K$801,$W286)))</f>
        <v/>
      </c>
      <c r="L286" s="14">
        <f>IF($W286="","",IF(INDEX('Per Invoice'!L$2:L$801,$W286)="","",INDEX('Per Invoice'!L$2:L$801,$W286)))</f>
        <v/>
      </c>
      <c r="M286">
        <f>IF($W286="","",IF(INDEX('Per Invoice'!M$2:M$801,$W286)="","",INDEX('Per Invoice'!M$2:M$801,$W286)))</f>
        <v/>
      </c>
      <c r="N286" s="7">
        <f>IF($W286="","",IF(INDEX('Per Invoice'!N$2:N$801,$W286)="","",INDEX('Per Invoice'!N$2:N$801,$W286)))</f>
        <v/>
      </c>
      <c r="O286" s="7">
        <f>IF($W286="","",IF(INDEX('Per Invoice'!O$2:O$801,$W286)="","",INDEX('Per Invoice'!O$2:O$801,$W286)))</f>
        <v/>
      </c>
      <c r="P286">
        <f>IF($W286="","",IF(INDEX('Per Invoice'!P$2:P$801,$W286)="","",INDEX('Per Invoice'!P$2:P$801,$W286)))</f>
        <v/>
      </c>
      <c r="Q286" s="7">
        <f>IF($W286="","",IF(INDEX('Per Invoice'!Q$2:Q$801,$W286)="","",INDEX('Per Invoice'!Q$2:Q$801,$W286)))</f>
        <v/>
      </c>
      <c r="R286" s="7">
        <f>IF($W286="","",IF(INDEX('Per Invoice'!R$2:R$801,$W286)="","",INDEX('Per Invoice'!R$2:R$801,$W286)))</f>
        <v/>
      </c>
      <c r="S286" s="7">
        <f>IF($W286="","",IF(INDEX('Per Invoice'!S$2:S$801,$W286)="","",INDEX('Per Invoice'!S$2:S$801,$W286)))</f>
        <v/>
      </c>
      <c r="T286" s="7">
        <f>IF($W286="","",IF(INDEX('Per Invoice'!T$2:T$801,$W286)="","",INDEX('Per Invoice'!T$2:T$801,$W286)))</f>
        <v/>
      </c>
      <c r="U286" s="7">
        <f>IF($W286="","",IF(INDEX('Per Invoice'!U$2:U$801,$W286)="","",INDEX('Per Invoice'!U$2:U$801,$W286)))</f>
        <v/>
      </c>
      <c r="V286" s="7">
        <f>IF($W286="","",IF(INDEX('Per Invoice'!V$2:V$801,$W286)="","",INDEX('Per Invoice'!V$2:V$801,$W286)))</f>
        <v/>
      </c>
      <c r="W286" s="16">
        <f>IFERROR(MATCH(Settings!$C$27&amp;"|"&amp;ROWS($W$2:$W286),'Per Invoice'!$X$2:$X$801,0),"")</f>
        <v/>
      </c>
    </row>
    <row r="287">
      <c r="A287">
        <f>IF($W287="","",IF(INDEX('Per Invoice'!A$2:A$801,$W287)="","",INDEX('Per Invoice'!A$2:A$801,$W287)))</f>
        <v/>
      </c>
      <c r="B287">
        <f>IF($W287="","",IF(INDEX('Per Invoice'!B$2:B$801,$W287)="","",INDEX('Per Invoice'!B$2:B$801,$W287)))</f>
        <v/>
      </c>
      <c r="C287">
        <f>IF($W287="","",IF(INDEX('Per Invoice'!C$2:C$801,$W287)="","",INDEX('Per Invoice'!C$2:C$801,$W287)))</f>
        <v/>
      </c>
      <c r="D287">
        <f>IF($W287="","",IF(INDEX('Per Invoice'!D$2:D$801,$W287)="","",INDEX('Per Invoice'!D$2:D$801,$W287)))</f>
        <v/>
      </c>
      <c r="E287">
        <f>IF($W287="","",IF(INDEX('Per Invoice'!E$2:E$801,$W287)="","",INDEX('Per Invoice'!E$2:E$801,$W287)))</f>
        <v/>
      </c>
      <c r="F287">
        <f>IF($W287="","",IF(INDEX('Per Invoice'!F$2:F$801,$W287)="","",INDEX('Per Invoice'!F$2:F$801,$W287)))</f>
        <v/>
      </c>
      <c r="G287">
        <f>IF($W287="","",IF(INDEX('Per Invoice'!G$2:G$801,$W287)="","",INDEX('Per Invoice'!G$2:G$801,$W287)))</f>
        <v/>
      </c>
      <c r="H287">
        <f>IF($W287="","",IF(INDEX('Per Invoice'!H$2:H$801,$W287)="","",INDEX('Per Invoice'!H$2:H$801,$W287)))</f>
        <v/>
      </c>
      <c r="I287">
        <f>IF($W287="","",IF(INDEX('Per Invoice'!I$2:I$801,$W287)="","",INDEX('Per Invoice'!I$2:I$801,$W287)))</f>
        <v/>
      </c>
      <c r="J287">
        <f>IF($W287="","",IF(INDEX('Per Invoice'!J$2:J$801,$W287)="","",INDEX('Per Invoice'!J$2:J$801,$W287)))</f>
        <v/>
      </c>
      <c r="K287" s="7">
        <f>IF($W287="","",IF(INDEX('Per Invoice'!K$2:K$801,$W287)="","",INDEX('Per Invoice'!K$2:K$801,$W287)))</f>
        <v/>
      </c>
      <c r="L287" s="14">
        <f>IF($W287="","",IF(INDEX('Per Invoice'!L$2:L$801,$W287)="","",INDEX('Per Invoice'!L$2:L$801,$W287)))</f>
        <v/>
      </c>
      <c r="M287">
        <f>IF($W287="","",IF(INDEX('Per Invoice'!M$2:M$801,$W287)="","",INDEX('Per Invoice'!M$2:M$801,$W287)))</f>
        <v/>
      </c>
      <c r="N287" s="7">
        <f>IF($W287="","",IF(INDEX('Per Invoice'!N$2:N$801,$W287)="","",INDEX('Per Invoice'!N$2:N$801,$W287)))</f>
        <v/>
      </c>
      <c r="O287" s="7">
        <f>IF($W287="","",IF(INDEX('Per Invoice'!O$2:O$801,$W287)="","",INDEX('Per Invoice'!O$2:O$801,$W287)))</f>
        <v/>
      </c>
      <c r="P287">
        <f>IF($W287="","",IF(INDEX('Per Invoice'!P$2:P$801,$W287)="","",INDEX('Per Invoice'!P$2:P$801,$W287)))</f>
        <v/>
      </c>
      <c r="Q287" s="7">
        <f>IF($W287="","",IF(INDEX('Per Invoice'!Q$2:Q$801,$W287)="","",INDEX('Per Invoice'!Q$2:Q$801,$W287)))</f>
        <v/>
      </c>
      <c r="R287" s="7">
        <f>IF($W287="","",IF(INDEX('Per Invoice'!R$2:R$801,$W287)="","",INDEX('Per Invoice'!R$2:R$801,$W287)))</f>
        <v/>
      </c>
      <c r="S287" s="7">
        <f>IF($W287="","",IF(INDEX('Per Invoice'!S$2:S$801,$W287)="","",INDEX('Per Invoice'!S$2:S$801,$W287)))</f>
        <v/>
      </c>
      <c r="T287" s="7">
        <f>IF($W287="","",IF(INDEX('Per Invoice'!T$2:T$801,$W287)="","",INDEX('Per Invoice'!T$2:T$801,$W287)))</f>
        <v/>
      </c>
      <c r="U287" s="7">
        <f>IF($W287="","",IF(INDEX('Per Invoice'!U$2:U$801,$W287)="","",INDEX('Per Invoice'!U$2:U$801,$W287)))</f>
        <v/>
      </c>
      <c r="V287" s="7">
        <f>IF($W287="","",IF(INDEX('Per Invoice'!V$2:V$801,$W287)="","",INDEX('Per Invoice'!V$2:V$801,$W287)))</f>
        <v/>
      </c>
      <c r="W287" s="16">
        <f>IFERROR(MATCH(Settings!$C$27&amp;"|"&amp;ROWS($W$2:$W287),'Per Invoice'!$X$2:$X$801,0),"")</f>
        <v/>
      </c>
    </row>
    <row r="288">
      <c r="A288">
        <f>IF($W288="","",IF(INDEX('Per Invoice'!A$2:A$801,$W288)="","",INDEX('Per Invoice'!A$2:A$801,$W288)))</f>
        <v/>
      </c>
      <c r="B288">
        <f>IF($W288="","",IF(INDEX('Per Invoice'!B$2:B$801,$W288)="","",INDEX('Per Invoice'!B$2:B$801,$W288)))</f>
        <v/>
      </c>
      <c r="C288">
        <f>IF($W288="","",IF(INDEX('Per Invoice'!C$2:C$801,$W288)="","",INDEX('Per Invoice'!C$2:C$801,$W288)))</f>
        <v/>
      </c>
      <c r="D288">
        <f>IF($W288="","",IF(INDEX('Per Invoice'!D$2:D$801,$W288)="","",INDEX('Per Invoice'!D$2:D$801,$W288)))</f>
        <v/>
      </c>
      <c r="E288">
        <f>IF($W288="","",IF(INDEX('Per Invoice'!E$2:E$801,$W288)="","",INDEX('Per Invoice'!E$2:E$801,$W288)))</f>
        <v/>
      </c>
      <c r="F288">
        <f>IF($W288="","",IF(INDEX('Per Invoice'!F$2:F$801,$W288)="","",INDEX('Per Invoice'!F$2:F$801,$W288)))</f>
        <v/>
      </c>
      <c r="G288">
        <f>IF($W288="","",IF(INDEX('Per Invoice'!G$2:G$801,$W288)="","",INDEX('Per Invoice'!G$2:G$801,$W288)))</f>
        <v/>
      </c>
      <c r="H288">
        <f>IF($W288="","",IF(INDEX('Per Invoice'!H$2:H$801,$W288)="","",INDEX('Per Invoice'!H$2:H$801,$W288)))</f>
        <v/>
      </c>
      <c r="I288">
        <f>IF($W288="","",IF(INDEX('Per Invoice'!I$2:I$801,$W288)="","",INDEX('Per Invoice'!I$2:I$801,$W288)))</f>
        <v/>
      </c>
      <c r="J288">
        <f>IF($W288="","",IF(INDEX('Per Invoice'!J$2:J$801,$W288)="","",INDEX('Per Invoice'!J$2:J$801,$W288)))</f>
        <v/>
      </c>
      <c r="K288" s="7">
        <f>IF($W288="","",IF(INDEX('Per Invoice'!K$2:K$801,$W288)="","",INDEX('Per Invoice'!K$2:K$801,$W288)))</f>
        <v/>
      </c>
      <c r="L288" s="14">
        <f>IF($W288="","",IF(INDEX('Per Invoice'!L$2:L$801,$W288)="","",INDEX('Per Invoice'!L$2:L$801,$W288)))</f>
        <v/>
      </c>
      <c r="M288">
        <f>IF($W288="","",IF(INDEX('Per Invoice'!M$2:M$801,$W288)="","",INDEX('Per Invoice'!M$2:M$801,$W288)))</f>
        <v/>
      </c>
      <c r="N288" s="7">
        <f>IF($W288="","",IF(INDEX('Per Invoice'!N$2:N$801,$W288)="","",INDEX('Per Invoice'!N$2:N$801,$W288)))</f>
        <v/>
      </c>
      <c r="O288" s="7">
        <f>IF($W288="","",IF(INDEX('Per Invoice'!O$2:O$801,$W288)="","",INDEX('Per Invoice'!O$2:O$801,$W288)))</f>
        <v/>
      </c>
      <c r="P288">
        <f>IF($W288="","",IF(INDEX('Per Invoice'!P$2:P$801,$W288)="","",INDEX('Per Invoice'!P$2:P$801,$W288)))</f>
        <v/>
      </c>
      <c r="Q288" s="7">
        <f>IF($W288="","",IF(INDEX('Per Invoice'!Q$2:Q$801,$W288)="","",INDEX('Per Invoice'!Q$2:Q$801,$W288)))</f>
        <v/>
      </c>
      <c r="R288" s="7">
        <f>IF($W288="","",IF(INDEX('Per Invoice'!R$2:R$801,$W288)="","",INDEX('Per Invoice'!R$2:R$801,$W288)))</f>
        <v/>
      </c>
      <c r="S288" s="7">
        <f>IF($W288="","",IF(INDEX('Per Invoice'!S$2:S$801,$W288)="","",INDEX('Per Invoice'!S$2:S$801,$W288)))</f>
        <v/>
      </c>
      <c r="T288" s="7">
        <f>IF($W288="","",IF(INDEX('Per Invoice'!T$2:T$801,$W288)="","",INDEX('Per Invoice'!T$2:T$801,$W288)))</f>
        <v/>
      </c>
      <c r="U288" s="7">
        <f>IF($W288="","",IF(INDEX('Per Invoice'!U$2:U$801,$W288)="","",INDEX('Per Invoice'!U$2:U$801,$W288)))</f>
        <v/>
      </c>
      <c r="V288" s="7">
        <f>IF($W288="","",IF(INDEX('Per Invoice'!V$2:V$801,$W288)="","",INDEX('Per Invoice'!V$2:V$801,$W288)))</f>
        <v/>
      </c>
      <c r="W288" s="16">
        <f>IFERROR(MATCH(Settings!$C$27&amp;"|"&amp;ROWS($W$2:$W288),'Per Invoice'!$X$2:$X$801,0),"")</f>
        <v/>
      </c>
    </row>
    <row r="289">
      <c r="A289">
        <f>IF($W289="","",IF(INDEX('Per Invoice'!A$2:A$801,$W289)="","",INDEX('Per Invoice'!A$2:A$801,$W289)))</f>
        <v/>
      </c>
      <c r="B289">
        <f>IF($W289="","",IF(INDEX('Per Invoice'!B$2:B$801,$W289)="","",INDEX('Per Invoice'!B$2:B$801,$W289)))</f>
        <v/>
      </c>
      <c r="C289">
        <f>IF($W289="","",IF(INDEX('Per Invoice'!C$2:C$801,$W289)="","",INDEX('Per Invoice'!C$2:C$801,$W289)))</f>
        <v/>
      </c>
      <c r="D289">
        <f>IF($W289="","",IF(INDEX('Per Invoice'!D$2:D$801,$W289)="","",INDEX('Per Invoice'!D$2:D$801,$W289)))</f>
        <v/>
      </c>
      <c r="E289">
        <f>IF($W289="","",IF(INDEX('Per Invoice'!E$2:E$801,$W289)="","",INDEX('Per Invoice'!E$2:E$801,$W289)))</f>
        <v/>
      </c>
      <c r="F289">
        <f>IF($W289="","",IF(INDEX('Per Invoice'!F$2:F$801,$W289)="","",INDEX('Per Invoice'!F$2:F$801,$W289)))</f>
        <v/>
      </c>
      <c r="G289">
        <f>IF($W289="","",IF(INDEX('Per Invoice'!G$2:G$801,$W289)="","",INDEX('Per Invoice'!G$2:G$801,$W289)))</f>
        <v/>
      </c>
      <c r="H289">
        <f>IF($W289="","",IF(INDEX('Per Invoice'!H$2:H$801,$W289)="","",INDEX('Per Invoice'!H$2:H$801,$W289)))</f>
        <v/>
      </c>
      <c r="I289">
        <f>IF($W289="","",IF(INDEX('Per Invoice'!I$2:I$801,$W289)="","",INDEX('Per Invoice'!I$2:I$801,$W289)))</f>
        <v/>
      </c>
      <c r="J289">
        <f>IF($W289="","",IF(INDEX('Per Invoice'!J$2:J$801,$W289)="","",INDEX('Per Invoice'!J$2:J$801,$W289)))</f>
        <v/>
      </c>
      <c r="K289" s="7">
        <f>IF($W289="","",IF(INDEX('Per Invoice'!K$2:K$801,$W289)="","",INDEX('Per Invoice'!K$2:K$801,$W289)))</f>
        <v/>
      </c>
      <c r="L289" s="14">
        <f>IF($W289="","",IF(INDEX('Per Invoice'!L$2:L$801,$W289)="","",INDEX('Per Invoice'!L$2:L$801,$W289)))</f>
        <v/>
      </c>
      <c r="M289">
        <f>IF($W289="","",IF(INDEX('Per Invoice'!M$2:M$801,$W289)="","",INDEX('Per Invoice'!M$2:M$801,$W289)))</f>
        <v/>
      </c>
      <c r="N289" s="7">
        <f>IF($W289="","",IF(INDEX('Per Invoice'!N$2:N$801,$W289)="","",INDEX('Per Invoice'!N$2:N$801,$W289)))</f>
        <v/>
      </c>
      <c r="O289" s="7">
        <f>IF($W289="","",IF(INDEX('Per Invoice'!O$2:O$801,$W289)="","",INDEX('Per Invoice'!O$2:O$801,$W289)))</f>
        <v/>
      </c>
      <c r="P289">
        <f>IF($W289="","",IF(INDEX('Per Invoice'!P$2:P$801,$W289)="","",INDEX('Per Invoice'!P$2:P$801,$W289)))</f>
        <v/>
      </c>
      <c r="Q289" s="7">
        <f>IF($W289="","",IF(INDEX('Per Invoice'!Q$2:Q$801,$W289)="","",INDEX('Per Invoice'!Q$2:Q$801,$W289)))</f>
        <v/>
      </c>
      <c r="R289" s="7">
        <f>IF($W289="","",IF(INDEX('Per Invoice'!R$2:R$801,$W289)="","",INDEX('Per Invoice'!R$2:R$801,$W289)))</f>
        <v/>
      </c>
      <c r="S289" s="7">
        <f>IF($W289="","",IF(INDEX('Per Invoice'!S$2:S$801,$W289)="","",INDEX('Per Invoice'!S$2:S$801,$W289)))</f>
        <v/>
      </c>
      <c r="T289" s="7">
        <f>IF($W289="","",IF(INDEX('Per Invoice'!T$2:T$801,$W289)="","",INDEX('Per Invoice'!T$2:T$801,$W289)))</f>
        <v/>
      </c>
      <c r="U289" s="7">
        <f>IF($W289="","",IF(INDEX('Per Invoice'!U$2:U$801,$W289)="","",INDEX('Per Invoice'!U$2:U$801,$W289)))</f>
        <v/>
      </c>
      <c r="V289" s="7">
        <f>IF($W289="","",IF(INDEX('Per Invoice'!V$2:V$801,$W289)="","",INDEX('Per Invoice'!V$2:V$801,$W289)))</f>
        <v/>
      </c>
      <c r="W289" s="16">
        <f>IFERROR(MATCH(Settings!$C$27&amp;"|"&amp;ROWS($W$2:$W289),'Per Invoice'!$X$2:$X$801,0),"")</f>
        <v/>
      </c>
    </row>
    <row r="290">
      <c r="A290">
        <f>IF($W290="","",IF(INDEX('Per Invoice'!A$2:A$801,$W290)="","",INDEX('Per Invoice'!A$2:A$801,$W290)))</f>
        <v/>
      </c>
      <c r="B290">
        <f>IF($W290="","",IF(INDEX('Per Invoice'!B$2:B$801,$W290)="","",INDEX('Per Invoice'!B$2:B$801,$W290)))</f>
        <v/>
      </c>
      <c r="C290">
        <f>IF($W290="","",IF(INDEX('Per Invoice'!C$2:C$801,$W290)="","",INDEX('Per Invoice'!C$2:C$801,$W290)))</f>
        <v/>
      </c>
      <c r="D290">
        <f>IF($W290="","",IF(INDEX('Per Invoice'!D$2:D$801,$W290)="","",INDEX('Per Invoice'!D$2:D$801,$W290)))</f>
        <v/>
      </c>
      <c r="E290">
        <f>IF($W290="","",IF(INDEX('Per Invoice'!E$2:E$801,$W290)="","",INDEX('Per Invoice'!E$2:E$801,$W290)))</f>
        <v/>
      </c>
      <c r="F290">
        <f>IF($W290="","",IF(INDEX('Per Invoice'!F$2:F$801,$W290)="","",INDEX('Per Invoice'!F$2:F$801,$W290)))</f>
        <v/>
      </c>
      <c r="G290">
        <f>IF($W290="","",IF(INDEX('Per Invoice'!G$2:G$801,$W290)="","",INDEX('Per Invoice'!G$2:G$801,$W290)))</f>
        <v/>
      </c>
      <c r="H290">
        <f>IF($W290="","",IF(INDEX('Per Invoice'!H$2:H$801,$W290)="","",INDEX('Per Invoice'!H$2:H$801,$W290)))</f>
        <v/>
      </c>
      <c r="I290">
        <f>IF($W290="","",IF(INDEX('Per Invoice'!I$2:I$801,$W290)="","",INDEX('Per Invoice'!I$2:I$801,$W290)))</f>
        <v/>
      </c>
      <c r="J290">
        <f>IF($W290="","",IF(INDEX('Per Invoice'!J$2:J$801,$W290)="","",INDEX('Per Invoice'!J$2:J$801,$W290)))</f>
        <v/>
      </c>
      <c r="K290" s="7">
        <f>IF($W290="","",IF(INDEX('Per Invoice'!K$2:K$801,$W290)="","",INDEX('Per Invoice'!K$2:K$801,$W290)))</f>
        <v/>
      </c>
      <c r="L290" s="14">
        <f>IF($W290="","",IF(INDEX('Per Invoice'!L$2:L$801,$W290)="","",INDEX('Per Invoice'!L$2:L$801,$W290)))</f>
        <v/>
      </c>
      <c r="M290">
        <f>IF($W290="","",IF(INDEX('Per Invoice'!M$2:M$801,$W290)="","",INDEX('Per Invoice'!M$2:M$801,$W290)))</f>
        <v/>
      </c>
      <c r="N290" s="7">
        <f>IF($W290="","",IF(INDEX('Per Invoice'!N$2:N$801,$W290)="","",INDEX('Per Invoice'!N$2:N$801,$W290)))</f>
        <v/>
      </c>
      <c r="O290" s="7">
        <f>IF($W290="","",IF(INDEX('Per Invoice'!O$2:O$801,$W290)="","",INDEX('Per Invoice'!O$2:O$801,$W290)))</f>
        <v/>
      </c>
      <c r="P290">
        <f>IF($W290="","",IF(INDEX('Per Invoice'!P$2:P$801,$W290)="","",INDEX('Per Invoice'!P$2:P$801,$W290)))</f>
        <v/>
      </c>
      <c r="Q290" s="7">
        <f>IF($W290="","",IF(INDEX('Per Invoice'!Q$2:Q$801,$W290)="","",INDEX('Per Invoice'!Q$2:Q$801,$W290)))</f>
        <v/>
      </c>
      <c r="R290" s="7">
        <f>IF($W290="","",IF(INDEX('Per Invoice'!R$2:R$801,$W290)="","",INDEX('Per Invoice'!R$2:R$801,$W290)))</f>
        <v/>
      </c>
      <c r="S290" s="7">
        <f>IF($W290="","",IF(INDEX('Per Invoice'!S$2:S$801,$W290)="","",INDEX('Per Invoice'!S$2:S$801,$W290)))</f>
        <v/>
      </c>
      <c r="T290" s="7">
        <f>IF($W290="","",IF(INDEX('Per Invoice'!T$2:T$801,$W290)="","",INDEX('Per Invoice'!T$2:T$801,$W290)))</f>
        <v/>
      </c>
      <c r="U290" s="7">
        <f>IF($W290="","",IF(INDEX('Per Invoice'!U$2:U$801,$W290)="","",INDEX('Per Invoice'!U$2:U$801,$W290)))</f>
        <v/>
      </c>
      <c r="V290" s="7">
        <f>IF($W290="","",IF(INDEX('Per Invoice'!V$2:V$801,$W290)="","",INDEX('Per Invoice'!V$2:V$801,$W290)))</f>
        <v/>
      </c>
      <c r="W290" s="16">
        <f>IFERROR(MATCH(Settings!$C$27&amp;"|"&amp;ROWS($W$2:$W290),'Per Invoice'!$X$2:$X$801,0),"")</f>
        <v/>
      </c>
    </row>
    <row r="291">
      <c r="A291">
        <f>IF($W291="","",IF(INDEX('Per Invoice'!A$2:A$801,$W291)="","",INDEX('Per Invoice'!A$2:A$801,$W291)))</f>
        <v/>
      </c>
      <c r="B291">
        <f>IF($W291="","",IF(INDEX('Per Invoice'!B$2:B$801,$W291)="","",INDEX('Per Invoice'!B$2:B$801,$W291)))</f>
        <v/>
      </c>
      <c r="C291">
        <f>IF($W291="","",IF(INDEX('Per Invoice'!C$2:C$801,$W291)="","",INDEX('Per Invoice'!C$2:C$801,$W291)))</f>
        <v/>
      </c>
      <c r="D291">
        <f>IF($W291="","",IF(INDEX('Per Invoice'!D$2:D$801,$W291)="","",INDEX('Per Invoice'!D$2:D$801,$W291)))</f>
        <v/>
      </c>
      <c r="E291">
        <f>IF($W291="","",IF(INDEX('Per Invoice'!E$2:E$801,$W291)="","",INDEX('Per Invoice'!E$2:E$801,$W291)))</f>
        <v/>
      </c>
      <c r="F291">
        <f>IF($W291="","",IF(INDEX('Per Invoice'!F$2:F$801,$W291)="","",INDEX('Per Invoice'!F$2:F$801,$W291)))</f>
        <v/>
      </c>
      <c r="G291">
        <f>IF($W291="","",IF(INDEX('Per Invoice'!G$2:G$801,$W291)="","",INDEX('Per Invoice'!G$2:G$801,$W291)))</f>
        <v/>
      </c>
      <c r="H291">
        <f>IF($W291="","",IF(INDEX('Per Invoice'!H$2:H$801,$W291)="","",INDEX('Per Invoice'!H$2:H$801,$W291)))</f>
        <v/>
      </c>
      <c r="I291">
        <f>IF($W291="","",IF(INDEX('Per Invoice'!I$2:I$801,$W291)="","",INDEX('Per Invoice'!I$2:I$801,$W291)))</f>
        <v/>
      </c>
      <c r="J291">
        <f>IF($W291="","",IF(INDEX('Per Invoice'!J$2:J$801,$W291)="","",INDEX('Per Invoice'!J$2:J$801,$W291)))</f>
        <v/>
      </c>
      <c r="K291" s="7">
        <f>IF($W291="","",IF(INDEX('Per Invoice'!K$2:K$801,$W291)="","",INDEX('Per Invoice'!K$2:K$801,$W291)))</f>
        <v/>
      </c>
      <c r="L291" s="14">
        <f>IF($W291="","",IF(INDEX('Per Invoice'!L$2:L$801,$W291)="","",INDEX('Per Invoice'!L$2:L$801,$W291)))</f>
        <v/>
      </c>
      <c r="M291">
        <f>IF($W291="","",IF(INDEX('Per Invoice'!M$2:M$801,$W291)="","",INDEX('Per Invoice'!M$2:M$801,$W291)))</f>
        <v/>
      </c>
      <c r="N291" s="7">
        <f>IF($W291="","",IF(INDEX('Per Invoice'!N$2:N$801,$W291)="","",INDEX('Per Invoice'!N$2:N$801,$W291)))</f>
        <v/>
      </c>
      <c r="O291" s="7">
        <f>IF($W291="","",IF(INDEX('Per Invoice'!O$2:O$801,$W291)="","",INDEX('Per Invoice'!O$2:O$801,$W291)))</f>
        <v/>
      </c>
      <c r="P291">
        <f>IF($W291="","",IF(INDEX('Per Invoice'!P$2:P$801,$W291)="","",INDEX('Per Invoice'!P$2:P$801,$W291)))</f>
        <v/>
      </c>
      <c r="Q291" s="7">
        <f>IF($W291="","",IF(INDEX('Per Invoice'!Q$2:Q$801,$W291)="","",INDEX('Per Invoice'!Q$2:Q$801,$W291)))</f>
        <v/>
      </c>
      <c r="R291" s="7">
        <f>IF($W291="","",IF(INDEX('Per Invoice'!R$2:R$801,$W291)="","",INDEX('Per Invoice'!R$2:R$801,$W291)))</f>
        <v/>
      </c>
      <c r="S291" s="7">
        <f>IF($W291="","",IF(INDEX('Per Invoice'!S$2:S$801,$W291)="","",INDEX('Per Invoice'!S$2:S$801,$W291)))</f>
        <v/>
      </c>
      <c r="T291" s="7">
        <f>IF($W291="","",IF(INDEX('Per Invoice'!T$2:T$801,$W291)="","",INDEX('Per Invoice'!T$2:T$801,$W291)))</f>
        <v/>
      </c>
      <c r="U291" s="7">
        <f>IF($W291="","",IF(INDEX('Per Invoice'!U$2:U$801,$W291)="","",INDEX('Per Invoice'!U$2:U$801,$W291)))</f>
        <v/>
      </c>
      <c r="V291" s="7">
        <f>IF($W291="","",IF(INDEX('Per Invoice'!V$2:V$801,$W291)="","",INDEX('Per Invoice'!V$2:V$801,$W291)))</f>
        <v/>
      </c>
      <c r="W291" s="16">
        <f>IFERROR(MATCH(Settings!$C$27&amp;"|"&amp;ROWS($W$2:$W291),'Per Invoice'!$X$2:$X$801,0),"")</f>
        <v/>
      </c>
    </row>
    <row r="292">
      <c r="A292">
        <f>IF($W292="","",IF(INDEX('Per Invoice'!A$2:A$801,$W292)="","",INDEX('Per Invoice'!A$2:A$801,$W292)))</f>
        <v/>
      </c>
      <c r="B292">
        <f>IF($W292="","",IF(INDEX('Per Invoice'!B$2:B$801,$W292)="","",INDEX('Per Invoice'!B$2:B$801,$W292)))</f>
        <v/>
      </c>
      <c r="C292">
        <f>IF($W292="","",IF(INDEX('Per Invoice'!C$2:C$801,$W292)="","",INDEX('Per Invoice'!C$2:C$801,$W292)))</f>
        <v/>
      </c>
      <c r="D292">
        <f>IF($W292="","",IF(INDEX('Per Invoice'!D$2:D$801,$W292)="","",INDEX('Per Invoice'!D$2:D$801,$W292)))</f>
        <v/>
      </c>
      <c r="E292">
        <f>IF($W292="","",IF(INDEX('Per Invoice'!E$2:E$801,$W292)="","",INDEX('Per Invoice'!E$2:E$801,$W292)))</f>
        <v/>
      </c>
      <c r="F292">
        <f>IF($W292="","",IF(INDEX('Per Invoice'!F$2:F$801,$W292)="","",INDEX('Per Invoice'!F$2:F$801,$W292)))</f>
        <v/>
      </c>
      <c r="G292">
        <f>IF($W292="","",IF(INDEX('Per Invoice'!G$2:G$801,$W292)="","",INDEX('Per Invoice'!G$2:G$801,$W292)))</f>
        <v/>
      </c>
      <c r="H292">
        <f>IF($W292="","",IF(INDEX('Per Invoice'!H$2:H$801,$W292)="","",INDEX('Per Invoice'!H$2:H$801,$W292)))</f>
        <v/>
      </c>
      <c r="I292">
        <f>IF($W292="","",IF(INDEX('Per Invoice'!I$2:I$801,$W292)="","",INDEX('Per Invoice'!I$2:I$801,$W292)))</f>
        <v/>
      </c>
      <c r="J292">
        <f>IF($W292="","",IF(INDEX('Per Invoice'!J$2:J$801,$W292)="","",INDEX('Per Invoice'!J$2:J$801,$W292)))</f>
        <v/>
      </c>
      <c r="K292" s="7">
        <f>IF($W292="","",IF(INDEX('Per Invoice'!K$2:K$801,$W292)="","",INDEX('Per Invoice'!K$2:K$801,$W292)))</f>
        <v/>
      </c>
      <c r="L292" s="14">
        <f>IF($W292="","",IF(INDEX('Per Invoice'!L$2:L$801,$W292)="","",INDEX('Per Invoice'!L$2:L$801,$W292)))</f>
        <v/>
      </c>
      <c r="M292">
        <f>IF($W292="","",IF(INDEX('Per Invoice'!M$2:M$801,$W292)="","",INDEX('Per Invoice'!M$2:M$801,$W292)))</f>
        <v/>
      </c>
      <c r="N292" s="7">
        <f>IF($W292="","",IF(INDEX('Per Invoice'!N$2:N$801,$W292)="","",INDEX('Per Invoice'!N$2:N$801,$W292)))</f>
        <v/>
      </c>
      <c r="O292" s="7">
        <f>IF($W292="","",IF(INDEX('Per Invoice'!O$2:O$801,$W292)="","",INDEX('Per Invoice'!O$2:O$801,$W292)))</f>
        <v/>
      </c>
      <c r="P292">
        <f>IF($W292="","",IF(INDEX('Per Invoice'!P$2:P$801,$W292)="","",INDEX('Per Invoice'!P$2:P$801,$W292)))</f>
        <v/>
      </c>
      <c r="Q292" s="7">
        <f>IF($W292="","",IF(INDEX('Per Invoice'!Q$2:Q$801,$W292)="","",INDEX('Per Invoice'!Q$2:Q$801,$W292)))</f>
        <v/>
      </c>
      <c r="R292" s="7">
        <f>IF($W292="","",IF(INDEX('Per Invoice'!R$2:R$801,$W292)="","",INDEX('Per Invoice'!R$2:R$801,$W292)))</f>
        <v/>
      </c>
      <c r="S292" s="7">
        <f>IF($W292="","",IF(INDEX('Per Invoice'!S$2:S$801,$W292)="","",INDEX('Per Invoice'!S$2:S$801,$W292)))</f>
        <v/>
      </c>
      <c r="T292" s="7">
        <f>IF($W292="","",IF(INDEX('Per Invoice'!T$2:T$801,$W292)="","",INDEX('Per Invoice'!T$2:T$801,$W292)))</f>
        <v/>
      </c>
      <c r="U292" s="7">
        <f>IF($W292="","",IF(INDEX('Per Invoice'!U$2:U$801,$W292)="","",INDEX('Per Invoice'!U$2:U$801,$W292)))</f>
        <v/>
      </c>
      <c r="V292" s="7">
        <f>IF($W292="","",IF(INDEX('Per Invoice'!V$2:V$801,$W292)="","",INDEX('Per Invoice'!V$2:V$801,$W292)))</f>
        <v/>
      </c>
      <c r="W292" s="16">
        <f>IFERROR(MATCH(Settings!$C$27&amp;"|"&amp;ROWS($W$2:$W292),'Per Invoice'!$X$2:$X$801,0),"")</f>
        <v/>
      </c>
    </row>
    <row r="293">
      <c r="A293">
        <f>IF($W293="","",IF(INDEX('Per Invoice'!A$2:A$801,$W293)="","",INDEX('Per Invoice'!A$2:A$801,$W293)))</f>
        <v/>
      </c>
      <c r="B293">
        <f>IF($W293="","",IF(INDEX('Per Invoice'!B$2:B$801,$W293)="","",INDEX('Per Invoice'!B$2:B$801,$W293)))</f>
        <v/>
      </c>
      <c r="C293">
        <f>IF($W293="","",IF(INDEX('Per Invoice'!C$2:C$801,$W293)="","",INDEX('Per Invoice'!C$2:C$801,$W293)))</f>
        <v/>
      </c>
      <c r="D293">
        <f>IF($W293="","",IF(INDEX('Per Invoice'!D$2:D$801,$W293)="","",INDEX('Per Invoice'!D$2:D$801,$W293)))</f>
        <v/>
      </c>
      <c r="E293">
        <f>IF($W293="","",IF(INDEX('Per Invoice'!E$2:E$801,$W293)="","",INDEX('Per Invoice'!E$2:E$801,$W293)))</f>
        <v/>
      </c>
      <c r="F293">
        <f>IF($W293="","",IF(INDEX('Per Invoice'!F$2:F$801,$W293)="","",INDEX('Per Invoice'!F$2:F$801,$W293)))</f>
        <v/>
      </c>
      <c r="G293">
        <f>IF($W293="","",IF(INDEX('Per Invoice'!G$2:G$801,$W293)="","",INDEX('Per Invoice'!G$2:G$801,$W293)))</f>
        <v/>
      </c>
      <c r="H293">
        <f>IF($W293="","",IF(INDEX('Per Invoice'!H$2:H$801,$W293)="","",INDEX('Per Invoice'!H$2:H$801,$W293)))</f>
        <v/>
      </c>
      <c r="I293">
        <f>IF($W293="","",IF(INDEX('Per Invoice'!I$2:I$801,$W293)="","",INDEX('Per Invoice'!I$2:I$801,$W293)))</f>
        <v/>
      </c>
      <c r="J293">
        <f>IF($W293="","",IF(INDEX('Per Invoice'!J$2:J$801,$W293)="","",INDEX('Per Invoice'!J$2:J$801,$W293)))</f>
        <v/>
      </c>
      <c r="K293" s="7">
        <f>IF($W293="","",IF(INDEX('Per Invoice'!K$2:K$801,$W293)="","",INDEX('Per Invoice'!K$2:K$801,$W293)))</f>
        <v/>
      </c>
      <c r="L293" s="14">
        <f>IF($W293="","",IF(INDEX('Per Invoice'!L$2:L$801,$W293)="","",INDEX('Per Invoice'!L$2:L$801,$W293)))</f>
        <v/>
      </c>
      <c r="M293">
        <f>IF($W293="","",IF(INDEX('Per Invoice'!M$2:M$801,$W293)="","",INDEX('Per Invoice'!M$2:M$801,$W293)))</f>
        <v/>
      </c>
      <c r="N293" s="7">
        <f>IF($W293="","",IF(INDEX('Per Invoice'!N$2:N$801,$W293)="","",INDEX('Per Invoice'!N$2:N$801,$W293)))</f>
        <v/>
      </c>
      <c r="O293" s="7">
        <f>IF($W293="","",IF(INDEX('Per Invoice'!O$2:O$801,$W293)="","",INDEX('Per Invoice'!O$2:O$801,$W293)))</f>
        <v/>
      </c>
      <c r="P293">
        <f>IF($W293="","",IF(INDEX('Per Invoice'!P$2:P$801,$W293)="","",INDEX('Per Invoice'!P$2:P$801,$W293)))</f>
        <v/>
      </c>
      <c r="Q293" s="7">
        <f>IF($W293="","",IF(INDEX('Per Invoice'!Q$2:Q$801,$W293)="","",INDEX('Per Invoice'!Q$2:Q$801,$W293)))</f>
        <v/>
      </c>
      <c r="R293" s="7">
        <f>IF($W293="","",IF(INDEX('Per Invoice'!R$2:R$801,$W293)="","",INDEX('Per Invoice'!R$2:R$801,$W293)))</f>
        <v/>
      </c>
      <c r="S293" s="7">
        <f>IF($W293="","",IF(INDEX('Per Invoice'!S$2:S$801,$W293)="","",INDEX('Per Invoice'!S$2:S$801,$W293)))</f>
        <v/>
      </c>
      <c r="T293" s="7">
        <f>IF($W293="","",IF(INDEX('Per Invoice'!T$2:T$801,$W293)="","",INDEX('Per Invoice'!T$2:T$801,$W293)))</f>
        <v/>
      </c>
      <c r="U293" s="7">
        <f>IF($W293="","",IF(INDEX('Per Invoice'!U$2:U$801,$W293)="","",INDEX('Per Invoice'!U$2:U$801,$W293)))</f>
        <v/>
      </c>
      <c r="V293" s="7">
        <f>IF($W293="","",IF(INDEX('Per Invoice'!V$2:V$801,$W293)="","",INDEX('Per Invoice'!V$2:V$801,$W293)))</f>
        <v/>
      </c>
      <c r="W293" s="16">
        <f>IFERROR(MATCH(Settings!$C$27&amp;"|"&amp;ROWS($W$2:$W293),'Per Invoice'!$X$2:$X$801,0),"")</f>
        <v/>
      </c>
    </row>
    <row r="294">
      <c r="A294">
        <f>IF($W294="","",IF(INDEX('Per Invoice'!A$2:A$801,$W294)="","",INDEX('Per Invoice'!A$2:A$801,$W294)))</f>
        <v/>
      </c>
      <c r="B294">
        <f>IF($W294="","",IF(INDEX('Per Invoice'!B$2:B$801,$W294)="","",INDEX('Per Invoice'!B$2:B$801,$W294)))</f>
        <v/>
      </c>
      <c r="C294">
        <f>IF($W294="","",IF(INDEX('Per Invoice'!C$2:C$801,$W294)="","",INDEX('Per Invoice'!C$2:C$801,$W294)))</f>
        <v/>
      </c>
      <c r="D294">
        <f>IF($W294="","",IF(INDEX('Per Invoice'!D$2:D$801,$W294)="","",INDEX('Per Invoice'!D$2:D$801,$W294)))</f>
        <v/>
      </c>
      <c r="E294">
        <f>IF($W294="","",IF(INDEX('Per Invoice'!E$2:E$801,$W294)="","",INDEX('Per Invoice'!E$2:E$801,$W294)))</f>
        <v/>
      </c>
      <c r="F294">
        <f>IF($W294="","",IF(INDEX('Per Invoice'!F$2:F$801,$W294)="","",INDEX('Per Invoice'!F$2:F$801,$W294)))</f>
        <v/>
      </c>
      <c r="G294">
        <f>IF($W294="","",IF(INDEX('Per Invoice'!G$2:G$801,$W294)="","",INDEX('Per Invoice'!G$2:G$801,$W294)))</f>
        <v/>
      </c>
      <c r="H294">
        <f>IF($W294="","",IF(INDEX('Per Invoice'!H$2:H$801,$W294)="","",INDEX('Per Invoice'!H$2:H$801,$W294)))</f>
        <v/>
      </c>
      <c r="I294">
        <f>IF($W294="","",IF(INDEX('Per Invoice'!I$2:I$801,$W294)="","",INDEX('Per Invoice'!I$2:I$801,$W294)))</f>
        <v/>
      </c>
      <c r="J294">
        <f>IF($W294="","",IF(INDEX('Per Invoice'!J$2:J$801,$W294)="","",INDEX('Per Invoice'!J$2:J$801,$W294)))</f>
        <v/>
      </c>
      <c r="K294" s="7">
        <f>IF($W294="","",IF(INDEX('Per Invoice'!K$2:K$801,$W294)="","",INDEX('Per Invoice'!K$2:K$801,$W294)))</f>
        <v/>
      </c>
      <c r="L294" s="14">
        <f>IF($W294="","",IF(INDEX('Per Invoice'!L$2:L$801,$W294)="","",INDEX('Per Invoice'!L$2:L$801,$W294)))</f>
        <v/>
      </c>
      <c r="M294">
        <f>IF($W294="","",IF(INDEX('Per Invoice'!M$2:M$801,$W294)="","",INDEX('Per Invoice'!M$2:M$801,$W294)))</f>
        <v/>
      </c>
      <c r="N294" s="7">
        <f>IF($W294="","",IF(INDEX('Per Invoice'!N$2:N$801,$W294)="","",INDEX('Per Invoice'!N$2:N$801,$W294)))</f>
        <v/>
      </c>
      <c r="O294" s="7">
        <f>IF($W294="","",IF(INDEX('Per Invoice'!O$2:O$801,$W294)="","",INDEX('Per Invoice'!O$2:O$801,$W294)))</f>
        <v/>
      </c>
      <c r="P294">
        <f>IF($W294="","",IF(INDEX('Per Invoice'!P$2:P$801,$W294)="","",INDEX('Per Invoice'!P$2:P$801,$W294)))</f>
        <v/>
      </c>
      <c r="Q294" s="7">
        <f>IF($W294="","",IF(INDEX('Per Invoice'!Q$2:Q$801,$W294)="","",INDEX('Per Invoice'!Q$2:Q$801,$W294)))</f>
        <v/>
      </c>
      <c r="R294" s="7">
        <f>IF($W294="","",IF(INDEX('Per Invoice'!R$2:R$801,$W294)="","",INDEX('Per Invoice'!R$2:R$801,$W294)))</f>
        <v/>
      </c>
      <c r="S294" s="7">
        <f>IF($W294="","",IF(INDEX('Per Invoice'!S$2:S$801,$W294)="","",INDEX('Per Invoice'!S$2:S$801,$W294)))</f>
        <v/>
      </c>
      <c r="T294" s="7">
        <f>IF($W294="","",IF(INDEX('Per Invoice'!T$2:T$801,$W294)="","",INDEX('Per Invoice'!T$2:T$801,$W294)))</f>
        <v/>
      </c>
      <c r="U294" s="7">
        <f>IF($W294="","",IF(INDEX('Per Invoice'!U$2:U$801,$W294)="","",INDEX('Per Invoice'!U$2:U$801,$W294)))</f>
        <v/>
      </c>
      <c r="V294" s="7">
        <f>IF($W294="","",IF(INDEX('Per Invoice'!V$2:V$801,$W294)="","",INDEX('Per Invoice'!V$2:V$801,$W294)))</f>
        <v/>
      </c>
      <c r="W294" s="16">
        <f>IFERROR(MATCH(Settings!$C$27&amp;"|"&amp;ROWS($W$2:$W294),'Per Invoice'!$X$2:$X$801,0),"")</f>
        <v/>
      </c>
    </row>
    <row r="295">
      <c r="A295">
        <f>IF($W295="","",IF(INDEX('Per Invoice'!A$2:A$801,$W295)="","",INDEX('Per Invoice'!A$2:A$801,$W295)))</f>
        <v/>
      </c>
      <c r="B295">
        <f>IF($W295="","",IF(INDEX('Per Invoice'!B$2:B$801,$W295)="","",INDEX('Per Invoice'!B$2:B$801,$W295)))</f>
        <v/>
      </c>
      <c r="C295">
        <f>IF($W295="","",IF(INDEX('Per Invoice'!C$2:C$801,$W295)="","",INDEX('Per Invoice'!C$2:C$801,$W295)))</f>
        <v/>
      </c>
      <c r="D295">
        <f>IF($W295="","",IF(INDEX('Per Invoice'!D$2:D$801,$W295)="","",INDEX('Per Invoice'!D$2:D$801,$W295)))</f>
        <v/>
      </c>
      <c r="E295">
        <f>IF($W295="","",IF(INDEX('Per Invoice'!E$2:E$801,$W295)="","",INDEX('Per Invoice'!E$2:E$801,$W295)))</f>
        <v/>
      </c>
      <c r="F295">
        <f>IF($W295="","",IF(INDEX('Per Invoice'!F$2:F$801,$W295)="","",INDEX('Per Invoice'!F$2:F$801,$W295)))</f>
        <v/>
      </c>
      <c r="G295">
        <f>IF($W295="","",IF(INDEX('Per Invoice'!G$2:G$801,$W295)="","",INDEX('Per Invoice'!G$2:G$801,$W295)))</f>
        <v/>
      </c>
      <c r="H295">
        <f>IF($W295="","",IF(INDEX('Per Invoice'!H$2:H$801,$W295)="","",INDEX('Per Invoice'!H$2:H$801,$W295)))</f>
        <v/>
      </c>
      <c r="I295">
        <f>IF($W295="","",IF(INDEX('Per Invoice'!I$2:I$801,$W295)="","",INDEX('Per Invoice'!I$2:I$801,$W295)))</f>
        <v/>
      </c>
      <c r="J295">
        <f>IF($W295="","",IF(INDEX('Per Invoice'!J$2:J$801,$W295)="","",INDEX('Per Invoice'!J$2:J$801,$W295)))</f>
        <v/>
      </c>
      <c r="K295" s="7">
        <f>IF($W295="","",IF(INDEX('Per Invoice'!K$2:K$801,$W295)="","",INDEX('Per Invoice'!K$2:K$801,$W295)))</f>
        <v/>
      </c>
      <c r="L295" s="14">
        <f>IF($W295="","",IF(INDEX('Per Invoice'!L$2:L$801,$W295)="","",INDEX('Per Invoice'!L$2:L$801,$W295)))</f>
        <v/>
      </c>
      <c r="M295">
        <f>IF($W295="","",IF(INDEX('Per Invoice'!M$2:M$801,$W295)="","",INDEX('Per Invoice'!M$2:M$801,$W295)))</f>
        <v/>
      </c>
      <c r="N295" s="7">
        <f>IF($W295="","",IF(INDEX('Per Invoice'!N$2:N$801,$W295)="","",INDEX('Per Invoice'!N$2:N$801,$W295)))</f>
        <v/>
      </c>
      <c r="O295" s="7">
        <f>IF($W295="","",IF(INDEX('Per Invoice'!O$2:O$801,$W295)="","",INDEX('Per Invoice'!O$2:O$801,$W295)))</f>
        <v/>
      </c>
      <c r="P295">
        <f>IF($W295="","",IF(INDEX('Per Invoice'!P$2:P$801,$W295)="","",INDEX('Per Invoice'!P$2:P$801,$W295)))</f>
        <v/>
      </c>
      <c r="Q295" s="7">
        <f>IF($W295="","",IF(INDEX('Per Invoice'!Q$2:Q$801,$W295)="","",INDEX('Per Invoice'!Q$2:Q$801,$W295)))</f>
        <v/>
      </c>
      <c r="R295" s="7">
        <f>IF($W295="","",IF(INDEX('Per Invoice'!R$2:R$801,$W295)="","",INDEX('Per Invoice'!R$2:R$801,$W295)))</f>
        <v/>
      </c>
      <c r="S295" s="7">
        <f>IF($W295="","",IF(INDEX('Per Invoice'!S$2:S$801,$W295)="","",INDEX('Per Invoice'!S$2:S$801,$W295)))</f>
        <v/>
      </c>
      <c r="T295" s="7">
        <f>IF($W295="","",IF(INDEX('Per Invoice'!T$2:T$801,$W295)="","",INDEX('Per Invoice'!T$2:T$801,$W295)))</f>
        <v/>
      </c>
      <c r="U295" s="7">
        <f>IF($W295="","",IF(INDEX('Per Invoice'!U$2:U$801,$W295)="","",INDEX('Per Invoice'!U$2:U$801,$W295)))</f>
        <v/>
      </c>
      <c r="V295" s="7">
        <f>IF($W295="","",IF(INDEX('Per Invoice'!V$2:V$801,$W295)="","",INDEX('Per Invoice'!V$2:V$801,$W295)))</f>
        <v/>
      </c>
      <c r="W295" s="16">
        <f>IFERROR(MATCH(Settings!$C$27&amp;"|"&amp;ROWS($W$2:$W295),'Per Invoice'!$X$2:$X$801,0),"")</f>
        <v/>
      </c>
    </row>
    <row r="296">
      <c r="A296">
        <f>IF($W296="","",IF(INDEX('Per Invoice'!A$2:A$801,$W296)="","",INDEX('Per Invoice'!A$2:A$801,$W296)))</f>
        <v/>
      </c>
      <c r="B296">
        <f>IF($W296="","",IF(INDEX('Per Invoice'!B$2:B$801,$W296)="","",INDEX('Per Invoice'!B$2:B$801,$W296)))</f>
        <v/>
      </c>
      <c r="C296">
        <f>IF($W296="","",IF(INDEX('Per Invoice'!C$2:C$801,$W296)="","",INDEX('Per Invoice'!C$2:C$801,$W296)))</f>
        <v/>
      </c>
      <c r="D296">
        <f>IF($W296="","",IF(INDEX('Per Invoice'!D$2:D$801,$W296)="","",INDEX('Per Invoice'!D$2:D$801,$W296)))</f>
        <v/>
      </c>
      <c r="E296">
        <f>IF($W296="","",IF(INDEX('Per Invoice'!E$2:E$801,$W296)="","",INDEX('Per Invoice'!E$2:E$801,$W296)))</f>
        <v/>
      </c>
      <c r="F296">
        <f>IF($W296="","",IF(INDEX('Per Invoice'!F$2:F$801,$W296)="","",INDEX('Per Invoice'!F$2:F$801,$W296)))</f>
        <v/>
      </c>
      <c r="G296">
        <f>IF($W296="","",IF(INDEX('Per Invoice'!G$2:G$801,$W296)="","",INDEX('Per Invoice'!G$2:G$801,$W296)))</f>
        <v/>
      </c>
      <c r="H296">
        <f>IF($W296="","",IF(INDEX('Per Invoice'!H$2:H$801,$W296)="","",INDEX('Per Invoice'!H$2:H$801,$W296)))</f>
        <v/>
      </c>
      <c r="I296">
        <f>IF($W296="","",IF(INDEX('Per Invoice'!I$2:I$801,$W296)="","",INDEX('Per Invoice'!I$2:I$801,$W296)))</f>
        <v/>
      </c>
      <c r="J296">
        <f>IF($W296="","",IF(INDEX('Per Invoice'!J$2:J$801,$W296)="","",INDEX('Per Invoice'!J$2:J$801,$W296)))</f>
        <v/>
      </c>
      <c r="K296" s="7">
        <f>IF($W296="","",IF(INDEX('Per Invoice'!K$2:K$801,$W296)="","",INDEX('Per Invoice'!K$2:K$801,$W296)))</f>
        <v/>
      </c>
      <c r="L296" s="14">
        <f>IF($W296="","",IF(INDEX('Per Invoice'!L$2:L$801,$W296)="","",INDEX('Per Invoice'!L$2:L$801,$W296)))</f>
        <v/>
      </c>
      <c r="M296">
        <f>IF($W296="","",IF(INDEX('Per Invoice'!M$2:M$801,$W296)="","",INDEX('Per Invoice'!M$2:M$801,$W296)))</f>
        <v/>
      </c>
      <c r="N296" s="7">
        <f>IF($W296="","",IF(INDEX('Per Invoice'!N$2:N$801,$W296)="","",INDEX('Per Invoice'!N$2:N$801,$W296)))</f>
        <v/>
      </c>
      <c r="O296" s="7">
        <f>IF($W296="","",IF(INDEX('Per Invoice'!O$2:O$801,$W296)="","",INDEX('Per Invoice'!O$2:O$801,$W296)))</f>
        <v/>
      </c>
      <c r="P296">
        <f>IF($W296="","",IF(INDEX('Per Invoice'!P$2:P$801,$W296)="","",INDEX('Per Invoice'!P$2:P$801,$W296)))</f>
        <v/>
      </c>
      <c r="Q296" s="7">
        <f>IF($W296="","",IF(INDEX('Per Invoice'!Q$2:Q$801,$W296)="","",INDEX('Per Invoice'!Q$2:Q$801,$W296)))</f>
        <v/>
      </c>
      <c r="R296" s="7">
        <f>IF($W296="","",IF(INDEX('Per Invoice'!R$2:R$801,$W296)="","",INDEX('Per Invoice'!R$2:R$801,$W296)))</f>
        <v/>
      </c>
      <c r="S296" s="7">
        <f>IF($W296="","",IF(INDEX('Per Invoice'!S$2:S$801,$W296)="","",INDEX('Per Invoice'!S$2:S$801,$W296)))</f>
        <v/>
      </c>
      <c r="T296" s="7">
        <f>IF($W296="","",IF(INDEX('Per Invoice'!T$2:T$801,$W296)="","",INDEX('Per Invoice'!T$2:T$801,$W296)))</f>
        <v/>
      </c>
      <c r="U296" s="7">
        <f>IF($W296="","",IF(INDEX('Per Invoice'!U$2:U$801,$W296)="","",INDEX('Per Invoice'!U$2:U$801,$W296)))</f>
        <v/>
      </c>
      <c r="V296" s="7">
        <f>IF($W296="","",IF(INDEX('Per Invoice'!V$2:V$801,$W296)="","",INDEX('Per Invoice'!V$2:V$801,$W296)))</f>
        <v/>
      </c>
      <c r="W296" s="16">
        <f>IFERROR(MATCH(Settings!$C$27&amp;"|"&amp;ROWS($W$2:$W296),'Per Invoice'!$X$2:$X$801,0),"")</f>
        <v/>
      </c>
    </row>
    <row r="297">
      <c r="A297">
        <f>IF($W297="","",IF(INDEX('Per Invoice'!A$2:A$801,$W297)="","",INDEX('Per Invoice'!A$2:A$801,$W297)))</f>
        <v/>
      </c>
      <c r="B297">
        <f>IF($W297="","",IF(INDEX('Per Invoice'!B$2:B$801,$W297)="","",INDEX('Per Invoice'!B$2:B$801,$W297)))</f>
        <v/>
      </c>
      <c r="C297">
        <f>IF($W297="","",IF(INDEX('Per Invoice'!C$2:C$801,$W297)="","",INDEX('Per Invoice'!C$2:C$801,$W297)))</f>
        <v/>
      </c>
      <c r="D297">
        <f>IF($W297="","",IF(INDEX('Per Invoice'!D$2:D$801,$W297)="","",INDEX('Per Invoice'!D$2:D$801,$W297)))</f>
        <v/>
      </c>
      <c r="E297">
        <f>IF($W297="","",IF(INDEX('Per Invoice'!E$2:E$801,$W297)="","",INDEX('Per Invoice'!E$2:E$801,$W297)))</f>
        <v/>
      </c>
      <c r="F297">
        <f>IF($W297="","",IF(INDEX('Per Invoice'!F$2:F$801,$W297)="","",INDEX('Per Invoice'!F$2:F$801,$W297)))</f>
        <v/>
      </c>
      <c r="G297">
        <f>IF($W297="","",IF(INDEX('Per Invoice'!G$2:G$801,$W297)="","",INDEX('Per Invoice'!G$2:G$801,$W297)))</f>
        <v/>
      </c>
      <c r="H297">
        <f>IF($W297="","",IF(INDEX('Per Invoice'!H$2:H$801,$W297)="","",INDEX('Per Invoice'!H$2:H$801,$W297)))</f>
        <v/>
      </c>
      <c r="I297">
        <f>IF($W297="","",IF(INDEX('Per Invoice'!I$2:I$801,$W297)="","",INDEX('Per Invoice'!I$2:I$801,$W297)))</f>
        <v/>
      </c>
      <c r="J297">
        <f>IF($W297="","",IF(INDEX('Per Invoice'!J$2:J$801,$W297)="","",INDEX('Per Invoice'!J$2:J$801,$W297)))</f>
        <v/>
      </c>
      <c r="K297" s="7">
        <f>IF($W297="","",IF(INDEX('Per Invoice'!K$2:K$801,$W297)="","",INDEX('Per Invoice'!K$2:K$801,$W297)))</f>
        <v/>
      </c>
      <c r="L297" s="14">
        <f>IF($W297="","",IF(INDEX('Per Invoice'!L$2:L$801,$W297)="","",INDEX('Per Invoice'!L$2:L$801,$W297)))</f>
        <v/>
      </c>
      <c r="M297">
        <f>IF($W297="","",IF(INDEX('Per Invoice'!M$2:M$801,$W297)="","",INDEX('Per Invoice'!M$2:M$801,$W297)))</f>
        <v/>
      </c>
      <c r="N297" s="7">
        <f>IF($W297="","",IF(INDEX('Per Invoice'!N$2:N$801,$W297)="","",INDEX('Per Invoice'!N$2:N$801,$W297)))</f>
        <v/>
      </c>
      <c r="O297" s="7">
        <f>IF($W297="","",IF(INDEX('Per Invoice'!O$2:O$801,$W297)="","",INDEX('Per Invoice'!O$2:O$801,$W297)))</f>
        <v/>
      </c>
      <c r="P297">
        <f>IF($W297="","",IF(INDEX('Per Invoice'!P$2:P$801,$W297)="","",INDEX('Per Invoice'!P$2:P$801,$W297)))</f>
        <v/>
      </c>
      <c r="Q297" s="7">
        <f>IF($W297="","",IF(INDEX('Per Invoice'!Q$2:Q$801,$W297)="","",INDEX('Per Invoice'!Q$2:Q$801,$W297)))</f>
        <v/>
      </c>
      <c r="R297" s="7">
        <f>IF($W297="","",IF(INDEX('Per Invoice'!R$2:R$801,$W297)="","",INDEX('Per Invoice'!R$2:R$801,$W297)))</f>
        <v/>
      </c>
      <c r="S297" s="7">
        <f>IF($W297="","",IF(INDEX('Per Invoice'!S$2:S$801,$W297)="","",INDEX('Per Invoice'!S$2:S$801,$W297)))</f>
        <v/>
      </c>
      <c r="T297" s="7">
        <f>IF($W297="","",IF(INDEX('Per Invoice'!T$2:T$801,$W297)="","",INDEX('Per Invoice'!T$2:T$801,$W297)))</f>
        <v/>
      </c>
      <c r="U297" s="7">
        <f>IF($W297="","",IF(INDEX('Per Invoice'!U$2:U$801,$W297)="","",INDEX('Per Invoice'!U$2:U$801,$W297)))</f>
        <v/>
      </c>
      <c r="V297" s="7">
        <f>IF($W297="","",IF(INDEX('Per Invoice'!V$2:V$801,$W297)="","",INDEX('Per Invoice'!V$2:V$801,$W297)))</f>
        <v/>
      </c>
      <c r="W297" s="16">
        <f>IFERROR(MATCH(Settings!$C$27&amp;"|"&amp;ROWS($W$2:$W297),'Per Invoice'!$X$2:$X$801,0),"")</f>
        <v/>
      </c>
    </row>
    <row r="298">
      <c r="A298">
        <f>IF($W298="","",IF(INDEX('Per Invoice'!A$2:A$801,$W298)="","",INDEX('Per Invoice'!A$2:A$801,$W298)))</f>
        <v/>
      </c>
      <c r="B298">
        <f>IF($W298="","",IF(INDEX('Per Invoice'!B$2:B$801,$W298)="","",INDEX('Per Invoice'!B$2:B$801,$W298)))</f>
        <v/>
      </c>
      <c r="C298">
        <f>IF($W298="","",IF(INDEX('Per Invoice'!C$2:C$801,$W298)="","",INDEX('Per Invoice'!C$2:C$801,$W298)))</f>
        <v/>
      </c>
      <c r="D298">
        <f>IF($W298="","",IF(INDEX('Per Invoice'!D$2:D$801,$W298)="","",INDEX('Per Invoice'!D$2:D$801,$W298)))</f>
        <v/>
      </c>
      <c r="E298">
        <f>IF($W298="","",IF(INDEX('Per Invoice'!E$2:E$801,$W298)="","",INDEX('Per Invoice'!E$2:E$801,$W298)))</f>
        <v/>
      </c>
      <c r="F298">
        <f>IF($W298="","",IF(INDEX('Per Invoice'!F$2:F$801,$W298)="","",INDEX('Per Invoice'!F$2:F$801,$W298)))</f>
        <v/>
      </c>
      <c r="G298">
        <f>IF($W298="","",IF(INDEX('Per Invoice'!G$2:G$801,$W298)="","",INDEX('Per Invoice'!G$2:G$801,$W298)))</f>
        <v/>
      </c>
      <c r="H298">
        <f>IF($W298="","",IF(INDEX('Per Invoice'!H$2:H$801,$W298)="","",INDEX('Per Invoice'!H$2:H$801,$W298)))</f>
        <v/>
      </c>
      <c r="I298">
        <f>IF($W298="","",IF(INDEX('Per Invoice'!I$2:I$801,$W298)="","",INDEX('Per Invoice'!I$2:I$801,$W298)))</f>
        <v/>
      </c>
      <c r="J298">
        <f>IF($W298="","",IF(INDEX('Per Invoice'!J$2:J$801,$W298)="","",INDEX('Per Invoice'!J$2:J$801,$W298)))</f>
        <v/>
      </c>
      <c r="K298" s="7">
        <f>IF($W298="","",IF(INDEX('Per Invoice'!K$2:K$801,$W298)="","",INDEX('Per Invoice'!K$2:K$801,$W298)))</f>
        <v/>
      </c>
      <c r="L298" s="14">
        <f>IF($W298="","",IF(INDEX('Per Invoice'!L$2:L$801,$W298)="","",INDEX('Per Invoice'!L$2:L$801,$W298)))</f>
        <v/>
      </c>
      <c r="M298">
        <f>IF($W298="","",IF(INDEX('Per Invoice'!M$2:M$801,$W298)="","",INDEX('Per Invoice'!M$2:M$801,$W298)))</f>
        <v/>
      </c>
      <c r="N298" s="7">
        <f>IF($W298="","",IF(INDEX('Per Invoice'!N$2:N$801,$W298)="","",INDEX('Per Invoice'!N$2:N$801,$W298)))</f>
        <v/>
      </c>
      <c r="O298" s="7">
        <f>IF($W298="","",IF(INDEX('Per Invoice'!O$2:O$801,$W298)="","",INDEX('Per Invoice'!O$2:O$801,$W298)))</f>
        <v/>
      </c>
      <c r="P298">
        <f>IF($W298="","",IF(INDEX('Per Invoice'!P$2:P$801,$W298)="","",INDEX('Per Invoice'!P$2:P$801,$W298)))</f>
        <v/>
      </c>
      <c r="Q298" s="7">
        <f>IF($W298="","",IF(INDEX('Per Invoice'!Q$2:Q$801,$W298)="","",INDEX('Per Invoice'!Q$2:Q$801,$W298)))</f>
        <v/>
      </c>
      <c r="R298" s="7">
        <f>IF($W298="","",IF(INDEX('Per Invoice'!R$2:R$801,$W298)="","",INDEX('Per Invoice'!R$2:R$801,$W298)))</f>
        <v/>
      </c>
      <c r="S298" s="7">
        <f>IF($W298="","",IF(INDEX('Per Invoice'!S$2:S$801,$W298)="","",INDEX('Per Invoice'!S$2:S$801,$W298)))</f>
        <v/>
      </c>
      <c r="T298" s="7">
        <f>IF($W298="","",IF(INDEX('Per Invoice'!T$2:T$801,$W298)="","",INDEX('Per Invoice'!T$2:T$801,$W298)))</f>
        <v/>
      </c>
      <c r="U298" s="7">
        <f>IF($W298="","",IF(INDEX('Per Invoice'!U$2:U$801,$W298)="","",INDEX('Per Invoice'!U$2:U$801,$W298)))</f>
        <v/>
      </c>
      <c r="V298" s="7">
        <f>IF($W298="","",IF(INDEX('Per Invoice'!V$2:V$801,$W298)="","",INDEX('Per Invoice'!V$2:V$801,$W298)))</f>
        <v/>
      </c>
      <c r="W298" s="16">
        <f>IFERROR(MATCH(Settings!$C$27&amp;"|"&amp;ROWS($W$2:$W298),'Per Invoice'!$X$2:$X$801,0),"")</f>
        <v/>
      </c>
    </row>
    <row r="299">
      <c r="A299">
        <f>IF($W299="","",IF(INDEX('Per Invoice'!A$2:A$801,$W299)="","",INDEX('Per Invoice'!A$2:A$801,$W299)))</f>
        <v/>
      </c>
      <c r="B299">
        <f>IF($W299="","",IF(INDEX('Per Invoice'!B$2:B$801,$W299)="","",INDEX('Per Invoice'!B$2:B$801,$W299)))</f>
        <v/>
      </c>
      <c r="C299">
        <f>IF($W299="","",IF(INDEX('Per Invoice'!C$2:C$801,$W299)="","",INDEX('Per Invoice'!C$2:C$801,$W299)))</f>
        <v/>
      </c>
      <c r="D299">
        <f>IF($W299="","",IF(INDEX('Per Invoice'!D$2:D$801,$W299)="","",INDEX('Per Invoice'!D$2:D$801,$W299)))</f>
        <v/>
      </c>
      <c r="E299">
        <f>IF($W299="","",IF(INDEX('Per Invoice'!E$2:E$801,$W299)="","",INDEX('Per Invoice'!E$2:E$801,$W299)))</f>
        <v/>
      </c>
      <c r="F299">
        <f>IF($W299="","",IF(INDEX('Per Invoice'!F$2:F$801,$W299)="","",INDEX('Per Invoice'!F$2:F$801,$W299)))</f>
        <v/>
      </c>
      <c r="G299">
        <f>IF($W299="","",IF(INDEX('Per Invoice'!G$2:G$801,$W299)="","",INDEX('Per Invoice'!G$2:G$801,$W299)))</f>
        <v/>
      </c>
      <c r="H299">
        <f>IF($W299="","",IF(INDEX('Per Invoice'!H$2:H$801,$W299)="","",INDEX('Per Invoice'!H$2:H$801,$W299)))</f>
        <v/>
      </c>
      <c r="I299">
        <f>IF($W299="","",IF(INDEX('Per Invoice'!I$2:I$801,$W299)="","",INDEX('Per Invoice'!I$2:I$801,$W299)))</f>
        <v/>
      </c>
      <c r="J299">
        <f>IF($W299="","",IF(INDEX('Per Invoice'!J$2:J$801,$W299)="","",INDEX('Per Invoice'!J$2:J$801,$W299)))</f>
        <v/>
      </c>
      <c r="K299" s="7">
        <f>IF($W299="","",IF(INDEX('Per Invoice'!K$2:K$801,$W299)="","",INDEX('Per Invoice'!K$2:K$801,$W299)))</f>
        <v/>
      </c>
      <c r="L299" s="14">
        <f>IF($W299="","",IF(INDEX('Per Invoice'!L$2:L$801,$W299)="","",INDEX('Per Invoice'!L$2:L$801,$W299)))</f>
        <v/>
      </c>
      <c r="M299">
        <f>IF($W299="","",IF(INDEX('Per Invoice'!M$2:M$801,$W299)="","",INDEX('Per Invoice'!M$2:M$801,$W299)))</f>
        <v/>
      </c>
      <c r="N299" s="7">
        <f>IF($W299="","",IF(INDEX('Per Invoice'!N$2:N$801,$W299)="","",INDEX('Per Invoice'!N$2:N$801,$W299)))</f>
        <v/>
      </c>
      <c r="O299" s="7">
        <f>IF($W299="","",IF(INDEX('Per Invoice'!O$2:O$801,$W299)="","",INDEX('Per Invoice'!O$2:O$801,$W299)))</f>
        <v/>
      </c>
      <c r="P299">
        <f>IF($W299="","",IF(INDEX('Per Invoice'!P$2:P$801,$W299)="","",INDEX('Per Invoice'!P$2:P$801,$W299)))</f>
        <v/>
      </c>
      <c r="Q299" s="7">
        <f>IF($W299="","",IF(INDEX('Per Invoice'!Q$2:Q$801,$W299)="","",INDEX('Per Invoice'!Q$2:Q$801,$W299)))</f>
        <v/>
      </c>
      <c r="R299" s="7">
        <f>IF($W299="","",IF(INDEX('Per Invoice'!R$2:R$801,$W299)="","",INDEX('Per Invoice'!R$2:R$801,$W299)))</f>
        <v/>
      </c>
      <c r="S299" s="7">
        <f>IF($W299="","",IF(INDEX('Per Invoice'!S$2:S$801,$W299)="","",INDEX('Per Invoice'!S$2:S$801,$W299)))</f>
        <v/>
      </c>
      <c r="T299" s="7">
        <f>IF($W299="","",IF(INDEX('Per Invoice'!T$2:T$801,$W299)="","",INDEX('Per Invoice'!T$2:T$801,$W299)))</f>
        <v/>
      </c>
      <c r="U299" s="7">
        <f>IF($W299="","",IF(INDEX('Per Invoice'!U$2:U$801,$W299)="","",INDEX('Per Invoice'!U$2:U$801,$W299)))</f>
        <v/>
      </c>
      <c r="V299" s="7">
        <f>IF($W299="","",IF(INDEX('Per Invoice'!V$2:V$801,$W299)="","",INDEX('Per Invoice'!V$2:V$801,$W299)))</f>
        <v/>
      </c>
      <c r="W299" s="16">
        <f>IFERROR(MATCH(Settings!$C$27&amp;"|"&amp;ROWS($W$2:$W299),'Per Invoice'!$X$2:$X$801,0),"")</f>
        <v/>
      </c>
    </row>
    <row r="300">
      <c r="A300">
        <f>IF($W300="","",IF(INDEX('Per Invoice'!A$2:A$801,$W300)="","",INDEX('Per Invoice'!A$2:A$801,$W300)))</f>
        <v/>
      </c>
      <c r="B300">
        <f>IF($W300="","",IF(INDEX('Per Invoice'!B$2:B$801,$W300)="","",INDEX('Per Invoice'!B$2:B$801,$W300)))</f>
        <v/>
      </c>
      <c r="C300">
        <f>IF($W300="","",IF(INDEX('Per Invoice'!C$2:C$801,$W300)="","",INDEX('Per Invoice'!C$2:C$801,$W300)))</f>
        <v/>
      </c>
      <c r="D300">
        <f>IF($W300="","",IF(INDEX('Per Invoice'!D$2:D$801,$W300)="","",INDEX('Per Invoice'!D$2:D$801,$W300)))</f>
        <v/>
      </c>
      <c r="E300">
        <f>IF($W300="","",IF(INDEX('Per Invoice'!E$2:E$801,$W300)="","",INDEX('Per Invoice'!E$2:E$801,$W300)))</f>
        <v/>
      </c>
      <c r="F300">
        <f>IF($W300="","",IF(INDEX('Per Invoice'!F$2:F$801,$W300)="","",INDEX('Per Invoice'!F$2:F$801,$W300)))</f>
        <v/>
      </c>
      <c r="G300">
        <f>IF($W300="","",IF(INDEX('Per Invoice'!G$2:G$801,$W300)="","",INDEX('Per Invoice'!G$2:G$801,$W300)))</f>
        <v/>
      </c>
      <c r="H300">
        <f>IF($W300="","",IF(INDEX('Per Invoice'!H$2:H$801,$W300)="","",INDEX('Per Invoice'!H$2:H$801,$W300)))</f>
        <v/>
      </c>
      <c r="I300">
        <f>IF($W300="","",IF(INDEX('Per Invoice'!I$2:I$801,$W300)="","",INDEX('Per Invoice'!I$2:I$801,$W300)))</f>
        <v/>
      </c>
      <c r="J300">
        <f>IF($W300="","",IF(INDEX('Per Invoice'!J$2:J$801,$W300)="","",INDEX('Per Invoice'!J$2:J$801,$W300)))</f>
        <v/>
      </c>
      <c r="K300" s="7">
        <f>IF($W300="","",IF(INDEX('Per Invoice'!K$2:K$801,$W300)="","",INDEX('Per Invoice'!K$2:K$801,$W300)))</f>
        <v/>
      </c>
      <c r="L300" s="14">
        <f>IF($W300="","",IF(INDEX('Per Invoice'!L$2:L$801,$W300)="","",INDEX('Per Invoice'!L$2:L$801,$W300)))</f>
        <v/>
      </c>
      <c r="M300">
        <f>IF($W300="","",IF(INDEX('Per Invoice'!M$2:M$801,$W300)="","",INDEX('Per Invoice'!M$2:M$801,$W300)))</f>
        <v/>
      </c>
      <c r="N300" s="7">
        <f>IF($W300="","",IF(INDEX('Per Invoice'!N$2:N$801,$W300)="","",INDEX('Per Invoice'!N$2:N$801,$W300)))</f>
        <v/>
      </c>
      <c r="O300" s="7">
        <f>IF($W300="","",IF(INDEX('Per Invoice'!O$2:O$801,$W300)="","",INDEX('Per Invoice'!O$2:O$801,$W300)))</f>
        <v/>
      </c>
      <c r="P300">
        <f>IF($W300="","",IF(INDEX('Per Invoice'!P$2:P$801,$W300)="","",INDEX('Per Invoice'!P$2:P$801,$W300)))</f>
        <v/>
      </c>
      <c r="Q300" s="7">
        <f>IF($W300="","",IF(INDEX('Per Invoice'!Q$2:Q$801,$W300)="","",INDEX('Per Invoice'!Q$2:Q$801,$W300)))</f>
        <v/>
      </c>
      <c r="R300" s="7">
        <f>IF($W300="","",IF(INDEX('Per Invoice'!R$2:R$801,$W300)="","",INDEX('Per Invoice'!R$2:R$801,$W300)))</f>
        <v/>
      </c>
      <c r="S300" s="7">
        <f>IF($W300="","",IF(INDEX('Per Invoice'!S$2:S$801,$W300)="","",INDEX('Per Invoice'!S$2:S$801,$W300)))</f>
        <v/>
      </c>
      <c r="T300" s="7">
        <f>IF($W300="","",IF(INDEX('Per Invoice'!T$2:T$801,$W300)="","",INDEX('Per Invoice'!T$2:T$801,$W300)))</f>
        <v/>
      </c>
      <c r="U300" s="7">
        <f>IF($W300="","",IF(INDEX('Per Invoice'!U$2:U$801,$W300)="","",INDEX('Per Invoice'!U$2:U$801,$W300)))</f>
        <v/>
      </c>
      <c r="V300" s="7">
        <f>IF($W300="","",IF(INDEX('Per Invoice'!V$2:V$801,$W300)="","",INDEX('Per Invoice'!V$2:V$801,$W300)))</f>
        <v/>
      </c>
      <c r="W300" s="16">
        <f>IFERROR(MATCH(Settings!$C$27&amp;"|"&amp;ROWS($W$2:$W300),'Per Invoice'!$X$2:$X$801,0),"")</f>
        <v/>
      </c>
    </row>
    <row r="301">
      <c r="A301">
        <f>IF($W301="","",IF(INDEX('Per Invoice'!A$2:A$801,$W301)="","",INDEX('Per Invoice'!A$2:A$801,$W301)))</f>
        <v/>
      </c>
      <c r="B301">
        <f>IF($W301="","",IF(INDEX('Per Invoice'!B$2:B$801,$W301)="","",INDEX('Per Invoice'!B$2:B$801,$W301)))</f>
        <v/>
      </c>
      <c r="C301">
        <f>IF($W301="","",IF(INDEX('Per Invoice'!C$2:C$801,$W301)="","",INDEX('Per Invoice'!C$2:C$801,$W301)))</f>
        <v/>
      </c>
      <c r="D301">
        <f>IF($W301="","",IF(INDEX('Per Invoice'!D$2:D$801,$W301)="","",INDEX('Per Invoice'!D$2:D$801,$W301)))</f>
        <v/>
      </c>
      <c r="E301">
        <f>IF($W301="","",IF(INDEX('Per Invoice'!E$2:E$801,$W301)="","",INDEX('Per Invoice'!E$2:E$801,$W301)))</f>
        <v/>
      </c>
      <c r="F301">
        <f>IF($W301="","",IF(INDEX('Per Invoice'!F$2:F$801,$W301)="","",INDEX('Per Invoice'!F$2:F$801,$W301)))</f>
        <v/>
      </c>
      <c r="G301">
        <f>IF($W301="","",IF(INDEX('Per Invoice'!G$2:G$801,$W301)="","",INDEX('Per Invoice'!G$2:G$801,$W301)))</f>
        <v/>
      </c>
      <c r="H301">
        <f>IF($W301="","",IF(INDEX('Per Invoice'!H$2:H$801,$W301)="","",INDEX('Per Invoice'!H$2:H$801,$W301)))</f>
        <v/>
      </c>
      <c r="I301">
        <f>IF($W301="","",IF(INDEX('Per Invoice'!I$2:I$801,$W301)="","",INDEX('Per Invoice'!I$2:I$801,$W301)))</f>
        <v/>
      </c>
      <c r="J301">
        <f>IF($W301="","",IF(INDEX('Per Invoice'!J$2:J$801,$W301)="","",INDEX('Per Invoice'!J$2:J$801,$W301)))</f>
        <v/>
      </c>
      <c r="K301" s="7">
        <f>IF($W301="","",IF(INDEX('Per Invoice'!K$2:K$801,$W301)="","",INDEX('Per Invoice'!K$2:K$801,$W301)))</f>
        <v/>
      </c>
      <c r="L301" s="14">
        <f>IF($W301="","",IF(INDEX('Per Invoice'!L$2:L$801,$W301)="","",INDEX('Per Invoice'!L$2:L$801,$W301)))</f>
        <v/>
      </c>
      <c r="M301">
        <f>IF($W301="","",IF(INDEX('Per Invoice'!M$2:M$801,$W301)="","",INDEX('Per Invoice'!M$2:M$801,$W301)))</f>
        <v/>
      </c>
      <c r="N301" s="7">
        <f>IF($W301="","",IF(INDEX('Per Invoice'!N$2:N$801,$W301)="","",INDEX('Per Invoice'!N$2:N$801,$W301)))</f>
        <v/>
      </c>
      <c r="O301" s="7">
        <f>IF($W301="","",IF(INDEX('Per Invoice'!O$2:O$801,$W301)="","",INDEX('Per Invoice'!O$2:O$801,$W301)))</f>
        <v/>
      </c>
      <c r="P301">
        <f>IF($W301="","",IF(INDEX('Per Invoice'!P$2:P$801,$W301)="","",INDEX('Per Invoice'!P$2:P$801,$W301)))</f>
        <v/>
      </c>
      <c r="Q301" s="7">
        <f>IF($W301="","",IF(INDEX('Per Invoice'!Q$2:Q$801,$W301)="","",INDEX('Per Invoice'!Q$2:Q$801,$W301)))</f>
        <v/>
      </c>
      <c r="R301" s="7">
        <f>IF($W301="","",IF(INDEX('Per Invoice'!R$2:R$801,$W301)="","",INDEX('Per Invoice'!R$2:R$801,$W301)))</f>
        <v/>
      </c>
      <c r="S301" s="7">
        <f>IF($W301="","",IF(INDEX('Per Invoice'!S$2:S$801,$W301)="","",INDEX('Per Invoice'!S$2:S$801,$W301)))</f>
        <v/>
      </c>
      <c r="T301" s="7">
        <f>IF($W301="","",IF(INDEX('Per Invoice'!T$2:T$801,$W301)="","",INDEX('Per Invoice'!T$2:T$801,$W301)))</f>
        <v/>
      </c>
      <c r="U301" s="7">
        <f>IF($W301="","",IF(INDEX('Per Invoice'!U$2:U$801,$W301)="","",INDEX('Per Invoice'!U$2:U$801,$W301)))</f>
        <v/>
      </c>
      <c r="V301" s="7">
        <f>IF($W301="","",IF(INDEX('Per Invoice'!V$2:V$801,$W301)="","",INDEX('Per Invoice'!V$2:V$801,$W301)))</f>
        <v/>
      </c>
      <c r="W301" s="16">
        <f>IFERROR(MATCH(Settings!$C$27&amp;"|"&amp;ROWS($W$2:$W301),'Per Invoice'!$X$2:$X$801,0),"")</f>
        <v/>
      </c>
    </row>
  </sheetData>
  <autoFilter ref="A1:W3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26" customWidth="1" min="8" max="8"/>
    <col width="13" customWidth="1" min="9" max="9"/>
    <col width="12" customWidth="1" min="10" max="10"/>
    <col width="1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 ht="32" customHeight="1">
      <c r="A1" s="10" t="inlineStr">
        <is>
          <t>Invoice</t>
        </is>
      </c>
      <c r="B1" s="10" t="inlineStr">
        <is>
          <t>Pos Reference</t>
        </is>
      </c>
      <c r="C1" s="10" t="inlineStr">
        <is>
          <t>Approval</t>
        </is>
      </c>
      <c r="D1" s="10" t="inlineStr">
        <is>
          <t>##</t>
        </is>
      </c>
      <c r="E1" s="10" t="inlineStr">
        <is>
          <t>Payer</t>
        </is>
      </c>
      <c r="F1" s="10" t="inlineStr">
        <is>
          <t>Payment term</t>
        </is>
      </c>
      <c r="G1" s="10" t="inlineStr">
        <is>
          <t>Insurance Company</t>
        </is>
      </c>
      <c r="H1" s="10" t="inlineStr">
        <is>
          <t>Name</t>
        </is>
      </c>
      <c r="I1" s="10" t="inlineStr">
        <is>
          <t>Card Number</t>
        </is>
      </c>
      <c r="J1" s="10" t="inlineStr">
        <is>
          <t>Co Payment %</t>
        </is>
      </c>
      <c r="K1" s="10" t="inlineStr">
        <is>
          <t>Co val</t>
        </is>
      </c>
      <c r="L1" s="10" t="inlineStr">
        <is>
          <t>Create Date</t>
        </is>
      </c>
      <c r="M1" s="10" t="inlineStr">
        <is>
          <t>Imp%</t>
        </is>
      </c>
      <c r="N1" s="10" t="inlineStr">
        <is>
          <t>Imp</t>
        </is>
      </c>
      <c r="O1" s="10" t="inlineStr">
        <is>
          <t>Imp_Val</t>
        </is>
      </c>
      <c r="P1" s="10" t="inlineStr">
        <is>
          <t>Local%</t>
        </is>
      </c>
      <c r="Q1" s="10" t="inlineStr">
        <is>
          <t>Local</t>
        </is>
      </c>
      <c r="R1" s="10" t="inlineStr">
        <is>
          <t>Local_Val</t>
        </is>
      </c>
      <c r="S1" s="10" t="inlineStr">
        <is>
          <t>Discount</t>
        </is>
      </c>
      <c r="T1" s="10" t="inlineStr">
        <is>
          <t>Subtotal</t>
        </is>
      </c>
      <c r="U1" s="10" t="inlineStr">
        <is>
          <t>Net</t>
        </is>
      </c>
      <c r="V1" s="10" t="inlineStr">
        <is>
          <t>Grand Total</t>
        </is>
      </c>
      <c r="W1" s="13" t="inlineStr">
        <is>
          <t>Src Row (helper)</t>
        </is>
      </c>
    </row>
    <row r="2">
      <c r="A2">
        <f>IF($W2="","",IF(INDEX('Per Invoice'!A$2:A$801,$W2)="","",INDEX('Per Invoice'!A$2:A$801,$W2)))</f>
        <v/>
      </c>
      <c r="B2">
        <f>IF($W2="","",IF(INDEX('Per Invoice'!B$2:B$801,$W2)="","",INDEX('Per Invoice'!B$2:B$801,$W2)))</f>
        <v/>
      </c>
      <c r="C2">
        <f>IF($W2="","",IF(INDEX('Per Invoice'!C$2:C$801,$W2)="","",INDEX('Per Invoice'!C$2:C$801,$W2)))</f>
        <v/>
      </c>
      <c r="D2">
        <f>IF($W2="","",IF(INDEX('Per Invoice'!D$2:D$801,$W2)="","",INDEX('Per Invoice'!D$2:D$801,$W2)))</f>
        <v/>
      </c>
      <c r="E2">
        <f>IF($W2="","",IF(INDEX('Per Invoice'!E$2:E$801,$W2)="","",INDEX('Per Invoice'!E$2:E$801,$W2)))</f>
        <v/>
      </c>
      <c r="F2">
        <f>IF($W2="","",IF(INDEX('Per Invoice'!F$2:F$801,$W2)="","",INDEX('Per Invoice'!F$2:F$801,$W2)))</f>
        <v/>
      </c>
      <c r="G2">
        <f>IF($W2="","",IF(INDEX('Per Invoice'!G$2:G$801,$W2)="","",INDEX('Per Invoice'!G$2:G$801,$W2)))</f>
        <v/>
      </c>
      <c r="H2">
        <f>IF($W2="","",IF(INDEX('Per Invoice'!H$2:H$801,$W2)="","",INDEX('Per Invoice'!H$2:H$801,$W2)))</f>
        <v/>
      </c>
      <c r="I2">
        <f>IF($W2="","",IF(INDEX('Per Invoice'!I$2:I$801,$W2)="","",INDEX('Per Invoice'!I$2:I$801,$W2)))</f>
        <v/>
      </c>
      <c r="J2">
        <f>IF($W2="","",IF(INDEX('Per Invoice'!J$2:J$801,$W2)="","",INDEX('Per Invoice'!J$2:J$801,$W2)))</f>
        <v/>
      </c>
      <c r="K2" s="7">
        <f>IF($W2="","",IF(INDEX('Per Invoice'!K$2:K$801,$W2)="","",INDEX('Per Invoice'!K$2:K$801,$W2)))</f>
        <v/>
      </c>
      <c r="L2" s="14">
        <f>IF($W2="","",IF(INDEX('Per Invoice'!L$2:L$801,$W2)="","",INDEX('Per Invoice'!L$2:L$801,$W2)))</f>
        <v/>
      </c>
      <c r="M2">
        <f>IF($W2="","",IF(INDEX('Per Invoice'!M$2:M$801,$W2)="","",INDEX('Per Invoice'!M$2:M$801,$W2)))</f>
        <v/>
      </c>
      <c r="N2" s="7">
        <f>IF($W2="","",IF(INDEX('Per Invoice'!N$2:N$801,$W2)="","",INDEX('Per Invoice'!N$2:N$801,$W2)))</f>
        <v/>
      </c>
      <c r="O2" s="7">
        <f>IF($W2="","",IF(INDEX('Per Invoice'!O$2:O$801,$W2)="","",INDEX('Per Invoice'!O$2:O$801,$W2)))</f>
        <v/>
      </c>
      <c r="P2">
        <f>IF($W2="","",IF(INDEX('Per Invoice'!P$2:P$801,$W2)="","",INDEX('Per Invoice'!P$2:P$801,$W2)))</f>
        <v/>
      </c>
      <c r="Q2" s="7">
        <f>IF($W2="","",IF(INDEX('Per Invoice'!Q$2:Q$801,$W2)="","",INDEX('Per Invoice'!Q$2:Q$801,$W2)))</f>
        <v/>
      </c>
      <c r="R2" s="7">
        <f>IF($W2="","",IF(INDEX('Per Invoice'!R$2:R$801,$W2)="","",INDEX('Per Invoice'!R$2:R$801,$W2)))</f>
        <v/>
      </c>
      <c r="S2" s="7">
        <f>IF($W2="","",IF(INDEX('Per Invoice'!S$2:S$801,$W2)="","",INDEX('Per Invoice'!S$2:S$801,$W2)))</f>
        <v/>
      </c>
      <c r="T2" s="7">
        <f>IF($W2="","",IF(INDEX('Per Invoice'!T$2:T$801,$W2)="","",INDEX('Per Invoice'!T$2:T$801,$W2)))</f>
        <v/>
      </c>
      <c r="U2" s="7">
        <f>IF($W2="","",IF(INDEX('Per Invoice'!U$2:U$801,$W2)="","",INDEX('Per Invoice'!U$2:U$801,$W2)))</f>
        <v/>
      </c>
      <c r="V2" s="7">
        <f>IF($W2="","",IF(INDEX('Per Invoice'!V$2:V$801,$W2)="","",INDEX('Per Invoice'!V$2:V$801,$W2)))</f>
        <v/>
      </c>
      <c r="W2" s="16">
        <f>IFERROR(MATCH(Settings!$C$28&amp;"|"&amp;ROWS($W$2:$W2),'Per Invoice'!$X$2:$X$801,0),"")</f>
        <v/>
      </c>
    </row>
    <row r="3">
      <c r="A3">
        <f>IF($W3="","",IF(INDEX('Per Invoice'!A$2:A$801,$W3)="","",INDEX('Per Invoice'!A$2:A$801,$W3)))</f>
        <v/>
      </c>
      <c r="B3">
        <f>IF($W3="","",IF(INDEX('Per Invoice'!B$2:B$801,$W3)="","",INDEX('Per Invoice'!B$2:B$801,$W3)))</f>
        <v/>
      </c>
      <c r="C3">
        <f>IF($W3="","",IF(INDEX('Per Invoice'!C$2:C$801,$W3)="","",INDEX('Per Invoice'!C$2:C$801,$W3)))</f>
        <v/>
      </c>
      <c r="D3">
        <f>IF($W3="","",IF(INDEX('Per Invoice'!D$2:D$801,$W3)="","",INDEX('Per Invoice'!D$2:D$801,$W3)))</f>
        <v/>
      </c>
      <c r="E3">
        <f>IF($W3="","",IF(INDEX('Per Invoice'!E$2:E$801,$W3)="","",INDEX('Per Invoice'!E$2:E$801,$W3)))</f>
        <v/>
      </c>
      <c r="F3">
        <f>IF($W3="","",IF(INDEX('Per Invoice'!F$2:F$801,$W3)="","",INDEX('Per Invoice'!F$2:F$801,$W3)))</f>
        <v/>
      </c>
      <c r="G3">
        <f>IF($W3="","",IF(INDEX('Per Invoice'!G$2:G$801,$W3)="","",INDEX('Per Invoice'!G$2:G$801,$W3)))</f>
        <v/>
      </c>
      <c r="H3">
        <f>IF($W3="","",IF(INDEX('Per Invoice'!H$2:H$801,$W3)="","",INDEX('Per Invoice'!H$2:H$801,$W3)))</f>
        <v/>
      </c>
      <c r="I3">
        <f>IF($W3="","",IF(INDEX('Per Invoice'!I$2:I$801,$W3)="","",INDEX('Per Invoice'!I$2:I$801,$W3)))</f>
        <v/>
      </c>
      <c r="J3">
        <f>IF($W3="","",IF(INDEX('Per Invoice'!J$2:J$801,$W3)="","",INDEX('Per Invoice'!J$2:J$801,$W3)))</f>
        <v/>
      </c>
      <c r="K3" s="7">
        <f>IF($W3="","",IF(INDEX('Per Invoice'!K$2:K$801,$W3)="","",INDEX('Per Invoice'!K$2:K$801,$W3)))</f>
        <v/>
      </c>
      <c r="L3" s="14">
        <f>IF($W3="","",IF(INDEX('Per Invoice'!L$2:L$801,$W3)="","",INDEX('Per Invoice'!L$2:L$801,$W3)))</f>
        <v/>
      </c>
      <c r="M3">
        <f>IF($W3="","",IF(INDEX('Per Invoice'!M$2:M$801,$W3)="","",INDEX('Per Invoice'!M$2:M$801,$W3)))</f>
        <v/>
      </c>
      <c r="N3" s="7">
        <f>IF($W3="","",IF(INDEX('Per Invoice'!N$2:N$801,$W3)="","",INDEX('Per Invoice'!N$2:N$801,$W3)))</f>
        <v/>
      </c>
      <c r="O3" s="7">
        <f>IF($W3="","",IF(INDEX('Per Invoice'!O$2:O$801,$W3)="","",INDEX('Per Invoice'!O$2:O$801,$W3)))</f>
        <v/>
      </c>
      <c r="P3">
        <f>IF($W3="","",IF(INDEX('Per Invoice'!P$2:P$801,$W3)="","",INDEX('Per Invoice'!P$2:P$801,$W3)))</f>
        <v/>
      </c>
      <c r="Q3" s="7">
        <f>IF($W3="","",IF(INDEX('Per Invoice'!Q$2:Q$801,$W3)="","",INDEX('Per Invoice'!Q$2:Q$801,$W3)))</f>
        <v/>
      </c>
      <c r="R3" s="7">
        <f>IF($W3="","",IF(INDEX('Per Invoice'!R$2:R$801,$W3)="","",INDEX('Per Invoice'!R$2:R$801,$W3)))</f>
        <v/>
      </c>
      <c r="S3" s="7">
        <f>IF($W3="","",IF(INDEX('Per Invoice'!S$2:S$801,$W3)="","",INDEX('Per Invoice'!S$2:S$801,$W3)))</f>
        <v/>
      </c>
      <c r="T3" s="7">
        <f>IF($W3="","",IF(INDEX('Per Invoice'!T$2:T$801,$W3)="","",INDEX('Per Invoice'!T$2:T$801,$W3)))</f>
        <v/>
      </c>
      <c r="U3" s="7">
        <f>IF($W3="","",IF(INDEX('Per Invoice'!U$2:U$801,$W3)="","",INDEX('Per Invoice'!U$2:U$801,$W3)))</f>
        <v/>
      </c>
      <c r="V3" s="7">
        <f>IF($W3="","",IF(INDEX('Per Invoice'!V$2:V$801,$W3)="","",INDEX('Per Invoice'!V$2:V$801,$W3)))</f>
        <v/>
      </c>
      <c r="W3" s="16">
        <f>IFERROR(MATCH(Settings!$C$28&amp;"|"&amp;ROWS($W$2:$W3),'Per Invoice'!$X$2:$X$801,0),"")</f>
        <v/>
      </c>
    </row>
    <row r="4">
      <c r="A4">
        <f>IF($W4="","",IF(INDEX('Per Invoice'!A$2:A$801,$W4)="","",INDEX('Per Invoice'!A$2:A$801,$W4)))</f>
        <v/>
      </c>
      <c r="B4">
        <f>IF($W4="","",IF(INDEX('Per Invoice'!B$2:B$801,$W4)="","",INDEX('Per Invoice'!B$2:B$801,$W4)))</f>
        <v/>
      </c>
      <c r="C4">
        <f>IF($W4="","",IF(INDEX('Per Invoice'!C$2:C$801,$W4)="","",INDEX('Per Invoice'!C$2:C$801,$W4)))</f>
        <v/>
      </c>
      <c r="D4">
        <f>IF($W4="","",IF(INDEX('Per Invoice'!D$2:D$801,$W4)="","",INDEX('Per Invoice'!D$2:D$801,$W4)))</f>
        <v/>
      </c>
      <c r="E4">
        <f>IF($W4="","",IF(INDEX('Per Invoice'!E$2:E$801,$W4)="","",INDEX('Per Invoice'!E$2:E$801,$W4)))</f>
        <v/>
      </c>
      <c r="F4">
        <f>IF($W4="","",IF(INDEX('Per Invoice'!F$2:F$801,$W4)="","",INDEX('Per Invoice'!F$2:F$801,$W4)))</f>
        <v/>
      </c>
      <c r="G4">
        <f>IF($W4="","",IF(INDEX('Per Invoice'!G$2:G$801,$W4)="","",INDEX('Per Invoice'!G$2:G$801,$W4)))</f>
        <v/>
      </c>
      <c r="H4">
        <f>IF($W4="","",IF(INDEX('Per Invoice'!H$2:H$801,$W4)="","",INDEX('Per Invoice'!H$2:H$801,$W4)))</f>
        <v/>
      </c>
      <c r="I4">
        <f>IF($W4="","",IF(INDEX('Per Invoice'!I$2:I$801,$W4)="","",INDEX('Per Invoice'!I$2:I$801,$W4)))</f>
        <v/>
      </c>
      <c r="J4">
        <f>IF($W4="","",IF(INDEX('Per Invoice'!J$2:J$801,$W4)="","",INDEX('Per Invoice'!J$2:J$801,$W4)))</f>
        <v/>
      </c>
      <c r="K4" s="7">
        <f>IF($W4="","",IF(INDEX('Per Invoice'!K$2:K$801,$W4)="","",INDEX('Per Invoice'!K$2:K$801,$W4)))</f>
        <v/>
      </c>
      <c r="L4" s="14">
        <f>IF($W4="","",IF(INDEX('Per Invoice'!L$2:L$801,$W4)="","",INDEX('Per Invoice'!L$2:L$801,$W4)))</f>
        <v/>
      </c>
      <c r="M4">
        <f>IF($W4="","",IF(INDEX('Per Invoice'!M$2:M$801,$W4)="","",INDEX('Per Invoice'!M$2:M$801,$W4)))</f>
        <v/>
      </c>
      <c r="N4" s="7">
        <f>IF($W4="","",IF(INDEX('Per Invoice'!N$2:N$801,$W4)="","",INDEX('Per Invoice'!N$2:N$801,$W4)))</f>
        <v/>
      </c>
      <c r="O4" s="7">
        <f>IF($W4="","",IF(INDEX('Per Invoice'!O$2:O$801,$W4)="","",INDEX('Per Invoice'!O$2:O$801,$W4)))</f>
        <v/>
      </c>
      <c r="P4">
        <f>IF($W4="","",IF(INDEX('Per Invoice'!P$2:P$801,$W4)="","",INDEX('Per Invoice'!P$2:P$801,$W4)))</f>
        <v/>
      </c>
      <c r="Q4" s="7">
        <f>IF($W4="","",IF(INDEX('Per Invoice'!Q$2:Q$801,$W4)="","",INDEX('Per Invoice'!Q$2:Q$801,$W4)))</f>
        <v/>
      </c>
      <c r="R4" s="7">
        <f>IF($W4="","",IF(INDEX('Per Invoice'!R$2:R$801,$W4)="","",INDEX('Per Invoice'!R$2:R$801,$W4)))</f>
        <v/>
      </c>
      <c r="S4" s="7">
        <f>IF($W4="","",IF(INDEX('Per Invoice'!S$2:S$801,$W4)="","",INDEX('Per Invoice'!S$2:S$801,$W4)))</f>
        <v/>
      </c>
      <c r="T4" s="7">
        <f>IF($W4="","",IF(INDEX('Per Invoice'!T$2:T$801,$W4)="","",INDEX('Per Invoice'!T$2:T$801,$W4)))</f>
        <v/>
      </c>
      <c r="U4" s="7">
        <f>IF($W4="","",IF(INDEX('Per Invoice'!U$2:U$801,$W4)="","",INDEX('Per Invoice'!U$2:U$801,$W4)))</f>
        <v/>
      </c>
      <c r="V4" s="7">
        <f>IF($W4="","",IF(INDEX('Per Invoice'!V$2:V$801,$W4)="","",INDEX('Per Invoice'!V$2:V$801,$W4)))</f>
        <v/>
      </c>
      <c r="W4" s="16">
        <f>IFERROR(MATCH(Settings!$C$28&amp;"|"&amp;ROWS($W$2:$W4),'Per Invoice'!$X$2:$X$801,0),"")</f>
        <v/>
      </c>
    </row>
    <row r="5">
      <c r="A5">
        <f>IF($W5="","",IF(INDEX('Per Invoice'!A$2:A$801,$W5)="","",INDEX('Per Invoice'!A$2:A$801,$W5)))</f>
        <v/>
      </c>
      <c r="B5">
        <f>IF($W5="","",IF(INDEX('Per Invoice'!B$2:B$801,$W5)="","",INDEX('Per Invoice'!B$2:B$801,$W5)))</f>
        <v/>
      </c>
      <c r="C5">
        <f>IF($W5="","",IF(INDEX('Per Invoice'!C$2:C$801,$W5)="","",INDEX('Per Invoice'!C$2:C$801,$W5)))</f>
        <v/>
      </c>
      <c r="D5">
        <f>IF($W5="","",IF(INDEX('Per Invoice'!D$2:D$801,$W5)="","",INDEX('Per Invoice'!D$2:D$801,$W5)))</f>
        <v/>
      </c>
      <c r="E5">
        <f>IF($W5="","",IF(INDEX('Per Invoice'!E$2:E$801,$W5)="","",INDEX('Per Invoice'!E$2:E$801,$W5)))</f>
        <v/>
      </c>
      <c r="F5">
        <f>IF($W5="","",IF(INDEX('Per Invoice'!F$2:F$801,$W5)="","",INDEX('Per Invoice'!F$2:F$801,$W5)))</f>
        <v/>
      </c>
      <c r="G5">
        <f>IF($W5="","",IF(INDEX('Per Invoice'!G$2:G$801,$W5)="","",INDEX('Per Invoice'!G$2:G$801,$W5)))</f>
        <v/>
      </c>
      <c r="H5">
        <f>IF($W5="","",IF(INDEX('Per Invoice'!H$2:H$801,$W5)="","",INDEX('Per Invoice'!H$2:H$801,$W5)))</f>
        <v/>
      </c>
      <c r="I5">
        <f>IF($W5="","",IF(INDEX('Per Invoice'!I$2:I$801,$W5)="","",INDEX('Per Invoice'!I$2:I$801,$W5)))</f>
        <v/>
      </c>
      <c r="J5">
        <f>IF($W5="","",IF(INDEX('Per Invoice'!J$2:J$801,$W5)="","",INDEX('Per Invoice'!J$2:J$801,$W5)))</f>
        <v/>
      </c>
      <c r="K5" s="7">
        <f>IF($W5="","",IF(INDEX('Per Invoice'!K$2:K$801,$W5)="","",INDEX('Per Invoice'!K$2:K$801,$W5)))</f>
        <v/>
      </c>
      <c r="L5" s="14">
        <f>IF($W5="","",IF(INDEX('Per Invoice'!L$2:L$801,$W5)="","",INDEX('Per Invoice'!L$2:L$801,$W5)))</f>
        <v/>
      </c>
      <c r="M5">
        <f>IF($W5="","",IF(INDEX('Per Invoice'!M$2:M$801,$W5)="","",INDEX('Per Invoice'!M$2:M$801,$W5)))</f>
        <v/>
      </c>
      <c r="N5" s="7">
        <f>IF($W5="","",IF(INDEX('Per Invoice'!N$2:N$801,$W5)="","",INDEX('Per Invoice'!N$2:N$801,$W5)))</f>
        <v/>
      </c>
      <c r="O5" s="7">
        <f>IF($W5="","",IF(INDEX('Per Invoice'!O$2:O$801,$W5)="","",INDEX('Per Invoice'!O$2:O$801,$W5)))</f>
        <v/>
      </c>
      <c r="P5">
        <f>IF($W5="","",IF(INDEX('Per Invoice'!P$2:P$801,$W5)="","",INDEX('Per Invoice'!P$2:P$801,$W5)))</f>
        <v/>
      </c>
      <c r="Q5" s="7">
        <f>IF($W5="","",IF(INDEX('Per Invoice'!Q$2:Q$801,$W5)="","",INDEX('Per Invoice'!Q$2:Q$801,$W5)))</f>
        <v/>
      </c>
      <c r="R5" s="7">
        <f>IF($W5="","",IF(INDEX('Per Invoice'!R$2:R$801,$W5)="","",INDEX('Per Invoice'!R$2:R$801,$W5)))</f>
        <v/>
      </c>
      <c r="S5" s="7">
        <f>IF($W5="","",IF(INDEX('Per Invoice'!S$2:S$801,$W5)="","",INDEX('Per Invoice'!S$2:S$801,$W5)))</f>
        <v/>
      </c>
      <c r="T5" s="7">
        <f>IF($W5="","",IF(INDEX('Per Invoice'!T$2:T$801,$W5)="","",INDEX('Per Invoice'!T$2:T$801,$W5)))</f>
        <v/>
      </c>
      <c r="U5" s="7">
        <f>IF($W5="","",IF(INDEX('Per Invoice'!U$2:U$801,$W5)="","",INDEX('Per Invoice'!U$2:U$801,$W5)))</f>
        <v/>
      </c>
      <c r="V5" s="7">
        <f>IF($W5="","",IF(INDEX('Per Invoice'!V$2:V$801,$W5)="","",INDEX('Per Invoice'!V$2:V$801,$W5)))</f>
        <v/>
      </c>
      <c r="W5" s="16">
        <f>IFERROR(MATCH(Settings!$C$28&amp;"|"&amp;ROWS($W$2:$W5),'Per Invoice'!$X$2:$X$801,0),"")</f>
        <v/>
      </c>
    </row>
    <row r="6">
      <c r="A6">
        <f>IF($W6="","",IF(INDEX('Per Invoice'!A$2:A$801,$W6)="","",INDEX('Per Invoice'!A$2:A$801,$W6)))</f>
        <v/>
      </c>
      <c r="B6">
        <f>IF($W6="","",IF(INDEX('Per Invoice'!B$2:B$801,$W6)="","",INDEX('Per Invoice'!B$2:B$801,$W6)))</f>
        <v/>
      </c>
      <c r="C6">
        <f>IF($W6="","",IF(INDEX('Per Invoice'!C$2:C$801,$W6)="","",INDEX('Per Invoice'!C$2:C$801,$W6)))</f>
        <v/>
      </c>
      <c r="D6">
        <f>IF($W6="","",IF(INDEX('Per Invoice'!D$2:D$801,$W6)="","",INDEX('Per Invoice'!D$2:D$801,$W6)))</f>
        <v/>
      </c>
      <c r="E6">
        <f>IF($W6="","",IF(INDEX('Per Invoice'!E$2:E$801,$W6)="","",INDEX('Per Invoice'!E$2:E$801,$W6)))</f>
        <v/>
      </c>
      <c r="F6">
        <f>IF($W6="","",IF(INDEX('Per Invoice'!F$2:F$801,$W6)="","",INDEX('Per Invoice'!F$2:F$801,$W6)))</f>
        <v/>
      </c>
      <c r="G6">
        <f>IF($W6="","",IF(INDEX('Per Invoice'!G$2:G$801,$W6)="","",INDEX('Per Invoice'!G$2:G$801,$W6)))</f>
        <v/>
      </c>
      <c r="H6">
        <f>IF($W6="","",IF(INDEX('Per Invoice'!H$2:H$801,$W6)="","",INDEX('Per Invoice'!H$2:H$801,$W6)))</f>
        <v/>
      </c>
      <c r="I6">
        <f>IF($W6="","",IF(INDEX('Per Invoice'!I$2:I$801,$W6)="","",INDEX('Per Invoice'!I$2:I$801,$W6)))</f>
        <v/>
      </c>
      <c r="J6">
        <f>IF($W6="","",IF(INDEX('Per Invoice'!J$2:J$801,$W6)="","",INDEX('Per Invoice'!J$2:J$801,$W6)))</f>
        <v/>
      </c>
      <c r="K6" s="7">
        <f>IF($W6="","",IF(INDEX('Per Invoice'!K$2:K$801,$W6)="","",INDEX('Per Invoice'!K$2:K$801,$W6)))</f>
        <v/>
      </c>
      <c r="L6" s="14">
        <f>IF($W6="","",IF(INDEX('Per Invoice'!L$2:L$801,$W6)="","",INDEX('Per Invoice'!L$2:L$801,$W6)))</f>
        <v/>
      </c>
      <c r="M6">
        <f>IF($W6="","",IF(INDEX('Per Invoice'!M$2:M$801,$W6)="","",INDEX('Per Invoice'!M$2:M$801,$W6)))</f>
        <v/>
      </c>
      <c r="N6" s="7">
        <f>IF($W6="","",IF(INDEX('Per Invoice'!N$2:N$801,$W6)="","",INDEX('Per Invoice'!N$2:N$801,$W6)))</f>
        <v/>
      </c>
      <c r="O6" s="7">
        <f>IF($W6="","",IF(INDEX('Per Invoice'!O$2:O$801,$W6)="","",INDEX('Per Invoice'!O$2:O$801,$W6)))</f>
        <v/>
      </c>
      <c r="P6">
        <f>IF($W6="","",IF(INDEX('Per Invoice'!P$2:P$801,$W6)="","",INDEX('Per Invoice'!P$2:P$801,$W6)))</f>
        <v/>
      </c>
      <c r="Q6" s="7">
        <f>IF($W6="","",IF(INDEX('Per Invoice'!Q$2:Q$801,$W6)="","",INDEX('Per Invoice'!Q$2:Q$801,$W6)))</f>
        <v/>
      </c>
      <c r="R6" s="7">
        <f>IF($W6="","",IF(INDEX('Per Invoice'!R$2:R$801,$W6)="","",INDEX('Per Invoice'!R$2:R$801,$W6)))</f>
        <v/>
      </c>
      <c r="S6" s="7">
        <f>IF($W6="","",IF(INDEX('Per Invoice'!S$2:S$801,$W6)="","",INDEX('Per Invoice'!S$2:S$801,$W6)))</f>
        <v/>
      </c>
      <c r="T6" s="7">
        <f>IF($W6="","",IF(INDEX('Per Invoice'!T$2:T$801,$W6)="","",INDEX('Per Invoice'!T$2:T$801,$W6)))</f>
        <v/>
      </c>
      <c r="U6" s="7">
        <f>IF($W6="","",IF(INDEX('Per Invoice'!U$2:U$801,$W6)="","",INDEX('Per Invoice'!U$2:U$801,$W6)))</f>
        <v/>
      </c>
      <c r="V6" s="7">
        <f>IF($W6="","",IF(INDEX('Per Invoice'!V$2:V$801,$W6)="","",INDEX('Per Invoice'!V$2:V$801,$W6)))</f>
        <v/>
      </c>
      <c r="W6" s="16">
        <f>IFERROR(MATCH(Settings!$C$28&amp;"|"&amp;ROWS($W$2:$W6),'Per Invoice'!$X$2:$X$801,0),"")</f>
        <v/>
      </c>
    </row>
    <row r="7">
      <c r="A7">
        <f>IF($W7="","",IF(INDEX('Per Invoice'!A$2:A$801,$W7)="","",INDEX('Per Invoice'!A$2:A$801,$W7)))</f>
        <v/>
      </c>
      <c r="B7">
        <f>IF($W7="","",IF(INDEX('Per Invoice'!B$2:B$801,$W7)="","",INDEX('Per Invoice'!B$2:B$801,$W7)))</f>
        <v/>
      </c>
      <c r="C7">
        <f>IF($W7="","",IF(INDEX('Per Invoice'!C$2:C$801,$W7)="","",INDEX('Per Invoice'!C$2:C$801,$W7)))</f>
        <v/>
      </c>
      <c r="D7">
        <f>IF($W7="","",IF(INDEX('Per Invoice'!D$2:D$801,$W7)="","",INDEX('Per Invoice'!D$2:D$801,$W7)))</f>
        <v/>
      </c>
      <c r="E7">
        <f>IF($W7="","",IF(INDEX('Per Invoice'!E$2:E$801,$W7)="","",INDEX('Per Invoice'!E$2:E$801,$W7)))</f>
        <v/>
      </c>
      <c r="F7">
        <f>IF($W7="","",IF(INDEX('Per Invoice'!F$2:F$801,$W7)="","",INDEX('Per Invoice'!F$2:F$801,$W7)))</f>
        <v/>
      </c>
      <c r="G7">
        <f>IF($W7="","",IF(INDEX('Per Invoice'!G$2:G$801,$W7)="","",INDEX('Per Invoice'!G$2:G$801,$W7)))</f>
        <v/>
      </c>
      <c r="H7">
        <f>IF($W7="","",IF(INDEX('Per Invoice'!H$2:H$801,$W7)="","",INDEX('Per Invoice'!H$2:H$801,$W7)))</f>
        <v/>
      </c>
      <c r="I7">
        <f>IF($W7="","",IF(INDEX('Per Invoice'!I$2:I$801,$W7)="","",INDEX('Per Invoice'!I$2:I$801,$W7)))</f>
        <v/>
      </c>
      <c r="J7">
        <f>IF($W7="","",IF(INDEX('Per Invoice'!J$2:J$801,$W7)="","",INDEX('Per Invoice'!J$2:J$801,$W7)))</f>
        <v/>
      </c>
      <c r="K7" s="7">
        <f>IF($W7="","",IF(INDEX('Per Invoice'!K$2:K$801,$W7)="","",INDEX('Per Invoice'!K$2:K$801,$W7)))</f>
        <v/>
      </c>
      <c r="L7" s="14">
        <f>IF($W7="","",IF(INDEX('Per Invoice'!L$2:L$801,$W7)="","",INDEX('Per Invoice'!L$2:L$801,$W7)))</f>
        <v/>
      </c>
      <c r="M7">
        <f>IF($W7="","",IF(INDEX('Per Invoice'!M$2:M$801,$W7)="","",INDEX('Per Invoice'!M$2:M$801,$W7)))</f>
        <v/>
      </c>
      <c r="N7" s="7">
        <f>IF($W7="","",IF(INDEX('Per Invoice'!N$2:N$801,$W7)="","",INDEX('Per Invoice'!N$2:N$801,$W7)))</f>
        <v/>
      </c>
      <c r="O7" s="7">
        <f>IF($W7="","",IF(INDEX('Per Invoice'!O$2:O$801,$W7)="","",INDEX('Per Invoice'!O$2:O$801,$W7)))</f>
        <v/>
      </c>
      <c r="P7">
        <f>IF($W7="","",IF(INDEX('Per Invoice'!P$2:P$801,$W7)="","",INDEX('Per Invoice'!P$2:P$801,$W7)))</f>
        <v/>
      </c>
      <c r="Q7" s="7">
        <f>IF($W7="","",IF(INDEX('Per Invoice'!Q$2:Q$801,$W7)="","",INDEX('Per Invoice'!Q$2:Q$801,$W7)))</f>
        <v/>
      </c>
      <c r="R7" s="7">
        <f>IF($W7="","",IF(INDEX('Per Invoice'!R$2:R$801,$W7)="","",INDEX('Per Invoice'!R$2:R$801,$W7)))</f>
        <v/>
      </c>
      <c r="S7" s="7">
        <f>IF($W7="","",IF(INDEX('Per Invoice'!S$2:S$801,$W7)="","",INDEX('Per Invoice'!S$2:S$801,$W7)))</f>
        <v/>
      </c>
      <c r="T7" s="7">
        <f>IF($W7="","",IF(INDEX('Per Invoice'!T$2:T$801,$W7)="","",INDEX('Per Invoice'!T$2:T$801,$W7)))</f>
        <v/>
      </c>
      <c r="U7" s="7">
        <f>IF($W7="","",IF(INDEX('Per Invoice'!U$2:U$801,$W7)="","",INDEX('Per Invoice'!U$2:U$801,$W7)))</f>
        <v/>
      </c>
      <c r="V7" s="7">
        <f>IF($W7="","",IF(INDEX('Per Invoice'!V$2:V$801,$W7)="","",INDEX('Per Invoice'!V$2:V$801,$W7)))</f>
        <v/>
      </c>
      <c r="W7" s="16">
        <f>IFERROR(MATCH(Settings!$C$28&amp;"|"&amp;ROWS($W$2:$W7),'Per Invoice'!$X$2:$X$801,0),"")</f>
        <v/>
      </c>
    </row>
    <row r="8">
      <c r="A8">
        <f>IF($W8="","",IF(INDEX('Per Invoice'!A$2:A$801,$W8)="","",INDEX('Per Invoice'!A$2:A$801,$W8)))</f>
        <v/>
      </c>
      <c r="B8">
        <f>IF($W8="","",IF(INDEX('Per Invoice'!B$2:B$801,$W8)="","",INDEX('Per Invoice'!B$2:B$801,$W8)))</f>
        <v/>
      </c>
      <c r="C8">
        <f>IF($W8="","",IF(INDEX('Per Invoice'!C$2:C$801,$W8)="","",INDEX('Per Invoice'!C$2:C$801,$W8)))</f>
        <v/>
      </c>
      <c r="D8">
        <f>IF($W8="","",IF(INDEX('Per Invoice'!D$2:D$801,$W8)="","",INDEX('Per Invoice'!D$2:D$801,$W8)))</f>
        <v/>
      </c>
      <c r="E8">
        <f>IF($W8="","",IF(INDEX('Per Invoice'!E$2:E$801,$W8)="","",INDEX('Per Invoice'!E$2:E$801,$W8)))</f>
        <v/>
      </c>
      <c r="F8">
        <f>IF($W8="","",IF(INDEX('Per Invoice'!F$2:F$801,$W8)="","",INDEX('Per Invoice'!F$2:F$801,$W8)))</f>
        <v/>
      </c>
      <c r="G8">
        <f>IF($W8="","",IF(INDEX('Per Invoice'!G$2:G$801,$W8)="","",INDEX('Per Invoice'!G$2:G$801,$W8)))</f>
        <v/>
      </c>
      <c r="H8">
        <f>IF($W8="","",IF(INDEX('Per Invoice'!H$2:H$801,$W8)="","",INDEX('Per Invoice'!H$2:H$801,$W8)))</f>
        <v/>
      </c>
      <c r="I8">
        <f>IF($W8="","",IF(INDEX('Per Invoice'!I$2:I$801,$W8)="","",INDEX('Per Invoice'!I$2:I$801,$W8)))</f>
        <v/>
      </c>
      <c r="J8">
        <f>IF($W8="","",IF(INDEX('Per Invoice'!J$2:J$801,$W8)="","",INDEX('Per Invoice'!J$2:J$801,$W8)))</f>
        <v/>
      </c>
      <c r="K8" s="7">
        <f>IF($W8="","",IF(INDEX('Per Invoice'!K$2:K$801,$W8)="","",INDEX('Per Invoice'!K$2:K$801,$W8)))</f>
        <v/>
      </c>
      <c r="L8" s="14">
        <f>IF($W8="","",IF(INDEX('Per Invoice'!L$2:L$801,$W8)="","",INDEX('Per Invoice'!L$2:L$801,$W8)))</f>
        <v/>
      </c>
      <c r="M8">
        <f>IF($W8="","",IF(INDEX('Per Invoice'!M$2:M$801,$W8)="","",INDEX('Per Invoice'!M$2:M$801,$W8)))</f>
        <v/>
      </c>
      <c r="N8" s="7">
        <f>IF($W8="","",IF(INDEX('Per Invoice'!N$2:N$801,$W8)="","",INDEX('Per Invoice'!N$2:N$801,$W8)))</f>
        <v/>
      </c>
      <c r="O8" s="7">
        <f>IF($W8="","",IF(INDEX('Per Invoice'!O$2:O$801,$W8)="","",INDEX('Per Invoice'!O$2:O$801,$W8)))</f>
        <v/>
      </c>
      <c r="P8">
        <f>IF($W8="","",IF(INDEX('Per Invoice'!P$2:P$801,$W8)="","",INDEX('Per Invoice'!P$2:P$801,$W8)))</f>
        <v/>
      </c>
      <c r="Q8" s="7">
        <f>IF($W8="","",IF(INDEX('Per Invoice'!Q$2:Q$801,$W8)="","",INDEX('Per Invoice'!Q$2:Q$801,$W8)))</f>
        <v/>
      </c>
      <c r="R8" s="7">
        <f>IF($W8="","",IF(INDEX('Per Invoice'!R$2:R$801,$W8)="","",INDEX('Per Invoice'!R$2:R$801,$W8)))</f>
        <v/>
      </c>
      <c r="S8" s="7">
        <f>IF($W8="","",IF(INDEX('Per Invoice'!S$2:S$801,$W8)="","",INDEX('Per Invoice'!S$2:S$801,$W8)))</f>
        <v/>
      </c>
      <c r="T8" s="7">
        <f>IF($W8="","",IF(INDEX('Per Invoice'!T$2:T$801,$W8)="","",INDEX('Per Invoice'!T$2:T$801,$W8)))</f>
        <v/>
      </c>
      <c r="U8" s="7">
        <f>IF($W8="","",IF(INDEX('Per Invoice'!U$2:U$801,$W8)="","",INDEX('Per Invoice'!U$2:U$801,$W8)))</f>
        <v/>
      </c>
      <c r="V8" s="7">
        <f>IF($W8="","",IF(INDEX('Per Invoice'!V$2:V$801,$W8)="","",INDEX('Per Invoice'!V$2:V$801,$W8)))</f>
        <v/>
      </c>
      <c r="W8" s="16">
        <f>IFERROR(MATCH(Settings!$C$28&amp;"|"&amp;ROWS($W$2:$W8),'Per Invoice'!$X$2:$X$801,0),"")</f>
        <v/>
      </c>
    </row>
    <row r="9">
      <c r="A9">
        <f>IF($W9="","",IF(INDEX('Per Invoice'!A$2:A$801,$W9)="","",INDEX('Per Invoice'!A$2:A$801,$W9)))</f>
        <v/>
      </c>
      <c r="B9">
        <f>IF($W9="","",IF(INDEX('Per Invoice'!B$2:B$801,$W9)="","",INDEX('Per Invoice'!B$2:B$801,$W9)))</f>
        <v/>
      </c>
      <c r="C9">
        <f>IF($W9="","",IF(INDEX('Per Invoice'!C$2:C$801,$W9)="","",INDEX('Per Invoice'!C$2:C$801,$W9)))</f>
        <v/>
      </c>
      <c r="D9">
        <f>IF($W9="","",IF(INDEX('Per Invoice'!D$2:D$801,$W9)="","",INDEX('Per Invoice'!D$2:D$801,$W9)))</f>
        <v/>
      </c>
      <c r="E9">
        <f>IF($W9="","",IF(INDEX('Per Invoice'!E$2:E$801,$W9)="","",INDEX('Per Invoice'!E$2:E$801,$W9)))</f>
        <v/>
      </c>
      <c r="F9">
        <f>IF($W9="","",IF(INDEX('Per Invoice'!F$2:F$801,$W9)="","",INDEX('Per Invoice'!F$2:F$801,$W9)))</f>
        <v/>
      </c>
      <c r="G9">
        <f>IF($W9="","",IF(INDEX('Per Invoice'!G$2:G$801,$W9)="","",INDEX('Per Invoice'!G$2:G$801,$W9)))</f>
        <v/>
      </c>
      <c r="H9">
        <f>IF($W9="","",IF(INDEX('Per Invoice'!H$2:H$801,$W9)="","",INDEX('Per Invoice'!H$2:H$801,$W9)))</f>
        <v/>
      </c>
      <c r="I9">
        <f>IF($W9="","",IF(INDEX('Per Invoice'!I$2:I$801,$W9)="","",INDEX('Per Invoice'!I$2:I$801,$W9)))</f>
        <v/>
      </c>
      <c r="J9">
        <f>IF($W9="","",IF(INDEX('Per Invoice'!J$2:J$801,$W9)="","",INDEX('Per Invoice'!J$2:J$801,$W9)))</f>
        <v/>
      </c>
      <c r="K9" s="7">
        <f>IF($W9="","",IF(INDEX('Per Invoice'!K$2:K$801,$W9)="","",INDEX('Per Invoice'!K$2:K$801,$W9)))</f>
        <v/>
      </c>
      <c r="L9" s="14">
        <f>IF($W9="","",IF(INDEX('Per Invoice'!L$2:L$801,$W9)="","",INDEX('Per Invoice'!L$2:L$801,$W9)))</f>
        <v/>
      </c>
      <c r="M9">
        <f>IF($W9="","",IF(INDEX('Per Invoice'!M$2:M$801,$W9)="","",INDEX('Per Invoice'!M$2:M$801,$W9)))</f>
        <v/>
      </c>
      <c r="N9" s="7">
        <f>IF($W9="","",IF(INDEX('Per Invoice'!N$2:N$801,$W9)="","",INDEX('Per Invoice'!N$2:N$801,$W9)))</f>
        <v/>
      </c>
      <c r="O9" s="7">
        <f>IF($W9="","",IF(INDEX('Per Invoice'!O$2:O$801,$W9)="","",INDEX('Per Invoice'!O$2:O$801,$W9)))</f>
        <v/>
      </c>
      <c r="P9">
        <f>IF($W9="","",IF(INDEX('Per Invoice'!P$2:P$801,$W9)="","",INDEX('Per Invoice'!P$2:P$801,$W9)))</f>
        <v/>
      </c>
      <c r="Q9" s="7">
        <f>IF($W9="","",IF(INDEX('Per Invoice'!Q$2:Q$801,$W9)="","",INDEX('Per Invoice'!Q$2:Q$801,$W9)))</f>
        <v/>
      </c>
      <c r="R9" s="7">
        <f>IF($W9="","",IF(INDEX('Per Invoice'!R$2:R$801,$W9)="","",INDEX('Per Invoice'!R$2:R$801,$W9)))</f>
        <v/>
      </c>
      <c r="S9" s="7">
        <f>IF($W9="","",IF(INDEX('Per Invoice'!S$2:S$801,$W9)="","",INDEX('Per Invoice'!S$2:S$801,$W9)))</f>
        <v/>
      </c>
      <c r="T9" s="7">
        <f>IF($W9="","",IF(INDEX('Per Invoice'!T$2:T$801,$W9)="","",INDEX('Per Invoice'!T$2:T$801,$W9)))</f>
        <v/>
      </c>
      <c r="U9" s="7">
        <f>IF($W9="","",IF(INDEX('Per Invoice'!U$2:U$801,$W9)="","",INDEX('Per Invoice'!U$2:U$801,$W9)))</f>
        <v/>
      </c>
      <c r="V9" s="7">
        <f>IF($W9="","",IF(INDEX('Per Invoice'!V$2:V$801,$W9)="","",INDEX('Per Invoice'!V$2:V$801,$W9)))</f>
        <v/>
      </c>
      <c r="W9" s="16">
        <f>IFERROR(MATCH(Settings!$C$28&amp;"|"&amp;ROWS($W$2:$W9),'Per Invoice'!$X$2:$X$801,0),"")</f>
        <v/>
      </c>
    </row>
    <row r="10">
      <c r="A10">
        <f>IF($W10="","",IF(INDEX('Per Invoice'!A$2:A$801,$W10)="","",INDEX('Per Invoice'!A$2:A$801,$W10)))</f>
        <v/>
      </c>
      <c r="B10">
        <f>IF($W10="","",IF(INDEX('Per Invoice'!B$2:B$801,$W10)="","",INDEX('Per Invoice'!B$2:B$801,$W10)))</f>
        <v/>
      </c>
      <c r="C10">
        <f>IF($W10="","",IF(INDEX('Per Invoice'!C$2:C$801,$W10)="","",INDEX('Per Invoice'!C$2:C$801,$W10)))</f>
        <v/>
      </c>
      <c r="D10">
        <f>IF($W10="","",IF(INDEX('Per Invoice'!D$2:D$801,$W10)="","",INDEX('Per Invoice'!D$2:D$801,$W10)))</f>
        <v/>
      </c>
      <c r="E10">
        <f>IF($W10="","",IF(INDEX('Per Invoice'!E$2:E$801,$W10)="","",INDEX('Per Invoice'!E$2:E$801,$W10)))</f>
        <v/>
      </c>
      <c r="F10">
        <f>IF($W10="","",IF(INDEX('Per Invoice'!F$2:F$801,$W10)="","",INDEX('Per Invoice'!F$2:F$801,$W10)))</f>
        <v/>
      </c>
      <c r="G10">
        <f>IF($W10="","",IF(INDEX('Per Invoice'!G$2:G$801,$W10)="","",INDEX('Per Invoice'!G$2:G$801,$W10)))</f>
        <v/>
      </c>
      <c r="H10">
        <f>IF($W10="","",IF(INDEX('Per Invoice'!H$2:H$801,$W10)="","",INDEX('Per Invoice'!H$2:H$801,$W10)))</f>
        <v/>
      </c>
      <c r="I10">
        <f>IF($W10="","",IF(INDEX('Per Invoice'!I$2:I$801,$W10)="","",INDEX('Per Invoice'!I$2:I$801,$W10)))</f>
        <v/>
      </c>
      <c r="J10">
        <f>IF($W10="","",IF(INDEX('Per Invoice'!J$2:J$801,$W10)="","",INDEX('Per Invoice'!J$2:J$801,$W10)))</f>
        <v/>
      </c>
      <c r="K10" s="7">
        <f>IF($W10="","",IF(INDEX('Per Invoice'!K$2:K$801,$W10)="","",INDEX('Per Invoice'!K$2:K$801,$W10)))</f>
        <v/>
      </c>
      <c r="L10" s="14">
        <f>IF($W10="","",IF(INDEX('Per Invoice'!L$2:L$801,$W10)="","",INDEX('Per Invoice'!L$2:L$801,$W10)))</f>
        <v/>
      </c>
      <c r="M10">
        <f>IF($W10="","",IF(INDEX('Per Invoice'!M$2:M$801,$W10)="","",INDEX('Per Invoice'!M$2:M$801,$W10)))</f>
        <v/>
      </c>
      <c r="N10" s="7">
        <f>IF($W10="","",IF(INDEX('Per Invoice'!N$2:N$801,$W10)="","",INDEX('Per Invoice'!N$2:N$801,$W10)))</f>
        <v/>
      </c>
      <c r="O10" s="7">
        <f>IF($W10="","",IF(INDEX('Per Invoice'!O$2:O$801,$W10)="","",INDEX('Per Invoice'!O$2:O$801,$W10)))</f>
        <v/>
      </c>
      <c r="P10">
        <f>IF($W10="","",IF(INDEX('Per Invoice'!P$2:P$801,$W10)="","",INDEX('Per Invoice'!P$2:P$801,$W10)))</f>
        <v/>
      </c>
      <c r="Q10" s="7">
        <f>IF($W10="","",IF(INDEX('Per Invoice'!Q$2:Q$801,$W10)="","",INDEX('Per Invoice'!Q$2:Q$801,$W10)))</f>
        <v/>
      </c>
      <c r="R10" s="7">
        <f>IF($W10="","",IF(INDEX('Per Invoice'!R$2:R$801,$W10)="","",INDEX('Per Invoice'!R$2:R$801,$W10)))</f>
        <v/>
      </c>
      <c r="S10" s="7">
        <f>IF($W10="","",IF(INDEX('Per Invoice'!S$2:S$801,$W10)="","",INDEX('Per Invoice'!S$2:S$801,$W10)))</f>
        <v/>
      </c>
      <c r="T10" s="7">
        <f>IF($W10="","",IF(INDEX('Per Invoice'!T$2:T$801,$W10)="","",INDEX('Per Invoice'!T$2:T$801,$W10)))</f>
        <v/>
      </c>
      <c r="U10" s="7">
        <f>IF($W10="","",IF(INDEX('Per Invoice'!U$2:U$801,$W10)="","",INDEX('Per Invoice'!U$2:U$801,$W10)))</f>
        <v/>
      </c>
      <c r="V10" s="7">
        <f>IF($W10="","",IF(INDEX('Per Invoice'!V$2:V$801,$W10)="","",INDEX('Per Invoice'!V$2:V$801,$W10)))</f>
        <v/>
      </c>
      <c r="W10" s="16">
        <f>IFERROR(MATCH(Settings!$C$28&amp;"|"&amp;ROWS($W$2:$W10),'Per Invoice'!$X$2:$X$801,0),"")</f>
        <v/>
      </c>
    </row>
    <row r="11">
      <c r="A11">
        <f>IF($W11="","",IF(INDEX('Per Invoice'!A$2:A$801,$W11)="","",INDEX('Per Invoice'!A$2:A$801,$W11)))</f>
        <v/>
      </c>
      <c r="B11">
        <f>IF($W11="","",IF(INDEX('Per Invoice'!B$2:B$801,$W11)="","",INDEX('Per Invoice'!B$2:B$801,$W11)))</f>
        <v/>
      </c>
      <c r="C11">
        <f>IF($W11="","",IF(INDEX('Per Invoice'!C$2:C$801,$W11)="","",INDEX('Per Invoice'!C$2:C$801,$W11)))</f>
        <v/>
      </c>
      <c r="D11">
        <f>IF($W11="","",IF(INDEX('Per Invoice'!D$2:D$801,$W11)="","",INDEX('Per Invoice'!D$2:D$801,$W11)))</f>
        <v/>
      </c>
      <c r="E11">
        <f>IF($W11="","",IF(INDEX('Per Invoice'!E$2:E$801,$W11)="","",INDEX('Per Invoice'!E$2:E$801,$W11)))</f>
        <v/>
      </c>
      <c r="F11">
        <f>IF($W11="","",IF(INDEX('Per Invoice'!F$2:F$801,$W11)="","",INDEX('Per Invoice'!F$2:F$801,$W11)))</f>
        <v/>
      </c>
      <c r="G11">
        <f>IF($W11="","",IF(INDEX('Per Invoice'!G$2:G$801,$W11)="","",INDEX('Per Invoice'!G$2:G$801,$W11)))</f>
        <v/>
      </c>
      <c r="H11">
        <f>IF($W11="","",IF(INDEX('Per Invoice'!H$2:H$801,$W11)="","",INDEX('Per Invoice'!H$2:H$801,$W11)))</f>
        <v/>
      </c>
      <c r="I11">
        <f>IF($W11="","",IF(INDEX('Per Invoice'!I$2:I$801,$W11)="","",INDEX('Per Invoice'!I$2:I$801,$W11)))</f>
        <v/>
      </c>
      <c r="J11">
        <f>IF($W11="","",IF(INDEX('Per Invoice'!J$2:J$801,$W11)="","",INDEX('Per Invoice'!J$2:J$801,$W11)))</f>
        <v/>
      </c>
      <c r="K11" s="7">
        <f>IF($W11="","",IF(INDEX('Per Invoice'!K$2:K$801,$W11)="","",INDEX('Per Invoice'!K$2:K$801,$W11)))</f>
        <v/>
      </c>
      <c r="L11" s="14">
        <f>IF($W11="","",IF(INDEX('Per Invoice'!L$2:L$801,$W11)="","",INDEX('Per Invoice'!L$2:L$801,$W11)))</f>
        <v/>
      </c>
      <c r="M11">
        <f>IF($W11="","",IF(INDEX('Per Invoice'!M$2:M$801,$W11)="","",INDEX('Per Invoice'!M$2:M$801,$W11)))</f>
        <v/>
      </c>
      <c r="N11" s="7">
        <f>IF($W11="","",IF(INDEX('Per Invoice'!N$2:N$801,$W11)="","",INDEX('Per Invoice'!N$2:N$801,$W11)))</f>
        <v/>
      </c>
      <c r="O11" s="7">
        <f>IF($W11="","",IF(INDEX('Per Invoice'!O$2:O$801,$W11)="","",INDEX('Per Invoice'!O$2:O$801,$W11)))</f>
        <v/>
      </c>
      <c r="P11">
        <f>IF($W11="","",IF(INDEX('Per Invoice'!P$2:P$801,$W11)="","",INDEX('Per Invoice'!P$2:P$801,$W11)))</f>
        <v/>
      </c>
      <c r="Q11" s="7">
        <f>IF($W11="","",IF(INDEX('Per Invoice'!Q$2:Q$801,$W11)="","",INDEX('Per Invoice'!Q$2:Q$801,$W11)))</f>
        <v/>
      </c>
      <c r="R11" s="7">
        <f>IF($W11="","",IF(INDEX('Per Invoice'!R$2:R$801,$W11)="","",INDEX('Per Invoice'!R$2:R$801,$W11)))</f>
        <v/>
      </c>
      <c r="S11" s="7">
        <f>IF($W11="","",IF(INDEX('Per Invoice'!S$2:S$801,$W11)="","",INDEX('Per Invoice'!S$2:S$801,$W11)))</f>
        <v/>
      </c>
      <c r="T11" s="7">
        <f>IF($W11="","",IF(INDEX('Per Invoice'!T$2:T$801,$W11)="","",INDEX('Per Invoice'!T$2:T$801,$W11)))</f>
        <v/>
      </c>
      <c r="U11" s="7">
        <f>IF($W11="","",IF(INDEX('Per Invoice'!U$2:U$801,$W11)="","",INDEX('Per Invoice'!U$2:U$801,$W11)))</f>
        <v/>
      </c>
      <c r="V11" s="7">
        <f>IF($W11="","",IF(INDEX('Per Invoice'!V$2:V$801,$W11)="","",INDEX('Per Invoice'!V$2:V$801,$W11)))</f>
        <v/>
      </c>
      <c r="W11" s="16">
        <f>IFERROR(MATCH(Settings!$C$28&amp;"|"&amp;ROWS($W$2:$W11),'Per Invoice'!$X$2:$X$801,0),"")</f>
        <v/>
      </c>
    </row>
    <row r="12">
      <c r="A12">
        <f>IF($W12="","",IF(INDEX('Per Invoice'!A$2:A$801,$W12)="","",INDEX('Per Invoice'!A$2:A$801,$W12)))</f>
        <v/>
      </c>
      <c r="B12">
        <f>IF($W12="","",IF(INDEX('Per Invoice'!B$2:B$801,$W12)="","",INDEX('Per Invoice'!B$2:B$801,$W12)))</f>
        <v/>
      </c>
      <c r="C12">
        <f>IF($W12="","",IF(INDEX('Per Invoice'!C$2:C$801,$W12)="","",INDEX('Per Invoice'!C$2:C$801,$W12)))</f>
        <v/>
      </c>
      <c r="D12">
        <f>IF($W12="","",IF(INDEX('Per Invoice'!D$2:D$801,$W12)="","",INDEX('Per Invoice'!D$2:D$801,$W12)))</f>
        <v/>
      </c>
      <c r="E12">
        <f>IF($W12="","",IF(INDEX('Per Invoice'!E$2:E$801,$W12)="","",INDEX('Per Invoice'!E$2:E$801,$W12)))</f>
        <v/>
      </c>
      <c r="F12">
        <f>IF($W12="","",IF(INDEX('Per Invoice'!F$2:F$801,$W12)="","",INDEX('Per Invoice'!F$2:F$801,$W12)))</f>
        <v/>
      </c>
      <c r="G12">
        <f>IF($W12="","",IF(INDEX('Per Invoice'!G$2:G$801,$W12)="","",INDEX('Per Invoice'!G$2:G$801,$W12)))</f>
        <v/>
      </c>
      <c r="H12">
        <f>IF($W12="","",IF(INDEX('Per Invoice'!H$2:H$801,$W12)="","",INDEX('Per Invoice'!H$2:H$801,$W12)))</f>
        <v/>
      </c>
      <c r="I12">
        <f>IF($W12="","",IF(INDEX('Per Invoice'!I$2:I$801,$W12)="","",INDEX('Per Invoice'!I$2:I$801,$W12)))</f>
        <v/>
      </c>
      <c r="J12">
        <f>IF($W12="","",IF(INDEX('Per Invoice'!J$2:J$801,$W12)="","",INDEX('Per Invoice'!J$2:J$801,$W12)))</f>
        <v/>
      </c>
      <c r="K12" s="7">
        <f>IF($W12="","",IF(INDEX('Per Invoice'!K$2:K$801,$W12)="","",INDEX('Per Invoice'!K$2:K$801,$W12)))</f>
        <v/>
      </c>
      <c r="L12" s="14">
        <f>IF($W12="","",IF(INDEX('Per Invoice'!L$2:L$801,$W12)="","",INDEX('Per Invoice'!L$2:L$801,$W12)))</f>
        <v/>
      </c>
      <c r="M12">
        <f>IF($W12="","",IF(INDEX('Per Invoice'!M$2:M$801,$W12)="","",INDEX('Per Invoice'!M$2:M$801,$W12)))</f>
        <v/>
      </c>
      <c r="N12" s="7">
        <f>IF($W12="","",IF(INDEX('Per Invoice'!N$2:N$801,$W12)="","",INDEX('Per Invoice'!N$2:N$801,$W12)))</f>
        <v/>
      </c>
      <c r="O12" s="7">
        <f>IF($W12="","",IF(INDEX('Per Invoice'!O$2:O$801,$W12)="","",INDEX('Per Invoice'!O$2:O$801,$W12)))</f>
        <v/>
      </c>
      <c r="P12">
        <f>IF($W12="","",IF(INDEX('Per Invoice'!P$2:P$801,$W12)="","",INDEX('Per Invoice'!P$2:P$801,$W12)))</f>
        <v/>
      </c>
      <c r="Q12" s="7">
        <f>IF($W12="","",IF(INDEX('Per Invoice'!Q$2:Q$801,$W12)="","",INDEX('Per Invoice'!Q$2:Q$801,$W12)))</f>
        <v/>
      </c>
      <c r="R12" s="7">
        <f>IF($W12="","",IF(INDEX('Per Invoice'!R$2:R$801,$W12)="","",INDEX('Per Invoice'!R$2:R$801,$W12)))</f>
        <v/>
      </c>
      <c r="S12" s="7">
        <f>IF($W12="","",IF(INDEX('Per Invoice'!S$2:S$801,$W12)="","",INDEX('Per Invoice'!S$2:S$801,$W12)))</f>
        <v/>
      </c>
      <c r="T12" s="7">
        <f>IF($W12="","",IF(INDEX('Per Invoice'!T$2:T$801,$W12)="","",INDEX('Per Invoice'!T$2:T$801,$W12)))</f>
        <v/>
      </c>
      <c r="U12" s="7">
        <f>IF($W12="","",IF(INDEX('Per Invoice'!U$2:U$801,$W12)="","",INDEX('Per Invoice'!U$2:U$801,$W12)))</f>
        <v/>
      </c>
      <c r="V12" s="7">
        <f>IF($W12="","",IF(INDEX('Per Invoice'!V$2:V$801,$W12)="","",INDEX('Per Invoice'!V$2:V$801,$W12)))</f>
        <v/>
      </c>
      <c r="W12" s="16">
        <f>IFERROR(MATCH(Settings!$C$28&amp;"|"&amp;ROWS($W$2:$W12),'Per Invoice'!$X$2:$X$801,0),"")</f>
        <v/>
      </c>
    </row>
    <row r="13">
      <c r="A13">
        <f>IF($W13="","",IF(INDEX('Per Invoice'!A$2:A$801,$W13)="","",INDEX('Per Invoice'!A$2:A$801,$W13)))</f>
        <v/>
      </c>
      <c r="B13">
        <f>IF($W13="","",IF(INDEX('Per Invoice'!B$2:B$801,$W13)="","",INDEX('Per Invoice'!B$2:B$801,$W13)))</f>
        <v/>
      </c>
      <c r="C13">
        <f>IF($W13="","",IF(INDEX('Per Invoice'!C$2:C$801,$W13)="","",INDEX('Per Invoice'!C$2:C$801,$W13)))</f>
        <v/>
      </c>
      <c r="D13">
        <f>IF($W13="","",IF(INDEX('Per Invoice'!D$2:D$801,$W13)="","",INDEX('Per Invoice'!D$2:D$801,$W13)))</f>
        <v/>
      </c>
      <c r="E13">
        <f>IF($W13="","",IF(INDEX('Per Invoice'!E$2:E$801,$W13)="","",INDEX('Per Invoice'!E$2:E$801,$W13)))</f>
        <v/>
      </c>
      <c r="F13">
        <f>IF($W13="","",IF(INDEX('Per Invoice'!F$2:F$801,$W13)="","",INDEX('Per Invoice'!F$2:F$801,$W13)))</f>
        <v/>
      </c>
      <c r="G13">
        <f>IF($W13="","",IF(INDEX('Per Invoice'!G$2:G$801,$W13)="","",INDEX('Per Invoice'!G$2:G$801,$W13)))</f>
        <v/>
      </c>
      <c r="H13">
        <f>IF($W13="","",IF(INDEX('Per Invoice'!H$2:H$801,$W13)="","",INDEX('Per Invoice'!H$2:H$801,$W13)))</f>
        <v/>
      </c>
      <c r="I13">
        <f>IF($W13="","",IF(INDEX('Per Invoice'!I$2:I$801,$W13)="","",INDEX('Per Invoice'!I$2:I$801,$W13)))</f>
        <v/>
      </c>
      <c r="J13">
        <f>IF($W13="","",IF(INDEX('Per Invoice'!J$2:J$801,$W13)="","",INDEX('Per Invoice'!J$2:J$801,$W13)))</f>
        <v/>
      </c>
      <c r="K13" s="7">
        <f>IF($W13="","",IF(INDEX('Per Invoice'!K$2:K$801,$W13)="","",INDEX('Per Invoice'!K$2:K$801,$W13)))</f>
        <v/>
      </c>
      <c r="L13" s="14">
        <f>IF($W13="","",IF(INDEX('Per Invoice'!L$2:L$801,$W13)="","",INDEX('Per Invoice'!L$2:L$801,$W13)))</f>
        <v/>
      </c>
      <c r="M13">
        <f>IF($W13="","",IF(INDEX('Per Invoice'!M$2:M$801,$W13)="","",INDEX('Per Invoice'!M$2:M$801,$W13)))</f>
        <v/>
      </c>
      <c r="N13" s="7">
        <f>IF($W13="","",IF(INDEX('Per Invoice'!N$2:N$801,$W13)="","",INDEX('Per Invoice'!N$2:N$801,$W13)))</f>
        <v/>
      </c>
      <c r="O13" s="7">
        <f>IF($W13="","",IF(INDEX('Per Invoice'!O$2:O$801,$W13)="","",INDEX('Per Invoice'!O$2:O$801,$W13)))</f>
        <v/>
      </c>
      <c r="P13">
        <f>IF($W13="","",IF(INDEX('Per Invoice'!P$2:P$801,$W13)="","",INDEX('Per Invoice'!P$2:P$801,$W13)))</f>
        <v/>
      </c>
      <c r="Q13" s="7">
        <f>IF($W13="","",IF(INDEX('Per Invoice'!Q$2:Q$801,$W13)="","",INDEX('Per Invoice'!Q$2:Q$801,$W13)))</f>
        <v/>
      </c>
      <c r="R13" s="7">
        <f>IF($W13="","",IF(INDEX('Per Invoice'!R$2:R$801,$W13)="","",INDEX('Per Invoice'!R$2:R$801,$W13)))</f>
        <v/>
      </c>
      <c r="S13" s="7">
        <f>IF($W13="","",IF(INDEX('Per Invoice'!S$2:S$801,$W13)="","",INDEX('Per Invoice'!S$2:S$801,$W13)))</f>
        <v/>
      </c>
      <c r="T13" s="7">
        <f>IF($W13="","",IF(INDEX('Per Invoice'!T$2:T$801,$W13)="","",INDEX('Per Invoice'!T$2:T$801,$W13)))</f>
        <v/>
      </c>
      <c r="U13" s="7">
        <f>IF($W13="","",IF(INDEX('Per Invoice'!U$2:U$801,$W13)="","",INDEX('Per Invoice'!U$2:U$801,$W13)))</f>
        <v/>
      </c>
      <c r="V13" s="7">
        <f>IF($W13="","",IF(INDEX('Per Invoice'!V$2:V$801,$W13)="","",INDEX('Per Invoice'!V$2:V$801,$W13)))</f>
        <v/>
      </c>
      <c r="W13" s="16">
        <f>IFERROR(MATCH(Settings!$C$28&amp;"|"&amp;ROWS($W$2:$W13),'Per Invoice'!$X$2:$X$801,0),"")</f>
        <v/>
      </c>
    </row>
    <row r="14">
      <c r="A14">
        <f>IF($W14="","",IF(INDEX('Per Invoice'!A$2:A$801,$W14)="","",INDEX('Per Invoice'!A$2:A$801,$W14)))</f>
        <v/>
      </c>
      <c r="B14">
        <f>IF($W14="","",IF(INDEX('Per Invoice'!B$2:B$801,$W14)="","",INDEX('Per Invoice'!B$2:B$801,$W14)))</f>
        <v/>
      </c>
      <c r="C14">
        <f>IF($W14="","",IF(INDEX('Per Invoice'!C$2:C$801,$W14)="","",INDEX('Per Invoice'!C$2:C$801,$W14)))</f>
        <v/>
      </c>
      <c r="D14">
        <f>IF($W14="","",IF(INDEX('Per Invoice'!D$2:D$801,$W14)="","",INDEX('Per Invoice'!D$2:D$801,$W14)))</f>
        <v/>
      </c>
      <c r="E14">
        <f>IF($W14="","",IF(INDEX('Per Invoice'!E$2:E$801,$W14)="","",INDEX('Per Invoice'!E$2:E$801,$W14)))</f>
        <v/>
      </c>
      <c r="F14">
        <f>IF($W14="","",IF(INDEX('Per Invoice'!F$2:F$801,$W14)="","",INDEX('Per Invoice'!F$2:F$801,$W14)))</f>
        <v/>
      </c>
      <c r="G14">
        <f>IF($W14="","",IF(INDEX('Per Invoice'!G$2:G$801,$W14)="","",INDEX('Per Invoice'!G$2:G$801,$W14)))</f>
        <v/>
      </c>
      <c r="H14">
        <f>IF($W14="","",IF(INDEX('Per Invoice'!H$2:H$801,$W14)="","",INDEX('Per Invoice'!H$2:H$801,$W14)))</f>
        <v/>
      </c>
      <c r="I14">
        <f>IF($W14="","",IF(INDEX('Per Invoice'!I$2:I$801,$W14)="","",INDEX('Per Invoice'!I$2:I$801,$W14)))</f>
        <v/>
      </c>
      <c r="J14">
        <f>IF($W14="","",IF(INDEX('Per Invoice'!J$2:J$801,$W14)="","",INDEX('Per Invoice'!J$2:J$801,$W14)))</f>
        <v/>
      </c>
      <c r="K14" s="7">
        <f>IF($W14="","",IF(INDEX('Per Invoice'!K$2:K$801,$W14)="","",INDEX('Per Invoice'!K$2:K$801,$W14)))</f>
        <v/>
      </c>
      <c r="L14" s="14">
        <f>IF($W14="","",IF(INDEX('Per Invoice'!L$2:L$801,$W14)="","",INDEX('Per Invoice'!L$2:L$801,$W14)))</f>
        <v/>
      </c>
      <c r="M14">
        <f>IF($W14="","",IF(INDEX('Per Invoice'!M$2:M$801,$W14)="","",INDEX('Per Invoice'!M$2:M$801,$W14)))</f>
        <v/>
      </c>
      <c r="N14" s="7">
        <f>IF($W14="","",IF(INDEX('Per Invoice'!N$2:N$801,$W14)="","",INDEX('Per Invoice'!N$2:N$801,$W14)))</f>
        <v/>
      </c>
      <c r="O14" s="7">
        <f>IF($W14="","",IF(INDEX('Per Invoice'!O$2:O$801,$W14)="","",INDEX('Per Invoice'!O$2:O$801,$W14)))</f>
        <v/>
      </c>
      <c r="P14">
        <f>IF($W14="","",IF(INDEX('Per Invoice'!P$2:P$801,$W14)="","",INDEX('Per Invoice'!P$2:P$801,$W14)))</f>
        <v/>
      </c>
      <c r="Q14" s="7">
        <f>IF($W14="","",IF(INDEX('Per Invoice'!Q$2:Q$801,$W14)="","",INDEX('Per Invoice'!Q$2:Q$801,$W14)))</f>
        <v/>
      </c>
      <c r="R14" s="7">
        <f>IF($W14="","",IF(INDEX('Per Invoice'!R$2:R$801,$W14)="","",INDEX('Per Invoice'!R$2:R$801,$W14)))</f>
        <v/>
      </c>
      <c r="S14" s="7">
        <f>IF($W14="","",IF(INDEX('Per Invoice'!S$2:S$801,$W14)="","",INDEX('Per Invoice'!S$2:S$801,$W14)))</f>
        <v/>
      </c>
      <c r="T14" s="7">
        <f>IF($W14="","",IF(INDEX('Per Invoice'!T$2:T$801,$W14)="","",INDEX('Per Invoice'!T$2:T$801,$W14)))</f>
        <v/>
      </c>
      <c r="U14" s="7">
        <f>IF($W14="","",IF(INDEX('Per Invoice'!U$2:U$801,$W14)="","",INDEX('Per Invoice'!U$2:U$801,$W14)))</f>
        <v/>
      </c>
      <c r="V14" s="7">
        <f>IF($W14="","",IF(INDEX('Per Invoice'!V$2:V$801,$W14)="","",INDEX('Per Invoice'!V$2:V$801,$W14)))</f>
        <v/>
      </c>
      <c r="W14" s="16">
        <f>IFERROR(MATCH(Settings!$C$28&amp;"|"&amp;ROWS($W$2:$W14),'Per Invoice'!$X$2:$X$801,0),"")</f>
        <v/>
      </c>
    </row>
    <row r="15">
      <c r="A15">
        <f>IF($W15="","",IF(INDEX('Per Invoice'!A$2:A$801,$W15)="","",INDEX('Per Invoice'!A$2:A$801,$W15)))</f>
        <v/>
      </c>
      <c r="B15">
        <f>IF($W15="","",IF(INDEX('Per Invoice'!B$2:B$801,$W15)="","",INDEX('Per Invoice'!B$2:B$801,$W15)))</f>
        <v/>
      </c>
      <c r="C15">
        <f>IF($W15="","",IF(INDEX('Per Invoice'!C$2:C$801,$W15)="","",INDEX('Per Invoice'!C$2:C$801,$W15)))</f>
        <v/>
      </c>
      <c r="D15">
        <f>IF($W15="","",IF(INDEX('Per Invoice'!D$2:D$801,$W15)="","",INDEX('Per Invoice'!D$2:D$801,$W15)))</f>
        <v/>
      </c>
      <c r="E15">
        <f>IF($W15="","",IF(INDEX('Per Invoice'!E$2:E$801,$W15)="","",INDEX('Per Invoice'!E$2:E$801,$W15)))</f>
        <v/>
      </c>
      <c r="F15">
        <f>IF($W15="","",IF(INDEX('Per Invoice'!F$2:F$801,$W15)="","",INDEX('Per Invoice'!F$2:F$801,$W15)))</f>
        <v/>
      </c>
      <c r="G15">
        <f>IF($W15="","",IF(INDEX('Per Invoice'!G$2:G$801,$W15)="","",INDEX('Per Invoice'!G$2:G$801,$W15)))</f>
        <v/>
      </c>
      <c r="H15">
        <f>IF($W15="","",IF(INDEX('Per Invoice'!H$2:H$801,$W15)="","",INDEX('Per Invoice'!H$2:H$801,$W15)))</f>
        <v/>
      </c>
      <c r="I15">
        <f>IF($W15="","",IF(INDEX('Per Invoice'!I$2:I$801,$W15)="","",INDEX('Per Invoice'!I$2:I$801,$W15)))</f>
        <v/>
      </c>
      <c r="J15">
        <f>IF($W15="","",IF(INDEX('Per Invoice'!J$2:J$801,$W15)="","",INDEX('Per Invoice'!J$2:J$801,$W15)))</f>
        <v/>
      </c>
      <c r="K15" s="7">
        <f>IF($W15="","",IF(INDEX('Per Invoice'!K$2:K$801,$W15)="","",INDEX('Per Invoice'!K$2:K$801,$W15)))</f>
        <v/>
      </c>
      <c r="L15" s="14">
        <f>IF($W15="","",IF(INDEX('Per Invoice'!L$2:L$801,$W15)="","",INDEX('Per Invoice'!L$2:L$801,$W15)))</f>
        <v/>
      </c>
      <c r="M15">
        <f>IF($W15="","",IF(INDEX('Per Invoice'!M$2:M$801,$W15)="","",INDEX('Per Invoice'!M$2:M$801,$W15)))</f>
        <v/>
      </c>
      <c r="N15" s="7">
        <f>IF($W15="","",IF(INDEX('Per Invoice'!N$2:N$801,$W15)="","",INDEX('Per Invoice'!N$2:N$801,$W15)))</f>
        <v/>
      </c>
      <c r="O15" s="7">
        <f>IF($W15="","",IF(INDEX('Per Invoice'!O$2:O$801,$W15)="","",INDEX('Per Invoice'!O$2:O$801,$W15)))</f>
        <v/>
      </c>
      <c r="P15">
        <f>IF($W15="","",IF(INDEX('Per Invoice'!P$2:P$801,$W15)="","",INDEX('Per Invoice'!P$2:P$801,$W15)))</f>
        <v/>
      </c>
      <c r="Q15" s="7">
        <f>IF($W15="","",IF(INDEX('Per Invoice'!Q$2:Q$801,$W15)="","",INDEX('Per Invoice'!Q$2:Q$801,$W15)))</f>
        <v/>
      </c>
      <c r="R15" s="7">
        <f>IF($W15="","",IF(INDEX('Per Invoice'!R$2:R$801,$W15)="","",INDEX('Per Invoice'!R$2:R$801,$W15)))</f>
        <v/>
      </c>
      <c r="S15" s="7">
        <f>IF($W15="","",IF(INDEX('Per Invoice'!S$2:S$801,$W15)="","",INDEX('Per Invoice'!S$2:S$801,$W15)))</f>
        <v/>
      </c>
      <c r="T15" s="7">
        <f>IF($W15="","",IF(INDEX('Per Invoice'!T$2:T$801,$W15)="","",INDEX('Per Invoice'!T$2:T$801,$W15)))</f>
        <v/>
      </c>
      <c r="U15" s="7">
        <f>IF($W15="","",IF(INDEX('Per Invoice'!U$2:U$801,$W15)="","",INDEX('Per Invoice'!U$2:U$801,$W15)))</f>
        <v/>
      </c>
      <c r="V15" s="7">
        <f>IF($W15="","",IF(INDEX('Per Invoice'!V$2:V$801,$W15)="","",INDEX('Per Invoice'!V$2:V$801,$W15)))</f>
        <v/>
      </c>
      <c r="W15" s="16">
        <f>IFERROR(MATCH(Settings!$C$28&amp;"|"&amp;ROWS($W$2:$W15),'Per Invoice'!$X$2:$X$801,0),"")</f>
        <v/>
      </c>
    </row>
    <row r="16">
      <c r="A16">
        <f>IF($W16="","",IF(INDEX('Per Invoice'!A$2:A$801,$W16)="","",INDEX('Per Invoice'!A$2:A$801,$W16)))</f>
        <v/>
      </c>
      <c r="B16">
        <f>IF($W16="","",IF(INDEX('Per Invoice'!B$2:B$801,$W16)="","",INDEX('Per Invoice'!B$2:B$801,$W16)))</f>
        <v/>
      </c>
      <c r="C16">
        <f>IF($W16="","",IF(INDEX('Per Invoice'!C$2:C$801,$W16)="","",INDEX('Per Invoice'!C$2:C$801,$W16)))</f>
        <v/>
      </c>
      <c r="D16">
        <f>IF($W16="","",IF(INDEX('Per Invoice'!D$2:D$801,$W16)="","",INDEX('Per Invoice'!D$2:D$801,$W16)))</f>
        <v/>
      </c>
      <c r="E16">
        <f>IF($W16="","",IF(INDEX('Per Invoice'!E$2:E$801,$W16)="","",INDEX('Per Invoice'!E$2:E$801,$W16)))</f>
        <v/>
      </c>
      <c r="F16">
        <f>IF($W16="","",IF(INDEX('Per Invoice'!F$2:F$801,$W16)="","",INDEX('Per Invoice'!F$2:F$801,$W16)))</f>
        <v/>
      </c>
      <c r="G16">
        <f>IF($W16="","",IF(INDEX('Per Invoice'!G$2:G$801,$W16)="","",INDEX('Per Invoice'!G$2:G$801,$W16)))</f>
        <v/>
      </c>
      <c r="H16">
        <f>IF($W16="","",IF(INDEX('Per Invoice'!H$2:H$801,$W16)="","",INDEX('Per Invoice'!H$2:H$801,$W16)))</f>
        <v/>
      </c>
      <c r="I16">
        <f>IF($W16="","",IF(INDEX('Per Invoice'!I$2:I$801,$W16)="","",INDEX('Per Invoice'!I$2:I$801,$W16)))</f>
        <v/>
      </c>
      <c r="J16">
        <f>IF($W16="","",IF(INDEX('Per Invoice'!J$2:J$801,$W16)="","",INDEX('Per Invoice'!J$2:J$801,$W16)))</f>
        <v/>
      </c>
      <c r="K16" s="7">
        <f>IF($W16="","",IF(INDEX('Per Invoice'!K$2:K$801,$W16)="","",INDEX('Per Invoice'!K$2:K$801,$W16)))</f>
        <v/>
      </c>
      <c r="L16" s="14">
        <f>IF($W16="","",IF(INDEX('Per Invoice'!L$2:L$801,$W16)="","",INDEX('Per Invoice'!L$2:L$801,$W16)))</f>
        <v/>
      </c>
      <c r="M16">
        <f>IF($W16="","",IF(INDEX('Per Invoice'!M$2:M$801,$W16)="","",INDEX('Per Invoice'!M$2:M$801,$W16)))</f>
        <v/>
      </c>
      <c r="N16" s="7">
        <f>IF($W16="","",IF(INDEX('Per Invoice'!N$2:N$801,$W16)="","",INDEX('Per Invoice'!N$2:N$801,$W16)))</f>
        <v/>
      </c>
      <c r="O16" s="7">
        <f>IF($W16="","",IF(INDEX('Per Invoice'!O$2:O$801,$W16)="","",INDEX('Per Invoice'!O$2:O$801,$W16)))</f>
        <v/>
      </c>
      <c r="P16">
        <f>IF($W16="","",IF(INDEX('Per Invoice'!P$2:P$801,$W16)="","",INDEX('Per Invoice'!P$2:P$801,$W16)))</f>
        <v/>
      </c>
      <c r="Q16" s="7">
        <f>IF($W16="","",IF(INDEX('Per Invoice'!Q$2:Q$801,$W16)="","",INDEX('Per Invoice'!Q$2:Q$801,$W16)))</f>
        <v/>
      </c>
      <c r="R16" s="7">
        <f>IF($W16="","",IF(INDEX('Per Invoice'!R$2:R$801,$W16)="","",INDEX('Per Invoice'!R$2:R$801,$W16)))</f>
        <v/>
      </c>
      <c r="S16" s="7">
        <f>IF($W16="","",IF(INDEX('Per Invoice'!S$2:S$801,$W16)="","",INDEX('Per Invoice'!S$2:S$801,$W16)))</f>
        <v/>
      </c>
      <c r="T16" s="7">
        <f>IF($W16="","",IF(INDEX('Per Invoice'!T$2:T$801,$W16)="","",INDEX('Per Invoice'!T$2:T$801,$W16)))</f>
        <v/>
      </c>
      <c r="U16" s="7">
        <f>IF($W16="","",IF(INDEX('Per Invoice'!U$2:U$801,$W16)="","",INDEX('Per Invoice'!U$2:U$801,$W16)))</f>
        <v/>
      </c>
      <c r="V16" s="7">
        <f>IF($W16="","",IF(INDEX('Per Invoice'!V$2:V$801,$W16)="","",INDEX('Per Invoice'!V$2:V$801,$W16)))</f>
        <v/>
      </c>
      <c r="W16" s="16">
        <f>IFERROR(MATCH(Settings!$C$28&amp;"|"&amp;ROWS($W$2:$W16),'Per Invoice'!$X$2:$X$801,0),"")</f>
        <v/>
      </c>
    </row>
    <row r="17">
      <c r="A17">
        <f>IF($W17="","",IF(INDEX('Per Invoice'!A$2:A$801,$W17)="","",INDEX('Per Invoice'!A$2:A$801,$W17)))</f>
        <v/>
      </c>
      <c r="B17">
        <f>IF($W17="","",IF(INDEX('Per Invoice'!B$2:B$801,$W17)="","",INDEX('Per Invoice'!B$2:B$801,$W17)))</f>
        <v/>
      </c>
      <c r="C17">
        <f>IF($W17="","",IF(INDEX('Per Invoice'!C$2:C$801,$W17)="","",INDEX('Per Invoice'!C$2:C$801,$W17)))</f>
        <v/>
      </c>
      <c r="D17">
        <f>IF($W17="","",IF(INDEX('Per Invoice'!D$2:D$801,$W17)="","",INDEX('Per Invoice'!D$2:D$801,$W17)))</f>
        <v/>
      </c>
      <c r="E17">
        <f>IF($W17="","",IF(INDEX('Per Invoice'!E$2:E$801,$W17)="","",INDEX('Per Invoice'!E$2:E$801,$W17)))</f>
        <v/>
      </c>
      <c r="F17">
        <f>IF($W17="","",IF(INDEX('Per Invoice'!F$2:F$801,$W17)="","",INDEX('Per Invoice'!F$2:F$801,$W17)))</f>
        <v/>
      </c>
      <c r="G17">
        <f>IF($W17="","",IF(INDEX('Per Invoice'!G$2:G$801,$W17)="","",INDEX('Per Invoice'!G$2:G$801,$W17)))</f>
        <v/>
      </c>
      <c r="H17">
        <f>IF($W17="","",IF(INDEX('Per Invoice'!H$2:H$801,$W17)="","",INDEX('Per Invoice'!H$2:H$801,$W17)))</f>
        <v/>
      </c>
      <c r="I17">
        <f>IF($W17="","",IF(INDEX('Per Invoice'!I$2:I$801,$W17)="","",INDEX('Per Invoice'!I$2:I$801,$W17)))</f>
        <v/>
      </c>
      <c r="J17">
        <f>IF($W17="","",IF(INDEX('Per Invoice'!J$2:J$801,$W17)="","",INDEX('Per Invoice'!J$2:J$801,$W17)))</f>
        <v/>
      </c>
      <c r="K17" s="7">
        <f>IF($W17="","",IF(INDEX('Per Invoice'!K$2:K$801,$W17)="","",INDEX('Per Invoice'!K$2:K$801,$W17)))</f>
        <v/>
      </c>
      <c r="L17" s="14">
        <f>IF($W17="","",IF(INDEX('Per Invoice'!L$2:L$801,$W17)="","",INDEX('Per Invoice'!L$2:L$801,$W17)))</f>
        <v/>
      </c>
      <c r="M17">
        <f>IF($W17="","",IF(INDEX('Per Invoice'!M$2:M$801,$W17)="","",INDEX('Per Invoice'!M$2:M$801,$W17)))</f>
        <v/>
      </c>
      <c r="N17" s="7">
        <f>IF($W17="","",IF(INDEX('Per Invoice'!N$2:N$801,$W17)="","",INDEX('Per Invoice'!N$2:N$801,$W17)))</f>
        <v/>
      </c>
      <c r="O17" s="7">
        <f>IF($W17="","",IF(INDEX('Per Invoice'!O$2:O$801,$W17)="","",INDEX('Per Invoice'!O$2:O$801,$W17)))</f>
        <v/>
      </c>
      <c r="P17">
        <f>IF($W17="","",IF(INDEX('Per Invoice'!P$2:P$801,$W17)="","",INDEX('Per Invoice'!P$2:P$801,$W17)))</f>
        <v/>
      </c>
      <c r="Q17" s="7">
        <f>IF($W17="","",IF(INDEX('Per Invoice'!Q$2:Q$801,$W17)="","",INDEX('Per Invoice'!Q$2:Q$801,$W17)))</f>
        <v/>
      </c>
      <c r="R17" s="7">
        <f>IF($W17="","",IF(INDEX('Per Invoice'!R$2:R$801,$W17)="","",INDEX('Per Invoice'!R$2:R$801,$W17)))</f>
        <v/>
      </c>
      <c r="S17" s="7">
        <f>IF($W17="","",IF(INDEX('Per Invoice'!S$2:S$801,$W17)="","",INDEX('Per Invoice'!S$2:S$801,$W17)))</f>
        <v/>
      </c>
      <c r="T17" s="7">
        <f>IF($W17="","",IF(INDEX('Per Invoice'!T$2:T$801,$W17)="","",INDEX('Per Invoice'!T$2:T$801,$W17)))</f>
        <v/>
      </c>
      <c r="U17" s="7">
        <f>IF($W17="","",IF(INDEX('Per Invoice'!U$2:U$801,$W17)="","",INDEX('Per Invoice'!U$2:U$801,$W17)))</f>
        <v/>
      </c>
      <c r="V17" s="7">
        <f>IF($W17="","",IF(INDEX('Per Invoice'!V$2:V$801,$W17)="","",INDEX('Per Invoice'!V$2:V$801,$W17)))</f>
        <v/>
      </c>
      <c r="W17" s="16">
        <f>IFERROR(MATCH(Settings!$C$28&amp;"|"&amp;ROWS($W$2:$W17),'Per Invoice'!$X$2:$X$801,0),"")</f>
        <v/>
      </c>
    </row>
    <row r="18">
      <c r="A18">
        <f>IF($W18="","",IF(INDEX('Per Invoice'!A$2:A$801,$W18)="","",INDEX('Per Invoice'!A$2:A$801,$W18)))</f>
        <v/>
      </c>
      <c r="B18">
        <f>IF($W18="","",IF(INDEX('Per Invoice'!B$2:B$801,$W18)="","",INDEX('Per Invoice'!B$2:B$801,$W18)))</f>
        <v/>
      </c>
      <c r="C18">
        <f>IF($W18="","",IF(INDEX('Per Invoice'!C$2:C$801,$W18)="","",INDEX('Per Invoice'!C$2:C$801,$W18)))</f>
        <v/>
      </c>
      <c r="D18">
        <f>IF($W18="","",IF(INDEX('Per Invoice'!D$2:D$801,$W18)="","",INDEX('Per Invoice'!D$2:D$801,$W18)))</f>
        <v/>
      </c>
      <c r="E18">
        <f>IF($W18="","",IF(INDEX('Per Invoice'!E$2:E$801,$W18)="","",INDEX('Per Invoice'!E$2:E$801,$W18)))</f>
        <v/>
      </c>
      <c r="F18">
        <f>IF($W18="","",IF(INDEX('Per Invoice'!F$2:F$801,$W18)="","",INDEX('Per Invoice'!F$2:F$801,$W18)))</f>
        <v/>
      </c>
      <c r="G18">
        <f>IF($W18="","",IF(INDEX('Per Invoice'!G$2:G$801,$W18)="","",INDEX('Per Invoice'!G$2:G$801,$W18)))</f>
        <v/>
      </c>
      <c r="H18">
        <f>IF($W18="","",IF(INDEX('Per Invoice'!H$2:H$801,$W18)="","",INDEX('Per Invoice'!H$2:H$801,$W18)))</f>
        <v/>
      </c>
      <c r="I18">
        <f>IF($W18="","",IF(INDEX('Per Invoice'!I$2:I$801,$W18)="","",INDEX('Per Invoice'!I$2:I$801,$W18)))</f>
        <v/>
      </c>
      <c r="J18">
        <f>IF($W18="","",IF(INDEX('Per Invoice'!J$2:J$801,$W18)="","",INDEX('Per Invoice'!J$2:J$801,$W18)))</f>
        <v/>
      </c>
      <c r="K18" s="7">
        <f>IF($W18="","",IF(INDEX('Per Invoice'!K$2:K$801,$W18)="","",INDEX('Per Invoice'!K$2:K$801,$W18)))</f>
        <v/>
      </c>
      <c r="L18" s="14">
        <f>IF($W18="","",IF(INDEX('Per Invoice'!L$2:L$801,$W18)="","",INDEX('Per Invoice'!L$2:L$801,$W18)))</f>
        <v/>
      </c>
      <c r="M18">
        <f>IF($W18="","",IF(INDEX('Per Invoice'!M$2:M$801,$W18)="","",INDEX('Per Invoice'!M$2:M$801,$W18)))</f>
        <v/>
      </c>
      <c r="N18" s="7">
        <f>IF($W18="","",IF(INDEX('Per Invoice'!N$2:N$801,$W18)="","",INDEX('Per Invoice'!N$2:N$801,$W18)))</f>
        <v/>
      </c>
      <c r="O18" s="7">
        <f>IF($W18="","",IF(INDEX('Per Invoice'!O$2:O$801,$W18)="","",INDEX('Per Invoice'!O$2:O$801,$W18)))</f>
        <v/>
      </c>
      <c r="P18">
        <f>IF($W18="","",IF(INDEX('Per Invoice'!P$2:P$801,$W18)="","",INDEX('Per Invoice'!P$2:P$801,$W18)))</f>
        <v/>
      </c>
      <c r="Q18" s="7">
        <f>IF($W18="","",IF(INDEX('Per Invoice'!Q$2:Q$801,$W18)="","",INDEX('Per Invoice'!Q$2:Q$801,$W18)))</f>
        <v/>
      </c>
      <c r="R18" s="7">
        <f>IF($W18="","",IF(INDEX('Per Invoice'!R$2:R$801,$W18)="","",INDEX('Per Invoice'!R$2:R$801,$W18)))</f>
        <v/>
      </c>
      <c r="S18" s="7">
        <f>IF($W18="","",IF(INDEX('Per Invoice'!S$2:S$801,$W18)="","",INDEX('Per Invoice'!S$2:S$801,$W18)))</f>
        <v/>
      </c>
      <c r="T18" s="7">
        <f>IF($W18="","",IF(INDEX('Per Invoice'!T$2:T$801,$W18)="","",INDEX('Per Invoice'!T$2:T$801,$W18)))</f>
        <v/>
      </c>
      <c r="U18" s="7">
        <f>IF($W18="","",IF(INDEX('Per Invoice'!U$2:U$801,$W18)="","",INDEX('Per Invoice'!U$2:U$801,$W18)))</f>
        <v/>
      </c>
      <c r="V18" s="7">
        <f>IF($W18="","",IF(INDEX('Per Invoice'!V$2:V$801,$W18)="","",INDEX('Per Invoice'!V$2:V$801,$W18)))</f>
        <v/>
      </c>
      <c r="W18" s="16">
        <f>IFERROR(MATCH(Settings!$C$28&amp;"|"&amp;ROWS($W$2:$W18),'Per Invoice'!$X$2:$X$801,0),"")</f>
        <v/>
      </c>
    </row>
    <row r="19">
      <c r="A19">
        <f>IF($W19="","",IF(INDEX('Per Invoice'!A$2:A$801,$W19)="","",INDEX('Per Invoice'!A$2:A$801,$W19)))</f>
        <v/>
      </c>
      <c r="B19">
        <f>IF($W19="","",IF(INDEX('Per Invoice'!B$2:B$801,$W19)="","",INDEX('Per Invoice'!B$2:B$801,$W19)))</f>
        <v/>
      </c>
      <c r="C19">
        <f>IF($W19="","",IF(INDEX('Per Invoice'!C$2:C$801,$W19)="","",INDEX('Per Invoice'!C$2:C$801,$W19)))</f>
        <v/>
      </c>
      <c r="D19">
        <f>IF($W19="","",IF(INDEX('Per Invoice'!D$2:D$801,$W19)="","",INDEX('Per Invoice'!D$2:D$801,$W19)))</f>
        <v/>
      </c>
      <c r="E19">
        <f>IF($W19="","",IF(INDEX('Per Invoice'!E$2:E$801,$W19)="","",INDEX('Per Invoice'!E$2:E$801,$W19)))</f>
        <v/>
      </c>
      <c r="F19">
        <f>IF($W19="","",IF(INDEX('Per Invoice'!F$2:F$801,$W19)="","",INDEX('Per Invoice'!F$2:F$801,$W19)))</f>
        <v/>
      </c>
      <c r="G19">
        <f>IF($W19="","",IF(INDEX('Per Invoice'!G$2:G$801,$W19)="","",INDEX('Per Invoice'!G$2:G$801,$W19)))</f>
        <v/>
      </c>
      <c r="H19">
        <f>IF($W19="","",IF(INDEX('Per Invoice'!H$2:H$801,$W19)="","",INDEX('Per Invoice'!H$2:H$801,$W19)))</f>
        <v/>
      </c>
      <c r="I19">
        <f>IF($W19="","",IF(INDEX('Per Invoice'!I$2:I$801,$W19)="","",INDEX('Per Invoice'!I$2:I$801,$W19)))</f>
        <v/>
      </c>
      <c r="J19">
        <f>IF($W19="","",IF(INDEX('Per Invoice'!J$2:J$801,$W19)="","",INDEX('Per Invoice'!J$2:J$801,$W19)))</f>
        <v/>
      </c>
      <c r="K19" s="7">
        <f>IF($W19="","",IF(INDEX('Per Invoice'!K$2:K$801,$W19)="","",INDEX('Per Invoice'!K$2:K$801,$W19)))</f>
        <v/>
      </c>
      <c r="L19" s="14">
        <f>IF($W19="","",IF(INDEX('Per Invoice'!L$2:L$801,$W19)="","",INDEX('Per Invoice'!L$2:L$801,$W19)))</f>
        <v/>
      </c>
      <c r="M19">
        <f>IF($W19="","",IF(INDEX('Per Invoice'!M$2:M$801,$W19)="","",INDEX('Per Invoice'!M$2:M$801,$W19)))</f>
        <v/>
      </c>
      <c r="N19" s="7">
        <f>IF($W19="","",IF(INDEX('Per Invoice'!N$2:N$801,$W19)="","",INDEX('Per Invoice'!N$2:N$801,$W19)))</f>
        <v/>
      </c>
      <c r="O19" s="7">
        <f>IF($W19="","",IF(INDEX('Per Invoice'!O$2:O$801,$W19)="","",INDEX('Per Invoice'!O$2:O$801,$W19)))</f>
        <v/>
      </c>
      <c r="P19">
        <f>IF($W19="","",IF(INDEX('Per Invoice'!P$2:P$801,$W19)="","",INDEX('Per Invoice'!P$2:P$801,$W19)))</f>
        <v/>
      </c>
      <c r="Q19" s="7">
        <f>IF($W19="","",IF(INDEX('Per Invoice'!Q$2:Q$801,$W19)="","",INDEX('Per Invoice'!Q$2:Q$801,$W19)))</f>
        <v/>
      </c>
      <c r="R19" s="7">
        <f>IF($W19="","",IF(INDEX('Per Invoice'!R$2:R$801,$W19)="","",INDEX('Per Invoice'!R$2:R$801,$W19)))</f>
        <v/>
      </c>
      <c r="S19" s="7">
        <f>IF($W19="","",IF(INDEX('Per Invoice'!S$2:S$801,$W19)="","",INDEX('Per Invoice'!S$2:S$801,$W19)))</f>
        <v/>
      </c>
      <c r="T19" s="7">
        <f>IF($W19="","",IF(INDEX('Per Invoice'!T$2:T$801,$W19)="","",INDEX('Per Invoice'!T$2:T$801,$W19)))</f>
        <v/>
      </c>
      <c r="U19" s="7">
        <f>IF($W19="","",IF(INDEX('Per Invoice'!U$2:U$801,$W19)="","",INDEX('Per Invoice'!U$2:U$801,$W19)))</f>
        <v/>
      </c>
      <c r="V19" s="7">
        <f>IF($W19="","",IF(INDEX('Per Invoice'!V$2:V$801,$W19)="","",INDEX('Per Invoice'!V$2:V$801,$W19)))</f>
        <v/>
      </c>
      <c r="W19" s="16">
        <f>IFERROR(MATCH(Settings!$C$28&amp;"|"&amp;ROWS($W$2:$W19),'Per Invoice'!$X$2:$X$801,0),"")</f>
        <v/>
      </c>
    </row>
    <row r="20">
      <c r="A20">
        <f>IF($W20="","",IF(INDEX('Per Invoice'!A$2:A$801,$W20)="","",INDEX('Per Invoice'!A$2:A$801,$W20)))</f>
        <v/>
      </c>
      <c r="B20">
        <f>IF($W20="","",IF(INDEX('Per Invoice'!B$2:B$801,$W20)="","",INDEX('Per Invoice'!B$2:B$801,$W20)))</f>
        <v/>
      </c>
      <c r="C20">
        <f>IF($W20="","",IF(INDEX('Per Invoice'!C$2:C$801,$W20)="","",INDEX('Per Invoice'!C$2:C$801,$W20)))</f>
        <v/>
      </c>
      <c r="D20">
        <f>IF($W20="","",IF(INDEX('Per Invoice'!D$2:D$801,$W20)="","",INDEX('Per Invoice'!D$2:D$801,$W20)))</f>
        <v/>
      </c>
      <c r="E20">
        <f>IF($W20="","",IF(INDEX('Per Invoice'!E$2:E$801,$W20)="","",INDEX('Per Invoice'!E$2:E$801,$W20)))</f>
        <v/>
      </c>
      <c r="F20">
        <f>IF($W20="","",IF(INDEX('Per Invoice'!F$2:F$801,$W20)="","",INDEX('Per Invoice'!F$2:F$801,$W20)))</f>
        <v/>
      </c>
      <c r="G20">
        <f>IF($W20="","",IF(INDEX('Per Invoice'!G$2:G$801,$W20)="","",INDEX('Per Invoice'!G$2:G$801,$W20)))</f>
        <v/>
      </c>
      <c r="H20">
        <f>IF($W20="","",IF(INDEX('Per Invoice'!H$2:H$801,$W20)="","",INDEX('Per Invoice'!H$2:H$801,$W20)))</f>
        <v/>
      </c>
      <c r="I20">
        <f>IF($W20="","",IF(INDEX('Per Invoice'!I$2:I$801,$W20)="","",INDEX('Per Invoice'!I$2:I$801,$W20)))</f>
        <v/>
      </c>
      <c r="J20">
        <f>IF($W20="","",IF(INDEX('Per Invoice'!J$2:J$801,$W20)="","",INDEX('Per Invoice'!J$2:J$801,$W20)))</f>
        <v/>
      </c>
      <c r="K20" s="7">
        <f>IF($W20="","",IF(INDEX('Per Invoice'!K$2:K$801,$W20)="","",INDEX('Per Invoice'!K$2:K$801,$W20)))</f>
        <v/>
      </c>
      <c r="L20" s="14">
        <f>IF($W20="","",IF(INDEX('Per Invoice'!L$2:L$801,$W20)="","",INDEX('Per Invoice'!L$2:L$801,$W20)))</f>
        <v/>
      </c>
      <c r="M20">
        <f>IF($W20="","",IF(INDEX('Per Invoice'!M$2:M$801,$W20)="","",INDEX('Per Invoice'!M$2:M$801,$W20)))</f>
        <v/>
      </c>
      <c r="N20" s="7">
        <f>IF($W20="","",IF(INDEX('Per Invoice'!N$2:N$801,$W20)="","",INDEX('Per Invoice'!N$2:N$801,$W20)))</f>
        <v/>
      </c>
      <c r="O20" s="7">
        <f>IF($W20="","",IF(INDEX('Per Invoice'!O$2:O$801,$W20)="","",INDEX('Per Invoice'!O$2:O$801,$W20)))</f>
        <v/>
      </c>
      <c r="P20">
        <f>IF($W20="","",IF(INDEX('Per Invoice'!P$2:P$801,$W20)="","",INDEX('Per Invoice'!P$2:P$801,$W20)))</f>
        <v/>
      </c>
      <c r="Q20" s="7">
        <f>IF($W20="","",IF(INDEX('Per Invoice'!Q$2:Q$801,$W20)="","",INDEX('Per Invoice'!Q$2:Q$801,$W20)))</f>
        <v/>
      </c>
      <c r="R20" s="7">
        <f>IF($W20="","",IF(INDEX('Per Invoice'!R$2:R$801,$W20)="","",INDEX('Per Invoice'!R$2:R$801,$W20)))</f>
        <v/>
      </c>
      <c r="S20" s="7">
        <f>IF($W20="","",IF(INDEX('Per Invoice'!S$2:S$801,$W20)="","",INDEX('Per Invoice'!S$2:S$801,$W20)))</f>
        <v/>
      </c>
      <c r="T20" s="7">
        <f>IF($W20="","",IF(INDEX('Per Invoice'!T$2:T$801,$W20)="","",INDEX('Per Invoice'!T$2:T$801,$W20)))</f>
        <v/>
      </c>
      <c r="U20" s="7">
        <f>IF($W20="","",IF(INDEX('Per Invoice'!U$2:U$801,$W20)="","",INDEX('Per Invoice'!U$2:U$801,$W20)))</f>
        <v/>
      </c>
      <c r="V20" s="7">
        <f>IF($W20="","",IF(INDEX('Per Invoice'!V$2:V$801,$W20)="","",INDEX('Per Invoice'!V$2:V$801,$W20)))</f>
        <v/>
      </c>
      <c r="W20" s="16">
        <f>IFERROR(MATCH(Settings!$C$28&amp;"|"&amp;ROWS($W$2:$W20),'Per Invoice'!$X$2:$X$801,0),"")</f>
        <v/>
      </c>
    </row>
    <row r="21">
      <c r="A21">
        <f>IF($W21="","",IF(INDEX('Per Invoice'!A$2:A$801,$W21)="","",INDEX('Per Invoice'!A$2:A$801,$W21)))</f>
        <v/>
      </c>
      <c r="B21">
        <f>IF($W21="","",IF(INDEX('Per Invoice'!B$2:B$801,$W21)="","",INDEX('Per Invoice'!B$2:B$801,$W21)))</f>
        <v/>
      </c>
      <c r="C21">
        <f>IF($W21="","",IF(INDEX('Per Invoice'!C$2:C$801,$W21)="","",INDEX('Per Invoice'!C$2:C$801,$W21)))</f>
        <v/>
      </c>
      <c r="D21">
        <f>IF($W21="","",IF(INDEX('Per Invoice'!D$2:D$801,$W21)="","",INDEX('Per Invoice'!D$2:D$801,$W21)))</f>
        <v/>
      </c>
      <c r="E21">
        <f>IF($W21="","",IF(INDEX('Per Invoice'!E$2:E$801,$W21)="","",INDEX('Per Invoice'!E$2:E$801,$W21)))</f>
        <v/>
      </c>
      <c r="F21">
        <f>IF($W21="","",IF(INDEX('Per Invoice'!F$2:F$801,$W21)="","",INDEX('Per Invoice'!F$2:F$801,$W21)))</f>
        <v/>
      </c>
      <c r="G21">
        <f>IF($W21="","",IF(INDEX('Per Invoice'!G$2:G$801,$W21)="","",INDEX('Per Invoice'!G$2:G$801,$W21)))</f>
        <v/>
      </c>
      <c r="H21">
        <f>IF($W21="","",IF(INDEX('Per Invoice'!H$2:H$801,$W21)="","",INDEX('Per Invoice'!H$2:H$801,$W21)))</f>
        <v/>
      </c>
      <c r="I21">
        <f>IF($W21="","",IF(INDEX('Per Invoice'!I$2:I$801,$W21)="","",INDEX('Per Invoice'!I$2:I$801,$W21)))</f>
        <v/>
      </c>
      <c r="J21">
        <f>IF($W21="","",IF(INDEX('Per Invoice'!J$2:J$801,$W21)="","",INDEX('Per Invoice'!J$2:J$801,$W21)))</f>
        <v/>
      </c>
      <c r="K21" s="7">
        <f>IF($W21="","",IF(INDEX('Per Invoice'!K$2:K$801,$W21)="","",INDEX('Per Invoice'!K$2:K$801,$W21)))</f>
        <v/>
      </c>
      <c r="L21" s="14">
        <f>IF($W21="","",IF(INDEX('Per Invoice'!L$2:L$801,$W21)="","",INDEX('Per Invoice'!L$2:L$801,$W21)))</f>
        <v/>
      </c>
      <c r="M21">
        <f>IF($W21="","",IF(INDEX('Per Invoice'!M$2:M$801,$W21)="","",INDEX('Per Invoice'!M$2:M$801,$W21)))</f>
        <v/>
      </c>
      <c r="N21" s="7">
        <f>IF($W21="","",IF(INDEX('Per Invoice'!N$2:N$801,$W21)="","",INDEX('Per Invoice'!N$2:N$801,$W21)))</f>
        <v/>
      </c>
      <c r="O21" s="7">
        <f>IF($W21="","",IF(INDEX('Per Invoice'!O$2:O$801,$W21)="","",INDEX('Per Invoice'!O$2:O$801,$W21)))</f>
        <v/>
      </c>
      <c r="P21">
        <f>IF($W21="","",IF(INDEX('Per Invoice'!P$2:P$801,$W21)="","",INDEX('Per Invoice'!P$2:P$801,$W21)))</f>
        <v/>
      </c>
      <c r="Q21" s="7">
        <f>IF($W21="","",IF(INDEX('Per Invoice'!Q$2:Q$801,$W21)="","",INDEX('Per Invoice'!Q$2:Q$801,$W21)))</f>
        <v/>
      </c>
      <c r="R21" s="7">
        <f>IF($W21="","",IF(INDEX('Per Invoice'!R$2:R$801,$W21)="","",INDEX('Per Invoice'!R$2:R$801,$W21)))</f>
        <v/>
      </c>
      <c r="S21" s="7">
        <f>IF($W21="","",IF(INDEX('Per Invoice'!S$2:S$801,$W21)="","",INDEX('Per Invoice'!S$2:S$801,$W21)))</f>
        <v/>
      </c>
      <c r="T21" s="7">
        <f>IF($W21="","",IF(INDEX('Per Invoice'!T$2:T$801,$W21)="","",INDEX('Per Invoice'!T$2:T$801,$W21)))</f>
        <v/>
      </c>
      <c r="U21" s="7">
        <f>IF($W21="","",IF(INDEX('Per Invoice'!U$2:U$801,$W21)="","",INDEX('Per Invoice'!U$2:U$801,$W21)))</f>
        <v/>
      </c>
      <c r="V21" s="7">
        <f>IF($W21="","",IF(INDEX('Per Invoice'!V$2:V$801,$W21)="","",INDEX('Per Invoice'!V$2:V$801,$W21)))</f>
        <v/>
      </c>
      <c r="W21" s="16">
        <f>IFERROR(MATCH(Settings!$C$28&amp;"|"&amp;ROWS($W$2:$W21),'Per Invoice'!$X$2:$X$801,0),"")</f>
        <v/>
      </c>
    </row>
    <row r="22">
      <c r="A22">
        <f>IF($W22="","",IF(INDEX('Per Invoice'!A$2:A$801,$W22)="","",INDEX('Per Invoice'!A$2:A$801,$W22)))</f>
        <v/>
      </c>
      <c r="B22">
        <f>IF($W22="","",IF(INDEX('Per Invoice'!B$2:B$801,$W22)="","",INDEX('Per Invoice'!B$2:B$801,$W22)))</f>
        <v/>
      </c>
      <c r="C22">
        <f>IF($W22="","",IF(INDEX('Per Invoice'!C$2:C$801,$W22)="","",INDEX('Per Invoice'!C$2:C$801,$W22)))</f>
        <v/>
      </c>
      <c r="D22">
        <f>IF($W22="","",IF(INDEX('Per Invoice'!D$2:D$801,$W22)="","",INDEX('Per Invoice'!D$2:D$801,$W22)))</f>
        <v/>
      </c>
      <c r="E22">
        <f>IF($W22="","",IF(INDEX('Per Invoice'!E$2:E$801,$W22)="","",INDEX('Per Invoice'!E$2:E$801,$W22)))</f>
        <v/>
      </c>
      <c r="F22">
        <f>IF($W22="","",IF(INDEX('Per Invoice'!F$2:F$801,$W22)="","",INDEX('Per Invoice'!F$2:F$801,$W22)))</f>
        <v/>
      </c>
      <c r="G22">
        <f>IF($W22="","",IF(INDEX('Per Invoice'!G$2:G$801,$W22)="","",INDEX('Per Invoice'!G$2:G$801,$W22)))</f>
        <v/>
      </c>
      <c r="H22">
        <f>IF($W22="","",IF(INDEX('Per Invoice'!H$2:H$801,$W22)="","",INDEX('Per Invoice'!H$2:H$801,$W22)))</f>
        <v/>
      </c>
      <c r="I22">
        <f>IF($W22="","",IF(INDEX('Per Invoice'!I$2:I$801,$W22)="","",INDEX('Per Invoice'!I$2:I$801,$W22)))</f>
        <v/>
      </c>
      <c r="J22">
        <f>IF($W22="","",IF(INDEX('Per Invoice'!J$2:J$801,$W22)="","",INDEX('Per Invoice'!J$2:J$801,$W22)))</f>
        <v/>
      </c>
      <c r="K22" s="7">
        <f>IF($W22="","",IF(INDEX('Per Invoice'!K$2:K$801,$W22)="","",INDEX('Per Invoice'!K$2:K$801,$W22)))</f>
        <v/>
      </c>
      <c r="L22" s="14">
        <f>IF($W22="","",IF(INDEX('Per Invoice'!L$2:L$801,$W22)="","",INDEX('Per Invoice'!L$2:L$801,$W22)))</f>
        <v/>
      </c>
      <c r="M22">
        <f>IF($W22="","",IF(INDEX('Per Invoice'!M$2:M$801,$W22)="","",INDEX('Per Invoice'!M$2:M$801,$W22)))</f>
        <v/>
      </c>
      <c r="N22" s="7">
        <f>IF($W22="","",IF(INDEX('Per Invoice'!N$2:N$801,$W22)="","",INDEX('Per Invoice'!N$2:N$801,$W22)))</f>
        <v/>
      </c>
      <c r="O22" s="7">
        <f>IF($W22="","",IF(INDEX('Per Invoice'!O$2:O$801,$W22)="","",INDEX('Per Invoice'!O$2:O$801,$W22)))</f>
        <v/>
      </c>
      <c r="P22">
        <f>IF($W22="","",IF(INDEX('Per Invoice'!P$2:P$801,$W22)="","",INDEX('Per Invoice'!P$2:P$801,$W22)))</f>
        <v/>
      </c>
      <c r="Q22" s="7">
        <f>IF($W22="","",IF(INDEX('Per Invoice'!Q$2:Q$801,$W22)="","",INDEX('Per Invoice'!Q$2:Q$801,$W22)))</f>
        <v/>
      </c>
      <c r="R22" s="7">
        <f>IF($W22="","",IF(INDEX('Per Invoice'!R$2:R$801,$W22)="","",INDEX('Per Invoice'!R$2:R$801,$W22)))</f>
        <v/>
      </c>
      <c r="S22" s="7">
        <f>IF($W22="","",IF(INDEX('Per Invoice'!S$2:S$801,$W22)="","",INDEX('Per Invoice'!S$2:S$801,$W22)))</f>
        <v/>
      </c>
      <c r="T22" s="7">
        <f>IF($W22="","",IF(INDEX('Per Invoice'!T$2:T$801,$W22)="","",INDEX('Per Invoice'!T$2:T$801,$W22)))</f>
        <v/>
      </c>
      <c r="U22" s="7">
        <f>IF($W22="","",IF(INDEX('Per Invoice'!U$2:U$801,$W22)="","",INDEX('Per Invoice'!U$2:U$801,$W22)))</f>
        <v/>
      </c>
      <c r="V22" s="7">
        <f>IF($W22="","",IF(INDEX('Per Invoice'!V$2:V$801,$W22)="","",INDEX('Per Invoice'!V$2:V$801,$W22)))</f>
        <v/>
      </c>
      <c r="W22" s="16">
        <f>IFERROR(MATCH(Settings!$C$28&amp;"|"&amp;ROWS($W$2:$W22),'Per Invoice'!$X$2:$X$801,0),"")</f>
        <v/>
      </c>
    </row>
    <row r="23">
      <c r="A23">
        <f>IF($W23="","",IF(INDEX('Per Invoice'!A$2:A$801,$W23)="","",INDEX('Per Invoice'!A$2:A$801,$W23)))</f>
        <v/>
      </c>
      <c r="B23">
        <f>IF($W23="","",IF(INDEX('Per Invoice'!B$2:B$801,$W23)="","",INDEX('Per Invoice'!B$2:B$801,$W23)))</f>
        <v/>
      </c>
      <c r="C23">
        <f>IF($W23="","",IF(INDEX('Per Invoice'!C$2:C$801,$W23)="","",INDEX('Per Invoice'!C$2:C$801,$W23)))</f>
        <v/>
      </c>
      <c r="D23">
        <f>IF($W23="","",IF(INDEX('Per Invoice'!D$2:D$801,$W23)="","",INDEX('Per Invoice'!D$2:D$801,$W23)))</f>
        <v/>
      </c>
      <c r="E23">
        <f>IF($W23="","",IF(INDEX('Per Invoice'!E$2:E$801,$W23)="","",INDEX('Per Invoice'!E$2:E$801,$W23)))</f>
        <v/>
      </c>
      <c r="F23">
        <f>IF($W23="","",IF(INDEX('Per Invoice'!F$2:F$801,$W23)="","",INDEX('Per Invoice'!F$2:F$801,$W23)))</f>
        <v/>
      </c>
      <c r="G23">
        <f>IF($W23="","",IF(INDEX('Per Invoice'!G$2:G$801,$W23)="","",INDEX('Per Invoice'!G$2:G$801,$W23)))</f>
        <v/>
      </c>
      <c r="H23">
        <f>IF($W23="","",IF(INDEX('Per Invoice'!H$2:H$801,$W23)="","",INDEX('Per Invoice'!H$2:H$801,$W23)))</f>
        <v/>
      </c>
      <c r="I23">
        <f>IF($W23="","",IF(INDEX('Per Invoice'!I$2:I$801,$W23)="","",INDEX('Per Invoice'!I$2:I$801,$W23)))</f>
        <v/>
      </c>
      <c r="J23">
        <f>IF($W23="","",IF(INDEX('Per Invoice'!J$2:J$801,$W23)="","",INDEX('Per Invoice'!J$2:J$801,$W23)))</f>
        <v/>
      </c>
      <c r="K23" s="7">
        <f>IF($W23="","",IF(INDEX('Per Invoice'!K$2:K$801,$W23)="","",INDEX('Per Invoice'!K$2:K$801,$W23)))</f>
        <v/>
      </c>
      <c r="L23" s="14">
        <f>IF($W23="","",IF(INDEX('Per Invoice'!L$2:L$801,$W23)="","",INDEX('Per Invoice'!L$2:L$801,$W23)))</f>
        <v/>
      </c>
      <c r="M23">
        <f>IF($W23="","",IF(INDEX('Per Invoice'!M$2:M$801,$W23)="","",INDEX('Per Invoice'!M$2:M$801,$W23)))</f>
        <v/>
      </c>
      <c r="N23" s="7">
        <f>IF($W23="","",IF(INDEX('Per Invoice'!N$2:N$801,$W23)="","",INDEX('Per Invoice'!N$2:N$801,$W23)))</f>
        <v/>
      </c>
      <c r="O23" s="7">
        <f>IF($W23="","",IF(INDEX('Per Invoice'!O$2:O$801,$W23)="","",INDEX('Per Invoice'!O$2:O$801,$W23)))</f>
        <v/>
      </c>
      <c r="P23">
        <f>IF($W23="","",IF(INDEX('Per Invoice'!P$2:P$801,$W23)="","",INDEX('Per Invoice'!P$2:P$801,$W23)))</f>
        <v/>
      </c>
      <c r="Q23" s="7">
        <f>IF($W23="","",IF(INDEX('Per Invoice'!Q$2:Q$801,$W23)="","",INDEX('Per Invoice'!Q$2:Q$801,$W23)))</f>
        <v/>
      </c>
      <c r="R23" s="7">
        <f>IF($W23="","",IF(INDEX('Per Invoice'!R$2:R$801,$W23)="","",INDEX('Per Invoice'!R$2:R$801,$W23)))</f>
        <v/>
      </c>
      <c r="S23" s="7">
        <f>IF($W23="","",IF(INDEX('Per Invoice'!S$2:S$801,$W23)="","",INDEX('Per Invoice'!S$2:S$801,$W23)))</f>
        <v/>
      </c>
      <c r="T23" s="7">
        <f>IF($W23="","",IF(INDEX('Per Invoice'!T$2:T$801,$W23)="","",INDEX('Per Invoice'!T$2:T$801,$W23)))</f>
        <v/>
      </c>
      <c r="U23" s="7">
        <f>IF($W23="","",IF(INDEX('Per Invoice'!U$2:U$801,$W23)="","",INDEX('Per Invoice'!U$2:U$801,$W23)))</f>
        <v/>
      </c>
      <c r="V23" s="7">
        <f>IF($W23="","",IF(INDEX('Per Invoice'!V$2:V$801,$W23)="","",INDEX('Per Invoice'!V$2:V$801,$W23)))</f>
        <v/>
      </c>
      <c r="W23" s="16">
        <f>IFERROR(MATCH(Settings!$C$28&amp;"|"&amp;ROWS($W$2:$W23),'Per Invoice'!$X$2:$X$801,0),"")</f>
        <v/>
      </c>
    </row>
    <row r="24">
      <c r="A24">
        <f>IF($W24="","",IF(INDEX('Per Invoice'!A$2:A$801,$W24)="","",INDEX('Per Invoice'!A$2:A$801,$W24)))</f>
        <v/>
      </c>
      <c r="B24">
        <f>IF($W24="","",IF(INDEX('Per Invoice'!B$2:B$801,$W24)="","",INDEX('Per Invoice'!B$2:B$801,$W24)))</f>
        <v/>
      </c>
      <c r="C24">
        <f>IF($W24="","",IF(INDEX('Per Invoice'!C$2:C$801,$W24)="","",INDEX('Per Invoice'!C$2:C$801,$W24)))</f>
        <v/>
      </c>
      <c r="D24">
        <f>IF($W24="","",IF(INDEX('Per Invoice'!D$2:D$801,$W24)="","",INDEX('Per Invoice'!D$2:D$801,$W24)))</f>
        <v/>
      </c>
      <c r="E24">
        <f>IF($W24="","",IF(INDEX('Per Invoice'!E$2:E$801,$W24)="","",INDEX('Per Invoice'!E$2:E$801,$W24)))</f>
        <v/>
      </c>
      <c r="F24">
        <f>IF($W24="","",IF(INDEX('Per Invoice'!F$2:F$801,$W24)="","",INDEX('Per Invoice'!F$2:F$801,$W24)))</f>
        <v/>
      </c>
      <c r="G24">
        <f>IF($W24="","",IF(INDEX('Per Invoice'!G$2:G$801,$W24)="","",INDEX('Per Invoice'!G$2:G$801,$W24)))</f>
        <v/>
      </c>
      <c r="H24">
        <f>IF($W24="","",IF(INDEX('Per Invoice'!H$2:H$801,$W24)="","",INDEX('Per Invoice'!H$2:H$801,$W24)))</f>
        <v/>
      </c>
      <c r="I24">
        <f>IF($W24="","",IF(INDEX('Per Invoice'!I$2:I$801,$W24)="","",INDEX('Per Invoice'!I$2:I$801,$W24)))</f>
        <v/>
      </c>
      <c r="J24">
        <f>IF($W24="","",IF(INDEX('Per Invoice'!J$2:J$801,$W24)="","",INDEX('Per Invoice'!J$2:J$801,$W24)))</f>
        <v/>
      </c>
      <c r="K24" s="7">
        <f>IF($W24="","",IF(INDEX('Per Invoice'!K$2:K$801,$W24)="","",INDEX('Per Invoice'!K$2:K$801,$W24)))</f>
        <v/>
      </c>
      <c r="L24" s="14">
        <f>IF($W24="","",IF(INDEX('Per Invoice'!L$2:L$801,$W24)="","",INDEX('Per Invoice'!L$2:L$801,$W24)))</f>
        <v/>
      </c>
      <c r="M24">
        <f>IF($W24="","",IF(INDEX('Per Invoice'!M$2:M$801,$W24)="","",INDEX('Per Invoice'!M$2:M$801,$W24)))</f>
        <v/>
      </c>
      <c r="N24" s="7">
        <f>IF($W24="","",IF(INDEX('Per Invoice'!N$2:N$801,$W24)="","",INDEX('Per Invoice'!N$2:N$801,$W24)))</f>
        <v/>
      </c>
      <c r="O24" s="7">
        <f>IF($W24="","",IF(INDEX('Per Invoice'!O$2:O$801,$W24)="","",INDEX('Per Invoice'!O$2:O$801,$W24)))</f>
        <v/>
      </c>
      <c r="P24">
        <f>IF($W24="","",IF(INDEX('Per Invoice'!P$2:P$801,$W24)="","",INDEX('Per Invoice'!P$2:P$801,$W24)))</f>
        <v/>
      </c>
      <c r="Q24" s="7">
        <f>IF($W24="","",IF(INDEX('Per Invoice'!Q$2:Q$801,$W24)="","",INDEX('Per Invoice'!Q$2:Q$801,$W24)))</f>
        <v/>
      </c>
      <c r="R24" s="7">
        <f>IF($W24="","",IF(INDEX('Per Invoice'!R$2:R$801,$W24)="","",INDEX('Per Invoice'!R$2:R$801,$W24)))</f>
        <v/>
      </c>
      <c r="S24" s="7">
        <f>IF($W24="","",IF(INDEX('Per Invoice'!S$2:S$801,$W24)="","",INDEX('Per Invoice'!S$2:S$801,$W24)))</f>
        <v/>
      </c>
      <c r="T24" s="7">
        <f>IF($W24="","",IF(INDEX('Per Invoice'!T$2:T$801,$W24)="","",INDEX('Per Invoice'!T$2:T$801,$W24)))</f>
        <v/>
      </c>
      <c r="U24" s="7">
        <f>IF($W24="","",IF(INDEX('Per Invoice'!U$2:U$801,$W24)="","",INDEX('Per Invoice'!U$2:U$801,$W24)))</f>
        <v/>
      </c>
      <c r="V24" s="7">
        <f>IF($W24="","",IF(INDEX('Per Invoice'!V$2:V$801,$W24)="","",INDEX('Per Invoice'!V$2:V$801,$W24)))</f>
        <v/>
      </c>
      <c r="W24" s="16">
        <f>IFERROR(MATCH(Settings!$C$28&amp;"|"&amp;ROWS($W$2:$W24),'Per Invoice'!$X$2:$X$801,0),"")</f>
        <v/>
      </c>
    </row>
    <row r="25">
      <c r="A25">
        <f>IF($W25="","",IF(INDEX('Per Invoice'!A$2:A$801,$W25)="","",INDEX('Per Invoice'!A$2:A$801,$W25)))</f>
        <v/>
      </c>
      <c r="B25">
        <f>IF($W25="","",IF(INDEX('Per Invoice'!B$2:B$801,$W25)="","",INDEX('Per Invoice'!B$2:B$801,$W25)))</f>
        <v/>
      </c>
      <c r="C25">
        <f>IF($W25="","",IF(INDEX('Per Invoice'!C$2:C$801,$W25)="","",INDEX('Per Invoice'!C$2:C$801,$W25)))</f>
        <v/>
      </c>
      <c r="D25">
        <f>IF($W25="","",IF(INDEX('Per Invoice'!D$2:D$801,$W25)="","",INDEX('Per Invoice'!D$2:D$801,$W25)))</f>
        <v/>
      </c>
      <c r="E25">
        <f>IF($W25="","",IF(INDEX('Per Invoice'!E$2:E$801,$W25)="","",INDEX('Per Invoice'!E$2:E$801,$W25)))</f>
        <v/>
      </c>
      <c r="F25">
        <f>IF($W25="","",IF(INDEX('Per Invoice'!F$2:F$801,$W25)="","",INDEX('Per Invoice'!F$2:F$801,$W25)))</f>
        <v/>
      </c>
      <c r="G25">
        <f>IF($W25="","",IF(INDEX('Per Invoice'!G$2:G$801,$W25)="","",INDEX('Per Invoice'!G$2:G$801,$W25)))</f>
        <v/>
      </c>
      <c r="H25">
        <f>IF($W25="","",IF(INDEX('Per Invoice'!H$2:H$801,$W25)="","",INDEX('Per Invoice'!H$2:H$801,$W25)))</f>
        <v/>
      </c>
      <c r="I25">
        <f>IF($W25="","",IF(INDEX('Per Invoice'!I$2:I$801,$W25)="","",INDEX('Per Invoice'!I$2:I$801,$W25)))</f>
        <v/>
      </c>
      <c r="J25">
        <f>IF($W25="","",IF(INDEX('Per Invoice'!J$2:J$801,$W25)="","",INDEX('Per Invoice'!J$2:J$801,$W25)))</f>
        <v/>
      </c>
      <c r="K25" s="7">
        <f>IF($W25="","",IF(INDEX('Per Invoice'!K$2:K$801,$W25)="","",INDEX('Per Invoice'!K$2:K$801,$W25)))</f>
        <v/>
      </c>
      <c r="L25" s="14">
        <f>IF($W25="","",IF(INDEX('Per Invoice'!L$2:L$801,$W25)="","",INDEX('Per Invoice'!L$2:L$801,$W25)))</f>
        <v/>
      </c>
      <c r="M25">
        <f>IF($W25="","",IF(INDEX('Per Invoice'!M$2:M$801,$W25)="","",INDEX('Per Invoice'!M$2:M$801,$W25)))</f>
        <v/>
      </c>
      <c r="N25" s="7">
        <f>IF($W25="","",IF(INDEX('Per Invoice'!N$2:N$801,$W25)="","",INDEX('Per Invoice'!N$2:N$801,$W25)))</f>
        <v/>
      </c>
      <c r="O25" s="7">
        <f>IF($W25="","",IF(INDEX('Per Invoice'!O$2:O$801,$W25)="","",INDEX('Per Invoice'!O$2:O$801,$W25)))</f>
        <v/>
      </c>
      <c r="P25">
        <f>IF($W25="","",IF(INDEX('Per Invoice'!P$2:P$801,$W25)="","",INDEX('Per Invoice'!P$2:P$801,$W25)))</f>
        <v/>
      </c>
      <c r="Q25" s="7">
        <f>IF($W25="","",IF(INDEX('Per Invoice'!Q$2:Q$801,$W25)="","",INDEX('Per Invoice'!Q$2:Q$801,$W25)))</f>
        <v/>
      </c>
      <c r="R25" s="7">
        <f>IF($W25="","",IF(INDEX('Per Invoice'!R$2:R$801,$W25)="","",INDEX('Per Invoice'!R$2:R$801,$W25)))</f>
        <v/>
      </c>
      <c r="S25" s="7">
        <f>IF($W25="","",IF(INDEX('Per Invoice'!S$2:S$801,$W25)="","",INDEX('Per Invoice'!S$2:S$801,$W25)))</f>
        <v/>
      </c>
      <c r="T25" s="7">
        <f>IF($W25="","",IF(INDEX('Per Invoice'!T$2:T$801,$W25)="","",INDEX('Per Invoice'!T$2:T$801,$W25)))</f>
        <v/>
      </c>
      <c r="U25" s="7">
        <f>IF($W25="","",IF(INDEX('Per Invoice'!U$2:U$801,$W25)="","",INDEX('Per Invoice'!U$2:U$801,$W25)))</f>
        <v/>
      </c>
      <c r="V25" s="7">
        <f>IF($W25="","",IF(INDEX('Per Invoice'!V$2:V$801,$W25)="","",INDEX('Per Invoice'!V$2:V$801,$W25)))</f>
        <v/>
      </c>
      <c r="W25" s="16">
        <f>IFERROR(MATCH(Settings!$C$28&amp;"|"&amp;ROWS($W$2:$W25),'Per Invoice'!$X$2:$X$801,0),"")</f>
        <v/>
      </c>
    </row>
    <row r="26">
      <c r="A26">
        <f>IF($W26="","",IF(INDEX('Per Invoice'!A$2:A$801,$W26)="","",INDEX('Per Invoice'!A$2:A$801,$W26)))</f>
        <v/>
      </c>
      <c r="B26">
        <f>IF($W26="","",IF(INDEX('Per Invoice'!B$2:B$801,$W26)="","",INDEX('Per Invoice'!B$2:B$801,$W26)))</f>
        <v/>
      </c>
      <c r="C26">
        <f>IF($W26="","",IF(INDEX('Per Invoice'!C$2:C$801,$W26)="","",INDEX('Per Invoice'!C$2:C$801,$W26)))</f>
        <v/>
      </c>
      <c r="D26">
        <f>IF($W26="","",IF(INDEX('Per Invoice'!D$2:D$801,$W26)="","",INDEX('Per Invoice'!D$2:D$801,$W26)))</f>
        <v/>
      </c>
      <c r="E26">
        <f>IF($W26="","",IF(INDEX('Per Invoice'!E$2:E$801,$W26)="","",INDEX('Per Invoice'!E$2:E$801,$W26)))</f>
        <v/>
      </c>
      <c r="F26">
        <f>IF($W26="","",IF(INDEX('Per Invoice'!F$2:F$801,$W26)="","",INDEX('Per Invoice'!F$2:F$801,$W26)))</f>
        <v/>
      </c>
      <c r="G26">
        <f>IF($W26="","",IF(INDEX('Per Invoice'!G$2:G$801,$W26)="","",INDEX('Per Invoice'!G$2:G$801,$W26)))</f>
        <v/>
      </c>
      <c r="H26">
        <f>IF($W26="","",IF(INDEX('Per Invoice'!H$2:H$801,$W26)="","",INDEX('Per Invoice'!H$2:H$801,$W26)))</f>
        <v/>
      </c>
      <c r="I26">
        <f>IF($W26="","",IF(INDEX('Per Invoice'!I$2:I$801,$W26)="","",INDEX('Per Invoice'!I$2:I$801,$W26)))</f>
        <v/>
      </c>
      <c r="J26">
        <f>IF($W26="","",IF(INDEX('Per Invoice'!J$2:J$801,$W26)="","",INDEX('Per Invoice'!J$2:J$801,$W26)))</f>
        <v/>
      </c>
      <c r="K26" s="7">
        <f>IF($W26="","",IF(INDEX('Per Invoice'!K$2:K$801,$W26)="","",INDEX('Per Invoice'!K$2:K$801,$W26)))</f>
        <v/>
      </c>
      <c r="L26" s="14">
        <f>IF($W26="","",IF(INDEX('Per Invoice'!L$2:L$801,$W26)="","",INDEX('Per Invoice'!L$2:L$801,$W26)))</f>
        <v/>
      </c>
      <c r="M26">
        <f>IF($W26="","",IF(INDEX('Per Invoice'!M$2:M$801,$W26)="","",INDEX('Per Invoice'!M$2:M$801,$W26)))</f>
        <v/>
      </c>
      <c r="N26" s="7">
        <f>IF($W26="","",IF(INDEX('Per Invoice'!N$2:N$801,$W26)="","",INDEX('Per Invoice'!N$2:N$801,$W26)))</f>
        <v/>
      </c>
      <c r="O26" s="7">
        <f>IF($W26="","",IF(INDEX('Per Invoice'!O$2:O$801,$W26)="","",INDEX('Per Invoice'!O$2:O$801,$W26)))</f>
        <v/>
      </c>
      <c r="P26">
        <f>IF($W26="","",IF(INDEX('Per Invoice'!P$2:P$801,$W26)="","",INDEX('Per Invoice'!P$2:P$801,$W26)))</f>
        <v/>
      </c>
      <c r="Q26" s="7">
        <f>IF($W26="","",IF(INDEX('Per Invoice'!Q$2:Q$801,$W26)="","",INDEX('Per Invoice'!Q$2:Q$801,$W26)))</f>
        <v/>
      </c>
      <c r="R26" s="7">
        <f>IF($W26="","",IF(INDEX('Per Invoice'!R$2:R$801,$W26)="","",INDEX('Per Invoice'!R$2:R$801,$W26)))</f>
        <v/>
      </c>
      <c r="S26" s="7">
        <f>IF($W26="","",IF(INDEX('Per Invoice'!S$2:S$801,$W26)="","",INDEX('Per Invoice'!S$2:S$801,$W26)))</f>
        <v/>
      </c>
      <c r="T26" s="7">
        <f>IF($W26="","",IF(INDEX('Per Invoice'!T$2:T$801,$W26)="","",INDEX('Per Invoice'!T$2:T$801,$W26)))</f>
        <v/>
      </c>
      <c r="U26" s="7">
        <f>IF($W26="","",IF(INDEX('Per Invoice'!U$2:U$801,$W26)="","",INDEX('Per Invoice'!U$2:U$801,$W26)))</f>
        <v/>
      </c>
      <c r="V26" s="7">
        <f>IF($W26="","",IF(INDEX('Per Invoice'!V$2:V$801,$W26)="","",INDEX('Per Invoice'!V$2:V$801,$W26)))</f>
        <v/>
      </c>
      <c r="W26" s="16">
        <f>IFERROR(MATCH(Settings!$C$28&amp;"|"&amp;ROWS($W$2:$W26),'Per Invoice'!$X$2:$X$801,0),"")</f>
        <v/>
      </c>
    </row>
    <row r="27">
      <c r="A27">
        <f>IF($W27="","",IF(INDEX('Per Invoice'!A$2:A$801,$W27)="","",INDEX('Per Invoice'!A$2:A$801,$W27)))</f>
        <v/>
      </c>
      <c r="B27">
        <f>IF($W27="","",IF(INDEX('Per Invoice'!B$2:B$801,$W27)="","",INDEX('Per Invoice'!B$2:B$801,$W27)))</f>
        <v/>
      </c>
      <c r="C27">
        <f>IF($W27="","",IF(INDEX('Per Invoice'!C$2:C$801,$W27)="","",INDEX('Per Invoice'!C$2:C$801,$W27)))</f>
        <v/>
      </c>
      <c r="D27">
        <f>IF($W27="","",IF(INDEX('Per Invoice'!D$2:D$801,$W27)="","",INDEX('Per Invoice'!D$2:D$801,$W27)))</f>
        <v/>
      </c>
      <c r="E27">
        <f>IF($W27="","",IF(INDEX('Per Invoice'!E$2:E$801,$W27)="","",INDEX('Per Invoice'!E$2:E$801,$W27)))</f>
        <v/>
      </c>
      <c r="F27">
        <f>IF($W27="","",IF(INDEX('Per Invoice'!F$2:F$801,$W27)="","",INDEX('Per Invoice'!F$2:F$801,$W27)))</f>
        <v/>
      </c>
      <c r="G27">
        <f>IF($W27="","",IF(INDEX('Per Invoice'!G$2:G$801,$W27)="","",INDEX('Per Invoice'!G$2:G$801,$W27)))</f>
        <v/>
      </c>
      <c r="H27">
        <f>IF($W27="","",IF(INDEX('Per Invoice'!H$2:H$801,$W27)="","",INDEX('Per Invoice'!H$2:H$801,$W27)))</f>
        <v/>
      </c>
      <c r="I27">
        <f>IF($W27="","",IF(INDEX('Per Invoice'!I$2:I$801,$W27)="","",INDEX('Per Invoice'!I$2:I$801,$W27)))</f>
        <v/>
      </c>
      <c r="J27">
        <f>IF($W27="","",IF(INDEX('Per Invoice'!J$2:J$801,$W27)="","",INDEX('Per Invoice'!J$2:J$801,$W27)))</f>
        <v/>
      </c>
      <c r="K27" s="7">
        <f>IF($W27="","",IF(INDEX('Per Invoice'!K$2:K$801,$W27)="","",INDEX('Per Invoice'!K$2:K$801,$W27)))</f>
        <v/>
      </c>
      <c r="L27" s="14">
        <f>IF($W27="","",IF(INDEX('Per Invoice'!L$2:L$801,$W27)="","",INDEX('Per Invoice'!L$2:L$801,$W27)))</f>
        <v/>
      </c>
      <c r="M27">
        <f>IF($W27="","",IF(INDEX('Per Invoice'!M$2:M$801,$W27)="","",INDEX('Per Invoice'!M$2:M$801,$W27)))</f>
        <v/>
      </c>
      <c r="N27" s="7">
        <f>IF($W27="","",IF(INDEX('Per Invoice'!N$2:N$801,$W27)="","",INDEX('Per Invoice'!N$2:N$801,$W27)))</f>
        <v/>
      </c>
      <c r="O27" s="7">
        <f>IF($W27="","",IF(INDEX('Per Invoice'!O$2:O$801,$W27)="","",INDEX('Per Invoice'!O$2:O$801,$W27)))</f>
        <v/>
      </c>
      <c r="P27">
        <f>IF($W27="","",IF(INDEX('Per Invoice'!P$2:P$801,$W27)="","",INDEX('Per Invoice'!P$2:P$801,$W27)))</f>
        <v/>
      </c>
      <c r="Q27" s="7">
        <f>IF($W27="","",IF(INDEX('Per Invoice'!Q$2:Q$801,$W27)="","",INDEX('Per Invoice'!Q$2:Q$801,$W27)))</f>
        <v/>
      </c>
      <c r="R27" s="7">
        <f>IF($W27="","",IF(INDEX('Per Invoice'!R$2:R$801,$W27)="","",INDEX('Per Invoice'!R$2:R$801,$W27)))</f>
        <v/>
      </c>
      <c r="S27" s="7">
        <f>IF($W27="","",IF(INDEX('Per Invoice'!S$2:S$801,$W27)="","",INDEX('Per Invoice'!S$2:S$801,$W27)))</f>
        <v/>
      </c>
      <c r="T27" s="7">
        <f>IF($W27="","",IF(INDEX('Per Invoice'!T$2:T$801,$W27)="","",INDEX('Per Invoice'!T$2:T$801,$W27)))</f>
        <v/>
      </c>
      <c r="U27" s="7">
        <f>IF($W27="","",IF(INDEX('Per Invoice'!U$2:U$801,$W27)="","",INDEX('Per Invoice'!U$2:U$801,$W27)))</f>
        <v/>
      </c>
      <c r="V27" s="7">
        <f>IF($W27="","",IF(INDEX('Per Invoice'!V$2:V$801,$W27)="","",INDEX('Per Invoice'!V$2:V$801,$W27)))</f>
        <v/>
      </c>
      <c r="W27" s="16">
        <f>IFERROR(MATCH(Settings!$C$28&amp;"|"&amp;ROWS($W$2:$W27),'Per Invoice'!$X$2:$X$801,0),"")</f>
        <v/>
      </c>
    </row>
    <row r="28">
      <c r="A28">
        <f>IF($W28="","",IF(INDEX('Per Invoice'!A$2:A$801,$W28)="","",INDEX('Per Invoice'!A$2:A$801,$W28)))</f>
        <v/>
      </c>
      <c r="B28">
        <f>IF($W28="","",IF(INDEX('Per Invoice'!B$2:B$801,$W28)="","",INDEX('Per Invoice'!B$2:B$801,$W28)))</f>
        <v/>
      </c>
      <c r="C28">
        <f>IF($W28="","",IF(INDEX('Per Invoice'!C$2:C$801,$W28)="","",INDEX('Per Invoice'!C$2:C$801,$W28)))</f>
        <v/>
      </c>
      <c r="D28">
        <f>IF($W28="","",IF(INDEX('Per Invoice'!D$2:D$801,$W28)="","",INDEX('Per Invoice'!D$2:D$801,$W28)))</f>
        <v/>
      </c>
      <c r="E28">
        <f>IF($W28="","",IF(INDEX('Per Invoice'!E$2:E$801,$W28)="","",INDEX('Per Invoice'!E$2:E$801,$W28)))</f>
        <v/>
      </c>
      <c r="F28">
        <f>IF($W28="","",IF(INDEX('Per Invoice'!F$2:F$801,$W28)="","",INDEX('Per Invoice'!F$2:F$801,$W28)))</f>
        <v/>
      </c>
      <c r="G28">
        <f>IF($W28="","",IF(INDEX('Per Invoice'!G$2:G$801,$W28)="","",INDEX('Per Invoice'!G$2:G$801,$W28)))</f>
        <v/>
      </c>
      <c r="H28">
        <f>IF($W28="","",IF(INDEX('Per Invoice'!H$2:H$801,$W28)="","",INDEX('Per Invoice'!H$2:H$801,$W28)))</f>
        <v/>
      </c>
      <c r="I28">
        <f>IF($W28="","",IF(INDEX('Per Invoice'!I$2:I$801,$W28)="","",INDEX('Per Invoice'!I$2:I$801,$W28)))</f>
        <v/>
      </c>
      <c r="J28">
        <f>IF($W28="","",IF(INDEX('Per Invoice'!J$2:J$801,$W28)="","",INDEX('Per Invoice'!J$2:J$801,$W28)))</f>
        <v/>
      </c>
      <c r="K28" s="7">
        <f>IF($W28="","",IF(INDEX('Per Invoice'!K$2:K$801,$W28)="","",INDEX('Per Invoice'!K$2:K$801,$W28)))</f>
        <v/>
      </c>
      <c r="L28" s="14">
        <f>IF($W28="","",IF(INDEX('Per Invoice'!L$2:L$801,$W28)="","",INDEX('Per Invoice'!L$2:L$801,$W28)))</f>
        <v/>
      </c>
      <c r="M28">
        <f>IF($W28="","",IF(INDEX('Per Invoice'!M$2:M$801,$W28)="","",INDEX('Per Invoice'!M$2:M$801,$W28)))</f>
        <v/>
      </c>
      <c r="N28" s="7">
        <f>IF($W28="","",IF(INDEX('Per Invoice'!N$2:N$801,$W28)="","",INDEX('Per Invoice'!N$2:N$801,$W28)))</f>
        <v/>
      </c>
      <c r="O28" s="7">
        <f>IF($W28="","",IF(INDEX('Per Invoice'!O$2:O$801,$W28)="","",INDEX('Per Invoice'!O$2:O$801,$W28)))</f>
        <v/>
      </c>
      <c r="P28">
        <f>IF($W28="","",IF(INDEX('Per Invoice'!P$2:P$801,$W28)="","",INDEX('Per Invoice'!P$2:P$801,$W28)))</f>
        <v/>
      </c>
      <c r="Q28" s="7">
        <f>IF($W28="","",IF(INDEX('Per Invoice'!Q$2:Q$801,$W28)="","",INDEX('Per Invoice'!Q$2:Q$801,$W28)))</f>
        <v/>
      </c>
      <c r="R28" s="7">
        <f>IF($W28="","",IF(INDEX('Per Invoice'!R$2:R$801,$W28)="","",INDEX('Per Invoice'!R$2:R$801,$W28)))</f>
        <v/>
      </c>
      <c r="S28" s="7">
        <f>IF($W28="","",IF(INDEX('Per Invoice'!S$2:S$801,$W28)="","",INDEX('Per Invoice'!S$2:S$801,$W28)))</f>
        <v/>
      </c>
      <c r="T28" s="7">
        <f>IF($W28="","",IF(INDEX('Per Invoice'!T$2:T$801,$W28)="","",INDEX('Per Invoice'!T$2:T$801,$W28)))</f>
        <v/>
      </c>
      <c r="U28" s="7">
        <f>IF($W28="","",IF(INDEX('Per Invoice'!U$2:U$801,$W28)="","",INDEX('Per Invoice'!U$2:U$801,$W28)))</f>
        <v/>
      </c>
      <c r="V28" s="7">
        <f>IF($W28="","",IF(INDEX('Per Invoice'!V$2:V$801,$W28)="","",INDEX('Per Invoice'!V$2:V$801,$W28)))</f>
        <v/>
      </c>
      <c r="W28" s="16">
        <f>IFERROR(MATCH(Settings!$C$28&amp;"|"&amp;ROWS($W$2:$W28),'Per Invoice'!$X$2:$X$801,0),"")</f>
        <v/>
      </c>
    </row>
    <row r="29">
      <c r="A29">
        <f>IF($W29="","",IF(INDEX('Per Invoice'!A$2:A$801,$W29)="","",INDEX('Per Invoice'!A$2:A$801,$W29)))</f>
        <v/>
      </c>
      <c r="B29">
        <f>IF($W29="","",IF(INDEX('Per Invoice'!B$2:B$801,$W29)="","",INDEX('Per Invoice'!B$2:B$801,$W29)))</f>
        <v/>
      </c>
      <c r="C29">
        <f>IF($W29="","",IF(INDEX('Per Invoice'!C$2:C$801,$W29)="","",INDEX('Per Invoice'!C$2:C$801,$W29)))</f>
        <v/>
      </c>
      <c r="D29">
        <f>IF($W29="","",IF(INDEX('Per Invoice'!D$2:D$801,$W29)="","",INDEX('Per Invoice'!D$2:D$801,$W29)))</f>
        <v/>
      </c>
      <c r="E29">
        <f>IF($W29="","",IF(INDEX('Per Invoice'!E$2:E$801,$W29)="","",INDEX('Per Invoice'!E$2:E$801,$W29)))</f>
        <v/>
      </c>
      <c r="F29">
        <f>IF($W29="","",IF(INDEX('Per Invoice'!F$2:F$801,$W29)="","",INDEX('Per Invoice'!F$2:F$801,$W29)))</f>
        <v/>
      </c>
      <c r="G29">
        <f>IF($W29="","",IF(INDEX('Per Invoice'!G$2:G$801,$W29)="","",INDEX('Per Invoice'!G$2:G$801,$W29)))</f>
        <v/>
      </c>
      <c r="H29">
        <f>IF($W29="","",IF(INDEX('Per Invoice'!H$2:H$801,$W29)="","",INDEX('Per Invoice'!H$2:H$801,$W29)))</f>
        <v/>
      </c>
      <c r="I29">
        <f>IF($W29="","",IF(INDEX('Per Invoice'!I$2:I$801,$W29)="","",INDEX('Per Invoice'!I$2:I$801,$W29)))</f>
        <v/>
      </c>
      <c r="J29">
        <f>IF($W29="","",IF(INDEX('Per Invoice'!J$2:J$801,$W29)="","",INDEX('Per Invoice'!J$2:J$801,$W29)))</f>
        <v/>
      </c>
      <c r="K29" s="7">
        <f>IF($W29="","",IF(INDEX('Per Invoice'!K$2:K$801,$W29)="","",INDEX('Per Invoice'!K$2:K$801,$W29)))</f>
        <v/>
      </c>
      <c r="L29" s="14">
        <f>IF($W29="","",IF(INDEX('Per Invoice'!L$2:L$801,$W29)="","",INDEX('Per Invoice'!L$2:L$801,$W29)))</f>
        <v/>
      </c>
      <c r="M29">
        <f>IF($W29="","",IF(INDEX('Per Invoice'!M$2:M$801,$W29)="","",INDEX('Per Invoice'!M$2:M$801,$W29)))</f>
        <v/>
      </c>
      <c r="N29" s="7">
        <f>IF($W29="","",IF(INDEX('Per Invoice'!N$2:N$801,$W29)="","",INDEX('Per Invoice'!N$2:N$801,$W29)))</f>
        <v/>
      </c>
      <c r="O29" s="7">
        <f>IF($W29="","",IF(INDEX('Per Invoice'!O$2:O$801,$W29)="","",INDEX('Per Invoice'!O$2:O$801,$W29)))</f>
        <v/>
      </c>
      <c r="P29">
        <f>IF($W29="","",IF(INDEX('Per Invoice'!P$2:P$801,$W29)="","",INDEX('Per Invoice'!P$2:P$801,$W29)))</f>
        <v/>
      </c>
      <c r="Q29" s="7">
        <f>IF($W29="","",IF(INDEX('Per Invoice'!Q$2:Q$801,$W29)="","",INDEX('Per Invoice'!Q$2:Q$801,$W29)))</f>
        <v/>
      </c>
      <c r="R29" s="7">
        <f>IF($W29="","",IF(INDEX('Per Invoice'!R$2:R$801,$W29)="","",INDEX('Per Invoice'!R$2:R$801,$W29)))</f>
        <v/>
      </c>
      <c r="S29" s="7">
        <f>IF($W29="","",IF(INDEX('Per Invoice'!S$2:S$801,$W29)="","",INDEX('Per Invoice'!S$2:S$801,$W29)))</f>
        <v/>
      </c>
      <c r="T29" s="7">
        <f>IF($W29="","",IF(INDEX('Per Invoice'!T$2:T$801,$W29)="","",INDEX('Per Invoice'!T$2:T$801,$W29)))</f>
        <v/>
      </c>
      <c r="U29" s="7">
        <f>IF($W29="","",IF(INDEX('Per Invoice'!U$2:U$801,$W29)="","",INDEX('Per Invoice'!U$2:U$801,$W29)))</f>
        <v/>
      </c>
      <c r="V29" s="7">
        <f>IF($W29="","",IF(INDEX('Per Invoice'!V$2:V$801,$W29)="","",INDEX('Per Invoice'!V$2:V$801,$W29)))</f>
        <v/>
      </c>
      <c r="W29" s="16">
        <f>IFERROR(MATCH(Settings!$C$28&amp;"|"&amp;ROWS($W$2:$W29),'Per Invoice'!$X$2:$X$801,0),"")</f>
        <v/>
      </c>
    </row>
    <row r="30">
      <c r="A30">
        <f>IF($W30="","",IF(INDEX('Per Invoice'!A$2:A$801,$W30)="","",INDEX('Per Invoice'!A$2:A$801,$W30)))</f>
        <v/>
      </c>
      <c r="B30">
        <f>IF($W30="","",IF(INDEX('Per Invoice'!B$2:B$801,$W30)="","",INDEX('Per Invoice'!B$2:B$801,$W30)))</f>
        <v/>
      </c>
      <c r="C30">
        <f>IF($W30="","",IF(INDEX('Per Invoice'!C$2:C$801,$W30)="","",INDEX('Per Invoice'!C$2:C$801,$W30)))</f>
        <v/>
      </c>
      <c r="D30">
        <f>IF($W30="","",IF(INDEX('Per Invoice'!D$2:D$801,$W30)="","",INDEX('Per Invoice'!D$2:D$801,$W30)))</f>
        <v/>
      </c>
      <c r="E30">
        <f>IF($W30="","",IF(INDEX('Per Invoice'!E$2:E$801,$W30)="","",INDEX('Per Invoice'!E$2:E$801,$W30)))</f>
        <v/>
      </c>
      <c r="F30">
        <f>IF($W30="","",IF(INDEX('Per Invoice'!F$2:F$801,$W30)="","",INDEX('Per Invoice'!F$2:F$801,$W30)))</f>
        <v/>
      </c>
      <c r="G30">
        <f>IF($W30="","",IF(INDEX('Per Invoice'!G$2:G$801,$W30)="","",INDEX('Per Invoice'!G$2:G$801,$W30)))</f>
        <v/>
      </c>
      <c r="H30">
        <f>IF($W30="","",IF(INDEX('Per Invoice'!H$2:H$801,$W30)="","",INDEX('Per Invoice'!H$2:H$801,$W30)))</f>
        <v/>
      </c>
      <c r="I30">
        <f>IF($W30="","",IF(INDEX('Per Invoice'!I$2:I$801,$W30)="","",INDEX('Per Invoice'!I$2:I$801,$W30)))</f>
        <v/>
      </c>
      <c r="J30">
        <f>IF($W30="","",IF(INDEX('Per Invoice'!J$2:J$801,$W30)="","",INDEX('Per Invoice'!J$2:J$801,$W30)))</f>
        <v/>
      </c>
      <c r="K30" s="7">
        <f>IF($W30="","",IF(INDEX('Per Invoice'!K$2:K$801,$W30)="","",INDEX('Per Invoice'!K$2:K$801,$W30)))</f>
        <v/>
      </c>
      <c r="L30" s="14">
        <f>IF($W30="","",IF(INDEX('Per Invoice'!L$2:L$801,$W30)="","",INDEX('Per Invoice'!L$2:L$801,$W30)))</f>
        <v/>
      </c>
      <c r="M30">
        <f>IF($W30="","",IF(INDEX('Per Invoice'!M$2:M$801,$W30)="","",INDEX('Per Invoice'!M$2:M$801,$W30)))</f>
        <v/>
      </c>
      <c r="N30" s="7">
        <f>IF($W30="","",IF(INDEX('Per Invoice'!N$2:N$801,$W30)="","",INDEX('Per Invoice'!N$2:N$801,$W30)))</f>
        <v/>
      </c>
      <c r="O30" s="7">
        <f>IF($W30="","",IF(INDEX('Per Invoice'!O$2:O$801,$W30)="","",INDEX('Per Invoice'!O$2:O$801,$W30)))</f>
        <v/>
      </c>
      <c r="P30">
        <f>IF($W30="","",IF(INDEX('Per Invoice'!P$2:P$801,$W30)="","",INDEX('Per Invoice'!P$2:P$801,$W30)))</f>
        <v/>
      </c>
      <c r="Q30" s="7">
        <f>IF($W30="","",IF(INDEX('Per Invoice'!Q$2:Q$801,$W30)="","",INDEX('Per Invoice'!Q$2:Q$801,$W30)))</f>
        <v/>
      </c>
      <c r="R30" s="7">
        <f>IF($W30="","",IF(INDEX('Per Invoice'!R$2:R$801,$W30)="","",INDEX('Per Invoice'!R$2:R$801,$W30)))</f>
        <v/>
      </c>
      <c r="S30" s="7">
        <f>IF($W30="","",IF(INDEX('Per Invoice'!S$2:S$801,$W30)="","",INDEX('Per Invoice'!S$2:S$801,$W30)))</f>
        <v/>
      </c>
      <c r="T30" s="7">
        <f>IF($W30="","",IF(INDEX('Per Invoice'!T$2:T$801,$W30)="","",INDEX('Per Invoice'!T$2:T$801,$W30)))</f>
        <v/>
      </c>
      <c r="U30" s="7">
        <f>IF($W30="","",IF(INDEX('Per Invoice'!U$2:U$801,$W30)="","",INDEX('Per Invoice'!U$2:U$801,$W30)))</f>
        <v/>
      </c>
      <c r="V30" s="7">
        <f>IF($W30="","",IF(INDEX('Per Invoice'!V$2:V$801,$W30)="","",INDEX('Per Invoice'!V$2:V$801,$W30)))</f>
        <v/>
      </c>
      <c r="W30" s="16">
        <f>IFERROR(MATCH(Settings!$C$28&amp;"|"&amp;ROWS($W$2:$W30),'Per Invoice'!$X$2:$X$801,0),"")</f>
        <v/>
      </c>
    </row>
    <row r="31">
      <c r="A31">
        <f>IF($W31="","",IF(INDEX('Per Invoice'!A$2:A$801,$W31)="","",INDEX('Per Invoice'!A$2:A$801,$W31)))</f>
        <v/>
      </c>
      <c r="B31">
        <f>IF($W31="","",IF(INDEX('Per Invoice'!B$2:B$801,$W31)="","",INDEX('Per Invoice'!B$2:B$801,$W31)))</f>
        <v/>
      </c>
      <c r="C31">
        <f>IF($W31="","",IF(INDEX('Per Invoice'!C$2:C$801,$W31)="","",INDEX('Per Invoice'!C$2:C$801,$W31)))</f>
        <v/>
      </c>
      <c r="D31">
        <f>IF($W31="","",IF(INDEX('Per Invoice'!D$2:D$801,$W31)="","",INDEX('Per Invoice'!D$2:D$801,$W31)))</f>
        <v/>
      </c>
      <c r="E31">
        <f>IF($W31="","",IF(INDEX('Per Invoice'!E$2:E$801,$W31)="","",INDEX('Per Invoice'!E$2:E$801,$W31)))</f>
        <v/>
      </c>
      <c r="F31">
        <f>IF($W31="","",IF(INDEX('Per Invoice'!F$2:F$801,$W31)="","",INDEX('Per Invoice'!F$2:F$801,$W31)))</f>
        <v/>
      </c>
      <c r="G31">
        <f>IF($W31="","",IF(INDEX('Per Invoice'!G$2:G$801,$W31)="","",INDEX('Per Invoice'!G$2:G$801,$W31)))</f>
        <v/>
      </c>
      <c r="H31">
        <f>IF($W31="","",IF(INDEX('Per Invoice'!H$2:H$801,$W31)="","",INDEX('Per Invoice'!H$2:H$801,$W31)))</f>
        <v/>
      </c>
      <c r="I31">
        <f>IF($W31="","",IF(INDEX('Per Invoice'!I$2:I$801,$W31)="","",INDEX('Per Invoice'!I$2:I$801,$W31)))</f>
        <v/>
      </c>
      <c r="J31">
        <f>IF($W31="","",IF(INDEX('Per Invoice'!J$2:J$801,$W31)="","",INDEX('Per Invoice'!J$2:J$801,$W31)))</f>
        <v/>
      </c>
      <c r="K31" s="7">
        <f>IF($W31="","",IF(INDEX('Per Invoice'!K$2:K$801,$W31)="","",INDEX('Per Invoice'!K$2:K$801,$W31)))</f>
        <v/>
      </c>
      <c r="L31" s="14">
        <f>IF($W31="","",IF(INDEX('Per Invoice'!L$2:L$801,$W31)="","",INDEX('Per Invoice'!L$2:L$801,$W31)))</f>
        <v/>
      </c>
      <c r="M31">
        <f>IF($W31="","",IF(INDEX('Per Invoice'!M$2:M$801,$W31)="","",INDEX('Per Invoice'!M$2:M$801,$W31)))</f>
        <v/>
      </c>
      <c r="N31" s="7">
        <f>IF($W31="","",IF(INDEX('Per Invoice'!N$2:N$801,$W31)="","",INDEX('Per Invoice'!N$2:N$801,$W31)))</f>
        <v/>
      </c>
      <c r="O31" s="7">
        <f>IF($W31="","",IF(INDEX('Per Invoice'!O$2:O$801,$W31)="","",INDEX('Per Invoice'!O$2:O$801,$W31)))</f>
        <v/>
      </c>
      <c r="P31">
        <f>IF($W31="","",IF(INDEX('Per Invoice'!P$2:P$801,$W31)="","",INDEX('Per Invoice'!P$2:P$801,$W31)))</f>
        <v/>
      </c>
      <c r="Q31" s="7">
        <f>IF($W31="","",IF(INDEX('Per Invoice'!Q$2:Q$801,$W31)="","",INDEX('Per Invoice'!Q$2:Q$801,$W31)))</f>
        <v/>
      </c>
      <c r="R31" s="7">
        <f>IF($W31="","",IF(INDEX('Per Invoice'!R$2:R$801,$W31)="","",INDEX('Per Invoice'!R$2:R$801,$W31)))</f>
        <v/>
      </c>
      <c r="S31" s="7">
        <f>IF($W31="","",IF(INDEX('Per Invoice'!S$2:S$801,$W31)="","",INDEX('Per Invoice'!S$2:S$801,$W31)))</f>
        <v/>
      </c>
      <c r="T31" s="7">
        <f>IF($W31="","",IF(INDEX('Per Invoice'!T$2:T$801,$W31)="","",INDEX('Per Invoice'!T$2:T$801,$W31)))</f>
        <v/>
      </c>
      <c r="U31" s="7">
        <f>IF($W31="","",IF(INDEX('Per Invoice'!U$2:U$801,$W31)="","",INDEX('Per Invoice'!U$2:U$801,$W31)))</f>
        <v/>
      </c>
      <c r="V31" s="7">
        <f>IF($W31="","",IF(INDEX('Per Invoice'!V$2:V$801,$W31)="","",INDEX('Per Invoice'!V$2:V$801,$W31)))</f>
        <v/>
      </c>
      <c r="W31" s="16">
        <f>IFERROR(MATCH(Settings!$C$28&amp;"|"&amp;ROWS($W$2:$W31),'Per Invoice'!$X$2:$X$801,0),"")</f>
        <v/>
      </c>
    </row>
    <row r="32">
      <c r="A32">
        <f>IF($W32="","",IF(INDEX('Per Invoice'!A$2:A$801,$W32)="","",INDEX('Per Invoice'!A$2:A$801,$W32)))</f>
        <v/>
      </c>
      <c r="B32">
        <f>IF($W32="","",IF(INDEX('Per Invoice'!B$2:B$801,$W32)="","",INDEX('Per Invoice'!B$2:B$801,$W32)))</f>
        <v/>
      </c>
      <c r="C32">
        <f>IF($W32="","",IF(INDEX('Per Invoice'!C$2:C$801,$W32)="","",INDEX('Per Invoice'!C$2:C$801,$W32)))</f>
        <v/>
      </c>
      <c r="D32">
        <f>IF($W32="","",IF(INDEX('Per Invoice'!D$2:D$801,$W32)="","",INDEX('Per Invoice'!D$2:D$801,$W32)))</f>
        <v/>
      </c>
      <c r="E32">
        <f>IF($W32="","",IF(INDEX('Per Invoice'!E$2:E$801,$W32)="","",INDEX('Per Invoice'!E$2:E$801,$W32)))</f>
        <v/>
      </c>
      <c r="F32">
        <f>IF($W32="","",IF(INDEX('Per Invoice'!F$2:F$801,$W32)="","",INDEX('Per Invoice'!F$2:F$801,$W32)))</f>
        <v/>
      </c>
      <c r="G32">
        <f>IF($W32="","",IF(INDEX('Per Invoice'!G$2:G$801,$W32)="","",INDEX('Per Invoice'!G$2:G$801,$W32)))</f>
        <v/>
      </c>
      <c r="H32">
        <f>IF($W32="","",IF(INDEX('Per Invoice'!H$2:H$801,$W32)="","",INDEX('Per Invoice'!H$2:H$801,$W32)))</f>
        <v/>
      </c>
      <c r="I32">
        <f>IF($W32="","",IF(INDEX('Per Invoice'!I$2:I$801,$W32)="","",INDEX('Per Invoice'!I$2:I$801,$W32)))</f>
        <v/>
      </c>
      <c r="J32">
        <f>IF($W32="","",IF(INDEX('Per Invoice'!J$2:J$801,$W32)="","",INDEX('Per Invoice'!J$2:J$801,$W32)))</f>
        <v/>
      </c>
      <c r="K32" s="7">
        <f>IF($W32="","",IF(INDEX('Per Invoice'!K$2:K$801,$W32)="","",INDEX('Per Invoice'!K$2:K$801,$W32)))</f>
        <v/>
      </c>
      <c r="L32" s="14">
        <f>IF($W32="","",IF(INDEX('Per Invoice'!L$2:L$801,$W32)="","",INDEX('Per Invoice'!L$2:L$801,$W32)))</f>
        <v/>
      </c>
      <c r="M32">
        <f>IF($W32="","",IF(INDEX('Per Invoice'!M$2:M$801,$W32)="","",INDEX('Per Invoice'!M$2:M$801,$W32)))</f>
        <v/>
      </c>
      <c r="N32" s="7">
        <f>IF($W32="","",IF(INDEX('Per Invoice'!N$2:N$801,$W32)="","",INDEX('Per Invoice'!N$2:N$801,$W32)))</f>
        <v/>
      </c>
      <c r="O32" s="7">
        <f>IF($W32="","",IF(INDEX('Per Invoice'!O$2:O$801,$W32)="","",INDEX('Per Invoice'!O$2:O$801,$W32)))</f>
        <v/>
      </c>
      <c r="P32">
        <f>IF($W32="","",IF(INDEX('Per Invoice'!P$2:P$801,$W32)="","",INDEX('Per Invoice'!P$2:P$801,$W32)))</f>
        <v/>
      </c>
      <c r="Q32" s="7">
        <f>IF($W32="","",IF(INDEX('Per Invoice'!Q$2:Q$801,$W32)="","",INDEX('Per Invoice'!Q$2:Q$801,$W32)))</f>
        <v/>
      </c>
      <c r="R32" s="7">
        <f>IF($W32="","",IF(INDEX('Per Invoice'!R$2:R$801,$W32)="","",INDEX('Per Invoice'!R$2:R$801,$W32)))</f>
        <v/>
      </c>
      <c r="S32" s="7">
        <f>IF($W32="","",IF(INDEX('Per Invoice'!S$2:S$801,$W32)="","",INDEX('Per Invoice'!S$2:S$801,$W32)))</f>
        <v/>
      </c>
      <c r="T32" s="7">
        <f>IF($W32="","",IF(INDEX('Per Invoice'!T$2:T$801,$W32)="","",INDEX('Per Invoice'!T$2:T$801,$W32)))</f>
        <v/>
      </c>
      <c r="U32" s="7">
        <f>IF($W32="","",IF(INDEX('Per Invoice'!U$2:U$801,$W32)="","",INDEX('Per Invoice'!U$2:U$801,$W32)))</f>
        <v/>
      </c>
      <c r="V32" s="7">
        <f>IF($W32="","",IF(INDEX('Per Invoice'!V$2:V$801,$W32)="","",INDEX('Per Invoice'!V$2:V$801,$W32)))</f>
        <v/>
      </c>
      <c r="W32" s="16">
        <f>IFERROR(MATCH(Settings!$C$28&amp;"|"&amp;ROWS($W$2:$W32),'Per Invoice'!$X$2:$X$801,0),"")</f>
        <v/>
      </c>
    </row>
    <row r="33">
      <c r="A33">
        <f>IF($W33="","",IF(INDEX('Per Invoice'!A$2:A$801,$W33)="","",INDEX('Per Invoice'!A$2:A$801,$W33)))</f>
        <v/>
      </c>
      <c r="B33">
        <f>IF($W33="","",IF(INDEX('Per Invoice'!B$2:B$801,$W33)="","",INDEX('Per Invoice'!B$2:B$801,$W33)))</f>
        <v/>
      </c>
      <c r="C33">
        <f>IF($W33="","",IF(INDEX('Per Invoice'!C$2:C$801,$W33)="","",INDEX('Per Invoice'!C$2:C$801,$W33)))</f>
        <v/>
      </c>
      <c r="D33">
        <f>IF($W33="","",IF(INDEX('Per Invoice'!D$2:D$801,$W33)="","",INDEX('Per Invoice'!D$2:D$801,$W33)))</f>
        <v/>
      </c>
      <c r="E33">
        <f>IF($W33="","",IF(INDEX('Per Invoice'!E$2:E$801,$W33)="","",INDEX('Per Invoice'!E$2:E$801,$W33)))</f>
        <v/>
      </c>
      <c r="F33">
        <f>IF($W33="","",IF(INDEX('Per Invoice'!F$2:F$801,$W33)="","",INDEX('Per Invoice'!F$2:F$801,$W33)))</f>
        <v/>
      </c>
      <c r="G33">
        <f>IF($W33="","",IF(INDEX('Per Invoice'!G$2:G$801,$W33)="","",INDEX('Per Invoice'!G$2:G$801,$W33)))</f>
        <v/>
      </c>
      <c r="H33">
        <f>IF($W33="","",IF(INDEX('Per Invoice'!H$2:H$801,$W33)="","",INDEX('Per Invoice'!H$2:H$801,$W33)))</f>
        <v/>
      </c>
      <c r="I33">
        <f>IF($W33="","",IF(INDEX('Per Invoice'!I$2:I$801,$W33)="","",INDEX('Per Invoice'!I$2:I$801,$W33)))</f>
        <v/>
      </c>
      <c r="J33">
        <f>IF($W33="","",IF(INDEX('Per Invoice'!J$2:J$801,$W33)="","",INDEX('Per Invoice'!J$2:J$801,$W33)))</f>
        <v/>
      </c>
      <c r="K33" s="7">
        <f>IF($W33="","",IF(INDEX('Per Invoice'!K$2:K$801,$W33)="","",INDEX('Per Invoice'!K$2:K$801,$W33)))</f>
        <v/>
      </c>
      <c r="L33" s="14">
        <f>IF($W33="","",IF(INDEX('Per Invoice'!L$2:L$801,$W33)="","",INDEX('Per Invoice'!L$2:L$801,$W33)))</f>
        <v/>
      </c>
      <c r="M33">
        <f>IF($W33="","",IF(INDEX('Per Invoice'!M$2:M$801,$W33)="","",INDEX('Per Invoice'!M$2:M$801,$W33)))</f>
        <v/>
      </c>
      <c r="N33" s="7">
        <f>IF($W33="","",IF(INDEX('Per Invoice'!N$2:N$801,$W33)="","",INDEX('Per Invoice'!N$2:N$801,$W33)))</f>
        <v/>
      </c>
      <c r="O33" s="7">
        <f>IF($W33="","",IF(INDEX('Per Invoice'!O$2:O$801,$W33)="","",INDEX('Per Invoice'!O$2:O$801,$W33)))</f>
        <v/>
      </c>
      <c r="P33">
        <f>IF($W33="","",IF(INDEX('Per Invoice'!P$2:P$801,$W33)="","",INDEX('Per Invoice'!P$2:P$801,$W33)))</f>
        <v/>
      </c>
      <c r="Q33" s="7">
        <f>IF($W33="","",IF(INDEX('Per Invoice'!Q$2:Q$801,$W33)="","",INDEX('Per Invoice'!Q$2:Q$801,$W33)))</f>
        <v/>
      </c>
      <c r="R33" s="7">
        <f>IF($W33="","",IF(INDEX('Per Invoice'!R$2:R$801,$W33)="","",INDEX('Per Invoice'!R$2:R$801,$W33)))</f>
        <v/>
      </c>
      <c r="S33" s="7">
        <f>IF($W33="","",IF(INDEX('Per Invoice'!S$2:S$801,$W33)="","",INDEX('Per Invoice'!S$2:S$801,$W33)))</f>
        <v/>
      </c>
      <c r="T33" s="7">
        <f>IF($W33="","",IF(INDEX('Per Invoice'!T$2:T$801,$W33)="","",INDEX('Per Invoice'!T$2:T$801,$W33)))</f>
        <v/>
      </c>
      <c r="U33" s="7">
        <f>IF($W33="","",IF(INDEX('Per Invoice'!U$2:U$801,$W33)="","",INDEX('Per Invoice'!U$2:U$801,$W33)))</f>
        <v/>
      </c>
      <c r="V33" s="7">
        <f>IF($W33="","",IF(INDEX('Per Invoice'!V$2:V$801,$W33)="","",INDEX('Per Invoice'!V$2:V$801,$W33)))</f>
        <v/>
      </c>
      <c r="W33" s="16">
        <f>IFERROR(MATCH(Settings!$C$28&amp;"|"&amp;ROWS($W$2:$W33),'Per Invoice'!$X$2:$X$801,0),"")</f>
        <v/>
      </c>
    </row>
    <row r="34">
      <c r="A34">
        <f>IF($W34="","",IF(INDEX('Per Invoice'!A$2:A$801,$W34)="","",INDEX('Per Invoice'!A$2:A$801,$W34)))</f>
        <v/>
      </c>
      <c r="B34">
        <f>IF($W34="","",IF(INDEX('Per Invoice'!B$2:B$801,$W34)="","",INDEX('Per Invoice'!B$2:B$801,$W34)))</f>
        <v/>
      </c>
      <c r="C34">
        <f>IF($W34="","",IF(INDEX('Per Invoice'!C$2:C$801,$W34)="","",INDEX('Per Invoice'!C$2:C$801,$W34)))</f>
        <v/>
      </c>
      <c r="D34">
        <f>IF($W34="","",IF(INDEX('Per Invoice'!D$2:D$801,$W34)="","",INDEX('Per Invoice'!D$2:D$801,$W34)))</f>
        <v/>
      </c>
      <c r="E34">
        <f>IF($W34="","",IF(INDEX('Per Invoice'!E$2:E$801,$W34)="","",INDEX('Per Invoice'!E$2:E$801,$W34)))</f>
        <v/>
      </c>
      <c r="F34">
        <f>IF($W34="","",IF(INDEX('Per Invoice'!F$2:F$801,$W34)="","",INDEX('Per Invoice'!F$2:F$801,$W34)))</f>
        <v/>
      </c>
      <c r="G34">
        <f>IF($W34="","",IF(INDEX('Per Invoice'!G$2:G$801,$W34)="","",INDEX('Per Invoice'!G$2:G$801,$W34)))</f>
        <v/>
      </c>
      <c r="H34">
        <f>IF($W34="","",IF(INDEX('Per Invoice'!H$2:H$801,$W34)="","",INDEX('Per Invoice'!H$2:H$801,$W34)))</f>
        <v/>
      </c>
      <c r="I34">
        <f>IF($W34="","",IF(INDEX('Per Invoice'!I$2:I$801,$W34)="","",INDEX('Per Invoice'!I$2:I$801,$W34)))</f>
        <v/>
      </c>
      <c r="J34">
        <f>IF($W34="","",IF(INDEX('Per Invoice'!J$2:J$801,$W34)="","",INDEX('Per Invoice'!J$2:J$801,$W34)))</f>
        <v/>
      </c>
      <c r="K34" s="7">
        <f>IF($W34="","",IF(INDEX('Per Invoice'!K$2:K$801,$W34)="","",INDEX('Per Invoice'!K$2:K$801,$W34)))</f>
        <v/>
      </c>
      <c r="L34" s="14">
        <f>IF($W34="","",IF(INDEX('Per Invoice'!L$2:L$801,$W34)="","",INDEX('Per Invoice'!L$2:L$801,$W34)))</f>
        <v/>
      </c>
      <c r="M34">
        <f>IF($W34="","",IF(INDEX('Per Invoice'!M$2:M$801,$W34)="","",INDEX('Per Invoice'!M$2:M$801,$W34)))</f>
        <v/>
      </c>
      <c r="N34" s="7">
        <f>IF($W34="","",IF(INDEX('Per Invoice'!N$2:N$801,$W34)="","",INDEX('Per Invoice'!N$2:N$801,$W34)))</f>
        <v/>
      </c>
      <c r="O34" s="7">
        <f>IF($W34="","",IF(INDEX('Per Invoice'!O$2:O$801,$W34)="","",INDEX('Per Invoice'!O$2:O$801,$W34)))</f>
        <v/>
      </c>
      <c r="P34">
        <f>IF($W34="","",IF(INDEX('Per Invoice'!P$2:P$801,$W34)="","",INDEX('Per Invoice'!P$2:P$801,$W34)))</f>
        <v/>
      </c>
      <c r="Q34" s="7">
        <f>IF($W34="","",IF(INDEX('Per Invoice'!Q$2:Q$801,$W34)="","",INDEX('Per Invoice'!Q$2:Q$801,$W34)))</f>
        <v/>
      </c>
      <c r="R34" s="7">
        <f>IF($W34="","",IF(INDEX('Per Invoice'!R$2:R$801,$W34)="","",INDEX('Per Invoice'!R$2:R$801,$W34)))</f>
        <v/>
      </c>
      <c r="S34" s="7">
        <f>IF($W34="","",IF(INDEX('Per Invoice'!S$2:S$801,$W34)="","",INDEX('Per Invoice'!S$2:S$801,$W34)))</f>
        <v/>
      </c>
      <c r="T34" s="7">
        <f>IF($W34="","",IF(INDEX('Per Invoice'!T$2:T$801,$W34)="","",INDEX('Per Invoice'!T$2:T$801,$W34)))</f>
        <v/>
      </c>
      <c r="U34" s="7">
        <f>IF($W34="","",IF(INDEX('Per Invoice'!U$2:U$801,$W34)="","",INDEX('Per Invoice'!U$2:U$801,$W34)))</f>
        <v/>
      </c>
      <c r="V34" s="7">
        <f>IF($W34="","",IF(INDEX('Per Invoice'!V$2:V$801,$W34)="","",INDEX('Per Invoice'!V$2:V$801,$W34)))</f>
        <v/>
      </c>
      <c r="W34" s="16">
        <f>IFERROR(MATCH(Settings!$C$28&amp;"|"&amp;ROWS($W$2:$W34),'Per Invoice'!$X$2:$X$801,0),"")</f>
        <v/>
      </c>
    </row>
    <row r="35">
      <c r="A35">
        <f>IF($W35="","",IF(INDEX('Per Invoice'!A$2:A$801,$W35)="","",INDEX('Per Invoice'!A$2:A$801,$W35)))</f>
        <v/>
      </c>
      <c r="B35">
        <f>IF($W35="","",IF(INDEX('Per Invoice'!B$2:B$801,$W35)="","",INDEX('Per Invoice'!B$2:B$801,$W35)))</f>
        <v/>
      </c>
      <c r="C35">
        <f>IF($W35="","",IF(INDEX('Per Invoice'!C$2:C$801,$W35)="","",INDEX('Per Invoice'!C$2:C$801,$W35)))</f>
        <v/>
      </c>
      <c r="D35">
        <f>IF($W35="","",IF(INDEX('Per Invoice'!D$2:D$801,$W35)="","",INDEX('Per Invoice'!D$2:D$801,$W35)))</f>
        <v/>
      </c>
      <c r="E35">
        <f>IF($W35="","",IF(INDEX('Per Invoice'!E$2:E$801,$W35)="","",INDEX('Per Invoice'!E$2:E$801,$W35)))</f>
        <v/>
      </c>
      <c r="F35">
        <f>IF($W35="","",IF(INDEX('Per Invoice'!F$2:F$801,$W35)="","",INDEX('Per Invoice'!F$2:F$801,$W35)))</f>
        <v/>
      </c>
      <c r="G35">
        <f>IF($W35="","",IF(INDEX('Per Invoice'!G$2:G$801,$W35)="","",INDEX('Per Invoice'!G$2:G$801,$W35)))</f>
        <v/>
      </c>
      <c r="H35">
        <f>IF($W35="","",IF(INDEX('Per Invoice'!H$2:H$801,$W35)="","",INDEX('Per Invoice'!H$2:H$801,$W35)))</f>
        <v/>
      </c>
      <c r="I35">
        <f>IF($W35="","",IF(INDEX('Per Invoice'!I$2:I$801,$W35)="","",INDEX('Per Invoice'!I$2:I$801,$W35)))</f>
        <v/>
      </c>
      <c r="J35">
        <f>IF($W35="","",IF(INDEX('Per Invoice'!J$2:J$801,$W35)="","",INDEX('Per Invoice'!J$2:J$801,$W35)))</f>
        <v/>
      </c>
      <c r="K35" s="7">
        <f>IF($W35="","",IF(INDEX('Per Invoice'!K$2:K$801,$W35)="","",INDEX('Per Invoice'!K$2:K$801,$W35)))</f>
        <v/>
      </c>
      <c r="L35" s="14">
        <f>IF($W35="","",IF(INDEX('Per Invoice'!L$2:L$801,$W35)="","",INDEX('Per Invoice'!L$2:L$801,$W35)))</f>
        <v/>
      </c>
      <c r="M35">
        <f>IF($W35="","",IF(INDEX('Per Invoice'!M$2:M$801,$W35)="","",INDEX('Per Invoice'!M$2:M$801,$W35)))</f>
        <v/>
      </c>
      <c r="N35" s="7">
        <f>IF($W35="","",IF(INDEX('Per Invoice'!N$2:N$801,$W35)="","",INDEX('Per Invoice'!N$2:N$801,$W35)))</f>
        <v/>
      </c>
      <c r="O35" s="7">
        <f>IF($W35="","",IF(INDEX('Per Invoice'!O$2:O$801,$W35)="","",INDEX('Per Invoice'!O$2:O$801,$W35)))</f>
        <v/>
      </c>
      <c r="P35">
        <f>IF($W35="","",IF(INDEX('Per Invoice'!P$2:P$801,$W35)="","",INDEX('Per Invoice'!P$2:P$801,$W35)))</f>
        <v/>
      </c>
      <c r="Q35" s="7">
        <f>IF($W35="","",IF(INDEX('Per Invoice'!Q$2:Q$801,$W35)="","",INDEX('Per Invoice'!Q$2:Q$801,$W35)))</f>
        <v/>
      </c>
      <c r="R35" s="7">
        <f>IF($W35="","",IF(INDEX('Per Invoice'!R$2:R$801,$W35)="","",INDEX('Per Invoice'!R$2:R$801,$W35)))</f>
        <v/>
      </c>
      <c r="S35" s="7">
        <f>IF($W35="","",IF(INDEX('Per Invoice'!S$2:S$801,$W35)="","",INDEX('Per Invoice'!S$2:S$801,$W35)))</f>
        <v/>
      </c>
      <c r="T35" s="7">
        <f>IF($W35="","",IF(INDEX('Per Invoice'!T$2:T$801,$W35)="","",INDEX('Per Invoice'!T$2:T$801,$W35)))</f>
        <v/>
      </c>
      <c r="U35" s="7">
        <f>IF($W35="","",IF(INDEX('Per Invoice'!U$2:U$801,$W35)="","",INDEX('Per Invoice'!U$2:U$801,$W35)))</f>
        <v/>
      </c>
      <c r="V35" s="7">
        <f>IF($W35="","",IF(INDEX('Per Invoice'!V$2:V$801,$W35)="","",INDEX('Per Invoice'!V$2:V$801,$W35)))</f>
        <v/>
      </c>
      <c r="W35" s="16">
        <f>IFERROR(MATCH(Settings!$C$28&amp;"|"&amp;ROWS($W$2:$W35),'Per Invoice'!$X$2:$X$801,0),"")</f>
        <v/>
      </c>
    </row>
    <row r="36">
      <c r="A36">
        <f>IF($W36="","",IF(INDEX('Per Invoice'!A$2:A$801,$W36)="","",INDEX('Per Invoice'!A$2:A$801,$W36)))</f>
        <v/>
      </c>
      <c r="B36">
        <f>IF($W36="","",IF(INDEX('Per Invoice'!B$2:B$801,$W36)="","",INDEX('Per Invoice'!B$2:B$801,$W36)))</f>
        <v/>
      </c>
      <c r="C36">
        <f>IF($W36="","",IF(INDEX('Per Invoice'!C$2:C$801,$W36)="","",INDEX('Per Invoice'!C$2:C$801,$W36)))</f>
        <v/>
      </c>
      <c r="D36">
        <f>IF($W36="","",IF(INDEX('Per Invoice'!D$2:D$801,$W36)="","",INDEX('Per Invoice'!D$2:D$801,$W36)))</f>
        <v/>
      </c>
      <c r="E36">
        <f>IF($W36="","",IF(INDEX('Per Invoice'!E$2:E$801,$W36)="","",INDEX('Per Invoice'!E$2:E$801,$W36)))</f>
        <v/>
      </c>
      <c r="F36">
        <f>IF($W36="","",IF(INDEX('Per Invoice'!F$2:F$801,$W36)="","",INDEX('Per Invoice'!F$2:F$801,$W36)))</f>
        <v/>
      </c>
      <c r="G36">
        <f>IF($W36="","",IF(INDEX('Per Invoice'!G$2:G$801,$W36)="","",INDEX('Per Invoice'!G$2:G$801,$W36)))</f>
        <v/>
      </c>
      <c r="H36">
        <f>IF($W36="","",IF(INDEX('Per Invoice'!H$2:H$801,$W36)="","",INDEX('Per Invoice'!H$2:H$801,$W36)))</f>
        <v/>
      </c>
      <c r="I36">
        <f>IF($W36="","",IF(INDEX('Per Invoice'!I$2:I$801,$W36)="","",INDEX('Per Invoice'!I$2:I$801,$W36)))</f>
        <v/>
      </c>
      <c r="J36">
        <f>IF($W36="","",IF(INDEX('Per Invoice'!J$2:J$801,$W36)="","",INDEX('Per Invoice'!J$2:J$801,$W36)))</f>
        <v/>
      </c>
      <c r="K36" s="7">
        <f>IF($W36="","",IF(INDEX('Per Invoice'!K$2:K$801,$W36)="","",INDEX('Per Invoice'!K$2:K$801,$W36)))</f>
        <v/>
      </c>
      <c r="L36" s="14">
        <f>IF($W36="","",IF(INDEX('Per Invoice'!L$2:L$801,$W36)="","",INDEX('Per Invoice'!L$2:L$801,$W36)))</f>
        <v/>
      </c>
      <c r="M36">
        <f>IF($W36="","",IF(INDEX('Per Invoice'!M$2:M$801,$W36)="","",INDEX('Per Invoice'!M$2:M$801,$W36)))</f>
        <v/>
      </c>
      <c r="N36" s="7">
        <f>IF($W36="","",IF(INDEX('Per Invoice'!N$2:N$801,$W36)="","",INDEX('Per Invoice'!N$2:N$801,$W36)))</f>
        <v/>
      </c>
      <c r="O36" s="7">
        <f>IF($W36="","",IF(INDEX('Per Invoice'!O$2:O$801,$W36)="","",INDEX('Per Invoice'!O$2:O$801,$W36)))</f>
        <v/>
      </c>
      <c r="P36">
        <f>IF($W36="","",IF(INDEX('Per Invoice'!P$2:P$801,$W36)="","",INDEX('Per Invoice'!P$2:P$801,$W36)))</f>
        <v/>
      </c>
      <c r="Q36" s="7">
        <f>IF($W36="","",IF(INDEX('Per Invoice'!Q$2:Q$801,$W36)="","",INDEX('Per Invoice'!Q$2:Q$801,$W36)))</f>
        <v/>
      </c>
      <c r="R36" s="7">
        <f>IF($W36="","",IF(INDEX('Per Invoice'!R$2:R$801,$W36)="","",INDEX('Per Invoice'!R$2:R$801,$W36)))</f>
        <v/>
      </c>
      <c r="S36" s="7">
        <f>IF($W36="","",IF(INDEX('Per Invoice'!S$2:S$801,$W36)="","",INDEX('Per Invoice'!S$2:S$801,$W36)))</f>
        <v/>
      </c>
      <c r="T36" s="7">
        <f>IF($W36="","",IF(INDEX('Per Invoice'!T$2:T$801,$W36)="","",INDEX('Per Invoice'!T$2:T$801,$W36)))</f>
        <v/>
      </c>
      <c r="U36" s="7">
        <f>IF($W36="","",IF(INDEX('Per Invoice'!U$2:U$801,$W36)="","",INDEX('Per Invoice'!U$2:U$801,$W36)))</f>
        <v/>
      </c>
      <c r="V36" s="7">
        <f>IF($W36="","",IF(INDEX('Per Invoice'!V$2:V$801,$W36)="","",INDEX('Per Invoice'!V$2:V$801,$W36)))</f>
        <v/>
      </c>
      <c r="W36" s="16">
        <f>IFERROR(MATCH(Settings!$C$28&amp;"|"&amp;ROWS($W$2:$W36),'Per Invoice'!$X$2:$X$801,0),"")</f>
        <v/>
      </c>
    </row>
    <row r="37">
      <c r="A37">
        <f>IF($W37="","",IF(INDEX('Per Invoice'!A$2:A$801,$W37)="","",INDEX('Per Invoice'!A$2:A$801,$W37)))</f>
        <v/>
      </c>
      <c r="B37">
        <f>IF($W37="","",IF(INDEX('Per Invoice'!B$2:B$801,$W37)="","",INDEX('Per Invoice'!B$2:B$801,$W37)))</f>
        <v/>
      </c>
      <c r="C37">
        <f>IF($W37="","",IF(INDEX('Per Invoice'!C$2:C$801,$W37)="","",INDEX('Per Invoice'!C$2:C$801,$W37)))</f>
        <v/>
      </c>
      <c r="D37">
        <f>IF($W37="","",IF(INDEX('Per Invoice'!D$2:D$801,$W37)="","",INDEX('Per Invoice'!D$2:D$801,$W37)))</f>
        <v/>
      </c>
      <c r="E37">
        <f>IF($W37="","",IF(INDEX('Per Invoice'!E$2:E$801,$W37)="","",INDEX('Per Invoice'!E$2:E$801,$W37)))</f>
        <v/>
      </c>
      <c r="F37">
        <f>IF($W37="","",IF(INDEX('Per Invoice'!F$2:F$801,$W37)="","",INDEX('Per Invoice'!F$2:F$801,$W37)))</f>
        <v/>
      </c>
      <c r="G37">
        <f>IF($W37="","",IF(INDEX('Per Invoice'!G$2:G$801,$W37)="","",INDEX('Per Invoice'!G$2:G$801,$W37)))</f>
        <v/>
      </c>
      <c r="H37">
        <f>IF($W37="","",IF(INDEX('Per Invoice'!H$2:H$801,$W37)="","",INDEX('Per Invoice'!H$2:H$801,$W37)))</f>
        <v/>
      </c>
      <c r="I37">
        <f>IF($W37="","",IF(INDEX('Per Invoice'!I$2:I$801,$W37)="","",INDEX('Per Invoice'!I$2:I$801,$W37)))</f>
        <v/>
      </c>
      <c r="J37">
        <f>IF($W37="","",IF(INDEX('Per Invoice'!J$2:J$801,$W37)="","",INDEX('Per Invoice'!J$2:J$801,$W37)))</f>
        <v/>
      </c>
      <c r="K37" s="7">
        <f>IF($W37="","",IF(INDEX('Per Invoice'!K$2:K$801,$W37)="","",INDEX('Per Invoice'!K$2:K$801,$W37)))</f>
        <v/>
      </c>
      <c r="L37" s="14">
        <f>IF($W37="","",IF(INDEX('Per Invoice'!L$2:L$801,$W37)="","",INDEX('Per Invoice'!L$2:L$801,$W37)))</f>
        <v/>
      </c>
      <c r="M37">
        <f>IF($W37="","",IF(INDEX('Per Invoice'!M$2:M$801,$W37)="","",INDEX('Per Invoice'!M$2:M$801,$W37)))</f>
        <v/>
      </c>
      <c r="N37" s="7">
        <f>IF($W37="","",IF(INDEX('Per Invoice'!N$2:N$801,$W37)="","",INDEX('Per Invoice'!N$2:N$801,$W37)))</f>
        <v/>
      </c>
      <c r="O37" s="7">
        <f>IF($W37="","",IF(INDEX('Per Invoice'!O$2:O$801,$W37)="","",INDEX('Per Invoice'!O$2:O$801,$W37)))</f>
        <v/>
      </c>
      <c r="P37">
        <f>IF($W37="","",IF(INDEX('Per Invoice'!P$2:P$801,$W37)="","",INDEX('Per Invoice'!P$2:P$801,$W37)))</f>
        <v/>
      </c>
      <c r="Q37" s="7">
        <f>IF($W37="","",IF(INDEX('Per Invoice'!Q$2:Q$801,$W37)="","",INDEX('Per Invoice'!Q$2:Q$801,$W37)))</f>
        <v/>
      </c>
      <c r="R37" s="7">
        <f>IF($W37="","",IF(INDEX('Per Invoice'!R$2:R$801,$W37)="","",INDEX('Per Invoice'!R$2:R$801,$W37)))</f>
        <v/>
      </c>
      <c r="S37" s="7">
        <f>IF($W37="","",IF(INDEX('Per Invoice'!S$2:S$801,$W37)="","",INDEX('Per Invoice'!S$2:S$801,$W37)))</f>
        <v/>
      </c>
      <c r="T37" s="7">
        <f>IF($W37="","",IF(INDEX('Per Invoice'!T$2:T$801,$W37)="","",INDEX('Per Invoice'!T$2:T$801,$W37)))</f>
        <v/>
      </c>
      <c r="U37" s="7">
        <f>IF($W37="","",IF(INDEX('Per Invoice'!U$2:U$801,$W37)="","",INDEX('Per Invoice'!U$2:U$801,$W37)))</f>
        <v/>
      </c>
      <c r="V37" s="7">
        <f>IF($W37="","",IF(INDEX('Per Invoice'!V$2:V$801,$W37)="","",INDEX('Per Invoice'!V$2:V$801,$W37)))</f>
        <v/>
      </c>
      <c r="W37" s="16">
        <f>IFERROR(MATCH(Settings!$C$28&amp;"|"&amp;ROWS($W$2:$W37),'Per Invoice'!$X$2:$X$801,0),"")</f>
        <v/>
      </c>
    </row>
    <row r="38">
      <c r="A38">
        <f>IF($W38="","",IF(INDEX('Per Invoice'!A$2:A$801,$W38)="","",INDEX('Per Invoice'!A$2:A$801,$W38)))</f>
        <v/>
      </c>
      <c r="B38">
        <f>IF($W38="","",IF(INDEX('Per Invoice'!B$2:B$801,$W38)="","",INDEX('Per Invoice'!B$2:B$801,$W38)))</f>
        <v/>
      </c>
      <c r="C38">
        <f>IF($W38="","",IF(INDEX('Per Invoice'!C$2:C$801,$W38)="","",INDEX('Per Invoice'!C$2:C$801,$W38)))</f>
        <v/>
      </c>
      <c r="D38">
        <f>IF($W38="","",IF(INDEX('Per Invoice'!D$2:D$801,$W38)="","",INDEX('Per Invoice'!D$2:D$801,$W38)))</f>
        <v/>
      </c>
      <c r="E38">
        <f>IF($W38="","",IF(INDEX('Per Invoice'!E$2:E$801,$W38)="","",INDEX('Per Invoice'!E$2:E$801,$W38)))</f>
        <v/>
      </c>
      <c r="F38">
        <f>IF($W38="","",IF(INDEX('Per Invoice'!F$2:F$801,$W38)="","",INDEX('Per Invoice'!F$2:F$801,$W38)))</f>
        <v/>
      </c>
      <c r="G38">
        <f>IF($W38="","",IF(INDEX('Per Invoice'!G$2:G$801,$W38)="","",INDEX('Per Invoice'!G$2:G$801,$W38)))</f>
        <v/>
      </c>
      <c r="H38">
        <f>IF($W38="","",IF(INDEX('Per Invoice'!H$2:H$801,$W38)="","",INDEX('Per Invoice'!H$2:H$801,$W38)))</f>
        <v/>
      </c>
      <c r="I38">
        <f>IF($W38="","",IF(INDEX('Per Invoice'!I$2:I$801,$W38)="","",INDEX('Per Invoice'!I$2:I$801,$W38)))</f>
        <v/>
      </c>
      <c r="J38">
        <f>IF($W38="","",IF(INDEX('Per Invoice'!J$2:J$801,$W38)="","",INDEX('Per Invoice'!J$2:J$801,$W38)))</f>
        <v/>
      </c>
      <c r="K38" s="7">
        <f>IF($W38="","",IF(INDEX('Per Invoice'!K$2:K$801,$W38)="","",INDEX('Per Invoice'!K$2:K$801,$W38)))</f>
        <v/>
      </c>
      <c r="L38" s="14">
        <f>IF($W38="","",IF(INDEX('Per Invoice'!L$2:L$801,$W38)="","",INDEX('Per Invoice'!L$2:L$801,$W38)))</f>
        <v/>
      </c>
      <c r="M38">
        <f>IF($W38="","",IF(INDEX('Per Invoice'!M$2:M$801,$W38)="","",INDEX('Per Invoice'!M$2:M$801,$W38)))</f>
        <v/>
      </c>
      <c r="N38" s="7">
        <f>IF($W38="","",IF(INDEX('Per Invoice'!N$2:N$801,$W38)="","",INDEX('Per Invoice'!N$2:N$801,$W38)))</f>
        <v/>
      </c>
      <c r="O38" s="7">
        <f>IF($W38="","",IF(INDEX('Per Invoice'!O$2:O$801,$W38)="","",INDEX('Per Invoice'!O$2:O$801,$W38)))</f>
        <v/>
      </c>
      <c r="P38">
        <f>IF($W38="","",IF(INDEX('Per Invoice'!P$2:P$801,$W38)="","",INDEX('Per Invoice'!P$2:P$801,$W38)))</f>
        <v/>
      </c>
      <c r="Q38" s="7">
        <f>IF($W38="","",IF(INDEX('Per Invoice'!Q$2:Q$801,$W38)="","",INDEX('Per Invoice'!Q$2:Q$801,$W38)))</f>
        <v/>
      </c>
      <c r="R38" s="7">
        <f>IF($W38="","",IF(INDEX('Per Invoice'!R$2:R$801,$W38)="","",INDEX('Per Invoice'!R$2:R$801,$W38)))</f>
        <v/>
      </c>
      <c r="S38" s="7">
        <f>IF($W38="","",IF(INDEX('Per Invoice'!S$2:S$801,$W38)="","",INDEX('Per Invoice'!S$2:S$801,$W38)))</f>
        <v/>
      </c>
      <c r="T38" s="7">
        <f>IF($W38="","",IF(INDEX('Per Invoice'!T$2:T$801,$W38)="","",INDEX('Per Invoice'!T$2:T$801,$W38)))</f>
        <v/>
      </c>
      <c r="U38" s="7">
        <f>IF($W38="","",IF(INDEX('Per Invoice'!U$2:U$801,$W38)="","",INDEX('Per Invoice'!U$2:U$801,$W38)))</f>
        <v/>
      </c>
      <c r="V38" s="7">
        <f>IF($W38="","",IF(INDEX('Per Invoice'!V$2:V$801,$W38)="","",INDEX('Per Invoice'!V$2:V$801,$W38)))</f>
        <v/>
      </c>
      <c r="W38" s="16">
        <f>IFERROR(MATCH(Settings!$C$28&amp;"|"&amp;ROWS($W$2:$W38),'Per Invoice'!$X$2:$X$801,0),"")</f>
        <v/>
      </c>
    </row>
    <row r="39">
      <c r="A39">
        <f>IF($W39="","",IF(INDEX('Per Invoice'!A$2:A$801,$W39)="","",INDEX('Per Invoice'!A$2:A$801,$W39)))</f>
        <v/>
      </c>
      <c r="B39">
        <f>IF($W39="","",IF(INDEX('Per Invoice'!B$2:B$801,$W39)="","",INDEX('Per Invoice'!B$2:B$801,$W39)))</f>
        <v/>
      </c>
      <c r="C39">
        <f>IF($W39="","",IF(INDEX('Per Invoice'!C$2:C$801,$W39)="","",INDEX('Per Invoice'!C$2:C$801,$W39)))</f>
        <v/>
      </c>
      <c r="D39">
        <f>IF($W39="","",IF(INDEX('Per Invoice'!D$2:D$801,$W39)="","",INDEX('Per Invoice'!D$2:D$801,$W39)))</f>
        <v/>
      </c>
      <c r="E39">
        <f>IF($W39="","",IF(INDEX('Per Invoice'!E$2:E$801,$W39)="","",INDEX('Per Invoice'!E$2:E$801,$W39)))</f>
        <v/>
      </c>
      <c r="F39">
        <f>IF($W39="","",IF(INDEX('Per Invoice'!F$2:F$801,$W39)="","",INDEX('Per Invoice'!F$2:F$801,$W39)))</f>
        <v/>
      </c>
      <c r="G39">
        <f>IF($W39="","",IF(INDEX('Per Invoice'!G$2:G$801,$W39)="","",INDEX('Per Invoice'!G$2:G$801,$W39)))</f>
        <v/>
      </c>
      <c r="H39">
        <f>IF($W39="","",IF(INDEX('Per Invoice'!H$2:H$801,$W39)="","",INDEX('Per Invoice'!H$2:H$801,$W39)))</f>
        <v/>
      </c>
      <c r="I39">
        <f>IF($W39="","",IF(INDEX('Per Invoice'!I$2:I$801,$W39)="","",INDEX('Per Invoice'!I$2:I$801,$W39)))</f>
        <v/>
      </c>
      <c r="J39">
        <f>IF($W39="","",IF(INDEX('Per Invoice'!J$2:J$801,$W39)="","",INDEX('Per Invoice'!J$2:J$801,$W39)))</f>
        <v/>
      </c>
      <c r="K39" s="7">
        <f>IF($W39="","",IF(INDEX('Per Invoice'!K$2:K$801,$W39)="","",INDEX('Per Invoice'!K$2:K$801,$W39)))</f>
        <v/>
      </c>
      <c r="L39" s="14">
        <f>IF($W39="","",IF(INDEX('Per Invoice'!L$2:L$801,$W39)="","",INDEX('Per Invoice'!L$2:L$801,$W39)))</f>
        <v/>
      </c>
      <c r="M39">
        <f>IF($W39="","",IF(INDEX('Per Invoice'!M$2:M$801,$W39)="","",INDEX('Per Invoice'!M$2:M$801,$W39)))</f>
        <v/>
      </c>
      <c r="N39" s="7">
        <f>IF($W39="","",IF(INDEX('Per Invoice'!N$2:N$801,$W39)="","",INDEX('Per Invoice'!N$2:N$801,$W39)))</f>
        <v/>
      </c>
      <c r="O39" s="7">
        <f>IF($W39="","",IF(INDEX('Per Invoice'!O$2:O$801,$W39)="","",INDEX('Per Invoice'!O$2:O$801,$W39)))</f>
        <v/>
      </c>
      <c r="P39">
        <f>IF($W39="","",IF(INDEX('Per Invoice'!P$2:P$801,$W39)="","",INDEX('Per Invoice'!P$2:P$801,$W39)))</f>
        <v/>
      </c>
      <c r="Q39" s="7">
        <f>IF($W39="","",IF(INDEX('Per Invoice'!Q$2:Q$801,$W39)="","",INDEX('Per Invoice'!Q$2:Q$801,$W39)))</f>
        <v/>
      </c>
      <c r="R39" s="7">
        <f>IF($W39="","",IF(INDEX('Per Invoice'!R$2:R$801,$W39)="","",INDEX('Per Invoice'!R$2:R$801,$W39)))</f>
        <v/>
      </c>
      <c r="S39" s="7">
        <f>IF($W39="","",IF(INDEX('Per Invoice'!S$2:S$801,$W39)="","",INDEX('Per Invoice'!S$2:S$801,$W39)))</f>
        <v/>
      </c>
      <c r="T39" s="7">
        <f>IF($W39="","",IF(INDEX('Per Invoice'!T$2:T$801,$W39)="","",INDEX('Per Invoice'!T$2:T$801,$W39)))</f>
        <v/>
      </c>
      <c r="U39" s="7">
        <f>IF($W39="","",IF(INDEX('Per Invoice'!U$2:U$801,$W39)="","",INDEX('Per Invoice'!U$2:U$801,$W39)))</f>
        <v/>
      </c>
      <c r="V39" s="7">
        <f>IF($W39="","",IF(INDEX('Per Invoice'!V$2:V$801,$W39)="","",INDEX('Per Invoice'!V$2:V$801,$W39)))</f>
        <v/>
      </c>
      <c r="W39" s="16">
        <f>IFERROR(MATCH(Settings!$C$28&amp;"|"&amp;ROWS($W$2:$W39),'Per Invoice'!$X$2:$X$801,0),"")</f>
        <v/>
      </c>
    </row>
    <row r="40">
      <c r="A40">
        <f>IF($W40="","",IF(INDEX('Per Invoice'!A$2:A$801,$W40)="","",INDEX('Per Invoice'!A$2:A$801,$W40)))</f>
        <v/>
      </c>
      <c r="B40">
        <f>IF($W40="","",IF(INDEX('Per Invoice'!B$2:B$801,$W40)="","",INDEX('Per Invoice'!B$2:B$801,$W40)))</f>
        <v/>
      </c>
      <c r="C40">
        <f>IF($W40="","",IF(INDEX('Per Invoice'!C$2:C$801,$W40)="","",INDEX('Per Invoice'!C$2:C$801,$W40)))</f>
        <v/>
      </c>
      <c r="D40">
        <f>IF($W40="","",IF(INDEX('Per Invoice'!D$2:D$801,$W40)="","",INDEX('Per Invoice'!D$2:D$801,$W40)))</f>
        <v/>
      </c>
      <c r="E40">
        <f>IF($W40="","",IF(INDEX('Per Invoice'!E$2:E$801,$W40)="","",INDEX('Per Invoice'!E$2:E$801,$W40)))</f>
        <v/>
      </c>
      <c r="F40">
        <f>IF($W40="","",IF(INDEX('Per Invoice'!F$2:F$801,$W40)="","",INDEX('Per Invoice'!F$2:F$801,$W40)))</f>
        <v/>
      </c>
      <c r="G40">
        <f>IF($W40="","",IF(INDEX('Per Invoice'!G$2:G$801,$W40)="","",INDEX('Per Invoice'!G$2:G$801,$W40)))</f>
        <v/>
      </c>
      <c r="H40">
        <f>IF($W40="","",IF(INDEX('Per Invoice'!H$2:H$801,$W40)="","",INDEX('Per Invoice'!H$2:H$801,$W40)))</f>
        <v/>
      </c>
      <c r="I40">
        <f>IF($W40="","",IF(INDEX('Per Invoice'!I$2:I$801,$W40)="","",INDEX('Per Invoice'!I$2:I$801,$W40)))</f>
        <v/>
      </c>
      <c r="J40">
        <f>IF($W40="","",IF(INDEX('Per Invoice'!J$2:J$801,$W40)="","",INDEX('Per Invoice'!J$2:J$801,$W40)))</f>
        <v/>
      </c>
      <c r="K40" s="7">
        <f>IF($W40="","",IF(INDEX('Per Invoice'!K$2:K$801,$W40)="","",INDEX('Per Invoice'!K$2:K$801,$W40)))</f>
        <v/>
      </c>
      <c r="L40" s="14">
        <f>IF($W40="","",IF(INDEX('Per Invoice'!L$2:L$801,$W40)="","",INDEX('Per Invoice'!L$2:L$801,$W40)))</f>
        <v/>
      </c>
      <c r="M40">
        <f>IF($W40="","",IF(INDEX('Per Invoice'!M$2:M$801,$W40)="","",INDEX('Per Invoice'!M$2:M$801,$W40)))</f>
        <v/>
      </c>
      <c r="N40" s="7">
        <f>IF($W40="","",IF(INDEX('Per Invoice'!N$2:N$801,$W40)="","",INDEX('Per Invoice'!N$2:N$801,$W40)))</f>
        <v/>
      </c>
      <c r="O40" s="7">
        <f>IF($W40="","",IF(INDEX('Per Invoice'!O$2:O$801,$W40)="","",INDEX('Per Invoice'!O$2:O$801,$W40)))</f>
        <v/>
      </c>
      <c r="P40">
        <f>IF($W40="","",IF(INDEX('Per Invoice'!P$2:P$801,$W40)="","",INDEX('Per Invoice'!P$2:P$801,$W40)))</f>
        <v/>
      </c>
      <c r="Q40" s="7">
        <f>IF($W40="","",IF(INDEX('Per Invoice'!Q$2:Q$801,$W40)="","",INDEX('Per Invoice'!Q$2:Q$801,$W40)))</f>
        <v/>
      </c>
      <c r="R40" s="7">
        <f>IF($W40="","",IF(INDEX('Per Invoice'!R$2:R$801,$W40)="","",INDEX('Per Invoice'!R$2:R$801,$W40)))</f>
        <v/>
      </c>
      <c r="S40" s="7">
        <f>IF($W40="","",IF(INDEX('Per Invoice'!S$2:S$801,$W40)="","",INDEX('Per Invoice'!S$2:S$801,$W40)))</f>
        <v/>
      </c>
      <c r="T40" s="7">
        <f>IF($W40="","",IF(INDEX('Per Invoice'!T$2:T$801,$W40)="","",INDEX('Per Invoice'!T$2:T$801,$W40)))</f>
        <v/>
      </c>
      <c r="U40" s="7">
        <f>IF($W40="","",IF(INDEX('Per Invoice'!U$2:U$801,$W40)="","",INDEX('Per Invoice'!U$2:U$801,$W40)))</f>
        <v/>
      </c>
      <c r="V40" s="7">
        <f>IF($W40="","",IF(INDEX('Per Invoice'!V$2:V$801,$W40)="","",INDEX('Per Invoice'!V$2:V$801,$W40)))</f>
        <v/>
      </c>
      <c r="W40" s="16">
        <f>IFERROR(MATCH(Settings!$C$28&amp;"|"&amp;ROWS($W$2:$W40),'Per Invoice'!$X$2:$X$801,0),"")</f>
        <v/>
      </c>
    </row>
    <row r="41">
      <c r="A41">
        <f>IF($W41="","",IF(INDEX('Per Invoice'!A$2:A$801,$W41)="","",INDEX('Per Invoice'!A$2:A$801,$W41)))</f>
        <v/>
      </c>
      <c r="B41">
        <f>IF($W41="","",IF(INDEX('Per Invoice'!B$2:B$801,$W41)="","",INDEX('Per Invoice'!B$2:B$801,$W41)))</f>
        <v/>
      </c>
      <c r="C41">
        <f>IF($W41="","",IF(INDEX('Per Invoice'!C$2:C$801,$W41)="","",INDEX('Per Invoice'!C$2:C$801,$W41)))</f>
        <v/>
      </c>
      <c r="D41">
        <f>IF($W41="","",IF(INDEX('Per Invoice'!D$2:D$801,$W41)="","",INDEX('Per Invoice'!D$2:D$801,$W41)))</f>
        <v/>
      </c>
      <c r="E41">
        <f>IF($W41="","",IF(INDEX('Per Invoice'!E$2:E$801,$W41)="","",INDEX('Per Invoice'!E$2:E$801,$W41)))</f>
        <v/>
      </c>
      <c r="F41">
        <f>IF($W41="","",IF(INDEX('Per Invoice'!F$2:F$801,$W41)="","",INDEX('Per Invoice'!F$2:F$801,$W41)))</f>
        <v/>
      </c>
      <c r="G41">
        <f>IF($W41="","",IF(INDEX('Per Invoice'!G$2:G$801,$W41)="","",INDEX('Per Invoice'!G$2:G$801,$W41)))</f>
        <v/>
      </c>
      <c r="H41">
        <f>IF($W41="","",IF(INDEX('Per Invoice'!H$2:H$801,$W41)="","",INDEX('Per Invoice'!H$2:H$801,$W41)))</f>
        <v/>
      </c>
      <c r="I41">
        <f>IF($W41="","",IF(INDEX('Per Invoice'!I$2:I$801,$W41)="","",INDEX('Per Invoice'!I$2:I$801,$W41)))</f>
        <v/>
      </c>
      <c r="J41">
        <f>IF($W41="","",IF(INDEX('Per Invoice'!J$2:J$801,$W41)="","",INDEX('Per Invoice'!J$2:J$801,$W41)))</f>
        <v/>
      </c>
      <c r="K41" s="7">
        <f>IF($W41="","",IF(INDEX('Per Invoice'!K$2:K$801,$W41)="","",INDEX('Per Invoice'!K$2:K$801,$W41)))</f>
        <v/>
      </c>
      <c r="L41" s="14">
        <f>IF($W41="","",IF(INDEX('Per Invoice'!L$2:L$801,$W41)="","",INDEX('Per Invoice'!L$2:L$801,$W41)))</f>
        <v/>
      </c>
      <c r="M41">
        <f>IF($W41="","",IF(INDEX('Per Invoice'!M$2:M$801,$W41)="","",INDEX('Per Invoice'!M$2:M$801,$W41)))</f>
        <v/>
      </c>
      <c r="N41" s="7">
        <f>IF($W41="","",IF(INDEX('Per Invoice'!N$2:N$801,$W41)="","",INDEX('Per Invoice'!N$2:N$801,$W41)))</f>
        <v/>
      </c>
      <c r="O41" s="7">
        <f>IF($W41="","",IF(INDEX('Per Invoice'!O$2:O$801,$W41)="","",INDEX('Per Invoice'!O$2:O$801,$W41)))</f>
        <v/>
      </c>
      <c r="P41">
        <f>IF($W41="","",IF(INDEX('Per Invoice'!P$2:P$801,$W41)="","",INDEX('Per Invoice'!P$2:P$801,$W41)))</f>
        <v/>
      </c>
      <c r="Q41" s="7">
        <f>IF($W41="","",IF(INDEX('Per Invoice'!Q$2:Q$801,$W41)="","",INDEX('Per Invoice'!Q$2:Q$801,$W41)))</f>
        <v/>
      </c>
      <c r="R41" s="7">
        <f>IF($W41="","",IF(INDEX('Per Invoice'!R$2:R$801,$W41)="","",INDEX('Per Invoice'!R$2:R$801,$W41)))</f>
        <v/>
      </c>
      <c r="S41" s="7">
        <f>IF($W41="","",IF(INDEX('Per Invoice'!S$2:S$801,$W41)="","",INDEX('Per Invoice'!S$2:S$801,$W41)))</f>
        <v/>
      </c>
      <c r="T41" s="7">
        <f>IF($W41="","",IF(INDEX('Per Invoice'!T$2:T$801,$W41)="","",INDEX('Per Invoice'!T$2:T$801,$W41)))</f>
        <v/>
      </c>
      <c r="U41" s="7">
        <f>IF($W41="","",IF(INDEX('Per Invoice'!U$2:U$801,$W41)="","",INDEX('Per Invoice'!U$2:U$801,$W41)))</f>
        <v/>
      </c>
      <c r="V41" s="7">
        <f>IF($W41="","",IF(INDEX('Per Invoice'!V$2:V$801,$W41)="","",INDEX('Per Invoice'!V$2:V$801,$W41)))</f>
        <v/>
      </c>
      <c r="W41" s="16">
        <f>IFERROR(MATCH(Settings!$C$28&amp;"|"&amp;ROWS($W$2:$W41),'Per Invoice'!$X$2:$X$801,0),"")</f>
        <v/>
      </c>
    </row>
    <row r="42">
      <c r="A42">
        <f>IF($W42="","",IF(INDEX('Per Invoice'!A$2:A$801,$W42)="","",INDEX('Per Invoice'!A$2:A$801,$W42)))</f>
        <v/>
      </c>
      <c r="B42">
        <f>IF($W42="","",IF(INDEX('Per Invoice'!B$2:B$801,$W42)="","",INDEX('Per Invoice'!B$2:B$801,$W42)))</f>
        <v/>
      </c>
      <c r="C42">
        <f>IF($W42="","",IF(INDEX('Per Invoice'!C$2:C$801,$W42)="","",INDEX('Per Invoice'!C$2:C$801,$W42)))</f>
        <v/>
      </c>
      <c r="D42">
        <f>IF($W42="","",IF(INDEX('Per Invoice'!D$2:D$801,$W42)="","",INDEX('Per Invoice'!D$2:D$801,$W42)))</f>
        <v/>
      </c>
      <c r="E42">
        <f>IF($W42="","",IF(INDEX('Per Invoice'!E$2:E$801,$W42)="","",INDEX('Per Invoice'!E$2:E$801,$W42)))</f>
        <v/>
      </c>
      <c r="F42">
        <f>IF($W42="","",IF(INDEX('Per Invoice'!F$2:F$801,$W42)="","",INDEX('Per Invoice'!F$2:F$801,$W42)))</f>
        <v/>
      </c>
      <c r="G42">
        <f>IF($W42="","",IF(INDEX('Per Invoice'!G$2:G$801,$W42)="","",INDEX('Per Invoice'!G$2:G$801,$W42)))</f>
        <v/>
      </c>
      <c r="H42">
        <f>IF($W42="","",IF(INDEX('Per Invoice'!H$2:H$801,$W42)="","",INDEX('Per Invoice'!H$2:H$801,$W42)))</f>
        <v/>
      </c>
      <c r="I42">
        <f>IF($W42="","",IF(INDEX('Per Invoice'!I$2:I$801,$W42)="","",INDEX('Per Invoice'!I$2:I$801,$W42)))</f>
        <v/>
      </c>
      <c r="J42">
        <f>IF($W42="","",IF(INDEX('Per Invoice'!J$2:J$801,$W42)="","",INDEX('Per Invoice'!J$2:J$801,$W42)))</f>
        <v/>
      </c>
      <c r="K42" s="7">
        <f>IF($W42="","",IF(INDEX('Per Invoice'!K$2:K$801,$W42)="","",INDEX('Per Invoice'!K$2:K$801,$W42)))</f>
        <v/>
      </c>
      <c r="L42" s="14">
        <f>IF($W42="","",IF(INDEX('Per Invoice'!L$2:L$801,$W42)="","",INDEX('Per Invoice'!L$2:L$801,$W42)))</f>
        <v/>
      </c>
      <c r="M42">
        <f>IF($W42="","",IF(INDEX('Per Invoice'!M$2:M$801,$W42)="","",INDEX('Per Invoice'!M$2:M$801,$W42)))</f>
        <v/>
      </c>
      <c r="N42" s="7">
        <f>IF($W42="","",IF(INDEX('Per Invoice'!N$2:N$801,$W42)="","",INDEX('Per Invoice'!N$2:N$801,$W42)))</f>
        <v/>
      </c>
      <c r="O42" s="7">
        <f>IF($W42="","",IF(INDEX('Per Invoice'!O$2:O$801,$W42)="","",INDEX('Per Invoice'!O$2:O$801,$W42)))</f>
        <v/>
      </c>
      <c r="P42">
        <f>IF($W42="","",IF(INDEX('Per Invoice'!P$2:P$801,$W42)="","",INDEX('Per Invoice'!P$2:P$801,$W42)))</f>
        <v/>
      </c>
      <c r="Q42" s="7">
        <f>IF($W42="","",IF(INDEX('Per Invoice'!Q$2:Q$801,$W42)="","",INDEX('Per Invoice'!Q$2:Q$801,$W42)))</f>
        <v/>
      </c>
      <c r="R42" s="7">
        <f>IF($W42="","",IF(INDEX('Per Invoice'!R$2:R$801,$W42)="","",INDEX('Per Invoice'!R$2:R$801,$W42)))</f>
        <v/>
      </c>
      <c r="S42" s="7">
        <f>IF($W42="","",IF(INDEX('Per Invoice'!S$2:S$801,$W42)="","",INDEX('Per Invoice'!S$2:S$801,$W42)))</f>
        <v/>
      </c>
      <c r="T42" s="7">
        <f>IF($W42="","",IF(INDEX('Per Invoice'!T$2:T$801,$W42)="","",INDEX('Per Invoice'!T$2:T$801,$W42)))</f>
        <v/>
      </c>
      <c r="U42" s="7">
        <f>IF($W42="","",IF(INDEX('Per Invoice'!U$2:U$801,$W42)="","",INDEX('Per Invoice'!U$2:U$801,$W42)))</f>
        <v/>
      </c>
      <c r="V42" s="7">
        <f>IF($W42="","",IF(INDEX('Per Invoice'!V$2:V$801,$W42)="","",INDEX('Per Invoice'!V$2:V$801,$W42)))</f>
        <v/>
      </c>
      <c r="W42" s="16">
        <f>IFERROR(MATCH(Settings!$C$28&amp;"|"&amp;ROWS($W$2:$W42),'Per Invoice'!$X$2:$X$801,0),"")</f>
        <v/>
      </c>
    </row>
    <row r="43">
      <c r="A43">
        <f>IF($W43="","",IF(INDEX('Per Invoice'!A$2:A$801,$W43)="","",INDEX('Per Invoice'!A$2:A$801,$W43)))</f>
        <v/>
      </c>
      <c r="B43">
        <f>IF($W43="","",IF(INDEX('Per Invoice'!B$2:B$801,$W43)="","",INDEX('Per Invoice'!B$2:B$801,$W43)))</f>
        <v/>
      </c>
      <c r="C43">
        <f>IF($W43="","",IF(INDEX('Per Invoice'!C$2:C$801,$W43)="","",INDEX('Per Invoice'!C$2:C$801,$W43)))</f>
        <v/>
      </c>
      <c r="D43">
        <f>IF($W43="","",IF(INDEX('Per Invoice'!D$2:D$801,$W43)="","",INDEX('Per Invoice'!D$2:D$801,$W43)))</f>
        <v/>
      </c>
      <c r="E43">
        <f>IF($W43="","",IF(INDEX('Per Invoice'!E$2:E$801,$W43)="","",INDEX('Per Invoice'!E$2:E$801,$W43)))</f>
        <v/>
      </c>
      <c r="F43">
        <f>IF($W43="","",IF(INDEX('Per Invoice'!F$2:F$801,$W43)="","",INDEX('Per Invoice'!F$2:F$801,$W43)))</f>
        <v/>
      </c>
      <c r="G43">
        <f>IF($W43="","",IF(INDEX('Per Invoice'!G$2:G$801,$W43)="","",INDEX('Per Invoice'!G$2:G$801,$W43)))</f>
        <v/>
      </c>
      <c r="H43">
        <f>IF($W43="","",IF(INDEX('Per Invoice'!H$2:H$801,$W43)="","",INDEX('Per Invoice'!H$2:H$801,$W43)))</f>
        <v/>
      </c>
      <c r="I43">
        <f>IF($W43="","",IF(INDEX('Per Invoice'!I$2:I$801,$W43)="","",INDEX('Per Invoice'!I$2:I$801,$W43)))</f>
        <v/>
      </c>
      <c r="J43">
        <f>IF($W43="","",IF(INDEX('Per Invoice'!J$2:J$801,$W43)="","",INDEX('Per Invoice'!J$2:J$801,$W43)))</f>
        <v/>
      </c>
      <c r="K43" s="7">
        <f>IF($W43="","",IF(INDEX('Per Invoice'!K$2:K$801,$W43)="","",INDEX('Per Invoice'!K$2:K$801,$W43)))</f>
        <v/>
      </c>
      <c r="L43" s="14">
        <f>IF($W43="","",IF(INDEX('Per Invoice'!L$2:L$801,$W43)="","",INDEX('Per Invoice'!L$2:L$801,$W43)))</f>
        <v/>
      </c>
      <c r="M43">
        <f>IF($W43="","",IF(INDEX('Per Invoice'!M$2:M$801,$W43)="","",INDEX('Per Invoice'!M$2:M$801,$W43)))</f>
        <v/>
      </c>
      <c r="N43" s="7">
        <f>IF($W43="","",IF(INDEX('Per Invoice'!N$2:N$801,$W43)="","",INDEX('Per Invoice'!N$2:N$801,$W43)))</f>
        <v/>
      </c>
      <c r="O43" s="7">
        <f>IF($W43="","",IF(INDEX('Per Invoice'!O$2:O$801,$W43)="","",INDEX('Per Invoice'!O$2:O$801,$W43)))</f>
        <v/>
      </c>
      <c r="P43">
        <f>IF($W43="","",IF(INDEX('Per Invoice'!P$2:P$801,$W43)="","",INDEX('Per Invoice'!P$2:P$801,$W43)))</f>
        <v/>
      </c>
      <c r="Q43" s="7">
        <f>IF($W43="","",IF(INDEX('Per Invoice'!Q$2:Q$801,$W43)="","",INDEX('Per Invoice'!Q$2:Q$801,$W43)))</f>
        <v/>
      </c>
      <c r="R43" s="7">
        <f>IF($W43="","",IF(INDEX('Per Invoice'!R$2:R$801,$W43)="","",INDEX('Per Invoice'!R$2:R$801,$W43)))</f>
        <v/>
      </c>
      <c r="S43" s="7">
        <f>IF($W43="","",IF(INDEX('Per Invoice'!S$2:S$801,$W43)="","",INDEX('Per Invoice'!S$2:S$801,$W43)))</f>
        <v/>
      </c>
      <c r="T43" s="7">
        <f>IF($W43="","",IF(INDEX('Per Invoice'!T$2:T$801,$W43)="","",INDEX('Per Invoice'!T$2:T$801,$W43)))</f>
        <v/>
      </c>
      <c r="U43" s="7">
        <f>IF($W43="","",IF(INDEX('Per Invoice'!U$2:U$801,$W43)="","",INDEX('Per Invoice'!U$2:U$801,$W43)))</f>
        <v/>
      </c>
      <c r="V43" s="7">
        <f>IF($W43="","",IF(INDEX('Per Invoice'!V$2:V$801,$W43)="","",INDEX('Per Invoice'!V$2:V$801,$W43)))</f>
        <v/>
      </c>
      <c r="W43" s="16">
        <f>IFERROR(MATCH(Settings!$C$28&amp;"|"&amp;ROWS($W$2:$W43),'Per Invoice'!$X$2:$X$801,0),"")</f>
        <v/>
      </c>
    </row>
    <row r="44">
      <c r="A44">
        <f>IF($W44="","",IF(INDEX('Per Invoice'!A$2:A$801,$W44)="","",INDEX('Per Invoice'!A$2:A$801,$W44)))</f>
        <v/>
      </c>
      <c r="B44">
        <f>IF($W44="","",IF(INDEX('Per Invoice'!B$2:B$801,$W44)="","",INDEX('Per Invoice'!B$2:B$801,$W44)))</f>
        <v/>
      </c>
      <c r="C44">
        <f>IF($W44="","",IF(INDEX('Per Invoice'!C$2:C$801,$W44)="","",INDEX('Per Invoice'!C$2:C$801,$W44)))</f>
        <v/>
      </c>
      <c r="D44">
        <f>IF($W44="","",IF(INDEX('Per Invoice'!D$2:D$801,$W44)="","",INDEX('Per Invoice'!D$2:D$801,$W44)))</f>
        <v/>
      </c>
      <c r="E44">
        <f>IF($W44="","",IF(INDEX('Per Invoice'!E$2:E$801,$W44)="","",INDEX('Per Invoice'!E$2:E$801,$W44)))</f>
        <v/>
      </c>
      <c r="F44">
        <f>IF($W44="","",IF(INDEX('Per Invoice'!F$2:F$801,$W44)="","",INDEX('Per Invoice'!F$2:F$801,$W44)))</f>
        <v/>
      </c>
      <c r="G44">
        <f>IF($W44="","",IF(INDEX('Per Invoice'!G$2:G$801,$W44)="","",INDEX('Per Invoice'!G$2:G$801,$W44)))</f>
        <v/>
      </c>
      <c r="H44">
        <f>IF($W44="","",IF(INDEX('Per Invoice'!H$2:H$801,$W44)="","",INDEX('Per Invoice'!H$2:H$801,$W44)))</f>
        <v/>
      </c>
      <c r="I44">
        <f>IF($W44="","",IF(INDEX('Per Invoice'!I$2:I$801,$W44)="","",INDEX('Per Invoice'!I$2:I$801,$W44)))</f>
        <v/>
      </c>
      <c r="J44">
        <f>IF($W44="","",IF(INDEX('Per Invoice'!J$2:J$801,$W44)="","",INDEX('Per Invoice'!J$2:J$801,$W44)))</f>
        <v/>
      </c>
      <c r="K44" s="7">
        <f>IF($W44="","",IF(INDEX('Per Invoice'!K$2:K$801,$W44)="","",INDEX('Per Invoice'!K$2:K$801,$W44)))</f>
        <v/>
      </c>
      <c r="L44" s="14">
        <f>IF($W44="","",IF(INDEX('Per Invoice'!L$2:L$801,$W44)="","",INDEX('Per Invoice'!L$2:L$801,$W44)))</f>
        <v/>
      </c>
      <c r="M44">
        <f>IF($W44="","",IF(INDEX('Per Invoice'!M$2:M$801,$W44)="","",INDEX('Per Invoice'!M$2:M$801,$W44)))</f>
        <v/>
      </c>
      <c r="N44" s="7">
        <f>IF($W44="","",IF(INDEX('Per Invoice'!N$2:N$801,$W44)="","",INDEX('Per Invoice'!N$2:N$801,$W44)))</f>
        <v/>
      </c>
      <c r="O44" s="7">
        <f>IF($W44="","",IF(INDEX('Per Invoice'!O$2:O$801,$W44)="","",INDEX('Per Invoice'!O$2:O$801,$W44)))</f>
        <v/>
      </c>
      <c r="P44">
        <f>IF($W44="","",IF(INDEX('Per Invoice'!P$2:P$801,$W44)="","",INDEX('Per Invoice'!P$2:P$801,$W44)))</f>
        <v/>
      </c>
      <c r="Q44" s="7">
        <f>IF($W44="","",IF(INDEX('Per Invoice'!Q$2:Q$801,$W44)="","",INDEX('Per Invoice'!Q$2:Q$801,$W44)))</f>
        <v/>
      </c>
      <c r="R44" s="7">
        <f>IF($W44="","",IF(INDEX('Per Invoice'!R$2:R$801,$W44)="","",INDEX('Per Invoice'!R$2:R$801,$W44)))</f>
        <v/>
      </c>
      <c r="S44" s="7">
        <f>IF($W44="","",IF(INDEX('Per Invoice'!S$2:S$801,$W44)="","",INDEX('Per Invoice'!S$2:S$801,$W44)))</f>
        <v/>
      </c>
      <c r="T44" s="7">
        <f>IF($W44="","",IF(INDEX('Per Invoice'!T$2:T$801,$W44)="","",INDEX('Per Invoice'!T$2:T$801,$W44)))</f>
        <v/>
      </c>
      <c r="U44" s="7">
        <f>IF($W44="","",IF(INDEX('Per Invoice'!U$2:U$801,$W44)="","",INDEX('Per Invoice'!U$2:U$801,$W44)))</f>
        <v/>
      </c>
      <c r="V44" s="7">
        <f>IF($W44="","",IF(INDEX('Per Invoice'!V$2:V$801,$W44)="","",INDEX('Per Invoice'!V$2:V$801,$W44)))</f>
        <v/>
      </c>
      <c r="W44" s="16">
        <f>IFERROR(MATCH(Settings!$C$28&amp;"|"&amp;ROWS($W$2:$W44),'Per Invoice'!$X$2:$X$801,0),"")</f>
        <v/>
      </c>
    </row>
    <row r="45">
      <c r="A45">
        <f>IF($W45="","",IF(INDEX('Per Invoice'!A$2:A$801,$W45)="","",INDEX('Per Invoice'!A$2:A$801,$W45)))</f>
        <v/>
      </c>
      <c r="B45">
        <f>IF($W45="","",IF(INDEX('Per Invoice'!B$2:B$801,$W45)="","",INDEX('Per Invoice'!B$2:B$801,$W45)))</f>
        <v/>
      </c>
      <c r="C45">
        <f>IF($W45="","",IF(INDEX('Per Invoice'!C$2:C$801,$W45)="","",INDEX('Per Invoice'!C$2:C$801,$W45)))</f>
        <v/>
      </c>
      <c r="D45">
        <f>IF($W45="","",IF(INDEX('Per Invoice'!D$2:D$801,$W45)="","",INDEX('Per Invoice'!D$2:D$801,$W45)))</f>
        <v/>
      </c>
      <c r="E45">
        <f>IF($W45="","",IF(INDEX('Per Invoice'!E$2:E$801,$W45)="","",INDEX('Per Invoice'!E$2:E$801,$W45)))</f>
        <v/>
      </c>
      <c r="F45">
        <f>IF($W45="","",IF(INDEX('Per Invoice'!F$2:F$801,$W45)="","",INDEX('Per Invoice'!F$2:F$801,$W45)))</f>
        <v/>
      </c>
      <c r="G45">
        <f>IF($W45="","",IF(INDEX('Per Invoice'!G$2:G$801,$W45)="","",INDEX('Per Invoice'!G$2:G$801,$W45)))</f>
        <v/>
      </c>
      <c r="H45">
        <f>IF($W45="","",IF(INDEX('Per Invoice'!H$2:H$801,$W45)="","",INDEX('Per Invoice'!H$2:H$801,$W45)))</f>
        <v/>
      </c>
      <c r="I45">
        <f>IF($W45="","",IF(INDEX('Per Invoice'!I$2:I$801,$W45)="","",INDEX('Per Invoice'!I$2:I$801,$W45)))</f>
        <v/>
      </c>
      <c r="J45">
        <f>IF($W45="","",IF(INDEX('Per Invoice'!J$2:J$801,$W45)="","",INDEX('Per Invoice'!J$2:J$801,$W45)))</f>
        <v/>
      </c>
      <c r="K45" s="7">
        <f>IF($W45="","",IF(INDEX('Per Invoice'!K$2:K$801,$W45)="","",INDEX('Per Invoice'!K$2:K$801,$W45)))</f>
        <v/>
      </c>
      <c r="L45" s="14">
        <f>IF($W45="","",IF(INDEX('Per Invoice'!L$2:L$801,$W45)="","",INDEX('Per Invoice'!L$2:L$801,$W45)))</f>
        <v/>
      </c>
      <c r="M45">
        <f>IF($W45="","",IF(INDEX('Per Invoice'!M$2:M$801,$W45)="","",INDEX('Per Invoice'!M$2:M$801,$W45)))</f>
        <v/>
      </c>
      <c r="N45" s="7">
        <f>IF($W45="","",IF(INDEX('Per Invoice'!N$2:N$801,$W45)="","",INDEX('Per Invoice'!N$2:N$801,$W45)))</f>
        <v/>
      </c>
      <c r="O45" s="7">
        <f>IF($W45="","",IF(INDEX('Per Invoice'!O$2:O$801,$W45)="","",INDEX('Per Invoice'!O$2:O$801,$W45)))</f>
        <v/>
      </c>
      <c r="P45">
        <f>IF($W45="","",IF(INDEX('Per Invoice'!P$2:P$801,$W45)="","",INDEX('Per Invoice'!P$2:P$801,$W45)))</f>
        <v/>
      </c>
      <c r="Q45" s="7">
        <f>IF($W45="","",IF(INDEX('Per Invoice'!Q$2:Q$801,$W45)="","",INDEX('Per Invoice'!Q$2:Q$801,$W45)))</f>
        <v/>
      </c>
      <c r="R45" s="7">
        <f>IF($W45="","",IF(INDEX('Per Invoice'!R$2:R$801,$W45)="","",INDEX('Per Invoice'!R$2:R$801,$W45)))</f>
        <v/>
      </c>
      <c r="S45" s="7">
        <f>IF($W45="","",IF(INDEX('Per Invoice'!S$2:S$801,$W45)="","",INDEX('Per Invoice'!S$2:S$801,$W45)))</f>
        <v/>
      </c>
      <c r="T45" s="7">
        <f>IF($W45="","",IF(INDEX('Per Invoice'!T$2:T$801,$W45)="","",INDEX('Per Invoice'!T$2:T$801,$W45)))</f>
        <v/>
      </c>
      <c r="U45" s="7">
        <f>IF($W45="","",IF(INDEX('Per Invoice'!U$2:U$801,$W45)="","",INDEX('Per Invoice'!U$2:U$801,$W45)))</f>
        <v/>
      </c>
      <c r="V45" s="7">
        <f>IF($W45="","",IF(INDEX('Per Invoice'!V$2:V$801,$W45)="","",INDEX('Per Invoice'!V$2:V$801,$W45)))</f>
        <v/>
      </c>
      <c r="W45" s="16">
        <f>IFERROR(MATCH(Settings!$C$28&amp;"|"&amp;ROWS($W$2:$W45),'Per Invoice'!$X$2:$X$801,0),"")</f>
        <v/>
      </c>
    </row>
    <row r="46">
      <c r="A46">
        <f>IF($W46="","",IF(INDEX('Per Invoice'!A$2:A$801,$W46)="","",INDEX('Per Invoice'!A$2:A$801,$W46)))</f>
        <v/>
      </c>
      <c r="B46">
        <f>IF($W46="","",IF(INDEX('Per Invoice'!B$2:B$801,$W46)="","",INDEX('Per Invoice'!B$2:B$801,$W46)))</f>
        <v/>
      </c>
      <c r="C46">
        <f>IF($W46="","",IF(INDEX('Per Invoice'!C$2:C$801,$W46)="","",INDEX('Per Invoice'!C$2:C$801,$W46)))</f>
        <v/>
      </c>
      <c r="D46">
        <f>IF($W46="","",IF(INDEX('Per Invoice'!D$2:D$801,$W46)="","",INDEX('Per Invoice'!D$2:D$801,$W46)))</f>
        <v/>
      </c>
      <c r="E46">
        <f>IF($W46="","",IF(INDEX('Per Invoice'!E$2:E$801,$W46)="","",INDEX('Per Invoice'!E$2:E$801,$W46)))</f>
        <v/>
      </c>
      <c r="F46">
        <f>IF($W46="","",IF(INDEX('Per Invoice'!F$2:F$801,$W46)="","",INDEX('Per Invoice'!F$2:F$801,$W46)))</f>
        <v/>
      </c>
      <c r="G46">
        <f>IF($W46="","",IF(INDEX('Per Invoice'!G$2:G$801,$W46)="","",INDEX('Per Invoice'!G$2:G$801,$W46)))</f>
        <v/>
      </c>
      <c r="H46">
        <f>IF($W46="","",IF(INDEX('Per Invoice'!H$2:H$801,$W46)="","",INDEX('Per Invoice'!H$2:H$801,$W46)))</f>
        <v/>
      </c>
      <c r="I46">
        <f>IF($W46="","",IF(INDEX('Per Invoice'!I$2:I$801,$W46)="","",INDEX('Per Invoice'!I$2:I$801,$W46)))</f>
        <v/>
      </c>
      <c r="J46">
        <f>IF($W46="","",IF(INDEX('Per Invoice'!J$2:J$801,$W46)="","",INDEX('Per Invoice'!J$2:J$801,$W46)))</f>
        <v/>
      </c>
      <c r="K46" s="7">
        <f>IF($W46="","",IF(INDEX('Per Invoice'!K$2:K$801,$W46)="","",INDEX('Per Invoice'!K$2:K$801,$W46)))</f>
        <v/>
      </c>
      <c r="L46" s="14">
        <f>IF($W46="","",IF(INDEX('Per Invoice'!L$2:L$801,$W46)="","",INDEX('Per Invoice'!L$2:L$801,$W46)))</f>
        <v/>
      </c>
      <c r="M46">
        <f>IF($W46="","",IF(INDEX('Per Invoice'!M$2:M$801,$W46)="","",INDEX('Per Invoice'!M$2:M$801,$W46)))</f>
        <v/>
      </c>
      <c r="N46" s="7">
        <f>IF($W46="","",IF(INDEX('Per Invoice'!N$2:N$801,$W46)="","",INDEX('Per Invoice'!N$2:N$801,$W46)))</f>
        <v/>
      </c>
      <c r="O46" s="7">
        <f>IF($W46="","",IF(INDEX('Per Invoice'!O$2:O$801,$W46)="","",INDEX('Per Invoice'!O$2:O$801,$W46)))</f>
        <v/>
      </c>
      <c r="P46">
        <f>IF($W46="","",IF(INDEX('Per Invoice'!P$2:P$801,$W46)="","",INDEX('Per Invoice'!P$2:P$801,$W46)))</f>
        <v/>
      </c>
      <c r="Q46" s="7">
        <f>IF($W46="","",IF(INDEX('Per Invoice'!Q$2:Q$801,$W46)="","",INDEX('Per Invoice'!Q$2:Q$801,$W46)))</f>
        <v/>
      </c>
      <c r="R46" s="7">
        <f>IF($W46="","",IF(INDEX('Per Invoice'!R$2:R$801,$W46)="","",INDEX('Per Invoice'!R$2:R$801,$W46)))</f>
        <v/>
      </c>
      <c r="S46" s="7">
        <f>IF($W46="","",IF(INDEX('Per Invoice'!S$2:S$801,$W46)="","",INDEX('Per Invoice'!S$2:S$801,$W46)))</f>
        <v/>
      </c>
      <c r="T46" s="7">
        <f>IF($W46="","",IF(INDEX('Per Invoice'!T$2:T$801,$W46)="","",INDEX('Per Invoice'!T$2:T$801,$W46)))</f>
        <v/>
      </c>
      <c r="U46" s="7">
        <f>IF($W46="","",IF(INDEX('Per Invoice'!U$2:U$801,$W46)="","",INDEX('Per Invoice'!U$2:U$801,$W46)))</f>
        <v/>
      </c>
      <c r="V46" s="7">
        <f>IF($W46="","",IF(INDEX('Per Invoice'!V$2:V$801,$W46)="","",INDEX('Per Invoice'!V$2:V$801,$W46)))</f>
        <v/>
      </c>
      <c r="W46" s="16">
        <f>IFERROR(MATCH(Settings!$C$28&amp;"|"&amp;ROWS($W$2:$W46),'Per Invoice'!$X$2:$X$801,0),"")</f>
        <v/>
      </c>
    </row>
    <row r="47">
      <c r="A47">
        <f>IF($W47="","",IF(INDEX('Per Invoice'!A$2:A$801,$W47)="","",INDEX('Per Invoice'!A$2:A$801,$W47)))</f>
        <v/>
      </c>
      <c r="B47">
        <f>IF($W47="","",IF(INDEX('Per Invoice'!B$2:B$801,$W47)="","",INDEX('Per Invoice'!B$2:B$801,$W47)))</f>
        <v/>
      </c>
      <c r="C47">
        <f>IF($W47="","",IF(INDEX('Per Invoice'!C$2:C$801,$W47)="","",INDEX('Per Invoice'!C$2:C$801,$W47)))</f>
        <v/>
      </c>
      <c r="D47">
        <f>IF($W47="","",IF(INDEX('Per Invoice'!D$2:D$801,$W47)="","",INDEX('Per Invoice'!D$2:D$801,$W47)))</f>
        <v/>
      </c>
      <c r="E47">
        <f>IF($W47="","",IF(INDEX('Per Invoice'!E$2:E$801,$W47)="","",INDEX('Per Invoice'!E$2:E$801,$W47)))</f>
        <v/>
      </c>
      <c r="F47">
        <f>IF($W47="","",IF(INDEX('Per Invoice'!F$2:F$801,$W47)="","",INDEX('Per Invoice'!F$2:F$801,$W47)))</f>
        <v/>
      </c>
      <c r="G47">
        <f>IF($W47="","",IF(INDEX('Per Invoice'!G$2:G$801,$W47)="","",INDEX('Per Invoice'!G$2:G$801,$W47)))</f>
        <v/>
      </c>
      <c r="H47">
        <f>IF($W47="","",IF(INDEX('Per Invoice'!H$2:H$801,$W47)="","",INDEX('Per Invoice'!H$2:H$801,$W47)))</f>
        <v/>
      </c>
      <c r="I47">
        <f>IF($W47="","",IF(INDEX('Per Invoice'!I$2:I$801,$W47)="","",INDEX('Per Invoice'!I$2:I$801,$W47)))</f>
        <v/>
      </c>
      <c r="J47">
        <f>IF($W47="","",IF(INDEX('Per Invoice'!J$2:J$801,$W47)="","",INDEX('Per Invoice'!J$2:J$801,$W47)))</f>
        <v/>
      </c>
      <c r="K47" s="7">
        <f>IF($W47="","",IF(INDEX('Per Invoice'!K$2:K$801,$W47)="","",INDEX('Per Invoice'!K$2:K$801,$W47)))</f>
        <v/>
      </c>
      <c r="L47" s="14">
        <f>IF($W47="","",IF(INDEX('Per Invoice'!L$2:L$801,$W47)="","",INDEX('Per Invoice'!L$2:L$801,$W47)))</f>
        <v/>
      </c>
      <c r="M47">
        <f>IF($W47="","",IF(INDEX('Per Invoice'!M$2:M$801,$W47)="","",INDEX('Per Invoice'!M$2:M$801,$W47)))</f>
        <v/>
      </c>
      <c r="N47" s="7">
        <f>IF($W47="","",IF(INDEX('Per Invoice'!N$2:N$801,$W47)="","",INDEX('Per Invoice'!N$2:N$801,$W47)))</f>
        <v/>
      </c>
      <c r="O47" s="7">
        <f>IF($W47="","",IF(INDEX('Per Invoice'!O$2:O$801,$W47)="","",INDEX('Per Invoice'!O$2:O$801,$W47)))</f>
        <v/>
      </c>
      <c r="P47">
        <f>IF($W47="","",IF(INDEX('Per Invoice'!P$2:P$801,$W47)="","",INDEX('Per Invoice'!P$2:P$801,$W47)))</f>
        <v/>
      </c>
      <c r="Q47" s="7">
        <f>IF($W47="","",IF(INDEX('Per Invoice'!Q$2:Q$801,$W47)="","",INDEX('Per Invoice'!Q$2:Q$801,$W47)))</f>
        <v/>
      </c>
      <c r="R47" s="7">
        <f>IF($W47="","",IF(INDEX('Per Invoice'!R$2:R$801,$W47)="","",INDEX('Per Invoice'!R$2:R$801,$W47)))</f>
        <v/>
      </c>
      <c r="S47" s="7">
        <f>IF($W47="","",IF(INDEX('Per Invoice'!S$2:S$801,$W47)="","",INDEX('Per Invoice'!S$2:S$801,$W47)))</f>
        <v/>
      </c>
      <c r="T47" s="7">
        <f>IF($W47="","",IF(INDEX('Per Invoice'!T$2:T$801,$W47)="","",INDEX('Per Invoice'!T$2:T$801,$W47)))</f>
        <v/>
      </c>
      <c r="U47" s="7">
        <f>IF($W47="","",IF(INDEX('Per Invoice'!U$2:U$801,$W47)="","",INDEX('Per Invoice'!U$2:U$801,$W47)))</f>
        <v/>
      </c>
      <c r="V47" s="7">
        <f>IF($W47="","",IF(INDEX('Per Invoice'!V$2:V$801,$W47)="","",INDEX('Per Invoice'!V$2:V$801,$W47)))</f>
        <v/>
      </c>
      <c r="W47" s="16">
        <f>IFERROR(MATCH(Settings!$C$28&amp;"|"&amp;ROWS($W$2:$W47),'Per Invoice'!$X$2:$X$801,0),"")</f>
        <v/>
      </c>
    </row>
    <row r="48">
      <c r="A48">
        <f>IF($W48="","",IF(INDEX('Per Invoice'!A$2:A$801,$W48)="","",INDEX('Per Invoice'!A$2:A$801,$W48)))</f>
        <v/>
      </c>
      <c r="B48">
        <f>IF($W48="","",IF(INDEX('Per Invoice'!B$2:B$801,$W48)="","",INDEX('Per Invoice'!B$2:B$801,$W48)))</f>
        <v/>
      </c>
      <c r="C48">
        <f>IF($W48="","",IF(INDEX('Per Invoice'!C$2:C$801,$W48)="","",INDEX('Per Invoice'!C$2:C$801,$W48)))</f>
        <v/>
      </c>
      <c r="D48">
        <f>IF($W48="","",IF(INDEX('Per Invoice'!D$2:D$801,$W48)="","",INDEX('Per Invoice'!D$2:D$801,$W48)))</f>
        <v/>
      </c>
      <c r="E48">
        <f>IF($W48="","",IF(INDEX('Per Invoice'!E$2:E$801,$W48)="","",INDEX('Per Invoice'!E$2:E$801,$W48)))</f>
        <v/>
      </c>
      <c r="F48">
        <f>IF($W48="","",IF(INDEX('Per Invoice'!F$2:F$801,$W48)="","",INDEX('Per Invoice'!F$2:F$801,$W48)))</f>
        <v/>
      </c>
      <c r="G48">
        <f>IF($W48="","",IF(INDEX('Per Invoice'!G$2:G$801,$W48)="","",INDEX('Per Invoice'!G$2:G$801,$W48)))</f>
        <v/>
      </c>
      <c r="H48">
        <f>IF($W48="","",IF(INDEX('Per Invoice'!H$2:H$801,$W48)="","",INDEX('Per Invoice'!H$2:H$801,$W48)))</f>
        <v/>
      </c>
      <c r="I48">
        <f>IF($W48="","",IF(INDEX('Per Invoice'!I$2:I$801,$W48)="","",INDEX('Per Invoice'!I$2:I$801,$W48)))</f>
        <v/>
      </c>
      <c r="J48">
        <f>IF($W48="","",IF(INDEX('Per Invoice'!J$2:J$801,$W48)="","",INDEX('Per Invoice'!J$2:J$801,$W48)))</f>
        <v/>
      </c>
      <c r="K48" s="7">
        <f>IF($W48="","",IF(INDEX('Per Invoice'!K$2:K$801,$W48)="","",INDEX('Per Invoice'!K$2:K$801,$W48)))</f>
        <v/>
      </c>
      <c r="L48" s="14">
        <f>IF($W48="","",IF(INDEX('Per Invoice'!L$2:L$801,$W48)="","",INDEX('Per Invoice'!L$2:L$801,$W48)))</f>
        <v/>
      </c>
      <c r="M48">
        <f>IF($W48="","",IF(INDEX('Per Invoice'!M$2:M$801,$W48)="","",INDEX('Per Invoice'!M$2:M$801,$W48)))</f>
        <v/>
      </c>
      <c r="N48" s="7">
        <f>IF($W48="","",IF(INDEX('Per Invoice'!N$2:N$801,$W48)="","",INDEX('Per Invoice'!N$2:N$801,$W48)))</f>
        <v/>
      </c>
      <c r="O48" s="7">
        <f>IF($W48="","",IF(INDEX('Per Invoice'!O$2:O$801,$W48)="","",INDEX('Per Invoice'!O$2:O$801,$W48)))</f>
        <v/>
      </c>
      <c r="P48">
        <f>IF($W48="","",IF(INDEX('Per Invoice'!P$2:P$801,$W48)="","",INDEX('Per Invoice'!P$2:P$801,$W48)))</f>
        <v/>
      </c>
      <c r="Q48" s="7">
        <f>IF($W48="","",IF(INDEX('Per Invoice'!Q$2:Q$801,$W48)="","",INDEX('Per Invoice'!Q$2:Q$801,$W48)))</f>
        <v/>
      </c>
      <c r="R48" s="7">
        <f>IF($W48="","",IF(INDEX('Per Invoice'!R$2:R$801,$W48)="","",INDEX('Per Invoice'!R$2:R$801,$W48)))</f>
        <v/>
      </c>
      <c r="S48" s="7">
        <f>IF($W48="","",IF(INDEX('Per Invoice'!S$2:S$801,$W48)="","",INDEX('Per Invoice'!S$2:S$801,$W48)))</f>
        <v/>
      </c>
      <c r="T48" s="7">
        <f>IF($W48="","",IF(INDEX('Per Invoice'!T$2:T$801,$W48)="","",INDEX('Per Invoice'!T$2:T$801,$W48)))</f>
        <v/>
      </c>
      <c r="U48" s="7">
        <f>IF($W48="","",IF(INDEX('Per Invoice'!U$2:U$801,$W48)="","",INDEX('Per Invoice'!U$2:U$801,$W48)))</f>
        <v/>
      </c>
      <c r="V48" s="7">
        <f>IF($W48="","",IF(INDEX('Per Invoice'!V$2:V$801,$W48)="","",INDEX('Per Invoice'!V$2:V$801,$W48)))</f>
        <v/>
      </c>
      <c r="W48" s="16">
        <f>IFERROR(MATCH(Settings!$C$28&amp;"|"&amp;ROWS($W$2:$W48),'Per Invoice'!$X$2:$X$801,0),"")</f>
        <v/>
      </c>
    </row>
    <row r="49">
      <c r="A49">
        <f>IF($W49="","",IF(INDEX('Per Invoice'!A$2:A$801,$W49)="","",INDEX('Per Invoice'!A$2:A$801,$W49)))</f>
        <v/>
      </c>
      <c r="B49">
        <f>IF($W49="","",IF(INDEX('Per Invoice'!B$2:B$801,$W49)="","",INDEX('Per Invoice'!B$2:B$801,$W49)))</f>
        <v/>
      </c>
      <c r="C49">
        <f>IF($W49="","",IF(INDEX('Per Invoice'!C$2:C$801,$W49)="","",INDEX('Per Invoice'!C$2:C$801,$W49)))</f>
        <v/>
      </c>
      <c r="D49">
        <f>IF($W49="","",IF(INDEX('Per Invoice'!D$2:D$801,$W49)="","",INDEX('Per Invoice'!D$2:D$801,$W49)))</f>
        <v/>
      </c>
      <c r="E49">
        <f>IF($W49="","",IF(INDEX('Per Invoice'!E$2:E$801,$W49)="","",INDEX('Per Invoice'!E$2:E$801,$W49)))</f>
        <v/>
      </c>
      <c r="F49">
        <f>IF($W49="","",IF(INDEX('Per Invoice'!F$2:F$801,$W49)="","",INDEX('Per Invoice'!F$2:F$801,$W49)))</f>
        <v/>
      </c>
      <c r="G49">
        <f>IF($W49="","",IF(INDEX('Per Invoice'!G$2:G$801,$W49)="","",INDEX('Per Invoice'!G$2:G$801,$W49)))</f>
        <v/>
      </c>
      <c r="H49">
        <f>IF($W49="","",IF(INDEX('Per Invoice'!H$2:H$801,$W49)="","",INDEX('Per Invoice'!H$2:H$801,$W49)))</f>
        <v/>
      </c>
      <c r="I49">
        <f>IF($W49="","",IF(INDEX('Per Invoice'!I$2:I$801,$W49)="","",INDEX('Per Invoice'!I$2:I$801,$W49)))</f>
        <v/>
      </c>
      <c r="J49">
        <f>IF($W49="","",IF(INDEX('Per Invoice'!J$2:J$801,$W49)="","",INDEX('Per Invoice'!J$2:J$801,$W49)))</f>
        <v/>
      </c>
      <c r="K49" s="7">
        <f>IF($W49="","",IF(INDEX('Per Invoice'!K$2:K$801,$W49)="","",INDEX('Per Invoice'!K$2:K$801,$W49)))</f>
        <v/>
      </c>
      <c r="L49" s="14">
        <f>IF($W49="","",IF(INDEX('Per Invoice'!L$2:L$801,$W49)="","",INDEX('Per Invoice'!L$2:L$801,$W49)))</f>
        <v/>
      </c>
      <c r="M49">
        <f>IF($W49="","",IF(INDEX('Per Invoice'!M$2:M$801,$W49)="","",INDEX('Per Invoice'!M$2:M$801,$W49)))</f>
        <v/>
      </c>
      <c r="N49" s="7">
        <f>IF($W49="","",IF(INDEX('Per Invoice'!N$2:N$801,$W49)="","",INDEX('Per Invoice'!N$2:N$801,$W49)))</f>
        <v/>
      </c>
      <c r="O49" s="7">
        <f>IF($W49="","",IF(INDEX('Per Invoice'!O$2:O$801,$W49)="","",INDEX('Per Invoice'!O$2:O$801,$W49)))</f>
        <v/>
      </c>
      <c r="P49">
        <f>IF($W49="","",IF(INDEX('Per Invoice'!P$2:P$801,$W49)="","",INDEX('Per Invoice'!P$2:P$801,$W49)))</f>
        <v/>
      </c>
      <c r="Q49" s="7">
        <f>IF($W49="","",IF(INDEX('Per Invoice'!Q$2:Q$801,$W49)="","",INDEX('Per Invoice'!Q$2:Q$801,$W49)))</f>
        <v/>
      </c>
      <c r="R49" s="7">
        <f>IF($W49="","",IF(INDEX('Per Invoice'!R$2:R$801,$W49)="","",INDEX('Per Invoice'!R$2:R$801,$W49)))</f>
        <v/>
      </c>
      <c r="S49" s="7">
        <f>IF($W49="","",IF(INDEX('Per Invoice'!S$2:S$801,$W49)="","",INDEX('Per Invoice'!S$2:S$801,$W49)))</f>
        <v/>
      </c>
      <c r="T49" s="7">
        <f>IF($W49="","",IF(INDEX('Per Invoice'!T$2:T$801,$W49)="","",INDEX('Per Invoice'!T$2:T$801,$W49)))</f>
        <v/>
      </c>
      <c r="U49" s="7">
        <f>IF($W49="","",IF(INDEX('Per Invoice'!U$2:U$801,$W49)="","",INDEX('Per Invoice'!U$2:U$801,$W49)))</f>
        <v/>
      </c>
      <c r="V49" s="7">
        <f>IF($W49="","",IF(INDEX('Per Invoice'!V$2:V$801,$W49)="","",INDEX('Per Invoice'!V$2:V$801,$W49)))</f>
        <v/>
      </c>
      <c r="W49" s="16">
        <f>IFERROR(MATCH(Settings!$C$28&amp;"|"&amp;ROWS($W$2:$W49),'Per Invoice'!$X$2:$X$801,0),"")</f>
        <v/>
      </c>
    </row>
    <row r="50">
      <c r="A50">
        <f>IF($W50="","",IF(INDEX('Per Invoice'!A$2:A$801,$W50)="","",INDEX('Per Invoice'!A$2:A$801,$W50)))</f>
        <v/>
      </c>
      <c r="B50">
        <f>IF($W50="","",IF(INDEX('Per Invoice'!B$2:B$801,$W50)="","",INDEX('Per Invoice'!B$2:B$801,$W50)))</f>
        <v/>
      </c>
      <c r="C50">
        <f>IF($W50="","",IF(INDEX('Per Invoice'!C$2:C$801,$W50)="","",INDEX('Per Invoice'!C$2:C$801,$W50)))</f>
        <v/>
      </c>
      <c r="D50">
        <f>IF($W50="","",IF(INDEX('Per Invoice'!D$2:D$801,$W50)="","",INDEX('Per Invoice'!D$2:D$801,$W50)))</f>
        <v/>
      </c>
      <c r="E50">
        <f>IF($W50="","",IF(INDEX('Per Invoice'!E$2:E$801,$W50)="","",INDEX('Per Invoice'!E$2:E$801,$W50)))</f>
        <v/>
      </c>
      <c r="F50">
        <f>IF($W50="","",IF(INDEX('Per Invoice'!F$2:F$801,$W50)="","",INDEX('Per Invoice'!F$2:F$801,$W50)))</f>
        <v/>
      </c>
      <c r="G50">
        <f>IF($W50="","",IF(INDEX('Per Invoice'!G$2:G$801,$W50)="","",INDEX('Per Invoice'!G$2:G$801,$W50)))</f>
        <v/>
      </c>
      <c r="H50">
        <f>IF($W50="","",IF(INDEX('Per Invoice'!H$2:H$801,$W50)="","",INDEX('Per Invoice'!H$2:H$801,$W50)))</f>
        <v/>
      </c>
      <c r="I50">
        <f>IF($W50="","",IF(INDEX('Per Invoice'!I$2:I$801,$W50)="","",INDEX('Per Invoice'!I$2:I$801,$W50)))</f>
        <v/>
      </c>
      <c r="J50">
        <f>IF($W50="","",IF(INDEX('Per Invoice'!J$2:J$801,$W50)="","",INDEX('Per Invoice'!J$2:J$801,$W50)))</f>
        <v/>
      </c>
      <c r="K50" s="7">
        <f>IF($W50="","",IF(INDEX('Per Invoice'!K$2:K$801,$W50)="","",INDEX('Per Invoice'!K$2:K$801,$W50)))</f>
        <v/>
      </c>
      <c r="L50" s="14">
        <f>IF($W50="","",IF(INDEX('Per Invoice'!L$2:L$801,$W50)="","",INDEX('Per Invoice'!L$2:L$801,$W50)))</f>
        <v/>
      </c>
      <c r="M50">
        <f>IF($W50="","",IF(INDEX('Per Invoice'!M$2:M$801,$W50)="","",INDEX('Per Invoice'!M$2:M$801,$W50)))</f>
        <v/>
      </c>
      <c r="N50" s="7">
        <f>IF($W50="","",IF(INDEX('Per Invoice'!N$2:N$801,$W50)="","",INDEX('Per Invoice'!N$2:N$801,$W50)))</f>
        <v/>
      </c>
      <c r="O50" s="7">
        <f>IF($W50="","",IF(INDEX('Per Invoice'!O$2:O$801,$W50)="","",INDEX('Per Invoice'!O$2:O$801,$W50)))</f>
        <v/>
      </c>
      <c r="P50">
        <f>IF($W50="","",IF(INDEX('Per Invoice'!P$2:P$801,$W50)="","",INDEX('Per Invoice'!P$2:P$801,$W50)))</f>
        <v/>
      </c>
      <c r="Q50" s="7">
        <f>IF($W50="","",IF(INDEX('Per Invoice'!Q$2:Q$801,$W50)="","",INDEX('Per Invoice'!Q$2:Q$801,$W50)))</f>
        <v/>
      </c>
      <c r="R50" s="7">
        <f>IF($W50="","",IF(INDEX('Per Invoice'!R$2:R$801,$W50)="","",INDEX('Per Invoice'!R$2:R$801,$W50)))</f>
        <v/>
      </c>
      <c r="S50" s="7">
        <f>IF($W50="","",IF(INDEX('Per Invoice'!S$2:S$801,$W50)="","",INDEX('Per Invoice'!S$2:S$801,$W50)))</f>
        <v/>
      </c>
      <c r="T50" s="7">
        <f>IF($W50="","",IF(INDEX('Per Invoice'!T$2:T$801,$W50)="","",INDEX('Per Invoice'!T$2:T$801,$W50)))</f>
        <v/>
      </c>
      <c r="U50" s="7">
        <f>IF($W50="","",IF(INDEX('Per Invoice'!U$2:U$801,$W50)="","",INDEX('Per Invoice'!U$2:U$801,$W50)))</f>
        <v/>
      </c>
      <c r="V50" s="7">
        <f>IF($W50="","",IF(INDEX('Per Invoice'!V$2:V$801,$W50)="","",INDEX('Per Invoice'!V$2:V$801,$W50)))</f>
        <v/>
      </c>
      <c r="W50" s="16">
        <f>IFERROR(MATCH(Settings!$C$28&amp;"|"&amp;ROWS($W$2:$W50),'Per Invoice'!$X$2:$X$801,0),"")</f>
        <v/>
      </c>
    </row>
    <row r="51">
      <c r="A51">
        <f>IF($W51="","",IF(INDEX('Per Invoice'!A$2:A$801,$W51)="","",INDEX('Per Invoice'!A$2:A$801,$W51)))</f>
        <v/>
      </c>
      <c r="B51">
        <f>IF($W51="","",IF(INDEX('Per Invoice'!B$2:B$801,$W51)="","",INDEX('Per Invoice'!B$2:B$801,$W51)))</f>
        <v/>
      </c>
      <c r="C51">
        <f>IF($W51="","",IF(INDEX('Per Invoice'!C$2:C$801,$W51)="","",INDEX('Per Invoice'!C$2:C$801,$W51)))</f>
        <v/>
      </c>
      <c r="D51">
        <f>IF($W51="","",IF(INDEX('Per Invoice'!D$2:D$801,$W51)="","",INDEX('Per Invoice'!D$2:D$801,$W51)))</f>
        <v/>
      </c>
      <c r="E51">
        <f>IF($W51="","",IF(INDEX('Per Invoice'!E$2:E$801,$W51)="","",INDEX('Per Invoice'!E$2:E$801,$W51)))</f>
        <v/>
      </c>
      <c r="F51">
        <f>IF($W51="","",IF(INDEX('Per Invoice'!F$2:F$801,$W51)="","",INDEX('Per Invoice'!F$2:F$801,$W51)))</f>
        <v/>
      </c>
      <c r="G51">
        <f>IF($W51="","",IF(INDEX('Per Invoice'!G$2:G$801,$W51)="","",INDEX('Per Invoice'!G$2:G$801,$W51)))</f>
        <v/>
      </c>
      <c r="H51">
        <f>IF($W51="","",IF(INDEX('Per Invoice'!H$2:H$801,$W51)="","",INDEX('Per Invoice'!H$2:H$801,$W51)))</f>
        <v/>
      </c>
      <c r="I51">
        <f>IF($W51="","",IF(INDEX('Per Invoice'!I$2:I$801,$W51)="","",INDEX('Per Invoice'!I$2:I$801,$W51)))</f>
        <v/>
      </c>
      <c r="J51">
        <f>IF($W51="","",IF(INDEX('Per Invoice'!J$2:J$801,$W51)="","",INDEX('Per Invoice'!J$2:J$801,$W51)))</f>
        <v/>
      </c>
      <c r="K51" s="7">
        <f>IF($W51="","",IF(INDEX('Per Invoice'!K$2:K$801,$W51)="","",INDEX('Per Invoice'!K$2:K$801,$W51)))</f>
        <v/>
      </c>
      <c r="L51" s="14">
        <f>IF($W51="","",IF(INDEX('Per Invoice'!L$2:L$801,$W51)="","",INDEX('Per Invoice'!L$2:L$801,$W51)))</f>
        <v/>
      </c>
      <c r="M51">
        <f>IF($W51="","",IF(INDEX('Per Invoice'!M$2:M$801,$W51)="","",INDEX('Per Invoice'!M$2:M$801,$W51)))</f>
        <v/>
      </c>
      <c r="N51" s="7">
        <f>IF($W51="","",IF(INDEX('Per Invoice'!N$2:N$801,$W51)="","",INDEX('Per Invoice'!N$2:N$801,$W51)))</f>
        <v/>
      </c>
      <c r="O51" s="7">
        <f>IF($W51="","",IF(INDEX('Per Invoice'!O$2:O$801,$W51)="","",INDEX('Per Invoice'!O$2:O$801,$W51)))</f>
        <v/>
      </c>
      <c r="P51">
        <f>IF($W51="","",IF(INDEX('Per Invoice'!P$2:P$801,$W51)="","",INDEX('Per Invoice'!P$2:P$801,$W51)))</f>
        <v/>
      </c>
      <c r="Q51" s="7">
        <f>IF($W51="","",IF(INDEX('Per Invoice'!Q$2:Q$801,$W51)="","",INDEX('Per Invoice'!Q$2:Q$801,$W51)))</f>
        <v/>
      </c>
      <c r="R51" s="7">
        <f>IF($W51="","",IF(INDEX('Per Invoice'!R$2:R$801,$W51)="","",INDEX('Per Invoice'!R$2:R$801,$W51)))</f>
        <v/>
      </c>
      <c r="S51" s="7">
        <f>IF($W51="","",IF(INDEX('Per Invoice'!S$2:S$801,$W51)="","",INDEX('Per Invoice'!S$2:S$801,$W51)))</f>
        <v/>
      </c>
      <c r="T51" s="7">
        <f>IF($W51="","",IF(INDEX('Per Invoice'!T$2:T$801,$W51)="","",INDEX('Per Invoice'!T$2:T$801,$W51)))</f>
        <v/>
      </c>
      <c r="U51" s="7">
        <f>IF($W51="","",IF(INDEX('Per Invoice'!U$2:U$801,$W51)="","",INDEX('Per Invoice'!U$2:U$801,$W51)))</f>
        <v/>
      </c>
      <c r="V51" s="7">
        <f>IF($W51="","",IF(INDEX('Per Invoice'!V$2:V$801,$W51)="","",INDEX('Per Invoice'!V$2:V$801,$W51)))</f>
        <v/>
      </c>
      <c r="W51" s="16">
        <f>IFERROR(MATCH(Settings!$C$28&amp;"|"&amp;ROWS($W$2:$W51),'Per Invoice'!$X$2:$X$801,0),"")</f>
        <v/>
      </c>
    </row>
    <row r="52">
      <c r="A52">
        <f>IF($W52="","",IF(INDEX('Per Invoice'!A$2:A$801,$W52)="","",INDEX('Per Invoice'!A$2:A$801,$W52)))</f>
        <v/>
      </c>
      <c r="B52">
        <f>IF($W52="","",IF(INDEX('Per Invoice'!B$2:B$801,$W52)="","",INDEX('Per Invoice'!B$2:B$801,$W52)))</f>
        <v/>
      </c>
      <c r="C52">
        <f>IF($W52="","",IF(INDEX('Per Invoice'!C$2:C$801,$W52)="","",INDEX('Per Invoice'!C$2:C$801,$W52)))</f>
        <v/>
      </c>
      <c r="D52">
        <f>IF($W52="","",IF(INDEX('Per Invoice'!D$2:D$801,$W52)="","",INDEX('Per Invoice'!D$2:D$801,$W52)))</f>
        <v/>
      </c>
      <c r="E52">
        <f>IF($W52="","",IF(INDEX('Per Invoice'!E$2:E$801,$W52)="","",INDEX('Per Invoice'!E$2:E$801,$W52)))</f>
        <v/>
      </c>
      <c r="F52">
        <f>IF($W52="","",IF(INDEX('Per Invoice'!F$2:F$801,$W52)="","",INDEX('Per Invoice'!F$2:F$801,$W52)))</f>
        <v/>
      </c>
      <c r="G52">
        <f>IF($W52="","",IF(INDEX('Per Invoice'!G$2:G$801,$W52)="","",INDEX('Per Invoice'!G$2:G$801,$W52)))</f>
        <v/>
      </c>
      <c r="H52">
        <f>IF($W52="","",IF(INDEX('Per Invoice'!H$2:H$801,$W52)="","",INDEX('Per Invoice'!H$2:H$801,$W52)))</f>
        <v/>
      </c>
      <c r="I52">
        <f>IF($W52="","",IF(INDEX('Per Invoice'!I$2:I$801,$W52)="","",INDEX('Per Invoice'!I$2:I$801,$W52)))</f>
        <v/>
      </c>
      <c r="J52">
        <f>IF($W52="","",IF(INDEX('Per Invoice'!J$2:J$801,$W52)="","",INDEX('Per Invoice'!J$2:J$801,$W52)))</f>
        <v/>
      </c>
      <c r="K52" s="7">
        <f>IF($W52="","",IF(INDEX('Per Invoice'!K$2:K$801,$W52)="","",INDEX('Per Invoice'!K$2:K$801,$W52)))</f>
        <v/>
      </c>
      <c r="L52" s="14">
        <f>IF($W52="","",IF(INDEX('Per Invoice'!L$2:L$801,$W52)="","",INDEX('Per Invoice'!L$2:L$801,$W52)))</f>
        <v/>
      </c>
      <c r="M52">
        <f>IF($W52="","",IF(INDEX('Per Invoice'!M$2:M$801,$W52)="","",INDEX('Per Invoice'!M$2:M$801,$W52)))</f>
        <v/>
      </c>
      <c r="N52" s="7">
        <f>IF($W52="","",IF(INDEX('Per Invoice'!N$2:N$801,$W52)="","",INDEX('Per Invoice'!N$2:N$801,$W52)))</f>
        <v/>
      </c>
      <c r="O52" s="7">
        <f>IF($W52="","",IF(INDEX('Per Invoice'!O$2:O$801,$W52)="","",INDEX('Per Invoice'!O$2:O$801,$W52)))</f>
        <v/>
      </c>
      <c r="P52">
        <f>IF($W52="","",IF(INDEX('Per Invoice'!P$2:P$801,$W52)="","",INDEX('Per Invoice'!P$2:P$801,$W52)))</f>
        <v/>
      </c>
      <c r="Q52" s="7">
        <f>IF($W52="","",IF(INDEX('Per Invoice'!Q$2:Q$801,$W52)="","",INDEX('Per Invoice'!Q$2:Q$801,$W52)))</f>
        <v/>
      </c>
      <c r="R52" s="7">
        <f>IF($W52="","",IF(INDEX('Per Invoice'!R$2:R$801,$W52)="","",INDEX('Per Invoice'!R$2:R$801,$W52)))</f>
        <v/>
      </c>
      <c r="S52" s="7">
        <f>IF($W52="","",IF(INDEX('Per Invoice'!S$2:S$801,$W52)="","",INDEX('Per Invoice'!S$2:S$801,$W52)))</f>
        <v/>
      </c>
      <c r="T52" s="7">
        <f>IF($W52="","",IF(INDEX('Per Invoice'!T$2:T$801,$W52)="","",INDEX('Per Invoice'!T$2:T$801,$W52)))</f>
        <v/>
      </c>
      <c r="U52" s="7">
        <f>IF($W52="","",IF(INDEX('Per Invoice'!U$2:U$801,$W52)="","",INDEX('Per Invoice'!U$2:U$801,$W52)))</f>
        <v/>
      </c>
      <c r="V52" s="7">
        <f>IF($W52="","",IF(INDEX('Per Invoice'!V$2:V$801,$W52)="","",INDEX('Per Invoice'!V$2:V$801,$W52)))</f>
        <v/>
      </c>
      <c r="W52" s="16">
        <f>IFERROR(MATCH(Settings!$C$28&amp;"|"&amp;ROWS($W$2:$W52),'Per Invoice'!$X$2:$X$801,0),"")</f>
        <v/>
      </c>
    </row>
    <row r="53">
      <c r="A53">
        <f>IF($W53="","",IF(INDEX('Per Invoice'!A$2:A$801,$W53)="","",INDEX('Per Invoice'!A$2:A$801,$W53)))</f>
        <v/>
      </c>
      <c r="B53">
        <f>IF($W53="","",IF(INDEX('Per Invoice'!B$2:B$801,$W53)="","",INDEX('Per Invoice'!B$2:B$801,$W53)))</f>
        <v/>
      </c>
      <c r="C53">
        <f>IF($W53="","",IF(INDEX('Per Invoice'!C$2:C$801,$W53)="","",INDEX('Per Invoice'!C$2:C$801,$W53)))</f>
        <v/>
      </c>
      <c r="D53">
        <f>IF($W53="","",IF(INDEX('Per Invoice'!D$2:D$801,$W53)="","",INDEX('Per Invoice'!D$2:D$801,$W53)))</f>
        <v/>
      </c>
      <c r="E53">
        <f>IF($W53="","",IF(INDEX('Per Invoice'!E$2:E$801,$W53)="","",INDEX('Per Invoice'!E$2:E$801,$W53)))</f>
        <v/>
      </c>
      <c r="F53">
        <f>IF($W53="","",IF(INDEX('Per Invoice'!F$2:F$801,$W53)="","",INDEX('Per Invoice'!F$2:F$801,$W53)))</f>
        <v/>
      </c>
      <c r="G53">
        <f>IF($W53="","",IF(INDEX('Per Invoice'!G$2:G$801,$W53)="","",INDEX('Per Invoice'!G$2:G$801,$W53)))</f>
        <v/>
      </c>
      <c r="H53">
        <f>IF($W53="","",IF(INDEX('Per Invoice'!H$2:H$801,$W53)="","",INDEX('Per Invoice'!H$2:H$801,$W53)))</f>
        <v/>
      </c>
      <c r="I53">
        <f>IF($W53="","",IF(INDEX('Per Invoice'!I$2:I$801,$W53)="","",INDEX('Per Invoice'!I$2:I$801,$W53)))</f>
        <v/>
      </c>
      <c r="J53">
        <f>IF($W53="","",IF(INDEX('Per Invoice'!J$2:J$801,$W53)="","",INDEX('Per Invoice'!J$2:J$801,$W53)))</f>
        <v/>
      </c>
      <c r="K53" s="7">
        <f>IF($W53="","",IF(INDEX('Per Invoice'!K$2:K$801,$W53)="","",INDEX('Per Invoice'!K$2:K$801,$W53)))</f>
        <v/>
      </c>
      <c r="L53" s="14">
        <f>IF($W53="","",IF(INDEX('Per Invoice'!L$2:L$801,$W53)="","",INDEX('Per Invoice'!L$2:L$801,$W53)))</f>
        <v/>
      </c>
      <c r="M53">
        <f>IF($W53="","",IF(INDEX('Per Invoice'!M$2:M$801,$W53)="","",INDEX('Per Invoice'!M$2:M$801,$W53)))</f>
        <v/>
      </c>
      <c r="N53" s="7">
        <f>IF($W53="","",IF(INDEX('Per Invoice'!N$2:N$801,$W53)="","",INDEX('Per Invoice'!N$2:N$801,$W53)))</f>
        <v/>
      </c>
      <c r="O53" s="7">
        <f>IF($W53="","",IF(INDEX('Per Invoice'!O$2:O$801,$W53)="","",INDEX('Per Invoice'!O$2:O$801,$W53)))</f>
        <v/>
      </c>
      <c r="P53">
        <f>IF($W53="","",IF(INDEX('Per Invoice'!P$2:P$801,$W53)="","",INDEX('Per Invoice'!P$2:P$801,$W53)))</f>
        <v/>
      </c>
      <c r="Q53" s="7">
        <f>IF($W53="","",IF(INDEX('Per Invoice'!Q$2:Q$801,$W53)="","",INDEX('Per Invoice'!Q$2:Q$801,$W53)))</f>
        <v/>
      </c>
      <c r="R53" s="7">
        <f>IF($W53="","",IF(INDEX('Per Invoice'!R$2:R$801,$W53)="","",INDEX('Per Invoice'!R$2:R$801,$W53)))</f>
        <v/>
      </c>
      <c r="S53" s="7">
        <f>IF($W53="","",IF(INDEX('Per Invoice'!S$2:S$801,$W53)="","",INDEX('Per Invoice'!S$2:S$801,$W53)))</f>
        <v/>
      </c>
      <c r="T53" s="7">
        <f>IF($W53="","",IF(INDEX('Per Invoice'!T$2:T$801,$W53)="","",INDEX('Per Invoice'!T$2:T$801,$W53)))</f>
        <v/>
      </c>
      <c r="U53" s="7">
        <f>IF($W53="","",IF(INDEX('Per Invoice'!U$2:U$801,$W53)="","",INDEX('Per Invoice'!U$2:U$801,$W53)))</f>
        <v/>
      </c>
      <c r="V53" s="7">
        <f>IF($W53="","",IF(INDEX('Per Invoice'!V$2:V$801,$W53)="","",INDEX('Per Invoice'!V$2:V$801,$W53)))</f>
        <v/>
      </c>
      <c r="W53" s="16">
        <f>IFERROR(MATCH(Settings!$C$28&amp;"|"&amp;ROWS($W$2:$W53),'Per Invoice'!$X$2:$X$801,0),"")</f>
        <v/>
      </c>
    </row>
    <row r="54">
      <c r="A54">
        <f>IF($W54="","",IF(INDEX('Per Invoice'!A$2:A$801,$W54)="","",INDEX('Per Invoice'!A$2:A$801,$W54)))</f>
        <v/>
      </c>
      <c r="B54">
        <f>IF($W54="","",IF(INDEX('Per Invoice'!B$2:B$801,$W54)="","",INDEX('Per Invoice'!B$2:B$801,$W54)))</f>
        <v/>
      </c>
      <c r="C54">
        <f>IF($W54="","",IF(INDEX('Per Invoice'!C$2:C$801,$W54)="","",INDEX('Per Invoice'!C$2:C$801,$W54)))</f>
        <v/>
      </c>
      <c r="D54">
        <f>IF($W54="","",IF(INDEX('Per Invoice'!D$2:D$801,$W54)="","",INDEX('Per Invoice'!D$2:D$801,$W54)))</f>
        <v/>
      </c>
      <c r="E54">
        <f>IF($W54="","",IF(INDEX('Per Invoice'!E$2:E$801,$W54)="","",INDEX('Per Invoice'!E$2:E$801,$W54)))</f>
        <v/>
      </c>
      <c r="F54">
        <f>IF($W54="","",IF(INDEX('Per Invoice'!F$2:F$801,$W54)="","",INDEX('Per Invoice'!F$2:F$801,$W54)))</f>
        <v/>
      </c>
      <c r="G54">
        <f>IF($W54="","",IF(INDEX('Per Invoice'!G$2:G$801,$W54)="","",INDEX('Per Invoice'!G$2:G$801,$W54)))</f>
        <v/>
      </c>
      <c r="H54">
        <f>IF($W54="","",IF(INDEX('Per Invoice'!H$2:H$801,$W54)="","",INDEX('Per Invoice'!H$2:H$801,$W54)))</f>
        <v/>
      </c>
      <c r="I54">
        <f>IF($W54="","",IF(INDEX('Per Invoice'!I$2:I$801,$W54)="","",INDEX('Per Invoice'!I$2:I$801,$W54)))</f>
        <v/>
      </c>
      <c r="J54">
        <f>IF($W54="","",IF(INDEX('Per Invoice'!J$2:J$801,$W54)="","",INDEX('Per Invoice'!J$2:J$801,$W54)))</f>
        <v/>
      </c>
      <c r="K54" s="7">
        <f>IF($W54="","",IF(INDEX('Per Invoice'!K$2:K$801,$W54)="","",INDEX('Per Invoice'!K$2:K$801,$W54)))</f>
        <v/>
      </c>
      <c r="L54" s="14">
        <f>IF($W54="","",IF(INDEX('Per Invoice'!L$2:L$801,$W54)="","",INDEX('Per Invoice'!L$2:L$801,$W54)))</f>
        <v/>
      </c>
      <c r="M54">
        <f>IF($W54="","",IF(INDEX('Per Invoice'!M$2:M$801,$W54)="","",INDEX('Per Invoice'!M$2:M$801,$W54)))</f>
        <v/>
      </c>
      <c r="N54" s="7">
        <f>IF($W54="","",IF(INDEX('Per Invoice'!N$2:N$801,$W54)="","",INDEX('Per Invoice'!N$2:N$801,$W54)))</f>
        <v/>
      </c>
      <c r="O54" s="7">
        <f>IF($W54="","",IF(INDEX('Per Invoice'!O$2:O$801,$W54)="","",INDEX('Per Invoice'!O$2:O$801,$W54)))</f>
        <v/>
      </c>
      <c r="P54">
        <f>IF($W54="","",IF(INDEX('Per Invoice'!P$2:P$801,$W54)="","",INDEX('Per Invoice'!P$2:P$801,$W54)))</f>
        <v/>
      </c>
      <c r="Q54" s="7">
        <f>IF($W54="","",IF(INDEX('Per Invoice'!Q$2:Q$801,$W54)="","",INDEX('Per Invoice'!Q$2:Q$801,$W54)))</f>
        <v/>
      </c>
      <c r="R54" s="7">
        <f>IF($W54="","",IF(INDEX('Per Invoice'!R$2:R$801,$W54)="","",INDEX('Per Invoice'!R$2:R$801,$W54)))</f>
        <v/>
      </c>
      <c r="S54" s="7">
        <f>IF($W54="","",IF(INDEX('Per Invoice'!S$2:S$801,$W54)="","",INDEX('Per Invoice'!S$2:S$801,$W54)))</f>
        <v/>
      </c>
      <c r="T54" s="7">
        <f>IF($W54="","",IF(INDEX('Per Invoice'!T$2:T$801,$W54)="","",INDEX('Per Invoice'!T$2:T$801,$W54)))</f>
        <v/>
      </c>
      <c r="U54" s="7">
        <f>IF($W54="","",IF(INDEX('Per Invoice'!U$2:U$801,$W54)="","",INDEX('Per Invoice'!U$2:U$801,$W54)))</f>
        <v/>
      </c>
      <c r="V54" s="7">
        <f>IF($W54="","",IF(INDEX('Per Invoice'!V$2:V$801,$W54)="","",INDEX('Per Invoice'!V$2:V$801,$W54)))</f>
        <v/>
      </c>
      <c r="W54" s="16">
        <f>IFERROR(MATCH(Settings!$C$28&amp;"|"&amp;ROWS($W$2:$W54),'Per Invoice'!$X$2:$X$801,0),"")</f>
        <v/>
      </c>
    </row>
    <row r="55">
      <c r="A55">
        <f>IF($W55="","",IF(INDEX('Per Invoice'!A$2:A$801,$W55)="","",INDEX('Per Invoice'!A$2:A$801,$W55)))</f>
        <v/>
      </c>
      <c r="B55">
        <f>IF($W55="","",IF(INDEX('Per Invoice'!B$2:B$801,$W55)="","",INDEX('Per Invoice'!B$2:B$801,$W55)))</f>
        <v/>
      </c>
      <c r="C55">
        <f>IF($W55="","",IF(INDEX('Per Invoice'!C$2:C$801,$W55)="","",INDEX('Per Invoice'!C$2:C$801,$W55)))</f>
        <v/>
      </c>
      <c r="D55">
        <f>IF($W55="","",IF(INDEX('Per Invoice'!D$2:D$801,$W55)="","",INDEX('Per Invoice'!D$2:D$801,$W55)))</f>
        <v/>
      </c>
      <c r="E55">
        <f>IF($W55="","",IF(INDEX('Per Invoice'!E$2:E$801,$W55)="","",INDEX('Per Invoice'!E$2:E$801,$W55)))</f>
        <v/>
      </c>
      <c r="F55">
        <f>IF($W55="","",IF(INDEX('Per Invoice'!F$2:F$801,$W55)="","",INDEX('Per Invoice'!F$2:F$801,$W55)))</f>
        <v/>
      </c>
      <c r="G55">
        <f>IF($W55="","",IF(INDEX('Per Invoice'!G$2:G$801,$W55)="","",INDEX('Per Invoice'!G$2:G$801,$W55)))</f>
        <v/>
      </c>
      <c r="H55">
        <f>IF($W55="","",IF(INDEX('Per Invoice'!H$2:H$801,$W55)="","",INDEX('Per Invoice'!H$2:H$801,$W55)))</f>
        <v/>
      </c>
      <c r="I55">
        <f>IF($W55="","",IF(INDEX('Per Invoice'!I$2:I$801,$W55)="","",INDEX('Per Invoice'!I$2:I$801,$W55)))</f>
        <v/>
      </c>
      <c r="J55">
        <f>IF($W55="","",IF(INDEX('Per Invoice'!J$2:J$801,$W55)="","",INDEX('Per Invoice'!J$2:J$801,$W55)))</f>
        <v/>
      </c>
      <c r="K55" s="7">
        <f>IF($W55="","",IF(INDEX('Per Invoice'!K$2:K$801,$W55)="","",INDEX('Per Invoice'!K$2:K$801,$W55)))</f>
        <v/>
      </c>
      <c r="L55" s="14">
        <f>IF($W55="","",IF(INDEX('Per Invoice'!L$2:L$801,$W55)="","",INDEX('Per Invoice'!L$2:L$801,$W55)))</f>
        <v/>
      </c>
      <c r="M55">
        <f>IF($W55="","",IF(INDEX('Per Invoice'!M$2:M$801,$W55)="","",INDEX('Per Invoice'!M$2:M$801,$W55)))</f>
        <v/>
      </c>
      <c r="N55" s="7">
        <f>IF($W55="","",IF(INDEX('Per Invoice'!N$2:N$801,$W55)="","",INDEX('Per Invoice'!N$2:N$801,$W55)))</f>
        <v/>
      </c>
      <c r="O55" s="7">
        <f>IF($W55="","",IF(INDEX('Per Invoice'!O$2:O$801,$W55)="","",INDEX('Per Invoice'!O$2:O$801,$W55)))</f>
        <v/>
      </c>
      <c r="P55">
        <f>IF($W55="","",IF(INDEX('Per Invoice'!P$2:P$801,$W55)="","",INDEX('Per Invoice'!P$2:P$801,$W55)))</f>
        <v/>
      </c>
      <c r="Q55" s="7">
        <f>IF($W55="","",IF(INDEX('Per Invoice'!Q$2:Q$801,$W55)="","",INDEX('Per Invoice'!Q$2:Q$801,$W55)))</f>
        <v/>
      </c>
      <c r="R55" s="7">
        <f>IF($W55="","",IF(INDEX('Per Invoice'!R$2:R$801,$W55)="","",INDEX('Per Invoice'!R$2:R$801,$W55)))</f>
        <v/>
      </c>
      <c r="S55" s="7">
        <f>IF($W55="","",IF(INDEX('Per Invoice'!S$2:S$801,$W55)="","",INDEX('Per Invoice'!S$2:S$801,$W55)))</f>
        <v/>
      </c>
      <c r="T55" s="7">
        <f>IF($W55="","",IF(INDEX('Per Invoice'!T$2:T$801,$W55)="","",INDEX('Per Invoice'!T$2:T$801,$W55)))</f>
        <v/>
      </c>
      <c r="U55" s="7">
        <f>IF($W55="","",IF(INDEX('Per Invoice'!U$2:U$801,$W55)="","",INDEX('Per Invoice'!U$2:U$801,$W55)))</f>
        <v/>
      </c>
      <c r="V55" s="7">
        <f>IF($W55="","",IF(INDEX('Per Invoice'!V$2:V$801,$W55)="","",INDEX('Per Invoice'!V$2:V$801,$W55)))</f>
        <v/>
      </c>
      <c r="W55" s="16">
        <f>IFERROR(MATCH(Settings!$C$28&amp;"|"&amp;ROWS($W$2:$W55),'Per Invoice'!$X$2:$X$801,0),"")</f>
        <v/>
      </c>
    </row>
    <row r="56">
      <c r="A56">
        <f>IF($W56="","",IF(INDEX('Per Invoice'!A$2:A$801,$W56)="","",INDEX('Per Invoice'!A$2:A$801,$W56)))</f>
        <v/>
      </c>
      <c r="B56">
        <f>IF($W56="","",IF(INDEX('Per Invoice'!B$2:B$801,$W56)="","",INDEX('Per Invoice'!B$2:B$801,$W56)))</f>
        <v/>
      </c>
      <c r="C56">
        <f>IF($W56="","",IF(INDEX('Per Invoice'!C$2:C$801,$W56)="","",INDEX('Per Invoice'!C$2:C$801,$W56)))</f>
        <v/>
      </c>
      <c r="D56">
        <f>IF($W56="","",IF(INDEX('Per Invoice'!D$2:D$801,$W56)="","",INDEX('Per Invoice'!D$2:D$801,$W56)))</f>
        <v/>
      </c>
      <c r="E56">
        <f>IF($W56="","",IF(INDEX('Per Invoice'!E$2:E$801,$W56)="","",INDEX('Per Invoice'!E$2:E$801,$W56)))</f>
        <v/>
      </c>
      <c r="F56">
        <f>IF($W56="","",IF(INDEX('Per Invoice'!F$2:F$801,$W56)="","",INDEX('Per Invoice'!F$2:F$801,$W56)))</f>
        <v/>
      </c>
      <c r="G56">
        <f>IF($W56="","",IF(INDEX('Per Invoice'!G$2:G$801,$W56)="","",INDEX('Per Invoice'!G$2:G$801,$W56)))</f>
        <v/>
      </c>
      <c r="H56">
        <f>IF($W56="","",IF(INDEX('Per Invoice'!H$2:H$801,$W56)="","",INDEX('Per Invoice'!H$2:H$801,$W56)))</f>
        <v/>
      </c>
      <c r="I56">
        <f>IF($W56="","",IF(INDEX('Per Invoice'!I$2:I$801,$W56)="","",INDEX('Per Invoice'!I$2:I$801,$W56)))</f>
        <v/>
      </c>
      <c r="J56">
        <f>IF($W56="","",IF(INDEX('Per Invoice'!J$2:J$801,$W56)="","",INDEX('Per Invoice'!J$2:J$801,$W56)))</f>
        <v/>
      </c>
      <c r="K56" s="7">
        <f>IF($W56="","",IF(INDEX('Per Invoice'!K$2:K$801,$W56)="","",INDEX('Per Invoice'!K$2:K$801,$W56)))</f>
        <v/>
      </c>
      <c r="L56" s="14">
        <f>IF($W56="","",IF(INDEX('Per Invoice'!L$2:L$801,$W56)="","",INDEX('Per Invoice'!L$2:L$801,$W56)))</f>
        <v/>
      </c>
      <c r="M56">
        <f>IF($W56="","",IF(INDEX('Per Invoice'!M$2:M$801,$W56)="","",INDEX('Per Invoice'!M$2:M$801,$W56)))</f>
        <v/>
      </c>
      <c r="N56" s="7">
        <f>IF($W56="","",IF(INDEX('Per Invoice'!N$2:N$801,$W56)="","",INDEX('Per Invoice'!N$2:N$801,$W56)))</f>
        <v/>
      </c>
      <c r="O56" s="7">
        <f>IF($W56="","",IF(INDEX('Per Invoice'!O$2:O$801,$W56)="","",INDEX('Per Invoice'!O$2:O$801,$W56)))</f>
        <v/>
      </c>
      <c r="P56">
        <f>IF($W56="","",IF(INDEX('Per Invoice'!P$2:P$801,$W56)="","",INDEX('Per Invoice'!P$2:P$801,$W56)))</f>
        <v/>
      </c>
      <c r="Q56" s="7">
        <f>IF($W56="","",IF(INDEX('Per Invoice'!Q$2:Q$801,$W56)="","",INDEX('Per Invoice'!Q$2:Q$801,$W56)))</f>
        <v/>
      </c>
      <c r="R56" s="7">
        <f>IF($W56="","",IF(INDEX('Per Invoice'!R$2:R$801,$W56)="","",INDEX('Per Invoice'!R$2:R$801,$W56)))</f>
        <v/>
      </c>
      <c r="S56" s="7">
        <f>IF($W56="","",IF(INDEX('Per Invoice'!S$2:S$801,$W56)="","",INDEX('Per Invoice'!S$2:S$801,$W56)))</f>
        <v/>
      </c>
      <c r="T56" s="7">
        <f>IF($W56="","",IF(INDEX('Per Invoice'!T$2:T$801,$W56)="","",INDEX('Per Invoice'!T$2:T$801,$W56)))</f>
        <v/>
      </c>
      <c r="U56" s="7">
        <f>IF($W56="","",IF(INDEX('Per Invoice'!U$2:U$801,$W56)="","",INDEX('Per Invoice'!U$2:U$801,$W56)))</f>
        <v/>
      </c>
      <c r="V56" s="7">
        <f>IF($W56="","",IF(INDEX('Per Invoice'!V$2:V$801,$W56)="","",INDEX('Per Invoice'!V$2:V$801,$W56)))</f>
        <v/>
      </c>
      <c r="W56" s="16">
        <f>IFERROR(MATCH(Settings!$C$28&amp;"|"&amp;ROWS($W$2:$W56),'Per Invoice'!$X$2:$X$801,0),"")</f>
        <v/>
      </c>
    </row>
    <row r="57">
      <c r="A57">
        <f>IF($W57="","",IF(INDEX('Per Invoice'!A$2:A$801,$W57)="","",INDEX('Per Invoice'!A$2:A$801,$W57)))</f>
        <v/>
      </c>
      <c r="B57">
        <f>IF($W57="","",IF(INDEX('Per Invoice'!B$2:B$801,$W57)="","",INDEX('Per Invoice'!B$2:B$801,$W57)))</f>
        <v/>
      </c>
      <c r="C57">
        <f>IF($W57="","",IF(INDEX('Per Invoice'!C$2:C$801,$W57)="","",INDEX('Per Invoice'!C$2:C$801,$W57)))</f>
        <v/>
      </c>
      <c r="D57">
        <f>IF($W57="","",IF(INDEX('Per Invoice'!D$2:D$801,$W57)="","",INDEX('Per Invoice'!D$2:D$801,$W57)))</f>
        <v/>
      </c>
      <c r="E57">
        <f>IF($W57="","",IF(INDEX('Per Invoice'!E$2:E$801,$W57)="","",INDEX('Per Invoice'!E$2:E$801,$W57)))</f>
        <v/>
      </c>
      <c r="F57">
        <f>IF($W57="","",IF(INDEX('Per Invoice'!F$2:F$801,$W57)="","",INDEX('Per Invoice'!F$2:F$801,$W57)))</f>
        <v/>
      </c>
      <c r="G57">
        <f>IF($W57="","",IF(INDEX('Per Invoice'!G$2:G$801,$W57)="","",INDEX('Per Invoice'!G$2:G$801,$W57)))</f>
        <v/>
      </c>
      <c r="H57">
        <f>IF($W57="","",IF(INDEX('Per Invoice'!H$2:H$801,$W57)="","",INDEX('Per Invoice'!H$2:H$801,$W57)))</f>
        <v/>
      </c>
      <c r="I57">
        <f>IF($W57="","",IF(INDEX('Per Invoice'!I$2:I$801,$W57)="","",INDEX('Per Invoice'!I$2:I$801,$W57)))</f>
        <v/>
      </c>
      <c r="J57">
        <f>IF($W57="","",IF(INDEX('Per Invoice'!J$2:J$801,$W57)="","",INDEX('Per Invoice'!J$2:J$801,$W57)))</f>
        <v/>
      </c>
      <c r="K57" s="7">
        <f>IF($W57="","",IF(INDEX('Per Invoice'!K$2:K$801,$W57)="","",INDEX('Per Invoice'!K$2:K$801,$W57)))</f>
        <v/>
      </c>
      <c r="L57" s="14">
        <f>IF($W57="","",IF(INDEX('Per Invoice'!L$2:L$801,$W57)="","",INDEX('Per Invoice'!L$2:L$801,$W57)))</f>
        <v/>
      </c>
      <c r="M57">
        <f>IF($W57="","",IF(INDEX('Per Invoice'!M$2:M$801,$W57)="","",INDEX('Per Invoice'!M$2:M$801,$W57)))</f>
        <v/>
      </c>
      <c r="N57" s="7">
        <f>IF($W57="","",IF(INDEX('Per Invoice'!N$2:N$801,$W57)="","",INDEX('Per Invoice'!N$2:N$801,$W57)))</f>
        <v/>
      </c>
      <c r="O57" s="7">
        <f>IF($W57="","",IF(INDEX('Per Invoice'!O$2:O$801,$W57)="","",INDEX('Per Invoice'!O$2:O$801,$W57)))</f>
        <v/>
      </c>
      <c r="P57">
        <f>IF($W57="","",IF(INDEX('Per Invoice'!P$2:P$801,$W57)="","",INDEX('Per Invoice'!P$2:P$801,$W57)))</f>
        <v/>
      </c>
      <c r="Q57" s="7">
        <f>IF($W57="","",IF(INDEX('Per Invoice'!Q$2:Q$801,$W57)="","",INDEX('Per Invoice'!Q$2:Q$801,$W57)))</f>
        <v/>
      </c>
      <c r="R57" s="7">
        <f>IF($W57="","",IF(INDEX('Per Invoice'!R$2:R$801,$W57)="","",INDEX('Per Invoice'!R$2:R$801,$W57)))</f>
        <v/>
      </c>
      <c r="S57" s="7">
        <f>IF($W57="","",IF(INDEX('Per Invoice'!S$2:S$801,$W57)="","",INDEX('Per Invoice'!S$2:S$801,$W57)))</f>
        <v/>
      </c>
      <c r="T57" s="7">
        <f>IF($W57="","",IF(INDEX('Per Invoice'!T$2:T$801,$W57)="","",INDEX('Per Invoice'!T$2:T$801,$W57)))</f>
        <v/>
      </c>
      <c r="U57" s="7">
        <f>IF($W57="","",IF(INDEX('Per Invoice'!U$2:U$801,$W57)="","",INDEX('Per Invoice'!U$2:U$801,$W57)))</f>
        <v/>
      </c>
      <c r="V57" s="7">
        <f>IF($W57="","",IF(INDEX('Per Invoice'!V$2:V$801,$W57)="","",INDEX('Per Invoice'!V$2:V$801,$W57)))</f>
        <v/>
      </c>
      <c r="W57" s="16">
        <f>IFERROR(MATCH(Settings!$C$28&amp;"|"&amp;ROWS($W$2:$W57),'Per Invoice'!$X$2:$X$801,0),"")</f>
        <v/>
      </c>
    </row>
    <row r="58">
      <c r="A58">
        <f>IF($W58="","",IF(INDEX('Per Invoice'!A$2:A$801,$W58)="","",INDEX('Per Invoice'!A$2:A$801,$W58)))</f>
        <v/>
      </c>
      <c r="B58">
        <f>IF($W58="","",IF(INDEX('Per Invoice'!B$2:B$801,$W58)="","",INDEX('Per Invoice'!B$2:B$801,$W58)))</f>
        <v/>
      </c>
      <c r="C58">
        <f>IF($W58="","",IF(INDEX('Per Invoice'!C$2:C$801,$W58)="","",INDEX('Per Invoice'!C$2:C$801,$W58)))</f>
        <v/>
      </c>
      <c r="D58">
        <f>IF($W58="","",IF(INDEX('Per Invoice'!D$2:D$801,$W58)="","",INDEX('Per Invoice'!D$2:D$801,$W58)))</f>
        <v/>
      </c>
      <c r="E58">
        <f>IF($W58="","",IF(INDEX('Per Invoice'!E$2:E$801,$W58)="","",INDEX('Per Invoice'!E$2:E$801,$W58)))</f>
        <v/>
      </c>
      <c r="F58">
        <f>IF($W58="","",IF(INDEX('Per Invoice'!F$2:F$801,$W58)="","",INDEX('Per Invoice'!F$2:F$801,$W58)))</f>
        <v/>
      </c>
      <c r="G58">
        <f>IF($W58="","",IF(INDEX('Per Invoice'!G$2:G$801,$W58)="","",INDEX('Per Invoice'!G$2:G$801,$W58)))</f>
        <v/>
      </c>
      <c r="H58">
        <f>IF($W58="","",IF(INDEX('Per Invoice'!H$2:H$801,$W58)="","",INDEX('Per Invoice'!H$2:H$801,$W58)))</f>
        <v/>
      </c>
      <c r="I58">
        <f>IF($W58="","",IF(INDEX('Per Invoice'!I$2:I$801,$W58)="","",INDEX('Per Invoice'!I$2:I$801,$W58)))</f>
        <v/>
      </c>
      <c r="J58">
        <f>IF($W58="","",IF(INDEX('Per Invoice'!J$2:J$801,$W58)="","",INDEX('Per Invoice'!J$2:J$801,$W58)))</f>
        <v/>
      </c>
      <c r="K58" s="7">
        <f>IF($W58="","",IF(INDEX('Per Invoice'!K$2:K$801,$W58)="","",INDEX('Per Invoice'!K$2:K$801,$W58)))</f>
        <v/>
      </c>
      <c r="L58" s="14">
        <f>IF($W58="","",IF(INDEX('Per Invoice'!L$2:L$801,$W58)="","",INDEX('Per Invoice'!L$2:L$801,$W58)))</f>
        <v/>
      </c>
      <c r="M58">
        <f>IF($W58="","",IF(INDEX('Per Invoice'!M$2:M$801,$W58)="","",INDEX('Per Invoice'!M$2:M$801,$W58)))</f>
        <v/>
      </c>
      <c r="N58" s="7">
        <f>IF($W58="","",IF(INDEX('Per Invoice'!N$2:N$801,$W58)="","",INDEX('Per Invoice'!N$2:N$801,$W58)))</f>
        <v/>
      </c>
      <c r="O58" s="7">
        <f>IF($W58="","",IF(INDEX('Per Invoice'!O$2:O$801,$W58)="","",INDEX('Per Invoice'!O$2:O$801,$W58)))</f>
        <v/>
      </c>
      <c r="P58">
        <f>IF($W58="","",IF(INDEX('Per Invoice'!P$2:P$801,$W58)="","",INDEX('Per Invoice'!P$2:P$801,$W58)))</f>
        <v/>
      </c>
      <c r="Q58" s="7">
        <f>IF($W58="","",IF(INDEX('Per Invoice'!Q$2:Q$801,$W58)="","",INDEX('Per Invoice'!Q$2:Q$801,$W58)))</f>
        <v/>
      </c>
      <c r="R58" s="7">
        <f>IF($W58="","",IF(INDEX('Per Invoice'!R$2:R$801,$W58)="","",INDEX('Per Invoice'!R$2:R$801,$W58)))</f>
        <v/>
      </c>
      <c r="S58" s="7">
        <f>IF($W58="","",IF(INDEX('Per Invoice'!S$2:S$801,$W58)="","",INDEX('Per Invoice'!S$2:S$801,$W58)))</f>
        <v/>
      </c>
      <c r="T58" s="7">
        <f>IF($W58="","",IF(INDEX('Per Invoice'!T$2:T$801,$W58)="","",INDEX('Per Invoice'!T$2:T$801,$W58)))</f>
        <v/>
      </c>
      <c r="U58" s="7">
        <f>IF($W58="","",IF(INDEX('Per Invoice'!U$2:U$801,$W58)="","",INDEX('Per Invoice'!U$2:U$801,$W58)))</f>
        <v/>
      </c>
      <c r="V58" s="7">
        <f>IF($W58="","",IF(INDEX('Per Invoice'!V$2:V$801,$W58)="","",INDEX('Per Invoice'!V$2:V$801,$W58)))</f>
        <v/>
      </c>
      <c r="W58" s="16">
        <f>IFERROR(MATCH(Settings!$C$28&amp;"|"&amp;ROWS($W$2:$W58),'Per Invoice'!$X$2:$X$801,0),"")</f>
        <v/>
      </c>
    </row>
    <row r="59">
      <c r="A59">
        <f>IF($W59="","",IF(INDEX('Per Invoice'!A$2:A$801,$W59)="","",INDEX('Per Invoice'!A$2:A$801,$W59)))</f>
        <v/>
      </c>
      <c r="B59">
        <f>IF($W59="","",IF(INDEX('Per Invoice'!B$2:B$801,$W59)="","",INDEX('Per Invoice'!B$2:B$801,$W59)))</f>
        <v/>
      </c>
      <c r="C59">
        <f>IF($W59="","",IF(INDEX('Per Invoice'!C$2:C$801,$W59)="","",INDEX('Per Invoice'!C$2:C$801,$W59)))</f>
        <v/>
      </c>
      <c r="D59">
        <f>IF($W59="","",IF(INDEX('Per Invoice'!D$2:D$801,$W59)="","",INDEX('Per Invoice'!D$2:D$801,$W59)))</f>
        <v/>
      </c>
      <c r="E59">
        <f>IF($W59="","",IF(INDEX('Per Invoice'!E$2:E$801,$W59)="","",INDEX('Per Invoice'!E$2:E$801,$W59)))</f>
        <v/>
      </c>
      <c r="F59">
        <f>IF($W59="","",IF(INDEX('Per Invoice'!F$2:F$801,$W59)="","",INDEX('Per Invoice'!F$2:F$801,$W59)))</f>
        <v/>
      </c>
      <c r="G59">
        <f>IF($W59="","",IF(INDEX('Per Invoice'!G$2:G$801,$W59)="","",INDEX('Per Invoice'!G$2:G$801,$W59)))</f>
        <v/>
      </c>
      <c r="H59">
        <f>IF($W59="","",IF(INDEX('Per Invoice'!H$2:H$801,$W59)="","",INDEX('Per Invoice'!H$2:H$801,$W59)))</f>
        <v/>
      </c>
      <c r="I59">
        <f>IF($W59="","",IF(INDEX('Per Invoice'!I$2:I$801,$W59)="","",INDEX('Per Invoice'!I$2:I$801,$W59)))</f>
        <v/>
      </c>
      <c r="J59">
        <f>IF($W59="","",IF(INDEX('Per Invoice'!J$2:J$801,$W59)="","",INDEX('Per Invoice'!J$2:J$801,$W59)))</f>
        <v/>
      </c>
      <c r="K59" s="7">
        <f>IF($W59="","",IF(INDEX('Per Invoice'!K$2:K$801,$W59)="","",INDEX('Per Invoice'!K$2:K$801,$W59)))</f>
        <v/>
      </c>
      <c r="L59" s="14">
        <f>IF($W59="","",IF(INDEX('Per Invoice'!L$2:L$801,$W59)="","",INDEX('Per Invoice'!L$2:L$801,$W59)))</f>
        <v/>
      </c>
      <c r="M59">
        <f>IF($W59="","",IF(INDEX('Per Invoice'!M$2:M$801,$W59)="","",INDEX('Per Invoice'!M$2:M$801,$W59)))</f>
        <v/>
      </c>
      <c r="N59" s="7">
        <f>IF($W59="","",IF(INDEX('Per Invoice'!N$2:N$801,$W59)="","",INDEX('Per Invoice'!N$2:N$801,$W59)))</f>
        <v/>
      </c>
      <c r="O59" s="7">
        <f>IF($W59="","",IF(INDEX('Per Invoice'!O$2:O$801,$W59)="","",INDEX('Per Invoice'!O$2:O$801,$W59)))</f>
        <v/>
      </c>
      <c r="P59">
        <f>IF($W59="","",IF(INDEX('Per Invoice'!P$2:P$801,$W59)="","",INDEX('Per Invoice'!P$2:P$801,$W59)))</f>
        <v/>
      </c>
      <c r="Q59" s="7">
        <f>IF($W59="","",IF(INDEX('Per Invoice'!Q$2:Q$801,$W59)="","",INDEX('Per Invoice'!Q$2:Q$801,$W59)))</f>
        <v/>
      </c>
      <c r="R59" s="7">
        <f>IF($W59="","",IF(INDEX('Per Invoice'!R$2:R$801,$W59)="","",INDEX('Per Invoice'!R$2:R$801,$W59)))</f>
        <v/>
      </c>
      <c r="S59" s="7">
        <f>IF($W59="","",IF(INDEX('Per Invoice'!S$2:S$801,$W59)="","",INDEX('Per Invoice'!S$2:S$801,$W59)))</f>
        <v/>
      </c>
      <c r="T59" s="7">
        <f>IF($W59="","",IF(INDEX('Per Invoice'!T$2:T$801,$W59)="","",INDEX('Per Invoice'!T$2:T$801,$W59)))</f>
        <v/>
      </c>
      <c r="U59" s="7">
        <f>IF($W59="","",IF(INDEX('Per Invoice'!U$2:U$801,$W59)="","",INDEX('Per Invoice'!U$2:U$801,$W59)))</f>
        <v/>
      </c>
      <c r="V59" s="7">
        <f>IF($W59="","",IF(INDEX('Per Invoice'!V$2:V$801,$W59)="","",INDEX('Per Invoice'!V$2:V$801,$W59)))</f>
        <v/>
      </c>
      <c r="W59" s="16">
        <f>IFERROR(MATCH(Settings!$C$28&amp;"|"&amp;ROWS($W$2:$W59),'Per Invoice'!$X$2:$X$801,0),"")</f>
        <v/>
      </c>
    </row>
    <row r="60">
      <c r="A60">
        <f>IF($W60="","",IF(INDEX('Per Invoice'!A$2:A$801,$W60)="","",INDEX('Per Invoice'!A$2:A$801,$W60)))</f>
        <v/>
      </c>
      <c r="B60">
        <f>IF($W60="","",IF(INDEX('Per Invoice'!B$2:B$801,$W60)="","",INDEX('Per Invoice'!B$2:B$801,$W60)))</f>
        <v/>
      </c>
      <c r="C60">
        <f>IF($W60="","",IF(INDEX('Per Invoice'!C$2:C$801,$W60)="","",INDEX('Per Invoice'!C$2:C$801,$W60)))</f>
        <v/>
      </c>
      <c r="D60">
        <f>IF($W60="","",IF(INDEX('Per Invoice'!D$2:D$801,$W60)="","",INDEX('Per Invoice'!D$2:D$801,$W60)))</f>
        <v/>
      </c>
      <c r="E60">
        <f>IF($W60="","",IF(INDEX('Per Invoice'!E$2:E$801,$W60)="","",INDEX('Per Invoice'!E$2:E$801,$W60)))</f>
        <v/>
      </c>
      <c r="F60">
        <f>IF($W60="","",IF(INDEX('Per Invoice'!F$2:F$801,$W60)="","",INDEX('Per Invoice'!F$2:F$801,$W60)))</f>
        <v/>
      </c>
      <c r="G60">
        <f>IF($W60="","",IF(INDEX('Per Invoice'!G$2:G$801,$W60)="","",INDEX('Per Invoice'!G$2:G$801,$W60)))</f>
        <v/>
      </c>
      <c r="H60">
        <f>IF($W60="","",IF(INDEX('Per Invoice'!H$2:H$801,$W60)="","",INDEX('Per Invoice'!H$2:H$801,$W60)))</f>
        <v/>
      </c>
      <c r="I60">
        <f>IF($W60="","",IF(INDEX('Per Invoice'!I$2:I$801,$W60)="","",INDEX('Per Invoice'!I$2:I$801,$W60)))</f>
        <v/>
      </c>
      <c r="J60">
        <f>IF($W60="","",IF(INDEX('Per Invoice'!J$2:J$801,$W60)="","",INDEX('Per Invoice'!J$2:J$801,$W60)))</f>
        <v/>
      </c>
      <c r="K60" s="7">
        <f>IF($W60="","",IF(INDEX('Per Invoice'!K$2:K$801,$W60)="","",INDEX('Per Invoice'!K$2:K$801,$W60)))</f>
        <v/>
      </c>
      <c r="L60" s="14">
        <f>IF($W60="","",IF(INDEX('Per Invoice'!L$2:L$801,$W60)="","",INDEX('Per Invoice'!L$2:L$801,$W60)))</f>
        <v/>
      </c>
      <c r="M60">
        <f>IF($W60="","",IF(INDEX('Per Invoice'!M$2:M$801,$W60)="","",INDEX('Per Invoice'!M$2:M$801,$W60)))</f>
        <v/>
      </c>
      <c r="N60" s="7">
        <f>IF($W60="","",IF(INDEX('Per Invoice'!N$2:N$801,$W60)="","",INDEX('Per Invoice'!N$2:N$801,$W60)))</f>
        <v/>
      </c>
      <c r="O60" s="7">
        <f>IF($W60="","",IF(INDEX('Per Invoice'!O$2:O$801,$W60)="","",INDEX('Per Invoice'!O$2:O$801,$W60)))</f>
        <v/>
      </c>
      <c r="P60">
        <f>IF($W60="","",IF(INDEX('Per Invoice'!P$2:P$801,$W60)="","",INDEX('Per Invoice'!P$2:P$801,$W60)))</f>
        <v/>
      </c>
      <c r="Q60" s="7">
        <f>IF($W60="","",IF(INDEX('Per Invoice'!Q$2:Q$801,$W60)="","",INDEX('Per Invoice'!Q$2:Q$801,$W60)))</f>
        <v/>
      </c>
      <c r="R60" s="7">
        <f>IF($W60="","",IF(INDEX('Per Invoice'!R$2:R$801,$W60)="","",INDEX('Per Invoice'!R$2:R$801,$W60)))</f>
        <v/>
      </c>
      <c r="S60" s="7">
        <f>IF($W60="","",IF(INDEX('Per Invoice'!S$2:S$801,$W60)="","",INDEX('Per Invoice'!S$2:S$801,$W60)))</f>
        <v/>
      </c>
      <c r="T60" s="7">
        <f>IF($W60="","",IF(INDEX('Per Invoice'!T$2:T$801,$W60)="","",INDEX('Per Invoice'!T$2:T$801,$W60)))</f>
        <v/>
      </c>
      <c r="U60" s="7">
        <f>IF($W60="","",IF(INDEX('Per Invoice'!U$2:U$801,$W60)="","",INDEX('Per Invoice'!U$2:U$801,$W60)))</f>
        <v/>
      </c>
      <c r="V60" s="7">
        <f>IF($W60="","",IF(INDEX('Per Invoice'!V$2:V$801,$W60)="","",INDEX('Per Invoice'!V$2:V$801,$W60)))</f>
        <v/>
      </c>
      <c r="W60" s="16">
        <f>IFERROR(MATCH(Settings!$C$28&amp;"|"&amp;ROWS($W$2:$W60),'Per Invoice'!$X$2:$X$801,0),"")</f>
        <v/>
      </c>
    </row>
    <row r="61">
      <c r="A61">
        <f>IF($W61="","",IF(INDEX('Per Invoice'!A$2:A$801,$W61)="","",INDEX('Per Invoice'!A$2:A$801,$W61)))</f>
        <v/>
      </c>
      <c r="B61">
        <f>IF($W61="","",IF(INDEX('Per Invoice'!B$2:B$801,$W61)="","",INDEX('Per Invoice'!B$2:B$801,$W61)))</f>
        <v/>
      </c>
      <c r="C61">
        <f>IF($W61="","",IF(INDEX('Per Invoice'!C$2:C$801,$W61)="","",INDEX('Per Invoice'!C$2:C$801,$W61)))</f>
        <v/>
      </c>
      <c r="D61">
        <f>IF($W61="","",IF(INDEX('Per Invoice'!D$2:D$801,$W61)="","",INDEX('Per Invoice'!D$2:D$801,$W61)))</f>
        <v/>
      </c>
      <c r="E61">
        <f>IF($W61="","",IF(INDEX('Per Invoice'!E$2:E$801,$W61)="","",INDEX('Per Invoice'!E$2:E$801,$W61)))</f>
        <v/>
      </c>
      <c r="F61">
        <f>IF($W61="","",IF(INDEX('Per Invoice'!F$2:F$801,$W61)="","",INDEX('Per Invoice'!F$2:F$801,$W61)))</f>
        <v/>
      </c>
      <c r="G61">
        <f>IF($W61="","",IF(INDEX('Per Invoice'!G$2:G$801,$W61)="","",INDEX('Per Invoice'!G$2:G$801,$W61)))</f>
        <v/>
      </c>
      <c r="H61">
        <f>IF($W61="","",IF(INDEX('Per Invoice'!H$2:H$801,$W61)="","",INDEX('Per Invoice'!H$2:H$801,$W61)))</f>
        <v/>
      </c>
      <c r="I61">
        <f>IF($W61="","",IF(INDEX('Per Invoice'!I$2:I$801,$W61)="","",INDEX('Per Invoice'!I$2:I$801,$W61)))</f>
        <v/>
      </c>
      <c r="J61">
        <f>IF($W61="","",IF(INDEX('Per Invoice'!J$2:J$801,$W61)="","",INDEX('Per Invoice'!J$2:J$801,$W61)))</f>
        <v/>
      </c>
      <c r="K61" s="7">
        <f>IF($W61="","",IF(INDEX('Per Invoice'!K$2:K$801,$W61)="","",INDEX('Per Invoice'!K$2:K$801,$W61)))</f>
        <v/>
      </c>
      <c r="L61" s="14">
        <f>IF($W61="","",IF(INDEX('Per Invoice'!L$2:L$801,$W61)="","",INDEX('Per Invoice'!L$2:L$801,$W61)))</f>
        <v/>
      </c>
      <c r="M61">
        <f>IF($W61="","",IF(INDEX('Per Invoice'!M$2:M$801,$W61)="","",INDEX('Per Invoice'!M$2:M$801,$W61)))</f>
        <v/>
      </c>
      <c r="N61" s="7">
        <f>IF($W61="","",IF(INDEX('Per Invoice'!N$2:N$801,$W61)="","",INDEX('Per Invoice'!N$2:N$801,$W61)))</f>
        <v/>
      </c>
      <c r="O61" s="7">
        <f>IF($W61="","",IF(INDEX('Per Invoice'!O$2:O$801,$W61)="","",INDEX('Per Invoice'!O$2:O$801,$W61)))</f>
        <v/>
      </c>
      <c r="P61">
        <f>IF($W61="","",IF(INDEX('Per Invoice'!P$2:P$801,$W61)="","",INDEX('Per Invoice'!P$2:P$801,$W61)))</f>
        <v/>
      </c>
      <c r="Q61" s="7">
        <f>IF($W61="","",IF(INDEX('Per Invoice'!Q$2:Q$801,$W61)="","",INDEX('Per Invoice'!Q$2:Q$801,$W61)))</f>
        <v/>
      </c>
      <c r="R61" s="7">
        <f>IF($W61="","",IF(INDEX('Per Invoice'!R$2:R$801,$W61)="","",INDEX('Per Invoice'!R$2:R$801,$W61)))</f>
        <v/>
      </c>
      <c r="S61" s="7">
        <f>IF($W61="","",IF(INDEX('Per Invoice'!S$2:S$801,$W61)="","",INDEX('Per Invoice'!S$2:S$801,$W61)))</f>
        <v/>
      </c>
      <c r="T61" s="7">
        <f>IF($W61="","",IF(INDEX('Per Invoice'!T$2:T$801,$W61)="","",INDEX('Per Invoice'!T$2:T$801,$W61)))</f>
        <v/>
      </c>
      <c r="U61" s="7">
        <f>IF($W61="","",IF(INDEX('Per Invoice'!U$2:U$801,$W61)="","",INDEX('Per Invoice'!U$2:U$801,$W61)))</f>
        <v/>
      </c>
      <c r="V61" s="7">
        <f>IF($W61="","",IF(INDEX('Per Invoice'!V$2:V$801,$W61)="","",INDEX('Per Invoice'!V$2:V$801,$W61)))</f>
        <v/>
      </c>
      <c r="W61" s="16">
        <f>IFERROR(MATCH(Settings!$C$28&amp;"|"&amp;ROWS($W$2:$W61),'Per Invoice'!$X$2:$X$801,0),"")</f>
        <v/>
      </c>
    </row>
    <row r="62">
      <c r="A62">
        <f>IF($W62="","",IF(INDEX('Per Invoice'!A$2:A$801,$W62)="","",INDEX('Per Invoice'!A$2:A$801,$W62)))</f>
        <v/>
      </c>
      <c r="B62">
        <f>IF($W62="","",IF(INDEX('Per Invoice'!B$2:B$801,$W62)="","",INDEX('Per Invoice'!B$2:B$801,$W62)))</f>
        <v/>
      </c>
      <c r="C62">
        <f>IF($W62="","",IF(INDEX('Per Invoice'!C$2:C$801,$W62)="","",INDEX('Per Invoice'!C$2:C$801,$W62)))</f>
        <v/>
      </c>
      <c r="D62">
        <f>IF($W62="","",IF(INDEX('Per Invoice'!D$2:D$801,$W62)="","",INDEX('Per Invoice'!D$2:D$801,$W62)))</f>
        <v/>
      </c>
      <c r="E62">
        <f>IF($W62="","",IF(INDEX('Per Invoice'!E$2:E$801,$W62)="","",INDEX('Per Invoice'!E$2:E$801,$W62)))</f>
        <v/>
      </c>
      <c r="F62">
        <f>IF($W62="","",IF(INDEX('Per Invoice'!F$2:F$801,$W62)="","",INDEX('Per Invoice'!F$2:F$801,$W62)))</f>
        <v/>
      </c>
      <c r="G62">
        <f>IF($W62="","",IF(INDEX('Per Invoice'!G$2:G$801,$W62)="","",INDEX('Per Invoice'!G$2:G$801,$W62)))</f>
        <v/>
      </c>
      <c r="H62">
        <f>IF($W62="","",IF(INDEX('Per Invoice'!H$2:H$801,$W62)="","",INDEX('Per Invoice'!H$2:H$801,$W62)))</f>
        <v/>
      </c>
      <c r="I62">
        <f>IF($W62="","",IF(INDEX('Per Invoice'!I$2:I$801,$W62)="","",INDEX('Per Invoice'!I$2:I$801,$W62)))</f>
        <v/>
      </c>
      <c r="J62">
        <f>IF($W62="","",IF(INDEX('Per Invoice'!J$2:J$801,$W62)="","",INDEX('Per Invoice'!J$2:J$801,$W62)))</f>
        <v/>
      </c>
      <c r="K62" s="7">
        <f>IF($W62="","",IF(INDEX('Per Invoice'!K$2:K$801,$W62)="","",INDEX('Per Invoice'!K$2:K$801,$W62)))</f>
        <v/>
      </c>
      <c r="L62" s="14">
        <f>IF($W62="","",IF(INDEX('Per Invoice'!L$2:L$801,$W62)="","",INDEX('Per Invoice'!L$2:L$801,$W62)))</f>
        <v/>
      </c>
      <c r="M62">
        <f>IF($W62="","",IF(INDEX('Per Invoice'!M$2:M$801,$W62)="","",INDEX('Per Invoice'!M$2:M$801,$W62)))</f>
        <v/>
      </c>
      <c r="N62" s="7">
        <f>IF($W62="","",IF(INDEX('Per Invoice'!N$2:N$801,$W62)="","",INDEX('Per Invoice'!N$2:N$801,$W62)))</f>
        <v/>
      </c>
      <c r="O62" s="7">
        <f>IF($W62="","",IF(INDEX('Per Invoice'!O$2:O$801,$W62)="","",INDEX('Per Invoice'!O$2:O$801,$W62)))</f>
        <v/>
      </c>
      <c r="P62">
        <f>IF($W62="","",IF(INDEX('Per Invoice'!P$2:P$801,$W62)="","",INDEX('Per Invoice'!P$2:P$801,$W62)))</f>
        <v/>
      </c>
      <c r="Q62" s="7">
        <f>IF($W62="","",IF(INDEX('Per Invoice'!Q$2:Q$801,$W62)="","",INDEX('Per Invoice'!Q$2:Q$801,$W62)))</f>
        <v/>
      </c>
      <c r="R62" s="7">
        <f>IF($W62="","",IF(INDEX('Per Invoice'!R$2:R$801,$W62)="","",INDEX('Per Invoice'!R$2:R$801,$W62)))</f>
        <v/>
      </c>
      <c r="S62" s="7">
        <f>IF($W62="","",IF(INDEX('Per Invoice'!S$2:S$801,$W62)="","",INDEX('Per Invoice'!S$2:S$801,$W62)))</f>
        <v/>
      </c>
      <c r="T62" s="7">
        <f>IF($W62="","",IF(INDEX('Per Invoice'!T$2:T$801,$W62)="","",INDEX('Per Invoice'!T$2:T$801,$W62)))</f>
        <v/>
      </c>
      <c r="U62" s="7">
        <f>IF($W62="","",IF(INDEX('Per Invoice'!U$2:U$801,$W62)="","",INDEX('Per Invoice'!U$2:U$801,$W62)))</f>
        <v/>
      </c>
      <c r="V62" s="7">
        <f>IF($W62="","",IF(INDEX('Per Invoice'!V$2:V$801,$W62)="","",INDEX('Per Invoice'!V$2:V$801,$W62)))</f>
        <v/>
      </c>
      <c r="W62" s="16">
        <f>IFERROR(MATCH(Settings!$C$28&amp;"|"&amp;ROWS($W$2:$W62),'Per Invoice'!$X$2:$X$801,0),"")</f>
        <v/>
      </c>
    </row>
    <row r="63">
      <c r="A63">
        <f>IF($W63="","",IF(INDEX('Per Invoice'!A$2:A$801,$W63)="","",INDEX('Per Invoice'!A$2:A$801,$W63)))</f>
        <v/>
      </c>
      <c r="B63">
        <f>IF($W63="","",IF(INDEX('Per Invoice'!B$2:B$801,$W63)="","",INDEX('Per Invoice'!B$2:B$801,$W63)))</f>
        <v/>
      </c>
      <c r="C63">
        <f>IF($W63="","",IF(INDEX('Per Invoice'!C$2:C$801,$W63)="","",INDEX('Per Invoice'!C$2:C$801,$W63)))</f>
        <v/>
      </c>
      <c r="D63">
        <f>IF($W63="","",IF(INDEX('Per Invoice'!D$2:D$801,$W63)="","",INDEX('Per Invoice'!D$2:D$801,$W63)))</f>
        <v/>
      </c>
      <c r="E63">
        <f>IF($W63="","",IF(INDEX('Per Invoice'!E$2:E$801,$W63)="","",INDEX('Per Invoice'!E$2:E$801,$W63)))</f>
        <v/>
      </c>
      <c r="F63">
        <f>IF($W63="","",IF(INDEX('Per Invoice'!F$2:F$801,$W63)="","",INDEX('Per Invoice'!F$2:F$801,$W63)))</f>
        <v/>
      </c>
      <c r="G63">
        <f>IF($W63="","",IF(INDEX('Per Invoice'!G$2:G$801,$W63)="","",INDEX('Per Invoice'!G$2:G$801,$W63)))</f>
        <v/>
      </c>
      <c r="H63">
        <f>IF($W63="","",IF(INDEX('Per Invoice'!H$2:H$801,$W63)="","",INDEX('Per Invoice'!H$2:H$801,$W63)))</f>
        <v/>
      </c>
      <c r="I63">
        <f>IF($W63="","",IF(INDEX('Per Invoice'!I$2:I$801,$W63)="","",INDEX('Per Invoice'!I$2:I$801,$W63)))</f>
        <v/>
      </c>
      <c r="J63">
        <f>IF($W63="","",IF(INDEX('Per Invoice'!J$2:J$801,$W63)="","",INDEX('Per Invoice'!J$2:J$801,$W63)))</f>
        <v/>
      </c>
      <c r="K63" s="7">
        <f>IF($W63="","",IF(INDEX('Per Invoice'!K$2:K$801,$W63)="","",INDEX('Per Invoice'!K$2:K$801,$W63)))</f>
        <v/>
      </c>
      <c r="L63" s="14">
        <f>IF($W63="","",IF(INDEX('Per Invoice'!L$2:L$801,$W63)="","",INDEX('Per Invoice'!L$2:L$801,$W63)))</f>
        <v/>
      </c>
      <c r="M63">
        <f>IF($W63="","",IF(INDEX('Per Invoice'!M$2:M$801,$W63)="","",INDEX('Per Invoice'!M$2:M$801,$W63)))</f>
        <v/>
      </c>
      <c r="N63" s="7">
        <f>IF($W63="","",IF(INDEX('Per Invoice'!N$2:N$801,$W63)="","",INDEX('Per Invoice'!N$2:N$801,$W63)))</f>
        <v/>
      </c>
      <c r="O63" s="7">
        <f>IF($W63="","",IF(INDEX('Per Invoice'!O$2:O$801,$W63)="","",INDEX('Per Invoice'!O$2:O$801,$W63)))</f>
        <v/>
      </c>
      <c r="P63">
        <f>IF($W63="","",IF(INDEX('Per Invoice'!P$2:P$801,$W63)="","",INDEX('Per Invoice'!P$2:P$801,$W63)))</f>
        <v/>
      </c>
      <c r="Q63" s="7">
        <f>IF($W63="","",IF(INDEX('Per Invoice'!Q$2:Q$801,$W63)="","",INDEX('Per Invoice'!Q$2:Q$801,$W63)))</f>
        <v/>
      </c>
      <c r="R63" s="7">
        <f>IF($W63="","",IF(INDEX('Per Invoice'!R$2:R$801,$W63)="","",INDEX('Per Invoice'!R$2:R$801,$W63)))</f>
        <v/>
      </c>
      <c r="S63" s="7">
        <f>IF($W63="","",IF(INDEX('Per Invoice'!S$2:S$801,$W63)="","",INDEX('Per Invoice'!S$2:S$801,$W63)))</f>
        <v/>
      </c>
      <c r="T63" s="7">
        <f>IF($W63="","",IF(INDEX('Per Invoice'!T$2:T$801,$W63)="","",INDEX('Per Invoice'!T$2:T$801,$W63)))</f>
        <v/>
      </c>
      <c r="U63" s="7">
        <f>IF($W63="","",IF(INDEX('Per Invoice'!U$2:U$801,$W63)="","",INDEX('Per Invoice'!U$2:U$801,$W63)))</f>
        <v/>
      </c>
      <c r="V63" s="7">
        <f>IF($W63="","",IF(INDEX('Per Invoice'!V$2:V$801,$W63)="","",INDEX('Per Invoice'!V$2:V$801,$W63)))</f>
        <v/>
      </c>
      <c r="W63" s="16">
        <f>IFERROR(MATCH(Settings!$C$28&amp;"|"&amp;ROWS($W$2:$W63),'Per Invoice'!$X$2:$X$801,0),"")</f>
        <v/>
      </c>
    </row>
    <row r="64">
      <c r="A64">
        <f>IF($W64="","",IF(INDEX('Per Invoice'!A$2:A$801,$W64)="","",INDEX('Per Invoice'!A$2:A$801,$W64)))</f>
        <v/>
      </c>
      <c r="B64">
        <f>IF($W64="","",IF(INDEX('Per Invoice'!B$2:B$801,$W64)="","",INDEX('Per Invoice'!B$2:B$801,$W64)))</f>
        <v/>
      </c>
      <c r="C64">
        <f>IF($W64="","",IF(INDEX('Per Invoice'!C$2:C$801,$W64)="","",INDEX('Per Invoice'!C$2:C$801,$W64)))</f>
        <v/>
      </c>
      <c r="D64">
        <f>IF($W64="","",IF(INDEX('Per Invoice'!D$2:D$801,$W64)="","",INDEX('Per Invoice'!D$2:D$801,$W64)))</f>
        <v/>
      </c>
      <c r="E64">
        <f>IF($W64="","",IF(INDEX('Per Invoice'!E$2:E$801,$W64)="","",INDEX('Per Invoice'!E$2:E$801,$W64)))</f>
        <v/>
      </c>
      <c r="F64">
        <f>IF($W64="","",IF(INDEX('Per Invoice'!F$2:F$801,$W64)="","",INDEX('Per Invoice'!F$2:F$801,$W64)))</f>
        <v/>
      </c>
      <c r="G64">
        <f>IF($W64="","",IF(INDEX('Per Invoice'!G$2:G$801,$W64)="","",INDEX('Per Invoice'!G$2:G$801,$W64)))</f>
        <v/>
      </c>
      <c r="H64">
        <f>IF($W64="","",IF(INDEX('Per Invoice'!H$2:H$801,$W64)="","",INDEX('Per Invoice'!H$2:H$801,$W64)))</f>
        <v/>
      </c>
      <c r="I64">
        <f>IF($W64="","",IF(INDEX('Per Invoice'!I$2:I$801,$W64)="","",INDEX('Per Invoice'!I$2:I$801,$W64)))</f>
        <v/>
      </c>
      <c r="J64">
        <f>IF($W64="","",IF(INDEX('Per Invoice'!J$2:J$801,$W64)="","",INDEX('Per Invoice'!J$2:J$801,$W64)))</f>
        <v/>
      </c>
      <c r="K64" s="7">
        <f>IF($W64="","",IF(INDEX('Per Invoice'!K$2:K$801,$W64)="","",INDEX('Per Invoice'!K$2:K$801,$W64)))</f>
        <v/>
      </c>
      <c r="L64" s="14">
        <f>IF($W64="","",IF(INDEX('Per Invoice'!L$2:L$801,$W64)="","",INDEX('Per Invoice'!L$2:L$801,$W64)))</f>
        <v/>
      </c>
      <c r="M64">
        <f>IF($W64="","",IF(INDEX('Per Invoice'!M$2:M$801,$W64)="","",INDEX('Per Invoice'!M$2:M$801,$W64)))</f>
        <v/>
      </c>
      <c r="N64" s="7">
        <f>IF($W64="","",IF(INDEX('Per Invoice'!N$2:N$801,$W64)="","",INDEX('Per Invoice'!N$2:N$801,$W64)))</f>
        <v/>
      </c>
      <c r="O64" s="7">
        <f>IF($W64="","",IF(INDEX('Per Invoice'!O$2:O$801,$W64)="","",INDEX('Per Invoice'!O$2:O$801,$W64)))</f>
        <v/>
      </c>
      <c r="P64">
        <f>IF($W64="","",IF(INDEX('Per Invoice'!P$2:P$801,$W64)="","",INDEX('Per Invoice'!P$2:P$801,$W64)))</f>
        <v/>
      </c>
      <c r="Q64" s="7">
        <f>IF($W64="","",IF(INDEX('Per Invoice'!Q$2:Q$801,$W64)="","",INDEX('Per Invoice'!Q$2:Q$801,$W64)))</f>
        <v/>
      </c>
      <c r="R64" s="7">
        <f>IF($W64="","",IF(INDEX('Per Invoice'!R$2:R$801,$W64)="","",INDEX('Per Invoice'!R$2:R$801,$W64)))</f>
        <v/>
      </c>
      <c r="S64" s="7">
        <f>IF($W64="","",IF(INDEX('Per Invoice'!S$2:S$801,$W64)="","",INDEX('Per Invoice'!S$2:S$801,$W64)))</f>
        <v/>
      </c>
      <c r="T64" s="7">
        <f>IF($W64="","",IF(INDEX('Per Invoice'!T$2:T$801,$W64)="","",INDEX('Per Invoice'!T$2:T$801,$W64)))</f>
        <v/>
      </c>
      <c r="U64" s="7">
        <f>IF($W64="","",IF(INDEX('Per Invoice'!U$2:U$801,$W64)="","",INDEX('Per Invoice'!U$2:U$801,$W64)))</f>
        <v/>
      </c>
      <c r="V64" s="7">
        <f>IF($W64="","",IF(INDEX('Per Invoice'!V$2:V$801,$W64)="","",INDEX('Per Invoice'!V$2:V$801,$W64)))</f>
        <v/>
      </c>
      <c r="W64" s="16">
        <f>IFERROR(MATCH(Settings!$C$28&amp;"|"&amp;ROWS($W$2:$W64),'Per Invoice'!$X$2:$X$801,0),"")</f>
        <v/>
      </c>
    </row>
    <row r="65">
      <c r="A65">
        <f>IF($W65="","",IF(INDEX('Per Invoice'!A$2:A$801,$W65)="","",INDEX('Per Invoice'!A$2:A$801,$W65)))</f>
        <v/>
      </c>
      <c r="B65">
        <f>IF($W65="","",IF(INDEX('Per Invoice'!B$2:B$801,$W65)="","",INDEX('Per Invoice'!B$2:B$801,$W65)))</f>
        <v/>
      </c>
      <c r="C65">
        <f>IF($W65="","",IF(INDEX('Per Invoice'!C$2:C$801,$W65)="","",INDEX('Per Invoice'!C$2:C$801,$W65)))</f>
        <v/>
      </c>
      <c r="D65">
        <f>IF($W65="","",IF(INDEX('Per Invoice'!D$2:D$801,$W65)="","",INDEX('Per Invoice'!D$2:D$801,$W65)))</f>
        <v/>
      </c>
      <c r="E65">
        <f>IF($W65="","",IF(INDEX('Per Invoice'!E$2:E$801,$W65)="","",INDEX('Per Invoice'!E$2:E$801,$W65)))</f>
        <v/>
      </c>
      <c r="F65">
        <f>IF($W65="","",IF(INDEX('Per Invoice'!F$2:F$801,$W65)="","",INDEX('Per Invoice'!F$2:F$801,$W65)))</f>
        <v/>
      </c>
      <c r="G65">
        <f>IF($W65="","",IF(INDEX('Per Invoice'!G$2:G$801,$W65)="","",INDEX('Per Invoice'!G$2:G$801,$W65)))</f>
        <v/>
      </c>
      <c r="H65">
        <f>IF($W65="","",IF(INDEX('Per Invoice'!H$2:H$801,$W65)="","",INDEX('Per Invoice'!H$2:H$801,$W65)))</f>
        <v/>
      </c>
      <c r="I65">
        <f>IF($W65="","",IF(INDEX('Per Invoice'!I$2:I$801,$W65)="","",INDEX('Per Invoice'!I$2:I$801,$W65)))</f>
        <v/>
      </c>
      <c r="J65">
        <f>IF($W65="","",IF(INDEX('Per Invoice'!J$2:J$801,$W65)="","",INDEX('Per Invoice'!J$2:J$801,$W65)))</f>
        <v/>
      </c>
      <c r="K65" s="7">
        <f>IF($W65="","",IF(INDEX('Per Invoice'!K$2:K$801,$W65)="","",INDEX('Per Invoice'!K$2:K$801,$W65)))</f>
        <v/>
      </c>
      <c r="L65" s="14">
        <f>IF($W65="","",IF(INDEX('Per Invoice'!L$2:L$801,$W65)="","",INDEX('Per Invoice'!L$2:L$801,$W65)))</f>
        <v/>
      </c>
      <c r="M65">
        <f>IF($W65="","",IF(INDEX('Per Invoice'!M$2:M$801,$W65)="","",INDEX('Per Invoice'!M$2:M$801,$W65)))</f>
        <v/>
      </c>
      <c r="N65" s="7">
        <f>IF($W65="","",IF(INDEX('Per Invoice'!N$2:N$801,$W65)="","",INDEX('Per Invoice'!N$2:N$801,$W65)))</f>
        <v/>
      </c>
      <c r="O65" s="7">
        <f>IF($W65="","",IF(INDEX('Per Invoice'!O$2:O$801,$W65)="","",INDEX('Per Invoice'!O$2:O$801,$W65)))</f>
        <v/>
      </c>
      <c r="P65">
        <f>IF($W65="","",IF(INDEX('Per Invoice'!P$2:P$801,$W65)="","",INDEX('Per Invoice'!P$2:P$801,$W65)))</f>
        <v/>
      </c>
      <c r="Q65" s="7">
        <f>IF($W65="","",IF(INDEX('Per Invoice'!Q$2:Q$801,$W65)="","",INDEX('Per Invoice'!Q$2:Q$801,$W65)))</f>
        <v/>
      </c>
      <c r="R65" s="7">
        <f>IF($W65="","",IF(INDEX('Per Invoice'!R$2:R$801,$W65)="","",INDEX('Per Invoice'!R$2:R$801,$W65)))</f>
        <v/>
      </c>
      <c r="S65" s="7">
        <f>IF($W65="","",IF(INDEX('Per Invoice'!S$2:S$801,$W65)="","",INDEX('Per Invoice'!S$2:S$801,$W65)))</f>
        <v/>
      </c>
      <c r="T65" s="7">
        <f>IF($W65="","",IF(INDEX('Per Invoice'!T$2:T$801,$W65)="","",INDEX('Per Invoice'!T$2:T$801,$W65)))</f>
        <v/>
      </c>
      <c r="U65" s="7">
        <f>IF($W65="","",IF(INDEX('Per Invoice'!U$2:U$801,$W65)="","",INDEX('Per Invoice'!U$2:U$801,$W65)))</f>
        <v/>
      </c>
      <c r="V65" s="7">
        <f>IF($W65="","",IF(INDEX('Per Invoice'!V$2:V$801,$W65)="","",INDEX('Per Invoice'!V$2:V$801,$W65)))</f>
        <v/>
      </c>
      <c r="W65" s="16">
        <f>IFERROR(MATCH(Settings!$C$28&amp;"|"&amp;ROWS($W$2:$W65),'Per Invoice'!$X$2:$X$801,0),"")</f>
        <v/>
      </c>
    </row>
    <row r="66">
      <c r="A66">
        <f>IF($W66="","",IF(INDEX('Per Invoice'!A$2:A$801,$W66)="","",INDEX('Per Invoice'!A$2:A$801,$W66)))</f>
        <v/>
      </c>
      <c r="B66">
        <f>IF($W66="","",IF(INDEX('Per Invoice'!B$2:B$801,$W66)="","",INDEX('Per Invoice'!B$2:B$801,$W66)))</f>
        <v/>
      </c>
      <c r="C66">
        <f>IF($W66="","",IF(INDEX('Per Invoice'!C$2:C$801,$W66)="","",INDEX('Per Invoice'!C$2:C$801,$W66)))</f>
        <v/>
      </c>
      <c r="D66">
        <f>IF($W66="","",IF(INDEX('Per Invoice'!D$2:D$801,$W66)="","",INDEX('Per Invoice'!D$2:D$801,$W66)))</f>
        <v/>
      </c>
      <c r="E66">
        <f>IF($W66="","",IF(INDEX('Per Invoice'!E$2:E$801,$W66)="","",INDEX('Per Invoice'!E$2:E$801,$W66)))</f>
        <v/>
      </c>
      <c r="F66">
        <f>IF($W66="","",IF(INDEX('Per Invoice'!F$2:F$801,$W66)="","",INDEX('Per Invoice'!F$2:F$801,$W66)))</f>
        <v/>
      </c>
      <c r="G66">
        <f>IF($W66="","",IF(INDEX('Per Invoice'!G$2:G$801,$W66)="","",INDEX('Per Invoice'!G$2:G$801,$W66)))</f>
        <v/>
      </c>
      <c r="H66">
        <f>IF($W66="","",IF(INDEX('Per Invoice'!H$2:H$801,$W66)="","",INDEX('Per Invoice'!H$2:H$801,$W66)))</f>
        <v/>
      </c>
      <c r="I66">
        <f>IF($W66="","",IF(INDEX('Per Invoice'!I$2:I$801,$W66)="","",INDEX('Per Invoice'!I$2:I$801,$W66)))</f>
        <v/>
      </c>
      <c r="J66">
        <f>IF($W66="","",IF(INDEX('Per Invoice'!J$2:J$801,$W66)="","",INDEX('Per Invoice'!J$2:J$801,$W66)))</f>
        <v/>
      </c>
      <c r="K66" s="7">
        <f>IF($W66="","",IF(INDEX('Per Invoice'!K$2:K$801,$W66)="","",INDEX('Per Invoice'!K$2:K$801,$W66)))</f>
        <v/>
      </c>
      <c r="L66" s="14">
        <f>IF($W66="","",IF(INDEX('Per Invoice'!L$2:L$801,$W66)="","",INDEX('Per Invoice'!L$2:L$801,$W66)))</f>
        <v/>
      </c>
      <c r="M66">
        <f>IF($W66="","",IF(INDEX('Per Invoice'!M$2:M$801,$W66)="","",INDEX('Per Invoice'!M$2:M$801,$W66)))</f>
        <v/>
      </c>
      <c r="N66" s="7">
        <f>IF($W66="","",IF(INDEX('Per Invoice'!N$2:N$801,$W66)="","",INDEX('Per Invoice'!N$2:N$801,$W66)))</f>
        <v/>
      </c>
      <c r="O66" s="7">
        <f>IF($W66="","",IF(INDEX('Per Invoice'!O$2:O$801,$W66)="","",INDEX('Per Invoice'!O$2:O$801,$W66)))</f>
        <v/>
      </c>
      <c r="P66">
        <f>IF($W66="","",IF(INDEX('Per Invoice'!P$2:P$801,$W66)="","",INDEX('Per Invoice'!P$2:P$801,$W66)))</f>
        <v/>
      </c>
      <c r="Q66" s="7">
        <f>IF($W66="","",IF(INDEX('Per Invoice'!Q$2:Q$801,$W66)="","",INDEX('Per Invoice'!Q$2:Q$801,$W66)))</f>
        <v/>
      </c>
      <c r="R66" s="7">
        <f>IF($W66="","",IF(INDEX('Per Invoice'!R$2:R$801,$W66)="","",INDEX('Per Invoice'!R$2:R$801,$W66)))</f>
        <v/>
      </c>
      <c r="S66" s="7">
        <f>IF($W66="","",IF(INDEX('Per Invoice'!S$2:S$801,$W66)="","",INDEX('Per Invoice'!S$2:S$801,$W66)))</f>
        <v/>
      </c>
      <c r="T66" s="7">
        <f>IF($W66="","",IF(INDEX('Per Invoice'!T$2:T$801,$W66)="","",INDEX('Per Invoice'!T$2:T$801,$W66)))</f>
        <v/>
      </c>
      <c r="U66" s="7">
        <f>IF($W66="","",IF(INDEX('Per Invoice'!U$2:U$801,$W66)="","",INDEX('Per Invoice'!U$2:U$801,$W66)))</f>
        <v/>
      </c>
      <c r="V66" s="7">
        <f>IF($W66="","",IF(INDEX('Per Invoice'!V$2:V$801,$W66)="","",INDEX('Per Invoice'!V$2:V$801,$W66)))</f>
        <v/>
      </c>
      <c r="W66" s="16">
        <f>IFERROR(MATCH(Settings!$C$28&amp;"|"&amp;ROWS($W$2:$W66),'Per Invoice'!$X$2:$X$801,0),"")</f>
        <v/>
      </c>
    </row>
    <row r="67">
      <c r="A67">
        <f>IF($W67="","",IF(INDEX('Per Invoice'!A$2:A$801,$W67)="","",INDEX('Per Invoice'!A$2:A$801,$W67)))</f>
        <v/>
      </c>
      <c r="B67">
        <f>IF($W67="","",IF(INDEX('Per Invoice'!B$2:B$801,$W67)="","",INDEX('Per Invoice'!B$2:B$801,$W67)))</f>
        <v/>
      </c>
      <c r="C67">
        <f>IF($W67="","",IF(INDEX('Per Invoice'!C$2:C$801,$W67)="","",INDEX('Per Invoice'!C$2:C$801,$W67)))</f>
        <v/>
      </c>
      <c r="D67">
        <f>IF($W67="","",IF(INDEX('Per Invoice'!D$2:D$801,$W67)="","",INDEX('Per Invoice'!D$2:D$801,$W67)))</f>
        <v/>
      </c>
      <c r="E67">
        <f>IF($W67="","",IF(INDEX('Per Invoice'!E$2:E$801,$W67)="","",INDEX('Per Invoice'!E$2:E$801,$W67)))</f>
        <v/>
      </c>
      <c r="F67">
        <f>IF($W67="","",IF(INDEX('Per Invoice'!F$2:F$801,$W67)="","",INDEX('Per Invoice'!F$2:F$801,$W67)))</f>
        <v/>
      </c>
      <c r="G67">
        <f>IF($W67="","",IF(INDEX('Per Invoice'!G$2:G$801,$W67)="","",INDEX('Per Invoice'!G$2:G$801,$W67)))</f>
        <v/>
      </c>
      <c r="H67">
        <f>IF($W67="","",IF(INDEX('Per Invoice'!H$2:H$801,$W67)="","",INDEX('Per Invoice'!H$2:H$801,$W67)))</f>
        <v/>
      </c>
      <c r="I67">
        <f>IF($W67="","",IF(INDEX('Per Invoice'!I$2:I$801,$W67)="","",INDEX('Per Invoice'!I$2:I$801,$W67)))</f>
        <v/>
      </c>
      <c r="J67">
        <f>IF($W67="","",IF(INDEX('Per Invoice'!J$2:J$801,$W67)="","",INDEX('Per Invoice'!J$2:J$801,$W67)))</f>
        <v/>
      </c>
      <c r="K67" s="7">
        <f>IF($W67="","",IF(INDEX('Per Invoice'!K$2:K$801,$W67)="","",INDEX('Per Invoice'!K$2:K$801,$W67)))</f>
        <v/>
      </c>
      <c r="L67" s="14">
        <f>IF($W67="","",IF(INDEX('Per Invoice'!L$2:L$801,$W67)="","",INDEX('Per Invoice'!L$2:L$801,$W67)))</f>
        <v/>
      </c>
      <c r="M67">
        <f>IF($W67="","",IF(INDEX('Per Invoice'!M$2:M$801,$W67)="","",INDEX('Per Invoice'!M$2:M$801,$W67)))</f>
        <v/>
      </c>
      <c r="N67" s="7">
        <f>IF($W67="","",IF(INDEX('Per Invoice'!N$2:N$801,$W67)="","",INDEX('Per Invoice'!N$2:N$801,$W67)))</f>
        <v/>
      </c>
      <c r="O67" s="7">
        <f>IF($W67="","",IF(INDEX('Per Invoice'!O$2:O$801,$W67)="","",INDEX('Per Invoice'!O$2:O$801,$W67)))</f>
        <v/>
      </c>
      <c r="P67">
        <f>IF($W67="","",IF(INDEX('Per Invoice'!P$2:P$801,$W67)="","",INDEX('Per Invoice'!P$2:P$801,$W67)))</f>
        <v/>
      </c>
      <c r="Q67" s="7">
        <f>IF($W67="","",IF(INDEX('Per Invoice'!Q$2:Q$801,$W67)="","",INDEX('Per Invoice'!Q$2:Q$801,$W67)))</f>
        <v/>
      </c>
      <c r="R67" s="7">
        <f>IF($W67="","",IF(INDEX('Per Invoice'!R$2:R$801,$W67)="","",INDEX('Per Invoice'!R$2:R$801,$W67)))</f>
        <v/>
      </c>
      <c r="S67" s="7">
        <f>IF($W67="","",IF(INDEX('Per Invoice'!S$2:S$801,$W67)="","",INDEX('Per Invoice'!S$2:S$801,$W67)))</f>
        <v/>
      </c>
      <c r="T67" s="7">
        <f>IF($W67="","",IF(INDEX('Per Invoice'!T$2:T$801,$W67)="","",INDEX('Per Invoice'!T$2:T$801,$W67)))</f>
        <v/>
      </c>
      <c r="U67" s="7">
        <f>IF($W67="","",IF(INDEX('Per Invoice'!U$2:U$801,$W67)="","",INDEX('Per Invoice'!U$2:U$801,$W67)))</f>
        <v/>
      </c>
      <c r="V67" s="7">
        <f>IF($W67="","",IF(INDEX('Per Invoice'!V$2:V$801,$W67)="","",INDEX('Per Invoice'!V$2:V$801,$W67)))</f>
        <v/>
      </c>
      <c r="W67" s="16">
        <f>IFERROR(MATCH(Settings!$C$28&amp;"|"&amp;ROWS($W$2:$W67),'Per Invoice'!$X$2:$X$801,0),"")</f>
        <v/>
      </c>
    </row>
    <row r="68">
      <c r="A68">
        <f>IF($W68="","",IF(INDEX('Per Invoice'!A$2:A$801,$W68)="","",INDEX('Per Invoice'!A$2:A$801,$W68)))</f>
        <v/>
      </c>
      <c r="B68">
        <f>IF($W68="","",IF(INDEX('Per Invoice'!B$2:B$801,$W68)="","",INDEX('Per Invoice'!B$2:B$801,$W68)))</f>
        <v/>
      </c>
      <c r="C68">
        <f>IF($W68="","",IF(INDEX('Per Invoice'!C$2:C$801,$W68)="","",INDEX('Per Invoice'!C$2:C$801,$W68)))</f>
        <v/>
      </c>
      <c r="D68">
        <f>IF($W68="","",IF(INDEX('Per Invoice'!D$2:D$801,$W68)="","",INDEX('Per Invoice'!D$2:D$801,$W68)))</f>
        <v/>
      </c>
      <c r="E68">
        <f>IF($W68="","",IF(INDEX('Per Invoice'!E$2:E$801,$W68)="","",INDEX('Per Invoice'!E$2:E$801,$W68)))</f>
        <v/>
      </c>
      <c r="F68">
        <f>IF($W68="","",IF(INDEX('Per Invoice'!F$2:F$801,$W68)="","",INDEX('Per Invoice'!F$2:F$801,$W68)))</f>
        <v/>
      </c>
      <c r="G68">
        <f>IF($W68="","",IF(INDEX('Per Invoice'!G$2:G$801,$W68)="","",INDEX('Per Invoice'!G$2:G$801,$W68)))</f>
        <v/>
      </c>
      <c r="H68">
        <f>IF($W68="","",IF(INDEX('Per Invoice'!H$2:H$801,$W68)="","",INDEX('Per Invoice'!H$2:H$801,$W68)))</f>
        <v/>
      </c>
      <c r="I68">
        <f>IF($W68="","",IF(INDEX('Per Invoice'!I$2:I$801,$W68)="","",INDEX('Per Invoice'!I$2:I$801,$W68)))</f>
        <v/>
      </c>
      <c r="J68">
        <f>IF($W68="","",IF(INDEX('Per Invoice'!J$2:J$801,$W68)="","",INDEX('Per Invoice'!J$2:J$801,$W68)))</f>
        <v/>
      </c>
      <c r="K68" s="7">
        <f>IF($W68="","",IF(INDEX('Per Invoice'!K$2:K$801,$W68)="","",INDEX('Per Invoice'!K$2:K$801,$W68)))</f>
        <v/>
      </c>
      <c r="L68" s="14">
        <f>IF($W68="","",IF(INDEX('Per Invoice'!L$2:L$801,$W68)="","",INDEX('Per Invoice'!L$2:L$801,$W68)))</f>
        <v/>
      </c>
      <c r="M68">
        <f>IF($W68="","",IF(INDEX('Per Invoice'!M$2:M$801,$W68)="","",INDEX('Per Invoice'!M$2:M$801,$W68)))</f>
        <v/>
      </c>
      <c r="N68" s="7">
        <f>IF($W68="","",IF(INDEX('Per Invoice'!N$2:N$801,$W68)="","",INDEX('Per Invoice'!N$2:N$801,$W68)))</f>
        <v/>
      </c>
      <c r="O68" s="7">
        <f>IF($W68="","",IF(INDEX('Per Invoice'!O$2:O$801,$W68)="","",INDEX('Per Invoice'!O$2:O$801,$W68)))</f>
        <v/>
      </c>
      <c r="P68">
        <f>IF($W68="","",IF(INDEX('Per Invoice'!P$2:P$801,$W68)="","",INDEX('Per Invoice'!P$2:P$801,$W68)))</f>
        <v/>
      </c>
      <c r="Q68" s="7">
        <f>IF($W68="","",IF(INDEX('Per Invoice'!Q$2:Q$801,$W68)="","",INDEX('Per Invoice'!Q$2:Q$801,$W68)))</f>
        <v/>
      </c>
      <c r="R68" s="7">
        <f>IF($W68="","",IF(INDEX('Per Invoice'!R$2:R$801,$W68)="","",INDEX('Per Invoice'!R$2:R$801,$W68)))</f>
        <v/>
      </c>
      <c r="S68" s="7">
        <f>IF($W68="","",IF(INDEX('Per Invoice'!S$2:S$801,$W68)="","",INDEX('Per Invoice'!S$2:S$801,$W68)))</f>
        <v/>
      </c>
      <c r="T68" s="7">
        <f>IF($W68="","",IF(INDEX('Per Invoice'!T$2:T$801,$W68)="","",INDEX('Per Invoice'!T$2:T$801,$W68)))</f>
        <v/>
      </c>
      <c r="U68" s="7">
        <f>IF($W68="","",IF(INDEX('Per Invoice'!U$2:U$801,$W68)="","",INDEX('Per Invoice'!U$2:U$801,$W68)))</f>
        <v/>
      </c>
      <c r="V68" s="7">
        <f>IF($W68="","",IF(INDEX('Per Invoice'!V$2:V$801,$W68)="","",INDEX('Per Invoice'!V$2:V$801,$W68)))</f>
        <v/>
      </c>
      <c r="W68" s="16">
        <f>IFERROR(MATCH(Settings!$C$28&amp;"|"&amp;ROWS($W$2:$W68),'Per Invoice'!$X$2:$X$801,0),"")</f>
        <v/>
      </c>
    </row>
    <row r="69">
      <c r="A69">
        <f>IF($W69="","",IF(INDEX('Per Invoice'!A$2:A$801,$W69)="","",INDEX('Per Invoice'!A$2:A$801,$W69)))</f>
        <v/>
      </c>
      <c r="B69">
        <f>IF($W69="","",IF(INDEX('Per Invoice'!B$2:B$801,$W69)="","",INDEX('Per Invoice'!B$2:B$801,$W69)))</f>
        <v/>
      </c>
      <c r="C69">
        <f>IF($W69="","",IF(INDEX('Per Invoice'!C$2:C$801,$W69)="","",INDEX('Per Invoice'!C$2:C$801,$W69)))</f>
        <v/>
      </c>
      <c r="D69">
        <f>IF($W69="","",IF(INDEX('Per Invoice'!D$2:D$801,$W69)="","",INDEX('Per Invoice'!D$2:D$801,$W69)))</f>
        <v/>
      </c>
      <c r="E69">
        <f>IF($W69="","",IF(INDEX('Per Invoice'!E$2:E$801,$W69)="","",INDEX('Per Invoice'!E$2:E$801,$W69)))</f>
        <v/>
      </c>
      <c r="F69">
        <f>IF($W69="","",IF(INDEX('Per Invoice'!F$2:F$801,$W69)="","",INDEX('Per Invoice'!F$2:F$801,$W69)))</f>
        <v/>
      </c>
      <c r="G69">
        <f>IF($W69="","",IF(INDEX('Per Invoice'!G$2:G$801,$W69)="","",INDEX('Per Invoice'!G$2:G$801,$W69)))</f>
        <v/>
      </c>
      <c r="H69">
        <f>IF($W69="","",IF(INDEX('Per Invoice'!H$2:H$801,$W69)="","",INDEX('Per Invoice'!H$2:H$801,$W69)))</f>
        <v/>
      </c>
      <c r="I69">
        <f>IF($W69="","",IF(INDEX('Per Invoice'!I$2:I$801,$W69)="","",INDEX('Per Invoice'!I$2:I$801,$W69)))</f>
        <v/>
      </c>
      <c r="J69">
        <f>IF($W69="","",IF(INDEX('Per Invoice'!J$2:J$801,$W69)="","",INDEX('Per Invoice'!J$2:J$801,$W69)))</f>
        <v/>
      </c>
      <c r="K69" s="7">
        <f>IF($W69="","",IF(INDEX('Per Invoice'!K$2:K$801,$W69)="","",INDEX('Per Invoice'!K$2:K$801,$W69)))</f>
        <v/>
      </c>
      <c r="L69" s="14">
        <f>IF($W69="","",IF(INDEX('Per Invoice'!L$2:L$801,$W69)="","",INDEX('Per Invoice'!L$2:L$801,$W69)))</f>
        <v/>
      </c>
      <c r="M69">
        <f>IF($W69="","",IF(INDEX('Per Invoice'!M$2:M$801,$W69)="","",INDEX('Per Invoice'!M$2:M$801,$W69)))</f>
        <v/>
      </c>
      <c r="N69" s="7">
        <f>IF($W69="","",IF(INDEX('Per Invoice'!N$2:N$801,$W69)="","",INDEX('Per Invoice'!N$2:N$801,$W69)))</f>
        <v/>
      </c>
      <c r="O69" s="7">
        <f>IF($W69="","",IF(INDEX('Per Invoice'!O$2:O$801,$W69)="","",INDEX('Per Invoice'!O$2:O$801,$W69)))</f>
        <v/>
      </c>
      <c r="P69">
        <f>IF($W69="","",IF(INDEX('Per Invoice'!P$2:P$801,$W69)="","",INDEX('Per Invoice'!P$2:P$801,$W69)))</f>
        <v/>
      </c>
      <c r="Q69" s="7">
        <f>IF($W69="","",IF(INDEX('Per Invoice'!Q$2:Q$801,$W69)="","",INDEX('Per Invoice'!Q$2:Q$801,$W69)))</f>
        <v/>
      </c>
      <c r="R69" s="7">
        <f>IF($W69="","",IF(INDEX('Per Invoice'!R$2:R$801,$W69)="","",INDEX('Per Invoice'!R$2:R$801,$W69)))</f>
        <v/>
      </c>
      <c r="S69" s="7">
        <f>IF($W69="","",IF(INDEX('Per Invoice'!S$2:S$801,$W69)="","",INDEX('Per Invoice'!S$2:S$801,$W69)))</f>
        <v/>
      </c>
      <c r="T69" s="7">
        <f>IF($W69="","",IF(INDEX('Per Invoice'!T$2:T$801,$W69)="","",INDEX('Per Invoice'!T$2:T$801,$W69)))</f>
        <v/>
      </c>
      <c r="U69" s="7">
        <f>IF($W69="","",IF(INDEX('Per Invoice'!U$2:U$801,$W69)="","",INDEX('Per Invoice'!U$2:U$801,$W69)))</f>
        <v/>
      </c>
      <c r="V69" s="7">
        <f>IF($W69="","",IF(INDEX('Per Invoice'!V$2:V$801,$W69)="","",INDEX('Per Invoice'!V$2:V$801,$W69)))</f>
        <v/>
      </c>
      <c r="W69" s="16">
        <f>IFERROR(MATCH(Settings!$C$28&amp;"|"&amp;ROWS($W$2:$W69),'Per Invoice'!$X$2:$X$801,0),"")</f>
        <v/>
      </c>
    </row>
    <row r="70">
      <c r="A70">
        <f>IF($W70="","",IF(INDEX('Per Invoice'!A$2:A$801,$W70)="","",INDEX('Per Invoice'!A$2:A$801,$W70)))</f>
        <v/>
      </c>
      <c r="B70">
        <f>IF($W70="","",IF(INDEX('Per Invoice'!B$2:B$801,$W70)="","",INDEX('Per Invoice'!B$2:B$801,$W70)))</f>
        <v/>
      </c>
      <c r="C70">
        <f>IF($W70="","",IF(INDEX('Per Invoice'!C$2:C$801,$W70)="","",INDEX('Per Invoice'!C$2:C$801,$W70)))</f>
        <v/>
      </c>
      <c r="D70">
        <f>IF($W70="","",IF(INDEX('Per Invoice'!D$2:D$801,$W70)="","",INDEX('Per Invoice'!D$2:D$801,$W70)))</f>
        <v/>
      </c>
      <c r="E70">
        <f>IF($W70="","",IF(INDEX('Per Invoice'!E$2:E$801,$W70)="","",INDEX('Per Invoice'!E$2:E$801,$W70)))</f>
        <v/>
      </c>
      <c r="F70">
        <f>IF($W70="","",IF(INDEX('Per Invoice'!F$2:F$801,$W70)="","",INDEX('Per Invoice'!F$2:F$801,$W70)))</f>
        <v/>
      </c>
      <c r="G70">
        <f>IF($W70="","",IF(INDEX('Per Invoice'!G$2:G$801,$W70)="","",INDEX('Per Invoice'!G$2:G$801,$W70)))</f>
        <v/>
      </c>
      <c r="H70">
        <f>IF($W70="","",IF(INDEX('Per Invoice'!H$2:H$801,$W70)="","",INDEX('Per Invoice'!H$2:H$801,$W70)))</f>
        <v/>
      </c>
      <c r="I70">
        <f>IF($W70="","",IF(INDEX('Per Invoice'!I$2:I$801,$W70)="","",INDEX('Per Invoice'!I$2:I$801,$W70)))</f>
        <v/>
      </c>
      <c r="J70">
        <f>IF($W70="","",IF(INDEX('Per Invoice'!J$2:J$801,$W70)="","",INDEX('Per Invoice'!J$2:J$801,$W70)))</f>
        <v/>
      </c>
      <c r="K70" s="7">
        <f>IF($W70="","",IF(INDEX('Per Invoice'!K$2:K$801,$W70)="","",INDEX('Per Invoice'!K$2:K$801,$W70)))</f>
        <v/>
      </c>
      <c r="L70" s="14">
        <f>IF($W70="","",IF(INDEX('Per Invoice'!L$2:L$801,$W70)="","",INDEX('Per Invoice'!L$2:L$801,$W70)))</f>
        <v/>
      </c>
      <c r="M70">
        <f>IF($W70="","",IF(INDEX('Per Invoice'!M$2:M$801,$W70)="","",INDEX('Per Invoice'!M$2:M$801,$W70)))</f>
        <v/>
      </c>
      <c r="N70" s="7">
        <f>IF($W70="","",IF(INDEX('Per Invoice'!N$2:N$801,$W70)="","",INDEX('Per Invoice'!N$2:N$801,$W70)))</f>
        <v/>
      </c>
      <c r="O70" s="7">
        <f>IF($W70="","",IF(INDEX('Per Invoice'!O$2:O$801,$W70)="","",INDEX('Per Invoice'!O$2:O$801,$W70)))</f>
        <v/>
      </c>
      <c r="P70">
        <f>IF($W70="","",IF(INDEX('Per Invoice'!P$2:P$801,$W70)="","",INDEX('Per Invoice'!P$2:P$801,$W70)))</f>
        <v/>
      </c>
      <c r="Q70" s="7">
        <f>IF($W70="","",IF(INDEX('Per Invoice'!Q$2:Q$801,$W70)="","",INDEX('Per Invoice'!Q$2:Q$801,$W70)))</f>
        <v/>
      </c>
      <c r="R70" s="7">
        <f>IF($W70="","",IF(INDEX('Per Invoice'!R$2:R$801,$W70)="","",INDEX('Per Invoice'!R$2:R$801,$W70)))</f>
        <v/>
      </c>
      <c r="S70" s="7">
        <f>IF($W70="","",IF(INDEX('Per Invoice'!S$2:S$801,$W70)="","",INDEX('Per Invoice'!S$2:S$801,$W70)))</f>
        <v/>
      </c>
      <c r="T70" s="7">
        <f>IF($W70="","",IF(INDEX('Per Invoice'!T$2:T$801,$W70)="","",INDEX('Per Invoice'!T$2:T$801,$W70)))</f>
        <v/>
      </c>
      <c r="U70" s="7">
        <f>IF($W70="","",IF(INDEX('Per Invoice'!U$2:U$801,$W70)="","",INDEX('Per Invoice'!U$2:U$801,$W70)))</f>
        <v/>
      </c>
      <c r="V70" s="7">
        <f>IF($W70="","",IF(INDEX('Per Invoice'!V$2:V$801,$W70)="","",INDEX('Per Invoice'!V$2:V$801,$W70)))</f>
        <v/>
      </c>
      <c r="W70" s="16">
        <f>IFERROR(MATCH(Settings!$C$28&amp;"|"&amp;ROWS($W$2:$W70),'Per Invoice'!$X$2:$X$801,0),"")</f>
        <v/>
      </c>
    </row>
    <row r="71">
      <c r="A71">
        <f>IF($W71="","",IF(INDEX('Per Invoice'!A$2:A$801,$W71)="","",INDEX('Per Invoice'!A$2:A$801,$W71)))</f>
        <v/>
      </c>
      <c r="B71">
        <f>IF($W71="","",IF(INDEX('Per Invoice'!B$2:B$801,$W71)="","",INDEX('Per Invoice'!B$2:B$801,$W71)))</f>
        <v/>
      </c>
      <c r="C71">
        <f>IF($W71="","",IF(INDEX('Per Invoice'!C$2:C$801,$W71)="","",INDEX('Per Invoice'!C$2:C$801,$W71)))</f>
        <v/>
      </c>
      <c r="D71">
        <f>IF($W71="","",IF(INDEX('Per Invoice'!D$2:D$801,$W71)="","",INDEX('Per Invoice'!D$2:D$801,$W71)))</f>
        <v/>
      </c>
      <c r="E71">
        <f>IF($W71="","",IF(INDEX('Per Invoice'!E$2:E$801,$W71)="","",INDEX('Per Invoice'!E$2:E$801,$W71)))</f>
        <v/>
      </c>
      <c r="F71">
        <f>IF($W71="","",IF(INDEX('Per Invoice'!F$2:F$801,$W71)="","",INDEX('Per Invoice'!F$2:F$801,$W71)))</f>
        <v/>
      </c>
      <c r="G71">
        <f>IF($W71="","",IF(INDEX('Per Invoice'!G$2:G$801,$W71)="","",INDEX('Per Invoice'!G$2:G$801,$W71)))</f>
        <v/>
      </c>
      <c r="H71">
        <f>IF($W71="","",IF(INDEX('Per Invoice'!H$2:H$801,$W71)="","",INDEX('Per Invoice'!H$2:H$801,$W71)))</f>
        <v/>
      </c>
      <c r="I71">
        <f>IF($W71="","",IF(INDEX('Per Invoice'!I$2:I$801,$W71)="","",INDEX('Per Invoice'!I$2:I$801,$W71)))</f>
        <v/>
      </c>
      <c r="J71">
        <f>IF($W71="","",IF(INDEX('Per Invoice'!J$2:J$801,$W71)="","",INDEX('Per Invoice'!J$2:J$801,$W71)))</f>
        <v/>
      </c>
      <c r="K71" s="7">
        <f>IF($W71="","",IF(INDEX('Per Invoice'!K$2:K$801,$W71)="","",INDEX('Per Invoice'!K$2:K$801,$W71)))</f>
        <v/>
      </c>
      <c r="L71" s="14">
        <f>IF($W71="","",IF(INDEX('Per Invoice'!L$2:L$801,$W71)="","",INDEX('Per Invoice'!L$2:L$801,$W71)))</f>
        <v/>
      </c>
      <c r="M71">
        <f>IF($W71="","",IF(INDEX('Per Invoice'!M$2:M$801,$W71)="","",INDEX('Per Invoice'!M$2:M$801,$W71)))</f>
        <v/>
      </c>
      <c r="N71" s="7">
        <f>IF($W71="","",IF(INDEX('Per Invoice'!N$2:N$801,$W71)="","",INDEX('Per Invoice'!N$2:N$801,$W71)))</f>
        <v/>
      </c>
      <c r="O71" s="7">
        <f>IF($W71="","",IF(INDEX('Per Invoice'!O$2:O$801,$W71)="","",INDEX('Per Invoice'!O$2:O$801,$W71)))</f>
        <v/>
      </c>
      <c r="P71">
        <f>IF($W71="","",IF(INDEX('Per Invoice'!P$2:P$801,$W71)="","",INDEX('Per Invoice'!P$2:P$801,$W71)))</f>
        <v/>
      </c>
      <c r="Q71" s="7">
        <f>IF($W71="","",IF(INDEX('Per Invoice'!Q$2:Q$801,$W71)="","",INDEX('Per Invoice'!Q$2:Q$801,$W71)))</f>
        <v/>
      </c>
      <c r="R71" s="7">
        <f>IF($W71="","",IF(INDEX('Per Invoice'!R$2:R$801,$W71)="","",INDEX('Per Invoice'!R$2:R$801,$W71)))</f>
        <v/>
      </c>
      <c r="S71" s="7">
        <f>IF($W71="","",IF(INDEX('Per Invoice'!S$2:S$801,$W71)="","",INDEX('Per Invoice'!S$2:S$801,$W71)))</f>
        <v/>
      </c>
      <c r="T71" s="7">
        <f>IF($W71="","",IF(INDEX('Per Invoice'!T$2:T$801,$W71)="","",INDEX('Per Invoice'!T$2:T$801,$W71)))</f>
        <v/>
      </c>
      <c r="U71" s="7">
        <f>IF($W71="","",IF(INDEX('Per Invoice'!U$2:U$801,$W71)="","",INDEX('Per Invoice'!U$2:U$801,$W71)))</f>
        <v/>
      </c>
      <c r="V71" s="7">
        <f>IF($W71="","",IF(INDEX('Per Invoice'!V$2:V$801,$W71)="","",INDEX('Per Invoice'!V$2:V$801,$W71)))</f>
        <v/>
      </c>
      <c r="W71" s="16">
        <f>IFERROR(MATCH(Settings!$C$28&amp;"|"&amp;ROWS($W$2:$W71),'Per Invoice'!$X$2:$X$801,0),"")</f>
        <v/>
      </c>
    </row>
    <row r="72">
      <c r="A72">
        <f>IF($W72="","",IF(INDEX('Per Invoice'!A$2:A$801,$W72)="","",INDEX('Per Invoice'!A$2:A$801,$W72)))</f>
        <v/>
      </c>
      <c r="B72">
        <f>IF($W72="","",IF(INDEX('Per Invoice'!B$2:B$801,$W72)="","",INDEX('Per Invoice'!B$2:B$801,$W72)))</f>
        <v/>
      </c>
      <c r="C72">
        <f>IF($W72="","",IF(INDEX('Per Invoice'!C$2:C$801,$W72)="","",INDEX('Per Invoice'!C$2:C$801,$W72)))</f>
        <v/>
      </c>
      <c r="D72">
        <f>IF($W72="","",IF(INDEX('Per Invoice'!D$2:D$801,$W72)="","",INDEX('Per Invoice'!D$2:D$801,$W72)))</f>
        <v/>
      </c>
      <c r="E72">
        <f>IF($W72="","",IF(INDEX('Per Invoice'!E$2:E$801,$W72)="","",INDEX('Per Invoice'!E$2:E$801,$W72)))</f>
        <v/>
      </c>
      <c r="F72">
        <f>IF($W72="","",IF(INDEX('Per Invoice'!F$2:F$801,$W72)="","",INDEX('Per Invoice'!F$2:F$801,$W72)))</f>
        <v/>
      </c>
      <c r="G72">
        <f>IF($W72="","",IF(INDEX('Per Invoice'!G$2:G$801,$W72)="","",INDEX('Per Invoice'!G$2:G$801,$W72)))</f>
        <v/>
      </c>
      <c r="H72">
        <f>IF($W72="","",IF(INDEX('Per Invoice'!H$2:H$801,$W72)="","",INDEX('Per Invoice'!H$2:H$801,$W72)))</f>
        <v/>
      </c>
      <c r="I72">
        <f>IF($W72="","",IF(INDEX('Per Invoice'!I$2:I$801,$W72)="","",INDEX('Per Invoice'!I$2:I$801,$W72)))</f>
        <v/>
      </c>
      <c r="J72">
        <f>IF($W72="","",IF(INDEX('Per Invoice'!J$2:J$801,$W72)="","",INDEX('Per Invoice'!J$2:J$801,$W72)))</f>
        <v/>
      </c>
      <c r="K72" s="7">
        <f>IF($W72="","",IF(INDEX('Per Invoice'!K$2:K$801,$W72)="","",INDEX('Per Invoice'!K$2:K$801,$W72)))</f>
        <v/>
      </c>
      <c r="L72" s="14">
        <f>IF($W72="","",IF(INDEX('Per Invoice'!L$2:L$801,$W72)="","",INDEX('Per Invoice'!L$2:L$801,$W72)))</f>
        <v/>
      </c>
      <c r="M72">
        <f>IF($W72="","",IF(INDEX('Per Invoice'!M$2:M$801,$W72)="","",INDEX('Per Invoice'!M$2:M$801,$W72)))</f>
        <v/>
      </c>
      <c r="N72" s="7">
        <f>IF($W72="","",IF(INDEX('Per Invoice'!N$2:N$801,$W72)="","",INDEX('Per Invoice'!N$2:N$801,$W72)))</f>
        <v/>
      </c>
      <c r="O72" s="7">
        <f>IF($W72="","",IF(INDEX('Per Invoice'!O$2:O$801,$W72)="","",INDEX('Per Invoice'!O$2:O$801,$W72)))</f>
        <v/>
      </c>
      <c r="P72">
        <f>IF($W72="","",IF(INDEX('Per Invoice'!P$2:P$801,$W72)="","",INDEX('Per Invoice'!P$2:P$801,$W72)))</f>
        <v/>
      </c>
      <c r="Q72" s="7">
        <f>IF($W72="","",IF(INDEX('Per Invoice'!Q$2:Q$801,$W72)="","",INDEX('Per Invoice'!Q$2:Q$801,$W72)))</f>
        <v/>
      </c>
      <c r="R72" s="7">
        <f>IF($W72="","",IF(INDEX('Per Invoice'!R$2:R$801,$W72)="","",INDEX('Per Invoice'!R$2:R$801,$W72)))</f>
        <v/>
      </c>
      <c r="S72" s="7">
        <f>IF($W72="","",IF(INDEX('Per Invoice'!S$2:S$801,$W72)="","",INDEX('Per Invoice'!S$2:S$801,$W72)))</f>
        <v/>
      </c>
      <c r="T72" s="7">
        <f>IF($W72="","",IF(INDEX('Per Invoice'!T$2:T$801,$W72)="","",INDEX('Per Invoice'!T$2:T$801,$W72)))</f>
        <v/>
      </c>
      <c r="U72" s="7">
        <f>IF($W72="","",IF(INDEX('Per Invoice'!U$2:U$801,$W72)="","",INDEX('Per Invoice'!U$2:U$801,$W72)))</f>
        <v/>
      </c>
      <c r="V72" s="7">
        <f>IF($W72="","",IF(INDEX('Per Invoice'!V$2:V$801,$W72)="","",INDEX('Per Invoice'!V$2:V$801,$W72)))</f>
        <v/>
      </c>
      <c r="W72" s="16">
        <f>IFERROR(MATCH(Settings!$C$28&amp;"|"&amp;ROWS($W$2:$W72),'Per Invoice'!$X$2:$X$801,0),"")</f>
        <v/>
      </c>
    </row>
    <row r="73">
      <c r="A73">
        <f>IF($W73="","",IF(INDEX('Per Invoice'!A$2:A$801,$W73)="","",INDEX('Per Invoice'!A$2:A$801,$W73)))</f>
        <v/>
      </c>
      <c r="B73">
        <f>IF($W73="","",IF(INDEX('Per Invoice'!B$2:B$801,$W73)="","",INDEX('Per Invoice'!B$2:B$801,$W73)))</f>
        <v/>
      </c>
      <c r="C73">
        <f>IF($W73="","",IF(INDEX('Per Invoice'!C$2:C$801,$W73)="","",INDEX('Per Invoice'!C$2:C$801,$W73)))</f>
        <v/>
      </c>
      <c r="D73">
        <f>IF($W73="","",IF(INDEX('Per Invoice'!D$2:D$801,$W73)="","",INDEX('Per Invoice'!D$2:D$801,$W73)))</f>
        <v/>
      </c>
      <c r="E73">
        <f>IF($W73="","",IF(INDEX('Per Invoice'!E$2:E$801,$W73)="","",INDEX('Per Invoice'!E$2:E$801,$W73)))</f>
        <v/>
      </c>
      <c r="F73">
        <f>IF($W73="","",IF(INDEX('Per Invoice'!F$2:F$801,$W73)="","",INDEX('Per Invoice'!F$2:F$801,$W73)))</f>
        <v/>
      </c>
      <c r="G73">
        <f>IF($W73="","",IF(INDEX('Per Invoice'!G$2:G$801,$W73)="","",INDEX('Per Invoice'!G$2:G$801,$W73)))</f>
        <v/>
      </c>
      <c r="H73">
        <f>IF($W73="","",IF(INDEX('Per Invoice'!H$2:H$801,$W73)="","",INDEX('Per Invoice'!H$2:H$801,$W73)))</f>
        <v/>
      </c>
      <c r="I73">
        <f>IF($W73="","",IF(INDEX('Per Invoice'!I$2:I$801,$W73)="","",INDEX('Per Invoice'!I$2:I$801,$W73)))</f>
        <v/>
      </c>
      <c r="J73">
        <f>IF($W73="","",IF(INDEX('Per Invoice'!J$2:J$801,$W73)="","",INDEX('Per Invoice'!J$2:J$801,$W73)))</f>
        <v/>
      </c>
      <c r="K73" s="7">
        <f>IF($W73="","",IF(INDEX('Per Invoice'!K$2:K$801,$W73)="","",INDEX('Per Invoice'!K$2:K$801,$W73)))</f>
        <v/>
      </c>
      <c r="L73" s="14">
        <f>IF($W73="","",IF(INDEX('Per Invoice'!L$2:L$801,$W73)="","",INDEX('Per Invoice'!L$2:L$801,$W73)))</f>
        <v/>
      </c>
      <c r="M73">
        <f>IF($W73="","",IF(INDEX('Per Invoice'!M$2:M$801,$W73)="","",INDEX('Per Invoice'!M$2:M$801,$W73)))</f>
        <v/>
      </c>
      <c r="N73" s="7">
        <f>IF($W73="","",IF(INDEX('Per Invoice'!N$2:N$801,$W73)="","",INDEX('Per Invoice'!N$2:N$801,$W73)))</f>
        <v/>
      </c>
      <c r="O73" s="7">
        <f>IF($W73="","",IF(INDEX('Per Invoice'!O$2:O$801,$W73)="","",INDEX('Per Invoice'!O$2:O$801,$W73)))</f>
        <v/>
      </c>
      <c r="P73">
        <f>IF($W73="","",IF(INDEX('Per Invoice'!P$2:P$801,$W73)="","",INDEX('Per Invoice'!P$2:P$801,$W73)))</f>
        <v/>
      </c>
      <c r="Q73" s="7">
        <f>IF($W73="","",IF(INDEX('Per Invoice'!Q$2:Q$801,$W73)="","",INDEX('Per Invoice'!Q$2:Q$801,$W73)))</f>
        <v/>
      </c>
      <c r="R73" s="7">
        <f>IF($W73="","",IF(INDEX('Per Invoice'!R$2:R$801,$W73)="","",INDEX('Per Invoice'!R$2:R$801,$W73)))</f>
        <v/>
      </c>
      <c r="S73" s="7">
        <f>IF($W73="","",IF(INDEX('Per Invoice'!S$2:S$801,$W73)="","",INDEX('Per Invoice'!S$2:S$801,$W73)))</f>
        <v/>
      </c>
      <c r="T73" s="7">
        <f>IF($W73="","",IF(INDEX('Per Invoice'!T$2:T$801,$W73)="","",INDEX('Per Invoice'!T$2:T$801,$W73)))</f>
        <v/>
      </c>
      <c r="U73" s="7">
        <f>IF($W73="","",IF(INDEX('Per Invoice'!U$2:U$801,$W73)="","",INDEX('Per Invoice'!U$2:U$801,$W73)))</f>
        <v/>
      </c>
      <c r="V73" s="7">
        <f>IF($W73="","",IF(INDEX('Per Invoice'!V$2:V$801,$W73)="","",INDEX('Per Invoice'!V$2:V$801,$W73)))</f>
        <v/>
      </c>
      <c r="W73" s="16">
        <f>IFERROR(MATCH(Settings!$C$28&amp;"|"&amp;ROWS($W$2:$W73),'Per Invoice'!$X$2:$X$801,0),"")</f>
        <v/>
      </c>
    </row>
    <row r="74">
      <c r="A74">
        <f>IF($W74="","",IF(INDEX('Per Invoice'!A$2:A$801,$W74)="","",INDEX('Per Invoice'!A$2:A$801,$W74)))</f>
        <v/>
      </c>
      <c r="B74">
        <f>IF($W74="","",IF(INDEX('Per Invoice'!B$2:B$801,$W74)="","",INDEX('Per Invoice'!B$2:B$801,$W74)))</f>
        <v/>
      </c>
      <c r="C74">
        <f>IF($W74="","",IF(INDEX('Per Invoice'!C$2:C$801,$W74)="","",INDEX('Per Invoice'!C$2:C$801,$W74)))</f>
        <v/>
      </c>
      <c r="D74">
        <f>IF($W74="","",IF(INDEX('Per Invoice'!D$2:D$801,$W74)="","",INDEX('Per Invoice'!D$2:D$801,$W74)))</f>
        <v/>
      </c>
      <c r="E74">
        <f>IF($W74="","",IF(INDEX('Per Invoice'!E$2:E$801,$W74)="","",INDEX('Per Invoice'!E$2:E$801,$W74)))</f>
        <v/>
      </c>
      <c r="F74">
        <f>IF($W74="","",IF(INDEX('Per Invoice'!F$2:F$801,$W74)="","",INDEX('Per Invoice'!F$2:F$801,$W74)))</f>
        <v/>
      </c>
      <c r="G74">
        <f>IF($W74="","",IF(INDEX('Per Invoice'!G$2:G$801,$W74)="","",INDEX('Per Invoice'!G$2:G$801,$W74)))</f>
        <v/>
      </c>
      <c r="H74">
        <f>IF($W74="","",IF(INDEX('Per Invoice'!H$2:H$801,$W74)="","",INDEX('Per Invoice'!H$2:H$801,$W74)))</f>
        <v/>
      </c>
      <c r="I74">
        <f>IF($W74="","",IF(INDEX('Per Invoice'!I$2:I$801,$W74)="","",INDEX('Per Invoice'!I$2:I$801,$W74)))</f>
        <v/>
      </c>
      <c r="J74">
        <f>IF($W74="","",IF(INDEX('Per Invoice'!J$2:J$801,$W74)="","",INDEX('Per Invoice'!J$2:J$801,$W74)))</f>
        <v/>
      </c>
      <c r="K74" s="7">
        <f>IF($W74="","",IF(INDEX('Per Invoice'!K$2:K$801,$W74)="","",INDEX('Per Invoice'!K$2:K$801,$W74)))</f>
        <v/>
      </c>
      <c r="L74" s="14">
        <f>IF($W74="","",IF(INDEX('Per Invoice'!L$2:L$801,$W74)="","",INDEX('Per Invoice'!L$2:L$801,$W74)))</f>
        <v/>
      </c>
      <c r="M74">
        <f>IF($W74="","",IF(INDEX('Per Invoice'!M$2:M$801,$W74)="","",INDEX('Per Invoice'!M$2:M$801,$W74)))</f>
        <v/>
      </c>
      <c r="N74" s="7">
        <f>IF($W74="","",IF(INDEX('Per Invoice'!N$2:N$801,$W74)="","",INDEX('Per Invoice'!N$2:N$801,$W74)))</f>
        <v/>
      </c>
      <c r="O74" s="7">
        <f>IF($W74="","",IF(INDEX('Per Invoice'!O$2:O$801,$W74)="","",INDEX('Per Invoice'!O$2:O$801,$W74)))</f>
        <v/>
      </c>
      <c r="P74">
        <f>IF($W74="","",IF(INDEX('Per Invoice'!P$2:P$801,$W74)="","",INDEX('Per Invoice'!P$2:P$801,$W74)))</f>
        <v/>
      </c>
      <c r="Q74" s="7">
        <f>IF($W74="","",IF(INDEX('Per Invoice'!Q$2:Q$801,$W74)="","",INDEX('Per Invoice'!Q$2:Q$801,$W74)))</f>
        <v/>
      </c>
      <c r="R74" s="7">
        <f>IF($W74="","",IF(INDEX('Per Invoice'!R$2:R$801,$W74)="","",INDEX('Per Invoice'!R$2:R$801,$W74)))</f>
        <v/>
      </c>
      <c r="S74" s="7">
        <f>IF($W74="","",IF(INDEX('Per Invoice'!S$2:S$801,$W74)="","",INDEX('Per Invoice'!S$2:S$801,$W74)))</f>
        <v/>
      </c>
      <c r="T74" s="7">
        <f>IF($W74="","",IF(INDEX('Per Invoice'!T$2:T$801,$W74)="","",INDEX('Per Invoice'!T$2:T$801,$W74)))</f>
        <v/>
      </c>
      <c r="U74" s="7">
        <f>IF($W74="","",IF(INDEX('Per Invoice'!U$2:U$801,$W74)="","",INDEX('Per Invoice'!U$2:U$801,$W74)))</f>
        <v/>
      </c>
      <c r="V74" s="7">
        <f>IF($W74="","",IF(INDEX('Per Invoice'!V$2:V$801,$W74)="","",INDEX('Per Invoice'!V$2:V$801,$W74)))</f>
        <v/>
      </c>
      <c r="W74" s="16">
        <f>IFERROR(MATCH(Settings!$C$28&amp;"|"&amp;ROWS($W$2:$W74),'Per Invoice'!$X$2:$X$801,0),"")</f>
        <v/>
      </c>
    </row>
    <row r="75">
      <c r="A75">
        <f>IF($W75="","",IF(INDEX('Per Invoice'!A$2:A$801,$W75)="","",INDEX('Per Invoice'!A$2:A$801,$W75)))</f>
        <v/>
      </c>
      <c r="B75">
        <f>IF($W75="","",IF(INDEX('Per Invoice'!B$2:B$801,$W75)="","",INDEX('Per Invoice'!B$2:B$801,$W75)))</f>
        <v/>
      </c>
      <c r="C75">
        <f>IF($W75="","",IF(INDEX('Per Invoice'!C$2:C$801,$W75)="","",INDEX('Per Invoice'!C$2:C$801,$W75)))</f>
        <v/>
      </c>
      <c r="D75">
        <f>IF($W75="","",IF(INDEX('Per Invoice'!D$2:D$801,$W75)="","",INDEX('Per Invoice'!D$2:D$801,$W75)))</f>
        <v/>
      </c>
      <c r="E75">
        <f>IF($W75="","",IF(INDEX('Per Invoice'!E$2:E$801,$W75)="","",INDEX('Per Invoice'!E$2:E$801,$W75)))</f>
        <v/>
      </c>
      <c r="F75">
        <f>IF($W75="","",IF(INDEX('Per Invoice'!F$2:F$801,$W75)="","",INDEX('Per Invoice'!F$2:F$801,$W75)))</f>
        <v/>
      </c>
      <c r="G75">
        <f>IF($W75="","",IF(INDEX('Per Invoice'!G$2:G$801,$W75)="","",INDEX('Per Invoice'!G$2:G$801,$W75)))</f>
        <v/>
      </c>
      <c r="H75">
        <f>IF($W75="","",IF(INDEX('Per Invoice'!H$2:H$801,$W75)="","",INDEX('Per Invoice'!H$2:H$801,$W75)))</f>
        <v/>
      </c>
      <c r="I75">
        <f>IF($W75="","",IF(INDEX('Per Invoice'!I$2:I$801,$W75)="","",INDEX('Per Invoice'!I$2:I$801,$W75)))</f>
        <v/>
      </c>
      <c r="J75">
        <f>IF($W75="","",IF(INDEX('Per Invoice'!J$2:J$801,$W75)="","",INDEX('Per Invoice'!J$2:J$801,$W75)))</f>
        <v/>
      </c>
      <c r="K75" s="7">
        <f>IF($W75="","",IF(INDEX('Per Invoice'!K$2:K$801,$W75)="","",INDEX('Per Invoice'!K$2:K$801,$W75)))</f>
        <v/>
      </c>
      <c r="L75" s="14">
        <f>IF($W75="","",IF(INDEX('Per Invoice'!L$2:L$801,$W75)="","",INDEX('Per Invoice'!L$2:L$801,$W75)))</f>
        <v/>
      </c>
      <c r="M75">
        <f>IF($W75="","",IF(INDEX('Per Invoice'!M$2:M$801,$W75)="","",INDEX('Per Invoice'!M$2:M$801,$W75)))</f>
        <v/>
      </c>
      <c r="N75" s="7">
        <f>IF($W75="","",IF(INDEX('Per Invoice'!N$2:N$801,$W75)="","",INDEX('Per Invoice'!N$2:N$801,$W75)))</f>
        <v/>
      </c>
      <c r="O75" s="7">
        <f>IF($W75="","",IF(INDEX('Per Invoice'!O$2:O$801,$W75)="","",INDEX('Per Invoice'!O$2:O$801,$W75)))</f>
        <v/>
      </c>
      <c r="P75">
        <f>IF($W75="","",IF(INDEX('Per Invoice'!P$2:P$801,$W75)="","",INDEX('Per Invoice'!P$2:P$801,$W75)))</f>
        <v/>
      </c>
      <c r="Q75" s="7">
        <f>IF($W75="","",IF(INDEX('Per Invoice'!Q$2:Q$801,$W75)="","",INDEX('Per Invoice'!Q$2:Q$801,$W75)))</f>
        <v/>
      </c>
      <c r="R75" s="7">
        <f>IF($W75="","",IF(INDEX('Per Invoice'!R$2:R$801,$W75)="","",INDEX('Per Invoice'!R$2:R$801,$W75)))</f>
        <v/>
      </c>
      <c r="S75" s="7">
        <f>IF($W75="","",IF(INDEX('Per Invoice'!S$2:S$801,$W75)="","",INDEX('Per Invoice'!S$2:S$801,$W75)))</f>
        <v/>
      </c>
      <c r="T75" s="7">
        <f>IF($W75="","",IF(INDEX('Per Invoice'!T$2:T$801,$W75)="","",INDEX('Per Invoice'!T$2:T$801,$W75)))</f>
        <v/>
      </c>
      <c r="U75" s="7">
        <f>IF($W75="","",IF(INDEX('Per Invoice'!U$2:U$801,$W75)="","",INDEX('Per Invoice'!U$2:U$801,$W75)))</f>
        <v/>
      </c>
      <c r="V75" s="7">
        <f>IF($W75="","",IF(INDEX('Per Invoice'!V$2:V$801,$W75)="","",INDEX('Per Invoice'!V$2:V$801,$W75)))</f>
        <v/>
      </c>
      <c r="W75" s="16">
        <f>IFERROR(MATCH(Settings!$C$28&amp;"|"&amp;ROWS($W$2:$W75),'Per Invoice'!$X$2:$X$801,0),"")</f>
        <v/>
      </c>
    </row>
    <row r="76">
      <c r="A76">
        <f>IF($W76="","",IF(INDEX('Per Invoice'!A$2:A$801,$W76)="","",INDEX('Per Invoice'!A$2:A$801,$W76)))</f>
        <v/>
      </c>
      <c r="B76">
        <f>IF($W76="","",IF(INDEX('Per Invoice'!B$2:B$801,$W76)="","",INDEX('Per Invoice'!B$2:B$801,$W76)))</f>
        <v/>
      </c>
      <c r="C76">
        <f>IF($W76="","",IF(INDEX('Per Invoice'!C$2:C$801,$W76)="","",INDEX('Per Invoice'!C$2:C$801,$W76)))</f>
        <v/>
      </c>
      <c r="D76">
        <f>IF($W76="","",IF(INDEX('Per Invoice'!D$2:D$801,$W76)="","",INDEX('Per Invoice'!D$2:D$801,$W76)))</f>
        <v/>
      </c>
      <c r="E76">
        <f>IF($W76="","",IF(INDEX('Per Invoice'!E$2:E$801,$W76)="","",INDEX('Per Invoice'!E$2:E$801,$W76)))</f>
        <v/>
      </c>
      <c r="F76">
        <f>IF($W76="","",IF(INDEX('Per Invoice'!F$2:F$801,$W76)="","",INDEX('Per Invoice'!F$2:F$801,$W76)))</f>
        <v/>
      </c>
      <c r="G76">
        <f>IF($W76="","",IF(INDEX('Per Invoice'!G$2:G$801,$W76)="","",INDEX('Per Invoice'!G$2:G$801,$W76)))</f>
        <v/>
      </c>
      <c r="H76">
        <f>IF($W76="","",IF(INDEX('Per Invoice'!H$2:H$801,$W76)="","",INDEX('Per Invoice'!H$2:H$801,$W76)))</f>
        <v/>
      </c>
      <c r="I76">
        <f>IF($W76="","",IF(INDEX('Per Invoice'!I$2:I$801,$W76)="","",INDEX('Per Invoice'!I$2:I$801,$W76)))</f>
        <v/>
      </c>
      <c r="J76">
        <f>IF($W76="","",IF(INDEX('Per Invoice'!J$2:J$801,$W76)="","",INDEX('Per Invoice'!J$2:J$801,$W76)))</f>
        <v/>
      </c>
      <c r="K76" s="7">
        <f>IF($W76="","",IF(INDEX('Per Invoice'!K$2:K$801,$W76)="","",INDEX('Per Invoice'!K$2:K$801,$W76)))</f>
        <v/>
      </c>
      <c r="L76" s="14">
        <f>IF($W76="","",IF(INDEX('Per Invoice'!L$2:L$801,$W76)="","",INDEX('Per Invoice'!L$2:L$801,$W76)))</f>
        <v/>
      </c>
      <c r="M76">
        <f>IF($W76="","",IF(INDEX('Per Invoice'!M$2:M$801,$W76)="","",INDEX('Per Invoice'!M$2:M$801,$W76)))</f>
        <v/>
      </c>
      <c r="N76" s="7">
        <f>IF($W76="","",IF(INDEX('Per Invoice'!N$2:N$801,$W76)="","",INDEX('Per Invoice'!N$2:N$801,$W76)))</f>
        <v/>
      </c>
      <c r="O76" s="7">
        <f>IF($W76="","",IF(INDEX('Per Invoice'!O$2:O$801,$W76)="","",INDEX('Per Invoice'!O$2:O$801,$W76)))</f>
        <v/>
      </c>
      <c r="P76">
        <f>IF($W76="","",IF(INDEX('Per Invoice'!P$2:P$801,$W76)="","",INDEX('Per Invoice'!P$2:P$801,$W76)))</f>
        <v/>
      </c>
      <c r="Q76" s="7">
        <f>IF($W76="","",IF(INDEX('Per Invoice'!Q$2:Q$801,$W76)="","",INDEX('Per Invoice'!Q$2:Q$801,$W76)))</f>
        <v/>
      </c>
      <c r="R76" s="7">
        <f>IF($W76="","",IF(INDEX('Per Invoice'!R$2:R$801,$W76)="","",INDEX('Per Invoice'!R$2:R$801,$W76)))</f>
        <v/>
      </c>
      <c r="S76" s="7">
        <f>IF($W76="","",IF(INDEX('Per Invoice'!S$2:S$801,$W76)="","",INDEX('Per Invoice'!S$2:S$801,$W76)))</f>
        <v/>
      </c>
      <c r="T76" s="7">
        <f>IF($W76="","",IF(INDEX('Per Invoice'!T$2:T$801,$W76)="","",INDEX('Per Invoice'!T$2:T$801,$W76)))</f>
        <v/>
      </c>
      <c r="U76" s="7">
        <f>IF($W76="","",IF(INDEX('Per Invoice'!U$2:U$801,$W76)="","",INDEX('Per Invoice'!U$2:U$801,$W76)))</f>
        <v/>
      </c>
      <c r="V76" s="7">
        <f>IF($W76="","",IF(INDEX('Per Invoice'!V$2:V$801,$W76)="","",INDEX('Per Invoice'!V$2:V$801,$W76)))</f>
        <v/>
      </c>
      <c r="W76" s="16">
        <f>IFERROR(MATCH(Settings!$C$28&amp;"|"&amp;ROWS($W$2:$W76),'Per Invoice'!$X$2:$X$801,0),"")</f>
        <v/>
      </c>
    </row>
    <row r="77">
      <c r="A77">
        <f>IF($W77="","",IF(INDEX('Per Invoice'!A$2:A$801,$W77)="","",INDEX('Per Invoice'!A$2:A$801,$W77)))</f>
        <v/>
      </c>
      <c r="B77">
        <f>IF($W77="","",IF(INDEX('Per Invoice'!B$2:B$801,$W77)="","",INDEX('Per Invoice'!B$2:B$801,$W77)))</f>
        <v/>
      </c>
      <c r="C77">
        <f>IF($W77="","",IF(INDEX('Per Invoice'!C$2:C$801,$W77)="","",INDEX('Per Invoice'!C$2:C$801,$W77)))</f>
        <v/>
      </c>
      <c r="D77">
        <f>IF($W77="","",IF(INDEX('Per Invoice'!D$2:D$801,$W77)="","",INDEX('Per Invoice'!D$2:D$801,$W77)))</f>
        <v/>
      </c>
      <c r="E77">
        <f>IF($W77="","",IF(INDEX('Per Invoice'!E$2:E$801,$W77)="","",INDEX('Per Invoice'!E$2:E$801,$W77)))</f>
        <v/>
      </c>
      <c r="F77">
        <f>IF($W77="","",IF(INDEX('Per Invoice'!F$2:F$801,$W77)="","",INDEX('Per Invoice'!F$2:F$801,$W77)))</f>
        <v/>
      </c>
      <c r="G77">
        <f>IF($W77="","",IF(INDEX('Per Invoice'!G$2:G$801,$W77)="","",INDEX('Per Invoice'!G$2:G$801,$W77)))</f>
        <v/>
      </c>
      <c r="H77">
        <f>IF($W77="","",IF(INDEX('Per Invoice'!H$2:H$801,$W77)="","",INDEX('Per Invoice'!H$2:H$801,$W77)))</f>
        <v/>
      </c>
      <c r="I77">
        <f>IF($W77="","",IF(INDEX('Per Invoice'!I$2:I$801,$W77)="","",INDEX('Per Invoice'!I$2:I$801,$W77)))</f>
        <v/>
      </c>
      <c r="J77">
        <f>IF($W77="","",IF(INDEX('Per Invoice'!J$2:J$801,$W77)="","",INDEX('Per Invoice'!J$2:J$801,$W77)))</f>
        <v/>
      </c>
      <c r="K77" s="7">
        <f>IF($W77="","",IF(INDEX('Per Invoice'!K$2:K$801,$W77)="","",INDEX('Per Invoice'!K$2:K$801,$W77)))</f>
        <v/>
      </c>
      <c r="L77" s="14">
        <f>IF($W77="","",IF(INDEX('Per Invoice'!L$2:L$801,$W77)="","",INDEX('Per Invoice'!L$2:L$801,$W77)))</f>
        <v/>
      </c>
      <c r="M77">
        <f>IF($W77="","",IF(INDEX('Per Invoice'!M$2:M$801,$W77)="","",INDEX('Per Invoice'!M$2:M$801,$W77)))</f>
        <v/>
      </c>
      <c r="N77" s="7">
        <f>IF($W77="","",IF(INDEX('Per Invoice'!N$2:N$801,$W77)="","",INDEX('Per Invoice'!N$2:N$801,$W77)))</f>
        <v/>
      </c>
      <c r="O77" s="7">
        <f>IF($W77="","",IF(INDEX('Per Invoice'!O$2:O$801,$W77)="","",INDEX('Per Invoice'!O$2:O$801,$W77)))</f>
        <v/>
      </c>
      <c r="P77">
        <f>IF($W77="","",IF(INDEX('Per Invoice'!P$2:P$801,$W77)="","",INDEX('Per Invoice'!P$2:P$801,$W77)))</f>
        <v/>
      </c>
      <c r="Q77" s="7">
        <f>IF($W77="","",IF(INDEX('Per Invoice'!Q$2:Q$801,$W77)="","",INDEX('Per Invoice'!Q$2:Q$801,$W77)))</f>
        <v/>
      </c>
      <c r="R77" s="7">
        <f>IF($W77="","",IF(INDEX('Per Invoice'!R$2:R$801,$W77)="","",INDEX('Per Invoice'!R$2:R$801,$W77)))</f>
        <v/>
      </c>
      <c r="S77" s="7">
        <f>IF($W77="","",IF(INDEX('Per Invoice'!S$2:S$801,$W77)="","",INDEX('Per Invoice'!S$2:S$801,$W77)))</f>
        <v/>
      </c>
      <c r="T77" s="7">
        <f>IF($W77="","",IF(INDEX('Per Invoice'!T$2:T$801,$W77)="","",INDEX('Per Invoice'!T$2:T$801,$W77)))</f>
        <v/>
      </c>
      <c r="U77" s="7">
        <f>IF($W77="","",IF(INDEX('Per Invoice'!U$2:U$801,$W77)="","",INDEX('Per Invoice'!U$2:U$801,$W77)))</f>
        <v/>
      </c>
      <c r="V77" s="7">
        <f>IF($W77="","",IF(INDEX('Per Invoice'!V$2:V$801,$W77)="","",INDEX('Per Invoice'!V$2:V$801,$W77)))</f>
        <v/>
      </c>
      <c r="W77" s="16">
        <f>IFERROR(MATCH(Settings!$C$28&amp;"|"&amp;ROWS($W$2:$W77),'Per Invoice'!$X$2:$X$801,0),"")</f>
        <v/>
      </c>
    </row>
    <row r="78">
      <c r="A78">
        <f>IF($W78="","",IF(INDEX('Per Invoice'!A$2:A$801,$W78)="","",INDEX('Per Invoice'!A$2:A$801,$W78)))</f>
        <v/>
      </c>
      <c r="B78">
        <f>IF($W78="","",IF(INDEX('Per Invoice'!B$2:B$801,$W78)="","",INDEX('Per Invoice'!B$2:B$801,$W78)))</f>
        <v/>
      </c>
      <c r="C78">
        <f>IF($W78="","",IF(INDEX('Per Invoice'!C$2:C$801,$W78)="","",INDEX('Per Invoice'!C$2:C$801,$W78)))</f>
        <v/>
      </c>
      <c r="D78">
        <f>IF($W78="","",IF(INDEX('Per Invoice'!D$2:D$801,$W78)="","",INDEX('Per Invoice'!D$2:D$801,$W78)))</f>
        <v/>
      </c>
      <c r="E78">
        <f>IF($W78="","",IF(INDEX('Per Invoice'!E$2:E$801,$W78)="","",INDEX('Per Invoice'!E$2:E$801,$W78)))</f>
        <v/>
      </c>
      <c r="F78">
        <f>IF($W78="","",IF(INDEX('Per Invoice'!F$2:F$801,$W78)="","",INDEX('Per Invoice'!F$2:F$801,$W78)))</f>
        <v/>
      </c>
      <c r="G78">
        <f>IF($W78="","",IF(INDEX('Per Invoice'!G$2:G$801,$W78)="","",INDEX('Per Invoice'!G$2:G$801,$W78)))</f>
        <v/>
      </c>
      <c r="H78">
        <f>IF($W78="","",IF(INDEX('Per Invoice'!H$2:H$801,$W78)="","",INDEX('Per Invoice'!H$2:H$801,$W78)))</f>
        <v/>
      </c>
      <c r="I78">
        <f>IF($W78="","",IF(INDEX('Per Invoice'!I$2:I$801,$W78)="","",INDEX('Per Invoice'!I$2:I$801,$W78)))</f>
        <v/>
      </c>
      <c r="J78">
        <f>IF($W78="","",IF(INDEX('Per Invoice'!J$2:J$801,$W78)="","",INDEX('Per Invoice'!J$2:J$801,$W78)))</f>
        <v/>
      </c>
      <c r="K78" s="7">
        <f>IF($W78="","",IF(INDEX('Per Invoice'!K$2:K$801,$W78)="","",INDEX('Per Invoice'!K$2:K$801,$W78)))</f>
        <v/>
      </c>
      <c r="L78" s="14">
        <f>IF($W78="","",IF(INDEX('Per Invoice'!L$2:L$801,$W78)="","",INDEX('Per Invoice'!L$2:L$801,$W78)))</f>
        <v/>
      </c>
      <c r="M78">
        <f>IF($W78="","",IF(INDEX('Per Invoice'!M$2:M$801,$W78)="","",INDEX('Per Invoice'!M$2:M$801,$W78)))</f>
        <v/>
      </c>
      <c r="N78" s="7">
        <f>IF($W78="","",IF(INDEX('Per Invoice'!N$2:N$801,$W78)="","",INDEX('Per Invoice'!N$2:N$801,$W78)))</f>
        <v/>
      </c>
      <c r="O78" s="7">
        <f>IF($W78="","",IF(INDEX('Per Invoice'!O$2:O$801,$W78)="","",INDEX('Per Invoice'!O$2:O$801,$W78)))</f>
        <v/>
      </c>
      <c r="P78">
        <f>IF($W78="","",IF(INDEX('Per Invoice'!P$2:P$801,$W78)="","",INDEX('Per Invoice'!P$2:P$801,$W78)))</f>
        <v/>
      </c>
      <c r="Q78" s="7">
        <f>IF($W78="","",IF(INDEX('Per Invoice'!Q$2:Q$801,$W78)="","",INDEX('Per Invoice'!Q$2:Q$801,$W78)))</f>
        <v/>
      </c>
      <c r="R78" s="7">
        <f>IF($W78="","",IF(INDEX('Per Invoice'!R$2:R$801,$W78)="","",INDEX('Per Invoice'!R$2:R$801,$W78)))</f>
        <v/>
      </c>
      <c r="S78" s="7">
        <f>IF($W78="","",IF(INDEX('Per Invoice'!S$2:S$801,$W78)="","",INDEX('Per Invoice'!S$2:S$801,$W78)))</f>
        <v/>
      </c>
      <c r="T78" s="7">
        <f>IF($W78="","",IF(INDEX('Per Invoice'!T$2:T$801,$W78)="","",INDEX('Per Invoice'!T$2:T$801,$W78)))</f>
        <v/>
      </c>
      <c r="U78" s="7">
        <f>IF($W78="","",IF(INDEX('Per Invoice'!U$2:U$801,$W78)="","",INDEX('Per Invoice'!U$2:U$801,$W78)))</f>
        <v/>
      </c>
      <c r="V78" s="7">
        <f>IF($W78="","",IF(INDEX('Per Invoice'!V$2:V$801,$W78)="","",INDEX('Per Invoice'!V$2:V$801,$W78)))</f>
        <v/>
      </c>
      <c r="W78" s="16">
        <f>IFERROR(MATCH(Settings!$C$28&amp;"|"&amp;ROWS($W$2:$W78),'Per Invoice'!$X$2:$X$801,0),"")</f>
        <v/>
      </c>
    </row>
    <row r="79">
      <c r="A79">
        <f>IF($W79="","",IF(INDEX('Per Invoice'!A$2:A$801,$W79)="","",INDEX('Per Invoice'!A$2:A$801,$W79)))</f>
        <v/>
      </c>
      <c r="B79">
        <f>IF($W79="","",IF(INDEX('Per Invoice'!B$2:B$801,$W79)="","",INDEX('Per Invoice'!B$2:B$801,$W79)))</f>
        <v/>
      </c>
      <c r="C79">
        <f>IF($W79="","",IF(INDEX('Per Invoice'!C$2:C$801,$W79)="","",INDEX('Per Invoice'!C$2:C$801,$W79)))</f>
        <v/>
      </c>
      <c r="D79">
        <f>IF($W79="","",IF(INDEX('Per Invoice'!D$2:D$801,$W79)="","",INDEX('Per Invoice'!D$2:D$801,$W79)))</f>
        <v/>
      </c>
      <c r="E79">
        <f>IF($W79="","",IF(INDEX('Per Invoice'!E$2:E$801,$W79)="","",INDEX('Per Invoice'!E$2:E$801,$W79)))</f>
        <v/>
      </c>
      <c r="F79">
        <f>IF($W79="","",IF(INDEX('Per Invoice'!F$2:F$801,$W79)="","",INDEX('Per Invoice'!F$2:F$801,$W79)))</f>
        <v/>
      </c>
      <c r="G79">
        <f>IF($W79="","",IF(INDEX('Per Invoice'!G$2:G$801,$W79)="","",INDEX('Per Invoice'!G$2:G$801,$W79)))</f>
        <v/>
      </c>
      <c r="H79">
        <f>IF($W79="","",IF(INDEX('Per Invoice'!H$2:H$801,$W79)="","",INDEX('Per Invoice'!H$2:H$801,$W79)))</f>
        <v/>
      </c>
      <c r="I79">
        <f>IF($W79="","",IF(INDEX('Per Invoice'!I$2:I$801,$W79)="","",INDEX('Per Invoice'!I$2:I$801,$W79)))</f>
        <v/>
      </c>
      <c r="J79">
        <f>IF($W79="","",IF(INDEX('Per Invoice'!J$2:J$801,$W79)="","",INDEX('Per Invoice'!J$2:J$801,$W79)))</f>
        <v/>
      </c>
      <c r="K79" s="7">
        <f>IF($W79="","",IF(INDEX('Per Invoice'!K$2:K$801,$W79)="","",INDEX('Per Invoice'!K$2:K$801,$W79)))</f>
        <v/>
      </c>
      <c r="L79" s="14">
        <f>IF($W79="","",IF(INDEX('Per Invoice'!L$2:L$801,$W79)="","",INDEX('Per Invoice'!L$2:L$801,$W79)))</f>
        <v/>
      </c>
      <c r="M79">
        <f>IF($W79="","",IF(INDEX('Per Invoice'!M$2:M$801,$W79)="","",INDEX('Per Invoice'!M$2:M$801,$W79)))</f>
        <v/>
      </c>
      <c r="N79" s="7">
        <f>IF($W79="","",IF(INDEX('Per Invoice'!N$2:N$801,$W79)="","",INDEX('Per Invoice'!N$2:N$801,$W79)))</f>
        <v/>
      </c>
      <c r="O79" s="7">
        <f>IF($W79="","",IF(INDEX('Per Invoice'!O$2:O$801,$W79)="","",INDEX('Per Invoice'!O$2:O$801,$W79)))</f>
        <v/>
      </c>
      <c r="P79">
        <f>IF($W79="","",IF(INDEX('Per Invoice'!P$2:P$801,$W79)="","",INDEX('Per Invoice'!P$2:P$801,$W79)))</f>
        <v/>
      </c>
      <c r="Q79" s="7">
        <f>IF($W79="","",IF(INDEX('Per Invoice'!Q$2:Q$801,$W79)="","",INDEX('Per Invoice'!Q$2:Q$801,$W79)))</f>
        <v/>
      </c>
      <c r="R79" s="7">
        <f>IF($W79="","",IF(INDEX('Per Invoice'!R$2:R$801,$W79)="","",INDEX('Per Invoice'!R$2:R$801,$W79)))</f>
        <v/>
      </c>
      <c r="S79" s="7">
        <f>IF($W79="","",IF(INDEX('Per Invoice'!S$2:S$801,$W79)="","",INDEX('Per Invoice'!S$2:S$801,$W79)))</f>
        <v/>
      </c>
      <c r="T79" s="7">
        <f>IF($W79="","",IF(INDEX('Per Invoice'!T$2:T$801,$W79)="","",INDEX('Per Invoice'!T$2:T$801,$W79)))</f>
        <v/>
      </c>
      <c r="U79" s="7">
        <f>IF($W79="","",IF(INDEX('Per Invoice'!U$2:U$801,$W79)="","",INDEX('Per Invoice'!U$2:U$801,$W79)))</f>
        <v/>
      </c>
      <c r="V79" s="7">
        <f>IF($W79="","",IF(INDEX('Per Invoice'!V$2:V$801,$W79)="","",INDEX('Per Invoice'!V$2:V$801,$W79)))</f>
        <v/>
      </c>
      <c r="W79" s="16">
        <f>IFERROR(MATCH(Settings!$C$28&amp;"|"&amp;ROWS($W$2:$W79),'Per Invoice'!$X$2:$X$801,0),"")</f>
        <v/>
      </c>
    </row>
    <row r="80">
      <c r="A80">
        <f>IF($W80="","",IF(INDEX('Per Invoice'!A$2:A$801,$W80)="","",INDEX('Per Invoice'!A$2:A$801,$W80)))</f>
        <v/>
      </c>
      <c r="B80">
        <f>IF($W80="","",IF(INDEX('Per Invoice'!B$2:B$801,$W80)="","",INDEX('Per Invoice'!B$2:B$801,$W80)))</f>
        <v/>
      </c>
      <c r="C80">
        <f>IF($W80="","",IF(INDEX('Per Invoice'!C$2:C$801,$W80)="","",INDEX('Per Invoice'!C$2:C$801,$W80)))</f>
        <v/>
      </c>
      <c r="D80">
        <f>IF($W80="","",IF(INDEX('Per Invoice'!D$2:D$801,$W80)="","",INDEX('Per Invoice'!D$2:D$801,$W80)))</f>
        <v/>
      </c>
      <c r="E80">
        <f>IF($W80="","",IF(INDEX('Per Invoice'!E$2:E$801,$W80)="","",INDEX('Per Invoice'!E$2:E$801,$W80)))</f>
        <v/>
      </c>
      <c r="F80">
        <f>IF($W80="","",IF(INDEX('Per Invoice'!F$2:F$801,$W80)="","",INDEX('Per Invoice'!F$2:F$801,$W80)))</f>
        <v/>
      </c>
      <c r="G80">
        <f>IF($W80="","",IF(INDEX('Per Invoice'!G$2:G$801,$W80)="","",INDEX('Per Invoice'!G$2:G$801,$W80)))</f>
        <v/>
      </c>
      <c r="H80">
        <f>IF($W80="","",IF(INDEX('Per Invoice'!H$2:H$801,$W80)="","",INDEX('Per Invoice'!H$2:H$801,$W80)))</f>
        <v/>
      </c>
      <c r="I80">
        <f>IF($W80="","",IF(INDEX('Per Invoice'!I$2:I$801,$W80)="","",INDEX('Per Invoice'!I$2:I$801,$W80)))</f>
        <v/>
      </c>
      <c r="J80">
        <f>IF($W80="","",IF(INDEX('Per Invoice'!J$2:J$801,$W80)="","",INDEX('Per Invoice'!J$2:J$801,$W80)))</f>
        <v/>
      </c>
      <c r="K80" s="7">
        <f>IF($W80="","",IF(INDEX('Per Invoice'!K$2:K$801,$W80)="","",INDEX('Per Invoice'!K$2:K$801,$W80)))</f>
        <v/>
      </c>
      <c r="L80" s="14">
        <f>IF($W80="","",IF(INDEX('Per Invoice'!L$2:L$801,$W80)="","",INDEX('Per Invoice'!L$2:L$801,$W80)))</f>
        <v/>
      </c>
      <c r="M80">
        <f>IF($W80="","",IF(INDEX('Per Invoice'!M$2:M$801,$W80)="","",INDEX('Per Invoice'!M$2:M$801,$W80)))</f>
        <v/>
      </c>
      <c r="N80" s="7">
        <f>IF($W80="","",IF(INDEX('Per Invoice'!N$2:N$801,$W80)="","",INDEX('Per Invoice'!N$2:N$801,$W80)))</f>
        <v/>
      </c>
      <c r="O80" s="7">
        <f>IF($W80="","",IF(INDEX('Per Invoice'!O$2:O$801,$W80)="","",INDEX('Per Invoice'!O$2:O$801,$W80)))</f>
        <v/>
      </c>
      <c r="P80">
        <f>IF($W80="","",IF(INDEX('Per Invoice'!P$2:P$801,$W80)="","",INDEX('Per Invoice'!P$2:P$801,$W80)))</f>
        <v/>
      </c>
      <c r="Q80" s="7">
        <f>IF($W80="","",IF(INDEX('Per Invoice'!Q$2:Q$801,$W80)="","",INDEX('Per Invoice'!Q$2:Q$801,$W80)))</f>
        <v/>
      </c>
      <c r="R80" s="7">
        <f>IF($W80="","",IF(INDEX('Per Invoice'!R$2:R$801,$W80)="","",INDEX('Per Invoice'!R$2:R$801,$W80)))</f>
        <v/>
      </c>
      <c r="S80" s="7">
        <f>IF($W80="","",IF(INDEX('Per Invoice'!S$2:S$801,$W80)="","",INDEX('Per Invoice'!S$2:S$801,$W80)))</f>
        <v/>
      </c>
      <c r="T80" s="7">
        <f>IF($W80="","",IF(INDEX('Per Invoice'!T$2:T$801,$W80)="","",INDEX('Per Invoice'!T$2:T$801,$W80)))</f>
        <v/>
      </c>
      <c r="U80" s="7">
        <f>IF($W80="","",IF(INDEX('Per Invoice'!U$2:U$801,$W80)="","",INDEX('Per Invoice'!U$2:U$801,$W80)))</f>
        <v/>
      </c>
      <c r="V80" s="7">
        <f>IF($W80="","",IF(INDEX('Per Invoice'!V$2:V$801,$W80)="","",INDEX('Per Invoice'!V$2:V$801,$W80)))</f>
        <v/>
      </c>
      <c r="W80" s="16">
        <f>IFERROR(MATCH(Settings!$C$28&amp;"|"&amp;ROWS($W$2:$W80),'Per Invoice'!$X$2:$X$801,0),"")</f>
        <v/>
      </c>
    </row>
    <row r="81">
      <c r="A81">
        <f>IF($W81="","",IF(INDEX('Per Invoice'!A$2:A$801,$W81)="","",INDEX('Per Invoice'!A$2:A$801,$W81)))</f>
        <v/>
      </c>
      <c r="B81">
        <f>IF($W81="","",IF(INDEX('Per Invoice'!B$2:B$801,$W81)="","",INDEX('Per Invoice'!B$2:B$801,$W81)))</f>
        <v/>
      </c>
      <c r="C81">
        <f>IF($W81="","",IF(INDEX('Per Invoice'!C$2:C$801,$W81)="","",INDEX('Per Invoice'!C$2:C$801,$W81)))</f>
        <v/>
      </c>
      <c r="D81">
        <f>IF($W81="","",IF(INDEX('Per Invoice'!D$2:D$801,$W81)="","",INDEX('Per Invoice'!D$2:D$801,$W81)))</f>
        <v/>
      </c>
      <c r="E81">
        <f>IF($W81="","",IF(INDEX('Per Invoice'!E$2:E$801,$W81)="","",INDEX('Per Invoice'!E$2:E$801,$W81)))</f>
        <v/>
      </c>
      <c r="F81">
        <f>IF($W81="","",IF(INDEX('Per Invoice'!F$2:F$801,$W81)="","",INDEX('Per Invoice'!F$2:F$801,$W81)))</f>
        <v/>
      </c>
      <c r="G81">
        <f>IF($W81="","",IF(INDEX('Per Invoice'!G$2:G$801,$W81)="","",INDEX('Per Invoice'!G$2:G$801,$W81)))</f>
        <v/>
      </c>
      <c r="H81">
        <f>IF($W81="","",IF(INDEX('Per Invoice'!H$2:H$801,$W81)="","",INDEX('Per Invoice'!H$2:H$801,$W81)))</f>
        <v/>
      </c>
      <c r="I81">
        <f>IF($W81="","",IF(INDEX('Per Invoice'!I$2:I$801,$W81)="","",INDEX('Per Invoice'!I$2:I$801,$W81)))</f>
        <v/>
      </c>
      <c r="J81">
        <f>IF($W81="","",IF(INDEX('Per Invoice'!J$2:J$801,$W81)="","",INDEX('Per Invoice'!J$2:J$801,$W81)))</f>
        <v/>
      </c>
      <c r="K81" s="7">
        <f>IF($W81="","",IF(INDEX('Per Invoice'!K$2:K$801,$W81)="","",INDEX('Per Invoice'!K$2:K$801,$W81)))</f>
        <v/>
      </c>
      <c r="L81" s="14">
        <f>IF($W81="","",IF(INDEX('Per Invoice'!L$2:L$801,$W81)="","",INDEX('Per Invoice'!L$2:L$801,$W81)))</f>
        <v/>
      </c>
      <c r="M81">
        <f>IF($W81="","",IF(INDEX('Per Invoice'!M$2:M$801,$W81)="","",INDEX('Per Invoice'!M$2:M$801,$W81)))</f>
        <v/>
      </c>
      <c r="N81" s="7">
        <f>IF($W81="","",IF(INDEX('Per Invoice'!N$2:N$801,$W81)="","",INDEX('Per Invoice'!N$2:N$801,$W81)))</f>
        <v/>
      </c>
      <c r="O81" s="7">
        <f>IF($W81="","",IF(INDEX('Per Invoice'!O$2:O$801,$W81)="","",INDEX('Per Invoice'!O$2:O$801,$W81)))</f>
        <v/>
      </c>
      <c r="P81">
        <f>IF($W81="","",IF(INDEX('Per Invoice'!P$2:P$801,$W81)="","",INDEX('Per Invoice'!P$2:P$801,$W81)))</f>
        <v/>
      </c>
      <c r="Q81" s="7">
        <f>IF($W81="","",IF(INDEX('Per Invoice'!Q$2:Q$801,$W81)="","",INDEX('Per Invoice'!Q$2:Q$801,$W81)))</f>
        <v/>
      </c>
      <c r="R81" s="7">
        <f>IF($W81="","",IF(INDEX('Per Invoice'!R$2:R$801,$W81)="","",INDEX('Per Invoice'!R$2:R$801,$W81)))</f>
        <v/>
      </c>
      <c r="S81" s="7">
        <f>IF($W81="","",IF(INDEX('Per Invoice'!S$2:S$801,$W81)="","",INDEX('Per Invoice'!S$2:S$801,$W81)))</f>
        <v/>
      </c>
      <c r="T81" s="7">
        <f>IF($W81="","",IF(INDEX('Per Invoice'!T$2:T$801,$W81)="","",INDEX('Per Invoice'!T$2:T$801,$W81)))</f>
        <v/>
      </c>
      <c r="U81" s="7">
        <f>IF($W81="","",IF(INDEX('Per Invoice'!U$2:U$801,$W81)="","",INDEX('Per Invoice'!U$2:U$801,$W81)))</f>
        <v/>
      </c>
      <c r="V81" s="7">
        <f>IF($W81="","",IF(INDEX('Per Invoice'!V$2:V$801,$W81)="","",INDEX('Per Invoice'!V$2:V$801,$W81)))</f>
        <v/>
      </c>
      <c r="W81" s="16">
        <f>IFERROR(MATCH(Settings!$C$28&amp;"|"&amp;ROWS($W$2:$W81),'Per Invoice'!$X$2:$X$801,0),"")</f>
        <v/>
      </c>
    </row>
    <row r="82">
      <c r="A82">
        <f>IF($W82="","",IF(INDEX('Per Invoice'!A$2:A$801,$W82)="","",INDEX('Per Invoice'!A$2:A$801,$W82)))</f>
        <v/>
      </c>
      <c r="B82">
        <f>IF($W82="","",IF(INDEX('Per Invoice'!B$2:B$801,$W82)="","",INDEX('Per Invoice'!B$2:B$801,$W82)))</f>
        <v/>
      </c>
      <c r="C82">
        <f>IF($W82="","",IF(INDEX('Per Invoice'!C$2:C$801,$W82)="","",INDEX('Per Invoice'!C$2:C$801,$W82)))</f>
        <v/>
      </c>
      <c r="D82">
        <f>IF($W82="","",IF(INDEX('Per Invoice'!D$2:D$801,$W82)="","",INDEX('Per Invoice'!D$2:D$801,$W82)))</f>
        <v/>
      </c>
      <c r="E82">
        <f>IF($W82="","",IF(INDEX('Per Invoice'!E$2:E$801,$W82)="","",INDEX('Per Invoice'!E$2:E$801,$W82)))</f>
        <v/>
      </c>
      <c r="F82">
        <f>IF($W82="","",IF(INDEX('Per Invoice'!F$2:F$801,$W82)="","",INDEX('Per Invoice'!F$2:F$801,$W82)))</f>
        <v/>
      </c>
      <c r="G82">
        <f>IF($W82="","",IF(INDEX('Per Invoice'!G$2:G$801,$W82)="","",INDEX('Per Invoice'!G$2:G$801,$W82)))</f>
        <v/>
      </c>
      <c r="H82">
        <f>IF($W82="","",IF(INDEX('Per Invoice'!H$2:H$801,$W82)="","",INDEX('Per Invoice'!H$2:H$801,$W82)))</f>
        <v/>
      </c>
      <c r="I82">
        <f>IF($W82="","",IF(INDEX('Per Invoice'!I$2:I$801,$W82)="","",INDEX('Per Invoice'!I$2:I$801,$W82)))</f>
        <v/>
      </c>
      <c r="J82">
        <f>IF($W82="","",IF(INDEX('Per Invoice'!J$2:J$801,$W82)="","",INDEX('Per Invoice'!J$2:J$801,$W82)))</f>
        <v/>
      </c>
      <c r="K82" s="7">
        <f>IF($W82="","",IF(INDEX('Per Invoice'!K$2:K$801,$W82)="","",INDEX('Per Invoice'!K$2:K$801,$W82)))</f>
        <v/>
      </c>
      <c r="L82" s="14">
        <f>IF($W82="","",IF(INDEX('Per Invoice'!L$2:L$801,$W82)="","",INDEX('Per Invoice'!L$2:L$801,$W82)))</f>
        <v/>
      </c>
      <c r="M82">
        <f>IF($W82="","",IF(INDEX('Per Invoice'!M$2:M$801,$W82)="","",INDEX('Per Invoice'!M$2:M$801,$W82)))</f>
        <v/>
      </c>
      <c r="N82" s="7">
        <f>IF($W82="","",IF(INDEX('Per Invoice'!N$2:N$801,$W82)="","",INDEX('Per Invoice'!N$2:N$801,$W82)))</f>
        <v/>
      </c>
      <c r="O82" s="7">
        <f>IF($W82="","",IF(INDEX('Per Invoice'!O$2:O$801,$W82)="","",INDEX('Per Invoice'!O$2:O$801,$W82)))</f>
        <v/>
      </c>
      <c r="P82">
        <f>IF($W82="","",IF(INDEX('Per Invoice'!P$2:P$801,$W82)="","",INDEX('Per Invoice'!P$2:P$801,$W82)))</f>
        <v/>
      </c>
      <c r="Q82" s="7">
        <f>IF($W82="","",IF(INDEX('Per Invoice'!Q$2:Q$801,$W82)="","",INDEX('Per Invoice'!Q$2:Q$801,$W82)))</f>
        <v/>
      </c>
      <c r="R82" s="7">
        <f>IF($W82="","",IF(INDEX('Per Invoice'!R$2:R$801,$W82)="","",INDEX('Per Invoice'!R$2:R$801,$W82)))</f>
        <v/>
      </c>
      <c r="S82" s="7">
        <f>IF($W82="","",IF(INDEX('Per Invoice'!S$2:S$801,$W82)="","",INDEX('Per Invoice'!S$2:S$801,$W82)))</f>
        <v/>
      </c>
      <c r="T82" s="7">
        <f>IF($W82="","",IF(INDEX('Per Invoice'!T$2:T$801,$W82)="","",INDEX('Per Invoice'!T$2:T$801,$W82)))</f>
        <v/>
      </c>
      <c r="U82" s="7">
        <f>IF($W82="","",IF(INDEX('Per Invoice'!U$2:U$801,$W82)="","",INDEX('Per Invoice'!U$2:U$801,$W82)))</f>
        <v/>
      </c>
      <c r="V82" s="7">
        <f>IF($W82="","",IF(INDEX('Per Invoice'!V$2:V$801,$W82)="","",INDEX('Per Invoice'!V$2:V$801,$W82)))</f>
        <v/>
      </c>
      <c r="W82" s="16">
        <f>IFERROR(MATCH(Settings!$C$28&amp;"|"&amp;ROWS($W$2:$W82),'Per Invoice'!$X$2:$X$801,0),"")</f>
        <v/>
      </c>
    </row>
    <row r="83">
      <c r="A83">
        <f>IF($W83="","",IF(INDEX('Per Invoice'!A$2:A$801,$W83)="","",INDEX('Per Invoice'!A$2:A$801,$W83)))</f>
        <v/>
      </c>
      <c r="B83">
        <f>IF($W83="","",IF(INDEX('Per Invoice'!B$2:B$801,$W83)="","",INDEX('Per Invoice'!B$2:B$801,$W83)))</f>
        <v/>
      </c>
      <c r="C83">
        <f>IF($W83="","",IF(INDEX('Per Invoice'!C$2:C$801,$W83)="","",INDEX('Per Invoice'!C$2:C$801,$W83)))</f>
        <v/>
      </c>
      <c r="D83">
        <f>IF($W83="","",IF(INDEX('Per Invoice'!D$2:D$801,$W83)="","",INDEX('Per Invoice'!D$2:D$801,$W83)))</f>
        <v/>
      </c>
      <c r="E83">
        <f>IF($W83="","",IF(INDEX('Per Invoice'!E$2:E$801,$W83)="","",INDEX('Per Invoice'!E$2:E$801,$W83)))</f>
        <v/>
      </c>
      <c r="F83">
        <f>IF($W83="","",IF(INDEX('Per Invoice'!F$2:F$801,$W83)="","",INDEX('Per Invoice'!F$2:F$801,$W83)))</f>
        <v/>
      </c>
      <c r="G83">
        <f>IF($W83="","",IF(INDEX('Per Invoice'!G$2:G$801,$W83)="","",INDEX('Per Invoice'!G$2:G$801,$W83)))</f>
        <v/>
      </c>
      <c r="H83">
        <f>IF($W83="","",IF(INDEX('Per Invoice'!H$2:H$801,$W83)="","",INDEX('Per Invoice'!H$2:H$801,$W83)))</f>
        <v/>
      </c>
      <c r="I83">
        <f>IF($W83="","",IF(INDEX('Per Invoice'!I$2:I$801,$W83)="","",INDEX('Per Invoice'!I$2:I$801,$W83)))</f>
        <v/>
      </c>
      <c r="J83">
        <f>IF($W83="","",IF(INDEX('Per Invoice'!J$2:J$801,$W83)="","",INDEX('Per Invoice'!J$2:J$801,$W83)))</f>
        <v/>
      </c>
      <c r="K83" s="7">
        <f>IF($W83="","",IF(INDEX('Per Invoice'!K$2:K$801,$W83)="","",INDEX('Per Invoice'!K$2:K$801,$W83)))</f>
        <v/>
      </c>
      <c r="L83" s="14">
        <f>IF($W83="","",IF(INDEX('Per Invoice'!L$2:L$801,$W83)="","",INDEX('Per Invoice'!L$2:L$801,$W83)))</f>
        <v/>
      </c>
      <c r="M83">
        <f>IF($W83="","",IF(INDEX('Per Invoice'!M$2:M$801,$W83)="","",INDEX('Per Invoice'!M$2:M$801,$W83)))</f>
        <v/>
      </c>
      <c r="N83" s="7">
        <f>IF($W83="","",IF(INDEX('Per Invoice'!N$2:N$801,$W83)="","",INDEX('Per Invoice'!N$2:N$801,$W83)))</f>
        <v/>
      </c>
      <c r="O83" s="7">
        <f>IF($W83="","",IF(INDEX('Per Invoice'!O$2:O$801,$W83)="","",INDEX('Per Invoice'!O$2:O$801,$W83)))</f>
        <v/>
      </c>
      <c r="P83">
        <f>IF($W83="","",IF(INDEX('Per Invoice'!P$2:P$801,$W83)="","",INDEX('Per Invoice'!P$2:P$801,$W83)))</f>
        <v/>
      </c>
      <c r="Q83" s="7">
        <f>IF($W83="","",IF(INDEX('Per Invoice'!Q$2:Q$801,$W83)="","",INDEX('Per Invoice'!Q$2:Q$801,$W83)))</f>
        <v/>
      </c>
      <c r="R83" s="7">
        <f>IF($W83="","",IF(INDEX('Per Invoice'!R$2:R$801,$W83)="","",INDEX('Per Invoice'!R$2:R$801,$W83)))</f>
        <v/>
      </c>
      <c r="S83" s="7">
        <f>IF($W83="","",IF(INDEX('Per Invoice'!S$2:S$801,$W83)="","",INDEX('Per Invoice'!S$2:S$801,$W83)))</f>
        <v/>
      </c>
      <c r="T83" s="7">
        <f>IF($W83="","",IF(INDEX('Per Invoice'!T$2:T$801,$W83)="","",INDEX('Per Invoice'!T$2:T$801,$W83)))</f>
        <v/>
      </c>
      <c r="U83" s="7">
        <f>IF($W83="","",IF(INDEX('Per Invoice'!U$2:U$801,$W83)="","",INDEX('Per Invoice'!U$2:U$801,$W83)))</f>
        <v/>
      </c>
      <c r="V83" s="7">
        <f>IF($W83="","",IF(INDEX('Per Invoice'!V$2:V$801,$W83)="","",INDEX('Per Invoice'!V$2:V$801,$W83)))</f>
        <v/>
      </c>
      <c r="W83" s="16">
        <f>IFERROR(MATCH(Settings!$C$28&amp;"|"&amp;ROWS($W$2:$W83),'Per Invoice'!$X$2:$X$801,0),"")</f>
        <v/>
      </c>
    </row>
    <row r="84">
      <c r="A84">
        <f>IF($W84="","",IF(INDEX('Per Invoice'!A$2:A$801,$W84)="","",INDEX('Per Invoice'!A$2:A$801,$W84)))</f>
        <v/>
      </c>
      <c r="B84">
        <f>IF($W84="","",IF(INDEX('Per Invoice'!B$2:B$801,$W84)="","",INDEX('Per Invoice'!B$2:B$801,$W84)))</f>
        <v/>
      </c>
      <c r="C84">
        <f>IF($W84="","",IF(INDEX('Per Invoice'!C$2:C$801,$W84)="","",INDEX('Per Invoice'!C$2:C$801,$W84)))</f>
        <v/>
      </c>
      <c r="D84">
        <f>IF($W84="","",IF(INDEX('Per Invoice'!D$2:D$801,$W84)="","",INDEX('Per Invoice'!D$2:D$801,$W84)))</f>
        <v/>
      </c>
      <c r="E84">
        <f>IF($W84="","",IF(INDEX('Per Invoice'!E$2:E$801,$W84)="","",INDEX('Per Invoice'!E$2:E$801,$W84)))</f>
        <v/>
      </c>
      <c r="F84">
        <f>IF($W84="","",IF(INDEX('Per Invoice'!F$2:F$801,$W84)="","",INDEX('Per Invoice'!F$2:F$801,$W84)))</f>
        <v/>
      </c>
      <c r="G84">
        <f>IF($W84="","",IF(INDEX('Per Invoice'!G$2:G$801,$W84)="","",INDEX('Per Invoice'!G$2:G$801,$W84)))</f>
        <v/>
      </c>
      <c r="H84">
        <f>IF($W84="","",IF(INDEX('Per Invoice'!H$2:H$801,$W84)="","",INDEX('Per Invoice'!H$2:H$801,$W84)))</f>
        <v/>
      </c>
      <c r="I84">
        <f>IF($W84="","",IF(INDEX('Per Invoice'!I$2:I$801,$W84)="","",INDEX('Per Invoice'!I$2:I$801,$W84)))</f>
        <v/>
      </c>
      <c r="J84">
        <f>IF($W84="","",IF(INDEX('Per Invoice'!J$2:J$801,$W84)="","",INDEX('Per Invoice'!J$2:J$801,$W84)))</f>
        <v/>
      </c>
      <c r="K84" s="7">
        <f>IF($W84="","",IF(INDEX('Per Invoice'!K$2:K$801,$W84)="","",INDEX('Per Invoice'!K$2:K$801,$W84)))</f>
        <v/>
      </c>
      <c r="L84" s="14">
        <f>IF($W84="","",IF(INDEX('Per Invoice'!L$2:L$801,$W84)="","",INDEX('Per Invoice'!L$2:L$801,$W84)))</f>
        <v/>
      </c>
      <c r="M84">
        <f>IF($W84="","",IF(INDEX('Per Invoice'!M$2:M$801,$W84)="","",INDEX('Per Invoice'!M$2:M$801,$W84)))</f>
        <v/>
      </c>
      <c r="N84" s="7">
        <f>IF($W84="","",IF(INDEX('Per Invoice'!N$2:N$801,$W84)="","",INDEX('Per Invoice'!N$2:N$801,$W84)))</f>
        <v/>
      </c>
      <c r="O84" s="7">
        <f>IF($W84="","",IF(INDEX('Per Invoice'!O$2:O$801,$W84)="","",INDEX('Per Invoice'!O$2:O$801,$W84)))</f>
        <v/>
      </c>
      <c r="P84">
        <f>IF($W84="","",IF(INDEX('Per Invoice'!P$2:P$801,$W84)="","",INDEX('Per Invoice'!P$2:P$801,$W84)))</f>
        <v/>
      </c>
      <c r="Q84" s="7">
        <f>IF($W84="","",IF(INDEX('Per Invoice'!Q$2:Q$801,$W84)="","",INDEX('Per Invoice'!Q$2:Q$801,$W84)))</f>
        <v/>
      </c>
      <c r="R84" s="7">
        <f>IF($W84="","",IF(INDEX('Per Invoice'!R$2:R$801,$W84)="","",INDEX('Per Invoice'!R$2:R$801,$W84)))</f>
        <v/>
      </c>
      <c r="S84" s="7">
        <f>IF($W84="","",IF(INDEX('Per Invoice'!S$2:S$801,$W84)="","",INDEX('Per Invoice'!S$2:S$801,$W84)))</f>
        <v/>
      </c>
      <c r="T84" s="7">
        <f>IF($W84="","",IF(INDEX('Per Invoice'!T$2:T$801,$W84)="","",INDEX('Per Invoice'!T$2:T$801,$W84)))</f>
        <v/>
      </c>
      <c r="U84" s="7">
        <f>IF($W84="","",IF(INDEX('Per Invoice'!U$2:U$801,$W84)="","",INDEX('Per Invoice'!U$2:U$801,$W84)))</f>
        <v/>
      </c>
      <c r="V84" s="7">
        <f>IF($W84="","",IF(INDEX('Per Invoice'!V$2:V$801,$W84)="","",INDEX('Per Invoice'!V$2:V$801,$W84)))</f>
        <v/>
      </c>
      <c r="W84" s="16">
        <f>IFERROR(MATCH(Settings!$C$28&amp;"|"&amp;ROWS($W$2:$W84),'Per Invoice'!$X$2:$X$801,0),"")</f>
        <v/>
      </c>
    </row>
    <row r="85">
      <c r="A85">
        <f>IF($W85="","",IF(INDEX('Per Invoice'!A$2:A$801,$W85)="","",INDEX('Per Invoice'!A$2:A$801,$W85)))</f>
        <v/>
      </c>
      <c r="B85">
        <f>IF($W85="","",IF(INDEX('Per Invoice'!B$2:B$801,$W85)="","",INDEX('Per Invoice'!B$2:B$801,$W85)))</f>
        <v/>
      </c>
      <c r="C85">
        <f>IF($W85="","",IF(INDEX('Per Invoice'!C$2:C$801,$W85)="","",INDEX('Per Invoice'!C$2:C$801,$W85)))</f>
        <v/>
      </c>
      <c r="D85">
        <f>IF($W85="","",IF(INDEX('Per Invoice'!D$2:D$801,$W85)="","",INDEX('Per Invoice'!D$2:D$801,$W85)))</f>
        <v/>
      </c>
      <c r="E85">
        <f>IF($W85="","",IF(INDEX('Per Invoice'!E$2:E$801,$W85)="","",INDEX('Per Invoice'!E$2:E$801,$W85)))</f>
        <v/>
      </c>
      <c r="F85">
        <f>IF($W85="","",IF(INDEX('Per Invoice'!F$2:F$801,$W85)="","",INDEX('Per Invoice'!F$2:F$801,$W85)))</f>
        <v/>
      </c>
      <c r="G85">
        <f>IF($W85="","",IF(INDEX('Per Invoice'!G$2:G$801,$W85)="","",INDEX('Per Invoice'!G$2:G$801,$W85)))</f>
        <v/>
      </c>
      <c r="H85">
        <f>IF($W85="","",IF(INDEX('Per Invoice'!H$2:H$801,$W85)="","",INDEX('Per Invoice'!H$2:H$801,$W85)))</f>
        <v/>
      </c>
      <c r="I85">
        <f>IF($W85="","",IF(INDEX('Per Invoice'!I$2:I$801,$W85)="","",INDEX('Per Invoice'!I$2:I$801,$W85)))</f>
        <v/>
      </c>
      <c r="J85">
        <f>IF($W85="","",IF(INDEX('Per Invoice'!J$2:J$801,$W85)="","",INDEX('Per Invoice'!J$2:J$801,$W85)))</f>
        <v/>
      </c>
      <c r="K85" s="7">
        <f>IF($W85="","",IF(INDEX('Per Invoice'!K$2:K$801,$W85)="","",INDEX('Per Invoice'!K$2:K$801,$W85)))</f>
        <v/>
      </c>
      <c r="L85" s="14">
        <f>IF($W85="","",IF(INDEX('Per Invoice'!L$2:L$801,$W85)="","",INDEX('Per Invoice'!L$2:L$801,$W85)))</f>
        <v/>
      </c>
      <c r="M85">
        <f>IF($W85="","",IF(INDEX('Per Invoice'!M$2:M$801,$W85)="","",INDEX('Per Invoice'!M$2:M$801,$W85)))</f>
        <v/>
      </c>
      <c r="N85" s="7">
        <f>IF($W85="","",IF(INDEX('Per Invoice'!N$2:N$801,$W85)="","",INDEX('Per Invoice'!N$2:N$801,$W85)))</f>
        <v/>
      </c>
      <c r="O85" s="7">
        <f>IF($W85="","",IF(INDEX('Per Invoice'!O$2:O$801,$W85)="","",INDEX('Per Invoice'!O$2:O$801,$W85)))</f>
        <v/>
      </c>
      <c r="P85">
        <f>IF($W85="","",IF(INDEX('Per Invoice'!P$2:P$801,$W85)="","",INDEX('Per Invoice'!P$2:P$801,$W85)))</f>
        <v/>
      </c>
      <c r="Q85" s="7">
        <f>IF($W85="","",IF(INDEX('Per Invoice'!Q$2:Q$801,$W85)="","",INDEX('Per Invoice'!Q$2:Q$801,$W85)))</f>
        <v/>
      </c>
      <c r="R85" s="7">
        <f>IF($W85="","",IF(INDEX('Per Invoice'!R$2:R$801,$W85)="","",INDEX('Per Invoice'!R$2:R$801,$W85)))</f>
        <v/>
      </c>
      <c r="S85" s="7">
        <f>IF($W85="","",IF(INDEX('Per Invoice'!S$2:S$801,$W85)="","",INDEX('Per Invoice'!S$2:S$801,$W85)))</f>
        <v/>
      </c>
      <c r="T85" s="7">
        <f>IF($W85="","",IF(INDEX('Per Invoice'!T$2:T$801,$W85)="","",INDEX('Per Invoice'!T$2:T$801,$W85)))</f>
        <v/>
      </c>
      <c r="U85" s="7">
        <f>IF($W85="","",IF(INDEX('Per Invoice'!U$2:U$801,$W85)="","",INDEX('Per Invoice'!U$2:U$801,$W85)))</f>
        <v/>
      </c>
      <c r="V85" s="7">
        <f>IF($W85="","",IF(INDEX('Per Invoice'!V$2:V$801,$W85)="","",INDEX('Per Invoice'!V$2:V$801,$W85)))</f>
        <v/>
      </c>
      <c r="W85" s="16">
        <f>IFERROR(MATCH(Settings!$C$28&amp;"|"&amp;ROWS($W$2:$W85),'Per Invoice'!$X$2:$X$801,0),"")</f>
        <v/>
      </c>
    </row>
    <row r="86">
      <c r="A86">
        <f>IF($W86="","",IF(INDEX('Per Invoice'!A$2:A$801,$W86)="","",INDEX('Per Invoice'!A$2:A$801,$W86)))</f>
        <v/>
      </c>
      <c r="B86">
        <f>IF($W86="","",IF(INDEX('Per Invoice'!B$2:B$801,$W86)="","",INDEX('Per Invoice'!B$2:B$801,$W86)))</f>
        <v/>
      </c>
      <c r="C86">
        <f>IF($W86="","",IF(INDEX('Per Invoice'!C$2:C$801,$W86)="","",INDEX('Per Invoice'!C$2:C$801,$W86)))</f>
        <v/>
      </c>
      <c r="D86">
        <f>IF($W86="","",IF(INDEX('Per Invoice'!D$2:D$801,$W86)="","",INDEX('Per Invoice'!D$2:D$801,$W86)))</f>
        <v/>
      </c>
      <c r="E86">
        <f>IF($W86="","",IF(INDEX('Per Invoice'!E$2:E$801,$W86)="","",INDEX('Per Invoice'!E$2:E$801,$W86)))</f>
        <v/>
      </c>
      <c r="F86">
        <f>IF($W86="","",IF(INDEX('Per Invoice'!F$2:F$801,$W86)="","",INDEX('Per Invoice'!F$2:F$801,$W86)))</f>
        <v/>
      </c>
      <c r="G86">
        <f>IF($W86="","",IF(INDEX('Per Invoice'!G$2:G$801,$W86)="","",INDEX('Per Invoice'!G$2:G$801,$W86)))</f>
        <v/>
      </c>
      <c r="H86">
        <f>IF($W86="","",IF(INDEX('Per Invoice'!H$2:H$801,$W86)="","",INDEX('Per Invoice'!H$2:H$801,$W86)))</f>
        <v/>
      </c>
      <c r="I86">
        <f>IF($W86="","",IF(INDEX('Per Invoice'!I$2:I$801,$W86)="","",INDEX('Per Invoice'!I$2:I$801,$W86)))</f>
        <v/>
      </c>
      <c r="J86">
        <f>IF($W86="","",IF(INDEX('Per Invoice'!J$2:J$801,$W86)="","",INDEX('Per Invoice'!J$2:J$801,$W86)))</f>
        <v/>
      </c>
      <c r="K86" s="7">
        <f>IF($W86="","",IF(INDEX('Per Invoice'!K$2:K$801,$W86)="","",INDEX('Per Invoice'!K$2:K$801,$W86)))</f>
        <v/>
      </c>
      <c r="L86" s="14">
        <f>IF($W86="","",IF(INDEX('Per Invoice'!L$2:L$801,$W86)="","",INDEX('Per Invoice'!L$2:L$801,$W86)))</f>
        <v/>
      </c>
      <c r="M86">
        <f>IF($W86="","",IF(INDEX('Per Invoice'!M$2:M$801,$W86)="","",INDEX('Per Invoice'!M$2:M$801,$W86)))</f>
        <v/>
      </c>
      <c r="N86" s="7">
        <f>IF($W86="","",IF(INDEX('Per Invoice'!N$2:N$801,$W86)="","",INDEX('Per Invoice'!N$2:N$801,$W86)))</f>
        <v/>
      </c>
      <c r="O86" s="7">
        <f>IF($W86="","",IF(INDEX('Per Invoice'!O$2:O$801,$W86)="","",INDEX('Per Invoice'!O$2:O$801,$W86)))</f>
        <v/>
      </c>
      <c r="P86">
        <f>IF($W86="","",IF(INDEX('Per Invoice'!P$2:P$801,$W86)="","",INDEX('Per Invoice'!P$2:P$801,$W86)))</f>
        <v/>
      </c>
      <c r="Q86" s="7">
        <f>IF($W86="","",IF(INDEX('Per Invoice'!Q$2:Q$801,$W86)="","",INDEX('Per Invoice'!Q$2:Q$801,$W86)))</f>
        <v/>
      </c>
      <c r="R86" s="7">
        <f>IF($W86="","",IF(INDEX('Per Invoice'!R$2:R$801,$W86)="","",INDEX('Per Invoice'!R$2:R$801,$W86)))</f>
        <v/>
      </c>
      <c r="S86" s="7">
        <f>IF($W86="","",IF(INDEX('Per Invoice'!S$2:S$801,$W86)="","",INDEX('Per Invoice'!S$2:S$801,$W86)))</f>
        <v/>
      </c>
      <c r="T86" s="7">
        <f>IF($W86="","",IF(INDEX('Per Invoice'!T$2:T$801,$W86)="","",INDEX('Per Invoice'!T$2:T$801,$W86)))</f>
        <v/>
      </c>
      <c r="U86" s="7">
        <f>IF($W86="","",IF(INDEX('Per Invoice'!U$2:U$801,$W86)="","",INDEX('Per Invoice'!U$2:U$801,$W86)))</f>
        <v/>
      </c>
      <c r="V86" s="7">
        <f>IF($W86="","",IF(INDEX('Per Invoice'!V$2:V$801,$W86)="","",INDEX('Per Invoice'!V$2:V$801,$W86)))</f>
        <v/>
      </c>
      <c r="W86" s="16">
        <f>IFERROR(MATCH(Settings!$C$28&amp;"|"&amp;ROWS($W$2:$W86),'Per Invoice'!$X$2:$X$801,0),"")</f>
        <v/>
      </c>
    </row>
    <row r="87">
      <c r="A87">
        <f>IF($W87="","",IF(INDEX('Per Invoice'!A$2:A$801,$W87)="","",INDEX('Per Invoice'!A$2:A$801,$W87)))</f>
        <v/>
      </c>
      <c r="B87">
        <f>IF($W87="","",IF(INDEX('Per Invoice'!B$2:B$801,$W87)="","",INDEX('Per Invoice'!B$2:B$801,$W87)))</f>
        <v/>
      </c>
      <c r="C87">
        <f>IF($W87="","",IF(INDEX('Per Invoice'!C$2:C$801,$W87)="","",INDEX('Per Invoice'!C$2:C$801,$W87)))</f>
        <v/>
      </c>
      <c r="D87">
        <f>IF($W87="","",IF(INDEX('Per Invoice'!D$2:D$801,$W87)="","",INDEX('Per Invoice'!D$2:D$801,$W87)))</f>
        <v/>
      </c>
      <c r="E87">
        <f>IF($W87="","",IF(INDEX('Per Invoice'!E$2:E$801,$W87)="","",INDEX('Per Invoice'!E$2:E$801,$W87)))</f>
        <v/>
      </c>
      <c r="F87">
        <f>IF($W87="","",IF(INDEX('Per Invoice'!F$2:F$801,$W87)="","",INDEX('Per Invoice'!F$2:F$801,$W87)))</f>
        <v/>
      </c>
      <c r="G87">
        <f>IF($W87="","",IF(INDEX('Per Invoice'!G$2:G$801,$W87)="","",INDEX('Per Invoice'!G$2:G$801,$W87)))</f>
        <v/>
      </c>
      <c r="H87">
        <f>IF($W87="","",IF(INDEX('Per Invoice'!H$2:H$801,$W87)="","",INDEX('Per Invoice'!H$2:H$801,$W87)))</f>
        <v/>
      </c>
      <c r="I87">
        <f>IF($W87="","",IF(INDEX('Per Invoice'!I$2:I$801,$W87)="","",INDEX('Per Invoice'!I$2:I$801,$W87)))</f>
        <v/>
      </c>
      <c r="J87">
        <f>IF($W87="","",IF(INDEX('Per Invoice'!J$2:J$801,$W87)="","",INDEX('Per Invoice'!J$2:J$801,$W87)))</f>
        <v/>
      </c>
      <c r="K87" s="7">
        <f>IF($W87="","",IF(INDEX('Per Invoice'!K$2:K$801,$W87)="","",INDEX('Per Invoice'!K$2:K$801,$W87)))</f>
        <v/>
      </c>
      <c r="L87" s="14">
        <f>IF($W87="","",IF(INDEX('Per Invoice'!L$2:L$801,$W87)="","",INDEX('Per Invoice'!L$2:L$801,$W87)))</f>
        <v/>
      </c>
      <c r="M87">
        <f>IF($W87="","",IF(INDEX('Per Invoice'!M$2:M$801,$W87)="","",INDEX('Per Invoice'!M$2:M$801,$W87)))</f>
        <v/>
      </c>
      <c r="N87" s="7">
        <f>IF($W87="","",IF(INDEX('Per Invoice'!N$2:N$801,$W87)="","",INDEX('Per Invoice'!N$2:N$801,$W87)))</f>
        <v/>
      </c>
      <c r="O87" s="7">
        <f>IF($W87="","",IF(INDEX('Per Invoice'!O$2:O$801,$W87)="","",INDEX('Per Invoice'!O$2:O$801,$W87)))</f>
        <v/>
      </c>
      <c r="P87">
        <f>IF($W87="","",IF(INDEX('Per Invoice'!P$2:P$801,$W87)="","",INDEX('Per Invoice'!P$2:P$801,$W87)))</f>
        <v/>
      </c>
      <c r="Q87" s="7">
        <f>IF($W87="","",IF(INDEX('Per Invoice'!Q$2:Q$801,$W87)="","",INDEX('Per Invoice'!Q$2:Q$801,$W87)))</f>
        <v/>
      </c>
      <c r="R87" s="7">
        <f>IF($W87="","",IF(INDEX('Per Invoice'!R$2:R$801,$W87)="","",INDEX('Per Invoice'!R$2:R$801,$W87)))</f>
        <v/>
      </c>
      <c r="S87" s="7">
        <f>IF($W87="","",IF(INDEX('Per Invoice'!S$2:S$801,$W87)="","",INDEX('Per Invoice'!S$2:S$801,$W87)))</f>
        <v/>
      </c>
      <c r="T87" s="7">
        <f>IF($W87="","",IF(INDEX('Per Invoice'!T$2:T$801,$W87)="","",INDEX('Per Invoice'!T$2:T$801,$W87)))</f>
        <v/>
      </c>
      <c r="U87" s="7">
        <f>IF($W87="","",IF(INDEX('Per Invoice'!U$2:U$801,$W87)="","",INDEX('Per Invoice'!U$2:U$801,$W87)))</f>
        <v/>
      </c>
      <c r="V87" s="7">
        <f>IF($W87="","",IF(INDEX('Per Invoice'!V$2:V$801,$W87)="","",INDEX('Per Invoice'!V$2:V$801,$W87)))</f>
        <v/>
      </c>
      <c r="W87" s="16">
        <f>IFERROR(MATCH(Settings!$C$28&amp;"|"&amp;ROWS($W$2:$W87),'Per Invoice'!$X$2:$X$801,0),"")</f>
        <v/>
      </c>
    </row>
    <row r="88">
      <c r="A88">
        <f>IF($W88="","",IF(INDEX('Per Invoice'!A$2:A$801,$W88)="","",INDEX('Per Invoice'!A$2:A$801,$W88)))</f>
        <v/>
      </c>
      <c r="B88">
        <f>IF($W88="","",IF(INDEX('Per Invoice'!B$2:B$801,$W88)="","",INDEX('Per Invoice'!B$2:B$801,$W88)))</f>
        <v/>
      </c>
      <c r="C88">
        <f>IF($W88="","",IF(INDEX('Per Invoice'!C$2:C$801,$W88)="","",INDEX('Per Invoice'!C$2:C$801,$W88)))</f>
        <v/>
      </c>
      <c r="D88">
        <f>IF($W88="","",IF(INDEX('Per Invoice'!D$2:D$801,$W88)="","",INDEX('Per Invoice'!D$2:D$801,$W88)))</f>
        <v/>
      </c>
      <c r="E88">
        <f>IF($W88="","",IF(INDEX('Per Invoice'!E$2:E$801,$W88)="","",INDEX('Per Invoice'!E$2:E$801,$W88)))</f>
        <v/>
      </c>
      <c r="F88">
        <f>IF($W88="","",IF(INDEX('Per Invoice'!F$2:F$801,$W88)="","",INDEX('Per Invoice'!F$2:F$801,$W88)))</f>
        <v/>
      </c>
      <c r="G88">
        <f>IF($W88="","",IF(INDEX('Per Invoice'!G$2:G$801,$W88)="","",INDEX('Per Invoice'!G$2:G$801,$W88)))</f>
        <v/>
      </c>
      <c r="H88">
        <f>IF($W88="","",IF(INDEX('Per Invoice'!H$2:H$801,$W88)="","",INDEX('Per Invoice'!H$2:H$801,$W88)))</f>
        <v/>
      </c>
      <c r="I88">
        <f>IF($W88="","",IF(INDEX('Per Invoice'!I$2:I$801,$W88)="","",INDEX('Per Invoice'!I$2:I$801,$W88)))</f>
        <v/>
      </c>
      <c r="J88">
        <f>IF($W88="","",IF(INDEX('Per Invoice'!J$2:J$801,$W88)="","",INDEX('Per Invoice'!J$2:J$801,$W88)))</f>
        <v/>
      </c>
      <c r="K88" s="7">
        <f>IF($W88="","",IF(INDEX('Per Invoice'!K$2:K$801,$W88)="","",INDEX('Per Invoice'!K$2:K$801,$W88)))</f>
        <v/>
      </c>
      <c r="L88" s="14">
        <f>IF($W88="","",IF(INDEX('Per Invoice'!L$2:L$801,$W88)="","",INDEX('Per Invoice'!L$2:L$801,$W88)))</f>
        <v/>
      </c>
      <c r="M88">
        <f>IF($W88="","",IF(INDEX('Per Invoice'!M$2:M$801,$W88)="","",INDEX('Per Invoice'!M$2:M$801,$W88)))</f>
        <v/>
      </c>
      <c r="N88" s="7">
        <f>IF($W88="","",IF(INDEX('Per Invoice'!N$2:N$801,$W88)="","",INDEX('Per Invoice'!N$2:N$801,$W88)))</f>
        <v/>
      </c>
      <c r="O88" s="7">
        <f>IF($W88="","",IF(INDEX('Per Invoice'!O$2:O$801,$W88)="","",INDEX('Per Invoice'!O$2:O$801,$W88)))</f>
        <v/>
      </c>
      <c r="P88">
        <f>IF($W88="","",IF(INDEX('Per Invoice'!P$2:P$801,$W88)="","",INDEX('Per Invoice'!P$2:P$801,$W88)))</f>
        <v/>
      </c>
      <c r="Q88" s="7">
        <f>IF($W88="","",IF(INDEX('Per Invoice'!Q$2:Q$801,$W88)="","",INDEX('Per Invoice'!Q$2:Q$801,$W88)))</f>
        <v/>
      </c>
      <c r="R88" s="7">
        <f>IF($W88="","",IF(INDEX('Per Invoice'!R$2:R$801,$W88)="","",INDEX('Per Invoice'!R$2:R$801,$W88)))</f>
        <v/>
      </c>
      <c r="S88" s="7">
        <f>IF($W88="","",IF(INDEX('Per Invoice'!S$2:S$801,$W88)="","",INDEX('Per Invoice'!S$2:S$801,$W88)))</f>
        <v/>
      </c>
      <c r="T88" s="7">
        <f>IF($W88="","",IF(INDEX('Per Invoice'!T$2:T$801,$W88)="","",INDEX('Per Invoice'!T$2:T$801,$W88)))</f>
        <v/>
      </c>
      <c r="U88" s="7">
        <f>IF($W88="","",IF(INDEX('Per Invoice'!U$2:U$801,$W88)="","",INDEX('Per Invoice'!U$2:U$801,$W88)))</f>
        <v/>
      </c>
      <c r="V88" s="7">
        <f>IF($W88="","",IF(INDEX('Per Invoice'!V$2:V$801,$W88)="","",INDEX('Per Invoice'!V$2:V$801,$W88)))</f>
        <v/>
      </c>
      <c r="W88" s="16">
        <f>IFERROR(MATCH(Settings!$C$28&amp;"|"&amp;ROWS($W$2:$W88),'Per Invoice'!$X$2:$X$801,0),"")</f>
        <v/>
      </c>
    </row>
    <row r="89">
      <c r="A89">
        <f>IF($W89="","",IF(INDEX('Per Invoice'!A$2:A$801,$W89)="","",INDEX('Per Invoice'!A$2:A$801,$W89)))</f>
        <v/>
      </c>
      <c r="B89">
        <f>IF($W89="","",IF(INDEX('Per Invoice'!B$2:B$801,$W89)="","",INDEX('Per Invoice'!B$2:B$801,$W89)))</f>
        <v/>
      </c>
      <c r="C89">
        <f>IF($W89="","",IF(INDEX('Per Invoice'!C$2:C$801,$W89)="","",INDEX('Per Invoice'!C$2:C$801,$W89)))</f>
        <v/>
      </c>
      <c r="D89">
        <f>IF($W89="","",IF(INDEX('Per Invoice'!D$2:D$801,$W89)="","",INDEX('Per Invoice'!D$2:D$801,$W89)))</f>
        <v/>
      </c>
      <c r="E89">
        <f>IF($W89="","",IF(INDEX('Per Invoice'!E$2:E$801,$W89)="","",INDEX('Per Invoice'!E$2:E$801,$W89)))</f>
        <v/>
      </c>
      <c r="F89">
        <f>IF($W89="","",IF(INDEX('Per Invoice'!F$2:F$801,$W89)="","",INDEX('Per Invoice'!F$2:F$801,$W89)))</f>
        <v/>
      </c>
      <c r="G89">
        <f>IF($W89="","",IF(INDEX('Per Invoice'!G$2:G$801,$W89)="","",INDEX('Per Invoice'!G$2:G$801,$W89)))</f>
        <v/>
      </c>
      <c r="H89">
        <f>IF($W89="","",IF(INDEX('Per Invoice'!H$2:H$801,$W89)="","",INDEX('Per Invoice'!H$2:H$801,$W89)))</f>
        <v/>
      </c>
      <c r="I89">
        <f>IF($W89="","",IF(INDEX('Per Invoice'!I$2:I$801,$W89)="","",INDEX('Per Invoice'!I$2:I$801,$W89)))</f>
        <v/>
      </c>
      <c r="J89">
        <f>IF($W89="","",IF(INDEX('Per Invoice'!J$2:J$801,$W89)="","",INDEX('Per Invoice'!J$2:J$801,$W89)))</f>
        <v/>
      </c>
      <c r="K89" s="7">
        <f>IF($W89="","",IF(INDEX('Per Invoice'!K$2:K$801,$W89)="","",INDEX('Per Invoice'!K$2:K$801,$W89)))</f>
        <v/>
      </c>
      <c r="L89" s="14">
        <f>IF($W89="","",IF(INDEX('Per Invoice'!L$2:L$801,$W89)="","",INDEX('Per Invoice'!L$2:L$801,$W89)))</f>
        <v/>
      </c>
      <c r="M89">
        <f>IF($W89="","",IF(INDEX('Per Invoice'!M$2:M$801,$W89)="","",INDEX('Per Invoice'!M$2:M$801,$W89)))</f>
        <v/>
      </c>
      <c r="N89" s="7">
        <f>IF($W89="","",IF(INDEX('Per Invoice'!N$2:N$801,$W89)="","",INDEX('Per Invoice'!N$2:N$801,$W89)))</f>
        <v/>
      </c>
      <c r="O89" s="7">
        <f>IF($W89="","",IF(INDEX('Per Invoice'!O$2:O$801,$W89)="","",INDEX('Per Invoice'!O$2:O$801,$W89)))</f>
        <v/>
      </c>
      <c r="P89">
        <f>IF($W89="","",IF(INDEX('Per Invoice'!P$2:P$801,$W89)="","",INDEX('Per Invoice'!P$2:P$801,$W89)))</f>
        <v/>
      </c>
      <c r="Q89" s="7">
        <f>IF($W89="","",IF(INDEX('Per Invoice'!Q$2:Q$801,$W89)="","",INDEX('Per Invoice'!Q$2:Q$801,$W89)))</f>
        <v/>
      </c>
      <c r="R89" s="7">
        <f>IF($W89="","",IF(INDEX('Per Invoice'!R$2:R$801,$W89)="","",INDEX('Per Invoice'!R$2:R$801,$W89)))</f>
        <v/>
      </c>
      <c r="S89" s="7">
        <f>IF($W89="","",IF(INDEX('Per Invoice'!S$2:S$801,$W89)="","",INDEX('Per Invoice'!S$2:S$801,$W89)))</f>
        <v/>
      </c>
      <c r="T89" s="7">
        <f>IF($W89="","",IF(INDEX('Per Invoice'!T$2:T$801,$W89)="","",INDEX('Per Invoice'!T$2:T$801,$W89)))</f>
        <v/>
      </c>
      <c r="U89" s="7">
        <f>IF($W89="","",IF(INDEX('Per Invoice'!U$2:U$801,$W89)="","",INDEX('Per Invoice'!U$2:U$801,$W89)))</f>
        <v/>
      </c>
      <c r="V89" s="7">
        <f>IF($W89="","",IF(INDEX('Per Invoice'!V$2:V$801,$W89)="","",INDEX('Per Invoice'!V$2:V$801,$W89)))</f>
        <v/>
      </c>
      <c r="W89" s="16">
        <f>IFERROR(MATCH(Settings!$C$28&amp;"|"&amp;ROWS($W$2:$W89),'Per Invoice'!$X$2:$X$801,0),"")</f>
        <v/>
      </c>
    </row>
    <row r="90">
      <c r="A90">
        <f>IF($W90="","",IF(INDEX('Per Invoice'!A$2:A$801,$W90)="","",INDEX('Per Invoice'!A$2:A$801,$W90)))</f>
        <v/>
      </c>
      <c r="B90">
        <f>IF($W90="","",IF(INDEX('Per Invoice'!B$2:B$801,$W90)="","",INDEX('Per Invoice'!B$2:B$801,$W90)))</f>
        <v/>
      </c>
      <c r="C90">
        <f>IF($W90="","",IF(INDEX('Per Invoice'!C$2:C$801,$W90)="","",INDEX('Per Invoice'!C$2:C$801,$W90)))</f>
        <v/>
      </c>
      <c r="D90">
        <f>IF($W90="","",IF(INDEX('Per Invoice'!D$2:D$801,$W90)="","",INDEX('Per Invoice'!D$2:D$801,$W90)))</f>
        <v/>
      </c>
      <c r="E90">
        <f>IF($W90="","",IF(INDEX('Per Invoice'!E$2:E$801,$W90)="","",INDEX('Per Invoice'!E$2:E$801,$W90)))</f>
        <v/>
      </c>
      <c r="F90">
        <f>IF($W90="","",IF(INDEX('Per Invoice'!F$2:F$801,$W90)="","",INDEX('Per Invoice'!F$2:F$801,$W90)))</f>
        <v/>
      </c>
      <c r="G90">
        <f>IF($W90="","",IF(INDEX('Per Invoice'!G$2:G$801,$W90)="","",INDEX('Per Invoice'!G$2:G$801,$W90)))</f>
        <v/>
      </c>
      <c r="H90">
        <f>IF($W90="","",IF(INDEX('Per Invoice'!H$2:H$801,$W90)="","",INDEX('Per Invoice'!H$2:H$801,$W90)))</f>
        <v/>
      </c>
      <c r="I90">
        <f>IF($W90="","",IF(INDEX('Per Invoice'!I$2:I$801,$W90)="","",INDEX('Per Invoice'!I$2:I$801,$W90)))</f>
        <v/>
      </c>
      <c r="J90">
        <f>IF($W90="","",IF(INDEX('Per Invoice'!J$2:J$801,$W90)="","",INDEX('Per Invoice'!J$2:J$801,$W90)))</f>
        <v/>
      </c>
      <c r="K90" s="7">
        <f>IF($W90="","",IF(INDEX('Per Invoice'!K$2:K$801,$W90)="","",INDEX('Per Invoice'!K$2:K$801,$W90)))</f>
        <v/>
      </c>
      <c r="L90" s="14">
        <f>IF($W90="","",IF(INDEX('Per Invoice'!L$2:L$801,$W90)="","",INDEX('Per Invoice'!L$2:L$801,$W90)))</f>
        <v/>
      </c>
      <c r="M90">
        <f>IF($W90="","",IF(INDEX('Per Invoice'!M$2:M$801,$W90)="","",INDEX('Per Invoice'!M$2:M$801,$W90)))</f>
        <v/>
      </c>
      <c r="N90" s="7">
        <f>IF($W90="","",IF(INDEX('Per Invoice'!N$2:N$801,$W90)="","",INDEX('Per Invoice'!N$2:N$801,$W90)))</f>
        <v/>
      </c>
      <c r="O90" s="7">
        <f>IF($W90="","",IF(INDEX('Per Invoice'!O$2:O$801,$W90)="","",INDEX('Per Invoice'!O$2:O$801,$W90)))</f>
        <v/>
      </c>
      <c r="P90">
        <f>IF($W90="","",IF(INDEX('Per Invoice'!P$2:P$801,$W90)="","",INDEX('Per Invoice'!P$2:P$801,$W90)))</f>
        <v/>
      </c>
      <c r="Q90" s="7">
        <f>IF($W90="","",IF(INDEX('Per Invoice'!Q$2:Q$801,$W90)="","",INDEX('Per Invoice'!Q$2:Q$801,$W90)))</f>
        <v/>
      </c>
      <c r="R90" s="7">
        <f>IF($W90="","",IF(INDEX('Per Invoice'!R$2:R$801,$W90)="","",INDEX('Per Invoice'!R$2:R$801,$W90)))</f>
        <v/>
      </c>
      <c r="S90" s="7">
        <f>IF($W90="","",IF(INDEX('Per Invoice'!S$2:S$801,$W90)="","",INDEX('Per Invoice'!S$2:S$801,$W90)))</f>
        <v/>
      </c>
      <c r="T90" s="7">
        <f>IF($W90="","",IF(INDEX('Per Invoice'!T$2:T$801,$W90)="","",INDEX('Per Invoice'!T$2:T$801,$W90)))</f>
        <v/>
      </c>
      <c r="U90" s="7">
        <f>IF($W90="","",IF(INDEX('Per Invoice'!U$2:U$801,$W90)="","",INDEX('Per Invoice'!U$2:U$801,$W90)))</f>
        <v/>
      </c>
      <c r="V90" s="7">
        <f>IF($W90="","",IF(INDEX('Per Invoice'!V$2:V$801,$W90)="","",INDEX('Per Invoice'!V$2:V$801,$W90)))</f>
        <v/>
      </c>
      <c r="W90" s="16">
        <f>IFERROR(MATCH(Settings!$C$28&amp;"|"&amp;ROWS($W$2:$W90),'Per Invoice'!$X$2:$X$801,0),"")</f>
        <v/>
      </c>
    </row>
    <row r="91">
      <c r="A91">
        <f>IF($W91="","",IF(INDEX('Per Invoice'!A$2:A$801,$W91)="","",INDEX('Per Invoice'!A$2:A$801,$W91)))</f>
        <v/>
      </c>
      <c r="B91">
        <f>IF($W91="","",IF(INDEX('Per Invoice'!B$2:B$801,$W91)="","",INDEX('Per Invoice'!B$2:B$801,$W91)))</f>
        <v/>
      </c>
      <c r="C91">
        <f>IF($W91="","",IF(INDEX('Per Invoice'!C$2:C$801,$W91)="","",INDEX('Per Invoice'!C$2:C$801,$W91)))</f>
        <v/>
      </c>
      <c r="D91">
        <f>IF($W91="","",IF(INDEX('Per Invoice'!D$2:D$801,$W91)="","",INDEX('Per Invoice'!D$2:D$801,$W91)))</f>
        <v/>
      </c>
      <c r="E91">
        <f>IF($W91="","",IF(INDEX('Per Invoice'!E$2:E$801,$W91)="","",INDEX('Per Invoice'!E$2:E$801,$W91)))</f>
        <v/>
      </c>
      <c r="F91">
        <f>IF($W91="","",IF(INDEX('Per Invoice'!F$2:F$801,$W91)="","",INDEX('Per Invoice'!F$2:F$801,$W91)))</f>
        <v/>
      </c>
      <c r="G91">
        <f>IF($W91="","",IF(INDEX('Per Invoice'!G$2:G$801,$W91)="","",INDEX('Per Invoice'!G$2:G$801,$W91)))</f>
        <v/>
      </c>
      <c r="H91">
        <f>IF($W91="","",IF(INDEX('Per Invoice'!H$2:H$801,$W91)="","",INDEX('Per Invoice'!H$2:H$801,$W91)))</f>
        <v/>
      </c>
      <c r="I91">
        <f>IF($W91="","",IF(INDEX('Per Invoice'!I$2:I$801,$W91)="","",INDEX('Per Invoice'!I$2:I$801,$W91)))</f>
        <v/>
      </c>
      <c r="J91">
        <f>IF($W91="","",IF(INDEX('Per Invoice'!J$2:J$801,$W91)="","",INDEX('Per Invoice'!J$2:J$801,$W91)))</f>
        <v/>
      </c>
      <c r="K91" s="7">
        <f>IF($W91="","",IF(INDEX('Per Invoice'!K$2:K$801,$W91)="","",INDEX('Per Invoice'!K$2:K$801,$W91)))</f>
        <v/>
      </c>
      <c r="L91" s="14">
        <f>IF($W91="","",IF(INDEX('Per Invoice'!L$2:L$801,$W91)="","",INDEX('Per Invoice'!L$2:L$801,$W91)))</f>
        <v/>
      </c>
      <c r="M91">
        <f>IF($W91="","",IF(INDEX('Per Invoice'!M$2:M$801,$W91)="","",INDEX('Per Invoice'!M$2:M$801,$W91)))</f>
        <v/>
      </c>
      <c r="N91" s="7">
        <f>IF($W91="","",IF(INDEX('Per Invoice'!N$2:N$801,$W91)="","",INDEX('Per Invoice'!N$2:N$801,$W91)))</f>
        <v/>
      </c>
      <c r="O91" s="7">
        <f>IF($W91="","",IF(INDEX('Per Invoice'!O$2:O$801,$W91)="","",INDEX('Per Invoice'!O$2:O$801,$W91)))</f>
        <v/>
      </c>
      <c r="P91">
        <f>IF($W91="","",IF(INDEX('Per Invoice'!P$2:P$801,$W91)="","",INDEX('Per Invoice'!P$2:P$801,$W91)))</f>
        <v/>
      </c>
      <c r="Q91" s="7">
        <f>IF($W91="","",IF(INDEX('Per Invoice'!Q$2:Q$801,$W91)="","",INDEX('Per Invoice'!Q$2:Q$801,$W91)))</f>
        <v/>
      </c>
      <c r="R91" s="7">
        <f>IF($W91="","",IF(INDEX('Per Invoice'!R$2:R$801,$W91)="","",INDEX('Per Invoice'!R$2:R$801,$W91)))</f>
        <v/>
      </c>
      <c r="S91" s="7">
        <f>IF($W91="","",IF(INDEX('Per Invoice'!S$2:S$801,$W91)="","",INDEX('Per Invoice'!S$2:S$801,$W91)))</f>
        <v/>
      </c>
      <c r="T91" s="7">
        <f>IF($W91="","",IF(INDEX('Per Invoice'!T$2:T$801,$W91)="","",INDEX('Per Invoice'!T$2:T$801,$W91)))</f>
        <v/>
      </c>
      <c r="U91" s="7">
        <f>IF($W91="","",IF(INDEX('Per Invoice'!U$2:U$801,$W91)="","",INDEX('Per Invoice'!U$2:U$801,$W91)))</f>
        <v/>
      </c>
      <c r="V91" s="7">
        <f>IF($W91="","",IF(INDEX('Per Invoice'!V$2:V$801,$W91)="","",INDEX('Per Invoice'!V$2:V$801,$W91)))</f>
        <v/>
      </c>
      <c r="W91" s="16">
        <f>IFERROR(MATCH(Settings!$C$28&amp;"|"&amp;ROWS($W$2:$W91),'Per Invoice'!$X$2:$X$801,0),"")</f>
        <v/>
      </c>
    </row>
    <row r="92">
      <c r="A92">
        <f>IF($W92="","",IF(INDEX('Per Invoice'!A$2:A$801,$W92)="","",INDEX('Per Invoice'!A$2:A$801,$W92)))</f>
        <v/>
      </c>
      <c r="B92">
        <f>IF($W92="","",IF(INDEX('Per Invoice'!B$2:B$801,$W92)="","",INDEX('Per Invoice'!B$2:B$801,$W92)))</f>
        <v/>
      </c>
      <c r="C92">
        <f>IF($W92="","",IF(INDEX('Per Invoice'!C$2:C$801,$W92)="","",INDEX('Per Invoice'!C$2:C$801,$W92)))</f>
        <v/>
      </c>
      <c r="D92">
        <f>IF($W92="","",IF(INDEX('Per Invoice'!D$2:D$801,$W92)="","",INDEX('Per Invoice'!D$2:D$801,$W92)))</f>
        <v/>
      </c>
      <c r="E92">
        <f>IF($W92="","",IF(INDEX('Per Invoice'!E$2:E$801,$W92)="","",INDEX('Per Invoice'!E$2:E$801,$W92)))</f>
        <v/>
      </c>
      <c r="F92">
        <f>IF($W92="","",IF(INDEX('Per Invoice'!F$2:F$801,$W92)="","",INDEX('Per Invoice'!F$2:F$801,$W92)))</f>
        <v/>
      </c>
      <c r="G92">
        <f>IF($W92="","",IF(INDEX('Per Invoice'!G$2:G$801,$W92)="","",INDEX('Per Invoice'!G$2:G$801,$W92)))</f>
        <v/>
      </c>
      <c r="H92">
        <f>IF($W92="","",IF(INDEX('Per Invoice'!H$2:H$801,$W92)="","",INDEX('Per Invoice'!H$2:H$801,$W92)))</f>
        <v/>
      </c>
      <c r="I92">
        <f>IF($W92="","",IF(INDEX('Per Invoice'!I$2:I$801,$W92)="","",INDEX('Per Invoice'!I$2:I$801,$W92)))</f>
        <v/>
      </c>
      <c r="J92">
        <f>IF($W92="","",IF(INDEX('Per Invoice'!J$2:J$801,$W92)="","",INDEX('Per Invoice'!J$2:J$801,$W92)))</f>
        <v/>
      </c>
      <c r="K92" s="7">
        <f>IF($W92="","",IF(INDEX('Per Invoice'!K$2:K$801,$W92)="","",INDEX('Per Invoice'!K$2:K$801,$W92)))</f>
        <v/>
      </c>
      <c r="L92" s="14">
        <f>IF($W92="","",IF(INDEX('Per Invoice'!L$2:L$801,$W92)="","",INDEX('Per Invoice'!L$2:L$801,$W92)))</f>
        <v/>
      </c>
      <c r="M92">
        <f>IF($W92="","",IF(INDEX('Per Invoice'!M$2:M$801,$W92)="","",INDEX('Per Invoice'!M$2:M$801,$W92)))</f>
        <v/>
      </c>
      <c r="N92" s="7">
        <f>IF($W92="","",IF(INDEX('Per Invoice'!N$2:N$801,$W92)="","",INDEX('Per Invoice'!N$2:N$801,$W92)))</f>
        <v/>
      </c>
      <c r="O92" s="7">
        <f>IF($W92="","",IF(INDEX('Per Invoice'!O$2:O$801,$W92)="","",INDEX('Per Invoice'!O$2:O$801,$W92)))</f>
        <v/>
      </c>
      <c r="P92">
        <f>IF($W92="","",IF(INDEX('Per Invoice'!P$2:P$801,$W92)="","",INDEX('Per Invoice'!P$2:P$801,$W92)))</f>
        <v/>
      </c>
      <c r="Q92" s="7">
        <f>IF($W92="","",IF(INDEX('Per Invoice'!Q$2:Q$801,$W92)="","",INDEX('Per Invoice'!Q$2:Q$801,$W92)))</f>
        <v/>
      </c>
      <c r="R92" s="7">
        <f>IF($W92="","",IF(INDEX('Per Invoice'!R$2:R$801,$W92)="","",INDEX('Per Invoice'!R$2:R$801,$W92)))</f>
        <v/>
      </c>
      <c r="S92" s="7">
        <f>IF($W92="","",IF(INDEX('Per Invoice'!S$2:S$801,$W92)="","",INDEX('Per Invoice'!S$2:S$801,$W92)))</f>
        <v/>
      </c>
      <c r="T92" s="7">
        <f>IF($W92="","",IF(INDEX('Per Invoice'!T$2:T$801,$W92)="","",INDEX('Per Invoice'!T$2:T$801,$W92)))</f>
        <v/>
      </c>
      <c r="U92" s="7">
        <f>IF($W92="","",IF(INDEX('Per Invoice'!U$2:U$801,$W92)="","",INDEX('Per Invoice'!U$2:U$801,$W92)))</f>
        <v/>
      </c>
      <c r="V92" s="7">
        <f>IF($W92="","",IF(INDEX('Per Invoice'!V$2:V$801,$W92)="","",INDEX('Per Invoice'!V$2:V$801,$W92)))</f>
        <v/>
      </c>
      <c r="W92" s="16">
        <f>IFERROR(MATCH(Settings!$C$28&amp;"|"&amp;ROWS($W$2:$W92),'Per Invoice'!$X$2:$X$801,0),"")</f>
        <v/>
      </c>
    </row>
    <row r="93">
      <c r="A93">
        <f>IF($W93="","",IF(INDEX('Per Invoice'!A$2:A$801,$W93)="","",INDEX('Per Invoice'!A$2:A$801,$W93)))</f>
        <v/>
      </c>
      <c r="B93">
        <f>IF($W93="","",IF(INDEX('Per Invoice'!B$2:B$801,$W93)="","",INDEX('Per Invoice'!B$2:B$801,$W93)))</f>
        <v/>
      </c>
      <c r="C93">
        <f>IF($W93="","",IF(INDEX('Per Invoice'!C$2:C$801,$W93)="","",INDEX('Per Invoice'!C$2:C$801,$W93)))</f>
        <v/>
      </c>
      <c r="D93">
        <f>IF($W93="","",IF(INDEX('Per Invoice'!D$2:D$801,$W93)="","",INDEX('Per Invoice'!D$2:D$801,$W93)))</f>
        <v/>
      </c>
      <c r="E93">
        <f>IF($W93="","",IF(INDEX('Per Invoice'!E$2:E$801,$W93)="","",INDEX('Per Invoice'!E$2:E$801,$W93)))</f>
        <v/>
      </c>
      <c r="F93">
        <f>IF($W93="","",IF(INDEX('Per Invoice'!F$2:F$801,$W93)="","",INDEX('Per Invoice'!F$2:F$801,$W93)))</f>
        <v/>
      </c>
      <c r="G93">
        <f>IF($W93="","",IF(INDEX('Per Invoice'!G$2:G$801,$W93)="","",INDEX('Per Invoice'!G$2:G$801,$W93)))</f>
        <v/>
      </c>
      <c r="H93">
        <f>IF($W93="","",IF(INDEX('Per Invoice'!H$2:H$801,$W93)="","",INDEX('Per Invoice'!H$2:H$801,$W93)))</f>
        <v/>
      </c>
      <c r="I93">
        <f>IF($W93="","",IF(INDEX('Per Invoice'!I$2:I$801,$W93)="","",INDEX('Per Invoice'!I$2:I$801,$W93)))</f>
        <v/>
      </c>
      <c r="J93">
        <f>IF($W93="","",IF(INDEX('Per Invoice'!J$2:J$801,$W93)="","",INDEX('Per Invoice'!J$2:J$801,$W93)))</f>
        <v/>
      </c>
      <c r="K93" s="7">
        <f>IF($W93="","",IF(INDEX('Per Invoice'!K$2:K$801,$W93)="","",INDEX('Per Invoice'!K$2:K$801,$W93)))</f>
        <v/>
      </c>
      <c r="L93" s="14">
        <f>IF($W93="","",IF(INDEX('Per Invoice'!L$2:L$801,$W93)="","",INDEX('Per Invoice'!L$2:L$801,$W93)))</f>
        <v/>
      </c>
      <c r="M93">
        <f>IF($W93="","",IF(INDEX('Per Invoice'!M$2:M$801,$W93)="","",INDEX('Per Invoice'!M$2:M$801,$W93)))</f>
        <v/>
      </c>
      <c r="N93" s="7">
        <f>IF($W93="","",IF(INDEX('Per Invoice'!N$2:N$801,$W93)="","",INDEX('Per Invoice'!N$2:N$801,$W93)))</f>
        <v/>
      </c>
      <c r="O93" s="7">
        <f>IF($W93="","",IF(INDEX('Per Invoice'!O$2:O$801,$W93)="","",INDEX('Per Invoice'!O$2:O$801,$W93)))</f>
        <v/>
      </c>
      <c r="P93">
        <f>IF($W93="","",IF(INDEX('Per Invoice'!P$2:P$801,$W93)="","",INDEX('Per Invoice'!P$2:P$801,$W93)))</f>
        <v/>
      </c>
      <c r="Q93" s="7">
        <f>IF($W93="","",IF(INDEX('Per Invoice'!Q$2:Q$801,$W93)="","",INDEX('Per Invoice'!Q$2:Q$801,$W93)))</f>
        <v/>
      </c>
      <c r="R93" s="7">
        <f>IF($W93="","",IF(INDEX('Per Invoice'!R$2:R$801,$W93)="","",INDEX('Per Invoice'!R$2:R$801,$W93)))</f>
        <v/>
      </c>
      <c r="S93" s="7">
        <f>IF($W93="","",IF(INDEX('Per Invoice'!S$2:S$801,$W93)="","",INDEX('Per Invoice'!S$2:S$801,$W93)))</f>
        <v/>
      </c>
      <c r="T93" s="7">
        <f>IF($W93="","",IF(INDEX('Per Invoice'!T$2:T$801,$W93)="","",INDEX('Per Invoice'!T$2:T$801,$W93)))</f>
        <v/>
      </c>
      <c r="U93" s="7">
        <f>IF($W93="","",IF(INDEX('Per Invoice'!U$2:U$801,$W93)="","",INDEX('Per Invoice'!U$2:U$801,$W93)))</f>
        <v/>
      </c>
      <c r="V93" s="7">
        <f>IF($W93="","",IF(INDEX('Per Invoice'!V$2:V$801,$W93)="","",INDEX('Per Invoice'!V$2:V$801,$W93)))</f>
        <v/>
      </c>
      <c r="W93" s="16">
        <f>IFERROR(MATCH(Settings!$C$28&amp;"|"&amp;ROWS($W$2:$W93),'Per Invoice'!$X$2:$X$801,0),"")</f>
        <v/>
      </c>
    </row>
    <row r="94">
      <c r="A94">
        <f>IF($W94="","",IF(INDEX('Per Invoice'!A$2:A$801,$W94)="","",INDEX('Per Invoice'!A$2:A$801,$W94)))</f>
        <v/>
      </c>
      <c r="B94">
        <f>IF($W94="","",IF(INDEX('Per Invoice'!B$2:B$801,$W94)="","",INDEX('Per Invoice'!B$2:B$801,$W94)))</f>
        <v/>
      </c>
      <c r="C94">
        <f>IF($W94="","",IF(INDEX('Per Invoice'!C$2:C$801,$W94)="","",INDEX('Per Invoice'!C$2:C$801,$W94)))</f>
        <v/>
      </c>
      <c r="D94">
        <f>IF($W94="","",IF(INDEX('Per Invoice'!D$2:D$801,$W94)="","",INDEX('Per Invoice'!D$2:D$801,$W94)))</f>
        <v/>
      </c>
      <c r="E94">
        <f>IF($W94="","",IF(INDEX('Per Invoice'!E$2:E$801,$W94)="","",INDEX('Per Invoice'!E$2:E$801,$W94)))</f>
        <v/>
      </c>
      <c r="F94">
        <f>IF($W94="","",IF(INDEX('Per Invoice'!F$2:F$801,$W94)="","",INDEX('Per Invoice'!F$2:F$801,$W94)))</f>
        <v/>
      </c>
      <c r="G94">
        <f>IF($W94="","",IF(INDEX('Per Invoice'!G$2:G$801,$W94)="","",INDEX('Per Invoice'!G$2:G$801,$W94)))</f>
        <v/>
      </c>
      <c r="H94">
        <f>IF($W94="","",IF(INDEX('Per Invoice'!H$2:H$801,$W94)="","",INDEX('Per Invoice'!H$2:H$801,$W94)))</f>
        <v/>
      </c>
      <c r="I94">
        <f>IF($W94="","",IF(INDEX('Per Invoice'!I$2:I$801,$W94)="","",INDEX('Per Invoice'!I$2:I$801,$W94)))</f>
        <v/>
      </c>
      <c r="J94">
        <f>IF($W94="","",IF(INDEX('Per Invoice'!J$2:J$801,$W94)="","",INDEX('Per Invoice'!J$2:J$801,$W94)))</f>
        <v/>
      </c>
      <c r="K94" s="7">
        <f>IF($W94="","",IF(INDEX('Per Invoice'!K$2:K$801,$W94)="","",INDEX('Per Invoice'!K$2:K$801,$W94)))</f>
        <v/>
      </c>
      <c r="L94" s="14">
        <f>IF($W94="","",IF(INDEX('Per Invoice'!L$2:L$801,$W94)="","",INDEX('Per Invoice'!L$2:L$801,$W94)))</f>
        <v/>
      </c>
      <c r="M94">
        <f>IF($W94="","",IF(INDEX('Per Invoice'!M$2:M$801,$W94)="","",INDEX('Per Invoice'!M$2:M$801,$W94)))</f>
        <v/>
      </c>
      <c r="N94" s="7">
        <f>IF($W94="","",IF(INDEX('Per Invoice'!N$2:N$801,$W94)="","",INDEX('Per Invoice'!N$2:N$801,$W94)))</f>
        <v/>
      </c>
      <c r="O94" s="7">
        <f>IF($W94="","",IF(INDEX('Per Invoice'!O$2:O$801,$W94)="","",INDEX('Per Invoice'!O$2:O$801,$W94)))</f>
        <v/>
      </c>
      <c r="P94">
        <f>IF($W94="","",IF(INDEX('Per Invoice'!P$2:P$801,$W94)="","",INDEX('Per Invoice'!P$2:P$801,$W94)))</f>
        <v/>
      </c>
      <c r="Q94" s="7">
        <f>IF($W94="","",IF(INDEX('Per Invoice'!Q$2:Q$801,$W94)="","",INDEX('Per Invoice'!Q$2:Q$801,$W94)))</f>
        <v/>
      </c>
      <c r="R94" s="7">
        <f>IF($W94="","",IF(INDEX('Per Invoice'!R$2:R$801,$W94)="","",INDEX('Per Invoice'!R$2:R$801,$W94)))</f>
        <v/>
      </c>
      <c r="S94" s="7">
        <f>IF($W94="","",IF(INDEX('Per Invoice'!S$2:S$801,$W94)="","",INDEX('Per Invoice'!S$2:S$801,$W94)))</f>
        <v/>
      </c>
      <c r="T94" s="7">
        <f>IF($W94="","",IF(INDEX('Per Invoice'!T$2:T$801,$W94)="","",INDEX('Per Invoice'!T$2:T$801,$W94)))</f>
        <v/>
      </c>
      <c r="U94" s="7">
        <f>IF($W94="","",IF(INDEX('Per Invoice'!U$2:U$801,$W94)="","",INDEX('Per Invoice'!U$2:U$801,$W94)))</f>
        <v/>
      </c>
      <c r="V94" s="7">
        <f>IF($W94="","",IF(INDEX('Per Invoice'!V$2:V$801,$W94)="","",INDEX('Per Invoice'!V$2:V$801,$W94)))</f>
        <v/>
      </c>
      <c r="W94" s="16">
        <f>IFERROR(MATCH(Settings!$C$28&amp;"|"&amp;ROWS($W$2:$W94),'Per Invoice'!$X$2:$X$801,0),"")</f>
        <v/>
      </c>
    </row>
    <row r="95">
      <c r="A95">
        <f>IF($W95="","",IF(INDEX('Per Invoice'!A$2:A$801,$W95)="","",INDEX('Per Invoice'!A$2:A$801,$W95)))</f>
        <v/>
      </c>
      <c r="B95">
        <f>IF($W95="","",IF(INDEX('Per Invoice'!B$2:B$801,$W95)="","",INDEX('Per Invoice'!B$2:B$801,$W95)))</f>
        <v/>
      </c>
      <c r="C95">
        <f>IF($W95="","",IF(INDEX('Per Invoice'!C$2:C$801,$W95)="","",INDEX('Per Invoice'!C$2:C$801,$W95)))</f>
        <v/>
      </c>
      <c r="D95">
        <f>IF($W95="","",IF(INDEX('Per Invoice'!D$2:D$801,$W95)="","",INDEX('Per Invoice'!D$2:D$801,$W95)))</f>
        <v/>
      </c>
      <c r="E95">
        <f>IF($W95="","",IF(INDEX('Per Invoice'!E$2:E$801,$W95)="","",INDEX('Per Invoice'!E$2:E$801,$W95)))</f>
        <v/>
      </c>
      <c r="F95">
        <f>IF($W95="","",IF(INDEX('Per Invoice'!F$2:F$801,$W95)="","",INDEX('Per Invoice'!F$2:F$801,$W95)))</f>
        <v/>
      </c>
      <c r="G95">
        <f>IF($W95="","",IF(INDEX('Per Invoice'!G$2:G$801,$W95)="","",INDEX('Per Invoice'!G$2:G$801,$W95)))</f>
        <v/>
      </c>
      <c r="H95">
        <f>IF($W95="","",IF(INDEX('Per Invoice'!H$2:H$801,$W95)="","",INDEX('Per Invoice'!H$2:H$801,$W95)))</f>
        <v/>
      </c>
      <c r="I95">
        <f>IF($W95="","",IF(INDEX('Per Invoice'!I$2:I$801,$W95)="","",INDEX('Per Invoice'!I$2:I$801,$W95)))</f>
        <v/>
      </c>
      <c r="J95">
        <f>IF($W95="","",IF(INDEX('Per Invoice'!J$2:J$801,$W95)="","",INDEX('Per Invoice'!J$2:J$801,$W95)))</f>
        <v/>
      </c>
      <c r="K95" s="7">
        <f>IF($W95="","",IF(INDEX('Per Invoice'!K$2:K$801,$W95)="","",INDEX('Per Invoice'!K$2:K$801,$W95)))</f>
        <v/>
      </c>
      <c r="L95" s="14">
        <f>IF($W95="","",IF(INDEX('Per Invoice'!L$2:L$801,$W95)="","",INDEX('Per Invoice'!L$2:L$801,$W95)))</f>
        <v/>
      </c>
      <c r="M95">
        <f>IF($W95="","",IF(INDEX('Per Invoice'!M$2:M$801,$W95)="","",INDEX('Per Invoice'!M$2:M$801,$W95)))</f>
        <v/>
      </c>
      <c r="N95" s="7">
        <f>IF($W95="","",IF(INDEX('Per Invoice'!N$2:N$801,$W95)="","",INDEX('Per Invoice'!N$2:N$801,$W95)))</f>
        <v/>
      </c>
      <c r="O95" s="7">
        <f>IF($W95="","",IF(INDEX('Per Invoice'!O$2:O$801,$W95)="","",INDEX('Per Invoice'!O$2:O$801,$W95)))</f>
        <v/>
      </c>
      <c r="P95">
        <f>IF($W95="","",IF(INDEX('Per Invoice'!P$2:P$801,$W95)="","",INDEX('Per Invoice'!P$2:P$801,$W95)))</f>
        <v/>
      </c>
      <c r="Q95" s="7">
        <f>IF($W95="","",IF(INDEX('Per Invoice'!Q$2:Q$801,$W95)="","",INDEX('Per Invoice'!Q$2:Q$801,$W95)))</f>
        <v/>
      </c>
      <c r="R95" s="7">
        <f>IF($W95="","",IF(INDEX('Per Invoice'!R$2:R$801,$W95)="","",INDEX('Per Invoice'!R$2:R$801,$W95)))</f>
        <v/>
      </c>
      <c r="S95" s="7">
        <f>IF($W95="","",IF(INDEX('Per Invoice'!S$2:S$801,$W95)="","",INDEX('Per Invoice'!S$2:S$801,$W95)))</f>
        <v/>
      </c>
      <c r="T95" s="7">
        <f>IF($W95="","",IF(INDEX('Per Invoice'!T$2:T$801,$W95)="","",INDEX('Per Invoice'!T$2:T$801,$W95)))</f>
        <v/>
      </c>
      <c r="U95" s="7">
        <f>IF($W95="","",IF(INDEX('Per Invoice'!U$2:U$801,$W95)="","",INDEX('Per Invoice'!U$2:U$801,$W95)))</f>
        <v/>
      </c>
      <c r="V95" s="7">
        <f>IF($W95="","",IF(INDEX('Per Invoice'!V$2:V$801,$W95)="","",INDEX('Per Invoice'!V$2:V$801,$W95)))</f>
        <v/>
      </c>
      <c r="W95" s="16">
        <f>IFERROR(MATCH(Settings!$C$28&amp;"|"&amp;ROWS($W$2:$W95),'Per Invoice'!$X$2:$X$801,0),"")</f>
        <v/>
      </c>
    </row>
    <row r="96">
      <c r="A96">
        <f>IF($W96="","",IF(INDEX('Per Invoice'!A$2:A$801,$W96)="","",INDEX('Per Invoice'!A$2:A$801,$W96)))</f>
        <v/>
      </c>
      <c r="B96">
        <f>IF($W96="","",IF(INDEX('Per Invoice'!B$2:B$801,$W96)="","",INDEX('Per Invoice'!B$2:B$801,$W96)))</f>
        <v/>
      </c>
      <c r="C96">
        <f>IF($W96="","",IF(INDEX('Per Invoice'!C$2:C$801,$W96)="","",INDEX('Per Invoice'!C$2:C$801,$W96)))</f>
        <v/>
      </c>
      <c r="D96">
        <f>IF($W96="","",IF(INDEX('Per Invoice'!D$2:D$801,$W96)="","",INDEX('Per Invoice'!D$2:D$801,$W96)))</f>
        <v/>
      </c>
      <c r="E96">
        <f>IF($W96="","",IF(INDEX('Per Invoice'!E$2:E$801,$W96)="","",INDEX('Per Invoice'!E$2:E$801,$W96)))</f>
        <v/>
      </c>
      <c r="F96">
        <f>IF($W96="","",IF(INDEX('Per Invoice'!F$2:F$801,$W96)="","",INDEX('Per Invoice'!F$2:F$801,$W96)))</f>
        <v/>
      </c>
      <c r="G96">
        <f>IF($W96="","",IF(INDEX('Per Invoice'!G$2:G$801,$W96)="","",INDEX('Per Invoice'!G$2:G$801,$W96)))</f>
        <v/>
      </c>
      <c r="H96">
        <f>IF($W96="","",IF(INDEX('Per Invoice'!H$2:H$801,$W96)="","",INDEX('Per Invoice'!H$2:H$801,$W96)))</f>
        <v/>
      </c>
      <c r="I96">
        <f>IF($W96="","",IF(INDEX('Per Invoice'!I$2:I$801,$W96)="","",INDEX('Per Invoice'!I$2:I$801,$W96)))</f>
        <v/>
      </c>
      <c r="J96">
        <f>IF($W96="","",IF(INDEX('Per Invoice'!J$2:J$801,$W96)="","",INDEX('Per Invoice'!J$2:J$801,$W96)))</f>
        <v/>
      </c>
      <c r="K96" s="7">
        <f>IF($W96="","",IF(INDEX('Per Invoice'!K$2:K$801,$W96)="","",INDEX('Per Invoice'!K$2:K$801,$W96)))</f>
        <v/>
      </c>
      <c r="L96" s="14">
        <f>IF($W96="","",IF(INDEX('Per Invoice'!L$2:L$801,$W96)="","",INDEX('Per Invoice'!L$2:L$801,$W96)))</f>
        <v/>
      </c>
      <c r="M96">
        <f>IF($W96="","",IF(INDEX('Per Invoice'!M$2:M$801,$W96)="","",INDEX('Per Invoice'!M$2:M$801,$W96)))</f>
        <v/>
      </c>
      <c r="N96" s="7">
        <f>IF($W96="","",IF(INDEX('Per Invoice'!N$2:N$801,$W96)="","",INDEX('Per Invoice'!N$2:N$801,$W96)))</f>
        <v/>
      </c>
      <c r="O96" s="7">
        <f>IF($W96="","",IF(INDEX('Per Invoice'!O$2:O$801,$W96)="","",INDEX('Per Invoice'!O$2:O$801,$W96)))</f>
        <v/>
      </c>
      <c r="P96">
        <f>IF($W96="","",IF(INDEX('Per Invoice'!P$2:P$801,$W96)="","",INDEX('Per Invoice'!P$2:P$801,$W96)))</f>
        <v/>
      </c>
      <c r="Q96" s="7">
        <f>IF($W96="","",IF(INDEX('Per Invoice'!Q$2:Q$801,$W96)="","",INDEX('Per Invoice'!Q$2:Q$801,$W96)))</f>
        <v/>
      </c>
      <c r="R96" s="7">
        <f>IF($W96="","",IF(INDEX('Per Invoice'!R$2:R$801,$W96)="","",INDEX('Per Invoice'!R$2:R$801,$W96)))</f>
        <v/>
      </c>
      <c r="S96" s="7">
        <f>IF($W96="","",IF(INDEX('Per Invoice'!S$2:S$801,$W96)="","",INDEX('Per Invoice'!S$2:S$801,$W96)))</f>
        <v/>
      </c>
      <c r="T96" s="7">
        <f>IF($W96="","",IF(INDEX('Per Invoice'!T$2:T$801,$W96)="","",INDEX('Per Invoice'!T$2:T$801,$W96)))</f>
        <v/>
      </c>
      <c r="U96" s="7">
        <f>IF($W96="","",IF(INDEX('Per Invoice'!U$2:U$801,$W96)="","",INDEX('Per Invoice'!U$2:U$801,$W96)))</f>
        <v/>
      </c>
      <c r="V96" s="7">
        <f>IF($W96="","",IF(INDEX('Per Invoice'!V$2:V$801,$W96)="","",INDEX('Per Invoice'!V$2:V$801,$W96)))</f>
        <v/>
      </c>
      <c r="W96" s="16">
        <f>IFERROR(MATCH(Settings!$C$28&amp;"|"&amp;ROWS($W$2:$W96),'Per Invoice'!$X$2:$X$801,0),"")</f>
        <v/>
      </c>
    </row>
    <row r="97">
      <c r="A97">
        <f>IF($W97="","",IF(INDEX('Per Invoice'!A$2:A$801,$W97)="","",INDEX('Per Invoice'!A$2:A$801,$W97)))</f>
        <v/>
      </c>
      <c r="B97">
        <f>IF($W97="","",IF(INDEX('Per Invoice'!B$2:B$801,$W97)="","",INDEX('Per Invoice'!B$2:B$801,$W97)))</f>
        <v/>
      </c>
      <c r="C97">
        <f>IF($W97="","",IF(INDEX('Per Invoice'!C$2:C$801,$W97)="","",INDEX('Per Invoice'!C$2:C$801,$W97)))</f>
        <v/>
      </c>
      <c r="D97">
        <f>IF($W97="","",IF(INDEX('Per Invoice'!D$2:D$801,$W97)="","",INDEX('Per Invoice'!D$2:D$801,$W97)))</f>
        <v/>
      </c>
      <c r="E97">
        <f>IF($W97="","",IF(INDEX('Per Invoice'!E$2:E$801,$W97)="","",INDEX('Per Invoice'!E$2:E$801,$W97)))</f>
        <v/>
      </c>
      <c r="F97">
        <f>IF($W97="","",IF(INDEX('Per Invoice'!F$2:F$801,$W97)="","",INDEX('Per Invoice'!F$2:F$801,$W97)))</f>
        <v/>
      </c>
      <c r="G97">
        <f>IF($W97="","",IF(INDEX('Per Invoice'!G$2:G$801,$W97)="","",INDEX('Per Invoice'!G$2:G$801,$W97)))</f>
        <v/>
      </c>
      <c r="H97">
        <f>IF($W97="","",IF(INDEX('Per Invoice'!H$2:H$801,$W97)="","",INDEX('Per Invoice'!H$2:H$801,$W97)))</f>
        <v/>
      </c>
      <c r="I97">
        <f>IF($W97="","",IF(INDEX('Per Invoice'!I$2:I$801,$W97)="","",INDEX('Per Invoice'!I$2:I$801,$W97)))</f>
        <v/>
      </c>
      <c r="J97">
        <f>IF($W97="","",IF(INDEX('Per Invoice'!J$2:J$801,$W97)="","",INDEX('Per Invoice'!J$2:J$801,$W97)))</f>
        <v/>
      </c>
      <c r="K97" s="7">
        <f>IF($W97="","",IF(INDEX('Per Invoice'!K$2:K$801,$W97)="","",INDEX('Per Invoice'!K$2:K$801,$W97)))</f>
        <v/>
      </c>
      <c r="L97" s="14">
        <f>IF($W97="","",IF(INDEX('Per Invoice'!L$2:L$801,$W97)="","",INDEX('Per Invoice'!L$2:L$801,$W97)))</f>
        <v/>
      </c>
      <c r="M97">
        <f>IF($W97="","",IF(INDEX('Per Invoice'!M$2:M$801,$W97)="","",INDEX('Per Invoice'!M$2:M$801,$W97)))</f>
        <v/>
      </c>
      <c r="N97" s="7">
        <f>IF($W97="","",IF(INDEX('Per Invoice'!N$2:N$801,$W97)="","",INDEX('Per Invoice'!N$2:N$801,$W97)))</f>
        <v/>
      </c>
      <c r="O97" s="7">
        <f>IF($W97="","",IF(INDEX('Per Invoice'!O$2:O$801,$W97)="","",INDEX('Per Invoice'!O$2:O$801,$W97)))</f>
        <v/>
      </c>
      <c r="P97">
        <f>IF($W97="","",IF(INDEX('Per Invoice'!P$2:P$801,$W97)="","",INDEX('Per Invoice'!P$2:P$801,$W97)))</f>
        <v/>
      </c>
      <c r="Q97" s="7">
        <f>IF($W97="","",IF(INDEX('Per Invoice'!Q$2:Q$801,$W97)="","",INDEX('Per Invoice'!Q$2:Q$801,$W97)))</f>
        <v/>
      </c>
      <c r="R97" s="7">
        <f>IF($W97="","",IF(INDEX('Per Invoice'!R$2:R$801,$W97)="","",INDEX('Per Invoice'!R$2:R$801,$W97)))</f>
        <v/>
      </c>
      <c r="S97" s="7">
        <f>IF($W97="","",IF(INDEX('Per Invoice'!S$2:S$801,$W97)="","",INDEX('Per Invoice'!S$2:S$801,$W97)))</f>
        <v/>
      </c>
      <c r="T97" s="7">
        <f>IF($W97="","",IF(INDEX('Per Invoice'!T$2:T$801,$W97)="","",INDEX('Per Invoice'!T$2:T$801,$W97)))</f>
        <v/>
      </c>
      <c r="U97" s="7">
        <f>IF($W97="","",IF(INDEX('Per Invoice'!U$2:U$801,$W97)="","",INDEX('Per Invoice'!U$2:U$801,$W97)))</f>
        <v/>
      </c>
      <c r="V97" s="7">
        <f>IF($W97="","",IF(INDEX('Per Invoice'!V$2:V$801,$W97)="","",INDEX('Per Invoice'!V$2:V$801,$W97)))</f>
        <v/>
      </c>
      <c r="W97" s="16">
        <f>IFERROR(MATCH(Settings!$C$28&amp;"|"&amp;ROWS($W$2:$W97),'Per Invoice'!$X$2:$X$801,0),"")</f>
        <v/>
      </c>
    </row>
    <row r="98">
      <c r="A98">
        <f>IF($W98="","",IF(INDEX('Per Invoice'!A$2:A$801,$W98)="","",INDEX('Per Invoice'!A$2:A$801,$W98)))</f>
        <v/>
      </c>
      <c r="B98">
        <f>IF($W98="","",IF(INDEX('Per Invoice'!B$2:B$801,$W98)="","",INDEX('Per Invoice'!B$2:B$801,$W98)))</f>
        <v/>
      </c>
      <c r="C98">
        <f>IF($W98="","",IF(INDEX('Per Invoice'!C$2:C$801,$W98)="","",INDEX('Per Invoice'!C$2:C$801,$W98)))</f>
        <v/>
      </c>
      <c r="D98">
        <f>IF($W98="","",IF(INDEX('Per Invoice'!D$2:D$801,$W98)="","",INDEX('Per Invoice'!D$2:D$801,$W98)))</f>
        <v/>
      </c>
      <c r="E98">
        <f>IF($W98="","",IF(INDEX('Per Invoice'!E$2:E$801,$W98)="","",INDEX('Per Invoice'!E$2:E$801,$W98)))</f>
        <v/>
      </c>
      <c r="F98">
        <f>IF($W98="","",IF(INDEX('Per Invoice'!F$2:F$801,$W98)="","",INDEX('Per Invoice'!F$2:F$801,$W98)))</f>
        <v/>
      </c>
      <c r="G98">
        <f>IF($W98="","",IF(INDEX('Per Invoice'!G$2:G$801,$W98)="","",INDEX('Per Invoice'!G$2:G$801,$W98)))</f>
        <v/>
      </c>
      <c r="H98">
        <f>IF($W98="","",IF(INDEX('Per Invoice'!H$2:H$801,$W98)="","",INDEX('Per Invoice'!H$2:H$801,$W98)))</f>
        <v/>
      </c>
      <c r="I98">
        <f>IF($W98="","",IF(INDEX('Per Invoice'!I$2:I$801,$W98)="","",INDEX('Per Invoice'!I$2:I$801,$W98)))</f>
        <v/>
      </c>
      <c r="J98">
        <f>IF($W98="","",IF(INDEX('Per Invoice'!J$2:J$801,$W98)="","",INDEX('Per Invoice'!J$2:J$801,$W98)))</f>
        <v/>
      </c>
      <c r="K98" s="7">
        <f>IF($W98="","",IF(INDEX('Per Invoice'!K$2:K$801,$W98)="","",INDEX('Per Invoice'!K$2:K$801,$W98)))</f>
        <v/>
      </c>
      <c r="L98" s="14">
        <f>IF($W98="","",IF(INDEX('Per Invoice'!L$2:L$801,$W98)="","",INDEX('Per Invoice'!L$2:L$801,$W98)))</f>
        <v/>
      </c>
      <c r="M98">
        <f>IF($W98="","",IF(INDEX('Per Invoice'!M$2:M$801,$W98)="","",INDEX('Per Invoice'!M$2:M$801,$W98)))</f>
        <v/>
      </c>
      <c r="N98" s="7">
        <f>IF($W98="","",IF(INDEX('Per Invoice'!N$2:N$801,$W98)="","",INDEX('Per Invoice'!N$2:N$801,$W98)))</f>
        <v/>
      </c>
      <c r="O98" s="7">
        <f>IF($W98="","",IF(INDEX('Per Invoice'!O$2:O$801,$W98)="","",INDEX('Per Invoice'!O$2:O$801,$W98)))</f>
        <v/>
      </c>
      <c r="P98">
        <f>IF($W98="","",IF(INDEX('Per Invoice'!P$2:P$801,$W98)="","",INDEX('Per Invoice'!P$2:P$801,$W98)))</f>
        <v/>
      </c>
      <c r="Q98" s="7">
        <f>IF($W98="","",IF(INDEX('Per Invoice'!Q$2:Q$801,$W98)="","",INDEX('Per Invoice'!Q$2:Q$801,$W98)))</f>
        <v/>
      </c>
      <c r="R98" s="7">
        <f>IF($W98="","",IF(INDEX('Per Invoice'!R$2:R$801,$W98)="","",INDEX('Per Invoice'!R$2:R$801,$W98)))</f>
        <v/>
      </c>
      <c r="S98" s="7">
        <f>IF($W98="","",IF(INDEX('Per Invoice'!S$2:S$801,$W98)="","",INDEX('Per Invoice'!S$2:S$801,$W98)))</f>
        <v/>
      </c>
      <c r="T98" s="7">
        <f>IF($W98="","",IF(INDEX('Per Invoice'!T$2:T$801,$W98)="","",INDEX('Per Invoice'!T$2:T$801,$W98)))</f>
        <v/>
      </c>
      <c r="U98" s="7">
        <f>IF($W98="","",IF(INDEX('Per Invoice'!U$2:U$801,$W98)="","",INDEX('Per Invoice'!U$2:U$801,$W98)))</f>
        <v/>
      </c>
      <c r="V98" s="7">
        <f>IF($W98="","",IF(INDEX('Per Invoice'!V$2:V$801,$W98)="","",INDEX('Per Invoice'!V$2:V$801,$W98)))</f>
        <v/>
      </c>
      <c r="W98" s="16">
        <f>IFERROR(MATCH(Settings!$C$28&amp;"|"&amp;ROWS($W$2:$W98),'Per Invoice'!$X$2:$X$801,0),"")</f>
        <v/>
      </c>
    </row>
    <row r="99">
      <c r="A99">
        <f>IF($W99="","",IF(INDEX('Per Invoice'!A$2:A$801,$W99)="","",INDEX('Per Invoice'!A$2:A$801,$W99)))</f>
        <v/>
      </c>
      <c r="B99">
        <f>IF($W99="","",IF(INDEX('Per Invoice'!B$2:B$801,$W99)="","",INDEX('Per Invoice'!B$2:B$801,$W99)))</f>
        <v/>
      </c>
      <c r="C99">
        <f>IF($W99="","",IF(INDEX('Per Invoice'!C$2:C$801,$W99)="","",INDEX('Per Invoice'!C$2:C$801,$W99)))</f>
        <v/>
      </c>
      <c r="D99">
        <f>IF($W99="","",IF(INDEX('Per Invoice'!D$2:D$801,$W99)="","",INDEX('Per Invoice'!D$2:D$801,$W99)))</f>
        <v/>
      </c>
      <c r="E99">
        <f>IF($W99="","",IF(INDEX('Per Invoice'!E$2:E$801,$W99)="","",INDEX('Per Invoice'!E$2:E$801,$W99)))</f>
        <v/>
      </c>
      <c r="F99">
        <f>IF($W99="","",IF(INDEX('Per Invoice'!F$2:F$801,$W99)="","",INDEX('Per Invoice'!F$2:F$801,$W99)))</f>
        <v/>
      </c>
      <c r="G99">
        <f>IF($W99="","",IF(INDEX('Per Invoice'!G$2:G$801,$W99)="","",INDEX('Per Invoice'!G$2:G$801,$W99)))</f>
        <v/>
      </c>
      <c r="H99">
        <f>IF($W99="","",IF(INDEX('Per Invoice'!H$2:H$801,$W99)="","",INDEX('Per Invoice'!H$2:H$801,$W99)))</f>
        <v/>
      </c>
      <c r="I99">
        <f>IF($W99="","",IF(INDEX('Per Invoice'!I$2:I$801,$W99)="","",INDEX('Per Invoice'!I$2:I$801,$W99)))</f>
        <v/>
      </c>
      <c r="J99">
        <f>IF($W99="","",IF(INDEX('Per Invoice'!J$2:J$801,$W99)="","",INDEX('Per Invoice'!J$2:J$801,$W99)))</f>
        <v/>
      </c>
      <c r="K99" s="7">
        <f>IF($W99="","",IF(INDEX('Per Invoice'!K$2:K$801,$W99)="","",INDEX('Per Invoice'!K$2:K$801,$W99)))</f>
        <v/>
      </c>
      <c r="L99" s="14">
        <f>IF($W99="","",IF(INDEX('Per Invoice'!L$2:L$801,$W99)="","",INDEX('Per Invoice'!L$2:L$801,$W99)))</f>
        <v/>
      </c>
      <c r="M99">
        <f>IF($W99="","",IF(INDEX('Per Invoice'!M$2:M$801,$W99)="","",INDEX('Per Invoice'!M$2:M$801,$W99)))</f>
        <v/>
      </c>
      <c r="N99" s="7">
        <f>IF($W99="","",IF(INDEX('Per Invoice'!N$2:N$801,$W99)="","",INDEX('Per Invoice'!N$2:N$801,$W99)))</f>
        <v/>
      </c>
      <c r="O99" s="7">
        <f>IF($W99="","",IF(INDEX('Per Invoice'!O$2:O$801,$W99)="","",INDEX('Per Invoice'!O$2:O$801,$W99)))</f>
        <v/>
      </c>
      <c r="P99">
        <f>IF($W99="","",IF(INDEX('Per Invoice'!P$2:P$801,$W99)="","",INDEX('Per Invoice'!P$2:P$801,$W99)))</f>
        <v/>
      </c>
      <c r="Q99" s="7">
        <f>IF($W99="","",IF(INDEX('Per Invoice'!Q$2:Q$801,$W99)="","",INDEX('Per Invoice'!Q$2:Q$801,$W99)))</f>
        <v/>
      </c>
      <c r="R99" s="7">
        <f>IF($W99="","",IF(INDEX('Per Invoice'!R$2:R$801,$W99)="","",INDEX('Per Invoice'!R$2:R$801,$W99)))</f>
        <v/>
      </c>
      <c r="S99" s="7">
        <f>IF($W99="","",IF(INDEX('Per Invoice'!S$2:S$801,$W99)="","",INDEX('Per Invoice'!S$2:S$801,$W99)))</f>
        <v/>
      </c>
      <c r="T99" s="7">
        <f>IF($W99="","",IF(INDEX('Per Invoice'!T$2:T$801,$W99)="","",INDEX('Per Invoice'!T$2:T$801,$W99)))</f>
        <v/>
      </c>
      <c r="U99" s="7">
        <f>IF($W99="","",IF(INDEX('Per Invoice'!U$2:U$801,$W99)="","",INDEX('Per Invoice'!U$2:U$801,$W99)))</f>
        <v/>
      </c>
      <c r="V99" s="7">
        <f>IF($W99="","",IF(INDEX('Per Invoice'!V$2:V$801,$W99)="","",INDEX('Per Invoice'!V$2:V$801,$W99)))</f>
        <v/>
      </c>
      <c r="W99" s="16">
        <f>IFERROR(MATCH(Settings!$C$28&amp;"|"&amp;ROWS($W$2:$W99),'Per Invoice'!$X$2:$X$801,0),"")</f>
        <v/>
      </c>
    </row>
    <row r="100">
      <c r="A100">
        <f>IF($W100="","",IF(INDEX('Per Invoice'!A$2:A$801,$W100)="","",INDEX('Per Invoice'!A$2:A$801,$W100)))</f>
        <v/>
      </c>
      <c r="B100">
        <f>IF($W100="","",IF(INDEX('Per Invoice'!B$2:B$801,$W100)="","",INDEX('Per Invoice'!B$2:B$801,$W100)))</f>
        <v/>
      </c>
      <c r="C100">
        <f>IF($W100="","",IF(INDEX('Per Invoice'!C$2:C$801,$W100)="","",INDEX('Per Invoice'!C$2:C$801,$W100)))</f>
        <v/>
      </c>
      <c r="D100">
        <f>IF($W100="","",IF(INDEX('Per Invoice'!D$2:D$801,$W100)="","",INDEX('Per Invoice'!D$2:D$801,$W100)))</f>
        <v/>
      </c>
      <c r="E100">
        <f>IF($W100="","",IF(INDEX('Per Invoice'!E$2:E$801,$W100)="","",INDEX('Per Invoice'!E$2:E$801,$W100)))</f>
        <v/>
      </c>
      <c r="F100">
        <f>IF($W100="","",IF(INDEX('Per Invoice'!F$2:F$801,$W100)="","",INDEX('Per Invoice'!F$2:F$801,$W100)))</f>
        <v/>
      </c>
      <c r="G100">
        <f>IF($W100="","",IF(INDEX('Per Invoice'!G$2:G$801,$W100)="","",INDEX('Per Invoice'!G$2:G$801,$W100)))</f>
        <v/>
      </c>
      <c r="H100">
        <f>IF($W100="","",IF(INDEX('Per Invoice'!H$2:H$801,$W100)="","",INDEX('Per Invoice'!H$2:H$801,$W100)))</f>
        <v/>
      </c>
      <c r="I100">
        <f>IF($W100="","",IF(INDEX('Per Invoice'!I$2:I$801,$W100)="","",INDEX('Per Invoice'!I$2:I$801,$W100)))</f>
        <v/>
      </c>
      <c r="J100">
        <f>IF($W100="","",IF(INDEX('Per Invoice'!J$2:J$801,$W100)="","",INDEX('Per Invoice'!J$2:J$801,$W100)))</f>
        <v/>
      </c>
      <c r="K100" s="7">
        <f>IF($W100="","",IF(INDEX('Per Invoice'!K$2:K$801,$W100)="","",INDEX('Per Invoice'!K$2:K$801,$W100)))</f>
        <v/>
      </c>
      <c r="L100" s="14">
        <f>IF($W100="","",IF(INDEX('Per Invoice'!L$2:L$801,$W100)="","",INDEX('Per Invoice'!L$2:L$801,$W100)))</f>
        <v/>
      </c>
      <c r="M100">
        <f>IF($W100="","",IF(INDEX('Per Invoice'!M$2:M$801,$W100)="","",INDEX('Per Invoice'!M$2:M$801,$W100)))</f>
        <v/>
      </c>
      <c r="N100" s="7">
        <f>IF($W100="","",IF(INDEX('Per Invoice'!N$2:N$801,$W100)="","",INDEX('Per Invoice'!N$2:N$801,$W100)))</f>
        <v/>
      </c>
      <c r="O100" s="7">
        <f>IF($W100="","",IF(INDEX('Per Invoice'!O$2:O$801,$W100)="","",INDEX('Per Invoice'!O$2:O$801,$W100)))</f>
        <v/>
      </c>
      <c r="P100">
        <f>IF($W100="","",IF(INDEX('Per Invoice'!P$2:P$801,$W100)="","",INDEX('Per Invoice'!P$2:P$801,$W100)))</f>
        <v/>
      </c>
      <c r="Q100" s="7">
        <f>IF($W100="","",IF(INDEX('Per Invoice'!Q$2:Q$801,$W100)="","",INDEX('Per Invoice'!Q$2:Q$801,$W100)))</f>
        <v/>
      </c>
      <c r="R100" s="7">
        <f>IF($W100="","",IF(INDEX('Per Invoice'!R$2:R$801,$W100)="","",INDEX('Per Invoice'!R$2:R$801,$W100)))</f>
        <v/>
      </c>
      <c r="S100" s="7">
        <f>IF($W100="","",IF(INDEX('Per Invoice'!S$2:S$801,$W100)="","",INDEX('Per Invoice'!S$2:S$801,$W100)))</f>
        <v/>
      </c>
      <c r="T100" s="7">
        <f>IF($W100="","",IF(INDEX('Per Invoice'!T$2:T$801,$W100)="","",INDEX('Per Invoice'!T$2:T$801,$W100)))</f>
        <v/>
      </c>
      <c r="U100" s="7">
        <f>IF($W100="","",IF(INDEX('Per Invoice'!U$2:U$801,$W100)="","",INDEX('Per Invoice'!U$2:U$801,$W100)))</f>
        <v/>
      </c>
      <c r="V100" s="7">
        <f>IF($W100="","",IF(INDEX('Per Invoice'!V$2:V$801,$W100)="","",INDEX('Per Invoice'!V$2:V$801,$W100)))</f>
        <v/>
      </c>
      <c r="W100" s="16">
        <f>IFERROR(MATCH(Settings!$C$28&amp;"|"&amp;ROWS($W$2:$W100),'Per Invoice'!$X$2:$X$801,0),"")</f>
        <v/>
      </c>
    </row>
    <row r="101">
      <c r="A101">
        <f>IF($W101="","",IF(INDEX('Per Invoice'!A$2:A$801,$W101)="","",INDEX('Per Invoice'!A$2:A$801,$W101)))</f>
        <v/>
      </c>
      <c r="B101">
        <f>IF($W101="","",IF(INDEX('Per Invoice'!B$2:B$801,$W101)="","",INDEX('Per Invoice'!B$2:B$801,$W101)))</f>
        <v/>
      </c>
      <c r="C101">
        <f>IF($W101="","",IF(INDEX('Per Invoice'!C$2:C$801,$W101)="","",INDEX('Per Invoice'!C$2:C$801,$W101)))</f>
        <v/>
      </c>
      <c r="D101">
        <f>IF($W101="","",IF(INDEX('Per Invoice'!D$2:D$801,$W101)="","",INDEX('Per Invoice'!D$2:D$801,$W101)))</f>
        <v/>
      </c>
      <c r="E101">
        <f>IF($W101="","",IF(INDEX('Per Invoice'!E$2:E$801,$W101)="","",INDEX('Per Invoice'!E$2:E$801,$W101)))</f>
        <v/>
      </c>
      <c r="F101">
        <f>IF($W101="","",IF(INDEX('Per Invoice'!F$2:F$801,$W101)="","",INDEX('Per Invoice'!F$2:F$801,$W101)))</f>
        <v/>
      </c>
      <c r="G101">
        <f>IF($W101="","",IF(INDEX('Per Invoice'!G$2:G$801,$W101)="","",INDEX('Per Invoice'!G$2:G$801,$W101)))</f>
        <v/>
      </c>
      <c r="H101">
        <f>IF($W101="","",IF(INDEX('Per Invoice'!H$2:H$801,$W101)="","",INDEX('Per Invoice'!H$2:H$801,$W101)))</f>
        <v/>
      </c>
      <c r="I101">
        <f>IF($W101="","",IF(INDEX('Per Invoice'!I$2:I$801,$W101)="","",INDEX('Per Invoice'!I$2:I$801,$W101)))</f>
        <v/>
      </c>
      <c r="J101">
        <f>IF($W101="","",IF(INDEX('Per Invoice'!J$2:J$801,$W101)="","",INDEX('Per Invoice'!J$2:J$801,$W101)))</f>
        <v/>
      </c>
      <c r="K101" s="7">
        <f>IF($W101="","",IF(INDEX('Per Invoice'!K$2:K$801,$W101)="","",INDEX('Per Invoice'!K$2:K$801,$W101)))</f>
        <v/>
      </c>
      <c r="L101" s="14">
        <f>IF($W101="","",IF(INDEX('Per Invoice'!L$2:L$801,$W101)="","",INDEX('Per Invoice'!L$2:L$801,$W101)))</f>
        <v/>
      </c>
      <c r="M101">
        <f>IF($W101="","",IF(INDEX('Per Invoice'!M$2:M$801,$W101)="","",INDEX('Per Invoice'!M$2:M$801,$W101)))</f>
        <v/>
      </c>
      <c r="N101" s="7">
        <f>IF($W101="","",IF(INDEX('Per Invoice'!N$2:N$801,$W101)="","",INDEX('Per Invoice'!N$2:N$801,$W101)))</f>
        <v/>
      </c>
      <c r="O101" s="7">
        <f>IF($W101="","",IF(INDEX('Per Invoice'!O$2:O$801,$W101)="","",INDEX('Per Invoice'!O$2:O$801,$W101)))</f>
        <v/>
      </c>
      <c r="P101">
        <f>IF($W101="","",IF(INDEX('Per Invoice'!P$2:P$801,$W101)="","",INDEX('Per Invoice'!P$2:P$801,$W101)))</f>
        <v/>
      </c>
      <c r="Q101" s="7">
        <f>IF($W101="","",IF(INDEX('Per Invoice'!Q$2:Q$801,$W101)="","",INDEX('Per Invoice'!Q$2:Q$801,$W101)))</f>
        <v/>
      </c>
      <c r="R101" s="7">
        <f>IF($W101="","",IF(INDEX('Per Invoice'!R$2:R$801,$W101)="","",INDEX('Per Invoice'!R$2:R$801,$W101)))</f>
        <v/>
      </c>
      <c r="S101" s="7">
        <f>IF($W101="","",IF(INDEX('Per Invoice'!S$2:S$801,$W101)="","",INDEX('Per Invoice'!S$2:S$801,$W101)))</f>
        <v/>
      </c>
      <c r="T101" s="7">
        <f>IF($W101="","",IF(INDEX('Per Invoice'!T$2:T$801,$W101)="","",INDEX('Per Invoice'!T$2:T$801,$W101)))</f>
        <v/>
      </c>
      <c r="U101" s="7">
        <f>IF($W101="","",IF(INDEX('Per Invoice'!U$2:U$801,$W101)="","",INDEX('Per Invoice'!U$2:U$801,$W101)))</f>
        <v/>
      </c>
      <c r="V101" s="7">
        <f>IF($W101="","",IF(INDEX('Per Invoice'!V$2:V$801,$W101)="","",INDEX('Per Invoice'!V$2:V$801,$W101)))</f>
        <v/>
      </c>
      <c r="W101" s="16">
        <f>IFERROR(MATCH(Settings!$C$28&amp;"|"&amp;ROWS($W$2:$W101),'Per Invoice'!$X$2:$X$801,0),"")</f>
        <v/>
      </c>
    </row>
    <row r="102">
      <c r="A102">
        <f>IF($W102="","",IF(INDEX('Per Invoice'!A$2:A$801,$W102)="","",INDEX('Per Invoice'!A$2:A$801,$W102)))</f>
        <v/>
      </c>
      <c r="B102">
        <f>IF($W102="","",IF(INDEX('Per Invoice'!B$2:B$801,$W102)="","",INDEX('Per Invoice'!B$2:B$801,$W102)))</f>
        <v/>
      </c>
      <c r="C102">
        <f>IF($W102="","",IF(INDEX('Per Invoice'!C$2:C$801,$W102)="","",INDEX('Per Invoice'!C$2:C$801,$W102)))</f>
        <v/>
      </c>
      <c r="D102">
        <f>IF($W102="","",IF(INDEX('Per Invoice'!D$2:D$801,$W102)="","",INDEX('Per Invoice'!D$2:D$801,$W102)))</f>
        <v/>
      </c>
      <c r="E102">
        <f>IF($W102="","",IF(INDEX('Per Invoice'!E$2:E$801,$W102)="","",INDEX('Per Invoice'!E$2:E$801,$W102)))</f>
        <v/>
      </c>
      <c r="F102">
        <f>IF($W102="","",IF(INDEX('Per Invoice'!F$2:F$801,$W102)="","",INDEX('Per Invoice'!F$2:F$801,$W102)))</f>
        <v/>
      </c>
      <c r="G102">
        <f>IF($W102="","",IF(INDEX('Per Invoice'!G$2:G$801,$W102)="","",INDEX('Per Invoice'!G$2:G$801,$W102)))</f>
        <v/>
      </c>
      <c r="H102">
        <f>IF($W102="","",IF(INDEX('Per Invoice'!H$2:H$801,$W102)="","",INDEX('Per Invoice'!H$2:H$801,$W102)))</f>
        <v/>
      </c>
      <c r="I102">
        <f>IF($W102="","",IF(INDEX('Per Invoice'!I$2:I$801,$W102)="","",INDEX('Per Invoice'!I$2:I$801,$W102)))</f>
        <v/>
      </c>
      <c r="J102">
        <f>IF($W102="","",IF(INDEX('Per Invoice'!J$2:J$801,$W102)="","",INDEX('Per Invoice'!J$2:J$801,$W102)))</f>
        <v/>
      </c>
      <c r="K102" s="7">
        <f>IF($W102="","",IF(INDEX('Per Invoice'!K$2:K$801,$W102)="","",INDEX('Per Invoice'!K$2:K$801,$W102)))</f>
        <v/>
      </c>
      <c r="L102" s="14">
        <f>IF($W102="","",IF(INDEX('Per Invoice'!L$2:L$801,$W102)="","",INDEX('Per Invoice'!L$2:L$801,$W102)))</f>
        <v/>
      </c>
      <c r="M102">
        <f>IF($W102="","",IF(INDEX('Per Invoice'!M$2:M$801,$W102)="","",INDEX('Per Invoice'!M$2:M$801,$W102)))</f>
        <v/>
      </c>
      <c r="N102" s="7">
        <f>IF($W102="","",IF(INDEX('Per Invoice'!N$2:N$801,$W102)="","",INDEX('Per Invoice'!N$2:N$801,$W102)))</f>
        <v/>
      </c>
      <c r="O102" s="7">
        <f>IF($W102="","",IF(INDEX('Per Invoice'!O$2:O$801,$W102)="","",INDEX('Per Invoice'!O$2:O$801,$W102)))</f>
        <v/>
      </c>
      <c r="P102">
        <f>IF($W102="","",IF(INDEX('Per Invoice'!P$2:P$801,$W102)="","",INDEX('Per Invoice'!P$2:P$801,$W102)))</f>
        <v/>
      </c>
      <c r="Q102" s="7">
        <f>IF($W102="","",IF(INDEX('Per Invoice'!Q$2:Q$801,$W102)="","",INDEX('Per Invoice'!Q$2:Q$801,$W102)))</f>
        <v/>
      </c>
      <c r="R102" s="7">
        <f>IF($W102="","",IF(INDEX('Per Invoice'!R$2:R$801,$W102)="","",INDEX('Per Invoice'!R$2:R$801,$W102)))</f>
        <v/>
      </c>
      <c r="S102" s="7">
        <f>IF($W102="","",IF(INDEX('Per Invoice'!S$2:S$801,$W102)="","",INDEX('Per Invoice'!S$2:S$801,$W102)))</f>
        <v/>
      </c>
      <c r="T102" s="7">
        <f>IF($W102="","",IF(INDEX('Per Invoice'!T$2:T$801,$W102)="","",INDEX('Per Invoice'!T$2:T$801,$W102)))</f>
        <v/>
      </c>
      <c r="U102" s="7">
        <f>IF($W102="","",IF(INDEX('Per Invoice'!U$2:U$801,$W102)="","",INDEX('Per Invoice'!U$2:U$801,$W102)))</f>
        <v/>
      </c>
      <c r="V102" s="7">
        <f>IF($W102="","",IF(INDEX('Per Invoice'!V$2:V$801,$W102)="","",INDEX('Per Invoice'!V$2:V$801,$W102)))</f>
        <v/>
      </c>
      <c r="W102" s="16">
        <f>IFERROR(MATCH(Settings!$C$28&amp;"|"&amp;ROWS($W$2:$W102),'Per Invoice'!$X$2:$X$801,0),"")</f>
        <v/>
      </c>
    </row>
    <row r="103">
      <c r="A103">
        <f>IF($W103="","",IF(INDEX('Per Invoice'!A$2:A$801,$W103)="","",INDEX('Per Invoice'!A$2:A$801,$W103)))</f>
        <v/>
      </c>
      <c r="B103">
        <f>IF($W103="","",IF(INDEX('Per Invoice'!B$2:B$801,$W103)="","",INDEX('Per Invoice'!B$2:B$801,$W103)))</f>
        <v/>
      </c>
      <c r="C103">
        <f>IF($W103="","",IF(INDEX('Per Invoice'!C$2:C$801,$W103)="","",INDEX('Per Invoice'!C$2:C$801,$W103)))</f>
        <v/>
      </c>
      <c r="D103">
        <f>IF($W103="","",IF(INDEX('Per Invoice'!D$2:D$801,$W103)="","",INDEX('Per Invoice'!D$2:D$801,$W103)))</f>
        <v/>
      </c>
      <c r="E103">
        <f>IF($W103="","",IF(INDEX('Per Invoice'!E$2:E$801,$W103)="","",INDEX('Per Invoice'!E$2:E$801,$W103)))</f>
        <v/>
      </c>
      <c r="F103">
        <f>IF($W103="","",IF(INDEX('Per Invoice'!F$2:F$801,$W103)="","",INDEX('Per Invoice'!F$2:F$801,$W103)))</f>
        <v/>
      </c>
      <c r="G103">
        <f>IF($W103="","",IF(INDEX('Per Invoice'!G$2:G$801,$W103)="","",INDEX('Per Invoice'!G$2:G$801,$W103)))</f>
        <v/>
      </c>
      <c r="H103">
        <f>IF($W103="","",IF(INDEX('Per Invoice'!H$2:H$801,$W103)="","",INDEX('Per Invoice'!H$2:H$801,$W103)))</f>
        <v/>
      </c>
      <c r="I103">
        <f>IF($W103="","",IF(INDEX('Per Invoice'!I$2:I$801,$W103)="","",INDEX('Per Invoice'!I$2:I$801,$W103)))</f>
        <v/>
      </c>
      <c r="J103">
        <f>IF($W103="","",IF(INDEX('Per Invoice'!J$2:J$801,$W103)="","",INDEX('Per Invoice'!J$2:J$801,$W103)))</f>
        <v/>
      </c>
      <c r="K103" s="7">
        <f>IF($W103="","",IF(INDEX('Per Invoice'!K$2:K$801,$W103)="","",INDEX('Per Invoice'!K$2:K$801,$W103)))</f>
        <v/>
      </c>
      <c r="L103" s="14">
        <f>IF($W103="","",IF(INDEX('Per Invoice'!L$2:L$801,$W103)="","",INDEX('Per Invoice'!L$2:L$801,$W103)))</f>
        <v/>
      </c>
      <c r="M103">
        <f>IF($W103="","",IF(INDEX('Per Invoice'!M$2:M$801,$W103)="","",INDEX('Per Invoice'!M$2:M$801,$W103)))</f>
        <v/>
      </c>
      <c r="N103" s="7">
        <f>IF($W103="","",IF(INDEX('Per Invoice'!N$2:N$801,$W103)="","",INDEX('Per Invoice'!N$2:N$801,$W103)))</f>
        <v/>
      </c>
      <c r="O103" s="7">
        <f>IF($W103="","",IF(INDEX('Per Invoice'!O$2:O$801,$W103)="","",INDEX('Per Invoice'!O$2:O$801,$W103)))</f>
        <v/>
      </c>
      <c r="P103">
        <f>IF($W103="","",IF(INDEX('Per Invoice'!P$2:P$801,$W103)="","",INDEX('Per Invoice'!P$2:P$801,$W103)))</f>
        <v/>
      </c>
      <c r="Q103" s="7">
        <f>IF($W103="","",IF(INDEX('Per Invoice'!Q$2:Q$801,$W103)="","",INDEX('Per Invoice'!Q$2:Q$801,$W103)))</f>
        <v/>
      </c>
      <c r="R103" s="7">
        <f>IF($W103="","",IF(INDEX('Per Invoice'!R$2:R$801,$W103)="","",INDEX('Per Invoice'!R$2:R$801,$W103)))</f>
        <v/>
      </c>
      <c r="S103" s="7">
        <f>IF($W103="","",IF(INDEX('Per Invoice'!S$2:S$801,$W103)="","",INDEX('Per Invoice'!S$2:S$801,$W103)))</f>
        <v/>
      </c>
      <c r="T103" s="7">
        <f>IF($W103="","",IF(INDEX('Per Invoice'!T$2:T$801,$W103)="","",INDEX('Per Invoice'!T$2:T$801,$W103)))</f>
        <v/>
      </c>
      <c r="U103" s="7">
        <f>IF($W103="","",IF(INDEX('Per Invoice'!U$2:U$801,$W103)="","",INDEX('Per Invoice'!U$2:U$801,$W103)))</f>
        <v/>
      </c>
      <c r="V103" s="7">
        <f>IF($W103="","",IF(INDEX('Per Invoice'!V$2:V$801,$W103)="","",INDEX('Per Invoice'!V$2:V$801,$W103)))</f>
        <v/>
      </c>
      <c r="W103" s="16">
        <f>IFERROR(MATCH(Settings!$C$28&amp;"|"&amp;ROWS($W$2:$W103),'Per Invoice'!$X$2:$X$801,0),"")</f>
        <v/>
      </c>
    </row>
    <row r="104">
      <c r="A104">
        <f>IF($W104="","",IF(INDEX('Per Invoice'!A$2:A$801,$W104)="","",INDEX('Per Invoice'!A$2:A$801,$W104)))</f>
        <v/>
      </c>
      <c r="B104">
        <f>IF($W104="","",IF(INDEX('Per Invoice'!B$2:B$801,$W104)="","",INDEX('Per Invoice'!B$2:B$801,$W104)))</f>
        <v/>
      </c>
      <c r="C104">
        <f>IF($W104="","",IF(INDEX('Per Invoice'!C$2:C$801,$W104)="","",INDEX('Per Invoice'!C$2:C$801,$W104)))</f>
        <v/>
      </c>
      <c r="D104">
        <f>IF($W104="","",IF(INDEX('Per Invoice'!D$2:D$801,$W104)="","",INDEX('Per Invoice'!D$2:D$801,$W104)))</f>
        <v/>
      </c>
      <c r="E104">
        <f>IF($W104="","",IF(INDEX('Per Invoice'!E$2:E$801,$W104)="","",INDEX('Per Invoice'!E$2:E$801,$W104)))</f>
        <v/>
      </c>
      <c r="F104">
        <f>IF($W104="","",IF(INDEX('Per Invoice'!F$2:F$801,$W104)="","",INDEX('Per Invoice'!F$2:F$801,$W104)))</f>
        <v/>
      </c>
      <c r="G104">
        <f>IF($W104="","",IF(INDEX('Per Invoice'!G$2:G$801,$W104)="","",INDEX('Per Invoice'!G$2:G$801,$W104)))</f>
        <v/>
      </c>
      <c r="H104">
        <f>IF($W104="","",IF(INDEX('Per Invoice'!H$2:H$801,$W104)="","",INDEX('Per Invoice'!H$2:H$801,$W104)))</f>
        <v/>
      </c>
      <c r="I104">
        <f>IF($W104="","",IF(INDEX('Per Invoice'!I$2:I$801,$W104)="","",INDEX('Per Invoice'!I$2:I$801,$W104)))</f>
        <v/>
      </c>
      <c r="J104">
        <f>IF($W104="","",IF(INDEX('Per Invoice'!J$2:J$801,$W104)="","",INDEX('Per Invoice'!J$2:J$801,$W104)))</f>
        <v/>
      </c>
      <c r="K104" s="7">
        <f>IF($W104="","",IF(INDEX('Per Invoice'!K$2:K$801,$W104)="","",INDEX('Per Invoice'!K$2:K$801,$W104)))</f>
        <v/>
      </c>
      <c r="L104" s="14">
        <f>IF($W104="","",IF(INDEX('Per Invoice'!L$2:L$801,$W104)="","",INDEX('Per Invoice'!L$2:L$801,$W104)))</f>
        <v/>
      </c>
      <c r="M104">
        <f>IF($W104="","",IF(INDEX('Per Invoice'!M$2:M$801,$W104)="","",INDEX('Per Invoice'!M$2:M$801,$W104)))</f>
        <v/>
      </c>
      <c r="N104" s="7">
        <f>IF($W104="","",IF(INDEX('Per Invoice'!N$2:N$801,$W104)="","",INDEX('Per Invoice'!N$2:N$801,$W104)))</f>
        <v/>
      </c>
      <c r="O104" s="7">
        <f>IF($W104="","",IF(INDEX('Per Invoice'!O$2:O$801,$W104)="","",INDEX('Per Invoice'!O$2:O$801,$W104)))</f>
        <v/>
      </c>
      <c r="P104">
        <f>IF($W104="","",IF(INDEX('Per Invoice'!P$2:P$801,$W104)="","",INDEX('Per Invoice'!P$2:P$801,$W104)))</f>
        <v/>
      </c>
      <c r="Q104" s="7">
        <f>IF($W104="","",IF(INDEX('Per Invoice'!Q$2:Q$801,$W104)="","",INDEX('Per Invoice'!Q$2:Q$801,$W104)))</f>
        <v/>
      </c>
      <c r="R104" s="7">
        <f>IF($W104="","",IF(INDEX('Per Invoice'!R$2:R$801,$W104)="","",INDEX('Per Invoice'!R$2:R$801,$W104)))</f>
        <v/>
      </c>
      <c r="S104" s="7">
        <f>IF($W104="","",IF(INDEX('Per Invoice'!S$2:S$801,$W104)="","",INDEX('Per Invoice'!S$2:S$801,$W104)))</f>
        <v/>
      </c>
      <c r="T104" s="7">
        <f>IF($W104="","",IF(INDEX('Per Invoice'!T$2:T$801,$W104)="","",INDEX('Per Invoice'!T$2:T$801,$W104)))</f>
        <v/>
      </c>
      <c r="U104" s="7">
        <f>IF($W104="","",IF(INDEX('Per Invoice'!U$2:U$801,$W104)="","",INDEX('Per Invoice'!U$2:U$801,$W104)))</f>
        <v/>
      </c>
      <c r="V104" s="7">
        <f>IF($W104="","",IF(INDEX('Per Invoice'!V$2:V$801,$W104)="","",INDEX('Per Invoice'!V$2:V$801,$W104)))</f>
        <v/>
      </c>
      <c r="W104" s="16">
        <f>IFERROR(MATCH(Settings!$C$28&amp;"|"&amp;ROWS($W$2:$W104),'Per Invoice'!$X$2:$X$801,0),"")</f>
        <v/>
      </c>
    </row>
    <row r="105">
      <c r="A105">
        <f>IF($W105="","",IF(INDEX('Per Invoice'!A$2:A$801,$W105)="","",INDEX('Per Invoice'!A$2:A$801,$W105)))</f>
        <v/>
      </c>
      <c r="B105">
        <f>IF($W105="","",IF(INDEX('Per Invoice'!B$2:B$801,$W105)="","",INDEX('Per Invoice'!B$2:B$801,$W105)))</f>
        <v/>
      </c>
      <c r="C105">
        <f>IF($W105="","",IF(INDEX('Per Invoice'!C$2:C$801,$W105)="","",INDEX('Per Invoice'!C$2:C$801,$W105)))</f>
        <v/>
      </c>
      <c r="D105">
        <f>IF($W105="","",IF(INDEX('Per Invoice'!D$2:D$801,$W105)="","",INDEX('Per Invoice'!D$2:D$801,$W105)))</f>
        <v/>
      </c>
      <c r="E105">
        <f>IF($W105="","",IF(INDEX('Per Invoice'!E$2:E$801,$W105)="","",INDEX('Per Invoice'!E$2:E$801,$W105)))</f>
        <v/>
      </c>
      <c r="F105">
        <f>IF($W105="","",IF(INDEX('Per Invoice'!F$2:F$801,$W105)="","",INDEX('Per Invoice'!F$2:F$801,$W105)))</f>
        <v/>
      </c>
      <c r="G105">
        <f>IF($W105="","",IF(INDEX('Per Invoice'!G$2:G$801,$W105)="","",INDEX('Per Invoice'!G$2:G$801,$W105)))</f>
        <v/>
      </c>
      <c r="H105">
        <f>IF($W105="","",IF(INDEX('Per Invoice'!H$2:H$801,$W105)="","",INDEX('Per Invoice'!H$2:H$801,$W105)))</f>
        <v/>
      </c>
      <c r="I105">
        <f>IF($W105="","",IF(INDEX('Per Invoice'!I$2:I$801,$W105)="","",INDEX('Per Invoice'!I$2:I$801,$W105)))</f>
        <v/>
      </c>
      <c r="J105">
        <f>IF($W105="","",IF(INDEX('Per Invoice'!J$2:J$801,$W105)="","",INDEX('Per Invoice'!J$2:J$801,$W105)))</f>
        <v/>
      </c>
      <c r="K105" s="7">
        <f>IF($W105="","",IF(INDEX('Per Invoice'!K$2:K$801,$W105)="","",INDEX('Per Invoice'!K$2:K$801,$W105)))</f>
        <v/>
      </c>
      <c r="L105" s="14">
        <f>IF($W105="","",IF(INDEX('Per Invoice'!L$2:L$801,$W105)="","",INDEX('Per Invoice'!L$2:L$801,$W105)))</f>
        <v/>
      </c>
      <c r="M105">
        <f>IF($W105="","",IF(INDEX('Per Invoice'!M$2:M$801,$W105)="","",INDEX('Per Invoice'!M$2:M$801,$W105)))</f>
        <v/>
      </c>
      <c r="N105" s="7">
        <f>IF($W105="","",IF(INDEX('Per Invoice'!N$2:N$801,$W105)="","",INDEX('Per Invoice'!N$2:N$801,$W105)))</f>
        <v/>
      </c>
      <c r="O105" s="7">
        <f>IF($W105="","",IF(INDEX('Per Invoice'!O$2:O$801,$W105)="","",INDEX('Per Invoice'!O$2:O$801,$W105)))</f>
        <v/>
      </c>
      <c r="P105">
        <f>IF($W105="","",IF(INDEX('Per Invoice'!P$2:P$801,$W105)="","",INDEX('Per Invoice'!P$2:P$801,$W105)))</f>
        <v/>
      </c>
      <c r="Q105" s="7">
        <f>IF($W105="","",IF(INDEX('Per Invoice'!Q$2:Q$801,$W105)="","",INDEX('Per Invoice'!Q$2:Q$801,$W105)))</f>
        <v/>
      </c>
      <c r="R105" s="7">
        <f>IF($W105="","",IF(INDEX('Per Invoice'!R$2:R$801,$W105)="","",INDEX('Per Invoice'!R$2:R$801,$W105)))</f>
        <v/>
      </c>
      <c r="S105" s="7">
        <f>IF($W105="","",IF(INDEX('Per Invoice'!S$2:S$801,$W105)="","",INDEX('Per Invoice'!S$2:S$801,$W105)))</f>
        <v/>
      </c>
      <c r="T105" s="7">
        <f>IF($W105="","",IF(INDEX('Per Invoice'!T$2:T$801,$W105)="","",INDEX('Per Invoice'!T$2:T$801,$W105)))</f>
        <v/>
      </c>
      <c r="U105" s="7">
        <f>IF($W105="","",IF(INDEX('Per Invoice'!U$2:U$801,$W105)="","",INDEX('Per Invoice'!U$2:U$801,$W105)))</f>
        <v/>
      </c>
      <c r="V105" s="7">
        <f>IF($W105="","",IF(INDEX('Per Invoice'!V$2:V$801,$W105)="","",INDEX('Per Invoice'!V$2:V$801,$W105)))</f>
        <v/>
      </c>
      <c r="W105" s="16">
        <f>IFERROR(MATCH(Settings!$C$28&amp;"|"&amp;ROWS($W$2:$W105),'Per Invoice'!$X$2:$X$801,0),"")</f>
        <v/>
      </c>
    </row>
    <row r="106">
      <c r="A106">
        <f>IF($W106="","",IF(INDEX('Per Invoice'!A$2:A$801,$W106)="","",INDEX('Per Invoice'!A$2:A$801,$W106)))</f>
        <v/>
      </c>
      <c r="B106">
        <f>IF($W106="","",IF(INDEX('Per Invoice'!B$2:B$801,$W106)="","",INDEX('Per Invoice'!B$2:B$801,$W106)))</f>
        <v/>
      </c>
      <c r="C106">
        <f>IF($W106="","",IF(INDEX('Per Invoice'!C$2:C$801,$W106)="","",INDEX('Per Invoice'!C$2:C$801,$W106)))</f>
        <v/>
      </c>
      <c r="D106">
        <f>IF($W106="","",IF(INDEX('Per Invoice'!D$2:D$801,$W106)="","",INDEX('Per Invoice'!D$2:D$801,$W106)))</f>
        <v/>
      </c>
      <c r="E106">
        <f>IF($W106="","",IF(INDEX('Per Invoice'!E$2:E$801,$W106)="","",INDEX('Per Invoice'!E$2:E$801,$W106)))</f>
        <v/>
      </c>
      <c r="F106">
        <f>IF($W106="","",IF(INDEX('Per Invoice'!F$2:F$801,$W106)="","",INDEX('Per Invoice'!F$2:F$801,$W106)))</f>
        <v/>
      </c>
      <c r="G106">
        <f>IF($W106="","",IF(INDEX('Per Invoice'!G$2:G$801,$W106)="","",INDEX('Per Invoice'!G$2:G$801,$W106)))</f>
        <v/>
      </c>
      <c r="H106">
        <f>IF($W106="","",IF(INDEX('Per Invoice'!H$2:H$801,$W106)="","",INDEX('Per Invoice'!H$2:H$801,$W106)))</f>
        <v/>
      </c>
      <c r="I106">
        <f>IF($W106="","",IF(INDEX('Per Invoice'!I$2:I$801,$W106)="","",INDEX('Per Invoice'!I$2:I$801,$W106)))</f>
        <v/>
      </c>
      <c r="J106">
        <f>IF($W106="","",IF(INDEX('Per Invoice'!J$2:J$801,$W106)="","",INDEX('Per Invoice'!J$2:J$801,$W106)))</f>
        <v/>
      </c>
      <c r="K106" s="7">
        <f>IF($W106="","",IF(INDEX('Per Invoice'!K$2:K$801,$W106)="","",INDEX('Per Invoice'!K$2:K$801,$W106)))</f>
        <v/>
      </c>
      <c r="L106" s="14">
        <f>IF($W106="","",IF(INDEX('Per Invoice'!L$2:L$801,$W106)="","",INDEX('Per Invoice'!L$2:L$801,$W106)))</f>
        <v/>
      </c>
      <c r="M106">
        <f>IF($W106="","",IF(INDEX('Per Invoice'!M$2:M$801,$W106)="","",INDEX('Per Invoice'!M$2:M$801,$W106)))</f>
        <v/>
      </c>
      <c r="N106" s="7">
        <f>IF($W106="","",IF(INDEX('Per Invoice'!N$2:N$801,$W106)="","",INDEX('Per Invoice'!N$2:N$801,$W106)))</f>
        <v/>
      </c>
      <c r="O106" s="7">
        <f>IF($W106="","",IF(INDEX('Per Invoice'!O$2:O$801,$W106)="","",INDEX('Per Invoice'!O$2:O$801,$W106)))</f>
        <v/>
      </c>
      <c r="P106">
        <f>IF($W106="","",IF(INDEX('Per Invoice'!P$2:P$801,$W106)="","",INDEX('Per Invoice'!P$2:P$801,$W106)))</f>
        <v/>
      </c>
      <c r="Q106" s="7">
        <f>IF($W106="","",IF(INDEX('Per Invoice'!Q$2:Q$801,$W106)="","",INDEX('Per Invoice'!Q$2:Q$801,$W106)))</f>
        <v/>
      </c>
      <c r="R106" s="7">
        <f>IF($W106="","",IF(INDEX('Per Invoice'!R$2:R$801,$W106)="","",INDEX('Per Invoice'!R$2:R$801,$W106)))</f>
        <v/>
      </c>
      <c r="S106" s="7">
        <f>IF($W106="","",IF(INDEX('Per Invoice'!S$2:S$801,$W106)="","",INDEX('Per Invoice'!S$2:S$801,$W106)))</f>
        <v/>
      </c>
      <c r="T106" s="7">
        <f>IF($W106="","",IF(INDEX('Per Invoice'!T$2:T$801,$W106)="","",INDEX('Per Invoice'!T$2:T$801,$W106)))</f>
        <v/>
      </c>
      <c r="U106" s="7">
        <f>IF($W106="","",IF(INDEX('Per Invoice'!U$2:U$801,$W106)="","",INDEX('Per Invoice'!U$2:U$801,$W106)))</f>
        <v/>
      </c>
      <c r="V106" s="7">
        <f>IF($W106="","",IF(INDEX('Per Invoice'!V$2:V$801,$W106)="","",INDEX('Per Invoice'!V$2:V$801,$W106)))</f>
        <v/>
      </c>
      <c r="W106" s="16">
        <f>IFERROR(MATCH(Settings!$C$28&amp;"|"&amp;ROWS($W$2:$W106),'Per Invoice'!$X$2:$X$801,0),"")</f>
        <v/>
      </c>
    </row>
    <row r="107">
      <c r="A107">
        <f>IF($W107="","",IF(INDEX('Per Invoice'!A$2:A$801,$W107)="","",INDEX('Per Invoice'!A$2:A$801,$W107)))</f>
        <v/>
      </c>
      <c r="B107">
        <f>IF($W107="","",IF(INDEX('Per Invoice'!B$2:B$801,$W107)="","",INDEX('Per Invoice'!B$2:B$801,$W107)))</f>
        <v/>
      </c>
      <c r="C107">
        <f>IF($W107="","",IF(INDEX('Per Invoice'!C$2:C$801,$W107)="","",INDEX('Per Invoice'!C$2:C$801,$W107)))</f>
        <v/>
      </c>
      <c r="D107">
        <f>IF($W107="","",IF(INDEX('Per Invoice'!D$2:D$801,$W107)="","",INDEX('Per Invoice'!D$2:D$801,$W107)))</f>
        <v/>
      </c>
      <c r="E107">
        <f>IF($W107="","",IF(INDEX('Per Invoice'!E$2:E$801,$W107)="","",INDEX('Per Invoice'!E$2:E$801,$W107)))</f>
        <v/>
      </c>
      <c r="F107">
        <f>IF($W107="","",IF(INDEX('Per Invoice'!F$2:F$801,$W107)="","",INDEX('Per Invoice'!F$2:F$801,$W107)))</f>
        <v/>
      </c>
      <c r="G107">
        <f>IF($W107="","",IF(INDEX('Per Invoice'!G$2:G$801,$W107)="","",INDEX('Per Invoice'!G$2:G$801,$W107)))</f>
        <v/>
      </c>
      <c r="H107">
        <f>IF($W107="","",IF(INDEX('Per Invoice'!H$2:H$801,$W107)="","",INDEX('Per Invoice'!H$2:H$801,$W107)))</f>
        <v/>
      </c>
      <c r="I107">
        <f>IF($W107="","",IF(INDEX('Per Invoice'!I$2:I$801,$W107)="","",INDEX('Per Invoice'!I$2:I$801,$W107)))</f>
        <v/>
      </c>
      <c r="J107">
        <f>IF($W107="","",IF(INDEX('Per Invoice'!J$2:J$801,$W107)="","",INDEX('Per Invoice'!J$2:J$801,$W107)))</f>
        <v/>
      </c>
      <c r="K107" s="7">
        <f>IF($W107="","",IF(INDEX('Per Invoice'!K$2:K$801,$W107)="","",INDEX('Per Invoice'!K$2:K$801,$W107)))</f>
        <v/>
      </c>
      <c r="L107" s="14">
        <f>IF($W107="","",IF(INDEX('Per Invoice'!L$2:L$801,$W107)="","",INDEX('Per Invoice'!L$2:L$801,$W107)))</f>
        <v/>
      </c>
      <c r="M107">
        <f>IF($W107="","",IF(INDEX('Per Invoice'!M$2:M$801,$W107)="","",INDEX('Per Invoice'!M$2:M$801,$W107)))</f>
        <v/>
      </c>
      <c r="N107" s="7">
        <f>IF($W107="","",IF(INDEX('Per Invoice'!N$2:N$801,$W107)="","",INDEX('Per Invoice'!N$2:N$801,$W107)))</f>
        <v/>
      </c>
      <c r="O107" s="7">
        <f>IF($W107="","",IF(INDEX('Per Invoice'!O$2:O$801,$W107)="","",INDEX('Per Invoice'!O$2:O$801,$W107)))</f>
        <v/>
      </c>
      <c r="P107">
        <f>IF($W107="","",IF(INDEX('Per Invoice'!P$2:P$801,$W107)="","",INDEX('Per Invoice'!P$2:P$801,$W107)))</f>
        <v/>
      </c>
      <c r="Q107" s="7">
        <f>IF($W107="","",IF(INDEX('Per Invoice'!Q$2:Q$801,$W107)="","",INDEX('Per Invoice'!Q$2:Q$801,$W107)))</f>
        <v/>
      </c>
      <c r="R107" s="7">
        <f>IF($W107="","",IF(INDEX('Per Invoice'!R$2:R$801,$W107)="","",INDEX('Per Invoice'!R$2:R$801,$W107)))</f>
        <v/>
      </c>
      <c r="S107" s="7">
        <f>IF($W107="","",IF(INDEX('Per Invoice'!S$2:S$801,$W107)="","",INDEX('Per Invoice'!S$2:S$801,$W107)))</f>
        <v/>
      </c>
      <c r="T107" s="7">
        <f>IF($W107="","",IF(INDEX('Per Invoice'!T$2:T$801,$W107)="","",INDEX('Per Invoice'!T$2:T$801,$W107)))</f>
        <v/>
      </c>
      <c r="U107" s="7">
        <f>IF($W107="","",IF(INDEX('Per Invoice'!U$2:U$801,$W107)="","",INDEX('Per Invoice'!U$2:U$801,$W107)))</f>
        <v/>
      </c>
      <c r="V107" s="7">
        <f>IF($W107="","",IF(INDEX('Per Invoice'!V$2:V$801,$W107)="","",INDEX('Per Invoice'!V$2:V$801,$W107)))</f>
        <v/>
      </c>
      <c r="W107" s="16">
        <f>IFERROR(MATCH(Settings!$C$28&amp;"|"&amp;ROWS($W$2:$W107),'Per Invoice'!$X$2:$X$801,0),"")</f>
        <v/>
      </c>
    </row>
    <row r="108">
      <c r="A108">
        <f>IF($W108="","",IF(INDEX('Per Invoice'!A$2:A$801,$W108)="","",INDEX('Per Invoice'!A$2:A$801,$W108)))</f>
        <v/>
      </c>
      <c r="B108">
        <f>IF($W108="","",IF(INDEX('Per Invoice'!B$2:B$801,$W108)="","",INDEX('Per Invoice'!B$2:B$801,$W108)))</f>
        <v/>
      </c>
      <c r="C108">
        <f>IF($W108="","",IF(INDEX('Per Invoice'!C$2:C$801,$W108)="","",INDEX('Per Invoice'!C$2:C$801,$W108)))</f>
        <v/>
      </c>
      <c r="D108">
        <f>IF($W108="","",IF(INDEX('Per Invoice'!D$2:D$801,$W108)="","",INDEX('Per Invoice'!D$2:D$801,$W108)))</f>
        <v/>
      </c>
      <c r="E108">
        <f>IF($W108="","",IF(INDEX('Per Invoice'!E$2:E$801,$W108)="","",INDEX('Per Invoice'!E$2:E$801,$W108)))</f>
        <v/>
      </c>
      <c r="F108">
        <f>IF($W108="","",IF(INDEX('Per Invoice'!F$2:F$801,$W108)="","",INDEX('Per Invoice'!F$2:F$801,$W108)))</f>
        <v/>
      </c>
      <c r="G108">
        <f>IF($W108="","",IF(INDEX('Per Invoice'!G$2:G$801,$W108)="","",INDEX('Per Invoice'!G$2:G$801,$W108)))</f>
        <v/>
      </c>
      <c r="H108">
        <f>IF($W108="","",IF(INDEX('Per Invoice'!H$2:H$801,$W108)="","",INDEX('Per Invoice'!H$2:H$801,$W108)))</f>
        <v/>
      </c>
      <c r="I108">
        <f>IF($W108="","",IF(INDEX('Per Invoice'!I$2:I$801,$W108)="","",INDEX('Per Invoice'!I$2:I$801,$W108)))</f>
        <v/>
      </c>
      <c r="J108">
        <f>IF($W108="","",IF(INDEX('Per Invoice'!J$2:J$801,$W108)="","",INDEX('Per Invoice'!J$2:J$801,$W108)))</f>
        <v/>
      </c>
      <c r="K108" s="7">
        <f>IF($W108="","",IF(INDEX('Per Invoice'!K$2:K$801,$W108)="","",INDEX('Per Invoice'!K$2:K$801,$W108)))</f>
        <v/>
      </c>
      <c r="L108" s="14">
        <f>IF($W108="","",IF(INDEX('Per Invoice'!L$2:L$801,$W108)="","",INDEX('Per Invoice'!L$2:L$801,$W108)))</f>
        <v/>
      </c>
      <c r="M108">
        <f>IF($W108="","",IF(INDEX('Per Invoice'!M$2:M$801,$W108)="","",INDEX('Per Invoice'!M$2:M$801,$W108)))</f>
        <v/>
      </c>
      <c r="N108" s="7">
        <f>IF($W108="","",IF(INDEX('Per Invoice'!N$2:N$801,$W108)="","",INDEX('Per Invoice'!N$2:N$801,$W108)))</f>
        <v/>
      </c>
      <c r="O108" s="7">
        <f>IF($W108="","",IF(INDEX('Per Invoice'!O$2:O$801,$W108)="","",INDEX('Per Invoice'!O$2:O$801,$W108)))</f>
        <v/>
      </c>
      <c r="P108">
        <f>IF($W108="","",IF(INDEX('Per Invoice'!P$2:P$801,$W108)="","",INDEX('Per Invoice'!P$2:P$801,$W108)))</f>
        <v/>
      </c>
      <c r="Q108" s="7">
        <f>IF($W108="","",IF(INDEX('Per Invoice'!Q$2:Q$801,$W108)="","",INDEX('Per Invoice'!Q$2:Q$801,$W108)))</f>
        <v/>
      </c>
      <c r="R108" s="7">
        <f>IF($W108="","",IF(INDEX('Per Invoice'!R$2:R$801,$W108)="","",INDEX('Per Invoice'!R$2:R$801,$W108)))</f>
        <v/>
      </c>
      <c r="S108" s="7">
        <f>IF($W108="","",IF(INDEX('Per Invoice'!S$2:S$801,$W108)="","",INDEX('Per Invoice'!S$2:S$801,$W108)))</f>
        <v/>
      </c>
      <c r="T108" s="7">
        <f>IF($W108="","",IF(INDEX('Per Invoice'!T$2:T$801,$W108)="","",INDEX('Per Invoice'!T$2:T$801,$W108)))</f>
        <v/>
      </c>
      <c r="U108" s="7">
        <f>IF($W108="","",IF(INDEX('Per Invoice'!U$2:U$801,$W108)="","",INDEX('Per Invoice'!U$2:U$801,$W108)))</f>
        <v/>
      </c>
      <c r="V108" s="7">
        <f>IF($W108="","",IF(INDEX('Per Invoice'!V$2:V$801,$W108)="","",INDEX('Per Invoice'!V$2:V$801,$W108)))</f>
        <v/>
      </c>
      <c r="W108" s="16">
        <f>IFERROR(MATCH(Settings!$C$28&amp;"|"&amp;ROWS($W$2:$W108),'Per Invoice'!$X$2:$X$801,0),"")</f>
        <v/>
      </c>
    </row>
    <row r="109">
      <c r="A109">
        <f>IF($W109="","",IF(INDEX('Per Invoice'!A$2:A$801,$W109)="","",INDEX('Per Invoice'!A$2:A$801,$W109)))</f>
        <v/>
      </c>
      <c r="B109">
        <f>IF($W109="","",IF(INDEX('Per Invoice'!B$2:B$801,$W109)="","",INDEX('Per Invoice'!B$2:B$801,$W109)))</f>
        <v/>
      </c>
      <c r="C109">
        <f>IF($W109="","",IF(INDEX('Per Invoice'!C$2:C$801,$W109)="","",INDEX('Per Invoice'!C$2:C$801,$W109)))</f>
        <v/>
      </c>
      <c r="D109">
        <f>IF($W109="","",IF(INDEX('Per Invoice'!D$2:D$801,$W109)="","",INDEX('Per Invoice'!D$2:D$801,$W109)))</f>
        <v/>
      </c>
      <c r="E109">
        <f>IF($W109="","",IF(INDEX('Per Invoice'!E$2:E$801,$W109)="","",INDEX('Per Invoice'!E$2:E$801,$W109)))</f>
        <v/>
      </c>
      <c r="F109">
        <f>IF($W109="","",IF(INDEX('Per Invoice'!F$2:F$801,$W109)="","",INDEX('Per Invoice'!F$2:F$801,$W109)))</f>
        <v/>
      </c>
      <c r="G109">
        <f>IF($W109="","",IF(INDEX('Per Invoice'!G$2:G$801,$W109)="","",INDEX('Per Invoice'!G$2:G$801,$W109)))</f>
        <v/>
      </c>
      <c r="H109">
        <f>IF($W109="","",IF(INDEX('Per Invoice'!H$2:H$801,$W109)="","",INDEX('Per Invoice'!H$2:H$801,$W109)))</f>
        <v/>
      </c>
      <c r="I109">
        <f>IF($W109="","",IF(INDEX('Per Invoice'!I$2:I$801,$W109)="","",INDEX('Per Invoice'!I$2:I$801,$W109)))</f>
        <v/>
      </c>
      <c r="J109">
        <f>IF($W109="","",IF(INDEX('Per Invoice'!J$2:J$801,$W109)="","",INDEX('Per Invoice'!J$2:J$801,$W109)))</f>
        <v/>
      </c>
      <c r="K109" s="7">
        <f>IF($W109="","",IF(INDEX('Per Invoice'!K$2:K$801,$W109)="","",INDEX('Per Invoice'!K$2:K$801,$W109)))</f>
        <v/>
      </c>
      <c r="L109" s="14">
        <f>IF($W109="","",IF(INDEX('Per Invoice'!L$2:L$801,$W109)="","",INDEX('Per Invoice'!L$2:L$801,$W109)))</f>
        <v/>
      </c>
      <c r="M109">
        <f>IF($W109="","",IF(INDEX('Per Invoice'!M$2:M$801,$W109)="","",INDEX('Per Invoice'!M$2:M$801,$W109)))</f>
        <v/>
      </c>
      <c r="N109" s="7">
        <f>IF($W109="","",IF(INDEX('Per Invoice'!N$2:N$801,$W109)="","",INDEX('Per Invoice'!N$2:N$801,$W109)))</f>
        <v/>
      </c>
      <c r="O109" s="7">
        <f>IF($W109="","",IF(INDEX('Per Invoice'!O$2:O$801,$W109)="","",INDEX('Per Invoice'!O$2:O$801,$W109)))</f>
        <v/>
      </c>
      <c r="P109">
        <f>IF($W109="","",IF(INDEX('Per Invoice'!P$2:P$801,$W109)="","",INDEX('Per Invoice'!P$2:P$801,$W109)))</f>
        <v/>
      </c>
      <c r="Q109" s="7">
        <f>IF($W109="","",IF(INDEX('Per Invoice'!Q$2:Q$801,$W109)="","",INDEX('Per Invoice'!Q$2:Q$801,$W109)))</f>
        <v/>
      </c>
      <c r="R109" s="7">
        <f>IF($W109="","",IF(INDEX('Per Invoice'!R$2:R$801,$W109)="","",INDEX('Per Invoice'!R$2:R$801,$W109)))</f>
        <v/>
      </c>
      <c r="S109" s="7">
        <f>IF($W109="","",IF(INDEX('Per Invoice'!S$2:S$801,$W109)="","",INDEX('Per Invoice'!S$2:S$801,$W109)))</f>
        <v/>
      </c>
      <c r="T109" s="7">
        <f>IF($W109="","",IF(INDEX('Per Invoice'!T$2:T$801,$W109)="","",INDEX('Per Invoice'!T$2:T$801,$W109)))</f>
        <v/>
      </c>
      <c r="U109" s="7">
        <f>IF($W109="","",IF(INDEX('Per Invoice'!U$2:U$801,$W109)="","",INDEX('Per Invoice'!U$2:U$801,$W109)))</f>
        <v/>
      </c>
      <c r="V109" s="7">
        <f>IF($W109="","",IF(INDEX('Per Invoice'!V$2:V$801,$W109)="","",INDEX('Per Invoice'!V$2:V$801,$W109)))</f>
        <v/>
      </c>
      <c r="W109" s="16">
        <f>IFERROR(MATCH(Settings!$C$28&amp;"|"&amp;ROWS($W$2:$W109),'Per Invoice'!$X$2:$X$801,0),"")</f>
        <v/>
      </c>
    </row>
    <row r="110">
      <c r="A110">
        <f>IF($W110="","",IF(INDEX('Per Invoice'!A$2:A$801,$W110)="","",INDEX('Per Invoice'!A$2:A$801,$W110)))</f>
        <v/>
      </c>
      <c r="B110">
        <f>IF($W110="","",IF(INDEX('Per Invoice'!B$2:B$801,$W110)="","",INDEX('Per Invoice'!B$2:B$801,$W110)))</f>
        <v/>
      </c>
      <c r="C110">
        <f>IF($W110="","",IF(INDEX('Per Invoice'!C$2:C$801,$W110)="","",INDEX('Per Invoice'!C$2:C$801,$W110)))</f>
        <v/>
      </c>
      <c r="D110">
        <f>IF($W110="","",IF(INDEX('Per Invoice'!D$2:D$801,$W110)="","",INDEX('Per Invoice'!D$2:D$801,$W110)))</f>
        <v/>
      </c>
      <c r="E110">
        <f>IF($W110="","",IF(INDEX('Per Invoice'!E$2:E$801,$W110)="","",INDEX('Per Invoice'!E$2:E$801,$W110)))</f>
        <v/>
      </c>
      <c r="F110">
        <f>IF($W110="","",IF(INDEX('Per Invoice'!F$2:F$801,$W110)="","",INDEX('Per Invoice'!F$2:F$801,$W110)))</f>
        <v/>
      </c>
      <c r="G110">
        <f>IF($W110="","",IF(INDEX('Per Invoice'!G$2:G$801,$W110)="","",INDEX('Per Invoice'!G$2:G$801,$W110)))</f>
        <v/>
      </c>
      <c r="H110">
        <f>IF($W110="","",IF(INDEX('Per Invoice'!H$2:H$801,$W110)="","",INDEX('Per Invoice'!H$2:H$801,$W110)))</f>
        <v/>
      </c>
      <c r="I110">
        <f>IF($W110="","",IF(INDEX('Per Invoice'!I$2:I$801,$W110)="","",INDEX('Per Invoice'!I$2:I$801,$W110)))</f>
        <v/>
      </c>
      <c r="J110">
        <f>IF($W110="","",IF(INDEX('Per Invoice'!J$2:J$801,$W110)="","",INDEX('Per Invoice'!J$2:J$801,$W110)))</f>
        <v/>
      </c>
      <c r="K110" s="7">
        <f>IF($W110="","",IF(INDEX('Per Invoice'!K$2:K$801,$W110)="","",INDEX('Per Invoice'!K$2:K$801,$W110)))</f>
        <v/>
      </c>
      <c r="L110" s="14">
        <f>IF($W110="","",IF(INDEX('Per Invoice'!L$2:L$801,$W110)="","",INDEX('Per Invoice'!L$2:L$801,$W110)))</f>
        <v/>
      </c>
      <c r="M110">
        <f>IF($W110="","",IF(INDEX('Per Invoice'!M$2:M$801,$W110)="","",INDEX('Per Invoice'!M$2:M$801,$W110)))</f>
        <v/>
      </c>
      <c r="N110" s="7">
        <f>IF($W110="","",IF(INDEX('Per Invoice'!N$2:N$801,$W110)="","",INDEX('Per Invoice'!N$2:N$801,$W110)))</f>
        <v/>
      </c>
      <c r="O110" s="7">
        <f>IF($W110="","",IF(INDEX('Per Invoice'!O$2:O$801,$W110)="","",INDEX('Per Invoice'!O$2:O$801,$W110)))</f>
        <v/>
      </c>
      <c r="P110">
        <f>IF($W110="","",IF(INDEX('Per Invoice'!P$2:P$801,$W110)="","",INDEX('Per Invoice'!P$2:P$801,$W110)))</f>
        <v/>
      </c>
      <c r="Q110" s="7">
        <f>IF($W110="","",IF(INDEX('Per Invoice'!Q$2:Q$801,$W110)="","",INDEX('Per Invoice'!Q$2:Q$801,$W110)))</f>
        <v/>
      </c>
      <c r="R110" s="7">
        <f>IF($W110="","",IF(INDEX('Per Invoice'!R$2:R$801,$W110)="","",INDEX('Per Invoice'!R$2:R$801,$W110)))</f>
        <v/>
      </c>
      <c r="S110" s="7">
        <f>IF($W110="","",IF(INDEX('Per Invoice'!S$2:S$801,$W110)="","",INDEX('Per Invoice'!S$2:S$801,$W110)))</f>
        <v/>
      </c>
      <c r="T110" s="7">
        <f>IF($W110="","",IF(INDEX('Per Invoice'!T$2:T$801,$W110)="","",INDEX('Per Invoice'!T$2:T$801,$W110)))</f>
        <v/>
      </c>
      <c r="U110" s="7">
        <f>IF($W110="","",IF(INDEX('Per Invoice'!U$2:U$801,$W110)="","",INDEX('Per Invoice'!U$2:U$801,$W110)))</f>
        <v/>
      </c>
      <c r="V110" s="7">
        <f>IF($W110="","",IF(INDEX('Per Invoice'!V$2:V$801,$W110)="","",INDEX('Per Invoice'!V$2:V$801,$W110)))</f>
        <v/>
      </c>
      <c r="W110" s="16">
        <f>IFERROR(MATCH(Settings!$C$28&amp;"|"&amp;ROWS($W$2:$W110),'Per Invoice'!$X$2:$X$801,0),"")</f>
        <v/>
      </c>
    </row>
    <row r="111">
      <c r="A111">
        <f>IF($W111="","",IF(INDEX('Per Invoice'!A$2:A$801,$W111)="","",INDEX('Per Invoice'!A$2:A$801,$W111)))</f>
        <v/>
      </c>
      <c r="B111">
        <f>IF($W111="","",IF(INDEX('Per Invoice'!B$2:B$801,$W111)="","",INDEX('Per Invoice'!B$2:B$801,$W111)))</f>
        <v/>
      </c>
      <c r="C111">
        <f>IF($W111="","",IF(INDEX('Per Invoice'!C$2:C$801,$W111)="","",INDEX('Per Invoice'!C$2:C$801,$W111)))</f>
        <v/>
      </c>
      <c r="D111">
        <f>IF($W111="","",IF(INDEX('Per Invoice'!D$2:D$801,$W111)="","",INDEX('Per Invoice'!D$2:D$801,$W111)))</f>
        <v/>
      </c>
      <c r="E111">
        <f>IF($W111="","",IF(INDEX('Per Invoice'!E$2:E$801,$W111)="","",INDEX('Per Invoice'!E$2:E$801,$W111)))</f>
        <v/>
      </c>
      <c r="F111">
        <f>IF($W111="","",IF(INDEX('Per Invoice'!F$2:F$801,$W111)="","",INDEX('Per Invoice'!F$2:F$801,$W111)))</f>
        <v/>
      </c>
      <c r="G111">
        <f>IF($W111="","",IF(INDEX('Per Invoice'!G$2:G$801,$W111)="","",INDEX('Per Invoice'!G$2:G$801,$W111)))</f>
        <v/>
      </c>
      <c r="H111">
        <f>IF($W111="","",IF(INDEX('Per Invoice'!H$2:H$801,$W111)="","",INDEX('Per Invoice'!H$2:H$801,$W111)))</f>
        <v/>
      </c>
      <c r="I111">
        <f>IF($W111="","",IF(INDEX('Per Invoice'!I$2:I$801,$W111)="","",INDEX('Per Invoice'!I$2:I$801,$W111)))</f>
        <v/>
      </c>
      <c r="J111">
        <f>IF($W111="","",IF(INDEX('Per Invoice'!J$2:J$801,$W111)="","",INDEX('Per Invoice'!J$2:J$801,$W111)))</f>
        <v/>
      </c>
      <c r="K111" s="7">
        <f>IF($W111="","",IF(INDEX('Per Invoice'!K$2:K$801,$W111)="","",INDEX('Per Invoice'!K$2:K$801,$W111)))</f>
        <v/>
      </c>
      <c r="L111" s="14">
        <f>IF($W111="","",IF(INDEX('Per Invoice'!L$2:L$801,$W111)="","",INDEX('Per Invoice'!L$2:L$801,$W111)))</f>
        <v/>
      </c>
      <c r="M111">
        <f>IF($W111="","",IF(INDEX('Per Invoice'!M$2:M$801,$W111)="","",INDEX('Per Invoice'!M$2:M$801,$W111)))</f>
        <v/>
      </c>
      <c r="N111" s="7">
        <f>IF($W111="","",IF(INDEX('Per Invoice'!N$2:N$801,$W111)="","",INDEX('Per Invoice'!N$2:N$801,$W111)))</f>
        <v/>
      </c>
      <c r="O111" s="7">
        <f>IF($W111="","",IF(INDEX('Per Invoice'!O$2:O$801,$W111)="","",INDEX('Per Invoice'!O$2:O$801,$W111)))</f>
        <v/>
      </c>
      <c r="P111">
        <f>IF($W111="","",IF(INDEX('Per Invoice'!P$2:P$801,$W111)="","",INDEX('Per Invoice'!P$2:P$801,$W111)))</f>
        <v/>
      </c>
      <c r="Q111" s="7">
        <f>IF($W111="","",IF(INDEX('Per Invoice'!Q$2:Q$801,$W111)="","",INDEX('Per Invoice'!Q$2:Q$801,$W111)))</f>
        <v/>
      </c>
      <c r="R111" s="7">
        <f>IF($W111="","",IF(INDEX('Per Invoice'!R$2:R$801,$W111)="","",INDEX('Per Invoice'!R$2:R$801,$W111)))</f>
        <v/>
      </c>
      <c r="S111" s="7">
        <f>IF($W111="","",IF(INDEX('Per Invoice'!S$2:S$801,$W111)="","",INDEX('Per Invoice'!S$2:S$801,$W111)))</f>
        <v/>
      </c>
      <c r="T111" s="7">
        <f>IF($W111="","",IF(INDEX('Per Invoice'!T$2:T$801,$W111)="","",INDEX('Per Invoice'!T$2:T$801,$W111)))</f>
        <v/>
      </c>
      <c r="U111" s="7">
        <f>IF($W111="","",IF(INDEX('Per Invoice'!U$2:U$801,$W111)="","",INDEX('Per Invoice'!U$2:U$801,$W111)))</f>
        <v/>
      </c>
      <c r="V111" s="7">
        <f>IF($W111="","",IF(INDEX('Per Invoice'!V$2:V$801,$W111)="","",INDEX('Per Invoice'!V$2:V$801,$W111)))</f>
        <v/>
      </c>
      <c r="W111" s="16">
        <f>IFERROR(MATCH(Settings!$C$28&amp;"|"&amp;ROWS($W$2:$W111),'Per Invoice'!$X$2:$X$801,0),"")</f>
        <v/>
      </c>
    </row>
    <row r="112">
      <c r="A112">
        <f>IF($W112="","",IF(INDEX('Per Invoice'!A$2:A$801,$W112)="","",INDEX('Per Invoice'!A$2:A$801,$W112)))</f>
        <v/>
      </c>
      <c r="B112">
        <f>IF($W112="","",IF(INDEX('Per Invoice'!B$2:B$801,$W112)="","",INDEX('Per Invoice'!B$2:B$801,$W112)))</f>
        <v/>
      </c>
      <c r="C112">
        <f>IF($W112="","",IF(INDEX('Per Invoice'!C$2:C$801,$W112)="","",INDEX('Per Invoice'!C$2:C$801,$W112)))</f>
        <v/>
      </c>
      <c r="D112">
        <f>IF($W112="","",IF(INDEX('Per Invoice'!D$2:D$801,$W112)="","",INDEX('Per Invoice'!D$2:D$801,$W112)))</f>
        <v/>
      </c>
      <c r="E112">
        <f>IF($W112="","",IF(INDEX('Per Invoice'!E$2:E$801,$W112)="","",INDEX('Per Invoice'!E$2:E$801,$W112)))</f>
        <v/>
      </c>
      <c r="F112">
        <f>IF($W112="","",IF(INDEX('Per Invoice'!F$2:F$801,$W112)="","",INDEX('Per Invoice'!F$2:F$801,$W112)))</f>
        <v/>
      </c>
      <c r="G112">
        <f>IF($W112="","",IF(INDEX('Per Invoice'!G$2:G$801,$W112)="","",INDEX('Per Invoice'!G$2:G$801,$W112)))</f>
        <v/>
      </c>
      <c r="H112">
        <f>IF($W112="","",IF(INDEX('Per Invoice'!H$2:H$801,$W112)="","",INDEX('Per Invoice'!H$2:H$801,$W112)))</f>
        <v/>
      </c>
      <c r="I112">
        <f>IF($W112="","",IF(INDEX('Per Invoice'!I$2:I$801,$W112)="","",INDEX('Per Invoice'!I$2:I$801,$W112)))</f>
        <v/>
      </c>
      <c r="J112">
        <f>IF($W112="","",IF(INDEX('Per Invoice'!J$2:J$801,$W112)="","",INDEX('Per Invoice'!J$2:J$801,$W112)))</f>
        <v/>
      </c>
      <c r="K112" s="7">
        <f>IF($W112="","",IF(INDEX('Per Invoice'!K$2:K$801,$W112)="","",INDEX('Per Invoice'!K$2:K$801,$W112)))</f>
        <v/>
      </c>
      <c r="L112" s="14">
        <f>IF($W112="","",IF(INDEX('Per Invoice'!L$2:L$801,$W112)="","",INDEX('Per Invoice'!L$2:L$801,$W112)))</f>
        <v/>
      </c>
      <c r="M112">
        <f>IF($W112="","",IF(INDEX('Per Invoice'!M$2:M$801,$W112)="","",INDEX('Per Invoice'!M$2:M$801,$W112)))</f>
        <v/>
      </c>
      <c r="N112" s="7">
        <f>IF($W112="","",IF(INDEX('Per Invoice'!N$2:N$801,$W112)="","",INDEX('Per Invoice'!N$2:N$801,$W112)))</f>
        <v/>
      </c>
      <c r="O112" s="7">
        <f>IF($W112="","",IF(INDEX('Per Invoice'!O$2:O$801,$W112)="","",INDEX('Per Invoice'!O$2:O$801,$W112)))</f>
        <v/>
      </c>
      <c r="P112">
        <f>IF($W112="","",IF(INDEX('Per Invoice'!P$2:P$801,$W112)="","",INDEX('Per Invoice'!P$2:P$801,$W112)))</f>
        <v/>
      </c>
      <c r="Q112" s="7">
        <f>IF($W112="","",IF(INDEX('Per Invoice'!Q$2:Q$801,$W112)="","",INDEX('Per Invoice'!Q$2:Q$801,$W112)))</f>
        <v/>
      </c>
      <c r="R112" s="7">
        <f>IF($W112="","",IF(INDEX('Per Invoice'!R$2:R$801,$W112)="","",INDEX('Per Invoice'!R$2:R$801,$W112)))</f>
        <v/>
      </c>
      <c r="S112" s="7">
        <f>IF($W112="","",IF(INDEX('Per Invoice'!S$2:S$801,$W112)="","",INDEX('Per Invoice'!S$2:S$801,$W112)))</f>
        <v/>
      </c>
      <c r="T112" s="7">
        <f>IF($W112="","",IF(INDEX('Per Invoice'!T$2:T$801,$W112)="","",INDEX('Per Invoice'!T$2:T$801,$W112)))</f>
        <v/>
      </c>
      <c r="U112" s="7">
        <f>IF($W112="","",IF(INDEX('Per Invoice'!U$2:U$801,$W112)="","",INDEX('Per Invoice'!U$2:U$801,$W112)))</f>
        <v/>
      </c>
      <c r="V112" s="7">
        <f>IF($W112="","",IF(INDEX('Per Invoice'!V$2:V$801,$W112)="","",INDEX('Per Invoice'!V$2:V$801,$W112)))</f>
        <v/>
      </c>
      <c r="W112" s="16">
        <f>IFERROR(MATCH(Settings!$C$28&amp;"|"&amp;ROWS($W$2:$W112),'Per Invoice'!$X$2:$X$801,0),"")</f>
        <v/>
      </c>
    </row>
    <row r="113">
      <c r="A113">
        <f>IF($W113="","",IF(INDEX('Per Invoice'!A$2:A$801,$W113)="","",INDEX('Per Invoice'!A$2:A$801,$W113)))</f>
        <v/>
      </c>
      <c r="B113">
        <f>IF($W113="","",IF(INDEX('Per Invoice'!B$2:B$801,$W113)="","",INDEX('Per Invoice'!B$2:B$801,$W113)))</f>
        <v/>
      </c>
      <c r="C113">
        <f>IF($W113="","",IF(INDEX('Per Invoice'!C$2:C$801,$W113)="","",INDEX('Per Invoice'!C$2:C$801,$W113)))</f>
        <v/>
      </c>
      <c r="D113">
        <f>IF($W113="","",IF(INDEX('Per Invoice'!D$2:D$801,$W113)="","",INDEX('Per Invoice'!D$2:D$801,$W113)))</f>
        <v/>
      </c>
      <c r="E113">
        <f>IF($W113="","",IF(INDEX('Per Invoice'!E$2:E$801,$W113)="","",INDEX('Per Invoice'!E$2:E$801,$W113)))</f>
        <v/>
      </c>
      <c r="F113">
        <f>IF($W113="","",IF(INDEX('Per Invoice'!F$2:F$801,$W113)="","",INDEX('Per Invoice'!F$2:F$801,$W113)))</f>
        <v/>
      </c>
      <c r="G113">
        <f>IF($W113="","",IF(INDEX('Per Invoice'!G$2:G$801,$W113)="","",INDEX('Per Invoice'!G$2:G$801,$W113)))</f>
        <v/>
      </c>
      <c r="H113">
        <f>IF($W113="","",IF(INDEX('Per Invoice'!H$2:H$801,$W113)="","",INDEX('Per Invoice'!H$2:H$801,$W113)))</f>
        <v/>
      </c>
      <c r="I113">
        <f>IF($W113="","",IF(INDEX('Per Invoice'!I$2:I$801,$W113)="","",INDEX('Per Invoice'!I$2:I$801,$W113)))</f>
        <v/>
      </c>
      <c r="J113">
        <f>IF($W113="","",IF(INDEX('Per Invoice'!J$2:J$801,$W113)="","",INDEX('Per Invoice'!J$2:J$801,$W113)))</f>
        <v/>
      </c>
      <c r="K113" s="7">
        <f>IF($W113="","",IF(INDEX('Per Invoice'!K$2:K$801,$W113)="","",INDEX('Per Invoice'!K$2:K$801,$W113)))</f>
        <v/>
      </c>
      <c r="L113" s="14">
        <f>IF($W113="","",IF(INDEX('Per Invoice'!L$2:L$801,$W113)="","",INDEX('Per Invoice'!L$2:L$801,$W113)))</f>
        <v/>
      </c>
      <c r="M113">
        <f>IF($W113="","",IF(INDEX('Per Invoice'!M$2:M$801,$W113)="","",INDEX('Per Invoice'!M$2:M$801,$W113)))</f>
        <v/>
      </c>
      <c r="N113" s="7">
        <f>IF($W113="","",IF(INDEX('Per Invoice'!N$2:N$801,$W113)="","",INDEX('Per Invoice'!N$2:N$801,$W113)))</f>
        <v/>
      </c>
      <c r="O113" s="7">
        <f>IF($W113="","",IF(INDEX('Per Invoice'!O$2:O$801,$W113)="","",INDEX('Per Invoice'!O$2:O$801,$W113)))</f>
        <v/>
      </c>
      <c r="P113">
        <f>IF($W113="","",IF(INDEX('Per Invoice'!P$2:P$801,$W113)="","",INDEX('Per Invoice'!P$2:P$801,$W113)))</f>
        <v/>
      </c>
      <c r="Q113" s="7">
        <f>IF($W113="","",IF(INDEX('Per Invoice'!Q$2:Q$801,$W113)="","",INDEX('Per Invoice'!Q$2:Q$801,$W113)))</f>
        <v/>
      </c>
      <c r="R113" s="7">
        <f>IF($W113="","",IF(INDEX('Per Invoice'!R$2:R$801,$W113)="","",INDEX('Per Invoice'!R$2:R$801,$W113)))</f>
        <v/>
      </c>
      <c r="S113" s="7">
        <f>IF($W113="","",IF(INDEX('Per Invoice'!S$2:S$801,$W113)="","",INDEX('Per Invoice'!S$2:S$801,$W113)))</f>
        <v/>
      </c>
      <c r="T113" s="7">
        <f>IF($W113="","",IF(INDEX('Per Invoice'!T$2:T$801,$W113)="","",INDEX('Per Invoice'!T$2:T$801,$W113)))</f>
        <v/>
      </c>
      <c r="U113" s="7">
        <f>IF($W113="","",IF(INDEX('Per Invoice'!U$2:U$801,$W113)="","",INDEX('Per Invoice'!U$2:U$801,$W113)))</f>
        <v/>
      </c>
      <c r="V113" s="7">
        <f>IF($W113="","",IF(INDEX('Per Invoice'!V$2:V$801,$W113)="","",INDEX('Per Invoice'!V$2:V$801,$W113)))</f>
        <v/>
      </c>
      <c r="W113" s="16">
        <f>IFERROR(MATCH(Settings!$C$28&amp;"|"&amp;ROWS($W$2:$W113),'Per Invoice'!$X$2:$X$801,0),"")</f>
        <v/>
      </c>
    </row>
    <row r="114">
      <c r="A114">
        <f>IF($W114="","",IF(INDEX('Per Invoice'!A$2:A$801,$W114)="","",INDEX('Per Invoice'!A$2:A$801,$W114)))</f>
        <v/>
      </c>
      <c r="B114">
        <f>IF($W114="","",IF(INDEX('Per Invoice'!B$2:B$801,$W114)="","",INDEX('Per Invoice'!B$2:B$801,$W114)))</f>
        <v/>
      </c>
      <c r="C114">
        <f>IF($W114="","",IF(INDEX('Per Invoice'!C$2:C$801,$W114)="","",INDEX('Per Invoice'!C$2:C$801,$W114)))</f>
        <v/>
      </c>
      <c r="D114">
        <f>IF($W114="","",IF(INDEX('Per Invoice'!D$2:D$801,$W114)="","",INDEX('Per Invoice'!D$2:D$801,$W114)))</f>
        <v/>
      </c>
      <c r="E114">
        <f>IF($W114="","",IF(INDEX('Per Invoice'!E$2:E$801,$W114)="","",INDEX('Per Invoice'!E$2:E$801,$W114)))</f>
        <v/>
      </c>
      <c r="F114">
        <f>IF($W114="","",IF(INDEX('Per Invoice'!F$2:F$801,$W114)="","",INDEX('Per Invoice'!F$2:F$801,$W114)))</f>
        <v/>
      </c>
      <c r="G114">
        <f>IF($W114="","",IF(INDEX('Per Invoice'!G$2:G$801,$W114)="","",INDEX('Per Invoice'!G$2:G$801,$W114)))</f>
        <v/>
      </c>
      <c r="H114">
        <f>IF($W114="","",IF(INDEX('Per Invoice'!H$2:H$801,$W114)="","",INDEX('Per Invoice'!H$2:H$801,$W114)))</f>
        <v/>
      </c>
      <c r="I114">
        <f>IF($W114="","",IF(INDEX('Per Invoice'!I$2:I$801,$W114)="","",INDEX('Per Invoice'!I$2:I$801,$W114)))</f>
        <v/>
      </c>
      <c r="J114">
        <f>IF($W114="","",IF(INDEX('Per Invoice'!J$2:J$801,$W114)="","",INDEX('Per Invoice'!J$2:J$801,$W114)))</f>
        <v/>
      </c>
      <c r="K114" s="7">
        <f>IF($W114="","",IF(INDEX('Per Invoice'!K$2:K$801,$W114)="","",INDEX('Per Invoice'!K$2:K$801,$W114)))</f>
        <v/>
      </c>
      <c r="L114" s="14">
        <f>IF($W114="","",IF(INDEX('Per Invoice'!L$2:L$801,$W114)="","",INDEX('Per Invoice'!L$2:L$801,$W114)))</f>
        <v/>
      </c>
      <c r="M114">
        <f>IF($W114="","",IF(INDEX('Per Invoice'!M$2:M$801,$W114)="","",INDEX('Per Invoice'!M$2:M$801,$W114)))</f>
        <v/>
      </c>
      <c r="N114" s="7">
        <f>IF($W114="","",IF(INDEX('Per Invoice'!N$2:N$801,$W114)="","",INDEX('Per Invoice'!N$2:N$801,$W114)))</f>
        <v/>
      </c>
      <c r="O114" s="7">
        <f>IF($W114="","",IF(INDEX('Per Invoice'!O$2:O$801,$W114)="","",INDEX('Per Invoice'!O$2:O$801,$W114)))</f>
        <v/>
      </c>
      <c r="P114">
        <f>IF($W114="","",IF(INDEX('Per Invoice'!P$2:P$801,$W114)="","",INDEX('Per Invoice'!P$2:P$801,$W114)))</f>
        <v/>
      </c>
      <c r="Q114" s="7">
        <f>IF($W114="","",IF(INDEX('Per Invoice'!Q$2:Q$801,$W114)="","",INDEX('Per Invoice'!Q$2:Q$801,$W114)))</f>
        <v/>
      </c>
      <c r="R114" s="7">
        <f>IF($W114="","",IF(INDEX('Per Invoice'!R$2:R$801,$W114)="","",INDEX('Per Invoice'!R$2:R$801,$W114)))</f>
        <v/>
      </c>
      <c r="S114" s="7">
        <f>IF($W114="","",IF(INDEX('Per Invoice'!S$2:S$801,$W114)="","",INDEX('Per Invoice'!S$2:S$801,$W114)))</f>
        <v/>
      </c>
      <c r="T114" s="7">
        <f>IF($W114="","",IF(INDEX('Per Invoice'!T$2:T$801,$W114)="","",INDEX('Per Invoice'!T$2:T$801,$W114)))</f>
        <v/>
      </c>
      <c r="U114" s="7">
        <f>IF($W114="","",IF(INDEX('Per Invoice'!U$2:U$801,$W114)="","",INDEX('Per Invoice'!U$2:U$801,$W114)))</f>
        <v/>
      </c>
      <c r="V114" s="7">
        <f>IF($W114="","",IF(INDEX('Per Invoice'!V$2:V$801,$W114)="","",INDEX('Per Invoice'!V$2:V$801,$W114)))</f>
        <v/>
      </c>
      <c r="W114" s="16">
        <f>IFERROR(MATCH(Settings!$C$28&amp;"|"&amp;ROWS($W$2:$W114),'Per Invoice'!$X$2:$X$801,0),"")</f>
        <v/>
      </c>
    </row>
    <row r="115">
      <c r="A115">
        <f>IF($W115="","",IF(INDEX('Per Invoice'!A$2:A$801,$W115)="","",INDEX('Per Invoice'!A$2:A$801,$W115)))</f>
        <v/>
      </c>
      <c r="B115">
        <f>IF($W115="","",IF(INDEX('Per Invoice'!B$2:B$801,$W115)="","",INDEX('Per Invoice'!B$2:B$801,$W115)))</f>
        <v/>
      </c>
      <c r="C115">
        <f>IF($W115="","",IF(INDEX('Per Invoice'!C$2:C$801,$W115)="","",INDEX('Per Invoice'!C$2:C$801,$W115)))</f>
        <v/>
      </c>
      <c r="D115">
        <f>IF($W115="","",IF(INDEX('Per Invoice'!D$2:D$801,$W115)="","",INDEX('Per Invoice'!D$2:D$801,$W115)))</f>
        <v/>
      </c>
      <c r="E115">
        <f>IF($W115="","",IF(INDEX('Per Invoice'!E$2:E$801,$W115)="","",INDEX('Per Invoice'!E$2:E$801,$W115)))</f>
        <v/>
      </c>
      <c r="F115">
        <f>IF($W115="","",IF(INDEX('Per Invoice'!F$2:F$801,$W115)="","",INDEX('Per Invoice'!F$2:F$801,$W115)))</f>
        <v/>
      </c>
      <c r="G115">
        <f>IF($W115="","",IF(INDEX('Per Invoice'!G$2:G$801,$W115)="","",INDEX('Per Invoice'!G$2:G$801,$W115)))</f>
        <v/>
      </c>
      <c r="H115">
        <f>IF($W115="","",IF(INDEX('Per Invoice'!H$2:H$801,$W115)="","",INDEX('Per Invoice'!H$2:H$801,$W115)))</f>
        <v/>
      </c>
      <c r="I115">
        <f>IF($W115="","",IF(INDEX('Per Invoice'!I$2:I$801,$W115)="","",INDEX('Per Invoice'!I$2:I$801,$W115)))</f>
        <v/>
      </c>
      <c r="J115">
        <f>IF($W115="","",IF(INDEX('Per Invoice'!J$2:J$801,$W115)="","",INDEX('Per Invoice'!J$2:J$801,$W115)))</f>
        <v/>
      </c>
      <c r="K115" s="7">
        <f>IF($W115="","",IF(INDEX('Per Invoice'!K$2:K$801,$W115)="","",INDEX('Per Invoice'!K$2:K$801,$W115)))</f>
        <v/>
      </c>
      <c r="L115" s="14">
        <f>IF($W115="","",IF(INDEX('Per Invoice'!L$2:L$801,$W115)="","",INDEX('Per Invoice'!L$2:L$801,$W115)))</f>
        <v/>
      </c>
      <c r="M115">
        <f>IF($W115="","",IF(INDEX('Per Invoice'!M$2:M$801,$W115)="","",INDEX('Per Invoice'!M$2:M$801,$W115)))</f>
        <v/>
      </c>
      <c r="N115" s="7">
        <f>IF($W115="","",IF(INDEX('Per Invoice'!N$2:N$801,$W115)="","",INDEX('Per Invoice'!N$2:N$801,$W115)))</f>
        <v/>
      </c>
      <c r="O115" s="7">
        <f>IF($W115="","",IF(INDEX('Per Invoice'!O$2:O$801,$W115)="","",INDEX('Per Invoice'!O$2:O$801,$W115)))</f>
        <v/>
      </c>
      <c r="P115">
        <f>IF($W115="","",IF(INDEX('Per Invoice'!P$2:P$801,$W115)="","",INDEX('Per Invoice'!P$2:P$801,$W115)))</f>
        <v/>
      </c>
      <c r="Q115" s="7">
        <f>IF($W115="","",IF(INDEX('Per Invoice'!Q$2:Q$801,$W115)="","",INDEX('Per Invoice'!Q$2:Q$801,$W115)))</f>
        <v/>
      </c>
      <c r="R115" s="7">
        <f>IF($W115="","",IF(INDEX('Per Invoice'!R$2:R$801,$W115)="","",INDEX('Per Invoice'!R$2:R$801,$W115)))</f>
        <v/>
      </c>
      <c r="S115" s="7">
        <f>IF($W115="","",IF(INDEX('Per Invoice'!S$2:S$801,$W115)="","",INDEX('Per Invoice'!S$2:S$801,$W115)))</f>
        <v/>
      </c>
      <c r="T115" s="7">
        <f>IF($W115="","",IF(INDEX('Per Invoice'!T$2:T$801,$W115)="","",INDEX('Per Invoice'!T$2:T$801,$W115)))</f>
        <v/>
      </c>
      <c r="U115" s="7">
        <f>IF($W115="","",IF(INDEX('Per Invoice'!U$2:U$801,$W115)="","",INDEX('Per Invoice'!U$2:U$801,$W115)))</f>
        <v/>
      </c>
      <c r="V115" s="7">
        <f>IF($W115="","",IF(INDEX('Per Invoice'!V$2:V$801,$W115)="","",INDEX('Per Invoice'!V$2:V$801,$W115)))</f>
        <v/>
      </c>
      <c r="W115" s="16">
        <f>IFERROR(MATCH(Settings!$C$28&amp;"|"&amp;ROWS($W$2:$W115),'Per Invoice'!$X$2:$X$801,0),"")</f>
        <v/>
      </c>
    </row>
    <row r="116">
      <c r="A116">
        <f>IF($W116="","",IF(INDEX('Per Invoice'!A$2:A$801,$W116)="","",INDEX('Per Invoice'!A$2:A$801,$W116)))</f>
        <v/>
      </c>
      <c r="B116">
        <f>IF($W116="","",IF(INDEX('Per Invoice'!B$2:B$801,$W116)="","",INDEX('Per Invoice'!B$2:B$801,$W116)))</f>
        <v/>
      </c>
      <c r="C116">
        <f>IF($W116="","",IF(INDEX('Per Invoice'!C$2:C$801,$W116)="","",INDEX('Per Invoice'!C$2:C$801,$W116)))</f>
        <v/>
      </c>
      <c r="D116">
        <f>IF($W116="","",IF(INDEX('Per Invoice'!D$2:D$801,$W116)="","",INDEX('Per Invoice'!D$2:D$801,$W116)))</f>
        <v/>
      </c>
      <c r="E116">
        <f>IF($W116="","",IF(INDEX('Per Invoice'!E$2:E$801,$W116)="","",INDEX('Per Invoice'!E$2:E$801,$W116)))</f>
        <v/>
      </c>
      <c r="F116">
        <f>IF($W116="","",IF(INDEX('Per Invoice'!F$2:F$801,$W116)="","",INDEX('Per Invoice'!F$2:F$801,$W116)))</f>
        <v/>
      </c>
      <c r="G116">
        <f>IF($W116="","",IF(INDEX('Per Invoice'!G$2:G$801,$W116)="","",INDEX('Per Invoice'!G$2:G$801,$W116)))</f>
        <v/>
      </c>
      <c r="H116">
        <f>IF($W116="","",IF(INDEX('Per Invoice'!H$2:H$801,$W116)="","",INDEX('Per Invoice'!H$2:H$801,$W116)))</f>
        <v/>
      </c>
      <c r="I116">
        <f>IF($W116="","",IF(INDEX('Per Invoice'!I$2:I$801,$W116)="","",INDEX('Per Invoice'!I$2:I$801,$W116)))</f>
        <v/>
      </c>
      <c r="J116">
        <f>IF($W116="","",IF(INDEX('Per Invoice'!J$2:J$801,$W116)="","",INDEX('Per Invoice'!J$2:J$801,$W116)))</f>
        <v/>
      </c>
      <c r="K116" s="7">
        <f>IF($W116="","",IF(INDEX('Per Invoice'!K$2:K$801,$W116)="","",INDEX('Per Invoice'!K$2:K$801,$W116)))</f>
        <v/>
      </c>
      <c r="L116" s="14">
        <f>IF($W116="","",IF(INDEX('Per Invoice'!L$2:L$801,$W116)="","",INDEX('Per Invoice'!L$2:L$801,$W116)))</f>
        <v/>
      </c>
      <c r="M116">
        <f>IF($W116="","",IF(INDEX('Per Invoice'!M$2:M$801,$W116)="","",INDEX('Per Invoice'!M$2:M$801,$W116)))</f>
        <v/>
      </c>
      <c r="N116" s="7">
        <f>IF($W116="","",IF(INDEX('Per Invoice'!N$2:N$801,$W116)="","",INDEX('Per Invoice'!N$2:N$801,$W116)))</f>
        <v/>
      </c>
      <c r="O116" s="7">
        <f>IF($W116="","",IF(INDEX('Per Invoice'!O$2:O$801,$W116)="","",INDEX('Per Invoice'!O$2:O$801,$W116)))</f>
        <v/>
      </c>
      <c r="P116">
        <f>IF($W116="","",IF(INDEX('Per Invoice'!P$2:P$801,$W116)="","",INDEX('Per Invoice'!P$2:P$801,$W116)))</f>
        <v/>
      </c>
      <c r="Q116" s="7">
        <f>IF($W116="","",IF(INDEX('Per Invoice'!Q$2:Q$801,$W116)="","",INDEX('Per Invoice'!Q$2:Q$801,$W116)))</f>
        <v/>
      </c>
      <c r="R116" s="7">
        <f>IF($W116="","",IF(INDEX('Per Invoice'!R$2:R$801,$W116)="","",INDEX('Per Invoice'!R$2:R$801,$W116)))</f>
        <v/>
      </c>
      <c r="S116" s="7">
        <f>IF($W116="","",IF(INDEX('Per Invoice'!S$2:S$801,$W116)="","",INDEX('Per Invoice'!S$2:S$801,$W116)))</f>
        <v/>
      </c>
      <c r="T116" s="7">
        <f>IF($W116="","",IF(INDEX('Per Invoice'!T$2:T$801,$W116)="","",INDEX('Per Invoice'!T$2:T$801,$W116)))</f>
        <v/>
      </c>
      <c r="U116" s="7">
        <f>IF($W116="","",IF(INDEX('Per Invoice'!U$2:U$801,$W116)="","",INDEX('Per Invoice'!U$2:U$801,$W116)))</f>
        <v/>
      </c>
      <c r="V116" s="7">
        <f>IF($W116="","",IF(INDEX('Per Invoice'!V$2:V$801,$W116)="","",INDEX('Per Invoice'!V$2:V$801,$W116)))</f>
        <v/>
      </c>
      <c r="W116" s="16">
        <f>IFERROR(MATCH(Settings!$C$28&amp;"|"&amp;ROWS($W$2:$W116),'Per Invoice'!$X$2:$X$801,0),"")</f>
        <v/>
      </c>
    </row>
    <row r="117">
      <c r="A117">
        <f>IF($W117="","",IF(INDEX('Per Invoice'!A$2:A$801,$W117)="","",INDEX('Per Invoice'!A$2:A$801,$W117)))</f>
        <v/>
      </c>
      <c r="B117">
        <f>IF($W117="","",IF(INDEX('Per Invoice'!B$2:B$801,$W117)="","",INDEX('Per Invoice'!B$2:B$801,$W117)))</f>
        <v/>
      </c>
      <c r="C117">
        <f>IF($W117="","",IF(INDEX('Per Invoice'!C$2:C$801,$W117)="","",INDEX('Per Invoice'!C$2:C$801,$W117)))</f>
        <v/>
      </c>
      <c r="D117">
        <f>IF($W117="","",IF(INDEX('Per Invoice'!D$2:D$801,$W117)="","",INDEX('Per Invoice'!D$2:D$801,$W117)))</f>
        <v/>
      </c>
      <c r="E117">
        <f>IF($W117="","",IF(INDEX('Per Invoice'!E$2:E$801,$W117)="","",INDEX('Per Invoice'!E$2:E$801,$W117)))</f>
        <v/>
      </c>
      <c r="F117">
        <f>IF($W117="","",IF(INDEX('Per Invoice'!F$2:F$801,$W117)="","",INDEX('Per Invoice'!F$2:F$801,$W117)))</f>
        <v/>
      </c>
      <c r="G117">
        <f>IF($W117="","",IF(INDEX('Per Invoice'!G$2:G$801,$W117)="","",INDEX('Per Invoice'!G$2:G$801,$W117)))</f>
        <v/>
      </c>
      <c r="H117">
        <f>IF($W117="","",IF(INDEX('Per Invoice'!H$2:H$801,$W117)="","",INDEX('Per Invoice'!H$2:H$801,$W117)))</f>
        <v/>
      </c>
      <c r="I117">
        <f>IF($W117="","",IF(INDEX('Per Invoice'!I$2:I$801,$W117)="","",INDEX('Per Invoice'!I$2:I$801,$W117)))</f>
        <v/>
      </c>
      <c r="J117">
        <f>IF($W117="","",IF(INDEX('Per Invoice'!J$2:J$801,$W117)="","",INDEX('Per Invoice'!J$2:J$801,$W117)))</f>
        <v/>
      </c>
      <c r="K117" s="7">
        <f>IF($W117="","",IF(INDEX('Per Invoice'!K$2:K$801,$W117)="","",INDEX('Per Invoice'!K$2:K$801,$W117)))</f>
        <v/>
      </c>
      <c r="L117" s="14">
        <f>IF($W117="","",IF(INDEX('Per Invoice'!L$2:L$801,$W117)="","",INDEX('Per Invoice'!L$2:L$801,$W117)))</f>
        <v/>
      </c>
      <c r="M117">
        <f>IF($W117="","",IF(INDEX('Per Invoice'!M$2:M$801,$W117)="","",INDEX('Per Invoice'!M$2:M$801,$W117)))</f>
        <v/>
      </c>
      <c r="N117" s="7">
        <f>IF($W117="","",IF(INDEX('Per Invoice'!N$2:N$801,$W117)="","",INDEX('Per Invoice'!N$2:N$801,$W117)))</f>
        <v/>
      </c>
      <c r="O117" s="7">
        <f>IF($W117="","",IF(INDEX('Per Invoice'!O$2:O$801,$W117)="","",INDEX('Per Invoice'!O$2:O$801,$W117)))</f>
        <v/>
      </c>
      <c r="P117">
        <f>IF($W117="","",IF(INDEX('Per Invoice'!P$2:P$801,$W117)="","",INDEX('Per Invoice'!P$2:P$801,$W117)))</f>
        <v/>
      </c>
      <c r="Q117" s="7">
        <f>IF($W117="","",IF(INDEX('Per Invoice'!Q$2:Q$801,$W117)="","",INDEX('Per Invoice'!Q$2:Q$801,$W117)))</f>
        <v/>
      </c>
      <c r="R117" s="7">
        <f>IF($W117="","",IF(INDEX('Per Invoice'!R$2:R$801,$W117)="","",INDEX('Per Invoice'!R$2:R$801,$W117)))</f>
        <v/>
      </c>
      <c r="S117" s="7">
        <f>IF($W117="","",IF(INDEX('Per Invoice'!S$2:S$801,$W117)="","",INDEX('Per Invoice'!S$2:S$801,$W117)))</f>
        <v/>
      </c>
      <c r="T117" s="7">
        <f>IF($W117="","",IF(INDEX('Per Invoice'!T$2:T$801,$W117)="","",INDEX('Per Invoice'!T$2:T$801,$W117)))</f>
        <v/>
      </c>
      <c r="U117" s="7">
        <f>IF($W117="","",IF(INDEX('Per Invoice'!U$2:U$801,$W117)="","",INDEX('Per Invoice'!U$2:U$801,$W117)))</f>
        <v/>
      </c>
      <c r="V117" s="7">
        <f>IF($W117="","",IF(INDEX('Per Invoice'!V$2:V$801,$W117)="","",INDEX('Per Invoice'!V$2:V$801,$W117)))</f>
        <v/>
      </c>
      <c r="W117" s="16">
        <f>IFERROR(MATCH(Settings!$C$28&amp;"|"&amp;ROWS($W$2:$W117),'Per Invoice'!$X$2:$X$801,0),"")</f>
        <v/>
      </c>
    </row>
    <row r="118">
      <c r="A118">
        <f>IF($W118="","",IF(INDEX('Per Invoice'!A$2:A$801,$W118)="","",INDEX('Per Invoice'!A$2:A$801,$W118)))</f>
        <v/>
      </c>
      <c r="B118">
        <f>IF($W118="","",IF(INDEX('Per Invoice'!B$2:B$801,$W118)="","",INDEX('Per Invoice'!B$2:B$801,$W118)))</f>
        <v/>
      </c>
      <c r="C118">
        <f>IF($W118="","",IF(INDEX('Per Invoice'!C$2:C$801,$W118)="","",INDEX('Per Invoice'!C$2:C$801,$W118)))</f>
        <v/>
      </c>
      <c r="D118">
        <f>IF($W118="","",IF(INDEX('Per Invoice'!D$2:D$801,$W118)="","",INDEX('Per Invoice'!D$2:D$801,$W118)))</f>
        <v/>
      </c>
      <c r="E118">
        <f>IF($W118="","",IF(INDEX('Per Invoice'!E$2:E$801,$W118)="","",INDEX('Per Invoice'!E$2:E$801,$W118)))</f>
        <v/>
      </c>
      <c r="F118">
        <f>IF($W118="","",IF(INDEX('Per Invoice'!F$2:F$801,$W118)="","",INDEX('Per Invoice'!F$2:F$801,$W118)))</f>
        <v/>
      </c>
      <c r="G118">
        <f>IF($W118="","",IF(INDEX('Per Invoice'!G$2:G$801,$W118)="","",INDEX('Per Invoice'!G$2:G$801,$W118)))</f>
        <v/>
      </c>
      <c r="H118">
        <f>IF($W118="","",IF(INDEX('Per Invoice'!H$2:H$801,$W118)="","",INDEX('Per Invoice'!H$2:H$801,$W118)))</f>
        <v/>
      </c>
      <c r="I118">
        <f>IF($W118="","",IF(INDEX('Per Invoice'!I$2:I$801,$W118)="","",INDEX('Per Invoice'!I$2:I$801,$W118)))</f>
        <v/>
      </c>
      <c r="J118">
        <f>IF($W118="","",IF(INDEX('Per Invoice'!J$2:J$801,$W118)="","",INDEX('Per Invoice'!J$2:J$801,$W118)))</f>
        <v/>
      </c>
      <c r="K118" s="7">
        <f>IF($W118="","",IF(INDEX('Per Invoice'!K$2:K$801,$W118)="","",INDEX('Per Invoice'!K$2:K$801,$W118)))</f>
        <v/>
      </c>
      <c r="L118" s="14">
        <f>IF($W118="","",IF(INDEX('Per Invoice'!L$2:L$801,$W118)="","",INDEX('Per Invoice'!L$2:L$801,$W118)))</f>
        <v/>
      </c>
      <c r="M118">
        <f>IF($W118="","",IF(INDEX('Per Invoice'!M$2:M$801,$W118)="","",INDEX('Per Invoice'!M$2:M$801,$W118)))</f>
        <v/>
      </c>
      <c r="N118" s="7">
        <f>IF($W118="","",IF(INDEX('Per Invoice'!N$2:N$801,$W118)="","",INDEX('Per Invoice'!N$2:N$801,$W118)))</f>
        <v/>
      </c>
      <c r="O118" s="7">
        <f>IF($W118="","",IF(INDEX('Per Invoice'!O$2:O$801,$W118)="","",INDEX('Per Invoice'!O$2:O$801,$W118)))</f>
        <v/>
      </c>
      <c r="P118">
        <f>IF($W118="","",IF(INDEX('Per Invoice'!P$2:P$801,$W118)="","",INDEX('Per Invoice'!P$2:P$801,$W118)))</f>
        <v/>
      </c>
      <c r="Q118" s="7">
        <f>IF($W118="","",IF(INDEX('Per Invoice'!Q$2:Q$801,$W118)="","",INDEX('Per Invoice'!Q$2:Q$801,$W118)))</f>
        <v/>
      </c>
      <c r="R118" s="7">
        <f>IF($W118="","",IF(INDEX('Per Invoice'!R$2:R$801,$W118)="","",INDEX('Per Invoice'!R$2:R$801,$W118)))</f>
        <v/>
      </c>
      <c r="S118" s="7">
        <f>IF($W118="","",IF(INDEX('Per Invoice'!S$2:S$801,$W118)="","",INDEX('Per Invoice'!S$2:S$801,$W118)))</f>
        <v/>
      </c>
      <c r="T118" s="7">
        <f>IF($W118="","",IF(INDEX('Per Invoice'!T$2:T$801,$W118)="","",INDEX('Per Invoice'!T$2:T$801,$W118)))</f>
        <v/>
      </c>
      <c r="U118" s="7">
        <f>IF($W118="","",IF(INDEX('Per Invoice'!U$2:U$801,$W118)="","",INDEX('Per Invoice'!U$2:U$801,$W118)))</f>
        <v/>
      </c>
      <c r="V118" s="7">
        <f>IF($W118="","",IF(INDEX('Per Invoice'!V$2:V$801,$W118)="","",INDEX('Per Invoice'!V$2:V$801,$W118)))</f>
        <v/>
      </c>
      <c r="W118" s="16">
        <f>IFERROR(MATCH(Settings!$C$28&amp;"|"&amp;ROWS($W$2:$W118),'Per Invoice'!$X$2:$X$801,0),"")</f>
        <v/>
      </c>
    </row>
    <row r="119">
      <c r="A119">
        <f>IF($W119="","",IF(INDEX('Per Invoice'!A$2:A$801,$W119)="","",INDEX('Per Invoice'!A$2:A$801,$W119)))</f>
        <v/>
      </c>
      <c r="B119">
        <f>IF($W119="","",IF(INDEX('Per Invoice'!B$2:B$801,$W119)="","",INDEX('Per Invoice'!B$2:B$801,$W119)))</f>
        <v/>
      </c>
      <c r="C119">
        <f>IF($W119="","",IF(INDEX('Per Invoice'!C$2:C$801,$W119)="","",INDEX('Per Invoice'!C$2:C$801,$W119)))</f>
        <v/>
      </c>
      <c r="D119">
        <f>IF($W119="","",IF(INDEX('Per Invoice'!D$2:D$801,$W119)="","",INDEX('Per Invoice'!D$2:D$801,$W119)))</f>
        <v/>
      </c>
      <c r="E119">
        <f>IF($W119="","",IF(INDEX('Per Invoice'!E$2:E$801,$W119)="","",INDEX('Per Invoice'!E$2:E$801,$W119)))</f>
        <v/>
      </c>
      <c r="F119">
        <f>IF($W119="","",IF(INDEX('Per Invoice'!F$2:F$801,$W119)="","",INDEX('Per Invoice'!F$2:F$801,$W119)))</f>
        <v/>
      </c>
      <c r="G119">
        <f>IF($W119="","",IF(INDEX('Per Invoice'!G$2:G$801,$W119)="","",INDEX('Per Invoice'!G$2:G$801,$W119)))</f>
        <v/>
      </c>
      <c r="H119">
        <f>IF($W119="","",IF(INDEX('Per Invoice'!H$2:H$801,$W119)="","",INDEX('Per Invoice'!H$2:H$801,$W119)))</f>
        <v/>
      </c>
      <c r="I119">
        <f>IF($W119="","",IF(INDEX('Per Invoice'!I$2:I$801,$W119)="","",INDEX('Per Invoice'!I$2:I$801,$W119)))</f>
        <v/>
      </c>
      <c r="J119">
        <f>IF($W119="","",IF(INDEX('Per Invoice'!J$2:J$801,$W119)="","",INDEX('Per Invoice'!J$2:J$801,$W119)))</f>
        <v/>
      </c>
      <c r="K119" s="7">
        <f>IF($W119="","",IF(INDEX('Per Invoice'!K$2:K$801,$W119)="","",INDEX('Per Invoice'!K$2:K$801,$W119)))</f>
        <v/>
      </c>
      <c r="L119" s="14">
        <f>IF($W119="","",IF(INDEX('Per Invoice'!L$2:L$801,$W119)="","",INDEX('Per Invoice'!L$2:L$801,$W119)))</f>
        <v/>
      </c>
      <c r="M119">
        <f>IF($W119="","",IF(INDEX('Per Invoice'!M$2:M$801,$W119)="","",INDEX('Per Invoice'!M$2:M$801,$W119)))</f>
        <v/>
      </c>
      <c r="N119" s="7">
        <f>IF($W119="","",IF(INDEX('Per Invoice'!N$2:N$801,$W119)="","",INDEX('Per Invoice'!N$2:N$801,$W119)))</f>
        <v/>
      </c>
      <c r="O119" s="7">
        <f>IF($W119="","",IF(INDEX('Per Invoice'!O$2:O$801,$W119)="","",INDEX('Per Invoice'!O$2:O$801,$W119)))</f>
        <v/>
      </c>
      <c r="P119">
        <f>IF($W119="","",IF(INDEX('Per Invoice'!P$2:P$801,$W119)="","",INDEX('Per Invoice'!P$2:P$801,$W119)))</f>
        <v/>
      </c>
      <c r="Q119" s="7">
        <f>IF($W119="","",IF(INDEX('Per Invoice'!Q$2:Q$801,$W119)="","",INDEX('Per Invoice'!Q$2:Q$801,$W119)))</f>
        <v/>
      </c>
      <c r="R119" s="7">
        <f>IF($W119="","",IF(INDEX('Per Invoice'!R$2:R$801,$W119)="","",INDEX('Per Invoice'!R$2:R$801,$W119)))</f>
        <v/>
      </c>
      <c r="S119" s="7">
        <f>IF($W119="","",IF(INDEX('Per Invoice'!S$2:S$801,$W119)="","",INDEX('Per Invoice'!S$2:S$801,$W119)))</f>
        <v/>
      </c>
      <c r="T119" s="7">
        <f>IF($W119="","",IF(INDEX('Per Invoice'!T$2:T$801,$W119)="","",INDEX('Per Invoice'!T$2:T$801,$W119)))</f>
        <v/>
      </c>
      <c r="U119" s="7">
        <f>IF($W119="","",IF(INDEX('Per Invoice'!U$2:U$801,$W119)="","",INDEX('Per Invoice'!U$2:U$801,$W119)))</f>
        <v/>
      </c>
      <c r="V119" s="7">
        <f>IF($W119="","",IF(INDEX('Per Invoice'!V$2:V$801,$W119)="","",INDEX('Per Invoice'!V$2:V$801,$W119)))</f>
        <v/>
      </c>
      <c r="W119" s="16">
        <f>IFERROR(MATCH(Settings!$C$28&amp;"|"&amp;ROWS($W$2:$W119),'Per Invoice'!$X$2:$X$801,0),"")</f>
        <v/>
      </c>
    </row>
    <row r="120">
      <c r="A120">
        <f>IF($W120="","",IF(INDEX('Per Invoice'!A$2:A$801,$W120)="","",INDEX('Per Invoice'!A$2:A$801,$W120)))</f>
        <v/>
      </c>
      <c r="B120">
        <f>IF($W120="","",IF(INDEX('Per Invoice'!B$2:B$801,$W120)="","",INDEX('Per Invoice'!B$2:B$801,$W120)))</f>
        <v/>
      </c>
      <c r="C120">
        <f>IF($W120="","",IF(INDEX('Per Invoice'!C$2:C$801,$W120)="","",INDEX('Per Invoice'!C$2:C$801,$W120)))</f>
        <v/>
      </c>
      <c r="D120">
        <f>IF($W120="","",IF(INDEX('Per Invoice'!D$2:D$801,$W120)="","",INDEX('Per Invoice'!D$2:D$801,$W120)))</f>
        <v/>
      </c>
      <c r="E120">
        <f>IF($W120="","",IF(INDEX('Per Invoice'!E$2:E$801,$W120)="","",INDEX('Per Invoice'!E$2:E$801,$W120)))</f>
        <v/>
      </c>
      <c r="F120">
        <f>IF($W120="","",IF(INDEX('Per Invoice'!F$2:F$801,$W120)="","",INDEX('Per Invoice'!F$2:F$801,$W120)))</f>
        <v/>
      </c>
      <c r="G120">
        <f>IF($W120="","",IF(INDEX('Per Invoice'!G$2:G$801,$W120)="","",INDEX('Per Invoice'!G$2:G$801,$W120)))</f>
        <v/>
      </c>
      <c r="H120">
        <f>IF($W120="","",IF(INDEX('Per Invoice'!H$2:H$801,$W120)="","",INDEX('Per Invoice'!H$2:H$801,$W120)))</f>
        <v/>
      </c>
      <c r="I120">
        <f>IF($W120="","",IF(INDEX('Per Invoice'!I$2:I$801,$W120)="","",INDEX('Per Invoice'!I$2:I$801,$W120)))</f>
        <v/>
      </c>
      <c r="J120">
        <f>IF($W120="","",IF(INDEX('Per Invoice'!J$2:J$801,$W120)="","",INDEX('Per Invoice'!J$2:J$801,$W120)))</f>
        <v/>
      </c>
      <c r="K120" s="7">
        <f>IF($W120="","",IF(INDEX('Per Invoice'!K$2:K$801,$W120)="","",INDEX('Per Invoice'!K$2:K$801,$W120)))</f>
        <v/>
      </c>
      <c r="L120" s="14">
        <f>IF($W120="","",IF(INDEX('Per Invoice'!L$2:L$801,$W120)="","",INDEX('Per Invoice'!L$2:L$801,$W120)))</f>
        <v/>
      </c>
      <c r="M120">
        <f>IF($W120="","",IF(INDEX('Per Invoice'!M$2:M$801,$W120)="","",INDEX('Per Invoice'!M$2:M$801,$W120)))</f>
        <v/>
      </c>
      <c r="N120" s="7">
        <f>IF($W120="","",IF(INDEX('Per Invoice'!N$2:N$801,$W120)="","",INDEX('Per Invoice'!N$2:N$801,$W120)))</f>
        <v/>
      </c>
      <c r="O120" s="7">
        <f>IF($W120="","",IF(INDEX('Per Invoice'!O$2:O$801,$W120)="","",INDEX('Per Invoice'!O$2:O$801,$W120)))</f>
        <v/>
      </c>
      <c r="P120">
        <f>IF($W120="","",IF(INDEX('Per Invoice'!P$2:P$801,$W120)="","",INDEX('Per Invoice'!P$2:P$801,$W120)))</f>
        <v/>
      </c>
      <c r="Q120" s="7">
        <f>IF($W120="","",IF(INDEX('Per Invoice'!Q$2:Q$801,$W120)="","",INDEX('Per Invoice'!Q$2:Q$801,$W120)))</f>
        <v/>
      </c>
      <c r="R120" s="7">
        <f>IF($W120="","",IF(INDEX('Per Invoice'!R$2:R$801,$W120)="","",INDEX('Per Invoice'!R$2:R$801,$W120)))</f>
        <v/>
      </c>
      <c r="S120" s="7">
        <f>IF($W120="","",IF(INDEX('Per Invoice'!S$2:S$801,$W120)="","",INDEX('Per Invoice'!S$2:S$801,$W120)))</f>
        <v/>
      </c>
      <c r="T120" s="7">
        <f>IF($W120="","",IF(INDEX('Per Invoice'!T$2:T$801,$W120)="","",INDEX('Per Invoice'!T$2:T$801,$W120)))</f>
        <v/>
      </c>
      <c r="U120" s="7">
        <f>IF($W120="","",IF(INDEX('Per Invoice'!U$2:U$801,$W120)="","",INDEX('Per Invoice'!U$2:U$801,$W120)))</f>
        <v/>
      </c>
      <c r="V120" s="7">
        <f>IF($W120="","",IF(INDEX('Per Invoice'!V$2:V$801,$W120)="","",INDEX('Per Invoice'!V$2:V$801,$W120)))</f>
        <v/>
      </c>
      <c r="W120" s="16">
        <f>IFERROR(MATCH(Settings!$C$28&amp;"|"&amp;ROWS($W$2:$W120),'Per Invoice'!$X$2:$X$801,0),"")</f>
        <v/>
      </c>
    </row>
    <row r="121">
      <c r="A121">
        <f>IF($W121="","",IF(INDEX('Per Invoice'!A$2:A$801,$W121)="","",INDEX('Per Invoice'!A$2:A$801,$W121)))</f>
        <v/>
      </c>
      <c r="B121">
        <f>IF($W121="","",IF(INDEX('Per Invoice'!B$2:B$801,$W121)="","",INDEX('Per Invoice'!B$2:B$801,$W121)))</f>
        <v/>
      </c>
      <c r="C121">
        <f>IF($W121="","",IF(INDEX('Per Invoice'!C$2:C$801,$W121)="","",INDEX('Per Invoice'!C$2:C$801,$W121)))</f>
        <v/>
      </c>
      <c r="D121">
        <f>IF($W121="","",IF(INDEX('Per Invoice'!D$2:D$801,$W121)="","",INDEX('Per Invoice'!D$2:D$801,$W121)))</f>
        <v/>
      </c>
      <c r="E121">
        <f>IF($W121="","",IF(INDEX('Per Invoice'!E$2:E$801,$W121)="","",INDEX('Per Invoice'!E$2:E$801,$W121)))</f>
        <v/>
      </c>
      <c r="F121">
        <f>IF($W121="","",IF(INDEX('Per Invoice'!F$2:F$801,$W121)="","",INDEX('Per Invoice'!F$2:F$801,$W121)))</f>
        <v/>
      </c>
      <c r="G121">
        <f>IF($W121="","",IF(INDEX('Per Invoice'!G$2:G$801,$W121)="","",INDEX('Per Invoice'!G$2:G$801,$W121)))</f>
        <v/>
      </c>
      <c r="H121">
        <f>IF($W121="","",IF(INDEX('Per Invoice'!H$2:H$801,$W121)="","",INDEX('Per Invoice'!H$2:H$801,$W121)))</f>
        <v/>
      </c>
      <c r="I121">
        <f>IF($W121="","",IF(INDEX('Per Invoice'!I$2:I$801,$W121)="","",INDEX('Per Invoice'!I$2:I$801,$W121)))</f>
        <v/>
      </c>
      <c r="J121">
        <f>IF($W121="","",IF(INDEX('Per Invoice'!J$2:J$801,$W121)="","",INDEX('Per Invoice'!J$2:J$801,$W121)))</f>
        <v/>
      </c>
      <c r="K121" s="7">
        <f>IF($W121="","",IF(INDEX('Per Invoice'!K$2:K$801,$W121)="","",INDEX('Per Invoice'!K$2:K$801,$W121)))</f>
        <v/>
      </c>
      <c r="L121" s="14">
        <f>IF($W121="","",IF(INDEX('Per Invoice'!L$2:L$801,$W121)="","",INDEX('Per Invoice'!L$2:L$801,$W121)))</f>
        <v/>
      </c>
      <c r="M121">
        <f>IF($W121="","",IF(INDEX('Per Invoice'!M$2:M$801,$W121)="","",INDEX('Per Invoice'!M$2:M$801,$W121)))</f>
        <v/>
      </c>
      <c r="N121" s="7">
        <f>IF($W121="","",IF(INDEX('Per Invoice'!N$2:N$801,$W121)="","",INDEX('Per Invoice'!N$2:N$801,$W121)))</f>
        <v/>
      </c>
      <c r="O121" s="7">
        <f>IF($W121="","",IF(INDEX('Per Invoice'!O$2:O$801,$W121)="","",INDEX('Per Invoice'!O$2:O$801,$W121)))</f>
        <v/>
      </c>
      <c r="P121">
        <f>IF($W121="","",IF(INDEX('Per Invoice'!P$2:P$801,$W121)="","",INDEX('Per Invoice'!P$2:P$801,$W121)))</f>
        <v/>
      </c>
      <c r="Q121" s="7">
        <f>IF($W121="","",IF(INDEX('Per Invoice'!Q$2:Q$801,$W121)="","",INDEX('Per Invoice'!Q$2:Q$801,$W121)))</f>
        <v/>
      </c>
      <c r="R121" s="7">
        <f>IF($W121="","",IF(INDEX('Per Invoice'!R$2:R$801,$W121)="","",INDEX('Per Invoice'!R$2:R$801,$W121)))</f>
        <v/>
      </c>
      <c r="S121" s="7">
        <f>IF($W121="","",IF(INDEX('Per Invoice'!S$2:S$801,$W121)="","",INDEX('Per Invoice'!S$2:S$801,$W121)))</f>
        <v/>
      </c>
      <c r="T121" s="7">
        <f>IF($W121="","",IF(INDEX('Per Invoice'!T$2:T$801,$W121)="","",INDEX('Per Invoice'!T$2:T$801,$W121)))</f>
        <v/>
      </c>
      <c r="U121" s="7">
        <f>IF($W121="","",IF(INDEX('Per Invoice'!U$2:U$801,$W121)="","",INDEX('Per Invoice'!U$2:U$801,$W121)))</f>
        <v/>
      </c>
      <c r="V121" s="7">
        <f>IF($W121="","",IF(INDEX('Per Invoice'!V$2:V$801,$W121)="","",INDEX('Per Invoice'!V$2:V$801,$W121)))</f>
        <v/>
      </c>
      <c r="W121" s="16">
        <f>IFERROR(MATCH(Settings!$C$28&amp;"|"&amp;ROWS($W$2:$W121),'Per Invoice'!$X$2:$X$801,0),"")</f>
        <v/>
      </c>
    </row>
    <row r="122">
      <c r="A122">
        <f>IF($W122="","",IF(INDEX('Per Invoice'!A$2:A$801,$W122)="","",INDEX('Per Invoice'!A$2:A$801,$W122)))</f>
        <v/>
      </c>
      <c r="B122">
        <f>IF($W122="","",IF(INDEX('Per Invoice'!B$2:B$801,$W122)="","",INDEX('Per Invoice'!B$2:B$801,$W122)))</f>
        <v/>
      </c>
      <c r="C122">
        <f>IF($W122="","",IF(INDEX('Per Invoice'!C$2:C$801,$W122)="","",INDEX('Per Invoice'!C$2:C$801,$W122)))</f>
        <v/>
      </c>
      <c r="D122">
        <f>IF($W122="","",IF(INDEX('Per Invoice'!D$2:D$801,$W122)="","",INDEX('Per Invoice'!D$2:D$801,$W122)))</f>
        <v/>
      </c>
      <c r="E122">
        <f>IF($W122="","",IF(INDEX('Per Invoice'!E$2:E$801,$W122)="","",INDEX('Per Invoice'!E$2:E$801,$W122)))</f>
        <v/>
      </c>
      <c r="F122">
        <f>IF($W122="","",IF(INDEX('Per Invoice'!F$2:F$801,$W122)="","",INDEX('Per Invoice'!F$2:F$801,$W122)))</f>
        <v/>
      </c>
      <c r="G122">
        <f>IF($W122="","",IF(INDEX('Per Invoice'!G$2:G$801,$W122)="","",INDEX('Per Invoice'!G$2:G$801,$W122)))</f>
        <v/>
      </c>
      <c r="H122">
        <f>IF($W122="","",IF(INDEX('Per Invoice'!H$2:H$801,$W122)="","",INDEX('Per Invoice'!H$2:H$801,$W122)))</f>
        <v/>
      </c>
      <c r="I122">
        <f>IF($W122="","",IF(INDEX('Per Invoice'!I$2:I$801,$W122)="","",INDEX('Per Invoice'!I$2:I$801,$W122)))</f>
        <v/>
      </c>
      <c r="J122">
        <f>IF($W122="","",IF(INDEX('Per Invoice'!J$2:J$801,$W122)="","",INDEX('Per Invoice'!J$2:J$801,$W122)))</f>
        <v/>
      </c>
      <c r="K122" s="7">
        <f>IF($W122="","",IF(INDEX('Per Invoice'!K$2:K$801,$W122)="","",INDEX('Per Invoice'!K$2:K$801,$W122)))</f>
        <v/>
      </c>
      <c r="L122" s="14">
        <f>IF($W122="","",IF(INDEX('Per Invoice'!L$2:L$801,$W122)="","",INDEX('Per Invoice'!L$2:L$801,$W122)))</f>
        <v/>
      </c>
      <c r="M122">
        <f>IF($W122="","",IF(INDEX('Per Invoice'!M$2:M$801,$W122)="","",INDEX('Per Invoice'!M$2:M$801,$W122)))</f>
        <v/>
      </c>
      <c r="N122" s="7">
        <f>IF($W122="","",IF(INDEX('Per Invoice'!N$2:N$801,$W122)="","",INDEX('Per Invoice'!N$2:N$801,$W122)))</f>
        <v/>
      </c>
      <c r="O122" s="7">
        <f>IF($W122="","",IF(INDEX('Per Invoice'!O$2:O$801,$W122)="","",INDEX('Per Invoice'!O$2:O$801,$W122)))</f>
        <v/>
      </c>
      <c r="P122">
        <f>IF($W122="","",IF(INDEX('Per Invoice'!P$2:P$801,$W122)="","",INDEX('Per Invoice'!P$2:P$801,$W122)))</f>
        <v/>
      </c>
      <c r="Q122" s="7">
        <f>IF($W122="","",IF(INDEX('Per Invoice'!Q$2:Q$801,$W122)="","",INDEX('Per Invoice'!Q$2:Q$801,$W122)))</f>
        <v/>
      </c>
      <c r="R122" s="7">
        <f>IF($W122="","",IF(INDEX('Per Invoice'!R$2:R$801,$W122)="","",INDEX('Per Invoice'!R$2:R$801,$W122)))</f>
        <v/>
      </c>
      <c r="S122" s="7">
        <f>IF($W122="","",IF(INDEX('Per Invoice'!S$2:S$801,$W122)="","",INDEX('Per Invoice'!S$2:S$801,$W122)))</f>
        <v/>
      </c>
      <c r="T122" s="7">
        <f>IF($W122="","",IF(INDEX('Per Invoice'!T$2:T$801,$W122)="","",INDEX('Per Invoice'!T$2:T$801,$W122)))</f>
        <v/>
      </c>
      <c r="U122" s="7">
        <f>IF($W122="","",IF(INDEX('Per Invoice'!U$2:U$801,$W122)="","",INDEX('Per Invoice'!U$2:U$801,$W122)))</f>
        <v/>
      </c>
      <c r="V122" s="7">
        <f>IF($W122="","",IF(INDEX('Per Invoice'!V$2:V$801,$W122)="","",INDEX('Per Invoice'!V$2:V$801,$W122)))</f>
        <v/>
      </c>
      <c r="W122" s="16">
        <f>IFERROR(MATCH(Settings!$C$28&amp;"|"&amp;ROWS($W$2:$W122),'Per Invoice'!$X$2:$X$801,0),"")</f>
        <v/>
      </c>
    </row>
    <row r="123">
      <c r="A123">
        <f>IF($W123="","",IF(INDEX('Per Invoice'!A$2:A$801,$W123)="","",INDEX('Per Invoice'!A$2:A$801,$W123)))</f>
        <v/>
      </c>
      <c r="B123">
        <f>IF($W123="","",IF(INDEX('Per Invoice'!B$2:B$801,$W123)="","",INDEX('Per Invoice'!B$2:B$801,$W123)))</f>
        <v/>
      </c>
      <c r="C123">
        <f>IF($W123="","",IF(INDEX('Per Invoice'!C$2:C$801,$W123)="","",INDEX('Per Invoice'!C$2:C$801,$W123)))</f>
        <v/>
      </c>
      <c r="D123">
        <f>IF($W123="","",IF(INDEX('Per Invoice'!D$2:D$801,$W123)="","",INDEX('Per Invoice'!D$2:D$801,$W123)))</f>
        <v/>
      </c>
      <c r="E123">
        <f>IF($W123="","",IF(INDEX('Per Invoice'!E$2:E$801,$W123)="","",INDEX('Per Invoice'!E$2:E$801,$W123)))</f>
        <v/>
      </c>
      <c r="F123">
        <f>IF($W123="","",IF(INDEX('Per Invoice'!F$2:F$801,$W123)="","",INDEX('Per Invoice'!F$2:F$801,$W123)))</f>
        <v/>
      </c>
      <c r="G123">
        <f>IF($W123="","",IF(INDEX('Per Invoice'!G$2:G$801,$W123)="","",INDEX('Per Invoice'!G$2:G$801,$W123)))</f>
        <v/>
      </c>
      <c r="H123">
        <f>IF($W123="","",IF(INDEX('Per Invoice'!H$2:H$801,$W123)="","",INDEX('Per Invoice'!H$2:H$801,$W123)))</f>
        <v/>
      </c>
      <c r="I123">
        <f>IF($W123="","",IF(INDEX('Per Invoice'!I$2:I$801,$W123)="","",INDEX('Per Invoice'!I$2:I$801,$W123)))</f>
        <v/>
      </c>
      <c r="J123">
        <f>IF($W123="","",IF(INDEX('Per Invoice'!J$2:J$801,$W123)="","",INDEX('Per Invoice'!J$2:J$801,$W123)))</f>
        <v/>
      </c>
      <c r="K123" s="7">
        <f>IF($W123="","",IF(INDEX('Per Invoice'!K$2:K$801,$W123)="","",INDEX('Per Invoice'!K$2:K$801,$W123)))</f>
        <v/>
      </c>
      <c r="L123" s="14">
        <f>IF($W123="","",IF(INDEX('Per Invoice'!L$2:L$801,$W123)="","",INDEX('Per Invoice'!L$2:L$801,$W123)))</f>
        <v/>
      </c>
      <c r="M123">
        <f>IF($W123="","",IF(INDEX('Per Invoice'!M$2:M$801,$W123)="","",INDEX('Per Invoice'!M$2:M$801,$W123)))</f>
        <v/>
      </c>
      <c r="N123" s="7">
        <f>IF($W123="","",IF(INDEX('Per Invoice'!N$2:N$801,$W123)="","",INDEX('Per Invoice'!N$2:N$801,$W123)))</f>
        <v/>
      </c>
      <c r="O123" s="7">
        <f>IF($W123="","",IF(INDEX('Per Invoice'!O$2:O$801,$W123)="","",INDEX('Per Invoice'!O$2:O$801,$W123)))</f>
        <v/>
      </c>
      <c r="P123">
        <f>IF($W123="","",IF(INDEX('Per Invoice'!P$2:P$801,$W123)="","",INDEX('Per Invoice'!P$2:P$801,$W123)))</f>
        <v/>
      </c>
      <c r="Q123" s="7">
        <f>IF($W123="","",IF(INDEX('Per Invoice'!Q$2:Q$801,$W123)="","",INDEX('Per Invoice'!Q$2:Q$801,$W123)))</f>
        <v/>
      </c>
      <c r="R123" s="7">
        <f>IF($W123="","",IF(INDEX('Per Invoice'!R$2:R$801,$W123)="","",INDEX('Per Invoice'!R$2:R$801,$W123)))</f>
        <v/>
      </c>
      <c r="S123" s="7">
        <f>IF($W123="","",IF(INDEX('Per Invoice'!S$2:S$801,$W123)="","",INDEX('Per Invoice'!S$2:S$801,$W123)))</f>
        <v/>
      </c>
      <c r="T123" s="7">
        <f>IF($W123="","",IF(INDEX('Per Invoice'!T$2:T$801,$W123)="","",INDEX('Per Invoice'!T$2:T$801,$W123)))</f>
        <v/>
      </c>
      <c r="U123" s="7">
        <f>IF($W123="","",IF(INDEX('Per Invoice'!U$2:U$801,$W123)="","",INDEX('Per Invoice'!U$2:U$801,$W123)))</f>
        <v/>
      </c>
      <c r="V123" s="7">
        <f>IF($W123="","",IF(INDEX('Per Invoice'!V$2:V$801,$W123)="","",INDEX('Per Invoice'!V$2:V$801,$W123)))</f>
        <v/>
      </c>
      <c r="W123" s="16">
        <f>IFERROR(MATCH(Settings!$C$28&amp;"|"&amp;ROWS($W$2:$W123),'Per Invoice'!$X$2:$X$801,0),"")</f>
        <v/>
      </c>
    </row>
    <row r="124">
      <c r="A124">
        <f>IF($W124="","",IF(INDEX('Per Invoice'!A$2:A$801,$W124)="","",INDEX('Per Invoice'!A$2:A$801,$W124)))</f>
        <v/>
      </c>
      <c r="B124">
        <f>IF($W124="","",IF(INDEX('Per Invoice'!B$2:B$801,$W124)="","",INDEX('Per Invoice'!B$2:B$801,$W124)))</f>
        <v/>
      </c>
      <c r="C124">
        <f>IF($W124="","",IF(INDEX('Per Invoice'!C$2:C$801,$W124)="","",INDEX('Per Invoice'!C$2:C$801,$W124)))</f>
        <v/>
      </c>
      <c r="D124">
        <f>IF($W124="","",IF(INDEX('Per Invoice'!D$2:D$801,$W124)="","",INDEX('Per Invoice'!D$2:D$801,$W124)))</f>
        <v/>
      </c>
      <c r="E124">
        <f>IF($W124="","",IF(INDEX('Per Invoice'!E$2:E$801,$W124)="","",INDEX('Per Invoice'!E$2:E$801,$W124)))</f>
        <v/>
      </c>
      <c r="F124">
        <f>IF($W124="","",IF(INDEX('Per Invoice'!F$2:F$801,$W124)="","",INDEX('Per Invoice'!F$2:F$801,$W124)))</f>
        <v/>
      </c>
      <c r="G124">
        <f>IF($W124="","",IF(INDEX('Per Invoice'!G$2:G$801,$W124)="","",INDEX('Per Invoice'!G$2:G$801,$W124)))</f>
        <v/>
      </c>
      <c r="H124">
        <f>IF($W124="","",IF(INDEX('Per Invoice'!H$2:H$801,$W124)="","",INDEX('Per Invoice'!H$2:H$801,$W124)))</f>
        <v/>
      </c>
      <c r="I124">
        <f>IF($W124="","",IF(INDEX('Per Invoice'!I$2:I$801,$W124)="","",INDEX('Per Invoice'!I$2:I$801,$W124)))</f>
        <v/>
      </c>
      <c r="J124">
        <f>IF($W124="","",IF(INDEX('Per Invoice'!J$2:J$801,$W124)="","",INDEX('Per Invoice'!J$2:J$801,$W124)))</f>
        <v/>
      </c>
      <c r="K124" s="7">
        <f>IF($W124="","",IF(INDEX('Per Invoice'!K$2:K$801,$W124)="","",INDEX('Per Invoice'!K$2:K$801,$W124)))</f>
        <v/>
      </c>
      <c r="L124" s="14">
        <f>IF($W124="","",IF(INDEX('Per Invoice'!L$2:L$801,$W124)="","",INDEX('Per Invoice'!L$2:L$801,$W124)))</f>
        <v/>
      </c>
      <c r="M124">
        <f>IF($W124="","",IF(INDEX('Per Invoice'!M$2:M$801,$W124)="","",INDEX('Per Invoice'!M$2:M$801,$W124)))</f>
        <v/>
      </c>
      <c r="N124" s="7">
        <f>IF($W124="","",IF(INDEX('Per Invoice'!N$2:N$801,$W124)="","",INDEX('Per Invoice'!N$2:N$801,$W124)))</f>
        <v/>
      </c>
      <c r="O124" s="7">
        <f>IF($W124="","",IF(INDEX('Per Invoice'!O$2:O$801,$W124)="","",INDEX('Per Invoice'!O$2:O$801,$W124)))</f>
        <v/>
      </c>
      <c r="P124">
        <f>IF($W124="","",IF(INDEX('Per Invoice'!P$2:P$801,$W124)="","",INDEX('Per Invoice'!P$2:P$801,$W124)))</f>
        <v/>
      </c>
      <c r="Q124" s="7">
        <f>IF($W124="","",IF(INDEX('Per Invoice'!Q$2:Q$801,$W124)="","",INDEX('Per Invoice'!Q$2:Q$801,$W124)))</f>
        <v/>
      </c>
      <c r="R124" s="7">
        <f>IF($W124="","",IF(INDEX('Per Invoice'!R$2:R$801,$W124)="","",INDEX('Per Invoice'!R$2:R$801,$W124)))</f>
        <v/>
      </c>
      <c r="S124" s="7">
        <f>IF($W124="","",IF(INDEX('Per Invoice'!S$2:S$801,$W124)="","",INDEX('Per Invoice'!S$2:S$801,$W124)))</f>
        <v/>
      </c>
      <c r="T124" s="7">
        <f>IF($W124="","",IF(INDEX('Per Invoice'!T$2:T$801,$W124)="","",INDEX('Per Invoice'!T$2:T$801,$W124)))</f>
        <v/>
      </c>
      <c r="U124" s="7">
        <f>IF($W124="","",IF(INDEX('Per Invoice'!U$2:U$801,$W124)="","",INDEX('Per Invoice'!U$2:U$801,$W124)))</f>
        <v/>
      </c>
      <c r="V124" s="7">
        <f>IF($W124="","",IF(INDEX('Per Invoice'!V$2:V$801,$W124)="","",INDEX('Per Invoice'!V$2:V$801,$W124)))</f>
        <v/>
      </c>
      <c r="W124" s="16">
        <f>IFERROR(MATCH(Settings!$C$28&amp;"|"&amp;ROWS($W$2:$W124),'Per Invoice'!$X$2:$X$801,0),"")</f>
        <v/>
      </c>
    </row>
    <row r="125">
      <c r="A125">
        <f>IF($W125="","",IF(INDEX('Per Invoice'!A$2:A$801,$W125)="","",INDEX('Per Invoice'!A$2:A$801,$W125)))</f>
        <v/>
      </c>
      <c r="B125">
        <f>IF($W125="","",IF(INDEX('Per Invoice'!B$2:B$801,$W125)="","",INDEX('Per Invoice'!B$2:B$801,$W125)))</f>
        <v/>
      </c>
      <c r="C125">
        <f>IF($W125="","",IF(INDEX('Per Invoice'!C$2:C$801,$W125)="","",INDEX('Per Invoice'!C$2:C$801,$W125)))</f>
        <v/>
      </c>
      <c r="D125">
        <f>IF($W125="","",IF(INDEX('Per Invoice'!D$2:D$801,$W125)="","",INDEX('Per Invoice'!D$2:D$801,$W125)))</f>
        <v/>
      </c>
      <c r="E125">
        <f>IF($W125="","",IF(INDEX('Per Invoice'!E$2:E$801,$W125)="","",INDEX('Per Invoice'!E$2:E$801,$W125)))</f>
        <v/>
      </c>
      <c r="F125">
        <f>IF($W125="","",IF(INDEX('Per Invoice'!F$2:F$801,$W125)="","",INDEX('Per Invoice'!F$2:F$801,$W125)))</f>
        <v/>
      </c>
      <c r="G125">
        <f>IF($W125="","",IF(INDEX('Per Invoice'!G$2:G$801,$W125)="","",INDEX('Per Invoice'!G$2:G$801,$W125)))</f>
        <v/>
      </c>
      <c r="H125">
        <f>IF($W125="","",IF(INDEX('Per Invoice'!H$2:H$801,$W125)="","",INDEX('Per Invoice'!H$2:H$801,$W125)))</f>
        <v/>
      </c>
      <c r="I125">
        <f>IF($W125="","",IF(INDEX('Per Invoice'!I$2:I$801,$W125)="","",INDEX('Per Invoice'!I$2:I$801,$W125)))</f>
        <v/>
      </c>
      <c r="J125">
        <f>IF($W125="","",IF(INDEX('Per Invoice'!J$2:J$801,$W125)="","",INDEX('Per Invoice'!J$2:J$801,$W125)))</f>
        <v/>
      </c>
      <c r="K125" s="7">
        <f>IF($W125="","",IF(INDEX('Per Invoice'!K$2:K$801,$W125)="","",INDEX('Per Invoice'!K$2:K$801,$W125)))</f>
        <v/>
      </c>
      <c r="L125" s="14">
        <f>IF($W125="","",IF(INDEX('Per Invoice'!L$2:L$801,$W125)="","",INDEX('Per Invoice'!L$2:L$801,$W125)))</f>
        <v/>
      </c>
      <c r="M125">
        <f>IF($W125="","",IF(INDEX('Per Invoice'!M$2:M$801,$W125)="","",INDEX('Per Invoice'!M$2:M$801,$W125)))</f>
        <v/>
      </c>
      <c r="N125" s="7">
        <f>IF($W125="","",IF(INDEX('Per Invoice'!N$2:N$801,$W125)="","",INDEX('Per Invoice'!N$2:N$801,$W125)))</f>
        <v/>
      </c>
      <c r="O125" s="7">
        <f>IF($W125="","",IF(INDEX('Per Invoice'!O$2:O$801,$W125)="","",INDEX('Per Invoice'!O$2:O$801,$W125)))</f>
        <v/>
      </c>
      <c r="P125">
        <f>IF($W125="","",IF(INDEX('Per Invoice'!P$2:P$801,$W125)="","",INDEX('Per Invoice'!P$2:P$801,$W125)))</f>
        <v/>
      </c>
      <c r="Q125" s="7">
        <f>IF($W125="","",IF(INDEX('Per Invoice'!Q$2:Q$801,$W125)="","",INDEX('Per Invoice'!Q$2:Q$801,$W125)))</f>
        <v/>
      </c>
      <c r="R125" s="7">
        <f>IF($W125="","",IF(INDEX('Per Invoice'!R$2:R$801,$W125)="","",INDEX('Per Invoice'!R$2:R$801,$W125)))</f>
        <v/>
      </c>
      <c r="S125" s="7">
        <f>IF($W125="","",IF(INDEX('Per Invoice'!S$2:S$801,$W125)="","",INDEX('Per Invoice'!S$2:S$801,$W125)))</f>
        <v/>
      </c>
      <c r="T125" s="7">
        <f>IF($W125="","",IF(INDEX('Per Invoice'!T$2:T$801,$W125)="","",INDEX('Per Invoice'!T$2:T$801,$W125)))</f>
        <v/>
      </c>
      <c r="U125" s="7">
        <f>IF($W125="","",IF(INDEX('Per Invoice'!U$2:U$801,$W125)="","",INDEX('Per Invoice'!U$2:U$801,$W125)))</f>
        <v/>
      </c>
      <c r="V125" s="7">
        <f>IF($W125="","",IF(INDEX('Per Invoice'!V$2:V$801,$W125)="","",INDEX('Per Invoice'!V$2:V$801,$W125)))</f>
        <v/>
      </c>
      <c r="W125" s="16">
        <f>IFERROR(MATCH(Settings!$C$28&amp;"|"&amp;ROWS($W$2:$W125),'Per Invoice'!$X$2:$X$801,0),"")</f>
        <v/>
      </c>
    </row>
    <row r="126">
      <c r="A126">
        <f>IF($W126="","",IF(INDEX('Per Invoice'!A$2:A$801,$W126)="","",INDEX('Per Invoice'!A$2:A$801,$W126)))</f>
        <v/>
      </c>
      <c r="B126">
        <f>IF($W126="","",IF(INDEX('Per Invoice'!B$2:B$801,$W126)="","",INDEX('Per Invoice'!B$2:B$801,$W126)))</f>
        <v/>
      </c>
      <c r="C126">
        <f>IF($W126="","",IF(INDEX('Per Invoice'!C$2:C$801,$W126)="","",INDEX('Per Invoice'!C$2:C$801,$W126)))</f>
        <v/>
      </c>
      <c r="D126">
        <f>IF($W126="","",IF(INDEX('Per Invoice'!D$2:D$801,$W126)="","",INDEX('Per Invoice'!D$2:D$801,$W126)))</f>
        <v/>
      </c>
      <c r="E126">
        <f>IF($W126="","",IF(INDEX('Per Invoice'!E$2:E$801,$W126)="","",INDEX('Per Invoice'!E$2:E$801,$W126)))</f>
        <v/>
      </c>
      <c r="F126">
        <f>IF($W126="","",IF(INDEX('Per Invoice'!F$2:F$801,$W126)="","",INDEX('Per Invoice'!F$2:F$801,$W126)))</f>
        <v/>
      </c>
      <c r="G126">
        <f>IF($W126="","",IF(INDEX('Per Invoice'!G$2:G$801,$W126)="","",INDEX('Per Invoice'!G$2:G$801,$W126)))</f>
        <v/>
      </c>
      <c r="H126">
        <f>IF($W126="","",IF(INDEX('Per Invoice'!H$2:H$801,$W126)="","",INDEX('Per Invoice'!H$2:H$801,$W126)))</f>
        <v/>
      </c>
      <c r="I126">
        <f>IF($W126="","",IF(INDEX('Per Invoice'!I$2:I$801,$W126)="","",INDEX('Per Invoice'!I$2:I$801,$W126)))</f>
        <v/>
      </c>
      <c r="J126">
        <f>IF($W126="","",IF(INDEX('Per Invoice'!J$2:J$801,$W126)="","",INDEX('Per Invoice'!J$2:J$801,$W126)))</f>
        <v/>
      </c>
      <c r="K126" s="7">
        <f>IF($W126="","",IF(INDEX('Per Invoice'!K$2:K$801,$W126)="","",INDEX('Per Invoice'!K$2:K$801,$W126)))</f>
        <v/>
      </c>
      <c r="L126" s="14">
        <f>IF($W126="","",IF(INDEX('Per Invoice'!L$2:L$801,$W126)="","",INDEX('Per Invoice'!L$2:L$801,$W126)))</f>
        <v/>
      </c>
      <c r="M126">
        <f>IF($W126="","",IF(INDEX('Per Invoice'!M$2:M$801,$W126)="","",INDEX('Per Invoice'!M$2:M$801,$W126)))</f>
        <v/>
      </c>
      <c r="N126" s="7">
        <f>IF($W126="","",IF(INDEX('Per Invoice'!N$2:N$801,$W126)="","",INDEX('Per Invoice'!N$2:N$801,$W126)))</f>
        <v/>
      </c>
      <c r="O126" s="7">
        <f>IF($W126="","",IF(INDEX('Per Invoice'!O$2:O$801,$W126)="","",INDEX('Per Invoice'!O$2:O$801,$W126)))</f>
        <v/>
      </c>
      <c r="P126">
        <f>IF($W126="","",IF(INDEX('Per Invoice'!P$2:P$801,$W126)="","",INDEX('Per Invoice'!P$2:P$801,$W126)))</f>
        <v/>
      </c>
      <c r="Q126" s="7">
        <f>IF($W126="","",IF(INDEX('Per Invoice'!Q$2:Q$801,$W126)="","",INDEX('Per Invoice'!Q$2:Q$801,$W126)))</f>
        <v/>
      </c>
      <c r="R126" s="7">
        <f>IF($W126="","",IF(INDEX('Per Invoice'!R$2:R$801,$W126)="","",INDEX('Per Invoice'!R$2:R$801,$W126)))</f>
        <v/>
      </c>
      <c r="S126" s="7">
        <f>IF($W126="","",IF(INDEX('Per Invoice'!S$2:S$801,$W126)="","",INDEX('Per Invoice'!S$2:S$801,$W126)))</f>
        <v/>
      </c>
      <c r="T126" s="7">
        <f>IF($W126="","",IF(INDEX('Per Invoice'!T$2:T$801,$W126)="","",INDEX('Per Invoice'!T$2:T$801,$W126)))</f>
        <v/>
      </c>
      <c r="U126" s="7">
        <f>IF($W126="","",IF(INDEX('Per Invoice'!U$2:U$801,$W126)="","",INDEX('Per Invoice'!U$2:U$801,$W126)))</f>
        <v/>
      </c>
      <c r="V126" s="7">
        <f>IF($W126="","",IF(INDEX('Per Invoice'!V$2:V$801,$W126)="","",INDEX('Per Invoice'!V$2:V$801,$W126)))</f>
        <v/>
      </c>
      <c r="W126" s="16">
        <f>IFERROR(MATCH(Settings!$C$28&amp;"|"&amp;ROWS($W$2:$W126),'Per Invoice'!$X$2:$X$801,0),"")</f>
        <v/>
      </c>
    </row>
    <row r="127">
      <c r="A127">
        <f>IF($W127="","",IF(INDEX('Per Invoice'!A$2:A$801,$W127)="","",INDEX('Per Invoice'!A$2:A$801,$W127)))</f>
        <v/>
      </c>
      <c r="B127">
        <f>IF($W127="","",IF(INDEX('Per Invoice'!B$2:B$801,$W127)="","",INDEX('Per Invoice'!B$2:B$801,$W127)))</f>
        <v/>
      </c>
      <c r="C127">
        <f>IF($W127="","",IF(INDEX('Per Invoice'!C$2:C$801,$W127)="","",INDEX('Per Invoice'!C$2:C$801,$W127)))</f>
        <v/>
      </c>
      <c r="D127">
        <f>IF($W127="","",IF(INDEX('Per Invoice'!D$2:D$801,$W127)="","",INDEX('Per Invoice'!D$2:D$801,$W127)))</f>
        <v/>
      </c>
      <c r="E127">
        <f>IF($W127="","",IF(INDEX('Per Invoice'!E$2:E$801,$W127)="","",INDEX('Per Invoice'!E$2:E$801,$W127)))</f>
        <v/>
      </c>
      <c r="F127">
        <f>IF($W127="","",IF(INDEX('Per Invoice'!F$2:F$801,$W127)="","",INDEX('Per Invoice'!F$2:F$801,$W127)))</f>
        <v/>
      </c>
      <c r="G127">
        <f>IF($W127="","",IF(INDEX('Per Invoice'!G$2:G$801,$W127)="","",INDEX('Per Invoice'!G$2:G$801,$W127)))</f>
        <v/>
      </c>
      <c r="H127">
        <f>IF($W127="","",IF(INDEX('Per Invoice'!H$2:H$801,$W127)="","",INDEX('Per Invoice'!H$2:H$801,$W127)))</f>
        <v/>
      </c>
      <c r="I127">
        <f>IF($W127="","",IF(INDEX('Per Invoice'!I$2:I$801,$W127)="","",INDEX('Per Invoice'!I$2:I$801,$W127)))</f>
        <v/>
      </c>
      <c r="J127">
        <f>IF($W127="","",IF(INDEX('Per Invoice'!J$2:J$801,$W127)="","",INDEX('Per Invoice'!J$2:J$801,$W127)))</f>
        <v/>
      </c>
      <c r="K127" s="7">
        <f>IF($W127="","",IF(INDEX('Per Invoice'!K$2:K$801,$W127)="","",INDEX('Per Invoice'!K$2:K$801,$W127)))</f>
        <v/>
      </c>
      <c r="L127" s="14">
        <f>IF($W127="","",IF(INDEX('Per Invoice'!L$2:L$801,$W127)="","",INDEX('Per Invoice'!L$2:L$801,$W127)))</f>
        <v/>
      </c>
      <c r="M127">
        <f>IF($W127="","",IF(INDEX('Per Invoice'!M$2:M$801,$W127)="","",INDEX('Per Invoice'!M$2:M$801,$W127)))</f>
        <v/>
      </c>
      <c r="N127" s="7">
        <f>IF($W127="","",IF(INDEX('Per Invoice'!N$2:N$801,$W127)="","",INDEX('Per Invoice'!N$2:N$801,$W127)))</f>
        <v/>
      </c>
      <c r="O127" s="7">
        <f>IF($W127="","",IF(INDEX('Per Invoice'!O$2:O$801,$W127)="","",INDEX('Per Invoice'!O$2:O$801,$W127)))</f>
        <v/>
      </c>
      <c r="P127">
        <f>IF($W127="","",IF(INDEX('Per Invoice'!P$2:P$801,$W127)="","",INDEX('Per Invoice'!P$2:P$801,$W127)))</f>
        <v/>
      </c>
      <c r="Q127" s="7">
        <f>IF($W127="","",IF(INDEX('Per Invoice'!Q$2:Q$801,$W127)="","",INDEX('Per Invoice'!Q$2:Q$801,$W127)))</f>
        <v/>
      </c>
      <c r="R127" s="7">
        <f>IF($W127="","",IF(INDEX('Per Invoice'!R$2:R$801,$W127)="","",INDEX('Per Invoice'!R$2:R$801,$W127)))</f>
        <v/>
      </c>
      <c r="S127" s="7">
        <f>IF($W127="","",IF(INDEX('Per Invoice'!S$2:S$801,$W127)="","",INDEX('Per Invoice'!S$2:S$801,$W127)))</f>
        <v/>
      </c>
      <c r="T127" s="7">
        <f>IF($W127="","",IF(INDEX('Per Invoice'!T$2:T$801,$W127)="","",INDEX('Per Invoice'!T$2:T$801,$W127)))</f>
        <v/>
      </c>
      <c r="U127" s="7">
        <f>IF($W127="","",IF(INDEX('Per Invoice'!U$2:U$801,$W127)="","",INDEX('Per Invoice'!U$2:U$801,$W127)))</f>
        <v/>
      </c>
      <c r="V127" s="7">
        <f>IF($W127="","",IF(INDEX('Per Invoice'!V$2:V$801,$W127)="","",INDEX('Per Invoice'!V$2:V$801,$W127)))</f>
        <v/>
      </c>
      <c r="W127" s="16">
        <f>IFERROR(MATCH(Settings!$C$28&amp;"|"&amp;ROWS($W$2:$W127),'Per Invoice'!$X$2:$X$801,0),"")</f>
        <v/>
      </c>
    </row>
    <row r="128">
      <c r="A128">
        <f>IF($W128="","",IF(INDEX('Per Invoice'!A$2:A$801,$W128)="","",INDEX('Per Invoice'!A$2:A$801,$W128)))</f>
        <v/>
      </c>
      <c r="B128">
        <f>IF($W128="","",IF(INDEX('Per Invoice'!B$2:B$801,$W128)="","",INDEX('Per Invoice'!B$2:B$801,$W128)))</f>
        <v/>
      </c>
      <c r="C128">
        <f>IF($W128="","",IF(INDEX('Per Invoice'!C$2:C$801,$W128)="","",INDEX('Per Invoice'!C$2:C$801,$W128)))</f>
        <v/>
      </c>
      <c r="D128">
        <f>IF($W128="","",IF(INDEX('Per Invoice'!D$2:D$801,$W128)="","",INDEX('Per Invoice'!D$2:D$801,$W128)))</f>
        <v/>
      </c>
      <c r="E128">
        <f>IF($W128="","",IF(INDEX('Per Invoice'!E$2:E$801,$W128)="","",INDEX('Per Invoice'!E$2:E$801,$W128)))</f>
        <v/>
      </c>
      <c r="F128">
        <f>IF($W128="","",IF(INDEX('Per Invoice'!F$2:F$801,$W128)="","",INDEX('Per Invoice'!F$2:F$801,$W128)))</f>
        <v/>
      </c>
      <c r="G128">
        <f>IF($W128="","",IF(INDEX('Per Invoice'!G$2:G$801,$W128)="","",INDEX('Per Invoice'!G$2:G$801,$W128)))</f>
        <v/>
      </c>
      <c r="H128">
        <f>IF($W128="","",IF(INDEX('Per Invoice'!H$2:H$801,$W128)="","",INDEX('Per Invoice'!H$2:H$801,$W128)))</f>
        <v/>
      </c>
      <c r="I128">
        <f>IF($W128="","",IF(INDEX('Per Invoice'!I$2:I$801,$W128)="","",INDEX('Per Invoice'!I$2:I$801,$W128)))</f>
        <v/>
      </c>
      <c r="J128">
        <f>IF($W128="","",IF(INDEX('Per Invoice'!J$2:J$801,$W128)="","",INDEX('Per Invoice'!J$2:J$801,$W128)))</f>
        <v/>
      </c>
      <c r="K128" s="7">
        <f>IF($W128="","",IF(INDEX('Per Invoice'!K$2:K$801,$W128)="","",INDEX('Per Invoice'!K$2:K$801,$W128)))</f>
        <v/>
      </c>
      <c r="L128" s="14">
        <f>IF($W128="","",IF(INDEX('Per Invoice'!L$2:L$801,$W128)="","",INDEX('Per Invoice'!L$2:L$801,$W128)))</f>
        <v/>
      </c>
      <c r="M128">
        <f>IF($W128="","",IF(INDEX('Per Invoice'!M$2:M$801,$W128)="","",INDEX('Per Invoice'!M$2:M$801,$W128)))</f>
        <v/>
      </c>
      <c r="N128" s="7">
        <f>IF($W128="","",IF(INDEX('Per Invoice'!N$2:N$801,$W128)="","",INDEX('Per Invoice'!N$2:N$801,$W128)))</f>
        <v/>
      </c>
      <c r="O128" s="7">
        <f>IF($W128="","",IF(INDEX('Per Invoice'!O$2:O$801,$W128)="","",INDEX('Per Invoice'!O$2:O$801,$W128)))</f>
        <v/>
      </c>
      <c r="P128">
        <f>IF($W128="","",IF(INDEX('Per Invoice'!P$2:P$801,$W128)="","",INDEX('Per Invoice'!P$2:P$801,$W128)))</f>
        <v/>
      </c>
      <c r="Q128" s="7">
        <f>IF($W128="","",IF(INDEX('Per Invoice'!Q$2:Q$801,$W128)="","",INDEX('Per Invoice'!Q$2:Q$801,$W128)))</f>
        <v/>
      </c>
      <c r="R128" s="7">
        <f>IF($W128="","",IF(INDEX('Per Invoice'!R$2:R$801,$W128)="","",INDEX('Per Invoice'!R$2:R$801,$W128)))</f>
        <v/>
      </c>
      <c r="S128" s="7">
        <f>IF($W128="","",IF(INDEX('Per Invoice'!S$2:S$801,$W128)="","",INDEX('Per Invoice'!S$2:S$801,$W128)))</f>
        <v/>
      </c>
      <c r="T128" s="7">
        <f>IF($W128="","",IF(INDEX('Per Invoice'!T$2:T$801,$W128)="","",INDEX('Per Invoice'!T$2:T$801,$W128)))</f>
        <v/>
      </c>
      <c r="U128" s="7">
        <f>IF($W128="","",IF(INDEX('Per Invoice'!U$2:U$801,$W128)="","",INDEX('Per Invoice'!U$2:U$801,$W128)))</f>
        <v/>
      </c>
      <c r="V128" s="7">
        <f>IF($W128="","",IF(INDEX('Per Invoice'!V$2:V$801,$W128)="","",INDEX('Per Invoice'!V$2:V$801,$W128)))</f>
        <v/>
      </c>
      <c r="W128" s="16">
        <f>IFERROR(MATCH(Settings!$C$28&amp;"|"&amp;ROWS($W$2:$W128),'Per Invoice'!$X$2:$X$801,0),"")</f>
        <v/>
      </c>
    </row>
    <row r="129">
      <c r="A129">
        <f>IF($W129="","",IF(INDEX('Per Invoice'!A$2:A$801,$W129)="","",INDEX('Per Invoice'!A$2:A$801,$W129)))</f>
        <v/>
      </c>
      <c r="B129">
        <f>IF($W129="","",IF(INDEX('Per Invoice'!B$2:B$801,$W129)="","",INDEX('Per Invoice'!B$2:B$801,$W129)))</f>
        <v/>
      </c>
      <c r="C129">
        <f>IF($W129="","",IF(INDEX('Per Invoice'!C$2:C$801,$W129)="","",INDEX('Per Invoice'!C$2:C$801,$W129)))</f>
        <v/>
      </c>
      <c r="D129">
        <f>IF($W129="","",IF(INDEX('Per Invoice'!D$2:D$801,$W129)="","",INDEX('Per Invoice'!D$2:D$801,$W129)))</f>
        <v/>
      </c>
      <c r="E129">
        <f>IF($W129="","",IF(INDEX('Per Invoice'!E$2:E$801,$W129)="","",INDEX('Per Invoice'!E$2:E$801,$W129)))</f>
        <v/>
      </c>
      <c r="F129">
        <f>IF($W129="","",IF(INDEX('Per Invoice'!F$2:F$801,$W129)="","",INDEX('Per Invoice'!F$2:F$801,$W129)))</f>
        <v/>
      </c>
      <c r="G129">
        <f>IF($W129="","",IF(INDEX('Per Invoice'!G$2:G$801,$W129)="","",INDEX('Per Invoice'!G$2:G$801,$W129)))</f>
        <v/>
      </c>
      <c r="H129">
        <f>IF($W129="","",IF(INDEX('Per Invoice'!H$2:H$801,$W129)="","",INDEX('Per Invoice'!H$2:H$801,$W129)))</f>
        <v/>
      </c>
      <c r="I129">
        <f>IF($W129="","",IF(INDEX('Per Invoice'!I$2:I$801,$W129)="","",INDEX('Per Invoice'!I$2:I$801,$W129)))</f>
        <v/>
      </c>
      <c r="J129">
        <f>IF($W129="","",IF(INDEX('Per Invoice'!J$2:J$801,$W129)="","",INDEX('Per Invoice'!J$2:J$801,$W129)))</f>
        <v/>
      </c>
      <c r="K129" s="7">
        <f>IF($W129="","",IF(INDEX('Per Invoice'!K$2:K$801,$W129)="","",INDEX('Per Invoice'!K$2:K$801,$W129)))</f>
        <v/>
      </c>
      <c r="L129" s="14">
        <f>IF($W129="","",IF(INDEX('Per Invoice'!L$2:L$801,$W129)="","",INDEX('Per Invoice'!L$2:L$801,$W129)))</f>
        <v/>
      </c>
      <c r="M129">
        <f>IF($W129="","",IF(INDEX('Per Invoice'!M$2:M$801,$W129)="","",INDEX('Per Invoice'!M$2:M$801,$W129)))</f>
        <v/>
      </c>
      <c r="N129" s="7">
        <f>IF($W129="","",IF(INDEX('Per Invoice'!N$2:N$801,$W129)="","",INDEX('Per Invoice'!N$2:N$801,$W129)))</f>
        <v/>
      </c>
      <c r="O129" s="7">
        <f>IF($W129="","",IF(INDEX('Per Invoice'!O$2:O$801,$W129)="","",INDEX('Per Invoice'!O$2:O$801,$W129)))</f>
        <v/>
      </c>
      <c r="P129">
        <f>IF($W129="","",IF(INDEX('Per Invoice'!P$2:P$801,$W129)="","",INDEX('Per Invoice'!P$2:P$801,$W129)))</f>
        <v/>
      </c>
      <c r="Q129" s="7">
        <f>IF($W129="","",IF(INDEX('Per Invoice'!Q$2:Q$801,$W129)="","",INDEX('Per Invoice'!Q$2:Q$801,$W129)))</f>
        <v/>
      </c>
      <c r="R129" s="7">
        <f>IF($W129="","",IF(INDEX('Per Invoice'!R$2:R$801,$W129)="","",INDEX('Per Invoice'!R$2:R$801,$W129)))</f>
        <v/>
      </c>
      <c r="S129" s="7">
        <f>IF($W129="","",IF(INDEX('Per Invoice'!S$2:S$801,$W129)="","",INDEX('Per Invoice'!S$2:S$801,$W129)))</f>
        <v/>
      </c>
      <c r="T129" s="7">
        <f>IF($W129="","",IF(INDEX('Per Invoice'!T$2:T$801,$W129)="","",INDEX('Per Invoice'!T$2:T$801,$W129)))</f>
        <v/>
      </c>
      <c r="U129" s="7">
        <f>IF($W129="","",IF(INDEX('Per Invoice'!U$2:U$801,$W129)="","",INDEX('Per Invoice'!U$2:U$801,$W129)))</f>
        <v/>
      </c>
      <c r="V129" s="7">
        <f>IF($W129="","",IF(INDEX('Per Invoice'!V$2:V$801,$W129)="","",INDEX('Per Invoice'!V$2:V$801,$W129)))</f>
        <v/>
      </c>
      <c r="W129" s="16">
        <f>IFERROR(MATCH(Settings!$C$28&amp;"|"&amp;ROWS($W$2:$W129),'Per Invoice'!$X$2:$X$801,0),"")</f>
        <v/>
      </c>
    </row>
    <row r="130">
      <c r="A130">
        <f>IF($W130="","",IF(INDEX('Per Invoice'!A$2:A$801,$W130)="","",INDEX('Per Invoice'!A$2:A$801,$W130)))</f>
        <v/>
      </c>
      <c r="B130">
        <f>IF($W130="","",IF(INDEX('Per Invoice'!B$2:B$801,$W130)="","",INDEX('Per Invoice'!B$2:B$801,$W130)))</f>
        <v/>
      </c>
      <c r="C130">
        <f>IF($W130="","",IF(INDEX('Per Invoice'!C$2:C$801,$W130)="","",INDEX('Per Invoice'!C$2:C$801,$W130)))</f>
        <v/>
      </c>
      <c r="D130">
        <f>IF($W130="","",IF(INDEX('Per Invoice'!D$2:D$801,$W130)="","",INDEX('Per Invoice'!D$2:D$801,$W130)))</f>
        <v/>
      </c>
      <c r="E130">
        <f>IF($W130="","",IF(INDEX('Per Invoice'!E$2:E$801,$W130)="","",INDEX('Per Invoice'!E$2:E$801,$W130)))</f>
        <v/>
      </c>
      <c r="F130">
        <f>IF($W130="","",IF(INDEX('Per Invoice'!F$2:F$801,$W130)="","",INDEX('Per Invoice'!F$2:F$801,$W130)))</f>
        <v/>
      </c>
      <c r="G130">
        <f>IF($W130="","",IF(INDEX('Per Invoice'!G$2:G$801,$W130)="","",INDEX('Per Invoice'!G$2:G$801,$W130)))</f>
        <v/>
      </c>
      <c r="H130">
        <f>IF($W130="","",IF(INDEX('Per Invoice'!H$2:H$801,$W130)="","",INDEX('Per Invoice'!H$2:H$801,$W130)))</f>
        <v/>
      </c>
      <c r="I130">
        <f>IF($W130="","",IF(INDEX('Per Invoice'!I$2:I$801,$W130)="","",INDEX('Per Invoice'!I$2:I$801,$W130)))</f>
        <v/>
      </c>
      <c r="J130">
        <f>IF($W130="","",IF(INDEX('Per Invoice'!J$2:J$801,$W130)="","",INDEX('Per Invoice'!J$2:J$801,$W130)))</f>
        <v/>
      </c>
      <c r="K130" s="7">
        <f>IF($W130="","",IF(INDEX('Per Invoice'!K$2:K$801,$W130)="","",INDEX('Per Invoice'!K$2:K$801,$W130)))</f>
        <v/>
      </c>
      <c r="L130" s="14">
        <f>IF($W130="","",IF(INDEX('Per Invoice'!L$2:L$801,$W130)="","",INDEX('Per Invoice'!L$2:L$801,$W130)))</f>
        <v/>
      </c>
      <c r="M130">
        <f>IF($W130="","",IF(INDEX('Per Invoice'!M$2:M$801,$W130)="","",INDEX('Per Invoice'!M$2:M$801,$W130)))</f>
        <v/>
      </c>
      <c r="N130" s="7">
        <f>IF($W130="","",IF(INDEX('Per Invoice'!N$2:N$801,$W130)="","",INDEX('Per Invoice'!N$2:N$801,$W130)))</f>
        <v/>
      </c>
      <c r="O130" s="7">
        <f>IF($W130="","",IF(INDEX('Per Invoice'!O$2:O$801,$W130)="","",INDEX('Per Invoice'!O$2:O$801,$W130)))</f>
        <v/>
      </c>
      <c r="P130">
        <f>IF($W130="","",IF(INDEX('Per Invoice'!P$2:P$801,$W130)="","",INDEX('Per Invoice'!P$2:P$801,$W130)))</f>
        <v/>
      </c>
      <c r="Q130" s="7">
        <f>IF($W130="","",IF(INDEX('Per Invoice'!Q$2:Q$801,$W130)="","",INDEX('Per Invoice'!Q$2:Q$801,$W130)))</f>
        <v/>
      </c>
      <c r="R130" s="7">
        <f>IF($W130="","",IF(INDEX('Per Invoice'!R$2:R$801,$W130)="","",INDEX('Per Invoice'!R$2:R$801,$W130)))</f>
        <v/>
      </c>
      <c r="S130" s="7">
        <f>IF($W130="","",IF(INDEX('Per Invoice'!S$2:S$801,$W130)="","",INDEX('Per Invoice'!S$2:S$801,$W130)))</f>
        <v/>
      </c>
      <c r="T130" s="7">
        <f>IF($W130="","",IF(INDEX('Per Invoice'!T$2:T$801,$W130)="","",INDEX('Per Invoice'!T$2:T$801,$W130)))</f>
        <v/>
      </c>
      <c r="U130" s="7">
        <f>IF($W130="","",IF(INDEX('Per Invoice'!U$2:U$801,$W130)="","",INDEX('Per Invoice'!U$2:U$801,$W130)))</f>
        <v/>
      </c>
      <c r="V130" s="7">
        <f>IF($W130="","",IF(INDEX('Per Invoice'!V$2:V$801,$W130)="","",INDEX('Per Invoice'!V$2:V$801,$W130)))</f>
        <v/>
      </c>
      <c r="W130" s="16">
        <f>IFERROR(MATCH(Settings!$C$28&amp;"|"&amp;ROWS($W$2:$W130),'Per Invoice'!$X$2:$X$801,0),"")</f>
        <v/>
      </c>
    </row>
    <row r="131">
      <c r="A131">
        <f>IF($W131="","",IF(INDEX('Per Invoice'!A$2:A$801,$W131)="","",INDEX('Per Invoice'!A$2:A$801,$W131)))</f>
        <v/>
      </c>
      <c r="B131">
        <f>IF($W131="","",IF(INDEX('Per Invoice'!B$2:B$801,$W131)="","",INDEX('Per Invoice'!B$2:B$801,$W131)))</f>
        <v/>
      </c>
      <c r="C131">
        <f>IF($W131="","",IF(INDEX('Per Invoice'!C$2:C$801,$W131)="","",INDEX('Per Invoice'!C$2:C$801,$W131)))</f>
        <v/>
      </c>
      <c r="D131">
        <f>IF($W131="","",IF(INDEX('Per Invoice'!D$2:D$801,$W131)="","",INDEX('Per Invoice'!D$2:D$801,$W131)))</f>
        <v/>
      </c>
      <c r="E131">
        <f>IF($W131="","",IF(INDEX('Per Invoice'!E$2:E$801,$W131)="","",INDEX('Per Invoice'!E$2:E$801,$W131)))</f>
        <v/>
      </c>
      <c r="F131">
        <f>IF($W131="","",IF(INDEX('Per Invoice'!F$2:F$801,$W131)="","",INDEX('Per Invoice'!F$2:F$801,$W131)))</f>
        <v/>
      </c>
      <c r="G131">
        <f>IF($W131="","",IF(INDEX('Per Invoice'!G$2:G$801,$W131)="","",INDEX('Per Invoice'!G$2:G$801,$W131)))</f>
        <v/>
      </c>
      <c r="H131">
        <f>IF($W131="","",IF(INDEX('Per Invoice'!H$2:H$801,$W131)="","",INDEX('Per Invoice'!H$2:H$801,$W131)))</f>
        <v/>
      </c>
      <c r="I131">
        <f>IF($W131="","",IF(INDEX('Per Invoice'!I$2:I$801,$W131)="","",INDEX('Per Invoice'!I$2:I$801,$W131)))</f>
        <v/>
      </c>
      <c r="J131">
        <f>IF($W131="","",IF(INDEX('Per Invoice'!J$2:J$801,$W131)="","",INDEX('Per Invoice'!J$2:J$801,$W131)))</f>
        <v/>
      </c>
      <c r="K131" s="7">
        <f>IF($W131="","",IF(INDEX('Per Invoice'!K$2:K$801,$W131)="","",INDEX('Per Invoice'!K$2:K$801,$W131)))</f>
        <v/>
      </c>
      <c r="L131" s="14">
        <f>IF($W131="","",IF(INDEX('Per Invoice'!L$2:L$801,$W131)="","",INDEX('Per Invoice'!L$2:L$801,$W131)))</f>
        <v/>
      </c>
      <c r="M131">
        <f>IF($W131="","",IF(INDEX('Per Invoice'!M$2:M$801,$W131)="","",INDEX('Per Invoice'!M$2:M$801,$W131)))</f>
        <v/>
      </c>
      <c r="N131" s="7">
        <f>IF($W131="","",IF(INDEX('Per Invoice'!N$2:N$801,$W131)="","",INDEX('Per Invoice'!N$2:N$801,$W131)))</f>
        <v/>
      </c>
      <c r="O131" s="7">
        <f>IF($W131="","",IF(INDEX('Per Invoice'!O$2:O$801,$W131)="","",INDEX('Per Invoice'!O$2:O$801,$W131)))</f>
        <v/>
      </c>
      <c r="P131">
        <f>IF($W131="","",IF(INDEX('Per Invoice'!P$2:P$801,$W131)="","",INDEX('Per Invoice'!P$2:P$801,$W131)))</f>
        <v/>
      </c>
      <c r="Q131" s="7">
        <f>IF($W131="","",IF(INDEX('Per Invoice'!Q$2:Q$801,$W131)="","",INDEX('Per Invoice'!Q$2:Q$801,$W131)))</f>
        <v/>
      </c>
      <c r="R131" s="7">
        <f>IF($W131="","",IF(INDEX('Per Invoice'!R$2:R$801,$W131)="","",INDEX('Per Invoice'!R$2:R$801,$W131)))</f>
        <v/>
      </c>
      <c r="S131" s="7">
        <f>IF($W131="","",IF(INDEX('Per Invoice'!S$2:S$801,$W131)="","",INDEX('Per Invoice'!S$2:S$801,$W131)))</f>
        <v/>
      </c>
      <c r="T131" s="7">
        <f>IF($W131="","",IF(INDEX('Per Invoice'!T$2:T$801,$W131)="","",INDEX('Per Invoice'!T$2:T$801,$W131)))</f>
        <v/>
      </c>
      <c r="U131" s="7">
        <f>IF($W131="","",IF(INDEX('Per Invoice'!U$2:U$801,$W131)="","",INDEX('Per Invoice'!U$2:U$801,$W131)))</f>
        <v/>
      </c>
      <c r="V131" s="7">
        <f>IF($W131="","",IF(INDEX('Per Invoice'!V$2:V$801,$W131)="","",INDEX('Per Invoice'!V$2:V$801,$W131)))</f>
        <v/>
      </c>
      <c r="W131" s="16">
        <f>IFERROR(MATCH(Settings!$C$28&amp;"|"&amp;ROWS($W$2:$W131),'Per Invoice'!$X$2:$X$801,0),"")</f>
        <v/>
      </c>
    </row>
    <row r="132">
      <c r="A132">
        <f>IF($W132="","",IF(INDEX('Per Invoice'!A$2:A$801,$W132)="","",INDEX('Per Invoice'!A$2:A$801,$W132)))</f>
        <v/>
      </c>
      <c r="B132">
        <f>IF($W132="","",IF(INDEX('Per Invoice'!B$2:B$801,$W132)="","",INDEX('Per Invoice'!B$2:B$801,$W132)))</f>
        <v/>
      </c>
      <c r="C132">
        <f>IF($W132="","",IF(INDEX('Per Invoice'!C$2:C$801,$W132)="","",INDEX('Per Invoice'!C$2:C$801,$W132)))</f>
        <v/>
      </c>
      <c r="D132">
        <f>IF($W132="","",IF(INDEX('Per Invoice'!D$2:D$801,$W132)="","",INDEX('Per Invoice'!D$2:D$801,$W132)))</f>
        <v/>
      </c>
      <c r="E132">
        <f>IF($W132="","",IF(INDEX('Per Invoice'!E$2:E$801,$W132)="","",INDEX('Per Invoice'!E$2:E$801,$W132)))</f>
        <v/>
      </c>
      <c r="F132">
        <f>IF($W132="","",IF(INDEX('Per Invoice'!F$2:F$801,$W132)="","",INDEX('Per Invoice'!F$2:F$801,$W132)))</f>
        <v/>
      </c>
      <c r="G132">
        <f>IF($W132="","",IF(INDEX('Per Invoice'!G$2:G$801,$W132)="","",INDEX('Per Invoice'!G$2:G$801,$W132)))</f>
        <v/>
      </c>
      <c r="H132">
        <f>IF($W132="","",IF(INDEX('Per Invoice'!H$2:H$801,$W132)="","",INDEX('Per Invoice'!H$2:H$801,$W132)))</f>
        <v/>
      </c>
      <c r="I132">
        <f>IF($W132="","",IF(INDEX('Per Invoice'!I$2:I$801,$W132)="","",INDEX('Per Invoice'!I$2:I$801,$W132)))</f>
        <v/>
      </c>
      <c r="J132">
        <f>IF($W132="","",IF(INDEX('Per Invoice'!J$2:J$801,$W132)="","",INDEX('Per Invoice'!J$2:J$801,$W132)))</f>
        <v/>
      </c>
      <c r="K132" s="7">
        <f>IF($W132="","",IF(INDEX('Per Invoice'!K$2:K$801,$W132)="","",INDEX('Per Invoice'!K$2:K$801,$W132)))</f>
        <v/>
      </c>
      <c r="L132" s="14">
        <f>IF($W132="","",IF(INDEX('Per Invoice'!L$2:L$801,$W132)="","",INDEX('Per Invoice'!L$2:L$801,$W132)))</f>
        <v/>
      </c>
      <c r="M132">
        <f>IF($W132="","",IF(INDEX('Per Invoice'!M$2:M$801,$W132)="","",INDEX('Per Invoice'!M$2:M$801,$W132)))</f>
        <v/>
      </c>
      <c r="N132" s="7">
        <f>IF($W132="","",IF(INDEX('Per Invoice'!N$2:N$801,$W132)="","",INDEX('Per Invoice'!N$2:N$801,$W132)))</f>
        <v/>
      </c>
      <c r="O132" s="7">
        <f>IF($W132="","",IF(INDEX('Per Invoice'!O$2:O$801,$W132)="","",INDEX('Per Invoice'!O$2:O$801,$W132)))</f>
        <v/>
      </c>
      <c r="P132">
        <f>IF($W132="","",IF(INDEX('Per Invoice'!P$2:P$801,$W132)="","",INDEX('Per Invoice'!P$2:P$801,$W132)))</f>
        <v/>
      </c>
      <c r="Q132" s="7">
        <f>IF($W132="","",IF(INDEX('Per Invoice'!Q$2:Q$801,$W132)="","",INDEX('Per Invoice'!Q$2:Q$801,$W132)))</f>
        <v/>
      </c>
      <c r="R132" s="7">
        <f>IF($W132="","",IF(INDEX('Per Invoice'!R$2:R$801,$W132)="","",INDEX('Per Invoice'!R$2:R$801,$W132)))</f>
        <v/>
      </c>
      <c r="S132" s="7">
        <f>IF($W132="","",IF(INDEX('Per Invoice'!S$2:S$801,$W132)="","",INDEX('Per Invoice'!S$2:S$801,$W132)))</f>
        <v/>
      </c>
      <c r="T132" s="7">
        <f>IF($W132="","",IF(INDEX('Per Invoice'!T$2:T$801,$W132)="","",INDEX('Per Invoice'!T$2:T$801,$W132)))</f>
        <v/>
      </c>
      <c r="U132" s="7">
        <f>IF($W132="","",IF(INDEX('Per Invoice'!U$2:U$801,$W132)="","",INDEX('Per Invoice'!U$2:U$801,$W132)))</f>
        <v/>
      </c>
      <c r="V132" s="7">
        <f>IF($W132="","",IF(INDEX('Per Invoice'!V$2:V$801,$W132)="","",INDEX('Per Invoice'!V$2:V$801,$W132)))</f>
        <v/>
      </c>
      <c r="W132" s="16">
        <f>IFERROR(MATCH(Settings!$C$28&amp;"|"&amp;ROWS($W$2:$W132),'Per Invoice'!$X$2:$X$801,0),"")</f>
        <v/>
      </c>
    </row>
    <row r="133">
      <c r="A133">
        <f>IF($W133="","",IF(INDEX('Per Invoice'!A$2:A$801,$W133)="","",INDEX('Per Invoice'!A$2:A$801,$W133)))</f>
        <v/>
      </c>
      <c r="B133">
        <f>IF($W133="","",IF(INDEX('Per Invoice'!B$2:B$801,$W133)="","",INDEX('Per Invoice'!B$2:B$801,$W133)))</f>
        <v/>
      </c>
      <c r="C133">
        <f>IF($W133="","",IF(INDEX('Per Invoice'!C$2:C$801,$W133)="","",INDEX('Per Invoice'!C$2:C$801,$W133)))</f>
        <v/>
      </c>
      <c r="D133">
        <f>IF($W133="","",IF(INDEX('Per Invoice'!D$2:D$801,$W133)="","",INDEX('Per Invoice'!D$2:D$801,$W133)))</f>
        <v/>
      </c>
      <c r="E133">
        <f>IF($W133="","",IF(INDEX('Per Invoice'!E$2:E$801,$W133)="","",INDEX('Per Invoice'!E$2:E$801,$W133)))</f>
        <v/>
      </c>
      <c r="F133">
        <f>IF($W133="","",IF(INDEX('Per Invoice'!F$2:F$801,$W133)="","",INDEX('Per Invoice'!F$2:F$801,$W133)))</f>
        <v/>
      </c>
      <c r="G133">
        <f>IF($W133="","",IF(INDEX('Per Invoice'!G$2:G$801,$W133)="","",INDEX('Per Invoice'!G$2:G$801,$W133)))</f>
        <v/>
      </c>
      <c r="H133">
        <f>IF($W133="","",IF(INDEX('Per Invoice'!H$2:H$801,$W133)="","",INDEX('Per Invoice'!H$2:H$801,$W133)))</f>
        <v/>
      </c>
      <c r="I133">
        <f>IF($W133="","",IF(INDEX('Per Invoice'!I$2:I$801,$W133)="","",INDEX('Per Invoice'!I$2:I$801,$W133)))</f>
        <v/>
      </c>
      <c r="J133">
        <f>IF($W133="","",IF(INDEX('Per Invoice'!J$2:J$801,$W133)="","",INDEX('Per Invoice'!J$2:J$801,$W133)))</f>
        <v/>
      </c>
      <c r="K133" s="7">
        <f>IF($W133="","",IF(INDEX('Per Invoice'!K$2:K$801,$W133)="","",INDEX('Per Invoice'!K$2:K$801,$W133)))</f>
        <v/>
      </c>
      <c r="L133" s="14">
        <f>IF($W133="","",IF(INDEX('Per Invoice'!L$2:L$801,$W133)="","",INDEX('Per Invoice'!L$2:L$801,$W133)))</f>
        <v/>
      </c>
      <c r="M133">
        <f>IF($W133="","",IF(INDEX('Per Invoice'!M$2:M$801,$W133)="","",INDEX('Per Invoice'!M$2:M$801,$W133)))</f>
        <v/>
      </c>
      <c r="N133" s="7">
        <f>IF($W133="","",IF(INDEX('Per Invoice'!N$2:N$801,$W133)="","",INDEX('Per Invoice'!N$2:N$801,$W133)))</f>
        <v/>
      </c>
      <c r="O133" s="7">
        <f>IF($W133="","",IF(INDEX('Per Invoice'!O$2:O$801,$W133)="","",INDEX('Per Invoice'!O$2:O$801,$W133)))</f>
        <v/>
      </c>
      <c r="P133">
        <f>IF($W133="","",IF(INDEX('Per Invoice'!P$2:P$801,$W133)="","",INDEX('Per Invoice'!P$2:P$801,$W133)))</f>
        <v/>
      </c>
      <c r="Q133" s="7">
        <f>IF($W133="","",IF(INDEX('Per Invoice'!Q$2:Q$801,$W133)="","",INDEX('Per Invoice'!Q$2:Q$801,$W133)))</f>
        <v/>
      </c>
      <c r="R133" s="7">
        <f>IF($W133="","",IF(INDEX('Per Invoice'!R$2:R$801,$W133)="","",INDEX('Per Invoice'!R$2:R$801,$W133)))</f>
        <v/>
      </c>
      <c r="S133" s="7">
        <f>IF($W133="","",IF(INDEX('Per Invoice'!S$2:S$801,$W133)="","",INDEX('Per Invoice'!S$2:S$801,$W133)))</f>
        <v/>
      </c>
      <c r="T133" s="7">
        <f>IF($W133="","",IF(INDEX('Per Invoice'!T$2:T$801,$W133)="","",INDEX('Per Invoice'!T$2:T$801,$W133)))</f>
        <v/>
      </c>
      <c r="U133" s="7">
        <f>IF($W133="","",IF(INDEX('Per Invoice'!U$2:U$801,$W133)="","",INDEX('Per Invoice'!U$2:U$801,$W133)))</f>
        <v/>
      </c>
      <c r="V133" s="7">
        <f>IF($W133="","",IF(INDEX('Per Invoice'!V$2:V$801,$W133)="","",INDEX('Per Invoice'!V$2:V$801,$W133)))</f>
        <v/>
      </c>
      <c r="W133" s="16">
        <f>IFERROR(MATCH(Settings!$C$28&amp;"|"&amp;ROWS($W$2:$W133),'Per Invoice'!$X$2:$X$801,0),"")</f>
        <v/>
      </c>
    </row>
    <row r="134">
      <c r="A134">
        <f>IF($W134="","",IF(INDEX('Per Invoice'!A$2:A$801,$W134)="","",INDEX('Per Invoice'!A$2:A$801,$W134)))</f>
        <v/>
      </c>
      <c r="B134">
        <f>IF($W134="","",IF(INDEX('Per Invoice'!B$2:B$801,$W134)="","",INDEX('Per Invoice'!B$2:B$801,$W134)))</f>
        <v/>
      </c>
      <c r="C134">
        <f>IF($W134="","",IF(INDEX('Per Invoice'!C$2:C$801,$W134)="","",INDEX('Per Invoice'!C$2:C$801,$W134)))</f>
        <v/>
      </c>
      <c r="D134">
        <f>IF($W134="","",IF(INDEX('Per Invoice'!D$2:D$801,$W134)="","",INDEX('Per Invoice'!D$2:D$801,$W134)))</f>
        <v/>
      </c>
      <c r="E134">
        <f>IF($W134="","",IF(INDEX('Per Invoice'!E$2:E$801,$W134)="","",INDEX('Per Invoice'!E$2:E$801,$W134)))</f>
        <v/>
      </c>
      <c r="F134">
        <f>IF($W134="","",IF(INDEX('Per Invoice'!F$2:F$801,$W134)="","",INDEX('Per Invoice'!F$2:F$801,$W134)))</f>
        <v/>
      </c>
      <c r="G134">
        <f>IF($W134="","",IF(INDEX('Per Invoice'!G$2:G$801,$W134)="","",INDEX('Per Invoice'!G$2:G$801,$W134)))</f>
        <v/>
      </c>
      <c r="H134">
        <f>IF($W134="","",IF(INDEX('Per Invoice'!H$2:H$801,$W134)="","",INDEX('Per Invoice'!H$2:H$801,$W134)))</f>
        <v/>
      </c>
      <c r="I134">
        <f>IF($W134="","",IF(INDEX('Per Invoice'!I$2:I$801,$W134)="","",INDEX('Per Invoice'!I$2:I$801,$W134)))</f>
        <v/>
      </c>
      <c r="J134">
        <f>IF($W134="","",IF(INDEX('Per Invoice'!J$2:J$801,$W134)="","",INDEX('Per Invoice'!J$2:J$801,$W134)))</f>
        <v/>
      </c>
      <c r="K134" s="7">
        <f>IF($W134="","",IF(INDEX('Per Invoice'!K$2:K$801,$W134)="","",INDEX('Per Invoice'!K$2:K$801,$W134)))</f>
        <v/>
      </c>
      <c r="L134" s="14">
        <f>IF($W134="","",IF(INDEX('Per Invoice'!L$2:L$801,$W134)="","",INDEX('Per Invoice'!L$2:L$801,$W134)))</f>
        <v/>
      </c>
      <c r="M134">
        <f>IF($W134="","",IF(INDEX('Per Invoice'!M$2:M$801,$W134)="","",INDEX('Per Invoice'!M$2:M$801,$W134)))</f>
        <v/>
      </c>
      <c r="N134" s="7">
        <f>IF($W134="","",IF(INDEX('Per Invoice'!N$2:N$801,$W134)="","",INDEX('Per Invoice'!N$2:N$801,$W134)))</f>
        <v/>
      </c>
      <c r="O134" s="7">
        <f>IF($W134="","",IF(INDEX('Per Invoice'!O$2:O$801,$W134)="","",INDEX('Per Invoice'!O$2:O$801,$W134)))</f>
        <v/>
      </c>
      <c r="P134">
        <f>IF($W134="","",IF(INDEX('Per Invoice'!P$2:P$801,$W134)="","",INDEX('Per Invoice'!P$2:P$801,$W134)))</f>
        <v/>
      </c>
      <c r="Q134" s="7">
        <f>IF($W134="","",IF(INDEX('Per Invoice'!Q$2:Q$801,$W134)="","",INDEX('Per Invoice'!Q$2:Q$801,$W134)))</f>
        <v/>
      </c>
      <c r="R134" s="7">
        <f>IF($W134="","",IF(INDEX('Per Invoice'!R$2:R$801,$W134)="","",INDEX('Per Invoice'!R$2:R$801,$W134)))</f>
        <v/>
      </c>
      <c r="S134" s="7">
        <f>IF($W134="","",IF(INDEX('Per Invoice'!S$2:S$801,$W134)="","",INDEX('Per Invoice'!S$2:S$801,$W134)))</f>
        <v/>
      </c>
      <c r="T134" s="7">
        <f>IF($W134="","",IF(INDEX('Per Invoice'!T$2:T$801,$W134)="","",INDEX('Per Invoice'!T$2:T$801,$W134)))</f>
        <v/>
      </c>
      <c r="U134" s="7">
        <f>IF($W134="","",IF(INDEX('Per Invoice'!U$2:U$801,$W134)="","",INDEX('Per Invoice'!U$2:U$801,$W134)))</f>
        <v/>
      </c>
      <c r="V134" s="7">
        <f>IF($W134="","",IF(INDEX('Per Invoice'!V$2:V$801,$W134)="","",INDEX('Per Invoice'!V$2:V$801,$W134)))</f>
        <v/>
      </c>
      <c r="W134" s="16">
        <f>IFERROR(MATCH(Settings!$C$28&amp;"|"&amp;ROWS($W$2:$W134),'Per Invoice'!$X$2:$X$801,0),"")</f>
        <v/>
      </c>
    </row>
    <row r="135">
      <c r="A135">
        <f>IF($W135="","",IF(INDEX('Per Invoice'!A$2:A$801,$W135)="","",INDEX('Per Invoice'!A$2:A$801,$W135)))</f>
        <v/>
      </c>
      <c r="B135">
        <f>IF($W135="","",IF(INDEX('Per Invoice'!B$2:B$801,$W135)="","",INDEX('Per Invoice'!B$2:B$801,$W135)))</f>
        <v/>
      </c>
      <c r="C135">
        <f>IF($W135="","",IF(INDEX('Per Invoice'!C$2:C$801,$W135)="","",INDEX('Per Invoice'!C$2:C$801,$W135)))</f>
        <v/>
      </c>
      <c r="D135">
        <f>IF($W135="","",IF(INDEX('Per Invoice'!D$2:D$801,$W135)="","",INDEX('Per Invoice'!D$2:D$801,$W135)))</f>
        <v/>
      </c>
      <c r="E135">
        <f>IF($W135="","",IF(INDEX('Per Invoice'!E$2:E$801,$W135)="","",INDEX('Per Invoice'!E$2:E$801,$W135)))</f>
        <v/>
      </c>
      <c r="F135">
        <f>IF($W135="","",IF(INDEX('Per Invoice'!F$2:F$801,$W135)="","",INDEX('Per Invoice'!F$2:F$801,$W135)))</f>
        <v/>
      </c>
      <c r="G135">
        <f>IF($W135="","",IF(INDEX('Per Invoice'!G$2:G$801,$W135)="","",INDEX('Per Invoice'!G$2:G$801,$W135)))</f>
        <v/>
      </c>
      <c r="H135">
        <f>IF($W135="","",IF(INDEX('Per Invoice'!H$2:H$801,$W135)="","",INDEX('Per Invoice'!H$2:H$801,$W135)))</f>
        <v/>
      </c>
      <c r="I135">
        <f>IF($W135="","",IF(INDEX('Per Invoice'!I$2:I$801,$W135)="","",INDEX('Per Invoice'!I$2:I$801,$W135)))</f>
        <v/>
      </c>
      <c r="J135">
        <f>IF($W135="","",IF(INDEX('Per Invoice'!J$2:J$801,$W135)="","",INDEX('Per Invoice'!J$2:J$801,$W135)))</f>
        <v/>
      </c>
      <c r="K135" s="7">
        <f>IF($W135="","",IF(INDEX('Per Invoice'!K$2:K$801,$W135)="","",INDEX('Per Invoice'!K$2:K$801,$W135)))</f>
        <v/>
      </c>
      <c r="L135" s="14">
        <f>IF($W135="","",IF(INDEX('Per Invoice'!L$2:L$801,$W135)="","",INDEX('Per Invoice'!L$2:L$801,$W135)))</f>
        <v/>
      </c>
      <c r="M135">
        <f>IF($W135="","",IF(INDEX('Per Invoice'!M$2:M$801,$W135)="","",INDEX('Per Invoice'!M$2:M$801,$W135)))</f>
        <v/>
      </c>
      <c r="N135" s="7">
        <f>IF($W135="","",IF(INDEX('Per Invoice'!N$2:N$801,$W135)="","",INDEX('Per Invoice'!N$2:N$801,$W135)))</f>
        <v/>
      </c>
      <c r="O135" s="7">
        <f>IF($W135="","",IF(INDEX('Per Invoice'!O$2:O$801,$W135)="","",INDEX('Per Invoice'!O$2:O$801,$W135)))</f>
        <v/>
      </c>
      <c r="P135">
        <f>IF($W135="","",IF(INDEX('Per Invoice'!P$2:P$801,$W135)="","",INDEX('Per Invoice'!P$2:P$801,$W135)))</f>
        <v/>
      </c>
      <c r="Q135" s="7">
        <f>IF($W135="","",IF(INDEX('Per Invoice'!Q$2:Q$801,$W135)="","",INDEX('Per Invoice'!Q$2:Q$801,$W135)))</f>
        <v/>
      </c>
      <c r="R135" s="7">
        <f>IF($W135="","",IF(INDEX('Per Invoice'!R$2:R$801,$W135)="","",INDEX('Per Invoice'!R$2:R$801,$W135)))</f>
        <v/>
      </c>
      <c r="S135" s="7">
        <f>IF($W135="","",IF(INDEX('Per Invoice'!S$2:S$801,$W135)="","",INDEX('Per Invoice'!S$2:S$801,$W135)))</f>
        <v/>
      </c>
      <c r="T135" s="7">
        <f>IF($W135="","",IF(INDEX('Per Invoice'!T$2:T$801,$W135)="","",INDEX('Per Invoice'!T$2:T$801,$W135)))</f>
        <v/>
      </c>
      <c r="U135" s="7">
        <f>IF($W135="","",IF(INDEX('Per Invoice'!U$2:U$801,$W135)="","",INDEX('Per Invoice'!U$2:U$801,$W135)))</f>
        <v/>
      </c>
      <c r="V135" s="7">
        <f>IF($W135="","",IF(INDEX('Per Invoice'!V$2:V$801,$W135)="","",INDEX('Per Invoice'!V$2:V$801,$W135)))</f>
        <v/>
      </c>
      <c r="W135" s="16">
        <f>IFERROR(MATCH(Settings!$C$28&amp;"|"&amp;ROWS($W$2:$W135),'Per Invoice'!$X$2:$X$801,0),"")</f>
        <v/>
      </c>
    </row>
    <row r="136">
      <c r="A136">
        <f>IF($W136="","",IF(INDEX('Per Invoice'!A$2:A$801,$W136)="","",INDEX('Per Invoice'!A$2:A$801,$W136)))</f>
        <v/>
      </c>
      <c r="B136">
        <f>IF($W136="","",IF(INDEX('Per Invoice'!B$2:B$801,$W136)="","",INDEX('Per Invoice'!B$2:B$801,$W136)))</f>
        <v/>
      </c>
      <c r="C136">
        <f>IF($W136="","",IF(INDEX('Per Invoice'!C$2:C$801,$W136)="","",INDEX('Per Invoice'!C$2:C$801,$W136)))</f>
        <v/>
      </c>
      <c r="D136">
        <f>IF($W136="","",IF(INDEX('Per Invoice'!D$2:D$801,$W136)="","",INDEX('Per Invoice'!D$2:D$801,$W136)))</f>
        <v/>
      </c>
      <c r="E136">
        <f>IF($W136="","",IF(INDEX('Per Invoice'!E$2:E$801,$W136)="","",INDEX('Per Invoice'!E$2:E$801,$W136)))</f>
        <v/>
      </c>
      <c r="F136">
        <f>IF($W136="","",IF(INDEX('Per Invoice'!F$2:F$801,$W136)="","",INDEX('Per Invoice'!F$2:F$801,$W136)))</f>
        <v/>
      </c>
      <c r="G136">
        <f>IF($W136="","",IF(INDEX('Per Invoice'!G$2:G$801,$W136)="","",INDEX('Per Invoice'!G$2:G$801,$W136)))</f>
        <v/>
      </c>
      <c r="H136">
        <f>IF($W136="","",IF(INDEX('Per Invoice'!H$2:H$801,$W136)="","",INDEX('Per Invoice'!H$2:H$801,$W136)))</f>
        <v/>
      </c>
      <c r="I136">
        <f>IF($W136="","",IF(INDEX('Per Invoice'!I$2:I$801,$W136)="","",INDEX('Per Invoice'!I$2:I$801,$W136)))</f>
        <v/>
      </c>
      <c r="J136">
        <f>IF($W136="","",IF(INDEX('Per Invoice'!J$2:J$801,$W136)="","",INDEX('Per Invoice'!J$2:J$801,$W136)))</f>
        <v/>
      </c>
      <c r="K136" s="7">
        <f>IF($W136="","",IF(INDEX('Per Invoice'!K$2:K$801,$W136)="","",INDEX('Per Invoice'!K$2:K$801,$W136)))</f>
        <v/>
      </c>
      <c r="L136" s="14">
        <f>IF($W136="","",IF(INDEX('Per Invoice'!L$2:L$801,$W136)="","",INDEX('Per Invoice'!L$2:L$801,$W136)))</f>
        <v/>
      </c>
      <c r="M136">
        <f>IF($W136="","",IF(INDEX('Per Invoice'!M$2:M$801,$W136)="","",INDEX('Per Invoice'!M$2:M$801,$W136)))</f>
        <v/>
      </c>
      <c r="N136" s="7">
        <f>IF($W136="","",IF(INDEX('Per Invoice'!N$2:N$801,$W136)="","",INDEX('Per Invoice'!N$2:N$801,$W136)))</f>
        <v/>
      </c>
      <c r="O136" s="7">
        <f>IF($W136="","",IF(INDEX('Per Invoice'!O$2:O$801,$W136)="","",INDEX('Per Invoice'!O$2:O$801,$W136)))</f>
        <v/>
      </c>
      <c r="P136">
        <f>IF($W136="","",IF(INDEX('Per Invoice'!P$2:P$801,$W136)="","",INDEX('Per Invoice'!P$2:P$801,$W136)))</f>
        <v/>
      </c>
      <c r="Q136" s="7">
        <f>IF($W136="","",IF(INDEX('Per Invoice'!Q$2:Q$801,$W136)="","",INDEX('Per Invoice'!Q$2:Q$801,$W136)))</f>
        <v/>
      </c>
      <c r="R136" s="7">
        <f>IF($W136="","",IF(INDEX('Per Invoice'!R$2:R$801,$W136)="","",INDEX('Per Invoice'!R$2:R$801,$W136)))</f>
        <v/>
      </c>
      <c r="S136" s="7">
        <f>IF($W136="","",IF(INDEX('Per Invoice'!S$2:S$801,$W136)="","",INDEX('Per Invoice'!S$2:S$801,$W136)))</f>
        <v/>
      </c>
      <c r="T136" s="7">
        <f>IF($W136="","",IF(INDEX('Per Invoice'!T$2:T$801,$W136)="","",INDEX('Per Invoice'!T$2:T$801,$W136)))</f>
        <v/>
      </c>
      <c r="U136" s="7">
        <f>IF($W136="","",IF(INDEX('Per Invoice'!U$2:U$801,$W136)="","",INDEX('Per Invoice'!U$2:U$801,$W136)))</f>
        <v/>
      </c>
      <c r="V136" s="7">
        <f>IF($W136="","",IF(INDEX('Per Invoice'!V$2:V$801,$W136)="","",INDEX('Per Invoice'!V$2:V$801,$W136)))</f>
        <v/>
      </c>
      <c r="W136" s="16">
        <f>IFERROR(MATCH(Settings!$C$28&amp;"|"&amp;ROWS($W$2:$W136),'Per Invoice'!$X$2:$X$801,0),"")</f>
        <v/>
      </c>
    </row>
    <row r="137">
      <c r="A137">
        <f>IF($W137="","",IF(INDEX('Per Invoice'!A$2:A$801,$W137)="","",INDEX('Per Invoice'!A$2:A$801,$W137)))</f>
        <v/>
      </c>
      <c r="B137">
        <f>IF($W137="","",IF(INDEX('Per Invoice'!B$2:B$801,$W137)="","",INDEX('Per Invoice'!B$2:B$801,$W137)))</f>
        <v/>
      </c>
      <c r="C137">
        <f>IF($W137="","",IF(INDEX('Per Invoice'!C$2:C$801,$W137)="","",INDEX('Per Invoice'!C$2:C$801,$W137)))</f>
        <v/>
      </c>
      <c r="D137">
        <f>IF($W137="","",IF(INDEX('Per Invoice'!D$2:D$801,$W137)="","",INDEX('Per Invoice'!D$2:D$801,$W137)))</f>
        <v/>
      </c>
      <c r="E137">
        <f>IF($W137="","",IF(INDEX('Per Invoice'!E$2:E$801,$W137)="","",INDEX('Per Invoice'!E$2:E$801,$W137)))</f>
        <v/>
      </c>
      <c r="F137">
        <f>IF($W137="","",IF(INDEX('Per Invoice'!F$2:F$801,$W137)="","",INDEX('Per Invoice'!F$2:F$801,$W137)))</f>
        <v/>
      </c>
      <c r="G137">
        <f>IF($W137="","",IF(INDEX('Per Invoice'!G$2:G$801,$W137)="","",INDEX('Per Invoice'!G$2:G$801,$W137)))</f>
        <v/>
      </c>
      <c r="H137">
        <f>IF($W137="","",IF(INDEX('Per Invoice'!H$2:H$801,$W137)="","",INDEX('Per Invoice'!H$2:H$801,$W137)))</f>
        <v/>
      </c>
      <c r="I137">
        <f>IF($W137="","",IF(INDEX('Per Invoice'!I$2:I$801,$W137)="","",INDEX('Per Invoice'!I$2:I$801,$W137)))</f>
        <v/>
      </c>
      <c r="J137">
        <f>IF($W137="","",IF(INDEX('Per Invoice'!J$2:J$801,$W137)="","",INDEX('Per Invoice'!J$2:J$801,$W137)))</f>
        <v/>
      </c>
      <c r="K137" s="7">
        <f>IF($W137="","",IF(INDEX('Per Invoice'!K$2:K$801,$W137)="","",INDEX('Per Invoice'!K$2:K$801,$W137)))</f>
        <v/>
      </c>
      <c r="L137" s="14">
        <f>IF($W137="","",IF(INDEX('Per Invoice'!L$2:L$801,$W137)="","",INDEX('Per Invoice'!L$2:L$801,$W137)))</f>
        <v/>
      </c>
      <c r="M137">
        <f>IF($W137="","",IF(INDEX('Per Invoice'!M$2:M$801,$W137)="","",INDEX('Per Invoice'!M$2:M$801,$W137)))</f>
        <v/>
      </c>
      <c r="N137" s="7">
        <f>IF($W137="","",IF(INDEX('Per Invoice'!N$2:N$801,$W137)="","",INDEX('Per Invoice'!N$2:N$801,$W137)))</f>
        <v/>
      </c>
      <c r="O137" s="7">
        <f>IF($W137="","",IF(INDEX('Per Invoice'!O$2:O$801,$W137)="","",INDEX('Per Invoice'!O$2:O$801,$W137)))</f>
        <v/>
      </c>
      <c r="P137">
        <f>IF($W137="","",IF(INDEX('Per Invoice'!P$2:P$801,$W137)="","",INDEX('Per Invoice'!P$2:P$801,$W137)))</f>
        <v/>
      </c>
      <c r="Q137" s="7">
        <f>IF($W137="","",IF(INDEX('Per Invoice'!Q$2:Q$801,$W137)="","",INDEX('Per Invoice'!Q$2:Q$801,$W137)))</f>
        <v/>
      </c>
      <c r="R137" s="7">
        <f>IF($W137="","",IF(INDEX('Per Invoice'!R$2:R$801,$W137)="","",INDEX('Per Invoice'!R$2:R$801,$W137)))</f>
        <v/>
      </c>
      <c r="S137" s="7">
        <f>IF($W137="","",IF(INDEX('Per Invoice'!S$2:S$801,$W137)="","",INDEX('Per Invoice'!S$2:S$801,$W137)))</f>
        <v/>
      </c>
      <c r="T137" s="7">
        <f>IF($W137="","",IF(INDEX('Per Invoice'!T$2:T$801,$W137)="","",INDEX('Per Invoice'!T$2:T$801,$W137)))</f>
        <v/>
      </c>
      <c r="U137" s="7">
        <f>IF($W137="","",IF(INDEX('Per Invoice'!U$2:U$801,$W137)="","",INDEX('Per Invoice'!U$2:U$801,$W137)))</f>
        <v/>
      </c>
      <c r="V137" s="7">
        <f>IF($W137="","",IF(INDEX('Per Invoice'!V$2:V$801,$W137)="","",INDEX('Per Invoice'!V$2:V$801,$W137)))</f>
        <v/>
      </c>
      <c r="W137" s="16">
        <f>IFERROR(MATCH(Settings!$C$28&amp;"|"&amp;ROWS($W$2:$W137),'Per Invoice'!$X$2:$X$801,0),"")</f>
        <v/>
      </c>
    </row>
    <row r="138">
      <c r="A138">
        <f>IF($W138="","",IF(INDEX('Per Invoice'!A$2:A$801,$W138)="","",INDEX('Per Invoice'!A$2:A$801,$W138)))</f>
        <v/>
      </c>
      <c r="B138">
        <f>IF($W138="","",IF(INDEX('Per Invoice'!B$2:B$801,$W138)="","",INDEX('Per Invoice'!B$2:B$801,$W138)))</f>
        <v/>
      </c>
      <c r="C138">
        <f>IF($W138="","",IF(INDEX('Per Invoice'!C$2:C$801,$W138)="","",INDEX('Per Invoice'!C$2:C$801,$W138)))</f>
        <v/>
      </c>
      <c r="D138">
        <f>IF($W138="","",IF(INDEX('Per Invoice'!D$2:D$801,$W138)="","",INDEX('Per Invoice'!D$2:D$801,$W138)))</f>
        <v/>
      </c>
      <c r="E138">
        <f>IF($W138="","",IF(INDEX('Per Invoice'!E$2:E$801,$W138)="","",INDEX('Per Invoice'!E$2:E$801,$W138)))</f>
        <v/>
      </c>
      <c r="F138">
        <f>IF($W138="","",IF(INDEX('Per Invoice'!F$2:F$801,$W138)="","",INDEX('Per Invoice'!F$2:F$801,$W138)))</f>
        <v/>
      </c>
      <c r="G138">
        <f>IF($W138="","",IF(INDEX('Per Invoice'!G$2:G$801,$W138)="","",INDEX('Per Invoice'!G$2:G$801,$W138)))</f>
        <v/>
      </c>
      <c r="H138">
        <f>IF($W138="","",IF(INDEX('Per Invoice'!H$2:H$801,$W138)="","",INDEX('Per Invoice'!H$2:H$801,$W138)))</f>
        <v/>
      </c>
      <c r="I138">
        <f>IF($W138="","",IF(INDEX('Per Invoice'!I$2:I$801,$W138)="","",INDEX('Per Invoice'!I$2:I$801,$W138)))</f>
        <v/>
      </c>
      <c r="J138">
        <f>IF($W138="","",IF(INDEX('Per Invoice'!J$2:J$801,$W138)="","",INDEX('Per Invoice'!J$2:J$801,$W138)))</f>
        <v/>
      </c>
      <c r="K138" s="7">
        <f>IF($W138="","",IF(INDEX('Per Invoice'!K$2:K$801,$W138)="","",INDEX('Per Invoice'!K$2:K$801,$W138)))</f>
        <v/>
      </c>
      <c r="L138" s="14">
        <f>IF($W138="","",IF(INDEX('Per Invoice'!L$2:L$801,$W138)="","",INDEX('Per Invoice'!L$2:L$801,$W138)))</f>
        <v/>
      </c>
      <c r="M138">
        <f>IF($W138="","",IF(INDEX('Per Invoice'!M$2:M$801,$W138)="","",INDEX('Per Invoice'!M$2:M$801,$W138)))</f>
        <v/>
      </c>
      <c r="N138" s="7">
        <f>IF($W138="","",IF(INDEX('Per Invoice'!N$2:N$801,$W138)="","",INDEX('Per Invoice'!N$2:N$801,$W138)))</f>
        <v/>
      </c>
      <c r="O138" s="7">
        <f>IF($W138="","",IF(INDEX('Per Invoice'!O$2:O$801,$W138)="","",INDEX('Per Invoice'!O$2:O$801,$W138)))</f>
        <v/>
      </c>
      <c r="P138">
        <f>IF($W138="","",IF(INDEX('Per Invoice'!P$2:P$801,$W138)="","",INDEX('Per Invoice'!P$2:P$801,$W138)))</f>
        <v/>
      </c>
      <c r="Q138" s="7">
        <f>IF($W138="","",IF(INDEX('Per Invoice'!Q$2:Q$801,$W138)="","",INDEX('Per Invoice'!Q$2:Q$801,$W138)))</f>
        <v/>
      </c>
      <c r="R138" s="7">
        <f>IF($W138="","",IF(INDEX('Per Invoice'!R$2:R$801,$W138)="","",INDEX('Per Invoice'!R$2:R$801,$W138)))</f>
        <v/>
      </c>
      <c r="S138" s="7">
        <f>IF($W138="","",IF(INDEX('Per Invoice'!S$2:S$801,$W138)="","",INDEX('Per Invoice'!S$2:S$801,$W138)))</f>
        <v/>
      </c>
      <c r="T138" s="7">
        <f>IF($W138="","",IF(INDEX('Per Invoice'!T$2:T$801,$W138)="","",INDEX('Per Invoice'!T$2:T$801,$W138)))</f>
        <v/>
      </c>
      <c r="U138" s="7">
        <f>IF($W138="","",IF(INDEX('Per Invoice'!U$2:U$801,$W138)="","",INDEX('Per Invoice'!U$2:U$801,$W138)))</f>
        <v/>
      </c>
      <c r="V138" s="7">
        <f>IF($W138="","",IF(INDEX('Per Invoice'!V$2:V$801,$W138)="","",INDEX('Per Invoice'!V$2:V$801,$W138)))</f>
        <v/>
      </c>
      <c r="W138" s="16">
        <f>IFERROR(MATCH(Settings!$C$28&amp;"|"&amp;ROWS($W$2:$W138),'Per Invoice'!$X$2:$X$801,0),"")</f>
        <v/>
      </c>
    </row>
    <row r="139">
      <c r="A139">
        <f>IF($W139="","",IF(INDEX('Per Invoice'!A$2:A$801,$W139)="","",INDEX('Per Invoice'!A$2:A$801,$W139)))</f>
        <v/>
      </c>
      <c r="B139">
        <f>IF($W139="","",IF(INDEX('Per Invoice'!B$2:B$801,$W139)="","",INDEX('Per Invoice'!B$2:B$801,$W139)))</f>
        <v/>
      </c>
      <c r="C139">
        <f>IF($W139="","",IF(INDEX('Per Invoice'!C$2:C$801,$W139)="","",INDEX('Per Invoice'!C$2:C$801,$W139)))</f>
        <v/>
      </c>
      <c r="D139">
        <f>IF($W139="","",IF(INDEX('Per Invoice'!D$2:D$801,$W139)="","",INDEX('Per Invoice'!D$2:D$801,$W139)))</f>
        <v/>
      </c>
      <c r="E139">
        <f>IF($W139="","",IF(INDEX('Per Invoice'!E$2:E$801,$W139)="","",INDEX('Per Invoice'!E$2:E$801,$W139)))</f>
        <v/>
      </c>
      <c r="F139">
        <f>IF($W139="","",IF(INDEX('Per Invoice'!F$2:F$801,$W139)="","",INDEX('Per Invoice'!F$2:F$801,$W139)))</f>
        <v/>
      </c>
      <c r="G139">
        <f>IF($W139="","",IF(INDEX('Per Invoice'!G$2:G$801,$W139)="","",INDEX('Per Invoice'!G$2:G$801,$W139)))</f>
        <v/>
      </c>
      <c r="H139">
        <f>IF($W139="","",IF(INDEX('Per Invoice'!H$2:H$801,$W139)="","",INDEX('Per Invoice'!H$2:H$801,$W139)))</f>
        <v/>
      </c>
      <c r="I139">
        <f>IF($W139="","",IF(INDEX('Per Invoice'!I$2:I$801,$W139)="","",INDEX('Per Invoice'!I$2:I$801,$W139)))</f>
        <v/>
      </c>
      <c r="J139">
        <f>IF($W139="","",IF(INDEX('Per Invoice'!J$2:J$801,$W139)="","",INDEX('Per Invoice'!J$2:J$801,$W139)))</f>
        <v/>
      </c>
      <c r="K139" s="7">
        <f>IF($W139="","",IF(INDEX('Per Invoice'!K$2:K$801,$W139)="","",INDEX('Per Invoice'!K$2:K$801,$W139)))</f>
        <v/>
      </c>
      <c r="L139" s="14">
        <f>IF($W139="","",IF(INDEX('Per Invoice'!L$2:L$801,$W139)="","",INDEX('Per Invoice'!L$2:L$801,$W139)))</f>
        <v/>
      </c>
      <c r="M139">
        <f>IF($W139="","",IF(INDEX('Per Invoice'!M$2:M$801,$W139)="","",INDEX('Per Invoice'!M$2:M$801,$W139)))</f>
        <v/>
      </c>
      <c r="N139" s="7">
        <f>IF($W139="","",IF(INDEX('Per Invoice'!N$2:N$801,$W139)="","",INDEX('Per Invoice'!N$2:N$801,$W139)))</f>
        <v/>
      </c>
      <c r="O139" s="7">
        <f>IF($W139="","",IF(INDEX('Per Invoice'!O$2:O$801,$W139)="","",INDEX('Per Invoice'!O$2:O$801,$W139)))</f>
        <v/>
      </c>
      <c r="P139">
        <f>IF($W139="","",IF(INDEX('Per Invoice'!P$2:P$801,$W139)="","",INDEX('Per Invoice'!P$2:P$801,$W139)))</f>
        <v/>
      </c>
      <c r="Q139" s="7">
        <f>IF($W139="","",IF(INDEX('Per Invoice'!Q$2:Q$801,$W139)="","",INDEX('Per Invoice'!Q$2:Q$801,$W139)))</f>
        <v/>
      </c>
      <c r="R139" s="7">
        <f>IF($W139="","",IF(INDEX('Per Invoice'!R$2:R$801,$W139)="","",INDEX('Per Invoice'!R$2:R$801,$W139)))</f>
        <v/>
      </c>
      <c r="S139" s="7">
        <f>IF($W139="","",IF(INDEX('Per Invoice'!S$2:S$801,$W139)="","",INDEX('Per Invoice'!S$2:S$801,$W139)))</f>
        <v/>
      </c>
      <c r="T139" s="7">
        <f>IF($W139="","",IF(INDEX('Per Invoice'!T$2:T$801,$W139)="","",INDEX('Per Invoice'!T$2:T$801,$W139)))</f>
        <v/>
      </c>
      <c r="U139" s="7">
        <f>IF($W139="","",IF(INDEX('Per Invoice'!U$2:U$801,$W139)="","",INDEX('Per Invoice'!U$2:U$801,$W139)))</f>
        <v/>
      </c>
      <c r="V139" s="7">
        <f>IF($W139="","",IF(INDEX('Per Invoice'!V$2:V$801,$W139)="","",INDEX('Per Invoice'!V$2:V$801,$W139)))</f>
        <v/>
      </c>
      <c r="W139" s="16">
        <f>IFERROR(MATCH(Settings!$C$28&amp;"|"&amp;ROWS($W$2:$W139),'Per Invoice'!$X$2:$X$801,0),"")</f>
        <v/>
      </c>
    </row>
    <row r="140">
      <c r="A140">
        <f>IF($W140="","",IF(INDEX('Per Invoice'!A$2:A$801,$W140)="","",INDEX('Per Invoice'!A$2:A$801,$W140)))</f>
        <v/>
      </c>
      <c r="B140">
        <f>IF($W140="","",IF(INDEX('Per Invoice'!B$2:B$801,$W140)="","",INDEX('Per Invoice'!B$2:B$801,$W140)))</f>
        <v/>
      </c>
      <c r="C140">
        <f>IF($W140="","",IF(INDEX('Per Invoice'!C$2:C$801,$W140)="","",INDEX('Per Invoice'!C$2:C$801,$W140)))</f>
        <v/>
      </c>
      <c r="D140">
        <f>IF($W140="","",IF(INDEX('Per Invoice'!D$2:D$801,$W140)="","",INDEX('Per Invoice'!D$2:D$801,$W140)))</f>
        <v/>
      </c>
      <c r="E140">
        <f>IF($W140="","",IF(INDEX('Per Invoice'!E$2:E$801,$W140)="","",INDEX('Per Invoice'!E$2:E$801,$W140)))</f>
        <v/>
      </c>
      <c r="F140">
        <f>IF($W140="","",IF(INDEX('Per Invoice'!F$2:F$801,$W140)="","",INDEX('Per Invoice'!F$2:F$801,$W140)))</f>
        <v/>
      </c>
      <c r="G140">
        <f>IF($W140="","",IF(INDEX('Per Invoice'!G$2:G$801,$W140)="","",INDEX('Per Invoice'!G$2:G$801,$W140)))</f>
        <v/>
      </c>
      <c r="H140">
        <f>IF($W140="","",IF(INDEX('Per Invoice'!H$2:H$801,$W140)="","",INDEX('Per Invoice'!H$2:H$801,$W140)))</f>
        <v/>
      </c>
      <c r="I140">
        <f>IF($W140="","",IF(INDEX('Per Invoice'!I$2:I$801,$W140)="","",INDEX('Per Invoice'!I$2:I$801,$W140)))</f>
        <v/>
      </c>
      <c r="J140">
        <f>IF($W140="","",IF(INDEX('Per Invoice'!J$2:J$801,$W140)="","",INDEX('Per Invoice'!J$2:J$801,$W140)))</f>
        <v/>
      </c>
      <c r="K140" s="7">
        <f>IF($W140="","",IF(INDEX('Per Invoice'!K$2:K$801,$W140)="","",INDEX('Per Invoice'!K$2:K$801,$W140)))</f>
        <v/>
      </c>
      <c r="L140" s="14">
        <f>IF($W140="","",IF(INDEX('Per Invoice'!L$2:L$801,$W140)="","",INDEX('Per Invoice'!L$2:L$801,$W140)))</f>
        <v/>
      </c>
      <c r="M140">
        <f>IF($W140="","",IF(INDEX('Per Invoice'!M$2:M$801,$W140)="","",INDEX('Per Invoice'!M$2:M$801,$W140)))</f>
        <v/>
      </c>
      <c r="N140" s="7">
        <f>IF($W140="","",IF(INDEX('Per Invoice'!N$2:N$801,$W140)="","",INDEX('Per Invoice'!N$2:N$801,$W140)))</f>
        <v/>
      </c>
      <c r="O140" s="7">
        <f>IF($W140="","",IF(INDEX('Per Invoice'!O$2:O$801,$W140)="","",INDEX('Per Invoice'!O$2:O$801,$W140)))</f>
        <v/>
      </c>
      <c r="P140">
        <f>IF($W140="","",IF(INDEX('Per Invoice'!P$2:P$801,$W140)="","",INDEX('Per Invoice'!P$2:P$801,$W140)))</f>
        <v/>
      </c>
      <c r="Q140" s="7">
        <f>IF($W140="","",IF(INDEX('Per Invoice'!Q$2:Q$801,$W140)="","",INDEX('Per Invoice'!Q$2:Q$801,$W140)))</f>
        <v/>
      </c>
      <c r="R140" s="7">
        <f>IF($W140="","",IF(INDEX('Per Invoice'!R$2:R$801,$W140)="","",INDEX('Per Invoice'!R$2:R$801,$W140)))</f>
        <v/>
      </c>
      <c r="S140" s="7">
        <f>IF($W140="","",IF(INDEX('Per Invoice'!S$2:S$801,$W140)="","",INDEX('Per Invoice'!S$2:S$801,$W140)))</f>
        <v/>
      </c>
      <c r="T140" s="7">
        <f>IF($W140="","",IF(INDEX('Per Invoice'!T$2:T$801,$W140)="","",INDEX('Per Invoice'!T$2:T$801,$W140)))</f>
        <v/>
      </c>
      <c r="U140" s="7">
        <f>IF($W140="","",IF(INDEX('Per Invoice'!U$2:U$801,$W140)="","",INDEX('Per Invoice'!U$2:U$801,$W140)))</f>
        <v/>
      </c>
      <c r="V140" s="7">
        <f>IF($W140="","",IF(INDEX('Per Invoice'!V$2:V$801,$W140)="","",INDEX('Per Invoice'!V$2:V$801,$W140)))</f>
        <v/>
      </c>
      <c r="W140" s="16">
        <f>IFERROR(MATCH(Settings!$C$28&amp;"|"&amp;ROWS($W$2:$W140),'Per Invoice'!$X$2:$X$801,0),"")</f>
        <v/>
      </c>
    </row>
    <row r="141">
      <c r="A141">
        <f>IF($W141="","",IF(INDEX('Per Invoice'!A$2:A$801,$W141)="","",INDEX('Per Invoice'!A$2:A$801,$W141)))</f>
        <v/>
      </c>
      <c r="B141">
        <f>IF($W141="","",IF(INDEX('Per Invoice'!B$2:B$801,$W141)="","",INDEX('Per Invoice'!B$2:B$801,$W141)))</f>
        <v/>
      </c>
      <c r="C141">
        <f>IF($W141="","",IF(INDEX('Per Invoice'!C$2:C$801,$W141)="","",INDEX('Per Invoice'!C$2:C$801,$W141)))</f>
        <v/>
      </c>
      <c r="D141">
        <f>IF($W141="","",IF(INDEX('Per Invoice'!D$2:D$801,$W141)="","",INDEX('Per Invoice'!D$2:D$801,$W141)))</f>
        <v/>
      </c>
      <c r="E141">
        <f>IF($W141="","",IF(INDEX('Per Invoice'!E$2:E$801,$W141)="","",INDEX('Per Invoice'!E$2:E$801,$W141)))</f>
        <v/>
      </c>
      <c r="F141">
        <f>IF($W141="","",IF(INDEX('Per Invoice'!F$2:F$801,$W141)="","",INDEX('Per Invoice'!F$2:F$801,$W141)))</f>
        <v/>
      </c>
      <c r="G141">
        <f>IF($W141="","",IF(INDEX('Per Invoice'!G$2:G$801,$W141)="","",INDEX('Per Invoice'!G$2:G$801,$W141)))</f>
        <v/>
      </c>
      <c r="H141">
        <f>IF($W141="","",IF(INDEX('Per Invoice'!H$2:H$801,$W141)="","",INDEX('Per Invoice'!H$2:H$801,$W141)))</f>
        <v/>
      </c>
      <c r="I141">
        <f>IF($W141="","",IF(INDEX('Per Invoice'!I$2:I$801,$W141)="","",INDEX('Per Invoice'!I$2:I$801,$W141)))</f>
        <v/>
      </c>
      <c r="J141">
        <f>IF($W141="","",IF(INDEX('Per Invoice'!J$2:J$801,$W141)="","",INDEX('Per Invoice'!J$2:J$801,$W141)))</f>
        <v/>
      </c>
      <c r="K141" s="7">
        <f>IF($W141="","",IF(INDEX('Per Invoice'!K$2:K$801,$W141)="","",INDEX('Per Invoice'!K$2:K$801,$W141)))</f>
        <v/>
      </c>
      <c r="L141" s="14">
        <f>IF($W141="","",IF(INDEX('Per Invoice'!L$2:L$801,$W141)="","",INDEX('Per Invoice'!L$2:L$801,$W141)))</f>
        <v/>
      </c>
      <c r="M141">
        <f>IF($W141="","",IF(INDEX('Per Invoice'!M$2:M$801,$W141)="","",INDEX('Per Invoice'!M$2:M$801,$W141)))</f>
        <v/>
      </c>
      <c r="N141" s="7">
        <f>IF($W141="","",IF(INDEX('Per Invoice'!N$2:N$801,$W141)="","",INDEX('Per Invoice'!N$2:N$801,$W141)))</f>
        <v/>
      </c>
      <c r="O141" s="7">
        <f>IF($W141="","",IF(INDEX('Per Invoice'!O$2:O$801,$W141)="","",INDEX('Per Invoice'!O$2:O$801,$W141)))</f>
        <v/>
      </c>
      <c r="P141">
        <f>IF($W141="","",IF(INDEX('Per Invoice'!P$2:P$801,$W141)="","",INDEX('Per Invoice'!P$2:P$801,$W141)))</f>
        <v/>
      </c>
      <c r="Q141" s="7">
        <f>IF($W141="","",IF(INDEX('Per Invoice'!Q$2:Q$801,$W141)="","",INDEX('Per Invoice'!Q$2:Q$801,$W141)))</f>
        <v/>
      </c>
      <c r="R141" s="7">
        <f>IF($W141="","",IF(INDEX('Per Invoice'!R$2:R$801,$W141)="","",INDEX('Per Invoice'!R$2:R$801,$W141)))</f>
        <v/>
      </c>
      <c r="S141" s="7">
        <f>IF($W141="","",IF(INDEX('Per Invoice'!S$2:S$801,$W141)="","",INDEX('Per Invoice'!S$2:S$801,$W141)))</f>
        <v/>
      </c>
      <c r="T141" s="7">
        <f>IF($W141="","",IF(INDEX('Per Invoice'!T$2:T$801,$W141)="","",INDEX('Per Invoice'!T$2:T$801,$W141)))</f>
        <v/>
      </c>
      <c r="U141" s="7">
        <f>IF($W141="","",IF(INDEX('Per Invoice'!U$2:U$801,$W141)="","",INDEX('Per Invoice'!U$2:U$801,$W141)))</f>
        <v/>
      </c>
      <c r="V141" s="7">
        <f>IF($W141="","",IF(INDEX('Per Invoice'!V$2:V$801,$W141)="","",INDEX('Per Invoice'!V$2:V$801,$W141)))</f>
        <v/>
      </c>
      <c r="W141" s="16">
        <f>IFERROR(MATCH(Settings!$C$28&amp;"|"&amp;ROWS($W$2:$W141),'Per Invoice'!$X$2:$X$801,0),"")</f>
        <v/>
      </c>
    </row>
    <row r="142">
      <c r="A142">
        <f>IF($W142="","",IF(INDEX('Per Invoice'!A$2:A$801,$W142)="","",INDEX('Per Invoice'!A$2:A$801,$W142)))</f>
        <v/>
      </c>
      <c r="B142">
        <f>IF($W142="","",IF(INDEX('Per Invoice'!B$2:B$801,$W142)="","",INDEX('Per Invoice'!B$2:B$801,$W142)))</f>
        <v/>
      </c>
      <c r="C142">
        <f>IF($W142="","",IF(INDEX('Per Invoice'!C$2:C$801,$W142)="","",INDEX('Per Invoice'!C$2:C$801,$W142)))</f>
        <v/>
      </c>
      <c r="D142">
        <f>IF($W142="","",IF(INDEX('Per Invoice'!D$2:D$801,$W142)="","",INDEX('Per Invoice'!D$2:D$801,$W142)))</f>
        <v/>
      </c>
      <c r="E142">
        <f>IF($W142="","",IF(INDEX('Per Invoice'!E$2:E$801,$W142)="","",INDEX('Per Invoice'!E$2:E$801,$W142)))</f>
        <v/>
      </c>
      <c r="F142">
        <f>IF($W142="","",IF(INDEX('Per Invoice'!F$2:F$801,$W142)="","",INDEX('Per Invoice'!F$2:F$801,$W142)))</f>
        <v/>
      </c>
      <c r="G142">
        <f>IF($W142="","",IF(INDEX('Per Invoice'!G$2:G$801,$W142)="","",INDEX('Per Invoice'!G$2:G$801,$W142)))</f>
        <v/>
      </c>
      <c r="H142">
        <f>IF($W142="","",IF(INDEX('Per Invoice'!H$2:H$801,$W142)="","",INDEX('Per Invoice'!H$2:H$801,$W142)))</f>
        <v/>
      </c>
      <c r="I142">
        <f>IF($W142="","",IF(INDEX('Per Invoice'!I$2:I$801,$W142)="","",INDEX('Per Invoice'!I$2:I$801,$W142)))</f>
        <v/>
      </c>
      <c r="J142">
        <f>IF($W142="","",IF(INDEX('Per Invoice'!J$2:J$801,$W142)="","",INDEX('Per Invoice'!J$2:J$801,$W142)))</f>
        <v/>
      </c>
      <c r="K142" s="7">
        <f>IF($W142="","",IF(INDEX('Per Invoice'!K$2:K$801,$W142)="","",INDEX('Per Invoice'!K$2:K$801,$W142)))</f>
        <v/>
      </c>
      <c r="L142" s="14">
        <f>IF($W142="","",IF(INDEX('Per Invoice'!L$2:L$801,$W142)="","",INDEX('Per Invoice'!L$2:L$801,$W142)))</f>
        <v/>
      </c>
      <c r="M142">
        <f>IF($W142="","",IF(INDEX('Per Invoice'!M$2:M$801,$W142)="","",INDEX('Per Invoice'!M$2:M$801,$W142)))</f>
        <v/>
      </c>
      <c r="N142" s="7">
        <f>IF($W142="","",IF(INDEX('Per Invoice'!N$2:N$801,$W142)="","",INDEX('Per Invoice'!N$2:N$801,$W142)))</f>
        <v/>
      </c>
      <c r="O142" s="7">
        <f>IF($W142="","",IF(INDEX('Per Invoice'!O$2:O$801,$W142)="","",INDEX('Per Invoice'!O$2:O$801,$W142)))</f>
        <v/>
      </c>
      <c r="P142">
        <f>IF($W142="","",IF(INDEX('Per Invoice'!P$2:P$801,$W142)="","",INDEX('Per Invoice'!P$2:P$801,$W142)))</f>
        <v/>
      </c>
      <c r="Q142" s="7">
        <f>IF($W142="","",IF(INDEX('Per Invoice'!Q$2:Q$801,$W142)="","",INDEX('Per Invoice'!Q$2:Q$801,$W142)))</f>
        <v/>
      </c>
      <c r="R142" s="7">
        <f>IF($W142="","",IF(INDEX('Per Invoice'!R$2:R$801,$W142)="","",INDEX('Per Invoice'!R$2:R$801,$W142)))</f>
        <v/>
      </c>
      <c r="S142" s="7">
        <f>IF($W142="","",IF(INDEX('Per Invoice'!S$2:S$801,$W142)="","",INDEX('Per Invoice'!S$2:S$801,$W142)))</f>
        <v/>
      </c>
      <c r="T142" s="7">
        <f>IF($W142="","",IF(INDEX('Per Invoice'!T$2:T$801,$W142)="","",INDEX('Per Invoice'!T$2:T$801,$W142)))</f>
        <v/>
      </c>
      <c r="U142" s="7">
        <f>IF($W142="","",IF(INDEX('Per Invoice'!U$2:U$801,$W142)="","",INDEX('Per Invoice'!U$2:U$801,$W142)))</f>
        <v/>
      </c>
      <c r="V142" s="7">
        <f>IF($W142="","",IF(INDEX('Per Invoice'!V$2:V$801,$W142)="","",INDEX('Per Invoice'!V$2:V$801,$W142)))</f>
        <v/>
      </c>
      <c r="W142" s="16">
        <f>IFERROR(MATCH(Settings!$C$28&amp;"|"&amp;ROWS($W$2:$W142),'Per Invoice'!$X$2:$X$801,0),"")</f>
        <v/>
      </c>
    </row>
    <row r="143">
      <c r="A143">
        <f>IF($W143="","",IF(INDEX('Per Invoice'!A$2:A$801,$W143)="","",INDEX('Per Invoice'!A$2:A$801,$W143)))</f>
        <v/>
      </c>
      <c r="B143">
        <f>IF($W143="","",IF(INDEX('Per Invoice'!B$2:B$801,$W143)="","",INDEX('Per Invoice'!B$2:B$801,$W143)))</f>
        <v/>
      </c>
      <c r="C143">
        <f>IF($W143="","",IF(INDEX('Per Invoice'!C$2:C$801,$W143)="","",INDEX('Per Invoice'!C$2:C$801,$W143)))</f>
        <v/>
      </c>
      <c r="D143">
        <f>IF($W143="","",IF(INDEX('Per Invoice'!D$2:D$801,$W143)="","",INDEX('Per Invoice'!D$2:D$801,$W143)))</f>
        <v/>
      </c>
      <c r="E143">
        <f>IF($W143="","",IF(INDEX('Per Invoice'!E$2:E$801,$W143)="","",INDEX('Per Invoice'!E$2:E$801,$W143)))</f>
        <v/>
      </c>
      <c r="F143">
        <f>IF($W143="","",IF(INDEX('Per Invoice'!F$2:F$801,$W143)="","",INDEX('Per Invoice'!F$2:F$801,$W143)))</f>
        <v/>
      </c>
      <c r="G143">
        <f>IF($W143="","",IF(INDEX('Per Invoice'!G$2:G$801,$W143)="","",INDEX('Per Invoice'!G$2:G$801,$W143)))</f>
        <v/>
      </c>
      <c r="H143">
        <f>IF($W143="","",IF(INDEX('Per Invoice'!H$2:H$801,$W143)="","",INDEX('Per Invoice'!H$2:H$801,$W143)))</f>
        <v/>
      </c>
      <c r="I143">
        <f>IF($W143="","",IF(INDEX('Per Invoice'!I$2:I$801,$W143)="","",INDEX('Per Invoice'!I$2:I$801,$W143)))</f>
        <v/>
      </c>
      <c r="J143">
        <f>IF($W143="","",IF(INDEX('Per Invoice'!J$2:J$801,$W143)="","",INDEX('Per Invoice'!J$2:J$801,$W143)))</f>
        <v/>
      </c>
      <c r="K143" s="7">
        <f>IF($W143="","",IF(INDEX('Per Invoice'!K$2:K$801,$W143)="","",INDEX('Per Invoice'!K$2:K$801,$W143)))</f>
        <v/>
      </c>
      <c r="L143" s="14">
        <f>IF($W143="","",IF(INDEX('Per Invoice'!L$2:L$801,$W143)="","",INDEX('Per Invoice'!L$2:L$801,$W143)))</f>
        <v/>
      </c>
      <c r="M143">
        <f>IF($W143="","",IF(INDEX('Per Invoice'!M$2:M$801,$W143)="","",INDEX('Per Invoice'!M$2:M$801,$W143)))</f>
        <v/>
      </c>
      <c r="N143" s="7">
        <f>IF($W143="","",IF(INDEX('Per Invoice'!N$2:N$801,$W143)="","",INDEX('Per Invoice'!N$2:N$801,$W143)))</f>
        <v/>
      </c>
      <c r="O143" s="7">
        <f>IF($W143="","",IF(INDEX('Per Invoice'!O$2:O$801,$W143)="","",INDEX('Per Invoice'!O$2:O$801,$W143)))</f>
        <v/>
      </c>
      <c r="P143">
        <f>IF($W143="","",IF(INDEX('Per Invoice'!P$2:P$801,$W143)="","",INDEX('Per Invoice'!P$2:P$801,$W143)))</f>
        <v/>
      </c>
      <c r="Q143" s="7">
        <f>IF($W143="","",IF(INDEX('Per Invoice'!Q$2:Q$801,$W143)="","",INDEX('Per Invoice'!Q$2:Q$801,$W143)))</f>
        <v/>
      </c>
      <c r="R143" s="7">
        <f>IF($W143="","",IF(INDEX('Per Invoice'!R$2:R$801,$W143)="","",INDEX('Per Invoice'!R$2:R$801,$W143)))</f>
        <v/>
      </c>
      <c r="S143" s="7">
        <f>IF($W143="","",IF(INDEX('Per Invoice'!S$2:S$801,$W143)="","",INDEX('Per Invoice'!S$2:S$801,$W143)))</f>
        <v/>
      </c>
      <c r="T143" s="7">
        <f>IF($W143="","",IF(INDEX('Per Invoice'!T$2:T$801,$W143)="","",INDEX('Per Invoice'!T$2:T$801,$W143)))</f>
        <v/>
      </c>
      <c r="U143" s="7">
        <f>IF($W143="","",IF(INDEX('Per Invoice'!U$2:U$801,$W143)="","",INDEX('Per Invoice'!U$2:U$801,$W143)))</f>
        <v/>
      </c>
      <c r="V143" s="7">
        <f>IF($W143="","",IF(INDEX('Per Invoice'!V$2:V$801,$W143)="","",INDEX('Per Invoice'!V$2:V$801,$W143)))</f>
        <v/>
      </c>
      <c r="W143" s="16">
        <f>IFERROR(MATCH(Settings!$C$28&amp;"|"&amp;ROWS($W$2:$W143),'Per Invoice'!$X$2:$X$801,0),"")</f>
        <v/>
      </c>
    </row>
    <row r="144">
      <c r="A144">
        <f>IF($W144="","",IF(INDEX('Per Invoice'!A$2:A$801,$W144)="","",INDEX('Per Invoice'!A$2:A$801,$W144)))</f>
        <v/>
      </c>
      <c r="B144">
        <f>IF($W144="","",IF(INDEX('Per Invoice'!B$2:B$801,$W144)="","",INDEX('Per Invoice'!B$2:B$801,$W144)))</f>
        <v/>
      </c>
      <c r="C144">
        <f>IF($W144="","",IF(INDEX('Per Invoice'!C$2:C$801,$W144)="","",INDEX('Per Invoice'!C$2:C$801,$W144)))</f>
        <v/>
      </c>
      <c r="D144">
        <f>IF($W144="","",IF(INDEX('Per Invoice'!D$2:D$801,$W144)="","",INDEX('Per Invoice'!D$2:D$801,$W144)))</f>
        <v/>
      </c>
      <c r="E144">
        <f>IF($W144="","",IF(INDEX('Per Invoice'!E$2:E$801,$W144)="","",INDEX('Per Invoice'!E$2:E$801,$W144)))</f>
        <v/>
      </c>
      <c r="F144">
        <f>IF($W144="","",IF(INDEX('Per Invoice'!F$2:F$801,$W144)="","",INDEX('Per Invoice'!F$2:F$801,$W144)))</f>
        <v/>
      </c>
      <c r="G144">
        <f>IF($W144="","",IF(INDEX('Per Invoice'!G$2:G$801,$W144)="","",INDEX('Per Invoice'!G$2:G$801,$W144)))</f>
        <v/>
      </c>
      <c r="H144">
        <f>IF($W144="","",IF(INDEX('Per Invoice'!H$2:H$801,$W144)="","",INDEX('Per Invoice'!H$2:H$801,$W144)))</f>
        <v/>
      </c>
      <c r="I144">
        <f>IF($W144="","",IF(INDEX('Per Invoice'!I$2:I$801,$W144)="","",INDEX('Per Invoice'!I$2:I$801,$W144)))</f>
        <v/>
      </c>
      <c r="J144">
        <f>IF($W144="","",IF(INDEX('Per Invoice'!J$2:J$801,$W144)="","",INDEX('Per Invoice'!J$2:J$801,$W144)))</f>
        <v/>
      </c>
      <c r="K144" s="7">
        <f>IF($W144="","",IF(INDEX('Per Invoice'!K$2:K$801,$W144)="","",INDEX('Per Invoice'!K$2:K$801,$W144)))</f>
        <v/>
      </c>
      <c r="L144" s="14">
        <f>IF($W144="","",IF(INDEX('Per Invoice'!L$2:L$801,$W144)="","",INDEX('Per Invoice'!L$2:L$801,$W144)))</f>
        <v/>
      </c>
      <c r="M144">
        <f>IF($W144="","",IF(INDEX('Per Invoice'!M$2:M$801,$W144)="","",INDEX('Per Invoice'!M$2:M$801,$W144)))</f>
        <v/>
      </c>
      <c r="N144" s="7">
        <f>IF($W144="","",IF(INDEX('Per Invoice'!N$2:N$801,$W144)="","",INDEX('Per Invoice'!N$2:N$801,$W144)))</f>
        <v/>
      </c>
      <c r="O144" s="7">
        <f>IF($W144="","",IF(INDEX('Per Invoice'!O$2:O$801,$W144)="","",INDEX('Per Invoice'!O$2:O$801,$W144)))</f>
        <v/>
      </c>
      <c r="P144">
        <f>IF($W144="","",IF(INDEX('Per Invoice'!P$2:P$801,$W144)="","",INDEX('Per Invoice'!P$2:P$801,$W144)))</f>
        <v/>
      </c>
      <c r="Q144" s="7">
        <f>IF($W144="","",IF(INDEX('Per Invoice'!Q$2:Q$801,$W144)="","",INDEX('Per Invoice'!Q$2:Q$801,$W144)))</f>
        <v/>
      </c>
      <c r="R144" s="7">
        <f>IF($W144="","",IF(INDEX('Per Invoice'!R$2:R$801,$W144)="","",INDEX('Per Invoice'!R$2:R$801,$W144)))</f>
        <v/>
      </c>
      <c r="S144" s="7">
        <f>IF($W144="","",IF(INDEX('Per Invoice'!S$2:S$801,$W144)="","",INDEX('Per Invoice'!S$2:S$801,$W144)))</f>
        <v/>
      </c>
      <c r="T144" s="7">
        <f>IF($W144="","",IF(INDEX('Per Invoice'!T$2:T$801,$W144)="","",INDEX('Per Invoice'!T$2:T$801,$W144)))</f>
        <v/>
      </c>
      <c r="U144" s="7">
        <f>IF($W144="","",IF(INDEX('Per Invoice'!U$2:U$801,$W144)="","",INDEX('Per Invoice'!U$2:U$801,$W144)))</f>
        <v/>
      </c>
      <c r="V144" s="7">
        <f>IF($W144="","",IF(INDEX('Per Invoice'!V$2:V$801,$W144)="","",INDEX('Per Invoice'!V$2:V$801,$W144)))</f>
        <v/>
      </c>
      <c r="W144" s="16">
        <f>IFERROR(MATCH(Settings!$C$28&amp;"|"&amp;ROWS($W$2:$W144),'Per Invoice'!$X$2:$X$801,0),"")</f>
        <v/>
      </c>
    </row>
    <row r="145">
      <c r="A145">
        <f>IF($W145="","",IF(INDEX('Per Invoice'!A$2:A$801,$W145)="","",INDEX('Per Invoice'!A$2:A$801,$W145)))</f>
        <v/>
      </c>
      <c r="B145">
        <f>IF($W145="","",IF(INDEX('Per Invoice'!B$2:B$801,$W145)="","",INDEX('Per Invoice'!B$2:B$801,$W145)))</f>
        <v/>
      </c>
      <c r="C145">
        <f>IF($W145="","",IF(INDEX('Per Invoice'!C$2:C$801,$W145)="","",INDEX('Per Invoice'!C$2:C$801,$W145)))</f>
        <v/>
      </c>
      <c r="D145">
        <f>IF($W145="","",IF(INDEX('Per Invoice'!D$2:D$801,$W145)="","",INDEX('Per Invoice'!D$2:D$801,$W145)))</f>
        <v/>
      </c>
      <c r="E145">
        <f>IF($W145="","",IF(INDEX('Per Invoice'!E$2:E$801,$W145)="","",INDEX('Per Invoice'!E$2:E$801,$W145)))</f>
        <v/>
      </c>
      <c r="F145">
        <f>IF($W145="","",IF(INDEX('Per Invoice'!F$2:F$801,$W145)="","",INDEX('Per Invoice'!F$2:F$801,$W145)))</f>
        <v/>
      </c>
      <c r="G145">
        <f>IF($W145="","",IF(INDEX('Per Invoice'!G$2:G$801,$W145)="","",INDEX('Per Invoice'!G$2:G$801,$W145)))</f>
        <v/>
      </c>
      <c r="H145">
        <f>IF($W145="","",IF(INDEX('Per Invoice'!H$2:H$801,$W145)="","",INDEX('Per Invoice'!H$2:H$801,$W145)))</f>
        <v/>
      </c>
      <c r="I145">
        <f>IF($W145="","",IF(INDEX('Per Invoice'!I$2:I$801,$W145)="","",INDEX('Per Invoice'!I$2:I$801,$W145)))</f>
        <v/>
      </c>
      <c r="J145">
        <f>IF($W145="","",IF(INDEX('Per Invoice'!J$2:J$801,$W145)="","",INDEX('Per Invoice'!J$2:J$801,$W145)))</f>
        <v/>
      </c>
      <c r="K145" s="7">
        <f>IF($W145="","",IF(INDEX('Per Invoice'!K$2:K$801,$W145)="","",INDEX('Per Invoice'!K$2:K$801,$W145)))</f>
        <v/>
      </c>
      <c r="L145" s="14">
        <f>IF($W145="","",IF(INDEX('Per Invoice'!L$2:L$801,$W145)="","",INDEX('Per Invoice'!L$2:L$801,$W145)))</f>
        <v/>
      </c>
      <c r="M145">
        <f>IF($W145="","",IF(INDEX('Per Invoice'!M$2:M$801,$W145)="","",INDEX('Per Invoice'!M$2:M$801,$W145)))</f>
        <v/>
      </c>
      <c r="N145" s="7">
        <f>IF($W145="","",IF(INDEX('Per Invoice'!N$2:N$801,$W145)="","",INDEX('Per Invoice'!N$2:N$801,$W145)))</f>
        <v/>
      </c>
      <c r="O145" s="7">
        <f>IF($W145="","",IF(INDEX('Per Invoice'!O$2:O$801,$W145)="","",INDEX('Per Invoice'!O$2:O$801,$W145)))</f>
        <v/>
      </c>
      <c r="P145">
        <f>IF($W145="","",IF(INDEX('Per Invoice'!P$2:P$801,$W145)="","",INDEX('Per Invoice'!P$2:P$801,$W145)))</f>
        <v/>
      </c>
      <c r="Q145" s="7">
        <f>IF($W145="","",IF(INDEX('Per Invoice'!Q$2:Q$801,$W145)="","",INDEX('Per Invoice'!Q$2:Q$801,$W145)))</f>
        <v/>
      </c>
      <c r="R145" s="7">
        <f>IF($W145="","",IF(INDEX('Per Invoice'!R$2:R$801,$W145)="","",INDEX('Per Invoice'!R$2:R$801,$W145)))</f>
        <v/>
      </c>
      <c r="S145" s="7">
        <f>IF($W145="","",IF(INDEX('Per Invoice'!S$2:S$801,$W145)="","",INDEX('Per Invoice'!S$2:S$801,$W145)))</f>
        <v/>
      </c>
      <c r="T145" s="7">
        <f>IF($W145="","",IF(INDEX('Per Invoice'!T$2:T$801,$W145)="","",INDEX('Per Invoice'!T$2:T$801,$W145)))</f>
        <v/>
      </c>
      <c r="U145" s="7">
        <f>IF($W145="","",IF(INDEX('Per Invoice'!U$2:U$801,$W145)="","",INDEX('Per Invoice'!U$2:U$801,$W145)))</f>
        <v/>
      </c>
      <c r="V145" s="7">
        <f>IF($W145="","",IF(INDEX('Per Invoice'!V$2:V$801,$W145)="","",INDEX('Per Invoice'!V$2:V$801,$W145)))</f>
        <v/>
      </c>
      <c r="W145" s="16">
        <f>IFERROR(MATCH(Settings!$C$28&amp;"|"&amp;ROWS($W$2:$W145),'Per Invoice'!$X$2:$X$801,0),"")</f>
        <v/>
      </c>
    </row>
    <row r="146">
      <c r="A146">
        <f>IF($W146="","",IF(INDEX('Per Invoice'!A$2:A$801,$W146)="","",INDEX('Per Invoice'!A$2:A$801,$W146)))</f>
        <v/>
      </c>
      <c r="B146">
        <f>IF($W146="","",IF(INDEX('Per Invoice'!B$2:B$801,$W146)="","",INDEX('Per Invoice'!B$2:B$801,$W146)))</f>
        <v/>
      </c>
      <c r="C146">
        <f>IF($W146="","",IF(INDEX('Per Invoice'!C$2:C$801,$W146)="","",INDEX('Per Invoice'!C$2:C$801,$W146)))</f>
        <v/>
      </c>
      <c r="D146">
        <f>IF($W146="","",IF(INDEX('Per Invoice'!D$2:D$801,$W146)="","",INDEX('Per Invoice'!D$2:D$801,$W146)))</f>
        <v/>
      </c>
      <c r="E146">
        <f>IF($W146="","",IF(INDEX('Per Invoice'!E$2:E$801,$W146)="","",INDEX('Per Invoice'!E$2:E$801,$W146)))</f>
        <v/>
      </c>
      <c r="F146">
        <f>IF($W146="","",IF(INDEX('Per Invoice'!F$2:F$801,$W146)="","",INDEX('Per Invoice'!F$2:F$801,$W146)))</f>
        <v/>
      </c>
      <c r="G146">
        <f>IF($W146="","",IF(INDEX('Per Invoice'!G$2:G$801,$W146)="","",INDEX('Per Invoice'!G$2:G$801,$W146)))</f>
        <v/>
      </c>
      <c r="H146">
        <f>IF($W146="","",IF(INDEX('Per Invoice'!H$2:H$801,$W146)="","",INDEX('Per Invoice'!H$2:H$801,$W146)))</f>
        <v/>
      </c>
      <c r="I146">
        <f>IF($W146="","",IF(INDEX('Per Invoice'!I$2:I$801,$W146)="","",INDEX('Per Invoice'!I$2:I$801,$W146)))</f>
        <v/>
      </c>
      <c r="J146">
        <f>IF($W146="","",IF(INDEX('Per Invoice'!J$2:J$801,$W146)="","",INDEX('Per Invoice'!J$2:J$801,$W146)))</f>
        <v/>
      </c>
      <c r="K146" s="7">
        <f>IF($W146="","",IF(INDEX('Per Invoice'!K$2:K$801,$W146)="","",INDEX('Per Invoice'!K$2:K$801,$W146)))</f>
        <v/>
      </c>
      <c r="L146" s="14">
        <f>IF($W146="","",IF(INDEX('Per Invoice'!L$2:L$801,$W146)="","",INDEX('Per Invoice'!L$2:L$801,$W146)))</f>
        <v/>
      </c>
      <c r="M146">
        <f>IF($W146="","",IF(INDEX('Per Invoice'!M$2:M$801,$W146)="","",INDEX('Per Invoice'!M$2:M$801,$W146)))</f>
        <v/>
      </c>
      <c r="N146" s="7">
        <f>IF($W146="","",IF(INDEX('Per Invoice'!N$2:N$801,$W146)="","",INDEX('Per Invoice'!N$2:N$801,$W146)))</f>
        <v/>
      </c>
      <c r="O146" s="7">
        <f>IF($W146="","",IF(INDEX('Per Invoice'!O$2:O$801,$W146)="","",INDEX('Per Invoice'!O$2:O$801,$W146)))</f>
        <v/>
      </c>
      <c r="P146">
        <f>IF($W146="","",IF(INDEX('Per Invoice'!P$2:P$801,$W146)="","",INDEX('Per Invoice'!P$2:P$801,$W146)))</f>
        <v/>
      </c>
      <c r="Q146" s="7">
        <f>IF($W146="","",IF(INDEX('Per Invoice'!Q$2:Q$801,$W146)="","",INDEX('Per Invoice'!Q$2:Q$801,$W146)))</f>
        <v/>
      </c>
      <c r="R146" s="7">
        <f>IF($W146="","",IF(INDEX('Per Invoice'!R$2:R$801,$W146)="","",INDEX('Per Invoice'!R$2:R$801,$W146)))</f>
        <v/>
      </c>
      <c r="S146" s="7">
        <f>IF($W146="","",IF(INDEX('Per Invoice'!S$2:S$801,$W146)="","",INDEX('Per Invoice'!S$2:S$801,$W146)))</f>
        <v/>
      </c>
      <c r="T146" s="7">
        <f>IF($W146="","",IF(INDEX('Per Invoice'!T$2:T$801,$W146)="","",INDEX('Per Invoice'!T$2:T$801,$W146)))</f>
        <v/>
      </c>
      <c r="U146" s="7">
        <f>IF($W146="","",IF(INDEX('Per Invoice'!U$2:U$801,$W146)="","",INDEX('Per Invoice'!U$2:U$801,$W146)))</f>
        <v/>
      </c>
      <c r="V146" s="7">
        <f>IF($W146="","",IF(INDEX('Per Invoice'!V$2:V$801,$W146)="","",INDEX('Per Invoice'!V$2:V$801,$W146)))</f>
        <v/>
      </c>
      <c r="W146" s="16">
        <f>IFERROR(MATCH(Settings!$C$28&amp;"|"&amp;ROWS($W$2:$W146),'Per Invoice'!$X$2:$X$801,0),"")</f>
        <v/>
      </c>
    </row>
    <row r="147">
      <c r="A147">
        <f>IF($W147="","",IF(INDEX('Per Invoice'!A$2:A$801,$W147)="","",INDEX('Per Invoice'!A$2:A$801,$W147)))</f>
        <v/>
      </c>
      <c r="B147">
        <f>IF($W147="","",IF(INDEX('Per Invoice'!B$2:B$801,$W147)="","",INDEX('Per Invoice'!B$2:B$801,$W147)))</f>
        <v/>
      </c>
      <c r="C147">
        <f>IF($W147="","",IF(INDEX('Per Invoice'!C$2:C$801,$W147)="","",INDEX('Per Invoice'!C$2:C$801,$W147)))</f>
        <v/>
      </c>
      <c r="D147">
        <f>IF($W147="","",IF(INDEX('Per Invoice'!D$2:D$801,$W147)="","",INDEX('Per Invoice'!D$2:D$801,$W147)))</f>
        <v/>
      </c>
      <c r="E147">
        <f>IF($W147="","",IF(INDEX('Per Invoice'!E$2:E$801,$W147)="","",INDEX('Per Invoice'!E$2:E$801,$W147)))</f>
        <v/>
      </c>
      <c r="F147">
        <f>IF($W147="","",IF(INDEX('Per Invoice'!F$2:F$801,$W147)="","",INDEX('Per Invoice'!F$2:F$801,$W147)))</f>
        <v/>
      </c>
      <c r="G147">
        <f>IF($W147="","",IF(INDEX('Per Invoice'!G$2:G$801,$W147)="","",INDEX('Per Invoice'!G$2:G$801,$W147)))</f>
        <v/>
      </c>
      <c r="H147">
        <f>IF($W147="","",IF(INDEX('Per Invoice'!H$2:H$801,$W147)="","",INDEX('Per Invoice'!H$2:H$801,$W147)))</f>
        <v/>
      </c>
      <c r="I147">
        <f>IF($W147="","",IF(INDEX('Per Invoice'!I$2:I$801,$W147)="","",INDEX('Per Invoice'!I$2:I$801,$W147)))</f>
        <v/>
      </c>
      <c r="J147">
        <f>IF($W147="","",IF(INDEX('Per Invoice'!J$2:J$801,$W147)="","",INDEX('Per Invoice'!J$2:J$801,$W147)))</f>
        <v/>
      </c>
      <c r="K147" s="7">
        <f>IF($W147="","",IF(INDEX('Per Invoice'!K$2:K$801,$W147)="","",INDEX('Per Invoice'!K$2:K$801,$W147)))</f>
        <v/>
      </c>
      <c r="L147" s="14">
        <f>IF($W147="","",IF(INDEX('Per Invoice'!L$2:L$801,$W147)="","",INDEX('Per Invoice'!L$2:L$801,$W147)))</f>
        <v/>
      </c>
      <c r="M147">
        <f>IF($W147="","",IF(INDEX('Per Invoice'!M$2:M$801,$W147)="","",INDEX('Per Invoice'!M$2:M$801,$W147)))</f>
        <v/>
      </c>
      <c r="N147" s="7">
        <f>IF($W147="","",IF(INDEX('Per Invoice'!N$2:N$801,$W147)="","",INDEX('Per Invoice'!N$2:N$801,$W147)))</f>
        <v/>
      </c>
      <c r="O147" s="7">
        <f>IF($W147="","",IF(INDEX('Per Invoice'!O$2:O$801,$W147)="","",INDEX('Per Invoice'!O$2:O$801,$W147)))</f>
        <v/>
      </c>
      <c r="P147">
        <f>IF($W147="","",IF(INDEX('Per Invoice'!P$2:P$801,$W147)="","",INDEX('Per Invoice'!P$2:P$801,$W147)))</f>
        <v/>
      </c>
      <c r="Q147" s="7">
        <f>IF($W147="","",IF(INDEX('Per Invoice'!Q$2:Q$801,$W147)="","",INDEX('Per Invoice'!Q$2:Q$801,$W147)))</f>
        <v/>
      </c>
      <c r="R147" s="7">
        <f>IF($W147="","",IF(INDEX('Per Invoice'!R$2:R$801,$W147)="","",INDEX('Per Invoice'!R$2:R$801,$W147)))</f>
        <v/>
      </c>
      <c r="S147" s="7">
        <f>IF($W147="","",IF(INDEX('Per Invoice'!S$2:S$801,$W147)="","",INDEX('Per Invoice'!S$2:S$801,$W147)))</f>
        <v/>
      </c>
      <c r="T147" s="7">
        <f>IF($W147="","",IF(INDEX('Per Invoice'!T$2:T$801,$W147)="","",INDEX('Per Invoice'!T$2:T$801,$W147)))</f>
        <v/>
      </c>
      <c r="U147" s="7">
        <f>IF($W147="","",IF(INDEX('Per Invoice'!U$2:U$801,$W147)="","",INDEX('Per Invoice'!U$2:U$801,$W147)))</f>
        <v/>
      </c>
      <c r="V147" s="7">
        <f>IF($W147="","",IF(INDEX('Per Invoice'!V$2:V$801,$W147)="","",INDEX('Per Invoice'!V$2:V$801,$W147)))</f>
        <v/>
      </c>
      <c r="W147" s="16">
        <f>IFERROR(MATCH(Settings!$C$28&amp;"|"&amp;ROWS($W$2:$W147),'Per Invoice'!$X$2:$X$801,0),"")</f>
        <v/>
      </c>
    </row>
    <row r="148">
      <c r="A148">
        <f>IF($W148="","",IF(INDEX('Per Invoice'!A$2:A$801,$W148)="","",INDEX('Per Invoice'!A$2:A$801,$W148)))</f>
        <v/>
      </c>
      <c r="B148">
        <f>IF($W148="","",IF(INDEX('Per Invoice'!B$2:B$801,$W148)="","",INDEX('Per Invoice'!B$2:B$801,$W148)))</f>
        <v/>
      </c>
      <c r="C148">
        <f>IF($W148="","",IF(INDEX('Per Invoice'!C$2:C$801,$W148)="","",INDEX('Per Invoice'!C$2:C$801,$W148)))</f>
        <v/>
      </c>
      <c r="D148">
        <f>IF($W148="","",IF(INDEX('Per Invoice'!D$2:D$801,$W148)="","",INDEX('Per Invoice'!D$2:D$801,$W148)))</f>
        <v/>
      </c>
      <c r="E148">
        <f>IF($W148="","",IF(INDEX('Per Invoice'!E$2:E$801,$W148)="","",INDEX('Per Invoice'!E$2:E$801,$W148)))</f>
        <v/>
      </c>
      <c r="F148">
        <f>IF($W148="","",IF(INDEX('Per Invoice'!F$2:F$801,$W148)="","",INDEX('Per Invoice'!F$2:F$801,$W148)))</f>
        <v/>
      </c>
      <c r="G148">
        <f>IF($W148="","",IF(INDEX('Per Invoice'!G$2:G$801,$W148)="","",INDEX('Per Invoice'!G$2:G$801,$W148)))</f>
        <v/>
      </c>
      <c r="H148">
        <f>IF($W148="","",IF(INDEX('Per Invoice'!H$2:H$801,$W148)="","",INDEX('Per Invoice'!H$2:H$801,$W148)))</f>
        <v/>
      </c>
      <c r="I148">
        <f>IF($W148="","",IF(INDEX('Per Invoice'!I$2:I$801,$W148)="","",INDEX('Per Invoice'!I$2:I$801,$W148)))</f>
        <v/>
      </c>
      <c r="J148">
        <f>IF($W148="","",IF(INDEX('Per Invoice'!J$2:J$801,$W148)="","",INDEX('Per Invoice'!J$2:J$801,$W148)))</f>
        <v/>
      </c>
      <c r="K148" s="7">
        <f>IF($W148="","",IF(INDEX('Per Invoice'!K$2:K$801,$W148)="","",INDEX('Per Invoice'!K$2:K$801,$W148)))</f>
        <v/>
      </c>
      <c r="L148" s="14">
        <f>IF($W148="","",IF(INDEX('Per Invoice'!L$2:L$801,$W148)="","",INDEX('Per Invoice'!L$2:L$801,$W148)))</f>
        <v/>
      </c>
      <c r="M148">
        <f>IF($W148="","",IF(INDEX('Per Invoice'!M$2:M$801,$W148)="","",INDEX('Per Invoice'!M$2:M$801,$W148)))</f>
        <v/>
      </c>
      <c r="N148" s="7">
        <f>IF($W148="","",IF(INDEX('Per Invoice'!N$2:N$801,$W148)="","",INDEX('Per Invoice'!N$2:N$801,$W148)))</f>
        <v/>
      </c>
      <c r="O148" s="7">
        <f>IF($W148="","",IF(INDEX('Per Invoice'!O$2:O$801,$W148)="","",INDEX('Per Invoice'!O$2:O$801,$W148)))</f>
        <v/>
      </c>
      <c r="P148">
        <f>IF($W148="","",IF(INDEX('Per Invoice'!P$2:P$801,$W148)="","",INDEX('Per Invoice'!P$2:P$801,$W148)))</f>
        <v/>
      </c>
      <c r="Q148" s="7">
        <f>IF($W148="","",IF(INDEX('Per Invoice'!Q$2:Q$801,$W148)="","",INDEX('Per Invoice'!Q$2:Q$801,$W148)))</f>
        <v/>
      </c>
      <c r="R148" s="7">
        <f>IF($W148="","",IF(INDEX('Per Invoice'!R$2:R$801,$W148)="","",INDEX('Per Invoice'!R$2:R$801,$W148)))</f>
        <v/>
      </c>
      <c r="S148" s="7">
        <f>IF($W148="","",IF(INDEX('Per Invoice'!S$2:S$801,$W148)="","",INDEX('Per Invoice'!S$2:S$801,$W148)))</f>
        <v/>
      </c>
      <c r="T148" s="7">
        <f>IF($W148="","",IF(INDEX('Per Invoice'!T$2:T$801,$W148)="","",INDEX('Per Invoice'!T$2:T$801,$W148)))</f>
        <v/>
      </c>
      <c r="U148" s="7">
        <f>IF($W148="","",IF(INDEX('Per Invoice'!U$2:U$801,$W148)="","",INDEX('Per Invoice'!U$2:U$801,$W148)))</f>
        <v/>
      </c>
      <c r="V148" s="7">
        <f>IF($W148="","",IF(INDEX('Per Invoice'!V$2:V$801,$W148)="","",INDEX('Per Invoice'!V$2:V$801,$W148)))</f>
        <v/>
      </c>
      <c r="W148" s="16">
        <f>IFERROR(MATCH(Settings!$C$28&amp;"|"&amp;ROWS($W$2:$W148),'Per Invoice'!$X$2:$X$801,0),"")</f>
        <v/>
      </c>
    </row>
    <row r="149">
      <c r="A149">
        <f>IF($W149="","",IF(INDEX('Per Invoice'!A$2:A$801,$W149)="","",INDEX('Per Invoice'!A$2:A$801,$W149)))</f>
        <v/>
      </c>
      <c r="B149">
        <f>IF($W149="","",IF(INDEX('Per Invoice'!B$2:B$801,$W149)="","",INDEX('Per Invoice'!B$2:B$801,$W149)))</f>
        <v/>
      </c>
      <c r="C149">
        <f>IF($W149="","",IF(INDEX('Per Invoice'!C$2:C$801,$W149)="","",INDEX('Per Invoice'!C$2:C$801,$W149)))</f>
        <v/>
      </c>
      <c r="D149">
        <f>IF($W149="","",IF(INDEX('Per Invoice'!D$2:D$801,$W149)="","",INDEX('Per Invoice'!D$2:D$801,$W149)))</f>
        <v/>
      </c>
      <c r="E149">
        <f>IF($W149="","",IF(INDEX('Per Invoice'!E$2:E$801,$W149)="","",INDEX('Per Invoice'!E$2:E$801,$W149)))</f>
        <v/>
      </c>
      <c r="F149">
        <f>IF($W149="","",IF(INDEX('Per Invoice'!F$2:F$801,$W149)="","",INDEX('Per Invoice'!F$2:F$801,$W149)))</f>
        <v/>
      </c>
      <c r="G149">
        <f>IF($W149="","",IF(INDEX('Per Invoice'!G$2:G$801,$W149)="","",INDEX('Per Invoice'!G$2:G$801,$W149)))</f>
        <v/>
      </c>
      <c r="H149">
        <f>IF($W149="","",IF(INDEX('Per Invoice'!H$2:H$801,$W149)="","",INDEX('Per Invoice'!H$2:H$801,$W149)))</f>
        <v/>
      </c>
      <c r="I149">
        <f>IF($W149="","",IF(INDEX('Per Invoice'!I$2:I$801,$W149)="","",INDEX('Per Invoice'!I$2:I$801,$W149)))</f>
        <v/>
      </c>
      <c r="J149">
        <f>IF($W149="","",IF(INDEX('Per Invoice'!J$2:J$801,$W149)="","",INDEX('Per Invoice'!J$2:J$801,$W149)))</f>
        <v/>
      </c>
      <c r="K149" s="7">
        <f>IF($W149="","",IF(INDEX('Per Invoice'!K$2:K$801,$W149)="","",INDEX('Per Invoice'!K$2:K$801,$W149)))</f>
        <v/>
      </c>
      <c r="L149" s="14">
        <f>IF($W149="","",IF(INDEX('Per Invoice'!L$2:L$801,$W149)="","",INDEX('Per Invoice'!L$2:L$801,$W149)))</f>
        <v/>
      </c>
      <c r="M149">
        <f>IF($W149="","",IF(INDEX('Per Invoice'!M$2:M$801,$W149)="","",INDEX('Per Invoice'!M$2:M$801,$W149)))</f>
        <v/>
      </c>
      <c r="N149" s="7">
        <f>IF($W149="","",IF(INDEX('Per Invoice'!N$2:N$801,$W149)="","",INDEX('Per Invoice'!N$2:N$801,$W149)))</f>
        <v/>
      </c>
      <c r="O149" s="7">
        <f>IF($W149="","",IF(INDEX('Per Invoice'!O$2:O$801,$W149)="","",INDEX('Per Invoice'!O$2:O$801,$W149)))</f>
        <v/>
      </c>
      <c r="P149">
        <f>IF($W149="","",IF(INDEX('Per Invoice'!P$2:P$801,$W149)="","",INDEX('Per Invoice'!P$2:P$801,$W149)))</f>
        <v/>
      </c>
      <c r="Q149" s="7">
        <f>IF($W149="","",IF(INDEX('Per Invoice'!Q$2:Q$801,$W149)="","",INDEX('Per Invoice'!Q$2:Q$801,$W149)))</f>
        <v/>
      </c>
      <c r="R149" s="7">
        <f>IF($W149="","",IF(INDEX('Per Invoice'!R$2:R$801,$W149)="","",INDEX('Per Invoice'!R$2:R$801,$W149)))</f>
        <v/>
      </c>
      <c r="S149" s="7">
        <f>IF($W149="","",IF(INDEX('Per Invoice'!S$2:S$801,$W149)="","",INDEX('Per Invoice'!S$2:S$801,$W149)))</f>
        <v/>
      </c>
      <c r="T149" s="7">
        <f>IF($W149="","",IF(INDEX('Per Invoice'!T$2:T$801,$W149)="","",INDEX('Per Invoice'!T$2:T$801,$W149)))</f>
        <v/>
      </c>
      <c r="U149" s="7">
        <f>IF($W149="","",IF(INDEX('Per Invoice'!U$2:U$801,$W149)="","",INDEX('Per Invoice'!U$2:U$801,$W149)))</f>
        <v/>
      </c>
      <c r="V149" s="7">
        <f>IF($W149="","",IF(INDEX('Per Invoice'!V$2:V$801,$W149)="","",INDEX('Per Invoice'!V$2:V$801,$W149)))</f>
        <v/>
      </c>
      <c r="W149" s="16">
        <f>IFERROR(MATCH(Settings!$C$28&amp;"|"&amp;ROWS($W$2:$W149),'Per Invoice'!$X$2:$X$801,0),"")</f>
        <v/>
      </c>
    </row>
    <row r="150">
      <c r="A150">
        <f>IF($W150="","",IF(INDEX('Per Invoice'!A$2:A$801,$W150)="","",INDEX('Per Invoice'!A$2:A$801,$W150)))</f>
        <v/>
      </c>
      <c r="B150">
        <f>IF($W150="","",IF(INDEX('Per Invoice'!B$2:B$801,$W150)="","",INDEX('Per Invoice'!B$2:B$801,$W150)))</f>
        <v/>
      </c>
      <c r="C150">
        <f>IF($W150="","",IF(INDEX('Per Invoice'!C$2:C$801,$W150)="","",INDEX('Per Invoice'!C$2:C$801,$W150)))</f>
        <v/>
      </c>
      <c r="D150">
        <f>IF($W150="","",IF(INDEX('Per Invoice'!D$2:D$801,$W150)="","",INDEX('Per Invoice'!D$2:D$801,$W150)))</f>
        <v/>
      </c>
      <c r="E150">
        <f>IF($W150="","",IF(INDEX('Per Invoice'!E$2:E$801,$W150)="","",INDEX('Per Invoice'!E$2:E$801,$W150)))</f>
        <v/>
      </c>
      <c r="F150">
        <f>IF($W150="","",IF(INDEX('Per Invoice'!F$2:F$801,$W150)="","",INDEX('Per Invoice'!F$2:F$801,$W150)))</f>
        <v/>
      </c>
      <c r="G150">
        <f>IF($W150="","",IF(INDEX('Per Invoice'!G$2:G$801,$W150)="","",INDEX('Per Invoice'!G$2:G$801,$W150)))</f>
        <v/>
      </c>
      <c r="H150">
        <f>IF($W150="","",IF(INDEX('Per Invoice'!H$2:H$801,$W150)="","",INDEX('Per Invoice'!H$2:H$801,$W150)))</f>
        <v/>
      </c>
      <c r="I150">
        <f>IF($W150="","",IF(INDEX('Per Invoice'!I$2:I$801,$W150)="","",INDEX('Per Invoice'!I$2:I$801,$W150)))</f>
        <v/>
      </c>
      <c r="J150">
        <f>IF($W150="","",IF(INDEX('Per Invoice'!J$2:J$801,$W150)="","",INDEX('Per Invoice'!J$2:J$801,$W150)))</f>
        <v/>
      </c>
      <c r="K150" s="7">
        <f>IF($W150="","",IF(INDEX('Per Invoice'!K$2:K$801,$W150)="","",INDEX('Per Invoice'!K$2:K$801,$W150)))</f>
        <v/>
      </c>
      <c r="L150" s="14">
        <f>IF($W150="","",IF(INDEX('Per Invoice'!L$2:L$801,$W150)="","",INDEX('Per Invoice'!L$2:L$801,$W150)))</f>
        <v/>
      </c>
      <c r="M150">
        <f>IF($W150="","",IF(INDEX('Per Invoice'!M$2:M$801,$W150)="","",INDEX('Per Invoice'!M$2:M$801,$W150)))</f>
        <v/>
      </c>
      <c r="N150" s="7">
        <f>IF($W150="","",IF(INDEX('Per Invoice'!N$2:N$801,$W150)="","",INDEX('Per Invoice'!N$2:N$801,$W150)))</f>
        <v/>
      </c>
      <c r="O150" s="7">
        <f>IF($W150="","",IF(INDEX('Per Invoice'!O$2:O$801,$W150)="","",INDEX('Per Invoice'!O$2:O$801,$W150)))</f>
        <v/>
      </c>
      <c r="P150">
        <f>IF($W150="","",IF(INDEX('Per Invoice'!P$2:P$801,$W150)="","",INDEX('Per Invoice'!P$2:P$801,$W150)))</f>
        <v/>
      </c>
      <c r="Q150" s="7">
        <f>IF($W150="","",IF(INDEX('Per Invoice'!Q$2:Q$801,$W150)="","",INDEX('Per Invoice'!Q$2:Q$801,$W150)))</f>
        <v/>
      </c>
      <c r="R150" s="7">
        <f>IF($W150="","",IF(INDEX('Per Invoice'!R$2:R$801,$W150)="","",INDEX('Per Invoice'!R$2:R$801,$W150)))</f>
        <v/>
      </c>
      <c r="S150" s="7">
        <f>IF($W150="","",IF(INDEX('Per Invoice'!S$2:S$801,$W150)="","",INDEX('Per Invoice'!S$2:S$801,$W150)))</f>
        <v/>
      </c>
      <c r="T150" s="7">
        <f>IF($W150="","",IF(INDEX('Per Invoice'!T$2:T$801,$W150)="","",INDEX('Per Invoice'!T$2:T$801,$W150)))</f>
        <v/>
      </c>
      <c r="U150" s="7">
        <f>IF($W150="","",IF(INDEX('Per Invoice'!U$2:U$801,$W150)="","",INDEX('Per Invoice'!U$2:U$801,$W150)))</f>
        <v/>
      </c>
      <c r="V150" s="7">
        <f>IF($W150="","",IF(INDEX('Per Invoice'!V$2:V$801,$W150)="","",INDEX('Per Invoice'!V$2:V$801,$W150)))</f>
        <v/>
      </c>
      <c r="W150" s="16">
        <f>IFERROR(MATCH(Settings!$C$28&amp;"|"&amp;ROWS($W$2:$W150),'Per Invoice'!$X$2:$X$801,0),"")</f>
        <v/>
      </c>
    </row>
    <row r="151">
      <c r="A151">
        <f>IF($W151="","",IF(INDEX('Per Invoice'!A$2:A$801,$W151)="","",INDEX('Per Invoice'!A$2:A$801,$W151)))</f>
        <v/>
      </c>
      <c r="B151">
        <f>IF($W151="","",IF(INDEX('Per Invoice'!B$2:B$801,$W151)="","",INDEX('Per Invoice'!B$2:B$801,$W151)))</f>
        <v/>
      </c>
      <c r="C151">
        <f>IF($W151="","",IF(INDEX('Per Invoice'!C$2:C$801,$W151)="","",INDEX('Per Invoice'!C$2:C$801,$W151)))</f>
        <v/>
      </c>
      <c r="D151">
        <f>IF($W151="","",IF(INDEX('Per Invoice'!D$2:D$801,$W151)="","",INDEX('Per Invoice'!D$2:D$801,$W151)))</f>
        <v/>
      </c>
      <c r="E151">
        <f>IF($W151="","",IF(INDEX('Per Invoice'!E$2:E$801,$W151)="","",INDEX('Per Invoice'!E$2:E$801,$W151)))</f>
        <v/>
      </c>
      <c r="F151">
        <f>IF($W151="","",IF(INDEX('Per Invoice'!F$2:F$801,$W151)="","",INDEX('Per Invoice'!F$2:F$801,$W151)))</f>
        <v/>
      </c>
      <c r="G151">
        <f>IF($W151="","",IF(INDEX('Per Invoice'!G$2:G$801,$W151)="","",INDEX('Per Invoice'!G$2:G$801,$W151)))</f>
        <v/>
      </c>
      <c r="H151">
        <f>IF($W151="","",IF(INDEX('Per Invoice'!H$2:H$801,$W151)="","",INDEX('Per Invoice'!H$2:H$801,$W151)))</f>
        <v/>
      </c>
      <c r="I151">
        <f>IF($W151="","",IF(INDEX('Per Invoice'!I$2:I$801,$W151)="","",INDEX('Per Invoice'!I$2:I$801,$W151)))</f>
        <v/>
      </c>
      <c r="J151">
        <f>IF($W151="","",IF(INDEX('Per Invoice'!J$2:J$801,$W151)="","",INDEX('Per Invoice'!J$2:J$801,$W151)))</f>
        <v/>
      </c>
      <c r="K151" s="7">
        <f>IF($W151="","",IF(INDEX('Per Invoice'!K$2:K$801,$W151)="","",INDEX('Per Invoice'!K$2:K$801,$W151)))</f>
        <v/>
      </c>
      <c r="L151" s="14">
        <f>IF($W151="","",IF(INDEX('Per Invoice'!L$2:L$801,$W151)="","",INDEX('Per Invoice'!L$2:L$801,$W151)))</f>
        <v/>
      </c>
      <c r="M151">
        <f>IF($W151="","",IF(INDEX('Per Invoice'!M$2:M$801,$W151)="","",INDEX('Per Invoice'!M$2:M$801,$W151)))</f>
        <v/>
      </c>
      <c r="N151" s="7">
        <f>IF($W151="","",IF(INDEX('Per Invoice'!N$2:N$801,$W151)="","",INDEX('Per Invoice'!N$2:N$801,$W151)))</f>
        <v/>
      </c>
      <c r="O151" s="7">
        <f>IF($W151="","",IF(INDEX('Per Invoice'!O$2:O$801,$W151)="","",INDEX('Per Invoice'!O$2:O$801,$W151)))</f>
        <v/>
      </c>
      <c r="P151">
        <f>IF($W151="","",IF(INDEX('Per Invoice'!P$2:P$801,$W151)="","",INDEX('Per Invoice'!P$2:P$801,$W151)))</f>
        <v/>
      </c>
      <c r="Q151" s="7">
        <f>IF($W151="","",IF(INDEX('Per Invoice'!Q$2:Q$801,$W151)="","",INDEX('Per Invoice'!Q$2:Q$801,$W151)))</f>
        <v/>
      </c>
      <c r="R151" s="7">
        <f>IF($W151="","",IF(INDEX('Per Invoice'!R$2:R$801,$W151)="","",INDEX('Per Invoice'!R$2:R$801,$W151)))</f>
        <v/>
      </c>
      <c r="S151" s="7">
        <f>IF($W151="","",IF(INDEX('Per Invoice'!S$2:S$801,$W151)="","",INDEX('Per Invoice'!S$2:S$801,$W151)))</f>
        <v/>
      </c>
      <c r="T151" s="7">
        <f>IF($W151="","",IF(INDEX('Per Invoice'!T$2:T$801,$W151)="","",INDEX('Per Invoice'!T$2:T$801,$W151)))</f>
        <v/>
      </c>
      <c r="U151" s="7">
        <f>IF($W151="","",IF(INDEX('Per Invoice'!U$2:U$801,$W151)="","",INDEX('Per Invoice'!U$2:U$801,$W151)))</f>
        <v/>
      </c>
      <c r="V151" s="7">
        <f>IF($W151="","",IF(INDEX('Per Invoice'!V$2:V$801,$W151)="","",INDEX('Per Invoice'!V$2:V$801,$W151)))</f>
        <v/>
      </c>
      <c r="W151" s="16">
        <f>IFERROR(MATCH(Settings!$C$28&amp;"|"&amp;ROWS($W$2:$W151),'Per Invoice'!$X$2:$X$801,0),"")</f>
        <v/>
      </c>
    </row>
    <row r="152">
      <c r="A152">
        <f>IF($W152="","",IF(INDEX('Per Invoice'!A$2:A$801,$W152)="","",INDEX('Per Invoice'!A$2:A$801,$W152)))</f>
        <v/>
      </c>
      <c r="B152">
        <f>IF($W152="","",IF(INDEX('Per Invoice'!B$2:B$801,$W152)="","",INDEX('Per Invoice'!B$2:B$801,$W152)))</f>
        <v/>
      </c>
      <c r="C152">
        <f>IF($W152="","",IF(INDEX('Per Invoice'!C$2:C$801,$W152)="","",INDEX('Per Invoice'!C$2:C$801,$W152)))</f>
        <v/>
      </c>
      <c r="D152">
        <f>IF($W152="","",IF(INDEX('Per Invoice'!D$2:D$801,$W152)="","",INDEX('Per Invoice'!D$2:D$801,$W152)))</f>
        <v/>
      </c>
      <c r="E152">
        <f>IF($W152="","",IF(INDEX('Per Invoice'!E$2:E$801,$W152)="","",INDEX('Per Invoice'!E$2:E$801,$W152)))</f>
        <v/>
      </c>
      <c r="F152">
        <f>IF($W152="","",IF(INDEX('Per Invoice'!F$2:F$801,$W152)="","",INDEX('Per Invoice'!F$2:F$801,$W152)))</f>
        <v/>
      </c>
      <c r="G152">
        <f>IF($W152="","",IF(INDEX('Per Invoice'!G$2:G$801,$W152)="","",INDEX('Per Invoice'!G$2:G$801,$W152)))</f>
        <v/>
      </c>
      <c r="H152">
        <f>IF($W152="","",IF(INDEX('Per Invoice'!H$2:H$801,$W152)="","",INDEX('Per Invoice'!H$2:H$801,$W152)))</f>
        <v/>
      </c>
      <c r="I152">
        <f>IF($W152="","",IF(INDEX('Per Invoice'!I$2:I$801,$W152)="","",INDEX('Per Invoice'!I$2:I$801,$W152)))</f>
        <v/>
      </c>
      <c r="J152">
        <f>IF($W152="","",IF(INDEX('Per Invoice'!J$2:J$801,$W152)="","",INDEX('Per Invoice'!J$2:J$801,$W152)))</f>
        <v/>
      </c>
      <c r="K152" s="7">
        <f>IF($W152="","",IF(INDEX('Per Invoice'!K$2:K$801,$W152)="","",INDEX('Per Invoice'!K$2:K$801,$W152)))</f>
        <v/>
      </c>
      <c r="L152" s="14">
        <f>IF($W152="","",IF(INDEX('Per Invoice'!L$2:L$801,$W152)="","",INDEX('Per Invoice'!L$2:L$801,$W152)))</f>
        <v/>
      </c>
      <c r="M152">
        <f>IF($W152="","",IF(INDEX('Per Invoice'!M$2:M$801,$W152)="","",INDEX('Per Invoice'!M$2:M$801,$W152)))</f>
        <v/>
      </c>
      <c r="N152" s="7">
        <f>IF($W152="","",IF(INDEX('Per Invoice'!N$2:N$801,$W152)="","",INDEX('Per Invoice'!N$2:N$801,$W152)))</f>
        <v/>
      </c>
      <c r="O152" s="7">
        <f>IF($W152="","",IF(INDEX('Per Invoice'!O$2:O$801,$W152)="","",INDEX('Per Invoice'!O$2:O$801,$W152)))</f>
        <v/>
      </c>
      <c r="P152">
        <f>IF($W152="","",IF(INDEX('Per Invoice'!P$2:P$801,$W152)="","",INDEX('Per Invoice'!P$2:P$801,$W152)))</f>
        <v/>
      </c>
      <c r="Q152" s="7">
        <f>IF($W152="","",IF(INDEX('Per Invoice'!Q$2:Q$801,$W152)="","",INDEX('Per Invoice'!Q$2:Q$801,$W152)))</f>
        <v/>
      </c>
      <c r="R152" s="7">
        <f>IF($W152="","",IF(INDEX('Per Invoice'!R$2:R$801,$W152)="","",INDEX('Per Invoice'!R$2:R$801,$W152)))</f>
        <v/>
      </c>
      <c r="S152" s="7">
        <f>IF($W152="","",IF(INDEX('Per Invoice'!S$2:S$801,$W152)="","",INDEX('Per Invoice'!S$2:S$801,$W152)))</f>
        <v/>
      </c>
      <c r="T152" s="7">
        <f>IF($W152="","",IF(INDEX('Per Invoice'!T$2:T$801,$W152)="","",INDEX('Per Invoice'!T$2:T$801,$W152)))</f>
        <v/>
      </c>
      <c r="U152" s="7">
        <f>IF($W152="","",IF(INDEX('Per Invoice'!U$2:U$801,$W152)="","",INDEX('Per Invoice'!U$2:U$801,$W152)))</f>
        <v/>
      </c>
      <c r="V152" s="7">
        <f>IF($W152="","",IF(INDEX('Per Invoice'!V$2:V$801,$W152)="","",INDEX('Per Invoice'!V$2:V$801,$W152)))</f>
        <v/>
      </c>
      <c r="W152" s="16">
        <f>IFERROR(MATCH(Settings!$C$28&amp;"|"&amp;ROWS($W$2:$W152),'Per Invoice'!$X$2:$X$801,0),"")</f>
        <v/>
      </c>
    </row>
    <row r="153">
      <c r="A153">
        <f>IF($W153="","",IF(INDEX('Per Invoice'!A$2:A$801,$W153)="","",INDEX('Per Invoice'!A$2:A$801,$W153)))</f>
        <v/>
      </c>
      <c r="B153">
        <f>IF($W153="","",IF(INDEX('Per Invoice'!B$2:B$801,$W153)="","",INDEX('Per Invoice'!B$2:B$801,$W153)))</f>
        <v/>
      </c>
      <c r="C153">
        <f>IF($W153="","",IF(INDEX('Per Invoice'!C$2:C$801,$W153)="","",INDEX('Per Invoice'!C$2:C$801,$W153)))</f>
        <v/>
      </c>
      <c r="D153">
        <f>IF($W153="","",IF(INDEX('Per Invoice'!D$2:D$801,$W153)="","",INDEX('Per Invoice'!D$2:D$801,$W153)))</f>
        <v/>
      </c>
      <c r="E153">
        <f>IF($W153="","",IF(INDEX('Per Invoice'!E$2:E$801,$W153)="","",INDEX('Per Invoice'!E$2:E$801,$W153)))</f>
        <v/>
      </c>
      <c r="F153">
        <f>IF($W153="","",IF(INDEX('Per Invoice'!F$2:F$801,$W153)="","",INDEX('Per Invoice'!F$2:F$801,$W153)))</f>
        <v/>
      </c>
      <c r="G153">
        <f>IF($W153="","",IF(INDEX('Per Invoice'!G$2:G$801,$W153)="","",INDEX('Per Invoice'!G$2:G$801,$W153)))</f>
        <v/>
      </c>
      <c r="H153">
        <f>IF($W153="","",IF(INDEX('Per Invoice'!H$2:H$801,$W153)="","",INDEX('Per Invoice'!H$2:H$801,$W153)))</f>
        <v/>
      </c>
      <c r="I153">
        <f>IF($W153="","",IF(INDEX('Per Invoice'!I$2:I$801,$W153)="","",INDEX('Per Invoice'!I$2:I$801,$W153)))</f>
        <v/>
      </c>
      <c r="J153">
        <f>IF($W153="","",IF(INDEX('Per Invoice'!J$2:J$801,$W153)="","",INDEX('Per Invoice'!J$2:J$801,$W153)))</f>
        <v/>
      </c>
      <c r="K153" s="7">
        <f>IF($W153="","",IF(INDEX('Per Invoice'!K$2:K$801,$W153)="","",INDEX('Per Invoice'!K$2:K$801,$W153)))</f>
        <v/>
      </c>
      <c r="L153" s="14">
        <f>IF($W153="","",IF(INDEX('Per Invoice'!L$2:L$801,$W153)="","",INDEX('Per Invoice'!L$2:L$801,$W153)))</f>
        <v/>
      </c>
      <c r="M153">
        <f>IF($W153="","",IF(INDEX('Per Invoice'!M$2:M$801,$W153)="","",INDEX('Per Invoice'!M$2:M$801,$W153)))</f>
        <v/>
      </c>
      <c r="N153" s="7">
        <f>IF($W153="","",IF(INDEX('Per Invoice'!N$2:N$801,$W153)="","",INDEX('Per Invoice'!N$2:N$801,$W153)))</f>
        <v/>
      </c>
      <c r="O153" s="7">
        <f>IF($W153="","",IF(INDEX('Per Invoice'!O$2:O$801,$W153)="","",INDEX('Per Invoice'!O$2:O$801,$W153)))</f>
        <v/>
      </c>
      <c r="P153">
        <f>IF($W153="","",IF(INDEX('Per Invoice'!P$2:P$801,$W153)="","",INDEX('Per Invoice'!P$2:P$801,$W153)))</f>
        <v/>
      </c>
      <c r="Q153" s="7">
        <f>IF($W153="","",IF(INDEX('Per Invoice'!Q$2:Q$801,$W153)="","",INDEX('Per Invoice'!Q$2:Q$801,$W153)))</f>
        <v/>
      </c>
      <c r="R153" s="7">
        <f>IF($W153="","",IF(INDEX('Per Invoice'!R$2:R$801,$W153)="","",INDEX('Per Invoice'!R$2:R$801,$W153)))</f>
        <v/>
      </c>
      <c r="S153" s="7">
        <f>IF($W153="","",IF(INDEX('Per Invoice'!S$2:S$801,$W153)="","",INDEX('Per Invoice'!S$2:S$801,$W153)))</f>
        <v/>
      </c>
      <c r="T153" s="7">
        <f>IF($W153="","",IF(INDEX('Per Invoice'!T$2:T$801,$W153)="","",INDEX('Per Invoice'!T$2:T$801,$W153)))</f>
        <v/>
      </c>
      <c r="U153" s="7">
        <f>IF($W153="","",IF(INDEX('Per Invoice'!U$2:U$801,$W153)="","",INDEX('Per Invoice'!U$2:U$801,$W153)))</f>
        <v/>
      </c>
      <c r="V153" s="7">
        <f>IF($W153="","",IF(INDEX('Per Invoice'!V$2:V$801,$W153)="","",INDEX('Per Invoice'!V$2:V$801,$W153)))</f>
        <v/>
      </c>
      <c r="W153" s="16">
        <f>IFERROR(MATCH(Settings!$C$28&amp;"|"&amp;ROWS($W$2:$W153),'Per Invoice'!$X$2:$X$801,0),"")</f>
        <v/>
      </c>
    </row>
    <row r="154">
      <c r="A154">
        <f>IF($W154="","",IF(INDEX('Per Invoice'!A$2:A$801,$W154)="","",INDEX('Per Invoice'!A$2:A$801,$W154)))</f>
        <v/>
      </c>
      <c r="B154">
        <f>IF($W154="","",IF(INDEX('Per Invoice'!B$2:B$801,$W154)="","",INDEX('Per Invoice'!B$2:B$801,$W154)))</f>
        <v/>
      </c>
      <c r="C154">
        <f>IF($W154="","",IF(INDEX('Per Invoice'!C$2:C$801,$W154)="","",INDEX('Per Invoice'!C$2:C$801,$W154)))</f>
        <v/>
      </c>
      <c r="D154">
        <f>IF($W154="","",IF(INDEX('Per Invoice'!D$2:D$801,$W154)="","",INDEX('Per Invoice'!D$2:D$801,$W154)))</f>
        <v/>
      </c>
      <c r="E154">
        <f>IF($W154="","",IF(INDEX('Per Invoice'!E$2:E$801,$W154)="","",INDEX('Per Invoice'!E$2:E$801,$W154)))</f>
        <v/>
      </c>
      <c r="F154">
        <f>IF($W154="","",IF(INDEX('Per Invoice'!F$2:F$801,$W154)="","",INDEX('Per Invoice'!F$2:F$801,$W154)))</f>
        <v/>
      </c>
      <c r="G154">
        <f>IF($W154="","",IF(INDEX('Per Invoice'!G$2:G$801,$W154)="","",INDEX('Per Invoice'!G$2:G$801,$W154)))</f>
        <v/>
      </c>
      <c r="H154">
        <f>IF($W154="","",IF(INDEX('Per Invoice'!H$2:H$801,$W154)="","",INDEX('Per Invoice'!H$2:H$801,$W154)))</f>
        <v/>
      </c>
      <c r="I154">
        <f>IF($W154="","",IF(INDEX('Per Invoice'!I$2:I$801,$W154)="","",INDEX('Per Invoice'!I$2:I$801,$W154)))</f>
        <v/>
      </c>
      <c r="J154">
        <f>IF($W154="","",IF(INDEX('Per Invoice'!J$2:J$801,$W154)="","",INDEX('Per Invoice'!J$2:J$801,$W154)))</f>
        <v/>
      </c>
      <c r="K154" s="7">
        <f>IF($W154="","",IF(INDEX('Per Invoice'!K$2:K$801,$W154)="","",INDEX('Per Invoice'!K$2:K$801,$W154)))</f>
        <v/>
      </c>
      <c r="L154" s="14">
        <f>IF($W154="","",IF(INDEX('Per Invoice'!L$2:L$801,$W154)="","",INDEX('Per Invoice'!L$2:L$801,$W154)))</f>
        <v/>
      </c>
      <c r="M154">
        <f>IF($W154="","",IF(INDEX('Per Invoice'!M$2:M$801,$W154)="","",INDEX('Per Invoice'!M$2:M$801,$W154)))</f>
        <v/>
      </c>
      <c r="N154" s="7">
        <f>IF($W154="","",IF(INDEX('Per Invoice'!N$2:N$801,$W154)="","",INDEX('Per Invoice'!N$2:N$801,$W154)))</f>
        <v/>
      </c>
      <c r="O154" s="7">
        <f>IF($W154="","",IF(INDEX('Per Invoice'!O$2:O$801,$W154)="","",INDEX('Per Invoice'!O$2:O$801,$W154)))</f>
        <v/>
      </c>
      <c r="P154">
        <f>IF($W154="","",IF(INDEX('Per Invoice'!P$2:P$801,$W154)="","",INDEX('Per Invoice'!P$2:P$801,$W154)))</f>
        <v/>
      </c>
      <c r="Q154" s="7">
        <f>IF($W154="","",IF(INDEX('Per Invoice'!Q$2:Q$801,$W154)="","",INDEX('Per Invoice'!Q$2:Q$801,$W154)))</f>
        <v/>
      </c>
      <c r="R154" s="7">
        <f>IF($W154="","",IF(INDEX('Per Invoice'!R$2:R$801,$W154)="","",INDEX('Per Invoice'!R$2:R$801,$W154)))</f>
        <v/>
      </c>
      <c r="S154" s="7">
        <f>IF($W154="","",IF(INDEX('Per Invoice'!S$2:S$801,$W154)="","",INDEX('Per Invoice'!S$2:S$801,$W154)))</f>
        <v/>
      </c>
      <c r="T154" s="7">
        <f>IF($W154="","",IF(INDEX('Per Invoice'!T$2:T$801,$W154)="","",INDEX('Per Invoice'!T$2:T$801,$W154)))</f>
        <v/>
      </c>
      <c r="U154" s="7">
        <f>IF($W154="","",IF(INDEX('Per Invoice'!U$2:U$801,$W154)="","",INDEX('Per Invoice'!U$2:U$801,$W154)))</f>
        <v/>
      </c>
      <c r="V154" s="7">
        <f>IF($W154="","",IF(INDEX('Per Invoice'!V$2:V$801,$W154)="","",INDEX('Per Invoice'!V$2:V$801,$W154)))</f>
        <v/>
      </c>
      <c r="W154" s="16">
        <f>IFERROR(MATCH(Settings!$C$28&amp;"|"&amp;ROWS($W$2:$W154),'Per Invoice'!$X$2:$X$801,0),"")</f>
        <v/>
      </c>
    </row>
    <row r="155">
      <c r="A155">
        <f>IF($W155="","",IF(INDEX('Per Invoice'!A$2:A$801,$W155)="","",INDEX('Per Invoice'!A$2:A$801,$W155)))</f>
        <v/>
      </c>
      <c r="B155">
        <f>IF($W155="","",IF(INDEX('Per Invoice'!B$2:B$801,$W155)="","",INDEX('Per Invoice'!B$2:B$801,$W155)))</f>
        <v/>
      </c>
      <c r="C155">
        <f>IF($W155="","",IF(INDEX('Per Invoice'!C$2:C$801,$W155)="","",INDEX('Per Invoice'!C$2:C$801,$W155)))</f>
        <v/>
      </c>
      <c r="D155">
        <f>IF($W155="","",IF(INDEX('Per Invoice'!D$2:D$801,$W155)="","",INDEX('Per Invoice'!D$2:D$801,$W155)))</f>
        <v/>
      </c>
      <c r="E155">
        <f>IF($W155="","",IF(INDEX('Per Invoice'!E$2:E$801,$W155)="","",INDEX('Per Invoice'!E$2:E$801,$W155)))</f>
        <v/>
      </c>
      <c r="F155">
        <f>IF($W155="","",IF(INDEX('Per Invoice'!F$2:F$801,$W155)="","",INDEX('Per Invoice'!F$2:F$801,$W155)))</f>
        <v/>
      </c>
      <c r="G155">
        <f>IF($W155="","",IF(INDEX('Per Invoice'!G$2:G$801,$W155)="","",INDEX('Per Invoice'!G$2:G$801,$W155)))</f>
        <v/>
      </c>
      <c r="H155">
        <f>IF($W155="","",IF(INDEX('Per Invoice'!H$2:H$801,$W155)="","",INDEX('Per Invoice'!H$2:H$801,$W155)))</f>
        <v/>
      </c>
      <c r="I155">
        <f>IF($W155="","",IF(INDEX('Per Invoice'!I$2:I$801,$W155)="","",INDEX('Per Invoice'!I$2:I$801,$W155)))</f>
        <v/>
      </c>
      <c r="J155">
        <f>IF($W155="","",IF(INDEX('Per Invoice'!J$2:J$801,$W155)="","",INDEX('Per Invoice'!J$2:J$801,$W155)))</f>
        <v/>
      </c>
      <c r="K155" s="7">
        <f>IF($W155="","",IF(INDEX('Per Invoice'!K$2:K$801,$W155)="","",INDEX('Per Invoice'!K$2:K$801,$W155)))</f>
        <v/>
      </c>
      <c r="L155" s="14">
        <f>IF($W155="","",IF(INDEX('Per Invoice'!L$2:L$801,$W155)="","",INDEX('Per Invoice'!L$2:L$801,$W155)))</f>
        <v/>
      </c>
      <c r="M155">
        <f>IF($W155="","",IF(INDEX('Per Invoice'!M$2:M$801,$W155)="","",INDEX('Per Invoice'!M$2:M$801,$W155)))</f>
        <v/>
      </c>
      <c r="N155" s="7">
        <f>IF($W155="","",IF(INDEX('Per Invoice'!N$2:N$801,$W155)="","",INDEX('Per Invoice'!N$2:N$801,$W155)))</f>
        <v/>
      </c>
      <c r="O155" s="7">
        <f>IF($W155="","",IF(INDEX('Per Invoice'!O$2:O$801,$W155)="","",INDEX('Per Invoice'!O$2:O$801,$W155)))</f>
        <v/>
      </c>
      <c r="P155">
        <f>IF($W155="","",IF(INDEX('Per Invoice'!P$2:P$801,$W155)="","",INDEX('Per Invoice'!P$2:P$801,$W155)))</f>
        <v/>
      </c>
      <c r="Q155" s="7">
        <f>IF($W155="","",IF(INDEX('Per Invoice'!Q$2:Q$801,$W155)="","",INDEX('Per Invoice'!Q$2:Q$801,$W155)))</f>
        <v/>
      </c>
      <c r="R155" s="7">
        <f>IF($W155="","",IF(INDEX('Per Invoice'!R$2:R$801,$W155)="","",INDEX('Per Invoice'!R$2:R$801,$W155)))</f>
        <v/>
      </c>
      <c r="S155" s="7">
        <f>IF($W155="","",IF(INDEX('Per Invoice'!S$2:S$801,$W155)="","",INDEX('Per Invoice'!S$2:S$801,$W155)))</f>
        <v/>
      </c>
      <c r="T155" s="7">
        <f>IF($W155="","",IF(INDEX('Per Invoice'!T$2:T$801,$W155)="","",INDEX('Per Invoice'!T$2:T$801,$W155)))</f>
        <v/>
      </c>
      <c r="U155" s="7">
        <f>IF($W155="","",IF(INDEX('Per Invoice'!U$2:U$801,$W155)="","",INDEX('Per Invoice'!U$2:U$801,$W155)))</f>
        <v/>
      </c>
      <c r="V155" s="7">
        <f>IF($W155="","",IF(INDEX('Per Invoice'!V$2:V$801,$W155)="","",INDEX('Per Invoice'!V$2:V$801,$W155)))</f>
        <v/>
      </c>
      <c r="W155" s="16">
        <f>IFERROR(MATCH(Settings!$C$28&amp;"|"&amp;ROWS($W$2:$W155),'Per Invoice'!$X$2:$X$801,0),"")</f>
        <v/>
      </c>
    </row>
    <row r="156">
      <c r="A156">
        <f>IF($W156="","",IF(INDEX('Per Invoice'!A$2:A$801,$W156)="","",INDEX('Per Invoice'!A$2:A$801,$W156)))</f>
        <v/>
      </c>
      <c r="B156">
        <f>IF($W156="","",IF(INDEX('Per Invoice'!B$2:B$801,$W156)="","",INDEX('Per Invoice'!B$2:B$801,$W156)))</f>
        <v/>
      </c>
      <c r="C156">
        <f>IF($W156="","",IF(INDEX('Per Invoice'!C$2:C$801,$W156)="","",INDEX('Per Invoice'!C$2:C$801,$W156)))</f>
        <v/>
      </c>
      <c r="D156">
        <f>IF($W156="","",IF(INDEX('Per Invoice'!D$2:D$801,$W156)="","",INDEX('Per Invoice'!D$2:D$801,$W156)))</f>
        <v/>
      </c>
      <c r="E156">
        <f>IF($W156="","",IF(INDEX('Per Invoice'!E$2:E$801,$W156)="","",INDEX('Per Invoice'!E$2:E$801,$W156)))</f>
        <v/>
      </c>
      <c r="F156">
        <f>IF($W156="","",IF(INDEX('Per Invoice'!F$2:F$801,$W156)="","",INDEX('Per Invoice'!F$2:F$801,$W156)))</f>
        <v/>
      </c>
      <c r="G156">
        <f>IF($W156="","",IF(INDEX('Per Invoice'!G$2:G$801,$W156)="","",INDEX('Per Invoice'!G$2:G$801,$W156)))</f>
        <v/>
      </c>
      <c r="H156">
        <f>IF($W156="","",IF(INDEX('Per Invoice'!H$2:H$801,$W156)="","",INDEX('Per Invoice'!H$2:H$801,$W156)))</f>
        <v/>
      </c>
      <c r="I156">
        <f>IF($W156="","",IF(INDEX('Per Invoice'!I$2:I$801,$W156)="","",INDEX('Per Invoice'!I$2:I$801,$W156)))</f>
        <v/>
      </c>
      <c r="J156">
        <f>IF($W156="","",IF(INDEX('Per Invoice'!J$2:J$801,$W156)="","",INDEX('Per Invoice'!J$2:J$801,$W156)))</f>
        <v/>
      </c>
      <c r="K156" s="7">
        <f>IF($W156="","",IF(INDEX('Per Invoice'!K$2:K$801,$W156)="","",INDEX('Per Invoice'!K$2:K$801,$W156)))</f>
        <v/>
      </c>
      <c r="L156" s="14">
        <f>IF($W156="","",IF(INDEX('Per Invoice'!L$2:L$801,$W156)="","",INDEX('Per Invoice'!L$2:L$801,$W156)))</f>
        <v/>
      </c>
      <c r="M156">
        <f>IF($W156="","",IF(INDEX('Per Invoice'!M$2:M$801,$W156)="","",INDEX('Per Invoice'!M$2:M$801,$W156)))</f>
        <v/>
      </c>
      <c r="N156" s="7">
        <f>IF($W156="","",IF(INDEX('Per Invoice'!N$2:N$801,$W156)="","",INDEX('Per Invoice'!N$2:N$801,$W156)))</f>
        <v/>
      </c>
      <c r="O156" s="7">
        <f>IF($W156="","",IF(INDEX('Per Invoice'!O$2:O$801,$W156)="","",INDEX('Per Invoice'!O$2:O$801,$W156)))</f>
        <v/>
      </c>
      <c r="P156">
        <f>IF($W156="","",IF(INDEX('Per Invoice'!P$2:P$801,$W156)="","",INDEX('Per Invoice'!P$2:P$801,$W156)))</f>
        <v/>
      </c>
      <c r="Q156" s="7">
        <f>IF($W156="","",IF(INDEX('Per Invoice'!Q$2:Q$801,$W156)="","",INDEX('Per Invoice'!Q$2:Q$801,$W156)))</f>
        <v/>
      </c>
      <c r="R156" s="7">
        <f>IF($W156="","",IF(INDEX('Per Invoice'!R$2:R$801,$W156)="","",INDEX('Per Invoice'!R$2:R$801,$W156)))</f>
        <v/>
      </c>
      <c r="S156" s="7">
        <f>IF($W156="","",IF(INDEX('Per Invoice'!S$2:S$801,$W156)="","",INDEX('Per Invoice'!S$2:S$801,$W156)))</f>
        <v/>
      </c>
      <c r="T156" s="7">
        <f>IF($W156="","",IF(INDEX('Per Invoice'!T$2:T$801,$W156)="","",INDEX('Per Invoice'!T$2:T$801,$W156)))</f>
        <v/>
      </c>
      <c r="U156" s="7">
        <f>IF($W156="","",IF(INDEX('Per Invoice'!U$2:U$801,$W156)="","",INDEX('Per Invoice'!U$2:U$801,$W156)))</f>
        <v/>
      </c>
      <c r="V156" s="7">
        <f>IF($W156="","",IF(INDEX('Per Invoice'!V$2:V$801,$W156)="","",INDEX('Per Invoice'!V$2:V$801,$W156)))</f>
        <v/>
      </c>
      <c r="W156" s="16">
        <f>IFERROR(MATCH(Settings!$C$28&amp;"|"&amp;ROWS($W$2:$W156),'Per Invoice'!$X$2:$X$801,0),"")</f>
        <v/>
      </c>
    </row>
    <row r="157">
      <c r="A157">
        <f>IF($W157="","",IF(INDEX('Per Invoice'!A$2:A$801,$W157)="","",INDEX('Per Invoice'!A$2:A$801,$W157)))</f>
        <v/>
      </c>
      <c r="B157">
        <f>IF($W157="","",IF(INDEX('Per Invoice'!B$2:B$801,$W157)="","",INDEX('Per Invoice'!B$2:B$801,$W157)))</f>
        <v/>
      </c>
      <c r="C157">
        <f>IF($W157="","",IF(INDEX('Per Invoice'!C$2:C$801,$W157)="","",INDEX('Per Invoice'!C$2:C$801,$W157)))</f>
        <v/>
      </c>
      <c r="D157">
        <f>IF($W157="","",IF(INDEX('Per Invoice'!D$2:D$801,$W157)="","",INDEX('Per Invoice'!D$2:D$801,$W157)))</f>
        <v/>
      </c>
      <c r="E157">
        <f>IF($W157="","",IF(INDEX('Per Invoice'!E$2:E$801,$W157)="","",INDEX('Per Invoice'!E$2:E$801,$W157)))</f>
        <v/>
      </c>
      <c r="F157">
        <f>IF($W157="","",IF(INDEX('Per Invoice'!F$2:F$801,$W157)="","",INDEX('Per Invoice'!F$2:F$801,$W157)))</f>
        <v/>
      </c>
      <c r="G157">
        <f>IF($W157="","",IF(INDEX('Per Invoice'!G$2:G$801,$W157)="","",INDEX('Per Invoice'!G$2:G$801,$W157)))</f>
        <v/>
      </c>
      <c r="H157">
        <f>IF($W157="","",IF(INDEX('Per Invoice'!H$2:H$801,$W157)="","",INDEX('Per Invoice'!H$2:H$801,$W157)))</f>
        <v/>
      </c>
      <c r="I157">
        <f>IF($W157="","",IF(INDEX('Per Invoice'!I$2:I$801,$W157)="","",INDEX('Per Invoice'!I$2:I$801,$W157)))</f>
        <v/>
      </c>
      <c r="J157">
        <f>IF($W157="","",IF(INDEX('Per Invoice'!J$2:J$801,$W157)="","",INDEX('Per Invoice'!J$2:J$801,$W157)))</f>
        <v/>
      </c>
      <c r="K157" s="7">
        <f>IF($W157="","",IF(INDEX('Per Invoice'!K$2:K$801,$W157)="","",INDEX('Per Invoice'!K$2:K$801,$W157)))</f>
        <v/>
      </c>
      <c r="L157" s="14">
        <f>IF($W157="","",IF(INDEX('Per Invoice'!L$2:L$801,$W157)="","",INDEX('Per Invoice'!L$2:L$801,$W157)))</f>
        <v/>
      </c>
      <c r="M157">
        <f>IF($W157="","",IF(INDEX('Per Invoice'!M$2:M$801,$W157)="","",INDEX('Per Invoice'!M$2:M$801,$W157)))</f>
        <v/>
      </c>
      <c r="N157" s="7">
        <f>IF($W157="","",IF(INDEX('Per Invoice'!N$2:N$801,$W157)="","",INDEX('Per Invoice'!N$2:N$801,$W157)))</f>
        <v/>
      </c>
      <c r="O157" s="7">
        <f>IF($W157="","",IF(INDEX('Per Invoice'!O$2:O$801,$W157)="","",INDEX('Per Invoice'!O$2:O$801,$W157)))</f>
        <v/>
      </c>
      <c r="P157">
        <f>IF($W157="","",IF(INDEX('Per Invoice'!P$2:P$801,$W157)="","",INDEX('Per Invoice'!P$2:P$801,$W157)))</f>
        <v/>
      </c>
      <c r="Q157" s="7">
        <f>IF($W157="","",IF(INDEX('Per Invoice'!Q$2:Q$801,$W157)="","",INDEX('Per Invoice'!Q$2:Q$801,$W157)))</f>
        <v/>
      </c>
      <c r="R157" s="7">
        <f>IF($W157="","",IF(INDEX('Per Invoice'!R$2:R$801,$W157)="","",INDEX('Per Invoice'!R$2:R$801,$W157)))</f>
        <v/>
      </c>
      <c r="S157" s="7">
        <f>IF($W157="","",IF(INDEX('Per Invoice'!S$2:S$801,$W157)="","",INDEX('Per Invoice'!S$2:S$801,$W157)))</f>
        <v/>
      </c>
      <c r="T157" s="7">
        <f>IF($W157="","",IF(INDEX('Per Invoice'!T$2:T$801,$W157)="","",INDEX('Per Invoice'!T$2:T$801,$W157)))</f>
        <v/>
      </c>
      <c r="U157" s="7">
        <f>IF($W157="","",IF(INDEX('Per Invoice'!U$2:U$801,$W157)="","",INDEX('Per Invoice'!U$2:U$801,$W157)))</f>
        <v/>
      </c>
      <c r="V157" s="7">
        <f>IF($W157="","",IF(INDEX('Per Invoice'!V$2:V$801,$W157)="","",INDEX('Per Invoice'!V$2:V$801,$W157)))</f>
        <v/>
      </c>
      <c r="W157" s="16">
        <f>IFERROR(MATCH(Settings!$C$28&amp;"|"&amp;ROWS($W$2:$W157),'Per Invoice'!$X$2:$X$801,0),"")</f>
        <v/>
      </c>
    </row>
    <row r="158">
      <c r="A158">
        <f>IF($W158="","",IF(INDEX('Per Invoice'!A$2:A$801,$W158)="","",INDEX('Per Invoice'!A$2:A$801,$W158)))</f>
        <v/>
      </c>
      <c r="B158">
        <f>IF($W158="","",IF(INDEX('Per Invoice'!B$2:B$801,$W158)="","",INDEX('Per Invoice'!B$2:B$801,$W158)))</f>
        <v/>
      </c>
      <c r="C158">
        <f>IF($W158="","",IF(INDEX('Per Invoice'!C$2:C$801,$W158)="","",INDEX('Per Invoice'!C$2:C$801,$W158)))</f>
        <v/>
      </c>
      <c r="D158">
        <f>IF($W158="","",IF(INDEX('Per Invoice'!D$2:D$801,$W158)="","",INDEX('Per Invoice'!D$2:D$801,$W158)))</f>
        <v/>
      </c>
      <c r="E158">
        <f>IF($W158="","",IF(INDEX('Per Invoice'!E$2:E$801,$W158)="","",INDEX('Per Invoice'!E$2:E$801,$W158)))</f>
        <v/>
      </c>
      <c r="F158">
        <f>IF($W158="","",IF(INDEX('Per Invoice'!F$2:F$801,$W158)="","",INDEX('Per Invoice'!F$2:F$801,$W158)))</f>
        <v/>
      </c>
      <c r="G158">
        <f>IF($W158="","",IF(INDEX('Per Invoice'!G$2:G$801,$W158)="","",INDEX('Per Invoice'!G$2:G$801,$W158)))</f>
        <v/>
      </c>
      <c r="H158">
        <f>IF($W158="","",IF(INDEX('Per Invoice'!H$2:H$801,$W158)="","",INDEX('Per Invoice'!H$2:H$801,$W158)))</f>
        <v/>
      </c>
      <c r="I158">
        <f>IF($W158="","",IF(INDEX('Per Invoice'!I$2:I$801,$W158)="","",INDEX('Per Invoice'!I$2:I$801,$W158)))</f>
        <v/>
      </c>
      <c r="J158">
        <f>IF($W158="","",IF(INDEX('Per Invoice'!J$2:J$801,$W158)="","",INDEX('Per Invoice'!J$2:J$801,$W158)))</f>
        <v/>
      </c>
      <c r="K158" s="7">
        <f>IF($W158="","",IF(INDEX('Per Invoice'!K$2:K$801,$W158)="","",INDEX('Per Invoice'!K$2:K$801,$W158)))</f>
        <v/>
      </c>
      <c r="L158" s="14">
        <f>IF($W158="","",IF(INDEX('Per Invoice'!L$2:L$801,$W158)="","",INDEX('Per Invoice'!L$2:L$801,$W158)))</f>
        <v/>
      </c>
      <c r="M158">
        <f>IF($W158="","",IF(INDEX('Per Invoice'!M$2:M$801,$W158)="","",INDEX('Per Invoice'!M$2:M$801,$W158)))</f>
        <v/>
      </c>
      <c r="N158" s="7">
        <f>IF($W158="","",IF(INDEX('Per Invoice'!N$2:N$801,$W158)="","",INDEX('Per Invoice'!N$2:N$801,$W158)))</f>
        <v/>
      </c>
      <c r="O158" s="7">
        <f>IF($W158="","",IF(INDEX('Per Invoice'!O$2:O$801,$W158)="","",INDEX('Per Invoice'!O$2:O$801,$W158)))</f>
        <v/>
      </c>
      <c r="P158">
        <f>IF($W158="","",IF(INDEX('Per Invoice'!P$2:P$801,$W158)="","",INDEX('Per Invoice'!P$2:P$801,$W158)))</f>
        <v/>
      </c>
      <c r="Q158" s="7">
        <f>IF($W158="","",IF(INDEX('Per Invoice'!Q$2:Q$801,$W158)="","",INDEX('Per Invoice'!Q$2:Q$801,$W158)))</f>
        <v/>
      </c>
      <c r="R158" s="7">
        <f>IF($W158="","",IF(INDEX('Per Invoice'!R$2:R$801,$W158)="","",INDEX('Per Invoice'!R$2:R$801,$W158)))</f>
        <v/>
      </c>
      <c r="S158" s="7">
        <f>IF($W158="","",IF(INDEX('Per Invoice'!S$2:S$801,$W158)="","",INDEX('Per Invoice'!S$2:S$801,$W158)))</f>
        <v/>
      </c>
      <c r="T158" s="7">
        <f>IF($W158="","",IF(INDEX('Per Invoice'!T$2:T$801,$W158)="","",INDEX('Per Invoice'!T$2:T$801,$W158)))</f>
        <v/>
      </c>
      <c r="U158" s="7">
        <f>IF($W158="","",IF(INDEX('Per Invoice'!U$2:U$801,$W158)="","",INDEX('Per Invoice'!U$2:U$801,$W158)))</f>
        <v/>
      </c>
      <c r="V158" s="7">
        <f>IF($W158="","",IF(INDEX('Per Invoice'!V$2:V$801,$W158)="","",INDEX('Per Invoice'!V$2:V$801,$W158)))</f>
        <v/>
      </c>
      <c r="W158" s="16">
        <f>IFERROR(MATCH(Settings!$C$28&amp;"|"&amp;ROWS($W$2:$W158),'Per Invoice'!$X$2:$X$801,0),"")</f>
        <v/>
      </c>
    </row>
    <row r="159">
      <c r="A159">
        <f>IF($W159="","",IF(INDEX('Per Invoice'!A$2:A$801,$W159)="","",INDEX('Per Invoice'!A$2:A$801,$W159)))</f>
        <v/>
      </c>
      <c r="B159">
        <f>IF($W159="","",IF(INDEX('Per Invoice'!B$2:B$801,$W159)="","",INDEX('Per Invoice'!B$2:B$801,$W159)))</f>
        <v/>
      </c>
      <c r="C159">
        <f>IF($W159="","",IF(INDEX('Per Invoice'!C$2:C$801,$W159)="","",INDEX('Per Invoice'!C$2:C$801,$W159)))</f>
        <v/>
      </c>
      <c r="D159">
        <f>IF($W159="","",IF(INDEX('Per Invoice'!D$2:D$801,$W159)="","",INDEX('Per Invoice'!D$2:D$801,$W159)))</f>
        <v/>
      </c>
      <c r="E159">
        <f>IF($W159="","",IF(INDEX('Per Invoice'!E$2:E$801,$W159)="","",INDEX('Per Invoice'!E$2:E$801,$W159)))</f>
        <v/>
      </c>
      <c r="F159">
        <f>IF($W159="","",IF(INDEX('Per Invoice'!F$2:F$801,$W159)="","",INDEX('Per Invoice'!F$2:F$801,$W159)))</f>
        <v/>
      </c>
      <c r="G159">
        <f>IF($W159="","",IF(INDEX('Per Invoice'!G$2:G$801,$W159)="","",INDEX('Per Invoice'!G$2:G$801,$W159)))</f>
        <v/>
      </c>
      <c r="H159">
        <f>IF($W159="","",IF(INDEX('Per Invoice'!H$2:H$801,$W159)="","",INDEX('Per Invoice'!H$2:H$801,$W159)))</f>
        <v/>
      </c>
      <c r="I159">
        <f>IF($W159="","",IF(INDEX('Per Invoice'!I$2:I$801,$W159)="","",INDEX('Per Invoice'!I$2:I$801,$W159)))</f>
        <v/>
      </c>
      <c r="J159">
        <f>IF($W159="","",IF(INDEX('Per Invoice'!J$2:J$801,$W159)="","",INDEX('Per Invoice'!J$2:J$801,$W159)))</f>
        <v/>
      </c>
      <c r="K159" s="7">
        <f>IF($W159="","",IF(INDEX('Per Invoice'!K$2:K$801,$W159)="","",INDEX('Per Invoice'!K$2:K$801,$W159)))</f>
        <v/>
      </c>
      <c r="L159" s="14">
        <f>IF($W159="","",IF(INDEX('Per Invoice'!L$2:L$801,$W159)="","",INDEX('Per Invoice'!L$2:L$801,$W159)))</f>
        <v/>
      </c>
      <c r="M159">
        <f>IF($W159="","",IF(INDEX('Per Invoice'!M$2:M$801,$W159)="","",INDEX('Per Invoice'!M$2:M$801,$W159)))</f>
        <v/>
      </c>
      <c r="N159" s="7">
        <f>IF($W159="","",IF(INDEX('Per Invoice'!N$2:N$801,$W159)="","",INDEX('Per Invoice'!N$2:N$801,$W159)))</f>
        <v/>
      </c>
      <c r="O159" s="7">
        <f>IF($W159="","",IF(INDEX('Per Invoice'!O$2:O$801,$W159)="","",INDEX('Per Invoice'!O$2:O$801,$W159)))</f>
        <v/>
      </c>
      <c r="P159">
        <f>IF($W159="","",IF(INDEX('Per Invoice'!P$2:P$801,$W159)="","",INDEX('Per Invoice'!P$2:P$801,$W159)))</f>
        <v/>
      </c>
      <c r="Q159" s="7">
        <f>IF($W159="","",IF(INDEX('Per Invoice'!Q$2:Q$801,$W159)="","",INDEX('Per Invoice'!Q$2:Q$801,$W159)))</f>
        <v/>
      </c>
      <c r="R159" s="7">
        <f>IF($W159="","",IF(INDEX('Per Invoice'!R$2:R$801,$W159)="","",INDEX('Per Invoice'!R$2:R$801,$W159)))</f>
        <v/>
      </c>
      <c r="S159" s="7">
        <f>IF($W159="","",IF(INDEX('Per Invoice'!S$2:S$801,$W159)="","",INDEX('Per Invoice'!S$2:S$801,$W159)))</f>
        <v/>
      </c>
      <c r="T159" s="7">
        <f>IF($W159="","",IF(INDEX('Per Invoice'!T$2:T$801,$W159)="","",INDEX('Per Invoice'!T$2:T$801,$W159)))</f>
        <v/>
      </c>
      <c r="U159" s="7">
        <f>IF($W159="","",IF(INDEX('Per Invoice'!U$2:U$801,$W159)="","",INDEX('Per Invoice'!U$2:U$801,$W159)))</f>
        <v/>
      </c>
      <c r="V159" s="7">
        <f>IF($W159="","",IF(INDEX('Per Invoice'!V$2:V$801,$W159)="","",INDEX('Per Invoice'!V$2:V$801,$W159)))</f>
        <v/>
      </c>
      <c r="W159" s="16">
        <f>IFERROR(MATCH(Settings!$C$28&amp;"|"&amp;ROWS($W$2:$W159),'Per Invoice'!$X$2:$X$801,0),"")</f>
        <v/>
      </c>
    </row>
    <row r="160">
      <c r="A160">
        <f>IF($W160="","",IF(INDEX('Per Invoice'!A$2:A$801,$W160)="","",INDEX('Per Invoice'!A$2:A$801,$W160)))</f>
        <v/>
      </c>
      <c r="B160">
        <f>IF($W160="","",IF(INDEX('Per Invoice'!B$2:B$801,$W160)="","",INDEX('Per Invoice'!B$2:B$801,$W160)))</f>
        <v/>
      </c>
      <c r="C160">
        <f>IF($W160="","",IF(INDEX('Per Invoice'!C$2:C$801,$W160)="","",INDEX('Per Invoice'!C$2:C$801,$W160)))</f>
        <v/>
      </c>
      <c r="D160">
        <f>IF($W160="","",IF(INDEX('Per Invoice'!D$2:D$801,$W160)="","",INDEX('Per Invoice'!D$2:D$801,$W160)))</f>
        <v/>
      </c>
      <c r="E160">
        <f>IF($W160="","",IF(INDEX('Per Invoice'!E$2:E$801,$W160)="","",INDEX('Per Invoice'!E$2:E$801,$W160)))</f>
        <v/>
      </c>
      <c r="F160">
        <f>IF($W160="","",IF(INDEX('Per Invoice'!F$2:F$801,$W160)="","",INDEX('Per Invoice'!F$2:F$801,$W160)))</f>
        <v/>
      </c>
      <c r="G160">
        <f>IF($W160="","",IF(INDEX('Per Invoice'!G$2:G$801,$W160)="","",INDEX('Per Invoice'!G$2:G$801,$W160)))</f>
        <v/>
      </c>
      <c r="H160">
        <f>IF($W160="","",IF(INDEX('Per Invoice'!H$2:H$801,$W160)="","",INDEX('Per Invoice'!H$2:H$801,$W160)))</f>
        <v/>
      </c>
      <c r="I160">
        <f>IF($W160="","",IF(INDEX('Per Invoice'!I$2:I$801,$W160)="","",INDEX('Per Invoice'!I$2:I$801,$W160)))</f>
        <v/>
      </c>
      <c r="J160">
        <f>IF($W160="","",IF(INDEX('Per Invoice'!J$2:J$801,$W160)="","",INDEX('Per Invoice'!J$2:J$801,$W160)))</f>
        <v/>
      </c>
      <c r="K160" s="7">
        <f>IF($W160="","",IF(INDEX('Per Invoice'!K$2:K$801,$W160)="","",INDEX('Per Invoice'!K$2:K$801,$W160)))</f>
        <v/>
      </c>
      <c r="L160" s="14">
        <f>IF($W160="","",IF(INDEX('Per Invoice'!L$2:L$801,$W160)="","",INDEX('Per Invoice'!L$2:L$801,$W160)))</f>
        <v/>
      </c>
      <c r="M160">
        <f>IF($W160="","",IF(INDEX('Per Invoice'!M$2:M$801,$W160)="","",INDEX('Per Invoice'!M$2:M$801,$W160)))</f>
        <v/>
      </c>
      <c r="N160" s="7">
        <f>IF($W160="","",IF(INDEX('Per Invoice'!N$2:N$801,$W160)="","",INDEX('Per Invoice'!N$2:N$801,$W160)))</f>
        <v/>
      </c>
      <c r="O160" s="7">
        <f>IF($W160="","",IF(INDEX('Per Invoice'!O$2:O$801,$W160)="","",INDEX('Per Invoice'!O$2:O$801,$W160)))</f>
        <v/>
      </c>
      <c r="P160">
        <f>IF($W160="","",IF(INDEX('Per Invoice'!P$2:P$801,$W160)="","",INDEX('Per Invoice'!P$2:P$801,$W160)))</f>
        <v/>
      </c>
      <c r="Q160" s="7">
        <f>IF($W160="","",IF(INDEX('Per Invoice'!Q$2:Q$801,$W160)="","",INDEX('Per Invoice'!Q$2:Q$801,$W160)))</f>
        <v/>
      </c>
      <c r="R160" s="7">
        <f>IF($W160="","",IF(INDEX('Per Invoice'!R$2:R$801,$W160)="","",INDEX('Per Invoice'!R$2:R$801,$W160)))</f>
        <v/>
      </c>
      <c r="S160" s="7">
        <f>IF($W160="","",IF(INDEX('Per Invoice'!S$2:S$801,$W160)="","",INDEX('Per Invoice'!S$2:S$801,$W160)))</f>
        <v/>
      </c>
      <c r="T160" s="7">
        <f>IF($W160="","",IF(INDEX('Per Invoice'!T$2:T$801,$W160)="","",INDEX('Per Invoice'!T$2:T$801,$W160)))</f>
        <v/>
      </c>
      <c r="U160" s="7">
        <f>IF($W160="","",IF(INDEX('Per Invoice'!U$2:U$801,$W160)="","",INDEX('Per Invoice'!U$2:U$801,$W160)))</f>
        <v/>
      </c>
      <c r="V160" s="7">
        <f>IF($W160="","",IF(INDEX('Per Invoice'!V$2:V$801,$W160)="","",INDEX('Per Invoice'!V$2:V$801,$W160)))</f>
        <v/>
      </c>
      <c r="W160" s="16">
        <f>IFERROR(MATCH(Settings!$C$28&amp;"|"&amp;ROWS($W$2:$W160),'Per Invoice'!$X$2:$X$801,0),"")</f>
        <v/>
      </c>
    </row>
    <row r="161">
      <c r="A161">
        <f>IF($W161="","",IF(INDEX('Per Invoice'!A$2:A$801,$W161)="","",INDEX('Per Invoice'!A$2:A$801,$W161)))</f>
        <v/>
      </c>
      <c r="B161">
        <f>IF($W161="","",IF(INDEX('Per Invoice'!B$2:B$801,$W161)="","",INDEX('Per Invoice'!B$2:B$801,$W161)))</f>
        <v/>
      </c>
      <c r="C161">
        <f>IF($W161="","",IF(INDEX('Per Invoice'!C$2:C$801,$W161)="","",INDEX('Per Invoice'!C$2:C$801,$W161)))</f>
        <v/>
      </c>
      <c r="D161">
        <f>IF($W161="","",IF(INDEX('Per Invoice'!D$2:D$801,$W161)="","",INDEX('Per Invoice'!D$2:D$801,$W161)))</f>
        <v/>
      </c>
      <c r="E161">
        <f>IF($W161="","",IF(INDEX('Per Invoice'!E$2:E$801,$W161)="","",INDEX('Per Invoice'!E$2:E$801,$W161)))</f>
        <v/>
      </c>
      <c r="F161">
        <f>IF($W161="","",IF(INDEX('Per Invoice'!F$2:F$801,$W161)="","",INDEX('Per Invoice'!F$2:F$801,$W161)))</f>
        <v/>
      </c>
      <c r="G161">
        <f>IF($W161="","",IF(INDEX('Per Invoice'!G$2:G$801,$W161)="","",INDEX('Per Invoice'!G$2:G$801,$W161)))</f>
        <v/>
      </c>
      <c r="H161">
        <f>IF($W161="","",IF(INDEX('Per Invoice'!H$2:H$801,$W161)="","",INDEX('Per Invoice'!H$2:H$801,$W161)))</f>
        <v/>
      </c>
      <c r="I161">
        <f>IF($W161="","",IF(INDEX('Per Invoice'!I$2:I$801,$W161)="","",INDEX('Per Invoice'!I$2:I$801,$W161)))</f>
        <v/>
      </c>
      <c r="J161">
        <f>IF($W161="","",IF(INDEX('Per Invoice'!J$2:J$801,$W161)="","",INDEX('Per Invoice'!J$2:J$801,$W161)))</f>
        <v/>
      </c>
      <c r="K161" s="7">
        <f>IF($W161="","",IF(INDEX('Per Invoice'!K$2:K$801,$W161)="","",INDEX('Per Invoice'!K$2:K$801,$W161)))</f>
        <v/>
      </c>
      <c r="L161" s="14">
        <f>IF($W161="","",IF(INDEX('Per Invoice'!L$2:L$801,$W161)="","",INDEX('Per Invoice'!L$2:L$801,$W161)))</f>
        <v/>
      </c>
      <c r="M161">
        <f>IF($W161="","",IF(INDEX('Per Invoice'!M$2:M$801,$W161)="","",INDEX('Per Invoice'!M$2:M$801,$W161)))</f>
        <v/>
      </c>
      <c r="N161" s="7">
        <f>IF($W161="","",IF(INDEX('Per Invoice'!N$2:N$801,$W161)="","",INDEX('Per Invoice'!N$2:N$801,$W161)))</f>
        <v/>
      </c>
      <c r="O161" s="7">
        <f>IF($W161="","",IF(INDEX('Per Invoice'!O$2:O$801,$W161)="","",INDEX('Per Invoice'!O$2:O$801,$W161)))</f>
        <v/>
      </c>
      <c r="P161">
        <f>IF($W161="","",IF(INDEX('Per Invoice'!P$2:P$801,$W161)="","",INDEX('Per Invoice'!P$2:P$801,$W161)))</f>
        <v/>
      </c>
      <c r="Q161" s="7">
        <f>IF($W161="","",IF(INDEX('Per Invoice'!Q$2:Q$801,$W161)="","",INDEX('Per Invoice'!Q$2:Q$801,$W161)))</f>
        <v/>
      </c>
      <c r="R161" s="7">
        <f>IF($W161="","",IF(INDEX('Per Invoice'!R$2:R$801,$W161)="","",INDEX('Per Invoice'!R$2:R$801,$W161)))</f>
        <v/>
      </c>
      <c r="S161" s="7">
        <f>IF($W161="","",IF(INDEX('Per Invoice'!S$2:S$801,$W161)="","",INDEX('Per Invoice'!S$2:S$801,$W161)))</f>
        <v/>
      </c>
      <c r="T161" s="7">
        <f>IF($W161="","",IF(INDEX('Per Invoice'!T$2:T$801,$W161)="","",INDEX('Per Invoice'!T$2:T$801,$W161)))</f>
        <v/>
      </c>
      <c r="U161" s="7">
        <f>IF($W161="","",IF(INDEX('Per Invoice'!U$2:U$801,$W161)="","",INDEX('Per Invoice'!U$2:U$801,$W161)))</f>
        <v/>
      </c>
      <c r="V161" s="7">
        <f>IF($W161="","",IF(INDEX('Per Invoice'!V$2:V$801,$W161)="","",INDEX('Per Invoice'!V$2:V$801,$W161)))</f>
        <v/>
      </c>
      <c r="W161" s="16">
        <f>IFERROR(MATCH(Settings!$C$28&amp;"|"&amp;ROWS($W$2:$W161),'Per Invoice'!$X$2:$X$801,0),"")</f>
        <v/>
      </c>
    </row>
    <row r="162">
      <c r="A162">
        <f>IF($W162="","",IF(INDEX('Per Invoice'!A$2:A$801,$W162)="","",INDEX('Per Invoice'!A$2:A$801,$W162)))</f>
        <v/>
      </c>
      <c r="B162">
        <f>IF($W162="","",IF(INDEX('Per Invoice'!B$2:B$801,$W162)="","",INDEX('Per Invoice'!B$2:B$801,$W162)))</f>
        <v/>
      </c>
      <c r="C162">
        <f>IF($W162="","",IF(INDEX('Per Invoice'!C$2:C$801,$W162)="","",INDEX('Per Invoice'!C$2:C$801,$W162)))</f>
        <v/>
      </c>
      <c r="D162">
        <f>IF($W162="","",IF(INDEX('Per Invoice'!D$2:D$801,$W162)="","",INDEX('Per Invoice'!D$2:D$801,$W162)))</f>
        <v/>
      </c>
      <c r="E162">
        <f>IF($W162="","",IF(INDEX('Per Invoice'!E$2:E$801,$W162)="","",INDEX('Per Invoice'!E$2:E$801,$W162)))</f>
        <v/>
      </c>
      <c r="F162">
        <f>IF($W162="","",IF(INDEX('Per Invoice'!F$2:F$801,$W162)="","",INDEX('Per Invoice'!F$2:F$801,$W162)))</f>
        <v/>
      </c>
      <c r="G162">
        <f>IF($W162="","",IF(INDEX('Per Invoice'!G$2:G$801,$W162)="","",INDEX('Per Invoice'!G$2:G$801,$W162)))</f>
        <v/>
      </c>
      <c r="H162">
        <f>IF($W162="","",IF(INDEX('Per Invoice'!H$2:H$801,$W162)="","",INDEX('Per Invoice'!H$2:H$801,$W162)))</f>
        <v/>
      </c>
      <c r="I162">
        <f>IF($W162="","",IF(INDEX('Per Invoice'!I$2:I$801,$W162)="","",INDEX('Per Invoice'!I$2:I$801,$W162)))</f>
        <v/>
      </c>
      <c r="J162">
        <f>IF($W162="","",IF(INDEX('Per Invoice'!J$2:J$801,$W162)="","",INDEX('Per Invoice'!J$2:J$801,$W162)))</f>
        <v/>
      </c>
      <c r="K162" s="7">
        <f>IF($W162="","",IF(INDEX('Per Invoice'!K$2:K$801,$W162)="","",INDEX('Per Invoice'!K$2:K$801,$W162)))</f>
        <v/>
      </c>
      <c r="L162" s="14">
        <f>IF($W162="","",IF(INDEX('Per Invoice'!L$2:L$801,$W162)="","",INDEX('Per Invoice'!L$2:L$801,$W162)))</f>
        <v/>
      </c>
      <c r="M162">
        <f>IF($W162="","",IF(INDEX('Per Invoice'!M$2:M$801,$W162)="","",INDEX('Per Invoice'!M$2:M$801,$W162)))</f>
        <v/>
      </c>
      <c r="N162" s="7">
        <f>IF($W162="","",IF(INDEX('Per Invoice'!N$2:N$801,$W162)="","",INDEX('Per Invoice'!N$2:N$801,$W162)))</f>
        <v/>
      </c>
      <c r="O162" s="7">
        <f>IF($W162="","",IF(INDEX('Per Invoice'!O$2:O$801,$W162)="","",INDEX('Per Invoice'!O$2:O$801,$W162)))</f>
        <v/>
      </c>
      <c r="P162">
        <f>IF($W162="","",IF(INDEX('Per Invoice'!P$2:P$801,$W162)="","",INDEX('Per Invoice'!P$2:P$801,$W162)))</f>
        <v/>
      </c>
      <c r="Q162" s="7">
        <f>IF($W162="","",IF(INDEX('Per Invoice'!Q$2:Q$801,$W162)="","",INDEX('Per Invoice'!Q$2:Q$801,$W162)))</f>
        <v/>
      </c>
      <c r="R162" s="7">
        <f>IF($W162="","",IF(INDEX('Per Invoice'!R$2:R$801,$W162)="","",INDEX('Per Invoice'!R$2:R$801,$W162)))</f>
        <v/>
      </c>
      <c r="S162" s="7">
        <f>IF($W162="","",IF(INDEX('Per Invoice'!S$2:S$801,$W162)="","",INDEX('Per Invoice'!S$2:S$801,$W162)))</f>
        <v/>
      </c>
      <c r="T162" s="7">
        <f>IF($W162="","",IF(INDEX('Per Invoice'!T$2:T$801,$W162)="","",INDEX('Per Invoice'!T$2:T$801,$W162)))</f>
        <v/>
      </c>
      <c r="U162" s="7">
        <f>IF($W162="","",IF(INDEX('Per Invoice'!U$2:U$801,$W162)="","",INDEX('Per Invoice'!U$2:U$801,$W162)))</f>
        <v/>
      </c>
      <c r="V162" s="7">
        <f>IF($W162="","",IF(INDEX('Per Invoice'!V$2:V$801,$W162)="","",INDEX('Per Invoice'!V$2:V$801,$W162)))</f>
        <v/>
      </c>
      <c r="W162" s="16">
        <f>IFERROR(MATCH(Settings!$C$28&amp;"|"&amp;ROWS($W$2:$W162),'Per Invoice'!$X$2:$X$801,0),"")</f>
        <v/>
      </c>
    </row>
    <row r="163">
      <c r="A163">
        <f>IF($W163="","",IF(INDEX('Per Invoice'!A$2:A$801,$W163)="","",INDEX('Per Invoice'!A$2:A$801,$W163)))</f>
        <v/>
      </c>
      <c r="B163">
        <f>IF($W163="","",IF(INDEX('Per Invoice'!B$2:B$801,$W163)="","",INDEX('Per Invoice'!B$2:B$801,$W163)))</f>
        <v/>
      </c>
      <c r="C163">
        <f>IF($W163="","",IF(INDEX('Per Invoice'!C$2:C$801,$W163)="","",INDEX('Per Invoice'!C$2:C$801,$W163)))</f>
        <v/>
      </c>
      <c r="D163">
        <f>IF($W163="","",IF(INDEX('Per Invoice'!D$2:D$801,$W163)="","",INDEX('Per Invoice'!D$2:D$801,$W163)))</f>
        <v/>
      </c>
      <c r="E163">
        <f>IF($W163="","",IF(INDEX('Per Invoice'!E$2:E$801,$W163)="","",INDEX('Per Invoice'!E$2:E$801,$W163)))</f>
        <v/>
      </c>
      <c r="F163">
        <f>IF($W163="","",IF(INDEX('Per Invoice'!F$2:F$801,$W163)="","",INDEX('Per Invoice'!F$2:F$801,$W163)))</f>
        <v/>
      </c>
      <c r="G163">
        <f>IF($W163="","",IF(INDEX('Per Invoice'!G$2:G$801,$W163)="","",INDEX('Per Invoice'!G$2:G$801,$W163)))</f>
        <v/>
      </c>
      <c r="H163">
        <f>IF($W163="","",IF(INDEX('Per Invoice'!H$2:H$801,$W163)="","",INDEX('Per Invoice'!H$2:H$801,$W163)))</f>
        <v/>
      </c>
      <c r="I163">
        <f>IF($W163="","",IF(INDEX('Per Invoice'!I$2:I$801,$W163)="","",INDEX('Per Invoice'!I$2:I$801,$W163)))</f>
        <v/>
      </c>
      <c r="J163">
        <f>IF($W163="","",IF(INDEX('Per Invoice'!J$2:J$801,$W163)="","",INDEX('Per Invoice'!J$2:J$801,$W163)))</f>
        <v/>
      </c>
      <c r="K163" s="7">
        <f>IF($W163="","",IF(INDEX('Per Invoice'!K$2:K$801,$W163)="","",INDEX('Per Invoice'!K$2:K$801,$W163)))</f>
        <v/>
      </c>
      <c r="L163" s="14">
        <f>IF($W163="","",IF(INDEX('Per Invoice'!L$2:L$801,$W163)="","",INDEX('Per Invoice'!L$2:L$801,$W163)))</f>
        <v/>
      </c>
      <c r="M163">
        <f>IF($W163="","",IF(INDEX('Per Invoice'!M$2:M$801,$W163)="","",INDEX('Per Invoice'!M$2:M$801,$W163)))</f>
        <v/>
      </c>
      <c r="N163" s="7">
        <f>IF($W163="","",IF(INDEX('Per Invoice'!N$2:N$801,$W163)="","",INDEX('Per Invoice'!N$2:N$801,$W163)))</f>
        <v/>
      </c>
      <c r="O163" s="7">
        <f>IF($W163="","",IF(INDEX('Per Invoice'!O$2:O$801,$W163)="","",INDEX('Per Invoice'!O$2:O$801,$W163)))</f>
        <v/>
      </c>
      <c r="P163">
        <f>IF($W163="","",IF(INDEX('Per Invoice'!P$2:P$801,$W163)="","",INDEX('Per Invoice'!P$2:P$801,$W163)))</f>
        <v/>
      </c>
      <c r="Q163" s="7">
        <f>IF($W163="","",IF(INDEX('Per Invoice'!Q$2:Q$801,$W163)="","",INDEX('Per Invoice'!Q$2:Q$801,$W163)))</f>
        <v/>
      </c>
      <c r="R163" s="7">
        <f>IF($W163="","",IF(INDEX('Per Invoice'!R$2:R$801,$W163)="","",INDEX('Per Invoice'!R$2:R$801,$W163)))</f>
        <v/>
      </c>
      <c r="S163" s="7">
        <f>IF($W163="","",IF(INDEX('Per Invoice'!S$2:S$801,$W163)="","",INDEX('Per Invoice'!S$2:S$801,$W163)))</f>
        <v/>
      </c>
      <c r="T163" s="7">
        <f>IF($W163="","",IF(INDEX('Per Invoice'!T$2:T$801,$W163)="","",INDEX('Per Invoice'!T$2:T$801,$W163)))</f>
        <v/>
      </c>
      <c r="U163" s="7">
        <f>IF($W163="","",IF(INDEX('Per Invoice'!U$2:U$801,$W163)="","",INDEX('Per Invoice'!U$2:U$801,$W163)))</f>
        <v/>
      </c>
      <c r="V163" s="7">
        <f>IF($W163="","",IF(INDEX('Per Invoice'!V$2:V$801,$W163)="","",INDEX('Per Invoice'!V$2:V$801,$W163)))</f>
        <v/>
      </c>
      <c r="W163" s="16">
        <f>IFERROR(MATCH(Settings!$C$28&amp;"|"&amp;ROWS($W$2:$W163),'Per Invoice'!$X$2:$X$801,0),"")</f>
        <v/>
      </c>
    </row>
    <row r="164">
      <c r="A164">
        <f>IF($W164="","",IF(INDEX('Per Invoice'!A$2:A$801,$W164)="","",INDEX('Per Invoice'!A$2:A$801,$W164)))</f>
        <v/>
      </c>
      <c r="B164">
        <f>IF($W164="","",IF(INDEX('Per Invoice'!B$2:B$801,$W164)="","",INDEX('Per Invoice'!B$2:B$801,$W164)))</f>
        <v/>
      </c>
      <c r="C164">
        <f>IF($W164="","",IF(INDEX('Per Invoice'!C$2:C$801,$W164)="","",INDEX('Per Invoice'!C$2:C$801,$W164)))</f>
        <v/>
      </c>
      <c r="D164">
        <f>IF($W164="","",IF(INDEX('Per Invoice'!D$2:D$801,$W164)="","",INDEX('Per Invoice'!D$2:D$801,$W164)))</f>
        <v/>
      </c>
      <c r="E164">
        <f>IF($W164="","",IF(INDEX('Per Invoice'!E$2:E$801,$W164)="","",INDEX('Per Invoice'!E$2:E$801,$W164)))</f>
        <v/>
      </c>
      <c r="F164">
        <f>IF($W164="","",IF(INDEX('Per Invoice'!F$2:F$801,$W164)="","",INDEX('Per Invoice'!F$2:F$801,$W164)))</f>
        <v/>
      </c>
      <c r="G164">
        <f>IF($W164="","",IF(INDEX('Per Invoice'!G$2:G$801,$W164)="","",INDEX('Per Invoice'!G$2:G$801,$W164)))</f>
        <v/>
      </c>
      <c r="H164">
        <f>IF($W164="","",IF(INDEX('Per Invoice'!H$2:H$801,$W164)="","",INDEX('Per Invoice'!H$2:H$801,$W164)))</f>
        <v/>
      </c>
      <c r="I164">
        <f>IF($W164="","",IF(INDEX('Per Invoice'!I$2:I$801,$W164)="","",INDEX('Per Invoice'!I$2:I$801,$W164)))</f>
        <v/>
      </c>
      <c r="J164">
        <f>IF($W164="","",IF(INDEX('Per Invoice'!J$2:J$801,$W164)="","",INDEX('Per Invoice'!J$2:J$801,$W164)))</f>
        <v/>
      </c>
      <c r="K164" s="7">
        <f>IF($W164="","",IF(INDEX('Per Invoice'!K$2:K$801,$W164)="","",INDEX('Per Invoice'!K$2:K$801,$W164)))</f>
        <v/>
      </c>
      <c r="L164" s="14">
        <f>IF($W164="","",IF(INDEX('Per Invoice'!L$2:L$801,$W164)="","",INDEX('Per Invoice'!L$2:L$801,$W164)))</f>
        <v/>
      </c>
      <c r="M164">
        <f>IF($W164="","",IF(INDEX('Per Invoice'!M$2:M$801,$W164)="","",INDEX('Per Invoice'!M$2:M$801,$W164)))</f>
        <v/>
      </c>
      <c r="N164" s="7">
        <f>IF($W164="","",IF(INDEX('Per Invoice'!N$2:N$801,$W164)="","",INDEX('Per Invoice'!N$2:N$801,$W164)))</f>
        <v/>
      </c>
      <c r="O164" s="7">
        <f>IF($W164="","",IF(INDEX('Per Invoice'!O$2:O$801,$W164)="","",INDEX('Per Invoice'!O$2:O$801,$W164)))</f>
        <v/>
      </c>
      <c r="P164">
        <f>IF($W164="","",IF(INDEX('Per Invoice'!P$2:P$801,$W164)="","",INDEX('Per Invoice'!P$2:P$801,$W164)))</f>
        <v/>
      </c>
      <c r="Q164" s="7">
        <f>IF($W164="","",IF(INDEX('Per Invoice'!Q$2:Q$801,$W164)="","",INDEX('Per Invoice'!Q$2:Q$801,$W164)))</f>
        <v/>
      </c>
      <c r="R164" s="7">
        <f>IF($W164="","",IF(INDEX('Per Invoice'!R$2:R$801,$W164)="","",INDEX('Per Invoice'!R$2:R$801,$W164)))</f>
        <v/>
      </c>
      <c r="S164" s="7">
        <f>IF($W164="","",IF(INDEX('Per Invoice'!S$2:S$801,$W164)="","",INDEX('Per Invoice'!S$2:S$801,$W164)))</f>
        <v/>
      </c>
      <c r="T164" s="7">
        <f>IF($W164="","",IF(INDEX('Per Invoice'!T$2:T$801,$W164)="","",INDEX('Per Invoice'!T$2:T$801,$W164)))</f>
        <v/>
      </c>
      <c r="U164" s="7">
        <f>IF($W164="","",IF(INDEX('Per Invoice'!U$2:U$801,$W164)="","",INDEX('Per Invoice'!U$2:U$801,$W164)))</f>
        <v/>
      </c>
      <c r="V164" s="7">
        <f>IF($W164="","",IF(INDEX('Per Invoice'!V$2:V$801,$W164)="","",INDEX('Per Invoice'!V$2:V$801,$W164)))</f>
        <v/>
      </c>
      <c r="W164" s="16">
        <f>IFERROR(MATCH(Settings!$C$28&amp;"|"&amp;ROWS($W$2:$W164),'Per Invoice'!$X$2:$X$801,0),"")</f>
        <v/>
      </c>
    </row>
    <row r="165">
      <c r="A165">
        <f>IF($W165="","",IF(INDEX('Per Invoice'!A$2:A$801,$W165)="","",INDEX('Per Invoice'!A$2:A$801,$W165)))</f>
        <v/>
      </c>
      <c r="B165">
        <f>IF($W165="","",IF(INDEX('Per Invoice'!B$2:B$801,$W165)="","",INDEX('Per Invoice'!B$2:B$801,$W165)))</f>
        <v/>
      </c>
      <c r="C165">
        <f>IF($W165="","",IF(INDEX('Per Invoice'!C$2:C$801,$W165)="","",INDEX('Per Invoice'!C$2:C$801,$W165)))</f>
        <v/>
      </c>
      <c r="D165">
        <f>IF($W165="","",IF(INDEX('Per Invoice'!D$2:D$801,$W165)="","",INDEX('Per Invoice'!D$2:D$801,$W165)))</f>
        <v/>
      </c>
      <c r="E165">
        <f>IF($W165="","",IF(INDEX('Per Invoice'!E$2:E$801,$W165)="","",INDEX('Per Invoice'!E$2:E$801,$W165)))</f>
        <v/>
      </c>
      <c r="F165">
        <f>IF($W165="","",IF(INDEX('Per Invoice'!F$2:F$801,$W165)="","",INDEX('Per Invoice'!F$2:F$801,$W165)))</f>
        <v/>
      </c>
      <c r="G165">
        <f>IF($W165="","",IF(INDEX('Per Invoice'!G$2:G$801,$W165)="","",INDEX('Per Invoice'!G$2:G$801,$W165)))</f>
        <v/>
      </c>
      <c r="H165">
        <f>IF($W165="","",IF(INDEX('Per Invoice'!H$2:H$801,$W165)="","",INDEX('Per Invoice'!H$2:H$801,$W165)))</f>
        <v/>
      </c>
      <c r="I165">
        <f>IF($W165="","",IF(INDEX('Per Invoice'!I$2:I$801,$W165)="","",INDEX('Per Invoice'!I$2:I$801,$W165)))</f>
        <v/>
      </c>
      <c r="J165">
        <f>IF($W165="","",IF(INDEX('Per Invoice'!J$2:J$801,$W165)="","",INDEX('Per Invoice'!J$2:J$801,$W165)))</f>
        <v/>
      </c>
      <c r="K165" s="7">
        <f>IF($W165="","",IF(INDEX('Per Invoice'!K$2:K$801,$W165)="","",INDEX('Per Invoice'!K$2:K$801,$W165)))</f>
        <v/>
      </c>
      <c r="L165" s="14">
        <f>IF($W165="","",IF(INDEX('Per Invoice'!L$2:L$801,$W165)="","",INDEX('Per Invoice'!L$2:L$801,$W165)))</f>
        <v/>
      </c>
      <c r="M165">
        <f>IF($W165="","",IF(INDEX('Per Invoice'!M$2:M$801,$W165)="","",INDEX('Per Invoice'!M$2:M$801,$W165)))</f>
        <v/>
      </c>
      <c r="N165" s="7">
        <f>IF($W165="","",IF(INDEX('Per Invoice'!N$2:N$801,$W165)="","",INDEX('Per Invoice'!N$2:N$801,$W165)))</f>
        <v/>
      </c>
      <c r="O165" s="7">
        <f>IF($W165="","",IF(INDEX('Per Invoice'!O$2:O$801,$W165)="","",INDEX('Per Invoice'!O$2:O$801,$W165)))</f>
        <v/>
      </c>
      <c r="P165">
        <f>IF($W165="","",IF(INDEX('Per Invoice'!P$2:P$801,$W165)="","",INDEX('Per Invoice'!P$2:P$801,$W165)))</f>
        <v/>
      </c>
      <c r="Q165" s="7">
        <f>IF($W165="","",IF(INDEX('Per Invoice'!Q$2:Q$801,$W165)="","",INDEX('Per Invoice'!Q$2:Q$801,$W165)))</f>
        <v/>
      </c>
      <c r="R165" s="7">
        <f>IF($W165="","",IF(INDEX('Per Invoice'!R$2:R$801,$W165)="","",INDEX('Per Invoice'!R$2:R$801,$W165)))</f>
        <v/>
      </c>
      <c r="S165" s="7">
        <f>IF($W165="","",IF(INDEX('Per Invoice'!S$2:S$801,$W165)="","",INDEX('Per Invoice'!S$2:S$801,$W165)))</f>
        <v/>
      </c>
      <c r="T165" s="7">
        <f>IF($W165="","",IF(INDEX('Per Invoice'!T$2:T$801,$W165)="","",INDEX('Per Invoice'!T$2:T$801,$W165)))</f>
        <v/>
      </c>
      <c r="U165" s="7">
        <f>IF($W165="","",IF(INDEX('Per Invoice'!U$2:U$801,$W165)="","",INDEX('Per Invoice'!U$2:U$801,$W165)))</f>
        <v/>
      </c>
      <c r="V165" s="7">
        <f>IF($W165="","",IF(INDEX('Per Invoice'!V$2:V$801,$W165)="","",INDEX('Per Invoice'!V$2:V$801,$W165)))</f>
        <v/>
      </c>
      <c r="W165" s="16">
        <f>IFERROR(MATCH(Settings!$C$28&amp;"|"&amp;ROWS($W$2:$W165),'Per Invoice'!$X$2:$X$801,0),"")</f>
        <v/>
      </c>
    </row>
    <row r="166">
      <c r="A166">
        <f>IF($W166="","",IF(INDEX('Per Invoice'!A$2:A$801,$W166)="","",INDEX('Per Invoice'!A$2:A$801,$W166)))</f>
        <v/>
      </c>
      <c r="B166">
        <f>IF($W166="","",IF(INDEX('Per Invoice'!B$2:B$801,$W166)="","",INDEX('Per Invoice'!B$2:B$801,$W166)))</f>
        <v/>
      </c>
      <c r="C166">
        <f>IF($W166="","",IF(INDEX('Per Invoice'!C$2:C$801,$W166)="","",INDEX('Per Invoice'!C$2:C$801,$W166)))</f>
        <v/>
      </c>
      <c r="D166">
        <f>IF($W166="","",IF(INDEX('Per Invoice'!D$2:D$801,$W166)="","",INDEX('Per Invoice'!D$2:D$801,$W166)))</f>
        <v/>
      </c>
      <c r="E166">
        <f>IF($W166="","",IF(INDEX('Per Invoice'!E$2:E$801,$W166)="","",INDEX('Per Invoice'!E$2:E$801,$W166)))</f>
        <v/>
      </c>
      <c r="F166">
        <f>IF($W166="","",IF(INDEX('Per Invoice'!F$2:F$801,$W166)="","",INDEX('Per Invoice'!F$2:F$801,$W166)))</f>
        <v/>
      </c>
      <c r="G166">
        <f>IF($W166="","",IF(INDEX('Per Invoice'!G$2:G$801,$W166)="","",INDEX('Per Invoice'!G$2:G$801,$W166)))</f>
        <v/>
      </c>
      <c r="H166">
        <f>IF($W166="","",IF(INDEX('Per Invoice'!H$2:H$801,$W166)="","",INDEX('Per Invoice'!H$2:H$801,$W166)))</f>
        <v/>
      </c>
      <c r="I166">
        <f>IF($W166="","",IF(INDEX('Per Invoice'!I$2:I$801,$W166)="","",INDEX('Per Invoice'!I$2:I$801,$W166)))</f>
        <v/>
      </c>
      <c r="J166">
        <f>IF($W166="","",IF(INDEX('Per Invoice'!J$2:J$801,$W166)="","",INDEX('Per Invoice'!J$2:J$801,$W166)))</f>
        <v/>
      </c>
      <c r="K166" s="7">
        <f>IF($W166="","",IF(INDEX('Per Invoice'!K$2:K$801,$W166)="","",INDEX('Per Invoice'!K$2:K$801,$W166)))</f>
        <v/>
      </c>
      <c r="L166" s="14">
        <f>IF($W166="","",IF(INDEX('Per Invoice'!L$2:L$801,$W166)="","",INDEX('Per Invoice'!L$2:L$801,$W166)))</f>
        <v/>
      </c>
      <c r="M166">
        <f>IF($W166="","",IF(INDEX('Per Invoice'!M$2:M$801,$W166)="","",INDEX('Per Invoice'!M$2:M$801,$W166)))</f>
        <v/>
      </c>
      <c r="N166" s="7">
        <f>IF($W166="","",IF(INDEX('Per Invoice'!N$2:N$801,$W166)="","",INDEX('Per Invoice'!N$2:N$801,$W166)))</f>
        <v/>
      </c>
      <c r="O166" s="7">
        <f>IF($W166="","",IF(INDEX('Per Invoice'!O$2:O$801,$W166)="","",INDEX('Per Invoice'!O$2:O$801,$W166)))</f>
        <v/>
      </c>
      <c r="P166">
        <f>IF($W166="","",IF(INDEX('Per Invoice'!P$2:P$801,$W166)="","",INDEX('Per Invoice'!P$2:P$801,$W166)))</f>
        <v/>
      </c>
      <c r="Q166" s="7">
        <f>IF($W166="","",IF(INDEX('Per Invoice'!Q$2:Q$801,$W166)="","",INDEX('Per Invoice'!Q$2:Q$801,$W166)))</f>
        <v/>
      </c>
      <c r="R166" s="7">
        <f>IF($W166="","",IF(INDEX('Per Invoice'!R$2:R$801,$W166)="","",INDEX('Per Invoice'!R$2:R$801,$W166)))</f>
        <v/>
      </c>
      <c r="S166" s="7">
        <f>IF($W166="","",IF(INDEX('Per Invoice'!S$2:S$801,$W166)="","",INDEX('Per Invoice'!S$2:S$801,$W166)))</f>
        <v/>
      </c>
      <c r="T166" s="7">
        <f>IF($W166="","",IF(INDEX('Per Invoice'!T$2:T$801,$W166)="","",INDEX('Per Invoice'!T$2:T$801,$W166)))</f>
        <v/>
      </c>
      <c r="U166" s="7">
        <f>IF($W166="","",IF(INDEX('Per Invoice'!U$2:U$801,$W166)="","",INDEX('Per Invoice'!U$2:U$801,$W166)))</f>
        <v/>
      </c>
      <c r="V166" s="7">
        <f>IF($W166="","",IF(INDEX('Per Invoice'!V$2:V$801,$W166)="","",INDEX('Per Invoice'!V$2:V$801,$W166)))</f>
        <v/>
      </c>
      <c r="W166" s="16">
        <f>IFERROR(MATCH(Settings!$C$28&amp;"|"&amp;ROWS($W$2:$W166),'Per Invoice'!$X$2:$X$801,0),"")</f>
        <v/>
      </c>
    </row>
    <row r="167">
      <c r="A167">
        <f>IF($W167="","",IF(INDEX('Per Invoice'!A$2:A$801,$W167)="","",INDEX('Per Invoice'!A$2:A$801,$W167)))</f>
        <v/>
      </c>
      <c r="B167">
        <f>IF($W167="","",IF(INDEX('Per Invoice'!B$2:B$801,$W167)="","",INDEX('Per Invoice'!B$2:B$801,$W167)))</f>
        <v/>
      </c>
      <c r="C167">
        <f>IF($W167="","",IF(INDEX('Per Invoice'!C$2:C$801,$W167)="","",INDEX('Per Invoice'!C$2:C$801,$W167)))</f>
        <v/>
      </c>
      <c r="D167">
        <f>IF($W167="","",IF(INDEX('Per Invoice'!D$2:D$801,$W167)="","",INDEX('Per Invoice'!D$2:D$801,$W167)))</f>
        <v/>
      </c>
      <c r="E167">
        <f>IF($W167="","",IF(INDEX('Per Invoice'!E$2:E$801,$W167)="","",INDEX('Per Invoice'!E$2:E$801,$W167)))</f>
        <v/>
      </c>
      <c r="F167">
        <f>IF($W167="","",IF(INDEX('Per Invoice'!F$2:F$801,$W167)="","",INDEX('Per Invoice'!F$2:F$801,$W167)))</f>
        <v/>
      </c>
      <c r="G167">
        <f>IF($W167="","",IF(INDEX('Per Invoice'!G$2:G$801,$W167)="","",INDEX('Per Invoice'!G$2:G$801,$W167)))</f>
        <v/>
      </c>
      <c r="H167">
        <f>IF($W167="","",IF(INDEX('Per Invoice'!H$2:H$801,$W167)="","",INDEX('Per Invoice'!H$2:H$801,$W167)))</f>
        <v/>
      </c>
      <c r="I167">
        <f>IF($W167="","",IF(INDEX('Per Invoice'!I$2:I$801,$W167)="","",INDEX('Per Invoice'!I$2:I$801,$W167)))</f>
        <v/>
      </c>
      <c r="J167">
        <f>IF($W167="","",IF(INDEX('Per Invoice'!J$2:J$801,$W167)="","",INDEX('Per Invoice'!J$2:J$801,$W167)))</f>
        <v/>
      </c>
      <c r="K167" s="7">
        <f>IF($W167="","",IF(INDEX('Per Invoice'!K$2:K$801,$W167)="","",INDEX('Per Invoice'!K$2:K$801,$W167)))</f>
        <v/>
      </c>
      <c r="L167" s="14">
        <f>IF($W167="","",IF(INDEX('Per Invoice'!L$2:L$801,$W167)="","",INDEX('Per Invoice'!L$2:L$801,$W167)))</f>
        <v/>
      </c>
      <c r="M167">
        <f>IF($W167="","",IF(INDEX('Per Invoice'!M$2:M$801,$W167)="","",INDEX('Per Invoice'!M$2:M$801,$W167)))</f>
        <v/>
      </c>
      <c r="N167" s="7">
        <f>IF($W167="","",IF(INDEX('Per Invoice'!N$2:N$801,$W167)="","",INDEX('Per Invoice'!N$2:N$801,$W167)))</f>
        <v/>
      </c>
      <c r="O167" s="7">
        <f>IF($W167="","",IF(INDEX('Per Invoice'!O$2:O$801,$W167)="","",INDEX('Per Invoice'!O$2:O$801,$W167)))</f>
        <v/>
      </c>
      <c r="P167">
        <f>IF($W167="","",IF(INDEX('Per Invoice'!P$2:P$801,$W167)="","",INDEX('Per Invoice'!P$2:P$801,$W167)))</f>
        <v/>
      </c>
      <c r="Q167" s="7">
        <f>IF($W167="","",IF(INDEX('Per Invoice'!Q$2:Q$801,$W167)="","",INDEX('Per Invoice'!Q$2:Q$801,$W167)))</f>
        <v/>
      </c>
      <c r="R167" s="7">
        <f>IF($W167="","",IF(INDEX('Per Invoice'!R$2:R$801,$W167)="","",INDEX('Per Invoice'!R$2:R$801,$W167)))</f>
        <v/>
      </c>
      <c r="S167" s="7">
        <f>IF($W167="","",IF(INDEX('Per Invoice'!S$2:S$801,$W167)="","",INDEX('Per Invoice'!S$2:S$801,$W167)))</f>
        <v/>
      </c>
      <c r="T167" s="7">
        <f>IF($W167="","",IF(INDEX('Per Invoice'!T$2:T$801,$W167)="","",INDEX('Per Invoice'!T$2:T$801,$W167)))</f>
        <v/>
      </c>
      <c r="U167" s="7">
        <f>IF($W167="","",IF(INDEX('Per Invoice'!U$2:U$801,$W167)="","",INDEX('Per Invoice'!U$2:U$801,$W167)))</f>
        <v/>
      </c>
      <c r="V167" s="7">
        <f>IF($W167="","",IF(INDEX('Per Invoice'!V$2:V$801,$W167)="","",INDEX('Per Invoice'!V$2:V$801,$W167)))</f>
        <v/>
      </c>
      <c r="W167" s="16">
        <f>IFERROR(MATCH(Settings!$C$28&amp;"|"&amp;ROWS($W$2:$W167),'Per Invoice'!$X$2:$X$801,0),"")</f>
        <v/>
      </c>
    </row>
    <row r="168">
      <c r="A168">
        <f>IF($W168="","",IF(INDEX('Per Invoice'!A$2:A$801,$W168)="","",INDEX('Per Invoice'!A$2:A$801,$W168)))</f>
        <v/>
      </c>
      <c r="B168">
        <f>IF($W168="","",IF(INDEX('Per Invoice'!B$2:B$801,$W168)="","",INDEX('Per Invoice'!B$2:B$801,$W168)))</f>
        <v/>
      </c>
      <c r="C168">
        <f>IF($W168="","",IF(INDEX('Per Invoice'!C$2:C$801,$W168)="","",INDEX('Per Invoice'!C$2:C$801,$W168)))</f>
        <v/>
      </c>
      <c r="D168">
        <f>IF($W168="","",IF(INDEX('Per Invoice'!D$2:D$801,$W168)="","",INDEX('Per Invoice'!D$2:D$801,$W168)))</f>
        <v/>
      </c>
      <c r="E168">
        <f>IF($W168="","",IF(INDEX('Per Invoice'!E$2:E$801,$W168)="","",INDEX('Per Invoice'!E$2:E$801,$W168)))</f>
        <v/>
      </c>
      <c r="F168">
        <f>IF($W168="","",IF(INDEX('Per Invoice'!F$2:F$801,$W168)="","",INDEX('Per Invoice'!F$2:F$801,$W168)))</f>
        <v/>
      </c>
      <c r="G168">
        <f>IF($W168="","",IF(INDEX('Per Invoice'!G$2:G$801,$W168)="","",INDEX('Per Invoice'!G$2:G$801,$W168)))</f>
        <v/>
      </c>
      <c r="H168">
        <f>IF($W168="","",IF(INDEX('Per Invoice'!H$2:H$801,$W168)="","",INDEX('Per Invoice'!H$2:H$801,$W168)))</f>
        <v/>
      </c>
      <c r="I168">
        <f>IF($W168="","",IF(INDEX('Per Invoice'!I$2:I$801,$W168)="","",INDEX('Per Invoice'!I$2:I$801,$W168)))</f>
        <v/>
      </c>
      <c r="J168">
        <f>IF($W168="","",IF(INDEX('Per Invoice'!J$2:J$801,$W168)="","",INDEX('Per Invoice'!J$2:J$801,$W168)))</f>
        <v/>
      </c>
      <c r="K168" s="7">
        <f>IF($W168="","",IF(INDEX('Per Invoice'!K$2:K$801,$W168)="","",INDEX('Per Invoice'!K$2:K$801,$W168)))</f>
        <v/>
      </c>
      <c r="L168" s="14">
        <f>IF($W168="","",IF(INDEX('Per Invoice'!L$2:L$801,$W168)="","",INDEX('Per Invoice'!L$2:L$801,$W168)))</f>
        <v/>
      </c>
      <c r="M168">
        <f>IF($W168="","",IF(INDEX('Per Invoice'!M$2:M$801,$W168)="","",INDEX('Per Invoice'!M$2:M$801,$W168)))</f>
        <v/>
      </c>
      <c r="N168" s="7">
        <f>IF($W168="","",IF(INDEX('Per Invoice'!N$2:N$801,$W168)="","",INDEX('Per Invoice'!N$2:N$801,$W168)))</f>
        <v/>
      </c>
      <c r="O168" s="7">
        <f>IF($W168="","",IF(INDEX('Per Invoice'!O$2:O$801,$W168)="","",INDEX('Per Invoice'!O$2:O$801,$W168)))</f>
        <v/>
      </c>
      <c r="P168">
        <f>IF($W168="","",IF(INDEX('Per Invoice'!P$2:P$801,$W168)="","",INDEX('Per Invoice'!P$2:P$801,$W168)))</f>
        <v/>
      </c>
      <c r="Q168" s="7">
        <f>IF($W168="","",IF(INDEX('Per Invoice'!Q$2:Q$801,$W168)="","",INDEX('Per Invoice'!Q$2:Q$801,$W168)))</f>
        <v/>
      </c>
      <c r="R168" s="7">
        <f>IF($W168="","",IF(INDEX('Per Invoice'!R$2:R$801,$W168)="","",INDEX('Per Invoice'!R$2:R$801,$W168)))</f>
        <v/>
      </c>
      <c r="S168" s="7">
        <f>IF($W168="","",IF(INDEX('Per Invoice'!S$2:S$801,$W168)="","",INDEX('Per Invoice'!S$2:S$801,$W168)))</f>
        <v/>
      </c>
      <c r="T168" s="7">
        <f>IF($W168="","",IF(INDEX('Per Invoice'!T$2:T$801,$W168)="","",INDEX('Per Invoice'!T$2:T$801,$W168)))</f>
        <v/>
      </c>
      <c r="U168" s="7">
        <f>IF($W168="","",IF(INDEX('Per Invoice'!U$2:U$801,$W168)="","",INDEX('Per Invoice'!U$2:U$801,$W168)))</f>
        <v/>
      </c>
      <c r="V168" s="7">
        <f>IF($W168="","",IF(INDEX('Per Invoice'!V$2:V$801,$W168)="","",INDEX('Per Invoice'!V$2:V$801,$W168)))</f>
        <v/>
      </c>
      <c r="W168" s="16">
        <f>IFERROR(MATCH(Settings!$C$28&amp;"|"&amp;ROWS($W$2:$W168),'Per Invoice'!$X$2:$X$801,0),"")</f>
        <v/>
      </c>
    </row>
    <row r="169">
      <c r="A169">
        <f>IF($W169="","",IF(INDEX('Per Invoice'!A$2:A$801,$W169)="","",INDEX('Per Invoice'!A$2:A$801,$W169)))</f>
        <v/>
      </c>
      <c r="B169">
        <f>IF($W169="","",IF(INDEX('Per Invoice'!B$2:B$801,$W169)="","",INDEX('Per Invoice'!B$2:B$801,$W169)))</f>
        <v/>
      </c>
      <c r="C169">
        <f>IF($W169="","",IF(INDEX('Per Invoice'!C$2:C$801,$W169)="","",INDEX('Per Invoice'!C$2:C$801,$W169)))</f>
        <v/>
      </c>
      <c r="D169">
        <f>IF($W169="","",IF(INDEX('Per Invoice'!D$2:D$801,$W169)="","",INDEX('Per Invoice'!D$2:D$801,$W169)))</f>
        <v/>
      </c>
      <c r="E169">
        <f>IF($W169="","",IF(INDEX('Per Invoice'!E$2:E$801,$W169)="","",INDEX('Per Invoice'!E$2:E$801,$W169)))</f>
        <v/>
      </c>
      <c r="F169">
        <f>IF($W169="","",IF(INDEX('Per Invoice'!F$2:F$801,$W169)="","",INDEX('Per Invoice'!F$2:F$801,$W169)))</f>
        <v/>
      </c>
      <c r="G169">
        <f>IF($W169="","",IF(INDEX('Per Invoice'!G$2:G$801,$W169)="","",INDEX('Per Invoice'!G$2:G$801,$W169)))</f>
        <v/>
      </c>
      <c r="H169">
        <f>IF($W169="","",IF(INDEX('Per Invoice'!H$2:H$801,$W169)="","",INDEX('Per Invoice'!H$2:H$801,$W169)))</f>
        <v/>
      </c>
      <c r="I169">
        <f>IF($W169="","",IF(INDEX('Per Invoice'!I$2:I$801,$W169)="","",INDEX('Per Invoice'!I$2:I$801,$W169)))</f>
        <v/>
      </c>
      <c r="J169">
        <f>IF($W169="","",IF(INDEX('Per Invoice'!J$2:J$801,$W169)="","",INDEX('Per Invoice'!J$2:J$801,$W169)))</f>
        <v/>
      </c>
      <c r="K169" s="7">
        <f>IF($W169="","",IF(INDEX('Per Invoice'!K$2:K$801,$W169)="","",INDEX('Per Invoice'!K$2:K$801,$W169)))</f>
        <v/>
      </c>
      <c r="L169" s="14">
        <f>IF($W169="","",IF(INDEX('Per Invoice'!L$2:L$801,$W169)="","",INDEX('Per Invoice'!L$2:L$801,$W169)))</f>
        <v/>
      </c>
      <c r="M169">
        <f>IF($W169="","",IF(INDEX('Per Invoice'!M$2:M$801,$W169)="","",INDEX('Per Invoice'!M$2:M$801,$W169)))</f>
        <v/>
      </c>
      <c r="N169" s="7">
        <f>IF($W169="","",IF(INDEX('Per Invoice'!N$2:N$801,$W169)="","",INDEX('Per Invoice'!N$2:N$801,$W169)))</f>
        <v/>
      </c>
      <c r="O169" s="7">
        <f>IF($W169="","",IF(INDEX('Per Invoice'!O$2:O$801,$W169)="","",INDEX('Per Invoice'!O$2:O$801,$W169)))</f>
        <v/>
      </c>
      <c r="P169">
        <f>IF($W169="","",IF(INDEX('Per Invoice'!P$2:P$801,$W169)="","",INDEX('Per Invoice'!P$2:P$801,$W169)))</f>
        <v/>
      </c>
      <c r="Q169" s="7">
        <f>IF($W169="","",IF(INDEX('Per Invoice'!Q$2:Q$801,$W169)="","",INDEX('Per Invoice'!Q$2:Q$801,$W169)))</f>
        <v/>
      </c>
      <c r="R169" s="7">
        <f>IF($W169="","",IF(INDEX('Per Invoice'!R$2:R$801,$W169)="","",INDEX('Per Invoice'!R$2:R$801,$W169)))</f>
        <v/>
      </c>
      <c r="S169" s="7">
        <f>IF($W169="","",IF(INDEX('Per Invoice'!S$2:S$801,$W169)="","",INDEX('Per Invoice'!S$2:S$801,$W169)))</f>
        <v/>
      </c>
      <c r="T169" s="7">
        <f>IF($W169="","",IF(INDEX('Per Invoice'!T$2:T$801,$W169)="","",INDEX('Per Invoice'!T$2:T$801,$W169)))</f>
        <v/>
      </c>
      <c r="U169" s="7">
        <f>IF($W169="","",IF(INDEX('Per Invoice'!U$2:U$801,$W169)="","",INDEX('Per Invoice'!U$2:U$801,$W169)))</f>
        <v/>
      </c>
      <c r="V169" s="7">
        <f>IF($W169="","",IF(INDEX('Per Invoice'!V$2:V$801,$W169)="","",INDEX('Per Invoice'!V$2:V$801,$W169)))</f>
        <v/>
      </c>
      <c r="W169" s="16">
        <f>IFERROR(MATCH(Settings!$C$28&amp;"|"&amp;ROWS($W$2:$W169),'Per Invoice'!$X$2:$X$801,0),"")</f>
        <v/>
      </c>
    </row>
    <row r="170">
      <c r="A170">
        <f>IF($W170="","",IF(INDEX('Per Invoice'!A$2:A$801,$W170)="","",INDEX('Per Invoice'!A$2:A$801,$W170)))</f>
        <v/>
      </c>
      <c r="B170">
        <f>IF($W170="","",IF(INDEX('Per Invoice'!B$2:B$801,$W170)="","",INDEX('Per Invoice'!B$2:B$801,$W170)))</f>
        <v/>
      </c>
      <c r="C170">
        <f>IF($W170="","",IF(INDEX('Per Invoice'!C$2:C$801,$W170)="","",INDEX('Per Invoice'!C$2:C$801,$W170)))</f>
        <v/>
      </c>
      <c r="D170">
        <f>IF($W170="","",IF(INDEX('Per Invoice'!D$2:D$801,$W170)="","",INDEX('Per Invoice'!D$2:D$801,$W170)))</f>
        <v/>
      </c>
      <c r="E170">
        <f>IF($W170="","",IF(INDEX('Per Invoice'!E$2:E$801,$W170)="","",INDEX('Per Invoice'!E$2:E$801,$W170)))</f>
        <v/>
      </c>
      <c r="F170">
        <f>IF($W170="","",IF(INDEX('Per Invoice'!F$2:F$801,$W170)="","",INDEX('Per Invoice'!F$2:F$801,$W170)))</f>
        <v/>
      </c>
      <c r="G170">
        <f>IF($W170="","",IF(INDEX('Per Invoice'!G$2:G$801,$W170)="","",INDEX('Per Invoice'!G$2:G$801,$W170)))</f>
        <v/>
      </c>
      <c r="H170">
        <f>IF($W170="","",IF(INDEX('Per Invoice'!H$2:H$801,$W170)="","",INDEX('Per Invoice'!H$2:H$801,$W170)))</f>
        <v/>
      </c>
      <c r="I170">
        <f>IF($W170="","",IF(INDEX('Per Invoice'!I$2:I$801,$W170)="","",INDEX('Per Invoice'!I$2:I$801,$W170)))</f>
        <v/>
      </c>
      <c r="J170">
        <f>IF($W170="","",IF(INDEX('Per Invoice'!J$2:J$801,$W170)="","",INDEX('Per Invoice'!J$2:J$801,$W170)))</f>
        <v/>
      </c>
      <c r="K170" s="7">
        <f>IF($W170="","",IF(INDEX('Per Invoice'!K$2:K$801,$W170)="","",INDEX('Per Invoice'!K$2:K$801,$W170)))</f>
        <v/>
      </c>
      <c r="L170" s="14">
        <f>IF($W170="","",IF(INDEX('Per Invoice'!L$2:L$801,$W170)="","",INDEX('Per Invoice'!L$2:L$801,$W170)))</f>
        <v/>
      </c>
      <c r="M170">
        <f>IF($W170="","",IF(INDEX('Per Invoice'!M$2:M$801,$W170)="","",INDEX('Per Invoice'!M$2:M$801,$W170)))</f>
        <v/>
      </c>
      <c r="N170" s="7">
        <f>IF($W170="","",IF(INDEX('Per Invoice'!N$2:N$801,$W170)="","",INDEX('Per Invoice'!N$2:N$801,$W170)))</f>
        <v/>
      </c>
      <c r="O170" s="7">
        <f>IF($W170="","",IF(INDEX('Per Invoice'!O$2:O$801,$W170)="","",INDEX('Per Invoice'!O$2:O$801,$W170)))</f>
        <v/>
      </c>
      <c r="P170">
        <f>IF($W170="","",IF(INDEX('Per Invoice'!P$2:P$801,$W170)="","",INDEX('Per Invoice'!P$2:P$801,$W170)))</f>
        <v/>
      </c>
      <c r="Q170" s="7">
        <f>IF($W170="","",IF(INDEX('Per Invoice'!Q$2:Q$801,$W170)="","",INDEX('Per Invoice'!Q$2:Q$801,$W170)))</f>
        <v/>
      </c>
      <c r="R170" s="7">
        <f>IF($W170="","",IF(INDEX('Per Invoice'!R$2:R$801,$W170)="","",INDEX('Per Invoice'!R$2:R$801,$W170)))</f>
        <v/>
      </c>
      <c r="S170" s="7">
        <f>IF($W170="","",IF(INDEX('Per Invoice'!S$2:S$801,$W170)="","",INDEX('Per Invoice'!S$2:S$801,$W170)))</f>
        <v/>
      </c>
      <c r="T170" s="7">
        <f>IF($W170="","",IF(INDEX('Per Invoice'!T$2:T$801,$W170)="","",INDEX('Per Invoice'!T$2:T$801,$W170)))</f>
        <v/>
      </c>
      <c r="U170" s="7">
        <f>IF($W170="","",IF(INDEX('Per Invoice'!U$2:U$801,$W170)="","",INDEX('Per Invoice'!U$2:U$801,$W170)))</f>
        <v/>
      </c>
      <c r="V170" s="7">
        <f>IF($W170="","",IF(INDEX('Per Invoice'!V$2:V$801,$W170)="","",INDEX('Per Invoice'!V$2:V$801,$W170)))</f>
        <v/>
      </c>
      <c r="W170" s="16">
        <f>IFERROR(MATCH(Settings!$C$28&amp;"|"&amp;ROWS($W$2:$W170),'Per Invoice'!$X$2:$X$801,0),"")</f>
        <v/>
      </c>
    </row>
    <row r="171">
      <c r="A171">
        <f>IF($W171="","",IF(INDEX('Per Invoice'!A$2:A$801,$W171)="","",INDEX('Per Invoice'!A$2:A$801,$W171)))</f>
        <v/>
      </c>
      <c r="B171">
        <f>IF($W171="","",IF(INDEX('Per Invoice'!B$2:B$801,$W171)="","",INDEX('Per Invoice'!B$2:B$801,$W171)))</f>
        <v/>
      </c>
      <c r="C171">
        <f>IF($W171="","",IF(INDEX('Per Invoice'!C$2:C$801,$W171)="","",INDEX('Per Invoice'!C$2:C$801,$W171)))</f>
        <v/>
      </c>
      <c r="D171">
        <f>IF($W171="","",IF(INDEX('Per Invoice'!D$2:D$801,$W171)="","",INDEX('Per Invoice'!D$2:D$801,$W171)))</f>
        <v/>
      </c>
      <c r="E171">
        <f>IF($W171="","",IF(INDEX('Per Invoice'!E$2:E$801,$W171)="","",INDEX('Per Invoice'!E$2:E$801,$W171)))</f>
        <v/>
      </c>
      <c r="F171">
        <f>IF($W171="","",IF(INDEX('Per Invoice'!F$2:F$801,$W171)="","",INDEX('Per Invoice'!F$2:F$801,$W171)))</f>
        <v/>
      </c>
      <c r="G171">
        <f>IF($W171="","",IF(INDEX('Per Invoice'!G$2:G$801,$W171)="","",INDEX('Per Invoice'!G$2:G$801,$W171)))</f>
        <v/>
      </c>
      <c r="H171">
        <f>IF($W171="","",IF(INDEX('Per Invoice'!H$2:H$801,$W171)="","",INDEX('Per Invoice'!H$2:H$801,$W171)))</f>
        <v/>
      </c>
      <c r="I171">
        <f>IF($W171="","",IF(INDEX('Per Invoice'!I$2:I$801,$W171)="","",INDEX('Per Invoice'!I$2:I$801,$W171)))</f>
        <v/>
      </c>
      <c r="J171">
        <f>IF($W171="","",IF(INDEX('Per Invoice'!J$2:J$801,$W171)="","",INDEX('Per Invoice'!J$2:J$801,$W171)))</f>
        <v/>
      </c>
      <c r="K171" s="7">
        <f>IF($W171="","",IF(INDEX('Per Invoice'!K$2:K$801,$W171)="","",INDEX('Per Invoice'!K$2:K$801,$W171)))</f>
        <v/>
      </c>
      <c r="L171" s="14">
        <f>IF($W171="","",IF(INDEX('Per Invoice'!L$2:L$801,$W171)="","",INDEX('Per Invoice'!L$2:L$801,$W171)))</f>
        <v/>
      </c>
      <c r="M171">
        <f>IF($W171="","",IF(INDEX('Per Invoice'!M$2:M$801,$W171)="","",INDEX('Per Invoice'!M$2:M$801,$W171)))</f>
        <v/>
      </c>
      <c r="N171" s="7">
        <f>IF($W171="","",IF(INDEX('Per Invoice'!N$2:N$801,$W171)="","",INDEX('Per Invoice'!N$2:N$801,$W171)))</f>
        <v/>
      </c>
      <c r="O171" s="7">
        <f>IF($W171="","",IF(INDEX('Per Invoice'!O$2:O$801,$W171)="","",INDEX('Per Invoice'!O$2:O$801,$W171)))</f>
        <v/>
      </c>
      <c r="P171">
        <f>IF($W171="","",IF(INDEX('Per Invoice'!P$2:P$801,$W171)="","",INDEX('Per Invoice'!P$2:P$801,$W171)))</f>
        <v/>
      </c>
      <c r="Q171" s="7">
        <f>IF($W171="","",IF(INDEX('Per Invoice'!Q$2:Q$801,$W171)="","",INDEX('Per Invoice'!Q$2:Q$801,$W171)))</f>
        <v/>
      </c>
      <c r="R171" s="7">
        <f>IF($W171="","",IF(INDEX('Per Invoice'!R$2:R$801,$W171)="","",INDEX('Per Invoice'!R$2:R$801,$W171)))</f>
        <v/>
      </c>
      <c r="S171" s="7">
        <f>IF($W171="","",IF(INDEX('Per Invoice'!S$2:S$801,$W171)="","",INDEX('Per Invoice'!S$2:S$801,$W171)))</f>
        <v/>
      </c>
      <c r="T171" s="7">
        <f>IF($W171="","",IF(INDEX('Per Invoice'!T$2:T$801,$W171)="","",INDEX('Per Invoice'!T$2:T$801,$W171)))</f>
        <v/>
      </c>
      <c r="U171" s="7">
        <f>IF($W171="","",IF(INDEX('Per Invoice'!U$2:U$801,$W171)="","",INDEX('Per Invoice'!U$2:U$801,$W171)))</f>
        <v/>
      </c>
      <c r="V171" s="7">
        <f>IF($W171="","",IF(INDEX('Per Invoice'!V$2:V$801,$W171)="","",INDEX('Per Invoice'!V$2:V$801,$W171)))</f>
        <v/>
      </c>
      <c r="W171" s="16">
        <f>IFERROR(MATCH(Settings!$C$28&amp;"|"&amp;ROWS($W$2:$W171),'Per Invoice'!$X$2:$X$801,0),"")</f>
        <v/>
      </c>
    </row>
    <row r="172">
      <c r="A172">
        <f>IF($W172="","",IF(INDEX('Per Invoice'!A$2:A$801,$W172)="","",INDEX('Per Invoice'!A$2:A$801,$W172)))</f>
        <v/>
      </c>
      <c r="B172">
        <f>IF($W172="","",IF(INDEX('Per Invoice'!B$2:B$801,$W172)="","",INDEX('Per Invoice'!B$2:B$801,$W172)))</f>
        <v/>
      </c>
      <c r="C172">
        <f>IF($W172="","",IF(INDEX('Per Invoice'!C$2:C$801,$W172)="","",INDEX('Per Invoice'!C$2:C$801,$W172)))</f>
        <v/>
      </c>
      <c r="D172">
        <f>IF($W172="","",IF(INDEX('Per Invoice'!D$2:D$801,$W172)="","",INDEX('Per Invoice'!D$2:D$801,$W172)))</f>
        <v/>
      </c>
      <c r="E172">
        <f>IF($W172="","",IF(INDEX('Per Invoice'!E$2:E$801,$W172)="","",INDEX('Per Invoice'!E$2:E$801,$W172)))</f>
        <v/>
      </c>
      <c r="F172">
        <f>IF($W172="","",IF(INDEX('Per Invoice'!F$2:F$801,$W172)="","",INDEX('Per Invoice'!F$2:F$801,$W172)))</f>
        <v/>
      </c>
      <c r="G172">
        <f>IF($W172="","",IF(INDEX('Per Invoice'!G$2:G$801,$W172)="","",INDEX('Per Invoice'!G$2:G$801,$W172)))</f>
        <v/>
      </c>
      <c r="H172">
        <f>IF($W172="","",IF(INDEX('Per Invoice'!H$2:H$801,$W172)="","",INDEX('Per Invoice'!H$2:H$801,$W172)))</f>
        <v/>
      </c>
      <c r="I172">
        <f>IF($W172="","",IF(INDEX('Per Invoice'!I$2:I$801,$W172)="","",INDEX('Per Invoice'!I$2:I$801,$W172)))</f>
        <v/>
      </c>
      <c r="J172">
        <f>IF($W172="","",IF(INDEX('Per Invoice'!J$2:J$801,$W172)="","",INDEX('Per Invoice'!J$2:J$801,$W172)))</f>
        <v/>
      </c>
      <c r="K172" s="7">
        <f>IF($W172="","",IF(INDEX('Per Invoice'!K$2:K$801,$W172)="","",INDEX('Per Invoice'!K$2:K$801,$W172)))</f>
        <v/>
      </c>
      <c r="L172" s="14">
        <f>IF($W172="","",IF(INDEX('Per Invoice'!L$2:L$801,$W172)="","",INDEX('Per Invoice'!L$2:L$801,$W172)))</f>
        <v/>
      </c>
      <c r="M172">
        <f>IF($W172="","",IF(INDEX('Per Invoice'!M$2:M$801,$W172)="","",INDEX('Per Invoice'!M$2:M$801,$W172)))</f>
        <v/>
      </c>
      <c r="N172" s="7">
        <f>IF($W172="","",IF(INDEX('Per Invoice'!N$2:N$801,$W172)="","",INDEX('Per Invoice'!N$2:N$801,$W172)))</f>
        <v/>
      </c>
      <c r="O172" s="7">
        <f>IF($W172="","",IF(INDEX('Per Invoice'!O$2:O$801,$W172)="","",INDEX('Per Invoice'!O$2:O$801,$W172)))</f>
        <v/>
      </c>
      <c r="P172">
        <f>IF($W172="","",IF(INDEX('Per Invoice'!P$2:P$801,$W172)="","",INDEX('Per Invoice'!P$2:P$801,$W172)))</f>
        <v/>
      </c>
      <c r="Q172" s="7">
        <f>IF($W172="","",IF(INDEX('Per Invoice'!Q$2:Q$801,$W172)="","",INDEX('Per Invoice'!Q$2:Q$801,$W172)))</f>
        <v/>
      </c>
      <c r="R172" s="7">
        <f>IF($W172="","",IF(INDEX('Per Invoice'!R$2:R$801,$W172)="","",INDEX('Per Invoice'!R$2:R$801,$W172)))</f>
        <v/>
      </c>
      <c r="S172" s="7">
        <f>IF($W172="","",IF(INDEX('Per Invoice'!S$2:S$801,$W172)="","",INDEX('Per Invoice'!S$2:S$801,$W172)))</f>
        <v/>
      </c>
      <c r="T172" s="7">
        <f>IF($W172="","",IF(INDEX('Per Invoice'!T$2:T$801,$W172)="","",INDEX('Per Invoice'!T$2:T$801,$W172)))</f>
        <v/>
      </c>
      <c r="U172" s="7">
        <f>IF($W172="","",IF(INDEX('Per Invoice'!U$2:U$801,$W172)="","",INDEX('Per Invoice'!U$2:U$801,$W172)))</f>
        <v/>
      </c>
      <c r="V172" s="7">
        <f>IF($W172="","",IF(INDEX('Per Invoice'!V$2:V$801,$W172)="","",INDEX('Per Invoice'!V$2:V$801,$W172)))</f>
        <v/>
      </c>
      <c r="W172" s="16">
        <f>IFERROR(MATCH(Settings!$C$28&amp;"|"&amp;ROWS($W$2:$W172),'Per Invoice'!$X$2:$X$801,0),"")</f>
        <v/>
      </c>
    </row>
    <row r="173">
      <c r="A173">
        <f>IF($W173="","",IF(INDEX('Per Invoice'!A$2:A$801,$W173)="","",INDEX('Per Invoice'!A$2:A$801,$W173)))</f>
        <v/>
      </c>
      <c r="B173">
        <f>IF($W173="","",IF(INDEX('Per Invoice'!B$2:B$801,$W173)="","",INDEX('Per Invoice'!B$2:B$801,$W173)))</f>
        <v/>
      </c>
      <c r="C173">
        <f>IF($W173="","",IF(INDEX('Per Invoice'!C$2:C$801,$W173)="","",INDEX('Per Invoice'!C$2:C$801,$W173)))</f>
        <v/>
      </c>
      <c r="D173">
        <f>IF($W173="","",IF(INDEX('Per Invoice'!D$2:D$801,$W173)="","",INDEX('Per Invoice'!D$2:D$801,$W173)))</f>
        <v/>
      </c>
      <c r="E173">
        <f>IF($W173="","",IF(INDEX('Per Invoice'!E$2:E$801,$W173)="","",INDEX('Per Invoice'!E$2:E$801,$W173)))</f>
        <v/>
      </c>
      <c r="F173">
        <f>IF($W173="","",IF(INDEX('Per Invoice'!F$2:F$801,$W173)="","",INDEX('Per Invoice'!F$2:F$801,$W173)))</f>
        <v/>
      </c>
      <c r="G173">
        <f>IF($W173="","",IF(INDEX('Per Invoice'!G$2:G$801,$W173)="","",INDEX('Per Invoice'!G$2:G$801,$W173)))</f>
        <v/>
      </c>
      <c r="H173">
        <f>IF($W173="","",IF(INDEX('Per Invoice'!H$2:H$801,$W173)="","",INDEX('Per Invoice'!H$2:H$801,$W173)))</f>
        <v/>
      </c>
      <c r="I173">
        <f>IF($W173="","",IF(INDEX('Per Invoice'!I$2:I$801,$W173)="","",INDEX('Per Invoice'!I$2:I$801,$W173)))</f>
        <v/>
      </c>
      <c r="J173">
        <f>IF($W173="","",IF(INDEX('Per Invoice'!J$2:J$801,$W173)="","",INDEX('Per Invoice'!J$2:J$801,$W173)))</f>
        <v/>
      </c>
      <c r="K173" s="7">
        <f>IF($W173="","",IF(INDEX('Per Invoice'!K$2:K$801,$W173)="","",INDEX('Per Invoice'!K$2:K$801,$W173)))</f>
        <v/>
      </c>
      <c r="L173" s="14">
        <f>IF($W173="","",IF(INDEX('Per Invoice'!L$2:L$801,$W173)="","",INDEX('Per Invoice'!L$2:L$801,$W173)))</f>
        <v/>
      </c>
      <c r="M173">
        <f>IF($W173="","",IF(INDEX('Per Invoice'!M$2:M$801,$W173)="","",INDEX('Per Invoice'!M$2:M$801,$W173)))</f>
        <v/>
      </c>
      <c r="N173" s="7">
        <f>IF($W173="","",IF(INDEX('Per Invoice'!N$2:N$801,$W173)="","",INDEX('Per Invoice'!N$2:N$801,$W173)))</f>
        <v/>
      </c>
      <c r="O173" s="7">
        <f>IF($W173="","",IF(INDEX('Per Invoice'!O$2:O$801,$W173)="","",INDEX('Per Invoice'!O$2:O$801,$W173)))</f>
        <v/>
      </c>
      <c r="P173">
        <f>IF($W173="","",IF(INDEX('Per Invoice'!P$2:P$801,$W173)="","",INDEX('Per Invoice'!P$2:P$801,$W173)))</f>
        <v/>
      </c>
      <c r="Q173" s="7">
        <f>IF($W173="","",IF(INDEX('Per Invoice'!Q$2:Q$801,$W173)="","",INDEX('Per Invoice'!Q$2:Q$801,$W173)))</f>
        <v/>
      </c>
      <c r="R173" s="7">
        <f>IF($W173="","",IF(INDEX('Per Invoice'!R$2:R$801,$W173)="","",INDEX('Per Invoice'!R$2:R$801,$W173)))</f>
        <v/>
      </c>
      <c r="S173" s="7">
        <f>IF($W173="","",IF(INDEX('Per Invoice'!S$2:S$801,$W173)="","",INDEX('Per Invoice'!S$2:S$801,$W173)))</f>
        <v/>
      </c>
      <c r="T173" s="7">
        <f>IF($W173="","",IF(INDEX('Per Invoice'!T$2:T$801,$W173)="","",INDEX('Per Invoice'!T$2:T$801,$W173)))</f>
        <v/>
      </c>
      <c r="U173" s="7">
        <f>IF($W173="","",IF(INDEX('Per Invoice'!U$2:U$801,$W173)="","",INDEX('Per Invoice'!U$2:U$801,$W173)))</f>
        <v/>
      </c>
      <c r="V173" s="7">
        <f>IF($W173="","",IF(INDEX('Per Invoice'!V$2:V$801,$W173)="","",INDEX('Per Invoice'!V$2:V$801,$W173)))</f>
        <v/>
      </c>
      <c r="W173" s="16">
        <f>IFERROR(MATCH(Settings!$C$28&amp;"|"&amp;ROWS($W$2:$W173),'Per Invoice'!$X$2:$X$801,0),"")</f>
        <v/>
      </c>
    </row>
    <row r="174">
      <c r="A174">
        <f>IF($W174="","",IF(INDEX('Per Invoice'!A$2:A$801,$W174)="","",INDEX('Per Invoice'!A$2:A$801,$W174)))</f>
        <v/>
      </c>
      <c r="B174">
        <f>IF($W174="","",IF(INDEX('Per Invoice'!B$2:B$801,$W174)="","",INDEX('Per Invoice'!B$2:B$801,$W174)))</f>
        <v/>
      </c>
      <c r="C174">
        <f>IF($W174="","",IF(INDEX('Per Invoice'!C$2:C$801,$W174)="","",INDEX('Per Invoice'!C$2:C$801,$W174)))</f>
        <v/>
      </c>
      <c r="D174">
        <f>IF($W174="","",IF(INDEX('Per Invoice'!D$2:D$801,$W174)="","",INDEX('Per Invoice'!D$2:D$801,$W174)))</f>
        <v/>
      </c>
      <c r="E174">
        <f>IF($W174="","",IF(INDEX('Per Invoice'!E$2:E$801,$W174)="","",INDEX('Per Invoice'!E$2:E$801,$W174)))</f>
        <v/>
      </c>
      <c r="F174">
        <f>IF($W174="","",IF(INDEX('Per Invoice'!F$2:F$801,$W174)="","",INDEX('Per Invoice'!F$2:F$801,$W174)))</f>
        <v/>
      </c>
      <c r="G174">
        <f>IF($W174="","",IF(INDEX('Per Invoice'!G$2:G$801,$W174)="","",INDEX('Per Invoice'!G$2:G$801,$W174)))</f>
        <v/>
      </c>
      <c r="H174">
        <f>IF($W174="","",IF(INDEX('Per Invoice'!H$2:H$801,$W174)="","",INDEX('Per Invoice'!H$2:H$801,$W174)))</f>
        <v/>
      </c>
      <c r="I174">
        <f>IF($W174="","",IF(INDEX('Per Invoice'!I$2:I$801,$W174)="","",INDEX('Per Invoice'!I$2:I$801,$W174)))</f>
        <v/>
      </c>
      <c r="J174">
        <f>IF($W174="","",IF(INDEX('Per Invoice'!J$2:J$801,$W174)="","",INDEX('Per Invoice'!J$2:J$801,$W174)))</f>
        <v/>
      </c>
      <c r="K174" s="7">
        <f>IF($W174="","",IF(INDEX('Per Invoice'!K$2:K$801,$W174)="","",INDEX('Per Invoice'!K$2:K$801,$W174)))</f>
        <v/>
      </c>
      <c r="L174" s="14">
        <f>IF($W174="","",IF(INDEX('Per Invoice'!L$2:L$801,$W174)="","",INDEX('Per Invoice'!L$2:L$801,$W174)))</f>
        <v/>
      </c>
      <c r="M174">
        <f>IF($W174="","",IF(INDEX('Per Invoice'!M$2:M$801,$W174)="","",INDEX('Per Invoice'!M$2:M$801,$W174)))</f>
        <v/>
      </c>
      <c r="N174" s="7">
        <f>IF($W174="","",IF(INDEX('Per Invoice'!N$2:N$801,$W174)="","",INDEX('Per Invoice'!N$2:N$801,$W174)))</f>
        <v/>
      </c>
      <c r="O174" s="7">
        <f>IF($W174="","",IF(INDEX('Per Invoice'!O$2:O$801,$W174)="","",INDEX('Per Invoice'!O$2:O$801,$W174)))</f>
        <v/>
      </c>
      <c r="P174">
        <f>IF($W174="","",IF(INDEX('Per Invoice'!P$2:P$801,$W174)="","",INDEX('Per Invoice'!P$2:P$801,$W174)))</f>
        <v/>
      </c>
      <c r="Q174" s="7">
        <f>IF($W174="","",IF(INDEX('Per Invoice'!Q$2:Q$801,$W174)="","",INDEX('Per Invoice'!Q$2:Q$801,$W174)))</f>
        <v/>
      </c>
      <c r="R174" s="7">
        <f>IF($W174="","",IF(INDEX('Per Invoice'!R$2:R$801,$W174)="","",INDEX('Per Invoice'!R$2:R$801,$W174)))</f>
        <v/>
      </c>
      <c r="S174" s="7">
        <f>IF($W174="","",IF(INDEX('Per Invoice'!S$2:S$801,$W174)="","",INDEX('Per Invoice'!S$2:S$801,$W174)))</f>
        <v/>
      </c>
      <c r="T174" s="7">
        <f>IF($W174="","",IF(INDEX('Per Invoice'!T$2:T$801,$W174)="","",INDEX('Per Invoice'!T$2:T$801,$W174)))</f>
        <v/>
      </c>
      <c r="U174" s="7">
        <f>IF($W174="","",IF(INDEX('Per Invoice'!U$2:U$801,$W174)="","",INDEX('Per Invoice'!U$2:U$801,$W174)))</f>
        <v/>
      </c>
      <c r="V174" s="7">
        <f>IF($W174="","",IF(INDEX('Per Invoice'!V$2:V$801,$W174)="","",INDEX('Per Invoice'!V$2:V$801,$W174)))</f>
        <v/>
      </c>
      <c r="W174" s="16">
        <f>IFERROR(MATCH(Settings!$C$28&amp;"|"&amp;ROWS($W$2:$W174),'Per Invoice'!$X$2:$X$801,0),"")</f>
        <v/>
      </c>
    </row>
    <row r="175">
      <c r="A175">
        <f>IF($W175="","",IF(INDEX('Per Invoice'!A$2:A$801,$W175)="","",INDEX('Per Invoice'!A$2:A$801,$W175)))</f>
        <v/>
      </c>
      <c r="B175">
        <f>IF($W175="","",IF(INDEX('Per Invoice'!B$2:B$801,$W175)="","",INDEX('Per Invoice'!B$2:B$801,$W175)))</f>
        <v/>
      </c>
      <c r="C175">
        <f>IF($W175="","",IF(INDEX('Per Invoice'!C$2:C$801,$W175)="","",INDEX('Per Invoice'!C$2:C$801,$W175)))</f>
        <v/>
      </c>
      <c r="D175">
        <f>IF($W175="","",IF(INDEX('Per Invoice'!D$2:D$801,$W175)="","",INDEX('Per Invoice'!D$2:D$801,$W175)))</f>
        <v/>
      </c>
      <c r="E175">
        <f>IF($W175="","",IF(INDEX('Per Invoice'!E$2:E$801,$W175)="","",INDEX('Per Invoice'!E$2:E$801,$W175)))</f>
        <v/>
      </c>
      <c r="F175">
        <f>IF($W175="","",IF(INDEX('Per Invoice'!F$2:F$801,$W175)="","",INDEX('Per Invoice'!F$2:F$801,$W175)))</f>
        <v/>
      </c>
      <c r="G175">
        <f>IF($W175="","",IF(INDEX('Per Invoice'!G$2:G$801,$W175)="","",INDEX('Per Invoice'!G$2:G$801,$W175)))</f>
        <v/>
      </c>
      <c r="H175">
        <f>IF($W175="","",IF(INDEX('Per Invoice'!H$2:H$801,$W175)="","",INDEX('Per Invoice'!H$2:H$801,$W175)))</f>
        <v/>
      </c>
      <c r="I175">
        <f>IF($W175="","",IF(INDEX('Per Invoice'!I$2:I$801,$W175)="","",INDEX('Per Invoice'!I$2:I$801,$W175)))</f>
        <v/>
      </c>
      <c r="J175">
        <f>IF($W175="","",IF(INDEX('Per Invoice'!J$2:J$801,$W175)="","",INDEX('Per Invoice'!J$2:J$801,$W175)))</f>
        <v/>
      </c>
      <c r="K175" s="7">
        <f>IF($W175="","",IF(INDEX('Per Invoice'!K$2:K$801,$W175)="","",INDEX('Per Invoice'!K$2:K$801,$W175)))</f>
        <v/>
      </c>
      <c r="L175" s="14">
        <f>IF($W175="","",IF(INDEX('Per Invoice'!L$2:L$801,$W175)="","",INDEX('Per Invoice'!L$2:L$801,$W175)))</f>
        <v/>
      </c>
      <c r="M175">
        <f>IF($W175="","",IF(INDEX('Per Invoice'!M$2:M$801,$W175)="","",INDEX('Per Invoice'!M$2:M$801,$W175)))</f>
        <v/>
      </c>
      <c r="N175" s="7">
        <f>IF($W175="","",IF(INDEX('Per Invoice'!N$2:N$801,$W175)="","",INDEX('Per Invoice'!N$2:N$801,$W175)))</f>
        <v/>
      </c>
      <c r="O175" s="7">
        <f>IF($W175="","",IF(INDEX('Per Invoice'!O$2:O$801,$W175)="","",INDEX('Per Invoice'!O$2:O$801,$W175)))</f>
        <v/>
      </c>
      <c r="P175">
        <f>IF($W175="","",IF(INDEX('Per Invoice'!P$2:P$801,$W175)="","",INDEX('Per Invoice'!P$2:P$801,$W175)))</f>
        <v/>
      </c>
      <c r="Q175" s="7">
        <f>IF($W175="","",IF(INDEX('Per Invoice'!Q$2:Q$801,$W175)="","",INDEX('Per Invoice'!Q$2:Q$801,$W175)))</f>
        <v/>
      </c>
      <c r="R175" s="7">
        <f>IF($W175="","",IF(INDEX('Per Invoice'!R$2:R$801,$W175)="","",INDEX('Per Invoice'!R$2:R$801,$W175)))</f>
        <v/>
      </c>
      <c r="S175" s="7">
        <f>IF($W175="","",IF(INDEX('Per Invoice'!S$2:S$801,$W175)="","",INDEX('Per Invoice'!S$2:S$801,$W175)))</f>
        <v/>
      </c>
      <c r="T175" s="7">
        <f>IF($W175="","",IF(INDEX('Per Invoice'!T$2:T$801,$W175)="","",INDEX('Per Invoice'!T$2:T$801,$W175)))</f>
        <v/>
      </c>
      <c r="U175" s="7">
        <f>IF($W175="","",IF(INDEX('Per Invoice'!U$2:U$801,$W175)="","",INDEX('Per Invoice'!U$2:U$801,$W175)))</f>
        <v/>
      </c>
      <c r="V175" s="7">
        <f>IF($W175="","",IF(INDEX('Per Invoice'!V$2:V$801,$W175)="","",INDEX('Per Invoice'!V$2:V$801,$W175)))</f>
        <v/>
      </c>
      <c r="W175" s="16">
        <f>IFERROR(MATCH(Settings!$C$28&amp;"|"&amp;ROWS($W$2:$W175),'Per Invoice'!$X$2:$X$801,0),"")</f>
        <v/>
      </c>
    </row>
    <row r="176">
      <c r="A176">
        <f>IF($W176="","",IF(INDEX('Per Invoice'!A$2:A$801,$W176)="","",INDEX('Per Invoice'!A$2:A$801,$W176)))</f>
        <v/>
      </c>
      <c r="B176">
        <f>IF($W176="","",IF(INDEX('Per Invoice'!B$2:B$801,$W176)="","",INDEX('Per Invoice'!B$2:B$801,$W176)))</f>
        <v/>
      </c>
      <c r="C176">
        <f>IF($W176="","",IF(INDEX('Per Invoice'!C$2:C$801,$W176)="","",INDEX('Per Invoice'!C$2:C$801,$W176)))</f>
        <v/>
      </c>
      <c r="D176">
        <f>IF($W176="","",IF(INDEX('Per Invoice'!D$2:D$801,$W176)="","",INDEX('Per Invoice'!D$2:D$801,$W176)))</f>
        <v/>
      </c>
      <c r="E176">
        <f>IF($W176="","",IF(INDEX('Per Invoice'!E$2:E$801,$W176)="","",INDEX('Per Invoice'!E$2:E$801,$W176)))</f>
        <v/>
      </c>
      <c r="F176">
        <f>IF($W176="","",IF(INDEX('Per Invoice'!F$2:F$801,$W176)="","",INDEX('Per Invoice'!F$2:F$801,$W176)))</f>
        <v/>
      </c>
      <c r="G176">
        <f>IF($W176="","",IF(INDEX('Per Invoice'!G$2:G$801,$W176)="","",INDEX('Per Invoice'!G$2:G$801,$W176)))</f>
        <v/>
      </c>
      <c r="H176">
        <f>IF($W176="","",IF(INDEX('Per Invoice'!H$2:H$801,$W176)="","",INDEX('Per Invoice'!H$2:H$801,$W176)))</f>
        <v/>
      </c>
      <c r="I176">
        <f>IF($W176="","",IF(INDEX('Per Invoice'!I$2:I$801,$W176)="","",INDEX('Per Invoice'!I$2:I$801,$W176)))</f>
        <v/>
      </c>
      <c r="J176">
        <f>IF($W176="","",IF(INDEX('Per Invoice'!J$2:J$801,$W176)="","",INDEX('Per Invoice'!J$2:J$801,$W176)))</f>
        <v/>
      </c>
      <c r="K176" s="7">
        <f>IF($W176="","",IF(INDEX('Per Invoice'!K$2:K$801,$W176)="","",INDEX('Per Invoice'!K$2:K$801,$W176)))</f>
        <v/>
      </c>
      <c r="L176" s="14">
        <f>IF($W176="","",IF(INDEX('Per Invoice'!L$2:L$801,$W176)="","",INDEX('Per Invoice'!L$2:L$801,$W176)))</f>
        <v/>
      </c>
      <c r="M176">
        <f>IF($W176="","",IF(INDEX('Per Invoice'!M$2:M$801,$W176)="","",INDEX('Per Invoice'!M$2:M$801,$W176)))</f>
        <v/>
      </c>
      <c r="N176" s="7">
        <f>IF($W176="","",IF(INDEX('Per Invoice'!N$2:N$801,$W176)="","",INDEX('Per Invoice'!N$2:N$801,$W176)))</f>
        <v/>
      </c>
      <c r="O176" s="7">
        <f>IF($W176="","",IF(INDEX('Per Invoice'!O$2:O$801,$W176)="","",INDEX('Per Invoice'!O$2:O$801,$W176)))</f>
        <v/>
      </c>
      <c r="P176">
        <f>IF($W176="","",IF(INDEX('Per Invoice'!P$2:P$801,$W176)="","",INDEX('Per Invoice'!P$2:P$801,$W176)))</f>
        <v/>
      </c>
      <c r="Q176" s="7">
        <f>IF($W176="","",IF(INDEX('Per Invoice'!Q$2:Q$801,$W176)="","",INDEX('Per Invoice'!Q$2:Q$801,$W176)))</f>
        <v/>
      </c>
      <c r="R176" s="7">
        <f>IF($W176="","",IF(INDEX('Per Invoice'!R$2:R$801,$W176)="","",INDEX('Per Invoice'!R$2:R$801,$W176)))</f>
        <v/>
      </c>
      <c r="S176" s="7">
        <f>IF($W176="","",IF(INDEX('Per Invoice'!S$2:S$801,$W176)="","",INDEX('Per Invoice'!S$2:S$801,$W176)))</f>
        <v/>
      </c>
      <c r="T176" s="7">
        <f>IF($W176="","",IF(INDEX('Per Invoice'!T$2:T$801,$W176)="","",INDEX('Per Invoice'!T$2:T$801,$W176)))</f>
        <v/>
      </c>
      <c r="U176" s="7">
        <f>IF($W176="","",IF(INDEX('Per Invoice'!U$2:U$801,$W176)="","",INDEX('Per Invoice'!U$2:U$801,$W176)))</f>
        <v/>
      </c>
      <c r="V176" s="7">
        <f>IF($W176="","",IF(INDEX('Per Invoice'!V$2:V$801,$W176)="","",INDEX('Per Invoice'!V$2:V$801,$W176)))</f>
        <v/>
      </c>
      <c r="W176" s="16">
        <f>IFERROR(MATCH(Settings!$C$28&amp;"|"&amp;ROWS($W$2:$W176),'Per Invoice'!$X$2:$X$801,0),"")</f>
        <v/>
      </c>
    </row>
    <row r="177">
      <c r="A177">
        <f>IF($W177="","",IF(INDEX('Per Invoice'!A$2:A$801,$W177)="","",INDEX('Per Invoice'!A$2:A$801,$W177)))</f>
        <v/>
      </c>
      <c r="B177">
        <f>IF($W177="","",IF(INDEX('Per Invoice'!B$2:B$801,$W177)="","",INDEX('Per Invoice'!B$2:B$801,$W177)))</f>
        <v/>
      </c>
      <c r="C177">
        <f>IF($W177="","",IF(INDEX('Per Invoice'!C$2:C$801,$W177)="","",INDEX('Per Invoice'!C$2:C$801,$W177)))</f>
        <v/>
      </c>
      <c r="D177">
        <f>IF($W177="","",IF(INDEX('Per Invoice'!D$2:D$801,$W177)="","",INDEX('Per Invoice'!D$2:D$801,$W177)))</f>
        <v/>
      </c>
      <c r="E177">
        <f>IF($W177="","",IF(INDEX('Per Invoice'!E$2:E$801,$W177)="","",INDEX('Per Invoice'!E$2:E$801,$W177)))</f>
        <v/>
      </c>
      <c r="F177">
        <f>IF($W177="","",IF(INDEX('Per Invoice'!F$2:F$801,$W177)="","",INDEX('Per Invoice'!F$2:F$801,$W177)))</f>
        <v/>
      </c>
      <c r="G177">
        <f>IF($W177="","",IF(INDEX('Per Invoice'!G$2:G$801,$W177)="","",INDEX('Per Invoice'!G$2:G$801,$W177)))</f>
        <v/>
      </c>
      <c r="H177">
        <f>IF($W177="","",IF(INDEX('Per Invoice'!H$2:H$801,$W177)="","",INDEX('Per Invoice'!H$2:H$801,$W177)))</f>
        <v/>
      </c>
      <c r="I177">
        <f>IF($W177="","",IF(INDEX('Per Invoice'!I$2:I$801,$W177)="","",INDEX('Per Invoice'!I$2:I$801,$W177)))</f>
        <v/>
      </c>
      <c r="J177">
        <f>IF($W177="","",IF(INDEX('Per Invoice'!J$2:J$801,$W177)="","",INDEX('Per Invoice'!J$2:J$801,$W177)))</f>
        <v/>
      </c>
      <c r="K177" s="7">
        <f>IF($W177="","",IF(INDEX('Per Invoice'!K$2:K$801,$W177)="","",INDEX('Per Invoice'!K$2:K$801,$W177)))</f>
        <v/>
      </c>
      <c r="L177" s="14">
        <f>IF($W177="","",IF(INDEX('Per Invoice'!L$2:L$801,$W177)="","",INDEX('Per Invoice'!L$2:L$801,$W177)))</f>
        <v/>
      </c>
      <c r="M177">
        <f>IF($W177="","",IF(INDEX('Per Invoice'!M$2:M$801,$W177)="","",INDEX('Per Invoice'!M$2:M$801,$W177)))</f>
        <v/>
      </c>
      <c r="N177" s="7">
        <f>IF($W177="","",IF(INDEX('Per Invoice'!N$2:N$801,$W177)="","",INDEX('Per Invoice'!N$2:N$801,$W177)))</f>
        <v/>
      </c>
      <c r="O177" s="7">
        <f>IF($W177="","",IF(INDEX('Per Invoice'!O$2:O$801,$W177)="","",INDEX('Per Invoice'!O$2:O$801,$W177)))</f>
        <v/>
      </c>
      <c r="P177">
        <f>IF($W177="","",IF(INDEX('Per Invoice'!P$2:P$801,$W177)="","",INDEX('Per Invoice'!P$2:P$801,$W177)))</f>
        <v/>
      </c>
      <c r="Q177" s="7">
        <f>IF($W177="","",IF(INDEX('Per Invoice'!Q$2:Q$801,$W177)="","",INDEX('Per Invoice'!Q$2:Q$801,$W177)))</f>
        <v/>
      </c>
      <c r="R177" s="7">
        <f>IF($W177="","",IF(INDEX('Per Invoice'!R$2:R$801,$W177)="","",INDEX('Per Invoice'!R$2:R$801,$W177)))</f>
        <v/>
      </c>
      <c r="S177" s="7">
        <f>IF($W177="","",IF(INDEX('Per Invoice'!S$2:S$801,$W177)="","",INDEX('Per Invoice'!S$2:S$801,$W177)))</f>
        <v/>
      </c>
      <c r="T177" s="7">
        <f>IF($W177="","",IF(INDEX('Per Invoice'!T$2:T$801,$W177)="","",INDEX('Per Invoice'!T$2:T$801,$W177)))</f>
        <v/>
      </c>
      <c r="U177" s="7">
        <f>IF($W177="","",IF(INDEX('Per Invoice'!U$2:U$801,$W177)="","",INDEX('Per Invoice'!U$2:U$801,$W177)))</f>
        <v/>
      </c>
      <c r="V177" s="7">
        <f>IF($W177="","",IF(INDEX('Per Invoice'!V$2:V$801,$W177)="","",INDEX('Per Invoice'!V$2:V$801,$W177)))</f>
        <v/>
      </c>
      <c r="W177" s="16">
        <f>IFERROR(MATCH(Settings!$C$28&amp;"|"&amp;ROWS($W$2:$W177),'Per Invoice'!$X$2:$X$801,0),"")</f>
        <v/>
      </c>
    </row>
    <row r="178">
      <c r="A178">
        <f>IF($W178="","",IF(INDEX('Per Invoice'!A$2:A$801,$W178)="","",INDEX('Per Invoice'!A$2:A$801,$W178)))</f>
        <v/>
      </c>
      <c r="B178">
        <f>IF($W178="","",IF(INDEX('Per Invoice'!B$2:B$801,$W178)="","",INDEX('Per Invoice'!B$2:B$801,$W178)))</f>
        <v/>
      </c>
      <c r="C178">
        <f>IF($W178="","",IF(INDEX('Per Invoice'!C$2:C$801,$W178)="","",INDEX('Per Invoice'!C$2:C$801,$W178)))</f>
        <v/>
      </c>
      <c r="D178">
        <f>IF($W178="","",IF(INDEX('Per Invoice'!D$2:D$801,$W178)="","",INDEX('Per Invoice'!D$2:D$801,$W178)))</f>
        <v/>
      </c>
      <c r="E178">
        <f>IF($W178="","",IF(INDEX('Per Invoice'!E$2:E$801,$W178)="","",INDEX('Per Invoice'!E$2:E$801,$W178)))</f>
        <v/>
      </c>
      <c r="F178">
        <f>IF($W178="","",IF(INDEX('Per Invoice'!F$2:F$801,$W178)="","",INDEX('Per Invoice'!F$2:F$801,$W178)))</f>
        <v/>
      </c>
      <c r="G178">
        <f>IF($W178="","",IF(INDEX('Per Invoice'!G$2:G$801,$W178)="","",INDEX('Per Invoice'!G$2:G$801,$W178)))</f>
        <v/>
      </c>
      <c r="H178">
        <f>IF($W178="","",IF(INDEX('Per Invoice'!H$2:H$801,$W178)="","",INDEX('Per Invoice'!H$2:H$801,$W178)))</f>
        <v/>
      </c>
      <c r="I178">
        <f>IF($W178="","",IF(INDEX('Per Invoice'!I$2:I$801,$W178)="","",INDEX('Per Invoice'!I$2:I$801,$W178)))</f>
        <v/>
      </c>
      <c r="J178">
        <f>IF($W178="","",IF(INDEX('Per Invoice'!J$2:J$801,$W178)="","",INDEX('Per Invoice'!J$2:J$801,$W178)))</f>
        <v/>
      </c>
      <c r="K178" s="7">
        <f>IF($W178="","",IF(INDEX('Per Invoice'!K$2:K$801,$W178)="","",INDEX('Per Invoice'!K$2:K$801,$W178)))</f>
        <v/>
      </c>
      <c r="L178" s="14">
        <f>IF($W178="","",IF(INDEX('Per Invoice'!L$2:L$801,$W178)="","",INDEX('Per Invoice'!L$2:L$801,$W178)))</f>
        <v/>
      </c>
      <c r="M178">
        <f>IF($W178="","",IF(INDEX('Per Invoice'!M$2:M$801,$W178)="","",INDEX('Per Invoice'!M$2:M$801,$W178)))</f>
        <v/>
      </c>
      <c r="N178" s="7">
        <f>IF($W178="","",IF(INDEX('Per Invoice'!N$2:N$801,$W178)="","",INDEX('Per Invoice'!N$2:N$801,$W178)))</f>
        <v/>
      </c>
      <c r="O178" s="7">
        <f>IF($W178="","",IF(INDEX('Per Invoice'!O$2:O$801,$W178)="","",INDEX('Per Invoice'!O$2:O$801,$W178)))</f>
        <v/>
      </c>
      <c r="P178">
        <f>IF($W178="","",IF(INDEX('Per Invoice'!P$2:P$801,$W178)="","",INDEX('Per Invoice'!P$2:P$801,$W178)))</f>
        <v/>
      </c>
      <c r="Q178" s="7">
        <f>IF($W178="","",IF(INDEX('Per Invoice'!Q$2:Q$801,$W178)="","",INDEX('Per Invoice'!Q$2:Q$801,$W178)))</f>
        <v/>
      </c>
      <c r="R178" s="7">
        <f>IF($W178="","",IF(INDEX('Per Invoice'!R$2:R$801,$W178)="","",INDEX('Per Invoice'!R$2:R$801,$W178)))</f>
        <v/>
      </c>
      <c r="S178" s="7">
        <f>IF($W178="","",IF(INDEX('Per Invoice'!S$2:S$801,$W178)="","",INDEX('Per Invoice'!S$2:S$801,$W178)))</f>
        <v/>
      </c>
      <c r="T178" s="7">
        <f>IF($W178="","",IF(INDEX('Per Invoice'!T$2:T$801,$W178)="","",INDEX('Per Invoice'!T$2:T$801,$W178)))</f>
        <v/>
      </c>
      <c r="U178" s="7">
        <f>IF($W178="","",IF(INDEX('Per Invoice'!U$2:U$801,$W178)="","",INDEX('Per Invoice'!U$2:U$801,$W178)))</f>
        <v/>
      </c>
      <c r="V178" s="7">
        <f>IF($W178="","",IF(INDEX('Per Invoice'!V$2:V$801,$W178)="","",INDEX('Per Invoice'!V$2:V$801,$W178)))</f>
        <v/>
      </c>
      <c r="W178" s="16">
        <f>IFERROR(MATCH(Settings!$C$28&amp;"|"&amp;ROWS($W$2:$W178),'Per Invoice'!$X$2:$X$801,0),"")</f>
        <v/>
      </c>
    </row>
    <row r="179">
      <c r="A179">
        <f>IF($W179="","",IF(INDEX('Per Invoice'!A$2:A$801,$W179)="","",INDEX('Per Invoice'!A$2:A$801,$W179)))</f>
        <v/>
      </c>
      <c r="B179">
        <f>IF($W179="","",IF(INDEX('Per Invoice'!B$2:B$801,$W179)="","",INDEX('Per Invoice'!B$2:B$801,$W179)))</f>
        <v/>
      </c>
      <c r="C179">
        <f>IF($W179="","",IF(INDEX('Per Invoice'!C$2:C$801,$W179)="","",INDEX('Per Invoice'!C$2:C$801,$W179)))</f>
        <v/>
      </c>
      <c r="D179">
        <f>IF($W179="","",IF(INDEX('Per Invoice'!D$2:D$801,$W179)="","",INDEX('Per Invoice'!D$2:D$801,$W179)))</f>
        <v/>
      </c>
      <c r="E179">
        <f>IF($W179="","",IF(INDEX('Per Invoice'!E$2:E$801,$W179)="","",INDEX('Per Invoice'!E$2:E$801,$W179)))</f>
        <v/>
      </c>
      <c r="F179">
        <f>IF($W179="","",IF(INDEX('Per Invoice'!F$2:F$801,$W179)="","",INDEX('Per Invoice'!F$2:F$801,$W179)))</f>
        <v/>
      </c>
      <c r="G179">
        <f>IF($W179="","",IF(INDEX('Per Invoice'!G$2:G$801,$W179)="","",INDEX('Per Invoice'!G$2:G$801,$W179)))</f>
        <v/>
      </c>
      <c r="H179">
        <f>IF($W179="","",IF(INDEX('Per Invoice'!H$2:H$801,$W179)="","",INDEX('Per Invoice'!H$2:H$801,$W179)))</f>
        <v/>
      </c>
      <c r="I179">
        <f>IF($W179="","",IF(INDEX('Per Invoice'!I$2:I$801,$W179)="","",INDEX('Per Invoice'!I$2:I$801,$W179)))</f>
        <v/>
      </c>
      <c r="J179">
        <f>IF($W179="","",IF(INDEX('Per Invoice'!J$2:J$801,$W179)="","",INDEX('Per Invoice'!J$2:J$801,$W179)))</f>
        <v/>
      </c>
      <c r="K179" s="7">
        <f>IF($W179="","",IF(INDEX('Per Invoice'!K$2:K$801,$W179)="","",INDEX('Per Invoice'!K$2:K$801,$W179)))</f>
        <v/>
      </c>
      <c r="L179" s="14">
        <f>IF($W179="","",IF(INDEX('Per Invoice'!L$2:L$801,$W179)="","",INDEX('Per Invoice'!L$2:L$801,$W179)))</f>
        <v/>
      </c>
      <c r="M179">
        <f>IF($W179="","",IF(INDEX('Per Invoice'!M$2:M$801,$W179)="","",INDEX('Per Invoice'!M$2:M$801,$W179)))</f>
        <v/>
      </c>
      <c r="N179" s="7">
        <f>IF($W179="","",IF(INDEX('Per Invoice'!N$2:N$801,$W179)="","",INDEX('Per Invoice'!N$2:N$801,$W179)))</f>
        <v/>
      </c>
      <c r="O179" s="7">
        <f>IF($W179="","",IF(INDEX('Per Invoice'!O$2:O$801,$W179)="","",INDEX('Per Invoice'!O$2:O$801,$W179)))</f>
        <v/>
      </c>
      <c r="P179">
        <f>IF($W179="","",IF(INDEX('Per Invoice'!P$2:P$801,$W179)="","",INDEX('Per Invoice'!P$2:P$801,$W179)))</f>
        <v/>
      </c>
      <c r="Q179" s="7">
        <f>IF($W179="","",IF(INDEX('Per Invoice'!Q$2:Q$801,$W179)="","",INDEX('Per Invoice'!Q$2:Q$801,$W179)))</f>
        <v/>
      </c>
      <c r="R179" s="7">
        <f>IF($W179="","",IF(INDEX('Per Invoice'!R$2:R$801,$W179)="","",INDEX('Per Invoice'!R$2:R$801,$W179)))</f>
        <v/>
      </c>
      <c r="S179" s="7">
        <f>IF($W179="","",IF(INDEX('Per Invoice'!S$2:S$801,$W179)="","",INDEX('Per Invoice'!S$2:S$801,$W179)))</f>
        <v/>
      </c>
      <c r="T179" s="7">
        <f>IF($W179="","",IF(INDEX('Per Invoice'!T$2:T$801,$W179)="","",INDEX('Per Invoice'!T$2:T$801,$W179)))</f>
        <v/>
      </c>
      <c r="U179" s="7">
        <f>IF($W179="","",IF(INDEX('Per Invoice'!U$2:U$801,$W179)="","",INDEX('Per Invoice'!U$2:U$801,$W179)))</f>
        <v/>
      </c>
      <c r="V179" s="7">
        <f>IF($W179="","",IF(INDEX('Per Invoice'!V$2:V$801,$W179)="","",INDEX('Per Invoice'!V$2:V$801,$W179)))</f>
        <v/>
      </c>
      <c r="W179" s="16">
        <f>IFERROR(MATCH(Settings!$C$28&amp;"|"&amp;ROWS($W$2:$W179),'Per Invoice'!$X$2:$X$801,0),"")</f>
        <v/>
      </c>
    </row>
    <row r="180">
      <c r="A180">
        <f>IF($W180="","",IF(INDEX('Per Invoice'!A$2:A$801,$W180)="","",INDEX('Per Invoice'!A$2:A$801,$W180)))</f>
        <v/>
      </c>
      <c r="B180">
        <f>IF($W180="","",IF(INDEX('Per Invoice'!B$2:B$801,$W180)="","",INDEX('Per Invoice'!B$2:B$801,$W180)))</f>
        <v/>
      </c>
      <c r="C180">
        <f>IF($W180="","",IF(INDEX('Per Invoice'!C$2:C$801,$W180)="","",INDEX('Per Invoice'!C$2:C$801,$W180)))</f>
        <v/>
      </c>
      <c r="D180">
        <f>IF($W180="","",IF(INDEX('Per Invoice'!D$2:D$801,$W180)="","",INDEX('Per Invoice'!D$2:D$801,$W180)))</f>
        <v/>
      </c>
      <c r="E180">
        <f>IF($W180="","",IF(INDEX('Per Invoice'!E$2:E$801,$W180)="","",INDEX('Per Invoice'!E$2:E$801,$W180)))</f>
        <v/>
      </c>
      <c r="F180">
        <f>IF($W180="","",IF(INDEX('Per Invoice'!F$2:F$801,$W180)="","",INDEX('Per Invoice'!F$2:F$801,$W180)))</f>
        <v/>
      </c>
      <c r="G180">
        <f>IF($W180="","",IF(INDEX('Per Invoice'!G$2:G$801,$W180)="","",INDEX('Per Invoice'!G$2:G$801,$W180)))</f>
        <v/>
      </c>
      <c r="H180">
        <f>IF($W180="","",IF(INDEX('Per Invoice'!H$2:H$801,$W180)="","",INDEX('Per Invoice'!H$2:H$801,$W180)))</f>
        <v/>
      </c>
      <c r="I180">
        <f>IF($W180="","",IF(INDEX('Per Invoice'!I$2:I$801,$W180)="","",INDEX('Per Invoice'!I$2:I$801,$W180)))</f>
        <v/>
      </c>
      <c r="J180">
        <f>IF($W180="","",IF(INDEX('Per Invoice'!J$2:J$801,$W180)="","",INDEX('Per Invoice'!J$2:J$801,$W180)))</f>
        <v/>
      </c>
      <c r="K180" s="7">
        <f>IF($W180="","",IF(INDEX('Per Invoice'!K$2:K$801,$W180)="","",INDEX('Per Invoice'!K$2:K$801,$W180)))</f>
        <v/>
      </c>
      <c r="L180" s="14">
        <f>IF($W180="","",IF(INDEX('Per Invoice'!L$2:L$801,$W180)="","",INDEX('Per Invoice'!L$2:L$801,$W180)))</f>
        <v/>
      </c>
      <c r="M180">
        <f>IF($W180="","",IF(INDEX('Per Invoice'!M$2:M$801,$W180)="","",INDEX('Per Invoice'!M$2:M$801,$W180)))</f>
        <v/>
      </c>
      <c r="N180" s="7">
        <f>IF($W180="","",IF(INDEX('Per Invoice'!N$2:N$801,$W180)="","",INDEX('Per Invoice'!N$2:N$801,$W180)))</f>
        <v/>
      </c>
      <c r="O180" s="7">
        <f>IF($W180="","",IF(INDEX('Per Invoice'!O$2:O$801,$W180)="","",INDEX('Per Invoice'!O$2:O$801,$W180)))</f>
        <v/>
      </c>
      <c r="P180">
        <f>IF($W180="","",IF(INDEX('Per Invoice'!P$2:P$801,$W180)="","",INDEX('Per Invoice'!P$2:P$801,$W180)))</f>
        <v/>
      </c>
      <c r="Q180" s="7">
        <f>IF($W180="","",IF(INDEX('Per Invoice'!Q$2:Q$801,$W180)="","",INDEX('Per Invoice'!Q$2:Q$801,$W180)))</f>
        <v/>
      </c>
      <c r="R180" s="7">
        <f>IF($W180="","",IF(INDEX('Per Invoice'!R$2:R$801,$W180)="","",INDEX('Per Invoice'!R$2:R$801,$W180)))</f>
        <v/>
      </c>
      <c r="S180" s="7">
        <f>IF($W180="","",IF(INDEX('Per Invoice'!S$2:S$801,$W180)="","",INDEX('Per Invoice'!S$2:S$801,$W180)))</f>
        <v/>
      </c>
      <c r="T180" s="7">
        <f>IF($W180="","",IF(INDEX('Per Invoice'!T$2:T$801,$W180)="","",INDEX('Per Invoice'!T$2:T$801,$W180)))</f>
        <v/>
      </c>
      <c r="U180" s="7">
        <f>IF($W180="","",IF(INDEX('Per Invoice'!U$2:U$801,$W180)="","",INDEX('Per Invoice'!U$2:U$801,$W180)))</f>
        <v/>
      </c>
      <c r="V180" s="7">
        <f>IF($W180="","",IF(INDEX('Per Invoice'!V$2:V$801,$W180)="","",INDEX('Per Invoice'!V$2:V$801,$W180)))</f>
        <v/>
      </c>
      <c r="W180" s="16">
        <f>IFERROR(MATCH(Settings!$C$28&amp;"|"&amp;ROWS($W$2:$W180),'Per Invoice'!$X$2:$X$801,0),"")</f>
        <v/>
      </c>
    </row>
    <row r="181">
      <c r="A181">
        <f>IF($W181="","",IF(INDEX('Per Invoice'!A$2:A$801,$W181)="","",INDEX('Per Invoice'!A$2:A$801,$W181)))</f>
        <v/>
      </c>
      <c r="B181">
        <f>IF($W181="","",IF(INDEX('Per Invoice'!B$2:B$801,$W181)="","",INDEX('Per Invoice'!B$2:B$801,$W181)))</f>
        <v/>
      </c>
      <c r="C181">
        <f>IF($W181="","",IF(INDEX('Per Invoice'!C$2:C$801,$W181)="","",INDEX('Per Invoice'!C$2:C$801,$W181)))</f>
        <v/>
      </c>
      <c r="D181">
        <f>IF($W181="","",IF(INDEX('Per Invoice'!D$2:D$801,$W181)="","",INDEX('Per Invoice'!D$2:D$801,$W181)))</f>
        <v/>
      </c>
      <c r="E181">
        <f>IF($W181="","",IF(INDEX('Per Invoice'!E$2:E$801,$W181)="","",INDEX('Per Invoice'!E$2:E$801,$W181)))</f>
        <v/>
      </c>
      <c r="F181">
        <f>IF($W181="","",IF(INDEX('Per Invoice'!F$2:F$801,$W181)="","",INDEX('Per Invoice'!F$2:F$801,$W181)))</f>
        <v/>
      </c>
      <c r="G181">
        <f>IF($W181="","",IF(INDEX('Per Invoice'!G$2:G$801,$W181)="","",INDEX('Per Invoice'!G$2:G$801,$W181)))</f>
        <v/>
      </c>
      <c r="H181">
        <f>IF($W181="","",IF(INDEX('Per Invoice'!H$2:H$801,$W181)="","",INDEX('Per Invoice'!H$2:H$801,$W181)))</f>
        <v/>
      </c>
      <c r="I181">
        <f>IF($W181="","",IF(INDEX('Per Invoice'!I$2:I$801,$W181)="","",INDEX('Per Invoice'!I$2:I$801,$W181)))</f>
        <v/>
      </c>
      <c r="J181">
        <f>IF($W181="","",IF(INDEX('Per Invoice'!J$2:J$801,$W181)="","",INDEX('Per Invoice'!J$2:J$801,$W181)))</f>
        <v/>
      </c>
      <c r="K181" s="7">
        <f>IF($W181="","",IF(INDEX('Per Invoice'!K$2:K$801,$W181)="","",INDEX('Per Invoice'!K$2:K$801,$W181)))</f>
        <v/>
      </c>
      <c r="L181" s="14">
        <f>IF($W181="","",IF(INDEX('Per Invoice'!L$2:L$801,$W181)="","",INDEX('Per Invoice'!L$2:L$801,$W181)))</f>
        <v/>
      </c>
      <c r="M181">
        <f>IF($W181="","",IF(INDEX('Per Invoice'!M$2:M$801,$W181)="","",INDEX('Per Invoice'!M$2:M$801,$W181)))</f>
        <v/>
      </c>
      <c r="N181" s="7">
        <f>IF($W181="","",IF(INDEX('Per Invoice'!N$2:N$801,$W181)="","",INDEX('Per Invoice'!N$2:N$801,$W181)))</f>
        <v/>
      </c>
      <c r="O181" s="7">
        <f>IF($W181="","",IF(INDEX('Per Invoice'!O$2:O$801,$W181)="","",INDEX('Per Invoice'!O$2:O$801,$W181)))</f>
        <v/>
      </c>
      <c r="P181">
        <f>IF($W181="","",IF(INDEX('Per Invoice'!P$2:P$801,$W181)="","",INDEX('Per Invoice'!P$2:P$801,$W181)))</f>
        <v/>
      </c>
      <c r="Q181" s="7">
        <f>IF($W181="","",IF(INDEX('Per Invoice'!Q$2:Q$801,$W181)="","",INDEX('Per Invoice'!Q$2:Q$801,$W181)))</f>
        <v/>
      </c>
      <c r="R181" s="7">
        <f>IF($W181="","",IF(INDEX('Per Invoice'!R$2:R$801,$W181)="","",INDEX('Per Invoice'!R$2:R$801,$W181)))</f>
        <v/>
      </c>
      <c r="S181" s="7">
        <f>IF($W181="","",IF(INDEX('Per Invoice'!S$2:S$801,$W181)="","",INDEX('Per Invoice'!S$2:S$801,$W181)))</f>
        <v/>
      </c>
      <c r="T181" s="7">
        <f>IF($W181="","",IF(INDEX('Per Invoice'!T$2:T$801,$W181)="","",INDEX('Per Invoice'!T$2:T$801,$W181)))</f>
        <v/>
      </c>
      <c r="U181" s="7">
        <f>IF($W181="","",IF(INDEX('Per Invoice'!U$2:U$801,$W181)="","",INDEX('Per Invoice'!U$2:U$801,$W181)))</f>
        <v/>
      </c>
      <c r="V181" s="7">
        <f>IF($W181="","",IF(INDEX('Per Invoice'!V$2:V$801,$W181)="","",INDEX('Per Invoice'!V$2:V$801,$W181)))</f>
        <v/>
      </c>
      <c r="W181" s="16">
        <f>IFERROR(MATCH(Settings!$C$28&amp;"|"&amp;ROWS($W$2:$W181),'Per Invoice'!$X$2:$X$801,0),"")</f>
        <v/>
      </c>
    </row>
    <row r="182">
      <c r="A182">
        <f>IF($W182="","",IF(INDEX('Per Invoice'!A$2:A$801,$W182)="","",INDEX('Per Invoice'!A$2:A$801,$W182)))</f>
        <v/>
      </c>
      <c r="B182">
        <f>IF($W182="","",IF(INDEX('Per Invoice'!B$2:B$801,$W182)="","",INDEX('Per Invoice'!B$2:B$801,$W182)))</f>
        <v/>
      </c>
      <c r="C182">
        <f>IF($W182="","",IF(INDEX('Per Invoice'!C$2:C$801,$W182)="","",INDEX('Per Invoice'!C$2:C$801,$W182)))</f>
        <v/>
      </c>
      <c r="D182">
        <f>IF($W182="","",IF(INDEX('Per Invoice'!D$2:D$801,$W182)="","",INDEX('Per Invoice'!D$2:D$801,$W182)))</f>
        <v/>
      </c>
      <c r="E182">
        <f>IF($W182="","",IF(INDEX('Per Invoice'!E$2:E$801,$W182)="","",INDEX('Per Invoice'!E$2:E$801,$W182)))</f>
        <v/>
      </c>
      <c r="F182">
        <f>IF($W182="","",IF(INDEX('Per Invoice'!F$2:F$801,$W182)="","",INDEX('Per Invoice'!F$2:F$801,$W182)))</f>
        <v/>
      </c>
      <c r="G182">
        <f>IF($W182="","",IF(INDEX('Per Invoice'!G$2:G$801,$W182)="","",INDEX('Per Invoice'!G$2:G$801,$W182)))</f>
        <v/>
      </c>
      <c r="H182">
        <f>IF($W182="","",IF(INDEX('Per Invoice'!H$2:H$801,$W182)="","",INDEX('Per Invoice'!H$2:H$801,$W182)))</f>
        <v/>
      </c>
      <c r="I182">
        <f>IF($W182="","",IF(INDEX('Per Invoice'!I$2:I$801,$W182)="","",INDEX('Per Invoice'!I$2:I$801,$W182)))</f>
        <v/>
      </c>
      <c r="J182">
        <f>IF($W182="","",IF(INDEX('Per Invoice'!J$2:J$801,$W182)="","",INDEX('Per Invoice'!J$2:J$801,$W182)))</f>
        <v/>
      </c>
      <c r="K182" s="7">
        <f>IF($W182="","",IF(INDEX('Per Invoice'!K$2:K$801,$W182)="","",INDEX('Per Invoice'!K$2:K$801,$W182)))</f>
        <v/>
      </c>
      <c r="L182" s="14">
        <f>IF($W182="","",IF(INDEX('Per Invoice'!L$2:L$801,$W182)="","",INDEX('Per Invoice'!L$2:L$801,$W182)))</f>
        <v/>
      </c>
      <c r="M182">
        <f>IF($W182="","",IF(INDEX('Per Invoice'!M$2:M$801,$W182)="","",INDEX('Per Invoice'!M$2:M$801,$W182)))</f>
        <v/>
      </c>
      <c r="N182" s="7">
        <f>IF($W182="","",IF(INDEX('Per Invoice'!N$2:N$801,$W182)="","",INDEX('Per Invoice'!N$2:N$801,$W182)))</f>
        <v/>
      </c>
      <c r="O182" s="7">
        <f>IF($W182="","",IF(INDEX('Per Invoice'!O$2:O$801,$W182)="","",INDEX('Per Invoice'!O$2:O$801,$W182)))</f>
        <v/>
      </c>
      <c r="P182">
        <f>IF($W182="","",IF(INDEX('Per Invoice'!P$2:P$801,$W182)="","",INDEX('Per Invoice'!P$2:P$801,$W182)))</f>
        <v/>
      </c>
      <c r="Q182" s="7">
        <f>IF($W182="","",IF(INDEX('Per Invoice'!Q$2:Q$801,$W182)="","",INDEX('Per Invoice'!Q$2:Q$801,$W182)))</f>
        <v/>
      </c>
      <c r="R182" s="7">
        <f>IF($W182="","",IF(INDEX('Per Invoice'!R$2:R$801,$W182)="","",INDEX('Per Invoice'!R$2:R$801,$W182)))</f>
        <v/>
      </c>
      <c r="S182" s="7">
        <f>IF($W182="","",IF(INDEX('Per Invoice'!S$2:S$801,$W182)="","",INDEX('Per Invoice'!S$2:S$801,$W182)))</f>
        <v/>
      </c>
      <c r="T182" s="7">
        <f>IF($W182="","",IF(INDEX('Per Invoice'!T$2:T$801,$W182)="","",INDEX('Per Invoice'!T$2:T$801,$W182)))</f>
        <v/>
      </c>
      <c r="U182" s="7">
        <f>IF($W182="","",IF(INDEX('Per Invoice'!U$2:U$801,$W182)="","",INDEX('Per Invoice'!U$2:U$801,$W182)))</f>
        <v/>
      </c>
      <c r="V182" s="7">
        <f>IF($W182="","",IF(INDEX('Per Invoice'!V$2:V$801,$W182)="","",INDEX('Per Invoice'!V$2:V$801,$W182)))</f>
        <v/>
      </c>
      <c r="W182" s="16">
        <f>IFERROR(MATCH(Settings!$C$28&amp;"|"&amp;ROWS($W$2:$W182),'Per Invoice'!$X$2:$X$801,0),"")</f>
        <v/>
      </c>
    </row>
    <row r="183">
      <c r="A183">
        <f>IF($W183="","",IF(INDEX('Per Invoice'!A$2:A$801,$W183)="","",INDEX('Per Invoice'!A$2:A$801,$W183)))</f>
        <v/>
      </c>
      <c r="B183">
        <f>IF($W183="","",IF(INDEX('Per Invoice'!B$2:B$801,$W183)="","",INDEX('Per Invoice'!B$2:B$801,$W183)))</f>
        <v/>
      </c>
      <c r="C183">
        <f>IF($W183="","",IF(INDEX('Per Invoice'!C$2:C$801,$W183)="","",INDEX('Per Invoice'!C$2:C$801,$W183)))</f>
        <v/>
      </c>
      <c r="D183">
        <f>IF($W183="","",IF(INDEX('Per Invoice'!D$2:D$801,$W183)="","",INDEX('Per Invoice'!D$2:D$801,$W183)))</f>
        <v/>
      </c>
      <c r="E183">
        <f>IF($W183="","",IF(INDEX('Per Invoice'!E$2:E$801,$W183)="","",INDEX('Per Invoice'!E$2:E$801,$W183)))</f>
        <v/>
      </c>
      <c r="F183">
        <f>IF($W183="","",IF(INDEX('Per Invoice'!F$2:F$801,$W183)="","",INDEX('Per Invoice'!F$2:F$801,$W183)))</f>
        <v/>
      </c>
      <c r="G183">
        <f>IF($W183="","",IF(INDEX('Per Invoice'!G$2:G$801,$W183)="","",INDEX('Per Invoice'!G$2:G$801,$W183)))</f>
        <v/>
      </c>
      <c r="H183">
        <f>IF($W183="","",IF(INDEX('Per Invoice'!H$2:H$801,$W183)="","",INDEX('Per Invoice'!H$2:H$801,$W183)))</f>
        <v/>
      </c>
      <c r="I183">
        <f>IF($W183="","",IF(INDEX('Per Invoice'!I$2:I$801,$W183)="","",INDEX('Per Invoice'!I$2:I$801,$W183)))</f>
        <v/>
      </c>
      <c r="J183">
        <f>IF($W183="","",IF(INDEX('Per Invoice'!J$2:J$801,$W183)="","",INDEX('Per Invoice'!J$2:J$801,$W183)))</f>
        <v/>
      </c>
      <c r="K183" s="7">
        <f>IF($W183="","",IF(INDEX('Per Invoice'!K$2:K$801,$W183)="","",INDEX('Per Invoice'!K$2:K$801,$W183)))</f>
        <v/>
      </c>
      <c r="L183" s="14">
        <f>IF($W183="","",IF(INDEX('Per Invoice'!L$2:L$801,$W183)="","",INDEX('Per Invoice'!L$2:L$801,$W183)))</f>
        <v/>
      </c>
      <c r="M183">
        <f>IF($W183="","",IF(INDEX('Per Invoice'!M$2:M$801,$W183)="","",INDEX('Per Invoice'!M$2:M$801,$W183)))</f>
        <v/>
      </c>
      <c r="N183" s="7">
        <f>IF($W183="","",IF(INDEX('Per Invoice'!N$2:N$801,$W183)="","",INDEX('Per Invoice'!N$2:N$801,$W183)))</f>
        <v/>
      </c>
      <c r="O183" s="7">
        <f>IF($W183="","",IF(INDEX('Per Invoice'!O$2:O$801,$W183)="","",INDEX('Per Invoice'!O$2:O$801,$W183)))</f>
        <v/>
      </c>
      <c r="P183">
        <f>IF($W183="","",IF(INDEX('Per Invoice'!P$2:P$801,$W183)="","",INDEX('Per Invoice'!P$2:P$801,$W183)))</f>
        <v/>
      </c>
      <c r="Q183" s="7">
        <f>IF($W183="","",IF(INDEX('Per Invoice'!Q$2:Q$801,$W183)="","",INDEX('Per Invoice'!Q$2:Q$801,$W183)))</f>
        <v/>
      </c>
      <c r="R183" s="7">
        <f>IF($W183="","",IF(INDEX('Per Invoice'!R$2:R$801,$W183)="","",INDEX('Per Invoice'!R$2:R$801,$W183)))</f>
        <v/>
      </c>
      <c r="S183" s="7">
        <f>IF($W183="","",IF(INDEX('Per Invoice'!S$2:S$801,$W183)="","",INDEX('Per Invoice'!S$2:S$801,$W183)))</f>
        <v/>
      </c>
      <c r="T183" s="7">
        <f>IF($W183="","",IF(INDEX('Per Invoice'!T$2:T$801,$W183)="","",INDEX('Per Invoice'!T$2:T$801,$W183)))</f>
        <v/>
      </c>
      <c r="U183" s="7">
        <f>IF($W183="","",IF(INDEX('Per Invoice'!U$2:U$801,$W183)="","",INDEX('Per Invoice'!U$2:U$801,$W183)))</f>
        <v/>
      </c>
      <c r="V183" s="7">
        <f>IF($W183="","",IF(INDEX('Per Invoice'!V$2:V$801,$W183)="","",INDEX('Per Invoice'!V$2:V$801,$W183)))</f>
        <v/>
      </c>
      <c r="W183" s="16">
        <f>IFERROR(MATCH(Settings!$C$28&amp;"|"&amp;ROWS($W$2:$W183),'Per Invoice'!$X$2:$X$801,0),"")</f>
        <v/>
      </c>
    </row>
    <row r="184">
      <c r="A184">
        <f>IF($W184="","",IF(INDEX('Per Invoice'!A$2:A$801,$W184)="","",INDEX('Per Invoice'!A$2:A$801,$W184)))</f>
        <v/>
      </c>
      <c r="B184">
        <f>IF($W184="","",IF(INDEX('Per Invoice'!B$2:B$801,$W184)="","",INDEX('Per Invoice'!B$2:B$801,$W184)))</f>
        <v/>
      </c>
      <c r="C184">
        <f>IF($W184="","",IF(INDEX('Per Invoice'!C$2:C$801,$W184)="","",INDEX('Per Invoice'!C$2:C$801,$W184)))</f>
        <v/>
      </c>
      <c r="D184">
        <f>IF($W184="","",IF(INDEX('Per Invoice'!D$2:D$801,$W184)="","",INDEX('Per Invoice'!D$2:D$801,$W184)))</f>
        <v/>
      </c>
      <c r="E184">
        <f>IF($W184="","",IF(INDEX('Per Invoice'!E$2:E$801,$W184)="","",INDEX('Per Invoice'!E$2:E$801,$W184)))</f>
        <v/>
      </c>
      <c r="F184">
        <f>IF($W184="","",IF(INDEX('Per Invoice'!F$2:F$801,$W184)="","",INDEX('Per Invoice'!F$2:F$801,$W184)))</f>
        <v/>
      </c>
      <c r="G184">
        <f>IF($W184="","",IF(INDEX('Per Invoice'!G$2:G$801,$W184)="","",INDEX('Per Invoice'!G$2:G$801,$W184)))</f>
        <v/>
      </c>
      <c r="H184">
        <f>IF($W184="","",IF(INDEX('Per Invoice'!H$2:H$801,$W184)="","",INDEX('Per Invoice'!H$2:H$801,$W184)))</f>
        <v/>
      </c>
      <c r="I184">
        <f>IF($W184="","",IF(INDEX('Per Invoice'!I$2:I$801,$W184)="","",INDEX('Per Invoice'!I$2:I$801,$W184)))</f>
        <v/>
      </c>
      <c r="J184">
        <f>IF($W184="","",IF(INDEX('Per Invoice'!J$2:J$801,$W184)="","",INDEX('Per Invoice'!J$2:J$801,$W184)))</f>
        <v/>
      </c>
      <c r="K184" s="7">
        <f>IF($W184="","",IF(INDEX('Per Invoice'!K$2:K$801,$W184)="","",INDEX('Per Invoice'!K$2:K$801,$W184)))</f>
        <v/>
      </c>
      <c r="L184" s="14">
        <f>IF($W184="","",IF(INDEX('Per Invoice'!L$2:L$801,$W184)="","",INDEX('Per Invoice'!L$2:L$801,$W184)))</f>
        <v/>
      </c>
      <c r="M184">
        <f>IF($W184="","",IF(INDEX('Per Invoice'!M$2:M$801,$W184)="","",INDEX('Per Invoice'!M$2:M$801,$W184)))</f>
        <v/>
      </c>
      <c r="N184" s="7">
        <f>IF($W184="","",IF(INDEX('Per Invoice'!N$2:N$801,$W184)="","",INDEX('Per Invoice'!N$2:N$801,$W184)))</f>
        <v/>
      </c>
      <c r="O184" s="7">
        <f>IF($W184="","",IF(INDEX('Per Invoice'!O$2:O$801,$W184)="","",INDEX('Per Invoice'!O$2:O$801,$W184)))</f>
        <v/>
      </c>
      <c r="P184">
        <f>IF($W184="","",IF(INDEX('Per Invoice'!P$2:P$801,$W184)="","",INDEX('Per Invoice'!P$2:P$801,$W184)))</f>
        <v/>
      </c>
      <c r="Q184" s="7">
        <f>IF($W184="","",IF(INDEX('Per Invoice'!Q$2:Q$801,$W184)="","",INDEX('Per Invoice'!Q$2:Q$801,$W184)))</f>
        <v/>
      </c>
      <c r="R184" s="7">
        <f>IF($W184="","",IF(INDEX('Per Invoice'!R$2:R$801,$W184)="","",INDEX('Per Invoice'!R$2:R$801,$W184)))</f>
        <v/>
      </c>
      <c r="S184" s="7">
        <f>IF($W184="","",IF(INDEX('Per Invoice'!S$2:S$801,$W184)="","",INDEX('Per Invoice'!S$2:S$801,$W184)))</f>
        <v/>
      </c>
      <c r="T184" s="7">
        <f>IF($W184="","",IF(INDEX('Per Invoice'!T$2:T$801,$W184)="","",INDEX('Per Invoice'!T$2:T$801,$W184)))</f>
        <v/>
      </c>
      <c r="U184" s="7">
        <f>IF($W184="","",IF(INDEX('Per Invoice'!U$2:U$801,$W184)="","",INDEX('Per Invoice'!U$2:U$801,$W184)))</f>
        <v/>
      </c>
      <c r="V184" s="7">
        <f>IF($W184="","",IF(INDEX('Per Invoice'!V$2:V$801,$W184)="","",INDEX('Per Invoice'!V$2:V$801,$W184)))</f>
        <v/>
      </c>
      <c r="W184" s="16">
        <f>IFERROR(MATCH(Settings!$C$28&amp;"|"&amp;ROWS($W$2:$W184),'Per Invoice'!$X$2:$X$801,0),"")</f>
        <v/>
      </c>
    </row>
    <row r="185">
      <c r="A185">
        <f>IF($W185="","",IF(INDEX('Per Invoice'!A$2:A$801,$W185)="","",INDEX('Per Invoice'!A$2:A$801,$W185)))</f>
        <v/>
      </c>
      <c r="B185">
        <f>IF($W185="","",IF(INDEX('Per Invoice'!B$2:B$801,$W185)="","",INDEX('Per Invoice'!B$2:B$801,$W185)))</f>
        <v/>
      </c>
      <c r="C185">
        <f>IF($W185="","",IF(INDEX('Per Invoice'!C$2:C$801,$W185)="","",INDEX('Per Invoice'!C$2:C$801,$W185)))</f>
        <v/>
      </c>
      <c r="D185">
        <f>IF($W185="","",IF(INDEX('Per Invoice'!D$2:D$801,$W185)="","",INDEX('Per Invoice'!D$2:D$801,$W185)))</f>
        <v/>
      </c>
      <c r="E185">
        <f>IF($W185="","",IF(INDEX('Per Invoice'!E$2:E$801,$W185)="","",INDEX('Per Invoice'!E$2:E$801,$W185)))</f>
        <v/>
      </c>
      <c r="F185">
        <f>IF($W185="","",IF(INDEX('Per Invoice'!F$2:F$801,$W185)="","",INDEX('Per Invoice'!F$2:F$801,$W185)))</f>
        <v/>
      </c>
      <c r="G185">
        <f>IF($W185="","",IF(INDEX('Per Invoice'!G$2:G$801,$W185)="","",INDEX('Per Invoice'!G$2:G$801,$W185)))</f>
        <v/>
      </c>
      <c r="H185">
        <f>IF($W185="","",IF(INDEX('Per Invoice'!H$2:H$801,$W185)="","",INDEX('Per Invoice'!H$2:H$801,$W185)))</f>
        <v/>
      </c>
      <c r="I185">
        <f>IF($W185="","",IF(INDEX('Per Invoice'!I$2:I$801,$W185)="","",INDEX('Per Invoice'!I$2:I$801,$W185)))</f>
        <v/>
      </c>
      <c r="J185">
        <f>IF($W185="","",IF(INDEX('Per Invoice'!J$2:J$801,$W185)="","",INDEX('Per Invoice'!J$2:J$801,$W185)))</f>
        <v/>
      </c>
      <c r="K185" s="7">
        <f>IF($W185="","",IF(INDEX('Per Invoice'!K$2:K$801,$W185)="","",INDEX('Per Invoice'!K$2:K$801,$W185)))</f>
        <v/>
      </c>
      <c r="L185" s="14">
        <f>IF($W185="","",IF(INDEX('Per Invoice'!L$2:L$801,$W185)="","",INDEX('Per Invoice'!L$2:L$801,$W185)))</f>
        <v/>
      </c>
      <c r="M185">
        <f>IF($W185="","",IF(INDEX('Per Invoice'!M$2:M$801,$W185)="","",INDEX('Per Invoice'!M$2:M$801,$W185)))</f>
        <v/>
      </c>
      <c r="N185" s="7">
        <f>IF($W185="","",IF(INDEX('Per Invoice'!N$2:N$801,$W185)="","",INDEX('Per Invoice'!N$2:N$801,$W185)))</f>
        <v/>
      </c>
      <c r="O185" s="7">
        <f>IF($W185="","",IF(INDEX('Per Invoice'!O$2:O$801,$W185)="","",INDEX('Per Invoice'!O$2:O$801,$W185)))</f>
        <v/>
      </c>
      <c r="P185">
        <f>IF($W185="","",IF(INDEX('Per Invoice'!P$2:P$801,$W185)="","",INDEX('Per Invoice'!P$2:P$801,$W185)))</f>
        <v/>
      </c>
      <c r="Q185" s="7">
        <f>IF($W185="","",IF(INDEX('Per Invoice'!Q$2:Q$801,$W185)="","",INDEX('Per Invoice'!Q$2:Q$801,$W185)))</f>
        <v/>
      </c>
      <c r="R185" s="7">
        <f>IF($W185="","",IF(INDEX('Per Invoice'!R$2:R$801,$W185)="","",INDEX('Per Invoice'!R$2:R$801,$W185)))</f>
        <v/>
      </c>
      <c r="S185" s="7">
        <f>IF($W185="","",IF(INDEX('Per Invoice'!S$2:S$801,$W185)="","",INDEX('Per Invoice'!S$2:S$801,$W185)))</f>
        <v/>
      </c>
      <c r="T185" s="7">
        <f>IF($W185="","",IF(INDEX('Per Invoice'!T$2:T$801,$W185)="","",INDEX('Per Invoice'!T$2:T$801,$W185)))</f>
        <v/>
      </c>
      <c r="U185" s="7">
        <f>IF($W185="","",IF(INDEX('Per Invoice'!U$2:U$801,$W185)="","",INDEX('Per Invoice'!U$2:U$801,$W185)))</f>
        <v/>
      </c>
      <c r="V185" s="7">
        <f>IF($W185="","",IF(INDEX('Per Invoice'!V$2:V$801,$W185)="","",INDEX('Per Invoice'!V$2:V$801,$W185)))</f>
        <v/>
      </c>
      <c r="W185" s="16">
        <f>IFERROR(MATCH(Settings!$C$28&amp;"|"&amp;ROWS($W$2:$W185),'Per Invoice'!$X$2:$X$801,0),"")</f>
        <v/>
      </c>
    </row>
    <row r="186">
      <c r="A186">
        <f>IF($W186="","",IF(INDEX('Per Invoice'!A$2:A$801,$W186)="","",INDEX('Per Invoice'!A$2:A$801,$W186)))</f>
        <v/>
      </c>
      <c r="B186">
        <f>IF($W186="","",IF(INDEX('Per Invoice'!B$2:B$801,$W186)="","",INDEX('Per Invoice'!B$2:B$801,$W186)))</f>
        <v/>
      </c>
      <c r="C186">
        <f>IF($W186="","",IF(INDEX('Per Invoice'!C$2:C$801,$W186)="","",INDEX('Per Invoice'!C$2:C$801,$W186)))</f>
        <v/>
      </c>
      <c r="D186">
        <f>IF($W186="","",IF(INDEX('Per Invoice'!D$2:D$801,$W186)="","",INDEX('Per Invoice'!D$2:D$801,$W186)))</f>
        <v/>
      </c>
      <c r="E186">
        <f>IF($W186="","",IF(INDEX('Per Invoice'!E$2:E$801,$W186)="","",INDEX('Per Invoice'!E$2:E$801,$W186)))</f>
        <v/>
      </c>
      <c r="F186">
        <f>IF($W186="","",IF(INDEX('Per Invoice'!F$2:F$801,$W186)="","",INDEX('Per Invoice'!F$2:F$801,$W186)))</f>
        <v/>
      </c>
      <c r="G186">
        <f>IF($W186="","",IF(INDEX('Per Invoice'!G$2:G$801,$W186)="","",INDEX('Per Invoice'!G$2:G$801,$W186)))</f>
        <v/>
      </c>
      <c r="H186">
        <f>IF($W186="","",IF(INDEX('Per Invoice'!H$2:H$801,$W186)="","",INDEX('Per Invoice'!H$2:H$801,$W186)))</f>
        <v/>
      </c>
      <c r="I186">
        <f>IF($W186="","",IF(INDEX('Per Invoice'!I$2:I$801,$W186)="","",INDEX('Per Invoice'!I$2:I$801,$W186)))</f>
        <v/>
      </c>
      <c r="J186">
        <f>IF($W186="","",IF(INDEX('Per Invoice'!J$2:J$801,$W186)="","",INDEX('Per Invoice'!J$2:J$801,$W186)))</f>
        <v/>
      </c>
      <c r="K186" s="7">
        <f>IF($W186="","",IF(INDEX('Per Invoice'!K$2:K$801,$W186)="","",INDEX('Per Invoice'!K$2:K$801,$W186)))</f>
        <v/>
      </c>
      <c r="L186" s="14">
        <f>IF($W186="","",IF(INDEX('Per Invoice'!L$2:L$801,$W186)="","",INDEX('Per Invoice'!L$2:L$801,$W186)))</f>
        <v/>
      </c>
      <c r="M186">
        <f>IF($W186="","",IF(INDEX('Per Invoice'!M$2:M$801,$W186)="","",INDEX('Per Invoice'!M$2:M$801,$W186)))</f>
        <v/>
      </c>
      <c r="N186" s="7">
        <f>IF($W186="","",IF(INDEX('Per Invoice'!N$2:N$801,$W186)="","",INDEX('Per Invoice'!N$2:N$801,$W186)))</f>
        <v/>
      </c>
      <c r="O186" s="7">
        <f>IF($W186="","",IF(INDEX('Per Invoice'!O$2:O$801,$W186)="","",INDEX('Per Invoice'!O$2:O$801,$W186)))</f>
        <v/>
      </c>
      <c r="P186">
        <f>IF($W186="","",IF(INDEX('Per Invoice'!P$2:P$801,$W186)="","",INDEX('Per Invoice'!P$2:P$801,$W186)))</f>
        <v/>
      </c>
      <c r="Q186" s="7">
        <f>IF($W186="","",IF(INDEX('Per Invoice'!Q$2:Q$801,$W186)="","",INDEX('Per Invoice'!Q$2:Q$801,$W186)))</f>
        <v/>
      </c>
      <c r="R186" s="7">
        <f>IF($W186="","",IF(INDEX('Per Invoice'!R$2:R$801,$W186)="","",INDEX('Per Invoice'!R$2:R$801,$W186)))</f>
        <v/>
      </c>
      <c r="S186" s="7">
        <f>IF($W186="","",IF(INDEX('Per Invoice'!S$2:S$801,$W186)="","",INDEX('Per Invoice'!S$2:S$801,$W186)))</f>
        <v/>
      </c>
      <c r="T186" s="7">
        <f>IF($W186="","",IF(INDEX('Per Invoice'!T$2:T$801,$W186)="","",INDEX('Per Invoice'!T$2:T$801,$W186)))</f>
        <v/>
      </c>
      <c r="U186" s="7">
        <f>IF($W186="","",IF(INDEX('Per Invoice'!U$2:U$801,$W186)="","",INDEX('Per Invoice'!U$2:U$801,$W186)))</f>
        <v/>
      </c>
      <c r="V186" s="7">
        <f>IF($W186="","",IF(INDEX('Per Invoice'!V$2:V$801,$W186)="","",INDEX('Per Invoice'!V$2:V$801,$W186)))</f>
        <v/>
      </c>
      <c r="W186" s="16">
        <f>IFERROR(MATCH(Settings!$C$28&amp;"|"&amp;ROWS($W$2:$W186),'Per Invoice'!$X$2:$X$801,0),"")</f>
        <v/>
      </c>
    </row>
    <row r="187">
      <c r="A187">
        <f>IF($W187="","",IF(INDEX('Per Invoice'!A$2:A$801,$W187)="","",INDEX('Per Invoice'!A$2:A$801,$W187)))</f>
        <v/>
      </c>
      <c r="B187">
        <f>IF($W187="","",IF(INDEX('Per Invoice'!B$2:B$801,$W187)="","",INDEX('Per Invoice'!B$2:B$801,$W187)))</f>
        <v/>
      </c>
      <c r="C187">
        <f>IF($W187="","",IF(INDEX('Per Invoice'!C$2:C$801,$W187)="","",INDEX('Per Invoice'!C$2:C$801,$W187)))</f>
        <v/>
      </c>
      <c r="D187">
        <f>IF($W187="","",IF(INDEX('Per Invoice'!D$2:D$801,$W187)="","",INDEX('Per Invoice'!D$2:D$801,$W187)))</f>
        <v/>
      </c>
      <c r="E187">
        <f>IF($W187="","",IF(INDEX('Per Invoice'!E$2:E$801,$W187)="","",INDEX('Per Invoice'!E$2:E$801,$W187)))</f>
        <v/>
      </c>
      <c r="F187">
        <f>IF($W187="","",IF(INDEX('Per Invoice'!F$2:F$801,$W187)="","",INDEX('Per Invoice'!F$2:F$801,$W187)))</f>
        <v/>
      </c>
      <c r="G187">
        <f>IF($W187="","",IF(INDEX('Per Invoice'!G$2:G$801,$W187)="","",INDEX('Per Invoice'!G$2:G$801,$W187)))</f>
        <v/>
      </c>
      <c r="H187">
        <f>IF($W187="","",IF(INDEX('Per Invoice'!H$2:H$801,$W187)="","",INDEX('Per Invoice'!H$2:H$801,$W187)))</f>
        <v/>
      </c>
      <c r="I187">
        <f>IF($W187="","",IF(INDEX('Per Invoice'!I$2:I$801,$W187)="","",INDEX('Per Invoice'!I$2:I$801,$W187)))</f>
        <v/>
      </c>
      <c r="J187">
        <f>IF($W187="","",IF(INDEX('Per Invoice'!J$2:J$801,$W187)="","",INDEX('Per Invoice'!J$2:J$801,$W187)))</f>
        <v/>
      </c>
      <c r="K187" s="7">
        <f>IF($W187="","",IF(INDEX('Per Invoice'!K$2:K$801,$W187)="","",INDEX('Per Invoice'!K$2:K$801,$W187)))</f>
        <v/>
      </c>
      <c r="L187" s="14">
        <f>IF($W187="","",IF(INDEX('Per Invoice'!L$2:L$801,$W187)="","",INDEX('Per Invoice'!L$2:L$801,$W187)))</f>
        <v/>
      </c>
      <c r="M187">
        <f>IF($W187="","",IF(INDEX('Per Invoice'!M$2:M$801,$W187)="","",INDEX('Per Invoice'!M$2:M$801,$W187)))</f>
        <v/>
      </c>
      <c r="N187" s="7">
        <f>IF($W187="","",IF(INDEX('Per Invoice'!N$2:N$801,$W187)="","",INDEX('Per Invoice'!N$2:N$801,$W187)))</f>
        <v/>
      </c>
      <c r="O187" s="7">
        <f>IF($W187="","",IF(INDEX('Per Invoice'!O$2:O$801,$W187)="","",INDEX('Per Invoice'!O$2:O$801,$W187)))</f>
        <v/>
      </c>
      <c r="P187">
        <f>IF($W187="","",IF(INDEX('Per Invoice'!P$2:P$801,$W187)="","",INDEX('Per Invoice'!P$2:P$801,$W187)))</f>
        <v/>
      </c>
      <c r="Q187" s="7">
        <f>IF($W187="","",IF(INDEX('Per Invoice'!Q$2:Q$801,$W187)="","",INDEX('Per Invoice'!Q$2:Q$801,$W187)))</f>
        <v/>
      </c>
      <c r="R187" s="7">
        <f>IF($W187="","",IF(INDEX('Per Invoice'!R$2:R$801,$W187)="","",INDEX('Per Invoice'!R$2:R$801,$W187)))</f>
        <v/>
      </c>
      <c r="S187" s="7">
        <f>IF($W187="","",IF(INDEX('Per Invoice'!S$2:S$801,$W187)="","",INDEX('Per Invoice'!S$2:S$801,$W187)))</f>
        <v/>
      </c>
      <c r="T187" s="7">
        <f>IF($W187="","",IF(INDEX('Per Invoice'!T$2:T$801,$W187)="","",INDEX('Per Invoice'!T$2:T$801,$W187)))</f>
        <v/>
      </c>
      <c r="U187" s="7">
        <f>IF($W187="","",IF(INDEX('Per Invoice'!U$2:U$801,$W187)="","",INDEX('Per Invoice'!U$2:U$801,$W187)))</f>
        <v/>
      </c>
      <c r="V187" s="7">
        <f>IF($W187="","",IF(INDEX('Per Invoice'!V$2:V$801,$W187)="","",INDEX('Per Invoice'!V$2:V$801,$W187)))</f>
        <v/>
      </c>
      <c r="W187" s="16">
        <f>IFERROR(MATCH(Settings!$C$28&amp;"|"&amp;ROWS($W$2:$W187),'Per Invoice'!$X$2:$X$801,0),"")</f>
        <v/>
      </c>
    </row>
    <row r="188">
      <c r="A188">
        <f>IF($W188="","",IF(INDEX('Per Invoice'!A$2:A$801,$W188)="","",INDEX('Per Invoice'!A$2:A$801,$W188)))</f>
        <v/>
      </c>
      <c r="B188">
        <f>IF($W188="","",IF(INDEX('Per Invoice'!B$2:B$801,$W188)="","",INDEX('Per Invoice'!B$2:B$801,$W188)))</f>
        <v/>
      </c>
      <c r="C188">
        <f>IF($W188="","",IF(INDEX('Per Invoice'!C$2:C$801,$W188)="","",INDEX('Per Invoice'!C$2:C$801,$W188)))</f>
        <v/>
      </c>
      <c r="D188">
        <f>IF($W188="","",IF(INDEX('Per Invoice'!D$2:D$801,$W188)="","",INDEX('Per Invoice'!D$2:D$801,$W188)))</f>
        <v/>
      </c>
      <c r="E188">
        <f>IF($W188="","",IF(INDEX('Per Invoice'!E$2:E$801,$W188)="","",INDEX('Per Invoice'!E$2:E$801,$W188)))</f>
        <v/>
      </c>
      <c r="F188">
        <f>IF($W188="","",IF(INDEX('Per Invoice'!F$2:F$801,$W188)="","",INDEX('Per Invoice'!F$2:F$801,$W188)))</f>
        <v/>
      </c>
      <c r="G188">
        <f>IF($W188="","",IF(INDEX('Per Invoice'!G$2:G$801,$W188)="","",INDEX('Per Invoice'!G$2:G$801,$W188)))</f>
        <v/>
      </c>
      <c r="H188">
        <f>IF($W188="","",IF(INDEX('Per Invoice'!H$2:H$801,$W188)="","",INDEX('Per Invoice'!H$2:H$801,$W188)))</f>
        <v/>
      </c>
      <c r="I188">
        <f>IF($W188="","",IF(INDEX('Per Invoice'!I$2:I$801,$W188)="","",INDEX('Per Invoice'!I$2:I$801,$W188)))</f>
        <v/>
      </c>
      <c r="J188">
        <f>IF($W188="","",IF(INDEX('Per Invoice'!J$2:J$801,$W188)="","",INDEX('Per Invoice'!J$2:J$801,$W188)))</f>
        <v/>
      </c>
      <c r="K188" s="7">
        <f>IF($W188="","",IF(INDEX('Per Invoice'!K$2:K$801,$W188)="","",INDEX('Per Invoice'!K$2:K$801,$W188)))</f>
        <v/>
      </c>
      <c r="L188" s="14">
        <f>IF($W188="","",IF(INDEX('Per Invoice'!L$2:L$801,$W188)="","",INDEX('Per Invoice'!L$2:L$801,$W188)))</f>
        <v/>
      </c>
      <c r="M188">
        <f>IF($W188="","",IF(INDEX('Per Invoice'!M$2:M$801,$W188)="","",INDEX('Per Invoice'!M$2:M$801,$W188)))</f>
        <v/>
      </c>
      <c r="N188" s="7">
        <f>IF($W188="","",IF(INDEX('Per Invoice'!N$2:N$801,$W188)="","",INDEX('Per Invoice'!N$2:N$801,$W188)))</f>
        <v/>
      </c>
      <c r="O188" s="7">
        <f>IF($W188="","",IF(INDEX('Per Invoice'!O$2:O$801,$W188)="","",INDEX('Per Invoice'!O$2:O$801,$W188)))</f>
        <v/>
      </c>
      <c r="P188">
        <f>IF($W188="","",IF(INDEX('Per Invoice'!P$2:P$801,$W188)="","",INDEX('Per Invoice'!P$2:P$801,$W188)))</f>
        <v/>
      </c>
      <c r="Q188" s="7">
        <f>IF($W188="","",IF(INDEX('Per Invoice'!Q$2:Q$801,$W188)="","",INDEX('Per Invoice'!Q$2:Q$801,$W188)))</f>
        <v/>
      </c>
      <c r="R188" s="7">
        <f>IF($W188="","",IF(INDEX('Per Invoice'!R$2:R$801,$W188)="","",INDEX('Per Invoice'!R$2:R$801,$W188)))</f>
        <v/>
      </c>
      <c r="S188" s="7">
        <f>IF($W188="","",IF(INDEX('Per Invoice'!S$2:S$801,$W188)="","",INDEX('Per Invoice'!S$2:S$801,$W188)))</f>
        <v/>
      </c>
      <c r="T188" s="7">
        <f>IF($W188="","",IF(INDEX('Per Invoice'!T$2:T$801,$W188)="","",INDEX('Per Invoice'!T$2:T$801,$W188)))</f>
        <v/>
      </c>
      <c r="U188" s="7">
        <f>IF($W188="","",IF(INDEX('Per Invoice'!U$2:U$801,$W188)="","",INDEX('Per Invoice'!U$2:U$801,$W188)))</f>
        <v/>
      </c>
      <c r="V188" s="7">
        <f>IF($W188="","",IF(INDEX('Per Invoice'!V$2:V$801,$W188)="","",INDEX('Per Invoice'!V$2:V$801,$W188)))</f>
        <v/>
      </c>
      <c r="W188" s="16">
        <f>IFERROR(MATCH(Settings!$C$28&amp;"|"&amp;ROWS($W$2:$W188),'Per Invoice'!$X$2:$X$801,0),"")</f>
        <v/>
      </c>
    </row>
    <row r="189">
      <c r="A189">
        <f>IF($W189="","",IF(INDEX('Per Invoice'!A$2:A$801,$W189)="","",INDEX('Per Invoice'!A$2:A$801,$W189)))</f>
        <v/>
      </c>
      <c r="B189">
        <f>IF($W189="","",IF(INDEX('Per Invoice'!B$2:B$801,$W189)="","",INDEX('Per Invoice'!B$2:B$801,$W189)))</f>
        <v/>
      </c>
      <c r="C189">
        <f>IF($W189="","",IF(INDEX('Per Invoice'!C$2:C$801,$W189)="","",INDEX('Per Invoice'!C$2:C$801,$W189)))</f>
        <v/>
      </c>
      <c r="D189">
        <f>IF($W189="","",IF(INDEX('Per Invoice'!D$2:D$801,$W189)="","",INDEX('Per Invoice'!D$2:D$801,$W189)))</f>
        <v/>
      </c>
      <c r="E189">
        <f>IF($W189="","",IF(INDEX('Per Invoice'!E$2:E$801,$W189)="","",INDEX('Per Invoice'!E$2:E$801,$W189)))</f>
        <v/>
      </c>
      <c r="F189">
        <f>IF($W189="","",IF(INDEX('Per Invoice'!F$2:F$801,$W189)="","",INDEX('Per Invoice'!F$2:F$801,$W189)))</f>
        <v/>
      </c>
      <c r="G189">
        <f>IF($W189="","",IF(INDEX('Per Invoice'!G$2:G$801,$W189)="","",INDEX('Per Invoice'!G$2:G$801,$W189)))</f>
        <v/>
      </c>
      <c r="H189">
        <f>IF($W189="","",IF(INDEX('Per Invoice'!H$2:H$801,$W189)="","",INDEX('Per Invoice'!H$2:H$801,$W189)))</f>
        <v/>
      </c>
      <c r="I189">
        <f>IF($W189="","",IF(INDEX('Per Invoice'!I$2:I$801,$W189)="","",INDEX('Per Invoice'!I$2:I$801,$W189)))</f>
        <v/>
      </c>
      <c r="J189">
        <f>IF($W189="","",IF(INDEX('Per Invoice'!J$2:J$801,$W189)="","",INDEX('Per Invoice'!J$2:J$801,$W189)))</f>
        <v/>
      </c>
      <c r="K189" s="7">
        <f>IF($W189="","",IF(INDEX('Per Invoice'!K$2:K$801,$W189)="","",INDEX('Per Invoice'!K$2:K$801,$W189)))</f>
        <v/>
      </c>
      <c r="L189" s="14">
        <f>IF($W189="","",IF(INDEX('Per Invoice'!L$2:L$801,$W189)="","",INDEX('Per Invoice'!L$2:L$801,$W189)))</f>
        <v/>
      </c>
      <c r="M189">
        <f>IF($W189="","",IF(INDEX('Per Invoice'!M$2:M$801,$W189)="","",INDEX('Per Invoice'!M$2:M$801,$W189)))</f>
        <v/>
      </c>
      <c r="N189" s="7">
        <f>IF($W189="","",IF(INDEX('Per Invoice'!N$2:N$801,$W189)="","",INDEX('Per Invoice'!N$2:N$801,$W189)))</f>
        <v/>
      </c>
      <c r="O189" s="7">
        <f>IF($W189="","",IF(INDEX('Per Invoice'!O$2:O$801,$W189)="","",INDEX('Per Invoice'!O$2:O$801,$W189)))</f>
        <v/>
      </c>
      <c r="P189">
        <f>IF($W189="","",IF(INDEX('Per Invoice'!P$2:P$801,$W189)="","",INDEX('Per Invoice'!P$2:P$801,$W189)))</f>
        <v/>
      </c>
      <c r="Q189" s="7">
        <f>IF($W189="","",IF(INDEX('Per Invoice'!Q$2:Q$801,$W189)="","",INDEX('Per Invoice'!Q$2:Q$801,$W189)))</f>
        <v/>
      </c>
      <c r="R189" s="7">
        <f>IF($W189="","",IF(INDEX('Per Invoice'!R$2:R$801,$W189)="","",INDEX('Per Invoice'!R$2:R$801,$W189)))</f>
        <v/>
      </c>
      <c r="S189" s="7">
        <f>IF($W189="","",IF(INDEX('Per Invoice'!S$2:S$801,$W189)="","",INDEX('Per Invoice'!S$2:S$801,$W189)))</f>
        <v/>
      </c>
      <c r="T189" s="7">
        <f>IF($W189="","",IF(INDEX('Per Invoice'!T$2:T$801,$W189)="","",INDEX('Per Invoice'!T$2:T$801,$W189)))</f>
        <v/>
      </c>
      <c r="U189" s="7">
        <f>IF($W189="","",IF(INDEX('Per Invoice'!U$2:U$801,$W189)="","",INDEX('Per Invoice'!U$2:U$801,$W189)))</f>
        <v/>
      </c>
      <c r="V189" s="7">
        <f>IF($W189="","",IF(INDEX('Per Invoice'!V$2:V$801,$W189)="","",INDEX('Per Invoice'!V$2:V$801,$W189)))</f>
        <v/>
      </c>
      <c r="W189" s="16">
        <f>IFERROR(MATCH(Settings!$C$28&amp;"|"&amp;ROWS($W$2:$W189),'Per Invoice'!$X$2:$X$801,0),"")</f>
        <v/>
      </c>
    </row>
    <row r="190">
      <c r="A190">
        <f>IF($W190="","",IF(INDEX('Per Invoice'!A$2:A$801,$W190)="","",INDEX('Per Invoice'!A$2:A$801,$W190)))</f>
        <v/>
      </c>
      <c r="B190">
        <f>IF($W190="","",IF(INDEX('Per Invoice'!B$2:B$801,$W190)="","",INDEX('Per Invoice'!B$2:B$801,$W190)))</f>
        <v/>
      </c>
      <c r="C190">
        <f>IF($W190="","",IF(INDEX('Per Invoice'!C$2:C$801,$W190)="","",INDEX('Per Invoice'!C$2:C$801,$W190)))</f>
        <v/>
      </c>
      <c r="D190">
        <f>IF($W190="","",IF(INDEX('Per Invoice'!D$2:D$801,$W190)="","",INDEX('Per Invoice'!D$2:D$801,$W190)))</f>
        <v/>
      </c>
      <c r="E190">
        <f>IF($W190="","",IF(INDEX('Per Invoice'!E$2:E$801,$W190)="","",INDEX('Per Invoice'!E$2:E$801,$W190)))</f>
        <v/>
      </c>
      <c r="F190">
        <f>IF($W190="","",IF(INDEX('Per Invoice'!F$2:F$801,$W190)="","",INDEX('Per Invoice'!F$2:F$801,$W190)))</f>
        <v/>
      </c>
      <c r="G190">
        <f>IF($W190="","",IF(INDEX('Per Invoice'!G$2:G$801,$W190)="","",INDEX('Per Invoice'!G$2:G$801,$W190)))</f>
        <v/>
      </c>
      <c r="H190">
        <f>IF($W190="","",IF(INDEX('Per Invoice'!H$2:H$801,$W190)="","",INDEX('Per Invoice'!H$2:H$801,$W190)))</f>
        <v/>
      </c>
      <c r="I190">
        <f>IF($W190="","",IF(INDEX('Per Invoice'!I$2:I$801,$W190)="","",INDEX('Per Invoice'!I$2:I$801,$W190)))</f>
        <v/>
      </c>
      <c r="J190">
        <f>IF($W190="","",IF(INDEX('Per Invoice'!J$2:J$801,$W190)="","",INDEX('Per Invoice'!J$2:J$801,$W190)))</f>
        <v/>
      </c>
      <c r="K190" s="7">
        <f>IF($W190="","",IF(INDEX('Per Invoice'!K$2:K$801,$W190)="","",INDEX('Per Invoice'!K$2:K$801,$W190)))</f>
        <v/>
      </c>
      <c r="L190" s="14">
        <f>IF($W190="","",IF(INDEX('Per Invoice'!L$2:L$801,$W190)="","",INDEX('Per Invoice'!L$2:L$801,$W190)))</f>
        <v/>
      </c>
      <c r="M190">
        <f>IF($W190="","",IF(INDEX('Per Invoice'!M$2:M$801,$W190)="","",INDEX('Per Invoice'!M$2:M$801,$W190)))</f>
        <v/>
      </c>
      <c r="N190" s="7">
        <f>IF($W190="","",IF(INDEX('Per Invoice'!N$2:N$801,$W190)="","",INDEX('Per Invoice'!N$2:N$801,$W190)))</f>
        <v/>
      </c>
      <c r="O190" s="7">
        <f>IF($W190="","",IF(INDEX('Per Invoice'!O$2:O$801,$W190)="","",INDEX('Per Invoice'!O$2:O$801,$W190)))</f>
        <v/>
      </c>
      <c r="P190">
        <f>IF($W190="","",IF(INDEX('Per Invoice'!P$2:P$801,$W190)="","",INDEX('Per Invoice'!P$2:P$801,$W190)))</f>
        <v/>
      </c>
      <c r="Q190" s="7">
        <f>IF($W190="","",IF(INDEX('Per Invoice'!Q$2:Q$801,$W190)="","",INDEX('Per Invoice'!Q$2:Q$801,$W190)))</f>
        <v/>
      </c>
      <c r="R190" s="7">
        <f>IF($W190="","",IF(INDEX('Per Invoice'!R$2:R$801,$W190)="","",INDEX('Per Invoice'!R$2:R$801,$W190)))</f>
        <v/>
      </c>
      <c r="S190" s="7">
        <f>IF($W190="","",IF(INDEX('Per Invoice'!S$2:S$801,$W190)="","",INDEX('Per Invoice'!S$2:S$801,$W190)))</f>
        <v/>
      </c>
      <c r="T190" s="7">
        <f>IF($W190="","",IF(INDEX('Per Invoice'!T$2:T$801,$W190)="","",INDEX('Per Invoice'!T$2:T$801,$W190)))</f>
        <v/>
      </c>
      <c r="U190" s="7">
        <f>IF($W190="","",IF(INDEX('Per Invoice'!U$2:U$801,$W190)="","",INDEX('Per Invoice'!U$2:U$801,$W190)))</f>
        <v/>
      </c>
      <c r="V190" s="7">
        <f>IF($W190="","",IF(INDEX('Per Invoice'!V$2:V$801,$W190)="","",INDEX('Per Invoice'!V$2:V$801,$W190)))</f>
        <v/>
      </c>
      <c r="W190" s="16">
        <f>IFERROR(MATCH(Settings!$C$28&amp;"|"&amp;ROWS($W$2:$W190),'Per Invoice'!$X$2:$X$801,0),"")</f>
        <v/>
      </c>
    </row>
    <row r="191">
      <c r="A191">
        <f>IF($W191="","",IF(INDEX('Per Invoice'!A$2:A$801,$W191)="","",INDEX('Per Invoice'!A$2:A$801,$W191)))</f>
        <v/>
      </c>
      <c r="B191">
        <f>IF($W191="","",IF(INDEX('Per Invoice'!B$2:B$801,$W191)="","",INDEX('Per Invoice'!B$2:B$801,$W191)))</f>
        <v/>
      </c>
      <c r="C191">
        <f>IF($W191="","",IF(INDEX('Per Invoice'!C$2:C$801,$W191)="","",INDEX('Per Invoice'!C$2:C$801,$W191)))</f>
        <v/>
      </c>
      <c r="D191">
        <f>IF($W191="","",IF(INDEX('Per Invoice'!D$2:D$801,$W191)="","",INDEX('Per Invoice'!D$2:D$801,$W191)))</f>
        <v/>
      </c>
      <c r="E191">
        <f>IF($W191="","",IF(INDEX('Per Invoice'!E$2:E$801,$W191)="","",INDEX('Per Invoice'!E$2:E$801,$W191)))</f>
        <v/>
      </c>
      <c r="F191">
        <f>IF($W191="","",IF(INDEX('Per Invoice'!F$2:F$801,$W191)="","",INDEX('Per Invoice'!F$2:F$801,$W191)))</f>
        <v/>
      </c>
      <c r="G191">
        <f>IF($W191="","",IF(INDEX('Per Invoice'!G$2:G$801,$W191)="","",INDEX('Per Invoice'!G$2:G$801,$W191)))</f>
        <v/>
      </c>
      <c r="H191">
        <f>IF($W191="","",IF(INDEX('Per Invoice'!H$2:H$801,$W191)="","",INDEX('Per Invoice'!H$2:H$801,$W191)))</f>
        <v/>
      </c>
      <c r="I191">
        <f>IF($W191="","",IF(INDEX('Per Invoice'!I$2:I$801,$W191)="","",INDEX('Per Invoice'!I$2:I$801,$W191)))</f>
        <v/>
      </c>
      <c r="J191">
        <f>IF($W191="","",IF(INDEX('Per Invoice'!J$2:J$801,$W191)="","",INDEX('Per Invoice'!J$2:J$801,$W191)))</f>
        <v/>
      </c>
      <c r="K191" s="7">
        <f>IF($W191="","",IF(INDEX('Per Invoice'!K$2:K$801,$W191)="","",INDEX('Per Invoice'!K$2:K$801,$W191)))</f>
        <v/>
      </c>
      <c r="L191" s="14">
        <f>IF($W191="","",IF(INDEX('Per Invoice'!L$2:L$801,$W191)="","",INDEX('Per Invoice'!L$2:L$801,$W191)))</f>
        <v/>
      </c>
      <c r="M191">
        <f>IF($W191="","",IF(INDEX('Per Invoice'!M$2:M$801,$W191)="","",INDEX('Per Invoice'!M$2:M$801,$W191)))</f>
        <v/>
      </c>
      <c r="N191" s="7">
        <f>IF($W191="","",IF(INDEX('Per Invoice'!N$2:N$801,$W191)="","",INDEX('Per Invoice'!N$2:N$801,$W191)))</f>
        <v/>
      </c>
      <c r="O191" s="7">
        <f>IF($W191="","",IF(INDEX('Per Invoice'!O$2:O$801,$W191)="","",INDEX('Per Invoice'!O$2:O$801,$W191)))</f>
        <v/>
      </c>
      <c r="P191">
        <f>IF($W191="","",IF(INDEX('Per Invoice'!P$2:P$801,$W191)="","",INDEX('Per Invoice'!P$2:P$801,$W191)))</f>
        <v/>
      </c>
      <c r="Q191" s="7">
        <f>IF($W191="","",IF(INDEX('Per Invoice'!Q$2:Q$801,$W191)="","",INDEX('Per Invoice'!Q$2:Q$801,$W191)))</f>
        <v/>
      </c>
      <c r="R191" s="7">
        <f>IF($W191="","",IF(INDEX('Per Invoice'!R$2:R$801,$W191)="","",INDEX('Per Invoice'!R$2:R$801,$W191)))</f>
        <v/>
      </c>
      <c r="S191" s="7">
        <f>IF($W191="","",IF(INDEX('Per Invoice'!S$2:S$801,$W191)="","",INDEX('Per Invoice'!S$2:S$801,$W191)))</f>
        <v/>
      </c>
      <c r="T191" s="7">
        <f>IF($W191="","",IF(INDEX('Per Invoice'!T$2:T$801,$W191)="","",INDEX('Per Invoice'!T$2:T$801,$W191)))</f>
        <v/>
      </c>
      <c r="U191" s="7">
        <f>IF($W191="","",IF(INDEX('Per Invoice'!U$2:U$801,$W191)="","",INDEX('Per Invoice'!U$2:U$801,$W191)))</f>
        <v/>
      </c>
      <c r="V191" s="7">
        <f>IF($W191="","",IF(INDEX('Per Invoice'!V$2:V$801,$W191)="","",INDEX('Per Invoice'!V$2:V$801,$W191)))</f>
        <v/>
      </c>
      <c r="W191" s="16">
        <f>IFERROR(MATCH(Settings!$C$28&amp;"|"&amp;ROWS($W$2:$W191),'Per Invoice'!$X$2:$X$801,0),"")</f>
        <v/>
      </c>
    </row>
    <row r="192">
      <c r="A192">
        <f>IF($W192="","",IF(INDEX('Per Invoice'!A$2:A$801,$W192)="","",INDEX('Per Invoice'!A$2:A$801,$W192)))</f>
        <v/>
      </c>
      <c r="B192">
        <f>IF($W192="","",IF(INDEX('Per Invoice'!B$2:B$801,$W192)="","",INDEX('Per Invoice'!B$2:B$801,$W192)))</f>
        <v/>
      </c>
      <c r="C192">
        <f>IF($W192="","",IF(INDEX('Per Invoice'!C$2:C$801,$W192)="","",INDEX('Per Invoice'!C$2:C$801,$W192)))</f>
        <v/>
      </c>
      <c r="D192">
        <f>IF($W192="","",IF(INDEX('Per Invoice'!D$2:D$801,$W192)="","",INDEX('Per Invoice'!D$2:D$801,$W192)))</f>
        <v/>
      </c>
      <c r="E192">
        <f>IF($W192="","",IF(INDEX('Per Invoice'!E$2:E$801,$W192)="","",INDEX('Per Invoice'!E$2:E$801,$W192)))</f>
        <v/>
      </c>
      <c r="F192">
        <f>IF($W192="","",IF(INDEX('Per Invoice'!F$2:F$801,$W192)="","",INDEX('Per Invoice'!F$2:F$801,$W192)))</f>
        <v/>
      </c>
      <c r="G192">
        <f>IF($W192="","",IF(INDEX('Per Invoice'!G$2:G$801,$W192)="","",INDEX('Per Invoice'!G$2:G$801,$W192)))</f>
        <v/>
      </c>
      <c r="H192">
        <f>IF($W192="","",IF(INDEX('Per Invoice'!H$2:H$801,$W192)="","",INDEX('Per Invoice'!H$2:H$801,$W192)))</f>
        <v/>
      </c>
      <c r="I192">
        <f>IF($W192="","",IF(INDEX('Per Invoice'!I$2:I$801,$W192)="","",INDEX('Per Invoice'!I$2:I$801,$W192)))</f>
        <v/>
      </c>
      <c r="J192">
        <f>IF($W192="","",IF(INDEX('Per Invoice'!J$2:J$801,$W192)="","",INDEX('Per Invoice'!J$2:J$801,$W192)))</f>
        <v/>
      </c>
      <c r="K192" s="7">
        <f>IF($W192="","",IF(INDEX('Per Invoice'!K$2:K$801,$W192)="","",INDEX('Per Invoice'!K$2:K$801,$W192)))</f>
        <v/>
      </c>
      <c r="L192" s="14">
        <f>IF($W192="","",IF(INDEX('Per Invoice'!L$2:L$801,$W192)="","",INDEX('Per Invoice'!L$2:L$801,$W192)))</f>
        <v/>
      </c>
      <c r="M192">
        <f>IF($W192="","",IF(INDEX('Per Invoice'!M$2:M$801,$W192)="","",INDEX('Per Invoice'!M$2:M$801,$W192)))</f>
        <v/>
      </c>
      <c r="N192" s="7">
        <f>IF($W192="","",IF(INDEX('Per Invoice'!N$2:N$801,$W192)="","",INDEX('Per Invoice'!N$2:N$801,$W192)))</f>
        <v/>
      </c>
      <c r="O192" s="7">
        <f>IF($W192="","",IF(INDEX('Per Invoice'!O$2:O$801,$W192)="","",INDEX('Per Invoice'!O$2:O$801,$W192)))</f>
        <v/>
      </c>
      <c r="P192">
        <f>IF($W192="","",IF(INDEX('Per Invoice'!P$2:P$801,$W192)="","",INDEX('Per Invoice'!P$2:P$801,$W192)))</f>
        <v/>
      </c>
      <c r="Q192" s="7">
        <f>IF($W192="","",IF(INDEX('Per Invoice'!Q$2:Q$801,$W192)="","",INDEX('Per Invoice'!Q$2:Q$801,$W192)))</f>
        <v/>
      </c>
      <c r="R192" s="7">
        <f>IF($W192="","",IF(INDEX('Per Invoice'!R$2:R$801,$W192)="","",INDEX('Per Invoice'!R$2:R$801,$W192)))</f>
        <v/>
      </c>
      <c r="S192" s="7">
        <f>IF($W192="","",IF(INDEX('Per Invoice'!S$2:S$801,$W192)="","",INDEX('Per Invoice'!S$2:S$801,$W192)))</f>
        <v/>
      </c>
      <c r="T192" s="7">
        <f>IF($W192="","",IF(INDEX('Per Invoice'!T$2:T$801,$W192)="","",INDEX('Per Invoice'!T$2:T$801,$W192)))</f>
        <v/>
      </c>
      <c r="U192" s="7">
        <f>IF($W192="","",IF(INDEX('Per Invoice'!U$2:U$801,$W192)="","",INDEX('Per Invoice'!U$2:U$801,$W192)))</f>
        <v/>
      </c>
      <c r="V192" s="7">
        <f>IF($W192="","",IF(INDEX('Per Invoice'!V$2:V$801,$W192)="","",INDEX('Per Invoice'!V$2:V$801,$W192)))</f>
        <v/>
      </c>
      <c r="W192" s="16">
        <f>IFERROR(MATCH(Settings!$C$28&amp;"|"&amp;ROWS($W$2:$W192),'Per Invoice'!$X$2:$X$801,0),"")</f>
        <v/>
      </c>
    </row>
    <row r="193">
      <c r="A193">
        <f>IF($W193="","",IF(INDEX('Per Invoice'!A$2:A$801,$W193)="","",INDEX('Per Invoice'!A$2:A$801,$W193)))</f>
        <v/>
      </c>
      <c r="B193">
        <f>IF($W193="","",IF(INDEX('Per Invoice'!B$2:B$801,$W193)="","",INDEX('Per Invoice'!B$2:B$801,$W193)))</f>
        <v/>
      </c>
      <c r="C193">
        <f>IF($W193="","",IF(INDEX('Per Invoice'!C$2:C$801,$W193)="","",INDEX('Per Invoice'!C$2:C$801,$W193)))</f>
        <v/>
      </c>
      <c r="D193">
        <f>IF($W193="","",IF(INDEX('Per Invoice'!D$2:D$801,$W193)="","",INDEX('Per Invoice'!D$2:D$801,$W193)))</f>
        <v/>
      </c>
      <c r="E193">
        <f>IF($W193="","",IF(INDEX('Per Invoice'!E$2:E$801,$W193)="","",INDEX('Per Invoice'!E$2:E$801,$W193)))</f>
        <v/>
      </c>
      <c r="F193">
        <f>IF($W193="","",IF(INDEX('Per Invoice'!F$2:F$801,$W193)="","",INDEX('Per Invoice'!F$2:F$801,$W193)))</f>
        <v/>
      </c>
      <c r="G193">
        <f>IF($W193="","",IF(INDEX('Per Invoice'!G$2:G$801,$W193)="","",INDEX('Per Invoice'!G$2:G$801,$W193)))</f>
        <v/>
      </c>
      <c r="H193">
        <f>IF($W193="","",IF(INDEX('Per Invoice'!H$2:H$801,$W193)="","",INDEX('Per Invoice'!H$2:H$801,$W193)))</f>
        <v/>
      </c>
      <c r="I193">
        <f>IF($W193="","",IF(INDEX('Per Invoice'!I$2:I$801,$W193)="","",INDEX('Per Invoice'!I$2:I$801,$W193)))</f>
        <v/>
      </c>
      <c r="J193">
        <f>IF($W193="","",IF(INDEX('Per Invoice'!J$2:J$801,$W193)="","",INDEX('Per Invoice'!J$2:J$801,$W193)))</f>
        <v/>
      </c>
      <c r="K193" s="7">
        <f>IF($W193="","",IF(INDEX('Per Invoice'!K$2:K$801,$W193)="","",INDEX('Per Invoice'!K$2:K$801,$W193)))</f>
        <v/>
      </c>
      <c r="L193" s="14">
        <f>IF($W193="","",IF(INDEX('Per Invoice'!L$2:L$801,$W193)="","",INDEX('Per Invoice'!L$2:L$801,$W193)))</f>
        <v/>
      </c>
      <c r="M193">
        <f>IF($W193="","",IF(INDEX('Per Invoice'!M$2:M$801,$W193)="","",INDEX('Per Invoice'!M$2:M$801,$W193)))</f>
        <v/>
      </c>
      <c r="N193" s="7">
        <f>IF($W193="","",IF(INDEX('Per Invoice'!N$2:N$801,$W193)="","",INDEX('Per Invoice'!N$2:N$801,$W193)))</f>
        <v/>
      </c>
      <c r="O193" s="7">
        <f>IF($W193="","",IF(INDEX('Per Invoice'!O$2:O$801,$W193)="","",INDEX('Per Invoice'!O$2:O$801,$W193)))</f>
        <v/>
      </c>
      <c r="P193">
        <f>IF($W193="","",IF(INDEX('Per Invoice'!P$2:P$801,$W193)="","",INDEX('Per Invoice'!P$2:P$801,$W193)))</f>
        <v/>
      </c>
      <c r="Q193" s="7">
        <f>IF($W193="","",IF(INDEX('Per Invoice'!Q$2:Q$801,$W193)="","",INDEX('Per Invoice'!Q$2:Q$801,$W193)))</f>
        <v/>
      </c>
      <c r="R193" s="7">
        <f>IF($W193="","",IF(INDEX('Per Invoice'!R$2:R$801,$W193)="","",INDEX('Per Invoice'!R$2:R$801,$W193)))</f>
        <v/>
      </c>
      <c r="S193" s="7">
        <f>IF($W193="","",IF(INDEX('Per Invoice'!S$2:S$801,$W193)="","",INDEX('Per Invoice'!S$2:S$801,$W193)))</f>
        <v/>
      </c>
      <c r="T193" s="7">
        <f>IF($W193="","",IF(INDEX('Per Invoice'!T$2:T$801,$W193)="","",INDEX('Per Invoice'!T$2:T$801,$W193)))</f>
        <v/>
      </c>
      <c r="U193" s="7">
        <f>IF($W193="","",IF(INDEX('Per Invoice'!U$2:U$801,$W193)="","",INDEX('Per Invoice'!U$2:U$801,$W193)))</f>
        <v/>
      </c>
      <c r="V193" s="7">
        <f>IF($W193="","",IF(INDEX('Per Invoice'!V$2:V$801,$W193)="","",INDEX('Per Invoice'!V$2:V$801,$W193)))</f>
        <v/>
      </c>
      <c r="W193" s="16">
        <f>IFERROR(MATCH(Settings!$C$28&amp;"|"&amp;ROWS($W$2:$W193),'Per Invoice'!$X$2:$X$801,0),"")</f>
        <v/>
      </c>
    </row>
    <row r="194">
      <c r="A194">
        <f>IF($W194="","",IF(INDEX('Per Invoice'!A$2:A$801,$W194)="","",INDEX('Per Invoice'!A$2:A$801,$W194)))</f>
        <v/>
      </c>
      <c r="B194">
        <f>IF($W194="","",IF(INDEX('Per Invoice'!B$2:B$801,$W194)="","",INDEX('Per Invoice'!B$2:B$801,$W194)))</f>
        <v/>
      </c>
      <c r="C194">
        <f>IF($W194="","",IF(INDEX('Per Invoice'!C$2:C$801,$W194)="","",INDEX('Per Invoice'!C$2:C$801,$W194)))</f>
        <v/>
      </c>
      <c r="D194">
        <f>IF($W194="","",IF(INDEX('Per Invoice'!D$2:D$801,$W194)="","",INDEX('Per Invoice'!D$2:D$801,$W194)))</f>
        <v/>
      </c>
      <c r="E194">
        <f>IF($W194="","",IF(INDEX('Per Invoice'!E$2:E$801,$W194)="","",INDEX('Per Invoice'!E$2:E$801,$W194)))</f>
        <v/>
      </c>
      <c r="F194">
        <f>IF($W194="","",IF(INDEX('Per Invoice'!F$2:F$801,$W194)="","",INDEX('Per Invoice'!F$2:F$801,$W194)))</f>
        <v/>
      </c>
      <c r="G194">
        <f>IF($W194="","",IF(INDEX('Per Invoice'!G$2:G$801,$W194)="","",INDEX('Per Invoice'!G$2:G$801,$W194)))</f>
        <v/>
      </c>
      <c r="H194">
        <f>IF($W194="","",IF(INDEX('Per Invoice'!H$2:H$801,$W194)="","",INDEX('Per Invoice'!H$2:H$801,$W194)))</f>
        <v/>
      </c>
      <c r="I194">
        <f>IF($W194="","",IF(INDEX('Per Invoice'!I$2:I$801,$W194)="","",INDEX('Per Invoice'!I$2:I$801,$W194)))</f>
        <v/>
      </c>
      <c r="J194">
        <f>IF($W194="","",IF(INDEX('Per Invoice'!J$2:J$801,$W194)="","",INDEX('Per Invoice'!J$2:J$801,$W194)))</f>
        <v/>
      </c>
      <c r="K194" s="7">
        <f>IF($W194="","",IF(INDEX('Per Invoice'!K$2:K$801,$W194)="","",INDEX('Per Invoice'!K$2:K$801,$W194)))</f>
        <v/>
      </c>
      <c r="L194" s="14">
        <f>IF($W194="","",IF(INDEX('Per Invoice'!L$2:L$801,$W194)="","",INDEX('Per Invoice'!L$2:L$801,$W194)))</f>
        <v/>
      </c>
      <c r="M194">
        <f>IF($W194="","",IF(INDEX('Per Invoice'!M$2:M$801,$W194)="","",INDEX('Per Invoice'!M$2:M$801,$W194)))</f>
        <v/>
      </c>
      <c r="N194" s="7">
        <f>IF($W194="","",IF(INDEX('Per Invoice'!N$2:N$801,$W194)="","",INDEX('Per Invoice'!N$2:N$801,$W194)))</f>
        <v/>
      </c>
      <c r="O194" s="7">
        <f>IF($W194="","",IF(INDEX('Per Invoice'!O$2:O$801,$W194)="","",INDEX('Per Invoice'!O$2:O$801,$W194)))</f>
        <v/>
      </c>
      <c r="P194">
        <f>IF($W194="","",IF(INDEX('Per Invoice'!P$2:P$801,$W194)="","",INDEX('Per Invoice'!P$2:P$801,$W194)))</f>
        <v/>
      </c>
      <c r="Q194" s="7">
        <f>IF($W194="","",IF(INDEX('Per Invoice'!Q$2:Q$801,$W194)="","",INDEX('Per Invoice'!Q$2:Q$801,$W194)))</f>
        <v/>
      </c>
      <c r="R194" s="7">
        <f>IF($W194="","",IF(INDEX('Per Invoice'!R$2:R$801,$W194)="","",INDEX('Per Invoice'!R$2:R$801,$W194)))</f>
        <v/>
      </c>
      <c r="S194" s="7">
        <f>IF($W194="","",IF(INDEX('Per Invoice'!S$2:S$801,$W194)="","",INDEX('Per Invoice'!S$2:S$801,$W194)))</f>
        <v/>
      </c>
      <c r="T194" s="7">
        <f>IF($W194="","",IF(INDEX('Per Invoice'!T$2:T$801,$W194)="","",INDEX('Per Invoice'!T$2:T$801,$W194)))</f>
        <v/>
      </c>
      <c r="U194" s="7">
        <f>IF($W194="","",IF(INDEX('Per Invoice'!U$2:U$801,$W194)="","",INDEX('Per Invoice'!U$2:U$801,$W194)))</f>
        <v/>
      </c>
      <c r="V194" s="7">
        <f>IF($W194="","",IF(INDEX('Per Invoice'!V$2:V$801,$W194)="","",INDEX('Per Invoice'!V$2:V$801,$W194)))</f>
        <v/>
      </c>
      <c r="W194" s="16">
        <f>IFERROR(MATCH(Settings!$C$28&amp;"|"&amp;ROWS($W$2:$W194),'Per Invoice'!$X$2:$X$801,0),"")</f>
        <v/>
      </c>
    </row>
    <row r="195">
      <c r="A195">
        <f>IF($W195="","",IF(INDEX('Per Invoice'!A$2:A$801,$W195)="","",INDEX('Per Invoice'!A$2:A$801,$W195)))</f>
        <v/>
      </c>
      <c r="B195">
        <f>IF($W195="","",IF(INDEX('Per Invoice'!B$2:B$801,$W195)="","",INDEX('Per Invoice'!B$2:B$801,$W195)))</f>
        <v/>
      </c>
      <c r="C195">
        <f>IF($W195="","",IF(INDEX('Per Invoice'!C$2:C$801,$W195)="","",INDEX('Per Invoice'!C$2:C$801,$W195)))</f>
        <v/>
      </c>
      <c r="D195">
        <f>IF($W195="","",IF(INDEX('Per Invoice'!D$2:D$801,$W195)="","",INDEX('Per Invoice'!D$2:D$801,$W195)))</f>
        <v/>
      </c>
      <c r="E195">
        <f>IF($W195="","",IF(INDEX('Per Invoice'!E$2:E$801,$W195)="","",INDEX('Per Invoice'!E$2:E$801,$W195)))</f>
        <v/>
      </c>
      <c r="F195">
        <f>IF($W195="","",IF(INDEX('Per Invoice'!F$2:F$801,$W195)="","",INDEX('Per Invoice'!F$2:F$801,$W195)))</f>
        <v/>
      </c>
      <c r="G195">
        <f>IF($W195="","",IF(INDEX('Per Invoice'!G$2:G$801,$W195)="","",INDEX('Per Invoice'!G$2:G$801,$W195)))</f>
        <v/>
      </c>
      <c r="H195">
        <f>IF($W195="","",IF(INDEX('Per Invoice'!H$2:H$801,$W195)="","",INDEX('Per Invoice'!H$2:H$801,$W195)))</f>
        <v/>
      </c>
      <c r="I195">
        <f>IF($W195="","",IF(INDEX('Per Invoice'!I$2:I$801,$W195)="","",INDEX('Per Invoice'!I$2:I$801,$W195)))</f>
        <v/>
      </c>
      <c r="J195">
        <f>IF($W195="","",IF(INDEX('Per Invoice'!J$2:J$801,$W195)="","",INDEX('Per Invoice'!J$2:J$801,$W195)))</f>
        <v/>
      </c>
      <c r="K195" s="7">
        <f>IF($W195="","",IF(INDEX('Per Invoice'!K$2:K$801,$W195)="","",INDEX('Per Invoice'!K$2:K$801,$W195)))</f>
        <v/>
      </c>
      <c r="L195" s="14">
        <f>IF($W195="","",IF(INDEX('Per Invoice'!L$2:L$801,$W195)="","",INDEX('Per Invoice'!L$2:L$801,$W195)))</f>
        <v/>
      </c>
      <c r="M195">
        <f>IF($W195="","",IF(INDEX('Per Invoice'!M$2:M$801,$W195)="","",INDEX('Per Invoice'!M$2:M$801,$W195)))</f>
        <v/>
      </c>
      <c r="N195" s="7">
        <f>IF($W195="","",IF(INDEX('Per Invoice'!N$2:N$801,$W195)="","",INDEX('Per Invoice'!N$2:N$801,$W195)))</f>
        <v/>
      </c>
      <c r="O195" s="7">
        <f>IF($W195="","",IF(INDEX('Per Invoice'!O$2:O$801,$W195)="","",INDEX('Per Invoice'!O$2:O$801,$W195)))</f>
        <v/>
      </c>
      <c r="P195">
        <f>IF($W195="","",IF(INDEX('Per Invoice'!P$2:P$801,$W195)="","",INDEX('Per Invoice'!P$2:P$801,$W195)))</f>
        <v/>
      </c>
      <c r="Q195" s="7">
        <f>IF($W195="","",IF(INDEX('Per Invoice'!Q$2:Q$801,$W195)="","",INDEX('Per Invoice'!Q$2:Q$801,$W195)))</f>
        <v/>
      </c>
      <c r="R195" s="7">
        <f>IF($W195="","",IF(INDEX('Per Invoice'!R$2:R$801,$W195)="","",INDEX('Per Invoice'!R$2:R$801,$W195)))</f>
        <v/>
      </c>
      <c r="S195" s="7">
        <f>IF($W195="","",IF(INDEX('Per Invoice'!S$2:S$801,$W195)="","",INDEX('Per Invoice'!S$2:S$801,$W195)))</f>
        <v/>
      </c>
      <c r="T195" s="7">
        <f>IF($W195="","",IF(INDEX('Per Invoice'!T$2:T$801,$W195)="","",INDEX('Per Invoice'!T$2:T$801,$W195)))</f>
        <v/>
      </c>
      <c r="U195" s="7">
        <f>IF($W195="","",IF(INDEX('Per Invoice'!U$2:U$801,$W195)="","",INDEX('Per Invoice'!U$2:U$801,$W195)))</f>
        <v/>
      </c>
      <c r="V195" s="7">
        <f>IF($W195="","",IF(INDEX('Per Invoice'!V$2:V$801,$W195)="","",INDEX('Per Invoice'!V$2:V$801,$W195)))</f>
        <v/>
      </c>
      <c r="W195" s="16">
        <f>IFERROR(MATCH(Settings!$C$28&amp;"|"&amp;ROWS($W$2:$W195),'Per Invoice'!$X$2:$X$801,0),"")</f>
        <v/>
      </c>
    </row>
    <row r="196">
      <c r="A196">
        <f>IF($W196="","",IF(INDEX('Per Invoice'!A$2:A$801,$W196)="","",INDEX('Per Invoice'!A$2:A$801,$W196)))</f>
        <v/>
      </c>
      <c r="B196">
        <f>IF($W196="","",IF(INDEX('Per Invoice'!B$2:B$801,$W196)="","",INDEX('Per Invoice'!B$2:B$801,$W196)))</f>
        <v/>
      </c>
      <c r="C196">
        <f>IF($W196="","",IF(INDEX('Per Invoice'!C$2:C$801,$W196)="","",INDEX('Per Invoice'!C$2:C$801,$W196)))</f>
        <v/>
      </c>
      <c r="D196">
        <f>IF($W196="","",IF(INDEX('Per Invoice'!D$2:D$801,$W196)="","",INDEX('Per Invoice'!D$2:D$801,$W196)))</f>
        <v/>
      </c>
      <c r="E196">
        <f>IF($W196="","",IF(INDEX('Per Invoice'!E$2:E$801,$W196)="","",INDEX('Per Invoice'!E$2:E$801,$W196)))</f>
        <v/>
      </c>
      <c r="F196">
        <f>IF($W196="","",IF(INDEX('Per Invoice'!F$2:F$801,$W196)="","",INDEX('Per Invoice'!F$2:F$801,$W196)))</f>
        <v/>
      </c>
      <c r="G196">
        <f>IF($W196="","",IF(INDEX('Per Invoice'!G$2:G$801,$W196)="","",INDEX('Per Invoice'!G$2:G$801,$W196)))</f>
        <v/>
      </c>
      <c r="H196">
        <f>IF($W196="","",IF(INDEX('Per Invoice'!H$2:H$801,$W196)="","",INDEX('Per Invoice'!H$2:H$801,$W196)))</f>
        <v/>
      </c>
      <c r="I196">
        <f>IF($W196="","",IF(INDEX('Per Invoice'!I$2:I$801,$W196)="","",INDEX('Per Invoice'!I$2:I$801,$W196)))</f>
        <v/>
      </c>
      <c r="J196">
        <f>IF($W196="","",IF(INDEX('Per Invoice'!J$2:J$801,$W196)="","",INDEX('Per Invoice'!J$2:J$801,$W196)))</f>
        <v/>
      </c>
      <c r="K196" s="7">
        <f>IF($W196="","",IF(INDEX('Per Invoice'!K$2:K$801,$W196)="","",INDEX('Per Invoice'!K$2:K$801,$W196)))</f>
        <v/>
      </c>
      <c r="L196" s="14">
        <f>IF($W196="","",IF(INDEX('Per Invoice'!L$2:L$801,$W196)="","",INDEX('Per Invoice'!L$2:L$801,$W196)))</f>
        <v/>
      </c>
      <c r="M196">
        <f>IF($W196="","",IF(INDEX('Per Invoice'!M$2:M$801,$W196)="","",INDEX('Per Invoice'!M$2:M$801,$W196)))</f>
        <v/>
      </c>
      <c r="N196" s="7">
        <f>IF($W196="","",IF(INDEX('Per Invoice'!N$2:N$801,$W196)="","",INDEX('Per Invoice'!N$2:N$801,$W196)))</f>
        <v/>
      </c>
      <c r="O196" s="7">
        <f>IF($W196="","",IF(INDEX('Per Invoice'!O$2:O$801,$W196)="","",INDEX('Per Invoice'!O$2:O$801,$W196)))</f>
        <v/>
      </c>
      <c r="P196">
        <f>IF($W196="","",IF(INDEX('Per Invoice'!P$2:P$801,$W196)="","",INDEX('Per Invoice'!P$2:P$801,$W196)))</f>
        <v/>
      </c>
      <c r="Q196" s="7">
        <f>IF($W196="","",IF(INDEX('Per Invoice'!Q$2:Q$801,$W196)="","",INDEX('Per Invoice'!Q$2:Q$801,$W196)))</f>
        <v/>
      </c>
      <c r="R196" s="7">
        <f>IF($W196="","",IF(INDEX('Per Invoice'!R$2:R$801,$W196)="","",INDEX('Per Invoice'!R$2:R$801,$W196)))</f>
        <v/>
      </c>
      <c r="S196" s="7">
        <f>IF($W196="","",IF(INDEX('Per Invoice'!S$2:S$801,$W196)="","",INDEX('Per Invoice'!S$2:S$801,$W196)))</f>
        <v/>
      </c>
      <c r="T196" s="7">
        <f>IF($W196="","",IF(INDEX('Per Invoice'!T$2:T$801,$W196)="","",INDEX('Per Invoice'!T$2:T$801,$W196)))</f>
        <v/>
      </c>
      <c r="U196" s="7">
        <f>IF($W196="","",IF(INDEX('Per Invoice'!U$2:U$801,$W196)="","",INDEX('Per Invoice'!U$2:U$801,$W196)))</f>
        <v/>
      </c>
      <c r="V196" s="7">
        <f>IF($W196="","",IF(INDEX('Per Invoice'!V$2:V$801,$W196)="","",INDEX('Per Invoice'!V$2:V$801,$W196)))</f>
        <v/>
      </c>
      <c r="W196" s="16">
        <f>IFERROR(MATCH(Settings!$C$28&amp;"|"&amp;ROWS($W$2:$W196),'Per Invoice'!$X$2:$X$801,0),"")</f>
        <v/>
      </c>
    </row>
    <row r="197">
      <c r="A197">
        <f>IF($W197="","",IF(INDEX('Per Invoice'!A$2:A$801,$W197)="","",INDEX('Per Invoice'!A$2:A$801,$W197)))</f>
        <v/>
      </c>
      <c r="B197">
        <f>IF($W197="","",IF(INDEX('Per Invoice'!B$2:B$801,$W197)="","",INDEX('Per Invoice'!B$2:B$801,$W197)))</f>
        <v/>
      </c>
      <c r="C197">
        <f>IF($W197="","",IF(INDEX('Per Invoice'!C$2:C$801,$W197)="","",INDEX('Per Invoice'!C$2:C$801,$W197)))</f>
        <v/>
      </c>
      <c r="D197">
        <f>IF($W197="","",IF(INDEX('Per Invoice'!D$2:D$801,$W197)="","",INDEX('Per Invoice'!D$2:D$801,$W197)))</f>
        <v/>
      </c>
      <c r="E197">
        <f>IF($W197="","",IF(INDEX('Per Invoice'!E$2:E$801,$W197)="","",INDEX('Per Invoice'!E$2:E$801,$W197)))</f>
        <v/>
      </c>
      <c r="F197">
        <f>IF($W197="","",IF(INDEX('Per Invoice'!F$2:F$801,$W197)="","",INDEX('Per Invoice'!F$2:F$801,$W197)))</f>
        <v/>
      </c>
      <c r="G197">
        <f>IF($W197="","",IF(INDEX('Per Invoice'!G$2:G$801,$W197)="","",INDEX('Per Invoice'!G$2:G$801,$W197)))</f>
        <v/>
      </c>
      <c r="H197">
        <f>IF($W197="","",IF(INDEX('Per Invoice'!H$2:H$801,$W197)="","",INDEX('Per Invoice'!H$2:H$801,$W197)))</f>
        <v/>
      </c>
      <c r="I197">
        <f>IF($W197="","",IF(INDEX('Per Invoice'!I$2:I$801,$W197)="","",INDEX('Per Invoice'!I$2:I$801,$W197)))</f>
        <v/>
      </c>
      <c r="J197">
        <f>IF($W197="","",IF(INDEX('Per Invoice'!J$2:J$801,$W197)="","",INDEX('Per Invoice'!J$2:J$801,$W197)))</f>
        <v/>
      </c>
      <c r="K197" s="7">
        <f>IF($W197="","",IF(INDEX('Per Invoice'!K$2:K$801,$W197)="","",INDEX('Per Invoice'!K$2:K$801,$W197)))</f>
        <v/>
      </c>
      <c r="L197" s="14">
        <f>IF($W197="","",IF(INDEX('Per Invoice'!L$2:L$801,$W197)="","",INDEX('Per Invoice'!L$2:L$801,$W197)))</f>
        <v/>
      </c>
      <c r="M197">
        <f>IF($W197="","",IF(INDEX('Per Invoice'!M$2:M$801,$W197)="","",INDEX('Per Invoice'!M$2:M$801,$W197)))</f>
        <v/>
      </c>
      <c r="N197" s="7">
        <f>IF($W197="","",IF(INDEX('Per Invoice'!N$2:N$801,$W197)="","",INDEX('Per Invoice'!N$2:N$801,$W197)))</f>
        <v/>
      </c>
      <c r="O197" s="7">
        <f>IF($W197="","",IF(INDEX('Per Invoice'!O$2:O$801,$W197)="","",INDEX('Per Invoice'!O$2:O$801,$W197)))</f>
        <v/>
      </c>
      <c r="P197">
        <f>IF($W197="","",IF(INDEX('Per Invoice'!P$2:P$801,$W197)="","",INDEX('Per Invoice'!P$2:P$801,$W197)))</f>
        <v/>
      </c>
      <c r="Q197" s="7">
        <f>IF($W197="","",IF(INDEX('Per Invoice'!Q$2:Q$801,$W197)="","",INDEX('Per Invoice'!Q$2:Q$801,$W197)))</f>
        <v/>
      </c>
      <c r="R197" s="7">
        <f>IF($W197="","",IF(INDEX('Per Invoice'!R$2:R$801,$W197)="","",INDEX('Per Invoice'!R$2:R$801,$W197)))</f>
        <v/>
      </c>
      <c r="S197" s="7">
        <f>IF($W197="","",IF(INDEX('Per Invoice'!S$2:S$801,$W197)="","",INDEX('Per Invoice'!S$2:S$801,$W197)))</f>
        <v/>
      </c>
      <c r="T197" s="7">
        <f>IF($W197="","",IF(INDEX('Per Invoice'!T$2:T$801,$W197)="","",INDEX('Per Invoice'!T$2:T$801,$W197)))</f>
        <v/>
      </c>
      <c r="U197" s="7">
        <f>IF($W197="","",IF(INDEX('Per Invoice'!U$2:U$801,$W197)="","",INDEX('Per Invoice'!U$2:U$801,$W197)))</f>
        <v/>
      </c>
      <c r="V197" s="7">
        <f>IF($W197="","",IF(INDEX('Per Invoice'!V$2:V$801,$W197)="","",INDEX('Per Invoice'!V$2:V$801,$W197)))</f>
        <v/>
      </c>
      <c r="W197" s="16">
        <f>IFERROR(MATCH(Settings!$C$28&amp;"|"&amp;ROWS($W$2:$W197),'Per Invoice'!$X$2:$X$801,0),"")</f>
        <v/>
      </c>
    </row>
    <row r="198">
      <c r="A198">
        <f>IF($W198="","",IF(INDEX('Per Invoice'!A$2:A$801,$W198)="","",INDEX('Per Invoice'!A$2:A$801,$W198)))</f>
        <v/>
      </c>
      <c r="B198">
        <f>IF($W198="","",IF(INDEX('Per Invoice'!B$2:B$801,$W198)="","",INDEX('Per Invoice'!B$2:B$801,$W198)))</f>
        <v/>
      </c>
      <c r="C198">
        <f>IF($W198="","",IF(INDEX('Per Invoice'!C$2:C$801,$W198)="","",INDEX('Per Invoice'!C$2:C$801,$W198)))</f>
        <v/>
      </c>
      <c r="D198">
        <f>IF($W198="","",IF(INDEX('Per Invoice'!D$2:D$801,$W198)="","",INDEX('Per Invoice'!D$2:D$801,$W198)))</f>
        <v/>
      </c>
      <c r="E198">
        <f>IF($W198="","",IF(INDEX('Per Invoice'!E$2:E$801,$W198)="","",INDEX('Per Invoice'!E$2:E$801,$W198)))</f>
        <v/>
      </c>
      <c r="F198">
        <f>IF($W198="","",IF(INDEX('Per Invoice'!F$2:F$801,$W198)="","",INDEX('Per Invoice'!F$2:F$801,$W198)))</f>
        <v/>
      </c>
      <c r="G198">
        <f>IF($W198="","",IF(INDEX('Per Invoice'!G$2:G$801,$W198)="","",INDEX('Per Invoice'!G$2:G$801,$W198)))</f>
        <v/>
      </c>
      <c r="H198">
        <f>IF($W198="","",IF(INDEX('Per Invoice'!H$2:H$801,$W198)="","",INDEX('Per Invoice'!H$2:H$801,$W198)))</f>
        <v/>
      </c>
      <c r="I198">
        <f>IF($W198="","",IF(INDEX('Per Invoice'!I$2:I$801,$W198)="","",INDEX('Per Invoice'!I$2:I$801,$W198)))</f>
        <v/>
      </c>
      <c r="J198">
        <f>IF($W198="","",IF(INDEX('Per Invoice'!J$2:J$801,$W198)="","",INDEX('Per Invoice'!J$2:J$801,$W198)))</f>
        <v/>
      </c>
      <c r="K198" s="7">
        <f>IF($W198="","",IF(INDEX('Per Invoice'!K$2:K$801,$W198)="","",INDEX('Per Invoice'!K$2:K$801,$W198)))</f>
        <v/>
      </c>
      <c r="L198" s="14">
        <f>IF($W198="","",IF(INDEX('Per Invoice'!L$2:L$801,$W198)="","",INDEX('Per Invoice'!L$2:L$801,$W198)))</f>
        <v/>
      </c>
      <c r="M198">
        <f>IF($W198="","",IF(INDEX('Per Invoice'!M$2:M$801,$W198)="","",INDEX('Per Invoice'!M$2:M$801,$W198)))</f>
        <v/>
      </c>
      <c r="N198" s="7">
        <f>IF($W198="","",IF(INDEX('Per Invoice'!N$2:N$801,$W198)="","",INDEX('Per Invoice'!N$2:N$801,$W198)))</f>
        <v/>
      </c>
      <c r="O198" s="7">
        <f>IF($W198="","",IF(INDEX('Per Invoice'!O$2:O$801,$W198)="","",INDEX('Per Invoice'!O$2:O$801,$W198)))</f>
        <v/>
      </c>
      <c r="P198">
        <f>IF($W198="","",IF(INDEX('Per Invoice'!P$2:P$801,$W198)="","",INDEX('Per Invoice'!P$2:P$801,$W198)))</f>
        <v/>
      </c>
      <c r="Q198" s="7">
        <f>IF($W198="","",IF(INDEX('Per Invoice'!Q$2:Q$801,$W198)="","",INDEX('Per Invoice'!Q$2:Q$801,$W198)))</f>
        <v/>
      </c>
      <c r="R198" s="7">
        <f>IF($W198="","",IF(INDEX('Per Invoice'!R$2:R$801,$W198)="","",INDEX('Per Invoice'!R$2:R$801,$W198)))</f>
        <v/>
      </c>
      <c r="S198" s="7">
        <f>IF($W198="","",IF(INDEX('Per Invoice'!S$2:S$801,$W198)="","",INDEX('Per Invoice'!S$2:S$801,$W198)))</f>
        <v/>
      </c>
      <c r="T198" s="7">
        <f>IF($W198="","",IF(INDEX('Per Invoice'!T$2:T$801,$W198)="","",INDEX('Per Invoice'!T$2:T$801,$W198)))</f>
        <v/>
      </c>
      <c r="U198" s="7">
        <f>IF($W198="","",IF(INDEX('Per Invoice'!U$2:U$801,$W198)="","",INDEX('Per Invoice'!U$2:U$801,$W198)))</f>
        <v/>
      </c>
      <c r="V198" s="7">
        <f>IF($W198="","",IF(INDEX('Per Invoice'!V$2:V$801,$W198)="","",INDEX('Per Invoice'!V$2:V$801,$W198)))</f>
        <v/>
      </c>
      <c r="W198" s="16">
        <f>IFERROR(MATCH(Settings!$C$28&amp;"|"&amp;ROWS($W$2:$W198),'Per Invoice'!$X$2:$X$801,0),"")</f>
        <v/>
      </c>
    </row>
    <row r="199">
      <c r="A199">
        <f>IF($W199="","",IF(INDEX('Per Invoice'!A$2:A$801,$W199)="","",INDEX('Per Invoice'!A$2:A$801,$W199)))</f>
        <v/>
      </c>
      <c r="B199">
        <f>IF($W199="","",IF(INDEX('Per Invoice'!B$2:B$801,$W199)="","",INDEX('Per Invoice'!B$2:B$801,$W199)))</f>
        <v/>
      </c>
      <c r="C199">
        <f>IF($W199="","",IF(INDEX('Per Invoice'!C$2:C$801,$W199)="","",INDEX('Per Invoice'!C$2:C$801,$W199)))</f>
        <v/>
      </c>
      <c r="D199">
        <f>IF($W199="","",IF(INDEX('Per Invoice'!D$2:D$801,$W199)="","",INDEX('Per Invoice'!D$2:D$801,$W199)))</f>
        <v/>
      </c>
      <c r="E199">
        <f>IF($W199="","",IF(INDEX('Per Invoice'!E$2:E$801,$W199)="","",INDEX('Per Invoice'!E$2:E$801,$W199)))</f>
        <v/>
      </c>
      <c r="F199">
        <f>IF($W199="","",IF(INDEX('Per Invoice'!F$2:F$801,$W199)="","",INDEX('Per Invoice'!F$2:F$801,$W199)))</f>
        <v/>
      </c>
      <c r="G199">
        <f>IF($W199="","",IF(INDEX('Per Invoice'!G$2:G$801,$W199)="","",INDEX('Per Invoice'!G$2:G$801,$W199)))</f>
        <v/>
      </c>
      <c r="H199">
        <f>IF($W199="","",IF(INDEX('Per Invoice'!H$2:H$801,$W199)="","",INDEX('Per Invoice'!H$2:H$801,$W199)))</f>
        <v/>
      </c>
      <c r="I199">
        <f>IF($W199="","",IF(INDEX('Per Invoice'!I$2:I$801,$W199)="","",INDEX('Per Invoice'!I$2:I$801,$W199)))</f>
        <v/>
      </c>
      <c r="J199">
        <f>IF($W199="","",IF(INDEX('Per Invoice'!J$2:J$801,$W199)="","",INDEX('Per Invoice'!J$2:J$801,$W199)))</f>
        <v/>
      </c>
      <c r="K199" s="7">
        <f>IF($W199="","",IF(INDEX('Per Invoice'!K$2:K$801,$W199)="","",INDEX('Per Invoice'!K$2:K$801,$W199)))</f>
        <v/>
      </c>
      <c r="L199" s="14">
        <f>IF($W199="","",IF(INDEX('Per Invoice'!L$2:L$801,$W199)="","",INDEX('Per Invoice'!L$2:L$801,$W199)))</f>
        <v/>
      </c>
      <c r="M199">
        <f>IF($W199="","",IF(INDEX('Per Invoice'!M$2:M$801,$W199)="","",INDEX('Per Invoice'!M$2:M$801,$W199)))</f>
        <v/>
      </c>
      <c r="N199" s="7">
        <f>IF($W199="","",IF(INDEX('Per Invoice'!N$2:N$801,$W199)="","",INDEX('Per Invoice'!N$2:N$801,$W199)))</f>
        <v/>
      </c>
      <c r="O199" s="7">
        <f>IF($W199="","",IF(INDEX('Per Invoice'!O$2:O$801,$W199)="","",INDEX('Per Invoice'!O$2:O$801,$W199)))</f>
        <v/>
      </c>
      <c r="P199">
        <f>IF($W199="","",IF(INDEX('Per Invoice'!P$2:P$801,$W199)="","",INDEX('Per Invoice'!P$2:P$801,$W199)))</f>
        <v/>
      </c>
      <c r="Q199" s="7">
        <f>IF($W199="","",IF(INDEX('Per Invoice'!Q$2:Q$801,$W199)="","",INDEX('Per Invoice'!Q$2:Q$801,$W199)))</f>
        <v/>
      </c>
      <c r="R199" s="7">
        <f>IF($W199="","",IF(INDEX('Per Invoice'!R$2:R$801,$W199)="","",INDEX('Per Invoice'!R$2:R$801,$W199)))</f>
        <v/>
      </c>
      <c r="S199" s="7">
        <f>IF($W199="","",IF(INDEX('Per Invoice'!S$2:S$801,$W199)="","",INDEX('Per Invoice'!S$2:S$801,$W199)))</f>
        <v/>
      </c>
      <c r="T199" s="7">
        <f>IF($W199="","",IF(INDEX('Per Invoice'!T$2:T$801,$W199)="","",INDEX('Per Invoice'!T$2:T$801,$W199)))</f>
        <v/>
      </c>
      <c r="U199" s="7">
        <f>IF($W199="","",IF(INDEX('Per Invoice'!U$2:U$801,$W199)="","",INDEX('Per Invoice'!U$2:U$801,$W199)))</f>
        <v/>
      </c>
      <c r="V199" s="7">
        <f>IF($W199="","",IF(INDEX('Per Invoice'!V$2:V$801,$W199)="","",INDEX('Per Invoice'!V$2:V$801,$W199)))</f>
        <v/>
      </c>
      <c r="W199" s="16">
        <f>IFERROR(MATCH(Settings!$C$28&amp;"|"&amp;ROWS($W$2:$W199),'Per Invoice'!$X$2:$X$801,0),"")</f>
        <v/>
      </c>
    </row>
    <row r="200">
      <c r="A200">
        <f>IF($W200="","",IF(INDEX('Per Invoice'!A$2:A$801,$W200)="","",INDEX('Per Invoice'!A$2:A$801,$W200)))</f>
        <v/>
      </c>
      <c r="B200">
        <f>IF($W200="","",IF(INDEX('Per Invoice'!B$2:B$801,$W200)="","",INDEX('Per Invoice'!B$2:B$801,$W200)))</f>
        <v/>
      </c>
      <c r="C200">
        <f>IF($W200="","",IF(INDEX('Per Invoice'!C$2:C$801,$W200)="","",INDEX('Per Invoice'!C$2:C$801,$W200)))</f>
        <v/>
      </c>
      <c r="D200">
        <f>IF($W200="","",IF(INDEX('Per Invoice'!D$2:D$801,$W200)="","",INDEX('Per Invoice'!D$2:D$801,$W200)))</f>
        <v/>
      </c>
      <c r="E200">
        <f>IF($W200="","",IF(INDEX('Per Invoice'!E$2:E$801,$W200)="","",INDEX('Per Invoice'!E$2:E$801,$W200)))</f>
        <v/>
      </c>
      <c r="F200">
        <f>IF($W200="","",IF(INDEX('Per Invoice'!F$2:F$801,$W200)="","",INDEX('Per Invoice'!F$2:F$801,$W200)))</f>
        <v/>
      </c>
      <c r="G200">
        <f>IF($W200="","",IF(INDEX('Per Invoice'!G$2:G$801,$W200)="","",INDEX('Per Invoice'!G$2:G$801,$W200)))</f>
        <v/>
      </c>
      <c r="H200">
        <f>IF($W200="","",IF(INDEX('Per Invoice'!H$2:H$801,$W200)="","",INDEX('Per Invoice'!H$2:H$801,$W200)))</f>
        <v/>
      </c>
      <c r="I200">
        <f>IF($W200="","",IF(INDEX('Per Invoice'!I$2:I$801,$W200)="","",INDEX('Per Invoice'!I$2:I$801,$W200)))</f>
        <v/>
      </c>
      <c r="J200">
        <f>IF($W200="","",IF(INDEX('Per Invoice'!J$2:J$801,$W200)="","",INDEX('Per Invoice'!J$2:J$801,$W200)))</f>
        <v/>
      </c>
      <c r="K200" s="7">
        <f>IF($W200="","",IF(INDEX('Per Invoice'!K$2:K$801,$W200)="","",INDEX('Per Invoice'!K$2:K$801,$W200)))</f>
        <v/>
      </c>
      <c r="L200" s="14">
        <f>IF($W200="","",IF(INDEX('Per Invoice'!L$2:L$801,$W200)="","",INDEX('Per Invoice'!L$2:L$801,$W200)))</f>
        <v/>
      </c>
      <c r="M200">
        <f>IF($W200="","",IF(INDEX('Per Invoice'!M$2:M$801,$W200)="","",INDEX('Per Invoice'!M$2:M$801,$W200)))</f>
        <v/>
      </c>
      <c r="N200" s="7">
        <f>IF($W200="","",IF(INDEX('Per Invoice'!N$2:N$801,$W200)="","",INDEX('Per Invoice'!N$2:N$801,$W200)))</f>
        <v/>
      </c>
      <c r="O200" s="7">
        <f>IF($W200="","",IF(INDEX('Per Invoice'!O$2:O$801,$W200)="","",INDEX('Per Invoice'!O$2:O$801,$W200)))</f>
        <v/>
      </c>
      <c r="P200">
        <f>IF($W200="","",IF(INDEX('Per Invoice'!P$2:P$801,$W200)="","",INDEX('Per Invoice'!P$2:P$801,$W200)))</f>
        <v/>
      </c>
      <c r="Q200" s="7">
        <f>IF($W200="","",IF(INDEX('Per Invoice'!Q$2:Q$801,$W200)="","",INDEX('Per Invoice'!Q$2:Q$801,$W200)))</f>
        <v/>
      </c>
      <c r="R200" s="7">
        <f>IF($W200="","",IF(INDEX('Per Invoice'!R$2:R$801,$W200)="","",INDEX('Per Invoice'!R$2:R$801,$W200)))</f>
        <v/>
      </c>
      <c r="S200" s="7">
        <f>IF($W200="","",IF(INDEX('Per Invoice'!S$2:S$801,$W200)="","",INDEX('Per Invoice'!S$2:S$801,$W200)))</f>
        <v/>
      </c>
      <c r="T200" s="7">
        <f>IF($W200="","",IF(INDEX('Per Invoice'!T$2:T$801,$W200)="","",INDEX('Per Invoice'!T$2:T$801,$W200)))</f>
        <v/>
      </c>
      <c r="U200" s="7">
        <f>IF($W200="","",IF(INDEX('Per Invoice'!U$2:U$801,$W200)="","",INDEX('Per Invoice'!U$2:U$801,$W200)))</f>
        <v/>
      </c>
      <c r="V200" s="7">
        <f>IF($W200="","",IF(INDEX('Per Invoice'!V$2:V$801,$W200)="","",INDEX('Per Invoice'!V$2:V$801,$W200)))</f>
        <v/>
      </c>
      <c r="W200" s="16">
        <f>IFERROR(MATCH(Settings!$C$28&amp;"|"&amp;ROWS($W$2:$W200),'Per Invoice'!$X$2:$X$801,0),"")</f>
        <v/>
      </c>
    </row>
    <row r="201">
      <c r="A201">
        <f>IF($W201="","",IF(INDEX('Per Invoice'!A$2:A$801,$W201)="","",INDEX('Per Invoice'!A$2:A$801,$W201)))</f>
        <v/>
      </c>
      <c r="B201">
        <f>IF($W201="","",IF(INDEX('Per Invoice'!B$2:B$801,$W201)="","",INDEX('Per Invoice'!B$2:B$801,$W201)))</f>
        <v/>
      </c>
      <c r="C201">
        <f>IF($W201="","",IF(INDEX('Per Invoice'!C$2:C$801,$W201)="","",INDEX('Per Invoice'!C$2:C$801,$W201)))</f>
        <v/>
      </c>
      <c r="D201">
        <f>IF($W201="","",IF(INDEX('Per Invoice'!D$2:D$801,$W201)="","",INDEX('Per Invoice'!D$2:D$801,$W201)))</f>
        <v/>
      </c>
      <c r="E201">
        <f>IF($W201="","",IF(INDEX('Per Invoice'!E$2:E$801,$W201)="","",INDEX('Per Invoice'!E$2:E$801,$W201)))</f>
        <v/>
      </c>
      <c r="F201">
        <f>IF($W201="","",IF(INDEX('Per Invoice'!F$2:F$801,$W201)="","",INDEX('Per Invoice'!F$2:F$801,$W201)))</f>
        <v/>
      </c>
      <c r="G201">
        <f>IF($W201="","",IF(INDEX('Per Invoice'!G$2:G$801,$W201)="","",INDEX('Per Invoice'!G$2:G$801,$W201)))</f>
        <v/>
      </c>
      <c r="H201">
        <f>IF($W201="","",IF(INDEX('Per Invoice'!H$2:H$801,$W201)="","",INDEX('Per Invoice'!H$2:H$801,$W201)))</f>
        <v/>
      </c>
      <c r="I201">
        <f>IF($W201="","",IF(INDEX('Per Invoice'!I$2:I$801,$W201)="","",INDEX('Per Invoice'!I$2:I$801,$W201)))</f>
        <v/>
      </c>
      <c r="J201">
        <f>IF($W201="","",IF(INDEX('Per Invoice'!J$2:J$801,$W201)="","",INDEX('Per Invoice'!J$2:J$801,$W201)))</f>
        <v/>
      </c>
      <c r="K201" s="7">
        <f>IF($W201="","",IF(INDEX('Per Invoice'!K$2:K$801,$W201)="","",INDEX('Per Invoice'!K$2:K$801,$W201)))</f>
        <v/>
      </c>
      <c r="L201" s="14">
        <f>IF($W201="","",IF(INDEX('Per Invoice'!L$2:L$801,$W201)="","",INDEX('Per Invoice'!L$2:L$801,$W201)))</f>
        <v/>
      </c>
      <c r="M201">
        <f>IF($W201="","",IF(INDEX('Per Invoice'!M$2:M$801,$W201)="","",INDEX('Per Invoice'!M$2:M$801,$W201)))</f>
        <v/>
      </c>
      <c r="N201" s="7">
        <f>IF($W201="","",IF(INDEX('Per Invoice'!N$2:N$801,$W201)="","",INDEX('Per Invoice'!N$2:N$801,$W201)))</f>
        <v/>
      </c>
      <c r="O201" s="7">
        <f>IF($W201="","",IF(INDEX('Per Invoice'!O$2:O$801,$W201)="","",INDEX('Per Invoice'!O$2:O$801,$W201)))</f>
        <v/>
      </c>
      <c r="P201">
        <f>IF($W201="","",IF(INDEX('Per Invoice'!P$2:P$801,$W201)="","",INDEX('Per Invoice'!P$2:P$801,$W201)))</f>
        <v/>
      </c>
      <c r="Q201" s="7">
        <f>IF($W201="","",IF(INDEX('Per Invoice'!Q$2:Q$801,$W201)="","",INDEX('Per Invoice'!Q$2:Q$801,$W201)))</f>
        <v/>
      </c>
      <c r="R201" s="7">
        <f>IF($W201="","",IF(INDEX('Per Invoice'!R$2:R$801,$W201)="","",INDEX('Per Invoice'!R$2:R$801,$W201)))</f>
        <v/>
      </c>
      <c r="S201" s="7">
        <f>IF($W201="","",IF(INDEX('Per Invoice'!S$2:S$801,$W201)="","",INDEX('Per Invoice'!S$2:S$801,$W201)))</f>
        <v/>
      </c>
      <c r="T201" s="7">
        <f>IF($W201="","",IF(INDEX('Per Invoice'!T$2:T$801,$W201)="","",INDEX('Per Invoice'!T$2:T$801,$W201)))</f>
        <v/>
      </c>
      <c r="U201" s="7">
        <f>IF($W201="","",IF(INDEX('Per Invoice'!U$2:U$801,$W201)="","",INDEX('Per Invoice'!U$2:U$801,$W201)))</f>
        <v/>
      </c>
      <c r="V201" s="7">
        <f>IF($W201="","",IF(INDEX('Per Invoice'!V$2:V$801,$W201)="","",INDEX('Per Invoice'!V$2:V$801,$W201)))</f>
        <v/>
      </c>
      <c r="W201" s="16">
        <f>IFERROR(MATCH(Settings!$C$28&amp;"|"&amp;ROWS($W$2:$W201),'Per Invoice'!$X$2:$X$801,0),"")</f>
        <v/>
      </c>
    </row>
    <row r="202">
      <c r="A202">
        <f>IF($W202="","",IF(INDEX('Per Invoice'!A$2:A$801,$W202)="","",INDEX('Per Invoice'!A$2:A$801,$W202)))</f>
        <v/>
      </c>
      <c r="B202">
        <f>IF($W202="","",IF(INDEX('Per Invoice'!B$2:B$801,$W202)="","",INDEX('Per Invoice'!B$2:B$801,$W202)))</f>
        <v/>
      </c>
      <c r="C202">
        <f>IF($W202="","",IF(INDEX('Per Invoice'!C$2:C$801,$W202)="","",INDEX('Per Invoice'!C$2:C$801,$W202)))</f>
        <v/>
      </c>
      <c r="D202">
        <f>IF($W202="","",IF(INDEX('Per Invoice'!D$2:D$801,$W202)="","",INDEX('Per Invoice'!D$2:D$801,$W202)))</f>
        <v/>
      </c>
      <c r="E202">
        <f>IF($W202="","",IF(INDEX('Per Invoice'!E$2:E$801,$W202)="","",INDEX('Per Invoice'!E$2:E$801,$W202)))</f>
        <v/>
      </c>
      <c r="F202">
        <f>IF($W202="","",IF(INDEX('Per Invoice'!F$2:F$801,$W202)="","",INDEX('Per Invoice'!F$2:F$801,$W202)))</f>
        <v/>
      </c>
      <c r="G202">
        <f>IF($W202="","",IF(INDEX('Per Invoice'!G$2:G$801,$W202)="","",INDEX('Per Invoice'!G$2:G$801,$W202)))</f>
        <v/>
      </c>
      <c r="H202">
        <f>IF($W202="","",IF(INDEX('Per Invoice'!H$2:H$801,$W202)="","",INDEX('Per Invoice'!H$2:H$801,$W202)))</f>
        <v/>
      </c>
      <c r="I202">
        <f>IF($W202="","",IF(INDEX('Per Invoice'!I$2:I$801,$W202)="","",INDEX('Per Invoice'!I$2:I$801,$W202)))</f>
        <v/>
      </c>
      <c r="J202">
        <f>IF($W202="","",IF(INDEX('Per Invoice'!J$2:J$801,$W202)="","",INDEX('Per Invoice'!J$2:J$801,$W202)))</f>
        <v/>
      </c>
      <c r="K202" s="7">
        <f>IF($W202="","",IF(INDEX('Per Invoice'!K$2:K$801,$W202)="","",INDEX('Per Invoice'!K$2:K$801,$W202)))</f>
        <v/>
      </c>
      <c r="L202" s="14">
        <f>IF($W202="","",IF(INDEX('Per Invoice'!L$2:L$801,$W202)="","",INDEX('Per Invoice'!L$2:L$801,$W202)))</f>
        <v/>
      </c>
      <c r="M202">
        <f>IF($W202="","",IF(INDEX('Per Invoice'!M$2:M$801,$W202)="","",INDEX('Per Invoice'!M$2:M$801,$W202)))</f>
        <v/>
      </c>
      <c r="N202" s="7">
        <f>IF($W202="","",IF(INDEX('Per Invoice'!N$2:N$801,$W202)="","",INDEX('Per Invoice'!N$2:N$801,$W202)))</f>
        <v/>
      </c>
      <c r="O202" s="7">
        <f>IF($W202="","",IF(INDEX('Per Invoice'!O$2:O$801,$W202)="","",INDEX('Per Invoice'!O$2:O$801,$W202)))</f>
        <v/>
      </c>
      <c r="P202">
        <f>IF($W202="","",IF(INDEX('Per Invoice'!P$2:P$801,$W202)="","",INDEX('Per Invoice'!P$2:P$801,$W202)))</f>
        <v/>
      </c>
      <c r="Q202" s="7">
        <f>IF($W202="","",IF(INDEX('Per Invoice'!Q$2:Q$801,$W202)="","",INDEX('Per Invoice'!Q$2:Q$801,$W202)))</f>
        <v/>
      </c>
      <c r="R202" s="7">
        <f>IF($W202="","",IF(INDEX('Per Invoice'!R$2:R$801,$W202)="","",INDEX('Per Invoice'!R$2:R$801,$W202)))</f>
        <v/>
      </c>
      <c r="S202" s="7">
        <f>IF($W202="","",IF(INDEX('Per Invoice'!S$2:S$801,$W202)="","",INDEX('Per Invoice'!S$2:S$801,$W202)))</f>
        <v/>
      </c>
      <c r="T202" s="7">
        <f>IF($W202="","",IF(INDEX('Per Invoice'!T$2:T$801,$W202)="","",INDEX('Per Invoice'!T$2:T$801,$W202)))</f>
        <v/>
      </c>
      <c r="U202" s="7">
        <f>IF($W202="","",IF(INDEX('Per Invoice'!U$2:U$801,$W202)="","",INDEX('Per Invoice'!U$2:U$801,$W202)))</f>
        <v/>
      </c>
      <c r="V202" s="7">
        <f>IF($W202="","",IF(INDEX('Per Invoice'!V$2:V$801,$W202)="","",INDEX('Per Invoice'!V$2:V$801,$W202)))</f>
        <v/>
      </c>
      <c r="W202" s="16">
        <f>IFERROR(MATCH(Settings!$C$28&amp;"|"&amp;ROWS($W$2:$W202),'Per Invoice'!$X$2:$X$801,0),"")</f>
        <v/>
      </c>
    </row>
    <row r="203">
      <c r="A203">
        <f>IF($W203="","",IF(INDEX('Per Invoice'!A$2:A$801,$W203)="","",INDEX('Per Invoice'!A$2:A$801,$W203)))</f>
        <v/>
      </c>
      <c r="B203">
        <f>IF($W203="","",IF(INDEX('Per Invoice'!B$2:B$801,$W203)="","",INDEX('Per Invoice'!B$2:B$801,$W203)))</f>
        <v/>
      </c>
      <c r="C203">
        <f>IF($W203="","",IF(INDEX('Per Invoice'!C$2:C$801,$W203)="","",INDEX('Per Invoice'!C$2:C$801,$W203)))</f>
        <v/>
      </c>
      <c r="D203">
        <f>IF($W203="","",IF(INDEX('Per Invoice'!D$2:D$801,$W203)="","",INDEX('Per Invoice'!D$2:D$801,$W203)))</f>
        <v/>
      </c>
      <c r="E203">
        <f>IF($W203="","",IF(INDEX('Per Invoice'!E$2:E$801,$W203)="","",INDEX('Per Invoice'!E$2:E$801,$W203)))</f>
        <v/>
      </c>
      <c r="F203">
        <f>IF($W203="","",IF(INDEX('Per Invoice'!F$2:F$801,$W203)="","",INDEX('Per Invoice'!F$2:F$801,$W203)))</f>
        <v/>
      </c>
      <c r="G203">
        <f>IF($W203="","",IF(INDEX('Per Invoice'!G$2:G$801,$W203)="","",INDEX('Per Invoice'!G$2:G$801,$W203)))</f>
        <v/>
      </c>
      <c r="H203">
        <f>IF($W203="","",IF(INDEX('Per Invoice'!H$2:H$801,$W203)="","",INDEX('Per Invoice'!H$2:H$801,$W203)))</f>
        <v/>
      </c>
      <c r="I203">
        <f>IF($W203="","",IF(INDEX('Per Invoice'!I$2:I$801,$W203)="","",INDEX('Per Invoice'!I$2:I$801,$W203)))</f>
        <v/>
      </c>
      <c r="J203">
        <f>IF($W203="","",IF(INDEX('Per Invoice'!J$2:J$801,$W203)="","",INDEX('Per Invoice'!J$2:J$801,$W203)))</f>
        <v/>
      </c>
      <c r="K203" s="7">
        <f>IF($W203="","",IF(INDEX('Per Invoice'!K$2:K$801,$W203)="","",INDEX('Per Invoice'!K$2:K$801,$W203)))</f>
        <v/>
      </c>
      <c r="L203" s="14">
        <f>IF($W203="","",IF(INDEX('Per Invoice'!L$2:L$801,$W203)="","",INDEX('Per Invoice'!L$2:L$801,$W203)))</f>
        <v/>
      </c>
      <c r="M203">
        <f>IF($W203="","",IF(INDEX('Per Invoice'!M$2:M$801,$W203)="","",INDEX('Per Invoice'!M$2:M$801,$W203)))</f>
        <v/>
      </c>
      <c r="N203" s="7">
        <f>IF($W203="","",IF(INDEX('Per Invoice'!N$2:N$801,$W203)="","",INDEX('Per Invoice'!N$2:N$801,$W203)))</f>
        <v/>
      </c>
      <c r="O203" s="7">
        <f>IF($W203="","",IF(INDEX('Per Invoice'!O$2:O$801,$W203)="","",INDEX('Per Invoice'!O$2:O$801,$W203)))</f>
        <v/>
      </c>
      <c r="P203">
        <f>IF($W203="","",IF(INDEX('Per Invoice'!P$2:P$801,$W203)="","",INDEX('Per Invoice'!P$2:P$801,$W203)))</f>
        <v/>
      </c>
      <c r="Q203" s="7">
        <f>IF($W203="","",IF(INDEX('Per Invoice'!Q$2:Q$801,$W203)="","",INDEX('Per Invoice'!Q$2:Q$801,$W203)))</f>
        <v/>
      </c>
      <c r="R203" s="7">
        <f>IF($W203="","",IF(INDEX('Per Invoice'!R$2:R$801,$W203)="","",INDEX('Per Invoice'!R$2:R$801,$W203)))</f>
        <v/>
      </c>
      <c r="S203" s="7">
        <f>IF($W203="","",IF(INDEX('Per Invoice'!S$2:S$801,$W203)="","",INDEX('Per Invoice'!S$2:S$801,$W203)))</f>
        <v/>
      </c>
      <c r="T203" s="7">
        <f>IF($W203="","",IF(INDEX('Per Invoice'!T$2:T$801,$W203)="","",INDEX('Per Invoice'!T$2:T$801,$W203)))</f>
        <v/>
      </c>
      <c r="U203" s="7">
        <f>IF($W203="","",IF(INDEX('Per Invoice'!U$2:U$801,$W203)="","",INDEX('Per Invoice'!U$2:U$801,$W203)))</f>
        <v/>
      </c>
      <c r="V203" s="7">
        <f>IF($W203="","",IF(INDEX('Per Invoice'!V$2:V$801,$W203)="","",INDEX('Per Invoice'!V$2:V$801,$W203)))</f>
        <v/>
      </c>
      <c r="W203" s="16">
        <f>IFERROR(MATCH(Settings!$C$28&amp;"|"&amp;ROWS($W$2:$W203),'Per Invoice'!$X$2:$X$801,0),"")</f>
        <v/>
      </c>
    </row>
    <row r="204">
      <c r="A204">
        <f>IF($W204="","",IF(INDEX('Per Invoice'!A$2:A$801,$W204)="","",INDEX('Per Invoice'!A$2:A$801,$W204)))</f>
        <v/>
      </c>
      <c r="B204">
        <f>IF($W204="","",IF(INDEX('Per Invoice'!B$2:B$801,$W204)="","",INDEX('Per Invoice'!B$2:B$801,$W204)))</f>
        <v/>
      </c>
      <c r="C204">
        <f>IF($W204="","",IF(INDEX('Per Invoice'!C$2:C$801,$W204)="","",INDEX('Per Invoice'!C$2:C$801,$W204)))</f>
        <v/>
      </c>
      <c r="D204">
        <f>IF($W204="","",IF(INDEX('Per Invoice'!D$2:D$801,$W204)="","",INDEX('Per Invoice'!D$2:D$801,$W204)))</f>
        <v/>
      </c>
      <c r="E204">
        <f>IF($W204="","",IF(INDEX('Per Invoice'!E$2:E$801,$W204)="","",INDEX('Per Invoice'!E$2:E$801,$W204)))</f>
        <v/>
      </c>
      <c r="F204">
        <f>IF($W204="","",IF(INDEX('Per Invoice'!F$2:F$801,$W204)="","",INDEX('Per Invoice'!F$2:F$801,$W204)))</f>
        <v/>
      </c>
      <c r="G204">
        <f>IF($W204="","",IF(INDEX('Per Invoice'!G$2:G$801,$W204)="","",INDEX('Per Invoice'!G$2:G$801,$W204)))</f>
        <v/>
      </c>
      <c r="H204">
        <f>IF($W204="","",IF(INDEX('Per Invoice'!H$2:H$801,$W204)="","",INDEX('Per Invoice'!H$2:H$801,$W204)))</f>
        <v/>
      </c>
      <c r="I204">
        <f>IF($W204="","",IF(INDEX('Per Invoice'!I$2:I$801,$W204)="","",INDEX('Per Invoice'!I$2:I$801,$W204)))</f>
        <v/>
      </c>
      <c r="J204">
        <f>IF($W204="","",IF(INDEX('Per Invoice'!J$2:J$801,$W204)="","",INDEX('Per Invoice'!J$2:J$801,$W204)))</f>
        <v/>
      </c>
      <c r="K204" s="7">
        <f>IF($W204="","",IF(INDEX('Per Invoice'!K$2:K$801,$W204)="","",INDEX('Per Invoice'!K$2:K$801,$W204)))</f>
        <v/>
      </c>
      <c r="L204" s="14">
        <f>IF($W204="","",IF(INDEX('Per Invoice'!L$2:L$801,$W204)="","",INDEX('Per Invoice'!L$2:L$801,$W204)))</f>
        <v/>
      </c>
      <c r="M204">
        <f>IF($W204="","",IF(INDEX('Per Invoice'!M$2:M$801,$W204)="","",INDEX('Per Invoice'!M$2:M$801,$W204)))</f>
        <v/>
      </c>
      <c r="N204" s="7">
        <f>IF($W204="","",IF(INDEX('Per Invoice'!N$2:N$801,$W204)="","",INDEX('Per Invoice'!N$2:N$801,$W204)))</f>
        <v/>
      </c>
      <c r="O204" s="7">
        <f>IF($W204="","",IF(INDEX('Per Invoice'!O$2:O$801,$W204)="","",INDEX('Per Invoice'!O$2:O$801,$W204)))</f>
        <v/>
      </c>
      <c r="P204">
        <f>IF($W204="","",IF(INDEX('Per Invoice'!P$2:P$801,$W204)="","",INDEX('Per Invoice'!P$2:P$801,$W204)))</f>
        <v/>
      </c>
      <c r="Q204" s="7">
        <f>IF($W204="","",IF(INDEX('Per Invoice'!Q$2:Q$801,$W204)="","",INDEX('Per Invoice'!Q$2:Q$801,$W204)))</f>
        <v/>
      </c>
      <c r="R204" s="7">
        <f>IF($W204="","",IF(INDEX('Per Invoice'!R$2:R$801,$W204)="","",INDEX('Per Invoice'!R$2:R$801,$W204)))</f>
        <v/>
      </c>
      <c r="S204" s="7">
        <f>IF($W204="","",IF(INDEX('Per Invoice'!S$2:S$801,$W204)="","",INDEX('Per Invoice'!S$2:S$801,$W204)))</f>
        <v/>
      </c>
      <c r="T204" s="7">
        <f>IF($W204="","",IF(INDEX('Per Invoice'!T$2:T$801,$W204)="","",INDEX('Per Invoice'!T$2:T$801,$W204)))</f>
        <v/>
      </c>
      <c r="U204" s="7">
        <f>IF($W204="","",IF(INDEX('Per Invoice'!U$2:U$801,$W204)="","",INDEX('Per Invoice'!U$2:U$801,$W204)))</f>
        <v/>
      </c>
      <c r="V204" s="7">
        <f>IF($W204="","",IF(INDEX('Per Invoice'!V$2:V$801,$W204)="","",INDEX('Per Invoice'!V$2:V$801,$W204)))</f>
        <v/>
      </c>
      <c r="W204" s="16">
        <f>IFERROR(MATCH(Settings!$C$28&amp;"|"&amp;ROWS($W$2:$W204),'Per Invoice'!$X$2:$X$801,0),"")</f>
        <v/>
      </c>
    </row>
    <row r="205">
      <c r="A205">
        <f>IF($W205="","",IF(INDEX('Per Invoice'!A$2:A$801,$W205)="","",INDEX('Per Invoice'!A$2:A$801,$W205)))</f>
        <v/>
      </c>
      <c r="B205">
        <f>IF($W205="","",IF(INDEX('Per Invoice'!B$2:B$801,$W205)="","",INDEX('Per Invoice'!B$2:B$801,$W205)))</f>
        <v/>
      </c>
      <c r="C205">
        <f>IF($W205="","",IF(INDEX('Per Invoice'!C$2:C$801,$W205)="","",INDEX('Per Invoice'!C$2:C$801,$W205)))</f>
        <v/>
      </c>
      <c r="D205">
        <f>IF($W205="","",IF(INDEX('Per Invoice'!D$2:D$801,$W205)="","",INDEX('Per Invoice'!D$2:D$801,$W205)))</f>
        <v/>
      </c>
      <c r="E205">
        <f>IF($W205="","",IF(INDEX('Per Invoice'!E$2:E$801,$W205)="","",INDEX('Per Invoice'!E$2:E$801,$W205)))</f>
        <v/>
      </c>
      <c r="F205">
        <f>IF($W205="","",IF(INDEX('Per Invoice'!F$2:F$801,$W205)="","",INDEX('Per Invoice'!F$2:F$801,$W205)))</f>
        <v/>
      </c>
      <c r="G205">
        <f>IF($W205="","",IF(INDEX('Per Invoice'!G$2:G$801,$W205)="","",INDEX('Per Invoice'!G$2:G$801,$W205)))</f>
        <v/>
      </c>
      <c r="H205">
        <f>IF($W205="","",IF(INDEX('Per Invoice'!H$2:H$801,$W205)="","",INDEX('Per Invoice'!H$2:H$801,$W205)))</f>
        <v/>
      </c>
      <c r="I205">
        <f>IF($W205="","",IF(INDEX('Per Invoice'!I$2:I$801,$W205)="","",INDEX('Per Invoice'!I$2:I$801,$W205)))</f>
        <v/>
      </c>
      <c r="J205">
        <f>IF($W205="","",IF(INDEX('Per Invoice'!J$2:J$801,$W205)="","",INDEX('Per Invoice'!J$2:J$801,$W205)))</f>
        <v/>
      </c>
      <c r="K205" s="7">
        <f>IF($W205="","",IF(INDEX('Per Invoice'!K$2:K$801,$W205)="","",INDEX('Per Invoice'!K$2:K$801,$W205)))</f>
        <v/>
      </c>
      <c r="L205" s="14">
        <f>IF($W205="","",IF(INDEX('Per Invoice'!L$2:L$801,$W205)="","",INDEX('Per Invoice'!L$2:L$801,$W205)))</f>
        <v/>
      </c>
      <c r="M205">
        <f>IF($W205="","",IF(INDEX('Per Invoice'!M$2:M$801,$W205)="","",INDEX('Per Invoice'!M$2:M$801,$W205)))</f>
        <v/>
      </c>
      <c r="N205" s="7">
        <f>IF($W205="","",IF(INDEX('Per Invoice'!N$2:N$801,$W205)="","",INDEX('Per Invoice'!N$2:N$801,$W205)))</f>
        <v/>
      </c>
      <c r="O205" s="7">
        <f>IF($W205="","",IF(INDEX('Per Invoice'!O$2:O$801,$W205)="","",INDEX('Per Invoice'!O$2:O$801,$W205)))</f>
        <v/>
      </c>
      <c r="P205">
        <f>IF($W205="","",IF(INDEX('Per Invoice'!P$2:P$801,$W205)="","",INDEX('Per Invoice'!P$2:P$801,$W205)))</f>
        <v/>
      </c>
      <c r="Q205" s="7">
        <f>IF($W205="","",IF(INDEX('Per Invoice'!Q$2:Q$801,$W205)="","",INDEX('Per Invoice'!Q$2:Q$801,$W205)))</f>
        <v/>
      </c>
      <c r="R205" s="7">
        <f>IF($W205="","",IF(INDEX('Per Invoice'!R$2:R$801,$W205)="","",INDEX('Per Invoice'!R$2:R$801,$W205)))</f>
        <v/>
      </c>
      <c r="S205" s="7">
        <f>IF($W205="","",IF(INDEX('Per Invoice'!S$2:S$801,$W205)="","",INDEX('Per Invoice'!S$2:S$801,$W205)))</f>
        <v/>
      </c>
      <c r="T205" s="7">
        <f>IF($W205="","",IF(INDEX('Per Invoice'!T$2:T$801,$W205)="","",INDEX('Per Invoice'!T$2:T$801,$W205)))</f>
        <v/>
      </c>
      <c r="U205" s="7">
        <f>IF($W205="","",IF(INDEX('Per Invoice'!U$2:U$801,$W205)="","",INDEX('Per Invoice'!U$2:U$801,$W205)))</f>
        <v/>
      </c>
      <c r="V205" s="7">
        <f>IF($W205="","",IF(INDEX('Per Invoice'!V$2:V$801,$W205)="","",INDEX('Per Invoice'!V$2:V$801,$W205)))</f>
        <v/>
      </c>
      <c r="W205" s="16">
        <f>IFERROR(MATCH(Settings!$C$28&amp;"|"&amp;ROWS($W$2:$W205),'Per Invoice'!$X$2:$X$801,0),"")</f>
        <v/>
      </c>
    </row>
    <row r="206">
      <c r="A206">
        <f>IF($W206="","",IF(INDEX('Per Invoice'!A$2:A$801,$W206)="","",INDEX('Per Invoice'!A$2:A$801,$W206)))</f>
        <v/>
      </c>
      <c r="B206">
        <f>IF($W206="","",IF(INDEX('Per Invoice'!B$2:B$801,$W206)="","",INDEX('Per Invoice'!B$2:B$801,$W206)))</f>
        <v/>
      </c>
      <c r="C206">
        <f>IF($W206="","",IF(INDEX('Per Invoice'!C$2:C$801,$W206)="","",INDEX('Per Invoice'!C$2:C$801,$W206)))</f>
        <v/>
      </c>
      <c r="D206">
        <f>IF($W206="","",IF(INDEX('Per Invoice'!D$2:D$801,$W206)="","",INDEX('Per Invoice'!D$2:D$801,$W206)))</f>
        <v/>
      </c>
      <c r="E206">
        <f>IF($W206="","",IF(INDEX('Per Invoice'!E$2:E$801,$W206)="","",INDEX('Per Invoice'!E$2:E$801,$W206)))</f>
        <v/>
      </c>
      <c r="F206">
        <f>IF($W206="","",IF(INDEX('Per Invoice'!F$2:F$801,$W206)="","",INDEX('Per Invoice'!F$2:F$801,$W206)))</f>
        <v/>
      </c>
      <c r="G206">
        <f>IF($W206="","",IF(INDEX('Per Invoice'!G$2:G$801,$W206)="","",INDEX('Per Invoice'!G$2:G$801,$W206)))</f>
        <v/>
      </c>
      <c r="H206">
        <f>IF($W206="","",IF(INDEX('Per Invoice'!H$2:H$801,$W206)="","",INDEX('Per Invoice'!H$2:H$801,$W206)))</f>
        <v/>
      </c>
      <c r="I206">
        <f>IF($W206="","",IF(INDEX('Per Invoice'!I$2:I$801,$W206)="","",INDEX('Per Invoice'!I$2:I$801,$W206)))</f>
        <v/>
      </c>
      <c r="J206">
        <f>IF($W206="","",IF(INDEX('Per Invoice'!J$2:J$801,$W206)="","",INDEX('Per Invoice'!J$2:J$801,$W206)))</f>
        <v/>
      </c>
      <c r="K206" s="7">
        <f>IF($W206="","",IF(INDEX('Per Invoice'!K$2:K$801,$W206)="","",INDEX('Per Invoice'!K$2:K$801,$W206)))</f>
        <v/>
      </c>
      <c r="L206" s="14">
        <f>IF($W206="","",IF(INDEX('Per Invoice'!L$2:L$801,$W206)="","",INDEX('Per Invoice'!L$2:L$801,$W206)))</f>
        <v/>
      </c>
      <c r="M206">
        <f>IF($W206="","",IF(INDEX('Per Invoice'!M$2:M$801,$W206)="","",INDEX('Per Invoice'!M$2:M$801,$W206)))</f>
        <v/>
      </c>
      <c r="N206" s="7">
        <f>IF($W206="","",IF(INDEX('Per Invoice'!N$2:N$801,$W206)="","",INDEX('Per Invoice'!N$2:N$801,$W206)))</f>
        <v/>
      </c>
      <c r="O206" s="7">
        <f>IF($W206="","",IF(INDEX('Per Invoice'!O$2:O$801,$W206)="","",INDEX('Per Invoice'!O$2:O$801,$W206)))</f>
        <v/>
      </c>
      <c r="P206">
        <f>IF($W206="","",IF(INDEX('Per Invoice'!P$2:P$801,$W206)="","",INDEX('Per Invoice'!P$2:P$801,$W206)))</f>
        <v/>
      </c>
      <c r="Q206" s="7">
        <f>IF($W206="","",IF(INDEX('Per Invoice'!Q$2:Q$801,$W206)="","",INDEX('Per Invoice'!Q$2:Q$801,$W206)))</f>
        <v/>
      </c>
      <c r="R206" s="7">
        <f>IF($W206="","",IF(INDEX('Per Invoice'!R$2:R$801,$W206)="","",INDEX('Per Invoice'!R$2:R$801,$W206)))</f>
        <v/>
      </c>
      <c r="S206" s="7">
        <f>IF($W206="","",IF(INDEX('Per Invoice'!S$2:S$801,$W206)="","",INDEX('Per Invoice'!S$2:S$801,$W206)))</f>
        <v/>
      </c>
      <c r="T206" s="7">
        <f>IF($W206="","",IF(INDEX('Per Invoice'!T$2:T$801,$W206)="","",INDEX('Per Invoice'!T$2:T$801,$W206)))</f>
        <v/>
      </c>
      <c r="U206" s="7">
        <f>IF($W206="","",IF(INDEX('Per Invoice'!U$2:U$801,$W206)="","",INDEX('Per Invoice'!U$2:U$801,$W206)))</f>
        <v/>
      </c>
      <c r="V206" s="7">
        <f>IF($W206="","",IF(INDEX('Per Invoice'!V$2:V$801,$W206)="","",INDEX('Per Invoice'!V$2:V$801,$W206)))</f>
        <v/>
      </c>
      <c r="W206" s="16">
        <f>IFERROR(MATCH(Settings!$C$28&amp;"|"&amp;ROWS($W$2:$W206),'Per Invoice'!$X$2:$X$801,0),"")</f>
        <v/>
      </c>
    </row>
    <row r="207">
      <c r="A207">
        <f>IF($W207="","",IF(INDEX('Per Invoice'!A$2:A$801,$W207)="","",INDEX('Per Invoice'!A$2:A$801,$W207)))</f>
        <v/>
      </c>
      <c r="B207">
        <f>IF($W207="","",IF(INDEX('Per Invoice'!B$2:B$801,$W207)="","",INDEX('Per Invoice'!B$2:B$801,$W207)))</f>
        <v/>
      </c>
      <c r="C207">
        <f>IF($W207="","",IF(INDEX('Per Invoice'!C$2:C$801,$W207)="","",INDEX('Per Invoice'!C$2:C$801,$W207)))</f>
        <v/>
      </c>
      <c r="D207">
        <f>IF($W207="","",IF(INDEX('Per Invoice'!D$2:D$801,$W207)="","",INDEX('Per Invoice'!D$2:D$801,$W207)))</f>
        <v/>
      </c>
      <c r="E207">
        <f>IF($W207="","",IF(INDEX('Per Invoice'!E$2:E$801,$W207)="","",INDEX('Per Invoice'!E$2:E$801,$W207)))</f>
        <v/>
      </c>
      <c r="F207">
        <f>IF($W207="","",IF(INDEX('Per Invoice'!F$2:F$801,$W207)="","",INDEX('Per Invoice'!F$2:F$801,$W207)))</f>
        <v/>
      </c>
      <c r="G207">
        <f>IF($W207="","",IF(INDEX('Per Invoice'!G$2:G$801,$W207)="","",INDEX('Per Invoice'!G$2:G$801,$W207)))</f>
        <v/>
      </c>
      <c r="H207">
        <f>IF($W207="","",IF(INDEX('Per Invoice'!H$2:H$801,$W207)="","",INDEX('Per Invoice'!H$2:H$801,$W207)))</f>
        <v/>
      </c>
      <c r="I207">
        <f>IF($W207="","",IF(INDEX('Per Invoice'!I$2:I$801,$W207)="","",INDEX('Per Invoice'!I$2:I$801,$W207)))</f>
        <v/>
      </c>
      <c r="J207">
        <f>IF($W207="","",IF(INDEX('Per Invoice'!J$2:J$801,$W207)="","",INDEX('Per Invoice'!J$2:J$801,$W207)))</f>
        <v/>
      </c>
      <c r="K207" s="7">
        <f>IF($W207="","",IF(INDEX('Per Invoice'!K$2:K$801,$W207)="","",INDEX('Per Invoice'!K$2:K$801,$W207)))</f>
        <v/>
      </c>
      <c r="L207" s="14">
        <f>IF($W207="","",IF(INDEX('Per Invoice'!L$2:L$801,$W207)="","",INDEX('Per Invoice'!L$2:L$801,$W207)))</f>
        <v/>
      </c>
      <c r="M207">
        <f>IF($W207="","",IF(INDEX('Per Invoice'!M$2:M$801,$W207)="","",INDEX('Per Invoice'!M$2:M$801,$W207)))</f>
        <v/>
      </c>
      <c r="N207" s="7">
        <f>IF($W207="","",IF(INDEX('Per Invoice'!N$2:N$801,$W207)="","",INDEX('Per Invoice'!N$2:N$801,$W207)))</f>
        <v/>
      </c>
      <c r="O207" s="7">
        <f>IF($W207="","",IF(INDEX('Per Invoice'!O$2:O$801,$W207)="","",INDEX('Per Invoice'!O$2:O$801,$W207)))</f>
        <v/>
      </c>
      <c r="P207">
        <f>IF($W207="","",IF(INDEX('Per Invoice'!P$2:P$801,$W207)="","",INDEX('Per Invoice'!P$2:P$801,$W207)))</f>
        <v/>
      </c>
      <c r="Q207" s="7">
        <f>IF($W207="","",IF(INDEX('Per Invoice'!Q$2:Q$801,$W207)="","",INDEX('Per Invoice'!Q$2:Q$801,$W207)))</f>
        <v/>
      </c>
      <c r="R207" s="7">
        <f>IF($W207="","",IF(INDEX('Per Invoice'!R$2:R$801,$W207)="","",INDEX('Per Invoice'!R$2:R$801,$W207)))</f>
        <v/>
      </c>
      <c r="S207" s="7">
        <f>IF($W207="","",IF(INDEX('Per Invoice'!S$2:S$801,$W207)="","",INDEX('Per Invoice'!S$2:S$801,$W207)))</f>
        <v/>
      </c>
      <c r="T207" s="7">
        <f>IF($W207="","",IF(INDEX('Per Invoice'!T$2:T$801,$W207)="","",INDEX('Per Invoice'!T$2:T$801,$W207)))</f>
        <v/>
      </c>
      <c r="U207" s="7">
        <f>IF($W207="","",IF(INDEX('Per Invoice'!U$2:U$801,$W207)="","",INDEX('Per Invoice'!U$2:U$801,$W207)))</f>
        <v/>
      </c>
      <c r="V207" s="7">
        <f>IF($W207="","",IF(INDEX('Per Invoice'!V$2:V$801,$W207)="","",INDEX('Per Invoice'!V$2:V$801,$W207)))</f>
        <v/>
      </c>
      <c r="W207" s="16">
        <f>IFERROR(MATCH(Settings!$C$28&amp;"|"&amp;ROWS($W$2:$W207),'Per Invoice'!$X$2:$X$801,0),"")</f>
        <v/>
      </c>
    </row>
    <row r="208">
      <c r="A208">
        <f>IF($W208="","",IF(INDEX('Per Invoice'!A$2:A$801,$W208)="","",INDEX('Per Invoice'!A$2:A$801,$W208)))</f>
        <v/>
      </c>
      <c r="B208">
        <f>IF($W208="","",IF(INDEX('Per Invoice'!B$2:B$801,$W208)="","",INDEX('Per Invoice'!B$2:B$801,$W208)))</f>
        <v/>
      </c>
      <c r="C208">
        <f>IF($W208="","",IF(INDEX('Per Invoice'!C$2:C$801,$W208)="","",INDEX('Per Invoice'!C$2:C$801,$W208)))</f>
        <v/>
      </c>
      <c r="D208">
        <f>IF($W208="","",IF(INDEX('Per Invoice'!D$2:D$801,$W208)="","",INDEX('Per Invoice'!D$2:D$801,$W208)))</f>
        <v/>
      </c>
      <c r="E208">
        <f>IF($W208="","",IF(INDEX('Per Invoice'!E$2:E$801,$W208)="","",INDEX('Per Invoice'!E$2:E$801,$W208)))</f>
        <v/>
      </c>
      <c r="F208">
        <f>IF($W208="","",IF(INDEX('Per Invoice'!F$2:F$801,$W208)="","",INDEX('Per Invoice'!F$2:F$801,$W208)))</f>
        <v/>
      </c>
      <c r="G208">
        <f>IF($W208="","",IF(INDEX('Per Invoice'!G$2:G$801,$W208)="","",INDEX('Per Invoice'!G$2:G$801,$W208)))</f>
        <v/>
      </c>
      <c r="H208">
        <f>IF($W208="","",IF(INDEX('Per Invoice'!H$2:H$801,$W208)="","",INDEX('Per Invoice'!H$2:H$801,$W208)))</f>
        <v/>
      </c>
      <c r="I208">
        <f>IF($W208="","",IF(INDEX('Per Invoice'!I$2:I$801,$W208)="","",INDEX('Per Invoice'!I$2:I$801,$W208)))</f>
        <v/>
      </c>
      <c r="J208">
        <f>IF($W208="","",IF(INDEX('Per Invoice'!J$2:J$801,$W208)="","",INDEX('Per Invoice'!J$2:J$801,$W208)))</f>
        <v/>
      </c>
      <c r="K208" s="7">
        <f>IF($W208="","",IF(INDEX('Per Invoice'!K$2:K$801,$W208)="","",INDEX('Per Invoice'!K$2:K$801,$W208)))</f>
        <v/>
      </c>
      <c r="L208" s="14">
        <f>IF($W208="","",IF(INDEX('Per Invoice'!L$2:L$801,$W208)="","",INDEX('Per Invoice'!L$2:L$801,$W208)))</f>
        <v/>
      </c>
      <c r="M208">
        <f>IF($W208="","",IF(INDEX('Per Invoice'!M$2:M$801,$W208)="","",INDEX('Per Invoice'!M$2:M$801,$W208)))</f>
        <v/>
      </c>
      <c r="N208" s="7">
        <f>IF($W208="","",IF(INDEX('Per Invoice'!N$2:N$801,$W208)="","",INDEX('Per Invoice'!N$2:N$801,$W208)))</f>
        <v/>
      </c>
      <c r="O208" s="7">
        <f>IF($W208="","",IF(INDEX('Per Invoice'!O$2:O$801,$W208)="","",INDEX('Per Invoice'!O$2:O$801,$W208)))</f>
        <v/>
      </c>
      <c r="P208">
        <f>IF($W208="","",IF(INDEX('Per Invoice'!P$2:P$801,$W208)="","",INDEX('Per Invoice'!P$2:P$801,$W208)))</f>
        <v/>
      </c>
      <c r="Q208" s="7">
        <f>IF($W208="","",IF(INDEX('Per Invoice'!Q$2:Q$801,$W208)="","",INDEX('Per Invoice'!Q$2:Q$801,$W208)))</f>
        <v/>
      </c>
      <c r="R208" s="7">
        <f>IF($W208="","",IF(INDEX('Per Invoice'!R$2:R$801,$W208)="","",INDEX('Per Invoice'!R$2:R$801,$W208)))</f>
        <v/>
      </c>
      <c r="S208" s="7">
        <f>IF($W208="","",IF(INDEX('Per Invoice'!S$2:S$801,$W208)="","",INDEX('Per Invoice'!S$2:S$801,$W208)))</f>
        <v/>
      </c>
      <c r="T208" s="7">
        <f>IF($W208="","",IF(INDEX('Per Invoice'!T$2:T$801,$W208)="","",INDEX('Per Invoice'!T$2:T$801,$W208)))</f>
        <v/>
      </c>
      <c r="U208" s="7">
        <f>IF($W208="","",IF(INDEX('Per Invoice'!U$2:U$801,$W208)="","",INDEX('Per Invoice'!U$2:U$801,$W208)))</f>
        <v/>
      </c>
      <c r="V208" s="7">
        <f>IF($W208="","",IF(INDEX('Per Invoice'!V$2:V$801,$W208)="","",INDEX('Per Invoice'!V$2:V$801,$W208)))</f>
        <v/>
      </c>
      <c r="W208" s="16">
        <f>IFERROR(MATCH(Settings!$C$28&amp;"|"&amp;ROWS($W$2:$W208),'Per Invoice'!$X$2:$X$801,0),"")</f>
        <v/>
      </c>
    </row>
    <row r="209">
      <c r="A209">
        <f>IF($W209="","",IF(INDEX('Per Invoice'!A$2:A$801,$W209)="","",INDEX('Per Invoice'!A$2:A$801,$W209)))</f>
        <v/>
      </c>
      <c r="B209">
        <f>IF($W209="","",IF(INDEX('Per Invoice'!B$2:B$801,$W209)="","",INDEX('Per Invoice'!B$2:B$801,$W209)))</f>
        <v/>
      </c>
      <c r="C209">
        <f>IF($W209="","",IF(INDEX('Per Invoice'!C$2:C$801,$W209)="","",INDEX('Per Invoice'!C$2:C$801,$W209)))</f>
        <v/>
      </c>
      <c r="D209">
        <f>IF($W209="","",IF(INDEX('Per Invoice'!D$2:D$801,$W209)="","",INDEX('Per Invoice'!D$2:D$801,$W209)))</f>
        <v/>
      </c>
      <c r="E209">
        <f>IF($W209="","",IF(INDEX('Per Invoice'!E$2:E$801,$W209)="","",INDEX('Per Invoice'!E$2:E$801,$W209)))</f>
        <v/>
      </c>
      <c r="F209">
        <f>IF($W209="","",IF(INDEX('Per Invoice'!F$2:F$801,$W209)="","",INDEX('Per Invoice'!F$2:F$801,$W209)))</f>
        <v/>
      </c>
      <c r="G209">
        <f>IF($W209="","",IF(INDEX('Per Invoice'!G$2:G$801,$W209)="","",INDEX('Per Invoice'!G$2:G$801,$W209)))</f>
        <v/>
      </c>
      <c r="H209">
        <f>IF($W209="","",IF(INDEX('Per Invoice'!H$2:H$801,$W209)="","",INDEX('Per Invoice'!H$2:H$801,$W209)))</f>
        <v/>
      </c>
      <c r="I209">
        <f>IF($W209="","",IF(INDEX('Per Invoice'!I$2:I$801,$W209)="","",INDEX('Per Invoice'!I$2:I$801,$W209)))</f>
        <v/>
      </c>
      <c r="J209">
        <f>IF($W209="","",IF(INDEX('Per Invoice'!J$2:J$801,$W209)="","",INDEX('Per Invoice'!J$2:J$801,$W209)))</f>
        <v/>
      </c>
      <c r="K209" s="7">
        <f>IF($W209="","",IF(INDEX('Per Invoice'!K$2:K$801,$W209)="","",INDEX('Per Invoice'!K$2:K$801,$W209)))</f>
        <v/>
      </c>
      <c r="L209" s="14">
        <f>IF($W209="","",IF(INDEX('Per Invoice'!L$2:L$801,$W209)="","",INDEX('Per Invoice'!L$2:L$801,$W209)))</f>
        <v/>
      </c>
      <c r="M209">
        <f>IF($W209="","",IF(INDEX('Per Invoice'!M$2:M$801,$W209)="","",INDEX('Per Invoice'!M$2:M$801,$W209)))</f>
        <v/>
      </c>
      <c r="N209" s="7">
        <f>IF($W209="","",IF(INDEX('Per Invoice'!N$2:N$801,$W209)="","",INDEX('Per Invoice'!N$2:N$801,$W209)))</f>
        <v/>
      </c>
      <c r="O209" s="7">
        <f>IF($W209="","",IF(INDEX('Per Invoice'!O$2:O$801,$W209)="","",INDEX('Per Invoice'!O$2:O$801,$W209)))</f>
        <v/>
      </c>
      <c r="P209">
        <f>IF($W209="","",IF(INDEX('Per Invoice'!P$2:P$801,$W209)="","",INDEX('Per Invoice'!P$2:P$801,$W209)))</f>
        <v/>
      </c>
      <c r="Q209" s="7">
        <f>IF($W209="","",IF(INDEX('Per Invoice'!Q$2:Q$801,$W209)="","",INDEX('Per Invoice'!Q$2:Q$801,$W209)))</f>
        <v/>
      </c>
      <c r="R209" s="7">
        <f>IF($W209="","",IF(INDEX('Per Invoice'!R$2:R$801,$W209)="","",INDEX('Per Invoice'!R$2:R$801,$W209)))</f>
        <v/>
      </c>
      <c r="S209" s="7">
        <f>IF($W209="","",IF(INDEX('Per Invoice'!S$2:S$801,$W209)="","",INDEX('Per Invoice'!S$2:S$801,$W209)))</f>
        <v/>
      </c>
      <c r="T209" s="7">
        <f>IF($W209="","",IF(INDEX('Per Invoice'!T$2:T$801,$W209)="","",INDEX('Per Invoice'!T$2:T$801,$W209)))</f>
        <v/>
      </c>
      <c r="U209" s="7">
        <f>IF($W209="","",IF(INDEX('Per Invoice'!U$2:U$801,$W209)="","",INDEX('Per Invoice'!U$2:U$801,$W209)))</f>
        <v/>
      </c>
      <c r="V209" s="7">
        <f>IF($W209="","",IF(INDEX('Per Invoice'!V$2:V$801,$W209)="","",INDEX('Per Invoice'!V$2:V$801,$W209)))</f>
        <v/>
      </c>
      <c r="W209" s="16">
        <f>IFERROR(MATCH(Settings!$C$28&amp;"|"&amp;ROWS($W$2:$W209),'Per Invoice'!$X$2:$X$801,0),"")</f>
        <v/>
      </c>
    </row>
    <row r="210">
      <c r="A210">
        <f>IF($W210="","",IF(INDEX('Per Invoice'!A$2:A$801,$W210)="","",INDEX('Per Invoice'!A$2:A$801,$W210)))</f>
        <v/>
      </c>
      <c r="B210">
        <f>IF($W210="","",IF(INDEX('Per Invoice'!B$2:B$801,$W210)="","",INDEX('Per Invoice'!B$2:B$801,$W210)))</f>
        <v/>
      </c>
      <c r="C210">
        <f>IF($W210="","",IF(INDEX('Per Invoice'!C$2:C$801,$W210)="","",INDEX('Per Invoice'!C$2:C$801,$W210)))</f>
        <v/>
      </c>
      <c r="D210">
        <f>IF($W210="","",IF(INDEX('Per Invoice'!D$2:D$801,$W210)="","",INDEX('Per Invoice'!D$2:D$801,$W210)))</f>
        <v/>
      </c>
      <c r="E210">
        <f>IF($W210="","",IF(INDEX('Per Invoice'!E$2:E$801,$W210)="","",INDEX('Per Invoice'!E$2:E$801,$W210)))</f>
        <v/>
      </c>
      <c r="F210">
        <f>IF($W210="","",IF(INDEX('Per Invoice'!F$2:F$801,$W210)="","",INDEX('Per Invoice'!F$2:F$801,$W210)))</f>
        <v/>
      </c>
      <c r="G210">
        <f>IF($W210="","",IF(INDEX('Per Invoice'!G$2:G$801,$W210)="","",INDEX('Per Invoice'!G$2:G$801,$W210)))</f>
        <v/>
      </c>
      <c r="H210">
        <f>IF($W210="","",IF(INDEX('Per Invoice'!H$2:H$801,$W210)="","",INDEX('Per Invoice'!H$2:H$801,$W210)))</f>
        <v/>
      </c>
      <c r="I210">
        <f>IF($W210="","",IF(INDEX('Per Invoice'!I$2:I$801,$W210)="","",INDEX('Per Invoice'!I$2:I$801,$W210)))</f>
        <v/>
      </c>
      <c r="J210">
        <f>IF($W210="","",IF(INDEX('Per Invoice'!J$2:J$801,$W210)="","",INDEX('Per Invoice'!J$2:J$801,$W210)))</f>
        <v/>
      </c>
      <c r="K210" s="7">
        <f>IF($W210="","",IF(INDEX('Per Invoice'!K$2:K$801,$W210)="","",INDEX('Per Invoice'!K$2:K$801,$W210)))</f>
        <v/>
      </c>
      <c r="L210" s="14">
        <f>IF($W210="","",IF(INDEX('Per Invoice'!L$2:L$801,$W210)="","",INDEX('Per Invoice'!L$2:L$801,$W210)))</f>
        <v/>
      </c>
      <c r="M210">
        <f>IF($W210="","",IF(INDEX('Per Invoice'!M$2:M$801,$W210)="","",INDEX('Per Invoice'!M$2:M$801,$W210)))</f>
        <v/>
      </c>
      <c r="N210" s="7">
        <f>IF($W210="","",IF(INDEX('Per Invoice'!N$2:N$801,$W210)="","",INDEX('Per Invoice'!N$2:N$801,$W210)))</f>
        <v/>
      </c>
      <c r="O210" s="7">
        <f>IF($W210="","",IF(INDEX('Per Invoice'!O$2:O$801,$W210)="","",INDEX('Per Invoice'!O$2:O$801,$W210)))</f>
        <v/>
      </c>
      <c r="P210">
        <f>IF($W210="","",IF(INDEX('Per Invoice'!P$2:P$801,$W210)="","",INDEX('Per Invoice'!P$2:P$801,$W210)))</f>
        <v/>
      </c>
      <c r="Q210" s="7">
        <f>IF($W210="","",IF(INDEX('Per Invoice'!Q$2:Q$801,$W210)="","",INDEX('Per Invoice'!Q$2:Q$801,$W210)))</f>
        <v/>
      </c>
      <c r="R210" s="7">
        <f>IF($W210="","",IF(INDEX('Per Invoice'!R$2:R$801,$W210)="","",INDEX('Per Invoice'!R$2:R$801,$W210)))</f>
        <v/>
      </c>
      <c r="S210" s="7">
        <f>IF($W210="","",IF(INDEX('Per Invoice'!S$2:S$801,$W210)="","",INDEX('Per Invoice'!S$2:S$801,$W210)))</f>
        <v/>
      </c>
      <c r="T210" s="7">
        <f>IF($W210="","",IF(INDEX('Per Invoice'!T$2:T$801,$W210)="","",INDEX('Per Invoice'!T$2:T$801,$W210)))</f>
        <v/>
      </c>
      <c r="U210" s="7">
        <f>IF($W210="","",IF(INDEX('Per Invoice'!U$2:U$801,$W210)="","",INDEX('Per Invoice'!U$2:U$801,$W210)))</f>
        <v/>
      </c>
      <c r="V210" s="7">
        <f>IF($W210="","",IF(INDEX('Per Invoice'!V$2:V$801,$W210)="","",INDEX('Per Invoice'!V$2:V$801,$W210)))</f>
        <v/>
      </c>
      <c r="W210" s="16">
        <f>IFERROR(MATCH(Settings!$C$28&amp;"|"&amp;ROWS($W$2:$W210),'Per Invoice'!$X$2:$X$801,0),"")</f>
        <v/>
      </c>
    </row>
    <row r="211">
      <c r="A211">
        <f>IF($W211="","",IF(INDEX('Per Invoice'!A$2:A$801,$W211)="","",INDEX('Per Invoice'!A$2:A$801,$W211)))</f>
        <v/>
      </c>
      <c r="B211">
        <f>IF($W211="","",IF(INDEX('Per Invoice'!B$2:B$801,$W211)="","",INDEX('Per Invoice'!B$2:B$801,$W211)))</f>
        <v/>
      </c>
      <c r="C211">
        <f>IF($W211="","",IF(INDEX('Per Invoice'!C$2:C$801,$W211)="","",INDEX('Per Invoice'!C$2:C$801,$W211)))</f>
        <v/>
      </c>
      <c r="D211">
        <f>IF($W211="","",IF(INDEX('Per Invoice'!D$2:D$801,$W211)="","",INDEX('Per Invoice'!D$2:D$801,$W211)))</f>
        <v/>
      </c>
      <c r="E211">
        <f>IF($W211="","",IF(INDEX('Per Invoice'!E$2:E$801,$W211)="","",INDEX('Per Invoice'!E$2:E$801,$W211)))</f>
        <v/>
      </c>
      <c r="F211">
        <f>IF($W211="","",IF(INDEX('Per Invoice'!F$2:F$801,$W211)="","",INDEX('Per Invoice'!F$2:F$801,$W211)))</f>
        <v/>
      </c>
      <c r="G211">
        <f>IF($W211="","",IF(INDEX('Per Invoice'!G$2:G$801,$W211)="","",INDEX('Per Invoice'!G$2:G$801,$W211)))</f>
        <v/>
      </c>
      <c r="H211">
        <f>IF($W211="","",IF(INDEX('Per Invoice'!H$2:H$801,$W211)="","",INDEX('Per Invoice'!H$2:H$801,$W211)))</f>
        <v/>
      </c>
      <c r="I211">
        <f>IF($W211="","",IF(INDEX('Per Invoice'!I$2:I$801,$W211)="","",INDEX('Per Invoice'!I$2:I$801,$W211)))</f>
        <v/>
      </c>
      <c r="J211">
        <f>IF($W211="","",IF(INDEX('Per Invoice'!J$2:J$801,$W211)="","",INDEX('Per Invoice'!J$2:J$801,$W211)))</f>
        <v/>
      </c>
      <c r="K211" s="7">
        <f>IF($W211="","",IF(INDEX('Per Invoice'!K$2:K$801,$W211)="","",INDEX('Per Invoice'!K$2:K$801,$W211)))</f>
        <v/>
      </c>
      <c r="L211" s="14">
        <f>IF($W211="","",IF(INDEX('Per Invoice'!L$2:L$801,$W211)="","",INDEX('Per Invoice'!L$2:L$801,$W211)))</f>
        <v/>
      </c>
      <c r="M211">
        <f>IF($W211="","",IF(INDEX('Per Invoice'!M$2:M$801,$W211)="","",INDEX('Per Invoice'!M$2:M$801,$W211)))</f>
        <v/>
      </c>
      <c r="N211" s="7">
        <f>IF($W211="","",IF(INDEX('Per Invoice'!N$2:N$801,$W211)="","",INDEX('Per Invoice'!N$2:N$801,$W211)))</f>
        <v/>
      </c>
      <c r="O211" s="7">
        <f>IF($W211="","",IF(INDEX('Per Invoice'!O$2:O$801,$W211)="","",INDEX('Per Invoice'!O$2:O$801,$W211)))</f>
        <v/>
      </c>
      <c r="P211">
        <f>IF($W211="","",IF(INDEX('Per Invoice'!P$2:P$801,$W211)="","",INDEX('Per Invoice'!P$2:P$801,$W211)))</f>
        <v/>
      </c>
      <c r="Q211" s="7">
        <f>IF($W211="","",IF(INDEX('Per Invoice'!Q$2:Q$801,$W211)="","",INDEX('Per Invoice'!Q$2:Q$801,$W211)))</f>
        <v/>
      </c>
      <c r="R211" s="7">
        <f>IF($W211="","",IF(INDEX('Per Invoice'!R$2:R$801,$W211)="","",INDEX('Per Invoice'!R$2:R$801,$W211)))</f>
        <v/>
      </c>
      <c r="S211" s="7">
        <f>IF($W211="","",IF(INDEX('Per Invoice'!S$2:S$801,$W211)="","",INDEX('Per Invoice'!S$2:S$801,$W211)))</f>
        <v/>
      </c>
      <c r="T211" s="7">
        <f>IF($W211="","",IF(INDEX('Per Invoice'!T$2:T$801,$W211)="","",INDEX('Per Invoice'!T$2:T$801,$W211)))</f>
        <v/>
      </c>
      <c r="U211" s="7">
        <f>IF($W211="","",IF(INDEX('Per Invoice'!U$2:U$801,$W211)="","",INDEX('Per Invoice'!U$2:U$801,$W211)))</f>
        <v/>
      </c>
      <c r="V211" s="7">
        <f>IF($W211="","",IF(INDEX('Per Invoice'!V$2:V$801,$W211)="","",INDEX('Per Invoice'!V$2:V$801,$W211)))</f>
        <v/>
      </c>
      <c r="W211" s="16">
        <f>IFERROR(MATCH(Settings!$C$28&amp;"|"&amp;ROWS($W$2:$W211),'Per Invoice'!$X$2:$X$801,0),"")</f>
        <v/>
      </c>
    </row>
    <row r="212">
      <c r="A212">
        <f>IF($W212="","",IF(INDEX('Per Invoice'!A$2:A$801,$W212)="","",INDEX('Per Invoice'!A$2:A$801,$W212)))</f>
        <v/>
      </c>
      <c r="B212">
        <f>IF($W212="","",IF(INDEX('Per Invoice'!B$2:B$801,$W212)="","",INDEX('Per Invoice'!B$2:B$801,$W212)))</f>
        <v/>
      </c>
      <c r="C212">
        <f>IF($W212="","",IF(INDEX('Per Invoice'!C$2:C$801,$W212)="","",INDEX('Per Invoice'!C$2:C$801,$W212)))</f>
        <v/>
      </c>
      <c r="D212">
        <f>IF($W212="","",IF(INDEX('Per Invoice'!D$2:D$801,$W212)="","",INDEX('Per Invoice'!D$2:D$801,$W212)))</f>
        <v/>
      </c>
      <c r="E212">
        <f>IF($W212="","",IF(INDEX('Per Invoice'!E$2:E$801,$W212)="","",INDEX('Per Invoice'!E$2:E$801,$W212)))</f>
        <v/>
      </c>
      <c r="F212">
        <f>IF($W212="","",IF(INDEX('Per Invoice'!F$2:F$801,$W212)="","",INDEX('Per Invoice'!F$2:F$801,$W212)))</f>
        <v/>
      </c>
      <c r="G212">
        <f>IF($W212="","",IF(INDEX('Per Invoice'!G$2:G$801,$W212)="","",INDEX('Per Invoice'!G$2:G$801,$W212)))</f>
        <v/>
      </c>
      <c r="H212">
        <f>IF($W212="","",IF(INDEX('Per Invoice'!H$2:H$801,$W212)="","",INDEX('Per Invoice'!H$2:H$801,$W212)))</f>
        <v/>
      </c>
      <c r="I212">
        <f>IF($W212="","",IF(INDEX('Per Invoice'!I$2:I$801,$W212)="","",INDEX('Per Invoice'!I$2:I$801,$W212)))</f>
        <v/>
      </c>
      <c r="J212">
        <f>IF($W212="","",IF(INDEX('Per Invoice'!J$2:J$801,$W212)="","",INDEX('Per Invoice'!J$2:J$801,$W212)))</f>
        <v/>
      </c>
      <c r="K212" s="7">
        <f>IF($W212="","",IF(INDEX('Per Invoice'!K$2:K$801,$W212)="","",INDEX('Per Invoice'!K$2:K$801,$W212)))</f>
        <v/>
      </c>
      <c r="L212" s="14">
        <f>IF($W212="","",IF(INDEX('Per Invoice'!L$2:L$801,$W212)="","",INDEX('Per Invoice'!L$2:L$801,$W212)))</f>
        <v/>
      </c>
      <c r="M212">
        <f>IF($W212="","",IF(INDEX('Per Invoice'!M$2:M$801,$W212)="","",INDEX('Per Invoice'!M$2:M$801,$W212)))</f>
        <v/>
      </c>
      <c r="N212" s="7">
        <f>IF($W212="","",IF(INDEX('Per Invoice'!N$2:N$801,$W212)="","",INDEX('Per Invoice'!N$2:N$801,$W212)))</f>
        <v/>
      </c>
      <c r="O212" s="7">
        <f>IF($W212="","",IF(INDEX('Per Invoice'!O$2:O$801,$W212)="","",INDEX('Per Invoice'!O$2:O$801,$W212)))</f>
        <v/>
      </c>
      <c r="P212">
        <f>IF($W212="","",IF(INDEX('Per Invoice'!P$2:P$801,$W212)="","",INDEX('Per Invoice'!P$2:P$801,$W212)))</f>
        <v/>
      </c>
      <c r="Q212" s="7">
        <f>IF($W212="","",IF(INDEX('Per Invoice'!Q$2:Q$801,$W212)="","",INDEX('Per Invoice'!Q$2:Q$801,$W212)))</f>
        <v/>
      </c>
      <c r="R212" s="7">
        <f>IF($W212="","",IF(INDEX('Per Invoice'!R$2:R$801,$W212)="","",INDEX('Per Invoice'!R$2:R$801,$W212)))</f>
        <v/>
      </c>
      <c r="S212" s="7">
        <f>IF($W212="","",IF(INDEX('Per Invoice'!S$2:S$801,$W212)="","",INDEX('Per Invoice'!S$2:S$801,$W212)))</f>
        <v/>
      </c>
      <c r="T212" s="7">
        <f>IF($W212="","",IF(INDEX('Per Invoice'!T$2:T$801,$W212)="","",INDEX('Per Invoice'!T$2:T$801,$W212)))</f>
        <v/>
      </c>
      <c r="U212" s="7">
        <f>IF($W212="","",IF(INDEX('Per Invoice'!U$2:U$801,$W212)="","",INDEX('Per Invoice'!U$2:U$801,$W212)))</f>
        <v/>
      </c>
      <c r="V212" s="7">
        <f>IF($W212="","",IF(INDEX('Per Invoice'!V$2:V$801,$W212)="","",INDEX('Per Invoice'!V$2:V$801,$W212)))</f>
        <v/>
      </c>
      <c r="W212" s="16">
        <f>IFERROR(MATCH(Settings!$C$28&amp;"|"&amp;ROWS($W$2:$W212),'Per Invoice'!$X$2:$X$801,0),"")</f>
        <v/>
      </c>
    </row>
    <row r="213">
      <c r="A213">
        <f>IF($W213="","",IF(INDEX('Per Invoice'!A$2:A$801,$W213)="","",INDEX('Per Invoice'!A$2:A$801,$W213)))</f>
        <v/>
      </c>
      <c r="B213">
        <f>IF($W213="","",IF(INDEX('Per Invoice'!B$2:B$801,$W213)="","",INDEX('Per Invoice'!B$2:B$801,$W213)))</f>
        <v/>
      </c>
      <c r="C213">
        <f>IF($W213="","",IF(INDEX('Per Invoice'!C$2:C$801,$W213)="","",INDEX('Per Invoice'!C$2:C$801,$W213)))</f>
        <v/>
      </c>
      <c r="D213">
        <f>IF($W213="","",IF(INDEX('Per Invoice'!D$2:D$801,$W213)="","",INDEX('Per Invoice'!D$2:D$801,$W213)))</f>
        <v/>
      </c>
      <c r="E213">
        <f>IF($W213="","",IF(INDEX('Per Invoice'!E$2:E$801,$W213)="","",INDEX('Per Invoice'!E$2:E$801,$W213)))</f>
        <v/>
      </c>
      <c r="F213">
        <f>IF($W213="","",IF(INDEX('Per Invoice'!F$2:F$801,$W213)="","",INDEX('Per Invoice'!F$2:F$801,$W213)))</f>
        <v/>
      </c>
      <c r="G213">
        <f>IF($W213="","",IF(INDEX('Per Invoice'!G$2:G$801,$W213)="","",INDEX('Per Invoice'!G$2:G$801,$W213)))</f>
        <v/>
      </c>
      <c r="H213">
        <f>IF($W213="","",IF(INDEX('Per Invoice'!H$2:H$801,$W213)="","",INDEX('Per Invoice'!H$2:H$801,$W213)))</f>
        <v/>
      </c>
      <c r="I213">
        <f>IF($W213="","",IF(INDEX('Per Invoice'!I$2:I$801,$W213)="","",INDEX('Per Invoice'!I$2:I$801,$W213)))</f>
        <v/>
      </c>
      <c r="J213">
        <f>IF($W213="","",IF(INDEX('Per Invoice'!J$2:J$801,$W213)="","",INDEX('Per Invoice'!J$2:J$801,$W213)))</f>
        <v/>
      </c>
      <c r="K213" s="7">
        <f>IF($W213="","",IF(INDEX('Per Invoice'!K$2:K$801,$W213)="","",INDEX('Per Invoice'!K$2:K$801,$W213)))</f>
        <v/>
      </c>
      <c r="L213" s="14">
        <f>IF($W213="","",IF(INDEX('Per Invoice'!L$2:L$801,$W213)="","",INDEX('Per Invoice'!L$2:L$801,$W213)))</f>
        <v/>
      </c>
      <c r="M213">
        <f>IF($W213="","",IF(INDEX('Per Invoice'!M$2:M$801,$W213)="","",INDEX('Per Invoice'!M$2:M$801,$W213)))</f>
        <v/>
      </c>
      <c r="N213" s="7">
        <f>IF($W213="","",IF(INDEX('Per Invoice'!N$2:N$801,$W213)="","",INDEX('Per Invoice'!N$2:N$801,$W213)))</f>
        <v/>
      </c>
      <c r="O213" s="7">
        <f>IF($W213="","",IF(INDEX('Per Invoice'!O$2:O$801,$W213)="","",INDEX('Per Invoice'!O$2:O$801,$W213)))</f>
        <v/>
      </c>
      <c r="P213">
        <f>IF($W213="","",IF(INDEX('Per Invoice'!P$2:P$801,$W213)="","",INDEX('Per Invoice'!P$2:P$801,$W213)))</f>
        <v/>
      </c>
      <c r="Q213" s="7">
        <f>IF($W213="","",IF(INDEX('Per Invoice'!Q$2:Q$801,$W213)="","",INDEX('Per Invoice'!Q$2:Q$801,$W213)))</f>
        <v/>
      </c>
      <c r="R213" s="7">
        <f>IF($W213="","",IF(INDEX('Per Invoice'!R$2:R$801,$W213)="","",INDEX('Per Invoice'!R$2:R$801,$W213)))</f>
        <v/>
      </c>
      <c r="S213" s="7">
        <f>IF($W213="","",IF(INDEX('Per Invoice'!S$2:S$801,$W213)="","",INDEX('Per Invoice'!S$2:S$801,$W213)))</f>
        <v/>
      </c>
      <c r="T213" s="7">
        <f>IF($W213="","",IF(INDEX('Per Invoice'!T$2:T$801,$W213)="","",INDEX('Per Invoice'!T$2:T$801,$W213)))</f>
        <v/>
      </c>
      <c r="U213" s="7">
        <f>IF($W213="","",IF(INDEX('Per Invoice'!U$2:U$801,$W213)="","",INDEX('Per Invoice'!U$2:U$801,$W213)))</f>
        <v/>
      </c>
      <c r="V213" s="7">
        <f>IF($W213="","",IF(INDEX('Per Invoice'!V$2:V$801,$W213)="","",INDEX('Per Invoice'!V$2:V$801,$W213)))</f>
        <v/>
      </c>
      <c r="W213" s="16">
        <f>IFERROR(MATCH(Settings!$C$28&amp;"|"&amp;ROWS($W$2:$W213),'Per Invoice'!$X$2:$X$801,0),"")</f>
        <v/>
      </c>
    </row>
    <row r="214">
      <c r="A214">
        <f>IF($W214="","",IF(INDEX('Per Invoice'!A$2:A$801,$W214)="","",INDEX('Per Invoice'!A$2:A$801,$W214)))</f>
        <v/>
      </c>
      <c r="B214">
        <f>IF($W214="","",IF(INDEX('Per Invoice'!B$2:B$801,$W214)="","",INDEX('Per Invoice'!B$2:B$801,$W214)))</f>
        <v/>
      </c>
      <c r="C214">
        <f>IF($W214="","",IF(INDEX('Per Invoice'!C$2:C$801,$W214)="","",INDEX('Per Invoice'!C$2:C$801,$W214)))</f>
        <v/>
      </c>
      <c r="D214">
        <f>IF($W214="","",IF(INDEX('Per Invoice'!D$2:D$801,$W214)="","",INDEX('Per Invoice'!D$2:D$801,$W214)))</f>
        <v/>
      </c>
      <c r="E214">
        <f>IF($W214="","",IF(INDEX('Per Invoice'!E$2:E$801,$W214)="","",INDEX('Per Invoice'!E$2:E$801,$W214)))</f>
        <v/>
      </c>
      <c r="F214">
        <f>IF($W214="","",IF(INDEX('Per Invoice'!F$2:F$801,$W214)="","",INDEX('Per Invoice'!F$2:F$801,$W214)))</f>
        <v/>
      </c>
      <c r="G214">
        <f>IF($W214="","",IF(INDEX('Per Invoice'!G$2:G$801,$W214)="","",INDEX('Per Invoice'!G$2:G$801,$W214)))</f>
        <v/>
      </c>
      <c r="H214">
        <f>IF($W214="","",IF(INDEX('Per Invoice'!H$2:H$801,$W214)="","",INDEX('Per Invoice'!H$2:H$801,$W214)))</f>
        <v/>
      </c>
      <c r="I214">
        <f>IF($W214="","",IF(INDEX('Per Invoice'!I$2:I$801,$W214)="","",INDEX('Per Invoice'!I$2:I$801,$W214)))</f>
        <v/>
      </c>
      <c r="J214">
        <f>IF($W214="","",IF(INDEX('Per Invoice'!J$2:J$801,$W214)="","",INDEX('Per Invoice'!J$2:J$801,$W214)))</f>
        <v/>
      </c>
      <c r="K214" s="7">
        <f>IF($W214="","",IF(INDEX('Per Invoice'!K$2:K$801,$W214)="","",INDEX('Per Invoice'!K$2:K$801,$W214)))</f>
        <v/>
      </c>
      <c r="L214" s="14">
        <f>IF($W214="","",IF(INDEX('Per Invoice'!L$2:L$801,$W214)="","",INDEX('Per Invoice'!L$2:L$801,$W214)))</f>
        <v/>
      </c>
      <c r="M214">
        <f>IF($W214="","",IF(INDEX('Per Invoice'!M$2:M$801,$W214)="","",INDEX('Per Invoice'!M$2:M$801,$W214)))</f>
        <v/>
      </c>
      <c r="N214" s="7">
        <f>IF($W214="","",IF(INDEX('Per Invoice'!N$2:N$801,$W214)="","",INDEX('Per Invoice'!N$2:N$801,$W214)))</f>
        <v/>
      </c>
      <c r="O214" s="7">
        <f>IF($W214="","",IF(INDEX('Per Invoice'!O$2:O$801,$W214)="","",INDEX('Per Invoice'!O$2:O$801,$W214)))</f>
        <v/>
      </c>
      <c r="P214">
        <f>IF($W214="","",IF(INDEX('Per Invoice'!P$2:P$801,$W214)="","",INDEX('Per Invoice'!P$2:P$801,$W214)))</f>
        <v/>
      </c>
      <c r="Q214" s="7">
        <f>IF($W214="","",IF(INDEX('Per Invoice'!Q$2:Q$801,$W214)="","",INDEX('Per Invoice'!Q$2:Q$801,$W214)))</f>
        <v/>
      </c>
      <c r="R214" s="7">
        <f>IF($W214="","",IF(INDEX('Per Invoice'!R$2:R$801,$W214)="","",INDEX('Per Invoice'!R$2:R$801,$W214)))</f>
        <v/>
      </c>
      <c r="S214" s="7">
        <f>IF($W214="","",IF(INDEX('Per Invoice'!S$2:S$801,$W214)="","",INDEX('Per Invoice'!S$2:S$801,$W214)))</f>
        <v/>
      </c>
      <c r="T214" s="7">
        <f>IF($W214="","",IF(INDEX('Per Invoice'!T$2:T$801,$W214)="","",INDEX('Per Invoice'!T$2:T$801,$W214)))</f>
        <v/>
      </c>
      <c r="U214" s="7">
        <f>IF($W214="","",IF(INDEX('Per Invoice'!U$2:U$801,$W214)="","",INDEX('Per Invoice'!U$2:U$801,$W214)))</f>
        <v/>
      </c>
      <c r="V214" s="7">
        <f>IF($W214="","",IF(INDEX('Per Invoice'!V$2:V$801,$W214)="","",INDEX('Per Invoice'!V$2:V$801,$W214)))</f>
        <v/>
      </c>
      <c r="W214" s="16">
        <f>IFERROR(MATCH(Settings!$C$28&amp;"|"&amp;ROWS($W$2:$W214),'Per Invoice'!$X$2:$X$801,0),"")</f>
        <v/>
      </c>
    </row>
    <row r="215">
      <c r="A215">
        <f>IF($W215="","",IF(INDEX('Per Invoice'!A$2:A$801,$W215)="","",INDEX('Per Invoice'!A$2:A$801,$W215)))</f>
        <v/>
      </c>
      <c r="B215">
        <f>IF($W215="","",IF(INDEX('Per Invoice'!B$2:B$801,$W215)="","",INDEX('Per Invoice'!B$2:B$801,$W215)))</f>
        <v/>
      </c>
      <c r="C215">
        <f>IF($W215="","",IF(INDEX('Per Invoice'!C$2:C$801,$W215)="","",INDEX('Per Invoice'!C$2:C$801,$W215)))</f>
        <v/>
      </c>
      <c r="D215">
        <f>IF($W215="","",IF(INDEX('Per Invoice'!D$2:D$801,$W215)="","",INDEX('Per Invoice'!D$2:D$801,$W215)))</f>
        <v/>
      </c>
      <c r="E215">
        <f>IF($W215="","",IF(INDEX('Per Invoice'!E$2:E$801,$W215)="","",INDEX('Per Invoice'!E$2:E$801,$W215)))</f>
        <v/>
      </c>
      <c r="F215">
        <f>IF($W215="","",IF(INDEX('Per Invoice'!F$2:F$801,$W215)="","",INDEX('Per Invoice'!F$2:F$801,$W215)))</f>
        <v/>
      </c>
      <c r="G215">
        <f>IF($W215="","",IF(INDEX('Per Invoice'!G$2:G$801,$W215)="","",INDEX('Per Invoice'!G$2:G$801,$W215)))</f>
        <v/>
      </c>
      <c r="H215">
        <f>IF($W215="","",IF(INDEX('Per Invoice'!H$2:H$801,$W215)="","",INDEX('Per Invoice'!H$2:H$801,$W215)))</f>
        <v/>
      </c>
      <c r="I215">
        <f>IF($W215="","",IF(INDEX('Per Invoice'!I$2:I$801,$W215)="","",INDEX('Per Invoice'!I$2:I$801,$W215)))</f>
        <v/>
      </c>
      <c r="J215">
        <f>IF($W215="","",IF(INDEX('Per Invoice'!J$2:J$801,$W215)="","",INDEX('Per Invoice'!J$2:J$801,$W215)))</f>
        <v/>
      </c>
      <c r="K215" s="7">
        <f>IF($W215="","",IF(INDEX('Per Invoice'!K$2:K$801,$W215)="","",INDEX('Per Invoice'!K$2:K$801,$W215)))</f>
        <v/>
      </c>
      <c r="L215" s="14">
        <f>IF($W215="","",IF(INDEX('Per Invoice'!L$2:L$801,$W215)="","",INDEX('Per Invoice'!L$2:L$801,$W215)))</f>
        <v/>
      </c>
      <c r="M215">
        <f>IF($W215="","",IF(INDEX('Per Invoice'!M$2:M$801,$W215)="","",INDEX('Per Invoice'!M$2:M$801,$W215)))</f>
        <v/>
      </c>
      <c r="N215" s="7">
        <f>IF($W215="","",IF(INDEX('Per Invoice'!N$2:N$801,$W215)="","",INDEX('Per Invoice'!N$2:N$801,$W215)))</f>
        <v/>
      </c>
      <c r="O215" s="7">
        <f>IF($W215="","",IF(INDEX('Per Invoice'!O$2:O$801,$W215)="","",INDEX('Per Invoice'!O$2:O$801,$W215)))</f>
        <v/>
      </c>
      <c r="P215">
        <f>IF($W215="","",IF(INDEX('Per Invoice'!P$2:P$801,$W215)="","",INDEX('Per Invoice'!P$2:P$801,$W215)))</f>
        <v/>
      </c>
      <c r="Q215" s="7">
        <f>IF($W215="","",IF(INDEX('Per Invoice'!Q$2:Q$801,$W215)="","",INDEX('Per Invoice'!Q$2:Q$801,$W215)))</f>
        <v/>
      </c>
      <c r="R215" s="7">
        <f>IF($W215="","",IF(INDEX('Per Invoice'!R$2:R$801,$W215)="","",INDEX('Per Invoice'!R$2:R$801,$W215)))</f>
        <v/>
      </c>
      <c r="S215" s="7">
        <f>IF($W215="","",IF(INDEX('Per Invoice'!S$2:S$801,$W215)="","",INDEX('Per Invoice'!S$2:S$801,$W215)))</f>
        <v/>
      </c>
      <c r="T215" s="7">
        <f>IF($W215="","",IF(INDEX('Per Invoice'!T$2:T$801,$W215)="","",INDEX('Per Invoice'!T$2:T$801,$W215)))</f>
        <v/>
      </c>
      <c r="U215" s="7">
        <f>IF($W215="","",IF(INDEX('Per Invoice'!U$2:U$801,$W215)="","",INDEX('Per Invoice'!U$2:U$801,$W215)))</f>
        <v/>
      </c>
      <c r="V215" s="7">
        <f>IF($W215="","",IF(INDEX('Per Invoice'!V$2:V$801,$W215)="","",INDEX('Per Invoice'!V$2:V$801,$W215)))</f>
        <v/>
      </c>
      <c r="W215" s="16">
        <f>IFERROR(MATCH(Settings!$C$28&amp;"|"&amp;ROWS($W$2:$W215),'Per Invoice'!$X$2:$X$801,0),"")</f>
        <v/>
      </c>
    </row>
    <row r="216">
      <c r="A216">
        <f>IF($W216="","",IF(INDEX('Per Invoice'!A$2:A$801,$W216)="","",INDEX('Per Invoice'!A$2:A$801,$W216)))</f>
        <v/>
      </c>
      <c r="B216">
        <f>IF($W216="","",IF(INDEX('Per Invoice'!B$2:B$801,$W216)="","",INDEX('Per Invoice'!B$2:B$801,$W216)))</f>
        <v/>
      </c>
      <c r="C216">
        <f>IF($W216="","",IF(INDEX('Per Invoice'!C$2:C$801,$W216)="","",INDEX('Per Invoice'!C$2:C$801,$W216)))</f>
        <v/>
      </c>
      <c r="D216">
        <f>IF($W216="","",IF(INDEX('Per Invoice'!D$2:D$801,$W216)="","",INDEX('Per Invoice'!D$2:D$801,$W216)))</f>
        <v/>
      </c>
      <c r="E216">
        <f>IF($W216="","",IF(INDEX('Per Invoice'!E$2:E$801,$W216)="","",INDEX('Per Invoice'!E$2:E$801,$W216)))</f>
        <v/>
      </c>
      <c r="F216">
        <f>IF($W216="","",IF(INDEX('Per Invoice'!F$2:F$801,$W216)="","",INDEX('Per Invoice'!F$2:F$801,$W216)))</f>
        <v/>
      </c>
      <c r="G216">
        <f>IF($W216="","",IF(INDEX('Per Invoice'!G$2:G$801,$W216)="","",INDEX('Per Invoice'!G$2:G$801,$W216)))</f>
        <v/>
      </c>
      <c r="H216">
        <f>IF($W216="","",IF(INDEX('Per Invoice'!H$2:H$801,$W216)="","",INDEX('Per Invoice'!H$2:H$801,$W216)))</f>
        <v/>
      </c>
      <c r="I216">
        <f>IF($W216="","",IF(INDEX('Per Invoice'!I$2:I$801,$W216)="","",INDEX('Per Invoice'!I$2:I$801,$W216)))</f>
        <v/>
      </c>
      <c r="J216">
        <f>IF($W216="","",IF(INDEX('Per Invoice'!J$2:J$801,$W216)="","",INDEX('Per Invoice'!J$2:J$801,$W216)))</f>
        <v/>
      </c>
      <c r="K216" s="7">
        <f>IF($W216="","",IF(INDEX('Per Invoice'!K$2:K$801,$W216)="","",INDEX('Per Invoice'!K$2:K$801,$W216)))</f>
        <v/>
      </c>
      <c r="L216" s="14">
        <f>IF($W216="","",IF(INDEX('Per Invoice'!L$2:L$801,$W216)="","",INDEX('Per Invoice'!L$2:L$801,$W216)))</f>
        <v/>
      </c>
      <c r="M216">
        <f>IF($W216="","",IF(INDEX('Per Invoice'!M$2:M$801,$W216)="","",INDEX('Per Invoice'!M$2:M$801,$W216)))</f>
        <v/>
      </c>
      <c r="N216" s="7">
        <f>IF($W216="","",IF(INDEX('Per Invoice'!N$2:N$801,$W216)="","",INDEX('Per Invoice'!N$2:N$801,$W216)))</f>
        <v/>
      </c>
      <c r="O216" s="7">
        <f>IF($W216="","",IF(INDEX('Per Invoice'!O$2:O$801,$W216)="","",INDEX('Per Invoice'!O$2:O$801,$W216)))</f>
        <v/>
      </c>
      <c r="P216">
        <f>IF($W216="","",IF(INDEX('Per Invoice'!P$2:P$801,$W216)="","",INDEX('Per Invoice'!P$2:P$801,$W216)))</f>
        <v/>
      </c>
      <c r="Q216" s="7">
        <f>IF($W216="","",IF(INDEX('Per Invoice'!Q$2:Q$801,$W216)="","",INDEX('Per Invoice'!Q$2:Q$801,$W216)))</f>
        <v/>
      </c>
      <c r="R216" s="7">
        <f>IF($W216="","",IF(INDEX('Per Invoice'!R$2:R$801,$W216)="","",INDEX('Per Invoice'!R$2:R$801,$W216)))</f>
        <v/>
      </c>
      <c r="S216" s="7">
        <f>IF($W216="","",IF(INDEX('Per Invoice'!S$2:S$801,$W216)="","",INDEX('Per Invoice'!S$2:S$801,$W216)))</f>
        <v/>
      </c>
      <c r="T216" s="7">
        <f>IF($W216="","",IF(INDEX('Per Invoice'!T$2:T$801,$W216)="","",INDEX('Per Invoice'!T$2:T$801,$W216)))</f>
        <v/>
      </c>
      <c r="U216" s="7">
        <f>IF($W216="","",IF(INDEX('Per Invoice'!U$2:U$801,$W216)="","",INDEX('Per Invoice'!U$2:U$801,$W216)))</f>
        <v/>
      </c>
      <c r="V216" s="7">
        <f>IF($W216="","",IF(INDEX('Per Invoice'!V$2:V$801,$W216)="","",INDEX('Per Invoice'!V$2:V$801,$W216)))</f>
        <v/>
      </c>
      <c r="W216" s="16">
        <f>IFERROR(MATCH(Settings!$C$28&amp;"|"&amp;ROWS($W$2:$W216),'Per Invoice'!$X$2:$X$801,0),"")</f>
        <v/>
      </c>
    </row>
    <row r="217">
      <c r="A217">
        <f>IF($W217="","",IF(INDEX('Per Invoice'!A$2:A$801,$W217)="","",INDEX('Per Invoice'!A$2:A$801,$W217)))</f>
        <v/>
      </c>
      <c r="B217">
        <f>IF($W217="","",IF(INDEX('Per Invoice'!B$2:B$801,$W217)="","",INDEX('Per Invoice'!B$2:B$801,$W217)))</f>
        <v/>
      </c>
      <c r="C217">
        <f>IF($W217="","",IF(INDEX('Per Invoice'!C$2:C$801,$W217)="","",INDEX('Per Invoice'!C$2:C$801,$W217)))</f>
        <v/>
      </c>
      <c r="D217">
        <f>IF($W217="","",IF(INDEX('Per Invoice'!D$2:D$801,$W217)="","",INDEX('Per Invoice'!D$2:D$801,$W217)))</f>
        <v/>
      </c>
      <c r="E217">
        <f>IF($W217="","",IF(INDEX('Per Invoice'!E$2:E$801,$W217)="","",INDEX('Per Invoice'!E$2:E$801,$W217)))</f>
        <v/>
      </c>
      <c r="F217">
        <f>IF($W217="","",IF(INDEX('Per Invoice'!F$2:F$801,$W217)="","",INDEX('Per Invoice'!F$2:F$801,$W217)))</f>
        <v/>
      </c>
      <c r="G217">
        <f>IF($W217="","",IF(INDEX('Per Invoice'!G$2:G$801,$W217)="","",INDEX('Per Invoice'!G$2:G$801,$W217)))</f>
        <v/>
      </c>
      <c r="H217">
        <f>IF($W217="","",IF(INDEX('Per Invoice'!H$2:H$801,$W217)="","",INDEX('Per Invoice'!H$2:H$801,$W217)))</f>
        <v/>
      </c>
      <c r="I217">
        <f>IF($W217="","",IF(INDEX('Per Invoice'!I$2:I$801,$W217)="","",INDEX('Per Invoice'!I$2:I$801,$W217)))</f>
        <v/>
      </c>
      <c r="J217">
        <f>IF($W217="","",IF(INDEX('Per Invoice'!J$2:J$801,$W217)="","",INDEX('Per Invoice'!J$2:J$801,$W217)))</f>
        <v/>
      </c>
      <c r="K217" s="7">
        <f>IF($W217="","",IF(INDEX('Per Invoice'!K$2:K$801,$W217)="","",INDEX('Per Invoice'!K$2:K$801,$W217)))</f>
        <v/>
      </c>
      <c r="L217" s="14">
        <f>IF($W217="","",IF(INDEX('Per Invoice'!L$2:L$801,$W217)="","",INDEX('Per Invoice'!L$2:L$801,$W217)))</f>
        <v/>
      </c>
      <c r="M217">
        <f>IF($W217="","",IF(INDEX('Per Invoice'!M$2:M$801,$W217)="","",INDEX('Per Invoice'!M$2:M$801,$W217)))</f>
        <v/>
      </c>
      <c r="N217" s="7">
        <f>IF($W217="","",IF(INDEX('Per Invoice'!N$2:N$801,$W217)="","",INDEX('Per Invoice'!N$2:N$801,$W217)))</f>
        <v/>
      </c>
      <c r="O217" s="7">
        <f>IF($W217="","",IF(INDEX('Per Invoice'!O$2:O$801,$W217)="","",INDEX('Per Invoice'!O$2:O$801,$W217)))</f>
        <v/>
      </c>
      <c r="P217">
        <f>IF($W217="","",IF(INDEX('Per Invoice'!P$2:P$801,$W217)="","",INDEX('Per Invoice'!P$2:P$801,$W217)))</f>
        <v/>
      </c>
      <c r="Q217" s="7">
        <f>IF($W217="","",IF(INDEX('Per Invoice'!Q$2:Q$801,$W217)="","",INDEX('Per Invoice'!Q$2:Q$801,$W217)))</f>
        <v/>
      </c>
      <c r="R217" s="7">
        <f>IF($W217="","",IF(INDEX('Per Invoice'!R$2:R$801,$W217)="","",INDEX('Per Invoice'!R$2:R$801,$W217)))</f>
        <v/>
      </c>
      <c r="S217" s="7">
        <f>IF($W217="","",IF(INDEX('Per Invoice'!S$2:S$801,$W217)="","",INDEX('Per Invoice'!S$2:S$801,$W217)))</f>
        <v/>
      </c>
      <c r="T217" s="7">
        <f>IF($W217="","",IF(INDEX('Per Invoice'!T$2:T$801,$W217)="","",INDEX('Per Invoice'!T$2:T$801,$W217)))</f>
        <v/>
      </c>
      <c r="U217" s="7">
        <f>IF($W217="","",IF(INDEX('Per Invoice'!U$2:U$801,$W217)="","",INDEX('Per Invoice'!U$2:U$801,$W217)))</f>
        <v/>
      </c>
      <c r="V217" s="7">
        <f>IF($W217="","",IF(INDEX('Per Invoice'!V$2:V$801,$W217)="","",INDEX('Per Invoice'!V$2:V$801,$W217)))</f>
        <v/>
      </c>
      <c r="W217" s="16">
        <f>IFERROR(MATCH(Settings!$C$28&amp;"|"&amp;ROWS($W$2:$W217),'Per Invoice'!$X$2:$X$801,0),"")</f>
        <v/>
      </c>
    </row>
    <row r="218">
      <c r="A218">
        <f>IF($W218="","",IF(INDEX('Per Invoice'!A$2:A$801,$W218)="","",INDEX('Per Invoice'!A$2:A$801,$W218)))</f>
        <v/>
      </c>
      <c r="B218">
        <f>IF($W218="","",IF(INDEX('Per Invoice'!B$2:B$801,$W218)="","",INDEX('Per Invoice'!B$2:B$801,$W218)))</f>
        <v/>
      </c>
      <c r="C218">
        <f>IF($W218="","",IF(INDEX('Per Invoice'!C$2:C$801,$W218)="","",INDEX('Per Invoice'!C$2:C$801,$W218)))</f>
        <v/>
      </c>
      <c r="D218">
        <f>IF($W218="","",IF(INDEX('Per Invoice'!D$2:D$801,$W218)="","",INDEX('Per Invoice'!D$2:D$801,$W218)))</f>
        <v/>
      </c>
      <c r="E218">
        <f>IF($W218="","",IF(INDEX('Per Invoice'!E$2:E$801,$W218)="","",INDEX('Per Invoice'!E$2:E$801,$W218)))</f>
        <v/>
      </c>
      <c r="F218">
        <f>IF($W218="","",IF(INDEX('Per Invoice'!F$2:F$801,$W218)="","",INDEX('Per Invoice'!F$2:F$801,$W218)))</f>
        <v/>
      </c>
      <c r="G218">
        <f>IF($W218="","",IF(INDEX('Per Invoice'!G$2:G$801,$W218)="","",INDEX('Per Invoice'!G$2:G$801,$W218)))</f>
        <v/>
      </c>
      <c r="H218">
        <f>IF($W218="","",IF(INDEX('Per Invoice'!H$2:H$801,$W218)="","",INDEX('Per Invoice'!H$2:H$801,$W218)))</f>
        <v/>
      </c>
      <c r="I218">
        <f>IF($W218="","",IF(INDEX('Per Invoice'!I$2:I$801,$W218)="","",INDEX('Per Invoice'!I$2:I$801,$W218)))</f>
        <v/>
      </c>
      <c r="J218">
        <f>IF($W218="","",IF(INDEX('Per Invoice'!J$2:J$801,$W218)="","",INDEX('Per Invoice'!J$2:J$801,$W218)))</f>
        <v/>
      </c>
      <c r="K218" s="7">
        <f>IF($W218="","",IF(INDEX('Per Invoice'!K$2:K$801,$W218)="","",INDEX('Per Invoice'!K$2:K$801,$W218)))</f>
        <v/>
      </c>
      <c r="L218" s="14">
        <f>IF($W218="","",IF(INDEX('Per Invoice'!L$2:L$801,$W218)="","",INDEX('Per Invoice'!L$2:L$801,$W218)))</f>
        <v/>
      </c>
      <c r="M218">
        <f>IF($W218="","",IF(INDEX('Per Invoice'!M$2:M$801,$W218)="","",INDEX('Per Invoice'!M$2:M$801,$W218)))</f>
        <v/>
      </c>
      <c r="N218" s="7">
        <f>IF($W218="","",IF(INDEX('Per Invoice'!N$2:N$801,$W218)="","",INDEX('Per Invoice'!N$2:N$801,$W218)))</f>
        <v/>
      </c>
      <c r="O218" s="7">
        <f>IF($W218="","",IF(INDEX('Per Invoice'!O$2:O$801,$W218)="","",INDEX('Per Invoice'!O$2:O$801,$W218)))</f>
        <v/>
      </c>
      <c r="P218">
        <f>IF($W218="","",IF(INDEX('Per Invoice'!P$2:P$801,$W218)="","",INDEX('Per Invoice'!P$2:P$801,$W218)))</f>
        <v/>
      </c>
      <c r="Q218" s="7">
        <f>IF($W218="","",IF(INDEX('Per Invoice'!Q$2:Q$801,$W218)="","",INDEX('Per Invoice'!Q$2:Q$801,$W218)))</f>
        <v/>
      </c>
      <c r="R218" s="7">
        <f>IF($W218="","",IF(INDEX('Per Invoice'!R$2:R$801,$W218)="","",INDEX('Per Invoice'!R$2:R$801,$W218)))</f>
        <v/>
      </c>
      <c r="S218" s="7">
        <f>IF($W218="","",IF(INDEX('Per Invoice'!S$2:S$801,$W218)="","",INDEX('Per Invoice'!S$2:S$801,$W218)))</f>
        <v/>
      </c>
      <c r="T218" s="7">
        <f>IF($W218="","",IF(INDEX('Per Invoice'!T$2:T$801,$W218)="","",INDEX('Per Invoice'!T$2:T$801,$W218)))</f>
        <v/>
      </c>
      <c r="U218" s="7">
        <f>IF($W218="","",IF(INDEX('Per Invoice'!U$2:U$801,$W218)="","",INDEX('Per Invoice'!U$2:U$801,$W218)))</f>
        <v/>
      </c>
      <c r="V218" s="7">
        <f>IF($W218="","",IF(INDEX('Per Invoice'!V$2:V$801,$W218)="","",INDEX('Per Invoice'!V$2:V$801,$W218)))</f>
        <v/>
      </c>
      <c r="W218" s="16">
        <f>IFERROR(MATCH(Settings!$C$28&amp;"|"&amp;ROWS($W$2:$W218),'Per Invoice'!$X$2:$X$801,0),"")</f>
        <v/>
      </c>
    </row>
    <row r="219">
      <c r="A219">
        <f>IF($W219="","",IF(INDEX('Per Invoice'!A$2:A$801,$W219)="","",INDEX('Per Invoice'!A$2:A$801,$W219)))</f>
        <v/>
      </c>
      <c r="B219">
        <f>IF($W219="","",IF(INDEX('Per Invoice'!B$2:B$801,$W219)="","",INDEX('Per Invoice'!B$2:B$801,$W219)))</f>
        <v/>
      </c>
      <c r="C219">
        <f>IF($W219="","",IF(INDEX('Per Invoice'!C$2:C$801,$W219)="","",INDEX('Per Invoice'!C$2:C$801,$W219)))</f>
        <v/>
      </c>
      <c r="D219">
        <f>IF($W219="","",IF(INDEX('Per Invoice'!D$2:D$801,$W219)="","",INDEX('Per Invoice'!D$2:D$801,$W219)))</f>
        <v/>
      </c>
      <c r="E219">
        <f>IF($W219="","",IF(INDEX('Per Invoice'!E$2:E$801,$W219)="","",INDEX('Per Invoice'!E$2:E$801,$W219)))</f>
        <v/>
      </c>
      <c r="F219">
        <f>IF($W219="","",IF(INDEX('Per Invoice'!F$2:F$801,$W219)="","",INDEX('Per Invoice'!F$2:F$801,$W219)))</f>
        <v/>
      </c>
      <c r="G219">
        <f>IF($W219="","",IF(INDEX('Per Invoice'!G$2:G$801,$W219)="","",INDEX('Per Invoice'!G$2:G$801,$W219)))</f>
        <v/>
      </c>
      <c r="H219">
        <f>IF($W219="","",IF(INDEX('Per Invoice'!H$2:H$801,$W219)="","",INDEX('Per Invoice'!H$2:H$801,$W219)))</f>
        <v/>
      </c>
      <c r="I219">
        <f>IF($W219="","",IF(INDEX('Per Invoice'!I$2:I$801,$W219)="","",INDEX('Per Invoice'!I$2:I$801,$W219)))</f>
        <v/>
      </c>
      <c r="J219">
        <f>IF($W219="","",IF(INDEX('Per Invoice'!J$2:J$801,$W219)="","",INDEX('Per Invoice'!J$2:J$801,$W219)))</f>
        <v/>
      </c>
      <c r="K219" s="7">
        <f>IF($W219="","",IF(INDEX('Per Invoice'!K$2:K$801,$W219)="","",INDEX('Per Invoice'!K$2:K$801,$W219)))</f>
        <v/>
      </c>
      <c r="L219" s="14">
        <f>IF($W219="","",IF(INDEX('Per Invoice'!L$2:L$801,$W219)="","",INDEX('Per Invoice'!L$2:L$801,$W219)))</f>
        <v/>
      </c>
      <c r="M219">
        <f>IF($W219="","",IF(INDEX('Per Invoice'!M$2:M$801,$W219)="","",INDEX('Per Invoice'!M$2:M$801,$W219)))</f>
        <v/>
      </c>
      <c r="N219" s="7">
        <f>IF($W219="","",IF(INDEX('Per Invoice'!N$2:N$801,$W219)="","",INDEX('Per Invoice'!N$2:N$801,$W219)))</f>
        <v/>
      </c>
      <c r="O219" s="7">
        <f>IF($W219="","",IF(INDEX('Per Invoice'!O$2:O$801,$W219)="","",INDEX('Per Invoice'!O$2:O$801,$W219)))</f>
        <v/>
      </c>
      <c r="P219">
        <f>IF($W219="","",IF(INDEX('Per Invoice'!P$2:P$801,$W219)="","",INDEX('Per Invoice'!P$2:P$801,$W219)))</f>
        <v/>
      </c>
      <c r="Q219" s="7">
        <f>IF($W219="","",IF(INDEX('Per Invoice'!Q$2:Q$801,$W219)="","",INDEX('Per Invoice'!Q$2:Q$801,$W219)))</f>
        <v/>
      </c>
      <c r="R219" s="7">
        <f>IF($W219="","",IF(INDEX('Per Invoice'!R$2:R$801,$W219)="","",INDEX('Per Invoice'!R$2:R$801,$W219)))</f>
        <v/>
      </c>
      <c r="S219" s="7">
        <f>IF($W219="","",IF(INDEX('Per Invoice'!S$2:S$801,$W219)="","",INDEX('Per Invoice'!S$2:S$801,$W219)))</f>
        <v/>
      </c>
      <c r="T219" s="7">
        <f>IF($W219="","",IF(INDEX('Per Invoice'!T$2:T$801,$W219)="","",INDEX('Per Invoice'!T$2:T$801,$W219)))</f>
        <v/>
      </c>
      <c r="U219" s="7">
        <f>IF($W219="","",IF(INDEX('Per Invoice'!U$2:U$801,$W219)="","",INDEX('Per Invoice'!U$2:U$801,$W219)))</f>
        <v/>
      </c>
      <c r="V219" s="7">
        <f>IF($W219="","",IF(INDEX('Per Invoice'!V$2:V$801,$W219)="","",INDEX('Per Invoice'!V$2:V$801,$W219)))</f>
        <v/>
      </c>
      <c r="W219" s="16">
        <f>IFERROR(MATCH(Settings!$C$28&amp;"|"&amp;ROWS($W$2:$W219),'Per Invoice'!$X$2:$X$801,0),"")</f>
        <v/>
      </c>
    </row>
    <row r="220">
      <c r="A220">
        <f>IF($W220="","",IF(INDEX('Per Invoice'!A$2:A$801,$W220)="","",INDEX('Per Invoice'!A$2:A$801,$W220)))</f>
        <v/>
      </c>
      <c r="B220">
        <f>IF($W220="","",IF(INDEX('Per Invoice'!B$2:B$801,$W220)="","",INDEX('Per Invoice'!B$2:B$801,$W220)))</f>
        <v/>
      </c>
      <c r="C220">
        <f>IF($W220="","",IF(INDEX('Per Invoice'!C$2:C$801,$W220)="","",INDEX('Per Invoice'!C$2:C$801,$W220)))</f>
        <v/>
      </c>
      <c r="D220">
        <f>IF($W220="","",IF(INDEX('Per Invoice'!D$2:D$801,$W220)="","",INDEX('Per Invoice'!D$2:D$801,$W220)))</f>
        <v/>
      </c>
      <c r="E220">
        <f>IF($W220="","",IF(INDEX('Per Invoice'!E$2:E$801,$W220)="","",INDEX('Per Invoice'!E$2:E$801,$W220)))</f>
        <v/>
      </c>
      <c r="F220">
        <f>IF($W220="","",IF(INDEX('Per Invoice'!F$2:F$801,$W220)="","",INDEX('Per Invoice'!F$2:F$801,$W220)))</f>
        <v/>
      </c>
      <c r="G220">
        <f>IF($W220="","",IF(INDEX('Per Invoice'!G$2:G$801,$W220)="","",INDEX('Per Invoice'!G$2:G$801,$W220)))</f>
        <v/>
      </c>
      <c r="H220">
        <f>IF($W220="","",IF(INDEX('Per Invoice'!H$2:H$801,$W220)="","",INDEX('Per Invoice'!H$2:H$801,$W220)))</f>
        <v/>
      </c>
      <c r="I220">
        <f>IF($W220="","",IF(INDEX('Per Invoice'!I$2:I$801,$W220)="","",INDEX('Per Invoice'!I$2:I$801,$W220)))</f>
        <v/>
      </c>
      <c r="J220">
        <f>IF($W220="","",IF(INDEX('Per Invoice'!J$2:J$801,$W220)="","",INDEX('Per Invoice'!J$2:J$801,$W220)))</f>
        <v/>
      </c>
      <c r="K220" s="7">
        <f>IF($W220="","",IF(INDEX('Per Invoice'!K$2:K$801,$W220)="","",INDEX('Per Invoice'!K$2:K$801,$W220)))</f>
        <v/>
      </c>
      <c r="L220" s="14">
        <f>IF($W220="","",IF(INDEX('Per Invoice'!L$2:L$801,$W220)="","",INDEX('Per Invoice'!L$2:L$801,$W220)))</f>
        <v/>
      </c>
      <c r="M220">
        <f>IF($W220="","",IF(INDEX('Per Invoice'!M$2:M$801,$W220)="","",INDEX('Per Invoice'!M$2:M$801,$W220)))</f>
        <v/>
      </c>
      <c r="N220" s="7">
        <f>IF($W220="","",IF(INDEX('Per Invoice'!N$2:N$801,$W220)="","",INDEX('Per Invoice'!N$2:N$801,$W220)))</f>
        <v/>
      </c>
      <c r="O220" s="7">
        <f>IF($W220="","",IF(INDEX('Per Invoice'!O$2:O$801,$W220)="","",INDEX('Per Invoice'!O$2:O$801,$W220)))</f>
        <v/>
      </c>
      <c r="P220">
        <f>IF($W220="","",IF(INDEX('Per Invoice'!P$2:P$801,$W220)="","",INDEX('Per Invoice'!P$2:P$801,$W220)))</f>
        <v/>
      </c>
      <c r="Q220" s="7">
        <f>IF($W220="","",IF(INDEX('Per Invoice'!Q$2:Q$801,$W220)="","",INDEX('Per Invoice'!Q$2:Q$801,$W220)))</f>
        <v/>
      </c>
      <c r="R220" s="7">
        <f>IF($W220="","",IF(INDEX('Per Invoice'!R$2:R$801,$W220)="","",INDEX('Per Invoice'!R$2:R$801,$W220)))</f>
        <v/>
      </c>
      <c r="S220" s="7">
        <f>IF($W220="","",IF(INDEX('Per Invoice'!S$2:S$801,$W220)="","",INDEX('Per Invoice'!S$2:S$801,$W220)))</f>
        <v/>
      </c>
      <c r="T220" s="7">
        <f>IF($W220="","",IF(INDEX('Per Invoice'!T$2:T$801,$W220)="","",INDEX('Per Invoice'!T$2:T$801,$W220)))</f>
        <v/>
      </c>
      <c r="U220" s="7">
        <f>IF($W220="","",IF(INDEX('Per Invoice'!U$2:U$801,$W220)="","",INDEX('Per Invoice'!U$2:U$801,$W220)))</f>
        <v/>
      </c>
      <c r="V220" s="7">
        <f>IF($W220="","",IF(INDEX('Per Invoice'!V$2:V$801,$W220)="","",INDEX('Per Invoice'!V$2:V$801,$W220)))</f>
        <v/>
      </c>
      <c r="W220" s="16">
        <f>IFERROR(MATCH(Settings!$C$28&amp;"|"&amp;ROWS($W$2:$W220),'Per Invoice'!$X$2:$X$801,0),"")</f>
        <v/>
      </c>
    </row>
    <row r="221">
      <c r="A221">
        <f>IF($W221="","",IF(INDEX('Per Invoice'!A$2:A$801,$W221)="","",INDEX('Per Invoice'!A$2:A$801,$W221)))</f>
        <v/>
      </c>
      <c r="B221">
        <f>IF($W221="","",IF(INDEX('Per Invoice'!B$2:B$801,$W221)="","",INDEX('Per Invoice'!B$2:B$801,$W221)))</f>
        <v/>
      </c>
      <c r="C221">
        <f>IF($W221="","",IF(INDEX('Per Invoice'!C$2:C$801,$W221)="","",INDEX('Per Invoice'!C$2:C$801,$W221)))</f>
        <v/>
      </c>
      <c r="D221">
        <f>IF($W221="","",IF(INDEX('Per Invoice'!D$2:D$801,$W221)="","",INDEX('Per Invoice'!D$2:D$801,$W221)))</f>
        <v/>
      </c>
      <c r="E221">
        <f>IF($W221="","",IF(INDEX('Per Invoice'!E$2:E$801,$W221)="","",INDEX('Per Invoice'!E$2:E$801,$W221)))</f>
        <v/>
      </c>
      <c r="F221">
        <f>IF($W221="","",IF(INDEX('Per Invoice'!F$2:F$801,$W221)="","",INDEX('Per Invoice'!F$2:F$801,$W221)))</f>
        <v/>
      </c>
      <c r="G221">
        <f>IF($W221="","",IF(INDEX('Per Invoice'!G$2:G$801,$W221)="","",INDEX('Per Invoice'!G$2:G$801,$W221)))</f>
        <v/>
      </c>
      <c r="H221">
        <f>IF($W221="","",IF(INDEX('Per Invoice'!H$2:H$801,$W221)="","",INDEX('Per Invoice'!H$2:H$801,$W221)))</f>
        <v/>
      </c>
      <c r="I221">
        <f>IF($W221="","",IF(INDEX('Per Invoice'!I$2:I$801,$W221)="","",INDEX('Per Invoice'!I$2:I$801,$W221)))</f>
        <v/>
      </c>
      <c r="J221">
        <f>IF($W221="","",IF(INDEX('Per Invoice'!J$2:J$801,$W221)="","",INDEX('Per Invoice'!J$2:J$801,$W221)))</f>
        <v/>
      </c>
      <c r="K221" s="7">
        <f>IF($W221="","",IF(INDEX('Per Invoice'!K$2:K$801,$W221)="","",INDEX('Per Invoice'!K$2:K$801,$W221)))</f>
        <v/>
      </c>
      <c r="L221" s="14">
        <f>IF($W221="","",IF(INDEX('Per Invoice'!L$2:L$801,$W221)="","",INDEX('Per Invoice'!L$2:L$801,$W221)))</f>
        <v/>
      </c>
      <c r="M221">
        <f>IF($W221="","",IF(INDEX('Per Invoice'!M$2:M$801,$W221)="","",INDEX('Per Invoice'!M$2:M$801,$W221)))</f>
        <v/>
      </c>
      <c r="N221" s="7">
        <f>IF($W221="","",IF(INDEX('Per Invoice'!N$2:N$801,$W221)="","",INDEX('Per Invoice'!N$2:N$801,$W221)))</f>
        <v/>
      </c>
      <c r="O221" s="7">
        <f>IF($W221="","",IF(INDEX('Per Invoice'!O$2:O$801,$W221)="","",INDEX('Per Invoice'!O$2:O$801,$W221)))</f>
        <v/>
      </c>
      <c r="P221">
        <f>IF($W221="","",IF(INDEX('Per Invoice'!P$2:P$801,$W221)="","",INDEX('Per Invoice'!P$2:P$801,$W221)))</f>
        <v/>
      </c>
      <c r="Q221" s="7">
        <f>IF($W221="","",IF(INDEX('Per Invoice'!Q$2:Q$801,$W221)="","",INDEX('Per Invoice'!Q$2:Q$801,$W221)))</f>
        <v/>
      </c>
      <c r="R221" s="7">
        <f>IF($W221="","",IF(INDEX('Per Invoice'!R$2:R$801,$W221)="","",INDEX('Per Invoice'!R$2:R$801,$W221)))</f>
        <v/>
      </c>
      <c r="S221" s="7">
        <f>IF($W221="","",IF(INDEX('Per Invoice'!S$2:S$801,$W221)="","",INDEX('Per Invoice'!S$2:S$801,$W221)))</f>
        <v/>
      </c>
      <c r="T221" s="7">
        <f>IF($W221="","",IF(INDEX('Per Invoice'!T$2:T$801,$W221)="","",INDEX('Per Invoice'!T$2:T$801,$W221)))</f>
        <v/>
      </c>
      <c r="U221" s="7">
        <f>IF($W221="","",IF(INDEX('Per Invoice'!U$2:U$801,$W221)="","",INDEX('Per Invoice'!U$2:U$801,$W221)))</f>
        <v/>
      </c>
      <c r="V221" s="7">
        <f>IF($W221="","",IF(INDEX('Per Invoice'!V$2:V$801,$W221)="","",INDEX('Per Invoice'!V$2:V$801,$W221)))</f>
        <v/>
      </c>
      <c r="W221" s="16">
        <f>IFERROR(MATCH(Settings!$C$28&amp;"|"&amp;ROWS($W$2:$W221),'Per Invoice'!$X$2:$X$801,0),"")</f>
        <v/>
      </c>
    </row>
    <row r="222">
      <c r="A222">
        <f>IF($W222="","",IF(INDEX('Per Invoice'!A$2:A$801,$W222)="","",INDEX('Per Invoice'!A$2:A$801,$W222)))</f>
        <v/>
      </c>
      <c r="B222">
        <f>IF($W222="","",IF(INDEX('Per Invoice'!B$2:B$801,$W222)="","",INDEX('Per Invoice'!B$2:B$801,$W222)))</f>
        <v/>
      </c>
      <c r="C222">
        <f>IF($W222="","",IF(INDEX('Per Invoice'!C$2:C$801,$W222)="","",INDEX('Per Invoice'!C$2:C$801,$W222)))</f>
        <v/>
      </c>
      <c r="D222">
        <f>IF($W222="","",IF(INDEX('Per Invoice'!D$2:D$801,$W222)="","",INDEX('Per Invoice'!D$2:D$801,$W222)))</f>
        <v/>
      </c>
      <c r="E222">
        <f>IF($W222="","",IF(INDEX('Per Invoice'!E$2:E$801,$W222)="","",INDEX('Per Invoice'!E$2:E$801,$W222)))</f>
        <v/>
      </c>
      <c r="F222">
        <f>IF($W222="","",IF(INDEX('Per Invoice'!F$2:F$801,$W222)="","",INDEX('Per Invoice'!F$2:F$801,$W222)))</f>
        <v/>
      </c>
      <c r="G222">
        <f>IF($W222="","",IF(INDEX('Per Invoice'!G$2:G$801,$W222)="","",INDEX('Per Invoice'!G$2:G$801,$W222)))</f>
        <v/>
      </c>
      <c r="H222">
        <f>IF($W222="","",IF(INDEX('Per Invoice'!H$2:H$801,$W222)="","",INDEX('Per Invoice'!H$2:H$801,$W222)))</f>
        <v/>
      </c>
      <c r="I222">
        <f>IF($W222="","",IF(INDEX('Per Invoice'!I$2:I$801,$W222)="","",INDEX('Per Invoice'!I$2:I$801,$W222)))</f>
        <v/>
      </c>
      <c r="J222">
        <f>IF($W222="","",IF(INDEX('Per Invoice'!J$2:J$801,$W222)="","",INDEX('Per Invoice'!J$2:J$801,$W222)))</f>
        <v/>
      </c>
      <c r="K222" s="7">
        <f>IF($W222="","",IF(INDEX('Per Invoice'!K$2:K$801,$W222)="","",INDEX('Per Invoice'!K$2:K$801,$W222)))</f>
        <v/>
      </c>
      <c r="L222" s="14">
        <f>IF($W222="","",IF(INDEX('Per Invoice'!L$2:L$801,$W222)="","",INDEX('Per Invoice'!L$2:L$801,$W222)))</f>
        <v/>
      </c>
      <c r="M222">
        <f>IF($W222="","",IF(INDEX('Per Invoice'!M$2:M$801,$W222)="","",INDEX('Per Invoice'!M$2:M$801,$W222)))</f>
        <v/>
      </c>
      <c r="N222" s="7">
        <f>IF($W222="","",IF(INDEX('Per Invoice'!N$2:N$801,$W222)="","",INDEX('Per Invoice'!N$2:N$801,$W222)))</f>
        <v/>
      </c>
      <c r="O222" s="7">
        <f>IF($W222="","",IF(INDEX('Per Invoice'!O$2:O$801,$W222)="","",INDEX('Per Invoice'!O$2:O$801,$W222)))</f>
        <v/>
      </c>
      <c r="P222">
        <f>IF($W222="","",IF(INDEX('Per Invoice'!P$2:P$801,$W222)="","",INDEX('Per Invoice'!P$2:P$801,$W222)))</f>
        <v/>
      </c>
      <c r="Q222" s="7">
        <f>IF($W222="","",IF(INDEX('Per Invoice'!Q$2:Q$801,$W222)="","",INDEX('Per Invoice'!Q$2:Q$801,$W222)))</f>
        <v/>
      </c>
      <c r="R222" s="7">
        <f>IF($W222="","",IF(INDEX('Per Invoice'!R$2:R$801,$W222)="","",INDEX('Per Invoice'!R$2:R$801,$W222)))</f>
        <v/>
      </c>
      <c r="S222" s="7">
        <f>IF($W222="","",IF(INDEX('Per Invoice'!S$2:S$801,$W222)="","",INDEX('Per Invoice'!S$2:S$801,$W222)))</f>
        <v/>
      </c>
      <c r="T222" s="7">
        <f>IF($W222="","",IF(INDEX('Per Invoice'!T$2:T$801,$W222)="","",INDEX('Per Invoice'!T$2:T$801,$W222)))</f>
        <v/>
      </c>
      <c r="U222" s="7">
        <f>IF($W222="","",IF(INDEX('Per Invoice'!U$2:U$801,$W222)="","",INDEX('Per Invoice'!U$2:U$801,$W222)))</f>
        <v/>
      </c>
      <c r="V222" s="7">
        <f>IF($W222="","",IF(INDEX('Per Invoice'!V$2:V$801,$W222)="","",INDEX('Per Invoice'!V$2:V$801,$W222)))</f>
        <v/>
      </c>
      <c r="W222" s="16">
        <f>IFERROR(MATCH(Settings!$C$28&amp;"|"&amp;ROWS($W$2:$W222),'Per Invoice'!$X$2:$X$801,0),"")</f>
        <v/>
      </c>
    </row>
    <row r="223">
      <c r="A223">
        <f>IF($W223="","",IF(INDEX('Per Invoice'!A$2:A$801,$W223)="","",INDEX('Per Invoice'!A$2:A$801,$W223)))</f>
        <v/>
      </c>
      <c r="B223">
        <f>IF($W223="","",IF(INDEX('Per Invoice'!B$2:B$801,$W223)="","",INDEX('Per Invoice'!B$2:B$801,$W223)))</f>
        <v/>
      </c>
      <c r="C223">
        <f>IF($W223="","",IF(INDEX('Per Invoice'!C$2:C$801,$W223)="","",INDEX('Per Invoice'!C$2:C$801,$W223)))</f>
        <v/>
      </c>
      <c r="D223">
        <f>IF($W223="","",IF(INDEX('Per Invoice'!D$2:D$801,$W223)="","",INDEX('Per Invoice'!D$2:D$801,$W223)))</f>
        <v/>
      </c>
      <c r="E223">
        <f>IF($W223="","",IF(INDEX('Per Invoice'!E$2:E$801,$W223)="","",INDEX('Per Invoice'!E$2:E$801,$W223)))</f>
        <v/>
      </c>
      <c r="F223">
        <f>IF($W223="","",IF(INDEX('Per Invoice'!F$2:F$801,$W223)="","",INDEX('Per Invoice'!F$2:F$801,$W223)))</f>
        <v/>
      </c>
      <c r="G223">
        <f>IF($W223="","",IF(INDEX('Per Invoice'!G$2:G$801,$W223)="","",INDEX('Per Invoice'!G$2:G$801,$W223)))</f>
        <v/>
      </c>
      <c r="H223">
        <f>IF($W223="","",IF(INDEX('Per Invoice'!H$2:H$801,$W223)="","",INDEX('Per Invoice'!H$2:H$801,$W223)))</f>
        <v/>
      </c>
      <c r="I223">
        <f>IF($W223="","",IF(INDEX('Per Invoice'!I$2:I$801,$W223)="","",INDEX('Per Invoice'!I$2:I$801,$W223)))</f>
        <v/>
      </c>
      <c r="J223">
        <f>IF($W223="","",IF(INDEX('Per Invoice'!J$2:J$801,$W223)="","",INDEX('Per Invoice'!J$2:J$801,$W223)))</f>
        <v/>
      </c>
      <c r="K223" s="7">
        <f>IF($W223="","",IF(INDEX('Per Invoice'!K$2:K$801,$W223)="","",INDEX('Per Invoice'!K$2:K$801,$W223)))</f>
        <v/>
      </c>
      <c r="L223" s="14">
        <f>IF($W223="","",IF(INDEX('Per Invoice'!L$2:L$801,$W223)="","",INDEX('Per Invoice'!L$2:L$801,$W223)))</f>
        <v/>
      </c>
      <c r="M223">
        <f>IF($W223="","",IF(INDEX('Per Invoice'!M$2:M$801,$W223)="","",INDEX('Per Invoice'!M$2:M$801,$W223)))</f>
        <v/>
      </c>
      <c r="N223" s="7">
        <f>IF($W223="","",IF(INDEX('Per Invoice'!N$2:N$801,$W223)="","",INDEX('Per Invoice'!N$2:N$801,$W223)))</f>
        <v/>
      </c>
      <c r="O223" s="7">
        <f>IF($W223="","",IF(INDEX('Per Invoice'!O$2:O$801,$W223)="","",INDEX('Per Invoice'!O$2:O$801,$W223)))</f>
        <v/>
      </c>
      <c r="P223">
        <f>IF($W223="","",IF(INDEX('Per Invoice'!P$2:P$801,$W223)="","",INDEX('Per Invoice'!P$2:P$801,$W223)))</f>
        <v/>
      </c>
      <c r="Q223" s="7">
        <f>IF($W223="","",IF(INDEX('Per Invoice'!Q$2:Q$801,$W223)="","",INDEX('Per Invoice'!Q$2:Q$801,$W223)))</f>
        <v/>
      </c>
      <c r="R223" s="7">
        <f>IF($W223="","",IF(INDEX('Per Invoice'!R$2:R$801,$W223)="","",INDEX('Per Invoice'!R$2:R$801,$W223)))</f>
        <v/>
      </c>
      <c r="S223" s="7">
        <f>IF($W223="","",IF(INDEX('Per Invoice'!S$2:S$801,$W223)="","",INDEX('Per Invoice'!S$2:S$801,$W223)))</f>
        <v/>
      </c>
      <c r="T223" s="7">
        <f>IF($W223="","",IF(INDEX('Per Invoice'!T$2:T$801,$W223)="","",INDEX('Per Invoice'!T$2:T$801,$W223)))</f>
        <v/>
      </c>
      <c r="U223" s="7">
        <f>IF($W223="","",IF(INDEX('Per Invoice'!U$2:U$801,$W223)="","",INDEX('Per Invoice'!U$2:U$801,$W223)))</f>
        <v/>
      </c>
      <c r="V223" s="7">
        <f>IF($W223="","",IF(INDEX('Per Invoice'!V$2:V$801,$W223)="","",INDEX('Per Invoice'!V$2:V$801,$W223)))</f>
        <v/>
      </c>
      <c r="W223" s="16">
        <f>IFERROR(MATCH(Settings!$C$28&amp;"|"&amp;ROWS($W$2:$W223),'Per Invoice'!$X$2:$X$801,0),"")</f>
        <v/>
      </c>
    </row>
    <row r="224">
      <c r="A224">
        <f>IF($W224="","",IF(INDEX('Per Invoice'!A$2:A$801,$W224)="","",INDEX('Per Invoice'!A$2:A$801,$W224)))</f>
        <v/>
      </c>
      <c r="B224">
        <f>IF($W224="","",IF(INDEX('Per Invoice'!B$2:B$801,$W224)="","",INDEX('Per Invoice'!B$2:B$801,$W224)))</f>
        <v/>
      </c>
      <c r="C224">
        <f>IF($W224="","",IF(INDEX('Per Invoice'!C$2:C$801,$W224)="","",INDEX('Per Invoice'!C$2:C$801,$W224)))</f>
        <v/>
      </c>
      <c r="D224">
        <f>IF($W224="","",IF(INDEX('Per Invoice'!D$2:D$801,$W224)="","",INDEX('Per Invoice'!D$2:D$801,$W224)))</f>
        <v/>
      </c>
      <c r="E224">
        <f>IF($W224="","",IF(INDEX('Per Invoice'!E$2:E$801,$W224)="","",INDEX('Per Invoice'!E$2:E$801,$W224)))</f>
        <v/>
      </c>
      <c r="F224">
        <f>IF($W224="","",IF(INDEX('Per Invoice'!F$2:F$801,$W224)="","",INDEX('Per Invoice'!F$2:F$801,$W224)))</f>
        <v/>
      </c>
      <c r="G224">
        <f>IF($W224="","",IF(INDEX('Per Invoice'!G$2:G$801,$W224)="","",INDEX('Per Invoice'!G$2:G$801,$W224)))</f>
        <v/>
      </c>
      <c r="H224">
        <f>IF($W224="","",IF(INDEX('Per Invoice'!H$2:H$801,$W224)="","",INDEX('Per Invoice'!H$2:H$801,$W224)))</f>
        <v/>
      </c>
      <c r="I224">
        <f>IF($W224="","",IF(INDEX('Per Invoice'!I$2:I$801,$W224)="","",INDEX('Per Invoice'!I$2:I$801,$W224)))</f>
        <v/>
      </c>
      <c r="J224">
        <f>IF($W224="","",IF(INDEX('Per Invoice'!J$2:J$801,$W224)="","",INDEX('Per Invoice'!J$2:J$801,$W224)))</f>
        <v/>
      </c>
      <c r="K224" s="7">
        <f>IF($W224="","",IF(INDEX('Per Invoice'!K$2:K$801,$W224)="","",INDEX('Per Invoice'!K$2:K$801,$W224)))</f>
        <v/>
      </c>
      <c r="L224" s="14">
        <f>IF($W224="","",IF(INDEX('Per Invoice'!L$2:L$801,$W224)="","",INDEX('Per Invoice'!L$2:L$801,$W224)))</f>
        <v/>
      </c>
      <c r="M224">
        <f>IF($W224="","",IF(INDEX('Per Invoice'!M$2:M$801,$W224)="","",INDEX('Per Invoice'!M$2:M$801,$W224)))</f>
        <v/>
      </c>
      <c r="N224" s="7">
        <f>IF($W224="","",IF(INDEX('Per Invoice'!N$2:N$801,$W224)="","",INDEX('Per Invoice'!N$2:N$801,$W224)))</f>
        <v/>
      </c>
      <c r="O224" s="7">
        <f>IF($W224="","",IF(INDEX('Per Invoice'!O$2:O$801,$W224)="","",INDEX('Per Invoice'!O$2:O$801,$W224)))</f>
        <v/>
      </c>
      <c r="P224">
        <f>IF($W224="","",IF(INDEX('Per Invoice'!P$2:P$801,$W224)="","",INDEX('Per Invoice'!P$2:P$801,$W224)))</f>
        <v/>
      </c>
      <c r="Q224" s="7">
        <f>IF($W224="","",IF(INDEX('Per Invoice'!Q$2:Q$801,$W224)="","",INDEX('Per Invoice'!Q$2:Q$801,$W224)))</f>
        <v/>
      </c>
      <c r="R224" s="7">
        <f>IF($W224="","",IF(INDEX('Per Invoice'!R$2:R$801,$W224)="","",INDEX('Per Invoice'!R$2:R$801,$W224)))</f>
        <v/>
      </c>
      <c r="S224" s="7">
        <f>IF($W224="","",IF(INDEX('Per Invoice'!S$2:S$801,$W224)="","",INDEX('Per Invoice'!S$2:S$801,$W224)))</f>
        <v/>
      </c>
      <c r="T224" s="7">
        <f>IF($W224="","",IF(INDEX('Per Invoice'!T$2:T$801,$W224)="","",INDEX('Per Invoice'!T$2:T$801,$W224)))</f>
        <v/>
      </c>
      <c r="U224" s="7">
        <f>IF($W224="","",IF(INDEX('Per Invoice'!U$2:U$801,$W224)="","",INDEX('Per Invoice'!U$2:U$801,$W224)))</f>
        <v/>
      </c>
      <c r="V224" s="7">
        <f>IF($W224="","",IF(INDEX('Per Invoice'!V$2:V$801,$W224)="","",INDEX('Per Invoice'!V$2:V$801,$W224)))</f>
        <v/>
      </c>
      <c r="W224" s="16">
        <f>IFERROR(MATCH(Settings!$C$28&amp;"|"&amp;ROWS($W$2:$W224),'Per Invoice'!$X$2:$X$801,0),"")</f>
        <v/>
      </c>
    </row>
    <row r="225">
      <c r="A225">
        <f>IF($W225="","",IF(INDEX('Per Invoice'!A$2:A$801,$W225)="","",INDEX('Per Invoice'!A$2:A$801,$W225)))</f>
        <v/>
      </c>
      <c r="B225">
        <f>IF($W225="","",IF(INDEX('Per Invoice'!B$2:B$801,$W225)="","",INDEX('Per Invoice'!B$2:B$801,$W225)))</f>
        <v/>
      </c>
      <c r="C225">
        <f>IF($W225="","",IF(INDEX('Per Invoice'!C$2:C$801,$W225)="","",INDEX('Per Invoice'!C$2:C$801,$W225)))</f>
        <v/>
      </c>
      <c r="D225">
        <f>IF($W225="","",IF(INDEX('Per Invoice'!D$2:D$801,$W225)="","",INDEX('Per Invoice'!D$2:D$801,$W225)))</f>
        <v/>
      </c>
      <c r="E225">
        <f>IF($W225="","",IF(INDEX('Per Invoice'!E$2:E$801,$W225)="","",INDEX('Per Invoice'!E$2:E$801,$W225)))</f>
        <v/>
      </c>
      <c r="F225">
        <f>IF($W225="","",IF(INDEX('Per Invoice'!F$2:F$801,$W225)="","",INDEX('Per Invoice'!F$2:F$801,$W225)))</f>
        <v/>
      </c>
      <c r="G225">
        <f>IF($W225="","",IF(INDEX('Per Invoice'!G$2:G$801,$W225)="","",INDEX('Per Invoice'!G$2:G$801,$W225)))</f>
        <v/>
      </c>
      <c r="H225">
        <f>IF($W225="","",IF(INDEX('Per Invoice'!H$2:H$801,$W225)="","",INDEX('Per Invoice'!H$2:H$801,$W225)))</f>
        <v/>
      </c>
      <c r="I225">
        <f>IF($W225="","",IF(INDEX('Per Invoice'!I$2:I$801,$W225)="","",INDEX('Per Invoice'!I$2:I$801,$W225)))</f>
        <v/>
      </c>
      <c r="J225">
        <f>IF($W225="","",IF(INDEX('Per Invoice'!J$2:J$801,$W225)="","",INDEX('Per Invoice'!J$2:J$801,$W225)))</f>
        <v/>
      </c>
      <c r="K225" s="7">
        <f>IF($W225="","",IF(INDEX('Per Invoice'!K$2:K$801,$W225)="","",INDEX('Per Invoice'!K$2:K$801,$W225)))</f>
        <v/>
      </c>
      <c r="L225" s="14">
        <f>IF($W225="","",IF(INDEX('Per Invoice'!L$2:L$801,$W225)="","",INDEX('Per Invoice'!L$2:L$801,$W225)))</f>
        <v/>
      </c>
      <c r="M225">
        <f>IF($W225="","",IF(INDEX('Per Invoice'!M$2:M$801,$W225)="","",INDEX('Per Invoice'!M$2:M$801,$W225)))</f>
        <v/>
      </c>
      <c r="N225" s="7">
        <f>IF($W225="","",IF(INDEX('Per Invoice'!N$2:N$801,$W225)="","",INDEX('Per Invoice'!N$2:N$801,$W225)))</f>
        <v/>
      </c>
      <c r="O225" s="7">
        <f>IF($W225="","",IF(INDEX('Per Invoice'!O$2:O$801,$W225)="","",INDEX('Per Invoice'!O$2:O$801,$W225)))</f>
        <v/>
      </c>
      <c r="P225">
        <f>IF($W225="","",IF(INDEX('Per Invoice'!P$2:P$801,$W225)="","",INDEX('Per Invoice'!P$2:P$801,$W225)))</f>
        <v/>
      </c>
      <c r="Q225" s="7">
        <f>IF($W225="","",IF(INDEX('Per Invoice'!Q$2:Q$801,$W225)="","",INDEX('Per Invoice'!Q$2:Q$801,$W225)))</f>
        <v/>
      </c>
      <c r="R225" s="7">
        <f>IF($W225="","",IF(INDEX('Per Invoice'!R$2:R$801,$W225)="","",INDEX('Per Invoice'!R$2:R$801,$W225)))</f>
        <v/>
      </c>
      <c r="S225" s="7">
        <f>IF($W225="","",IF(INDEX('Per Invoice'!S$2:S$801,$W225)="","",INDEX('Per Invoice'!S$2:S$801,$W225)))</f>
        <v/>
      </c>
      <c r="T225" s="7">
        <f>IF($W225="","",IF(INDEX('Per Invoice'!T$2:T$801,$W225)="","",INDEX('Per Invoice'!T$2:T$801,$W225)))</f>
        <v/>
      </c>
      <c r="U225" s="7">
        <f>IF($W225="","",IF(INDEX('Per Invoice'!U$2:U$801,$W225)="","",INDEX('Per Invoice'!U$2:U$801,$W225)))</f>
        <v/>
      </c>
      <c r="V225" s="7">
        <f>IF($W225="","",IF(INDEX('Per Invoice'!V$2:V$801,$W225)="","",INDEX('Per Invoice'!V$2:V$801,$W225)))</f>
        <v/>
      </c>
      <c r="W225" s="16">
        <f>IFERROR(MATCH(Settings!$C$28&amp;"|"&amp;ROWS($W$2:$W225),'Per Invoice'!$X$2:$X$801,0),"")</f>
        <v/>
      </c>
    </row>
    <row r="226">
      <c r="A226">
        <f>IF($W226="","",IF(INDEX('Per Invoice'!A$2:A$801,$W226)="","",INDEX('Per Invoice'!A$2:A$801,$W226)))</f>
        <v/>
      </c>
      <c r="B226">
        <f>IF($W226="","",IF(INDEX('Per Invoice'!B$2:B$801,$W226)="","",INDEX('Per Invoice'!B$2:B$801,$W226)))</f>
        <v/>
      </c>
      <c r="C226">
        <f>IF($W226="","",IF(INDEX('Per Invoice'!C$2:C$801,$W226)="","",INDEX('Per Invoice'!C$2:C$801,$W226)))</f>
        <v/>
      </c>
      <c r="D226">
        <f>IF($W226="","",IF(INDEX('Per Invoice'!D$2:D$801,$W226)="","",INDEX('Per Invoice'!D$2:D$801,$W226)))</f>
        <v/>
      </c>
      <c r="E226">
        <f>IF($W226="","",IF(INDEX('Per Invoice'!E$2:E$801,$W226)="","",INDEX('Per Invoice'!E$2:E$801,$W226)))</f>
        <v/>
      </c>
      <c r="F226">
        <f>IF($W226="","",IF(INDEX('Per Invoice'!F$2:F$801,$W226)="","",INDEX('Per Invoice'!F$2:F$801,$W226)))</f>
        <v/>
      </c>
      <c r="G226">
        <f>IF($W226="","",IF(INDEX('Per Invoice'!G$2:G$801,$W226)="","",INDEX('Per Invoice'!G$2:G$801,$W226)))</f>
        <v/>
      </c>
      <c r="H226">
        <f>IF($W226="","",IF(INDEX('Per Invoice'!H$2:H$801,$W226)="","",INDEX('Per Invoice'!H$2:H$801,$W226)))</f>
        <v/>
      </c>
      <c r="I226">
        <f>IF($W226="","",IF(INDEX('Per Invoice'!I$2:I$801,$W226)="","",INDEX('Per Invoice'!I$2:I$801,$W226)))</f>
        <v/>
      </c>
      <c r="J226">
        <f>IF($W226="","",IF(INDEX('Per Invoice'!J$2:J$801,$W226)="","",INDEX('Per Invoice'!J$2:J$801,$W226)))</f>
        <v/>
      </c>
      <c r="K226" s="7">
        <f>IF($W226="","",IF(INDEX('Per Invoice'!K$2:K$801,$W226)="","",INDEX('Per Invoice'!K$2:K$801,$W226)))</f>
        <v/>
      </c>
      <c r="L226" s="14">
        <f>IF($W226="","",IF(INDEX('Per Invoice'!L$2:L$801,$W226)="","",INDEX('Per Invoice'!L$2:L$801,$W226)))</f>
        <v/>
      </c>
      <c r="M226">
        <f>IF($W226="","",IF(INDEX('Per Invoice'!M$2:M$801,$W226)="","",INDEX('Per Invoice'!M$2:M$801,$W226)))</f>
        <v/>
      </c>
      <c r="N226" s="7">
        <f>IF($W226="","",IF(INDEX('Per Invoice'!N$2:N$801,$W226)="","",INDEX('Per Invoice'!N$2:N$801,$W226)))</f>
        <v/>
      </c>
      <c r="O226" s="7">
        <f>IF($W226="","",IF(INDEX('Per Invoice'!O$2:O$801,$W226)="","",INDEX('Per Invoice'!O$2:O$801,$W226)))</f>
        <v/>
      </c>
      <c r="P226">
        <f>IF($W226="","",IF(INDEX('Per Invoice'!P$2:P$801,$W226)="","",INDEX('Per Invoice'!P$2:P$801,$W226)))</f>
        <v/>
      </c>
      <c r="Q226" s="7">
        <f>IF($W226="","",IF(INDEX('Per Invoice'!Q$2:Q$801,$W226)="","",INDEX('Per Invoice'!Q$2:Q$801,$W226)))</f>
        <v/>
      </c>
      <c r="R226" s="7">
        <f>IF($W226="","",IF(INDEX('Per Invoice'!R$2:R$801,$W226)="","",INDEX('Per Invoice'!R$2:R$801,$W226)))</f>
        <v/>
      </c>
      <c r="S226" s="7">
        <f>IF($W226="","",IF(INDEX('Per Invoice'!S$2:S$801,$W226)="","",INDEX('Per Invoice'!S$2:S$801,$W226)))</f>
        <v/>
      </c>
      <c r="T226" s="7">
        <f>IF($W226="","",IF(INDEX('Per Invoice'!T$2:T$801,$W226)="","",INDEX('Per Invoice'!T$2:T$801,$W226)))</f>
        <v/>
      </c>
      <c r="U226" s="7">
        <f>IF($W226="","",IF(INDEX('Per Invoice'!U$2:U$801,$W226)="","",INDEX('Per Invoice'!U$2:U$801,$W226)))</f>
        <v/>
      </c>
      <c r="V226" s="7">
        <f>IF($W226="","",IF(INDEX('Per Invoice'!V$2:V$801,$W226)="","",INDEX('Per Invoice'!V$2:V$801,$W226)))</f>
        <v/>
      </c>
      <c r="W226" s="16">
        <f>IFERROR(MATCH(Settings!$C$28&amp;"|"&amp;ROWS($W$2:$W226),'Per Invoice'!$X$2:$X$801,0),"")</f>
        <v/>
      </c>
    </row>
    <row r="227">
      <c r="A227">
        <f>IF($W227="","",IF(INDEX('Per Invoice'!A$2:A$801,$W227)="","",INDEX('Per Invoice'!A$2:A$801,$W227)))</f>
        <v/>
      </c>
      <c r="B227">
        <f>IF($W227="","",IF(INDEX('Per Invoice'!B$2:B$801,$W227)="","",INDEX('Per Invoice'!B$2:B$801,$W227)))</f>
        <v/>
      </c>
      <c r="C227">
        <f>IF($W227="","",IF(INDEX('Per Invoice'!C$2:C$801,$W227)="","",INDEX('Per Invoice'!C$2:C$801,$W227)))</f>
        <v/>
      </c>
      <c r="D227">
        <f>IF($W227="","",IF(INDEX('Per Invoice'!D$2:D$801,$W227)="","",INDEX('Per Invoice'!D$2:D$801,$W227)))</f>
        <v/>
      </c>
      <c r="E227">
        <f>IF($W227="","",IF(INDEX('Per Invoice'!E$2:E$801,$W227)="","",INDEX('Per Invoice'!E$2:E$801,$W227)))</f>
        <v/>
      </c>
      <c r="F227">
        <f>IF($W227="","",IF(INDEX('Per Invoice'!F$2:F$801,$W227)="","",INDEX('Per Invoice'!F$2:F$801,$W227)))</f>
        <v/>
      </c>
      <c r="G227">
        <f>IF($W227="","",IF(INDEX('Per Invoice'!G$2:G$801,$W227)="","",INDEX('Per Invoice'!G$2:G$801,$W227)))</f>
        <v/>
      </c>
      <c r="H227">
        <f>IF($W227="","",IF(INDEX('Per Invoice'!H$2:H$801,$W227)="","",INDEX('Per Invoice'!H$2:H$801,$W227)))</f>
        <v/>
      </c>
      <c r="I227">
        <f>IF($W227="","",IF(INDEX('Per Invoice'!I$2:I$801,$W227)="","",INDEX('Per Invoice'!I$2:I$801,$W227)))</f>
        <v/>
      </c>
      <c r="J227">
        <f>IF($W227="","",IF(INDEX('Per Invoice'!J$2:J$801,$W227)="","",INDEX('Per Invoice'!J$2:J$801,$W227)))</f>
        <v/>
      </c>
      <c r="K227" s="7">
        <f>IF($W227="","",IF(INDEX('Per Invoice'!K$2:K$801,$W227)="","",INDEX('Per Invoice'!K$2:K$801,$W227)))</f>
        <v/>
      </c>
      <c r="L227" s="14">
        <f>IF($W227="","",IF(INDEX('Per Invoice'!L$2:L$801,$W227)="","",INDEX('Per Invoice'!L$2:L$801,$W227)))</f>
        <v/>
      </c>
      <c r="M227">
        <f>IF($W227="","",IF(INDEX('Per Invoice'!M$2:M$801,$W227)="","",INDEX('Per Invoice'!M$2:M$801,$W227)))</f>
        <v/>
      </c>
      <c r="N227" s="7">
        <f>IF($W227="","",IF(INDEX('Per Invoice'!N$2:N$801,$W227)="","",INDEX('Per Invoice'!N$2:N$801,$W227)))</f>
        <v/>
      </c>
      <c r="O227" s="7">
        <f>IF($W227="","",IF(INDEX('Per Invoice'!O$2:O$801,$W227)="","",INDEX('Per Invoice'!O$2:O$801,$W227)))</f>
        <v/>
      </c>
      <c r="P227">
        <f>IF($W227="","",IF(INDEX('Per Invoice'!P$2:P$801,$W227)="","",INDEX('Per Invoice'!P$2:P$801,$W227)))</f>
        <v/>
      </c>
      <c r="Q227" s="7">
        <f>IF($W227="","",IF(INDEX('Per Invoice'!Q$2:Q$801,$W227)="","",INDEX('Per Invoice'!Q$2:Q$801,$W227)))</f>
        <v/>
      </c>
      <c r="R227" s="7">
        <f>IF($W227="","",IF(INDEX('Per Invoice'!R$2:R$801,$W227)="","",INDEX('Per Invoice'!R$2:R$801,$W227)))</f>
        <v/>
      </c>
      <c r="S227" s="7">
        <f>IF($W227="","",IF(INDEX('Per Invoice'!S$2:S$801,$W227)="","",INDEX('Per Invoice'!S$2:S$801,$W227)))</f>
        <v/>
      </c>
      <c r="T227" s="7">
        <f>IF($W227="","",IF(INDEX('Per Invoice'!T$2:T$801,$W227)="","",INDEX('Per Invoice'!T$2:T$801,$W227)))</f>
        <v/>
      </c>
      <c r="U227" s="7">
        <f>IF($W227="","",IF(INDEX('Per Invoice'!U$2:U$801,$W227)="","",INDEX('Per Invoice'!U$2:U$801,$W227)))</f>
        <v/>
      </c>
      <c r="V227" s="7">
        <f>IF($W227="","",IF(INDEX('Per Invoice'!V$2:V$801,$W227)="","",INDEX('Per Invoice'!V$2:V$801,$W227)))</f>
        <v/>
      </c>
      <c r="W227" s="16">
        <f>IFERROR(MATCH(Settings!$C$28&amp;"|"&amp;ROWS($W$2:$W227),'Per Invoice'!$X$2:$X$801,0),"")</f>
        <v/>
      </c>
    </row>
    <row r="228">
      <c r="A228">
        <f>IF($W228="","",IF(INDEX('Per Invoice'!A$2:A$801,$W228)="","",INDEX('Per Invoice'!A$2:A$801,$W228)))</f>
        <v/>
      </c>
      <c r="B228">
        <f>IF($W228="","",IF(INDEX('Per Invoice'!B$2:B$801,$W228)="","",INDEX('Per Invoice'!B$2:B$801,$W228)))</f>
        <v/>
      </c>
      <c r="C228">
        <f>IF($W228="","",IF(INDEX('Per Invoice'!C$2:C$801,$W228)="","",INDEX('Per Invoice'!C$2:C$801,$W228)))</f>
        <v/>
      </c>
      <c r="D228">
        <f>IF($W228="","",IF(INDEX('Per Invoice'!D$2:D$801,$W228)="","",INDEX('Per Invoice'!D$2:D$801,$W228)))</f>
        <v/>
      </c>
      <c r="E228">
        <f>IF($W228="","",IF(INDEX('Per Invoice'!E$2:E$801,$W228)="","",INDEX('Per Invoice'!E$2:E$801,$W228)))</f>
        <v/>
      </c>
      <c r="F228">
        <f>IF($W228="","",IF(INDEX('Per Invoice'!F$2:F$801,$W228)="","",INDEX('Per Invoice'!F$2:F$801,$W228)))</f>
        <v/>
      </c>
      <c r="G228">
        <f>IF($W228="","",IF(INDEX('Per Invoice'!G$2:G$801,$W228)="","",INDEX('Per Invoice'!G$2:G$801,$W228)))</f>
        <v/>
      </c>
      <c r="H228">
        <f>IF($W228="","",IF(INDEX('Per Invoice'!H$2:H$801,$W228)="","",INDEX('Per Invoice'!H$2:H$801,$W228)))</f>
        <v/>
      </c>
      <c r="I228">
        <f>IF($W228="","",IF(INDEX('Per Invoice'!I$2:I$801,$W228)="","",INDEX('Per Invoice'!I$2:I$801,$W228)))</f>
        <v/>
      </c>
      <c r="J228">
        <f>IF($W228="","",IF(INDEX('Per Invoice'!J$2:J$801,$W228)="","",INDEX('Per Invoice'!J$2:J$801,$W228)))</f>
        <v/>
      </c>
      <c r="K228" s="7">
        <f>IF($W228="","",IF(INDEX('Per Invoice'!K$2:K$801,$W228)="","",INDEX('Per Invoice'!K$2:K$801,$W228)))</f>
        <v/>
      </c>
      <c r="L228" s="14">
        <f>IF($W228="","",IF(INDEX('Per Invoice'!L$2:L$801,$W228)="","",INDEX('Per Invoice'!L$2:L$801,$W228)))</f>
        <v/>
      </c>
      <c r="M228">
        <f>IF($W228="","",IF(INDEX('Per Invoice'!M$2:M$801,$W228)="","",INDEX('Per Invoice'!M$2:M$801,$W228)))</f>
        <v/>
      </c>
      <c r="N228" s="7">
        <f>IF($W228="","",IF(INDEX('Per Invoice'!N$2:N$801,$W228)="","",INDEX('Per Invoice'!N$2:N$801,$W228)))</f>
        <v/>
      </c>
      <c r="O228" s="7">
        <f>IF($W228="","",IF(INDEX('Per Invoice'!O$2:O$801,$W228)="","",INDEX('Per Invoice'!O$2:O$801,$W228)))</f>
        <v/>
      </c>
      <c r="P228">
        <f>IF($W228="","",IF(INDEX('Per Invoice'!P$2:P$801,$W228)="","",INDEX('Per Invoice'!P$2:P$801,$W228)))</f>
        <v/>
      </c>
      <c r="Q228" s="7">
        <f>IF($W228="","",IF(INDEX('Per Invoice'!Q$2:Q$801,$W228)="","",INDEX('Per Invoice'!Q$2:Q$801,$W228)))</f>
        <v/>
      </c>
      <c r="R228" s="7">
        <f>IF($W228="","",IF(INDEX('Per Invoice'!R$2:R$801,$W228)="","",INDEX('Per Invoice'!R$2:R$801,$W228)))</f>
        <v/>
      </c>
      <c r="S228" s="7">
        <f>IF($W228="","",IF(INDEX('Per Invoice'!S$2:S$801,$W228)="","",INDEX('Per Invoice'!S$2:S$801,$W228)))</f>
        <v/>
      </c>
      <c r="T228" s="7">
        <f>IF($W228="","",IF(INDEX('Per Invoice'!T$2:T$801,$W228)="","",INDEX('Per Invoice'!T$2:T$801,$W228)))</f>
        <v/>
      </c>
      <c r="U228" s="7">
        <f>IF($W228="","",IF(INDEX('Per Invoice'!U$2:U$801,$W228)="","",INDEX('Per Invoice'!U$2:U$801,$W228)))</f>
        <v/>
      </c>
      <c r="V228" s="7">
        <f>IF($W228="","",IF(INDEX('Per Invoice'!V$2:V$801,$W228)="","",INDEX('Per Invoice'!V$2:V$801,$W228)))</f>
        <v/>
      </c>
      <c r="W228" s="16">
        <f>IFERROR(MATCH(Settings!$C$28&amp;"|"&amp;ROWS($W$2:$W228),'Per Invoice'!$X$2:$X$801,0),"")</f>
        <v/>
      </c>
    </row>
    <row r="229">
      <c r="A229">
        <f>IF($W229="","",IF(INDEX('Per Invoice'!A$2:A$801,$W229)="","",INDEX('Per Invoice'!A$2:A$801,$W229)))</f>
        <v/>
      </c>
      <c r="B229">
        <f>IF($W229="","",IF(INDEX('Per Invoice'!B$2:B$801,$W229)="","",INDEX('Per Invoice'!B$2:B$801,$W229)))</f>
        <v/>
      </c>
      <c r="C229">
        <f>IF($W229="","",IF(INDEX('Per Invoice'!C$2:C$801,$W229)="","",INDEX('Per Invoice'!C$2:C$801,$W229)))</f>
        <v/>
      </c>
      <c r="D229">
        <f>IF($W229="","",IF(INDEX('Per Invoice'!D$2:D$801,$W229)="","",INDEX('Per Invoice'!D$2:D$801,$W229)))</f>
        <v/>
      </c>
      <c r="E229">
        <f>IF($W229="","",IF(INDEX('Per Invoice'!E$2:E$801,$W229)="","",INDEX('Per Invoice'!E$2:E$801,$W229)))</f>
        <v/>
      </c>
      <c r="F229">
        <f>IF($W229="","",IF(INDEX('Per Invoice'!F$2:F$801,$W229)="","",INDEX('Per Invoice'!F$2:F$801,$W229)))</f>
        <v/>
      </c>
      <c r="G229">
        <f>IF($W229="","",IF(INDEX('Per Invoice'!G$2:G$801,$W229)="","",INDEX('Per Invoice'!G$2:G$801,$W229)))</f>
        <v/>
      </c>
      <c r="H229">
        <f>IF($W229="","",IF(INDEX('Per Invoice'!H$2:H$801,$W229)="","",INDEX('Per Invoice'!H$2:H$801,$W229)))</f>
        <v/>
      </c>
      <c r="I229">
        <f>IF($W229="","",IF(INDEX('Per Invoice'!I$2:I$801,$W229)="","",INDEX('Per Invoice'!I$2:I$801,$W229)))</f>
        <v/>
      </c>
      <c r="J229">
        <f>IF($W229="","",IF(INDEX('Per Invoice'!J$2:J$801,$W229)="","",INDEX('Per Invoice'!J$2:J$801,$W229)))</f>
        <v/>
      </c>
      <c r="K229" s="7">
        <f>IF($W229="","",IF(INDEX('Per Invoice'!K$2:K$801,$W229)="","",INDEX('Per Invoice'!K$2:K$801,$W229)))</f>
        <v/>
      </c>
      <c r="L229" s="14">
        <f>IF($W229="","",IF(INDEX('Per Invoice'!L$2:L$801,$W229)="","",INDEX('Per Invoice'!L$2:L$801,$W229)))</f>
        <v/>
      </c>
      <c r="M229">
        <f>IF($W229="","",IF(INDEX('Per Invoice'!M$2:M$801,$W229)="","",INDEX('Per Invoice'!M$2:M$801,$W229)))</f>
        <v/>
      </c>
      <c r="N229" s="7">
        <f>IF($W229="","",IF(INDEX('Per Invoice'!N$2:N$801,$W229)="","",INDEX('Per Invoice'!N$2:N$801,$W229)))</f>
        <v/>
      </c>
      <c r="O229" s="7">
        <f>IF($W229="","",IF(INDEX('Per Invoice'!O$2:O$801,$W229)="","",INDEX('Per Invoice'!O$2:O$801,$W229)))</f>
        <v/>
      </c>
      <c r="P229">
        <f>IF($W229="","",IF(INDEX('Per Invoice'!P$2:P$801,$W229)="","",INDEX('Per Invoice'!P$2:P$801,$W229)))</f>
        <v/>
      </c>
      <c r="Q229" s="7">
        <f>IF($W229="","",IF(INDEX('Per Invoice'!Q$2:Q$801,$W229)="","",INDEX('Per Invoice'!Q$2:Q$801,$W229)))</f>
        <v/>
      </c>
      <c r="R229" s="7">
        <f>IF($W229="","",IF(INDEX('Per Invoice'!R$2:R$801,$W229)="","",INDEX('Per Invoice'!R$2:R$801,$W229)))</f>
        <v/>
      </c>
      <c r="S229" s="7">
        <f>IF($W229="","",IF(INDEX('Per Invoice'!S$2:S$801,$W229)="","",INDEX('Per Invoice'!S$2:S$801,$W229)))</f>
        <v/>
      </c>
      <c r="T229" s="7">
        <f>IF($W229="","",IF(INDEX('Per Invoice'!T$2:T$801,$W229)="","",INDEX('Per Invoice'!T$2:T$801,$W229)))</f>
        <v/>
      </c>
      <c r="U229" s="7">
        <f>IF($W229="","",IF(INDEX('Per Invoice'!U$2:U$801,$W229)="","",INDEX('Per Invoice'!U$2:U$801,$W229)))</f>
        <v/>
      </c>
      <c r="V229" s="7">
        <f>IF($W229="","",IF(INDEX('Per Invoice'!V$2:V$801,$W229)="","",INDEX('Per Invoice'!V$2:V$801,$W229)))</f>
        <v/>
      </c>
      <c r="W229" s="16">
        <f>IFERROR(MATCH(Settings!$C$28&amp;"|"&amp;ROWS($W$2:$W229),'Per Invoice'!$X$2:$X$801,0),"")</f>
        <v/>
      </c>
    </row>
    <row r="230">
      <c r="A230">
        <f>IF($W230="","",IF(INDEX('Per Invoice'!A$2:A$801,$W230)="","",INDEX('Per Invoice'!A$2:A$801,$W230)))</f>
        <v/>
      </c>
      <c r="B230">
        <f>IF($W230="","",IF(INDEX('Per Invoice'!B$2:B$801,$W230)="","",INDEX('Per Invoice'!B$2:B$801,$W230)))</f>
        <v/>
      </c>
      <c r="C230">
        <f>IF($W230="","",IF(INDEX('Per Invoice'!C$2:C$801,$W230)="","",INDEX('Per Invoice'!C$2:C$801,$W230)))</f>
        <v/>
      </c>
      <c r="D230">
        <f>IF($W230="","",IF(INDEX('Per Invoice'!D$2:D$801,$W230)="","",INDEX('Per Invoice'!D$2:D$801,$W230)))</f>
        <v/>
      </c>
      <c r="E230">
        <f>IF($W230="","",IF(INDEX('Per Invoice'!E$2:E$801,$W230)="","",INDEX('Per Invoice'!E$2:E$801,$W230)))</f>
        <v/>
      </c>
      <c r="F230">
        <f>IF($W230="","",IF(INDEX('Per Invoice'!F$2:F$801,$W230)="","",INDEX('Per Invoice'!F$2:F$801,$W230)))</f>
        <v/>
      </c>
      <c r="G230">
        <f>IF($W230="","",IF(INDEX('Per Invoice'!G$2:G$801,$W230)="","",INDEX('Per Invoice'!G$2:G$801,$W230)))</f>
        <v/>
      </c>
      <c r="H230">
        <f>IF($W230="","",IF(INDEX('Per Invoice'!H$2:H$801,$W230)="","",INDEX('Per Invoice'!H$2:H$801,$W230)))</f>
        <v/>
      </c>
      <c r="I230">
        <f>IF($W230="","",IF(INDEX('Per Invoice'!I$2:I$801,$W230)="","",INDEX('Per Invoice'!I$2:I$801,$W230)))</f>
        <v/>
      </c>
      <c r="J230">
        <f>IF($W230="","",IF(INDEX('Per Invoice'!J$2:J$801,$W230)="","",INDEX('Per Invoice'!J$2:J$801,$W230)))</f>
        <v/>
      </c>
      <c r="K230" s="7">
        <f>IF($W230="","",IF(INDEX('Per Invoice'!K$2:K$801,$W230)="","",INDEX('Per Invoice'!K$2:K$801,$W230)))</f>
        <v/>
      </c>
      <c r="L230" s="14">
        <f>IF($W230="","",IF(INDEX('Per Invoice'!L$2:L$801,$W230)="","",INDEX('Per Invoice'!L$2:L$801,$W230)))</f>
        <v/>
      </c>
      <c r="M230">
        <f>IF($W230="","",IF(INDEX('Per Invoice'!M$2:M$801,$W230)="","",INDEX('Per Invoice'!M$2:M$801,$W230)))</f>
        <v/>
      </c>
      <c r="N230" s="7">
        <f>IF($W230="","",IF(INDEX('Per Invoice'!N$2:N$801,$W230)="","",INDEX('Per Invoice'!N$2:N$801,$W230)))</f>
        <v/>
      </c>
      <c r="O230" s="7">
        <f>IF($W230="","",IF(INDEX('Per Invoice'!O$2:O$801,$W230)="","",INDEX('Per Invoice'!O$2:O$801,$W230)))</f>
        <v/>
      </c>
      <c r="P230">
        <f>IF($W230="","",IF(INDEX('Per Invoice'!P$2:P$801,$W230)="","",INDEX('Per Invoice'!P$2:P$801,$W230)))</f>
        <v/>
      </c>
      <c r="Q230" s="7">
        <f>IF($W230="","",IF(INDEX('Per Invoice'!Q$2:Q$801,$W230)="","",INDEX('Per Invoice'!Q$2:Q$801,$W230)))</f>
        <v/>
      </c>
      <c r="R230" s="7">
        <f>IF($W230="","",IF(INDEX('Per Invoice'!R$2:R$801,$W230)="","",INDEX('Per Invoice'!R$2:R$801,$W230)))</f>
        <v/>
      </c>
      <c r="S230" s="7">
        <f>IF($W230="","",IF(INDEX('Per Invoice'!S$2:S$801,$W230)="","",INDEX('Per Invoice'!S$2:S$801,$W230)))</f>
        <v/>
      </c>
      <c r="T230" s="7">
        <f>IF($W230="","",IF(INDEX('Per Invoice'!T$2:T$801,$W230)="","",INDEX('Per Invoice'!T$2:T$801,$W230)))</f>
        <v/>
      </c>
      <c r="U230" s="7">
        <f>IF($W230="","",IF(INDEX('Per Invoice'!U$2:U$801,$W230)="","",INDEX('Per Invoice'!U$2:U$801,$W230)))</f>
        <v/>
      </c>
      <c r="V230" s="7">
        <f>IF($W230="","",IF(INDEX('Per Invoice'!V$2:V$801,$W230)="","",INDEX('Per Invoice'!V$2:V$801,$W230)))</f>
        <v/>
      </c>
      <c r="W230" s="16">
        <f>IFERROR(MATCH(Settings!$C$28&amp;"|"&amp;ROWS($W$2:$W230),'Per Invoice'!$X$2:$X$801,0),"")</f>
        <v/>
      </c>
    </row>
    <row r="231">
      <c r="A231">
        <f>IF($W231="","",IF(INDEX('Per Invoice'!A$2:A$801,$W231)="","",INDEX('Per Invoice'!A$2:A$801,$W231)))</f>
        <v/>
      </c>
      <c r="B231">
        <f>IF($W231="","",IF(INDEX('Per Invoice'!B$2:B$801,$W231)="","",INDEX('Per Invoice'!B$2:B$801,$W231)))</f>
        <v/>
      </c>
      <c r="C231">
        <f>IF($W231="","",IF(INDEX('Per Invoice'!C$2:C$801,$W231)="","",INDEX('Per Invoice'!C$2:C$801,$W231)))</f>
        <v/>
      </c>
      <c r="D231">
        <f>IF($W231="","",IF(INDEX('Per Invoice'!D$2:D$801,$W231)="","",INDEX('Per Invoice'!D$2:D$801,$W231)))</f>
        <v/>
      </c>
      <c r="E231">
        <f>IF($W231="","",IF(INDEX('Per Invoice'!E$2:E$801,$W231)="","",INDEX('Per Invoice'!E$2:E$801,$W231)))</f>
        <v/>
      </c>
      <c r="F231">
        <f>IF($W231="","",IF(INDEX('Per Invoice'!F$2:F$801,$W231)="","",INDEX('Per Invoice'!F$2:F$801,$W231)))</f>
        <v/>
      </c>
      <c r="G231">
        <f>IF($W231="","",IF(INDEX('Per Invoice'!G$2:G$801,$W231)="","",INDEX('Per Invoice'!G$2:G$801,$W231)))</f>
        <v/>
      </c>
      <c r="H231">
        <f>IF($W231="","",IF(INDEX('Per Invoice'!H$2:H$801,$W231)="","",INDEX('Per Invoice'!H$2:H$801,$W231)))</f>
        <v/>
      </c>
      <c r="I231">
        <f>IF($W231="","",IF(INDEX('Per Invoice'!I$2:I$801,$W231)="","",INDEX('Per Invoice'!I$2:I$801,$W231)))</f>
        <v/>
      </c>
      <c r="J231">
        <f>IF($W231="","",IF(INDEX('Per Invoice'!J$2:J$801,$W231)="","",INDEX('Per Invoice'!J$2:J$801,$W231)))</f>
        <v/>
      </c>
      <c r="K231" s="7">
        <f>IF($W231="","",IF(INDEX('Per Invoice'!K$2:K$801,$W231)="","",INDEX('Per Invoice'!K$2:K$801,$W231)))</f>
        <v/>
      </c>
      <c r="L231" s="14">
        <f>IF($W231="","",IF(INDEX('Per Invoice'!L$2:L$801,$W231)="","",INDEX('Per Invoice'!L$2:L$801,$W231)))</f>
        <v/>
      </c>
      <c r="M231">
        <f>IF($W231="","",IF(INDEX('Per Invoice'!M$2:M$801,$W231)="","",INDEX('Per Invoice'!M$2:M$801,$W231)))</f>
        <v/>
      </c>
      <c r="N231" s="7">
        <f>IF($W231="","",IF(INDEX('Per Invoice'!N$2:N$801,$W231)="","",INDEX('Per Invoice'!N$2:N$801,$W231)))</f>
        <v/>
      </c>
      <c r="O231" s="7">
        <f>IF($W231="","",IF(INDEX('Per Invoice'!O$2:O$801,$W231)="","",INDEX('Per Invoice'!O$2:O$801,$W231)))</f>
        <v/>
      </c>
      <c r="P231">
        <f>IF($W231="","",IF(INDEX('Per Invoice'!P$2:P$801,$W231)="","",INDEX('Per Invoice'!P$2:P$801,$W231)))</f>
        <v/>
      </c>
      <c r="Q231" s="7">
        <f>IF($W231="","",IF(INDEX('Per Invoice'!Q$2:Q$801,$W231)="","",INDEX('Per Invoice'!Q$2:Q$801,$W231)))</f>
        <v/>
      </c>
      <c r="R231" s="7">
        <f>IF($W231="","",IF(INDEX('Per Invoice'!R$2:R$801,$W231)="","",INDEX('Per Invoice'!R$2:R$801,$W231)))</f>
        <v/>
      </c>
      <c r="S231" s="7">
        <f>IF($W231="","",IF(INDEX('Per Invoice'!S$2:S$801,$W231)="","",INDEX('Per Invoice'!S$2:S$801,$W231)))</f>
        <v/>
      </c>
      <c r="T231" s="7">
        <f>IF($W231="","",IF(INDEX('Per Invoice'!T$2:T$801,$W231)="","",INDEX('Per Invoice'!T$2:T$801,$W231)))</f>
        <v/>
      </c>
      <c r="U231" s="7">
        <f>IF($W231="","",IF(INDEX('Per Invoice'!U$2:U$801,$W231)="","",INDEX('Per Invoice'!U$2:U$801,$W231)))</f>
        <v/>
      </c>
      <c r="V231" s="7">
        <f>IF($W231="","",IF(INDEX('Per Invoice'!V$2:V$801,$W231)="","",INDEX('Per Invoice'!V$2:V$801,$W231)))</f>
        <v/>
      </c>
      <c r="W231" s="16">
        <f>IFERROR(MATCH(Settings!$C$28&amp;"|"&amp;ROWS($W$2:$W231),'Per Invoice'!$X$2:$X$801,0),"")</f>
        <v/>
      </c>
    </row>
    <row r="232">
      <c r="A232">
        <f>IF($W232="","",IF(INDEX('Per Invoice'!A$2:A$801,$W232)="","",INDEX('Per Invoice'!A$2:A$801,$W232)))</f>
        <v/>
      </c>
      <c r="B232">
        <f>IF($W232="","",IF(INDEX('Per Invoice'!B$2:B$801,$W232)="","",INDEX('Per Invoice'!B$2:B$801,$W232)))</f>
        <v/>
      </c>
      <c r="C232">
        <f>IF($W232="","",IF(INDEX('Per Invoice'!C$2:C$801,$W232)="","",INDEX('Per Invoice'!C$2:C$801,$W232)))</f>
        <v/>
      </c>
      <c r="D232">
        <f>IF($W232="","",IF(INDEX('Per Invoice'!D$2:D$801,$W232)="","",INDEX('Per Invoice'!D$2:D$801,$W232)))</f>
        <v/>
      </c>
      <c r="E232">
        <f>IF($W232="","",IF(INDEX('Per Invoice'!E$2:E$801,$W232)="","",INDEX('Per Invoice'!E$2:E$801,$W232)))</f>
        <v/>
      </c>
      <c r="F232">
        <f>IF($W232="","",IF(INDEX('Per Invoice'!F$2:F$801,$W232)="","",INDEX('Per Invoice'!F$2:F$801,$W232)))</f>
        <v/>
      </c>
      <c r="G232">
        <f>IF($W232="","",IF(INDEX('Per Invoice'!G$2:G$801,$W232)="","",INDEX('Per Invoice'!G$2:G$801,$W232)))</f>
        <v/>
      </c>
      <c r="H232">
        <f>IF($W232="","",IF(INDEX('Per Invoice'!H$2:H$801,$W232)="","",INDEX('Per Invoice'!H$2:H$801,$W232)))</f>
        <v/>
      </c>
      <c r="I232">
        <f>IF($W232="","",IF(INDEX('Per Invoice'!I$2:I$801,$W232)="","",INDEX('Per Invoice'!I$2:I$801,$W232)))</f>
        <v/>
      </c>
      <c r="J232">
        <f>IF($W232="","",IF(INDEX('Per Invoice'!J$2:J$801,$W232)="","",INDEX('Per Invoice'!J$2:J$801,$W232)))</f>
        <v/>
      </c>
      <c r="K232" s="7">
        <f>IF($W232="","",IF(INDEX('Per Invoice'!K$2:K$801,$W232)="","",INDEX('Per Invoice'!K$2:K$801,$W232)))</f>
        <v/>
      </c>
      <c r="L232" s="14">
        <f>IF($W232="","",IF(INDEX('Per Invoice'!L$2:L$801,$W232)="","",INDEX('Per Invoice'!L$2:L$801,$W232)))</f>
        <v/>
      </c>
      <c r="M232">
        <f>IF($W232="","",IF(INDEX('Per Invoice'!M$2:M$801,$W232)="","",INDEX('Per Invoice'!M$2:M$801,$W232)))</f>
        <v/>
      </c>
      <c r="N232" s="7">
        <f>IF($W232="","",IF(INDEX('Per Invoice'!N$2:N$801,$W232)="","",INDEX('Per Invoice'!N$2:N$801,$W232)))</f>
        <v/>
      </c>
      <c r="O232" s="7">
        <f>IF($W232="","",IF(INDEX('Per Invoice'!O$2:O$801,$W232)="","",INDEX('Per Invoice'!O$2:O$801,$W232)))</f>
        <v/>
      </c>
      <c r="P232">
        <f>IF($W232="","",IF(INDEX('Per Invoice'!P$2:P$801,$W232)="","",INDEX('Per Invoice'!P$2:P$801,$W232)))</f>
        <v/>
      </c>
      <c r="Q232" s="7">
        <f>IF($W232="","",IF(INDEX('Per Invoice'!Q$2:Q$801,$W232)="","",INDEX('Per Invoice'!Q$2:Q$801,$W232)))</f>
        <v/>
      </c>
      <c r="R232" s="7">
        <f>IF($W232="","",IF(INDEX('Per Invoice'!R$2:R$801,$W232)="","",INDEX('Per Invoice'!R$2:R$801,$W232)))</f>
        <v/>
      </c>
      <c r="S232" s="7">
        <f>IF($W232="","",IF(INDEX('Per Invoice'!S$2:S$801,$W232)="","",INDEX('Per Invoice'!S$2:S$801,$W232)))</f>
        <v/>
      </c>
      <c r="T232" s="7">
        <f>IF($W232="","",IF(INDEX('Per Invoice'!T$2:T$801,$W232)="","",INDEX('Per Invoice'!T$2:T$801,$W232)))</f>
        <v/>
      </c>
      <c r="U232" s="7">
        <f>IF($W232="","",IF(INDEX('Per Invoice'!U$2:U$801,$W232)="","",INDEX('Per Invoice'!U$2:U$801,$W232)))</f>
        <v/>
      </c>
      <c r="V232" s="7">
        <f>IF($W232="","",IF(INDEX('Per Invoice'!V$2:V$801,$W232)="","",INDEX('Per Invoice'!V$2:V$801,$W232)))</f>
        <v/>
      </c>
      <c r="W232" s="16">
        <f>IFERROR(MATCH(Settings!$C$28&amp;"|"&amp;ROWS($W$2:$W232),'Per Invoice'!$X$2:$X$801,0),"")</f>
        <v/>
      </c>
    </row>
    <row r="233">
      <c r="A233">
        <f>IF($W233="","",IF(INDEX('Per Invoice'!A$2:A$801,$W233)="","",INDEX('Per Invoice'!A$2:A$801,$W233)))</f>
        <v/>
      </c>
      <c r="B233">
        <f>IF($W233="","",IF(INDEX('Per Invoice'!B$2:B$801,$W233)="","",INDEX('Per Invoice'!B$2:B$801,$W233)))</f>
        <v/>
      </c>
      <c r="C233">
        <f>IF($W233="","",IF(INDEX('Per Invoice'!C$2:C$801,$W233)="","",INDEX('Per Invoice'!C$2:C$801,$W233)))</f>
        <v/>
      </c>
      <c r="D233">
        <f>IF($W233="","",IF(INDEX('Per Invoice'!D$2:D$801,$W233)="","",INDEX('Per Invoice'!D$2:D$801,$W233)))</f>
        <v/>
      </c>
      <c r="E233">
        <f>IF($W233="","",IF(INDEX('Per Invoice'!E$2:E$801,$W233)="","",INDEX('Per Invoice'!E$2:E$801,$W233)))</f>
        <v/>
      </c>
      <c r="F233">
        <f>IF($W233="","",IF(INDEX('Per Invoice'!F$2:F$801,$W233)="","",INDEX('Per Invoice'!F$2:F$801,$W233)))</f>
        <v/>
      </c>
      <c r="G233">
        <f>IF($W233="","",IF(INDEX('Per Invoice'!G$2:G$801,$W233)="","",INDEX('Per Invoice'!G$2:G$801,$W233)))</f>
        <v/>
      </c>
      <c r="H233">
        <f>IF($W233="","",IF(INDEX('Per Invoice'!H$2:H$801,$W233)="","",INDEX('Per Invoice'!H$2:H$801,$W233)))</f>
        <v/>
      </c>
      <c r="I233">
        <f>IF($W233="","",IF(INDEX('Per Invoice'!I$2:I$801,$W233)="","",INDEX('Per Invoice'!I$2:I$801,$W233)))</f>
        <v/>
      </c>
      <c r="J233">
        <f>IF($W233="","",IF(INDEX('Per Invoice'!J$2:J$801,$W233)="","",INDEX('Per Invoice'!J$2:J$801,$W233)))</f>
        <v/>
      </c>
      <c r="K233" s="7">
        <f>IF($W233="","",IF(INDEX('Per Invoice'!K$2:K$801,$W233)="","",INDEX('Per Invoice'!K$2:K$801,$W233)))</f>
        <v/>
      </c>
      <c r="L233" s="14">
        <f>IF($W233="","",IF(INDEX('Per Invoice'!L$2:L$801,$W233)="","",INDEX('Per Invoice'!L$2:L$801,$W233)))</f>
        <v/>
      </c>
      <c r="M233">
        <f>IF($W233="","",IF(INDEX('Per Invoice'!M$2:M$801,$W233)="","",INDEX('Per Invoice'!M$2:M$801,$W233)))</f>
        <v/>
      </c>
      <c r="N233" s="7">
        <f>IF($W233="","",IF(INDEX('Per Invoice'!N$2:N$801,$W233)="","",INDEX('Per Invoice'!N$2:N$801,$W233)))</f>
        <v/>
      </c>
      <c r="O233" s="7">
        <f>IF($W233="","",IF(INDEX('Per Invoice'!O$2:O$801,$W233)="","",INDEX('Per Invoice'!O$2:O$801,$W233)))</f>
        <v/>
      </c>
      <c r="P233">
        <f>IF($W233="","",IF(INDEX('Per Invoice'!P$2:P$801,$W233)="","",INDEX('Per Invoice'!P$2:P$801,$W233)))</f>
        <v/>
      </c>
      <c r="Q233" s="7">
        <f>IF($W233="","",IF(INDEX('Per Invoice'!Q$2:Q$801,$W233)="","",INDEX('Per Invoice'!Q$2:Q$801,$W233)))</f>
        <v/>
      </c>
      <c r="R233" s="7">
        <f>IF($W233="","",IF(INDEX('Per Invoice'!R$2:R$801,$W233)="","",INDEX('Per Invoice'!R$2:R$801,$W233)))</f>
        <v/>
      </c>
      <c r="S233" s="7">
        <f>IF($W233="","",IF(INDEX('Per Invoice'!S$2:S$801,$W233)="","",INDEX('Per Invoice'!S$2:S$801,$W233)))</f>
        <v/>
      </c>
      <c r="T233" s="7">
        <f>IF($W233="","",IF(INDEX('Per Invoice'!T$2:T$801,$W233)="","",INDEX('Per Invoice'!T$2:T$801,$W233)))</f>
        <v/>
      </c>
      <c r="U233" s="7">
        <f>IF($W233="","",IF(INDEX('Per Invoice'!U$2:U$801,$W233)="","",INDEX('Per Invoice'!U$2:U$801,$W233)))</f>
        <v/>
      </c>
      <c r="V233" s="7">
        <f>IF($W233="","",IF(INDEX('Per Invoice'!V$2:V$801,$W233)="","",INDEX('Per Invoice'!V$2:V$801,$W233)))</f>
        <v/>
      </c>
      <c r="W233" s="16">
        <f>IFERROR(MATCH(Settings!$C$28&amp;"|"&amp;ROWS($W$2:$W233),'Per Invoice'!$X$2:$X$801,0),"")</f>
        <v/>
      </c>
    </row>
    <row r="234">
      <c r="A234">
        <f>IF($W234="","",IF(INDEX('Per Invoice'!A$2:A$801,$W234)="","",INDEX('Per Invoice'!A$2:A$801,$W234)))</f>
        <v/>
      </c>
      <c r="B234">
        <f>IF($W234="","",IF(INDEX('Per Invoice'!B$2:B$801,$W234)="","",INDEX('Per Invoice'!B$2:B$801,$W234)))</f>
        <v/>
      </c>
      <c r="C234">
        <f>IF($W234="","",IF(INDEX('Per Invoice'!C$2:C$801,$W234)="","",INDEX('Per Invoice'!C$2:C$801,$W234)))</f>
        <v/>
      </c>
      <c r="D234">
        <f>IF($W234="","",IF(INDEX('Per Invoice'!D$2:D$801,$W234)="","",INDEX('Per Invoice'!D$2:D$801,$W234)))</f>
        <v/>
      </c>
      <c r="E234">
        <f>IF($W234="","",IF(INDEX('Per Invoice'!E$2:E$801,$W234)="","",INDEX('Per Invoice'!E$2:E$801,$W234)))</f>
        <v/>
      </c>
      <c r="F234">
        <f>IF($W234="","",IF(INDEX('Per Invoice'!F$2:F$801,$W234)="","",INDEX('Per Invoice'!F$2:F$801,$W234)))</f>
        <v/>
      </c>
      <c r="G234">
        <f>IF($W234="","",IF(INDEX('Per Invoice'!G$2:G$801,$W234)="","",INDEX('Per Invoice'!G$2:G$801,$W234)))</f>
        <v/>
      </c>
      <c r="H234">
        <f>IF($W234="","",IF(INDEX('Per Invoice'!H$2:H$801,$W234)="","",INDEX('Per Invoice'!H$2:H$801,$W234)))</f>
        <v/>
      </c>
      <c r="I234">
        <f>IF($W234="","",IF(INDEX('Per Invoice'!I$2:I$801,$W234)="","",INDEX('Per Invoice'!I$2:I$801,$W234)))</f>
        <v/>
      </c>
      <c r="J234">
        <f>IF($W234="","",IF(INDEX('Per Invoice'!J$2:J$801,$W234)="","",INDEX('Per Invoice'!J$2:J$801,$W234)))</f>
        <v/>
      </c>
      <c r="K234" s="7">
        <f>IF($W234="","",IF(INDEX('Per Invoice'!K$2:K$801,$W234)="","",INDEX('Per Invoice'!K$2:K$801,$W234)))</f>
        <v/>
      </c>
      <c r="L234" s="14">
        <f>IF($W234="","",IF(INDEX('Per Invoice'!L$2:L$801,$W234)="","",INDEX('Per Invoice'!L$2:L$801,$W234)))</f>
        <v/>
      </c>
      <c r="M234">
        <f>IF($W234="","",IF(INDEX('Per Invoice'!M$2:M$801,$W234)="","",INDEX('Per Invoice'!M$2:M$801,$W234)))</f>
        <v/>
      </c>
      <c r="N234" s="7">
        <f>IF($W234="","",IF(INDEX('Per Invoice'!N$2:N$801,$W234)="","",INDEX('Per Invoice'!N$2:N$801,$W234)))</f>
        <v/>
      </c>
      <c r="O234" s="7">
        <f>IF($W234="","",IF(INDEX('Per Invoice'!O$2:O$801,$W234)="","",INDEX('Per Invoice'!O$2:O$801,$W234)))</f>
        <v/>
      </c>
      <c r="P234">
        <f>IF($W234="","",IF(INDEX('Per Invoice'!P$2:P$801,$W234)="","",INDEX('Per Invoice'!P$2:P$801,$W234)))</f>
        <v/>
      </c>
      <c r="Q234" s="7">
        <f>IF($W234="","",IF(INDEX('Per Invoice'!Q$2:Q$801,$W234)="","",INDEX('Per Invoice'!Q$2:Q$801,$W234)))</f>
        <v/>
      </c>
      <c r="R234" s="7">
        <f>IF($W234="","",IF(INDEX('Per Invoice'!R$2:R$801,$W234)="","",INDEX('Per Invoice'!R$2:R$801,$W234)))</f>
        <v/>
      </c>
      <c r="S234" s="7">
        <f>IF($W234="","",IF(INDEX('Per Invoice'!S$2:S$801,$W234)="","",INDEX('Per Invoice'!S$2:S$801,$W234)))</f>
        <v/>
      </c>
      <c r="T234" s="7">
        <f>IF($W234="","",IF(INDEX('Per Invoice'!T$2:T$801,$W234)="","",INDEX('Per Invoice'!T$2:T$801,$W234)))</f>
        <v/>
      </c>
      <c r="U234" s="7">
        <f>IF($W234="","",IF(INDEX('Per Invoice'!U$2:U$801,$W234)="","",INDEX('Per Invoice'!U$2:U$801,$W234)))</f>
        <v/>
      </c>
      <c r="V234" s="7">
        <f>IF($W234="","",IF(INDEX('Per Invoice'!V$2:V$801,$W234)="","",INDEX('Per Invoice'!V$2:V$801,$W234)))</f>
        <v/>
      </c>
      <c r="W234" s="16">
        <f>IFERROR(MATCH(Settings!$C$28&amp;"|"&amp;ROWS($W$2:$W234),'Per Invoice'!$X$2:$X$801,0),"")</f>
        <v/>
      </c>
    </row>
    <row r="235">
      <c r="A235">
        <f>IF($W235="","",IF(INDEX('Per Invoice'!A$2:A$801,$W235)="","",INDEX('Per Invoice'!A$2:A$801,$W235)))</f>
        <v/>
      </c>
      <c r="B235">
        <f>IF($W235="","",IF(INDEX('Per Invoice'!B$2:B$801,$W235)="","",INDEX('Per Invoice'!B$2:B$801,$W235)))</f>
        <v/>
      </c>
      <c r="C235">
        <f>IF($W235="","",IF(INDEX('Per Invoice'!C$2:C$801,$W235)="","",INDEX('Per Invoice'!C$2:C$801,$W235)))</f>
        <v/>
      </c>
      <c r="D235">
        <f>IF($W235="","",IF(INDEX('Per Invoice'!D$2:D$801,$W235)="","",INDEX('Per Invoice'!D$2:D$801,$W235)))</f>
        <v/>
      </c>
      <c r="E235">
        <f>IF($W235="","",IF(INDEX('Per Invoice'!E$2:E$801,$W235)="","",INDEX('Per Invoice'!E$2:E$801,$W235)))</f>
        <v/>
      </c>
      <c r="F235">
        <f>IF($W235="","",IF(INDEX('Per Invoice'!F$2:F$801,$W235)="","",INDEX('Per Invoice'!F$2:F$801,$W235)))</f>
        <v/>
      </c>
      <c r="G235">
        <f>IF($W235="","",IF(INDEX('Per Invoice'!G$2:G$801,$W235)="","",INDEX('Per Invoice'!G$2:G$801,$W235)))</f>
        <v/>
      </c>
      <c r="H235">
        <f>IF($W235="","",IF(INDEX('Per Invoice'!H$2:H$801,$W235)="","",INDEX('Per Invoice'!H$2:H$801,$W235)))</f>
        <v/>
      </c>
      <c r="I235">
        <f>IF($W235="","",IF(INDEX('Per Invoice'!I$2:I$801,$W235)="","",INDEX('Per Invoice'!I$2:I$801,$W235)))</f>
        <v/>
      </c>
      <c r="J235">
        <f>IF($W235="","",IF(INDEX('Per Invoice'!J$2:J$801,$W235)="","",INDEX('Per Invoice'!J$2:J$801,$W235)))</f>
        <v/>
      </c>
      <c r="K235" s="7">
        <f>IF($W235="","",IF(INDEX('Per Invoice'!K$2:K$801,$W235)="","",INDEX('Per Invoice'!K$2:K$801,$W235)))</f>
        <v/>
      </c>
      <c r="L235" s="14">
        <f>IF($W235="","",IF(INDEX('Per Invoice'!L$2:L$801,$W235)="","",INDEX('Per Invoice'!L$2:L$801,$W235)))</f>
        <v/>
      </c>
      <c r="M235">
        <f>IF($W235="","",IF(INDEX('Per Invoice'!M$2:M$801,$W235)="","",INDEX('Per Invoice'!M$2:M$801,$W235)))</f>
        <v/>
      </c>
      <c r="N235" s="7">
        <f>IF($W235="","",IF(INDEX('Per Invoice'!N$2:N$801,$W235)="","",INDEX('Per Invoice'!N$2:N$801,$W235)))</f>
        <v/>
      </c>
      <c r="O235" s="7">
        <f>IF($W235="","",IF(INDEX('Per Invoice'!O$2:O$801,$W235)="","",INDEX('Per Invoice'!O$2:O$801,$W235)))</f>
        <v/>
      </c>
      <c r="P235">
        <f>IF($W235="","",IF(INDEX('Per Invoice'!P$2:P$801,$W235)="","",INDEX('Per Invoice'!P$2:P$801,$W235)))</f>
        <v/>
      </c>
      <c r="Q235" s="7">
        <f>IF($W235="","",IF(INDEX('Per Invoice'!Q$2:Q$801,$W235)="","",INDEX('Per Invoice'!Q$2:Q$801,$W235)))</f>
        <v/>
      </c>
      <c r="R235" s="7">
        <f>IF($W235="","",IF(INDEX('Per Invoice'!R$2:R$801,$W235)="","",INDEX('Per Invoice'!R$2:R$801,$W235)))</f>
        <v/>
      </c>
      <c r="S235" s="7">
        <f>IF($W235="","",IF(INDEX('Per Invoice'!S$2:S$801,$W235)="","",INDEX('Per Invoice'!S$2:S$801,$W235)))</f>
        <v/>
      </c>
      <c r="T235" s="7">
        <f>IF($W235="","",IF(INDEX('Per Invoice'!T$2:T$801,$W235)="","",INDEX('Per Invoice'!T$2:T$801,$W235)))</f>
        <v/>
      </c>
      <c r="U235" s="7">
        <f>IF($W235="","",IF(INDEX('Per Invoice'!U$2:U$801,$W235)="","",INDEX('Per Invoice'!U$2:U$801,$W235)))</f>
        <v/>
      </c>
      <c r="V235" s="7">
        <f>IF($W235="","",IF(INDEX('Per Invoice'!V$2:V$801,$W235)="","",INDEX('Per Invoice'!V$2:V$801,$W235)))</f>
        <v/>
      </c>
      <c r="W235" s="16">
        <f>IFERROR(MATCH(Settings!$C$28&amp;"|"&amp;ROWS($W$2:$W235),'Per Invoice'!$X$2:$X$801,0),"")</f>
        <v/>
      </c>
    </row>
    <row r="236">
      <c r="A236">
        <f>IF($W236="","",IF(INDEX('Per Invoice'!A$2:A$801,$W236)="","",INDEX('Per Invoice'!A$2:A$801,$W236)))</f>
        <v/>
      </c>
      <c r="B236">
        <f>IF($W236="","",IF(INDEX('Per Invoice'!B$2:B$801,$W236)="","",INDEX('Per Invoice'!B$2:B$801,$W236)))</f>
        <v/>
      </c>
      <c r="C236">
        <f>IF($W236="","",IF(INDEX('Per Invoice'!C$2:C$801,$W236)="","",INDEX('Per Invoice'!C$2:C$801,$W236)))</f>
        <v/>
      </c>
      <c r="D236">
        <f>IF($W236="","",IF(INDEX('Per Invoice'!D$2:D$801,$W236)="","",INDEX('Per Invoice'!D$2:D$801,$W236)))</f>
        <v/>
      </c>
      <c r="E236">
        <f>IF($W236="","",IF(INDEX('Per Invoice'!E$2:E$801,$W236)="","",INDEX('Per Invoice'!E$2:E$801,$W236)))</f>
        <v/>
      </c>
      <c r="F236">
        <f>IF($W236="","",IF(INDEX('Per Invoice'!F$2:F$801,$W236)="","",INDEX('Per Invoice'!F$2:F$801,$W236)))</f>
        <v/>
      </c>
      <c r="G236">
        <f>IF($W236="","",IF(INDEX('Per Invoice'!G$2:G$801,$W236)="","",INDEX('Per Invoice'!G$2:G$801,$W236)))</f>
        <v/>
      </c>
      <c r="H236">
        <f>IF($W236="","",IF(INDEX('Per Invoice'!H$2:H$801,$W236)="","",INDEX('Per Invoice'!H$2:H$801,$W236)))</f>
        <v/>
      </c>
      <c r="I236">
        <f>IF($W236="","",IF(INDEX('Per Invoice'!I$2:I$801,$W236)="","",INDEX('Per Invoice'!I$2:I$801,$W236)))</f>
        <v/>
      </c>
      <c r="J236">
        <f>IF($W236="","",IF(INDEX('Per Invoice'!J$2:J$801,$W236)="","",INDEX('Per Invoice'!J$2:J$801,$W236)))</f>
        <v/>
      </c>
      <c r="K236" s="7">
        <f>IF($W236="","",IF(INDEX('Per Invoice'!K$2:K$801,$W236)="","",INDEX('Per Invoice'!K$2:K$801,$W236)))</f>
        <v/>
      </c>
      <c r="L236" s="14">
        <f>IF($W236="","",IF(INDEX('Per Invoice'!L$2:L$801,$W236)="","",INDEX('Per Invoice'!L$2:L$801,$W236)))</f>
        <v/>
      </c>
      <c r="M236">
        <f>IF($W236="","",IF(INDEX('Per Invoice'!M$2:M$801,$W236)="","",INDEX('Per Invoice'!M$2:M$801,$W236)))</f>
        <v/>
      </c>
      <c r="N236" s="7">
        <f>IF($W236="","",IF(INDEX('Per Invoice'!N$2:N$801,$W236)="","",INDEX('Per Invoice'!N$2:N$801,$W236)))</f>
        <v/>
      </c>
      <c r="O236" s="7">
        <f>IF($W236="","",IF(INDEX('Per Invoice'!O$2:O$801,$W236)="","",INDEX('Per Invoice'!O$2:O$801,$W236)))</f>
        <v/>
      </c>
      <c r="P236">
        <f>IF($W236="","",IF(INDEX('Per Invoice'!P$2:P$801,$W236)="","",INDEX('Per Invoice'!P$2:P$801,$W236)))</f>
        <v/>
      </c>
      <c r="Q236" s="7">
        <f>IF($W236="","",IF(INDEX('Per Invoice'!Q$2:Q$801,$W236)="","",INDEX('Per Invoice'!Q$2:Q$801,$W236)))</f>
        <v/>
      </c>
      <c r="R236" s="7">
        <f>IF($W236="","",IF(INDEX('Per Invoice'!R$2:R$801,$W236)="","",INDEX('Per Invoice'!R$2:R$801,$W236)))</f>
        <v/>
      </c>
      <c r="S236" s="7">
        <f>IF($W236="","",IF(INDEX('Per Invoice'!S$2:S$801,$W236)="","",INDEX('Per Invoice'!S$2:S$801,$W236)))</f>
        <v/>
      </c>
      <c r="T236" s="7">
        <f>IF($W236="","",IF(INDEX('Per Invoice'!T$2:T$801,$W236)="","",INDEX('Per Invoice'!T$2:T$801,$W236)))</f>
        <v/>
      </c>
      <c r="U236" s="7">
        <f>IF($W236="","",IF(INDEX('Per Invoice'!U$2:U$801,$W236)="","",INDEX('Per Invoice'!U$2:U$801,$W236)))</f>
        <v/>
      </c>
      <c r="V236" s="7">
        <f>IF($W236="","",IF(INDEX('Per Invoice'!V$2:V$801,$W236)="","",INDEX('Per Invoice'!V$2:V$801,$W236)))</f>
        <v/>
      </c>
      <c r="W236" s="16">
        <f>IFERROR(MATCH(Settings!$C$28&amp;"|"&amp;ROWS($W$2:$W236),'Per Invoice'!$X$2:$X$801,0),"")</f>
        <v/>
      </c>
    </row>
    <row r="237">
      <c r="A237">
        <f>IF($W237="","",IF(INDEX('Per Invoice'!A$2:A$801,$W237)="","",INDEX('Per Invoice'!A$2:A$801,$W237)))</f>
        <v/>
      </c>
      <c r="B237">
        <f>IF($W237="","",IF(INDEX('Per Invoice'!B$2:B$801,$W237)="","",INDEX('Per Invoice'!B$2:B$801,$W237)))</f>
        <v/>
      </c>
      <c r="C237">
        <f>IF($W237="","",IF(INDEX('Per Invoice'!C$2:C$801,$W237)="","",INDEX('Per Invoice'!C$2:C$801,$W237)))</f>
        <v/>
      </c>
      <c r="D237">
        <f>IF($W237="","",IF(INDEX('Per Invoice'!D$2:D$801,$W237)="","",INDEX('Per Invoice'!D$2:D$801,$W237)))</f>
        <v/>
      </c>
      <c r="E237">
        <f>IF($W237="","",IF(INDEX('Per Invoice'!E$2:E$801,$W237)="","",INDEX('Per Invoice'!E$2:E$801,$W237)))</f>
        <v/>
      </c>
      <c r="F237">
        <f>IF($W237="","",IF(INDEX('Per Invoice'!F$2:F$801,$W237)="","",INDEX('Per Invoice'!F$2:F$801,$W237)))</f>
        <v/>
      </c>
      <c r="G237">
        <f>IF($W237="","",IF(INDEX('Per Invoice'!G$2:G$801,$W237)="","",INDEX('Per Invoice'!G$2:G$801,$W237)))</f>
        <v/>
      </c>
      <c r="H237">
        <f>IF($W237="","",IF(INDEX('Per Invoice'!H$2:H$801,$W237)="","",INDEX('Per Invoice'!H$2:H$801,$W237)))</f>
        <v/>
      </c>
      <c r="I237">
        <f>IF($W237="","",IF(INDEX('Per Invoice'!I$2:I$801,$W237)="","",INDEX('Per Invoice'!I$2:I$801,$W237)))</f>
        <v/>
      </c>
      <c r="J237">
        <f>IF($W237="","",IF(INDEX('Per Invoice'!J$2:J$801,$W237)="","",INDEX('Per Invoice'!J$2:J$801,$W237)))</f>
        <v/>
      </c>
      <c r="K237" s="7">
        <f>IF($W237="","",IF(INDEX('Per Invoice'!K$2:K$801,$W237)="","",INDEX('Per Invoice'!K$2:K$801,$W237)))</f>
        <v/>
      </c>
      <c r="L237" s="14">
        <f>IF($W237="","",IF(INDEX('Per Invoice'!L$2:L$801,$W237)="","",INDEX('Per Invoice'!L$2:L$801,$W237)))</f>
        <v/>
      </c>
      <c r="M237">
        <f>IF($W237="","",IF(INDEX('Per Invoice'!M$2:M$801,$W237)="","",INDEX('Per Invoice'!M$2:M$801,$W237)))</f>
        <v/>
      </c>
      <c r="N237" s="7">
        <f>IF($W237="","",IF(INDEX('Per Invoice'!N$2:N$801,$W237)="","",INDEX('Per Invoice'!N$2:N$801,$W237)))</f>
        <v/>
      </c>
      <c r="O237" s="7">
        <f>IF($W237="","",IF(INDEX('Per Invoice'!O$2:O$801,$W237)="","",INDEX('Per Invoice'!O$2:O$801,$W237)))</f>
        <v/>
      </c>
      <c r="P237">
        <f>IF($W237="","",IF(INDEX('Per Invoice'!P$2:P$801,$W237)="","",INDEX('Per Invoice'!P$2:P$801,$W237)))</f>
        <v/>
      </c>
      <c r="Q237" s="7">
        <f>IF($W237="","",IF(INDEX('Per Invoice'!Q$2:Q$801,$W237)="","",INDEX('Per Invoice'!Q$2:Q$801,$W237)))</f>
        <v/>
      </c>
      <c r="R237" s="7">
        <f>IF($W237="","",IF(INDEX('Per Invoice'!R$2:R$801,$W237)="","",INDEX('Per Invoice'!R$2:R$801,$W237)))</f>
        <v/>
      </c>
      <c r="S237" s="7">
        <f>IF($W237="","",IF(INDEX('Per Invoice'!S$2:S$801,$W237)="","",INDEX('Per Invoice'!S$2:S$801,$W237)))</f>
        <v/>
      </c>
      <c r="T237" s="7">
        <f>IF($W237="","",IF(INDEX('Per Invoice'!T$2:T$801,$W237)="","",INDEX('Per Invoice'!T$2:T$801,$W237)))</f>
        <v/>
      </c>
      <c r="U237" s="7">
        <f>IF($W237="","",IF(INDEX('Per Invoice'!U$2:U$801,$W237)="","",INDEX('Per Invoice'!U$2:U$801,$W237)))</f>
        <v/>
      </c>
      <c r="V237" s="7">
        <f>IF($W237="","",IF(INDEX('Per Invoice'!V$2:V$801,$W237)="","",INDEX('Per Invoice'!V$2:V$801,$W237)))</f>
        <v/>
      </c>
      <c r="W237" s="16">
        <f>IFERROR(MATCH(Settings!$C$28&amp;"|"&amp;ROWS($W$2:$W237),'Per Invoice'!$X$2:$X$801,0),"")</f>
        <v/>
      </c>
    </row>
    <row r="238">
      <c r="A238">
        <f>IF($W238="","",IF(INDEX('Per Invoice'!A$2:A$801,$W238)="","",INDEX('Per Invoice'!A$2:A$801,$W238)))</f>
        <v/>
      </c>
      <c r="B238">
        <f>IF($W238="","",IF(INDEX('Per Invoice'!B$2:B$801,$W238)="","",INDEX('Per Invoice'!B$2:B$801,$W238)))</f>
        <v/>
      </c>
      <c r="C238">
        <f>IF($W238="","",IF(INDEX('Per Invoice'!C$2:C$801,$W238)="","",INDEX('Per Invoice'!C$2:C$801,$W238)))</f>
        <v/>
      </c>
      <c r="D238">
        <f>IF($W238="","",IF(INDEX('Per Invoice'!D$2:D$801,$W238)="","",INDEX('Per Invoice'!D$2:D$801,$W238)))</f>
        <v/>
      </c>
      <c r="E238">
        <f>IF($W238="","",IF(INDEX('Per Invoice'!E$2:E$801,$W238)="","",INDEX('Per Invoice'!E$2:E$801,$W238)))</f>
        <v/>
      </c>
      <c r="F238">
        <f>IF($W238="","",IF(INDEX('Per Invoice'!F$2:F$801,$W238)="","",INDEX('Per Invoice'!F$2:F$801,$W238)))</f>
        <v/>
      </c>
      <c r="G238">
        <f>IF($W238="","",IF(INDEX('Per Invoice'!G$2:G$801,$W238)="","",INDEX('Per Invoice'!G$2:G$801,$W238)))</f>
        <v/>
      </c>
      <c r="H238">
        <f>IF($W238="","",IF(INDEX('Per Invoice'!H$2:H$801,$W238)="","",INDEX('Per Invoice'!H$2:H$801,$W238)))</f>
        <v/>
      </c>
      <c r="I238">
        <f>IF($W238="","",IF(INDEX('Per Invoice'!I$2:I$801,$W238)="","",INDEX('Per Invoice'!I$2:I$801,$W238)))</f>
        <v/>
      </c>
      <c r="J238">
        <f>IF($W238="","",IF(INDEX('Per Invoice'!J$2:J$801,$W238)="","",INDEX('Per Invoice'!J$2:J$801,$W238)))</f>
        <v/>
      </c>
      <c r="K238" s="7">
        <f>IF($W238="","",IF(INDEX('Per Invoice'!K$2:K$801,$W238)="","",INDEX('Per Invoice'!K$2:K$801,$W238)))</f>
        <v/>
      </c>
      <c r="L238" s="14">
        <f>IF($W238="","",IF(INDEX('Per Invoice'!L$2:L$801,$W238)="","",INDEX('Per Invoice'!L$2:L$801,$W238)))</f>
        <v/>
      </c>
      <c r="M238">
        <f>IF($W238="","",IF(INDEX('Per Invoice'!M$2:M$801,$W238)="","",INDEX('Per Invoice'!M$2:M$801,$W238)))</f>
        <v/>
      </c>
      <c r="N238" s="7">
        <f>IF($W238="","",IF(INDEX('Per Invoice'!N$2:N$801,$W238)="","",INDEX('Per Invoice'!N$2:N$801,$W238)))</f>
        <v/>
      </c>
      <c r="O238" s="7">
        <f>IF($W238="","",IF(INDEX('Per Invoice'!O$2:O$801,$W238)="","",INDEX('Per Invoice'!O$2:O$801,$W238)))</f>
        <v/>
      </c>
      <c r="P238">
        <f>IF($W238="","",IF(INDEX('Per Invoice'!P$2:P$801,$W238)="","",INDEX('Per Invoice'!P$2:P$801,$W238)))</f>
        <v/>
      </c>
      <c r="Q238" s="7">
        <f>IF($W238="","",IF(INDEX('Per Invoice'!Q$2:Q$801,$W238)="","",INDEX('Per Invoice'!Q$2:Q$801,$W238)))</f>
        <v/>
      </c>
      <c r="R238" s="7">
        <f>IF($W238="","",IF(INDEX('Per Invoice'!R$2:R$801,$W238)="","",INDEX('Per Invoice'!R$2:R$801,$W238)))</f>
        <v/>
      </c>
      <c r="S238" s="7">
        <f>IF($W238="","",IF(INDEX('Per Invoice'!S$2:S$801,$W238)="","",INDEX('Per Invoice'!S$2:S$801,$W238)))</f>
        <v/>
      </c>
      <c r="T238" s="7">
        <f>IF($W238="","",IF(INDEX('Per Invoice'!T$2:T$801,$W238)="","",INDEX('Per Invoice'!T$2:T$801,$W238)))</f>
        <v/>
      </c>
      <c r="U238" s="7">
        <f>IF($W238="","",IF(INDEX('Per Invoice'!U$2:U$801,$W238)="","",INDEX('Per Invoice'!U$2:U$801,$W238)))</f>
        <v/>
      </c>
      <c r="V238" s="7">
        <f>IF($W238="","",IF(INDEX('Per Invoice'!V$2:V$801,$W238)="","",INDEX('Per Invoice'!V$2:V$801,$W238)))</f>
        <v/>
      </c>
      <c r="W238" s="16">
        <f>IFERROR(MATCH(Settings!$C$28&amp;"|"&amp;ROWS($W$2:$W238),'Per Invoice'!$X$2:$X$801,0),"")</f>
        <v/>
      </c>
    </row>
    <row r="239">
      <c r="A239">
        <f>IF($W239="","",IF(INDEX('Per Invoice'!A$2:A$801,$W239)="","",INDEX('Per Invoice'!A$2:A$801,$W239)))</f>
        <v/>
      </c>
      <c r="B239">
        <f>IF($W239="","",IF(INDEX('Per Invoice'!B$2:B$801,$W239)="","",INDEX('Per Invoice'!B$2:B$801,$W239)))</f>
        <v/>
      </c>
      <c r="C239">
        <f>IF($W239="","",IF(INDEX('Per Invoice'!C$2:C$801,$W239)="","",INDEX('Per Invoice'!C$2:C$801,$W239)))</f>
        <v/>
      </c>
      <c r="D239">
        <f>IF($W239="","",IF(INDEX('Per Invoice'!D$2:D$801,$W239)="","",INDEX('Per Invoice'!D$2:D$801,$W239)))</f>
        <v/>
      </c>
      <c r="E239">
        <f>IF($W239="","",IF(INDEX('Per Invoice'!E$2:E$801,$W239)="","",INDEX('Per Invoice'!E$2:E$801,$W239)))</f>
        <v/>
      </c>
      <c r="F239">
        <f>IF($W239="","",IF(INDEX('Per Invoice'!F$2:F$801,$W239)="","",INDEX('Per Invoice'!F$2:F$801,$W239)))</f>
        <v/>
      </c>
      <c r="G239">
        <f>IF($W239="","",IF(INDEX('Per Invoice'!G$2:G$801,$W239)="","",INDEX('Per Invoice'!G$2:G$801,$W239)))</f>
        <v/>
      </c>
      <c r="H239">
        <f>IF($W239="","",IF(INDEX('Per Invoice'!H$2:H$801,$W239)="","",INDEX('Per Invoice'!H$2:H$801,$W239)))</f>
        <v/>
      </c>
      <c r="I239">
        <f>IF($W239="","",IF(INDEX('Per Invoice'!I$2:I$801,$W239)="","",INDEX('Per Invoice'!I$2:I$801,$W239)))</f>
        <v/>
      </c>
      <c r="J239">
        <f>IF($W239="","",IF(INDEX('Per Invoice'!J$2:J$801,$W239)="","",INDEX('Per Invoice'!J$2:J$801,$W239)))</f>
        <v/>
      </c>
      <c r="K239" s="7">
        <f>IF($W239="","",IF(INDEX('Per Invoice'!K$2:K$801,$W239)="","",INDEX('Per Invoice'!K$2:K$801,$W239)))</f>
        <v/>
      </c>
      <c r="L239" s="14">
        <f>IF($W239="","",IF(INDEX('Per Invoice'!L$2:L$801,$W239)="","",INDEX('Per Invoice'!L$2:L$801,$W239)))</f>
        <v/>
      </c>
      <c r="M239">
        <f>IF($W239="","",IF(INDEX('Per Invoice'!M$2:M$801,$W239)="","",INDEX('Per Invoice'!M$2:M$801,$W239)))</f>
        <v/>
      </c>
      <c r="N239" s="7">
        <f>IF($W239="","",IF(INDEX('Per Invoice'!N$2:N$801,$W239)="","",INDEX('Per Invoice'!N$2:N$801,$W239)))</f>
        <v/>
      </c>
      <c r="O239" s="7">
        <f>IF($W239="","",IF(INDEX('Per Invoice'!O$2:O$801,$W239)="","",INDEX('Per Invoice'!O$2:O$801,$W239)))</f>
        <v/>
      </c>
      <c r="P239">
        <f>IF($W239="","",IF(INDEX('Per Invoice'!P$2:P$801,$W239)="","",INDEX('Per Invoice'!P$2:P$801,$W239)))</f>
        <v/>
      </c>
      <c r="Q239" s="7">
        <f>IF($W239="","",IF(INDEX('Per Invoice'!Q$2:Q$801,$W239)="","",INDEX('Per Invoice'!Q$2:Q$801,$W239)))</f>
        <v/>
      </c>
      <c r="R239" s="7">
        <f>IF($W239="","",IF(INDEX('Per Invoice'!R$2:R$801,$W239)="","",INDEX('Per Invoice'!R$2:R$801,$W239)))</f>
        <v/>
      </c>
      <c r="S239" s="7">
        <f>IF($W239="","",IF(INDEX('Per Invoice'!S$2:S$801,$W239)="","",INDEX('Per Invoice'!S$2:S$801,$W239)))</f>
        <v/>
      </c>
      <c r="T239" s="7">
        <f>IF($W239="","",IF(INDEX('Per Invoice'!T$2:T$801,$W239)="","",INDEX('Per Invoice'!T$2:T$801,$W239)))</f>
        <v/>
      </c>
      <c r="U239" s="7">
        <f>IF($W239="","",IF(INDEX('Per Invoice'!U$2:U$801,$W239)="","",INDEX('Per Invoice'!U$2:U$801,$W239)))</f>
        <v/>
      </c>
      <c r="V239" s="7">
        <f>IF($W239="","",IF(INDEX('Per Invoice'!V$2:V$801,$W239)="","",INDEX('Per Invoice'!V$2:V$801,$W239)))</f>
        <v/>
      </c>
      <c r="W239" s="16">
        <f>IFERROR(MATCH(Settings!$C$28&amp;"|"&amp;ROWS($W$2:$W239),'Per Invoice'!$X$2:$X$801,0),"")</f>
        <v/>
      </c>
    </row>
    <row r="240">
      <c r="A240">
        <f>IF($W240="","",IF(INDEX('Per Invoice'!A$2:A$801,$W240)="","",INDEX('Per Invoice'!A$2:A$801,$W240)))</f>
        <v/>
      </c>
      <c r="B240">
        <f>IF($W240="","",IF(INDEX('Per Invoice'!B$2:B$801,$W240)="","",INDEX('Per Invoice'!B$2:B$801,$W240)))</f>
        <v/>
      </c>
      <c r="C240">
        <f>IF($W240="","",IF(INDEX('Per Invoice'!C$2:C$801,$W240)="","",INDEX('Per Invoice'!C$2:C$801,$W240)))</f>
        <v/>
      </c>
      <c r="D240">
        <f>IF($W240="","",IF(INDEX('Per Invoice'!D$2:D$801,$W240)="","",INDEX('Per Invoice'!D$2:D$801,$W240)))</f>
        <v/>
      </c>
      <c r="E240">
        <f>IF($W240="","",IF(INDEX('Per Invoice'!E$2:E$801,$W240)="","",INDEX('Per Invoice'!E$2:E$801,$W240)))</f>
        <v/>
      </c>
      <c r="F240">
        <f>IF($W240="","",IF(INDEX('Per Invoice'!F$2:F$801,$W240)="","",INDEX('Per Invoice'!F$2:F$801,$W240)))</f>
        <v/>
      </c>
      <c r="G240">
        <f>IF($W240="","",IF(INDEX('Per Invoice'!G$2:G$801,$W240)="","",INDEX('Per Invoice'!G$2:G$801,$W240)))</f>
        <v/>
      </c>
      <c r="H240">
        <f>IF($W240="","",IF(INDEX('Per Invoice'!H$2:H$801,$W240)="","",INDEX('Per Invoice'!H$2:H$801,$W240)))</f>
        <v/>
      </c>
      <c r="I240">
        <f>IF($W240="","",IF(INDEX('Per Invoice'!I$2:I$801,$W240)="","",INDEX('Per Invoice'!I$2:I$801,$W240)))</f>
        <v/>
      </c>
      <c r="J240">
        <f>IF($W240="","",IF(INDEX('Per Invoice'!J$2:J$801,$W240)="","",INDEX('Per Invoice'!J$2:J$801,$W240)))</f>
        <v/>
      </c>
      <c r="K240" s="7">
        <f>IF($W240="","",IF(INDEX('Per Invoice'!K$2:K$801,$W240)="","",INDEX('Per Invoice'!K$2:K$801,$W240)))</f>
        <v/>
      </c>
      <c r="L240" s="14">
        <f>IF($W240="","",IF(INDEX('Per Invoice'!L$2:L$801,$W240)="","",INDEX('Per Invoice'!L$2:L$801,$W240)))</f>
        <v/>
      </c>
      <c r="M240">
        <f>IF($W240="","",IF(INDEX('Per Invoice'!M$2:M$801,$W240)="","",INDEX('Per Invoice'!M$2:M$801,$W240)))</f>
        <v/>
      </c>
      <c r="N240" s="7">
        <f>IF($W240="","",IF(INDEX('Per Invoice'!N$2:N$801,$W240)="","",INDEX('Per Invoice'!N$2:N$801,$W240)))</f>
        <v/>
      </c>
      <c r="O240" s="7">
        <f>IF($W240="","",IF(INDEX('Per Invoice'!O$2:O$801,$W240)="","",INDEX('Per Invoice'!O$2:O$801,$W240)))</f>
        <v/>
      </c>
      <c r="P240">
        <f>IF($W240="","",IF(INDEX('Per Invoice'!P$2:P$801,$W240)="","",INDEX('Per Invoice'!P$2:P$801,$W240)))</f>
        <v/>
      </c>
      <c r="Q240" s="7">
        <f>IF($W240="","",IF(INDEX('Per Invoice'!Q$2:Q$801,$W240)="","",INDEX('Per Invoice'!Q$2:Q$801,$W240)))</f>
        <v/>
      </c>
      <c r="R240" s="7">
        <f>IF($W240="","",IF(INDEX('Per Invoice'!R$2:R$801,$W240)="","",INDEX('Per Invoice'!R$2:R$801,$W240)))</f>
        <v/>
      </c>
      <c r="S240" s="7">
        <f>IF($W240="","",IF(INDEX('Per Invoice'!S$2:S$801,$W240)="","",INDEX('Per Invoice'!S$2:S$801,$W240)))</f>
        <v/>
      </c>
      <c r="T240" s="7">
        <f>IF($W240="","",IF(INDEX('Per Invoice'!T$2:T$801,$W240)="","",INDEX('Per Invoice'!T$2:T$801,$W240)))</f>
        <v/>
      </c>
      <c r="U240" s="7">
        <f>IF($W240="","",IF(INDEX('Per Invoice'!U$2:U$801,$W240)="","",INDEX('Per Invoice'!U$2:U$801,$W240)))</f>
        <v/>
      </c>
      <c r="V240" s="7">
        <f>IF($W240="","",IF(INDEX('Per Invoice'!V$2:V$801,$W240)="","",INDEX('Per Invoice'!V$2:V$801,$W240)))</f>
        <v/>
      </c>
      <c r="W240" s="16">
        <f>IFERROR(MATCH(Settings!$C$28&amp;"|"&amp;ROWS($W$2:$W240),'Per Invoice'!$X$2:$X$801,0),"")</f>
        <v/>
      </c>
    </row>
    <row r="241">
      <c r="A241">
        <f>IF($W241="","",IF(INDEX('Per Invoice'!A$2:A$801,$W241)="","",INDEX('Per Invoice'!A$2:A$801,$W241)))</f>
        <v/>
      </c>
      <c r="B241">
        <f>IF($W241="","",IF(INDEX('Per Invoice'!B$2:B$801,$W241)="","",INDEX('Per Invoice'!B$2:B$801,$W241)))</f>
        <v/>
      </c>
      <c r="C241">
        <f>IF($W241="","",IF(INDEX('Per Invoice'!C$2:C$801,$W241)="","",INDEX('Per Invoice'!C$2:C$801,$W241)))</f>
        <v/>
      </c>
      <c r="D241">
        <f>IF($W241="","",IF(INDEX('Per Invoice'!D$2:D$801,$W241)="","",INDEX('Per Invoice'!D$2:D$801,$W241)))</f>
        <v/>
      </c>
      <c r="E241">
        <f>IF($W241="","",IF(INDEX('Per Invoice'!E$2:E$801,$W241)="","",INDEX('Per Invoice'!E$2:E$801,$W241)))</f>
        <v/>
      </c>
      <c r="F241">
        <f>IF($W241="","",IF(INDEX('Per Invoice'!F$2:F$801,$W241)="","",INDEX('Per Invoice'!F$2:F$801,$W241)))</f>
        <v/>
      </c>
      <c r="G241">
        <f>IF($W241="","",IF(INDEX('Per Invoice'!G$2:G$801,$W241)="","",INDEX('Per Invoice'!G$2:G$801,$W241)))</f>
        <v/>
      </c>
      <c r="H241">
        <f>IF($W241="","",IF(INDEX('Per Invoice'!H$2:H$801,$W241)="","",INDEX('Per Invoice'!H$2:H$801,$W241)))</f>
        <v/>
      </c>
      <c r="I241">
        <f>IF($W241="","",IF(INDEX('Per Invoice'!I$2:I$801,$W241)="","",INDEX('Per Invoice'!I$2:I$801,$W241)))</f>
        <v/>
      </c>
      <c r="J241">
        <f>IF($W241="","",IF(INDEX('Per Invoice'!J$2:J$801,$W241)="","",INDEX('Per Invoice'!J$2:J$801,$W241)))</f>
        <v/>
      </c>
      <c r="K241" s="7">
        <f>IF($W241="","",IF(INDEX('Per Invoice'!K$2:K$801,$W241)="","",INDEX('Per Invoice'!K$2:K$801,$W241)))</f>
        <v/>
      </c>
      <c r="L241" s="14">
        <f>IF($W241="","",IF(INDEX('Per Invoice'!L$2:L$801,$W241)="","",INDEX('Per Invoice'!L$2:L$801,$W241)))</f>
        <v/>
      </c>
      <c r="M241">
        <f>IF($W241="","",IF(INDEX('Per Invoice'!M$2:M$801,$W241)="","",INDEX('Per Invoice'!M$2:M$801,$W241)))</f>
        <v/>
      </c>
      <c r="N241" s="7">
        <f>IF($W241="","",IF(INDEX('Per Invoice'!N$2:N$801,$W241)="","",INDEX('Per Invoice'!N$2:N$801,$W241)))</f>
        <v/>
      </c>
      <c r="O241" s="7">
        <f>IF($W241="","",IF(INDEX('Per Invoice'!O$2:O$801,$W241)="","",INDEX('Per Invoice'!O$2:O$801,$W241)))</f>
        <v/>
      </c>
      <c r="P241">
        <f>IF($W241="","",IF(INDEX('Per Invoice'!P$2:P$801,$W241)="","",INDEX('Per Invoice'!P$2:P$801,$W241)))</f>
        <v/>
      </c>
      <c r="Q241" s="7">
        <f>IF($W241="","",IF(INDEX('Per Invoice'!Q$2:Q$801,$W241)="","",INDEX('Per Invoice'!Q$2:Q$801,$W241)))</f>
        <v/>
      </c>
      <c r="R241" s="7">
        <f>IF($W241="","",IF(INDEX('Per Invoice'!R$2:R$801,$W241)="","",INDEX('Per Invoice'!R$2:R$801,$W241)))</f>
        <v/>
      </c>
      <c r="S241" s="7">
        <f>IF($W241="","",IF(INDEX('Per Invoice'!S$2:S$801,$W241)="","",INDEX('Per Invoice'!S$2:S$801,$W241)))</f>
        <v/>
      </c>
      <c r="T241" s="7">
        <f>IF($W241="","",IF(INDEX('Per Invoice'!T$2:T$801,$W241)="","",INDEX('Per Invoice'!T$2:T$801,$W241)))</f>
        <v/>
      </c>
      <c r="U241" s="7">
        <f>IF($W241="","",IF(INDEX('Per Invoice'!U$2:U$801,$W241)="","",INDEX('Per Invoice'!U$2:U$801,$W241)))</f>
        <v/>
      </c>
      <c r="V241" s="7">
        <f>IF($W241="","",IF(INDEX('Per Invoice'!V$2:V$801,$W241)="","",INDEX('Per Invoice'!V$2:V$801,$W241)))</f>
        <v/>
      </c>
      <c r="W241" s="16">
        <f>IFERROR(MATCH(Settings!$C$28&amp;"|"&amp;ROWS($W$2:$W241),'Per Invoice'!$X$2:$X$801,0),"")</f>
        <v/>
      </c>
    </row>
    <row r="242">
      <c r="A242">
        <f>IF($W242="","",IF(INDEX('Per Invoice'!A$2:A$801,$W242)="","",INDEX('Per Invoice'!A$2:A$801,$W242)))</f>
        <v/>
      </c>
      <c r="B242">
        <f>IF($W242="","",IF(INDEX('Per Invoice'!B$2:B$801,$W242)="","",INDEX('Per Invoice'!B$2:B$801,$W242)))</f>
        <v/>
      </c>
      <c r="C242">
        <f>IF($W242="","",IF(INDEX('Per Invoice'!C$2:C$801,$W242)="","",INDEX('Per Invoice'!C$2:C$801,$W242)))</f>
        <v/>
      </c>
      <c r="D242">
        <f>IF($W242="","",IF(INDEX('Per Invoice'!D$2:D$801,$W242)="","",INDEX('Per Invoice'!D$2:D$801,$W242)))</f>
        <v/>
      </c>
      <c r="E242">
        <f>IF($W242="","",IF(INDEX('Per Invoice'!E$2:E$801,$W242)="","",INDEX('Per Invoice'!E$2:E$801,$W242)))</f>
        <v/>
      </c>
      <c r="F242">
        <f>IF($W242="","",IF(INDEX('Per Invoice'!F$2:F$801,$W242)="","",INDEX('Per Invoice'!F$2:F$801,$W242)))</f>
        <v/>
      </c>
      <c r="G242">
        <f>IF($W242="","",IF(INDEX('Per Invoice'!G$2:G$801,$W242)="","",INDEX('Per Invoice'!G$2:G$801,$W242)))</f>
        <v/>
      </c>
      <c r="H242">
        <f>IF($W242="","",IF(INDEX('Per Invoice'!H$2:H$801,$W242)="","",INDEX('Per Invoice'!H$2:H$801,$W242)))</f>
        <v/>
      </c>
      <c r="I242">
        <f>IF($W242="","",IF(INDEX('Per Invoice'!I$2:I$801,$W242)="","",INDEX('Per Invoice'!I$2:I$801,$W242)))</f>
        <v/>
      </c>
      <c r="J242">
        <f>IF($W242="","",IF(INDEX('Per Invoice'!J$2:J$801,$W242)="","",INDEX('Per Invoice'!J$2:J$801,$W242)))</f>
        <v/>
      </c>
      <c r="K242" s="7">
        <f>IF($W242="","",IF(INDEX('Per Invoice'!K$2:K$801,$W242)="","",INDEX('Per Invoice'!K$2:K$801,$W242)))</f>
        <v/>
      </c>
      <c r="L242" s="14">
        <f>IF($W242="","",IF(INDEX('Per Invoice'!L$2:L$801,$W242)="","",INDEX('Per Invoice'!L$2:L$801,$W242)))</f>
        <v/>
      </c>
      <c r="M242">
        <f>IF($W242="","",IF(INDEX('Per Invoice'!M$2:M$801,$W242)="","",INDEX('Per Invoice'!M$2:M$801,$W242)))</f>
        <v/>
      </c>
      <c r="N242" s="7">
        <f>IF($W242="","",IF(INDEX('Per Invoice'!N$2:N$801,$W242)="","",INDEX('Per Invoice'!N$2:N$801,$W242)))</f>
        <v/>
      </c>
      <c r="O242" s="7">
        <f>IF($W242="","",IF(INDEX('Per Invoice'!O$2:O$801,$W242)="","",INDEX('Per Invoice'!O$2:O$801,$W242)))</f>
        <v/>
      </c>
      <c r="P242">
        <f>IF($W242="","",IF(INDEX('Per Invoice'!P$2:P$801,$W242)="","",INDEX('Per Invoice'!P$2:P$801,$W242)))</f>
        <v/>
      </c>
      <c r="Q242" s="7">
        <f>IF($W242="","",IF(INDEX('Per Invoice'!Q$2:Q$801,$W242)="","",INDEX('Per Invoice'!Q$2:Q$801,$W242)))</f>
        <v/>
      </c>
      <c r="R242" s="7">
        <f>IF($W242="","",IF(INDEX('Per Invoice'!R$2:R$801,$W242)="","",INDEX('Per Invoice'!R$2:R$801,$W242)))</f>
        <v/>
      </c>
      <c r="S242" s="7">
        <f>IF($W242="","",IF(INDEX('Per Invoice'!S$2:S$801,$W242)="","",INDEX('Per Invoice'!S$2:S$801,$W242)))</f>
        <v/>
      </c>
      <c r="T242" s="7">
        <f>IF($W242="","",IF(INDEX('Per Invoice'!T$2:T$801,$W242)="","",INDEX('Per Invoice'!T$2:T$801,$W242)))</f>
        <v/>
      </c>
      <c r="U242" s="7">
        <f>IF($W242="","",IF(INDEX('Per Invoice'!U$2:U$801,$W242)="","",INDEX('Per Invoice'!U$2:U$801,$W242)))</f>
        <v/>
      </c>
      <c r="V242" s="7">
        <f>IF($W242="","",IF(INDEX('Per Invoice'!V$2:V$801,$W242)="","",INDEX('Per Invoice'!V$2:V$801,$W242)))</f>
        <v/>
      </c>
      <c r="W242" s="16">
        <f>IFERROR(MATCH(Settings!$C$28&amp;"|"&amp;ROWS($W$2:$W242),'Per Invoice'!$X$2:$X$801,0),"")</f>
        <v/>
      </c>
    </row>
    <row r="243">
      <c r="A243">
        <f>IF($W243="","",IF(INDEX('Per Invoice'!A$2:A$801,$W243)="","",INDEX('Per Invoice'!A$2:A$801,$W243)))</f>
        <v/>
      </c>
      <c r="B243">
        <f>IF($W243="","",IF(INDEX('Per Invoice'!B$2:B$801,$W243)="","",INDEX('Per Invoice'!B$2:B$801,$W243)))</f>
        <v/>
      </c>
      <c r="C243">
        <f>IF($W243="","",IF(INDEX('Per Invoice'!C$2:C$801,$W243)="","",INDEX('Per Invoice'!C$2:C$801,$W243)))</f>
        <v/>
      </c>
      <c r="D243">
        <f>IF($W243="","",IF(INDEX('Per Invoice'!D$2:D$801,$W243)="","",INDEX('Per Invoice'!D$2:D$801,$W243)))</f>
        <v/>
      </c>
      <c r="E243">
        <f>IF($W243="","",IF(INDEX('Per Invoice'!E$2:E$801,$W243)="","",INDEX('Per Invoice'!E$2:E$801,$W243)))</f>
        <v/>
      </c>
      <c r="F243">
        <f>IF($W243="","",IF(INDEX('Per Invoice'!F$2:F$801,$W243)="","",INDEX('Per Invoice'!F$2:F$801,$W243)))</f>
        <v/>
      </c>
      <c r="G243">
        <f>IF($W243="","",IF(INDEX('Per Invoice'!G$2:G$801,$W243)="","",INDEX('Per Invoice'!G$2:G$801,$W243)))</f>
        <v/>
      </c>
      <c r="H243">
        <f>IF($W243="","",IF(INDEX('Per Invoice'!H$2:H$801,$W243)="","",INDEX('Per Invoice'!H$2:H$801,$W243)))</f>
        <v/>
      </c>
      <c r="I243">
        <f>IF($W243="","",IF(INDEX('Per Invoice'!I$2:I$801,$W243)="","",INDEX('Per Invoice'!I$2:I$801,$W243)))</f>
        <v/>
      </c>
      <c r="J243">
        <f>IF($W243="","",IF(INDEX('Per Invoice'!J$2:J$801,$W243)="","",INDEX('Per Invoice'!J$2:J$801,$W243)))</f>
        <v/>
      </c>
      <c r="K243" s="7">
        <f>IF($W243="","",IF(INDEX('Per Invoice'!K$2:K$801,$W243)="","",INDEX('Per Invoice'!K$2:K$801,$W243)))</f>
        <v/>
      </c>
      <c r="L243" s="14">
        <f>IF($W243="","",IF(INDEX('Per Invoice'!L$2:L$801,$W243)="","",INDEX('Per Invoice'!L$2:L$801,$W243)))</f>
        <v/>
      </c>
      <c r="M243">
        <f>IF($W243="","",IF(INDEX('Per Invoice'!M$2:M$801,$W243)="","",INDEX('Per Invoice'!M$2:M$801,$W243)))</f>
        <v/>
      </c>
      <c r="N243" s="7">
        <f>IF($W243="","",IF(INDEX('Per Invoice'!N$2:N$801,$W243)="","",INDEX('Per Invoice'!N$2:N$801,$W243)))</f>
        <v/>
      </c>
      <c r="O243" s="7">
        <f>IF($W243="","",IF(INDEX('Per Invoice'!O$2:O$801,$W243)="","",INDEX('Per Invoice'!O$2:O$801,$W243)))</f>
        <v/>
      </c>
      <c r="P243">
        <f>IF($W243="","",IF(INDEX('Per Invoice'!P$2:P$801,$W243)="","",INDEX('Per Invoice'!P$2:P$801,$W243)))</f>
        <v/>
      </c>
      <c r="Q243" s="7">
        <f>IF($W243="","",IF(INDEX('Per Invoice'!Q$2:Q$801,$W243)="","",INDEX('Per Invoice'!Q$2:Q$801,$W243)))</f>
        <v/>
      </c>
      <c r="R243" s="7">
        <f>IF($W243="","",IF(INDEX('Per Invoice'!R$2:R$801,$W243)="","",INDEX('Per Invoice'!R$2:R$801,$W243)))</f>
        <v/>
      </c>
      <c r="S243" s="7">
        <f>IF($W243="","",IF(INDEX('Per Invoice'!S$2:S$801,$W243)="","",INDEX('Per Invoice'!S$2:S$801,$W243)))</f>
        <v/>
      </c>
      <c r="T243" s="7">
        <f>IF($W243="","",IF(INDEX('Per Invoice'!T$2:T$801,$W243)="","",INDEX('Per Invoice'!T$2:T$801,$W243)))</f>
        <v/>
      </c>
      <c r="U243" s="7">
        <f>IF($W243="","",IF(INDEX('Per Invoice'!U$2:U$801,$W243)="","",INDEX('Per Invoice'!U$2:U$801,$W243)))</f>
        <v/>
      </c>
      <c r="V243" s="7">
        <f>IF($W243="","",IF(INDEX('Per Invoice'!V$2:V$801,$W243)="","",INDEX('Per Invoice'!V$2:V$801,$W243)))</f>
        <v/>
      </c>
      <c r="W243" s="16">
        <f>IFERROR(MATCH(Settings!$C$28&amp;"|"&amp;ROWS($W$2:$W243),'Per Invoice'!$X$2:$X$801,0),"")</f>
        <v/>
      </c>
    </row>
    <row r="244">
      <c r="A244">
        <f>IF($W244="","",IF(INDEX('Per Invoice'!A$2:A$801,$W244)="","",INDEX('Per Invoice'!A$2:A$801,$W244)))</f>
        <v/>
      </c>
      <c r="B244">
        <f>IF($W244="","",IF(INDEX('Per Invoice'!B$2:B$801,$W244)="","",INDEX('Per Invoice'!B$2:B$801,$W244)))</f>
        <v/>
      </c>
      <c r="C244">
        <f>IF($W244="","",IF(INDEX('Per Invoice'!C$2:C$801,$W244)="","",INDEX('Per Invoice'!C$2:C$801,$W244)))</f>
        <v/>
      </c>
      <c r="D244">
        <f>IF($W244="","",IF(INDEX('Per Invoice'!D$2:D$801,$W244)="","",INDEX('Per Invoice'!D$2:D$801,$W244)))</f>
        <v/>
      </c>
      <c r="E244">
        <f>IF($W244="","",IF(INDEX('Per Invoice'!E$2:E$801,$W244)="","",INDEX('Per Invoice'!E$2:E$801,$W244)))</f>
        <v/>
      </c>
      <c r="F244">
        <f>IF($W244="","",IF(INDEX('Per Invoice'!F$2:F$801,$W244)="","",INDEX('Per Invoice'!F$2:F$801,$W244)))</f>
        <v/>
      </c>
      <c r="G244">
        <f>IF($W244="","",IF(INDEX('Per Invoice'!G$2:G$801,$W244)="","",INDEX('Per Invoice'!G$2:G$801,$W244)))</f>
        <v/>
      </c>
      <c r="H244">
        <f>IF($W244="","",IF(INDEX('Per Invoice'!H$2:H$801,$W244)="","",INDEX('Per Invoice'!H$2:H$801,$W244)))</f>
        <v/>
      </c>
      <c r="I244">
        <f>IF($W244="","",IF(INDEX('Per Invoice'!I$2:I$801,$W244)="","",INDEX('Per Invoice'!I$2:I$801,$W244)))</f>
        <v/>
      </c>
      <c r="J244">
        <f>IF($W244="","",IF(INDEX('Per Invoice'!J$2:J$801,$W244)="","",INDEX('Per Invoice'!J$2:J$801,$W244)))</f>
        <v/>
      </c>
      <c r="K244" s="7">
        <f>IF($W244="","",IF(INDEX('Per Invoice'!K$2:K$801,$W244)="","",INDEX('Per Invoice'!K$2:K$801,$W244)))</f>
        <v/>
      </c>
      <c r="L244" s="14">
        <f>IF($W244="","",IF(INDEX('Per Invoice'!L$2:L$801,$W244)="","",INDEX('Per Invoice'!L$2:L$801,$W244)))</f>
        <v/>
      </c>
      <c r="M244">
        <f>IF($W244="","",IF(INDEX('Per Invoice'!M$2:M$801,$W244)="","",INDEX('Per Invoice'!M$2:M$801,$W244)))</f>
        <v/>
      </c>
      <c r="N244" s="7">
        <f>IF($W244="","",IF(INDEX('Per Invoice'!N$2:N$801,$W244)="","",INDEX('Per Invoice'!N$2:N$801,$W244)))</f>
        <v/>
      </c>
      <c r="O244" s="7">
        <f>IF($W244="","",IF(INDEX('Per Invoice'!O$2:O$801,$W244)="","",INDEX('Per Invoice'!O$2:O$801,$W244)))</f>
        <v/>
      </c>
      <c r="P244">
        <f>IF($W244="","",IF(INDEX('Per Invoice'!P$2:P$801,$W244)="","",INDEX('Per Invoice'!P$2:P$801,$W244)))</f>
        <v/>
      </c>
      <c r="Q244" s="7">
        <f>IF($W244="","",IF(INDEX('Per Invoice'!Q$2:Q$801,$W244)="","",INDEX('Per Invoice'!Q$2:Q$801,$W244)))</f>
        <v/>
      </c>
      <c r="R244" s="7">
        <f>IF($W244="","",IF(INDEX('Per Invoice'!R$2:R$801,$W244)="","",INDEX('Per Invoice'!R$2:R$801,$W244)))</f>
        <v/>
      </c>
      <c r="S244" s="7">
        <f>IF($W244="","",IF(INDEX('Per Invoice'!S$2:S$801,$W244)="","",INDEX('Per Invoice'!S$2:S$801,$W244)))</f>
        <v/>
      </c>
      <c r="T244" s="7">
        <f>IF($W244="","",IF(INDEX('Per Invoice'!T$2:T$801,$W244)="","",INDEX('Per Invoice'!T$2:T$801,$W244)))</f>
        <v/>
      </c>
      <c r="U244" s="7">
        <f>IF($W244="","",IF(INDEX('Per Invoice'!U$2:U$801,$W244)="","",INDEX('Per Invoice'!U$2:U$801,$W244)))</f>
        <v/>
      </c>
      <c r="V244" s="7">
        <f>IF($W244="","",IF(INDEX('Per Invoice'!V$2:V$801,$W244)="","",INDEX('Per Invoice'!V$2:V$801,$W244)))</f>
        <v/>
      </c>
      <c r="W244" s="16">
        <f>IFERROR(MATCH(Settings!$C$28&amp;"|"&amp;ROWS($W$2:$W244),'Per Invoice'!$X$2:$X$801,0),"")</f>
        <v/>
      </c>
    </row>
    <row r="245">
      <c r="A245">
        <f>IF($W245="","",IF(INDEX('Per Invoice'!A$2:A$801,$W245)="","",INDEX('Per Invoice'!A$2:A$801,$W245)))</f>
        <v/>
      </c>
      <c r="B245">
        <f>IF($W245="","",IF(INDEX('Per Invoice'!B$2:B$801,$W245)="","",INDEX('Per Invoice'!B$2:B$801,$W245)))</f>
        <v/>
      </c>
      <c r="C245">
        <f>IF($W245="","",IF(INDEX('Per Invoice'!C$2:C$801,$W245)="","",INDEX('Per Invoice'!C$2:C$801,$W245)))</f>
        <v/>
      </c>
      <c r="D245">
        <f>IF($W245="","",IF(INDEX('Per Invoice'!D$2:D$801,$W245)="","",INDEX('Per Invoice'!D$2:D$801,$W245)))</f>
        <v/>
      </c>
      <c r="E245">
        <f>IF($W245="","",IF(INDEX('Per Invoice'!E$2:E$801,$W245)="","",INDEX('Per Invoice'!E$2:E$801,$W245)))</f>
        <v/>
      </c>
      <c r="F245">
        <f>IF($W245="","",IF(INDEX('Per Invoice'!F$2:F$801,$W245)="","",INDEX('Per Invoice'!F$2:F$801,$W245)))</f>
        <v/>
      </c>
      <c r="G245">
        <f>IF($W245="","",IF(INDEX('Per Invoice'!G$2:G$801,$W245)="","",INDEX('Per Invoice'!G$2:G$801,$W245)))</f>
        <v/>
      </c>
      <c r="H245">
        <f>IF($W245="","",IF(INDEX('Per Invoice'!H$2:H$801,$W245)="","",INDEX('Per Invoice'!H$2:H$801,$W245)))</f>
        <v/>
      </c>
      <c r="I245">
        <f>IF($W245="","",IF(INDEX('Per Invoice'!I$2:I$801,$W245)="","",INDEX('Per Invoice'!I$2:I$801,$W245)))</f>
        <v/>
      </c>
      <c r="J245">
        <f>IF($W245="","",IF(INDEX('Per Invoice'!J$2:J$801,$W245)="","",INDEX('Per Invoice'!J$2:J$801,$W245)))</f>
        <v/>
      </c>
      <c r="K245" s="7">
        <f>IF($W245="","",IF(INDEX('Per Invoice'!K$2:K$801,$W245)="","",INDEX('Per Invoice'!K$2:K$801,$W245)))</f>
        <v/>
      </c>
      <c r="L245" s="14">
        <f>IF($W245="","",IF(INDEX('Per Invoice'!L$2:L$801,$W245)="","",INDEX('Per Invoice'!L$2:L$801,$W245)))</f>
        <v/>
      </c>
      <c r="M245">
        <f>IF($W245="","",IF(INDEX('Per Invoice'!M$2:M$801,$W245)="","",INDEX('Per Invoice'!M$2:M$801,$W245)))</f>
        <v/>
      </c>
      <c r="N245" s="7">
        <f>IF($W245="","",IF(INDEX('Per Invoice'!N$2:N$801,$W245)="","",INDEX('Per Invoice'!N$2:N$801,$W245)))</f>
        <v/>
      </c>
      <c r="O245" s="7">
        <f>IF($W245="","",IF(INDEX('Per Invoice'!O$2:O$801,$W245)="","",INDEX('Per Invoice'!O$2:O$801,$W245)))</f>
        <v/>
      </c>
      <c r="P245">
        <f>IF($W245="","",IF(INDEX('Per Invoice'!P$2:P$801,$W245)="","",INDEX('Per Invoice'!P$2:P$801,$W245)))</f>
        <v/>
      </c>
      <c r="Q245" s="7">
        <f>IF($W245="","",IF(INDEX('Per Invoice'!Q$2:Q$801,$W245)="","",INDEX('Per Invoice'!Q$2:Q$801,$W245)))</f>
        <v/>
      </c>
      <c r="R245" s="7">
        <f>IF($W245="","",IF(INDEX('Per Invoice'!R$2:R$801,$W245)="","",INDEX('Per Invoice'!R$2:R$801,$W245)))</f>
        <v/>
      </c>
      <c r="S245" s="7">
        <f>IF($W245="","",IF(INDEX('Per Invoice'!S$2:S$801,$W245)="","",INDEX('Per Invoice'!S$2:S$801,$W245)))</f>
        <v/>
      </c>
      <c r="T245" s="7">
        <f>IF($W245="","",IF(INDEX('Per Invoice'!T$2:T$801,$W245)="","",INDEX('Per Invoice'!T$2:T$801,$W245)))</f>
        <v/>
      </c>
      <c r="U245" s="7">
        <f>IF($W245="","",IF(INDEX('Per Invoice'!U$2:U$801,$W245)="","",INDEX('Per Invoice'!U$2:U$801,$W245)))</f>
        <v/>
      </c>
      <c r="V245" s="7">
        <f>IF($W245="","",IF(INDEX('Per Invoice'!V$2:V$801,$W245)="","",INDEX('Per Invoice'!V$2:V$801,$W245)))</f>
        <v/>
      </c>
      <c r="W245" s="16">
        <f>IFERROR(MATCH(Settings!$C$28&amp;"|"&amp;ROWS($W$2:$W245),'Per Invoice'!$X$2:$X$801,0),"")</f>
        <v/>
      </c>
    </row>
    <row r="246">
      <c r="A246">
        <f>IF($W246="","",IF(INDEX('Per Invoice'!A$2:A$801,$W246)="","",INDEX('Per Invoice'!A$2:A$801,$W246)))</f>
        <v/>
      </c>
      <c r="B246">
        <f>IF($W246="","",IF(INDEX('Per Invoice'!B$2:B$801,$W246)="","",INDEX('Per Invoice'!B$2:B$801,$W246)))</f>
        <v/>
      </c>
      <c r="C246">
        <f>IF($W246="","",IF(INDEX('Per Invoice'!C$2:C$801,$W246)="","",INDEX('Per Invoice'!C$2:C$801,$W246)))</f>
        <v/>
      </c>
      <c r="D246">
        <f>IF($W246="","",IF(INDEX('Per Invoice'!D$2:D$801,$W246)="","",INDEX('Per Invoice'!D$2:D$801,$W246)))</f>
        <v/>
      </c>
      <c r="E246">
        <f>IF($W246="","",IF(INDEX('Per Invoice'!E$2:E$801,$W246)="","",INDEX('Per Invoice'!E$2:E$801,$W246)))</f>
        <v/>
      </c>
      <c r="F246">
        <f>IF($W246="","",IF(INDEX('Per Invoice'!F$2:F$801,$W246)="","",INDEX('Per Invoice'!F$2:F$801,$W246)))</f>
        <v/>
      </c>
      <c r="G246">
        <f>IF($W246="","",IF(INDEX('Per Invoice'!G$2:G$801,$W246)="","",INDEX('Per Invoice'!G$2:G$801,$W246)))</f>
        <v/>
      </c>
      <c r="H246">
        <f>IF($W246="","",IF(INDEX('Per Invoice'!H$2:H$801,$W246)="","",INDEX('Per Invoice'!H$2:H$801,$W246)))</f>
        <v/>
      </c>
      <c r="I246">
        <f>IF($W246="","",IF(INDEX('Per Invoice'!I$2:I$801,$W246)="","",INDEX('Per Invoice'!I$2:I$801,$W246)))</f>
        <v/>
      </c>
      <c r="J246">
        <f>IF($W246="","",IF(INDEX('Per Invoice'!J$2:J$801,$W246)="","",INDEX('Per Invoice'!J$2:J$801,$W246)))</f>
        <v/>
      </c>
      <c r="K246" s="7">
        <f>IF($W246="","",IF(INDEX('Per Invoice'!K$2:K$801,$W246)="","",INDEX('Per Invoice'!K$2:K$801,$W246)))</f>
        <v/>
      </c>
      <c r="L246" s="14">
        <f>IF($W246="","",IF(INDEX('Per Invoice'!L$2:L$801,$W246)="","",INDEX('Per Invoice'!L$2:L$801,$W246)))</f>
        <v/>
      </c>
      <c r="M246">
        <f>IF($W246="","",IF(INDEX('Per Invoice'!M$2:M$801,$W246)="","",INDEX('Per Invoice'!M$2:M$801,$W246)))</f>
        <v/>
      </c>
      <c r="N246" s="7">
        <f>IF($W246="","",IF(INDEX('Per Invoice'!N$2:N$801,$W246)="","",INDEX('Per Invoice'!N$2:N$801,$W246)))</f>
        <v/>
      </c>
      <c r="O246" s="7">
        <f>IF($W246="","",IF(INDEX('Per Invoice'!O$2:O$801,$W246)="","",INDEX('Per Invoice'!O$2:O$801,$W246)))</f>
        <v/>
      </c>
      <c r="P246">
        <f>IF($W246="","",IF(INDEX('Per Invoice'!P$2:P$801,$W246)="","",INDEX('Per Invoice'!P$2:P$801,$W246)))</f>
        <v/>
      </c>
      <c r="Q246" s="7">
        <f>IF($W246="","",IF(INDEX('Per Invoice'!Q$2:Q$801,$W246)="","",INDEX('Per Invoice'!Q$2:Q$801,$W246)))</f>
        <v/>
      </c>
      <c r="R246" s="7">
        <f>IF($W246="","",IF(INDEX('Per Invoice'!R$2:R$801,$W246)="","",INDEX('Per Invoice'!R$2:R$801,$W246)))</f>
        <v/>
      </c>
      <c r="S246" s="7">
        <f>IF($W246="","",IF(INDEX('Per Invoice'!S$2:S$801,$W246)="","",INDEX('Per Invoice'!S$2:S$801,$W246)))</f>
        <v/>
      </c>
      <c r="T246" s="7">
        <f>IF($W246="","",IF(INDEX('Per Invoice'!T$2:T$801,$W246)="","",INDEX('Per Invoice'!T$2:T$801,$W246)))</f>
        <v/>
      </c>
      <c r="U246" s="7">
        <f>IF($W246="","",IF(INDEX('Per Invoice'!U$2:U$801,$W246)="","",INDEX('Per Invoice'!U$2:U$801,$W246)))</f>
        <v/>
      </c>
      <c r="V246" s="7">
        <f>IF($W246="","",IF(INDEX('Per Invoice'!V$2:V$801,$W246)="","",INDEX('Per Invoice'!V$2:V$801,$W246)))</f>
        <v/>
      </c>
      <c r="W246" s="16">
        <f>IFERROR(MATCH(Settings!$C$28&amp;"|"&amp;ROWS($W$2:$W246),'Per Invoice'!$X$2:$X$801,0),"")</f>
        <v/>
      </c>
    </row>
    <row r="247">
      <c r="A247">
        <f>IF($W247="","",IF(INDEX('Per Invoice'!A$2:A$801,$W247)="","",INDEX('Per Invoice'!A$2:A$801,$W247)))</f>
        <v/>
      </c>
      <c r="B247">
        <f>IF($W247="","",IF(INDEX('Per Invoice'!B$2:B$801,$W247)="","",INDEX('Per Invoice'!B$2:B$801,$W247)))</f>
        <v/>
      </c>
      <c r="C247">
        <f>IF($W247="","",IF(INDEX('Per Invoice'!C$2:C$801,$W247)="","",INDEX('Per Invoice'!C$2:C$801,$W247)))</f>
        <v/>
      </c>
      <c r="D247">
        <f>IF($W247="","",IF(INDEX('Per Invoice'!D$2:D$801,$W247)="","",INDEX('Per Invoice'!D$2:D$801,$W247)))</f>
        <v/>
      </c>
      <c r="E247">
        <f>IF($W247="","",IF(INDEX('Per Invoice'!E$2:E$801,$W247)="","",INDEX('Per Invoice'!E$2:E$801,$W247)))</f>
        <v/>
      </c>
      <c r="F247">
        <f>IF($W247="","",IF(INDEX('Per Invoice'!F$2:F$801,$W247)="","",INDEX('Per Invoice'!F$2:F$801,$W247)))</f>
        <v/>
      </c>
      <c r="G247">
        <f>IF($W247="","",IF(INDEX('Per Invoice'!G$2:G$801,$W247)="","",INDEX('Per Invoice'!G$2:G$801,$W247)))</f>
        <v/>
      </c>
      <c r="H247">
        <f>IF($W247="","",IF(INDEX('Per Invoice'!H$2:H$801,$W247)="","",INDEX('Per Invoice'!H$2:H$801,$W247)))</f>
        <v/>
      </c>
      <c r="I247">
        <f>IF($W247="","",IF(INDEX('Per Invoice'!I$2:I$801,$W247)="","",INDEX('Per Invoice'!I$2:I$801,$W247)))</f>
        <v/>
      </c>
      <c r="J247">
        <f>IF($W247="","",IF(INDEX('Per Invoice'!J$2:J$801,$W247)="","",INDEX('Per Invoice'!J$2:J$801,$W247)))</f>
        <v/>
      </c>
      <c r="K247" s="7">
        <f>IF($W247="","",IF(INDEX('Per Invoice'!K$2:K$801,$W247)="","",INDEX('Per Invoice'!K$2:K$801,$W247)))</f>
        <v/>
      </c>
      <c r="L247" s="14">
        <f>IF($W247="","",IF(INDEX('Per Invoice'!L$2:L$801,$W247)="","",INDEX('Per Invoice'!L$2:L$801,$W247)))</f>
        <v/>
      </c>
      <c r="M247">
        <f>IF($W247="","",IF(INDEX('Per Invoice'!M$2:M$801,$W247)="","",INDEX('Per Invoice'!M$2:M$801,$W247)))</f>
        <v/>
      </c>
      <c r="N247" s="7">
        <f>IF($W247="","",IF(INDEX('Per Invoice'!N$2:N$801,$W247)="","",INDEX('Per Invoice'!N$2:N$801,$W247)))</f>
        <v/>
      </c>
      <c r="O247" s="7">
        <f>IF($W247="","",IF(INDEX('Per Invoice'!O$2:O$801,$W247)="","",INDEX('Per Invoice'!O$2:O$801,$W247)))</f>
        <v/>
      </c>
      <c r="P247">
        <f>IF($W247="","",IF(INDEX('Per Invoice'!P$2:P$801,$W247)="","",INDEX('Per Invoice'!P$2:P$801,$W247)))</f>
        <v/>
      </c>
      <c r="Q247" s="7">
        <f>IF($W247="","",IF(INDEX('Per Invoice'!Q$2:Q$801,$W247)="","",INDEX('Per Invoice'!Q$2:Q$801,$W247)))</f>
        <v/>
      </c>
      <c r="R247" s="7">
        <f>IF($W247="","",IF(INDEX('Per Invoice'!R$2:R$801,$W247)="","",INDEX('Per Invoice'!R$2:R$801,$W247)))</f>
        <v/>
      </c>
      <c r="S247" s="7">
        <f>IF($W247="","",IF(INDEX('Per Invoice'!S$2:S$801,$W247)="","",INDEX('Per Invoice'!S$2:S$801,$W247)))</f>
        <v/>
      </c>
      <c r="T247" s="7">
        <f>IF($W247="","",IF(INDEX('Per Invoice'!T$2:T$801,$W247)="","",INDEX('Per Invoice'!T$2:T$801,$W247)))</f>
        <v/>
      </c>
      <c r="U247" s="7">
        <f>IF($W247="","",IF(INDEX('Per Invoice'!U$2:U$801,$W247)="","",INDEX('Per Invoice'!U$2:U$801,$W247)))</f>
        <v/>
      </c>
      <c r="V247" s="7">
        <f>IF($W247="","",IF(INDEX('Per Invoice'!V$2:V$801,$W247)="","",INDEX('Per Invoice'!V$2:V$801,$W247)))</f>
        <v/>
      </c>
      <c r="W247" s="16">
        <f>IFERROR(MATCH(Settings!$C$28&amp;"|"&amp;ROWS($W$2:$W247),'Per Invoice'!$X$2:$X$801,0),"")</f>
        <v/>
      </c>
    </row>
    <row r="248">
      <c r="A248">
        <f>IF($W248="","",IF(INDEX('Per Invoice'!A$2:A$801,$W248)="","",INDEX('Per Invoice'!A$2:A$801,$W248)))</f>
        <v/>
      </c>
      <c r="B248">
        <f>IF($W248="","",IF(INDEX('Per Invoice'!B$2:B$801,$W248)="","",INDEX('Per Invoice'!B$2:B$801,$W248)))</f>
        <v/>
      </c>
      <c r="C248">
        <f>IF($W248="","",IF(INDEX('Per Invoice'!C$2:C$801,$W248)="","",INDEX('Per Invoice'!C$2:C$801,$W248)))</f>
        <v/>
      </c>
      <c r="D248">
        <f>IF($W248="","",IF(INDEX('Per Invoice'!D$2:D$801,$W248)="","",INDEX('Per Invoice'!D$2:D$801,$W248)))</f>
        <v/>
      </c>
      <c r="E248">
        <f>IF($W248="","",IF(INDEX('Per Invoice'!E$2:E$801,$W248)="","",INDEX('Per Invoice'!E$2:E$801,$W248)))</f>
        <v/>
      </c>
      <c r="F248">
        <f>IF($W248="","",IF(INDEX('Per Invoice'!F$2:F$801,$W248)="","",INDEX('Per Invoice'!F$2:F$801,$W248)))</f>
        <v/>
      </c>
      <c r="G248">
        <f>IF($W248="","",IF(INDEX('Per Invoice'!G$2:G$801,$W248)="","",INDEX('Per Invoice'!G$2:G$801,$W248)))</f>
        <v/>
      </c>
      <c r="H248">
        <f>IF($W248="","",IF(INDEX('Per Invoice'!H$2:H$801,$W248)="","",INDEX('Per Invoice'!H$2:H$801,$W248)))</f>
        <v/>
      </c>
      <c r="I248">
        <f>IF($W248="","",IF(INDEX('Per Invoice'!I$2:I$801,$W248)="","",INDEX('Per Invoice'!I$2:I$801,$W248)))</f>
        <v/>
      </c>
      <c r="J248">
        <f>IF($W248="","",IF(INDEX('Per Invoice'!J$2:J$801,$W248)="","",INDEX('Per Invoice'!J$2:J$801,$W248)))</f>
        <v/>
      </c>
      <c r="K248" s="7">
        <f>IF($W248="","",IF(INDEX('Per Invoice'!K$2:K$801,$W248)="","",INDEX('Per Invoice'!K$2:K$801,$W248)))</f>
        <v/>
      </c>
      <c r="L248" s="14">
        <f>IF($W248="","",IF(INDEX('Per Invoice'!L$2:L$801,$W248)="","",INDEX('Per Invoice'!L$2:L$801,$W248)))</f>
        <v/>
      </c>
      <c r="M248">
        <f>IF($W248="","",IF(INDEX('Per Invoice'!M$2:M$801,$W248)="","",INDEX('Per Invoice'!M$2:M$801,$W248)))</f>
        <v/>
      </c>
      <c r="N248" s="7">
        <f>IF($W248="","",IF(INDEX('Per Invoice'!N$2:N$801,$W248)="","",INDEX('Per Invoice'!N$2:N$801,$W248)))</f>
        <v/>
      </c>
      <c r="O248" s="7">
        <f>IF($W248="","",IF(INDEX('Per Invoice'!O$2:O$801,$W248)="","",INDEX('Per Invoice'!O$2:O$801,$W248)))</f>
        <v/>
      </c>
      <c r="P248">
        <f>IF($W248="","",IF(INDEX('Per Invoice'!P$2:P$801,$W248)="","",INDEX('Per Invoice'!P$2:P$801,$W248)))</f>
        <v/>
      </c>
      <c r="Q248" s="7">
        <f>IF($W248="","",IF(INDEX('Per Invoice'!Q$2:Q$801,$W248)="","",INDEX('Per Invoice'!Q$2:Q$801,$W248)))</f>
        <v/>
      </c>
      <c r="R248" s="7">
        <f>IF($W248="","",IF(INDEX('Per Invoice'!R$2:R$801,$W248)="","",INDEX('Per Invoice'!R$2:R$801,$W248)))</f>
        <v/>
      </c>
      <c r="S248" s="7">
        <f>IF($W248="","",IF(INDEX('Per Invoice'!S$2:S$801,$W248)="","",INDEX('Per Invoice'!S$2:S$801,$W248)))</f>
        <v/>
      </c>
      <c r="T248" s="7">
        <f>IF($W248="","",IF(INDEX('Per Invoice'!T$2:T$801,$W248)="","",INDEX('Per Invoice'!T$2:T$801,$W248)))</f>
        <v/>
      </c>
      <c r="U248" s="7">
        <f>IF($W248="","",IF(INDEX('Per Invoice'!U$2:U$801,$W248)="","",INDEX('Per Invoice'!U$2:U$801,$W248)))</f>
        <v/>
      </c>
      <c r="V248" s="7">
        <f>IF($W248="","",IF(INDEX('Per Invoice'!V$2:V$801,$W248)="","",INDEX('Per Invoice'!V$2:V$801,$W248)))</f>
        <v/>
      </c>
      <c r="W248" s="16">
        <f>IFERROR(MATCH(Settings!$C$28&amp;"|"&amp;ROWS($W$2:$W248),'Per Invoice'!$X$2:$X$801,0),"")</f>
        <v/>
      </c>
    </row>
    <row r="249">
      <c r="A249">
        <f>IF($W249="","",IF(INDEX('Per Invoice'!A$2:A$801,$W249)="","",INDEX('Per Invoice'!A$2:A$801,$W249)))</f>
        <v/>
      </c>
      <c r="B249">
        <f>IF($W249="","",IF(INDEX('Per Invoice'!B$2:B$801,$W249)="","",INDEX('Per Invoice'!B$2:B$801,$W249)))</f>
        <v/>
      </c>
      <c r="C249">
        <f>IF($W249="","",IF(INDEX('Per Invoice'!C$2:C$801,$W249)="","",INDEX('Per Invoice'!C$2:C$801,$W249)))</f>
        <v/>
      </c>
      <c r="D249">
        <f>IF($W249="","",IF(INDEX('Per Invoice'!D$2:D$801,$W249)="","",INDEX('Per Invoice'!D$2:D$801,$W249)))</f>
        <v/>
      </c>
      <c r="E249">
        <f>IF($W249="","",IF(INDEX('Per Invoice'!E$2:E$801,$W249)="","",INDEX('Per Invoice'!E$2:E$801,$W249)))</f>
        <v/>
      </c>
      <c r="F249">
        <f>IF($W249="","",IF(INDEX('Per Invoice'!F$2:F$801,$W249)="","",INDEX('Per Invoice'!F$2:F$801,$W249)))</f>
        <v/>
      </c>
      <c r="G249">
        <f>IF($W249="","",IF(INDEX('Per Invoice'!G$2:G$801,$W249)="","",INDEX('Per Invoice'!G$2:G$801,$W249)))</f>
        <v/>
      </c>
      <c r="H249">
        <f>IF($W249="","",IF(INDEX('Per Invoice'!H$2:H$801,$W249)="","",INDEX('Per Invoice'!H$2:H$801,$W249)))</f>
        <v/>
      </c>
      <c r="I249">
        <f>IF($W249="","",IF(INDEX('Per Invoice'!I$2:I$801,$W249)="","",INDEX('Per Invoice'!I$2:I$801,$W249)))</f>
        <v/>
      </c>
      <c r="J249">
        <f>IF($W249="","",IF(INDEX('Per Invoice'!J$2:J$801,$W249)="","",INDEX('Per Invoice'!J$2:J$801,$W249)))</f>
        <v/>
      </c>
      <c r="K249" s="7">
        <f>IF($W249="","",IF(INDEX('Per Invoice'!K$2:K$801,$W249)="","",INDEX('Per Invoice'!K$2:K$801,$W249)))</f>
        <v/>
      </c>
      <c r="L249" s="14">
        <f>IF($W249="","",IF(INDEX('Per Invoice'!L$2:L$801,$W249)="","",INDEX('Per Invoice'!L$2:L$801,$W249)))</f>
        <v/>
      </c>
      <c r="M249">
        <f>IF($W249="","",IF(INDEX('Per Invoice'!M$2:M$801,$W249)="","",INDEX('Per Invoice'!M$2:M$801,$W249)))</f>
        <v/>
      </c>
      <c r="N249" s="7">
        <f>IF($W249="","",IF(INDEX('Per Invoice'!N$2:N$801,$W249)="","",INDEX('Per Invoice'!N$2:N$801,$W249)))</f>
        <v/>
      </c>
      <c r="O249" s="7">
        <f>IF($W249="","",IF(INDEX('Per Invoice'!O$2:O$801,$W249)="","",INDEX('Per Invoice'!O$2:O$801,$W249)))</f>
        <v/>
      </c>
      <c r="P249">
        <f>IF($W249="","",IF(INDEX('Per Invoice'!P$2:P$801,$W249)="","",INDEX('Per Invoice'!P$2:P$801,$W249)))</f>
        <v/>
      </c>
      <c r="Q249" s="7">
        <f>IF($W249="","",IF(INDEX('Per Invoice'!Q$2:Q$801,$W249)="","",INDEX('Per Invoice'!Q$2:Q$801,$W249)))</f>
        <v/>
      </c>
      <c r="R249" s="7">
        <f>IF($W249="","",IF(INDEX('Per Invoice'!R$2:R$801,$W249)="","",INDEX('Per Invoice'!R$2:R$801,$W249)))</f>
        <v/>
      </c>
      <c r="S249" s="7">
        <f>IF($W249="","",IF(INDEX('Per Invoice'!S$2:S$801,$W249)="","",INDEX('Per Invoice'!S$2:S$801,$W249)))</f>
        <v/>
      </c>
      <c r="T249" s="7">
        <f>IF($W249="","",IF(INDEX('Per Invoice'!T$2:T$801,$W249)="","",INDEX('Per Invoice'!T$2:T$801,$W249)))</f>
        <v/>
      </c>
      <c r="U249" s="7">
        <f>IF($W249="","",IF(INDEX('Per Invoice'!U$2:U$801,$W249)="","",INDEX('Per Invoice'!U$2:U$801,$W249)))</f>
        <v/>
      </c>
      <c r="V249" s="7">
        <f>IF($W249="","",IF(INDEX('Per Invoice'!V$2:V$801,$W249)="","",INDEX('Per Invoice'!V$2:V$801,$W249)))</f>
        <v/>
      </c>
      <c r="W249" s="16">
        <f>IFERROR(MATCH(Settings!$C$28&amp;"|"&amp;ROWS($W$2:$W249),'Per Invoice'!$X$2:$X$801,0),"")</f>
        <v/>
      </c>
    </row>
    <row r="250">
      <c r="A250">
        <f>IF($W250="","",IF(INDEX('Per Invoice'!A$2:A$801,$W250)="","",INDEX('Per Invoice'!A$2:A$801,$W250)))</f>
        <v/>
      </c>
      <c r="B250">
        <f>IF($W250="","",IF(INDEX('Per Invoice'!B$2:B$801,$W250)="","",INDEX('Per Invoice'!B$2:B$801,$W250)))</f>
        <v/>
      </c>
      <c r="C250">
        <f>IF($W250="","",IF(INDEX('Per Invoice'!C$2:C$801,$W250)="","",INDEX('Per Invoice'!C$2:C$801,$W250)))</f>
        <v/>
      </c>
      <c r="D250">
        <f>IF($W250="","",IF(INDEX('Per Invoice'!D$2:D$801,$W250)="","",INDEX('Per Invoice'!D$2:D$801,$W250)))</f>
        <v/>
      </c>
      <c r="E250">
        <f>IF($W250="","",IF(INDEX('Per Invoice'!E$2:E$801,$W250)="","",INDEX('Per Invoice'!E$2:E$801,$W250)))</f>
        <v/>
      </c>
      <c r="F250">
        <f>IF($W250="","",IF(INDEX('Per Invoice'!F$2:F$801,$W250)="","",INDEX('Per Invoice'!F$2:F$801,$W250)))</f>
        <v/>
      </c>
      <c r="G250">
        <f>IF($W250="","",IF(INDEX('Per Invoice'!G$2:G$801,$W250)="","",INDEX('Per Invoice'!G$2:G$801,$W250)))</f>
        <v/>
      </c>
      <c r="H250">
        <f>IF($W250="","",IF(INDEX('Per Invoice'!H$2:H$801,$W250)="","",INDEX('Per Invoice'!H$2:H$801,$W250)))</f>
        <v/>
      </c>
      <c r="I250">
        <f>IF($W250="","",IF(INDEX('Per Invoice'!I$2:I$801,$W250)="","",INDEX('Per Invoice'!I$2:I$801,$W250)))</f>
        <v/>
      </c>
      <c r="J250">
        <f>IF($W250="","",IF(INDEX('Per Invoice'!J$2:J$801,$W250)="","",INDEX('Per Invoice'!J$2:J$801,$W250)))</f>
        <v/>
      </c>
      <c r="K250" s="7">
        <f>IF($W250="","",IF(INDEX('Per Invoice'!K$2:K$801,$W250)="","",INDEX('Per Invoice'!K$2:K$801,$W250)))</f>
        <v/>
      </c>
      <c r="L250" s="14">
        <f>IF($W250="","",IF(INDEX('Per Invoice'!L$2:L$801,$W250)="","",INDEX('Per Invoice'!L$2:L$801,$W250)))</f>
        <v/>
      </c>
      <c r="M250">
        <f>IF($W250="","",IF(INDEX('Per Invoice'!M$2:M$801,$W250)="","",INDEX('Per Invoice'!M$2:M$801,$W250)))</f>
        <v/>
      </c>
      <c r="N250" s="7">
        <f>IF($W250="","",IF(INDEX('Per Invoice'!N$2:N$801,$W250)="","",INDEX('Per Invoice'!N$2:N$801,$W250)))</f>
        <v/>
      </c>
      <c r="O250" s="7">
        <f>IF($W250="","",IF(INDEX('Per Invoice'!O$2:O$801,$W250)="","",INDEX('Per Invoice'!O$2:O$801,$W250)))</f>
        <v/>
      </c>
      <c r="P250">
        <f>IF($W250="","",IF(INDEX('Per Invoice'!P$2:P$801,$W250)="","",INDEX('Per Invoice'!P$2:P$801,$W250)))</f>
        <v/>
      </c>
      <c r="Q250" s="7">
        <f>IF($W250="","",IF(INDEX('Per Invoice'!Q$2:Q$801,$W250)="","",INDEX('Per Invoice'!Q$2:Q$801,$W250)))</f>
        <v/>
      </c>
      <c r="R250" s="7">
        <f>IF($W250="","",IF(INDEX('Per Invoice'!R$2:R$801,$W250)="","",INDEX('Per Invoice'!R$2:R$801,$W250)))</f>
        <v/>
      </c>
      <c r="S250" s="7">
        <f>IF($W250="","",IF(INDEX('Per Invoice'!S$2:S$801,$W250)="","",INDEX('Per Invoice'!S$2:S$801,$W250)))</f>
        <v/>
      </c>
      <c r="T250" s="7">
        <f>IF($W250="","",IF(INDEX('Per Invoice'!T$2:T$801,$W250)="","",INDEX('Per Invoice'!T$2:T$801,$W250)))</f>
        <v/>
      </c>
      <c r="U250" s="7">
        <f>IF($W250="","",IF(INDEX('Per Invoice'!U$2:U$801,$W250)="","",INDEX('Per Invoice'!U$2:U$801,$W250)))</f>
        <v/>
      </c>
      <c r="V250" s="7">
        <f>IF($W250="","",IF(INDEX('Per Invoice'!V$2:V$801,$W250)="","",INDEX('Per Invoice'!V$2:V$801,$W250)))</f>
        <v/>
      </c>
      <c r="W250" s="16">
        <f>IFERROR(MATCH(Settings!$C$28&amp;"|"&amp;ROWS($W$2:$W250),'Per Invoice'!$X$2:$X$801,0),"")</f>
        <v/>
      </c>
    </row>
    <row r="251">
      <c r="A251">
        <f>IF($W251="","",IF(INDEX('Per Invoice'!A$2:A$801,$W251)="","",INDEX('Per Invoice'!A$2:A$801,$W251)))</f>
        <v/>
      </c>
      <c r="B251">
        <f>IF($W251="","",IF(INDEX('Per Invoice'!B$2:B$801,$W251)="","",INDEX('Per Invoice'!B$2:B$801,$W251)))</f>
        <v/>
      </c>
      <c r="C251">
        <f>IF($W251="","",IF(INDEX('Per Invoice'!C$2:C$801,$W251)="","",INDEX('Per Invoice'!C$2:C$801,$W251)))</f>
        <v/>
      </c>
      <c r="D251">
        <f>IF($W251="","",IF(INDEX('Per Invoice'!D$2:D$801,$W251)="","",INDEX('Per Invoice'!D$2:D$801,$W251)))</f>
        <v/>
      </c>
      <c r="E251">
        <f>IF($W251="","",IF(INDEX('Per Invoice'!E$2:E$801,$W251)="","",INDEX('Per Invoice'!E$2:E$801,$W251)))</f>
        <v/>
      </c>
      <c r="F251">
        <f>IF($W251="","",IF(INDEX('Per Invoice'!F$2:F$801,$W251)="","",INDEX('Per Invoice'!F$2:F$801,$W251)))</f>
        <v/>
      </c>
      <c r="G251">
        <f>IF($W251="","",IF(INDEX('Per Invoice'!G$2:G$801,$W251)="","",INDEX('Per Invoice'!G$2:G$801,$W251)))</f>
        <v/>
      </c>
      <c r="H251">
        <f>IF($W251="","",IF(INDEX('Per Invoice'!H$2:H$801,$W251)="","",INDEX('Per Invoice'!H$2:H$801,$W251)))</f>
        <v/>
      </c>
      <c r="I251">
        <f>IF($W251="","",IF(INDEX('Per Invoice'!I$2:I$801,$W251)="","",INDEX('Per Invoice'!I$2:I$801,$W251)))</f>
        <v/>
      </c>
      <c r="J251">
        <f>IF($W251="","",IF(INDEX('Per Invoice'!J$2:J$801,$W251)="","",INDEX('Per Invoice'!J$2:J$801,$W251)))</f>
        <v/>
      </c>
      <c r="K251" s="7">
        <f>IF($W251="","",IF(INDEX('Per Invoice'!K$2:K$801,$W251)="","",INDEX('Per Invoice'!K$2:K$801,$W251)))</f>
        <v/>
      </c>
      <c r="L251" s="14">
        <f>IF($W251="","",IF(INDEX('Per Invoice'!L$2:L$801,$W251)="","",INDEX('Per Invoice'!L$2:L$801,$W251)))</f>
        <v/>
      </c>
      <c r="M251">
        <f>IF($W251="","",IF(INDEX('Per Invoice'!M$2:M$801,$W251)="","",INDEX('Per Invoice'!M$2:M$801,$W251)))</f>
        <v/>
      </c>
      <c r="N251" s="7">
        <f>IF($W251="","",IF(INDEX('Per Invoice'!N$2:N$801,$W251)="","",INDEX('Per Invoice'!N$2:N$801,$W251)))</f>
        <v/>
      </c>
      <c r="O251" s="7">
        <f>IF($W251="","",IF(INDEX('Per Invoice'!O$2:O$801,$W251)="","",INDEX('Per Invoice'!O$2:O$801,$W251)))</f>
        <v/>
      </c>
      <c r="P251">
        <f>IF($W251="","",IF(INDEX('Per Invoice'!P$2:P$801,$W251)="","",INDEX('Per Invoice'!P$2:P$801,$W251)))</f>
        <v/>
      </c>
      <c r="Q251" s="7">
        <f>IF($W251="","",IF(INDEX('Per Invoice'!Q$2:Q$801,$W251)="","",INDEX('Per Invoice'!Q$2:Q$801,$W251)))</f>
        <v/>
      </c>
      <c r="R251" s="7">
        <f>IF($W251="","",IF(INDEX('Per Invoice'!R$2:R$801,$W251)="","",INDEX('Per Invoice'!R$2:R$801,$W251)))</f>
        <v/>
      </c>
      <c r="S251" s="7">
        <f>IF($W251="","",IF(INDEX('Per Invoice'!S$2:S$801,$W251)="","",INDEX('Per Invoice'!S$2:S$801,$W251)))</f>
        <v/>
      </c>
      <c r="T251" s="7">
        <f>IF($W251="","",IF(INDEX('Per Invoice'!T$2:T$801,$W251)="","",INDEX('Per Invoice'!T$2:T$801,$W251)))</f>
        <v/>
      </c>
      <c r="U251" s="7">
        <f>IF($W251="","",IF(INDEX('Per Invoice'!U$2:U$801,$W251)="","",INDEX('Per Invoice'!U$2:U$801,$W251)))</f>
        <v/>
      </c>
      <c r="V251" s="7">
        <f>IF($W251="","",IF(INDEX('Per Invoice'!V$2:V$801,$W251)="","",INDEX('Per Invoice'!V$2:V$801,$W251)))</f>
        <v/>
      </c>
      <c r="W251" s="16">
        <f>IFERROR(MATCH(Settings!$C$28&amp;"|"&amp;ROWS($W$2:$W251),'Per Invoice'!$X$2:$X$801,0),"")</f>
        <v/>
      </c>
    </row>
    <row r="252">
      <c r="A252">
        <f>IF($W252="","",IF(INDEX('Per Invoice'!A$2:A$801,$W252)="","",INDEX('Per Invoice'!A$2:A$801,$W252)))</f>
        <v/>
      </c>
      <c r="B252">
        <f>IF($W252="","",IF(INDEX('Per Invoice'!B$2:B$801,$W252)="","",INDEX('Per Invoice'!B$2:B$801,$W252)))</f>
        <v/>
      </c>
      <c r="C252">
        <f>IF($W252="","",IF(INDEX('Per Invoice'!C$2:C$801,$W252)="","",INDEX('Per Invoice'!C$2:C$801,$W252)))</f>
        <v/>
      </c>
      <c r="D252">
        <f>IF($W252="","",IF(INDEX('Per Invoice'!D$2:D$801,$W252)="","",INDEX('Per Invoice'!D$2:D$801,$W252)))</f>
        <v/>
      </c>
      <c r="E252">
        <f>IF($W252="","",IF(INDEX('Per Invoice'!E$2:E$801,$W252)="","",INDEX('Per Invoice'!E$2:E$801,$W252)))</f>
        <v/>
      </c>
      <c r="F252">
        <f>IF($W252="","",IF(INDEX('Per Invoice'!F$2:F$801,$W252)="","",INDEX('Per Invoice'!F$2:F$801,$W252)))</f>
        <v/>
      </c>
      <c r="G252">
        <f>IF($W252="","",IF(INDEX('Per Invoice'!G$2:G$801,$W252)="","",INDEX('Per Invoice'!G$2:G$801,$W252)))</f>
        <v/>
      </c>
      <c r="H252">
        <f>IF($W252="","",IF(INDEX('Per Invoice'!H$2:H$801,$W252)="","",INDEX('Per Invoice'!H$2:H$801,$W252)))</f>
        <v/>
      </c>
      <c r="I252">
        <f>IF($W252="","",IF(INDEX('Per Invoice'!I$2:I$801,$W252)="","",INDEX('Per Invoice'!I$2:I$801,$W252)))</f>
        <v/>
      </c>
      <c r="J252">
        <f>IF($W252="","",IF(INDEX('Per Invoice'!J$2:J$801,$W252)="","",INDEX('Per Invoice'!J$2:J$801,$W252)))</f>
        <v/>
      </c>
      <c r="K252" s="7">
        <f>IF($W252="","",IF(INDEX('Per Invoice'!K$2:K$801,$W252)="","",INDEX('Per Invoice'!K$2:K$801,$W252)))</f>
        <v/>
      </c>
      <c r="L252" s="14">
        <f>IF($W252="","",IF(INDEX('Per Invoice'!L$2:L$801,$W252)="","",INDEX('Per Invoice'!L$2:L$801,$W252)))</f>
        <v/>
      </c>
      <c r="M252">
        <f>IF($W252="","",IF(INDEX('Per Invoice'!M$2:M$801,$W252)="","",INDEX('Per Invoice'!M$2:M$801,$W252)))</f>
        <v/>
      </c>
      <c r="N252" s="7">
        <f>IF($W252="","",IF(INDEX('Per Invoice'!N$2:N$801,$W252)="","",INDEX('Per Invoice'!N$2:N$801,$W252)))</f>
        <v/>
      </c>
      <c r="O252" s="7">
        <f>IF($W252="","",IF(INDEX('Per Invoice'!O$2:O$801,$W252)="","",INDEX('Per Invoice'!O$2:O$801,$W252)))</f>
        <v/>
      </c>
      <c r="P252">
        <f>IF($W252="","",IF(INDEX('Per Invoice'!P$2:P$801,$W252)="","",INDEX('Per Invoice'!P$2:P$801,$W252)))</f>
        <v/>
      </c>
      <c r="Q252" s="7">
        <f>IF($W252="","",IF(INDEX('Per Invoice'!Q$2:Q$801,$W252)="","",INDEX('Per Invoice'!Q$2:Q$801,$W252)))</f>
        <v/>
      </c>
      <c r="R252" s="7">
        <f>IF($W252="","",IF(INDEX('Per Invoice'!R$2:R$801,$W252)="","",INDEX('Per Invoice'!R$2:R$801,$W252)))</f>
        <v/>
      </c>
      <c r="S252" s="7">
        <f>IF($W252="","",IF(INDEX('Per Invoice'!S$2:S$801,$W252)="","",INDEX('Per Invoice'!S$2:S$801,$W252)))</f>
        <v/>
      </c>
      <c r="T252" s="7">
        <f>IF($W252="","",IF(INDEX('Per Invoice'!T$2:T$801,$W252)="","",INDEX('Per Invoice'!T$2:T$801,$W252)))</f>
        <v/>
      </c>
      <c r="U252" s="7">
        <f>IF($W252="","",IF(INDEX('Per Invoice'!U$2:U$801,$W252)="","",INDEX('Per Invoice'!U$2:U$801,$W252)))</f>
        <v/>
      </c>
      <c r="V252" s="7">
        <f>IF($W252="","",IF(INDEX('Per Invoice'!V$2:V$801,$W252)="","",INDEX('Per Invoice'!V$2:V$801,$W252)))</f>
        <v/>
      </c>
      <c r="W252" s="16">
        <f>IFERROR(MATCH(Settings!$C$28&amp;"|"&amp;ROWS($W$2:$W252),'Per Invoice'!$X$2:$X$801,0),"")</f>
        <v/>
      </c>
    </row>
    <row r="253">
      <c r="A253">
        <f>IF($W253="","",IF(INDEX('Per Invoice'!A$2:A$801,$W253)="","",INDEX('Per Invoice'!A$2:A$801,$W253)))</f>
        <v/>
      </c>
      <c r="B253">
        <f>IF($W253="","",IF(INDEX('Per Invoice'!B$2:B$801,$W253)="","",INDEX('Per Invoice'!B$2:B$801,$W253)))</f>
        <v/>
      </c>
      <c r="C253">
        <f>IF($W253="","",IF(INDEX('Per Invoice'!C$2:C$801,$W253)="","",INDEX('Per Invoice'!C$2:C$801,$W253)))</f>
        <v/>
      </c>
      <c r="D253">
        <f>IF($W253="","",IF(INDEX('Per Invoice'!D$2:D$801,$W253)="","",INDEX('Per Invoice'!D$2:D$801,$W253)))</f>
        <v/>
      </c>
      <c r="E253">
        <f>IF($W253="","",IF(INDEX('Per Invoice'!E$2:E$801,$W253)="","",INDEX('Per Invoice'!E$2:E$801,$W253)))</f>
        <v/>
      </c>
      <c r="F253">
        <f>IF($W253="","",IF(INDEX('Per Invoice'!F$2:F$801,$W253)="","",INDEX('Per Invoice'!F$2:F$801,$W253)))</f>
        <v/>
      </c>
      <c r="G253">
        <f>IF($W253="","",IF(INDEX('Per Invoice'!G$2:G$801,$W253)="","",INDEX('Per Invoice'!G$2:G$801,$W253)))</f>
        <v/>
      </c>
      <c r="H253">
        <f>IF($W253="","",IF(INDEX('Per Invoice'!H$2:H$801,$W253)="","",INDEX('Per Invoice'!H$2:H$801,$W253)))</f>
        <v/>
      </c>
      <c r="I253">
        <f>IF($W253="","",IF(INDEX('Per Invoice'!I$2:I$801,$W253)="","",INDEX('Per Invoice'!I$2:I$801,$W253)))</f>
        <v/>
      </c>
      <c r="J253">
        <f>IF($W253="","",IF(INDEX('Per Invoice'!J$2:J$801,$W253)="","",INDEX('Per Invoice'!J$2:J$801,$W253)))</f>
        <v/>
      </c>
      <c r="K253" s="7">
        <f>IF($W253="","",IF(INDEX('Per Invoice'!K$2:K$801,$W253)="","",INDEX('Per Invoice'!K$2:K$801,$W253)))</f>
        <v/>
      </c>
      <c r="L253" s="14">
        <f>IF($W253="","",IF(INDEX('Per Invoice'!L$2:L$801,$W253)="","",INDEX('Per Invoice'!L$2:L$801,$W253)))</f>
        <v/>
      </c>
      <c r="M253">
        <f>IF($W253="","",IF(INDEX('Per Invoice'!M$2:M$801,$W253)="","",INDEX('Per Invoice'!M$2:M$801,$W253)))</f>
        <v/>
      </c>
      <c r="N253" s="7">
        <f>IF($W253="","",IF(INDEX('Per Invoice'!N$2:N$801,$W253)="","",INDEX('Per Invoice'!N$2:N$801,$W253)))</f>
        <v/>
      </c>
      <c r="O253" s="7">
        <f>IF($W253="","",IF(INDEX('Per Invoice'!O$2:O$801,$W253)="","",INDEX('Per Invoice'!O$2:O$801,$W253)))</f>
        <v/>
      </c>
      <c r="P253">
        <f>IF($W253="","",IF(INDEX('Per Invoice'!P$2:P$801,$W253)="","",INDEX('Per Invoice'!P$2:P$801,$W253)))</f>
        <v/>
      </c>
      <c r="Q253" s="7">
        <f>IF($W253="","",IF(INDEX('Per Invoice'!Q$2:Q$801,$W253)="","",INDEX('Per Invoice'!Q$2:Q$801,$W253)))</f>
        <v/>
      </c>
      <c r="R253" s="7">
        <f>IF($W253="","",IF(INDEX('Per Invoice'!R$2:R$801,$W253)="","",INDEX('Per Invoice'!R$2:R$801,$W253)))</f>
        <v/>
      </c>
      <c r="S253" s="7">
        <f>IF($W253="","",IF(INDEX('Per Invoice'!S$2:S$801,$W253)="","",INDEX('Per Invoice'!S$2:S$801,$W253)))</f>
        <v/>
      </c>
      <c r="T253" s="7">
        <f>IF($W253="","",IF(INDEX('Per Invoice'!T$2:T$801,$W253)="","",INDEX('Per Invoice'!T$2:T$801,$W253)))</f>
        <v/>
      </c>
      <c r="U253" s="7">
        <f>IF($W253="","",IF(INDEX('Per Invoice'!U$2:U$801,$W253)="","",INDEX('Per Invoice'!U$2:U$801,$W253)))</f>
        <v/>
      </c>
      <c r="V253" s="7">
        <f>IF($W253="","",IF(INDEX('Per Invoice'!V$2:V$801,$W253)="","",INDEX('Per Invoice'!V$2:V$801,$W253)))</f>
        <v/>
      </c>
      <c r="W253" s="16">
        <f>IFERROR(MATCH(Settings!$C$28&amp;"|"&amp;ROWS($W$2:$W253),'Per Invoice'!$X$2:$X$801,0),"")</f>
        <v/>
      </c>
    </row>
    <row r="254">
      <c r="A254">
        <f>IF($W254="","",IF(INDEX('Per Invoice'!A$2:A$801,$W254)="","",INDEX('Per Invoice'!A$2:A$801,$W254)))</f>
        <v/>
      </c>
      <c r="B254">
        <f>IF($W254="","",IF(INDEX('Per Invoice'!B$2:B$801,$W254)="","",INDEX('Per Invoice'!B$2:B$801,$W254)))</f>
        <v/>
      </c>
      <c r="C254">
        <f>IF($W254="","",IF(INDEX('Per Invoice'!C$2:C$801,$W254)="","",INDEX('Per Invoice'!C$2:C$801,$W254)))</f>
        <v/>
      </c>
      <c r="D254">
        <f>IF($W254="","",IF(INDEX('Per Invoice'!D$2:D$801,$W254)="","",INDEX('Per Invoice'!D$2:D$801,$W254)))</f>
        <v/>
      </c>
      <c r="E254">
        <f>IF($W254="","",IF(INDEX('Per Invoice'!E$2:E$801,$W254)="","",INDEX('Per Invoice'!E$2:E$801,$W254)))</f>
        <v/>
      </c>
      <c r="F254">
        <f>IF($W254="","",IF(INDEX('Per Invoice'!F$2:F$801,$W254)="","",INDEX('Per Invoice'!F$2:F$801,$W254)))</f>
        <v/>
      </c>
      <c r="G254">
        <f>IF($W254="","",IF(INDEX('Per Invoice'!G$2:G$801,$W254)="","",INDEX('Per Invoice'!G$2:G$801,$W254)))</f>
        <v/>
      </c>
      <c r="H254">
        <f>IF($W254="","",IF(INDEX('Per Invoice'!H$2:H$801,$W254)="","",INDEX('Per Invoice'!H$2:H$801,$W254)))</f>
        <v/>
      </c>
      <c r="I254">
        <f>IF($W254="","",IF(INDEX('Per Invoice'!I$2:I$801,$W254)="","",INDEX('Per Invoice'!I$2:I$801,$W254)))</f>
        <v/>
      </c>
      <c r="J254">
        <f>IF($W254="","",IF(INDEX('Per Invoice'!J$2:J$801,$W254)="","",INDEX('Per Invoice'!J$2:J$801,$W254)))</f>
        <v/>
      </c>
      <c r="K254" s="7">
        <f>IF($W254="","",IF(INDEX('Per Invoice'!K$2:K$801,$W254)="","",INDEX('Per Invoice'!K$2:K$801,$W254)))</f>
        <v/>
      </c>
      <c r="L254" s="14">
        <f>IF($W254="","",IF(INDEX('Per Invoice'!L$2:L$801,$W254)="","",INDEX('Per Invoice'!L$2:L$801,$W254)))</f>
        <v/>
      </c>
      <c r="M254">
        <f>IF($W254="","",IF(INDEX('Per Invoice'!M$2:M$801,$W254)="","",INDEX('Per Invoice'!M$2:M$801,$W254)))</f>
        <v/>
      </c>
      <c r="N254" s="7">
        <f>IF($W254="","",IF(INDEX('Per Invoice'!N$2:N$801,$W254)="","",INDEX('Per Invoice'!N$2:N$801,$W254)))</f>
        <v/>
      </c>
      <c r="O254" s="7">
        <f>IF($W254="","",IF(INDEX('Per Invoice'!O$2:O$801,$W254)="","",INDEX('Per Invoice'!O$2:O$801,$W254)))</f>
        <v/>
      </c>
      <c r="P254">
        <f>IF($W254="","",IF(INDEX('Per Invoice'!P$2:P$801,$W254)="","",INDEX('Per Invoice'!P$2:P$801,$W254)))</f>
        <v/>
      </c>
      <c r="Q254" s="7">
        <f>IF($W254="","",IF(INDEX('Per Invoice'!Q$2:Q$801,$W254)="","",INDEX('Per Invoice'!Q$2:Q$801,$W254)))</f>
        <v/>
      </c>
      <c r="R254" s="7">
        <f>IF($W254="","",IF(INDEX('Per Invoice'!R$2:R$801,$W254)="","",INDEX('Per Invoice'!R$2:R$801,$W254)))</f>
        <v/>
      </c>
      <c r="S254" s="7">
        <f>IF($W254="","",IF(INDEX('Per Invoice'!S$2:S$801,$W254)="","",INDEX('Per Invoice'!S$2:S$801,$W254)))</f>
        <v/>
      </c>
      <c r="T254" s="7">
        <f>IF($W254="","",IF(INDEX('Per Invoice'!T$2:T$801,$W254)="","",INDEX('Per Invoice'!T$2:T$801,$W254)))</f>
        <v/>
      </c>
      <c r="U254" s="7">
        <f>IF($W254="","",IF(INDEX('Per Invoice'!U$2:U$801,$W254)="","",INDEX('Per Invoice'!U$2:U$801,$W254)))</f>
        <v/>
      </c>
      <c r="V254" s="7">
        <f>IF($W254="","",IF(INDEX('Per Invoice'!V$2:V$801,$W254)="","",INDEX('Per Invoice'!V$2:V$801,$W254)))</f>
        <v/>
      </c>
      <c r="W254" s="16">
        <f>IFERROR(MATCH(Settings!$C$28&amp;"|"&amp;ROWS($W$2:$W254),'Per Invoice'!$X$2:$X$801,0),"")</f>
        <v/>
      </c>
    </row>
    <row r="255">
      <c r="A255">
        <f>IF($W255="","",IF(INDEX('Per Invoice'!A$2:A$801,$W255)="","",INDEX('Per Invoice'!A$2:A$801,$W255)))</f>
        <v/>
      </c>
      <c r="B255">
        <f>IF($W255="","",IF(INDEX('Per Invoice'!B$2:B$801,$W255)="","",INDEX('Per Invoice'!B$2:B$801,$W255)))</f>
        <v/>
      </c>
      <c r="C255">
        <f>IF($W255="","",IF(INDEX('Per Invoice'!C$2:C$801,$W255)="","",INDEX('Per Invoice'!C$2:C$801,$W255)))</f>
        <v/>
      </c>
      <c r="D255">
        <f>IF($W255="","",IF(INDEX('Per Invoice'!D$2:D$801,$W255)="","",INDEX('Per Invoice'!D$2:D$801,$W255)))</f>
        <v/>
      </c>
      <c r="E255">
        <f>IF($W255="","",IF(INDEX('Per Invoice'!E$2:E$801,$W255)="","",INDEX('Per Invoice'!E$2:E$801,$W255)))</f>
        <v/>
      </c>
      <c r="F255">
        <f>IF($W255="","",IF(INDEX('Per Invoice'!F$2:F$801,$W255)="","",INDEX('Per Invoice'!F$2:F$801,$W255)))</f>
        <v/>
      </c>
      <c r="G255">
        <f>IF($W255="","",IF(INDEX('Per Invoice'!G$2:G$801,$W255)="","",INDEX('Per Invoice'!G$2:G$801,$W255)))</f>
        <v/>
      </c>
      <c r="H255">
        <f>IF($W255="","",IF(INDEX('Per Invoice'!H$2:H$801,$W255)="","",INDEX('Per Invoice'!H$2:H$801,$W255)))</f>
        <v/>
      </c>
      <c r="I255">
        <f>IF($W255="","",IF(INDEX('Per Invoice'!I$2:I$801,$W255)="","",INDEX('Per Invoice'!I$2:I$801,$W255)))</f>
        <v/>
      </c>
      <c r="J255">
        <f>IF($W255="","",IF(INDEX('Per Invoice'!J$2:J$801,$W255)="","",INDEX('Per Invoice'!J$2:J$801,$W255)))</f>
        <v/>
      </c>
      <c r="K255" s="7">
        <f>IF($W255="","",IF(INDEX('Per Invoice'!K$2:K$801,$W255)="","",INDEX('Per Invoice'!K$2:K$801,$W255)))</f>
        <v/>
      </c>
      <c r="L255" s="14">
        <f>IF($W255="","",IF(INDEX('Per Invoice'!L$2:L$801,$W255)="","",INDEX('Per Invoice'!L$2:L$801,$W255)))</f>
        <v/>
      </c>
      <c r="M255">
        <f>IF($W255="","",IF(INDEX('Per Invoice'!M$2:M$801,$W255)="","",INDEX('Per Invoice'!M$2:M$801,$W255)))</f>
        <v/>
      </c>
      <c r="N255" s="7">
        <f>IF($W255="","",IF(INDEX('Per Invoice'!N$2:N$801,$W255)="","",INDEX('Per Invoice'!N$2:N$801,$W255)))</f>
        <v/>
      </c>
      <c r="O255" s="7">
        <f>IF($W255="","",IF(INDEX('Per Invoice'!O$2:O$801,$W255)="","",INDEX('Per Invoice'!O$2:O$801,$W255)))</f>
        <v/>
      </c>
      <c r="P255">
        <f>IF($W255="","",IF(INDEX('Per Invoice'!P$2:P$801,$W255)="","",INDEX('Per Invoice'!P$2:P$801,$W255)))</f>
        <v/>
      </c>
      <c r="Q255" s="7">
        <f>IF($W255="","",IF(INDEX('Per Invoice'!Q$2:Q$801,$W255)="","",INDEX('Per Invoice'!Q$2:Q$801,$W255)))</f>
        <v/>
      </c>
      <c r="R255" s="7">
        <f>IF($W255="","",IF(INDEX('Per Invoice'!R$2:R$801,$W255)="","",INDEX('Per Invoice'!R$2:R$801,$W255)))</f>
        <v/>
      </c>
      <c r="S255" s="7">
        <f>IF($W255="","",IF(INDEX('Per Invoice'!S$2:S$801,$W255)="","",INDEX('Per Invoice'!S$2:S$801,$W255)))</f>
        <v/>
      </c>
      <c r="T255" s="7">
        <f>IF($W255="","",IF(INDEX('Per Invoice'!T$2:T$801,$W255)="","",INDEX('Per Invoice'!T$2:T$801,$W255)))</f>
        <v/>
      </c>
      <c r="U255" s="7">
        <f>IF($W255="","",IF(INDEX('Per Invoice'!U$2:U$801,$W255)="","",INDEX('Per Invoice'!U$2:U$801,$W255)))</f>
        <v/>
      </c>
      <c r="V255" s="7">
        <f>IF($W255="","",IF(INDEX('Per Invoice'!V$2:V$801,$W255)="","",INDEX('Per Invoice'!V$2:V$801,$W255)))</f>
        <v/>
      </c>
      <c r="W255" s="16">
        <f>IFERROR(MATCH(Settings!$C$28&amp;"|"&amp;ROWS($W$2:$W255),'Per Invoice'!$X$2:$X$801,0),"")</f>
        <v/>
      </c>
    </row>
    <row r="256">
      <c r="A256">
        <f>IF($W256="","",IF(INDEX('Per Invoice'!A$2:A$801,$W256)="","",INDEX('Per Invoice'!A$2:A$801,$W256)))</f>
        <v/>
      </c>
      <c r="B256">
        <f>IF($W256="","",IF(INDEX('Per Invoice'!B$2:B$801,$W256)="","",INDEX('Per Invoice'!B$2:B$801,$W256)))</f>
        <v/>
      </c>
      <c r="C256">
        <f>IF($W256="","",IF(INDEX('Per Invoice'!C$2:C$801,$W256)="","",INDEX('Per Invoice'!C$2:C$801,$W256)))</f>
        <v/>
      </c>
      <c r="D256">
        <f>IF($W256="","",IF(INDEX('Per Invoice'!D$2:D$801,$W256)="","",INDEX('Per Invoice'!D$2:D$801,$W256)))</f>
        <v/>
      </c>
      <c r="E256">
        <f>IF($W256="","",IF(INDEX('Per Invoice'!E$2:E$801,$W256)="","",INDEX('Per Invoice'!E$2:E$801,$W256)))</f>
        <v/>
      </c>
      <c r="F256">
        <f>IF($W256="","",IF(INDEX('Per Invoice'!F$2:F$801,$W256)="","",INDEX('Per Invoice'!F$2:F$801,$W256)))</f>
        <v/>
      </c>
      <c r="G256">
        <f>IF($W256="","",IF(INDEX('Per Invoice'!G$2:G$801,$W256)="","",INDEX('Per Invoice'!G$2:G$801,$W256)))</f>
        <v/>
      </c>
      <c r="H256">
        <f>IF($W256="","",IF(INDEX('Per Invoice'!H$2:H$801,$W256)="","",INDEX('Per Invoice'!H$2:H$801,$W256)))</f>
        <v/>
      </c>
      <c r="I256">
        <f>IF($W256="","",IF(INDEX('Per Invoice'!I$2:I$801,$W256)="","",INDEX('Per Invoice'!I$2:I$801,$W256)))</f>
        <v/>
      </c>
      <c r="J256">
        <f>IF($W256="","",IF(INDEX('Per Invoice'!J$2:J$801,$W256)="","",INDEX('Per Invoice'!J$2:J$801,$W256)))</f>
        <v/>
      </c>
      <c r="K256" s="7">
        <f>IF($W256="","",IF(INDEX('Per Invoice'!K$2:K$801,$W256)="","",INDEX('Per Invoice'!K$2:K$801,$W256)))</f>
        <v/>
      </c>
      <c r="L256" s="14">
        <f>IF($W256="","",IF(INDEX('Per Invoice'!L$2:L$801,$W256)="","",INDEX('Per Invoice'!L$2:L$801,$W256)))</f>
        <v/>
      </c>
      <c r="M256">
        <f>IF($W256="","",IF(INDEX('Per Invoice'!M$2:M$801,$W256)="","",INDEX('Per Invoice'!M$2:M$801,$W256)))</f>
        <v/>
      </c>
      <c r="N256" s="7">
        <f>IF($W256="","",IF(INDEX('Per Invoice'!N$2:N$801,$W256)="","",INDEX('Per Invoice'!N$2:N$801,$W256)))</f>
        <v/>
      </c>
      <c r="O256" s="7">
        <f>IF($W256="","",IF(INDEX('Per Invoice'!O$2:O$801,$W256)="","",INDEX('Per Invoice'!O$2:O$801,$W256)))</f>
        <v/>
      </c>
      <c r="P256">
        <f>IF($W256="","",IF(INDEX('Per Invoice'!P$2:P$801,$W256)="","",INDEX('Per Invoice'!P$2:P$801,$W256)))</f>
        <v/>
      </c>
      <c r="Q256" s="7">
        <f>IF($W256="","",IF(INDEX('Per Invoice'!Q$2:Q$801,$W256)="","",INDEX('Per Invoice'!Q$2:Q$801,$W256)))</f>
        <v/>
      </c>
      <c r="R256" s="7">
        <f>IF($W256="","",IF(INDEX('Per Invoice'!R$2:R$801,$W256)="","",INDEX('Per Invoice'!R$2:R$801,$W256)))</f>
        <v/>
      </c>
      <c r="S256" s="7">
        <f>IF($W256="","",IF(INDEX('Per Invoice'!S$2:S$801,$W256)="","",INDEX('Per Invoice'!S$2:S$801,$W256)))</f>
        <v/>
      </c>
      <c r="T256" s="7">
        <f>IF($W256="","",IF(INDEX('Per Invoice'!T$2:T$801,$W256)="","",INDEX('Per Invoice'!T$2:T$801,$W256)))</f>
        <v/>
      </c>
      <c r="U256" s="7">
        <f>IF($W256="","",IF(INDEX('Per Invoice'!U$2:U$801,$W256)="","",INDEX('Per Invoice'!U$2:U$801,$W256)))</f>
        <v/>
      </c>
      <c r="V256" s="7">
        <f>IF($W256="","",IF(INDEX('Per Invoice'!V$2:V$801,$W256)="","",INDEX('Per Invoice'!V$2:V$801,$W256)))</f>
        <v/>
      </c>
      <c r="W256" s="16">
        <f>IFERROR(MATCH(Settings!$C$28&amp;"|"&amp;ROWS($W$2:$W256),'Per Invoice'!$X$2:$X$801,0),"")</f>
        <v/>
      </c>
    </row>
    <row r="257">
      <c r="A257">
        <f>IF($W257="","",IF(INDEX('Per Invoice'!A$2:A$801,$W257)="","",INDEX('Per Invoice'!A$2:A$801,$W257)))</f>
        <v/>
      </c>
      <c r="B257">
        <f>IF($W257="","",IF(INDEX('Per Invoice'!B$2:B$801,$W257)="","",INDEX('Per Invoice'!B$2:B$801,$W257)))</f>
        <v/>
      </c>
      <c r="C257">
        <f>IF($W257="","",IF(INDEX('Per Invoice'!C$2:C$801,$W257)="","",INDEX('Per Invoice'!C$2:C$801,$W257)))</f>
        <v/>
      </c>
      <c r="D257">
        <f>IF($W257="","",IF(INDEX('Per Invoice'!D$2:D$801,$W257)="","",INDEX('Per Invoice'!D$2:D$801,$W257)))</f>
        <v/>
      </c>
      <c r="E257">
        <f>IF($W257="","",IF(INDEX('Per Invoice'!E$2:E$801,$W257)="","",INDEX('Per Invoice'!E$2:E$801,$W257)))</f>
        <v/>
      </c>
      <c r="F257">
        <f>IF($W257="","",IF(INDEX('Per Invoice'!F$2:F$801,$W257)="","",INDEX('Per Invoice'!F$2:F$801,$W257)))</f>
        <v/>
      </c>
      <c r="G257">
        <f>IF($W257="","",IF(INDEX('Per Invoice'!G$2:G$801,$W257)="","",INDEX('Per Invoice'!G$2:G$801,$W257)))</f>
        <v/>
      </c>
      <c r="H257">
        <f>IF($W257="","",IF(INDEX('Per Invoice'!H$2:H$801,$W257)="","",INDEX('Per Invoice'!H$2:H$801,$W257)))</f>
        <v/>
      </c>
      <c r="I257">
        <f>IF($W257="","",IF(INDEX('Per Invoice'!I$2:I$801,$W257)="","",INDEX('Per Invoice'!I$2:I$801,$W257)))</f>
        <v/>
      </c>
      <c r="J257">
        <f>IF($W257="","",IF(INDEX('Per Invoice'!J$2:J$801,$W257)="","",INDEX('Per Invoice'!J$2:J$801,$W257)))</f>
        <v/>
      </c>
      <c r="K257" s="7">
        <f>IF($W257="","",IF(INDEX('Per Invoice'!K$2:K$801,$W257)="","",INDEX('Per Invoice'!K$2:K$801,$W257)))</f>
        <v/>
      </c>
      <c r="L257" s="14">
        <f>IF($W257="","",IF(INDEX('Per Invoice'!L$2:L$801,$W257)="","",INDEX('Per Invoice'!L$2:L$801,$W257)))</f>
        <v/>
      </c>
      <c r="M257">
        <f>IF($W257="","",IF(INDEX('Per Invoice'!M$2:M$801,$W257)="","",INDEX('Per Invoice'!M$2:M$801,$W257)))</f>
        <v/>
      </c>
      <c r="N257" s="7">
        <f>IF($W257="","",IF(INDEX('Per Invoice'!N$2:N$801,$W257)="","",INDEX('Per Invoice'!N$2:N$801,$W257)))</f>
        <v/>
      </c>
      <c r="O257" s="7">
        <f>IF($W257="","",IF(INDEX('Per Invoice'!O$2:O$801,$W257)="","",INDEX('Per Invoice'!O$2:O$801,$W257)))</f>
        <v/>
      </c>
      <c r="P257">
        <f>IF($W257="","",IF(INDEX('Per Invoice'!P$2:P$801,$W257)="","",INDEX('Per Invoice'!P$2:P$801,$W257)))</f>
        <v/>
      </c>
      <c r="Q257" s="7">
        <f>IF($W257="","",IF(INDEX('Per Invoice'!Q$2:Q$801,$W257)="","",INDEX('Per Invoice'!Q$2:Q$801,$W257)))</f>
        <v/>
      </c>
      <c r="R257" s="7">
        <f>IF($W257="","",IF(INDEX('Per Invoice'!R$2:R$801,$W257)="","",INDEX('Per Invoice'!R$2:R$801,$W257)))</f>
        <v/>
      </c>
      <c r="S257" s="7">
        <f>IF($W257="","",IF(INDEX('Per Invoice'!S$2:S$801,$W257)="","",INDEX('Per Invoice'!S$2:S$801,$W257)))</f>
        <v/>
      </c>
      <c r="T257" s="7">
        <f>IF($W257="","",IF(INDEX('Per Invoice'!T$2:T$801,$W257)="","",INDEX('Per Invoice'!T$2:T$801,$W257)))</f>
        <v/>
      </c>
      <c r="U257" s="7">
        <f>IF($W257="","",IF(INDEX('Per Invoice'!U$2:U$801,$W257)="","",INDEX('Per Invoice'!U$2:U$801,$W257)))</f>
        <v/>
      </c>
      <c r="V257" s="7">
        <f>IF($W257="","",IF(INDEX('Per Invoice'!V$2:V$801,$W257)="","",INDEX('Per Invoice'!V$2:V$801,$W257)))</f>
        <v/>
      </c>
      <c r="W257" s="16">
        <f>IFERROR(MATCH(Settings!$C$28&amp;"|"&amp;ROWS($W$2:$W257),'Per Invoice'!$X$2:$X$801,0),"")</f>
        <v/>
      </c>
    </row>
    <row r="258">
      <c r="A258">
        <f>IF($W258="","",IF(INDEX('Per Invoice'!A$2:A$801,$W258)="","",INDEX('Per Invoice'!A$2:A$801,$W258)))</f>
        <v/>
      </c>
      <c r="B258">
        <f>IF($W258="","",IF(INDEX('Per Invoice'!B$2:B$801,$W258)="","",INDEX('Per Invoice'!B$2:B$801,$W258)))</f>
        <v/>
      </c>
      <c r="C258">
        <f>IF($W258="","",IF(INDEX('Per Invoice'!C$2:C$801,$W258)="","",INDEX('Per Invoice'!C$2:C$801,$W258)))</f>
        <v/>
      </c>
      <c r="D258">
        <f>IF($W258="","",IF(INDEX('Per Invoice'!D$2:D$801,$W258)="","",INDEX('Per Invoice'!D$2:D$801,$W258)))</f>
        <v/>
      </c>
      <c r="E258">
        <f>IF($W258="","",IF(INDEX('Per Invoice'!E$2:E$801,$W258)="","",INDEX('Per Invoice'!E$2:E$801,$W258)))</f>
        <v/>
      </c>
      <c r="F258">
        <f>IF($W258="","",IF(INDEX('Per Invoice'!F$2:F$801,$W258)="","",INDEX('Per Invoice'!F$2:F$801,$W258)))</f>
        <v/>
      </c>
      <c r="G258">
        <f>IF($W258="","",IF(INDEX('Per Invoice'!G$2:G$801,$W258)="","",INDEX('Per Invoice'!G$2:G$801,$W258)))</f>
        <v/>
      </c>
      <c r="H258">
        <f>IF($W258="","",IF(INDEX('Per Invoice'!H$2:H$801,$W258)="","",INDEX('Per Invoice'!H$2:H$801,$W258)))</f>
        <v/>
      </c>
      <c r="I258">
        <f>IF($W258="","",IF(INDEX('Per Invoice'!I$2:I$801,$W258)="","",INDEX('Per Invoice'!I$2:I$801,$W258)))</f>
        <v/>
      </c>
      <c r="J258">
        <f>IF($W258="","",IF(INDEX('Per Invoice'!J$2:J$801,$W258)="","",INDEX('Per Invoice'!J$2:J$801,$W258)))</f>
        <v/>
      </c>
      <c r="K258" s="7">
        <f>IF($W258="","",IF(INDEX('Per Invoice'!K$2:K$801,$W258)="","",INDEX('Per Invoice'!K$2:K$801,$W258)))</f>
        <v/>
      </c>
      <c r="L258" s="14">
        <f>IF($W258="","",IF(INDEX('Per Invoice'!L$2:L$801,$W258)="","",INDEX('Per Invoice'!L$2:L$801,$W258)))</f>
        <v/>
      </c>
      <c r="M258">
        <f>IF($W258="","",IF(INDEX('Per Invoice'!M$2:M$801,$W258)="","",INDEX('Per Invoice'!M$2:M$801,$W258)))</f>
        <v/>
      </c>
      <c r="N258" s="7">
        <f>IF($W258="","",IF(INDEX('Per Invoice'!N$2:N$801,$W258)="","",INDEX('Per Invoice'!N$2:N$801,$W258)))</f>
        <v/>
      </c>
      <c r="O258" s="7">
        <f>IF($W258="","",IF(INDEX('Per Invoice'!O$2:O$801,$W258)="","",INDEX('Per Invoice'!O$2:O$801,$W258)))</f>
        <v/>
      </c>
      <c r="P258">
        <f>IF($W258="","",IF(INDEX('Per Invoice'!P$2:P$801,$W258)="","",INDEX('Per Invoice'!P$2:P$801,$W258)))</f>
        <v/>
      </c>
      <c r="Q258" s="7">
        <f>IF($W258="","",IF(INDEX('Per Invoice'!Q$2:Q$801,$W258)="","",INDEX('Per Invoice'!Q$2:Q$801,$W258)))</f>
        <v/>
      </c>
      <c r="R258" s="7">
        <f>IF($W258="","",IF(INDEX('Per Invoice'!R$2:R$801,$W258)="","",INDEX('Per Invoice'!R$2:R$801,$W258)))</f>
        <v/>
      </c>
      <c r="S258" s="7">
        <f>IF($W258="","",IF(INDEX('Per Invoice'!S$2:S$801,$W258)="","",INDEX('Per Invoice'!S$2:S$801,$W258)))</f>
        <v/>
      </c>
      <c r="T258" s="7">
        <f>IF($W258="","",IF(INDEX('Per Invoice'!T$2:T$801,$W258)="","",INDEX('Per Invoice'!T$2:T$801,$W258)))</f>
        <v/>
      </c>
      <c r="U258" s="7">
        <f>IF($W258="","",IF(INDEX('Per Invoice'!U$2:U$801,$W258)="","",INDEX('Per Invoice'!U$2:U$801,$W258)))</f>
        <v/>
      </c>
      <c r="V258" s="7">
        <f>IF($W258="","",IF(INDEX('Per Invoice'!V$2:V$801,$W258)="","",INDEX('Per Invoice'!V$2:V$801,$W258)))</f>
        <v/>
      </c>
      <c r="W258" s="16">
        <f>IFERROR(MATCH(Settings!$C$28&amp;"|"&amp;ROWS($W$2:$W258),'Per Invoice'!$X$2:$X$801,0),"")</f>
        <v/>
      </c>
    </row>
    <row r="259">
      <c r="A259">
        <f>IF($W259="","",IF(INDEX('Per Invoice'!A$2:A$801,$W259)="","",INDEX('Per Invoice'!A$2:A$801,$W259)))</f>
        <v/>
      </c>
      <c r="B259">
        <f>IF($W259="","",IF(INDEX('Per Invoice'!B$2:B$801,$W259)="","",INDEX('Per Invoice'!B$2:B$801,$W259)))</f>
        <v/>
      </c>
      <c r="C259">
        <f>IF($W259="","",IF(INDEX('Per Invoice'!C$2:C$801,$W259)="","",INDEX('Per Invoice'!C$2:C$801,$W259)))</f>
        <v/>
      </c>
      <c r="D259">
        <f>IF($W259="","",IF(INDEX('Per Invoice'!D$2:D$801,$W259)="","",INDEX('Per Invoice'!D$2:D$801,$W259)))</f>
        <v/>
      </c>
      <c r="E259">
        <f>IF($W259="","",IF(INDEX('Per Invoice'!E$2:E$801,$W259)="","",INDEX('Per Invoice'!E$2:E$801,$W259)))</f>
        <v/>
      </c>
      <c r="F259">
        <f>IF($W259="","",IF(INDEX('Per Invoice'!F$2:F$801,$W259)="","",INDEX('Per Invoice'!F$2:F$801,$W259)))</f>
        <v/>
      </c>
      <c r="G259">
        <f>IF($W259="","",IF(INDEX('Per Invoice'!G$2:G$801,$W259)="","",INDEX('Per Invoice'!G$2:G$801,$W259)))</f>
        <v/>
      </c>
      <c r="H259">
        <f>IF($W259="","",IF(INDEX('Per Invoice'!H$2:H$801,$W259)="","",INDEX('Per Invoice'!H$2:H$801,$W259)))</f>
        <v/>
      </c>
      <c r="I259">
        <f>IF($W259="","",IF(INDEX('Per Invoice'!I$2:I$801,$W259)="","",INDEX('Per Invoice'!I$2:I$801,$W259)))</f>
        <v/>
      </c>
      <c r="J259">
        <f>IF($W259="","",IF(INDEX('Per Invoice'!J$2:J$801,$W259)="","",INDEX('Per Invoice'!J$2:J$801,$W259)))</f>
        <v/>
      </c>
      <c r="K259" s="7">
        <f>IF($W259="","",IF(INDEX('Per Invoice'!K$2:K$801,$W259)="","",INDEX('Per Invoice'!K$2:K$801,$W259)))</f>
        <v/>
      </c>
      <c r="L259" s="14">
        <f>IF($W259="","",IF(INDEX('Per Invoice'!L$2:L$801,$W259)="","",INDEX('Per Invoice'!L$2:L$801,$W259)))</f>
        <v/>
      </c>
      <c r="M259">
        <f>IF($W259="","",IF(INDEX('Per Invoice'!M$2:M$801,$W259)="","",INDEX('Per Invoice'!M$2:M$801,$W259)))</f>
        <v/>
      </c>
      <c r="N259" s="7">
        <f>IF($W259="","",IF(INDEX('Per Invoice'!N$2:N$801,$W259)="","",INDEX('Per Invoice'!N$2:N$801,$W259)))</f>
        <v/>
      </c>
      <c r="O259" s="7">
        <f>IF($W259="","",IF(INDEX('Per Invoice'!O$2:O$801,$W259)="","",INDEX('Per Invoice'!O$2:O$801,$W259)))</f>
        <v/>
      </c>
      <c r="P259">
        <f>IF($W259="","",IF(INDEX('Per Invoice'!P$2:P$801,$W259)="","",INDEX('Per Invoice'!P$2:P$801,$W259)))</f>
        <v/>
      </c>
      <c r="Q259" s="7">
        <f>IF($W259="","",IF(INDEX('Per Invoice'!Q$2:Q$801,$W259)="","",INDEX('Per Invoice'!Q$2:Q$801,$W259)))</f>
        <v/>
      </c>
      <c r="R259" s="7">
        <f>IF($W259="","",IF(INDEX('Per Invoice'!R$2:R$801,$W259)="","",INDEX('Per Invoice'!R$2:R$801,$W259)))</f>
        <v/>
      </c>
      <c r="S259" s="7">
        <f>IF($W259="","",IF(INDEX('Per Invoice'!S$2:S$801,$W259)="","",INDEX('Per Invoice'!S$2:S$801,$W259)))</f>
        <v/>
      </c>
      <c r="T259" s="7">
        <f>IF($W259="","",IF(INDEX('Per Invoice'!T$2:T$801,$W259)="","",INDEX('Per Invoice'!T$2:T$801,$W259)))</f>
        <v/>
      </c>
      <c r="U259" s="7">
        <f>IF($W259="","",IF(INDEX('Per Invoice'!U$2:U$801,$W259)="","",INDEX('Per Invoice'!U$2:U$801,$W259)))</f>
        <v/>
      </c>
      <c r="V259" s="7">
        <f>IF($W259="","",IF(INDEX('Per Invoice'!V$2:V$801,$W259)="","",INDEX('Per Invoice'!V$2:V$801,$W259)))</f>
        <v/>
      </c>
      <c r="W259" s="16">
        <f>IFERROR(MATCH(Settings!$C$28&amp;"|"&amp;ROWS($W$2:$W259),'Per Invoice'!$X$2:$X$801,0),"")</f>
        <v/>
      </c>
    </row>
    <row r="260">
      <c r="A260">
        <f>IF($W260="","",IF(INDEX('Per Invoice'!A$2:A$801,$W260)="","",INDEX('Per Invoice'!A$2:A$801,$W260)))</f>
        <v/>
      </c>
      <c r="B260">
        <f>IF($W260="","",IF(INDEX('Per Invoice'!B$2:B$801,$W260)="","",INDEX('Per Invoice'!B$2:B$801,$W260)))</f>
        <v/>
      </c>
      <c r="C260">
        <f>IF($W260="","",IF(INDEX('Per Invoice'!C$2:C$801,$W260)="","",INDEX('Per Invoice'!C$2:C$801,$W260)))</f>
        <v/>
      </c>
      <c r="D260">
        <f>IF($W260="","",IF(INDEX('Per Invoice'!D$2:D$801,$W260)="","",INDEX('Per Invoice'!D$2:D$801,$W260)))</f>
        <v/>
      </c>
      <c r="E260">
        <f>IF($W260="","",IF(INDEX('Per Invoice'!E$2:E$801,$W260)="","",INDEX('Per Invoice'!E$2:E$801,$W260)))</f>
        <v/>
      </c>
      <c r="F260">
        <f>IF($W260="","",IF(INDEX('Per Invoice'!F$2:F$801,$W260)="","",INDEX('Per Invoice'!F$2:F$801,$W260)))</f>
        <v/>
      </c>
      <c r="G260">
        <f>IF($W260="","",IF(INDEX('Per Invoice'!G$2:G$801,$W260)="","",INDEX('Per Invoice'!G$2:G$801,$W260)))</f>
        <v/>
      </c>
      <c r="H260">
        <f>IF($W260="","",IF(INDEX('Per Invoice'!H$2:H$801,$W260)="","",INDEX('Per Invoice'!H$2:H$801,$W260)))</f>
        <v/>
      </c>
      <c r="I260">
        <f>IF($W260="","",IF(INDEX('Per Invoice'!I$2:I$801,$W260)="","",INDEX('Per Invoice'!I$2:I$801,$W260)))</f>
        <v/>
      </c>
      <c r="J260">
        <f>IF($W260="","",IF(INDEX('Per Invoice'!J$2:J$801,$W260)="","",INDEX('Per Invoice'!J$2:J$801,$W260)))</f>
        <v/>
      </c>
      <c r="K260" s="7">
        <f>IF($W260="","",IF(INDEX('Per Invoice'!K$2:K$801,$W260)="","",INDEX('Per Invoice'!K$2:K$801,$W260)))</f>
        <v/>
      </c>
      <c r="L260" s="14">
        <f>IF($W260="","",IF(INDEX('Per Invoice'!L$2:L$801,$W260)="","",INDEX('Per Invoice'!L$2:L$801,$W260)))</f>
        <v/>
      </c>
      <c r="M260">
        <f>IF($W260="","",IF(INDEX('Per Invoice'!M$2:M$801,$W260)="","",INDEX('Per Invoice'!M$2:M$801,$W260)))</f>
        <v/>
      </c>
      <c r="N260" s="7">
        <f>IF($W260="","",IF(INDEX('Per Invoice'!N$2:N$801,$W260)="","",INDEX('Per Invoice'!N$2:N$801,$W260)))</f>
        <v/>
      </c>
      <c r="O260" s="7">
        <f>IF($W260="","",IF(INDEX('Per Invoice'!O$2:O$801,$W260)="","",INDEX('Per Invoice'!O$2:O$801,$W260)))</f>
        <v/>
      </c>
      <c r="P260">
        <f>IF($W260="","",IF(INDEX('Per Invoice'!P$2:P$801,$W260)="","",INDEX('Per Invoice'!P$2:P$801,$W260)))</f>
        <v/>
      </c>
      <c r="Q260" s="7">
        <f>IF($W260="","",IF(INDEX('Per Invoice'!Q$2:Q$801,$W260)="","",INDEX('Per Invoice'!Q$2:Q$801,$W260)))</f>
        <v/>
      </c>
      <c r="R260" s="7">
        <f>IF($W260="","",IF(INDEX('Per Invoice'!R$2:R$801,$W260)="","",INDEX('Per Invoice'!R$2:R$801,$W260)))</f>
        <v/>
      </c>
      <c r="S260" s="7">
        <f>IF($W260="","",IF(INDEX('Per Invoice'!S$2:S$801,$W260)="","",INDEX('Per Invoice'!S$2:S$801,$W260)))</f>
        <v/>
      </c>
      <c r="T260" s="7">
        <f>IF($W260="","",IF(INDEX('Per Invoice'!T$2:T$801,$W260)="","",INDEX('Per Invoice'!T$2:T$801,$W260)))</f>
        <v/>
      </c>
      <c r="U260" s="7">
        <f>IF($W260="","",IF(INDEX('Per Invoice'!U$2:U$801,$W260)="","",INDEX('Per Invoice'!U$2:U$801,$W260)))</f>
        <v/>
      </c>
      <c r="V260" s="7">
        <f>IF($W260="","",IF(INDEX('Per Invoice'!V$2:V$801,$W260)="","",INDEX('Per Invoice'!V$2:V$801,$W260)))</f>
        <v/>
      </c>
      <c r="W260" s="16">
        <f>IFERROR(MATCH(Settings!$C$28&amp;"|"&amp;ROWS($W$2:$W260),'Per Invoice'!$X$2:$X$801,0),"")</f>
        <v/>
      </c>
    </row>
    <row r="261">
      <c r="A261">
        <f>IF($W261="","",IF(INDEX('Per Invoice'!A$2:A$801,$W261)="","",INDEX('Per Invoice'!A$2:A$801,$W261)))</f>
        <v/>
      </c>
      <c r="B261">
        <f>IF($W261="","",IF(INDEX('Per Invoice'!B$2:B$801,$W261)="","",INDEX('Per Invoice'!B$2:B$801,$W261)))</f>
        <v/>
      </c>
      <c r="C261">
        <f>IF($W261="","",IF(INDEX('Per Invoice'!C$2:C$801,$W261)="","",INDEX('Per Invoice'!C$2:C$801,$W261)))</f>
        <v/>
      </c>
      <c r="D261">
        <f>IF($W261="","",IF(INDEX('Per Invoice'!D$2:D$801,$W261)="","",INDEX('Per Invoice'!D$2:D$801,$W261)))</f>
        <v/>
      </c>
      <c r="E261">
        <f>IF($W261="","",IF(INDEX('Per Invoice'!E$2:E$801,$W261)="","",INDEX('Per Invoice'!E$2:E$801,$W261)))</f>
        <v/>
      </c>
      <c r="F261">
        <f>IF($W261="","",IF(INDEX('Per Invoice'!F$2:F$801,$W261)="","",INDEX('Per Invoice'!F$2:F$801,$W261)))</f>
        <v/>
      </c>
      <c r="G261">
        <f>IF($W261="","",IF(INDEX('Per Invoice'!G$2:G$801,$W261)="","",INDEX('Per Invoice'!G$2:G$801,$W261)))</f>
        <v/>
      </c>
      <c r="H261">
        <f>IF($W261="","",IF(INDEX('Per Invoice'!H$2:H$801,$W261)="","",INDEX('Per Invoice'!H$2:H$801,$W261)))</f>
        <v/>
      </c>
      <c r="I261">
        <f>IF($W261="","",IF(INDEX('Per Invoice'!I$2:I$801,$W261)="","",INDEX('Per Invoice'!I$2:I$801,$W261)))</f>
        <v/>
      </c>
      <c r="J261">
        <f>IF($W261="","",IF(INDEX('Per Invoice'!J$2:J$801,$W261)="","",INDEX('Per Invoice'!J$2:J$801,$W261)))</f>
        <v/>
      </c>
      <c r="K261" s="7">
        <f>IF($W261="","",IF(INDEX('Per Invoice'!K$2:K$801,$W261)="","",INDEX('Per Invoice'!K$2:K$801,$W261)))</f>
        <v/>
      </c>
      <c r="L261" s="14">
        <f>IF($W261="","",IF(INDEX('Per Invoice'!L$2:L$801,$W261)="","",INDEX('Per Invoice'!L$2:L$801,$W261)))</f>
        <v/>
      </c>
      <c r="M261">
        <f>IF($W261="","",IF(INDEX('Per Invoice'!M$2:M$801,$W261)="","",INDEX('Per Invoice'!M$2:M$801,$W261)))</f>
        <v/>
      </c>
      <c r="N261" s="7">
        <f>IF($W261="","",IF(INDEX('Per Invoice'!N$2:N$801,$W261)="","",INDEX('Per Invoice'!N$2:N$801,$W261)))</f>
        <v/>
      </c>
      <c r="O261" s="7">
        <f>IF($W261="","",IF(INDEX('Per Invoice'!O$2:O$801,$W261)="","",INDEX('Per Invoice'!O$2:O$801,$W261)))</f>
        <v/>
      </c>
      <c r="P261">
        <f>IF($W261="","",IF(INDEX('Per Invoice'!P$2:P$801,$W261)="","",INDEX('Per Invoice'!P$2:P$801,$W261)))</f>
        <v/>
      </c>
      <c r="Q261" s="7">
        <f>IF($W261="","",IF(INDEX('Per Invoice'!Q$2:Q$801,$W261)="","",INDEX('Per Invoice'!Q$2:Q$801,$W261)))</f>
        <v/>
      </c>
      <c r="R261" s="7">
        <f>IF($W261="","",IF(INDEX('Per Invoice'!R$2:R$801,$W261)="","",INDEX('Per Invoice'!R$2:R$801,$W261)))</f>
        <v/>
      </c>
      <c r="S261" s="7">
        <f>IF($W261="","",IF(INDEX('Per Invoice'!S$2:S$801,$W261)="","",INDEX('Per Invoice'!S$2:S$801,$W261)))</f>
        <v/>
      </c>
      <c r="T261" s="7">
        <f>IF($W261="","",IF(INDEX('Per Invoice'!T$2:T$801,$W261)="","",INDEX('Per Invoice'!T$2:T$801,$W261)))</f>
        <v/>
      </c>
      <c r="U261" s="7">
        <f>IF($W261="","",IF(INDEX('Per Invoice'!U$2:U$801,$W261)="","",INDEX('Per Invoice'!U$2:U$801,$W261)))</f>
        <v/>
      </c>
      <c r="V261" s="7">
        <f>IF($W261="","",IF(INDEX('Per Invoice'!V$2:V$801,$W261)="","",INDEX('Per Invoice'!V$2:V$801,$W261)))</f>
        <v/>
      </c>
      <c r="W261" s="16">
        <f>IFERROR(MATCH(Settings!$C$28&amp;"|"&amp;ROWS($W$2:$W261),'Per Invoice'!$X$2:$X$801,0),"")</f>
        <v/>
      </c>
    </row>
    <row r="262">
      <c r="A262">
        <f>IF($W262="","",IF(INDEX('Per Invoice'!A$2:A$801,$W262)="","",INDEX('Per Invoice'!A$2:A$801,$W262)))</f>
        <v/>
      </c>
      <c r="B262">
        <f>IF($W262="","",IF(INDEX('Per Invoice'!B$2:B$801,$W262)="","",INDEX('Per Invoice'!B$2:B$801,$W262)))</f>
        <v/>
      </c>
      <c r="C262">
        <f>IF($W262="","",IF(INDEX('Per Invoice'!C$2:C$801,$W262)="","",INDEX('Per Invoice'!C$2:C$801,$W262)))</f>
        <v/>
      </c>
      <c r="D262">
        <f>IF($W262="","",IF(INDEX('Per Invoice'!D$2:D$801,$W262)="","",INDEX('Per Invoice'!D$2:D$801,$W262)))</f>
        <v/>
      </c>
      <c r="E262">
        <f>IF($W262="","",IF(INDEX('Per Invoice'!E$2:E$801,$W262)="","",INDEX('Per Invoice'!E$2:E$801,$W262)))</f>
        <v/>
      </c>
      <c r="F262">
        <f>IF($W262="","",IF(INDEX('Per Invoice'!F$2:F$801,$W262)="","",INDEX('Per Invoice'!F$2:F$801,$W262)))</f>
        <v/>
      </c>
      <c r="G262">
        <f>IF($W262="","",IF(INDEX('Per Invoice'!G$2:G$801,$W262)="","",INDEX('Per Invoice'!G$2:G$801,$W262)))</f>
        <v/>
      </c>
      <c r="H262">
        <f>IF($W262="","",IF(INDEX('Per Invoice'!H$2:H$801,$W262)="","",INDEX('Per Invoice'!H$2:H$801,$W262)))</f>
        <v/>
      </c>
      <c r="I262">
        <f>IF($W262="","",IF(INDEX('Per Invoice'!I$2:I$801,$W262)="","",INDEX('Per Invoice'!I$2:I$801,$W262)))</f>
        <v/>
      </c>
      <c r="J262">
        <f>IF($W262="","",IF(INDEX('Per Invoice'!J$2:J$801,$W262)="","",INDEX('Per Invoice'!J$2:J$801,$W262)))</f>
        <v/>
      </c>
      <c r="K262" s="7">
        <f>IF($W262="","",IF(INDEX('Per Invoice'!K$2:K$801,$W262)="","",INDEX('Per Invoice'!K$2:K$801,$W262)))</f>
        <v/>
      </c>
      <c r="L262" s="14">
        <f>IF($W262="","",IF(INDEX('Per Invoice'!L$2:L$801,$W262)="","",INDEX('Per Invoice'!L$2:L$801,$W262)))</f>
        <v/>
      </c>
      <c r="M262">
        <f>IF($W262="","",IF(INDEX('Per Invoice'!M$2:M$801,$W262)="","",INDEX('Per Invoice'!M$2:M$801,$W262)))</f>
        <v/>
      </c>
      <c r="N262" s="7">
        <f>IF($W262="","",IF(INDEX('Per Invoice'!N$2:N$801,$W262)="","",INDEX('Per Invoice'!N$2:N$801,$W262)))</f>
        <v/>
      </c>
      <c r="O262" s="7">
        <f>IF($W262="","",IF(INDEX('Per Invoice'!O$2:O$801,$W262)="","",INDEX('Per Invoice'!O$2:O$801,$W262)))</f>
        <v/>
      </c>
      <c r="P262">
        <f>IF($W262="","",IF(INDEX('Per Invoice'!P$2:P$801,$W262)="","",INDEX('Per Invoice'!P$2:P$801,$W262)))</f>
        <v/>
      </c>
      <c r="Q262" s="7">
        <f>IF($W262="","",IF(INDEX('Per Invoice'!Q$2:Q$801,$W262)="","",INDEX('Per Invoice'!Q$2:Q$801,$W262)))</f>
        <v/>
      </c>
      <c r="R262" s="7">
        <f>IF($W262="","",IF(INDEX('Per Invoice'!R$2:R$801,$W262)="","",INDEX('Per Invoice'!R$2:R$801,$W262)))</f>
        <v/>
      </c>
      <c r="S262" s="7">
        <f>IF($W262="","",IF(INDEX('Per Invoice'!S$2:S$801,$W262)="","",INDEX('Per Invoice'!S$2:S$801,$W262)))</f>
        <v/>
      </c>
      <c r="T262" s="7">
        <f>IF($W262="","",IF(INDEX('Per Invoice'!T$2:T$801,$W262)="","",INDEX('Per Invoice'!T$2:T$801,$W262)))</f>
        <v/>
      </c>
      <c r="U262" s="7">
        <f>IF($W262="","",IF(INDEX('Per Invoice'!U$2:U$801,$W262)="","",INDEX('Per Invoice'!U$2:U$801,$W262)))</f>
        <v/>
      </c>
      <c r="V262" s="7">
        <f>IF($W262="","",IF(INDEX('Per Invoice'!V$2:V$801,$W262)="","",INDEX('Per Invoice'!V$2:V$801,$W262)))</f>
        <v/>
      </c>
      <c r="W262" s="16">
        <f>IFERROR(MATCH(Settings!$C$28&amp;"|"&amp;ROWS($W$2:$W262),'Per Invoice'!$X$2:$X$801,0),"")</f>
        <v/>
      </c>
    </row>
    <row r="263">
      <c r="A263">
        <f>IF($W263="","",IF(INDEX('Per Invoice'!A$2:A$801,$W263)="","",INDEX('Per Invoice'!A$2:A$801,$W263)))</f>
        <v/>
      </c>
      <c r="B263">
        <f>IF($W263="","",IF(INDEX('Per Invoice'!B$2:B$801,$W263)="","",INDEX('Per Invoice'!B$2:B$801,$W263)))</f>
        <v/>
      </c>
      <c r="C263">
        <f>IF($W263="","",IF(INDEX('Per Invoice'!C$2:C$801,$W263)="","",INDEX('Per Invoice'!C$2:C$801,$W263)))</f>
        <v/>
      </c>
      <c r="D263">
        <f>IF($W263="","",IF(INDEX('Per Invoice'!D$2:D$801,$W263)="","",INDEX('Per Invoice'!D$2:D$801,$W263)))</f>
        <v/>
      </c>
      <c r="E263">
        <f>IF($W263="","",IF(INDEX('Per Invoice'!E$2:E$801,$W263)="","",INDEX('Per Invoice'!E$2:E$801,$W263)))</f>
        <v/>
      </c>
      <c r="F263">
        <f>IF($W263="","",IF(INDEX('Per Invoice'!F$2:F$801,$W263)="","",INDEX('Per Invoice'!F$2:F$801,$W263)))</f>
        <v/>
      </c>
      <c r="G263">
        <f>IF($W263="","",IF(INDEX('Per Invoice'!G$2:G$801,$W263)="","",INDEX('Per Invoice'!G$2:G$801,$W263)))</f>
        <v/>
      </c>
      <c r="H263">
        <f>IF($W263="","",IF(INDEX('Per Invoice'!H$2:H$801,$W263)="","",INDEX('Per Invoice'!H$2:H$801,$W263)))</f>
        <v/>
      </c>
      <c r="I263">
        <f>IF($W263="","",IF(INDEX('Per Invoice'!I$2:I$801,$W263)="","",INDEX('Per Invoice'!I$2:I$801,$W263)))</f>
        <v/>
      </c>
      <c r="J263">
        <f>IF($W263="","",IF(INDEX('Per Invoice'!J$2:J$801,$W263)="","",INDEX('Per Invoice'!J$2:J$801,$W263)))</f>
        <v/>
      </c>
      <c r="K263" s="7">
        <f>IF($W263="","",IF(INDEX('Per Invoice'!K$2:K$801,$W263)="","",INDEX('Per Invoice'!K$2:K$801,$W263)))</f>
        <v/>
      </c>
      <c r="L263" s="14">
        <f>IF($W263="","",IF(INDEX('Per Invoice'!L$2:L$801,$W263)="","",INDEX('Per Invoice'!L$2:L$801,$W263)))</f>
        <v/>
      </c>
      <c r="M263">
        <f>IF($W263="","",IF(INDEX('Per Invoice'!M$2:M$801,$W263)="","",INDEX('Per Invoice'!M$2:M$801,$W263)))</f>
        <v/>
      </c>
      <c r="N263" s="7">
        <f>IF($W263="","",IF(INDEX('Per Invoice'!N$2:N$801,$W263)="","",INDEX('Per Invoice'!N$2:N$801,$W263)))</f>
        <v/>
      </c>
      <c r="O263" s="7">
        <f>IF($W263="","",IF(INDEX('Per Invoice'!O$2:O$801,$W263)="","",INDEX('Per Invoice'!O$2:O$801,$W263)))</f>
        <v/>
      </c>
      <c r="P263">
        <f>IF($W263="","",IF(INDEX('Per Invoice'!P$2:P$801,$W263)="","",INDEX('Per Invoice'!P$2:P$801,$W263)))</f>
        <v/>
      </c>
      <c r="Q263" s="7">
        <f>IF($W263="","",IF(INDEX('Per Invoice'!Q$2:Q$801,$W263)="","",INDEX('Per Invoice'!Q$2:Q$801,$W263)))</f>
        <v/>
      </c>
      <c r="R263" s="7">
        <f>IF($W263="","",IF(INDEX('Per Invoice'!R$2:R$801,$W263)="","",INDEX('Per Invoice'!R$2:R$801,$W263)))</f>
        <v/>
      </c>
      <c r="S263" s="7">
        <f>IF($W263="","",IF(INDEX('Per Invoice'!S$2:S$801,$W263)="","",INDEX('Per Invoice'!S$2:S$801,$W263)))</f>
        <v/>
      </c>
      <c r="T263" s="7">
        <f>IF($W263="","",IF(INDEX('Per Invoice'!T$2:T$801,$W263)="","",INDEX('Per Invoice'!T$2:T$801,$W263)))</f>
        <v/>
      </c>
      <c r="U263" s="7">
        <f>IF($W263="","",IF(INDEX('Per Invoice'!U$2:U$801,$W263)="","",INDEX('Per Invoice'!U$2:U$801,$W263)))</f>
        <v/>
      </c>
      <c r="V263" s="7">
        <f>IF($W263="","",IF(INDEX('Per Invoice'!V$2:V$801,$W263)="","",INDEX('Per Invoice'!V$2:V$801,$W263)))</f>
        <v/>
      </c>
      <c r="W263" s="16">
        <f>IFERROR(MATCH(Settings!$C$28&amp;"|"&amp;ROWS($W$2:$W263),'Per Invoice'!$X$2:$X$801,0),"")</f>
        <v/>
      </c>
    </row>
    <row r="264">
      <c r="A264">
        <f>IF($W264="","",IF(INDEX('Per Invoice'!A$2:A$801,$W264)="","",INDEX('Per Invoice'!A$2:A$801,$W264)))</f>
        <v/>
      </c>
      <c r="B264">
        <f>IF($W264="","",IF(INDEX('Per Invoice'!B$2:B$801,$W264)="","",INDEX('Per Invoice'!B$2:B$801,$W264)))</f>
        <v/>
      </c>
      <c r="C264">
        <f>IF($W264="","",IF(INDEX('Per Invoice'!C$2:C$801,$W264)="","",INDEX('Per Invoice'!C$2:C$801,$W264)))</f>
        <v/>
      </c>
      <c r="D264">
        <f>IF($W264="","",IF(INDEX('Per Invoice'!D$2:D$801,$W264)="","",INDEX('Per Invoice'!D$2:D$801,$W264)))</f>
        <v/>
      </c>
      <c r="E264">
        <f>IF($W264="","",IF(INDEX('Per Invoice'!E$2:E$801,$W264)="","",INDEX('Per Invoice'!E$2:E$801,$W264)))</f>
        <v/>
      </c>
      <c r="F264">
        <f>IF($W264="","",IF(INDEX('Per Invoice'!F$2:F$801,$W264)="","",INDEX('Per Invoice'!F$2:F$801,$W264)))</f>
        <v/>
      </c>
      <c r="G264">
        <f>IF($W264="","",IF(INDEX('Per Invoice'!G$2:G$801,$W264)="","",INDEX('Per Invoice'!G$2:G$801,$W264)))</f>
        <v/>
      </c>
      <c r="H264">
        <f>IF($W264="","",IF(INDEX('Per Invoice'!H$2:H$801,$W264)="","",INDEX('Per Invoice'!H$2:H$801,$W264)))</f>
        <v/>
      </c>
      <c r="I264">
        <f>IF($W264="","",IF(INDEX('Per Invoice'!I$2:I$801,$W264)="","",INDEX('Per Invoice'!I$2:I$801,$W264)))</f>
        <v/>
      </c>
      <c r="J264">
        <f>IF($W264="","",IF(INDEX('Per Invoice'!J$2:J$801,$W264)="","",INDEX('Per Invoice'!J$2:J$801,$W264)))</f>
        <v/>
      </c>
      <c r="K264" s="7">
        <f>IF($W264="","",IF(INDEX('Per Invoice'!K$2:K$801,$W264)="","",INDEX('Per Invoice'!K$2:K$801,$W264)))</f>
        <v/>
      </c>
      <c r="L264" s="14">
        <f>IF($W264="","",IF(INDEX('Per Invoice'!L$2:L$801,$W264)="","",INDEX('Per Invoice'!L$2:L$801,$W264)))</f>
        <v/>
      </c>
      <c r="M264">
        <f>IF($W264="","",IF(INDEX('Per Invoice'!M$2:M$801,$W264)="","",INDEX('Per Invoice'!M$2:M$801,$W264)))</f>
        <v/>
      </c>
      <c r="N264" s="7">
        <f>IF($W264="","",IF(INDEX('Per Invoice'!N$2:N$801,$W264)="","",INDEX('Per Invoice'!N$2:N$801,$W264)))</f>
        <v/>
      </c>
      <c r="O264" s="7">
        <f>IF($W264="","",IF(INDEX('Per Invoice'!O$2:O$801,$W264)="","",INDEX('Per Invoice'!O$2:O$801,$W264)))</f>
        <v/>
      </c>
      <c r="P264">
        <f>IF($W264="","",IF(INDEX('Per Invoice'!P$2:P$801,$W264)="","",INDEX('Per Invoice'!P$2:P$801,$W264)))</f>
        <v/>
      </c>
      <c r="Q264" s="7">
        <f>IF($W264="","",IF(INDEX('Per Invoice'!Q$2:Q$801,$W264)="","",INDEX('Per Invoice'!Q$2:Q$801,$W264)))</f>
        <v/>
      </c>
      <c r="R264" s="7">
        <f>IF($W264="","",IF(INDEX('Per Invoice'!R$2:R$801,$W264)="","",INDEX('Per Invoice'!R$2:R$801,$W264)))</f>
        <v/>
      </c>
      <c r="S264" s="7">
        <f>IF($W264="","",IF(INDEX('Per Invoice'!S$2:S$801,$W264)="","",INDEX('Per Invoice'!S$2:S$801,$W264)))</f>
        <v/>
      </c>
      <c r="T264" s="7">
        <f>IF($W264="","",IF(INDEX('Per Invoice'!T$2:T$801,$W264)="","",INDEX('Per Invoice'!T$2:T$801,$W264)))</f>
        <v/>
      </c>
      <c r="U264" s="7">
        <f>IF($W264="","",IF(INDEX('Per Invoice'!U$2:U$801,$W264)="","",INDEX('Per Invoice'!U$2:U$801,$W264)))</f>
        <v/>
      </c>
      <c r="V264" s="7">
        <f>IF($W264="","",IF(INDEX('Per Invoice'!V$2:V$801,$W264)="","",INDEX('Per Invoice'!V$2:V$801,$W264)))</f>
        <v/>
      </c>
      <c r="W264" s="16">
        <f>IFERROR(MATCH(Settings!$C$28&amp;"|"&amp;ROWS($W$2:$W264),'Per Invoice'!$X$2:$X$801,0),"")</f>
        <v/>
      </c>
    </row>
    <row r="265">
      <c r="A265">
        <f>IF($W265="","",IF(INDEX('Per Invoice'!A$2:A$801,$W265)="","",INDEX('Per Invoice'!A$2:A$801,$W265)))</f>
        <v/>
      </c>
      <c r="B265">
        <f>IF($W265="","",IF(INDEX('Per Invoice'!B$2:B$801,$W265)="","",INDEX('Per Invoice'!B$2:B$801,$W265)))</f>
        <v/>
      </c>
      <c r="C265">
        <f>IF($W265="","",IF(INDEX('Per Invoice'!C$2:C$801,$W265)="","",INDEX('Per Invoice'!C$2:C$801,$W265)))</f>
        <v/>
      </c>
      <c r="D265">
        <f>IF($W265="","",IF(INDEX('Per Invoice'!D$2:D$801,$W265)="","",INDEX('Per Invoice'!D$2:D$801,$W265)))</f>
        <v/>
      </c>
      <c r="E265">
        <f>IF($W265="","",IF(INDEX('Per Invoice'!E$2:E$801,$W265)="","",INDEX('Per Invoice'!E$2:E$801,$W265)))</f>
        <v/>
      </c>
      <c r="F265">
        <f>IF($W265="","",IF(INDEX('Per Invoice'!F$2:F$801,$W265)="","",INDEX('Per Invoice'!F$2:F$801,$W265)))</f>
        <v/>
      </c>
      <c r="G265">
        <f>IF($W265="","",IF(INDEX('Per Invoice'!G$2:G$801,$W265)="","",INDEX('Per Invoice'!G$2:G$801,$W265)))</f>
        <v/>
      </c>
      <c r="H265">
        <f>IF($W265="","",IF(INDEX('Per Invoice'!H$2:H$801,$W265)="","",INDEX('Per Invoice'!H$2:H$801,$W265)))</f>
        <v/>
      </c>
      <c r="I265">
        <f>IF($W265="","",IF(INDEX('Per Invoice'!I$2:I$801,$W265)="","",INDEX('Per Invoice'!I$2:I$801,$W265)))</f>
        <v/>
      </c>
      <c r="J265">
        <f>IF($W265="","",IF(INDEX('Per Invoice'!J$2:J$801,$W265)="","",INDEX('Per Invoice'!J$2:J$801,$W265)))</f>
        <v/>
      </c>
      <c r="K265" s="7">
        <f>IF($W265="","",IF(INDEX('Per Invoice'!K$2:K$801,$W265)="","",INDEX('Per Invoice'!K$2:K$801,$W265)))</f>
        <v/>
      </c>
      <c r="L265" s="14">
        <f>IF($W265="","",IF(INDEX('Per Invoice'!L$2:L$801,$W265)="","",INDEX('Per Invoice'!L$2:L$801,$W265)))</f>
        <v/>
      </c>
      <c r="M265">
        <f>IF($W265="","",IF(INDEX('Per Invoice'!M$2:M$801,$W265)="","",INDEX('Per Invoice'!M$2:M$801,$W265)))</f>
        <v/>
      </c>
      <c r="N265" s="7">
        <f>IF($W265="","",IF(INDEX('Per Invoice'!N$2:N$801,$W265)="","",INDEX('Per Invoice'!N$2:N$801,$W265)))</f>
        <v/>
      </c>
      <c r="O265" s="7">
        <f>IF($W265="","",IF(INDEX('Per Invoice'!O$2:O$801,$W265)="","",INDEX('Per Invoice'!O$2:O$801,$W265)))</f>
        <v/>
      </c>
      <c r="P265">
        <f>IF($W265="","",IF(INDEX('Per Invoice'!P$2:P$801,$W265)="","",INDEX('Per Invoice'!P$2:P$801,$W265)))</f>
        <v/>
      </c>
      <c r="Q265" s="7">
        <f>IF($W265="","",IF(INDEX('Per Invoice'!Q$2:Q$801,$W265)="","",INDEX('Per Invoice'!Q$2:Q$801,$W265)))</f>
        <v/>
      </c>
      <c r="R265" s="7">
        <f>IF($W265="","",IF(INDEX('Per Invoice'!R$2:R$801,$W265)="","",INDEX('Per Invoice'!R$2:R$801,$W265)))</f>
        <v/>
      </c>
      <c r="S265" s="7">
        <f>IF($W265="","",IF(INDEX('Per Invoice'!S$2:S$801,$W265)="","",INDEX('Per Invoice'!S$2:S$801,$W265)))</f>
        <v/>
      </c>
      <c r="T265" s="7">
        <f>IF($W265="","",IF(INDEX('Per Invoice'!T$2:T$801,$W265)="","",INDEX('Per Invoice'!T$2:T$801,$W265)))</f>
        <v/>
      </c>
      <c r="U265" s="7">
        <f>IF($W265="","",IF(INDEX('Per Invoice'!U$2:U$801,$W265)="","",INDEX('Per Invoice'!U$2:U$801,$W265)))</f>
        <v/>
      </c>
      <c r="V265" s="7">
        <f>IF($W265="","",IF(INDEX('Per Invoice'!V$2:V$801,$W265)="","",INDEX('Per Invoice'!V$2:V$801,$W265)))</f>
        <v/>
      </c>
      <c r="W265" s="16">
        <f>IFERROR(MATCH(Settings!$C$28&amp;"|"&amp;ROWS($W$2:$W265),'Per Invoice'!$X$2:$X$801,0),"")</f>
        <v/>
      </c>
    </row>
    <row r="266">
      <c r="A266">
        <f>IF($W266="","",IF(INDEX('Per Invoice'!A$2:A$801,$W266)="","",INDEX('Per Invoice'!A$2:A$801,$W266)))</f>
        <v/>
      </c>
      <c r="B266">
        <f>IF($W266="","",IF(INDEX('Per Invoice'!B$2:B$801,$W266)="","",INDEX('Per Invoice'!B$2:B$801,$W266)))</f>
        <v/>
      </c>
      <c r="C266">
        <f>IF($W266="","",IF(INDEX('Per Invoice'!C$2:C$801,$W266)="","",INDEX('Per Invoice'!C$2:C$801,$W266)))</f>
        <v/>
      </c>
      <c r="D266">
        <f>IF($W266="","",IF(INDEX('Per Invoice'!D$2:D$801,$W266)="","",INDEX('Per Invoice'!D$2:D$801,$W266)))</f>
        <v/>
      </c>
      <c r="E266">
        <f>IF($W266="","",IF(INDEX('Per Invoice'!E$2:E$801,$W266)="","",INDEX('Per Invoice'!E$2:E$801,$W266)))</f>
        <v/>
      </c>
      <c r="F266">
        <f>IF($W266="","",IF(INDEX('Per Invoice'!F$2:F$801,$W266)="","",INDEX('Per Invoice'!F$2:F$801,$W266)))</f>
        <v/>
      </c>
      <c r="G266">
        <f>IF($W266="","",IF(INDEX('Per Invoice'!G$2:G$801,$W266)="","",INDEX('Per Invoice'!G$2:G$801,$W266)))</f>
        <v/>
      </c>
      <c r="H266">
        <f>IF($W266="","",IF(INDEX('Per Invoice'!H$2:H$801,$W266)="","",INDEX('Per Invoice'!H$2:H$801,$W266)))</f>
        <v/>
      </c>
      <c r="I266">
        <f>IF($W266="","",IF(INDEX('Per Invoice'!I$2:I$801,$W266)="","",INDEX('Per Invoice'!I$2:I$801,$W266)))</f>
        <v/>
      </c>
      <c r="J266">
        <f>IF($W266="","",IF(INDEX('Per Invoice'!J$2:J$801,$W266)="","",INDEX('Per Invoice'!J$2:J$801,$W266)))</f>
        <v/>
      </c>
      <c r="K266" s="7">
        <f>IF($W266="","",IF(INDEX('Per Invoice'!K$2:K$801,$W266)="","",INDEX('Per Invoice'!K$2:K$801,$W266)))</f>
        <v/>
      </c>
      <c r="L266" s="14">
        <f>IF($W266="","",IF(INDEX('Per Invoice'!L$2:L$801,$W266)="","",INDEX('Per Invoice'!L$2:L$801,$W266)))</f>
        <v/>
      </c>
      <c r="M266">
        <f>IF($W266="","",IF(INDEX('Per Invoice'!M$2:M$801,$W266)="","",INDEX('Per Invoice'!M$2:M$801,$W266)))</f>
        <v/>
      </c>
      <c r="N266" s="7">
        <f>IF($W266="","",IF(INDEX('Per Invoice'!N$2:N$801,$W266)="","",INDEX('Per Invoice'!N$2:N$801,$W266)))</f>
        <v/>
      </c>
      <c r="O266" s="7">
        <f>IF($W266="","",IF(INDEX('Per Invoice'!O$2:O$801,$W266)="","",INDEX('Per Invoice'!O$2:O$801,$W266)))</f>
        <v/>
      </c>
      <c r="P266">
        <f>IF($W266="","",IF(INDEX('Per Invoice'!P$2:P$801,$W266)="","",INDEX('Per Invoice'!P$2:P$801,$W266)))</f>
        <v/>
      </c>
      <c r="Q266" s="7">
        <f>IF($W266="","",IF(INDEX('Per Invoice'!Q$2:Q$801,$W266)="","",INDEX('Per Invoice'!Q$2:Q$801,$W266)))</f>
        <v/>
      </c>
      <c r="R266" s="7">
        <f>IF($W266="","",IF(INDEX('Per Invoice'!R$2:R$801,$W266)="","",INDEX('Per Invoice'!R$2:R$801,$W266)))</f>
        <v/>
      </c>
      <c r="S266" s="7">
        <f>IF($W266="","",IF(INDEX('Per Invoice'!S$2:S$801,$W266)="","",INDEX('Per Invoice'!S$2:S$801,$W266)))</f>
        <v/>
      </c>
      <c r="T266" s="7">
        <f>IF($W266="","",IF(INDEX('Per Invoice'!T$2:T$801,$W266)="","",INDEX('Per Invoice'!T$2:T$801,$W266)))</f>
        <v/>
      </c>
      <c r="U266" s="7">
        <f>IF($W266="","",IF(INDEX('Per Invoice'!U$2:U$801,$W266)="","",INDEX('Per Invoice'!U$2:U$801,$W266)))</f>
        <v/>
      </c>
      <c r="V266" s="7">
        <f>IF($W266="","",IF(INDEX('Per Invoice'!V$2:V$801,$W266)="","",INDEX('Per Invoice'!V$2:V$801,$W266)))</f>
        <v/>
      </c>
      <c r="W266" s="16">
        <f>IFERROR(MATCH(Settings!$C$28&amp;"|"&amp;ROWS($W$2:$W266),'Per Invoice'!$X$2:$X$801,0),"")</f>
        <v/>
      </c>
    </row>
    <row r="267">
      <c r="A267">
        <f>IF($W267="","",IF(INDEX('Per Invoice'!A$2:A$801,$W267)="","",INDEX('Per Invoice'!A$2:A$801,$W267)))</f>
        <v/>
      </c>
      <c r="B267">
        <f>IF($W267="","",IF(INDEX('Per Invoice'!B$2:B$801,$W267)="","",INDEX('Per Invoice'!B$2:B$801,$W267)))</f>
        <v/>
      </c>
      <c r="C267">
        <f>IF($W267="","",IF(INDEX('Per Invoice'!C$2:C$801,$W267)="","",INDEX('Per Invoice'!C$2:C$801,$W267)))</f>
        <v/>
      </c>
      <c r="D267">
        <f>IF($W267="","",IF(INDEX('Per Invoice'!D$2:D$801,$W267)="","",INDEX('Per Invoice'!D$2:D$801,$W267)))</f>
        <v/>
      </c>
      <c r="E267">
        <f>IF($W267="","",IF(INDEX('Per Invoice'!E$2:E$801,$W267)="","",INDEX('Per Invoice'!E$2:E$801,$W267)))</f>
        <v/>
      </c>
      <c r="F267">
        <f>IF($W267="","",IF(INDEX('Per Invoice'!F$2:F$801,$W267)="","",INDEX('Per Invoice'!F$2:F$801,$W267)))</f>
        <v/>
      </c>
      <c r="G267">
        <f>IF($W267="","",IF(INDEX('Per Invoice'!G$2:G$801,$W267)="","",INDEX('Per Invoice'!G$2:G$801,$W267)))</f>
        <v/>
      </c>
      <c r="H267">
        <f>IF($W267="","",IF(INDEX('Per Invoice'!H$2:H$801,$W267)="","",INDEX('Per Invoice'!H$2:H$801,$W267)))</f>
        <v/>
      </c>
      <c r="I267">
        <f>IF($W267="","",IF(INDEX('Per Invoice'!I$2:I$801,$W267)="","",INDEX('Per Invoice'!I$2:I$801,$W267)))</f>
        <v/>
      </c>
      <c r="J267">
        <f>IF($W267="","",IF(INDEX('Per Invoice'!J$2:J$801,$W267)="","",INDEX('Per Invoice'!J$2:J$801,$W267)))</f>
        <v/>
      </c>
      <c r="K267" s="7">
        <f>IF($W267="","",IF(INDEX('Per Invoice'!K$2:K$801,$W267)="","",INDEX('Per Invoice'!K$2:K$801,$W267)))</f>
        <v/>
      </c>
      <c r="L267" s="14">
        <f>IF($W267="","",IF(INDEX('Per Invoice'!L$2:L$801,$W267)="","",INDEX('Per Invoice'!L$2:L$801,$W267)))</f>
        <v/>
      </c>
      <c r="M267">
        <f>IF($W267="","",IF(INDEX('Per Invoice'!M$2:M$801,$W267)="","",INDEX('Per Invoice'!M$2:M$801,$W267)))</f>
        <v/>
      </c>
      <c r="N267" s="7">
        <f>IF($W267="","",IF(INDEX('Per Invoice'!N$2:N$801,$W267)="","",INDEX('Per Invoice'!N$2:N$801,$W267)))</f>
        <v/>
      </c>
      <c r="O267" s="7">
        <f>IF($W267="","",IF(INDEX('Per Invoice'!O$2:O$801,$W267)="","",INDEX('Per Invoice'!O$2:O$801,$W267)))</f>
        <v/>
      </c>
      <c r="P267">
        <f>IF($W267="","",IF(INDEX('Per Invoice'!P$2:P$801,$W267)="","",INDEX('Per Invoice'!P$2:P$801,$W267)))</f>
        <v/>
      </c>
      <c r="Q267" s="7">
        <f>IF($W267="","",IF(INDEX('Per Invoice'!Q$2:Q$801,$W267)="","",INDEX('Per Invoice'!Q$2:Q$801,$W267)))</f>
        <v/>
      </c>
      <c r="R267" s="7">
        <f>IF($W267="","",IF(INDEX('Per Invoice'!R$2:R$801,$W267)="","",INDEX('Per Invoice'!R$2:R$801,$W267)))</f>
        <v/>
      </c>
      <c r="S267" s="7">
        <f>IF($W267="","",IF(INDEX('Per Invoice'!S$2:S$801,$W267)="","",INDEX('Per Invoice'!S$2:S$801,$W267)))</f>
        <v/>
      </c>
      <c r="T267" s="7">
        <f>IF($W267="","",IF(INDEX('Per Invoice'!T$2:T$801,$W267)="","",INDEX('Per Invoice'!T$2:T$801,$W267)))</f>
        <v/>
      </c>
      <c r="U267" s="7">
        <f>IF($W267="","",IF(INDEX('Per Invoice'!U$2:U$801,$W267)="","",INDEX('Per Invoice'!U$2:U$801,$W267)))</f>
        <v/>
      </c>
      <c r="V267" s="7">
        <f>IF($W267="","",IF(INDEX('Per Invoice'!V$2:V$801,$W267)="","",INDEX('Per Invoice'!V$2:V$801,$W267)))</f>
        <v/>
      </c>
      <c r="W267" s="16">
        <f>IFERROR(MATCH(Settings!$C$28&amp;"|"&amp;ROWS($W$2:$W267),'Per Invoice'!$X$2:$X$801,0),"")</f>
        <v/>
      </c>
    </row>
    <row r="268">
      <c r="A268">
        <f>IF($W268="","",IF(INDEX('Per Invoice'!A$2:A$801,$W268)="","",INDEX('Per Invoice'!A$2:A$801,$W268)))</f>
        <v/>
      </c>
      <c r="B268">
        <f>IF($W268="","",IF(INDEX('Per Invoice'!B$2:B$801,$W268)="","",INDEX('Per Invoice'!B$2:B$801,$W268)))</f>
        <v/>
      </c>
      <c r="C268">
        <f>IF($W268="","",IF(INDEX('Per Invoice'!C$2:C$801,$W268)="","",INDEX('Per Invoice'!C$2:C$801,$W268)))</f>
        <v/>
      </c>
      <c r="D268">
        <f>IF($W268="","",IF(INDEX('Per Invoice'!D$2:D$801,$W268)="","",INDEX('Per Invoice'!D$2:D$801,$W268)))</f>
        <v/>
      </c>
      <c r="E268">
        <f>IF($W268="","",IF(INDEX('Per Invoice'!E$2:E$801,$W268)="","",INDEX('Per Invoice'!E$2:E$801,$W268)))</f>
        <v/>
      </c>
      <c r="F268">
        <f>IF($W268="","",IF(INDEX('Per Invoice'!F$2:F$801,$W268)="","",INDEX('Per Invoice'!F$2:F$801,$W268)))</f>
        <v/>
      </c>
      <c r="G268">
        <f>IF($W268="","",IF(INDEX('Per Invoice'!G$2:G$801,$W268)="","",INDEX('Per Invoice'!G$2:G$801,$W268)))</f>
        <v/>
      </c>
      <c r="H268">
        <f>IF($W268="","",IF(INDEX('Per Invoice'!H$2:H$801,$W268)="","",INDEX('Per Invoice'!H$2:H$801,$W268)))</f>
        <v/>
      </c>
      <c r="I268">
        <f>IF($W268="","",IF(INDEX('Per Invoice'!I$2:I$801,$W268)="","",INDEX('Per Invoice'!I$2:I$801,$W268)))</f>
        <v/>
      </c>
      <c r="J268">
        <f>IF($W268="","",IF(INDEX('Per Invoice'!J$2:J$801,$W268)="","",INDEX('Per Invoice'!J$2:J$801,$W268)))</f>
        <v/>
      </c>
      <c r="K268" s="7">
        <f>IF($W268="","",IF(INDEX('Per Invoice'!K$2:K$801,$W268)="","",INDEX('Per Invoice'!K$2:K$801,$W268)))</f>
        <v/>
      </c>
      <c r="L268" s="14">
        <f>IF($W268="","",IF(INDEX('Per Invoice'!L$2:L$801,$W268)="","",INDEX('Per Invoice'!L$2:L$801,$W268)))</f>
        <v/>
      </c>
      <c r="M268">
        <f>IF($W268="","",IF(INDEX('Per Invoice'!M$2:M$801,$W268)="","",INDEX('Per Invoice'!M$2:M$801,$W268)))</f>
        <v/>
      </c>
      <c r="N268" s="7">
        <f>IF($W268="","",IF(INDEX('Per Invoice'!N$2:N$801,$W268)="","",INDEX('Per Invoice'!N$2:N$801,$W268)))</f>
        <v/>
      </c>
      <c r="O268" s="7">
        <f>IF($W268="","",IF(INDEX('Per Invoice'!O$2:O$801,$W268)="","",INDEX('Per Invoice'!O$2:O$801,$W268)))</f>
        <v/>
      </c>
      <c r="P268">
        <f>IF($W268="","",IF(INDEX('Per Invoice'!P$2:P$801,$W268)="","",INDEX('Per Invoice'!P$2:P$801,$W268)))</f>
        <v/>
      </c>
      <c r="Q268" s="7">
        <f>IF($W268="","",IF(INDEX('Per Invoice'!Q$2:Q$801,$W268)="","",INDEX('Per Invoice'!Q$2:Q$801,$W268)))</f>
        <v/>
      </c>
      <c r="R268" s="7">
        <f>IF($W268="","",IF(INDEX('Per Invoice'!R$2:R$801,$W268)="","",INDEX('Per Invoice'!R$2:R$801,$W268)))</f>
        <v/>
      </c>
      <c r="S268" s="7">
        <f>IF($W268="","",IF(INDEX('Per Invoice'!S$2:S$801,$W268)="","",INDEX('Per Invoice'!S$2:S$801,$W268)))</f>
        <v/>
      </c>
      <c r="T268" s="7">
        <f>IF($W268="","",IF(INDEX('Per Invoice'!T$2:T$801,$W268)="","",INDEX('Per Invoice'!T$2:T$801,$W268)))</f>
        <v/>
      </c>
      <c r="U268" s="7">
        <f>IF($W268="","",IF(INDEX('Per Invoice'!U$2:U$801,$W268)="","",INDEX('Per Invoice'!U$2:U$801,$W268)))</f>
        <v/>
      </c>
      <c r="V268" s="7">
        <f>IF($W268="","",IF(INDEX('Per Invoice'!V$2:V$801,$W268)="","",INDEX('Per Invoice'!V$2:V$801,$W268)))</f>
        <v/>
      </c>
      <c r="W268" s="16">
        <f>IFERROR(MATCH(Settings!$C$28&amp;"|"&amp;ROWS($W$2:$W268),'Per Invoice'!$X$2:$X$801,0),"")</f>
        <v/>
      </c>
    </row>
    <row r="269">
      <c r="A269">
        <f>IF($W269="","",IF(INDEX('Per Invoice'!A$2:A$801,$W269)="","",INDEX('Per Invoice'!A$2:A$801,$W269)))</f>
        <v/>
      </c>
      <c r="B269">
        <f>IF($W269="","",IF(INDEX('Per Invoice'!B$2:B$801,$W269)="","",INDEX('Per Invoice'!B$2:B$801,$W269)))</f>
        <v/>
      </c>
      <c r="C269">
        <f>IF($W269="","",IF(INDEX('Per Invoice'!C$2:C$801,$W269)="","",INDEX('Per Invoice'!C$2:C$801,$W269)))</f>
        <v/>
      </c>
      <c r="D269">
        <f>IF($W269="","",IF(INDEX('Per Invoice'!D$2:D$801,$W269)="","",INDEX('Per Invoice'!D$2:D$801,$W269)))</f>
        <v/>
      </c>
      <c r="E269">
        <f>IF($W269="","",IF(INDEX('Per Invoice'!E$2:E$801,$W269)="","",INDEX('Per Invoice'!E$2:E$801,$W269)))</f>
        <v/>
      </c>
      <c r="F269">
        <f>IF($W269="","",IF(INDEX('Per Invoice'!F$2:F$801,$W269)="","",INDEX('Per Invoice'!F$2:F$801,$W269)))</f>
        <v/>
      </c>
      <c r="G269">
        <f>IF($W269="","",IF(INDEX('Per Invoice'!G$2:G$801,$W269)="","",INDEX('Per Invoice'!G$2:G$801,$W269)))</f>
        <v/>
      </c>
      <c r="H269">
        <f>IF($W269="","",IF(INDEX('Per Invoice'!H$2:H$801,$W269)="","",INDEX('Per Invoice'!H$2:H$801,$W269)))</f>
        <v/>
      </c>
      <c r="I269">
        <f>IF($W269="","",IF(INDEX('Per Invoice'!I$2:I$801,$W269)="","",INDEX('Per Invoice'!I$2:I$801,$W269)))</f>
        <v/>
      </c>
      <c r="J269">
        <f>IF($W269="","",IF(INDEX('Per Invoice'!J$2:J$801,$W269)="","",INDEX('Per Invoice'!J$2:J$801,$W269)))</f>
        <v/>
      </c>
      <c r="K269" s="7">
        <f>IF($W269="","",IF(INDEX('Per Invoice'!K$2:K$801,$W269)="","",INDEX('Per Invoice'!K$2:K$801,$W269)))</f>
        <v/>
      </c>
      <c r="L269" s="14">
        <f>IF($W269="","",IF(INDEX('Per Invoice'!L$2:L$801,$W269)="","",INDEX('Per Invoice'!L$2:L$801,$W269)))</f>
        <v/>
      </c>
      <c r="M269">
        <f>IF($W269="","",IF(INDEX('Per Invoice'!M$2:M$801,$W269)="","",INDEX('Per Invoice'!M$2:M$801,$W269)))</f>
        <v/>
      </c>
      <c r="N269" s="7">
        <f>IF($W269="","",IF(INDEX('Per Invoice'!N$2:N$801,$W269)="","",INDEX('Per Invoice'!N$2:N$801,$W269)))</f>
        <v/>
      </c>
      <c r="O269" s="7">
        <f>IF($W269="","",IF(INDEX('Per Invoice'!O$2:O$801,$W269)="","",INDEX('Per Invoice'!O$2:O$801,$W269)))</f>
        <v/>
      </c>
      <c r="P269">
        <f>IF($W269="","",IF(INDEX('Per Invoice'!P$2:P$801,$W269)="","",INDEX('Per Invoice'!P$2:P$801,$W269)))</f>
        <v/>
      </c>
      <c r="Q269" s="7">
        <f>IF($W269="","",IF(INDEX('Per Invoice'!Q$2:Q$801,$W269)="","",INDEX('Per Invoice'!Q$2:Q$801,$W269)))</f>
        <v/>
      </c>
      <c r="R269" s="7">
        <f>IF($W269="","",IF(INDEX('Per Invoice'!R$2:R$801,$W269)="","",INDEX('Per Invoice'!R$2:R$801,$W269)))</f>
        <v/>
      </c>
      <c r="S269" s="7">
        <f>IF($W269="","",IF(INDEX('Per Invoice'!S$2:S$801,$W269)="","",INDEX('Per Invoice'!S$2:S$801,$W269)))</f>
        <v/>
      </c>
      <c r="T269" s="7">
        <f>IF($W269="","",IF(INDEX('Per Invoice'!T$2:T$801,$W269)="","",INDEX('Per Invoice'!T$2:T$801,$W269)))</f>
        <v/>
      </c>
      <c r="U269" s="7">
        <f>IF($W269="","",IF(INDEX('Per Invoice'!U$2:U$801,$W269)="","",INDEX('Per Invoice'!U$2:U$801,$W269)))</f>
        <v/>
      </c>
      <c r="V269" s="7">
        <f>IF($W269="","",IF(INDEX('Per Invoice'!V$2:V$801,$W269)="","",INDEX('Per Invoice'!V$2:V$801,$W269)))</f>
        <v/>
      </c>
      <c r="W269" s="16">
        <f>IFERROR(MATCH(Settings!$C$28&amp;"|"&amp;ROWS($W$2:$W269),'Per Invoice'!$X$2:$X$801,0),"")</f>
        <v/>
      </c>
    </row>
    <row r="270">
      <c r="A270">
        <f>IF($W270="","",IF(INDEX('Per Invoice'!A$2:A$801,$W270)="","",INDEX('Per Invoice'!A$2:A$801,$W270)))</f>
        <v/>
      </c>
      <c r="B270">
        <f>IF($W270="","",IF(INDEX('Per Invoice'!B$2:B$801,$W270)="","",INDEX('Per Invoice'!B$2:B$801,$W270)))</f>
        <v/>
      </c>
      <c r="C270">
        <f>IF($W270="","",IF(INDEX('Per Invoice'!C$2:C$801,$W270)="","",INDEX('Per Invoice'!C$2:C$801,$W270)))</f>
        <v/>
      </c>
      <c r="D270">
        <f>IF($W270="","",IF(INDEX('Per Invoice'!D$2:D$801,$W270)="","",INDEX('Per Invoice'!D$2:D$801,$W270)))</f>
        <v/>
      </c>
      <c r="E270">
        <f>IF($W270="","",IF(INDEX('Per Invoice'!E$2:E$801,$W270)="","",INDEX('Per Invoice'!E$2:E$801,$W270)))</f>
        <v/>
      </c>
      <c r="F270">
        <f>IF($W270="","",IF(INDEX('Per Invoice'!F$2:F$801,$W270)="","",INDEX('Per Invoice'!F$2:F$801,$W270)))</f>
        <v/>
      </c>
      <c r="G270">
        <f>IF($W270="","",IF(INDEX('Per Invoice'!G$2:G$801,$W270)="","",INDEX('Per Invoice'!G$2:G$801,$W270)))</f>
        <v/>
      </c>
      <c r="H270">
        <f>IF($W270="","",IF(INDEX('Per Invoice'!H$2:H$801,$W270)="","",INDEX('Per Invoice'!H$2:H$801,$W270)))</f>
        <v/>
      </c>
      <c r="I270">
        <f>IF($W270="","",IF(INDEX('Per Invoice'!I$2:I$801,$W270)="","",INDEX('Per Invoice'!I$2:I$801,$W270)))</f>
        <v/>
      </c>
      <c r="J270">
        <f>IF($W270="","",IF(INDEX('Per Invoice'!J$2:J$801,$W270)="","",INDEX('Per Invoice'!J$2:J$801,$W270)))</f>
        <v/>
      </c>
      <c r="K270" s="7">
        <f>IF($W270="","",IF(INDEX('Per Invoice'!K$2:K$801,$W270)="","",INDEX('Per Invoice'!K$2:K$801,$W270)))</f>
        <v/>
      </c>
      <c r="L270" s="14">
        <f>IF($W270="","",IF(INDEX('Per Invoice'!L$2:L$801,$W270)="","",INDEX('Per Invoice'!L$2:L$801,$W270)))</f>
        <v/>
      </c>
      <c r="M270">
        <f>IF($W270="","",IF(INDEX('Per Invoice'!M$2:M$801,$W270)="","",INDEX('Per Invoice'!M$2:M$801,$W270)))</f>
        <v/>
      </c>
      <c r="N270" s="7">
        <f>IF($W270="","",IF(INDEX('Per Invoice'!N$2:N$801,$W270)="","",INDEX('Per Invoice'!N$2:N$801,$W270)))</f>
        <v/>
      </c>
      <c r="O270" s="7">
        <f>IF($W270="","",IF(INDEX('Per Invoice'!O$2:O$801,$W270)="","",INDEX('Per Invoice'!O$2:O$801,$W270)))</f>
        <v/>
      </c>
      <c r="P270">
        <f>IF($W270="","",IF(INDEX('Per Invoice'!P$2:P$801,$W270)="","",INDEX('Per Invoice'!P$2:P$801,$W270)))</f>
        <v/>
      </c>
      <c r="Q270" s="7">
        <f>IF($W270="","",IF(INDEX('Per Invoice'!Q$2:Q$801,$W270)="","",INDEX('Per Invoice'!Q$2:Q$801,$W270)))</f>
        <v/>
      </c>
      <c r="R270" s="7">
        <f>IF($W270="","",IF(INDEX('Per Invoice'!R$2:R$801,$W270)="","",INDEX('Per Invoice'!R$2:R$801,$W270)))</f>
        <v/>
      </c>
      <c r="S270" s="7">
        <f>IF($W270="","",IF(INDEX('Per Invoice'!S$2:S$801,$W270)="","",INDEX('Per Invoice'!S$2:S$801,$W270)))</f>
        <v/>
      </c>
      <c r="T270" s="7">
        <f>IF($W270="","",IF(INDEX('Per Invoice'!T$2:T$801,$W270)="","",INDEX('Per Invoice'!T$2:T$801,$W270)))</f>
        <v/>
      </c>
      <c r="U270" s="7">
        <f>IF($W270="","",IF(INDEX('Per Invoice'!U$2:U$801,$W270)="","",INDEX('Per Invoice'!U$2:U$801,$W270)))</f>
        <v/>
      </c>
      <c r="V270" s="7">
        <f>IF($W270="","",IF(INDEX('Per Invoice'!V$2:V$801,$W270)="","",INDEX('Per Invoice'!V$2:V$801,$W270)))</f>
        <v/>
      </c>
      <c r="W270" s="16">
        <f>IFERROR(MATCH(Settings!$C$28&amp;"|"&amp;ROWS($W$2:$W270),'Per Invoice'!$X$2:$X$801,0),"")</f>
        <v/>
      </c>
    </row>
    <row r="271">
      <c r="A271">
        <f>IF($W271="","",IF(INDEX('Per Invoice'!A$2:A$801,$W271)="","",INDEX('Per Invoice'!A$2:A$801,$W271)))</f>
        <v/>
      </c>
      <c r="B271">
        <f>IF($W271="","",IF(INDEX('Per Invoice'!B$2:B$801,$W271)="","",INDEX('Per Invoice'!B$2:B$801,$W271)))</f>
        <v/>
      </c>
      <c r="C271">
        <f>IF($W271="","",IF(INDEX('Per Invoice'!C$2:C$801,$W271)="","",INDEX('Per Invoice'!C$2:C$801,$W271)))</f>
        <v/>
      </c>
      <c r="D271">
        <f>IF($W271="","",IF(INDEX('Per Invoice'!D$2:D$801,$W271)="","",INDEX('Per Invoice'!D$2:D$801,$W271)))</f>
        <v/>
      </c>
      <c r="E271">
        <f>IF($W271="","",IF(INDEX('Per Invoice'!E$2:E$801,$W271)="","",INDEX('Per Invoice'!E$2:E$801,$W271)))</f>
        <v/>
      </c>
      <c r="F271">
        <f>IF($W271="","",IF(INDEX('Per Invoice'!F$2:F$801,$W271)="","",INDEX('Per Invoice'!F$2:F$801,$W271)))</f>
        <v/>
      </c>
      <c r="G271">
        <f>IF($W271="","",IF(INDEX('Per Invoice'!G$2:G$801,$W271)="","",INDEX('Per Invoice'!G$2:G$801,$W271)))</f>
        <v/>
      </c>
      <c r="H271">
        <f>IF($W271="","",IF(INDEX('Per Invoice'!H$2:H$801,$W271)="","",INDEX('Per Invoice'!H$2:H$801,$W271)))</f>
        <v/>
      </c>
      <c r="I271">
        <f>IF($W271="","",IF(INDEX('Per Invoice'!I$2:I$801,$W271)="","",INDEX('Per Invoice'!I$2:I$801,$W271)))</f>
        <v/>
      </c>
      <c r="J271">
        <f>IF($W271="","",IF(INDEX('Per Invoice'!J$2:J$801,$W271)="","",INDEX('Per Invoice'!J$2:J$801,$W271)))</f>
        <v/>
      </c>
      <c r="K271" s="7">
        <f>IF($W271="","",IF(INDEX('Per Invoice'!K$2:K$801,$W271)="","",INDEX('Per Invoice'!K$2:K$801,$W271)))</f>
        <v/>
      </c>
      <c r="L271" s="14">
        <f>IF($W271="","",IF(INDEX('Per Invoice'!L$2:L$801,$W271)="","",INDEX('Per Invoice'!L$2:L$801,$W271)))</f>
        <v/>
      </c>
      <c r="M271">
        <f>IF($W271="","",IF(INDEX('Per Invoice'!M$2:M$801,$W271)="","",INDEX('Per Invoice'!M$2:M$801,$W271)))</f>
        <v/>
      </c>
      <c r="N271" s="7">
        <f>IF($W271="","",IF(INDEX('Per Invoice'!N$2:N$801,$W271)="","",INDEX('Per Invoice'!N$2:N$801,$W271)))</f>
        <v/>
      </c>
      <c r="O271" s="7">
        <f>IF($W271="","",IF(INDEX('Per Invoice'!O$2:O$801,$W271)="","",INDEX('Per Invoice'!O$2:O$801,$W271)))</f>
        <v/>
      </c>
      <c r="P271">
        <f>IF($W271="","",IF(INDEX('Per Invoice'!P$2:P$801,$W271)="","",INDEX('Per Invoice'!P$2:P$801,$W271)))</f>
        <v/>
      </c>
      <c r="Q271" s="7">
        <f>IF($W271="","",IF(INDEX('Per Invoice'!Q$2:Q$801,$W271)="","",INDEX('Per Invoice'!Q$2:Q$801,$W271)))</f>
        <v/>
      </c>
      <c r="R271" s="7">
        <f>IF($W271="","",IF(INDEX('Per Invoice'!R$2:R$801,$W271)="","",INDEX('Per Invoice'!R$2:R$801,$W271)))</f>
        <v/>
      </c>
      <c r="S271" s="7">
        <f>IF($W271="","",IF(INDEX('Per Invoice'!S$2:S$801,$W271)="","",INDEX('Per Invoice'!S$2:S$801,$W271)))</f>
        <v/>
      </c>
      <c r="T271" s="7">
        <f>IF($W271="","",IF(INDEX('Per Invoice'!T$2:T$801,$W271)="","",INDEX('Per Invoice'!T$2:T$801,$W271)))</f>
        <v/>
      </c>
      <c r="U271" s="7">
        <f>IF($W271="","",IF(INDEX('Per Invoice'!U$2:U$801,$W271)="","",INDEX('Per Invoice'!U$2:U$801,$W271)))</f>
        <v/>
      </c>
      <c r="V271" s="7">
        <f>IF($W271="","",IF(INDEX('Per Invoice'!V$2:V$801,$W271)="","",INDEX('Per Invoice'!V$2:V$801,$W271)))</f>
        <v/>
      </c>
      <c r="W271" s="16">
        <f>IFERROR(MATCH(Settings!$C$28&amp;"|"&amp;ROWS($W$2:$W271),'Per Invoice'!$X$2:$X$801,0),"")</f>
        <v/>
      </c>
    </row>
    <row r="272">
      <c r="A272">
        <f>IF($W272="","",IF(INDEX('Per Invoice'!A$2:A$801,$W272)="","",INDEX('Per Invoice'!A$2:A$801,$W272)))</f>
        <v/>
      </c>
      <c r="B272">
        <f>IF($W272="","",IF(INDEX('Per Invoice'!B$2:B$801,$W272)="","",INDEX('Per Invoice'!B$2:B$801,$W272)))</f>
        <v/>
      </c>
      <c r="C272">
        <f>IF($W272="","",IF(INDEX('Per Invoice'!C$2:C$801,$W272)="","",INDEX('Per Invoice'!C$2:C$801,$W272)))</f>
        <v/>
      </c>
      <c r="D272">
        <f>IF($W272="","",IF(INDEX('Per Invoice'!D$2:D$801,$W272)="","",INDEX('Per Invoice'!D$2:D$801,$W272)))</f>
        <v/>
      </c>
      <c r="E272">
        <f>IF($W272="","",IF(INDEX('Per Invoice'!E$2:E$801,$W272)="","",INDEX('Per Invoice'!E$2:E$801,$W272)))</f>
        <v/>
      </c>
      <c r="F272">
        <f>IF($W272="","",IF(INDEX('Per Invoice'!F$2:F$801,$W272)="","",INDEX('Per Invoice'!F$2:F$801,$W272)))</f>
        <v/>
      </c>
      <c r="G272">
        <f>IF($W272="","",IF(INDEX('Per Invoice'!G$2:G$801,$W272)="","",INDEX('Per Invoice'!G$2:G$801,$W272)))</f>
        <v/>
      </c>
      <c r="H272">
        <f>IF($W272="","",IF(INDEX('Per Invoice'!H$2:H$801,$W272)="","",INDEX('Per Invoice'!H$2:H$801,$W272)))</f>
        <v/>
      </c>
      <c r="I272">
        <f>IF($W272="","",IF(INDEX('Per Invoice'!I$2:I$801,$W272)="","",INDEX('Per Invoice'!I$2:I$801,$W272)))</f>
        <v/>
      </c>
      <c r="J272">
        <f>IF($W272="","",IF(INDEX('Per Invoice'!J$2:J$801,$W272)="","",INDEX('Per Invoice'!J$2:J$801,$W272)))</f>
        <v/>
      </c>
      <c r="K272" s="7">
        <f>IF($W272="","",IF(INDEX('Per Invoice'!K$2:K$801,$W272)="","",INDEX('Per Invoice'!K$2:K$801,$W272)))</f>
        <v/>
      </c>
      <c r="L272" s="14">
        <f>IF($W272="","",IF(INDEX('Per Invoice'!L$2:L$801,$W272)="","",INDEX('Per Invoice'!L$2:L$801,$W272)))</f>
        <v/>
      </c>
      <c r="M272">
        <f>IF($W272="","",IF(INDEX('Per Invoice'!M$2:M$801,$W272)="","",INDEX('Per Invoice'!M$2:M$801,$W272)))</f>
        <v/>
      </c>
      <c r="N272" s="7">
        <f>IF($W272="","",IF(INDEX('Per Invoice'!N$2:N$801,$W272)="","",INDEX('Per Invoice'!N$2:N$801,$W272)))</f>
        <v/>
      </c>
      <c r="O272" s="7">
        <f>IF($W272="","",IF(INDEX('Per Invoice'!O$2:O$801,$W272)="","",INDEX('Per Invoice'!O$2:O$801,$W272)))</f>
        <v/>
      </c>
      <c r="P272">
        <f>IF($W272="","",IF(INDEX('Per Invoice'!P$2:P$801,$W272)="","",INDEX('Per Invoice'!P$2:P$801,$W272)))</f>
        <v/>
      </c>
      <c r="Q272" s="7">
        <f>IF($W272="","",IF(INDEX('Per Invoice'!Q$2:Q$801,$W272)="","",INDEX('Per Invoice'!Q$2:Q$801,$W272)))</f>
        <v/>
      </c>
      <c r="R272" s="7">
        <f>IF($W272="","",IF(INDEX('Per Invoice'!R$2:R$801,$W272)="","",INDEX('Per Invoice'!R$2:R$801,$W272)))</f>
        <v/>
      </c>
      <c r="S272" s="7">
        <f>IF($W272="","",IF(INDEX('Per Invoice'!S$2:S$801,$W272)="","",INDEX('Per Invoice'!S$2:S$801,$W272)))</f>
        <v/>
      </c>
      <c r="T272" s="7">
        <f>IF($W272="","",IF(INDEX('Per Invoice'!T$2:T$801,$W272)="","",INDEX('Per Invoice'!T$2:T$801,$W272)))</f>
        <v/>
      </c>
      <c r="U272" s="7">
        <f>IF($W272="","",IF(INDEX('Per Invoice'!U$2:U$801,$W272)="","",INDEX('Per Invoice'!U$2:U$801,$W272)))</f>
        <v/>
      </c>
      <c r="V272" s="7">
        <f>IF($W272="","",IF(INDEX('Per Invoice'!V$2:V$801,$W272)="","",INDEX('Per Invoice'!V$2:V$801,$W272)))</f>
        <v/>
      </c>
      <c r="W272" s="16">
        <f>IFERROR(MATCH(Settings!$C$28&amp;"|"&amp;ROWS($W$2:$W272),'Per Invoice'!$X$2:$X$801,0),"")</f>
        <v/>
      </c>
    </row>
    <row r="273">
      <c r="A273">
        <f>IF($W273="","",IF(INDEX('Per Invoice'!A$2:A$801,$W273)="","",INDEX('Per Invoice'!A$2:A$801,$W273)))</f>
        <v/>
      </c>
      <c r="B273">
        <f>IF($W273="","",IF(INDEX('Per Invoice'!B$2:B$801,$W273)="","",INDEX('Per Invoice'!B$2:B$801,$W273)))</f>
        <v/>
      </c>
      <c r="C273">
        <f>IF($W273="","",IF(INDEX('Per Invoice'!C$2:C$801,$W273)="","",INDEX('Per Invoice'!C$2:C$801,$W273)))</f>
        <v/>
      </c>
      <c r="D273">
        <f>IF($W273="","",IF(INDEX('Per Invoice'!D$2:D$801,$W273)="","",INDEX('Per Invoice'!D$2:D$801,$W273)))</f>
        <v/>
      </c>
      <c r="E273">
        <f>IF($W273="","",IF(INDEX('Per Invoice'!E$2:E$801,$W273)="","",INDEX('Per Invoice'!E$2:E$801,$W273)))</f>
        <v/>
      </c>
      <c r="F273">
        <f>IF($W273="","",IF(INDEX('Per Invoice'!F$2:F$801,$W273)="","",INDEX('Per Invoice'!F$2:F$801,$W273)))</f>
        <v/>
      </c>
      <c r="G273">
        <f>IF($W273="","",IF(INDEX('Per Invoice'!G$2:G$801,$W273)="","",INDEX('Per Invoice'!G$2:G$801,$W273)))</f>
        <v/>
      </c>
      <c r="H273">
        <f>IF($W273="","",IF(INDEX('Per Invoice'!H$2:H$801,$W273)="","",INDEX('Per Invoice'!H$2:H$801,$W273)))</f>
        <v/>
      </c>
      <c r="I273">
        <f>IF($W273="","",IF(INDEX('Per Invoice'!I$2:I$801,$W273)="","",INDEX('Per Invoice'!I$2:I$801,$W273)))</f>
        <v/>
      </c>
      <c r="J273">
        <f>IF($W273="","",IF(INDEX('Per Invoice'!J$2:J$801,$W273)="","",INDEX('Per Invoice'!J$2:J$801,$W273)))</f>
        <v/>
      </c>
      <c r="K273" s="7">
        <f>IF($W273="","",IF(INDEX('Per Invoice'!K$2:K$801,$W273)="","",INDEX('Per Invoice'!K$2:K$801,$W273)))</f>
        <v/>
      </c>
      <c r="L273" s="14">
        <f>IF($W273="","",IF(INDEX('Per Invoice'!L$2:L$801,$W273)="","",INDEX('Per Invoice'!L$2:L$801,$W273)))</f>
        <v/>
      </c>
      <c r="M273">
        <f>IF($W273="","",IF(INDEX('Per Invoice'!M$2:M$801,$W273)="","",INDEX('Per Invoice'!M$2:M$801,$W273)))</f>
        <v/>
      </c>
      <c r="N273" s="7">
        <f>IF($W273="","",IF(INDEX('Per Invoice'!N$2:N$801,$W273)="","",INDEX('Per Invoice'!N$2:N$801,$W273)))</f>
        <v/>
      </c>
      <c r="O273" s="7">
        <f>IF($W273="","",IF(INDEX('Per Invoice'!O$2:O$801,$W273)="","",INDEX('Per Invoice'!O$2:O$801,$W273)))</f>
        <v/>
      </c>
      <c r="P273">
        <f>IF($W273="","",IF(INDEX('Per Invoice'!P$2:P$801,$W273)="","",INDEX('Per Invoice'!P$2:P$801,$W273)))</f>
        <v/>
      </c>
      <c r="Q273" s="7">
        <f>IF($W273="","",IF(INDEX('Per Invoice'!Q$2:Q$801,$W273)="","",INDEX('Per Invoice'!Q$2:Q$801,$W273)))</f>
        <v/>
      </c>
      <c r="R273" s="7">
        <f>IF($W273="","",IF(INDEX('Per Invoice'!R$2:R$801,$W273)="","",INDEX('Per Invoice'!R$2:R$801,$W273)))</f>
        <v/>
      </c>
      <c r="S273" s="7">
        <f>IF($W273="","",IF(INDEX('Per Invoice'!S$2:S$801,$W273)="","",INDEX('Per Invoice'!S$2:S$801,$W273)))</f>
        <v/>
      </c>
      <c r="T273" s="7">
        <f>IF($W273="","",IF(INDEX('Per Invoice'!T$2:T$801,$W273)="","",INDEX('Per Invoice'!T$2:T$801,$W273)))</f>
        <v/>
      </c>
      <c r="U273" s="7">
        <f>IF($W273="","",IF(INDEX('Per Invoice'!U$2:U$801,$W273)="","",INDEX('Per Invoice'!U$2:U$801,$W273)))</f>
        <v/>
      </c>
      <c r="V273" s="7">
        <f>IF($W273="","",IF(INDEX('Per Invoice'!V$2:V$801,$W273)="","",INDEX('Per Invoice'!V$2:V$801,$W273)))</f>
        <v/>
      </c>
      <c r="W273" s="16">
        <f>IFERROR(MATCH(Settings!$C$28&amp;"|"&amp;ROWS($W$2:$W273),'Per Invoice'!$X$2:$X$801,0),"")</f>
        <v/>
      </c>
    </row>
    <row r="274">
      <c r="A274">
        <f>IF($W274="","",IF(INDEX('Per Invoice'!A$2:A$801,$W274)="","",INDEX('Per Invoice'!A$2:A$801,$W274)))</f>
        <v/>
      </c>
      <c r="B274">
        <f>IF($W274="","",IF(INDEX('Per Invoice'!B$2:B$801,$W274)="","",INDEX('Per Invoice'!B$2:B$801,$W274)))</f>
        <v/>
      </c>
      <c r="C274">
        <f>IF($W274="","",IF(INDEX('Per Invoice'!C$2:C$801,$W274)="","",INDEX('Per Invoice'!C$2:C$801,$W274)))</f>
        <v/>
      </c>
      <c r="D274">
        <f>IF($W274="","",IF(INDEX('Per Invoice'!D$2:D$801,$W274)="","",INDEX('Per Invoice'!D$2:D$801,$W274)))</f>
        <v/>
      </c>
      <c r="E274">
        <f>IF($W274="","",IF(INDEX('Per Invoice'!E$2:E$801,$W274)="","",INDEX('Per Invoice'!E$2:E$801,$W274)))</f>
        <v/>
      </c>
      <c r="F274">
        <f>IF($W274="","",IF(INDEX('Per Invoice'!F$2:F$801,$W274)="","",INDEX('Per Invoice'!F$2:F$801,$W274)))</f>
        <v/>
      </c>
      <c r="G274">
        <f>IF($W274="","",IF(INDEX('Per Invoice'!G$2:G$801,$W274)="","",INDEX('Per Invoice'!G$2:G$801,$W274)))</f>
        <v/>
      </c>
      <c r="H274">
        <f>IF($W274="","",IF(INDEX('Per Invoice'!H$2:H$801,$W274)="","",INDEX('Per Invoice'!H$2:H$801,$W274)))</f>
        <v/>
      </c>
      <c r="I274">
        <f>IF($W274="","",IF(INDEX('Per Invoice'!I$2:I$801,$W274)="","",INDEX('Per Invoice'!I$2:I$801,$W274)))</f>
        <v/>
      </c>
      <c r="J274">
        <f>IF($W274="","",IF(INDEX('Per Invoice'!J$2:J$801,$W274)="","",INDEX('Per Invoice'!J$2:J$801,$W274)))</f>
        <v/>
      </c>
      <c r="K274" s="7">
        <f>IF($W274="","",IF(INDEX('Per Invoice'!K$2:K$801,$W274)="","",INDEX('Per Invoice'!K$2:K$801,$W274)))</f>
        <v/>
      </c>
      <c r="L274" s="14">
        <f>IF($W274="","",IF(INDEX('Per Invoice'!L$2:L$801,$W274)="","",INDEX('Per Invoice'!L$2:L$801,$W274)))</f>
        <v/>
      </c>
      <c r="M274">
        <f>IF($W274="","",IF(INDEX('Per Invoice'!M$2:M$801,$W274)="","",INDEX('Per Invoice'!M$2:M$801,$W274)))</f>
        <v/>
      </c>
      <c r="N274" s="7">
        <f>IF($W274="","",IF(INDEX('Per Invoice'!N$2:N$801,$W274)="","",INDEX('Per Invoice'!N$2:N$801,$W274)))</f>
        <v/>
      </c>
      <c r="O274" s="7">
        <f>IF($W274="","",IF(INDEX('Per Invoice'!O$2:O$801,$W274)="","",INDEX('Per Invoice'!O$2:O$801,$W274)))</f>
        <v/>
      </c>
      <c r="P274">
        <f>IF($W274="","",IF(INDEX('Per Invoice'!P$2:P$801,$W274)="","",INDEX('Per Invoice'!P$2:P$801,$W274)))</f>
        <v/>
      </c>
      <c r="Q274" s="7">
        <f>IF($W274="","",IF(INDEX('Per Invoice'!Q$2:Q$801,$W274)="","",INDEX('Per Invoice'!Q$2:Q$801,$W274)))</f>
        <v/>
      </c>
      <c r="R274" s="7">
        <f>IF($W274="","",IF(INDEX('Per Invoice'!R$2:R$801,$W274)="","",INDEX('Per Invoice'!R$2:R$801,$W274)))</f>
        <v/>
      </c>
      <c r="S274" s="7">
        <f>IF($W274="","",IF(INDEX('Per Invoice'!S$2:S$801,$W274)="","",INDEX('Per Invoice'!S$2:S$801,$W274)))</f>
        <v/>
      </c>
      <c r="T274" s="7">
        <f>IF($W274="","",IF(INDEX('Per Invoice'!T$2:T$801,$W274)="","",INDEX('Per Invoice'!T$2:T$801,$W274)))</f>
        <v/>
      </c>
      <c r="U274" s="7">
        <f>IF($W274="","",IF(INDEX('Per Invoice'!U$2:U$801,$W274)="","",INDEX('Per Invoice'!U$2:U$801,$W274)))</f>
        <v/>
      </c>
      <c r="V274" s="7">
        <f>IF($W274="","",IF(INDEX('Per Invoice'!V$2:V$801,$W274)="","",INDEX('Per Invoice'!V$2:V$801,$W274)))</f>
        <v/>
      </c>
      <c r="W274" s="16">
        <f>IFERROR(MATCH(Settings!$C$28&amp;"|"&amp;ROWS($W$2:$W274),'Per Invoice'!$X$2:$X$801,0),"")</f>
        <v/>
      </c>
    </row>
    <row r="275">
      <c r="A275">
        <f>IF($W275="","",IF(INDEX('Per Invoice'!A$2:A$801,$W275)="","",INDEX('Per Invoice'!A$2:A$801,$W275)))</f>
        <v/>
      </c>
      <c r="B275">
        <f>IF($W275="","",IF(INDEX('Per Invoice'!B$2:B$801,$W275)="","",INDEX('Per Invoice'!B$2:B$801,$W275)))</f>
        <v/>
      </c>
      <c r="C275">
        <f>IF($W275="","",IF(INDEX('Per Invoice'!C$2:C$801,$W275)="","",INDEX('Per Invoice'!C$2:C$801,$W275)))</f>
        <v/>
      </c>
      <c r="D275">
        <f>IF($W275="","",IF(INDEX('Per Invoice'!D$2:D$801,$W275)="","",INDEX('Per Invoice'!D$2:D$801,$W275)))</f>
        <v/>
      </c>
      <c r="E275">
        <f>IF($W275="","",IF(INDEX('Per Invoice'!E$2:E$801,$W275)="","",INDEX('Per Invoice'!E$2:E$801,$W275)))</f>
        <v/>
      </c>
      <c r="F275">
        <f>IF($W275="","",IF(INDEX('Per Invoice'!F$2:F$801,$W275)="","",INDEX('Per Invoice'!F$2:F$801,$W275)))</f>
        <v/>
      </c>
      <c r="G275">
        <f>IF($W275="","",IF(INDEX('Per Invoice'!G$2:G$801,$W275)="","",INDEX('Per Invoice'!G$2:G$801,$W275)))</f>
        <v/>
      </c>
      <c r="H275">
        <f>IF($W275="","",IF(INDEX('Per Invoice'!H$2:H$801,$W275)="","",INDEX('Per Invoice'!H$2:H$801,$W275)))</f>
        <v/>
      </c>
      <c r="I275">
        <f>IF($W275="","",IF(INDEX('Per Invoice'!I$2:I$801,$W275)="","",INDEX('Per Invoice'!I$2:I$801,$W275)))</f>
        <v/>
      </c>
      <c r="J275">
        <f>IF($W275="","",IF(INDEX('Per Invoice'!J$2:J$801,$W275)="","",INDEX('Per Invoice'!J$2:J$801,$W275)))</f>
        <v/>
      </c>
      <c r="K275" s="7">
        <f>IF($W275="","",IF(INDEX('Per Invoice'!K$2:K$801,$W275)="","",INDEX('Per Invoice'!K$2:K$801,$W275)))</f>
        <v/>
      </c>
      <c r="L275" s="14">
        <f>IF($W275="","",IF(INDEX('Per Invoice'!L$2:L$801,$W275)="","",INDEX('Per Invoice'!L$2:L$801,$W275)))</f>
        <v/>
      </c>
      <c r="M275">
        <f>IF($W275="","",IF(INDEX('Per Invoice'!M$2:M$801,$W275)="","",INDEX('Per Invoice'!M$2:M$801,$W275)))</f>
        <v/>
      </c>
      <c r="N275" s="7">
        <f>IF($W275="","",IF(INDEX('Per Invoice'!N$2:N$801,$W275)="","",INDEX('Per Invoice'!N$2:N$801,$W275)))</f>
        <v/>
      </c>
      <c r="O275" s="7">
        <f>IF($W275="","",IF(INDEX('Per Invoice'!O$2:O$801,$W275)="","",INDEX('Per Invoice'!O$2:O$801,$W275)))</f>
        <v/>
      </c>
      <c r="P275">
        <f>IF($W275="","",IF(INDEX('Per Invoice'!P$2:P$801,$W275)="","",INDEX('Per Invoice'!P$2:P$801,$W275)))</f>
        <v/>
      </c>
      <c r="Q275" s="7">
        <f>IF($W275="","",IF(INDEX('Per Invoice'!Q$2:Q$801,$W275)="","",INDEX('Per Invoice'!Q$2:Q$801,$W275)))</f>
        <v/>
      </c>
      <c r="R275" s="7">
        <f>IF($W275="","",IF(INDEX('Per Invoice'!R$2:R$801,$W275)="","",INDEX('Per Invoice'!R$2:R$801,$W275)))</f>
        <v/>
      </c>
      <c r="S275" s="7">
        <f>IF($W275="","",IF(INDEX('Per Invoice'!S$2:S$801,$W275)="","",INDEX('Per Invoice'!S$2:S$801,$W275)))</f>
        <v/>
      </c>
      <c r="T275" s="7">
        <f>IF($W275="","",IF(INDEX('Per Invoice'!T$2:T$801,$W275)="","",INDEX('Per Invoice'!T$2:T$801,$W275)))</f>
        <v/>
      </c>
      <c r="U275" s="7">
        <f>IF($W275="","",IF(INDEX('Per Invoice'!U$2:U$801,$W275)="","",INDEX('Per Invoice'!U$2:U$801,$W275)))</f>
        <v/>
      </c>
      <c r="V275" s="7">
        <f>IF($W275="","",IF(INDEX('Per Invoice'!V$2:V$801,$W275)="","",INDEX('Per Invoice'!V$2:V$801,$W275)))</f>
        <v/>
      </c>
      <c r="W275" s="16">
        <f>IFERROR(MATCH(Settings!$C$28&amp;"|"&amp;ROWS($W$2:$W275),'Per Invoice'!$X$2:$X$801,0),"")</f>
        <v/>
      </c>
    </row>
    <row r="276">
      <c r="A276">
        <f>IF($W276="","",IF(INDEX('Per Invoice'!A$2:A$801,$W276)="","",INDEX('Per Invoice'!A$2:A$801,$W276)))</f>
        <v/>
      </c>
      <c r="B276">
        <f>IF($W276="","",IF(INDEX('Per Invoice'!B$2:B$801,$W276)="","",INDEX('Per Invoice'!B$2:B$801,$W276)))</f>
        <v/>
      </c>
      <c r="C276">
        <f>IF($W276="","",IF(INDEX('Per Invoice'!C$2:C$801,$W276)="","",INDEX('Per Invoice'!C$2:C$801,$W276)))</f>
        <v/>
      </c>
      <c r="D276">
        <f>IF($W276="","",IF(INDEX('Per Invoice'!D$2:D$801,$W276)="","",INDEX('Per Invoice'!D$2:D$801,$W276)))</f>
        <v/>
      </c>
      <c r="E276">
        <f>IF($W276="","",IF(INDEX('Per Invoice'!E$2:E$801,$W276)="","",INDEX('Per Invoice'!E$2:E$801,$W276)))</f>
        <v/>
      </c>
      <c r="F276">
        <f>IF($W276="","",IF(INDEX('Per Invoice'!F$2:F$801,$W276)="","",INDEX('Per Invoice'!F$2:F$801,$W276)))</f>
        <v/>
      </c>
      <c r="G276">
        <f>IF($W276="","",IF(INDEX('Per Invoice'!G$2:G$801,$W276)="","",INDEX('Per Invoice'!G$2:G$801,$W276)))</f>
        <v/>
      </c>
      <c r="H276">
        <f>IF($W276="","",IF(INDEX('Per Invoice'!H$2:H$801,$W276)="","",INDEX('Per Invoice'!H$2:H$801,$W276)))</f>
        <v/>
      </c>
      <c r="I276">
        <f>IF($W276="","",IF(INDEX('Per Invoice'!I$2:I$801,$W276)="","",INDEX('Per Invoice'!I$2:I$801,$W276)))</f>
        <v/>
      </c>
      <c r="J276">
        <f>IF($W276="","",IF(INDEX('Per Invoice'!J$2:J$801,$W276)="","",INDEX('Per Invoice'!J$2:J$801,$W276)))</f>
        <v/>
      </c>
      <c r="K276" s="7">
        <f>IF($W276="","",IF(INDEX('Per Invoice'!K$2:K$801,$W276)="","",INDEX('Per Invoice'!K$2:K$801,$W276)))</f>
        <v/>
      </c>
      <c r="L276" s="14">
        <f>IF($W276="","",IF(INDEX('Per Invoice'!L$2:L$801,$W276)="","",INDEX('Per Invoice'!L$2:L$801,$W276)))</f>
        <v/>
      </c>
      <c r="M276">
        <f>IF($W276="","",IF(INDEX('Per Invoice'!M$2:M$801,$W276)="","",INDEX('Per Invoice'!M$2:M$801,$W276)))</f>
        <v/>
      </c>
      <c r="N276" s="7">
        <f>IF($W276="","",IF(INDEX('Per Invoice'!N$2:N$801,$W276)="","",INDEX('Per Invoice'!N$2:N$801,$W276)))</f>
        <v/>
      </c>
      <c r="O276" s="7">
        <f>IF($W276="","",IF(INDEX('Per Invoice'!O$2:O$801,$W276)="","",INDEX('Per Invoice'!O$2:O$801,$W276)))</f>
        <v/>
      </c>
      <c r="P276">
        <f>IF($W276="","",IF(INDEX('Per Invoice'!P$2:P$801,$W276)="","",INDEX('Per Invoice'!P$2:P$801,$W276)))</f>
        <v/>
      </c>
      <c r="Q276" s="7">
        <f>IF($W276="","",IF(INDEX('Per Invoice'!Q$2:Q$801,$W276)="","",INDEX('Per Invoice'!Q$2:Q$801,$W276)))</f>
        <v/>
      </c>
      <c r="R276" s="7">
        <f>IF($W276="","",IF(INDEX('Per Invoice'!R$2:R$801,$W276)="","",INDEX('Per Invoice'!R$2:R$801,$W276)))</f>
        <v/>
      </c>
      <c r="S276" s="7">
        <f>IF($W276="","",IF(INDEX('Per Invoice'!S$2:S$801,$W276)="","",INDEX('Per Invoice'!S$2:S$801,$W276)))</f>
        <v/>
      </c>
      <c r="T276" s="7">
        <f>IF($W276="","",IF(INDEX('Per Invoice'!T$2:T$801,$W276)="","",INDEX('Per Invoice'!T$2:T$801,$W276)))</f>
        <v/>
      </c>
      <c r="U276" s="7">
        <f>IF($W276="","",IF(INDEX('Per Invoice'!U$2:U$801,$W276)="","",INDEX('Per Invoice'!U$2:U$801,$W276)))</f>
        <v/>
      </c>
      <c r="V276" s="7">
        <f>IF($W276="","",IF(INDEX('Per Invoice'!V$2:V$801,$W276)="","",INDEX('Per Invoice'!V$2:V$801,$W276)))</f>
        <v/>
      </c>
      <c r="W276" s="16">
        <f>IFERROR(MATCH(Settings!$C$28&amp;"|"&amp;ROWS($W$2:$W276),'Per Invoice'!$X$2:$X$801,0),"")</f>
        <v/>
      </c>
    </row>
    <row r="277">
      <c r="A277">
        <f>IF($W277="","",IF(INDEX('Per Invoice'!A$2:A$801,$W277)="","",INDEX('Per Invoice'!A$2:A$801,$W277)))</f>
        <v/>
      </c>
      <c r="B277">
        <f>IF($W277="","",IF(INDEX('Per Invoice'!B$2:B$801,$W277)="","",INDEX('Per Invoice'!B$2:B$801,$W277)))</f>
        <v/>
      </c>
      <c r="C277">
        <f>IF($W277="","",IF(INDEX('Per Invoice'!C$2:C$801,$W277)="","",INDEX('Per Invoice'!C$2:C$801,$W277)))</f>
        <v/>
      </c>
      <c r="D277">
        <f>IF($W277="","",IF(INDEX('Per Invoice'!D$2:D$801,$W277)="","",INDEX('Per Invoice'!D$2:D$801,$W277)))</f>
        <v/>
      </c>
      <c r="E277">
        <f>IF($W277="","",IF(INDEX('Per Invoice'!E$2:E$801,$W277)="","",INDEX('Per Invoice'!E$2:E$801,$W277)))</f>
        <v/>
      </c>
      <c r="F277">
        <f>IF($W277="","",IF(INDEX('Per Invoice'!F$2:F$801,$W277)="","",INDEX('Per Invoice'!F$2:F$801,$W277)))</f>
        <v/>
      </c>
      <c r="G277">
        <f>IF($W277="","",IF(INDEX('Per Invoice'!G$2:G$801,$W277)="","",INDEX('Per Invoice'!G$2:G$801,$W277)))</f>
        <v/>
      </c>
      <c r="H277">
        <f>IF($W277="","",IF(INDEX('Per Invoice'!H$2:H$801,$W277)="","",INDEX('Per Invoice'!H$2:H$801,$W277)))</f>
        <v/>
      </c>
      <c r="I277">
        <f>IF($W277="","",IF(INDEX('Per Invoice'!I$2:I$801,$W277)="","",INDEX('Per Invoice'!I$2:I$801,$W277)))</f>
        <v/>
      </c>
      <c r="J277">
        <f>IF($W277="","",IF(INDEX('Per Invoice'!J$2:J$801,$W277)="","",INDEX('Per Invoice'!J$2:J$801,$W277)))</f>
        <v/>
      </c>
      <c r="K277" s="7">
        <f>IF($W277="","",IF(INDEX('Per Invoice'!K$2:K$801,$W277)="","",INDEX('Per Invoice'!K$2:K$801,$W277)))</f>
        <v/>
      </c>
      <c r="L277" s="14">
        <f>IF($W277="","",IF(INDEX('Per Invoice'!L$2:L$801,$W277)="","",INDEX('Per Invoice'!L$2:L$801,$W277)))</f>
        <v/>
      </c>
      <c r="M277">
        <f>IF($W277="","",IF(INDEX('Per Invoice'!M$2:M$801,$W277)="","",INDEX('Per Invoice'!M$2:M$801,$W277)))</f>
        <v/>
      </c>
      <c r="N277" s="7">
        <f>IF($W277="","",IF(INDEX('Per Invoice'!N$2:N$801,$W277)="","",INDEX('Per Invoice'!N$2:N$801,$W277)))</f>
        <v/>
      </c>
      <c r="O277" s="7">
        <f>IF($W277="","",IF(INDEX('Per Invoice'!O$2:O$801,$W277)="","",INDEX('Per Invoice'!O$2:O$801,$W277)))</f>
        <v/>
      </c>
      <c r="P277">
        <f>IF($W277="","",IF(INDEX('Per Invoice'!P$2:P$801,$W277)="","",INDEX('Per Invoice'!P$2:P$801,$W277)))</f>
        <v/>
      </c>
      <c r="Q277" s="7">
        <f>IF($W277="","",IF(INDEX('Per Invoice'!Q$2:Q$801,$W277)="","",INDEX('Per Invoice'!Q$2:Q$801,$W277)))</f>
        <v/>
      </c>
      <c r="R277" s="7">
        <f>IF($W277="","",IF(INDEX('Per Invoice'!R$2:R$801,$W277)="","",INDEX('Per Invoice'!R$2:R$801,$W277)))</f>
        <v/>
      </c>
      <c r="S277" s="7">
        <f>IF($W277="","",IF(INDEX('Per Invoice'!S$2:S$801,$W277)="","",INDEX('Per Invoice'!S$2:S$801,$W277)))</f>
        <v/>
      </c>
      <c r="T277" s="7">
        <f>IF($W277="","",IF(INDEX('Per Invoice'!T$2:T$801,$W277)="","",INDEX('Per Invoice'!T$2:T$801,$W277)))</f>
        <v/>
      </c>
      <c r="U277" s="7">
        <f>IF($W277="","",IF(INDEX('Per Invoice'!U$2:U$801,$W277)="","",INDEX('Per Invoice'!U$2:U$801,$W277)))</f>
        <v/>
      </c>
      <c r="V277" s="7">
        <f>IF($W277="","",IF(INDEX('Per Invoice'!V$2:V$801,$W277)="","",INDEX('Per Invoice'!V$2:V$801,$W277)))</f>
        <v/>
      </c>
      <c r="W277" s="16">
        <f>IFERROR(MATCH(Settings!$C$28&amp;"|"&amp;ROWS($W$2:$W277),'Per Invoice'!$X$2:$X$801,0),"")</f>
        <v/>
      </c>
    </row>
    <row r="278">
      <c r="A278">
        <f>IF($W278="","",IF(INDEX('Per Invoice'!A$2:A$801,$W278)="","",INDEX('Per Invoice'!A$2:A$801,$W278)))</f>
        <v/>
      </c>
      <c r="B278">
        <f>IF($W278="","",IF(INDEX('Per Invoice'!B$2:B$801,$W278)="","",INDEX('Per Invoice'!B$2:B$801,$W278)))</f>
        <v/>
      </c>
      <c r="C278">
        <f>IF($W278="","",IF(INDEX('Per Invoice'!C$2:C$801,$W278)="","",INDEX('Per Invoice'!C$2:C$801,$W278)))</f>
        <v/>
      </c>
      <c r="D278">
        <f>IF($W278="","",IF(INDEX('Per Invoice'!D$2:D$801,$W278)="","",INDEX('Per Invoice'!D$2:D$801,$W278)))</f>
        <v/>
      </c>
      <c r="E278">
        <f>IF($W278="","",IF(INDEX('Per Invoice'!E$2:E$801,$W278)="","",INDEX('Per Invoice'!E$2:E$801,$W278)))</f>
        <v/>
      </c>
      <c r="F278">
        <f>IF($W278="","",IF(INDEX('Per Invoice'!F$2:F$801,$W278)="","",INDEX('Per Invoice'!F$2:F$801,$W278)))</f>
        <v/>
      </c>
      <c r="G278">
        <f>IF($W278="","",IF(INDEX('Per Invoice'!G$2:G$801,$W278)="","",INDEX('Per Invoice'!G$2:G$801,$W278)))</f>
        <v/>
      </c>
      <c r="H278">
        <f>IF($W278="","",IF(INDEX('Per Invoice'!H$2:H$801,$W278)="","",INDEX('Per Invoice'!H$2:H$801,$W278)))</f>
        <v/>
      </c>
      <c r="I278">
        <f>IF($W278="","",IF(INDEX('Per Invoice'!I$2:I$801,$W278)="","",INDEX('Per Invoice'!I$2:I$801,$W278)))</f>
        <v/>
      </c>
      <c r="J278">
        <f>IF($W278="","",IF(INDEX('Per Invoice'!J$2:J$801,$W278)="","",INDEX('Per Invoice'!J$2:J$801,$W278)))</f>
        <v/>
      </c>
      <c r="K278" s="7">
        <f>IF($W278="","",IF(INDEX('Per Invoice'!K$2:K$801,$W278)="","",INDEX('Per Invoice'!K$2:K$801,$W278)))</f>
        <v/>
      </c>
      <c r="L278" s="14">
        <f>IF($W278="","",IF(INDEX('Per Invoice'!L$2:L$801,$W278)="","",INDEX('Per Invoice'!L$2:L$801,$W278)))</f>
        <v/>
      </c>
      <c r="M278">
        <f>IF($W278="","",IF(INDEX('Per Invoice'!M$2:M$801,$W278)="","",INDEX('Per Invoice'!M$2:M$801,$W278)))</f>
        <v/>
      </c>
      <c r="N278" s="7">
        <f>IF($W278="","",IF(INDEX('Per Invoice'!N$2:N$801,$W278)="","",INDEX('Per Invoice'!N$2:N$801,$W278)))</f>
        <v/>
      </c>
      <c r="O278" s="7">
        <f>IF($W278="","",IF(INDEX('Per Invoice'!O$2:O$801,$W278)="","",INDEX('Per Invoice'!O$2:O$801,$W278)))</f>
        <v/>
      </c>
      <c r="P278">
        <f>IF($W278="","",IF(INDEX('Per Invoice'!P$2:P$801,$W278)="","",INDEX('Per Invoice'!P$2:P$801,$W278)))</f>
        <v/>
      </c>
      <c r="Q278" s="7">
        <f>IF($W278="","",IF(INDEX('Per Invoice'!Q$2:Q$801,$W278)="","",INDEX('Per Invoice'!Q$2:Q$801,$W278)))</f>
        <v/>
      </c>
      <c r="R278" s="7">
        <f>IF($W278="","",IF(INDEX('Per Invoice'!R$2:R$801,$W278)="","",INDEX('Per Invoice'!R$2:R$801,$W278)))</f>
        <v/>
      </c>
      <c r="S278" s="7">
        <f>IF($W278="","",IF(INDEX('Per Invoice'!S$2:S$801,$W278)="","",INDEX('Per Invoice'!S$2:S$801,$W278)))</f>
        <v/>
      </c>
      <c r="T278" s="7">
        <f>IF($W278="","",IF(INDEX('Per Invoice'!T$2:T$801,$W278)="","",INDEX('Per Invoice'!T$2:T$801,$W278)))</f>
        <v/>
      </c>
      <c r="U278" s="7">
        <f>IF($W278="","",IF(INDEX('Per Invoice'!U$2:U$801,$W278)="","",INDEX('Per Invoice'!U$2:U$801,$W278)))</f>
        <v/>
      </c>
      <c r="V278" s="7">
        <f>IF($W278="","",IF(INDEX('Per Invoice'!V$2:V$801,$W278)="","",INDEX('Per Invoice'!V$2:V$801,$W278)))</f>
        <v/>
      </c>
      <c r="W278" s="16">
        <f>IFERROR(MATCH(Settings!$C$28&amp;"|"&amp;ROWS($W$2:$W278),'Per Invoice'!$X$2:$X$801,0),"")</f>
        <v/>
      </c>
    </row>
    <row r="279">
      <c r="A279">
        <f>IF($W279="","",IF(INDEX('Per Invoice'!A$2:A$801,$W279)="","",INDEX('Per Invoice'!A$2:A$801,$W279)))</f>
        <v/>
      </c>
      <c r="B279">
        <f>IF($W279="","",IF(INDEX('Per Invoice'!B$2:B$801,$W279)="","",INDEX('Per Invoice'!B$2:B$801,$W279)))</f>
        <v/>
      </c>
      <c r="C279">
        <f>IF($W279="","",IF(INDEX('Per Invoice'!C$2:C$801,$W279)="","",INDEX('Per Invoice'!C$2:C$801,$W279)))</f>
        <v/>
      </c>
      <c r="D279">
        <f>IF($W279="","",IF(INDEX('Per Invoice'!D$2:D$801,$W279)="","",INDEX('Per Invoice'!D$2:D$801,$W279)))</f>
        <v/>
      </c>
      <c r="E279">
        <f>IF($W279="","",IF(INDEX('Per Invoice'!E$2:E$801,$W279)="","",INDEX('Per Invoice'!E$2:E$801,$W279)))</f>
        <v/>
      </c>
      <c r="F279">
        <f>IF($W279="","",IF(INDEX('Per Invoice'!F$2:F$801,$W279)="","",INDEX('Per Invoice'!F$2:F$801,$W279)))</f>
        <v/>
      </c>
      <c r="G279">
        <f>IF($W279="","",IF(INDEX('Per Invoice'!G$2:G$801,$W279)="","",INDEX('Per Invoice'!G$2:G$801,$W279)))</f>
        <v/>
      </c>
      <c r="H279">
        <f>IF($W279="","",IF(INDEX('Per Invoice'!H$2:H$801,$W279)="","",INDEX('Per Invoice'!H$2:H$801,$W279)))</f>
        <v/>
      </c>
      <c r="I279">
        <f>IF($W279="","",IF(INDEX('Per Invoice'!I$2:I$801,$W279)="","",INDEX('Per Invoice'!I$2:I$801,$W279)))</f>
        <v/>
      </c>
      <c r="J279">
        <f>IF($W279="","",IF(INDEX('Per Invoice'!J$2:J$801,$W279)="","",INDEX('Per Invoice'!J$2:J$801,$W279)))</f>
        <v/>
      </c>
      <c r="K279" s="7">
        <f>IF($W279="","",IF(INDEX('Per Invoice'!K$2:K$801,$W279)="","",INDEX('Per Invoice'!K$2:K$801,$W279)))</f>
        <v/>
      </c>
      <c r="L279" s="14">
        <f>IF($W279="","",IF(INDEX('Per Invoice'!L$2:L$801,$W279)="","",INDEX('Per Invoice'!L$2:L$801,$W279)))</f>
        <v/>
      </c>
      <c r="M279">
        <f>IF($W279="","",IF(INDEX('Per Invoice'!M$2:M$801,$W279)="","",INDEX('Per Invoice'!M$2:M$801,$W279)))</f>
        <v/>
      </c>
      <c r="N279" s="7">
        <f>IF($W279="","",IF(INDEX('Per Invoice'!N$2:N$801,$W279)="","",INDEX('Per Invoice'!N$2:N$801,$W279)))</f>
        <v/>
      </c>
      <c r="O279" s="7">
        <f>IF($W279="","",IF(INDEX('Per Invoice'!O$2:O$801,$W279)="","",INDEX('Per Invoice'!O$2:O$801,$W279)))</f>
        <v/>
      </c>
      <c r="P279">
        <f>IF($W279="","",IF(INDEX('Per Invoice'!P$2:P$801,$W279)="","",INDEX('Per Invoice'!P$2:P$801,$W279)))</f>
        <v/>
      </c>
      <c r="Q279" s="7">
        <f>IF($W279="","",IF(INDEX('Per Invoice'!Q$2:Q$801,$W279)="","",INDEX('Per Invoice'!Q$2:Q$801,$W279)))</f>
        <v/>
      </c>
      <c r="R279" s="7">
        <f>IF($W279="","",IF(INDEX('Per Invoice'!R$2:R$801,$W279)="","",INDEX('Per Invoice'!R$2:R$801,$W279)))</f>
        <v/>
      </c>
      <c r="S279" s="7">
        <f>IF($W279="","",IF(INDEX('Per Invoice'!S$2:S$801,$W279)="","",INDEX('Per Invoice'!S$2:S$801,$W279)))</f>
        <v/>
      </c>
      <c r="T279" s="7">
        <f>IF($W279="","",IF(INDEX('Per Invoice'!T$2:T$801,$W279)="","",INDEX('Per Invoice'!T$2:T$801,$W279)))</f>
        <v/>
      </c>
      <c r="U279" s="7">
        <f>IF($W279="","",IF(INDEX('Per Invoice'!U$2:U$801,$W279)="","",INDEX('Per Invoice'!U$2:U$801,$W279)))</f>
        <v/>
      </c>
      <c r="V279" s="7">
        <f>IF($W279="","",IF(INDEX('Per Invoice'!V$2:V$801,$W279)="","",INDEX('Per Invoice'!V$2:V$801,$W279)))</f>
        <v/>
      </c>
      <c r="W279" s="16">
        <f>IFERROR(MATCH(Settings!$C$28&amp;"|"&amp;ROWS($W$2:$W279),'Per Invoice'!$X$2:$X$801,0),"")</f>
        <v/>
      </c>
    </row>
    <row r="280">
      <c r="A280">
        <f>IF($W280="","",IF(INDEX('Per Invoice'!A$2:A$801,$W280)="","",INDEX('Per Invoice'!A$2:A$801,$W280)))</f>
        <v/>
      </c>
      <c r="B280">
        <f>IF($W280="","",IF(INDEX('Per Invoice'!B$2:B$801,$W280)="","",INDEX('Per Invoice'!B$2:B$801,$W280)))</f>
        <v/>
      </c>
      <c r="C280">
        <f>IF($W280="","",IF(INDEX('Per Invoice'!C$2:C$801,$W280)="","",INDEX('Per Invoice'!C$2:C$801,$W280)))</f>
        <v/>
      </c>
      <c r="D280">
        <f>IF($W280="","",IF(INDEX('Per Invoice'!D$2:D$801,$W280)="","",INDEX('Per Invoice'!D$2:D$801,$W280)))</f>
        <v/>
      </c>
      <c r="E280">
        <f>IF($W280="","",IF(INDEX('Per Invoice'!E$2:E$801,$W280)="","",INDEX('Per Invoice'!E$2:E$801,$W280)))</f>
        <v/>
      </c>
      <c r="F280">
        <f>IF($W280="","",IF(INDEX('Per Invoice'!F$2:F$801,$W280)="","",INDEX('Per Invoice'!F$2:F$801,$W280)))</f>
        <v/>
      </c>
      <c r="G280">
        <f>IF($W280="","",IF(INDEX('Per Invoice'!G$2:G$801,$W280)="","",INDEX('Per Invoice'!G$2:G$801,$W280)))</f>
        <v/>
      </c>
      <c r="H280">
        <f>IF($W280="","",IF(INDEX('Per Invoice'!H$2:H$801,$W280)="","",INDEX('Per Invoice'!H$2:H$801,$W280)))</f>
        <v/>
      </c>
      <c r="I280">
        <f>IF($W280="","",IF(INDEX('Per Invoice'!I$2:I$801,$W280)="","",INDEX('Per Invoice'!I$2:I$801,$W280)))</f>
        <v/>
      </c>
      <c r="J280">
        <f>IF($W280="","",IF(INDEX('Per Invoice'!J$2:J$801,$W280)="","",INDEX('Per Invoice'!J$2:J$801,$W280)))</f>
        <v/>
      </c>
      <c r="K280" s="7">
        <f>IF($W280="","",IF(INDEX('Per Invoice'!K$2:K$801,$W280)="","",INDEX('Per Invoice'!K$2:K$801,$W280)))</f>
        <v/>
      </c>
      <c r="L280" s="14">
        <f>IF($W280="","",IF(INDEX('Per Invoice'!L$2:L$801,$W280)="","",INDEX('Per Invoice'!L$2:L$801,$W280)))</f>
        <v/>
      </c>
      <c r="M280">
        <f>IF($W280="","",IF(INDEX('Per Invoice'!M$2:M$801,$W280)="","",INDEX('Per Invoice'!M$2:M$801,$W280)))</f>
        <v/>
      </c>
      <c r="N280" s="7">
        <f>IF($W280="","",IF(INDEX('Per Invoice'!N$2:N$801,$W280)="","",INDEX('Per Invoice'!N$2:N$801,$W280)))</f>
        <v/>
      </c>
      <c r="O280" s="7">
        <f>IF($W280="","",IF(INDEX('Per Invoice'!O$2:O$801,$W280)="","",INDEX('Per Invoice'!O$2:O$801,$W280)))</f>
        <v/>
      </c>
      <c r="P280">
        <f>IF($W280="","",IF(INDEX('Per Invoice'!P$2:P$801,$W280)="","",INDEX('Per Invoice'!P$2:P$801,$W280)))</f>
        <v/>
      </c>
      <c r="Q280" s="7">
        <f>IF($W280="","",IF(INDEX('Per Invoice'!Q$2:Q$801,$W280)="","",INDEX('Per Invoice'!Q$2:Q$801,$W280)))</f>
        <v/>
      </c>
      <c r="R280" s="7">
        <f>IF($W280="","",IF(INDEX('Per Invoice'!R$2:R$801,$W280)="","",INDEX('Per Invoice'!R$2:R$801,$W280)))</f>
        <v/>
      </c>
      <c r="S280" s="7">
        <f>IF($W280="","",IF(INDEX('Per Invoice'!S$2:S$801,$W280)="","",INDEX('Per Invoice'!S$2:S$801,$W280)))</f>
        <v/>
      </c>
      <c r="T280" s="7">
        <f>IF($W280="","",IF(INDEX('Per Invoice'!T$2:T$801,$W280)="","",INDEX('Per Invoice'!T$2:T$801,$W280)))</f>
        <v/>
      </c>
      <c r="U280" s="7">
        <f>IF($W280="","",IF(INDEX('Per Invoice'!U$2:U$801,$W280)="","",INDEX('Per Invoice'!U$2:U$801,$W280)))</f>
        <v/>
      </c>
      <c r="V280" s="7">
        <f>IF($W280="","",IF(INDEX('Per Invoice'!V$2:V$801,$W280)="","",INDEX('Per Invoice'!V$2:V$801,$W280)))</f>
        <v/>
      </c>
      <c r="W280" s="16">
        <f>IFERROR(MATCH(Settings!$C$28&amp;"|"&amp;ROWS($W$2:$W280),'Per Invoice'!$X$2:$X$801,0),"")</f>
        <v/>
      </c>
    </row>
    <row r="281">
      <c r="A281">
        <f>IF($W281="","",IF(INDEX('Per Invoice'!A$2:A$801,$W281)="","",INDEX('Per Invoice'!A$2:A$801,$W281)))</f>
        <v/>
      </c>
      <c r="B281">
        <f>IF($W281="","",IF(INDEX('Per Invoice'!B$2:B$801,$W281)="","",INDEX('Per Invoice'!B$2:B$801,$W281)))</f>
        <v/>
      </c>
      <c r="C281">
        <f>IF($W281="","",IF(INDEX('Per Invoice'!C$2:C$801,$W281)="","",INDEX('Per Invoice'!C$2:C$801,$W281)))</f>
        <v/>
      </c>
      <c r="D281">
        <f>IF($W281="","",IF(INDEX('Per Invoice'!D$2:D$801,$W281)="","",INDEX('Per Invoice'!D$2:D$801,$W281)))</f>
        <v/>
      </c>
      <c r="E281">
        <f>IF($W281="","",IF(INDEX('Per Invoice'!E$2:E$801,$W281)="","",INDEX('Per Invoice'!E$2:E$801,$W281)))</f>
        <v/>
      </c>
      <c r="F281">
        <f>IF($W281="","",IF(INDEX('Per Invoice'!F$2:F$801,$W281)="","",INDEX('Per Invoice'!F$2:F$801,$W281)))</f>
        <v/>
      </c>
      <c r="G281">
        <f>IF($W281="","",IF(INDEX('Per Invoice'!G$2:G$801,$W281)="","",INDEX('Per Invoice'!G$2:G$801,$W281)))</f>
        <v/>
      </c>
      <c r="H281">
        <f>IF($W281="","",IF(INDEX('Per Invoice'!H$2:H$801,$W281)="","",INDEX('Per Invoice'!H$2:H$801,$W281)))</f>
        <v/>
      </c>
      <c r="I281">
        <f>IF($W281="","",IF(INDEX('Per Invoice'!I$2:I$801,$W281)="","",INDEX('Per Invoice'!I$2:I$801,$W281)))</f>
        <v/>
      </c>
      <c r="J281">
        <f>IF($W281="","",IF(INDEX('Per Invoice'!J$2:J$801,$W281)="","",INDEX('Per Invoice'!J$2:J$801,$W281)))</f>
        <v/>
      </c>
      <c r="K281" s="7">
        <f>IF($W281="","",IF(INDEX('Per Invoice'!K$2:K$801,$W281)="","",INDEX('Per Invoice'!K$2:K$801,$W281)))</f>
        <v/>
      </c>
      <c r="L281" s="14">
        <f>IF($W281="","",IF(INDEX('Per Invoice'!L$2:L$801,$W281)="","",INDEX('Per Invoice'!L$2:L$801,$W281)))</f>
        <v/>
      </c>
      <c r="M281">
        <f>IF($W281="","",IF(INDEX('Per Invoice'!M$2:M$801,$W281)="","",INDEX('Per Invoice'!M$2:M$801,$W281)))</f>
        <v/>
      </c>
      <c r="N281" s="7">
        <f>IF($W281="","",IF(INDEX('Per Invoice'!N$2:N$801,$W281)="","",INDEX('Per Invoice'!N$2:N$801,$W281)))</f>
        <v/>
      </c>
      <c r="O281" s="7">
        <f>IF($W281="","",IF(INDEX('Per Invoice'!O$2:O$801,$W281)="","",INDEX('Per Invoice'!O$2:O$801,$W281)))</f>
        <v/>
      </c>
      <c r="P281">
        <f>IF($W281="","",IF(INDEX('Per Invoice'!P$2:P$801,$W281)="","",INDEX('Per Invoice'!P$2:P$801,$W281)))</f>
        <v/>
      </c>
      <c r="Q281" s="7">
        <f>IF($W281="","",IF(INDEX('Per Invoice'!Q$2:Q$801,$W281)="","",INDEX('Per Invoice'!Q$2:Q$801,$W281)))</f>
        <v/>
      </c>
      <c r="R281" s="7">
        <f>IF($W281="","",IF(INDEX('Per Invoice'!R$2:R$801,$W281)="","",INDEX('Per Invoice'!R$2:R$801,$W281)))</f>
        <v/>
      </c>
      <c r="S281" s="7">
        <f>IF($W281="","",IF(INDEX('Per Invoice'!S$2:S$801,$W281)="","",INDEX('Per Invoice'!S$2:S$801,$W281)))</f>
        <v/>
      </c>
      <c r="T281" s="7">
        <f>IF($W281="","",IF(INDEX('Per Invoice'!T$2:T$801,$W281)="","",INDEX('Per Invoice'!T$2:T$801,$W281)))</f>
        <v/>
      </c>
      <c r="U281" s="7">
        <f>IF($W281="","",IF(INDEX('Per Invoice'!U$2:U$801,$W281)="","",INDEX('Per Invoice'!U$2:U$801,$W281)))</f>
        <v/>
      </c>
      <c r="V281" s="7">
        <f>IF($W281="","",IF(INDEX('Per Invoice'!V$2:V$801,$W281)="","",INDEX('Per Invoice'!V$2:V$801,$W281)))</f>
        <v/>
      </c>
      <c r="W281" s="16">
        <f>IFERROR(MATCH(Settings!$C$28&amp;"|"&amp;ROWS($W$2:$W281),'Per Invoice'!$X$2:$X$801,0),"")</f>
        <v/>
      </c>
    </row>
    <row r="282">
      <c r="A282">
        <f>IF($W282="","",IF(INDEX('Per Invoice'!A$2:A$801,$W282)="","",INDEX('Per Invoice'!A$2:A$801,$W282)))</f>
        <v/>
      </c>
      <c r="B282">
        <f>IF($W282="","",IF(INDEX('Per Invoice'!B$2:B$801,$W282)="","",INDEX('Per Invoice'!B$2:B$801,$W282)))</f>
        <v/>
      </c>
      <c r="C282">
        <f>IF($W282="","",IF(INDEX('Per Invoice'!C$2:C$801,$W282)="","",INDEX('Per Invoice'!C$2:C$801,$W282)))</f>
        <v/>
      </c>
      <c r="D282">
        <f>IF($W282="","",IF(INDEX('Per Invoice'!D$2:D$801,$W282)="","",INDEX('Per Invoice'!D$2:D$801,$W282)))</f>
        <v/>
      </c>
      <c r="E282">
        <f>IF($W282="","",IF(INDEX('Per Invoice'!E$2:E$801,$W282)="","",INDEX('Per Invoice'!E$2:E$801,$W282)))</f>
        <v/>
      </c>
      <c r="F282">
        <f>IF($W282="","",IF(INDEX('Per Invoice'!F$2:F$801,$W282)="","",INDEX('Per Invoice'!F$2:F$801,$W282)))</f>
        <v/>
      </c>
      <c r="G282">
        <f>IF($W282="","",IF(INDEX('Per Invoice'!G$2:G$801,$W282)="","",INDEX('Per Invoice'!G$2:G$801,$W282)))</f>
        <v/>
      </c>
      <c r="H282">
        <f>IF($W282="","",IF(INDEX('Per Invoice'!H$2:H$801,$W282)="","",INDEX('Per Invoice'!H$2:H$801,$W282)))</f>
        <v/>
      </c>
      <c r="I282">
        <f>IF($W282="","",IF(INDEX('Per Invoice'!I$2:I$801,$W282)="","",INDEX('Per Invoice'!I$2:I$801,$W282)))</f>
        <v/>
      </c>
      <c r="J282">
        <f>IF($W282="","",IF(INDEX('Per Invoice'!J$2:J$801,$W282)="","",INDEX('Per Invoice'!J$2:J$801,$W282)))</f>
        <v/>
      </c>
      <c r="K282" s="7">
        <f>IF($W282="","",IF(INDEX('Per Invoice'!K$2:K$801,$W282)="","",INDEX('Per Invoice'!K$2:K$801,$W282)))</f>
        <v/>
      </c>
      <c r="L282" s="14">
        <f>IF($W282="","",IF(INDEX('Per Invoice'!L$2:L$801,$W282)="","",INDEX('Per Invoice'!L$2:L$801,$W282)))</f>
        <v/>
      </c>
      <c r="M282">
        <f>IF($W282="","",IF(INDEX('Per Invoice'!M$2:M$801,$W282)="","",INDEX('Per Invoice'!M$2:M$801,$W282)))</f>
        <v/>
      </c>
      <c r="N282" s="7">
        <f>IF($W282="","",IF(INDEX('Per Invoice'!N$2:N$801,$W282)="","",INDEX('Per Invoice'!N$2:N$801,$W282)))</f>
        <v/>
      </c>
      <c r="O282" s="7">
        <f>IF($W282="","",IF(INDEX('Per Invoice'!O$2:O$801,$W282)="","",INDEX('Per Invoice'!O$2:O$801,$W282)))</f>
        <v/>
      </c>
      <c r="P282">
        <f>IF($W282="","",IF(INDEX('Per Invoice'!P$2:P$801,$W282)="","",INDEX('Per Invoice'!P$2:P$801,$W282)))</f>
        <v/>
      </c>
      <c r="Q282" s="7">
        <f>IF($W282="","",IF(INDEX('Per Invoice'!Q$2:Q$801,$W282)="","",INDEX('Per Invoice'!Q$2:Q$801,$W282)))</f>
        <v/>
      </c>
      <c r="R282" s="7">
        <f>IF($W282="","",IF(INDEX('Per Invoice'!R$2:R$801,$W282)="","",INDEX('Per Invoice'!R$2:R$801,$W282)))</f>
        <v/>
      </c>
      <c r="S282" s="7">
        <f>IF($W282="","",IF(INDEX('Per Invoice'!S$2:S$801,$W282)="","",INDEX('Per Invoice'!S$2:S$801,$W282)))</f>
        <v/>
      </c>
      <c r="T282" s="7">
        <f>IF($W282="","",IF(INDEX('Per Invoice'!T$2:T$801,$W282)="","",INDEX('Per Invoice'!T$2:T$801,$W282)))</f>
        <v/>
      </c>
      <c r="U282" s="7">
        <f>IF($W282="","",IF(INDEX('Per Invoice'!U$2:U$801,$W282)="","",INDEX('Per Invoice'!U$2:U$801,$W282)))</f>
        <v/>
      </c>
      <c r="V282" s="7">
        <f>IF($W282="","",IF(INDEX('Per Invoice'!V$2:V$801,$W282)="","",INDEX('Per Invoice'!V$2:V$801,$W282)))</f>
        <v/>
      </c>
      <c r="W282" s="16">
        <f>IFERROR(MATCH(Settings!$C$28&amp;"|"&amp;ROWS($W$2:$W282),'Per Invoice'!$X$2:$X$801,0),"")</f>
        <v/>
      </c>
    </row>
    <row r="283">
      <c r="A283">
        <f>IF($W283="","",IF(INDEX('Per Invoice'!A$2:A$801,$W283)="","",INDEX('Per Invoice'!A$2:A$801,$W283)))</f>
        <v/>
      </c>
      <c r="B283">
        <f>IF($W283="","",IF(INDEX('Per Invoice'!B$2:B$801,$W283)="","",INDEX('Per Invoice'!B$2:B$801,$W283)))</f>
        <v/>
      </c>
      <c r="C283">
        <f>IF($W283="","",IF(INDEX('Per Invoice'!C$2:C$801,$W283)="","",INDEX('Per Invoice'!C$2:C$801,$W283)))</f>
        <v/>
      </c>
      <c r="D283">
        <f>IF($W283="","",IF(INDEX('Per Invoice'!D$2:D$801,$W283)="","",INDEX('Per Invoice'!D$2:D$801,$W283)))</f>
        <v/>
      </c>
      <c r="E283">
        <f>IF($W283="","",IF(INDEX('Per Invoice'!E$2:E$801,$W283)="","",INDEX('Per Invoice'!E$2:E$801,$W283)))</f>
        <v/>
      </c>
      <c r="F283">
        <f>IF($W283="","",IF(INDEX('Per Invoice'!F$2:F$801,$W283)="","",INDEX('Per Invoice'!F$2:F$801,$W283)))</f>
        <v/>
      </c>
      <c r="G283">
        <f>IF($W283="","",IF(INDEX('Per Invoice'!G$2:G$801,$W283)="","",INDEX('Per Invoice'!G$2:G$801,$W283)))</f>
        <v/>
      </c>
      <c r="H283">
        <f>IF($W283="","",IF(INDEX('Per Invoice'!H$2:H$801,$W283)="","",INDEX('Per Invoice'!H$2:H$801,$W283)))</f>
        <v/>
      </c>
      <c r="I283">
        <f>IF($W283="","",IF(INDEX('Per Invoice'!I$2:I$801,$W283)="","",INDEX('Per Invoice'!I$2:I$801,$W283)))</f>
        <v/>
      </c>
      <c r="J283">
        <f>IF($W283="","",IF(INDEX('Per Invoice'!J$2:J$801,$W283)="","",INDEX('Per Invoice'!J$2:J$801,$W283)))</f>
        <v/>
      </c>
      <c r="K283" s="7">
        <f>IF($W283="","",IF(INDEX('Per Invoice'!K$2:K$801,$W283)="","",INDEX('Per Invoice'!K$2:K$801,$W283)))</f>
        <v/>
      </c>
      <c r="L283" s="14">
        <f>IF($W283="","",IF(INDEX('Per Invoice'!L$2:L$801,$W283)="","",INDEX('Per Invoice'!L$2:L$801,$W283)))</f>
        <v/>
      </c>
      <c r="M283">
        <f>IF($W283="","",IF(INDEX('Per Invoice'!M$2:M$801,$W283)="","",INDEX('Per Invoice'!M$2:M$801,$W283)))</f>
        <v/>
      </c>
      <c r="N283" s="7">
        <f>IF($W283="","",IF(INDEX('Per Invoice'!N$2:N$801,$W283)="","",INDEX('Per Invoice'!N$2:N$801,$W283)))</f>
        <v/>
      </c>
      <c r="O283" s="7">
        <f>IF($W283="","",IF(INDEX('Per Invoice'!O$2:O$801,$W283)="","",INDEX('Per Invoice'!O$2:O$801,$W283)))</f>
        <v/>
      </c>
      <c r="P283">
        <f>IF($W283="","",IF(INDEX('Per Invoice'!P$2:P$801,$W283)="","",INDEX('Per Invoice'!P$2:P$801,$W283)))</f>
        <v/>
      </c>
      <c r="Q283" s="7">
        <f>IF($W283="","",IF(INDEX('Per Invoice'!Q$2:Q$801,$W283)="","",INDEX('Per Invoice'!Q$2:Q$801,$W283)))</f>
        <v/>
      </c>
      <c r="R283" s="7">
        <f>IF($W283="","",IF(INDEX('Per Invoice'!R$2:R$801,$W283)="","",INDEX('Per Invoice'!R$2:R$801,$W283)))</f>
        <v/>
      </c>
      <c r="S283" s="7">
        <f>IF($W283="","",IF(INDEX('Per Invoice'!S$2:S$801,$W283)="","",INDEX('Per Invoice'!S$2:S$801,$W283)))</f>
        <v/>
      </c>
      <c r="T283" s="7">
        <f>IF($W283="","",IF(INDEX('Per Invoice'!T$2:T$801,$W283)="","",INDEX('Per Invoice'!T$2:T$801,$W283)))</f>
        <v/>
      </c>
      <c r="U283" s="7">
        <f>IF($W283="","",IF(INDEX('Per Invoice'!U$2:U$801,$W283)="","",INDEX('Per Invoice'!U$2:U$801,$W283)))</f>
        <v/>
      </c>
      <c r="V283" s="7">
        <f>IF($W283="","",IF(INDEX('Per Invoice'!V$2:V$801,$W283)="","",INDEX('Per Invoice'!V$2:V$801,$W283)))</f>
        <v/>
      </c>
      <c r="W283" s="16">
        <f>IFERROR(MATCH(Settings!$C$28&amp;"|"&amp;ROWS($W$2:$W283),'Per Invoice'!$X$2:$X$801,0),"")</f>
        <v/>
      </c>
    </row>
    <row r="284">
      <c r="A284">
        <f>IF($W284="","",IF(INDEX('Per Invoice'!A$2:A$801,$W284)="","",INDEX('Per Invoice'!A$2:A$801,$W284)))</f>
        <v/>
      </c>
      <c r="B284">
        <f>IF($W284="","",IF(INDEX('Per Invoice'!B$2:B$801,$W284)="","",INDEX('Per Invoice'!B$2:B$801,$W284)))</f>
        <v/>
      </c>
      <c r="C284">
        <f>IF($W284="","",IF(INDEX('Per Invoice'!C$2:C$801,$W284)="","",INDEX('Per Invoice'!C$2:C$801,$W284)))</f>
        <v/>
      </c>
      <c r="D284">
        <f>IF($W284="","",IF(INDEX('Per Invoice'!D$2:D$801,$W284)="","",INDEX('Per Invoice'!D$2:D$801,$W284)))</f>
        <v/>
      </c>
      <c r="E284">
        <f>IF($W284="","",IF(INDEX('Per Invoice'!E$2:E$801,$W284)="","",INDEX('Per Invoice'!E$2:E$801,$W284)))</f>
        <v/>
      </c>
      <c r="F284">
        <f>IF($W284="","",IF(INDEX('Per Invoice'!F$2:F$801,$W284)="","",INDEX('Per Invoice'!F$2:F$801,$W284)))</f>
        <v/>
      </c>
      <c r="G284">
        <f>IF($W284="","",IF(INDEX('Per Invoice'!G$2:G$801,$W284)="","",INDEX('Per Invoice'!G$2:G$801,$W284)))</f>
        <v/>
      </c>
      <c r="H284">
        <f>IF($W284="","",IF(INDEX('Per Invoice'!H$2:H$801,$W284)="","",INDEX('Per Invoice'!H$2:H$801,$W284)))</f>
        <v/>
      </c>
      <c r="I284">
        <f>IF($W284="","",IF(INDEX('Per Invoice'!I$2:I$801,$W284)="","",INDEX('Per Invoice'!I$2:I$801,$W284)))</f>
        <v/>
      </c>
      <c r="J284">
        <f>IF($W284="","",IF(INDEX('Per Invoice'!J$2:J$801,$W284)="","",INDEX('Per Invoice'!J$2:J$801,$W284)))</f>
        <v/>
      </c>
      <c r="K284" s="7">
        <f>IF($W284="","",IF(INDEX('Per Invoice'!K$2:K$801,$W284)="","",INDEX('Per Invoice'!K$2:K$801,$W284)))</f>
        <v/>
      </c>
      <c r="L284" s="14">
        <f>IF($W284="","",IF(INDEX('Per Invoice'!L$2:L$801,$W284)="","",INDEX('Per Invoice'!L$2:L$801,$W284)))</f>
        <v/>
      </c>
      <c r="M284">
        <f>IF($W284="","",IF(INDEX('Per Invoice'!M$2:M$801,$W284)="","",INDEX('Per Invoice'!M$2:M$801,$W284)))</f>
        <v/>
      </c>
      <c r="N284" s="7">
        <f>IF($W284="","",IF(INDEX('Per Invoice'!N$2:N$801,$W284)="","",INDEX('Per Invoice'!N$2:N$801,$W284)))</f>
        <v/>
      </c>
      <c r="O284" s="7">
        <f>IF($W284="","",IF(INDEX('Per Invoice'!O$2:O$801,$W284)="","",INDEX('Per Invoice'!O$2:O$801,$W284)))</f>
        <v/>
      </c>
      <c r="P284">
        <f>IF($W284="","",IF(INDEX('Per Invoice'!P$2:P$801,$W284)="","",INDEX('Per Invoice'!P$2:P$801,$W284)))</f>
        <v/>
      </c>
      <c r="Q284" s="7">
        <f>IF($W284="","",IF(INDEX('Per Invoice'!Q$2:Q$801,$W284)="","",INDEX('Per Invoice'!Q$2:Q$801,$W284)))</f>
        <v/>
      </c>
      <c r="R284" s="7">
        <f>IF($W284="","",IF(INDEX('Per Invoice'!R$2:R$801,$W284)="","",INDEX('Per Invoice'!R$2:R$801,$W284)))</f>
        <v/>
      </c>
      <c r="S284" s="7">
        <f>IF($W284="","",IF(INDEX('Per Invoice'!S$2:S$801,$W284)="","",INDEX('Per Invoice'!S$2:S$801,$W284)))</f>
        <v/>
      </c>
      <c r="T284" s="7">
        <f>IF($W284="","",IF(INDEX('Per Invoice'!T$2:T$801,$W284)="","",INDEX('Per Invoice'!T$2:T$801,$W284)))</f>
        <v/>
      </c>
      <c r="U284" s="7">
        <f>IF($W284="","",IF(INDEX('Per Invoice'!U$2:U$801,$W284)="","",INDEX('Per Invoice'!U$2:U$801,$W284)))</f>
        <v/>
      </c>
      <c r="V284" s="7">
        <f>IF($W284="","",IF(INDEX('Per Invoice'!V$2:V$801,$W284)="","",INDEX('Per Invoice'!V$2:V$801,$W284)))</f>
        <v/>
      </c>
      <c r="W284" s="16">
        <f>IFERROR(MATCH(Settings!$C$28&amp;"|"&amp;ROWS($W$2:$W284),'Per Invoice'!$X$2:$X$801,0),"")</f>
        <v/>
      </c>
    </row>
    <row r="285">
      <c r="A285">
        <f>IF($W285="","",IF(INDEX('Per Invoice'!A$2:A$801,$W285)="","",INDEX('Per Invoice'!A$2:A$801,$W285)))</f>
        <v/>
      </c>
      <c r="B285">
        <f>IF($W285="","",IF(INDEX('Per Invoice'!B$2:B$801,$W285)="","",INDEX('Per Invoice'!B$2:B$801,$W285)))</f>
        <v/>
      </c>
      <c r="C285">
        <f>IF($W285="","",IF(INDEX('Per Invoice'!C$2:C$801,$W285)="","",INDEX('Per Invoice'!C$2:C$801,$W285)))</f>
        <v/>
      </c>
      <c r="D285">
        <f>IF($W285="","",IF(INDEX('Per Invoice'!D$2:D$801,$W285)="","",INDEX('Per Invoice'!D$2:D$801,$W285)))</f>
        <v/>
      </c>
      <c r="E285">
        <f>IF($W285="","",IF(INDEX('Per Invoice'!E$2:E$801,$W285)="","",INDEX('Per Invoice'!E$2:E$801,$W285)))</f>
        <v/>
      </c>
      <c r="F285">
        <f>IF($W285="","",IF(INDEX('Per Invoice'!F$2:F$801,$W285)="","",INDEX('Per Invoice'!F$2:F$801,$W285)))</f>
        <v/>
      </c>
      <c r="G285">
        <f>IF($W285="","",IF(INDEX('Per Invoice'!G$2:G$801,$W285)="","",INDEX('Per Invoice'!G$2:G$801,$W285)))</f>
        <v/>
      </c>
      <c r="H285">
        <f>IF($W285="","",IF(INDEX('Per Invoice'!H$2:H$801,$W285)="","",INDEX('Per Invoice'!H$2:H$801,$W285)))</f>
        <v/>
      </c>
      <c r="I285">
        <f>IF($W285="","",IF(INDEX('Per Invoice'!I$2:I$801,$W285)="","",INDEX('Per Invoice'!I$2:I$801,$W285)))</f>
        <v/>
      </c>
      <c r="J285">
        <f>IF($W285="","",IF(INDEX('Per Invoice'!J$2:J$801,$W285)="","",INDEX('Per Invoice'!J$2:J$801,$W285)))</f>
        <v/>
      </c>
      <c r="K285" s="7">
        <f>IF($W285="","",IF(INDEX('Per Invoice'!K$2:K$801,$W285)="","",INDEX('Per Invoice'!K$2:K$801,$W285)))</f>
        <v/>
      </c>
      <c r="L285" s="14">
        <f>IF($W285="","",IF(INDEX('Per Invoice'!L$2:L$801,$W285)="","",INDEX('Per Invoice'!L$2:L$801,$W285)))</f>
        <v/>
      </c>
      <c r="M285">
        <f>IF($W285="","",IF(INDEX('Per Invoice'!M$2:M$801,$W285)="","",INDEX('Per Invoice'!M$2:M$801,$W285)))</f>
        <v/>
      </c>
      <c r="N285" s="7">
        <f>IF($W285="","",IF(INDEX('Per Invoice'!N$2:N$801,$W285)="","",INDEX('Per Invoice'!N$2:N$801,$W285)))</f>
        <v/>
      </c>
      <c r="O285" s="7">
        <f>IF($W285="","",IF(INDEX('Per Invoice'!O$2:O$801,$W285)="","",INDEX('Per Invoice'!O$2:O$801,$W285)))</f>
        <v/>
      </c>
      <c r="P285">
        <f>IF($W285="","",IF(INDEX('Per Invoice'!P$2:P$801,$W285)="","",INDEX('Per Invoice'!P$2:P$801,$W285)))</f>
        <v/>
      </c>
      <c r="Q285" s="7">
        <f>IF($W285="","",IF(INDEX('Per Invoice'!Q$2:Q$801,$W285)="","",INDEX('Per Invoice'!Q$2:Q$801,$W285)))</f>
        <v/>
      </c>
      <c r="R285" s="7">
        <f>IF($W285="","",IF(INDEX('Per Invoice'!R$2:R$801,$W285)="","",INDEX('Per Invoice'!R$2:R$801,$W285)))</f>
        <v/>
      </c>
      <c r="S285" s="7">
        <f>IF($W285="","",IF(INDEX('Per Invoice'!S$2:S$801,$W285)="","",INDEX('Per Invoice'!S$2:S$801,$W285)))</f>
        <v/>
      </c>
      <c r="T285" s="7">
        <f>IF($W285="","",IF(INDEX('Per Invoice'!T$2:T$801,$W285)="","",INDEX('Per Invoice'!T$2:T$801,$W285)))</f>
        <v/>
      </c>
      <c r="U285" s="7">
        <f>IF($W285="","",IF(INDEX('Per Invoice'!U$2:U$801,$W285)="","",INDEX('Per Invoice'!U$2:U$801,$W285)))</f>
        <v/>
      </c>
      <c r="V285" s="7">
        <f>IF($W285="","",IF(INDEX('Per Invoice'!V$2:V$801,$W285)="","",INDEX('Per Invoice'!V$2:V$801,$W285)))</f>
        <v/>
      </c>
      <c r="W285" s="16">
        <f>IFERROR(MATCH(Settings!$C$28&amp;"|"&amp;ROWS($W$2:$W285),'Per Invoice'!$X$2:$X$801,0),"")</f>
        <v/>
      </c>
    </row>
    <row r="286">
      <c r="A286">
        <f>IF($W286="","",IF(INDEX('Per Invoice'!A$2:A$801,$W286)="","",INDEX('Per Invoice'!A$2:A$801,$W286)))</f>
        <v/>
      </c>
      <c r="B286">
        <f>IF($W286="","",IF(INDEX('Per Invoice'!B$2:B$801,$W286)="","",INDEX('Per Invoice'!B$2:B$801,$W286)))</f>
        <v/>
      </c>
      <c r="C286">
        <f>IF($W286="","",IF(INDEX('Per Invoice'!C$2:C$801,$W286)="","",INDEX('Per Invoice'!C$2:C$801,$W286)))</f>
        <v/>
      </c>
      <c r="D286">
        <f>IF($W286="","",IF(INDEX('Per Invoice'!D$2:D$801,$W286)="","",INDEX('Per Invoice'!D$2:D$801,$W286)))</f>
        <v/>
      </c>
      <c r="E286">
        <f>IF($W286="","",IF(INDEX('Per Invoice'!E$2:E$801,$W286)="","",INDEX('Per Invoice'!E$2:E$801,$W286)))</f>
        <v/>
      </c>
      <c r="F286">
        <f>IF($W286="","",IF(INDEX('Per Invoice'!F$2:F$801,$W286)="","",INDEX('Per Invoice'!F$2:F$801,$W286)))</f>
        <v/>
      </c>
      <c r="G286">
        <f>IF($W286="","",IF(INDEX('Per Invoice'!G$2:G$801,$W286)="","",INDEX('Per Invoice'!G$2:G$801,$W286)))</f>
        <v/>
      </c>
      <c r="H286">
        <f>IF($W286="","",IF(INDEX('Per Invoice'!H$2:H$801,$W286)="","",INDEX('Per Invoice'!H$2:H$801,$W286)))</f>
        <v/>
      </c>
      <c r="I286">
        <f>IF($W286="","",IF(INDEX('Per Invoice'!I$2:I$801,$W286)="","",INDEX('Per Invoice'!I$2:I$801,$W286)))</f>
        <v/>
      </c>
      <c r="J286">
        <f>IF($W286="","",IF(INDEX('Per Invoice'!J$2:J$801,$W286)="","",INDEX('Per Invoice'!J$2:J$801,$W286)))</f>
        <v/>
      </c>
      <c r="K286" s="7">
        <f>IF($W286="","",IF(INDEX('Per Invoice'!K$2:K$801,$W286)="","",INDEX('Per Invoice'!K$2:K$801,$W286)))</f>
        <v/>
      </c>
      <c r="L286" s="14">
        <f>IF($W286="","",IF(INDEX('Per Invoice'!L$2:L$801,$W286)="","",INDEX('Per Invoice'!L$2:L$801,$W286)))</f>
        <v/>
      </c>
      <c r="M286">
        <f>IF($W286="","",IF(INDEX('Per Invoice'!M$2:M$801,$W286)="","",INDEX('Per Invoice'!M$2:M$801,$W286)))</f>
        <v/>
      </c>
      <c r="N286" s="7">
        <f>IF($W286="","",IF(INDEX('Per Invoice'!N$2:N$801,$W286)="","",INDEX('Per Invoice'!N$2:N$801,$W286)))</f>
        <v/>
      </c>
      <c r="O286" s="7">
        <f>IF($W286="","",IF(INDEX('Per Invoice'!O$2:O$801,$W286)="","",INDEX('Per Invoice'!O$2:O$801,$W286)))</f>
        <v/>
      </c>
      <c r="P286">
        <f>IF($W286="","",IF(INDEX('Per Invoice'!P$2:P$801,$W286)="","",INDEX('Per Invoice'!P$2:P$801,$W286)))</f>
        <v/>
      </c>
      <c r="Q286" s="7">
        <f>IF($W286="","",IF(INDEX('Per Invoice'!Q$2:Q$801,$W286)="","",INDEX('Per Invoice'!Q$2:Q$801,$W286)))</f>
        <v/>
      </c>
      <c r="R286" s="7">
        <f>IF($W286="","",IF(INDEX('Per Invoice'!R$2:R$801,$W286)="","",INDEX('Per Invoice'!R$2:R$801,$W286)))</f>
        <v/>
      </c>
      <c r="S286" s="7">
        <f>IF($W286="","",IF(INDEX('Per Invoice'!S$2:S$801,$W286)="","",INDEX('Per Invoice'!S$2:S$801,$W286)))</f>
        <v/>
      </c>
      <c r="T286" s="7">
        <f>IF($W286="","",IF(INDEX('Per Invoice'!T$2:T$801,$W286)="","",INDEX('Per Invoice'!T$2:T$801,$W286)))</f>
        <v/>
      </c>
      <c r="U286" s="7">
        <f>IF($W286="","",IF(INDEX('Per Invoice'!U$2:U$801,$W286)="","",INDEX('Per Invoice'!U$2:U$801,$W286)))</f>
        <v/>
      </c>
      <c r="V286" s="7">
        <f>IF($W286="","",IF(INDEX('Per Invoice'!V$2:V$801,$W286)="","",INDEX('Per Invoice'!V$2:V$801,$W286)))</f>
        <v/>
      </c>
      <c r="W286" s="16">
        <f>IFERROR(MATCH(Settings!$C$28&amp;"|"&amp;ROWS($W$2:$W286),'Per Invoice'!$X$2:$X$801,0),"")</f>
        <v/>
      </c>
    </row>
    <row r="287">
      <c r="A287">
        <f>IF($W287="","",IF(INDEX('Per Invoice'!A$2:A$801,$W287)="","",INDEX('Per Invoice'!A$2:A$801,$W287)))</f>
        <v/>
      </c>
      <c r="B287">
        <f>IF($W287="","",IF(INDEX('Per Invoice'!B$2:B$801,$W287)="","",INDEX('Per Invoice'!B$2:B$801,$W287)))</f>
        <v/>
      </c>
      <c r="C287">
        <f>IF($W287="","",IF(INDEX('Per Invoice'!C$2:C$801,$W287)="","",INDEX('Per Invoice'!C$2:C$801,$W287)))</f>
        <v/>
      </c>
      <c r="D287">
        <f>IF($W287="","",IF(INDEX('Per Invoice'!D$2:D$801,$W287)="","",INDEX('Per Invoice'!D$2:D$801,$W287)))</f>
        <v/>
      </c>
      <c r="E287">
        <f>IF($W287="","",IF(INDEX('Per Invoice'!E$2:E$801,$W287)="","",INDEX('Per Invoice'!E$2:E$801,$W287)))</f>
        <v/>
      </c>
      <c r="F287">
        <f>IF($W287="","",IF(INDEX('Per Invoice'!F$2:F$801,$W287)="","",INDEX('Per Invoice'!F$2:F$801,$W287)))</f>
        <v/>
      </c>
      <c r="G287">
        <f>IF($W287="","",IF(INDEX('Per Invoice'!G$2:G$801,$W287)="","",INDEX('Per Invoice'!G$2:G$801,$W287)))</f>
        <v/>
      </c>
      <c r="H287">
        <f>IF($W287="","",IF(INDEX('Per Invoice'!H$2:H$801,$W287)="","",INDEX('Per Invoice'!H$2:H$801,$W287)))</f>
        <v/>
      </c>
      <c r="I287">
        <f>IF($W287="","",IF(INDEX('Per Invoice'!I$2:I$801,$W287)="","",INDEX('Per Invoice'!I$2:I$801,$W287)))</f>
        <v/>
      </c>
      <c r="J287">
        <f>IF($W287="","",IF(INDEX('Per Invoice'!J$2:J$801,$W287)="","",INDEX('Per Invoice'!J$2:J$801,$W287)))</f>
        <v/>
      </c>
      <c r="K287" s="7">
        <f>IF($W287="","",IF(INDEX('Per Invoice'!K$2:K$801,$W287)="","",INDEX('Per Invoice'!K$2:K$801,$W287)))</f>
        <v/>
      </c>
      <c r="L287" s="14">
        <f>IF($W287="","",IF(INDEX('Per Invoice'!L$2:L$801,$W287)="","",INDEX('Per Invoice'!L$2:L$801,$W287)))</f>
        <v/>
      </c>
      <c r="M287">
        <f>IF($W287="","",IF(INDEX('Per Invoice'!M$2:M$801,$W287)="","",INDEX('Per Invoice'!M$2:M$801,$W287)))</f>
        <v/>
      </c>
      <c r="N287" s="7">
        <f>IF($W287="","",IF(INDEX('Per Invoice'!N$2:N$801,$W287)="","",INDEX('Per Invoice'!N$2:N$801,$W287)))</f>
        <v/>
      </c>
      <c r="O287" s="7">
        <f>IF($W287="","",IF(INDEX('Per Invoice'!O$2:O$801,$W287)="","",INDEX('Per Invoice'!O$2:O$801,$W287)))</f>
        <v/>
      </c>
      <c r="P287">
        <f>IF($W287="","",IF(INDEX('Per Invoice'!P$2:P$801,$W287)="","",INDEX('Per Invoice'!P$2:P$801,$W287)))</f>
        <v/>
      </c>
      <c r="Q287" s="7">
        <f>IF($W287="","",IF(INDEX('Per Invoice'!Q$2:Q$801,$W287)="","",INDEX('Per Invoice'!Q$2:Q$801,$W287)))</f>
        <v/>
      </c>
      <c r="R287" s="7">
        <f>IF($W287="","",IF(INDEX('Per Invoice'!R$2:R$801,$W287)="","",INDEX('Per Invoice'!R$2:R$801,$W287)))</f>
        <v/>
      </c>
      <c r="S287" s="7">
        <f>IF($W287="","",IF(INDEX('Per Invoice'!S$2:S$801,$W287)="","",INDEX('Per Invoice'!S$2:S$801,$W287)))</f>
        <v/>
      </c>
      <c r="T287" s="7">
        <f>IF($W287="","",IF(INDEX('Per Invoice'!T$2:T$801,$W287)="","",INDEX('Per Invoice'!T$2:T$801,$W287)))</f>
        <v/>
      </c>
      <c r="U287" s="7">
        <f>IF($W287="","",IF(INDEX('Per Invoice'!U$2:U$801,$W287)="","",INDEX('Per Invoice'!U$2:U$801,$W287)))</f>
        <v/>
      </c>
      <c r="V287" s="7">
        <f>IF($W287="","",IF(INDEX('Per Invoice'!V$2:V$801,$W287)="","",INDEX('Per Invoice'!V$2:V$801,$W287)))</f>
        <v/>
      </c>
      <c r="W287" s="16">
        <f>IFERROR(MATCH(Settings!$C$28&amp;"|"&amp;ROWS($W$2:$W287),'Per Invoice'!$X$2:$X$801,0),"")</f>
        <v/>
      </c>
    </row>
    <row r="288">
      <c r="A288">
        <f>IF($W288="","",IF(INDEX('Per Invoice'!A$2:A$801,$W288)="","",INDEX('Per Invoice'!A$2:A$801,$W288)))</f>
        <v/>
      </c>
      <c r="B288">
        <f>IF($W288="","",IF(INDEX('Per Invoice'!B$2:B$801,$W288)="","",INDEX('Per Invoice'!B$2:B$801,$W288)))</f>
        <v/>
      </c>
      <c r="C288">
        <f>IF($W288="","",IF(INDEX('Per Invoice'!C$2:C$801,$W288)="","",INDEX('Per Invoice'!C$2:C$801,$W288)))</f>
        <v/>
      </c>
      <c r="D288">
        <f>IF($W288="","",IF(INDEX('Per Invoice'!D$2:D$801,$W288)="","",INDEX('Per Invoice'!D$2:D$801,$W288)))</f>
        <v/>
      </c>
      <c r="E288">
        <f>IF($W288="","",IF(INDEX('Per Invoice'!E$2:E$801,$W288)="","",INDEX('Per Invoice'!E$2:E$801,$W288)))</f>
        <v/>
      </c>
      <c r="F288">
        <f>IF($W288="","",IF(INDEX('Per Invoice'!F$2:F$801,$W288)="","",INDEX('Per Invoice'!F$2:F$801,$W288)))</f>
        <v/>
      </c>
      <c r="G288">
        <f>IF($W288="","",IF(INDEX('Per Invoice'!G$2:G$801,$W288)="","",INDEX('Per Invoice'!G$2:G$801,$W288)))</f>
        <v/>
      </c>
      <c r="H288">
        <f>IF($W288="","",IF(INDEX('Per Invoice'!H$2:H$801,$W288)="","",INDEX('Per Invoice'!H$2:H$801,$W288)))</f>
        <v/>
      </c>
      <c r="I288">
        <f>IF($W288="","",IF(INDEX('Per Invoice'!I$2:I$801,$W288)="","",INDEX('Per Invoice'!I$2:I$801,$W288)))</f>
        <v/>
      </c>
      <c r="J288">
        <f>IF($W288="","",IF(INDEX('Per Invoice'!J$2:J$801,$W288)="","",INDEX('Per Invoice'!J$2:J$801,$W288)))</f>
        <v/>
      </c>
      <c r="K288" s="7">
        <f>IF($W288="","",IF(INDEX('Per Invoice'!K$2:K$801,$W288)="","",INDEX('Per Invoice'!K$2:K$801,$W288)))</f>
        <v/>
      </c>
      <c r="L288" s="14">
        <f>IF($W288="","",IF(INDEX('Per Invoice'!L$2:L$801,$W288)="","",INDEX('Per Invoice'!L$2:L$801,$W288)))</f>
        <v/>
      </c>
      <c r="M288">
        <f>IF($W288="","",IF(INDEX('Per Invoice'!M$2:M$801,$W288)="","",INDEX('Per Invoice'!M$2:M$801,$W288)))</f>
        <v/>
      </c>
      <c r="N288" s="7">
        <f>IF($W288="","",IF(INDEX('Per Invoice'!N$2:N$801,$W288)="","",INDEX('Per Invoice'!N$2:N$801,$W288)))</f>
        <v/>
      </c>
      <c r="O288" s="7">
        <f>IF($W288="","",IF(INDEX('Per Invoice'!O$2:O$801,$W288)="","",INDEX('Per Invoice'!O$2:O$801,$W288)))</f>
        <v/>
      </c>
      <c r="P288">
        <f>IF($W288="","",IF(INDEX('Per Invoice'!P$2:P$801,$W288)="","",INDEX('Per Invoice'!P$2:P$801,$W288)))</f>
        <v/>
      </c>
      <c r="Q288" s="7">
        <f>IF($W288="","",IF(INDEX('Per Invoice'!Q$2:Q$801,$W288)="","",INDEX('Per Invoice'!Q$2:Q$801,$W288)))</f>
        <v/>
      </c>
      <c r="R288" s="7">
        <f>IF($W288="","",IF(INDEX('Per Invoice'!R$2:R$801,$W288)="","",INDEX('Per Invoice'!R$2:R$801,$W288)))</f>
        <v/>
      </c>
      <c r="S288" s="7">
        <f>IF($W288="","",IF(INDEX('Per Invoice'!S$2:S$801,$W288)="","",INDEX('Per Invoice'!S$2:S$801,$W288)))</f>
        <v/>
      </c>
      <c r="T288" s="7">
        <f>IF($W288="","",IF(INDEX('Per Invoice'!T$2:T$801,$W288)="","",INDEX('Per Invoice'!T$2:T$801,$W288)))</f>
        <v/>
      </c>
      <c r="U288" s="7">
        <f>IF($W288="","",IF(INDEX('Per Invoice'!U$2:U$801,$W288)="","",INDEX('Per Invoice'!U$2:U$801,$W288)))</f>
        <v/>
      </c>
      <c r="V288" s="7">
        <f>IF($W288="","",IF(INDEX('Per Invoice'!V$2:V$801,$W288)="","",INDEX('Per Invoice'!V$2:V$801,$W288)))</f>
        <v/>
      </c>
      <c r="W288" s="16">
        <f>IFERROR(MATCH(Settings!$C$28&amp;"|"&amp;ROWS($W$2:$W288),'Per Invoice'!$X$2:$X$801,0),"")</f>
        <v/>
      </c>
    </row>
    <row r="289">
      <c r="A289">
        <f>IF($W289="","",IF(INDEX('Per Invoice'!A$2:A$801,$W289)="","",INDEX('Per Invoice'!A$2:A$801,$W289)))</f>
        <v/>
      </c>
      <c r="B289">
        <f>IF($W289="","",IF(INDEX('Per Invoice'!B$2:B$801,$W289)="","",INDEX('Per Invoice'!B$2:B$801,$W289)))</f>
        <v/>
      </c>
      <c r="C289">
        <f>IF($W289="","",IF(INDEX('Per Invoice'!C$2:C$801,$W289)="","",INDEX('Per Invoice'!C$2:C$801,$W289)))</f>
        <v/>
      </c>
      <c r="D289">
        <f>IF($W289="","",IF(INDEX('Per Invoice'!D$2:D$801,$W289)="","",INDEX('Per Invoice'!D$2:D$801,$W289)))</f>
        <v/>
      </c>
      <c r="E289">
        <f>IF($W289="","",IF(INDEX('Per Invoice'!E$2:E$801,$W289)="","",INDEX('Per Invoice'!E$2:E$801,$W289)))</f>
        <v/>
      </c>
      <c r="F289">
        <f>IF($W289="","",IF(INDEX('Per Invoice'!F$2:F$801,$W289)="","",INDEX('Per Invoice'!F$2:F$801,$W289)))</f>
        <v/>
      </c>
      <c r="G289">
        <f>IF($W289="","",IF(INDEX('Per Invoice'!G$2:G$801,$W289)="","",INDEX('Per Invoice'!G$2:G$801,$W289)))</f>
        <v/>
      </c>
      <c r="H289">
        <f>IF($W289="","",IF(INDEX('Per Invoice'!H$2:H$801,$W289)="","",INDEX('Per Invoice'!H$2:H$801,$W289)))</f>
        <v/>
      </c>
      <c r="I289">
        <f>IF($W289="","",IF(INDEX('Per Invoice'!I$2:I$801,$W289)="","",INDEX('Per Invoice'!I$2:I$801,$W289)))</f>
        <v/>
      </c>
      <c r="J289">
        <f>IF($W289="","",IF(INDEX('Per Invoice'!J$2:J$801,$W289)="","",INDEX('Per Invoice'!J$2:J$801,$W289)))</f>
        <v/>
      </c>
      <c r="K289" s="7">
        <f>IF($W289="","",IF(INDEX('Per Invoice'!K$2:K$801,$W289)="","",INDEX('Per Invoice'!K$2:K$801,$W289)))</f>
        <v/>
      </c>
      <c r="L289" s="14">
        <f>IF($W289="","",IF(INDEX('Per Invoice'!L$2:L$801,$W289)="","",INDEX('Per Invoice'!L$2:L$801,$W289)))</f>
        <v/>
      </c>
      <c r="M289">
        <f>IF($W289="","",IF(INDEX('Per Invoice'!M$2:M$801,$W289)="","",INDEX('Per Invoice'!M$2:M$801,$W289)))</f>
        <v/>
      </c>
      <c r="N289" s="7">
        <f>IF($W289="","",IF(INDEX('Per Invoice'!N$2:N$801,$W289)="","",INDEX('Per Invoice'!N$2:N$801,$W289)))</f>
        <v/>
      </c>
      <c r="O289" s="7">
        <f>IF($W289="","",IF(INDEX('Per Invoice'!O$2:O$801,$W289)="","",INDEX('Per Invoice'!O$2:O$801,$W289)))</f>
        <v/>
      </c>
      <c r="P289">
        <f>IF($W289="","",IF(INDEX('Per Invoice'!P$2:P$801,$W289)="","",INDEX('Per Invoice'!P$2:P$801,$W289)))</f>
        <v/>
      </c>
      <c r="Q289" s="7">
        <f>IF($W289="","",IF(INDEX('Per Invoice'!Q$2:Q$801,$W289)="","",INDEX('Per Invoice'!Q$2:Q$801,$W289)))</f>
        <v/>
      </c>
      <c r="R289" s="7">
        <f>IF($W289="","",IF(INDEX('Per Invoice'!R$2:R$801,$W289)="","",INDEX('Per Invoice'!R$2:R$801,$W289)))</f>
        <v/>
      </c>
      <c r="S289" s="7">
        <f>IF($W289="","",IF(INDEX('Per Invoice'!S$2:S$801,$W289)="","",INDEX('Per Invoice'!S$2:S$801,$W289)))</f>
        <v/>
      </c>
      <c r="T289" s="7">
        <f>IF($W289="","",IF(INDEX('Per Invoice'!T$2:T$801,$W289)="","",INDEX('Per Invoice'!T$2:T$801,$W289)))</f>
        <v/>
      </c>
      <c r="U289" s="7">
        <f>IF($W289="","",IF(INDEX('Per Invoice'!U$2:U$801,$W289)="","",INDEX('Per Invoice'!U$2:U$801,$W289)))</f>
        <v/>
      </c>
      <c r="V289" s="7">
        <f>IF($W289="","",IF(INDEX('Per Invoice'!V$2:V$801,$W289)="","",INDEX('Per Invoice'!V$2:V$801,$W289)))</f>
        <v/>
      </c>
      <c r="W289" s="16">
        <f>IFERROR(MATCH(Settings!$C$28&amp;"|"&amp;ROWS($W$2:$W289),'Per Invoice'!$X$2:$X$801,0),"")</f>
        <v/>
      </c>
    </row>
    <row r="290">
      <c r="A290">
        <f>IF($W290="","",IF(INDEX('Per Invoice'!A$2:A$801,$W290)="","",INDEX('Per Invoice'!A$2:A$801,$W290)))</f>
        <v/>
      </c>
      <c r="B290">
        <f>IF($W290="","",IF(INDEX('Per Invoice'!B$2:B$801,$W290)="","",INDEX('Per Invoice'!B$2:B$801,$W290)))</f>
        <v/>
      </c>
      <c r="C290">
        <f>IF($W290="","",IF(INDEX('Per Invoice'!C$2:C$801,$W290)="","",INDEX('Per Invoice'!C$2:C$801,$W290)))</f>
        <v/>
      </c>
      <c r="D290">
        <f>IF($W290="","",IF(INDEX('Per Invoice'!D$2:D$801,$W290)="","",INDEX('Per Invoice'!D$2:D$801,$W290)))</f>
        <v/>
      </c>
      <c r="E290">
        <f>IF($W290="","",IF(INDEX('Per Invoice'!E$2:E$801,$W290)="","",INDEX('Per Invoice'!E$2:E$801,$W290)))</f>
        <v/>
      </c>
      <c r="F290">
        <f>IF($W290="","",IF(INDEX('Per Invoice'!F$2:F$801,$W290)="","",INDEX('Per Invoice'!F$2:F$801,$W290)))</f>
        <v/>
      </c>
      <c r="G290">
        <f>IF($W290="","",IF(INDEX('Per Invoice'!G$2:G$801,$W290)="","",INDEX('Per Invoice'!G$2:G$801,$W290)))</f>
        <v/>
      </c>
      <c r="H290">
        <f>IF($W290="","",IF(INDEX('Per Invoice'!H$2:H$801,$W290)="","",INDEX('Per Invoice'!H$2:H$801,$W290)))</f>
        <v/>
      </c>
      <c r="I290">
        <f>IF($W290="","",IF(INDEX('Per Invoice'!I$2:I$801,$W290)="","",INDEX('Per Invoice'!I$2:I$801,$W290)))</f>
        <v/>
      </c>
      <c r="J290">
        <f>IF($W290="","",IF(INDEX('Per Invoice'!J$2:J$801,$W290)="","",INDEX('Per Invoice'!J$2:J$801,$W290)))</f>
        <v/>
      </c>
      <c r="K290" s="7">
        <f>IF($W290="","",IF(INDEX('Per Invoice'!K$2:K$801,$W290)="","",INDEX('Per Invoice'!K$2:K$801,$W290)))</f>
        <v/>
      </c>
      <c r="L290" s="14">
        <f>IF($W290="","",IF(INDEX('Per Invoice'!L$2:L$801,$W290)="","",INDEX('Per Invoice'!L$2:L$801,$W290)))</f>
        <v/>
      </c>
      <c r="M290">
        <f>IF($W290="","",IF(INDEX('Per Invoice'!M$2:M$801,$W290)="","",INDEX('Per Invoice'!M$2:M$801,$W290)))</f>
        <v/>
      </c>
      <c r="N290" s="7">
        <f>IF($W290="","",IF(INDEX('Per Invoice'!N$2:N$801,$W290)="","",INDEX('Per Invoice'!N$2:N$801,$W290)))</f>
        <v/>
      </c>
      <c r="O290" s="7">
        <f>IF($W290="","",IF(INDEX('Per Invoice'!O$2:O$801,$W290)="","",INDEX('Per Invoice'!O$2:O$801,$W290)))</f>
        <v/>
      </c>
      <c r="P290">
        <f>IF($W290="","",IF(INDEX('Per Invoice'!P$2:P$801,$W290)="","",INDEX('Per Invoice'!P$2:P$801,$W290)))</f>
        <v/>
      </c>
      <c r="Q290" s="7">
        <f>IF($W290="","",IF(INDEX('Per Invoice'!Q$2:Q$801,$W290)="","",INDEX('Per Invoice'!Q$2:Q$801,$W290)))</f>
        <v/>
      </c>
      <c r="R290" s="7">
        <f>IF($W290="","",IF(INDEX('Per Invoice'!R$2:R$801,$W290)="","",INDEX('Per Invoice'!R$2:R$801,$W290)))</f>
        <v/>
      </c>
      <c r="S290" s="7">
        <f>IF($W290="","",IF(INDEX('Per Invoice'!S$2:S$801,$W290)="","",INDEX('Per Invoice'!S$2:S$801,$W290)))</f>
        <v/>
      </c>
      <c r="T290" s="7">
        <f>IF($W290="","",IF(INDEX('Per Invoice'!T$2:T$801,$W290)="","",INDEX('Per Invoice'!T$2:T$801,$W290)))</f>
        <v/>
      </c>
      <c r="U290" s="7">
        <f>IF($W290="","",IF(INDEX('Per Invoice'!U$2:U$801,$W290)="","",INDEX('Per Invoice'!U$2:U$801,$W290)))</f>
        <v/>
      </c>
      <c r="V290" s="7">
        <f>IF($W290="","",IF(INDEX('Per Invoice'!V$2:V$801,$W290)="","",INDEX('Per Invoice'!V$2:V$801,$W290)))</f>
        <v/>
      </c>
      <c r="W290" s="16">
        <f>IFERROR(MATCH(Settings!$C$28&amp;"|"&amp;ROWS($W$2:$W290),'Per Invoice'!$X$2:$X$801,0),"")</f>
        <v/>
      </c>
    </row>
    <row r="291">
      <c r="A291">
        <f>IF($W291="","",IF(INDEX('Per Invoice'!A$2:A$801,$W291)="","",INDEX('Per Invoice'!A$2:A$801,$W291)))</f>
        <v/>
      </c>
      <c r="B291">
        <f>IF($W291="","",IF(INDEX('Per Invoice'!B$2:B$801,$W291)="","",INDEX('Per Invoice'!B$2:B$801,$W291)))</f>
        <v/>
      </c>
      <c r="C291">
        <f>IF($W291="","",IF(INDEX('Per Invoice'!C$2:C$801,$W291)="","",INDEX('Per Invoice'!C$2:C$801,$W291)))</f>
        <v/>
      </c>
      <c r="D291">
        <f>IF($W291="","",IF(INDEX('Per Invoice'!D$2:D$801,$W291)="","",INDEX('Per Invoice'!D$2:D$801,$W291)))</f>
        <v/>
      </c>
      <c r="E291">
        <f>IF($W291="","",IF(INDEX('Per Invoice'!E$2:E$801,$W291)="","",INDEX('Per Invoice'!E$2:E$801,$W291)))</f>
        <v/>
      </c>
      <c r="F291">
        <f>IF($W291="","",IF(INDEX('Per Invoice'!F$2:F$801,$W291)="","",INDEX('Per Invoice'!F$2:F$801,$W291)))</f>
        <v/>
      </c>
      <c r="G291">
        <f>IF($W291="","",IF(INDEX('Per Invoice'!G$2:G$801,$W291)="","",INDEX('Per Invoice'!G$2:G$801,$W291)))</f>
        <v/>
      </c>
      <c r="H291">
        <f>IF($W291="","",IF(INDEX('Per Invoice'!H$2:H$801,$W291)="","",INDEX('Per Invoice'!H$2:H$801,$W291)))</f>
        <v/>
      </c>
      <c r="I291">
        <f>IF($W291="","",IF(INDEX('Per Invoice'!I$2:I$801,$W291)="","",INDEX('Per Invoice'!I$2:I$801,$W291)))</f>
        <v/>
      </c>
      <c r="J291">
        <f>IF($W291="","",IF(INDEX('Per Invoice'!J$2:J$801,$W291)="","",INDEX('Per Invoice'!J$2:J$801,$W291)))</f>
        <v/>
      </c>
      <c r="K291" s="7">
        <f>IF($W291="","",IF(INDEX('Per Invoice'!K$2:K$801,$W291)="","",INDEX('Per Invoice'!K$2:K$801,$W291)))</f>
        <v/>
      </c>
      <c r="L291" s="14">
        <f>IF($W291="","",IF(INDEX('Per Invoice'!L$2:L$801,$W291)="","",INDEX('Per Invoice'!L$2:L$801,$W291)))</f>
        <v/>
      </c>
      <c r="M291">
        <f>IF($W291="","",IF(INDEX('Per Invoice'!M$2:M$801,$W291)="","",INDEX('Per Invoice'!M$2:M$801,$W291)))</f>
        <v/>
      </c>
      <c r="N291" s="7">
        <f>IF($W291="","",IF(INDEX('Per Invoice'!N$2:N$801,$W291)="","",INDEX('Per Invoice'!N$2:N$801,$W291)))</f>
        <v/>
      </c>
      <c r="O291" s="7">
        <f>IF($W291="","",IF(INDEX('Per Invoice'!O$2:O$801,$W291)="","",INDEX('Per Invoice'!O$2:O$801,$W291)))</f>
        <v/>
      </c>
      <c r="P291">
        <f>IF($W291="","",IF(INDEX('Per Invoice'!P$2:P$801,$W291)="","",INDEX('Per Invoice'!P$2:P$801,$W291)))</f>
        <v/>
      </c>
      <c r="Q291" s="7">
        <f>IF($W291="","",IF(INDEX('Per Invoice'!Q$2:Q$801,$W291)="","",INDEX('Per Invoice'!Q$2:Q$801,$W291)))</f>
        <v/>
      </c>
      <c r="R291" s="7">
        <f>IF($W291="","",IF(INDEX('Per Invoice'!R$2:R$801,$W291)="","",INDEX('Per Invoice'!R$2:R$801,$W291)))</f>
        <v/>
      </c>
      <c r="S291" s="7">
        <f>IF($W291="","",IF(INDEX('Per Invoice'!S$2:S$801,$W291)="","",INDEX('Per Invoice'!S$2:S$801,$W291)))</f>
        <v/>
      </c>
      <c r="T291" s="7">
        <f>IF($W291="","",IF(INDEX('Per Invoice'!T$2:T$801,$W291)="","",INDEX('Per Invoice'!T$2:T$801,$W291)))</f>
        <v/>
      </c>
      <c r="U291" s="7">
        <f>IF($W291="","",IF(INDEX('Per Invoice'!U$2:U$801,$W291)="","",INDEX('Per Invoice'!U$2:U$801,$W291)))</f>
        <v/>
      </c>
      <c r="V291" s="7">
        <f>IF($W291="","",IF(INDEX('Per Invoice'!V$2:V$801,$W291)="","",INDEX('Per Invoice'!V$2:V$801,$W291)))</f>
        <v/>
      </c>
      <c r="W291" s="16">
        <f>IFERROR(MATCH(Settings!$C$28&amp;"|"&amp;ROWS($W$2:$W291),'Per Invoice'!$X$2:$X$801,0),"")</f>
        <v/>
      </c>
    </row>
    <row r="292">
      <c r="A292">
        <f>IF($W292="","",IF(INDEX('Per Invoice'!A$2:A$801,$W292)="","",INDEX('Per Invoice'!A$2:A$801,$W292)))</f>
        <v/>
      </c>
      <c r="B292">
        <f>IF($W292="","",IF(INDEX('Per Invoice'!B$2:B$801,$W292)="","",INDEX('Per Invoice'!B$2:B$801,$W292)))</f>
        <v/>
      </c>
      <c r="C292">
        <f>IF($W292="","",IF(INDEX('Per Invoice'!C$2:C$801,$W292)="","",INDEX('Per Invoice'!C$2:C$801,$W292)))</f>
        <v/>
      </c>
      <c r="D292">
        <f>IF($W292="","",IF(INDEX('Per Invoice'!D$2:D$801,$W292)="","",INDEX('Per Invoice'!D$2:D$801,$W292)))</f>
        <v/>
      </c>
      <c r="E292">
        <f>IF($W292="","",IF(INDEX('Per Invoice'!E$2:E$801,$W292)="","",INDEX('Per Invoice'!E$2:E$801,$W292)))</f>
        <v/>
      </c>
      <c r="F292">
        <f>IF($W292="","",IF(INDEX('Per Invoice'!F$2:F$801,$W292)="","",INDEX('Per Invoice'!F$2:F$801,$W292)))</f>
        <v/>
      </c>
      <c r="G292">
        <f>IF($W292="","",IF(INDEX('Per Invoice'!G$2:G$801,$W292)="","",INDEX('Per Invoice'!G$2:G$801,$W292)))</f>
        <v/>
      </c>
      <c r="H292">
        <f>IF($W292="","",IF(INDEX('Per Invoice'!H$2:H$801,$W292)="","",INDEX('Per Invoice'!H$2:H$801,$W292)))</f>
        <v/>
      </c>
      <c r="I292">
        <f>IF($W292="","",IF(INDEX('Per Invoice'!I$2:I$801,$W292)="","",INDEX('Per Invoice'!I$2:I$801,$W292)))</f>
        <v/>
      </c>
      <c r="J292">
        <f>IF($W292="","",IF(INDEX('Per Invoice'!J$2:J$801,$W292)="","",INDEX('Per Invoice'!J$2:J$801,$W292)))</f>
        <v/>
      </c>
      <c r="K292" s="7">
        <f>IF($W292="","",IF(INDEX('Per Invoice'!K$2:K$801,$W292)="","",INDEX('Per Invoice'!K$2:K$801,$W292)))</f>
        <v/>
      </c>
      <c r="L292" s="14">
        <f>IF($W292="","",IF(INDEX('Per Invoice'!L$2:L$801,$W292)="","",INDEX('Per Invoice'!L$2:L$801,$W292)))</f>
        <v/>
      </c>
      <c r="M292">
        <f>IF($W292="","",IF(INDEX('Per Invoice'!M$2:M$801,$W292)="","",INDEX('Per Invoice'!M$2:M$801,$W292)))</f>
        <v/>
      </c>
      <c r="N292" s="7">
        <f>IF($W292="","",IF(INDEX('Per Invoice'!N$2:N$801,$W292)="","",INDEX('Per Invoice'!N$2:N$801,$W292)))</f>
        <v/>
      </c>
      <c r="O292" s="7">
        <f>IF($W292="","",IF(INDEX('Per Invoice'!O$2:O$801,$W292)="","",INDEX('Per Invoice'!O$2:O$801,$W292)))</f>
        <v/>
      </c>
      <c r="P292">
        <f>IF($W292="","",IF(INDEX('Per Invoice'!P$2:P$801,$W292)="","",INDEX('Per Invoice'!P$2:P$801,$W292)))</f>
        <v/>
      </c>
      <c r="Q292" s="7">
        <f>IF($W292="","",IF(INDEX('Per Invoice'!Q$2:Q$801,$W292)="","",INDEX('Per Invoice'!Q$2:Q$801,$W292)))</f>
        <v/>
      </c>
      <c r="R292" s="7">
        <f>IF($W292="","",IF(INDEX('Per Invoice'!R$2:R$801,$W292)="","",INDEX('Per Invoice'!R$2:R$801,$W292)))</f>
        <v/>
      </c>
      <c r="S292" s="7">
        <f>IF($W292="","",IF(INDEX('Per Invoice'!S$2:S$801,$W292)="","",INDEX('Per Invoice'!S$2:S$801,$W292)))</f>
        <v/>
      </c>
      <c r="T292" s="7">
        <f>IF($W292="","",IF(INDEX('Per Invoice'!T$2:T$801,$W292)="","",INDEX('Per Invoice'!T$2:T$801,$W292)))</f>
        <v/>
      </c>
      <c r="U292" s="7">
        <f>IF($W292="","",IF(INDEX('Per Invoice'!U$2:U$801,$W292)="","",INDEX('Per Invoice'!U$2:U$801,$W292)))</f>
        <v/>
      </c>
      <c r="V292" s="7">
        <f>IF($W292="","",IF(INDEX('Per Invoice'!V$2:V$801,$W292)="","",INDEX('Per Invoice'!V$2:V$801,$W292)))</f>
        <v/>
      </c>
      <c r="W292" s="16">
        <f>IFERROR(MATCH(Settings!$C$28&amp;"|"&amp;ROWS($W$2:$W292),'Per Invoice'!$X$2:$X$801,0),"")</f>
        <v/>
      </c>
    </row>
    <row r="293">
      <c r="A293">
        <f>IF($W293="","",IF(INDEX('Per Invoice'!A$2:A$801,$W293)="","",INDEX('Per Invoice'!A$2:A$801,$W293)))</f>
        <v/>
      </c>
      <c r="B293">
        <f>IF($W293="","",IF(INDEX('Per Invoice'!B$2:B$801,$W293)="","",INDEX('Per Invoice'!B$2:B$801,$W293)))</f>
        <v/>
      </c>
      <c r="C293">
        <f>IF($W293="","",IF(INDEX('Per Invoice'!C$2:C$801,$W293)="","",INDEX('Per Invoice'!C$2:C$801,$W293)))</f>
        <v/>
      </c>
      <c r="D293">
        <f>IF($W293="","",IF(INDEX('Per Invoice'!D$2:D$801,$W293)="","",INDEX('Per Invoice'!D$2:D$801,$W293)))</f>
        <v/>
      </c>
      <c r="E293">
        <f>IF($W293="","",IF(INDEX('Per Invoice'!E$2:E$801,$W293)="","",INDEX('Per Invoice'!E$2:E$801,$W293)))</f>
        <v/>
      </c>
      <c r="F293">
        <f>IF($W293="","",IF(INDEX('Per Invoice'!F$2:F$801,$W293)="","",INDEX('Per Invoice'!F$2:F$801,$W293)))</f>
        <v/>
      </c>
      <c r="G293">
        <f>IF($W293="","",IF(INDEX('Per Invoice'!G$2:G$801,$W293)="","",INDEX('Per Invoice'!G$2:G$801,$W293)))</f>
        <v/>
      </c>
      <c r="H293">
        <f>IF($W293="","",IF(INDEX('Per Invoice'!H$2:H$801,$W293)="","",INDEX('Per Invoice'!H$2:H$801,$W293)))</f>
        <v/>
      </c>
      <c r="I293">
        <f>IF($W293="","",IF(INDEX('Per Invoice'!I$2:I$801,$W293)="","",INDEX('Per Invoice'!I$2:I$801,$W293)))</f>
        <v/>
      </c>
      <c r="J293">
        <f>IF($W293="","",IF(INDEX('Per Invoice'!J$2:J$801,$W293)="","",INDEX('Per Invoice'!J$2:J$801,$W293)))</f>
        <v/>
      </c>
      <c r="K293" s="7">
        <f>IF($W293="","",IF(INDEX('Per Invoice'!K$2:K$801,$W293)="","",INDEX('Per Invoice'!K$2:K$801,$W293)))</f>
        <v/>
      </c>
      <c r="L293" s="14">
        <f>IF($W293="","",IF(INDEX('Per Invoice'!L$2:L$801,$W293)="","",INDEX('Per Invoice'!L$2:L$801,$W293)))</f>
        <v/>
      </c>
      <c r="M293">
        <f>IF($W293="","",IF(INDEX('Per Invoice'!M$2:M$801,$W293)="","",INDEX('Per Invoice'!M$2:M$801,$W293)))</f>
        <v/>
      </c>
      <c r="N293" s="7">
        <f>IF($W293="","",IF(INDEX('Per Invoice'!N$2:N$801,$W293)="","",INDEX('Per Invoice'!N$2:N$801,$W293)))</f>
        <v/>
      </c>
      <c r="O293" s="7">
        <f>IF($W293="","",IF(INDEX('Per Invoice'!O$2:O$801,$W293)="","",INDEX('Per Invoice'!O$2:O$801,$W293)))</f>
        <v/>
      </c>
      <c r="P293">
        <f>IF($W293="","",IF(INDEX('Per Invoice'!P$2:P$801,$W293)="","",INDEX('Per Invoice'!P$2:P$801,$W293)))</f>
        <v/>
      </c>
      <c r="Q293" s="7">
        <f>IF($W293="","",IF(INDEX('Per Invoice'!Q$2:Q$801,$W293)="","",INDEX('Per Invoice'!Q$2:Q$801,$W293)))</f>
        <v/>
      </c>
      <c r="R293" s="7">
        <f>IF($W293="","",IF(INDEX('Per Invoice'!R$2:R$801,$W293)="","",INDEX('Per Invoice'!R$2:R$801,$W293)))</f>
        <v/>
      </c>
      <c r="S293" s="7">
        <f>IF($W293="","",IF(INDEX('Per Invoice'!S$2:S$801,$W293)="","",INDEX('Per Invoice'!S$2:S$801,$W293)))</f>
        <v/>
      </c>
      <c r="T293" s="7">
        <f>IF($W293="","",IF(INDEX('Per Invoice'!T$2:T$801,$W293)="","",INDEX('Per Invoice'!T$2:T$801,$W293)))</f>
        <v/>
      </c>
      <c r="U293" s="7">
        <f>IF($W293="","",IF(INDEX('Per Invoice'!U$2:U$801,$W293)="","",INDEX('Per Invoice'!U$2:U$801,$W293)))</f>
        <v/>
      </c>
      <c r="V293" s="7">
        <f>IF($W293="","",IF(INDEX('Per Invoice'!V$2:V$801,$W293)="","",INDEX('Per Invoice'!V$2:V$801,$W293)))</f>
        <v/>
      </c>
      <c r="W293" s="16">
        <f>IFERROR(MATCH(Settings!$C$28&amp;"|"&amp;ROWS($W$2:$W293),'Per Invoice'!$X$2:$X$801,0),"")</f>
        <v/>
      </c>
    </row>
    <row r="294">
      <c r="A294">
        <f>IF($W294="","",IF(INDEX('Per Invoice'!A$2:A$801,$W294)="","",INDEX('Per Invoice'!A$2:A$801,$W294)))</f>
        <v/>
      </c>
      <c r="B294">
        <f>IF($W294="","",IF(INDEX('Per Invoice'!B$2:B$801,$W294)="","",INDEX('Per Invoice'!B$2:B$801,$W294)))</f>
        <v/>
      </c>
      <c r="C294">
        <f>IF($W294="","",IF(INDEX('Per Invoice'!C$2:C$801,$W294)="","",INDEX('Per Invoice'!C$2:C$801,$W294)))</f>
        <v/>
      </c>
      <c r="D294">
        <f>IF($W294="","",IF(INDEX('Per Invoice'!D$2:D$801,$W294)="","",INDEX('Per Invoice'!D$2:D$801,$W294)))</f>
        <v/>
      </c>
      <c r="E294">
        <f>IF($W294="","",IF(INDEX('Per Invoice'!E$2:E$801,$W294)="","",INDEX('Per Invoice'!E$2:E$801,$W294)))</f>
        <v/>
      </c>
      <c r="F294">
        <f>IF($W294="","",IF(INDEX('Per Invoice'!F$2:F$801,$W294)="","",INDEX('Per Invoice'!F$2:F$801,$W294)))</f>
        <v/>
      </c>
      <c r="G294">
        <f>IF($W294="","",IF(INDEX('Per Invoice'!G$2:G$801,$W294)="","",INDEX('Per Invoice'!G$2:G$801,$W294)))</f>
        <v/>
      </c>
      <c r="H294">
        <f>IF($W294="","",IF(INDEX('Per Invoice'!H$2:H$801,$W294)="","",INDEX('Per Invoice'!H$2:H$801,$W294)))</f>
        <v/>
      </c>
      <c r="I294">
        <f>IF($W294="","",IF(INDEX('Per Invoice'!I$2:I$801,$W294)="","",INDEX('Per Invoice'!I$2:I$801,$W294)))</f>
        <v/>
      </c>
      <c r="J294">
        <f>IF($W294="","",IF(INDEX('Per Invoice'!J$2:J$801,$W294)="","",INDEX('Per Invoice'!J$2:J$801,$W294)))</f>
        <v/>
      </c>
      <c r="K294" s="7">
        <f>IF($W294="","",IF(INDEX('Per Invoice'!K$2:K$801,$W294)="","",INDEX('Per Invoice'!K$2:K$801,$W294)))</f>
        <v/>
      </c>
      <c r="L294" s="14">
        <f>IF($W294="","",IF(INDEX('Per Invoice'!L$2:L$801,$W294)="","",INDEX('Per Invoice'!L$2:L$801,$W294)))</f>
        <v/>
      </c>
      <c r="M294">
        <f>IF($W294="","",IF(INDEX('Per Invoice'!M$2:M$801,$W294)="","",INDEX('Per Invoice'!M$2:M$801,$W294)))</f>
        <v/>
      </c>
      <c r="N294" s="7">
        <f>IF($W294="","",IF(INDEX('Per Invoice'!N$2:N$801,$W294)="","",INDEX('Per Invoice'!N$2:N$801,$W294)))</f>
        <v/>
      </c>
      <c r="O294" s="7">
        <f>IF($W294="","",IF(INDEX('Per Invoice'!O$2:O$801,$W294)="","",INDEX('Per Invoice'!O$2:O$801,$W294)))</f>
        <v/>
      </c>
      <c r="P294">
        <f>IF($W294="","",IF(INDEX('Per Invoice'!P$2:P$801,$W294)="","",INDEX('Per Invoice'!P$2:P$801,$W294)))</f>
        <v/>
      </c>
      <c r="Q294" s="7">
        <f>IF($W294="","",IF(INDEX('Per Invoice'!Q$2:Q$801,$W294)="","",INDEX('Per Invoice'!Q$2:Q$801,$W294)))</f>
        <v/>
      </c>
      <c r="R294" s="7">
        <f>IF($W294="","",IF(INDEX('Per Invoice'!R$2:R$801,$W294)="","",INDEX('Per Invoice'!R$2:R$801,$W294)))</f>
        <v/>
      </c>
      <c r="S294" s="7">
        <f>IF($W294="","",IF(INDEX('Per Invoice'!S$2:S$801,$W294)="","",INDEX('Per Invoice'!S$2:S$801,$W294)))</f>
        <v/>
      </c>
      <c r="T294" s="7">
        <f>IF($W294="","",IF(INDEX('Per Invoice'!T$2:T$801,$W294)="","",INDEX('Per Invoice'!T$2:T$801,$W294)))</f>
        <v/>
      </c>
      <c r="U294" s="7">
        <f>IF($W294="","",IF(INDEX('Per Invoice'!U$2:U$801,$W294)="","",INDEX('Per Invoice'!U$2:U$801,$W294)))</f>
        <v/>
      </c>
      <c r="V294" s="7">
        <f>IF($W294="","",IF(INDEX('Per Invoice'!V$2:V$801,$W294)="","",INDEX('Per Invoice'!V$2:V$801,$W294)))</f>
        <v/>
      </c>
      <c r="W294" s="16">
        <f>IFERROR(MATCH(Settings!$C$28&amp;"|"&amp;ROWS($W$2:$W294),'Per Invoice'!$X$2:$X$801,0),"")</f>
        <v/>
      </c>
    </row>
    <row r="295">
      <c r="A295">
        <f>IF($W295="","",IF(INDEX('Per Invoice'!A$2:A$801,$W295)="","",INDEX('Per Invoice'!A$2:A$801,$W295)))</f>
        <v/>
      </c>
      <c r="B295">
        <f>IF($W295="","",IF(INDEX('Per Invoice'!B$2:B$801,$W295)="","",INDEX('Per Invoice'!B$2:B$801,$W295)))</f>
        <v/>
      </c>
      <c r="C295">
        <f>IF($W295="","",IF(INDEX('Per Invoice'!C$2:C$801,$W295)="","",INDEX('Per Invoice'!C$2:C$801,$W295)))</f>
        <v/>
      </c>
      <c r="D295">
        <f>IF($W295="","",IF(INDEX('Per Invoice'!D$2:D$801,$W295)="","",INDEX('Per Invoice'!D$2:D$801,$W295)))</f>
        <v/>
      </c>
      <c r="E295">
        <f>IF($W295="","",IF(INDEX('Per Invoice'!E$2:E$801,$W295)="","",INDEX('Per Invoice'!E$2:E$801,$W295)))</f>
        <v/>
      </c>
      <c r="F295">
        <f>IF($W295="","",IF(INDEX('Per Invoice'!F$2:F$801,$W295)="","",INDEX('Per Invoice'!F$2:F$801,$W295)))</f>
        <v/>
      </c>
      <c r="G295">
        <f>IF($W295="","",IF(INDEX('Per Invoice'!G$2:G$801,$W295)="","",INDEX('Per Invoice'!G$2:G$801,$W295)))</f>
        <v/>
      </c>
      <c r="H295">
        <f>IF($W295="","",IF(INDEX('Per Invoice'!H$2:H$801,$W295)="","",INDEX('Per Invoice'!H$2:H$801,$W295)))</f>
        <v/>
      </c>
      <c r="I295">
        <f>IF($W295="","",IF(INDEX('Per Invoice'!I$2:I$801,$W295)="","",INDEX('Per Invoice'!I$2:I$801,$W295)))</f>
        <v/>
      </c>
      <c r="J295">
        <f>IF($W295="","",IF(INDEX('Per Invoice'!J$2:J$801,$W295)="","",INDEX('Per Invoice'!J$2:J$801,$W295)))</f>
        <v/>
      </c>
      <c r="K295" s="7">
        <f>IF($W295="","",IF(INDEX('Per Invoice'!K$2:K$801,$W295)="","",INDEX('Per Invoice'!K$2:K$801,$W295)))</f>
        <v/>
      </c>
      <c r="L295" s="14">
        <f>IF($W295="","",IF(INDEX('Per Invoice'!L$2:L$801,$W295)="","",INDEX('Per Invoice'!L$2:L$801,$W295)))</f>
        <v/>
      </c>
      <c r="M295">
        <f>IF($W295="","",IF(INDEX('Per Invoice'!M$2:M$801,$W295)="","",INDEX('Per Invoice'!M$2:M$801,$W295)))</f>
        <v/>
      </c>
      <c r="N295" s="7">
        <f>IF($W295="","",IF(INDEX('Per Invoice'!N$2:N$801,$W295)="","",INDEX('Per Invoice'!N$2:N$801,$W295)))</f>
        <v/>
      </c>
      <c r="O295" s="7">
        <f>IF($W295="","",IF(INDEX('Per Invoice'!O$2:O$801,$W295)="","",INDEX('Per Invoice'!O$2:O$801,$W295)))</f>
        <v/>
      </c>
      <c r="P295">
        <f>IF($W295="","",IF(INDEX('Per Invoice'!P$2:P$801,$W295)="","",INDEX('Per Invoice'!P$2:P$801,$W295)))</f>
        <v/>
      </c>
      <c r="Q295" s="7">
        <f>IF($W295="","",IF(INDEX('Per Invoice'!Q$2:Q$801,$W295)="","",INDEX('Per Invoice'!Q$2:Q$801,$W295)))</f>
        <v/>
      </c>
      <c r="R295" s="7">
        <f>IF($W295="","",IF(INDEX('Per Invoice'!R$2:R$801,$W295)="","",INDEX('Per Invoice'!R$2:R$801,$W295)))</f>
        <v/>
      </c>
      <c r="S295" s="7">
        <f>IF($W295="","",IF(INDEX('Per Invoice'!S$2:S$801,$W295)="","",INDEX('Per Invoice'!S$2:S$801,$W295)))</f>
        <v/>
      </c>
      <c r="T295" s="7">
        <f>IF($W295="","",IF(INDEX('Per Invoice'!T$2:T$801,$W295)="","",INDEX('Per Invoice'!T$2:T$801,$W295)))</f>
        <v/>
      </c>
      <c r="U295" s="7">
        <f>IF($W295="","",IF(INDEX('Per Invoice'!U$2:U$801,$W295)="","",INDEX('Per Invoice'!U$2:U$801,$W295)))</f>
        <v/>
      </c>
      <c r="V295" s="7">
        <f>IF($W295="","",IF(INDEX('Per Invoice'!V$2:V$801,$W295)="","",INDEX('Per Invoice'!V$2:V$801,$W295)))</f>
        <v/>
      </c>
      <c r="W295" s="16">
        <f>IFERROR(MATCH(Settings!$C$28&amp;"|"&amp;ROWS($W$2:$W295),'Per Invoice'!$X$2:$X$801,0),"")</f>
        <v/>
      </c>
    </row>
    <row r="296">
      <c r="A296">
        <f>IF($W296="","",IF(INDEX('Per Invoice'!A$2:A$801,$W296)="","",INDEX('Per Invoice'!A$2:A$801,$W296)))</f>
        <v/>
      </c>
      <c r="B296">
        <f>IF($W296="","",IF(INDEX('Per Invoice'!B$2:B$801,$W296)="","",INDEX('Per Invoice'!B$2:B$801,$W296)))</f>
        <v/>
      </c>
      <c r="C296">
        <f>IF($W296="","",IF(INDEX('Per Invoice'!C$2:C$801,$W296)="","",INDEX('Per Invoice'!C$2:C$801,$W296)))</f>
        <v/>
      </c>
      <c r="D296">
        <f>IF($W296="","",IF(INDEX('Per Invoice'!D$2:D$801,$W296)="","",INDEX('Per Invoice'!D$2:D$801,$W296)))</f>
        <v/>
      </c>
      <c r="E296">
        <f>IF($W296="","",IF(INDEX('Per Invoice'!E$2:E$801,$W296)="","",INDEX('Per Invoice'!E$2:E$801,$W296)))</f>
        <v/>
      </c>
      <c r="F296">
        <f>IF($W296="","",IF(INDEX('Per Invoice'!F$2:F$801,$W296)="","",INDEX('Per Invoice'!F$2:F$801,$W296)))</f>
        <v/>
      </c>
      <c r="G296">
        <f>IF($W296="","",IF(INDEX('Per Invoice'!G$2:G$801,$W296)="","",INDEX('Per Invoice'!G$2:G$801,$W296)))</f>
        <v/>
      </c>
      <c r="H296">
        <f>IF($W296="","",IF(INDEX('Per Invoice'!H$2:H$801,$W296)="","",INDEX('Per Invoice'!H$2:H$801,$W296)))</f>
        <v/>
      </c>
      <c r="I296">
        <f>IF($W296="","",IF(INDEX('Per Invoice'!I$2:I$801,$W296)="","",INDEX('Per Invoice'!I$2:I$801,$W296)))</f>
        <v/>
      </c>
      <c r="J296">
        <f>IF($W296="","",IF(INDEX('Per Invoice'!J$2:J$801,$W296)="","",INDEX('Per Invoice'!J$2:J$801,$W296)))</f>
        <v/>
      </c>
      <c r="K296" s="7">
        <f>IF($W296="","",IF(INDEX('Per Invoice'!K$2:K$801,$W296)="","",INDEX('Per Invoice'!K$2:K$801,$W296)))</f>
        <v/>
      </c>
      <c r="L296" s="14">
        <f>IF($W296="","",IF(INDEX('Per Invoice'!L$2:L$801,$W296)="","",INDEX('Per Invoice'!L$2:L$801,$W296)))</f>
        <v/>
      </c>
      <c r="M296">
        <f>IF($W296="","",IF(INDEX('Per Invoice'!M$2:M$801,$W296)="","",INDEX('Per Invoice'!M$2:M$801,$W296)))</f>
        <v/>
      </c>
      <c r="N296" s="7">
        <f>IF($W296="","",IF(INDEX('Per Invoice'!N$2:N$801,$W296)="","",INDEX('Per Invoice'!N$2:N$801,$W296)))</f>
        <v/>
      </c>
      <c r="O296" s="7">
        <f>IF($W296="","",IF(INDEX('Per Invoice'!O$2:O$801,$W296)="","",INDEX('Per Invoice'!O$2:O$801,$W296)))</f>
        <v/>
      </c>
      <c r="P296">
        <f>IF($W296="","",IF(INDEX('Per Invoice'!P$2:P$801,$W296)="","",INDEX('Per Invoice'!P$2:P$801,$W296)))</f>
        <v/>
      </c>
      <c r="Q296" s="7">
        <f>IF($W296="","",IF(INDEX('Per Invoice'!Q$2:Q$801,$W296)="","",INDEX('Per Invoice'!Q$2:Q$801,$W296)))</f>
        <v/>
      </c>
      <c r="R296" s="7">
        <f>IF($W296="","",IF(INDEX('Per Invoice'!R$2:R$801,$W296)="","",INDEX('Per Invoice'!R$2:R$801,$W296)))</f>
        <v/>
      </c>
      <c r="S296" s="7">
        <f>IF($W296="","",IF(INDEX('Per Invoice'!S$2:S$801,$W296)="","",INDEX('Per Invoice'!S$2:S$801,$W296)))</f>
        <v/>
      </c>
      <c r="T296" s="7">
        <f>IF($W296="","",IF(INDEX('Per Invoice'!T$2:T$801,$W296)="","",INDEX('Per Invoice'!T$2:T$801,$W296)))</f>
        <v/>
      </c>
      <c r="U296" s="7">
        <f>IF($W296="","",IF(INDEX('Per Invoice'!U$2:U$801,$W296)="","",INDEX('Per Invoice'!U$2:U$801,$W296)))</f>
        <v/>
      </c>
      <c r="V296" s="7">
        <f>IF($W296="","",IF(INDEX('Per Invoice'!V$2:V$801,$W296)="","",INDEX('Per Invoice'!V$2:V$801,$W296)))</f>
        <v/>
      </c>
      <c r="W296" s="16">
        <f>IFERROR(MATCH(Settings!$C$28&amp;"|"&amp;ROWS($W$2:$W296),'Per Invoice'!$X$2:$X$801,0),"")</f>
        <v/>
      </c>
    </row>
    <row r="297">
      <c r="A297">
        <f>IF($W297="","",IF(INDEX('Per Invoice'!A$2:A$801,$W297)="","",INDEX('Per Invoice'!A$2:A$801,$W297)))</f>
        <v/>
      </c>
      <c r="B297">
        <f>IF($W297="","",IF(INDEX('Per Invoice'!B$2:B$801,$W297)="","",INDEX('Per Invoice'!B$2:B$801,$W297)))</f>
        <v/>
      </c>
      <c r="C297">
        <f>IF($W297="","",IF(INDEX('Per Invoice'!C$2:C$801,$W297)="","",INDEX('Per Invoice'!C$2:C$801,$W297)))</f>
        <v/>
      </c>
      <c r="D297">
        <f>IF($W297="","",IF(INDEX('Per Invoice'!D$2:D$801,$W297)="","",INDEX('Per Invoice'!D$2:D$801,$W297)))</f>
        <v/>
      </c>
      <c r="E297">
        <f>IF($W297="","",IF(INDEX('Per Invoice'!E$2:E$801,$W297)="","",INDEX('Per Invoice'!E$2:E$801,$W297)))</f>
        <v/>
      </c>
      <c r="F297">
        <f>IF($W297="","",IF(INDEX('Per Invoice'!F$2:F$801,$W297)="","",INDEX('Per Invoice'!F$2:F$801,$W297)))</f>
        <v/>
      </c>
      <c r="G297">
        <f>IF($W297="","",IF(INDEX('Per Invoice'!G$2:G$801,$W297)="","",INDEX('Per Invoice'!G$2:G$801,$W297)))</f>
        <v/>
      </c>
      <c r="H297">
        <f>IF($W297="","",IF(INDEX('Per Invoice'!H$2:H$801,$W297)="","",INDEX('Per Invoice'!H$2:H$801,$W297)))</f>
        <v/>
      </c>
      <c r="I297">
        <f>IF($W297="","",IF(INDEX('Per Invoice'!I$2:I$801,$W297)="","",INDEX('Per Invoice'!I$2:I$801,$W297)))</f>
        <v/>
      </c>
      <c r="J297">
        <f>IF($W297="","",IF(INDEX('Per Invoice'!J$2:J$801,$W297)="","",INDEX('Per Invoice'!J$2:J$801,$W297)))</f>
        <v/>
      </c>
      <c r="K297" s="7">
        <f>IF($W297="","",IF(INDEX('Per Invoice'!K$2:K$801,$W297)="","",INDEX('Per Invoice'!K$2:K$801,$W297)))</f>
        <v/>
      </c>
      <c r="L297" s="14">
        <f>IF($W297="","",IF(INDEX('Per Invoice'!L$2:L$801,$W297)="","",INDEX('Per Invoice'!L$2:L$801,$W297)))</f>
        <v/>
      </c>
      <c r="M297">
        <f>IF($W297="","",IF(INDEX('Per Invoice'!M$2:M$801,$W297)="","",INDEX('Per Invoice'!M$2:M$801,$W297)))</f>
        <v/>
      </c>
      <c r="N297" s="7">
        <f>IF($W297="","",IF(INDEX('Per Invoice'!N$2:N$801,$W297)="","",INDEX('Per Invoice'!N$2:N$801,$W297)))</f>
        <v/>
      </c>
      <c r="O297" s="7">
        <f>IF($W297="","",IF(INDEX('Per Invoice'!O$2:O$801,$W297)="","",INDEX('Per Invoice'!O$2:O$801,$W297)))</f>
        <v/>
      </c>
      <c r="P297">
        <f>IF($W297="","",IF(INDEX('Per Invoice'!P$2:P$801,$W297)="","",INDEX('Per Invoice'!P$2:P$801,$W297)))</f>
        <v/>
      </c>
      <c r="Q297" s="7">
        <f>IF($W297="","",IF(INDEX('Per Invoice'!Q$2:Q$801,$W297)="","",INDEX('Per Invoice'!Q$2:Q$801,$W297)))</f>
        <v/>
      </c>
      <c r="R297" s="7">
        <f>IF($W297="","",IF(INDEX('Per Invoice'!R$2:R$801,$W297)="","",INDEX('Per Invoice'!R$2:R$801,$W297)))</f>
        <v/>
      </c>
      <c r="S297" s="7">
        <f>IF($W297="","",IF(INDEX('Per Invoice'!S$2:S$801,$W297)="","",INDEX('Per Invoice'!S$2:S$801,$W297)))</f>
        <v/>
      </c>
      <c r="T297" s="7">
        <f>IF($W297="","",IF(INDEX('Per Invoice'!T$2:T$801,$W297)="","",INDEX('Per Invoice'!T$2:T$801,$W297)))</f>
        <v/>
      </c>
      <c r="U297" s="7">
        <f>IF($W297="","",IF(INDEX('Per Invoice'!U$2:U$801,$W297)="","",INDEX('Per Invoice'!U$2:U$801,$W297)))</f>
        <v/>
      </c>
      <c r="V297" s="7">
        <f>IF($W297="","",IF(INDEX('Per Invoice'!V$2:V$801,$W297)="","",INDEX('Per Invoice'!V$2:V$801,$W297)))</f>
        <v/>
      </c>
      <c r="W297" s="16">
        <f>IFERROR(MATCH(Settings!$C$28&amp;"|"&amp;ROWS($W$2:$W297),'Per Invoice'!$X$2:$X$801,0),"")</f>
        <v/>
      </c>
    </row>
    <row r="298">
      <c r="A298">
        <f>IF($W298="","",IF(INDEX('Per Invoice'!A$2:A$801,$W298)="","",INDEX('Per Invoice'!A$2:A$801,$W298)))</f>
        <v/>
      </c>
      <c r="B298">
        <f>IF($W298="","",IF(INDEX('Per Invoice'!B$2:B$801,$W298)="","",INDEX('Per Invoice'!B$2:B$801,$W298)))</f>
        <v/>
      </c>
      <c r="C298">
        <f>IF($W298="","",IF(INDEX('Per Invoice'!C$2:C$801,$W298)="","",INDEX('Per Invoice'!C$2:C$801,$W298)))</f>
        <v/>
      </c>
      <c r="D298">
        <f>IF($W298="","",IF(INDEX('Per Invoice'!D$2:D$801,$W298)="","",INDEX('Per Invoice'!D$2:D$801,$W298)))</f>
        <v/>
      </c>
      <c r="E298">
        <f>IF($W298="","",IF(INDEX('Per Invoice'!E$2:E$801,$W298)="","",INDEX('Per Invoice'!E$2:E$801,$W298)))</f>
        <v/>
      </c>
      <c r="F298">
        <f>IF($W298="","",IF(INDEX('Per Invoice'!F$2:F$801,$W298)="","",INDEX('Per Invoice'!F$2:F$801,$W298)))</f>
        <v/>
      </c>
      <c r="G298">
        <f>IF($W298="","",IF(INDEX('Per Invoice'!G$2:G$801,$W298)="","",INDEX('Per Invoice'!G$2:G$801,$W298)))</f>
        <v/>
      </c>
      <c r="H298">
        <f>IF($W298="","",IF(INDEX('Per Invoice'!H$2:H$801,$W298)="","",INDEX('Per Invoice'!H$2:H$801,$W298)))</f>
        <v/>
      </c>
      <c r="I298">
        <f>IF($W298="","",IF(INDEX('Per Invoice'!I$2:I$801,$W298)="","",INDEX('Per Invoice'!I$2:I$801,$W298)))</f>
        <v/>
      </c>
      <c r="J298">
        <f>IF($W298="","",IF(INDEX('Per Invoice'!J$2:J$801,$W298)="","",INDEX('Per Invoice'!J$2:J$801,$W298)))</f>
        <v/>
      </c>
      <c r="K298" s="7">
        <f>IF($W298="","",IF(INDEX('Per Invoice'!K$2:K$801,$W298)="","",INDEX('Per Invoice'!K$2:K$801,$W298)))</f>
        <v/>
      </c>
      <c r="L298" s="14">
        <f>IF($W298="","",IF(INDEX('Per Invoice'!L$2:L$801,$W298)="","",INDEX('Per Invoice'!L$2:L$801,$W298)))</f>
        <v/>
      </c>
      <c r="M298">
        <f>IF($W298="","",IF(INDEX('Per Invoice'!M$2:M$801,$W298)="","",INDEX('Per Invoice'!M$2:M$801,$W298)))</f>
        <v/>
      </c>
      <c r="N298" s="7">
        <f>IF($W298="","",IF(INDEX('Per Invoice'!N$2:N$801,$W298)="","",INDEX('Per Invoice'!N$2:N$801,$W298)))</f>
        <v/>
      </c>
      <c r="O298" s="7">
        <f>IF($W298="","",IF(INDEX('Per Invoice'!O$2:O$801,$W298)="","",INDEX('Per Invoice'!O$2:O$801,$W298)))</f>
        <v/>
      </c>
      <c r="P298">
        <f>IF($W298="","",IF(INDEX('Per Invoice'!P$2:P$801,$W298)="","",INDEX('Per Invoice'!P$2:P$801,$W298)))</f>
        <v/>
      </c>
      <c r="Q298" s="7">
        <f>IF($W298="","",IF(INDEX('Per Invoice'!Q$2:Q$801,$W298)="","",INDEX('Per Invoice'!Q$2:Q$801,$W298)))</f>
        <v/>
      </c>
      <c r="R298" s="7">
        <f>IF($W298="","",IF(INDEX('Per Invoice'!R$2:R$801,$W298)="","",INDEX('Per Invoice'!R$2:R$801,$W298)))</f>
        <v/>
      </c>
      <c r="S298" s="7">
        <f>IF($W298="","",IF(INDEX('Per Invoice'!S$2:S$801,$W298)="","",INDEX('Per Invoice'!S$2:S$801,$W298)))</f>
        <v/>
      </c>
      <c r="T298" s="7">
        <f>IF($W298="","",IF(INDEX('Per Invoice'!T$2:T$801,$W298)="","",INDEX('Per Invoice'!T$2:T$801,$W298)))</f>
        <v/>
      </c>
      <c r="U298" s="7">
        <f>IF($W298="","",IF(INDEX('Per Invoice'!U$2:U$801,$W298)="","",INDEX('Per Invoice'!U$2:U$801,$W298)))</f>
        <v/>
      </c>
      <c r="V298" s="7">
        <f>IF($W298="","",IF(INDEX('Per Invoice'!V$2:V$801,$W298)="","",INDEX('Per Invoice'!V$2:V$801,$W298)))</f>
        <v/>
      </c>
      <c r="W298" s="16">
        <f>IFERROR(MATCH(Settings!$C$28&amp;"|"&amp;ROWS($W$2:$W298),'Per Invoice'!$X$2:$X$801,0),"")</f>
        <v/>
      </c>
    </row>
    <row r="299">
      <c r="A299">
        <f>IF($W299="","",IF(INDEX('Per Invoice'!A$2:A$801,$W299)="","",INDEX('Per Invoice'!A$2:A$801,$W299)))</f>
        <v/>
      </c>
      <c r="B299">
        <f>IF($W299="","",IF(INDEX('Per Invoice'!B$2:B$801,$W299)="","",INDEX('Per Invoice'!B$2:B$801,$W299)))</f>
        <v/>
      </c>
      <c r="C299">
        <f>IF($W299="","",IF(INDEX('Per Invoice'!C$2:C$801,$W299)="","",INDEX('Per Invoice'!C$2:C$801,$W299)))</f>
        <v/>
      </c>
      <c r="D299">
        <f>IF($W299="","",IF(INDEX('Per Invoice'!D$2:D$801,$W299)="","",INDEX('Per Invoice'!D$2:D$801,$W299)))</f>
        <v/>
      </c>
      <c r="E299">
        <f>IF($W299="","",IF(INDEX('Per Invoice'!E$2:E$801,$W299)="","",INDEX('Per Invoice'!E$2:E$801,$W299)))</f>
        <v/>
      </c>
      <c r="F299">
        <f>IF($W299="","",IF(INDEX('Per Invoice'!F$2:F$801,$W299)="","",INDEX('Per Invoice'!F$2:F$801,$W299)))</f>
        <v/>
      </c>
      <c r="G299">
        <f>IF($W299="","",IF(INDEX('Per Invoice'!G$2:G$801,$W299)="","",INDEX('Per Invoice'!G$2:G$801,$W299)))</f>
        <v/>
      </c>
      <c r="H299">
        <f>IF($W299="","",IF(INDEX('Per Invoice'!H$2:H$801,$W299)="","",INDEX('Per Invoice'!H$2:H$801,$W299)))</f>
        <v/>
      </c>
      <c r="I299">
        <f>IF($W299="","",IF(INDEX('Per Invoice'!I$2:I$801,$W299)="","",INDEX('Per Invoice'!I$2:I$801,$W299)))</f>
        <v/>
      </c>
      <c r="J299">
        <f>IF($W299="","",IF(INDEX('Per Invoice'!J$2:J$801,$W299)="","",INDEX('Per Invoice'!J$2:J$801,$W299)))</f>
        <v/>
      </c>
      <c r="K299" s="7">
        <f>IF($W299="","",IF(INDEX('Per Invoice'!K$2:K$801,$W299)="","",INDEX('Per Invoice'!K$2:K$801,$W299)))</f>
        <v/>
      </c>
      <c r="L299" s="14">
        <f>IF($W299="","",IF(INDEX('Per Invoice'!L$2:L$801,$W299)="","",INDEX('Per Invoice'!L$2:L$801,$W299)))</f>
        <v/>
      </c>
      <c r="M299">
        <f>IF($W299="","",IF(INDEX('Per Invoice'!M$2:M$801,$W299)="","",INDEX('Per Invoice'!M$2:M$801,$W299)))</f>
        <v/>
      </c>
      <c r="N299" s="7">
        <f>IF($W299="","",IF(INDEX('Per Invoice'!N$2:N$801,$W299)="","",INDEX('Per Invoice'!N$2:N$801,$W299)))</f>
        <v/>
      </c>
      <c r="O299" s="7">
        <f>IF($W299="","",IF(INDEX('Per Invoice'!O$2:O$801,$W299)="","",INDEX('Per Invoice'!O$2:O$801,$W299)))</f>
        <v/>
      </c>
      <c r="P299">
        <f>IF($W299="","",IF(INDEX('Per Invoice'!P$2:P$801,$W299)="","",INDEX('Per Invoice'!P$2:P$801,$W299)))</f>
        <v/>
      </c>
      <c r="Q299" s="7">
        <f>IF($W299="","",IF(INDEX('Per Invoice'!Q$2:Q$801,$W299)="","",INDEX('Per Invoice'!Q$2:Q$801,$W299)))</f>
        <v/>
      </c>
      <c r="R299" s="7">
        <f>IF($W299="","",IF(INDEX('Per Invoice'!R$2:R$801,$W299)="","",INDEX('Per Invoice'!R$2:R$801,$W299)))</f>
        <v/>
      </c>
      <c r="S299" s="7">
        <f>IF($W299="","",IF(INDEX('Per Invoice'!S$2:S$801,$W299)="","",INDEX('Per Invoice'!S$2:S$801,$W299)))</f>
        <v/>
      </c>
      <c r="T299" s="7">
        <f>IF($W299="","",IF(INDEX('Per Invoice'!T$2:T$801,$W299)="","",INDEX('Per Invoice'!T$2:T$801,$W299)))</f>
        <v/>
      </c>
      <c r="U299" s="7">
        <f>IF($W299="","",IF(INDEX('Per Invoice'!U$2:U$801,$W299)="","",INDEX('Per Invoice'!U$2:U$801,$W299)))</f>
        <v/>
      </c>
      <c r="V299" s="7">
        <f>IF($W299="","",IF(INDEX('Per Invoice'!V$2:V$801,$W299)="","",INDEX('Per Invoice'!V$2:V$801,$W299)))</f>
        <v/>
      </c>
      <c r="W299" s="16">
        <f>IFERROR(MATCH(Settings!$C$28&amp;"|"&amp;ROWS($W$2:$W299),'Per Invoice'!$X$2:$X$801,0),"")</f>
        <v/>
      </c>
    </row>
    <row r="300">
      <c r="A300">
        <f>IF($W300="","",IF(INDEX('Per Invoice'!A$2:A$801,$W300)="","",INDEX('Per Invoice'!A$2:A$801,$W300)))</f>
        <v/>
      </c>
      <c r="B300">
        <f>IF($W300="","",IF(INDEX('Per Invoice'!B$2:B$801,$W300)="","",INDEX('Per Invoice'!B$2:B$801,$W300)))</f>
        <v/>
      </c>
      <c r="C300">
        <f>IF($W300="","",IF(INDEX('Per Invoice'!C$2:C$801,$W300)="","",INDEX('Per Invoice'!C$2:C$801,$W300)))</f>
        <v/>
      </c>
      <c r="D300">
        <f>IF($W300="","",IF(INDEX('Per Invoice'!D$2:D$801,$W300)="","",INDEX('Per Invoice'!D$2:D$801,$W300)))</f>
        <v/>
      </c>
      <c r="E300">
        <f>IF($W300="","",IF(INDEX('Per Invoice'!E$2:E$801,$W300)="","",INDEX('Per Invoice'!E$2:E$801,$W300)))</f>
        <v/>
      </c>
      <c r="F300">
        <f>IF($W300="","",IF(INDEX('Per Invoice'!F$2:F$801,$W300)="","",INDEX('Per Invoice'!F$2:F$801,$W300)))</f>
        <v/>
      </c>
      <c r="G300">
        <f>IF($W300="","",IF(INDEX('Per Invoice'!G$2:G$801,$W300)="","",INDEX('Per Invoice'!G$2:G$801,$W300)))</f>
        <v/>
      </c>
      <c r="H300">
        <f>IF($W300="","",IF(INDEX('Per Invoice'!H$2:H$801,$W300)="","",INDEX('Per Invoice'!H$2:H$801,$W300)))</f>
        <v/>
      </c>
      <c r="I300">
        <f>IF($W300="","",IF(INDEX('Per Invoice'!I$2:I$801,$W300)="","",INDEX('Per Invoice'!I$2:I$801,$W300)))</f>
        <v/>
      </c>
      <c r="J300">
        <f>IF($W300="","",IF(INDEX('Per Invoice'!J$2:J$801,$W300)="","",INDEX('Per Invoice'!J$2:J$801,$W300)))</f>
        <v/>
      </c>
      <c r="K300" s="7">
        <f>IF($W300="","",IF(INDEX('Per Invoice'!K$2:K$801,$W300)="","",INDEX('Per Invoice'!K$2:K$801,$W300)))</f>
        <v/>
      </c>
      <c r="L300" s="14">
        <f>IF($W300="","",IF(INDEX('Per Invoice'!L$2:L$801,$W300)="","",INDEX('Per Invoice'!L$2:L$801,$W300)))</f>
        <v/>
      </c>
      <c r="M300">
        <f>IF($W300="","",IF(INDEX('Per Invoice'!M$2:M$801,$W300)="","",INDEX('Per Invoice'!M$2:M$801,$W300)))</f>
        <v/>
      </c>
      <c r="N300" s="7">
        <f>IF($W300="","",IF(INDEX('Per Invoice'!N$2:N$801,$W300)="","",INDEX('Per Invoice'!N$2:N$801,$W300)))</f>
        <v/>
      </c>
      <c r="O300" s="7">
        <f>IF($W300="","",IF(INDEX('Per Invoice'!O$2:O$801,$W300)="","",INDEX('Per Invoice'!O$2:O$801,$W300)))</f>
        <v/>
      </c>
      <c r="P300">
        <f>IF($W300="","",IF(INDEX('Per Invoice'!P$2:P$801,$W300)="","",INDEX('Per Invoice'!P$2:P$801,$W300)))</f>
        <v/>
      </c>
      <c r="Q300" s="7">
        <f>IF($W300="","",IF(INDEX('Per Invoice'!Q$2:Q$801,$W300)="","",INDEX('Per Invoice'!Q$2:Q$801,$W300)))</f>
        <v/>
      </c>
      <c r="R300" s="7">
        <f>IF($W300="","",IF(INDEX('Per Invoice'!R$2:R$801,$W300)="","",INDEX('Per Invoice'!R$2:R$801,$W300)))</f>
        <v/>
      </c>
      <c r="S300" s="7">
        <f>IF($W300="","",IF(INDEX('Per Invoice'!S$2:S$801,$W300)="","",INDEX('Per Invoice'!S$2:S$801,$W300)))</f>
        <v/>
      </c>
      <c r="T300" s="7">
        <f>IF($W300="","",IF(INDEX('Per Invoice'!T$2:T$801,$W300)="","",INDEX('Per Invoice'!T$2:T$801,$W300)))</f>
        <v/>
      </c>
      <c r="U300" s="7">
        <f>IF($W300="","",IF(INDEX('Per Invoice'!U$2:U$801,$W300)="","",INDEX('Per Invoice'!U$2:U$801,$W300)))</f>
        <v/>
      </c>
      <c r="V300" s="7">
        <f>IF($W300="","",IF(INDEX('Per Invoice'!V$2:V$801,$W300)="","",INDEX('Per Invoice'!V$2:V$801,$W300)))</f>
        <v/>
      </c>
      <c r="W300" s="16">
        <f>IFERROR(MATCH(Settings!$C$28&amp;"|"&amp;ROWS($W$2:$W300),'Per Invoice'!$X$2:$X$801,0),"")</f>
        <v/>
      </c>
    </row>
    <row r="301">
      <c r="A301">
        <f>IF($W301="","",IF(INDEX('Per Invoice'!A$2:A$801,$W301)="","",INDEX('Per Invoice'!A$2:A$801,$W301)))</f>
        <v/>
      </c>
      <c r="B301">
        <f>IF($W301="","",IF(INDEX('Per Invoice'!B$2:B$801,$W301)="","",INDEX('Per Invoice'!B$2:B$801,$W301)))</f>
        <v/>
      </c>
      <c r="C301">
        <f>IF($W301="","",IF(INDEX('Per Invoice'!C$2:C$801,$W301)="","",INDEX('Per Invoice'!C$2:C$801,$W301)))</f>
        <v/>
      </c>
      <c r="D301">
        <f>IF($W301="","",IF(INDEX('Per Invoice'!D$2:D$801,$W301)="","",INDEX('Per Invoice'!D$2:D$801,$W301)))</f>
        <v/>
      </c>
      <c r="E301">
        <f>IF($W301="","",IF(INDEX('Per Invoice'!E$2:E$801,$W301)="","",INDEX('Per Invoice'!E$2:E$801,$W301)))</f>
        <v/>
      </c>
      <c r="F301">
        <f>IF($W301="","",IF(INDEX('Per Invoice'!F$2:F$801,$W301)="","",INDEX('Per Invoice'!F$2:F$801,$W301)))</f>
        <v/>
      </c>
      <c r="G301">
        <f>IF($W301="","",IF(INDEX('Per Invoice'!G$2:G$801,$W301)="","",INDEX('Per Invoice'!G$2:G$801,$W301)))</f>
        <v/>
      </c>
      <c r="H301">
        <f>IF($W301="","",IF(INDEX('Per Invoice'!H$2:H$801,$W301)="","",INDEX('Per Invoice'!H$2:H$801,$W301)))</f>
        <v/>
      </c>
      <c r="I301">
        <f>IF($W301="","",IF(INDEX('Per Invoice'!I$2:I$801,$W301)="","",INDEX('Per Invoice'!I$2:I$801,$W301)))</f>
        <v/>
      </c>
      <c r="J301">
        <f>IF($W301="","",IF(INDEX('Per Invoice'!J$2:J$801,$W301)="","",INDEX('Per Invoice'!J$2:J$801,$W301)))</f>
        <v/>
      </c>
      <c r="K301" s="7">
        <f>IF($W301="","",IF(INDEX('Per Invoice'!K$2:K$801,$W301)="","",INDEX('Per Invoice'!K$2:K$801,$W301)))</f>
        <v/>
      </c>
      <c r="L301" s="14">
        <f>IF($W301="","",IF(INDEX('Per Invoice'!L$2:L$801,$W301)="","",INDEX('Per Invoice'!L$2:L$801,$W301)))</f>
        <v/>
      </c>
      <c r="M301">
        <f>IF($W301="","",IF(INDEX('Per Invoice'!M$2:M$801,$W301)="","",INDEX('Per Invoice'!M$2:M$801,$W301)))</f>
        <v/>
      </c>
      <c r="N301" s="7">
        <f>IF($W301="","",IF(INDEX('Per Invoice'!N$2:N$801,$W301)="","",INDEX('Per Invoice'!N$2:N$801,$W301)))</f>
        <v/>
      </c>
      <c r="O301" s="7">
        <f>IF($W301="","",IF(INDEX('Per Invoice'!O$2:O$801,$W301)="","",INDEX('Per Invoice'!O$2:O$801,$W301)))</f>
        <v/>
      </c>
      <c r="P301">
        <f>IF($W301="","",IF(INDEX('Per Invoice'!P$2:P$801,$W301)="","",INDEX('Per Invoice'!P$2:P$801,$W301)))</f>
        <v/>
      </c>
      <c r="Q301" s="7">
        <f>IF($W301="","",IF(INDEX('Per Invoice'!Q$2:Q$801,$W301)="","",INDEX('Per Invoice'!Q$2:Q$801,$W301)))</f>
        <v/>
      </c>
      <c r="R301" s="7">
        <f>IF($W301="","",IF(INDEX('Per Invoice'!R$2:R$801,$W301)="","",INDEX('Per Invoice'!R$2:R$801,$W301)))</f>
        <v/>
      </c>
      <c r="S301" s="7">
        <f>IF($W301="","",IF(INDEX('Per Invoice'!S$2:S$801,$W301)="","",INDEX('Per Invoice'!S$2:S$801,$W301)))</f>
        <v/>
      </c>
      <c r="T301" s="7">
        <f>IF($W301="","",IF(INDEX('Per Invoice'!T$2:T$801,$W301)="","",INDEX('Per Invoice'!T$2:T$801,$W301)))</f>
        <v/>
      </c>
      <c r="U301" s="7">
        <f>IF($W301="","",IF(INDEX('Per Invoice'!U$2:U$801,$W301)="","",INDEX('Per Invoice'!U$2:U$801,$W301)))</f>
        <v/>
      </c>
      <c r="V301" s="7">
        <f>IF($W301="","",IF(INDEX('Per Invoice'!V$2:V$801,$W301)="","",INDEX('Per Invoice'!V$2:V$801,$W301)))</f>
        <v/>
      </c>
      <c r="W301" s="16">
        <f>IFERROR(MATCH(Settings!$C$28&amp;"|"&amp;ROWS($W$2:$W301),'Per Invoice'!$X$2:$X$801,0),"")</f>
        <v/>
      </c>
    </row>
  </sheetData>
  <autoFilter ref="A1:W3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26" customWidth="1" min="8" max="8"/>
    <col width="13" customWidth="1" min="9" max="9"/>
    <col width="12" customWidth="1" min="10" max="10"/>
    <col width="1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 ht="32" customHeight="1">
      <c r="A1" s="10" t="inlineStr">
        <is>
          <t>Invoice</t>
        </is>
      </c>
      <c r="B1" s="10" t="inlineStr">
        <is>
          <t>Pos Reference</t>
        </is>
      </c>
      <c r="C1" s="10" t="inlineStr">
        <is>
          <t>Approval</t>
        </is>
      </c>
      <c r="D1" s="10" t="inlineStr">
        <is>
          <t>##</t>
        </is>
      </c>
      <c r="E1" s="10" t="inlineStr">
        <is>
          <t>Payer</t>
        </is>
      </c>
      <c r="F1" s="10" t="inlineStr">
        <is>
          <t>Payment term</t>
        </is>
      </c>
      <c r="G1" s="10" t="inlineStr">
        <is>
          <t>Insurance Company</t>
        </is>
      </c>
      <c r="H1" s="10" t="inlineStr">
        <is>
          <t>Name</t>
        </is>
      </c>
      <c r="I1" s="10" t="inlineStr">
        <is>
          <t>Card Number</t>
        </is>
      </c>
      <c r="J1" s="10" t="inlineStr">
        <is>
          <t>Co Payment %</t>
        </is>
      </c>
      <c r="K1" s="10" t="inlineStr">
        <is>
          <t>Co val</t>
        </is>
      </c>
      <c r="L1" s="10" t="inlineStr">
        <is>
          <t>Create Date</t>
        </is>
      </c>
      <c r="M1" s="10" t="inlineStr">
        <is>
          <t>Imp%</t>
        </is>
      </c>
      <c r="N1" s="10" t="inlineStr">
        <is>
          <t>Imp</t>
        </is>
      </c>
      <c r="O1" s="10" t="inlineStr">
        <is>
          <t>Imp_Val</t>
        </is>
      </c>
      <c r="P1" s="10" t="inlineStr">
        <is>
          <t>Local%</t>
        </is>
      </c>
      <c r="Q1" s="10" t="inlineStr">
        <is>
          <t>Local</t>
        </is>
      </c>
      <c r="R1" s="10" t="inlineStr">
        <is>
          <t>Local_Val</t>
        </is>
      </c>
      <c r="S1" s="10" t="inlineStr">
        <is>
          <t>Discount</t>
        </is>
      </c>
      <c r="T1" s="10" t="inlineStr">
        <is>
          <t>Subtotal</t>
        </is>
      </c>
      <c r="U1" s="10" t="inlineStr">
        <is>
          <t>Net</t>
        </is>
      </c>
      <c r="V1" s="10" t="inlineStr">
        <is>
          <t>Grand Total</t>
        </is>
      </c>
      <c r="W1" s="13" t="inlineStr">
        <is>
          <t>Src Row (helper)</t>
        </is>
      </c>
    </row>
    <row r="2">
      <c r="A2">
        <f>IF($W2="","",IF(INDEX('Per Invoice'!A$2:A$801,$W2)="","",INDEX('Per Invoice'!A$2:A$801,$W2)))</f>
        <v/>
      </c>
      <c r="B2">
        <f>IF($W2="","",IF(INDEX('Per Invoice'!B$2:B$801,$W2)="","",INDEX('Per Invoice'!B$2:B$801,$W2)))</f>
        <v/>
      </c>
      <c r="C2">
        <f>IF($W2="","",IF(INDEX('Per Invoice'!C$2:C$801,$W2)="","",INDEX('Per Invoice'!C$2:C$801,$W2)))</f>
        <v/>
      </c>
      <c r="D2">
        <f>IF($W2="","",IF(INDEX('Per Invoice'!D$2:D$801,$W2)="","",INDEX('Per Invoice'!D$2:D$801,$W2)))</f>
        <v/>
      </c>
      <c r="E2">
        <f>IF($W2="","",IF(INDEX('Per Invoice'!E$2:E$801,$W2)="","",INDEX('Per Invoice'!E$2:E$801,$W2)))</f>
        <v/>
      </c>
      <c r="F2">
        <f>IF($W2="","",IF(INDEX('Per Invoice'!F$2:F$801,$W2)="","",INDEX('Per Invoice'!F$2:F$801,$W2)))</f>
        <v/>
      </c>
      <c r="G2">
        <f>IF($W2="","",IF(INDEX('Per Invoice'!G$2:G$801,$W2)="","",INDEX('Per Invoice'!G$2:G$801,$W2)))</f>
        <v/>
      </c>
      <c r="H2">
        <f>IF($W2="","",IF(INDEX('Per Invoice'!H$2:H$801,$W2)="","",INDEX('Per Invoice'!H$2:H$801,$W2)))</f>
        <v/>
      </c>
      <c r="I2">
        <f>IF($W2="","",IF(INDEX('Per Invoice'!I$2:I$801,$W2)="","",INDEX('Per Invoice'!I$2:I$801,$W2)))</f>
        <v/>
      </c>
      <c r="J2">
        <f>IF($W2="","",IF(INDEX('Per Invoice'!J$2:J$801,$W2)="","",INDEX('Per Invoice'!J$2:J$801,$W2)))</f>
        <v/>
      </c>
      <c r="K2" s="7">
        <f>IF($W2="","",IF(INDEX('Per Invoice'!K$2:K$801,$W2)="","",INDEX('Per Invoice'!K$2:K$801,$W2)))</f>
        <v/>
      </c>
      <c r="L2" s="14">
        <f>IF($W2="","",IF(INDEX('Per Invoice'!L$2:L$801,$W2)="","",INDEX('Per Invoice'!L$2:L$801,$W2)))</f>
        <v/>
      </c>
      <c r="M2">
        <f>IF($W2="","",IF(INDEX('Per Invoice'!M$2:M$801,$W2)="","",INDEX('Per Invoice'!M$2:M$801,$W2)))</f>
        <v/>
      </c>
      <c r="N2" s="7">
        <f>IF($W2="","",IF(INDEX('Per Invoice'!N$2:N$801,$W2)="","",INDEX('Per Invoice'!N$2:N$801,$W2)))</f>
        <v/>
      </c>
      <c r="O2" s="7">
        <f>IF($W2="","",IF(INDEX('Per Invoice'!O$2:O$801,$W2)="","",INDEX('Per Invoice'!O$2:O$801,$W2)))</f>
        <v/>
      </c>
      <c r="P2">
        <f>IF($W2="","",IF(INDEX('Per Invoice'!P$2:P$801,$W2)="","",INDEX('Per Invoice'!P$2:P$801,$W2)))</f>
        <v/>
      </c>
      <c r="Q2" s="7">
        <f>IF($W2="","",IF(INDEX('Per Invoice'!Q$2:Q$801,$W2)="","",INDEX('Per Invoice'!Q$2:Q$801,$W2)))</f>
        <v/>
      </c>
      <c r="R2" s="7">
        <f>IF($W2="","",IF(INDEX('Per Invoice'!R$2:R$801,$W2)="","",INDEX('Per Invoice'!R$2:R$801,$W2)))</f>
        <v/>
      </c>
      <c r="S2" s="7">
        <f>IF($W2="","",IF(INDEX('Per Invoice'!S$2:S$801,$W2)="","",INDEX('Per Invoice'!S$2:S$801,$W2)))</f>
        <v/>
      </c>
      <c r="T2" s="7">
        <f>IF($W2="","",IF(INDEX('Per Invoice'!T$2:T$801,$W2)="","",INDEX('Per Invoice'!T$2:T$801,$W2)))</f>
        <v/>
      </c>
      <c r="U2" s="7">
        <f>IF($W2="","",IF(INDEX('Per Invoice'!U$2:U$801,$W2)="","",INDEX('Per Invoice'!U$2:U$801,$W2)))</f>
        <v/>
      </c>
      <c r="V2" s="7">
        <f>IF($W2="","",IF(INDEX('Per Invoice'!V$2:V$801,$W2)="","",INDEX('Per Invoice'!V$2:V$801,$W2)))</f>
        <v/>
      </c>
      <c r="W2" s="16">
        <f>IFERROR(MATCH(Settings!$C$29&amp;"|"&amp;ROWS($W$2:$W2),'Per Invoice'!$X$2:$X$801,0),"")</f>
        <v/>
      </c>
    </row>
    <row r="3">
      <c r="A3">
        <f>IF($W3="","",IF(INDEX('Per Invoice'!A$2:A$801,$W3)="","",INDEX('Per Invoice'!A$2:A$801,$W3)))</f>
        <v/>
      </c>
      <c r="B3">
        <f>IF($W3="","",IF(INDEX('Per Invoice'!B$2:B$801,$W3)="","",INDEX('Per Invoice'!B$2:B$801,$W3)))</f>
        <v/>
      </c>
      <c r="C3">
        <f>IF($W3="","",IF(INDEX('Per Invoice'!C$2:C$801,$W3)="","",INDEX('Per Invoice'!C$2:C$801,$W3)))</f>
        <v/>
      </c>
      <c r="D3">
        <f>IF($W3="","",IF(INDEX('Per Invoice'!D$2:D$801,$W3)="","",INDEX('Per Invoice'!D$2:D$801,$W3)))</f>
        <v/>
      </c>
      <c r="E3">
        <f>IF($W3="","",IF(INDEX('Per Invoice'!E$2:E$801,$W3)="","",INDEX('Per Invoice'!E$2:E$801,$W3)))</f>
        <v/>
      </c>
      <c r="F3">
        <f>IF($W3="","",IF(INDEX('Per Invoice'!F$2:F$801,$W3)="","",INDEX('Per Invoice'!F$2:F$801,$W3)))</f>
        <v/>
      </c>
      <c r="G3">
        <f>IF($W3="","",IF(INDEX('Per Invoice'!G$2:G$801,$W3)="","",INDEX('Per Invoice'!G$2:G$801,$W3)))</f>
        <v/>
      </c>
      <c r="H3">
        <f>IF($W3="","",IF(INDEX('Per Invoice'!H$2:H$801,$W3)="","",INDEX('Per Invoice'!H$2:H$801,$W3)))</f>
        <v/>
      </c>
      <c r="I3">
        <f>IF($W3="","",IF(INDEX('Per Invoice'!I$2:I$801,$W3)="","",INDEX('Per Invoice'!I$2:I$801,$W3)))</f>
        <v/>
      </c>
      <c r="J3">
        <f>IF($W3="","",IF(INDEX('Per Invoice'!J$2:J$801,$W3)="","",INDEX('Per Invoice'!J$2:J$801,$W3)))</f>
        <v/>
      </c>
      <c r="K3" s="7">
        <f>IF($W3="","",IF(INDEX('Per Invoice'!K$2:K$801,$W3)="","",INDEX('Per Invoice'!K$2:K$801,$W3)))</f>
        <v/>
      </c>
      <c r="L3" s="14">
        <f>IF($W3="","",IF(INDEX('Per Invoice'!L$2:L$801,$W3)="","",INDEX('Per Invoice'!L$2:L$801,$W3)))</f>
        <v/>
      </c>
      <c r="M3">
        <f>IF($W3="","",IF(INDEX('Per Invoice'!M$2:M$801,$W3)="","",INDEX('Per Invoice'!M$2:M$801,$W3)))</f>
        <v/>
      </c>
      <c r="N3" s="7">
        <f>IF($W3="","",IF(INDEX('Per Invoice'!N$2:N$801,$W3)="","",INDEX('Per Invoice'!N$2:N$801,$W3)))</f>
        <v/>
      </c>
      <c r="O3" s="7">
        <f>IF($W3="","",IF(INDEX('Per Invoice'!O$2:O$801,$W3)="","",INDEX('Per Invoice'!O$2:O$801,$W3)))</f>
        <v/>
      </c>
      <c r="P3">
        <f>IF($W3="","",IF(INDEX('Per Invoice'!P$2:P$801,$W3)="","",INDEX('Per Invoice'!P$2:P$801,$W3)))</f>
        <v/>
      </c>
      <c r="Q3" s="7">
        <f>IF($W3="","",IF(INDEX('Per Invoice'!Q$2:Q$801,$W3)="","",INDEX('Per Invoice'!Q$2:Q$801,$W3)))</f>
        <v/>
      </c>
      <c r="R3" s="7">
        <f>IF($W3="","",IF(INDEX('Per Invoice'!R$2:R$801,$W3)="","",INDEX('Per Invoice'!R$2:R$801,$W3)))</f>
        <v/>
      </c>
      <c r="S3" s="7">
        <f>IF($W3="","",IF(INDEX('Per Invoice'!S$2:S$801,$W3)="","",INDEX('Per Invoice'!S$2:S$801,$W3)))</f>
        <v/>
      </c>
      <c r="T3" s="7">
        <f>IF($W3="","",IF(INDEX('Per Invoice'!T$2:T$801,$W3)="","",INDEX('Per Invoice'!T$2:T$801,$W3)))</f>
        <v/>
      </c>
      <c r="U3" s="7">
        <f>IF($W3="","",IF(INDEX('Per Invoice'!U$2:U$801,$W3)="","",INDEX('Per Invoice'!U$2:U$801,$W3)))</f>
        <v/>
      </c>
      <c r="V3" s="7">
        <f>IF($W3="","",IF(INDEX('Per Invoice'!V$2:V$801,$W3)="","",INDEX('Per Invoice'!V$2:V$801,$W3)))</f>
        <v/>
      </c>
      <c r="W3" s="16">
        <f>IFERROR(MATCH(Settings!$C$29&amp;"|"&amp;ROWS($W$2:$W3),'Per Invoice'!$X$2:$X$801,0),"")</f>
        <v/>
      </c>
    </row>
    <row r="4">
      <c r="A4">
        <f>IF($W4="","",IF(INDEX('Per Invoice'!A$2:A$801,$W4)="","",INDEX('Per Invoice'!A$2:A$801,$W4)))</f>
        <v/>
      </c>
      <c r="B4">
        <f>IF($W4="","",IF(INDEX('Per Invoice'!B$2:B$801,$W4)="","",INDEX('Per Invoice'!B$2:B$801,$W4)))</f>
        <v/>
      </c>
      <c r="C4">
        <f>IF($W4="","",IF(INDEX('Per Invoice'!C$2:C$801,$W4)="","",INDEX('Per Invoice'!C$2:C$801,$W4)))</f>
        <v/>
      </c>
      <c r="D4">
        <f>IF($W4="","",IF(INDEX('Per Invoice'!D$2:D$801,$W4)="","",INDEX('Per Invoice'!D$2:D$801,$W4)))</f>
        <v/>
      </c>
      <c r="E4">
        <f>IF($W4="","",IF(INDEX('Per Invoice'!E$2:E$801,$W4)="","",INDEX('Per Invoice'!E$2:E$801,$W4)))</f>
        <v/>
      </c>
      <c r="F4">
        <f>IF($W4="","",IF(INDEX('Per Invoice'!F$2:F$801,$W4)="","",INDEX('Per Invoice'!F$2:F$801,$W4)))</f>
        <v/>
      </c>
      <c r="G4">
        <f>IF($W4="","",IF(INDEX('Per Invoice'!G$2:G$801,$W4)="","",INDEX('Per Invoice'!G$2:G$801,$W4)))</f>
        <v/>
      </c>
      <c r="H4">
        <f>IF($W4="","",IF(INDEX('Per Invoice'!H$2:H$801,$W4)="","",INDEX('Per Invoice'!H$2:H$801,$W4)))</f>
        <v/>
      </c>
      <c r="I4">
        <f>IF($W4="","",IF(INDEX('Per Invoice'!I$2:I$801,$W4)="","",INDEX('Per Invoice'!I$2:I$801,$W4)))</f>
        <v/>
      </c>
      <c r="J4">
        <f>IF($W4="","",IF(INDEX('Per Invoice'!J$2:J$801,$W4)="","",INDEX('Per Invoice'!J$2:J$801,$W4)))</f>
        <v/>
      </c>
      <c r="K4" s="7">
        <f>IF($W4="","",IF(INDEX('Per Invoice'!K$2:K$801,$W4)="","",INDEX('Per Invoice'!K$2:K$801,$W4)))</f>
        <v/>
      </c>
      <c r="L4" s="14">
        <f>IF($W4="","",IF(INDEX('Per Invoice'!L$2:L$801,$W4)="","",INDEX('Per Invoice'!L$2:L$801,$W4)))</f>
        <v/>
      </c>
      <c r="M4">
        <f>IF($W4="","",IF(INDEX('Per Invoice'!M$2:M$801,$W4)="","",INDEX('Per Invoice'!M$2:M$801,$W4)))</f>
        <v/>
      </c>
      <c r="N4" s="7">
        <f>IF($W4="","",IF(INDEX('Per Invoice'!N$2:N$801,$W4)="","",INDEX('Per Invoice'!N$2:N$801,$W4)))</f>
        <v/>
      </c>
      <c r="O4" s="7">
        <f>IF($W4="","",IF(INDEX('Per Invoice'!O$2:O$801,$W4)="","",INDEX('Per Invoice'!O$2:O$801,$W4)))</f>
        <v/>
      </c>
      <c r="P4">
        <f>IF($W4="","",IF(INDEX('Per Invoice'!P$2:P$801,$W4)="","",INDEX('Per Invoice'!P$2:P$801,$W4)))</f>
        <v/>
      </c>
      <c r="Q4" s="7">
        <f>IF($W4="","",IF(INDEX('Per Invoice'!Q$2:Q$801,$W4)="","",INDEX('Per Invoice'!Q$2:Q$801,$W4)))</f>
        <v/>
      </c>
      <c r="R4" s="7">
        <f>IF($W4="","",IF(INDEX('Per Invoice'!R$2:R$801,$W4)="","",INDEX('Per Invoice'!R$2:R$801,$W4)))</f>
        <v/>
      </c>
      <c r="S4" s="7">
        <f>IF($W4="","",IF(INDEX('Per Invoice'!S$2:S$801,$W4)="","",INDEX('Per Invoice'!S$2:S$801,$W4)))</f>
        <v/>
      </c>
      <c r="T4" s="7">
        <f>IF($W4="","",IF(INDEX('Per Invoice'!T$2:T$801,$W4)="","",INDEX('Per Invoice'!T$2:T$801,$W4)))</f>
        <v/>
      </c>
      <c r="U4" s="7">
        <f>IF($W4="","",IF(INDEX('Per Invoice'!U$2:U$801,$W4)="","",INDEX('Per Invoice'!U$2:U$801,$W4)))</f>
        <v/>
      </c>
      <c r="V4" s="7">
        <f>IF($W4="","",IF(INDEX('Per Invoice'!V$2:V$801,$W4)="","",INDEX('Per Invoice'!V$2:V$801,$W4)))</f>
        <v/>
      </c>
      <c r="W4" s="16">
        <f>IFERROR(MATCH(Settings!$C$29&amp;"|"&amp;ROWS($W$2:$W4),'Per Invoice'!$X$2:$X$801,0),"")</f>
        <v/>
      </c>
    </row>
    <row r="5">
      <c r="A5">
        <f>IF($W5="","",IF(INDEX('Per Invoice'!A$2:A$801,$W5)="","",INDEX('Per Invoice'!A$2:A$801,$W5)))</f>
        <v/>
      </c>
      <c r="B5">
        <f>IF($W5="","",IF(INDEX('Per Invoice'!B$2:B$801,$W5)="","",INDEX('Per Invoice'!B$2:B$801,$W5)))</f>
        <v/>
      </c>
      <c r="C5">
        <f>IF($W5="","",IF(INDEX('Per Invoice'!C$2:C$801,$W5)="","",INDEX('Per Invoice'!C$2:C$801,$W5)))</f>
        <v/>
      </c>
      <c r="D5">
        <f>IF($W5="","",IF(INDEX('Per Invoice'!D$2:D$801,$W5)="","",INDEX('Per Invoice'!D$2:D$801,$W5)))</f>
        <v/>
      </c>
      <c r="E5">
        <f>IF($W5="","",IF(INDEX('Per Invoice'!E$2:E$801,$W5)="","",INDEX('Per Invoice'!E$2:E$801,$W5)))</f>
        <v/>
      </c>
      <c r="F5">
        <f>IF($W5="","",IF(INDEX('Per Invoice'!F$2:F$801,$W5)="","",INDEX('Per Invoice'!F$2:F$801,$W5)))</f>
        <v/>
      </c>
      <c r="G5">
        <f>IF($W5="","",IF(INDEX('Per Invoice'!G$2:G$801,$W5)="","",INDEX('Per Invoice'!G$2:G$801,$W5)))</f>
        <v/>
      </c>
      <c r="H5">
        <f>IF($W5="","",IF(INDEX('Per Invoice'!H$2:H$801,$W5)="","",INDEX('Per Invoice'!H$2:H$801,$W5)))</f>
        <v/>
      </c>
      <c r="I5">
        <f>IF($W5="","",IF(INDEX('Per Invoice'!I$2:I$801,$W5)="","",INDEX('Per Invoice'!I$2:I$801,$W5)))</f>
        <v/>
      </c>
      <c r="J5">
        <f>IF($W5="","",IF(INDEX('Per Invoice'!J$2:J$801,$W5)="","",INDEX('Per Invoice'!J$2:J$801,$W5)))</f>
        <v/>
      </c>
      <c r="K5" s="7">
        <f>IF($W5="","",IF(INDEX('Per Invoice'!K$2:K$801,$W5)="","",INDEX('Per Invoice'!K$2:K$801,$W5)))</f>
        <v/>
      </c>
      <c r="L5" s="14">
        <f>IF($W5="","",IF(INDEX('Per Invoice'!L$2:L$801,$W5)="","",INDEX('Per Invoice'!L$2:L$801,$W5)))</f>
        <v/>
      </c>
      <c r="M5">
        <f>IF($W5="","",IF(INDEX('Per Invoice'!M$2:M$801,$W5)="","",INDEX('Per Invoice'!M$2:M$801,$W5)))</f>
        <v/>
      </c>
      <c r="N5" s="7">
        <f>IF($W5="","",IF(INDEX('Per Invoice'!N$2:N$801,$W5)="","",INDEX('Per Invoice'!N$2:N$801,$W5)))</f>
        <v/>
      </c>
      <c r="O5" s="7">
        <f>IF($W5="","",IF(INDEX('Per Invoice'!O$2:O$801,$W5)="","",INDEX('Per Invoice'!O$2:O$801,$W5)))</f>
        <v/>
      </c>
      <c r="P5">
        <f>IF($W5="","",IF(INDEX('Per Invoice'!P$2:P$801,$W5)="","",INDEX('Per Invoice'!P$2:P$801,$W5)))</f>
        <v/>
      </c>
      <c r="Q5" s="7">
        <f>IF($W5="","",IF(INDEX('Per Invoice'!Q$2:Q$801,$W5)="","",INDEX('Per Invoice'!Q$2:Q$801,$W5)))</f>
        <v/>
      </c>
      <c r="R5" s="7">
        <f>IF($W5="","",IF(INDEX('Per Invoice'!R$2:R$801,$W5)="","",INDEX('Per Invoice'!R$2:R$801,$W5)))</f>
        <v/>
      </c>
      <c r="S5" s="7">
        <f>IF($W5="","",IF(INDEX('Per Invoice'!S$2:S$801,$W5)="","",INDEX('Per Invoice'!S$2:S$801,$W5)))</f>
        <v/>
      </c>
      <c r="T5" s="7">
        <f>IF($W5="","",IF(INDEX('Per Invoice'!T$2:T$801,$W5)="","",INDEX('Per Invoice'!T$2:T$801,$W5)))</f>
        <v/>
      </c>
      <c r="U5" s="7">
        <f>IF($W5="","",IF(INDEX('Per Invoice'!U$2:U$801,$W5)="","",INDEX('Per Invoice'!U$2:U$801,$W5)))</f>
        <v/>
      </c>
      <c r="V5" s="7">
        <f>IF($W5="","",IF(INDEX('Per Invoice'!V$2:V$801,$W5)="","",INDEX('Per Invoice'!V$2:V$801,$W5)))</f>
        <v/>
      </c>
      <c r="W5" s="16">
        <f>IFERROR(MATCH(Settings!$C$29&amp;"|"&amp;ROWS($W$2:$W5),'Per Invoice'!$X$2:$X$801,0),"")</f>
        <v/>
      </c>
    </row>
    <row r="6">
      <c r="A6">
        <f>IF($W6="","",IF(INDEX('Per Invoice'!A$2:A$801,$W6)="","",INDEX('Per Invoice'!A$2:A$801,$W6)))</f>
        <v/>
      </c>
      <c r="B6">
        <f>IF($W6="","",IF(INDEX('Per Invoice'!B$2:B$801,$W6)="","",INDEX('Per Invoice'!B$2:B$801,$W6)))</f>
        <v/>
      </c>
      <c r="C6">
        <f>IF($W6="","",IF(INDEX('Per Invoice'!C$2:C$801,$W6)="","",INDEX('Per Invoice'!C$2:C$801,$W6)))</f>
        <v/>
      </c>
      <c r="D6">
        <f>IF($W6="","",IF(INDEX('Per Invoice'!D$2:D$801,$W6)="","",INDEX('Per Invoice'!D$2:D$801,$W6)))</f>
        <v/>
      </c>
      <c r="E6">
        <f>IF($W6="","",IF(INDEX('Per Invoice'!E$2:E$801,$W6)="","",INDEX('Per Invoice'!E$2:E$801,$W6)))</f>
        <v/>
      </c>
      <c r="F6">
        <f>IF($W6="","",IF(INDEX('Per Invoice'!F$2:F$801,$W6)="","",INDEX('Per Invoice'!F$2:F$801,$W6)))</f>
        <v/>
      </c>
      <c r="G6">
        <f>IF($W6="","",IF(INDEX('Per Invoice'!G$2:G$801,$W6)="","",INDEX('Per Invoice'!G$2:G$801,$W6)))</f>
        <v/>
      </c>
      <c r="H6">
        <f>IF($W6="","",IF(INDEX('Per Invoice'!H$2:H$801,$W6)="","",INDEX('Per Invoice'!H$2:H$801,$W6)))</f>
        <v/>
      </c>
      <c r="I6">
        <f>IF($W6="","",IF(INDEX('Per Invoice'!I$2:I$801,$W6)="","",INDEX('Per Invoice'!I$2:I$801,$W6)))</f>
        <v/>
      </c>
      <c r="J6">
        <f>IF($W6="","",IF(INDEX('Per Invoice'!J$2:J$801,$W6)="","",INDEX('Per Invoice'!J$2:J$801,$W6)))</f>
        <v/>
      </c>
      <c r="K6" s="7">
        <f>IF($W6="","",IF(INDEX('Per Invoice'!K$2:K$801,$W6)="","",INDEX('Per Invoice'!K$2:K$801,$W6)))</f>
        <v/>
      </c>
      <c r="L6" s="14">
        <f>IF($W6="","",IF(INDEX('Per Invoice'!L$2:L$801,$W6)="","",INDEX('Per Invoice'!L$2:L$801,$W6)))</f>
        <v/>
      </c>
      <c r="M6">
        <f>IF($W6="","",IF(INDEX('Per Invoice'!M$2:M$801,$W6)="","",INDEX('Per Invoice'!M$2:M$801,$W6)))</f>
        <v/>
      </c>
      <c r="N6" s="7">
        <f>IF($W6="","",IF(INDEX('Per Invoice'!N$2:N$801,$W6)="","",INDEX('Per Invoice'!N$2:N$801,$W6)))</f>
        <v/>
      </c>
      <c r="O6" s="7">
        <f>IF($W6="","",IF(INDEX('Per Invoice'!O$2:O$801,$W6)="","",INDEX('Per Invoice'!O$2:O$801,$W6)))</f>
        <v/>
      </c>
      <c r="P6">
        <f>IF($W6="","",IF(INDEX('Per Invoice'!P$2:P$801,$W6)="","",INDEX('Per Invoice'!P$2:P$801,$W6)))</f>
        <v/>
      </c>
      <c r="Q6" s="7">
        <f>IF($W6="","",IF(INDEX('Per Invoice'!Q$2:Q$801,$W6)="","",INDEX('Per Invoice'!Q$2:Q$801,$W6)))</f>
        <v/>
      </c>
      <c r="R6" s="7">
        <f>IF($W6="","",IF(INDEX('Per Invoice'!R$2:R$801,$W6)="","",INDEX('Per Invoice'!R$2:R$801,$W6)))</f>
        <v/>
      </c>
      <c r="S6" s="7">
        <f>IF($W6="","",IF(INDEX('Per Invoice'!S$2:S$801,$W6)="","",INDEX('Per Invoice'!S$2:S$801,$W6)))</f>
        <v/>
      </c>
      <c r="T6" s="7">
        <f>IF($W6="","",IF(INDEX('Per Invoice'!T$2:T$801,$W6)="","",INDEX('Per Invoice'!T$2:T$801,$W6)))</f>
        <v/>
      </c>
      <c r="U6" s="7">
        <f>IF($W6="","",IF(INDEX('Per Invoice'!U$2:U$801,$W6)="","",INDEX('Per Invoice'!U$2:U$801,$W6)))</f>
        <v/>
      </c>
      <c r="V6" s="7">
        <f>IF($W6="","",IF(INDEX('Per Invoice'!V$2:V$801,$W6)="","",INDEX('Per Invoice'!V$2:V$801,$W6)))</f>
        <v/>
      </c>
      <c r="W6" s="16">
        <f>IFERROR(MATCH(Settings!$C$29&amp;"|"&amp;ROWS($W$2:$W6),'Per Invoice'!$X$2:$X$801,0),"")</f>
        <v/>
      </c>
    </row>
    <row r="7">
      <c r="A7">
        <f>IF($W7="","",IF(INDEX('Per Invoice'!A$2:A$801,$W7)="","",INDEX('Per Invoice'!A$2:A$801,$W7)))</f>
        <v/>
      </c>
      <c r="B7">
        <f>IF($W7="","",IF(INDEX('Per Invoice'!B$2:B$801,$W7)="","",INDEX('Per Invoice'!B$2:B$801,$W7)))</f>
        <v/>
      </c>
      <c r="C7">
        <f>IF($W7="","",IF(INDEX('Per Invoice'!C$2:C$801,$W7)="","",INDEX('Per Invoice'!C$2:C$801,$W7)))</f>
        <v/>
      </c>
      <c r="D7">
        <f>IF($W7="","",IF(INDEX('Per Invoice'!D$2:D$801,$W7)="","",INDEX('Per Invoice'!D$2:D$801,$W7)))</f>
        <v/>
      </c>
      <c r="E7">
        <f>IF($W7="","",IF(INDEX('Per Invoice'!E$2:E$801,$W7)="","",INDEX('Per Invoice'!E$2:E$801,$W7)))</f>
        <v/>
      </c>
      <c r="F7">
        <f>IF($W7="","",IF(INDEX('Per Invoice'!F$2:F$801,$W7)="","",INDEX('Per Invoice'!F$2:F$801,$W7)))</f>
        <v/>
      </c>
      <c r="G7">
        <f>IF($W7="","",IF(INDEX('Per Invoice'!G$2:G$801,$W7)="","",INDEX('Per Invoice'!G$2:G$801,$W7)))</f>
        <v/>
      </c>
      <c r="H7">
        <f>IF($W7="","",IF(INDEX('Per Invoice'!H$2:H$801,$W7)="","",INDEX('Per Invoice'!H$2:H$801,$W7)))</f>
        <v/>
      </c>
      <c r="I7">
        <f>IF($W7="","",IF(INDEX('Per Invoice'!I$2:I$801,$W7)="","",INDEX('Per Invoice'!I$2:I$801,$W7)))</f>
        <v/>
      </c>
      <c r="J7">
        <f>IF($W7="","",IF(INDEX('Per Invoice'!J$2:J$801,$W7)="","",INDEX('Per Invoice'!J$2:J$801,$W7)))</f>
        <v/>
      </c>
      <c r="K7" s="7">
        <f>IF($W7="","",IF(INDEX('Per Invoice'!K$2:K$801,$W7)="","",INDEX('Per Invoice'!K$2:K$801,$W7)))</f>
        <v/>
      </c>
      <c r="L7" s="14">
        <f>IF($W7="","",IF(INDEX('Per Invoice'!L$2:L$801,$W7)="","",INDEX('Per Invoice'!L$2:L$801,$W7)))</f>
        <v/>
      </c>
      <c r="M7">
        <f>IF($W7="","",IF(INDEX('Per Invoice'!M$2:M$801,$W7)="","",INDEX('Per Invoice'!M$2:M$801,$W7)))</f>
        <v/>
      </c>
      <c r="N7" s="7">
        <f>IF($W7="","",IF(INDEX('Per Invoice'!N$2:N$801,$W7)="","",INDEX('Per Invoice'!N$2:N$801,$W7)))</f>
        <v/>
      </c>
      <c r="O7" s="7">
        <f>IF($W7="","",IF(INDEX('Per Invoice'!O$2:O$801,$W7)="","",INDEX('Per Invoice'!O$2:O$801,$W7)))</f>
        <v/>
      </c>
      <c r="P7">
        <f>IF($W7="","",IF(INDEX('Per Invoice'!P$2:P$801,$W7)="","",INDEX('Per Invoice'!P$2:P$801,$W7)))</f>
        <v/>
      </c>
      <c r="Q7" s="7">
        <f>IF($W7="","",IF(INDEX('Per Invoice'!Q$2:Q$801,$W7)="","",INDEX('Per Invoice'!Q$2:Q$801,$W7)))</f>
        <v/>
      </c>
      <c r="R7" s="7">
        <f>IF($W7="","",IF(INDEX('Per Invoice'!R$2:R$801,$W7)="","",INDEX('Per Invoice'!R$2:R$801,$W7)))</f>
        <v/>
      </c>
      <c r="S7" s="7">
        <f>IF($W7="","",IF(INDEX('Per Invoice'!S$2:S$801,$W7)="","",INDEX('Per Invoice'!S$2:S$801,$W7)))</f>
        <v/>
      </c>
      <c r="T7" s="7">
        <f>IF($W7="","",IF(INDEX('Per Invoice'!T$2:T$801,$W7)="","",INDEX('Per Invoice'!T$2:T$801,$W7)))</f>
        <v/>
      </c>
      <c r="U7" s="7">
        <f>IF($W7="","",IF(INDEX('Per Invoice'!U$2:U$801,$W7)="","",INDEX('Per Invoice'!U$2:U$801,$W7)))</f>
        <v/>
      </c>
      <c r="V7" s="7">
        <f>IF($W7="","",IF(INDEX('Per Invoice'!V$2:V$801,$W7)="","",INDEX('Per Invoice'!V$2:V$801,$W7)))</f>
        <v/>
      </c>
      <c r="W7" s="16">
        <f>IFERROR(MATCH(Settings!$C$29&amp;"|"&amp;ROWS($W$2:$W7),'Per Invoice'!$X$2:$X$801,0),"")</f>
        <v/>
      </c>
    </row>
    <row r="8">
      <c r="A8">
        <f>IF($W8="","",IF(INDEX('Per Invoice'!A$2:A$801,$W8)="","",INDEX('Per Invoice'!A$2:A$801,$W8)))</f>
        <v/>
      </c>
      <c r="B8">
        <f>IF($W8="","",IF(INDEX('Per Invoice'!B$2:B$801,$W8)="","",INDEX('Per Invoice'!B$2:B$801,$W8)))</f>
        <v/>
      </c>
      <c r="C8">
        <f>IF($W8="","",IF(INDEX('Per Invoice'!C$2:C$801,$W8)="","",INDEX('Per Invoice'!C$2:C$801,$W8)))</f>
        <v/>
      </c>
      <c r="D8">
        <f>IF($W8="","",IF(INDEX('Per Invoice'!D$2:D$801,$W8)="","",INDEX('Per Invoice'!D$2:D$801,$W8)))</f>
        <v/>
      </c>
      <c r="E8">
        <f>IF($W8="","",IF(INDEX('Per Invoice'!E$2:E$801,$W8)="","",INDEX('Per Invoice'!E$2:E$801,$W8)))</f>
        <v/>
      </c>
      <c r="F8">
        <f>IF($W8="","",IF(INDEX('Per Invoice'!F$2:F$801,$W8)="","",INDEX('Per Invoice'!F$2:F$801,$W8)))</f>
        <v/>
      </c>
      <c r="G8">
        <f>IF($W8="","",IF(INDEX('Per Invoice'!G$2:G$801,$W8)="","",INDEX('Per Invoice'!G$2:G$801,$W8)))</f>
        <v/>
      </c>
      <c r="H8">
        <f>IF($W8="","",IF(INDEX('Per Invoice'!H$2:H$801,$W8)="","",INDEX('Per Invoice'!H$2:H$801,$W8)))</f>
        <v/>
      </c>
      <c r="I8">
        <f>IF($W8="","",IF(INDEX('Per Invoice'!I$2:I$801,$W8)="","",INDEX('Per Invoice'!I$2:I$801,$W8)))</f>
        <v/>
      </c>
      <c r="J8">
        <f>IF($W8="","",IF(INDEX('Per Invoice'!J$2:J$801,$W8)="","",INDEX('Per Invoice'!J$2:J$801,$W8)))</f>
        <v/>
      </c>
      <c r="K8" s="7">
        <f>IF($W8="","",IF(INDEX('Per Invoice'!K$2:K$801,$W8)="","",INDEX('Per Invoice'!K$2:K$801,$W8)))</f>
        <v/>
      </c>
      <c r="L8" s="14">
        <f>IF($W8="","",IF(INDEX('Per Invoice'!L$2:L$801,$W8)="","",INDEX('Per Invoice'!L$2:L$801,$W8)))</f>
        <v/>
      </c>
      <c r="M8">
        <f>IF($W8="","",IF(INDEX('Per Invoice'!M$2:M$801,$W8)="","",INDEX('Per Invoice'!M$2:M$801,$W8)))</f>
        <v/>
      </c>
      <c r="N8" s="7">
        <f>IF($W8="","",IF(INDEX('Per Invoice'!N$2:N$801,$W8)="","",INDEX('Per Invoice'!N$2:N$801,$W8)))</f>
        <v/>
      </c>
      <c r="O8" s="7">
        <f>IF($W8="","",IF(INDEX('Per Invoice'!O$2:O$801,$W8)="","",INDEX('Per Invoice'!O$2:O$801,$W8)))</f>
        <v/>
      </c>
      <c r="P8">
        <f>IF($W8="","",IF(INDEX('Per Invoice'!P$2:P$801,$W8)="","",INDEX('Per Invoice'!P$2:P$801,$W8)))</f>
        <v/>
      </c>
      <c r="Q8" s="7">
        <f>IF($W8="","",IF(INDEX('Per Invoice'!Q$2:Q$801,$W8)="","",INDEX('Per Invoice'!Q$2:Q$801,$W8)))</f>
        <v/>
      </c>
      <c r="R8" s="7">
        <f>IF($W8="","",IF(INDEX('Per Invoice'!R$2:R$801,$W8)="","",INDEX('Per Invoice'!R$2:R$801,$W8)))</f>
        <v/>
      </c>
      <c r="S8" s="7">
        <f>IF($W8="","",IF(INDEX('Per Invoice'!S$2:S$801,$W8)="","",INDEX('Per Invoice'!S$2:S$801,$W8)))</f>
        <v/>
      </c>
      <c r="T8" s="7">
        <f>IF($W8="","",IF(INDEX('Per Invoice'!T$2:T$801,$W8)="","",INDEX('Per Invoice'!T$2:T$801,$W8)))</f>
        <v/>
      </c>
      <c r="U8" s="7">
        <f>IF($W8="","",IF(INDEX('Per Invoice'!U$2:U$801,$W8)="","",INDEX('Per Invoice'!U$2:U$801,$W8)))</f>
        <v/>
      </c>
      <c r="V8" s="7">
        <f>IF($W8="","",IF(INDEX('Per Invoice'!V$2:V$801,$W8)="","",INDEX('Per Invoice'!V$2:V$801,$W8)))</f>
        <v/>
      </c>
      <c r="W8" s="16">
        <f>IFERROR(MATCH(Settings!$C$29&amp;"|"&amp;ROWS($W$2:$W8),'Per Invoice'!$X$2:$X$801,0),"")</f>
        <v/>
      </c>
    </row>
    <row r="9">
      <c r="A9">
        <f>IF($W9="","",IF(INDEX('Per Invoice'!A$2:A$801,$W9)="","",INDEX('Per Invoice'!A$2:A$801,$W9)))</f>
        <v/>
      </c>
      <c r="B9">
        <f>IF($W9="","",IF(INDEX('Per Invoice'!B$2:B$801,$W9)="","",INDEX('Per Invoice'!B$2:B$801,$W9)))</f>
        <v/>
      </c>
      <c r="C9">
        <f>IF($W9="","",IF(INDEX('Per Invoice'!C$2:C$801,$W9)="","",INDEX('Per Invoice'!C$2:C$801,$W9)))</f>
        <v/>
      </c>
      <c r="D9">
        <f>IF($W9="","",IF(INDEX('Per Invoice'!D$2:D$801,$W9)="","",INDEX('Per Invoice'!D$2:D$801,$W9)))</f>
        <v/>
      </c>
      <c r="E9">
        <f>IF($W9="","",IF(INDEX('Per Invoice'!E$2:E$801,$W9)="","",INDEX('Per Invoice'!E$2:E$801,$W9)))</f>
        <v/>
      </c>
      <c r="F9">
        <f>IF($W9="","",IF(INDEX('Per Invoice'!F$2:F$801,$W9)="","",INDEX('Per Invoice'!F$2:F$801,$W9)))</f>
        <v/>
      </c>
      <c r="G9">
        <f>IF($W9="","",IF(INDEX('Per Invoice'!G$2:G$801,$W9)="","",INDEX('Per Invoice'!G$2:G$801,$W9)))</f>
        <v/>
      </c>
      <c r="H9">
        <f>IF($W9="","",IF(INDEX('Per Invoice'!H$2:H$801,$W9)="","",INDEX('Per Invoice'!H$2:H$801,$W9)))</f>
        <v/>
      </c>
      <c r="I9">
        <f>IF($W9="","",IF(INDEX('Per Invoice'!I$2:I$801,$W9)="","",INDEX('Per Invoice'!I$2:I$801,$W9)))</f>
        <v/>
      </c>
      <c r="J9">
        <f>IF($W9="","",IF(INDEX('Per Invoice'!J$2:J$801,$W9)="","",INDEX('Per Invoice'!J$2:J$801,$W9)))</f>
        <v/>
      </c>
      <c r="K9" s="7">
        <f>IF($W9="","",IF(INDEX('Per Invoice'!K$2:K$801,$W9)="","",INDEX('Per Invoice'!K$2:K$801,$W9)))</f>
        <v/>
      </c>
      <c r="L9" s="14">
        <f>IF($W9="","",IF(INDEX('Per Invoice'!L$2:L$801,$W9)="","",INDEX('Per Invoice'!L$2:L$801,$W9)))</f>
        <v/>
      </c>
      <c r="M9">
        <f>IF($W9="","",IF(INDEX('Per Invoice'!M$2:M$801,$W9)="","",INDEX('Per Invoice'!M$2:M$801,$W9)))</f>
        <v/>
      </c>
      <c r="N9" s="7">
        <f>IF($W9="","",IF(INDEX('Per Invoice'!N$2:N$801,$W9)="","",INDEX('Per Invoice'!N$2:N$801,$W9)))</f>
        <v/>
      </c>
      <c r="O9" s="7">
        <f>IF($W9="","",IF(INDEX('Per Invoice'!O$2:O$801,$W9)="","",INDEX('Per Invoice'!O$2:O$801,$W9)))</f>
        <v/>
      </c>
      <c r="P9">
        <f>IF($W9="","",IF(INDEX('Per Invoice'!P$2:P$801,$W9)="","",INDEX('Per Invoice'!P$2:P$801,$W9)))</f>
        <v/>
      </c>
      <c r="Q9" s="7">
        <f>IF($W9="","",IF(INDEX('Per Invoice'!Q$2:Q$801,$W9)="","",INDEX('Per Invoice'!Q$2:Q$801,$W9)))</f>
        <v/>
      </c>
      <c r="R9" s="7">
        <f>IF($W9="","",IF(INDEX('Per Invoice'!R$2:R$801,$W9)="","",INDEX('Per Invoice'!R$2:R$801,$W9)))</f>
        <v/>
      </c>
      <c r="S9" s="7">
        <f>IF($W9="","",IF(INDEX('Per Invoice'!S$2:S$801,$W9)="","",INDEX('Per Invoice'!S$2:S$801,$W9)))</f>
        <v/>
      </c>
      <c r="T9" s="7">
        <f>IF($W9="","",IF(INDEX('Per Invoice'!T$2:T$801,$W9)="","",INDEX('Per Invoice'!T$2:T$801,$W9)))</f>
        <v/>
      </c>
      <c r="U9" s="7">
        <f>IF($W9="","",IF(INDEX('Per Invoice'!U$2:U$801,$W9)="","",INDEX('Per Invoice'!U$2:U$801,$W9)))</f>
        <v/>
      </c>
      <c r="V9" s="7">
        <f>IF($W9="","",IF(INDEX('Per Invoice'!V$2:V$801,$W9)="","",INDEX('Per Invoice'!V$2:V$801,$W9)))</f>
        <v/>
      </c>
      <c r="W9" s="16">
        <f>IFERROR(MATCH(Settings!$C$29&amp;"|"&amp;ROWS($W$2:$W9),'Per Invoice'!$X$2:$X$801,0),"")</f>
        <v/>
      </c>
    </row>
    <row r="10">
      <c r="A10">
        <f>IF($W10="","",IF(INDEX('Per Invoice'!A$2:A$801,$W10)="","",INDEX('Per Invoice'!A$2:A$801,$W10)))</f>
        <v/>
      </c>
      <c r="B10">
        <f>IF($W10="","",IF(INDEX('Per Invoice'!B$2:B$801,$W10)="","",INDEX('Per Invoice'!B$2:B$801,$W10)))</f>
        <v/>
      </c>
      <c r="C10">
        <f>IF($W10="","",IF(INDEX('Per Invoice'!C$2:C$801,$W10)="","",INDEX('Per Invoice'!C$2:C$801,$W10)))</f>
        <v/>
      </c>
      <c r="D10">
        <f>IF($W10="","",IF(INDEX('Per Invoice'!D$2:D$801,$W10)="","",INDEX('Per Invoice'!D$2:D$801,$W10)))</f>
        <v/>
      </c>
      <c r="E10">
        <f>IF($W10="","",IF(INDEX('Per Invoice'!E$2:E$801,$W10)="","",INDEX('Per Invoice'!E$2:E$801,$W10)))</f>
        <v/>
      </c>
      <c r="F10">
        <f>IF($W10="","",IF(INDEX('Per Invoice'!F$2:F$801,$W10)="","",INDEX('Per Invoice'!F$2:F$801,$W10)))</f>
        <v/>
      </c>
      <c r="G10">
        <f>IF($W10="","",IF(INDEX('Per Invoice'!G$2:G$801,$W10)="","",INDEX('Per Invoice'!G$2:G$801,$W10)))</f>
        <v/>
      </c>
      <c r="H10">
        <f>IF($W10="","",IF(INDEX('Per Invoice'!H$2:H$801,$W10)="","",INDEX('Per Invoice'!H$2:H$801,$W10)))</f>
        <v/>
      </c>
      <c r="I10">
        <f>IF($W10="","",IF(INDEX('Per Invoice'!I$2:I$801,$W10)="","",INDEX('Per Invoice'!I$2:I$801,$W10)))</f>
        <v/>
      </c>
      <c r="J10">
        <f>IF($W10="","",IF(INDEX('Per Invoice'!J$2:J$801,$W10)="","",INDEX('Per Invoice'!J$2:J$801,$W10)))</f>
        <v/>
      </c>
      <c r="K10" s="7">
        <f>IF($W10="","",IF(INDEX('Per Invoice'!K$2:K$801,$W10)="","",INDEX('Per Invoice'!K$2:K$801,$W10)))</f>
        <v/>
      </c>
      <c r="L10" s="14">
        <f>IF($W10="","",IF(INDEX('Per Invoice'!L$2:L$801,$W10)="","",INDEX('Per Invoice'!L$2:L$801,$W10)))</f>
        <v/>
      </c>
      <c r="M10">
        <f>IF($W10="","",IF(INDEX('Per Invoice'!M$2:M$801,$W10)="","",INDEX('Per Invoice'!M$2:M$801,$W10)))</f>
        <v/>
      </c>
      <c r="N10" s="7">
        <f>IF($W10="","",IF(INDEX('Per Invoice'!N$2:N$801,$W10)="","",INDEX('Per Invoice'!N$2:N$801,$W10)))</f>
        <v/>
      </c>
      <c r="O10" s="7">
        <f>IF($W10="","",IF(INDEX('Per Invoice'!O$2:O$801,$W10)="","",INDEX('Per Invoice'!O$2:O$801,$W10)))</f>
        <v/>
      </c>
      <c r="P10">
        <f>IF($W10="","",IF(INDEX('Per Invoice'!P$2:P$801,$W10)="","",INDEX('Per Invoice'!P$2:P$801,$W10)))</f>
        <v/>
      </c>
      <c r="Q10" s="7">
        <f>IF($W10="","",IF(INDEX('Per Invoice'!Q$2:Q$801,$W10)="","",INDEX('Per Invoice'!Q$2:Q$801,$W10)))</f>
        <v/>
      </c>
      <c r="R10" s="7">
        <f>IF($W10="","",IF(INDEX('Per Invoice'!R$2:R$801,$W10)="","",INDEX('Per Invoice'!R$2:R$801,$W10)))</f>
        <v/>
      </c>
      <c r="S10" s="7">
        <f>IF($W10="","",IF(INDEX('Per Invoice'!S$2:S$801,$W10)="","",INDEX('Per Invoice'!S$2:S$801,$W10)))</f>
        <v/>
      </c>
      <c r="T10" s="7">
        <f>IF($W10="","",IF(INDEX('Per Invoice'!T$2:T$801,$W10)="","",INDEX('Per Invoice'!T$2:T$801,$W10)))</f>
        <v/>
      </c>
      <c r="U10" s="7">
        <f>IF($W10="","",IF(INDEX('Per Invoice'!U$2:U$801,$W10)="","",INDEX('Per Invoice'!U$2:U$801,$W10)))</f>
        <v/>
      </c>
      <c r="V10" s="7">
        <f>IF($W10="","",IF(INDEX('Per Invoice'!V$2:V$801,$W10)="","",INDEX('Per Invoice'!V$2:V$801,$W10)))</f>
        <v/>
      </c>
      <c r="W10" s="16">
        <f>IFERROR(MATCH(Settings!$C$29&amp;"|"&amp;ROWS($W$2:$W10),'Per Invoice'!$X$2:$X$801,0),"")</f>
        <v/>
      </c>
    </row>
    <row r="11">
      <c r="A11">
        <f>IF($W11="","",IF(INDEX('Per Invoice'!A$2:A$801,$W11)="","",INDEX('Per Invoice'!A$2:A$801,$W11)))</f>
        <v/>
      </c>
      <c r="B11">
        <f>IF($W11="","",IF(INDEX('Per Invoice'!B$2:B$801,$W11)="","",INDEX('Per Invoice'!B$2:B$801,$W11)))</f>
        <v/>
      </c>
      <c r="C11">
        <f>IF($W11="","",IF(INDEX('Per Invoice'!C$2:C$801,$W11)="","",INDEX('Per Invoice'!C$2:C$801,$W11)))</f>
        <v/>
      </c>
      <c r="D11">
        <f>IF($W11="","",IF(INDEX('Per Invoice'!D$2:D$801,$W11)="","",INDEX('Per Invoice'!D$2:D$801,$W11)))</f>
        <v/>
      </c>
      <c r="E11">
        <f>IF($W11="","",IF(INDEX('Per Invoice'!E$2:E$801,$W11)="","",INDEX('Per Invoice'!E$2:E$801,$W11)))</f>
        <v/>
      </c>
      <c r="F11">
        <f>IF($W11="","",IF(INDEX('Per Invoice'!F$2:F$801,$W11)="","",INDEX('Per Invoice'!F$2:F$801,$W11)))</f>
        <v/>
      </c>
      <c r="G11">
        <f>IF($W11="","",IF(INDEX('Per Invoice'!G$2:G$801,$W11)="","",INDEX('Per Invoice'!G$2:G$801,$W11)))</f>
        <v/>
      </c>
      <c r="H11">
        <f>IF($W11="","",IF(INDEX('Per Invoice'!H$2:H$801,$W11)="","",INDEX('Per Invoice'!H$2:H$801,$W11)))</f>
        <v/>
      </c>
      <c r="I11">
        <f>IF($W11="","",IF(INDEX('Per Invoice'!I$2:I$801,$W11)="","",INDEX('Per Invoice'!I$2:I$801,$W11)))</f>
        <v/>
      </c>
      <c r="J11">
        <f>IF($W11="","",IF(INDEX('Per Invoice'!J$2:J$801,$W11)="","",INDEX('Per Invoice'!J$2:J$801,$W11)))</f>
        <v/>
      </c>
      <c r="K11" s="7">
        <f>IF($W11="","",IF(INDEX('Per Invoice'!K$2:K$801,$W11)="","",INDEX('Per Invoice'!K$2:K$801,$W11)))</f>
        <v/>
      </c>
      <c r="L11" s="14">
        <f>IF($W11="","",IF(INDEX('Per Invoice'!L$2:L$801,$W11)="","",INDEX('Per Invoice'!L$2:L$801,$W11)))</f>
        <v/>
      </c>
      <c r="M11">
        <f>IF($W11="","",IF(INDEX('Per Invoice'!M$2:M$801,$W11)="","",INDEX('Per Invoice'!M$2:M$801,$W11)))</f>
        <v/>
      </c>
      <c r="N11" s="7">
        <f>IF($W11="","",IF(INDEX('Per Invoice'!N$2:N$801,$W11)="","",INDEX('Per Invoice'!N$2:N$801,$W11)))</f>
        <v/>
      </c>
      <c r="O11" s="7">
        <f>IF($W11="","",IF(INDEX('Per Invoice'!O$2:O$801,$W11)="","",INDEX('Per Invoice'!O$2:O$801,$W11)))</f>
        <v/>
      </c>
      <c r="P11">
        <f>IF($W11="","",IF(INDEX('Per Invoice'!P$2:P$801,$W11)="","",INDEX('Per Invoice'!P$2:P$801,$W11)))</f>
        <v/>
      </c>
      <c r="Q11" s="7">
        <f>IF($W11="","",IF(INDEX('Per Invoice'!Q$2:Q$801,$W11)="","",INDEX('Per Invoice'!Q$2:Q$801,$W11)))</f>
        <v/>
      </c>
      <c r="R11" s="7">
        <f>IF($W11="","",IF(INDEX('Per Invoice'!R$2:R$801,$W11)="","",INDEX('Per Invoice'!R$2:R$801,$W11)))</f>
        <v/>
      </c>
      <c r="S11" s="7">
        <f>IF($W11="","",IF(INDEX('Per Invoice'!S$2:S$801,$W11)="","",INDEX('Per Invoice'!S$2:S$801,$W11)))</f>
        <v/>
      </c>
      <c r="T11" s="7">
        <f>IF($W11="","",IF(INDEX('Per Invoice'!T$2:T$801,$W11)="","",INDEX('Per Invoice'!T$2:T$801,$W11)))</f>
        <v/>
      </c>
      <c r="U11" s="7">
        <f>IF($W11="","",IF(INDEX('Per Invoice'!U$2:U$801,$W11)="","",INDEX('Per Invoice'!U$2:U$801,$W11)))</f>
        <v/>
      </c>
      <c r="V11" s="7">
        <f>IF($W11="","",IF(INDEX('Per Invoice'!V$2:V$801,$W11)="","",INDEX('Per Invoice'!V$2:V$801,$W11)))</f>
        <v/>
      </c>
      <c r="W11" s="16">
        <f>IFERROR(MATCH(Settings!$C$29&amp;"|"&amp;ROWS($W$2:$W11),'Per Invoice'!$X$2:$X$801,0),"")</f>
        <v/>
      </c>
    </row>
    <row r="12">
      <c r="A12">
        <f>IF($W12="","",IF(INDEX('Per Invoice'!A$2:A$801,$W12)="","",INDEX('Per Invoice'!A$2:A$801,$W12)))</f>
        <v/>
      </c>
      <c r="B12">
        <f>IF($W12="","",IF(INDEX('Per Invoice'!B$2:B$801,$W12)="","",INDEX('Per Invoice'!B$2:B$801,$W12)))</f>
        <v/>
      </c>
      <c r="C12">
        <f>IF($W12="","",IF(INDEX('Per Invoice'!C$2:C$801,$W12)="","",INDEX('Per Invoice'!C$2:C$801,$W12)))</f>
        <v/>
      </c>
      <c r="D12">
        <f>IF($W12="","",IF(INDEX('Per Invoice'!D$2:D$801,$W12)="","",INDEX('Per Invoice'!D$2:D$801,$W12)))</f>
        <v/>
      </c>
      <c r="E12">
        <f>IF($W12="","",IF(INDEX('Per Invoice'!E$2:E$801,$W12)="","",INDEX('Per Invoice'!E$2:E$801,$W12)))</f>
        <v/>
      </c>
      <c r="F12">
        <f>IF($W12="","",IF(INDEX('Per Invoice'!F$2:F$801,$W12)="","",INDEX('Per Invoice'!F$2:F$801,$W12)))</f>
        <v/>
      </c>
      <c r="G12">
        <f>IF($W12="","",IF(INDEX('Per Invoice'!G$2:G$801,$W12)="","",INDEX('Per Invoice'!G$2:G$801,$W12)))</f>
        <v/>
      </c>
      <c r="H12">
        <f>IF($W12="","",IF(INDEX('Per Invoice'!H$2:H$801,$W12)="","",INDEX('Per Invoice'!H$2:H$801,$W12)))</f>
        <v/>
      </c>
      <c r="I12">
        <f>IF($W12="","",IF(INDEX('Per Invoice'!I$2:I$801,$W12)="","",INDEX('Per Invoice'!I$2:I$801,$W12)))</f>
        <v/>
      </c>
      <c r="J12">
        <f>IF($W12="","",IF(INDEX('Per Invoice'!J$2:J$801,$W12)="","",INDEX('Per Invoice'!J$2:J$801,$W12)))</f>
        <v/>
      </c>
      <c r="K12" s="7">
        <f>IF($W12="","",IF(INDEX('Per Invoice'!K$2:K$801,$W12)="","",INDEX('Per Invoice'!K$2:K$801,$W12)))</f>
        <v/>
      </c>
      <c r="L12" s="14">
        <f>IF($W12="","",IF(INDEX('Per Invoice'!L$2:L$801,$W12)="","",INDEX('Per Invoice'!L$2:L$801,$W12)))</f>
        <v/>
      </c>
      <c r="M12">
        <f>IF($W12="","",IF(INDEX('Per Invoice'!M$2:M$801,$W12)="","",INDEX('Per Invoice'!M$2:M$801,$W12)))</f>
        <v/>
      </c>
      <c r="N12" s="7">
        <f>IF($W12="","",IF(INDEX('Per Invoice'!N$2:N$801,$W12)="","",INDEX('Per Invoice'!N$2:N$801,$W12)))</f>
        <v/>
      </c>
      <c r="O12" s="7">
        <f>IF($W12="","",IF(INDEX('Per Invoice'!O$2:O$801,$W12)="","",INDEX('Per Invoice'!O$2:O$801,$W12)))</f>
        <v/>
      </c>
      <c r="P12">
        <f>IF($W12="","",IF(INDEX('Per Invoice'!P$2:P$801,$W12)="","",INDEX('Per Invoice'!P$2:P$801,$W12)))</f>
        <v/>
      </c>
      <c r="Q12" s="7">
        <f>IF($W12="","",IF(INDEX('Per Invoice'!Q$2:Q$801,$W12)="","",INDEX('Per Invoice'!Q$2:Q$801,$W12)))</f>
        <v/>
      </c>
      <c r="R12" s="7">
        <f>IF($W12="","",IF(INDEX('Per Invoice'!R$2:R$801,$W12)="","",INDEX('Per Invoice'!R$2:R$801,$W12)))</f>
        <v/>
      </c>
      <c r="S12" s="7">
        <f>IF($W12="","",IF(INDEX('Per Invoice'!S$2:S$801,$W12)="","",INDEX('Per Invoice'!S$2:S$801,$W12)))</f>
        <v/>
      </c>
      <c r="T12" s="7">
        <f>IF($W12="","",IF(INDEX('Per Invoice'!T$2:T$801,$W12)="","",INDEX('Per Invoice'!T$2:T$801,$W12)))</f>
        <v/>
      </c>
      <c r="U12" s="7">
        <f>IF($W12="","",IF(INDEX('Per Invoice'!U$2:U$801,$W12)="","",INDEX('Per Invoice'!U$2:U$801,$W12)))</f>
        <v/>
      </c>
      <c r="V12" s="7">
        <f>IF($W12="","",IF(INDEX('Per Invoice'!V$2:V$801,$W12)="","",INDEX('Per Invoice'!V$2:V$801,$W12)))</f>
        <v/>
      </c>
      <c r="W12" s="16">
        <f>IFERROR(MATCH(Settings!$C$29&amp;"|"&amp;ROWS($W$2:$W12),'Per Invoice'!$X$2:$X$801,0),"")</f>
        <v/>
      </c>
    </row>
    <row r="13">
      <c r="A13">
        <f>IF($W13="","",IF(INDEX('Per Invoice'!A$2:A$801,$W13)="","",INDEX('Per Invoice'!A$2:A$801,$W13)))</f>
        <v/>
      </c>
      <c r="B13">
        <f>IF($W13="","",IF(INDEX('Per Invoice'!B$2:B$801,$W13)="","",INDEX('Per Invoice'!B$2:B$801,$W13)))</f>
        <v/>
      </c>
      <c r="C13">
        <f>IF($W13="","",IF(INDEX('Per Invoice'!C$2:C$801,$W13)="","",INDEX('Per Invoice'!C$2:C$801,$W13)))</f>
        <v/>
      </c>
      <c r="D13">
        <f>IF($W13="","",IF(INDEX('Per Invoice'!D$2:D$801,$W13)="","",INDEX('Per Invoice'!D$2:D$801,$W13)))</f>
        <v/>
      </c>
      <c r="E13">
        <f>IF($W13="","",IF(INDEX('Per Invoice'!E$2:E$801,$W13)="","",INDEX('Per Invoice'!E$2:E$801,$W13)))</f>
        <v/>
      </c>
      <c r="F13">
        <f>IF($W13="","",IF(INDEX('Per Invoice'!F$2:F$801,$W13)="","",INDEX('Per Invoice'!F$2:F$801,$W13)))</f>
        <v/>
      </c>
      <c r="G13">
        <f>IF($W13="","",IF(INDEX('Per Invoice'!G$2:G$801,$W13)="","",INDEX('Per Invoice'!G$2:G$801,$W13)))</f>
        <v/>
      </c>
      <c r="H13">
        <f>IF($W13="","",IF(INDEX('Per Invoice'!H$2:H$801,$W13)="","",INDEX('Per Invoice'!H$2:H$801,$W13)))</f>
        <v/>
      </c>
      <c r="I13">
        <f>IF($W13="","",IF(INDEX('Per Invoice'!I$2:I$801,$W13)="","",INDEX('Per Invoice'!I$2:I$801,$W13)))</f>
        <v/>
      </c>
      <c r="J13">
        <f>IF($W13="","",IF(INDEX('Per Invoice'!J$2:J$801,$W13)="","",INDEX('Per Invoice'!J$2:J$801,$W13)))</f>
        <v/>
      </c>
      <c r="K13" s="7">
        <f>IF($W13="","",IF(INDEX('Per Invoice'!K$2:K$801,$W13)="","",INDEX('Per Invoice'!K$2:K$801,$W13)))</f>
        <v/>
      </c>
      <c r="L13" s="14">
        <f>IF($W13="","",IF(INDEX('Per Invoice'!L$2:L$801,$W13)="","",INDEX('Per Invoice'!L$2:L$801,$W13)))</f>
        <v/>
      </c>
      <c r="M13">
        <f>IF($W13="","",IF(INDEX('Per Invoice'!M$2:M$801,$W13)="","",INDEX('Per Invoice'!M$2:M$801,$W13)))</f>
        <v/>
      </c>
      <c r="N13" s="7">
        <f>IF($W13="","",IF(INDEX('Per Invoice'!N$2:N$801,$W13)="","",INDEX('Per Invoice'!N$2:N$801,$W13)))</f>
        <v/>
      </c>
      <c r="O13" s="7">
        <f>IF($W13="","",IF(INDEX('Per Invoice'!O$2:O$801,$W13)="","",INDEX('Per Invoice'!O$2:O$801,$W13)))</f>
        <v/>
      </c>
      <c r="P13">
        <f>IF($W13="","",IF(INDEX('Per Invoice'!P$2:P$801,$W13)="","",INDEX('Per Invoice'!P$2:P$801,$W13)))</f>
        <v/>
      </c>
      <c r="Q13" s="7">
        <f>IF($W13="","",IF(INDEX('Per Invoice'!Q$2:Q$801,$W13)="","",INDEX('Per Invoice'!Q$2:Q$801,$W13)))</f>
        <v/>
      </c>
      <c r="R13" s="7">
        <f>IF($W13="","",IF(INDEX('Per Invoice'!R$2:R$801,$W13)="","",INDEX('Per Invoice'!R$2:R$801,$W13)))</f>
        <v/>
      </c>
      <c r="S13" s="7">
        <f>IF($W13="","",IF(INDEX('Per Invoice'!S$2:S$801,$W13)="","",INDEX('Per Invoice'!S$2:S$801,$W13)))</f>
        <v/>
      </c>
      <c r="T13" s="7">
        <f>IF($W13="","",IF(INDEX('Per Invoice'!T$2:T$801,$W13)="","",INDEX('Per Invoice'!T$2:T$801,$W13)))</f>
        <v/>
      </c>
      <c r="U13" s="7">
        <f>IF($W13="","",IF(INDEX('Per Invoice'!U$2:U$801,$W13)="","",INDEX('Per Invoice'!U$2:U$801,$W13)))</f>
        <v/>
      </c>
      <c r="V13" s="7">
        <f>IF($W13="","",IF(INDEX('Per Invoice'!V$2:V$801,$W13)="","",INDEX('Per Invoice'!V$2:V$801,$W13)))</f>
        <v/>
      </c>
      <c r="W13" s="16">
        <f>IFERROR(MATCH(Settings!$C$29&amp;"|"&amp;ROWS($W$2:$W13),'Per Invoice'!$X$2:$X$801,0),"")</f>
        <v/>
      </c>
    </row>
    <row r="14">
      <c r="A14">
        <f>IF($W14="","",IF(INDEX('Per Invoice'!A$2:A$801,$W14)="","",INDEX('Per Invoice'!A$2:A$801,$W14)))</f>
        <v/>
      </c>
      <c r="B14">
        <f>IF($W14="","",IF(INDEX('Per Invoice'!B$2:B$801,$W14)="","",INDEX('Per Invoice'!B$2:B$801,$W14)))</f>
        <v/>
      </c>
      <c r="C14">
        <f>IF($W14="","",IF(INDEX('Per Invoice'!C$2:C$801,$W14)="","",INDEX('Per Invoice'!C$2:C$801,$W14)))</f>
        <v/>
      </c>
      <c r="D14">
        <f>IF($W14="","",IF(INDEX('Per Invoice'!D$2:D$801,$W14)="","",INDEX('Per Invoice'!D$2:D$801,$W14)))</f>
        <v/>
      </c>
      <c r="E14">
        <f>IF($W14="","",IF(INDEX('Per Invoice'!E$2:E$801,$W14)="","",INDEX('Per Invoice'!E$2:E$801,$W14)))</f>
        <v/>
      </c>
      <c r="F14">
        <f>IF($W14="","",IF(INDEX('Per Invoice'!F$2:F$801,$W14)="","",INDEX('Per Invoice'!F$2:F$801,$W14)))</f>
        <v/>
      </c>
      <c r="G14">
        <f>IF($W14="","",IF(INDEX('Per Invoice'!G$2:G$801,$W14)="","",INDEX('Per Invoice'!G$2:G$801,$W14)))</f>
        <v/>
      </c>
      <c r="H14">
        <f>IF($W14="","",IF(INDEX('Per Invoice'!H$2:H$801,$W14)="","",INDEX('Per Invoice'!H$2:H$801,$W14)))</f>
        <v/>
      </c>
      <c r="I14">
        <f>IF($W14="","",IF(INDEX('Per Invoice'!I$2:I$801,$W14)="","",INDEX('Per Invoice'!I$2:I$801,$W14)))</f>
        <v/>
      </c>
      <c r="J14">
        <f>IF($W14="","",IF(INDEX('Per Invoice'!J$2:J$801,$W14)="","",INDEX('Per Invoice'!J$2:J$801,$W14)))</f>
        <v/>
      </c>
      <c r="K14" s="7">
        <f>IF($W14="","",IF(INDEX('Per Invoice'!K$2:K$801,$W14)="","",INDEX('Per Invoice'!K$2:K$801,$W14)))</f>
        <v/>
      </c>
      <c r="L14" s="14">
        <f>IF($W14="","",IF(INDEX('Per Invoice'!L$2:L$801,$W14)="","",INDEX('Per Invoice'!L$2:L$801,$W14)))</f>
        <v/>
      </c>
      <c r="M14">
        <f>IF($W14="","",IF(INDEX('Per Invoice'!M$2:M$801,$W14)="","",INDEX('Per Invoice'!M$2:M$801,$W14)))</f>
        <v/>
      </c>
      <c r="N14" s="7">
        <f>IF($W14="","",IF(INDEX('Per Invoice'!N$2:N$801,$W14)="","",INDEX('Per Invoice'!N$2:N$801,$W14)))</f>
        <v/>
      </c>
      <c r="O14" s="7">
        <f>IF($W14="","",IF(INDEX('Per Invoice'!O$2:O$801,$W14)="","",INDEX('Per Invoice'!O$2:O$801,$W14)))</f>
        <v/>
      </c>
      <c r="P14">
        <f>IF($W14="","",IF(INDEX('Per Invoice'!P$2:P$801,$W14)="","",INDEX('Per Invoice'!P$2:P$801,$W14)))</f>
        <v/>
      </c>
      <c r="Q14" s="7">
        <f>IF($W14="","",IF(INDEX('Per Invoice'!Q$2:Q$801,$W14)="","",INDEX('Per Invoice'!Q$2:Q$801,$W14)))</f>
        <v/>
      </c>
      <c r="R14" s="7">
        <f>IF($W14="","",IF(INDEX('Per Invoice'!R$2:R$801,$W14)="","",INDEX('Per Invoice'!R$2:R$801,$W14)))</f>
        <v/>
      </c>
      <c r="S14" s="7">
        <f>IF($W14="","",IF(INDEX('Per Invoice'!S$2:S$801,$W14)="","",INDEX('Per Invoice'!S$2:S$801,$W14)))</f>
        <v/>
      </c>
      <c r="T14" s="7">
        <f>IF($W14="","",IF(INDEX('Per Invoice'!T$2:T$801,$W14)="","",INDEX('Per Invoice'!T$2:T$801,$W14)))</f>
        <v/>
      </c>
      <c r="U14" s="7">
        <f>IF($W14="","",IF(INDEX('Per Invoice'!U$2:U$801,$W14)="","",INDEX('Per Invoice'!U$2:U$801,$W14)))</f>
        <v/>
      </c>
      <c r="V14" s="7">
        <f>IF($W14="","",IF(INDEX('Per Invoice'!V$2:V$801,$W14)="","",INDEX('Per Invoice'!V$2:V$801,$W14)))</f>
        <v/>
      </c>
      <c r="W14" s="16">
        <f>IFERROR(MATCH(Settings!$C$29&amp;"|"&amp;ROWS($W$2:$W14),'Per Invoice'!$X$2:$X$801,0),"")</f>
        <v/>
      </c>
    </row>
    <row r="15">
      <c r="A15">
        <f>IF($W15="","",IF(INDEX('Per Invoice'!A$2:A$801,$W15)="","",INDEX('Per Invoice'!A$2:A$801,$W15)))</f>
        <v/>
      </c>
      <c r="B15">
        <f>IF($W15="","",IF(INDEX('Per Invoice'!B$2:B$801,$W15)="","",INDEX('Per Invoice'!B$2:B$801,$W15)))</f>
        <v/>
      </c>
      <c r="C15">
        <f>IF($W15="","",IF(INDEX('Per Invoice'!C$2:C$801,$W15)="","",INDEX('Per Invoice'!C$2:C$801,$W15)))</f>
        <v/>
      </c>
      <c r="D15">
        <f>IF($W15="","",IF(INDEX('Per Invoice'!D$2:D$801,$W15)="","",INDEX('Per Invoice'!D$2:D$801,$W15)))</f>
        <v/>
      </c>
      <c r="E15">
        <f>IF($W15="","",IF(INDEX('Per Invoice'!E$2:E$801,$W15)="","",INDEX('Per Invoice'!E$2:E$801,$W15)))</f>
        <v/>
      </c>
      <c r="F15">
        <f>IF($W15="","",IF(INDEX('Per Invoice'!F$2:F$801,$W15)="","",INDEX('Per Invoice'!F$2:F$801,$W15)))</f>
        <v/>
      </c>
      <c r="G15">
        <f>IF($W15="","",IF(INDEX('Per Invoice'!G$2:G$801,$W15)="","",INDEX('Per Invoice'!G$2:G$801,$W15)))</f>
        <v/>
      </c>
      <c r="H15">
        <f>IF($W15="","",IF(INDEX('Per Invoice'!H$2:H$801,$W15)="","",INDEX('Per Invoice'!H$2:H$801,$W15)))</f>
        <v/>
      </c>
      <c r="I15">
        <f>IF($W15="","",IF(INDEX('Per Invoice'!I$2:I$801,$W15)="","",INDEX('Per Invoice'!I$2:I$801,$W15)))</f>
        <v/>
      </c>
      <c r="J15">
        <f>IF($W15="","",IF(INDEX('Per Invoice'!J$2:J$801,$W15)="","",INDEX('Per Invoice'!J$2:J$801,$W15)))</f>
        <v/>
      </c>
      <c r="K15" s="7">
        <f>IF($W15="","",IF(INDEX('Per Invoice'!K$2:K$801,$W15)="","",INDEX('Per Invoice'!K$2:K$801,$W15)))</f>
        <v/>
      </c>
      <c r="L15" s="14">
        <f>IF($W15="","",IF(INDEX('Per Invoice'!L$2:L$801,$W15)="","",INDEX('Per Invoice'!L$2:L$801,$W15)))</f>
        <v/>
      </c>
      <c r="M15">
        <f>IF($W15="","",IF(INDEX('Per Invoice'!M$2:M$801,$W15)="","",INDEX('Per Invoice'!M$2:M$801,$W15)))</f>
        <v/>
      </c>
      <c r="N15" s="7">
        <f>IF($W15="","",IF(INDEX('Per Invoice'!N$2:N$801,$W15)="","",INDEX('Per Invoice'!N$2:N$801,$W15)))</f>
        <v/>
      </c>
      <c r="O15" s="7">
        <f>IF($W15="","",IF(INDEX('Per Invoice'!O$2:O$801,$W15)="","",INDEX('Per Invoice'!O$2:O$801,$W15)))</f>
        <v/>
      </c>
      <c r="P15">
        <f>IF($W15="","",IF(INDEX('Per Invoice'!P$2:P$801,$W15)="","",INDEX('Per Invoice'!P$2:P$801,$W15)))</f>
        <v/>
      </c>
      <c r="Q15" s="7">
        <f>IF($W15="","",IF(INDEX('Per Invoice'!Q$2:Q$801,$W15)="","",INDEX('Per Invoice'!Q$2:Q$801,$W15)))</f>
        <v/>
      </c>
      <c r="R15" s="7">
        <f>IF($W15="","",IF(INDEX('Per Invoice'!R$2:R$801,$W15)="","",INDEX('Per Invoice'!R$2:R$801,$W15)))</f>
        <v/>
      </c>
      <c r="S15" s="7">
        <f>IF($W15="","",IF(INDEX('Per Invoice'!S$2:S$801,$W15)="","",INDEX('Per Invoice'!S$2:S$801,$W15)))</f>
        <v/>
      </c>
      <c r="T15" s="7">
        <f>IF($W15="","",IF(INDEX('Per Invoice'!T$2:T$801,$W15)="","",INDEX('Per Invoice'!T$2:T$801,$W15)))</f>
        <v/>
      </c>
      <c r="U15" s="7">
        <f>IF($W15="","",IF(INDEX('Per Invoice'!U$2:U$801,$W15)="","",INDEX('Per Invoice'!U$2:U$801,$W15)))</f>
        <v/>
      </c>
      <c r="V15" s="7">
        <f>IF($W15="","",IF(INDEX('Per Invoice'!V$2:V$801,$W15)="","",INDEX('Per Invoice'!V$2:V$801,$W15)))</f>
        <v/>
      </c>
      <c r="W15" s="16">
        <f>IFERROR(MATCH(Settings!$C$29&amp;"|"&amp;ROWS($W$2:$W15),'Per Invoice'!$X$2:$X$801,0),"")</f>
        <v/>
      </c>
    </row>
    <row r="16">
      <c r="A16">
        <f>IF($W16="","",IF(INDEX('Per Invoice'!A$2:A$801,$W16)="","",INDEX('Per Invoice'!A$2:A$801,$W16)))</f>
        <v/>
      </c>
      <c r="B16">
        <f>IF($W16="","",IF(INDEX('Per Invoice'!B$2:B$801,$W16)="","",INDEX('Per Invoice'!B$2:B$801,$W16)))</f>
        <v/>
      </c>
      <c r="C16">
        <f>IF($W16="","",IF(INDEX('Per Invoice'!C$2:C$801,$W16)="","",INDEX('Per Invoice'!C$2:C$801,$W16)))</f>
        <v/>
      </c>
      <c r="D16">
        <f>IF($W16="","",IF(INDEX('Per Invoice'!D$2:D$801,$W16)="","",INDEX('Per Invoice'!D$2:D$801,$W16)))</f>
        <v/>
      </c>
      <c r="E16">
        <f>IF($W16="","",IF(INDEX('Per Invoice'!E$2:E$801,$W16)="","",INDEX('Per Invoice'!E$2:E$801,$W16)))</f>
        <v/>
      </c>
      <c r="F16">
        <f>IF($W16="","",IF(INDEX('Per Invoice'!F$2:F$801,$W16)="","",INDEX('Per Invoice'!F$2:F$801,$W16)))</f>
        <v/>
      </c>
      <c r="G16">
        <f>IF($W16="","",IF(INDEX('Per Invoice'!G$2:G$801,$W16)="","",INDEX('Per Invoice'!G$2:G$801,$W16)))</f>
        <v/>
      </c>
      <c r="H16">
        <f>IF($W16="","",IF(INDEX('Per Invoice'!H$2:H$801,$W16)="","",INDEX('Per Invoice'!H$2:H$801,$W16)))</f>
        <v/>
      </c>
      <c r="I16">
        <f>IF($W16="","",IF(INDEX('Per Invoice'!I$2:I$801,$W16)="","",INDEX('Per Invoice'!I$2:I$801,$W16)))</f>
        <v/>
      </c>
      <c r="J16">
        <f>IF($W16="","",IF(INDEX('Per Invoice'!J$2:J$801,$W16)="","",INDEX('Per Invoice'!J$2:J$801,$W16)))</f>
        <v/>
      </c>
      <c r="K16" s="7">
        <f>IF($W16="","",IF(INDEX('Per Invoice'!K$2:K$801,$W16)="","",INDEX('Per Invoice'!K$2:K$801,$W16)))</f>
        <v/>
      </c>
      <c r="L16" s="14">
        <f>IF($W16="","",IF(INDEX('Per Invoice'!L$2:L$801,$W16)="","",INDEX('Per Invoice'!L$2:L$801,$W16)))</f>
        <v/>
      </c>
      <c r="M16">
        <f>IF($W16="","",IF(INDEX('Per Invoice'!M$2:M$801,$W16)="","",INDEX('Per Invoice'!M$2:M$801,$W16)))</f>
        <v/>
      </c>
      <c r="N16" s="7">
        <f>IF($W16="","",IF(INDEX('Per Invoice'!N$2:N$801,$W16)="","",INDEX('Per Invoice'!N$2:N$801,$W16)))</f>
        <v/>
      </c>
      <c r="O16" s="7">
        <f>IF($W16="","",IF(INDEX('Per Invoice'!O$2:O$801,$W16)="","",INDEX('Per Invoice'!O$2:O$801,$W16)))</f>
        <v/>
      </c>
      <c r="P16">
        <f>IF($W16="","",IF(INDEX('Per Invoice'!P$2:P$801,$W16)="","",INDEX('Per Invoice'!P$2:P$801,$W16)))</f>
        <v/>
      </c>
      <c r="Q16" s="7">
        <f>IF($W16="","",IF(INDEX('Per Invoice'!Q$2:Q$801,$W16)="","",INDEX('Per Invoice'!Q$2:Q$801,$W16)))</f>
        <v/>
      </c>
      <c r="R16" s="7">
        <f>IF($W16="","",IF(INDEX('Per Invoice'!R$2:R$801,$W16)="","",INDEX('Per Invoice'!R$2:R$801,$W16)))</f>
        <v/>
      </c>
      <c r="S16" s="7">
        <f>IF($W16="","",IF(INDEX('Per Invoice'!S$2:S$801,$W16)="","",INDEX('Per Invoice'!S$2:S$801,$W16)))</f>
        <v/>
      </c>
      <c r="T16" s="7">
        <f>IF($W16="","",IF(INDEX('Per Invoice'!T$2:T$801,$W16)="","",INDEX('Per Invoice'!T$2:T$801,$W16)))</f>
        <v/>
      </c>
      <c r="U16" s="7">
        <f>IF($W16="","",IF(INDEX('Per Invoice'!U$2:U$801,$W16)="","",INDEX('Per Invoice'!U$2:U$801,$W16)))</f>
        <v/>
      </c>
      <c r="V16" s="7">
        <f>IF($W16="","",IF(INDEX('Per Invoice'!V$2:V$801,$W16)="","",INDEX('Per Invoice'!V$2:V$801,$W16)))</f>
        <v/>
      </c>
      <c r="W16" s="16">
        <f>IFERROR(MATCH(Settings!$C$29&amp;"|"&amp;ROWS($W$2:$W16),'Per Invoice'!$X$2:$X$801,0),"")</f>
        <v/>
      </c>
    </row>
    <row r="17">
      <c r="A17">
        <f>IF($W17="","",IF(INDEX('Per Invoice'!A$2:A$801,$W17)="","",INDEX('Per Invoice'!A$2:A$801,$W17)))</f>
        <v/>
      </c>
      <c r="B17">
        <f>IF($W17="","",IF(INDEX('Per Invoice'!B$2:B$801,$W17)="","",INDEX('Per Invoice'!B$2:B$801,$W17)))</f>
        <v/>
      </c>
      <c r="C17">
        <f>IF($W17="","",IF(INDEX('Per Invoice'!C$2:C$801,$W17)="","",INDEX('Per Invoice'!C$2:C$801,$W17)))</f>
        <v/>
      </c>
      <c r="D17">
        <f>IF($W17="","",IF(INDEX('Per Invoice'!D$2:D$801,$W17)="","",INDEX('Per Invoice'!D$2:D$801,$W17)))</f>
        <v/>
      </c>
      <c r="E17">
        <f>IF($W17="","",IF(INDEX('Per Invoice'!E$2:E$801,$W17)="","",INDEX('Per Invoice'!E$2:E$801,$W17)))</f>
        <v/>
      </c>
      <c r="F17">
        <f>IF($W17="","",IF(INDEX('Per Invoice'!F$2:F$801,$W17)="","",INDEX('Per Invoice'!F$2:F$801,$W17)))</f>
        <v/>
      </c>
      <c r="G17">
        <f>IF($W17="","",IF(INDEX('Per Invoice'!G$2:G$801,$W17)="","",INDEX('Per Invoice'!G$2:G$801,$W17)))</f>
        <v/>
      </c>
      <c r="H17">
        <f>IF($W17="","",IF(INDEX('Per Invoice'!H$2:H$801,$W17)="","",INDEX('Per Invoice'!H$2:H$801,$W17)))</f>
        <v/>
      </c>
      <c r="I17">
        <f>IF($W17="","",IF(INDEX('Per Invoice'!I$2:I$801,$W17)="","",INDEX('Per Invoice'!I$2:I$801,$W17)))</f>
        <v/>
      </c>
      <c r="J17">
        <f>IF($W17="","",IF(INDEX('Per Invoice'!J$2:J$801,$W17)="","",INDEX('Per Invoice'!J$2:J$801,$W17)))</f>
        <v/>
      </c>
      <c r="K17" s="7">
        <f>IF($W17="","",IF(INDEX('Per Invoice'!K$2:K$801,$W17)="","",INDEX('Per Invoice'!K$2:K$801,$W17)))</f>
        <v/>
      </c>
      <c r="L17" s="14">
        <f>IF($W17="","",IF(INDEX('Per Invoice'!L$2:L$801,$W17)="","",INDEX('Per Invoice'!L$2:L$801,$W17)))</f>
        <v/>
      </c>
      <c r="M17">
        <f>IF($W17="","",IF(INDEX('Per Invoice'!M$2:M$801,$W17)="","",INDEX('Per Invoice'!M$2:M$801,$W17)))</f>
        <v/>
      </c>
      <c r="N17" s="7">
        <f>IF($W17="","",IF(INDEX('Per Invoice'!N$2:N$801,$W17)="","",INDEX('Per Invoice'!N$2:N$801,$W17)))</f>
        <v/>
      </c>
      <c r="O17" s="7">
        <f>IF($W17="","",IF(INDEX('Per Invoice'!O$2:O$801,$W17)="","",INDEX('Per Invoice'!O$2:O$801,$W17)))</f>
        <v/>
      </c>
      <c r="P17">
        <f>IF($W17="","",IF(INDEX('Per Invoice'!P$2:P$801,$W17)="","",INDEX('Per Invoice'!P$2:P$801,$W17)))</f>
        <v/>
      </c>
      <c r="Q17" s="7">
        <f>IF($W17="","",IF(INDEX('Per Invoice'!Q$2:Q$801,$W17)="","",INDEX('Per Invoice'!Q$2:Q$801,$W17)))</f>
        <v/>
      </c>
      <c r="R17" s="7">
        <f>IF($W17="","",IF(INDEX('Per Invoice'!R$2:R$801,$W17)="","",INDEX('Per Invoice'!R$2:R$801,$W17)))</f>
        <v/>
      </c>
      <c r="S17" s="7">
        <f>IF($W17="","",IF(INDEX('Per Invoice'!S$2:S$801,$W17)="","",INDEX('Per Invoice'!S$2:S$801,$W17)))</f>
        <v/>
      </c>
      <c r="T17" s="7">
        <f>IF($W17="","",IF(INDEX('Per Invoice'!T$2:T$801,$W17)="","",INDEX('Per Invoice'!T$2:T$801,$W17)))</f>
        <v/>
      </c>
      <c r="U17" s="7">
        <f>IF($W17="","",IF(INDEX('Per Invoice'!U$2:U$801,$W17)="","",INDEX('Per Invoice'!U$2:U$801,$W17)))</f>
        <v/>
      </c>
      <c r="V17" s="7">
        <f>IF($W17="","",IF(INDEX('Per Invoice'!V$2:V$801,$W17)="","",INDEX('Per Invoice'!V$2:V$801,$W17)))</f>
        <v/>
      </c>
      <c r="W17" s="16">
        <f>IFERROR(MATCH(Settings!$C$29&amp;"|"&amp;ROWS($W$2:$W17),'Per Invoice'!$X$2:$X$801,0),"")</f>
        <v/>
      </c>
    </row>
    <row r="18">
      <c r="A18">
        <f>IF($W18="","",IF(INDEX('Per Invoice'!A$2:A$801,$W18)="","",INDEX('Per Invoice'!A$2:A$801,$W18)))</f>
        <v/>
      </c>
      <c r="B18">
        <f>IF($W18="","",IF(INDEX('Per Invoice'!B$2:B$801,$W18)="","",INDEX('Per Invoice'!B$2:B$801,$W18)))</f>
        <v/>
      </c>
      <c r="C18">
        <f>IF($W18="","",IF(INDEX('Per Invoice'!C$2:C$801,$W18)="","",INDEX('Per Invoice'!C$2:C$801,$W18)))</f>
        <v/>
      </c>
      <c r="D18">
        <f>IF($W18="","",IF(INDEX('Per Invoice'!D$2:D$801,$W18)="","",INDEX('Per Invoice'!D$2:D$801,$W18)))</f>
        <v/>
      </c>
      <c r="E18">
        <f>IF($W18="","",IF(INDEX('Per Invoice'!E$2:E$801,$W18)="","",INDEX('Per Invoice'!E$2:E$801,$W18)))</f>
        <v/>
      </c>
      <c r="F18">
        <f>IF($W18="","",IF(INDEX('Per Invoice'!F$2:F$801,$W18)="","",INDEX('Per Invoice'!F$2:F$801,$W18)))</f>
        <v/>
      </c>
      <c r="G18">
        <f>IF($W18="","",IF(INDEX('Per Invoice'!G$2:G$801,$W18)="","",INDEX('Per Invoice'!G$2:G$801,$W18)))</f>
        <v/>
      </c>
      <c r="H18">
        <f>IF($W18="","",IF(INDEX('Per Invoice'!H$2:H$801,$W18)="","",INDEX('Per Invoice'!H$2:H$801,$W18)))</f>
        <v/>
      </c>
      <c r="I18">
        <f>IF($W18="","",IF(INDEX('Per Invoice'!I$2:I$801,$W18)="","",INDEX('Per Invoice'!I$2:I$801,$W18)))</f>
        <v/>
      </c>
      <c r="J18">
        <f>IF($W18="","",IF(INDEX('Per Invoice'!J$2:J$801,$W18)="","",INDEX('Per Invoice'!J$2:J$801,$W18)))</f>
        <v/>
      </c>
      <c r="K18" s="7">
        <f>IF($W18="","",IF(INDEX('Per Invoice'!K$2:K$801,$W18)="","",INDEX('Per Invoice'!K$2:K$801,$W18)))</f>
        <v/>
      </c>
      <c r="L18" s="14">
        <f>IF($W18="","",IF(INDEX('Per Invoice'!L$2:L$801,$W18)="","",INDEX('Per Invoice'!L$2:L$801,$W18)))</f>
        <v/>
      </c>
      <c r="M18">
        <f>IF($W18="","",IF(INDEX('Per Invoice'!M$2:M$801,$W18)="","",INDEX('Per Invoice'!M$2:M$801,$W18)))</f>
        <v/>
      </c>
      <c r="N18" s="7">
        <f>IF($W18="","",IF(INDEX('Per Invoice'!N$2:N$801,$W18)="","",INDEX('Per Invoice'!N$2:N$801,$W18)))</f>
        <v/>
      </c>
      <c r="O18" s="7">
        <f>IF($W18="","",IF(INDEX('Per Invoice'!O$2:O$801,$W18)="","",INDEX('Per Invoice'!O$2:O$801,$W18)))</f>
        <v/>
      </c>
      <c r="P18">
        <f>IF($W18="","",IF(INDEX('Per Invoice'!P$2:P$801,$W18)="","",INDEX('Per Invoice'!P$2:P$801,$W18)))</f>
        <v/>
      </c>
      <c r="Q18" s="7">
        <f>IF($W18="","",IF(INDEX('Per Invoice'!Q$2:Q$801,$W18)="","",INDEX('Per Invoice'!Q$2:Q$801,$W18)))</f>
        <v/>
      </c>
      <c r="R18" s="7">
        <f>IF($W18="","",IF(INDEX('Per Invoice'!R$2:R$801,$W18)="","",INDEX('Per Invoice'!R$2:R$801,$W18)))</f>
        <v/>
      </c>
      <c r="S18" s="7">
        <f>IF($W18="","",IF(INDEX('Per Invoice'!S$2:S$801,$W18)="","",INDEX('Per Invoice'!S$2:S$801,$W18)))</f>
        <v/>
      </c>
      <c r="T18" s="7">
        <f>IF($W18="","",IF(INDEX('Per Invoice'!T$2:T$801,$W18)="","",INDEX('Per Invoice'!T$2:T$801,$W18)))</f>
        <v/>
      </c>
      <c r="U18" s="7">
        <f>IF($W18="","",IF(INDEX('Per Invoice'!U$2:U$801,$W18)="","",INDEX('Per Invoice'!U$2:U$801,$W18)))</f>
        <v/>
      </c>
      <c r="V18" s="7">
        <f>IF($W18="","",IF(INDEX('Per Invoice'!V$2:V$801,$W18)="","",INDEX('Per Invoice'!V$2:V$801,$W18)))</f>
        <v/>
      </c>
      <c r="W18" s="16">
        <f>IFERROR(MATCH(Settings!$C$29&amp;"|"&amp;ROWS($W$2:$W18),'Per Invoice'!$X$2:$X$801,0),"")</f>
        <v/>
      </c>
    </row>
    <row r="19">
      <c r="A19">
        <f>IF($W19="","",IF(INDEX('Per Invoice'!A$2:A$801,$W19)="","",INDEX('Per Invoice'!A$2:A$801,$W19)))</f>
        <v/>
      </c>
      <c r="B19">
        <f>IF($W19="","",IF(INDEX('Per Invoice'!B$2:B$801,$W19)="","",INDEX('Per Invoice'!B$2:B$801,$W19)))</f>
        <v/>
      </c>
      <c r="C19">
        <f>IF($W19="","",IF(INDEX('Per Invoice'!C$2:C$801,$W19)="","",INDEX('Per Invoice'!C$2:C$801,$W19)))</f>
        <v/>
      </c>
      <c r="D19">
        <f>IF($W19="","",IF(INDEX('Per Invoice'!D$2:D$801,$W19)="","",INDEX('Per Invoice'!D$2:D$801,$W19)))</f>
        <v/>
      </c>
      <c r="E19">
        <f>IF($W19="","",IF(INDEX('Per Invoice'!E$2:E$801,$W19)="","",INDEX('Per Invoice'!E$2:E$801,$W19)))</f>
        <v/>
      </c>
      <c r="F19">
        <f>IF($W19="","",IF(INDEX('Per Invoice'!F$2:F$801,$W19)="","",INDEX('Per Invoice'!F$2:F$801,$W19)))</f>
        <v/>
      </c>
      <c r="G19">
        <f>IF($W19="","",IF(INDEX('Per Invoice'!G$2:G$801,$W19)="","",INDEX('Per Invoice'!G$2:G$801,$W19)))</f>
        <v/>
      </c>
      <c r="H19">
        <f>IF($W19="","",IF(INDEX('Per Invoice'!H$2:H$801,$W19)="","",INDEX('Per Invoice'!H$2:H$801,$W19)))</f>
        <v/>
      </c>
      <c r="I19">
        <f>IF($W19="","",IF(INDEX('Per Invoice'!I$2:I$801,$W19)="","",INDEX('Per Invoice'!I$2:I$801,$W19)))</f>
        <v/>
      </c>
      <c r="J19">
        <f>IF($W19="","",IF(INDEX('Per Invoice'!J$2:J$801,$W19)="","",INDEX('Per Invoice'!J$2:J$801,$W19)))</f>
        <v/>
      </c>
      <c r="K19" s="7">
        <f>IF($W19="","",IF(INDEX('Per Invoice'!K$2:K$801,$W19)="","",INDEX('Per Invoice'!K$2:K$801,$W19)))</f>
        <v/>
      </c>
      <c r="L19" s="14">
        <f>IF($W19="","",IF(INDEX('Per Invoice'!L$2:L$801,$W19)="","",INDEX('Per Invoice'!L$2:L$801,$W19)))</f>
        <v/>
      </c>
      <c r="M19">
        <f>IF($W19="","",IF(INDEX('Per Invoice'!M$2:M$801,$W19)="","",INDEX('Per Invoice'!M$2:M$801,$W19)))</f>
        <v/>
      </c>
      <c r="N19" s="7">
        <f>IF($W19="","",IF(INDEX('Per Invoice'!N$2:N$801,$W19)="","",INDEX('Per Invoice'!N$2:N$801,$W19)))</f>
        <v/>
      </c>
      <c r="O19" s="7">
        <f>IF($W19="","",IF(INDEX('Per Invoice'!O$2:O$801,$W19)="","",INDEX('Per Invoice'!O$2:O$801,$W19)))</f>
        <v/>
      </c>
      <c r="P19">
        <f>IF($W19="","",IF(INDEX('Per Invoice'!P$2:P$801,$W19)="","",INDEX('Per Invoice'!P$2:P$801,$W19)))</f>
        <v/>
      </c>
      <c r="Q19" s="7">
        <f>IF($W19="","",IF(INDEX('Per Invoice'!Q$2:Q$801,$W19)="","",INDEX('Per Invoice'!Q$2:Q$801,$W19)))</f>
        <v/>
      </c>
      <c r="R19" s="7">
        <f>IF($W19="","",IF(INDEX('Per Invoice'!R$2:R$801,$W19)="","",INDEX('Per Invoice'!R$2:R$801,$W19)))</f>
        <v/>
      </c>
      <c r="S19" s="7">
        <f>IF($W19="","",IF(INDEX('Per Invoice'!S$2:S$801,$W19)="","",INDEX('Per Invoice'!S$2:S$801,$W19)))</f>
        <v/>
      </c>
      <c r="T19" s="7">
        <f>IF($W19="","",IF(INDEX('Per Invoice'!T$2:T$801,$W19)="","",INDEX('Per Invoice'!T$2:T$801,$W19)))</f>
        <v/>
      </c>
      <c r="U19" s="7">
        <f>IF($W19="","",IF(INDEX('Per Invoice'!U$2:U$801,$W19)="","",INDEX('Per Invoice'!U$2:U$801,$W19)))</f>
        <v/>
      </c>
      <c r="V19" s="7">
        <f>IF($W19="","",IF(INDEX('Per Invoice'!V$2:V$801,$W19)="","",INDEX('Per Invoice'!V$2:V$801,$W19)))</f>
        <v/>
      </c>
      <c r="W19" s="16">
        <f>IFERROR(MATCH(Settings!$C$29&amp;"|"&amp;ROWS($W$2:$W19),'Per Invoice'!$X$2:$X$801,0),"")</f>
        <v/>
      </c>
    </row>
    <row r="20">
      <c r="A20">
        <f>IF($W20="","",IF(INDEX('Per Invoice'!A$2:A$801,$W20)="","",INDEX('Per Invoice'!A$2:A$801,$W20)))</f>
        <v/>
      </c>
      <c r="B20">
        <f>IF($W20="","",IF(INDEX('Per Invoice'!B$2:B$801,$W20)="","",INDEX('Per Invoice'!B$2:B$801,$W20)))</f>
        <v/>
      </c>
      <c r="C20">
        <f>IF($W20="","",IF(INDEX('Per Invoice'!C$2:C$801,$W20)="","",INDEX('Per Invoice'!C$2:C$801,$W20)))</f>
        <v/>
      </c>
      <c r="D20">
        <f>IF($W20="","",IF(INDEX('Per Invoice'!D$2:D$801,$W20)="","",INDEX('Per Invoice'!D$2:D$801,$W20)))</f>
        <v/>
      </c>
      <c r="E20">
        <f>IF($W20="","",IF(INDEX('Per Invoice'!E$2:E$801,$W20)="","",INDEX('Per Invoice'!E$2:E$801,$W20)))</f>
        <v/>
      </c>
      <c r="F20">
        <f>IF($W20="","",IF(INDEX('Per Invoice'!F$2:F$801,$W20)="","",INDEX('Per Invoice'!F$2:F$801,$W20)))</f>
        <v/>
      </c>
      <c r="G20">
        <f>IF($W20="","",IF(INDEX('Per Invoice'!G$2:G$801,$W20)="","",INDEX('Per Invoice'!G$2:G$801,$W20)))</f>
        <v/>
      </c>
      <c r="H20">
        <f>IF($W20="","",IF(INDEX('Per Invoice'!H$2:H$801,$W20)="","",INDEX('Per Invoice'!H$2:H$801,$W20)))</f>
        <v/>
      </c>
      <c r="I20">
        <f>IF($W20="","",IF(INDEX('Per Invoice'!I$2:I$801,$W20)="","",INDEX('Per Invoice'!I$2:I$801,$W20)))</f>
        <v/>
      </c>
      <c r="J20">
        <f>IF($W20="","",IF(INDEX('Per Invoice'!J$2:J$801,$W20)="","",INDEX('Per Invoice'!J$2:J$801,$W20)))</f>
        <v/>
      </c>
      <c r="K20" s="7">
        <f>IF($W20="","",IF(INDEX('Per Invoice'!K$2:K$801,$W20)="","",INDEX('Per Invoice'!K$2:K$801,$W20)))</f>
        <v/>
      </c>
      <c r="L20" s="14">
        <f>IF($W20="","",IF(INDEX('Per Invoice'!L$2:L$801,$W20)="","",INDEX('Per Invoice'!L$2:L$801,$W20)))</f>
        <v/>
      </c>
      <c r="M20">
        <f>IF($W20="","",IF(INDEX('Per Invoice'!M$2:M$801,$W20)="","",INDEX('Per Invoice'!M$2:M$801,$W20)))</f>
        <v/>
      </c>
      <c r="N20" s="7">
        <f>IF($W20="","",IF(INDEX('Per Invoice'!N$2:N$801,$W20)="","",INDEX('Per Invoice'!N$2:N$801,$W20)))</f>
        <v/>
      </c>
      <c r="O20" s="7">
        <f>IF($W20="","",IF(INDEX('Per Invoice'!O$2:O$801,$W20)="","",INDEX('Per Invoice'!O$2:O$801,$W20)))</f>
        <v/>
      </c>
      <c r="P20">
        <f>IF($W20="","",IF(INDEX('Per Invoice'!P$2:P$801,$W20)="","",INDEX('Per Invoice'!P$2:P$801,$W20)))</f>
        <v/>
      </c>
      <c r="Q20" s="7">
        <f>IF($W20="","",IF(INDEX('Per Invoice'!Q$2:Q$801,$W20)="","",INDEX('Per Invoice'!Q$2:Q$801,$W20)))</f>
        <v/>
      </c>
      <c r="R20" s="7">
        <f>IF($W20="","",IF(INDEX('Per Invoice'!R$2:R$801,$W20)="","",INDEX('Per Invoice'!R$2:R$801,$W20)))</f>
        <v/>
      </c>
      <c r="S20" s="7">
        <f>IF($W20="","",IF(INDEX('Per Invoice'!S$2:S$801,$W20)="","",INDEX('Per Invoice'!S$2:S$801,$W20)))</f>
        <v/>
      </c>
      <c r="T20" s="7">
        <f>IF($W20="","",IF(INDEX('Per Invoice'!T$2:T$801,$W20)="","",INDEX('Per Invoice'!T$2:T$801,$W20)))</f>
        <v/>
      </c>
      <c r="U20" s="7">
        <f>IF($W20="","",IF(INDEX('Per Invoice'!U$2:U$801,$W20)="","",INDEX('Per Invoice'!U$2:U$801,$W20)))</f>
        <v/>
      </c>
      <c r="V20" s="7">
        <f>IF($W20="","",IF(INDEX('Per Invoice'!V$2:V$801,$W20)="","",INDEX('Per Invoice'!V$2:V$801,$W20)))</f>
        <v/>
      </c>
      <c r="W20" s="16">
        <f>IFERROR(MATCH(Settings!$C$29&amp;"|"&amp;ROWS($W$2:$W20),'Per Invoice'!$X$2:$X$801,0),"")</f>
        <v/>
      </c>
    </row>
    <row r="21">
      <c r="A21">
        <f>IF($W21="","",IF(INDEX('Per Invoice'!A$2:A$801,$W21)="","",INDEX('Per Invoice'!A$2:A$801,$W21)))</f>
        <v/>
      </c>
      <c r="B21">
        <f>IF($W21="","",IF(INDEX('Per Invoice'!B$2:B$801,$W21)="","",INDEX('Per Invoice'!B$2:B$801,$W21)))</f>
        <v/>
      </c>
      <c r="C21">
        <f>IF($W21="","",IF(INDEX('Per Invoice'!C$2:C$801,$W21)="","",INDEX('Per Invoice'!C$2:C$801,$W21)))</f>
        <v/>
      </c>
      <c r="D21">
        <f>IF($W21="","",IF(INDEX('Per Invoice'!D$2:D$801,$W21)="","",INDEX('Per Invoice'!D$2:D$801,$W21)))</f>
        <v/>
      </c>
      <c r="E21">
        <f>IF($W21="","",IF(INDEX('Per Invoice'!E$2:E$801,$W21)="","",INDEX('Per Invoice'!E$2:E$801,$W21)))</f>
        <v/>
      </c>
      <c r="F21">
        <f>IF($W21="","",IF(INDEX('Per Invoice'!F$2:F$801,$W21)="","",INDEX('Per Invoice'!F$2:F$801,$W21)))</f>
        <v/>
      </c>
      <c r="G21">
        <f>IF($W21="","",IF(INDEX('Per Invoice'!G$2:G$801,$W21)="","",INDEX('Per Invoice'!G$2:G$801,$W21)))</f>
        <v/>
      </c>
      <c r="H21">
        <f>IF($W21="","",IF(INDEX('Per Invoice'!H$2:H$801,$W21)="","",INDEX('Per Invoice'!H$2:H$801,$W21)))</f>
        <v/>
      </c>
      <c r="I21">
        <f>IF($W21="","",IF(INDEX('Per Invoice'!I$2:I$801,$W21)="","",INDEX('Per Invoice'!I$2:I$801,$W21)))</f>
        <v/>
      </c>
      <c r="J21">
        <f>IF($W21="","",IF(INDEX('Per Invoice'!J$2:J$801,$W21)="","",INDEX('Per Invoice'!J$2:J$801,$W21)))</f>
        <v/>
      </c>
      <c r="K21" s="7">
        <f>IF($W21="","",IF(INDEX('Per Invoice'!K$2:K$801,$W21)="","",INDEX('Per Invoice'!K$2:K$801,$W21)))</f>
        <v/>
      </c>
      <c r="L21" s="14">
        <f>IF($W21="","",IF(INDEX('Per Invoice'!L$2:L$801,$W21)="","",INDEX('Per Invoice'!L$2:L$801,$W21)))</f>
        <v/>
      </c>
      <c r="M21">
        <f>IF($W21="","",IF(INDEX('Per Invoice'!M$2:M$801,$W21)="","",INDEX('Per Invoice'!M$2:M$801,$W21)))</f>
        <v/>
      </c>
      <c r="N21" s="7">
        <f>IF($W21="","",IF(INDEX('Per Invoice'!N$2:N$801,$W21)="","",INDEX('Per Invoice'!N$2:N$801,$W21)))</f>
        <v/>
      </c>
      <c r="O21" s="7">
        <f>IF($W21="","",IF(INDEX('Per Invoice'!O$2:O$801,$W21)="","",INDEX('Per Invoice'!O$2:O$801,$W21)))</f>
        <v/>
      </c>
      <c r="P21">
        <f>IF($W21="","",IF(INDEX('Per Invoice'!P$2:P$801,$W21)="","",INDEX('Per Invoice'!P$2:P$801,$W21)))</f>
        <v/>
      </c>
      <c r="Q21" s="7">
        <f>IF($W21="","",IF(INDEX('Per Invoice'!Q$2:Q$801,$W21)="","",INDEX('Per Invoice'!Q$2:Q$801,$W21)))</f>
        <v/>
      </c>
      <c r="R21" s="7">
        <f>IF($W21="","",IF(INDEX('Per Invoice'!R$2:R$801,$W21)="","",INDEX('Per Invoice'!R$2:R$801,$W21)))</f>
        <v/>
      </c>
      <c r="S21" s="7">
        <f>IF($W21="","",IF(INDEX('Per Invoice'!S$2:S$801,$W21)="","",INDEX('Per Invoice'!S$2:S$801,$W21)))</f>
        <v/>
      </c>
      <c r="T21" s="7">
        <f>IF($W21="","",IF(INDEX('Per Invoice'!T$2:T$801,$W21)="","",INDEX('Per Invoice'!T$2:T$801,$W21)))</f>
        <v/>
      </c>
      <c r="U21" s="7">
        <f>IF($W21="","",IF(INDEX('Per Invoice'!U$2:U$801,$W21)="","",INDEX('Per Invoice'!U$2:U$801,$W21)))</f>
        <v/>
      </c>
      <c r="V21" s="7">
        <f>IF($W21="","",IF(INDEX('Per Invoice'!V$2:V$801,$W21)="","",INDEX('Per Invoice'!V$2:V$801,$W21)))</f>
        <v/>
      </c>
      <c r="W21" s="16">
        <f>IFERROR(MATCH(Settings!$C$29&amp;"|"&amp;ROWS($W$2:$W21),'Per Invoice'!$X$2:$X$801,0),"")</f>
        <v/>
      </c>
    </row>
    <row r="22">
      <c r="A22">
        <f>IF($W22="","",IF(INDEX('Per Invoice'!A$2:A$801,$W22)="","",INDEX('Per Invoice'!A$2:A$801,$W22)))</f>
        <v/>
      </c>
      <c r="B22">
        <f>IF($W22="","",IF(INDEX('Per Invoice'!B$2:B$801,$W22)="","",INDEX('Per Invoice'!B$2:B$801,$W22)))</f>
        <v/>
      </c>
      <c r="C22">
        <f>IF($W22="","",IF(INDEX('Per Invoice'!C$2:C$801,$W22)="","",INDEX('Per Invoice'!C$2:C$801,$W22)))</f>
        <v/>
      </c>
      <c r="D22">
        <f>IF($W22="","",IF(INDEX('Per Invoice'!D$2:D$801,$W22)="","",INDEX('Per Invoice'!D$2:D$801,$W22)))</f>
        <v/>
      </c>
      <c r="E22">
        <f>IF($W22="","",IF(INDEX('Per Invoice'!E$2:E$801,$W22)="","",INDEX('Per Invoice'!E$2:E$801,$W22)))</f>
        <v/>
      </c>
      <c r="F22">
        <f>IF($W22="","",IF(INDEX('Per Invoice'!F$2:F$801,$W22)="","",INDEX('Per Invoice'!F$2:F$801,$W22)))</f>
        <v/>
      </c>
      <c r="G22">
        <f>IF($W22="","",IF(INDEX('Per Invoice'!G$2:G$801,$W22)="","",INDEX('Per Invoice'!G$2:G$801,$W22)))</f>
        <v/>
      </c>
      <c r="H22">
        <f>IF($W22="","",IF(INDEX('Per Invoice'!H$2:H$801,$W22)="","",INDEX('Per Invoice'!H$2:H$801,$W22)))</f>
        <v/>
      </c>
      <c r="I22">
        <f>IF($W22="","",IF(INDEX('Per Invoice'!I$2:I$801,$W22)="","",INDEX('Per Invoice'!I$2:I$801,$W22)))</f>
        <v/>
      </c>
      <c r="J22">
        <f>IF($W22="","",IF(INDEX('Per Invoice'!J$2:J$801,$W22)="","",INDEX('Per Invoice'!J$2:J$801,$W22)))</f>
        <v/>
      </c>
      <c r="K22" s="7">
        <f>IF($W22="","",IF(INDEX('Per Invoice'!K$2:K$801,$W22)="","",INDEX('Per Invoice'!K$2:K$801,$W22)))</f>
        <v/>
      </c>
      <c r="L22" s="14">
        <f>IF($W22="","",IF(INDEX('Per Invoice'!L$2:L$801,$W22)="","",INDEX('Per Invoice'!L$2:L$801,$W22)))</f>
        <v/>
      </c>
      <c r="M22">
        <f>IF($W22="","",IF(INDEX('Per Invoice'!M$2:M$801,$W22)="","",INDEX('Per Invoice'!M$2:M$801,$W22)))</f>
        <v/>
      </c>
      <c r="N22" s="7">
        <f>IF($W22="","",IF(INDEX('Per Invoice'!N$2:N$801,$W22)="","",INDEX('Per Invoice'!N$2:N$801,$W22)))</f>
        <v/>
      </c>
      <c r="O22" s="7">
        <f>IF($W22="","",IF(INDEX('Per Invoice'!O$2:O$801,$W22)="","",INDEX('Per Invoice'!O$2:O$801,$W22)))</f>
        <v/>
      </c>
      <c r="P22">
        <f>IF($W22="","",IF(INDEX('Per Invoice'!P$2:P$801,$W22)="","",INDEX('Per Invoice'!P$2:P$801,$W22)))</f>
        <v/>
      </c>
      <c r="Q22" s="7">
        <f>IF($W22="","",IF(INDEX('Per Invoice'!Q$2:Q$801,$W22)="","",INDEX('Per Invoice'!Q$2:Q$801,$W22)))</f>
        <v/>
      </c>
      <c r="R22" s="7">
        <f>IF($W22="","",IF(INDEX('Per Invoice'!R$2:R$801,$W22)="","",INDEX('Per Invoice'!R$2:R$801,$W22)))</f>
        <v/>
      </c>
      <c r="S22" s="7">
        <f>IF($W22="","",IF(INDEX('Per Invoice'!S$2:S$801,$W22)="","",INDEX('Per Invoice'!S$2:S$801,$W22)))</f>
        <v/>
      </c>
      <c r="T22" s="7">
        <f>IF($W22="","",IF(INDEX('Per Invoice'!T$2:T$801,$W22)="","",INDEX('Per Invoice'!T$2:T$801,$W22)))</f>
        <v/>
      </c>
      <c r="U22" s="7">
        <f>IF($W22="","",IF(INDEX('Per Invoice'!U$2:U$801,$W22)="","",INDEX('Per Invoice'!U$2:U$801,$W22)))</f>
        <v/>
      </c>
      <c r="V22" s="7">
        <f>IF($W22="","",IF(INDEX('Per Invoice'!V$2:V$801,$W22)="","",INDEX('Per Invoice'!V$2:V$801,$W22)))</f>
        <v/>
      </c>
      <c r="W22" s="16">
        <f>IFERROR(MATCH(Settings!$C$29&amp;"|"&amp;ROWS($W$2:$W22),'Per Invoice'!$X$2:$X$801,0),"")</f>
        <v/>
      </c>
    </row>
    <row r="23">
      <c r="A23">
        <f>IF($W23="","",IF(INDEX('Per Invoice'!A$2:A$801,$W23)="","",INDEX('Per Invoice'!A$2:A$801,$W23)))</f>
        <v/>
      </c>
      <c r="B23">
        <f>IF($W23="","",IF(INDEX('Per Invoice'!B$2:B$801,$W23)="","",INDEX('Per Invoice'!B$2:B$801,$W23)))</f>
        <v/>
      </c>
      <c r="C23">
        <f>IF($W23="","",IF(INDEX('Per Invoice'!C$2:C$801,$W23)="","",INDEX('Per Invoice'!C$2:C$801,$W23)))</f>
        <v/>
      </c>
      <c r="D23">
        <f>IF($W23="","",IF(INDEX('Per Invoice'!D$2:D$801,$W23)="","",INDEX('Per Invoice'!D$2:D$801,$W23)))</f>
        <v/>
      </c>
      <c r="E23">
        <f>IF($W23="","",IF(INDEX('Per Invoice'!E$2:E$801,$W23)="","",INDEX('Per Invoice'!E$2:E$801,$W23)))</f>
        <v/>
      </c>
      <c r="F23">
        <f>IF($W23="","",IF(INDEX('Per Invoice'!F$2:F$801,$W23)="","",INDEX('Per Invoice'!F$2:F$801,$W23)))</f>
        <v/>
      </c>
      <c r="G23">
        <f>IF($W23="","",IF(INDEX('Per Invoice'!G$2:G$801,$W23)="","",INDEX('Per Invoice'!G$2:G$801,$W23)))</f>
        <v/>
      </c>
      <c r="H23">
        <f>IF($W23="","",IF(INDEX('Per Invoice'!H$2:H$801,$W23)="","",INDEX('Per Invoice'!H$2:H$801,$W23)))</f>
        <v/>
      </c>
      <c r="I23">
        <f>IF($W23="","",IF(INDEX('Per Invoice'!I$2:I$801,$W23)="","",INDEX('Per Invoice'!I$2:I$801,$W23)))</f>
        <v/>
      </c>
      <c r="J23">
        <f>IF($W23="","",IF(INDEX('Per Invoice'!J$2:J$801,$W23)="","",INDEX('Per Invoice'!J$2:J$801,$W23)))</f>
        <v/>
      </c>
      <c r="K23" s="7">
        <f>IF($W23="","",IF(INDEX('Per Invoice'!K$2:K$801,$W23)="","",INDEX('Per Invoice'!K$2:K$801,$W23)))</f>
        <v/>
      </c>
      <c r="L23" s="14">
        <f>IF($W23="","",IF(INDEX('Per Invoice'!L$2:L$801,$W23)="","",INDEX('Per Invoice'!L$2:L$801,$W23)))</f>
        <v/>
      </c>
      <c r="M23">
        <f>IF($W23="","",IF(INDEX('Per Invoice'!M$2:M$801,$W23)="","",INDEX('Per Invoice'!M$2:M$801,$W23)))</f>
        <v/>
      </c>
      <c r="N23" s="7">
        <f>IF($W23="","",IF(INDEX('Per Invoice'!N$2:N$801,$W23)="","",INDEX('Per Invoice'!N$2:N$801,$W23)))</f>
        <v/>
      </c>
      <c r="O23" s="7">
        <f>IF($W23="","",IF(INDEX('Per Invoice'!O$2:O$801,$W23)="","",INDEX('Per Invoice'!O$2:O$801,$W23)))</f>
        <v/>
      </c>
      <c r="P23">
        <f>IF($W23="","",IF(INDEX('Per Invoice'!P$2:P$801,$W23)="","",INDEX('Per Invoice'!P$2:P$801,$W23)))</f>
        <v/>
      </c>
      <c r="Q23" s="7">
        <f>IF($W23="","",IF(INDEX('Per Invoice'!Q$2:Q$801,$W23)="","",INDEX('Per Invoice'!Q$2:Q$801,$W23)))</f>
        <v/>
      </c>
      <c r="R23" s="7">
        <f>IF($W23="","",IF(INDEX('Per Invoice'!R$2:R$801,$W23)="","",INDEX('Per Invoice'!R$2:R$801,$W23)))</f>
        <v/>
      </c>
      <c r="S23" s="7">
        <f>IF($W23="","",IF(INDEX('Per Invoice'!S$2:S$801,$W23)="","",INDEX('Per Invoice'!S$2:S$801,$W23)))</f>
        <v/>
      </c>
      <c r="T23" s="7">
        <f>IF($W23="","",IF(INDEX('Per Invoice'!T$2:T$801,$W23)="","",INDEX('Per Invoice'!T$2:T$801,$W23)))</f>
        <v/>
      </c>
      <c r="U23" s="7">
        <f>IF($W23="","",IF(INDEX('Per Invoice'!U$2:U$801,$W23)="","",INDEX('Per Invoice'!U$2:U$801,$W23)))</f>
        <v/>
      </c>
      <c r="V23" s="7">
        <f>IF($W23="","",IF(INDEX('Per Invoice'!V$2:V$801,$W23)="","",INDEX('Per Invoice'!V$2:V$801,$W23)))</f>
        <v/>
      </c>
      <c r="W23" s="16">
        <f>IFERROR(MATCH(Settings!$C$29&amp;"|"&amp;ROWS($W$2:$W23),'Per Invoice'!$X$2:$X$801,0),"")</f>
        <v/>
      </c>
    </row>
    <row r="24">
      <c r="A24">
        <f>IF($W24="","",IF(INDEX('Per Invoice'!A$2:A$801,$W24)="","",INDEX('Per Invoice'!A$2:A$801,$W24)))</f>
        <v/>
      </c>
      <c r="B24">
        <f>IF($W24="","",IF(INDEX('Per Invoice'!B$2:B$801,$W24)="","",INDEX('Per Invoice'!B$2:B$801,$W24)))</f>
        <v/>
      </c>
      <c r="C24">
        <f>IF($W24="","",IF(INDEX('Per Invoice'!C$2:C$801,$W24)="","",INDEX('Per Invoice'!C$2:C$801,$W24)))</f>
        <v/>
      </c>
      <c r="D24">
        <f>IF($W24="","",IF(INDEX('Per Invoice'!D$2:D$801,$W24)="","",INDEX('Per Invoice'!D$2:D$801,$W24)))</f>
        <v/>
      </c>
      <c r="E24">
        <f>IF($W24="","",IF(INDEX('Per Invoice'!E$2:E$801,$W24)="","",INDEX('Per Invoice'!E$2:E$801,$W24)))</f>
        <v/>
      </c>
      <c r="F24">
        <f>IF($W24="","",IF(INDEX('Per Invoice'!F$2:F$801,$W24)="","",INDEX('Per Invoice'!F$2:F$801,$W24)))</f>
        <v/>
      </c>
      <c r="G24">
        <f>IF($W24="","",IF(INDEX('Per Invoice'!G$2:G$801,$W24)="","",INDEX('Per Invoice'!G$2:G$801,$W24)))</f>
        <v/>
      </c>
      <c r="H24">
        <f>IF($W24="","",IF(INDEX('Per Invoice'!H$2:H$801,$W24)="","",INDEX('Per Invoice'!H$2:H$801,$W24)))</f>
        <v/>
      </c>
      <c r="I24">
        <f>IF($W24="","",IF(INDEX('Per Invoice'!I$2:I$801,$W24)="","",INDEX('Per Invoice'!I$2:I$801,$W24)))</f>
        <v/>
      </c>
      <c r="J24">
        <f>IF($W24="","",IF(INDEX('Per Invoice'!J$2:J$801,$W24)="","",INDEX('Per Invoice'!J$2:J$801,$W24)))</f>
        <v/>
      </c>
      <c r="K24" s="7">
        <f>IF($W24="","",IF(INDEX('Per Invoice'!K$2:K$801,$W24)="","",INDEX('Per Invoice'!K$2:K$801,$W24)))</f>
        <v/>
      </c>
      <c r="L24" s="14">
        <f>IF($W24="","",IF(INDEX('Per Invoice'!L$2:L$801,$W24)="","",INDEX('Per Invoice'!L$2:L$801,$W24)))</f>
        <v/>
      </c>
      <c r="M24">
        <f>IF($W24="","",IF(INDEX('Per Invoice'!M$2:M$801,$W24)="","",INDEX('Per Invoice'!M$2:M$801,$W24)))</f>
        <v/>
      </c>
      <c r="N24" s="7">
        <f>IF($W24="","",IF(INDEX('Per Invoice'!N$2:N$801,$W24)="","",INDEX('Per Invoice'!N$2:N$801,$W24)))</f>
        <v/>
      </c>
      <c r="O24" s="7">
        <f>IF($W24="","",IF(INDEX('Per Invoice'!O$2:O$801,$W24)="","",INDEX('Per Invoice'!O$2:O$801,$W24)))</f>
        <v/>
      </c>
      <c r="P24">
        <f>IF($W24="","",IF(INDEX('Per Invoice'!P$2:P$801,$W24)="","",INDEX('Per Invoice'!P$2:P$801,$W24)))</f>
        <v/>
      </c>
      <c r="Q24" s="7">
        <f>IF($W24="","",IF(INDEX('Per Invoice'!Q$2:Q$801,$W24)="","",INDEX('Per Invoice'!Q$2:Q$801,$W24)))</f>
        <v/>
      </c>
      <c r="R24" s="7">
        <f>IF($W24="","",IF(INDEX('Per Invoice'!R$2:R$801,$W24)="","",INDEX('Per Invoice'!R$2:R$801,$W24)))</f>
        <v/>
      </c>
      <c r="S24" s="7">
        <f>IF($W24="","",IF(INDEX('Per Invoice'!S$2:S$801,$W24)="","",INDEX('Per Invoice'!S$2:S$801,$W24)))</f>
        <v/>
      </c>
      <c r="T24" s="7">
        <f>IF($W24="","",IF(INDEX('Per Invoice'!T$2:T$801,$W24)="","",INDEX('Per Invoice'!T$2:T$801,$W24)))</f>
        <v/>
      </c>
      <c r="U24" s="7">
        <f>IF($W24="","",IF(INDEX('Per Invoice'!U$2:U$801,$W24)="","",INDEX('Per Invoice'!U$2:U$801,$W24)))</f>
        <v/>
      </c>
      <c r="V24" s="7">
        <f>IF($W24="","",IF(INDEX('Per Invoice'!V$2:V$801,$W24)="","",INDEX('Per Invoice'!V$2:V$801,$W24)))</f>
        <v/>
      </c>
      <c r="W24" s="16">
        <f>IFERROR(MATCH(Settings!$C$29&amp;"|"&amp;ROWS($W$2:$W24),'Per Invoice'!$X$2:$X$801,0),"")</f>
        <v/>
      </c>
    </row>
    <row r="25">
      <c r="A25">
        <f>IF($W25="","",IF(INDEX('Per Invoice'!A$2:A$801,$W25)="","",INDEX('Per Invoice'!A$2:A$801,$W25)))</f>
        <v/>
      </c>
      <c r="B25">
        <f>IF($W25="","",IF(INDEX('Per Invoice'!B$2:B$801,$W25)="","",INDEX('Per Invoice'!B$2:B$801,$W25)))</f>
        <v/>
      </c>
      <c r="C25">
        <f>IF($W25="","",IF(INDEX('Per Invoice'!C$2:C$801,$W25)="","",INDEX('Per Invoice'!C$2:C$801,$W25)))</f>
        <v/>
      </c>
      <c r="D25">
        <f>IF($W25="","",IF(INDEX('Per Invoice'!D$2:D$801,$W25)="","",INDEX('Per Invoice'!D$2:D$801,$W25)))</f>
        <v/>
      </c>
      <c r="E25">
        <f>IF($W25="","",IF(INDEX('Per Invoice'!E$2:E$801,$W25)="","",INDEX('Per Invoice'!E$2:E$801,$W25)))</f>
        <v/>
      </c>
      <c r="F25">
        <f>IF($W25="","",IF(INDEX('Per Invoice'!F$2:F$801,$W25)="","",INDEX('Per Invoice'!F$2:F$801,$W25)))</f>
        <v/>
      </c>
      <c r="G25">
        <f>IF($W25="","",IF(INDEX('Per Invoice'!G$2:G$801,$W25)="","",INDEX('Per Invoice'!G$2:G$801,$W25)))</f>
        <v/>
      </c>
      <c r="H25">
        <f>IF($W25="","",IF(INDEX('Per Invoice'!H$2:H$801,$W25)="","",INDEX('Per Invoice'!H$2:H$801,$W25)))</f>
        <v/>
      </c>
      <c r="I25">
        <f>IF($W25="","",IF(INDEX('Per Invoice'!I$2:I$801,$W25)="","",INDEX('Per Invoice'!I$2:I$801,$W25)))</f>
        <v/>
      </c>
      <c r="J25">
        <f>IF($W25="","",IF(INDEX('Per Invoice'!J$2:J$801,$W25)="","",INDEX('Per Invoice'!J$2:J$801,$W25)))</f>
        <v/>
      </c>
      <c r="K25" s="7">
        <f>IF($W25="","",IF(INDEX('Per Invoice'!K$2:K$801,$W25)="","",INDEX('Per Invoice'!K$2:K$801,$W25)))</f>
        <v/>
      </c>
      <c r="L25" s="14">
        <f>IF($W25="","",IF(INDEX('Per Invoice'!L$2:L$801,$W25)="","",INDEX('Per Invoice'!L$2:L$801,$W25)))</f>
        <v/>
      </c>
      <c r="M25">
        <f>IF($W25="","",IF(INDEX('Per Invoice'!M$2:M$801,$W25)="","",INDEX('Per Invoice'!M$2:M$801,$W25)))</f>
        <v/>
      </c>
      <c r="N25" s="7">
        <f>IF($W25="","",IF(INDEX('Per Invoice'!N$2:N$801,$W25)="","",INDEX('Per Invoice'!N$2:N$801,$W25)))</f>
        <v/>
      </c>
      <c r="O25" s="7">
        <f>IF($W25="","",IF(INDEX('Per Invoice'!O$2:O$801,$W25)="","",INDEX('Per Invoice'!O$2:O$801,$W25)))</f>
        <v/>
      </c>
      <c r="P25">
        <f>IF($W25="","",IF(INDEX('Per Invoice'!P$2:P$801,$W25)="","",INDEX('Per Invoice'!P$2:P$801,$W25)))</f>
        <v/>
      </c>
      <c r="Q25" s="7">
        <f>IF($W25="","",IF(INDEX('Per Invoice'!Q$2:Q$801,$W25)="","",INDEX('Per Invoice'!Q$2:Q$801,$W25)))</f>
        <v/>
      </c>
      <c r="R25" s="7">
        <f>IF($W25="","",IF(INDEX('Per Invoice'!R$2:R$801,$W25)="","",INDEX('Per Invoice'!R$2:R$801,$W25)))</f>
        <v/>
      </c>
      <c r="S25" s="7">
        <f>IF($W25="","",IF(INDEX('Per Invoice'!S$2:S$801,$W25)="","",INDEX('Per Invoice'!S$2:S$801,$W25)))</f>
        <v/>
      </c>
      <c r="T25" s="7">
        <f>IF($W25="","",IF(INDEX('Per Invoice'!T$2:T$801,$W25)="","",INDEX('Per Invoice'!T$2:T$801,$W25)))</f>
        <v/>
      </c>
      <c r="U25" s="7">
        <f>IF($W25="","",IF(INDEX('Per Invoice'!U$2:U$801,$W25)="","",INDEX('Per Invoice'!U$2:U$801,$W25)))</f>
        <v/>
      </c>
      <c r="V25" s="7">
        <f>IF($W25="","",IF(INDEX('Per Invoice'!V$2:V$801,$W25)="","",INDEX('Per Invoice'!V$2:V$801,$W25)))</f>
        <v/>
      </c>
      <c r="W25" s="16">
        <f>IFERROR(MATCH(Settings!$C$29&amp;"|"&amp;ROWS($W$2:$W25),'Per Invoice'!$X$2:$X$801,0),"")</f>
        <v/>
      </c>
    </row>
    <row r="26">
      <c r="A26">
        <f>IF($W26="","",IF(INDEX('Per Invoice'!A$2:A$801,$W26)="","",INDEX('Per Invoice'!A$2:A$801,$W26)))</f>
        <v/>
      </c>
      <c r="B26">
        <f>IF($W26="","",IF(INDEX('Per Invoice'!B$2:B$801,$W26)="","",INDEX('Per Invoice'!B$2:B$801,$W26)))</f>
        <v/>
      </c>
      <c r="C26">
        <f>IF($W26="","",IF(INDEX('Per Invoice'!C$2:C$801,$W26)="","",INDEX('Per Invoice'!C$2:C$801,$W26)))</f>
        <v/>
      </c>
      <c r="D26">
        <f>IF($W26="","",IF(INDEX('Per Invoice'!D$2:D$801,$W26)="","",INDEX('Per Invoice'!D$2:D$801,$W26)))</f>
        <v/>
      </c>
      <c r="E26">
        <f>IF($W26="","",IF(INDEX('Per Invoice'!E$2:E$801,$W26)="","",INDEX('Per Invoice'!E$2:E$801,$W26)))</f>
        <v/>
      </c>
      <c r="F26">
        <f>IF($W26="","",IF(INDEX('Per Invoice'!F$2:F$801,$W26)="","",INDEX('Per Invoice'!F$2:F$801,$W26)))</f>
        <v/>
      </c>
      <c r="G26">
        <f>IF($W26="","",IF(INDEX('Per Invoice'!G$2:G$801,$W26)="","",INDEX('Per Invoice'!G$2:G$801,$W26)))</f>
        <v/>
      </c>
      <c r="H26">
        <f>IF($W26="","",IF(INDEX('Per Invoice'!H$2:H$801,$W26)="","",INDEX('Per Invoice'!H$2:H$801,$W26)))</f>
        <v/>
      </c>
      <c r="I26">
        <f>IF($W26="","",IF(INDEX('Per Invoice'!I$2:I$801,$W26)="","",INDEX('Per Invoice'!I$2:I$801,$W26)))</f>
        <v/>
      </c>
      <c r="J26">
        <f>IF($W26="","",IF(INDEX('Per Invoice'!J$2:J$801,$W26)="","",INDEX('Per Invoice'!J$2:J$801,$W26)))</f>
        <v/>
      </c>
      <c r="K26" s="7">
        <f>IF($W26="","",IF(INDEX('Per Invoice'!K$2:K$801,$W26)="","",INDEX('Per Invoice'!K$2:K$801,$W26)))</f>
        <v/>
      </c>
      <c r="L26" s="14">
        <f>IF($W26="","",IF(INDEX('Per Invoice'!L$2:L$801,$W26)="","",INDEX('Per Invoice'!L$2:L$801,$W26)))</f>
        <v/>
      </c>
      <c r="M26">
        <f>IF($W26="","",IF(INDEX('Per Invoice'!M$2:M$801,$W26)="","",INDEX('Per Invoice'!M$2:M$801,$W26)))</f>
        <v/>
      </c>
      <c r="N26" s="7">
        <f>IF($W26="","",IF(INDEX('Per Invoice'!N$2:N$801,$W26)="","",INDEX('Per Invoice'!N$2:N$801,$W26)))</f>
        <v/>
      </c>
      <c r="O26" s="7">
        <f>IF($W26="","",IF(INDEX('Per Invoice'!O$2:O$801,$W26)="","",INDEX('Per Invoice'!O$2:O$801,$W26)))</f>
        <v/>
      </c>
      <c r="P26">
        <f>IF($W26="","",IF(INDEX('Per Invoice'!P$2:P$801,$W26)="","",INDEX('Per Invoice'!P$2:P$801,$W26)))</f>
        <v/>
      </c>
      <c r="Q26" s="7">
        <f>IF($W26="","",IF(INDEX('Per Invoice'!Q$2:Q$801,$W26)="","",INDEX('Per Invoice'!Q$2:Q$801,$W26)))</f>
        <v/>
      </c>
      <c r="R26" s="7">
        <f>IF($W26="","",IF(INDEX('Per Invoice'!R$2:R$801,$W26)="","",INDEX('Per Invoice'!R$2:R$801,$W26)))</f>
        <v/>
      </c>
      <c r="S26" s="7">
        <f>IF($W26="","",IF(INDEX('Per Invoice'!S$2:S$801,$W26)="","",INDEX('Per Invoice'!S$2:S$801,$W26)))</f>
        <v/>
      </c>
      <c r="T26" s="7">
        <f>IF($W26="","",IF(INDEX('Per Invoice'!T$2:T$801,$W26)="","",INDEX('Per Invoice'!T$2:T$801,$W26)))</f>
        <v/>
      </c>
      <c r="U26" s="7">
        <f>IF($W26="","",IF(INDEX('Per Invoice'!U$2:U$801,$W26)="","",INDEX('Per Invoice'!U$2:U$801,$W26)))</f>
        <v/>
      </c>
      <c r="V26" s="7">
        <f>IF($W26="","",IF(INDEX('Per Invoice'!V$2:V$801,$W26)="","",INDEX('Per Invoice'!V$2:V$801,$W26)))</f>
        <v/>
      </c>
      <c r="W26" s="16">
        <f>IFERROR(MATCH(Settings!$C$29&amp;"|"&amp;ROWS($W$2:$W26),'Per Invoice'!$X$2:$X$801,0),"")</f>
        <v/>
      </c>
    </row>
    <row r="27">
      <c r="A27">
        <f>IF($W27="","",IF(INDEX('Per Invoice'!A$2:A$801,$W27)="","",INDEX('Per Invoice'!A$2:A$801,$W27)))</f>
        <v/>
      </c>
      <c r="B27">
        <f>IF($W27="","",IF(INDEX('Per Invoice'!B$2:B$801,$W27)="","",INDEX('Per Invoice'!B$2:B$801,$W27)))</f>
        <v/>
      </c>
      <c r="C27">
        <f>IF($W27="","",IF(INDEX('Per Invoice'!C$2:C$801,$W27)="","",INDEX('Per Invoice'!C$2:C$801,$W27)))</f>
        <v/>
      </c>
      <c r="D27">
        <f>IF($W27="","",IF(INDEX('Per Invoice'!D$2:D$801,$W27)="","",INDEX('Per Invoice'!D$2:D$801,$W27)))</f>
        <v/>
      </c>
      <c r="E27">
        <f>IF($W27="","",IF(INDEX('Per Invoice'!E$2:E$801,$W27)="","",INDEX('Per Invoice'!E$2:E$801,$W27)))</f>
        <v/>
      </c>
      <c r="F27">
        <f>IF($W27="","",IF(INDEX('Per Invoice'!F$2:F$801,$W27)="","",INDEX('Per Invoice'!F$2:F$801,$W27)))</f>
        <v/>
      </c>
      <c r="G27">
        <f>IF($W27="","",IF(INDEX('Per Invoice'!G$2:G$801,$W27)="","",INDEX('Per Invoice'!G$2:G$801,$W27)))</f>
        <v/>
      </c>
      <c r="H27">
        <f>IF($W27="","",IF(INDEX('Per Invoice'!H$2:H$801,$W27)="","",INDEX('Per Invoice'!H$2:H$801,$W27)))</f>
        <v/>
      </c>
      <c r="I27">
        <f>IF($W27="","",IF(INDEX('Per Invoice'!I$2:I$801,$W27)="","",INDEX('Per Invoice'!I$2:I$801,$W27)))</f>
        <v/>
      </c>
      <c r="J27">
        <f>IF($W27="","",IF(INDEX('Per Invoice'!J$2:J$801,$W27)="","",INDEX('Per Invoice'!J$2:J$801,$W27)))</f>
        <v/>
      </c>
      <c r="K27" s="7">
        <f>IF($W27="","",IF(INDEX('Per Invoice'!K$2:K$801,$W27)="","",INDEX('Per Invoice'!K$2:K$801,$W27)))</f>
        <v/>
      </c>
      <c r="L27" s="14">
        <f>IF($W27="","",IF(INDEX('Per Invoice'!L$2:L$801,$W27)="","",INDEX('Per Invoice'!L$2:L$801,$W27)))</f>
        <v/>
      </c>
      <c r="M27">
        <f>IF($W27="","",IF(INDEX('Per Invoice'!M$2:M$801,$W27)="","",INDEX('Per Invoice'!M$2:M$801,$W27)))</f>
        <v/>
      </c>
      <c r="N27" s="7">
        <f>IF($W27="","",IF(INDEX('Per Invoice'!N$2:N$801,$W27)="","",INDEX('Per Invoice'!N$2:N$801,$W27)))</f>
        <v/>
      </c>
      <c r="O27" s="7">
        <f>IF($W27="","",IF(INDEX('Per Invoice'!O$2:O$801,$W27)="","",INDEX('Per Invoice'!O$2:O$801,$W27)))</f>
        <v/>
      </c>
      <c r="P27">
        <f>IF($W27="","",IF(INDEX('Per Invoice'!P$2:P$801,$W27)="","",INDEX('Per Invoice'!P$2:P$801,$W27)))</f>
        <v/>
      </c>
      <c r="Q27" s="7">
        <f>IF($W27="","",IF(INDEX('Per Invoice'!Q$2:Q$801,$W27)="","",INDEX('Per Invoice'!Q$2:Q$801,$W27)))</f>
        <v/>
      </c>
      <c r="R27" s="7">
        <f>IF($W27="","",IF(INDEX('Per Invoice'!R$2:R$801,$W27)="","",INDEX('Per Invoice'!R$2:R$801,$W27)))</f>
        <v/>
      </c>
      <c r="S27" s="7">
        <f>IF($W27="","",IF(INDEX('Per Invoice'!S$2:S$801,$W27)="","",INDEX('Per Invoice'!S$2:S$801,$W27)))</f>
        <v/>
      </c>
      <c r="T27" s="7">
        <f>IF($W27="","",IF(INDEX('Per Invoice'!T$2:T$801,$W27)="","",INDEX('Per Invoice'!T$2:T$801,$W27)))</f>
        <v/>
      </c>
      <c r="U27" s="7">
        <f>IF($W27="","",IF(INDEX('Per Invoice'!U$2:U$801,$W27)="","",INDEX('Per Invoice'!U$2:U$801,$W27)))</f>
        <v/>
      </c>
      <c r="V27" s="7">
        <f>IF($W27="","",IF(INDEX('Per Invoice'!V$2:V$801,$W27)="","",INDEX('Per Invoice'!V$2:V$801,$W27)))</f>
        <v/>
      </c>
      <c r="W27" s="16">
        <f>IFERROR(MATCH(Settings!$C$29&amp;"|"&amp;ROWS($W$2:$W27),'Per Invoice'!$X$2:$X$801,0),"")</f>
        <v/>
      </c>
    </row>
    <row r="28">
      <c r="A28">
        <f>IF($W28="","",IF(INDEX('Per Invoice'!A$2:A$801,$W28)="","",INDEX('Per Invoice'!A$2:A$801,$W28)))</f>
        <v/>
      </c>
      <c r="B28">
        <f>IF($W28="","",IF(INDEX('Per Invoice'!B$2:B$801,$W28)="","",INDEX('Per Invoice'!B$2:B$801,$W28)))</f>
        <v/>
      </c>
      <c r="C28">
        <f>IF($W28="","",IF(INDEX('Per Invoice'!C$2:C$801,$W28)="","",INDEX('Per Invoice'!C$2:C$801,$W28)))</f>
        <v/>
      </c>
      <c r="D28">
        <f>IF($W28="","",IF(INDEX('Per Invoice'!D$2:D$801,$W28)="","",INDEX('Per Invoice'!D$2:D$801,$W28)))</f>
        <v/>
      </c>
      <c r="E28">
        <f>IF($W28="","",IF(INDEX('Per Invoice'!E$2:E$801,$W28)="","",INDEX('Per Invoice'!E$2:E$801,$W28)))</f>
        <v/>
      </c>
      <c r="F28">
        <f>IF($W28="","",IF(INDEX('Per Invoice'!F$2:F$801,$W28)="","",INDEX('Per Invoice'!F$2:F$801,$W28)))</f>
        <v/>
      </c>
      <c r="G28">
        <f>IF($W28="","",IF(INDEX('Per Invoice'!G$2:G$801,$W28)="","",INDEX('Per Invoice'!G$2:G$801,$W28)))</f>
        <v/>
      </c>
      <c r="H28">
        <f>IF($W28="","",IF(INDEX('Per Invoice'!H$2:H$801,$W28)="","",INDEX('Per Invoice'!H$2:H$801,$W28)))</f>
        <v/>
      </c>
      <c r="I28">
        <f>IF($W28="","",IF(INDEX('Per Invoice'!I$2:I$801,$W28)="","",INDEX('Per Invoice'!I$2:I$801,$W28)))</f>
        <v/>
      </c>
      <c r="J28">
        <f>IF($W28="","",IF(INDEX('Per Invoice'!J$2:J$801,$W28)="","",INDEX('Per Invoice'!J$2:J$801,$W28)))</f>
        <v/>
      </c>
      <c r="K28" s="7">
        <f>IF($W28="","",IF(INDEX('Per Invoice'!K$2:K$801,$W28)="","",INDEX('Per Invoice'!K$2:K$801,$W28)))</f>
        <v/>
      </c>
      <c r="L28" s="14">
        <f>IF($W28="","",IF(INDEX('Per Invoice'!L$2:L$801,$W28)="","",INDEX('Per Invoice'!L$2:L$801,$W28)))</f>
        <v/>
      </c>
      <c r="M28">
        <f>IF($W28="","",IF(INDEX('Per Invoice'!M$2:M$801,$W28)="","",INDEX('Per Invoice'!M$2:M$801,$W28)))</f>
        <v/>
      </c>
      <c r="N28" s="7">
        <f>IF($W28="","",IF(INDEX('Per Invoice'!N$2:N$801,$W28)="","",INDEX('Per Invoice'!N$2:N$801,$W28)))</f>
        <v/>
      </c>
      <c r="O28" s="7">
        <f>IF($W28="","",IF(INDEX('Per Invoice'!O$2:O$801,$W28)="","",INDEX('Per Invoice'!O$2:O$801,$W28)))</f>
        <v/>
      </c>
      <c r="P28">
        <f>IF($W28="","",IF(INDEX('Per Invoice'!P$2:P$801,$W28)="","",INDEX('Per Invoice'!P$2:P$801,$W28)))</f>
        <v/>
      </c>
      <c r="Q28" s="7">
        <f>IF($W28="","",IF(INDEX('Per Invoice'!Q$2:Q$801,$W28)="","",INDEX('Per Invoice'!Q$2:Q$801,$W28)))</f>
        <v/>
      </c>
      <c r="R28" s="7">
        <f>IF($W28="","",IF(INDEX('Per Invoice'!R$2:R$801,$W28)="","",INDEX('Per Invoice'!R$2:R$801,$W28)))</f>
        <v/>
      </c>
      <c r="S28" s="7">
        <f>IF($W28="","",IF(INDEX('Per Invoice'!S$2:S$801,$W28)="","",INDEX('Per Invoice'!S$2:S$801,$W28)))</f>
        <v/>
      </c>
      <c r="T28" s="7">
        <f>IF($W28="","",IF(INDEX('Per Invoice'!T$2:T$801,$W28)="","",INDEX('Per Invoice'!T$2:T$801,$W28)))</f>
        <v/>
      </c>
      <c r="U28" s="7">
        <f>IF($W28="","",IF(INDEX('Per Invoice'!U$2:U$801,$W28)="","",INDEX('Per Invoice'!U$2:U$801,$W28)))</f>
        <v/>
      </c>
      <c r="V28" s="7">
        <f>IF($W28="","",IF(INDEX('Per Invoice'!V$2:V$801,$W28)="","",INDEX('Per Invoice'!V$2:V$801,$W28)))</f>
        <v/>
      </c>
      <c r="W28" s="16">
        <f>IFERROR(MATCH(Settings!$C$29&amp;"|"&amp;ROWS($W$2:$W28),'Per Invoice'!$X$2:$X$801,0),"")</f>
        <v/>
      </c>
    </row>
    <row r="29">
      <c r="A29">
        <f>IF($W29="","",IF(INDEX('Per Invoice'!A$2:A$801,$W29)="","",INDEX('Per Invoice'!A$2:A$801,$W29)))</f>
        <v/>
      </c>
      <c r="B29">
        <f>IF($W29="","",IF(INDEX('Per Invoice'!B$2:B$801,$W29)="","",INDEX('Per Invoice'!B$2:B$801,$W29)))</f>
        <v/>
      </c>
      <c r="C29">
        <f>IF($W29="","",IF(INDEX('Per Invoice'!C$2:C$801,$W29)="","",INDEX('Per Invoice'!C$2:C$801,$W29)))</f>
        <v/>
      </c>
      <c r="D29">
        <f>IF($W29="","",IF(INDEX('Per Invoice'!D$2:D$801,$W29)="","",INDEX('Per Invoice'!D$2:D$801,$W29)))</f>
        <v/>
      </c>
      <c r="E29">
        <f>IF($W29="","",IF(INDEX('Per Invoice'!E$2:E$801,$W29)="","",INDEX('Per Invoice'!E$2:E$801,$W29)))</f>
        <v/>
      </c>
      <c r="F29">
        <f>IF($W29="","",IF(INDEX('Per Invoice'!F$2:F$801,$W29)="","",INDEX('Per Invoice'!F$2:F$801,$W29)))</f>
        <v/>
      </c>
      <c r="G29">
        <f>IF($W29="","",IF(INDEX('Per Invoice'!G$2:G$801,$W29)="","",INDEX('Per Invoice'!G$2:G$801,$W29)))</f>
        <v/>
      </c>
      <c r="H29">
        <f>IF($W29="","",IF(INDEX('Per Invoice'!H$2:H$801,$W29)="","",INDEX('Per Invoice'!H$2:H$801,$W29)))</f>
        <v/>
      </c>
      <c r="I29">
        <f>IF($W29="","",IF(INDEX('Per Invoice'!I$2:I$801,$W29)="","",INDEX('Per Invoice'!I$2:I$801,$W29)))</f>
        <v/>
      </c>
      <c r="J29">
        <f>IF($W29="","",IF(INDEX('Per Invoice'!J$2:J$801,$W29)="","",INDEX('Per Invoice'!J$2:J$801,$W29)))</f>
        <v/>
      </c>
      <c r="K29" s="7">
        <f>IF($W29="","",IF(INDEX('Per Invoice'!K$2:K$801,$W29)="","",INDEX('Per Invoice'!K$2:K$801,$W29)))</f>
        <v/>
      </c>
      <c r="L29" s="14">
        <f>IF($W29="","",IF(INDEX('Per Invoice'!L$2:L$801,$W29)="","",INDEX('Per Invoice'!L$2:L$801,$W29)))</f>
        <v/>
      </c>
      <c r="M29">
        <f>IF($W29="","",IF(INDEX('Per Invoice'!M$2:M$801,$W29)="","",INDEX('Per Invoice'!M$2:M$801,$W29)))</f>
        <v/>
      </c>
      <c r="N29" s="7">
        <f>IF($W29="","",IF(INDEX('Per Invoice'!N$2:N$801,$W29)="","",INDEX('Per Invoice'!N$2:N$801,$W29)))</f>
        <v/>
      </c>
      <c r="O29" s="7">
        <f>IF($W29="","",IF(INDEX('Per Invoice'!O$2:O$801,$W29)="","",INDEX('Per Invoice'!O$2:O$801,$W29)))</f>
        <v/>
      </c>
      <c r="P29">
        <f>IF($W29="","",IF(INDEX('Per Invoice'!P$2:P$801,$W29)="","",INDEX('Per Invoice'!P$2:P$801,$W29)))</f>
        <v/>
      </c>
      <c r="Q29" s="7">
        <f>IF($W29="","",IF(INDEX('Per Invoice'!Q$2:Q$801,$W29)="","",INDEX('Per Invoice'!Q$2:Q$801,$W29)))</f>
        <v/>
      </c>
      <c r="R29" s="7">
        <f>IF($W29="","",IF(INDEX('Per Invoice'!R$2:R$801,$W29)="","",INDEX('Per Invoice'!R$2:R$801,$W29)))</f>
        <v/>
      </c>
      <c r="S29" s="7">
        <f>IF($W29="","",IF(INDEX('Per Invoice'!S$2:S$801,$W29)="","",INDEX('Per Invoice'!S$2:S$801,$W29)))</f>
        <v/>
      </c>
      <c r="T29" s="7">
        <f>IF($W29="","",IF(INDEX('Per Invoice'!T$2:T$801,$W29)="","",INDEX('Per Invoice'!T$2:T$801,$W29)))</f>
        <v/>
      </c>
      <c r="U29" s="7">
        <f>IF($W29="","",IF(INDEX('Per Invoice'!U$2:U$801,$W29)="","",INDEX('Per Invoice'!U$2:U$801,$W29)))</f>
        <v/>
      </c>
      <c r="V29" s="7">
        <f>IF($W29="","",IF(INDEX('Per Invoice'!V$2:V$801,$W29)="","",INDEX('Per Invoice'!V$2:V$801,$W29)))</f>
        <v/>
      </c>
      <c r="W29" s="16">
        <f>IFERROR(MATCH(Settings!$C$29&amp;"|"&amp;ROWS($W$2:$W29),'Per Invoice'!$X$2:$X$801,0),"")</f>
        <v/>
      </c>
    </row>
    <row r="30">
      <c r="A30">
        <f>IF($W30="","",IF(INDEX('Per Invoice'!A$2:A$801,$W30)="","",INDEX('Per Invoice'!A$2:A$801,$W30)))</f>
        <v/>
      </c>
      <c r="B30">
        <f>IF($W30="","",IF(INDEX('Per Invoice'!B$2:B$801,$W30)="","",INDEX('Per Invoice'!B$2:B$801,$W30)))</f>
        <v/>
      </c>
      <c r="C30">
        <f>IF($W30="","",IF(INDEX('Per Invoice'!C$2:C$801,$W30)="","",INDEX('Per Invoice'!C$2:C$801,$W30)))</f>
        <v/>
      </c>
      <c r="D30">
        <f>IF($W30="","",IF(INDEX('Per Invoice'!D$2:D$801,$W30)="","",INDEX('Per Invoice'!D$2:D$801,$W30)))</f>
        <v/>
      </c>
      <c r="E30">
        <f>IF($W30="","",IF(INDEX('Per Invoice'!E$2:E$801,$W30)="","",INDEX('Per Invoice'!E$2:E$801,$W30)))</f>
        <v/>
      </c>
      <c r="F30">
        <f>IF($W30="","",IF(INDEX('Per Invoice'!F$2:F$801,$W30)="","",INDEX('Per Invoice'!F$2:F$801,$W30)))</f>
        <v/>
      </c>
      <c r="G30">
        <f>IF($W30="","",IF(INDEX('Per Invoice'!G$2:G$801,$W30)="","",INDEX('Per Invoice'!G$2:G$801,$W30)))</f>
        <v/>
      </c>
      <c r="H30">
        <f>IF($W30="","",IF(INDEX('Per Invoice'!H$2:H$801,$W30)="","",INDEX('Per Invoice'!H$2:H$801,$W30)))</f>
        <v/>
      </c>
      <c r="I30">
        <f>IF($W30="","",IF(INDEX('Per Invoice'!I$2:I$801,$W30)="","",INDEX('Per Invoice'!I$2:I$801,$W30)))</f>
        <v/>
      </c>
      <c r="J30">
        <f>IF($W30="","",IF(INDEX('Per Invoice'!J$2:J$801,$W30)="","",INDEX('Per Invoice'!J$2:J$801,$W30)))</f>
        <v/>
      </c>
      <c r="K30" s="7">
        <f>IF($W30="","",IF(INDEX('Per Invoice'!K$2:K$801,$W30)="","",INDEX('Per Invoice'!K$2:K$801,$W30)))</f>
        <v/>
      </c>
      <c r="L30" s="14">
        <f>IF($W30="","",IF(INDEX('Per Invoice'!L$2:L$801,$W30)="","",INDEX('Per Invoice'!L$2:L$801,$W30)))</f>
        <v/>
      </c>
      <c r="M30">
        <f>IF($W30="","",IF(INDEX('Per Invoice'!M$2:M$801,$W30)="","",INDEX('Per Invoice'!M$2:M$801,$W30)))</f>
        <v/>
      </c>
      <c r="N30" s="7">
        <f>IF($W30="","",IF(INDEX('Per Invoice'!N$2:N$801,$W30)="","",INDEX('Per Invoice'!N$2:N$801,$W30)))</f>
        <v/>
      </c>
      <c r="O30" s="7">
        <f>IF($W30="","",IF(INDEX('Per Invoice'!O$2:O$801,$W30)="","",INDEX('Per Invoice'!O$2:O$801,$W30)))</f>
        <v/>
      </c>
      <c r="P30">
        <f>IF($W30="","",IF(INDEX('Per Invoice'!P$2:P$801,$W30)="","",INDEX('Per Invoice'!P$2:P$801,$W30)))</f>
        <v/>
      </c>
      <c r="Q30" s="7">
        <f>IF($W30="","",IF(INDEX('Per Invoice'!Q$2:Q$801,$W30)="","",INDEX('Per Invoice'!Q$2:Q$801,$W30)))</f>
        <v/>
      </c>
      <c r="R30" s="7">
        <f>IF($W30="","",IF(INDEX('Per Invoice'!R$2:R$801,$W30)="","",INDEX('Per Invoice'!R$2:R$801,$W30)))</f>
        <v/>
      </c>
      <c r="S30" s="7">
        <f>IF($W30="","",IF(INDEX('Per Invoice'!S$2:S$801,$W30)="","",INDEX('Per Invoice'!S$2:S$801,$W30)))</f>
        <v/>
      </c>
      <c r="T30" s="7">
        <f>IF($W30="","",IF(INDEX('Per Invoice'!T$2:T$801,$W30)="","",INDEX('Per Invoice'!T$2:T$801,$W30)))</f>
        <v/>
      </c>
      <c r="U30" s="7">
        <f>IF($W30="","",IF(INDEX('Per Invoice'!U$2:U$801,$W30)="","",INDEX('Per Invoice'!U$2:U$801,$W30)))</f>
        <v/>
      </c>
      <c r="V30" s="7">
        <f>IF($W30="","",IF(INDEX('Per Invoice'!V$2:V$801,$W30)="","",INDEX('Per Invoice'!V$2:V$801,$W30)))</f>
        <v/>
      </c>
      <c r="W30" s="16">
        <f>IFERROR(MATCH(Settings!$C$29&amp;"|"&amp;ROWS($W$2:$W30),'Per Invoice'!$X$2:$X$801,0),"")</f>
        <v/>
      </c>
    </row>
    <row r="31">
      <c r="A31">
        <f>IF($W31="","",IF(INDEX('Per Invoice'!A$2:A$801,$W31)="","",INDEX('Per Invoice'!A$2:A$801,$W31)))</f>
        <v/>
      </c>
      <c r="B31">
        <f>IF($W31="","",IF(INDEX('Per Invoice'!B$2:B$801,$W31)="","",INDEX('Per Invoice'!B$2:B$801,$W31)))</f>
        <v/>
      </c>
      <c r="C31">
        <f>IF($W31="","",IF(INDEX('Per Invoice'!C$2:C$801,$W31)="","",INDEX('Per Invoice'!C$2:C$801,$W31)))</f>
        <v/>
      </c>
      <c r="D31">
        <f>IF($W31="","",IF(INDEX('Per Invoice'!D$2:D$801,$W31)="","",INDEX('Per Invoice'!D$2:D$801,$W31)))</f>
        <v/>
      </c>
      <c r="E31">
        <f>IF($W31="","",IF(INDEX('Per Invoice'!E$2:E$801,$W31)="","",INDEX('Per Invoice'!E$2:E$801,$W31)))</f>
        <v/>
      </c>
      <c r="F31">
        <f>IF($W31="","",IF(INDEX('Per Invoice'!F$2:F$801,$W31)="","",INDEX('Per Invoice'!F$2:F$801,$W31)))</f>
        <v/>
      </c>
      <c r="G31">
        <f>IF($W31="","",IF(INDEX('Per Invoice'!G$2:G$801,$W31)="","",INDEX('Per Invoice'!G$2:G$801,$W31)))</f>
        <v/>
      </c>
      <c r="H31">
        <f>IF($W31="","",IF(INDEX('Per Invoice'!H$2:H$801,$W31)="","",INDEX('Per Invoice'!H$2:H$801,$W31)))</f>
        <v/>
      </c>
      <c r="I31">
        <f>IF($W31="","",IF(INDEX('Per Invoice'!I$2:I$801,$W31)="","",INDEX('Per Invoice'!I$2:I$801,$W31)))</f>
        <v/>
      </c>
      <c r="J31">
        <f>IF($W31="","",IF(INDEX('Per Invoice'!J$2:J$801,$W31)="","",INDEX('Per Invoice'!J$2:J$801,$W31)))</f>
        <v/>
      </c>
      <c r="K31" s="7">
        <f>IF($W31="","",IF(INDEX('Per Invoice'!K$2:K$801,$W31)="","",INDEX('Per Invoice'!K$2:K$801,$W31)))</f>
        <v/>
      </c>
      <c r="L31" s="14">
        <f>IF($W31="","",IF(INDEX('Per Invoice'!L$2:L$801,$W31)="","",INDEX('Per Invoice'!L$2:L$801,$W31)))</f>
        <v/>
      </c>
      <c r="M31">
        <f>IF($W31="","",IF(INDEX('Per Invoice'!M$2:M$801,$W31)="","",INDEX('Per Invoice'!M$2:M$801,$W31)))</f>
        <v/>
      </c>
      <c r="N31" s="7">
        <f>IF($W31="","",IF(INDEX('Per Invoice'!N$2:N$801,$W31)="","",INDEX('Per Invoice'!N$2:N$801,$W31)))</f>
        <v/>
      </c>
      <c r="O31" s="7">
        <f>IF($W31="","",IF(INDEX('Per Invoice'!O$2:O$801,$W31)="","",INDEX('Per Invoice'!O$2:O$801,$W31)))</f>
        <v/>
      </c>
      <c r="P31">
        <f>IF($W31="","",IF(INDEX('Per Invoice'!P$2:P$801,$W31)="","",INDEX('Per Invoice'!P$2:P$801,$W31)))</f>
        <v/>
      </c>
      <c r="Q31" s="7">
        <f>IF($W31="","",IF(INDEX('Per Invoice'!Q$2:Q$801,$W31)="","",INDEX('Per Invoice'!Q$2:Q$801,$W31)))</f>
        <v/>
      </c>
      <c r="R31" s="7">
        <f>IF($W31="","",IF(INDEX('Per Invoice'!R$2:R$801,$W31)="","",INDEX('Per Invoice'!R$2:R$801,$W31)))</f>
        <v/>
      </c>
      <c r="S31" s="7">
        <f>IF($W31="","",IF(INDEX('Per Invoice'!S$2:S$801,$W31)="","",INDEX('Per Invoice'!S$2:S$801,$W31)))</f>
        <v/>
      </c>
      <c r="T31" s="7">
        <f>IF($W31="","",IF(INDEX('Per Invoice'!T$2:T$801,$W31)="","",INDEX('Per Invoice'!T$2:T$801,$W31)))</f>
        <v/>
      </c>
      <c r="U31" s="7">
        <f>IF($W31="","",IF(INDEX('Per Invoice'!U$2:U$801,$W31)="","",INDEX('Per Invoice'!U$2:U$801,$W31)))</f>
        <v/>
      </c>
      <c r="V31" s="7">
        <f>IF($W31="","",IF(INDEX('Per Invoice'!V$2:V$801,$W31)="","",INDEX('Per Invoice'!V$2:V$801,$W31)))</f>
        <v/>
      </c>
      <c r="W31" s="16">
        <f>IFERROR(MATCH(Settings!$C$29&amp;"|"&amp;ROWS($W$2:$W31),'Per Invoice'!$X$2:$X$801,0),"")</f>
        <v/>
      </c>
    </row>
    <row r="32">
      <c r="A32">
        <f>IF($W32="","",IF(INDEX('Per Invoice'!A$2:A$801,$W32)="","",INDEX('Per Invoice'!A$2:A$801,$W32)))</f>
        <v/>
      </c>
      <c r="B32">
        <f>IF($W32="","",IF(INDEX('Per Invoice'!B$2:B$801,$W32)="","",INDEX('Per Invoice'!B$2:B$801,$W32)))</f>
        <v/>
      </c>
      <c r="C32">
        <f>IF($W32="","",IF(INDEX('Per Invoice'!C$2:C$801,$W32)="","",INDEX('Per Invoice'!C$2:C$801,$W32)))</f>
        <v/>
      </c>
      <c r="D32">
        <f>IF($W32="","",IF(INDEX('Per Invoice'!D$2:D$801,$W32)="","",INDEX('Per Invoice'!D$2:D$801,$W32)))</f>
        <v/>
      </c>
      <c r="E32">
        <f>IF($W32="","",IF(INDEX('Per Invoice'!E$2:E$801,$W32)="","",INDEX('Per Invoice'!E$2:E$801,$W32)))</f>
        <v/>
      </c>
      <c r="F32">
        <f>IF($W32="","",IF(INDEX('Per Invoice'!F$2:F$801,$W32)="","",INDEX('Per Invoice'!F$2:F$801,$W32)))</f>
        <v/>
      </c>
      <c r="G32">
        <f>IF($W32="","",IF(INDEX('Per Invoice'!G$2:G$801,$W32)="","",INDEX('Per Invoice'!G$2:G$801,$W32)))</f>
        <v/>
      </c>
      <c r="H32">
        <f>IF($W32="","",IF(INDEX('Per Invoice'!H$2:H$801,$W32)="","",INDEX('Per Invoice'!H$2:H$801,$W32)))</f>
        <v/>
      </c>
      <c r="I32">
        <f>IF($W32="","",IF(INDEX('Per Invoice'!I$2:I$801,$W32)="","",INDEX('Per Invoice'!I$2:I$801,$W32)))</f>
        <v/>
      </c>
      <c r="J32">
        <f>IF($W32="","",IF(INDEX('Per Invoice'!J$2:J$801,$W32)="","",INDEX('Per Invoice'!J$2:J$801,$W32)))</f>
        <v/>
      </c>
      <c r="K32" s="7">
        <f>IF($W32="","",IF(INDEX('Per Invoice'!K$2:K$801,$W32)="","",INDEX('Per Invoice'!K$2:K$801,$W32)))</f>
        <v/>
      </c>
      <c r="L32" s="14">
        <f>IF($W32="","",IF(INDEX('Per Invoice'!L$2:L$801,$W32)="","",INDEX('Per Invoice'!L$2:L$801,$W32)))</f>
        <v/>
      </c>
      <c r="M32">
        <f>IF($W32="","",IF(INDEX('Per Invoice'!M$2:M$801,$W32)="","",INDEX('Per Invoice'!M$2:M$801,$W32)))</f>
        <v/>
      </c>
      <c r="N32" s="7">
        <f>IF($W32="","",IF(INDEX('Per Invoice'!N$2:N$801,$W32)="","",INDEX('Per Invoice'!N$2:N$801,$W32)))</f>
        <v/>
      </c>
      <c r="O32" s="7">
        <f>IF($W32="","",IF(INDEX('Per Invoice'!O$2:O$801,$W32)="","",INDEX('Per Invoice'!O$2:O$801,$W32)))</f>
        <v/>
      </c>
      <c r="P32">
        <f>IF($W32="","",IF(INDEX('Per Invoice'!P$2:P$801,$W32)="","",INDEX('Per Invoice'!P$2:P$801,$W32)))</f>
        <v/>
      </c>
      <c r="Q32" s="7">
        <f>IF($W32="","",IF(INDEX('Per Invoice'!Q$2:Q$801,$W32)="","",INDEX('Per Invoice'!Q$2:Q$801,$W32)))</f>
        <v/>
      </c>
      <c r="R32" s="7">
        <f>IF($W32="","",IF(INDEX('Per Invoice'!R$2:R$801,$W32)="","",INDEX('Per Invoice'!R$2:R$801,$W32)))</f>
        <v/>
      </c>
      <c r="S32" s="7">
        <f>IF($W32="","",IF(INDEX('Per Invoice'!S$2:S$801,$W32)="","",INDEX('Per Invoice'!S$2:S$801,$W32)))</f>
        <v/>
      </c>
      <c r="T32" s="7">
        <f>IF($W32="","",IF(INDEX('Per Invoice'!T$2:T$801,$W32)="","",INDEX('Per Invoice'!T$2:T$801,$W32)))</f>
        <v/>
      </c>
      <c r="U32" s="7">
        <f>IF($W32="","",IF(INDEX('Per Invoice'!U$2:U$801,$W32)="","",INDEX('Per Invoice'!U$2:U$801,$W32)))</f>
        <v/>
      </c>
      <c r="V32" s="7">
        <f>IF($W32="","",IF(INDEX('Per Invoice'!V$2:V$801,$W32)="","",INDEX('Per Invoice'!V$2:V$801,$W32)))</f>
        <v/>
      </c>
      <c r="W32" s="16">
        <f>IFERROR(MATCH(Settings!$C$29&amp;"|"&amp;ROWS($W$2:$W32),'Per Invoice'!$X$2:$X$801,0),"")</f>
        <v/>
      </c>
    </row>
    <row r="33">
      <c r="A33">
        <f>IF($W33="","",IF(INDEX('Per Invoice'!A$2:A$801,$W33)="","",INDEX('Per Invoice'!A$2:A$801,$W33)))</f>
        <v/>
      </c>
      <c r="B33">
        <f>IF($W33="","",IF(INDEX('Per Invoice'!B$2:B$801,$W33)="","",INDEX('Per Invoice'!B$2:B$801,$W33)))</f>
        <v/>
      </c>
      <c r="C33">
        <f>IF($W33="","",IF(INDEX('Per Invoice'!C$2:C$801,$W33)="","",INDEX('Per Invoice'!C$2:C$801,$W33)))</f>
        <v/>
      </c>
      <c r="D33">
        <f>IF($W33="","",IF(INDEX('Per Invoice'!D$2:D$801,$W33)="","",INDEX('Per Invoice'!D$2:D$801,$W33)))</f>
        <v/>
      </c>
      <c r="E33">
        <f>IF($W33="","",IF(INDEX('Per Invoice'!E$2:E$801,$W33)="","",INDEX('Per Invoice'!E$2:E$801,$W33)))</f>
        <v/>
      </c>
      <c r="F33">
        <f>IF($W33="","",IF(INDEX('Per Invoice'!F$2:F$801,$W33)="","",INDEX('Per Invoice'!F$2:F$801,$W33)))</f>
        <v/>
      </c>
      <c r="G33">
        <f>IF($W33="","",IF(INDEX('Per Invoice'!G$2:G$801,$W33)="","",INDEX('Per Invoice'!G$2:G$801,$W33)))</f>
        <v/>
      </c>
      <c r="H33">
        <f>IF($W33="","",IF(INDEX('Per Invoice'!H$2:H$801,$W33)="","",INDEX('Per Invoice'!H$2:H$801,$W33)))</f>
        <v/>
      </c>
      <c r="I33">
        <f>IF($W33="","",IF(INDEX('Per Invoice'!I$2:I$801,$W33)="","",INDEX('Per Invoice'!I$2:I$801,$W33)))</f>
        <v/>
      </c>
      <c r="J33">
        <f>IF($W33="","",IF(INDEX('Per Invoice'!J$2:J$801,$W33)="","",INDEX('Per Invoice'!J$2:J$801,$W33)))</f>
        <v/>
      </c>
      <c r="K33" s="7">
        <f>IF($W33="","",IF(INDEX('Per Invoice'!K$2:K$801,$W33)="","",INDEX('Per Invoice'!K$2:K$801,$W33)))</f>
        <v/>
      </c>
      <c r="L33" s="14">
        <f>IF($W33="","",IF(INDEX('Per Invoice'!L$2:L$801,$W33)="","",INDEX('Per Invoice'!L$2:L$801,$W33)))</f>
        <v/>
      </c>
      <c r="M33">
        <f>IF($W33="","",IF(INDEX('Per Invoice'!M$2:M$801,$W33)="","",INDEX('Per Invoice'!M$2:M$801,$W33)))</f>
        <v/>
      </c>
      <c r="N33" s="7">
        <f>IF($W33="","",IF(INDEX('Per Invoice'!N$2:N$801,$W33)="","",INDEX('Per Invoice'!N$2:N$801,$W33)))</f>
        <v/>
      </c>
      <c r="O33" s="7">
        <f>IF($W33="","",IF(INDEX('Per Invoice'!O$2:O$801,$W33)="","",INDEX('Per Invoice'!O$2:O$801,$W33)))</f>
        <v/>
      </c>
      <c r="P33">
        <f>IF($W33="","",IF(INDEX('Per Invoice'!P$2:P$801,$W33)="","",INDEX('Per Invoice'!P$2:P$801,$W33)))</f>
        <v/>
      </c>
      <c r="Q33" s="7">
        <f>IF($W33="","",IF(INDEX('Per Invoice'!Q$2:Q$801,$W33)="","",INDEX('Per Invoice'!Q$2:Q$801,$W33)))</f>
        <v/>
      </c>
      <c r="R33" s="7">
        <f>IF($W33="","",IF(INDEX('Per Invoice'!R$2:R$801,$W33)="","",INDEX('Per Invoice'!R$2:R$801,$W33)))</f>
        <v/>
      </c>
      <c r="S33" s="7">
        <f>IF($W33="","",IF(INDEX('Per Invoice'!S$2:S$801,$W33)="","",INDEX('Per Invoice'!S$2:S$801,$W33)))</f>
        <v/>
      </c>
      <c r="T33" s="7">
        <f>IF($W33="","",IF(INDEX('Per Invoice'!T$2:T$801,$W33)="","",INDEX('Per Invoice'!T$2:T$801,$W33)))</f>
        <v/>
      </c>
      <c r="U33" s="7">
        <f>IF($W33="","",IF(INDEX('Per Invoice'!U$2:U$801,$W33)="","",INDEX('Per Invoice'!U$2:U$801,$W33)))</f>
        <v/>
      </c>
      <c r="V33" s="7">
        <f>IF($W33="","",IF(INDEX('Per Invoice'!V$2:V$801,$W33)="","",INDEX('Per Invoice'!V$2:V$801,$W33)))</f>
        <v/>
      </c>
      <c r="W33" s="16">
        <f>IFERROR(MATCH(Settings!$C$29&amp;"|"&amp;ROWS($W$2:$W33),'Per Invoice'!$X$2:$X$801,0),"")</f>
        <v/>
      </c>
    </row>
    <row r="34">
      <c r="A34">
        <f>IF($W34="","",IF(INDEX('Per Invoice'!A$2:A$801,$W34)="","",INDEX('Per Invoice'!A$2:A$801,$W34)))</f>
        <v/>
      </c>
      <c r="B34">
        <f>IF($W34="","",IF(INDEX('Per Invoice'!B$2:B$801,$W34)="","",INDEX('Per Invoice'!B$2:B$801,$W34)))</f>
        <v/>
      </c>
      <c r="C34">
        <f>IF($W34="","",IF(INDEX('Per Invoice'!C$2:C$801,$W34)="","",INDEX('Per Invoice'!C$2:C$801,$W34)))</f>
        <v/>
      </c>
      <c r="D34">
        <f>IF($W34="","",IF(INDEX('Per Invoice'!D$2:D$801,$W34)="","",INDEX('Per Invoice'!D$2:D$801,$W34)))</f>
        <v/>
      </c>
      <c r="E34">
        <f>IF($W34="","",IF(INDEX('Per Invoice'!E$2:E$801,$W34)="","",INDEX('Per Invoice'!E$2:E$801,$W34)))</f>
        <v/>
      </c>
      <c r="F34">
        <f>IF($W34="","",IF(INDEX('Per Invoice'!F$2:F$801,$W34)="","",INDEX('Per Invoice'!F$2:F$801,$W34)))</f>
        <v/>
      </c>
      <c r="G34">
        <f>IF($W34="","",IF(INDEX('Per Invoice'!G$2:G$801,$W34)="","",INDEX('Per Invoice'!G$2:G$801,$W34)))</f>
        <v/>
      </c>
      <c r="H34">
        <f>IF($W34="","",IF(INDEX('Per Invoice'!H$2:H$801,$W34)="","",INDEX('Per Invoice'!H$2:H$801,$W34)))</f>
        <v/>
      </c>
      <c r="I34">
        <f>IF($W34="","",IF(INDEX('Per Invoice'!I$2:I$801,$W34)="","",INDEX('Per Invoice'!I$2:I$801,$W34)))</f>
        <v/>
      </c>
      <c r="J34">
        <f>IF($W34="","",IF(INDEX('Per Invoice'!J$2:J$801,$W34)="","",INDEX('Per Invoice'!J$2:J$801,$W34)))</f>
        <v/>
      </c>
      <c r="K34" s="7">
        <f>IF($W34="","",IF(INDEX('Per Invoice'!K$2:K$801,$W34)="","",INDEX('Per Invoice'!K$2:K$801,$W34)))</f>
        <v/>
      </c>
      <c r="L34" s="14">
        <f>IF($W34="","",IF(INDEX('Per Invoice'!L$2:L$801,$W34)="","",INDEX('Per Invoice'!L$2:L$801,$W34)))</f>
        <v/>
      </c>
      <c r="M34">
        <f>IF($W34="","",IF(INDEX('Per Invoice'!M$2:M$801,$W34)="","",INDEX('Per Invoice'!M$2:M$801,$W34)))</f>
        <v/>
      </c>
      <c r="N34" s="7">
        <f>IF($W34="","",IF(INDEX('Per Invoice'!N$2:N$801,$W34)="","",INDEX('Per Invoice'!N$2:N$801,$W34)))</f>
        <v/>
      </c>
      <c r="O34" s="7">
        <f>IF($W34="","",IF(INDEX('Per Invoice'!O$2:O$801,$W34)="","",INDEX('Per Invoice'!O$2:O$801,$W34)))</f>
        <v/>
      </c>
      <c r="P34">
        <f>IF($W34="","",IF(INDEX('Per Invoice'!P$2:P$801,$W34)="","",INDEX('Per Invoice'!P$2:P$801,$W34)))</f>
        <v/>
      </c>
      <c r="Q34" s="7">
        <f>IF($W34="","",IF(INDEX('Per Invoice'!Q$2:Q$801,$W34)="","",INDEX('Per Invoice'!Q$2:Q$801,$W34)))</f>
        <v/>
      </c>
      <c r="R34" s="7">
        <f>IF($W34="","",IF(INDEX('Per Invoice'!R$2:R$801,$W34)="","",INDEX('Per Invoice'!R$2:R$801,$W34)))</f>
        <v/>
      </c>
      <c r="S34" s="7">
        <f>IF($W34="","",IF(INDEX('Per Invoice'!S$2:S$801,$W34)="","",INDEX('Per Invoice'!S$2:S$801,$W34)))</f>
        <v/>
      </c>
      <c r="T34" s="7">
        <f>IF($W34="","",IF(INDEX('Per Invoice'!T$2:T$801,$W34)="","",INDEX('Per Invoice'!T$2:T$801,$W34)))</f>
        <v/>
      </c>
      <c r="U34" s="7">
        <f>IF($W34="","",IF(INDEX('Per Invoice'!U$2:U$801,$W34)="","",INDEX('Per Invoice'!U$2:U$801,$W34)))</f>
        <v/>
      </c>
      <c r="V34" s="7">
        <f>IF($W34="","",IF(INDEX('Per Invoice'!V$2:V$801,$W34)="","",INDEX('Per Invoice'!V$2:V$801,$W34)))</f>
        <v/>
      </c>
      <c r="W34" s="16">
        <f>IFERROR(MATCH(Settings!$C$29&amp;"|"&amp;ROWS($W$2:$W34),'Per Invoice'!$X$2:$X$801,0),"")</f>
        <v/>
      </c>
    </row>
    <row r="35">
      <c r="A35">
        <f>IF($W35="","",IF(INDEX('Per Invoice'!A$2:A$801,$W35)="","",INDEX('Per Invoice'!A$2:A$801,$W35)))</f>
        <v/>
      </c>
      <c r="B35">
        <f>IF($W35="","",IF(INDEX('Per Invoice'!B$2:B$801,$W35)="","",INDEX('Per Invoice'!B$2:B$801,$W35)))</f>
        <v/>
      </c>
      <c r="C35">
        <f>IF($W35="","",IF(INDEX('Per Invoice'!C$2:C$801,$W35)="","",INDEX('Per Invoice'!C$2:C$801,$W35)))</f>
        <v/>
      </c>
      <c r="D35">
        <f>IF($W35="","",IF(INDEX('Per Invoice'!D$2:D$801,$W35)="","",INDEX('Per Invoice'!D$2:D$801,$W35)))</f>
        <v/>
      </c>
      <c r="E35">
        <f>IF($W35="","",IF(INDEX('Per Invoice'!E$2:E$801,$W35)="","",INDEX('Per Invoice'!E$2:E$801,$W35)))</f>
        <v/>
      </c>
      <c r="F35">
        <f>IF($W35="","",IF(INDEX('Per Invoice'!F$2:F$801,$W35)="","",INDEX('Per Invoice'!F$2:F$801,$W35)))</f>
        <v/>
      </c>
      <c r="G35">
        <f>IF($W35="","",IF(INDEX('Per Invoice'!G$2:G$801,$W35)="","",INDEX('Per Invoice'!G$2:G$801,$W35)))</f>
        <v/>
      </c>
      <c r="H35">
        <f>IF($W35="","",IF(INDEX('Per Invoice'!H$2:H$801,$W35)="","",INDEX('Per Invoice'!H$2:H$801,$W35)))</f>
        <v/>
      </c>
      <c r="I35">
        <f>IF($W35="","",IF(INDEX('Per Invoice'!I$2:I$801,$W35)="","",INDEX('Per Invoice'!I$2:I$801,$W35)))</f>
        <v/>
      </c>
      <c r="J35">
        <f>IF($W35="","",IF(INDEX('Per Invoice'!J$2:J$801,$W35)="","",INDEX('Per Invoice'!J$2:J$801,$W35)))</f>
        <v/>
      </c>
      <c r="K35" s="7">
        <f>IF($W35="","",IF(INDEX('Per Invoice'!K$2:K$801,$W35)="","",INDEX('Per Invoice'!K$2:K$801,$W35)))</f>
        <v/>
      </c>
      <c r="L35" s="14">
        <f>IF($W35="","",IF(INDEX('Per Invoice'!L$2:L$801,$W35)="","",INDEX('Per Invoice'!L$2:L$801,$W35)))</f>
        <v/>
      </c>
      <c r="M35">
        <f>IF($W35="","",IF(INDEX('Per Invoice'!M$2:M$801,$W35)="","",INDEX('Per Invoice'!M$2:M$801,$W35)))</f>
        <v/>
      </c>
      <c r="N35" s="7">
        <f>IF($W35="","",IF(INDEX('Per Invoice'!N$2:N$801,$W35)="","",INDEX('Per Invoice'!N$2:N$801,$W35)))</f>
        <v/>
      </c>
      <c r="O35" s="7">
        <f>IF($W35="","",IF(INDEX('Per Invoice'!O$2:O$801,$W35)="","",INDEX('Per Invoice'!O$2:O$801,$W35)))</f>
        <v/>
      </c>
      <c r="P35">
        <f>IF($W35="","",IF(INDEX('Per Invoice'!P$2:P$801,$W35)="","",INDEX('Per Invoice'!P$2:P$801,$W35)))</f>
        <v/>
      </c>
      <c r="Q35" s="7">
        <f>IF($W35="","",IF(INDEX('Per Invoice'!Q$2:Q$801,$W35)="","",INDEX('Per Invoice'!Q$2:Q$801,$W35)))</f>
        <v/>
      </c>
      <c r="R35" s="7">
        <f>IF($W35="","",IF(INDEX('Per Invoice'!R$2:R$801,$W35)="","",INDEX('Per Invoice'!R$2:R$801,$W35)))</f>
        <v/>
      </c>
      <c r="S35" s="7">
        <f>IF($W35="","",IF(INDEX('Per Invoice'!S$2:S$801,$W35)="","",INDEX('Per Invoice'!S$2:S$801,$W35)))</f>
        <v/>
      </c>
      <c r="T35" s="7">
        <f>IF($W35="","",IF(INDEX('Per Invoice'!T$2:T$801,$W35)="","",INDEX('Per Invoice'!T$2:T$801,$W35)))</f>
        <v/>
      </c>
      <c r="U35" s="7">
        <f>IF($W35="","",IF(INDEX('Per Invoice'!U$2:U$801,$W35)="","",INDEX('Per Invoice'!U$2:U$801,$W35)))</f>
        <v/>
      </c>
      <c r="V35" s="7">
        <f>IF($W35="","",IF(INDEX('Per Invoice'!V$2:V$801,$W35)="","",INDEX('Per Invoice'!V$2:V$801,$W35)))</f>
        <v/>
      </c>
      <c r="W35" s="16">
        <f>IFERROR(MATCH(Settings!$C$29&amp;"|"&amp;ROWS($W$2:$W35),'Per Invoice'!$X$2:$X$801,0),"")</f>
        <v/>
      </c>
    </row>
    <row r="36">
      <c r="A36">
        <f>IF($W36="","",IF(INDEX('Per Invoice'!A$2:A$801,$W36)="","",INDEX('Per Invoice'!A$2:A$801,$W36)))</f>
        <v/>
      </c>
      <c r="B36">
        <f>IF($W36="","",IF(INDEX('Per Invoice'!B$2:B$801,$W36)="","",INDEX('Per Invoice'!B$2:B$801,$W36)))</f>
        <v/>
      </c>
      <c r="C36">
        <f>IF($W36="","",IF(INDEX('Per Invoice'!C$2:C$801,$W36)="","",INDEX('Per Invoice'!C$2:C$801,$W36)))</f>
        <v/>
      </c>
      <c r="D36">
        <f>IF($W36="","",IF(INDEX('Per Invoice'!D$2:D$801,$W36)="","",INDEX('Per Invoice'!D$2:D$801,$W36)))</f>
        <v/>
      </c>
      <c r="E36">
        <f>IF($W36="","",IF(INDEX('Per Invoice'!E$2:E$801,$W36)="","",INDEX('Per Invoice'!E$2:E$801,$W36)))</f>
        <v/>
      </c>
      <c r="F36">
        <f>IF($W36="","",IF(INDEX('Per Invoice'!F$2:F$801,$W36)="","",INDEX('Per Invoice'!F$2:F$801,$W36)))</f>
        <v/>
      </c>
      <c r="G36">
        <f>IF($W36="","",IF(INDEX('Per Invoice'!G$2:G$801,$W36)="","",INDEX('Per Invoice'!G$2:G$801,$W36)))</f>
        <v/>
      </c>
      <c r="H36">
        <f>IF($W36="","",IF(INDEX('Per Invoice'!H$2:H$801,$W36)="","",INDEX('Per Invoice'!H$2:H$801,$W36)))</f>
        <v/>
      </c>
      <c r="I36">
        <f>IF($W36="","",IF(INDEX('Per Invoice'!I$2:I$801,$W36)="","",INDEX('Per Invoice'!I$2:I$801,$W36)))</f>
        <v/>
      </c>
      <c r="J36">
        <f>IF($W36="","",IF(INDEX('Per Invoice'!J$2:J$801,$W36)="","",INDEX('Per Invoice'!J$2:J$801,$W36)))</f>
        <v/>
      </c>
      <c r="K36" s="7">
        <f>IF($W36="","",IF(INDEX('Per Invoice'!K$2:K$801,$W36)="","",INDEX('Per Invoice'!K$2:K$801,$W36)))</f>
        <v/>
      </c>
      <c r="L36" s="14">
        <f>IF($W36="","",IF(INDEX('Per Invoice'!L$2:L$801,$W36)="","",INDEX('Per Invoice'!L$2:L$801,$W36)))</f>
        <v/>
      </c>
      <c r="M36">
        <f>IF($W36="","",IF(INDEX('Per Invoice'!M$2:M$801,$W36)="","",INDEX('Per Invoice'!M$2:M$801,$W36)))</f>
        <v/>
      </c>
      <c r="N36" s="7">
        <f>IF($W36="","",IF(INDEX('Per Invoice'!N$2:N$801,$W36)="","",INDEX('Per Invoice'!N$2:N$801,$W36)))</f>
        <v/>
      </c>
      <c r="O36" s="7">
        <f>IF($W36="","",IF(INDEX('Per Invoice'!O$2:O$801,$W36)="","",INDEX('Per Invoice'!O$2:O$801,$W36)))</f>
        <v/>
      </c>
      <c r="P36">
        <f>IF($W36="","",IF(INDEX('Per Invoice'!P$2:P$801,$W36)="","",INDEX('Per Invoice'!P$2:P$801,$W36)))</f>
        <v/>
      </c>
      <c r="Q36" s="7">
        <f>IF($W36="","",IF(INDEX('Per Invoice'!Q$2:Q$801,$W36)="","",INDEX('Per Invoice'!Q$2:Q$801,$W36)))</f>
        <v/>
      </c>
      <c r="R36" s="7">
        <f>IF($W36="","",IF(INDEX('Per Invoice'!R$2:R$801,$W36)="","",INDEX('Per Invoice'!R$2:R$801,$W36)))</f>
        <v/>
      </c>
      <c r="S36" s="7">
        <f>IF($W36="","",IF(INDEX('Per Invoice'!S$2:S$801,$W36)="","",INDEX('Per Invoice'!S$2:S$801,$W36)))</f>
        <v/>
      </c>
      <c r="T36" s="7">
        <f>IF($W36="","",IF(INDEX('Per Invoice'!T$2:T$801,$W36)="","",INDEX('Per Invoice'!T$2:T$801,$W36)))</f>
        <v/>
      </c>
      <c r="U36" s="7">
        <f>IF($W36="","",IF(INDEX('Per Invoice'!U$2:U$801,$W36)="","",INDEX('Per Invoice'!U$2:U$801,$W36)))</f>
        <v/>
      </c>
      <c r="V36" s="7">
        <f>IF($W36="","",IF(INDEX('Per Invoice'!V$2:V$801,$W36)="","",INDEX('Per Invoice'!V$2:V$801,$W36)))</f>
        <v/>
      </c>
      <c r="W36" s="16">
        <f>IFERROR(MATCH(Settings!$C$29&amp;"|"&amp;ROWS($W$2:$W36),'Per Invoice'!$X$2:$X$801,0),"")</f>
        <v/>
      </c>
    </row>
    <row r="37">
      <c r="A37">
        <f>IF($W37="","",IF(INDEX('Per Invoice'!A$2:A$801,$W37)="","",INDEX('Per Invoice'!A$2:A$801,$W37)))</f>
        <v/>
      </c>
      <c r="B37">
        <f>IF($W37="","",IF(INDEX('Per Invoice'!B$2:B$801,$W37)="","",INDEX('Per Invoice'!B$2:B$801,$W37)))</f>
        <v/>
      </c>
      <c r="C37">
        <f>IF($W37="","",IF(INDEX('Per Invoice'!C$2:C$801,$W37)="","",INDEX('Per Invoice'!C$2:C$801,$W37)))</f>
        <v/>
      </c>
      <c r="D37">
        <f>IF($W37="","",IF(INDEX('Per Invoice'!D$2:D$801,$W37)="","",INDEX('Per Invoice'!D$2:D$801,$W37)))</f>
        <v/>
      </c>
      <c r="E37">
        <f>IF($W37="","",IF(INDEX('Per Invoice'!E$2:E$801,$W37)="","",INDEX('Per Invoice'!E$2:E$801,$W37)))</f>
        <v/>
      </c>
      <c r="F37">
        <f>IF($W37="","",IF(INDEX('Per Invoice'!F$2:F$801,$W37)="","",INDEX('Per Invoice'!F$2:F$801,$W37)))</f>
        <v/>
      </c>
      <c r="G37">
        <f>IF($W37="","",IF(INDEX('Per Invoice'!G$2:G$801,$W37)="","",INDEX('Per Invoice'!G$2:G$801,$W37)))</f>
        <v/>
      </c>
      <c r="H37">
        <f>IF($W37="","",IF(INDEX('Per Invoice'!H$2:H$801,$W37)="","",INDEX('Per Invoice'!H$2:H$801,$W37)))</f>
        <v/>
      </c>
      <c r="I37">
        <f>IF($W37="","",IF(INDEX('Per Invoice'!I$2:I$801,$W37)="","",INDEX('Per Invoice'!I$2:I$801,$W37)))</f>
        <v/>
      </c>
      <c r="J37">
        <f>IF($W37="","",IF(INDEX('Per Invoice'!J$2:J$801,$W37)="","",INDEX('Per Invoice'!J$2:J$801,$W37)))</f>
        <v/>
      </c>
      <c r="K37" s="7">
        <f>IF($W37="","",IF(INDEX('Per Invoice'!K$2:K$801,$W37)="","",INDEX('Per Invoice'!K$2:K$801,$W37)))</f>
        <v/>
      </c>
      <c r="L37" s="14">
        <f>IF($W37="","",IF(INDEX('Per Invoice'!L$2:L$801,$W37)="","",INDEX('Per Invoice'!L$2:L$801,$W37)))</f>
        <v/>
      </c>
      <c r="M37">
        <f>IF($W37="","",IF(INDEX('Per Invoice'!M$2:M$801,$W37)="","",INDEX('Per Invoice'!M$2:M$801,$W37)))</f>
        <v/>
      </c>
      <c r="N37" s="7">
        <f>IF($W37="","",IF(INDEX('Per Invoice'!N$2:N$801,$W37)="","",INDEX('Per Invoice'!N$2:N$801,$W37)))</f>
        <v/>
      </c>
      <c r="O37" s="7">
        <f>IF($W37="","",IF(INDEX('Per Invoice'!O$2:O$801,$W37)="","",INDEX('Per Invoice'!O$2:O$801,$W37)))</f>
        <v/>
      </c>
      <c r="P37">
        <f>IF($W37="","",IF(INDEX('Per Invoice'!P$2:P$801,$W37)="","",INDEX('Per Invoice'!P$2:P$801,$W37)))</f>
        <v/>
      </c>
      <c r="Q37" s="7">
        <f>IF($W37="","",IF(INDEX('Per Invoice'!Q$2:Q$801,$W37)="","",INDEX('Per Invoice'!Q$2:Q$801,$W37)))</f>
        <v/>
      </c>
      <c r="R37" s="7">
        <f>IF($W37="","",IF(INDEX('Per Invoice'!R$2:R$801,$W37)="","",INDEX('Per Invoice'!R$2:R$801,$W37)))</f>
        <v/>
      </c>
      <c r="S37" s="7">
        <f>IF($W37="","",IF(INDEX('Per Invoice'!S$2:S$801,$W37)="","",INDEX('Per Invoice'!S$2:S$801,$W37)))</f>
        <v/>
      </c>
      <c r="T37" s="7">
        <f>IF($W37="","",IF(INDEX('Per Invoice'!T$2:T$801,$W37)="","",INDEX('Per Invoice'!T$2:T$801,$W37)))</f>
        <v/>
      </c>
      <c r="U37" s="7">
        <f>IF($W37="","",IF(INDEX('Per Invoice'!U$2:U$801,$W37)="","",INDEX('Per Invoice'!U$2:U$801,$W37)))</f>
        <v/>
      </c>
      <c r="V37" s="7">
        <f>IF($W37="","",IF(INDEX('Per Invoice'!V$2:V$801,$W37)="","",INDEX('Per Invoice'!V$2:V$801,$W37)))</f>
        <v/>
      </c>
      <c r="W37" s="16">
        <f>IFERROR(MATCH(Settings!$C$29&amp;"|"&amp;ROWS($W$2:$W37),'Per Invoice'!$X$2:$X$801,0),"")</f>
        <v/>
      </c>
    </row>
    <row r="38">
      <c r="A38">
        <f>IF($W38="","",IF(INDEX('Per Invoice'!A$2:A$801,$W38)="","",INDEX('Per Invoice'!A$2:A$801,$W38)))</f>
        <v/>
      </c>
      <c r="B38">
        <f>IF($W38="","",IF(INDEX('Per Invoice'!B$2:B$801,$W38)="","",INDEX('Per Invoice'!B$2:B$801,$W38)))</f>
        <v/>
      </c>
      <c r="C38">
        <f>IF($W38="","",IF(INDEX('Per Invoice'!C$2:C$801,$W38)="","",INDEX('Per Invoice'!C$2:C$801,$W38)))</f>
        <v/>
      </c>
      <c r="D38">
        <f>IF($W38="","",IF(INDEX('Per Invoice'!D$2:D$801,$W38)="","",INDEX('Per Invoice'!D$2:D$801,$W38)))</f>
        <v/>
      </c>
      <c r="E38">
        <f>IF($W38="","",IF(INDEX('Per Invoice'!E$2:E$801,$W38)="","",INDEX('Per Invoice'!E$2:E$801,$W38)))</f>
        <v/>
      </c>
      <c r="F38">
        <f>IF($W38="","",IF(INDEX('Per Invoice'!F$2:F$801,$W38)="","",INDEX('Per Invoice'!F$2:F$801,$W38)))</f>
        <v/>
      </c>
      <c r="G38">
        <f>IF($W38="","",IF(INDEX('Per Invoice'!G$2:G$801,$W38)="","",INDEX('Per Invoice'!G$2:G$801,$W38)))</f>
        <v/>
      </c>
      <c r="H38">
        <f>IF($W38="","",IF(INDEX('Per Invoice'!H$2:H$801,$W38)="","",INDEX('Per Invoice'!H$2:H$801,$W38)))</f>
        <v/>
      </c>
      <c r="I38">
        <f>IF($W38="","",IF(INDEX('Per Invoice'!I$2:I$801,$W38)="","",INDEX('Per Invoice'!I$2:I$801,$W38)))</f>
        <v/>
      </c>
      <c r="J38">
        <f>IF($W38="","",IF(INDEX('Per Invoice'!J$2:J$801,$W38)="","",INDEX('Per Invoice'!J$2:J$801,$W38)))</f>
        <v/>
      </c>
      <c r="K38" s="7">
        <f>IF($W38="","",IF(INDEX('Per Invoice'!K$2:K$801,$W38)="","",INDEX('Per Invoice'!K$2:K$801,$W38)))</f>
        <v/>
      </c>
      <c r="L38" s="14">
        <f>IF($W38="","",IF(INDEX('Per Invoice'!L$2:L$801,$W38)="","",INDEX('Per Invoice'!L$2:L$801,$W38)))</f>
        <v/>
      </c>
      <c r="M38">
        <f>IF($W38="","",IF(INDEX('Per Invoice'!M$2:M$801,$W38)="","",INDEX('Per Invoice'!M$2:M$801,$W38)))</f>
        <v/>
      </c>
      <c r="N38" s="7">
        <f>IF($W38="","",IF(INDEX('Per Invoice'!N$2:N$801,$W38)="","",INDEX('Per Invoice'!N$2:N$801,$W38)))</f>
        <v/>
      </c>
      <c r="O38" s="7">
        <f>IF($W38="","",IF(INDEX('Per Invoice'!O$2:O$801,$W38)="","",INDEX('Per Invoice'!O$2:O$801,$W38)))</f>
        <v/>
      </c>
      <c r="P38">
        <f>IF($W38="","",IF(INDEX('Per Invoice'!P$2:P$801,$W38)="","",INDEX('Per Invoice'!P$2:P$801,$W38)))</f>
        <v/>
      </c>
      <c r="Q38" s="7">
        <f>IF($W38="","",IF(INDEX('Per Invoice'!Q$2:Q$801,$W38)="","",INDEX('Per Invoice'!Q$2:Q$801,$W38)))</f>
        <v/>
      </c>
      <c r="R38" s="7">
        <f>IF($W38="","",IF(INDEX('Per Invoice'!R$2:R$801,$W38)="","",INDEX('Per Invoice'!R$2:R$801,$W38)))</f>
        <v/>
      </c>
      <c r="S38" s="7">
        <f>IF($W38="","",IF(INDEX('Per Invoice'!S$2:S$801,$W38)="","",INDEX('Per Invoice'!S$2:S$801,$W38)))</f>
        <v/>
      </c>
      <c r="T38" s="7">
        <f>IF($W38="","",IF(INDEX('Per Invoice'!T$2:T$801,$W38)="","",INDEX('Per Invoice'!T$2:T$801,$W38)))</f>
        <v/>
      </c>
      <c r="U38" s="7">
        <f>IF($W38="","",IF(INDEX('Per Invoice'!U$2:U$801,$W38)="","",INDEX('Per Invoice'!U$2:U$801,$W38)))</f>
        <v/>
      </c>
      <c r="V38" s="7">
        <f>IF($W38="","",IF(INDEX('Per Invoice'!V$2:V$801,$W38)="","",INDEX('Per Invoice'!V$2:V$801,$W38)))</f>
        <v/>
      </c>
      <c r="W38" s="16">
        <f>IFERROR(MATCH(Settings!$C$29&amp;"|"&amp;ROWS($W$2:$W38),'Per Invoice'!$X$2:$X$801,0),"")</f>
        <v/>
      </c>
    </row>
    <row r="39">
      <c r="A39">
        <f>IF($W39="","",IF(INDEX('Per Invoice'!A$2:A$801,$W39)="","",INDEX('Per Invoice'!A$2:A$801,$W39)))</f>
        <v/>
      </c>
      <c r="B39">
        <f>IF($W39="","",IF(INDEX('Per Invoice'!B$2:B$801,$W39)="","",INDEX('Per Invoice'!B$2:B$801,$W39)))</f>
        <v/>
      </c>
      <c r="C39">
        <f>IF($W39="","",IF(INDEX('Per Invoice'!C$2:C$801,$W39)="","",INDEX('Per Invoice'!C$2:C$801,$W39)))</f>
        <v/>
      </c>
      <c r="D39">
        <f>IF($W39="","",IF(INDEX('Per Invoice'!D$2:D$801,$W39)="","",INDEX('Per Invoice'!D$2:D$801,$W39)))</f>
        <v/>
      </c>
      <c r="E39">
        <f>IF($W39="","",IF(INDEX('Per Invoice'!E$2:E$801,$W39)="","",INDEX('Per Invoice'!E$2:E$801,$W39)))</f>
        <v/>
      </c>
      <c r="F39">
        <f>IF($W39="","",IF(INDEX('Per Invoice'!F$2:F$801,$W39)="","",INDEX('Per Invoice'!F$2:F$801,$W39)))</f>
        <v/>
      </c>
      <c r="G39">
        <f>IF($W39="","",IF(INDEX('Per Invoice'!G$2:G$801,$W39)="","",INDEX('Per Invoice'!G$2:G$801,$W39)))</f>
        <v/>
      </c>
      <c r="H39">
        <f>IF($W39="","",IF(INDEX('Per Invoice'!H$2:H$801,$W39)="","",INDEX('Per Invoice'!H$2:H$801,$W39)))</f>
        <v/>
      </c>
      <c r="I39">
        <f>IF($W39="","",IF(INDEX('Per Invoice'!I$2:I$801,$W39)="","",INDEX('Per Invoice'!I$2:I$801,$W39)))</f>
        <v/>
      </c>
      <c r="J39">
        <f>IF($W39="","",IF(INDEX('Per Invoice'!J$2:J$801,$W39)="","",INDEX('Per Invoice'!J$2:J$801,$W39)))</f>
        <v/>
      </c>
      <c r="K39" s="7">
        <f>IF($W39="","",IF(INDEX('Per Invoice'!K$2:K$801,$W39)="","",INDEX('Per Invoice'!K$2:K$801,$W39)))</f>
        <v/>
      </c>
      <c r="L39" s="14">
        <f>IF($W39="","",IF(INDEX('Per Invoice'!L$2:L$801,$W39)="","",INDEX('Per Invoice'!L$2:L$801,$W39)))</f>
        <v/>
      </c>
      <c r="M39">
        <f>IF($W39="","",IF(INDEX('Per Invoice'!M$2:M$801,$W39)="","",INDEX('Per Invoice'!M$2:M$801,$W39)))</f>
        <v/>
      </c>
      <c r="N39" s="7">
        <f>IF($W39="","",IF(INDEX('Per Invoice'!N$2:N$801,$W39)="","",INDEX('Per Invoice'!N$2:N$801,$W39)))</f>
        <v/>
      </c>
      <c r="O39" s="7">
        <f>IF($W39="","",IF(INDEX('Per Invoice'!O$2:O$801,$W39)="","",INDEX('Per Invoice'!O$2:O$801,$W39)))</f>
        <v/>
      </c>
      <c r="P39">
        <f>IF($W39="","",IF(INDEX('Per Invoice'!P$2:P$801,$W39)="","",INDEX('Per Invoice'!P$2:P$801,$W39)))</f>
        <v/>
      </c>
      <c r="Q39" s="7">
        <f>IF($W39="","",IF(INDEX('Per Invoice'!Q$2:Q$801,$W39)="","",INDEX('Per Invoice'!Q$2:Q$801,$W39)))</f>
        <v/>
      </c>
      <c r="R39" s="7">
        <f>IF($W39="","",IF(INDEX('Per Invoice'!R$2:R$801,$W39)="","",INDEX('Per Invoice'!R$2:R$801,$W39)))</f>
        <v/>
      </c>
      <c r="S39" s="7">
        <f>IF($W39="","",IF(INDEX('Per Invoice'!S$2:S$801,$W39)="","",INDEX('Per Invoice'!S$2:S$801,$W39)))</f>
        <v/>
      </c>
      <c r="T39" s="7">
        <f>IF($W39="","",IF(INDEX('Per Invoice'!T$2:T$801,$W39)="","",INDEX('Per Invoice'!T$2:T$801,$W39)))</f>
        <v/>
      </c>
      <c r="U39" s="7">
        <f>IF($W39="","",IF(INDEX('Per Invoice'!U$2:U$801,$W39)="","",INDEX('Per Invoice'!U$2:U$801,$W39)))</f>
        <v/>
      </c>
      <c r="V39" s="7">
        <f>IF($W39="","",IF(INDEX('Per Invoice'!V$2:V$801,$W39)="","",INDEX('Per Invoice'!V$2:V$801,$W39)))</f>
        <v/>
      </c>
      <c r="W39" s="16">
        <f>IFERROR(MATCH(Settings!$C$29&amp;"|"&amp;ROWS($W$2:$W39),'Per Invoice'!$X$2:$X$801,0),"")</f>
        <v/>
      </c>
    </row>
    <row r="40">
      <c r="A40">
        <f>IF($W40="","",IF(INDEX('Per Invoice'!A$2:A$801,$W40)="","",INDEX('Per Invoice'!A$2:A$801,$W40)))</f>
        <v/>
      </c>
      <c r="B40">
        <f>IF($W40="","",IF(INDEX('Per Invoice'!B$2:B$801,$W40)="","",INDEX('Per Invoice'!B$2:B$801,$W40)))</f>
        <v/>
      </c>
      <c r="C40">
        <f>IF($W40="","",IF(INDEX('Per Invoice'!C$2:C$801,$W40)="","",INDEX('Per Invoice'!C$2:C$801,$W40)))</f>
        <v/>
      </c>
      <c r="D40">
        <f>IF($W40="","",IF(INDEX('Per Invoice'!D$2:D$801,$W40)="","",INDEX('Per Invoice'!D$2:D$801,$W40)))</f>
        <v/>
      </c>
      <c r="E40">
        <f>IF($W40="","",IF(INDEX('Per Invoice'!E$2:E$801,$W40)="","",INDEX('Per Invoice'!E$2:E$801,$W40)))</f>
        <v/>
      </c>
      <c r="F40">
        <f>IF($W40="","",IF(INDEX('Per Invoice'!F$2:F$801,$W40)="","",INDEX('Per Invoice'!F$2:F$801,$W40)))</f>
        <v/>
      </c>
      <c r="G40">
        <f>IF($W40="","",IF(INDEX('Per Invoice'!G$2:G$801,$W40)="","",INDEX('Per Invoice'!G$2:G$801,$W40)))</f>
        <v/>
      </c>
      <c r="H40">
        <f>IF($W40="","",IF(INDEX('Per Invoice'!H$2:H$801,$W40)="","",INDEX('Per Invoice'!H$2:H$801,$W40)))</f>
        <v/>
      </c>
      <c r="I40">
        <f>IF($W40="","",IF(INDEX('Per Invoice'!I$2:I$801,$W40)="","",INDEX('Per Invoice'!I$2:I$801,$W40)))</f>
        <v/>
      </c>
      <c r="J40">
        <f>IF($W40="","",IF(INDEX('Per Invoice'!J$2:J$801,$W40)="","",INDEX('Per Invoice'!J$2:J$801,$W40)))</f>
        <v/>
      </c>
      <c r="K40" s="7">
        <f>IF($W40="","",IF(INDEX('Per Invoice'!K$2:K$801,$W40)="","",INDEX('Per Invoice'!K$2:K$801,$W40)))</f>
        <v/>
      </c>
      <c r="L40" s="14">
        <f>IF($W40="","",IF(INDEX('Per Invoice'!L$2:L$801,$W40)="","",INDEX('Per Invoice'!L$2:L$801,$W40)))</f>
        <v/>
      </c>
      <c r="M40">
        <f>IF($W40="","",IF(INDEX('Per Invoice'!M$2:M$801,$W40)="","",INDEX('Per Invoice'!M$2:M$801,$W40)))</f>
        <v/>
      </c>
      <c r="N40" s="7">
        <f>IF($W40="","",IF(INDEX('Per Invoice'!N$2:N$801,$W40)="","",INDEX('Per Invoice'!N$2:N$801,$W40)))</f>
        <v/>
      </c>
      <c r="O40" s="7">
        <f>IF($W40="","",IF(INDEX('Per Invoice'!O$2:O$801,$W40)="","",INDEX('Per Invoice'!O$2:O$801,$W40)))</f>
        <v/>
      </c>
      <c r="P40">
        <f>IF($W40="","",IF(INDEX('Per Invoice'!P$2:P$801,$W40)="","",INDEX('Per Invoice'!P$2:P$801,$W40)))</f>
        <v/>
      </c>
      <c r="Q40" s="7">
        <f>IF($W40="","",IF(INDEX('Per Invoice'!Q$2:Q$801,$W40)="","",INDEX('Per Invoice'!Q$2:Q$801,$W40)))</f>
        <v/>
      </c>
      <c r="R40" s="7">
        <f>IF($W40="","",IF(INDEX('Per Invoice'!R$2:R$801,$W40)="","",INDEX('Per Invoice'!R$2:R$801,$W40)))</f>
        <v/>
      </c>
      <c r="S40" s="7">
        <f>IF($W40="","",IF(INDEX('Per Invoice'!S$2:S$801,$W40)="","",INDEX('Per Invoice'!S$2:S$801,$W40)))</f>
        <v/>
      </c>
      <c r="T40" s="7">
        <f>IF($W40="","",IF(INDEX('Per Invoice'!T$2:T$801,$W40)="","",INDEX('Per Invoice'!T$2:T$801,$W40)))</f>
        <v/>
      </c>
      <c r="U40" s="7">
        <f>IF($W40="","",IF(INDEX('Per Invoice'!U$2:U$801,$W40)="","",INDEX('Per Invoice'!U$2:U$801,$W40)))</f>
        <v/>
      </c>
      <c r="V40" s="7">
        <f>IF($W40="","",IF(INDEX('Per Invoice'!V$2:V$801,$W40)="","",INDEX('Per Invoice'!V$2:V$801,$W40)))</f>
        <v/>
      </c>
      <c r="W40" s="16">
        <f>IFERROR(MATCH(Settings!$C$29&amp;"|"&amp;ROWS($W$2:$W40),'Per Invoice'!$X$2:$X$801,0),"")</f>
        <v/>
      </c>
    </row>
    <row r="41">
      <c r="A41">
        <f>IF($W41="","",IF(INDEX('Per Invoice'!A$2:A$801,$W41)="","",INDEX('Per Invoice'!A$2:A$801,$W41)))</f>
        <v/>
      </c>
      <c r="B41">
        <f>IF($W41="","",IF(INDEX('Per Invoice'!B$2:B$801,$W41)="","",INDEX('Per Invoice'!B$2:B$801,$W41)))</f>
        <v/>
      </c>
      <c r="C41">
        <f>IF($W41="","",IF(INDEX('Per Invoice'!C$2:C$801,$W41)="","",INDEX('Per Invoice'!C$2:C$801,$W41)))</f>
        <v/>
      </c>
      <c r="D41">
        <f>IF($W41="","",IF(INDEX('Per Invoice'!D$2:D$801,$W41)="","",INDEX('Per Invoice'!D$2:D$801,$W41)))</f>
        <v/>
      </c>
      <c r="E41">
        <f>IF($W41="","",IF(INDEX('Per Invoice'!E$2:E$801,$W41)="","",INDEX('Per Invoice'!E$2:E$801,$W41)))</f>
        <v/>
      </c>
      <c r="F41">
        <f>IF($W41="","",IF(INDEX('Per Invoice'!F$2:F$801,$W41)="","",INDEX('Per Invoice'!F$2:F$801,$W41)))</f>
        <v/>
      </c>
      <c r="G41">
        <f>IF($W41="","",IF(INDEX('Per Invoice'!G$2:G$801,$W41)="","",INDEX('Per Invoice'!G$2:G$801,$W41)))</f>
        <v/>
      </c>
      <c r="H41">
        <f>IF($W41="","",IF(INDEX('Per Invoice'!H$2:H$801,$W41)="","",INDEX('Per Invoice'!H$2:H$801,$W41)))</f>
        <v/>
      </c>
      <c r="I41">
        <f>IF($W41="","",IF(INDEX('Per Invoice'!I$2:I$801,$W41)="","",INDEX('Per Invoice'!I$2:I$801,$W41)))</f>
        <v/>
      </c>
      <c r="J41">
        <f>IF($W41="","",IF(INDEX('Per Invoice'!J$2:J$801,$W41)="","",INDEX('Per Invoice'!J$2:J$801,$W41)))</f>
        <v/>
      </c>
      <c r="K41" s="7">
        <f>IF($W41="","",IF(INDEX('Per Invoice'!K$2:K$801,$W41)="","",INDEX('Per Invoice'!K$2:K$801,$W41)))</f>
        <v/>
      </c>
      <c r="L41" s="14">
        <f>IF($W41="","",IF(INDEX('Per Invoice'!L$2:L$801,$W41)="","",INDEX('Per Invoice'!L$2:L$801,$W41)))</f>
        <v/>
      </c>
      <c r="M41">
        <f>IF($W41="","",IF(INDEX('Per Invoice'!M$2:M$801,$W41)="","",INDEX('Per Invoice'!M$2:M$801,$W41)))</f>
        <v/>
      </c>
      <c r="N41" s="7">
        <f>IF($W41="","",IF(INDEX('Per Invoice'!N$2:N$801,$W41)="","",INDEX('Per Invoice'!N$2:N$801,$W41)))</f>
        <v/>
      </c>
      <c r="O41" s="7">
        <f>IF($W41="","",IF(INDEX('Per Invoice'!O$2:O$801,$W41)="","",INDEX('Per Invoice'!O$2:O$801,$W41)))</f>
        <v/>
      </c>
      <c r="P41">
        <f>IF($W41="","",IF(INDEX('Per Invoice'!P$2:P$801,$W41)="","",INDEX('Per Invoice'!P$2:P$801,$W41)))</f>
        <v/>
      </c>
      <c r="Q41" s="7">
        <f>IF($W41="","",IF(INDEX('Per Invoice'!Q$2:Q$801,$W41)="","",INDEX('Per Invoice'!Q$2:Q$801,$W41)))</f>
        <v/>
      </c>
      <c r="R41" s="7">
        <f>IF($W41="","",IF(INDEX('Per Invoice'!R$2:R$801,$W41)="","",INDEX('Per Invoice'!R$2:R$801,$W41)))</f>
        <v/>
      </c>
      <c r="S41" s="7">
        <f>IF($W41="","",IF(INDEX('Per Invoice'!S$2:S$801,$W41)="","",INDEX('Per Invoice'!S$2:S$801,$W41)))</f>
        <v/>
      </c>
      <c r="T41" s="7">
        <f>IF($W41="","",IF(INDEX('Per Invoice'!T$2:T$801,$W41)="","",INDEX('Per Invoice'!T$2:T$801,$W41)))</f>
        <v/>
      </c>
      <c r="U41" s="7">
        <f>IF($W41="","",IF(INDEX('Per Invoice'!U$2:U$801,$W41)="","",INDEX('Per Invoice'!U$2:U$801,$W41)))</f>
        <v/>
      </c>
      <c r="V41" s="7">
        <f>IF($W41="","",IF(INDEX('Per Invoice'!V$2:V$801,$W41)="","",INDEX('Per Invoice'!V$2:V$801,$W41)))</f>
        <v/>
      </c>
      <c r="W41" s="16">
        <f>IFERROR(MATCH(Settings!$C$29&amp;"|"&amp;ROWS($W$2:$W41),'Per Invoice'!$X$2:$X$801,0),"")</f>
        <v/>
      </c>
    </row>
    <row r="42">
      <c r="A42">
        <f>IF($W42="","",IF(INDEX('Per Invoice'!A$2:A$801,$W42)="","",INDEX('Per Invoice'!A$2:A$801,$W42)))</f>
        <v/>
      </c>
      <c r="B42">
        <f>IF($W42="","",IF(INDEX('Per Invoice'!B$2:B$801,$W42)="","",INDEX('Per Invoice'!B$2:B$801,$W42)))</f>
        <v/>
      </c>
      <c r="C42">
        <f>IF($W42="","",IF(INDEX('Per Invoice'!C$2:C$801,$W42)="","",INDEX('Per Invoice'!C$2:C$801,$W42)))</f>
        <v/>
      </c>
      <c r="D42">
        <f>IF($W42="","",IF(INDEX('Per Invoice'!D$2:D$801,$W42)="","",INDEX('Per Invoice'!D$2:D$801,$W42)))</f>
        <v/>
      </c>
      <c r="E42">
        <f>IF($W42="","",IF(INDEX('Per Invoice'!E$2:E$801,$W42)="","",INDEX('Per Invoice'!E$2:E$801,$W42)))</f>
        <v/>
      </c>
      <c r="F42">
        <f>IF($W42="","",IF(INDEX('Per Invoice'!F$2:F$801,$W42)="","",INDEX('Per Invoice'!F$2:F$801,$W42)))</f>
        <v/>
      </c>
      <c r="G42">
        <f>IF($W42="","",IF(INDEX('Per Invoice'!G$2:G$801,$W42)="","",INDEX('Per Invoice'!G$2:G$801,$W42)))</f>
        <v/>
      </c>
      <c r="H42">
        <f>IF($W42="","",IF(INDEX('Per Invoice'!H$2:H$801,$W42)="","",INDEX('Per Invoice'!H$2:H$801,$W42)))</f>
        <v/>
      </c>
      <c r="I42">
        <f>IF($W42="","",IF(INDEX('Per Invoice'!I$2:I$801,$W42)="","",INDEX('Per Invoice'!I$2:I$801,$W42)))</f>
        <v/>
      </c>
      <c r="J42">
        <f>IF($W42="","",IF(INDEX('Per Invoice'!J$2:J$801,$W42)="","",INDEX('Per Invoice'!J$2:J$801,$W42)))</f>
        <v/>
      </c>
      <c r="K42" s="7">
        <f>IF($W42="","",IF(INDEX('Per Invoice'!K$2:K$801,$W42)="","",INDEX('Per Invoice'!K$2:K$801,$W42)))</f>
        <v/>
      </c>
      <c r="L42" s="14">
        <f>IF($W42="","",IF(INDEX('Per Invoice'!L$2:L$801,$W42)="","",INDEX('Per Invoice'!L$2:L$801,$W42)))</f>
        <v/>
      </c>
      <c r="M42">
        <f>IF($W42="","",IF(INDEX('Per Invoice'!M$2:M$801,$W42)="","",INDEX('Per Invoice'!M$2:M$801,$W42)))</f>
        <v/>
      </c>
      <c r="N42" s="7">
        <f>IF($W42="","",IF(INDEX('Per Invoice'!N$2:N$801,$W42)="","",INDEX('Per Invoice'!N$2:N$801,$W42)))</f>
        <v/>
      </c>
      <c r="O42" s="7">
        <f>IF($W42="","",IF(INDEX('Per Invoice'!O$2:O$801,$W42)="","",INDEX('Per Invoice'!O$2:O$801,$W42)))</f>
        <v/>
      </c>
      <c r="P42">
        <f>IF($W42="","",IF(INDEX('Per Invoice'!P$2:P$801,$W42)="","",INDEX('Per Invoice'!P$2:P$801,$W42)))</f>
        <v/>
      </c>
      <c r="Q42" s="7">
        <f>IF($W42="","",IF(INDEX('Per Invoice'!Q$2:Q$801,$W42)="","",INDEX('Per Invoice'!Q$2:Q$801,$W42)))</f>
        <v/>
      </c>
      <c r="R42" s="7">
        <f>IF($W42="","",IF(INDEX('Per Invoice'!R$2:R$801,$W42)="","",INDEX('Per Invoice'!R$2:R$801,$W42)))</f>
        <v/>
      </c>
      <c r="S42" s="7">
        <f>IF($W42="","",IF(INDEX('Per Invoice'!S$2:S$801,$W42)="","",INDEX('Per Invoice'!S$2:S$801,$W42)))</f>
        <v/>
      </c>
      <c r="T42" s="7">
        <f>IF($W42="","",IF(INDEX('Per Invoice'!T$2:T$801,$W42)="","",INDEX('Per Invoice'!T$2:T$801,$W42)))</f>
        <v/>
      </c>
      <c r="U42" s="7">
        <f>IF($W42="","",IF(INDEX('Per Invoice'!U$2:U$801,$W42)="","",INDEX('Per Invoice'!U$2:U$801,$W42)))</f>
        <v/>
      </c>
      <c r="V42" s="7">
        <f>IF($W42="","",IF(INDEX('Per Invoice'!V$2:V$801,$W42)="","",INDEX('Per Invoice'!V$2:V$801,$W42)))</f>
        <v/>
      </c>
      <c r="W42" s="16">
        <f>IFERROR(MATCH(Settings!$C$29&amp;"|"&amp;ROWS($W$2:$W42),'Per Invoice'!$X$2:$X$801,0),"")</f>
        <v/>
      </c>
    </row>
    <row r="43">
      <c r="A43">
        <f>IF($W43="","",IF(INDEX('Per Invoice'!A$2:A$801,$W43)="","",INDEX('Per Invoice'!A$2:A$801,$W43)))</f>
        <v/>
      </c>
      <c r="B43">
        <f>IF($W43="","",IF(INDEX('Per Invoice'!B$2:B$801,$W43)="","",INDEX('Per Invoice'!B$2:B$801,$W43)))</f>
        <v/>
      </c>
      <c r="C43">
        <f>IF($W43="","",IF(INDEX('Per Invoice'!C$2:C$801,$W43)="","",INDEX('Per Invoice'!C$2:C$801,$W43)))</f>
        <v/>
      </c>
      <c r="D43">
        <f>IF($W43="","",IF(INDEX('Per Invoice'!D$2:D$801,$W43)="","",INDEX('Per Invoice'!D$2:D$801,$W43)))</f>
        <v/>
      </c>
      <c r="E43">
        <f>IF($W43="","",IF(INDEX('Per Invoice'!E$2:E$801,$W43)="","",INDEX('Per Invoice'!E$2:E$801,$W43)))</f>
        <v/>
      </c>
      <c r="F43">
        <f>IF($W43="","",IF(INDEX('Per Invoice'!F$2:F$801,$W43)="","",INDEX('Per Invoice'!F$2:F$801,$W43)))</f>
        <v/>
      </c>
      <c r="G43">
        <f>IF($W43="","",IF(INDEX('Per Invoice'!G$2:G$801,$W43)="","",INDEX('Per Invoice'!G$2:G$801,$W43)))</f>
        <v/>
      </c>
      <c r="H43">
        <f>IF($W43="","",IF(INDEX('Per Invoice'!H$2:H$801,$W43)="","",INDEX('Per Invoice'!H$2:H$801,$W43)))</f>
        <v/>
      </c>
      <c r="I43">
        <f>IF($W43="","",IF(INDEX('Per Invoice'!I$2:I$801,$W43)="","",INDEX('Per Invoice'!I$2:I$801,$W43)))</f>
        <v/>
      </c>
      <c r="J43">
        <f>IF($W43="","",IF(INDEX('Per Invoice'!J$2:J$801,$W43)="","",INDEX('Per Invoice'!J$2:J$801,$W43)))</f>
        <v/>
      </c>
      <c r="K43" s="7">
        <f>IF($W43="","",IF(INDEX('Per Invoice'!K$2:K$801,$W43)="","",INDEX('Per Invoice'!K$2:K$801,$W43)))</f>
        <v/>
      </c>
      <c r="L43" s="14">
        <f>IF($W43="","",IF(INDEX('Per Invoice'!L$2:L$801,$W43)="","",INDEX('Per Invoice'!L$2:L$801,$W43)))</f>
        <v/>
      </c>
      <c r="M43">
        <f>IF($W43="","",IF(INDEX('Per Invoice'!M$2:M$801,$W43)="","",INDEX('Per Invoice'!M$2:M$801,$W43)))</f>
        <v/>
      </c>
      <c r="N43" s="7">
        <f>IF($W43="","",IF(INDEX('Per Invoice'!N$2:N$801,$W43)="","",INDEX('Per Invoice'!N$2:N$801,$W43)))</f>
        <v/>
      </c>
      <c r="O43" s="7">
        <f>IF($W43="","",IF(INDEX('Per Invoice'!O$2:O$801,$W43)="","",INDEX('Per Invoice'!O$2:O$801,$W43)))</f>
        <v/>
      </c>
      <c r="P43">
        <f>IF($W43="","",IF(INDEX('Per Invoice'!P$2:P$801,$W43)="","",INDEX('Per Invoice'!P$2:P$801,$W43)))</f>
        <v/>
      </c>
      <c r="Q43" s="7">
        <f>IF($W43="","",IF(INDEX('Per Invoice'!Q$2:Q$801,$W43)="","",INDEX('Per Invoice'!Q$2:Q$801,$W43)))</f>
        <v/>
      </c>
      <c r="R43" s="7">
        <f>IF($W43="","",IF(INDEX('Per Invoice'!R$2:R$801,$W43)="","",INDEX('Per Invoice'!R$2:R$801,$W43)))</f>
        <v/>
      </c>
      <c r="S43" s="7">
        <f>IF($W43="","",IF(INDEX('Per Invoice'!S$2:S$801,$W43)="","",INDEX('Per Invoice'!S$2:S$801,$W43)))</f>
        <v/>
      </c>
      <c r="T43" s="7">
        <f>IF($W43="","",IF(INDEX('Per Invoice'!T$2:T$801,$W43)="","",INDEX('Per Invoice'!T$2:T$801,$W43)))</f>
        <v/>
      </c>
      <c r="U43" s="7">
        <f>IF($W43="","",IF(INDEX('Per Invoice'!U$2:U$801,$W43)="","",INDEX('Per Invoice'!U$2:U$801,$W43)))</f>
        <v/>
      </c>
      <c r="V43" s="7">
        <f>IF($W43="","",IF(INDEX('Per Invoice'!V$2:V$801,$W43)="","",INDEX('Per Invoice'!V$2:V$801,$W43)))</f>
        <v/>
      </c>
      <c r="W43" s="16">
        <f>IFERROR(MATCH(Settings!$C$29&amp;"|"&amp;ROWS($W$2:$W43),'Per Invoice'!$X$2:$X$801,0),"")</f>
        <v/>
      </c>
    </row>
    <row r="44">
      <c r="A44">
        <f>IF($W44="","",IF(INDEX('Per Invoice'!A$2:A$801,$W44)="","",INDEX('Per Invoice'!A$2:A$801,$W44)))</f>
        <v/>
      </c>
      <c r="B44">
        <f>IF($W44="","",IF(INDEX('Per Invoice'!B$2:B$801,$W44)="","",INDEX('Per Invoice'!B$2:B$801,$W44)))</f>
        <v/>
      </c>
      <c r="C44">
        <f>IF($W44="","",IF(INDEX('Per Invoice'!C$2:C$801,$W44)="","",INDEX('Per Invoice'!C$2:C$801,$W44)))</f>
        <v/>
      </c>
      <c r="D44">
        <f>IF($W44="","",IF(INDEX('Per Invoice'!D$2:D$801,$W44)="","",INDEX('Per Invoice'!D$2:D$801,$W44)))</f>
        <v/>
      </c>
      <c r="E44">
        <f>IF($W44="","",IF(INDEX('Per Invoice'!E$2:E$801,$W44)="","",INDEX('Per Invoice'!E$2:E$801,$W44)))</f>
        <v/>
      </c>
      <c r="F44">
        <f>IF($W44="","",IF(INDEX('Per Invoice'!F$2:F$801,$W44)="","",INDEX('Per Invoice'!F$2:F$801,$W44)))</f>
        <v/>
      </c>
      <c r="G44">
        <f>IF($W44="","",IF(INDEX('Per Invoice'!G$2:G$801,$W44)="","",INDEX('Per Invoice'!G$2:G$801,$W44)))</f>
        <v/>
      </c>
      <c r="H44">
        <f>IF($W44="","",IF(INDEX('Per Invoice'!H$2:H$801,$W44)="","",INDEX('Per Invoice'!H$2:H$801,$W44)))</f>
        <v/>
      </c>
      <c r="I44">
        <f>IF($W44="","",IF(INDEX('Per Invoice'!I$2:I$801,$W44)="","",INDEX('Per Invoice'!I$2:I$801,$W44)))</f>
        <v/>
      </c>
      <c r="J44">
        <f>IF($W44="","",IF(INDEX('Per Invoice'!J$2:J$801,$W44)="","",INDEX('Per Invoice'!J$2:J$801,$W44)))</f>
        <v/>
      </c>
      <c r="K44" s="7">
        <f>IF($W44="","",IF(INDEX('Per Invoice'!K$2:K$801,$W44)="","",INDEX('Per Invoice'!K$2:K$801,$W44)))</f>
        <v/>
      </c>
      <c r="L44" s="14">
        <f>IF($W44="","",IF(INDEX('Per Invoice'!L$2:L$801,$W44)="","",INDEX('Per Invoice'!L$2:L$801,$W44)))</f>
        <v/>
      </c>
      <c r="M44">
        <f>IF($W44="","",IF(INDEX('Per Invoice'!M$2:M$801,$W44)="","",INDEX('Per Invoice'!M$2:M$801,$W44)))</f>
        <v/>
      </c>
      <c r="N44" s="7">
        <f>IF($W44="","",IF(INDEX('Per Invoice'!N$2:N$801,$W44)="","",INDEX('Per Invoice'!N$2:N$801,$W44)))</f>
        <v/>
      </c>
      <c r="O44" s="7">
        <f>IF($W44="","",IF(INDEX('Per Invoice'!O$2:O$801,$W44)="","",INDEX('Per Invoice'!O$2:O$801,$W44)))</f>
        <v/>
      </c>
      <c r="P44">
        <f>IF($W44="","",IF(INDEX('Per Invoice'!P$2:P$801,$W44)="","",INDEX('Per Invoice'!P$2:P$801,$W44)))</f>
        <v/>
      </c>
      <c r="Q44" s="7">
        <f>IF($W44="","",IF(INDEX('Per Invoice'!Q$2:Q$801,$W44)="","",INDEX('Per Invoice'!Q$2:Q$801,$W44)))</f>
        <v/>
      </c>
      <c r="R44" s="7">
        <f>IF($W44="","",IF(INDEX('Per Invoice'!R$2:R$801,$W44)="","",INDEX('Per Invoice'!R$2:R$801,$W44)))</f>
        <v/>
      </c>
      <c r="S44" s="7">
        <f>IF($W44="","",IF(INDEX('Per Invoice'!S$2:S$801,$W44)="","",INDEX('Per Invoice'!S$2:S$801,$W44)))</f>
        <v/>
      </c>
      <c r="T44" s="7">
        <f>IF($W44="","",IF(INDEX('Per Invoice'!T$2:T$801,$W44)="","",INDEX('Per Invoice'!T$2:T$801,$W44)))</f>
        <v/>
      </c>
      <c r="U44" s="7">
        <f>IF($W44="","",IF(INDEX('Per Invoice'!U$2:U$801,$W44)="","",INDEX('Per Invoice'!U$2:U$801,$W44)))</f>
        <v/>
      </c>
      <c r="V44" s="7">
        <f>IF($W44="","",IF(INDEX('Per Invoice'!V$2:V$801,$W44)="","",INDEX('Per Invoice'!V$2:V$801,$W44)))</f>
        <v/>
      </c>
      <c r="W44" s="16">
        <f>IFERROR(MATCH(Settings!$C$29&amp;"|"&amp;ROWS($W$2:$W44),'Per Invoice'!$X$2:$X$801,0),"")</f>
        <v/>
      </c>
    </row>
    <row r="45">
      <c r="A45">
        <f>IF($W45="","",IF(INDEX('Per Invoice'!A$2:A$801,$W45)="","",INDEX('Per Invoice'!A$2:A$801,$W45)))</f>
        <v/>
      </c>
      <c r="B45">
        <f>IF($W45="","",IF(INDEX('Per Invoice'!B$2:B$801,$W45)="","",INDEX('Per Invoice'!B$2:B$801,$W45)))</f>
        <v/>
      </c>
      <c r="C45">
        <f>IF($W45="","",IF(INDEX('Per Invoice'!C$2:C$801,$W45)="","",INDEX('Per Invoice'!C$2:C$801,$W45)))</f>
        <v/>
      </c>
      <c r="D45">
        <f>IF($W45="","",IF(INDEX('Per Invoice'!D$2:D$801,$W45)="","",INDEX('Per Invoice'!D$2:D$801,$W45)))</f>
        <v/>
      </c>
      <c r="E45">
        <f>IF($W45="","",IF(INDEX('Per Invoice'!E$2:E$801,$W45)="","",INDEX('Per Invoice'!E$2:E$801,$W45)))</f>
        <v/>
      </c>
      <c r="F45">
        <f>IF($W45="","",IF(INDEX('Per Invoice'!F$2:F$801,$W45)="","",INDEX('Per Invoice'!F$2:F$801,$W45)))</f>
        <v/>
      </c>
      <c r="G45">
        <f>IF($W45="","",IF(INDEX('Per Invoice'!G$2:G$801,$W45)="","",INDEX('Per Invoice'!G$2:G$801,$W45)))</f>
        <v/>
      </c>
      <c r="H45">
        <f>IF($W45="","",IF(INDEX('Per Invoice'!H$2:H$801,$W45)="","",INDEX('Per Invoice'!H$2:H$801,$W45)))</f>
        <v/>
      </c>
      <c r="I45">
        <f>IF($W45="","",IF(INDEX('Per Invoice'!I$2:I$801,$W45)="","",INDEX('Per Invoice'!I$2:I$801,$W45)))</f>
        <v/>
      </c>
      <c r="J45">
        <f>IF($W45="","",IF(INDEX('Per Invoice'!J$2:J$801,$W45)="","",INDEX('Per Invoice'!J$2:J$801,$W45)))</f>
        <v/>
      </c>
      <c r="K45" s="7">
        <f>IF($W45="","",IF(INDEX('Per Invoice'!K$2:K$801,$W45)="","",INDEX('Per Invoice'!K$2:K$801,$W45)))</f>
        <v/>
      </c>
      <c r="L45" s="14">
        <f>IF($W45="","",IF(INDEX('Per Invoice'!L$2:L$801,$W45)="","",INDEX('Per Invoice'!L$2:L$801,$W45)))</f>
        <v/>
      </c>
      <c r="M45">
        <f>IF($W45="","",IF(INDEX('Per Invoice'!M$2:M$801,$W45)="","",INDEX('Per Invoice'!M$2:M$801,$W45)))</f>
        <v/>
      </c>
      <c r="N45" s="7">
        <f>IF($W45="","",IF(INDEX('Per Invoice'!N$2:N$801,$W45)="","",INDEX('Per Invoice'!N$2:N$801,$W45)))</f>
        <v/>
      </c>
      <c r="O45" s="7">
        <f>IF($W45="","",IF(INDEX('Per Invoice'!O$2:O$801,$W45)="","",INDEX('Per Invoice'!O$2:O$801,$W45)))</f>
        <v/>
      </c>
      <c r="P45">
        <f>IF($W45="","",IF(INDEX('Per Invoice'!P$2:P$801,$W45)="","",INDEX('Per Invoice'!P$2:P$801,$W45)))</f>
        <v/>
      </c>
      <c r="Q45" s="7">
        <f>IF($W45="","",IF(INDEX('Per Invoice'!Q$2:Q$801,$W45)="","",INDEX('Per Invoice'!Q$2:Q$801,$W45)))</f>
        <v/>
      </c>
      <c r="R45" s="7">
        <f>IF($W45="","",IF(INDEX('Per Invoice'!R$2:R$801,$W45)="","",INDEX('Per Invoice'!R$2:R$801,$W45)))</f>
        <v/>
      </c>
      <c r="S45" s="7">
        <f>IF($W45="","",IF(INDEX('Per Invoice'!S$2:S$801,$W45)="","",INDEX('Per Invoice'!S$2:S$801,$W45)))</f>
        <v/>
      </c>
      <c r="T45" s="7">
        <f>IF($W45="","",IF(INDEX('Per Invoice'!T$2:T$801,$W45)="","",INDEX('Per Invoice'!T$2:T$801,$W45)))</f>
        <v/>
      </c>
      <c r="U45" s="7">
        <f>IF($W45="","",IF(INDEX('Per Invoice'!U$2:U$801,$W45)="","",INDEX('Per Invoice'!U$2:U$801,$W45)))</f>
        <v/>
      </c>
      <c r="V45" s="7">
        <f>IF($W45="","",IF(INDEX('Per Invoice'!V$2:V$801,$W45)="","",INDEX('Per Invoice'!V$2:V$801,$W45)))</f>
        <v/>
      </c>
      <c r="W45" s="16">
        <f>IFERROR(MATCH(Settings!$C$29&amp;"|"&amp;ROWS($W$2:$W45),'Per Invoice'!$X$2:$X$801,0),"")</f>
        <v/>
      </c>
    </row>
    <row r="46">
      <c r="A46">
        <f>IF($W46="","",IF(INDEX('Per Invoice'!A$2:A$801,$W46)="","",INDEX('Per Invoice'!A$2:A$801,$W46)))</f>
        <v/>
      </c>
      <c r="B46">
        <f>IF($W46="","",IF(INDEX('Per Invoice'!B$2:B$801,$W46)="","",INDEX('Per Invoice'!B$2:B$801,$W46)))</f>
        <v/>
      </c>
      <c r="C46">
        <f>IF($W46="","",IF(INDEX('Per Invoice'!C$2:C$801,$W46)="","",INDEX('Per Invoice'!C$2:C$801,$W46)))</f>
        <v/>
      </c>
      <c r="D46">
        <f>IF($W46="","",IF(INDEX('Per Invoice'!D$2:D$801,$W46)="","",INDEX('Per Invoice'!D$2:D$801,$W46)))</f>
        <v/>
      </c>
      <c r="E46">
        <f>IF($W46="","",IF(INDEX('Per Invoice'!E$2:E$801,$W46)="","",INDEX('Per Invoice'!E$2:E$801,$W46)))</f>
        <v/>
      </c>
      <c r="F46">
        <f>IF($W46="","",IF(INDEX('Per Invoice'!F$2:F$801,$W46)="","",INDEX('Per Invoice'!F$2:F$801,$W46)))</f>
        <v/>
      </c>
      <c r="G46">
        <f>IF($W46="","",IF(INDEX('Per Invoice'!G$2:G$801,$W46)="","",INDEX('Per Invoice'!G$2:G$801,$W46)))</f>
        <v/>
      </c>
      <c r="H46">
        <f>IF($W46="","",IF(INDEX('Per Invoice'!H$2:H$801,$W46)="","",INDEX('Per Invoice'!H$2:H$801,$W46)))</f>
        <v/>
      </c>
      <c r="I46">
        <f>IF($W46="","",IF(INDEX('Per Invoice'!I$2:I$801,$W46)="","",INDEX('Per Invoice'!I$2:I$801,$W46)))</f>
        <v/>
      </c>
      <c r="J46">
        <f>IF($W46="","",IF(INDEX('Per Invoice'!J$2:J$801,$W46)="","",INDEX('Per Invoice'!J$2:J$801,$W46)))</f>
        <v/>
      </c>
      <c r="K46" s="7">
        <f>IF($W46="","",IF(INDEX('Per Invoice'!K$2:K$801,$W46)="","",INDEX('Per Invoice'!K$2:K$801,$W46)))</f>
        <v/>
      </c>
      <c r="L46" s="14">
        <f>IF($W46="","",IF(INDEX('Per Invoice'!L$2:L$801,$W46)="","",INDEX('Per Invoice'!L$2:L$801,$W46)))</f>
        <v/>
      </c>
      <c r="M46">
        <f>IF($W46="","",IF(INDEX('Per Invoice'!M$2:M$801,$W46)="","",INDEX('Per Invoice'!M$2:M$801,$W46)))</f>
        <v/>
      </c>
      <c r="N46" s="7">
        <f>IF($W46="","",IF(INDEX('Per Invoice'!N$2:N$801,$W46)="","",INDEX('Per Invoice'!N$2:N$801,$W46)))</f>
        <v/>
      </c>
      <c r="O46" s="7">
        <f>IF($W46="","",IF(INDEX('Per Invoice'!O$2:O$801,$W46)="","",INDEX('Per Invoice'!O$2:O$801,$W46)))</f>
        <v/>
      </c>
      <c r="P46">
        <f>IF($W46="","",IF(INDEX('Per Invoice'!P$2:P$801,$W46)="","",INDEX('Per Invoice'!P$2:P$801,$W46)))</f>
        <v/>
      </c>
      <c r="Q46" s="7">
        <f>IF($W46="","",IF(INDEX('Per Invoice'!Q$2:Q$801,$W46)="","",INDEX('Per Invoice'!Q$2:Q$801,$W46)))</f>
        <v/>
      </c>
      <c r="R46" s="7">
        <f>IF($W46="","",IF(INDEX('Per Invoice'!R$2:R$801,$W46)="","",INDEX('Per Invoice'!R$2:R$801,$W46)))</f>
        <v/>
      </c>
      <c r="S46" s="7">
        <f>IF($W46="","",IF(INDEX('Per Invoice'!S$2:S$801,$W46)="","",INDEX('Per Invoice'!S$2:S$801,$W46)))</f>
        <v/>
      </c>
      <c r="T46" s="7">
        <f>IF($W46="","",IF(INDEX('Per Invoice'!T$2:T$801,$W46)="","",INDEX('Per Invoice'!T$2:T$801,$W46)))</f>
        <v/>
      </c>
      <c r="U46" s="7">
        <f>IF($W46="","",IF(INDEX('Per Invoice'!U$2:U$801,$W46)="","",INDEX('Per Invoice'!U$2:U$801,$W46)))</f>
        <v/>
      </c>
      <c r="V46" s="7">
        <f>IF($W46="","",IF(INDEX('Per Invoice'!V$2:V$801,$W46)="","",INDEX('Per Invoice'!V$2:V$801,$W46)))</f>
        <v/>
      </c>
      <c r="W46" s="16">
        <f>IFERROR(MATCH(Settings!$C$29&amp;"|"&amp;ROWS($W$2:$W46),'Per Invoice'!$X$2:$X$801,0),"")</f>
        <v/>
      </c>
    </row>
    <row r="47">
      <c r="A47">
        <f>IF($W47="","",IF(INDEX('Per Invoice'!A$2:A$801,$W47)="","",INDEX('Per Invoice'!A$2:A$801,$W47)))</f>
        <v/>
      </c>
      <c r="B47">
        <f>IF($W47="","",IF(INDEX('Per Invoice'!B$2:B$801,$W47)="","",INDEX('Per Invoice'!B$2:B$801,$W47)))</f>
        <v/>
      </c>
      <c r="C47">
        <f>IF($W47="","",IF(INDEX('Per Invoice'!C$2:C$801,$W47)="","",INDEX('Per Invoice'!C$2:C$801,$W47)))</f>
        <v/>
      </c>
      <c r="D47">
        <f>IF($W47="","",IF(INDEX('Per Invoice'!D$2:D$801,$W47)="","",INDEX('Per Invoice'!D$2:D$801,$W47)))</f>
        <v/>
      </c>
      <c r="E47">
        <f>IF($W47="","",IF(INDEX('Per Invoice'!E$2:E$801,$W47)="","",INDEX('Per Invoice'!E$2:E$801,$W47)))</f>
        <v/>
      </c>
      <c r="F47">
        <f>IF($W47="","",IF(INDEX('Per Invoice'!F$2:F$801,$W47)="","",INDEX('Per Invoice'!F$2:F$801,$W47)))</f>
        <v/>
      </c>
      <c r="G47">
        <f>IF($W47="","",IF(INDEX('Per Invoice'!G$2:G$801,$W47)="","",INDEX('Per Invoice'!G$2:G$801,$W47)))</f>
        <v/>
      </c>
      <c r="H47">
        <f>IF($W47="","",IF(INDEX('Per Invoice'!H$2:H$801,$W47)="","",INDEX('Per Invoice'!H$2:H$801,$W47)))</f>
        <v/>
      </c>
      <c r="I47">
        <f>IF($W47="","",IF(INDEX('Per Invoice'!I$2:I$801,$W47)="","",INDEX('Per Invoice'!I$2:I$801,$W47)))</f>
        <v/>
      </c>
      <c r="J47">
        <f>IF($W47="","",IF(INDEX('Per Invoice'!J$2:J$801,$W47)="","",INDEX('Per Invoice'!J$2:J$801,$W47)))</f>
        <v/>
      </c>
      <c r="K47" s="7">
        <f>IF($W47="","",IF(INDEX('Per Invoice'!K$2:K$801,$W47)="","",INDEX('Per Invoice'!K$2:K$801,$W47)))</f>
        <v/>
      </c>
      <c r="L47" s="14">
        <f>IF($W47="","",IF(INDEX('Per Invoice'!L$2:L$801,$W47)="","",INDEX('Per Invoice'!L$2:L$801,$W47)))</f>
        <v/>
      </c>
      <c r="M47">
        <f>IF($W47="","",IF(INDEX('Per Invoice'!M$2:M$801,$W47)="","",INDEX('Per Invoice'!M$2:M$801,$W47)))</f>
        <v/>
      </c>
      <c r="N47" s="7">
        <f>IF($W47="","",IF(INDEX('Per Invoice'!N$2:N$801,$W47)="","",INDEX('Per Invoice'!N$2:N$801,$W47)))</f>
        <v/>
      </c>
      <c r="O47" s="7">
        <f>IF($W47="","",IF(INDEX('Per Invoice'!O$2:O$801,$W47)="","",INDEX('Per Invoice'!O$2:O$801,$W47)))</f>
        <v/>
      </c>
      <c r="P47">
        <f>IF($W47="","",IF(INDEX('Per Invoice'!P$2:P$801,$W47)="","",INDEX('Per Invoice'!P$2:P$801,$W47)))</f>
        <v/>
      </c>
      <c r="Q47" s="7">
        <f>IF($W47="","",IF(INDEX('Per Invoice'!Q$2:Q$801,$W47)="","",INDEX('Per Invoice'!Q$2:Q$801,$W47)))</f>
        <v/>
      </c>
      <c r="R47" s="7">
        <f>IF($W47="","",IF(INDEX('Per Invoice'!R$2:R$801,$W47)="","",INDEX('Per Invoice'!R$2:R$801,$W47)))</f>
        <v/>
      </c>
      <c r="S47" s="7">
        <f>IF($W47="","",IF(INDEX('Per Invoice'!S$2:S$801,$W47)="","",INDEX('Per Invoice'!S$2:S$801,$W47)))</f>
        <v/>
      </c>
      <c r="T47" s="7">
        <f>IF($W47="","",IF(INDEX('Per Invoice'!T$2:T$801,$W47)="","",INDEX('Per Invoice'!T$2:T$801,$W47)))</f>
        <v/>
      </c>
      <c r="U47" s="7">
        <f>IF($W47="","",IF(INDEX('Per Invoice'!U$2:U$801,$W47)="","",INDEX('Per Invoice'!U$2:U$801,$W47)))</f>
        <v/>
      </c>
      <c r="V47" s="7">
        <f>IF($W47="","",IF(INDEX('Per Invoice'!V$2:V$801,$W47)="","",INDEX('Per Invoice'!V$2:V$801,$W47)))</f>
        <v/>
      </c>
      <c r="W47" s="16">
        <f>IFERROR(MATCH(Settings!$C$29&amp;"|"&amp;ROWS($W$2:$W47),'Per Invoice'!$X$2:$X$801,0),"")</f>
        <v/>
      </c>
    </row>
    <row r="48">
      <c r="A48">
        <f>IF($W48="","",IF(INDEX('Per Invoice'!A$2:A$801,$W48)="","",INDEX('Per Invoice'!A$2:A$801,$W48)))</f>
        <v/>
      </c>
      <c r="B48">
        <f>IF($W48="","",IF(INDEX('Per Invoice'!B$2:B$801,$W48)="","",INDEX('Per Invoice'!B$2:B$801,$W48)))</f>
        <v/>
      </c>
      <c r="C48">
        <f>IF($W48="","",IF(INDEX('Per Invoice'!C$2:C$801,$W48)="","",INDEX('Per Invoice'!C$2:C$801,$W48)))</f>
        <v/>
      </c>
      <c r="D48">
        <f>IF($W48="","",IF(INDEX('Per Invoice'!D$2:D$801,$W48)="","",INDEX('Per Invoice'!D$2:D$801,$W48)))</f>
        <v/>
      </c>
      <c r="E48">
        <f>IF($W48="","",IF(INDEX('Per Invoice'!E$2:E$801,$W48)="","",INDEX('Per Invoice'!E$2:E$801,$W48)))</f>
        <v/>
      </c>
      <c r="F48">
        <f>IF($W48="","",IF(INDEX('Per Invoice'!F$2:F$801,$W48)="","",INDEX('Per Invoice'!F$2:F$801,$W48)))</f>
        <v/>
      </c>
      <c r="G48">
        <f>IF($W48="","",IF(INDEX('Per Invoice'!G$2:G$801,$W48)="","",INDEX('Per Invoice'!G$2:G$801,$W48)))</f>
        <v/>
      </c>
      <c r="H48">
        <f>IF($W48="","",IF(INDEX('Per Invoice'!H$2:H$801,$W48)="","",INDEX('Per Invoice'!H$2:H$801,$W48)))</f>
        <v/>
      </c>
      <c r="I48">
        <f>IF($W48="","",IF(INDEX('Per Invoice'!I$2:I$801,$W48)="","",INDEX('Per Invoice'!I$2:I$801,$W48)))</f>
        <v/>
      </c>
      <c r="J48">
        <f>IF($W48="","",IF(INDEX('Per Invoice'!J$2:J$801,$W48)="","",INDEX('Per Invoice'!J$2:J$801,$W48)))</f>
        <v/>
      </c>
      <c r="K48" s="7">
        <f>IF($W48="","",IF(INDEX('Per Invoice'!K$2:K$801,$W48)="","",INDEX('Per Invoice'!K$2:K$801,$W48)))</f>
        <v/>
      </c>
      <c r="L48" s="14">
        <f>IF($W48="","",IF(INDEX('Per Invoice'!L$2:L$801,$W48)="","",INDEX('Per Invoice'!L$2:L$801,$W48)))</f>
        <v/>
      </c>
      <c r="M48">
        <f>IF($W48="","",IF(INDEX('Per Invoice'!M$2:M$801,$W48)="","",INDEX('Per Invoice'!M$2:M$801,$W48)))</f>
        <v/>
      </c>
      <c r="N48" s="7">
        <f>IF($W48="","",IF(INDEX('Per Invoice'!N$2:N$801,$W48)="","",INDEX('Per Invoice'!N$2:N$801,$W48)))</f>
        <v/>
      </c>
      <c r="O48" s="7">
        <f>IF($W48="","",IF(INDEX('Per Invoice'!O$2:O$801,$W48)="","",INDEX('Per Invoice'!O$2:O$801,$W48)))</f>
        <v/>
      </c>
      <c r="P48">
        <f>IF($W48="","",IF(INDEX('Per Invoice'!P$2:P$801,$W48)="","",INDEX('Per Invoice'!P$2:P$801,$W48)))</f>
        <v/>
      </c>
      <c r="Q48" s="7">
        <f>IF($W48="","",IF(INDEX('Per Invoice'!Q$2:Q$801,$W48)="","",INDEX('Per Invoice'!Q$2:Q$801,$W48)))</f>
        <v/>
      </c>
      <c r="R48" s="7">
        <f>IF($W48="","",IF(INDEX('Per Invoice'!R$2:R$801,$W48)="","",INDEX('Per Invoice'!R$2:R$801,$W48)))</f>
        <v/>
      </c>
      <c r="S48" s="7">
        <f>IF($W48="","",IF(INDEX('Per Invoice'!S$2:S$801,$W48)="","",INDEX('Per Invoice'!S$2:S$801,$W48)))</f>
        <v/>
      </c>
      <c r="T48" s="7">
        <f>IF($W48="","",IF(INDEX('Per Invoice'!T$2:T$801,$W48)="","",INDEX('Per Invoice'!T$2:T$801,$W48)))</f>
        <v/>
      </c>
      <c r="U48" s="7">
        <f>IF($W48="","",IF(INDEX('Per Invoice'!U$2:U$801,$W48)="","",INDEX('Per Invoice'!U$2:U$801,$W48)))</f>
        <v/>
      </c>
      <c r="V48" s="7">
        <f>IF($W48="","",IF(INDEX('Per Invoice'!V$2:V$801,$W48)="","",INDEX('Per Invoice'!V$2:V$801,$W48)))</f>
        <v/>
      </c>
      <c r="W48" s="16">
        <f>IFERROR(MATCH(Settings!$C$29&amp;"|"&amp;ROWS($W$2:$W48),'Per Invoice'!$X$2:$X$801,0),"")</f>
        <v/>
      </c>
    </row>
    <row r="49">
      <c r="A49">
        <f>IF($W49="","",IF(INDEX('Per Invoice'!A$2:A$801,$W49)="","",INDEX('Per Invoice'!A$2:A$801,$W49)))</f>
        <v/>
      </c>
      <c r="B49">
        <f>IF($W49="","",IF(INDEX('Per Invoice'!B$2:B$801,$W49)="","",INDEX('Per Invoice'!B$2:B$801,$W49)))</f>
        <v/>
      </c>
      <c r="C49">
        <f>IF($W49="","",IF(INDEX('Per Invoice'!C$2:C$801,$W49)="","",INDEX('Per Invoice'!C$2:C$801,$W49)))</f>
        <v/>
      </c>
      <c r="D49">
        <f>IF($W49="","",IF(INDEX('Per Invoice'!D$2:D$801,$W49)="","",INDEX('Per Invoice'!D$2:D$801,$W49)))</f>
        <v/>
      </c>
      <c r="E49">
        <f>IF($W49="","",IF(INDEX('Per Invoice'!E$2:E$801,$W49)="","",INDEX('Per Invoice'!E$2:E$801,$W49)))</f>
        <v/>
      </c>
      <c r="F49">
        <f>IF($W49="","",IF(INDEX('Per Invoice'!F$2:F$801,$W49)="","",INDEX('Per Invoice'!F$2:F$801,$W49)))</f>
        <v/>
      </c>
      <c r="G49">
        <f>IF($W49="","",IF(INDEX('Per Invoice'!G$2:G$801,$W49)="","",INDEX('Per Invoice'!G$2:G$801,$W49)))</f>
        <v/>
      </c>
      <c r="H49">
        <f>IF($W49="","",IF(INDEX('Per Invoice'!H$2:H$801,$W49)="","",INDEX('Per Invoice'!H$2:H$801,$W49)))</f>
        <v/>
      </c>
      <c r="I49">
        <f>IF($W49="","",IF(INDEX('Per Invoice'!I$2:I$801,$W49)="","",INDEX('Per Invoice'!I$2:I$801,$W49)))</f>
        <v/>
      </c>
      <c r="J49">
        <f>IF($W49="","",IF(INDEX('Per Invoice'!J$2:J$801,$W49)="","",INDEX('Per Invoice'!J$2:J$801,$W49)))</f>
        <v/>
      </c>
      <c r="K49" s="7">
        <f>IF($W49="","",IF(INDEX('Per Invoice'!K$2:K$801,$W49)="","",INDEX('Per Invoice'!K$2:K$801,$W49)))</f>
        <v/>
      </c>
      <c r="L49" s="14">
        <f>IF($W49="","",IF(INDEX('Per Invoice'!L$2:L$801,$W49)="","",INDEX('Per Invoice'!L$2:L$801,$W49)))</f>
        <v/>
      </c>
      <c r="M49">
        <f>IF($W49="","",IF(INDEX('Per Invoice'!M$2:M$801,$W49)="","",INDEX('Per Invoice'!M$2:M$801,$W49)))</f>
        <v/>
      </c>
      <c r="N49" s="7">
        <f>IF($W49="","",IF(INDEX('Per Invoice'!N$2:N$801,$W49)="","",INDEX('Per Invoice'!N$2:N$801,$W49)))</f>
        <v/>
      </c>
      <c r="O49" s="7">
        <f>IF($W49="","",IF(INDEX('Per Invoice'!O$2:O$801,$W49)="","",INDEX('Per Invoice'!O$2:O$801,$W49)))</f>
        <v/>
      </c>
      <c r="P49">
        <f>IF($W49="","",IF(INDEX('Per Invoice'!P$2:P$801,$W49)="","",INDEX('Per Invoice'!P$2:P$801,$W49)))</f>
        <v/>
      </c>
      <c r="Q49" s="7">
        <f>IF($W49="","",IF(INDEX('Per Invoice'!Q$2:Q$801,$W49)="","",INDEX('Per Invoice'!Q$2:Q$801,$W49)))</f>
        <v/>
      </c>
      <c r="R49" s="7">
        <f>IF($W49="","",IF(INDEX('Per Invoice'!R$2:R$801,$W49)="","",INDEX('Per Invoice'!R$2:R$801,$W49)))</f>
        <v/>
      </c>
      <c r="S49" s="7">
        <f>IF($W49="","",IF(INDEX('Per Invoice'!S$2:S$801,$W49)="","",INDEX('Per Invoice'!S$2:S$801,$W49)))</f>
        <v/>
      </c>
      <c r="T49" s="7">
        <f>IF($W49="","",IF(INDEX('Per Invoice'!T$2:T$801,$W49)="","",INDEX('Per Invoice'!T$2:T$801,$W49)))</f>
        <v/>
      </c>
      <c r="U49" s="7">
        <f>IF($W49="","",IF(INDEX('Per Invoice'!U$2:U$801,$W49)="","",INDEX('Per Invoice'!U$2:U$801,$W49)))</f>
        <v/>
      </c>
      <c r="V49" s="7">
        <f>IF($W49="","",IF(INDEX('Per Invoice'!V$2:V$801,$W49)="","",INDEX('Per Invoice'!V$2:V$801,$W49)))</f>
        <v/>
      </c>
      <c r="W49" s="16">
        <f>IFERROR(MATCH(Settings!$C$29&amp;"|"&amp;ROWS($W$2:$W49),'Per Invoice'!$X$2:$X$801,0),"")</f>
        <v/>
      </c>
    </row>
    <row r="50">
      <c r="A50">
        <f>IF($W50="","",IF(INDEX('Per Invoice'!A$2:A$801,$W50)="","",INDEX('Per Invoice'!A$2:A$801,$W50)))</f>
        <v/>
      </c>
      <c r="B50">
        <f>IF($W50="","",IF(INDEX('Per Invoice'!B$2:B$801,$W50)="","",INDEX('Per Invoice'!B$2:B$801,$W50)))</f>
        <v/>
      </c>
      <c r="C50">
        <f>IF($W50="","",IF(INDEX('Per Invoice'!C$2:C$801,$W50)="","",INDEX('Per Invoice'!C$2:C$801,$W50)))</f>
        <v/>
      </c>
      <c r="D50">
        <f>IF($W50="","",IF(INDEX('Per Invoice'!D$2:D$801,$W50)="","",INDEX('Per Invoice'!D$2:D$801,$W50)))</f>
        <v/>
      </c>
      <c r="E50">
        <f>IF($W50="","",IF(INDEX('Per Invoice'!E$2:E$801,$W50)="","",INDEX('Per Invoice'!E$2:E$801,$W50)))</f>
        <v/>
      </c>
      <c r="F50">
        <f>IF($W50="","",IF(INDEX('Per Invoice'!F$2:F$801,$W50)="","",INDEX('Per Invoice'!F$2:F$801,$W50)))</f>
        <v/>
      </c>
      <c r="G50">
        <f>IF($W50="","",IF(INDEX('Per Invoice'!G$2:G$801,$W50)="","",INDEX('Per Invoice'!G$2:G$801,$W50)))</f>
        <v/>
      </c>
      <c r="H50">
        <f>IF($W50="","",IF(INDEX('Per Invoice'!H$2:H$801,$W50)="","",INDEX('Per Invoice'!H$2:H$801,$W50)))</f>
        <v/>
      </c>
      <c r="I50">
        <f>IF($W50="","",IF(INDEX('Per Invoice'!I$2:I$801,$W50)="","",INDEX('Per Invoice'!I$2:I$801,$W50)))</f>
        <v/>
      </c>
      <c r="J50">
        <f>IF($W50="","",IF(INDEX('Per Invoice'!J$2:J$801,$W50)="","",INDEX('Per Invoice'!J$2:J$801,$W50)))</f>
        <v/>
      </c>
      <c r="K50" s="7">
        <f>IF($W50="","",IF(INDEX('Per Invoice'!K$2:K$801,$W50)="","",INDEX('Per Invoice'!K$2:K$801,$W50)))</f>
        <v/>
      </c>
      <c r="L50" s="14">
        <f>IF($W50="","",IF(INDEX('Per Invoice'!L$2:L$801,$W50)="","",INDEX('Per Invoice'!L$2:L$801,$W50)))</f>
        <v/>
      </c>
      <c r="M50">
        <f>IF($W50="","",IF(INDEX('Per Invoice'!M$2:M$801,$W50)="","",INDEX('Per Invoice'!M$2:M$801,$W50)))</f>
        <v/>
      </c>
      <c r="N50" s="7">
        <f>IF($W50="","",IF(INDEX('Per Invoice'!N$2:N$801,$W50)="","",INDEX('Per Invoice'!N$2:N$801,$W50)))</f>
        <v/>
      </c>
      <c r="O50" s="7">
        <f>IF($W50="","",IF(INDEX('Per Invoice'!O$2:O$801,$W50)="","",INDEX('Per Invoice'!O$2:O$801,$W50)))</f>
        <v/>
      </c>
      <c r="P50">
        <f>IF($W50="","",IF(INDEX('Per Invoice'!P$2:P$801,$W50)="","",INDEX('Per Invoice'!P$2:P$801,$W50)))</f>
        <v/>
      </c>
      <c r="Q50" s="7">
        <f>IF($W50="","",IF(INDEX('Per Invoice'!Q$2:Q$801,$W50)="","",INDEX('Per Invoice'!Q$2:Q$801,$W50)))</f>
        <v/>
      </c>
      <c r="R50" s="7">
        <f>IF($W50="","",IF(INDEX('Per Invoice'!R$2:R$801,$W50)="","",INDEX('Per Invoice'!R$2:R$801,$W50)))</f>
        <v/>
      </c>
      <c r="S50" s="7">
        <f>IF($W50="","",IF(INDEX('Per Invoice'!S$2:S$801,$W50)="","",INDEX('Per Invoice'!S$2:S$801,$W50)))</f>
        <v/>
      </c>
      <c r="T50" s="7">
        <f>IF($W50="","",IF(INDEX('Per Invoice'!T$2:T$801,$W50)="","",INDEX('Per Invoice'!T$2:T$801,$W50)))</f>
        <v/>
      </c>
      <c r="U50" s="7">
        <f>IF($W50="","",IF(INDEX('Per Invoice'!U$2:U$801,$W50)="","",INDEX('Per Invoice'!U$2:U$801,$W50)))</f>
        <v/>
      </c>
      <c r="V50" s="7">
        <f>IF($W50="","",IF(INDEX('Per Invoice'!V$2:V$801,$W50)="","",INDEX('Per Invoice'!V$2:V$801,$W50)))</f>
        <v/>
      </c>
      <c r="W50" s="16">
        <f>IFERROR(MATCH(Settings!$C$29&amp;"|"&amp;ROWS($W$2:$W50),'Per Invoice'!$X$2:$X$801,0),"")</f>
        <v/>
      </c>
    </row>
    <row r="51">
      <c r="A51">
        <f>IF($W51="","",IF(INDEX('Per Invoice'!A$2:A$801,$W51)="","",INDEX('Per Invoice'!A$2:A$801,$W51)))</f>
        <v/>
      </c>
      <c r="B51">
        <f>IF($W51="","",IF(INDEX('Per Invoice'!B$2:B$801,$W51)="","",INDEX('Per Invoice'!B$2:B$801,$W51)))</f>
        <v/>
      </c>
      <c r="C51">
        <f>IF($W51="","",IF(INDEX('Per Invoice'!C$2:C$801,$W51)="","",INDEX('Per Invoice'!C$2:C$801,$W51)))</f>
        <v/>
      </c>
      <c r="D51">
        <f>IF($W51="","",IF(INDEX('Per Invoice'!D$2:D$801,$W51)="","",INDEX('Per Invoice'!D$2:D$801,$W51)))</f>
        <v/>
      </c>
      <c r="E51">
        <f>IF($W51="","",IF(INDEX('Per Invoice'!E$2:E$801,$W51)="","",INDEX('Per Invoice'!E$2:E$801,$W51)))</f>
        <v/>
      </c>
      <c r="F51">
        <f>IF($W51="","",IF(INDEX('Per Invoice'!F$2:F$801,$W51)="","",INDEX('Per Invoice'!F$2:F$801,$W51)))</f>
        <v/>
      </c>
      <c r="G51">
        <f>IF($W51="","",IF(INDEX('Per Invoice'!G$2:G$801,$W51)="","",INDEX('Per Invoice'!G$2:G$801,$W51)))</f>
        <v/>
      </c>
      <c r="H51">
        <f>IF($W51="","",IF(INDEX('Per Invoice'!H$2:H$801,$W51)="","",INDEX('Per Invoice'!H$2:H$801,$W51)))</f>
        <v/>
      </c>
      <c r="I51">
        <f>IF($W51="","",IF(INDEX('Per Invoice'!I$2:I$801,$W51)="","",INDEX('Per Invoice'!I$2:I$801,$W51)))</f>
        <v/>
      </c>
      <c r="J51">
        <f>IF($W51="","",IF(INDEX('Per Invoice'!J$2:J$801,$W51)="","",INDEX('Per Invoice'!J$2:J$801,$W51)))</f>
        <v/>
      </c>
      <c r="K51" s="7">
        <f>IF($W51="","",IF(INDEX('Per Invoice'!K$2:K$801,$W51)="","",INDEX('Per Invoice'!K$2:K$801,$W51)))</f>
        <v/>
      </c>
      <c r="L51" s="14">
        <f>IF($W51="","",IF(INDEX('Per Invoice'!L$2:L$801,$W51)="","",INDEX('Per Invoice'!L$2:L$801,$W51)))</f>
        <v/>
      </c>
      <c r="M51">
        <f>IF($W51="","",IF(INDEX('Per Invoice'!M$2:M$801,$W51)="","",INDEX('Per Invoice'!M$2:M$801,$W51)))</f>
        <v/>
      </c>
      <c r="N51" s="7">
        <f>IF($W51="","",IF(INDEX('Per Invoice'!N$2:N$801,$W51)="","",INDEX('Per Invoice'!N$2:N$801,$W51)))</f>
        <v/>
      </c>
      <c r="O51" s="7">
        <f>IF($W51="","",IF(INDEX('Per Invoice'!O$2:O$801,$W51)="","",INDEX('Per Invoice'!O$2:O$801,$W51)))</f>
        <v/>
      </c>
      <c r="P51">
        <f>IF($W51="","",IF(INDEX('Per Invoice'!P$2:P$801,$W51)="","",INDEX('Per Invoice'!P$2:P$801,$W51)))</f>
        <v/>
      </c>
      <c r="Q51" s="7">
        <f>IF($W51="","",IF(INDEX('Per Invoice'!Q$2:Q$801,$W51)="","",INDEX('Per Invoice'!Q$2:Q$801,$W51)))</f>
        <v/>
      </c>
      <c r="R51" s="7">
        <f>IF($W51="","",IF(INDEX('Per Invoice'!R$2:R$801,$W51)="","",INDEX('Per Invoice'!R$2:R$801,$W51)))</f>
        <v/>
      </c>
      <c r="S51" s="7">
        <f>IF($W51="","",IF(INDEX('Per Invoice'!S$2:S$801,$W51)="","",INDEX('Per Invoice'!S$2:S$801,$W51)))</f>
        <v/>
      </c>
      <c r="T51" s="7">
        <f>IF($W51="","",IF(INDEX('Per Invoice'!T$2:T$801,$W51)="","",INDEX('Per Invoice'!T$2:T$801,$W51)))</f>
        <v/>
      </c>
      <c r="U51" s="7">
        <f>IF($W51="","",IF(INDEX('Per Invoice'!U$2:U$801,$W51)="","",INDEX('Per Invoice'!U$2:U$801,$W51)))</f>
        <v/>
      </c>
      <c r="V51" s="7">
        <f>IF($W51="","",IF(INDEX('Per Invoice'!V$2:V$801,$W51)="","",INDEX('Per Invoice'!V$2:V$801,$W51)))</f>
        <v/>
      </c>
      <c r="W51" s="16">
        <f>IFERROR(MATCH(Settings!$C$29&amp;"|"&amp;ROWS($W$2:$W51),'Per Invoice'!$X$2:$X$801,0),"")</f>
        <v/>
      </c>
    </row>
    <row r="52">
      <c r="A52">
        <f>IF($W52="","",IF(INDEX('Per Invoice'!A$2:A$801,$W52)="","",INDEX('Per Invoice'!A$2:A$801,$W52)))</f>
        <v/>
      </c>
      <c r="B52">
        <f>IF($W52="","",IF(INDEX('Per Invoice'!B$2:B$801,$W52)="","",INDEX('Per Invoice'!B$2:B$801,$W52)))</f>
        <v/>
      </c>
      <c r="C52">
        <f>IF($W52="","",IF(INDEX('Per Invoice'!C$2:C$801,$W52)="","",INDEX('Per Invoice'!C$2:C$801,$W52)))</f>
        <v/>
      </c>
      <c r="D52">
        <f>IF($W52="","",IF(INDEX('Per Invoice'!D$2:D$801,$W52)="","",INDEX('Per Invoice'!D$2:D$801,$W52)))</f>
        <v/>
      </c>
      <c r="E52">
        <f>IF($W52="","",IF(INDEX('Per Invoice'!E$2:E$801,$W52)="","",INDEX('Per Invoice'!E$2:E$801,$W52)))</f>
        <v/>
      </c>
      <c r="F52">
        <f>IF($W52="","",IF(INDEX('Per Invoice'!F$2:F$801,$W52)="","",INDEX('Per Invoice'!F$2:F$801,$W52)))</f>
        <v/>
      </c>
      <c r="G52">
        <f>IF($W52="","",IF(INDEX('Per Invoice'!G$2:G$801,$W52)="","",INDEX('Per Invoice'!G$2:G$801,$W52)))</f>
        <v/>
      </c>
      <c r="H52">
        <f>IF($W52="","",IF(INDEX('Per Invoice'!H$2:H$801,$W52)="","",INDEX('Per Invoice'!H$2:H$801,$W52)))</f>
        <v/>
      </c>
      <c r="I52">
        <f>IF($W52="","",IF(INDEX('Per Invoice'!I$2:I$801,$W52)="","",INDEX('Per Invoice'!I$2:I$801,$W52)))</f>
        <v/>
      </c>
      <c r="J52">
        <f>IF($W52="","",IF(INDEX('Per Invoice'!J$2:J$801,$W52)="","",INDEX('Per Invoice'!J$2:J$801,$W52)))</f>
        <v/>
      </c>
      <c r="K52" s="7">
        <f>IF($W52="","",IF(INDEX('Per Invoice'!K$2:K$801,$W52)="","",INDEX('Per Invoice'!K$2:K$801,$W52)))</f>
        <v/>
      </c>
      <c r="L52" s="14">
        <f>IF($W52="","",IF(INDEX('Per Invoice'!L$2:L$801,$W52)="","",INDEX('Per Invoice'!L$2:L$801,$W52)))</f>
        <v/>
      </c>
      <c r="M52">
        <f>IF($W52="","",IF(INDEX('Per Invoice'!M$2:M$801,$W52)="","",INDEX('Per Invoice'!M$2:M$801,$W52)))</f>
        <v/>
      </c>
      <c r="N52" s="7">
        <f>IF($W52="","",IF(INDEX('Per Invoice'!N$2:N$801,$W52)="","",INDEX('Per Invoice'!N$2:N$801,$W52)))</f>
        <v/>
      </c>
      <c r="O52" s="7">
        <f>IF($W52="","",IF(INDEX('Per Invoice'!O$2:O$801,$W52)="","",INDEX('Per Invoice'!O$2:O$801,$W52)))</f>
        <v/>
      </c>
      <c r="P52">
        <f>IF($W52="","",IF(INDEX('Per Invoice'!P$2:P$801,$W52)="","",INDEX('Per Invoice'!P$2:P$801,$W52)))</f>
        <v/>
      </c>
      <c r="Q52" s="7">
        <f>IF($W52="","",IF(INDEX('Per Invoice'!Q$2:Q$801,$W52)="","",INDEX('Per Invoice'!Q$2:Q$801,$W52)))</f>
        <v/>
      </c>
      <c r="R52" s="7">
        <f>IF($W52="","",IF(INDEX('Per Invoice'!R$2:R$801,$W52)="","",INDEX('Per Invoice'!R$2:R$801,$W52)))</f>
        <v/>
      </c>
      <c r="S52" s="7">
        <f>IF($W52="","",IF(INDEX('Per Invoice'!S$2:S$801,$W52)="","",INDEX('Per Invoice'!S$2:S$801,$W52)))</f>
        <v/>
      </c>
      <c r="T52" s="7">
        <f>IF($W52="","",IF(INDEX('Per Invoice'!T$2:T$801,$W52)="","",INDEX('Per Invoice'!T$2:T$801,$W52)))</f>
        <v/>
      </c>
      <c r="U52" s="7">
        <f>IF($W52="","",IF(INDEX('Per Invoice'!U$2:U$801,$W52)="","",INDEX('Per Invoice'!U$2:U$801,$W52)))</f>
        <v/>
      </c>
      <c r="V52" s="7">
        <f>IF($W52="","",IF(INDEX('Per Invoice'!V$2:V$801,$W52)="","",INDEX('Per Invoice'!V$2:V$801,$W52)))</f>
        <v/>
      </c>
      <c r="W52" s="16">
        <f>IFERROR(MATCH(Settings!$C$29&amp;"|"&amp;ROWS($W$2:$W52),'Per Invoice'!$X$2:$X$801,0),"")</f>
        <v/>
      </c>
    </row>
    <row r="53">
      <c r="A53">
        <f>IF($W53="","",IF(INDEX('Per Invoice'!A$2:A$801,$W53)="","",INDEX('Per Invoice'!A$2:A$801,$W53)))</f>
        <v/>
      </c>
      <c r="B53">
        <f>IF($W53="","",IF(INDEX('Per Invoice'!B$2:B$801,$W53)="","",INDEX('Per Invoice'!B$2:B$801,$W53)))</f>
        <v/>
      </c>
      <c r="C53">
        <f>IF($W53="","",IF(INDEX('Per Invoice'!C$2:C$801,$W53)="","",INDEX('Per Invoice'!C$2:C$801,$W53)))</f>
        <v/>
      </c>
      <c r="D53">
        <f>IF($W53="","",IF(INDEX('Per Invoice'!D$2:D$801,$W53)="","",INDEX('Per Invoice'!D$2:D$801,$W53)))</f>
        <v/>
      </c>
      <c r="E53">
        <f>IF($W53="","",IF(INDEX('Per Invoice'!E$2:E$801,$W53)="","",INDEX('Per Invoice'!E$2:E$801,$W53)))</f>
        <v/>
      </c>
      <c r="F53">
        <f>IF($W53="","",IF(INDEX('Per Invoice'!F$2:F$801,$W53)="","",INDEX('Per Invoice'!F$2:F$801,$W53)))</f>
        <v/>
      </c>
      <c r="G53">
        <f>IF($W53="","",IF(INDEX('Per Invoice'!G$2:G$801,$W53)="","",INDEX('Per Invoice'!G$2:G$801,$W53)))</f>
        <v/>
      </c>
      <c r="H53">
        <f>IF($W53="","",IF(INDEX('Per Invoice'!H$2:H$801,$W53)="","",INDEX('Per Invoice'!H$2:H$801,$W53)))</f>
        <v/>
      </c>
      <c r="I53">
        <f>IF($W53="","",IF(INDEX('Per Invoice'!I$2:I$801,$W53)="","",INDEX('Per Invoice'!I$2:I$801,$W53)))</f>
        <v/>
      </c>
      <c r="J53">
        <f>IF($W53="","",IF(INDEX('Per Invoice'!J$2:J$801,$W53)="","",INDEX('Per Invoice'!J$2:J$801,$W53)))</f>
        <v/>
      </c>
      <c r="K53" s="7">
        <f>IF($W53="","",IF(INDEX('Per Invoice'!K$2:K$801,$W53)="","",INDEX('Per Invoice'!K$2:K$801,$W53)))</f>
        <v/>
      </c>
      <c r="L53" s="14">
        <f>IF($W53="","",IF(INDEX('Per Invoice'!L$2:L$801,$W53)="","",INDEX('Per Invoice'!L$2:L$801,$W53)))</f>
        <v/>
      </c>
      <c r="M53">
        <f>IF($W53="","",IF(INDEX('Per Invoice'!M$2:M$801,$W53)="","",INDEX('Per Invoice'!M$2:M$801,$W53)))</f>
        <v/>
      </c>
      <c r="N53" s="7">
        <f>IF($W53="","",IF(INDEX('Per Invoice'!N$2:N$801,$W53)="","",INDEX('Per Invoice'!N$2:N$801,$W53)))</f>
        <v/>
      </c>
      <c r="O53" s="7">
        <f>IF($W53="","",IF(INDEX('Per Invoice'!O$2:O$801,$W53)="","",INDEX('Per Invoice'!O$2:O$801,$W53)))</f>
        <v/>
      </c>
      <c r="P53">
        <f>IF($W53="","",IF(INDEX('Per Invoice'!P$2:P$801,$W53)="","",INDEX('Per Invoice'!P$2:P$801,$W53)))</f>
        <v/>
      </c>
      <c r="Q53" s="7">
        <f>IF($W53="","",IF(INDEX('Per Invoice'!Q$2:Q$801,$W53)="","",INDEX('Per Invoice'!Q$2:Q$801,$W53)))</f>
        <v/>
      </c>
      <c r="R53" s="7">
        <f>IF($W53="","",IF(INDEX('Per Invoice'!R$2:R$801,$W53)="","",INDEX('Per Invoice'!R$2:R$801,$W53)))</f>
        <v/>
      </c>
      <c r="S53" s="7">
        <f>IF($W53="","",IF(INDEX('Per Invoice'!S$2:S$801,$W53)="","",INDEX('Per Invoice'!S$2:S$801,$W53)))</f>
        <v/>
      </c>
      <c r="T53" s="7">
        <f>IF($W53="","",IF(INDEX('Per Invoice'!T$2:T$801,$W53)="","",INDEX('Per Invoice'!T$2:T$801,$W53)))</f>
        <v/>
      </c>
      <c r="U53" s="7">
        <f>IF($W53="","",IF(INDEX('Per Invoice'!U$2:U$801,$W53)="","",INDEX('Per Invoice'!U$2:U$801,$W53)))</f>
        <v/>
      </c>
      <c r="V53" s="7">
        <f>IF($W53="","",IF(INDEX('Per Invoice'!V$2:V$801,$W53)="","",INDEX('Per Invoice'!V$2:V$801,$W53)))</f>
        <v/>
      </c>
      <c r="W53" s="16">
        <f>IFERROR(MATCH(Settings!$C$29&amp;"|"&amp;ROWS($W$2:$W53),'Per Invoice'!$X$2:$X$801,0),"")</f>
        <v/>
      </c>
    </row>
    <row r="54">
      <c r="A54">
        <f>IF($W54="","",IF(INDEX('Per Invoice'!A$2:A$801,$W54)="","",INDEX('Per Invoice'!A$2:A$801,$W54)))</f>
        <v/>
      </c>
      <c r="B54">
        <f>IF($W54="","",IF(INDEX('Per Invoice'!B$2:B$801,$W54)="","",INDEX('Per Invoice'!B$2:B$801,$W54)))</f>
        <v/>
      </c>
      <c r="C54">
        <f>IF($W54="","",IF(INDEX('Per Invoice'!C$2:C$801,$W54)="","",INDEX('Per Invoice'!C$2:C$801,$W54)))</f>
        <v/>
      </c>
      <c r="D54">
        <f>IF($W54="","",IF(INDEX('Per Invoice'!D$2:D$801,$W54)="","",INDEX('Per Invoice'!D$2:D$801,$W54)))</f>
        <v/>
      </c>
      <c r="E54">
        <f>IF($W54="","",IF(INDEX('Per Invoice'!E$2:E$801,$W54)="","",INDEX('Per Invoice'!E$2:E$801,$W54)))</f>
        <v/>
      </c>
      <c r="F54">
        <f>IF($W54="","",IF(INDEX('Per Invoice'!F$2:F$801,$W54)="","",INDEX('Per Invoice'!F$2:F$801,$W54)))</f>
        <v/>
      </c>
      <c r="G54">
        <f>IF($W54="","",IF(INDEX('Per Invoice'!G$2:G$801,$W54)="","",INDEX('Per Invoice'!G$2:G$801,$W54)))</f>
        <v/>
      </c>
      <c r="H54">
        <f>IF($W54="","",IF(INDEX('Per Invoice'!H$2:H$801,$W54)="","",INDEX('Per Invoice'!H$2:H$801,$W54)))</f>
        <v/>
      </c>
      <c r="I54">
        <f>IF($W54="","",IF(INDEX('Per Invoice'!I$2:I$801,$W54)="","",INDEX('Per Invoice'!I$2:I$801,$W54)))</f>
        <v/>
      </c>
      <c r="J54">
        <f>IF($W54="","",IF(INDEX('Per Invoice'!J$2:J$801,$W54)="","",INDEX('Per Invoice'!J$2:J$801,$W54)))</f>
        <v/>
      </c>
      <c r="K54" s="7">
        <f>IF($W54="","",IF(INDEX('Per Invoice'!K$2:K$801,$W54)="","",INDEX('Per Invoice'!K$2:K$801,$W54)))</f>
        <v/>
      </c>
      <c r="L54" s="14">
        <f>IF($W54="","",IF(INDEX('Per Invoice'!L$2:L$801,$W54)="","",INDEX('Per Invoice'!L$2:L$801,$W54)))</f>
        <v/>
      </c>
      <c r="M54">
        <f>IF($W54="","",IF(INDEX('Per Invoice'!M$2:M$801,$W54)="","",INDEX('Per Invoice'!M$2:M$801,$W54)))</f>
        <v/>
      </c>
      <c r="N54" s="7">
        <f>IF($W54="","",IF(INDEX('Per Invoice'!N$2:N$801,$W54)="","",INDEX('Per Invoice'!N$2:N$801,$W54)))</f>
        <v/>
      </c>
      <c r="O54" s="7">
        <f>IF($W54="","",IF(INDEX('Per Invoice'!O$2:O$801,$W54)="","",INDEX('Per Invoice'!O$2:O$801,$W54)))</f>
        <v/>
      </c>
      <c r="P54">
        <f>IF($W54="","",IF(INDEX('Per Invoice'!P$2:P$801,$W54)="","",INDEX('Per Invoice'!P$2:P$801,$W54)))</f>
        <v/>
      </c>
      <c r="Q54" s="7">
        <f>IF($W54="","",IF(INDEX('Per Invoice'!Q$2:Q$801,$W54)="","",INDEX('Per Invoice'!Q$2:Q$801,$W54)))</f>
        <v/>
      </c>
      <c r="R54" s="7">
        <f>IF($W54="","",IF(INDEX('Per Invoice'!R$2:R$801,$W54)="","",INDEX('Per Invoice'!R$2:R$801,$W54)))</f>
        <v/>
      </c>
      <c r="S54" s="7">
        <f>IF($W54="","",IF(INDEX('Per Invoice'!S$2:S$801,$W54)="","",INDEX('Per Invoice'!S$2:S$801,$W54)))</f>
        <v/>
      </c>
      <c r="T54" s="7">
        <f>IF($W54="","",IF(INDEX('Per Invoice'!T$2:T$801,$W54)="","",INDEX('Per Invoice'!T$2:T$801,$W54)))</f>
        <v/>
      </c>
      <c r="U54" s="7">
        <f>IF($W54="","",IF(INDEX('Per Invoice'!U$2:U$801,$W54)="","",INDEX('Per Invoice'!U$2:U$801,$W54)))</f>
        <v/>
      </c>
      <c r="V54" s="7">
        <f>IF($W54="","",IF(INDEX('Per Invoice'!V$2:V$801,$W54)="","",INDEX('Per Invoice'!V$2:V$801,$W54)))</f>
        <v/>
      </c>
      <c r="W54" s="16">
        <f>IFERROR(MATCH(Settings!$C$29&amp;"|"&amp;ROWS($W$2:$W54),'Per Invoice'!$X$2:$X$801,0),"")</f>
        <v/>
      </c>
    </row>
    <row r="55">
      <c r="A55">
        <f>IF($W55="","",IF(INDEX('Per Invoice'!A$2:A$801,$W55)="","",INDEX('Per Invoice'!A$2:A$801,$W55)))</f>
        <v/>
      </c>
      <c r="B55">
        <f>IF($W55="","",IF(INDEX('Per Invoice'!B$2:B$801,$W55)="","",INDEX('Per Invoice'!B$2:B$801,$W55)))</f>
        <v/>
      </c>
      <c r="C55">
        <f>IF($W55="","",IF(INDEX('Per Invoice'!C$2:C$801,$W55)="","",INDEX('Per Invoice'!C$2:C$801,$W55)))</f>
        <v/>
      </c>
      <c r="D55">
        <f>IF($W55="","",IF(INDEX('Per Invoice'!D$2:D$801,$W55)="","",INDEX('Per Invoice'!D$2:D$801,$W55)))</f>
        <v/>
      </c>
      <c r="E55">
        <f>IF($W55="","",IF(INDEX('Per Invoice'!E$2:E$801,$W55)="","",INDEX('Per Invoice'!E$2:E$801,$W55)))</f>
        <v/>
      </c>
      <c r="F55">
        <f>IF($W55="","",IF(INDEX('Per Invoice'!F$2:F$801,$W55)="","",INDEX('Per Invoice'!F$2:F$801,$W55)))</f>
        <v/>
      </c>
      <c r="G55">
        <f>IF($W55="","",IF(INDEX('Per Invoice'!G$2:G$801,$W55)="","",INDEX('Per Invoice'!G$2:G$801,$W55)))</f>
        <v/>
      </c>
      <c r="H55">
        <f>IF($W55="","",IF(INDEX('Per Invoice'!H$2:H$801,$W55)="","",INDEX('Per Invoice'!H$2:H$801,$W55)))</f>
        <v/>
      </c>
      <c r="I55">
        <f>IF($W55="","",IF(INDEX('Per Invoice'!I$2:I$801,$W55)="","",INDEX('Per Invoice'!I$2:I$801,$W55)))</f>
        <v/>
      </c>
      <c r="J55">
        <f>IF($W55="","",IF(INDEX('Per Invoice'!J$2:J$801,$W55)="","",INDEX('Per Invoice'!J$2:J$801,$W55)))</f>
        <v/>
      </c>
      <c r="K55" s="7">
        <f>IF($W55="","",IF(INDEX('Per Invoice'!K$2:K$801,$W55)="","",INDEX('Per Invoice'!K$2:K$801,$W55)))</f>
        <v/>
      </c>
      <c r="L55" s="14">
        <f>IF($W55="","",IF(INDEX('Per Invoice'!L$2:L$801,$W55)="","",INDEX('Per Invoice'!L$2:L$801,$W55)))</f>
        <v/>
      </c>
      <c r="M55">
        <f>IF($W55="","",IF(INDEX('Per Invoice'!M$2:M$801,$W55)="","",INDEX('Per Invoice'!M$2:M$801,$W55)))</f>
        <v/>
      </c>
      <c r="N55" s="7">
        <f>IF($W55="","",IF(INDEX('Per Invoice'!N$2:N$801,$W55)="","",INDEX('Per Invoice'!N$2:N$801,$W55)))</f>
        <v/>
      </c>
      <c r="O55" s="7">
        <f>IF($W55="","",IF(INDEX('Per Invoice'!O$2:O$801,$W55)="","",INDEX('Per Invoice'!O$2:O$801,$W55)))</f>
        <v/>
      </c>
      <c r="P55">
        <f>IF($W55="","",IF(INDEX('Per Invoice'!P$2:P$801,$W55)="","",INDEX('Per Invoice'!P$2:P$801,$W55)))</f>
        <v/>
      </c>
      <c r="Q55" s="7">
        <f>IF($W55="","",IF(INDEX('Per Invoice'!Q$2:Q$801,$W55)="","",INDEX('Per Invoice'!Q$2:Q$801,$W55)))</f>
        <v/>
      </c>
      <c r="R55" s="7">
        <f>IF($W55="","",IF(INDEX('Per Invoice'!R$2:R$801,$W55)="","",INDEX('Per Invoice'!R$2:R$801,$W55)))</f>
        <v/>
      </c>
      <c r="S55" s="7">
        <f>IF($W55="","",IF(INDEX('Per Invoice'!S$2:S$801,$W55)="","",INDEX('Per Invoice'!S$2:S$801,$W55)))</f>
        <v/>
      </c>
      <c r="T55" s="7">
        <f>IF($W55="","",IF(INDEX('Per Invoice'!T$2:T$801,$W55)="","",INDEX('Per Invoice'!T$2:T$801,$W55)))</f>
        <v/>
      </c>
      <c r="U55" s="7">
        <f>IF($W55="","",IF(INDEX('Per Invoice'!U$2:U$801,$W55)="","",INDEX('Per Invoice'!U$2:U$801,$W55)))</f>
        <v/>
      </c>
      <c r="V55" s="7">
        <f>IF($W55="","",IF(INDEX('Per Invoice'!V$2:V$801,$W55)="","",INDEX('Per Invoice'!V$2:V$801,$W55)))</f>
        <v/>
      </c>
      <c r="W55" s="16">
        <f>IFERROR(MATCH(Settings!$C$29&amp;"|"&amp;ROWS($W$2:$W55),'Per Invoice'!$X$2:$X$801,0),"")</f>
        <v/>
      </c>
    </row>
    <row r="56">
      <c r="A56">
        <f>IF($W56="","",IF(INDEX('Per Invoice'!A$2:A$801,$W56)="","",INDEX('Per Invoice'!A$2:A$801,$W56)))</f>
        <v/>
      </c>
      <c r="B56">
        <f>IF($W56="","",IF(INDEX('Per Invoice'!B$2:B$801,$W56)="","",INDEX('Per Invoice'!B$2:B$801,$W56)))</f>
        <v/>
      </c>
      <c r="C56">
        <f>IF($W56="","",IF(INDEX('Per Invoice'!C$2:C$801,$W56)="","",INDEX('Per Invoice'!C$2:C$801,$W56)))</f>
        <v/>
      </c>
      <c r="D56">
        <f>IF($W56="","",IF(INDEX('Per Invoice'!D$2:D$801,$W56)="","",INDEX('Per Invoice'!D$2:D$801,$W56)))</f>
        <v/>
      </c>
      <c r="E56">
        <f>IF($W56="","",IF(INDEX('Per Invoice'!E$2:E$801,$W56)="","",INDEX('Per Invoice'!E$2:E$801,$W56)))</f>
        <v/>
      </c>
      <c r="F56">
        <f>IF($W56="","",IF(INDEX('Per Invoice'!F$2:F$801,$W56)="","",INDEX('Per Invoice'!F$2:F$801,$W56)))</f>
        <v/>
      </c>
      <c r="G56">
        <f>IF($W56="","",IF(INDEX('Per Invoice'!G$2:G$801,$W56)="","",INDEX('Per Invoice'!G$2:G$801,$W56)))</f>
        <v/>
      </c>
      <c r="H56">
        <f>IF($W56="","",IF(INDEX('Per Invoice'!H$2:H$801,$W56)="","",INDEX('Per Invoice'!H$2:H$801,$W56)))</f>
        <v/>
      </c>
      <c r="I56">
        <f>IF($W56="","",IF(INDEX('Per Invoice'!I$2:I$801,$W56)="","",INDEX('Per Invoice'!I$2:I$801,$W56)))</f>
        <v/>
      </c>
      <c r="J56">
        <f>IF($W56="","",IF(INDEX('Per Invoice'!J$2:J$801,$W56)="","",INDEX('Per Invoice'!J$2:J$801,$W56)))</f>
        <v/>
      </c>
      <c r="K56" s="7">
        <f>IF($W56="","",IF(INDEX('Per Invoice'!K$2:K$801,$W56)="","",INDEX('Per Invoice'!K$2:K$801,$W56)))</f>
        <v/>
      </c>
      <c r="L56" s="14">
        <f>IF($W56="","",IF(INDEX('Per Invoice'!L$2:L$801,$W56)="","",INDEX('Per Invoice'!L$2:L$801,$W56)))</f>
        <v/>
      </c>
      <c r="M56">
        <f>IF($W56="","",IF(INDEX('Per Invoice'!M$2:M$801,$W56)="","",INDEX('Per Invoice'!M$2:M$801,$W56)))</f>
        <v/>
      </c>
      <c r="N56" s="7">
        <f>IF($W56="","",IF(INDEX('Per Invoice'!N$2:N$801,$W56)="","",INDEX('Per Invoice'!N$2:N$801,$W56)))</f>
        <v/>
      </c>
      <c r="O56" s="7">
        <f>IF($W56="","",IF(INDEX('Per Invoice'!O$2:O$801,$W56)="","",INDEX('Per Invoice'!O$2:O$801,$W56)))</f>
        <v/>
      </c>
      <c r="P56">
        <f>IF($W56="","",IF(INDEX('Per Invoice'!P$2:P$801,$W56)="","",INDEX('Per Invoice'!P$2:P$801,$W56)))</f>
        <v/>
      </c>
      <c r="Q56" s="7">
        <f>IF($W56="","",IF(INDEX('Per Invoice'!Q$2:Q$801,$W56)="","",INDEX('Per Invoice'!Q$2:Q$801,$W56)))</f>
        <v/>
      </c>
      <c r="R56" s="7">
        <f>IF($W56="","",IF(INDEX('Per Invoice'!R$2:R$801,$W56)="","",INDEX('Per Invoice'!R$2:R$801,$W56)))</f>
        <v/>
      </c>
      <c r="S56" s="7">
        <f>IF($W56="","",IF(INDEX('Per Invoice'!S$2:S$801,$W56)="","",INDEX('Per Invoice'!S$2:S$801,$W56)))</f>
        <v/>
      </c>
      <c r="T56" s="7">
        <f>IF($W56="","",IF(INDEX('Per Invoice'!T$2:T$801,$W56)="","",INDEX('Per Invoice'!T$2:T$801,$W56)))</f>
        <v/>
      </c>
      <c r="U56" s="7">
        <f>IF($W56="","",IF(INDEX('Per Invoice'!U$2:U$801,$W56)="","",INDEX('Per Invoice'!U$2:U$801,$W56)))</f>
        <v/>
      </c>
      <c r="V56" s="7">
        <f>IF($W56="","",IF(INDEX('Per Invoice'!V$2:V$801,$W56)="","",INDEX('Per Invoice'!V$2:V$801,$W56)))</f>
        <v/>
      </c>
      <c r="W56" s="16">
        <f>IFERROR(MATCH(Settings!$C$29&amp;"|"&amp;ROWS($W$2:$W56),'Per Invoice'!$X$2:$X$801,0),"")</f>
        <v/>
      </c>
    </row>
    <row r="57">
      <c r="A57">
        <f>IF($W57="","",IF(INDEX('Per Invoice'!A$2:A$801,$W57)="","",INDEX('Per Invoice'!A$2:A$801,$W57)))</f>
        <v/>
      </c>
      <c r="B57">
        <f>IF($W57="","",IF(INDEX('Per Invoice'!B$2:B$801,$W57)="","",INDEX('Per Invoice'!B$2:B$801,$W57)))</f>
        <v/>
      </c>
      <c r="C57">
        <f>IF($W57="","",IF(INDEX('Per Invoice'!C$2:C$801,$W57)="","",INDEX('Per Invoice'!C$2:C$801,$W57)))</f>
        <v/>
      </c>
      <c r="D57">
        <f>IF($W57="","",IF(INDEX('Per Invoice'!D$2:D$801,$W57)="","",INDEX('Per Invoice'!D$2:D$801,$W57)))</f>
        <v/>
      </c>
      <c r="E57">
        <f>IF($W57="","",IF(INDEX('Per Invoice'!E$2:E$801,$W57)="","",INDEX('Per Invoice'!E$2:E$801,$W57)))</f>
        <v/>
      </c>
      <c r="F57">
        <f>IF($W57="","",IF(INDEX('Per Invoice'!F$2:F$801,$W57)="","",INDEX('Per Invoice'!F$2:F$801,$W57)))</f>
        <v/>
      </c>
      <c r="G57">
        <f>IF($W57="","",IF(INDEX('Per Invoice'!G$2:G$801,$W57)="","",INDEX('Per Invoice'!G$2:G$801,$W57)))</f>
        <v/>
      </c>
      <c r="H57">
        <f>IF($W57="","",IF(INDEX('Per Invoice'!H$2:H$801,$W57)="","",INDEX('Per Invoice'!H$2:H$801,$W57)))</f>
        <v/>
      </c>
      <c r="I57">
        <f>IF($W57="","",IF(INDEX('Per Invoice'!I$2:I$801,$W57)="","",INDEX('Per Invoice'!I$2:I$801,$W57)))</f>
        <v/>
      </c>
      <c r="J57">
        <f>IF($W57="","",IF(INDEX('Per Invoice'!J$2:J$801,$W57)="","",INDEX('Per Invoice'!J$2:J$801,$W57)))</f>
        <v/>
      </c>
      <c r="K57" s="7">
        <f>IF($W57="","",IF(INDEX('Per Invoice'!K$2:K$801,$W57)="","",INDEX('Per Invoice'!K$2:K$801,$W57)))</f>
        <v/>
      </c>
      <c r="L57" s="14">
        <f>IF($W57="","",IF(INDEX('Per Invoice'!L$2:L$801,$W57)="","",INDEX('Per Invoice'!L$2:L$801,$W57)))</f>
        <v/>
      </c>
      <c r="M57">
        <f>IF($W57="","",IF(INDEX('Per Invoice'!M$2:M$801,$W57)="","",INDEX('Per Invoice'!M$2:M$801,$W57)))</f>
        <v/>
      </c>
      <c r="N57" s="7">
        <f>IF($W57="","",IF(INDEX('Per Invoice'!N$2:N$801,$W57)="","",INDEX('Per Invoice'!N$2:N$801,$W57)))</f>
        <v/>
      </c>
      <c r="O57" s="7">
        <f>IF($W57="","",IF(INDEX('Per Invoice'!O$2:O$801,$W57)="","",INDEX('Per Invoice'!O$2:O$801,$W57)))</f>
        <v/>
      </c>
      <c r="P57">
        <f>IF($W57="","",IF(INDEX('Per Invoice'!P$2:P$801,$W57)="","",INDEX('Per Invoice'!P$2:P$801,$W57)))</f>
        <v/>
      </c>
      <c r="Q57" s="7">
        <f>IF($W57="","",IF(INDEX('Per Invoice'!Q$2:Q$801,$W57)="","",INDEX('Per Invoice'!Q$2:Q$801,$W57)))</f>
        <v/>
      </c>
      <c r="R57" s="7">
        <f>IF($W57="","",IF(INDEX('Per Invoice'!R$2:R$801,$W57)="","",INDEX('Per Invoice'!R$2:R$801,$W57)))</f>
        <v/>
      </c>
      <c r="S57" s="7">
        <f>IF($W57="","",IF(INDEX('Per Invoice'!S$2:S$801,$W57)="","",INDEX('Per Invoice'!S$2:S$801,$W57)))</f>
        <v/>
      </c>
      <c r="T57" s="7">
        <f>IF($W57="","",IF(INDEX('Per Invoice'!T$2:T$801,$W57)="","",INDEX('Per Invoice'!T$2:T$801,$W57)))</f>
        <v/>
      </c>
      <c r="U57" s="7">
        <f>IF($W57="","",IF(INDEX('Per Invoice'!U$2:U$801,$W57)="","",INDEX('Per Invoice'!U$2:U$801,$W57)))</f>
        <v/>
      </c>
      <c r="V57" s="7">
        <f>IF($W57="","",IF(INDEX('Per Invoice'!V$2:V$801,$W57)="","",INDEX('Per Invoice'!V$2:V$801,$W57)))</f>
        <v/>
      </c>
      <c r="W57" s="16">
        <f>IFERROR(MATCH(Settings!$C$29&amp;"|"&amp;ROWS($W$2:$W57),'Per Invoice'!$X$2:$X$801,0),"")</f>
        <v/>
      </c>
    </row>
    <row r="58">
      <c r="A58">
        <f>IF($W58="","",IF(INDEX('Per Invoice'!A$2:A$801,$W58)="","",INDEX('Per Invoice'!A$2:A$801,$W58)))</f>
        <v/>
      </c>
      <c r="B58">
        <f>IF($W58="","",IF(INDEX('Per Invoice'!B$2:B$801,$W58)="","",INDEX('Per Invoice'!B$2:B$801,$W58)))</f>
        <v/>
      </c>
      <c r="C58">
        <f>IF($W58="","",IF(INDEX('Per Invoice'!C$2:C$801,$W58)="","",INDEX('Per Invoice'!C$2:C$801,$W58)))</f>
        <v/>
      </c>
      <c r="D58">
        <f>IF($W58="","",IF(INDEX('Per Invoice'!D$2:D$801,$W58)="","",INDEX('Per Invoice'!D$2:D$801,$W58)))</f>
        <v/>
      </c>
      <c r="E58">
        <f>IF($W58="","",IF(INDEX('Per Invoice'!E$2:E$801,$W58)="","",INDEX('Per Invoice'!E$2:E$801,$W58)))</f>
        <v/>
      </c>
      <c r="F58">
        <f>IF($W58="","",IF(INDEX('Per Invoice'!F$2:F$801,$W58)="","",INDEX('Per Invoice'!F$2:F$801,$W58)))</f>
        <v/>
      </c>
      <c r="G58">
        <f>IF($W58="","",IF(INDEX('Per Invoice'!G$2:G$801,$W58)="","",INDEX('Per Invoice'!G$2:G$801,$W58)))</f>
        <v/>
      </c>
      <c r="H58">
        <f>IF($W58="","",IF(INDEX('Per Invoice'!H$2:H$801,$W58)="","",INDEX('Per Invoice'!H$2:H$801,$W58)))</f>
        <v/>
      </c>
      <c r="I58">
        <f>IF($W58="","",IF(INDEX('Per Invoice'!I$2:I$801,$W58)="","",INDEX('Per Invoice'!I$2:I$801,$W58)))</f>
        <v/>
      </c>
      <c r="J58">
        <f>IF($W58="","",IF(INDEX('Per Invoice'!J$2:J$801,$W58)="","",INDEX('Per Invoice'!J$2:J$801,$W58)))</f>
        <v/>
      </c>
      <c r="K58" s="7">
        <f>IF($W58="","",IF(INDEX('Per Invoice'!K$2:K$801,$W58)="","",INDEX('Per Invoice'!K$2:K$801,$W58)))</f>
        <v/>
      </c>
      <c r="L58" s="14">
        <f>IF($W58="","",IF(INDEX('Per Invoice'!L$2:L$801,$W58)="","",INDEX('Per Invoice'!L$2:L$801,$W58)))</f>
        <v/>
      </c>
      <c r="M58">
        <f>IF($W58="","",IF(INDEX('Per Invoice'!M$2:M$801,$W58)="","",INDEX('Per Invoice'!M$2:M$801,$W58)))</f>
        <v/>
      </c>
      <c r="N58" s="7">
        <f>IF($W58="","",IF(INDEX('Per Invoice'!N$2:N$801,$W58)="","",INDEX('Per Invoice'!N$2:N$801,$W58)))</f>
        <v/>
      </c>
      <c r="O58" s="7">
        <f>IF($W58="","",IF(INDEX('Per Invoice'!O$2:O$801,$W58)="","",INDEX('Per Invoice'!O$2:O$801,$W58)))</f>
        <v/>
      </c>
      <c r="P58">
        <f>IF($W58="","",IF(INDEX('Per Invoice'!P$2:P$801,$W58)="","",INDEX('Per Invoice'!P$2:P$801,$W58)))</f>
        <v/>
      </c>
      <c r="Q58" s="7">
        <f>IF($W58="","",IF(INDEX('Per Invoice'!Q$2:Q$801,$W58)="","",INDEX('Per Invoice'!Q$2:Q$801,$W58)))</f>
        <v/>
      </c>
      <c r="R58" s="7">
        <f>IF($W58="","",IF(INDEX('Per Invoice'!R$2:R$801,$W58)="","",INDEX('Per Invoice'!R$2:R$801,$W58)))</f>
        <v/>
      </c>
      <c r="S58" s="7">
        <f>IF($W58="","",IF(INDEX('Per Invoice'!S$2:S$801,$W58)="","",INDEX('Per Invoice'!S$2:S$801,$W58)))</f>
        <v/>
      </c>
      <c r="T58" s="7">
        <f>IF($W58="","",IF(INDEX('Per Invoice'!T$2:T$801,$W58)="","",INDEX('Per Invoice'!T$2:T$801,$W58)))</f>
        <v/>
      </c>
      <c r="U58" s="7">
        <f>IF($W58="","",IF(INDEX('Per Invoice'!U$2:U$801,$W58)="","",INDEX('Per Invoice'!U$2:U$801,$W58)))</f>
        <v/>
      </c>
      <c r="V58" s="7">
        <f>IF($W58="","",IF(INDEX('Per Invoice'!V$2:V$801,$W58)="","",INDEX('Per Invoice'!V$2:V$801,$W58)))</f>
        <v/>
      </c>
      <c r="W58" s="16">
        <f>IFERROR(MATCH(Settings!$C$29&amp;"|"&amp;ROWS($W$2:$W58),'Per Invoice'!$X$2:$X$801,0),"")</f>
        <v/>
      </c>
    </row>
    <row r="59">
      <c r="A59">
        <f>IF($W59="","",IF(INDEX('Per Invoice'!A$2:A$801,$W59)="","",INDEX('Per Invoice'!A$2:A$801,$W59)))</f>
        <v/>
      </c>
      <c r="B59">
        <f>IF($W59="","",IF(INDEX('Per Invoice'!B$2:B$801,$W59)="","",INDEX('Per Invoice'!B$2:B$801,$W59)))</f>
        <v/>
      </c>
      <c r="C59">
        <f>IF($W59="","",IF(INDEX('Per Invoice'!C$2:C$801,$W59)="","",INDEX('Per Invoice'!C$2:C$801,$W59)))</f>
        <v/>
      </c>
      <c r="D59">
        <f>IF($W59="","",IF(INDEX('Per Invoice'!D$2:D$801,$W59)="","",INDEX('Per Invoice'!D$2:D$801,$W59)))</f>
        <v/>
      </c>
      <c r="E59">
        <f>IF($W59="","",IF(INDEX('Per Invoice'!E$2:E$801,$W59)="","",INDEX('Per Invoice'!E$2:E$801,$W59)))</f>
        <v/>
      </c>
      <c r="F59">
        <f>IF($W59="","",IF(INDEX('Per Invoice'!F$2:F$801,$W59)="","",INDEX('Per Invoice'!F$2:F$801,$W59)))</f>
        <v/>
      </c>
      <c r="G59">
        <f>IF($W59="","",IF(INDEX('Per Invoice'!G$2:G$801,$W59)="","",INDEX('Per Invoice'!G$2:G$801,$W59)))</f>
        <v/>
      </c>
      <c r="H59">
        <f>IF($W59="","",IF(INDEX('Per Invoice'!H$2:H$801,$W59)="","",INDEX('Per Invoice'!H$2:H$801,$W59)))</f>
        <v/>
      </c>
      <c r="I59">
        <f>IF($W59="","",IF(INDEX('Per Invoice'!I$2:I$801,$W59)="","",INDEX('Per Invoice'!I$2:I$801,$W59)))</f>
        <v/>
      </c>
      <c r="J59">
        <f>IF($W59="","",IF(INDEX('Per Invoice'!J$2:J$801,$W59)="","",INDEX('Per Invoice'!J$2:J$801,$W59)))</f>
        <v/>
      </c>
      <c r="K59" s="7">
        <f>IF($W59="","",IF(INDEX('Per Invoice'!K$2:K$801,$W59)="","",INDEX('Per Invoice'!K$2:K$801,$W59)))</f>
        <v/>
      </c>
      <c r="L59" s="14">
        <f>IF($W59="","",IF(INDEX('Per Invoice'!L$2:L$801,$W59)="","",INDEX('Per Invoice'!L$2:L$801,$W59)))</f>
        <v/>
      </c>
      <c r="M59">
        <f>IF($W59="","",IF(INDEX('Per Invoice'!M$2:M$801,$W59)="","",INDEX('Per Invoice'!M$2:M$801,$W59)))</f>
        <v/>
      </c>
      <c r="N59" s="7">
        <f>IF($W59="","",IF(INDEX('Per Invoice'!N$2:N$801,$W59)="","",INDEX('Per Invoice'!N$2:N$801,$W59)))</f>
        <v/>
      </c>
      <c r="O59" s="7">
        <f>IF($W59="","",IF(INDEX('Per Invoice'!O$2:O$801,$W59)="","",INDEX('Per Invoice'!O$2:O$801,$W59)))</f>
        <v/>
      </c>
      <c r="P59">
        <f>IF($W59="","",IF(INDEX('Per Invoice'!P$2:P$801,$W59)="","",INDEX('Per Invoice'!P$2:P$801,$W59)))</f>
        <v/>
      </c>
      <c r="Q59" s="7">
        <f>IF($W59="","",IF(INDEX('Per Invoice'!Q$2:Q$801,$W59)="","",INDEX('Per Invoice'!Q$2:Q$801,$W59)))</f>
        <v/>
      </c>
      <c r="R59" s="7">
        <f>IF($W59="","",IF(INDEX('Per Invoice'!R$2:R$801,$W59)="","",INDEX('Per Invoice'!R$2:R$801,$W59)))</f>
        <v/>
      </c>
      <c r="S59" s="7">
        <f>IF($W59="","",IF(INDEX('Per Invoice'!S$2:S$801,$W59)="","",INDEX('Per Invoice'!S$2:S$801,$W59)))</f>
        <v/>
      </c>
      <c r="T59" s="7">
        <f>IF($W59="","",IF(INDEX('Per Invoice'!T$2:T$801,$W59)="","",INDEX('Per Invoice'!T$2:T$801,$W59)))</f>
        <v/>
      </c>
      <c r="U59" s="7">
        <f>IF($W59="","",IF(INDEX('Per Invoice'!U$2:U$801,$W59)="","",INDEX('Per Invoice'!U$2:U$801,$W59)))</f>
        <v/>
      </c>
      <c r="V59" s="7">
        <f>IF($W59="","",IF(INDEX('Per Invoice'!V$2:V$801,$W59)="","",INDEX('Per Invoice'!V$2:V$801,$W59)))</f>
        <v/>
      </c>
      <c r="W59" s="16">
        <f>IFERROR(MATCH(Settings!$C$29&amp;"|"&amp;ROWS($W$2:$W59),'Per Invoice'!$X$2:$X$801,0),"")</f>
        <v/>
      </c>
    </row>
    <row r="60">
      <c r="A60">
        <f>IF($W60="","",IF(INDEX('Per Invoice'!A$2:A$801,$W60)="","",INDEX('Per Invoice'!A$2:A$801,$W60)))</f>
        <v/>
      </c>
      <c r="B60">
        <f>IF($W60="","",IF(INDEX('Per Invoice'!B$2:B$801,$W60)="","",INDEX('Per Invoice'!B$2:B$801,$W60)))</f>
        <v/>
      </c>
      <c r="C60">
        <f>IF($W60="","",IF(INDEX('Per Invoice'!C$2:C$801,$W60)="","",INDEX('Per Invoice'!C$2:C$801,$W60)))</f>
        <v/>
      </c>
      <c r="D60">
        <f>IF($W60="","",IF(INDEX('Per Invoice'!D$2:D$801,$W60)="","",INDEX('Per Invoice'!D$2:D$801,$W60)))</f>
        <v/>
      </c>
      <c r="E60">
        <f>IF($W60="","",IF(INDEX('Per Invoice'!E$2:E$801,$W60)="","",INDEX('Per Invoice'!E$2:E$801,$W60)))</f>
        <v/>
      </c>
      <c r="F60">
        <f>IF($W60="","",IF(INDEX('Per Invoice'!F$2:F$801,$W60)="","",INDEX('Per Invoice'!F$2:F$801,$W60)))</f>
        <v/>
      </c>
      <c r="G60">
        <f>IF($W60="","",IF(INDEX('Per Invoice'!G$2:G$801,$W60)="","",INDEX('Per Invoice'!G$2:G$801,$W60)))</f>
        <v/>
      </c>
      <c r="H60">
        <f>IF($W60="","",IF(INDEX('Per Invoice'!H$2:H$801,$W60)="","",INDEX('Per Invoice'!H$2:H$801,$W60)))</f>
        <v/>
      </c>
      <c r="I60">
        <f>IF($W60="","",IF(INDEX('Per Invoice'!I$2:I$801,$W60)="","",INDEX('Per Invoice'!I$2:I$801,$W60)))</f>
        <v/>
      </c>
      <c r="J60">
        <f>IF($W60="","",IF(INDEX('Per Invoice'!J$2:J$801,$W60)="","",INDEX('Per Invoice'!J$2:J$801,$W60)))</f>
        <v/>
      </c>
      <c r="K60" s="7">
        <f>IF($W60="","",IF(INDEX('Per Invoice'!K$2:K$801,$W60)="","",INDEX('Per Invoice'!K$2:K$801,$W60)))</f>
        <v/>
      </c>
      <c r="L60" s="14">
        <f>IF($W60="","",IF(INDEX('Per Invoice'!L$2:L$801,$W60)="","",INDEX('Per Invoice'!L$2:L$801,$W60)))</f>
        <v/>
      </c>
      <c r="M60">
        <f>IF($W60="","",IF(INDEX('Per Invoice'!M$2:M$801,$W60)="","",INDEX('Per Invoice'!M$2:M$801,$W60)))</f>
        <v/>
      </c>
      <c r="N60" s="7">
        <f>IF($W60="","",IF(INDEX('Per Invoice'!N$2:N$801,$W60)="","",INDEX('Per Invoice'!N$2:N$801,$W60)))</f>
        <v/>
      </c>
      <c r="O60" s="7">
        <f>IF($W60="","",IF(INDEX('Per Invoice'!O$2:O$801,$W60)="","",INDEX('Per Invoice'!O$2:O$801,$W60)))</f>
        <v/>
      </c>
      <c r="P60">
        <f>IF($W60="","",IF(INDEX('Per Invoice'!P$2:P$801,$W60)="","",INDEX('Per Invoice'!P$2:P$801,$W60)))</f>
        <v/>
      </c>
      <c r="Q60" s="7">
        <f>IF($W60="","",IF(INDEX('Per Invoice'!Q$2:Q$801,$W60)="","",INDEX('Per Invoice'!Q$2:Q$801,$W60)))</f>
        <v/>
      </c>
      <c r="R60" s="7">
        <f>IF($W60="","",IF(INDEX('Per Invoice'!R$2:R$801,$W60)="","",INDEX('Per Invoice'!R$2:R$801,$W60)))</f>
        <v/>
      </c>
      <c r="S60" s="7">
        <f>IF($W60="","",IF(INDEX('Per Invoice'!S$2:S$801,$W60)="","",INDEX('Per Invoice'!S$2:S$801,$W60)))</f>
        <v/>
      </c>
      <c r="T60" s="7">
        <f>IF($W60="","",IF(INDEX('Per Invoice'!T$2:T$801,$W60)="","",INDEX('Per Invoice'!T$2:T$801,$W60)))</f>
        <v/>
      </c>
      <c r="U60" s="7">
        <f>IF($W60="","",IF(INDEX('Per Invoice'!U$2:U$801,$W60)="","",INDEX('Per Invoice'!U$2:U$801,$W60)))</f>
        <v/>
      </c>
      <c r="V60" s="7">
        <f>IF($W60="","",IF(INDEX('Per Invoice'!V$2:V$801,$W60)="","",INDEX('Per Invoice'!V$2:V$801,$W60)))</f>
        <v/>
      </c>
      <c r="W60" s="16">
        <f>IFERROR(MATCH(Settings!$C$29&amp;"|"&amp;ROWS($W$2:$W60),'Per Invoice'!$X$2:$X$801,0),"")</f>
        <v/>
      </c>
    </row>
    <row r="61">
      <c r="A61">
        <f>IF($W61="","",IF(INDEX('Per Invoice'!A$2:A$801,$W61)="","",INDEX('Per Invoice'!A$2:A$801,$W61)))</f>
        <v/>
      </c>
      <c r="B61">
        <f>IF($W61="","",IF(INDEX('Per Invoice'!B$2:B$801,$W61)="","",INDEX('Per Invoice'!B$2:B$801,$W61)))</f>
        <v/>
      </c>
      <c r="C61">
        <f>IF($W61="","",IF(INDEX('Per Invoice'!C$2:C$801,$W61)="","",INDEX('Per Invoice'!C$2:C$801,$W61)))</f>
        <v/>
      </c>
      <c r="D61">
        <f>IF($W61="","",IF(INDEX('Per Invoice'!D$2:D$801,$W61)="","",INDEX('Per Invoice'!D$2:D$801,$W61)))</f>
        <v/>
      </c>
      <c r="E61">
        <f>IF($W61="","",IF(INDEX('Per Invoice'!E$2:E$801,$W61)="","",INDEX('Per Invoice'!E$2:E$801,$W61)))</f>
        <v/>
      </c>
      <c r="F61">
        <f>IF($W61="","",IF(INDEX('Per Invoice'!F$2:F$801,$W61)="","",INDEX('Per Invoice'!F$2:F$801,$W61)))</f>
        <v/>
      </c>
      <c r="G61">
        <f>IF($W61="","",IF(INDEX('Per Invoice'!G$2:G$801,$W61)="","",INDEX('Per Invoice'!G$2:G$801,$W61)))</f>
        <v/>
      </c>
      <c r="H61">
        <f>IF($W61="","",IF(INDEX('Per Invoice'!H$2:H$801,$W61)="","",INDEX('Per Invoice'!H$2:H$801,$W61)))</f>
        <v/>
      </c>
      <c r="I61">
        <f>IF($W61="","",IF(INDEX('Per Invoice'!I$2:I$801,$W61)="","",INDEX('Per Invoice'!I$2:I$801,$W61)))</f>
        <v/>
      </c>
      <c r="J61">
        <f>IF($W61="","",IF(INDEX('Per Invoice'!J$2:J$801,$W61)="","",INDEX('Per Invoice'!J$2:J$801,$W61)))</f>
        <v/>
      </c>
      <c r="K61" s="7">
        <f>IF($W61="","",IF(INDEX('Per Invoice'!K$2:K$801,$W61)="","",INDEX('Per Invoice'!K$2:K$801,$W61)))</f>
        <v/>
      </c>
      <c r="L61" s="14">
        <f>IF($W61="","",IF(INDEX('Per Invoice'!L$2:L$801,$W61)="","",INDEX('Per Invoice'!L$2:L$801,$W61)))</f>
        <v/>
      </c>
      <c r="M61">
        <f>IF($W61="","",IF(INDEX('Per Invoice'!M$2:M$801,$W61)="","",INDEX('Per Invoice'!M$2:M$801,$W61)))</f>
        <v/>
      </c>
      <c r="N61" s="7">
        <f>IF($W61="","",IF(INDEX('Per Invoice'!N$2:N$801,$W61)="","",INDEX('Per Invoice'!N$2:N$801,$W61)))</f>
        <v/>
      </c>
      <c r="O61" s="7">
        <f>IF($W61="","",IF(INDEX('Per Invoice'!O$2:O$801,$W61)="","",INDEX('Per Invoice'!O$2:O$801,$W61)))</f>
        <v/>
      </c>
      <c r="P61">
        <f>IF($W61="","",IF(INDEX('Per Invoice'!P$2:P$801,$W61)="","",INDEX('Per Invoice'!P$2:P$801,$W61)))</f>
        <v/>
      </c>
      <c r="Q61" s="7">
        <f>IF($W61="","",IF(INDEX('Per Invoice'!Q$2:Q$801,$W61)="","",INDEX('Per Invoice'!Q$2:Q$801,$W61)))</f>
        <v/>
      </c>
      <c r="R61" s="7">
        <f>IF($W61="","",IF(INDEX('Per Invoice'!R$2:R$801,$W61)="","",INDEX('Per Invoice'!R$2:R$801,$W61)))</f>
        <v/>
      </c>
      <c r="S61" s="7">
        <f>IF($W61="","",IF(INDEX('Per Invoice'!S$2:S$801,$W61)="","",INDEX('Per Invoice'!S$2:S$801,$W61)))</f>
        <v/>
      </c>
      <c r="T61" s="7">
        <f>IF($W61="","",IF(INDEX('Per Invoice'!T$2:T$801,$W61)="","",INDEX('Per Invoice'!T$2:T$801,$W61)))</f>
        <v/>
      </c>
      <c r="U61" s="7">
        <f>IF($W61="","",IF(INDEX('Per Invoice'!U$2:U$801,$W61)="","",INDEX('Per Invoice'!U$2:U$801,$W61)))</f>
        <v/>
      </c>
      <c r="V61" s="7">
        <f>IF($W61="","",IF(INDEX('Per Invoice'!V$2:V$801,$W61)="","",INDEX('Per Invoice'!V$2:V$801,$W61)))</f>
        <v/>
      </c>
      <c r="W61" s="16">
        <f>IFERROR(MATCH(Settings!$C$29&amp;"|"&amp;ROWS($W$2:$W61),'Per Invoice'!$X$2:$X$801,0),"")</f>
        <v/>
      </c>
    </row>
    <row r="62">
      <c r="A62">
        <f>IF($W62="","",IF(INDEX('Per Invoice'!A$2:A$801,$W62)="","",INDEX('Per Invoice'!A$2:A$801,$W62)))</f>
        <v/>
      </c>
      <c r="B62">
        <f>IF($W62="","",IF(INDEX('Per Invoice'!B$2:B$801,$W62)="","",INDEX('Per Invoice'!B$2:B$801,$W62)))</f>
        <v/>
      </c>
      <c r="C62">
        <f>IF($W62="","",IF(INDEX('Per Invoice'!C$2:C$801,$W62)="","",INDEX('Per Invoice'!C$2:C$801,$W62)))</f>
        <v/>
      </c>
      <c r="D62">
        <f>IF($W62="","",IF(INDEX('Per Invoice'!D$2:D$801,$W62)="","",INDEX('Per Invoice'!D$2:D$801,$W62)))</f>
        <v/>
      </c>
      <c r="E62">
        <f>IF($W62="","",IF(INDEX('Per Invoice'!E$2:E$801,$W62)="","",INDEX('Per Invoice'!E$2:E$801,$W62)))</f>
        <v/>
      </c>
      <c r="F62">
        <f>IF($W62="","",IF(INDEX('Per Invoice'!F$2:F$801,$W62)="","",INDEX('Per Invoice'!F$2:F$801,$W62)))</f>
        <v/>
      </c>
      <c r="G62">
        <f>IF($W62="","",IF(INDEX('Per Invoice'!G$2:G$801,$W62)="","",INDEX('Per Invoice'!G$2:G$801,$W62)))</f>
        <v/>
      </c>
      <c r="H62">
        <f>IF($W62="","",IF(INDEX('Per Invoice'!H$2:H$801,$W62)="","",INDEX('Per Invoice'!H$2:H$801,$W62)))</f>
        <v/>
      </c>
      <c r="I62">
        <f>IF($W62="","",IF(INDEX('Per Invoice'!I$2:I$801,$W62)="","",INDEX('Per Invoice'!I$2:I$801,$W62)))</f>
        <v/>
      </c>
      <c r="J62">
        <f>IF($W62="","",IF(INDEX('Per Invoice'!J$2:J$801,$W62)="","",INDEX('Per Invoice'!J$2:J$801,$W62)))</f>
        <v/>
      </c>
      <c r="K62" s="7">
        <f>IF($W62="","",IF(INDEX('Per Invoice'!K$2:K$801,$W62)="","",INDEX('Per Invoice'!K$2:K$801,$W62)))</f>
        <v/>
      </c>
      <c r="L62" s="14">
        <f>IF($W62="","",IF(INDEX('Per Invoice'!L$2:L$801,$W62)="","",INDEX('Per Invoice'!L$2:L$801,$W62)))</f>
        <v/>
      </c>
      <c r="M62">
        <f>IF($W62="","",IF(INDEX('Per Invoice'!M$2:M$801,$W62)="","",INDEX('Per Invoice'!M$2:M$801,$W62)))</f>
        <v/>
      </c>
      <c r="N62" s="7">
        <f>IF($W62="","",IF(INDEX('Per Invoice'!N$2:N$801,$W62)="","",INDEX('Per Invoice'!N$2:N$801,$W62)))</f>
        <v/>
      </c>
      <c r="O62" s="7">
        <f>IF($W62="","",IF(INDEX('Per Invoice'!O$2:O$801,$W62)="","",INDEX('Per Invoice'!O$2:O$801,$W62)))</f>
        <v/>
      </c>
      <c r="P62">
        <f>IF($W62="","",IF(INDEX('Per Invoice'!P$2:P$801,$W62)="","",INDEX('Per Invoice'!P$2:P$801,$W62)))</f>
        <v/>
      </c>
      <c r="Q62" s="7">
        <f>IF($W62="","",IF(INDEX('Per Invoice'!Q$2:Q$801,$W62)="","",INDEX('Per Invoice'!Q$2:Q$801,$W62)))</f>
        <v/>
      </c>
      <c r="R62" s="7">
        <f>IF($W62="","",IF(INDEX('Per Invoice'!R$2:R$801,$W62)="","",INDEX('Per Invoice'!R$2:R$801,$W62)))</f>
        <v/>
      </c>
      <c r="S62" s="7">
        <f>IF($W62="","",IF(INDEX('Per Invoice'!S$2:S$801,$W62)="","",INDEX('Per Invoice'!S$2:S$801,$W62)))</f>
        <v/>
      </c>
      <c r="T62" s="7">
        <f>IF($W62="","",IF(INDEX('Per Invoice'!T$2:T$801,$W62)="","",INDEX('Per Invoice'!T$2:T$801,$W62)))</f>
        <v/>
      </c>
      <c r="U62" s="7">
        <f>IF($W62="","",IF(INDEX('Per Invoice'!U$2:U$801,$W62)="","",INDEX('Per Invoice'!U$2:U$801,$W62)))</f>
        <v/>
      </c>
      <c r="V62" s="7">
        <f>IF($W62="","",IF(INDEX('Per Invoice'!V$2:V$801,$W62)="","",INDEX('Per Invoice'!V$2:V$801,$W62)))</f>
        <v/>
      </c>
      <c r="W62" s="16">
        <f>IFERROR(MATCH(Settings!$C$29&amp;"|"&amp;ROWS($W$2:$W62),'Per Invoice'!$X$2:$X$801,0),"")</f>
        <v/>
      </c>
    </row>
    <row r="63">
      <c r="A63">
        <f>IF($W63="","",IF(INDEX('Per Invoice'!A$2:A$801,$W63)="","",INDEX('Per Invoice'!A$2:A$801,$W63)))</f>
        <v/>
      </c>
      <c r="B63">
        <f>IF($W63="","",IF(INDEX('Per Invoice'!B$2:B$801,$W63)="","",INDEX('Per Invoice'!B$2:B$801,$W63)))</f>
        <v/>
      </c>
      <c r="C63">
        <f>IF($W63="","",IF(INDEX('Per Invoice'!C$2:C$801,$W63)="","",INDEX('Per Invoice'!C$2:C$801,$W63)))</f>
        <v/>
      </c>
      <c r="D63">
        <f>IF($W63="","",IF(INDEX('Per Invoice'!D$2:D$801,$W63)="","",INDEX('Per Invoice'!D$2:D$801,$W63)))</f>
        <v/>
      </c>
      <c r="E63">
        <f>IF($W63="","",IF(INDEX('Per Invoice'!E$2:E$801,$W63)="","",INDEX('Per Invoice'!E$2:E$801,$W63)))</f>
        <v/>
      </c>
      <c r="F63">
        <f>IF($W63="","",IF(INDEX('Per Invoice'!F$2:F$801,$W63)="","",INDEX('Per Invoice'!F$2:F$801,$W63)))</f>
        <v/>
      </c>
      <c r="G63">
        <f>IF($W63="","",IF(INDEX('Per Invoice'!G$2:G$801,$W63)="","",INDEX('Per Invoice'!G$2:G$801,$W63)))</f>
        <v/>
      </c>
      <c r="H63">
        <f>IF($W63="","",IF(INDEX('Per Invoice'!H$2:H$801,$W63)="","",INDEX('Per Invoice'!H$2:H$801,$W63)))</f>
        <v/>
      </c>
      <c r="I63">
        <f>IF($W63="","",IF(INDEX('Per Invoice'!I$2:I$801,$W63)="","",INDEX('Per Invoice'!I$2:I$801,$W63)))</f>
        <v/>
      </c>
      <c r="J63">
        <f>IF($W63="","",IF(INDEX('Per Invoice'!J$2:J$801,$W63)="","",INDEX('Per Invoice'!J$2:J$801,$W63)))</f>
        <v/>
      </c>
      <c r="K63" s="7">
        <f>IF($W63="","",IF(INDEX('Per Invoice'!K$2:K$801,$W63)="","",INDEX('Per Invoice'!K$2:K$801,$W63)))</f>
        <v/>
      </c>
      <c r="L63" s="14">
        <f>IF($W63="","",IF(INDEX('Per Invoice'!L$2:L$801,$W63)="","",INDEX('Per Invoice'!L$2:L$801,$W63)))</f>
        <v/>
      </c>
      <c r="M63">
        <f>IF($W63="","",IF(INDEX('Per Invoice'!M$2:M$801,$W63)="","",INDEX('Per Invoice'!M$2:M$801,$W63)))</f>
        <v/>
      </c>
      <c r="N63" s="7">
        <f>IF($W63="","",IF(INDEX('Per Invoice'!N$2:N$801,$W63)="","",INDEX('Per Invoice'!N$2:N$801,$W63)))</f>
        <v/>
      </c>
      <c r="O63" s="7">
        <f>IF($W63="","",IF(INDEX('Per Invoice'!O$2:O$801,$W63)="","",INDEX('Per Invoice'!O$2:O$801,$W63)))</f>
        <v/>
      </c>
      <c r="P63">
        <f>IF($W63="","",IF(INDEX('Per Invoice'!P$2:P$801,$W63)="","",INDEX('Per Invoice'!P$2:P$801,$W63)))</f>
        <v/>
      </c>
      <c r="Q63" s="7">
        <f>IF($W63="","",IF(INDEX('Per Invoice'!Q$2:Q$801,$W63)="","",INDEX('Per Invoice'!Q$2:Q$801,$W63)))</f>
        <v/>
      </c>
      <c r="R63" s="7">
        <f>IF($W63="","",IF(INDEX('Per Invoice'!R$2:R$801,$W63)="","",INDEX('Per Invoice'!R$2:R$801,$W63)))</f>
        <v/>
      </c>
      <c r="S63" s="7">
        <f>IF($W63="","",IF(INDEX('Per Invoice'!S$2:S$801,$W63)="","",INDEX('Per Invoice'!S$2:S$801,$W63)))</f>
        <v/>
      </c>
      <c r="T63" s="7">
        <f>IF($W63="","",IF(INDEX('Per Invoice'!T$2:T$801,$W63)="","",INDEX('Per Invoice'!T$2:T$801,$W63)))</f>
        <v/>
      </c>
      <c r="U63" s="7">
        <f>IF($W63="","",IF(INDEX('Per Invoice'!U$2:U$801,$W63)="","",INDEX('Per Invoice'!U$2:U$801,$W63)))</f>
        <v/>
      </c>
      <c r="V63" s="7">
        <f>IF($W63="","",IF(INDEX('Per Invoice'!V$2:V$801,$W63)="","",INDEX('Per Invoice'!V$2:V$801,$W63)))</f>
        <v/>
      </c>
      <c r="W63" s="16">
        <f>IFERROR(MATCH(Settings!$C$29&amp;"|"&amp;ROWS($W$2:$W63),'Per Invoice'!$X$2:$X$801,0),"")</f>
        <v/>
      </c>
    </row>
    <row r="64">
      <c r="A64">
        <f>IF($W64="","",IF(INDEX('Per Invoice'!A$2:A$801,$W64)="","",INDEX('Per Invoice'!A$2:A$801,$W64)))</f>
        <v/>
      </c>
      <c r="B64">
        <f>IF($W64="","",IF(INDEX('Per Invoice'!B$2:B$801,$W64)="","",INDEX('Per Invoice'!B$2:B$801,$W64)))</f>
        <v/>
      </c>
      <c r="C64">
        <f>IF($W64="","",IF(INDEX('Per Invoice'!C$2:C$801,$W64)="","",INDEX('Per Invoice'!C$2:C$801,$W64)))</f>
        <v/>
      </c>
      <c r="D64">
        <f>IF($W64="","",IF(INDEX('Per Invoice'!D$2:D$801,$W64)="","",INDEX('Per Invoice'!D$2:D$801,$W64)))</f>
        <v/>
      </c>
      <c r="E64">
        <f>IF($W64="","",IF(INDEX('Per Invoice'!E$2:E$801,$W64)="","",INDEX('Per Invoice'!E$2:E$801,$W64)))</f>
        <v/>
      </c>
      <c r="F64">
        <f>IF($W64="","",IF(INDEX('Per Invoice'!F$2:F$801,$W64)="","",INDEX('Per Invoice'!F$2:F$801,$W64)))</f>
        <v/>
      </c>
      <c r="G64">
        <f>IF($W64="","",IF(INDEX('Per Invoice'!G$2:G$801,$W64)="","",INDEX('Per Invoice'!G$2:G$801,$W64)))</f>
        <v/>
      </c>
      <c r="H64">
        <f>IF($W64="","",IF(INDEX('Per Invoice'!H$2:H$801,$W64)="","",INDEX('Per Invoice'!H$2:H$801,$W64)))</f>
        <v/>
      </c>
      <c r="I64">
        <f>IF($W64="","",IF(INDEX('Per Invoice'!I$2:I$801,$W64)="","",INDEX('Per Invoice'!I$2:I$801,$W64)))</f>
        <v/>
      </c>
      <c r="J64">
        <f>IF($W64="","",IF(INDEX('Per Invoice'!J$2:J$801,$W64)="","",INDEX('Per Invoice'!J$2:J$801,$W64)))</f>
        <v/>
      </c>
      <c r="K64" s="7">
        <f>IF($W64="","",IF(INDEX('Per Invoice'!K$2:K$801,$W64)="","",INDEX('Per Invoice'!K$2:K$801,$W64)))</f>
        <v/>
      </c>
      <c r="L64" s="14">
        <f>IF($W64="","",IF(INDEX('Per Invoice'!L$2:L$801,$W64)="","",INDEX('Per Invoice'!L$2:L$801,$W64)))</f>
        <v/>
      </c>
      <c r="M64">
        <f>IF($W64="","",IF(INDEX('Per Invoice'!M$2:M$801,$W64)="","",INDEX('Per Invoice'!M$2:M$801,$W64)))</f>
        <v/>
      </c>
      <c r="N64" s="7">
        <f>IF($W64="","",IF(INDEX('Per Invoice'!N$2:N$801,$W64)="","",INDEX('Per Invoice'!N$2:N$801,$W64)))</f>
        <v/>
      </c>
      <c r="O64" s="7">
        <f>IF($W64="","",IF(INDEX('Per Invoice'!O$2:O$801,$W64)="","",INDEX('Per Invoice'!O$2:O$801,$W64)))</f>
        <v/>
      </c>
      <c r="P64">
        <f>IF($W64="","",IF(INDEX('Per Invoice'!P$2:P$801,$W64)="","",INDEX('Per Invoice'!P$2:P$801,$W64)))</f>
        <v/>
      </c>
      <c r="Q64" s="7">
        <f>IF($W64="","",IF(INDEX('Per Invoice'!Q$2:Q$801,$W64)="","",INDEX('Per Invoice'!Q$2:Q$801,$W64)))</f>
        <v/>
      </c>
      <c r="R64" s="7">
        <f>IF($W64="","",IF(INDEX('Per Invoice'!R$2:R$801,$W64)="","",INDEX('Per Invoice'!R$2:R$801,$W64)))</f>
        <v/>
      </c>
      <c r="S64" s="7">
        <f>IF($W64="","",IF(INDEX('Per Invoice'!S$2:S$801,$W64)="","",INDEX('Per Invoice'!S$2:S$801,$W64)))</f>
        <v/>
      </c>
      <c r="T64" s="7">
        <f>IF($W64="","",IF(INDEX('Per Invoice'!T$2:T$801,$W64)="","",INDEX('Per Invoice'!T$2:T$801,$W64)))</f>
        <v/>
      </c>
      <c r="U64" s="7">
        <f>IF($W64="","",IF(INDEX('Per Invoice'!U$2:U$801,$W64)="","",INDEX('Per Invoice'!U$2:U$801,$W64)))</f>
        <v/>
      </c>
      <c r="V64" s="7">
        <f>IF($W64="","",IF(INDEX('Per Invoice'!V$2:V$801,$W64)="","",INDEX('Per Invoice'!V$2:V$801,$W64)))</f>
        <v/>
      </c>
      <c r="W64" s="16">
        <f>IFERROR(MATCH(Settings!$C$29&amp;"|"&amp;ROWS($W$2:$W64),'Per Invoice'!$X$2:$X$801,0),"")</f>
        <v/>
      </c>
    </row>
    <row r="65">
      <c r="A65">
        <f>IF($W65="","",IF(INDEX('Per Invoice'!A$2:A$801,$W65)="","",INDEX('Per Invoice'!A$2:A$801,$W65)))</f>
        <v/>
      </c>
      <c r="B65">
        <f>IF($W65="","",IF(INDEX('Per Invoice'!B$2:B$801,$W65)="","",INDEX('Per Invoice'!B$2:B$801,$W65)))</f>
        <v/>
      </c>
      <c r="C65">
        <f>IF($W65="","",IF(INDEX('Per Invoice'!C$2:C$801,$W65)="","",INDEX('Per Invoice'!C$2:C$801,$W65)))</f>
        <v/>
      </c>
      <c r="D65">
        <f>IF($W65="","",IF(INDEX('Per Invoice'!D$2:D$801,$W65)="","",INDEX('Per Invoice'!D$2:D$801,$W65)))</f>
        <v/>
      </c>
      <c r="E65">
        <f>IF($W65="","",IF(INDEX('Per Invoice'!E$2:E$801,$W65)="","",INDEX('Per Invoice'!E$2:E$801,$W65)))</f>
        <v/>
      </c>
      <c r="F65">
        <f>IF($W65="","",IF(INDEX('Per Invoice'!F$2:F$801,$W65)="","",INDEX('Per Invoice'!F$2:F$801,$W65)))</f>
        <v/>
      </c>
      <c r="G65">
        <f>IF($W65="","",IF(INDEX('Per Invoice'!G$2:G$801,$W65)="","",INDEX('Per Invoice'!G$2:G$801,$W65)))</f>
        <v/>
      </c>
      <c r="H65">
        <f>IF($W65="","",IF(INDEX('Per Invoice'!H$2:H$801,$W65)="","",INDEX('Per Invoice'!H$2:H$801,$W65)))</f>
        <v/>
      </c>
      <c r="I65">
        <f>IF($W65="","",IF(INDEX('Per Invoice'!I$2:I$801,$W65)="","",INDEX('Per Invoice'!I$2:I$801,$W65)))</f>
        <v/>
      </c>
      <c r="J65">
        <f>IF($W65="","",IF(INDEX('Per Invoice'!J$2:J$801,$W65)="","",INDEX('Per Invoice'!J$2:J$801,$W65)))</f>
        <v/>
      </c>
      <c r="K65" s="7">
        <f>IF($W65="","",IF(INDEX('Per Invoice'!K$2:K$801,$W65)="","",INDEX('Per Invoice'!K$2:K$801,$W65)))</f>
        <v/>
      </c>
      <c r="L65" s="14">
        <f>IF($W65="","",IF(INDEX('Per Invoice'!L$2:L$801,$W65)="","",INDEX('Per Invoice'!L$2:L$801,$W65)))</f>
        <v/>
      </c>
      <c r="M65">
        <f>IF($W65="","",IF(INDEX('Per Invoice'!M$2:M$801,$W65)="","",INDEX('Per Invoice'!M$2:M$801,$W65)))</f>
        <v/>
      </c>
      <c r="N65" s="7">
        <f>IF($W65="","",IF(INDEX('Per Invoice'!N$2:N$801,$W65)="","",INDEX('Per Invoice'!N$2:N$801,$W65)))</f>
        <v/>
      </c>
      <c r="O65" s="7">
        <f>IF($W65="","",IF(INDEX('Per Invoice'!O$2:O$801,$W65)="","",INDEX('Per Invoice'!O$2:O$801,$W65)))</f>
        <v/>
      </c>
      <c r="P65">
        <f>IF($W65="","",IF(INDEX('Per Invoice'!P$2:P$801,$W65)="","",INDEX('Per Invoice'!P$2:P$801,$W65)))</f>
        <v/>
      </c>
      <c r="Q65" s="7">
        <f>IF($W65="","",IF(INDEX('Per Invoice'!Q$2:Q$801,$W65)="","",INDEX('Per Invoice'!Q$2:Q$801,$W65)))</f>
        <v/>
      </c>
      <c r="R65" s="7">
        <f>IF($W65="","",IF(INDEX('Per Invoice'!R$2:R$801,$W65)="","",INDEX('Per Invoice'!R$2:R$801,$W65)))</f>
        <v/>
      </c>
      <c r="S65" s="7">
        <f>IF($W65="","",IF(INDEX('Per Invoice'!S$2:S$801,$W65)="","",INDEX('Per Invoice'!S$2:S$801,$W65)))</f>
        <v/>
      </c>
      <c r="T65" s="7">
        <f>IF($W65="","",IF(INDEX('Per Invoice'!T$2:T$801,$W65)="","",INDEX('Per Invoice'!T$2:T$801,$W65)))</f>
        <v/>
      </c>
      <c r="U65" s="7">
        <f>IF($W65="","",IF(INDEX('Per Invoice'!U$2:U$801,$W65)="","",INDEX('Per Invoice'!U$2:U$801,$W65)))</f>
        <v/>
      </c>
      <c r="V65" s="7">
        <f>IF($W65="","",IF(INDEX('Per Invoice'!V$2:V$801,$W65)="","",INDEX('Per Invoice'!V$2:V$801,$W65)))</f>
        <v/>
      </c>
      <c r="W65" s="16">
        <f>IFERROR(MATCH(Settings!$C$29&amp;"|"&amp;ROWS($W$2:$W65),'Per Invoice'!$X$2:$X$801,0),"")</f>
        <v/>
      </c>
    </row>
    <row r="66">
      <c r="A66">
        <f>IF($W66="","",IF(INDEX('Per Invoice'!A$2:A$801,$W66)="","",INDEX('Per Invoice'!A$2:A$801,$W66)))</f>
        <v/>
      </c>
      <c r="B66">
        <f>IF($W66="","",IF(INDEX('Per Invoice'!B$2:B$801,$W66)="","",INDEX('Per Invoice'!B$2:B$801,$W66)))</f>
        <v/>
      </c>
      <c r="C66">
        <f>IF($W66="","",IF(INDEX('Per Invoice'!C$2:C$801,$W66)="","",INDEX('Per Invoice'!C$2:C$801,$W66)))</f>
        <v/>
      </c>
      <c r="D66">
        <f>IF($W66="","",IF(INDEX('Per Invoice'!D$2:D$801,$W66)="","",INDEX('Per Invoice'!D$2:D$801,$W66)))</f>
        <v/>
      </c>
      <c r="E66">
        <f>IF($W66="","",IF(INDEX('Per Invoice'!E$2:E$801,$W66)="","",INDEX('Per Invoice'!E$2:E$801,$W66)))</f>
        <v/>
      </c>
      <c r="F66">
        <f>IF($W66="","",IF(INDEX('Per Invoice'!F$2:F$801,$W66)="","",INDEX('Per Invoice'!F$2:F$801,$W66)))</f>
        <v/>
      </c>
      <c r="G66">
        <f>IF($W66="","",IF(INDEX('Per Invoice'!G$2:G$801,$W66)="","",INDEX('Per Invoice'!G$2:G$801,$W66)))</f>
        <v/>
      </c>
      <c r="H66">
        <f>IF($W66="","",IF(INDEX('Per Invoice'!H$2:H$801,$W66)="","",INDEX('Per Invoice'!H$2:H$801,$W66)))</f>
        <v/>
      </c>
      <c r="I66">
        <f>IF($W66="","",IF(INDEX('Per Invoice'!I$2:I$801,$W66)="","",INDEX('Per Invoice'!I$2:I$801,$W66)))</f>
        <v/>
      </c>
      <c r="J66">
        <f>IF($W66="","",IF(INDEX('Per Invoice'!J$2:J$801,$W66)="","",INDEX('Per Invoice'!J$2:J$801,$W66)))</f>
        <v/>
      </c>
      <c r="K66" s="7">
        <f>IF($W66="","",IF(INDEX('Per Invoice'!K$2:K$801,$W66)="","",INDEX('Per Invoice'!K$2:K$801,$W66)))</f>
        <v/>
      </c>
      <c r="L66" s="14">
        <f>IF($W66="","",IF(INDEX('Per Invoice'!L$2:L$801,$W66)="","",INDEX('Per Invoice'!L$2:L$801,$W66)))</f>
        <v/>
      </c>
      <c r="M66">
        <f>IF($W66="","",IF(INDEX('Per Invoice'!M$2:M$801,$W66)="","",INDEX('Per Invoice'!M$2:M$801,$W66)))</f>
        <v/>
      </c>
      <c r="N66" s="7">
        <f>IF($W66="","",IF(INDEX('Per Invoice'!N$2:N$801,$W66)="","",INDEX('Per Invoice'!N$2:N$801,$W66)))</f>
        <v/>
      </c>
      <c r="O66" s="7">
        <f>IF($W66="","",IF(INDEX('Per Invoice'!O$2:O$801,$W66)="","",INDEX('Per Invoice'!O$2:O$801,$W66)))</f>
        <v/>
      </c>
      <c r="P66">
        <f>IF($W66="","",IF(INDEX('Per Invoice'!P$2:P$801,$W66)="","",INDEX('Per Invoice'!P$2:P$801,$W66)))</f>
        <v/>
      </c>
      <c r="Q66" s="7">
        <f>IF($W66="","",IF(INDEX('Per Invoice'!Q$2:Q$801,$W66)="","",INDEX('Per Invoice'!Q$2:Q$801,$W66)))</f>
        <v/>
      </c>
      <c r="R66" s="7">
        <f>IF($W66="","",IF(INDEX('Per Invoice'!R$2:R$801,$W66)="","",INDEX('Per Invoice'!R$2:R$801,$W66)))</f>
        <v/>
      </c>
      <c r="S66" s="7">
        <f>IF($W66="","",IF(INDEX('Per Invoice'!S$2:S$801,$W66)="","",INDEX('Per Invoice'!S$2:S$801,$W66)))</f>
        <v/>
      </c>
      <c r="T66" s="7">
        <f>IF($W66="","",IF(INDEX('Per Invoice'!T$2:T$801,$W66)="","",INDEX('Per Invoice'!T$2:T$801,$W66)))</f>
        <v/>
      </c>
      <c r="U66" s="7">
        <f>IF($W66="","",IF(INDEX('Per Invoice'!U$2:U$801,$W66)="","",INDEX('Per Invoice'!U$2:U$801,$W66)))</f>
        <v/>
      </c>
      <c r="V66" s="7">
        <f>IF($W66="","",IF(INDEX('Per Invoice'!V$2:V$801,$W66)="","",INDEX('Per Invoice'!V$2:V$801,$W66)))</f>
        <v/>
      </c>
      <c r="W66" s="16">
        <f>IFERROR(MATCH(Settings!$C$29&amp;"|"&amp;ROWS($W$2:$W66),'Per Invoice'!$X$2:$X$801,0),"")</f>
        <v/>
      </c>
    </row>
    <row r="67">
      <c r="A67">
        <f>IF($W67="","",IF(INDEX('Per Invoice'!A$2:A$801,$W67)="","",INDEX('Per Invoice'!A$2:A$801,$W67)))</f>
        <v/>
      </c>
      <c r="B67">
        <f>IF($W67="","",IF(INDEX('Per Invoice'!B$2:B$801,$W67)="","",INDEX('Per Invoice'!B$2:B$801,$W67)))</f>
        <v/>
      </c>
      <c r="C67">
        <f>IF($W67="","",IF(INDEX('Per Invoice'!C$2:C$801,$W67)="","",INDEX('Per Invoice'!C$2:C$801,$W67)))</f>
        <v/>
      </c>
      <c r="D67">
        <f>IF($W67="","",IF(INDEX('Per Invoice'!D$2:D$801,$W67)="","",INDEX('Per Invoice'!D$2:D$801,$W67)))</f>
        <v/>
      </c>
      <c r="E67">
        <f>IF($W67="","",IF(INDEX('Per Invoice'!E$2:E$801,$W67)="","",INDEX('Per Invoice'!E$2:E$801,$W67)))</f>
        <v/>
      </c>
      <c r="F67">
        <f>IF($W67="","",IF(INDEX('Per Invoice'!F$2:F$801,$W67)="","",INDEX('Per Invoice'!F$2:F$801,$W67)))</f>
        <v/>
      </c>
      <c r="G67">
        <f>IF($W67="","",IF(INDEX('Per Invoice'!G$2:G$801,$W67)="","",INDEX('Per Invoice'!G$2:G$801,$W67)))</f>
        <v/>
      </c>
      <c r="H67">
        <f>IF($W67="","",IF(INDEX('Per Invoice'!H$2:H$801,$W67)="","",INDEX('Per Invoice'!H$2:H$801,$W67)))</f>
        <v/>
      </c>
      <c r="I67">
        <f>IF($W67="","",IF(INDEX('Per Invoice'!I$2:I$801,$W67)="","",INDEX('Per Invoice'!I$2:I$801,$W67)))</f>
        <v/>
      </c>
      <c r="J67">
        <f>IF($W67="","",IF(INDEX('Per Invoice'!J$2:J$801,$W67)="","",INDEX('Per Invoice'!J$2:J$801,$W67)))</f>
        <v/>
      </c>
      <c r="K67" s="7">
        <f>IF($W67="","",IF(INDEX('Per Invoice'!K$2:K$801,$W67)="","",INDEX('Per Invoice'!K$2:K$801,$W67)))</f>
        <v/>
      </c>
      <c r="L67" s="14">
        <f>IF($W67="","",IF(INDEX('Per Invoice'!L$2:L$801,$W67)="","",INDEX('Per Invoice'!L$2:L$801,$W67)))</f>
        <v/>
      </c>
      <c r="M67">
        <f>IF($W67="","",IF(INDEX('Per Invoice'!M$2:M$801,$W67)="","",INDEX('Per Invoice'!M$2:M$801,$W67)))</f>
        <v/>
      </c>
      <c r="N67" s="7">
        <f>IF($W67="","",IF(INDEX('Per Invoice'!N$2:N$801,$W67)="","",INDEX('Per Invoice'!N$2:N$801,$W67)))</f>
        <v/>
      </c>
      <c r="O67" s="7">
        <f>IF($W67="","",IF(INDEX('Per Invoice'!O$2:O$801,$W67)="","",INDEX('Per Invoice'!O$2:O$801,$W67)))</f>
        <v/>
      </c>
      <c r="P67">
        <f>IF($W67="","",IF(INDEX('Per Invoice'!P$2:P$801,$W67)="","",INDEX('Per Invoice'!P$2:P$801,$W67)))</f>
        <v/>
      </c>
      <c r="Q67" s="7">
        <f>IF($W67="","",IF(INDEX('Per Invoice'!Q$2:Q$801,$W67)="","",INDEX('Per Invoice'!Q$2:Q$801,$W67)))</f>
        <v/>
      </c>
      <c r="R67" s="7">
        <f>IF($W67="","",IF(INDEX('Per Invoice'!R$2:R$801,$W67)="","",INDEX('Per Invoice'!R$2:R$801,$W67)))</f>
        <v/>
      </c>
      <c r="S67" s="7">
        <f>IF($W67="","",IF(INDEX('Per Invoice'!S$2:S$801,$W67)="","",INDEX('Per Invoice'!S$2:S$801,$W67)))</f>
        <v/>
      </c>
      <c r="T67" s="7">
        <f>IF($W67="","",IF(INDEX('Per Invoice'!T$2:T$801,$W67)="","",INDEX('Per Invoice'!T$2:T$801,$W67)))</f>
        <v/>
      </c>
      <c r="U67" s="7">
        <f>IF($W67="","",IF(INDEX('Per Invoice'!U$2:U$801,$W67)="","",INDEX('Per Invoice'!U$2:U$801,$W67)))</f>
        <v/>
      </c>
      <c r="V67" s="7">
        <f>IF($W67="","",IF(INDEX('Per Invoice'!V$2:V$801,$W67)="","",INDEX('Per Invoice'!V$2:V$801,$W67)))</f>
        <v/>
      </c>
      <c r="W67" s="16">
        <f>IFERROR(MATCH(Settings!$C$29&amp;"|"&amp;ROWS($W$2:$W67),'Per Invoice'!$X$2:$X$801,0),"")</f>
        <v/>
      </c>
    </row>
    <row r="68">
      <c r="A68">
        <f>IF($W68="","",IF(INDEX('Per Invoice'!A$2:A$801,$W68)="","",INDEX('Per Invoice'!A$2:A$801,$W68)))</f>
        <v/>
      </c>
      <c r="B68">
        <f>IF($W68="","",IF(INDEX('Per Invoice'!B$2:B$801,$W68)="","",INDEX('Per Invoice'!B$2:B$801,$W68)))</f>
        <v/>
      </c>
      <c r="C68">
        <f>IF($W68="","",IF(INDEX('Per Invoice'!C$2:C$801,$W68)="","",INDEX('Per Invoice'!C$2:C$801,$W68)))</f>
        <v/>
      </c>
      <c r="D68">
        <f>IF($W68="","",IF(INDEX('Per Invoice'!D$2:D$801,$W68)="","",INDEX('Per Invoice'!D$2:D$801,$W68)))</f>
        <v/>
      </c>
      <c r="E68">
        <f>IF($W68="","",IF(INDEX('Per Invoice'!E$2:E$801,$W68)="","",INDEX('Per Invoice'!E$2:E$801,$W68)))</f>
        <v/>
      </c>
      <c r="F68">
        <f>IF($W68="","",IF(INDEX('Per Invoice'!F$2:F$801,$W68)="","",INDEX('Per Invoice'!F$2:F$801,$W68)))</f>
        <v/>
      </c>
      <c r="G68">
        <f>IF($W68="","",IF(INDEX('Per Invoice'!G$2:G$801,$W68)="","",INDEX('Per Invoice'!G$2:G$801,$W68)))</f>
        <v/>
      </c>
      <c r="H68">
        <f>IF($W68="","",IF(INDEX('Per Invoice'!H$2:H$801,$W68)="","",INDEX('Per Invoice'!H$2:H$801,$W68)))</f>
        <v/>
      </c>
      <c r="I68">
        <f>IF($W68="","",IF(INDEX('Per Invoice'!I$2:I$801,$W68)="","",INDEX('Per Invoice'!I$2:I$801,$W68)))</f>
        <v/>
      </c>
      <c r="J68">
        <f>IF($W68="","",IF(INDEX('Per Invoice'!J$2:J$801,$W68)="","",INDEX('Per Invoice'!J$2:J$801,$W68)))</f>
        <v/>
      </c>
      <c r="K68" s="7">
        <f>IF($W68="","",IF(INDEX('Per Invoice'!K$2:K$801,$W68)="","",INDEX('Per Invoice'!K$2:K$801,$W68)))</f>
        <v/>
      </c>
      <c r="L68" s="14">
        <f>IF($W68="","",IF(INDEX('Per Invoice'!L$2:L$801,$W68)="","",INDEX('Per Invoice'!L$2:L$801,$W68)))</f>
        <v/>
      </c>
      <c r="M68">
        <f>IF($W68="","",IF(INDEX('Per Invoice'!M$2:M$801,$W68)="","",INDEX('Per Invoice'!M$2:M$801,$W68)))</f>
        <v/>
      </c>
      <c r="N68" s="7">
        <f>IF($W68="","",IF(INDEX('Per Invoice'!N$2:N$801,$W68)="","",INDEX('Per Invoice'!N$2:N$801,$W68)))</f>
        <v/>
      </c>
      <c r="O68" s="7">
        <f>IF($W68="","",IF(INDEX('Per Invoice'!O$2:O$801,$W68)="","",INDEX('Per Invoice'!O$2:O$801,$W68)))</f>
        <v/>
      </c>
      <c r="P68">
        <f>IF($W68="","",IF(INDEX('Per Invoice'!P$2:P$801,$W68)="","",INDEX('Per Invoice'!P$2:P$801,$W68)))</f>
        <v/>
      </c>
      <c r="Q68" s="7">
        <f>IF($W68="","",IF(INDEX('Per Invoice'!Q$2:Q$801,$W68)="","",INDEX('Per Invoice'!Q$2:Q$801,$W68)))</f>
        <v/>
      </c>
      <c r="R68" s="7">
        <f>IF($W68="","",IF(INDEX('Per Invoice'!R$2:R$801,$W68)="","",INDEX('Per Invoice'!R$2:R$801,$W68)))</f>
        <v/>
      </c>
      <c r="S68" s="7">
        <f>IF($W68="","",IF(INDEX('Per Invoice'!S$2:S$801,$W68)="","",INDEX('Per Invoice'!S$2:S$801,$W68)))</f>
        <v/>
      </c>
      <c r="T68" s="7">
        <f>IF($W68="","",IF(INDEX('Per Invoice'!T$2:T$801,$W68)="","",INDEX('Per Invoice'!T$2:T$801,$W68)))</f>
        <v/>
      </c>
      <c r="U68" s="7">
        <f>IF($W68="","",IF(INDEX('Per Invoice'!U$2:U$801,$W68)="","",INDEX('Per Invoice'!U$2:U$801,$W68)))</f>
        <v/>
      </c>
      <c r="V68" s="7">
        <f>IF($W68="","",IF(INDEX('Per Invoice'!V$2:V$801,$W68)="","",INDEX('Per Invoice'!V$2:V$801,$W68)))</f>
        <v/>
      </c>
      <c r="W68" s="16">
        <f>IFERROR(MATCH(Settings!$C$29&amp;"|"&amp;ROWS($W$2:$W68),'Per Invoice'!$X$2:$X$801,0),"")</f>
        <v/>
      </c>
    </row>
    <row r="69">
      <c r="A69">
        <f>IF($W69="","",IF(INDEX('Per Invoice'!A$2:A$801,$W69)="","",INDEX('Per Invoice'!A$2:A$801,$W69)))</f>
        <v/>
      </c>
      <c r="B69">
        <f>IF($W69="","",IF(INDEX('Per Invoice'!B$2:B$801,$W69)="","",INDEX('Per Invoice'!B$2:B$801,$W69)))</f>
        <v/>
      </c>
      <c r="C69">
        <f>IF($W69="","",IF(INDEX('Per Invoice'!C$2:C$801,$W69)="","",INDEX('Per Invoice'!C$2:C$801,$W69)))</f>
        <v/>
      </c>
      <c r="D69">
        <f>IF($W69="","",IF(INDEX('Per Invoice'!D$2:D$801,$W69)="","",INDEX('Per Invoice'!D$2:D$801,$W69)))</f>
        <v/>
      </c>
      <c r="E69">
        <f>IF($W69="","",IF(INDEX('Per Invoice'!E$2:E$801,$W69)="","",INDEX('Per Invoice'!E$2:E$801,$W69)))</f>
        <v/>
      </c>
      <c r="F69">
        <f>IF($W69="","",IF(INDEX('Per Invoice'!F$2:F$801,$W69)="","",INDEX('Per Invoice'!F$2:F$801,$W69)))</f>
        <v/>
      </c>
      <c r="G69">
        <f>IF($W69="","",IF(INDEX('Per Invoice'!G$2:G$801,$W69)="","",INDEX('Per Invoice'!G$2:G$801,$W69)))</f>
        <v/>
      </c>
      <c r="H69">
        <f>IF($W69="","",IF(INDEX('Per Invoice'!H$2:H$801,$W69)="","",INDEX('Per Invoice'!H$2:H$801,$W69)))</f>
        <v/>
      </c>
      <c r="I69">
        <f>IF($W69="","",IF(INDEX('Per Invoice'!I$2:I$801,$W69)="","",INDEX('Per Invoice'!I$2:I$801,$W69)))</f>
        <v/>
      </c>
      <c r="J69">
        <f>IF($W69="","",IF(INDEX('Per Invoice'!J$2:J$801,$W69)="","",INDEX('Per Invoice'!J$2:J$801,$W69)))</f>
        <v/>
      </c>
      <c r="K69" s="7">
        <f>IF($W69="","",IF(INDEX('Per Invoice'!K$2:K$801,$W69)="","",INDEX('Per Invoice'!K$2:K$801,$W69)))</f>
        <v/>
      </c>
      <c r="L69" s="14">
        <f>IF($W69="","",IF(INDEX('Per Invoice'!L$2:L$801,$W69)="","",INDEX('Per Invoice'!L$2:L$801,$W69)))</f>
        <v/>
      </c>
      <c r="M69">
        <f>IF($W69="","",IF(INDEX('Per Invoice'!M$2:M$801,$W69)="","",INDEX('Per Invoice'!M$2:M$801,$W69)))</f>
        <v/>
      </c>
      <c r="N69" s="7">
        <f>IF($W69="","",IF(INDEX('Per Invoice'!N$2:N$801,$W69)="","",INDEX('Per Invoice'!N$2:N$801,$W69)))</f>
        <v/>
      </c>
      <c r="O69" s="7">
        <f>IF($W69="","",IF(INDEX('Per Invoice'!O$2:O$801,$W69)="","",INDEX('Per Invoice'!O$2:O$801,$W69)))</f>
        <v/>
      </c>
      <c r="P69">
        <f>IF($W69="","",IF(INDEX('Per Invoice'!P$2:P$801,$W69)="","",INDEX('Per Invoice'!P$2:P$801,$W69)))</f>
        <v/>
      </c>
      <c r="Q69" s="7">
        <f>IF($W69="","",IF(INDEX('Per Invoice'!Q$2:Q$801,$W69)="","",INDEX('Per Invoice'!Q$2:Q$801,$W69)))</f>
        <v/>
      </c>
      <c r="R69" s="7">
        <f>IF($W69="","",IF(INDEX('Per Invoice'!R$2:R$801,$W69)="","",INDEX('Per Invoice'!R$2:R$801,$W69)))</f>
        <v/>
      </c>
      <c r="S69" s="7">
        <f>IF($W69="","",IF(INDEX('Per Invoice'!S$2:S$801,$W69)="","",INDEX('Per Invoice'!S$2:S$801,$W69)))</f>
        <v/>
      </c>
      <c r="T69" s="7">
        <f>IF($W69="","",IF(INDEX('Per Invoice'!T$2:T$801,$W69)="","",INDEX('Per Invoice'!T$2:T$801,$W69)))</f>
        <v/>
      </c>
      <c r="U69" s="7">
        <f>IF($W69="","",IF(INDEX('Per Invoice'!U$2:U$801,$W69)="","",INDEX('Per Invoice'!U$2:U$801,$W69)))</f>
        <v/>
      </c>
      <c r="V69" s="7">
        <f>IF($W69="","",IF(INDEX('Per Invoice'!V$2:V$801,$W69)="","",INDEX('Per Invoice'!V$2:V$801,$W69)))</f>
        <v/>
      </c>
      <c r="W69" s="16">
        <f>IFERROR(MATCH(Settings!$C$29&amp;"|"&amp;ROWS($W$2:$W69),'Per Invoice'!$X$2:$X$801,0),"")</f>
        <v/>
      </c>
    </row>
    <row r="70">
      <c r="A70">
        <f>IF($W70="","",IF(INDEX('Per Invoice'!A$2:A$801,$W70)="","",INDEX('Per Invoice'!A$2:A$801,$W70)))</f>
        <v/>
      </c>
      <c r="B70">
        <f>IF($W70="","",IF(INDEX('Per Invoice'!B$2:B$801,$W70)="","",INDEX('Per Invoice'!B$2:B$801,$W70)))</f>
        <v/>
      </c>
      <c r="C70">
        <f>IF($W70="","",IF(INDEX('Per Invoice'!C$2:C$801,$W70)="","",INDEX('Per Invoice'!C$2:C$801,$W70)))</f>
        <v/>
      </c>
      <c r="D70">
        <f>IF($W70="","",IF(INDEX('Per Invoice'!D$2:D$801,$W70)="","",INDEX('Per Invoice'!D$2:D$801,$W70)))</f>
        <v/>
      </c>
      <c r="E70">
        <f>IF($W70="","",IF(INDEX('Per Invoice'!E$2:E$801,$W70)="","",INDEX('Per Invoice'!E$2:E$801,$W70)))</f>
        <v/>
      </c>
      <c r="F70">
        <f>IF($W70="","",IF(INDEX('Per Invoice'!F$2:F$801,$W70)="","",INDEX('Per Invoice'!F$2:F$801,$W70)))</f>
        <v/>
      </c>
      <c r="G70">
        <f>IF($W70="","",IF(INDEX('Per Invoice'!G$2:G$801,$W70)="","",INDEX('Per Invoice'!G$2:G$801,$W70)))</f>
        <v/>
      </c>
      <c r="H70">
        <f>IF($W70="","",IF(INDEX('Per Invoice'!H$2:H$801,$W70)="","",INDEX('Per Invoice'!H$2:H$801,$W70)))</f>
        <v/>
      </c>
      <c r="I70">
        <f>IF($W70="","",IF(INDEX('Per Invoice'!I$2:I$801,$W70)="","",INDEX('Per Invoice'!I$2:I$801,$W70)))</f>
        <v/>
      </c>
      <c r="J70">
        <f>IF($W70="","",IF(INDEX('Per Invoice'!J$2:J$801,$W70)="","",INDEX('Per Invoice'!J$2:J$801,$W70)))</f>
        <v/>
      </c>
      <c r="K70" s="7">
        <f>IF($W70="","",IF(INDEX('Per Invoice'!K$2:K$801,$W70)="","",INDEX('Per Invoice'!K$2:K$801,$W70)))</f>
        <v/>
      </c>
      <c r="L70" s="14">
        <f>IF($W70="","",IF(INDEX('Per Invoice'!L$2:L$801,$W70)="","",INDEX('Per Invoice'!L$2:L$801,$W70)))</f>
        <v/>
      </c>
      <c r="M70">
        <f>IF($W70="","",IF(INDEX('Per Invoice'!M$2:M$801,$W70)="","",INDEX('Per Invoice'!M$2:M$801,$W70)))</f>
        <v/>
      </c>
      <c r="N70" s="7">
        <f>IF($W70="","",IF(INDEX('Per Invoice'!N$2:N$801,$W70)="","",INDEX('Per Invoice'!N$2:N$801,$W70)))</f>
        <v/>
      </c>
      <c r="O70" s="7">
        <f>IF($W70="","",IF(INDEX('Per Invoice'!O$2:O$801,$W70)="","",INDEX('Per Invoice'!O$2:O$801,$W70)))</f>
        <v/>
      </c>
      <c r="P70">
        <f>IF($W70="","",IF(INDEX('Per Invoice'!P$2:P$801,$W70)="","",INDEX('Per Invoice'!P$2:P$801,$W70)))</f>
        <v/>
      </c>
      <c r="Q70" s="7">
        <f>IF($W70="","",IF(INDEX('Per Invoice'!Q$2:Q$801,$W70)="","",INDEX('Per Invoice'!Q$2:Q$801,$W70)))</f>
        <v/>
      </c>
      <c r="R70" s="7">
        <f>IF($W70="","",IF(INDEX('Per Invoice'!R$2:R$801,$W70)="","",INDEX('Per Invoice'!R$2:R$801,$W70)))</f>
        <v/>
      </c>
      <c r="S70" s="7">
        <f>IF($W70="","",IF(INDEX('Per Invoice'!S$2:S$801,$W70)="","",INDEX('Per Invoice'!S$2:S$801,$W70)))</f>
        <v/>
      </c>
      <c r="T70" s="7">
        <f>IF($W70="","",IF(INDEX('Per Invoice'!T$2:T$801,$W70)="","",INDEX('Per Invoice'!T$2:T$801,$W70)))</f>
        <v/>
      </c>
      <c r="U70" s="7">
        <f>IF($W70="","",IF(INDEX('Per Invoice'!U$2:U$801,$W70)="","",INDEX('Per Invoice'!U$2:U$801,$W70)))</f>
        <v/>
      </c>
      <c r="V70" s="7">
        <f>IF($W70="","",IF(INDEX('Per Invoice'!V$2:V$801,$W70)="","",INDEX('Per Invoice'!V$2:V$801,$W70)))</f>
        <v/>
      </c>
      <c r="W70" s="16">
        <f>IFERROR(MATCH(Settings!$C$29&amp;"|"&amp;ROWS($W$2:$W70),'Per Invoice'!$X$2:$X$801,0),"")</f>
        <v/>
      </c>
    </row>
    <row r="71">
      <c r="A71">
        <f>IF($W71="","",IF(INDEX('Per Invoice'!A$2:A$801,$W71)="","",INDEX('Per Invoice'!A$2:A$801,$W71)))</f>
        <v/>
      </c>
      <c r="B71">
        <f>IF($W71="","",IF(INDEX('Per Invoice'!B$2:B$801,$W71)="","",INDEX('Per Invoice'!B$2:B$801,$W71)))</f>
        <v/>
      </c>
      <c r="C71">
        <f>IF($W71="","",IF(INDEX('Per Invoice'!C$2:C$801,$W71)="","",INDEX('Per Invoice'!C$2:C$801,$W71)))</f>
        <v/>
      </c>
      <c r="D71">
        <f>IF($W71="","",IF(INDEX('Per Invoice'!D$2:D$801,$W71)="","",INDEX('Per Invoice'!D$2:D$801,$W71)))</f>
        <v/>
      </c>
      <c r="E71">
        <f>IF($W71="","",IF(INDEX('Per Invoice'!E$2:E$801,$W71)="","",INDEX('Per Invoice'!E$2:E$801,$W71)))</f>
        <v/>
      </c>
      <c r="F71">
        <f>IF($W71="","",IF(INDEX('Per Invoice'!F$2:F$801,$W71)="","",INDEX('Per Invoice'!F$2:F$801,$W71)))</f>
        <v/>
      </c>
      <c r="G71">
        <f>IF($W71="","",IF(INDEX('Per Invoice'!G$2:G$801,$W71)="","",INDEX('Per Invoice'!G$2:G$801,$W71)))</f>
        <v/>
      </c>
      <c r="H71">
        <f>IF($W71="","",IF(INDEX('Per Invoice'!H$2:H$801,$W71)="","",INDEX('Per Invoice'!H$2:H$801,$W71)))</f>
        <v/>
      </c>
      <c r="I71">
        <f>IF($W71="","",IF(INDEX('Per Invoice'!I$2:I$801,$W71)="","",INDEX('Per Invoice'!I$2:I$801,$W71)))</f>
        <v/>
      </c>
      <c r="J71">
        <f>IF($W71="","",IF(INDEX('Per Invoice'!J$2:J$801,$W71)="","",INDEX('Per Invoice'!J$2:J$801,$W71)))</f>
        <v/>
      </c>
      <c r="K71" s="7">
        <f>IF($W71="","",IF(INDEX('Per Invoice'!K$2:K$801,$W71)="","",INDEX('Per Invoice'!K$2:K$801,$W71)))</f>
        <v/>
      </c>
      <c r="L71" s="14">
        <f>IF($W71="","",IF(INDEX('Per Invoice'!L$2:L$801,$W71)="","",INDEX('Per Invoice'!L$2:L$801,$W71)))</f>
        <v/>
      </c>
      <c r="M71">
        <f>IF($W71="","",IF(INDEX('Per Invoice'!M$2:M$801,$W71)="","",INDEX('Per Invoice'!M$2:M$801,$W71)))</f>
        <v/>
      </c>
      <c r="N71" s="7">
        <f>IF($W71="","",IF(INDEX('Per Invoice'!N$2:N$801,$W71)="","",INDEX('Per Invoice'!N$2:N$801,$W71)))</f>
        <v/>
      </c>
      <c r="O71" s="7">
        <f>IF($W71="","",IF(INDEX('Per Invoice'!O$2:O$801,$W71)="","",INDEX('Per Invoice'!O$2:O$801,$W71)))</f>
        <v/>
      </c>
      <c r="P71">
        <f>IF($W71="","",IF(INDEX('Per Invoice'!P$2:P$801,$W71)="","",INDEX('Per Invoice'!P$2:P$801,$W71)))</f>
        <v/>
      </c>
      <c r="Q71" s="7">
        <f>IF($W71="","",IF(INDEX('Per Invoice'!Q$2:Q$801,$W71)="","",INDEX('Per Invoice'!Q$2:Q$801,$W71)))</f>
        <v/>
      </c>
      <c r="R71" s="7">
        <f>IF($W71="","",IF(INDEX('Per Invoice'!R$2:R$801,$W71)="","",INDEX('Per Invoice'!R$2:R$801,$W71)))</f>
        <v/>
      </c>
      <c r="S71" s="7">
        <f>IF($W71="","",IF(INDEX('Per Invoice'!S$2:S$801,$W71)="","",INDEX('Per Invoice'!S$2:S$801,$W71)))</f>
        <v/>
      </c>
      <c r="T71" s="7">
        <f>IF($W71="","",IF(INDEX('Per Invoice'!T$2:T$801,$W71)="","",INDEX('Per Invoice'!T$2:T$801,$W71)))</f>
        <v/>
      </c>
      <c r="U71" s="7">
        <f>IF($W71="","",IF(INDEX('Per Invoice'!U$2:U$801,$W71)="","",INDEX('Per Invoice'!U$2:U$801,$W71)))</f>
        <v/>
      </c>
      <c r="V71" s="7">
        <f>IF($W71="","",IF(INDEX('Per Invoice'!V$2:V$801,$W71)="","",INDEX('Per Invoice'!V$2:V$801,$W71)))</f>
        <v/>
      </c>
      <c r="W71" s="16">
        <f>IFERROR(MATCH(Settings!$C$29&amp;"|"&amp;ROWS($W$2:$W71),'Per Invoice'!$X$2:$X$801,0),"")</f>
        <v/>
      </c>
    </row>
    <row r="72">
      <c r="A72">
        <f>IF($W72="","",IF(INDEX('Per Invoice'!A$2:A$801,$W72)="","",INDEX('Per Invoice'!A$2:A$801,$W72)))</f>
        <v/>
      </c>
      <c r="B72">
        <f>IF($W72="","",IF(INDEX('Per Invoice'!B$2:B$801,$W72)="","",INDEX('Per Invoice'!B$2:B$801,$W72)))</f>
        <v/>
      </c>
      <c r="C72">
        <f>IF($W72="","",IF(INDEX('Per Invoice'!C$2:C$801,$W72)="","",INDEX('Per Invoice'!C$2:C$801,$W72)))</f>
        <v/>
      </c>
      <c r="D72">
        <f>IF($W72="","",IF(INDEX('Per Invoice'!D$2:D$801,$W72)="","",INDEX('Per Invoice'!D$2:D$801,$W72)))</f>
        <v/>
      </c>
      <c r="E72">
        <f>IF($W72="","",IF(INDEX('Per Invoice'!E$2:E$801,$W72)="","",INDEX('Per Invoice'!E$2:E$801,$W72)))</f>
        <v/>
      </c>
      <c r="F72">
        <f>IF($W72="","",IF(INDEX('Per Invoice'!F$2:F$801,$W72)="","",INDEX('Per Invoice'!F$2:F$801,$W72)))</f>
        <v/>
      </c>
      <c r="G72">
        <f>IF($W72="","",IF(INDEX('Per Invoice'!G$2:G$801,$W72)="","",INDEX('Per Invoice'!G$2:G$801,$W72)))</f>
        <v/>
      </c>
      <c r="H72">
        <f>IF($W72="","",IF(INDEX('Per Invoice'!H$2:H$801,$W72)="","",INDEX('Per Invoice'!H$2:H$801,$W72)))</f>
        <v/>
      </c>
      <c r="I72">
        <f>IF($W72="","",IF(INDEX('Per Invoice'!I$2:I$801,$W72)="","",INDEX('Per Invoice'!I$2:I$801,$W72)))</f>
        <v/>
      </c>
      <c r="J72">
        <f>IF($W72="","",IF(INDEX('Per Invoice'!J$2:J$801,$W72)="","",INDEX('Per Invoice'!J$2:J$801,$W72)))</f>
        <v/>
      </c>
      <c r="K72" s="7">
        <f>IF($W72="","",IF(INDEX('Per Invoice'!K$2:K$801,$W72)="","",INDEX('Per Invoice'!K$2:K$801,$W72)))</f>
        <v/>
      </c>
      <c r="L72" s="14">
        <f>IF($W72="","",IF(INDEX('Per Invoice'!L$2:L$801,$W72)="","",INDEX('Per Invoice'!L$2:L$801,$W72)))</f>
        <v/>
      </c>
      <c r="M72">
        <f>IF($W72="","",IF(INDEX('Per Invoice'!M$2:M$801,$W72)="","",INDEX('Per Invoice'!M$2:M$801,$W72)))</f>
        <v/>
      </c>
      <c r="N72" s="7">
        <f>IF($W72="","",IF(INDEX('Per Invoice'!N$2:N$801,$W72)="","",INDEX('Per Invoice'!N$2:N$801,$W72)))</f>
        <v/>
      </c>
      <c r="O72" s="7">
        <f>IF($W72="","",IF(INDEX('Per Invoice'!O$2:O$801,$W72)="","",INDEX('Per Invoice'!O$2:O$801,$W72)))</f>
        <v/>
      </c>
      <c r="P72">
        <f>IF($W72="","",IF(INDEX('Per Invoice'!P$2:P$801,$W72)="","",INDEX('Per Invoice'!P$2:P$801,$W72)))</f>
        <v/>
      </c>
      <c r="Q72" s="7">
        <f>IF($W72="","",IF(INDEX('Per Invoice'!Q$2:Q$801,$W72)="","",INDEX('Per Invoice'!Q$2:Q$801,$W72)))</f>
        <v/>
      </c>
      <c r="R72" s="7">
        <f>IF($W72="","",IF(INDEX('Per Invoice'!R$2:R$801,$W72)="","",INDEX('Per Invoice'!R$2:R$801,$W72)))</f>
        <v/>
      </c>
      <c r="S72" s="7">
        <f>IF($W72="","",IF(INDEX('Per Invoice'!S$2:S$801,$W72)="","",INDEX('Per Invoice'!S$2:S$801,$W72)))</f>
        <v/>
      </c>
      <c r="T72" s="7">
        <f>IF($W72="","",IF(INDEX('Per Invoice'!T$2:T$801,$W72)="","",INDEX('Per Invoice'!T$2:T$801,$W72)))</f>
        <v/>
      </c>
      <c r="U72" s="7">
        <f>IF($W72="","",IF(INDEX('Per Invoice'!U$2:U$801,$W72)="","",INDEX('Per Invoice'!U$2:U$801,$W72)))</f>
        <v/>
      </c>
      <c r="V72" s="7">
        <f>IF($W72="","",IF(INDEX('Per Invoice'!V$2:V$801,$W72)="","",INDEX('Per Invoice'!V$2:V$801,$W72)))</f>
        <v/>
      </c>
      <c r="W72" s="16">
        <f>IFERROR(MATCH(Settings!$C$29&amp;"|"&amp;ROWS($W$2:$W72),'Per Invoice'!$X$2:$X$801,0),"")</f>
        <v/>
      </c>
    </row>
    <row r="73">
      <c r="A73">
        <f>IF($W73="","",IF(INDEX('Per Invoice'!A$2:A$801,$W73)="","",INDEX('Per Invoice'!A$2:A$801,$W73)))</f>
        <v/>
      </c>
      <c r="B73">
        <f>IF($W73="","",IF(INDEX('Per Invoice'!B$2:B$801,$W73)="","",INDEX('Per Invoice'!B$2:B$801,$W73)))</f>
        <v/>
      </c>
      <c r="C73">
        <f>IF($W73="","",IF(INDEX('Per Invoice'!C$2:C$801,$W73)="","",INDEX('Per Invoice'!C$2:C$801,$W73)))</f>
        <v/>
      </c>
      <c r="D73">
        <f>IF($W73="","",IF(INDEX('Per Invoice'!D$2:D$801,$W73)="","",INDEX('Per Invoice'!D$2:D$801,$W73)))</f>
        <v/>
      </c>
      <c r="E73">
        <f>IF($W73="","",IF(INDEX('Per Invoice'!E$2:E$801,$W73)="","",INDEX('Per Invoice'!E$2:E$801,$W73)))</f>
        <v/>
      </c>
      <c r="F73">
        <f>IF($W73="","",IF(INDEX('Per Invoice'!F$2:F$801,$W73)="","",INDEX('Per Invoice'!F$2:F$801,$W73)))</f>
        <v/>
      </c>
      <c r="G73">
        <f>IF($W73="","",IF(INDEX('Per Invoice'!G$2:G$801,$W73)="","",INDEX('Per Invoice'!G$2:G$801,$W73)))</f>
        <v/>
      </c>
      <c r="H73">
        <f>IF($W73="","",IF(INDEX('Per Invoice'!H$2:H$801,$W73)="","",INDEX('Per Invoice'!H$2:H$801,$W73)))</f>
        <v/>
      </c>
      <c r="I73">
        <f>IF($W73="","",IF(INDEX('Per Invoice'!I$2:I$801,$W73)="","",INDEX('Per Invoice'!I$2:I$801,$W73)))</f>
        <v/>
      </c>
      <c r="J73">
        <f>IF($W73="","",IF(INDEX('Per Invoice'!J$2:J$801,$W73)="","",INDEX('Per Invoice'!J$2:J$801,$W73)))</f>
        <v/>
      </c>
      <c r="K73" s="7">
        <f>IF($W73="","",IF(INDEX('Per Invoice'!K$2:K$801,$W73)="","",INDEX('Per Invoice'!K$2:K$801,$W73)))</f>
        <v/>
      </c>
      <c r="L73" s="14">
        <f>IF($W73="","",IF(INDEX('Per Invoice'!L$2:L$801,$W73)="","",INDEX('Per Invoice'!L$2:L$801,$W73)))</f>
        <v/>
      </c>
      <c r="M73">
        <f>IF($W73="","",IF(INDEX('Per Invoice'!M$2:M$801,$W73)="","",INDEX('Per Invoice'!M$2:M$801,$W73)))</f>
        <v/>
      </c>
      <c r="N73" s="7">
        <f>IF($W73="","",IF(INDEX('Per Invoice'!N$2:N$801,$W73)="","",INDEX('Per Invoice'!N$2:N$801,$W73)))</f>
        <v/>
      </c>
      <c r="O73" s="7">
        <f>IF($W73="","",IF(INDEX('Per Invoice'!O$2:O$801,$W73)="","",INDEX('Per Invoice'!O$2:O$801,$W73)))</f>
        <v/>
      </c>
      <c r="P73">
        <f>IF($W73="","",IF(INDEX('Per Invoice'!P$2:P$801,$W73)="","",INDEX('Per Invoice'!P$2:P$801,$W73)))</f>
        <v/>
      </c>
      <c r="Q73" s="7">
        <f>IF($W73="","",IF(INDEX('Per Invoice'!Q$2:Q$801,$W73)="","",INDEX('Per Invoice'!Q$2:Q$801,$W73)))</f>
        <v/>
      </c>
      <c r="R73" s="7">
        <f>IF($W73="","",IF(INDEX('Per Invoice'!R$2:R$801,$W73)="","",INDEX('Per Invoice'!R$2:R$801,$W73)))</f>
        <v/>
      </c>
      <c r="S73" s="7">
        <f>IF($W73="","",IF(INDEX('Per Invoice'!S$2:S$801,$W73)="","",INDEX('Per Invoice'!S$2:S$801,$W73)))</f>
        <v/>
      </c>
      <c r="T73" s="7">
        <f>IF($W73="","",IF(INDEX('Per Invoice'!T$2:T$801,$W73)="","",INDEX('Per Invoice'!T$2:T$801,$W73)))</f>
        <v/>
      </c>
      <c r="U73" s="7">
        <f>IF($W73="","",IF(INDEX('Per Invoice'!U$2:U$801,$W73)="","",INDEX('Per Invoice'!U$2:U$801,$W73)))</f>
        <v/>
      </c>
      <c r="V73" s="7">
        <f>IF($W73="","",IF(INDEX('Per Invoice'!V$2:V$801,$W73)="","",INDEX('Per Invoice'!V$2:V$801,$W73)))</f>
        <v/>
      </c>
      <c r="W73" s="16">
        <f>IFERROR(MATCH(Settings!$C$29&amp;"|"&amp;ROWS($W$2:$W73),'Per Invoice'!$X$2:$X$801,0),"")</f>
        <v/>
      </c>
    </row>
    <row r="74">
      <c r="A74">
        <f>IF($W74="","",IF(INDEX('Per Invoice'!A$2:A$801,$W74)="","",INDEX('Per Invoice'!A$2:A$801,$W74)))</f>
        <v/>
      </c>
      <c r="B74">
        <f>IF($W74="","",IF(INDEX('Per Invoice'!B$2:B$801,$W74)="","",INDEX('Per Invoice'!B$2:B$801,$W74)))</f>
        <v/>
      </c>
      <c r="C74">
        <f>IF($W74="","",IF(INDEX('Per Invoice'!C$2:C$801,$W74)="","",INDEX('Per Invoice'!C$2:C$801,$W74)))</f>
        <v/>
      </c>
      <c r="D74">
        <f>IF($W74="","",IF(INDEX('Per Invoice'!D$2:D$801,$W74)="","",INDEX('Per Invoice'!D$2:D$801,$W74)))</f>
        <v/>
      </c>
      <c r="E74">
        <f>IF($W74="","",IF(INDEX('Per Invoice'!E$2:E$801,$W74)="","",INDEX('Per Invoice'!E$2:E$801,$W74)))</f>
        <v/>
      </c>
      <c r="F74">
        <f>IF($W74="","",IF(INDEX('Per Invoice'!F$2:F$801,$W74)="","",INDEX('Per Invoice'!F$2:F$801,$W74)))</f>
        <v/>
      </c>
      <c r="G74">
        <f>IF($W74="","",IF(INDEX('Per Invoice'!G$2:G$801,$W74)="","",INDEX('Per Invoice'!G$2:G$801,$W74)))</f>
        <v/>
      </c>
      <c r="H74">
        <f>IF($W74="","",IF(INDEX('Per Invoice'!H$2:H$801,$W74)="","",INDEX('Per Invoice'!H$2:H$801,$W74)))</f>
        <v/>
      </c>
      <c r="I74">
        <f>IF($W74="","",IF(INDEX('Per Invoice'!I$2:I$801,$W74)="","",INDEX('Per Invoice'!I$2:I$801,$W74)))</f>
        <v/>
      </c>
      <c r="J74">
        <f>IF($W74="","",IF(INDEX('Per Invoice'!J$2:J$801,$W74)="","",INDEX('Per Invoice'!J$2:J$801,$W74)))</f>
        <v/>
      </c>
      <c r="K74" s="7">
        <f>IF($W74="","",IF(INDEX('Per Invoice'!K$2:K$801,$W74)="","",INDEX('Per Invoice'!K$2:K$801,$W74)))</f>
        <v/>
      </c>
      <c r="L74" s="14">
        <f>IF($W74="","",IF(INDEX('Per Invoice'!L$2:L$801,$W74)="","",INDEX('Per Invoice'!L$2:L$801,$W74)))</f>
        <v/>
      </c>
      <c r="M74">
        <f>IF($W74="","",IF(INDEX('Per Invoice'!M$2:M$801,$W74)="","",INDEX('Per Invoice'!M$2:M$801,$W74)))</f>
        <v/>
      </c>
      <c r="N74" s="7">
        <f>IF($W74="","",IF(INDEX('Per Invoice'!N$2:N$801,$W74)="","",INDEX('Per Invoice'!N$2:N$801,$W74)))</f>
        <v/>
      </c>
      <c r="O74" s="7">
        <f>IF($W74="","",IF(INDEX('Per Invoice'!O$2:O$801,$W74)="","",INDEX('Per Invoice'!O$2:O$801,$W74)))</f>
        <v/>
      </c>
      <c r="P74">
        <f>IF($W74="","",IF(INDEX('Per Invoice'!P$2:P$801,$W74)="","",INDEX('Per Invoice'!P$2:P$801,$W74)))</f>
        <v/>
      </c>
      <c r="Q74" s="7">
        <f>IF($W74="","",IF(INDEX('Per Invoice'!Q$2:Q$801,$W74)="","",INDEX('Per Invoice'!Q$2:Q$801,$W74)))</f>
        <v/>
      </c>
      <c r="R74" s="7">
        <f>IF($W74="","",IF(INDEX('Per Invoice'!R$2:R$801,$W74)="","",INDEX('Per Invoice'!R$2:R$801,$W74)))</f>
        <v/>
      </c>
      <c r="S74" s="7">
        <f>IF($W74="","",IF(INDEX('Per Invoice'!S$2:S$801,$W74)="","",INDEX('Per Invoice'!S$2:S$801,$W74)))</f>
        <v/>
      </c>
      <c r="T74" s="7">
        <f>IF($W74="","",IF(INDEX('Per Invoice'!T$2:T$801,$W74)="","",INDEX('Per Invoice'!T$2:T$801,$W74)))</f>
        <v/>
      </c>
      <c r="U74" s="7">
        <f>IF($W74="","",IF(INDEX('Per Invoice'!U$2:U$801,$W74)="","",INDEX('Per Invoice'!U$2:U$801,$W74)))</f>
        <v/>
      </c>
      <c r="V74" s="7">
        <f>IF($W74="","",IF(INDEX('Per Invoice'!V$2:V$801,$W74)="","",INDEX('Per Invoice'!V$2:V$801,$W74)))</f>
        <v/>
      </c>
      <c r="W74" s="16">
        <f>IFERROR(MATCH(Settings!$C$29&amp;"|"&amp;ROWS($W$2:$W74),'Per Invoice'!$X$2:$X$801,0),"")</f>
        <v/>
      </c>
    </row>
    <row r="75">
      <c r="A75">
        <f>IF($W75="","",IF(INDEX('Per Invoice'!A$2:A$801,$W75)="","",INDEX('Per Invoice'!A$2:A$801,$W75)))</f>
        <v/>
      </c>
      <c r="B75">
        <f>IF($W75="","",IF(INDEX('Per Invoice'!B$2:B$801,$W75)="","",INDEX('Per Invoice'!B$2:B$801,$W75)))</f>
        <v/>
      </c>
      <c r="C75">
        <f>IF($W75="","",IF(INDEX('Per Invoice'!C$2:C$801,$W75)="","",INDEX('Per Invoice'!C$2:C$801,$W75)))</f>
        <v/>
      </c>
      <c r="D75">
        <f>IF($W75="","",IF(INDEX('Per Invoice'!D$2:D$801,$W75)="","",INDEX('Per Invoice'!D$2:D$801,$W75)))</f>
        <v/>
      </c>
      <c r="E75">
        <f>IF($W75="","",IF(INDEX('Per Invoice'!E$2:E$801,$W75)="","",INDEX('Per Invoice'!E$2:E$801,$W75)))</f>
        <v/>
      </c>
      <c r="F75">
        <f>IF($W75="","",IF(INDEX('Per Invoice'!F$2:F$801,$W75)="","",INDEX('Per Invoice'!F$2:F$801,$W75)))</f>
        <v/>
      </c>
      <c r="G75">
        <f>IF($W75="","",IF(INDEX('Per Invoice'!G$2:G$801,$W75)="","",INDEX('Per Invoice'!G$2:G$801,$W75)))</f>
        <v/>
      </c>
      <c r="H75">
        <f>IF($W75="","",IF(INDEX('Per Invoice'!H$2:H$801,$W75)="","",INDEX('Per Invoice'!H$2:H$801,$W75)))</f>
        <v/>
      </c>
      <c r="I75">
        <f>IF($W75="","",IF(INDEX('Per Invoice'!I$2:I$801,$W75)="","",INDEX('Per Invoice'!I$2:I$801,$W75)))</f>
        <v/>
      </c>
      <c r="J75">
        <f>IF($W75="","",IF(INDEX('Per Invoice'!J$2:J$801,$W75)="","",INDEX('Per Invoice'!J$2:J$801,$W75)))</f>
        <v/>
      </c>
      <c r="K75" s="7">
        <f>IF($W75="","",IF(INDEX('Per Invoice'!K$2:K$801,$W75)="","",INDEX('Per Invoice'!K$2:K$801,$W75)))</f>
        <v/>
      </c>
      <c r="L75" s="14">
        <f>IF($W75="","",IF(INDEX('Per Invoice'!L$2:L$801,$W75)="","",INDEX('Per Invoice'!L$2:L$801,$W75)))</f>
        <v/>
      </c>
      <c r="M75">
        <f>IF($W75="","",IF(INDEX('Per Invoice'!M$2:M$801,$W75)="","",INDEX('Per Invoice'!M$2:M$801,$W75)))</f>
        <v/>
      </c>
      <c r="N75" s="7">
        <f>IF($W75="","",IF(INDEX('Per Invoice'!N$2:N$801,$W75)="","",INDEX('Per Invoice'!N$2:N$801,$W75)))</f>
        <v/>
      </c>
      <c r="O75" s="7">
        <f>IF($W75="","",IF(INDEX('Per Invoice'!O$2:O$801,$W75)="","",INDEX('Per Invoice'!O$2:O$801,$W75)))</f>
        <v/>
      </c>
      <c r="P75">
        <f>IF($W75="","",IF(INDEX('Per Invoice'!P$2:P$801,$W75)="","",INDEX('Per Invoice'!P$2:P$801,$W75)))</f>
        <v/>
      </c>
      <c r="Q75" s="7">
        <f>IF($W75="","",IF(INDEX('Per Invoice'!Q$2:Q$801,$W75)="","",INDEX('Per Invoice'!Q$2:Q$801,$W75)))</f>
        <v/>
      </c>
      <c r="R75" s="7">
        <f>IF($W75="","",IF(INDEX('Per Invoice'!R$2:R$801,$W75)="","",INDEX('Per Invoice'!R$2:R$801,$W75)))</f>
        <v/>
      </c>
      <c r="S75" s="7">
        <f>IF($W75="","",IF(INDEX('Per Invoice'!S$2:S$801,$W75)="","",INDEX('Per Invoice'!S$2:S$801,$W75)))</f>
        <v/>
      </c>
      <c r="T75" s="7">
        <f>IF($W75="","",IF(INDEX('Per Invoice'!T$2:T$801,$W75)="","",INDEX('Per Invoice'!T$2:T$801,$W75)))</f>
        <v/>
      </c>
      <c r="U75" s="7">
        <f>IF($W75="","",IF(INDEX('Per Invoice'!U$2:U$801,$W75)="","",INDEX('Per Invoice'!U$2:U$801,$W75)))</f>
        <v/>
      </c>
      <c r="V75" s="7">
        <f>IF($W75="","",IF(INDEX('Per Invoice'!V$2:V$801,$W75)="","",INDEX('Per Invoice'!V$2:V$801,$W75)))</f>
        <v/>
      </c>
      <c r="W75" s="16">
        <f>IFERROR(MATCH(Settings!$C$29&amp;"|"&amp;ROWS($W$2:$W75),'Per Invoice'!$X$2:$X$801,0),"")</f>
        <v/>
      </c>
    </row>
    <row r="76">
      <c r="A76">
        <f>IF($W76="","",IF(INDEX('Per Invoice'!A$2:A$801,$W76)="","",INDEX('Per Invoice'!A$2:A$801,$W76)))</f>
        <v/>
      </c>
      <c r="B76">
        <f>IF($W76="","",IF(INDEX('Per Invoice'!B$2:B$801,$W76)="","",INDEX('Per Invoice'!B$2:B$801,$W76)))</f>
        <v/>
      </c>
      <c r="C76">
        <f>IF($W76="","",IF(INDEX('Per Invoice'!C$2:C$801,$W76)="","",INDEX('Per Invoice'!C$2:C$801,$W76)))</f>
        <v/>
      </c>
      <c r="D76">
        <f>IF($W76="","",IF(INDEX('Per Invoice'!D$2:D$801,$W76)="","",INDEX('Per Invoice'!D$2:D$801,$W76)))</f>
        <v/>
      </c>
      <c r="E76">
        <f>IF($W76="","",IF(INDEX('Per Invoice'!E$2:E$801,$W76)="","",INDEX('Per Invoice'!E$2:E$801,$W76)))</f>
        <v/>
      </c>
      <c r="F76">
        <f>IF($W76="","",IF(INDEX('Per Invoice'!F$2:F$801,$W76)="","",INDEX('Per Invoice'!F$2:F$801,$W76)))</f>
        <v/>
      </c>
      <c r="G76">
        <f>IF($W76="","",IF(INDEX('Per Invoice'!G$2:G$801,$W76)="","",INDEX('Per Invoice'!G$2:G$801,$W76)))</f>
        <v/>
      </c>
      <c r="H76">
        <f>IF($W76="","",IF(INDEX('Per Invoice'!H$2:H$801,$W76)="","",INDEX('Per Invoice'!H$2:H$801,$W76)))</f>
        <v/>
      </c>
      <c r="I76">
        <f>IF($W76="","",IF(INDEX('Per Invoice'!I$2:I$801,$W76)="","",INDEX('Per Invoice'!I$2:I$801,$W76)))</f>
        <v/>
      </c>
      <c r="J76">
        <f>IF($W76="","",IF(INDEX('Per Invoice'!J$2:J$801,$W76)="","",INDEX('Per Invoice'!J$2:J$801,$W76)))</f>
        <v/>
      </c>
      <c r="K76" s="7">
        <f>IF($W76="","",IF(INDEX('Per Invoice'!K$2:K$801,$W76)="","",INDEX('Per Invoice'!K$2:K$801,$W76)))</f>
        <v/>
      </c>
      <c r="L76" s="14">
        <f>IF($W76="","",IF(INDEX('Per Invoice'!L$2:L$801,$W76)="","",INDEX('Per Invoice'!L$2:L$801,$W76)))</f>
        <v/>
      </c>
      <c r="M76">
        <f>IF($W76="","",IF(INDEX('Per Invoice'!M$2:M$801,$W76)="","",INDEX('Per Invoice'!M$2:M$801,$W76)))</f>
        <v/>
      </c>
      <c r="N76" s="7">
        <f>IF($W76="","",IF(INDEX('Per Invoice'!N$2:N$801,$W76)="","",INDEX('Per Invoice'!N$2:N$801,$W76)))</f>
        <v/>
      </c>
      <c r="O76" s="7">
        <f>IF($W76="","",IF(INDEX('Per Invoice'!O$2:O$801,$W76)="","",INDEX('Per Invoice'!O$2:O$801,$W76)))</f>
        <v/>
      </c>
      <c r="P76">
        <f>IF($W76="","",IF(INDEX('Per Invoice'!P$2:P$801,$W76)="","",INDEX('Per Invoice'!P$2:P$801,$W76)))</f>
        <v/>
      </c>
      <c r="Q76" s="7">
        <f>IF($W76="","",IF(INDEX('Per Invoice'!Q$2:Q$801,$W76)="","",INDEX('Per Invoice'!Q$2:Q$801,$W76)))</f>
        <v/>
      </c>
      <c r="R76" s="7">
        <f>IF($W76="","",IF(INDEX('Per Invoice'!R$2:R$801,$W76)="","",INDEX('Per Invoice'!R$2:R$801,$W76)))</f>
        <v/>
      </c>
      <c r="S76" s="7">
        <f>IF($W76="","",IF(INDEX('Per Invoice'!S$2:S$801,$W76)="","",INDEX('Per Invoice'!S$2:S$801,$W76)))</f>
        <v/>
      </c>
      <c r="T76" s="7">
        <f>IF($W76="","",IF(INDEX('Per Invoice'!T$2:T$801,$W76)="","",INDEX('Per Invoice'!T$2:T$801,$W76)))</f>
        <v/>
      </c>
      <c r="U76" s="7">
        <f>IF($W76="","",IF(INDEX('Per Invoice'!U$2:U$801,$W76)="","",INDEX('Per Invoice'!U$2:U$801,$W76)))</f>
        <v/>
      </c>
      <c r="V76" s="7">
        <f>IF($W76="","",IF(INDEX('Per Invoice'!V$2:V$801,$W76)="","",INDEX('Per Invoice'!V$2:V$801,$W76)))</f>
        <v/>
      </c>
      <c r="W76" s="16">
        <f>IFERROR(MATCH(Settings!$C$29&amp;"|"&amp;ROWS($W$2:$W76),'Per Invoice'!$X$2:$X$801,0),"")</f>
        <v/>
      </c>
    </row>
    <row r="77">
      <c r="A77">
        <f>IF($W77="","",IF(INDEX('Per Invoice'!A$2:A$801,$W77)="","",INDEX('Per Invoice'!A$2:A$801,$W77)))</f>
        <v/>
      </c>
      <c r="B77">
        <f>IF($W77="","",IF(INDEX('Per Invoice'!B$2:B$801,$W77)="","",INDEX('Per Invoice'!B$2:B$801,$W77)))</f>
        <v/>
      </c>
      <c r="C77">
        <f>IF($W77="","",IF(INDEX('Per Invoice'!C$2:C$801,$W77)="","",INDEX('Per Invoice'!C$2:C$801,$W77)))</f>
        <v/>
      </c>
      <c r="D77">
        <f>IF($W77="","",IF(INDEX('Per Invoice'!D$2:D$801,$W77)="","",INDEX('Per Invoice'!D$2:D$801,$W77)))</f>
        <v/>
      </c>
      <c r="E77">
        <f>IF($W77="","",IF(INDEX('Per Invoice'!E$2:E$801,$W77)="","",INDEX('Per Invoice'!E$2:E$801,$W77)))</f>
        <v/>
      </c>
      <c r="F77">
        <f>IF($W77="","",IF(INDEX('Per Invoice'!F$2:F$801,$W77)="","",INDEX('Per Invoice'!F$2:F$801,$W77)))</f>
        <v/>
      </c>
      <c r="G77">
        <f>IF($W77="","",IF(INDEX('Per Invoice'!G$2:G$801,$W77)="","",INDEX('Per Invoice'!G$2:G$801,$W77)))</f>
        <v/>
      </c>
      <c r="H77">
        <f>IF($W77="","",IF(INDEX('Per Invoice'!H$2:H$801,$W77)="","",INDEX('Per Invoice'!H$2:H$801,$W77)))</f>
        <v/>
      </c>
      <c r="I77">
        <f>IF($W77="","",IF(INDEX('Per Invoice'!I$2:I$801,$W77)="","",INDEX('Per Invoice'!I$2:I$801,$W77)))</f>
        <v/>
      </c>
      <c r="J77">
        <f>IF($W77="","",IF(INDEX('Per Invoice'!J$2:J$801,$W77)="","",INDEX('Per Invoice'!J$2:J$801,$W77)))</f>
        <v/>
      </c>
      <c r="K77" s="7">
        <f>IF($W77="","",IF(INDEX('Per Invoice'!K$2:K$801,$W77)="","",INDEX('Per Invoice'!K$2:K$801,$W77)))</f>
        <v/>
      </c>
      <c r="L77" s="14">
        <f>IF($W77="","",IF(INDEX('Per Invoice'!L$2:L$801,$W77)="","",INDEX('Per Invoice'!L$2:L$801,$W77)))</f>
        <v/>
      </c>
      <c r="M77">
        <f>IF($W77="","",IF(INDEX('Per Invoice'!M$2:M$801,$W77)="","",INDEX('Per Invoice'!M$2:M$801,$W77)))</f>
        <v/>
      </c>
      <c r="N77" s="7">
        <f>IF($W77="","",IF(INDEX('Per Invoice'!N$2:N$801,$W77)="","",INDEX('Per Invoice'!N$2:N$801,$W77)))</f>
        <v/>
      </c>
      <c r="O77" s="7">
        <f>IF($W77="","",IF(INDEX('Per Invoice'!O$2:O$801,$W77)="","",INDEX('Per Invoice'!O$2:O$801,$W77)))</f>
        <v/>
      </c>
      <c r="P77">
        <f>IF($W77="","",IF(INDEX('Per Invoice'!P$2:P$801,$W77)="","",INDEX('Per Invoice'!P$2:P$801,$W77)))</f>
        <v/>
      </c>
      <c r="Q77" s="7">
        <f>IF($W77="","",IF(INDEX('Per Invoice'!Q$2:Q$801,$W77)="","",INDEX('Per Invoice'!Q$2:Q$801,$W77)))</f>
        <v/>
      </c>
      <c r="R77" s="7">
        <f>IF($W77="","",IF(INDEX('Per Invoice'!R$2:R$801,$W77)="","",INDEX('Per Invoice'!R$2:R$801,$W77)))</f>
        <v/>
      </c>
      <c r="S77" s="7">
        <f>IF($W77="","",IF(INDEX('Per Invoice'!S$2:S$801,$W77)="","",INDEX('Per Invoice'!S$2:S$801,$W77)))</f>
        <v/>
      </c>
      <c r="T77" s="7">
        <f>IF($W77="","",IF(INDEX('Per Invoice'!T$2:T$801,$W77)="","",INDEX('Per Invoice'!T$2:T$801,$W77)))</f>
        <v/>
      </c>
      <c r="U77" s="7">
        <f>IF($W77="","",IF(INDEX('Per Invoice'!U$2:U$801,$W77)="","",INDEX('Per Invoice'!U$2:U$801,$W77)))</f>
        <v/>
      </c>
      <c r="V77" s="7">
        <f>IF($W77="","",IF(INDEX('Per Invoice'!V$2:V$801,$W77)="","",INDEX('Per Invoice'!V$2:V$801,$W77)))</f>
        <v/>
      </c>
      <c r="W77" s="16">
        <f>IFERROR(MATCH(Settings!$C$29&amp;"|"&amp;ROWS($W$2:$W77),'Per Invoice'!$X$2:$X$801,0),"")</f>
        <v/>
      </c>
    </row>
    <row r="78">
      <c r="A78">
        <f>IF($W78="","",IF(INDEX('Per Invoice'!A$2:A$801,$W78)="","",INDEX('Per Invoice'!A$2:A$801,$W78)))</f>
        <v/>
      </c>
      <c r="B78">
        <f>IF($W78="","",IF(INDEX('Per Invoice'!B$2:B$801,$W78)="","",INDEX('Per Invoice'!B$2:B$801,$W78)))</f>
        <v/>
      </c>
      <c r="C78">
        <f>IF($W78="","",IF(INDEX('Per Invoice'!C$2:C$801,$W78)="","",INDEX('Per Invoice'!C$2:C$801,$W78)))</f>
        <v/>
      </c>
      <c r="D78">
        <f>IF($W78="","",IF(INDEX('Per Invoice'!D$2:D$801,$W78)="","",INDEX('Per Invoice'!D$2:D$801,$W78)))</f>
        <v/>
      </c>
      <c r="E78">
        <f>IF($W78="","",IF(INDEX('Per Invoice'!E$2:E$801,$W78)="","",INDEX('Per Invoice'!E$2:E$801,$W78)))</f>
        <v/>
      </c>
      <c r="F78">
        <f>IF($W78="","",IF(INDEX('Per Invoice'!F$2:F$801,$W78)="","",INDEX('Per Invoice'!F$2:F$801,$W78)))</f>
        <v/>
      </c>
      <c r="G78">
        <f>IF($W78="","",IF(INDEX('Per Invoice'!G$2:G$801,$W78)="","",INDEX('Per Invoice'!G$2:G$801,$W78)))</f>
        <v/>
      </c>
      <c r="H78">
        <f>IF($W78="","",IF(INDEX('Per Invoice'!H$2:H$801,$W78)="","",INDEX('Per Invoice'!H$2:H$801,$W78)))</f>
        <v/>
      </c>
      <c r="I78">
        <f>IF($W78="","",IF(INDEX('Per Invoice'!I$2:I$801,$W78)="","",INDEX('Per Invoice'!I$2:I$801,$W78)))</f>
        <v/>
      </c>
      <c r="J78">
        <f>IF($W78="","",IF(INDEX('Per Invoice'!J$2:J$801,$W78)="","",INDEX('Per Invoice'!J$2:J$801,$W78)))</f>
        <v/>
      </c>
      <c r="K78" s="7">
        <f>IF($W78="","",IF(INDEX('Per Invoice'!K$2:K$801,$W78)="","",INDEX('Per Invoice'!K$2:K$801,$W78)))</f>
        <v/>
      </c>
      <c r="L78" s="14">
        <f>IF($W78="","",IF(INDEX('Per Invoice'!L$2:L$801,$W78)="","",INDEX('Per Invoice'!L$2:L$801,$W78)))</f>
        <v/>
      </c>
      <c r="M78">
        <f>IF($W78="","",IF(INDEX('Per Invoice'!M$2:M$801,$W78)="","",INDEX('Per Invoice'!M$2:M$801,$W78)))</f>
        <v/>
      </c>
      <c r="N78" s="7">
        <f>IF($W78="","",IF(INDEX('Per Invoice'!N$2:N$801,$W78)="","",INDEX('Per Invoice'!N$2:N$801,$W78)))</f>
        <v/>
      </c>
      <c r="O78" s="7">
        <f>IF($W78="","",IF(INDEX('Per Invoice'!O$2:O$801,$W78)="","",INDEX('Per Invoice'!O$2:O$801,$W78)))</f>
        <v/>
      </c>
      <c r="P78">
        <f>IF($W78="","",IF(INDEX('Per Invoice'!P$2:P$801,$W78)="","",INDEX('Per Invoice'!P$2:P$801,$W78)))</f>
        <v/>
      </c>
      <c r="Q78" s="7">
        <f>IF($W78="","",IF(INDEX('Per Invoice'!Q$2:Q$801,$W78)="","",INDEX('Per Invoice'!Q$2:Q$801,$W78)))</f>
        <v/>
      </c>
      <c r="R78" s="7">
        <f>IF($W78="","",IF(INDEX('Per Invoice'!R$2:R$801,$W78)="","",INDEX('Per Invoice'!R$2:R$801,$W78)))</f>
        <v/>
      </c>
      <c r="S78" s="7">
        <f>IF($W78="","",IF(INDEX('Per Invoice'!S$2:S$801,$W78)="","",INDEX('Per Invoice'!S$2:S$801,$W78)))</f>
        <v/>
      </c>
      <c r="T78" s="7">
        <f>IF($W78="","",IF(INDEX('Per Invoice'!T$2:T$801,$W78)="","",INDEX('Per Invoice'!T$2:T$801,$W78)))</f>
        <v/>
      </c>
      <c r="U78" s="7">
        <f>IF($W78="","",IF(INDEX('Per Invoice'!U$2:U$801,$W78)="","",INDEX('Per Invoice'!U$2:U$801,$W78)))</f>
        <v/>
      </c>
      <c r="V78" s="7">
        <f>IF($W78="","",IF(INDEX('Per Invoice'!V$2:V$801,$W78)="","",INDEX('Per Invoice'!V$2:V$801,$W78)))</f>
        <v/>
      </c>
      <c r="W78" s="16">
        <f>IFERROR(MATCH(Settings!$C$29&amp;"|"&amp;ROWS($W$2:$W78),'Per Invoice'!$X$2:$X$801,0),"")</f>
        <v/>
      </c>
    </row>
    <row r="79">
      <c r="A79">
        <f>IF($W79="","",IF(INDEX('Per Invoice'!A$2:A$801,$W79)="","",INDEX('Per Invoice'!A$2:A$801,$W79)))</f>
        <v/>
      </c>
      <c r="B79">
        <f>IF($W79="","",IF(INDEX('Per Invoice'!B$2:B$801,$W79)="","",INDEX('Per Invoice'!B$2:B$801,$W79)))</f>
        <v/>
      </c>
      <c r="C79">
        <f>IF($W79="","",IF(INDEX('Per Invoice'!C$2:C$801,$W79)="","",INDEX('Per Invoice'!C$2:C$801,$W79)))</f>
        <v/>
      </c>
      <c r="D79">
        <f>IF($W79="","",IF(INDEX('Per Invoice'!D$2:D$801,$W79)="","",INDEX('Per Invoice'!D$2:D$801,$W79)))</f>
        <v/>
      </c>
      <c r="E79">
        <f>IF($W79="","",IF(INDEX('Per Invoice'!E$2:E$801,$W79)="","",INDEX('Per Invoice'!E$2:E$801,$W79)))</f>
        <v/>
      </c>
      <c r="F79">
        <f>IF($W79="","",IF(INDEX('Per Invoice'!F$2:F$801,$W79)="","",INDEX('Per Invoice'!F$2:F$801,$W79)))</f>
        <v/>
      </c>
      <c r="G79">
        <f>IF($W79="","",IF(INDEX('Per Invoice'!G$2:G$801,$W79)="","",INDEX('Per Invoice'!G$2:G$801,$W79)))</f>
        <v/>
      </c>
      <c r="H79">
        <f>IF($W79="","",IF(INDEX('Per Invoice'!H$2:H$801,$W79)="","",INDEX('Per Invoice'!H$2:H$801,$W79)))</f>
        <v/>
      </c>
      <c r="I79">
        <f>IF($W79="","",IF(INDEX('Per Invoice'!I$2:I$801,$W79)="","",INDEX('Per Invoice'!I$2:I$801,$W79)))</f>
        <v/>
      </c>
      <c r="J79">
        <f>IF($W79="","",IF(INDEX('Per Invoice'!J$2:J$801,$W79)="","",INDEX('Per Invoice'!J$2:J$801,$W79)))</f>
        <v/>
      </c>
      <c r="K79" s="7">
        <f>IF($W79="","",IF(INDEX('Per Invoice'!K$2:K$801,$W79)="","",INDEX('Per Invoice'!K$2:K$801,$W79)))</f>
        <v/>
      </c>
      <c r="L79" s="14">
        <f>IF($W79="","",IF(INDEX('Per Invoice'!L$2:L$801,$W79)="","",INDEX('Per Invoice'!L$2:L$801,$W79)))</f>
        <v/>
      </c>
      <c r="M79">
        <f>IF($W79="","",IF(INDEX('Per Invoice'!M$2:M$801,$W79)="","",INDEX('Per Invoice'!M$2:M$801,$W79)))</f>
        <v/>
      </c>
      <c r="N79" s="7">
        <f>IF($W79="","",IF(INDEX('Per Invoice'!N$2:N$801,$W79)="","",INDEX('Per Invoice'!N$2:N$801,$W79)))</f>
        <v/>
      </c>
      <c r="O79" s="7">
        <f>IF($W79="","",IF(INDEX('Per Invoice'!O$2:O$801,$W79)="","",INDEX('Per Invoice'!O$2:O$801,$W79)))</f>
        <v/>
      </c>
      <c r="P79">
        <f>IF($W79="","",IF(INDEX('Per Invoice'!P$2:P$801,$W79)="","",INDEX('Per Invoice'!P$2:P$801,$W79)))</f>
        <v/>
      </c>
      <c r="Q79" s="7">
        <f>IF($W79="","",IF(INDEX('Per Invoice'!Q$2:Q$801,$W79)="","",INDEX('Per Invoice'!Q$2:Q$801,$W79)))</f>
        <v/>
      </c>
      <c r="R79" s="7">
        <f>IF($W79="","",IF(INDEX('Per Invoice'!R$2:R$801,$W79)="","",INDEX('Per Invoice'!R$2:R$801,$W79)))</f>
        <v/>
      </c>
      <c r="S79" s="7">
        <f>IF($W79="","",IF(INDEX('Per Invoice'!S$2:S$801,$W79)="","",INDEX('Per Invoice'!S$2:S$801,$W79)))</f>
        <v/>
      </c>
      <c r="T79" s="7">
        <f>IF($W79="","",IF(INDEX('Per Invoice'!T$2:T$801,$W79)="","",INDEX('Per Invoice'!T$2:T$801,$W79)))</f>
        <v/>
      </c>
      <c r="U79" s="7">
        <f>IF($W79="","",IF(INDEX('Per Invoice'!U$2:U$801,$W79)="","",INDEX('Per Invoice'!U$2:U$801,$W79)))</f>
        <v/>
      </c>
      <c r="V79" s="7">
        <f>IF($W79="","",IF(INDEX('Per Invoice'!V$2:V$801,$W79)="","",INDEX('Per Invoice'!V$2:V$801,$W79)))</f>
        <v/>
      </c>
      <c r="W79" s="16">
        <f>IFERROR(MATCH(Settings!$C$29&amp;"|"&amp;ROWS($W$2:$W79),'Per Invoice'!$X$2:$X$801,0),"")</f>
        <v/>
      </c>
    </row>
    <row r="80">
      <c r="A80">
        <f>IF($W80="","",IF(INDEX('Per Invoice'!A$2:A$801,$W80)="","",INDEX('Per Invoice'!A$2:A$801,$W80)))</f>
        <v/>
      </c>
      <c r="B80">
        <f>IF($W80="","",IF(INDEX('Per Invoice'!B$2:B$801,$W80)="","",INDEX('Per Invoice'!B$2:B$801,$W80)))</f>
        <v/>
      </c>
      <c r="C80">
        <f>IF($W80="","",IF(INDEX('Per Invoice'!C$2:C$801,$W80)="","",INDEX('Per Invoice'!C$2:C$801,$W80)))</f>
        <v/>
      </c>
      <c r="D80">
        <f>IF($W80="","",IF(INDEX('Per Invoice'!D$2:D$801,$W80)="","",INDEX('Per Invoice'!D$2:D$801,$W80)))</f>
        <v/>
      </c>
      <c r="E80">
        <f>IF($W80="","",IF(INDEX('Per Invoice'!E$2:E$801,$W80)="","",INDEX('Per Invoice'!E$2:E$801,$W80)))</f>
        <v/>
      </c>
      <c r="F80">
        <f>IF($W80="","",IF(INDEX('Per Invoice'!F$2:F$801,$W80)="","",INDEX('Per Invoice'!F$2:F$801,$W80)))</f>
        <v/>
      </c>
      <c r="G80">
        <f>IF($W80="","",IF(INDEX('Per Invoice'!G$2:G$801,$W80)="","",INDEX('Per Invoice'!G$2:G$801,$W80)))</f>
        <v/>
      </c>
      <c r="H80">
        <f>IF($W80="","",IF(INDEX('Per Invoice'!H$2:H$801,$W80)="","",INDEX('Per Invoice'!H$2:H$801,$W80)))</f>
        <v/>
      </c>
      <c r="I80">
        <f>IF($W80="","",IF(INDEX('Per Invoice'!I$2:I$801,$W80)="","",INDEX('Per Invoice'!I$2:I$801,$W80)))</f>
        <v/>
      </c>
      <c r="J80">
        <f>IF($W80="","",IF(INDEX('Per Invoice'!J$2:J$801,$W80)="","",INDEX('Per Invoice'!J$2:J$801,$W80)))</f>
        <v/>
      </c>
      <c r="K80" s="7">
        <f>IF($W80="","",IF(INDEX('Per Invoice'!K$2:K$801,$W80)="","",INDEX('Per Invoice'!K$2:K$801,$W80)))</f>
        <v/>
      </c>
      <c r="L80" s="14">
        <f>IF($W80="","",IF(INDEX('Per Invoice'!L$2:L$801,$W80)="","",INDEX('Per Invoice'!L$2:L$801,$W80)))</f>
        <v/>
      </c>
      <c r="M80">
        <f>IF($W80="","",IF(INDEX('Per Invoice'!M$2:M$801,$W80)="","",INDEX('Per Invoice'!M$2:M$801,$W80)))</f>
        <v/>
      </c>
      <c r="N80" s="7">
        <f>IF($W80="","",IF(INDEX('Per Invoice'!N$2:N$801,$W80)="","",INDEX('Per Invoice'!N$2:N$801,$W80)))</f>
        <v/>
      </c>
      <c r="O80" s="7">
        <f>IF($W80="","",IF(INDEX('Per Invoice'!O$2:O$801,$W80)="","",INDEX('Per Invoice'!O$2:O$801,$W80)))</f>
        <v/>
      </c>
      <c r="P80">
        <f>IF($W80="","",IF(INDEX('Per Invoice'!P$2:P$801,$W80)="","",INDEX('Per Invoice'!P$2:P$801,$W80)))</f>
        <v/>
      </c>
      <c r="Q80" s="7">
        <f>IF($W80="","",IF(INDEX('Per Invoice'!Q$2:Q$801,$W80)="","",INDEX('Per Invoice'!Q$2:Q$801,$W80)))</f>
        <v/>
      </c>
      <c r="R80" s="7">
        <f>IF($W80="","",IF(INDEX('Per Invoice'!R$2:R$801,$W80)="","",INDEX('Per Invoice'!R$2:R$801,$W80)))</f>
        <v/>
      </c>
      <c r="S80" s="7">
        <f>IF($W80="","",IF(INDEX('Per Invoice'!S$2:S$801,$W80)="","",INDEX('Per Invoice'!S$2:S$801,$W80)))</f>
        <v/>
      </c>
      <c r="T80" s="7">
        <f>IF($W80="","",IF(INDEX('Per Invoice'!T$2:T$801,$W80)="","",INDEX('Per Invoice'!T$2:T$801,$W80)))</f>
        <v/>
      </c>
      <c r="U80" s="7">
        <f>IF($W80="","",IF(INDEX('Per Invoice'!U$2:U$801,$W80)="","",INDEX('Per Invoice'!U$2:U$801,$W80)))</f>
        <v/>
      </c>
      <c r="V80" s="7">
        <f>IF($W80="","",IF(INDEX('Per Invoice'!V$2:V$801,$W80)="","",INDEX('Per Invoice'!V$2:V$801,$W80)))</f>
        <v/>
      </c>
      <c r="W80" s="16">
        <f>IFERROR(MATCH(Settings!$C$29&amp;"|"&amp;ROWS($W$2:$W80),'Per Invoice'!$X$2:$X$801,0),"")</f>
        <v/>
      </c>
    </row>
    <row r="81">
      <c r="A81">
        <f>IF($W81="","",IF(INDEX('Per Invoice'!A$2:A$801,$W81)="","",INDEX('Per Invoice'!A$2:A$801,$W81)))</f>
        <v/>
      </c>
      <c r="B81">
        <f>IF($W81="","",IF(INDEX('Per Invoice'!B$2:B$801,$W81)="","",INDEX('Per Invoice'!B$2:B$801,$W81)))</f>
        <v/>
      </c>
      <c r="C81">
        <f>IF($W81="","",IF(INDEX('Per Invoice'!C$2:C$801,$W81)="","",INDEX('Per Invoice'!C$2:C$801,$W81)))</f>
        <v/>
      </c>
      <c r="D81">
        <f>IF($W81="","",IF(INDEX('Per Invoice'!D$2:D$801,$W81)="","",INDEX('Per Invoice'!D$2:D$801,$W81)))</f>
        <v/>
      </c>
      <c r="E81">
        <f>IF($W81="","",IF(INDEX('Per Invoice'!E$2:E$801,$W81)="","",INDEX('Per Invoice'!E$2:E$801,$W81)))</f>
        <v/>
      </c>
      <c r="F81">
        <f>IF($W81="","",IF(INDEX('Per Invoice'!F$2:F$801,$W81)="","",INDEX('Per Invoice'!F$2:F$801,$W81)))</f>
        <v/>
      </c>
      <c r="G81">
        <f>IF($W81="","",IF(INDEX('Per Invoice'!G$2:G$801,$W81)="","",INDEX('Per Invoice'!G$2:G$801,$W81)))</f>
        <v/>
      </c>
      <c r="H81">
        <f>IF($W81="","",IF(INDEX('Per Invoice'!H$2:H$801,$W81)="","",INDEX('Per Invoice'!H$2:H$801,$W81)))</f>
        <v/>
      </c>
      <c r="I81">
        <f>IF($W81="","",IF(INDEX('Per Invoice'!I$2:I$801,$W81)="","",INDEX('Per Invoice'!I$2:I$801,$W81)))</f>
        <v/>
      </c>
      <c r="J81">
        <f>IF($W81="","",IF(INDEX('Per Invoice'!J$2:J$801,$W81)="","",INDEX('Per Invoice'!J$2:J$801,$W81)))</f>
        <v/>
      </c>
      <c r="K81" s="7">
        <f>IF($W81="","",IF(INDEX('Per Invoice'!K$2:K$801,$W81)="","",INDEX('Per Invoice'!K$2:K$801,$W81)))</f>
        <v/>
      </c>
      <c r="L81" s="14">
        <f>IF($W81="","",IF(INDEX('Per Invoice'!L$2:L$801,$W81)="","",INDEX('Per Invoice'!L$2:L$801,$W81)))</f>
        <v/>
      </c>
      <c r="M81">
        <f>IF($W81="","",IF(INDEX('Per Invoice'!M$2:M$801,$W81)="","",INDEX('Per Invoice'!M$2:M$801,$W81)))</f>
        <v/>
      </c>
      <c r="N81" s="7">
        <f>IF($W81="","",IF(INDEX('Per Invoice'!N$2:N$801,$W81)="","",INDEX('Per Invoice'!N$2:N$801,$W81)))</f>
        <v/>
      </c>
      <c r="O81" s="7">
        <f>IF($W81="","",IF(INDEX('Per Invoice'!O$2:O$801,$W81)="","",INDEX('Per Invoice'!O$2:O$801,$W81)))</f>
        <v/>
      </c>
      <c r="P81">
        <f>IF($W81="","",IF(INDEX('Per Invoice'!P$2:P$801,$W81)="","",INDEX('Per Invoice'!P$2:P$801,$W81)))</f>
        <v/>
      </c>
      <c r="Q81" s="7">
        <f>IF($W81="","",IF(INDEX('Per Invoice'!Q$2:Q$801,$W81)="","",INDEX('Per Invoice'!Q$2:Q$801,$W81)))</f>
        <v/>
      </c>
      <c r="R81" s="7">
        <f>IF($W81="","",IF(INDEX('Per Invoice'!R$2:R$801,$W81)="","",INDEX('Per Invoice'!R$2:R$801,$W81)))</f>
        <v/>
      </c>
      <c r="S81" s="7">
        <f>IF($W81="","",IF(INDEX('Per Invoice'!S$2:S$801,$W81)="","",INDEX('Per Invoice'!S$2:S$801,$W81)))</f>
        <v/>
      </c>
      <c r="T81" s="7">
        <f>IF($W81="","",IF(INDEX('Per Invoice'!T$2:T$801,$W81)="","",INDEX('Per Invoice'!T$2:T$801,$W81)))</f>
        <v/>
      </c>
      <c r="U81" s="7">
        <f>IF($W81="","",IF(INDEX('Per Invoice'!U$2:U$801,$W81)="","",INDEX('Per Invoice'!U$2:U$801,$W81)))</f>
        <v/>
      </c>
      <c r="V81" s="7">
        <f>IF($W81="","",IF(INDEX('Per Invoice'!V$2:V$801,$W81)="","",INDEX('Per Invoice'!V$2:V$801,$W81)))</f>
        <v/>
      </c>
      <c r="W81" s="16">
        <f>IFERROR(MATCH(Settings!$C$29&amp;"|"&amp;ROWS($W$2:$W81),'Per Invoice'!$X$2:$X$801,0),"")</f>
        <v/>
      </c>
    </row>
    <row r="82">
      <c r="A82">
        <f>IF($W82="","",IF(INDEX('Per Invoice'!A$2:A$801,$W82)="","",INDEX('Per Invoice'!A$2:A$801,$W82)))</f>
        <v/>
      </c>
      <c r="B82">
        <f>IF($W82="","",IF(INDEX('Per Invoice'!B$2:B$801,$W82)="","",INDEX('Per Invoice'!B$2:B$801,$W82)))</f>
        <v/>
      </c>
      <c r="C82">
        <f>IF($W82="","",IF(INDEX('Per Invoice'!C$2:C$801,$W82)="","",INDEX('Per Invoice'!C$2:C$801,$W82)))</f>
        <v/>
      </c>
      <c r="D82">
        <f>IF($W82="","",IF(INDEX('Per Invoice'!D$2:D$801,$W82)="","",INDEX('Per Invoice'!D$2:D$801,$W82)))</f>
        <v/>
      </c>
      <c r="E82">
        <f>IF($W82="","",IF(INDEX('Per Invoice'!E$2:E$801,$W82)="","",INDEX('Per Invoice'!E$2:E$801,$W82)))</f>
        <v/>
      </c>
      <c r="F82">
        <f>IF($W82="","",IF(INDEX('Per Invoice'!F$2:F$801,$W82)="","",INDEX('Per Invoice'!F$2:F$801,$W82)))</f>
        <v/>
      </c>
      <c r="G82">
        <f>IF($W82="","",IF(INDEX('Per Invoice'!G$2:G$801,$W82)="","",INDEX('Per Invoice'!G$2:G$801,$W82)))</f>
        <v/>
      </c>
      <c r="H82">
        <f>IF($W82="","",IF(INDEX('Per Invoice'!H$2:H$801,$W82)="","",INDEX('Per Invoice'!H$2:H$801,$W82)))</f>
        <v/>
      </c>
      <c r="I82">
        <f>IF($W82="","",IF(INDEX('Per Invoice'!I$2:I$801,$W82)="","",INDEX('Per Invoice'!I$2:I$801,$W82)))</f>
        <v/>
      </c>
      <c r="J82">
        <f>IF($W82="","",IF(INDEX('Per Invoice'!J$2:J$801,$W82)="","",INDEX('Per Invoice'!J$2:J$801,$W82)))</f>
        <v/>
      </c>
      <c r="K82" s="7">
        <f>IF($W82="","",IF(INDEX('Per Invoice'!K$2:K$801,$W82)="","",INDEX('Per Invoice'!K$2:K$801,$W82)))</f>
        <v/>
      </c>
      <c r="L82" s="14">
        <f>IF($W82="","",IF(INDEX('Per Invoice'!L$2:L$801,$W82)="","",INDEX('Per Invoice'!L$2:L$801,$W82)))</f>
        <v/>
      </c>
      <c r="M82">
        <f>IF($W82="","",IF(INDEX('Per Invoice'!M$2:M$801,$W82)="","",INDEX('Per Invoice'!M$2:M$801,$W82)))</f>
        <v/>
      </c>
      <c r="N82" s="7">
        <f>IF($W82="","",IF(INDEX('Per Invoice'!N$2:N$801,$W82)="","",INDEX('Per Invoice'!N$2:N$801,$W82)))</f>
        <v/>
      </c>
      <c r="O82" s="7">
        <f>IF($W82="","",IF(INDEX('Per Invoice'!O$2:O$801,$W82)="","",INDEX('Per Invoice'!O$2:O$801,$W82)))</f>
        <v/>
      </c>
      <c r="P82">
        <f>IF($W82="","",IF(INDEX('Per Invoice'!P$2:P$801,$W82)="","",INDEX('Per Invoice'!P$2:P$801,$W82)))</f>
        <v/>
      </c>
      <c r="Q82" s="7">
        <f>IF($W82="","",IF(INDEX('Per Invoice'!Q$2:Q$801,$W82)="","",INDEX('Per Invoice'!Q$2:Q$801,$W82)))</f>
        <v/>
      </c>
      <c r="R82" s="7">
        <f>IF($W82="","",IF(INDEX('Per Invoice'!R$2:R$801,$W82)="","",INDEX('Per Invoice'!R$2:R$801,$W82)))</f>
        <v/>
      </c>
      <c r="S82" s="7">
        <f>IF($W82="","",IF(INDEX('Per Invoice'!S$2:S$801,$W82)="","",INDEX('Per Invoice'!S$2:S$801,$W82)))</f>
        <v/>
      </c>
      <c r="T82" s="7">
        <f>IF($W82="","",IF(INDEX('Per Invoice'!T$2:T$801,$W82)="","",INDEX('Per Invoice'!T$2:T$801,$W82)))</f>
        <v/>
      </c>
      <c r="U82" s="7">
        <f>IF($W82="","",IF(INDEX('Per Invoice'!U$2:U$801,$W82)="","",INDEX('Per Invoice'!U$2:U$801,$W82)))</f>
        <v/>
      </c>
      <c r="V82" s="7">
        <f>IF($W82="","",IF(INDEX('Per Invoice'!V$2:V$801,$W82)="","",INDEX('Per Invoice'!V$2:V$801,$W82)))</f>
        <v/>
      </c>
      <c r="W82" s="16">
        <f>IFERROR(MATCH(Settings!$C$29&amp;"|"&amp;ROWS($W$2:$W82),'Per Invoice'!$X$2:$X$801,0),"")</f>
        <v/>
      </c>
    </row>
    <row r="83">
      <c r="A83">
        <f>IF($W83="","",IF(INDEX('Per Invoice'!A$2:A$801,$W83)="","",INDEX('Per Invoice'!A$2:A$801,$W83)))</f>
        <v/>
      </c>
      <c r="B83">
        <f>IF($W83="","",IF(INDEX('Per Invoice'!B$2:B$801,$W83)="","",INDEX('Per Invoice'!B$2:B$801,$W83)))</f>
        <v/>
      </c>
      <c r="C83">
        <f>IF($W83="","",IF(INDEX('Per Invoice'!C$2:C$801,$W83)="","",INDEX('Per Invoice'!C$2:C$801,$W83)))</f>
        <v/>
      </c>
      <c r="D83">
        <f>IF($W83="","",IF(INDEX('Per Invoice'!D$2:D$801,$W83)="","",INDEX('Per Invoice'!D$2:D$801,$W83)))</f>
        <v/>
      </c>
      <c r="E83">
        <f>IF($W83="","",IF(INDEX('Per Invoice'!E$2:E$801,$W83)="","",INDEX('Per Invoice'!E$2:E$801,$W83)))</f>
        <v/>
      </c>
      <c r="F83">
        <f>IF($W83="","",IF(INDEX('Per Invoice'!F$2:F$801,$W83)="","",INDEX('Per Invoice'!F$2:F$801,$W83)))</f>
        <v/>
      </c>
      <c r="G83">
        <f>IF($W83="","",IF(INDEX('Per Invoice'!G$2:G$801,$W83)="","",INDEX('Per Invoice'!G$2:G$801,$W83)))</f>
        <v/>
      </c>
      <c r="H83">
        <f>IF($W83="","",IF(INDEX('Per Invoice'!H$2:H$801,$W83)="","",INDEX('Per Invoice'!H$2:H$801,$W83)))</f>
        <v/>
      </c>
      <c r="I83">
        <f>IF($W83="","",IF(INDEX('Per Invoice'!I$2:I$801,$W83)="","",INDEX('Per Invoice'!I$2:I$801,$W83)))</f>
        <v/>
      </c>
      <c r="J83">
        <f>IF($W83="","",IF(INDEX('Per Invoice'!J$2:J$801,$W83)="","",INDEX('Per Invoice'!J$2:J$801,$W83)))</f>
        <v/>
      </c>
      <c r="K83" s="7">
        <f>IF($W83="","",IF(INDEX('Per Invoice'!K$2:K$801,$W83)="","",INDEX('Per Invoice'!K$2:K$801,$W83)))</f>
        <v/>
      </c>
      <c r="L83" s="14">
        <f>IF($W83="","",IF(INDEX('Per Invoice'!L$2:L$801,$W83)="","",INDEX('Per Invoice'!L$2:L$801,$W83)))</f>
        <v/>
      </c>
      <c r="M83">
        <f>IF($W83="","",IF(INDEX('Per Invoice'!M$2:M$801,$W83)="","",INDEX('Per Invoice'!M$2:M$801,$W83)))</f>
        <v/>
      </c>
      <c r="N83" s="7">
        <f>IF($W83="","",IF(INDEX('Per Invoice'!N$2:N$801,$W83)="","",INDEX('Per Invoice'!N$2:N$801,$W83)))</f>
        <v/>
      </c>
      <c r="O83" s="7">
        <f>IF($W83="","",IF(INDEX('Per Invoice'!O$2:O$801,$W83)="","",INDEX('Per Invoice'!O$2:O$801,$W83)))</f>
        <v/>
      </c>
      <c r="P83">
        <f>IF($W83="","",IF(INDEX('Per Invoice'!P$2:P$801,$W83)="","",INDEX('Per Invoice'!P$2:P$801,$W83)))</f>
        <v/>
      </c>
      <c r="Q83" s="7">
        <f>IF($W83="","",IF(INDEX('Per Invoice'!Q$2:Q$801,$W83)="","",INDEX('Per Invoice'!Q$2:Q$801,$W83)))</f>
        <v/>
      </c>
      <c r="R83" s="7">
        <f>IF($W83="","",IF(INDEX('Per Invoice'!R$2:R$801,$W83)="","",INDEX('Per Invoice'!R$2:R$801,$W83)))</f>
        <v/>
      </c>
      <c r="S83" s="7">
        <f>IF($W83="","",IF(INDEX('Per Invoice'!S$2:S$801,$W83)="","",INDEX('Per Invoice'!S$2:S$801,$W83)))</f>
        <v/>
      </c>
      <c r="T83" s="7">
        <f>IF($W83="","",IF(INDEX('Per Invoice'!T$2:T$801,$W83)="","",INDEX('Per Invoice'!T$2:T$801,$W83)))</f>
        <v/>
      </c>
      <c r="U83" s="7">
        <f>IF($W83="","",IF(INDEX('Per Invoice'!U$2:U$801,$W83)="","",INDEX('Per Invoice'!U$2:U$801,$W83)))</f>
        <v/>
      </c>
      <c r="V83" s="7">
        <f>IF($W83="","",IF(INDEX('Per Invoice'!V$2:V$801,$W83)="","",INDEX('Per Invoice'!V$2:V$801,$W83)))</f>
        <v/>
      </c>
      <c r="W83" s="16">
        <f>IFERROR(MATCH(Settings!$C$29&amp;"|"&amp;ROWS($W$2:$W83),'Per Invoice'!$X$2:$X$801,0),"")</f>
        <v/>
      </c>
    </row>
    <row r="84">
      <c r="A84">
        <f>IF($W84="","",IF(INDEX('Per Invoice'!A$2:A$801,$W84)="","",INDEX('Per Invoice'!A$2:A$801,$W84)))</f>
        <v/>
      </c>
      <c r="B84">
        <f>IF($W84="","",IF(INDEX('Per Invoice'!B$2:B$801,$W84)="","",INDEX('Per Invoice'!B$2:B$801,$W84)))</f>
        <v/>
      </c>
      <c r="C84">
        <f>IF($W84="","",IF(INDEX('Per Invoice'!C$2:C$801,$W84)="","",INDEX('Per Invoice'!C$2:C$801,$W84)))</f>
        <v/>
      </c>
      <c r="D84">
        <f>IF($W84="","",IF(INDEX('Per Invoice'!D$2:D$801,$W84)="","",INDEX('Per Invoice'!D$2:D$801,$W84)))</f>
        <v/>
      </c>
      <c r="E84">
        <f>IF($W84="","",IF(INDEX('Per Invoice'!E$2:E$801,$W84)="","",INDEX('Per Invoice'!E$2:E$801,$W84)))</f>
        <v/>
      </c>
      <c r="F84">
        <f>IF($W84="","",IF(INDEX('Per Invoice'!F$2:F$801,$W84)="","",INDEX('Per Invoice'!F$2:F$801,$W84)))</f>
        <v/>
      </c>
      <c r="G84">
        <f>IF($W84="","",IF(INDEX('Per Invoice'!G$2:G$801,$W84)="","",INDEX('Per Invoice'!G$2:G$801,$W84)))</f>
        <v/>
      </c>
      <c r="H84">
        <f>IF($W84="","",IF(INDEX('Per Invoice'!H$2:H$801,$W84)="","",INDEX('Per Invoice'!H$2:H$801,$W84)))</f>
        <v/>
      </c>
      <c r="I84">
        <f>IF($W84="","",IF(INDEX('Per Invoice'!I$2:I$801,$W84)="","",INDEX('Per Invoice'!I$2:I$801,$W84)))</f>
        <v/>
      </c>
      <c r="J84">
        <f>IF($W84="","",IF(INDEX('Per Invoice'!J$2:J$801,$W84)="","",INDEX('Per Invoice'!J$2:J$801,$W84)))</f>
        <v/>
      </c>
      <c r="K84" s="7">
        <f>IF($W84="","",IF(INDEX('Per Invoice'!K$2:K$801,$W84)="","",INDEX('Per Invoice'!K$2:K$801,$W84)))</f>
        <v/>
      </c>
      <c r="L84" s="14">
        <f>IF($W84="","",IF(INDEX('Per Invoice'!L$2:L$801,$W84)="","",INDEX('Per Invoice'!L$2:L$801,$W84)))</f>
        <v/>
      </c>
      <c r="M84">
        <f>IF($W84="","",IF(INDEX('Per Invoice'!M$2:M$801,$W84)="","",INDEX('Per Invoice'!M$2:M$801,$W84)))</f>
        <v/>
      </c>
      <c r="N84" s="7">
        <f>IF($W84="","",IF(INDEX('Per Invoice'!N$2:N$801,$W84)="","",INDEX('Per Invoice'!N$2:N$801,$W84)))</f>
        <v/>
      </c>
      <c r="O84" s="7">
        <f>IF($W84="","",IF(INDEX('Per Invoice'!O$2:O$801,$W84)="","",INDEX('Per Invoice'!O$2:O$801,$W84)))</f>
        <v/>
      </c>
      <c r="P84">
        <f>IF($W84="","",IF(INDEX('Per Invoice'!P$2:P$801,$W84)="","",INDEX('Per Invoice'!P$2:P$801,$W84)))</f>
        <v/>
      </c>
      <c r="Q84" s="7">
        <f>IF($W84="","",IF(INDEX('Per Invoice'!Q$2:Q$801,$W84)="","",INDEX('Per Invoice'!Q$2:Q$801,$W84)))</f>
        <v/>
      </c>
      <c r="R84" s="7">
        <f>IF($W84="","",IF(INDEX('Per Invoice'!R$2:R$801,$W84)="","",INDEX('Per Invoice'!R$2:R$801,$W84)))</f>
        <v/>
      </c>
      <c r="S84" s="7">
        <f>IF($W84="","",IF(INDEX('Per Invoice'!S$2:S$801,$W84)="","",INDEX('Per Invoice'!S$2:S$801,$W84)))</f>
        <v/>
      </c>
      <c r="T84" s="7">
        <f>IF($W84="","",IF(INDEX('Per Invoice'!T$2:T$801,$W84)="","",INDEX('Per Invoice'!T$2:T$801,$W84)))</f>
        <v/>
      </c>
      <c r="U84" s="7">
        <f>IF($W84="","",IF(INDEX('Per Invoice'!U$2:U$801,$W84)="","",INDEX('Per Invoice'!U$2:U$801,$W84)))</f>
        <v/>
      </c>
      <c r="V84" s="7">
        <f>IF($W84="","",IF(INDEX('Per Invoice'!V$2:V$801,$W84)="","",INDEX('Per Invoice'!V$2:V$801,$W84)))</f>
        <v/>
      </c>
      <c r="W84" s="16">
        <f>IFERROR(MATCH(Settings!$C$29&amp;"|"&amp;ROWS($W$2:$W84),'Per Invoice'!$X$2:$X$801,0),"")</f>
        <v/>
      </c>
    </row>
    <row r="85">
      <c r="A85">
        <f>IF($W85="","",IF(INDEX('Per Invoice'!A$2:A$801,$W85)="","",INDEX('Per Invoice'!A$2:A$801,$W85)))</f>
        <v/>
      </c>
      <c r="B85">
        <f>IF($W85="","",IF(INDEX('Per Invoice'!B$2:B$801,$W85)="","",INDEX('Per Invoice'!B$2:B$801,$W85)))</f>
        <v/>
      </c>
      <c r="C85">
        <f>IF($W85="","",IF(INDEX('Per Invoice'!C$2:C$801,$W85)="","",INDEX('Per Invoice'!C$2:C$801,$W85)))</f>
        <v/>
      </c>
      <c r="D85">
        <f>IF($W85="","",IF(INDEX('Per Invoice'!D$2:D$801,$W85)="","",INDEX('Per Invoice'!D$2:D$801,$W85)))</f>
        <v/>
      </c>
      <c r="E85">
        <f>IF($W85="","",IF(INDEX('Per Invoice'!E$2:E$801,$W85)="","",INDEX('Per Invoice'!E$2:E$801,$W85)))</f>
        <v/>
      </c>
      <c r="F85">
        <f>IF($W85="","",IF(INDEX('Per Invoice'!F$2:F$801,$W85)="","",INDEX('Per Invoice'!F$2:F$801,$W85)))</f>
        <v/>
      </c>
      <c r="G85">
        <f>IF($W85="","",IF(INDEX('Per Invoice'!G$2:G$801,$W85)="","",INDEX('Per Invoice'!G$2:G$801,$W85)))</f>
        <v/>
      </c>
      <c r="H85">
        <f>IF($W85="","",IF(INDEX('Per Invoice'!H$2:H$801,$W85)="","",INDEX('Per Invoice'!H$2:H$801,$W85)))</f>
        <v/>
      </c>
      <c r="I85">
        <f>IF($W85="","",IF(INDEX('Per Invoice'!I$2:I$801,$W85)="","",INDEX('Per Invoice'!I$2:I$801,$W85)))</f>
        <v/>
      </c>
      <c r="J85">
        <f>IF($W85="","",IF(INDEX('Per Invoice'!J$2:J$801,$W85)="","",INDEX('Per Invoice'!J$2:J$801,$W85)))</f>
        <v/>
      </c>
      <c r="K85" s="7">
        <f>IF($W85="","",IF(INDEX('Per Invoice'!K$2:K$801,$W85)="","",INDEX('Per Invoice'!K$2:K$801,$W85)))</f>
        <v/>
      </c>
      <c r="L85" s="14">
        <f>IF($W85="","",IF(INDEX('Per Invoice'!L$2:L$801,$W85)="","",INDEX('Per Invoice'!L$2:L$801,$W85)))</f>
        <v/>
      </c>
      <c r="M85">
        <f>IF($W85="","",IF(INDEX('Per Invoice'!M$2:M$801,$W85)="","",INDEX('Per Invoice'!M$2:M$801,$W85)))</f>
        <v/>
      </c>
      <c r="N85" s="7">
        <f>IF($W85="","",IF(INDEX('Per Invoice'!N$2:N$801,$W85)="","",INDEX('Per Invoice'!N$2:N$801,$W85)))</f>
        <v/>
      </c>
      <c r="O85" s="7">
        <f>IF($W85="","",IF(INDEX('Per Invoice'!O$2:O$801,$W85)="","",INDEX('Per Invoice'!O$2:O$801,$W85)))</f>
        <v/>
      </c>
      <c r="P85">
        <f>IF($W85="","",IF(INDEX('Per Invoice'!P$2:P$801,$W85)="","",INDEX('Per Invoice'!P$2:P$801,$W85)))</f>
        <v/>
      </c>
      <c r="Q85" s="7">
        <f>IF($W85="","",IF(INDEX('Per Invoice'!Q$2:Q$801,$W85)="","",INDEX('Per Invoice'!Q$2:Q$801,$W85)))</f>
        <v/>
      </c>
      <c r="R85" s="7">
        <f>IF($W85="","",IF(INDEX('Per Invoice'!R$2:R$801,$W85)="","",INDEX('Per Invoice'!R$2:R$801,$W85)))</f>
        <v/>
      </c>
      <c r="S85" s="7">
        <f>IF($W85="","",IF(INDEX('Per Invoice'!S$2:S$801,$W85)="","",INDEX('Per Invoice'!S$2:S$801,$W85)))</f>
        <v/>
      </c>
      <c r="T85" s="7">
        <f>IF($W85="","",IF(INDEX('Per Invoice'!T$2:T$801,$W85)="","",INDEX('Per Invoice'!T$2:T$801,$W85)))</f>
        <v/>
      </c>
      <c r="U85" s="7">
        <f>IF($W85="","",IF(INDEX('Per Invoice'!U$2:U$801,$W85)="","",INDEX('Per Invoice'!U$2:U$801,$W85)))</f>
        <v/>
      </c>
      <c r="V85" s="7">
        <f>IF($W85="","",IF(INDEX('Per Invoice'!V$2:V$801,$W85)="","",INDEX('Per Invoice'!V$2:V$801,$W85)))</f>
        <v/>
      </c>
      <c r="W85" s="16">
        <f>IFERROR(MATCH(Settings!$C$29&amp;"|"&amp;ROWS($W$2:$W85),'Per Invoice'!$X$2:$X$801,0),"")</f>
        <v/>
      </c>
    </row>
    <row r="86">
      <c r="A86">
        <f>IF($W86="","",IF(INDEX('Per Invoice'!A$2:A$801,$W86)="","",INDEX('Per Invoice'!A$2:A$801,$W86)))</f>
        <v/>
      </c>
      <c r="B86">
        <f>IF($W86="","",IF(INDEX('Per Invoice'!B$2:B$801,$W86)="","",INDEX('Per Invoice'!B$2:B$801,$W86)))</f>
        <v/>
      </c>
      <c r="C86">
        <f>IF($W86="","",IF(INDEX('Per Invoice'!C$2:C$801,$W86)="","",INDEX('Per Invoice'!C$2:C$801,$W86)))</f>
        <v/>
      </c>
      <c r="D86">
        <f>IF($W86="","",IF(INDEX('Per Invoice'!D$2:D$801,$W86)="","",INDEX('Per Invoice'!D$2:D$801,$W86)))</f>
        <v/>
      </c>
      <c r="E86">
        <f>IF($W86="","",IF(INDEX('Per Invoice'!E$2:E$801,$W86)="","",INDEX('Per Invoice'!E$2:E$801,$W86)))</f>
        <v/>
      </c>
      <c r="F86">
        <f>IF($W86="","",IF(INDEX('Per Invoice'!F$2:F$801,$W86)="","",INDEX('Per Invoice'!F$2:F$801,$W86)))</f>
        <v/>
      </c>
      <c r="G86">
        <f>IF($W86="","",IF(INDEX('Per Invoice'!G$2:G$801,$W86)="","",INDEX('Per Invoice'!G$2:G$801,$W86)))</f>
        <v/>
      </c>
      <c r="H86">
        <f>IF($W86="","",IF(INDEX('Per Invoice'!H$2:H$801,$W86)="","",INDEX('Per Invoice'!H$2:H$801,$W86)))</f>
        <v/>
      </c>
      <c r="I86">
        <f>IF($W86="","",IF(INDEX('Per Invoice'!I$2:I$801,$W86)="","",INDEX('Per Invoice'!I$2:I$801,$W86)))</f>
        <v/>
      </c>
      <c r="J86">
        <f>IF($W86="","",IF(INDEX('Per Invoice'!J$2:J$801,$W86)="","",INDEX('Per Invoice'!J$2:J$801,$W86)))</f>
        <v/>
      </c>
      <c r="K86" s="7">
        <f>IF($W86="","",IF(INDEX('Per Invoice'!K$2:K$801,$W86)="","",INDEX('Per Invoice'!K$2:K$801,$W86)))</f>
        <v/>
      </c>
      <c r="L86" s="14">
        <f>IF($W86="","",IF(INDEX('Per Invoice'!L$2:L$801,$W86)="","",INDEX('Per Invoice'!L$2:L$801,$W86)))</f>
        <v/>
      </c>
      <c r="M86">
        <f>IF($W86="","",IF(INDEX('Per Invoice'!M$2:M$801,$W86)="","",INDEX('Per Invoice'!M$2:M$801,$W86)))</f>
        <v/>
      </c>
      <c r="N86" s="7">
        <f>IF($W86="","",IF(INDEX('Per Invoice'!N$2:N$801,$W86)="","",INDEX('Per Invoice'!N$2:N$801,$W86)))</f>
        <v/>
      </c>
      <c r="O86" s="7">
        <f>IF($W86="","",IF(INDEX('Per Invoice'!O$2:O$801,$W86)="","",INDEX('Per Invoice'!O$2:O$801,$W86)))</f>
        <v/>
      </c>
      <c r="P86">
        <f>IF($W86="","",IF(INDEX('Per Invoice'!P$2:P$801,$W86)="","",INDEX('Per Invoice'!P$2:P$801,$W86)))</f>
        <v/>
      </c>
      <c r="Q86" s="7">
        <f>IF($W86="","",IF(INDEX('Per Invoice'!Q$2:Q$801,$W86)="","",INDEX('Per Invoice'!Q$2:Q$801,$W86)))</f>
        <v/>
      </c>
      <c r="R86" s="7">
        <f>IF($W86="","",IF(INDEX('Per Invoice'!R$2:R$801,$W86)="","",INDEX('Per Invoice'!R$2:R$801,$W86)))</f>
        <v/>
      </c>
      <c r="S86" s="7">
        <f>IF($W86="","",IF(INDEX('Per Invoice'!S$2:S$801,$W86)="","",INDEX('Per Invoice'!S$2:S$801,$W86)))</f>
        <v/>
      </c>
      <c r="T86" s="7">
        <f>IF($W86="","",IF(INDEX('Per Invoice'!T$2:T$801,$W86)="","",INDEX('Per Invoice'!T$2:T$801,$W86)))</f>
        <v/>
      </c>
      <c r="U86" s="7">
        <f>IF($W86="","",IF(INDEX('Per Invoice'!U$2:U$801,$W86)="","",INDEX('Per Invoice'!U$2:U$801,$W86)))</f>
        <v/>
      </c>
      <c r="V86" s="7">
        <f>IF($W86="","",IF(INDEX('Per Invoice'!V$2:V$801,$W86)="","",INDEX('Per Invoice'!V$2:V$801,$W86)))</f>
        <v/>
      </c>
      <c r="W86" s="16">
        <f>IFERROR(MATCH(Settings!$C$29&amp;"|"&amp;ROWS($W$2:$W86),'Per Invoice'!$X$2:$X$801,0),"")</f>
        <v/>
      </c>
    </row>
    <row r="87">
      <c r="A87">
        <f>IF($W87="","",IF(INDEX('Per Invoice'!A$2:A$801,$W87)="","",INDEX('Per Invoice'!A$2:A$801,$W87)))</f>
        <v/>
      </c>
      <c r="B87">
        <f>IF($W87="","",IF(INDEX('Per Invoice'!B$2:B$801,$W87)="","",INDEX('Per Invoice'!B$2:B$801,$W87)))</f>
        <v/>
      </c>
      <c r="C87">
        <f>IF($W87="","",IF(INDEX('Per Invoice'!C$2:C$801,$W87)="","",INDEX('Per Invoice'!C$2:C$801,$W87)))</f>
        <v/>
      </c>
      <c r="D87">
        <f>IF($W87="","",IF(INDEX('Per Invoice'!D$2:D$801,$W87)="","",INDEX('Per Invoice'!D$2:D$801,$W87)))</f>
        <v/>
      </c>
      <c r="E87">
        <f>IF($W87="","",IF(INDEX('Per Invoice'!E$2:E$801,$W87)="","",INDEX('Per Invoice'!E$2:E$801,$W87)))</f>
        <v/>
      </c>
      <c r="F87">
        <f>IF($W87="","",IF(INDEX('Per Invoice'!F$2:F$801,$W87)="","",INDEX('Per Invoice'!F$2:F$801,$W87)))</f>
        <v/>
      </c>
      <c r="G87">
        <f>IF($W87="","",IF(INDEX('Per Invoice'!G$2:G$801,$W87)="","",INDEX('Per Invoice'!G$2:G$801,$W87)))</f>
        <v/>
      </c>
      <c r="H87">
        <f>IF($W87="","",IF(INDEX('Per Invoice'!H$2:H$801,$W87)="","",INDEX('Per Invoice'!H$2:H$801,$W87)))</f>
        <v/>
      </c>
      <c r="I87">
        <f>IF($W87="","",IF(INDEX('Per Invoice'!I$2:I$801,$W87)="","",INDEX('Per Invoice'!I$2:I$801,$W87)))</f>
        <v/>
      </c>
      <c r="J87">
        <f>IF($W87="","",IF(INDEX('Per Invoice'!J$2:J$801,$W87)="","",INDEX('Per Invoice'!J$2:J$801,$W87)))</f>
        <v/>
      </c>
      <c r="K87" s="7">
        <f>IF($W87="","",IF(INDEX('Per Invoice'!K$2:K$801,$W87)="","",INDEX('Per Invoice'!K$2:K$801,$W87)))</f>
        <v/>
      </c>
      <c r="L87" s="14">
        <f>IF($W87="","",IF(INDEX('Per Invoice'!L$2:L$801,$W87)="","",INDEX('Per Invoice'!L$2:L$801,$W87)))</f>
        <v/>
      </c>
      <c r="M87">
        <f>IF($W87="","",IF(INDEX('Per Invoice'!M$2:M$801,$W87)="","",INDEX('Per Invoice'!M$2:M$801,$W87)))</f>
        <v/>
      </c>
      <c r="N87" s="7">
        <f>IF($W87="","",IF(INDEX('Per Invoice'!N$2:N$801,$W87)="","",INDEX('Per Invoice'!N$2:N$801,$W87)))</f>
        <v/>
      </c>
      <c r="O87" s="7">
        <f>IF($W87="","",IF(INDEX('Per Invoice'!O$2:O$801,$W87)="","",INDEX('Per Invoice'!O$2:O$801,$W87)))</f>
        <v/>
      </c>
      <c r="P87">
        <f>IF($W87="","",IF(INDEX('Per Invoice'!P$2:P$801,$W87)="","",INDEX('Per Invoice'!P$2:P$801,$W87)))</f>
        <v/>
      </c>
      <c r="Q87" s="7">
        <f>IF($W87="","",IF(INDEX('Per Invoice'!Q$2:Q$801,$W87)="","",INDEX('Per Invoice'!Q$2:Q$801,$W87)))</f>
        <v/>
      </c>
      <c r="R87" s="7">
        <f>IF($W87="","",IF(INDEX('Per Invoice'!R$2:R$801,$W87)="","",INDEX('Per Invoice'!R$2:R$801,$W87)))</f>
        <v/>
      </c>
      <c r="S87" s="7">
        <f>IF($W87="","",IF(INDEX('Per Invoice'!S$2:S$801,$W87)="","",INDEX('Per Invoice'!S$2:S$801,$W87)))</f>
        <v/>
      </c>
      <c r="T87" s="7">
        <f>IF($W87="","",IF(INDEX('Per Invoice'!T$2:T$801,$W87)="","",INDEX('Per Invoice'!T$2:T$801,$W87)))</f>
        <v/>
      </c>
      <c r="U87" s="7">
        <f>IF($W87="","",IF(INDEX('Per Invoice'!U$2:U$801,$W87)="","",INDEX('Per Invoice'!U$2:U$801,$W87)))</f>
        <v/>
      </c>
      <c r="V87" s="7">
        <f>IF($W87="","",IF(INDEX('Per Invoice'!V$2:V$801,$W87)="","",INDEX('Per Invoice'!V$2:V$801,$W87)))</f>
        <v/>
      </c>
      <c r="W87" s="16">
        <f>IFERROR(MATCH(Settings!$C$29&amp;"|"&amp;ROWS($W$2:$W87),'Per Invoice'!$X$2:$X$801,0),"")</f>
        <v/>
      </c>
    </row>
    <row r="88">
      <c r="A88">
        <f>IF($W88="","",IF(INDEX('Per Invoice'!A$2:A$801,$W88)="","",INDEX('Per Invoice'!A$2:A$801,$W88)))</f>
        <v/>
      </c>
      <c r="B88">
        <f>IF($W88="","",IF(INDEX('Per Invoice'!B$2:B$801,$W88)="","",INDEX('Per Invoice'!B$2:B$801,$W88)))</f>
        <v/>
      </c>
      <c r="C88">
        <f>IF($W88="","",IF(INDEX('Per Invoice'!C$2:C$801,$W88)="","",INDEX('Per Invoice'!C$2:C$801,$W88)))</f>
        <v/>
      </c>
      <c r="D88">
        <f>IF($W88="","",IF(INDEX('Per Invoice'!D$2:D$801,$W88)="","",INDEX('Per Invoice'!D$2:D$801,$W88)))</f>
        <v/>
      </c>
      <c r="E88">
        <f>IF($W88="","",IF(INDEX('Per Invoice'!E$2:E$801,$W88)="","",INDEX('Per Invoice'!E$2:E$801,$W88)))</f>
        <v/>
      </c>
      <c r="F88">
        <f>IF($W88="","",IF(INDEX('Per Invoice'!F$2:F$801,$W88)="","",INDEX('Per Invoice'!F$2:F$801,$W88)))</f>
        <v/>
      </c>
      <c r="G88">
        <f>IF($W88="","",IF(INDEX('Per Invoice'!G$2:G$801,$W88)="","",INDEX('Per Invoice'!G$2:G$801,$W88)))</f>
        <v/>
      </c>
      <c r="H88">
        <f>IF($W88="","",IF(INDEX('Per Invoice'!H$2:H$801,$W88)="","",INDEX('Per Invoice'!H$2:H$801,$W88)))</f>
        <v/>
      </c>
      <c r="I88">
        <f>IF($W88="","",IF(INDEX('Per Invoice'!I$2:I$801,$W88)="","",INDEX('Per Invoice'!I$2:I$801,$W88)))</f>
        <v/>
      </c>
      <c r="J88">
        <f>IF($W88="","",IF(INDEX('Per Invoice'!J$2:J$801,$W88)="","",INDEX('Per Invoice'!J$2:J$801,$W88)))</f>
        <v/>
      </c>
      <c r="K88" s="7">
        <f>IF($W88="","",IF(INDEX('Per Invoice'!K$2:K$801,$W88)="","",INDEX('Per Invoice'!K$2:K$801,$W88)))</f>
        <v/>
      </c>
      <c r="L88" s="14">
        <f>IF($W88="","",IF(INDEX('Per Invoice'!L$2:L$801,$W88)="","",INDEX('Per Invoice'!L$2:L$801,$W88)))</f>
        <v/>
      </c>
      <c r="M88">
        <f>IF($W88="","",IF(INDEX('Per Invoice'!M$2:M$801,$W88)="","",INDEX('Per Invoice'!M$2:M$801,$W88)))</f>
        <v/>
      </c>
      <c r="N88" s="7">
        <f>IF($W88="","",IF(INDEX('Per Invoice'!N$2:N$801,$W88)="","",INDEX('Per Invoice'!N$2:N$801,$W88)))</f>
        <v/>
      </c>
      <c r="O88" s="7">
        <f>IF($W88="","",IF(INDEX('Per Invoice'!O$2:O$801,$W88)="","",INDEX('Per Invoice'!O$2:O$801,$W88)))</f>
        <v/>
      </c>
      <c r="P88">
        <f>IF($W88="","",IF(INDEX('Per Invoice'!P$2:P$801,$W88)="","",INDEX('Per Invoice'!P$2:P$801,$W88)))</f>
        <v/>
      </c>
      <c r="Q88" s="7">
        <f>IF($W88="","",IF(INDEX('Per Invoice'!Q$2:Q$801,$W88)="","",INDEX('Per Invoice'!Q$2:Q$801,$W88)))</f>
        <v/>
      </c>
      <c r="R88" s="7">
        <f>IF($W88="","",IF(INDEX('Per Invoice'!R$2:R$801,$W88)="","",INDEX('Per Invoice'!R$2:R$801,$W88)))</f>
        <v/>
      </c>
      <c r="S88" s="7">
        <f>IF($W88="","",IF(INDEX('Per Invoice'!S$2:S$801,$W88)="","",INDEX('Per Invoice'!S$2:S$801,$W88)))</f>
        <v/>
      </c>
      <c r="T88" s="7">
        <f>IF($W88="","",IF(INDEX('Per Invoice'!T$2:T$801,$W88)="","",INDEX('Per Invoice'!T$2:T$801,$W88)))</f>
        <v/>
      </c>
      <c r="U88" s="7">
        <f>IF($W88="","",IF(INDEX('Per Invoice'!U$2:U$801,$W88)="","",INDEX('Per Invoice'!U$2:U$801,$W88)))</f>
        <v/>
      </c>
      <c r="V88" s="7">
        <f>IF($W88="","",IF(INDEX('Per Invoice'!V$2:V$801,$W88)="","",INDEX('Per Invoice'!V$2:V$801,$W88)))</f>
        <v/>
      </c>
      <c r="W88" s="16">
        <f>IFERROR(MATCH(Settings!$C$29&amp;"|"&amp;ROWS($W$2:$W88),'Per Invoice'!$X$2:$X$801,0),"")</f>
        <v/>
      </c>
    </row>
    <row r="89">
      <c r="A89">
        <f>IF($W89="","",IF(INDEX('Per Invoice'!A$2:A$801,$W89)="","",INDEX('Per Invoice'!A$2:A$801,$W89)))</f>
        <v/>
      </c>
      <c r="B89">
        <f>IF($W89="","",IF(INDEX('Per Invoice'!B$2:B$801,$W89)="","",INDEX('Per Invoice'!B$2:B$801,$W89)))</f>
        <v/>
      </c>
      <c r="C89">
        <f>IF($W89="","",IF(INDEX('Per Invoice'!C$2:C$801,$W89)="","",INDEX('Per Invoice'!C$2:C$801,$W89)))</f>
        <v/>
      </c>
      <c r="D89">
        <f>IF($W89="","",IF(INDEX('Per Invoice'!D$2:D$801,$W89)="","",INDEX('Per Invoice'!D$2:D$801,$W89)))</f>
        <v/>
      </c>
      <c r="E89">
        <f>IF($W89="","",IF(INDEX('Per Invoice'!E$2:E$801,$W89)="","",INDEX('Per Invoice'!E$2:E$801,$W89)))</f>
        <v/>
      </c>
      <c r="F89">
        <f>IF($W89="","",IF(INDEX('Per Invoice'!F$2:F$801,$W89)="","",INDEX('Per Invoice'!F$2:F$801,$W89)))</f>
        <v/>
      </c>
      <c r="G89">
        <f>IF($W89="","",IF(INDEX('Per Invoice'!G$2:G$801,$W89)="","",INDEX('Per Invoice'!G$2:G$801,$W89)))</f>
        <v/>
      </c>
      <c r="H89">
        <f>IF($W89="","",IF(INDEX('Per Invoice'!H$2:H$801,$W89)="","",INDEX('Per Invoice'!H$2:H$801,$W89)))</f>
        <v/>
      </c>
      <c r="I89">
        <f>IF($W89="","",IF(INDEX('Per Invoice'!I$2:I$801,$W89)="","",INDEX('Per Invoice'!I$2:I$801,$W89)))</f>
        <v/>
      </c>
      <c r="J89">
        <f>IF($W89="","",IF(INDEX('Per Invoice'!J$2:J$801,$W89)="","",INDEX('Per Invoice'!J$2:J$801,$W89)))</f>
        <v/>
      </c>
      <c r="K89" s="7">
        <f>IF($W89="","",IF(INDEX('Per Invoice'!K$2:K$801,$W89)="","",INDEX('Per Invoice'!K$2:K$801,$W89)))</f>
        <v/>
      </c>
      <c r="L89" s="14">
        <f>IF($W89="","",IF(INDEX('Per Invoice'!L$2:L$801,$W89)="","",INDEX('Per Invoice'!L$2:L$801,$W89)))</f>
        <v/>
      </c>
      <c r="M89">
        <f>IF($W89="","",IF(INDEX('Per Invoice'!M$2:M$801,$W89)="","",INDEX('Per Invoice'!M$2:M$801,$W89)))</f>
        <v/>
      </c>
      <c r="N89" s="7">
        <f>IF($W89="","",IF(INDEX('Per Invoice'!N$2:N$801,$W89)="","",INDEX('Per Invoice'!N$2:N$801,$W89)))</f>
        <v/>
      </c>
      <c r="O89" s="7">
        <f>IF($W89="","",IF(INDEX('Per Invoice'!O$2:O$801,$W89)="","",INDEX('Per Invoice'!O$2:O$801,$W89)))</f>
        <v/>
      </c>
      <c r="P89">
        <f>IF($W89="","",IF(INDEX('Per Invoice'!P$2:P$801,$W89)="","",INDEX('Per Invoice'!P$2:P$801,$W89)))</f>
        <v/>
      </c>
      <c r="Q89" s="7">
        <f>IF($W89="","",IF(INDEX('Per Invoice'!Q$2:Q$801,$W89)="","",INDEX('Per Invoice'!Q$2:Q$801,$W89)))</f>
        <v/>
      </c>
      <c r="R89" s="7">
        <f>IF($W89="","",IF(INDEX('Per Invoice'!R$2:R$801,$W89)="","",INDEX('Per Invoice'!R$2:R$801,$W89)))</f>
        <v/>
      </c>
      <c r="S89" s="7">
        <f>IF($W89="","",IF(INDEX('Per Invoice'!S$2:S$801,$W89)="","",INDEX('Per Invoice'!S$2:S$801,$W89)))</f>
        <v/>
      </c>
      <c r="T89" s="7">
        <f>IF($W89="","",IF(INDEX('Per Invoice'!T$2:T$801,$W89)="","",INDEX('Per Invoice'!T$2:T$801,$W89)))</f>
        <v/>
      </c>
      <c r="U89" s="7">
        <f>IF($W89="","",IF(INDEX('Per Invoice'!U$2:U$801,$W89)="","",INDEX('Per Invoice'!U$2:U$801,$W89)))</f>
        <v/>
      </c>
      <c r="V89" s="7">
        <f>IF($W89="","",IF(INDEX('Per Invoice'!V$2:V$801,$W89)="","",INDEX('Per Invoice'!V$2:V$801,$W89)))</f>
        <v/>
      </c>
      <c r="W89" s="16">
        <f>IFERROR(MATCH(Settings!$C$29&amp;"|"&amp;ROWS($W$2:$W89),'Per Invoice'!$X$2:$X$801,0),"")</f>
        <v/>
      </c>
    </row>
    <row r="90">
      <c r="A90">
        <f>IF($W90="","",IF(INDEX('Per Invoice'!A$2:A$801,$W90)="","",INDEX('Per Invoice'!A$2:A$801,$W90)))</f>
        <v/>
      </c>
      <c r="B90">
        <f>IF($W90="","",IF(INDEX('Per Invoice'!B$2:B$801,$W90)="","",INDEX('Per Invoice'!B$2:B$801,$W90)))</f>
        <v/>
      </c>
      <c r="C90">
        <f>IF($W90="","",IF(INDEX('Per Invoice'!C$2:C$801,$W90)="","",INDEX('Per Invoice'!C$2:C$801,$W90)))</f>
        <v/>
      </c>
      <c r="D90">
        <f>IF($W90="","",IF(INDEX('Per Invoice'!D$2:D$801,$W90)="","",INDEX('Per Invoice'!D$2:D$801,$W90)))</f>
        <v/>
      </c>
      <c r="E90">
        <f>IF($W90="","",IF(INDEX('Per Invoice'!E$2:E$801,$W90)="","",INDEX('Per Invoice'!E$2:E$801,$W90)))</f>
        <v/>
      </c>
      <c r="F90">
        <f>IF($W90="","",IF(INDEX('Per Invoice'!F$2:F$801,$W90)="","",INDEX('Per Invoice'!F$2:F$801,$W90)))</f>
        <v/>
      </c>
      <c r="G90">
        <f>IF($W90="","",IF(INDEX('Per Invoice'!G$2:G$801,$W90)="","",INDEX('Per Invoice'!G$2:G$801,$W90)))</f>
        <v/>
      </c>
      <c r="H90">
        <f>IF($W90="","",IF(INDEX('Per Invoice'!H$2:H$801,$W90)="","",INDEX('Per Invoice'!H$2:H$801,$W90)))</f>
        <v/>
      </c>
      <c r="I90">
        <f>IF($W90="","",IF(INDEX('Per Invoice'!I$2:I$801,$W90)="","",INDEX('Per Invoice'!I$2:I$801,$W90)))</f>
        <v/>
      </c>
      <c r="J90">
        <f>IF($W90="","",IF(INDEX('Per Invoice'!J$2:J$801,$W90)="","",INDEX('Per Invoice'!J$2:J$801,$W90)))</f>
        <v/>
      </c>
      <c r="K90" s="7">
        <f>IF($W90="","",IF(INDEX('Per Invoice'!K$2:K$801,$W90)="","",INDEX('Per Invoice'!K$2:K$801,$W90)))</f>
        <v/>
      </c>
      <c r="L90" s="14">
        <f>IF($W90="","",IF(INDEX('Per Invoice'!L$2:L$801,$W90)="","",INDEX('Per Invoice'!L$2:L$801,$W90)))</f>
        <v/>
      </c>
      <c r="M90">
        <f>IF($W90="","",IF(INDEX('Per Invoice'!M$2:M$801,$W90)="","",INDEX('Per Invoice'!M$2:M$801,$W90)))</f>
        <v/>
      </c>
      <c r="N90" s="7">
        <f>IF($W90="","",IF(INDEX('Per Invoice'!N$2:N$801,$W90)="","",INDEX('Per Invoice'!N$2:N$801,$W90)))</f>
        <v/>
      </c>
      <c r="O90" s="7">
        <f>IF($W90="","",IF(INDEX('Per Invoice'!O$2:O$801,$W90)="","",INDEX('Per Invoice'!O$2:O$801,$W90)))</f>
        <v/>
      </c>
      <c r="P90">
        <f>IF($W90="","",IF(INDEX('Per Invoice'!P$2:P$801,$W90)="","",INDEX('Per Invoice'!P$2:P$801,$W90)))</f>
        <v/>
      </c>
      <c r="Q90" s="7">
        <f>IF($W90="","",IF(INDEX('Per Invoice'!Q$2:Q$801,$W90)="","",INDEX('Per Invoice'!Q$2:Q$801,$W90)))</f>
        <v/>
      </c>
      <c r="R90" s="7">
        <f>IF($W90="","",IF(INDEX('Per Invoice'!R$2:R$801,$W90)="","",INDEX('Per Invoice'!R$2:R$801,$W90)))</f>
        <v/>
      </c>
      <c r="S90" s="7">
        <f>IF($W90="","",IF(INDEX('Per Invoice'!S$2:S$801,$W90)="","",INDEX('Per Invoice'!S$2:S$801,$W90)))</f>
        <v/>
      </c>
      <c r="T90" s="7">
        <f>IF($W90="","",IF(INDEX('Per Invoice'!T$2:T$801,$W90)="","",INDEX('Per Invoice'!T$2:T$801,$W90)))</f>
        <v/>
      </c>
      <c r="U90" s="7">
        <f>IF($W90="","",IF(INDEX('Per Invoice'!U$2:U$801,$W90)="","",INDEX('Per Invoice'!U$2:U$801,$W90)))</f>
        <v/>
      </c>
      <c r="V90" s="7">
        <f>IF($W90="","",IF(INDEX('Per Invoice'!V$2:V$801,$W90)="","",INDEX('Per Invoice'!V$2:V$801,$W90)))</f>
        <v/>
      </c>
      <c r="W90" s="16">
        <f>IFERROR(MATCH(Settings!$C$29&amp;"|"&amp;ROWS($W$2:$W90),'Per Invoice'!$X$2:$X$801,0),"")</f>
        <v/>
      </c>
    </row>
    <row r="91">
      <c r="A91">
        <f>IF($W91="","",IF(INDEX('Per Invoice'!A$2:A$801,$W91)="","",INDEX('Per Invoice'!A$2:A$801,$W91)))</f>
        <v/>
      </c>
      <c r="B91">
        <f>IF($W91="","",IF(INDEX('Per Invoice'!B$2:B$801,$W91)="","",INDEX('Per Invoice'!B$2:B$801,$W91)))</f>
        <v/>
      </c>
      <c r="C91">
        <f>IF($W91="","",IF(INDEX('Per Invoice'!C$2:C$801,$W91)="","",INDEX('Per Invoice'!C$2:C$801,$W91)))</f>
        <v/>
      </c>
      <c r="D91">
        <f>IF($W91="","",IF(INDEX('Per Invoice'!D$2:D$801,$W91)="","",INDEX('Per Invoice'!D$2:D$801,$W91)))</f>
        <v/>
      </c>
      <c r="E91">
        <f>IF($W91="","",IF(INDEX('Per Invoice'!E$2:E$801,$W91)="","",INDEX('Per Invoice'!E$2:E$801,$W91)))</f>
        <v/>
      </c>
      <c r="F91">
        <f>IF($W91="","",IF(INDEX('Per Invoice'!F$2:F$801,$W91)="","",INDEX('Per Invoice'!F$2:F$801,$W91)))</f>
        <v/>
      </c>
      <c r="G91">
        <f>IF($W91="","",IF(INDEX('Per Invoice'!G$2:G$801,$W91)="","",INDEX('Per Invoice'!G$2:G$801,$W91)))</f>
        <v/>
      </c>
      <c r="H91">
        <f>IF($W91="","",IF(INDEX('Per Invoice'!H$2:H$801,$W91)="","",INDEX('Per Invoice'!H$2:H$801,$W91)))</f>
        <v/>
      </c>
      <c r="I91">
        <f>IF($W91="","",IF(INDEX('Per Invoice'!I$2:I$801,$W91)="","",INDEX('Per Invoice'!I$2:I$801,$W91)))</f>
        <v/>
      </c>
      <c r="J91">
        <f>IF($W91="","",IF(INDEX('Per Invoice'!J$2:J$801,$W91)="","",INDEX('Per Invoice'!J$2:J$801,$W91)))</f>
        <v/>
      </c>
      <c r="K91" s="7">
        <f>IF($W91="","",IF(INDEX('Per Invoice'!K$2:K$801,$W91)="","",INDEX('Per Invoice'!K$2:K$801,$W91)))</f>
        <v/>
      </c>
      <c r="L91" s="14">
        <f>IF($W91="","",IF(INDEX('Per Invoice'!L$2:L$801,$W91)="","",INDEX('Per Invoice'!L$2:L$801,$W91)))</f>
        <v/>
      </c>
      <c r="M91">
        <f>IF($W91="","",IF(INDEX('Per Invoice'!M$2:M$801,$W91)="","",INDEX('Per Invoice'!M$2:M$801,$W91)))</f>
        <v/>
      </c>
      <c r="N91" s="7">
        <f>IF($W91="","",IF(INDEX('Per Invoice'!N$2:N$801,$W91)="","",INDEX('Per Invoice'!N$2:N$801,$W91)))</f>
        <v/>
      </c>
      <c r="O91" s="7">
        <f>IF($W91="","",IF(INDEX('Per Invoice'!O$2:O$801,$W91)="","",INDEX('Per Invoice'!O$2:O$801,$W91)))</f>
        <v/>
      </c>
      <c r="P91">
        <f>IF($W91="","",IF(INDEX('Per Invoice'!P$2:P$801,$W91)="","",INDEX('Per Invoice'!P$2:P$801,$W91)))</f>
        <v/>
      </c>
      <c r="Q91" s="7">
        <f>IF($W91="","",IF(INDEX('Per Invoice'!Q$2:Q$801,$W91)="","",INDEX('Per Invoice'!Q$2:Q$801,$W91)))</f>
        <v/>
      </c>
      <c r="R91" s="7">
        <f>IF($W91="","",IF(INDEX('Per Invoice'!R$2:R$801,$W91)="","",INDEX('Per Invoice'!R$2:R$801,$W91)))</f>
        <v/>
      </c>
      <c r="S91" s="7">
        <f>IF($W91="","",IF(INDEX('Per Invoice'!S$2:S$801,$W91)="","",INDEX('Per Invoice'!S$2:S$801,$W91)))</f>
        <v/>
      </c>
      <c r="T91" s="7">
        <f>IF($W91="","",IF(INDEX('Per Invoice'!T$2:T$801,$W91)="","",INDEX('Per Invoice'!T$2:T$801,$W91)))</f>
        <v/>
      </c>
      <c r="U91" s="7">
        <f>IF($W91="","",IF(INDEX('Per Invoice'!U$2:U$801,$W91)="","",INDEX('Per Invoice'!U$2:U$801,$W91)))</f>
        <v/>
      </c>
      <c r="V91" s="7">
        <f>IF($W91="","",IF(INDEX('Per Invoice'!V$2:V$801,$W91)="","",INDEX('Per Invoice'!V$2:V$801,$W91)))</f>
        <v/>
      </c>
      <c r="W91" s="16">
        <f>IFERROR(MATCH(Settings!$C$29&amp;"|"&amp;ROWS($W$2:$W91),'Per Invoice'!$X$2:$X$801,0),"")</f>
        <v/>
      </c>
    </row>
    <row r="92">
      <c r="A92">
        <f>IF($W92="","",IF(INDEX('Per Invoice'!A$2:A$801,$W92)="","",INDEX('Per Invoice'!A$2:A$801,$W92)))</f>
        <v/>
      </c>
      <c r="B92">
        <f>IF($W92="","",IF(INDEX('Per Invoice'!B$2:B$801,$W92)="","",INDEX('Per Invoice'!B$2:B$801,$W92)))</f>
        <v/>
      </c>
      <c r="C92">
        <f>IF($W92="","",IF(INDEX('Per Invoice'!C$2:C$801,$W92)="","",INDEX('Per Invoice'!C$2:C$801,$W92)))</f>
        <v/>
      </c>
      <c r="D92">
        <f>IF($W92="","",IF(INDEX('Per Invoice'!D$2:D$801,$W92)="","",INDEX('Per Invoice'!D$2:D$801,$W92)))</f>
        <v/>
      </c>
      <c r="E92">
        <f>IF($W92="","",IF(INDEX('Per Invoice'!E$2:E$801,$W92)="","",INDEX('Per Invoice'!E$2:E$801,$W92)))</f>
        <v/>
      </c>
      <c r="F92">
        <f>IF($W92="","",IF(INDEX('Per Invoice'!F$2:F$801,$W92)="","",INDEX('Per Invoice'!F$2:F$801,$W92)))</f>
        <v/>
      </c>
      <c r="G92">
        <f>IF($W92="","",IF(INDEX('Per Invoice'!G$2:G$801,$W92)="","",INDEX('Per Invoice'!G$2:G$801,$W92)))</f>
        <v/>
      </c>
      <c r="H92">
        <f>IF($W92="","",IF(INDEX('Per Invoice'!H$2:H$801,$W92)="","",INDEX('Per Invoice'!H$2:H$801,$W92)))</f>
        <v/>
      </c>
      <c r="I92">
        <f>IF($W92="","",IF(INDEX('Per Invoice'!I$2:I$801,$W92)="","",INDEX('Per Invoice'!I$2:I$801,$W92)))</f>
        <v/>
      </c>
      <c r="J92">
        <f>IF($W92="","",IF(INDEX('Per Invoice'!J$2:J$801,$W92)="","",INDEX('Per Invoice'!J$2:J$801,$W92)))</f>
        <v/>
      </c>
      <c r="K92" s="7">
        <f>IF($W92="","",IF(INDEX('Per Invoice'!K$2:K$801,$W92)="","",INDEX('Per Invoice'!K$2:K$801,$W92)))</f>
        <v/>
      </c>
      <c r="L92" s="14">
        <f>IF($W92="","",IF(INDEX('Per Invoice'!L$2:L$801,$W92)="","",INDEX('Per Invoice'!L$2:L$801,$W92)))</f>
        <v/>
      </c>
      <c r="M92">
        <f>IF($W92="","",IF(INDEX('Per Invoice'!M$2:M$801,$W92)="","",INDEX('Per Invoice'!M$2:M$801,$W92)))</f>
        <v/>
      </c>
      <c r="N92" s="7">
        <f>IF($W92="","",IF(INDEX('Per Invoice'!N$2:N$801,$W92)="","",INDEX('Per Invoice'!N$2:N$801,$W92)))</f>
        <v/>
      </c>
      <c r="O92" s="7">
        <f>IF($W92="","",IF(INDEX('Per Invoice'!O$2:O$801,$W92)="","",INDEX('Per Invoice'!O$2:O$801,$W92)))</f>
        <v/>
      </c>
      <c r="P92">
        <f>IF($W92="","",IF(INDEX('Per Invoice'!P$2:P$801,$W92)="","",INDEX('Per Invoice'!P$2:P$801,$W92)))</f>
        <v/>
      </c>
      <c r="Q92" s="7">
        <f>IF($W92="","",IF(INDEX('Per Invoice'!Q$2:Q$801,$W92)="","",INDEX('Per Invoice'!Q$2:Q$801,$W92)))</f>
        <v/>
      </c>
      <c r="R92" s="7">
        <f>IF($W92="","",IF(INDEX('Per Invoice'!R$2:R$801,$W92)="","",INDEX('Per Invoice'!R$2:R$801,$W92)))</f>
        <v/>
      </c>
      <c r="S92" s="7">
        <f>IF($W92="","",IF(INDEX('Per Invoice'!S$2:S$801,$W92)="","",INDEX('Per Invoice'!S$2:S$801,$W92)))</f>
        <v/>
      </c>
      <c r="T92" s="7">
        <f>IF($W92="","",IF(INDEX('Per Invoice'!T$2:T$801,$W92)="","",INDEX('Per Invoice'!T$2:T$801,$W92)))</f>
        <v/>
      </c>
      <c r="U92" s="7">
        <f>IF($W92="","",IF(INDEX('Per Invoice'!U$2:U$801,$W92)="","",INDEX('Per Invoice'!U$2:U$801,$W92)))</f>
        <v/>
      </c>
      <c r="V92" s="7">
        <f>IF($W92="","",IF(INDEX('Per Invoice'!V$2:V$801,$W92)="","",INDEX('Per Invoice'!V$2:V$801,$W92)))</f>
        <v/>
      </c>
      <c r="W92" s="16">
        <f>IFERROR(MATCH(Settings!$C$29&amp;"|"&amp;ROWS($W$2:$W92),'Per Invoice'!$X$2:$X$801,0),"")</f>
        <v/>
      </c>
    </row>
    <row r="93">
      <c r="A93">
        <f>IF($W93="","",IF(INDEX('Per Invoice'!A$2:A$801,$W93)="","",INDEX('Per Invoice'!A$2:A$801,$W93)))</f>
        <v/>
      </c>
      <c r="B93">
        <f>IF($W93="","",IF(INDEX('Per Invoice'!B$2:B$801,$W93)="","",INDEX('Per Invoice'!B$2:B$801,$W93)))</f>
        <v/>
      </c>
      <c r="C93">
        <f>IF($W93="","",IF(INDEX('Per Invoice'!C$2:C$801,$W93)="","",INDEX('Per Invoice'!C$2:C$801,$W93)))</f>
        <v/>
      </c>
      <c r="D93">
        <f>IF($W93="","",IF(INDEX('Per Invoice'!D$2:D$801,$W93)="","",INDEX('Per Invoice'!D$2:D$801,$W93)))</f>
        <v/>
      </c>
      <c r="E93">
        <f>IF($W93="","",IF(INDEX('Per Invoice'!E$2:E$801,$W93)="","",INDEX('Per Invoice'!E$2:E$801,$W93)))</f>
        <v/>
      </c>
      <c r="F93">
        <f>IF($W93="","",IF(INDEX('Per Invoice'!F$2:F$801,$W93)="","",INDEX('Per Invoice'!F$2:F$801,$W93)))</f>
        <v/>
      </c>
      <c r="G93">
        <f>IF($W93="","",IF(INDEX('Per Invoice'!G$2:G$801,$W93)="","",INDEX('Per Invoice'!G$2:G$801,$W93)))</f>
        <v/>
      </c>
      <c r="H93">
        <f>IF($W93="","",IF(INDEX('Per Invoice'!H$2:H$801,$W93)="","",INDEX('Per Invoice'!H$2:H$801,$W93)))</f>
        <v/>
      </c>
      <c r="I93">
        <f>IF($W93="","",IF(INDEX('Per Invoice'!I$2:I$801,$W93)="","",INDEX('Per Invoice'!I$2:I$801,$W93)))</f>
        <v/>
      </c>
      <c r="J93">
        <f>IF($W93="","",IF(INDEX('Per Invoice'!J$2:J$801,$W93)="","",INDEX('Per Invoice'!J$2:J$801,$W93)))</f>
        <v/>
      </c>
      <c r="K93" s="7">
        <f>IF($W93="","",IF(INDEX('Per Invoice'!K$2:K$801,$W93)="","",INDEX('Per Invoice'!K$2:K$801,$W93)))</f>
        <v/>
      </c>
      <c r="L93" s="14">
        <f>IF($W93="","",IF(INDEX('Per Invoice'!L$2:L$801,$W93)="","",INDEX('Per Invoice'!L$2:L$801,$W93)))</f>
        <v/>
      </c>
      <c r="M93">
        <f>IF($W93="","",IF(INDEX('Per Invoice'!M$2:M$801,$W93)="","",INDEX('Per Invoice'!M$2:M$801,$W93)))</f>
        <v/>
      </c>
      <c r="N93" s="7">
        <f>IF($W93="","",IF(INDEX('Per Invoice'!N$2:N$801,$W93)="","",INDEX('Per Invoice'!N$2:N$801,$W93)))</f>
        <v/>
      </c>
      <c r="O93" s="7">
        <f>IF($W93="","",IF(INDEX('Per Invoice'!O$2:O$801,$W93)="","",INDEX('Per Invoice'!O$2:O$801,$W93)))</f>
        <v/>
      </c>
      <c r="P93">
        <f>IF($W93="","",IF(INDEX('Per Invoice'!P$2:P$801,$W93)="","",INDEX('Per Invoice'!P$2:P$801,$W93)))</f>
        <v/>
      </c>
      <c r="Q93" s="7">
        <f>IF($W93="","",IF(INDEX('Per Invoice'!Q$2:Q$801,$W93)="","",INDEX('Per Invoice'!Q$2:Q$801,$W93)))</f>
        <v/>
      </c>
      <c r="R93" s="7">
        <f>IF($W93="","",IF(INDEX('Per Invoice'!R$2:R$801,$W93)="","",INDEX('Per Invoice'!R$2:R$801,$W93)))</f>
        <v/>
      </c>
      <c r="S93" s="7">
        <f>IF($W93="","",IF(INDEX('Per Invoice'!S$2:S$801,$W93)="","",INDEX('Per Invoice'!S$2:S$801,$W93)))</f>
        <v/>
      </c>
      <c r="T93" s="7">
        <f>IF($W93="","",IF(INDEX('Per Invoice'!T$2:T$801,$W93)="","",INDEX('Per Invoice'!T$2:T$801,$W93)))</f>
        <v/>
      </c>
      <c r="U93" s="7">
        <f>IF($W93="","",IF(INDEX('Per Invoice'!U$2:U$801,$W93)="","",INDEX('Per Invoice'!U$2:U$801,$W93)))</f>
        <v/>
      </c>
      <c r="V93" s="7">
        <f>IF($W93="","",IF(INDEX('Per Invoice'!V$2:V$801,$W93)="","",INDEX('Per Invoice'!V$2:V$801,$W93)))</f>
        <v/>
      </c>
      <c r="W93" s="16">
        <f>IFERROR(MATCH(Settings!$C$29&amp;"|"&amp;ROWS($W$2:$W93),'Per Invoice'!$X$2:$X$801,0),"")</f>
        <v/>
      </c>
    </row>
    <row r="94">
      <c r="A94">
        <f>IF($W94="","",IF(INDEX('Per Invoice'!A$2:A$801,$W94)="","",INDEX('Per Invoice'!A$2:A$801,$W94)))</f>
        <v/>
      </c>
      <c r="B94">
        <f>IF($W94="","",IF(INDEX('Per Invoice'!B$2:B$801,$W94)="","",INDEX('Per Invoice'!B$2:B$801,$W94)))</f>
        <v/>
      </c>
      <c r="C94">
        <f>IF($W94="","",IF(INDEX('Per Invoice'!C$2:C$801,$W94)="","",INDEX('Per Invoice'!C$2:C$801,$W94)))</f>
        <v/>
      </c>
      <c r="D94">
        <f>IF($W94="","",IF(INDEX('Per Invoice'!D$2:D$801,$W94)="","",INDEX('Per Invoice'!D$2:D$801,$W94)))</f>
        <v/>
      </c>
      <c r="E94">
        <f>IF($W94="","",IF(INDEX('Per Invoice'!E$2:E$801,$W94)="","",INDEX('Per Invoice'!E$2:E$801,$W94)))</f>
        <v/>
      </c>
      <c r="F94">
        <f>IF($W94="","",IF(INDEX('Per Invoice'!F$2:F$801,$W94)="","",INDEX('Per Invoice'!F$2:F$801,$W94)))</f>
        <v/>
      </c>
      <c r="G94">
        <f>IF($W94="","",IF(INDEX('Per Invoice'!G$2:G$801,$W94)="","",INDEX('Per Invoice'!G$2:G$801,$W94)))</f>
        <v/>
      </c>
      <c r="H94">
        <f>IF($W94="","",IF(INDEX('Per Invoice'!H$2:H$801,$W94)="","",INDEX('Per Invoice'!H$2:H$801,$W94)))</f>
        <v/>
      </c>
      <c r="I94">
        <f>IF($W94="","",IF(INDEX('Per Invoice'!I$2:I$801,$W94)="","",INDEX('Per Invoice'!I$2:I$801,$W94)))</f>
        <v/>
      </c>
      <c r="J94">
        <f>IF($W94="","",IF(INDEX('Per Invoice'!J$2:J$801,$W94)="","",INDEX('Per Invoice'!J$2:J$801,$W94)))</f>
        <v/>
      </c>
      <c r="K94" s="7">
        <f>IF($W94="","",IF(INDEX('Per Invoice'!K$2:K$801,$W94)="","",INDEX('Per Invoice'!K$2:K$801,$W94)))</f>
        <v/>
      </c>
      <c r="L94" s="14">
        <f>IF($W94="","",IF(INDEX('Per Invoice'!L$2:L$801,$W94)="","",INDEX('Per Invoice'!L$2:L$801,$W94)))</f>
        <v/>
      </c>
      <c r="M94">
        <f>IF($W94="","",IF(INDEX('Per Invoice'!M$2:M$801,$W94)="","",INDEX('Per Invoice'!M$2:M$801,$W94)))</f>
        <v/>
      </c>
      <c r="N94" s="7">
        <f>IF($W94="","",IF(INDEX('Per Invoice'!N$2:N$801,$W94)="","",INDEX('Per Invoice'!N$2:N$801,$W94)))</f>
        <v/>
      </c>
      <c r="O94" s="7">
        <f>IF($W94="","",IF(INDEX('Per Invoice'!O$2:O$801,$W94)="","",INDEX('Per Invoice'!O$2:O$801,$W94)))</f>
        <v/>
      </c>
      <c r="P94">
        <f>IF($W94="","",IF(INDEX('Per Invoice'!P$2:P$801,$W94)="","",INDEX('Per Invoice'!P$2:P$801,$W94)))</f>
        <v/>
      </c>
      <c r="Q94" s="7">
        <f>IF($W94="","",IF(INDEX('Per Invoice'!Q$2:Q$801,$W94)="","",INDEX('Per Invoice'!Q$2:Q$801,$W94)))</f>
        <v/>
      </c>
      <c r="R94" s="7">
        <f>IF($W94="","",IF(INDEX('Per Invoice'!R$2:R$801,$W94)="","",INDEX('Per Invoice'!R$2:R$801,$W94)))</f>
        <v/>
      </c>
      <c r="S94" s="7">
        <f>IF($W94="","",IF(INDEX('Per Invoice'!S$2:S$801,$W94)="","",INDEX('Per Invoice'!S$2:S$801,$W94)))</f>
        <v/>
      </c>
      <c r="T94" s="7">
        <f>IF($W94="","",IF(INDEX('Per Invoice'!T$2:T$801,$W94)="","",INDEX('Per Invoice'!T$2:T$801,$W94)))</f>
        <v/>
      </c>
      <c r="U94" s="7">
        <f>IF($W94="","",IF(INDEX('Per Invoice'!U$2:U$801,$W94)="","",INDEX('Per Invoice'!U$2:U$801,$W94)))</f>
        <v/>
      </c>
      <c r="V94" s="7">
        <f>IF($W94="","",IF(INDEX('Per Invoice'!V$2:V$801,$W94)="","",INDEX('Per Invoice'!V$2:V$801,$W94)))</f>
        <v/>
      </c>
      <c r="W94" s="16">
        <f>IFERROR(MATCH(Settings!$C$29&amp;"|"&amp;ROWS($W$2:$W94),'Per Invoice'!$X$2:$X$801,0),"")</f>
        <v/>
      </c>
    </row>
    <row r="95">
      <c r="A95">
        <f>IF($W95="","",IF(INDEX('Per Invoice'!A$2:A$801,$W95)="","",INDEX('Per Invoice'!A$2:A$801,$W95)))</f>
        <v/>
      </c>
      <c r="B95">
        <f>IF($W95="","",IF(INDEX('Per Invoice'!B$2:B$801,$W95)="","",INDEX('Per Invoice'!B$2:B$801,$W95)))</f>
        <v/>
      </c>
      <c r="C95">
        <f>IF($W95="","",IF(INDEX('Per Invoice'!C$2:C$801,$W95)="","",INDEX('Per Invoice'!C$2:C$801,$W95)))</f>
        <v/>
      </c>
      <c r="D95">
        <f>IF($W95="","",IF(INDEX('Per Invoice'!D$2:D$801,$W95)="","",INDEX('Per Invoice'!D$2:D$801,$W95)))</f>
        <v/>
      </c>
      <c r="E95">
        <f>IF($W95="","",IF(INDEX('Per Invoice'!E$2:E$801,$W95)="","",INDEX('Per Invoice'!E$2:E$801,$W95)))</f>
        <v/>
      </c>
      <c r="F95">
        <f>IF($W95="","",IF(INDEX('Per Invoice'!F$2:F$801,$W95)="","",INDEX('Per Invoice'!F$2:F$801,$W95)))</f>
        <v/>
      </c>
      <c r="G95">
        <f>IF($W95="","",IF(INDEX('Per Invoice'!G$2:G$801,$W95)="","",INDEX('Per Invoice'!G$2:G$801,$W95)))</f>
        <v/>
      </c>
      <c r="H95">
        <f>IF($W95="","",IF(INDEX('Per Invoice'!H$2:H$801,$W95)="","",INDEX('Per Invoice'!H$2:H$801,$W95)))</f>
        <v/>
      </c>
      <c r="I95">
        <f>IF($W95="","",IF(INDEX('Per Invoice'!I$2:I$801,$W95)="","",INDEX('Per Invoice'!I$2:I$801,$W95)))</f>
        <v/>
      </c>
      <c r="J95">
        <f>IF($W95="","",IF(INDEX('Per Invoice'!J$2:J$801,$W95)="","",INDEX('Per Invoice'!J$2:J$801,$W95)))</f>
        <v/>
      </c>
      <c r="K95" s="7">
        <f>IF($W95="","",IF(INDEX('Per Invoice'!K$2:K$801,$W95)="","",INDEX('Per Invoice'!K$2:K$801,$W95)))</f>
        <v/>
      </c>
      <c r="L95" s="14">
        <f>IF($W95="","",IF(INDEX('Per Invoice'!L$2:L$801,$W95)="","",INDEX('Per Invoice'!L$2:L$801,$W95)))</f>
        <v/>
      </c>
      <c r="M95">
        <f>IF($W95="","",IF(INDEX('Per Invoice'!M$2:M$801,$W95)="","",INDEX('Per Invoice'!M$2:M$801,$W95)))</f>
        <v/>
      </c>
      <c r="N95" s="7">
        <f>IF($W95="","",IF(INDEX('Per Invoice'!N$2:N$801,$W95)="","",INDEX('Per Invoice'!N$2:N$801,$W95)))</f>
        <v/>
      </c>
      <c r="O95" s="7">
        <f>IF($W95="","",IF(INDEX('Per Invoice'!O$2:O$801,$W95)="","",INDEX('Per Invoice'!O$2:O$801,$W95)))</f>
        <v/>
      </c>
      <c r="P95">
        <f>IF($W95="","",IF(INDEX('Per Invoice'!P$2:P$801,$W95)="","",INDEX('Per Invoice'!P$2:P$801,$W95)))</f>
        <v/>
      </c>
      <c r="Q95" s="7">
        <f>IF($W95="","",IF(INDEX('Per Invoice'!Q$2:Q$801,$W95)="","",INDEX('Per Invoice'!Q$2:Q$801,$W95)))</f>
        <v/>
      </c>
      <c r="R95" s="7">
        <f>IF($W95="","",IF(INDEX('Per Invoice'!R$2:R$801,$W95)="","",INDEX('Per Invoice'!R$2:R$801,$W95)))</f>
        <v/>
      </c>
      <c r="S95" s="7">
        <f>IF($W95="","",IF(INDEX('Per Invoice'!S$2:S$801,$W95)="","",INDEX('Per Invoice'!S$2:S$801,$W95)))</f>
        <v/>
      </c>
      <c r="T95" s="7">
        <f>IF($W95="","",IF(INDEX('Per Invoice'!T$2:T$801,$W95)="","",INDEX('Per Invoice'!T$2:T$801,$W95)))</f>
        <v/>
      </c>
      <c r="U95" s="7">
        <f>IF($W95="","",IF(INDEX('Per Invoice'!U$2:U$801,$W95)="","",INDEX('Per Invoice'!U$2:U$801,$W95)))</f>
        <v/>
      </c>
      <c r="V95" s="7">
        <f>IF($W95="","",IF(INDEX('Per Invoice'!V$2:V$801,$W95)="","",INDEX('Per Invoice'!V$2:V$801,$W95)))</f>
        <v/>
      </c>
      <c r="W95" s="16">
        <f>IFERROR(MATCH(Settings!$C$29&amp;"|"&amp;ROWS($W$2:$W95),'Per Invoice'!$X$2:$X$801,0),"")</f>
        <v/>
      </c>
    </row>
    <row r="96">
      <c r="A96">
        <f>IF($W96="","",IF(INDEX('Per Invoice'!A$2:A$801,$W96)="","",INDEX('Per Invoice'!A$2:A$801,$W96)))</f>
        <v/>
      </c>
      <c r="B96">
        <f>IF($W96="","",IF(INDEX('Per Invoice'!B$2:B$801,$W96)="","",INDEX('Per Invoice'!B$2:B$801,$W96)))</f>
        <v/>
      </c>
      <c r="C96">
        <f>IF($W96="","",IF(INDEX('Per Invoice'!C$2:C$801,$W96)="","",INDEX('Per Invoice'!C$2:C$801,$W96)))</f>
        <v/>
      </c>
      <c r="D96">
        <f>IF($W96="","",IF(INDEX('Per Invoice'!D$2:D$801,$W96)="","",INDEX('Per Invoice'!D$2:D$801,$W96)))</f>
        <v/>
      </c>
      <c r="E96">
        <f>IF($W96="","",IF(INDEX('Per Invoice'!E$2:E$801,$W96)="","",INDEX('Per Invoice'!E$2:E$801,$W96)))</f>
        <v/>
      </c>
      <c r="F96">
        <f>IF($W96="","",IF(INDEX('Per Invoice'!F$2:F$801,$W96)="","",INDEX('Per Invoice'!F$2:F$801,$W96)))</f>
        <v/>
      </c>
      <c r="G96">
        <f>IF($W96="","",IF(INDEX('Per Invoice'!G$2:G$801,$W96)="","",INDEX('Per Invoice'!G$2:G$801,$W96)))</f>
        <v/>
      </c>
      <c r="H96">
        <f>IF($W96="","",IF(INDEX('Per Invoice'!H$2:H$801,$W96)="","",INDEX('Per Invoice'!H$2:H$801,$W96)))</f>
        <v/>
      </c>
      <c r="I96">
        <f>IF($W96="","",IF(INDEX('Per Invoice'!I$2:I$801,$W96)="","",INDEX('Per Invoice'!I$2:I$801,$W96)))</f>
        <v/>
      </c>
      <c r="J96">
        <f>IF($W96="","",IF(INDEX('Per Invoice'!J$2:J$801,$W96)="","",INDEX('Per Invoice'!J$2:J$801,$W96)))</f>
        <v/>
      </c>
      <c r="K96" s="7">
        <f>IF($W96="","",IF(INDEX('Per Invoice'!K$2:K$801,$W96)="","",INDEX('Per Invoice'!K$2:K$801,$W96)))</f>
        <v/>
      </c>
      <c r="L96" s="14">
        <f>IF($W96="","",IF(INDEX('Per Invoice'!L$2:L$801,$W96)="","",INDEX('Per Invoice'!L$2:L$801,$W96)))</f>
        <v/>
      </c>
      <c r="M96">
        <f>IF($W96="","",IF(INDEX('Per Invoice'!M$2:M$801,$W96)="","",INDEX('Per Invoice'!M$2:M$801,$W96)))</f>
        <v/>
      </c>
      <c r="N96" s="7">
        <f>IF($W96="","",IF(INDEX('Per Invoice'!N$2:N$801,$W96)="","",INDEX('Per Invoice'!N$2:N$801,$W96)))</f>
        <v/>
      </c>
      <c r="O96" s="7">
        <f>IF($W96="","",IF(INDEX('Per Invoice'!O$2:O$801,$W96)="","",INDEX('Per Invoice'!O$2:O$801,$W96)))</f>
        <v/>
      </c>
      <c r="P96">
        <f>IF($W96="","",IF(INDEX('Per Invoice'!P$2:P$801,$W96)="","",INDEX('Per Invoice'!P$2:P$801,$W96)))</f>
        <v/>
      </c>
      <c r="Q96" s="7">
        <f>IF($W96="","",IF(INDEX('Per Invoice'!Q$2:Q$801,$W96)="","",INDEX('Per Invoice'!Q$2:Q$801,$W96)))</f>
        <v/>
      </c>
      <c r="R96" s="7">
        <f>IF($W96="","",IF(INDEX('Per Invoice'!R$2:R$801,$W96)="","",INDEX('Per Invoice'!R$2:R$801,$W96)))</f>
        <v/>
      </c>
      <c r="S96" s="7">
        <f>IF($W96="","",IF(INDEX('Per Invoice'!S$2:S$801,$W96)="","",INDEX('Per Invoice'!S$2:S$801,$W96)))</f>
        <v/>
      </c>
      <c r="T96" s="7">
        <f>IF($W96="","",IF(INDEX('Per Invoice'!T$2:T$801,$W96)="","",INDEX('Per Invoice'!T$2:T$801,$W96)))</f>
        <v/>
      </c>
      <c r="U96" s="7">
        <f>IF($W96="","",IF(INDEX('Per Invoice'!U$2:U$801,$W96)="","",INDEX('Per Invoice'!U$2:U$801,$W96)))</f>
        <v/>
      </c>
      <c r="V96" s="7">
        <f>IF($W96="","",IF(INDEX('Per Invoice'!V$2:V$801,$W96)="","",INDEX('Per Invoice'!V$2:V$801,$W96)))</f>
        <v/>
      </c>
      <c r="W96" s="16">
        <f>IFERROR(MATCH(Settings!$C$29&amp;"|"&amp;ROWS($W$2:$W96),'Per Invoice'!$X$2:$X$801,0),"")</f>
        <v/>
      </c>
    </row>
    <row r="97">
      <c r="A97">
        <f>IF($W97="","",IF(INDEX('Per Invoice'!A$2:A$801,$W97)="","",INDEX('Per Invoice'!A$2:A$801,$W97)))</f>
        <v/>
      </c>
      <c r="B97">
        <f>IF($W97="","",IF(INDEX('Per Invoice'!B$2:B$801,$W97)="","",INDEX('Per Invoice'!B$2:B$801,$W97)))</f>
        <v/>
      </c>
      <c r="C97">
        <f>IF($W97="","",IF(INDEX('Per Invoice'!C$2:C$801,$W97)="","",INDEX('Per Invoice'!C$2:C$801,$W97)))</f>
        <v/>
      </c>
      <c r="D97">
        <f>IF($W97="","",IF(INDEX('Per Invoice'!D$2:D$801,$W97)="","",INDEX('Per Invoice'!D$2:D$801,$W97)))</f>
        <v/>
      </c>
      <c r="E97">
        <f>IF($W97="","",IF(INDEX('Per Invoice'!E$2:E$801,$W97)="","",INDEX('Per Invoice'!E$2:E$801,$W97)))</f>
        <v/>
      </c>
      <c r="F97">
        <f>IF($W97="","",IF(INDEX('Per Invoice'!F$2:F$801,$W97)="","",INDEX('Per Invoice'!F$2:F$801,$W97)))</f>
        <v/>
      </c>
      <c r="G97">
        <f>IF($W97="","",IF(INDEX('Per Invoice'!G$2:G$801,$W97)="","",INDEX('Per Invoice'!G$2:G$801,$W97)))</f>
        <v/>
      </c>
      <c r="H97">
        <f>IF($W97="","",IF(INDEX('Per Invoice'!H$2:H$801,$W97)="","",INDEX('Per Invoice'!H$2:H$801,$W97)))</f>
        <v/>
      </c>
      <c r="I97">
        <f>IF($W97="","",IF(INDEX('Per Invoice'!I$2:I$801,$W97)="","",INDEX('Per Invoice'!I$2:I$801,$W97)))</f>
        <v/>
      </c>
      <c r="J97">
        <f>IF($W97="","",IF(INDEX('Per Invoice'!J$2:J$801,$W97)="","",INDEX('Per Invoice'!J$2:J$801,$W97)))</f>
        <v/>
      </c>
      <c r="K97" s="7">
        <f>IF($W97="","",IF(INDEX('Per Invoice'!K$2:K$801,$W97)="","",INDEX('Per Invoice'!K$2:K$801,$W97)))</f>
        <v/>
      </c>
      <c r="L97" s="14">
        <f>IF($W97="","",IF(INDEX('Per Invoice'!L$2:L$801,$W97)="","",INDEX('Per Invoice'!L$2:L$801,$W97)))</f>
        <v/>
      </c>
      <c r="M97">
        <f>IF($W97="","",IF(INDEX('Per Invoice'!M$2:M$801,$W97)="","",INDEX('Per Invoice'!M$2:M$801,$W97)))</f>
        <v/>
      </c>
      <c r="N97" s="7">
        <f>IF($W97="","",IF(INDEX('Per Invoice'!N$2:N$801,$W97)="","",INDEX('Per Invoice'!N$2:N$801,$W97)))</f>
        <v/>
      </c>
      <c r="O97" s="7">
        <f>IF($W97="","",IF(INDEX('Per Invoice'!O$2:O$801,$W97)="","",INDEX('Per Invoice'!O$2:O$801,$W97)))</f>
        <v/>
      </c>
      <c r="P97">
        <f>IF($W97="","",IF(INDEX('Per Invoice'!P$2:P$801,$W97)="","",INDEX('Per Invoice'!P$2:P$801,$W97)))</f>
        <v/>
      </c>
      <c r="Q97" s="7">
        <f>IF($W97="","",IF(INDEX('Per Invoice'!Q$2:Q$801,$W97)="","",INDEX('Per Invoice'!Q$2:Q$801,$W97)))</f>
        <v/>
      </c>
      <c r="R97" s="7">
        <f>IF($W97="","",IF(INDEX('Per Invoice'!R$2:R$801,$W97)="","",INDEX('Per Invoice'!R$2:R$801,$W97)))</f>
        <v/>
      </c>
      <c r="S97" s="7">
        <f>IF($W97="","",IF(INDEX('Per Invoice'!S$2:S$801,$W97)="","",INDEX('Per Invoice'!S$2:S$801,$W97)))</f>
        <v/>
      </c>
      <c r="T97" s="7">
        <f>IF($W97="","",IF(INDEX('Per Invoice'!T$2:T$801,$W97)="","",INDEX('Per Invoice'!T$2:T$801,$W97)))</f>
        <v/>
      </c>
      <c r="U97" s="7">
        <f>IF($W97="","",IF(INDEX('Per Invoice'!U$2:U$801,$W97)="","",INDEX('Per Invoice'!U$2:U$801,$W97)))</f>
        <v/>
      </c>
      <c r="V97" s="7">
        <f>IF($W97="","",IF(INDEX('Per Invoice'!V$2:V$801,$W97)="","",INDEX('Per Invoice'!V$2:V$801,$W97)))</f>
        <v/>
      </c>
      <c r="W97" s="16">
        <f>IFERROR(MATCH(Settings!$C$29&amp;"|"&amp;ROWS($W$2:$W97),'Per Invoice'!$X$2:$X$801,0),"")</f>
        <v/>
      </c>
    </row>
    <row r="98">
      <c r="A98">
        <f>IF($W98="","",IF(INDEX('Per Invoice'!A$2:A$801,$W98)="","",INDEX('Per Invoice'!A$2:A$801,$W98)))</f>
        <v/>
      </c>
      <c r="B98">
        <f>IF($W98="","",IF(INDEX('Per Invoice'!B$2:B$801,$W98)="","",INDEX('Per Invoice'!B$2:B$801,$W98)))</f>
        <v/>
      </c>
      <c r="C98">
        <f>IF($W98="","",IF(INDEX('Per Invoice'!C$2:C$801,$W98)="","",INDEX('Per Invoice'!C$2:C$801,$W98)))</f>
        <v/>
      </c>
      <c r="D98">
        <f>IF($W98="","",IF(INDEX('Per Invoice'!D$2:D$801,$W98)="","",INDEX('Per Invoice'!D$2:D$801,$W98)))</f>
        <v/>
      </c>
      <c r="E98">
        <f>IF($W98="","",IF(INDEX('Per Invoice'!E$2:E$801,$W98)="","",INDEX('Per Invoice'!E$2:E$801,$W98)))</f>
        <v/>
      </c>
      <c r="F98">
        <f>IF($W98="","",IF(INDEX('Per Invoice'!F$2:F$801,$W98)="","",INDEX('Per Invoice'!F$2:F$801,$W98)))</f>
        <v/>
      </c>
      <c r="G98">
        <f>IF($W98="","",IF(INDEX('Per Invoice'!G$2:G$801,$W98)="","",INDEX('Per Invoice'!G$2:G$801,$W98)))</f>
        <v/>
      </c>
      <c r="H98">
        <f>IF($W98="","",IF(INDEX('Per Invoice'!H$2:H$801,$W98)="","",INDEX('Per Invoice'!H$2:H$801,$W98)))</f>
        <v/>
      </c>
      <c r="I98">
        <f>IF($W98="","",IF(INDEX('Per Invoice'!I$2:I$801,$W98)="","",INDEX('Per Invoice'!I$2:I$801,$W98)))</f>
        <v/>
      </c>
      <c r="J98">
        <f>IF($W98="","",IF(INDEX('Per Invoice'!J$2:J$801,$W98)="","",INDEX('Per Invoice'!J$2:J$801,$W98)))</f>
        <v/>
      </c>
      <c r="K98" s="7">
        <f>IF($W98="","",IF(INDEX('Per Invoice'!K$2:K$801,$W98)="","",INDEX('Per Invoice'!K$2:K$801,$W98)))</f>
        <v/>
      </c>
      <c r="L98" s="14">
        <f>IF($W98="","",IF(INDEX('Per Invoice'!L$2:L$801,$W98)="","",INDEX('Per Invoice'!L$2:L$801,$W98)))</f>
        <v/>
      </c>
      <c r="M98">
        <f>IF($W98="","",IF(INDEX('Per Invoice'!M$2:M$801,$W98)="","",INDEX('Per Invoice'!M$2:M$801,$W98)))</f>
        <v/>
      </c>
      <c r="N98" s="7">
        <f>IF($W98="","",IF(INDEX('Per Invoice'!N$2:N$801,$W98)="","",INDEX('Per Invoice'!N$2:N$801,$W98)))</f>
        <v/>
      </c>
      <c r="O98" s="7">
        <f>IF($W98="","",IF(INDEX('Per Invoice'!O$2:O$801,$W98)="","",INDEX('Per Invoice'!O$2:O$801,$W98)))</f>
        <v/>
      </c>
      <c r="P98">
        <f>IF($W98="","",IF(INDEX('Per Invoice'!P$2:P$801,$W98)="","",INDEX('Per Invoice'!P$2:P$801,$W98)))</f>
        <v/>
      </c>
      <c r="Q98" s="7">
        <f>IF($W98="","",IF(INDEX('Per Invoice'!Q$2:Q$801,$W98)="","",INDEX('Per Invoice'!Q$2:Q$801,$W98)))</f>
        <v/>
      </c>
      <c r="R98" s="7">
        <f>IF($W98="","",IF(INDEX('Per Invoice'!R$2:R$801,$W98)="","",INDEX('Per Invoice'!R$2:R$801,$W98)))</f>
        <v/>
      </c>
      <c r="S98" s="7">
        <f>IF($W98="","",IF(INDEX('Per Invoice'!S$2:S$801,$W98)="","",INDEX('Per Invoice'!S$2:S$801,$W98)))</f>
        <v/>
      </c>
      <c r="T98" s="7">
        <f>IF($W98="","",IF(INDEX('Per Invoice'!T$2:T$801,$W98)="","",INDEX('Per Invoice'!T$2:T$801,$W98)))</f>
        <v/>
      </c>
      <c r="U98" s="7">
        <f>IF($W98="","",IF(INDEX('Per Invoice'!U$2:U$801,$W98)="","",INDEX('Per Invoice'!U$2:U$801,$W98)))</f>
        <v/>
      </c>
      <c r="V98" s="7">
        <f>IF($W98="","",IF(INDEX('Per Invoice'!V$2:V$801,$W98)="","",INDEX('Per Invoice'!V$2:V$801,$W98)))</f>
        <v/>
      </c>
      <c r="W98" s="16">
        <f>IFERROR(MATCH(Settings!$C$29&amp;"|"&amp;ROWS($W$2:$W98),'Per Invoice'!$X$2:$X$801,0),"")</f>
        <v/>
      </c>
    </row>
    <row r="99">
      <c r="A99">
        <f>IF($W99="","",IF(INDEX('Per Invoice'!A$2:A$801,$W99)="","",INDEX('Per Invoice'!A$2:A$801,$W99)))</f>
        <v/>
      </c>
      <c r="B99">
        <f>IF($W99="","",IF(INDEX('Per Invoice'!B$2:B$801,$W99)="","",INDEX('Per Invoice'!B$2:B$801,$W99)))</f>
        <v/>
      </c>
      <c r="C99">
        <f>IF($W99="","",IF(INDEX('Per Invoice'!C$2:C$801,$W99)="","",INDEX('Per Invoice'!C$2:C$801,$W99)))</f>
        <v/>
      </c>
      <c r="D99">
        <f>IF($W99="","",IF(INDEX('Per Invoice'!D$2:D$801,$W99)="","",INDEX('Per Invoice'!D$2:D$801,$W99)))</f>
        <v/>
      </c>
      <c r="E99">
        <f>IF($W99="","",IF(INDEX('Per Invoice'!E$2:E$801,$W99)="","",INDEX('Per Invoice'!E$2:E$801,$W99)))</f>
        <v/>
      </c>
      <c r="F99">
        <f>IF($W99="","",IF(INDEX('Per Invoice'!F$2:F$801,$W99)="","",INDEX('Per Invoice'!F$2:F$801,$W99)))</f>
        <v/>
      </c>
      <c r="G99">
        <f>IF($W99="","",IF(INDEX('Per Invoice'!G$2:G$801,$W99)="","",INDEX('Per Invoice'!G$2:G$801,$W99)))</f>
        <v/>
      </c>
      <c r="H99">
        <f>IF($W99="","",IF(INDEX('Per Invoice'!H$2:H$801,$W99)="","",INDEX('Per Invoice'!H$2:H$801,$W99)))</f>
        <v/>
      </c>
      <c r="I99">
        <f>IF($W99="","",IF(INDEX('Per Invoice'!I$2:I$801,$W99)="","",INDEX('Per Invoice'!I$2:I$801,$W99)))</f>
        <v/>
      </c>
      <c r="J99">
        <f>IF($W99="","",IF(INDEX('Per Invoice'!J$2:J$801,$W99)="","",INDEX('Per Invoice'!J$2:J$801,$W99)))</f>
        <v/>
      </c>
      <c r="K99" s="7">
        <f>IF($W99="","",IF(INDEX('Per Invoice'!K$2:K$801,$W99)="","",INDEX('Per Invoice'!K$2:K$801,$W99)))</f>
        <v/>
      </c>
      <c r="L99" s="14">
        <f>IF($W99="","",IF(INDEX('Per Invoice'!L$2:L$801,$W99)="","",INDEX('Per Invoice'!L$2:L$801,$W99)))</f>
        <v/>
      </c>
      <c r="M99">
        <f>IF($W99="","",IF(INDEX('Per Invoice'!M$2:M$801,$W99)="","",INDEX('Per Invoice'!M$2:M$801,$W99)))</f>
        <v/>
      </c>
      <c r="N99" s="7">
        <f>IF($W99="","",IF(INDEX('Per Invoice'!N$2:N$801,$W99)="","",INDEX('Per Invoice'!N$2:N$801,$W99)))</f>
        <v/>
      </c>
      <c r="O99" s="7">
        <f>IF($W99="","",IF(INDEX('Per Invoice'!O$2:O$801,$W99)="","",INDEX('Per Invoice'!O$2:O$801,$W99)))</f>
        <v/>
      </c>
      <c r="P99">
        <f>IF($W99="","",IF(INDEX('Per Invoice'!P$2:P$801,$W99)="","",INDEX('Per Invoice'!P$2:P$801,$W99)))</f>
        <v/>
      </c>
      <c r="Q99" s="7">
        <f>IF($W99="","",IF(INDEX('Per Invoice'!Q$2:Q$801,$W99)="","",INDEX('Per Invoice'!Q$2:Q$801,$W99)))</f>
        <v/>
      </c>
      <c r="R99" s="7">
        <f>IF($W99="","",IF(INDEX('Per Invoice'!R$2:R$801,$W99)="","",INDEX('Per Invoice'!R$2:R$801,$W99)))</f>
        <v/>
      </c>
      <c r="S99" s="7">
        <f>IF($W99="","",IF(INDEX('Per Invoice'!S$2:S$801,$W99)="","",INDEX('Per Invoice'!S$2:S$801,$W99)))</f>
        <v/>
      </c>
      <c r="T99" s="7">
        <f>IF($W99="","",IF(INDEX('Per Invoice'!T$2:T$801,$W99)="","",INDEX('Per Invoice'!T$2:T$801,$W99)))</f>
        <v/>
      </c>
      <c r="U99" s="7">
        <f>IF($W99="","",IF(INDEX('Per Invoice'!U$2:U$801,$W99)="","",INDEX('Per Invoice'!U$2:U$801,$W99)))</f>
        <v/>
      </c>
      <c r="V99" s="7">
        <f>IF($W99="","",IF(INDEX('Per Invoice'!V$2:V$801,$W99)="","",INDEX('Per Invoice'!V$2:V$801,$W99)))</f>
        <v/>
      </c>
      <c r="W99" s="16">
        <f>IFERROR(MATCH(Settings!$C$29&amp;"|"&amp;ROWS($W$2:$W99),'Per Invoice'!$X$2:$X$801,0),"")</f>
        <v/>
      </c>
    </row>
    <row r="100">
      <c r="A100">
        <f>IF($W100="","",IF(INDEX('Per Invoice'!A$2:A$801,$W100)="","",INDEX('Per Invoice'!A$2:A$801,$W100)))</f>
        <v/>
      </c>
      <c r="B100">
        <f>IF($W100="","",IF(INDEX('Per Invoice'!B$2:B$801,$W100)="","",INDEX('Per Invoice'!B$2:B$801,$W100)))</f>
        <v/>
      </c>
      <c r="C100">
        <f>IF($W100="","",IF(INDEX('Per Invoice'!C$2:C$801,$W100)="","",INDEX('Per Invoice'!C$2:C$801,$W100)))</f>
        <v/>
      </c>
      <c r="D100">
        <f>IF($W100="","",IF(INDEX('Per Invoice'!D$2:D$801,$W100)="","",INDEX('Per Invoice'!D$2:D$801,$W100)))</f>
        <v/>
      </c>
      <c r="E100">
        <f>IF($W100="","",IF(INDEX('Per Invoice'!E$2:E$801,$W100)="","",INDEX('Per Invoice'!E$2:E$801,$W100)))</f>
        <v/>
      </c>
      <c r="F100">
        <f>IF($W100="","",IF(INDEX('Per Invoice'!F$2:F$801,$W100)="","",INDEX('Per Invoice'!F$2:F$801,$W100)))</f>
        <v/>
      </c>
      <c r="G100">
        <f>IF($W100="","",IF(INDEX('Per Invoice'!G$2:G$801,$W100)="","",INDEX('Per Invoice'!G$2:G$801,$W100)))</f>
        <v/>
      </c>
      <c r="H100">
        <f>IF($W100="","",IF(INDEX('Per Invoice'!H$2:H$801,$W100)="","",INDEX('Per Invoice'!H$2:H$801,$W100)))</f>
        <v/>
      </c>
      <c r="I100">
        <f>IF($W100="","",IF(INDEX('Per Invoice'!I$2:I$801,$W100)="","",INDEX('Per Invoice'!I$2:I$801,$W100)))</f>
        <v/>
      </c>
      <c r="J100">
        <f>IF($W100="","",IF(INDEX('Per Invoice'!J$2:J$801,$W100)="","",INDEX('Per Invoice'!J$2:J$801,$W100)))</f>
        <v/>
      </c>
      <c r="K100" s="7">
        <f>IF($W100="","",IF(INDEX('Per Invoice'!K$2:K$801,$W100)="","",INDEX('Per Invoice'!K$2:K$801,$W100)))</f>
        <v/>
      </c>
      <c r="L100" s="14">
        <f>IF($W100="","",IF(INDEX('Per Invoice'!L$2:L$801,$W100)="","",INDEX('Per Invoice'!L$2:L$801,$W100)))</f>
        <v/>
      </c>
      <c r="M100">
        <f>IF($W100="","",IF(INDEX('Per Invoice'!M$2:M$801,$W100)="","",INDEX('Per Invoice'!M$2:M$801,$W100)))</f>
        <v/>
      </c>
      <c r="N100" s="7">
        <f>IF($W100="","",IF(INDEX('Per Invoice'!N$2:N$801,$W100)="","",INDEX('Per Invoice'!N$2:N$801,$W100)))</f>
        <v/>
      </c>
      <c r="O100" s="7">
        <f>IF($W100="","",IF(INDEX('Per Invoice'!O$2:O$801,$W100)="","",INDEX('Per Invoice'!O$2:O$801,$W100)))</f>
        <v/>
      </c>
      <c r="P100">
        <f>IF($W100="","",IF(INDEX('Per Invoice'!P$2:P$801,$W100)="","",INDEX('Per Invoice'!P$2:P$801,$W100)))</f>
        <v/>
      </c>
      <c r="Q100" s="7">
        <f>IF($W100="","",IF(INDEX('Per Invoice'!Q$2:Q$801,$W100)="","",INDEX('Per Invoice'!Q$2:Q$801,$W100)))</f>
        <v/>
      </c>
      <c r="R100" s="7">
        <f>IF($W100="","",IF(INDEX('Per Invoice'!R$2:R$801,$W100)="","",INDEX('Per Invoice'!R$2:R$801,$W100)))</f>
        <v/>
      </c>
      <c r="S100" s="7">
        <f>IF($W100="","",IF(INDEX('Per Invoice'!S$2:S$801,$W100)="","",INDEX('Per Invoice'!S$2:S$801,$W100)))</f>
        <v/>
      </c>
      <c r="T100" s="7">
        <f>IF($W100="","",IF(INDEX('Per Invoice'!T$2:T$801,$W100)="","",INDEX('Per Invoice'!T$2:T$801,$W100)))</f>
        <v/>
      </c>
      <c r="U100" s="7">
        <f>IF($W100="","",IF(INDEX('Per Invoice'!U$2:U$801,$W100)="","",INDEX('Per Invoice'!U$2:U$801,$W100)))</f>
        <v/>
      </c>
      <c r="V100" s="7">
        <f>IF($W100="","",IF(INDEX('Per Invoice'!V$2:V$801,$W100)="","",INDEX('Per Invoice'!V$2:V$801,$W100)))</f>
        <v/>
      </c>
      <c r="W100" s="16">
        <f>IFERROR(MATCH(Settings!$C$29&amp;"|"&amp;ROWS($W$2:$W100),'Per Invoice'!$X$2:$X$801,0),"")</f>
        <v/>
      </c>
    </row>
    <row r="101">
      <c r="A101">
        <f>IF($W101="","",IF(INDEX('Per Invoice'!A$2:A$801,$W101)="","",INDEX('Per Invoice'!A$2:A$801,$W101)))</f>
        <v/>
      </c>
      <c r="B101">
        <f>IF($W101="","",IF(INDEX('Per Invoice'!B$2:B$801,$W101)="","",INDEX('Per Invoice'!B$2:B$801,$W101)))</f>
        <v/>
      </c>
      <c r="C101">
        <f>IF($W101="","",IF(INDEX('Per Invoice'!C$2:C$801,$W101)="","",INDEX('Per Invoice'!C$2:C$801,$W101)))</f>
        <v/>
      </c>
      <c r="D101">
        <f>IF($W101="","",IF(INDEX('Per Invoice'!D$2:D$801,$W101)="","",INDEX('Per Invoice'!D$2:D$801,$W101)))</f>
        <v/>
      </c>
      <c r="E101">
        <f>IF($W101="","",IF(INDEX('Per Invoice'!E$2:E$801,$W101)="","",INDEX('Per Invoice'!E$2:E$801,$W101)))</f>
        <v/>
      </c>
      <c r="F101">
        <f>IF($W101="","",IF(INDEX('Per Invoice'!F$2:F$801,$W101)="","",INDEX('Per Invoice'!F$2:F$801,$W101)))</f>
        <v/>
      </c>
      <c r="G101">
        <f>IF($W101="","",IF(INDEX('Per Invoice'!G$2:G$801,$W101)="","",INDEX('Per Invoice'!G$2:G$801,$W101)))</f>
        <v/>
      </c>
      <c r="H101">
        <f>IF($W101="","",IF(INDEX('Per Invoice'!H$2:H$801,$W101)="","",INDEX('Per Invoice'!H$2:H$801,$W101)))</f>
        <v/>
      </c>
      <c r="I101">
        <f>IF($W101="","",IF(INDEX('Per Invoice'!I$2:I$801,$W101)="","",INDEX('Per Invoice'!I$2:I$801,$W101)))</f>
        <v/>
      </c>
      <c r="J101">
        <f>IF($W101="","",IF(INDEX('Per Invoice'!J$2:J$801,$W101)="","",INDEX('Per Invoice'!J$2:J$801,$W101)))</f>
        <v/>
      </c>
      <c r="K101" s="7">
        <f>IF($W101="","",IF(INDEX('Per Invoice'!K$2:K$801,$W101)="","",INDEX('Per Invoice'!K$2:K$801,$W101)))</f>
        <v/>
      </c>
      <c r="L101" s="14">
        <f>IF($W101="","",IF(INDEX('Per Invoice'!L$2:L$801,$W101)="","",INDEX('Per Invoice'!L$2:L$801,$W101)))</f>
        <v/>
      </c>
      <c r="M101">
        <f>IF($W101="","",IF(INDEX('Per Invoice'!M$2:M$801,$W101)="","",INDEX('Per Invoice'!M$2:M$801,$W101)))</f>
        <v/>
      </c>
      <c r="N101" s="7">
        <f>IF($W101="","",IF(INDEX('Per Invoice'!N$2:N$801,$W101)="","",INDEX('Per Invoice'!N$2:N$801,$W101)))</f>
        <v/>
      </c>
      <c r="O101" s="7">
        <f>IF($W101="","",IF(INDEX('Per Invoice'!O$2:O$801,$W101)="","",INDEX('Per Invoice'!O$2:O$801,$W101)))</f>
        <v/>
      </c>
      <c r="P101">
        <f>IF($W101="","",IF(INDEX('Per Invoice'!P$2:P$801,$W101)="","",INDEX('Per Invoice'!P$2:P$801,$W101)))</f>
        <v/>
      </c>
      <c r="Q101" s="7">
        <f>IF($W101="","",IF(INDEX('Per Invoice'!Q$2:Q$801,$W101)="","",INDEX('Per Invoice'!Q$2:Q$801,$W101)))</f>
        <v/>
      </c>
      <c r="R101" s="7">
        <f>IF($W101="","",IF(INDEX('Per Invoice'!R$2:R$801,$W101)="","",INDEX('Per Invoice'!R$2:R$801,$W101)))</f>
        <v/>
      </c>
      <c r="S101" s="7">
        <f>IF($W101="","",IF(INDEX('Per Invoice'!S$2:S$801,$W101)="","",INDEX('Per Invoice'!S$2:S$801,$W101)))</f>
        <v/>
      </c>
      <c r="T101" s="7">
        <f>IF($W101="","",IF(INDEX('Per Invoice'!T$2:T$801,$W101)="","",INDEX('Per Invoice'!T$2:T$801,$W101)))</f>
        <v/>
      </c>
      <c r="U101" s="7">
        <f>IF($W101="","",IF(INDEX('Per Invoice'!U$2:U$801,$W101)="","",INDEX('Per Invoice'!U$2:U$801,$W101)))</f>
        <v/>
      </c>
      <c r="V101" s="7">
        <f>IF($W101="","",IF(INDEX('Per Invoice'!V$2:V$801,$W101)="","",INDEX('Per Invoice'!V$2:V$801,$W101)))</f>
        <v/>
      </c>
      <c r="W101" s="16">
        <f>IFERROR(MATCH(Settings!$C$29&amp;"|"&amp;ROWS($W$2:$W101),'Per Invoice'!$X$2:$X$801,0),"")</f>
        <v/>
      </c>
    </row>
    <row r="102">
      <c r="A102">
        <f>IF($W102="","",IF(INDEX('Per Invoice'!A$2:A$801,$W102)="","",INDEX('Per Invoice'!A$2:A$801,$W102)))</f>
        <v/>
      </c>
      <c r="B102">
        <f>IF($W102="","",IF(INDEX('Per Invoice'!B$2:B$801,$W102)="","",INDEX('Per Invoice'!B$2:B$801,$W102)))</f>
        <v/>
      </c>
      <c r="C102">
        <f>IF($W102="","",IF(INDEX('Per Invoice'!C$2:C$801,$W102)="","",INDEX('Per Invoice'!C$2:C$801,$W102)))</f>
        <v/>
      </c>
      <c r="D102">
        <f>IF($W102="","",IF(INDEX('Per Invoice'!D$2:D$801,$W102)="","",INDEX('Per Invoice'!D$2:D$801,$W102)))</f>
        <v/>
      </c>
      <c r="E102">
        <f>IF($W102="","",IF(INDEX('Per Invoice'!E$2:E$801,$W102)="","",INDEX('Per Invoice'!E$2:E$801,$W102)))</f>
        <v/>
      </c>
      <c r="F102">
        <f>IF($W102="","",IF(INDEX('Per Invoice'!F$2:F$801,$W102)="","",INDEX('Per Invoice'!F$2:F$801,$W102)))</f>
        <v/>
      </c>
      <c r="G102">
        <f>IF($W102="","",IF(INDEX('Per Invoice'!G$2:G$801,$W102)="","",INDEX('Per Invoice'!G$2:G$801,$W102)))</f>
        <v/>
      </c>
      <c r="H102">
        <f>IF($W102="","",IF(INDEX('Per Invoice'!H$2:H$801,$W102)="","",INDEX('Per Invoice'!H$2:H$801,$W102)))</f>
        <v/>
      </c>
      <c r="I102">
        <f>IF($W102="","",IF(INDEX('Per Invoice'!I$2:I$801,$W102)="","",INDEX('Per Invoice'!I$2:I$801,$W102)))</f>
        <v/>
      </c>
      <c r="J102">
        <f>IF($W102="","",IF(INDEX('Per Invoice'!J$2:J$801,$W102)="","",INDEX('Per Invoice'!J$2:J$801,$W102)))</f>
        <v/>
      </c>
      <c r="K102" s="7">
        <f>IF($W102="","",IF(INDEX('Per Invoice'!K$2:K$801,$W102)="","",INDEX('Per Invoice'!K$2:K$801,$W102)))</f>
        <v/>
      </c>
      <c r="L102" s="14">
        <f>IF($W102="","",IF(INDEX('Per Invoice'!L$2:L$801,$W102)="","",INDEX('Per Invoice'!L$2:L$801,$W102)))</f>
        <v/>
      </c>
      <c r="M102">
        <f>IF($W102="","",IF(INDEX('Per Invoice'!M$2:M$801,$W102)="","",INDEX('Per Invoice'!M$2:M$801,$W102)))</f>
        <v/>
      </c>
      <c r="N102" s="7">
        <f>IF($W102="","",IF(INDEX('Per Invoice'!N$2:N$801,$W102)="","",INDEX('Per Invoice'!N$2:N$801,$W102)))</f>
        <v/>
      </c>
      <c r="O102" s="7">
        <f>IF($W102="","",IF(INDEX('Per Invoice'!O$2:O$801,$W102)="","",INDEX('Per Invoice'!O$2:O$801,$W102)))</f>
        <v/>
      </c>
      <c r="P102">
        <f>IF($W102="","",IF(INDEX('Per Invoice'!P$2:P$801,$W102)="","",INDEX('Per Invoice'!P$2:P$801,$W102)))</f>
        <v/>
      </c>
      <c r="Q102" s="7">
        <f>IF($W102="","",IF(INDEX('Per Invoice'!Q$2:Q$801,$W102)="","",INDEX('Per Invoice'!Q$2:Q$801,$W102)))</f>
        <v/>
      </c>
      <c r="R102" s="7">
        <f>IF($W102="","",IF(INDEX('Per Invoice'!R$2:R$801,$W102)="","",INDEX('Per Invoice'!R$2:R$801,$W102)))</f>
        <v/>
      </c>
      <c r="S102" s="7">
        <f>IF($W102="","",IF(INDEX('Per Invoice'!S$2:S$801,$W102)="","",INDEX('Per Invoice'!S$2:S$801,$W102)))</f>
        <v/>
      </c>
      <c r="T102" s="7">
        <f>IF($W102="","",IF(INDEX('Per Invoice'!T$2:T$801,$W102)="","",INDEX('Per Invoice'!T$2:T$801,$W102)))</f>
        <v/>
      </c>
      <c r="U102" s="7">
        <f>IF($W102="","",IF(INDEX('Per Invoice'!U$2:U$801,$W102)="","",INDEX('Per Invoice'!U$2:U$801,$W102)))</f>
        <v/>
      </c>
      <c r="V102" s="7">
        <f>IF($W102="","",IF(INDEX('Per Invoice'!V$2:V$801,$W102)="","",INDEX('Per Invoice'!V$2:V$801,$W102)))</f>
        <v/>
      </c>
      <c r="W102" s="16">
        <f>IFERROR(MATCH(Settings!$C$29&amp;"|"&amp;ROWS($W$2:$W102),'Per Invoice'!$X$2:$X$801,0),"")</f>
        <v/>
      </c>
    </row>
    <row r="103">
      <c r="A103">
        <f>IF($W103="","",IF(INDEX('Per Invoice'!A$2:A$801,$W103)="","",INDEX('Per Invoice'!A$2:A$801,$W103)))</f>
        <v/>
      </c>
      <c r="B103">
        <f>IF($W103="","",IF(INDEX('Per Invoice'!B$2:B$801,$W103)="","",INDEX('Per Invoice'!B$2:B$801,$W103)))</f>
        <v/>
      </c>
      <c r="C103">
        <f>IF($W103="","",IF(INDEX('Per Invoice'!C$2:C$801,$W103)="","",INDEX('Per Invoice'!C$2:C$801,$W103)))</f>
        <v/>
      </c>
      <c r="D103">
        <f>IF($W103="","",IF(INDEX('Per Invoice'!D$2:D$801,$W103)="","",INDEX('Per Invoice'!D$2:D$801,$W103)))</f>
        <v/>
      </c>
      <c r="E103">
        <f>IF($W103="","",IF(INDEX('Per Invoice'!E$2:E$801,$W103)="","",INDEX('Per Invoice'!E$2:E$801,$W103)))</f>
        <v/>
      </c>
      <c r="F103">
        <f>IF($W103="","",IF(INDEX('Per Invoice'!F$2:F$801,$W103)="","",INDEX('Per Invoice'!F$2:F$801,$W103)))</f>
        <v/>
      </c>
      <c r="G103">
        <f>IF($W103="","",IF(INDEX('Per Invoice'!G$2:G$801,$W103)="","",INDEX('Per Invoice'!G$2:G$801,$W103)))</f>
        <v/>
      </c>
      <c r="H103">
        <f>IF($W103="","",IF(INDEX('Per Invoice'!H$2:H$801,$W103)="","",INDEX('Per Invoice'!H$2:H$801,$W103)))</f>
        <v/>
      </c>
      <c r="I103">
        <f>IF($W103="","",IF(INDEX('Per Invoice'!I$2:I$801,$W103)="","",INDEX('Per Invoice'!I$2:I$801,$W103)))</f>
        <v/>
      </c>
      <c r="J103">
        <f>IF($W103="","",IF(INDEX('Per Invoice'!J$2:J$801,$W103)="","",INDEX('Per Invoice'!J$2:J$801,$W103)))</f>
        <v/>
      </c>
      <c r="K103" s="7">
        <f>IF($W103="","",IF(INDEX('Per Invoice'!K$2:K$801,$W103)="","",INDEX('Per Invoice'!K$2:K$801,$W103)))</f>
        <v/>
      </c>
      <c r="L103" s="14">
        <f>IF($W103="","",IF(INDEX('Per Invoice'!L$2:L$801,$W103)="","",INDEX('Per Invoice'!L$2:L$801,$W103)))</f>
        <v/>
      </c>
      <c r="M103">
        <f>IF($W103="","",IF(INDEX('Per Invoice'!M$2:M$801,$W103)="","",INDEX('Per Invoice'!M$2:M$801,$W103)))</f>
        <v/>
      </c>
      <c r="N103" s="7">
        <f>IF($W103="","",IF(INDEX('Per Invoice'!N$2:N$801,$W103)="","",INDEX('Per Invoice'!N$2:N$801,$W103)))</f>
        <v/>
      </c>
      <c r="O103" s="7">
        <f>IF($W103="","",IF(INDEX('Per Invoice'!O$2:O$801,$W103)="","",INDEX('Per Invoice'!O$2:O$801,$W103)))</f>
        <v/>
      </c>
      <c r="P103">
        <f>IF($W103="","",IF(INDEX('Per Invoice'!P$2:P$801,$W103)="","",INDEX('Per Invoice'!P$2:P$801,$W103)))</f>
        <v/>
      </c>
      <c r="Q103" s="7">
        <f>IF($W103="","",IF(INDEX('Per Invoice'!Q$2:Q$801,$W103)="","",INDEX('Per Invoice'!Q$2:Q$801,$W103)))</f>
        <v/>
      </c>
      <c r="R103" s="7">
        <f>IF($W103="","",IF(INDEX('Per Invoice'!R$2:R$801,$W103)="","",INDEX('Per Invoice'!R$2:R$801,$W103)))</f>
        <v/>
      </c>
      <c r="S103" s="7">
        <f>IF($W103="","",IF(INDEX('Per Invoice'!S$2:S$801,$W103)="","",INDEX('Per Invoice'!S$2:S$801,$W103)))</f>
        <v/>
      </c>
      <c r="T103" s="7">
        <f>IF($W103="","",IF(INDEX('Per Invoice'!T$2:T$801,$W103)="","",INDEX('Per Invoice'!T$2:T$801,$W103)))</f>
        <v/>
      </c>
      <c r="U103" s="7">
        <f>IF($W103="","",IF(INDEX('Per Invoice'!U$2:U$801,$W103)="","",INDEX('Per Invoice'!U$2:U$801,$W103)))</f>
        <v/>
      </c>
      <c r="V103" s="7">
        <f>IF($W103="","",IF(INDEX('Per Invoice'!V$2:V$801,$W103)="","",INDEX('Per Invoice'!V$2:V$801,$W103)))</f>
        <v/>
      </c>
      <c r="W103" s="16">
        <f>IFERROR(MATCH(Settings!$C$29&amp;"|"&amp;ROWS($W$2:$W103),'Per Invoice'!$X$2:$X$801,0),"")</f>
        <v/>
      </c>
    </row>
    <row r="104">
      <c r="A104">
        <f>IF($W104="","",IF(INDEX('Per Invoice'!A$2:A$801,$W104)="","",INDEX('Per Invoice'!A$2:A$801,$W104)))</f>
        <v/>
      </c>
      <c r="B104">
        <f>IF($W104="","",IF(INDEX('Per Invoice'!B$2:B$801,$W104)="","",INDEX('Per Invoice'!B$2:B$801,$W104)))</f>
        <v/>
      </c>
      <c r="C104">
        <f>IF($W104="","",IF(INDEX('Per Invoice'!C$2:C$801,$W104)="","",INDEX('Per Invoice'!C$2:C$801,$W104)))</f>
        <v/>
      </c>
      <c r="D104">
        <f>IF($W104="","",IF(INDEX('Per Invoice'!D$2:D$801,$W104)="","",INDEX('Per Invoice'!D$2:D$801,$W104)))</f>
        <v/>
      </c>
      <c r="E104">
        <f>IF($W104="","",IF(INDEX('Per Invoice'!E$2:E$801,$W104)="","",INDEX('Per Invoice'!E$2:E$801,$W104)))</f>
        <v/>
      </c>
      <c r="F104">
        <f>IF($W104="","",IF(INDEX('Per Invoice'!F$2:F$801,$W104)="","",INDEX('Per Invoice'!F$2:F$801,$W104)))</f>
        <v/>
      </c>
      <c r="G104">
        <f>IF($W104="","",IF(INDEX('Per Invoice'!G$2:G$801,$W104)="","",INDEX('Per Invoice'!G$2:G$801,$W104)))</f>
        <v/>
      </c>
      <c r="H104">
        <f>IF($W104="","",IF(INDEX('Per Invoice'!H$2:H$801,$W104)="","",INDEX('Per Invoice'!H$2:H$801,$W104)))</f>
        <v/>
      </c>
      <c r="I104">
        <f>IF($W104="","",IF(INDEX('Per Invoice'!I$2:I$801,$W104)="","",INDEX('Per Invoice'!I$2:I$801,$W104)))</f>
        <v/>
      </c>
      <c r="J104">
        <f>IF($W104="","",IF(INDEX('Per Invoice'!J$2:J$801,$W104)="","",INDEX('Per Invoice'!J$2:J$801,$W104)))</f>
        <v/>
      </c>
      <c r="K104" s="7">
        <f>IF($W104="","",IF(INDEX('Per Invoice'!K$2:K$801,$W104)="","",INDEX('Per Invoice'!K$2:K$801,$W104)))</f>
        <v/>
      </c>
      <c r="L104" s="14">
        <f>IF($W104="","",IF(INDEX('Per Invoice'!L$2:L$801,$W104)="","",INDEX('Per Invoice'!L$2:L$801,$W104)))</f>
        <v/>
      </c>
      <c r="M104">
        <f>IF($W104="","",IF(INDEX('Per Invoice'!M$2:M$801,$W104)="","",INDEX('Per Invoice'!M$2:M$801,$W104)))</f>
        <v/>
      </c>
      <c r="N104" s="7">
        <f>IF($W104="","",IF(INDEX('Per Invoice'!N$2:N$801,$W104)="","",INDEX('Per Invoice'!N$2:N$801,$W104)))</f>
        <v/>
      </c>
      <c r="O104" s="7">
        <f>IF($W104="","",IF(INDEX('Per Invoice'!O$2:O$801,$W104)="","",INDEX('Per Invoice'!O$2:O$801,$W104)))</f>
        <v/>
      </c>
      <c r="P104">
        <f>IF($W104="","",IF(INDEX('Per Invoice'!P$2:P$801,$W104)="","",INDEX('Per Invoice'!P$2:P$801,$W104)))</f>
        <v/>
      </c>
      <c r="Q104" s="7">
        <f>IF($W104="","",IF(INDEX('Per Invoice'!Q$2:Q$801,$W104)="","",INDEX('Per Invoice'!Q$2:Q$801,$W104)))</f>
        <v/>
      </c>
      <c r="R104" s="7">
        <f>IF($W104="","",IF(INDEX('Per Invoice'!R$2:R$801,$W104)="","",INDEX('Per Invoice'!R$2:R$801,$W104)))</f>
        <v/>
      </c>
      <c r="S104" s="7">
        <f>IF($W104="","",IF(INDEX('Per Invoice'!S$2:S$801,$W104)="","",INDEX('Per Invoice'!S$2:S$801,$W104)))</f>
        <v/>
      </c>
      <c r="T104" s="7">
        <f>IF($W104="","",IF(INDEX('Per Invoice'!T$2:T$801,$W104)="","",INDEX('Per Invoice'!T$2:T$801,$W104)))</f>
        <v/>
      </c>
      <c r="U104" s="7">
        <f>IF($W104="","",IF(INDEX('Per Invoice'!U$2:U$801,$W104)="","",INDEX('Per Invoice'!U$2:U$801,$W104)))</f>
        <v/>
      </c>
      <c r="V104" s="7">
        <f>IF($W104="","",IF(INDEX('Per Invoice'!V$2:V$801,$W104)="","",INDEX('Per Invoice'!V$2:V$801,$W104)))</f>
        <v/>
      </c>
      <c r="W104" s="16">
        <f>IFERROR(MATCH(Settings!$C$29&amp;"|"&amp;ROWS($W$2:$W104),'Per Invoice'!$X$2:$X$801,0),"")</f>
        <v/>
      </c>
    </row>
    <row r="105">
      <c r="A105">
        <f>IF($W105="","",IF(INDEX('Per Invoice'!A$2:A$801,$W105)="","",INDEX('Per Invoice'!A$2:A$801,$W105)))</f>
        <v/>
      </c>
      <c r="B105">
        <f>IF($W105="","",IF(INDEX('Per Invoice'!B$2:B$801,$W105)="","",INDEX('Per Invoice'!B$2:B$801,$W105)))</f>
        <v/>
      </c>
      <c r="C105">
        <f>IF($W105="","",IF(INDEX('Per Invoice'!C$2:C$801,$W105)="","",INDEX('Per Invoice'!C$2:C$801,$W105)))</f>
        <v/>
      </c>
      <c r="D105">
        <f>IF($W105="","",IF(INDEX('Per Invoice'!D$2:D$801,$W105)="","",INDEX('Per Invoice'!D$2:D$801,$W105)))</f>
        <v/>
      </c>
      <c r="E105">
        <f>IF($W105="","",IF(INDEX('Per Invoice'!E$2:E$801,$W105)="","",INDEX('Per Invoice'!E$2:E$801,$W105)))</f>
        <v/>
      </c>
      <c r="F105">
        <f>IF($W105="","",IF(INDEX('Per Invoice'!F$2:F$801,$W105)="","",INDEX('Per Invoice'!F$2:F$801,$W105)))</f>
        <v/>
      </c>
      <c r="G105">
        <f>IF($W105="","",IF(INDEX('Per Invoice'!G$2:G$801,$W105)="","",INDEX('Per Invoice'!G$2:G$801,$W105)))</f>
        <v/>
      </c>
      <c r="H105">
        <f>IF($W105="","",IF(INDEX('Per Invoice'!H$2:H$801,$W105)="","",INDEX('Per Invoice'!H$2:H$801,$W105)))</f>
        <v/>
      </c>
      <c r="I105">
        <f>IF($W105="","",IF(INDEX('Per Invoice'!I$2:I$801,$W105)="","",INDEX('Per Invoice'!I$2:I$801,$W105)))</f>
        <v/>
      </c>
      <c r="J105">
        <f>IF($W105="","",IF(INDEX('Per Invoice'!J$2:J$801,$W105)="","",INDEX('Per Invoice'!J$2:J$801,$W105)))</f>
        <v/>
      </c>
      <c r="K105" s="7">
        <f>IF($W105="","",IF(INDEX('Per Invoice'!K$2:K$801,$W105)="","",INDEX('Per Invoice'!K$2:K$801,$W105)))</f>
        <v/>
      </c>
      <c r="L105" s="14">
        <f>IF($W105="","",IF(INDEX('Per Invoice'!L$2:L$801,$W105)="","",INDEX('Per Invoice'!L$2:L$801,$W105)))</f>
        <v/>
      </c>
      <c r="M105">
        <f>IF($W105="","",IF(INDEX('Per Invoice'!M$2:M$801,$W105)="","",INDEX('Per Invoice'!M$2:M$801,$W105)))</f>
        <v/>
      </c>
      <c r="N105" s="7">
        <f>IF($W105="","",IF(INDEX('Per Invoice'!N$2:N$801,$W105)="","",INDEX('Per Invoice'!N$2:N$801,$W105)))</f>
        <v/>
      </c>
      <c r="O105" s="7">
        <f>IF($W105="","",IF(INDEX('Per Invoice'!O$2:O$801,$W105)="","",INDEX('Per Invoice'!O$2:O$801,$W105)))</f>
        <v/>
      </c>
      <c r="P105">
        <f>IF($W105="","",IF(INDEX('Per Invoice'!P$2:P$801,$W105)="","",INDEX('Per Invoice'!P$2:P$801,$W105)))</f>
        <v/>
      </c>
      <c r="Q105" s="7">
        <f>IF($W105="","",IF(INDEX('Per Invoice'!Q$2:Q$801,$W105)="","",INDEX('Per Invoice'!Q$2:Q$801,$W105)))</f>
        <v/>
      </c>
      <c r="R105" s="7">
        <f>IF($W105="","",IF(INDEX('Per Invoice'!R$2:R$801,$W105)="","",INDEX('Per Invoice'!R$2:R$801,$W105)))</f>
        <v/>
      </c>
      <c r="S105" s="7">
        <f>IF($W105="","",IF(INDEX('Per Invoice'!S$2:S$801,$W105)="","",INDEX('Per Invoice'!S$2:S$801,$W105)))</f>
        <v/>
      </c>
      <c r="T105" s="7">
        <f>IF($W105="","",IF(INDEX('Per Invoice'!T$2:T$801,$W105)="","",INDEX('Per Invoice'!T$2:T$801,$W105)))</f>
        <v/>
      </c>
      <c r="U105" s="7">
        <f>IF($W105="","",IF(INDEX('Per Invoice'!U$2:U$801,$W105)="","",INDEX('Per Invoice'!U$2:U$801,$W105)))</f>
        <v/>
      </c>
      <c r="V105" s="7">
        <f>IF($W105="","",IF(INDEX('Per Invoice'!V$2:V$801,$W105)="","",INDEX('Per Invoice'!V$2:V$801,$W105)))</f>
        <v/>
      </c>
      <c r="W105" s="16">
        <f>IFERROR(MATCH(Settings!$C$29&amp;"|"&amp;ROWS($W$2:$W105),'Per Invoice'!$X$2:$X$801,0),"")</f>
        <v/>
      </c>
    </row>
    <row r="106">
      <c r="A106">
        <f>IF($W106="","",IF(INDEX('Per Invoice'!A$2:A$801,$W106)="","",INDEX('Per Invoice'!A$2:A$801,$W106)))</f>
        <v/>
      </c>
      <c r="B106">
        <f>IF($W106="","",IF(INDEX('Per Invoice'!B$2:B$801,$W106)="","",INDEX('Per Invoice'!B$2:B$801,$W106)))</f>
        <v/>
      </c>
      <c r="C106">
        <f>IF($W106="","",IF(INDEX('Per Invoice'!C$2:C$801,$W106)="","",INDEX('Per Invoice'!C$2:C$801,$W106)))</f>
        <v/>
      </c>
      <c r="D106">
        <f>IF($W106="","",IF(INDEX('Per Invoice'!D$2:D$801,$W106)="","",INDEX('Per Invoice'!D$2:D$801,$W106)))</f>
        <v/>
      </c>
      <c r="E106">
        <f>IF($W106="","",IF(INDEX('Per Invoice'!E$2:E$801,$W106)="","",INDEX('Per Invoice'!E$2:E$801,$W106)))</f>
        <v/>
      </c>
      <c r="F106">
        <f>IF($W106="","",IF(INDEX('Per Invoice'!F$2:F$801,$W106)="","",INDEX('Per Invoice'!F$2:F$801,$W106)))</f>
        <v/>
      </c>
      <c r="G106">
        <f>IF($W106="","",IF(INDEX('Per Invoice'!G$2:G$801,$W106)="","",INDEX('Per Invoice'!G$2:G$801,$W106)))</f>
        <v/>
      </c>
      <c r="H106">
        <f>IF($W106="","",IF(INDEX('Per Invoice'!H$2:H$801,$W106)="","",INDEX('Per Invoice'!H$2:H$801,$W106)))</f>
        <v/>
      </c>
      <c r="I106">
        <f>IF($W106="","",IF(INDEX('Per Invoice'!I$2:I$801,$W106)="","",INDEX('Per Invoice'!I$2:I$801,$W106)))</f>
        <v/>
      </c>
      <c r="J106">
        <f>IF($W106="","",IF(INDEX('Per Invoice'!J$2:J$801,$W106)="","",INDEX('Per Invoice'!J$2:J$801,$W106)))</f>
        <v/>
      </c>
      <c r="K106" s="7">
        <f>IF($W106="","",IF(INDEX('Per Invoice'!K$2:K$801,$W106)="","",INDEX('Per Invoice'!K$2:K$801,$W106)))</f>
        <v/>
      </c>
      <c r="L106" s="14">
        <f>IF($W106="","",IF(INDEX('Per Invoice'!L$2:L$801,$W106)="","",INDEX('Per Invoice'!L$2:L$801,$W106)))</f>
        <v/>
      </c>
      <c r="M106">
        <f>IF($W106="","",IF(INDEX('Per Invoice'!M$2:M$801,$W106)="","",INDEX('Per Invoice'!M$2:M$801,$W106)))</f>
        <v/>
      </c>
      <c r="N106" s="7">
        <f>IF($W106="","",IF(INDEX('Per Invoice'!N$2:N$801,$W106)="","",INDEX('Per Invoice'!N$2:N$801,$W106)))</f>
        <v/>
      </c>
      <c r="O106" s="7">
        <f>IF($W106="","",IF(INDEX('Per Invoice'!O$2:O$801,$W106)="","",INDEX('Per Invoice'!O$2:O$801,$W106)))</f>
        <v/>
      </c>
      <c r="P106">
        <f>IF($W106="","",IF(INDEX('Per Invoice'!P$2:P$801,$W106)="","",INDEX('Per Invoice'!P$2:P$801,$W106)))</f>
        <v/>
      </c>
      <c r="Q106" s="7">
        <f>IF($W106="","",IF(INDEX('Per Invoice'!Q$2:Q$801,$W106)="","",INDEX('Per Invoice'!Q$2:Q$801,$W106)))</f>
        <v/>
      </c>
      <c r="R106" s="7">
        <f>IF($W106="","",IF(INDEX('Per Invoice'!R$2:R$801,$W106)="","",INDEX('Per Invoice'!R$2:R$801,$W106)))</f>
        <v/>
      </c>
      <c r="S106" s="7">
        <f>IF($W106="","",IF(INDEX('Per Invoice'!S$2:S$801,$W106)="","",INDEX('Per Invoice'!S$2:S$801,$W106)))</f>
        <v/>
      </c>
      <c r="T106" s="7">
        <f>IF($W106="","",IF(INDEX('Per Invoice'!T$2:T$801,$W106)="","",INDEX('Per Invoice'!T$2:T$801,$W106)))</f>
        <v/>
      </c>
      <c r="U106" s="7">
        <f>IF($W106="","",IF(INDEX('Per Invoice'!U$2:U$801,$W106)="","",INDEX('Per Invoice'!U$2:U$801,$W106)))</f>
        <v/>
      </c>
      <c r="V106" s="7">
        <f>IF($W106="","",IF(INDEX('Per Invoice'!V$2:V$801,$W106)="","",INDEX('Per Invoice'!V$2:V$801,$W106)))</f>
        <v/>
      </c>
      <c r="W106" s="16">
        <f>IFERROR(MATCH(Settings!$C$29&amp;"|"&amp;ROWS($W$2:$W106),'Per Invoice'!$X$2:$X$801,0),"")</f>
        <v/>
      </c>
    </row>
    <row r="107">
      <c r="A107">
        <f>IF($W107="","",IF(INDEX('Per Invoice'!A$2:A$801,$W107)="","",INDEX('Per Invoice'!A$2:A$801,$W107)))</f>
        <v/>
      </c>
      <c r="B107">
        <f>IF($W107="","",IF(INDEX('Per Invoice'!B$2:B$801,$W107)="","",INDEX('Per Invoice'!B$2:B$801,$W107)))</f>
        <v/>
      </c>
      <c r="C107">
        <f>IF($W107="","",IF(INDEX('Per Invoice'!C$2:C$801,$W107)="","",INDEX('Per Invoice'!C$2:C$801,$W107)))</f>
        <v/>
      </c>
      <c r="D107">
        <f>IF($W107="","",IF(INDEX('Per Invoice'!D$2:D$801,$W107)="","",INDEX('Per Invoice'!D$2:D$801,$W107)))</f>
        <v/>
      </c>
      <c r="E107">
        <f>IF($W107="","",IF(INDEX('Per Invoice'!E$2:E$801,$W107)="","",INDEX('Per Invoice'!E$2:E$801,$W107)))</f>
        <v/>
      </c>
      <c r="F107">
        <f>IF($W107="","",IF(INDEX('Per Invoice'!F$2:F$801,$W107)="","",INDEX('Per Invoice'!F$2:F$801,$W107)))</f>
        <v/>
      </c>
      <c r="G107">
        <f>IF($W107="","",IF(INDEX('Per Invoice'!G$2:G$801,$W107)="","",INDEX('Per Invoice'!G$2:G$801,$W107)))</f>
        <v/>
      </c>
      <c r="H107">
        <f>IF($W107="","",IF(INDEX('Per Invoice'!H$2:H$801,$W107)="","",INDEX('Per Invoice'!H$2:H$801,$W107)))</f>
        <v/>
      </c>
      <c r="I107">
        <f>IF($W107="","",IF(INDEX('Per Invoice'!I$2:I$801,$W107)="","",INDEX('Per Invoice'!I$2:I$801,$W107)))</f>
        <v/>
      </c>
      <c r="J107">
        <f>IF($W107="","",IF(INDEX('Per Invoice'!J$2:J$801,$W107)="","",INDEX('Per Invoice'!J$2:J$801,$W107)))</f>
        <v/>
      </c>
      <c r="K107" s="7">
        <f>IF($W107="","",IF(INDEX('Per Invoice'!K$2:K$801,$W107)="","",INDEX('Per Invoice'!K$2:K$801,$W107)))</f>
        <v/>
      </c>
      <c r="L107" s="14">
        <f>IF($W107="","",IF(INDEX('Per Invoice'!L$2:L$801,$W107)="","",INDEX('Per Invoice'!L$2:L$801,$W107)))</f>
        <v/>
      </c>
      <c r="M107">
        <f>IF($W107="","",IF(INDEX('Per Invoice'!M$2:M$801,$W107)="","",INDEX('Per Invoice'!M$2:M$801,$W107)))</f>
        <v/>
      </c>
      <c r="N107" s="7">
        <f>IF($W107="","",IF(INDEX('Per Invoice'!N$2:N$801,$W107)="","",INDEX('Per Invoice'!N$2:N$801,$W107)))</f>
        <v/>
      </c>
      <c r="O107" s="7">
        <f>IF($W107="","",IF(INDEX('Per Invoice'!O$2:O$801,$W107)="","",INDEX('Per Invoice'!O$2:O$801,$W107)))</f>
        <v/>
      </c>
      <c r="P107">
        <f>IF($W107="","",IF(INDEX('Per Invoice'!P$2:P$801,$W107)="","",INDEX('Per Invoice'!P$2:P$801,$W107)))</f>
        <v/>
      </c>
      <c r="Q107" s="7">
        <f>IF($W107="","",IF(INDEX('Per Invoice'!Q$2:Q$801,$W107)="","",INDEX('Per Invoice'!Q$2:Q$801,$W107)))</f>
        <v/>
      </c>
      <c r="R107" s="7">
        <f>IF($W107="","",IF(INDEX('Per Invoice'!R$2:R$801,$W107)="","",INDEX('Per Invoice'!R$2:R$801,$W107)))</f>
        <v/>
      </c>
      <c r="S107" s="7">
        <f>IF($W107="","",IF(INDEX('Per Invoice'!S$2:S$801,$W107)="","",INDEX('Per Invoice'!S$2:S$801,$W107)))</f>
        <v/>
      </c>
      <c r="T107" s="7">
        <f>IF($W107="","",IF(INDEX('Per Invoice'!T$2:T$801,$W107)="","",INDEX('Per Invoice'!T$2:T$801,$W107)))</f>
        <v/>
      </c>
      <c r="U107" s="7">
        <f>IF($W107="","",IF(INDEX('Per Invoice'!U$2:U$801,$W107)="","",INDEX('Per Invoice'!U$2:U$801,$W107)))</f>
        <v/>
      </c>
      <c r="V107" s="7">
        <f>IF($W107="","",IF(INDEX('Per Invoice'!V$2:V$801,$W107)="","",INDEX('Per Invoice'!V$2:V$801,$W107)))</f>
        <v/>
      </c>
      <c r="W107" s="16">
        <f>IFERROR(MATCH(Settings!$C$29&amp;"|"&amp;ROWS($W$2:$W107),'Per Invoice'!$X$2:$X$801,0),"")</f>
        <v/>
      </c>
    </row>
    <row r="108">
      <c r="A108">
        <f>IF($W108="","",IF(INDEX('Per Invoice'!A$2:A$801,$W108)="","",INDEX('Per Invoice'!A$2:A$801,$W108)))</f>
        <v/>
      </c>
      <c r="B108">
        <f>IF($W108="","",IF(INDEX('Per Invoice'!B$2:B$801,$W108)="","",INDEX('Per Invoice'!B$2:B$801,$W108)))</f>
        <v/>
      </c>
      <c r="C108">
        <f>IF($W108="","",IF(INDEX('Per Invoice'!C$2:C$801,$W108)="","",INDEX('Per Invoice'!C$2:C$801,$W108)))</f>
        <v/>
      </c>
      <c r="D108">
        <f>IF($W108="","",IF(INDEX('Per Invoice'!D$2:D$801,$W108)="","",INDEX('Per Invoice'!D$2:D$801,$W108)))</f>
        <v/>
      </c>
      <c r="E108">
        <f>IF($W108="","",IF(INDEX('Per Invoice'!E$2:E$801,$W108)="","",INDEX('Per Invoice'!E$2:E$801,$W108)))</f>
        <v/>
      </c>
      <c r="F108">
        <f>IF($W108="","",IF(INDEX('Per Invoice'!F$2:F$801,$W108)="","",INDEX('Per Invoice'!F$2:F$801,$W108)))</f>
        <v/>
      </c>
      <c r="G108">
        <f>IF($W108="","",IF(INDEX('Per Invoice'!G$2:G$801,$W108)="","",INDEX('Per Invoice'!G$2:G$801,$W108)))</f>
        <v/>
      </c>
      <c r="H108">
        <f>IF($W108="","",IF(INDEX('Per Invoice'!H$2:H$801,$W108)="","",INDEX('Per Invoice'!H$2:H$801,$W108)))</f>
        <v/>
      </c>
      <c r="I108">
        <f>IF($W108="","",IF(INDEX('Per Invoice'!I$2:I$801,$W108)="","",INDEX('Per Invoice'!I$2:I$801,$W108)))</f>
        <v/>
      </c>
      <c r="J108">
        <f>IF($W108="","",IF(INDEX('Per Invoice'!J$2:J$801,$W108)="","",INDEX('Per Invoice'!J$2:J$801,$W108)))</f>
        <v/>
      </c>
      <c r="K108" s="7">
        <f>IF($W108="","",IF(INDEX('Per Invoice'!K$2:K$801,$W108)="","",INDEX('Per Invoice'!K$2:K$801,$W108)))</f>
        <v/>
      </c>
      <c r="L108" s="14">
        <f>IF($W108="","",IF(INDEX('Per Invoice'!L$2:L$801,$W108)="","",INDEX('Per Invoice'!L$2:L$801,$W108)))</f>
        <v/>
      </c>
      <c r="M108">
        <f>IF($W108="","",IF(INDEX('Per Invoice'!M$2:M$801,$W108)="","",INDEX('Per Invoice'!M$2:M$801,$W108)))</f>
        <v/>
      </c>
      <c r="N108" s="7">
        <f>IF($W108="","",IF(INDEX('Per Invoice'!N$2:N$801,$W108)="","",INDEX('Per Invoice'!N$2:N$801,$W108)))</f>
        <v/>
      </c>
      <c r="O108" s="7">
        <f>IF($W108="","",IF(INDEX('Per Invoice'!O$2:O$801,$W108)="","",INDEX('Per Invoice'!O$2:O$801,$W108)))</f>
        <v/>
      </c>
      <c r="P108">
        <f>IF($W108="","",IF(INDEX('Per Invoice'!P$2:P$801,$W108)="","",INDEX('Per Invoice'!P$2:P$801,$W108)))</f>
        <v/>
      </c>
      <c r="Q108" s="7">
        <f>IF($W108="","",IF(INDEX('Per Invoice'!Q$2:Q$801,$W108)="","",INDEX('Per Invoice'!Q$2:Q$801,$W108)))</f>
        <v/>
      </c>
      <c r="R108" s="7">
        <f>IF($W108="","",IF(INDEX('Per Invoice'!R$2:R$801,$W108)="","",INDEX('Per Invoice'!R$2:R$801,$W108)))</f>
        <v/>
      </c>
      <c r="S108" s="7">
        <f>IF($W108="","",IF(INDEX('Per Invoice'!S$2:S$801,$W108)="","",INDEX('Per Invoice'!S$2:S$801,$W108)))</f>
        <v/>
      </c>
      <c r="T108" s="7">
        <f>IF($W108="","",IF(INDEX('Per Invoice'!T$2:T$801,$W108)="","",INDEX('Per Invoice'!T$2:T$801,$W108)))</f>
        <v/>
      </c>
      <c r="U108" s="7">
        <f>IF($W108="","",IF(INDEX('Per Invoice'!U$2:U$801,$W108)="","",INDEX('Per Invoice'!U$2:U$801,$W108)))</f>
        <v/>
      </c>
      <c r="V108" s="7">
        <f>IF($W108="","",IF(INDEX('Per Invoice'!V$2:V$801,$W108)="","",INDEX('Per Invoice'!V$2:V$801,$W108)))</f>
        <v/>
      </c>
      <c r="W108" s="16">
        <f>IFERROR(MATCH(Settings!$C$29&amp;"|"&amp;ROWS($W$2:$W108),'Per Invoice'!$X$2:$X$801,0),"")</f>
        <v/>
      </c>
    </row>
    <row r="109">
      <c r="A109">
        <f>IF($W109="","",IF(INDEX('Per Invoice'!A$2:A$801,$W109)="","",INDEX('Per Invoice'!A$2:A$801,$W109)))</f>
        <v/>
      </c>
      <c r="B109">
        <f>IF($W109="","",IF(INDEX('Per Invoice'!B$2:B$801,$W109)="","",INDEX('Per Invoice'!B$2:B$801,$W109)))</f>
        <v/>
      </c>
      <c r="C109">
        <f>IF($W109="","",IF(INDEX('Per Invoice'!C$2:C$801,$W109)="","",INDEX('Per Invoice'!C$2:C$801,$W109)))</f>
        <v/>
      </c>
      <c r="D109">
        <f>IF($W109="","",IF(INDEX('Per Invoice'!D$2:D$801,$W109)="","",INDEX('Per Invoice'!D$2:D$801,$W109)))</f>
        <v/>
      </c>
      <c r="E109">
        <f>IF($W109="","",IF(INDEX('Per Invoice'!E$2:E$801,$W109)="","",INDEX('Per Invoice'!E$2:E$801,$W109)))</f>
        <v/>
      </c>
      <c r="F109">
        <f>IF($W109="","",IF(INDEX('Per Invoice'!F$2:F$801,$W109)="","",INDEX('Per Invoice'!F$2:F$801,$W109)))</f>
        <v/>
      </c>
      <c r="G109">
        <f>IF($W109="","",IF(INDEX('Per Invoice'!G$2:G$801,$W109)="","",INDEX('Per Invoice'!G$2:G$801,$W109)))</f>
        <v/>
      </c>
      <c r="H109">
        <f>IF($W109="","",IF(INDEX('Per Invoice'!H$2:H$801,$W109)="","",INDEX('Per Invoice'!H$2:H$801,$W109)))</f>
        <v/>
      </c>
      <c r="I109">
        <f>IF($W109="","",IF(INDEX('Per Invoice'!I$2:I$801,$W109)="","",INDEX('Per Invoice'!I$2:I$801,$W109)))</f>
        <v/>
      </c>
      <c r="J109">
        <f>IF($W109="","",IF(INDEX('Per Invoice'!J$2:J$801,$W109)="","",INDEX('Per Invoice'!J$2:J$801,$W109)))</f>
        <v/>
      </c>
      <c r="K109" s="7">
        <f>IF($W109="","",IF(INDEX('Per Invoice'!K$2:K$801,$W109)="","",INDEX('Per Invoice'!K$2:K$801,$W109)))</f>
        <v/>
      </c>
      <c r="L109" s="14">
        <f>IF($W109="","",IF(INDEX('Per Invoice'!L$2:L$801,$W109)="","",INDEX('Per Invoice'!L$2:L$801,$W109)))</f>
        <v/>
      </c>
      <c r="M109">
        <f>IF($W109="","",IF(INDEX('Per Invoice'!M$2:M$801,$W109)="","",INDEX('Per Invoice'!M$2:M$801,$W109)))</f>
        <v/>
      </c>
      <c r="N109" s="7">
        <f>IF($W109="","",IF(INDEX('Per Invoice'!N$2:N$801,$W109)="","",INDEX('Per Invoice'!N$2:N$801,$W109)))</f>
        <v/>
      </c>
      <c r="O109" s="7">
        <f>IF($W109="","",IF(INDEX('Per Invoice'!O$2:O$801,$W109)="","",INDEX('Per Invoice'!O$2:O$801,$W109)))</f>
        <v/>
      </c>
      <c r="P109">
        <f>IF($W109="","",IF(INDEX('Per Invoice'!P$2:P$801,$W109)="","",INDEX('Per Invoice'!P$2:P$801,$W109)))</f>
        <v/>
      </c>
      <c r="Q109" s="7">
        <f>IF($W109="","",IF(INDEX('Per Invoice'!Q$2:Q$801,$W109)="","",INDEX('Per Invoice'!Q$2:Q$801,$W109)))</f>
        <v/>
      </c>
      <c r="R109" s="7">
        <f>IF($W109="","",IF(INDEX('Per Invoice'!R$2:R$801,$W109)="","",INDEX('Per Invoice'!R$2:R$801,$W109)))</f>
        <v/>
      </c>
      <c r="S109" s="7">
        <f>IF($W109="","",IF(INDEX('Per Invoice'!S$2:S$801,$W109)="","",INDEX('Per Invoice'!S$2:S$801,$W109)))</f>
        <v/>
      </c>
      <c r="T109" s="7">
        <f>IF($W109="","",IF(INDEX('Per Invoice'!T$2:T$801,$W109)="","",INDEX('Per Invoice'!T$2:T$801,$W109)))</f>
        <v/>
      </c>
      <c r="U109" s="7">
        <f>IF($W109="","",IF(INDEX('Per Invoice'!U$2:U$801,$W109)="","",INDEX('Per Invoice'!U$2:U$801,$W109)))</f>
        <v/>
      </c>
      <c r="V109" s="7">
        <f>IF($W109="","",IF(INDEX('Per Invoice'!V$2:V$801,$W109)="","",INDEX('Per Invoice'!V$2:V$801,$W109)))</f>
        <v/>
      </c>
      <c r="W109" s="16">
        <f>IFERROR(MATCH(Settings!$C$29&amp;"|"&amp;ROWS($W$2:$W109),'Per Invoice'!$X$2:$X$801,0),"")</f>
        <v/>
      </c>
    </row>
    <row r="110">
      <c r="A110">
        <f>IF($W110="","",IF(INDEX('Per Invoice'!A$2:A$801,$W110)="","",INDEX('Per Invoice'!A$2:A$801,$W110)))</f>
        <v/>
      </c>
      <c r="B110">
        <f>IF($W110="","",IF(INDEX('Per Invoice'!B$2:B$801,$W110)="","",INDEX('Per Invoice'!B$2:B$801,$W110)))</f>
        <v/>
      </c>
      <c r="C110">
        <f>IF($W110="","",IF(INDEX('Per Invoice'!C$2:C$801,$W110)="","",INDEX('Per Invoice'!C$2:C$801,$W110)))</f>
        <v/>
      </c>
      <c r="D110">
        <f>IF($W110="","",IF(INDEX('Per Invoice'!D$2:D$801,$W110)="","",INDEX('Per Invoice'!D$2:D$801,$W110)))</f>
        <v/>
      </c>
      <c r="E110">
        <f>IF($W110="","",IF(INDEX('Per Invoice'!E$2:E$801,$W110)="","",INDEX('Per Invoice'!E$2:E$801,$W110)))</f>
        <v/>
      </c>
      <c r="F110">
        <f>IF($W110="","",IF(INDEX('Per Invoice'!F$2:F$801,$W110)="","",INDEX('Per Invoice'!F$2:F$801,$W110)))</f>
        <v/>
      </c>
      <c r="G110">
        <f>IF($W110="","",IF(INDEX('Per Invoice'!G$2:G$801,$W110)="","",INDEX('Per Invoice'!G$2:G$801,$W110)))</f>
        <v/>
      </c>
      <c r="H110">
        <f>IF($W110="","",IF(INDEX('Per Invoice'!H$2:H$801,$W110)="","",INDEX('Per Invoice'!H$2:H$801,$W110)))</f>
        <v/>
      </c>
      <c r="I110">
        <f>IF($W110="","",IF(INDEX('Per Invoice'!I$2:I$801,$W110)="","",INDEX('Per Invoice'!I$2:I$801,$W110)))</f>
        <v/>
      </c>
      <c r="J110">
        <f>IF($W110="","",IF(INDEX('Per Invoice'!J$2:J$801,$W110)="","",INDEX('Per Invoice'!J$2:J$801,$W110)))</f>
        <v/>
      </c>
      <c r="K110" s="7">
        <f>IF($W110="","",IF(INDEX('Per Invoice'!K$2:K$801,$W110)="","",INDEX('Per Invoice'!K$2:K$801,$W110)))</f>
        <v/>
      </c>
      <c r="L110" s="14">
        <f>IF($W110="","",IF(INDEX('Per Invoice'!L$2:L$801,$W110)="","",INDEX('Per Invoice'!L$2:L$801,$W110)))</f>
        <v/>
      </c>
      <c r="M110">
        <f>IF($W110="","",IF(INDEX('Per Invoice'!M$2:M$801,$W110)="","",INDEX('Per Invoice'!M$2:M$801,$W110)))</f>
        <v/>
      </c>
      <c r="N110" s="7">
        <f>IF($W110="","",IF(INDEX('Per Invoice'!N$2:N$801,$W110)="","",INDEX('Per Invoice'!N$2:N$801,$W110)))</f>
        <v/>
      </c>
      <c r="O110" s="7">
        <f>IF($W110="","",IF(INDEX('Per Invoice'!O$2:O$801,$W110)="","",INDEX('Per Invoice'!O$2:O$801,$W110)))</f>
        <v/>
      </c>
      <c r="P110">
        <f>IF($W110="","",IF(INDEX('Per Invoice'!P$2:P$801,$W110)="","",INDEX('Per Invoice'!P$2:P$801,$W110)))</f>
        <v/>
      </c>
      <c r="Q110" s="7">
        <f>IF($W110="","",IF(INDEX('Per Invoice'!Q$2:Q$801,$W110)="","",INDEX('Per Invoice'!Q$2:Q$801,$W110)))</f>
        <v/>
      </c>
      <c r="R110" s="7">
        <f>IF($W110="","",IF(INDEX('Per Invoice'!R$2:R$801,$W110)="","",INDEX('Per Invoice'!R$2:R$801,$W110)))</f>
        <v/>
      </c>
      <c r="S110" s="7">
        <f>IF($W110="","",IF(INDEX('Per Invoice'!S$2:S$801,$W110)="","",INDEX('Per Invoice'!S$2:S$801,$W110)))</f>
        <v/>
      </c>
      <c r="T110" s="7">
        <f>IF($W110="","",IF(INDEX('Per Invoice'!T$2:T$801,$W110)="","",INDEX('Per Invoice'!T$2:T$801,$W110)))</f>
        <v/>
      </c>
      <c r="U110" s="7">
        <f>IF($W110="","",IF(INDEX('Per Invoice'!U$2:U$801,$W110)="","",INDEX('Per Invoice'!U$2:U$801,$W110)))</f>
        <v/>
      </c>
      <c r="V110" s="7">
        <f>IF($W110="","",IF(INDEX('Per Invoice'!V$2:V$801,$W110)="","",INDEX('Per Invoice'!V$2:V$801,$W110)))</f>
        <v/>
      </c>
      <c r="W110" s="16">
        <f>IFERROR(MATCH(Settings!$C$29&amp;"|"&amp;ROWS($W$2:$W110),'Per Invoice'!$X$2:$X$801,0),"")</f>
        <v/>
      </c>
    </row>
    <row r="111">
      <c r="A111">
        <f>IF($W111="","",IF(INDEX('Per Invoice'!A$2:A$801,$W111)="","",INDEX('Per Invoice'!A$2:A$801,$W111)))</f>
        <v/>
      </c>
      <c r="B111">
        <f>IF($W111="","",IF(INDEX('Per Invoice'!B$2:B$801,$W111)="","",INDEX('Per Invoice'!B$2:B$801,$W111)))</f>
        <v/>
      </c>
      <c r="C111">
        <f>IF($W111="","",IF(INDEX('Per Invoice'!C$2:C$801,$W111)="","",INDEX('Per Invoice'!C$2:C$801,$W111)))</f>
        <v/>
      </c>
      <c r="D111">
        <f>IF($W111="","",IF(INDEX('Per Invoice'!D$2:D$801,$W111)="","",INDEX('Per Invoice'!D$2:D$801,$W111)))</f>
        <v/>
      </c>
      <c r="E111">
        <f>IF($W111="","",IF(INDEX('Per Invoice'!E$2:E$801,$W111)="","",INDEX('Per Invoice'!E$2:E$801,$W111)))</f>
        <v/>
      </c>
      <c r="F111">
        <f>IF($W111="","",IF(INDEX('Per Invoice'!F$2:F$801,$W111)="","",INDEX('Per Invoice'!F$2:F$801,$W111)))</f>
        <v/>
      </c>
      <c r="G111">
        <f>IF($W111="","",IF(INDEX('Per Invoice'!G$2:G$801,$W111)="","",INDEX('Per Invoice'!G$2:G$801,$W111)))</f>
        <v/>
      </c>
      <c r="H111">
        <f>IF($W111="","",IF(INDEX('Per Invoice'!H$2:H$801,$W111)="","",INDEX('Per Invoice'!H$2:H$801,$W111)))</f>
        <v/>
      </c>
      <c r="I111">
        <f>IF($W111="","",IF(INDEX('Per Invoice'!I$2:I$801,$W111)="","",INDEX('Per Invoice'!I$2:I$801,$W111)))</f>
        <v/>
      </c>
      <c r="J111">
        <f>IF($W111="","",IF(INDEX('Per Invoice'!J$2:J$801,$W111)="","",INDEX('Per Invoice'!J$2:J$801,$W111)))</f>
        <v/>
      </c>
      <c r="K111" s="7">
        <f>IF($W111="","",IF(INDEX('Per Invoice'!K$2:K$801,$W111)="","",INDEX('Per Invoice'!K$2:K$801,$W111)))</f>
        <v/>
      </c>
      <c r="L111" s="14">
        <f>IF($W111="","",IF(INDEX('Per Invoice'!L$2:L$801,$W111)="","",INDEX('Per Invoice'!L$2:L$801,$W111)))</f>
        <v/>
      </c>
      <c r="M111">
        <f>IF($W111="","",IF(INDEX('Per Invoice'!M$2:M$801,$W111)="","",INDEX('Per Invoice'!M$2:M$801,$W111)))</f>
        <v/>
      </c>
      <c r="N111" s="7">
        <f>IF($W111="","",IF(INDEX('Per Invoice'!N$2:N$801,$W111)="","",INDEX('Per Invoice'!N$2:N$801,$W111)))</f>
        <v/>
      </c>
      <c r="O111" s="7">
        <f>IF($W111="","",IF(INDEX('Per Invoice'!O$2:O$801,$W111)="","",INDEX('Per Invoice'!O$2:O$801,$W111)))</f>
        <v/>
      </c>
      <c r="P111">
        <f>IF($W111="","",IF(INDEX('Per Invoice'!P$2:P$801,$W111)="","",INDEX('Per Invoice'!P$2:P$801,$W111)))</f>
        <v/>
      </c>
      <c r="Q111" s="7">
        <f>IF($W111="","",IF(INDEX('Per Invoice'!Q$2:Q$801,$W111)="","",INDEX('Per Invoice'!Q$2:Q$801,$W111)))</f>
        <v/>
      </c>
      <c r="R111" s="7">
        <f>IF($W111="","",IF(INDEX('Per Invoice'!R$2:R$801,$W111)="","",INDEX('Per Invoice'!R$2:R$801,$W111)))</f>
        <v/>
      </c>
      <c r="S111" s="7">
        <f>IF($W111="","",IF(INDEX('Per Invoice'!S$2:S$801,$W111)="","",INDEX('Per Invoice'!S$2:S$801,$W111)))</f>
        <v/>
      </c>
      <c r="T111" s="7">
        <f>IF($W111="","",IF(INDEX('Per Invoice'!T$2:T$801,$W111)="","",INDEX('Per Invoice'!T$2:T$801,$W111)))</f>
        <v/>
      </c>
      <c r="U111" s="7">
        <f>IF($W111="","",IF(INDEX('Per Invoice'!U$2:U$801,$W111)="","",INDEX('Per Invoice'!U$2:U$801,$W111)))</f>
        <v/>
      </c>
      <c r="V111" s="7">
        <f>IF($W111="","",IF(INDEX('Per Invoice'!V$2:V$801,$W111)="","",INDEX('Per Invoice'!V$2:V$801,$W111)))</f>
        <v/>
      </c>
      <c r="W111" s="16">
        <f>IFERROR(MATCH(Settings!$C$29&amp;"|"&amp;ROWS($W$2:$W111),'Per Invoice'!$X$2:$X$801,0),"")</f>
        <v/>
      </c>
    </row>
    <row r="112">
      <c r="A112">
        <f>IF($W112="","",IF(INDEX('Per Invoice'!A$2:A$801,$W112)="","",INDEX('Per Invoice'!A$2:A$801,$W112)))</f>
        <v/>
      </c>
      <c r="B112">
        <f>IF($W112="","",IF(INDEX('Per Invoice'!B$2:B$801,$W112)="","",INDEX('Per Invoice'!B$2:B$801,$W112)))</f>
        <v/>
      </c>
      <c r="C112">
        <f>IF($W112="","",IF(INDEX('Per Invoice'!C$2:C$801,$W112)="","",INDEX('Per Invoice'!C$2:C$801,$W112)))</f>
        <v/>
      </c>
      <c r="D112">
        <f>IF($W112="","",IF(INDEX('Per Invoice'!D$2:D$801,$W112)="","",INDEX('Per Invoice'!D$2:D$801,$W112)))</f>
        <v/>
      </c>
      <c r="E112">
        <f>IF($W112="","",IF(INDEX('Per Invoice'!E$2:E$801,$W112)="","",INDEX('Per Invoice'!E$2:E$801,$W112)))</f>
        <v/>
      </c>
      <c r="F112">
        <f>IF($W112="","",IF(INDEX('Per Invoice'!F$2:F$801,$W112)="","",INDEX('Per Invoice'!F$2:F$801,$W112)))</f>
        <v/>
      </c>
      <c r="G112">
        <f>IF($W112="","",IF(INDEX('Per Invoice'!G$2:G$801,$W112)="","",INDEX('Per Invoice'!G$2:G$801,$W112)))</f>
        <v/>
      </c>
      <c r="H112">
        <f>IF($W112="","",IF(INDEX('Per Invoice'!H$2:H$801,$W112)="","",INDEX('Per Invoice'!H$2:H$801,$W112)))</f>
        <v/>
      </c>
      <c r="I112">
        <f>IF($W112="","",IF(INDEX('Per Invoice'!I$2:I$801,$W112)="","",INDEX('Per Invoice'!I$2:I$801,$W112)))</f>
        <v/>
      </c>
      <c r="J112">
        <f>IF($W112="","",IF(INDEX('Per Invoice'!J$2:J$801,$W112)="","",INDEX('Per Invoice'!J$2:J$801,$W112)))</f>
        <v/>
      </c>
      <c r="K112" s="7">
        <f>IF($W112="","",IF(INDEX('Per Invoice'!K$2:K$801,$W112)="","",INDEX('Per Invoice'!K$2:K$801,$W112)))</f>
        <v/>
      </c>
      <c r="L112" s="14">
        <f>IF($W112="","",IF(INDEX('Per Invoice'!L$2:L$801,$W112)="","",INDEX('Per Invoice'!L$2:L$801,$W112)))</f>
        <v/>
      </c>
      <c r="M112">
        <f>IF($W112="","",IF(INDEX('Per Invoice'!M$2:M$801,$W112)="","",INDEX('Per Invoice'!M$2:M$801,$W112)))</f>
        <v/>
      </c>
      <c r="N112" s="7">
        <f>IF($W112="","",IF(INDEX('Per Invoice'!N$2:N$801,$W112)="","",INDEX('Per Invoice'!N$2:N$801,$W112)))</f>
        <v/>
      </c>
      <c r="O112" s="7">
        <f>IF($W112="","",IF(INDEX('Per Invoice'!O$2:O$801,$W112)="","",INDEX('Per Invoice'!O$2:O$801,$W112)))</f>
        <v/>
      </c>
      <c r="P112">
        <f>IF($W112="","",IF(INDEX('Per Invoice'!P$2:P$801,$W112)="","",INDEX('Per Invoice'!P$2:P$801,$W112)))</f>
        <v/>
      </c>
      <c r="Q112" s="7">
        <f>IF($W112="","",IF(INDEX('Per Invoice'!Q$2:Q$801,$W112)="","",INDEX('Per Invoice'!Q$2:Q$801,$W112)))</f>
        <v/>
      </c>
      <c r="R112" s="7">
        <f>IF($W112="","",IF(INDEX('Per Invoice'!R$2:R$801,$W112)="","",INDEX('Per Invoice'!R$2:R$801,$W112)))</f>
        <v/>
      </c>
      <c r="S112" s="7">
        <f>IF($W112="","",IF(INDEX('Per Invoice'!S$2:S$801,$W112)="","",INDEX('Per Invoice'!S$2:S$801,$W112)))</f>
        <v/>
      </c>
      <c r="T112" s="7">
        <f>IF($W112="","",IF(INDEX('Per Invoice'!T$2:T$801,$W112)="","",INDEX('Per Invoice'!T$2:T$801,$W112)))</f>
        <v/>
      </c>
      <c r="U112" s="7">
        <f>IF($W112="","",IF(INDEX('Per Invoice'!U$2:U$801,$W112)="","",INDEX('Per Invoice'!U$2:U$801,$W112)))</f>
        <v/>
      </c>
      <c r="V112" s="7">
        <f>IF($W112="","",IF(INDEX('Per Invoice'!V$2:V$801,$W112)="","",INDEX('Per Invoice'!V$2:V$801,$W112)))</f>
        <v/>
      </c>
      <c r="W112" s="16">
        <f>IFERROR(MATCH(Settings!$C$29&amp;"|"&amp;ROWS($W$2:$W112),'Per Invoice'!$X$2:$X$801,0),"")</f>
        <v/>
      </c>
    </row>
    <row r="113">
      <c r="A113">
        <f>IF($W113="","",IF(INDEX('Per Invoice'!A$2:A$801,$W113)="","",INDEX('Per Invoice'!A$2:A$801,$W113)))</f>
        <v/>
      </c>
      <c r="B113">
        <f>IF($W113="","",IF(INDEX('Per Invoice'!B$2:B$801,$W113)="","",INDEX('Per Invoice'!B$2:B$801,$W113)))</f>
        <v/>
      </c>
      <c r="C113">
        <f>IF($W113="","",IF(INDEX('Per Invoice'!C$2:C$801,$W113)="","",INDEX('Per Invoice'!C$2:C$801,$W113)))</f>
        <v/>
      </c>
      <c r="D113">
        <f>IF($W113="","",IF(INDEX('Per Invoice'!D$2:D$801,$W113)="","",INDEX('Per Invoice'!D$2:D$801,$W113)))</f>
        <v/>
      </c>
      <c r="E113">
        <f>IF($W113="","",IF(INDEX('Per Invoice'!E$2:E$801,$W113)="","",INDEX('Per Invoice'!E$2:E$801,$W113)))</f>
        <v/>
      </c>
      <c r="F113">
        <f>IF($W113="","",IF(INDEX('Per Invoice'!F$2:F$801,$W113)="","",INDEX('Per Invoice'!F$2:F$801,$W113)))</f>
        <v/>
      </c>
      <c r="G113">
        <f>IF($W113="","",IF(INDEX('Per Invoice'!G$2:G$801,$W113)="","",INDEX('Per Invoice'!G$2:G$801,$W113)))</f>
        <v/>
      </c>
      <c r="H113">
        <f>IF($W113="","",IF(INDEX('Per Invoice'!H$2:H$801,$W113)="","",INDEX('Per Invoice'!H$2:H$801,$W113)))</f>
        <v/>
      </c>
      <c r="I113">
        <f>IF($W113="","",IF(INDEX('Per Invoice'!I$2:I$801,$W113)="","",INDEX('Per Invoice'!I$2:I$801,$W113)))</f>
        <v/>
      </c>
      <c r="J113">
        <f>IF($W113="","",IF(INDEX('Per Invoice'!J$2:J$801,$W113)="","",INDEX('Per Invoice'!J$2:J$801,$W113)))</f>
        <v/>
      </c>
      <c r="K113" s="7">
        <f>IF($W113="","",IF(INDEX('Per Invoice'!K$2:K$801,$W113)="","",INDEX('Per Invoice'!K$2:K$801,$W113)))</f>
        <v/>
      </c>
      <c r="L113" s="14">
        <f>IF($W113="","",IF(INDEX('Per Invoice'!L$2:L$801,$W113)="","",INDEX('Per Invoice'!L$2:L$801,$W113)))</f>
        <v/>
      </c>
      <c r="M113">
        <f>IF($W113="","",IF(INDEX('Per Invoice'!M$2:M$801,$W113)="","",INDEX('Per Invoice'!M$2:M$801,$W113)))</f>
        <v/>
      </c>
      <c r="N113" s="7">
        <f>IF($W113="","",IF(INDEX('Per Invoice'!N$2:N$801,$W113)="","",INDEX('Per Invoice'!N$2:N$801,$W113)))</f>
        <v/>
      </c>
      <c r="O113" s="7">
        <f>IF($W113="","",IF(INDEX('Per Invoice'!O$2:O$801,$W113)="","",INDEX('Per Invoice'!O$2:O$801,$W113)))</f>
        <v/>
      </c>
      <c r="P113">
        <f>IF($W113="","",IF(INDEX('Per Invoice'!P$2:P$801,$W113)="","",INDEX('Per Invoice'!P$2:P$801,$W113)))</f>
        <v/>
      </c>
      <c r="Q113" s="7">
        <f>IF($W113="","",IF(INDEX('Per Invoice'!Q$2:Q$801,$W113)="","",INDEX('Per Invoice'!Q$2:Q$801,$W113)))</f>
        <v/>
      </c>
      <c r="R113" s="7">
        <f>IF($W113="","",IF(INDEX('Per Invoice'!R$2:R$801,$W113)="","",INDEX('Per Invoice'!R$2:R$801,$W113)))</f>
        <v/>
      </c>
      <c r="S113" s="7">
        <f>IF($W113="","",IF(INDEX('Per Invoice'!S$2:S$801,$W113)="","",INDEX('Per Invoice'!S$2:S$801,$W113)))</f>
        <v/>
      </c>
      <c r="T113" s="7">
        <f>IF($W113="","",IF(INDEX('Per Invoice'!T$2:T$801,$W113)="","",INDEX('Per Invoice'!T$2:T$801,$W113)))</f>
        <v/>
      </c>
      <c r="U113" s="7">
        <f>IF($W113="","",IF(INDEX('Per Invoice'!U$2:U$801,$W113)="","",INDEX('Per Invoice'!U$2:U$801,$W113)))</f>
        <v/>
      </c>
      <c r="V113" s="7">
        <f>IF($W113="","",IF(INDEX('Per Invoice'!V$2:V$801,$W113)="","",INDEX('Per Invoice'!V$2:V$801,$W113)))</f>
        <v/>
      </c>
      <c r="W113" s="16">
        <f>IFERROR(MATCH(Settings!$C$29&amp;"|"&amp;ROWS($W$2:$W113),'Per Invoice'!$X$2:$X$801,0),"")</f>
        <v/>
      </c>
    </row>
    <row r="114">
      <c r="A114">
        <f>IF($W114="","",IF(INDEX('Per Invoice'!A$2:A$801,$W114)="","",INDEX('Per Invoice'!A$2:A$801,$W114)))</f>
        <v/>
      </c>
      <c r="B114">
        <f>IF($W114="","",IF(INDEX('Per Invoice'!B$2:B$801,$W114)="","",INDEX('Per Invoice'!B$2:B$801,$W114)))</f>
        <v/>
      </c>
      <c r="C114">
        <f>IF($W114="","",IF(INDEX('Per Invoice'!C$2:C$801,$W114)="","",INDEX('Per Invoice'!C$2:C$801,$W114)))</f>
        <v/>
      </c>
      <c r="D114">
        <f>IF($W114="","",IF(INDEX('Per Invoice'!D$2:D$801,$W114)="","",INDEX('Per Invoice'!D$2:D$801,$W114)))</f>
        <v/>
      </c>
      <c r="E114">
        <f>IF($W114="","",IF(INDEX('Per Invoice'!E$2:E$801,$W114)="","",INDEX('Per Invoice'!E$2:E$801,$W114)))</f>
        <v/>
      </c>
      <c r="F114">
        <f>IF($W114="","",IF(INDEX('Per Invoice'!F$2:F$801,$W114)="","",INDEX('Per Invoice'!F$2:F$801,$W114)))</f>
        <v/>
      </c>
      <c r="G114">
        <f>IF($W114="","",IF(INDEX('Per Invoice'!G$2:G$801,$W114)="","",INDEX('Per Invoice'!G$2:G$801,$W114)))</f>
        <v/>
      </c>
      <c r="H114">
        <f>IF($W114="","",IF(INDEX('Per Invoice'!H$2:H$801,$W114)="","",INDEX('Per Invoice'!H$2:H$801,$W114)))</f>
        <v/>
      </c>
      <c r="I114">
        <f>IF($W114="","",IF(INDEX('Per Invoice'!I$2:I$801,$W114)="","",INDEX('Per Invoice'!I$2:I$801,$W114)))</f>
        <v/>
      </c>
      <c r="J114">
        <f>IF($W114="","",IF(INDEX('Per Invoice'!J$2:J$801,$W114)="","",INDEX('Per Invoice'!J$2:J$801,$W114)))</f>
        <v/>
      </c>
      <c r="K114" s="7">
        <f>IF($W114="","",IF(INDEX('Per Invoice'!K$2:K$801,$W114)="","",INDEX('Per Invoice'!K$2:K$801,$W114)))</f>
        <v/>
      </c>
      <c r="L114" s="14">
        <f>IF($W114="","",IF(INDEX('Per Invoice'!L$2:L$801,$W114)="","",INDEX('Per Invoice'!L$2:L$801,$W114)))</f>
        <v/>
      </c>
      <c r="M114">
        <f>IF($W114="","",IF(INDEX('Per Invoice'!M$2:M$801,$W114)="","",INDEX('Per Invoice'!M$2:M$801,$W114)))</f>
        <v/>
      </c>
      <c r="N114" s="7">
        <f>IF($W114="","",IF(INDEX('Per Invoice'!N$2:N$801,$W114)="","",INDEX('Per Invoice'!N$2:N$801,$W114)))</f>
        <v/>
      </c>
      <c r="O114" s="7">
        <f>IF($W114="","",IF(INDEX('Per Invoice'!O$2:O$801,$W114)="","",INDEX('Per Invoice'!O$2:O$801,$W114)))</f>
        <v/>
      </c>
      <c r="P114">
        <f>IF($W114="","",IF(INDEX('Per Invoice'!P$2:P$801,$W114)="","",INDEX('Per Invoice'!P$2:P$801,$W114)))</f>
        <v/>
      </c>
      <c r="Q114" s="7">
        <f>IF($W114="","",IF(INDEX('Per Invoice'!Q$2:Q$801,$W114)="","",INDEX('Per Invoice'!Q$2:Q$801,$W114)))</f>
        <v/>
      </c>
      <c r="R114" s="7">
        <f>IF($W114="","",IF(INDEX('Per Invoice'!R$2:R$801,$W114)="","",INDEX('Per Invoice'!R$2:R$801,$W114)))</f>
        <v/>
      </c>
      <c r="S114" s="7">
        <f>IF($W114="","",IF(INDEX('Per Invoice'!S$2:S$801,$W114)="","",INDEX('Per Invoice'!S$2:S$801,$W114)))</f>
        <v/>
      </c>
      <c r="T114" s="7">
        <f>IF($W114="","",IF(INDEX('Per Invoice'!T$2:T$801,$W114)="","",INDEX('Per Invoice'!T$2:T$801,$W114)))</f>
        <v/>
      </c>
      <c r="U114" s="7">
        <f>IF($W114="","",IF(INDEX('Per Invoice'!U$2:U$801,$W114)="","",INDEX('Per Invoice'!U$2:U$801,$W114)))</f>
        <v/>
      </c>
      <c r="V114" s="7">
        <f>IF($W114="","",IF(INDEX('Per Invoice'!V$2:V$801,$W114)="","",INDEX('Per Invoice'!V$2:V$801,$W114)))</f>
        <v/>
      </c>
      <c r="W114" s="16">
        <f>IFERROR(MATCH(Settings!$C$29&amp;"|"&amp;ROWS($W$2:$W114),'Per Invoice'!$X$2:$X$801,0),"")</f>
        <v/>
      </c>
    </row>
    <row r="115">
      <c r="A115">
        <f>IF($W115="","",IF(INDEX('Per Invoice'!A$2:A$801,$W115)="","",INDEX('Per Invoice'!A$2:A$801,$W115)))</f>
        <v/>
      </c>
      <c r="B115">
        <f>IF($W115="","",IF(INDEX('Per Invoice'!B$2:B$801,$W115)="","",INDEX('Per Invoice'!B$2:B$801,$W115)))</f>
        <v/>
      </c>
      <c r="C115">
        <f>IF($W115="","",IF(INDEX('Per Invoice'!C$2:C$801,$W115)="","",INDEX('Per Invoice'!C$2:C$801,$W115)))</f>
        <v/>
      </c>
      <c r="D115">
        <f>IF($W115="","",IF(INDEX('Per Invoice'!D$2:D$801,$W115)="","",INDEX('Per Invoice'!D$2:D$801,$W115)))</f>
        <v/>
      </c>
      <c r="E115">
        <f>IF($W115="","",IF(INDEX('Per Invoice'!E$2:E$801,$W115)="","",INDEX('Per Invoice'!E$2:E$801,$W115)))</f>
        <v/>
      </c>
      <c r="F115">
        <f>IF($W115="","",IF(INDEX('Per Invoice'!F$2:F$801,$W115)="","",INDEX('Per Invoice'!F$2:F$801,$W115)))</f>
        <v/>
      </c>
      <c r="G115">
        <f>IF($W115="","",IF(INDEX('Per Invoice'!G$2:G$801,$W115)="","",INDEX('Per Invoice'!G$2:G$801,$W115)))</f>
        <v/>
      </c>
      <c r="H115">
        <f>IF($W115="","",IF(INDEX('Per Invoice'!H$2:H$801,$W115)="","",INDEX('Per Invoice'!H$2:H$801,$W115)))</f>
        <v/>
      </c>
      <c r="I115">
        <f>IF($W115="","",IF(INDEX('Per Invoice'!I$2:I$801,$W115)="","",INDEX('Per Invoice'!I$2:I$801,$W115)))</f>
        <v/>
      </c>
      <c r="J115">
        <f>IF($W115="","",IF(INDEX('Per Invoice'!J$2:J$801,$W115)="","",INDEX('Per Invoice'!J$2:J$801,$W115)))</f>
        <v/>
      </c>
      <c r="K115" s="7">
        <f>IF($W115="","",IF(INDEX('Per Invoice'!K$2:K$801,$W115)="","",INDEX('Per Invoice'!K$2:K$801,$W115)))</f>
        <v/>
      </c>
      <c r="L115" s="14">
        <f>IF($W115="","",IF(INDEX('Per Invoice'!L$2:L$801,$W115)="","",INDEX('Per Invoice'!L$2:L$801,$W115)))</f>
        <v/>
      </c>
      <c r="M115">
        <f>IF($W115="","",IF(INDEX('Per Invoice'!M$2:M$801,$W115)="","",INDEX('Per Invoice'!M$2:M$801,$W115)))</f>
        <v/>
      </c>
      <c r="N115" s="7">
        <f>IF($W115="","",IF(INDEX('Per Invoice'!N$2:N$801,$W115)="","",INDEX('Per Invoice'!N$2:N$801,$W115)))</f>
        <v/>
      </c>
      <c r="O115" s="7">
        <f>IF($W115="","",IF(INDEX('Per Invoice'!O$2:O$801,$W115)="","",INDEX('Per Invoice'!O$2:O$801,$W115)))</f>
        <v/>
      </c>
      <c r="P115">
        <f>IF($W115="","",IF(INDEX('Per Invoice'!P$2:P$801,$W115)="","",INDEX('Per Invoice'!P$2:P$801,$W115)))</f>
        <v/>
      </c>
      <c r="Q115" s="7">
        <f>IF($W115="","",IF(INDEX('Per Invoice'!Q$2:Q$801,$W115)="","",INDEX('Per Invoice'!Q$2:Q$801,$W115)))</f>
        <v/>
      </c>
      <c r="R115" s="7">
        <f>IF($W115="","",IF(INDEX('Per Invoice'!R$2:R$801,$W115)="","",INDEX('Per Invoice'!R$2:R$801,$W115)))</f>
        <v/>
      </c>
      <c r="S115" s="7">
        <f>IF($W115="","",IF(INDEX('Per Invoice'!S$2:S$801,$W115)="","",INDEX('Per Invoice'!S$2:S$801,$W115)))</f>
        <v/>
      </c>
      <c r="T115" s="7">
        <f>IF($W115="","",IF(INDEX('Per Invoice'!T$2:T$801,$W115)="","",INDEX('Per Invoice'!T$2:T$801,$W115)))</f>
        <v/>
      </c>
      <c r="U115" s="7">
        <f>IF($W115="","",IF(INDEX('Per Invoice'!U$2:U$801,$W115)="","",INDEX('Per Invoice'!U$2:U$801,$W115)))</f>
        <v/>
      </c>
      <c r="V115" s="7">
        <f>IF($W115="","",IF(INDEX('Per Invoice'!V$2:V$801,$W115)="","",INDEX('Per Invoice'!V$2:V$801,$W115)))</f>
        <v/>
      </c>
      <c r="W115" s="16">
        <f>IFERROR(MATCH(Settings!$C$29&amp;"|"&amp;ROWS($W$2:$W115),'Per Invoice'!$X$2:$X$801,0),"")</f>
        <v/>
      </c>
    </row>
    <row r="116">
      <c r="A116">
        <f>IF($W116="","",IF(INDEX('Per Invoice'!A$2:A$801,$W116)="","",INDEX('Per Invoice'!A$2:A$801,$W116)))</f>
        <v/>
      </c>
      <c r="B116">
        <f>IF($W116="","",IF(INDEX('Per Invoice'!B$2:B$801,$W116)="","",INDEX('Per Invoice'!B$2:B$801,$W116)))</f>
        <v/>
      </c>
      <c r="C116">
        <f>IF($W116="","",IF(INDEX('Per Invoice'!C$2:C$801,$W116)="","",INDEX('Per Invoice'!C$2:C$801,$W116)))</f>
        <v/>
      </c>
      <c r="D116">
        <f>IF($W116="","",IF(INDEX('Per Invoice'!D$2:D$801,$W116)="","",INDEX('Per Invoice'!D$2:D$801,$W116)))</f>
        <v/>
      </c>
      <c r="E116">
        <f>IF($W116="","",IF(INDEX('Per Invoice'!E$2:E$801,$W116)="","",INDEX('Per Invoice'!E$2:E$801,$W116)))</f>
        <v/>
      </c>
      <c r="F116">
        <f>IF($W116="","",IF(INDEX('Per Invoice'!F$2:F$801,$W116)="","",INDEX('Per Invoice'!F$2:F$801,$W116)))</f>
        <v/>
      </c>
      <c r="G116">
        <f>IF($W116="","",IF(INDEX('Per Invoice'!G$2:G$801,$W116)="","",INDEX('Per Invoice'!G$2:G$801,$W116)))</f>
        <v/>
      </c>
      <c r="H116">
        <f>IF($W116="","",IF(INDEX('Per Invoice'!H$2:H$801,$W116)="","",INDEX('Per Invoice'!H$2:H$801,$W116)))</f>
        <v/>
      </c>
      <c r="I116">
        <f>IF($W116="","",IF(INDEX('Per Invoice'!I$2:I$801,$W116)="","",INDEX('Per Invoice'!I$2:I$801,$W116)))</f>
        <v/>
      </c>
      <c r="J116">
        <f>IF($W116="","",IF(INDEX('Per Invoice'!J$2:J$801,$W116)="","",INDEX('Per Invoice'!J$2:J$801,$W116)))</f>
        <v/>
      </c>
      <c r="K116" s="7">
        <f>IF($W116="","",IF(INDEX('Per Invoice'!K$2:K$801,$W116)="","",INDEX('Per Invoice'!K$2:K$801,$W116)))</f>
        <v/>
      </c>
      <c r="L116" s="14">
        <f>IF($W116="","",IF(INDEX('Per Invoice'!L$2:L$801,$W116)="","",INDEX('Per Invoice'!L$2:L$801,$W116)))</f>
        <v/>
      </c>
      <c r="M116">
        <f>IF($W116="","",IF(INDEX('Per Invoice'!M$2:M$801,$W116)="","",INDEX('Per Invoice'!M$2:M$801,$W116)))</f>
        <v/>
      </c>
      <c r="N116" s="7">
        <f>IF($W116="","",IF(INDEX('Per Invoice'!N$2:N$801,$W116)="","",INDEX('Per Invoice'!N$2:N$801,$W116)))</f>
        <v/>
      </c>
      <c r="O116" s="7">
        <f>IF($W116="","",IF(INDEX('Per Invoice'!O$2:O$801,$W116)="","",INDEX('Per Invoice'!O$2:O$801,$W116)))</f>
        <v/>
      </c>
      <c r="P116">
        <f>IF($W116="","",IF(INDEX('Per Invoice'!P$2:P$801,$W116)="","",INDEX('Per Invoice'!P$2:P$801,$W116)))</f>
        <v/>
      </c>
      <c r="Q116" s="7">
        <f>IF($W116="","",IF(INDEX('Per Invoice'!Q$2:Q$801,$W116)="","",INDEX('Per Invoice'!Q$2:Q$801,$W116)))</f>
        <v/>
      </c>
      <c r="R116" s="7">
        <f>IF($W116="","",IF(INDEX('Per Invoice'!R$2:R$801,$W116)="","",INDEX('Per Invoice'!R$2:R$801,$W116)))</f>
        <v/>
      </c>
      <c r="S116" s="7">
        <f>IF($W116="","",IF(INDEX('Per Invoice'!S$2:S$801,$W116)="","",INDEX('Per Invoice'!S$2:S$801,$W116)))</f>
        <v/>
      </c>
      <c r="T116" s="7">
        <f>IF($W116="","",IF(INDEX('Per Invoice'!T$2:T$801,$W116)="","",INDEX('Per Invoice'!T$2:T$801,$W116)))</f>
        <v/>
      </c>
      <c r="U116" s="7">
        <f>IF($W116="","",IF(INDEX('Per Invoice'!U$2:U$801,$W116)="","",INDEX('Per Invoice'!U$2:U$801,$W116)))</f>
        <v/>
      </c>
      <c r="V116" s="7">
        <f>IF($W116="","",IF(INDEX('Per Invoice'!V$2:V$801,$W116)="","",INDEX('Per Invoice'!V$2:V$801,$W116)))</f>
        <v/>
      </c>
      <c r="W116" s="16">
        <f>IFERROR(MATCH(Settings!$C$29&amp;"|"&amp;ROWS($W$2:$W116),'Per Invoice'!$X$2:$X$801,0),"")</f>
        <v/>
      </c>
    </row>
    <row r="117">
      <c r="A117">
        <f>IF($W117="","",IF(INDEX('Per Invoice'!A$2:A$801,$W117)="","",INDEX('Per Invoice'!A$2:A$801,$W117)))</f>
        <v/>
      </c>
      <c r="B117">
        <f>IF($W117="","",IF(INDEX('Per Invoice'!B$2:B$801,$W117)="","",INDEX('Per Invoice'!B$2:B$801,$W117)))</f>
        <v/>
      </c>
      <c r="C117">
        <f>IF($W117="","",IF(INDEX('Per Invoice'!C$2:C$801,$W117)="","",INDEX('Per Invoice'!C$2:C$801,$W117)))</f>
        <v/>
      </c>
      <c r="D117">
        <f>IF($W117="","",IF(INDEX('Per Invoice'!D$2:D$801,$W117)="","",INDEX('Per Invoice'!D$2:D$801,$W117)))</f>
        <v/>
      </c>
      <c r="E117">
        <f>IF($W117="","",IF(INDEX('Per Invoice'!E$2:E$801,$W117)="","",INDEX('Per Invoice'!E$2:E$801,$W117)))</f>
        <v/>
      </c>
      <c r="F117">
        <f>IF($W117="","",IF(INDEX('Per Invoice'!F$2:F$801,$W117)="","",INDEX('Per Invoice'!F$2:F$801,$W117)))</f>
        <v/>
      </c>
      <c r="G117">
        <f>IF($W117="","",IF(INDEX('Per Invoice'!G$2:G$801,$W117)="","",INDEX('Per Invoice'!G$2:G$801,$W117)))</f>
        <v/>
      </c>
      <c r="H117">
        <f>IF($W117="","",IF(INDEX('Per Invoice'!H$2:H$801,$W117)="","",INDEX('Per Invoice'!H$2:H$801,$W117)))</f>
        <v/>
      </c>
      <c r="I117">
        <f>IF($W117="","",IF(INDEX('Per Invoice'!I$2:I$801,$W117)="","",INDEX('Per Invoice'!I$2:I$801,$W117)))</f>
        <v/>
      </c>
      <c r="J117">
        <f>IF($W117="","",IF(INDEX('Per Invoice'!J$2:J$801,$W117)="","",INDEX('Per Invoice'!J$2:J$801,$W117)))</f>
        <v/>
      </c>
      <c r="K117" s="7">
        <f>IF($W117="","",IF(INDEX('Per Invoice'!K$2:K$801,$W117)="","",INDEX('Per Invoice'!K$2:K$801,$W117)))</f>
        <v/>
      </c>
      <c r="L117" s="14">
        <f>IF($W117="","",IF(INDEX('Per Invoice'!L$2:L$801,$W117)="","",INDEX('Per Invoice'!L$2:L$801,$W117)))</f>
        <v/>
      </c>
      <c r="M117">
        <f>IF($W117="","",IF(INDEX('Per Invoice'!M$2:M$801,$W117)="","",INDEX('Per Invoice'!M$2:M$801,$W117)))</f>
        <v/>
      </c>
      <c r="N117" s="7">
        <f>IF($W117="","",IF(INDEX('Per Invoice'!N$2:N$801,$W117)="","",INDEX('Per Invoice'!N$2:N$801,$W117)))</f>
        <v/>
      </c>
      <c r="O117" s="7">
        <f>IF($W117="","",IF(INDEX('Per Invoice'!O$2:O$801,$W117)="","",INDEX('Per Invoice'!O$2:O$801,$W117)))</f>
        <v/>
      </c>
      <c r="P117">
        <f>IF($W117="","",IF(INDEX('Per Invoice'!P$2:P$801,$W117)="","",INDEX('Per Invoice'!P$2:P$801,$W117)))</f>
        <v/>
      </c>
      <c r="Q117" s="7">
        <f>IF($W117="","",IF(INDEX('Per Invoice'!Q$2:Q$801,$W117)="","",INDEX('Per Invoice'!Q$2:Q$801,$W117)))</f>
        <v/>
      </c>
      <c r="R117" s="7">
        <f>IF($W117="","",IF(INDEX('Per Invoice'!R$2:R$801,$W117)="","",INDEX('Per Invoice'!R$2:R$801,$W117)))</f>
        <v/>
      </c>
      <c r="S117" s="7">
        <f>IF($W117="","",IF(INDEX('Per Invoice'!S$2:S$801,$W117)="","",INDEX('Per Invoice'!S$2:S$801,$W117)))</f>
        <v/>
      </c>
      <c r="T117" s="7">
        <f>IF($W117="","",IF(INDEX('Per Invoice'!T$2:T$801,$W117)="","",INDEX('Per Invoice'!T$2:T$801,$W117)))</f>
        <v/>
      </c>
      <c r="U117" s="7">
        <f>IF($W117="","",IF(INDEX('Per Invoice'!U$2:U$801,$W117)="","",INDEX('Per Invoice'!U$2:U$801,$W117)))</f>
        <v/>
      </c>
      <c r="V117" s="7">
        <f>IF($W117="","",IF(INDEX('Per Invoice'!V$2:V$801,$W117)="","",INDEX('Per Invoice'!V$2:V$801,$W117)))</f>
        <v/>
      </c>
      <c r="W117" s="16">
        <f>IFERROR(MATCH(Settings!$C$29&amp;"|"&amp;ROWS($W$2:$W117),'Per Invoice'!$X$2:$X$801,0),"")</f>
        <v/>
      </c>
    </row>
    <row r="118">
      <c r="A118">
        <f>IF($W118="","",IF(INDEX('Per Invoice'!A$2:A$801,$W118)="","",INDEX('Per Invoice'!A$2:A$801,$W118)))</f>
        <v/>
      </c>
      <c r="B118">
        <f>IF($W118="","",IF(INDEX('Per Invoice'!B$2:B$801,$W118)="","",INDEX('Per Invoice'!B$2:B$801,$W118)))</f>
        <v/>
      </c>
      <c r="C118">
        <f>IF($W118="","",IF(INDEX('Per Invoice'!C$2:C$801,$W118)="","",INDEX('Per Invoice'!C$2:C$801,$W118)))</f>
        <v/>
      </c>
      <c r="D118">
        <f>IF($W118="","",IF(INDEX('Per Invoice'!D$2:D$801,$W118)="","",INDEX('Per Invoice'!D$2:D$801,$W118)))</f>
        <v/>
      </c>
      <c r="E118">
        <f>IF($W118="","",IF(INDEX('Per Invoice'!E$2:E$801,$W118)="","",INDEX('Per Invoice'!E$2:E$801,$W118)))</f>
        <v/>
      </c>
      <c r="F118">
        <f>IF($W118="","",IF(INDEX('Per Invoice'!F$2:F$801,$W118)="","",INDEX('Per Invoice'!F$2:F$801,$W118)))</f>
        <v/>
      </c>
      <c r="G118">
        <f>IF($W118="","",IF(INDEX('Per Invoice'!G$2:G$801,$W118)="","",INDEX('Per Invoice'!G$2:G$801,$W118)))</f>
        <v/>
      </c>
      <c r="H118">
        <f>IF($W118="","",IF(INDEX('Per Invoice'!H$2:H$801,$W118)="","",INDEX('Per Invoice'!H$2:H$801,$W118)))</f>
        <v/>
      </c>
      <c r="I118">
        <f>IF($W118="","",IF(INDEX('Per Invoice'!I$2:I$801,$W118)="","",INDEX('Per Invoice'!I$2:I$801,$W118)))</f>
        <v/>
      </c>
      <c r="J118">
        <f>IF($W118="","",IF(INDEX('Per Invoice'!J$2:J$801,$W118)="","",INDEX('Per Invoice'!J$2:J$801,$W118)))</f>
        <v/>
      </c>
      <c r="K118" s="7">
        <f>IF($W118="","",IF(INDEX('Per Invoice'!K$2:K$801,$W118)="","",INDEX('Per Invoice'!K$2:K$801,$W118)))</f>
        <v/>
      </c>
      <c r="L118" s="14">
        <f>IF($W118="","",IF(INDEX('Per Invoice'!L$2:L$801,$W118)="","",INDEX('Per Invoice'!L$2:L$801,$W118)))</f>
        <v/>
      </c>
      <c r="M118">
        <f>IF($W118="","",IF(INDEX('Per Invoice'!M$2:M$801,$W118)="","",INDEX('Per Invoice'!M$2:M$801,$W118)))</f>
        <v/>
      </c>
      <c r="N118" s="7">
        <f>IF($W118="","",IF(INDEX('Per Invoice'!N$2:N$801,$W118)="","",INDEX('Per Invoice'!N$2:N$801,$W118)))</f>
        <v/>
      </c>
      <c r="O118" s="7">
        <f>IF($W118="","",IF(INDEX('Per Invoice'!O$2:O$801,$W118)="","",INDEX('Per Invoice'!O$2:O$801,$W118)))</f>
        <v/>
      </c>
      <c r="P118">
        <f>IF($W118="","",IF(INDEX('Per Invoice'!P$2:P$801,$W118)="","",INDEX('Per Invoice'!P$2:P$801,$W118)))</f>
        <v/>
      </c>
      <c r="Q118" s="7">
        <f>IF($W118="","",IF(INDEX('Per Invoice'!Q$2:Q$801,$W118)="","",INDEX('Per Invoice'!Q$2:Q$801,$W118)))</f>
        <v/>
      </c>
      <c r="R118" s="7">
        <f>IF($W118="","",IF(INDEX('Per Invoice'!R$2:R$801,$W118)="","",INDEX('Per Invoice'!R$2:R$801,$W118)))</f>
        <v/>
      </c>
      <c r="S118" s="7">
        <f>IF($W118="","",IF(INDEX('Per Invoice'!S$2:S$801,$W118)="","",INDEX('Per Invoice'!S$2:S$801,$W118)))</f>
        <v/>
      </c>
      <c r="T118" s="7">
        <f>IF($W118="","",IF(INDEX('Per Invoice'!T$2:T$801,$W118)="","",INDEX('Per Invoice'!T$2:T$801,$W118)))</f>
        <v/>
      </c>
      <c r="U118" s="7">
        <f>IF($W118="","",IF(INDEX('Per Invoice'!U$2:U$801,$W118)="","",INDEX('Per Invoice'!U$2:U$801,$W118)))</f>
        <v/>
      </c>
      <c r="V118" s="7">
        <f>IF($W118="","",IF(INDEX('Per Invoice'!V$2:V$801,$W118)="","",INDEX('Per Invoice'!V$2:V$801,$W118)))</f>
        <v/>
      </c>
      <c r="W118" s="16">
        <f>IFERROR(MATCH(Settings!$C$29&amp;"|"&amp;ROWS($W$2:$W118),'Per Invoice'!$X$2:$X$801,0),"")</f>
        <v/>
      </c>
    </row>
    <row r="119">
      <c r="A119">
        <f>IF($W119="","",IF(INDEX('Per Invoice'!A$2:A$801,$W119)="","",INDEX('Per Invoice'!A$2:A$801,$W119)))</f>
        <v/>
      </c>
      <c r="B119">
        <f>IF($W119="","",IF(INDEX('Per Invoice'!B$2:B$801,$W119)="","",INDEX('Per Invoice'!B$2:B$801,$W119)))</f>
        <v/>
      </c>
      <c r="C119">
        <f>IF($W119="","",IF(INDEX('Per Invoice'!C$2:C$801,$W119)="","",INDEX('Per Invoice'!C$2:C$801,$W119)))</f>
        <v/>
      </c>
      <c r="D119">
        <f>IF($W119="","",IF(INDEX('Per Invoice'!D$2:D$801,$W119)="","",INDEX('Per Invoice'!D$2:D$801,$W119)))</f>
        <v/>
      </c>
      <c r="E119">
        <f>IF($W119="","",IF(INDEX('Per Invoice'!E$2:E$801,$W119)="","",INDEX('Per Invoice'!E$2:E$801,$W119)))</f>
        <v/>
      </c>
      <c r="F119">
        <f>IF($W119="","",IF(INDEX('Per Invoice'!F$2:F$801,$W119)="","",INDEX('Per Invoice'!F$2:F$801,$W119)))</f>
        <v/>
      </c>
      <c r="G119">
        <f>IF($W119="","",IF(INDEX('Per Invoice'!G$2:G$801,$W119)="","",INDEX('Per Invoice'!G$2:G$801,$W119)))</f>
        <v/>
      </c>
      <c r="H119">
        <f>IF($W119="","",IF(INDEX('Per Invoice'!H$2:H$801,$W119)="","",INDEX('Per Invoice'!H$2:H$801,$W119)))</f>
        <v/>
      </c>
      <c r="I119">
        <f>IF($W119="","",IF(INDEX('Per Invoice'!I$2:I$801,$W119)="","",INDEX('Per Invoice'!I$2:I$801,$W119)))</f>
        <v/>
      </c>
      <c r="J119">
        <f>IF($W119="","",IF(INDEX('Per Invoice'!J$2:J$801,$W119)="","",INDEX('Per Invoice'!J$2:J$801,$W119)))</f>
        <v/>
      </c>
      <c r="K119" s="7">
        <f>IF($W119="","",IF(INDEX('Per Invoice'!K$2:K$801,$W119)="","",INDEX('Per Invoice'!K$2:K$801,$W119)))</f>
        <v/>
      </c>
      <c r="L119" s="14">
        <f>IF($W119="","",IF(INDEX('Per Invoice'!L$2:L$801,$W119)="","",INDEX('Per Invoice'!L$2:L$801,$W119)))</f>
        <v/>
      </c>
      <c r="M119">
        <f>IF($W119="","",IF(INDEX('Per Invoice'!M$2:M$801,$W119)="","",INDEX('Per Invoice'!M$2:M$801,$W119)))</f>
        <v/>
      </c>
      <c r="N119" s="7">
        <f>IF($W119="","",IF(INDEX('Per Invoice'!N$2:N$801,$W119)="","",INDEX('Per Invoice'!N$2:N$801,$W119)))</f>
        <v/>
      </c>
      <c r="O119" s="7">
        <f>IF($W119="","",IF(INDEX('Per Invoice'!O$2:O$801,$W119)="","",INDEX('Per Invoice'!O$2:O$801,$W119)))</f>
        <v/>
      </c>
      <c r="P119">
        <f>IF($W119="","",IF(INDEX('Per Invoice'!P$2:P$801,$W119)="","",INDEX('Per Invoice'!P$2:P$801,$W119)))</f>
        <v/>
      </c>
      <c r="Q119" s="7">
        <f>IF($W119="","",IF(INDEX('Per Invoice'!Q$2:Q$801,$W119)="","",INDEX('Per Invoice'!Q$2:Q$801,$W119)))</f>
        <v/>
      </c>
      <c r="R119" s="7">
        <f>IF($W119="","",IF(INDEX('Per Invoice'!R$2:R$801,$W119)="","",INDEX('Per Invoice'!R$2:R$801,$W119)))</f>
        <v/>
      </c>
      <c r="S119" s="7">
        <f>IF($W119="","",IF(INDEX('Per Invoice'!S$2:S$801,$W119)="","",INDEX('Per Invoice'!S$2:S$801,$W119)))</f>
        <v/>
      </c>
      <c r="T119" s="7">
        <f>IF($W119="","",IF(INDEX('Per Invoice'!T$2:T$801,$W119)="","",INDEX('Per Invoice'!T$2:T$801,$W119)))</f>
        <v/>
      </c>
      <c r="U119" s="7">
        <f>IF($W119="","",IF(INDEX('Per Invoice'!U$2:U$801,$W119)="","",INDEX('Per Invoice'!U$2:U$801,$W119)))</f>
        <v/>
      </c>
      <c r="V119" s="7">
        <f>IF($W119="","",IF(INDEX('Per Invoice'!V$2:V$801,$W119)="","",INDEX('Per Invoice'!V$2:V$801,$W119)))</f>
        <v/>
      </c>
      <c r="W119" s="16">
        <f>IFERROR(MATCH(Settings!$C$29&amp;"|"&amp;ROWS($W$2:$W119),'Per Invoice'!$X$2:$X$801,0),"")</f>
        <v/>
      </c>
    </row>
    <row r="120">
      <c r="A120">
        <f>IF($W120="","",IF(INDEX('Per Invoice'!A$2:A$801,$W120)="","",INDEX('Per Invoice'!A$2:A$801,$W120)))</f>
        <v/>
      </c>
      <c r="B120">
        <f>IF($W120="","",IF(INDEX('Per Invoice'!B$2:B$801,$W120)="","",INDEX('Per Invoice'!B$2:B$801,$W120)))</f>
        <v/>
      </c>
      <c r="C120">
        <f>IF($W120="","",IF(INDEX('Per Invoice'!C$2:C$801,$W120)="","",INDEX('Per Invoice'!C$2:C$801,$W120)))</f>
        <v/>
      </c>
      <c r="D120">
        <f>IF($W120="","",IF(INDEX('Per Invoice'!D$2:D$801,$W120)="","",INDEX('Per Invoice'!D$2:D$801,$W120)))</f>
        <v/>
      </c>
      <c r="E120">
        <f>IF($W120="","",IF(INDEX('Per Invoice'!E$2:E$801,$W120)="","",INDEX('Per Invoice'!E$2:E$801,$W120)))</f>
        <v/>
      </c>
      <c r="F120">
        <f>IF($W120="","",IF(INDEX('Per Invoice'!F$2:F$801,$W120)="","",INDEX('Per Invoice'!F$2:F$801,$W120)))</f>
        <v/>
      </c>
      <c r="G120">
        <f>IF($W120="","",IF(INDEX('Per Invoice'!G$2:G$801,$W120)="","",INDEX('Per Invoice'!G$2:G$801,$W120)))</f>
        <v/>
      </c>
      <c r="H120">
        <f>IF($W120="","",IF(INDEX('Per Invoice'!H$2:H$801,$W120)="","",INDEX('Per Invoice'!H$2:H$801,$W120)))</f>
        <v/>
      </c>
      <c r="I120">
        <f>IF($W120="","",IF(INDEX('Per Invoice'!I$2:I$801,$W120)="","",INDEX('Per Invoice'!I$2:I$801,$W120)))</f>
        <v/>
      </c>
      <c r="J120">
        <f>IF($W120="","",IF(INDEX('Per Invoice'!J$2:J$801,$W120)="","",INDEX('Per Invoice'!J$2:J$801,$W120)))</f>
        <v/>
      </c>
      <c r="K120" s="7">
        <f>IF($W120="","",IF(INDEX('Per Invoice'!K$2:K$801,$W120)="","",INDEX('Per Invoice'!K$2:K$801,$W120)))</f>
        <v/>
      </c>
      <c r="L120" s="14">
        <f>IF($W120="","",IF(INDEX('Per Invoice'!L$2:L$801,$W120)="","",INDEX('Per Invoice'!L$2:L$801,$W120)))</f>
        <v/>
      </c>
      <c r="M120">
        <f>IF($W120="","",IF(INDEX('Per Invoice'!M$2:M$801,$W120)="","",INDEX('Per Invoice'!M$2:M$801,$W120)))</f>
        <v/>
      </c>
      <c r="N120" s="7">
        <f>IF($W120="","",IF(INDEX('Per Invoice'!N$2:N$801,$W120)="","",INDEX('Per Invoice'!N$2:N$801,$W120)))</f>
        <v/>
      </c>
      <c r="O120" s="7">
        <f>IF($W120="","",IF(INDEX('Per Invoice'!O$2:O$801,$W120)="","",INDEX('Per Invoice'!O$2:O$801,$W120)))</f>
        <v/>
      </c>
      <c r="P120">
        <f>IF($W120="","",IF(INDEX('Per Invoice'!P$2:P$801,$W120)="","",INDEX('Per Invoice'!P$2:P$801,$W120)))</f>
        <v/>
      </c>
      <c r="Q120" s="7">
        <f>IF($W120="","",IF(INDEX('Per Invoice'!Q$2:Q$801,$W120)="","",INDEX('Per Invoice'!Q$2:Q$801,$W120)))</f>
        <v/>
      </c>
      <c r="R120" s="7">
        <f>IF($W120="","",IF(INDEX('Per Invoice'!R$2:R$801,$W120)="","",INDEX('Per Invoice'!R$2:R$801,$W120)))</f>
        <v/>
      </c>
      <c r="S120" s="7">
        <f>IF($W120="","",IF(INDEX('Per Invoice'!S$2:S$801,$W120)="","",INDEX('Per Invoice'!S$2:S$801,$W120)))</f>
        <v/>
      </c>
      <c r="T120" s="7">
        <f>IF($W120="","",IF(INDEX('Per Invoice'!T$2:T$801,$W120)="","",INDEX('Per Invoice'!T$2:T$801,$W120)))</f>
        <v/>
      </c>
      <c r="U120" s="7">
        <f>IF($W120="","",IF(INDEX('Per Invoice'!U$2:U$801,$W120)="","",INDEX('Per Invoice'!U$2:U$801,$W120)))</f>
        <v/>
      </c>
      <c r="V120" s="7">
        <f>IF($W120="","",IF(INDEX('Per Invoice'!V$2:V$801,$W120)="","",INDEX('Per Invoice'!V$2:V$801,$W120)))</f>
        <v/>
      </c>
      <c r="W120" s="16">
        <f>IFERROR(MATCH(Settings!$C$29&amp;"|"&amp;ROWS($W$2:$W120),'Per Invoice'!$X$2:$X$801,0),"")</f>
        <v/>
      </c>
    </row>
    <row r="121">
      <c r="A121">
        <f>IF($W121="","",IF(INDEX('Per Invoice'!A$2:A$801,$W121)="","",INDEX('Per Invoice'!A$2:A$801,$W121)))</f>
        <v/>
      </c>
      <c r="B121">
        <f>IF($W121="","",IF(INDEX('Per Invoice'!B$2:B$801,$W121)="","",INDEX('Per Invoice'!B$2:B$801,$W121)))</f>
        <v/>
      </c>
      <c r="C121">
        <f>IF($W121="","",IF(INDEX('Per Invoice'!C$2:C$801,$W121)="","",INDEX('Per Invoice'!C$2:C$801,$W121)))</f>
        <v/>
      </c>
      <c r="D121">
        <f>IF($W121="","",IF(INDEX('Per Invoice'!D$2:D$801,$W121)="","",INDEX('Per Invoice'!D$2:D$801,$W121)))</f>
        <v/>
      </c>
      <c r="E121">
        <f>IF($W121="","",IF(INDEX('Per Invoice'!E$2:E$801,$W121)="","",INDEX('Per Invoice'!E$2:E$801,$W121)))</f>
        <v/>
      </c>
      <c r="F121">
        <f>IF($W121="","",IF(INDEX('Per Invoice'!F$2:F$801,$W121)="","",INDEX('Per Invoice'!F$2:F$801,$W121)))</f>
        <v/>
      </c>
      <c r="G121">
        <f>IF($W121="","",IF(INDEX('Per Invoice'!G$2:G$801,$W121)="","",INDEX('Per Invoice'!G$2:G$801,$W121)))</f>
        <v/>
      </c>
      <c r="H121">
        <f>IF($W121="","",IF(INDEX('Per Invoice'!H$2:H$801,$W121)="","",INDEX('Per Invoice'!H$2:H$801,$W121)))</f>
        <v/>
      </c>
      <c r="I121">
        <f>IF($W121="","",IF(INDEX('Per Invoice'!I$2:I$801,$W121)="","",INDEX('Per Invoice'!I$2:I$801,$W121)))</f>
        <v/>
      </c>
      <c r="J121">
        <f>IF($W121="","",IF(INDEX('Per Invoice'!J$2:J$801,$W121)="","",INDEX('Per Invoice'!J$2:J$801,$W121)))</f>
        <v/>
      </c>
      <c r="K121" s="7">
        <f>IF($W121="","",IF(INDEX('Per Invoice'!K$2:K$801,$W121)="","",INDEX('Per Invoice'!K$2:K$801,$W121)))</f>
        <v/>
      </c>
      <c r="L121" s="14">
        <f>IF($W121="","",IF(INDEX('Per Invoice'!L$2:L$801,$W121)="","",INDEX('Per Invoice'!L$2:L$801,$W121)))</f>
        <v/>
      </c>
      <c r="M121">
        <f>IF($W121="","",IF(INDEX('Per Invoice'!M$2:M$801,$W121)="","",INDEX('Per Invoice'!M$2:M$801,$W121)))</f>
        <v/>
      </c>
      <c r="N121" s="7">
        <f>IF($W121="","",IF(INDEX('Per Invoice'!N$2:N$801,$W121)="","",INDEX('Per Invoice'!N$2:N$801,$W121)))</f>
        <v/>
      </c>
      <c r="O121" s="7">
        <f>IF($W121="","",IF(INDEX('Per Invoice'!O$2:O$801,$W121)="","",INDEX('Per Invoice'!O$2:O$801,$W121)))</f>
        <v/>
      </c>
      <c r="P121">
        <f>IF($W121="","",IF(INDEX('Per Invoice'!P$2:P$801,$W121)="","",INDEX('Per Invoice'!P$2:P$801,$W121)))</f>
        <v/>
      </c>
      <c r="Q121" s="7">
        <f>IF($W121="","",IF(INDEX('Per Invoice'!Q$2:Q$801,$W121)="","",INDEX('Per Invoice'!Q$2:Q$801,$W121)))</f>
        <v/>
      </c>
      <c r="R121" s="7">
        <f>IF($W121="","",IF(INDEX('Per Invoice'!R$2:R$801,$W121)="","",INDEX('Per Invoice'!R$2:R$801,$W121)))</f>
        <v/>
      </c>
      <c r="S121" s="7">
        <f>IF($W121="","",IF(INDEX('Per Invoice'!S$2:S$801,$W121)="","",INDEX('Per Invoice'!S$2:S$801,$W121)))</f>
        <v/>
      </c>
      <c r="T121" s="7">
        <f>IF($W121="","",IF(INDEX('Per Invoice'!T$2:T$801,$W121)="","",INDEX('Per Invoice'!T$2:T$801,$W121)))</f>
        <v/>
      </c>
      <c r="U121" s="7">
        <f>IF($W121="","",IF(INDEX('Per Invoice'!U$2:U$801,$W121)="","",INDEX('Per Invoice'!U$2:U$801,$W121)))</f>
        <v/>
      </c>
      <c r="V121" s="7">
        <f>IF($W121="","",IF(INDEX('Per Invoice'!V$2:V$801,$W121)="","",INDEX('Per Invoice'!V$2:V$801,$W121)))</f>
        <v/>
      </c>
      <c r="W121" s="16">
        <f>IFERROR(MATCH(Settings!$C$29&amp;"|"&amp;ROWS($W$2:$W121),'Per Invoice'!$X$2:$X$801,0),"")</f>
        <v/>
      </c>
    </row>
    <row r="122">
      <c r="A122">
        <f>IF($W122="","",IF(INDEX('Per Invoice'!A$2:A$801,$W122)="","",INDEX('Per Invoice'!A$2:A$801,$W122)))</f>
        <v/>
      </c>
      <c r="B122">
        <f>IF($W122="","",IF(INDEX('Per Invoice'!B$2:B$801,$W122)="","",INDEX('Per Invoice'!B$2:B$801,$W122)))</f>
        <v/>
      </c>
      <c r="C122">
        <f>IF($W122="","",IF(INDEX('Per Invoice'!C$2:C$801,$W122)="","",INDEX('Per Invoice'!C$2:C$801,$W122)))</f>
        <v/>
      </c>
      <c r="D122">
        <f>IF($W122="","",IF(INDEX('Per Invoice'!D$2:D$801,$W122)="","",INDEX('Per Invoice'!D$2:D$801,$W122)))</f>
        <v/>
      </c>
      <c r="E122">
        <f>IF($W122="","",IF(INDEX('Per Invoice'!E$2:E$801,$W122)="","",INDEX('Per Invoice'!E$2:E$801,$W122)))</f>
        <v/>
      </c>
      <c r="F122">
        <f>IF($W122="","",IF(INDEX('Per Invoice'!F$2:F$801,$W122)="","",INDEX('Per Invoice'!F$2:F$801,$W122)))</f>
        <v/>
      </c>
      <c r="G122">
        <f>IF($W122="","",IF(INDEX('Per Invoice'!G$2:G$801,$W122)="","",INDEX('Per Invoice'!G$2:G$801,$W122)))</f>
        <v/>
      </c>
      <c r="H122">
        <f>IF($W122="","",IF(INDEX('Per Invoice'!H$2:H$801,$W122)="","",INDEX('Per Invoice'!H$2:H$801,$W122)))</f>
        <v/>
      </c>
      <c r="I122">
        <f>IF($W122="","",IF(INDEX('Per Invoice'!I$2:I$801,$W122)="","",INDEX('Per Invoice'!I$2:I$801,$W122)))</f>
        <v/>
      </c>
      <c r="J122">
        <f>IF($W122="","",IF(INDEX('Per Invoice'!J$2:J$801,$W122)="","",INDEX('Per Invoice'!J$2:J$801,$W122)))</f>
        <v/>
      </c>
      <c r="K122" s="7">
        <f>IF($W122="","",IF(INDEX('Per Invoice'!K$2:K$801,$W122)="","",INDEX('Per Invoice'!K$2:K$801,$W122)))</f>
        <v/>
      </c>
      <c r="L122" s="14">
        <f>IF($W122="","",IF(INDEX('Per Invoice'!L$2:L$801,$W122)="","",INDEX('Per Invoice'!L$2:L$801,$W122)))</f>
        <v/>
      </c>
      <c r="M122">
        <f>IF($W122="","",IF(INDEX('Per Invoice'!M$2:M$801,$W122)="","",INDEX('Per Invoice'!M$2:M$801,$W122)))</f>
        <v/>
      </c>
      <c r="N122" s="7">
        <f>IF($W122="","",IF(INDEX('Per Invoice'!N$2:N$801,$W122)="","",INDEX('Per Invoice'!N$2:N$801,$W122)))</f>
        <v/>
      </c>
      <c r="O122" s="7">
        <f>IF($W122="","",IF(INDEX('Per Invoice'!O$2:O$801,$W122)="","",INDEX('Per Invoice'!O$2:O$801,$W122)))</f>
        <v/>
      </c>
      <c r="P122">
        <f>IF($W122="","",IF(INDEX('Per Invoice'!P$2:P$801,$W122)="","",INDEX('Per Invoice'!P$2:P$801,$W122)))</f>
        <v/>
      </c>
      <c r="Q122" s="7">
        <f>IF($W122="","",IF(INDEX('Per Invoice'!Q$2:Q$801,$W122)="","",INDEX('Per Invoice'!Q$2:Q$801,$W122)))</f>
        <v/>
      </c>
      <c r="R122" s="7">
        <f>IF($W122="","",IF(INDEX('Per Invoice'!R$2:R$801,$W122)="","",INDEX('Per Invoice'!R$2:R$801,$W122)))</f>
        <v/>
      </c>
      <c r="S122" s="7">
        <f>IF($W122="","",IF(INDEX('Per Invoice'!S$2:S$801,$W122)="","",INDEX('Per Invoice'!S$2:S$801,$W122)))</f>
        <v/>
      </c>
      <c r="T122" s="7">
        <f>IF($W122="","",IF(INDEX('Per Invoice'!T$2:T$801,$W122)="","",INDEX('Per Invoice'!T$2:T$801,$W122)))</f>
        <v/>
      </c>
      <c r="U122" s="7">
        <f>IF($W122="","",IF(INDEX('Per Invoice'!U$2:U$801,$W122)="","",INDEX('Per Invoice'!U$2:U$801,$W122)))</f>
        <v/>
      </c>
      <c r="V122" s="7">
        <f>IF($W122="","",IF(INDEX('Per Invoice'!V$2:V$801,$W122)="","",INDEX('Per Invoice'!V$2:V$801,$W122)))</f>
        <v/>
      </c>
      <c r="W122" s="16">
        <f>IFERROR(MATCH(Settings!$C$29&amp;"|"&amp;ROWS($W$2:$W122),'Per Invoice'!$X$2:$X$801,0),"")</f>
        <v/>
      </c>
    </row>
    <row r="123">
      <c r="A123">
        <f>IF($W123="","",IF(INDEX('Per Invoice'!A$2:A$801,$W123)="","",INDEX('Per Invoice'!A$2:A$801,$W123)))</f>
        <v/>
      </c>
      <c r="B123">
        <f>IF($W123="","",IF(INDEX('Per Invoice'!B$2:B$801,$W123)="","",INDEX('Per Invoice'!B$2:B$801,$W123)))</f>
        <v/>
      </c>
      <c r="C123">
        <f>IF($W123="","",IF(INDEX('Per Invoice'!C$2:C$801,$W123)="","",INDEX('Per Invoice'!C$2:C$801,$W123)))</f>
        <v/>
      </c>
      <c r="D123">
        <f>IF($W123="","",IF(INDEX('Per Invoice'!D$2:D$801,$W123)="","",INDEX('Per Invoice'!D$2:D$801,$W123)))</f>
        <v/>
      </c>
      <c r="E123">
        <f>IF($W123="","",IF(INDEX('Per Invoice'!E$2:E$801,$W123)="","",INDEX('Per Invoice'!E$2:E$801,$W123)))</f>
        <v/>
      </c>
      <c r="F123">
        <f>IF($W123="","",IF(INDEX('Per Invoice'!F$2:F$801,$W123)="","",INDEX('Per Invoice'!F$2:F$801,$W123)))</f>
        <v/>
      </c>
      <c r="G123">
        <f>IF($W123="","",IF(INDEX('Per Invoice'!G$2:G$801,$W123)="","",INDEX('Per Invoice'!G$2:G$801,$W123)))</f>
        <v/>
      </c>
      <c r="H123">
        <f>IF($W123="","",IF(INDEX('Per Invoice'!H$2:H$801,$W123)="","",INDEX('Per Invoice'!H$2:H$801,$W123)))</f>
        <v/>
      </c>
      <c r="I123">
        <f>IF($W123="","",IF(INDEX('Per Invoice'!I$2:I$801,$W123)="","",INDEX('Per Invoice'!I$2:I$801,$W123)))</f>
        <v/>
      </c>
      <c r="J123">
        <f>IF($W123="","",IF(INDEX('Per Invoice'!J$2:J$801,$W123)="","",INDEX('Per Invoice'!J$2:J$801,$W123)))</f>
        <v/>
      </c>
      <c r="K123" s="7">
        <f>IF($W123="","",IF(INDEX('Per Invoice'!K$2:K$801,$W123)="","",INDEX('Per Invoice'!K$2:K$801,$W123)))</f>
        <v/>
      </c>
      <c r="L123" s="14">
        <f>IF($W123="","",IF(INDEX('Per Invoice'!L$2:L$801,$W123)="","",INDEX('Per Invoice'!L$2:L$801,$W123)))</f>
        <v/>
      </c>
      <c r="M123">
        <f>IF($W123="","",IF(INDEX('Per Invoice'!M$2:M$801,$W123)="","",INDEX('Per Invoice'!M$2:M$801,$W123)))</f>
        <v/>
      </c>
      <c r="N123" s="7">
        <f>IF($W123="","",IF(INDEX('Per Invoice'!N$2:N$801,$W123)="","",INDEX('Per Invoice'!N$2:N$801,$W123)))</f>
        <v/>
      </c>
      <c r="O123" s="7">
        <f>IF($W123="","",IF(INDEX('Per Invoice'!O$2:O$801,$W123)="","",INDEX('Per Invoice'!O$2:O$801,$W123)))</f>
        <v/>
      </c>
      <c r="P123">
        <f>IF($W123="","",IF(INDEX('Per Invoice'!P$2:P$801,$W123)="","",INDEX('Per Invoice'!P$2:P$801,$W123)))</f>
        <v/>
      </c>
      <c r="Q123" s="7">
        <f>IF($W123="","",IF(INDEX('Per Invoice'!Q$2:Q$801,$W123)="","",INDEX('Per Invoice'!Q$2:Q$801,$W123)))</f>
        <v/>
      </c>
      <c r="R123" s="7">
        <f>IF($W123="","",IF(INDEX('Per Invoice'!R$2:R$801,$W123)="","",INDEX('Per Invoice'!R$2:R$801,$W123)))</f>
        <v/>
      </c>
      <c r="S123" s="7">
        <f>IF($W123="","",IF(INDEX('Per Invoice'!S$2:S$801,$W123)="","",INDEX('Per Invoice'!S$2:S$801,$W123)))</f>
        <v/>
      </c>
      <c r="T123" s="7">
        <f>IF($W123="","",IF(INDEX('Per Invoice'!T$2:T$801,$W123)="","",INDEX('Per Invoice'!T$2:T$801,$W123)))</f>
        <v/>
      </c>
      <c r="U123" s="7">
        <f>IF($W123="","",IF(INDEX('Per Invoice'!U$2:U$801,$W123)="","",INDEX('Per Invoice'!U$2:U$801,$W123)))</f>
        <v/>
      </c>
      <c r="V123" s="7">
        <f>IF($W123="","",IF(INDEX('Per Invoice'!V$2:V$801,$W123)="","",INDEX('Per Invoice'!V$2:V$801,$W123)))</f>
        <v/>
      </c>
      <c r="W123" s="16">
        <f>IFERROR(MATCH(Settings!$C$29&amp;"|"&amp;ROWS($W$2:$W123),'Per Invoice'!$X$2:$X$801,0),"")</f>
        <v/>
      </c>
    </row>
    <row r="124">
      <c r="A124">
        <f>IF($W124="","",IF(INDEX('Per Invoice'!A$2:A$801,$W124)="","",INDEX('Per Invoice'!A$2:A$801,$W124)))</f>
        <v/>
      </c>
      <c r="B124">
        <f>IF($W124="","",IF(INDEX('Per Invoice'!B$2:B$801,$W124)="","",INDEX('Per Invoice'!B$2:B$801,$W124)))</f>
        <v/>
      </c>
      <c r="C124">
        <f>IF($W124="","",IF(INDEX('Per Invoice'!C$2:C$801,$W124)="","",INDEX('Per Invoice'!C$2:C$801,$W124)))</f>
        <v/>
      </c>
      <c r="D124">
        <f>IF($W124="","",IF(INDEX('Per Invoice'!D$2:D$801,$W124)="","",INDEX('Per Invoice'!D$2:D$801,$W124)))</f>
        <v/>
      </c>
      <c r="E124">
        <f>IF($W124="","",IF(INDEX('Per Invoice'!E$2:E$801,$W124)="","",INDEX('Per Invoice'!E$2:E$801,$W124)))</f>
        <v/>
      </c>
      <c r="F124">
        <f>IF($W124="","",IF(INDEX('Per Invoice'!F$2:F$801,$W124)="","",INDEX('Per Invoice'!F$2:F$801,$W124)))</f>
        <v/>
      </c>
      <c r="G124">
        <f>IF($W124="","",IF(INDEX('Per Invoice'!G$2:G$801,$W124)="","",INDEX('Per Invoice'!G$2:G$801,$W124)))</f>
        <v/>
      </c>
      <c r="H124">
        <f>IF($W124="","",IF(INDEX('Per Invoice'!H$2:H$801,$W124)="","",INDEX('Per Invoice'!H$2:H$801,$W124)))</f>
        <v/>
      </c>
      <c r="I124">
        <f>IF($W124="","",IF(INDEX('Per Invoice'!I$2:I$801,$W124)="","",INDEX('Per Invoice'!I$2:I$801,$W124)))</f>
        <v/>
      </c>
      <c r="J124">
        <f>IF($W124="","",IF(INDEX('Per Invoice'!J$2:J$801,$W124)="","",INDEX('Per Invoice'!J$2:J$801,$W124)))</f>
        <v/>
      </c>
      <c r="K124" s="7">
        <f>IF($W124="","",IF(INDEX('Per Invoice'!K$2:K$801,$W124)="","",INDEX('Per Invoice'!K$2:K$801,$W124)))</f>
        <v/>
      </c>
      <c r="L124" s="14">
        <f>IF($W124="","",IF(INDEX('Per Invoice'!L$2:L$801,$W124)="","",INDEX('Per Invoice'!L$2:L$801,$W124)))</f>
        <v/>
      </c>
      <c r="M124">
        <f>IF($W124="","",IF(INDEX('Per Invoice'!M$2:M$801,$W124)="","",INDEX('Per Invoice'!M$2:M$801,$W124)))</f>
        <v/>
      </c>
      <c r="N124" s="7">
        <f>IF($W124="","",IF(INDEX('Per Invoice'!N$2:N$801,$W124)="","",INDEX('Per Invoice'!N$2:N$801,$W124)))</f>
        <v/>
      </c>
      <c r="O124" s="7">
        <f>IF($W124="","",IF(INDEX('Per Invoice'!O$2:O$801,$W124)="","",INDEX('Per Invoice'!O$2:O$801,$W124)))</f>
        <v/>
      </c>
      <c r="P124">
        <f>IF($W124="","",IF(INDEX('Per Invoice'!P$2:P$801,$W124)="","",INDEX('Per Invoice'!P$2:P$801,$W124)))</f>
        <v/>
      </c>
      <c r="Q124" s="7">
        <f>IF($W124="","",IF(INDEX('Per Invoice'!Q$2:Q$801,$W124)="","",INDEX('Per Invoice'!Q$2:Q$801,$W124)))</f>
        <v/>
      </c>
      <c r="R124" s="7">
        <f>IF($W124="","",IF(INDEX('Per Invoice'!R$2:R$801,$W124)="","",INDEX('Per Invoice'!R$2:R$801,$W124)))</f>
        <v/>
      </c>
      <c r="S124" s="7">
        <f>IF($W124="","",IF(INDEX('Per Invoice'!S$2:S$801,$W124)="","",INDEX('Per Invoice'!S$2:S$801,$W124)))</f>
        <v/>
      </c>
      <c r="T124" s="7">
        <f>IF($W124="","",IF(INDEX('Per Invoice'!T$2:T$801,$W124)="","",INDEX('Per Invoice'!T$2:T$801,$W124)))</f>
        <v/>
      </c>
      <c r="U124" s="7">
        <f>IF($W124="","",IF(INDEX('Per Invoice'!U$2:U$801,$W124)="","",INDEX('Per Invoice'!U$2:U$801,$W124)))</f>
        <v/>
      </c>
      <c r="V124" s="7">
        <f>IF($W124="","",IF(INDEX('Per Invoice'!V$2:V$801,$W124)="","",INDEX('Per Invoice'!V$2:V$801,$W124)))</f>
        <v/>
      </c>
      <c r="W124" s="16">
        <f>IFERROR(MATCH(Settings!$C$29&amp;"|"&amp;ROWS($W$2:$W124),'Per Invoice'!$X$2:$X$801,0),"")</f>
        <v/>
      </c>
    </row>
    <row r="125">
      <c r="A125">
        <f>IF($W125="","",IF(INDEX('Per Invoice'!A$2:A$801,$W125)="","",INDEX('Per Invoice'!A$2:A$801,$W125)))</f>
        <v/>
      </c>
      <c r="B125">
        <f>IF($W125="","",IF(INDEX('Per Invoice'!B$2:B$801,$W125)="","",INDEX('Per Invoice'!B$2:B$801,$W125)))</f>
        <v/>
      </c>
      <c r="C125">
        <f>IF($W125="","",IF(INDEX('Per Invoice'!C$2:C$801,$W125)="","",INDEX('Per Invoice'!C$2:C$801,$W125)))</f>
        <v/>
      </c>
      <c r="D125">
        <f>IF($W125="","",IF(INDEX('Per Invoice'!D$2:D$801,$W125)="","",INDEX('Per Invoice'!D$2:D$801,$W125)))</f>
        <v/>
      </c>
      <c r="E125">
        <f>IF($W125="","",IF(INDEX('Per Invoice'!E$2:E$801,$W125)="","",INDEX('Per Invoice'!E$2:E$801,$W125)))</f>
        <v/>
      </c>
      <c r="F125">
        <f>IF($W125="","",IF(INDEX('Per Invoice'!F$2:F$801,$W125)="","",INDEX('Per Invoice'!F$2:F$801,$W125)))</f>
        <v/>
      </c>
      <c r="G125">
        <f>IF($W125="","",IF(INDEX('Per Invoice'!G$2:G$801,$W125)="","",INDEX('Per Invoice'!G$2:G$801,$W125)))</f>
        <v/>
      </c>
      <c r="H125">
        <f>IF($W125="","",IF(INDEX('Per Invoice'!H$2:H$801,$W125)="","",INDEX('Per Invoice'!H$2:H$801,$W125)))</f>
        <v/>
      </c>
      <c r="I125">
        <f>IF($W125="","",IF(INDEX('Per Invoice'!I$2:I$801,$W125)="","",INDEX('Per Invoice'!I$2:I$801,$W125)))</f>
        <v/>
      </c>
      <c r="J125">
        <f>IF($W125="","",IF(INDEX('Per Invoice'!J$2:J$801,$W125)="","",INDEX('Per Invoice'!J$2:J$801,$W125)))</f>
        <v/>
      </c>
      <c r="K125" s="7">
        <f>IF($W125="","",IF(INDEX('Per Invoice'!K$2:K$801,$W125)="","",INDEX('Per Invoice'!K$2:K$801,$W125)))</f>
        <v/>
      </c>
      <c r="L125" s="14">
        <f>IF($W125="","",IF(INDEX('Per Invoice'!L$2:L$801,$W125)="","",INDEX('Per Invoice'!L$2:L$801,$W125)))</f>
        <v/>
      </c>
      <c r="M125">
        <f>IF($W125="","",IF(INDEX('Per Invoice'!M$2:M$801,$W125)="","",INDEX('Per Invoice'!M$2:M$801,$W125)))</f>
        <v/>
      </c>
      <c r="N125" s="7">
        <f>IF($W125="","",IF(INDEX('Per Invoice'!N$2:N$801,$W125)="","",INDEX('Per Invoice'!N$2:N$801,$W125)))</f>
        <v/>
      </c>
      <c r="O125" s="7">
        <f>IF($W125="","",IF(INDEX('Per Invoice'!O$2:O$801,$W125)="","",INDEX('Per Invoice'!O$2:O$801,$W125)))</f>
        <v/>
      </c>
      <c r="P125">
        <f>IF($W125="","",IF(INDEX('Per Invoice'!P$2:P$801,$W125)="","",INDEX('Per Invoice'!P$2:P$801,$W125)))</f>
        <v/>
      </c>
      <c r="Q125" s="7">
        <f>IF($W125="","",IF(INDEX('Per Invoice'!Q$2:Q$801,$W125)="","",INDEX('Per Invoice'!Q$2:Q$801,$W125)))</f>
        <v/>
      </c>
      <c r="R125" s="7">
        <f>IF($W125="","",IF(INDEX('Per Invoice'!R$2:R$801,$W125)="","",INDEX('Per Invoice'!R$2:R$801,$W125)))</f>
        <v/>
      </c>
      <c r="S125" s="7">
        <f>IF($W125="","",IF(INDEX('Per Invoice'!S$2:S$801,$W125)="","",INDEX('Per Invoice'!S$2:S$801,$W125)))</f>
        <v/>
      </c>
      <c r="T125" s="7">
        <f>IF($W125="","",IF(INDEX('Per Invoice'!T$2:T$801,$W125)="","",INDEX('Per Invoice'!T$2:T$801,$W125)))</f>
        <v/>
      </c>
      <c r="U125" s="7">
        <f>IF($W125="","",IF(INDEX('Per Invoice'!U$2:U$801,$W125)="","",INDEX('Per Invoice'!U$2:U$801,$W125)))</f>
        <v/>
      </c>
      <c r="V125" s="7">
        <f>IF($W125="","",IF(INDEX('Per Invoice'!V$2:V$801,$W125)="","",INDEX('Per Invoice'!V$2:V$801,$W125)))</f>
        <v/>
      </c>
      <c r="W125" s="16">
        <f>IFERROR(MATCH(Settings!$C$29&amp;"|"&amp;ROWS($W$2:$W125),'Per Invoice'!$X$2:$X$801,0),"")</f>
        <v/>
      </c>
    </row>
    <row r="126">
      <c r="A126">
        <f>IF($W126="","",IF(INDEX('Per Invoice'!A$2:A$801,$W126)="","",INDEX('Per Invoice'!A$2:A$801,$W126)))</f>
        <v/>
      </c>
      <c r="B126">
        <f>IF($W126="","",IF(INDEX('Per Invoice'!B$2:B$801,$W126)="","",INDEX('Per Invoice'!B$2:B$801,$W126)))</f>
        <v/>
      </c>
      <c r="C126">
        <f>IF($W126="","",IF(INDEX('Per Invoice'!C$2:C$801,$W126)="","",INDEX('Per Invoice'!C$2:C$801,$W126)))</f>
        <v/>
      </c>
      <c r="D126">
        <f>IF($W126="","",IF(INDEX('Per Invoice'!D$2:D$801,$W126)="","",INDEX('Per Invoice'!D$2:D$801,$W126)))</f>
        <v/>
      </c>
      <c r="E126">
        <f>IF($W126="","",IF(INDEX('Per Invoice'!E$2:E$801,$W126)="","",INDEX('Per Invoice'!E$2:E$801,$W126)))</f>
        <v/>
      </c>
      <c r="F126">
        <f>IF($W126="","",IF(INDEX('Per Invoice'!F$2:F$801,$W126)="","",INDEX('Per Invoice'!F$2:F$801,$W126)))</f>
        <v/>
      </c>
      <c r="G126">
        <f>IF($W126="","",IF(INDEX('Per Invoice'!G$2:G$801,$W126)="","",INDEX('Per Invoice'!G$2:G$801,$W126)))</f>
        <v/>
      </c>
      <c r="H126">
        <f>IF($W126="","",IF(INDEX('Per Invoice'!H$2:H$801,$W126)="","",INDEX('Per Invoice'!H$2:H$801,$W126)))</f>
        <v/>
      </c>
      <c r="I126">
        <f>IF($W126="","",IF(INDEX('Per Invoice'!I$2:I$801,$W126)="","",INDEX('Per Invoice'!I$2:I$801,$W126)))</f>
        <v/>
      </c>
      <c r="J126">
        <f>IF($W126="","",IF(INDEX('Per Invoice'!J$2:J$801,$W126)="","",INDEX('Per Invoice'!J$2:J$801,$W126)))</f>
        <v/>
      </c>
      <c r="K126" s="7">
        <f>IF($W126="","",IF(INDEX('Per Invoice'!K$2:K$801,$W126)="","",INDEX('Per Invoice'!K$2:K$801,$W126)))</f>
        <v/>
      </c>
      <c r="L126" s="14">
        <f>IF($W126="","",IF(INDEX('Per Invoice'!L$2:L$801,$W126)="","",INDEX('Per Invoice'!L$2:L$801,$W126)))</f>
        <v/>
      </c>
      <c r="M126">
        <f>IF($W126="","",IF(INDEX('Per Invoice'!M$2:M$801,$W126)="","",INDEX('Per Invoice'!M$2:M$801,$W126)))</f>
        <v/>
      </c>
      <c r="N126" s="7">
        <f>IF($W126="","",IF(INDEX('Per Invoice'!N$2:N$801,$W126)="","",INDEX('Per Invoice'!N$2:N$801,$W126)))</f>
        <v/>
      </c>
      <c r="O126" s="7">
        <f>IF($W126="","",IF(INDEX('Per Invoice'!O$2:O$801,$W126)="","",INDEX('Per Invoice'!O$2:O$801,$W126)))</f>
        <v/>
      </c>
      <c r="P126">
        <f>IF($W126="","",IF(INDEX('Per Invoice'!P$2:P$801,$W126)="","",INDEX('Per Invoice'!P$2:P$801,$W126)))</f>
        <v/>
      </c>
      <c r="Q126" s="7">
        <f>IF($W126="","",IF(INDEX('Per Invoice'!Q$2:Q$801,$W126)="","",INDEX('Per Invoice'!Q$2:Q$801,$W126)))</f>
        <v/>
      </c>
      <c r="R126" s="7">
        <f>IF($W126="","",IF(INDEX('Per Invoice'!R$2:R$801,$W126)="","",INDEX('Per Invoice'!R$2:R$801,$W126)))</f>
        <v/>
      </c>
      <c r="S126" s="7">
        <f>IF($W126="","",IF(INDEX('Per Invoice'!S$2:S$801,$W126)="","",INDEX('Per Invoice'!S$2:S$801,$W126)))</f>
        <v/>
      </c>
      <c r="T126" s="7">
        <f>IF($W126="","",IF(INDEX('Per Invoice'!T$2:T$801,$W126)="","",INDEX('Per Invoice'!T$2:T$801,$W126)))</f>
        <v/>
      </c>
      <c r="U126" s="7">
        <f>IF($W126="","",IF(INDEX('Per Invoice'!U$2:U$801,$W126)="","",INDEX('Per Invoice'!U$2:U$801,$W126)))</f>
        <v/>
      </c>
      <c r="V126" s="7">
        <f>IF($W126="","",IF(INDEX('Per Invoice'!V$2:V$801,$W126)="","",INDEX('Per Invoice'!V$2:V$801,$W126)))</f>
        <v/>
      </c>
      <c r="W126" s="16">
        <f>IFERROR(MATCH(Settings!$C$29&amp;"|"&amp;ROWS($W$2:$W126),'Per Invoice'!$X$2:$X$801,0),"")</f>
        <v/>
      </c>
    </row>
    <row r="127">
      <c r="A127">
        <f>IF($W127="","",IF(INDEX('Per Invoice'!A$2:A$801,$W127)="","",INDEX('Per Invoice'!A$2:A$801,$W127)))</f>
        <v/>
      </c>
      <c r="B127">
        <f>IF($W127="","",IF(INDEX('Per Invoice'!B$2:B$801,$W127)="","",INDEX('Per Invoice'!B$2:B$801,$W127)))</f>
        <v/>
      </c>
      <c r="C127">
        <f>IF($W127="","",IF(INDEX('Per Invoice'!C$2:C$801,$W127)="","",INDEX('Per Invoice'!C$2:C$801,$W127)))</f>
        <v/>
      </c>
      <c r="D127">
        <f>IF($W127="","",IF(INDEX('Per Invoice'!D$2:D$801,$W127)="","",INDEX('Per Invoice'!D$2:D$801,$W127)))</f>
        <v/>
      </c>
      <c r="E127">
        <f>IF($W127="","",IF(INDEX('Per Invoice'!E$2:E$801,$W127)="","",INDEX('Per Invoice'!E$2:E$801,$W127)))</f>
        <v/>
      </c>
      <c r="F127">
        <f>IF($W127="","",IF(INDEX('Per Invoice'!F$2:F$801,$W127)="","",INDEX('Per Invoice'!F$2:F$801,$W127)))</f>
        <v/>
      </c>
      <c r="G127">
        <f>IF($W127="","",IF(INDEX('Per Invoice'!G$2:G$801,$W127)="","",INDEX('Per Invoice'!G$2:G$801,$W127)))</f>
        <v/>
      </c>
      <c r="H127">
        <f>IF($W127="","",IF(INDEX('Per Invoice'!H$2:H$801,$W127)="","",INDEX('Per Invoice'!H$2:H$801,$W127)))</f>
        <v/>
      </c>
      <c r="I127">
        <f>IF($W127="","",IF(INDEX('Per Invoice'!I$2:I$801,$W127)="","",INDEX('Per Invoice'!I$2:I$801,$W127)))</f>
        <v/>
      </c>
      <c r="J127">
        <f>IF($W127="","",IF(INDEX('Per Invoice'!J$2:J$801,$W127)="","",INDEX('Per Invoice'!J$2:J$801,$W127)))</f>
        <v/>
      </c>
      <c r="K127" s="7">
        <f>IF($W127="","",IF(INDEX('Per Invoice'!K$2:K$801,$W127)="","",INDEX('Per Invoice'!K$2:K$801,$W127)))</f>
        <v/>
      </c>
      <c r="L127" s="14">
        <f>IF($W127="","",IF(INDEX('Per Invoice'!L$2:L$801,$W127)="","",INDEX('Per Invoice'!L$2:L$801,$W127)))</f>
        <v/>
      </c>
      <c r="M127">
        <f>IF($W127="","",IF(INDEX('Per Invoice'!M$2:M$801,$W127)="","",INDEX('Per Invoice'!M$2:M$801,$W127)))</f>
        <v/>
      </c>
      <c r="N127" s="7">
        <f>IF($W127="","",IF(INDEX('Per Invoice'!N$2:N$801,$W127)="","",INDEX('Per Invoice'!N$2:N$801,$W127)))</f>
        <v/>
      </c>
      <c r="O127" s="7">
        <f>IF($W127="","",IF(INDEX('Per Invoice'!O$2:O$801,$W127)="","",INDEX('Per Invoice'!O$2:O$801,$W127)))</f>
        <v/>
      </c>
      <c r="P127">
        <f>IF($W127="","",IF(INDEX('Per Invoice'!P$2:P$801,$W127)="","",INDEX('Per Invoice'!P$2:P$801,$W127)))</f>
        <v/>
      </c>
      <c r="Q127" s="7">
        <f>IF($W127="","",IF(INDEX('Per Invoice'!Q$2:Q$801,$W127)="","",INDEX('Per Invoice'!Q$2:Q$801,$W127)))</f>
        <v/>
      </c>
      <c r="R127" s="7">
        <f>IF($W127="","",IF(INDEX('Per Invoice'!R$2:R$801,$W127)="","",INDEX('Per Invoice'!R$2:R$801,$W127)))</f>
        <v/>
      </c>
      <c r="S127" s="7">
        <f>IF($W127="","",IF(INDEX('Per Invoice'!S$2:S$801,$W127)="","",INDEX('Per Invoice'!S$2:S$801,$W127)))</f>
        <v/>
      </c>
      <c r="T127" s="7">
        <f>IF($W127="","",IF(INDEX('Per Invoice'!T$2:T$801,$W127)="","",INDEX('Per Invoice'!T$2:T$801,$W127)))</f>
        <v/>
      </c>
      <c r="U127" s="7">
        <f>IF($W127="","",IF(INDEX('Per Invoice'!U$2:U$801,$W127)="","",INDEX('Per Invoice'!U$2:U$801,$W127)))</f>
        <v/>
      </c>
      <c r="V127" s="7">
        <f>IF($W127="","",IF(INDEX('Per Invoice'!V$2:V$801,$W127)="","",INDEX('Per Invoice'!V$2:V$801,$W127)))</f>
        <v/>
      </c>
      <c r="W127" s="16">
        <f>IFERROR(MATCH(Settings!$C$29&amp;"|"&amp;ROWS($W$2:$W127),'Per Invoice'!$X$2:$X$801,0),"")</f>
        <v/>
      </c>
    </row>
    <row r="128">
      <c r="A128">
        <f>IF($W128="","",IF(INDEX('Per Invoice'!A$2:A$801,$W128)="","",INDEX('Per Invoice'!A$2:A$801,$W128)))</f>
        <v/>
      </c>
      <c r="B128">
        <f>IF($W128="","",IF(INDEX('Per Invoice'!B$2:B$801,$W128)="","",INDEX('Per Invoice'!B$2:B$801,$W128)))</f>
        <v/>
      </c>
      <c r="C128">
        <f>IF($W128="","",IF(INDEX('Per Invoice'!C$2:C$801,$W128)="","",INDEX('Per Invoice'!C$2:C$801,$W128)))</f>
        <v/>
      </c>
      <c r="D128">
        <f>IF($W128="","",IF(INDEX('Per Invoice'!D$2:D$801,$W128)="","",INDEX('Per Invoice'!D$2:D$801,$W128)))</f>
        <v/>
      </c>
      <c r="E128">
        <f>IF($W128="","",IF(INDEX('Per Invoice'!E$2:E$801,$W128)="","",INDEX('Per Invoice'!E$2:E$801,$W128)))</f>
        <v/>
      </c>
      <c r="F128">
        <f>IF($W128="","",IF(INDEX('Per Invoice'!F$2:F$801,$W128)="","",INDEX('Per Invoice'!F$2:F$801,$W128)))</f>
        <v/>
      </c>
      <c r="G128">
        <f>IF($W128="","",IF(INDEX('Per Invoice'!G$2:G$801,$W128)="","",INDEX('Per Invoice'!G$2:G$801,$W128)))</f>
        <v/>
      </c>
      <c r="H128">
        <f>IF($W128="","",IF(INDEX('Per Invoice'!H$2:H$801,$W128)="","",INDEX('Per Invoice'!H$2:H$801,$W128)))</f>
        <v/>
      </c>
      <c r="I128">
        <f>IF($W128="","",IF(INDEX('Per Invoice'!I$2:I$801,$W128)="","",INDEX('Per Invoice'!I$2:I$801,$W128)))</f>
        <v/>
      </c>
      <c r="J128">
        <f>IF($W128="","",IF(INDEX('Per Invoice'!J$2:J$801,$W128)="","",INDEX('Per Invoice'!J$2:J$801,$W128)))</f>
        <v/>
      </c>
      <c r="K128" s="7">
        <f>IF($W128="","",IF(INDEX('Per Invoice'!K$2:K$801,$W128)="","",INDEX('Per Invoice'!K$2:K$801,$W128)))</f>
        <v/>
      </c>
      <c r="L128" s="14">
        <f>IF($W128="","",IF(INDEX('Per Invoice'!L$2:L$801,$W128)="","",INDEX('Per Invoice'!L$2:L$801,$W128)))</f>
        <v/>
      </c>
      <c r="M128">
        <f>IF($W128="","",IF(INDEX('Per Invoice'!M$2:M$801,$W128)="","",INDEX('Per Invoice'!M$2:M$801,$W128)))</f>
        <v/>
      </c>
      <c r="N128" s="7">
        <f>IF($W128="","",IF(INDEX('Per Invoice'!N$2:N$801,$W128)="","",INDEX('Per Invoice'!N$2:N$801,$W128)))</f>
        <v/>
      </c>
      <c r="O128" s="7">
        <f>IF($W128="","",IF(INDEX('Per Invoice'!O$2:O$801,$W128)="","",INDEX('Per Invoice'!O$2:O$801,$W128)))</f>
        <v/>
      </c>
      <c r="P128">
        <f>IF($W128="","",IF(INDEX('Per Invoice'!P$2:P$801,$W128)="","",INDEX('Per Invoice'!P$2:P$801,$W128)))</f>
        <v/>
      </c>
      <c r="Q128" s="7">
        <f>IF($W128="","",IF(INDEX('Per Invoice'!Q$2:Q$801,$W128)="","",INDEX('Per Invoice'!Q$2:Q$801,$W128)))</f>
        <v/>
      </c>
      <c r="R128" s="7">
        <f>IF($W128="","",IF(INDEX('Per Invoice'!R$2:R$801,$W128)="","",INDEX('Per Invoice'!R$2:R$801,$W128)))</f>
        <v/>
      </c>
      <c r="S128" s="7">
        <f>IF($W128="","",IF(INDEX('Per Invoice'!S$2:S$801,$W128)="","",INDEX('Per Invoice'!S$2:S$801,$W128)))</f>
        <v/>
      </c>
      <c r="T128" s="7">
        <f>IF($W128="","",IF(INDEX('Per Invoice'!T$2:T$801,$W128)="","",INDEX('Per Invoice'!T$2:T$801,$W128)))</f>
        <v/>
      </c>
      <c r="U128" s="7">
        <f>IF($W128="","",IF(INDEX('Per Invoice'!U$2:U$801,$W128)="","",INDEX('Per Invoice'!U$2:U$801,$W128)))</f>
        <v/>
      </c>
      <c r="V128" s="7">
        <f>IF($W128="","",IF(INDEX('Per Invoice'!V$2:V$801,$W128)="","",INDEX('Per Invoice'!V$2:V$801,$W128)))</f>
        <v/>
      </c>
      <c r="W128" s="16">
        <f>IFERROR(MATCH(Settings!$C$29&amp;"|"&amp;ROWS($W$2:$W128),'Per Invoice'!$X$2:$X$801,0),"")</f>
        <v/>
      </c>
    </row>
    <row r="129">
      <c r="A129">
        <f>IF($W129="","",IF(INDEX('Per Invoice'!A$2:A$801,$W129)="","",INDEX('Per Invoice'!A$2:A$801,$W129)))</f>
        <v/>
      </c>
      <c r="B129">
        <f>IF($W129="","",IF(INDEX('Per Invoice'!B$2:B$801,$W129)="","",INDEX('Per Invoice'!B$2:B$801,$W129)))</f>
        <v/>
      </c>
      <c r="C129">
        <f>IF($W129="","",IF(INDEX('Per Invoice'!C$2:C$801,$W129)="","",INDEX('Per Invoice'!C$2:C$801,$W129)))</f>
        <v/>
      </c>
      <c r="D129">
        <f>IF($W129="","",IF(INDEX('Per Invoice'!D$2:D$801,$W129)="","",INDEX('Per Invoice'!D$2:D$801,$W129)))</f>
        <v/>
      </c>
      <c r="E129">
        <f>IF($W129="","",IF(INDEX('Per Invoice'!E$2:E$801,$W129)="","",INDEX('Per Invoice'!E$2:E$801,$W129)))</f>
        <v/>
      </c>
      <c r="F129">
        <f>IF($W129="","",IF(INDEX('Per Invoice'!F$2:F$801,$W129)="","",INDEX('Per Invoice'!F$2:F$801,$W129)))</f>
        <v/>
      </c>
      <c r="G129">
        <f>IF($W129="","",IF(INDEX('Per Invoice'!G$2:G$801,$W129)="","",INDEX('Per Invoice'!G$2:G$801,$W129)))</f>
        <v/>
      </c>
      <c r="H129">
        <f>IF($W129="","",IF(INDEX('Per Invoice'!H$2:H$801,$W129)="","",INDEX('Per Invoice'!H$2:H$801,$W129)))</f>
        <v/>
      </c>
      <c r="I129">
        <f>IF($W129="","",IF(INDEX('Per Invoice'!I$2:I$801,$W129)="","",INDEX('Per Invoice'!I$2:I$801,$W129)))</f>
        <v/>
      </c>
      <c r="J129">
        <f>IF($W129="","",IF(INDEX('Per Invoice'!J$2:J$801,$W129)="","",INDEX('Per Invoice'!J$2:J$801,$W129)))</f>
        <v/>
      </c>
      <c r="K129" s="7">
        <f>IF($W129="","",IF(INDEX('Per Invoice'!K$2:K$801,$W129)="","",INDEX('Per Invoice'!K$2:K$801,$W129)))</f>
        <v/>
      </c>
      <c r="L129" s="14">
        <f>IF($W129="","",IF(INDEX('Per Invoice'!L$2:L$801,$W129)="","",INDEX('Per Invoice'!L$2:L$801,$W129)))</f>
        <v/>
      </c>
      <c r="M129">
        <f>IF($W129="","",IF(INDEX('Per Invoice'!M$2:M$801,$W129)="","",INDEX('Per Invoice'!M$2:M$801,$W129)))</f>
        <v/>
      </c>
      <c r="N129" s="7">
        <f>IF($W129="","",IF(INDEX('Per Invoice'!N$2:N$801,$W129)="","",INDEX('Per Invoice'!N$2:N$801,$W129)))</f>
        <v/>
      </c>
      <c r="O129" s="7">
        <f>IF($W129="","",IF(INDEX('Per Invoice'!O$2:O$801,$W129)="","",INDEX('Per Invoice'!O$2:O$801,$W129)))</f>
        <v/>
      </c>
      <c r="P129">
        <f>IF($W129="","",IF(INDEX('Per Invoice'!P$2:P$801,$W129)="","",INDEX('Per Invoice'!P$2:P$801,$W129)))</f>
        <v/>
      </c>
      <c r="Q129" s="7">
        <f>IF($W129="","",IF(INDEX('Per Invoice'!Q$2:Q$801,$W129)="","",INDEX('Per Invoice'!Q$2:Q$801,$W129)))</f>
        <v/>
      </c>
      <c r="R129" s="7">
        <f>IF($W129="","",IF(INDEX('Per Invoice'!R$2:R$801,$W129)="","",INDEX('Per Invoice'!R$2:R$801,$W129)))</f>
        <v/>
      </c>
      <c r="S129" s="7">
        <f>IF($W129="","",IF(INDEX('Per Invoice'!S$2:S$801,$W129)="","",INDEX('Per Invoice'!S$2:S$801,$W129)))</f>
        <v/>
      </c>
      <c r="T129" s="7">
        <f>IF($W129="","",IF(INDEX('Per Invoice'!T$2:T$801,$W129)="","",INDEX('Per Invoice'!T$2:T$801,$W129)))</f>
        <v/>
      </c>
      <c r="U129" s="7">
        <f>IF($W129="","",IF(INDEX('Per Invoice'!U$2:U$801,$W129)="","",INDEX('Per Invoice'!U$2:U$801,$W129)))</f>
        <v/>
      </c>
      <c r="V129" s="7">
        <f>IF($W129="","",IF(INDEX('Per Invoice'!V$2:V$801,$W129)="","",INDEX('Per Invoice'!V$2:V$801,$W129)))</f>
        <v/>
      </c>
      <c r="W129" s="16">
        <f>IFERROR(MATCH(Settings!$C$29&amp;"|"&amp;ROWS($W$2:$W129),'Per Invoice'!$X$2:$X$801,0),"")</f>
        <v/>
      </c>
    </row>
    <row r="130">
      <c r="A130">
        <f>IF($W130="","",IF(INDEX('Per Invoice'!A$2:A$801,$W130)="","",INDEX('Per Invoice'!A$2:A$801,$W130)))</f>
        <v/>
      </c>
      <c r="B130">
        <f>IF($W130="","",IF(INDEX('Per Invoice'!B$2:B$801,$W130)="","",INDEX('Per Invoice'!B$2:B$801,$W130)))</f>
        <v/>
      </c>
      <c r="C130">
        <f>IF($W130="","",IF(INDEX('Per Invoice'!C$2:C$801,$W130)="","",INDEX('Per Invoice'!C$2:C$801,$W130)))</f>
        <v/>
      </c>
      <c r="D130">
        <f>IF($W130="","",IF(INDEX('Per Invoice'!D$2:D$801,$W130)="","",INDEX('Per Invoice'!D$2:D$801,$W130)))</f>
        <v/>
      </c>
      <c r="E130">
        <f>IF($W130="","",IF(INDEX('Per Invoice'!E$2:E$801,$W130)="","",INDEX('Per Invoice'!E$2:E$801,$W130)))</f>
        <v/>
      </c>
      <c r="F130">
        <f>IF($W130="","",IF(INDEX('Per Invoice'!F$2:F$801,$W130)="","",INDEX('Per Invoice'!F$2:F$801,$W130)))</f>
        <v/>
      </c>
      <c r="G130">
        <f>IF($W130="","",IF(INDEX('Per Invoice'!G$2:G$801,$W130)="","",INDEX('Per Invoice'!G$2:G$801,$W130)))</f>
        <v/>
      </c>
      <c r="H130">
        <f>IF($W130="","",IF(INDEX('Per Invoice'!H$2:H$801,$W130)="","",INDEX('Per Invoice'!H$2:H$801,$W130)))</f>
        <v/>
      </c>
      <c r="I130">
        <f>IF($W130="","",IF(INDEX('Per Invoice'!I$2:I$801,$W130)="","",INDEX('Per Invoice'!I$2:I$801,$W130)))</f>
        <v/>
      </c>
      <c r="J130">
        <f>IF($W130="","",IF(INDEX('Per Invoice'!J$2:J$801,$W130)="","",INDEX('Per Invoice'!J$2:J$801,$W130)))</f>
        <v/>
      </c>
      <c r="K130" s="7">
        <f>IF($W130="","",IF(INDEX('Per Invoice'!K$2:K$801,$W130)="","",INDEX('Per Invoice'!K$2:K$801,$W130)))</f>
        <v/>
      </c>
      <c r="L130" s="14">
        <f>IF($W130="","",IF(INDEX('Per Invoice'!L$2:L$801,$W130)="","",INDEX('Per Invoice'!L$2:L$801,$W130)))</f>
        <v/>
      </c>
      <c r="M130">
        <f>IF($W130="","",IF(INDEX('Per Invoice'!M$2:M$801,$W130)="","",INDEX('Per Invoice'!M$2:M$801,$W130)))</f>
        <v/>
      </c>
      <c r="N130" s="7">
        <f>IF($W130="","",IF(INDEX('Per Invoice'!N$2:N$801,$W130)="","",INDEX('Per Invoice'!N$2:N$801,$W130)))</f>
        <v/>
      </c>
      <c r="O130" s="7">
        <f>IF($W130="","",IF(INDEX('Per Invoice'!O$2:O$801,$W130)="","",INDEX('Per Invoice'!O$2:O$801,$W130)))</f>
        <v/>
      </c>
      <c r="P130">
        <f>IF($W130="","",IF(INDEX('Per Invoice'!P$2:P$801,$W130)="","",INDEX('Per Invoice'!P$2:P$801,$W130)))</f>
        <v/>
      </c>
      <c r="Q130" s="7">
        <f>IF($W130="","",IF(INDEX('Per Invoice'!Q$2:Q$801,$W130)="","",INDEX('Per Invoice'!Q$2:Q$801,$W130)))</f>
        <v/>
      </c>
      <c r="R130" s="7">
        <f>IF($W130="","",IF(INDEX('Per Invoice'!R$2:R$801,$W130)="","",INDEX('Per Invoice'!R$2:R$801,$W130)))</f>
        <v/>
      </c>
      <c r="S130" s="7">
        <f>IF($W130="","",IF(INDEX('Per Invoice'!S$2:S$801,$W130)="","",INDEX('Per Invoice'!S$2:S$801,$W130)))</f>
        <v/>
      </c>
      <c r="T130" s="7">
        <f>IF($W130="","",IF(INDEX('Per Invoice'!T$2:T$801,$W130)="","",INDEX('Per Invoice'!T$2:T$801,$W130)))</f>
        <v/>
      </c>
      <c r="U130" s="7">
        <f>IF($W130="","",IF(INDEX('Per Invoice'!U$2:U$801,$W130)="","",INDEX('Per Invoice'!U$2:U$801,$W130)))</f>
        <v/>
      </c>
      <c r="V130" s="7">
        <f>IF($W130="","",IF(INDEX('Per Invoice'!V$2:V$801,$W130)="","",INDEX('Per Invoice'!V$2:V$801,$W130)))</f>
        <v/>
      </c>
      <c r="W130" s="16">
        <f>IFERROR(MATCH(Settings!$C$29&amp;"|"&amp;ROWS($W$2:$W130),'Per Invoice'!$X$2:$X$801,0),"")</f>
        <v/>
      </c>
    </row>
    <row r="131">
      <c r="A131">
        <f>IF($W131="","",IF(INDEX('Per Invoice'!A$2:A$801,$W131)="","",INDEX('Per Invoice'!A$2:A$801,$W131)))</f>
        <v/>
      </c>
      <c r="B131">
        <f>IF($W131="","",IF(INDEX('Per Invoice'!B$2:B$801,$W131)="","",INDEX('Per Invoice'!B$2:B$801,$W131)))</f>
        <v/>
      </c>
      <c r="C131">
        <f>IF($W131="","",IF(INDEX('Per Invoice'!C$2:C$801,$W131)="","",INDEX('Per Invoice'!C$2:C$801,$W131)))</f>
        <v/>
      </c>
      <c r="D131">
        <f>IF($W131="","",IF(INDEX('Per Invoice'!D$2:D$801,$W131)="","",INDEX('Per Invoice'!D$2:D$801,$W131)))</f>
        <v/>
      </c>
      <c r="E131">
        <f>IF($W131="","",IF(INDEX('Per Invoice'!E$2:E$801,$W131)="","",INDEX('Per Invoice'!E$2:E$801,$W131)))</f>
        <v/>
      </c>
      <c r="F131">
        <f>IF($W131="","",IF(INDEX('Per Invoice'!F$2:F$801,$W131)="","",INDEX('Per Invoice'!F$2:F$801,$W131)))</f>
        <v/>
      </c>
      <c r="G131">
        <f>IF($W131="","",IF(INDEX('Per Invoice'!G$2:G$801,$W131)="","",INDEX('Per Invoice'!G$2:G$801,$W131)))</f>
        <v/>
      </c>
      <c r="H131">
        <f>IF($W131="","",IF(INDEX('Per Invoice'!H$2:H$801,$W131)="","",INDEX('Per Invoice'!H$2:H$801,$W131)))</f>
        <v/>
      </c>
      <c r="I131">
        <f>IF($W131="","",IF(INDEX('Per Invoice'!I$2:I$801,$W131)="","",INDEX('Per Invoice'!I$2:I$801,$W131)))</f>
        <v/>
      </c>
      <c r="J131">
        <f>IF($W131="","",IF(INDEX('Per Invoice'!J$2:J$801,$W131)="","",INDEX('Per Invoice'!J$2:J$801,$W131)))</f>
        <v/>
      </c>
      <c r="K131" s="7">
        <f>IF($W131="","",IF(INDEX('Per Invoice'!K$2:K$801,$W131)="","",INDEX('Per Invoice'!K$2:K$801,$W131)))</f>
        <v/>
      </c>
      <c r="L131" s="14">
        <f>IF($W131="","",IF(INDEX('Per Invoice'!L$2:L$801,$W131)="","",INDEX('Per Invoice'!L$2:L$801,$W131)))</f>
        <v/>
      </c>
      <c r="M131">
        <f>IF($W131="","",IF(INDEX('Per Invoice'!M$2:M$801,$W131)="","",INDEX('Per Invoice'!M$2:M$801,$W131)))</f>
        <v/>
      </c>
      <c r="N131" s="7">
        <f>IF($W131="","",IF(INDEX('Per Invoice'!N$2:N$801,$W131)="","",INDEX('Per Invoice'!N$2:N$801,$W131)))</f>
        <v/>
      </c>
      <c r="O131" s="7">
        <f>IF($W131="","",IF(INDEX('Per Invoice'!O$2:O$801,$W131)="","",INDEX('Per Invoice'!O$2:O$801,$W131)))</f>
        <v/>
      </c>
      <c r="P131">
        <f>IF($W131="","",IF(INDEX('Per Invoice'!P$2:P$801,$W131)="","",INDEX('Per Invoice'!P$2:P$801,$W131)))</f>
        <v/>
      </c>
      <c r="Q131" s="7">
        <f>IF($W131="","",IF(INDEX('Per Invoice'!Q$2:Q$801,$W131)="","",INDEX('Per Invoice'!Q$2:Q$801,$W131)))</f>
        <v/>
      </c>
      <c r="R131" s="7">
        <f>IF($W131="","",IF(INDEX('Per Invoice'!R$2:R$801,$W131)="","",INDEX('Per Invoice'!R$2:R$801,$W131)))</f>
        <v/>
      </c>
      <c r="S131" s="7">
        <f>IF($W131="","",IF(INDEX('Per Invoice'!S$2:S$801,$W131)="","",INDEX('Per Invoice'!S$2:S$801,$W131)))</f>
        <v/>
      </c>
      <c r="T131" s="7">
        <f>IF($W131="","",IF(INDEX('Per Invoice'!T$2:T$801,$W131)="","",INDEX('Per Invoice'!T$2:T$801,$W131)))</f>
        <v/>
      </c>
      <c r="U131" s="7">
        <f>IF($W131="","",IF(INDEX('Per Invoice'!U$2:U$801,$W131)="","",INDEX('Per Invoice'!U$2:U$801,$W131)))</f>
        <v/>
      </c>
      <c r="V131" s="7">
        <f>IF($W131="","",IF(INDEX('Per Invoice'!V$2:V$801,$W131)="","",INDEX('Per Invoice'!V$2:V$801,$W131)))</f>
        <v/>
      </c>
      <c r="W131" s="16">
        <f>IFERROR(MATCH(Settings!$C$29&amp;"|"&amp;ROWS($W$2:$W131),'Per Invoice'!$X$2:$X$801,0),"")</f>
        <v/>
      </c>
    </row>
    <row r="132">
      <c r="A132">
        <f>IF($W132="","",IF(INDEX('Per Invoice'!A$2:A$801,$W132)="","",INDEX('Per Invoice'!A$2:A$801,$W132)))</f>
        <v/>
      </c>
      <c r="B132">
        <f>IF($W132="","",IF(INDEX('Per Invoice'!B$2:B$801,$W132)="","",INDEX('Per Invoice'!B$2:B$801,$W132)))</f>
        <v/>
      </c>
      <c r="C132">
        <f>IF($W132="","",IF(INDEX('Per Invoice'!C$2:C$801,$W132)="","",INDEX('Per Invoice'!C$2:C$801,$W132)))</f>
        <v/>
      </c>
      <c r="D132">
        <f>IF($W132="","",IF(INDEX('Per Invoice'!D$2:D$801,$W132)="","",INDEX('Per Invoice'!D$2:D$801,$W132)))</f>
        <v/>
      </c>
      <c r="E132">
        <f>IF($W132="","",IF(INDEX('Per Invoice'!E$2:E$801,$W132)="","",INDEX('Per Invoice'!E$2:E$801,$W132)))</f>
        <v/>
      </c>
      <c r="F132">
        <f>IF($W132="","",IF(INDEX('Per Invoice'!F$2:F$801,$W132)="","",INDEX('Per Invoice'!F$2:F$801,$W132)))</f>
        <v/>
      </c>
      <c r="G132">
        <f>IF($W132="","",IF(INDEX('Per Invoice'!G$2:G$801,$W132)="","",INDEX('Per Invoice'!G$2:G$801,$W132)))</f>
        <v/>
      </c>
      <c r="H132">
        <f>IF($W132="","",IF(INDEX('Per Invoice'!H$2:H$801,$W132)="","",INDEX('Per Invoice'!H$2:H$801,$W132)))</f>
        <v/>
      </c>
      <c r="I132">
        <f>IF($W132="","",IF(INDEX('Per Invoice'!I$2:I$801,$W132)="","",INDEX('Per Invoice'!I$2:I$801,$W132)))</f>
        <v/>
      </c>
      <c r="J132">
        <f>IF($W132="","",IF(INDEX('Per Invoice'!J$2:J$801,$W132)="","",INDEX('Per Invoice'!J$2:J$801,$W132)))</f>
        <v/>
      </c>
      <c r="K132" s="7">
        <f>IF($W132="","",IF(INDEX('Per Invoice'!K$2:K$801,$W132)="","",INDEX('Per Invoice'!K$2:K$801,$W132)))</f>
        <v/>
      </c>
      <c r="L132" s="14">
        <f>IF($W132="","",IF(INDEX('Per Invoice'!L$2:L$801,$W132)="","",INDEX('Per Invoice'!L$2:L$801,$W132)))</f>
        <v/>
      </c>
      <c r="M132">
        <f>IF($W132="","",IF(INDEX('Per Invoice'!M$2:M$801,$W132)="","",INDEX('Per Invoice'!M$2:M$801,$W132)))</f>
        <v/>
      </c>
      <c r="N132" s="7">
        <f>IF($W132="","",IF(INDEX('Per Invoice'!N$2:N$801,$W132)="","",INDEX('Per Invoice'!N$2:N$801,$W132)))</f>
        <v/>
      </c>
      <c r="O132" s="7">
        <f>IF($W132="","",IF(INDEX('Per Invoice'!O$2:O$801,$W132)="","",INDEX('Per Invoice'!O$2:O$801,$W132)))</f>
        <v/>
      </c>
      <c r="P132">
        <f>IF($W132="","",IF(INDEX('Per Invoice'!P$2:P$801,$W132)="","",INDEX('Per Invoice'!P$2:P$801,$W132)))</f>
        <v/>
      </c>
      <c r="Q132" s="7">
        <f>IF($W132="","",IF(INDEX('Per Invoice'!Q$2:Q$801,$W132)="","",INDEX('Per Invoice'!Q$2:Q$801,$W132)))</f>
        <v/>
      </c>
      <c r="R132" s="7">
        <f>IF($W132="","",IF(INDEX('Per Invoice'!R$2:R$801,$W132)="","",INDEX('Per Invoice'!R$2:R$801,$W132)))</f>
        <v/>
      </c>
      <c r="S132" s="7">
        <f>IF($W132="","",IF(INDEX('Per Invoice'!S$2:S$801,$W132)="","",INDEX('Per Invoice'!S$2:S$801,$W132)))</f>
        <v/>
      </c>
      <c r="T132" s="7">
        <f>IF($W132="","",IF(INDEX('Per Invoice'!T$2:T$801,$W132)="","",INDEX('Per Invoice'!T$2:T$801,$W132)))</f>
        <v/>
      </c>
      <c r="U132" s="7">
        <f>IF($W132="","",IF(INDEX('Per Invoice'!U$2:U$801,$W132)="","",INDEX('Per Invoice'!U$2:U$801,$W132)))</f>
        <v/>
      </c>
      <c r="V132" s="7">
        <f>IF($W132="","",IF(INDEX('Per Invoice'!V$2:V$801,$W132)="","",INDEX('Per Invoice'!V$2:V$801,$W132)))</f>
        <v/>
      </c>
      <c r="W132" s="16">
        <f>IFERROR(MATCH(Settings!$C$29&amp;"|"&amp;ROWS($W$2:$W132),'Per Invoice'!$X$2:$X$801,0),"")</f>
        <v/>
      </c>
    </row>
    <row r="133">
      <c r="A133">
        <f>IF($W133="","",IF(INDEX('Per Invoice'!A$2:A$801,$W133)="","",INDEX('Per Invoice'!A$2:A$801,$W133)))</f>
        <v/>
      </c>
      <c r="B133">
        <f>IF($W133="","",IF(INDEX('Per Invoice'!B$2:B$801,$W133)="","",INDEX('Per Invoice'!B$2:B$801,$W133)))</f>
        <v/>
      </c>
      <c r="C133">
        <f>IF($W133="","",IF(INDEX('Per Invoice'!C$2:C$801,$W133)="","",INDEX('Per Invoice'!C$2:C$801,$W133)))</f>
        <v/>
      </c>
      <c r="D133">
        <f>IF($W133="","",IF(INDEX('Per Invoice'!D$2:D$801,$W133)="","",INDEX('Per Invoice'!D$2:D$801,$W133)))</f>
        <v/>
      </c>
      <c r="E133">
        <f>IF($W133="","",IF(INDEX('Per Invoice'!E$2:E$801,$W133)="","",INDEX('Per Invoice'!E$2:E$801,$W133)))</f>
        <v/>
      </c>
      <c r="F133">
        <f>IF($W133="","",IF(INDEX('Per Invoice'!F$2:F$801,$W133)="","",INDEX('Per Invoice'!F$2:F$801,$W133)))</f>
        <v/>
      </c>
      <c r="G133">
        <f>IF($W133="","",IF(INDEX('Per Invoice'!G$2:G$801,$W133)="","",INDEX('Per Invoice'!G$2:G$801,$W133)))</f>
        <v/>
      </c>
      <c r="H133">
        <f>IF($W133="","",IF(INDEX('Per Invoice'!H$2:H$801,$W133)="","",INDEX('Per Invoice'!H$2:H$801,$W133)))</f>
        <v/>
      </c>
      <c r="I133">
        <f>IF($W133="","",IF(INDEX('Per Invoice'!I$2:I$801,$W133)="","",INDEX('Per Invoice'!I$2:I$801,$W133)))</f>
        <v/>
      </c>
      <c r="J133">
        <f>IF($W133="","",IF(INDEX('Per Invoice'!J$2:J$801,$W133)="","",INDEX('Per Invoice'!J$2:J$801,$W133)))</f>
        <v/>
      </c>
      <c r="K133" s="7">
        <f>IF($W133="","",IF(INDEX('Per Invoice'!K$2:K$801,$W133)="","",INDEX('Per Invoice'!K$2:K$801,$W133)))</f>
        <v/>
      </c>
      <c r="L133" s="14">
        <f>IF($W133="","",IF(INDEX('Per Invoice'!L$2:L$801,$W133)="","",INDEX('Per Invoice'!L$2:L$801,$W133)))</f>
        <v/>
      </c>
      <c r="M133">
        <f>IF($W133="","",IF(INDEX('Per Invoice'!M$2:M$801,$W133)="","",INDEX('Per Invoice'!M$2:M$801,$W133)))</f>
        <v/>
      </c>
      <c r="N133" s="7">
        <f>IF($W133="","",IF(INDEX('Per Invoice'!N$2:N$801,$W133)="","",INDEX('Per Invoice'!N$2:N$801,$W133)))</f>
        <v/>
      </c>
      <c r="O133" s="7">
        <f>IF($W133="","",IF(INDEX('Per Invoice'!O$2:O$801,$W133)="","",INDEX('Per Invoice'!O$2:O$801,$W133)))</f>
        <v/>
      </c>
      <c r="P133">
        <f>IF($W133="","",IF(INDEX('Per Invoice'!P$2:P$801,$W133)="","",INDEX('Per Invoice'!P$2:P$801,$W133)))</f>
        <v/>
      </c>
      <c r="Q133" s="7">
        <f>IF($W133="","",IF(INDEX('Per Invoice'!Q$2:Q$801,$W133)="","",INDEX('Per Invoice'!Q$2:Q$801,$W133)))</f>
        <v/>
      </c>
      <c r="R133" s="7">
        <f>IF($W133="","",IF(INDEX('Per Invoice'!R$2:R$801,$W133)="","",INDEX('Per Invoice'!R$2:R$801,$W133)))</f>
        <v/>
      </c>
      <c r="S133" s="7">
        <f>IF($W133="","",IF(INDEX('Per Invoice'!S$2:S$801,$W133)="","",INDEX('Per Invoice'!S$2:S$801,$W133)))</f>
        <v/>
      </c>
      <c r="T133" s="7">
        <f>IF($W133="","",IF(INDEX('Per Invoice'!T$2:T$801,$W133)="","",INDEX('Per Invoice'!T$2:T$801,$W133)))</f>
        <v/>
      </c>
      <c r="U133" s="7">
        <f>IF($W133="","",IF(INDEX('Per Invoice'!U$2:U$801,$W133)="","",INDEX('Per Invoice'!U$2:U$801,$W133)))</f>
        <v/>
      </c>
      <c r="V133" s="7">
        <f>IF($W133="","",IF(INDEX('Per Invoice'!V$2:V$801,$W133)="","",INDEX('Per Invoice'!V$2:V$801,$W133)))</f>
        <v/>
      </c>
      <c r="W133" s="16">
        <f>IFERROR(MATCH(Settings!$C$29&amp;"|"&amp;ROWS($W$2:$W133),'Per Invoice'!$X$2:$X$801,0),"")</f>
        <v/>
      </c>
    </row>
    <row r="134">
      <c r="A134">
        <f>IF($W134="","",IF(INDEX('Per Invoice'!A$2:A$801,$W134)="","",INDEX('Per Invoice'!A$2:A$801,$W134)))</f>
        <v/>
      </c>
      <c r="B134">
        <f>IF($W134="","",IF(INDEX('Per Invoice'!B$2:B$801,$W134)="","",INDEX('Per Invoice'!B$2:B$801,$W134)))</f>
        <v/>
      </c>
      <c r="C134">
        <f>IF($W134="","",IF(INDEX('Per Invoice'!C$2:C$801,$W134)="","",INDEX('Per Invoice'!C$2:C$801,$W134)))</f>
        <v/>
      </c>
      <c r="D134">
        <f>IF($W134="","",IF(INDEX('Per Invoice'!D$2:D$801,$W134)="","",INDEX('Per Invoice'!D$2:D$801,$W134)))</f>
        <v/>
      </c>
      <c r="E134">
        <f>IF($W134="","",IF(INDEX('Per Invoice'!E$2:E$801,$W134)="","",INDEX('Per Invoice'!E$2:E$801,$W134)))</f>
        <v/>
      </c>
      <c r="F134">
        <f>IF($W134="","",IF(INDEX('Per Invoice'!F$2:F$801,$W134)="","",INDEX('Per Invoice'!F$2:F$801,$W134)))</f>
        <v/>
      </c>
      <c r="G134">
        <f>IF($W134="","",IF(INDEX('Per Invoice'!G$2:G$801,$W134)="","",INDEX('Per Invoice'!G$2:G$801,$W134)))</f>
        <v/>
      </c>
      <c r="H134">
        <f>IF($W134="","",IF(INDEX('Per Invoice'!H$2:H$801,$W134)="","",INDEX('Per Invoice'!H$2:H$801,$W134)))</f>
        <v/>
      </c>
      <c r="I134">
        <f>IF($W134="","",IF(INDEX('Per Invoice'!I$2:I$801,$W134)="","",INDEX('Per Invoice'!I$2:I$801,$W134)))</f>
        <v/>
      </c>
      <c r="J134">
        <f>IF($W134="","",IF(INDEX('Per Invoice'!J$2:J$801,$W134)="","",INDEX('Per Invoice'!J$2:J$801,$W134)))</f>
        <v/>
      </c>
      <c r="K134" s="7">
        <f>IF($W134="","",IF(INDEX('Per Invoice'!K$2:K$801,$W134)="","",INDEX('Per Invoice'!K$2:K$801,$W134)))</f>
        <v/>
      </c>
      <c r="L134" s="14">
        <f>IF($W134="","",IF(INDEX('Per Invoice'!L$2:L$801,$W134)="","",INDEX('Per Invoice'!L$2:L$801,$W134)))</f>
        <v/>
      </c>
      <c r="M134">
        <f>IF($W134="","",IF(INDEX('Per Invoice'!M$2:M$801,$W134)="","",INDEX('Per Invoice'!M$2:M$801,$W134)))</f>
        <v/>
      </c>
      <c r="N134" s="7">
        <f>IF($W134="","",IF(INDEX('Per Invoice'!N$2:N$801,$W134)="","",INDEX('Per Invoice'!N$2:N$801,$W134)))</f>
        <v/>
      </c>
      <c r="O134" s="7">
        <f>IF($W134="","",IF(INDEX('Per Invoice'!O$2:O$801,$W134)="","",INDEX('Per Invoice'!O$2:O$801,$W134)))</f>
        <v/>
      </c>
      <c r="P134">
        <f>IF($W134="","",IF(INDEX('Per Invoice'!P$2:P$801,$W134)="","",INDEX('Per Invoice'!P$2:P$801,$W134)))</f>
        <v/>
      </c>
      <c r="Q134" s="7">
        <f>IF($W134="","",IF(INDEX('Per Invoice'!Q$2:Q$801,$W134)="","",INDEX('Per Invoice'!Q$2:Q$801,$W134)))</f>
        <v/>
      </c>
      <c r="R134" s="7">
        <f>IF($W134="","",IF(INDEX('Per Invoice'!R$2:R$801,$W134)="","",INDEX('Per Invoice'!R$2:R$801,$W134)))</f>
        <v/>
      </c>
      <c r="S134" s="7">
        <f>IF($W134="","",IF(INDEX('Per Invoice'!S$2:S$801,$W134)="","",INDEX('Per Invoice'!S$2:S$801,$W134)))</f>
        <v/>
      </c>
      <c r="T134" s="7">
        <f>IF($W134="","",IF(INDEX('Per Invoice'!T$2:T$801,$W134)="","",INDEX('Per Invoice'!T$2:T$801,$W134)))</f>
        <v/>
      </c>
      <c r="U134" s="7">
        <f>IF($W134="","",IF(INDEX('Per Invoice'!U$2:U$801,$W134)="","",INDEX('Per Invoice'!U$2:U$801,$W134)))</f>
        <v/>
      </c>
      <c r="V134" s="7">
        <f>IF($W134="","",IF(INDEX('Per Invoice'!V$2:V$801,$W134)="","",INDEX('Per Invoice'!V$2:V$801,$W134)))</f>
        <v/>
      </c>
      <c r="W134" s="16">
        <f>IFERROR(MATCH(Settings!$C$29&amp;"|"&amp;ROWS($W$2:$W134),'Per Invoice'!$X$2:$X$801,0),"")</f>
        <v/>
      </c>
    </row>
    <row r="135">
      <c r="A135">
        <f>IF($W135="","",IF(INDEX('Per Invoice'!A$2:A$801,$W135)="","",INDEX('Per Invoice'!A$2:A$801,$W135)))</f>
        <v/>
      </c>
      <c r="B135">
        <f>IF($W135="","",IF(INDEX('Per Invoice'!B$2:B$801,$W135)="","",INDEX('Per Invoice'!B$2:B$801,$W135)))</f>
        <v/>
      </c>
      <c r="C135">
        <f>IF($W135="","",IF(INDEX('Per Invoice'!C$2:C$801,$W135)="","",INDEX('Per Invoice'!C$2:C$801,$W135)))</f>
        <v/>
      </c>
      <c r="D135">
        <f>IF($W135="","",IF(INDEX('Per Invoice'!D$2:D$801,$W135)="","",INDEX('Per Invoice'!D$2:D$801,$W135)))</f>
        <v/>
      </c>
      <c r="E135">
        <f>IF($W135="","",IF(INDEX('Per Invoice'!E$2:E$801,$W135)="","",INDEX('Per Invoice'!E$2:E$801,$W135)))</f>
        <v/>
      </c>
      <c r="F135">
        <f>IF($W135="","",IF(INDEX('Per Invoice'!F$2:F$801,$W135)="","",INDEX('Per Invoice'!F$2:F$801,$W135)))</f>
        <v/>
      </c>
      <c r="G135">
        <f>IF($W135="","",IF(INDEX('Per Invoice'!G$2:G$801,$W135)="","",INDEX('Per Invoice'!G$2:G$801,$W135)))</f>
        <v/>
      </c>
      <c r="H135">
        <f>IF($W135="","",IF(INDEX('Per Invoice'!H$2:H$801,$W135)="","",INDEX('Per Invoice'!H$2:H$801,$W135)))</f>
        <v/>
      </c>
      <c r="I135">
        <f>IF($W135="","",IF(INDEX('Per Invoice'!I$2:I$801,$W135)="","",INDEX('Per Invoice'!I$2:I$801,$W135)))</f>
        <v/>
      </c>
      <c r="J135">
        <f>IF($W135="","",IF(INDEX('Per Invoice'!J$2:J$801,$W135)="","",INDEX('Per Invoice'!J$2:J$801,$W135)))</f>
        <v/>
      </c>
      <c r="K135" s="7">
        <f>IF($W135="","",IF(INDEX('Per Invoice'!K$2:K$801,$W135)="","",INDEX('Per Invoice'!K$2:K$801,$W135)))</f>
        <v/>
      </c>
      <c r="L135" s="14">
        <f>IF($W135="","",IF(INDEX('Per Invoice'!L$2:L$801,$W135)="","",INDEX('Per Invoice'!L$2:L$801,$W135)))</f>
        <v/>
      </c>
      <c r="M135">
        <f>IF($W135="","",IF(INDEX('Per Invoice'!M$2:M$801,$W135)="","",INDEX('Per Invoice'!M$2:M$801,$W135)))</f>
        <v/>
      </c>
      <c r="N135" s="7">
        <f>IF($W135="","",IF(INDEX('Per Invoice'!N$2:N$801,$W135)="","",INDEX('Per Invoice'!N$2:N$801,$W135)))</f>
        <v/>
      </c>
      <c r="O135" s="7">
        <f>IF($W135="","",IF(INDEX('Per Invoice'!O$2:O$801,$W135)="","",INDEX('Per Invoice'!O$2:O$801,$W135)))</f>
        <v/>
      </c>
      <c r="P135">
        <f>IF($W135="","",IF(INDEX('Per Invoice'!P$2:P$801,$W135)="","",INDEX('Per Invoice'!P$2:P$801,$W135)))</f>
        <v/>
      </c>
      <c r="Q135" s="7">
        <f>IF($W135="","",IF(INDEX('Per Invoice'!Q$2:Q$801,$W135)="","",INDEX('Per Invoice'!Q$2:Q$801,$W135)))</f>
        <v/>
      </c>
      <c r="R135" s="7">
        <f>IF($W135="","",IF(INDEX('Per Invoice'!R$2:R$801,$W135)="","",INDEX('Per Invoice'!R$2:R$801,$W135)))</f>
        <v/>
      </c>
      <c r="S135" s="7">
        <f>IF($W135="","",IF(INDEX('Per Invoice'!S$2:S$801,$W135)="","",INDEX('Per Invoice'!S$2:S$801,$W135)))</f>
        <v/>
      </c>
      <c r="T135" s="7">
        <f>IF($W135="","",IF(INDEX('Per Invoice'!T$2:T$801,$W135)="","",INDEX('Per Invoice'!T$2:T$801,$W135)))</f>
        <v/>
      </c>
      <c r="U135" s="7">
        <f>IF($W135="","",IF(INDEX('Per Invoice'!U$2:U$801,$W135)="","",INDEX('Per Invoice'!U$2:U$801,$W135)))</f>
        <v/>
      </c>
      <c r="V135" s="7">
        <f>IF($W135="","",IF(INDEX('Per Invoice'!V$2:V$801,$W135)="","",INDEX('Per Invoice'!V$2:V$801,$W135)))</f>
        <v/>
      </c>
      <c r="W135" s="16">
        <f>IFERROR(MATCH(Settings!$C$29&amp;"|"&amp;ROWS($W$2:$W135),'Per Invoice'!$X$2:$X$801,0),"")</f>
        <v/>
      </c>
    </row>
    <row r="136">
      <c r="A136">
        <f>IF($W136="","",IF(INDEX('Per Invoice'!A$2:A$801,$W136)="","",INDEX('Per Invoice'!A$2:A$801,$W136)))</f>
        <v/>
      </c>
      <c r="B136">
        <f>IF($W136="","",IF(INDEX('Per Invoice'!B$2:B$801,$W136)="","",INDEX('Per Invoice'!B$2:B$801,$W136)))</f>
        <v/>
      </c>
      <c r="C136">
        <f>IF($W136="","",IF(INDEX('Per Invoice'!C$2:C$801,$W136)="","",INDEX('Per Invoice'!C$2:C$801,$W136)))</f>
        <v/>
      </c>
      <c r="D136">
        <f>IF($W136="","",IF(INDEX('Per Invoice'!D$2:D$801,$W136)="","",INDEX('Per Invoice'!D$2:D$801,$W136)))</f>
        <v/>
      </c>
      <c r="E136">
        <f>IF($W136="","",IF(INDEX('Per Invoice'!E$2:E$801,$W136)="","",INDEX('Per Invoice'!E$2:E$801,$W136)))</f>
        <v/>
      </c>
      <c r="F136">
        <f>IF($W136="","",IF(INDEX('Per Invoice'!F$2:F$801,$W136)="","",INDEX('Per Invoice'!F$2:F$801,$W136)))</f>
        <v/>
      </c>
      <c r="G136">
        <f>IF($W136="","",IF(INDEX('Per Invoice'!G$2:G$801,$W136)="","",INDEX('Per Invoice'!G$2:G$801,$W136)))</f>
        <v/>
      </c>
      <c r="H136">
        <f>IF($W136="","",IF(INDEX('Per Invoice'!H$2:H$801,$W136)="","",INDEX('Per Invoice'!H$2:H$801,$W136)))</f>
        <v/>
      </c>
      <c r="I136">
        <f>IF($W136="","",IF(INDEX('Per Invoice'!I$2:I$801,$W136)="","",INDEX('Per Invoice'!I$2:I$801,$W136)))</f>
        <v/>
      </c>
      <c r="J136">
        <f>IF($W136="","",IF(INDEX('Per Invoice'!J$2:J$801,$W136)="","",INDEX('Per Invoice'!J$2:J$801,$W136)))</f>
        <v/>
      </c>
      <c r="K136" s="7">
        <f>IF($W136="","",IF(INDEX('Per Invoice'!K$2:K$801,$W136)="","",INDEX('Per Invoice'!K$2:K$801,$W136)))</f>
        <v/>
      </c>
      <c r="L136" s="14">
        <f>IF($W136="","",IF(INDEX('Per Invoice'!L$2:L$801,$W136)="","",INDEX('Per Invoice'!L$2:L$801,$W136)))</f>
        <v/>
      </c>
      <c r="M136">
        <f>IF($W136="","",IF(INDEX('Per Invoice'!M$2:M$801,$W136)="","",INDEX('Per Invoice'!M$2:M$801,$W136)))</f>
        <v/>
      </c>
      <c r="N136" s="7">
        <f>IF($W136="","",IF(INDEX('Per Invoice'!N$2:N$801,$W136)="","",INDEX('Per Invoice'!N$2:N$801,$W136)))</f>
        <v/>
      </c>
      <c r="O136" s="7">
        <f>IF($W136="","",IF(INDEX('Per Invoice'!O$2:O$801,$W136)="","",INDEX('Per Invoice'!O$2:O$801,$W136)))</f>
        <v/>
      </c>
      <c r="P136">
        <f>IF($W136="","",IF(INDEX('Per Invoice'!P$2:P$801,$W136)="","",INDEX('Per Invoice'!P$2:P$801,$W136)))</f>
        <v/>
      </c>
      <c r="Q136" s="7">
        <f>IF($W136="","",IF(INDEX('Per Invoice'!Q$2:Q$801,$W136)="","",INDEX('Per Invoice'!Q$2:Q$801,$W136)))</f>
        <v/>
      </c>
      <c r="R136" s="7">
        <f>IF($W136="","",IF(INDEX('Per Invoice'!R$2:R$801,$W136)="","",INDEX('Per Invoice'!R$2:R$801,$W136)))</f>
        <v/>
      </c>
      <c r="S136" s="7">
        <f>IF($W136="","",IF(INDEX('Per Invoice'!S$2:S$801,$W136)="","",INDEX('Per Invoice'!S$2:S$801,$W136)))</f>
        <v/>
      </c>
      <c r="T136" s="7">
        <f>IF($W136="","",IF(INDEX('Per Invoice'!T$2:T$801,$W136)="","",INDEX('Per Invoice'!T$2:T$801,$W136)))</f>
        <v/>
      </c>
      <c r="U136" s="7">
        <f>IF($W136="","",IF(INDEX('Per Invoice'!U$2:U$801,$W136)="","",INDEX('Per Invoice'!U$2:U$801,$W136)))</f>
        <v/>
      </c>
      <c r="V136" s="7">
        <f>IF($W136="","",IF(INDEX('Per Invoice'!V$2:V$801,$W136)="","",INDEX('Per Invoice'!V$2:V$801,$W136)))</f>
        <v/>
      </c>
      <c r="W136" s="16">
        <f>IFERROR(MATCH(Settings!$C$29&amp;"|"&amp;ROWS($W$2:$W136),'Per Invoice'!$X$2:$X$801,0),"")</f>
        <v/>
      </c>
    </row>
    <row r="137">
      <c r="A137">
        <f>IF($W137="","",IF(INDEX('Per Invoice'!A$2:A$801,$W137)="","",INDEX('Per Invoice'!A$2:A$801,$W137)))</f>
        <v/>
      </c>
      <c r="B137">
        <f>IF($W137="","",IF(INDEX('Per Invoice'!B$2:B$801,$W137)="","",INDEX('Per Invoice'!B$2:B$801,$W137)))</f>
        <v/>
      </c>
      <c r="C137">
        <f>IF($W137="","",IF(INDEX('Per Invoice'!C$2:C$801,$W137)="","",INDEX('Per Invoice'!C$2:C$801,$W137)))</f>
        <v/>
      </c>
      <c r="D137">
        <f>IF($W137="","",IF(INDEX('Per Invoice'!D$2:D$801,$W137)="","",INDEX('Per Invoice'!D$2:D$801,$W137)))</f>
        <v/>
      </c>
      <c r="E137">
        <f>IF($W137="","",IF(INDEX('Per Invoice'!E$2:E$801,$W137)="","",INDEX('Per Invoice'!E$2:E$801,$W137)))</f>
        <v/>
      </c>
      <c r="F137">
        <f>IF($W137="","",IF(INDEX('Per Invoice'!F$2:F$801,$W137)="","",INDEX('Per Invoice'!F$2:F$801,$W137)))</f>
        <v/>
      </c>
      <c r="G137">
        <f>IF($W137="","",IF(INDEX('Per Invoice'!G$2:G$801,$W137)="","",INDEX('Per Invoice'!G$2:G$801,$W137)))</f>
        <v/>
      </c>
      <c r="H137">
        <f>IF($W137="","",IF(INDEX('Per Invoice'!H$2:H$801,$W137)="","",INDEX('Per Invoice'!H$2:H$801,$W137)))</f>
        <v/>
      </c>
      <c r="I137">
        <f>IF($W137="","",IF(INDEX('Per Invoice'!I$2:I$801,$W137)="","",INDEX('Per Invoice'!I$2:I$801,$W137)))</f>
        <v/>
      </c>
      <c r="J137">
        <f>IF($W137="","",IF(INDEX('Per Invoice'!J$2:J$801,$W137)="","",INDEX('Per Invoice'!J$2:J$801,$W137)))</f>
        <v/>
      </c>
      <c r="K137" s="7">
        <f>IF($W137="","",IF(INDEX('Per Invoice'!K$2:K$801,$W137)="","",INDEX('Per Invoice'!K$2:K$801,$W137)))</f>
        <v/>
      </c>
      <c r="L137" s="14">
        <f>IF($W137="","",IF(INDEX('Per Invoice'!L$2:L$801,$W137)="","",INDEX('Per Invoice'!L$2:L$801,$W137)))</f>
        <v/>
      </c>
      <c r="M137">
        <f>IF($W137="","",IF(INDEX('Per Invoice'!M$2:M$801,$W137)="","",INDEX('Per Invoice'!M$2:M$801,$W137)))</f>
        <v/>
      </c>
      <c r="N137" s="7">
        <f>IF($W137="","",IF(INDEX('Per Invoice'!N$2:N$801,$W137)="","",INDEX('Per Invoice'!N$2:N$801,$W137)))</f>
        <v/>
      </c>
      <c r="O137" s="7">
        <f>IF($W137="","",IF(INDEX('Per Invoice'!O$2:O$801,$W137)="","",INDEX('Per Invoice'!O$2:O$801,$W137)))</f>
        <v/>
      </c>
      <c r="P137">
        <f>IF($W137="","",IF(INDEX('Per Invoice'!P$2:P$801,$W137)="","",INDEX('Per Invoice'!P$2:P$801,$W137)))</f>
        <v/>
      </c>
      <c r="Q137" s="7">
        <f>IF($W137="","",IF(INDEX('Per Invoice'!Q$2:Q$801,$W137)="","",INDEX('Per Invoice'!Q$2:Q$801,$W137)))</f>
        <v/>
      </c>
      <c r="R137" s="7">
        <f>IF($W137="","",IF(INDEX('Per Invoice'!R$2:R$801,$W137)="","",INDEX('Per Invoice'!R$2:R$801,$W137)))</f>
        <v/>
      </c>
      <c r="S137" s="7">
        <f>IF($W137="","",IF(INDEX('Per Invoice'!S$2:S$801,$W137)="","",INDEX('Per Invoice'!S$2:S$801,$W137)))</f>
        <v/>
      </c>
      <c r="T137" s="7">
        <f>IF($W137="","",IF(INDEX('Per Invoice'!T$2:T$801,$W137)="","",INDEX('Per Invoice'!T$2:T$801,$W137)))</f>
        <v/>
      </c>
      <c r="U137" s="7">
        <f>IF($W137="","",IF(INDEX('Per Invoice'!U$2:U$801,$W137)="","",INDEX('Per Invoice'!U$2:U$801,$W137)))</f>
        <v/>
      </c>
      <c r="V137" s="7">
        <f>IF($W137="","",IF(INDEX('Per Invoice'!V$2:V$801,$W137)="","",INDEX('Per Invoice'!V$2:V$801,$W137)))</f>
        <v/>
      </c>
      <c r="W137" s="16">
        <f>IFERROR(MATCH(Settings!$C$29&amp;"|"&amp;ROWS($W$2:$W137),'Per Invoice'!$X$2:$X$801,0),"")</f>
        <v/>
      </c>
    </row>
    <row r="138">
      <c r="A138">
        <f>IF($W138="","",IF(INDEX('Per Invoice'!A$2:A$801,$W138)="","",INDEX('Per Invoice'!A$2:A$801,$W138)))</f>
        <v/>
      </c>
      <c r="B138">
        <f>IF($W138="","",IF(INDEX('Per Invoice'!B$2:B$801,$W138)="","",INDEX('Per Invoice'!B$2:B$801,$W138)))</f>
        <v/>
      </c>
      <c r="C138">
        <f>IF($W138="","",IF(INDEX('Per Invoice'!C$2:C$801,$W138)="","",INDEX('Per Invoice'!C$2:C$801,$W138)))</f>
        <v/>
      </c>
      <c r="D138">
        <f>IF($W138="","",IF(INDEX('Per Invoice'!D$2:D$801,$W138)="","",INDEX('Per Invoice'!D$2:D$801,$W138)))</f>
        <v/>
      </c>
      <c r="E138">
        <f>IF($W138="","",IF(INDEX('Per Invoice'!E$2:E$801,$W138)="","",INDEX('Per Invoice'!E$2:E$801,$W138)))</f>
        <v/>
      </c>
      <c r="F138">
        <f>IF($W138="","",IF(INDEX('Per Invoice'!F$2:F$801,$W138)="","",INDEX('Per Invoice'!F$2:F$801,$W138)))</f>
        <v/>
      </c>
      <c r="G138">
        <f>IF($W138="","",IF(INDEX('Per Invoice'!G$2:G$801,$W138)="","",INDEX('Per Invoice'!G$2:G$801,$W138)))</f>
        <v/>
      </c>
      <c r="H138">
        <f>IF($W138="","",IF(INDEX('Per Invoice'!H$2:H$801,$W138)="","",INDEX('Per Invoice'!H$2:H$801,$W138)))</f>
        <v/>
      </c>
      <c r="I138">
        <f>IF($W138="","",IF(INDEX('Per Invoice'!I$2:I$801,$W138)="","",INDEX('Per Invoice'!I$2:I$801,$W138)))</f>
        <v/>
      </c>
      <c r="J138">
        <f>IF($W138="","",IF(INDEX('Per Invoice'!J$2:J$801,$W138)="","",INDEX('Per Invoice'!J$2:J$801,$W138)))</f>
        <v/>
      </c>
      <c r="K138" s="7">
        <f>IF($W138="","",IF(INDEX('Per Invoice'!K$2:K$801,$W138)="","",INDEX('Per Invoice'!K$2:K$801,$W138)))</f>
        <v/>
      </c>
      <c r="L138" s="14">
        <f>IF($W138="","",IF(INDEX('Per Invoice'!L$2:L$801,$W138)="","",INDEX('Per Invoice'!L$2:L$801,$W138)))</f>
        <v/>
      </c>
      <c r="M138">
        <f>IF($W138="","",IF(INDEX('Per Invoice'!M$2:M$801,$W138)="","",INDEX('Per Invoice'!M$2:M$801,$W138)))</f>
        <v/>
      </c>
      <c r="N138" s="7">
        <f>IF($W138="","",IF(INDEX('Per Invoice'!N$2:N$801,$W138)="","",INDEX('Per Invoice'!N$2:N$801,$W138)))</f>
        <v/>
      </c>
      <c r="O138" s="7">
        <f>IF($W138="","",IF(INDEX('Per Invoice'!O$2:O$801,$W138)="","",INDEX('Per Invoice'!O$2:O$801,$W138)))</f>
        <v/>
      </c>
      <c r="P138">
        <f>IF($W138="","",IF(INDEX('Per Invoice'!P$2:P$801,$W138)="","",INDEX('Per Invoice'!P$2:P$801,$W138)))</f>
        <v/>
      </c>
      <c r="Q138" s="7">
        <f>IF($W138="","",IF(INDEX('Per Invoice'!Q$2:Q$801,$W138)="","",INDEX('Per Invoice'!Q$2:Q$801,$W138)))</f>
        <v/>
      </c>
      <c r="R138" s="7">
        <f>IF($W138="","",IF(INDEX('Per Invoice'!R$2:R$801,$W138)="","",INDEX('Per Invoice'!R$2:R$801,$W138)))</f>
        <v/>
      </c>
      <c r="S138" s="7">
        <f>IF($W138="","",IF(INDEX('Per Invoice'!S$2:S$801,$W138)="","",INDEX('Per Invoice'!S$2:S$801,$W138)))</f>
        <v/>
      </c>
      <c r="T138" s="7">
        <f>IF($W138="","",IF(INDEX('Per Invoice'!T$2:T$801,$W138)="","",INDEX('Per Invoice'!T$2:T$801,$W138)))</f>
        <v/>
      </c>
      <c r="U138" s="7">
        <f>IF($W138="","",IF(INDEX('Per Invoice'!U$2:U$801,$W138)="","",INDEX('Per Invoice'!U$2:U$801,$W138)))</f>
        <v/>
      </c>
      <c r="V138" s="7">
        <f>IF($W138="","",IF(INDEX('Per Invoice'!V$2:V$801,$W138)="","",INDEX('Per Invoice'!V$2:V$801,$W138)))</f>
        <v/>
      </c>
      <c r="W138" s="16">
        <f>IFERROR(MATCH(Settings!$C$29&amp;"|"&amp;ROWS($W$2:$W138),'Per Invoice'!$X$2:$X$801,0),"")</f>
        <v/>
      </c>
    </row>
    <row r="139">
      <c r="A139">
        <f>IF($W139="","",IF(INDEX('Per Invoice'!A$2:A$801,$W139)="","",INDEX('Per Invoice'!A$2:A$801,$W139)))</f>
        <v/>
      </c>
      <c r="B139">
        <f>IF($W139="","",IF(INDEX('Per Invoice'!B$2:B$801,$W139)="","",INDEX('Per Invoice'!B$2:B$801,$W139)))</f>
        <v/>
      </c>
      <c r="C139">
        <f>IF($W139="","",IF(INDEX('Per Invoice'!C$2:C$801,$W139)="","",INDEX('Per Invoice'!C$2:C$801,$W139)))</f>
        <v/>
      </c>
      <c r="D139">
        <f>IF($W139="","",IF(INDEX('Per Invoice'!D$2:D$801,$W139)="","",INDEX('Per Invoice'!D$2:D$801,$W139)))</f>
        <v/>
      </c>
      <c r="E139">
        <f>IF($W139="","",IF(INDEX('Per Invoice'!E$2:E$801,$W139)="","",INDEX('Per Invoice'!E$2:E$801,$W139)))</f>
        <v/>
      </c>
      <c r="F139">
        <f>IF($W139="","",IF(INDEX('Per Invoice'!F$2:F$801,$W139)="","",INDEX('Per Invoice'!F$2:F$801,$W139)))</f>
        <v/>
      </c>
      <c r="G139">
        <f>IF($W139="","",IF(INDEX('Per Invoice'!G$2:G$801,$W139)="","",INDEX('Per Invoice'!G$2:G$801,$W139)))</f>
        <v/>
      </c>
      <c r="H139">
        <f>IF($W139="","",IF(INDEX('Per Invoice'!H$2:H$801,$W139)="","",INDEX('Per Invoice'!H$2:H$801,$W139)))</f>
        <v/>
      </c>
      <c r="I139">
        <f>IF($W139="","",IF(INDEX('Per Invoice'!I$2:I$801,$W139)="","",INDEX('Per Invoice'!I$2:I$801,$W139)))</f>
        <v/>
      </c>
      <c r="J139">
        <f>IF($W139="","",IF(INDEX('Per Invoice'!J$2:J$801,$W139)="","",INDEX('Per Invoice'!J$2:J$801,$W139)))</f>
        <v/>
      </c>
      <c r="K139" s="7">
        <f>IF($W139="","",IF(INDEX('Per Invoice'!K$2:K$801,$W139)="","",INDEX('Per Invoice'!K$2:K$801,$W139)))</f>
        <v/>
      </c>
      <c r="L139" s="14">
        <f>IF($W139="","",IF(INDEX('Per Invoice'!L$2:L$801,$W139)="","",INDEX('Per Invoice'!L$2:L$801,$W139)))</f>
        <v/>
      </c>
      <c r="M139">
        <f>IF($W139="","",IF(INDEX('Per Invoice'!M$2:M$801,$W139)="","",INDEX('Per Invoice'!M$2:M$801,$W139)))</f>
        <v/>
      </c>
      <c r="N139" s="7">
        <f>IF($W139="","",IF(INDEX('Per Invoice'!N$2:N$801,$W139)="","",INDEX('Per Invoice'!N$2:N$801,$W139)))</f>
        <v/>
      </c>
      <c r="O139" s="7">
        <f>IF($W139="","",IF(INDEX('Per Invoice'!O$2:O$801,$W139)="","",INDEX('Per Invoice'!O$2:O$801,$W139)))</f>
        <v/>
      </c>
      <c r="P139">
        <f>IF($W139="","",IF(INDEX('Per Invoice'!P$2:P$801,$W139)="","",INDEX('Per Invoice'!P$2:P$801,$W139)))</f>
        <v/>
      </c>
      <c r="Q139" s="7">
        <f>IF($W139="","",IF(INDEX('Per Invoice'!Q$2:Q$801,$W139)="","",INDEX('Per Invoice'!Q$2:Q$801,$W139)))</f>
        <v/>
      </c>
      <c r="R139" s="7">
        <f>IF($W139="","",IF(INDEX('Per Invoice'!R$2:R$801,$W139)="","",INDEX('Per Invoice'!R$2:R$801,$W139)))</f>
        <v/>
      </c>
      <c r="S139" s="7">
        <f>IF($W139="","",IF(INDEX('Per Invoice'!S$2:S$801,$W139)="","",INDEX('Per Invoice'!S$2:S$801,$W139)))</f>
        <v/>
      </c>
      <c r="T139" s="7">
        <f>IF($W139="","",IF(INDEX('Per Invoice'!T$2:T$801,$W139)="","",INDEX('Per Invoice'!T$2:T$801,$W139)))</f>
        <v/>
      </c>
      <c r="U139" s="7">
        <f>IF($W139="","",IF(INDEX('Per Invoice'!U$2:U$801,$W139)="","",INDEX('Per Invoice'!U$2:U$801,$W139)))</f>
        <v/>
      </c>
      <c r="V139" s="7">
        <f>IF($W139="","",IF(INDEX('Per Invoice'!V$2:V$801,$W139)="","",INDEX('Per Invoice'!V$2:V$801,$W139)))</f>
        <v/>
      </c>
      <c r="W139" s="16">
        <f>IFERROR(MATCH(Settings!$C$29&amp;"|"&amp;ROWS($W$2:$W139),'Per Invoice'!$X$2:$X$801,0),"")</f>
        <v/>
      </c>
    </row>
    <row r="140">
      <c r="A140">
        <f>IF($W140="","",IF(INDEX('Per Invoice'!A$2:A$801,$W140)="","",INDEX('Per Invoice'!A$2:A$801,$W140)))</f>
        <v/>
      </c>
      <c r="B140">
        <f>IF($W140="","",IF(INDEX('Per Invoice'!B$2:B$801,$W140)="","",INDEX('Per Invoice'!B$2:B$801,$W140)))</f>
        <v/>
      </c>
      <c r="C140">
        <f>IF($W140="","",IF(INDEX('Per Invoice'!C$2:C$801,$W140)="","",INDEX('Per Invoice'!C$2:C$801,$W140)))</f>
        <v/>
      </c>
      <c r="D140">
        <f>IF($W140="","",IF(INDEX('Per Invoice'!D$2:D$801,$W140)="","",INDEX('Per Invoice'!D$2:D$801,$W140)))</f>
        <v/>
      </c>
      <c r="E140">
        <f>IF($W140="","",IF(INDEX('Per Invoice'!E$2:E$801,$W140)="","",INDEX('Per Invoice'!E$2:E$801,$W140)))</f>
        <v/>
      </c>
      <c r="F140">
        <f>IF($W140="","",IF(INDEX('Per Invoice'!F$2:F$801,$W140)="","",INDEX('Per Invoice'!F$2:F$801,$W140)))</f>
        <v/>
      </c>
      <c r="G140">
        <f>IF($W140="","",IF(INDEX('Per Invoice'!G$2:G$801,$W140)="","",INDEX('Per Invoice'!G$2:G$801,$W140)))</f>
        <v/>
      </c>
      <c r="H140">
        <f>IF($W140="","",IF(INDEX('Per Invoice'!H$2:H$801,$W140)="","",INDEX('Per Invoice'!H$2:H$801,$W140)))</f>
        <v/>
      </c>
      <c r="I140">
        <f>IF($W140="","",IF(INDEX('Per Invoice'!I$2:I$801,$W140)="","",INDEX('Per Invoice'!I$2:I$801,$W140)))</f>
        <v/>
      </c>
      <c r="J140">
        <f>IF($W140="","",IF(INDEX('Per Invoice'!J$2:J$801,$W140)="","",INDEX('Per Invoice'!J$2:J$801,$W140)))</f>
        <v/>
      </c>
      <c r="K140" s="7">
        <f>IF($W140="","",IF(INDEX('Per Invoice'!K$2:K$801,$W140)="","",INDEX('Per Invoice'!K$2:K$801,$W140)))</f>
        <v/>
      </c>
      <c r="L140" s="14">
        <f>IF($W140="","",IF(INDEX('Per Invoice'!L$2:L$801,$W140)="","",INDEX('Per Invoice'!L$2:L$801,$W140)))</f>
        <v/>
      </c>
      <c r="M140">
        <f>IF($W140="","",IF(INDEX('Per Invoice'!M$2:M$801,$W140)="","",INDEX('Per Invoice'!M$2:M$801,$W140)))</f>
        <v/>
      </c>
      <c r="N140" s="7">
        <f>IF($W140="","",IF(INDEX('Per Invoice'!N$2:N$801,$W140)="","",INDEX('Per Invoice'!N$2:N$801,$W140)))</f>
        <v/>
      </c>
      <c r="O140" s="7">
        <f>IF($W140="","",IF(INDEX('Per Invoice'!O$2:O$801,$W140)="","",INDEX('Per Invoice'!O$2:O$801,$W140)))</f>
        <v/>
      </c>
      <c r="P140">
        <f>IF($W140="","",IF(INDEX('Per Invoice'!P$2:P$801,$W140)="","",INDEX('Per Invoice'!P$2:P$801,$W140)))</f>
        <v/>
      </c>
      <c r="Q140" s="7">
        <f>IF($W140="","",IF(INDEX('Per Invoice'!Q$2:Q$801,$W140)="","",INDEX('Per Invoice'!Q$2:Q$801,$W140)))</f>
        <v/>
      </c>
      <c r="R140" s="7">
        <f>IF($W140="","",IF(INDEX('Per Invoice'!R$2:R$801,$W140)="","",INDEX('Per Invoice'!R$2:R$801,$W140)))</f>
        <v/>
      </c>
      <c r="S140" s="7">
        <f>IF($W140="","",IF(INDEX('Per Invoice'!S$2:S$801,$W140)="","",INDEX('Per Invoice'!S$2:S$801,$W140)))</f>
        <v/>
      </c>
      <c r="T140" s="7">
        <f>IF($W140="","",IF(INDEX('Per Invoice'!T$2:T$801,$W140)="","",INDEX('Per Invoice'!T$2:T$801,$W140)))</f>
        <v/>
      </c>
      <c r="U140" s="7">
        <f>IF($W140="","",IF(INDEX('Per Invoice'!U$2:U$801,$W140)="","",INDEX('Per Invoice'!U$2:U$801,$W140)))</f>
        <v/>
      </c>
      <c r="V140" s="7">
        <f>IF($W140="","",IF(INDEX('Per Invoice'!V$2:V$801,$W140)="","",INDEX('Per Invoice'!V$2:V$801,$W140)))</f>
        <v/>
      </c>
      <c r="W140" s="16">
        <f>IFERROR(MATCH(Settings!$C$29&amp;"|"&amp;ROWS($W$2:$W140),'Per Invoice'!$X$2:$X$801,0),"")</f>
        <v/>
      </c>
    </row>
    <row r="141">
      <c r="A141">
        <f>IF($W141="","",IF(INDEX('Per Invoice'!A$2:A$801,$W141)="","",INDEX('Per Invoice'!A$2:A$801,$W141)))</f>
        <v/>
      </c>
      <c r="B141">
        <f>IF($W141="","",IF(INDEX('Per Invoice'!B$2:B$801,$W141)="","",INDEX('Per Invoice'!B$2:B$801,$W141)))</f>
        <v/>
      </c>
      <c r="C141">
        <f>IF($W141="","",IF(INDEX('Per Invoice'!C$2:C$801,$W141)="","",INDEX('Per Invoice'!C$2:C$801,$W141)))</f>
        <v/>
      </c>
      <c r="D141">
        <f>IF($W141="","",IF(INDEX('Per Invoice'!D$2:D$801,$W141)="","",INDEX('Per Invoice'!D$2:D$801,$W141)))</f>
        <v/>
      </c>
      <c r="E141">
        <f>IF($W141="","",IF(INDEX('Per Invoice'!E$2:E$801,$W141)="","",INDEX('Per Invoice'!E$2:E$801,$W141)))</f>
        <v/>
      </c>
      <c r="F141">
        <f>IF($W141="","",IF(INDEX('Per Invoice'!F$2:F$801,$W141)="","",INDEX('Per Invoice'!F$2:F$801,$W141)))</f>
        <v/>
      </c>
      <c r="G141">
        <f>IF($W141="","",IF(INDEX('Per Invoice'!G$2:G$801,$W141)="","",INDEX('Per Invoice'!G$2:G$801,$W141)))</f>
        <v/>
      </c>
      <c r="H141">
        <f>IF($W141="","",IF(INDEX('Per Invoice'!H$2:H$801,$W141)="","",INDEX('Per Invoice'!H$2:H$801,$W141)))</f>
        <v/>
      </c>
      <c r="I141">
        <f>IF($W141="","",IF(INDEX('Per Invoice'!I$2:I$801,$W141)="","",INDEX('Per Invoice'!I$2:I$801,$W141)))</f>
        <v/>
      </c>
      <c r="J141">
        <f>IF($W141="","",IF(INDEX('Per Invoice'!J$2:J$801,$W141)="","",INDEX('Per Invoice'!J$2:J$801,$W141)))</f>
        <v/>
      </c>
      <c r="K141" s="7">
        <f>IF($W141="","",IF(INDEX('Per Invoice'!K$2:K$801,$W141)="","",INDEX('Per Invoice'!K$2:K$801,$W141)))</f>
        <v/>
      </c>
      <c r="L141" s="14">
        <f>IF($W141="","",IF(INDEX('Per Invoice'!L$2:L$801,$W141)="","",INDEX('Per Invoice'!L$2:L$801,$W141)))</f>
        <v/>
      </c>
      <c r="M141">
        <f>IF($W141="","",IF(INDEX('Per Invoice'!M$2:M$801,$W141)="","",INDEX('Per Invoice'!M$2:M$801,$W141)))</f>
        <v/>
      </c>
      <c r="N141" s="7">
        <f>IF($W141="","",IF(INDEX('Per Invoice'!N$2:N$801,$W141)="","",INDEX('Per Invoice'!N$2:N$801,$W141)))</f>
        <v/>
      </c>
      <c r="O141" s="7">
        <f>IF($W141="","",IF(INDEX('Per Invoice'!O$2:O$801,$W141)="","",INDEX('Per Invoice'!O$2:O$801,$W141)))</f>
        <v/>
      </c>
      <c r="P141">
        <f>IF($W141="","",IF(INDEX('Per Invoice'!P$2:P$801,$W141)="","",INDEX('Per Invoice'!P$2:P$801,$W141)))</f>
        <v/>
      </c>
      <c r="Q141" s="7">
        <f>IF($W141="","",IF(INDEX('Per Invoice'!Q$2:Q$801,$W141)="","",INDEX('Per Invoice'!Q$2:Q$801,$W141)))</f>
        <v/>
      </c>
      <c r="R141" s="7">
        <f>IF($W141="","",IF(INDEX('Per Invoice'!R$2:R$801,$W141)="","",INDEX('Per Invoice'!R$2:R$801,$W141)))</f>
        <v/>
      </c>
      <c r="S141" s="7">
        <f>IF($W141="","",IF(INDEX('Per Invoice'!S$2:S$801,$W141)="","",INDEX('Per Invoice'!S$2:S$801,$W141)))</f>
        <v/>
      </c>
      <c r="T141" s="7">
        <f>IF($W141="","",IF(INDEX('Per Invoice'!T$2:T$801,$W141)="","",INDEX('Per Invoice'!T$2:T$801,$W141)))</f>
        <v/>
      </c>
      <c r="U141" s="7">
        <f>IF($W141="","",IF(INDEX('Per Invoice'!U$2:U$801,$W141)="","",INDEX('Per Invoice'!U$2:U$801,$W141)))</f>
        <v/>
      </c>
      <c r="V141" s="7">
        <f>IF($W141="","",IF(INDEX('Per Invoice'!V$2:V$801,$W141)="","",INDEX('Per Invoice'!V$2:V$801,$W141)))</f>
        <v/>
      </c>
      <c r="W141" s="16">
        <f>IFERROR(MATCH(Settings!$C$29&amp;"|"&amp;ROWS($W$2:$W141),'Per Invoice'!$X$2:$X$801,0),"")</f>
        <v/>
      </c>
    </row>
    <row r="142">
      <c r="A142">
        <f>IF($W142="","",IF(INDEX('Per Invoice'!A$2:A$801,$W142)="","",INDEX('Per Invoice'!A$2:A$801,$W142)))</f>
        <v/>
      </c>
      <c r="B142">
        <f>IF($W142="","",IF(INDEX('Per Invoice'!B$2:B$801,$W142)="","",INDEX('Per Invoice'!B$2:B$801,$W142)))</f>
        <v/>
      </c>
      <c r="C142">
        <f>IF($W142="","",IF(INDEX('Per Invoice'!C$2:C$801,$W142)="","",INDEX('Per Invoice'!C$2:C$801,$W142)))</f>
        <v/>
      </c>
      <c r="D142">
        <f>IF($W142="","",IF(INDEX('Per Invoice'!D$2:D$801,$W142)="","",INDEX('Per Invoice'!D$2:D$801,$W142)))</f>
        <v/>
      </c>
      <c r="E142">
        <f>IF($W142="","",IF(INDEX('Per Invoice'!E$2:E$801,$W142)="","",INDEX('Per Invoice'!E$2:E$801,$W142)))</f>
        <v/>
      </c>
      <c r="F142">
        <f>IF($W142="","",IF(INDEX('Per Invoice'!F$2:F$801,$W142)="","",INDEX('Per Invoice'!F$2:F$801,$W142)))</f>
        <v/>
      </c>
      <c r="G142">
        <f>IF($W142="","",IF(INDEX('Per Invoice'!G$2:G$801,$W142)="","",INDEX('Per Invoice'!G$2:G$801,$W142)))</f>
        <v/>
      </c>
      <c r="H142">
        <f>IF($W142="","",IF(INDEX('Per Invoice'!H$2:H$801,$W142)="","",INDEX('Per Invoice'!H$2:H$801,$W142)))</f>
        <v/>
      </c>
      <c r="I142">
        <f>IF($W142="","",IF(INDEX('Per Invoice'!I$2:I$801,$W142)="","",INDEX('Per Invoice'!I$2:I$801,$W142)))</f>
        <v/>
      </c>
      <c r="J142">
        <f>IF($W142="","",IF(INDEX('Per Invoice'!J$2:J$801,$W142)="","",INDEX('Per Invoice'!J$2:J$801,$W142)))</f>
        <v/>
      </c>
      <c r="K142" s="7">
        <f>IF($W142="","",IF(INDEX('Per Invoice'!K$2:K$801,$W142)="","",INDEX('Per Invoice'!K$2:K$801,$W142)))</f>
        <v/>
      </c>
      <c r="L142" s="14">
        <f>IF($W142="","",IF(INDEX('Per Invoice'!L$2:L$801,$W142)="","",INDEX('Per Invoice'!L$2:L$801,$W142)))</f>
        <v/>
      </c>
      <c r="M142">
        <f>IF($W142="","",IF(INDEX('Per Invoice'!M$2:M$801,$W142)="","",INDEX('Per Invoice'!M$2:M$801,$W142)))</f>
        <v/>
      </c>
      <c r="N142" s="7">
        <f>IF($W142="","",IF(INDEX('Per Invoice'!N$2:N$801,$W142)="","",INDEX('Per Invoice'!N$2:N$801,$W142)))</f>
        <v/>
      </c>
      <c r="O142" s="7">
        <f>IF($W142="","",IF(INDEX('Per Invoice'!O$2:O$801,$W142)="","",INDEX('Per Invoice'!O$2:O$801,$W142)))</f>
        <v/>
      </c>
      <c r="P142">
        <f>IF($W142="","",IF(INDEX('Per Invoice'!P$2:P$801,$W142)="","",INDEX('Per Invoice'!P$2:P$801,$W142)))</f>
        <v/>
      </c>
      <c r="Q142" s="7">
        <f>IF($W142="","",IF(INDEX('Per Invoice'!Q$2:Q$801,$W142)="","",INDEX('Per Invoice'!Q$2:Q$801,$W142)))</f>
        <v/>
      </c>
      <c r="R142" s="7">
        <f>IF($W142="","",IF(INDEX('Per Invoice'!R$2:R$801,$W142)="","",INDEX('Per Invoice'!R$2:R$801,$W142)))</f>
        <v/>
      </c>
      <c r="S142" s="7">
        <f>IF($W142="","",IF(INDEX('Per Invoice'!S$2:S$801,$W142)="","",INDEX('Per Invoice'!S$2:S$801,$W142)))</f>
        <v/>
      </c>
      <c r="T142" s="7">
        <f>IF($W142="","",IF(INDEX('Per Invoice'!T$2:T$801,$W142)="","",INDEX('Per Invoice'!T$2:T$801,$W142)))</f>
        <v/>
      </c>
      <c r="U142" s="7">
        <f>IF($W142="","",IF(INDEX('Per Invoice'!U$2:U$801,$W142)="","",INDEX('Per Invoice'!U$2:U$801,$W142)))</f>
        <v/>
      </c>
      <c r="V142" s="7">
        <f>IF($W142="","",IF(INDEX('Per Invoice'!V$2:V$801,$W142)="","",INDEX('Per Invoice'!V$2:V$801,$W142)))</f>
        <v/>
      </c>
      <c r="W142" s="16">
        <f>IFERROR(MATCH(Settings!$C$29&amp;"|"&amp;ROWS($W$2:$W142),'Per Invoice'!$X$2:$X$801,0),"")</f>
        <v/>
      </c>
    </row>
    <row r="143">
      <c r="A143">
        <f>IF($W143="","",IF(INDEX('Per Invoice'!A$2:A$801,$W143)="","",INDEX('Per Invoice'!A$2:A$801,$W143)))</f>
        <v/>
      </c>
      <c r="B143">
        <f>IF($W143="","",IF(INDEX('Per Invoice'!B$2:B$801,$W143)="","",INDEX('Per Invoice'!B$2:B$801,$W143)))</f>
        <v/>
      </c>
      <c r="C143">
        <f>IF($W143="","",IF(INDEX('Per Invoice'!C$2:C$801,$W143)="","",INDEX('Per Invoice'!C$2:C$801,$W143)))</f>
        <v/>
      </c>
      <c r="D143">
        <f>IF($W143="","",IF(INDEX('Per Invoice'!D$2:D$801,$W143)="","",INDEX('Per Invoice'!D$2:D$801,$W143)))</f>
        <v/>
      </c>
      <c r="E143">
        <f>IF($W143="","",IF(INDEX('Per Invoice'!E$2:E$801,$W143)="","",INDEX('Per Invoice'!E$2:E$801,$W143)))</f>
        <v/>
      </c>
      <c r="F143">
        <f>IF($W143="","",IF(INDEX('Per Invoice'!F$2:F$801,$W143)="","",INDEX('Per Invoice'!F$2:F$801,$W143)))</f>
        <v/>
      </c>
      <c r="G143">
        <f>IF($W143="","",IF(INDEX('Per Invoice'!G$2:G$801,$W143)="","",INDEX('Per Invoice'!G$2:G$801,$W143)))</f>
        <v/>
      </c>
      <c r="H143">
        <f>IF($W143="","",IF(INDEX('Per Invoice'!H$2:H$801,$W143)="","",INDEX('Per Invoice'!H$2:H$801,$W143)))</f>
        <v/>
      </c>
      <c r="I143">
        <f>IF($W143="","",IF(INDEX('Per Invoice'!I$2:I$801,$W143)="","",INDEX('Per Invoice'!I$2:I$801,$W143)))</f>
        <v/>
      </c>
      <c r="J143">
        <f>IF($W143="","",IF(INDEX('Per Invoice'!J$2:J$801,$W143)="","",INDEX('Per Invoice'!J$2:J$801,$W143)))</f>
        <v/>
      </c>
      <c r="K143" s="7">
        <f>IF($W143="","",IF(INDEX('Per Invoice'!K$2:K$801,$W143)="","",INDEX('Per Invoice'!K$2:K$801,$W143)))</f>
        <v/>
      </c>
      <c r="L143" s="14">
        <f>IF($W143="","",IF(INDEX('Per Invoice'!L$2:L$801,$W143)="","",INDEX('Per Invoice'!L$2:L$801,$W143)))</f>
        <v/>
      </c>
      <c r="M143">
        <f>IF($W143="","",IF(INDEX('Per Invoice'!M$2:M$801,$W143)="","",INDEX('Per Invoice'!M$2:M$801,$W143)))</f>
        <v/>
      </c>
      <c r="N143" s="7">
        <f>IF($W143="","",IF(INDEX('Per Invoice'!N$2:N$801,$W143)="","",INDEX('Per Invoice'!N$2:N$801,$W143)))</f>
        <v/>
      </c>
      <c r="O143" s="7">
        <f>IF($W143="","",IF(INDEX('Per Invoice'!O$2:O$801,$W143)="","",INDEX('Per Invoice'!O$2:O$801,$W143)))</f>
        <v/>
      </c>
      <c r="P143">
        <f>IF($W143="","",IF(INDEX('Per Invoice'!P$2:P$801,$W143)="","",INDEX('Per Invoice'!P$2:P$801,$W143)))</f>
        <v/>
      </c>
      <c r="Q143" s="7">
        <f>IF($W143="","",IF(INDEX('Per Invoice'!Q$2:Q$801,$W143)="","",INDEX('Per Invoice'!Q$2:Q$801,$W143)))</f>
        <v/>
      </c>
      <c r="R143" s="7">
        <f>IF($W143="","",IF(INDEX('Per Invoice'!R$2:R$801,$W143)="","",INDEX('Per Invoice'!R$2:R$801,$W143)))</f>
        <v/>
      </c>
      <c r="S143" s="7">
        <f>IF($W143="","",IF(INDEX('Per Invoice'!S$2:S$801,$W143)="","",INDEX('Per Invoice'!S$2:S$801,$W143)))</f>
        <v/>
      </c>
      <c r="T143" s="7">
        <f>IF($W143="","",IF(INDEX('Per Invoice'!T$2:T$801,$W143)="","",INDEX('Per Invoice'!T$2:T$801,$W143)))</f>
        <v/>
      </c>
      <c r="U143" s="7">
        <f>IF($W143="","",IF(INDEX('Per Invoice'!U$2:U$801,$W143)="","",INDEX('Per Invoice'!U$2:U$801,$W143)))</f>
        <v/>
      </c>
      <c r="V143" s="7">
        <f>IF($W143="","",IF(INDEX('Per Invoice'!V$2:V$801,$W143)="","",INDEX('Per Invoice'!V$2:V$801,$W143)))</f>
        <v/>
      </c>
      <c r="W143" s="16">
        <f>IFERROR(MATCH(Settings!$C$29&amp;"|"&amp;ROWS($W$2:$W143),'Per Invoice'!$X$2:$X$801,0),"")</f>
        <v/>
      </c>
    </row>
    <row r="144">
      <c r="A144">
        <f>IF($W144="","",IF(INDEX('Per Invoice'!A$2:A$801,$W144)="","",INDEX('Per Invoice'!A$2:A$801,$W144)))</f>
        <v/>
      </c>
      <c r="B144">
        <f>IF($W144="","",IF(INDEX('Per Invoice'!B$2:B$801,$W144)="","",INDEX('Per Invoice'!B$2:B$801,$W144)))</f>
        <v/>
      </c>
      <c r="C144">
        <f>IF($W144="","",IF(INDEX('Per Invoice'!C$2:C$801,$W144)="","",INDEX('Per Invoice'!C$2:C$801,$W144)))</f>
        <v/>
      </c>
      <c r="D144">
        <f>IF($W144="","",IF(INDEX('Per Invoice'!D$2:D$801,$W144)="","",INDEX('Per Invoice'!D$2:D$801,$W144)))</f>
        <v/>
      </c>
      <c r="E144">
        <f>IF($W144="","",IF(INDEX('Per Invoice'!E$2:E$801,$W144)="","",INDEX('Per Invoice'!E$2:E$801,$W144)))</f>
        <v/>
      </c>
      <c r="F144">
        <f>IF($W144="","",IF(INDEX('Per Invoice'!F$2:F$801,$W144)="","",INDEX('Per Invoice'!F$2:F$801,$W144)))</f>
        <v/>
      </c>
      <c r="G144">
        <f>IF($W144="","",IF(INDEX('Per Invoice'!G$2:G$801,$W144)="","",INDEX('Per Invoice'!G$2:G$801,$W144)))</f>
        <v/>
      </c>
      <c r="H144">
        <f>IF($W144="","",IF(INDEX('Per Invoice'!H$2:H$801,$W144)="","",INDEX('Per Invoice'!H$2:H$801,$W144)))</f>
        <v/>
      </c>
      <c r="I144">
        <f>IF($W144="","",IF(INDEX('Per Invoice'!I$2:I$801,$W144)="","",INDEX('Per Invoice'!I$2:I$801,$W144)))</f>
        <v/>
      </c>
      <c r="J144">
        <f>IF($W144="","",IF(INDEX('Per Invoice'!J$2:J$801,$W144)="","",INDEX('Per Invoice'!J$2:J$801,$W144)))</f>
        <v/>
      </c>
      <c r="K144" s="7">
        <f>IF($W144="","",IF(INDEX('Per Invoice'!K$2:K$801,$W144)="","",INDEX('Per Invoice'!K$2:K$801,$W144)))</f>
        <v/>
      </c>
      <c r="L144" s="14">
        <f>IF($W144="","",IF(INDEX('Per Invoice'!L$2:L$801,$W144)="","",INDEX('Per Invoice'!L$2:L$801,$W144)))</f>
        <v/>
      </c>
      <c r="M144">
        <f>IF($W144="","",IF(INDEX('Per Invoice'!M$2:M$801,$W144)="","",INDEX('Per Invoice'!M$2:M$801,$W144)))</f>
        <v/>
      </c>
      <c r="N144" s="7">
        <f>IF($W144="","",IF(INDEX('Per Invoice'!N$2:N$801,$W144)="","",INDEX('Per Invoice'!N$2:N$801,$W144)))</f>
        <v/>
      </c>
      <c r="O144" s="7">
        <f>IF($W144="","",IF(INDEX('Per Invoice'!O$2:O$801,$W144)="","",INDEX('Per Invoice'!O$2:O$801,$W144)))</f>
        <v/>
      </c>
      <c r="P144">
        <f>IF($W144="","",IF(INDEX('Per Invoice'!P$2:P$801,$W144)="","",INDEX('Per Invoice'!P$2:P$801,$W144)))</f>
        <v/>
      </c>
      <c r="Q144" s="7">
        <f>IF($W144="","",IF(INDEX('Per Invoice'!Q$2:Q$801,$W144)="","",INDEX('Per Invoice'!Q$2:Q$801,$W144)))</f>
        <v/>
      </c>
      <c r="R144" s="7">
        <f>IF($W144="","",IF(INDEX('Per Invoice'!R$2:R$801,$W144)="","",INDEX('Per Invoice'!R$2:R$801,$W144)))</f>
        <v/>
      </c>
      <c r="S144" s="7">
        <f>IF($W144="","",IF(INDEX('Per Invoice'!S$2:S$801,$W144)="","",INDEX('Per Invoice'!S$2:S$801,$W144)))</f>
        <v/>
      </c>
      <c r="T144" s="7">
        <f>IF($W144="","",IF(INDEX('Per Invoice'!T$2:T$801,$W144)="","",INDEX('Per Invoice'!T$2:T$801,$W144)))</f>
        <v/>
      </c>
      <c r="U144" s="7">
        <f>IF($W144="","",IF(INDEX('Per Invoice'!U$2:U$801,$W144)="","",INDEX('Per Invoice'!U$2:U$801,$W144)))</f>
        <v/>
      </c>
      <c r="V144" s="7">
        <f>IF($W144="","",IF(INDEX('Per Invoice'!V$2:V$801,$W144)="","",INDEX('Per Invoice'!V$2:V$801,$W144)))</f>
        <v/>
      </c>
      <c r="W144" s="16">
        <f>IFERROR(MATCH(Settings!$C$29&amp;"|"&amp;ROWS($W$2:$W144),'Per Invoice'!$X$2:$X$801,0),"")</f>
        <v/>
      </c>
    </row>
    <row r="145">
      <c r="A145">
        <f>IF($W145="","",IF(INDEX('Per Invoice'!A$2:A$801,$W145)="","",INDEX('Per Invoice'!A$2:A$801,$W145)))</f>
        <v/>
      </c>
      <c r="B145">
        <f>IF($W145="","",IF(INDEX('Per Invoice'!B$2:B$801,$W145)="","",INDEX('Per Invoice'!B$2:B$801,$W145)))</f>
        <v/>
      </c>
      <c r="C145">
        <f>IF($W145="","",IF(INDEX('Per Invoice'!C$2:C$801,$W145)="","",INDEX('Per Invoice'!C$2:C$801,$W145)))</f>
        <v/>
      </c>
      <c r="D145">
        <f>IF($W145="","",IF(INDEX('Per Invoice'!D$2:D$801,$W145)="","",INDEX('Per Invoice'!D$2:D$801,$W145)))</f>
        <v/>
      </c>
      <c r="E145">
        <f>IF($W145="","",IF(INDEX('Per Invoice'!E$2:E$801,$W145)="","",INDEX('Per Invoice'!E$2:E$801,$W145)))</f>
        <v/>
      </c>
      <c r="F145">
        <f>IF($W145="","",IF(INDEX('Per Invoice'!F$2:F$801,$W145)="","",INDEX('Per Invoice'!F$2:F$801,$W145)))</f>
        <v/>
      </c>
      <c r="G145">
        <f>IF($W145="","",IF(INDEX('Per Invoice'!G$2:G$801,$W145)="","",INDEX('Per Invoice'!G$2:G$801,$W145)))</f>
        <v/>
      </c>
      <c r="H145">
        <f>IF($W145="","",IF(INDEX('Per Invoice'!H$2:H$801,$W145)="","",INDEX('Per Invoice'!H$2:H$801,$W145)))</f>
        <v/>
      </c>
      <c r="I145">
        <f>IF($W145="","",IF(INDEX('Per Invoice'!I$2:I$801,$W145)="","",INDEX('Per Invoice'!I$2:I$801,$W145)))</f>
        <v/>
      </c>
      <c r="J145">
        <f>IF($W145="","",IF(INDEX('Per Invoice'!J$2:J$801,$W145)="","",INDEX('Per Invoice'!J$2:J$801,$W145)))</f>
        <v/>
      </c>
      <c r="K145" s="7">
        <f>IF($W145="","",IF(INDEX('Per Invoice'!K$2:K$801,$W145)="","",INDEX('Per Invoice'!K$2:K$801,$W145)))</f>
        <v/>
      </c>
      <c r="L145" s="14">
        <f>IF($W145="","",IF(INDEX('Per Invoice'!L$2:L$801,$W145)="","",INDEX('Per Invoice'!L$2:L$801,$W145)))</f>
        <v/>
      </c>
      <c r="M145">
        <f>IF($W145="","",IF(INDEX('Per Invoice'!M$2:M$801,$W145)="","",INDEX('Per Invoice'!M$2:M$801,$W145)))</f>
        <v/>
      </c>
      <c r="N145" s="7">
        <f>IF($W145="","",IF(INDEX('Per Invoice'!N$2:N$801,$W145)="","",INDEX('Per Invoice'!N$2:N$801,$W145)))</f>
        <v/>
      </c>
      <c r="O145" s="7">
        <f>IF($W145="","",IF(INDEX('Per Invoice'!O$2:O$801,$W145)="","",INDEX('Per Invoice'!O$2:O$801,$W145)))</f>
        <v/>
      </c>
      <c r="P145">
        <f>IF($W145="","",IF(INDEX('Per Invoice'!P$2:P$801,$W145)="","",INDEX('Per Invoice'!P$2:P$801,$W145)))</f>
        <v/>
      </c>
      <c r="Q145" s="7">
        <f>IF($W145="","",IF(INDEX('Per Invoice'!Q$2:Q$801,$W145)="","",INDEX('Per Invoice'!Q$2:Q$801,$W145)))</f>
        <v/>
      </c>
      <c r="R145" s="7">
        <f>IF($W145="","",IF(INDEX('Per Invoice'!R$2:R$801,$W145)="","",INDEX('Per Invoice'!R$2:R$801,$W145)))</f>
        <v/>
      </c>
      <c r="S145" s="7">
        <f>IF($W145="","",IF(INDEX('Per Invoice'!S$2:S$801,$W145)="","",INDEX('Per Invoice'!S$2:S$801,$W145)))</f>
        <v/>
      </c>
      <c r="T145" s="7">
        <f>IF($W145="","",IF(INDEX('Per Invoice'!T$2:T$801,$W145)="","",INDEX('Per Invoice'!T$2:T$801,$W145)))</f>
        <v/>
      </c>
      <c r="U145" s="7">
        <f>IF($W145="","",IF(INDEX('Per Invoice'!U$2:U$801,$W145)="","",INDEX('Per Invoice'!U$2:U$801,$W145)))</f>
        <v/>
      </c>
      <c r="V145" s="7">
        <f>IF($W145="","",IF(INDEX('Per Invoice'!V$2:V$801,$W145)="","",INDEX('Per Invoice'!V$2:V$801,$W145)))</f>
        <v/>
      </c>
      <c r="W145" s="16">
        <f>IFERROR(MATCH(Settings!$C$29&amp;"|"&amp;ROWS($W$2:$W145),'Per Invoice'!$X$2:$X$801,0),"")</f>
        <v/>
      </c>
    </row>
    <row r="146">
      <c r="A146">
        <f>IF($W146="","",IF(INDEX('Per Invoice'!A$2:A$801,$W146)="","",INDEX('Per Invoice'!A$2:A$801,$W146)))</f>
        <v/>
      </c>
      <c r="B146">
        <f>IF($W146="","",IF(INDEX('Per Invoice'!B$2:B$801,$W146)="","",INDEX('Per Invoice'!B$2:B$801,$W146)))</f>
        <v/>
      </c>
      <c r="C146">
        <f>IF($W146="","",IF(INDEX('Per Invoice'!C$2:C$801,$W146)="","",INDEX('Per Invoice'!C$2:C$801,$W146)))</f>
        <v/>
      </c>
      <c r="D146">
        <f>IF($W146="","",IF(INDEX('Per Invoice'!D$2:D$801,$W146)="","",INDEX('Per Invoice'!D$2:D$801,$W146)))</f>
        <v/>
      </c>
      <c r="E146">
        <f>IF($W146="","",IF(INDEX('Per Invoice'!E$2:E$801,$W146)="","",INDEX('Per Invoice'!E$2:E$801,$W146)))</f>
        <v/>
      </c>
      <c r="F146">
        <f>IF($W146="","",IF(INDEX('Per Invoice'!F$2:F$801,$W146)="","",INDEX('Per Invoice'!F$2:F$801,$W146)))</f>
        <v/>
      </c>
      <c r="G146">
        <f>IF($W146="","",IF(INDEX('Per Invoice'!G$2:G$801,$W146)="","",INDEX('Per Invoice'!G$2:G$801,$W146)))</f>
        <v/>
      </c>
      <c r="H146">
        <f>IF($W146="","",IF(INDEX('Per Invoice'!H$2:H$801,$W146)="","",INDEX('Per Invoice'!H$2:H$801,$W146)))</f>
        <v/>
      </c>
      <c r="I146">
        <f>IF($W146="","",IF(INDEX('Per Invoice'!I$2:I$801,$W146)="","",INDEX('Per Invoice'!I$2:I$801,$W146)))</f>
        <v/>
      </c>
      <c r="J146">
        <f>IF($W146="","",IF(INDEX('Per Invoice'!J$2:J$801,$W146)="","",INDEX('Per Invoice'!J$2:J$801,$W146)))</f>
        <v/>
      </c>
      <c r="K146" s="7">
        <f>IF($W146="","",IF(INDEX('Per Invoice'!K$2:K$801,$W146)="","",INDEX('Per Invoice'!K$2:K$801,$W146)))</f>
        <v/>
      </c>
      <c r="L146" s="14">
        <f>IF($W146="","",IF(INDEX('Per Invoice'!L$2:L$801,$W146)="","",INDEX('Per Invoice'!L$2:L$801,$W146)))</f>
        <v/>
      </c>
      <c r="M146">
        <f>IF($W146="","",IF(INDEX('Per Invoice'!M$2:M$801,$W146)="","",INDEX('Per Invoice'!M$2:M$801,$W146)))</f>
        <v/>
      </c>
      <c r="N146" s="7">
        <f>IF($W146="","",IF(INDEX('Per Invoice'!N$2:N$801,$W146)="","",INDEX('Per Invoice'!N$2:N$801,$W146)))</f>
        <v/>
      </c>
      <c r="O146" s="7">
        <f>IF($W146="","",IF(INDEX('Per Invoice'!O$2:O$801,$W146)="","",INDEX('Per Invoice'!O$2:O$801,$W146)))</f>
        <v/>
      </c>
      <c r="P146">
        <f>IF($W146="","",IF(INDEX('Per Invoice'!P$2:P$801,$W146)="","",INDEX('Per Invoice'!P$2:P$801,$W146)))</f>
        <v/>
      </c>
      <c r="Q146" s="7">
        <f>IF($W146="","",IF(INDEX('Per Invoice'!Q$2:Q$801,$W146)="","",INDEX('Per Invoice'!Q$2:Q$801,$W146)))</f>
        <v/>
      </c>
      <c r="R146" s="7">
        <f>IF($W146="","",IF(INDEX('Per Invoice'!R$2:R$801,$W146)="","",INDEX('Per Invoice'!R$2:R$801,$W146)))</f>
        <v/>
      </c>
      <c r="S146" s="7">
        <f>IF($W146="","",IF(INDEX('Per Invoice'!S$2:S$801,$W146)="","",INDEX('Per Invoice'!S$2:S$801,$W146)))</f>
        <v/>
      </c>
      <c r="T146" s="7">
        <f>IF($W146="","",IF(INDEX('Per Invoice'!T$2:T$801,$W146)="","",INDEX('Per Invoice'!T$2:T$801,$W146)))</f>
        <v/>
      </c>
      <c r="U146" s="7">
        <f>IF($W146="","",IF(INDEX('Per Invoice'!U$2:U$801,$W146)="","",INDEX('Per Invoice'!U$2:U$801,$W146)))</f>
        <v/>
      </c>
      <c r="V146" s="7">
        <f>IF($W146="","",IF(INDEX('Per Invoice'!V$2:V$801,$W146)="","",INDEX('Per Invoice'!V$2:V$801,$W146)))</f>
        <v/>
      </c>
      <c r="W146" s="16">
        <f>IFERROR(MATCH(Settings!$C$29&amp;"|"&amp;ROWS($W$2:$W146),'Per Invoice'!$X$2:$X$801,0),"")</f>
        <v/>
      </c>
    </row>
    <row r="147">
      <c r="A147">
        <f>IF($W147="","",IF(INDEX('Per Invoice'!A$2:A$801,$W147)="","",INDEX('Per Invoice'!A$2:A$801,$W147)))</f>
        <v/>
      </c>
      <c r="B147">
        <f>IF($W147="","",IF(INDEX('Per Invoice'!B$2:B$801,$W147)="","",INDEX('Per Invoice'!B$2:B$801,$W147)))</f>
        <v/>
      </c>
      <c r="C147">
        <f>IF($W147="","",IF(INDEX('Per Invoice'!C$2:C$801,$W147)="","",INDEX('Per Invoice'!C$2:C$801,$W147)))</f>
        <v/>
      </c>
      <c r="D147">
        <f>IF($W147="","",IF(INDEX('Per Invoice'!D$2:D$801,$W147)="","",INDEX('Per Invoice'!D$2:D$801,$W147)))</f>
        <v/>
      </c>
      <c r="E147">
        <f>IF($W147="","",IF(INDEX('Per Invoice'!E$2:E$801,$W147)="","",INDEX('Per Invoice'!E$2:E$801,$W147)))</f>
        <v/>
      </c>
      <c r="F147">
        <f>IF($W147="","",IF(INDEX('Per Invoice'!F$2:F$801,$W147)="","",INDEX('Per Invoice'!F$2:F$801,$W147)))</f>
        <v/>
      </c>
      <c r="G147">
        <f>IF($W147="","",IF(INDEX('Per Invoice'!G$2:G$801,$W147)="","",INDEX('Per Invoice'!G$2:G$801,$W147)))</f>
        <v/>
      </c>
      <c r="H147">
        <f>IF($W147="","",IF(INDEX('Per Invoice'!H$2:H$801,$W147)="","",INDEX('Per Invoice'!H$2:H$801,$W147)))</f>
        <v/>
      </c>
      <c r="I147">
        <f>IF($W147="","",IF(INDEX('Per Invoice'!I$2:I$801,$W147)="","",INDEX('Per Invoice'!I$2:I$801,$W147)))</f>
        <v/>
      </c>
      <c r="J147">
        <f>IF($W147="","",IF(INDEX('Per Invoice'!J$2:J$801,$W147)="","",INDEX('Per Invoice'!J$2:J$801,$W147)))</f>
        <v/>
      </c>
      <c r="K147" s="7">
        <f>IF($W147="","",IF(INDEX('Per Invoice'!K$2:K$801,$W147)="","",INDEX('Per Invoice'!K$2:K$801,$W147)))</f>
        <v/>
      </c>
      <c r="L147" s="14">
        <f>IF($W147="","",IF(INDEX('Per Invoice'!L$2:L$801,$W147)="","",INDEX('Per Invoice'!L$2:L$801,$W147)))</f>
        <v/>
      </c>
      <c r="M147">
        <f>IF($W147="","",IF(INDEX('Per Invoice'!M$2:M$801,$W147)="","",INDEX('Per Invoice'!M$2:M$801,$W147)))</f>
        <v/>
      </c>
      <c r="N147" s="7">
        <f>IF($W147="","",IF(INDEX('Per Invoice'!N$2:N$801,$W147)="","",INDEX('Per Invoice'!N$2:N$801,$W147)))</f>
        <v/>
      </c>
      <c r="O147" s="7">
        <f>IF($W147="","",IF(INDEX('Per Invoice'!O$2:O$801,$W147)="","",INDEX('Per Invoice'!O$2:O$801,$W147)))</f>
        <v/>
      </c>
      <c r="P147">
        <f>IF($W147="","",IF(INDEX('Per Invoice'!P$2:P$801,$W147)="","",INDEX('Per Invoice'!P$2:P$801,$W147)))</f>
        <v/>
      </c>
      <c r="Q147" s="7">
        <f>IF($W147="","",IF(INDEX('Per Invoice'!Q$2:Q$801,$W147)="","",INDEX('Per Invoice'!Q$2:Q$801,$W147)))</f>
        <v/>
      </c>
      <c r="R147" s="7">
        <f>IF($W147="","",IF(INDEX('Per Invoice'!R$2:R$801,$W147)="","",INDEX('Per Invoice'!R$2:R$801,$W147)))</f>
        <v/>
      </c>
      <c r="S147" s="7">
        <f>IF($W147="","",IF(INDEX('Per Invoice'!S$2:S$801,$W147)="","",INDEX('Per Invoice'!S$2:S$801,$W147)))</f>
        <v/>
      </c>
      <c r="T147" s="7">
        <f>IF($W147="","",IF(INDEX('Per Invoice'!T$2:T$801,$W147)="","",INDEX('Per Invoice'!T$2:T$801,$W147)))</f>
        <v/>
      </c>
      <c r="U147" s="7">
        <f>IF($W147="","",IF(INDEX('Per Invoice'!U$2:U$801,$W147)="","",INDEX('Per Invoice'!U$2:U$801,$W147)))</f>
        <v/>
      </c>
      <c r="V147" s="7">
        <f>IF($W147="","",IF(INDEX('Per Invoice'!V$2:V$801,$W147)="","",INDEX('Per Invoice'!V$2:V$801,$W147)))</f>
        <v/>
      </c>
      <c r="W147" s="16">
        <f>IFERROR(MATCH(Settings!$C$29&amp;"|"&amp;ROWS($W$2:$W147),'Per Invoice'!$X$2:$X$801,0),"")</f>
        <v/>
      </c>
    </row>
    <row r="148">
      <c r="A148">
        <f>IF($W148="","",IF(INDEX('Per Invoice'!A$2:A$801,$W148)="","",INDEX('Per Invoice'!A$2:A$801,$W148)))</f>
        <v/>
      </c>
      <c r="B148">
        <f>IF($W148="","",IF(INDEX('Per Invoice'!B$2:B$801,$W148)="","",INDEX('Per Invoice'!B$2:B$801,$W148)))</f>
        <v/>
      </c>
      <c r="C148">
        <f>IF($W148="","",IF(INDEX('Per Invoice'!C$2:C$801,$W148)="","",INDEX('Per Invoice'!C$2:C$801,$W148)))</f>
        <v/>
      </c>
      <c r="D148">
        <f>IF($W148="","",IF(INDEX('Per Invoice'!D$2:D$801,$W148)="","",INDEX('Per Invoice'!D$2:D$801,$W148)))</f>
        <v/>
      </c>
      <c r="E148">
        <f>IF($W148="","",IF(INDEX('Per Invoice'!E$2:E$801,$W148)="","",INDEX('Per Invoice'!E$2:E$801,$W148)))</f>
        <v/>
      </c>
      <c r="F148">
        <f>IF($W148="","",IF(INDEX('Per Invoice'!F$2:F$801,$W148)="","",INDEX('Per Invoice'!F$2:F$801,$W148)))</f>
        <v/>
      </c>
      <c r="G148">
        <f>IF($W148="","",IF(INDEX('Per Invoice'!G$2:G$801,$W148)="","",INDEX('Per Invoice'!G$2:G$801,$W148)))</f>
        <v/>
      </c>
      <c r="H148">
        <f>IF($W148="","",IF(INDEX('Per Invoice'!H$2:H$801,$W148)="","",INDEX('Per Invoice'!H$2:H$801,$W148)))</f>
        <v/>
      </c>
      <c r="I148">
        <f>IF($W148="","",IF(INDEX('Per Invoice'!I$2:I$801,$W148)="","",INDEX('Per Invoice'!I$2:I$801,$W148)))</f>
        <v/>
      </c>
      <c r="J148">
        <f>IF($W148="","",IF(INDEX('Per Invoice'!J$2:J$801,$W148)="","",INDEX('Per Invoice'!J$2:J$801,$W148)))</f>
        <v/>
      </c>
      <c r="K148" s="7">
        <f>IF($W148="","",IF(INDEX('Per Invoice'!K$2:K$801,$W148)="","",INDEX('Per Invoice'!K$2:K$801,$W148)))</f>
        <v/>
      </c>
      <c r="L148" s="14">
        <f>IF($W148="","",IF(INDEX('Per Invoice'!L$2:L$801,$W148)="","",INDEX('Per Invoice'!L$2:L$801,$W148)))</f>
        <v/>
      </c>
      <c r="M148">
        <f>IF($W148="","",IF(INDEX('Per Invoice'!M$2:M$801,$W148)="","",INDEX('Per Invoice'!M$2:M$801,$W148)))</f>
        <v/>
      </c>
      <c r="N148" s="7">
        <f>IF($W148="","",IF(INDEX('Per Invoice'!N$2:N$801,$W148)="","",INDEX('Per Invoice'!N$2:N$801,$W148)))</f>
        <v/>
      </c>
      <c r="O148" s="7">
        <f>IF($W148="","",IF(INDEX('Per Invoice'!O$2:O$801,$W148)="","",INDEX('Per Invoice'!O$2:O$801,$W148)))</f>
        <v/>
      </c>
      <c r="P148">
        <f>IF($W148="","",IF(INDEX('Per Invoice'!P$2:P$801,$W148)="","",INDEX('Per Invoice'!P$2:P$801,$W148)))</f>
        <v/>
      </c>
      <c r="Q148" s="7">
        <f>IF($W148="","",IF(INDEX('Per Invoice'!Q$2:Q$801,$W148)="","",INDEX('Per Invoice'!Q$2:Q$801,$W148)))</f>
        <v/>
      </c>
      <c r="R148" s="7">
        <f>IF($W148="","",IF(INDEX('Per Invoice'!R$2:R$801,$W148)="","",INDEX('Per Invoice'!R$2:R$801,$W148)))</f>
        <v/>
      </c>
      <c r="S148" s="7">
        <f>IF($W148="","",IF(INDEX('Per Invoice'!S$2:S$801,$W148)="","",INDEX('Per Invoice'!S$2:S$801,$W148)))</f>
        <v/>
      </c>
      <c r="T148" s="7">
        <f>IF($W148="","",IF(INDEX('Per Invoice'!T$2:T$801,$W148)="","",INDEX('Per Invoice'!T$2:T$801,$W148)))</f>
        <v/>
      </c>
      <c r="U148" s="7">
        <f>IF($W148="","",IF(INDEX('Per Invoice'!U$2:U$801,$W148)="","",INDEX('Per Invoice'!U$2:U$801,$W148)))</f>
        <v/>
      </c>
      <c r="V148" s="7">
        <f>IF($W148="","",IF(INDEX('Per Invoice'!V$2:V$801,$W148)="","",INDEX('Per Invoice'!V$2:V$801,$W148)))</f>
        <v/>
      </c>
      <c r="W148" s="16">
        <f>IFERROR(MATCH(Settings!$C$29&amp;"|"&amp;ROWS($W$2:$W148),'Per Invoice'!$X$2:$X$801,0),"")</f>
        <v/>
      </c>
    </row>
    <row r="149">
      <c r="A149">
        <f>IF($W149="","",IF(INDEX('Per Invoice'!A$2:A$801,$W149)="","",INDEX('Per Invoice'!A$2:A$801,$W149)))</f>
        <v/>
      </c>
      <c r="B149">
        <f>IF($W149="","",IF(INDEX('Per Invoice'!B$2:B$801,$W149)="","",INDEX('Per Invoice'!B$2:B$801,$W149)))</f>
        <v/>
      </c>
      <c r="C149">
        <f>IF($W149="","",IF(INDEX('Per Invoice'!C$2:C$801,$W149)="","",INDEX('Per Invoice'!C$2:C$801,$W149)))</f>
        <v/>
      </c>
      <c r="D149">
        <f>IF($W149="","",IF(INDEX('Per Invoice'!D$2:D$801,$W149)="","",INDEX('Per Invoice'!D$2:D$801,$W149)))</f>
        <v/>
      </c>
      <c r="E149">
        <f>IF($W149="","",IF(INDEX('Per Invoice'!E$2:E$801,$W149)="","",INDEX('Per Invoice'!E$2:E$801,$W149)))</f>
        <v/>
      </c>
      <c r="F149">
        <f>IF($W149="","",IF(INDEX('Per Invoice'!F$2:F$801,$W149)="","",INDEX('Per Invoice'!F$2:F$801,$W149)))</f>
        <v/>
      </c>
      <c r="G149">
        <f>IF($W149="","",IF(INDEX('Per Invoice'!G$2:G$801,$W149)="","",INDEX('Per Invoice'!G$2:G$801,$W149)))</f>
        <v/>
      </c>
      <c r="H149">
        <f>IF($W149="","",IF(INDEX('Per Invoice'!H$2:H$801,$W149)="","",INDEX('Per Invoice'!H$2:H$801,$W149)))</f>
        <v/>
      </c>
      <c r="I149">
        <f>IF($W149="","",IF(INDEX('Per Invoice'!I$2:I$801,$W149)="","",INDEX('Per Invoice'!I$2:I$801,$W149)))</f>
        <v/>
      </c>
      <c r="J149">
        <f>IF($W149="","",IF(INDEX('Per Invoice'!J$2:J$801,$W149)="","",INDEX('Per Invoice'!J$2:J$801,$W149)))</f>
        <v/>
      </c>
      <c r="K149" s="7">
        <f>IF($W149="","",IF(INDEX('Per Invoice'!K$2:K$801,$W149)="","",INDEX('Per Invoice'!K$2:K$801,$W149)))</f>
        <v/>
      </c>
      <c r="L149" s="14">
        <f>IF($W149="","",IF(INDEX('Per Invoice'!L$2:L$801,$W149)="","",INDEX('Per Invoice'!L$2:L$801,$W149)))</f>
        <v/>
      </c>
      <c r="M149">
        <f>IF($W149="","",IF(INDEX('Per Invoice'!M$2:M$801,$W149)="","",INDEX('Per Invoice'!M$2:M$801,$W149)))</f>
        <v/>
      </c>
      <c r="N149" s="7">
        <f>IF($W149="","",IF(INDEX('Per Invoice'!N$2:N$801,$W149)="","",INDEX('Per Invoice'!N$2:N$801,$W149)))</f>
        <v/>
      </c>
      <c r="O149" s="7">
        <f>IF($W149="","",IF(INDEX('Per Invoice'!O$2:O$801,$W149)="","",INDEX('Per Invoice'!O$2:O$801,$W149)))</f>
        <v/>
      </c>
      <c r="P149">
        <f>IF($W149="","",IF(INDEX('Per Invoice'!P$2:P$801,$W149)="","",INDEX('Per Invoice'!P$2:P$801,$W149)))</f>
        <v/>
      </c>
      <c r="Q149" s="7">
        <f>IF($W149="","",IF(INDEX('Per Invoice'!Q$2:Q$801,$W149)="","",INDEX('Per Invoice'!Q$2:Q$801,$W149)))</f>
        <v/>
      </c>
      <c r="R149" s="7">
        <f>IF($W149="","",IF(INDEX('Per Invoice'!R$2:R$801,$W149)="","",INDEX('Per Invoice'!R$2:R$801,$W149)))</f>
        <v/>
      </c>
      <c r="S149" s="7">
        <f>IF($W149="","",IF(INDEX('Per Invoice'!S$2:S$801,$W149)="","",INDEX('Per Invoice'!S$2:S$801,$W149)))</f>
        <v/>
      </c>
      <c r="T149" s="7">
        <f>IF($W149="","",IF(INDEX('Per Invoice'!T$2:T$801,$W149)="","",INDEX('Per Invoice'!T$2:T$801,$W149)))</f>
        <v/>
      </c>
      <c r="U149" s="7">
        <f>IF($W149="","",IF(INDEX('Per Invoice'!U$2:U$801,$W149)="","",INDEX('Per Invoice'!U$2:U$801,$W149)))</f>
        <v/>
      </c>
      <c r="V149" s="7">
        <f>IF($W149="","",IF(INDEX('Per Invoice'!V$2:V$801,$W149)="","",INDEX('Per Invoice'!V$2:V$801,$W149)))</f>
        <v/>
      </c>
      <c r="W149" s="16">
        <f>IFERROR(MATCH(Settings!$C$29&amp;"|"&amp;ROWS($W$2:$W149),'Per Invoice'!$X$2:$X$801,0),"")</f>
        <v/>
      </c>
    </row>
    <row r="150">
      <c r="A150">
        <f>IF($W150="","",IF(INDEX('Per Invoice'!A$2:A$801,$W150)="","",INDEX('Per Invoice'!A$2:A$801,$W150)))</f>
        <v/>
      </c>
      <c r="B150">
        <f>IF($W150="","",IF(INDEX('Per Invoice'!B$2:B$801,$W150)="","",INDEX('Per Invoice'!B$2:B$801,$W150)))</f>
        <v/>
      </c>
      <c r="C150">
        <f>IF($W150="","",IF(INDEX('Per Invoice'!C$2:C$801,$W150)="","",INDEX('Per Invoice'!C$2:C$801,$W150)))</f>
        <v/>
      </c>
      <c r="D150">
        <f>IF($W150="","",IF(INDEX('Per Invoice'!D$2:D$801,$W150)="","",INDEX('Per Invoice'!D$2:D$801,$W150)))</f>
        <v/>
      </c>
      <c r="E150">
        <f>IF($W150="","",IF(INDEX('Per Invoice'!E$2:E$801,$W150)="","",INDEX('Per Invoice'!E$2:E$801,$W150)))</f>
        <v/>
      </c>
      <c r="F150">
        <f>IF($W150="","",IF(INDEX('Per Invoice'!F$2:F$801,$W150)="","",INDEX('Per Invoice'!F$2:F$801,$W150)))</f>
        <v/>
      </c>
      <c r="G150">
        <f>IF($W150="","",IF(INDEX('Per Invoice'!G$2:G$801,$W150)="","",INDEX('Per Invoice'!G$2:G$801,$W150)))</f>
        <v/>
      </c>
      <c r="H150">
        <f>IF($W150="","",IF(INDEX('Per Invoice'!H$2:H$801,$W150)="","",INDEX('Per Invoice'!H$2:H$801,$W150)))</f>
        <v/>
      </c>
      <c r="I150">
        <f>IF($W150="","",IF(INDEX('Per Invoice'!I$2:I$801,$W150)="","",INDEX('Per Invoice'!I$2:I$801,$W150)))</f>
        <v/>
      </c>
      <c r="J150">
        <f>IF($W150="","",IF(INDEX('Per Invoice'!J$2:J$801,$W150)="","",INDEX('Per Invoice'!J$2:J$801,$W150)))</f>
        <v/>
      </c>
      <c r="K150" s="7">
        <f>IF($W150="","",IF(INDEX('Per Invoice'!K$2:K$801,$W150)="","",INDEX('Per Invoice'!K$2:K$801,$W150)))</f>
        <v/>
      </c>
      <c r="L150" s="14">
        <f>IF($W150="","",IF(INDEX('Per Invoice'!L$2:L$801,$W150)="","",INDEX('Per Invoice'!L$2:L$801,$W150)))</f>
        <v/>
      </c>
      <c r="M150">
        <f>IF($W150="","",IF(INDEX('Per Invoice'!M$2:M$801,$W150)="","",INDEX('Per Invoice'!M$2:M$801,$W150)))</f>
        <v/>
      </c>
      <c r="N150" s="7">
        <f>IF($W150="","",IF(INDEX('Per Invoice'!N$2:N$801,$W150)="","",INDEX('Per Invoice'!N$2:N$801,$W150)))</f>
        <v/>
      </c>
      <c r="O150" s="7">
        <f>IF($W150="","",IF(INDEX('Per Invoice'!O$2:O$801,$W150)="","",INDEX('Per Invoice'!O$2:O$801,$W150)))</f>
        <v/>
      </c>
      <c r="P150">
        <f>IF($W150="","",IF(INDEX('Per Invoice'!P$2:P$801,$W150)="","",INDEX('Per Invoice'!P$2:P$801,$W150)))</f>
        <v/>
      </c>
      <c r="Q150" s="7">
        <f>IF($W150="","",IF(INDEX('Per Invoice'!Q$2:Q$801,$W150)="","",INDEX('Per Invoice'!Q$2:Q$801,$W150)))</f>
        <v/>
      </c>
      <c r="R150" s="7">
        <f>IF($W150="","",IF(INDEX('Per Invoice'!R$2:R$801,$W150)="","",INDEX('Per Invoice'!R$2:R$801,$W150)))</f>
        <v/>
      </c>
      <c r="S150" s="7">
        <f>IF($W150="","",IF(INDEX('Per Invoice'!S$2:S$801,$W150)="","",INDEX('Per Invoice'!S$2:S$801,$W150)))</f>
        <v/>
      </c>
      <c r="T150" s="7">
        <f>IF($W150="","",IF(INDEX('Per Invoice'!T$2:T$801,$W150)="","",INDEX('Per Invoice'!T$2:T$801,$W150)))</f>
        <v/>
      </c>
      <c r="U150" s="7">
        <f>IF($W150="","",IF(INDEX('Per Invoice'!U$2:U$801,$W150)="","",INDEX('Per Invoice'!U$2:U$801,$W150)))</f>
        <v/>
      </c>
      <c r="V150" s="7">
        <f>IF($W150="","",IF(INDEX('Per Invoice'!V$2:V$801,$W150)="","",INDEX('Per Invoice'!V$2:V$801,$W150)))</f>
        <v/>
      </c>
      <c r="W150" s="16">
        <f>IFERROR(MATCH(Settings!$C$29&amp;"|"&amp;ROWS($W$2:$W150),'Per Invoice'!$X$2:$X$801,0),"")</f>
        <v/>
      </c>
    </row>
    <row r="151">
      <c r="A151">
        <f>IF($W151="","",IF(INDEX('Per Invoice'!A$2:A$801,$W151)="","",INDEX('Per Invoice'!A$2:A$801,$W151)))</f>
        <v/>
      </c>
      <c r="B151">
        <f>IF($W151="","",IF(INDEX('Per Invoice'!B$2:B$801,$W151)="","",INDEX('Per Invoice'!B$2:B$801,$W151)))</f>
        <v/>
      </c>
      <c r="C151">
        <f>IF($W151="","",IF(INDEX('Per Invoice'!C$2:C$801,$W151)="","",INDEX('Per Invoice'!C$2:C$801,$W151)))</f>
        <v/>
      </c>
      <c r="D151">
        <f>IF($W151="","",IF(INDEX('Per Invoice'!D$2:D$801,$W151)="","",INDEX('Per Invoice'!D$2:D$801,$W151)))</f>
        <v/>
      </c>
      <c r="E151">
        <f>IF($W151="","",IF(INDEX('Per Invoice'!E$2:E$801,$W151)="","",INDEX('Per Invoice'!E$2:E$801,$W151)))</f>
        <v/>
      </c>
      <c r="F151">
        <f>IF($W151="","",IF(INDEX('Per Invoice'!F$2:F$801,$W151)="","",INDEX('Per Invoice'!F$2:F$801,$W151)))</f>
        <v/>
      </c>
      <c r="G151">
        <f>IF($W151="","",IF(INDEX('Per Invoice'!G$2:G$801,$W151)="","",INDEX('Per Invoice'!G$2:G$801,$W151)))</f>
        <v/>
      </c>
      <c r="H151">
        <f>IF($W151="","",IF(INDEX('Per Invoice'!H$2:H$801,$W151)="","",INDEX('Per Invoice'!H$2:H$801,$W151)))</f>
        <v/>
      </c>
      <c r="I151">
        <f>IF($W151="","",IF(INDEX('Per Invoice'!I$2:I$801,$W151)="","",INDEX('Per Invoice'!I$2:I$801,$W151)))</f>
        <v/>
      </c>
      <c r="J151">
        <f>IF($W151="","",IF(INDEX('Per Invoice'!J$2:J$801,$W151)="","",INDEX('Per Invoice'!J$2:J$801,$W151)))</f>
        <v/>
      </c>
      <c r="K151" s="7">
        <f>IF($W151="","",IF(INDEX('Per Invoice'!K$2:K$801,$W151)="","",INDEX('Per Invoice'!K$2:K$801,$W151)))</f>
        <v/>
      </c>
      <c r="L151" s="14">
        <f>IF($W151="","",IF(INDEX('Per Invoice'!L$2:L$801,$W151)="","",INDEX('Per Invoice'!L$2:L$801,$W151)))</f>
        <v/>
      </c>
      <c r="M151">
        <f>IF($W151="","",IF(INDEX('Per Invoice'!M$2:M$801,$W151)="","",INDEX('Per Invoice'!M$2:M$801,$W151)))</f>
        <v/>
      </c>
      <c r="N151" s="7">
        <f>IF($W151="","",IF(INDEX('Per Invoice'!N$2:N$801,$W151)="","",INDEX('Per Invoice'!N$2:N$801,$W151)))</f>
        <v/>
      </c>
      <c r="O151" s="7">
        <f>IF($W151="","",IF(INDEX('Per Invoice'!O$2:O$801,$W151)="","",INDEX('Per Invoice'!O$2:O$801,$W151)))</f>
        <v/>
      </c>
      <c r="P151">
        <f>IF($W151="","",IF(INDEX('Per Invoice'!P$2:P$801,$W151)="","",INDEX('Per Invoice'!P$2:P$801,$W151)))</f>
        <v/>
      </c>
      <c r="Q151" s="7">
        <f>IF($W151="","",IF(INDEX('Per Invoice'!Q$2:Q$801,$W151)="","",INDEX('Per Invoice'!Q$2:Q$801,$W151)))</f>
        <v/>
      </c>
      <c r="R151" s="7">
        <f>IF($W151="","",IF(INDEX('Per Invoice'!R$2:R$801,$W151)="","",INDEX('Per Invoice'!R$2:R$801,$W151)))</f>
        <v/>
      </c>
      <c r="S151" s="7">
        <f>IF($W151="","",IF(INDEX('Per Invoice'!S$2:S$801,$W151)="","",INDEX('Per Invoice'!S$2:S$801,$W151)))</f>
        <v/>
      </c>
      <c r="T151" s="7">
        <f>IF($W151="","",IF(INDEX('Per Invoice'!T$2:T$801,$W151)="","",INDEX('Per Invoice'!T$2:T$801,$W151)))</f>
        <v/>
      </c>
      <c r="U151" s="7">
        <f>IF($W151="","",IF(INDEX('Per Invoice'!U$2:U$801,$W151)="","",INDEX('Per Invoice'!U$2:U$801,$W151)))</f>
        <v/>
      </c>
      <c r="V151" s="7">
        <f>IF($W151="","",IF(INDEX('Per Invoice'!V$2:V$801,$W151)="","",INDEX('Per Invoice'!V$2:V$801,$W151)))</f>
        <v/>
      </c>
      <c r="W151" s="16">
        <f>IFERROR(MATCH(Settings!$C$29&amp;"|"&amp;ROWS($W$2:$W151),'Per Invoice'!$X$2:$X$801,0),"")</f>
        <v/>
      </c>
    </row>
    <row r="152">
      <c r="A152">
        <f>IF($W152="","",IF(INDEX('Per Invoice'!A$2:A$801,$W152)="","",INDEX('Per Invoice'!A$2:A$801,$W152)))</f>
        <v/>
      </c>
      <c r="B152">
        <f>IF($W152="","",IF(INDEX('Per Invoice'!B$2:B$801,$W152)="","",INDEX('Per Invoice'!B$2:B$801,$W152)))</f>
        <v/>
      </c>
      <c r="C152">
        <f>IF($W152="","",IF(INDEX('Per Invoice'!C$2:C$801,$W152)="","",INDEX('Per Invoice'!C$2:C$801,$W152)))</f>
        <v/>
      </c>
      <c r="D152">
        <f>IF($W152="","",IF(INDEX('Per Invoice'!D$2:D$801,$W152)="","",INDEX('Per Invoice'!D$2:D$801,$W152)))</f>
        <v/>
      </c>
      <c r="E152">
        <f>IF($W152="","",IF(INDEX('Per Invoice'!E$2:E$801,$W152)="","",INDEX('Per Invoice'!E$2:E$801,$W152)))</f>
        <v/>
      </c>
      <c r="F152">
        <f>IF($W152="","",IF(INDEX('Per Invoice'!F$2:F$801,$W152)="","",INDEX('Per Invoice'!F$2:F$801,$W152)))</f>
        <v/>
      </c>
      <c r="G152">
        <f>IF($W152="","",IF(INDEX('Per Invoice'!G$2:G$801,$W152)="","",INDEX('Per Invoice'!G$2:G$801,$W152)))</f>
        <v/>
      </c>
      <c r="H152">
        <f>IF($W152="","",IF(INDEX('Per Invoice'!H$2:H$801,$W152)="","",INDEX('Per Invoice'!H$2:H$801,$W152)))</f>
        <v/>
      </c>
      <c r="I152">
        <f>IF($W152="","",IF(INDEX('Per Invoice'!I$2:I$801,$W152)="","",INDEX('Per Invoice'!I$2:I$801,$W152)))</f>
        <v/>
      </c>
      <c r="J152">
        <f>IF($W152="","",IF(INDEX('Per Invoice'!J$2:J$801,$W152)="","",INDEX('Per Invoice'!J$2:J$801,$W152)))</f>
        <v/>
      </c>
      <c r="K152" s="7">
        <f>IF($W152="","",IF(INDEX('Per Invoice'!K$2:K$801,$W152)="","",INDEX('Per Invoice'!K$2:K$801,$W152)))</f>
        <v/>
      </c>
      <c r="L152" s="14">
        <f>IF($W152="","",IF(INDEX('Per Invoice'!L$2:L$801,$W152)="","",INDEX('Per Invoice'!L$2:L$801,$W152)))</f>
        <v/>
      </c>
      <c r="M152">
        <f>IF($W152="","",IF(INDEX('Per Invoice'!M$2:M$801,$W152)="","",INDEX('Per Invoice'!M$2:M$801,$W152)))</f>
        <v/>
      </c>
      <c r="N152" s="7">
        <f>IF($W152="","",IF(INDEX('Per Invoice'!N$2:N$801,$W152)="","",INDEX('Per Invoice'!N$2:N$801,$W152)))</f>
        <v/>
      </c>
      <c r="O152" s="7">
        <f>IF($W152="","",IF(INDEX('Per Invoice'!O$2:O$801,$W152)="","",INDEX('Per Invoice'!O$2:O$801,$W152)))</f>
        <v/>
      </c>
      <c r="P152">
        <f>IF($W152="","",IF(INDEX('Per Invoice'!P$2:P$801,$W152)="","",INDEX('Per Invoice'!P$2:P$801,$W152)))</f>
        <v/>
      </c>
      <c r="Q152" s="7">
        <f>IF($W152="","",IF(INDEX('Per Invoice'!Q$2:Q$801,$W152)="","",INDEX('Per Invoice'!Q$2:Q$801,$W152)))</f>
        <v/>
      </c>
      <c r="R152" s="7">
        <f>IF($W152="","",IF(INDEX('Per Invoice'!R$2:R$801,$W152)="","",INDEX('Per Invoice'!R$2:R$801,$W152)))</f>
        <v/>
      </c>
      <c r="S152" s="7">
        <f>IF($W152="","",IF(INDEX('Per Invoice'!S$2:S$801,$W152)="","",INDEX('Per Invoice'!S$2:S$801,$W152)))</f>
        <v/>
      </c>
      <c r="T152" s="7">
        <f>IF($W152="","",IF(INDEX('Per Invoice'!T$2:T$801,$W152)="","",INDEX('Per Invoice'!T$2:T$801,$W152)))</f>
        <v/>
      </c>
      <c r="U152" s="7">
        <f>IF($W152="","",IF(INDEX('Per Invoice'!U$2:U$801,$W152)="","",INDEX('Per Invoice'!U$2:U$801,$W152)))</f>
        <v/>
      </c>
      <c r="V152" s="7">
        <f>IF($W152="","",IF(INDEX('Per Invoice'!V$2:V$801,$W152)="","",INDEX('Per Invoice'!V$2:V$801,$W152)))</f>
        <v/>
      </c>
      <c r="W152" s="16">
        <f>IFERROR(MATCH(Settings!$C$29&amp;"|"&amp;ROWS($W$2:$W152),'Per Invoice'!$X$2:$X$801,0),"")</f>
        <v/>
      </c>
    </row>
    <row r="153">
      <c r="A153">
        <f>IF($W153="","",IF(INDEX('Per Invoice'!A$2:A$801,$W153)="","",INDEX('Per Invoice'!A$2:A$801,$W153)))</f>
        <v/>
      </c>
      <c r="B153">
        <f>IF($W153="","",IF(INDEX('Per Invoice'!B$2:B$801,$W153)="","",INDEX('Per Invoice'!B$2:B$801,$W153)))</f>
        <v/>
      </c>
      <c r="C153">
        <f>IF($W153="","",IF(INDEX('Per Invoice'!C$2:C$801,$W153)="","",INDEX('Per Invoice'!C$2:C$801,$W153)))</f>
        <v/>
      </c>
      <c r="D153">
        <f>IF($W153="","",IF(INDEX('Per Invoice'!D$2:D$801,$W153)="","",INDEX('Per Invoice'!D$2:D$801,$W153)))</f>
        <v/>
      </c>
      <c r="E153">
        <f>IF($W153="","",IF(INDEX('Per Invoice'!E$2:E$801,$W153)="","",INDEX('Per Invoice'!E$2:E$801,$W153)))</f>
        <v/>
      </c>
      <c r="F153">
        <f>IF($W153="","",IF(INDEX('Per Invoice'!F$2:F$801,$W153)="","",INDEX('Per Invoice'!F$2:F$801,$W153)))</f>
        <v/>
      </c>
      <c r="G153">
        <f>IF($W153="","",IF(INDEX('Per Invoice'!G$2:G$801,$W153)="","",INDEX('Per Invoice'!G$2:G$801,$W153)))</f>
        <v/>
      </c>
      <c r="H153">
        <f>IF($W153="","",IF(INDEX('Per Invoice'!H$2:H$801,$W153)="","",INDEX('Per Invoice'!H$2:H$801,$W153)))</f>
        <v/>
      </c>
      <c r="I153">
        <f>IF($W153="","",IF(INDEX('Per Invoice'!I$2:I$801,$W153)="","",INDEX('Per Invoice'!I$2:I$801,$W153)))</f>
        <v/>
      </c>
      <c r="J153">
        <f>IF($W153="","",IF(INDEX('Per Invoice'!J$2:J$801,$W153)="","",INDEX('Per Invoice'!J$2:J$801,$W153)))</f>
        <v/>
      </c>
      <c r="K153" s="7">
        <f>IF($W153="","",IF(INDEX('Per Invoice'!K$2:K$801,$W153)="","",INDEX('Per Invoice'!K$2:K$801,$W153)))</f>
        <v/>
      </c>
      <c r="L153" s="14">
        <f>IF($W153="","",IF(INDEX('Per Invoice'!L$2:L$801,$W153)="","",INDEX('Per Invoice'!L$2:L$801,$W153)))</f>
        <v/>
      </c>
      <c r="M153">
        <f>IF($W153="","",IF(INDEX('Per Invoice'!M$2:M$801,$W153)="","",INDEX('Per Invoice'!M$2:M$801,$W153)))</f>
        <v/>
      </c>
      <c r="N153" s="7">
        <f>IF($W153="","",IF(INDEX('Per Invoice'!N$2:N$801,$W153)="","",INDEX('Per Invoice'!N$2:N$801,$W153)))</f>
        <v/>
      </c>
      <c r="O153" s="7">
        <f>IF($W153="","",IF(INDEX('Per Invoice'!O$2:O$801,$W153)="","",INDEX('Per Invoice'!O$2:O$801,$W153)))</f>
        <v/>
      </c>
      <c r="P153">
        <f>IF($W153="","",IF(INDEX('Per Invoice'!P$2:P$801,$W153)="","",INDEX('Per Invoice'!P$2:P$801,$W153)))</f>
        <v/>
      </c>
      <c r="Q153" s="7">
        <f>IF($W153="","",IF(INDEX('Per Invoice'!Q$2:Q$801,$W153)="","",INDEX('Per Invoice'!Q$2:Q$801,$W153)))</f>
        <v/>
      </c>
      <c r="R153" s="7">
        <f>IF($W153="","",IF(INDEX('Per Invoice'!R$2:R$801,$W153)="","",INDEX('Per Invoice'!R$2:R$801,$W153)))</f>
        <v/>
      </c>
      <c r="S153" s="7">
        <f>IF($W153="","",IF(INDEX('Per Invoice'!S$2:S$801,$W153)="","",INDEX('Per Invoice'!S$2:S$801,$W153)))</f>
        <v/>
      </c>
      <c r="T153" s="7">
        <f>IF($W153="","",IF(INDEX('Per Invoice'!T$2:T$801,$W153)="","",INDEX('Per Invoice'!T$2:T$801,$W153)))</f>
        <v/>
      </c>
      <c r="U153" s="7">
        <f>IF($W153="","",IF(INDEX('Per Invoice'!U$2:U$801,$W153)="","",INDEX('Per Invoice'!U$2:U$801,$W153)))</f>
        <v/>
      </c>
      <c r="V153" s="7">
        <f>IF($W153="","",IF(INDEX('Per Invoice'!V$2:V$801,$W153)="","",INDEX('Per Invoice'!V$2:V$801,$W153)))</f>
        <v/>
      </c>
      <c r="W153" s="16">
        <f>IFERROR(MATCH(Settings!$C$29&amp;"|"&amp;ROWS($W$2:$W153),'Per Invoice'!$X$2:$X$801,0),"")</f>
        <v/>
      </c>
    </row>
    <row r="154">
      <c r="A154">
        <f>IF($W154="","",IF(INDEX('Per Invoice'!A$2:A$801,$W154)="","",INDEX('Per Invoice'!A$2:A$801,$W154)))</f>
        <v/>
      </c>
      <c r="B154">
        <f>IF($W154="","",IF(INDEX('Per Invoice'!B$2:B$801,$W154)="","",INDEX('Per Invoice'!B$2:B$801,$W154)))</f>
        <v/>
      </c>
      <c r="C154">
        <f>IF($W154="","",IF(INDEX('Per Invoice'!C$2:C$801,$W154)="","",INDEX('Per Invoice'!C$2:C$801,$W154)))</f>
        <v/>
      </c>
      <c r="D154">
        <f>IF($W154="","",IF(INDEX('Per Invoice'!D$2:D$801,$W154)="","",INDEX('Per Invoice'!D$2:D$801,$W154)))</f>
        <v/>
      </c>
      <c r="E154">
        <f>IF($W154="","",IF(INDEX('Per Invoice'!E$2:E$801,$W154)="","",INDEX('Per Invoice'!E$2:E$801,$W154)))</f>
        <v/>
      </c>
      <c r="F154">
        <f>IF($W154="","",IF(INDEX('Per Invoice'!F$2:F$801,$W154)="","",INDEX('Per Invoice'!F$2:F$801,$W154)))</f>
        <v/>
      </c>
      <c r="G154">
        <f>IF($W154="","",IF(INDEX('Per Invoice'!G$2:G$801,$W154)="","",INDEX('Per Invoice'!G$2:G$801,$W154)))</f>
        <v/>
      </c>
      <c r="H154">
        <f>IF($W154="","",IF(INDEX('Per Invoice'!H$2:H$801,$W154)="","",INDEX('Per Invoice'!H$2:H$801,$W154)))</f>
        <v/>
      </c>
      <c r="I154">
        <f>IF($W154="","",IF(INDEX('Per Invoice'!I$2:I$801,$W154)="","",INDEX('Per Invoice'!I$2:I$801,$W154)))</f>
        <v/>
      </c>
      <c r="J154">
        <f>IF($W154="","",IF(INDEX('Per Invoice'!J$2:J$801,$W154)="","",INDEX('Per Invoice'!J$2:J$801,$W154)))</f>
        <v/>
      </c>
      <c r="K154" s="7">
        <f>IF($W154="","",IF(INDEX('Per Invoice'!K$2:K$801,$W154)="","",INDEX('Per Invoice'!K$2:K$801,$W154)))</f>
        <v/>
      </c>
      <c r="L154" s="14">
        <f>IF($W154="","",IF(INDEX('Per Invoice'!L$2:L$801,$W154)="","",INDEX('Per Invoice'!L$2:L$801,$W154)))</f>
        <v/>
      </c>
      <c r="M154">
        <f>IF($W154="","",IF(INDEX('Per Invoice'!M$2:M$801,$W154)="","",INDEX('Per Invoice'!M$2:M$801,$W154)))</f>
        <v/>
      </c>
      <c r="N154" s="7">
        <f>IF($W154="","",IF(INDEX('Per Invoice'!N$2:N$801,$W154)="","",INDEX('Per Invoice'!N$2:N$801,$W154)))</f>
        <v/>
      </c>
      <c r="O154" s="7">
        <f>IF($W154="","",IF(INDEX('Per Invoice'!O$2:O$801,$W154)="","",INDEX('Per Invoice'!O$2:O$801,$W154)))</f>
        <v/>
      </c>
      <c r="P154">
        <f>IF($W154="","",IF(INDEX('Per Invoice'!P$2:P$801,$W154)="","",INDEX('Per Invoice'!P$2:P$801,$W154)))</f>
        <v/>
      </c>
      <c r="Q154" s="7">
        <f>IF($W154="","",IF(INDEX('Per Invoice'!Q$2:Q$801,$W154)="","",INDEX('Per Invoice'!Q$2:Q$801,$W154)))</f>
        <v/>
      </c>
      <c r="R154" s="7">
        <f>IF($W154="","",IF(INDEX('Per Invoice'!R$2:R$801,$W154)="","",INDEX('Per Invoice'!R$2:R$801,$W154)))</f>
        <v/>
      </c>
      <c r="S154" s="7">
        <f>IF($W154="","",IF(INDEX('Per Invoice'!S$2:S$801,$W154)="","",INDEX('Per Invoice'!S$2:S$801,$W154)))</f>
        <v/>
      </c>
      <c r="T154" s="7">
        <f>IF($W154="","",IF(INDEX('Per Invoice'!T$2:T$801,$W154)="","",INDEX('Per Invoice'!T$2:T$801,$W154)))</f>
        <v/>
      </c>
      <c r="U154" s="7">
        <f>IF($W154="","",IF(INDEX('Per Invoice'!U$2:U$801,$W154)="","",INDEX('Per Invoice'!U$2:U$801,$W154)))</f>
        <v/>
      </c>
      <c r="V154" s="7">
        <f>IF($W154="","",IF(INDEX('Per Invoice'!V$2:V$801,$W154)="","",INDEX('Per Invoice'!V$2:V$801,$W154)))</f>
        <v/>
      </c>
      <c r="W154" s="16">
        <f>IFERROR(MATCH(Settings!$C$29&amp;"|"&amp;ROWS($W$2:$W154),'Per Invoice'!$X$2:$X$801,0),"")</f>
        <v/>
      </c>
    </row>
    <row r="155">
      <c r="A155">
        <f>IF($W155="","",IF(INDEX('Per Invoice'!A$2:A$801,$W155)="","",INDEX('Per Invoice'!A$2:A$801,$W155)))</f>
        <v/>
      </c>
      <c r="B155">
        <f>IF($W155="","",IF(INDEX('Per Invoice'!B$2:B$801,$W155)="","",INDEX('Per Invoice'!B$2:B$801,$W155)))</f>
        <v/>
      </c>
      <c r="C155">
        <f>IF($W155="","",IF(INDEX('Per Invoice'!C$2:C$801,$W155)="","",INDEX('Per Invoice'!C$2:C$801,$W155)))</f>
        <v/>
      </c>
      <c r="D155">
        <f>IF($W155="","",IF(INDEX('Per Invoice'!D$2:D$801,$W155)="","",INDEX('Per Invoice'!D$2:D$801,$W155)))</f>
        <v/>
      </c>
      <c r="E155">
        <f>IF($W155="","",IF(INDEX('Per Invoice'!E$2:E$801,$W155)="","",INDEX('Per Invoice'!E$2:E$801,$W155)))</f>
        <v/>
      </c>
      <c r="F155">
        <f>IF($W155="","",IF(INDEX('Per Invoice'!F$2:F$801,$W155)="","",INDEX('Per Invoice'!F$2:F$801,$W155)))</f>
        <v/>
      </c>
      <c r="G155">
        <f>IF($W155="","",IF(INDEX('Per Invoice'!G$2:G$801,$W155)="","",INDEX('Per Invoice'!G$2:G$801,$W155)))</f>
        <v/>
      </c>
      <c r="H155">
        <f>IF($W155="","",IF(INDEX('Per Invoice'!H$2:H$801,$W155)="","",INDEX('Per Invoice'!H$2:H$801,$W155)))</f>
        <v/>
      </c>
      <c r="I155">
        <f>IF($W155="","",IF(INDEX('Per Invoice'!I$2:I$801,$W155)="","",INDEX('Per Invoice'!I$2:I$801,$W155)))</f>
        <v/>
      </c>
      <c r="J155">
        <f>IF($W155="","",IF(INDEX('Per Invoice'!J$2:J$801,$W155)="","",INDEX('Per Invoice'!J$2:J$801,$W155)))</f>
        <v/>
      </c>
      <c r="K155" s="7">
        <f>IF($W155="","",IF(INDEX('Per Invoice'!K$2:K$801,$W155)="","",INDEX('Per Invoice'!K$2:K$801,$W155)))</f>
        <v/>
      </c>
      <c r="L155" s="14">
        <f>IF($W155="","",IF(INDEX('Per Invoice'!L$2:L$801,$W155)="","",INDEX('Per Invoice'!L$2:L$801,$W155)))</f>
        <v/>
      </c>
      <c r="M155">
        <f>IF($W155="","",IF(INDEX('Per Invoice'!M$2:M$801,$W155)="","",INDEX('Per Invoice'!M$2:M$801,$W155)))</f>
        <v/>
      </c>
      <c r="N155" s="7">
        <f>IF($W155="","",IF(INDEX('Per Invoice'!N$2:N$801,$W155)="","",INDEX('Per Invoice'!N$2:N$801,$W155)))</f>
        <v/>
      </c>
      <c r="O155" s="7">
        <f>IF($W155="","",IF(INDEX('Per Invoice'!O$2:O$801,$W155)="","",INDEX('Per Invoice'!O$2:O$801,$W155)))</f>
        <v/>
      </c>
      <c r="P155">
        <f>IF($W155="","",IF(INDEX('Per Invoice'!P$2:P$801,$W155)="","",INDEX('Per Invoice'!P$2:P$801,$W155)))</f>
        <v/>
      </c>
      <c r="Q155" s="7">
        <f>IF($W155="","",IF(INDEX('Per Invoice'!Q$2:Q$801,$W155)="","",INDEX('Per Invoice'!Q$2:Q$801,$W155)))</f>
        <v/>
      </c>
      <c r="R155" s="7">
        <f>IF($W155="","",IF(INDEX('Per Invoice'!R$2:R$801,$W155)="","",INDEX('Per Invoice'!R$2:R$801,$W155)))</f>
        <v/>
      </c>
      <c r="S155" s="7">
        <f>IF($W155="","",IF(INDEX('Per Invoice'!S$2:S$801,$W155)="","",INDEX('Per Invoice'!S$2:S$801,$W155)))</f>
        <v/>
      </c>
      <c r="T155" s="7">
        <f>IF($W155="","",IF(INDEX('Per Invoice'!T$2:T$801,$W155)="","",INDEX('Per Invoice'!T$2:T$801,$W155)))</f>
        <v/>
      </c>
      <c r="U155" s="7">
        <f>IF($W155="","",IF(INDEX('Per Invoice'!U$2:U$801,$W155)="","",INDEX('Per Invoice'!U$2:U$801,$W155)))</f>
        <v/>
      </c>
      <c r="V155" s="7">
        <f>IF($W155="","",IF(INDEX('Per Invoice'!V$2:V$801,$W155)="","",INDEX('Per Invoice'!V$2:V$801,$W155)))</f>
        <v/>
      </c>
      <c r="W155" s="16">
        <f>IFERROR(MATCH(Settings!$C$29&amp;"|"&amp;ROWS($W$2:$W155),'Per Invoice'!$X$2:$X$801,0),"")</f>
        <v/>
      </c>
    </row>
    <row r="156">
      <c r="A156">
        <f>IF($W156="","",IF(INDEX('Per Invoice'!A$2:A$801,$W156)="","",INDEX('Per Invoice'!A$2:A$801,$W156)))</f>
        <v/>
      </c>
      <c r="B156">
        <f>IF($W156="","",IF(INDEX('Per Invoice'!B$2:B$801,$W156)="","",INDEX('Per Invoice'!B$2:B$801,$W156)))</f>
        <v/>
      </c>
      <c r="C156">
        <f>IF($W156="","",IF(INDEX('Per Invoice'!C$2:C$801,$W156)="","",INDEX('Per Invoice'!C$2:C$801,$W156)))</f>
        <v/>
      </c>
      <c r="D156">
        <f>IF($W156="","",IF(INDEX('Per Invoice'!D$2:D$801,$W156)="","",INDEX('Per Invoice'!D$2:D$801,$W156)))</f>
        <v/>
      </c>
      <c r="E156">
        <f>IF($W156="","",IF(INDEX('Per Invoice'!E$2:E$801,$W156)="","",INDEX('Per Invoice'!E$2:E$801,$W156)))</f>
        <v/>
      </c>
      <c r="F156">
        <f>IF($W156="","",IF(INDEX('Per Invoice'!F$2:F$801,$W156)="","",INDEX('Per Invoice'!F$2:F$801,$W156)))</f>
        <v/>
      </c>
      <c r="G156">
        <f>IF($W156="","",IF(INDEX('Per Invoice'!G$2:G$801,$W156)="","",INDEX('Per Invoice'!G$2:G$801,$W156)))</f>
        <v/>
      </c>
      <c r="H156">
        <f>IF($W156="","",IF(INDEX('Per Invoice'!H$2:H$801,$W156)="","",INDEX('Per Invoice'!H$2:H$801,$W156)))</f>
        <v/>
      </c>
      <c r="I156">
        <f>IF($W156="","",IF(INDEX('Per Invoice'!I$2:I$801,$W156)="","",INDEX('Per Invoice'!I$2:I$801,$W156)))</f>
        <v/>
      </c>
      <c r="J156">
        <f>IF($W156="","",IF(INDEX('Per Invoice'!J$2:J$801,$W156)="","",INDEX('Per Invoice'!J$2:J$801,$W156)))</f>
        <v/>
      </c>
      <c r="K156" s="7">
        <f>IF($W156="","",IF(INDEX('Per Invoice'!K$2:K$801,$W156)="","",INDEX('Per Invoice'!K$2:K$801,$W156)))</f>
        <v/>
      </c>
      <c r="L156" s="14">
        <f>IF($W156="","",IF(INDEX('Per Invoice'!L$2:L$801,$W156)="","",INDEX('Per Invoice'!L$2:L$801,$W156)))</f>
        <v/>
      </c>
      <c r="M156">
        <f>IF($W156="","",IF(INDEX('Per Invoice'!M$2:M$801,$W156)="","",INDEX('Per Invoice'!M$2:M$801,$W156)))</f>
        <v/>
      </c>
      <c r="N156" s="7">
        <f>IF($W156="","",IF(INDEX('Per Invoice'!N$2:N$801,$W156)="","",INDEX('Per Invoice'!N$2:N$801,$W156)))</f>
        <v/>
      </c>
      <c r="O156" s="7">
        <f>IF($W156="","",IF(INDEX('Per Invoice'!O$2:O$801,$W156)="","",INDEX('Per Invoice'!O$2:O$801,$W156)))</f>
        <v/>
      </c>
      <c r="P156">
        <f>IF($W156="","",IF(INDEX('Per Invoice'!P$2:P$801,$W156)="","",INDEX('Per Invoice'!P$2:P$801,$W156)))</f>
        <v/>
      </c>
      <c r="Q156" s="7">
        <f>IF($W156="","",IF(INDEX('Per Invoice'!Q$2:Q$801,$W156)="","",INDEX('Per Invoice'!Q$2:Q$801,$W156)))</f>
        <v/>
      </c>
      <c r="R156" s="7">
        <f>IF($W156="","",IF(INDEX('Per Invoice'!R$2:R$801,$W156)="","",INDEX('Per Invoice'!R$2:R$801,$W156)))</f>
        <v/>
      </c>
      <c r="S156" s="7">
        <f>IF($W156="","",IF(INDEX('Per Invoice'!S$2:S$801,$W156)="","",INDEX('Per Invoice'!S$2:S$801,$W156)))</f>
        <v/>
      </c>
      <c r="T156" s="7">
        <f>IF($W156="","",IF(INDEX('Per Invoice'!T$2:T$801,$W156)="","",INDEX('Per Invoice'!T$2:T$801,$W156)))</f>
        <v/>
      </c>
      <c r="U156" s="7">
        <f>IF($W156="","",IF(INDEX('Per Invoice'!U$2:U$801,$W156)="","",INDEX('Per Invoice'!U$2:U$801,$W156)))</f>
        <v/>
      </c>
      <c r="V156" s="7">
        <f>IF($W156="","",IF(INDEX('Per Invoice'!V$2:V$801,$W156)="","",INDEX('Per Invoice'!V$2:V$801,$W156)))</f>
        <v/>
      </c>
      <c r="W156" s="16">
        <f>IFERROR(MATCH(Settings!$C$29&amp;"|"&amp;ROWS($W$2:$W156),'Per Invoice'!$X$2:$X$801,0),"")</f>
        <v/>
      </c>
    </row>
    <row r="157">
      <c r="A157">
        <f>IF($W157="","",IF(INDEX('Per Invoice'!A$2:A$801,$W157)="","",INDEX('Per Invoice'!A$2:A$801,$W157)))</f>
        <v/>
      </c>
      <c r="B157">
        <f>IF($W157="","",IF(INDEX('Per Invoice'!B$2:B$801,$W157)="","",INDEX('Per Invoice'!B$2:B$801,$W157)))</f>
        <v/>
      </c>
      <c r="C157">
        <f>IF($W157="","",IF(INDEX('Per Invoice'!C$2:C$801,$W157)="","",INDEX('Per Invoice'!C$2:C$801,$W157)))</f>
        <v/>
      </c>
      <c r="D157">
        <f>IF($W157="","",IF(INDEX('Per Invoice'!D$2:D$801,$W157)="","",INDEX('Per Invoice'!D$2:D$801,$W157)))</f>
        <v/>
      </c>
      <c r="E157">
        <f>IF($W157="","",IF(INDEX('Per Invoice'!E$2:E$801,$W157)="","",INDEX('Per Invoice'!E$2:E$801,$W157)))</f>
        <v/>
      </c>
      <c r="F157">
        <f>IF($W157="","",IF(INDEX('Per Invoice'!F$2:F$801,$W157)="","",INDEX('Per Invoice'!F$2:F$801,$W157)))</f>
        <v/>
      </c>
      <c r="G157">
        <f>IF($W157="","",IF(INDEX('Per Invoice'!G$2:G$801,$W157)="","",INDEX('Per Invoice'!G$2:G$801,$W157)))</f>
        <v/>
      </c>
      <c r="H157">
        <f>IF($W157="","",IF(INDEX('Per Invoice'!H$2:H$801,$W157)="","",INDEX('Per Invoice'!H$2:H$801,$W157)))</f>
        <v/>
      </c>
      <c r="I157">
        <f>IF($W157="","",IF(INDEX('Per Invoice'!I$2:I$801,$W157)="","",INDEX('Per Invoice'!I$2:I$801,$W157)))</f>
        <v/>
      </c>
      <c r="J157">
        <f>IF($W157="","",IF(INDEX('Per Invoice'!J$2:J$801,$W157)="","",INDEX('Per Invoice'!J$2:J$801,$W157)))</f>
        <v/>
      </c>
      <c r="K157" s="7">
        <f>IF($W157="","",IF(INDEX('Per Invoice'!K$2:K$801,$W157)="","",INDEX('Per Invoice'!K$2:K$801,$W157)))</f>
        <v/>
      </c>
      <c r="L157" s="14">
        <f>IF($W157="","",IF(INDEX('Per Invoice'!L$2:L$801,$W157)="","",INDEX('Per Invoice'!L$2:L$801,$W157)))</f>
        <v/>
      </c>
      <c r="M157">
        <f>IF($W157="","",IF(INDEX('Per Invoice'!M$2:M$801,$W157)="","",INDEX('Per Invoice'!M$2:M$801,$W157)))</f>
        <v/>
      </c>
      <c r="N157" s="7">
        <f>IF($W157="","",IF(INDEX('Per Invoice'!N$2:N$801,$W157)="","",INDEX('Per Invoice'!N$2:N$801,$W157)))</f>
        <v/>
      </c>
      <c r="O157" s="7">
        <f>IF($W157="","",IF(INDEX('Per Invoice'!O$2:O$801,$W157)="","",INDEX('Per Invoice'!O$2:O$801,$W157)))</f>
        <v/>
      </c>
      <c r="P157">
        <f>IF($W157="","",IF(INDEX('Per Invoice'!P$2:P$801,$W157)="","",INDEX('Per Invoice'!P$2:P$801,$W157)))</f>
        <v/>
      </c>
      <c r="Q157" s="7">
        <f>IF($W157="","",IF(INDEX('Per Invoice'!Q$2:Q$801,$W157)="","",INDEX('Per Invoice'!Q$2:Q$801,$W157)))</f>
        <v/>
      </c>
      <c r="R157" s="7">
        <f>IF($W157="","",IF(INDEX('Per Invoice'!R$2:R$801,$W157)="","",INDEX('Per Invoice'!R$2:R$801,$W157)))</f>
        <v/>
      </c>
      <c r="S157" s="7">
        <f>IF($W157="","",IF(INDEX('Per Invoice'!S$2:S$801,$W157)="","",INDEX('Per Invoice'!S$2:S$801,$W157)))</f>
        <v/>
      </c>
      <c r="T157" s="7">
        <f>IF($W157="","",IF(INDEX('Per Invoice'!T$2:T$801,$W157)="","",INDEX('Per Invoice'!T$2:T$801,$W157)))</f>
        <v/>
      </c>
      <c r="U157" s="7">
        <f>IF($W157="","",IF(INDEX('Per Invoice'!U$2:U$801,$W157)="","",INDEX('Per Invoice'!U$2:U$801,$W157)))</f>
        <v/>
      </c>
      <c r="V157" s="7">
        <f>IF($W157="","",IF(INDEX('Per Invoice'!V$2:V$801,$W157)="","",INDEX('Per Invoice'!V$2:V$801,$W157)))</f>
        <v/>
      </c>
      <c r="W157" s="16">
        <f>IFERROR(MATCH(Settings!$C$29&amp;"|"&amp;ROWS($W$2:$W157),'Per Invoice'!$X$2:$X$801,0),"")</f>
        <v/>
      </c>
    </row>
    <row r="158">
      <c r="A158">
        <f>IF($W158="","",IF(INDEX('Per Invoice'!A$2:A$801,$W158)="","",INDEX('Per Invoice'!A$2:A$801,$W158)))</f>
        <v/>
      </c>
      <c r="B158">
        <f>IF($W158="","",IF(INDEX('Per Invoice'!B$2:B$801,$W158)="","",INDEX('Per Invoice'!B$2:B$801,$W158)))</f>
        <v/>
      </c>
      <c r="C158">
        <f>IF($W158="","",IF(INDEX('Per Invoice'!C$2:C$801,$W158)="","",INDEX('Per Invoice'!C$2:C$801,$W158)))</f>
        <v/>
      </c>
      <c r="D158">
        <f>IF($W158="","",IF(INDEX('Per Invoice'!D$2:D$801,$W158)="","",INDEX('Per Invoice'!D$2:D$801,$W158)))</f>
        <v/>
      </c>
      <c r="E158">
        <f>IF($W158="","",IF(INDEX('Per Invoice'!E$2:E$801,$W158)="","",INDEX('Per Invoice'!E$2:E$801,$W158)))</f>
        <v/>
      </c>
      <c r="F158">
        <f>IF($W158="","",IF(INDEX('Per Invoice'!F$2:F$801,$W158)="","",INDEX('Per Invoice'!F$2:F$801,$W158)))</f>
        <v/>
      </c>
      <c r="G158">
        <f>IF($W158="","",IF(INDEX('Per Invoice'!G$2:G$801,$W158)="","",INDEX('Per Invoice'!G$2:G$801,$W158)))</f>
        <v/>
      </c>
      <c r="H158">
        <f>IF($W158="","",IF(INDEX('Per Invoice'!H$2:H$801,$W158)="","",INDEX('Per Invoice'!H$2:H$801,$W158)))</f>
        <v/>
      </c>
      <c r="I158">
        <f>IF($W158="","",IF(INDEX('Per Invoice'!I$2:I$801,$W158)="","",INDEX('Per Invoice'!I$2:I$801,$W158)))</f>
        <v/>
      </c>
      <c r="J158">
        <f>IF($W158="","",IF(INDEX('Per Invoice'!J$2:J$801,$W158)="","",INDEX('Per Invoice'!J$2:J$801,$W158)))</f>
        <v/>
      </c>
      <c r="K158" s="7">
        <f>IF($W158="","",IF(INDEX('Per Invoice'!K$2:K$801,$W158)="","",INDEX('Per Invoice'!K$2:K$801,$W158)))</f>
        <v/>
      </c>
      <c r="L158" s="14">
        <f>IF($W158="","",IF(INDEX('Per Invoice'!L$2:L$801,$W158)="","",INDEX('Per Invoice'!L$2:L$801,$W158)))</f>
        <v/>
      </c>
      <c r="M158">
        <f>IF($W158="","",IF(INDEX('Per Invoice'!M$2:M$801,$W158)="","",INDEX('Per Invoice'!M$2:M$801,$W158)))</f>
        <v/>
      </c>
      <c r="N158" s="7">
        <f>IF($W158="","",IF(INDEX('Per Invoice'!N$2:N$801,$W158)="","",INDEX('Per Invoice'!N$2:N$801,$W158)))</f>
        <v/>
      </c>
      <c r="O158" s="7">
        <f>IF($W158="","",IF(INDEX('Per Invoice'!O$2:O$801,$W158)="","",INDEX('Per Invoice'!O$2:O$801,$W158)))</f>
        <v/>
      </c>
      <c r="P158">
        <f>IF($W158="","",IF(INDEX('Per Invoice'!P$2:P$801,$W158)="","",INDEX('Per Invoice'!P$2:P$801,$W158)))</f>
        <v/>
      </c>
      <c r="Q158" s="7">
        <f>IF($W158="","",IF(INDEX('Per Invoice'!Q$2:Q$801,$W158)="","",INDEX('Per Invoice'!Q$2:Q$801,$W158)))</f>
        <v/>
      </c>
      <c r="R158" s="7">
        <f>IF($W158="","",IF(INDEX('Per Invoice'!R$2:R$801,$W158)="","",INDEX('Per Invoice'!R$2:R$801,$W158)))</f>
        <v/>
      </c>
      <c r="S158" s="7">
        <f>IF($W158="","",IF(INDEX('Per Invoice'!S$2:S$801,$W158)="","",INDEX('Per Invoice'!S$2:S$801,$W158)))</f>
        <v/>
      </c>
      <c r="T158" s="7">
        <f>IF($W158="","",IF(INDEX('Per Invoice'!T$2:T$801,$W158)="","",INDEX('Per Invoice'!T$2:T$801,$W158)))</f>
        <v/>
      </c>
      <c r="U158" s="7">
        <f>IF($W158="","",IF(INDEX('Per Invoice'!U$2:U$801,$W158)="","",INDEX('Per Invoice'!U$2:U$801,$W158)))</f>
        <v/>
      </c>
      <c r="V158" s="7">
        <f>IF($W158="","",IF(INDEX('Per Invoice'!V$2:V$801,$W158)="","",INDEX('Per Invoice'!V$2:V$801,$W158)))</f>
        <v/>
      </c>
      <c r="W158" s="16">
        <f>IFERROR(MATCH(Settings!$C$29&amp;"|"&amp;ROWS($W$2:$W158),'Per Invoice'!$X$2:$X$801,0),"")</f>
        <v/>
      </c>
    </row>
    <row r="159">
      <c r="A159">
        <f>IF($W159="","",IF(INDEX('Per Invoice'!A$2:A$801,$W159)="","",INDEX('Per Invoice'!A$2:A$801,$W159)))</f>
        <v/>
      </c>
      <c r="B159">
        <f>IF($W159="","",IF(INDEX('Per Invoice'!B$2:B$801,$W159)="","",INDEX('Per Invoice'!B$2:B$801,$W159)))</f>
        <v/>
      </c>
      <c r="C159">
        <f>IF($W159="","",IF(INDEX('Per Invoice'!C$2:C$801,$W159)="","",INDEX('Per Invoice'!C$2:C$801,$W159)))</f>
        <v/>
      </c>
      <c r="D159">
        <f>IF($W159="","",IF(INDEX('Per Invoice'!D$2:D$801,$W159)="","",INDEX('Per Invoice'!D$2:D$801,$W159)))</f>
        <v/>
      </c>
      <c r="E159">
        <f>IF($W159="","",IF(INDEX('Per Invoice'!E$2:E$801,$W159)="","",INDEX('Per Invoice'!E$2:E$801,$W159)))</f>
        <v/>
      </c>
      <c r="F159">
        <f>IF($W159="","",IF(INDEX('Per Invoice'!F$2:F$801,$W159)="","",INDEX('Per Invoice'!F$2:F$801,$W159)))</f>
        <v/>
      </c>
      <c r="G159">
        <f>IF($W159="","",IF(INDEX('Per Invoice'!G$2:G$801,$W159)="","",INDEX('Per Invoice'!G$2:G$801,$W159)))</f>
        <v/>
      </c>
      <c r="H159">
        <f>IF($W159="","",IF(INDEX('Per Invoice'!H$2:H$801,$W159)="","",INDEX('Per Invoice'!H$2:H$801,$W159)))</f>
        <v/>
      </c>
      <c r="I159">
        <f>IF($W159="","",IF(INDEX('Per Invoice'!I$2:I$801,$W159)="","",INDEX('Per Invoice'!I$2:I$801,$W159)))</f>
        <v/>
      </c>
      <c r="J159">
        <f>IF($W159="","",IF(INDEX('Per Invoice'!J$2:J$801,$W159)="","",INDEX('Per Invoice'!J$2:J$801,$W159)))</f>
        <v/>
      </c>
      <c r="K159" s="7">
        <f>IF($W159="","",IF(INDEX('Per Invoice'!K$2:K$801,$W159)="","",INDEX('Per Invoice'!K$2:K$801,$W159)))</f>
        <v/>
      </c>
      <c r="L159" s="14">
        <f>IF($W159="","",IF(INDEX('Per Invoice'!L$2:L$801,$W159)="","",INDEX('Per Invoice'!L$2:L$801,$W159)))</f>
        <v/>
      </c>
      <c r="M159">
        <f>IF($W159="","",IF(INDEX('Per Invoice'!M$2:M$801,$W159)="","",INDEX('Per Invoice'!M$2:M$801,$W159)))</f>
        <v/>
      </c>
      <c r="N159" s="7">
        <f>IF($W159="","",IF(INDEX('Per Invoice'!N$2:N$801,$W159)="","",INDEX('Per Invoice'!N$2:N$801,$W159)))</f>
        <v/>
      </c>
      <c r="O159" s="7">
        <f>IF($W159="","",IF(INDEX('Per Invoice'!O$2:O$801,$W159)="","",INDEX('Per Invoice'!O$2:O$801,$W159)))</f>
        <v/>
      </c>
      <c r="P159">
        <f>IF($W159="","",IF(INDEX('Per Invoice'!P$2:P$801,$W159)="","",INDEX('Per Invoice'!P$2:P$801,$W159)))</f>
        <v/>
      </c>
      <c r="Q159" s="7">
        <f>IF($W159="","",IF(INDEX('Per Invoice'!Q$2:Q$801,$W159)="","",INDEX('Per Invoice'!Q$2:Q$801,$W159)))</f>
        <v/>
      </c>
      <c r="R159" s="7">
        <f>IF($W159="","",IF(INDEX('Per Invoice'!R$2:R$801,$W159)="","",INDEX('Per Invoice'!R$2:R$801,$W159)))</f>
        <v/>
      </c>
      <c r="S159" s="7">
        <f>IF($W159="","",IF(INDEX('Per Invoice'!S$2:S$801,$W159)="","",INDEX('Per Invoice'!S$2:S$801,$W159)))</f>
        <v/>
      </c>
      <c r="T159" s="7">
        <f>IF($W159="","",IF(INDEX('Per Invoice'!T$2:T$801,$W159)="","",INDEX('Per Invoice'!T$2:T$801,$W159)))</f>
        <v/>
      </c>
      <c r="U159" s="7">
        <f>IF($W159="","",IF(INDEX('Per Invoice'!U$2:U$801,$W159)="","",INDEX('Per Invoice'!U$2:U$801,$W159)))</f>
        <v/>
      </c>
      <c r="V159" s="7">
        <f>IF($W159="","",IF(INDEX('Per Invoice'!V$2:V$801,$W159)="","",INDEX('Per Invoice'!V$2:V$801,$W159)))</f>
        <v/>
      </c>
      <c r="W159" s="16">
        <f>IFERROR(MATCH(Settings!$C$29&amp;"|"&amp;ROWS($W$2:$W159),'Per Invoice'!$X$2:$X$801,0),"")</f>
        <v/>
      </c>
    </row>
    <row r="160">
      <c r="A160">
        <f>IF($W160="","",IF(INDEX('Per Invoice'!A$2:A$801,$W160)="","",INDEX('Per Invoice'!A$2:A$801,$W160)))</f>
        <v/>
      </c>
      <c r="B160">
        <f>IF($W160="","",IF(INDEX('Per Invoice'!B$2:B$801,$W160)="","",INDEX('Per Invoice'!B$2:B$801,$W160)))</f>
        <v/>
      </c>
      <c r="C160">
        <f>IF($W160="","",IF(INDEX('Per Invoice'!C$2:C$801,$W160)="","",INDEX('Per Invoice'!C$2:C$801,$W160)))</f>
        <v/>
      </c>
      <c r="D160">
        <f>IF($W160="","",IF(INDEX('Per Invoice'!D$2:D$801,$W160)="","",INDEX('Per Invoice'!D$2:D$801,$W160)))</f>
        <v/>
      </c>
      <c r="E160">
        <f>IF($W160="","",IF(INDEX('Per Invoice'!E$2:E$801,$W160)="","",INDEX('Per Invoice'!E$2:E$801,$W160)))</f>
        <v/>
      </c>
      <c r="F160">
        <f>IF($W160="","",IF(INDEX('Per Invoice'!F$2:F$801,$W160)="","",INDEX('Per Invoice'!F$2:F$801,$W160)))</f>
        <v/>
      </c>
      <c r="G160">
        <f>IF($W160="","",IF(INDEX('Per Invoice'!G$2:G$801,$W160)="","",INDEX('Per Invoice'!G$2:G$801,$W160)))</f>
        <v/>
      </c>
      <c r="H160">
        <f>IF($W160="","",IF(INDEX('Per Invoice'!H$2:H$801,$W160)="","",INDEX('Per Invoice'!H$2:H$801,$W160)))</f>
        <v/>
      </c>
      <c r="I160">
        <f>IF($W160="","",IF(INDEX('Per Invoice'!I$2:I$801,$W160)="","",INDEX('Per Invoice'!I$2:I$801,$W160)))</f>
        <v/>
      </c>
      <c r="J160">
        <f>IF($W160="","",IF(INDEX('Per Invoice'!J$2:J$801,$W160)="","",INDEX('Per Invoice'!J$2:J$801,$W160)))</f>
        <v/>
      </c>
      <c r="K160" s="7">
        <f>IF($W160="","",IF(INDEX('Per Invoice'!K$2:K$801,$W160)="","",INDEX('Per Invoice'!K$2:K$801,$W160)))</f>
        <v/>
      </c>
      <c r="L160" s="14">
        <f>IF($W160="","",IF(INDEX('Per Invoice'!L$2:L$801,$W160)="","",INDEX('Per Invoice'!L$2:L$801,$W160)))</f>
        <v/>
      </c>
      <c r="M160">
        <f>IF($W160="","",IF(INDEX('Per Invoice'!M$2:M$801,$W160)="","",INDEX('Per Invoice'!M$2:M$801,$W160)))</f>
        <v/>
      </c>
      <c r="N160" s="7">
        <f>IF($W160="","",IF(INDEX('Per Invoice'!N$2:N$801,$W160)="","",INDEX('Per Invoice'!N$2:N$801,$W160)))</f>
        <v/>
      </c>
      <c r="O160" s="7">
        <f>IF($W160="","",IF(INDEX('Per Invoice'!O$2:O$801,$W160)="","",INDEX('Per Invoice'!O$2:O$801,$W160)))</f>
        <v/>
      </c>
      <c r="P160">
        <f>IF($W160="","",IF(INDEX('Per Invoice'!P$2:P$801,$W160)="","",INDEX('Per Invoice'!P$2:P$801,$W160)))</f>
        <v/>
      </c>
      <c r="Q160" s="7">
        <f>IF($W160="","",IF(INDEX('Per Invoice'!Q$2:Q$801,$W160)="","",INDEX('Per Invoice'!Q$2:Q$801,$W160)))</f>
        <v/>
      </c>
      <c r="R160" s="7">
        <f>IF($W160="","",IF(INDEX('Per Invoice'!R$2:R$801,$W160)="","",INDEX('Per Invoice'!R$2:R$801,$W160)))</f>
        <v/>
      </c>
      <c r="S160" s="7">
        <f>IF($W160="","",IF(INDEX('Per Invoice'!S$2:S$801,$W160)="","",INDEX('Per Invoice'!S$2:S$801,$W160)))</f>
        <v/>
      </c>
      <c r="T160" s="7">
        <f>IF($W160="","",IF(INDEX('Per Invoice'!T$2:T$801,$W160)="","",INDEX('Per Invoice'!T$2:T$801,$W160)))</f>
        <v/>
      </c>
      <c r="U160" s="7">
        <f>IF($W160="","",IF(INDEX('Per Invoice'!U$2:U$801,$W160)="","",INDEX('Per Invoice'!U$2:U$801,$W160)))</f>
        <v/>
      </c>
      <c r="V160" s="7">
        <f>IF($W160="","",IF(INDEX('Per Invoice'!V$2:V$801,$W160)="","",INDEX('Per Invoice'!V$2:V$801,$W160)))</f>
        <v/>
      </c>
      <c r="W160" s="16">
        <f>IFERROR(MATCH(Settings!$C$29&amp;"|"&amp;ROWS($W$2:$W160),'Per Invoice'!$X$2:$X$801,0),"")</f>
        <v/>
      </c>
    </row>
    <row r="161">
      <c r="A161">
        <f>IF($W161="","",IF(INDEX('Per Invoice'!A$2:A$801,$W161)="","",INDEX('Per Invoice'!A$2:A$801,$W161)))</f>
        <v/>
      </c>
      <c r="B161">
        <f>IF($W161="","",IF(INDEX('Per Invoice'!B$2:B$801,$W161)="","",INDEX('Per Invoice'!B$2:B$801,$W161)))</f>
        <v/>
      </c>
      <c r="C161">
        <f>IF($W161="","",IF(INDEX('Per Invoice'!C$2:C$801,$W161)="","",INDEX('Per Invoice'!C$2:C$801,$W161)))</f>
        <v/>
      </c>
      <c r="D161">
        <f>IF($W161="","",IF(INDEX('Per Invoice'!D$2:D$801,$W161)="","",INDEX('Per Invoice'!D$2:D$801,$W161)))</f>
        <v/>
      </c>
      <c r="E161">
        <f>IF($W161="","",IF(INDEX('Per Invoice'!E$2:E$801,$W161)="","",INDEX('Per Invoice'!E$2:E$801,$W161)))</f>
        <v/>
      </c>
      <c r="F161">
        <f>IF($W161="","",IF(INDEX('Per Invoice'!F$2:F$801,$W161)="","",INDEX('Per Invoice'!F$2:F$801,$W161)))</f>
        <v/>
      </c>
      <c r="G161">
        <f>IF($W161="","",IF(INDEX('Per Invoice'!G$2:G$801,$W161)="","",INDEX('Per Invoice'!G$2:G$801,$W161)))</f>
        <v/>
      </c>
      <c r="H161">
        <f>IF($W161="","",IF(INDEX('Per Invoice'!H$2:H$801,$W161)="","",INDEX('Per Invoice'!H$2:H$801,$W161)))</f>
        <v/>
      </c>
      <c r="I161">
        <f>IF($W161="","",IF(INDEX('Per Invoice'!I$2:I$801,$W161)="","",INDEX('Per Invoice'!I$2:I$801,$W161)))</f>
        <v/>
      </c>
      <c r="J161">
        <f>IF($W161="","",IF(INDEX('Per Invoice'!J$2:J$801,$W161)="","",INDEX('Per Invoice'!J$2:J$801,$W161)))</f>
        <v/>
      </c>
      <c r="K161" s="7">
        <f>IF($W161="","",IF(INDEX('Per Invoice'!K$2:K$801,$W161)="","",INDEX('Per Invoice'!K$2:K$801,$W161)))</f>
        <v/>
      </c>
      <c r="L161" s="14">
        <f>IF($W161="","",IF(INDEX('Per Invoice'!L$2:L$801,$W161)="","",INDEX('Per Invoice'!L$2:L$801,$W161)))</f>
        <v/>
      </c>
      <c r="M161">
        <f>IF($W161="","",IF(INDEX('Per Invoice'!M$2:M$801,$W161)="","",INDEX('Per Invoice'!M$2:M$801,$W161)))</f>
        <v/>
      </c>
      <c r="N161" s="7">
        <f>IF($W161="","",IF(INDEX('Per Invoice'!N$2:N$801,$W161)="","",INDEX('Per Invoice'!N$2:N$801,$W161)))</f>
        <v/>
      </c>
      <c r="O161" s="7">
        <f>IF($W161="","",IF(INDEX('Per Invoice'!O$2:O$801,$W161)="","",INDEX('Per Invoice'!O$2:O$801,$W161)))</f>
        <v/>
      </c>
      <c r="P161">
        <f>IF($W161="","",IF(INDEX('Per Invoice'!P$2:P$801,$W161)="","",INDEX('Per Invoice'!P$2:P$801,$W161)))</f>
        <v/>
      </c>
      <c r="Q161" s="7">
        <f>IF($W161="","",IF(INDEX('Per Invoice'!Q$2:Q$801,$W161)="","",INDEX('Per Invoice'!Q$2:Q$801,$W161)))</f>
        <v/>
      </c>
      <c r="R161" s="7">
        <f>IF($W161="","",IF(INDEX('Per Invoice'!R$2:R$801,$W161)="","",INDEX('Per Invoice'!R$2:R$801,$W161)))</f>
        <v/>
      </c>
      <c r="S161" s="7">
        <f>IF($W161="","",IF(INDEX('Per Invoice'!S$2:S$801,$W161)="","",INDEX('Per Invoice'!S$2:S$801,$W161)))</f>
        <v/>
      </c>
      <c r="T161" s="7">
        <f>IF($W161="","",IF(INDEX('Per Invoice'!T$2:T$801,$W161)="","",INDEX('Per Invoice'!T$2:T$801,$W161)))</f>
        <v/>
      </c>
      <c r="U161" s="7">
        <f>IF($W161="","",IF(INDEX('Per Invoice'!U$2:U$801,$W161)="","",INDEX('Per Invoice'!U$2:U$801,$W161)))</f>
        <v/>
      </c>
      <c r="V161" s="7">
        <f>IF($W161="","",IF(INDEX('Per Invoice'!V$2:V$801,$W161)="","",INDEX('Per Invoice'!V$2:V$801,$W161)))</f>
        <v/>
      </c>
      <c r="W161" s="16">
        <f>IFERROR(MATCH(Settings!$C$29&amp;"|"&amp;ROWS($W$2:$W161),'Per Invoice'!$X$2:$X$801,0),"")</f>
        <v/>
      </c>
    </row>
    <row r="162">
      <c r="A162">
        <f>IF($W162="","",IF(INDEX('Per Invoice'!A$2:A$801,$W162)="","",INDEX('Per Invoice'!A$2:A$801,$W162)))</f>
        <v/>
      </c>
      <c r="B162">
        <f>IF($W162="","",IF(INDEX('Per Invoice'!B$2:B$801,$W162)="","",INDEX('Per Invoice'!B$2:B$801,$W162)))</f>
        <v/>
      </c>
      <c r="C162">
        <f>IF($W162="","",IF(INDEX('Per Invoice'!C$2:C$801,$W162)="","",INDEX('Per Invoice'!C$2:C$801,$W162)))</f>
        <v/>
      </c>
      <c r="D162">
        <f>IF($W162="","",IF(INDEX('Per Invoice'!D$2:D$801,$W162)="","",INDEX('Per Invoice'!D$2:D$801,$W162)))</f>
        <v/>
      </c>
      <c r="E162">
        <f>IF($W162="","",IF(INDEX('Per Invoice'!E$2:E$801,$W162)="","",INDEX('Per Invoice'!E$2:E$801,$W162)))</f>
        <v/>
      </c>
      <c r="F162">
        <f>IF($W162="","",IF(INDEX('Per Invoice'!F$2:F$801,$W162)="","",INDEX('Per Invoice'!F$2:F$801,$W162)))</f>
        <v/>
      </c>
      <c r="G162">
        <f>IF($W162="","",IF(INDEX('Per Invoice'!G$2:G$801,$W162)="","",INDEX('Per Invoice'!G$2:G$801,$W162)))</f>
        <v/>
      </c>
      <c r="H162">
        <f>IF($W162="","",IF(INDEX('Per Invoice'!H$2:H$801,$W162)="","",INDEX('Per Invoice'!H$2:H$801,$W162)))</f>
        <v/>
      </c>
      <c r="I162">
        <f>IF($W162="","",IF(INDEX('Per Invoice'!I$2:I$801,$W162)="","",INDEX('Per Invoice'!I$2:I$801,$W162)))</f>
        <v/>
      </c>
      <c r="J162">
        <f>IF($W162="","",IF(INDEX('Per Invoice'!J$2:J$801,$W162)="","",INDEX('Per Invoice'!J$2:J$801,$W162)))</f>
        <v/>
      </c>
      <c r="K162" s="7">
        <f>IF($W162="","",IF(INDEX('Per Invoice'!K$2:K$801,$W162)="","",INDEX('Per Invoice'!K$2:K$801,$W162)))</f>
        <v/>
      </c>
      <c r="L162" s="14">
        <f>IF($W162="","",IF(INDEX('Per Invoice'!L$2:L$801,$W162)="","",INDEX('Per Invoice'!L$2:L$801,$W162)))</f>
        <v/>
      </c>
      <c r="M162">
        <f>IF($W162="","",IF(INDEX('Per Invoice'!M$2:M$801,$W162)="","",INDEX('Per Invoice'!M$2:M$801,$W162)))</f>
        <v/>
      </c>
      <c r="N162" s="7">
        <f>IF($W162="","",IF(INDEX('Per Invoice'!N$2:N$801,$W162)="","",INDEX('Per Invoice'!N$2:N$801,$W162)))</f>
        <v/>
      </c>
      <c r="O162" s="7">
        <f>IF($W162="","",IF(INDEX('Per Invoice'!O$2:O$801,$W162)="","",INDEX('Per Invoice'!O$2:O$801,$W162)))</f>
        <v/>
      </c>
      <c r="P162">
        <f>IF($W162="","",IF(INDEX('Per Invoice'!P$2:P$801,$W162)="","",INDEX('Per Invoice'!P$2:P$801,$W162)))</f>
        <v/>
      </c>
      <c r="Q162" s="7">
        <f>IF($W162="","",IF(INDEX('Per Invoice'!Q$2:Q$801,$W162)="","",INDEX('Per Invoice'!Q$2:Q$801,$W162)))</f>
        <v/>
      </c>
      <c r="R162" s="7">
        <f>IF($W162="","",IF(INDEX('Per Invoice'!R$2:R$801,$W162)="","",INDEX('Per Invoice'!R$2:R$801,$W162)))</f>
        <v/>
      </c>
      <c r="S162" s="7">
        <f>IF($W162="","",IF(INDEX('Per Invoice'!S$2:S$801,$W162)="","",INDEX('Per Invoice'!S$2:S$801,$W162)))</f>
        <v/>
      </c>
      <c r="T162" s="7">
        <f>IF($W162="","",IF(INDEX('Per Invoice'!T$2:T$801,$W162)="","",INDEX('Per Invoice'!T$2:T$801,$W162)))</f>
        <v/>
      </c>
      <c r="U162" s="7">
        <f>IF($W162="","",IF(INDEX('Per Invoice'!U$2:U$801,$W162)="","",INDEX('Per Invoice'!U$2:U$801,$W162)))</f>
        <v/>
      </c>
      <c r="V162" s="7">
        <f>IF($W162="","",IF(INDEX('Per Invoice'!V$2:V$801,$W162)="","",INDEX('Per Invoice'!V$2:V$801,$W162)))</f>
        <v/>
      </c>
      <c r="W162" s="16">
        <f>IFERROR(MATCH(Settings!$C$29&amp;"|"&amp;ROWS($W$2:$W162),'Per Invoice'!$X$2:$X$801,0),"")</f>
        <v/>
      </c>
    </row>
    <row r="163">
      <c r="A163">
        <f>IF($W163="","",IF(INDEX('Per Invoice'!A$2:A$801,$W163)="","",INDEX('Per Invoice'!A$2:A$801,$W163)))</f>
        <v/>
      </c>
      <c r="B163">
        <f>IF($W163="","",IF(INDEX('Per Invoice'!B$2:B$801,$W163)="","",INDEX('Per Invoice'!B$2:B$801,$W163)))</f>
        <v/>
      </c>
      <c r="C163">
        <f>IF($W163="","",IF(INDEX('Per Invoice'!C$2:C$801,$W163)="","",INDEX('Per Invoice'!C$2:C$801,$W163)))</f>
        <v/>
      </c>
      <c r="D163">
        <f>IF($W163="","",IF(INDEX('Per Invoice'!D$2:D$801,$W163)="","",INDEX('Per Invoice'!D$2:D$801,$W163)))</f>
        <v/>
      </c>
      <c r="E163">
        <f>IF($W163="","",IF(INDEX('Per Invoice'!E$2:E$801,$W163)="","",INDEX('Per Invoice'!E$2:E$801,$W163)))</f>
        <v/>
      </c>
      <c r="F163">
        <f>IF($W163="","",IF(INDEX('Per Invoice'!F$2:F$801,$W163)="","",INDEX('Per Invoice'!F$2:F$801,$W163)))</f>
        <v/>
      </c>
      <c r="G163">
        <f>IF($W163="","",IF(INDEX('Per Invoice'!G$2:G$801,$W163)="","",INDEX('Per Invoice'!G$2:G$801,$W163)))</f>
        <v/>
      </c>
      <c r="H163">
        <f>IF($W163="","",IF(INDEX('Per Invoice'!H$2:H$801,$W163)="","",INDEX('Per Invoice'!H$2:H$801,$W163)))</f>
        <v/>
      </c>
      <c r="I163">
        <f>IF($W163="","",IF(INDEX('Per Invoice'!I$2:I$801,$W163)="","",INDEX('Per Invoice'!I$2:I$801,$W163)))</f>
        <v/>
      </c>
      <c r="J163">
        <f>IF($W163="","",IF(INDEX('Per Invoice'!J$2:J$801,$W163)="","",INDEX('Per Invoice'!J$2:J$801,$W163)))</f>
        <v/>
      </c>
      <c r="K163" s="7">
        <f>IF($W163="","",IF(INDEX('Per Invoice'!K$2:K$801,$W163)="","",INDEX('Per Invoice'!K$2:K$801,$W163)))</f>
        <v/>
      </c>
      <c r="L163" s="14">
        <f>IF($W163="","",IF(INDEX('Per Invoice'!L$2:L$801,$W163)="","",INDEX('Per Invoice'!L$2:L$801,$W163)))</f>
        <v/>
      </c>
      <c r="M163">
        <f>IF($W163="","",IF(INDEX('Per Invoice'!M$2:M$801,$W163)="","",INDEX('Per Invoice'!M$2:M$801,$W163)))</f>
        <v/>
      </c>
      <c r="N163" s="7">
        <f>IF($W163="","",IF(INDEX('Per Invoice'!N$2:N$801,$W163)="","",INDEX('Per Invoice'!N$2:N$801,$W163)))</f>
        <v/>
      </c>
      <c r="O163" s="7">
        <f>IF($W163="","",IF(INDEX('Per Invoice'!O$2:O$801,$W163)="","",INDEX('Per Invoice'!O$2:O$801,$W163)))</f>
        <v/>
      </c>
      <c r="P163">
        <f>IF($W163="","",IF(INDEX('Per Invoice'!P$2:P$801,$W163)="","",INDEX('Per Invoice'!P$2:P$801,$W163)))</f>
        <v/>
      </c>
      <c r="Q163" s="7">
        <f>IF($W163="","",IF(INDEX('Per Invoice'!Q$2:Q$801,$W163)="","",INDEX('Per Invoice'!Q$2:Q$801,$W163)))</f>
        <v/>
      </c>
      <c r="R163" s="7">
        <f>IF($W163="","",IF(INDEX('Per Invoice'!R$2:R$801,$W163)="","",INDEX('Per Invoice'!R$2:R$801,$W163)))</f>
        <v/>
      </c>
      <c r="S163" s="7">
        <f>IF($W163="","",IF(INDEX('Per Invoice'!S$2:S$801,$W163)="","",INDEX('Per Invoice'!S$2:S$801,$W163)))</f>
        <v/>
      </c>
      <c r="T163" s="7">
        <f>IF($W163="","",IF(INDEX('Per Invoice'!T$2:T$801,$W163)="","",INDEX('Per Invoice'!T$2:T$801,$W163)))</f>
        <v/>
      </c>
      <c r="U163" s="7">
        <f>IF($W163="","",IF(INDEX('Per Invoice'!U$2:U$801,$W163)="","",INDEX('Per Invoice'!U$2:U$801,$W163)))</f>
        <v/>
      </c>
      <c r="V163" s="7">
        <f>IF($W163="","",IF(INDEX('Per Invoice'!V$2:V$801,$W163)="","",INDEX('Per Invoice'!V$2:V$801,$W163)))</f>
        <v/>
      </c>
      <c r="W163" s="16">
        <f>IFERROR(MATCH(Settings!$C$29&amp;"|"&amp;ROWS($W$2:$W163),'Per Invoice'!$X$2:$X$801,0),"")</f>
        <v/>
      </c>
    </row>
    <row r="164">
      <c r="A164">
        <f>IF($W164="","",IF(INDEX('Per Invoice'!A$2:A$801,$W164)="","",INDEX('Per Invoice'!A$2:A$801,$W164)))</f>
        <v/>
      </c>
      <c r="B164">
        <f>IF($W164="","",IF(INDEX('Per Invoice'!B$2:B$801,$W164)="","",INDEX('Per Invoice'!B$2:B$801,$W164)))</f>
        <v/>
      </c>
      <c r="C164">
        <f>IF($W164="","",IF(INDEX('Per Invoice'!C$2:C$801,$W164)="","",INDEX('Per Invoice'!C$2:C$801,$W164)))</f>
        <v/>
      </c>
      <c r="D164">
        <f>IF($W164="","",IF(INDEX('Per Invoice'!D$2:D$801,$W164)="","",INDEX('Per Invoice'!D$2:D$801,$W164)))</f>
        <v/>
      </c>
      <c r="E164">
        <f>IF($W164="","",IF(INDEX('Per Invoice'!E$2:E$801,$W164)="","",INDEX('Per Invoice'!E$2:E$801,$W164)))</f>
        <v/>
      </c>
      <c r="F164">
        <f>IF($W164="","",IF(INDEX('Per Invoice'!F$2:F$801,$W164)="","",INDEX('Per Invoice'!F$2:F$801,$W164)))</f>
        <v/>
      </c>
      <c r="G164">
        <f>IF($W164="","",IF(INDEX('Per Invoice'!G$2:G$801,$W164)="","",INDEX('Per Invoice'!G$2:G$801,$W164)))</f>
        <v/>
      </c>
      <c r="H164">
        <f>IF($W164="","",IF(INDEX('Per Invoice'!H$2:H$801,$W164)="","",INDEX('Per Invoice'!H$2:H$801,$W164)))</f>
        <v/>
      </c>
      <c r="I164">
        <f>IF($W164="","",IF(INDEX('Per Invoice'!I$2:I$801,$W164)="","",INDEX('Per Invoice'!I$2:I$801,$W164)))</f>
        <v/>
      </c>
      <c r="J164">
        <f>IF($W164="","",IF(INDEX('Per Invoice'!J$2:J$801,$W164)="","",INDEX('Per Invoice'!J$2:J$801,$W164)))</f>
        <v/>
      </c>
      <c r="K164" s="7">
        <f>IF($W164="","",IF(INDEX('Per Invoice'!K$2:K$801,$W164)="","",INDEX('Per Invoice'!K$2:K$801,$W164)))</f>
        <v/>
      </c>
      <c r="L164" s="14">
        <f>IF($W164="","",IF(INDEX('Per Invoice'!L$2:L$801,$W164)="","",INDEX('Per Invoice'!L$2:L$801,$W164)))</f>
        <v/>
      </c>
      <c r="M164">
        <f>IF($W164="","",IF(INDEX('Per Invoice'!M$2:M$801,$W164)="","",INDEX('Per Invoice'!M$2:M$801,$W164)))</f>
        <v/>
      </c>
      <c r="N164" s="7">
        <f>IF($W164="","",IF(INDEX('Per Invoice'!N$2:N$801,$W164)="","",INDEX('Per Invoice'!N$2:N$801,$W164)))</f>
        <v/>
      </c>
      <c r="O164" s="7">
        <f>IF($W164="","",IF(INDEX('Per Invoice'!O$2:O$801,$W164)="","",INDEX('Per Invoice'!O$2:O$801,$W164)))</f>
        <v/>
      </c>
      <c r="P164">
        <f>IF($W164="","",IF(INDEX('Per Invoice'!P$2:P$801,$W164)="","",INDEX('Per Invoice'!P$2:P$801,$W164)))</f>
        <v/>
      </c>
      <c r="Q164" s="7">
        <f>IF($W164="","",IF(INDEX('Per Invoice'!Q$2:Q$801,$W164)="","",INDEX('Per Invoice'!Q$2:Q$801,$W164)))</f>
        <v/>
      </c>
      <c r="R164" s="7">
        <f>IF($W164="","",IF(INDEX('Per Invoice'!R$2:R$801,$W164)="","",INDEX('Per Invoice'!R$2:R$801,$W164)))</f>
        <v/>
      </c>
      <c r="S164" s="7">
        <f>IF($W164="","",IF(INDEX('Per Invoice'!S$2:S$801,$W164)="","",INDEX('Per Invoice'!S$2:S$801,$W164)))</f>
        <v/>
      </c>
      <c r="T164" s="7">
        <f>IF($W164="","",IF(INDEX('Per Invoice'!T$2:T$801,$W164)="","",INDEX('Per Invoice'!T$2:T$801,$W164)))</f>
        <v/>
      </c>
      <c r="U164" s="7">
        <f>IF($W164="","",IF(INDEX('Per Invoice'!U$2:U$801,$W164)="","",INDEX('Per Invoice'!U$2:U$801,$W164)))</f>
        <v/>
      </c>
      <c r="V164" s="7">
        <f>IF($W164="","",IF(INDEX('Per Invoice'!V$2:V$801,$W164)="","",INDEX('Per Invoice'!V$2:V$801,$W164)))</f>
        <v/>
      </c>
      <c r="W164" s="16">
        <f>IFERROR(MATCH(Settings!$C$29&amp;"|"&amp;ROWS($W$2:$W164),'Per Invoice'!$X$2:$X$801,0),"")</f>
        <v/>
      </c>
    </row>
    <row r="165">
      <c r="A165">
        <f>IF($W165="","",IF(INDEX('Per Invoice'!A$2:A$801,$W165)="","",INDEX('Per Invoice'!A$2:A$801,$W165)))</f>
        <v/>
      </c>
      <c r="B165">
        <f>IF($W165="","",IF(INDEX('Per Invoice'!B$2:B$801,$W165)="","",INDEX('Per Invoice'!B$2:B$801,$W165)))</f>
        <v/>
      </c>
      <c r="C165">
        <f>IF($W165="","",IF(INDEX('Per Invoice'!C$2:C$801,$W165)="","",INDEX('Per Invoice'!C$2:C$801,$W165)))</f>
        <v/>
      </c>
      <c r="D165">
        <f>IF($W165="","",IF(INDEX('Per Invoice'!D$2:D$801,$W165)="","",INDEX('Per Invoice'!D$2:D$801,$W165)))</f>
        <v/>
      </c>
      <c r="E165">
        <f>IF($W165="","",IF(INDEX('Per Invoice'!E$2:E$801,$W165)="","",INDEX('Per Invoice'!E$2:E$801,$W165)))</f>
        <v/>
      </c>
      <c r="F165">
        <f>IF($W165="","",IF(INDEX('Per Invoice'!F$2:F$801,$W165)="","",INDEX('Per Invoice'!F$2:F$801,$W165)))</f>
        <v/>
      </c>
      <c r="G165">
        <f>IF($W165="","",IF(INDEX('Per Invoice'!G$2:G$801,$W165)="","",INDEX('Per Invoice'!G$2:G$801,$W165)))</f>
        <v/>
      </c>
      <c r="H165">
        <f>IF($W165="","",IF(INDEX('Per Invoice'!H$2:H$801,$W165)="","",INDEX('Per Invoice'!H$2:H$801,$W165)))</f>
        <v/>
      </c>
      <c r="I165">
        <f>IF($W165="","",IF(INDEX('Per Invoice'!I$2:I$801,$W165)="","",INDEX('Per Invoice'!I$2:I$801,$W165)))</f>
        <v/>
      </c>
      <c r="J165">
        <f>IF($W165="","",IF(INDEX('Per Invoice'!J$2:J$801,$W165)="","",INDEX('Per Invoice'!J$2:J$801,$W165)))</f>
        <v/>
      </c>
      <c r="K165" s="7">
        <f>IF($W165="","",IF(INDEX('Per Invoice'!K$2:K$801,$W165)="","",INDEX('Per Invoice'!K$2:K$801,$W165)))</f>
        <v/>
      </c>
      <c r="L165" s="14">
        <f>IF($W165="","",IF(INDEX('Per Invoice'!L$2:L$801,$W165)="","",INDEX('Per Invoice'!L$2:L$801,$W165)))</f>
        <v/>
      </c>
      <c r="M165">
        <f>IF($W165="","",IF(INDEX('Per Invoice'!M$2:M$801,$W165)="","",INDEX('Per Invoice'!M$2:M$801,$W165)))</f>
        <v/>
      </c>
      <c r="N165" s="7">
        <f>IF($W165="","",IF(INDEX('Per Invoice'!N$2:N$801,$W165)="","",INDEX('Per Invoice'!N$2:N$801,$W165)))</f>
        <v/>
      </c>
      <c r="O165" s="7">
        <f>IF($W165="","",IF(INDEX('Per Invoice'!O$2:O$801,$W165)="","",INDEX('Per Invoice'!O$2:O$801,$W165)))</f>
        <v/>
      </c>
      <c r="P165">
        <f>IF($W165="","",IF(INDEX('Per Invoice'!P$2:P$801,$W165)="","",INDEX('Per Invoice'!P$2:P$801,$W165)))</f>
        <v/>
      </c>
      <c r="Q165" s="7">
        <f>IF($W165="","",IF(INDEX('Per Invoice'!Q$2:Q$801,$W165)="","",INDEX('Per Invoice'!Q$2:Q$801,$W165)))</f>
        <v/>
      </c>
      <c r="R165" s="7">
        <f>IF($W165="","",IF(INDEX('Per Invoice'!R$2:R$801,$W165)="","",INDEX('Per Invoice'!R$2:R$801,$W165)))</f>
        <v/>
      </c>
      <c r="S165" s="7">
        <f>IF($W165="","",IF(INDEX('Per Invoice'!S$2:S$801,$W165)="","",INDEX('Per Invoice'!S$2:S$801,$W165)))</f>
        <v/>
      </c>
      <c r="T165" s="7">
        <f>IF($W165="","",IF(INDEX('Per Invoice'!T$2:T$801,$W165)="","",INDEX('Per Invoice'!T$2:T$801,$W165)))</f>
        <v/>
      </c>
      <c r="U165" s="7">
        <f>IF($W165="","",IF(INDEX('Per Invoice'!U$2:U$801,$W165)="","",INDEX('Per Invoice'!U$2:U$801,$W165)))</f>
        <v/>
      </c>
      <c r="V165" s="7">
        <f>IF($W165="","",IF(INDEX('Per Invoice'!V$2:V$801,$W165)="","",INDEX('Per Invoice'!V$2:V$801,$W165)))</f>
        <v/>
      </c>
      <c r="W165" s="16">
        <f>IFERROR(MATCH(Settings!$C$29&amp;"|"&amp;ROWS($W$2:$W165),'Per Invoice'!$X$2:$X$801,0),"")</f>
        <v/>
      </c>
    </row>
    <row r="166">
      <c r="A166">
        <f>IF($W166="","",IF(INDEX('Per Invoice'!A$2:A$801,$W166)="","",INDEX('Per Invoice'!A$2:A$801,$W166)))</f>
        <v/>
      </c>
      <c r="B166">
        <f>IF($W166="","",IF(INDEX('Per Invoice'!B$2:B$801,$W166)="","",INDEX('Per Invoice'!B$2:B$801,$W166)))</f>
        <v/>
      </c>
      <c r="C166">
        <f>IF($W166="","",IF(INDEX('Per Invoice'!C$2:C$801,$W166)="","",INDEX('Per Invoice'!C$2:C$801,$W166)))</f>
        <v/>
      </c>
      <c r="D166">
        <f>IF($W166="","",IF(INDEX('Per Invoice'!D$2:D$801,$W166)="","",INDEX('Per Invoice'!D$2:D$801,$W166)))</f>
        <v/>
      </c>
      <c r="E166">
        <f>IF($W166="","",IF(INDEX('Per Invoice'!E$2:E$801,$W166)="","",INDEX('Per Invoice'!E$2:E$801,$W166)))</f>
        <v/>
      </c>
      <c r="F166">
        <f>IF($W166="","",IF(INDEX('Per Invoice'!F$2:F$801,$W166)="","",INDEX('Per Invoice'!F$2:F$801,$W166)))</f>
        <v/>
      </c>
      <c r="G166">
        <f>IF($W166="","",IF(INDEX('Per Invoice'!G$2:G$801,$W166)="","",INDEX('Per Invoice'!G$2:G$801,$W166)))</f>
        <v/>
      </c>
      <c r="H166">
        <f>IF($W166="","",IF(INDEX('Per Invoice'!H$2:H$801,$W166)="","",INDEX('Per Invoice'!H$2:H$801,$W166)))</f>
        <v/>
      </c>
      <c r="I166">
        <f>IF($W166="","",IF(INDEX('Per Invoice'!I$2:I$801,$W166)="","",INDEX('Per Invoice'!I$2:I$801,$W166)))</f>
        <v/>
      </c>
      <c r="J166">
        <f>IF($W166="","",IF(INDEX('Per Invoice'!J$2:J$801,$W166)="","",INDEX('Per Invoice'!J$2:J$801,$W166)))</f>
        <v/>
      </c>
      <c r="K166" s="7">
        <f>IF($W166="","",IF(INDEX('Per Invoice'!K$2:K$801,$W166)="","",INDEX('Per Invoice'!K$2:K$801,$W166)))</f>
        <v/>
      </c>
      <c r="L166" s="14">
        <f>IF($W166="","",IF(INDEX('Per Invoice'!L$2:L$801,$W166)="","",INDEX('Per Invoice'!L$2:L$801,$W166)))</f>
        <v/>
      </c>
      <c r="M166">
        <f>IF($W166="","",IF(INDEX('Per Invoice'!M$2:M$801,$W166)="","",INDEX('Per Invoice'!M$2:M$801,$W166)))</f>
        <v/>
      </c>
      <c r="N166" s="7">
        <f>IF($W166="","",IF(INDEX('Per Invoice'!N$2:N$801,$W166)="","",INDEX('Per Invoice'!N$2:N$801,$W166)))</f>
        <v/>
      </c>
      <c r="O166" s="7">
        <f>IF($W166="","",IF(INDEX('Per Invoice'!O$2:O$801,$W166)="","",INDEX('Per Invoice'!O$2:O$801,$W166)))</f>
        <v/>
      </c>
      <c r="P166">
        <f>IF($W166="","",IF(INDEX('Per Invoice'!P$2:P$801,$W166)="","",INDEX('Per Invoice'!P$2:P$801,$W166)))</f>
        <v/>
      </c>
      <c r="Q166" s="7">
        <f>IF($W166="","",IF(INDEX('Per Invoice'!Q$2:Q$801,$W166)="","",INDEX('Per Invoice'!Q$2:Q$801,$W166)))</f>
        <v/>
      </c>
      <c r="R166" s="7">
        <f>IF($W166="","",IF(INDEX('Per Invoice'!R$2:R$801,$W166)="","",INDEX('Per Invoice'!R$2:R$801,$W166)))</f>
        <v/>
      </c>
      <c r="S166" s="7">
        <f>IF($W166="","",IF(INDEX('Per Invoice'!S$2:S$801,$W166)="","",INDEX('Per Invoice'!S$2:S$801,$W166)))</f>
        <v/>
      </c>
      <c r="T166" s="7">
        <f>IF($W166="","",IF(INDEX('Per Invoice'!T$2:T$801,$W166)="","",INDEX('Per Invoice'!T$2:T$801,$W166)))</f>
        <v/>
      </c>
      <c r="U166" s="7">
        <f>IF($W166="","",IF(INDEX('Per Invoice'!U$2:U$801,$W166)="","",INDEX('Per Invoice'!U$2:U$801,$W166)))</f>
        <v/>
      </c>
      <c r="V166" s="7">
        <f>IF($W166="","",IF(INDEX('Per Invoice'!V$2:V$801,$W166)="","",INDEX('Per Invoice'!V$2:V$801,$W166)))</f>
        <v/>
      </c>
      <c r="W166" s="16">
        <f>IFERROR(MATCH(Settings!$C$29&amp;"|"&amp;ROWS($W$2:$W166),'Per Invoice'!$X$2:$X$801,0),"")</f>
        <v/>
      </c>
    </row>
    <row r="167">
      <c r="A167">
        <f>IF($W167="","",IF(INDEX('Per Invoice'!A$2:A$801,$W167)="","",INDEX('Per Invoice'!A$2:A$801,$W167)))</f>
        <v/>
      </c>
      <c r="B167">
        <f>IF($W167="","",IF(INDEX('Per Invoice'!B$2:B$801,$W167)="","",INDEX('Per Invoice'!B$2:B$801,$W167)))</f>
        <v/>
      </c>
      <c r="C167">
        <f>IF($W167="","",IF(INDEX('Per Invoice'!C$2:C$801,$W167)="","",INDEX('Per Invoice'!C$2:C$801,$W167)))</f>
        <v/>
      </c>
      <c r="D167">
        <f>IF($W167="","",IF(INDEX('Per Invoice'!D$2:D$801,$W167)="","",INDEX('Per Invoice'!D$2:D$801,$W167)))</f>
        <v/>
      </c>
      <c r="E167">
        <f>IF($W167="","",IF(INDEX('Per Invoice'!E$2:E$801,$W167)="","",INDEX('Per Invoice'!E$2:E$801,$W167)))</f>
        <v/>
      </c>
      <c r="F167">
        <f>IF($W167="","",IF(INDEX('Per Invoice'!F$2:F$801,$W167)="","",INDEX('Per Invoice'!F$2:F$801,$W167)))</f>
        <v/>
      </c>
      <c r="G167">
        <f>IF($W167="","",IF(INDEX('Per Invoice'!G$2:G$801,$W167)="","",INDEX('Per Invoice'!G$2:G$801,$W167)))</f>
        <v/>
      </c>
      <c r="H167">
        <f>IF($W167="","",IF(INDEX('Per Invoice'!H$2:H$801,$W167)="","",INDEX('Per Invoice'!H$2:H$801,$W167)))</f>
        <v/>
      </c>
      <c r="I167">
        <f>IF($W167="","",IF(INDEX('Per Invoice'!I$2:I$801,$W167)="","",INDEX('Per Invoice'!I$2:I$801,$W167)))</f>
        <v/>
      </c>
      <c r="J167">
        <f>IF($W167="","",IF(INDEX('Per Invoice'!J$2:J$801,$W167)="","",INDEX('Per Invoice'!J$2:J$801,$W167)))</f>
        <v/>
      </c>
      <c r="K167" s="7">
        <f>IF($W167="","",IF(INDEX('Per Invoice'!K$2:K$801,$W167)="","",INDEX('Per Invoice'!K$2:K$801,$W167)))</f>
        <v/>
      </c>
      <c r="L167" s="14">
        <f>IF($W167="","",IF(INDEX('Per Invoice'!L$2:L$801,$W167)="","",INDEX('Per Invoice'!L$2:L$801,$W167)))</f>
        <v/>
      </c>
      <c r="M167">
        <f>IF($W167="","",IF(INDEX('Per Invoice'!M$2:M$801,$W167)="","",INDEX('Per Invoice'!M$2:M$801,$W167)))</f>
        <v/>
      </c>
      <c r="N167" s="7">
        <f>IF($W167="","",IF(INDEX('Per Invoice'!N$2:N$801,$W167)="","",INDEX('Per Invoice'!N$2:N$801,$W167)))</f>
        <v/>
      </c>
      <c r="O167" s="7">
        <f>IF($W167="","",IF(INDEX('Per Invoice'!O$2:O$801,$W167)="","",INDEX('Per Invoice'!O$2:O$801,$W167)))</f>
        <v/>
      </c>
      <c r="P167">
        <f>IF($W167="","",IF(INDEX('Per Invoice'!P$2:P$801,$W167)="","",INDEX('Per Invoice'!P$2:P$801,$W167)))</f>
        <v/>
      </c>
      <c r="Q167" s="7">
        <f>IF($W167="","",IF(INDEX('Per Invoice'!Q$2:Q$801,$W167)="","",INDEX('Per Invoice'!Q$2:Q$801,$W167)))</f>
        <v/>
      </c>
      <c r="R167" s="7">
        <f>IF($W167="","",IF(INDEX('Per Invoice'!R$2:R$801,$W167)="","",INDEX('Per Invoice'!R$2:R$801,$W167)))</f>
        <v/>
      </c>
      <c r="S167" s="7">
        <f>IF($W167="","",IF(INDEX('Per Invoice'!S$2:S$801,$W167)="","",INDEX('Per Invoice'!S$2:S$801,$W167)))</f>
        <v/>
      </c>
      <c r="T167" s="7">
        <f>IF($W167="","",IF(INDEX('Per Invoice'!T$2:T$801,$W167)="","",INDEX('Per Invoice'!T$2:T$801,$W167)))</f>
        <v/>
      </c>
      <c r="U167" s="7">
        <f>IF($W167="","",IF(INDEX('Per Invoice'!U$2:U$801,$W167)="","",INDEX('Per Invoice'!U$2:U$801,$W167)))</f>
        <v/>
      </c>
      <c r="V167" s="7">
        <f>IF($W167="","",IF(INDEX('Per Invoice'!V$2:V$801,$W167)="","",INDEX('Per Invoice'!V$2:V$801,$W167)))</f>
        <v/>
      </c>
      <c r="W167" s="16">
        <f>IFERROR(MATCH(Settings!$C$29&amp;"|"&amp;ROWS($W$2:$W167),'Per Invoice'!$X$2:$X$801,0),"")</f>
        <v/>
      </c>
    </row>
    <row r="168">
      <c r="A168">
        <f>IF($W168="","",IF(INDEX('Per Invoice'!A$2:A$801,$W168)="","",INDEX('Per Invoice'!A$2:A$801,$W168)))</f>
        <v/>
      </c>
      <c r="B168">
        <f>IF($W168="","",IF(INDEX('Per Invoice'!B$2:B$801,$W168)="","",INDEX('Per Invoice'!B$2:B$801,$W168)))</f>
        <v/>
      </c>
      <c r="C168">
        <f>IF($W168="","",IF(INDEX('Per Invoice'!C$2:C$801,$W168)="","",INDEX('Per Invoice'!C$2:C$801,$W168)))</f>
        <v/>
      </c>
      <c r="D168">
        <f>IF($W168="","",IF(INDEX('Per Invoice'!D$2:D$801,$W168)="","",INDEX('Per Invoice'!D$2:D$801,$W168)))</f>
        <v/>
      </c>
      <c r="E168">
        <f>IF($W168="","",IF(INDEX('Per Invoice'!E$2:E$801,$W168)="","",INDEX('Per Invoice'!E$2:E$801,$W168)))</f>
        <v/>
      </c>
      <c r="F168">
        <f>IF($W168="","",IF(INDEX('Per Invoice'!F$2:F$801,$W168)="","",INDEX('Per Invoice'!F$2:F$801,$W168)))</f>
        <v/>
      </c>
      <c r="G168">
        <f>IF($W168="","",IF(INDEX('Per Invoice'!G$2:G$801,$W168)="","",INDEX('Per Invoice'!G$2:G$801,$W168)))</f>
        <v/>
      </c>
      <c r="H168">
        <f>IF($W168="","",IF(INDEX('Per Invoice'!H$2:H$801,$W168)="","",INDEX('Per Invoice'!H$2:H$801,$W168)))</f>
        <v/>
      </c>
      <c r="I168">
        <f>IF($W168="","",IF(INDEX('Per Invoice'!I$2:I$801,$W168)="","",INDEX('Per Invoice'!I$2:I$801,$W168)))</f>
        <v/>
      </c>
      <c r="J168">
        <f>IF($W168="","",IF(INDEX('Per Invoice'!J$2:J$801,$W168)="","",INDEX('Per Invoice'!J$2:J$801,$W168)))</f>
        <v/>
      </c>
      <c r="K168" s="7">
        <f>IF($W168="","",IF(INDEX('Per Invoice'!K$2:K$801,$W168)="","",INDEX('Per Invoice'!K$2:K$801,$W168)))</f>
        <v/>
      </c>
      <c r="L168" s="14">
        <f>IF($W168="","",IF(INDEX('Per Invoice'!L$2:L$801,$W168)="","",INDEX('Per Invoice'!L$2:L$801,$W168)))</f>
        <v/>
      </c>
      <c r="M168">
        <f>IF($W168="","",IF(INDEX('Per Invoice'!M$2:M$801,$W168)="","",INDEX('Per Invoice'!M$2:M$801,$W168)))</f>
        <v/>
      </c>
      <c r="N168" s="7">
        <f>IF($W168="","",IF(INDEX('Per Invoice'!N$2:N$801,$W168)="","",INDEX('Per Invoice'!N$2:N$801,$W168)))</f>
        <v/>
      </c>
      <c r="O168" s="7">
        <f>IF($W168="","",IF(INDEX('Per Invoice'!O$2:O$801,$W168)="","",INDEX('Per Invoice'!O$2:O$801,$W168)))</f>
        <v/>
      </c>
      <c r="P168">
        <f>IF($W168="","",IF(INDEX('Per Invoice'!P$2:P$801,$W168)="","",INDEX('Per Invoice'!P$2:P$801,$W168)))</f>
        <v/>
      </c>
      <c r="Q168" s="7">
        <f>IF($W168="","",IF(INDEX('Per Invoice'!Q$2:Q$801,$W168)="","",INDEX('Per Invoice'!Q$2:Q$801,$W168)))</f>
        <v/>
      </c>
      <c r="R168" s="7">
        <f>IF($W168="","",IF(INDEX('Per Invoice'!R$2:R$801,$W168)="","",INDEX('Per Invoice'!R$2:R$801,$W168)))</f>
        <v/>
      </c>
      <c r="S168" s="7">
        <f>IF($W168="","",IF(INDEX('Per Invoice'!S$2:S$801,$W168)="","",INDEX('Per Invoice'!S$2:S$801,$W168)))</f>
        <v/>
      </c>
      <c r="T168" s="7">
        <f>IF($W168="","",IF(INDEX('Per Invoice'!T$2:T$801,$W168)="","",INDEX('Per Invoice'!T$2:T$801,$W168)))</f>
        <v/>
      </c>
      <c r="U168" s="7">
        <f>IF($W168="","",IF(INDEX('Per Invoice'!U$2:U$801,$W168)="","",INDEX('Per Invoice'!U$2:U$801,$W168)))</f>
        <v/>
      </c>
      <c r="V168" s="7">
        <f>IF($W168="","",IF(INDEX('Per Invoice'!V$2:V$801,$W168)="","",INDEX('Per Invoice'!V$2:V$801,$W168)))</f>
        <v/>
      </c>
      <c r="W168" s="16">
        <f>IFERROR(MATCH(Settings!$C$29&amp;"|"&amp;ROWS($W$2:$W168),'Per Invoice'!$X$2:$X$801,0),"")</f>
        <v/>
      </c>
    </row>
    <row r="169">
      <c r="A169">
        <f>IF($W169="","",IF(INDEX('Per Invoice'!A$2:A$801,$W169)="","",INDEX('Per Invoice'!A$2:A$801,$W169)))</f>
        <v/>
      </c>
      <c r="B169">
        <f>IF($W169="","",IF(INDEX('Per Invoice'!B$2:B$801,$W169)="","",INDEX('Per Invoice'!B$2:B$801,$W169)))</f>
        <v/>
      </c>
      <c r="C169">
        <f>IF($W169="","",IF(INDEX('Per Invoice'!C$2:C$801,$W169)="","",INDEX('Per Invoice'!C$2:C$801,$W169)))</f>
        <v/>
      </c>
      <c r="D169">
        <f>IF($W169="","",IF(INDEX('Per Invoice'!D$2:D$801,$W169)="","",INDEX('Per Invoice'!D$2:D$801,$W169)))</f>
        <v/>
      </c>
      <c r="E169">
        <f>IF($W169="","",IF(INDEX('Per Invoice'!E$2:E$801,$W169)="","",INDEX('Per Invoice'!E$2:E$801,$W169)))</f>
        <v/>
      </c>
      <c r="F169">
        <f>IF($W169="","",IF(INDEX('Per Invoice'!F$2:F$801,$W169)="","",INDEX('Per Invoice'!F$2:F$801,$W169)))</f>
        <v/>
      </c>
      <c r="G169">
        <f>IF($W169="","",IF(INDEX('Per Invoice'!G$2:G$801,$W169)="","",INDEX('Per Invoice'!G$2:G$801,$W169)))</f>
        <v/>
      </c>
      <c r="H169">
        <f>IF($W169="","",IF(INDEX('Per Invoice'!H$2:H$801,$W169)="","",INDEX('Per Invoice'!H$2:H$801,$W169)))</f>
        <v/>
      </c>
      <c r="I169">
        <f>IF($W169="","",IF(INDEX('Per Invoice'!I$2:I$801,$W169)="","",INDEX('Per Invoice'!I$2:I$801,$W169)))</f>
        <v/>
      </c>
      <c r="J169">
        <f>IF($W169="","",IF(INDEX('Per Invoice'!J$2:J$801,$W169)="","",INDEX('Per Invoice'!J$2:J$801,$W169)))</f>
        <v/>
      </c>
      <c r="K169" s="7">
        <f>IF($W169="","",IF(INDEX('Per Invoice'!K$2:K$801,$W169)="","",INDEX('Per Invoice'!K$2:K$801,$W169)))</f>
        <v/>
      </c>
      <c r="L169" s="14">
        <f>IF($W169="","",IF(INDEX('Per Invoice'!L$2:L$801,$W169)="","",INDEX('Per Invoice'!L$2:L$801,$W169)))</f>
        <v/>
      </c>
      <c r="M169">
        <f>IF($W169="","",IF(INDEX('Per Invoice'!M$2:M$801,$W169)="","",INDEX('Per Invoice'!M$2:M$801,$W169)))</f>
        <v/>
      </c>
      <c r="N169" s="7">
        <f>IF($W169="","",IF(INDEX('Per Invoice'!N$2:N$801,$W169)="","",INDEX('Per Invoice'!N$2:N$801,$W169)))</f>
        <v/>
      </c>
      <c r="O169" s="7">
        <f>IF($W169="","",IF(INDEX('Per Invoice'!O$2:O$801,$W169)="","",INDEX('Per Invoice'!O$2:O$801,$W169)))</f>
        <v/>
      </c>
      <c r="P169">
        <f>IF($W169="","",IF(INDEX('Per Invoice'!P$2:P$801,$W169)="","",INDEX('Per Invoice'!P$2:P$801,$W169)))</f>
        <v/>
      </c>
      <c r="Q169" s="7">
        <f>IF($W169="","",IF(INDEX('Per Invoice'!Q$2:Q$801,$W169)="","",INDEX('Per Invoice'!Q$2:Q$801,$W169)))</f>
        <v/>
      </c>
      <c r="R169" s="7">
        <f>IF($W169="","",IF(INDEX('Per Invoice'!R$2:R$801,$W169)="","",INDEX('Per Invoice'!R$2:R$801,$W169)))</f>
        <v/>
      </c>
      <c r="S169" s="7">
        <f>IF($W169="","",IF(INDEX('Per Invoice'!S$2:S$801,$W169)="","",INDEX('Per Invoice'!S$2:S$801,$W169)))</f>
        <v/>
      </c>
      <c r="T169" s="7">
        <f>IF($W169="","",IF(INDEX('Per Invoice'!T$2:T$801,$W169)="","",INDEX('Per Invoice'!T$2:T$801,$W169)))</f>
        <v/>
      </c>
      <c r="U169" s="7">
        <f>IF($W169="","",IF(INDEX('Per Invoice'!U$2:U$801,$W169)="","",INDEX('Per Invoice'!U$2:U$801,$W169)))</f>
        <v/>
      </c>
      <c r="V169" s="7">
        <f>IF($W169="","",IF(INDEX('Per Invoice'!V$2:V$801,$W169)="","",INDEX('Per Invoice'!V$2:V$801,$W169)))</f>
        <v/>
      </c>
      <c r="W169" s="16">
        <f>IFERROR(MATCH(Settings!$C$29&amp;"|"&amp;ROWS($W$2:$W169),'Per Invoice'!$X$2:$X$801,0),"")</f>
        <v/>
      </c>
    </row>
    <row r="170">
      <c r="A170">
        <f>IF($W170="","",IF(INDEX('Per Invoice'!A$2:A$801,$W170)="","",INDEX('Per Invoice'!A$2:A$801,$W170)))</f>
        <v/>
      </c>
      <c r="B170">
        <f>IF($W170="","",IF(INDEX('Per Invoice'!B$2:B$801,$W170)="","",INDEX('Per Invoice'!B$2:B$801,$W170)))</f>
        <v/>
      </c>
      <c r="C170">
        <f>IF($W170="","",IF(INDEX('Per Invoice'!C$2:C$801,$W170)="","",INDEX('Per Invoice'!C$2:C$801,$W170)))</f>
        <v/>
      </c>
      <c r="D170">
        <f>IF($W170="","",IF(INDEX('Per Invoice'!D$2:D$801,$W170)="","",INDEX('Per Invoice'!D$2:D$801,$W170)))</f>
        <v/>
      </c>
      <c r="E170">
        <f>IF($W170="","",IF(INDEX('Per Invoice'!E$2:E$801,$W170)="","",INDEX('Per Invoice'!E$2:E$801,$W170)))</f>
        <v/>
      </c>
      <c r="F170">
        <f>IF($W170="","",IF(INDEX('Per Invoice'!F$2:F$801,$W170)="","",INDEX('Per Invoice'!F$2:F$801,$W170)))</f>
        <v/>
      </c>
      <c r="G170">
        <f>IF($W170="","",IF(INDEX('Per Invoice'!G$2:G$801,$W170)="","",INDEX('Per Invoice'!G$2:G$801,$W170)))</f>
        <v/>
      </c>
      <c r="H170">
        <f>IF($W170="","",IF(INDEX('Per Invoice'!H$2:H$801,$W170)="","",INDEX('Per Invoice'!H$2:H$801,$W170)))</f>
        <v/>
      </c>
      <c r="I170">
        <f>IF($W170="","",IF(INDEX('Per Invoice'!I$2:I$801,$W170)="","",INDEX('Per Invoice'!I$2:I$801,$W170)))</f>
        <v/>
      </c>
      <c r="J170">
        <f>IF($W170="","",IF(INDEX('Per Invoice'!J$2:J$801,$W170)="","",INDEX('Per Invoice'!J$2:J$801,$W170)))</f>
        <v/>
      </c>
      <c r="K170" s="7">
        <f>IF($W170="","",IF(INDEX('Per Invoice'!K$2:K$801,$W170)="","",INDEX('Per Invoice'!K$2:K$801,$W170)))</f>
        <v/>
      </c>
      <c r="L170" s="14">
        <f>IF($W170="","",IF(INDEX('Per Invoice'!L$2:L$801,$W170)="","",INDEX('Per Invoice'!L$2:L$801,$W170)))</f>
        <v/>
      </c>
      <c r="M170">
        <f>IF($W170="","",IF(INDEX('Per Invoice'!M$2:M$801,$W170)="","",INDEX('Per Invoice'!M$2:M$801,$W170)))</f>
        <v/>
      </c>
      <c r="N170" s="7">
        <f>IF($W170="","",IF(INDEX('Per Invoice'!N$2:N$801,$W170)="","",INDEX('Per Invoice'!N$2:N$801,$W170)))</f>
        <v/>
      </c>
      <c r="O170" s="7">
        <f>IF($W170="","",IF(INDEX('Per Invoice'!O$2:O$801,$W170)="","",INDEX('Per Invoice'!O$2:O$801,$W170)))</f>
        <v/>
      </c>
      <c r="P170">
        <f>IF($W170="","",IF(INDEX('Per Invoice'!P$2:P$801,$W170)="","",INDEX('Per Invoice'!P$2:P$801,$W170)))</f>
        <v/>
      </c>
      <c r="Q170" s="7">
        <f>IF($W170="","",IF(INDEX('Per Invoice'!Q$2:Q$801,$W170)="","",INDEX('Per Invoice'!Q$2:Q$801,$W170)))</f>
        <v/>
      </c>
      <c r="R170" s="7">
        <f>IF($W170="","",IF(INDEX('Per Invoice'!R$2:R$801,$W170)="","",INDEX('Per Invoice'!R$2:R$801,$W170)))</f>
        <v/>
      </c>
      <c r="S170" s="7">
        <f>IF($W170="","",IF(INDEX('Per Invoice'!S$2:S$801,$W170)="","",INDEX('Per Invoice'!S$2:S$801,$W170)))</f>
        <v/>
      </c>
      <c r="T170" s="7">
        <f>IF($W170="","",IF(INDEX('Per Invoice'!T$2:T$801,$W170)="","",INDEX('Per Invoice'!T$2:T$801,$W170)))</f>
        <v/>
      </c>
      <c r="U170" s="7">
        <f>IF($W170="","",IF(INDEX('Per Invoice'!U$2:U$801,$W170)="","",INDEX('Per Invoice'!U$2:U$801,$W170)))</f>
        <v/>
      </c>
      <c r="V170" s="7">
        <f>IF($W170="","",IF(INDEX('Per Invoice'!V$2:V$801,$W170)="","",INDEX('Per Invoice'!V$2:V$801,$W170)))</f>
        <v/>
      </c>
      <c r="W170" s="16">
        <f>IFERROR(MATCH(Settings!$C$29&amp;"|"&amp;ROWS($W$2:$W170),'Per Invoice'!$X$2:$X$801,0),"")</f>
        <v/>
      </c>
    </row>
    <row r="171">
      <c r="A171">
        <f>IF($W171="","",IF(INDEX('Per Invoice'!A$2:A$801,$W171)="","",INDEX('Per Invoice'!A$2:A$801,$W171)))</f>
        <v/>
      </c>
      <c r="B171">
        <f>IF($W171="","",IF(INDEX('Per Invoice'!B$2:B$801,$W171)="","",INDEX('Per Invoice'!B$2:B$801,$W171)))</f>
        <v/>
      </c>
      <c r="C171">
        <f>IF($W171="","",IF(INDEX('Per Invoice'!C$2:C$801,$W171)="","",INDEX('Per Invoice'!C$2:C$801,$W171)))</f>
        <v/>
      </c>
      <c r="D171">
        <f>IF($W171="","",IF(INDEX('Per Invoice'!D$2:D$801,$W171)="","",INDEX('Per Invoice'!D$2:D$801,$W171)))</f>
        <v/>
      </c>
      <c r="E171">
        <f>IF($W171="","",IF(INDEX('Per Invoice'!E$2:E$801,$W171)="","",INDEX('Per Invoice'!E$2:E$801,$W171)))</f>
        <v/>
      </c>
      <c r="F171">
        <f>IF($W171="","",IF(INDEX('Per Invoice'!F$2:F$801,$W171)="","",INDEX('Per Invoice'!F$2:F$801,$W171)))</f>
        <v/>
      </c>
      <c r="G171">
        <f>IF($W171="","",IF(INDEX('Per Invoice'!G$2:G$801,$W171)="","",INDEX('Per Invoice'!G$2:G$801,$W171)))</f>
        <v/>
      </c>
      <c r="H171">
        <f>IF($W171="","",IF(INDEX('Per Invoice'!H$2:H$801,$W171)="","",INDEX('Per Invoice'!H$2:H$801,$W171)))</f>
        <v/>
      </c>
      <c r="I171">
        <f>IF($W171="","",IF(INDEX('Per Invoice'!I$2:I$801,$W171)="","",INDEX('Per Invoice'!I$2:I$801,$W171)))</f>
        <v/>
      </c>
      <c r="J171">
        <f>IF($W171="","",IF(INDEX('Per Invoice'!J$2:J$801,$W171)="","",INDEX('Per Invoice'!J$2:J$801,$W171)))</f>
        <v/>
      </c>
      <c r="K171" s="7">
        <f>IF($W171="","",IF(INDEX('Per Invoice'!K$2:K$801,$W171)="","",INDEX('Per Invoice'!K$2:K$801,$W171)))</f>
        <v/>
      </c>
      <c r="L171" s="14">
        <f>IF($W171="","",IF(INDEX('Per Invoice'!L$2:L$801,$W171)="","",INDEX('Per Invoice'!L$2:L$801,$W171)))</f>
        <v/>
      </c>
      <c r="M171">
        <f>IF($W171="","",IF(INDEX('Per Invoice'!M$2:M$801,$W171)="","",INDEX('Per Invoice'!M$2:M$801,$W171)))</f>
        <v/>
      </c>
      <c r="N171" s="7">
        <f>IF($W171="","",IF(INDEX('Per Invoice'!N$2:N$801,$W171)="","",INDEX('Per Invoice'!N$2:N$801,$W171)))</f>
        <v/>
      </c>
      <c r="O171" s="7">
        <f>IF($W171="","",IF(INDEX('Per Invoice'!O$2:O$801,$W171)="","",INDEX('Per Invoice'!O$2:O$801,$W171)))</f>
        <v/>
      </c>
      <c r="P171">
        <f>IF($W171="","",IF(INDEX('Per Invoice'!P$2:P$801,$W171)="","",INDEX('Per Invoice'!P$2:P$801,$W171)))</f>
        <v/>
      </c>
      <c r="Q171" s="7">
        <f>IF($W171="","",IF(INDEX('Per Invoice'!Q$2:Q$801,$W171)="","",INDEX('Per Invoice'!Q$2:Q$801,$W171)))</f>
        <v/>
      </c>
      <c r="R171" s="7">
        <f>IF($W171="","",IF(INDEX('Per Invoice'!R$2:R$801,$W171)="","",INDEX('Per Invoice'!R$2:R$801,$W171)))</f>
        <v/>
      </c>
      <c r="S171" s="7">
        <f>IF($W171="","",IF(INDEX('Per Invoice'!S$2:S$801,$W171)="","",INDEX('Per Invoice'!S$2:S$801,$W171)))</f>
        <v/>
      </c>
      <c r="T171" s="7">
        <f>IF($W171="","",IF(INDEX('Per Invoice'!T$2:T$801,$W171)="","",INDEX('Per Invoice'!T$2:T$801,$W171)))</f>
        <v/>
      </c>
      <c r="U171" s="7">
        <f>IF($W171="","",IF(INDEX('Per Invoice'!U$2:U$801,$W171)="","",INDEX('Per Invoice'!U$2:U$801,$W171)))</f>
        <v/>
      </c>
      <c r="V171" s="7">
        <f>IF($W171="","",IF(INDEX('Per Invoice'!V$2:V$801,$W171)="","",INDEX('Per Invoice'!V$2:V$801,$W171)))</f>
        <v/>
      </c>
      <c r="W171" s="16">
        <f>IFERROR(MATCH(Settings!$C$29&amp;"|"&amp;ROWS($W$2:$W171),'Per Invoice'!$X$2:$X$801,0),"")</f>
        <v/>
      </c>
    </row>
    <row r="172">
      <c r="A172">
        <f>IF($W172="","",IF(INDEX('Per Invoice'!A$2:A$801,$W172)="","",INDEX('Per Invoice'!A$2:A$801,$W172)))</f>
        <v/>
      </c>
      <c r="B172">
        <f>IF($W172="","",IF(INDEX('Per Invoice'!B$2:B$801,$W172)="","",INDEX('Per Invoice'!B$2:B$801,$W172)))</f>
        <v/>
      </c>
      <c r="C172">
        <f>IF($W172="","",IF(INDEX('Per Invoice'!C$2:C$801,$W172)="","",INDEX('Per Invoice'!C$2:C$801,$W172)))</f>
        <v/>
      </c>
      <c r="D172">
        <f>IF($W172="","",IF(INDEX('Per Invoice'!D$2:D$801,$W172)="","",INDEX('Per Invoice'!D$2:D$801,$W172)))</f>
        <v/>
      </c>
      <c r="E172">
        <f>IF($W172="","",IF(INDEX('Per Invoice'!E$2:E$801,$W172)="","",INDEX('Per Invoice'!E$2:E$801,$W172)))</f>
        <v/>
      </c>
      <c r="F172">
        <f>IF($W172="","",IF(INDEX('Per Invoice'!F$2:F$801,$W172)="","",INDEX('Per Invoice'!F$2:F$801,$W172)))</f>
        <v/>
      </c>
      <c r="G172">
        <f>IF($W172="","",IF(INDEX('Per Invoice'!G$2:G$801,$W172)="","",INDEX('Per Invoice'!G$2:G$801,$W172)))</f>
        <v/>
      </c>
      <c r="H172">
        <f>IF($W172="","",IF(INDEX('Per Invoice'!H$2:H$801,$W172)="","",INDEX('Per Invoice'!H$2:H$801,$W172)))</f>
        <v/>
      </c>
      <c r="I172">
        <f>IF($W172="","",IF(INDEX('Per Invoice'!I$2:I$801,$W172)="","",INDEX('Per Invoice'!I$2:I$801,$W172)))</f>
        <v/>
      </c>
      <c r="J172">
        <f>IF($W172="","",IF(INDEX('Per Invoice'!J$2:J$801,$W172)="","",INDEX('Per Invoice'!J$2:J$801,$W172)))</f>
        <v/>
      </c>
      <c r="K172" s="7">
        <f>IF($W172="","",IF(INDEX('Per Invoice'!K$2:K$801,$W172)="","",INDEX('Per Invoice'!K$2:K$801,$W172)))</f>
        <v/>
      </c>
      <c r="L172" s="14">
        <f>IF($W172="","",IF(INDEX('Per Invoice'!L$2:L$801,$W172)="","",INDEX('Per Invoice'!L$2:L$801,$W172)))</f>
        <v/>
      </c>
      <c r="M172">
        <f>IF($W172="","",IF(INDEX('Per Invoice'!M$2:M$801,$W172)="","",INDEX('Per Invoice'!M$2:M$801,$W172)))</f>
        <v/>
      </c>
      <c r="N172" s="7">
        <f>IF($W172="","",IF(INDEX('Per Invoice'!N$2:N$801,$W172)="","",INDEX('Per Invoice'!N$2:N$801,$W172)))</f>
        <v/>
      </c>
      <c r="O172" s="7">
        <f>IF($W172="","",IF(INDEX('Per Invoice'!O$2:O$801,$W172)="","",INDEX('Per Invoice'!O$2:O$801,$W172)))</f>
        <v/>
      </c>
      <c r="P172">
        <f>IF($W172="","",IF(INDEX('Per Invoice'!P$2:P$801,$W172)="","",INDEX('Per Invoice'!P$2:P$801,$W172)))</f>
        <v/>
      </c>
      <c r="Q172" s="7">
        <f>IF($W172="","",IF(INDEX('Per Invoice'!Q$2:Q$801,$W172)="","",INDEX('Per Invoice'!Q$2:Q$801,$W172)))</f>
        <v/>
      </c>
      <c r="R172" s="7">
        <f>IF($W172="","",IF(INDEX('Per Invoice'!R$2:R$801,$W172)="","",INDEX('Per Invoice'!R$2:R$801,$W172)))</f>
        <v/>
      </c>
      <c r="S172" s="7">
        <f>IF($W172="","",IF(INDEX('Per Invoice'!S$2:S$801,$W172)="","",INDEX('Per Invoice'!S$2:S$801,$W172)))</f>
        <v/>
      </c>
      <c r="T172" s="7">
        <f>IF($W172="","",IF(INDEX('Per Invoice'!T$2:T$801,$W172)="","",INDEX('Per Invoice'!T$2:T$801,$W172)))</f>
        <v/>
      </c>
      <c r="U172" s="7">
        <f>IF($W172="","",IF(INDEX('Per Invoice'!U$2:U$801,$W172)="","",INDEX('Per Invoice'!U$2:U$801,$W172)))</f>
        <v/>
      </c>
      <c r="V172" s="7">
        <f>IF($W172="","",IF(INDEX('Per Invoice'!V$2:V$801,$W172)="","",INDEX('Per Invoice'!V$2:V$801,$W172)))</f>
        <v/>
      </c>
      <c r="W172" s="16">
        <f>IFERROR(MATCH(Settings!$C$29&amp;"|"&amp;ROWS($W$2:$W172),'Per Invoice'!$X$2:$X$801,0),"")</f>
        <v/>
      </c>
    </row>
    <row r="173">
      <c r="A173">
        <f>IF($W173="","",IF(INDEX('Per Invoice'!A$2:A$801,$W173)="","",INDEX('Per Invoice'!A$2:A$801,$W173)))</f>
        <v/>
      </c>
      <c r="B173">
        <f>IF($W173="","",IF(INDEX('Per Invoice'!B$2:B$801,$W173)="","",INDEX('Per Invoice'!B$2:B$801,$W173)))</f>
        <v/>
      </c>
      <c r="C173">
        <f>IF($W173="","",IF(INDEX('Per Invoice'!C$2:C$801,$W173)="","",INDEX('Per Invoice'!C$2:C$801,$W173)))</f>
        <v/>
      </c>
      <c r="D173">
        <f>IF($W173="","",IF(INDEX('Per Invoice'!D$2:D$801,$W173)="","",INDEX('Per Invoice'!D$2:D$801,$W173)))</f>
        <v/>
      </c>
      <c r="E173">
        <f>IF($W173="","",IF(INDEX('Per Invoice'!E$2:E$801,$W173)="","",INDEX('Per Invoice'!E$2:E$801,$W173)))</f>
        <v/>
      </c>
      <c r="F173">
        <f>IF($W173="","",IF(INDEX('Per Invoice'!F$2:F$801,$W173)="","",INDEX('Per Invoice'!F$2:F$801,$W173)))</f>
        <v/>
      </c>
      <c r="G173">
        <f>IF($W173="","",IF(INDEX('Per Invoice'!G$2:G$801,$W173)="","",INDEX('Per Invoice'!G$2:G$801,$W173)))</f>
        <v/>
      </c>
      <c r="H173">
        <f>IF($W173="","",IF(INDEX('Per Invoice'!H$2:H$801,$W173)="","",INDEX('Per Invoice'!H$2:H$801,$W173)))</f>
        <v/>
      </c>
      <c r="I173">
        <f>IF($W173="","",IF(INDEX('Per Invoice'!I$2:I$801,$W173)="","",INDEX('Per Invoice'!I$2:I$801,$W173)))</f>
        <v/>
      </c>
      <c r="J173">
        <f>IF($W173="","",IF(INDEX('Per Invoice'!J$2:J$801,$W173)="","",INDEX('Per Invoice'!J$2:J$801,$W173)))</f>
        <v/>
      </c>
      <c r="K173" s="7">
        <f>IF($W173="","",IF(INDEX('Per Invoice'!K$2:K$801,$W173)="","",INDEX('Per Invoice'!K$2:K$801,$W173)))</f>
        <v/>
      </c>
      <c r="L173" s="14">
        <f>IF($W173="","",IF(INDEX('Per Invoice'!L$2:L$801,$W173)="","",INDEX('Per Invoice'!L$2:L$801,$W173)))</f>
        <v/>
      </c>
      <c r="M173">
        <f>IF($W173="","",IF(INDEX('Per Invoice'!M$2:M$801,$W173)="","",INDEX('Per Invoice'!M$2:M$801,$W173)))</f>
        <v/>
      </c>
      <c r="N173" s="7">
        <f>IF($W173="","",IF(INDEX('Per Invoice'!N$2:N$801,$W173)="","",INDEX('Per Invoice'!N$2:N$801,$W173)))</f>
        <v/>
      </c>
      <c r="O173" s="7">
        <f>IF($W173="","",IF(INDEX('Per Invoice'!O$2:O$801,$W173)="","",INDEX('Per Invoice'!O$2:O$801,$W173)))</f>
        <v/>
      </c>
      <c r="P173">
        <f>IF($W173="","",IF(INDEX('Per Invoice'!P$2:P$801,$W173)="","",INDEX('Per Invoice'!P$2:P$801,$W173)))</f>
        <v/>
      </c>
      <c r="Q173" s="7">
        <f>IF($W173="","",IF(INDEX('Per Invoice'!Q$2:Q$801,$W173)="","",INDEX('Per Invoice'!Q$2:Q$801,$W173)))</f>
        <v/>
      </c>
      <c r="R173" s="7">
        <f>IF($W173="","",IF(INDEX('Per Invoice'!R$2:R$801,$W173)="","",INDEX('Per Invoice'!R$2:R$801,$W173)))</f>
        <v/>
      </c>
      <c r="S173" s="7">
        <f>IF($W173="","",IF(INDEX('Per Invoice'!S$2:S$801,$W173)="","",INDEX('Per Invoice'!S$2:S$801,$W173)))</f>
        <v/>
      </c>
      <c r="T173" s="7">
        <f>IF($W173="","",IF(INDEX('Per Invoice'!T$2:T$801,$W173)="","",INDEX('Per Invoice'!T$2:T$801,$W173)))</f>
        <v/>
      </c>
      <c r="U173" s="7">
        <f>IF($W173="","",IF(INDEX('Per Invoice'!U$2:U$801,$W173)="","",INDEX('Per Invoice'!U$2:U$801,$W173)))</f>
        <v/>
      </c>
      <c r="V173" s="7">
        <f>IF($W173="","",IF(INDEX('Per Invoice'!V$2:V$801,$W173)="","",INDEX('Per Invoice'!V$2:V$801,$W173)))</f>
        <v/>
      </c>
      <c r="W173" s="16">
        <f>IFERROR(MATCH(Settings!$C$29&amp;"|"&amp;ROWS($W$2:$W173),'Per Invoice'!$X$2:$X$801,0),"")</f>
        <v/>
      </c>
    </row>
    <row r="174">
      <c r="A174">
        <f>IF($W174="","",IF(INDEX('Per Invoice'!A$2:A$801,$W174)="","",INDEX('Per Invoice'!A$2:A$801,$W174)))</f>
        <v/>
      </c>
      <c r="B174">
        <f>IF($W174="","",IF(INDEX('Per Invoice'!B$2:B$801,$W174)="","",INDEX('Per Invoice'!B$2:B$801,$W174)))</f>
        <v/>
      </c>
      <c r="C174">
        <f>IF($W174="","",IF(INDEX('Per Invoice'!C$2:C$801,$W174)="","",INDEX('Per Invoice'!C$2:C$801,$W174)))</f>
        <v/>
      </c>
      <c r="D174">
        <f>IF($W174="","",IF(INDEX('Per Invoice'!D$2:D$801,$W174)="","",INDEX('Per Invoice'!D$2:D$801,$W174)))</f>
        <v/>
      </c>
      <c r="E174">
        <f>IF($W174="","",IF(INDEX('Per Invoice'!E$2:E$801,$W174)="","",INDEX('Per Invoice'!E$2:E$801,$W174)))</f>
        <v/>
      </c>
      <c r="F174">
        <f>IF($W174="","",IF(INDEX('Per Invoice'!F$2:F$801,$W174)="","",INDEX('Per Invoice'!F$2:F$801,$W174)))</f>
        <v/>
      </c>
      <c r="G174">
        <f>IF($W174="","",IF(INDEX('Per Invoice'!G$2:G$801,$W174)="","",INDEX('Per Invoice'!G$2:G$801,$W174)))</f>
        <v/>
      </c>
      <c r="H174">
        <f>IF($W174="","",IF(INDEX('Per Invoice'!H$2:H$801,$W174)="","",INDEX('Per Invoice'!H$2:H$801,$W174)))</f>
        <v/>
      </c>
      <c r="I174">
        <f>IF($W174="","",IF(INDEX('Per Invoice'!I$2:I$801,$W174)="","",INDEX('Per Invoice'!I$2:I$801,$W174)))</f>
        <v/>
      </c>
      <c r="J174">
        <f>IF($W174="","",IF(INDEX('Per Invoice'!J$2:J$801,$W174)="","",INDEX('Per Invoice'!J$2:J$801,$W174)))</f>
        <v/>
      </c>
      <c r="K174" s="7">
        <f>IF($W174="","",IF(INDEX('Per Invoice'!K$2:K$801,$W174)="","",INDEX('Per Invoice'!K$2:K$801,$W174)))</f>
        <v/>
      </c>
      <c r="L174" s="14">
        <f>IF($W174="","",IF(INDEX('Per Invoice'!L$2:L$801,$W174)="","",INDEX('Per Invoice'!L$2:L$801,$W174)))</f>
        <v/>
      </c>
      <c r="M174">
        <f>IF($W174="","",IF(INDEX('Per Invoice'!M$2:M$801,$W174)="","",INDEX('Per Invoice'!M$2:M$801,$W174)))</f>
        <v/>
      </c>
      <c r="N174" s="7">
        <f>IF($W174="","",IF(INDEX('Per Invoice'!N$2:N$801,$W174)="","",INDEX('Per Invoice'!N$2:N$801,$W174)))</f>
        <v/>
      </c>
      <c r="O174" s="7">
        <f>IF($W174="","",IF(INDEX('Per Invoice'!O$2:O$801,$W174)="","",INDEX('Per Invoice'!O$2:O$801,$W174)))</f>
        <v/>
      </c>
      <c r="P174">
        <f>IF($W174="","",IF(INDEX('Per Invoice'!P$2:P$801,$W174)="","",INDEX('Per Invoice'!P$2:P$801,$W174)))</f>
        <v/>
      </c>
      <c r="Q174" s="7">
        <f>IF($W174="","",IF(INDEX('Per Invoice'!Q$2:Q$801,$W174)="","",INDEX('Per Invoice'!Q$2:Q$801,$W174)))</f>
        <v/>
      </c>
      <c r="R174" s="7">
        <f>IF($W174="","",IF(INDEX('Per Invoice'!R$2:R$801,$W174)="","",INDEX('Per Invoice'!R$2:R$801,$W174)))</f>
        <v/>
      </c>
      <c r="S174" s="7">
        <f>IF($W174="","",IF(INDEX('Per Invoice'!S$2:S$801,$W174)="","",INDEX('Per Invoice'!S$2:S$801,$W174)))</f>
        <v/>
      </c>
      <c r="T174" s="7">
        <f>IF($W174="","",IF(INDEX('Per Invoice'!T$2:T$801,$W174)="","",INDEX('Per Invoice'!T$2:T$801,$W174)))</f>
        <v/>
      </c>
      <c r="U174" s="7">
        <f>IF($W174="","",IF(INDEX('Per Invoice'!U$2:U$801,$W174)="","",INDEX('Per Invoice'!U$2:U$801,$W174)))</f>
        <v/>
      </c>
      <c r="V174" s="7">
        <f>IF($W174="","",IF(INDEX('Per Invoice'!V$2:V$801,$W174)="","",INDEX('Per Invoice'!V$2:V$801,$W174)))</f>
        <v/>
      </c>
      <c r="W174" s="16">
        <f>IFERROR(MATCH(Settings!$C$29&amp;"|"&amp;ROWS($W$2:$W174),'Per Invoice'!$X$2:$X$801,0),"")</f>
        <v/>
      </c>
    </row>
    <row r="175">
      <c r="A175">
        <f>IF($W175="","",IF(INDEX('Per Invoice'!A$2:A$801,$W175)="","",INDEX('Per Invoice'!A$2:A$801,$W175)))</f>
        <v/>
      </c>
      <c r="B175">
        <f>IF($W175="","",IF(INDEX('Per Invoice'!B$2:B$801,$W175)="","",INDEX('Per Invoice'!B$2:B$801,$W175)))</f>
        <v/>
      </c>
      <c r="C175">
        <f>IF($W175="","",IF(INDEX('Per Invoice'!C$2:C$801,$W175)="","",INDEX('Per Invoice'!C$2:C$801,$W175)))</f>
        <v/>
      </c>
      <c r="D175">
        <f>IF($W175="","",IF(INDEX('Per Invoice'!D$2:D$801,$W175)="","",INDEX('Per Invoice'!D$2:D$801,$W175)))</f>
        <v/>
      </c>
      <c r="E175">
        <f>IF($W175="","",IF(INDEX('Per Invoice'!E$2:E$801,$W175)="","",INDEX('Per Invoice'!E$2:E$801,$W175)))</f>
        <v/>
      </c>
      <c r="F175">
        <f>IF($W175="","",IF(INDEX('Per Invoice'!F$2:F$801,$W175)="","",INDEX('Per Invoice'!F$2:F$801,$W175)))</f>
        <v/>
      </c>
      <c r="G175">
        <f>IF($W175="","",IF(INDEX('Per Invoice'!G$2:G$801,$W175)="","",INDEX('Per Invoice'!G$2:G$801,$W175)))</f>
        <v/>
      </c>
      <c r="H175">
        <f>IF($W175="","",IF(INDEX('Per Invoice'!H$2:H$801,$W175)="","",INDEX('Per Invoice'!H$2:H$801,$W175)))</f>
        <v/>
      </c>
      <c r="I175">
        <f>IF($W175="","",IF(INDEX('Per Invoice'!I$2:I$801,$W175)="","",INDEX('Per Invoice'!I$2:I$801,$W175)))</f>
        <v/>
      </c>
      <c r="J175">
        <f>IF($W175="","",IF(INDEX('Per Invoice'!J$2:J$801,$W175)="","",INDEX('Per Invoice'!J$2:J$801,$W175)))</f>
        <v/>
      </c>
      <c r="K175" s="7">
        <f>IF($W175="","",IF(INDEX('Per Invoice'!K$2:K$801,$W175)="","",INDEX('Per Invoice'!K$2:K$801,$W175)))</f>
        <v/>
      </c>
      <c r="L175" s="14">
        <f>IF($W175="","",IF(INDEX('Per Invoice'!L$2:L$801,$W175)="","",INDEX('Per Invoice'!L$2:L$801,$W175)))</f>
        <v/>
      </c>
      <c r="M175">
        <f>IF($W175="","",IF(INDEX('Per Invoice'!M$2:M$801,$W175)="","",INDEX('Per Invoice'!M$2:M$801,$W175)))</f>
        <v/>
      </c>
      <c r="N175" s="7">
        <f>IF($W175="","",IF(INDEX('Per Invoice'!N$2:N$801,$W175)="","",INDEX('Per Invoice'!N$2:N$801,$W175)))</f>
        <v/>
      </c>
      <c r="O175" s="7">
        <f>IF($W175="","",IF(INDEX('Per Invoice'!O$2:O$801,$W175)="","",INDEX('Per Invoice'!O$2:O$801,$W175)))</f>
        <v/>
      </c>
      <c r="P175">
        <f>IF($W175="","",IF(INDEX('Per Invoice'!P$2:P$801,$W175)="","",INDEX('Per Invoice'!P$2:P$801,$W175)))</f>
        <v/>
      </c>
      <c r="Q175" s="7">
        <f>IF($W175="","",IF(INDEX('Per Invoice'!Q$2:Q$801,$W175)="","",INDEX('Per Invoice'!Q$2:Q$801,$W175)))</f>
        <v/>
      </c>
      <c r="R175" s="7">
        <f>IF($W175="","",IF(INDEX('Per Invoice'!R$2:R$801,$W175)="","",INDEX('Per Invoice'!R$2:R$801,$W175)))</f>
        <v/>
      </c>
      <c r="S175" s="7">
        <f>IF($W175="","",IF(INDEX('Per Invoice'!S$2:S$801,$W175)="","",INDEX('Per Invoice'!S$2:S$801,$W175)))</f>
        <v/>
      </c>
      <c r="T175" s="7">
        <f>IF($W175="","",IF(INDEX('Per Invoice'!T$2:T$801,$W175)="","",INDEX('Per Invoice'!T$2:T$801,$W175)))</f>
        <v/>
      </c>
      <c r="U175" s="7">
        <f>IF($W175="","",IF(INDEX('Per Invoice'!U$2:U$801,$W175)="","",INDEX('Per Invoice'!U$2:U$801,$W175)))</f>
        <v/>
      </c>
      <c r="V175" s="7">
        <f>IF($W175="","",IF(INDEX('Per Invoice'!V$2:V$801,$W175)="","",INDEX('Per Invoice'!V$2:V$801,$W175)))</f>
        <v/>
      </c>
      <c r="W175" s="16">
        <f>IFERROR(MATCH(Settings!$C$29&amp;"|"&amp;ROWS($W$2:$W175),'Per Invoice'!$X$2:$X$801,0),"")</f>
        <v/>
      </c>
    </row>
    <row r="176">
      <c r="A176">
        <f>IF($W176="","",IF(INDEX('Per Invoice'!A$2:A$801,$W176)="","",INDEX('Per Invoice'!A$2:A$801,$W176)))</f>
        <v/>
      </c>
      <c r="B176">
        <f>IF($W176="","",IF(INDEX('Per Invoice'!B$2:B$801,$W176)="","",INDEX('Per Invoice'!B$2:B$801,$W176)))</f>
        <v/>
      </c>
      <c r="C176">
        <f>IF($W176="","",IF(INDEX('Per Invoice'!C$2:C$801,$W176)="","",INDEX('Per Invoice'!C$2:C$801,$W176)))</f>
        <v/>
      </c>
      <c r="D176">
        <f>IF($W176="","",IF(INDEX('Per Invoice'!D$2:D$801,$W176)="","",INDEX('Per Invoice'!D$2:D$801,$W176)))</f>
        <v/>
      </c>
      <c r="E176">
        <f>IF($W176="","",IF(INDEX('Per Invoice'!E$2:E$801,$W176)="","",INDEX('Per Invoice'!E$2:E$801,$W176)))</f>
        <v/>
      </c>
      <c r="F176">
        <f>IF($W176="","",IF(INDEX('Per Invoice'!F$2:F$801,$W176)="","",INDEX('Per Invoice'!F$2:F$801,$W176)))</f>
        <v/>
      </c>
      <c r="G176">
        <f>IF($W176="","",IF(INDEX('Per Invoice'!G$2:G$801,$W176)="","",INDEX('Per Invoice'!G$2:G$801,$W176)))</f>
        <v/>
      </c>
      <c r="H176">
        <f>IF($W176="","",IF(INDEX('Per Invoice'!H$2:H$801,$W176)="","",INDEX('Per Invoice'!H$2:H$801,$W176)))</f>
        <v/>
      </c>
      <c r="I176">
        <f>IF($W176="","",IF(INDEX('Per Invoice'!I$2:I$801,$W176)="","",INDEX('Per Invoice'!I$2:I$801,$W176)))</f>
        <v/>
      </c>
      <c r="J176">
        <f>IF($W176="","",IF(INDEX('Per Invoice'!J$2:J$801,$W176)="","",INDEX('Per Invoice'!J$2:J$801,$W176)))</f>
        <v/>
      </c>
      <c r="K176" s="7">
        <f>IF($W176="","",IF(INDEX('Per Invoice'!K$2:K$801,$W176)="","",INDEX('Per Invoice'!K$2:K$801,$W176)))</f>
        <v/>
      </c>
      <c r="L176" s="14">
        <f>IF($W176="","",IF(INDEX('Per Invoice'!L$2:L$801,$W176)="","",INDEX('Per Invoice'!L$2:L$801,$W176)))</f>
        <v/>
      </c>
      <c r="M176">
        <f>IF($W176="","",IF(INDEX('Per Invoice'!M$2:M$801,$W176)="","",INDEX('Per Invoice'!M$2:M$801,$W176)))</f>
        <v/>
      </c>
      <c r="N176" s="7">
        <f>IF($W176="","",IF(INDEX('Per Invoice'!N$2:N$801,$W176)="","",INDEX('Per Invoice'!N$2:N$801,$W176)))</f>
        <v/>
      </c>
      <c r="O176" s="7">
        <f>IF($W176="","",IF(INDEX('Per Invoice'!O$2:O$801,$W176)="","",INDEX('Per Invoice'!O$2:O$801,$W176)))</f>
        <v/>
      </c>
      <c r="P176">
        <f>IF($W176="","",IF(INDEX('Per Invoice'!P$2:P$801,$W176)="","",INDEX('Per Invoice'!P$2:P$801,$W176)))</f>
        <v/>
      </c>
      <c r="Q176" s="7">
        <f>IF($W176="","",IF(INDEX('Per Invoice'!Q$2:Q$801,$W176)="","",INDEX('Per Invoice'!Q$2:Q$801,$W176)))</f>
        <v/>
      </c>
      <c r="R176" s="7">
        <f>IF($W176="","",IF(INDEX('Per Invoice'!R$2:R$801,$W176)="","",INDEX('Per Invoice'!R$2:R$801,$W176)))</f>
        <v/>
      </c>
      <c r="S176" s="7">
        <f>IF($W176="","",IF(INDEX('Per Invoice'!S$2:S$801,$W176)="","",INDEX('Per Invoice'!S$2:S$801,$W176)))</f>
        <v/>
      </c>
      <c r="T176" s="7">
        <f>IF($W176="","",IF(INDEX('Per Invoice'!T$2:T$801,$W176)="","",INDEX('Per Invoice'!T$2:T$801,$W176)))</f>
        <v/>
      </c>
      <c r="U176" s="7">
        <f>IF($W176="","",IF(INDEX('Per Invoice'!U$2:U$801,$W176)="","",INDEX('Per Invoice'!U$2:U$801,$W176)))</f>
        <v/>
      </c>
      <c r="V176" s="7">
        <f>IF($W176="","",IF(INDEX('Per Invoice'!V$2:V$801,$W176)="","",INDEX('Per Invoice'!V$2:V$801,$W176)))</f>
        <v/>
      </c>
      <c r="W176" s="16">
        <f>IFERROR(MATCH(Settings!$C$29&amp;"|"&amp;ROWS($W$2:$W176),'Per Invoice'!$X$2:$X$801,0),"")</f>
        <v/>
      </c>
    </row>
    <row r="177">
      <c r="A177">
        <f>IF($W177="","",IF(INDEX('Per Invoice'!A$2:A$801,$W177)="","",INDEX('Per Invoice'!A$2:A$801,$W177)))</f>
        <v/>
      </c>
      <c r="B177">
        <f>IF($W177="","",IF(INDEX('Per Invoice'!B$2:B$801,$W177)="","",INDEX('Per Invoice'!B$2:B$801,$W177)))</f>
        <v/>
      </c>
      <c r="C177">
        <f>IF($W177="","",IF(INDEX('Per Invoice'!C$2:C$801,$W177)="","",INDEX('Per Invoice'!C$2:C$801,$W177)))</f>
        <v/>
      </c>
      <c r="D177">
        <f>IF($W177="","",IF(INDEX('Per Invoice'!D$2:D$801,$W177)="","",INDEX('Per Invoice'!D$2:D$801,$W177)))</f>
        <v/>
      </c>
      <c r="E177">
        <f>IF($W177="","",IF(INDEX('Per Invoice'!E$2:E$801,$W177)="","",INDEX('Per Invoice'!E$2:E$801,$W177)))</f>
        <v/>
      </c>
      <c r="F177">
        <f>IF($W177="","",IF(INDEX('Per Invoice'!F$2:F$801,$W177)="","",INDEX('Per Invoice'!F$2:F$801,$W177)))</f>
        <v/>
      </c>
      <c r="G177">
        <f>IF($W177="","",IF(INDEX('Per Invoice'!G$2:G$801,$W177)="","",INDEX('Per Invoice'!G$2:G$801,$W177)))</f>
        <v/>
      </c>
      <c r="H177">
        <f>IF($W177="","",IF(INDEX('Per Invoice'!H$2:H$801,$W177)="","",INDEX('Per Invoice'!H$2:H$801,$W177)))</f>
        <v/>
      </c>
      <c r="I177">
        <f>IF($W177="","",IF(INDEX('Per Invoice'!I$2:I$801,$W177)="","",INDEX('Per Invoice'!I$2:I$801,$W177)))</f>
        <v/>
      </c>
      <c r="J177">
        <f>IF($W177="","",IF(INDEX('Per Invoice'!J$2:J$801,$W177)="","",INDEX('Per Invoice'!J$2:J$801,$W177)))</f>
        <v/>
      </c>
      <c r="K177" s="7">
        <f>IF($W177="","",IF(INDEX('Per Invoice'!K$2:K$801,$W177)="","",INDEX('Per Invoice'!K$2:K$801,$W177)))</f>
        <v/>
      </c>
      <c r="L177" s="14">
        <f>IF($W177="","",IF(INDEX('Per Invoice'!L$2:L$801,$W177)="","",INDEX('Per Invoice'!L$2:L$801,$W177)))</f>
        <v/>
      </c>
      <c r="M177">
        <f>IF($W177="","",IF(INDEX('Per Invoice'!M$2:M$801,$W177)="","",INDEX('Per Invoice'!M$2:M$801,$W177)))</f>
        <v/>
      </c>
      <c r="N177" s="7">
        <f>IF($W177="","",IF(INDEX('Per Invoice'!N$2:N$801,$W177)="","",INDEX('Per Invoice'!N$2:N$801,$W177)))</f>
        <v/>
      </c>
      <c r="O177" s="7">
        <f>IF($W177="","",IF(INDEX('Per Invoice'!O$2:O$801,$W177)="","",INDEX('Per Invoice'!O$2:O$801,$W177)))</f>
        <v/>
      </c>
      <c r="P177">
        <f>IF($W177="","",IF(INDEX('Per Invoice'!P$2:P$801,$W177)="","",INDEX('Per Invoice'!P$2:P$801,$W177)))</f>
        <v/>
      </c>
      <c r="Q177" s="7">
        <f>IF($W177="","",IF(INDEX('Per Invoice'!Q$2:Q$801,$W177)="","",INDEX('Per Invoice'!Q$2:Q$801,$W177)))</f>
        <v/>
      </c>
      <c r="R177" s="7">
        <f>IF($W177="","",IF(INDEX('Per Invoice'!R$2:R$801,$W177)="","",INDEX('Per Invoice'!R$2:R$801,$W177)))</f>
        <v/>
      </c>
      <c r="S177" s="7">
        <f>IF($W177="","",IF(INDEX('Per Invoice'!S$2:S$801,$W177)="","",INDEX('Per Invoice'!S$2:S$801,$W177)))</f>
        <v/>
      </c>
      <c r="T177" s="7">
        <f>IF($W177="","",IF(INDEX('Per Invoice'!T$2:T$801,$W177)="","",INDEX('Per Invoice'!T$2:T$801,$W177)))</f>
        <v/>
      </c>
      <c r="U177" s="7">
        <f>IF($W177="","",IF(INDEX('Per Invoice'!U$2:U$801,$W177)="","",INDEX('Per Invoice'!U$2:U$801,$W177)))</f>
        <v/>
      </c>
      <c r="V177" s="7">
        <f>IF($W177="","",IF(INDEX('Per Invoice'!V$2:V$801,$W177)="","",INDEX('Per Invoice'!V$2:V$801,$W177)))</f>
        <v/>
      </c>
      <c r="W177" s="16">
        <f>IFERROR(MATCH(Settings!$C$29&amp;"|"&amp;ROWS($W$2:$W177),'Per Invoice'!$X$2:$X$801,0),"")</f>
        <v/>
      </c>
    </row>
    <row r="178">
      <c r="A178">
        <f>IF($W178="","",IF(INDEX('Per Invoice'!A$2:A$801,$W178)="","",INDEX('Per Invoice'!A$2:A$801,$W178)))</f>
        <v/>
      </c>
      <c r="B178">
        <f>IF($W178="","",IF(INDEX('Per Invoice'!B$2:B$801,$W178)="","",INDEX('Per Invoice'!B$2:B$801,$W178)))</f>
        <v/>
      </c>
      <c r="C178">
        <f>IF($W178="","",IF(INDEX('Per Invoice'!C$2:C$801,$W178)="","",INDEX('Per Invoice'!C$2:C$801,$W178)))</f>
        <v/>
      </c>
      <c r="D178">
        <f>IF($W178="","",IF(INDEX('Per Invoice'!D$2:D$801,$W178)="","",INDEX('Per Invoice'!D$2:D$801,$W178)))</f>
        <v/>
      </c>
      <c r="E178">
        <f>IF($W178="","",IF(INDEX('Per Invoice'!E$2:E$801,$W178)="","",INDEX('Per Invoice'!E$2:E$801,$W178)))</f>
        <v/>
      </c>
      <c r="F178">
        <f>IF($W178="","",IF(INDEX('Per Invoice'!F$2:F$801,$W178)="","",INDEX('Per Invoice'!F$2:F$801,$W178)))</f>
        <v/>
      </c>
      <c r="G178">
        <f>IF($W178="","",IF(INDEX('Per Invoice'!G$2:G$801,$W178)="","",INDEX('Per Invoice'!G$2:G$801,$W178)))</f>
        <v/>
      </c>
      <c r="H178">
        <f>IF($W178="","",IF(INDEX('Per Invoice'!H$2:H$801,$W178)="","",INDEX('Per Invoice'!H$2:H$801,$W178)))</f>
        <v/>
      </c>
      <c r="I178">
        <f>IF($W178="","",IF(INDEX('Per Invoice'!I$2:I$801,$W178)="","",INDEX('Per Invoice'!I$2:I$801,$W178)))</f>
        <v/>
      </c>
      <c r="J178">
        <f>IF($W178="","",IF(INDEX('Per Invoice'!J$2:J$801,$W178)="","",INDEX('Per Invoice'!J$2:J$801,$W178)))</f>
        <v/>
      </c>
      <c r="K178" s="7">
        <f>IF($W178="","",IF(INDEX('Per Invoice'!K$2:K$801,$W178)="","",INDEX('Per Invoice'!K$2:K$801,$W178)))</f>
        <v/>
      </c>
      <c r="L178" s="14">
        <f>IF($W178="","",IF(INDEX('Per Invoice'!L$2:L$801,$W178)="","",INDEX('Per Invoice'!L$2:L$801,$W178)))</f>
        <v/>
      </c>
      <c r="M178">
        <f>IF($W178="","",IF(INDEX('Per Invoice'!M$2:M$801,$W178)="","",INDEX('Per Invoice'!M$2:M$801,$W178)))</f>
        <v/>
      </c>
      <c r="N178" s="7">
        <f>IF($W178="","",IF(INDEX('Per Invoice'!N$2:N$801,$W178)="","",INDEX('Per Invoice'!N$2:N$801,$W178)))</f>
        <v/>
      </c>
      <c r="O178" s="7">
        <f>IF($W178="","",IF(INDEX('Per Invoice'!O$2:O$801,$W178)="","",INDEX('Per Invoice'!O$2:O$801,$W178)))</f>
        <v/>
      </c>
      <c r="P178">
        <f>IF($W178="","",IF(INDEX('Per Invoice'!P$2:P$801,$W178)="","",INDEX('Per Invoice'!P$2:P$801,$W178)))</f>
        <v/>
      </c>
      <c r="Q178" s="7">
        <f>IF($W178="","",IF(INDEX('Per Invoice'!Q$2:Q$801,$W178)="","",INDEX('Per Invoice'!Q$2:Q$801,$W178)))</f>
        <v/>
      </c>
      <c r="R178" s="7">
        <f>IF($W178="","",IF(INDEX('Per Invoice'!R$2:R$801,$W178)="","",INDEX('Per Invoice'!R$2:R$801,$W178)))</f>
        <v/>
      </c>
      <c r="S178" s="7">
        <f>IF($W178="","",IF(INDEX('Per Invoice'!S$2:S$801,$W178)="","",INDEX('Per Invoice'!S$2:S$801,$W178)))</f>
        <v/>
      </c>
      <c r="T178" s="7">
        <f>IF($W178="","",IF(INDEX('Per Invoice'!T$2:T$801,$W178)="","",INDEX('Per Invoice'!T$2:T$801,$W178)))</f>
        <v/>
      </c>
      <c r="U178" s="7">
        <f>IF($W178="","",IF(INDEX('Per Invoice'!U$2:U$801,$W178)="","",INDEX('Per Invoice'!U$2:U$801,$W178)))</f>
        <v/>
      </c>
      <c r="V178" s="7">
        <f>IF($W178="","",IF(INDEX('Per Invoice'!V$2:V$801,$W178)="","",INDEX('Per Invoice'!V$2:V$801,$W178)))</f>
        <v/>
      </c>
      <c r="W178" s="16">
        <f>IFERROR(MATCH(Settings!$C$29&amp;"|"&amp;ROWS($W$2:$W178),'Per Invoice'!$X$2:$X$801,0),"")</f>
        <v/>
      </c>
    </row>
    <row r="179">
      <c r="A179">
        <f>IF($W179="","",IF(INDEX('Per Invoice'!A$2:A$801,$W179)="","",INDEX('Per Invoice'!A$2:A$801,$W179)))</f>
        <v/>
      </c>
      <c r="B179">
        <f>IF($W179="","",IF(INDEX('Per Invoice'!B$2:B$801,$W179)="","",INDEX('Per Invoice'!B$2:B$801,$W179)))</f>
        <v/>
      </c>
      <c r="C179">
        <f>IF($W179="","",IF(INDEX('Per Invoice'!C$2:C$801,$W179)="","",INDEX('Per Invoice'!C$2:C$801,$W179)))</f>
        <v/>
      </c>
      <c r="D179">
        <f>IF($W179="","",IF(INDEX('Per Invoice'!D$2:D$801,$W179)="","",INDEX('Per Invoice'!D$2:D$801,$W179)))</f>
        <v/>
      </c>
      <c r="E179">
        <f>IF($W179="","",IF(INDEX('Per Invoice'!E$2:E$801,$W179)="","",INDEX('Per Invoice'!E$2:E$801,$W179)))</f>
        <v/>
      </c>
      <c r="F179">
        <f>IF($W179="","",IF(INDEX('Per Invoice'!F$2:F$801,$W179)="","",INDEX('Per Invoice'!F$2:F$801,$W179)))</f>
        <v/>
      </c>
      <c r="G179">
        <f>IF($W179="","",IF(INDEX('Per Invoice'!G$2:G$801,$W179)="","",INDEX('Per Invoice'!G$2:G$801,$W179)))</f>
        <v/>
      </c>
      <c r="H179">
        <f>IF($W179="","",IF(INDEX('Per Invoice'!H$2:H$801,$W179)="","",INDEX('Per Invoice'!H$2:H$801,$W179)))</f>
        <v/>
      </c>
      <c r="I179">
        <f>IF($W179="","",IF(INDEX('Per Invoice'!I$2:I$801,$W179)="","",INDEX('Per Invoice'!I$2:I$801,$W179)))</f>
        <v/>
      </c>
      <c r="J179">
        <f>IF($W179="","",IF(INDEX('Per Invoice'!J$2:J$801,$W179)="","",INDEX('Per Invoice'!J$2:J$801,$W179)))</f>
        <v/>
      </c>
      <c r="K179" s="7">
        <f>IF($W179="","",IF(INDEX('Per Invoice'!K$2:K$801,$W179)="","",INDEX('Per Invoice'!K$2:K$801,$W179)))</f>
        <v/>
      </c>
      <c r="L179" s="14">
        <f>IF($W179="","",IF(INDEX('Per Invoice'!L$2:L$801,$W179)="","",INDEX('Per Invoice'!L$2:L$801,$W179)))</f>
        <v/>
      </c>
      <c r="M179">
        <f>IF($W179="","",IF(INDEX('Per Invoice'!M$2:M$801,$W179)="","",INDEX('Per Invoice'!M$2:M$801,$W179)))</f>
        <v/>
      </c>
      <c r="N179" s="7">
        <f>IF($W179="","",IF(INDEX('Per Invoice'!N$2:N$801,$W179)="","",INDEX('Per Invoice'!N$2:N$801,$W179)))</f>
        <v/>
      </c>
      <c r="O179" s="7">
        <f>IF($W179="","",IF(INDEX('Per Invoice'!O$2:O$801,$W179)="","",INDEX('Per Invoice'!O$2:O$801,$W179)))</f>
        <v/>
      </c>
      <c r="P179">
        <f>IF($W179="","",IF(INDEX('Per Invoice'!P$2:P$801,$W179)="","",INDEX('Per Invoice'!P$2:P$801,$W179)))</f>
        <v/>
      </c>
      <c r="Q179" s="7">
        <f>IF($W179="","",IF(INDEX('Per Invoice'!Q$2:Q$801,$W179)="","",INDEX('Per Invoice'!Q$2:Q$801,$W179)))</f>
        <v/>
      </c>
      <c r="R179" s="7">
        <f>IF($W179="","",IF(INDEX('Per Invoice'!R$2:R$801,$W179)="","",INDEX('Per Invoice'!R$2:R$801,$W179)))</f>
        <v/>
      </c>
      <c r="S179" s="7">
        <f>IF($W179="","",IF(INDEX('Per Invoice'!S$2:S$801,$W179)="","",INDEX('Per Invoice'!S$2:S$801,$W179)))</f>
        <v/>
      </c>
      <c r="T179" s="7">
        <f>IF($W179="","",IF(INDEX('Per Invoice'!T$2:T$801,$W179)="","",INDEX('Per Invoice'!T$2:T$801,$W179)))</f>
        <v/>
      </c>
      <c r="U179" s="7">
        <f>IF($W179="","",IF(INDEX('Per Invoice'!U$2:U$801,$W179)="","",INDEX('Per Invoice'!U$2:U$801,$W179)))</f>
        <v/>
      </c>
      <c r="V179" s="7">
        <f>IF($W179="","",IF(INDEX('Per Invoice'!V$2:V$801,$W179)="","",INDEX('Per Invoice'!V$2:V$801,$W179)))</f>
        <v/>
      </c>
      <c r="W179" s="16">
        <f>IFERROR(MATCH(Settings!$C$29&amp;"|"&amp;ROWS($W$2:$W179),'Per Invoice'!$X$2:$X$801,0),"")</f>
        <v/>
      </c>
    </row>
    <row r="180">
      <c r="A180">
        <f>IF($W180="","",IF(INDEX('Per Invoice'!A$2:A$801,$W180)="","",INDEX('Per Invoice'!A$2:A$801,$W180)))</f>
        <v/>
      </c>
      <c r="B180">
        <f>IF($W180="","",IF(INDEX('Per Invoice'!B$2:B$801,$W180)="","",INDEX('Per Invoice'!B$2:B$801,$W180)))</f>
        <v/>
      </c>
      <c r="C180">
        <f>IF($W180="","",IF(INDEX('Per Invoice'!C$2:C$801,$W180)="","",INDEX('Per Invoice'!C$2:C$801,$W180)))</f>
        <v/>
      </c>
      <c r="D180">
        <f>IF($W180="","",IF(INDEX('Per Invoice'!D$2:D$801,$W180)="","",INDEX('Per Invoice'!D$2:D$801,$W180)))</f>
        <v/>
      </c>
      <c r="E180">
        <f>IF($W180="","",IF(INDEX('Per Invoice'!E$2:E$801,$W180)="","",INDEX('Per Invoice'!E$2:E$801,$W180)))</f>
        <v/>
      </c>
      <c r="F180">
        <f>IF($W180="","",IF(INDEX('Per Invoice'!F$2:F$801,$W180)="","",INDEX('Per Invoice'!F$2:F$801,$W180)))</f>
        <v/>
      </c>
      <c r="G180">
        <f>IF($W180="","",IF(INDEX('Per Invoice'!G$2:G$801,$W180)="","",INDEX('Per Invoice'!G$2:G$801,$W180)))</f>
        <v/>
      </c>
      <c r="H180">
        <f>IF($W180="","",IF(INDEX('Per Invoice'!H$2:H$801,$W180)="","",INDEX('Per Invoice'!H$2:H$801,$W180)))</f>
        <v/>
      </c>
      <c r="I180">
        <f>IF($W180="","",IF(INDEX('Per Invoice'!I$2:I$801,$W180)="","",INDEX('Per Invoice'!I$2:I$801,$W180)))</f>
        <v/>
      </c>
      <c r="J180">
        <f>IF($W180="","",IF(INDEX('Per Invoice'!J$2:J$801,$W180)="","",INDEX('Per Invoice'!J$2:J$801,$W180)))</f>
        <v/>
      </c>
      <c r="K180" s="7">
        <f>IF($W180="","",IF(INDEX('Per Invoice'!K$2:K$801,$W180)="","",INDEX('Per Invoice'!K$2:K$801,$W180)))</f>
        <v/>
      </c>
      <c r="L180" s="14">
        <f>IF($W180="","",IF(INDEX('Per Invoice'!L$2:L$801,$W180)="","",INDEX('Per Invoice'!L$2:L$801,$W180)))</f>
        <v/>
      </c>
      <c r="M180">
        <f>IF($W180="","",IF(INDEX('Per Invoice'!M$2:M$801,$W180)="","",INDEX('Per Invoice'!M$2:M$801,$W180)))</f>
        <v/>
      </c>
      <c r="N180" s="7">
        <f>IF($W180="","",IF(INDEX('Per Invoice'!N$2:N$801,$W180)="","",INDEX('Per Invoice'!N$2:N$801,$W180)))</f>
        <v/>
      </c>
      <c r="O180" s="7">
        <f>IF($W180="","",IF(INDEX('Per Invoice'!O$2:O$801,$W180)="","",INDEX('Per Invoice'!O$2:O$801,$W180)))</f>
        <v/>
      </c>
      <c r="P180">
        <f>IF($W180="","",IF(INDEX('Per Invoice'!P$2:P$801,$W180)="","",INDEX('Per Invoice'!P$2:P$801,$W180)))</f>
        <v/>
      </c>
      <c r="Q180" s="7">
        <f>IF($W180="","",IF(INDEX('Per Invoice'!Q$2:Q$801,$W180)="","",INDEX('Per Invoice'!Q$2:Q$801,$W180)))</f>
        <v/>
      </c>
      <c r="R180" s="7">
        <f>IF($W180="","",IF(INDEX('Per Invoice'!R$2:R$801,$W180)="","",INDEX('Per Invoice'!R$2:R$801,$W180)))</f>
        <v/>
      </c>
      <c r="S180" s="7">
        <f>IF($W180="","",IF(INDEX('Per Invoice'!S$2:S$801,$W180)="","",INDEX('Per Invoice'!S$2:S$801,$W180)))</f>
        <v/>
      </c>
      <c r="T180" s="7">
        <f>IF($W180="","",IF(INDEX('Per Invoice'!T$2:T$801,$W180)="","",INDEX('Per Invoice'!T$2:T$801,$W180)))</f>
        <v/>
      </c>
      <c r="U180" s="7">
        <f>IF($W180="","",IF(INDEX('Per Invoice'!U$2:U$801,$W180)="","",INDEX('Per Invoice'!U$2:U$801,$W180)))</f>
        <v/>
      </c>
      <c r="V180" s="7">
        <f>IF($W180="","",IF(INDEX('Per Invoice'!V$2:V$801,$W180)="","",INDEX('Per Invoice'!V$2:V$801,$W180)))</f>
        <v/>
      </c>
      <c r="W180" s="16">
        <f>IFERROR(MATCH(Settings!$C$29&amp;"|"&amp;ROWS($W$2:$W180),'Per Invoice'!$X$2:$X$801,0),"")</f>
        <v/>
      </c>
    </row>
    <row r="181">
      <c r="A181">
        <f>IF($W181="","",IF(INDEX('Per Invoice'!A$2:A$801,$W181)="","",INDEX('Per Invoice'!A$2:A$801,$W181)))</f>
        <v/>
      </c>
      <c r="B181">
        <f>IF($W181="","",IF(INDEX('Per Invoice'!B$2:B$801,$W181)="","",INDEX('Per Invoice'!B$2:B$801,$W181)))</f>
        <v/>
      </c>
      <c r="C181">
        <f>IF($W181="","",IF(INDEX('Per Invoice'!C$2:C$801,$W181)="","",INDEX('Per Invoice'!C$2:C$801,$W181)))</f>
        <v/>
      </c>
      <c r="D181">
        <f>IF($W181="","",IF(INDEX('Per Invoice'!D$2:D$801,$W181)="","",INDEX('Per Invoice'!D$2:D$801,$W181)))</f>
        <v/>
      </c>
      <c r="E181">
        <f>IF($W181="","",IF(INDEX('Per Invoice'!E$2:E$801,$W181)="","",INDEX('Per Invoice'!E$2:E$801,$W181)))</f>
        <v/>
      </c>
      <c r="F181">
        <f>IF($W181="","",IF(INDEX('Per Invoice'!F$2:F$801,$W181)="","",INDEX('Per Invoice'!F$2:F$801,$W181)))</f>
        <v/>
      </c>
      <c r="G181">
        <f>IF($W181="","",IF(INDEX('Per Invoice'!G$2:G$801,$W181)="","",INDEX('Per Invoice'!G$2:G$801,$W181)))</f>
        <v/>
      </c>
      <c r="H181">
        <f>IF($W181="","",IF(INDEX('Per Invoice'!H$2:H$801,$W181)="","",INDEX('Per Invoice'!H$2:H$801,$W181)))</f>
        <v/>
      </c>
      <c r="I181">
        <f>IF($W181="","",IF(INDEX('Per Invoice'!I$2:I$801,$W181)="","",INDEX('Per Invoice'!I$2:I$801,$W181)))</f>
        <v/>
      </c>
      <c r="J181">
        <f>IF($W181="","",IF(INDEX('Per Invoice'!J$2:J$801,$W181)="","",INDEX('Per Invoice'!J$2:J$801,$W181)))</f>
        <v/>
      </c>
      <c r="K181" s="7">
        <f>IF($W181="","",IF(INDEX('Per Invoice'!K$2:K$801,$W181)="","",INDEX('Per Invoice'!K$2:K$801,$W181)))</f>
        <v/>
      </c>
      <c r="L181" s="14">
        <f>IF($W181="","",IF(INDEX('Per Invoice'!L$2:L$801,$W181)="","",INDEX('Per Invoice'!L$2:L$801,$W181)))</f>
        <v/>
      </c>
      <c r="M181">
        <f>IF($W181="","",IF(INDEX('Per Invoice'!M$2:M$801,$W181)="","",INDEX('Per Invoice'!M$2:M$801,$W181)))</f>
        <v/>
      </c>
      <c r="N181" s="7">
        <f>IF($W181="","",IF(INDEX('Per Invoice'!N$2:N$801,$W181)="","",INDEX('Per Invoice'!N$2:N$801,$W181)))</f>
        <v/>
      </c>
      <c r="O181" s="7">
        <f>IF($W181="","",IF(INDEX('Per Invoice'!O$2:O$801,$W181)="","",INDEX('Per Invoice'!O$2:O$801,$W181)))</f>
        <v/>
      </c>
      <c r="P181">
        <f>IF($W181="","",IF(INDEX('Per Invoice'!P$2:P$801,$W181)="","",INDEX('Per Invoice'!P$2:P$801,$W181)))</f>
        <v/>
      </c>
      <c r="Q181" s="7">
        <f>IF($W181="","",IF(INDEX('Per Invoice'!Q$2:Q$801,$W181)="","",INDEX('Per Invoice'!Q$2:Q$801,$W181)))</f>
        <v/>
      </c>
      <c r="R181" s="7">
        <f>IF($W181="","",IF(INDEX('Per Invoice'!R$2:R$801,$W181)="","",INDEX('Per Invoice'!R$2:R$801,$W181)))</f>
        <v/>
      </c>
      <c r="S181" s="7">
        <f>IF($W181="","",IF(INDEX('Per Invoice'!S$2:S$801,$W181)="","",INDEX('Per Invoice'!S$2:S$801,$W181)))</f>
        <v/>
      </c>
      <c r="T181" s="7">
        <f>IF($W181="","",IF(INDEX('Per Invoice'!T$2:T$801,$W181)="","",INDEX('Per Invoice'!T$2:T$801,$W181)))</f>
        <v/>
      </c>
      <c r="U181" s="7">
        <f>IF($W181="","",IF(INDEX('Per Invoice'!U$2:U$801,$W181)="","",INDEX('Per Invoice'!U$2:U$801,$W181)))</f>
        <v/>
      </c>
      <c r="V181" s="7">
        <f>IF($W181="","",IF(INDEX('Per Invoice'!V$2:V$801,$W181)="","",INDEX('Per Invoice'!V$2:V$801,$W181)))</f>
        <v/>
      </c>
      <c r="W181" s="16">
        <f>IFERROR(MATCH(Settings!$C$29&amp;"|"&amp;ROWS($W$2:$W181),'Per Invoice'!$X$2:$X$801,0),"")</f>
        <v/>
      </c>
    </row>
    <row r="182">
      <c r="A182">
        <f>IF($W182="","",IF(INDEX('Per Invoice'!A$2:A$801,$W182)="","",INDEX('Per Invoice'!A$2:A$801,$W182)))</f>
        <v/>
      </c>
      <c r="B182">
        <f>IF($W182="","",IF(INDEX('Per Invoice'!B$2:B$801,$W182)="","",INDEX('Per Invoice'!B$2:B$801,$W182)))</f>
        <v/>
      </c>
      <c r="C182">
        <f>IF($W182="","",IF(INDEX('Per Invoice'!C$2:C$801,$W182)="","",INDEX('Per Invoice'!C$2:C$801,$W182)))</f>
        <v/>
      </c>
      <c r="D182">
        <f>IF($W182="","",IF(INDEX('Per Invoice'!D$2:D$801,$W182)="","",INDEX('Per Invoice'!D$2:D$801,$W182)))</f>
        <v/>
      </c>
      <c r="E182">
        <f>IF($W182="","",IF(INDEX('Per Invoice'!E$2:E$801,$W182)="","",INDEX('Per Invoice'!E$2:E$801,$W182)))</f>
        <v/>
      </c>
      <c r="F182">
        <f>IF($W182="","",IF(INDEX('Per Invoice'!F$2:F$801,$W182)="","",INDEX('Per Invoice'!F$2:F$801,$W182)))</f>
        <v/>
      </c>
      <c r="G182">
        <f>IF($W182="","",IF(INDEX('Per Invoice'!G$2:G$801,$W182)="","",INDEX('Per Invoice'!G$2:G$801,$W182)))</f>
        <v/>
      </c>
      <c r="H182">
        <f>IF($W182="","",IF(INDEX('Per Invoice'!H$2:H$801,$W182)="","",INDEX('Per Invoice'!H$2:H$801,$W182)))</f>
        <v/>
      </c>
      <c r="I182">
        <f>IF($W182="","",IF(INDEX('Per Invoice'!I$2:I$801,$W182)="","",INDEX('Per Invoice'!I$2:I$801,$W182)))</f>
        <v/>
      </c>
      <c r="J182">
        <f>IF($W182="","",IF(INDEX('Per Invoice'!J$2:J$801,$W182)="","",INDEX('Per Invoice'!J$2:J$801,$W182)))</f>
        <v/>
      </c>
      <c r="K182" s="7">
        <f>IF($W182="","",IF(INDEX('Per Invoice'!K$2:K$801,$W182)="","",INDEX('Per Invoice'!K$2:K$801,$W182)))</f>
        <v/>
      </c>
      <c r="L182" s="14">
        <f>IF($W182="","",IF(INDEX('Per Invoice'!L$2:L$801,$W182)="","",INDEX('Per Invoice'!L$2:L$801,$W182)))</f>
        <v/>
      </c>
      <c r="M182">
        <f>IF($W182="","",IF(INDEX('Per Invoice'!M$2:M$801,$W182)="","",INDEX('Per Invoice'!M$2:M$801,$W182)))</f>
        <v/>
      </c>
      <c r="N182" s="7">
        <f>IF($W182="","",IF(INDEX('Per Invoice'!N$2:N$801,$W182)="","",INDEX('Per Invoice'!N$2:N$801,$W182)))</f>
        <v/>
      </c>
      <c r="O182" s="7">
        <f>IF($W182="","",IF(INDEX('Per Invoice'!O$2:O$801,$W182)="","",INDEX('Per Invoice'!O$2:O$801,$W182)))</f>
        <v/>
      </c>
      <c r="P182">
        <f>IF($W182="","",IF(INDEX('Per Invoice'!P$2:P$801,$W182)="","",INDEX('Per Invoice'!P$2:P$801,$W182)))</f>
        <v/>
      </c>
      <c r="Q182" s="7">
        <f>IF($W182="","",IF(INDEX('Per Invoice'!Q$2:Q$801,$W182)="","",INDEX('Per Invoice'!Q$2:Q$801,$W182)))</f>
        <v/>
      </c>
      <c r="R182" s="7">
        <f>IF($W182="","",IF(INDEX('Per Invoice'!R$2:R$801,$W182)="","",INDEX('Per Invoice'!R$2:R$801,$W182)))</f>
        <v/>
      </c>
      <c r="S182" s="7">
        <f>IF($W182="","",IF(INDEX('Per Invoice'!S$2:S$801,$W182)="","",INDEX('Per Invoice'!S$2:S$801,$W182)))</f>
        <v/>
      </c>
      <c r="T182" s="7">
        <f>IF($W182="","",IF(INDEX('Per Invoice'!T$2:T$801,$W182)="","",INDEX('Per Invoice'!T$2:T$801,$W182)))</f>
        <v/>
      </c>
      <c r="U182" s="7">
        <f>IF($W182="","",IF(INDEX('Per Invoice'!U$2:U$801,$W182)="","",INDEX('Per Invoice'!U$2:U$801,$W182)))</f>
        <v/>
      </c>
      <c r="V182" s="7">
        <f>IF($W182="","",IF(INDEX('Per Invoice'!V$2:V$801,$W182)="","",INDEX('Per Invoice'!V$2:V$801,$W182)))</f>
        <v/>
      </c>
      <c r="W182" s="16">
        <f>IFERROR(MATCH(Settings!$C$29&amp;"|"&amp;ROWS($W$2:$W182),'Per Invoice'!$X$2:$X$801,0),"")</f>
        <v/>
      </c>
    </row>
    <row r="183">
      <c r="A183">
        <f>IF($W183="","",IF(INDEX('Per Invoice'!A$2:A$801,$W183)="","",INDEX('Per Invoice'!A$2:A$801,$W183)))</f>
        <v/>
      </c>
      <c r="B183">
        <f>IF($W183="","",IF(INDEX('Per Invoice'!B$2:B$801,$W183)="","",INDEX('Per Invoice'!B$2:B$801,$W183)))</f>
        <v/>
      </c>
      <c r="C183">
        <f>IF($W183="","",IF(INDEX('Per Invoice'!C$2:C$801,$W183)="","",INDEX('Per Invoice'!C$2:C$801,$W183)))</f>
        <v/>
      </c>
      <c r="D183">
        <f>IF($W183="","",IF(INDEX('Per Invoice'!D$2:D$801,$W183)="","",INDEX('Per Invoice'!D$2:D$801,$W183)))</f>
        <v/>
      </c>
      <c r="E183">
        <f>IF($W183="","",IF(INDEX('Per Invoice'!E$2:E$801,$W183)="","",INDEX('Per Invoice'!E$2:E$801,$W183)))</f>
        <v/>
      </c>
      <c r="F183">
        <f>IF($W183="","",IF(INDEX('Per Invoice'!F$2:F$801,$W183)="","",INDEX('Per Invoice'!F$2:F$801,$W183)))</f>
        <v/>
      </c>
      <c r="G183">
        <f>IF($W183="","",IF(INDEX('Per Invoice'!G$2:G$801,$W183)="","",INDEX('Per Invoice'!G$2:G$801,$W183)))</f>
        <v/>
      </c>
      <c r="H183">
        <f>IF($W183="","",IF(INDEX('Per Invoice'!H$2:H$801,$W183)="","",INDEX('Per Invoice'!H$2:H$801,$W183)))</f>
        <v/>
      </c>
      <c r="I183">
        <f>IF($W183="","",IF(INDEX('Per Invoice'!I$2:I$801,$W183)="","",INDEX('Per Invoice'!I$2:I$801,$W183)))</f>
        <v/>
      </c>
      <c r="J183">
        <f>IF($W183="","",IF(INDEX('Per Invoice'!J$2:J$801,$W183)="","",INDEX('Per Invoice'!J$2:J$801,$W183)))</f>
        <v/>
      </c>
      <c r="K183" s="7">
        <f>IF($W183="","",IF(INDEX('Per Invoice'!K$2:K$801,$W183)="","",INDEX('Per Invoice'!K$2:K$801,$W183)))</f>
        <v/>
      </c>
      <c r="L183" s="14">
        <f>IF($W183="","",IF(INDEX('Per Invoice'!L$2:L$801,$W183)="","",INDEX('Per Invoice'!L$2:L$801,$W183)))</f>
        <v/>
      </c>
      <c r="M183">
        <f>IF($W183="","",IF(INDEX('Per Invoice'!M$2:M$801,$W183)="","",INDEX('Per Invoice'!M$2:M$801,$W183)))</f>
        <v/>
      </c>
      <c r="N183" s="7">
        <f>IF($W183="","",IF(INDEX('Per Invoice'!N$2:N$801,$W183)="","",INDEX('Per Invoice'!N$2:N$801,$W183)))</f>
        <v/>
      </c>
      <c r="O183" s="7">
        <f>IF($W183="","",IF(INDEX('Per Invoice'!O$2:O$801,$W183)="","",INDEX('Per Invoice'!O$2:O$801,$W183)))</f>
        <v/>
      </c>
      <c r="P183">
        <f>IF($W183="","",IF(INDEX('Per Invoice'!P$2:P$801,$W183)="","",INDEX('Per Invoice'!P$2:P$801,$W183)))</f>
        <v/>
      </c>
      <c r="Q183" s="7">
        <f>IF($W183="","",IF(INDEX('Per Invoice'!Q$2:Q$801,$W183)="","",INDEX('Per Invoice'!Q$2:Q$801,$W183)))</f>
        <v/>
      </c>
      <c r="R183" s="7">
        <f>IF($W183="","",IF(INDEX('Per Invoice'!R$2:R$801,$W183)="","",INDEX('Per Invoice'!R$2:R$801,$W183)))</f>
        <v/>
      </c>
      <c r="S183" s="7">
        <f>IF($W183="","",IF(INDEX('Per Invoice'!S$2:S$801,$W183)="","",INDEX('Per Invoice'!S$2:S$801,$W183)))</f>
        <v/>
      </c>
      <c r="T183" s="7">
        <f>IF($W183="","",IF(INDEX('Per Invoice'!T$2:T$801,$W183)="","",INDEX('Per Invoice'!T$2:T$801,$W183)))</f>
        <v/>
      </c>
      <c r="U183" s="7">
        <f>IF($W183="","",IF(INDEX('Per Invoice'!U$2:U$801,$W183)="","",INDEX('Per Invoice'!U$2:U$801,$W183)))</f>
        <v/>
      </c>
      <c r="V183" s="7">
        <f>IF($W183="","",IF(INDEX('Per Invoice'!V$2:V$801,$W183)="","",INDEX('Per Invoice'!V$2:V$801,$W183)))</f>
        <v/>
      </c>
      <c r="W183" s="16">
        <f>IFERROR(MATCH(Settings!$C$29&amp;"|"&amp;ROWS($W$2:$W183),'Per Invoice'!$X$2:$X$801,0),"")</f>
        <v/>
      </c>
    </row>
    <row r="184">
      <c r="A184">
        <f>IF($W184="","",IF(INDEX('Per Invoice'!A$2:A$801,$W184)="","",INDEX('Per Invoice'!A$2:A$801,$W184)))</f>
        <v/>
      </c>
      <c r="B184">
        <f>IF($W184="","",IF(INDEX('Per Invoice'!B$2:B$801,$W184)="","",INDEX('Per Invoice'!B$2:B$801,$W184)))</f>
        <v/>
      </c>
      <c r="C184">
        <f>IF($W184="","",IF(INDEX('Per Invoice'!C$2:C$801,$W184)="","",INDEX('Per Invoice'!C$2:C$801,$W184)))</f>
        <v/>
      </c>
      <c r="D184">
        <f>IF($W184="","",IF(INDEX('Per Invoice'!D$2:D$801,$W184)="","",INDEX('Per Invoice'!D$2:D$801,$W184)))</f>
        <v/>
      </c>
      <c r="E184">
        <f>IF($W184="","",IF(INDEX('Per Invoice'!E$2:E$801,$W184)="","",INDEX('Per Invoice'!E$2:E$801,$W184)))</f>
        <v/>
      </c>
      <c r="F184">
        <f>IF($W184="","",IF(INDEX('Per Invoice'!F$2:F$801,$W184)="","",INDEX('Per Invoice'!F$2:F$801,$W184)))</f>
        <v/>
      </c>
      <c r="G184">
        <f>IF($W184="","",IF(INDEX('Per Invoice'!G$2:G$801,$W184)="","",INDEX('Per Invoice'!G$2:G$801,$W184)))</f>
        <v/>
      </c>
      <c r="H184">
        <f>IF($W184="","",IF(INDEX('Per Invoice'!H$2:H$801,$W184)="","",INDEX('Per Invoice'!H$2:H$801,$W184)))</f>
        <v/>
      </c>
      <c r="I184">
        <f>IF($W184="","",IF(INDEX('Per Invoice'!I$2:I$801,$W184)="","",INDEX('Per Invoice'!I$2:I$801,$W184)))</f>
        <v/>
      </c>
      <c r="J184">
        <f>IF($W184="","",IF(INDEX('Per Invoice'!J$2:J$801,$W184)="","",INDEX('Per Invoice'!J$2:J$801,$W184)))</f>
        <v/>
      </c>
      <c r="K184" s="7">
        <f>IF($W184="","",IF(INDEX('Per Invoice'!K$2:K$801,$W184)="","",INDEX('Per Invoice'!K$2:K$801,$W184)))</f>
        <v/>
      </c>
      <c r="L184" s="14">
        <f>IF($W184="","",IF(INDEX('Per Invoice'!L$2:L$801,$W184)="","",INDEX('Per Invoice'!L$2:L$801,$W184)))</f>
        <v/>
      </c>
      <c r="M184">
        <f>IF($W184="","",IF(INDEX('Per Invoice'!M$2:M$801,$W184)="","",INDEX('Per Invoice'!M$2:M$801,$W184)))</f>
        <v/>
      </c>
      <c r="N184" s="7">
        <f>IF($W184="","",IF(INDEX('Per Invoice'!N$2:N$801,$W184)="","",INDEX('Per Invoice'!N$2:N$801,$W184)))</f>
        <v/>
      </c>
      <c r="O184" s="7">
        <f>IF($W184="","",IF(INDEX('Per Invoice'!O$2:O$801,$W184)="","",INDEX('Per Invoice'!O$2:O$801,$W184)))</f>
        <v/>
      </c>
      <c r="P184">
        <f>IF($W184="","",IF(INDEX('Per Invoice'!P$2:P$801,$W184)="","",INDEX('Per Invoice'!P$2:P$801,$W184)))</f>
        <v/>
      </c>
      <c r="Q184" s="7">
        <f>IF($W184="","",IF(INDEX('Per Invoice'!Q$2:Q$801,$W184)="","",INDEX('Per Invoice'!Q$2:Q$801,$W184)))</f>
        <v/>
      </c>
      <c r="R184" s="7">
        <f>IF($W184="","",IF(INDEX('Per Invoice'!R$2:R$801,$W184)="","",INDEX('Per Invoice'!R$2:R$801,$W184)))</f>
        <v/>
      </c>
      <c r="S184" s="7">
        <f>IF($W184="","",IF(INDEX('Per Invoice'!S$2:S$801,$W184)="","",INDEX('Per Invoice'!S$2:S$801,$W184)))</f>
        <v/>
      </c>
      <c r="T184" s="7">
        <f>IF($W184="","",IF(INDEX('Per Invoice'!T$2:T$801,$W184)="","",INDEX('Per Invoice'!T$2:T$801,$W184)))</f>
        <v/>
      </c>
      <c r="U184" s="7">
        <f>IF($W184="","",IF(INDEX('Per Invoice'!U$2:U$801,$W184)="","",INDEX('Per Invoice'!U$2:U$801,$W184)))</f>
        <v/>
      </c>
      <c r="V184" s="7">
        <f>IF($W184="","",IF(INDEX('Per Invoice'!V$2:V$801,$W184)="","",INDEX('Per Invoice'!V$2:V$801,$W184)))</f>
        <v/>
      </c>
      <c r="W184" s="16">
        <f>IFERROR(MATCH(Settings!$C$29&amp;"|"&amp;ROWS($W$2:$W184),'Per Invoice'!$X$2:$X$801,0),"")</f>
        <v/>
      </c>
    </row>
    <row r="185">
      <c r="A185">
        <f>IF($W185="","",IF(INDEX('Per Invoice'!A$2:A$801,$W185)="","",INDEX('Per Invoice'!A$2:A$801,$W185)))</f>
        <v/>
      </c>
      <c r="B185">
        <f>IF($W185="","",IF(INDEX('Per Invoice'!B$2:B$801,$W185)="","",INDEX('Per Invoice'!B$2:B$801,$W185)))</f>
        <v/>
      </c>
      <c r="C185">
        <f>IF($W185="","",IF(INDEX('Per Invoice'!C$2:C$801,$W185)="","",INDEX('Per Invoice'!C$2:C$801,$W185)))</f>
        <v/>
      </c>
      <c r="D185">
        <f>IF($W185="","",IF(INDEX('Per Invoice'!D$2:D$801,$W185)="","",INDEX('Per Invoice'!D$2:D$801,$W185)))</f>
        <v/>
      </c>
      <c r="E185">
        <f>IF($W185="","",IF(INDEX('Per Invoice'!E$2:E$801,$W185)="","",INDEX('Per Invoice'!E$2:E$801,$W185)))</f>
        <v/>
      </c>
      <c r="F185">
        <f>IF($W185="","",IF(INDEX('Per Invoice'!F$2:F$801,$W185)="","",INDEX('Per Invoice'!F$2:F$801,$W185)))</f>
        <v/>
      </c>
      <c r="G185">
        <f>IF($W185="","",IF(INDEX('Per Invoice'!G$2:G$801,$W185)="","",INDEX('Per Invoice'!G$2:G$801,$W185)))</f>
        <v/>
      </c>
      <c r="H185">
        <f>IF($W185="","",IF(INDEX('Per Invoice'!H$2:H$801,$W185)="","",INDEX('Per Invoice'!H$2:H$801,$W185)))</f>
        <v/>
      </c>
      <c r="I185">
        <f>IF($W185="","",IF(INDEX('Per Invoice'!I$2:I$801,$W185)="","",INDEX('Per Invoice'!I$2:I$801,$W185)))</f>
        <v/>
      </c>
      <c r="J185">
        <f>IF($W185="","",IF(INDEX('Per Invoice'!J$2:J$801,$W185)="","",INDEX('Per Invoice'!J$2:J$801,$W185)))</f>
        <v/>
      </c>
      <c r="K185" s="7">
        <f>IF($W185="","",IF(INDEX('Per Invoice'!K$2:K$801,$W185)="","",INDEX('Per Invoice'!K$2:K$801,$W185)))</f>
        <v/>
      </c>
      <c r="L185" s="14">
        <f>IF($W185="","",IF(INDEX('Per Invoice'!L$2:L$801,$W185)="","",INDEX('Per Invoice'!L$2:L$801,$W185)))</f>
        <v/>
      </c>
      <c r="M185">
        <f>IF($W185="","",IF(INDEX('Per Invoice'!M$2:M$801,$W185)="","",INDEX('Per Invoice'!M$2:M$801,$W185)))</f>
        <v/>
      </c>
      <c r="N185" s="7">
        <f>IF($W185="","",IF(INDEX('Per Invoice'!N$2:N$801,$W185)="","",INDEX('Per Invoice'!N$2:N$801,$W185)))</f>
        <v/>
      </c>
      <c r="O185" s="7">
        <f>IF($W185="","",IF(INDEX('Per Invoice'!O$2:O$801,$W185)="","",INDEX('Per Invoice'!O$2:O$801,$W185)))</f>
        <v/>
      </c>
      <c r="P185">
        <f>IF($W185="","",IF(INDEX('Per Invoice'!P$2:P$801,$W185)="","",INDEX('Per Invoice'!P$2:P$801,$W185)))</f>
        <v/>
      </c>
      <c r="Q185" s="7">
        <f>IF($W185="","",IF(INDEX('Per Invoice'!Q$2:Q$801,$W185)="","",INDEX('Per Invoice'!Q$2:Q$801,$W185)))</f>
        <v/>
      </c>
      <c r="R185" s="7">
        <f>IF($W185="","",IF(INDEX('Per Invoice'!R$2:R$801,$W185)="","",INDEX('Per Invoice'!R$2:R$801,$W185)))</f>
        <v/>
      </c>
      <c r="S185" s="7">
        <f>IF($W185="","",IF(INDEX('Per Invoice'!S$2:S$801,$W185)="","",INDEX('Per Invoice'!S$2:S$801,$W185)))</f>
        <v/>
      </c>
      <c r="T185" s="7">
        <f>IF($W185="","",IF(INDEX('Per Invoice'!T$2:T$801,$W185)="","",INDEX('Per Invoice'!T$2:T$801,$W185)))</f>
        <v/>
      </c>
      <c r="U185" s="7">
        <f>IF($W185="","",IF(INDEX('Per Invoice'!U$2:U$801,$W185)="","",INDEX('Per Invoice'!U$2:U$801,$W185)))</f>
        <v/>
      </c>
      <c r="V185" s="7">
        <f>IF($W185="","",IF(INDEX('Per Invoice'!V$2:V$801,$W185)="","",INDEX('Per Invoice'!V$2:V$801,$W185)))</f>
        <v/>
      </c>
      <c r="W185" s="16">
        <f>IFERROR(MATCH(Settings!$C$29&amp;"|"&amp;ROWS($W$2:$W185),'Per Invoice'!$X$2:$X$801,0),"")</f>
        <v/>
      </c>
    </row>
    <row r="186">
      <c r="A186">
        <f>IF($W186="","",IF(INDEX('Per Invoice'!A$2:A$801,$W186)="","",INDEX('Per Invoice'!A$2:A$801,$W186)))</f>
        <v/>
      </c>
      <c r="B186">
        <f>IF($W186="","",IF(INDEX('Per Invoice'!B$2:B$801,$W186)="","",INDEX('Per Invoice'!B$2:B$801,$W186)))</f>
        <v/>
      </c>
      <c r="C186">
        <f>IF($W186="","",IF(INDEX('Per Invoice'!C$2:C$801,$W186)="","",INDEX('Per Invoice'!C$2:C$801,$W186)))</f>
        <v/>
      </c>
      <c r="D186">
        <f>IF($W186="","",IF(INDEX('Per Invoice'!D$2:D$801,$W186)="","",INDEX('Per Invoice'!D$2:D$801,$W186)))</f>
        <v/>
      </c>
      <c r="E186">
        <f>IF($W186="","",IF(INDEX('Per Invoice'!E$2:E$801,$W186)="","",INDEX('Per Invoice'!E$2:E$801,$W186)))</f>
        <v/>
      </c>
      <c r="F186">
        <f>IF($W186="","",IF(INDEX('Per Invoice'!F$2:F$801,$W186)="","",INDEX('Per Invoice'!F$2:F$801,$W186)))</f>
        <v/>
      </c>
      <c r="G186">
        <f>IF($W186="","",IF(INDEX('Per Invoice'!G$2:G$801,$W186)="","",INDEX('Per Invoice'!G$2:G$801,$W186)))</f>
        <v/>
      </c>
      <c r="H186">
        <f>IF($W186="","",IF(INDEX('Per Invoice'!H$2:H$801,$W186)="","",INDEX('Per Invoice'!H$2:H$801,$W186)))</f>
        <v/>
      </c>
      <c r="I186">
        <f>IF($W186="","",IF(INDEX('Per Invoice'!I$2:I$801,$W186)="","",INDEX('Per Invoice'!I$2:I$801,$W186)))</f>
        <v/>
      </c>
      <c r="J186">
        <f>IF($W186="","",IF(INDEX('Per Invoice'!J$2:J$801,$W186)="","",INDEX('Per Invoice'!J$2:J$801,$W186)))</f>
        <v/>
      </c>
      <c r="K186" s="7">
        <f>IF($W186="","",IF(INDEX('Per Invoice'!K$2:K$801,$W186)="","",INDEX('Per Invoice'!K$2:K$801,$W186)))</f>
        <v/>
      </c>
      <c r="L186" s="14">
        <f>IF($W186="","",IF(INDEX('Per Invoice'!L$2:L$801,$W186)="","",INDEX('Per Invoice'!L$2:L$801,$W186)))</f>
        <v/>
      </c>
      <c r="M186">
        <f>IF($W186="","",IF(INDEX('Per Invoice'!M$2:M$801,$W186)="","",INDEX('Per Invoice'!M$2:M$801,$W186)))</f>
        <v/>
      </c>
      <c r="N186" s="7">
        <f>IF($W186="","",IF(INDEX('Per Invoice'!N$2:N$801,$W186)="","",INDEX('Per Invoice'!N$2:N$801,$W186)))</f>
        <v/>
      </c>
      <c r="O186" s="7">
        <f>IF($W186="","",IF(INDEX('Per Invoice'!O$2:O$801,$W186)="","",INDEX('Per Invoice'!O$2:O$801,$W186)))</f>
        <v/>
      </c>
      <c r="P186">
        <f>IF($W186="","",IF(INDEX('Per Invoice'!P$2:P$801,$W186)="","",INDEX('Per Invoice'!P$2:P$801,$W186)))</f>
        <v/>
      </c>
      <c r="Q186" s="7">
        <f>IF($W186="","",IF(INDEX('Per Invoice'!Q$2:Q$801,$W186)="","",INDEX('Per Invoice'!Q$2:Q$801,$W186)))</f>
        <v/>
      </c>
      <c r="R186" s="7">
        <f>IF($W186="","",IF(INDEX('Per Invoice'!R$2:R$801,$W186)="","",INDEX('Per Invoice'!R$2:R$801,$W186)))</f>
        <v/>
      </c>
      <c r="S186" s="7">
        <f>IF($W186="","",IF(INDEX('Per Invoice'!S$2:S$801,$W186)="","",INDEX('Per Invoice'!S$2:S$801,$W186)))</f>
        <v/>
      </c>
      <c r="T186" s="7">
        <f>IF($W186="","",IF(INDEX('Per Invoice'!T$2:T$801,$W186)="","",INDEX('Per Invoice'!T$2:T$801,$W186)))</f>
        <v/>
      </c>
      <c r="U186" s="7">
        <f>IF($W186="","",IF(INDEX('Per Invoice'!U$2:U$801,$W186)="","",INDEX('Per Invoice'!U$2:U$801,$W186)))</f>
        <v/>
      </c>
      <c r="V186" s="7">
        <f>IF($W186="","",IF(INDEX('Per Invoice'!V$2:V$801,$W186)="","",INDEX('Per Invoice'!V$2:V$801,$W186)))</f>
        <v/>
      </c>
      <c r="W186" s="16">
        <f>IFERROR(MATCH(Settings!$C$29&amp;"|"&amp;ROWS($W$2:$W186),'Per Invoice'!$X$2:$X$801,0),"")</f>
        <v/>
      </c>
    </row>
    <row r="187">
      <c r="A187">
        <f>IF($W187="","",IF(INDEX('Per Invoice'!A$2:A$801,$W187)="","",INDEX('Per Invoice'!A$2:A$801,$W187)))</f>
        <v/>
      </c>
      <c r="B187">
        <f>IF($W187="","",IF(INDEX('Per Invoice'!B$2:B$801,$W187)="","",INDEX('Per Invoice'!B$2:B$801,$W187)))</f>
        <v/>
      </c>
      <c r="C187">
        <f>IF($W187="","",IF(INDEX('Per Invoice'!C$2:C$801,$W187)="","",INDEX('Per Invoice'!C$2:C$801,$W187)))</f>
        <v/>
      </c>
      <c r="D187">
        <f>IF($W187="","",IF(INDEX('Per Invoice'!D$2:D$801,$W187)="","",INDEX('Per Invoice'!D$2:D$801,$W187)))</f>
        <v/>
      </c>
      <c r="E187">
        <f>IF($W187="","",IF(INDEX('Per Invoice'!E$2:E$801,$W187)="","",INDEX('Per Invoice'!E$2:E$801,$W187)))</f>
        <v/>
      </c>
      <c r="F187">
        <f>IF($W187="","",IF(INDEX('Per Invoice'!F$2:F$801,$W187)="","",INDEX('Per Invoice'!F$2:F$801,$W187)))</f>
        <v/>
      </c>
      <c r="G187">
        <f>IF($W187="","",IF(INDEX('Per Invoice'!G$2:G$801,$W187)="","",INDEX('Per Invoice'!G$2:G$801,$W187)))</f>
        <v/>
      </c>
      <c r="H187">
        <f>IF($W187="","",IF(INDEX('Per Invoice'!H$2:H$801,$W187)="","",INDEX('Per Invoice'!H$2:H$801,$W187)))</f>
        <v/>
      </c>
      <c r="I187">
        <f>IF($W187="","",IF(INDEX('Per Invoice'!I$2:I$801,$W187)="","",INDEX('Per Invoice'!I$2:I$801,$W187)))</f>
        <v/>
      </c>
      <c r="J187">
        <f>IF($W187="","",IF(INDEX('Per Invoice'!J$2:J$801,$W187)="","",INDEX('Per Invoice'!J$2:J$801,$W187)))</f>
        <v/>
      </c>
      <c r="K187" s="7">
        <f>IF($W187="","",IF(INDEX('Per Invoice'!K$2:K$801,$W187)="","",INDEX('Per Invoice'!K$2:K$801,$W187)))</f>
        <v/>
      </c>
      <c r="L187" s="14">
        <f>IF($W187="","",IF(INDEX('Per Invoice'!L$2:L$801,$W187)="","",INDEX('Per Invoice'!L$2:L$801,$W187)))</f>
        <v/>
      </c>
      <c r="M187">
        <f>IF($W187="","",IF(INDEX('Per Invoice'!M$2:M$801,$W187)="","",INDEX('Per Invoice'!M$2:M$801,$W187)))</f>
        <v/>
      </c>
      <c r="N187" s="7">
        <f>IF($W187="","",IF(INDEX('Per Invoice'!N$2:N$801,$W187)="","",INDEX('Per Invoice'!N$2:N$801,$W187)))</f>
        <v/>
      </c>
      <c r="O187" s="7">
        <f>IF($W187="","",IF(INDEX('Per Invoice'!O$2:O$801,$W187)="","",INDEX('Per Invoice'!O$2:O$801,$W187)))</f>
        <v/>
      </c>
      <c r="P187">
        <f>IF($W187="","",IF(INDEX('Per Invoice'!P$2:P$801,$W187)="","",INDEX('Per Invoice'!P$2:P$801,$W187)))</f>
        <v/>
      </c>
      <c r="Q187" s="7">
        <f>IF($W187="","",IF(INDEX('Per Invoice'!Q$2:Q$801,$W187)="","",INDEX('Per Invoice'!Q$2:Q$801,$W187)))</f>
        <v/>
      </c>
      <c r="R187" s="7">
        <f>IF($W187="","",IF(INDEX('Per Invoice'!R$2:R$801,$W187)="","",INDEX('Per Invoice'!R$2:R$801,$W187)))</f>
        <v/>
      </c>
      <c r="S187" s="7">
        <f>IF($W187="","",IF(INDEX('Per Invoice'!S$2:S$801,$W187)="","",INDEX('Per Invoice'!S$2:S$801,$W187)))</f>
        <v/>
      </c>
      <c r="T187" s="7">
        <f>IF($W187="","",IF(INDEX('Per Invoice'!T$2:T$801,$W187)="","",INDEX('Per Invoice'!T$2:T$801,$W187)))</f>
        <v/>
      </c>
      <c r="U187" s="7">
        <f>IF($W187="","",IF(INDEX('Per Invoice'!U$2:U$801,$W187)="","",INDEX('Per Invoice'!U$2:U$801,$W187)))</f>
        <v/>
      </c>
      <c r="V187" s="7">
        <f>IF($W187="","",IF(INDEX('Per Invoice'!V$2:V$801,$W187)="","",INDEX('Per Invoice'!V$2:V$801,$W187)))</f>
        <v/>
      </c>
      <c r="W187" s="16">
        <f>IFERROR(MATCH(Settings!$C$29&amp;"|"&amp;ROWS($W$2:$W187),'Per Invoice'!$X$2:$X$801,0),"")</f>
        <v/>
      </c>
    </row>
    <row r="188">
      <c r="A188">
        <f>IF($W188="","",IF(INDEX('Per Invoice'!A$2:A$801,$W188)="","",INDEX('Per Invoice'!A$2:A$801,$W188)))</f>
        <v/>
      </c>
      <c r="B188">
        <f>IF($W188="","",IF(INDEX('Per Invoice'!B$2:B$801,$W188)="","",INDEX('Per Invoice'!B$2:B$801,$W188)))</f>
        <v/>
      </c>
      <c r="C188">
        <f>IF($W188="","",IF(INDEX('Per Invoice'!C$2:C$801,$W188)="","",INDEX('Per Invoice'!C$2:C$801,$W188)))</f>
        <v/>
      </c>
      <c r="D188">
        <f>IF($W188="","",IF(INDEX('Per Invoice'!D$2:D$801,$W188)="","",INDEX('Per Invoice'!D$2:D$801,$W188)))</f>
        <v/>
      </c>
      <c r="E188">
        <f>IF($W188="","",IF(INDEX('Per Invoice'!E$2:E$801,$W188)="","",INDEX('Per Invoice'!E$2:E$801,$W188)))</f>
        <v/>
      </c>
      <c r="F188">
        <f>IF($W188="","",IF(INDEX('Per Invoice'!F$2:F$801,$W188)="","",INDEX('Per Invoice'!F$2:F$801,$W188)))</f>
        <v/>
      </c>
      <c r="G188">
        <f>IF($W188="","",IF(INDEX('Per Invoice'!G$2:G$801,$W188)="","",INDEX('Per Invoice'!G$2:G$801,$W188)))</f>
        <v/>
      </c>
      <c r="H188">
        <f>IF($W188="","",IF(INDEX('Per Invoice'!H$2:H$801,$W188)="","",INDEX('Per Invoice'!H$2:H$801,$W188)))</f>
        <v/>
      </c>
      <c r="I188">
        <f>IF($W188="","",IF(INDEX('Per Invoice'!I$2:I$801,$W188)="","",INDEX('Per Invoice'!I$2:I$801,$W188)))</f>
        <v/>
      </c>
      <c r="J188">
        <f>IF($W188="","",IF(INDEX('Per Invoice'!J$2:J$801,$W188)="","",INDEX('Per Invoice'!J$2:J$801,$W188)))</f>
        <v/>
      </c>
      <c r="K188" s="7">
        <f>IF($W188="","",IF(INDEX('Per Invoice'!K$2:K$801,$W188)="","",INDEX('Per Invoice'!K$2:K$801,$W188)))</f>
        <v/>
      </c>
      <c r="L188" s="14">
        <f>IF($W188="","",IF(INDEX('Per Invoice'!L$2:L$801,$W188)="","",INDEX('Per Invoice'!L$2:L$801,$W188)))</f>
        <v/>
      </c>
      <c r="M188">
        <f>IF($W188="","",IF(INDEX('Per Invoice'!M$2:M$801,$W188)="","",INDEX('Per Invoice'!M$2:M$801,$W188)))</f>
        <v/>
      </c>
      <c r="N188" s="7">
        <f>IF($W188="","",IF(INDEX('Per Invoice'!N$2:N$801,$W188)="","",INDEX('Per Invoice'!N$2:N$801,$W188)))</f>
        <v/>
      </c>
      <c r="O188" s="7">
        <f>IF($W188="","",IF(INDEX('Per Invoice'!O$2:O$801,$W188)="","",INDEX('Per Invoice'!O$2:O$801,$W188)))</f>
        <v/>
      </c>
      <c r="P188">
        <f>IF($W188="","",IF(INDEX('Per Invoice'!P$2:P$801,$W188)="","",INDEX('Per Invoice'!P$2:P$801,$W188)))</f>
        <v/>
      </c>
      <c r="Q188" s="7">
        <f>IF($W188="","",IF(INDEX('Per Invoice'!Q$2:Q$801,$W188)="","",INDEX('Per Invoice'!Q$2:Q$801,$W188)))</f>
        <v/>
      </c>
      <c r="R188" s="7">
        <f>IF($W188="","",IF(INDEX('Per Invoice'!R$2:R$801,$W188)="","",INDEX('Per Invoice'!R$2:R$801,$W188)))</f>
        <v/>
      </c>
      <c r="S188" s="7">
        <f>IF($W188="","",IF(INDEX('Per Invoice'!S$2:S$801,$W188)="","",INDEX('Per Invoice'!S$2:S$801,$W188)))</f>
        <v/>
      </c>
      <c r="T188" s="7">
        <f>IF($W188="","",IF(INDEX('Per Invoice'!T$2:T$801,$W188)="","",INDEX('Per Invoice'!T$2:T$801,$W188)))</f>
        <v/>
      </c>
      <c r="U188" s="7">
        <f>IF($W188="","",IF(INDEX('Per Invoice'!U$2:U$801,$W188)="","",INDEX('Per Invoice'!U$2:U$801,$W188)))</f>
        <v/>
      </c>
      <c r="V188" s="7">
        <f>IF($W188="","",IF(INDEX('Per Invoice'!V$2:V$801,$W188)="","",INDEX('Per Invoice'!V$2:V$801,$W188)))</f>
        <v/>
      </c>
      <c r="W188" s="16">
        <f>IFERROR(MATCH(Settings!$C$29&amp;"|"&amp;ROWS($W$2:$W188),'Per Invoice'!$X$2:$X$801,0),"")</f>
        <v/>
      </c>
    </row>
    <row r="189">
      <c r="A189">
        <f>IF($W189="","",IF(INDEX('Per Invoice'!A$2:A$801,$W189)="","",INDEX('Per Invoice'!A$2:A$801,$W189)))</f>
        <v/>
      </c>
      <c r="B189">
        <f>IF($W189="","",IF(INDEX('Per Invoice'!B$2:B$801,$W189)="","",INDEX('Per Invoice'!B$2:B$801,$W189)))</f>
        <v/>
      </c>
      <c r="C189">
        <f>IF($W189="","",IF(INDEX('Per Invoice'!C$2:C$801,$W189)="","",INDEX('Per Invoice'!C$2:C$801,$W189)))</f>
        <v/>
      </c>
      <c r="D189">
        <f>IF($W189="","",IF(INDEX('Per Invoice'!D$2:D$801,$W189)="","",INDEX('Per Invoice'!D$2:D$801,$W189)))</f>
        <v/>
      </c>
      <c r="E189">
        <f>IF($W189="","",IF(INDEX('Per Invoice'!E$2:E$801,$W189)="","",INDEX('Per Invoice'!E$2:E$801,$W189)))</f>
        <v/>
      </c>
      <c r="F189">
        <f>IF($W189="","",IF(INDEX('Per Invoice'!F$2:F$801,$W189)="","",INDEX('Per Invoice'!F$2:F$801,$W189)))</f>
        <v/>
      </c>
      <c r="G189">
        <f>IF($W189="","",IF(INDEX('Per Invoice'!G$2:G$801,$W189)="","",INDEX('Per Invoice'!G$2:G$801,$W189)))</f>
        <v/>
      </c>
      <c r="H189">
        <f>IF($W189="","",IF(INDEX('Per Invoice'!H$2:H$801,$W189)="","",INDEX('Per Invoice'!H$2:H$801,$W189)))</f>
        <v/>
      </c>
      <c r="I189">
        <f>IF($W189="","",IF(INDEX('Per Invoice'!I$2:I$801,$W189)="","",INDEX('Per Invoice'!I$2:I$801,$W189)))</f>
        <v/>
      </c>
      <c r="J189">
        <f>IF($W189="","",IF(INDEX('Per Invoice'!J$2:J$801,$W189)="","",INDEX('Per Invoice'!J$2:J$801,$W189)))</f>
        <v/>
      </c>
      <c r="K189" s="7">
        <f>IF($W189="","",IF(INDEX('Per Invoice'!K$2:K$801,$W189)="","",INDEX('Per Invoice'!K$2:K$801,$W189)))</f>
        <v/>
      </c>
      <c r="L189" s="14">
        <f>IF($W189="","",IF(INDEX('Per Invoice'!L$2:L$801,$W189)="","",INDEX('Per Invoice'!L$2:L$801,$W189)))</f>
        <v/>
      </c>
      <c r="M189">
        <f>IF($W189="","",IF(INDEX('Per Invoice'!M$2:M$801,$W189)="","",INDEX('Per Invoice'!M$2:M$801,$W189)))</f>
        <v/>
      </c>
      <c r="N189" s="7">
        <f>IF($W189="","",IF(INDEX('Per Invoice'!N$2:N$801,$W189)="","",INDEX('Per Invoice'!N$2:N$801,$W189)))</f>
        <v/>
      </c>
      <c r="O189" s="7">
        <f>IF($W189="","",IF(INDEX('Per Invoice'!O$2:O$801,$W189)="","",INDEX('Per Invoice'!O$2:O$801,$W189)))</f>
        <v/>
      </c>
      <c r="P189">
        <f>IF($W189="","",IF(INDEX('Per Invoice'!P$2:P$801,$W189)="","",INDEX('Per Invoice'!P$2:P$801,$W189)))</f>
        <v/>
      </c>
      <c r="Q189" s="7">
        <f>IF($W189="","",IF(INDEX('Per Invoice'!Q$2:Q$801,$W189)="","",INDEX('Per Invoice'!Q$2:Q$801,$W189)))</f>
        <v/>
      </c>
      <c r="R189" s="7">
        <f>IF($W189="","",IF(INDEX('Per Invoice'!R$2:R$801,$W189)="","",INDEX('Per Invoice'!R$2:R$801,$W189)))</f>
        <v/>
      </c>
      <c r="S189" s="7">
        <f>IF($W189="","",IF(INDEX('Per Invoice'!S$2:S$801,$W189)="","",INDEX('Per Invoice'!S$2:S$801,$W189)))</f>
        <v/>
      </c>
      <c r="T189" s="7">
        <f>IF($W189="","",IF(INDEX('Per Invoice'!T$2:T$801,$W189)="","",INDEX('Per Invoice'!T$2:T$801,$W189)))</f>
        <v/>
      </c>
      <c r="U189" s="7">
        <f>IF($W189="","",IF(INDEX('Per Invoice'!U$2:U$801,$W189)="","",INDEX('Per Invoice'!U$2:U$801,$W189)))</f>
        <v/>
      </c>
      <c r="V189" s="7">
        <f>IF($W189="","",IF(INDEX('Per Invoice'!V$2:V$801,$W189)="","",INDEX('Per Invoice'!V$2:V$801,$W189)))</f>
        <v/>
      </c>
      <c r="W189" s="16">
        <f>IFERROR(MATCH(Settings!$C$29&amp;"|"&amp;ROWS($W$2:$W189),'Per Invoice'!$X$2:$X$801,0),"")</f>
        <v/>
      </c>
    </row>
    <row r="190">
      <c r="A190">
        <f>IF($W190="","",IF(INDEX('Per Invoice'!A$2:A$801,$W190)="","",INDEX('Per Invoice'!A$2:A$801,$W190)))</f>
        <v/>
      </c>
      <c r="B190">
        <f>IF($W190="","",IF(INDEX('Per Invoice'!B$2:B$801,$W190)="","",INDEX('Per Invoice'!B$2:B$801,$W190)))</f>
        <v/>
      </c>
      <c r="C190">
        <f>IF($W190="","",IF(INDEX('Per Invoice'!C$2:C$801,$W190)="","",INDEX('Per Invoice'!C$2:C$801,$W190)))</f>
        <v/>
      </c>
      <c r="D190">
        <f>IF($W190="","",IF(INDEX('Per Invoice'!D$2:D$801,$W190)="","",INDEX('Per Invoice'!D$2:D$801,$W190)))</f>
        <v/>
      </c>
      <c r="E190">
        <f>IF($W190="","",IF(INDEX('Per Invoice'!E$2:E$801,$W190)="","",INDEX('Per Invoice'!E$2:E$801,$W190)))</f>
        <v/>
      </c>
      <c r="F190">
        <f>IF($W190="","",IF(INDEX('Per Invoice'!F$2:F$801,$W190)="","",INDEX('Per Invoice'!F$2:F$801,$W190)))</f>
        <v/>
      </c>
      <c r="G190">
        <f>IF($W190="","",IF(INDEX('Per Invoice'!G$2:G$801,$W190)="","",INDEX('Per Invoice'!G$2:G$801,$W190)))</f>
        <v/>
      </c>
      <c r="H190">
        <f>IF($W190="","",IF(INDEX('Per Invoice'!H$2:H$801,$W190)="","",INDEX('Per Invoice'!H$2:H$801,$W190)))</f>
        <v/>
      </c>
      <c r="I190">
        <f>IF($W190="","",IF(INDEX('Per Invoice'!I$2:I$801,$W190)="","",INDEX('Per Invoice'!I$2:I$801,$W190)))</f>
        <v/>
      </c>
      <c r="J190">
        <f>IF($W190="","",IF(INDEX('Per Invoice'!J$2:J$801,$W190)="","",INDEX('Per Invoice'!J$2:J$801,$W190)))</f>
        <v/>
      </c>
      <c r="K190" s="7">
        <f>IF($W190="","",IF(INDEX('Per Invoice'!K$2:K$801,$W190)="","",INDEX('Per Invoice'!K$2:K$801,$W190)))</f>
        <v/>
      </c>
      <c r="L190" s="14">
        <f>IF($W190="","",IF(INDEX('Per Invoice'!L$2:L$801,$W190)="","",INDEX('Per Invoice'!L$2:L$801,$W190)))</f>
        <v/>
      </c>
      <c r="M190">
        <f>IF($W190="","",IF(INDEX('Per Invoice'!M$2:M$801,$W190)="","",INDEX('Per Invoice'!M$2:M$801,$W190)))</f>
        <v/>
      </c>
      <c r="N190" s="7">
        <f>IF($W190="","",IF(INDEX('Per Invoice'!N$2:N$801,$W190)="","",INDEX('Per Invoice'!N$2:N$801,$W190)))</f>
        <v/>
      </c>
      <c r="O190" s="7">
        <f>IF($W190="","",IF(INDEX('Per Invoice'!O$2:O$801,$W190)="","",INDEX('Per Invoice'!O$2:O$801,$W190)))</f>
        <v/>
      </c>
      <c r="P190">
        <f>IF($W190="","",IF(INDEX('Per Invoice'!P$2:P$801,$W190)="","",INDEX('Per Invoice'!P$2:P$801,$W190)))</f>
        <v/>
      </c>
      <c r="Q190" s="7">
        <f>IF($W190="","",IF(INDEX('Per Invoice'!Q$2:Q$801,$W190)="","",INDEX('Per Invoice'!Q$2:Q$801,$W190)))</f>
        <v/>
      </c>
      <c r="R190" s="7">
        <f>IF($W190="","",IF(INDEX('Per Invoice'!R$2:R$801,$W190)="","",INDEX('Per Invoice'!R$2:R$801,$W190)))</f>
        <v/>
      </c>
      <c r="S190" s="7">
        <f>IF($W190="","",IF(INDEX('Per Invoice'!S$2:S$801,$W190)="","",INDEX('Per Invoice'!S$2:S$801,$W190)))</f>
        <v/>
      </c>
      <c r="T190" s="7">
        <f>IF($W190="","",IF(INDEX('Per Invoice'!T$2:T$801,$W190)="","",INDEX('Per Invoice'!T$2:T$801,$W190)))</f>
        <v/>
      </c>
      <c r="U190" s="7">
        <f>IF($W190="","",IF(INDEX('Per Invoice'!U$2:U$801,$W190)="","",INDEX('Per Invoice'!U$2:U$801,$W190)))</f>
        <v/>
      </c>
      <c r="V190" s="7">
        <f>IF($W190="","",IF(INDEX('Per Invoice'!V$2:V$801,$W190)="","",INDEX('Per Invoice'!V$2:V$801,$W190)))</f>
        <v/>
      </c>
      <c r="W190" s="16">
        <f>IFERROR(MATCH(Settings!$C$29&amp;"|"&amp;ROWS($W$2:$W190),'Per Invoice'!$X$2:$X$801,0),"")</f>
        <v/>
      </c>
    </row>
    <row r="191">
      <c r="A191">
        <f>IF($W191="","",IF(INDEX('Per Invoice'!A$2:A$801,$W191)="","",INDEX('Per Invoice'!A$2:A$801,$W191)))</f>
        <v/>
      </c>
      <c r="B191">
        <f>IF($W191="","",IF(INDEX('Per Invoice'!B$2:B$801,$W191)="","",INDEX('Per Invoice'!B$2:B$801,$W191)))</f>
        <v/>
      </c>
      <c r="C191">
        <f>IF($W191="","",IF(INDEX('Per Invoice'!C$2:C$801,$W191)="","",INDEX('Per Invoice'!C$2:C$801,$W191)))</f>
        <v/>
      </c>
      <c r="D191">
        <f>IF($W191="","",IF(INDEX('Per Invoice'!D$2:D$801,$W191)="","",INDEX('Per Invoice'!D$2:D$801,$W191)))</f>
        <v/>
      </c>
      <c r="E191">
        <f>IF($W191="","",IF(INDEX('Per Invoice'!E$2:E$801,$W191)="","",INDEX('Per Invoice'!E$2:E$801,$W191)))</f>
        <v/>
      </c>
      <c r="F191">
        <f>IF($W191="","",IF(INDEX('Per Invoice'!F$2:F$801,$W191)="","",INDEX('Per Invoice'!F$2:F$801,$W191)))</f>
        <v/>
      </c>
      <c r="G191">
        <f>IF($W191="","",IF(INDEX('Per Invoice'!G$2:G$801,$W191)="","",INDEX('Per Invoice'!G$2:G$801,$W191)))</f>
        <v/>
      </c>
      <c r="H191">
        <f>IF($W191="","",IF(INDEX('Per Invoice'!H$2:H$801,$W191)="","",INDEX('Per Invoice'!H$2:H$801,$W191)))</f>
        <v/>
      </c>
      <c r="I191">
        <f>IF($W191="","",IF(INDEX('Per Invoice'!I$2:I$801,$W191)="","",INDEX('Per Invoice'!I$2:I$801,$W191)))</f>
        <v/>
      </c>
      <c r="J191">
        <f>IF($W191="","",IF(INDEX('Per Invoice'!J$2:J$801,$W191)="","",INDEX('Per Invoice'!J$2:J$801,$W191)))</f>
        <v/>
      </c>
      <c r="K191" s="7">
        <f>IF($W191="","",IF(INDEX('Per Invoice'!K$2:K$801,$W191)="","",INDEX('Per Invoice'!K$2:K$801,$W191)))</f>
        <v/>
      </c>
      <c r="L191" s="14">
        <f>IF($W191="","",IF(INDEX('Per Invoice'!L$2:L$801,$W191)="","",INDEX('Per Invoice'!L$2:L$801,$W191)))</f>
        <v/>
      </c>
      <c r="M191">
        <f>IF($W191="","",IF(INDEX('Per Invoice'!M$2:M$801,$W191)="","",INDEX('Per Invoice'!M$2:M$801,$W191)))</f>
        <v/>
      </c>
      <c r="N191" s="7">
        <f>IF($W191="","",IF(INDEX('Per Invoice'!N$2:N$801,$W191)="","",INDEX('Per Invoice'!N$2:N$801,$W191)))</f>
        <v/>
      </c>
      <c r="O191" s="7">
        <f>IF($W191="","",IF(INDEX('Per Invoice'!O$2:O$801,$W191)="","",INDEX('Per Invoice'!O$2:O$801,$W191)))</f>
        <v/>
      </c>
      <c r="P191">
        <f>IF($W191="","",IF(INDEX('Per Invoice'!P$2:P$801,$W191)="","",INDEX('Per Invoice'!P$2:P$801,$W191)))</f>
        <v/>
      </c>
      <c r="Q191" s="7">
        <f>IF($W191="","",IF(INDEX('Per Invoice'!Q$2:Q$801,$W191)="","",INDEX('Per Invoice'!Q$2:Q$801,$W191)))</f>
        <v/>
      </c>
      <c r="R191" s="7">
        <f>IF($W191="","",IF(INDEX('Per Invoice'!R$2:R$801,$W191)="","",INDEX('Per Invoice'!R$2:R$801,$W191)))</f>
        <v/>
      </c>
      <c r="S191" s="7">
        <f>IF($W191="","",IF(INDEX('Per Invoice'!S$2:S$801,$W191)="","",INDEX('Per Invoice'!S$2:S$801,$W191)))</f>
        <v/>
      </c>
      <c r="T191" s="7">
        <f>IF($W191="","",IF(INDEX('Per Invoice'!T$2:T$801,$W191)="","",INDEX('Per Invoice'!T$2:T$801,$W191)))</f>
        <v/>
      </c>
      <c r="U191" s="7">
        <f>IF($W191="","",IF(INDEX('Per Invoice'!U$2:U$801,$W191)="","",INDEX('Per Invoice'!U$2:U$801,$W191)))</f>
        <v/>
      </c>
      <c r="V191" s="7">
        <f>IF($W191="","",IF(INDEX('Per Invoice'!V$2:V$801,$W191)="","",INDEX('Per Invoice'!V$2:V$801,$W191)))</f>
        <v/>
      </c>
      <c r="W191" s="16">
        <f>IFERROR(MATCH(Settings!$C$29&amp;"|"&amp;ROWS($W$2:$W191),'Per Invoice'!$X$2:$X$801,0),"")</f>
        <v/>
      </c>
    </row>
    <row r="192">
      <c r="A192">
        <f>IF($W192="","",IF(INDEX('Per Invoice'!A$2:A$801,$W192)="","",INDEX('Per Invoice'!A$2:A$801,$W192)))</f>
        <v/>
      </c>
      <c r="B192">
        <f>IF($W192="","",IF(INDEX('Per Invoice'!B$2:B$801,$W192)="","",INDEX('Per Invoice'!B$2:B$801,$W192)))</f>
        <v/>
      </c>
      <c r="C192">
        <f>IF($W192="","",IF(INDEX('Per Invoice'!C$2:C$801,$W192)="","",INDEX('Per Invoice'!C$2:C$801,$W192)))</f>
        <v/>
      </c>
      <c r="D192">
        <f>IF($W192="","",IF(INDEX('Per Invoice'!D$2:D$801,$W192)="","",INDEX('Per Invoice'!D$2:D$801,$W192)))</f>
        <v/>
      </c>
      <c r="E192">
        <f>IF($W192="","",IF(INDEX('Per Invoice'!E$2:E$801,$W192)="","",INDEX('Per Invoice'!E$2:E$801,$W192)))</f>
        <v/>
      </c>
      <c r="F192">
        <f>IF($W192="","",IF(INDEX('Per Invoice'!F$2:F$801,$W192)="","",INDEX('Per Invoice'!F$2:F$801,$W192)))</f>
        <v/>
      </c>
      <c r="G192">
        <f>IF($W192="","",IF(INDEX('Per Invoice'!G$2:G$801,$W192)="","",INDEX('Per Invoice'!G$2:G$801,$W192)))</f>
        <v/>
      </c>
      <c r="H192">
        <f>IF($W192="","",IF(INDEX('Per Invoice'!H$2:H$801,$W192)="","",INDEX('Per Invoice'!H$2:H$801,$W192)))</f>
        <v/>
      </c>
      <c r="I192">
        <f>IF($W192="","",IF(INDEX('Per Invoice'!I$2:I$801,$W192)="","",INDEX('Per Invoice'!I$2:I$801,$W192)))</f>
        <v/>
      </c>
      <c r="J192">
        <f>IF($W192="","",IF(INDEX('Per Invoice'!J$2:J$801,$W192)="","",INDEX('Per Invoice'!J$2:J$801,$W192)))</f>
        <v/>
      </c>
      <c r="K192" s="7">
        <f>IF($W192="","",IF(INDEX('Per Invoice'!K$2:K$801,$W192)="","",INDEX('Per Invoice'!K$2:K$801,$W192)))</f>
        <v/>
      </c>
      <c r="L192" s="14">
        <f>IF($W192="","",IF(INDEX('Per Invoice'!L$2:L$801,$W192)="","",INDEX('Per Invoice'!L$2:L$801,$W192)))</f>
        <v/>
      </c>
      <c r="M192">
        <f>IF($W192="","",IF(INDEX('Per Invoice'!M$2:M$801,$W192)="","",INDEX('Per Invoice'!M$2:M$801,$W192)))</f>
        <v/>
      </c>
      <c r="N192" s="7">
        <f>IF($W192="","",IF(INDEX('Per Invoice'!N$2:N$801,$W192)="","",INDEX('Per Invoice'!N$2:N$801,$W192)))</f>
        <v/>
      </c>
      <c r="O192" s="7">
        <f>IF($W192="","",IF(INDEX('Per Invoice'!O$2:O$801,$W192)="","",INDEX('Per Invoice'!O$2:O$801,$W192)))</f>
        <v/>
      </c>
      <c r="P192">
        <f>IF($W192="","",IF(INDEX('Per Invoice'!P$2:P$801,$W192)="","",INDEX('Per Invoice'!P$2:P$801,$W192)))</f>
        <v/>
      </c>
      <c r="Q192" s="7">
        <f>IF($W192="","",IF(INDEX('Per Invoice'!Q$2:Q$801,$W192)="","",INDEX('Per Invoice'!Q$2:Q$801,$W192)))</f>
        <v/>
      </c>
      <c r="R192" s="7">
        <f>IF($W192="","",IF(INDEX('Per Invoice'!R$2:R$801,$W192)="","",INDEX('Per Invoice'!R$2:R$801,$W192)))</f>
        <v/>
      </c>
      <c r="S192" s="7">
        <f>IF($W192="","",IF(INDEX('Per Invoice'!S$2:S$801,$W192)="","",INDEX('Per Invoice'!S$2:S$801,$W192)))</f>
        <v/>
      </c>
      <c r="T192" s="7">
        <f>IF($W192="","",IF(INDEX('Per Invoice'!T$2:T$801,$W192)="","",INDEX('Per Invoice'!T$2:T$801,$W192)))</f>
        <v/>
      </c>
      <c r="U192" s="7">
        <f>IF($W192="","",IF(INDEX('Per Invoice'!U$2:U$801,$W192)="","",INDEX('Per Invoice'!U$2:U$801,$W192)))</f>
        <v/>
      </c>
      <c r="V192" s="7">
        <f>IF($W192="","",IF(INDEX('Per Invoice'!V$2:V$801,$W192)="","",INDEX('Per Invoice'!V$2:V$801,$W192)))</f>
        <v/>
      </c>
      <c r="W192" s="16">
        <f>IFERROR(MATCH(Settings!$C$29&amp;"|"&amp;ROWS($W$2:$W192),'Per Invoice'!$X$2:$X$801,0),"")</f>
        <v/>
      </c>
    </row>
    <row r="193">
      <c r="A193">
        <f>IF($W193="","",IF(INDEX('Per Invoice'!A$2:A$801,$W193)="","",INDEX('Per Invoice'!A$2:A$801,$W193)))</f>
        <v/>
      </c>
      <c r="B193">
        <f>IF($W193="","",IF(INDEX('Per Invoice'!B$2:B$801,$W193)="","",INDEX('Per Invoice'!B$2:B$801,$W193)))</f>
        <v/>
      </c>
      <c r="C193">
        <f>IF($W193="","",IF(INDEX('Per Invoice'!C$2:C$801,$W193)="","",INDEX('Per Invoice'!C$2:C$801,$W193)))</f>
        <v/>
      </c>
      <c r="D193">
        <f>IF($W193="","",IF(INDEX('Per Invoice'!D$2:D$801,$W193)="","",INDEX('Per Invoice'!D$2:D$801,$W193)))</f>
        <v/>
      </c>
      <c r="E193">
        <f>IF($W193="","",IF(INDEX('Per Invoice'!E$2:E$801,$W193)="","",INDEX('Per Invoice'!E$2:E$801,$W193)))</f>
        <v/>
      </c>
      <c r="F193">
        <f>IF($W193="","",IF(INDEX('Per Invoice'!F$2:F$801,$W193)="","",INDEX('Per Invoice'!F$2:F$801,$W193)))</f>
        <v/>
      </c>
      <c r="G193">
        <f>IF($W193="","",IF(INDEX('Per Invoice'!G$2:G$801,$W193)="","",INDEX('Per Invoice'!G$2:G$801,$W193)))</f>
        <v/>
      </c>
      <c r="H193">
        <f>IF($W193="","",IF(INDEX('Per Invoice'!H$2:H$801,$W193)="","",INDEX('Per Invoice'!H$2:H$801,$W193)))</f>
        <v/>
      </c>
      <c r="I193">
        <f>IF($W193="","",IF(INDEX('Per Invoice'!I$2:I$801,$W193)="","",INDEX('Per Invoice'!I$2:I$801,$W193)))</f>
        <v/>
      </c>
      <c r="J193">
        <f>IF($W193="","",IF(INDEX('Per Invoice'!J$2:J$801,$W193)="","",INDEX('Per Invoice'!J$2:J$801,$W193)))</f>
        <v/>
      </c>
      <c r="K193" s="7">
        <f>IF($W193="","",IF(INDEX('Per Invoice'!K$2:K$801,$W193)="","",INDEX('Per Invoice'!K$2:K$801,$W193)))</f>
        <v/>
      </c>
      <c r="L193" s="14">
        <f>IF($W193="","",IF(INDEX('Per Invoice'!L$2:L$801,$W193)="","",INDEX('Per Invoice'!L$2:L$801,$W193)))</f>
        <v/>
      </c>
      <c r="M193">
        <f>IF($W193="","",IF(INDEX('Per Invoice'!M$2:M$801,$W193)="","",INDEX('Per Invoice'!M$2:M$801,$W193)))</f>
        <v/>
      </c>
      <c r="N193" s="7">
        <f>IF($W193="","",IF(INDEX('Per Invoice'!N$2:N$801,$W193)="","",INDEX('Per Invoice'!N$2:N$801,$W193)))</f>
        <v/>
      </c>
      <c r="O193" s="7">
        <f>IF($W193="","",IF(INDEX('Per Invoice'!O$2:O$801,$W193)="","",INDEX('Per Invoice'!O$2:O$801,$W193)))</f>
        <v/>
      </c>
      <c r="P193">
        <f>IF($W193="","",IF(INDEX('Per Invoice'!P$2:P$801,$W193)="","",INDEX('Per Invoice'!P$2:P$801,$W193)))</f>
        <v/>
      </c>
      <c r="Q193" s="7">
        <f>IF($W193="","",IF(INDEX('Per Invoice'!Q$2:Q$801,$W193)="","",INDEX('Per Invoice'!Q$2:Q$801,$W193)))</f>
        <v/>
      </c>
      <c r="R193" s="7">
        <f>IF($W193="","",IF(INDEX('Per Invoice'!R$2:R$801,$W193)="","",INDEX('Per Invoice'!R$2:R$801,$W193)))</f>
        <v/>
      </c>
      <c r="S193" s="7">
        <f>IF($W193="","",IF(INDEX('Per Invoice'!S$2:S$801,$W193)="","",INDEX('Per Invoice'!S$2:S$801,$W193)))</f>
        <v/>
      </c>
      <c r="T193" s="7">
        <f>IF($W193="","",IF(INDEX('Per Invoice'!T$2:T$801,$W193)="","",INDEX('Per Invoice'!T$2:T$801,$W193)))</f>
        <v/>
      </c>
      <c r="U193" s="7">
        <f>IF($W193="","",IF(INDEX('Per Invoice'!U$2:U$801,$W193)="","",INDEX('Per Invoice'!U$2:U$801,$W193)))</f>
        <v/>
      </c>
      <c r="V193" s="7">
        <f>IF($W193="","",IF(INDEX('Per Invoice'!V$2:V$801,$W193)="","",INDEX('Per Invoice'!V$2:V$801,$W193)))</f>
        <v/>
      </c>
      <c r="W193" s="16">
        <f>IFERROR(MATCH(Settings!$C$29&amp;"|"&amp;ROWS($W$2:$W193),'Per Invoice'!$X$2:$X$801,0),"")</f>
        <v/>
      </c>
    </row>
    <row r="194">
      <c r="A194">
        <f>IF($W194="","",IF(INDEX('Per Invoice'!A$2:A$801,$W194)="","",INDEX('Per Invoice'!A$2:A$801,$W194)))</f>
        <v/>
      </c>
      <c r="B194">
        <f>IF($W194="","",IF(INDEX('Per Invoice'!B$2:B$801,$W194)="","",INDEX('Per Invoice'!B$2:B$801,$W194)))</f>
        <v/>
      </c>
      <c r="C194">
        <f>IF($W194="","",IF(INDEX('Per Invoice'!C$2:C$801,$W194)="","",INDEX('Per Invoice'!C$2:C$801,$W194)))</f>
        <v/>
      </c>
      <c r="D194">
        <f>IF($W194="","",IF(INDEX('Per Invoice'!D$2:D$801,$W194)="","",INDEX('Per Invoice'!D$2:D$801,$W194)))</f>
        <v/>
      </c>
      <c r="E194">
        <f>IF($W194="","",IF(INDEX('Per Invoice'!E$2:E$801,$W194)="","",INDEX('Per Invoice'!E$2:E$801,$W194)))</f>
        <v/>
      </c>
      <c r="F194">
        <f>IF($W194="","",IF(INDEX('Per Invoice'!F$2:F$801,$W194)="","",INDEX('Per Invoice'!F$2:F$801,$W194)))</f>
        <v/>
      </c>
      <c r="G194">
        <f>IF($W194="","",IF(INDEX('Per Invoice'!G$2:G$801,$W194)="","",INDEX('Per Invoice'!G$2:G$801,$W194)))</f>
        <v/>
      </c>
      <c r="H194">
        <f>IF($W194="","",IF(INDEX('Per Invoice'!H$2:H$801,$W194)="","",INDEX('Per Invoice'!H$2:H$801,$W194)))</f>
        <v/>
      </c>
      <c r="I194">
        <f>IF($W194="","",IF(INDEX('Per Invoice'!I$2:I$801,$W194)="","",INDEX('Per Invoice'!I$2:I$801,$W194)))</f>
        <v/>
      </c>
      <c r="J194">
        <f>IF($W194="","",IF(INDEX('Per Invoice'!J$2:J$801,$W194)="","",INDEX('Per Invoice'!J$2:J$801,$W194)))</f>
        <v/>
      </c>
      <c r="K194" s="7">
        <f>IF($W194="","",IF(INDEX('Per Invoice'!K$2:K$801,$W194)="","",INDEX('Per Invoice'!K$2:K$801,$W194)))</f>
        <v/>
      </c>
      <c r="L194" s="14">
        <f>IF($W194="","",IF(INDEX('Per Invoice'!L$2:L$801,$W194)="","",INDEX('Per Invoice'!L$2:L$801,$W194)))</f>
        <v/>
      </c>
      <c r="M194">
        <f>IF($W194="","",IF(INDEX('Per Invoice'!M$2:M$801,$W194)="","",INDEX('Per Invoice'!M$2:M$801,$W194)))</f>
        <v/>
      </c>
      <c r="N194" s="7">
        <f>IF($W194="","",IF(INDEX('Per Invoice'!N$2:N$801,$W194)="","",INDEX('Per Invoice'!N$2:N$801,$W194)))</f>
        <v/>
      </c>
      <c r="O194" s="7">
        <f>IF($W194="","",IF(INDEX('Per Invoice'!O$2:O$801,$W194)="","",INDEX('Per Invoice'!O$2:O$801,$W194)))</f>
        <v/>
      </c>
      <c r="P194">
        <f>IF($W194="","",IF(INDEX('Per Invoice'!P$2:P$801,$W194)="","",INDEX('Per Invoice'!P$2:P$801,$W194)))</f>
        <v/>
      </c>
      <c r="Q194" s="7">
        <f>IF($W194="","",IF(INDEX('Per Invoice'!Q$2:Q$801,$W194)="","",INDEX('Per Invoice'!Q$2:Q$801,$W194)))</f>
        <v/>
      </c>
      <c r="R194" s="7">
        <f>IF($W194="","",IF(INDEX('Per Invoice'!R$2:R$801,$W194)="","",INDEX('Per Invoice'!R$2:R$801,$W194)))</f>
        <v/>
      </c>
      <c r="S194" s="7">
        <f>IF($W194="","",IF(INDEX('Per Invoice'!S$2:S$801,$W194)="","",INDEX('Per Invoice'!S$2:S$801,$W194)))</f>
        <v/>
      </c>
      <c r="T194" s="7">
        <f>IF($W194="","",IF(INDEX('Per Invoice'!T$2:T$801,$W194)="","",INDEX('Per Invoice'!T$2:T$801,$W194)))</f>
        <v/>
      </c>
      <c r="U194" s="7">
        <f>IF($W194="","",IF(INDEX('Per Invoice'!U$2:U$801,$W194)="","",INDEX('Per Invoice'!U$2:U$801,$W194)))</f>
        <v/>
      </c>
      <c r="V194" s="7">
        <f>IF($W194="","",IF(INDEX('Per Invoice'!V$2:V$801,$W194)="","",INDEX('Per Invoice'!V$2:V$801,$W194)))</f>
        <v/>
      </c>
      <c r="W194" s="16">
        <f>IFERROR(MATCH(Settings!$C$29&amp;"|"&amp;ROWS($W$2:$W194),'Per Invoice'!$X$2:$X$801,0),"")</f>
        <v/>
      </c>
    </row>
    <row r="195">
      <c r="A195">
        <f>IF($W195="","",IF(INDEX('Per Invoice'!A$2:A$801,$W195)="","",INDEX('Per Invoice'!A$2:A$801,$W195)))</f>
        <v/>
      </c>
      <c r="B195">
        <f>IF($W195="","",IF(INDEX('Per Invoice'!B$2:B$801,$W195)="","",INDEX('Per Invoice'!B$2:B$801,$W195)))</f>
        <v/>
      </c>
      <c r="C195">
        <f>IF($W195="","",IF(INDEX('Per Invoice'!C$2:C$801,$W195)="","",INDEX('Per Invoice'!C$2:C$801,$W195)))</f>
        <v/>
      </c>
      <c r="D195">
        <f>IF($W195="","",IF(INDEX('Per Invoice'!D$2:D$801,$W195)="","",INDEX('Per Invoice'!D$2:D$801,$W195)))</f>
        <v/>
      </c>
      <c r="E195">
        <f>IF($W195="","",IF(INDEX('Per Invoice'!E$2:E$801,$W195)="","",INDEX('Per Invoice'!E$2:E$801,$W195)))</f>
        <v/>
      </c>
      <c r="F195">
        <f>IF($W195="","",IF(INDEX('Per Invoice'!F$2:F$801,$W195)="","",INDEX('Per Invoice'!F$2:F$801,$W195)))</f>
        <v/>
      </c>
      <c r="G195">
        <f>IF($W195="","",IF(INDEX('Per Invoice'!G$2:G$801,$W195)="","",INDEX('Per Invoice'!G$2:G$801,$W195)))</f>
        <v/>
      </c>
      <c r="H195">
        <f>IF($W195="","",IF(INDEX('Per Invoice'!H$2:H$801,$W195)="","",INDEX('Per Invoice'!H$2:H$801,$W195)))</f>
        <v/>
      </c>
      <c r="I195">
        <f>IF($W195="","",IF(INDEX('Per Invoice'!I$2:I$801,$W195)="","",INDEX('Per Invoice'!I$2:I$801,$W195)))</f>
        <v/>
      </c>
      <c r="J195">
        <f>IF($W195="","",IF(INDEX('Per Invoice'!J$2:J$801,$W195)="","",INDEX('Per Invoice'!J$2:J$801,$W195)))</f>
        <v/>
      </c>
      <c r="K195" s="7">
        <f>IF($W195="","",IF(INDEX('Per Invoice'!K$2:K$801,$W195)="","",INDEX('Per Invoice'!K$2:K$801,$W195)))</f>
        <v/>
      </c>
      <c r="L195" s="14">
        <f>IF($W195="","",IF(INDEX('Per Invoice'!L$2:L$801,$W195)="","",INDEX('Per Invoice'!L$2:L$801,$W195)))</f>
        <v/>
      </c>
      <c r="M195">
        <f>IF($W195="","",IF(INDEX('Per Invoice'!M$2:M$801,$W195)="","",INDEX('Per Invoice'!M$2:M$801,$W195)))</f>
        <v/>
      </c>
      <c r="N195" s="7">
        <f>IF($W195="","",IF(INDEX('Per Invoice'!N$2:N$801,$W195)="","",INDEX('Per Invoice'!N$2:N$801,$W195)))</f>
        <v/>
      </c>
      <c r="O195" s="7">
        <f>IF($W195="","",IF(INDEX('Per Invoice'!O$2:O$801,$W195)="","",INDEX('Per Invoice'!O$2:O$801,$W195)))</f>
        <v/>
      </c>
      <c r="P195">
        <f>IF($W195="","",IF(INDEX('Per Invoice'!P$2:P$801,$W195)="","",INDEX('Per Invoice'!P$2:P$801,$W195)))</f>
        <v/>
      </c>
      <c r="Q195" s="7">
        <f>IF($W195="","",IF(INDEX('Per Invoice'!Q$2:Q$801,$W195)="","",INDEX('Per Invoice'!Q$2:Q$801,$W195)))</f>
        <v/>
      </c>
      <c r="R195" s="7">
        <f>IF($W195="","",IF(INDEX('Per Invoice'!R$2:R$801,$W195)="","",INDEX('Per Invoice'!R$2:R$801,$W195)))</f>
        <v/>
      </c>
      <c r="S195" s="7">
        <f>IF($W195="","",IF(INDEX('Per Invoice'!S$2:S$801,$W195)="","",INDEX('Per Invoice'!S$2:S$801,$W195)))</f>
        <v/>
      </c>
      <c r="T195" s="7">
        <f>IF($W195="","",IF(INDEX('Per Invoice'!T$2:T$801,$W195)="","",INDEX('Per Invoice'!T$2:T$801,$W195)))</f>
        <v/>
      </c>
      <c r="U195" s="7">
        <f>IF($W195="","",IF(INDEX('Per Invoice'!U$2:U$801,$W195)="","",INDEX('Per Invoice'!U$2:U$801,$W195)))</f>
        <v/>
      </c>
      <c r="V195" s="7">
        <f>IF($W195="","",IF(INDEX('Per Invoice'!V$2:V$801,$W195)="","",INDEX('Per Invoice'!V$2:V$801,$W195)))</f>
        <v/>
      </c>
      <c r="W195" s="16">
        <f>IFERROR(MATCH(Settings!$C$29&amp;"|"&amp;ROWS($W$2:$W195),'Per Invoice'!$X$2:$X$801,0),"")</f>
        <v/>
      </c>
    </row>
    <row r="196">
      <c r="A196">
        <f>IF($W196="","",IF(INDEX('Per Invoice'!A$2:A$801,$W196)="","",INDEX('Per Invoice'!A$2:A$801,$W196)))</f>
        <v/>
      </c>
      <c r="B196">
        <f>IF($W196="","",IF(INDEX('Per Invoice'!B$2:B$801,$W196)="","",INDEX('Per Invoice'!B$2:B$801,$W196)))</f>
        <v/>
      </c>
      <c r="C196">
        <f>IF($W196="","",IF(INDEX('Per Invoice'!C$2:C$801,$W196)="","",INDEX('Per Invoice'!C$2:C$801,$W196)))</f>
        <v/>
      </c>
      <c r="D196">
        <f>IF($W196="","",IF(INDEX('Per Invoice'!D$2:D$801,$W196)="","",INDEX('Per Invoice'!D$2:D$801,$W196)))</f>
        <v/>
      </c>
      <c r="E196">
        <f>IF($W196="","",IF(INDEX('Per Invoice'!E$2:E$801,$W196)="","",INDEX('Per Invoice'!E$2:E$801,$W196)))</f>
        <v/>
      </c>
      <c r="F196">
        <f>IF($W196="","",IF(INDEX('Per Invoice'!F$2:F$801,$W196)="","",INDEX('Per Invoice'!F$2:F$801,$W196)))</f>
        <v/>
      </c>
      <c r="G196">
        <f>IF($W196="","",IF(INDEX('Per Invoice'!G$2:G$801,$W196)="","",INDEX('Per Invoice'!G$2:G$801,$W196)))</f>
        <v/>
      </c>
      <c r="H196">
        <f>IF($W196="","",IF(INDEX('Per Invoice'!H$2:H$801,$W196)="","",INDEX('Per Invoice'!H$2:H$801,$W196)))</f>
        <v/>
      </c>
      <c r="I196">
        <f>IF($W196="","",IF(INDEX('Per Invoice'!I$2:I$801,$W196)="","",INDEX('Per Invoice'!I$2:I$801,$W196)))</f>
        <v/>
      </c>
      <c r="J196">
        <f>IF($W196="","",IF(INDEX('Per Invoice'!J$2:J$801,$W196)="","",INDEX('Per Invoice'!J$2:J$801,$W196)))</f>
        <v/>
      </c>
      <c r="K196" s="7">
        <f>IF($W196="","",IF(INDEX('Per Invoice'!K$2:K$801,$W196)="","",INDEX('Per Invoice'!K$2:K$801,$W196)))</f>
        <v/>
      </c>
      <c r="L196" s="14">
        <f>IF($W196="","",IF(INDEX('Per Invoice'!L$2:L$801,$W196)="","",INDEX('Per Invoice'!L$2:L$801,$W196)))</f>
        <v/>
      </c>
      <c r="M196">
        <f>IF($W196="","",IF(INDEX('Per Invoice'!M$2:M$801,$W196)="","",INDEX('Per Invoice'!M$2:M$801,$W196)))</f>
        <v/>
      </c>
      <c r="N196" s="7">
        <f>IF($W196="","",IF(INDEX('Per Invoice'!N$2:N$801,$W196)="","",INDEX('Per Invoice'!N$2:N$801,$W196)))</f>
        <v/>
      </c>
      <c r="O196" s="7">
        <f>IF($W196="","",IF(INDEX('Per Invoice'!O$2:O$801,$W196)="","",INDEX('Per Invoice'!O$2:O$801,$W196)))</f>
        <v/>
      </c>
      <c r="P196">
        <f>IF($W196="","",IF(INDEX('Per Invoice'!P$2:P$801,$W196)="","",INDEX('Per Invoice'!P$2:P$801,$W196)))</f>
        <v/>
      </c>
      <c r="Q196" s="7">
        <f>IF($W196="","",IF(INDEX('Per Invoice'!Q$2:Q$801,$W196)="","",INDEX('Per Invoice'!Q$2:Q$801,$W196)))</f>
        <v/>
      </c>
      <c r="R196" s="7">
        <f>IF($W196="","",IF(INDEX('Per Invoice'!R$2:R$801,$W196)="","",INDEX('Per Invoice'!R$2:R$801,$W196)))</f>
        <v/>
      </c>
      <c r="S196" s="7">
        <f>IF($W196="","",IF(INDEX('Per Invoice'!S$2:S$801,$W196)="","",INDEX('Per Invoice'!S$2:S$801,$W196)))</f>
        <v/>
      </c>
      <c r="T196" s="7">
        <f>IF($W196="","",IF(INDEX('Per Invoice'!T$2:T$801,$W196)="","",INDEX('Per Invoice'!T$2:T$801,$W196)))</f>
        <v/>
      </c>
      <c r="U196" s="7">
        <f>IF($W196="","",IF(INDEX('Per Invoice'!U$2:U$801,$W196)="","",INDEX('Per Invoice'!U$2:U$801,$W196)))</f>
        <v/>
      </c>
      <c r="V196" s="7">
        <f>IF($W196="","",IF(INDEX('Per Invoice'!V$2:V$801,$W196)="","",INDEX('Per Invoice'!V$2:V$801,$W196)))</f>
        <v/>
      </c>
      <c r="W196" s="16">
        <f>IFERROR(MATCH(Settings!$C$29&amp;"|"&amp;ROWS($W$2:$W196),'Per Invoice'!$X$2:$X$801,0),"")</f>
        <v/>
      </c>
    </row>
    <row r="197">
      <c r="A197">
        <f>IF($W197="","",IF(INDEX('Per Invoice'!A$2:A$801,$W197)="","",INDEX('Per Invoice'!A$2:A$801,$W197)))</f>
        <v/>
      </c>
      <c r="B197">
        <f>IF($W197="","",IF(INDEX('Per Invoice'!B$2:B$801,$W197)="","",INDEX('Per Invoice'!B$2:B$801,$W197)))</f>
        <v/>
      </c>
      <c r="C197">
        <f>IF($W197="","",IF(INDEX('Per Invoice'!C$2:C$801,$W197)="","",INDEX('Per Invoice'!C$2:C$801,$W197)))</f>
        <v/>
      </c>
      <c r="D197">
        <f>IF($W197="","",IF(INDEX('Per Invoice'!D$2:D$801,$W197)="","",INDEX('Per Invoice'!D$2:D$801,$W197)))</f>
        <v/>
      </c>
      <c r="E197">
        <f>IF($W197="","",IF(INDEX('Per Invoice'!E$2:E$801,$W197)="","",INDEX('Per Invoice'!E$2:E$801,$W197)))</f>
        <v/>
      </c>
      <c r="F197">
        <f>IF($W197="","",IF(INDEX('Per Invoice'!F$2:F$801,$W197)="","",INDEX('Per Invoice'!F$2:F$801,$W197)))</f>
        <v/>
      </c>
      <c r="G197">
        <f>IF($W197="","",IF(INDEX('Per Invoice'!G$2:G$801,$W197)="","",INDEX('Per Invoice'!G$2:G$801,$W197)))</f>
        <v/>
      </c>
      <c r="H197">
        <f>IF($W197="","",IF(INDEX('Per Invoice'!H$2:H$801,$W197)="","",INDEX('Per Invoice'!H$2:H$801,$W197)))</f>
        <v/>
      </c>
      <c r="I197">
        <f>IF($W197="","",IF(INDEX('Per Invoice'!I$2:I$801,$W197)="","",INDEX('Per Invoice'!I$2:I$801,$W197)))</f>
        <v/>
      </c>
      <c r="J197">
        <f>IF($W197="","",IF(INDEX('Per Invoice'!J$2:J$801,$W197)="","",INDEX('Per Invoice'!J$2:J$801,$W197)))</f>
        <v/>
      </c>
      <c r="K197" s="7">
        <f>IF($W197="","",IF(INDEX('Per Invoice'!K$2:K$801,$W197)="","",INDEX('Per Invoice'!K$2:K$801,$W197)))</f>
        <v/>
      </c>
      <c r="L197" s="14">
        <f>IF($W197="","",IF(INDEX('Per Invoice'!L$2:L$801,$W197)="","",INDEX('Per Invoice'!L$2:L$801,$W197)))</f>
        <v/>
      </c>
      <c r="M197">
        <f>IF($W197="","",IF(INDEX('Per Invoice'!M$2:M$801,$W197)="","",INDEX('Per Invoice'!M$2:M$801,$W197)))</f>
        <v/>
      </c>
      <c r="N197" s="7">
        <f>IF($W197="","",IF(INDEX('Per Invoice'!N$2:N$801,$W197)="","",INDEX('Per Invoice'!N$2:N$801,$W197)))</f>
        <v/>
      </c>
      <c r="O197" s="7">
        <f>IF($W197="","",IF(INDEX('Per Invoice'!O$2:O$801,$W197)="","",INDEX('Per Invoice'!O$2:O$801,$W197)))</f>
        <v/>
      </c>
      <c r="P197">
        <f>IF($W197="","",IF(INDEX('Per Invoice'!P$2:P$801,$W197)="","",INDEX('Per Invoice'!P$2:P$801,$W197)))</f>
        <v/>
      </c>
      <c r="Q197" s="7">
        <f>IF($W197="","",IF(INDEX('Per Invoice'!Q$2:Q$801,$W197)="","",INDEX('Per Invoice'!Q$2:Q$801,$W197)))</f>
        <v/>
      </c>
      <c r="R197" s="7">
        <f>IF($W197="","",IF(INDEX('Per Invoice'!R$2:R$801,$W197)="","",INDEX('Per Invoice'!R$2:R$801,$W197)))</f>
        <v/>
      </c>
      <c r="S197" s="7">
        <f>IF($W197="","",IF(INDEX('Per Invoice'!S$2:S$801,$W197)="","",INDEX('Per Invoice'!S$2:S$801,$W197)))</f>
        <v/>
      </c>
      <c r="T197" s="7">
        <f>IF($W197="","",IF(INDEX('Per Invoice'!T$2:T$801,$W197)="","",INDEX('Per Invoice'!T$2:T$801,$W197)))</f>
        <v/>
      </c>
      <c r="U197" s="7">
        <f>IF($W197="","",IF(INDEX('Per Invoice'!U$2:U$801,$W197)="","",INDEX('Per Invoice'!U$2:U$801,$W197)))</f>
        <v/>
      </c>
      <c r="V197" s="7">
        <f>IF($W197="","",IF(INDEX('Per Invoice'!V$2:V$801,$W197)="","",INDEX('Per Invoice'!V$2:V$801,$W197)))</f>
        <v/>
      </c>
      <c r="W197" s="16">
        <f>IFERROR(MATCH(Settings!$C$29&amp;"|"&amp;ROWS($W$2:$W197),'Per Invoice'!$X$2:$X$801,0),"")</f>
        <v/>
      </c>
    </row>
    <row r="198">
      <c r="A198">
        <f>IF($W198="","",IF(INDEX('Per Invoice'!A$2:A$801,$W198)="","",INDEX('Per Invoice'!A$2:A$801,$W198)))</f>
        <v/>
      </c>
      <c r="B198">
        <f>IF($W198="","",IF(INDEX('Per Invoice'!B$2:B$801,$W198)="","",INDEX('Per Invoice'!B$2:B$801,$W198)))</f>
        <v/>
      </c>
      <c r="C198">
        <f>IF($W198="","",IF(INDEX('Per Invoice'!C$2:C$801,$W198)="","",INDEX('Per Invoice'!C$2:C$801,$W198)))</f>
        <v/>
      </c>
      <c r="D198">
        <f>IF($W198="","",IF(INDEX('Per Invoice'!D$2:D$801,$W198)="","",INDEX('Per Invoice'!D$2:D$801,$W198)))</f>
        <v/>
      </c>
      <c r="E198">
        <f>IF($W198="","",IF(INDEX('Per Invoice'!E$2:E$801,$W198)="","",INDEX('Per Invoice'!E$2:E$801,$W198)))</f>
        <v/>
      </c>
      <c r="F198">
        <f>IF($W198="","",IF(INDEX('Per Invoice'!F$2:F$801,$W198)="","",INDEX('Per Invoice'!F$2:F$801,$W198)))</f>
        <v/>
      </c>
      <c r="G198">
        <f>IF($W198="","",IF(INDEX('Per Invoice'!G$2:G$801,$W198)="","",INDEX('Per Invoice'!G$2:G$801,$W198)))</f>
        <v/>
      </c>
      <c r="H198">
        <f>IF($W198="","",IF(INDEX('Per Invoice'!H$2:H$801,$W198)="","",INDEX('Per Invoice'!H$2:H$801,$W198)))</f>
        <v/>
      </c>
      <c r="I198">
        <f>IF($W198="","",IF(INDEX('Per Invoice'!I$2:I$801,$W198)="","",INDEX('Per Invoice'!I$2:I$801,$W198)))</f>
        <v/>
      </c>
      <c r="J198">
        <f>IF($W198="","",IF(INDEX('Per Invoice'!J$2:J$801,$W198)="","",INDEX('Per Invoice'!J$2:J$801,$W198)))</f>
        <v/>
      </c>
      <c r="K198" s="7">
        <f>IF($W198="","",IF(INDEX('Per Invoice'!K$2:K$801,$W198)="","",INDEX('Per Invoice'!K$2:K$801,$W198)))</f>
        <v/>
      </c>
      <c r="L198" s="14">
        <f>IF($W198="","",IF(INDEX('Per Invoice'!L$2:L$801,$W198)="","",INDEX('Per Invoice'!L$2:L$801,$W198)))</f>
        <v/>
      </c>
      <c r="M198">
        <f>IF($W198="","",IF(INDEX('Per Invoice'!M$2:M$801,$W198)="","",INDEX('Per Invoice'!M$2:M$801,$W198)))</f>
        <v/>
      </c>
      <c r="N198" s="7">
        <f>IF($W198="","",IF(INDEX('Per Invoice'!N$2:N$801,$W198)="","",INDEX('Per Invoice'!N$2:N$801,$W198)))</f>
        <v/>
      </c>
      <c r="O198" s="7">
        <f>IF($W198="","",IF(INDEX('Per Invoice'!O$2:O$801,$W198)="","",INDEX('Per Invoice'!O$2:O$801,$W198)))</f>
        <v/>
      </c>
      <c r="P198">
        <f>IF($W198="","",IF(INDEX('Per Invoice'!P$2:P$801,$W198)="","",INDEX('Per Invoice'!P$2:P$801,$W198)))</f>
        <v/>
      </c>
      <c r="Q198" s="7">
        <f>IF($W198="","",IF(INDEX('Per Invoice'!Q$2:Q$801,$W198)="","",INDEX('Per Invoice'!Q$2:Q$801,$W198)))</f>
        <v/>
      </c>
      <c r="R198" s="7">
        <f>IF($W198="","",IF(INDEX('Per Invoice'!R$2:R$801,$W198)="","",INDEX('Per Invoice'!R$2:R$801,$W198)))</f>
        <v/>
      </c>
      <c r="S198" s="7">
        <f>IF($W198="","",IF(INDEX('Per Invoice'!S$2:S$801,$W198)="","",INDEX('Per Invoice'!S$2:S$801,$W198)))</f>
        <v/>
      </c>
      <c r="T198" s="7">
        <f>IF($W198="","",IF(INDEX('Per Invoice'!T$2:T$801,$W198)="","",INDEX('Per Invoice'!T$2:T$801,$W198)))</f>
        <v/>
      </c>
      <c r="U198" s="7">
        <f>IF($W198="","",IF(INDEX('Per Invoice'!U$2:U$801,$W198)="","",INDEX('Per Invoice'!U$2:U$801,$W198)))</f>
        <v/>
      </c>
      <c r="V198" s="7">
        <f>IF($W198="","",IF(INDEX('Per Invoice'!V$2:V$801,$W198)="","",INDEX('Per Invoice'!V$2:V$801,$W198)))</f>
        <v/>
      </c>
      <c r="W198" s="16">
        <f>IFERROR(MATCH(Settings!$C$29&amp;"|"&amp;ROWS($W$2:$W198),'Per Invoice'!$X$2:$X$801,0),"")</f>
        <v/>
      </c>
    </row>
    <row r="199">
      <c r="A199">
        <f>IF($W199="","",IF(INDEX('Per Invoice'!A$2:A$801,$W199)="","",INDEX('Per Invoice'!A$2:A$801,$W199)))</f>
        <v/>
      </c>
      <c r="B199">
        <f>IF($W199="","",IF(INDEX('Per Invoice'!B$2:B$801,$W199)="","",INDEX('Per Invoice'!B$2:B$801,$W199)))</f>
        <v/>
      </c>
      <c r="C199">
        <f>IF($W199="","",IF(INDEX('Per Invoice'!C$2:C$801,$W199)="","",INDEX('Per Invoice'!C$2:C$801,$W199)))</f>
        <v/>
      </c>
      <c r="D199">
        <f>IF($W199="","",IF(INDEX('Per Invoice'!D$2:D$801,$W199)="","",INDEX('Per Invoice'!D$2:D$801,$W199)))</f>
        <v/>
      </c>
      <c r="E199">
        <f>IF($W199="","",IF(INDEX('Per Invoice'!E$2:E$801,$W199)="","",INDEX('Per Invoice'!E$2:E$801,$W199)))</f>
        <v/>
      </c>
      <c r="F199">
        <f>IF($W199="","",IF(INDEX('Per Invoice'!F$2:F$801,$W199)="","",INDEX('Per Invoice'!F$2:F$801,$W199)))</f>
        <v/>
      </c>
      <c r="G199">
        <f>IF($W199="","",IF(INDEX('Per Invoice'!G$2:G$801,$W199)="","",INDEX('Per Invoice'!G$2:G$801,$W199)))</f>
        <v/>
      </c>
      <c r="H199">
        <f>IF($W199="","",IF(INDEX('Per Invoice'!H$2:H$801,$W199)="","",INDEX('Per Invoice'!H$2:H$801,$W199)))</f>
        <v/>
      </c>
      <c r="I199">
        <f>IF($W199="","",IF(INDEX('Per Invoice'!I$2:I$801,$W199)="","",INDEX('Per Invoice'!I$2:I$801,$W199)))</f>
        <v/>
      </c>
      <c r="J199">
        <f>IF($W199="","",IF(INDEX('Per Invoice'!J$2:J$801,$W199)="","",INDEX('Per Invoice'!J$2:J$801,$W199)))</f>
        <v/>
      </c>
      <c r="K199" s="7">
        <f>IF($W199="","",IF(INDEX('Per Invoice'!K$2:K$801,$W199)="","",INDEX('Per Invoice'!K$2:K$801,$W199)))</f>
        <v/>
      </c>
      <c r="L199" s="14">
        <f>IF($W199="","",IF(INDEX('Per Invoice'!L$2:L$801,$W199)="","",INDEX('Per Invoice'!L$2:L$801,$W199)))</f>
        <v/>
      </c>
      <c r="M199">
        <f>IF($W199="","",IF(INDEX('Per Invoice'!M$2:M$801,$W199)="","",INDEX('Per Invoice'!M$2:M$801,$W199)))</f>
        <v/>
      </c>
      <c r="N199" s="7">
        <f>IF($W199="","",IF(INDEX('Per Invoice'!N$2:N$801,$W199)="","",INDEX('Per Invoice'!N$2:N$801,$W199)))</f>
        <v/>
      </c>
      <c r="O199" s="7">
        <f>IF($W199="","",IF(INDEX('Per Invoice'!O$2:O$801,$W199)="","",INDEX('Per Invoice'!O$2:O$801,$W199)))</f>
        <v/>
      </c>
      <c r="P199">
        <f>IF($W199="","",IF(INDEX('Per Invoice'!P$2:P$801,$W199)="","",INDEX('Per Invoice'!P$2:P$801,$W199)))</f>
        <v/>
      </c>
      <c r="Q199" s="7">
        <f>IF($W199="","",IF(INDEX('Per Invoice'!Q$2:Q$801,$W199)="","",INDEX('Per Invoice'!Q$2:Q$801,$W199)))</f>
        <v/>
      </c>
      <c r="R199" s="7">
        <f>IF($W199="","",IF(INDEX('Per Invoice'!R$2:R$801,$W199)="","",INDEX('Per Invoice'!R$2:R$801,$W199)))</f>
        <v/>
      </c>
      <c r="S199" s="7">
        <f>IF($W199="","",IF(INDEX('Per Invoice'!S$2:S$801,$W199)="","",INDEX('Per Invoice'!S$2:S$801,$W199)))</f>
        <v/>
      </c>
      <c r="T199" s="7">
        <f>IF($W199="","",IF(INDEX('Per Invoice'!T$2:T$801,$W199)="","",INDEX('Per Invoice'!T$2:T$801,$W199)))</f>
        <v/>
      </c>
      <c r="U199" s="7">
        <f>IF($W199="","",IF(INDEX('Per Invoice'!U$2:U$801,$W199)="","",INDEX('Per Invoice'!U$2:U$801,$W199)))</f>
        <v/>
      </c>
      <c r="V199" s="7">
        <f>IF($W199="","",IF(INDEX('Per Invoice'!V$2:V$801,$W199)="","",INDEX('Per Invoice'!V$2:V$801,$W199)))</f>
        <v/>
      </c>
      <c r="W199" s="16">
        <f>IFERROR(MATCH(Settings!$C$29&amp;"|"&amp;ROWS($W$2:$W199),'Per Invoice'!$X$2:$X$801,0),"")</f>
        <v/>
      </c>
    </row>
    <row r="200">
      <c r="A200">
        <f>IF($W200="","",IF(INDEX('Per Invoice'!A$2:A$801,$W200)="","",INDEX('Per Invoice'!A$2:A$801,$W200)))</f>
        <v/>
      </c>
      <c r="B200">
        <f>IF($W200="","",IF(INDEX('Per Invoice'!B$2:B$801,$W200)="","",INDEX('Per Invoice'!B$2:B$801,$W200)))</f>
        <v/>
      </c>
      <c r="C200">
        <f>IF($W200="","",IF(INDEX('Per Invoice'!C$2:C$801,$W200)="","",INDEX('Per Invoice'!C$2:C$801,$W200)))</f>
        <v/>
      </c>
      <c r="D200">
        <f>IF($W200="","",IF(INDEX('Per Invoice'!D$2:D$801,$W200)="","",INDEX('Per Invoice'!D$2:D$801,$W200)))</f>
        <v/>
      </c>
      <c r="E200">
        <f>IF($W200="","",IF(INDEX('Per Invoice'!E$2:E$801,$W200)="","",INDEX('Per Invoice'!E$2:E$801,$W200)))</f>
        <v/>
      </c>
      <c r="F200">
        <f>IF($W200="","",IF(INDEX('Per Invoice'!F$2:F$801,$W200)="","",INDEX('Per Invoice'!F$2:F$801,$W200)))</f>
        <v/>
      </c>
      <c r="G200">
        <f>IF($W200="","",IF(INDEX('Per Invoice'!G$2:G$801,$W200)="","",INDEX('Per Invoice'!G$2:G$801,$W200)))</f>
        <v/>
      </c>
      <c r="H200">
        <f>IF($W200="","",IF(INDEX('Per Invoice'!H$2:H$801,$W200)="","",INDEX('Per Invoice'!H$2:H$801,$W200)))</f>
        <v/>
      </c>
      <c r="I200">
        <f>IF($W200="","",IF(INDEX('Per Invoice'!I$2:I$801,$W200)="","",INDEX('Per Invoice'!I$2:I$801,$W200)))</f>
        <v/>
      </c>
      <c r="J200">
        <f>IF($W200="","",IF(INDEX('Per Invoice'!J$2:J$801,$W200)="","",INDEX('Per Invoice'!J$2:J$801,$W200)))</f>
        <v/>
      </c>
      <c r="K200" s="7">
        <f>IF($W200="","",IF(INDEX('Per Invoice'!K$2:K$801,$W200)="","",INDEX('Per Invoice'!K$2:K$801,$W200)))</f>
        <v/>
      </c>
      <c r="L200" s="14">
        <f>IF($W200="","",IF(INDEX('Per Invoice'!L$2:L$801,$W200)="","",INDEX('Per Invoice'!L$2:L$801,$W200)))</f>
        <v/>
      </c>
      <c r="M200">
        <f>IF($W200="","",IF(INDEX('Per Invoice'!M$2:M$801,$W200)="","",INDEX('Per Invoice'!M$2:M$801,$W200)))</f>
        <v/>
      </c>
      <c r="N200" s="7">
        <f>IF($W200="","",IF(INDEX('Per Invoice'!N$2:N$801,$W200)="","",INDEX('Per Invoice'!N$2:N$801,$W200)))</f>
        <v/>
      </c>
      <c r="O200" s="7">
        <f>IF($W200="","",IF(INDEX('Per Invoice'!O$2:O$801,$W200)="","",INDEX('Per Invoice'!O$2:O$801,$W200)))</f>
        <v/>
      </c>
      <c r="P200">
        <f>IF($W200="","",IF(INDEX('Per Invoice'!P$2:P$801,$W200)="","",INDEX('Per Invoice'!P$2:P$801,$W200)))</f>
        <v/>
      </c>
      <c r="Q200" s="7">
        <f>IF($W200="","",IF(INDEX('Per Invoice'!Q$2:Q$801,$W200)="","",INDEX('Per Invoice'!Q$2:Q$801,$W200)))</f>
        <v/>
      </c>
      <c r="R200" s="7">
        <f>IF($W200="","",IF(INDEX('Per Invoice'!R$2:R$801,$W200)="","",INDEX('Per Invoice'!R$2:R$801,$W200)))</f>
        <v/>
      </c>
      <c r="S200" s="7">
        <f>IF($W200="","",IF(INDEX('Per Invoice'!S$2:S$801,$W200)="","",INDEX('Per Invoice'!S$2:S$801,$W200)))</f>
        <v/>
      </c>
      <c r="T200" s="7">
        <f>IF($W200="","",IF(INDEX('Per Invoice'!T$2:T$801,$W200)="","",INDEX('Per Invoice'!T$2:T$801,$W200)))</f>
        <v/>
      </c>
      <c r="U200" s="7">
        <f>IF($W200="","",IF(INDEX('Per Invoice'!U$2:U$801,$W200)="","",INDEX('Per Invoice'!U$2:U$801,$W200)))</f>
        <v/>
      </c>
      <c r="V200" s="7">
        <f>IF($W200="","",IF(INDEX('Per Invoice'!V$2:V$801,$W200)="","",INDEX('Per Invoice'!V$2:V$801,$W200)))</f>
        <v/>
      </c>
      <c r="W200" s="16">
        <f>IFERROR(MATCH(Settings!$C$29&amp;"|"&amp;ROWS($W$2:$W200),'Per Invoice'!$X$2:$X$801,0),"")</f>
        <v/>
      </c>
    </row>
    <row r="201">
      <c r="A201">
        <f>IF($W201="","",IF(INDEX('Per Invoice'!A$2:A$801,$W201)="","",INDEX('Per Invoice'!A$2:A$801,$W201)))</f>
        <v/>
      </c>
      <c r="B201">
        <f>IF($W201="","",IF(INDEX('Per Invoice'!B$2:B$801,$W201)="","",INDEX('Per Invoice'!B$2:B$801,$W201)))</f>
        <v/>
      </c>
      <c r="C201">
        <f>IF($W201="","",IF(INDEX('Per Invoice'!C$2:C$801,$W201)="","",INDEX('Per Invoice'!C$2:C$801,$W201)))</f>
        <v/>
      </c>
      <c r="D201">
        <f>IF($W201="","",IF(INDEX('Per Invoice'!D$2:D$801,$W201)="","",INDEX('Per Invoice'!D$2:D$801,$W201)))</f>
        <v/>
      </c>
      <c r="E201">
        <f>IF($W201="","",IF(INDEX('Per Invoice'!E$2:E$801,$W201)="","",INDEX('Per Invoice'!E$2:E$801,$W201)))</f>
        <v/>
      </c>
      <c r="F201">
        <f>IF($W201="","",IF(INDEX('Per Invoice'!F$2:F$801,$W201)="","",INDEX('Per Invoice'!F$2:F$801,$W201)))</f>
        <v/>
      </c>
      <c r="G201">
        <f>IF($W201="","",IF(INDEX('Per Invoice'!G$2:G$801,$W201)="","",INDEX('Per Invoice'!G$2:G$801,$W201)))</f>
        <v/>
      </c>
      <c r="H201">
        <f>IF($W201="","",IF(INDEX('Per Invoice'!H$2:H$801,$W201)="","",INDEX('Per Invoice'!H$2:H$801,$W201)))</f>
        <v/>
      </c>
      <c r="I201">
        <f>IF($W201="","",IF(INDEX('Per Invoice'!I$2:I$801,$W201)="","",INDEX('Per Invoice'!I$2:I$801,$W201)))</f>
        <v/>
      </c>
      <c r="J201">
        <f>IF($W201="","",IF(INDEX('Per Invoice'!J$2:J$801,$W201)="","",INDEX('Per Invoice'!J$2:J$801,$W201)))</f>
        <v/>
      </c>
      <c r="K201" s="7">
        <f>IF($W201="","",IF(INDEX('Per Invoice'!K$2:K$801,$W201)="","",INDEX('Per Invoice'!K$2:K$801,$W201)))</f>
        <v/>
      </c>
      <c r="L201" s="14">
        <f>IF($W201="","",IF(INDEX('Per Invoice'!L$2:L$801,$W201)="","",INDEX('Per Invoice'!L$2:L$801,$W201)))</f>
        <v/>
      </c>
      <c r="M201">
        <f>IF($W201="","",IF(INDEX('Per Invoice'!M$2:M$801,$W201)="","",INDEX('Per Invoice'!M$2:M$801,$W201)))</f>
        <v/>
      </c>
      <c r="N201" s="7">
        <f>IF($W201="","",IF(INDEX('Per Invoice'!N$2:N$801,$W201)="","",INDEX('Per Invoice'!N$2:N$801,$W201)))</f>
        <v/>
      </c>
      <c r="O201" s="7">
        <f>IF($W201="","",IF(INDEX('Per Invoice'!O$2:O$801,$W201)="","",INDEX('Per Invoice'!O$2:O$801,$W201)))</f>
        <v/>
      </c>
      <c r="P201">
        <f>IF($W201="","",IF(INDEX('Per Invoice'!P$2:P$801,$W201)="","",INDEX('Per Invoice'!P$2:P$801,$W201)))</f>
        <v/>
      </c>
      <c r="Q201" s="7">
        <f>IF($W201="","",IF(INDEX('Per Invoice'!Q$2:Q$801,$W201)="","",INDEX('Per Invoice'!Q$2:Q$801,$W201)))</f>
        <v/>
      </c>
      <c r="R201" s="7">
        <f>IF($W201="","",IF(INDEX('Per Invoice'!R$2:R$801,$W201)="","",INDEX('Per Invoice'!R$2:R$801,$W201)))</f>
        <v/>
      </c>
      <c r="S201" s="7">
        <f>IF($W201="","",IF(INDEX('Per Invoice'!S$2:S$801,$W201)="","",INDEX('Per Invoice'!S$2:S$801,$W201)))</f>
        <v/>
      </c>
      <c r="T201" s="7">
        <f>IF($W201="","",IF(INDEX('Per Invoice'!T$2:T$801,$W201)="","",INDEX('Per Invoice'!T$2:T$801,$W201)))</f>
        <v/>
      </c>
      <c r="U201" s="7">
        <f>IF($W201="","",IF(INDEX('Per Invoice'!U$2:U$801,$W201)="","",INDEX('Per Invoice'!U$2:U$801,$W201)))</f>
        <v/>
      </c>
      <c r="V201" s="7">
        <f>IF($W201="","",IF(INDEX('Per Invoice'!V$2:V$801,$W201)="","",INDEX('Per Invoice'!V$2:V$801,$W201)))</f>
        <v/>
      </c>
      <c r="W201" s="16">
        <f>IFERROR(MATCH(Settings!$C$29&amp;"|"&amp;ROWS($W$2:$W201),'Per Invoice'!$X$2:$X$801,0),"")</f>
        <v/>
      </c>
    </row>
    <row r="202">
      <c r="A202">
        <f>IF($W202="","",IF(INDEX('Per Invoice'!A$2:A$801,$W202)="","",INDEX('Per Invoice'!A$2:A$801,$W202)))</f>
        <v/>
      </c>
      <c r="B202">
        <f>IF($W202="","",IF(INDEX('Per Invoice'!B$2:B$801,$W202)="","",INDEX('Per Invoice'!B$2:B$801,$W202)))</f>
        <v/>
      </c>
      <c r="C202">
        <f>IF($W202="","",IF(INDEX('Per Invoice'!C$2:C$801,$W202)="","",INDEX('Per Invoice'!C$2:C$801,$W202)))</f>
        <v/>
      </c>
      <c r="D202">
        <f>IF($W202="","",IF(INDEX('Per Invoice'!D$2:D$801,$W202)="","",INDEX('Per Invoice'!D$2:D$801,$W202)))</f>
        <v/>
      </c>
      <c r="E202">
        <f>IF($W202="","",IF(INDEX('Per Invoice'!E$2:E$801,$W202)="","",INDEX('Per Invoice'!E$2:E$801,$W202)))</f>
        <v/>
      </c>
      <c r="F202">
        <f>IF($W202="","",IF(INDEX('Per Invoice'!F$2:F$801,$W202)="","",INDEX('Per Invoice'!F$2:F$801,$W202)))</f>
        <v/>
      </c>
      <c r="G202">
        <f>IF($W202="","",IF(INDEX('Per Invoice'!G$2:G$801,$W202)="","",INDEX('Per Invoice'!G$2:G$801,$W202)))</f>
        <v/>
      </c>
      <c r="H202">
        <f>IF($W202="","",IF(INDEX('Per Invoice'!H$2:H$801,$W202)="","",INDEX('Per Invoice'!H$2:H$801,$W202)))</f>
        <v/>
      </c>
      <c r="I202">
        <f>IF($W202="","",IF(INDEX('Per Invoice'!I$2:I$801,$W202)="","",INDEX('Per Invoice'!I$2:I$801,$W202)))</f>
        <v/>
      </c>
      <c r="J202">
        <f>IF($W202="","",IF(INDEX('Per Invoice'!J$2:J$801,$W202)="","",INDEX('Per Invoice'!J$2:J$801,$W202)))</f>
        <v/>
      </c>
      <c r="K202" s="7">
        <f>IF($W202="","",IF(INDEX('Per Invoice'!K$2:K$801,$W202)="","",INDEX('Per Invoice'!K$2:K$801,$W202)))</f>
        <v/>
      </c>
      <c r="L202" s="14">
        <f>IF($W202="","",IF(INDEX('Per Invoice'!L$2:L$801,$W202)="","",INDEX('Per Invoice'!L$2:L$801,$W202)))</f>
        <v/>
      </c>
      <c r="M202">
        <f>IF($W202="","",IF(INDEX('Per Invoice'!M$2:M$801,$W202)="","",INDEX('Per Invoice'!M$2:M$801,$W202)))</f>
        <v/>
      </c>
      <c r="N202" s="7">
        <f>IF($W202="","",IF(INDEX('Per Invoice'!N$2:N$801,$W202)="","",INDEX('Per Invoice'!N$2:N$801,$W202)))</f>
        <v/>
      </c>
      <c r="O202" s="7">
        <f>IF($W202="","",IF(INDEX('Per Invoice'!O$2:O$801,$W202)="","",INDEX('Per Invoice'!O$2:O$801,$W202)))</f>
        <v/>
      </c>
      <c r="P202">
        <f>IF($W202="","",IF(INDEX('Per Invoice'!P$2:P$801,$W202)="","",INDEX('Per Invoice'!P$2:P$801,$W202)))</f>
        <v/>
      </c>
      <c r="Q202" s="7">
        <f>IF($W202="","",IF(INDEX('Per Invoice'!Q$2:Q$801,$W202)="","",INDEX('Per Invoice'!Q$2:Q$801,$W202)))</f>
        <v/>
      </c>
      <c r="R202" s="7">
        <f>IF($W202="","",IF(INDEX('Per Invoice'!R$2:R$801,$W202)="","",INDEX('Per Invoice'!R$2:R$801,$W202)))</f>
        <v/>
      </c>
      <c r="S202" s="7">
        <f>IF($W202="","",IF(INDEX('Per Invoice'!S$2:S$801,$W202)="","",INDEX('Per Invoice'!S$2:S$801,$W202)))</f>
        <v/>
      </c>
      <c r="T202" s="7">
        <f>IF($W202="","",IF(INDEX('Per Invoice'!T$2:T$801,$W202)="","",INDEX('Per Invoice'!T$2:T$801,$W202)))</f>
        <v/>
      </c>
      <c r="U202" s="7">
        <f>IF($W202="","",IF(INDEX('Per Invoice'!U$2:U$801,$W202)="","",INDEX('Per Invoice'!U$2:U$801,$W202)))</f>
        <v/>
      </c>
      <c r="V202" s="7">
        <f>IF($W202="","",IF(INDEX('Per Invoice'!V$2:V$801,$W202)="","",INDEX('Per Invoice'!V$2:V$801,$W202)))</f>
        <v/>
      </c>
      <c r="W202" s="16">
        <f>IFERROR(MATCH(Settings!$C$29&amp;"|"&amp;ROWS($W$2:$W202),'Per Invoice'!$X$2:$X$801,0),"")</f>
        <v/>
      </c>
    </row>
    <row r="203">
      <c r="A203">
        <f>IF($W203="","",IF(INDEX('Per Invoice'!A$2:A$801,$W203)="","",INDEX('Per Invoice'!A$2:A$801,$W203)))</f>
        <v/>
      </c>
      <c r="B203">
        <f>IF($W203="","",IF(INDEX('Per Invoice'!B$2:B$801,$W203)="","",INDEX('Per Invoice'!B$2:B$801,$W203)))</f>
        <v/>
      </c>
      <c r="C203">
        <f>IF($W203="","",IF(INDEX('Per Invoice'!C$2:C$801,$W203)="","",INDEX('Per Invoice'!C$2:C$801,$W203)))</f>
        <v/>
      </c>
      <c r="D203">
        <f>IF($W203="","",IF(INDEX('Per Invoice'!D$2:D$801,$W203)="","",INDEX('Per Invoice'!D$2:D$801,$W203)))</f>
        <v/>
      </c>
      <c r="E203">
        <f>IF($W203="","",IF(INDEX('Per Invoice'!E$2:E$801,$W203)="","",INDEX('Per Invoice'!E$2:E$801,$W203)))</f>
        <v/>
      </c>
      <c r="F203">
        <f>IF($W203="","",IF(INDEX('Per Invoice'!F$2:F$801,$W203)="","",INDEX('Per Invoice'!F$2:F$801,$W203)))</f>
        <v/>
      </c>
      <c r="G203">
        <f>IF($W203="","",IF(INDEX('Per Invoice'!G$2:G$801,$W203)="","",INDEX('Per Invoice'!G$2:G$801,$W203)))</f>
        <v/>
      </c>
      <c r="H203">
        <f>IF($W203="","",IF(INDEX('Per Invoice'!H$2:H$801,$W203)="","",INDEX('Per Invoice'!H$2:H$801,$W203)))</f>
        <v/>
      </c>
      <c r="I203">
        <f>IF($W203="","",IF(INDEX('Per Invoice'!I$2:I$801,$W203)="","",INDEX('Per Invoice'!I$2:I$801,$W203)))</f>
        <v/>
      </c>
      <c r="J203">
        <f>IF($W203="","",IF(INDEX('Per Invoice'!J$2:J$801,$W203)="","",INDEX('Per Invoice'!J$2:J$801,$W203)))</f>
        <v/>
      </c>
      <c r="K203" s="7">
        <f>IF($W203="","",IF(INDEX('Per Invoice'!K$2:K$801,$W203)="","",INDEX('Per Invoice'!K$2:K$801,$W203)))</f>
        <v/>
      </c>
      <c r="L203" s="14">
        <f>IF($W203="","",IF(INDEX('Per Invoice'!L$2:L$801,$W203)="","",INDEX('Per Invoice'!L$2:L$801,$W203)))</f>
        <v/>
      </c>
      <c r="M203">
        <f>IF($W203="","",IF(INDEX('Per Invoice'!M$2:M$801,$W203)="","",INDEX('Per Invoice'!M$2:M$801,$W203)))</f>
        <v/>
      </c>
      <c r="N203" s="7">
        <f>IF($W203="","",IF(INDEX('Per Invoice'!N$2:N$801,$W203)="","",INDEX('Per Invoice'!N$2:N$801,$W203)))</f>
        <v/>
      </c>
      <c r="O203" s="7">
        <f>IF($W203="","",IF(INDEX('Per Invoice'!O$2:O$801,$W203)="","",INDEX('Per Invoice'!O$2:O$801,$W203)))</f>
        <v/>
      </c>
      <c r="P203">
        <f>IF($W203="","",IF(INDEX('Per Invoice'!P$2:P$801,$W203)="","",INDEX('Per Invoice'!P$2:P$801,$W203)))</f>
        <v/>
      </c>
      <c r="Q203" s="7">
        <f>IF($W203="","",IF(INDEX('Per Invoice'!Q$2:Q$801,$W203)="","",INDEX('Per Invoice'!Q$2:Q$801,$W203)))</f>
        <v/>
      </c>
      <c r="R203" s="7">
        <f>IF($W203="","",IF(INDEX('Per Invoice'!R$2:R$801,$W203)="","",INDEX('Per Invoice'!R$2:R$801,$W203)))</f>
        <v/>
      </c>
      <c r="S203" s="7">
        <f>IF($W203="","",IF(INDEX('Per Invoice'!S$2:S$801,$W203)="","",INDEX('Per Invoice'!S$2:S$801,$W203)))</f>
        <v/>
      </c>
      <c r="T203" s="7">
        <f>IF($W203="","",IF(INDEX('Per Invoice'!T$2:T$801,$W203)="","",INDEX('Per Invoice'!T$2:T$801,$W203)))</f>
        <v/>
      </c>
      <c r="U203" s="7">
        <f>IF($W203="","",IF(INDEX('Per Invoice'!U$2:U$801,$W203)="","",INDEX('Per Invoice'!U$2:U$801,$W203)))</f>
        <v/>
      </c>
      <c r="V203" s="7">
        <f>IF($W203="","",IF(INDEX('Per Invoice'!V$2:V$801,$W203)="","",INDEX('Per Invoice'!V$2:V$801,$W203)))</f>
        <v/>
      </c>
      <c r="W203" s="16">
        <f>IFERROR(MATCH(Settings!$C$29&amp;"|"&amp;ROWS($W$2:$W203),'Per Invoice'!$X$2:$X$801,0),"")</f>
        <v/>
      </c>
    </row>
    <row r="204">
      <c r="A204">
        <f>IF($W204="","",IF(INDEX('Per Invoice'!A$2:A$801,$W204)="","",INDEX('Per Invoice'!A$2:A$801,$W204)))</f>
        <v/>
      </c>
      <c r="B204">
        <f>IF($W204="","",IF(INDEX('Per Invoice'!B$2:B$801,$W204)="","",INDEX('Per Invoice'!B$2:B$801,$W204)))</f>
        <v/>
      </c>
      <c r="C204">
        <f>IF($W204="","",IF(INDEX('Per Invoice'!C$2:C$801,$W204)="","",INDEX('Per Invoice'!C$2:C$801,$W204)))</f>
        <v/>
      </c>
      <c r="D204">
        <f>IF($W204="","",IF(INDEX('Per Invoice'!D$2:D$801,$W204)="","",INDEX('Per Invoice'!D$2:D$801,$W204)))</f>
        <v/>
      </c>
      <c r="E204">
        <f>IF($W204="","",IF(INDEX('Per Invoice'!E$2:E$801,$W204)="","",INDEX('Per Invoice'!E$2:E$801,$W204)))</f>
        <v/>
      </c>
      <c r="F204">
        <f>IF($W204="","",IF(INDEX('Per Invoice'!F$2:F$801,$W204)="","",INDEX('Per Invoice'!F$2:F$801,$W204)))</f>
        <v/>
      </c>
      <c r="G204">
        <f>IF($W204="","",IF(INDEX('Per Invoice'!G$2:G$801,$W204)="","",INDEX('Per Invoice'!G$2:G$801,$W204)))</f>
        <v/>
      </c>
      <c r="H204">
        <f>IF($W204="","",IF(INDEX('Per Invoice'!H$2:H$801,$W204)="","",INDEX('Per Invoice'!H$2:H$801,$W204)))</f>
        <v/>
      </c>
      <c r="I204">
        <f>IF($W204="","",IF(INDEX('Per Invoice'!I$2:I$801,$W204)="","",INDEX('Per Invoice'!I$2:I$801,$W204)))</f>
        <v/>
      </c>
      <c r="J204">
        <f>IF($W204="","",IF(INDEX('Per Invoice'!J$2:J$801,$W204)="","",INDEX('Per Invoice'!J$2:J$801,$W204)))</f>
        <v/>
      </c>
      <c r="K204" s="7">
        <f>IF($W204="","",IF(INDEX('Per Invoice'!K$2:K$801,$W204)="","",INDEX('Per Invoice'!K$2:K$801,$W204)))</f>
        <v/>
      </c>
      <c r="L204" s="14">
        <f>IF($W204="","",IF(INDEX('Per Invoice'!L$2:L$801,$W204)="","",INDEX('Per Invoice'!L$2:L$801,$W204)))</f>
        <v/>
      </c>
      <c r="M204">
        <f>IF($W204="","",IF(INDEX('Per Invoice'!M$2:M$801,$W204)="","",INDEX('Per Invoice'!M$2:M$801,$W204)))</f>
        <v/>
      </c>
      <c r="N204" s="7">
        <f>IF($W204="","",IF(INDEX('Per Invoice'!N$2:N$801,$W204)="","",INDEX('Per Invoice'!N$2:N$801,$W204)))</f>
        <v/>
      </c>
      <c r="O204" s="7">
        <f>IF($W204="","",IF(INDEX('Per Invoice'!O$2:O$801,$W204)="","",INDEX('Per Invoice'!O$2:O$801,$W204)))</f>
        <v/>
      </c>
      <c r="P204">
        <f>IF($W204="","",IF(INDEX('Per Invoice'!P$2:P$801,$W204)="","",INDEX('Per Invoice'!P$2:P$801,$W204)))</f>
        <v/>
      </c>
      <c r="Q204" s="7">
        <f>IF($W204="","",IF(INDEX('Per Invoice'!Q$2:Q$801,$W204)="","",INDEX('Per Invoice'!Q$2:Q$801,$W204)))</f>
        <v/>
      </c>
      <c r="R204" s="7">
        <f>IF($W204="","",IF(INDEX('Per Invoice'!R$2:R$801,$W204)="","",INDEX('Per Invoice'!R$2:R$801,$W204)))</f>
        <v/>
      </c>
      <c r="S204" s="7">
        <f>IF($W204="","",IF(INDEX('Per Invoice'!S$2:S$801,$W204)="","",INDEX('Per Invoice'!S$2:S$801,$W204)))</f>
        <v/>
      </c>
      <c r="T204" s="7">
        <f>IF($W204="","",IF(INDEX('Per Invoice'!T$2:T$801,$W204)="","",INDEX('Per Invoice'!T$2:T$801,$W204)))</f>
        <v/>
      </c>
      <c r="U204" s="7">
        <f>IF($W204="","",IF(INDEX('Per Invoice'!U$2:U$801,$W204)="","",INDEX('Per Invoice'!U$2:U$801,$W204)))</f>
        <v/>
      </c>
      <c r="V204" s="7">
        <f>IF($W204="","",IF(INDEX('Per Invoice'!V$2:V$801,$W204)="","",INDEX('Per Invoice'!V$2:V$801,$W204)))</f>
        <v/>
      </c>
      <c r="W204" s="16">
        <f>IFERROR(MATCH(Settings!$C$29&amp;"|"&amp;ROWS($W$2:$W204),'Per Invoice'!$X$2:$X$801,0),"")</f>
        <v/>
      </c>
    </row>
    <row r="205">
      <c r="A205">
        <f>IF($W205="","",IF(INDEX('Per Invoice'!A$2:A$801,$W205)="","",INDEX('Per Invoice'!A$2:A$801,$W205)))</f>
        <v/>
      </c>
      <c r="B205">
        <f>IF($W205="","",IF(INDEX('Per Invoice'!B$2:B$801,$W205)="","",INDEX('Per Invoice'!B$2:B$801,$W205)))</f>
        <v/>
      </c>
      <c r="C205">
        <f>IF($W205="","",IF(INDEX('Per Invoice'!C$2:C$801,$W205)="","",INDEX('Per Invoice'!C$2:C$801,$W205)))</f>
        <v/>
      </c>
      <c r="D205">
        <f>IF($W205="","",IF(INDEX('Per Invoice'!D$2:D$801,$W205)="","",INDEX('Per Invoice'!D$2:D$801,$W205)))</f>
        <v/>
      </c>
      <c r="E205">
        <f>IF($W205="","",IF(INDEX('Per Invoice'!E$2:E$801,$W205)="","",INDEX('Per Invoice'!E$2:E$801,$W205)))</f>
        <v/>
      </c>
      <c r="F205">
        <f>IF($W205="","",IF(INDEX('Per Invoice'!F$2:F$801,$W205)="","",INDEX('Per Invoice'!F$2:F$801,$W205)))</f>
        <v/>
      </c>
      <c r="G205">
        <f>IF($W205="","",IF(INDEX('Per Invoice'!G$2:G$801,$W205)="","",INDEX('Per Invoice'!G$2:G$801,$W205)))</f>
        <v/>
      </c>
      <c r="H205">
        <f>IF($W205="","",IF(INDEX('Per Invoice'!H$2:H$801,$W205)="","",INDEX('Per Invoice'!H$2:H$801,$W205)))</f>
        <v/>
      </c>
      <c r="I205">
        <f>IF($W205="","",IF(INDEX('Per Invoice'!I$2:I$801,$W205)="","",INDEX('Per Invoice'!I$2:I$801,$W205)))</f>
        <v/>
      </c>
      <c r="J205">
        <f>IF($W205="","",IF(INDEX('Per Invoice'!J$2:J$801,$W205)="","",INDEX('Per Invoice'!J$2:J$801,$W205)))</f>
        <v/>
      </c>
      <c r="K205" s="7">
        <f>IF($W205="","",IF(INDEX('Per Invoice'!K$2:K$801,$W205)="","",INDEX('Per Invoice'!K$2:K$801,$W205)))</f>
        <v/>
      </c>
      <c r="L205" s="14">
        <f>IF($W205="","",IF(INDEX('Per Invoice'!L$2:L$801,$W205)="","",INDEX('Per Invoice'!L$2:L$801,$W205)))</f>
        <v/>
      </c>
      <c r="M205">
        <f>IF($W205="","",IF(INDEX('Per Invoice'!M$2:M$801,$W205)="","",INDEX('Per Invoice'!M$2:M$801,$W205)))</f>
        <v/>
      </c>
      <c r="N205" s="7">
        <f>IF($W205="","",IF(INDEX('Per Invoice'!N$2:N$801,$W205)="","",INDEX('Per Invoice'!N$2:N$801,$W205)))</f>
        <v/>
      </c>
      <c r="O205" s="7">
        <f>IF($W205="","",IF(INDEX('Per Invoice'!O$2:O$801,$W205)="","",INDEX('Per Invoice'!O$2:O$801,$W205)))</f>
        <v/>
      </c>
      <c r="P205">
        <f>IF($W205="","",IF(INDEX('Per Invoice'!P$2:P$801,$W205)="","",INDEX('Per Invoice'!P$2:P$801,$W205)))</f>
        <v/>
      </c>
      <c r="Q205" s="7">
        <f>IF($W205="","",IF(INDEX('Per Invoice'!Q$2:Q$801,$W205)="","",INDEX('Per Invoice'!Q$2:Q$801,$W205)))</f>
        <v/>
      </c>
      <c r="R205" s="7">
        <f>IF($W205="","",IF(INDEX('Per Invoice'!R$2:R$801,$W205)="","",INDEX('Per Invoice'!R$2:R$801,$W205)))</f>
        <v/>
      </c>
      <c r="S205" s="7">
        <f>IF($W205="","",IF(INDEX('Per Invoice'!S$2:S$801,$W205)="","",INDEX('Per Invoice'!S$2:S$801,$W205)))</f>
        <v/>
      </c>
      <c r="T205" s="7">
        <f>IF($W205="","",IF(INDEX('Per Invoice'!T$2:T$801,$W205)="","",INDEX('Per Invoice'!T$2:T$801,$W205)))</f>
        <v/>
      </c>
      <c r="U205" s="7">
        <f>IF($W205="","",IF(INDEX('Per Invoice'!U$2:U$801,$W205)="","",INDEX('Per Invoice'!U$2:U$801,$W205)))</f>
        <v/>
      </c>
      <c r="V205" s="7">
        <f>IF($W205="","",IF(INDEX('Per Invoice'!V$2:V$801,$W205)="","",INDEX('Per Invoice'!V$2:V$801,$W205)))</f>
        <v/>
      </c>
      <c r="W205" s="16">
        <f>IFERROR(MATCH(Settings!$C$29&amp;"|"&amp;ROWS($W$2:$W205),'Per Invoice'!$X$2:$X$801,0),"")</f>
        <v/>
      </c>
    </row>
    <row r="206">
      <c r="A206">
        <f>IF($W206="","",IF(INDEX('Per Invoice'!A$2:A$801,$W206)="","",INDEX('Per Invoice'!A$2:A$801,$W206)))</f>
        <v/>
      </c>
      <c r="B206">
        <f>IF($W206="","",IF(INDEX('Per Invoice'!B$2:B$801,$W206)="","",INDEX('Per Invoice'!B$2:B$801,$W206)))</f>
        <v/>
      </c>
      <c r="C206">
        <f>IF($W206="","",IF(INDEX('Per Invoice'!C$2:C$801,$W206)="","",INDEX('Per Invoice'!C$2:C$801,$W206)))</f>
        <v/>
      </c>
      <c r="D206">
        <f>IF($W206="","",IF(INDEX('Per Invoice'!D$2:D$801,$W206)="","",INDEX('Per Invoice'!D$2:D$801,$W206)))</f>
        <v/>
      </c>
      <c r="E206">
        <f>IF($W206="","",IF(INDEX('Per Invoice'!E$2:E$801,$W206)="","",INDEX('Per Invoice'!E$2:E$801,$W206)))</f>
        <v/>
      </c>
      <c r="F206">
        <f>IF($W206="","",IF(INDEX('Per Invoice'!F$2:F$801,$W206)="","",INDEX('Per Invoice'!F$2:F$801,$W206)))</f>
        <v/>
      </c>
      <c r="G206">
        <f>IF($W206="","",IF(INDEX('Per Invoice'!G$2:G$801,$W206)="","",INDEX('Per Invoice'!G$2:G$801,$W206)))</f>
        <v/>
      </c>
      <c r="H206">
        <f>IF($W206="","",IF(INDEX('Per Invoice'!H$2:H$801,$W206)="","",INDEX('Per Invoice'!H$2:H$801,$W206)))</f>
        <v/>
      </c>
      <c r="I206">
        <f>IF($W206="","",IF(INDEX('Per Invoice'!I$2:I$801,$W206)="","",INDEX('Per Invoice'!I$2:I$801,$W206)))</f>
        <v/>
      </c>
      <c r="J206">
        <f>IF($W206="","",IF(INDEX('Per Invoice'!J$2:J$801,$W206)="","",INDEX('Per Invoice'!J$2:J$801,$W206)))</f>
        <v/>
      </c>
      <c r="K206" s="7">
        <f>IF($W206="","",IF(INDEX('Per Invoice'!K$2:K$801,$W206)="","",INDEX('Per Invoice'!K$2:K$801,$W206)))</f>
        <v/>
      </c>
      <c r="L206" s="14">
        <f>IF($W206="","",IF(INDEX('Per Invoice'!L$2:L$801,$W206)="","",INDEX('Per Invoice'!L$2:L$801,$W206)))</f>
        <v/>
      </c>
      <c r="M206">
        <f>IF($W206="","",IF(INDEX('Per Invoice'!M$2:M$801,$W206)="","",INDEX('Per Invoice'!M$2:M$801,$W206)))</f>
        <v/>
      </c>
      <c r="N206" s="7">
        <f>IF($W206="","",IF(INDEX('Per Invoice'!N$2:N$801,$W206)="","",INDEX('Per Invoice'!N$2:N$801,$W206)))</f>
        <v/>
      </c>
      <c r="O206" s="7">
        <f>IF($W206="","",IF(INDEX('Per Invoice'!O$2:O$801,$W206)="","",INDEX('Per Invoice'!O$2:O$801,$W206)))</f>
        <v/>
      </c>
      <c r="P206">
        <f>IF($W206="","",IF(INDEX('Per Invoice'!P$2:P$801,$W206)="","",INDEX('Per Invoice'!P$2:P$801,$W206)))</f>
        <v/>
      </c>
      <c r="Q206" s="7">
        <f>IF($W206="","",IF(INDEX('Per Invoice'!Q$2:Q$801,$W206)="","",INDEX('Per Invoice'!Q$2:Q$801,$W206)))</f>
        <v/>
      </c>
      <c r="R206" s="7">
        <f>IF($W206="","",IF(INDEX('Per Invoice'!R$2:R$801,$W206)="","",INDEX('Per Invoice'!R$2:R$801,$W206)))</f>
        <v/>
      </c>
      <c r="S206" s="7">
        <f>IF($W206="","",IF(INDEX('Per Invoice'!S$2:S$801,$W206)="","",INDEX('Per Invoice'!S$2:S$801,$W206)))</f>
        <v/>
      </c>
      <c r="T206" s="7">
        <f>IF($W206="","",IF(INDEX('Per Invoice'!T$2:T$801,$W206)="","",INDEX('Per Invoice'!T$2:T$801,$W206)))</f>
        <v/>
      </c>
      <c r="U206" s="7">
        <f>IF($W206="","",IF(INDEX('Per Invoice'!U$2:U$801,$W206)="","",INDEX('Per Invoice'!U$2:U$801,$W206)))</f>
        <v/>
      </c>
      <c r="V206" s="7">
        <f>IF($W206="","",IF(INDEX('Per Invoice'!V$2:V$801,$W206)="","",INDEX('Per Invoice'!V$2:V$801,$W206)))</f>
        <v/>
      </c>
      <c r="W206" s="16">
        <f>IFERROR(MATCH(Settings!$C$29&amp;"|"&amp;ROWS($W$2:$W206),'Per Invoice'!$X$2:$X$801,0),"")</f>
        <v/>
      </c>
    </row>
    <row r="207">
      <c r="A207">
        <f>IF($W207="","",IF(INDEX('Per Invoice'!A$2:A$801,$W207)="","",INDEX('Per Invoice'!A$2:A$801,$W207)))</f>
        <v/>
      </c>
      <c r="B207">
        <f>IF($W207="","",IF(INDEX('Per Invoice'!B$2:B$801,$W207)="","",INDEX('Per Invoice'!B$2:B$801,$W207)))</f>
        <v/>
      </c>
      <c r="C207">
        <f>IF($W207="","",IF(INDEX('Per Invoice'!C$2:C$801,$W207)="","",INDEX('Per Invoice'!C$2:C$801,$W207)))</f>
        <v/>
      </c>
      <c r="D207">
        <f>IF($W207="","",IF(INDEX('Per Invoice'!D$2:D$801,$W207)="","",INDEX('Per Invoice'!D$2:D$801,$W207)))</f>
        <v/>
      </c>
      <c r="E207">
        <f>IF($W207="","",IF(INDEX('Per Invoice'!E$2:E$801,$W207)="","",INDEX('Per Invoice'!E$2:E$801,$W207)))</f>
        <v/>
      </c>
      <c r="F207">
        <f>IF($W207="","",IF(INDEX('Per Invoice'!F$2:F$801,$W207)="","",INDEX('Per Invoice'!F$2:F$801,$W207)))</f>
        <v/>
      </c>
      <c r="G207">
        <f>IF($W207="","",IF(INDEX('Per Invoice'!G$2:G$801,$W207)="","",INDEX('Per Invoice'!G$2:G$801,$W207)))</f>
        <v/>
      </c>
      <c r="H207">
        <f>IF($W207="","",IF(INDEX('Per Invoice'!H$2:H$801,$W207)="","",INDEX('Per Invoice'!H$2:H$801,$W207)))</f>
        <v/>
      </c>
      <c r="I207">
        <f>IF($W207="","",IF(INDEX('Per Invoice'!I$2:I$801,$W207)="","",INDEX('Per Invoice'!I$2:I$801,$W207)))</f>
        <v/>
      </c>
      <c r="J207">
        <f>IF($W207="","",IF(INDEX('Per Invoice'!J$2:J$801,$W207)="","",INDEX('Per Invoice'!J$2:J$801,$W207)))</f>
        <v/>
      </c>
      <c r="K207" s="7">
        <f>IF($W207="","",IF(INDEX('Per Invoice'!K$2:K$801,$W207)="","",INDEX('Per Invoice'!K$2:K$801,$W207)))</f>
        <v/>
      </c>
      <c r="L207" s="14">
        <f>IF($W207="","",IF(INDEX('Per Invoice'!L$2:L$801,$W207)="","",INDEX('Per Invoice'!L$2:L$801,$W207)))</f>
        <v/>
      </c>
      <c r="M207">
        <f>IF($W207="","",IF(INDEX('Per Invoice'!M$2:M$801,$W207)="","",INDEX('Per Invoice'!M$2:M$801,$W207)))</f>
        <v/>
      </c>
      <c r="N207" s="7">
        <f>IF($W207="","",IF(INDEX('Per Invoice'!N$2:N$801,$W207)="","",INDEX('Per Invoice'!N$2:N$801,$W207)))</f>
        <v/>
      </c>
      <c r="O207" s="7">
        <f>IF($W207="","",IF(INDEX('Per Invoice'!O$2:O$801,$W207)="","",INDEX('Per Invoice'!O$2:O$801,$W207)))</f>
        <v/>
      </c>
      <c r="P207">
        <f>IF($W207="","",IF(INDEX('Per Invoice'!P$2:P$801,$W207)="","",INDEX('Per Invoice'!P$2:P$801,$W207)))</f>
        <v/>
      </c>
      <c r="Q207" s="7">
        <f>IF($W207="","",IF(INDEX('Per Invoice'!Q$2:Q$801,$W207)="","",INDEX('Per Invoice'!Q$2:Q$801,$W207)))</f>
        <v/>
      </c>
      <c r="R207" s="7">
        <f>IF($W207="","",IF(INDEX('Per Invoice'!R$2:R$801,$W207)="","",INDEX('Per Invoice'!R$2:R$801,$W207)))</f>
        <v/>
      </c>
      <c r="S207" s="7">
        <f>IF($W207="","",IF(INDEX('Per Invoice'!S$2:S$801,$W207)="","",INDEX('Per Invoice'!S$2:S$801,$W207)))</f>
        <v/>
      </c>
      <c r="T207" s="7">
        <f>IF($W207="","",IF(INDEX('Per Invoice'!T$2:T$801,$W207)="","",INDEX('Per Invoice'!T$2:T$801,$W207)))</f>
        <v/>
      </c>
      <c r="U207" s="7">
        <f>IF($W207="","",IF(INDEX('Per Invoice'!U$2:U$801,$W207)="","",INDEX('Per Invoice'!U$2:U$801,$W207)))</f>
        <v/>
      </c>
      <c r="V207" s="7">
        <f>IF($W207="","",IF(INDEX('Per Invoice'!V$2:V$801,$W207)="","",INDEX('Per Invoice'!V$2:V$801,$W207)))</f>
        <v/>
      </c>
      <c r="W207" s="16">
        <f>IFERROR(MATCH(Settings!$C$29&amp;"|"&amp;ROWS($W$2:$W207),'Per Invoice'!$X$2:$X$801,0),"")</f>
        <v/>
      </c>
    </row>
    <row r="208">
      <c r="A208">
        <f>IF($W208="","",IF(INDEX('Per Invoice'!A$2:A$801,$W208)="","",INDEX('Per Invoice'!A$2:A$801,$W208)))</f>
        <v/>
      </c>
      <c r="B208">
        <f>IF($W208="","",IF(INDEX('Per Invoice'!B$2:B$801,$W208)="","",INDEX('Per Invoice'!B$2:B$801,$W208)))</f>
        <v/>
      </c>
      <c r="C208">
        <f>IF($W208="","",IF(INDEX('Per Invoice'!C$2:C$801,$W208)="","",INDEX('Per Invoice'!C$2:C$801,$W208)))</f>
        <v/>
      </c>
      <c r="D208">
        <f>IF($W208="","",IF(INDEX('Per Invoice'!D$2:D$801,$W208)="","",INDEX('Per Invoice'!D$2:D$801,$W208)))</f>
        <v/>
      </c>
      <c r="E208">
        <f>IF($W208="","",IF(INDEX('Per Invoice'!E$2:E$801,$W208)="","",INDEX('Per Invoice'!E$2:E$801,$W208)))</f>
        <v/>
      </c>
      <c r="F208">
        <f>IF($W208="","",IF(INDEX('Per Invoice'!F$2:F$801,$W208)="","",INDEX('Per Invoice'!F$2:F$801,$W208)))</f>
        <v/>
      </c>
      <c r="G208">
        <f>IF($W208="","",IF(INDEX('Per Invoice'!G$2:G$801,$W208)="","",INDEX('Per Invoice'!G$2:G$801,$W208)))</f>
        <v/>
      </c>
      <c r="H208">
        <f>IF($W208="","",IF(INDEX('Per Invoice'!H$2:H$801,$W208)="","",INDEX('Per Invoice'!H$2:H$801,$W208)))</f>
        <v/>
      </c>
      <c r="I208">
        <f>IF($W208="","",IF(INDEX('Per Invoice'!I$2:I$801,$W208)="","",INDEX('Per Invoice'!I$2:I$801,$W208)))</f>
        <v/>
      </c>
      <c r="J208">
        <f>IF($W208="","",IF(INDEX('Per Invoice'!J$2:J$801,$W208)="","",INDEX('Per Invoice'!J$2:J$801,$W208)))</f>
        <v/>
      </c>
      <c r="K208" s="7">
        <f>IF($W208="","",IF(INDEX('Per Invoice'!K$2:K$801,$W208)="","",INDEX('Per Invoice'!K$2:K$801,$W208)))</f>
        <v/>
      </c>
      <c r="L208" s="14">
        <f>IF($W208="","",IF(INDEX('Per Invoice'!L$2:L$801,$W208)="","",INDEX('Per Invoice'!L$2:L$801,$W208)))</f>
        <v/>
      </c>
      <c r="M208">
        <f>IF($W208="","",IF(INDEX('Per Invoice'!M$2:M$801,$W208)="","",INDEX('Per Invoice'!M$2:M$801,$W208)))</f>
        <v/>
      </c>
      <c r="N208" s="7">
        <f>IF($W208="","",IF(INDEX('Per Invoice'!N$2:N$801,$W208)="","",INDEX('Per Invoice'!N$2:N$801,$W208)))</f>
        <v/>
      </c>
      <c r="O208" s="7">
        <f>IF($W208="","",IF(INDEX('Per Invoice'!O$2:O$801,$W208)="","",INDEX('Per Invoice'!O$2:O$801,$W208)))</f>
        <v/>
      </c>
      <c r="P208">
        <f>IF($W208="","",IF(INDEX('Per Invoice'!P$2:P$801,$W208)="","",INDEX('Per Invoice'!P$2:P$801,$W208)))</f>
        <v/>
      </c>
      <c r="Q208" s="7">
        <f>IF($W208="","",IF(INDEX('Per Invoice'!Q$2:Q$801,$W208)="","",INDEX('Per Invoice'!Q$2:Q$801,$W208)))</f>
        <v/>
      </c>
      <c r="R208" s="7">
        <f>IF($W208="","",IF(INDEX('Per Invoice'!R$2:R$801,$W208)="","",INDEX('Per Invoice'!R$2:R$801,$W208)))</f>
        <v/>
      </c>
      <c r="S208" s="7">
        <f>IF($W208="","",IF(INDEX('Per Invoice'!S$2:S$801,$W208)="","",INDEX('Per Invoice'!S$2:S$801,$W208)))</f>
        <v/>
      </c>
      <c r="T208" s="7">
        <f>IF($W208="","",IF(INDEX('Per Invoice'!T$2:T$801,$W208)="","",INDEX('Per Invoice'!T$2:T$801,$W208)))</f>
        <v/>
      </c>
      <c r="U208" s="7">
        <f>IF($W208="","",IF(INDEX('Per Invoice'!U$2:U$801,$W208)="","",INDEX('Per Invoice'!U$2:U$801,$W208)))</f>
        <v/>
      </c>
      <c r="V208" s="7">
        <f>IF($W208="","",IF(INDEX('Per Invoice'!V$2:V$801,$W208)="","",INDEX('Per Invoice'!V$2:V$801,$W208)))</f>
        <v/>
      </c>
      <c r="W208" s="16">
        <f>IFERROR(MATCH(Settings!$C$29&amp;"|"&amp;ROWS($W$2:$W208),'Per Invoice'!$X$2:$X$801,0),"")</f>
        <v/>
      </c>
    </row>
    <row r="209">
      <c r="A209">
        <f>IF($W209="","",IF(INDEX('Per Invoice'!A$2:A$801,$W209)="","",INDEX('Per Invoice'!A$2:A$801,$W209)))</f>
        <v/>
      </c>
      <c r="B209">
        <f>IF($W209="","",IF(INDEX('Per Invoice'!B$2:B$801,$W209)="","",INDEX('Per Invoice'!B$2:B$801,$W209)))</f>
        <v/>
      </c>
      <c r="C209">
        <f>IF($W209="","",IF(INDEX('Per Invoice'!C$2:C$801,$W209)="","",INDEX('Per Invoice'!C$2:C$801,$W209)))</f>
        <v/>
      </c>
      <c r="D209">
        <f>IF($W209="","",IF(INDEX('Per Invoice'!D$2:D$801,$W209)="","",INDEX('Per Invoice'!D$2:D$801,$W209)))</f>
        <v/>
      </c>
      <c r="E209">
        <f>IF($W209="","",IF(INDEX('Per Invoice'!E$2:E$801,$W209)="","",INDEX('Per Invoice'!E$2:E$801,$W209)))</f>
        <v/>
      </c>
      <c r="F209">
        <f>IF($W209="","",IF(INDEX('Per Invoice'!F$2:F$801,$W209)="","",INDEX('Per Invoice'!F$2:F$801,$W209)))</f>
        <v/>
      </c>
      <c r="G209">
        <f>IF($W209="","",IF(INDEX('Per Invoice'!G$2:G$801,$W209)="","",INDEX('Per Invoice'!G$2:G$801,$W209)))</f>
        <v/>
      </c>
      <c r="H209">
        <f>IF($W209="","",IF(INDEX('Per Invoice'!H$2:H$801,$W209)="","",INDEX('Per Invoice'!H$2:H$801,$W209)))</f>
        <v/>
      </c>
      <c r="I209">
        <f>IF($W209="","",IF(INDEX('Per Invoice'!I$2:I$801,$W209)="","",INDEX('Per Invoice'!I$2:I$801,$W209)))</f>
        <v/>
      </c>
      <c r="J209">
        <f>IF($W209="","",IF(INDEX('Per Invoice'!J$2:J$801,$W209)="","",INDEX('Per Invoice'!J$2:J$801,$W209)))</f>
        <v/>
      </c>
      <c r="K209" s="7">
        <f>IF($W209="","",IF(INDEX('Per Invoice'!K$2:K$801,$W209)="","",INDEX('Per Invoice'!K$2:K$801,$W209)))</f>
        <v/>
      </c>
      <c r="L209" s="14">
        <f>IF($W209="","",IF(INDEX('Per Invoice'!L$2:L$801,$W209)="","",INDEX('Per Invoice'!L$2:L$801,$W209)))</f>
        <v/>
      </c>
      <c r="M209">
        <f>IF($W209="","",IF(INDEX('Per Invoice'!M$2:M$801,$W209)="","",INDEX('Per Invoice'!M$2:M$801,$W209)))</f>
        <v/>
      </c>
      <c r="N209" s="7">
        <f>IF($W209="","",IF(INDEX('Per Invoice'!N$2:N$801,$W209)="","",INDEX('Per Invoice'!N$2:N$801,$W209)))</f>
        <v/>
      </c>
      <c r="O209" s="7">
        <f>IF($W209="","",IF(INDEX('Per Invoice'!O$2:O$801,$W209)="","",INDEX('Per Invoice'!O$2:O$801,$W209)))</f>
        <v/>
      </c>
      <c r="P209">
        <f>IF($W209="","",IF(INDEX('Per Invoice'!P$2:P$801,$W209)="","",INDEX('Per Invoice'!P$2:P$801,$W209)))</f>
        <v/>
      </c>
      <c r="Q209" s="7">
        <f>IF($W209="","",IF(INDEX('Per Invoice'!Q$2:Q$801,$W209)="","",INDEX('Per Invoice'!Q$2:Q$801,$W209)))</f>
        <v/>
      </c>
      <c r="R209" s="7">
        <f>IF($W209="","",IF(INDEX('Per Invoice'!R$2:R$801,$W209)="","",INDEX('Per Invoice'!R$2:R$801,$W209)))</f>
        <v/>
      </c>
      <c r="S209" s="7">
        <f>IF($W209="","",IF(INDEX('Per Invoice'!S$2:S$801,$W209)="","",INDEX('Per Invoice'!S$2:S$801,$W209)))</f>
        <v/>
      </c>
      <c r="T209" s="7">
        <f>IF($W209="","",IF(INDEX('Per Invoice'!T$2:T$801,$W209)="","",INDEX('Per Invoice'!T$2:T$801,$W209)))</f>
        <v/>
      </c>
      <c r="U209" s="7">
        <f>IF($W209="","",IF(INDEX('Per Invoice'!U$2:U$801,$W209)="","",INDEX('Per Invoice'!U$2:U$801,$W209)))</f>
        <v/>
      </c>
      <c r="V209" s="7">
        <f>IF($W209="","",IF(INDEX('Per Invoice'!V$2:V$801,$W209)="","",INDEX('Per Invoice'!V$2:V$801,$W209)))</f>
        <v/>
      </c>
      <c r="W209" s="16">
        <f>IFERROR(MATCH(Settings!$C$29&amp;"|"&amp;ROWS($W$2:$W209),'Per Invoice'!$X$2:$X$801,0),"")</f>
        <v/>
      </c>
    </row>
    <row r="210">
      <c r="A210">
        <f>IF($W210="","",IF(INDEX('Per Invoice'!A$2:A$801,$W210)="","",INDEX('Per Invoice'!A$2:A$801,$W210)))</f>
        <v/>
      </c>
      <c r="B210">
        <f>IF($W210="","",IF(INDEX('Per Invoice'!B$2:B$801,$W210)="","",INDEX('Per Invoice'!B$2:B$801,$W210)))</f>
        <v/>
      </c>
      <c r="C210">
        <f>IF($W210="","",IF(INDEX('Per Invoice'!C$2:C$801,$W210)="","",INDEX('Per Invoice'!C$2:C$801,$W210)))</f>
        <v/>
      </c>
      <c r="D210">
        <f>IF($W210="","",IF(INDEX('Per Invoice'!D$2:D$801,$W210)="","",INDEX('Per Invoice'!D$2:D$801,$W210)))</f>
        <v/>
      </c>
      <c r="E210">
        <f>IF($W210="","",IF(INDEX('Per Invoice'!E$2:E$801,$W210)="","",INDEX('Per Invoice'!E$2:E$801,$W210)))</f>
        <v/>
      </c>
      <c r="F210">
        <f>IF($W210="","",IF(INDEX('Per Invoice'!F$2:F$801,$W210)="","",INDEX('Per Invoice'!F$2:F$801,$W210)))</f>
        <v/>
      </c>
      <c r="G210">
        <f>IF($W210="","",IF(INDEX('Per Invoice'!G$2:G$801,$W210)="","",INDEX('Per Invoice'!G$2:G$801,$W210)))</f>
        <v/>
      </c>
      <c r="H210">
        <f>IF($W210="","",IF(INDEX('Per Invoice'!H$2:H$801,$W210)="","",INDEX('Per Invoice'!H$2:H$801,$W210)))</f>
        <v/>
      </c>
      <c r="I210">
        <f>IF($W210="","",IF(INDEX('Per Invoice'!I$2:I$801,$W210)="","",INDEX('Per Invoice'!I$2:I$801,$W210)))</f>
        <v/>
      </c>
      <c r="J210">
        <f>IF($W210="","",IF(INDEX('Per Invoice'!J$2:J$801,$W210)="","",INDEX('Per Invoice'!J$2:J$801,$W210)))</f>
        <v/>
      </c>
      <c r="K210" s="7">
        <f>IF($W210="","",IF(INDEX('Per Invoice'!K$2:K$801,$W210)="","",INDEX('Per Invoice'!K$2:K$801,$W210)))</f>
        <v/>
      </c>
      <c r="L210" s="14">
        <f>IF($W210="","",IF(INDEX('Per Invoice'!L$2:L$801,$W210)="","",INDEX('Per Invoice'!L$2:L$801,$W210)))</f>
        <v/>
      </c>
      <c r="M210">
        <f>IF($W210="","",IF(INDEX('Per Invoice'!M$2:M$801,$W210)="","",INDEX('Per Invoice'!M$2:M$801,$W210)))</f>
        <v/>
      </c>
      <c r="N210" s="7">
        <f>IF($W210="","",IF(INDEX('Per Invoice'!N$2:N$801,$W210)="","",INDEX('Per Invoice'!N$2:N$801,$W210)))</f>
        <v/>
      </c>
      <c r="O210" s="7">
        <f>IF($W210="","",IF(INDEX('Per Invoice'!O$2:O$801,$W210)="","",INDEX('Per Invoice'!O$2:O$801,$W210)))</f>
        <v/>
      </c>
      <c r="P210">
        <f>IF($W210="","",IF(INDEX('Per Invoice'!P$2:P$801,$W210)="","",INDEX('Per Invoice'!P$2:P$801,$W210)))</f>
        <v/>
      </c>
      <c r="Q210" s="7">
        <f>IF($W210="","",IF(INDEX('Per Invoice'!Q$2:Q$801,$W210)="","",INDEX('Per Invoice'!Q$2:Q$801,$W210)))</f>
        <v/>
      </c>
      <c r="R210" s="7">
        <f>IF($W210="","",IF(INDEX('Per Invoice'!R$2:R$801,$W210)="","",INDEX('Per Invoice'!R$2:R$801,$W210)))</f>
        <v/>
      </c>
      <c r="S210" s="7">
        <f>IF($W210="","",IF(INDEX('Per Invoice'!S$2:S$801,$W210)="","",INDEX('Per Invoice'!S$2:S$801,$W210)))</f>
        <v/>
      </c>
      <c r="T210" s="7">
        <f>IF($W210="","",IF(INDEX('Per Invoice'!T$2:T$801,$W210)="","",INDEX('Per Invoice'!T$2:T$801,$W210)))</f>
        <v/>
      </c>
      <c r="U210" s="7">
        <f>IF($W210="","",IF(INDEX('Per Invoice'!U$2:U$801,$W210)="","",INDEX('Per Invoice'!U$2:U$801,$W210)))</f>
        <v/>
      </c>
      <c r="V210" s="7">
        <f>IF($W210="","",IF(INDEX('Per Invoice'!V$2:V$801,$W210)="","",INDEX('Per Invoice'!V$2:V$801,$W210)))</f>
        <v/>
      </c>
      <c r="W210" s="16">
        <f>IFERROR(MATCH(Settings!$C$29&amp;"|"&amp;ROWS($W$2:$W210),'Per Invoice'!$X$2:$X$801,0),"")</f>
        <v/>
      </c>
    </row>
    <row r="211">
      <c r="A211">
        <f>IF($W211="","",IF(INDEX('Per Invoice'!A$2:A$801,$W211)="","",INDEX('Per Invoice'!A$2:A$801,$W211)))</f>
        <v/>
      </c>
      <c r="B211">
        <f>IF($W211="","",IF(INDEX('Per Invoice'!B$2:B$801,$W211)="","",INDEX('Per Invoice'!B$2:B$801,$W211)))</f>
        <v/>
      </c>
      <c r="C211">
        <f>IF($W211="","",IF(INDEX('Per Invoice'!C$2:C$801,$W211)="","",INDEX('Per Invoice'!C$2:C$801,$W211)))</f>
        <v/>
      </c>
      <c r="D211">
        <f>IF($W211="","",IF(INDEX('Per Invoice'!D$2:D$801,$W211)="","",INDEX('Per Invoice'!D$2:D$801,$W211)))</f>
        <v/>
      </c>
      <c r="E211">
        <f>IF($W211="","",IF(INDEX('Per Invoice'!E$2:E$801,$W211)="","",INDEX('Per Invoice'!E$2:E$801,$W211)))</f>
        <v/>
      </c>
      <c r="F211">
        <f>IF($W211="","",IF(INDEX('Per Invoice'!F$2:F$801,$W211)="","",INDEX('Per Invoice'!F$2:F$801,$W211)))</f>
        <v/>
      </c>
      <c r="G211">
        <f>IF($W211="","",IF(INDEX('Per Invoice'!G$2:G$801,$W211)="","",INDEX('Per Invoice'!G$2:G$801,$W211)))</f>
        <v/>
      </c>
      <c r="H211">
        <f>IF($W211="","",IF(INDEX('Per Invoice'!H$2:H$801,$W211)="","",INDEX('Per Invoice'!H$2:H$801,$W211)))</f>
        <v/>
      </c>
      <c r="I211">
        <f>IF($W211="","",IF(INDEX('Per Invoice'!I$2:I$801,$W211)="","",INDEX('Per Invoice'!I$2:I$801,$W211)))</f>
        <v/>
      </c>
      <c r="J211">
        <f>IF($W211="","",IF(INDEX('Per Invoice'!J$2:J$801,$W211)="","",INDEX('Per Invoice'!J$2:J$801,$W211)))</f>
        <v/>
      </c>
      <c r="K211" s="7">
        <f>IF($W211="","",IF(INDEX('Per Invoice'!K$2:K$801,$W211)="","",INDEX('Per Invoice'!K$2:K$801,$W211)))</f>
        <v/>
      </c>
      <c r="L211" s="14">
        <f>IF($W211="","",IF(INDEX('Per Invoice'!L$2:L$801,$W211)="","",INDEX('Per Invoice'!L$2:L$801,$W211)))</f>
        <v/>
      </c>
      <c r="M211">
        <f>IF($W211="","",IF(INDEX('Per Invoice'!M$2:M$801,$W211)="","",INDEX('Per Invoice'!M$2:M$801,$W211)))</f>
        <v/>
      </c>
      <c r="N211" s="7">
        <f>IF($W211="","",IF(INDEX('Per Invoice'!N$2:N$801,$W211)="","",INDEX('Per Invoice'!N$2:N$801,$W211)))</f>
        <v/>
      </c>
      <c r="O211" s="7">
        <f>IF($W211="","",IF(INDEX('Per Invoice'!O$2:O$801,$W211)="","",INDEX('Per Invoice'!O$2:O$801,$W211)))</f>
        <v/>
      </c>
      <c r="P211">
        <f>IF($W211="","",IF(INDEX('Per Invoice'!P$2:P$801,$W211)="","",INDEX('Per Invoice'!P$2:P$801,$W211)))</f>
        <v/>
      </c>
      <c r="Q211" s="7">
        <f>IF($W211="","",IF(INDEX('Per Invoice'!Q$2:Q$801,$W211)="","",INDEX('Per Invoice'!Q$2:Q$801,$W211)))</f>
        <v/>
      </c>
      <c r="R211" s="7">
        <f>IF($W211="","",IF(INDEX('Per Invoice'!R$2:R$801,$W211)="","",INDEX('Per Invoice'!R$2:R$801,$W211)))</f>
        <v/>
      </c>
      <c r="S211" s="7">
        <f>IF($W211="","",IF(INDEX('Per Invoice'!S$2:S$801,$W211)="","",INDEX('Per Invoice'!S$2:S$801,$W211)))</f>
        <v/>
      </c>
      <c r="T211" s="7">
        <f>IF($W211="","",IF(INDEX('Per Invoice'!T$2:T$801,$W211)="","",INDEX('Per Invoice'!T$2:T$801,$W211)))</f>
        <v/>
      </c>
      <c r="U211" s="7">
        <f>IF($W211="","",IF(INDEX('Per Invoice'!U$2:U$801,$W211)="","",INDEX('Per Invoice'!U$2:U$801,$W211)))</f>
        <v/>
      </c>
      <c r="V211" s="7">
        <f>IF($W211="","",IF(INDEX('Per Invoice'!V$2:V$801,$W211)="","",INDEX('Per Invoice'!V$2:V$801,$W211)))</f>
        <v/>
      </c>
      <c r="W211" s="16">
        <f>IFERROR(MATCH(Settings!$C$29&amp;"|"&amp;ROWS($W$2:$W211),'Per Invoice'!$X$2:$X$801,0),"")</f>
        <v/>
      </c>
    </row>
    <row r="212">
      <c r="A212">
        <f>IF($W212="","",IF(INDEX('Per Invoice'!A$2:A$801,$W212)="","",INDEX('Per Invoice'!A$2:A$801,$W212)))</f>
        <v/>
      </c>
      <c r="B212">
        <f>IF($W212="","",IF(INDEX('Per Invoice'!B$2:B$801,$W212)="","",INDEX('Per Invoice'!B$2:B$801,$W212)))</f>
        <v/>
      </c>
      <c r="C212">
        <f>IF($W212="","",IF(INDEX('Per Invoice'!C$2:C$801,$W212)="","",INDEX('Per Invoice'!C$2:C$801,$W212)))</f>
        <v/>
      </c>
      <c r="D212">
        <f>IF($W212="","",IF(INDEX('Per Invoice'!D$2:D$801,$W212)="","",INDEX('Per Invoice'!D$2:D$801,$W212)))</f>
        <v/>
      </c>
      <c r="E212">
        <f>IF($W212="","",IF(INDEX('Per Invoice'!E$2:E$801,$W212)="","",INDEX('Per Invoice'!E$2:E$801,$W212)))</f>
        <v/>
      </c>
      <c r="F212">
        <f>IF($W212="","",IF(INDEX('Per Invoice'!F$2:F$801,$W212)="","",INDEX('Per Invoice'!F$2:F$801,$W212)))</f>
        <v/>
      </c>
      <c r="G212">
        <f>IF($W212="","",IF(INDEX('Per Invoice'!G$2:G$801,$W212)="","",INDEX('Per Invoice'!G$2:G$801,$W212)))</f>
        <v/>
      </c>
      <c r="H212">
        <f>IF($W212="","",IF(INDEX('Per Invoice'!H$2:H$801,$W212)="","",INDEX('Per Invoice'!H$2:H$801,$W212)))</f>
        <v/>
      </c>
      <c r="I212">
        <f>IF($W212="","",IF(INDEX('Per Invoice'!I$2:I$801,$W212)="","",INDEX('Per Invoice'!I$2:I$801,$W212)))</f>
        <v/>
      </c>
      <c r="J212">
        <f>IF($W212="","",IF(INDEX('Per Invoice'!J$2:J$801,$W212)="","",INDEX('Per Invoice'!J$2:J$801,$W212)))</f>
        <v/>
      </c>
      <c r="K212" s="7">
        <f>IF($W212="","",IF(INDEX('Per Invoice'!K$2:K$801,$W212)="","",INDEX('Per Invoice'!K$2:K$801,$W212)))</f>
        <v/>
      </c>
      <c r="L212" s="14">
        <f>IF($W212="","",IF(INDEX('Per Invoice'!L$2:L$801,$W212)="","",INDEX('Per Invoice'!L$2:L$801,$W212)))</f>
        <v/>
      </c>
      <c r="M212">
        <f>IF($W212="","",IF(INDEX('Per Invoice'!M$2:M$801,$W212)="","",INDEX('Per Invoice'!M$2:M$801,$W212)))</f>
        <v/>
      </c>
      <c r="N212" s="7">
        <f>IF($W212="","",IF(INDEX('Per Invoice'!N$2:N$801,$W212)="","",INDEX('Per Invoice'!N$2:N$801,$W212)))</f>
        <v/>
      </c>
      <c r="O212" s="7">
        <f>IF($W212="","",IF(INDEX('Per Invoice'!O$2:O$801,$W212)="","",INDEX('Per Invoice'!O$2:O$801,$W212)))</f>
        <v/>
      </c>
      <c r="P212">
        <f>IF($W212="","",IF(INDEX('Per Invoice'!P$2:P$801,$W212)="","",INDEX('Per Invoice'!P$2:P$801,$W212)))</f>
        <v/>
      </c>
      <c r="Q212" s="7">
        <f>IF($W212="","",IF(INDEX('Per Invoice'!Q$2:Q$801,$W212)="","",INDEX('Per Invoice'!Q$2:Q$801,$W212)))</f>
        <v/>
      </c>
      <c r="R212" s="7">
        <f>IF($W212="","",IF(INDEX('Per Invoice'!R$2:R$801,$W212)="","",INDEX('Per Invoice'!R$2:R$801,$W212)))</f>
        <v/>
      </c>
      <c r="S212" s="7">
        <f>IF($W212="","",IF(INDEX('Per Invoice'!S$2:S$801,$W212)="","",INDEX('Per Invoice'!S$2:S$801,$W212)))</f>
        <v/>
      </c>
      <c r="T212" s="7">
        <f>IF($W212="","",IF(INDEX('Per Invoice'!T$2:T$801,$W212)="","",INDEX('Per Invoice'!T$2:T$801,$W212)))</f>
        <v/>
      </c>
      <c r="U212" s="7">
        <f>IF($W212="","",IF(INDEX('Per Invoice'!U$2:U$801,$W212)="","",INDEX('Per Invoice'!U$2:U$801,$W212)))</f>
        <v/>
      </c>
      <c r="V212" s="7">
        <f>IF($W212="","",IF(INDEX('Per Invoice'!V$2:V$801,$W212)="","",INDEX('Per Invoice'!V$2:V$801,$W212)))</f>
        <v/>
      </c>
      <c r="W212" s="16">
        <f>IFERROR(MATCH(Settings!$C$29&amp;"|"&amp;ROWS($W$2:$W212),'Per Invoice'!$X$2:$X$801,0),"")</f>
        <v/>
      </c>
    </row>
    <row r="213">
      <c r="A213">
        <f>IF($W213="","",IF(INDEX('Per Invoice'!A$2:A$801,$W213)="","",INDEX('Per Invoice'!A$2:A$801,$W213)))</f>
        <v/>
      </c>
      <c r="B213">
        <f>IF($W213="","",IF(INDEX('Per Invoice'!B$2:B$801,$W213)="","",INDEX('Per Invoice'!B$2:B$801,$W213)))</f>
        <v/>
      </c>
      <c r="C213">
        <f>IF($W213="","",IF(INDEX('Per Invoice'!C$2:C$801,$W213)="","",INDEX('Per Invoice'!C$2:C$801,$W213)))</f>
        <v/>
      </c>
      <c r="D213">
        <f>IF($W213="","",IF(INDEX('Per Invoice'!D$2:D$801,$W213)="","",INDEX('Per Invoice'!D$2:D$801,$W213)))</f>
        <v/>
      </c>
      <c r="E213">
        <f>IF($W213="","",IF(INDEX('Per Invoice'!E$2:E$801,$W213)="","",INDEX('Per Invoice'!E$2:E$801,$W213)))</f>
        <v/>
      </c>
      <c r="F213">
        <f>IF($W213="","",IF(INDEX('Per Invoice'!F$2:F$801,$W213)="","",INDEX('Per Invoice'!F$2:F$801,$W213)))</f>
        <v/>
      </c>
      <c r="G213">
        <f>IF($W213="","",IF(INDEX('Per Invoice'!G$2:G$801,$W213)="","",INDEX('Per Invoice'!G$2:G$801,$W213)))</f>
        <v/>
      </c>
      <c r="H213">
        <f>IF($W213="","",IF(INDEX('Per Invoice'!H$2:H$801,$W213)="","",INDEX('Per Invoice'!H$2:H$801,$W213)))</f>
        <v/>
      </c>
      <c r="I213">
        <f>IF($W213="","",IF(INDEX('Per Invoice'!I$2:I$801,$W213)="","",INDEX('Per Invoice'!I$2:I$801,$W213)))</f>
        <v/>
      </c>
      <c r="J213">
        <f>IF($W213="","",IF(INDEX('Per Invoice'!J$2:J$801,$W213)="","",INDEX('Per Invoice'!J$2:J$801,$W213)))</f>
        <v/>
      </c>
      <c r="K213" s="7">
        <f>IF($W213="","",IF(INDEX('Per Invoice'!K$2:K$801,$W213)="","",INDEX('Per Invoice'!K$2:K$801,$W213)))</f>
        <v/>
      </c>
      <c r="L213" s="14">
        <f>IF($W213="","",IF(INDEX('Per Invoice'!L$2:L$801,$W213)="","",INDEX('Per Invoice'!L$2:L$801,$W213)))</f>
        <v/>
      </c>
      <c r="M213">
        <f>IF($W213="","",IF(INDEX('Per Invoice'!M$2:M$801,$W213)="","",INDEX('Per Invoice'!M$2:M$801,$W213)))</f>
        <v/>
      </c>
      <c r="N213" s="7">
        <f>IF($W213="","",IF(INDEX('Per Invoice'!N$2:N$801,$W213)="","",INDEX('Per Invoice'!N$2:N$801,$W213)))</f>
        <v/>
      </c>
      <c r="O213" s="7">
        <f>IF($W213="","",IF(INDEX('Per Invoice'!O$2:O$801,$W213)="","",INDEX('Per Invoice'!O$2:O$801,$W213)))</f>
        <v/>
      </c>
      <c r="P213">
        <f>IF($W213="","",IF(INDEX('Per Invoice'!P$2:P$801,$W213)="","",INDEX('Per Invoice'!P$2:P$801,$W213)))</f>
        <v/>
      </c>
      <c r="Q213" s="7">
        <f>IF($W213="","",IF(INDEX('Per Invoice'!Q$2:Q$801,$W213)="","",INDEX('Per Invoice'!Q$2:Q$801,$W213)))</f>
        <v/>
      </c>
      <c r="R213" s="7">
        <f>IF($W213="","",IF(INDEX('Per Invoice'!R$2:R$801,$W213)="","",INDEX('Per Invoice'!R$2:R$801,$W213)))</f>
        <v/>
      </c>
      <c r="S213" s="7">
        <f>IF($W213="","",IF(INDEX('Per Invoice'!S$2:S$801,$W213)="","",INDEX('Per Invoice'!S$2:S$801,$W213)))</f>
        <v/>
      </c>
      <c r="T213" s="7">
        <f>IF($W213="","",IF(INDEX('Per Invoice'!T$2:T$801,$W213)="","",INDEX('Per Invoice'!T$2:T$801,$W213)))</f>
        <v/>
      </c>
      <c r="U213" s="7">
        <f>IF($W213="","",IF(INDEX('Per Invoice'!U$2:U$801,$W213)="","",INDEX('Per Invoice'!U$2:U$801,$W213)))</f>
        <v/>
      </c>
      <c r="V213" s="7">
        <f>IF($W213="","",IF(INDEX('Per Invoice'!V$2:V$801,$W213)="","",INDEX('Per Invoice'!V$2:V$801,$W213)))</f>
        <v/>
      </c>
      <c r="W213" s="16">
        <f>IFERROR(MATCH(Settings!$C$29&amp;"|"&amp;ROWS($W$2:$W213),'Per Invoice'!$X$2:$X$801,0),"")</f>
        <v/>
      </c>
    </row>
    <row r="214">
      <c r="A214">
        <f>IF($W214="","",IF(INDEX('Per Invoice'!A$2:A$801,$W214)="","",INDEX('Per Invoice'!A$2:A$801,$W214)))</f>
        <v/>
      </c>
      <c r="B214">
        <f>IF($W214="","",IF(INDEX('Per Invoice'!B$2:B$801,$W214)="","",INDEX('Per Invoice'!B$2:B$801,$W214)))</f>
        <v/>
      </c>
      <c r="C214">
        <f>IF($W214="","",IF(INDEX('Per Invoice'!C$2:C$801,$W214)="","",INDEX('Per Invoice'!C$2:C$801,$W214)))</f>
        <v/>
      </c>
      <c r="D214">
        <f>IF($W214="","",IF(INDEX('Per Invoice'!D$2:D$801,$W214)="","",INDEX('Per Invoice'!D$2:D$801,$W214)))</f>
        <v/>
      </c>
      <c r="E214">
        <f>IF($W214="","",IF(INDEX('Per Invoice'!E$2:E$801,$W214)="","",INDEX('Per Invoice'!E$2:E$801,$W214)))</f>
        <v/>
      </c>
      <c r="F214">
        <f>IF($W214="","",IF(INDEX('Per Invoice'!F$2:F$801,$W214)="","",INDEX('Per Invoice'!F$2:F$801,$W214)))</f>
        <v/>
      </c>
      <c r="G214">
        <f>IF($W214="","",IF(INDEX('Per Invoice'!G$2:G$801,$W214)="","",INDEX('Per Invoice'!G$2:G$801,$W214)))</f>
        <v/>
      </c>
      <c r="H214">
        <f>IF($W214="","",IF(INDEX('Per Invoice'!H$2:H$801,$W214)="","",INDEX('Per Invoice'!H$2:H$801,$W214)))</f>
        <v/>
      </c>
      <c r="I214">
        <f>IF($W214="","",IF(INDEX('Per Invoice'!I$2:I$801,$W214)="","",INDEX('Per Invoice'!I$2:I$801,$W214)))</f>
        <v/>
      </c>
      <c r="J214">
        <f>IF($W214="","",IF(INDEX('Per Invoice'!J$2:J$801,$W214)="","",INDEX('Per Invoice'!J$2:J$801,$W214)))</f>
        <v/>
      </c>
      <c r="K214" s="7">
        <f>IF($W214="","",IF(INDEX('Per Invoice'!K$2:K$801,$W214)="","",INDEX('Per Invoice'!K$2:K$801,$W214)))</f>
        <v/>
      </c>
      <c r="L214" s="14">
        <f>IF($W214="","",IF(INDEX('Per Invoice'!L$2:L$801,$W214)="","",INDEX('Per Invoice'!L$2:L$801,$W214)))</f>
        <v/>
      </c>
      <c r="M214">
        <f>IF($W214="","",IF(INDEX('Per Invoice'!M$2:M$801,$W214)="","",INDEX('Per Invoice'!M$2:M$801,$W214)))</f>
        <v/>
      </c>
      <c r="N214" s="7">
        <f>IF($W214="","",IF(INDEX('Per Invoice'!N$2:N$801,$W214)="","",INDEX('Per Invoice'!N$2:N$801,$W214)))</f>
        <v/>
      </c>
      <c r="O214" s="7">
        <f>IF($W214="","",IF(INDEX('Per Invoice'!O$2:O$801,$W214)="","",INDEX('Per Invoice'!O$2:O$801,$W214)))</f>
        <v/>
      </c>
      <c r="P214">
        <f>IF($W214="","",IF(INDEX('Per Invoice'!P$2:P$801,$W214)="","",INDEX('Per Invoice'!P$2:P$801,$W214)))</f>
        <v/>
      </c>
      <c r="Q214" s="7">
        <f>IF($W214="","",IF(INDEX('Per Invoice'!Q$2:Q$801,$W214)="","",INDEX('Per Invoice'!Q$2:Q$801,$W214)))</f>
        <v/>
      </c>
      <c r="R214" s="7">
        <f>IF($W214="","",IF(INDEX('Per Invoice'!R$2:R$801,$W214)="","",INDEX('Per Invoice'!R$2:R$801,$W214)))</f>
        <v/>
      </c>
      <c r="S214" s="7">
        <f>IF($W214="","",IF(INDEX('Per Invoice'!S$2:S$801,$W214)="","",INDEX('Per Invoice'!S$2:S$801,$W214)))</f>
        <v/>
      </c>
      <c r="T214" s="7">
        <f>IF($W214="","",IF(INDEX('Per Invoice'!T$2:T$801,$W214)="","",INDEX('Per Invoice'!T$2:T$801,$W214)))</f>
        <v/>
      </c>
      <c r="U214" s="7">
        <f>IF($W214="","",IF(INDEX('Per Invoice'!U$2:U$801,$W214)="","",INDEX('Per Invoice'!U$2:U$801,$W214)))</f>
        <v/>
      </c>
      <c r="V214" s="7">
        <f>IF($W214="","",IF(INDEX('Per Invoice'!V$2:V$801,$W214)="","",INDEX('Per Invoice'!V$2:V$801,$W214)))</f>
        <v/>
      </c>
      <c r="W214" s="16">
        <f>IFERROR(MATCH(Settings!$C$29&amp;"|"&amp;ROWS($W$2:$W214),'Per Invoice'!$X$2:$X$801,0),"")</f>
        <v/>
      </c>
    </row>
    <row r="215">
      <c r="A215">
        <f>IF($W215="","",IF(INDEX('Per Invoice'!A$2:A$801,$W215)="","",INDEX('Per Invoice'!A$2:A$801,$W215)))</f>
        <v/>
      </c>
      <c r="B215">
        <f>IF($W215="","",IF(INDEX('Per Invoice'!B$2:B$801,$W215)="","",INDEX('Per Invoice'!B$2:B$801,$W215)))</f>
        <v/>
      </c>
      <c r="C215">
        <f>IF($W215="","",IF(INDEX('Per Invoice'!C$2:C$801,$W215)="","",INDEX('Per Invoice'!C$2:C$801,$W215)))</f>
        <v/>
      </c>
      <c r="D215">
        <f>IF($W215="","",IF(INDEX('Per Invoice'!D$2:D$801,$W215)="","",INDEX('Per Invoice'!D$2:D$801,$W215)))</f>
        <v/>
      </c>
      <c r="E215">
        <f>IF($W215="","",IF(INDEX('Per Invoice'!E$2:E$801,$W215)="","",INDEX('Per Invoice'!E$2:E$801,$W215)))</f>
        <v/>
      </c>
      <c r="F215">
        <f>IF($W215="","",IF(INDEX('Per Invoice'!F$2:F$801,$W215)="","",INDEX('Per Invoice'!F$2:F$801,$W215)))</f>
        <v/>
      </c>
      <c r="G215">
        <f>IF($W215="","",IF(INDEX('Per Invoice'!G$2:G$801,$W215)="","",INDEX('Per Invoice'!G$2:G$801,$W215)))</f>
        <v/>
      </c>
      <c r="H215">
        <f>IF($W215="","",IF(INDEX('Per Invoice'!H$2:H$801,$W215)="","",INDEX('Per Invoice'!H$2:H$801,$W215)))</f>
        <v/>
      </c>
      <c r="I215">
        <f>IF($W215="","",IF(INDEX('Per Invoice'!I$2:I$801,$W215)="","",INDEX('Per Invoice'!I$2:I$801,$W215)))</f>
        <v/>
      </c>
      <c r="J215">
        <f>IF($W215="","",IF(INDEX('Per Invoice'!J$2:J$801,$W215)="","",INDEX('Per Invoice'!J$2:J$801,$W215)))</f>
        <v/>
      </c>
      <c r="K215" s="7">
        <f>IF($W215="","",IF(INDEX('Per Invoice'!K$2:K$801,$W215)="","",INDEX('Per Invoice'!K$2:K$801,$W215)))</f>
        <v/>
      </c>
      <c r="L215" s="14">
        <f>IF($W215="","",IF(INDEX('Per Invoice'!L$2:L$801,$W215)="","",INDEX('Per Invoice'!L$2:L$801,$W215)))</f>
        <v/>
      </c>
      <c r="M215">
        <f>IF($W215="","",IF(INDEX('Per Invoice'!M$2:M$801,$W215)="","",INDEX('Per Invoice'!M$2:M$801,$W215)))</f>
        <v/>
      </c>
      <c r="N215" s="7">
        <f>IF($W215="","",IF(INDEX('Per Invoice'!N$2:N$801,$W215)="","",INDEX('Per Invoice'!N$2:N$801,$W215)))</f>
        <v/>
      </c>
      <c r="O215" s="7">
        <f>IF($W215="","",IF(INDEX('Per Invoice'!O$2:O$801,$W215)="","",INDEX('Per Invoice'!O$2:O$801,$W215)))</f>
        <v/>
      </c>
      <c r="P215">
        <f>IF($W215="","",IF(INDEX('Per Invoice'!P$2:P$801,$W215)="","",INDEX('Per Invoice'!P$2:P$801,$W215)))</f>
        <v/>
      </c>
      <c r="Q215" s="7">
        <f>IF($W215="","",IF(INDEX('Per Invoice'!Q$2:Q$801,$W215)="","",INDEX('Per Invoice'!Q$2:Q$801,$W215)))</f>
        <v/>
      </c>
      <c r="R215" s="7">
        <f>IF($W215="","",IF(INDEX('Per Invoice'!R$2:R$801,$W215)="","",INDEX('Per Invoice'!R$2:R$801,$W215)))</f>
        <v/>
      </c>
      <c r="S215" s="7">
        <f>IF($W215="","",IF(INDEX('Per Invoice'!S$2:S$801,$W215)="","",INDEX('Per Invoice'!S$2:S$801,$W215)))</f>
        <v/>
      </c>
      <c r="T215" s="7">
        <f>IF($W215="","",IF(INDEX('Per Invoice'!T$2:T$801,$W215)="","",INDEX('Per Invoice'!T$2:T$801,$W215)))</f>
        <v/>
      </c>
      <c r="U215" s="7">
        <f>IF($W215="","",IF(INDEX('Per Invoice'!U$2:U$801,$W215)="","",INDEX('Per Invoice'!U$2:U$801,$W215)))</f>
        <v/>
      </c>
      <c r="V215" s="7">
        <f>IF($W215="","",IF(INDEX('Per Invoice'!V$2:V$801,$W215)="","",INDEX('Per Invoice'!V$2:V$801,$W215)))</f>
        <v/>
      </c>
      <c r="W215" s="16">
        <f>IFERROR(MATCH(Settings!$C$29&amp;"|"&amp;ROWS($W$2:$W215),'Per Invoice'!$X$2:$X$801,0),"")</f>
        <v/>
      </c>
    </row>
    <row r="216">
      <c r="A216">
        <f>IF($W216="","",IF(INDEX('Per Invoice'!A$2:A$801,$W216)="","",INDEX('Per Invoice'!A$2:A$801,$W216)))</f>
        <v/>
      </c>
      <c r="B216">
        <f>IF($W216="","",IF(INDEX('Per Invoice'!B$2:B$801,$W216)="","",INDEX('Per Invoice'!B$2:B$801,$W216)))</f>
        <v/>
      </c>
      <c r="C216">
        <f>IF($W216="","",IF(INDEX('Per Invoice'!C$2:C$801,$W216)="","",INDEX('Per Invoice'!C$2:C$801,$W216)))</f>
        <v/>
      </c>
      <c r="D216">
        <f>IF($W216="","",IF(INDEX('Per Invoice'!D$2:D$801,$W216)="","",INDEX('Per Invoice'!D$2:D$801,$W216)))</f>
        <v/>
      </c>
      <c r="E216">
        <f>IF($W216="","",IF(INDEX('Per Invoice'!E$2:E$801,$W216)="","",INDEX('Per Invoice'!E$2:E$801,$W216)))</f>
        <v/>
      </c>
      <c r="F216">
        <f>IF($W216="","",IF(INDEX('Per Invoice'!F$2:F$801,$W216)="","",INDEX('Per Invoice'!F$2:F$801,$W216)))</f>
        <v/>
      </c>
      <c r="G216">
        <f>IF($W216="","",IF(INDEX('Per Invoice'!G$2:G$801,$W216)="","",INDEX('Per Invoice'!G$2:G$801,$W216)))</f>
        <v/>
      </c>
      <c r="H216">
        <f>IF($W216="","",IF(INDEX('Per Invoice'!H$2:H$801,$W216)="","",INDEX('Per Invoice'!H$2:H$801,$W216)))</f>
        <v/>
      </c>
      <c r="I216">
        <f>IF($W216="","",IF(INDEX('Per Invoice'!I$2:I$801,$W216)="","",INDEX('Per Invoice'!I$2:I$801,$W216)))</f>
        <v/>
      </c>
      <c r="J216">
        <f>IF($W216="","",IF(INDEX('Per Invoice'!J$2:J$801,$W216)="","",INDEX('Per Invoice'!J$2:J$801,$W216)))</f>
        <v/>
      </c>
      <c r="K216" s="7">
        <f>IF($W216="","",IF(INDEX('Per Invoice'!K$2:K$801,$W216)="","",INDEX('Per Invoice'!K$2:K$801,$W216)))</f>
        <v/>
      </c>
      <c r="L216" s="14">
        <f>IF($W216="","",IF(INDEX('Per Invoice'!L$2:L$801,$W216)="","",INDEX('Per Invoice'!L$2:L$801,$W216)))</f>
        <v/>
      </c>
      <c r="M216">
        <f>IF($W216="","",IF(INDEX('Per Invoice'!M$2:M$801,$W216)="","",INDEX('Per Invoice'!M$2:M$801,$W216)))</f>
        <v/>
      </c>
      <c r="N216" s="7">
        <f>IF($W216="","",IF(INDEX('Per Invoice'!N$2:N$801,$W216)="","",INDEX('Per Invoice'!N$2:N$801,$W216)))</f>
        <v/>
      </c>
      <c r="O216" s="7">
        <f>IF($W216="","",IF(INDEX('Per Invoice'!O$2:O$801,$W216)="","",INDEX('Per Invoice'!O$2:O$801,$W216)))</f>
        <v/>
      </c>
      <c r="P216">
        <f>IF($W216="","",IF(INDEX('Per Invoice'!P$2:P$801,$W216)="","",INDEX('Per Invoice'!P$2:P$801,$W216)))</f>
        <v/>
      </c>
      <c r="Q216" s="7">
        <f>IF($W216="","",IF(INDEX('Per Invoice'!Q$2:Q$801,$W216)="","",INDEX('Per Invoice'!Q$2:Q$801,$W216)))</f>
        <v/>
      </c>
      <c r="R216" s="7">
        <f>IF($W216="","",IF(INDEX('Per Invoice'!R$2:R$801,$W216)="","",INDEX('Per Invoice'!R$2:R$801,$W216)))</f>
        <v/>
      </c>
      <c r="S216" s="7">
        <f>IF($W216="","",IF(INDEX('Per Invoice'!S$2:S$801,$W216)="","",INDEX('Per Invoice'!S$2:S$801,$W216)))</f>
        <v/>
      </c>
      <c r="T216" s="7">
        <f>IF($W216="","",IF(INDEX('Per Invoice'!T$2:T$801,$W216)="","",INDEX('Per Invoice'!T$2:T$801,$W216)))</f>
        <v/>
      </c>
      <c r="U216" s="7">
        <f>IF($W216="","",IF(INDEX('Per Invoice'!U$2:U$801,$W216)="","",INDEX('Per Invoice'!U$2:U$801,$W216)))</f>
        <v/>
      </c>
      <c r="V216" s="7">
        <f>IF($W216="","",IF(INDEX('Per Invoice'!V$2:V$801,$W216)="","",INDEX('Per Invoice'!V$2:V$801,$W216)))</f>
        <v/>
      </c>
      <c r="W216" s="16">
        <f>IFERROR(MATCH(Settings!$C$29&amp;"|"&amp;ROWS($W$2:$W216),'Per Invoice'!$X$2:$X$801,0),"")</f>
        <v/>
      </c>
    </row>
    <row r="217">
      <c r="A217">
        <f>IF($W217="","",IF(INDEX('Per Invoice'!A$2:A$801,$W217)="","",INDEX('Per Invoice'!A$2:A$801,$W217)))</f>
        <v/>
      </c>
      <c r="B217">
        <f>IF($W217="","",IF(INDEX('Per Invoice'!B$2:B$801,$W217)="","",INDEX('Per Invoice'!B$2:B$801,$W217)))</f>
        <v/>
      </c>
      <c r="C217">
        <f>IF($W217="","",IF(INDEX('Per Invoice'!C$2:C$801,$W217)="","",INDEX('Per Invoice'!C$2:C$801,$W217)))</f>
        <v/>
      </c>
      <c r="D217">
        <f>IF($W217="","",IF(INDEX('Per Invoice'!D$2:D$801,$W217)="","",INDEX('Per Invoice'!D$2:D$801,$W217)))</f>
        <v/>
      </c>
      <c r="E217">
        <f>IF($W217="","",IF(INDEX('Per Invoice'!E$2:E$801,$W217)="","",INDEX('Per Invoice'!E$2:E$801,$W217)))</f>
        <v/>
      </c>
      <c r="F217">
        <f>IF($W217="","",IF(INDEX('Per Invoice'!F$2:F$801,$W217)="","",INDEX('Per Invoice'!F$2:F$801,$W217)))</f>
        <v/>
      </c>
      <c r="G217">
        <f>IF($W217="","",IF(INDEX('Per Invoice'!G$2:G$801,$W217)="","",INDEX('Per Invoice'!G$2:G$801,$W217)))</f>
        <v/>
      </c>
      <c r="H217">
        <f>IF($W217="","",IF(INDEX('Per Invoice'!H$2:H$801,$W217)="","",INDEX('Per Invoice'!H$2:H$801,$W217)))</f>
        <v/>
      </c>
      <c r="I217">
        <f>IF($W217="","",IF(INDEX('Per Invoice'!I$2:I$801,$W217)="","",INDEX('Per Invoice'!I$2:I$801,$W217)))</f>
        <v/>
      </c>
      <c r="J217">
        <f>IF($W217="","",IF(INDEX('Per Invoice'!J$2:J$801,$W217)="","",INDEX('Per Invoice'!J$2:J$801,$W217)))</f>
        <v/>
      </c>
      <c r="K217" s="7">
        <f>IF($W217="","",IF(INDEX('Per Invoice'!K$2:K$801,$W217)="","",INDEX('Per Invoice'!K$2:K$801,$W217)))</f>
        <v/>
      </c>
      <c r="L217" s="14">
        <f>IF($W217="","",IF(INDEX('Per Invoice'!L$2:L$801,$W217)="","",INDEX('Per Invoice'!L$2:L$801,$W217)))</f>
        <v/>
      </c>
      <c r="M217">
        <f>IF($W217="","",IF(INDEX('Per Invoice'!M$2:M$801,$W217)="","",INDEX('Per Invoice'!M$2:M$801,$W217)))</f>
        <v/>
      </c>
      <c r="N217" s="7">
        <f>IF($W217="","",IF(INDEX('Per Invoice'!N$2:N$801,$W217)="","",INDEX('Per Invoice'!N$2:N$801,$W217)))</f>
        <v/>
      </c>
      <c r="O217" s="7">
        <f>IF($W217="","",IF(INDEX('Per Invoice'!O$2:O$801,$W217)="","",INDEX('Per Invoice'!O$2:O$801,$W217)))</f>
        <v/>
      </c>
      <c r="P217">
        <f>IF($W217="","",IF(INDEX('Per Invoice'!P$2:P$801,$W217)="","",INDEX('Per Invoice'!P$2:P$801,$W217)))</f>
        <v/>
      </c>
      <c r="Q217" s="7">
        <f>IF($W217="","",IF(INDEX('Per Invoice'!Q$2:Q$801,$W217)="","",INDEX('Per Invoice'!Q$2:Q$801,$W217)))</f>
        <v/>
      </c>
      <c r="R217" s="7">
        <f>IF($W217="","",IF(INDEX('Per Invoice'!R$2:R$801,$W217)="","",INDEX('Per Invoice'!R$2:R$801,$W217)))</f>
        <v/>
      </c>
      <c r="S217" s="7">
        <f>IF($W217="","",IF(INDEX('Per Invoice'!S$2:S$801,$W217)="","",INDEX('Per Invoice'!S$2:S$801,$W217)))</f>
        <v/>
      </c>
      <c r="T217" s="7">
        <f>IF($W217="","",IF(INDEX('Per Invoice'!T$2:T$801,$W217)="","",INDEX('Per Invoice'!T$2:T$801,$W217)))</f>
        <v/>
      </c>
      <c r="U217" s="7">
        <f>IF($W217="","",IF(INDEX('Per Invoice'!U$2:U$801,$W217)="","",INDEX('Per Invoice'!U$2:U$801,$W217)))</f>
        <v/>
      </c>
      <c r="V217" s="7">
        <f>IF($W217="","",IF(INDEX('Per Invoice'!V$2:V$801,$W217)="","",INDEX('Per Invoice'!V$2:V$801,$W217)))</f>
        <v/>
      </c>
      <c r="W217" s="16">
        <f>IFERROR(MATCH(Settings!$C$29&amp;"|"&amp;ROWS($W$2:$W217),'Per Invoice'!$X$2:$X$801,0),"")</f>
        <v/>
      </c>
    </row>
    <row r="218">
      <c r="A218">
        <f>IF($W218="","",IF(INDEX('Per Invoice'!A$2:A$801,$W218)="","",INDEX('Per Invoice'!A$2:A$801,$W218)))</f>
        <v/>
      </c>
      <c r="B218">
        <f>IF($W218="","",IF(INDEX('Per Invoice'!B$2:B$801,$W218)="","",INDEX('Per Invoice'!B$2:B$801,$W218)))</f>
        <v/>
      </c>
      <c r="C218">
        <f>IF($W218="","",IF(INDEX('Per Invoice'!C$2:C$801,$W218)="","",INDEX('Per Invoice'!C$2:C$801,$W218)))</f>
        <v/>
      </c>
      <c r="D218">
        <f>IF($W218="","",IF(INDEX('Per Invoice'!D$2:D$801,$W218)="","",INDEX('Per Invoice'!D$2:D$801,$W218)))</f>
        <v/>
      </c>
      <c r="E218">
        <f>IF($W218="","",IF(INDEX('Per Invoice'!E$2:E$801,$W218)="","",INDEX('Per Invoice'!E$2:E$801,$W218)))</f>
        <v/>
      </c>
      <c r="F218">
        <f>IF($W218="","",IF(INDEX('Per Invoice'!F$2:F$801,$W218)="","",INDEX('Per Invoice'!F$2:F$801,$W218)))</f>
        <v/>
      </c>
      <c r="G218">
        <f>IF($W218="","",IF(INDEX('Per Invoice'!G$2:G$801,$W218)="","",INDEX('Per Invoice'!G$2:G$801,$W218)))</f>
        <v/>
      </c>
      <c r="H218">
        <f>IF($W218="","",IF(INDEX('Per Invoice'!H$2:H$801,$W218)="","",INDEX('Per Invoice'!H$2:H$801,$W218)))</f>
        <v/>
      </c>
      <c r="I218">
        <f>IF($W218="","",IF(INDEX('Per Invoice'!I$2:I$801,$W218)="","",INDEX('Per Invoice'!I$2:I$801,$W218)))</f>
        <v/>
      </c>
      <c r="J218">
        <f>IF($W218="","",IF(INDEX('Per Invoice'!J$2:J$801,$W218)="","",INDEX('Per Invoice'!J$2:J$801,$W218)))</f>
        <v/>
      </c>
      <c r="K218" s="7">
        <f>IF($W218="","",IF(INDEX('Per Invoice'!K$2:K$801,$W218)="","",INDEX('Per Invoice'!K$2:K$801,$W218)))</f>
        <v/>
      </c>
      <c r="L218" s="14">
        <f>IF($W218="","",IF(INDEX('Per Invoice'!L$2:L$801,$W218)="","",INDEX('Per Invoice'!L$2:L$801,$W218)))</f>
        <v/>
      </c>
      <c r="M218">
        <f>IF($W218="","",IF(INDEX('Per Invoice'!M$2:M$801,$W218)="","",INDEX('Per Invoice'!M$2:M$801,$W218)))</f>
        <v/>
      </c>
      <c r="N218" s="7">
        <f>IF($W218="","",IF(INDEX('Per Invoice'!N$2:N$801,$W218)="","",INDEX('Per Invoice'!N$2:N$801,$W218)))</f>
        <v/>
      </c>
      <c r="O218" s="7">
        <f>IF($W218="","",IF(INDEX('Per Invoice'!O$2:O$801,$W218)="","",INDEX('Per Invoice'!O$2:O$801,$W218)))</f>
        <v/>
      </c>
      <c r="P218">
        <f>IF($W218="","",IF(INDEX('Per Invoice'!P$2:P$801,$W218)="","",INDEX('Per Invoice'!P$2:P$801,$W218)))</f>
        <v/>
      </c>
      <c r="Q218" s="7">
        <f>IF($W218="","",IF(INDEX('Per Invoice'!Q$2:Q$801,$W218)="","",INDEX('Per Invoice'!Q$2:Q$801,$W218)))</f>
        <v/>
      </c>
      <c r="R218" s="7">
        <f>IF($W218="","",IF(INDEX('Per Invoice'!R$2:R$801,$W218)="","",INDEX('Per Invoice'!R$2:R$801,$W218)))</f>
        <v/>
      </c>
      <c r="S218" s="7">
        <f>IF($W218="","",IF(INDEX('Per Invoice'!S$2:S$801,$W218)="","",INDEX('Per Invoice'!S$2:S$801,$W218)))</f>
        <v/>
      </c>
      <c r="T218" s="7">
        <f>IF($W218="","",IF(INDEX('Per Invoice'!T$2:T$801,$W218)="","",INDEX('Per Invoice'!T$2:T$801,$W218)))</f>
        <v/>
      </c>
      <c r="U218" s="7">
        <f>IF($W218="","",IF(INDEX('Per Invoice'!U$2:U$801,$W218)="","",INDEX('Per Invoice'!U$2:U$801,$W218)))</f>
        <v/>
      </c>
      <c r="V218" s="7">
        <f>IF($W218="","",IF(INDEX('Per Invoice'!V$2:V$801,$W218)="","",INDEX('Per Invoice'!V$2:V$801,$W218)))</f>
        <v/>
      </c>
      <c r="W218" s="16">
        <f>IFERROR(MATCH(Settings!$C$29&amp;"|"&amp;ROWS($W$2:$W218),'Per Invoice'!$X$2:$X$801,0),"")</f>
        <v/>
      </c>
    </row>
    <row r="219">
      <c r="A219">
        <f>IF($W219="","",IF(INDEX('Per Invoice'!A$2:A$801,$W219)="","",INDEX('Per Invoice'!A$2:A$801,$W219)))</f>
        <v/>
      </c>
      <c r="B219">
        <f>IF($W219="","",IF(INDEX('Per Invoice'!B$2:B$801,$W219)="","",INDEX('Per Invoice'!B$2:B$801,$W219)))</f>
        <v/>
      </c>
      <c r="C219">
        <f>IF($W219="","",IF(INDEX('Per Invoice'!C$2:C$801,$W219)="","",INDEX('Per Invoice'!C$2:C$801,$W219)))</f>
        <v/>
      </c>
      <c r="D219">
        <f>IF($W219="","",IF(INDEX('Per Invoice'!D$2:D$801,$W219)="","",INDEX('Per Invoice'!D$2:D$801,$W219)))</f>
        <v/>
      </c>
      <c r="E219">
        <f>IF($W219="","",IF(INDEX('Per Invoice'!E$2:E$801,$W219)="","",INDEX('Per Invoice'!E$2:E$801,$W219)))</f>
        <v/>
      </c>
      <c r="F219">
        <f>IF($W219="","",IF(INDEX('Per Invoice'!F$2:F$801,$W219)="","",INDEX('Per Invoice'!F$2:F$801,$W219)))</f>
        <v/>
      </c>
      <c r="G219">
        <f>IF($W219="","",IF(INDEX('Per Invoice'!G$2:G$801,$W219)="","",INDEX('Per Invoice'!G$2:G$801,$W219)))</f>
        <v/>
      </c>
      <c r="H219">
        <f>IF($W219="","",IF(INDEX('Per Invoice'!H$2:H$801,$W219)="","",INDEX('Per Invoice'!H$2:H$801,$W219)))</f>
        <v/>
      </c>
      <c r="I219">
        <f>IF($W219="","",IF(INDEX('Per Invoice'!I$2:I$801,$W219)="","",INDEX('Per Invoice'!I$2:I$801,$W219)))</f>
        <v/>
      </c>
      <c r="J219">
        <f>IF($W219="","",IF(INDEX('Per Invoice'!J$2:J$801,$W219)="","",INDEX('Per Invoice'!J$2:J$801,$W219)))</f>
        <v/>
      </c>
      <c r="K219" s="7">
        <f>IF($W219="","",IF(INDEX('Per Invoice'!K$2:K$801,$W219)="","",INDEX('Per Invoice'!K$2:K$801,$W219)))</f>
        <v/>
      </c>
      <c r="L219" s="14">
        <f>IF($W219="","",IF(INDEX('Per Invoice'!L$2:L$801,$W219)="","",INDEX('Per Invoice'!L$2:L$801,$W219)))</f>
        <v/>
      </c>
      <c r="M219">
        <f>IF($W219="","",IF(INDEX('Per Invoice'!M$2:M$801,$W219)="","",INDEX('Per Invoice'!M$2:M$801,$W219)))</f>
        <v/>
      </c>
      <c r="N219" s="7">
        <f>IF($W219="","",IF(INDEX('Per Invoice'!N$2:N$801,$W219)="","",INDEX('Per Invoice'!N$2:N$801,$W219)))</f>
        <v/>
      </c>
      <c r="O219" s="7">
        <f>IF($W219="","",IF(INDEX('Per Invoice'!O$2:O$801,$W219)="","",INDEX('Per Invoice'!O$2:O$801,$W219)))</f>
        <v/>
      </c>
      <c r="P219">
        <f>IF($W219="","",IF(INDEX('Per Invoice'!P$2:P$801,$W219)="","",INDEX('Per Invoice'!P$2:P$801,$W219)))</f>
        <v/>
      </c>
      <c r="Q219" s="7">
        <f>IF($W219="","",IF(INDEX('Per Invoice'!Q$2:Q$801,$W219)="","",INDEX('Per Invoice'!Q$2:Q$801,$W219)))</f>
        <v/>
      </c>
      <c r="R219" s="7">
        <f>IF($W219="","",IF(INDEX('Per Invoice'!R$2:R$801,$W219)="","",INDEX('Per Invoice'!R$2:R$801,$W219)))</f>
        <v/>
      </c>
      <c r="S219" s="7">
        <f>IF($W219="","",IF(INDEX('Per Invoice'!S$2:S$801,$W219)="","",INDEX('Per Invoice'!S$2:S$801,$W219)))</f>
        <v/>
      </c>
      <c r="T219" s="7">
        <f>IF($W219="","",IF(INDEX('Per Invoice'!T$2:T$801,$W219)="","",INDEX('Per Invoice'!T$2:T$801,$W219)))</f>
        <v/>
      </c>
      <c r="U219" s="7">
        <f>IF($W219="","",IF(INDEX('Per Invoice'!U$2:U$801,$W219)="","",INDEX('Per Invoice'!U$2:U$801,$W219)))</f>
        <v/>
      </c>
      <c r="V219" s="7">
        <f>IF($W219="","",IF(INDEX('Per Invoice'!V$2:V$801,$W219)="","",INDEX('Per Invoice'!V$2:V$801,$W219)))</f>
        <v/>
      </c>
      <c r="W219" s="16">
        <f>IFERROR(MATCH(Settings!$C$29&amp;"|"&amp;ROWS($W$2:$W219),'Per Invoice'!$X$2:$X$801,0),"")</f>
        <v/>
      </c>
    </row>
    <row r="220">
      <c r="A220">
        <f>IF($W220="","",IF(INDEX('Per Invoice'!A$2:A$801,$W220)="","",INDEX('Per Invoice'!A$2:A$801,$W220)))</f>
        <v/>
      </c>
      <c r="B220">
        <f>IF($W220="","",IF(INDEX('Per Invoice'!B$2:B$801,$W220)="","",INDEX('Per Invoice'!B$2:B$801,$W220)))</f>
        <v/>
      </c>
      <c r="C220">
        <f>IF($W220="","",IF(INDEX('Per Invoice'!C$2:C$801,$W220)="","",INDEX('Per Invoice'!C$2:C$801,$W220)))</f>
        <v/>
      </c>
      <c r="D220">
        <f>IF($W220="","",IF(INDEX('Per Invoice'!D$2:D$801,$W220)="","",INDEX('Per Invoice'!D$2:D$801,$W220)))</f>
        <v/>
      </c>
      <c r="E220">
        <f>IF($W220="","",IF(INDEX('Per Invoice'!E$2:E$801,$W220)="","",INDEX('Per Invoice'!E$2:E$801,$W220)))</f>
        <v/>
      </c>
      <c r="F220">
        <f>IF($W220="","",IF(INDEX('Per Invoice'!F$2:F$801,$W220)="","",INDEX('Per Invoice'!F$2:F$801,$W220)))</f>
        <v/>
      </c>
      <c r="G220">
        <f>IF($W220="","",IF(INDEX('Per Invoice'!G$2:G$801,$W220)="","",INDEX('Per Invoice'!G$2:G$801,$W220)))</f>
        <v/>
      </c>
      <c r="H220">
        <f>IF($W220="","",IF(INDEX('Per Invoice'!H$2:H$801,$W220)="","",INDEX('Per Invoice'!H$2:H$801,$W220)))</f>
        <v/>
      </c>
      <c r="I220">
        <f>IF($W220="","",IF(INDEX('Per Invoice'!I$2:I$801,$W220)="","",INDEX('Per Invoice'!I$2:I$801,$W220)))</f>
        <v/>
      </c>
      <c r="J220">
        <f>IF($W220="","",IF(INDEX('Per Invoice'!J$2:J$801,$W220)="","",INDEX('Per Invoice'!J$2:J$801,$W220)))</f>
        <v/>
      </c>
      <c r="K220" s="7">
        <f>IF($W220="","",IF(INDEX('Per Invoice'!K$2:K$801,$W220)="","",INDEX('Per Invoice'!K$2:K$801,$W220)))</f>
        <v/>
      </c>
      <c r="L220" s="14">
        <f>IF($W220="","",IF(INDEX('Per Invoice'!L$2:L$801,$W220)="","",INDEX('Per Invoice'!L$2:L$801,$W220)))</f>
        <v/>
      </c>
      <c r="M220">
        <f>IF($W220="","",IF(INDEX('Per Invoice'!M$2:M$801,$W220)="","",INDEX('Per Invoice'!M$2:M$801,$W220)))</f>
        <v/>
      </c>
      <c r="N220" s="7">
        <f>IF($W220="","",IF(INDEX('Per Invoice'!N$2:N$801,$W220)="","",INDEX('Per Invoice'!N$2:N$801,$W220)))</f>
        <v/>
      </c>
      <c r="O220" s="7">
        <f>IF($W220="","",IF(INDEX('Per Invoice'!O$2:O$801,$W220)="","",INDEX('Per Invoice'!O$2:O$801,$W220)))</f>
        <v/>
      </c>
      <c r="P220">
        <f>IF($W220="","",IF(INDEX('Per Invoice'!P$2:P$801,$W220)="","",INDEX('Per Invoice'!P$2:P$801,$W220)))</f>
        <v/>
      </c>
      <c r="Q220" s="7">
        <f>IF($W220="","",IF(INDEX('Per Invoice'!Q$2:Q$801,$W220)="","",INDEX('Per Invoice'!Q$2:Q$801,$W220)))</f>
        <v/>
      </c>
      <c r="R220" s="7">
        <f>IF($W220="","",IF(INDEX('Per Invoice'!R$2:R$801,$W220)="","",INDEX('Per Invoice'!R$2:R$801,$W220)))</f>
        <v/>
      </c>
      <c r="S220" s="7">
        <f>IF($W220="","",IF(INDEX('Per Invoice'!S$2:S$801,$W220)="","",INDEX('Per Invoice'!S$2:S$801,$W220)))</f>
        <v/>
      </c>
      <c r="T220" s="7">
        <f>IF($W220="","",IF(INDEX('Per Invoice'!T$2:T$801,$W220)="","",INDEX('Per Invoice'!T$2:T$801,$W220)))</f>
        <v/>
      </c>
      <c r="U220" s="7">
        <f>IF($W220="","",IF(INDEX('Per Invoice'!U$2:U$801,$W220)="","",INDEX('Per Invoice'!U$2:U$801,$W220)))</f>
        <v/>
      </c>
      <c r="V220" s="7">
        <f>IF($W220="","",IF(INDEX('Per Invoice'!V$2:V$801,$W220)="","",INDEX('Per Invoice'!V$2:V$801,$W220)))</f>
        <v/>
      </c>
      <c r="W220" s="16">
        <f>IFERROR(MATCH(Settings!$C$29&amp;"|"&amp;ROWS($W$2:$W220),'Per Invoice'!$X$2:$X$801,0),"")</f>
        <v/>
      </c>
    </row>
    <row r="221">
      <c r="A221">
        <f>IF($W221="","",IF(INDEX('Per Invoice'!A$2:A$801,$W221)="","",INDEX('Per Invoice'!A$2:A$801,$W221)))</f>
        <v/>
      </c>
      <c r="B221">
        <f>IF($W221="","",IF(INDEX('Per Invoice'!B$2:B$801,$W221)="","",INDEX('Per Invoice'!B$2:B$801,$W221)))</f>
        <v/>
      </c>
      <c r="C221">
        <f>IF($W221="","",IF(INDEX('Per Invoice'!C$2:C$801,$W221)="","",INDEX('Per Invoice'!C$2:C$801,$W221)))</f>
        <v/>
      </c>
      <c r="D221">
        <f>IF($W221="","",IF(INDEX('Per Invoice'!D$2:D$801,$W221)="","",INDEX('Per Invoice'!D$2:D$801,$W221)))</f>
        <v/>
      </c>
      <c r="E221">
        <f>IF($W221="","",IF(INDEX('Per Invoice'!E$2:E$801,$W221)="","",INDEX('Per Invoice'!E$2:E$801,$W221)))</f>
        <v/>
      </c>
      <c r="F221">
        <f>IF($W221="","",IF(INDEX('Per Invoice'!F$2:F$801,$W221)="","",INDEX('Per Invoice'!F$2:F$801,$W221)))</f>
        <v/>
      </c>
      <c r="G221">
        <f>IF($W221="","",IF(INDEX('Per Invoice'!G$2:G$801,$W221)="","",INDEX('Per Invoice'!G$2:G$801,$W221)))</f>
        <v/>
      </c>
      <c r="H221">
        <f>IF($W221="","",IF(INDEX('Per Invoice'!H$2:H$801,$W221)="","",INDEX('Per Invoice'!H$2:H$801,$W221)))</f>
        <v/>
      </c>
      <c r="I221">
        <f>IF($W221="","",IF(INDEX('Per Invoice'!I$2:I$801,$W221)="","",INDEX('Per Invoice'!I$2:I$801,$W221)))</f>
        <v/>
      </c>
      <c r="J221">
        <f>IF($W221="","",IF(INDEX('Per Invoice'!J$2:J$801,$W221)="","",INDEX('Per Invoice'!J$2:J$801,$W221)))</f>
        <v/>
      </c>
      <c r="K221" s="7">
        <f>IF($W221="","",IF(INDEX('Per Invoice'!K$2:K$801,$W221)="","",INDEX('Per Invoice'!K$2:K$801,$W221)))</f>
        <v/>
      </c>
      <c r="L221" s="14">
        <f>IF($W221="","",IF(INDEX('Per Invoice'!L$2:L$801,$W221)="","",INDEX('Per Invoice'!L$2:L$801,$W221)))</f>
        <v/>
      </c>
      <c r="M221">
        <f>IF($W221="","",IF(INDEX('Per Invoice'!M$2:M$801,$W221)="","",INDEX('Per Invoice'!M$2:M$801,$W221)))</f>
        <v/>
      </c>
      <c r="N221" s="7">
        <f>IF($W221="","",IF(INDEX('Per Invoice'!N$2:N$801,$W221)="","",INDEX('Per Invoice'!N$2:N$801,$W221)))</f>
        <v/>
      </c>
      <c r="O221" s="7">
        <f>IF($W221="","",IF(INDEX('Per Invoice'!O$2:O$801,$W221)="","",INDEX('Per Invoice'!O$2:O$801,$W221)))</f>
        <v/>
      </c>
      <c r="P221">
        <f>IF($W221="","",IF(INDEX('Per Invoice'!P$2:P$801,$W221)="","",INDEX('Per Invoice'!P$2:P$801,$W221)))</f>
        <v/>
      </c>
      <c r="Q221" s="7">
        <f>IF($W221="","",IF(INDEX('Per Invoice'!Q$2:Q$801,$W221)="","",INDEX('Per Invoice'!Q$2:Q$801,$W221)))</f>
        <v/>
      </c>
      <c r="R221" s="7">
        <f>IF($W221="","",IF(INDEX('Per Invoice'!R$2:R$801,$W221)="","",INDEX('Per Invoice'!R$2:R$801,$W221)))</f>
        <v/>
      </c>
      <c r="S221" s="7">
        <f>IF($W221="","",IF(INDEX('Per Invoice'!S$2:S$801,$W221)="","",INDEX('Per Invoice'!S$2:S$801,$W221)))</f>
        <v/>
      </c>
      <c r="T221" s="7">
        <f>IF($W221="","",IF(INDEX('Per Invoice'!T$2:T$801,$W221)="","",INDEX('Per Invoice'!T$2:T$801,$W221)))</f>
        <v/>
      </c>
      <c r="U221" s="7">
        <f>IF($W221="","",IF(INDEX('Per Invoice'!U$2:U$801,$W221)="","",INDEX('Per Invoice'!U$2:U$801,$W221)))</f>
        <v/>
      </c>
      <c r="V221" s="7">
        <f>IF($W221="","",IF(INDEX('Per Invoice'!V$2:V$801,$W221)="","",INDEX('Per Invoice'!V$2:V$801,$W221)))</f>
        <v/>
      </c>
      <c r="W221" s="16">
        <f>IFERROR(MATCH(Settings!$C$29&amp;"|"&amp;ROWS($W$2:$W221),'Per Invoice'!$X$2:$X$801,0),"")</f>
        <v/>
      </c>
    </row>
    <row r="222">
      <c r="A222">
        <f>IF($W222="","",IF(INDEX('Per Invoice'!A$2:A$801,$W222)="","",INDEX('Per Invoice'!A$2:A$801,$W222)))</f>
        <v/>
      </c>
      <c r="B222">
        <f>IF($W222="","",IF(INDEX('Per Invoice'!B$2:B$801,$W222)="","",INDEX('Per Invoice'!B$2:B$801,$W222)))</f>
        <v/>
      </c>
      <c r="C222">
        <f>IF($W222="","",IF(INDEX('Per Invoice'!C$2:C$801,$W222)="","",INDEX('Per Invoice'!C$2:C$801,$W222)))</f>
        <v/>
      </c>
      <c r="D222">
        <f>IF($W222="","",IF(INDEX('Per Invoice'!D$2:D$801,$W222)="","",INDEX('Per Invoice'!D$2:D$801,$W222)))</f>
        <v/>
      </c>
      <c r="E222">
        <f>IF($W222="","",IF(INDEX('Per Invoice'!E$2:E$801,$W222)="","",INDEX('Per Invoice'!E$2:E$801,$W222)))</f>
        <v/>
      </c>
      <c r="F222">
        <f>IF($W222="","",IF(INDEX('Per Invoice'!F$2:F$801,$W222)="","",INDEX('Per Invoice'!F$2:F$801,$W222)))</f>
        <v/>
      </c>
      <c r="G222">
        <f>IF($W222="","",IF(INDEX('Per Invoice'!G$2:G$801,$W222)="","",INDEX('Per Invoice'!G$2:G$801,$W222)))</f>
        <v/>
      </c>
      <c r="H222">
        <f>IF($W222="","",IF(INDEX('Per Invoice'!H$2:H$801,$W222)="","",INDEX('Per Invoice'!H$2:H$801,$W222)))</f>
        <v/>
      </c>
      <c r="I222">
        <f>IF($W222="","",IF(INDEX('Per Invoice'!I$2:I$801,$W222)="","",INDEX('Per Invoice'!I$2:I$801,$W222)))</f>
        <v/>
      </c>
      <c r="J222">
        <f>IF($W222="","",IF(INDEX('Per Invoice'!J$2:J$801,$W222)="","",INDEX('Per Invoice'!J$2:J$801,$W222)))</f>
        <v/>
      </c>
      <c r="K222" s="7">
        <f>IF($W222="","",IF(INDEX('Per Invoice'!K$2:K$801,$W222)="","",INDEX('Per Invoice'!K$2:K$801,$W222)))</f>
        <v/>
      </c>
      <c r="L222" s="14">
        <f>IF($W222="","",IF(INDEX('Per Invoice'!L$2:L$801,$W222)="","",INDEX('Per Invoice'!L$2:L$801,$W222)))</f>
        <v/>
      </c>
      <c r="M222">
        <f>IF($W222="","",IF(INDEX('Per Invoice'!M$2:M$801,$W222)="","",INDEX('Per Invoice'!M$2:M$801,$W222)))</f>
        <v/>
      </c>
      <c r="N222" s="7">
        <f>IF($W222="","",IF(INDEX('Per Invoice'!N$2:N$801,$W222)="","",INDEX('Per Invoice'!N$2:N$801,$W222)))</f>
        <v/>
      </c>
      <c r="O222" s="7">
        <f>IF($W222="","",IF(INDEX('Per Invoice'!O$2:O$801,$W222)="","",INDEX('Per Invoice'!O$2:O$801,$W222)))</f>
        <v/>
      </c>
      <c r="P222">
        <f>IF($W222="","",IF(INDEX('Per Invoice'!P$2:P$801,$W222)="","",INDEX('Per Invoice'!P$2:P$801,$W222)))</f>
        <v/>
      </c>
      <c r="Q222" s="7">
        <f>IF($W222="","",IF(INDEX('Per Invoice'!Q$2:Q$801,$W222)="","",INDEX('Per Invoice'!Q$2:Q$801,$W222)))</f>
        <v/>
      </c>
      <c r="R222" s="7">
        <f>IF($W222="","",IF(INDEX('Per Invoice'!R$2:R$801,$W222)="","",INDEX('Per Invoice'!R$2:R$801,$W222)))</f>
        <v/>
      </c>
      <c r="S222" s="7">
        <f>IF($W222="","",IF(INDEX('Per Invoice'!S$2:S$801,$W222)="","",INDEX('Per Invoice'!S$2:S$801,$W222)))</f>
        <v/>
      </c>
      <c r="T222" s="7">
        <f>IF($W222="","",IF(INDEX('Per Invoice'!T$2:T$801,$W222)="","",INDEX('Per Invoice'!T$2:T$801,$W222)))</f>
        <v/>
      </c>
      <c r="U222" s="7">
        <f>IF($W222="","",IF(INDEX('Per Invoice'!U$2:U$801,$W222)="","",INDEX('Per Invoice'!U$2:U$801,$W222)))</f>
        <v/>
      </c>
      <c r="V222" s="7">
        <f>IF($W222="","",IF(INDEX('Per Invoice'!V$2:V$801,$W222)="","",INDEX('Per Invoice'!V$2:V$801,$W222)))</f>
        <v/>
      </c>
      <c r="W222" s="16">
        <f>IFERROR(MATCH(Settings!$C$29&amp;"|"&amp;ROWS($W$2:$W222),'Per Invoice'!$X$2:$X$801,0),"")</f>
        <v/>
      </c>
    </row>
    <row r="223">
      <c r="A223">
        <f>IF($W223="","",IF(INDEX('Per Invoice'!A$2:A$801,$W223)="","",INDEX('Per Invoice'!A$2:A$801,$W223)))</f>
        <v/>
      </c>
      <c r="B223">
        <f>IF($W223="","",IF(INDEX('Per Invoice'!B$2:B$801,$W223)="","",INDEX('Per Invoice'!B$2:B$801,$W223)))</f>
        <v/>
      </c>
      <c r="C223">
        <f>IF($W223="","",IF(INDEX('Per Invoice'!C$2:C$801,$W223)="","",INDEX('Per Invoice'!C$2:C$801,$W223)))</f>
        <v/>
      </c>
      <c r="D223">
        <f>IF($W223="","",IF(INDEX('Per Invoice'!D$2:D$801,$W223)="","",INDEX('Per Invoice'!D$2:D$801,$W223)))</f>
        <v/>
      </c>
      <c r="E223">
        <f>IF($W223="","",IF(INDEX('Per Invoice'!E$2:E$801,$W223)="","",INDEX('Per Invoice'!E$2:E$801,$W223)))</f>
        <v/>
      </c>
      <c r="F223">
        <f>IF($W223="","",IF(INDEX('Per Invoice'!F$2:F$801,$W223)="","",INDEX('Per Invoice'!F$2:F$801,$W223)))</f>
        <v/>
      </c>
      <c r="G223">
        <f>IF($W223="","",IF(INDEX('Per Invoice'!G$2:G$801,$W223)="","",INDEX('Per Invoice'!G$2:G$801,$W223)))</f>
        <v/>
      </c>
      <c r="H223">
        <f>IF($W223="","",IF(INDEX('Per Invoice'!H$2:H$801,$W223)="","",INDEX('Per Invoice'!H$2:H$801,$W223)))</f>
        <v/>
      </c>
      <c r="I223">
        <f>IF($W223="","",IF(INDEX('Per Invoice'!I$2:I$801,$W223)="","",INDEX('Per Invoice'!I$2:I$801,$W223)))</f>
        <v/>
      </c>
      <c r="J223">
        <f>IF($W223="","",IF(INDEX('Per Invoice'!J$2:J$801,$W223)="","",INDEX('Per Invoice'!J$2:J$801,$W223)))</f>
        <v/>
      </c>
      <c r="K223" s="7">
        <f>IF($W223="","",IF(INDEX('Per Invoice'!K$2:K$801,$W223)="","",INDEX('Per Invoice'!K$2:K$801,$W223)))</f>
        <v/>
      </c>
      <c r="L223" s="14">
        <f>IF($W223="","",IF(INDEX('Per Invoice'!L$2:L$801,$W223)="","",INDEX('Per Invoice'!L$2:L$801,$W223)))</f>
        <v/>
      </c>
      <c r="M223">
        <f>IF($W223="","",IF(INDEX('Per Invoice'!M$2:M$801,$W223)="","",INDEX('Per Invoice'!M$2:M$801,$W223)))</f>
        <v/>
      </c>
      <c r="N223" s="7">
        <f>IF($W223="","",IF(INDEX('Per Invoice'!N$2:N$801,$W223)="","",INDEX('Per Invoice'!N$2:N$801,$W223)))</f>
        <v/>
      </c>
      <c r="O223" s="7">
        <f>IF($W223="","",IF(INDEX('Per Invoice'!O$2:O$801,$W223)="","",INDEX('Per Invoice'!O$2:O$801,$W223)))</f>
        <v/>
      </c>
      <c r="P223">
        <f>IF($W223="","",IF(INDEX('Per Invoice'!P$2:P$801,$W223)="","",INDEX('Per Invoice'!P$2:P$801,$W223)))</f>
        <v/>
      </c>
      <c r="Q223" s="7">
        <f>IF($W223="","",IF(INDEX('Per Invoice'!Q$2:Q$801,$W223)="","",INDEX('Per Invoice'!Q$2:Q$801,$W223)))</f>
        <v/>
      </c>
      <c r="R223" s="7">
        <f>IF($W223="","",IF(INDEX('Per Invoice'!R$2:R$801,$W223)="","",INDEX('Per Invoice'!R$2:R$801,$W223)))</f>
        <v/>
      </c>
      <c r="S223" s="7">
        <f>IF($W223="","",IF(INDEX('Per Invoice'!S$2:S$801,$W223)="","",INDEX('Per Invoice'!S$2:S$801,$W223)))</f>
        <v/>
      </c>
      <c r="T223" s="7">
        <f>IF($W223="","",IF(INDEX('Per Invoice'!T$2:T$801,$W223)="","",INDEX('Per Invoice'!T$2:T$801,$W223)))</f>
        <v/>
      </c>
      <c r="U223" s="7">
        <f>IF($W223="","",IF(INDEX('Per Invoice'!U$2:U$801,$W223)="","",INDEX('Per Invoice'!U$2:U$801,$W223)))</f>
        <v/>
      </c>
      <c r="V223" s="7">
        <f>IF($W223="","",IF(INDEX('Per Invoice'!V$2:V$801,$W223)="","",INDEX('Per Invoice'!V$2:V$801,$W223)))</f>
        <v/>
      </c>
      <c r="W223" s="16">
        <f>IFERROR(MATCH(Settings!$C$29&amp;"|"&amp;ROWS($W$2:$W223),'Per Invoice'!$X$2:$X$801,0),"")</f>
        <v/>
      </c>
    </row>
    <row r="224">
      <c r="A224">
        <f>IF($W224="","",IF(INDEX('Per Invoice'!A$2:A$801,$W224)="","",INDEX('Per Invoice'!A$2:A$801,$W224)))</f>
        <v/>
      </c>
      <c r="B224">
        <f>IF($W224="","",IF(INDEX('Per Invoice'!B$2:B$801,$W224)="","",INDEX('Per Invoice'!B$2:B$801,$W224)))</f>
        <v/>
      </c>
      <c r="C224">
        <f>IF($W224="","",IF(INDEX('Per Invoice'!C$2:C$801,$W224)="","",INDEX('Per Invoice'!C$2:C$801,$W224)))</f>
        <v/>
      </c>
      <c r="D224">
        <f>IF($W224="","",IF(INDEX('Per Invoice'!D$2:D$801,$W224)="","",INDEX('Per Invoice'!D$2:D$801,$W224)))</f>
        <v/>
      </c>
      <c r="E224">
        <f>IF($W224="","",IF(INDEX('Per Invoice'!E$2:E$801,$W224)="","",INDEX('Per Invoice'!E$2:E$801,$W224)))</f>
        <v/>
      </c>
      <c r="F224">
        <f>IF($W224="","",IF(INDEX('Per Invoice'!F$2:F$801,$W224)="","",INDEX('Per Invoice'!F$2:F$801,$W224)))</f>
        <v/>
      </c>
      <c r="G224">
        <f>IF($W224="","",IF(INDEX('Per Invoice'!G$2:G$801,$W224)="","",INDEX('Per Invoice'!G$2:G$801,$W224)))</f>
        <v/>
      </c>
      <c r="H224">
        <f>IF($W224="","",IF(INDEX('Per Invoice'!H$2:H$801,$W224)="","",INDEX('Per Invoice'!H$2:H$801,$W224)))</f>
        <v/>
      </c>
      <c r="I224">
        <f>IF($W224="","",IF(INDEX('Per Invoice'!I$2:I$801,$W224)="","",INDEX('Per Invoice'!I$2:I$801,$W224)))</f>
        <v/>
      </c>
      <c r="J224">
        <f>IF($W224="","",IF(INDEX('Per Invoice'!J$2:J$801,$W224)="","",INDEX('Per Invoice'!J$2:J$801,$W224)))</f>
        <v/>
      </c>
      <c r="K224" s="7">
        <f>IF($W224="","",IF(INDEX('Per Invoice'!K$2:K$801,$W224)="","",INDEX('Per Invoice'!K$2:K$801,$W224)))</f>
        <v/>
      </c>
      <c r="L224" s="14">
        <f>IF($W224="","",IF(INDEX('Per Invoice'!L$2:L$801,$W224)="","",INDEX('Per Invoice'!L$2:L$801,$W224)))</f>
        <v/>
      </c>
      <c r="M224">
        <f>IF($W224="","",IF(INDEX('Per Invoice'!M$2:M$801,$W224)="","",INDEX('Per Invoice'!M$2:M$801,$W224)))</f>
        <v/>
      </c>
      <c r="N224" s="7">
        <f>IF($W224="","",IF(INDEX('Per Invoice'!N$2:N$801,$W224)="","",INDEX('Per Invoice'!N$2:N$801,$W224)))</f>
        <v/>
      </c>
      <c r="O224" s="7">
        <f>IF($W224="","",IF(INDEX('Per Invoice'!O$2:O$801,$W224)="","",INDEX('Per Invoice'!O$2:O$801,$W224)))</f>
        <v/>
      </c>
      <c r="P224">
        <f>IF($W224="","",IF(INDEX('Per Invoice'!P$2:P$801,$W224)="","",INDEX('Per Invoice'!P$2:P$801,$W224)))</f>
        <v/>
      </c>
      <c r="Q224" s="7">
        <f>IF($W224="","",IF(INDEX('Per Invoice'!Q$2:Q$801,$W224)="","",INDEX('Per Invoice'!Q$2:Q$801,$W224)))</f>
        <v/>
      </c>
      <c r="R224" s="7">
        <f>IF($W224="","",IF(INDEX('Per Invoice'!R$2:R$801,$W224)="","",INDEX('Per Invoice'!R$2:R$801,$W224)))</f>
        <v/>
      </c>
      <c r="S224" s="7">
        <f>IF($W224="","",IF(INDEX('Per Invoice'!S$2:S$801,$W224)="","",INDEX('Per Invoice'!S$2:S$801,$W224)))</f>
        <v/>
      </c>
      <c r="T224" s="7">
        <f>IF($W224="","",IF(INDEX('Per Invoice'!T$2:T$801,$W224)="","",INDEX('Per Invoice'!T$2:T$801,$W224)))</f>
        <v/>
      </c>
      <c r="U224" s="7">
        <f>IF($W224="","",IF(INDEX('Per Invoice'!U$2:U$801,$W224)="","",INDEX('Per Invoice'!U$2:U$801,$W224)))</f>
        <v/>
      </c>
      <c r="V224" s="7">
        <f>IF($W224="","",IF(INDEX('Per Invoice'!V$2:V$801,$W224)="","",INDEX('Per Invoice'!V$2:V$801,$W224)))</f>
        <v/>
      </c>
      <c r="W224" s="16">
        <f>IFERROR(MATCH(Settings!$C$29&amp;"|"&amp;ROWS($W$2:$W224),'Per Invoice'!$X$2:$X$801,0),"")</f>
        <v/>
      </c>
    </row>
    <row r="225">
      <c r="A225">
        <f>IF($W225="","",IF(INDEX('Per Invoice'!A$2:A$801,$W225)="","",INDEX('Per Invoice'!A$2:A$801,$W225)))</f>
        <v/>
      </c>
      <c r="B225">
        <f>IF($W225="","",IF(INDEX('Per Invoice'!B$2:B$801,$W225)="","",INDEX('Per Invoice'!B$2:B$801,$W225)))</f>
        <v/>
      </c>
      <c r="C225">
        <f>IF($W225="","",IF(INDEX('Per Invoice'!C$2:C$801,$W225)="","",INDEX('Per Invoice'!C$2:C$801,$W225)))</f>
        <v/>
      </c>
      <c r="D225">
        <f>IF($W225="","",IF(INDEX('Per Invoice'!D$2:D$801,$W225)="","",INDEX('Per Invoice'!D$2:D$801,$W225)))</f>
        <v/>
      </c>
      <c r="E225">
        <f>IF($W225="","",IF(INDEX('Per Invoice'!E$2:E$801,$W225)="","",INDEX('Per Invoice'!E$2:E$801,$W225)))</f>
        <v/>
      </c>
      <c r="F225">
        <f>IF($W225="","",IF(INDEX('Per Invoice'!F$2:F$801,$W225)="","",INDEX('Per Invoice'!F$2:F$801,$W225)))</f>
        <v/>
      </c>
      <c r="G225">
        <f>IF($W225="","",IF(INDEX('Per Invoice'!G$2:G$801,$W225)="","",INDEX('Per Invoice'!G$2:G$801,$W225)))</f>
        <v/>
      </c>
      <c r="H225">
        <f>IF($W225="","",IF(INDEX('Per Invoice'!H$2:H$801,$W225)="","",INDEX('Per Invoice'!H$2:H$801,$W225)))</f>
        <v/>
      </c>
      <c r="I225">
        <f>IF($W225="","",IF(INDEX('Per Invoice'!I$2:I$801,$W225)="","",INDEX('Per Invoice'!I$2:I$801,$W225)))</f>
        <v/>
      </c>
      <c r="J225">
        <f>IF($W225="","",IF(INDEX('Per Invoice'!J$2:J$801,$W225)="","",INDEX('Per Invoice'!J$2:J$801,$W225)))</f>
        <v/>
      </c>
      <c r="K225" s="7">
        <f>IF($W225="","",IF(INDEX('Per Invoice'!K$2:K$801,$W225)="","",INDEX('Per Invoice'!K$2:K$801,$W225)))</f>
        <v/>
      </c>
      <c r="L225" s="14">
        <f>IF($W225="","",IF(INDEX('Per Invoice'!L$2:L$801,$W225)="","",INDEX('Per Invoice'!L$2:L$801,$W225)))</f>
        <v/>
      </c>
      <c r="M225">
        <f>IF($W225="","",IF(INDEX('Per Invoice'!M$2:M$801,$W225)="","",INDEX('Per Invoice'!M$2:M$801,$W225)))</f>
        <v/>
      </c>
      <c r="N225" s="7">
        <f>IF($W225="","",IF(INDEX('Per Invoice'!N$2:N$801,$W225)="","",INDEX('Per Invoice'!N$2:N$801,$W225)))</f>
        <v/>
      </c>
      <c r="O225" s="7">
        <f>IF($W225="","",IF(INDEX('Per Invoice'!O$2:O$801,$W225)="","",INDEX('Per Invoice'!O$2:O$801,$W225)))</f>
        <v/>
      </c>
      <c r="P225">
        <f>IF($W225="","",IF(INDEX('Per Invoice'!P$2:P$801,$W225)="","",INDEX('Per Invoice'!P$2:P$801,$W225)))</f>
        <v/>
      </c>
      <c r="Q225" s="7">
        <f>IF($W225="","",IF(INDEX('Per Invoice'!Q$2:Q$801,$W225)="","",INDEX('Per Invoice'!Q$2:Q$801,$W225)))</f>
        <v/>
      </c>
      <c r="R225" s="7">
        <f>IF($W225="","",IF(INDEX('Per Invoice'!R$2:R$801,$W225)="","",INDEX('Per Invoice'!R$2:R$801,$W225)))</f>
        <v/>
      </c>
      <c r="S225" s="7">
        <f>IF($W225="","",IF(INDEX('Per Invoice'!S$2:S$801,$W225)="","",INDEX('Per Invoice'!S$2:S$801,$W225)))</f>
        <v/>
      </c>
      <c r="T225" s="7">
        <f>IF($W225="","",IF(INDEX('Per Invoice'!T$2:T$801,$W225)="","",INDEX('Per Invoice'!T$2:T$801,$W225)))</f>
        <v/>
      </c>
      <c r="U225" s="7">
        <f>IF($W225="","",IF(INDEX('Per Invoice'!U$2:U$801,$W225)="","",INDEX('Per Invoice'!U$2:U$801,$W225)))</f>
        <v/>
      </c>
      <c r="V225" s="7">
        <f>IF($W225="","",IF(INDEX('Per Invoice'!V$2:V$801,$W225)="","",INDEX('Per Invoice'!V$2:V$801,$W225)))</f>
        <v/>
      </c>
      <c r="W225" s="16">
        <f>IFERROR(MATCH(Settings!$C$29&amp;"|"&amp;ROWS($W$2:$W225),'Per Invoice'!$X$2:$X$801,0),"")</f>
        <v/>
      </c>
    </row>
    <row r="226">
      <c r="A226">
        <f>IF($W226="","",IF(INDEX('Per Invoice'!A$2:A$801,$W226)="","",INDEX('Per Invoice'!A$2:A$801,$W226)))</f>
        <v/>
      </c>
      <c r="B226">
        <f>IF($W226="","",IF(INDEX('Per Invoice'!B$2:B$801,$W226)="","",INDEX('Per Invoice'!B$2:B$801,$W226)))</f>
        <v/>
      </c>
      <c r="C226">
        <f>IF($W226="","",IF(INDEX('Per Invoice'!C$2:C$801,$W226)="","",INDEX('Per Invoice'!C$2:C$801,$W226)))</f>
        <v/>
      </c>
      <c r="D226">
        <f>IF($W226="","",IF(INDEX('Per Invoice'!D$2:D$801,$W226)="","",INDEX('Per Invoice'!D$2:D$801,$W226)))</f>
        <v/>
      </c>
      <c r="E226">
        <f>IF($W226="","",IF(INDEX('Per Invoice'!E$2:E$801,$W226)="","",INDEX('Per Invoice'!E$2:E$801,$W226)))</f>
        <v/>
      </c>
      <c r="F226">
        <f>IF($W226="","",IF(INDEX('Per Invoice'!F$2:F$801,$W226)="","",INDEX('Per Invoice'!F$2:F$801,$W226)))</f>
        <v/>
      </c>
      <c r="G226">
        <f>IF($W226="","",IF(INDEX('Per Invoice'!G$2:G$801,$W226)="","",INDEX('Per Invoice'!G$2:G$801,$W226)))</f>
        <v/>
      </c>
      <c r="H226">
        <f>IF($W226="","",IF(INDEX('Per Invoice'!H$2:H$801,$W226)="","",INDEX('Per Invoice'!H$2:H$801,$W226)))</f>
        <v/>
      </c>
      <c r="I226">
        <f>IF($W226="","",IF(INDEX('Per Invoice'!I$2:I$801,$W226)="","",INDEX('Per Invoice'!I$2:I$801,$W226)))</f>
        <v/>
      </c>
      <c r="J226">
        <f>IF($W226="","",IF(INDEX('Per Invoice'!J$2:J$801,$W226)="","",INDEX('Per Invoice'!J$2:J$801,$W226)))</f>
        <v/>
      </c>
      <c r="K226" s="7">
        <f>IF($W226="","",IF(INDEX('Per Invoice'!K$2:K$801,$W226)="","",INDEX('Per Invoice'!K$2:K$801,$W226)))</f>
        <v/>
      </c>
      <c r="L226" s="14">
        <f>IF($W226="","",IF(INDEX('Per Invoice'!L$2:L$801,$W226)="","",INDEX('Per Invoice'!L$2:L$801,$W226)))</f>
        <v/>
      </c>
      <c r="M226">
        <f>IF($W226="","",IF(INDEX('Per Invoice'!M$2:M$801,$W226)="","",INDEX('Per Invoice'!M$2:M$801,$W226)))</f>
        <v/>
      </c>
      <c r="N226" s="7">
        <f>IF($W226="","",IF(INDEX('Per Invoice'!N$2:N$801,$W226)="","",INDEX('Per Invoice'!N$2:N$801,$W226)))</f>
        <v/>
      </c>
      <c r="O226" s="7">
        <f>IF($W226="","",IF(INDEX('Per Invoice'!O$2:O$801,$W226)="","",INDEX('Per Invoice'!O$2:O$801,$W226)))</f>
        <v/>
      </c>
      <c r="P226">
        <f>IF($W226="","",IF(INDEX('Per Invoice'!P$2:P$801,$W226)="","",INDEX('Per Invoice'!P$2:P$801,$W226)))</f>
        <v/>
      </c>
      <c r="Q226" s="7">
        <f>IF($W226="","",IF(INDEX('Per Invoice'!Q$2:Q$801,$W226)="","",INDEX('Per Invoice'!Q$2:Q$801,$W226)))</f>
        <v/>
      </c>
      <c r="R226" s="7">
        <f>IF($W226="","",IF(INDEX('Per Invoice'!R$2:R$801,$W226)="","",INDEX('Per Invoice'!R$2:R$801,$W226)))</f>
        <v/>
      </c>
      <c r="S226" s="7">
        <f>IF($W226="","",IF(INDEX('Per Invoice'!S$2:S$801,$W226)="","",INDEX('Per Invoice'!S$2:S$801,$W226)))</f>
        <v/>
      </c>
      <c r="T226" s="7">
        <f>IF($W226="","",IF(INDEX('Per Invoice'!T$2:T$801,$W226)="","",INDEX('Per Invoice'!T$2:T$801,$W226)))</f>
        <v/>
      </c>
      <c r="U226" s="7">
        <f>IF($W226="","",IF(INDEX('Per Invoice'!U$2:U$801,$W226)="","",INDEX('Per Invoice'!U$2:U$801,$W226)))</f>
        <v/>
      </c>
      <c r="V226" s="7">
        <f>IF($W226="","",IF(INDEX('Per Invoice'!V$2:V$801,$W226)="","",INDEX('Per Invoice'!V$2:V$801,$W226)))</f>
        <v/>
      </c>
      <c r="W226" s="16">
        <f>IFERROR(MATCH(Settings!$C$29&amp;"|"&amp;ROWS($W$2:$W226),'Per Invoice'!$X$2:$X$801,0),"")</f>
        <v/>
      </c>
    </row>
    <row r="227">
      <c r="A227">
        <f>IF($W227="","",IF(INDEX('Per Invoice'!A$2:A$801,$W227)="","",INDEX('Per Invoice'!A$2:A$801,$W227)))</f>
        <v/>
      </c>
      <c r="B227">
        <f>IF($W227="","",IF(INDEX('Per Invoice'!B$2:B$801,$W227)="","",INDEX('Per Invoice'!B$2:B$801,$W227)))</f>
        <v/>
      </c>
      <c r="C227">
        <f>IF($W227="","",IF(INDEX('Per Invoice'!C$2:C$801,$W227)="","",INDEX('Per Invoice'!C$2:C$801,$W227)))</f>
        <v/>
      </c>
      <c r="D227">
        <f>IF($W227="","",IF(INDEX('Per Invoice'!D$2:D$801,$W227)="","",INDEX('Per Invoice'!D$2:D$801,$W227)))</f>
        <v/>
      </c>
      <c r="E227">
        <f>IF($W227="","",IF(INDEX('Per Invoice'!E$2:E$801,$W227)="","",INDEX('Per Invoice'!E$2:E$801,$W227)))</f>
        <v/>
      </c>
      <c r="F227">
        <f>IF($W227="","",IF(INDEX('Per Invoice'!F$2:F$801,$W227)="","",INDEX('Per Invoice'!F$2:F$801,$W227)))</f>
        <v/>
      </c>
      <c r="G227">
        <f>IF($W227="","",IF(INDEX('Per Invoice'!G$2:G$801,$W227)="","",INDEX('Per Invoice'!G$2:G$801,$W227)))</f>
        <v/>
      </c>
      <c r="H227">
        <f>IF($W227="","",IF(INDEX('Per Invoice'!H$2:H$801,$W227)="","",INDEX('Per Invoice'!H$2:H$801,$W227)))</f>
        <v/>
      </c>
      <c r="I227">
        <f>IF($W227="","",IF(INDEX('Per Invoice'!I$2:I$801,$W227)="","",INDEX('Per Invoice'!I$2:I$801,$W227)))</f>
        <v/>
      </c>
      <c r="J227">
        <f>IF($W227="","",IF(INDEX('Per Invoice'!J$2:J$801,$W227)="","",INDEX('Per Invoice'!J$2:J$801,$W227)))</f>
        <v/>
      </c>
      <c r="K227" s="7">
        <f>IF($W227="","",IF(INDEX('Per Invoice'!K$2:K$801,$W227)="","",INDEX('Per Invoice'!K$2:K$801,$W227)))</f>
        <v/>
      </c>
      <c r="L227" s="14">
        <f>IF($W227="","",IF(INDEX('Per Invoice'!L$2:L$801,$W227)="","",INDEX('Per Invoice'!L$2:L$801,$W227)))</f>
        <v/>
      </c>
      <c r="M227">
        <f>IF($W227="","",IF(INDEX('Per Invoice'!M$2:M$801,$W227)="","",INDEX('Per Invoice'!M$2:M$801,$W227)))</f>
        <v/>
      </c>
      <c r="N227" s="7">
        <f>IF($W227="","",IF(INDEX('Per Invoice'!N$2:N$801,$W227)="","",INDEX('Per Invoice'!N$2:N$801,$W227)))</f>
        <v/>
      </c>
      <c r="O227" s="7">
        <f>IF($W227="","",IF(INDEX('Per Invoice'!O$2:O$801,$W227)="","",INDEX('Per Invoice'!O$2:O$801,$W227)))</f>
        <v/>
      </c>
      <c r="P227">
        <f>IF($W227="","",IF(INDEX('Per Invoice'!P$2:P$801,$W227)="","",INDEX('Per Invoice'!P$2:P$801,$W227)))</f>
        <v/>
      </c>
      <c r="Q227" s="7">
        <f>IF($W227="","",IF(INDEX('Per Invoice'!Q$2:Q$801,$W227)="","",INDEX('Per Invoice'!Q$2:Q$801,$W227)))</f>
        <v/>
      </c>
      <c r="R227" s="7">
        <f>IF($W227="","",IF(INDEX('Per Invoice'!R$2:R$801,$W227)="","",INDEX('Per Invoice'!R$2:R$801,$W227)))</f>
        <v/>
      </c>
      <c r="S227" s="7">
        <f>IF($W227="","",IF(INDEX('Per Invoice'!S$2:S$801,$W227)="","",INDEX('Per Invoice'!S$2:S$801,$W227)))</f>
        <v/>
      </c>
      <c r="T227" s="7">
        <f>IF($W227="","",IF(INDEX('Per Invoice'!T$2:T$801,$W227)="","",INDEX('Per Invoice'!T$2:T$801,$W227)))</f>
        <v/>
      </c>
      <c r="U227" s="7">
        <f>IF($W227="","",IF(INDEX('Per Invoice'!U$2:U$801,$W227)="","",INDEX('Per Invoice'!U$2:U$801,$W227)))</f>
        <v/>
      </c>
      <c r="V227" s="7">
        <f>IF($W227="","",IF(INDEX('Per Invoice'!V$2:V$801,$W227)="","",INDEX('Per Invoice'!V$2:V$801,$W227)))</f>
        <v/>
      </c>
      <c r="W227" s="16">
        <f>IFERROR(MATCH(Settings!$C$29&amp;"|"&amp;ROWS($W$2:$W227),'Per Invoice'!$X$2:$X$801,0),"")</f>
        <v/>
      </c>
    </row>
    <row r="228">
      <c r="A228">
        <f>IF($W228="","",IF(INDEX('Per Invoice'!A$2:A$801,$W228)="","",INDEX('Per Invoice'!A$2:A$801,$W228)))</f>
        <v/>
      </c>
      <c r="B228">
        <f>IF($W228="","",IF(INDEX('Per Invoice'!B$2:B$801,$W228)="","",INDEX('Per Invoice'!B$2:B$801,$W228)))</f>
        <v/>
      </c>
      <c r="C228">
        <f>IF($W228="","",IF(INDEX('Per Invoice'!C$2:C$801,$W228)="","",INDEX('Per Invoice'!C$2:C$801,$W228)))</f>
        <v/>
      </c>
      <c r="D228">
        <f>IF($W228="","",IF(INDEX('Per Invoice'!D$2:D$801,$W228)="","",INDEX('Per Invoice'!D$2:D$801,$W228)))</f>
        <v/>
      </c>
      <c r="E228">
        <f>IF($W228="","",IF(INDEX('Per Invoice'!E$2:E$801,$W228)="","",INDEX('Per Invoice'!E$2:E$801,$W228)))</f>
        <v/>
      </c>
      <c r="F228">
        <f>IF($W228="","",IF(INDEX('Per Invoice'!F$2:F$801,$W228)="","",INDEX('Per Invoice'!F$2:F$801,$W228)))</f>
        <v/>
      </c>
      <c r="G228">
        <f>IF($W228="","",IF(INDEX('Per Invoice'!G$2:G$801,$W228)="","",INDEX('Per Invoice'!G$2:G$801,$W228)))</f>
        <v/>
      </c>
      <c r="H228">
        <f>IF($W228="","",IF(INDEX('Per Invoice'!H$2:H$801,$W228)="","",INDEX('Per Invoice'!H$2:H$801,$W228)))</f>
        <v/>
      </c>
      <c r="I228">
        <f>IF($W228="","",IF(INDEX('Per Invoice'!I$2:I$801,$W228)="","",INDEX('Per Invoice'!I$2:I$801,$W228)))</f>
        <v/>
      </c>
      <c r="J228">
        <f>IF($W228="","",IF(INDEX('Per Invoice'!J$2:J$801,$W228)="","",INDEX('Per Invoice'!J$2:J$801,$W228)))</f>
        <v/>
      </c>
      <c r="K228" s="7">
        <f>IF($W228="","",IF(INDEX('Per Invoice'!K$2:K$801,$W228)="","",INDEX('Per Invoice'!K$2:K$801,$W228)))</f>
        <v/>
      </c>
      <c r="L228" s="14">
        <f>IF($W228="","",IF(INDEX('Per Invoice'!L$2:L$801,$W228)="","",INDEX('Per Invoice'!L$2:L$801,$W228)))</f>
        <v/>
      </c>
      <c r="M228">
        <f>IF($W228="","",IF(INDEX('Per Invoice'!M$2:M$801,$W228)="","",INDEX('Per Invoice'!M$2:M$801,$W228)))</f>
        <v/>
      </c>
      <c r="N228" s="7">
        <f>IF($W228="","",IF(INDEX('Per Invoice'!N$2:N$801,$W228)="","",INDEX('Per Invoice'!N$2:N$801,$W228)))</f>
        <v/>
      </c>
      <c r="O228" s="7">
        <f>IF($W228="","",IF(INDEX('Per Invoice'!O$2:O$801,$W228)="","",INDEX('Per Invoice'!O$2:O$801,$W228)))</f>
        <v/>
      </c>
      <c r="P228">
        <f>IF($W228="","",IF(INDEX('Per Invoice'!P$2:P$801,$W228)="","",INDEX('Per Invoice'!P$2:P$801,$W228)))</f>
        <v/>
      </c>
      <c r="Q228" s="7">
        <f>IF($W228="","",IF(INDEX('Per Invoice'!Q$2:Q$801,$W228)="","",INDEX('Per Invoice'!Q$2:Q$801,$W228)))</f>
        <v/>
      </c>
      <c r="R228" s="7">
        <f>IF($W228="","",IF(INDEX('Per Invoice'!R$2:R$801,$W228)="","",INDEX('Per Invoice'!R$2:R$801,$W228)))</f>
        <v/>
      </c>
      <c r="S228" s="7">
        <f>IF($W228="","",IF(INDEX('Per Invoice'!S$2:S$801,$W228)="","",INDEX('Per Invoice'!S$2:S$801,$W228)))</f>
        <v/>
      </c>
      <c r="T228" s="7">
        <f>IF($W228="","",IF(INDEX('Per Invoice'!T$2:T$801,$W228)="","",INDEX('Per Invoice'!T$2:T$801,$W228)))</f>
        <v/>
      </c>
      <c r="U228" s="7">
        <f>IF($W228="","",IF(INDEX('Per Invoice'!U$2:U$801,$W228)="","",INDEX('Per Invoice'!U$2:U$801,$W228)))</f>
        <v/>
      </c>
      <c r="V228" s="7">
        <f>IF($W228="","",IF(INDEX('Per Invoice'!V$2:V$801,$W228)="","",INDEX('Per Invoice'!V$2:V$801,$W228)))</f>
        <v/>
      </c>
      <c r="W228" s="16">
        <f>IFERROR(MATCH(Settings!$C$29&amp;"|"&amp;ROWS($W$2:$W228),'Per Invoice'!$X$2:$X$801,0),"")</f>
        <v/>
      </c>
    </row>
    <row r="229">
      <c r="A229">
        <f>IF($W229="","",IF(INDEX('Per Invoice'!A$2:A$801,$W229)="","",INDEX('Per Invoice'!A$2:A$801,$W229)))</f>
        <v/>
      </c>
      <c r="B229">
        <f>IF($W229="","",IF(INDEX('Per Invoice'!B$2:B$801,$W229)="","",INDEX('Per Invoice'!B$2:B$801,$W229)))</f>
        <v/>
      </c>
      <c r="C229">
        <f>IF($W229="","",IF(INDEX('Per Invoice'!C$2:C$801,$W229)="","",INDEX('Per Invoice'!C$2:C$801,$W229)))</f>
        <v/>
      </c>
      <c r="D229">
        <f>IF($W229="","",IF(INDEX('Per Invoice'!D$2:D$801,$W229)="","",INDEX('Per Invoice'!D$2:D$801,$W229)))</f>
        <v/>
      </c>
      <c r="E229">
        <f>IF($W229="","",IF(INDEX('Per Invoice'!E$2:E$801,$W229)="","",INDEX('Per Invoice'!E$2:E$801,$W229)))</f>
        <v/>
      </c>
      <c r="F229">
        <f>IF($W229="","",IF(INDEX('Per Invoice'!F$2:F$801,$W229)="","",INDEX('Per Invoice'!F$2:F$801,$W229)))</f>
        <v/>
      </c>
      <c r="G229">
        <f>IF($W229="","",IF(INDEX('Per Invoice'!G$2:G$801,$W229)="","",INDEX('Per Invoice'!G$2:G$801,$W229)))</f>
        <v/>
      </c>
      <c r="H229">
        <f>IF($W229="","",IF(INDEX('Per Invoice'!H$2:H$801,$W229)="","",INDEX('Per Invoice'!H$2:H$801,$W229)))</f>
        <v/>
      </c>
      <c r="I229">
        <f>IF($W229="","",IF(INDEX('Per Invoice'!I$2:I$801,$W229)="","",INDEX('Per Invoice'!I$2:I$801,$W229)))</f>
        <v/>
      </c>
      <c r="J229">
        <f>IF($W229="","",IF(INDEX('Per Invoice'!J$2:J$801,$W229)="","",INDEX('Per Invoice'!J$2:J$801,$W229)))</f>
        <v/>
      </c>
      <c r="K229" s="7">
        <f>IF($W229="","",IF(INDEX('Per Invoice'!K$2:K$801,$W229)="","",INDEX('Per Invoice'!K$2:K$801,$W229)))</f>
        <v/>
      </c>
      <c r="L229" s="14">
        <f>IF($W229="","",IF(INDEX('Per Invoice'!L$2:L$801,$W229)="","",INDEX('Per Invoice'!L$2:L$801,$W229)))</f>
        <v/>
      </c>
      <c r="M229">
        <f>IF($W229="","",IF(INDEX('Per Invoice'!M$2:M$801,$W229)="","",INDEX('Per Invoice'!M$2:M$801,$W229)))</f>
        <v/>
      </c>
      <c r="N229" s="7">
        <f>IF($W229="","",IF(INDEX('Per Invoice'!N$2:N$801,$W229)="","",INDEX('Per Invoice'!N$2:N$801,$W229)))</f>
        <v/>
      </c>
      <c r="O229" s="7">
        <f>IF($W229="","",IF(INDEX('Per Invoice'!O$2:O$801,$W229)="","",INDEX('Per Invoice'!O$2:O$801,$W229)))</f>
        <v/>
      </c>
      <c r="P229">
        <f>IF($W229="","",IF(INDEX('Per Invoice'!P$2:P$801,$W229)="","",INDEX('Per Invoice'!P$2:P$801,$W229)))</f>
        <v/>
      </c>
      <c r="Q229" s="7">
        <f>IF($W229="","",IF(INDEX('Per Invoice'!Q$2:Q$801,$W229)="","",INDEX('Per Invoice'!Q$2:Q$801,$W229)))</f>
        <v/>
      </c>
      <c r="R229" s="7">
        <f>IF($W229="","",IF(INDEX('Per Invoice'!R$2:R$801,$W229)="","",INDEX('Per Invoice'!R$2:R$801,$W229)))</f>
        <v/>
      </c>
      <c r="S229" s="7">
        <f>IF($W229="","",IF(INDEX('Per Invoice'!S$2:S$801,$W229)="","",INDEX('Per Invoice'!S$2:S$801,$W229)))</f>
        <v/>
      </c>
      <c r="T229" s="7">
        <f>IF($W229="","",IF(INDEX('Per Invoice'!T$2:T$801,$W229)="","",INDEX('Per Invoice'!T$2:T$801,$W229)))</f>
        <v/>
      </c>
      <c r="U229" s="7">
        <f>IF($W229="","",IF(INDEX('Per Invoice'!U$2:U$801,$W229)="","",INDEX('Per Invoice'!U$2:U$801,$W229)))</f>
        <v/>
      </c>
      <c r="V229" s="7">
        <f>IF($W229="","",IF(INDEX('Per Invoice'!V$2:V$801,$W229)="","",INDEX('Per Invoice'!V$2:V$801,$W229)))</f>
        <v/>
      </c>
      <c r="W229" s="16">
        <f>IFERROR(MATCH(Settings!$C$29&amp;"|"&amp;ROWS($W$2:$W229),'Per Invoice'!$X$2:$X$801,0),"")</f>
        <v/>
      </c>
    </row>
    <row r="230">
      <c r="A230">
        <f>IF($W230="","",IF(INDEX('Per Invoice'!A$2:A$801,$W230)="","",INDEX('Per Invoice'!A$2:A$801,$W230)))</f>
        <v/>
      </c>
      <c r="B230">
        <f>IF($W230="","",IF(INDEX('Per Invoice'!B$2:B$801,$W230)="","",INDEX('Per Invoice'!B$2:B$801,$W230)))</f>
        <v/>
      </c>
      <c r="C230">
        <f>IF($W230="","",IF(INDEX('Per Invoice'!C$2:C$801,$W230)="","",INDEX('Per Invoice'!C$2:C$801,$W230)))</f>
        <v/>
      </c>
      <c r="D230">
        <f>IF($W230="","",IF(INDEX('Per Invoice'!D$2:D$801,$W230)="","",INDEX('Per Invoice'!D$2:D$801,$W230)))</f>
        <v/>
      </c>
      <c r="E230">
        <f>IF($W230="","",IF(INDEX('Per Invoice'!E$2:E$801,$W230)="","",INDEX('Per Invoice'!E$2:E$801,$W230)))</f>
        <v/>
      </c>
      <c r="F230">
        <f>IF($W230="","",IF(INDEX('Per Invoice'!F$2:F$801,$W230)="","",INDEX('Per Invoice'!F$2:F$801,$W230)))</f>
        <v/>
      </c>
      <c r="G230">
        <f>IF($W230="","",IF(INDEX('Per Invoice'!G$2:G$801,$W230)="","",INDEX('Per Invoice'!G$2:G$801,$W230)))</f>
        <v/>
      </c>
      <c r="H230">
        <f>IF($W230="","",IF(INDEX('Per Invoice'!H$2:H$801,$W230)="","",INDEX('Per Invoice'!H$2:H$801,$W230)))</f>
        <v/>
      </c>
      <c r="I230">
        <f>IF($W230="","",IF(INDEX('Per Invoice'!I$2:I$801,$W230)="","",INDEX('Per Invoice'!I$2:I$801,$W230)))</f>
        <v/>
      </c>
      <c r="J230">
        <f>IF($W230="","",IF(INDEX('Per Invoice'!J$2:J$801,$W230)="","",INDEX('Per Invoice'!J$2:J$801,$W230)))</f>
        <v/>
      </c>
      <c r="K230" s="7">
        <f>IF($W230="","",IF(INDEX('Per Invoice'!K$2:K$801,$W230)="","",INDEX('Per Invoice'!K$2:K$801,$W230)))</f>
        <v/>
      </c>
      <c r="L230" s="14">
        <f>IF($W230="","",IF(INDEX('Per Invoice'!L$2:L$801,$W230)="","",INDEX('Per Invoice'!L$2:L$801,$W230)))</f>
        <v/>
      </c>
      <c r="M230">
        <f>IF($W230="","",IF(INDEX('Per Invoice'!M$2:M$801,$W230)="","",INDEX('Per Invoice'!M$2:M$801,$W230)))</f>
        <v/>
      </c>
      <c r="N230" s="7">
        <f>IF($W230="","",IF(INDEX('Per Invoice'!N$2:N$801,$W230)="","",INDEX('Per Invoice'!N$2:N$801,$W230)))</f>
        <v/>
      </c>
      <c r="O230" s="7">
        <f>IF($W230="","",IF(INDEX('Per Invoice'!O$2:O$801,$W230)="","",INDEX('Per Invoice'!O$2:O$801,$W230)))</f>
        <v/>
      </c>
      <c r="P230">
        <f>IF($W230="","",IF(INDEX('Per Invoice'!P$2:P$801,$W230)="","",INDEX('Per Invoice'!P$2:P$801,$W230)))</f>
        <v/>
      </c>
      <c r="Q230" s="7">
        <f>IF($W230="","",IF(INDEX('Per Invoice'!Q$2:Q$801,$W230)="","",INDEX('Per Invoice'!Q$2:Q$801,$W230)))</f>
        <v/>
      </c>
      <c r="R230" s="7">
        <f>IF($W230="","",IF(INDEX('Per Invoice'!R$2:R$801,$W230)="","",INDEX('Per Invoice'!R$2:R$801,$W230)))</f>
        <v/>
      </c>
      <c r="S230" s="7">
        <f>IF($W230="","",IF(INDEX('Per Invoice'!S$2:S$801,$W230)="","",INDEX('Per Invoice'!S$2:S$801,$W230)))</f>
        <v/>
      </c>
      <c r="T230" s="7">
        <f>IF($W230="","",IF(INDEX('Per Invoice'!T$2:T$801,$W230)="","",INDEX('Per Invoice'!T$2:T$801,$W230)))</f>
        <v/>
      </c>
      <c r="U230" s="7">
        <f>IF($W230="","",IF(INDEX('Per Invoice'!U$2:U$801,$W230)="","",INDEX('Per Invoice'!U$2:U$801,$W230)))</f>
        <v/>
      </c>
      <c r="V230" s="7">
        <f>IF($W230="","",IF(INDEX('Per Invoice'!V$2:V$801,$W230)="","",INDEX('Per Invoice'!V$2:V$801,$W230)))</f>
        <v/>
      </c>
      <c r="W230" s="16">
        <f>IFERROR(MATCH(Settings!$C$29&amp;"|"&amp;ROWS($W$2:$W230),'Per Invoice'!$X$2:$X$801,0),"")</f>
        <v/>
      </c>
    </row>
    <row r="231">
      <c r="A231">
        <f>IF($W231="","",IF(INDEX('Per Invoice'!A$2:A$801,$W231)="","",INDEX('Per Invoice'!A$2:A$801,$W231)))</f>
        <v/>
      </c>
      <c r="B231">
        <f>IF($W231="","",IF(INDEX('Per Invoice'!B$2:B$801,$W231)="","",INDEX('Per Invoice'!B$2:B$801,$W231)))</f>
        <v/>
      </c>
      <c r="C231">
        <f>IF($W231="","",IF(INDEX('Per Invoice'!C$2:C$801,$W231)="","",INDEX('Per Invoice'!C$2:C$801,$W231)))</f>
        <v/>
      </c>
      <c r="D231">
        <f>IF($W231="","",IF(INDEX('Per Invoice'!D$2:D$801,$W231)="","",INDEX('Per Invoice'!D$2:D$801,$W231)))</f>
        <v/>
      </c>
      <c r="E231">
        <f>IF($W231="","",IF(INDEX('Per Invoice'!E$2:E$801,$W231)="","",INDEX('Per Invoice'!E$2:E$801,$W231)))</f>
        <v/>
      </c>
      <c r="F231">
        <f>IF($W231="","",IF(INDEX('Per Invoice'!F$2:F$801,$W231)="","",INDEX('Per Invoice'!F$2:F$801,$W231)))</f>
        <v/>
      </c>
      <c r="G231">
        <f>IF($W231="","",IF(INDEX('Per Invoice'!G$2:G$801,$W231)="","",INDEX('Per Invoice'!G$2:G$801,$W231)))</f>
        <v/>
      </c>
      <c r="H231">
        <f>IF($W231="","",IF(INDEX('Per Invoice'!H$2:H$801,$W231)="","",INDEX('Per Invoice'!H$2:H$801,$W231)))</f>
        <v/>
      </c>
      <c r="I231">
        <f>IF($W231="","",IF(INDEX('Per Invoice'!I$2:I$801,$W231)="","",INDEX('Per Invoice'!I$2:I$801,$W231)))</f>
        <v/>
      </c>
      <c r="J231">
        <f>IF($W231="","",IF(INDEX('Per Invoice'!J$2:J$801,$W231)="","",INDEX('Per Invoice'!J$2:J$801,$W231)))</f>
        <v/>
      </c>
      <c r="K231" s="7">
        <f>IF($W231="","",IF(INDEX('Per Invoice'!K$2:K$801,$W231)="","",INDEX('Per Invoice'!K$2:K$801,$W231)))</f>
        <v/>
      </c>
      <c r="L231" s="14">
        <f>IF($W231="","",IF(INDEX('Per Invoice'!L$2:L$801,$W231)="","",INDEX('Per Invoice'!L$2:L$801,$W231)))</f>
        <v/>
      </c>
      <c r="M231">
        <f>IF($W231="","",IF(INDEX('Per Invoice'!M$2:M$801,$W231)="","",INDEX('Per Invoice'!M$2:M$801,$W231)))</f>
        <v/>
      </c>
      <c r="N231" s="7">
        <f>IF($W231="","",IF(INDEX('Per Invoice'!N$2:N$801,$W231)="","",INDEX('Per Invoice'!N$2:N$801,$W231)))</f>
        <v/>
      </c>
      <c r="O231" s="7">
        <f>IF($W231="","",IF(INDEX('Per Invoice'!O$2:O$801,$W231)="","",INDEX('Per Invoice'!O$2:O$801,$W231)))</f>
        <v/>
      </c>
      <c r="P231">
        <f>IF($W231="","",IF(INDEX('Per Invoice'!P$2:P$801,$W231)="","",INDEX('Per Invoice'!P$2:P$801,$W231)))</f>
        <v/>
      </c>
      <c r="Q231" s="7">
        <f>IF($W231="","",IF(INDEX('Per Invoice'!Q$2:Q$801,$W231)="","",INDEX('Per Invoice'!Q$2:Q$801,$W231)))</f>
        <v/>
      </c>
      <c r="R231" s="7">
        <f>IF($W231="","",IF(INDEX('Per Invoice'!R$2:R$801,$W231)="","",INDEX('Per Invoice'!R$2:R$801,$W231)))</f>
        <v/>
      </c>
      <c r="S231" s="7">
        <f>IF($W231="","",IF(INDEX('Per Invoice'!S$2:S$801,$W231)="","",INDEX('Per Invoice'!S$2:S$801,$W231)))</f>
        <v/>
      </c>
      <c r="T231" s="7">
        <f>IF($W231="","",IF(INDEX('Per Invoice'!T$2:T$801,$W231)="","",INDEX('Per Invoice'!T$2:T$801,$W231)))</f>
        <v/>
      </c>
      <c r="U231" s="7">
        <f>IF($W231="","",IF(INDEX('Per Invoice'!U$2:U$801,$W231)="","",INDEX('Per Invoice'!U$2:U$801,$W231)))</f>
        <v/>
      </c>
      <c r="V231" s="7">
        <f>IF($W231="","",IF(INDEX('Per Invoice'!V$2:V$801,$W231)="","",INDEX('Per Invoice'!V$2:V$801,$W231)))</f>
        <v/>
      </c>
      <c r="W231" s="16">
        <f>IFERROR(MATCH(Settings!$C$29&amp;"|"&amp;ROWS($W$2:$W231),'Per Invoice'!$X$2:$X$801,0),"")</f>
        <v/>
      </c>
    </row>
    <row r="232">
      <c r="A232">
        <f>IF($W232="","",IF(INDEX('Per Invoice'!A$2:A$801,$W232)="","",INDEX('Per Invoice'!A$2:A$801,$W232)))</f>
        <v/>
      </c>
      <c r="B232">
        <f>IF($W232="","",IF(INDEX('Per Invoice'!B$2:B$801,$W232)="","",INDEX('Per Invoice'!B$2:B$801,$W232)))</f>
        <v/>
      </c>
      <c r="C232">
        <f>IF($W232="","",IF(INDEX('Per Invoice'!C$2:C$801,$W232)="","",INDEX('Per Invoice'!C$2:C$801,$W232)))</f>
        <v/>
      </c>
      <c r="D232">
        <f>IF($W232="","",IF(INDEX('Per Invoice'!D$2:D$801,$W232)="","",INDEX('Per Invoice'!D$2:D$801,$W232)))</f>
        <v/>
      </c>
      <c r="E232">
        <f>IF($W232="","",IF(INDEX('Per Invoice'!E$2:E$801,$W232)="","",INDEX('Per Invoice'!E$2:E$801,$W232)))</f>
        <v/>
      </c>
      <c r="F232">
        <f>IF($W232="","",IF(INDEX('Per Invoice'!F$2:F$801,$W232)="","",INDEX('Per Invoice'!F$2:F$801,$W232)))</f>
        <v/>
      </c>
      <c r="G232">
        <f>IF($W232="","",IF(INDEX('Per Invoice'!G$2:G$801,$W232)="","",INDEX('Per Invoice'!G$2:G$801,$W232)))</f>
        <v/>
      </c>
      <c r="H232">
        <f>IF($W232="","",IF(INDEX('Per Invoice'!H$2:H$801,$W232)="","",INDEX('Per Invoice'!H$2:H$801,$W232)))</f>
        <v/>
      </c>
      <c r="I232">
        <f>IF($W232="","",IF(INDEX('Per Invoice'!I$2:I$801,$W232)="","",INDEX('Per Invoice'!I$2:I$801,$W232)))</f>
        <v/>
      </c>
      <c r="J232">
        <f>IF($W232="","",IF(INDEX('Per Invoice'!J$2:J$801,$W232)="","",INDEX('Per Invoice'!J$2:J$801,$W232)))</f>
        <v/>
      </c>
      <c r="K232" s="7">
        <f>IF($W232="","",IF(INDEX('Per Invoice'!K$2:K$801,$W232)="","",INDEX('Per Invoice'!K$2:K$801,$W232)))</f>
        <v/>
      </c>
      <c r="L232" s="14">
        <f>IF($W232="","",IF(INDEX('Per Invoice'!L$2:L$801,$W232)="","",INDEX('Per Invoice'!L$2:L$801,$W232)))</f>
        <v/>
      </c>
      <c r="M232">
        <f>IF($W232="","",IF(INDEX('Per Invoice'!M$2:M$801,$W232)="","",INDEX('Per Invoice'!M$2:M$801,$W232)))</f>
        <v/>
      </c>
      <c r="N232" s="7">
        <f>IF($W232="","",IF(INDEX('Per Invoice'!N$2:N$801,$W232)="","",INDEX('Per Invoice'!N$2:N$801,$W232)))</f>
        <v/>
      </c>
      <c r="O232" s="7">
        <f>IF($W232="","",IF(INDEX('Per Invoice'!O$2:O$801,$W232)="","",INDEX('Per Invoice'!O$2:O$801,$W232)))</f>
        <v/>
      </c>
      <c r="P232">
        <f>IF($W232="","",IF(INDEX('Per Invoice'!P$2:P$801,$W232)="","",INDEX('Per Invoice'!P$2:P$801,$W232)))</f>
        <v/>
      </c>
      <c r="Q232" s="7">
        <f>IF($W232="","",IF(INDEX('Per Invoice'!Q$2:Q$801,$W232)="","",INDEX('Per Invoice'!Q$2:Q$801,$W232)))</f>
        <v/>
      </c>
      <c r="R232" s="7">
        <f>IF($W232="","",IF(INDEX('Per Invoice'!R$2:R$801,$W232)="","",INDEX('Per Invoice'!R$2:R$801,$W232)))</f>
        <v/>
      </c>
      <c r="S232" s="7">
        <f>IF($W232="","",IF(INDEX('Per Invoice'!S$2:S$801,$W232)="","",INDEX('Per Invoice'!S$2:S$801,$W232)))</f>
        <v/>
      </c>
      <c r="T232" s="7">
        <f>IF($W232="","",IF(INDEX('Per Invoice'!T$2:T$801,$W232)="","",INDEX('Per Invoice'!T$2:T$801,$W232)))</f>
        <v/>
      </c>
      <c r="U232" s="7">
        <f>IF($W232="","",IF(INDEX('Per Invoice'!U$2:U$801,$W232)="","",INDEX('Per Invoice'!U$2:U$801,$W232)))</f>
        <v/>
      </c>
      <c r="V232" s="7">
        <f>IF($W232="","",IF(INDEX('Per Invoice'!V$2:V$801,$W232)="","",INDEX('Per Invoice'!V$2:V$801,$W232)))</f>
        <v/>
      </c>
      <c r="W232" s="16">
        <f>IFERROR(MATCH(Settings!$C$29&amp;"|"&amp;ROWS($W$2:$W232),'Per Invoice'!$X$2:$X$801,0),"")</f>
        <v/>
      </c>
    </row>
    <row r="233">
      <c r="A233">
        <f>IF($W233="","",IF(INDEX('Per Invoice'!A$2:A$801,$W233)="","",INDEX('Per Invoice'!A$2:A$801,$W233)))</f>
        <v/>
      </c>
      <c r="B233">
        <f>IF($W233="","",IF(INDEX('Per Invoice'!B$2:B$801,$W233)="","",INDEX('Per Invoice'!B$2:B$801,$W233)))</f>
        <v/>
      </c>
      <c r="C233">
        <f>IF($W233="","",IF(INDEX('Per Invoice'!C$2:C$801,$W233)="","",INDEX('Per Invoice'!C$2:C$801,$W233)))</f>
        <v/>
      </c>
      <c r="D233">
        <f>IF($W233="","",IF(INDEX('Per Invoice'!D$2:D$801,$W233)="","",INDEX('Per Invoice'!D$2:D$801,$W233)))</f>
        <v/>
      </c>
      <c r="E233">
        <f>IF($W233="","",IF(INDEX('Per Invoice'!E$2:E$801,$W233)="","",INDEX('Per Invoice'!E$2:E$801,$W233)))</f>
        <v/>
      </c>
      <c r="F233">
        <f>IF($W233="","",IF(INDEX('Per Invoice'!F$2:F$801,$W233)="","",INDEX('Per Invoice'!F$2:F$801,$W233)))</f>
        <v/>
      </c>
      <c r="G233">
        <f>IF($W233="","",IF(INDEX('Per Invoice'!G$2:G$801,$W233)="","",INDEX('Per Invoice'!G$2:G$801,$W233)))</f>
        <v/>
      </c>
      <c r="H233">
        <f>IF($W233="","",IF(INDEX('Per Invoice'!H$2:H$801,$W233)="","",INDEX('Per Invoice'!H$2:H$801,$W233)))</f>
        <v/>
      </c>
      <c r="I233">
        <f>IF($W233="","",IF(INDEX('Per Invoice'!I$2:I$801,$W233)="","",INDEX('Per Invoice'!I$2:I$801,$W233)))</f>
        <v/>
      </c>
      <c r="J233">
        <f>IF($W233="","",IF(INDEX('Per Invoice'!J$2:J$801,$W233)="","",INDEX('Per Invoice'!J$2:J$801,$W233)))</f>
        <v/>
      </c>
      <c r="K233" s="7">
        <f>IF($W233="","",IF(INDEX('Per Invoice'!K$2:K$801,$W233)="","",INDEX('Per Invoice'!K$2:K$801,$W233)))</f>
        <v/>
      </c>
      <c r="L233" s="14">
        <f>IF($W233="","",IF(INDEX('Per Invoice'!L$2:L$801,$W233)="","",INDEX('Per Invoice'!L$2:L$801,$W233)))</f>
        <v/>
      </c>
      <c r="M233">
        <f>IF($W233="","",IF(INDEX('Per Invoice'!M$2:M$801,$W233)="","",INDEX('Per Invoice'!M$2:M$801,$W233)))</f>
        <v/>
      </c>
      <c r="N233" s="7">
        <f>IF($W233="","",IF(INDEX('Per Invoice'!N$2:N$801,$W233)="","",INDEX('Per Invoice'!N$2:N$801,$W233)))</f>
        <v/>
      </c>
      <c r="O233" s="7">
        <f>IF($W233="","",IF(INDEX('Per Invoice'!O$2:O$801,$W233)="","",INDEX('Per Invoice'!O$2:O$801,$W233)))</f>
        <v/>
      </c>
      <c r="P233">
        <f>IF($W233="","",IF(INDEX('Per Invoice'!P$2:P$801,$W233)="","",INDEX('Per Invoice'!P$2:P$801,$W233)))</f>
        <v/>
      </c>
      <c r="Q233" s="7">
        <f>IF($W233="","",IF(INDEX('Per Invoice'!Q$2:Q$801,$W233)="","",INDEX('Per Invoice'!Q$2:Q$801,$W233)))</f>
        <v/>
      </c>
      <c r="R233" s="7">
        <f>IF($W233="","",IF(INDEX('Per Invoice'!R$2:R$801,$W233)="","",INDEX('Per Invoice'!R$2:R$801,$W233)))</f>
        <v/>
      </c>
      <c r="S233" s="7">
        <f>IF($W233="","",IF(INDEX('Per Invoice'!S$2:S$801,$W233)="","",INDEX('Per Invoice'!S$2:S$801,$W233)))</f>
        <v/>
      </c>
      <c r="T233" s="7">
        <f>IF($W233="","",IF(INDEX('Per Invoice'!T$2:T$801,$W233)="","",INDEX('Per Invoice'!T$2:T$801,$W233)))</f>
        <v/>
      </c>
      <c r="U233" s="7">
        <f>IF($W233="","",IF(INDEX('Per Invoice'!U$2:U$801,$W233)="","",INDEX('Per Invoice'!U$2:U$801,$W233)))</f>
        <v/>
      </c>
      <c r="V233" s="7">
        <f>IF($W233="","",IF(INDEX('Per Invoice'!V$2:V$801,$W233)="","",INDEX('Per Invoice'!V$2:V$801,$W233)))</f>
        <v/>
      </c>
      <c r="W233" s="16">
        <f>IFERROR(MATCH(Settings!$C$29&amp;"|"&amp;ROWS($W$2:$W233),'Per Invoice'!$X$2:$X$801,0),"")</f>
        <v/>
      </c>
    </row>
    <row r="234">
      <c r="A234">
        <f>IF($W234="","",IF(INDEX('Per Invoice'!A$2:A$801,$W234)="","",INDEX('Per Invoice'!A$2:A$801,$W234)))</f>
        <v/>
      </c>
      <c r="B234">
        <f>IF($W234="","",IF(INDEX('Per Invoice'!B$2:B$801,$W234)="","",INDEX('Per Invoice'!B$2:B$801,$W234)))</f>
        <v/>
      </c>
      <c r="C234">
        <f>IF($W234="","",IF(INDEX('Per Invoice'!C$2:C$801,$W234)="","",INDEX('Per Invoice'!C$2:C$801,$W234)))</f>
        <v/>
      </c>
      <c r="D234">
        <f>IF($W234="","",IF(INDEX('Per Invoice'!D$2:D$801,$W234)="","",INDEX('Per Invoice'!D$2:D$801,$W234)))</f>
        <v/>
      </c>
      <c r="E234">
        <f>IF($W234="","",IF(INDEX('Per Invoice'!E$2:E$801,$W234)="","",INDEX('Per Invoice'!E$2:E$801,$W234)))</f>
        <v/>
      </c>
      <c r="F234">
        <f>IF($W234="","",IF(INDEX('Per Invoice'!F$2:F$801,$W234)="","",INDEX('Per Invoice'!F$2:F$801,$W234)))</f>
        <v/>
      </c>
      <c r="G234">
        <f>IF($W234="","",IF(INDEX('Per Invoice'!G$2:G$801,$W234)="","",INDEX('Per Invoice'!G$2:G$801,$W234)))</f>
        <v/>
      </c>
      <c r="H234">
        <f>IF($W234="","",IF(INDEX('Per Invoice'!H$2:H$801,$W234)="","",INDEX('Per Invoice'!H$2:H$801,$W234)))</f>
        <v/>
      </c>
      <c r="I234">
        <f>IF($W234="","",IF(INDEX('Per Invoice'!I$2:I$801,$W234)="","",INDEX('Per Invoice'!I$2:I$801,$W234)))</f>
        <v/>
      </c>
      <c r="J234">
        <f>IF($W234="","",IF(INDEX('Per Invoice'!J$2:J$801,$W234)="","",INDEX('Per Invoice'!J$2:J$801,$W234)))</f>
        <v/>
      </c>
      <c r="K234" s="7">
        <f>IF($W234="","",IF(INDEX('Per Invoice'!K$2:K$801,$W234)="","",INDEX('Per Invoice'!K$2:K$801,$W234)))</f>
        <v/>
      </c>
      <c r="L234" s="14">
        <f>IF($W234="","",IF(INDEX('Per Invoice'!L$2:L$801,$W234)="","",INDEX('Per Invoice'!L$2:L$801,$W234)))</f>
        <v/>
      </c>
      <c r="M234">
        <f>IF($W234="","",IF(INDEX('Per Invoice'!M$2:M$801,$W234)="","",INDEX('Per Invoice'!M$2:M$801,$W234)))</f>
        <v/>
      </c>
      <c r="N234" s="7">
        <f>IF($W234="","",IF(INDEX('Per Invoice'!N$2:N$801,$W234)="","",INDEX('Per Invoice'!N$2:N$801,$W234)))</f>
        <v/>
      </c>
      <c r="O234" s="7">
        <f>IF($W234="","",IF(INDEX('Per Invoice'!O$2:O$801,$W234)="","",INDEX('Per Invoice'!O$2:O$801,$W234)))</f>
        <v/>
      </c>
      <c r="P234">
        <f>IF($W234="","",IF(INDEX('Per Invoice'!P$2:P$801,$W234)="","",INDEX('Per Invoice'!P$2:P$801,$W234)))</f>
        <v/>
      </c>
      <c r="Q234" s="7">
        <f>IF($W234="","",IF(INDEX('Per Invoice'!Q$2:Q$801,$W234)="","",INDEX('Per Invoice'!Q$2:Q$801,$W234)))</f>
        <v/>
      </c>
      <c r="R234" s="7">
        <f>IF($W234="","",IF(INDEX('Per Invoice'!R$2:R$801,$W234)="","",INDEX('Per Invoice'!R$2:R$801,$W234)))</f>
        <v/>
      </c>
      <c r="S234" s="7">
        <f>IF($W234="","",IF(INDEX('Per Invoice'!S$2:S$801,$W234)="","",INDEX('Per Invoice'!S$2:S$801,$W234)))</f>
        <v/>
      </c>
      <c r="T234" s="7">
        <f>IF($W234="","",IF(INDEX('Per Invoice'!T$2:T$801,$W234)="","",INDEX('Per Invoice'!T$2:T$801,$W234)))</f>
        <v/>
      </c>
      <c r="U234" s="7">
        <f>IF($W234="","",IF(INDEX('Per Invoice'!U$2:U$801,$W234)="","",INDEX('Per Invoice'!U$2:U$801,$W234)))</f>
        <v/>
      </c>
      <c r="V234" s="7">
        <f>IF($W234="","",IF(INDEX('Per Invoice'!V$2:V$801,$W234)="","",INDEX('Per Invoice'!V$2:V$801,$W234)))</f>
        <v/>
      </c>
      <c r="W234" s="16">
        <f>IFERROR(MATCH(Settings!$C$29&amp;"|"&amp;ROWS($W$2:$W234),'Per Invoice'!$X$2:$X$801,0),"")</f>
        <v/>
      </c>
    </row>
    <row r="235">
      <c r="A235">
        <f>IF($W235="","",IF(INDEX('Per Invoice'!A$2:A$801,$W235)="","",INDEX('Per Invoice'!A$2:A$801,$W235)))</f>
        <v/>
      </c>
      <c r="B235">
        <f>IF($W235="","",IF(INDEX('Per Invoice'!B$2:B$801,$W235)="","",INDEX('Per Invoice'!B$2:B$801,$W235)))</f>
        <v/>
      </c>
      <c r="C235">
        <f>IF($W235="","",IF(INDEX('Per Invoice'!C$2:C$801,$W235)="","",INDEX('Per Invoice'!C$2:C$801,$W235)))</f>
        <v/>
      </c>
      <c r="D235">
        <f>IF($W235="","",IF(INDEX('Per Invoice'!D$2:D$801,$W235)="","",INDEX('Per Invoice'!D$2:D$801,$W235)))</f>
        <v/>
      </c>
      <c r="E235">
        <f>IF($W235="","",IF(INDEX('Per Invoice'!E$2:E$801,$W235)="","",INDEX('Per Invoice'!E$2:E$801,$W235)))</f>
        <v/>
      </c>
      <c r="F235">
        <f>IF($W235="","",IF(INDEX('Per Invoice'!F$2:F$801,$W235)="","",INDEX('Per Invoice'!F$2:F$801,$W235)))</f>
        <v/>
      </c>
      <c r="G235">
        <f>IF($W235="","",IF(INDEX('Per Invoice'!G$2:G$801,$W235)="","",INDEX('Per Invoice'!G$2:G$801,$W235)))</f>
        <v/>
      </c>
      <c r="H235">
        <f>IF($W235="","",IF(INDEX('Per Invoice'!H$2:H$801,$W235)="","",INDEX('Per Invoice'!H$2:H$801,$W235)))</f>
        <v/>
      </c>
      <c r="I235">
        <f>IF($W235="","",IF(INDEX('Per Invoice'!I$2:I$801,$W235)="","",INDEX('Per Invoice'!I$2:I$801,$W235)))</f>
        <v/>
      </c>
      <c r="J235">
        <f>IF($W235="","",IF(INDEX('Per Invoice'!J$2:J$801,$W235)="","",INDEX('Per Invoice'!J$2:J$801,$W235)))</f>
        <v/>
      </c>
      <c r="K235" s="7">
        <f>IF($W235="","",IF(INDEX('Per Invoice'!K$2:K$801,$W235)="","",INDEX('Per Invoice'!K$2:K$801,$W235)))</f>
        <v/>
      </c>
      <c r="L235" s="14">
        <f>IF($W235="","",IF(INDEX('Per Invoice'!L$2:L$801,$W235)="","",INDEX('Per Invoice'!L$2:L$801,$W235)))</f>
        <v/>
      </c>
      <c r="M235">
        <f>IF($W235="","",IF(INDEX('Per Invoice'!M$2:M$801,$W235)="","",INDEX('Per Invoice'!M$2:M$801,$W235)))</f>
        <v/>
      </c>
      <c r="N235" s="7">
        <f>IF($W235="","",IF(INDEX('Per Invoice'!N$2:N$801,$W235)="","",INDEX('Per Invoice'!N$2:N$801,$W235)))</f>
        <v/>
      </c>
      <c r="O235" s="7">
        <f>IF($W235="","",IF(INDEX('Per Invoice'!O$2:O$801,$W235)="","",INDEX('Per Invoice'!O$2:O$801,$W235)))</f>
        <v/>
      </c>
      <c r="P235">
        <f>IF($W235="","",IF(INDEX('Per Invoice'!P$2:P$801,$W235)="","",INDEX('Per Invoice'!P$2:P$801,$W235)))</f>
        <v/>
      </c>
      <c r="Q235" s="7">
        <f>IF($W235="","",IF(INDEX('Per Invoice'!Q$2:Q$801,$W235)="","",INDEX('Per Invoice'!Q$2:Q$801,$W235)))</f>
        <v/>
      </c>
      <c r="R235" s="7">
        <f>IF($W235="","",IF(INDEX('Per Invoice'!R$2:R$801,$W235)="","",INDEX('Per Invoice'!R$2:R$801,$W235)))</f>
        <v/>
      </c>
      <c r="S235" s="7">
        <f>IF($W235="","",IF(INDEX('Per Invoice'!S$2:S$801,$W235)="","",INDEX('Per Invoice'!S$2:S$801,$W235)))</f>
        <v/>
      </c>
      <c r="T235" s="7">
        <f>IF($W235="","",IF(INDEX('Per Invoice'!T$2:T$801,$W235)="","",INDEX('Per Invoice'!T$2:T$801,$W235)))</f>
        <v/>
      </c>
      <c r="U235" s="7">
        <f>IF($W235="","",IF(INDEX('Per Invoice'!U$2:U$801,$W235)="","",INDEX('Per Invoice'!U$2:U$801,$W235)))</f>
        <v/>
      </c>
      <c r="V235" s="7">
        <f>IF($W235="","",IF(INDEX('Per Invoice'!V$2:V$801,$W235)="","",INDEX('Per Invoice'!V$2:V$801,$W235)))</f>
        <v/>
      </c>
      <c r="W235" s="16">
        <f>IFERROR(MATCH(Settings!$C$29&amp;"|"&amp;ROWS($W$2:$W235),'Per Invoice'!$X$2:$X$801,0),"")</f>
        <v/>
      </c>
    </row>
    <row r="236">
      <c r="A236">
        <f>IF($W236="","",IF(INDEX('Per Invoice'!A$2:A$801,$W236)="","",INDEX('Per Invoice'!A$2:A$801,$W236)))</f>
        <v/>
      </c>
      <c r="B236">
        <f>IF($W236="","",IF(INDEX('Per Invoice'!B$2:B$801,$W236)="","",INDEX('Per Invoice'!B$2:B$801,$W236)))</f>
        <v/>
      </c>
      <c r="C236">
        <f>IF($W236="","",IF(INDEX('Per Invoice'!C$2:C$801,$W236)="","",INDEX('Per Invoice'!C$2:C$801,$W236)))</f>
        <v/>
      </c>
      <c r="D236">
        <f>IF($W236="","",IF(INDEX('Per Invoice'!D$2:D$801,$W236)="","",INDEX('Per Invoice'!D$2:D$801,$W236)))</f>
        <v/>
      </c>
      <c r="E236">
        <f>IF($W236="","",IF(INDEX('Per Invoice'!E$2:E$801,$W236)="","",INDEX('Per Invoice'!E$2:E$801,$W236)))</f>
        <v/>
      </c>
      <c r="F236">
        <f>IF($W236="","",IF(INDEX('Per Invoice'!F$2:F$801,$W236)="","",INDEX('Per Invoice'!F$2:F$801,$W236)))</f>
        <v/>
      </c>
      <c r="G236">
        <f>IF($W236="","",IF(INDEX('Per Invoice'!G$2:G$801,$W236)="","",INDEX('Per Invoice'!G$2:G$801,$W236)))</f>
        <v/>
      </c>
      <c r="H236">
        <f>IF($W236="","",IF(INDEX('Per Invoice'!H$2:H$801,$W236)="","",INDEX('Per Invoice'!H$2:H$801,$W236)))</f>
        <v/>
      </c>
      <c r="I236">
        <f>IF($W236="","",IF(INDEX('Per Invoice'!I$2:I$801,$W236)="","",INDEX('Per Invoice'!I$2:I$801,$W236)))</f>
        <v/>
      </c>
      <c r="J236">
        <f>IF($W236="","",IF(INDEX('Per Invoice'!J$2:J$801,$W236)="","",INDEX('Per Invoice'!J$2:J$801,$W236)))</f>
        <v/>
      </c>
      <c r="K236" s="7">
        <f>IF($W236="","",IF(INDEX('Per Invoice'!K$2:K$801,$W236)="","",INDEX('Per Invoice'!K$2:K$801,$W236)))</f>
        <v/>
      </c>
      <c r="L236" s="14">
        <f>IF($W236="","",IF(INDEX('Per Invoice'!L$2:L$801,$W236)="","",INDEX('Per Invoice'!L$2:L$801,$W236)))</f>
        <v/>
      </c>
      <c r="M236">
        <f>IF($W236="","",IF(INDEX('Per Invoice'!M$2:M$801,$W236)="","",INDEX('Per Invoice'!M$2:M$801,$W236)))</f>
        <v/>
      </c>
      <c r="N236" s="7">
        <f>IF($W236="","",IF(INDEX('Per Invoice'!N$2:N$801,$W236)="","",INDEX('Per Invoice'!N$2:N$801,$W236)))</f>
        <v/>
      </c>
      <c r="O236" s="7">
        <f>IF($W236="","",IF(INDEX('Per Invoice'!O$2:O$801,$W236)="","",INDEX('Per Invoice'!O$2:O$801,$W236)))</f>
        <v/>
      </c>
      <c r="P236">
        <f>IF($W236="","",IF(INDEX('Per Invoice'!P$2:P$801,$W236)="","",INDEX('Per Invoice'!P$2:P$801,$W236)))</f>
        <v/>
      </c>
      <c r="Q236" s="7">
        <f>IF($W236="","",IF(INDEX('Per Invoice'!Q$2:Q$801,$W236)="","",INDEX('Per Invoice'!Q$2:Q$801,$W236)))</f>
        <v/>
      </c>
      <c r="R236" s="7">
        <f>IF($W236="","",IF(INDEX('Per Invoice'!R$2:R$801,$W236)="","",INDEX('Per Invoice'!R$2:R$801,$W236)))</f>
        <v/>
      </c>
      <c r="S236" s="7">
        <f>IF($W236="","",IF(INDEX('Per Invoice'!S$2:S$801,$W236)="","",INDEX('Per Invoice'!S$2:S$801,$W236)))</f>
        <v/>
      </c>
      <c r="T236" s="7">
        <f>IF($W236="","",IF(INDEX('Per Invoice'!T$2:T$801,$W236)="","",INDEX('Per Invoice'!T$2:T$801,$W236)))</f>
        <v/>
      </c>
      <c r="U236" s="7">
        <f>IF($W236="","",IF(INDEX('Per Invoice'!U$2:U$801,$W236)="","",INDEX('Per Invoice'!U$2:U$801,$W236)))</f>
        <v/>
      </c>
      <c r="V236" s="7">
        <f>IF($W236="","",IF(INDEX('Per Invoice'!V$2:V$801,$W236)="","",INDEX('Per Invoice'!V$2:V$801,$W236)))</f>
        <v/>
      </c>
      <c r="W236" s="16">
        <f>IFERROR(MATCH(Settings!$C$29&amp;"|"&amp;ROWS($W$2:$W236),'Per Invoice'!$X$2:$X$801,0),"")</f>
        <v/>
      </c>
    </row>
    <row r="237">
      <c r="A237">
        <f>IF($W237="","",IF(INDEX('Per Invoice'!A$2:A$801,$W237)="","",INDEX('Per Invoice'!A$2:A$801,$W237)))</f>
        <v/>
      </c>
      <c r="B237">
        <f>IF($W237="","",IF(INDEX('Per Invoice'!B$2:B$801,$W237)="","",INDEX('Per Invoice'!B$2:B$801,$W237)))</f>
        <v/>
      </c>
      <c r="C237">
        <f>IF($W237="","",IF(INDEX('Per Invoice'!C$2:C$801,$W237)="","",INDEX('Per Invoice'!C$2:C$801,$W237)))</f>
        <v/>
      </c>
      <c r="D237">
        <f>IF($W237="","",IF(INDEX('Per Invoice'!D$2:D$801,$W237)="","",INDEX('Per Invoice'!D$2:D$801,$W237)))</f>
        <v/>
      </c>
      <c r="E237">
        <f>IF($W237="","",IF(INDEX('Per Invoice'!E$2:E$801,$W237)="","",INDEX('Per Invoice'!E$2:E$801,$W237)))</f>
        <v/>
      </c>
      <c r="F237">
        <f>IF($W237="","",IF(INDEX('Per Invoice'!F$2:F$801,$W237)="","",INDEX('Per Invoice'!F$2:F$801,$W237)))</f>
        <v/>
      </c>
      <c r="G237">
        <f>IF($W237="","",IF(INDEX('Per Invoice'!G$2:G$801,$W237)="","",INDEX('Per Invoice'!G$2:G$801,$W237)))</f>
        <v/>
      </c>
      <c r="H237">
        <f>IF($W237="","",IF(INDEX('Per Invoice'!H$2:H$801,$W237)="","",INDEX('Per Invoice'!H$2:H$801,$W237)))</f>
        <v/>
      </c>
      <c r="I237">
        <f>IF($W237="","",IF(INDEX('Per Invoice'!I$2:I$801,$W237)="","",INDEX('Per Invoice'!I$2:I$801,$W237)))</f>
        <v/>
      </c>
      <c r="J237">
        <f>IF($W237="","",IF(INDEX('Per Invoice'!J$2:J$801,$W237)="","",INDEX('Per Invoice'!J$2:J$801,$W237)))</f>
        <v/>
      </c>
      <c r="K237" s="7">
        <f>IF($W237="","",IF(INDEX('Per Invoice'!K$2:K$801,$W237)="","",INDEX('Per Invoice'!K$2:K$801,$W237)))</f>
        <v/>
      </c>
      <c r="L237" s="14">
        <f>IF($W237="","",IF(INDEX('Per Invoice'!L$2:L$801,$W237)="","",INDEX('Per Invoice'!L$2:L$801,$W237)))</f>
        <v/>
      </c>
      <c r="M237">
        <f>IF($W237="","",IF(INDEX('Per Invoice'!M$2:M$801,$W237)="","",INDEX('Per Invoice'!M$2:M$801,$W237)))</f>
        <v/>
      </c>
      <c r="N237" s="7">
        <f>IF($W237="","",IF(INDEX('Per Invoice'!N$2:N$801,$W237)="","",INDEX('Per Invoice'!N$2:N$801,$W237)))</f>
        <v/>
      </c>
      <c r="O237" s="7">
        <f>IF($W237="","",IF(INDEX('Per Invoice'!O$2:O$801,$W237)="","",INDEX('Per Invoice'!O$2:O$801,$W237)))</f>
        <v/>
      </c>
      <c r="P237">
        <f>IF($W237="","",IF(INDEX('Per Invoice'!P$2:P$801,$W237)="","",INDEX('Per Invoice'!P$2:P$801,$W237)))</f>
        <v/>
      </c>
      <c r="Q237" s="7">
        <f>IF($W237="","",IF(INDEX('Per Invoice'!Q$2:Q$801,$W237)="","",INDEX('Per Invoice'!Q$2:Q$801,$W237)))</f>
        <v/>
      </c>
      <c r="R237" s="7">
        <f>IF($W237="","",IF(INDEX('Per Invoice'!R$2:R$801,$W237)="","",INDEX('Per Invoice'!R$2:R$801,$W237)))</f>
        <v/>
      </c>
      <c r="S237" s="7">
        <f>IF($W237="","",IF(INDEX('Per Invoice'!S$2:S$801,$W237)="","",INDEX('Per Invoice'!S$2:S$801,$W237)))</f>
        <v/>
      </c>
      <c r="T237" s="7">
        <f>IF($W237="","",IF(INDEX('Per Invoice'!T$2:T$801,$W237)="","",INDEX('Per Invoice'!T$2:T$801,$W237)))</f>
        <v/>
      </c>
      <c r="U237" s="7">
        <f>IF($W237="","",IF(INDEX('Per Invoice'!U$2:U$801,$W237)="","",INDEX('Per Invoice'!U$2:U$801,$W237)))</f>
        <v/>
      </c>
      <c r="V237" s="7">
        <f>IF($W237="","",IF(INDEX('Per Invoice'!V$2:V$801,$W237)="","",INDEX('Per Invoice'!V$2:V$801,$W237)))</f>
        <v/>
      </c>
      <c r="W237" s="16">
        <f>IFERROR(MATCH(Settings!$C$29&amp;"|"&amp;ROWS($W$2:$W237),'Per Invoice'!$X$2:$X$801,0),"")</f>
        <v/>
      </c>
    </row>
    <row r="238">
      <c r="A238">
        <f>IF($W238="","",IF(INDEX('Per Invoice'!A$2:A$801,$W238)="","",INDEX('Per Invoice'!A$2:A$801,$W238)))</f>
        <v/>
      </c>
      <c r="B238">
        <f>IF($W238="","",IF(INDEX('Per Invoice'!B$2:B$801,$W238)="","",INDEX('Per Invoice'!B$2:B$801,$W238)))</f>
        <v/>
      </c>
      <c r="C238">
        <f>IF($W238="","",IF(INDEX('Per Invoice'!C$2:C$801,$W238)="","",INDEX('Per Invoice'!C$2:C$801,$W238)))</f>
        <v/>
      </c>
      <c r="D238">
        <f>IF($W238="","",IF(INDEX('Per Invoice'!D$2:D$801,$W238)="","",INDEX('Per Invoice'!D$2:D$801,$W238)))</f>
        <v/>
      </c>
      <c r="E238">
        <f>IF($W238="","",IF(INDEX('Per Invoice'!E$2:E$801,$W238)="","",INDEX('Per Invoice'!E$2:E$801,$W238)))</f>
        <v/>
      </c>
      <c r="F238">
        <f>IF($W238="","",IF(INDEX('Per Invoice'!F$2:F$801,$W238)="","",INDEX('Per Invoice'!F$2:F$801,$W238)))</f>
        <v/>
      </c>
      <c r="G238">
        <f>IF($W238="","",IF(INDEX('Per Invoice'!G$2:G$801,$W238)="","",INDEX('Per Invoice'!G$2:G$801,$W238)))</f>
        <v/>
      </c>
      <c r="H238">
        <f>IF($W238="","",IF(INDEX('Per Invoice'!H$2:H$801,$W238)="","",INDEX('Per Invoice'!H$2:H$801,$W238)))</f>
        <v/>
      </c>
      <c r="I238">
        <f>IF($W238="","",IF(INDEX('Per Invoice'!I$2:I$801,$W238)="","",INDEX('Per Invoice'!I$2:I$801,$W238)))</f>
        <v/>
      </c>
      <c r="J238">
        <f>IF($W238="","",IF(INDEX('Per Invoice'!J$2:J$801,$W238)="","",INDEX('Per Invoice'!J$2:J$801,$W238)))</f>
        <v/>
      </c>
      <c r="K238" s="7">
        <f>IF($W238="","",IF(INDEX('Per Invoice'!K$2:K$801,$W238)="","",INDEX('Per Invoice'!K$2:K$801,$W238)))</f>
        <v/>
      </c>
      <c r="L238" s="14">
        <f>IF($W238="","",IF(INDEX('Per Invoice'!L$2:L$801,$W238)="","",INDEX('Per Invoice'!L$2:L$801,$W238)))</f>
        <v/>
      </c>
      <c r="M238">
        <f>IF($W238="","",IF(INDEX('Per Invoice'!M$2:M$801,$W238)="","",INDEX('Per Invoice'!M$2:M$801,$W238)))</f>
        <v/>
      </c>
      <c r="N238" s="7">
        <f>IF($W238="","",IF(INDEX('Per Invoice'!N$2:N$801,$W238)="","",INDEX('Per Invoice'!N$2:N$801,$W238)))</f>
        <v/>
      </c>
      <c r="O238" s="7">
        <f>IF($W238="","",IF(INDEX('Per Invoice'!O$2:O$801,$W238)="","",INDEX('Per Invoice'!O$2:O$801,$W238)))</f>
        <v/>
      </c>
      <c r="P238">
        <f>IF($W238="","",IF(INDEX('Per Invoice'!P$2:P$801,$W238)="","",INDEX('Per Invoice'!P$2:P$801,$W238)))</f>
        <v/>
      </c>
      <c r="Q238" s="7">
        <f>IF($W238="","",IF(INDEX('Per Invoice'!Q$2:Q$801,$W238)="","",INDEX('Per Invoice'!Q$2:Q$801,$W238)))</f>
        <v/>
      </c>
      <c r="R238" s="7">
        <f>IF($W238="","",IF(INDEX('Per Invoice'!R$2:R$801,$W238)="","",INDEX('Per Invoice'!R$2:R$801,$W238)))</f>
        <v/>
      </c>
      <c r="S238" s="7">
        <f>IF($W238="","",IF(INDEX('Per Invoice'!S$2:S$801,$W238)="","",INDEX('Per Invoice'!S$2:S$801,$W238)))</f>
        <v/>
      </c>
      <c r="T238" s="7">
        <f>IF($W238="","",IF(INDEX('Per Invoice'!T$2:T$801,$W238)="","",INDEX('Per Invoice'!T$2:T$801,$W238)))</f>
        <v/>
      </c>
      <c r="U238" s="7">
        <f>IF($W238="","",IF(INDEX('Per Invoice'!U$2:U$801,$W238)="","",INDEX('Per Invoice'!U$2:U$801,$W238)))</f>
        <v/>
      </c>
      <c r="V238" s="7">
        <f>IF($W238="","",IF(INDEX('Per Invoice'!V$2:V$801,$W238)="","",INDEX('Per Invoice'!V$2:V$801,$W238)))</f>
        <v/>
      </c>
      <c r="W238" s="16">
        <f>IFERROR(MATCH(Settings!$C$29&amp;"|"&amp;ROWS($W$2:$W238),'Per Invoice'!$X$2:$X$801,0),"")</f>
        <v/>
      </c>
    </row>
    <row r="239">
      <c r="A239">
        <f>IF($W239="","",IF(INDEX('Per Invoice'!A$2:A$801,$W239)="","",INDEX('Per Invoice'!A$2:A$801,$W239)))</f>
        <v/>
      </c>
      <c r="B239">
        <f>IF($W239="","",IF(INDEX('Per Invoice'!B$2:B$801,$W239)="","",INDEX('Per Invoice'!B$2:B$801,$W239)))</f>
        <v/>
      </c>
      <c r="C239">
        <f>IF($W239="","",IF(INDEX('Per Invoice'!C$2:C$801,$W239)="","",INDEX('Per Invoice'!C$2:C$801,$W239)))</f>
        <v/>
      </c>
      <c r="D239">
        <f>IF($W239="","",IF(INDEX('Per Invoice'!D$2:D$801,$W239)="","",INDEX('Per Invoice'!D$2:D$801,$W239)))</f>
        <v/>
      </c>
      <c r="E239">
        <f>IF($W239="","",IF(INDEX('Per Invoice'!E$2:E$801,$W239)="","",INDEX('Per Invoice'!E$2:E$801,$W239)))</f>
        <v/>
      </c>
      <c r="F239">
        <f>IF($W239="","",IF(INDEX('Per Invoice'!F$2:F$801,$W239)="","",INDEX('Per Invoice'!F$2:F$801,$W239)))</f>
        <v/>
      </c>
      <c r="G239">
        <f>IF($W239="","",IF(INDEX('Per Invoice'!G$2:G$801,$W239)="","",INDEX('Per Invoice'!G$2:G$801,$W239)))</f>
        <v/>
      </c>
      <c r="H239">
        <f>IF($W239="","",IF(INDEX('Per Invoice'!H$2:H$801,$W239)="","",INDEX('Per Invoice'!H$2:H$801,$W239)))</f>
        <v/>
      </c>
      <c r="I239">
        <f>IF($W239="","",IF(INDEX('Per Invoice'!I$2:I$801,$W239)="","",INDEX('Per Invoice'!I$2:I$801,$W239)))</f>
        <v/>
      </c>
      <c r="J239">
        <f>IF($W239="","",IF(INDEX('Per Invoice'!J$2:J$801,$W239)="","",INDEX('Per Invoice'!J$2:J$801,$W239)))</f>
        <v/>
      </c>
      <c r="K239" s="7">
        <f>IF($W239="","",IF(INDEX('Per Invoice'!K$2:K$801,$W239)="","",INDEX('Per Invoice'!K$2:K$801,$W239)))</f>
        <v/>
      </c>
      <c r="L239" s="14">
        <f>IF($W239="","",IF(INDEX('Per Invoice'!L$2:L$801,$W239)="","",INDEX('Per Invoice'!L$2:L$801,$W239)))</f>
        <v/>
      </c>
      <c r="M239">
        <f>IF($W239="","",IF(INDEX('Per Invoice'!M$2:M$801,$W239)="","",INDEX('Per Invoice'!M$2:M$801,$W239)))</f>
        <v/>
      </c>
      <c r="N239" s="7">
        <f>IF($W239="","",IF(INDEX('Per Invoice'!N$2:N$801,$W239)="","",INDEX('Per Invoice'!N$2:N$801,$W239)))</f>
        <v/>
      </c>
      <c r="O239" s="7">
        <f>IF($W239="","",IF(INDEX('Per Invoice'!O$2:O$801,$W239)="","",INDEX('Per Invoice'!O$2:O$801,$W239)))</f>
        <v/>
      </c>
      <c r="P239">
        <f>IF($W239="","",IF(INDEX('Per Invoice'!P$2:P$801,$W239)="","",INDEX('Per Invoice'!P$2:P$801,$W239)))</f>
        <v/>
      </c>
      <c r="Q239" s="7">
        <f>IF($W239="","",IF(INDEX('Per Invoice'!Q$2:Q$801,$W239)="","",INDEX('Per Invoice'!Q$2:Q$801,$W239)))</f>
        <v/>
      </c>
      <c r="R239" s="7">
        <f>IF($W239="","",IF(INDEX('Per Invoice'!R$2:R$801,$W239)="","",INDEX('Per Invoice'!R$2:R$801,$W239)))</f>
        <v/>
      </c>
      <c r="S239" s="7">
        <f>IF($W239="","",IF(INDEX('Per Invoice'!S$2:S$801,$W239)="","",INDEX('Per Invoice'!S$2:S$801,$W239)))</f>
        <v/>
      </c>
      <c r="T239" s="7">
        <f>IF($W239="","",IF(INDEX('Per Invoice'!T$2:T$801,$W239)="","",INDEX('Per Invoice'!T$2:T$801,$W239)))</f>
        <v/>
      </c>
      <c r="U239" s="7">
        <f>IF($W239="","",IF(INDEX('Per Invoice'!U$2:U$801,$W239)="","",INDEX('Per Invoice'!U$2:U$801,$W239)))</f>
        <v/>
      </c>
      <c r="V239" s="7">
        <f>IF($W239="","",IF(INDEX('Per Invoice'!V$2:V$801,$W239)="","",INDEX('Per Invoice'!V$2:V$801,$W239)))</f>
        <v/>
      </c>
      <c r="W239" s="16">
        <f>IFERROR(MATCH(Settings!$C$29&amp;"|"&amp;ROWS($W$2:$W239),'Per Invoice'!$X$2:$X$801,0),"")</f>
        <v/>
      </c>
    </row>
    <row r="240">
      <c r="A240">
        <f>IF($W240="","",IF(INDEX('Per Invoice'!A$2:A$801,$W240)="","",INDEX('Per Invoice'!A$2:A$801,$W240)))</f>
        <v/>
      </c>
      <c r="B240">
        <f>IF($W240="","",IF(INDEX('Per Invoice'!B$2:B$801,$W240)="","",INDEX('Per Invoice'!B$2:B$801,$W240)))</f>
        <v/>
      </c>
      <c r="C240">
        <f>IF($W240="","",IF(INDEX('Per Invoice'!C$2:C$801,$W240)="","",INDEX('Per Invoice'!C$2:C$801,$W240)))</f>
        <v/>
      </c>
      <c r="D240">
        <f>IF($W240="","",IF(INDEX('Per Invoice'!D$2:D$801,$W240)="","",INDEX('Per Invoice'!D$2:D$801,$W240)))</f>
        <v/>
      </c>
      <c r="E240">
        <f>IF($W240="","",IF(INDEX('Per Invoice'!E$2:E$801,$W240)="","",INDEX('Per Invoice'!E$2:E$801,$W240)))</f>
        <v/>
      </c>
      <c r="F240">
        <f>IF($W240="","",IF(INDEX('Per Invoice'!F$2:F$801,$W240)="","",INDEX('Per Invoice'!F$2:F$801,$W240)))</f>
        <v/>
      </c>
      <c r="G240">
        <f>IF($W240="","",IF(INDEX('Per Invoice'!G$2:G$801,$W240)="","",INDEX('Per Invoice'!G$2:G$801,$W240)))</f>
        <v/>
      </c>
      <c r="H240">
        <f>IF($W240="","",IF(INDEX('Per Invoice'!H$2:H$801,$W240)="","",INDEX('Per Invoice'!H$2:H$801,$W240)))</f>
        <v/>
      </c>
      <c r="I240">
        <f>IF($W240="","",IF(INDEX('Per Invoice'!I$2:I$801,$W240)="","",INDEX('Per Invoice'!I$2:I$801,$W240)))</f>
        <v/>
      </c>
      <c r="J240">
        <f>IF($W240="","",IF(INDEX('Per Invoice'!J$2:J$801,$W240)="","",INDEX('Per Invoice'!J$2:J$801,$W240)))</f>
        <v/>
      </c>
      <c r="K240" s="7">
        <f>IF($W240="","",IF(INDEX('Per Invoice'!K$2:K$801,$W240)="","",INDEX('Per Invoice'!K$2:K$801,$W240)))</f>
        <v/>
      </c>
      <c r="L240" s="14">
        <f>IF($W240="","",IF(INDEX('Per Invoice'!L$2:L$801,$W240)="","",INDEX('Per Invoice'!L$2:L$801,$W240)))</f>
        <v/>
      </c>
      <c r="M240">
        <f>IF($W240="","",IF(INDEX('Per Invoice'!M$2:M$801,$W240)="","",INDEX('Per Invoice'!M$2:M$801,$W240)))</f>
        <v/>
      </c>
      <c r="N240" s="7">
        <f>IF($W240="","",IF(INDEX('Per Invoice'!N$2:N$801,$W240)="","",INDEX('Per Invoice'!N$2:N$801,$W240)))</f>
        <v/>
      </c>
      <c r="O240" s="7">
        <f>IF($W240="","",IF(INDEX('Per Invoice'!O$2:O$801,$W240)="","",INDEX('Per Invoice'!O$2:O$801,$W240)))</f>
        <v/>
      </c>
      <c r="P240">
        <f>IF($W240="","",IF(INDEX('Per Invoice'!P$2:P$801,$W240)="","",INDEX('Per Invoice'!P$2:P$801,$W240)))</f>
        <v/>
      </c>
      <c r="Q240" s="7">
        <f>IF($W240="","",IF(INDEX('Per Invoice'!Q$2:Q$801,$W240)="","",INDEX('Per Invoice'!Q$2:Q$801,$W240)))</f>
        <v/>
      </c>
      <c r="R240" s="7">
        <f>IF($W240="","",IF(INDEX('Per Invoice'!R$2:R$801,$W240)="","",INDEX('Per Invoice'!R$2:R$801,$W240)))</f>
        <v/>
      </c>
      <c r="S240" s="7">
        <f>IF($W240="","",IF(INDEX('Per Invoice'!S$2:S$801,$W240)="","",INDEX('Per Invoice'!S$2:S$801,$W240)))</f>
        <v/>
      </c>
      <c r="T240" s="7">
        <f>IF($W240="","",IF(INDEX('Per Invoice'!T$2:T$801,$W240)="","",INDEX('Per Invoice'!T$2:T$801,$W240)))</f>
        <v/>
      </c>
      <c r="U240" s="7">
        <f>IF($W240="","",IF(INDEX('Per Invoice'!U$2:U$801,$W240)="","",INDEX('Per Invoice'!U$2:U$801,$W240)))</f>
        <v/>
      </c>
      <c r="V240" s="7">
        <f>IF($W240="","",IF(INDEX('Per Invoice'!V$2:V$801,$W240)="","",INDEX('Per Invoice'!V$2:V$801,$W240)))</f>
        <v/>
      </c>
      <c r="W240" s="16">
        <f>IFERROR(MATCH(Settings!$C$29&amp;"|"&amp;ROWS($W$2:$W240),'Per Invoice'!$X$2:$X$801,0),"")</f>
        <v/>
      </c>
    </row>
    <row r="241">
      <c r="A241">
        <f>IF($W241="","",IF(INDEX('Per Invoice'!A$2:A$801,$W241)="","",INDEX('Per Invoice'!A$2:A$801,$W241)))</f>
        <v/>
      </c>
      <c r="B241">
        <f>IF($W241="","",IF(INDEX('Per Invoice'!B$2:B$801,$W241)="","",INDEX('Per Invoice'!B$2:B$801,$W241)))</f>
        <v/>
      </c>
      <c r="C241">
        <f>IF($W241="","",IF(INDEX('Per Invoice'!C$2:C$801,$W241)="","",INDEX('Per Invoice'!C$2:C$801,$W241)))</f>
        <v/>
      </c>
      <c r="D241">
        <f>IF($W241="","",IF(INDEX('Per Invoice'!D$2:D$801,$W241)="","",INDEX('Per Invoice'!D$2:D$801,$W241)))</f>
        <v/>
      </c>
      <c r="E241">
        <f>IF($W241="","",IF(INDEX('Per Invoice'!E$2:E$801,$W241)="","",INDEX('Per Invoice'!E$2:E$801,$W241)))</f>
        <v/>
      </c>
      <c r="F241">
        <f>IF($W241="","",IF(INDEX('Per Invoice'!F$2:F$801,$W241)="","",INDEX('Per Invoice'!F$2:F$801,$W241)))</f>
        <v/>
      </c>
      <c r="G241">
        <f>IF($W241="","",IF(INDEX('Per Invoice'!G$2:G$801,$W241)="","",INDEX('Per Invoice'!G$2:G$801,$W241)))</f>
        <v/>
      </c>
      <c r="H241">
        <f>IF($W241="","",IF(INDEX('Per Invoice'!H$2:H$801,$W241)="","",INDEX('Per Invoice'!H$2:H$801,$W241)))</f>
        <v/>
      </c>
      <c r="I241">
        <f>IF($W241="","",IF(INDEX('Per Invoice'!I$2:I$801,$W241)="","",INDEX('Per Invoice'!I$2:I$801,$W241)))</f>
        <v/>
      </c>
      <c r="J241">
        <f>IF($W241="","",IF(INDEX('Per Invoice'!J$2:J$801,$W241)="","",INDEX('Per Invoice'!J$2:J$801,$W241)))</f>
        <v/>
      </c>
      <c r="K241" s="7">
        <f>IF($W241="","",IF(INDEX('Per Invoice'!K$2:K$801,$W241)="","",INDEX('Per Invoice'!K$2:K$801,$W241)))</f>
        <v/>
      </c>
      <c r="L241" s="14">
        <f>IF($W241="","",IF(INDEX('Per Invoice'!L$2:L$801,$W241)="","",INDEX('Per Invoice'!L$2:L$801,$W241)))</f>
        <v/>
      </c>
      <c r="M241">
        <f>IF($W241="","",IF(INDEX('Per Invoice'!M$2:M$801,$W241)="","",INDEX('Per Invoice'!M$2:M$801,$W241)))</f>
        <v/>
      </c>
      <c r="N241" s="7">
        <f>IF($W241="","",IF(INDEX('Per Invoice'!N$2:N$801,$W241)="","",INDEX('Per Invoice'!N$2:N$801,$W241)))</f>
        <v/>
      </c>
      <c r="O241" s="7">
        <f>IF($W241="","",IF(INDEX('Per Invoice'!O$2:O$801,$W241)="","",INDEX('Per Invoice'!O$2:O$801,$W241)))</f>
        <v/>
      </c>
      <c r="P241">
        <f>IF($W241="","",IF(INDEX('Per Invoice'!P$2:P$801,$W241)="","",INDEX('Per Invoice'!P$2:P$801,$W241)))</f>
        <v/>
      </c>
      <c r="Q241" s="7">
        <f>IF($W241="","",IF(INDEX('Per Invoice'!Q$2:Q$801,$W241)="","",INDEX('Per Invoice'!Q$2:Q$801,$W241)))</f>
        <v/>
      </c>
      <c r="R241" s="7">
        <f>IF($W241="","",IF(INDEX('Per Invoice'!R$2:R$801,$W241)="","",INDEX('Per Invoice'!R$2:R$801,$W241)))</f>
        <v/>
      </c>
      <c r="S241" s="7">
        <f>IF($W241="","",IF(INDEX('Per Invoice'!S$2:S$801,$W241)="","",INDEX('Per Invoice'!S$2:S$801,$W241)))</f>
        <v/>
      </c>
      <c r="T241" s="7">
        <f>IF($W241="","",IF(INDEX('Per Invoice'!T$2:T$801,$W241)="","",INDEX('Per Invoice'!T$2:T$801,$W241)))</f>
        <v/>
      </c>
      <c r="U241" s="7">
        <f>IF($W241="","",IF(INDEX('Per Invoice'!U$2:U$801,$W241)="","",INDEX('Per Invoice'!U$2:U$801,$W241)))</f>
        <v/>
      </c>
      <c r="V241" s="7">
        <f>IF($W241="","",IF(INDEX('Per Invoice'!V$2:V$801,$W241)="","",INDEX('Per Invoice'!V$2:V$801,$W241)))</f>
        <v/>
      </c>
      <c r="W241" s="16">
        <f>IFERROR(MATCH(Settings!$C$29&amp;"|"&amp;ROWS($W$2:$W241),'Per Invoice'!$X$2:$X$801,0),"")</f>
        <v/>
      </c>
    </row>
    <row r="242">
      <c r="A242">
        <f>IF($W242="","",IF(INDEX('Per Invoice'!A$2:A$801,$W242)="","",INDEX('Per Invoice'!A$2:A$801,$W242)))</f>
        <v/>
      </c>
      <c r="B242">
        <f>IF($W242="","",IF(INDEX('Per Invoice'!B$2:B$801,$W242)="","",INDEX('Per Invoice'!B$2:B$801,$W242)))</f>
        <v/>
      </c>
      <c r="C242">
        <f>IF($W242="","",IF(INDEX('Per Invoice'!C$2:C$801,$W242)="","",INDEX('Per Invoice'!C$2:C$801,$W242)))</f>
        <v/>
      </c>
      <c r="D242">
        <f>IF($W242="","",IF(INDEX('Per Invoice'!D$2:D$801,$W242)="","",INDEX('Per Invoice'!D$2:D$801,$W242)))</f>
        <v/>
      </c>
      <c r="E242">
        <f>IF($W242="","",IF(INDEX('Per Invoice'!E$2:E$801,$W242)="","",INDEX('Per Invoice'!E$2:E$801,$W242)))</f>
        <v/>
      </c>
      <c r="F242">
        <f>IF($W242="","",IF(INDEX('Per Invoice'!F$2:F$801,$W242)="","",INDEX('Per Invoice'!F$2:F$801,$W242)))</f>
        <v/>
      </c>
      <c r="G242">
        <f>IF($W242="","",IF(INDEX('Per Invoice'!G$2:G$801,$W242)="","",INDEX('Per Invoice'!G$2:G$801,$W242)))</f>
        <v/>
      </c>
      <c r="H242">
        <f>IF($W242="","",IF(INDEX('Per Invoice'!H$2:H$801,$W242)="","",INDEX('Per Invoice'!H$2:H$801,$W242)))</f>
        <v/>
      </c>
      <c r="I242">
        <f>IF($W242="","",IF(INDEX('Per Invoice'!I$2:I$801,$W242)="","",INDEX('Per Invoice'!I$2:I$801,$W242)))</f>
        <v/>
      </c>
      <c r="J242">
        <f>IF($W242="","",IF(INDEX('Per Invoice'!J$2:J$801,$W242)="","",INDEX('Per Invoice'!J$2:J$801,$W242)))</f>
        <v/>
      </c>
      <c r="K242" s="7">
        <f>IF($W242="","",IF(INDEX('Per Invoice'!K$2:K$801,$W242)="","",INDEX('Per Invoice'!K$2:K$801,$W242)))</f>
        <v/>
      </c>
      <c r="L242" s="14">
        <f>IF($W242="","",IF(INDEX('Per Invoice'!L$2:L$801,$W242)="","",INDEX('Per Invoice'!L$2:L$801,$W242)))</f>
        <v/>
      </c>
      <c r="M242">
        <f>IF($W242="","",IF(INDEX('Per Invoice'!M$2:M$801,$W242)="","",INDEX('Per Invoice'!M$2:M$801,$W242)))</f>
        <v/>
      </c>
      <c r="N242" s="7">
        <f>IF($W242="","",IF(INDEX('Per Invoice'!N$2:N$801,$W242)="","",INDEX('Per Invoice'!N$2:N$801,$W242)))</f>
        <v/>
      </c>
      <c r="O242" s="7">
        <f>IF($W242="","",IF(INDEX('Per Invoice'!O$2:O$801,$W242)="","",INDEX('Per Invoice'!O$2:O$801,$W242)))</f>
        <v/>
      </c>
      <c r="P242">
        <f>IF($W242="","",IF(INDEX('Per Invoice'!P$2:P$801,$W242)="","",INDEX('Per Invoice'!P$2:P$801,$W242)))</f>
        <v/>
      </c>
      <c r="Q242" s="7">
        <f>IF($W242="","",IF(INDEX('Per Invoice'!Q$2:Q$801,$W242)="","",INDEX('Per Invoice'!Q$2:Q$801,$W242)))</f>
        <v/>
      </c>
      <c r="R242" s="7">
        <f>IF($W242="","",IF(INDEX('Per Invoice'!R$2:R$801,$W242)="","",INDEX('Per Invoice'!R$2:R$801,$W242)))</f>
        <v/>
      </c>
      <c r="S242" s="7">
        <f>IF($W242="","",IF(INDEX('Per Invoice'!S$2:S$801,$W242)="","",INDEX('Per Invoice'!S$2:S$801,$W242)))</f>
        <v/>
      </c>
      <c r="T242" s="7">
        <f>IF($W242="","",IF(INDEX('Per Invoice'!T$2:T$801,$W242)="","",INDEX('Per Invoice'!T$2:T$801,$W242)))</f>
        <v/>
      </c>
      <c r="U242" s="7">
        <f>IF($W242="","",IF(INDEX('Per Invoice'!U$2:U$801,$W242)="","",INDEX('Per Invoice'!U$2:U$801,$W242)))</f>
        <v/>
      </c>
      <c r="V242" s="7">
        <f>IF($W242="","",IF(INDEX('Per Invoice'!V$2:V$801,$W242)="","",INDEX('Per Invoice'!V$2:V$801,$W242)))</f>
        <v/>
      </c>
      <c r="W242" s="16">
        <f>IFERROR(MATCH(Settings!$C$29&amp;"|"&amp;ROWS($W$2:$W242),'Per Invoice'!$X$2:$X$801,0),"")</f>
        <v/>
      </c>
    </row>
    <row r="243">
      <c r="A243">
        <f>IF($W243="","",IF(INDEX('Per Invoice'!A$2:A$801,$W243)="","",INDEX('Per Invoice'!A$2:A$801,$W243)))</f>
        <v/>
      </c>
      <c r="B243">
        <f>IF($W243="","",IF(INDEX('Per Invoice'!B$2:B$801,$W243)="","",INDEX('Per Invoice'!B$2:B$801,$W243)))</f>
        <v/>
      </c>
      <c r="C243">
        <f>IF($W243="","",IF(INDEX('Per Invoice'!C$2:C$801,$W243)="","",INDEX('Per Invoice'!C$2:C$801,$W243)))</f>
        <v/>
      </c>
      <c r="D243">
        <f>IF($W243="","",IF(INDEX('Per Invoice'!D$2:D$801,$W243)="","",INDEX('Per Invoice'!D$2:D$801,$W243)))</f>
        <v/>
      </c>
      <c r="E243">
        <f>IF($W243="","",IF(INDEX('Per Invoice'!E$2:E$801,$W243)="","",INDEX('Per Invoice'!E$2:E$801,$W243)))</f>
        <v/>
      </c>
      <c r="F243">
        <f>IF($W243="","",IF(INDEX('Per Invoice'!F$2:F$801,$W243)="","",INDEX('Per Invoice'!F$2:F$801,$W243)))</f>
        <v/>
      </c>
      <c r="G243">
        <f>IF($W243="","",IF(INDEX('Per Invoice'!G$2:G$801,$W243)="","",INDEX('Per Invoice'!G$2:G$801,$W243)))</f>
        <v/>
      </c>
      <c r="H243">
        <f>IF($W243="","",IF(INDEX('Per Invoice'!H$2:H$801,$W243)="","",INDEX('Per Invoice'!H$2:H$801,$W243)))</f>
        <v/>
      </c>
      <c r="I243">
        <f>IF($W243="","",IF(INDEX('Per Invoice'!I$2:I$801,$W243)="","",INDEX('Per Invoice'!I$2:I$801,$W243)))</f>
        <v/>
      </c>
      <c r="J243">
        <f>IF($W243="","",IF(INDEX('Per Invoice'!J$2:J$801,$W243)="","",INDEX('Per Invoice'!J$2:J$801,$W243)))</f>
        <v/>
      </c>
      <c r="K243" s="7">
        <f>IF($W243="","",IF(INDEX('Per Invoice'!K$2:K$801,$W243)="","",INDEX('Per Invoice'!K$2:K$801,$W243)))</f>
        <v/>
      </c>
      <c r="L243" s="14">
        <f>IF($W243="","",IF(INDEX('Per Invoice'!L$2:L$801,$W243)="","",INDEX('Per Invoice'!L$2:L$801,$W243)))</f>
        <v/>
      </c>
      <c r="M243">
        <f>IF($W243="","",IF(INDEX('Per Invoice'!M$2:M$801,$W243)="","",INDEX('Per Invoice'!M$2:M$801,$W243)))</f>
        <v/>
      </c>
      <c r="N243" s="7">
        <f>IF($W243="","",IF(INDEX('Per Invoice'!N$2:N$801,$W243)="","",INDEX('Per Invoice'!N$2:N$801,$W243)))</f>
        <v/>
      </c>
      <c r="O243" s="7">
        <f>IF($W243="","",IF(INDEX('Per Invoice'!O$2:O$801,$W243)="","",INDEX('Per Invoice'!O$2:O$801,$W243)))</f>
        <v/>
      </c>
      <c r="P243">
        <f>IF($W243="","",IF(INDEX('Per Invoice'!P$2:P$801,$W243)="","",INDEX('Per Invoice'!P$2:P$801,$W243)))</f>
        <v/>
      </c>
      <c r="Q243" s="7">
        <f>IF($W243="","",IF(INDEX('Per Invoice'!Q$2:Q$801,$W243)="","",INDEX('Per Invoice'!Q$2:Q$801,$W243)))</f>
        <v/>
      </c>
      <c r="R243" s="7">
        <f>IF($W243="","",IF(INDEX('Per Invoice'!R$2:R$801,$W243)="","",INDEX('Per Invoice'!R$2:R$801,$W243)))</f>
        <v/>
      </c>
      <c r="S243" s="7">
        <f>IF($W243="","",IF(INDEX('Per Invoice'!S$2:S$801,$W243)="","",INDEX('Per Invoice'!S$2:S$801,$W243)))</f>
        <v/>
      </c>
      <c r="T243" s="7">
        <f>IF($W243="","",IF(INDEX('Per Invoice'!T$2:T$801,$W243)="","",INDEX('Per Invoice'!T$2:T$801,$W243)))</f>
        <v/>
      </c>
      <c r="U243" s="7">
        <f>IF($W243="","",IF(INDEX('Per Invoice'!U$2:U$801,$W243)="","",INDEX('Per Invoice'!U$2:U$801,$W243)))</f>
        <v/>
      </c>
      <c r="V243" s="7">
        <f>IF($W243="","",IF(INDEX('Per Invoice'!V$2:V$801,$W243)="","",INDEX('Per Invoice'!V$2:V$801,$W243)))</f>
        <v/>
      </c>
      <c r="W243" s="16">
        <f>IFERROR(MATCH(Settings!$C$29&amp;"|"&amp;ROWS($W$2:$W243),'Per Invoice'!$X$2:$X$801,0),"")</f>
        <v/>
      </c>
    </row>
    <row r="244">
      <c r="A244">
        <f>IF($W244="","",IF(INDEX('Per Invoice'!A$2:A$801,$W244)="","",INDEX('Per Invoice'!A$2:A$801,$W244)))</f>
        <v/>
      </c>
      <c r="B244">
        <f>IF($W244="","",IF(INDEX('Per Invoice'!B$2:B$801,$W244)="","",INDEX('Per Invoice'!B$2:B$801,$W244)))</f>
        <v/>
      </c>
      <c r="C244">
        <f>IF($W244="","",IF(INDEX('Per Invoice'!C$2:C$801,$W244)="","",INDEX('Per Invoice'!C$2:C$801,$W244)))</f>
        <v/>
      </c>
      <c r="D244">
        <f>IF($W244="","",IF(INDEX('Per Invoice'!D$2:D$801,$W244)="","",INDEX('Per Invoice'!D$2:D$801,$W244)))</f>
        <v/>
      </c>
      <c r="E244">
        <f>IF($W244="","",IF(INDEX('Per Invoice'!E$2:E$801,$W244)="","",INDEX('Per Invoice'!E$2:E$801,$W244)))</f>
        <v/>
      </c>
      <c r="F244">
        <f>IF($W244="","",IF(INDEX('Per Invoice'!F$2:F$801,$W244)="","",INDEX('Per Invoice'!F$2:F$801,$W244)))</f>
        <v/>
      </c>
      <c r="G244">
        <f>IF($W244="","",IF(INDEX('Per Invoice'!G$2:G$801,$W244)="","",INDEX('Per Invoice'!G$2:G$801,$W244)))</f>
        <v/>
      </c>
      <c r="H244">
        <f>IF($W244="","",IF(INDEX('Per Invoice'!H$2:H$801,$W244)="","",INDEX('Per Invoice'!H$2:H$801,$W244)))</f>
        <v/>
      </c>
      <c r="I244">
        <f>IF($W244="","",IF(INDEX('Per Invoice'!I$2:I$801,$W244)="","",INDEX('Per Invoice'!I$2:I$801,$W244)))</f>
        <v/>
      </c>
      <c r="J244">
        <f>IF($W244="","",IF(INDEX('Per Invoice'!J$2:J$801,$W244)="","",INDEX('Per Invoice'!J$2:J$801,$W244)))</f>
        <v/>
      </c>
      <c r="K244" s="7">
        <f>IF($W244="","",IF(INDEX('Per Invoice'!K$2:K$801,$W244)="","",INDEX('Per Invoice'!K$2:K$801,$W244)))</f>
        <v/>
      </c>
      <c r="L244" s="14">
        <f>IF($W244="","",IF(INDEX('Per Invoice'!L$2:L$801,$W244)="","",INDEX('Per Invoice'!L$2:L$801,$W244)))</f>
        <v/>
      </c>
      <c r="M244">
        <f>IF($W244="","",IF(INDEX('Per Invoice'!M$2:M$801,$W244)="","",INDEX('Per Invoice'!M$2:M$801,$W244)))</f>
        <v/>
      </c>
      <c r="N244" s="7">
        <f>IF($W244="","",IF(INDEX('Per Invoice'!N$2:N$801,$W244)="","",INDEX('Per Invoice'!N$2:N$801,$W244)))</f>
        <v/>
      </c>
      <c r="O244" s="7">
        <f>IF($W244="","",IF(INDEX('Per Invoice'!O$2:O$801,$W244)="","",INDEX('Per Invoice'!O$2:O$801,$W244)))</f>
        <v/>
      </c>
      <c r="P244">
        <f>IF($W244="","",IF(INDEX('Per Invoice'!P$2:P$801,$W244)="","",INDEX('Per Invoice'!P$2:P$801,$W244)))</f>
        <v/>
      </c>
      <c r="Q244" s="7">
        <f>IF($W244="","",IF(INDEX('Per Invoice'!Q$2:Q$801,$W244)="","",INDEX('Per Invoice'!Q$2:Q$801,$W244)))</f>
        <v/>
      </c>
      <c r="R244" s="7">
        <f>IF($W244="","",IF(INDEX('Per Invoice'!R$2:R$801,$W244)="","",INDEX('Per Invoice'!R$2:R$801,$W244)))</f>
        <v/>
      </c>
      <c r="S244" s="7">
        <f>IF($W244="","",IF(INDEX('Per Invoice'!S$2:S$801,$W244)="","",INDEX('Per Invoice'!S$2:S$801,$W244)))</f>
        <v/>
      </c>
      <c r="T244" s="7">
        <f>IF($W244="","",IF(INDEX('Per Invoice'!T$2:T$801,$W244)="","",INDEX('Per Invoice'!T$2:T$801,$W244)))</f>
        <v/>
      </c>
      <c r="U244" s="7">
        <f>IF($W244="","",IF(INDEX('Per Invoice'!U$2:U$801,$W244)="","",INDEX('Per Invoice'!U$2:U$801,$W244)))</f>
        <v/>
      </c>
      <c r="V244" s="7">
        <f>IF($W244="","",IF(INDEX('Per Invoice'!V$2:V$801,$W244)="","",INDEX('Per Invoice'!V$2:V$801,$W244)))</f>
        <v/>
      </c>
      <c r="W244" s="16">
        <f>IFERROR(MATCH(Settings!$C$29&amp;"|"&amp;ROWS($W$2:$W244),'Per Invoice'!$X$2:$X$801,0),"")</f>
        <v/>
      </c>
    </row>
    <row r="245">
      <c r="A245">
        <f>IF($W245="","",IF(INDEX('Per Invoice'!A$2:A$801,$W245)="","",INDEX('Per Invoice'!A$2:A$801,$W245)))</f>
        <v/>
      </c>
      <c r="B245">
        <f>IF($W245="","",IF(INDEX('Per Invoice'!B$2:B$801,$W245)="","",INDEX('Per Invoice'!B$2:B$801,$W245)))</f>
        <v/>
      </c>
      <c r="C245">
        <f>IF($W245="","",IF(INDEX('Per Invoice'!C$2:C$801,$W245)="","",INDEX('Per Invoice'!C$2:C$801,$W245)))</f>
        <v/>
      </c>
      <c r="D245">
        <f>IF($W245="","",IF(INDEX('Per Invoice'!D$2:D$801,$W245)="","",INDEX('Per Invoice'!D$2:D$801,$W245)))</f>
        <v/>
      </c>
      <c r="E245">
        <f>IF($W245="","",IF(INDEX('Per Invoice'!E$2:E$801,$W245)="","",INDEX('Per Invoice'!E$2:E$801,$W245)))</f>
        <v/>
      </c>
      <c r="F245">
        <f>IF($W245="","",IF(INDEX('Per Invoice'!F$2:F$801,$W245)="","",INDEX('Per Invoice'!F$2:F$801,$W245)))</f>
        <v/>
      </c>
      <c r="G245">
        <f>IF($W245="","",IF(INDEX('Per Invoice'!G$2:G$801,$W245)="","",INDEX('Per Invoice'!G$2:G$801,$W245)))</f>
        <v/>
      </c>
      <c r="H245">
        <f>IF($W245="","",IF(INDEX('Per Invoice'!H$2:H$801,$W245)="","",INDEX('Per Invoice'!H$2:H$801,$W245)))</f>
        <v/>
      </c>
      <c r="I245">
        <f>IF($W245="","",IF(INDEX('Per Invoice'!I$2:I$801,$W245)="","",INDEX('Per Invoice'!I$2:I$801,$W245)))</f>
        <v/>
      </c>
      <c r="J245">
        <f>IF($W245="","",IF(INDEX('Per Invoice'!J$2:J$801,$W245)="","",INDEX('Per Invoice'!J$2:J$801,$W245)))</f>
        <v/>
      </c>
      <c r="K245" s="7">
        <f>IF($W245="","",IF(INDEX('Per Invoice'!K$2:K$801,$W245)="","",INDEX('Per Invoice'!K$2:K$801,$W245)))</f>
        <v/>
      </c>
      <c r="L245" s="14">
        <f>IF($W245="","",IF(INDEX('Per Invoice'!L$2:L$801,$W245)="","",INDEX('Per Invoice'!L$2:L$801,$W245)))</f>
        <v/>
      </c>
      <c r="M245">
        <f>IF($W245="","",IF(INDEX('Per Invoice'!M$2:M$801,$W245)="","",INDEX('Per Invoice'!M$2:M$801,$W245)))</f>
        <v/>
      </c>
      <c r="N245" s="7">
        <f>IF($W245="","",IF(INDEX('Per Invoice'!N$2:N$801,$W245)="","",INDEX('Per Invoice'!N$2:N$801,$W245)))</f>
        <v/>
      </c>
      <c r="O245" s="7">
        <f>IF($W245="","",IF(INDEX('Per Invoice'!O$2:O$801,$W245)="","",INDEX('Per Invoice'!O$2:O$801,$W245)))</f>
        <v/>
      </c>
      <c r="P245">
        <f>IF($W245="","",IF(INDEX('Per Invoice'!P$2:P$801,$W245)="","",INDEX('Per Invoice'!P$2:P$801,$W245)))</f>
        <v/>
      </c>
      <c r="Q245" s="7">
        <f>IF($W245="","",IF(INDEX('Per Invoice'!Q$2:Q$801,$W245)="","",INDEX('Per Invoice'!Q$2:Q$801,$W245)))</f>
        <v/>
      </c>
      <c r="R245" s="7">
        <f>IF($W245="","",IF(INDEX('Per Invoice'!R$2:R$801,$W245)="","",INDEX('Per Invoice'!R$2:R$801,$W245)))</f>
        <v/>
      </c>
      <c r="S245" s="7">
        <f>IF($W245="","",IF(INDEX('Per Invoice'!S$2:S$801,$W245)="","",INDEX('Per Invoice'!S$2:S$801,$W245)))</f>
        <v/>
      </c>
      <c r="T245" s="7">
        <f>IF($W245="","",IF(INDEX('Per Invoice'!T$2:T$801,$W245)="","",INDEX('Per Invoice'!T$2:T$801,$W245)))</f>
        <v/>
      </c>
      <c r="U245" s="7">
        <f>IF($W245="","",IF(INDEX('Per Invoice'!U$2:U$801,$W245)="","",INDEX('Per Invoice'!U$2:U$801,$W245)))</f>
        <v/>
      </c>
      <c r="V245" s="7">
        <f>IF($W245="","",IF(INDEX('Per Invoice'!V$2:V$801,$W245)="","",INDEX('Per Invoice'!V$2:V$801,$W245)))</f>
        <v/>
      </c>
      <c r="W245" s="16">
        <f>IFERROR(MATCH(Settings!$C$29&amp;"|"&amp;ROWS($W$2:$W245),'Per Invoice'!$X$2:$X$801,0),"")</f>
        <v/>
      </c>
    </row>
    <row r="246">
      <c r="A246">
        <f>IF($W246="","",IF(INDEX('Per Invoice'!A$2:A$801,$W246)="","",INDEX('Per Invoice'!A$2:A$801,$W246)))</f>
        <v/>
      </c>
      <c r="B246">
        <f>IF($W246="","",IF(INDEX('Per Invoice'!B$2:B$801,$W246)="","",INDEX('Per Invoice'!B$2:B$801,$W246)))</f>
        <v/>
      </c>
      <c r="C246">
        <f>IF($W246="","",IF(INDEX('Per Invoice'!C$2:C$801,$W246)="","",INDEX('Per Invoice'!C$2:C$801,$W246)))</f>
        <v/>
      </c>
      <c r="D246">
        <f>IF($W246="","",IF(INDEX('Per Invoice'!D$2:D$801,$W246)="","",INDEX('Per Invoice'!D$2:D$801,$W246)))</f>
        <v/>
      </c>
      <c r="E246">
        <f>IF($W246="","",IF(INDEX('Per Invoice'!E$2:E$801,$W246)="","",INDEX('Per Invoice'!E$2:E$801,$W246)))</f>
        <v/>
      </c>
      <c r="F246">
        <f>IF($W246="","",IF(INDEX('Per Invoice'!F$2:F$801,$W246)="","",INDEX('Per Invoice'!F$2:F$801,$W246)))</f>
        <v/>
      </c>
      <c r="G246">
        <f>IF($W246="","",IF(INDEX('Per Invoice'!G$2:G$801,$W246)="","",INDEX('Per Invoice'!G$2:G$801,$W246)))</f>
        <v/>
      </c>
      <c r="H246">
        <f>IF($W246="","",IF(INDEX('Per Invoice'!H$2:H$801,$W246)="","",INDEX('Per Invoice'!H$2:H$801,$W246)))</f>
        <v/>
      </c>
      <c r="I246">
        <f>IF($W246="","",IF(INDEX('Per Invoice'!I$2:I$801,$W246)="","",INDEX('Per Invoice'!I$2:I$801,$W246)))</f>
        <v/>
      </c>
      <c r="J246">
        <f>IF($W246="","",IF(INDEX('Per Invoice'!J$2:J$801,$W246)="","",INDEX('Per Invoice'!J$2:J$801,$W246)))</f>
        <v/>
      </c>
      <c r="K246" s="7">
        <f>IF($W246="","",IF(INDEX('Per Invoice'!K$2:K$801,$W246)="","",INDEX('Per Invoice'!K$2:K$801,$W246)))</f>
        <v/>
      </c>
      <c r="L246" s="14">
        <f>IF($W246="","",IF(INDEX('Per Invoice'!L$2:L$801,$W246)="","",INDEX('Per Invoice'!L$2:L$801,$W246)))</f>
        <v/>
      </c>
      <c r="M246">
        <f>IF($W246="","",IF(INDEX('Per Invoice'!M$2:M$801,$W246)="","",INDEX('Per Invoice'!M$2:M$801,$W246)))</f>
        <v/>
      </c>
      <c r="N246" s="7">
        <f>IF($W246="","",IF(INDEX('Per Invoice'!N$2:N$801,$W246)="","",INDEX('Per Invoice'!N$2:N$801,$W246)))</f>
        <v/>
      </c>
      <c r="O246" s="7">
        <f>IF($W246="","",IF(INDEX('Per Invoice'!O$2:O$801,$W246)="","",INDEX('Per Invoice'!O$2:O$801,$W246)))</f>
        <v/>
      </c>
      <c r="P246">
        <f>IF($W246="","",IF(INDEX('Per Invoice'!P$2:P$801,$W246)="","",INDEX('Per Invoice'!P$2:P$801,$W246)))</f>
        <v/>
      </c>
      <c r="Q246" s="7">
        <f>IF($W246="","",IF(INDEX('Per Invoice'!Q$2:Q$801,$W246)="","",INDEX('Per Invoice'!Q$2:Q$801,$W246)))</f>
        <v/>
      </c>
      <c r="R246" s="7">
        <f>IF($W246="","",IF(INDEX('Per Invoice'!R$2:R$801,$W246)="","",INDEX('Per Invoice'!R$2:R$801,$W246)))</f>
        <v/>
      </c>
      <c r="S246" s="7">
        <f>IF($W246="","",IF(INDEX('Per Invoice'!S$2:S$801,$W246)="","",INDEX('Per Invoice'!S$2:S$801,$W246)))</f>
        <v/>
      </c>
      <c r="T246" s="7">
        <f>IF($W246="","",IF(INDEX('Per Invoice'!T$2:T$801,$W246)="","",INDEX('Per Invoice'!T$2:T$801,$W246)))</f>
        <v/>
      </c>
      <c r="U246" s="7">
        <f>IF($W246="","",IF(INDEX('Per Invoice'!U$2:U$801,$W246)="","",INDEX('Per Invoice'!U$2:U$801,$W246)))</f>
        <v/>
      </c>
      <c r="V246" s="7">
        <f>IF($W246="","",IF(INDEX('Per Invoice'!V$2:V$801,$W246)="","",INDEX('Per Invoice'!V$2:V$801,$W246)))</f>
        <v/>
      </c>
      <c r="W246" s="16">
        <f>IFERROR(MATCH(Settings!$C$29&amp;"|"&amp;ROWS($W$2:$W246),'Per Invoice'!$X$2:$X$801,0),"")</f>
        <v/>
      </c>
    </row>
    <row r="247">
      <c r="A247">
        <f>IF($W247="","",IF(INDEX('Per Invoice'!A$2:A$801,$W247)="","",INDEX('Per Invoice'!A$2:A$801,$W247)))</f>
        <v/>
      </c>
      <c r="B247">
        <f>IF($W247="","",IF(INDEX('Per Invoice'!B$2:B$801,$W247)="","",INDEX('Per Invoice'!B$2:B$801,$W247)))</f>
        <v/>
      </c>
      <c r="C247">
        <f>IF($W247="","",IF(INDEX('Per Invoice'!C$2:C$801,$W247)="","",INDEX('Per Invoice'!C$2:C$801,$W247)))</f>
        <v/>
      </c>
      <c r="D247">
        <f>IF($W247="","",IF(INDEX('Per Invoice'!D$2:D$801,$W247)="","",INDEX('Per Invoice'!D$2:D$801,$W247)))</f>
        <v/>
      </c>
      <c r="E247">
        <f>IF($W247="","",IF(INDEX('Per Invoice'!E$2:E$801,$W247)="","",INDEX('Per Invoice'!E$2:E$801,$W247)))</f>
        <v/>
      </c>
      <c r="F247">
        <f>IF($W247="","",IF(INDEX('Per Invoice'!F$2:F$801,$W247)="","",INDEX('Per Invoice'!F$2:F$801,$W247)))</f>
        <v/>
      </c>
      <c r="G247">
        <f>IF($W247="","",IF(INDEX('Per Invoice'!G$2:G$801,$W247)="","",INDEX('Per Invoice'!G$2:G$801,$W247)))</f>
        <v/>
      </c>
      <c r="H247">
        <f>IF($W247="","",IF(INDEX('Per Invoice'!H$2:H$801,$W247)="","",INDEX('Per Invoice'!H$2:H$801,$W247)))</f>
        <v/>
      </c>
      <c r="I247">
        <f>IF($W247="","",IF(INDEX('Per Invoice'!I$2:I$801,$W247)="","",INDEX('Per Invoice'!I$2:I$801,$W247)))</f>
        <v/>
      </c>
      <c r="J247">
        <f>IF($W247="","",IF(INDEX('Per Invoice'!J$2:J$801,$W247)="","",INDEX('Per Invoice'!J$2:J$801,$W247)))</f>
        <v/>
      </c>
      <c r="K247" s="7">
        <f>IF($W247="","",IF(INDEX('Per Invoice'!K$2:K$801,$W247)="","",INDEX('Per Invoice'!K$2:K$801,$W247)))</f>
        <v/>
      </c>
      <c r="L247" s="14">
        <f>IF($W247="","",IF(INDEX('Per Invoice'!L$2:L$801,$W247)="","",INDEX('Per Invoice'!L$2:L$801,$W247)))</f>
        <v/>
      </c>
      <c r="M247">
        <f>IF($W247="","",IF(INDEX('Per Invoice'!M$2:M$801,$W247)="","",INDEX('Per Invoice'!M$2:M$801,$W247)))</f>
        <v/>
      </c>
      <c r="N247" s="7">
        <f>IF($W247="","",IF(INDEX('Per Invoice'!N$2:N$801,$W247)="","",INDEX('Per Invoice'!N$2:N$801,$W247)))</f>
        <v/>
      </c>
      <c r="O247" s="7">
        <f>IF($W247="","",IF(INDEX('Per Invoice'!O$2:O$801,$W247)="","",INDEX('Per Invoice'!O$2:O$801,$W247)))</f>
        <v/>
      </c>
      <c r="P247">
        <f>IF($W247="","",IF(INDEX('Per Invoice'!P$2:P$801,$W247)="","",INDEX('Per Invoice'!P$2:P$801,$W247)))</f>
        <v/>
      </c>
      <c r="Q247" s="7">
        <f>IF($W247="","",IF(INDEX('Per Invoice'!Q$2:Q$801,$W247)="","",INDEX('Per Invoice'!Q$2:Q$801,$W247)))</f>
        <v/>
      </c>
      <c r="R247" s="7">
        <f>IF($W247="","",IF(INDEX('Per Invoice'!R$2:R$801,$W247)="","",INDEX('Per Invoice'!R$2:R$801,$W247)))</f>
        <v/>
      </c>
      <c r="S247" s="7">
        <f>IF($W247="","",IF(INDEX('Per Invoice'!S$2:S$801,$W247)="","",INDEX('Per Invoice'!S$2:S$801,$W247)))</f>
        <v/>
      </c>
      <c r="T247" s="7">
        <f>IF($W247="","",IF(INDEX('Per Invoice'!T$2:T$801,$W247)="","",INDEX('Per Invoice'!T$2:T$801,$W247)))</f>
        <v/>
      </c>
      <c r="U247" s="7">
        <f>IF($W247="","",IF(INDEX('Per Invoice'!U$2:U$801,$W247)="","",INDEX('Per Invoice'!U$2:U$801,$W247)))</f>
        <v/>
      </c>
      <c r="V247" s="7">
        <f>IF($W247="","",IF(INDEX('Per Invoice'!V$2:V$801,$W247)="","",INDEX('Per Invoice'!V$2:V$801,$W247)))</f>
        <v/>
      </c>
      <c r="W247" s="16">
        <f>IFERROR(MATCH(Settings!$C$29&amp;"|"&amp;ROWS($W$2:$W247),'Per Invoice'!$X$2:$X$801,0),"")</f>
        <v/>
      </c>
    </row>
    <row r="248">
      <c r="A248">
        <f>IF($W248="","",IF(INDEX('Per Invoice'!A$2:A$801,$W248)="","",INDEX('Per Invoice'!A$2:A$801,$W248)))</f>
        <v/>
      </c>
      <c r="B248">
        <f>IF($W248="","",IF(INDEX('Per Invoice'!B$2:B$801,$W248)="","",INDEX('Per Invoice'!B$2:B$801,$W248)))</f>
        <v/>
      </c>
      <c r="C248">
        <f>IF($W248="","",IF(INDEX('Per Invoice'!C$2:C$801,$W248)="","",INDEX('Per Invoice'!C$2:C$801,$W248)))</f>
        <v/>
      </c>
      <c r="D248">
        <f>IF($W248="","",IF(INDEX('Per Invoice'!D$2:D$801,$W248)="","",INDEX('Per Invoice'!D$2:D$801,$W248)))</f>
        <v/>
      </c>
      <c r="E248">
        <f>IF($W248="","",IF(INDEX('Per Invoice'!E$2:E$801,$W248)="","",INDEX('Per Invoice'!E$2:E$801,$W248)))</f>
        <v/>
      </c>
      <c r="F248">
        <f>IF($W248="","",IF(INDEX('Per Invoice'!F$2:F$801,$W248)="","",INDEX('Per Invoice'!F$2:F$801,$W248)))</f>
        <v/>
      </c>
      <c r="G248">
        <f>IF($W248="","",IF(INDEX('Per Invoice'!G$2:G$801,$W248)="","",INDEX('Per Invoice'!G$2:G$801,$W248)))</f>
        <v/>
      </c>
      <c r="H248">
        <f>IF($W248="","",IF(INDEX('Per Invoice'!H$2:H$801,$W248)="","",INDEX('Per Invoice'!H$2:H$801,$W248)))</f>
        <v/>
      </c>
      <c r="I248">
        <f>IF($W248="","",IF(INDEX('Per Invoice'!I$2:I$801,$W248)="","",INDEX('Per Invoice'!I$2:I$801,$W248)))</f>
        <v/>
      </c>
      <c r="J248">
        <f>IF($W248="","",IF(INDEX('Per Invoice'!J$2:J$801,$W248)="","",INDEX('Per Invoice'!J$2:J$801,$W248)))</f>
        <v/>
      </c>
      <c r="K248" s="7">
        <f>IF($W248="","",IF(INDEX('Per Invoice'!K$2:K$801,$W248)="","",INDEX('Per Invoice'!K$2:K$801,$W248)))</f>
        <v/>
      </c>
      <c r="L248" s="14">
        <f>IF($W248="","",IF(INDEX('Per Invoice'!L$2:L$801,$W248)="","",INDEX('Per Invoice'!L$2:L$801,$W248)))</f>
        <v/>
      </c>
      <c r="M248">
        <f>IF($W248="","",IF(INDEX('Per Invoice'!M$2:M$801,$W248)="","",INDEX('Per Invoice'!M$2:M$801,$W248)))</f>
        <v/>
      </c>
      <c r="N248" s="7">
        <f>IF($W248="","",IF(INDEX('Per Invoice'!N$2:N$801,$W248)="","",INDEX('Per Invoice'!N$2:N$801,$W248)))</f>
        <v/>
      </c>
      <c r="O248" s="7">
        <f>IF($W248="","",IF(INDEX('Per Invoice'!O$2:O$801,$W248)="","",INDEX('Per Invoice'!O$2:O$801,$W248)))</f>
        <v/>
      </c>
      <c r="P248">
        <f>IF($W248="","",IF(INDEX('Per Invoice'!P$2:P$801,$W248)="","",INDEX('Per Invoice'!P$2:P$801,$W248)))</f>
        <v/>
      </c>
      <c r="Q248" s="7">
        <f>IF($W248="","",IF(INDEX('Per Invoice'!Q$2:Q$801,$W248)="","",INDEX('Per Invoice'!Q$2:Q$801,$W248)))</f>
        <v/>
      </c>
      <c r="R248" s="7">
        <f>IF($W248="","",IF(INDEX('Per Invoice'!R$2:R$801,$W248)="","",INDEX('Per Invoice'!R$2:R$801,$W248)))</f>
        <v/>
      </c>
      <c r="S248" s="7">
        <f>IF($W248="","",IF(INDEX('Per Invoice'!S$2:S$801,$W248)="","",INDEX('Per Invoice'!S$2:S$801,$W248)))</f>
        <v/>
      </c>
      <c r="T248" s="7">
        <f>IF($W248="","",IF(INDEX('Per Invoice'!T$2:T$801,$W248)="","",INDEX('Per Invoice'!T$2:T$801,$W248)))</f>
        <v/>
      </c>
      <c r="U248" s="7">
        <f>IF($W248="","",IF(INDEX('Per Invoice'!U$2:U$801,$W248)="","",INDEX('Per Invoice'!U$2:U$801,$W248)))</f>
        <v/>
      </c>
      <c r="V248" s="7">
        <f>IF($W248="","",IF(INDEX('Per Invoice'!V$2:V$801,$W248)="","",INDEX('Per Invoice'!V$2:V$801,$W248)))</f>
        <v/>
      </c>
      <c r="W248" s="16">
        <f>IFERROR(MATCH(Settings!$C$29&amp;"|"&amp;ROWS($W$2:$W248),'Per Invoice'!$X$2:$X$801,0),"")</f>
        <v/>
      </c>
    </row>
    <row r="249">
      <c r="A249">
        <f>IF($W249="","",IF(INDEX('Per Invoice'!A$2:A$801,$W249)="","",INDEX('Per Invoice'!A$2:A$801,$W249)))</f>
        <v/>
      </c>
      <c r="B249">
        <f>IF($W249="","",IF(INDEX('Per Invoice'!B$2:B$801,$W249)="","",INDEX('Per Invoice'!B$2:B$801,$W249)))</f>
        <v/>
      </c>
      <c r="C249">
        <f>IF($W249="","",IF(INDEX('Per Invoice'!C$2:C$801,$W249)="","",INDEX('Per Invoice'!C$2:C$801,$W249)))</f>
        <v/>
      </c>
      <c r="D249">
        <f>IF($W249="","",IF(INDEX('Per Invoice'!D$2:D$801,$W249)="","",INDEX('Per Invoice'!D$2:D$801,$W249)))</f>
        <v/>
      </c>
      <c r="E249">
        <f>IF($W249="","",IF(INDEX('Per Invoice'!E$2:E$801,$W249)="","",INDEX('Per Invoice'!E$2:E$801,$W249)))</f>
        <v/>
      </c>
      <c r="F249">
        <f>IF($W249="","",IF(INDEX('Per Invoice'!F$2:F$801,$W249)="","",INDEX('Per Invoice'!F$2:F$801,$W249)))</f>
        <v/>
      </c>
      <c r="G249">
        <f>IF($W249="","",IF(INDEX('Per Invoice'!G$2:G$801,$W249)="","",INDEX('Per Invoice'!G$2:G$801,$W249)))</f>
        <v/>
      </c>
      <c r="H249">
        <f>IF($W249="","",IF(INDEX('Per Invoice'!H$2:H$801,$W249)="","",INDEX('Per Invoice'!H$2:H$801,$W249)))</f>
        <v/>
      </c>
      <c r="I249">
        <f>IF($W249="","",IF(INDEX('Per Invoice'!I$2:I$801,$W249)="","",INDEX('Per Invoice'!I$2:I$801,$W249)))</f>
        <v/>
      </c>
      <c r="J249">
        <f>IF($W249="","",IF(INDEX('Per Invoice'!J$2:J$801,$W249)="","",INDEX('Per Invoice'!J$2:J$801,$W249)))</f>
        <v/>
      </c>
      <c r="K249" s="7">
        <f>IF($W249="","",IF(INDEX('Per Invoice'!K$2:K$801,$W249)="","",INDEX('Per Invoice'!K$2:K$801,$W249)))</f>
        <v/>
      </c>
      <c r="L249" s="14">
        <f>IF($W249="","",IF(INDEX('Per Invoice'!L$2:L$801,$W249)="","",INDEX('Per Invoice'!L$2:L$801,$W249)))</f>
        <v/>
      </c>
      <c r="M249">
        <f>IF($W249="","",IF(INDEX('Per Invoice'!M$2:M$801,$W249)="","",INDEX('Per Invoice'!M$2:M$801,$W249)))</f>
        <v/>
      </c>
      <c r="N249" s="7">
        <f>IF($W249="","",IF(INDEX('Per Invoice'!N$2:N$801,$W249)="","",INDEX('Per Invoice'!N$2:N$801,$W249)))</f>
        <v/>
      </c>
      <c r="O249" s="7">
        <f>IF($W249="","",IF(INDEX('Per Invoice'!O$2:O$801,$W249)="","",INDEX('Per Invoice'!O$2:O$801,$W249)))</f>
        <v/>
      </c>
      <c r="P249">
        <f>IF($W249="","",IF(INDEX('Per Invoice'!P$2:P$801,$W249)="","",INDEX('Per Invoice'!P$2:P$801,$W249)))</f>
        <v/>
      </c>
      <c r="Q249" s="7">
        <f>IF($W249="","",IF(INDEX('Per Invoice'!Q$2:Q$801,$W249)="","",INDEX('Per Invoice'!Q$2:Q$801,$W249)))</f>
        <v/>
      </c>
      <c r="R249" s="7">
        <f>IF($W249="","",IF(INDEX('Per Invoice'!R$2:R$801,$W249)="","",INDEX('Per Invoice'!R$2:R$801,$W249)))</f>
        <v/>
      </c>
      <c r="S249" s="7">
        <f>IF($W249="","",IF(INDEX('Per Invoice'!S$2:S$801,$W249)="","",INDEX('Per Invoice'!S$2:S$801,$W249)))</f>
        <v/>
      </c>
      <c r="T249" s="7">
        <f>IF($W249="","",IF(INDEX('Per Invoice'!T$2:T$801,$W249)="","",INDEX('Per Invoice'!T$2:T$801,$W249)))</f>
        <v/>
      </c>
      <c r="U249" s="7">
        <f>IF($W249="","",IF(INDEX('Per Invoice'!U$2:U$801,$W249)="","",INDEX('Per Invoice'!U$2:U$801,$W249)))</f>
        <v/>
      </c>
      <c r="V249" s="7">
        <f>IF($W249="","",IF(INDEX('Per Invoice'!V$2:V$801,$W249)="","",INDEX('Per Invoice'!V$2:V$801,$W249)))</f>
        <v/>
      </c>
      <c r="W249" s="16">
        <f>IFERROR(MATCH(Settings!$C$29&amp;"|"&amp;ROWS($W$2:$W249),'Per Invoice'!$X$2:$X$801,0),"")</f>
        <v/>
      </c>
    </row>
    <row r="250">
      <c r="A250">
        <f>IF($W250="","",IF(INDEX('Per Invoice'!A$2:A$801,$W250)="","",INDEX('Per Invoice'!A$2:A$801,$W250)))</f>
        <v/>
      </c>
      <c r="B250">
        <f>IF($W250="","",IF(INDEX('Per Invoice'!B$2:B$801,$W250)="","",INDEX('Per Invoice'!B$2:B$801,$W250)))</f>
        <v/>
      </c>
      <c r="C250">
        <f>IF($W250="","",IF(INDEX('Per Invoice'!C$2:C$801,$W250)="","",INDEX('Per Invoice'!C$2:C$801,$W250)))</f>
        <v/>
      </c>
      <c r="D250">
        <f>IF($W250="","",IF(INDEX('Per Invoice'!D$2:D$801,$W250)="","",INDEX('Per Invoice'!D$2:D$801,$W250)))</f>
        <v/>
      </c>
      <c r="E250">
        <f>IF($W250="","",IF(INDEX('Per Invoice'!E$2:E$801,$W250)="","",INDEX('Per Invoice'!E$2:E$801,$W250)))</f>
        <v/>
      </c>
      <c r="F250">
        <f>IF($W250="","",IF(INDEX('Per Invoice'!F$2:F$801,$W250)="","",INDEX('Per Invoice'!F$2:F$801,$W250)))</f>
        <v/>
      </c>
      <c r="G250">
        <f>IF($W250="","",IF(INDEX('Per Invoice'!G$2:G$801,$W250)="","",INDEX('Per Invoice'!G$2:G$801,$W250)))</f>
        <v/>
      </c>
      <c r="H250">
        <f>IF($W250="","",IF(INDEX('Per Invoice'!H$2:H$801,$W250)="","",INDEX('Per Invoice'!H$2:H$801,$W250)))</f>
        <v/>
      </c>
      <c r="I250">
        <f>IF($W250="","",IF(INDEX('Per Invoice'!I$2:I$801,$W250)="","",INDEX('Per Invoice'!I$2:I$801,$W250)))</f>
        <v/>
      </c>
      <c r="J250">
        <f>IF($W250="","",IF(INDEX('Per Invoice'!J$2:J$801,$W250)="","",INDEX('Per Invoice'!J$2:J$801,$W250)))</f>
        <v/>
      </c>
      <c r="K250" s="7">
        <f>IF($W250="","",IF(INDEX('Per Invoice'!K$2:K$801,$W250)="","",INDEX('Per Invoice'!K$2:K$801,$W250)))</f>
        <v/>
      </c>
      <c r="L250" s="14">
        <f>IF($W250="","",IF(INDEX('Per Invoice'!L$2:L$801,$W250)="","",INDEX('Per Invoice'!L$2:L$801,$W250)))</f>
        <v/>
      </c>
      <c r="M250">
        <f>IF($W250="","",IF(INDEX('Per Invoice'!M$2:M$801,$W250)="","",INDEX('Per Invoice'!M$2:M$801,$W250)))</f>
        <v/>
      </c>
      <c r="N250" s="7">
        <f>IF($W250="","",IF(INDEX('Per Invoice'!N$2:N$801,$W250)="","",INDEX('Per Invoice'!N$2:N$801,$W250)))</f>
        <v/>
      </c>
      <c r="O250" s="7">
        <f>IF($W250="","",IF(INDEX('Per Invoice'!O$2:O$801,$W250)="","",INDEX('Per Invoice'!O$2:O$801,$W250)))</f>
        <v/>
      </c>
      <c r="P250">
        <f>IF($W250="","",IF(INDEX('Per Invoice'!P$2:P$801,$W250)="","",INDEX('Per Invoice'!P$2:P$801,$W250)))</f>
        <v/>
      </c>
      <c r="Q250" s="7">
        <f>IF($W250="","",IF(INDEX('Per Invoice'!Q$2:Q$801,$W250)="","",INDEX('Per Invoice'!Q$2:Q$801,$W250)))</f>
        <v/>
      </c>
      <c r="R250" s="7">
        <f>IF($W250="","",IF(INDEX('Per Invoice'!R$2:R$801,$W250)="","",INDEX('Per Invoice'!R$2:R$801,$W250)))</f>
        <v/>
      </c>
      <c r="S250" s="7">
        <f>IF($W250="","",IF(INDEX('Per Invoice'!S$2:S$801,$W250)="","",INDEX('Per Invoice'!S$2:S$801,$W250)))</f>
        <v/>
      </c>
      <c r="T250" s="7">
        <f>IF($W250="","",IF(INDEX('Per Invoice'!T$2:T$801,$W250)="","",INDEX('Per Invoice'!T$2:T$801,$W250)))</f>
        <v/>
      </c>
      <c r="U250" s="7">
        <f>IF($W250="","",IF(INDEX('Per Invoice'!U$2:U$801,$W250)="","",INDEX('Per Invoice'!U$2:U$801,$W250)))</f>
        <v/>
      </c>
      <c r="V250" s="7">
        <f>IF($W250="","",IF(INDEX('Per Invoice'!V$2:V$801,$W250)="","",INDEX('Per Invoice'!V$2:V$801,$W250)))</f>
        <v/>
      </c>
      <c r="W250" s="16">
        <f>IFERROR(MATCH(Settings!$C$29&amp;"|"&amp;ROWS($W$2:$W250),'Per Invoice'!$X$2:$X$801,0),"")</f>
        <v/>
      </c>
    </row>
    <row r="251">
      <c r="A251">
        <f>IF($W251="","",IF(INDEX('Per Invoice'!A$2:A$801,$W251)="","",INDEX('Per Invoice'!A$2:A$801,$W251)))</f>
        <v/>
      </c>
      <c r="B251">
        <f>IF($W251="","",IF(INDEX('Per Invoice'!B$2:B$801,$W251)="","",INDEX('Per Invoice'!B$2:B$801,$W251)))</f>
        <v/>
      </c>
      <c r="C251">
        <f>IF($W251="","",IF(INDEX('Per Invoice'!C$2:C$801,$W251)="","",INDEX('Per Invoice'!C$2:C$801,$W251)))</f>
        <v/>
      </c>
      <c r="D251">
        <f>IF($W251="","",IF(INDEX('Per Invoice'!D$2:D$801,$W251)="","",INDEX('Per Invoice'!D$2:D$801,$W251)))</f>
        <v/>
      </c>
      <c r="E251">
        <f>IF($W251="","",IF(INDEX('Per Invoice'!E$2:E$801,$W251)="","",INDEX('Per Invoice'!E$2:E$801,$W251)))</f>
        <v/>
      </c>
      <c r="F251">
        <f>IF($W251="","",IF(INDEX('Per Invoice'!F$2:F$801,$W251)="","",INDEX('Per Invoice'!F$2:F$801,$W251)))</f>
        <v/>
      </c>
      <c r="G251">
        <f>IF($W251="","",IF(INDEX('Per Invoice'!G$2:G$801,$W251)="","",INDEX('Per Invoice'!G$2:G$801,$W251)))</f>
        <v/>
      </c>
      <c r="H251">
        <f>IF($W251="","",IF(INDEX('Per Invoice'!H$2:H$801,$W251)="","",INDEX('Per Invoice'!H$2:H$801,$W251)))</f>
        <v/>
      </c>
      <c r="I251">
        <f>IF($W251="","",IF(INDEX('Per Invoice'!I$2:I$801,$W251)="","",INDEX('Per Invoice'!I$2:I$801,$W251)))</f>
        <v/>
      </c>
      <c r="J251">
        <f>IF($W251="","",IF(INDEX('Per Invoice'!J$2:J$801,$W251)="","",INDEX('Per Invoice'!J$2:J$801,$W251)))</f>
        <v/>
      </c>
      <c r="K251" s="7">
        <f>IF($W251="","",IF(INDEX('Per Invoice'!K$2:K$801,$W251)="","",INDEX('Per Invoice'!K$2:K$801,$W251)))</f>
        <v/>
      </c>
      <c r="L251" s="14">
        <f>IF($W251="","",IF(INDEX('Per Invoice'!L$2:L$801,$W251)="","",INDEX('Per Invoice'!L$2:L$801,$W251)))</f>
        <v/>
      </c>
      <c r="M251">
        <f>IF($W251="","",IF(INDEX('Per Invoice'!M$2:M$801,$W251)="","",INDEX('Per Invoice'!M$2:M$801,$W251)))</f>
        <v/>
      </c>
      <c r="N251" s="7">
        <f>IF($W251="","",IF(INDEX('Per Invoice'!N$2:N$801,$W251)="","",INDEX('Per Invoice'!N$2:N$801,$W251)))</f>
        <v/>
      </c>
      <c r="O251" s="7">
        <f>IF($W251="","",IF(INDEX('Per Invoice'!O$2:O$801,$W251)="","",INDEX('Per Invoice'!O$2:O$801,$W251)))</f>
        <v/>
      </c>
      <c r="P251">
        <f>IF($W251="","",IF(INDEX('Per Invoice'!P$2:P$801,$W251)="","",INDEX('Per Invoice'!P$2:P$801,$W251)))</f>
        <v/>
      </c>
      <c r="Q251" s="7">
        <f>IF($W251="","",IF(INDEX('Per Invoice'!Q$2:Q$801,$W251)="","",INDEX('Per Invoice'!Q$2:Q$801,$W251)))</f>
        <v/>
      </c>
      <c r="R251" s="7">
        <f>IF($W251="","",IF(INDEX('Per Invoice'!R$2:R$801,$W251)="","",INDEX('Per Invoice'!R$2:R$801,$W251)))</f>
        <v/>
      </c>
      <c r="S251" s="7">
        <f>IF($W251="","",IF(INDEX('Per Invoice'!S$2:S$801,$W251)="","",INDEX('Per Invoice'!S$2:S$801,$W251)))</f>
        <v/>
      </c>
      <c r="T251" s="7">
        <f>IF($W251="","",IF(INDEX('Per Invoice'!T$2:T$801,$W251)="","",INDEX('Per Invoice'!T$2:T$801,$W251)))</f>
        <v/>
      </c>
      <c r="U251" s="7">
        <f>IF($W251="","",IF(INDEX('Per Invoice'!U$2:U$801,$W251)="","",INDEX('Per Invoice'!U$2:U$801,$W251)))</f>
        <v/>
      </c>
      <c r="V251" s="7">
        <f>IF($W251="","",IF(INDEX('Per Invoice'!V$2:V$801,$W251)="","",INDEX('Per Invoice'!V$2:V$801,$W251)))</f>
        <v/>
      </c>
      <c r="W251" s="16">
        <f>IFERROR(MATCH(Settings!$C$29&amp;"|"&amp;ROWS($W$2:$W251),'Per Invoice'!$X$2:$X$801,0),"")</f>
        <v/>
      </c>
    </row>
    <row r="252">
      <c r="A252">
        <f>IF($W252="","",IF(INDEX('Per Invoice'!A$2:A$801,$W252)="","",INDEX('Per Invoice'!A$2:A$801,$W252)))</f>
        <v/>
      </c>
      <c r="B252">
        <f>IF($W252="","",IF(INDEX('Per Invoice'!B$2:B$801,$W252)="","",INDEX('Per Invoice'!B$2:B$801,$W252)))</f>
        <v/>
      </c>
      <c r="C252">
        <f>IF($W252="","",IF(INDEX('Per Invoice'!C$2:C$801,$W252)="","",INDEX('Per Invoice'!C$2:C$801,$W252)))</f>
        <v/>
      </c>
      <c r="D252">
        <f>IF($W252="","",IF(INDEX('Per Invoice'!D$2:D$801,$W252)="","",INDEX('Per Invoice'!D$2:D$801,$W252)))</f>
        <v/>
      </c>
      <c r="E252">
        <f>IF($W252="","",IF(INDEX('Per Invoice'!E$2:E$801,$W252)="","",INDEX('Per Invoice'!E$2:E$801,$W252)))</f>
        <v/>
      </c>
      <c r="F252">
        <f>IF($W252="","",IF(INDEX('Per Invoice'!F$2:F$801,$W252)="","",INDEX('Per Invoice'!F$2:F$801,$W252)))</f>
        <v/>
      </c>
      <c r="G252">
        <f>IF($W252="","",IF(INDEX('Per Invoice'!G$2:G$801,$W252)="","",INDEX('Per Invoice'!G$2:G$801,$W252)))</f>
        <v/>
      </c>
      <c r="H252">
        <f>IF($W252="","",IF(INDEX('Per Invoice'!H$2:H$801,$W252)="","",INDEX('Per Invoice'!H$2:H$801,$W252)))</f>
        <v/>
      </c>
      <c r="I252">
        <f>IF($W252="","",IF(INDEX('Per Invoice'!I$2:I$801,$W252)="","",INDEX('Per Invoice'!I$2:I$801,$W252)))</f>
        <v/>
      </c>
      <c r="J252">
        <f>IF($W252="","",IF(INDEX('Per Invoice'!J$2:J$801,$W252)="","",INDEX('Per Invoice'!J$2:J$801,$W252)))</f>
        <v/>
      </c>
      <c r="K252" s="7">
        <f>IF($W252="","",IF(INDEX('Per Invoice'!K$2:K$801,$W252)="","",INDEX('Per Invoice'!K$2:K$801,$W252)))</f>
        <v/>
      </c>
      <c r="L252" s="14">
        <f>IF($W252="","",IF(INDEX('Per Invoice'!L$2:L$801,$W252)="","",INDEX('Per Invoice'!L$2:L$801,$W252)))</f>
        <v/>
      </c>
      <c r="M252">
        <f>IF($W252="","",IF(INDEX('Per Invoice'!M$2:M$801,$W252)="","",INDEX('Per Invoice'!M$2:M$801,$W252)))</f>
        <v/>
      </c>
      <c r="N252" s="7">
        <f>IF($W252="","",IF(INDEX('Per Invoice'!N$2:N$801,$W252)="","",INDEX('Per Invoice'!N$2:N$801,$W252)))</f>
        <v/>
      </c>
      <c r="O252" s="7">
        <f>IF($W252="","",IF(INDEX('Per Invoice'!O$2:O$801,$W252)="","",INDEX('Per Invoice'!O$2:O$801,$W252)))</f>
        <v/>
      </c>
      <c r="P252">
        <f>IF($W252="","",IF(INDEX('Per Invoice'!P$2:P$801,$W252)="","",INDEX('Per Invoice'!P$2:P$801,$W252)))</f>
        <v/>
      </c>
      <c r="Q252" s="7">
        <f>IF($W252="","",IF(INDEX('Per Invoice'!Q$2:Q$801,$W252)="","",INDEX('Per Invoice'!Q$2:Q$801,$W252)))</f>
        <v/>
      </c>
      <c r="R252" s="7">
        <f>IF($W252="","",IF(INDEX('Per Invoice'!R$2:R$801,$W252)="","",INDEX('Per Invoice'!R$2:R$801,$W252)))</f>
        <v/>
      </c>
      <c r="S252" s="7">
        <f>IF($W252="","",IF(INDEX('Per Invoice'!S$2:S$801,$W252)="","",INDEX('Per Invoice'!S$2:S$801,$W252)))</f>
        <v/>
      </c>
      <c r="T252" s="7">
        <f>IF($W252="","",IF(INDEX('Per Invoice'!T$2:T$801,$W252)="","",INDEX('Per Invoice'!T$2:T$801,$W252)))</f>
        <v/>
      </c>
      <c r="U252" s="7">
        <f>IF($W252="","",IF(INDEX('Per Invoice'!U$2:U$801,$W252)="","",INDEX('Per Invoice'!U$2:U$801,$W252)))</f>
        <v/>
      </c>
      <c r="V252" s="7">
        <f>IF($W252="","",IF(INDEX('Per Invoice'!V$2:V$801,$W252)="","",INDEX('Per Invoice'!V$2:V$801,$W252)))</f>
        <v/>
      </c>
      <c r="W252" s="16">
        <f>IFERROR(MATCH(Settings!$C$29&amp;"|"&amp;ROWS($W$2:$W252),'Per Invoice'!$X$2:$X$801,0),"")</f>
        <v/>
      </c>
    </row>
    <row r="253">
      <c r="A253">
        <f>IF($W253="","",IF(INDEX('Per Invoice'!A$2:A$801,$W253)="","",INDEX('Per Invoice'!A$2:A$801,$W253)))</f>
        <v/>
      </c>
      <c r="B253">
        <f>IF($W253="","",IF(INDEX('Per Invoice'!B$2:B$801,$W253)="","",INDEX('Per Invoice'!B$2:B$801,$W253)))</f>
        <v/>
      </c>
      <c r="C253">
        <f>IF($W253="","",IF(INDEX('Per Invoice'!C$2:C$801,$W253)="","",INDEX('Per Invoice'!C$2:C$801,$W253)))</f>
        <v/>
      </c>
      <c r="D253">
        <f>IF($W253="","",IF(INDEX('Per Invoice'!D$2:D$801,$W253)="","",INDEX('Per Invoice'!D$2:D$801,$W253)))</f>
        <v/>
      </c>
      <c r="E253">
        <f>IF($W253="","",IF(INDEX('Per Invoice'!E$2:E$801,$W253)="","",INDEX('Per Invoice'!E$2:E$801,$W253)))</f>
        <v/>
      </c>
      <c r="F253">
        <f>IF($W253="","",IF(INDEX('Per Invoice'!F$2:F$801,$W253)="","",INDEX('Per Invoice'!F$2:F$801,$W253)))</f>
        <v/>
      </c>
      <c r="G253">
        <f>IF($W253="","",IF(INDEX('Per Invoice'!G$2:G$801,$W253)="","",INDEX('Per Invoice'!G$2:G$801,$W253)))</f>
        <v/>
      </c>
      <c r="H253">
        <f>IF($W253="","",IF(INDEX('Per Invoice'!H$2:H$801,$W253)="","",INDEX('Per Invoice'!H$2:H$801,$W253)))</f>
        <v/>
      </c>
      <c r="I253">
        <f>IF($W253="","",IF(INDEX('Per Invoice'!I$2:I$801,$W253)="","",INDEX('Per Invoice'!I$2:I$801,$W253)))</f>
        <v/>
      </c>
      <c r="J253">
        <f>IF($W253="","",IF(INDEX('Per Invoice'!J$2:J$801,$W253)="","",INDEX('Per Invoice'!J$2:J$801,$W253)))</f>
        <v/>
      </c>
      <c r="K253" s="7">
        <f>IF($W253="","",IF(INDEX('Per Invoice'!K$2:K$801,$W253)="","",INDEX('Per Invoice'!K$2:K$801,$W253)))</f>
        <v/>
      </c>
      <c r="L253" s="14">
        <f>IF($W253="","",IF(INDEX('Per Invoice'!L$2:L$801,$W253)="","",INDEX('Per Invoice'!L$2:L$801,$W253)))</f>
        <v/>
      </c>
      <c r="M253">
        <f>IF($W253="","",IF(INDEX('Per Invoice'!M$2:M$801,$W253)="","",INDEX('Per Invoice'!M$2:M$801,$W253)))</f>
        <v/>
      </c>
      <c r="N253" s="7">
        <f>IF($W253="","",IF(INDEX('Per Invoice'!N$2:N$801,$W253)="","",INDEX('Per Invoice'!N$2:N$801,$W253)))</f>
        <v/>
      </c>
      <c r="O253" s="7">
        <f>IF($W253="","",IF(INDEX('Per Invoice'!O$2:O$801,$W253)="","",INDEX('Per Invoice'!O$2:O$801,$W253)))</f>
        <v/>
      </c>
      <c r="P253">
        <f>IF($W253="","",IF(INDEX('Per Invoice'!P$2:P$801,$W253)="","",INDEX('Per Invoice'!P$2:P$801,$W253)))</f>
        <v/>
      </c>
      <c r="Q253" s="7">
        <f>IF($W253="","",IF(INDEX('Per Invoice'!Q$2:Q$801,$W253)="","",INDEX('Per Invoice'!Q$2:Q$801,$W253)))</f>
        <v/>
      </c>
      <c r="R253" s="7">
        <f>IF($W253="","",IF(INDEX('Per Invoice'!R$2:R$801,$W253)="","",INDEX('Per Invoice'!R$2:R$801,$W253)))</f>
        <v/>
      </c>
      <c r="S253" s="7">
        <f>IF($W253="","",IF(INDEX('Per Invoice'!S$2:S$801,$W253)="","",INDEX('Per Invoice'!S$2:S$801,$W253)))</f>
        <v/>
      </c>
      <c r="T253" s="7">
        <f>IF($W253="","",IF(INDEX('Per Invoice'!T$2:T$801,$W253)="","",INDEX('Per Invoice'!T$2:T$801,$W253)))</f>
        <v/>
      </c>
      <c r="U253" s="7">
        <f>IF($W253="","",IF(INDEX('Per Invoice'!U$2:U$801,$W253)="","",INDEX('Per Invoice'!U$2:U$801,$W253)))</f>
        <v/>
      </c>
      <c r="V253" s="7">
        <f>IF($W253="","",IF(INDEX('Per Invoice'!V$2:V$801,$W253)="","",INDEX('Per Invoice'!V$2:V$801,$W253)))</f>
        <v/>
      </c>
      <c r="W253" s="16">
        <f>IFERROR(MATCH(Settings!$C$29&amp;"|"&amp;ROWS($W$2:$W253),'Per Invoice'!$X$2:$X$801,0),"")</f>
        <v/>
      </c>
    </row>
    <row r="254">
      <c r="A254">
        <f>IF($W254="","",IF(INDEX('Per Invoice'!A$2:A$801,$W254)="","",INDEX('Per Invoice'!A$2:A$801,$W254)))</f>
        <v/>
      </c>
      <c r="B254">
        <f>IF($W254="","",IF(INDEX('Per Invoice'!B$2:B$801,$W254)="","",INDEX('Per Invoice'!B$2:B$801,$W254)))</f>
        <v/>
      </c>
      <c r="C254">
        <f>IF($W254="","",IF(INDEX('Per Invoice'!C$2:C$801,$W254)="","",INDEX('Per Invoice'!C$2:C$801,$W254)))</f>
        <v/>
      </c>
      <c r="D254">
        <f>IF($W254="","",IF(INDEX('Per Invoice'!D$2:D$801,$W254)="","",INDEX('Per Invoice'!D$2:D$801,$W254)))</f>
        <v/>
      </c>
      <c r="E254">
        <f>IF($W254="","",IF(INDEX('Per Invoice'!E$2:E$801,$W254)="","",INDEX('Per Invoice'!E$2:E$801,$W254)))</f>
        <v/>
      </c>
      <c r="F254">
        <f>IF($W254="","",IF(INDEX('Per Invoice'!F$2:F$801,$W254)="","",INDEX('Per Invoice'!F$2:F$801,$W254)))</f>
        <v/>
      </c>
      <c r="G254">
        <f>IF($W254="","",IF(INDEX('Per Invoice'!G$2:G$801,$W254)="","",INDEX('Per Invoice'!G$2:G$801,$W254)))</f>
        <v/>
      </c>
      <c r="H254">
        <f>IF($W254="","",IF(INDEX('Per Invoice'!H$2:H$801,$W254)="","",INDEX('Per Invoice'!H$2:H$801,$W254)))</f>
        <v/>
      </c>
      <c r="I254">
        <f>IF($W254="","",IF(INDEX('Per Invoice'!I$2:I$801,$W254)="","",INDEX('Per Invoice'!I$2:I$801,$W254)))</f>
        <v/>
      </c>
      <c r="J254">
        <f>IF($W254="","",IF(INDEX('Per Invoice'!J$2:J$801,$W254)="","",INDEX('Per Invoice'!J$2:J$801,$W254)))</f>
        <v/>
      </c>
      <c r="K254" s="7">
        <f>IF($W254="","",IF(INDEX('Per Invoice'!K$2:K$801,$W254)="","",INDEX('Per Invoice'!K$2:K$801,$W254)))</f>
        <v/>
      </c>
      <c r="L254" s="14">
        <f>IF($W254="","",IF(INDEX('Per Invoice'!L$2:L$801,$W254)="","",INDEX('Per Invoice'!L$2:L$801,$W254)))</f>
        <v/>
      </c>
      <c r="M254">
        <f>IF($W254="","",IF(INDEX('Per Invoice'!M$2:M$801,$W254)="","",INDEX('Per Invoice'!M$2:M$801,$W254)))</f>
        <v/>
      </c>
      <c r="N254" s="7">
        <f>IF($W254="","",IF(INDEX('Per Invoice'!N$2:N$801,$W254)="","",INDEX('Per Invoice'!N$2:N$801,$W254)))</f>
        <v/>
      </c>
      <c r="O254" s="7">
        <f>IF($W254="","",IF(INDEX('Per Invoice'!O$2:O$801,$W254)="","",INDEX('Per Invoice'!O$2:O$801,$W254)))</f>
        <v/>
      </c>
      <c r="P254">
        <f>IF($W254="","",IF(INDEX('Per Invoice'!P$2:P$801,$W254)="","",INDEX('Per Invoice'!P$2:P$801,$W254)))</f>
        <v/>
      </c>
      <c r="Q254" s="7">
        <f>IF($W254="","",IF(INDEX('Per Invoice'!Q$2:Q$801,$W254)="","",INDEX('Per Invoice'!Q$2:Q$801,$W254)))</f>
        <v/>
      </c>
      <c r="R254" s="7">
        <f>IF($W254="","",IF(INDEX('Per Invoice'!R$2:R$801,$W254)="","",INDEX('Per Invoice'!R$2:R$801,$W254)))</f>
        <v/>
      </c>
      <c r="S254" s="7">
        <f>IF($W254="","",IF(INDEX('Per Invoice'!S$2:S$801,$W254)="","",INDEX('Per Invoice'!S$2:S$801,$W254)))</f>
        <v/>
      </c>
      <c r="T254" s="7">
        <f>IF($W254="","",IF(INDEX('Per Invoice'!T$2:T$801,$W254)="","",INDEX('Per Invoice'!T$2:T$801,$W254)))</f>
        <v/>
      </c>
      <c r="U254" s="7">
        <f>IF($W254="","",IF(INDEX('Per Invoice'!U$2:U$801,$W254)="","",INDEX('Per Invoice'!U$2:U$801,$W254)))</f>
        <v/>
      </c>
      <c r="V254" s="7">
        <f>IF($W254="","",IF(INDEX('Per Invoice'!V$2:V$801,$W254)="","",INDEX('Per Invoice'!V$2:V$801,$W254)))</f>
        <v/>
      </c>
      <c r="W254" s="16">
        <f>IFERROR(MATCH(Settings!$C$29&amp;"|"&amp;ROWS($W$2:$W254),'Per Invoice'!$X$2:$X$801,0),"")</f>
        <v/>
      </c>
    </row>
    <row r="255">
      <c r="A255">
        <f>IF($W255="","",IF(INDEX('Per Invoice'!A$2:A$801,$W255)="","",INDEX('Per Invoice'!A$2:A$801,$W255)))</f>
        <v/>
      </c>
      <c r="B255">
        <f>IF($W255="","",IF(INDEX('Per Invoice'!B$2:B$801,$W255)="","",INDEX('Per Invoice'!B$2:B$801,$W255)))</f>
        <v/>
      </c>
      <c r="C255">
        <f>IF($W255="","",IF(INDEX('Per Invoice'!C$2:C$801,$W255)="","",INDEX('Per Invoice'!C$2:C$801,$W255)))</f>
        <v/>
      </c>
      <c r="D255">
        <f>IF($W255="","",IF(INDEX('Per Invoice'!D$2:D$801,$W255)="","",INDEX('Per Invoice'!D$2:D$801,$W255)))</f>
        <v/>
      </c>
      <c r="E255">
        <f>IF($W255="","",IF(INDEX('Per Invoice'!E$2:E$801,$W255)="","",INDEX('Per Invoice'!E$2:E$801,$W255)))</f>
        <v/>
      </c>
      <c r="F255">
        <f>IF($W255="","",IF(INDEX('Per Invoice'!F$2:F$801,$W255)="","",INDEX('Per Invoice'!F$2:F$801,$W255)))</f>
        <v/>
      </c>
      <c r="G255">
        <f>IF($W255="","",IF(INDEX('Per Invoice'!G$2:G$801,$W255)="","",INDEX('Per Invoice'!G$2:G$801,$W255)))</f>
        <v/>
      </c>
      <c r="H255">
        <f>IF($W255="","",IF(INDEX('Per Invoice'!H$2:H$801,$W255)="","",INDEX('Per Invoice'!H$2:H$801,$W255)))</f>
        <v/>
      </c>
      <c r="I255">
        <f>IF($W255="","",IF(INDEX('Per Invoice'!I$2:I$801,$W255)="","",INDEX('Per Invoice'!I$2:I$801,$W255)))</f>
        <v/>
      </c>
      <c r="J255">
        <f>IF($W255="","",IF(INDEX('Per Invoice'!J$2:J$801,$W255)="","",INDEX('Per Invoice'!J$2:J$801,$W255)))</f>
        <v/>
      </c>
      <c r="K255" s="7">
        <f>IF($W255="","",IF(INDEX('Per Invoice'!K$2:K$801,$W255)="","",INDEX('Per Invoice'!K$2:K$801,$W255)))</f>
        <v/>
      </c>
      <c r="L255" s="14">
        <f>IF($W255="","",IF(INDEX('Per Invoice'!L$2:L$801,$W255)="","",INDEX('Per Invoice'!L$2:L$801,$W255)))</f>
        <v/>
      </c>
      <c r="M255">
        <f>IF($W255="","",IF(INDEX('Per Invoice'!M$2:M$801,$W255)="","",INDEX('Per Invoice'!M$2:M$801,$W255)))</f>
        <v/>
      </c>
      <c r="N255" s="7">
        <f>IF($W255="","",IF(INDEX('Per Invoice'!N$2:N$801,$W255)="","",INDEX('Per Invoice'!N$2:N$801,$W255)))</f>
        <v/>
      </c>
      <c r="O255" s="7">
        <f>IF($W255="","",IF(INDEX('Per Invoice'!O$2:O$801,$W255)="","",INDEX('Per Invoice'!O$2:O$801,$W255)))</f>
        <v/>
      </c>
      <c r="P255">
        <f>IF($W255="","",IF(INDEX('Per Invoice'!P$2:P$801,$W255)="","",INDEX('Per Invoice'!P$2:P$801,$W255)))</f>
        <v/>
      </c>
      <c r="Q255" s="7">
        <f>IF($W255="","",IF(INDEX('Per Invoice'!Q$2:Q$801,$W255)="","",INDEX('Per Invoice'!Q$2:Q$801,$W255)))</f>
        <v/>
      </c>
      <c r="R255" s="7">
        <f>IF($W255="","",IF(INDEX('Per Invoice'!R$2:R$801,$W255)="","",INDEX('Per Invoice'!R$2:R$801,$W255)))</f>
        <v/>
      </c>
      <c r="S255" s="7">
        <f>IF($W255="","",IF(INDEX('Per Invoice'!S$2:S$801,$W255)="","",INDEX('Per Invoice'!S$2:S$801,$W255)))</f>
        <v/>
      </c>
      <c r="T255" s="7">
        <f>IF($W255="","",IF(INDEX('Per Invoice'!T$2:T$801,$W255)="","",INDEX('Per Invoice'!T$2:T$801,$W255)))</f>
        <v/>
      </c>
      <c r="U255" s="7">
        <f>IF($W255="","",IF(INDEX('Per Invoice'!U$2:U$801,$W255)="","",INDEX('Per Invoice'!U$2:U$801,$W255)))</f>
        <v/>
      </c>
      <c r="V255" s="7">
        <f>IF($W255="","",IF(INDEX('Per Invoice'!V$2:V$801,$W255)="","",INDEX('Per Invoice'!V$2:V$801,$W255)))</f>
        <v/>
      </c>
      <c r="W255" s="16">
        <f>IFERROR(MATCH(Settings!$C$29&amp;"|"&amp;ROWS($W$2:$W255),'Per Invoice'!$X$2:$X$801,0),"")</f>
        <v/>
      </c>
    </row>
    <row r="256">
      <c r="A256">
        <f>IF($W256="","",IF(INDEX('Per Invoice'!A$2:A$801,$W256)="","",INDEX('Per Invoice'!A$2:A$801,$W256)))</f>
        <v/>
      </c>
      <c r="B256">
        <f>IF($W256="","",IF(INDEX('Per Invoice'!B$2:B$801,$W256)="","",INDEX('Per Invoice'!B$2:B$801,$W256)))</f>
        <v/>
      </c>
      <c r="C256">
        <f>IF($W256="","",IF(INDEX('Per Invoice'!C$2:C$801,$W256)="","",INDEX('Per Invoice'!C$2:C$801,$W256)))</f>
        <v/>
      </c>
      <c r="D256">
        <f>IF($W256="","",IF(INDEX('Per Invoice'!D$2:D$801,$W256)="","",INDEX('Per Invoice'!D$2:D$801,$W256)))</f>
        <v/>
      </c>
      <c r="E256">
        <f>IF($W256="","",IF(INDEX('Per Invoice'!E$2:E$801,$W256)="","",INDEX('Per Invoice'!E$2:E$801,$W256)))</f>
        <v/>
      </c>
      <c r="F256">
        <f>IF($W256="","",IF(INDEX('Per Invoice'!F$2:F$801,$W256)="","",INDEX('Per Invoice'!F$2:F$801,$W256)))</f>
        <v/>
      </c>
      <c r="G256">
        <f>IF($W256="","",IF(INDEX('Per Invoice'!G$2:G$801,$W256)="","",INDEX('Per Invoice'!G$2:G$801,$W256)))</f>
        <v/>
      </c>
      <c r="H256">
        <f>IF($W256="","",IF(INDEX('Per Invoice'!H$2:H$801,$W256)="","",INDEX('Per Invoice'!H$2:H$801,$W256)))</f>
        <v/>
      </c>
      <c r="I256">
        <f>IF($W256="","",IF(INDEX('Per Invoice'!I$2:I$801,$W256)="","",INDEX('Per Invoice'!I$2:I$801,$W256)))</f>
        <v/>
      </c>
      <c r="J256">
        <f>IF($W256="","",IF(INDEX('Per Invoice'!J$2:J$801,$W256)="","",INDEX('Per Invoice'!J$2:J$801,$W256)))</f>
        <v/>
      </c>
      <c r="K256" s="7">
        <f>IF($W256="","",IF(INDEX('Per Invoice'!K$2:K$801,$W256)="","",INDEX('Per Invoice'!K$2:K$801,$W256)))</f>
        <v/>
      </c>
      <c r="L256" s="14">
        <f>IF($W256="","",IF(INDEX('Per Invoice'!L$2:L$801,$W256)="","",INDEX('Per Invoice'!L$2:L$801,$W256)))</f>
        <v/>
      </c>
      <c r="M256">
        <f>IF($W256="","",IF(INDEX('Per Invoice'!M$2:M$801,$W256)="","",INDEX('Per Invoice'!M$2:M$801,$W256)))</f>
        <v/>
      </c>
      <c r="N256" s="7">
        <f>IF($W256="","",IF(INDEX('Per Invoice'!N$2:N$801,$W256)="","",INDEX('Per Invoice'!N$2:N$801,$W256)))</f>
        <v/>
      </c>
      <c r="O256" s="7">
        <f>IF($W256="","",IF(INDEX('Per Invoice'!O$2:O$801,$W256)="","",INDEX('Per Invoice'!O$2:O$801,$W256)))</f>
        <v/>
      </c>
      <c r="P256">
        <f>IF($W256="","",IF(INDEX('Per Invoice'!P$2:P$801,$W256)="","",INDEX('Per Invoice'!P$2:P$801,$W256)))</f>
        <v/>
      </c>
      <c r="Q256" s="7">
        <f>IF($W256="","",IF(INDEX('Per Invoice'!Q$2:Q$801,$W256)="","",INDEX('Per Invoice'!Q$2:Q$801,$W256)))</f>
        <v/>
      </c>
      <c r="R256" s="7">
        <f>IF($W256="","",IF(INDEX('Per Invoice'!R$2:R$801,$W256)="","",INDEX('Per Invoice'!R$2:R$801,$W256)))</f>
        <v/>
      </c>
      <c r="S256" s="7">
        <f>IF($W256="","",IF(INDEX('Per Invoice'!S$2:S$801,$W256)="","",INDEX('Per Invoice'!S$2:S$801,$W256)))</f>
        <v/>
      </c>
      <c r="T256" s="7">
        <f>IF($W256="","",IF(INDEX('Per Invoice'!T$2:T$801,$W256)="","",INDEX('Per Invoice'!T$2:T$801,$W256)))</f>
        <v/>
      </c>
      <c r="U256" s="7">
        <f>IF($W256="","",IF(INDEX('Per Invoice'!U$2:U$801,$W256)="","",INDEX('Per Invoice'!U$2:U$801,$W256)))</f>
        <v/>
      </c>
      <c r="V256" s="7">
        <f>IF($W256="","",IF(INDEX('Per Invoice'!V$2:V$801,$W256)="","",INDEX('Per Invoice'!V$2:V$801,$W256)))</f>
        <v/>
      </c>
      <c r="W256" s="16">
        <f>IFERROR(MATCH(Settings!$C$29&amp;"|"&amp;ROWS($W$2:$W256),'Per Invoice'!$X$2:$X$801,0),"")</f>
        <v/>
      </c>
    </row>
    <row r="257">
      <c r="A257">
        <f>IF($W257="","",IF(INDEX('Per Invoice'!A$2:A$801,$W257)="","",INDEX('Per Invoice'!A$2:A$801,$W257)))</f>
        <v/>
      </c>
      <c r="B257">
        <f>IF($W257="","",IF(INDEX('Per Invoice'!B$2:B$801,$W257)="","",INDEX('Per Invoice'!B$2:B$801,$W257)))</f>
        <v/>
      </c>
      <c r="C257">
        <f>IF($W257="","",IF(INDEX('Per Invoice'!C$2:C$801,$W257)="","",INDEX('Per Invoice'!C$2:C$801,$W257)))</f>
        <v/>
      </c>
      <c r="D257">
        <f>IF($W257="","",IF(INDEX('Per Invoice'!D$2:D$801,$W257)="","",INDEX('Per Invoice'!D$2:D$801,$W257)))</f>
        <v/>
      </c>
      <c r="E257">
        <f>IF($W257="","",IF(INDEX('Per Invoice'!E$2:E$801,$W257)="","",INDEX('Per Invoice'!E$2:E$801,$W257)))</f>
        <v/>
      </c>
      <c r="F257">
        <f>IF($W257="","",IF(INDEX('Per Invoice'!F$2:F$801,$W257)="","",INDEX('Per Invoice'!F$2:F$801,$W257)))</f>
        <v/>
      </c>
      <c r="G257">
        <f>IF($W257="","",IF(INDEX('Per Invoice'!G$2:G$801,$W257)="","",INDEX('Per Invoice'!G$2:G$801,$W257)))</f>
        <v/>
      </c>
      <c r="H257">
        <f>IF($W257="","",IF(INDEX('Per Invoice'!H$2:H$801,$W257)="","",INDEX('Per Invoice'!H$2:H$801,$W257)))</f>
        <v/>
      </c>
      <c r="I257">
        <f>IF($W257="","",IF(INDEX('Per Invoice'!I$2:I$801,$W257)="","",INDEX('Per Invoice'!I$2:I$801,$W257)))</f>
        <v/>
      </c>
      <c r="J257">
        <f>IF($W257="","",IF(INDEX('Per Invoice'!J$2:J$801,$W257)="","",INDEX('Per Invoice'!J$2:J$801,$W257)))</f>
        <v/>
      </c>
      <c r="K257" s="7">
        <f>IF($W257="","",IF(INDEX('Per Invoice'!K$2:K$801,$W257)="","",INDEX('Per Invoice'!K$2:K$801,$W257)))</f>
        <v/>
      </c>
      <c r="L257" s="14">
        <f>IF($W257="","",IF(INDEX('Per Invoice'!L$2:L$801,$W257)="","",INDEX('Per Invoice'!L$2:L$801,$W257)))</f>
        <v/>
      </c>
      <c r="M257">
        <f>IF($W257="","",IF(INDEX('Per Invoice'!M$2:M$801,$W257)="","",INDEX('Per Invoice'!M$2:M$801,$W257)))</f>
        <v/>
      </c>
      <c r="N257" s="7">
        <f>IF($W257="","",IF(INDEX('Per Invoice'!N$2:N$801,$W257)="","",INDEX('Per Invoice'!N$2:N$801,$W257)))</f>
        <v/>
      </c>
      <c r="O257" s="7">
        <f>IF($W257="","",IF(INDEX('Per Invoice'!O$2:O$801,$W257)="","",INDEX('Per Invoice'!O$2:O$801,$W257)))</f>
        <v/>
      </c>
      <c r="P257">
        <f>IF($W257="","",IF(INDEX('Per Invoice'!P$2:P$801,$W257)="","",INDEX('Per Invoice'!P$2:P$801,$W257)))</f>
        <v/>
      </c>
      <c r="Q257" s="7">
        <f>IF($W257="","",IF(INDEX('Per Invoice'!Q$2:Q$801,$W257)="","",INDEX('Per Invoice'!Q$2:Q$801,$W257)))</f>
        <v/>
      </c>
      <c r="R257" s="7">
        <f>IF($W257="","",IF(INDEX('Per Invoice'!R$2:R$801,$W257)="","",INDEX('Per Invoice'!R$2:R$801,$W257)))</f>
        <v/>
      </c>
      <c r="S257" s="7">
        <f>IF($W257="","",IF(INDEX('Per Invoice'!S$2:S$801,$W257)="","",INDEX('Per Invoice'!S$2:S$801,$W257)))</f>
        <v/>
      </c>
      <c r="T257" s="7">
        <f>IF($W257="","",IF(INDEX('Per Invoice'!T$2:T$801,$W257)="","",INDEX('Per Invoice'!T$2:T$801,$W257)))</f>
        <v/>
      </c>
      <c r="U257" s="7">
        <f>IF($W257="","",IF(INDEX('Per Invoice'!U$2:U$801,$W257)="","",INDEX('Per Invoice'!U$2:U$801,$W257)))</f>
        <v/>
      </c>
      <c r="V257" s="7">
        <f>IF($W257="","",IF(INDEX('Per Invoice'!V$2:V$801,$W257)="","",INDEX('Per Invoice'!V$2:V$801,$W257)))</f>
        <v/>
      </c>
      <c r="W257" s="16">
        <f>IFERROR(MATCH(Settings!$C$29&amp;"|"&amp;ROWS($W$2:$W257),'Per Invoice'!$X$2:$X$801,0),"")</f>
        <v/>
      </c>
    </row>
    <row r="258">
      <c r="A258">
        <f>IF($W258="","",IF(INDEX('Per Invoice'!A$2:A$801,$W258)="","",INDEX('Per Invoice'!A$2:A$801,$W258)))</f>
        <v/>
      </c>
      <c r="B258">
        <f>IF($W258="","",IF(INDEX('Per Invoice'!B$2:B$801,$W258)="","",INDEX('Per Invoice'!B$2:B$801,$W258)))</f>
        <v/>
      </c>
      <c r="C258">
        <f>IF($W258="","",IF(INDEX('Per Invoice'!C$2:C$801,$W258)="","",INDEX('Per Invoice'!C$2:C$801,$W258)))</f>
        <v/>
      </c>
      <c r="D258">
        <f>IF($W258="","",IF(INDEX('Per Invoice'!D$2:D$801,$W258)="","",INDEX('Per Invoice'!D$2:D$801,$W258)))</f>
        <v/>
      </c>
      <c r="E258">
        <f>IF($W258="","",IF(INDEX('Per Invoice'!E$2:E$801,$W258)="","",INDEX('Per Invoice'!E$2:E$801,$W258)))</f>
        <v/>
      </c>
      <c r="F258">
        <f>IF($W258="","",IF(INDEX('Per Invoice'!F$2:F$801,$W258)="","",INDEX('Per Invoice'!F$2:F$801,$W258)))</f>
        <v/>
      </c>
      <c r="G258">
        <f>IF($W258="","",IF(INDEX('Per Invoice'!G$2:G$801,$W258)="","",INDEX('Per Invoice'!G$2:G$801,$W258)))</f>
        <v/>
      </c>
      <c r="H258">
        <f>IF($W258="","",IF(INDEX('Per Invoice'!H$2:H$801,$W258)="","",INDEX('Per Invoice'!H$2:H$801,$W258)))</f>
        <v/>
      </c>
      <c r="I258">
        <f>IF($W258="","",IF(INDEX('Per Invoice'!I$2:I$801,$W258)="","",INDEX('Per Invoice'!I$2:I$801,$W258)))</f>
        <v/>
      </c>
      <c r="J258">
        <f>IF($W258="","",IF(INDEX('Per Invoice'!J$2:J$801,$W258)="","",INDEX('Per Invoice'!J$2:J$801,$W258)))</f>
        <v/>
      </c>
      <c r="K258" s="7">
        <f>IF($W258="","",IF(INDEX('Per Invoice'!K$2:K$801,$W258)="","",INDEX('Per Invoice'!K$2:K$801,$W258)))</f>
        <v/>
      </c>
      <c r="L258" s="14">
        <f>IF($W258="","",IF(INDEX('Per Invoice'!L$2:L$801,$W258)="","",INDEX('Per Invoice'!L$2:L$801,$W258)))</f>
        <v/>
      </c>
      <c r="M258">
        <f>IF($W258="","",IF(INDEX('Per Invoice'!M$2:M$801,$W258)="","",INDEX('Per Invoice'!M$2:M$801,$W258)))</f>
        <v/>
      </c>
      <c r="N258" s="7">
        <f>IF($W258="","",IF(INDEX('Per Invoice'!N$2:N$801,$W258)="","",INDEX('Per Invoice'!N$2:N$801,$W258)))</f>
        <v/>
      </c>
      <c r="O258" s="7">
        <f>IF($W258="","",IF(INDEX('Per Invoice'!O$2:O$801,$W258)="","",INDEX('Per Invoice'!O$2:O$801,$W258)))</f>
        <v/>
      </c>
      <c r="P258">
        <f>IF($W258="","",IF(INDEX('Per Invoice'!P$2:P$801,$W258)="","",INDEX('Per Invoice'!P$2:P$801,$W258)))</f>
        <v/>
      </c>
      <c r="Q258" s="7">
        <f>IF($W258="","",IF(INDEX('Per Invoice'!Q$2:Q$801,$W258)="","",INDEX('Per Invoice'!Q$2:Q$801,$W258)))</f>
        <v/>
      </c>
      <c r="R258" s="7">
        <f>IF($W258="","",IF(INDEX('Per Invoice'!R$2:R$801,$W258)="","",INDEX('Per Invoice'!R$2:R$801,$W258)))</f>
        <v/>
      </c>
      <c r="S258" s="7">
        <f>IF($W258="","",IF(INDEX('Per Invoice'!S$2:S$801,$W258)="","",INDEX('Per Invoice'!S$2:S$801,$W258)))</f>
        <v/>
      </c>
      <c r="T258" s="7">
        <f>IF($W258="","",IF(INDEX('Per Invoice'!T$2:T$801,$W258)="","",INDEX('Per Invoice'!T$2:T$801,$W258)))</f>
        <v/>
      </c>
      <c r="U258" s="7">
        <f>IF($W258="","",IF(INDEX('Per Invoice'!U$2:U$801,$W258)="","",INDEX('Per Invoice'!U$2:U$801,$W258)))</f>
        <v/>
      </c>
      <c r="V258" s="7">
        <f>IF($W258="","",IF(INDEX('Per Invoice'!V$2:V$801,$W258)="","",INDEX('Per Invoice'!V$2:V$801,$W258)))</f>
        <v/>
      </c>
      <c r="W258" s="16">
        <f>IFERROR(MATCH(Settings!$C$29&amp;"|"&amp;ROWS($W$2:$W258),'Per Invoice'!$X$2:$X$801,0),"")</f>
        <v/>
      </c>
    </row>
    <row r="259">
      <c r="A259">
        <f>IF($W259="","",IF(INDEX('Per Invoice'!A$2:A$801,$W259)="","",INDEX('Per Invoice'!A$2:A$801,$W259)))</f>
        <v/>
      </c>
      <c r="B259">
        <f>IF($W259="","",IF(INDEX('Per Invoice'!B$2:B$801,$W259)="","",INDEX('Per Invoice'!B$2:B$801,$W259)))</f>
        <v/>
      </c>
      <c r="C259">
        <f>IF($W259="","",IF(INDEX('Per Invoice'!C$2:C$801,$W259)="","",INDEX('Per Invoice'!C$2:C$801,$W259)))</f>
        <v/>
      </c>
      <c r="D259">
        <f>IF($W259="","",IF(INDEX('Per Invoice'!D$2:D$801,$W259)="","",INDEX('Per Invoice'!D$2:D$801,$W259)))</f>
        <v/>
      </c>
      <c r="E259">
        <f>IF($W259="","",IF(INDEX('Per Invoice'!E$2:E$801,$W259)="","",INDEX('Per Invoice'!E$2:E$801,$W259)))</f>
        <v/>
      </c>
      <c r="F259">
        <f>IF($W259="","",IF(INDEX('Per Invoice'!F$2:F$801,$W259)="","",INDEX('Per Invoice'!F$2:F$801,$W259)))</f>
        <v/>
      </c>
      <c r="G259">
        <f>IF($W259="","",IF(INDEX('Per Invoice'!G$2:G$801,$W259)="","",INDEX('Per Invoice'!G$2:G$801,$W259)))</f>
        <v/>
      </c>
      <c r="H259">
        <f>IF($W259="","",IF(INDEX('Per Invoice'!H$2:H$801,$W259)="","",INDEX('Per Invoice'!H$2:H$801,$W259)))</f>
        <v/>
      </c>
      <c r="I259">
        <f>IF($W259="","",IF(INDEX('Per Invoice'!I$2:I$801,$W259)="","",INDEX('Per Invoice'!I$2:I$801,$W259)))</f>
        <v/>
      </c>
      <c r="J259">
        <f>IF($W259="","",IF(INDEX('Per Invoice'!J$2:J$801,$W259)="","",INDEX('Per Invoice'!J$2:J$801,$W259)))</f>
        <v/>
      </c>
      <c r="K259" s="7">
        <f>IF($W259="","",IF(INDEX('Per Invoice'!K$2:K$801,$W259)="","",INDEX('Per Invoice'!K$2:K$801,$W259)))</f>
        <v/>
      </c>
      <c r="L259" s="14">
        <f>IF($W259="","",IF(INDEX('Per Invoice'!L$2:L$801,$W259)="","",INDEX('Per Invoice'!L$2:L$801,$W259)))</f>
        <v/>
      </c>
      <c r="M259">
        <f>IF($W259="","",IF(INDEX('Per Invoice'!M$2:M$801,$W259)="","",INDEX('Per Invoice'!M$2:M$801,$W259)))</f>
        <v/>
      </c>
      <c r="N259" s="7">
        <f>IF($W259="","",IF(INDEX('Per Invoice'!N$2:N$801,$W259)="","",INDEX('Per Invoice'!N$2:N$801,$W259)))</f>
        <v/>
      </c>
      <c r="O259" s="7">
        <f>IF($W259="","",IF(INDEX('Per Invoice'!O$2:O$801,$W259)="","",INDEX('Per Invoice'!O$2:O$801,$W259)))</f>
        <v/>
      </c>
      <c r="P259">
        <f>IF($W259="","",IF(INDEX('Per Invoice'!P$2:P$801,$W259)="","",INDEX('Per Invoice'!P$2:P$801,$W259)))</f>
        <v/>
      </c>
      <c r="Q259" s="7">
        <f>IF($W259="","",IF(INDEX('Per Invoice'!Q$2:Q$801,$W259)="","",INDEX('Per Invoice'!Q$2:Q$801,$W259)))</f>
        <v/>
      </c>
      <c r="R259" s="7">
        <f>IF($W259="","",IF(INDEX('Per Invoice'!R$2:R$801,$W259)="","",INDEX('Per Invoice'!R$2:R$801,$W259)))</f>
        <v/>
      </c>
      <c r="S259" s="7">
        <f>IF($W259="","",IF(INDEX('Per Invoice'!S$2:S$801,$W259)="","",INDEX('Per Invoice'!S$2:S$801,$W259)))</f>
        <v/>
      </c>
      <c r="T259" s="7">
        <f>IF($W259="","",IF(INDEX('Per Invoice'!T$2:T$801,$W259)="","",INDEX('Per Invoice'!T$2:T$801,$W259)))</f>
        <v/>
      </c>
      <c r="U259" s="7">
        <f>IF($W259="","",IF(INDEX('Per Invoice'!U$2:U$801,$W259)="","",INDEX('Per Invoice'!U$2:U$801,$W259)))</f>
        <v/>
      </c>
      <c r="V259" s="7">
        <f>IF($W259="","",IF(INDEX('Per Invoice'!V$2:V$801,$W259)="","",INDEX('Per Invoice'!V$2:V$801,$W259)))</f>
        <v/>
      </c>
      <c r="W259" s="16">
        <f>IFERROR(MATCH(Settings!$C$29&amp;"|"&amp;ROWS($W$2:$W259),'Per Invoice'!$X$2:$X$801,0),"")</f>
        <v/>
      </c>
    </row>
    <row r="260">
      <c r="A260">
        <f>IF($W260="","",IF(INDEX('Per Invoice'!A$2:A$801,$W260)="","",INDEX('Per Invoice'!A$2:A$801,$W260)))</f>
        <v/>
      </c>
      <c r="B260">
        <f>IF($W260="","",IF(INDEX('Per Invoice'!B$2:B$801,$W260)="","",INDEX('Per Invoice'!B$2:B$801,$W260)))</f>
        <v/>
      </c>
      <c r="C260">
        <f>IF($W260="","",IF(INDEX('Per Invoice'!C$2:C$801,$W260)="","",INDEX('Per Invoice'!C$2:C$801,$W260)))</f>
        <v/>
      </c>
      <c r="D260">
        <f>IF($W260="","",IF(INDEX('Per Invoice'!D$2:D$801,$W260)="","",INDEX('Per Invoice'!D$2:D$801,$W260)))</f>
        <v/>
      </c>
      <c r="E260">
        <f>IF($W260="","",IF(INDEX('Per Invoice'!E$2:E$801,$W260)="","",INDEX('Per Invoice'!E$2:E$801,$W260)))</f>
        <v/>
      </c>
      <c r="F260">
        <f>IF($W260="","",IF(INDEX('Per Invoice'!F$2:F$801,$W260)="","",INDEX('Per Invoice'!F$2:F$801,$W260)))</f>
        <v/>
      </c>
      <c r="G260">
        <f>IF($W260="","",IF(INDEX('Per Invoice'!G$2:G$801,$W260)="","",INDEX('Per Invoice'!G$2:G$801,$W260)))</f>
        <v/>
      </c>
      <c r="H260">
        <f>IF($W260="","",IF(INDEX('Per Invoice'!H$2:H$801,$W260)="","",INDEX('Per Invoice'!H$2:H$801,$W260)))</f>
        <v/>
      </c>
      <c r="I260">
        <f>IF($W260="","",IF(INDEX('Per Invoice'!I$2:I$801,$W260)="","",INDEX('Per Invoice'!I$2:I$801,$W260)))</f>
        <v/>
      </c>
      <c r="J260">
        <f>IF($W260="","",IF(INDEX('Per Invoice'!J$2:J$801,$W260)="","",INDEX('Per Invoice'!J$2:J$801,$W260)))</f>
        <v/>
      </c>
      <c r="K260" s="7">
        <f>IF($W260="","",IF(INDEX('Per Invoice'!K$2:K$801,$W260)="","",INDEX('Per Invoice'!K$2:K$801,$W260)))</f>
        <v/>
      </c>
      <c r="L260" s="14">
        <f>IF($W260="","",IF(INDEX('Per Invoice'!L$2:L$801,$W260)="","",INDEX('Per Invoice'!L$2:L$801,$W260)))</f>
        <v/>
      </c>
      <c r="M260">
        <f>IF($W260="","",IF(INDEX('Per Invoice'!M$2:M$801,$W260)="","",INDEX('Per Invoice'!M$2:M$801,$W260)))</f>
        <v/>
      </c>
      <c r="N260" s="7">
        <f>IF($W260="","",IF(INDEX('Per Invoice'!N$2:N$801,$W260)="","",INDEX('Per Invoice'!N$2:N$801,$W260)))</f>
        <v/>
      </c>
      <c r="O260" s="7">
        <f>IF($W260="","",IF(INDEX('Per Invoice'!O$2:O$801,$W260)="","",INDEX('Per Invoice'!O$2:O$801,$W260)))</f>
        <v/>
      </c>
      <c r="P260">
        <f>IF($W260="","",IF(INDEX('Per Invoice'!P$2:P$801,$W260)="","",INDEX('Per Invoice'!P$2:P$801,$W260)))</f>
        <v/>
      </c>
      <c r="Q260" s="7">
        <f>IF($W260="","",IF(INDEX('Per Invoice'!Q$2:Q$801,$W260)="","",INDEX('Per Invoice'!Q$2:Q$801,$W260)))</f>
        <v/>
      </c>
      <c r="R260" s="7">
        <f>IF($W260="","",IF(INDEX('Per Invoice'!R$2:R$801,$W260)="","",INDEX('Per Invoice'!R$2:R$801,$W260)))</f>
        <v/>
      </c>
      <c r="S260" s="7">
        <f>IF($W260="","",IF(INDEX('Per Invoice'!S$2:S$801,$W260)="","",INDEX('Per Invoice'!S$2:S$801,$W260)))</f>
        <v/>
      </c>
      <c r="T260" s="7">
        <f>IF($W260="","",IF(INDEX('Per Invoice'!T$2:T$801,$W260)="","",INDEX('Per Invoice'!T$2:T$801,$W260)))</f>
        <v/>
      </c>
      <c r="U260" s="7">
        <f>IF($W260="","",IF(INDEX('Per Invoice'!U$2:U$801,$W260)="","",INDEX('Per Invoice'!U$2:U$801,$W260)))</f>
        <v/>
      </c>
      <c r="V260" s="7">
        <f>IF($W260="","",IF(INDEX('Per Invoice'!V$2:V$801,$W260)="","",INDEX('Per Invoice'!V$2:V$801,$W260)))</f>
        <v/>
      </c>
      <c r="W260" s="16">
        <f>IFERROR(MATCH(Settings!$C$29&amp;"|"&amp;ROWS($W$2:$W260),'Per Invoice'!$X$2:$X$801,0),"")</f>
        <v/>
      </c>
    </row>
    <row r="261">
      <c r="A261">
        <f>IF($W261="","",IF(INDEX('Per Invoice'!A$2:A$801,$W261)="","",INDEX('Per Invoice'!A$2:A$801,$W261)))</f>
        <v/>
      </c>
      <c r="B261">
        <f>IF($W261="","",IF(INDEX('Per Invoice'!B$2:B$801,$W261)="","",INDEX('Per Invoice'!B$2:B$801,$W261)))</f>
        <v/>
      </c>
      <c r="C261">
        <f>IF($W261="","",IF(INDEX('Per Invoice'!C$2:C$801,$W261)="","",INDEX('Per Invoice'!C$2:C$801,$W261)))</f>
        <v/>
      </c>
      <c r="D261">
        <f>IF($W261="","",IF(INDEX('Per Invoice'!D$2:D$801,$W261)="","",INDEX('Per Invoice'!D$2:D$801,$W261)))</f>
        <v/>
      </c>
      <c r="E261">
        <f>IF($W261="","",IF(INDEX('Per Invoice'!E$2:E$801,$W261)="","",INDEX('Per Invoice'!E$2:E$801,$W261)))</f>
        <v/>
      </c>
      <c r="F261">
        <f>IF($W261="","",IF(INDEX('Per Invoice'!F$2:F$801,$W261)="","",INDEX('Per Invoice'!F$2:F$801,$W261)))</f>
        <v/>
      </c>
      <c r="G261">
        <f>IF($W261="","",IF(INDEX('Per Invoice'!G$2:G$801,$W261)="","",INDEX('Per Invoice'!G$2:G$801,$W261)))</f>
        <v/>
      </c>
      <c r="H261">
        <f>IF($W261="","",IF(INDEX('Per Invoice'!H$2:H$801,$W261)="","",INDEX('Per Invoice'!H$2:H$801,$W261)))</f>
        <v/>
      </c>
      <c r="I261">
        <f>IF($W261="","",IF(INDEX('Per Invoice'!I$2:I$801,$W261)="","",INDEX('Per Invoice'!I$2:I$801,$W261)))</f>
        <v/>
      </c>
      <c r="J261">
        <f>IF($W261="","",IF(INDEX('Per Invoice'!J$2:J$801,$W261)="","",INDEX('Per Invoice'!J$2:J$801,$W261)))</f>
        <v/>
      </c>
      <c r="K261" s="7">
        <f>IF($W261="","",IF(INDEX('Per Invoice'!K$2:K$801,$W261)="","",INDEX('Per Invoice'!K$2:K$801,$W261)))</f>
        <v/>
      </c>
      <c r="L261" s="14">
        <f>IF($W261="","",IF(INDEX('Per Invoice'!L$2:L$801,$W261)="","",INDEX('Per Invoice'!L$2:L$801,$W261)))</f>
        <v/>
      </c>
      <c r="M261">
        <f>IF($W261="","",IF(INDEX('Per Invoice'!M$2:M$801,$W261)="","",INDEX('Per Invoice'!M$2:M$801,$W261)))</f>
        <v/>
      </c>
      <c r="N261" s="7">
        <f>IF($W261="","",IF(INDEX('Per Invoice'!N$2:N$801,$W261)="","",INDEX('Per Invoice'!N$2:N$801,$W261)))</f>
        <v/>
      </c>
      <c r="O261" s="7">
        <f>IF($W261="","",IF(INDEX('Per Invoice'!O$2:O$801,$W261)="","",INDEX('Per Invoice'!O$2:O$801,$W261)))</f>
        <v/>
      </c>
      <c r="P261">
        <f>IF($W261="","",IF(INDEX('Per Invoice'!P$2:P$801,$W261)="","",INDEX('Per Invoice'!P$2:P$801,$W261)))</f>
        <v/>
      </c>
      <c r="Q261" s="7">
        <f>IF($W261="","",IF(INDEX('Per Invoice'!Q$2:Q$801,$W261)="","",INDEX('Per Invoice'!Q$2:Q$801,$W261)))</f>
        <v/>
      </c>
      <c r="R261" s="7">
        <f>IF($W261="","",IF(INDEX('Per Invoice'!R$2:R$801,$W261)="","",INDEX('Per Invoice'!R$2:R$801,$W261)))</f>
        <v/>
      </c>
      <c r="S261" s="7">
        <f>IF($W261="","",IF(INDEX('Per Invoice'!S$2:S$801,$W261)="","",INDEX('Per Invoice'!S$2:S$801,$W261)))</f>
        <v/>
      </c>
      <c r="T261" s="7">
        <f>IF($W261="","",IF(INDEX('Per Invoice'!T$2:T$801,$W261)="","",INDEX('Per Invoice'!T$2:T$801,$W261)))</f>
        <v/>
      </c>
      <c r="U261" s="7">
        <f>IF($W261="","",IF(INDEX('Per Invoice'!U$2:U$801,$W261)="","",INDEX('Per Invoice'!U$2:U$801,$W261)))</f>
        <v/>
      </c>
      <c r="V261" s="7">
        <f>IF($W261="","",IF(INDEX('Per Invoice'!V$2:V$801,$W261)="","",INDEX('Per Invoice'!V$2:V$801,$W261)))</f>
        <v/>
      </c>
      <c r="W261" s="16">
        <f>IFERROR(MATCH(Settings!$C$29&amp;"|"&amp;ROWS($W$2:$W261),'Per Invoice'!$X$2:$X$801,0),"")</f>
        <v/>
      </c>
    </row>
    <row r="262">
      <c r="A262">
        <f>IF($W262="","",IF(INDEX('Per Invoice'!A$2:A$801,$W262)="","",INDEX('Per Invoice'!A$2:A$801,$W262)))</f>
        <v/>
      </c>
      <c r="B262">
        <f>IF($W262="","",IF(INDEX('Per Invoice'!B$2:B$801,$W262)="","",INDEX('Per Invoice'!B$2:B$801,$W262)))</f>
        <v/>
      </c>
      <c r="C262">
        <f>IF($W262="","",IF(INDEX('Per Invoice'!C$2:C$801,$W262)="","",INDEX('Per Invoice'!C$2:C$801,$W262)))</f>
        <v/>
      </c>
      <c r="D262">
        <f>IF($W262="","",IF(INDEX('Per Invoice'!D$2:D$801,$W262)="","",INDEX('Per Invoice'!D$2:D$801,$W262)))</f>
        <v/>
      </c>
      <c r="E262">
        <f>IF($W262="","",IF(INDEX('Per Invoice'!E$2:E$801,$W262)="","",INDEX('Per Invoice'!E$2:E$801,$W262)))</f>
        <v/>
      </c>
      <c r="F262">
        <f>IF($W262="","",IF(INDEX('Per Invoice'!F$2:F$801,$W262)="","",INDEX('Per Invoice'!F$2:F$801,$W262)))</f>
        <v/>
      </c>
      <c r="G262">
        <f>IF($W262="","",IF(INDEX('Per Invoice'!G$2:G$801,$W262)="","",INDEX('Per Invoice'!G$2:G$801,$W262)))</f>
        <v/>
      </c>
      <c r="H262">
        <f>IF($W262="","",IF(INDEX('Per Invoice'!H$2:H$801,$W262)="","",INDEX('Per Invoice'!H$2:H$801,$W262)))</f>
        <v/>
      </c>
      <c r="I262">
        <f>IF($W262="","",IF(INDEX('Per Invoice'!I$2:I$801,$W262)="","",INDEX('Per Invoice'!I$2:I$801,$W262)))</f>
        <v/>
      </c>
      <c r="J262">
        <f>IF($W262="","",IF(INDEX('Per Invoice'!J$2:J$801,$W262)="","",INDEX('Per Invoice'!J$2:J$801,$W262)))</f>
        <v/>
      </c>
      <c r="K262" s="7">
        <f>IF($W262="","",IF(INDEX('Per Invoice'!K$2:K$801,$W262)="","",INDEX('Per Invoice'!K$2:K$801,$W262)))</f>
        <v/>
      </c>
      <c r="L262" s="14">
        <f>IF($W262="","",IF(INDEX('Per Invoice'!L$2:L$801,$W262)="","",INDEX('Per Invoice'!L$2:L$801,$W262)))</f>
        <v/>
      </c>
      <c r="M262">
        <f>IF($W262="","",IF(INDEX('Per Invoice'!M$2:M$801,$W262)="","",INDEX('Per Invoice'!M$2:M$801,$W262)))</f>
        <v/>
      </c>
      <c r="N262" s="7">
        <f>IF($W262="","",IF(INDEX('Per Invoice'!N$2:N$801,$W262)="","",INDEX('Per Invoice'!N$2:N$801,$W262)))</f>
        <v/>
      </c>
      <c r="O262" s="7">
        <f>IF($W262="","",IF(INDEX('Per Invoice'!O$2:O$801,$W262)="","",INDEX('Per Invoice'!O$2:O$801,$W262)))</f>
        <v/>
      </c>
      <c r="P262">
        <f>IF($W262="","",IF(INDEX('Per Invoice'!P$2:P$801,$W262)="","",INDEX('Per Invoice'!P$2:P$801,$W262)))</f>
        <v/>
      </c>
      <c r="Q262" s="7">
        <f>IF($W262="","",IF(INDEX('Per Invoice'!Q$2:Q$801,$W262)="","",INDEX('Per Invoice'!Q$2:Q$801,$W262)))</f>
        <v/>
      </c>
      <c r="R262" s="7">
        <f>IF($W262="","",IF(INDEX('Per Invoice'!R$2:R$801,$W262)="","",INDEX('Per Invoice'!R$2:R$801,$W262)))</f>
        <v/>
      </c>
      <c r="S262" s="7">
        <f>IF($W262="","",IF(INDEX('Per Invoice'!S$2:S$801,$W262)="","",INDEX('Per Invoice'!S$2:S$801,$W262)))</f>
        <v/>
      </c>
      <c r="T262" s="7">
        <f>IF($W262="","",IF(INDEX('Per Invoice'!T$2:T$801,$W262)="","",INDEX('Per Invoice'!T$2:T$801,$W262)))</f>
        <v/>
      </c>
      <c r="U262" s="7">
        <f>IF($W262="","",IF(INDEX('Per Invoice'!U$2:U$801,$W262)="","",INDEX('Per Invoice'!U$2:U$801,$W262)))</f>
        <v/>
      </c>
      <c r="V262" s="7">
        <f>IF($W262="","",IF(INDEX('Per Invoice'!V$2:V$801,$W262)="","",INDEX('Per Invoice'!V$2:V$801,$W262)))</f>
        <v/>
      </c>
      <c r="W262" s="16">
        <f>IFERROR(MATCH(Settings!$C$29&amp;"|"&amp;ROWS($W$2:$W262),'Per Invoice'!$X$2:$X$801,0),"")</f>
        <v/>
      </c>
    </row>
    <row r="263">
      <c r="A263">
        <f>IF($W263="","",IF(INDEX('Per Invoice'!A$2:A$801,$W263)="","",INDEX('Per Invoice'!A$2:A$801,$W263)))</f>
        <v/>
      </c>
      <c r="B263">
        <f>IF($W263="","",IF(INDEX('Per Invoice'!B$2:B$801,$W263)="","",INDEX('Per Invoice'!B$2:B$801,$W263)))</f>
        <v/>
      </c>
      <c r="C263">
        <f>IF($W263="","",IF(INDEX('Per Invoice'!C$2:C$801,$W263)="","",INDEX('Per Invoice'!C$2:C$801,$W263)))</f>
        <v/>
      </c>
      <c r="D263">
        <f>IF($W263="","",IF(INDEX('Per Invoice'!D$2:D$801,$W263)="","",INDEX('Per Invoice'!D$2:D$801,$W263)))</f>
        <v/>
      </c>
      <c r="E263">
        <f>IF($W263="","",IF(INDEX('Per Invoice'!E$2:E$801,$W263)="","",INDEX('Per Invoice'!E$2:E$801,$W263)))</f>
        <v/>
      </c>
      <c r="F263">
        <f>IF($W263="","",IF(INDEX('Per Invoice'!F$2:F$801,$W263)="","",INDEX('Per Invoice'!F$2:F$801,$W263)))</f>
        <v/>
      </c>
      <c r="G263">
        <f>IF($W263="","",IF(INDEX('Per Invoice'!G$2:G$801,$W263)="","",INDEX('Per Invoice'!G$2:G$801,$W263)))</f>
        <v/>
      </c>
      <c r="H263">
        <f>IF($W263="","",IF(INDEX('Per Invoice'!H$2:H$801,$W263)="","",INDEX('Per Invoice'!H$2:H$801,$W263)))</f>
        <v/>
      </c>
      <c r="I263">
        <f>IF($W263="","",IF(INDEX('Per Invoice'!I$2:I$801,$W263)="","",INDEX('Per Invoice'!I$2:I$801,$W263)))</f>
        <v/>
      </c>
      <c r="J263">
        <f>IF($W263="","",IF(INDEX('Per Invoice'!J$2:J$801,$W263)="","",INDEX('Per Invoice'!J$2:J$801,$W263)))</f>
        <v/>
      </c>
      <c r="K263" s="7">
        <f>IF($W263="","",IF(INDEX('Per Invoice'!K$2:K$801,$W263)="","",INDEX('Per Invoice'!K$2:K$801,$W263)))</f>
        <v/>
      </c>
      <c r="L263" s="14">
        <f>IF($W263="","",IF(INDEX('Per Invoice'!L$2:L$801,$W263)="","",INDEX('Per Invoice'!L$2:L$801,$W263)))</f>
        <v/>
      </c>
      <c r="M263">
        <f>IF($W263="","",IF(INDEX('Per Invoice'!M$2:M$801,$W263)="","",INDEX('Per Invoice'!M$2:M$801,$W263)))</f>
        <v/>
      </c>
      <c r="N263" s="7">
        <f>IF($W263="","",IF(INDEX('Per Invoice'!N$2:N$801,$W263)="","",INDEX('Per Invoice'!N$2:N$801,$W263)))</f>
        <v/>
      </c>
      <c r="O263" s="7">
        <f>IF($W263="","",IF(INDEX('Per Invoice'!O$2:O$801,$W263)="","",INDEX('Per Invoice'!O$2:O$801,$W263)))</f>
        <v/>
      </c>
      <c r="P263">
        <f>IF($W263="","",IF(INDEX('Per Invoice'!P$2:P$801,$W263)="","",INDEX('Per Invoice'!P$2:P$801,$W263)))</f>
        <v/>
      </c>
      <c r="Q263" s="7">
        <f>IF($W263="","",IF(INDEX('Per Invoice'!Q$2:Q$801,$W263)="","",INDEX('Per Invoice'!Q$2:Q$801,$W263)))</f>
        <v/>
      </c>
      <c r="R263" s="7">
        <f>IF($W263="","",IF(INDEX('Per Invoice'!R$2:R$801,$W263)="","",INDEX('Per Invoice'!R$2:R$801,$W263)))</f>
        <v/>
      </c>
      <c r="S263" s="7">
        <f>IF($W263="","",IF(INDEX('Per Invoice'!S$2:S$801,$W263)="","",INDEX('Per Invoice'!S$2:S$801,$W263)))</f>
        <v/>
      </c>
      <c r="T263" s="7">
        <f>IF($W263="","",IF(INDEX('Per Invoice'!T$2:T$801,$W263)="","",INDEX('Per Invoice'!T$2:T$801,$W263)))</f>
        <v/>
      </c>
      <c r="U263" s="7">
        <f>IF($W263="","",IF(INDEX('Per Invoice'!U$2:U$801,$W263)="","",INDEX('Per Invoice'!U$2:U$801,$W263)))</f>
        <v/>
      </c>
      <c r="V263" s="7">
        <f>IF($W263="","",IF(INDEX('Per Invoice'!V$2:V$801,$W263)="","",INDEX('Per Invoice'!V$2:V$801,$W263)))</f>
        <v/>
      </c>
      <c r="W263" s="16">
        <f>IFERROR(MATCH(Settings!$C$29&amp;"|"&amp;ROWS($W$2:$W263),'Per Invoice'!$X$2:$X$801,0),"")</f>
        <v/>
      </c>
    </row>
    <row r="264">
      <c r="A264">
        <f>IF($W264="","",IF(INDEX('Per Invoice'!A$2:A$801,$W264)="","",INDEX('Per Invoice'!A$2:A$801,$W264)))</f>
        <v/>
      </c>
      <c r="B264">
        <f>IF($W264="","",IF(INDEX('Per Invoice'!B$2:B$801,$W264)="","",INDEX('Per Invoice'!B$2:B$801,$W264)))</f>
        <v/>
      </c>
      <c r="C264">
        <f>IF($W264="","",IF(INDEX('Per Invoice'!C$2:C$801,$W264)="","",INDEX('Per Invoice'!C$2:C$801,$W264)))</f>
        <v/>
      </c>
      <c r="D264">
        <f>IF($W264="","",IF(INDEX('Per Invoice'!D$2:D$801,$W264)="","",INDEX('Per Invoice'!D$2:D$801,$W264)))</f>
        <v/>
      </c>
      <c r="E264">
        <f>IF($W264="","",IF(INDEX('Per Invoice'!E$2:E$801,$W264)="","",INDEX('Per Invoice'!E$2:E$801,$W264)))</f>
        <v/>
      </c>
      <c r="F264">
        <f>IF($W264="","",IF(INDEX('Per Invoice'!F$2:F$801,$W264)="","",INDEX('Per Invoice'!F$2:F$801,$W264)))</f>
        <v/>
      </c>
      <c r="G264">
        <f>IF($W264="","",IF(INDEX('Per Invoice'!G$2:G$801,$W264)="","",INDEX('Per Invoice'!G$2:G$801,$W264)))</f>
        <v/>
      </c>
      <c r="H264">
        <f>IF($W264="","",IF(INDEX('Per Invoice'!H$2:H$801,$W264)="","",INDEX('Per Invoice'!H$2:H$801,$W264)))</f>
        <v/>
      </c>
      <c r="I264">
        <f>IF($W264="","",IF(INDEX('Per Invoice'!I$2:I$801,$W264)="","",INDEX('Per Invoice'!I$2:I$801,$W264)))</f>
        <v/>
      </c>
      <c r="J264">
        <f>IF($W264="","",IF(INDEX('Per Invoice'!J$2:J$801,$W264)="","",INDEX('Per Invoice'!J$2:J$801,$W264)))</f>
        <v/>
      </c>
      <c r="K264" s="7">
        <f>IF($W264="","",IF(INDEX('Per Invoice'!K$2:K$801,$W264)="","",INDEX('Per Invoice'!K$2:K$801,$W264)))</f>
        <v/>
      </c>
      <c r="L264" s="14">
        <f>IF($W264="","",IF(INDEX('Per Invoice'!L$2:L$801,$W264)="","",INDEX('Per Invoice'!L$2:L$801,$W264)))</f>
        <v/>
      </c>
      <c r="M264">
        <f>IF($W264="","",IF(INDEX('Per Invoice'!M$2:M$801,$W264)="","",INDEX('Per Invoice'!M$2:M$801,$W264)))</f>
        <v/>
      </c>
      <c r="N264" s="7">
        <f>IF($W264="","",IF(INDEX('Per Invoice'!N$2:N$801,$W264)="","",INDEX('Per Invoice'!N$2:N$801,$W264)))</f>
        <v/>
      </c>
      <c r="O264" s="7">
        <f>IF($W264="","",IF(INDEX('Per Invoice'!O$2:O$801,$W264)="","",INDEX('Per Invoice'!O$2:O$801,$W264)))</f>
        <v/>
      </c>
      <c r="P264">
        <f>IF($W264="","",IF(INDEX('Per Invoice'!P$2:P$801,$W264)="","",INDEX('Per Invoice'!P$2:P$801,$W264)))</f>
        <v/>
      </c>
      <c r="Q264" s="7">
        <f>IF($W264="","",IF(INDEX('Per Invoice'!Q$2:Q$801,$W264)="","",INDEX('Per Invoice'!Q$2:Q$801,$W264)))</f>
        <v/>
      </c>
      <c r="R264" s="7">
        <f>IF($W264="","",IF(INDEX('Per Invoice'!R$2:R$801,$W264)="","",INDEX('Per Invoice'!R$2:R$801,$W264)))</f>
        <v/>
      </c>
      <c r="S264" s="7">
        <f>IF($W264="","",IF(INDEX('Per Invoice'!S$2:S$801,$W264)="","",INDEX('Per Invoice'!S$2:S$801,$W264)))</f>
        <v/>
      </c>
      <c r="T264" s="7">
        <f>IF($W264="","",IF(INDEX('Per Invoice'!T$2:T$801,$W264)="","",INDEX('Per Invoice'!T$2:T$801,$W264)))</f>
        <v/>
      </c>
      <c r="U264" s="7">
        <f>IF($W264="","",IF(INDEX('Per Invoice'!U$2:U$801,$W264)="","",INDEX('Per Invoice'!U$2:U$801,$W264)))</f>
        <v/>
      </c>
      <c r="V264" s="7">
        <f>IF($W264="","",IF(INDEX('Per Invoice'!V$2:V$801,$W264)="","",INDEX('Per Invoice'!V$2:V$801,$W264)))</f>
        <v/>
      </c>
      <c r="W264" s="16">
        <f>IFERROR(MATCH(Settings!$C$29&amp;"|"&amp;ROWS($W$2:$W264),'Per Invoice'!$X$2:$X$801,0),"")</f>
        <v/>
      </c>
    </row>
    <row r="265">
      <c r="A265">
        <f>IF($W265="","",IF(INDEX('Per Invoice'!A$2:A$801,$W265)="","",INDEX('Per Invoice'!A$2:A$801,$W265)))</f>
        <v/>
      </c>
      <c r="B265">
        <f>IF($W265="","",IF(INDEX('Per Invoice'!B$2:B$801,$W265)="","",INDEX('Per Invoice'!B$2:B$801,$W265)))</f>
        <v/>
      </c>
      <c r="C265">
        <f>IF($W265="","",IF(INDEX('Per Invoice'!C$2:C$801,$W265)="","",INDEX('Per Invoice'!C$2:C$801,$W265)))</f>
        <v/>
      </c>
      <c r="D265">
        <f>IF($W265="","",IF(INDEX('Per Invoice'!D$2:D$801,$W265)="","",INDEX('Per Invoice'!D$2:D$801,$W265)))</f>
        <v/>
      </c>
      <c r="E265">
        <f>IF($W265="","",IF(INDEX('Per Invoice'!E$2:E$801,$W265)="","",INDEX('Per Invoice'!E$2:E$801,$W265)))</f>
        <v/>
      </c>
      <c r="F265">
        <f>IF($W265="","",IF(INDEX('Per Invoice'!F$2:F$801,$W265)="","",INDEX('Per Invoice'!F$2:F$801,$W265)))</f>
        <v/>
      </c>
      <c r="G265">
        <f>IF($W265="","",IF(INDEX('Per Invoice'!G$2:G$801,$W265)="","",INDEX('Per Invoice'!G$2:G$801,$W265)))</f>
        <v/>
      </c>
      <c r="H265">
        <f>IF($W265="","",IF(INDEX('Per Invoice'!H$2:H$801,$W265)="","",INDEX('Per Invoice'!H$2:H$801,$W265)))</f>
        <v/>
      </c>
      <c r="I265">
        <f>IF($W265="","",IF(INDEX('Per Invoice'!I$2:I$801,$W265)="","",INDEX('Per Invoice'!I$2:I$801,$W265)))</f>
        <v/>
      </c>
      <c r="J265">
        <f>IF($W265="","",IF(INDEX('Per Invoice'!J$2:J$801,$W265)="","",INDEX('Per Invoice'!J$2:J$801,$W265)))</f>
        <v/>
      </c>
      <c r="K265" s="7">
        <f>IF($W265="","",IF(INDEX('Per Invoice'!K$2:K$801,$W265)="","",INDEX('Per Invoice'!K$2:K$801,$W265)))</f>
        <v/>
      </c>
      <c r="L265" s="14">
        <f>IF($W265="","",IF(INDEX('Per Invoice'!L$2:L$801,$W265)="","",INDEX('Per Invoice'!L$2:L$801,$W265)))</f>
        <v/>
      </c>
      <c r="M265">
        <f>IF($W265="","",IF(INDEX('Per Invoice'!M$2:M$801,$W265)="","",INDEX('Per Invoice'!M$2:M$801,$W265)))</f>
        <v/>
      </c>
      <c r="N265" s="7">
        <f>IF($W265="","",IF(INDEX('Per Invoice'!N$2:N$801,$W265)="","",INDEX('Per Invoice'!N$2:N$801,$W265)))</f>
        <v/>
      </c>
      <c r="O265" s="7">
        <f>IF($W265="","",IF(INDEX('Per Invoice'!O$2:O$801,$W265)="","",INDEX('Per Invoice'!O$2:O$801,$W265)))</f>
        <v/>
      </c>
      <c r="P265">
        <f>IF($W265="","",IF(INDEX('Per Invoice'!P$2:P$801,$W265)="","",INDEX('Per Invoice'!P$2:P$801,$W265)))</f>
        <v/>
      </c>
      <c r="Q265" s="7">
        <f>IF($W265="","",IF(INDEX('Per Invoice'!Q$2:Q$801,$W265)="","",INDEX('Per Invoice'!Q$2:Q$801,$W265)))</f>
        <v/>
      </c>
      <c r="R265" s="7">
        <f>IF($W265="","",IF(INDEX('Per Invoice'!R$2:R$801,$W265)="","",INDEX('Per Invoice'!R$2:R$801,$W265)))</f>
        <v/>
      </c>
      <c r="S265" s="7">
        <f>IF($W265="","",IF(INDEX('Per Invoice'!S$2:S$801,$W265)="","",INDEX('Per Invoice'!S$2:S$801,$W265)))</f>
        <v/>
      </c>
      <c r="T265" s="7">
        <f>IF($W265="","",IF(INDEX('Per Invoice'!T$2:T$801,$W265)="","",INDEX('Per Invoice'!T$2:T$801,$W265)))</f>
        <v/>
      </c>
      <c r="U265" s="7">
        <f>IF($W265="","",IF(INDEX('Per Invoice'!U$2:U$801,$W265)="","",INDEX('Per Invoice'!U$2:U$801,$W265)))</f>
        <v/>
      </c>
      <c r="V265" s="7">
        <f>IF($W265="","",IF(INDEX('Per Invoice'!V$2:V$801,$W265)="","",INDEX('Per Invoice'!V$2:V$801,$W265)))</f>
        <v/>
      </c>
      <c r="W265" s="16">
        <f>IFERROR(MATCH(Settings!$C$29&amp;"|"&amp;ROWS($W$2:$W265),'Per Invoice'!$X$2:$X$801,0),"")</f>
        <v/>
      </c>
    </row>
    <row r="266">
      <c r="A266">
        <f>IF($W266="","",IF(INDEX('Per Invoice'!A$2:A$801,$W266)="","",INDEX('Per Invoice'!A$2:A$801,$W266)))</f>
        <v/>
      </c>
      <c r="B266">
        <f>IF($W266="","",IF(INDEX('Per Invoice'!B$2:B$801,$W266)="","",INDEX('Per Invoice'!B$2:B$801,$W266)))</f>
        <v/>
      </c>
      <c r="C266">
        <f>IF($W266="","",IF(INDEX('Per Invoice'!C$2:C$801,$W266)="","",INDEX('Per Invoice'!C$2:C$801,$W266)))</f>
        <v/>
      </c>
      <c r="D266">
        <f>IF($W266="","",IF(INDEX('Per Invoice'!D$2:D$801,$W266)="","",INDEX('Per Invoice'!D$2:D$801,$W266)))</f>
        <v/>
      </c>
      <c r="E266">
        <f>IF($W266="","",IF(INDEX('Per Invoice'!E$2:E$801,$W266)="","",INDEX('Per Invoice'!E$2:E$801,$W266)))</f>
        <v/>
      </c>
      <c r="F266">
        <f>IF($W266="","",IF(INDEX('Per Invoice'!F$2:F$801,$W266)="","",INDEX('Per Invoice'!F$2:F$801,$W266)))</f>
        <v/>
      </c>
      <c r="G266">
        <f>IF($W266="","",IF(INDEX('Per Invoice'!G$2:G$801,$W266)="","",INDEX('Per Invoice'!G$2:G$801,$W266)))</f>
        <v/>
      </c>
      <c r="H266">
        <f>IF($W266="","",IF(INDEX('Per Invoice'!H$2:H$801,$W266)="","",INDEX('Per Invoice'!H$2:H$801,$W266)))</f>
        <v/>
      </c>
      <c r="I266">
        <f>IF($W266="","",IF(INDEX('Per Invoice'!I$2:I$801,$W266)="","",INDEX('Per Invoice'!I$2:I$801,$W266)))</f>
        <v/>
      </c>
      <c r="J266">
        <f>IF($W266="","",IF(INDEX('Per Invoice'!J$2:J$801,$W266)="","",INDEX('Per Invoice'!J$2:J$801,$W266)))</f>
        <v/>
      </c>
      <c r="K266" s="7">
        <f>IF($W266="","",IF(INDEX('Per Invoice'!K$2:K$801,$W266)="","",INDEX('Per Invoice'!K$2:K$801,$W266)))</f>
        <v/>
      </c>
      <c r="L266" s="14">
        <f>IF($W266="","",IF(INDEX('Per Invoice'!L$2:L$801,$W266)="","",INDEX('Per Invoice'!L$2:L$801,$W266)))</f>
        <v/>
      </c>
      <c r="M266">
        <f>IF($W266="","",IF(INDEX('Per Invoice'!M$2:M$801,$W266)="","",INDEX('Per Invoice'!M$2:M$801,$W266)))</f>
        <v/>
      </c>
      <c r="N266" s="7">
        <f>IF($W266="","",IF(INDEX('Per Invoice'!N$2:N$801,$W266)="","",INDEX('Per Invoice'!N$2:N$801,$W266)))</f>
        <v/>
      </c>
      <c r="O266" s="7">
        <f>IF($W266="","",IF(INDEX('Per Invoice'!O$2:O$801,$W266)="","",INDEX('Per Invoice'!O$2:O$801,$W266)))</f>
        <v/>
      </c>
      <c r="P266">
        <f>IF($W266="","",IF(INDEX('Per Invoice'!P$2:P$801,$W266)="","",INDEX('Per Invoice'!P$2:P$801,$W266)))</f>
        <v/>
      </c>
      <c r="Q266" s="7">
        <f>IF($W266="","",IF(INDEX('Per Invoice'!Q$2:Q$801,$W266)="","",INDEX('Per Invoice'!Q$2:Q$801,$W266)))</f>
        <v/>
      </c>
      <c r="R266" s="7">
        <f>IF($W266="","",IF(INDEX('Per Invoice'!R$2:R$801,$W266)="","",INDEX('Per Invoice'!R$2:R$801,$W266)))</f>
        <v/>
      </c>
      <c r="S266" s="7">
        <f>IF($W266="","",IF(INDEX('Per Invoice'!S$2:S$801,$W266)="","",INDEX('Per Invoice'!S$2:S$801,$W266)))</f>
        <v/>
      </c>
      <c r="T266" s="7">
        <f>IF($W266="","",IF(INDEX('Per Invoice'!T$2:T$801,$W266)="","",INDEX('Per Invoice'!T$2:T$801,$W266)))</f>
        <v/>
      </c>
      <c r="U266" s="7">
        <f>IF($W266="","",IF(INDEX('Per Invoice'!U$2:U$801,$W266)="","",INDEX('Per Invoice'!U$2:U$801,$W266)))</f>
        <v/>
      </c>
      <c r="V266" s="7">
        <f>IF($W266="","",IF(INDEX('Per Invoice'!V$2:V$801,$W266)="","",INDEX('Per Invoice'!V$2:V$801,$W266)))</f>
        <v/>
      </c>
      <c r="W266" s="16">
        <f>IFERROR(MATCH(Settings!$C$29&amp;"|"&amp;ROWS($W$2:$W266),'Per Invoice'!$X$2:$X$801,0),"")</f>
        <v/>
      </c>
    </row>
    <row r="267">
      <c r="A267">
        <f>IF($W267="","",IF(INDEX('Per Invoice'!A$2:A$801,$W267)="","",INDEX('Per Invoice'!A$2:A$801,$W267)))</f>
        <v/>
      </c>
      <c r="B267">
        <f>IF($W267="","",IF(INDEX('Per Invoice'!B$2:B$801,$W267)="","",INDEX('Per Invoice'!B$2:B$801,$W267)))</f>
        <v/>
      </c>
      <c r="C267">
        <f>IF($W267="","",IF(INDEX('Per Invoice'!C$2:C$801,$W267)="","",INDEX('Per Invoice'!C$2:C$801,$W267)))</f>
        <v/>
      </c>
      <c r="D267">
        <f>IF($W267="","",IF(INDEX('Per Invoice'!D$2:D$801,$W267)="","",INDEX('Per Invoice'!D$2:D$801,$W267)))</f>
        <v/>
      </c>
      <c r="E267">
        <f>IF($W267="","",IF(INDEX('Per Invoice'!E$2:E$801,$W267)="","",INDEX('Per Invoice'!E$2:E$801,$W267)))</f>
        <v/>
      </c>
      <c r="F267">
        <f>IF($W267="","",IF(INDEX('Per Invoice'!F$2:F$801,$W267)="","",INDEX('Per Invoice'!F$2:F$801,$W267)))</f>
        <v/>
      </c>
      <c r="G267">
        <f>IF($W267="","",IF(INDEX('Per Invoice'!G$2:G$801,$W267)="","",INDEX('Per Invoice'!G$2:G$801,$W267)))</f>
        <v/>
      </c>
      <c r="H267">
        <f>IF($W267="","",IF(INDEX('Per Invoice'!H$2:H$801,$W267)="","",INDEX('Per Invoice'!H$2:H$801,$W267)))</f>
        <v/>
      </c>
      <c r="I267">
        <f>IF($W267="","",IF(INDEX('Per Invoice'!I$2:I$801,$W267)="","",INDEX('Per Invoice'!I$2:I$801,$W267)))</f>
        <v/>
      </c>
      <c r="J267">
        <f>IF($W267="","",IF(INDEX('Per Invoice'!J$2:J$801,$W267)="","",INDEX('Per Invoice'!J$2:J$801,$W267)))</f>
        <v/>
      </c>
      <c r="K267" s="7">
        <f>IF($W267="","",IF(INDEX('Per Invoice'!K$2:K$801,$W267)="","",INDEX('Per Invoice'!K$2:K$801,$W267)))</f>
        <v/>
      </c>
      <c r="L267" s="14">
        <f>IF($W267="","",IF(INDEX('Per Invoice'!L$2:L$801,$W267)="","",INDEX('Per Invoice'!L$2:L$801,$W267)))</f>
        <v/>
      </c>
      <c r="M267">
        <f>IF($W267="","",IF(INDEX('Per Invoice'!M$2:M$801,$W267)="","",INDEX('Per Invoice'!M$2:M$801,$W267)))</f>
        <v/>
      </c>
      <c r="N267" s="7">
        <f>IF($W267="","",IF(INDEX('Per Invoice'!N$2:N$801,$W267)="","",INDEX('Per Invoice'!N$2:N$801,$W267)))</f>
        <v/>
      </c>
      <c r="O267" s="7">
        <f>IF($W267="","",IF(INDEX('Per Invoice'!O$2:O$801,$W267)="","",INDEX('Per Invoice'!O$2:O$801,$W267)))</f>
        <v/>
      </c>
      <c r="P267">
        <f>IF($W267="","",IF(INDEX('Per Invoice'!P$2:P$801,$W267)="","",INDEX('Per Invoice'!P$2:P$801,$W267)))</f>
        <v/>
      </c>
      <c r="Q267" s="7">
        <f>IF($W267="","",IF(INDEX('Per Invoice'!Q$2:Q$801,$W267)="","",INDEX('Per Invoice'!Q$2:Q$801,$W267)))</f>
        <v/>
      </c>
      <c r="R267" s="7">
        <f>IF($W267="","",IF(INDEX('Per Invoice'!R$2:R$801,$W267)="","",INDEX('Per Invoice'!R$2:R$801,$W267)))</f>
        <v/>
      </c>
      <c r="S267" s="7">
        <f>IF($W267="","",IF(INDEX('Per Invoice'!S$2:S$801,$W267)="","",INDEX('Per Invoice'!S$2:S$801,$W267)))</f>
        <v/>
      </c>
      <c r="T267" s="7">
        <f>IF($W267="","",IF(INDEX('Per Invoice'!T$2:T$801,$W267)="","",INDEX('Per Invoice'!T$2:T$801,$W267)))</f>
        <v/>
      </c>
      <c r="U267" s="7">
        <f>IF($W267="","",IF(INDEX('Per Invoice'!U$2:U$801,$W267)="","",INDEX('Per Invoice'!U$2:U$801,$W267)))</f>
        <v/>
      </c>
      <c r="V267" s="7">
        <f>IF($W267="","",IF(INDEX('Per Invoice'!V$2:V$801,$W267)="","",INDEX('Per Invoice'!V$2:V$801,$W267)))</f>
        <v/>
      </c>
      <c r="W267" s="16">
        <f>IFERROR(MATCH(Settings!$C$29&amp;"|"&amp;ROWS($W$2:$W267),'Per Invoice'!$X$2:$X$801,0),"")</f>
        <v/>
      </c>
    </row>
    <row r="268">
      <c r="A268">
        <f>IF($W268="","",IF(INDEX('Per Invoice'!A$2:A$801,$W268)="","",INDEX('Per Invoice'!A$2:A$801,$W268)))</f>
        <v/>
      </c>
      <c r="B268">
        <f>IF($W268="","",IF(INDEX('Per Invoice'!B$2:B$801,$W268)="","",INDEX('Per Invoice'!B$2:B$801,$W268)))</f>
        <v/>
      </c>
      <c r="C268">
        <f>IF($W268="","",IF(INDEX('Per Invoice'!C$2:C$801,$W268)="","",INDEX('Per Invoice'!C$2:C$801,$W268)))</f>
        <v/>
      </c>
      <c r="D268">
        <f>IF($W268="","",IF(INDEX('Per Invoice'!D$2:D$801,$W268)="","",INDEX('Per Invoice'!D$2:D$801,$W268)))</f>
        <v/>
      </c>
      <c r="E268">
        <f>IF($W268="","",IF(INDEX('Per Invoice'!E$2:E$801,$W268)="","",INDEX('Per Invoice'!E$2:E$801,$W268)))</f>
        <v/>
      </c>
      <c r="F268">
        <f>IF($W268="","",IF(INDEX('Per Invoice'!F$2:F$801,$W268)="","",INDEX('Per Invoice'!F$2:F$801,$W268)))</f>
        <v/>
      </c>
      <c r="G268">
        <f>IF($W268="","",IF(INDEX('Per Invoice'!G$2:G$801,$W268)="","",INDEX('Per Invoice'!G$2:G$801,$W268)))</f>
        <v/>
      </c>
      <c r="H268">
        <f>IF($W268="","",IF(INDEX('Per Invoice'!H$2:H$801,$W268)="","",INDEX('Per Invoice'!H$2:H$801,$W268)))</f>
        <v/>
      </c>
      <c r="I268">
        <f>IF($W268="","",IF(INDEX('Per Invoice'!I$2:I$801,$W268)="","",INDEX('Per Invoice'!I$2:I$801,$W268)))</f>
        <v/>
      </c>
      <c r="J268">
        <f>IF($W268="","",IF(INDEX('Per Invoice'!J$2:J$801,$W268)="","",INDEX('Per Invoice'!J$2:J$801,$W268)))</f>
        <v/>
      </c>
      <c r="K268" s="7">
        <f>IF($W268="","",IF(INDEX('Per Invoice'!K$2:K$801,$W268)="","",INDEX('Per Invoice'!K$2:K$801,$W268)))</f>
        <v/>
      </c>
      <c r="L268" s="14">
        <f>IF($W268="","",IF(INDEX('Per Invoice'!L$2:L$801,$W268)="","",INDEX('Per Invoice'!L$2:L$801,$W268)))</f>
        <v/>
      </c>
      <c r="M268">
        <f>IF($W268="","",IF(INDEX('Per Invoice'!M$2:M$801,$W268)="","",INDEX('Per Invoice'!M$2:M$801,$W268)))</f>
        <v/>
      </c>
      <c r="N268" s="7">
        <f>IF($W268="","",IF(INDEX('Per Invoice'!N$2:N$801,$W268)="","",INDEX('Per Invoice'!N$2:N$801,$W268)))</f>
        <v/>
      </c>
      <c r="O268" s="7">
        <f>IF($W268="","",IF(INDEX('Per Invoice'!O$2:O$801,$W268)="","",INDEX('Per Invoice'!O$2:O$801,$W268)))</f>
        <v/>
      </c>
      <c r="P268">
        <f>IF($W268="","",IF(INDEX('Per Invoice'!P$2:P$801,$W268)="","",INDEX('Per Invoice'!P$2:P$801,$W268)))</f>
        <v/>
      </c>
      <c r="Q268" s="7">
        <f>IF($W268="","",IF(INDEX('Per Invoice'!Q$2:Q$801,$W268)="","",INDEX('Per Invoice'!Q$2:Q$801,$W268)))</f>
        <v/>
      </c>
      <c r="R268" s="7">
        <f>IF($W268="","",IF(INDEX('Per Invoice'!R$2:R$801,$W268)="","",INDEX('Per Invoice'!R$2:R$801,$W268)))</f>
        <v/>
      </c>
      <c r="S268" s="7">
        <f>IF($W268="","",IF(INDEX('Per Invoice'!S$2:S$801,$W268)="","",INDEX('Per Invoice'!S$2:S$801,$W268)))</f>
        <v/>
      </c>
      <c r="T268" s="7">
        <f>IF($W268="","",IF(INDEX('Per Invoice'!T$2:T$801,$W268)="","",INDEX('Per Invoice'!T$2:T$801,$W268)))</f>
        <v/>
      </c>
      <c r="U268" s="7">
        <f>IF($W268="","",IF(INDEX('Per Invoice'!U$2:U$801,$W268)="","",INDEX('Per Invoice'!U$2:U$801,$W268)))</f>
        <v/>
      </c>
      <c r="V268" s="7">
        <f>IF($W268="","",IF(INDEX('Per Invoice'!V$2:V$801,$W268)="","",INDEX('Per Invoice'!V$2:V$801,$W268)))</f>
        <v/>
      </c>
      <c r="W268" s="16">
        <f>IFERROR(MATCH(Settings!$C$29&amp;"|"&amp;ROWS($W$2:$W268),'Per Invoice'!$X$2:$X$801,0),"")</f>
        <v/>
      </c>
    </row>
    <row r="269">
      <c r="A269">
        <f>IF($W269="","",IF(INDEX('Per Invoice'!A$2:A$801,$W269)="","",INDEX('Per Invoice'!A$2:A$801,$W269)))</f>
        <v/>
      </c>
      <c r="B269">
        <f>IF($W269="","",IF(INDEX('Per Invoice'!B$2:B$801,$W269)="","",INDEX('Per Invoice'!B$2:B$801,$W269)))</f>
        <v/>
      </c>
      <c r="C269">
        <f>IF($W269="","",IF(INDEX('Per Invoice'!C$2:C$801,$W269)="","",INDEX('Per Invoice'!C$2:C$801,$W269)))</f>
        <v/>
      </c>
      <c r="D269">
        <f>IF($W269="","",IF(INDEX('Per Invoice'!D$2:D$801,$W269)="","",INDEX('Per Invoice'!D$2:D$801,$W269)))</f>
        <v/>
      </c>
      <c r="E269">
        <f>IF($W269="","",IF(INDEX('Per Invoice'!E$2:E$801,$W269)="","",INDEX('Per Invoice'!E$2:E$801,$W269)))</f>
        <v/>
      </c>
      <c r="F269">
        <f>IF($W269="","",IF(INDEX('Per Invoice'!F$2:F$801,$W269)="","",INDEX('Per Invoice'!F$2:F$801,$W269)))</f>
        <v/>
      </c>
      <c r="G269">
        <f>IF($W269="","",IF(INDEX('Per Invoice'!G$2:G$801,$W269)="","",INDEX('Per Invoice'!G$2:G$801,$W269)))</f>
        <v/>
      </c>
      <c r="H269">
        <f>IF($W269="","",IF(INDEX('Per Invoice'!H$2:H$801,$W269)="","",INDEX('Per Invoice'!H$2:H$801,$W269)))</f>
        <v/>
      </c>
      <c r="I269">
        <f>IF($W269="","",IF(INDEX('Per Invoice'!I$2:I$801,$W269)="","",INDEX('Per Invoice'!I$2:I$801,$W269)))</f>
        <v/>
      </c>
      <c r="J269">
        <f>IF($W269="","",IF(INDEX('Per Invoice'!J$2:J$801,$W269)="","",INDEX('Per Invoice'!J$2:J$801,$W269)))</f>
        <v/>
      </c>
      <c r="K269" s="7">
        <f>IF($W269="","",IF(INDEX('Per Invoice'!K$2:K$801,$W269)="","",INDEX('Per Invoice'!K$2:K$801,$W269)))</f>
        <v/>
      </c>
      <c r="L269" s="14">
        <f>IF($W269="","",IF(INDEX('Per Invoice'!L$2:L$801,$W269)="","",INDEX('Per Invoice'!L$2:L$801,$W269)))</f>
        <v/>
      </c>
      <c r="M269">
        <f>IF($W269="","",IF(INDEX('Per Invoice'!M$2:M$801,$W269)="","",INDEX('Per Invoice'!M$2:M$801,$W269)))</f>
        <v/>
      </c>
      <c r="N269" s="7">
        <f>IF($W269="","",IF(INDEX('Per Invoice'!N$2:N$801,$W269)="","",INDEX('Per Invoice'!N$2:N$801,$W269)))</f>
        <v/>
      </c>
      <c r="O269" s="7">
        <f>IF($W269="","",IF(INDEX('Per Invoice'!O$2:O$801,$W269)="","",INDEX('Per Invoice'!O$2:O$801,$W269)))</f>
        <v/>
      </c>
      <c r="P269">
        <f>IF($W269="","",IF(INDEX('Per Invoice'!P$2:P$801,$W269)="","",INDEX('Per Invoice'!P$2:P$801,$W269)))</f>
        <v/>
      </c>
      <c r="Q269" s="7">
        <f>IF($W269="","",IF(INDEX('Per Invoice'!Q$2:Q$801,$W269)="","",INDEX('Per Invoice'!Q$2:Q$801,$W269)))</f>
        <v/>
      </c>
      <c r="R269" s="7">
        <f>IF($W269="","",IF(INDEX('Per Invoice'!R$2:R$801,$W269)="","",INDEX('Per Invoice'!R$2:R$801,$W269)))</f>
        <v/>
      </c>
      <c r="S269" s="7">
        <f>IF($W269="","",IF(INDEX('Per Invoice'!S$2:S$801,$W269)="","",INDEX('Per Invoice'!S$2:S$801,$W269)))</f>
        <v/>
      </c>
      <c r="T269" s="7">
        <f>IF($W269="","",IF(INDEX('Per Invoice'!T$2:T$801,$W269)="","",INDEX('Per Invoice'!T$2:T$801,$W269)))</f>
        <v/>
      </c>
      <c r="U269" s="7">
        <f>IF($W269="","",IF(INDEX('Per Invoice'!U$2:U$801,$W269)="","",INDEX('Per Invoice'!U$2:U$801,$W269)))</f>
        <v/>
      </c>
      <c r="V269" s="7">
        <f>IF($W269="","",IF(INDEX('Per Invoice'!V$2:V$801,$W269)="","",INDEX('Per Invoice'!V$2:V$801,$W269)))</f>
        <v/>
      </c>
      <c r="W269" s="16">
        <f>IFERROR(MATCH(Settings!$C$29&amp;"|"&amp;ROWS($W$2:$W269),'Per Invoice'!$X$2:$X$801,0),"")</f>
        <v/>
      </c>
    </row>
    <row r="270">
      <c r="A270">
        <f>IF($W270="","",IF(INDEX('Per Invoice'!A$2:A$801,$W270)="","",INDEX('Per Invoice'!A$2:A$801,$W270)))</f>
        <v/>
      </c>
      <c r="B270">
        <f>IF($W270="","",IF(INDEX('Per Invoice'!B$2:B$801,$W270)="","",INDEX('Per Invoice'!B$2:B$801,$W270)))</f>
        <v/>
      </c>
      <c r="C270">
        <f>IF($W270="","",IF(INDEX('Per Invoice'!C$2:C$801,$W270)="","",INDEX('Per Invoice'!C$2:C$801,$W270)))</f>
        <v/>
      </c>
      <c r="D270">
        <f>IF($W270="","",IF(INDEX('Per Invoice'!D$2:D$801,$W270)="","",INDEX('Per Invoice'!D$2:D$801,$W270)))</f>
        <v/>
      </c>
      <c r="E270">
        <f>IF($W270="","",IF(INDEX('Per Invoice'!E$2:E$801,$W270)="","",INDEX('Per Invoice'!E$2:E$801,$W270)))</f>
        <v/>
      </c>
      <c r="F270">
        <f>IF($W270="","",IF(INDEX('Per Invoice'!F$2:F$801,$W270)="","",INDEX('Per Invoice'!F$2:F$801,$W270)))</f>
        <v/>
      </c>
      <c r="G270">
        <f>IF($W270="","",IF(INDEX('Per Invoice'!G$2:G$801,$W270)="","",INDEX('Per Invoice'!G$2:G$801,$W270)))</f>
        <v/>
      </c>
      <c r="H270">
        <f>IF($W270="","",IF(INDEX('Per Invoice'!H$2:H$801,$W270)="","",INDEX('Per Invoice'!H$2:H$801,$W270)))</f>
        <v/>
      </c>
      <c r="I270">
        <f>IF($W270="","",IF(INDEX('Per Invoice'!I$2:I$801,$W270)="","",INDEX('Per Invoice'!I$2:I$801,$W270)))</f>
        <v/>
      </c>
      <c r="J270">
        <f>IF($W270="","",IF(INDEX('Per Invoice'!J$2:J$801,$W270)="","",INDEX('Per Invoice'!J$2:J$801,$W270)))</f>
        <v/>
      </c>
      <c r="K270" s="7">
        <f>IF($W270="","",IF(INDEX('Per Invoice'!K$2:K$801,$W270)="","",INDEX('Per Invoice'!K$2:K$801,$W270)))</f>
        <v/>
      </c>
      <c r="L270" s="14">
        <f>IF($W270="","",IF(INDEX('Per Invoice'!L$2:L$801,$W270)="","",INDEX('Per Invoice'!L$2:L$801,$W270)))</f>
        <v/>
      </c>
      <c r="M270">
        <f>IF($W270="","",IF(INDEX('Per Invoice'!M$2:M$801,$W270)="","",INDEX('Per Invoice'!M$2:M$801,$W270)))</f>
        <v/>
      </c>
      <c r="N270" s="7">
        <f>IF($W270="","",IF(INDEX('Per Invoice'!N$2:N$801,$W270)="","",INDEX('Per Invoice'!N$2:N$801,$W270)))</f>
        <v/>
      </c>
      <c r="O270" s="7">
        <f>IF($W270="","",IF(INDEX('Per Invoice'!O$2:O$801,$W270)="","",INDEX('Per Invoice'!O$2:O$801,$W270)))</f>
        <v/>
      </c>
      <c r="P270">
        <f>IF($W270="","",IF(INDEX('Per Invoice'!P$2:P$801,$W270)="","",INDEX('Per Invoice'!P$2:P$801,$W270)))</f>
        <v/>
      </c>
      <c r="Q270" s="7">
        <f>IF($W270="","",IF(INDEX('Per Invoice'!Q$2:Q$801,$W270)="","",INDEX('Per Invoice'!Q$2:Q$801,$W270)))</f>
        <v/>
      </c>
      <c r="R270" s="7">
        <f>IF($W270="","",IF(INDEX('Per Invoice'!R$2:R$801,$W270)="","",INDEX('Per Invoice'!R$2:R$801,$W270)))</f>
        <v/>
      </c>
      <c r="S270" s="7">
        <f>IF($W270="","",IF(INDEX('Per Invoice'!S$2:S$801,$W270)="","",INDEX('Per Invoice'!S$2:S$801,$W270)))</f>
        <v/>
      </c>
      <c r="T270" s="7">
        <f>IF($W270="","",IF(INDEX('Per Invoice'!T$2:T$801,$W270)="","",INDEX('Per Invoice'!T$2:T$801,$W270)))</f>
        <v/>
      </c>
      <c r="U270" s="7">
        <f>IF($W270="","",IF(INDEX('Per Invoice'!U$2:U$801,$W270)="","",INDEX('Per Invoice'!U$2:U$801,$W270)))</f>
        <v/>
      </c>
      <c r="V270" s="7">
        <f>IF($W270="","",IF(INDEX('Per Invoice'!V$2:V$801,$W270)="","",INDEX('Per Invoice'!V$2:V$801,$W270)))</f>
        <v/>
      </c>
      <c r="W270" s="16">
        <f>IFERROR(MATCH(Settings!$C$29&amp;"|"&amp;ROWS($W$2:$W270),'Per Invoice'!$X$2:$X$801,0),"")</f>
        <v/>
      </c>
    </row>
    <row r="271">
      <c r="A271">
        <f>IF($W271="","",IF(INDEX('Per Invoice'!A$2:A$801,$W271)="","",INDEX('Per Invoice'!A$2:A$801,$W271)))</f>
        <v/>
      </c>
      <c r="B271">
        <f>IF($W271="","",IF(INDEX('Per Invoice'!B$2:B$801,$W271)="","",INDEX('Per Invoice'!B$2:B$801,$W271)))</f>
        <v/>
      </c>
      <c r="C271">
        <f>IF($W271="","",IF(INDEX('Per Invoice'!C$2:C$801,$W271)="","",INDEX('Per Invoice'!C$2:C$801,$W271)))</f>
        <v/>
      </c>
      <c r="D271">
        <f>IF($W271="","",IF(INDEX('Per Invoice'!D$2:D$801,$W271)="","",INDEX('Per Invoice'!D$2:D$801,$W271)))</f>
        <v/>
      </c>
      <c r="E271">
        <f>IF($W271="","",IF(INDEX('Per Invoice'!E$2:E$801,$W271)="","",INDEX('Per Invoice'!E$2:E$801,$W271)))</f>
        <v/>
      </c>
      <c r="F271">
        <f>IF($W271="","",IF(INDEX('Per Invoice'!F$2:F$801,$W271)="","",INDEX('Per Invoice'!F$2:F$801,$W271)))</f>
        <v/>
      </c>
      <c r="G271">
        <f>IF($W271="","",IF(INDEX('Per Invoice'!G$2:G$801,$W271)="","",INDEX('Per Invoice'!G$2:G$801,$W271)))</f>
        <v/>
      </c>
      <c r="H271">
        <f>IF($W271="","",IF(INDEX('Per Invoice'!H$2:H$801,$W271)="","",INDEX('Per Invoice'!H$2:H$801,$W271)))</f>
        <v/>
      </c>
      <c r="I271">
        <f>IF($W271="","",IF(INDEX('Per Invoice'!I$2:I$801,$W271)="","",INDEX('Per Invoice'!I$2:I$801,$W271)))</f>
        <v/>
      </c>
      <c r="J271">
        <f>IF($W271="","",IF(INDEX('Per Invoice'!J$2:J$801,$W271)="","",INDEX('Per Invoice'!J$2:J$801,$W271)))</f>
        <v/>
      </c>
      <c r="K271" s="7">
        <f>IF($W271="","",IF(INDEX('Per Invoice'!K$2:K$801,$W271)="","",INDEX('Per Invoice'!K$2:K$801,$W271)))</f>
        <v/>
      </c>
      <c r="L271" s="14">
        <f>IF($W271="","",IF(INDEX('Per Invoice'!L$2:L$801,$W271)="","",INDEX('Per Invoice'!L$2:L$801,$W271)))</f>
        <v/>
      </c>
      <c r="M271">
        <f>IF($W271="","",IF(INDEX('Per Invoice'!M$2:M$801,$W271)="","",INDEX('Per Invoice'!M$2:M$801,$W271)))</f>
        <v/>
      </c>
      <c r="N271" s="7">
        <f>IF($W271="","",IF(INDEX('Per Invoice'!N$2:N$801,$W271)="","",INDEX('Per Invoice'!N$2:N$801,$W271)))</f>
        <v/>
      </c>
      <c r="O271" s="7">
        <f>IF($W271="","",IF(INDEX('Per Invoice'!O$2:O$801,$W271)="","",INDEX('Per Invoice'!O$2:O$801,$W271)))</f>
        <v/>
      </c>
      <c r="P271">
        <f>IF($W271="","",IF(INDEX('Per Invoice'!P$2:P$801,$W271)="","",INDEX('Per Invoice'!P$2:P$801,$W271)))</f>
        <v/>
      </c>
      <c r="Q271" s="7">
        <f>IF($W271="","",IF(INDEX('Per Invoice'!Q$2:Q$801,$W271)="","",INDEX('Per Invoice'!Q$2:Q$801,$W271)))</f>
        <v/>
      </c>
      <c r="R271" s="7">
        <f>IF($W271="","",IF(INDEX('Per Invoice'!R$2:R$801,$W271)="","",INDEX('Per Invoice'!R$2:R$801,$W271)))</f>
        <v/>
      </c>
      <c r="S271" s="7">
        <f>IF($W271="","",IF(INDEX('Per Invoice'!S$2:S$801,$W271)="","",INDEX('Per Invoice'!S$2:S$801,$W271)))</f>
        <v/>
      </c>
      <c r="T271" s="7">
        <f>IF($W271="","",IF(INDEX('Per Invoice'!T$2:T$801,$W271)="","",INDEX('Per Invoice'!T$2:T$801,$W271)))</f>
        <v/>
      </c>
      <c r="U271" s="7">
        <f>IF($W271="","",IF(INDEX('Per Invoice'!U$2:U$801,$W271)="","",INDEX('Per Invoice'!U$2:U$801,$W271)))</f>
        <v/>
      </c>
      <c r="V271" s="7">
        <f>IF($W271="","",IF(INDEX('Per Invoice'!V$2:V$801,$W271)="","",INDEX('Per Invoice'!V$2:V$801,$W271)))</f>
        <v/>
      </c>
      <c r="W271" s="16">
        <f>IFERROR(MATCH(Settings!$C$29&amp;"|"&amp;ROWS($W$2:$W271),'Per Invoice'!$X$2:$X$801,0),"")</f>
        <v/>
      </c>
    </row>
    <row r="272">
      <c r="A272">
        <f>IF($W272="","",IF(INDEX('Per Invoice'!A$2:A$801,$W272)="","",INDEX('Per Invoice'!A$2:A$801,$W272)))</f>
        <v/>
      </c>
      <c r="B272">
        <f>IF($W272="","",IF(INDEX('Per Invoice'!B$2:B$801,$W272)="","",INDEX('Per Invoice'!B$2:B$801,$W272)))</f>
        <v/>
      </c>
      <c r="C272">
        <f>IF($W272="","",IF(INDEX('Per Invoice'!C$2:C$801,$W272)="","",INDEX('Per Invoice'!C$2:C$801,$W272)))</f>
        <v/>
      </c>
      <c r="D272">
        <f>IF($W272="","",IF(INDEX('Per Invoice'!D$2:D$801,$W272)="","",INDEX('Per Invoice'!D$2:D$801,$W272)))</f>
        <v/>
      </c>
      <c r="E272">
        <f>IF($W272="","",IF(INDEX('Per Invoice'!E$2:E$801,$W272)="","",INDEX('Per Invoice'!E$2:E$801,$W272)))</f>
        <v/>
      </c>
      <c r="F272">
        <f>IF($W272="","",IF(INDEX('Per Invoice'!F$2:F$801,$W272)="","",INDEX('Per Invoice'!F$2:F$801,$W272)))</f>
        <v/>
      </c>
      <c r="G272">
        <f>IF($W272="","",IF(INDEX('Per Invoice'!G$2:G$801,$W272)="","",INDEX('Per Invoice'!G$2:G$801,$W272)))</f>
        <v/>
      </c>
      <c r="H272">
        <f>IF($W272="","",IF(INDEX('Per Invoice'!H$2:H$801,$W272)="","",INDEX('Per Invoice'!H$2:H$801,$W272)))</f>
        <v/>
      </c>
      <c r="I272">
        <f>IF($W272="","",IF(INDEX('Per Invoice'!I$2:I$801,$W272)="","",INDEX('Per Invoice'!I$2:I$801,$W272)))</f>
        <v/>
      </c>
      <c r="J272">
        <f>IF($W272="","",IF(INDEX('Per Invoice'!J$2:J$801,$W272)="","",INDEX('Per Invoice'!J$2:J$801,$W272)))</f>
        <v/>
      </c>
      <c r="K272" s="7">
        <f>IF($W272="","",IF(INDEX('Per Invoice'!K$2:K$801,$W272)="","",INDEX('Per Invoice'!K$2:K$801,$W272)))</f>
        <v/>
      </c>
      <c r="L272" s="14">
        <f>IF($W272="","",IF(INDEX('Per Invoice'!L$2:L$801,$W272)="","",INDEX('Per Invoice'!L$2:L$801,$W272)))</f>
        <v/>
      </c>
      <c r="M272">
        <f>IF($W272="","",IF(INDEX('Per Invoice'!M$2:M$801,$W272)="","",INDEX('Per Invoice'!M$2:M$801,$W272)))</f>
        <v/>
      </c>
      <c r="N272" s="7">
        <f>IF($W272="","",IF(INDEX('Per Invoice'!N$2:N$801,$W272)="","",INDEX('Per Invoice'!N$2:N$801,$W272)))</f>
        <v/>
      </c>
      <c r="O272" s="7">
        <f>IF($W272="","",IF(INDEX('Per Invoice'!O$2:O$801,$W272)="","",INDEX('Per Invoice'!O$2:O$801,$W272)))</f>
        <v/>
      </c>
      <c r="P272">
        <f>IF($W272="","",IF(INDEX('Per Invoice'!P$2:P$801,$W272)="","",INDEX('Per Invoice'!P$2:P$801,$W272)))</f>
        <v/>
      </c>
      <c r="Q272" s="7">
        <f>IF($W272="","",IF(INDEX('Per Invoice'!Q$2:Q$801,$W272)="","",INDEX('Per Invoice'!Q$2:Q$801,$W272)))</f>
        <v/>
      </c>
      <c r="R272" s="7">
        <f>IF($W272="","",IF(INDEX('Per Invoice'!R$2:R$801,$W272)="","",INDEX('Per Invoice'!R$2:R$801,$W272)))</f>
        <v/>
      </c>
      <c r="S272" s="7">
        <f>IF($W272="","",IF(INDEX('Per Invoice'!S$2:S$801,$W272)="","",INDEX('Per Invoice'!S$2:S$801,$W272)))</f>
        <v/>
      </c>
      <c r="T272" s="7">
        <f>IF($W272="","",IF(INDEX('Per Invoice'!T$2:T$801,$W272)="","",INDEX('Per Invoice'!T$2:T$801,$W272)))</f>
        <v/>
      </c>
      <c r="U272" s="7">
        <f>IF($W272="","",IF(INDEX('Per Invoice'!U$2:U$801,$W272)="","",INDEX('Per Invoice'!U$2:U$801,$W272)))</f>
        <v/>
      </c>
      <c r="V272" s="7">
        <f>IF($W272="","",IF(INDEX('Per Invoice'!V$2:V$801,$W272)="","",INDEX('Per Invoice'!V$2:V$801,$W272)))</f>
        <v/>
      </c>
      <c r="W272" s="16">
        <f>IFERROR(MATCH(Settings!$C$29&amp;"|"&amp;ROWS($W$2:$W272),'Per Invoice'!$X$2:$X$801,0),"")</f>
        <v/>
      </c>
    </row>
    <row r="273">
      <c r="A273">
        <f>IF($W273="","",IF(INDEX('Per Invoice'!A$2:A$801,$W273)="","",INDEX('Per Invoice'!A$2:A$801,$W273)))</f>
        <v/>
      </c>
      <c r="B273">
        <f>IF($W273="","",IF(INDEX('Per Invoice'!B$2:B$801,$W273)="","",INDEX('Per Invoice'!B$2:B$801,$W273)))</f>
        <v/>
      </c>
      <c r="C273">
        <f>IF($W273="","",IF(INDEX('Per Invoice'!C$2:C$801,$W273)="","",INDEX('Per Invoice'!C$2:C$801,$W273)))</f>
        <v/>
      </c>
      <c r="D273">
        <f>IF($W273="","",IF(INDEX('Per Invoice'!D$2:D$801,$W273)="","",INDEX('Per Invoice'!D$2:D$801,$W273)))</f>
        <v/>
      </c>
      <c r="E273">
        <f>IF($W273="","",IF(INDEX('Per Invoice'!E$2:E$801,$W273)="","",INDEX('Per Invoice'!E$2:E$801,$W273)))</f>
        <v/>
      </c>
      <c r="F273">
        <f>IF($W273="","",IF(INDEX('Per Invoice'!F$2:F$801,$W273)="","",INDEX('Per Invoice'!F$2:F$801,$W273)))</f>
        <v/>
      </c>
      <c r="G273">
        <f>IF($W273="","",IF(INDEX('Per Invoice'!G$2:G$801,$W273)="","",INDEX('Per Invoice'!G$2:G$801,$W273)))</f>
        <v/>
      </c>
      <c r="H273">
        <f>IF($W273="","",IF(INDEX('Per Invoice'!H$2:H$801,$W273)="","",INDEX('Per Invoice'!H$2:H$801,$W273)))</f>
        <v/>
      </c>
      <c r="I273">
        <f>IF($W273="","",IF(INDEX('Per Invoice'!I$2:I$801,$W273)="","",INDEX('Per Invoice'!I$2:I$801,$W273)))</f>
        <v/>
      </c>
      <c r="J273">
        <f>IF($W273="","",IF(INDEX('Per Invoice'!J$2:J$801,$W273)="","",INDEX('Per Invoice'!J$2:J$801,$W273)))</f>
        <v/>
      </c>
      <c r="K273" s="7">
        <f>IF($W273="","",IF(INDEX('Per Invoice'!K$2:K$801,$W273)="","",INDEX('Per Invoice'!K$2:K$801,$W273)))</f>
        <v/>
      </c>
      <c r="L273" s="14">
        <f>IF($W273="","",IF(INDEX('Per Invoice'!L$2:L$801,$W273)="","",INDEX('Per Invoice'!L$2:L$801,$W273)))</f>
        <v/>
      </c>
      <c r="M273">
        <f>IF($W273="","",IF(INDEX('Per Invoice'!M$2:M$801,$W273)="","",INDEX('Per Invoice'!M$2:M$801,$W273)))</f>
        <v/>
      </c>
      <c r="N273" s="7">
        <f>IF($W273="","",IF(INDEX('Per Invoice'!N$2:N$801,$W273)="","",INDEX('Per Invoice'!N$2:N$801,$W273)))</f>
        <v/>
      </c>
      <c r="O273" s="7">
        <f>IF($W273="","",IF(INDEX('Per Invoice'!O$2:O$801,$W273)="","",INDEX('Per Invoice'!O$2:O$801,$W273)))</f>
        <v/>
      </c>
      <c r="P273">
        <f>IF($W273="","",IF(INDEX('Per Invoice'!P$2:P$801,$W273)="","",INDEX('Per Invoice'!P$2:P$801,$W273)))</f>
        <v/>
      </c>
      <c r="Q273" s="7">
        <f>IF($W273="","",IF(INDEX('Per Invoice'!Q$2:Q$801,$W273)="","",INDEX('Per Invoice'!Q$2:Q$801,$W273)))</f>
        <v/>
      </c>
      <c r="R273" s="7">
        <f>IF($W273="","",IF(INDEX('Per Invoice'!R$2:R$801,$W273)="","",INDEX('Per Invoice'!R$2:R$801,$W273)))</f>
        <v/>
      </c>
      <c r="S273" s="7">
        <f>IF($W273="","",IF(INDEX('Per Invoice'!S$2:S$801,$W273)="","",INDEX('Per Invoice'!S$2:S$801,$W273)))</f>
        <v/>
      </c>
      <c r="T273" s="7">
        <f>IF($W273="","",IF(INDEX('Per Invoice'!T$2:T$801,$W273)="","",INDEX('Per Invoice'!T$2:T$801,$W273)))</f>
        <v/>
      </c>
      <c r="U273" s="7">
        <f>IF($W273="","",IF(INDEX('Per Invoice'!U$2:U$801,$W273)="","",INDEX('Per Invoice'!U$2:U$801,$W273)))</f>
        <v/>
      </c>
      <c r="V273" s="7">
        <f>IF($W273="","",IF(INDEX('Per Invoice'!V$2:V$801,$W273)="","",INDEX('Per Invoice'!V$2:V$801,$W273)))</f>
        <v/>
      </c>
      <c r="W273" s="16">
        <f>IFERROR(MATCH(Settings!$C$29&amp;"|"&amp;ROWS($W$2:$W273),'Per Invoice'!$X$2:$X$801,0),"")</f>
        <v/>
      </c>
    </row>
    <row r="274">
      <c r="A274">
        <f>IF($W274="","",IF(INDEX('Per Invoice'!A$2:A$801,$W274)="","",INDEX('Per Invoice'!A$2:A$801,$W274)))</f>
        <v/>
      </c>
      <c r="B274">
        <f>IF($W274="","",IF(INDEX('Per Invoice'!B$2:B$801,$W274)="","",INDEX('Per Invoice'!B$2:B$801,$W274)))</f>
        <v/>
      </c>
      <c r="C274">
        <f>IF($W274="","",IF(INDEX('Per Invoice'!C$2:C$801,$W274)="","",INDEX('Per Invoice'!C$2:C$801,$W274)))</f>
        <v/>
      </c>
      <c r="D274">
        <f>IF($W274="","",IF(INDEX('Per Invoice'!D$2:D$801,$W274)="","",INDEX('Per Invoice'!D$2:D$801,$W274)))</f>
        <v/>
      </c>
      <c r="E274">
        <f>IF($W274="","",IF(INDEX('Per Invoice'!E$2:E$801,$W274)="","",INDEX('Per Invoice'!E$2:E$801,$W274)))</f>
        <v/>
      </c>
      <c r="F274">
        <f>IF($W274="","",IF(INDEX('Per Invoice'!F$2:F$801,$W274)="","",INDEX('Per Invoice'!F$2:F$801,$W274)))</f>
        <v/>
      </c>
      <c r="G274">
        <f>IF($W274="","",IF(INDEX('Per Invoice'!G$2:G$801,$W274)="","",INDEX('Per Invoice'!G$2:G$801,$W274)))</f>
        <v/>
      </c>
      <c r="H274">
        <f>IF($W274="","",IF(INDEX('Per Invoice'!H$2:H$801,$W274)="","",INDEX('Per Invoice'!H$2:H$801,$W274)))</f>
        <v/>
      </c>
      <c r="I274">
        <f>IF($W274="","",IF(INDEX('Per Invoice'!I$2:I$801,$W274)="","",INDEX('Per Invoice'!I$2:I$801,$W274)))</f>
        <v/>
      </c>
      <c r="J274">
        <f>IF($W274="","",IF(INDEX('Per Invoice'!J$2:J$801,$W274)="","",INDEX('Per Invoice'!J$2:J$801,$W274)))</f>
        <v/>
      </c>
      <c r="K274" s="7">
        <f>IF($W274="","",IF(INDEX('Per Invoice'!K$2:K$801,$W274)="","",INDEX('Per Invoice'!K$2:K$801,$W274)))</f>
        <v/>
      </c>
      <c r="L274" s="14">
        <f>IF($W274="","",IF(INDEX('Per Invoice'!L$2:L$801,$W274)="","",INDEX('Per Invoice'!L$2:L$801,$W274)))</f>
        <v/>
      </c>
      <c r="M274">
        <f>IF($W274="","",IF(INDEX('Per Invoice'!M$2:M$801,$W274)="","",INDEX('Per Invoice'!M$2:M$801,$W274)))</f>
        <v/>
      </c>
      <c r="N274" s="7">
        <f>IF($W274="","",IF(INDEX('Per Invoice'!N$2:N$801,$W274)="","",INDEX('Per Invoice'!N$2:N$801,$W274)))</f>
        <v/>
      </c>
      <c r="O274" s="7">
        <f>IF($W274="","",IF(INDEX('Per Invoice'!O$2:O$801,$W274)="","",INDEX('Per Invoice'!O$2:O$801,$W274)))</f>
        <v/>
      </c>
      <c r="P274">
        <f>IF($W274="","",IF(INDEX('Per Invoice'!P$2:P$801,$W274)="","",INDEX('Per Invoice'!P$2:P$801,$W274)))</f>
        <v/>
      </c>
      <c r="Q274" s="7">
        <f>IF($W274="","",IF(INDEX('Per Invoice'!Q$2:Q$801,$W274)="","",INDEX('Per Invoice'!Q$2:Q$801,$W274)))</f>
        <v/>
      </c>
      <c r="R274" s="7">
        <f>IF($W274="","",IF(INDEX('Per Invoice'!R$2:R$801,$W274)="","",INDEX('Per Invoice'!R$2:R$801,$W274)))</f>
        <v/>
      </c>
      <c r="S274" s="7">
        <f>IF($W274="","",IF(INDEX('Per Invoice'!S$2:S$801,$W274)="","",INDEX('Per Invoice'!S$2:S$801,$W274)))</f>
        <v/>
      </c>
      <c r="T274" s="7">
        <f>IF($W274="","",IF(INDEX('Per Invoice'!T$2:T$801,$W274)="","",INDEX('Per Invoice'!T$2:T$801,$W274)))</f>
        <v/>
      </c>
      <c r="U274" s="7">
        <f>IF($W274="","",IF(INDEX('Per Invoice'!U$2:U$801,$W274)="","",INDEX('Per Invoice'!U$2:U$801,$W274)))</f>
        <v/>
      </c>
      <c r="V274" s="7">
        <f>IF($W274="","",IF(INDEX('Per Invoice'!V$2:V$801,$W274)="","",INDEX('Per Invoice'!V$2:V$801,$W274)))</f>
        <v/>
      </c>
      <c r="W274" s="16">
        <f>IFERROR(MATCH(Settings!$C$29&amp;"|"&amp;ROWS($W$2:$W274),'Per Invoice'!$X$2:$X$801,0),"")</f>
        <v/>
      </c>
    </row>
    <row r="275">
      <c r="A275">
        <f>IF($W275="","",IF(INDEX('Per Invoice'!A$2:A$801,$W275)="","",INDEX('Per Invoice'!A$2:A$801,$W275)))</f>
        <v/>
      </c>
      <c r="B275">
        <f>IF($W275="","",IF(INDEX('Per Invoice'!B$2:B$801,$W275)="","",INDEX('Per Invoice'!B$2:B$801,$W275)))</f>
        <v/>
      </c>
      <c r="C275">
        <f>IF($W275="","",IF(INDEX('Per Invoice'!C$2:C$801,$W275)="","",INDEX('Per Invoice'!C$2:C$801,$W275)))</f>
        <v/>
      </c>
      <c r="D275">
        <f>IF($W275="","",IF(INDEX('Per Invoice'!D$2:D$801,$W275)="","",INDEX('Per Invoice'!D$2:D$801,$W275)))</f>
        <v/>
      </c>
      <c r="E275">
        <f>IF($W275="","",IF(INDEX('Per Invoice'!E$2:E$801,$W275)="","",INDEX('Per Invoice'!E$2:E$801,$W275)))</f>
        <v/>
      </c>
      <c r="F275">
        <f>IF($W275="","",IF(INDEX('Per Invoice'!F$2:F$801,$W275)="","",INDEX('Per Invoice'!F$2:F$801,$W275)))</f>
        <v/>
      </c>
      <c r="G275">
        <f>IF($W275="","",IF(INDEX('Per Invoice'!G$2:G$801,$W275)="","",INDEX('Per Invoice'!G$2:G$801,$W275)))</f>
        <v/>
      </c>
      <c r="H275">
        <f>IF($W275="","",IF(INDEX('Per Invoice'!H$2:H$801,$W275)="","",INDEX('Per Invoice'!H$2:H$801,$W275)))</f>
        <v/>
      </c>
      <c r="I275">
        <f>IF($W275="","",IF(INDEX('Per Invoice'!I$2:I$801,$W275)="","",INDEX('Per Invoice'!I$2:I$801,$W275)))</f>
        <v/>
      </c>
      <c r="J275">
        <f>IF($W275="","",IF(INDEX('Per Invoice'!J$2:J$801,$W275)="","",INDEX('Per Invoice'!J$2:J$801,$W275)))</f>
        <v/>
      </c>
      <c r="K275" s="7">
        <f>IF($W275="","",IF(INDEX('Per Invoice'!K$2:K$801,$W275)="","",INDEX('Per Invoice'!K$2:K$801,$W275)))</f>
        <v/>
      </c>
      <c r="L275" s="14">
        <f>IF($W275="","",IF(INDEX('Per Invoice'!L$2:L$801,$W275)="","",INDEX('Per Invoice'!L$2:L$801,$W275)))</f>
        <v/>
      </c>
      <c r="M275">
        <f>IF($W275="","",IF(INDEX('Per Invoice'!M$2:M$801,$W275)="","",INDEX('Per Invoice'!M$2:M$801,$W275)))</f>
        <v/>
      </c>
      <c r="N275" s="7">
        <f>IF($W275="","",IF(INDEX('Per Invoice'!N$2:N$801,$W275)="","",INDEX('Per Invoice'!N$2:N$801,$W275)))</f>
        <v/>
      </c>
      <c r="O275" s="7">
        <f>IF($W275="","",IF(INDEX('Per Invoice'!O$2:O$801,$W275)="","",INDEX('Per Invoice'!O$2:O$801,$W275)))</f>
        <v/>
      </c>
      <c r="P275">
        <f>IF($W275="","",IF(INDEX('Per Invoice'!P$2:P$801,$W275)="","",INDEX('Per Invoice'!P$2:P$801,$W275)))</f>
        <v/>
      </c>
      <c r="Q275" s="7">
        <f>IF($W275="","",IF(INDEX('Per Invoice'!Q$2:Q$801,$W275)="","",INDEX('Per Invoice'!Q$2:Q$801,$W275)))</f>
        <v/>
      </c>
      <c r="R275" s="7">
        <f>IF($W275="","",IF(INDEX('Per Invoice'!R$2:R$801,$W275)="","",INDEX('Per Invoice'!R$2:R$801,$W275)))</f>
        <v/>
      </c>
      <c r="S275" s="7">
        <f>IF($W275="","",IF(INDEX('Per Invoice'!S$2:S$801,$W275)="","",INDEX('Per Invoice'!S$2:S$801,$W275)))</f>
        <v/>
      </c>
      <c r="T275" s="7">
        <f>IF($W275="","",IF(INDEX('Per Invoice'!T$2:T$801,$W275)="","",INDEX('Per Invoice'!T$2:T$801,$W275)))</f>
        <v/>
      </c>
      <c r="U275" s="7">
        <f>IF($W275="","",IF(INDEX('Per Invoice'!U$2:U$801,$W275)="","",INDEX('Per Invoice'!U$2:U$801,$W275)))</f>
        <v/>
      </c>
      <c r="V275" s="7">
        <f>IF($W275="","",IF(INDEX('Per Invoice'!V$2:V$801,$W275)="","",INDEX('Per Invoice'!V$2:V$801,$W275)))</f>
        <v/>
      </c>
      <c r="W275" s="16">
        <f>IFERROR(MATCH(Settings!$C$29&amp;"|"&amp;ROWS($W$2:$W275),'Per Invoice'!$X$2:$X$801,0),"")</f>
        <v/>
      </c>
    </row>
    <row r="276">
      <c r="A276">
        <f>IF($W276="","",IF(INDEX('Per Invoice'!A$2:A$801,$W276)="","",INDEX('Per Invoice'!A$2:A$801,$W276)))</f>
        <v/>
      </c>
      <c r="B276">
        <f>IF($W276="","",IF(INDEX('Per Invoice'!B$2:B$801,$W276)="","",INDEX('Per Invoice'!B$2:B$801,$W276)))</f>
        <v/>
      </c>
      <c r="C276">
        <f>IF($W276="","",IF(INDEX('Per Invoice'!C$2:C$801,$W276)="","",INDEX('Per Invoice'!C$2:C$801,$W276)))</f>
        <v/>
      </c>
      <c r="D276">
        <f>IF($W276="","",IF(INDEX('Per Invoice'!D$2:D$801,$W276)="","",INDEX('Per Invoice'!D$2:D$801,$W276)))</f>
        <v/>
      </c>
      <c r="E276">
        <f>IF($W276="","",IF(INDEX('Per Invoice'!E$2:E$801,$W276)="","",INDEX('Per Invoice'!E$2:E$801,$W276)))</f>
        <v/>
      </c>
      <c r="F276">
        <f>IF($W276="","",IF(INDEX('Per Invoice'!F$2:F$801,$W276)="","",INDEX('Per Invoice'!F$2:F$801,$W276)))</f>
        <v/>
      </c>
      <c r="G276">
        <f>IF($W276="","",IF(INDEX('Per Invoice'!G$2:G$801,$W276)="","",INDEX('Per Invoice'!G$2:G$801,$W276)))</f>
        <v/>
      </c>
      <c r="H276">
        <f>IF($W276="","",IF(INDEX('Per Invoice'!H$2:H$801,$W276)="","",INDEX('Per Invoice'!H$2:H$801,$W276)))</f>
        <v/>
      </c>
      <c r="I276">
        <f>IF($W276="","",IF(INDEX('Per Invoice'!I$2:I$801,$W276)="","",INDEX('Per Invoice'!I$2:I$801,$W276)))</f>
        <v/>
      </c>
      <c r="J276">
        <f>IF($W276="","",IF(INDEX('Per Invoice'!J$2:J$801,$W276)="","",INDEX('Per Invoice'!J$2:J$801,$W276)))</f>
        <v/>
      </c>
      <c r="K276" s="7">
        <f>IF($W276="","",IF(INDEX('Per Invoice'!K$2:K$801,$W276)="","",INDEX('Per Invoice'!K$2:K$801,$W276)))</f>
        <v/>
      </c>
      <c r="L276" s="14">
        <f>IF($W276="","",IF(INDEX('Per Invoice'!L$2:L$801,$W276)="","",INDEX('Per Invoice'!L$2:L$801,$W276)))</f>
        <v/>
      </c>
      <c r="M276">
        <f>IF($W276="","",IF(INDEX('Per Invoice'!M$2:M$801,$W276)="","",INDEX('Per Invoice'!M$2:M$801,$W276)))</f>
        <v/>
      </c>
      <c r="N276" s="7">
        <f>IF($W276="","",IF(INDEX('Per Invoice'!N$2:N$801,$W276)="","",INDEX('Per Invoice'!N$2:N$801,$W276)))</f>
        <v/>
      </c>
      <c r="O276" s="7">
        <f>IF($W276="","",IF(INDEX('Per Invoice'!O$2:O$801,$W276)="","",INDEX('Per Invoice'!O$2:O$801,$W276)))</f>
        <v/>
      </c>
      <c r="P276">
        <f>IF($W276="","",IF(INDEX('Per Invoice'!P$2:P$801,$W276)="","",INDEX('Per Invoice'!P$2:P$801,$W276)))</f>
        <v/>
      </c>
      <c r="Q276" s="7">
        <f>IF($W276="","",IF(INDEX('Per Invoice'!Q$2:Q$801,$W276)="","",INDEX('Per Invoice'!Q$2:Q$801,$W276)))</f>
        <v/>
      </c>
      <c r="R276" s="7">
        <f>IF($W276="","",IF(INDEX('Per Invoice'!R$2:R$801,$W276)="","",INDEX('Per Invoice'!R$2:R$801,$W276)))</f>
        <v/>
      </c>
      <c r="S276" s="7">
        <f>IF($W276="","",IF(INDEX('Per Invoice'!S$2:S$801,$W276)="","",INDEX('Per Invoice'!S$2:S$801,$W276)))</f>
        <v/>
      </c>
      <c r="T276" s="7">
        <f>IF($W276="","",IF(INDEX('Per Invoice'!T$2:T$801,$W276)="","",INDEX('Per Invoice'!T$2:T$801,$W276)))</f>
        <v/>
      </c>
      <c r="U276" s="7">
        <f>IF($W276="","",IF(INDEX('Per Invoice'!U$2:U$801,$W276)="","",INDEX('Per Invoice'!U$2:U$801,$W276)))</f>
        <v/>
      </c>
      <c r="V276" s="7">
        <f>IF($W276="","",IF(INDEX('Per Invoice'!V$2:V$801,$W276)="","",INDEX('Per Invoice'!V$2:V$801,$W276)))</f>
        <v/>
      </c>
      <c r="W276" s="16">
        <f>IFERROR(MATCH(Settings!$C$29&amp;"|"&amp;ROWS($W$2:$W276),'Per Invoice'!$X$2:$X$801,0),"")</f>
        <v/>
      </c>
    </row>
    <row r="277">
      <c r="A277">
        <f>IF($W277="","",IF(INDEX('Per Invoice'!A$2:A$801,$W277)="","",INDEX('Per Invoice'!A$2:A$801,$W277)))</f>
        <v/>
      </c>
      <c r="B277">
        <f>IF($W277="","",IF(INDEX('Per Invoice'!B$2:B$801,$W277)="","",INDEX('Per Invoice'!B$2:B$801,$W277)))</f>
        <v/>
      </c>
      <c r="C277">
        <f>IF($W277="","",IF(INDEX('Per Invoice'!C$2:C$801,$W277)="","",INDEX('Per Invoice'!C$2:C$801,$W277)))</f>
        <v/>
      </c>
      <c r="D277">
        <f>IF($W277="","",IF(INDEX('Per Invoice'!D$2:D$801,$W277)="","",INDEX('Per Invoice'!D$2:D$801,$W277)))</f>
        <v/>
      </c>
      <c r="E277">
        <f>IF($W277="","",IF(INDEX('Per Invoice'!E$2:E$801,$W277)="","",INDEX('Per Invoice'!E$2:E$801,$W277)))</f>
        <v/>
      </c>
      <c r="F277">
        <f>IF($W277="","",IF(INDEX('Per Invoice'!F$2:F$801,$W277)="","",INDEX('Per Invoice'!F$2:F$801,$W277)))</f>
        <v/>
      </c>
      <c r="G277">
        <f>IF($W277="","",IF(INDEX('Per Invoice'!G$2:G$801,$W277)="","",INDEX('Per Invoice'!G$2:G$801,$W277)))</f>
        <v/>
      </c>
      <c r="H277">
        <f>IF($W277="","",IF(INDEX('Per Invoice'!H$2:H$801,$W277)="","",INDEX('Per Invoice'!H$2:H$801,$W277)))</f>
        <v/>
      </c>
      <c r="I277">
        <f>IF($W277="","",IF(INDEX('Per Invoice'!I$2:I$801,$W277)="","",INDEX('Per Invoice'!I$2:I$801,$W277)))</f>
        <v/>
      </c>
      <c r="J277">
        <f>IF($W277="","",IF(INDEX('Per Invoice'!J$2:J$801,$W277)="","",INDEX('Per Invoice'!J$2:J$801,$W277)))</f>
        <v/>
      </c>
      <c r="K277" s="7">
        <f>IF($W277="","",IF(INDEX('Per Invoice'!K$2:K$801,$W277)="","",INDEX('Per Invoice'!K$2:K$801,$W277)))</f>
        <v/>
      </c>
      <c r="L277" s="14">
        <f>IF($W277="","",IF(INDEX('Per Invoice'!L$2:L$801,$W277)="","",INDEX('Per Invoice'!L$2:L$801,$W277)))</f>
        <v/>
      </c>
      <c r="M277">
        <f>IF($W277="","",IF(INDEX('Per Invoice'!M$2:M$801,$W277)="","",INDEX('Per Invoice'!M$2:M$801,$W277)))</f>
        <v/>
      </c>
      <c r="N277" s="7">
        <f>IF($W277="","",IF(INDEX('Per Invoice'!N$2:N$801,$W277)="","",INDEX('Per Invoice'!N$2:N$801,$W277)))</f>
        <v/>
      </c>
      <c r="O277" s="7">
        <f>IF($W277="","",IF(INDEX('Per Invoice'!O$2:O$801,$W277)="","",INDEX('Per Invoice'!O$2:O$801,$W277)))</f>
        <v/>
      </c>
      <c r="P277">
        <f>IF($W277="","",IF(INDEX('Per Invoice'!P$2:P$801,$W277)="","",INDEX('Per Invoice'!P$2:P$801,$W277)))</f>
        <v/>
      </c>
      <c r="Q277" s="7">
        <f>IF($W277="","",IF(INDEX('Per Invoice'!Q$2:Q$801,$W277)="","",INDEX('Per Invoice'!Q$2:Q$801,$W277)))</f>
        <v/>
      </c>
      <c r="R277" s="7">
        <f>IF($W277="","",IF(INDEX('Per Invoice'!R$2:R$801,$W277)="","",INDEX('Per Invoice'!R$2:R$801,$W277)))</f>
        <v/>
      </c>
      <c r="S277" s="7">
        <f>IF($W277="","",IF(INDEX('Per Invoice'!S$2:S$801,$W277)="","",INDEX('Per Invoice'!S$2:S$801,$W277)))</f>
        <v/>
      </c>
      <c r="T277" s="7">
        <f>IF($W277="","",IF(INDEX('Per Invoice'!T$2:T$801,$W277)="","",INDEX('Per Invoice'!T$2:T$801,$W277)))</f>
        <v/>
      </c>
      <c r="U277" s="7">
        <f>IF($W277="","",IF(INDEX('Per Invoice'!U$2:U$801,$W277)="","",INDEX('Per Invoice'!U$2:U$801,$W277)))</f>
        <v/>
      </c>
      <c r="V277" s="7">
        <f>IF($W277="","",IF(INDEX('Per Invoice'!V$2:V$801,$W277)="","",INDEX('Per Invoice'!V$2:V$801,$W277)))</f>
        <v/>
      </c>
      <c r="W277" s="16">
        <f>IFERROR(MATCH(Settings!$C$29&amp;"|"&amp;ROWS($W$2:$W277),'Per Invoice'!$X$2:$X$801,0),"")</f>
        <v/>
      </c>
    </row>
    <row r="278">
      <c r="A278">
        <f>IF($W278="","",IF(INDEX('Per Invoice'!A$2:A$801,$W278)="","",INDEX('Per Invoice'!A$2:A$801,$W278)))</f>
        <v/>
      </c>
      <c r="B278">
        <f>IF($W278="","",IF(INDEX('Per Invoice'!B$2:B$801,$W278)="","",INDEX('Per Invoice'!B$2:B$801,$W278)))</f>
        <v/>
      </c>
      <c r="C278">
        <f>IF($W278="","",IF(INDEX('Per Invoice'!C$2:C$801,$W278)="","",INDEX('Per Invoice'!C$2:C$801,$W278)))</f>
        <v/>
      </c>
      <c r="D278">
        <f>IF($W278="","",IF(INDEX('Per Invoice'!D$2:D$801,$W278)="","",INDEX('Per Invoice'!D$2:D$801,$W278)))</f>
        <v/>
      </c>
      <c r="E278">
        <f>IF($W278="","",IF(INDEX('Per Invoice'!E$2:E$801,$W278)="","",INDEX('Per Invoice'!E$2:E$801,$W278)))</f>
        <v/>
      </c>
      <c r="F278">
        <f>IF($W278="","",IF(INDEX('Per Invoice'!F$2:F$801,$W278)="","",INDEX('Per Invoice'!F$2:F$801,$W278)))</f>
        <v/>
      </c>
      <c r="G278">
        <f>IF($W278="","",IF(INDEX('Per Invoice'!G$2:G$801,$W278)="","",INDEX('Per Invoice'!G$2:G$801,$W278)))</f>
        <v/>
      </c>
      <c r="H278">
        <f>IF($W278="","",IF(INDEX('Per Invoice'!H$2:H$801,$W278)="","",INDEX('Per Invoice'!H$2:H$801,$W278)))</f>
        <v/>
      </c>
      <c r="I278">
        <f>IF($W278="","",IF(INDEX('Per Invoice'!I$2:I$801,$W278)="","",INDEX('Per Invoice'!I$2:I$801,$W278)))</f>
        <v/>
      </c>
      <c r="J278">
        <f>IF($W278="","",IF(INDEX('Per Invoice'!J$2:J$801,$W278)="","",INDEX('Per Invoice'!J$2:J$801,$W278)))</f>
        <v/>
      </c>
      <c r="K278" s="7">
        <f>IF($W278="","",IF(INDEX('Per Invoice'!K$2:K$801,$W278)="","",INDEX('Per Invoice'!K$2:K$801,$W278)))</f>
        <v/>
      </c>
      <c r="L278" s="14">
        <f>IF($W278="","",IF(INDEX('Per Invoice'!L$2:L$801,$W278)="","",INDEX('Per Invoice'!L$2:L$801,$W278)))</f>
        <v/>
      </c>
      <c r="M278">
        <f>IF($W278="","",IF(INDEX('Per Invoice'!M$2:M$801,$W278)="","",INDEX('Per Invoice'!M$2:M$801,$W278)))</f>
        <v/>
      </c>
      <c r="N278" s="7">
        <f>IF($W278="","",IF(INDEX('Per Invoice'!N$2:N$801,$W278)="","",INDEX('Per Invoice'!N$2:N$801,$W278)))</f>
        <v/>
      </c>
      <c r="O278" s="7">
        <f>IF($W278="","",IF(INDEX('Per Invoice'!O$2:O$801,$W278)="","",INDEX('Per Invoice'!O$2:O$801,$W278)))</f>
        <v/>
      </c>
      <c r="P278">
        <f>IF($W278="","",IF(INDEX('Per Invoice'!P$2:P$801,$W278)="","",INDEX('Per Invoice'!P$2:P$801,$W278)))</f>
        <v/>
      </c>
      <c r="Q278" s="7">
        <f>IF($W278="","",IF(INDEX('Per Invoice'!Q$2:Q$801,$W278)="","",INDEX('Per Invoice'!Q$2:Q$801,$W278)))</f>
        <v/>
      </c>
      <c r="R278" s="7">
        <f>IF($W278="","",IF(INDEX('Per Invoice'!R$2:R$801,$W278)="","",INDEX('Per Invoice'!R$2:R$801,$W278)))</f>
        <v/>
      </c>
      <c r="S278" s="7">
        <f>IF($W278="","",IF(INDEX('Per Invoice'!S$2:S$801,$W278)="","",INDEX('Per Invoice'!S$2:S$801,$W278)))</f>
        <v/>
      </c>
      <c r="T278" s="7">
        <f>IF($W278="","",IF(INDEX('Per Invoice'!T$2:T$801,$W278)="","",INDEX('Per Invoice'!T$2:T$801,$W278)))</f>
        <v/>
      </c>
      <c r="U278" s="7">
        <f>IF($W278="","",IF(INDEX('Per Invoice'!U$2:U$801,$W278)="","",INDEX('Per Invoice'!U$2:U$801,$W278)))</f>
        <v/>
      </c>
      <c r="V278" s="7">
        <f>IF($W278="","",IF(INDEX('Per Invoice'!V$2:V$801,$W278)="","",INDEX('Per Invoice'!V$2:V$801,$W278)))</f>
        <v/>
      </c>
      <c r="W278" s="16">
        <f>IFERROR(MATCH(Settings!$C$29&amp;"|"&amp;ROWS($W$2:$W278),'Per Invoice'!$X$2:$X$801,0),"")</f>
        <v/>
      </c>
    </row>
    <row r="279">
      <c r="A279">
        <f>IF($W279="","",IF(INDEX('Per Invoice'!A$2:A$801,$W279)="","",INDEX('Per Invoice'!A$2:A$801,$W279)))</f>
        <v/>
      </c>
      <c r="B279">
        <f>IF($W279="","",IF(INDEX('Per Invoice'!B$2:B$801,$W279)="","",INDEX('Per Invoice'!B$2:B$801,$W279)))</f>
        <v/>
      </c>
      <c r="C279">
        <f>IF($W279="","",IF(INDEX('Per Invoice'!C$2:C$801,$W279)="","",INDEX('Per Invoice'!C$2:C$801,$W279)))</f>
        <v/>
      </c>
      <c r="D279">
        <f>IF($W279="","",IF(INDEX('Per Invoice'!D$2:D$801,$W279)="","",INDEX('Per Invoice'!D$2:D$801,$W279)))</f>
        <v/>
      </c>
      <c r="E279">
        <f>IF($W279="","",IF(INDEX('Per Invoice'!E$2:E$801,$W279)="","",INDEX('Per Invoice'!E$2:E$801,$W279)))</f>
        <v/>
      </c>
      <c r="F279">
        <f>IF($W279="","",IF(INDEX('Per Invoice'!F$2:F$801,$W279)="","",INDEX('Per Invoice'!F$2:F$801,$W279)))</f>
        <v/>
      </c>
      <c r="G279">
        <f>IF($W279="","",IF(INDEX('Per Invoice'!G$2:G$801,$W279)="","",INDEX('Per Invoice'!G$2:G$801,$W279)))</f>
        <v/>
      </c>
      <c r="H279">
        <f>IF($W279="","",IF(INDEX('Per Invoice'!H$2:H$801,$W279)="","",INDEX('Per Invoice'!H$2:H$801,$W279)))</f>
        <v/>
      </c>
      <c r="I279">
        <f>IF($W279="","",IF(INDEX('Per Invoice'!I$2:I$801,$W279)="","",INDEX('Per Invoice'!I$2:I$801,$W279)))</f>
        <v/>
      </c>
      <c r="J279">
        <f>IF($W279="","",IF(INDEX('Per Invoice'!J$2:J$801,$W279)="","",INDEX('Per Invoice'!J$2:J$801,$W279)))</f>
        <v/>
      </c>
      <c r="K279" s="7">
        <f>IF($W279="","",IF(INDEX('Per Invoice'!K$2:K$801,$W279)="","",INDEX('Per Invoice'!K$2:K$801,$W279)))</f>
        <v/>
      </c>
      <c r="L279" s="14">
        <f>IF($W279="","",IF(INDEX('Per Invoice'!L$2:L$801,$W279)="","",INDEX('Per Invoice'!L$2:L$801,$W279)))</f>
        <v/>
      </c>
      <c r="M279">
        <f>IF($W279="","",IF(INDEX('Per Invoice'!M$2:M$801,$W279)="","",INDEX('Per Invoice'!M$2:M$801,$W279)))</f>
        <v/>
      </c>
      <c r="N279" s="7">
        <f>IF($W279="","",IF(INDEX('Per Invoice'!N$2:N$801,$W279)="","",INDEX('Per Invoice'!N$2:N$801,$W279)))</f>
        <v/>
      </c>
      <c r="O279" s="7">
        <f>IF($W279="","",IF(INDEX('Per Invoice'!O$2:O$801,$W279)="","",INDEX('Per Invoice'!O$2:O$801,$W279)))</f>
        <v/>
      </c>
      <c r="P279">
        <f>IF($W279="","",IF(INDEX('Per Invoice'!P$2:P$801,$W279)="","",INDEX('Per Invoice'!P$2:P$801,$W279)))</f>
        <v/>
      </c>
      <c r="Q279" s="7">
        <f>IF($W279="","",IF(INDEX('Per Invoice'!Q$2:Q$801,$W279)="","",INDEX('Per Invoice'!Q$2:Q$801,$W279)))</f>
        <v/>
      </c>
      <c r="R279" s="7">
        <f>IF($W279="","",IF(INDEX('Per Invoice'!R$2:R$801,$W279)="","",INDEX('Per Invoice'!R$2:R$801,$W279)))</f>
        <v/>
      </c>
      <c r="S279" s="7">
        <f>IF($W279="","",IF(INDEX('Per Invoice'!S$2:S$801,$W279)="","",INDEX('Per Invoice'!S$2:S$801,$W279)))</f>
        <v/>
      </c>
      <c r="T279" s="7">
        <f>IF($W279="","",IF(INDEX('Per Invoice'!T$2:T$801,$W279)="","",INDEX('Per Invoice'!T$2:T$801,$W279)))</f>
        <v/>
      </c>
      <c r="U279" s="7">
        <f>IF($W279="","",IF(INDEX('Per Invoice'!U$2:U$801,$W279)="","",INDEX('Per Invoice'!U$2:U$801,$W279)))</f>
        <v/>
      </c>
      <c r="V279" s="7">
        <f>IF($W279="","",IF(INDEX('Per Invoice'!V$2:V$801,$W279)="","",INDEX('Per Invoice'!V$2:V$801,$W279)))</f>
        <v/>
      </c>
      <c r="W279" s="16">
        <f>IFERROR(MATCH(Settings!$C$29&amp;"|"&amp;ROWS($W$2:$W279),'Per Invoice'!$X$2:$X$801,0),"")</f>
        <v/>
      </c>
    </row>
    <row r="280">
      <c r="A280">
        <f>IF($W280="","",IF(INDEX('Per Invoice'!A$2:A$801,$W280)="","",INDEX('Per Invoice'!A$2:A$801,$W280)))</f>
        <v/>
      </c>
      <c r="B280">
        <f>IF($W280="","",IF(INDEX('Per Invoice'!B$2:B$801,$W280)="","",INDEX('Per Invoice'!B$2:B$801,$W280)))</f>
        <v/>
      </c>
      <c r="C280">
        <f>IF($W280="","",IF(INDEX('Per Invoice'!C$2:C$801,$W280)="","",INDEX('Per Invoice'!C$2:C$801,$W280)))</f>
        <v/>
      </c>
      <c r="D280">
        <f>IF($W280="","",IF(INDEX('Per Invoice'!D$2:D$801,$W280)="","",INDEX('Per Invoice'!D$2:D$801,$W280)))</f>
        <v/>
      </c>
      <c r="E280">
        <f>IF($W280="","",IF(INDEX('Per Invoice'!E$2:E$801,$W280)="","",INDEX('Per Invoice'!E$2:E$801,$W280)))</f>
        <v/>
      </c>
      <c r="F280">
        <f>IF($W280="","",IF(INDEX('Per Invoice'!F$2:F$801,$W280)="","",INDEX('Per Invoice'!F$2:F$801,$W280)))</f>
        <v/>
      </c>
      <c r="G280">
        <f>IF($W280="","",IF(INDEX('Per Invoice'!G$2:G$801,$W280)="","",INDEX('Per Invoice'!G$2:G$801,$W280)))</f>
        <v/>
      </c>
      <c r="H280">
        <f>IF($W280="","",IF(INDEX('Per Invoice'!H$2:H$801,$W280)="","",INDEX('Per Invoice'!H$2:H$801,$W280)))</f>
        <v/>
      </c>
      <c r="I280">
        <f>IF($W280="","",IF(INDEX('Per Invoice'!I$2:I$801,$W280)="","",INDEX('Per Invoice'!I$2:I$801,$W280)))</f>
        <v/>
      </c>
      <c r="J280">
        <f>IF($W280="","",IF(INDEX('Per Invoice'!J$2:J$801,$W280)="","",INDEX('Per Invoice'!J$2:J$801,$W280)))</f>
        <v/>
      </c>
      <c r="K280" s="7">
        <f>IF($W280="","",IF(INDEX('Per Invoice'!K$2:K$801,$W280)="","",INDEX('Per Invoice'!K$2:K$801,$W280)))</f>
        <v/>
      </c>
      <c r="L280" s="14">
        <f>IF($W280="","",IF(INDEX('Per Invoice'!L$2:L$801,$W280)="","",INDEX('Per Invoice'!L$2:L$801,$W280)))</f>
        <v/>
      </c>
      <c r="M280">
        <f>IF($W280="","",IF(INDEX('Per Invoice'!M$2:M$801,$W280)="","",INDEX('Per Invoice'!M$2:M$801,$W280)))</f>
        <v/>
      </c>
      <c r="N280" s="7">
        <f>IF($W280="","",IF(INDEX('Per Invoice'!N$2:N$801,$W280)="","",INDEX('Per Invoice'!N$2:N$801,$W280)))</f>
        <v/>
      </c>
      <c r="O280" s="7">
        <f>IF($W280="","",IF(INDEX('Per Invoice'!O$2:O$801,$W280)="","",INDEX('Per Invoice'!O$2:O$801,$W280)))</f>
        <v/>
      </c>
      <c r="P280">
        <f>IF($W280="","",IF(INDEX('Per Invoice'!P$2:P$801,$W280)="","",INDEX('Per Invoice'!P$2:P$801,$W280)))</f>
        <v/>
      </c>
      <c r="Q280" s="7">
        <f>IF($W280="","",IF(INDEX('Per Invoice'!Q$2:Q$801,$W280)="","",INDEX('Per Invoice'!Q$2:Q$801,$W280)))</f>
        <v/>
      </c>
      <c r="R280" s="7">
        <f>IF($W280="","",IF(INDEX('Per Invoice'!R$2:R$801,$W280)="","",INDEX('Per Invoice'!R$2:R$801,$W280)))</f>
        <v/>
      </c>
      <c r="S280" s="7">
        <f>IF($W280="","",IF(INDEX('Per Invoice'!S$2:S$801,$W280)="","",INDEX('Per Invoice'!S$2:S$801,$W280)))</f>
        <v/>
      </c>
      <c r="T280" s="7">
        <f>IF($W280="","",IF(INDEX('Per Invoice'!T$2:T$801,$W280)="","",INDEX('Per Invoice'!T$2:T$801,$W280)))</f>
        <v/>
      </c>
      <c r="U280" s="7">
        <f>IF($W280="","",IF(INDEX('Per Invoice'!U$2:U$801,$W280)="","",INDEX('Per Invoice'!U$2:U$801,$W280)))</f>
        <v/>
      </c>
      <c r="V280" s="7">
        <f>IF($W280="","",IF(INDEX('Per Invoice'!V$2:V$801,$W280)="","",INDEX('Per Invoice'!V$2:V$801,$W280)))</f>
        <v/>
      </c>
      <c r="W280" s="16">
        <f>IFERROR(MATCH(Settings!$C$29&amp;"|"&amp;ROWS($W$2:$W280),'Per Invoice'!$X$2:$X$801,0),"")</f>
        <v/>
      </c>
    </row>
    <row r="281">
      <c r="A281">
        <f>IF($W281="","",IF(INDEX('Per Invoice'!A$2:A$801,$W281)="","",INDEX('Per Invoice'!A$2:A$801,$W281)))</f>
        <v/>
      </c>
      <c r="B281">
        <f>IF($W281="","",IF(INDEX('Per Invoice'!B$2:B$801,$W281)="","",INDEX('Per Invoice'!B$2:B$801,$W281)))</f>
        <v/>
      </c>
      <c r="C281">
        <f>IF($W281="","",IF(INDEX('Per Invoice'!C$2:C$801,$W281)="","",INDEX('Per Invoice'!C$2:C$801,$W281)))</f>
        <v/>
      </c>
      <c r="D281">
        <f>IF($W281="","",IF(INDEX('Per Invoice'!D$2:D$801,$W281)="","",INDEX('Per Invoice'!D$2:D$801,$W281)))</f>
        <v/>
      </c>
      <c r="E281">
        <f>IF($W281="","",IF(INDEX('Per Invoice'!E$2:E$801,$W281)="","",INDEX('Per Invoice'!E$2:E$801,$W281)))</f>
        <v/>
      </c>
      <c r="F281">
        <f>IF($W281="","",IF(INDEX('Per Invoice'!F$2:F$801,$W281)="","",INDEX('Per Invoice'!F$2:F$801,$W281)))</f>
        <v/>
      </c>
      <c r="G281">
        <f>IF($W281="","",IF(INDEX('Per Invoice'!G$2:G$801,$W281)="","",INDEX('Per Invoice'!G$2:G$801,$W281)))</f>
        <v/>
      </c>
      <c r="H281">
        <f>IF($W281="","",IF(INDEX('Per Invoice'!H$2:H$801,$W281)="","",INDEX('Per Invoice'!H$2:H$801,$W281)))</f>
        <v/>
      </c>
      <c r="I281">
        <f>IF($W281="","",IF(INDEX('Per Invoice'!I$2:I$801,$W281)="","",INDEX('Per Invoice'!I$2:I$801,$W281)))</f>
        <v/>
      </c>
      <c r="J281">
        <f>IF($W281="","",IF(INDEX('Per Invoice'!J$2:J$801,$W281)="","",INDEX('Per Invoice'!J$2:J$801,$W281)))</f>
        <v/>
      </c>
      <c r="K281" s="7">
        <f>IF($W281="","",IF(INDEX('Per Invoice'!K$2:K$801,$W281)="","",INDEX('Per Invoice'!K$2:K$801,$W281)))</f>
        <v/>
      </c>
      <c r="L281" s="14">
        <f>IF($W281="","",IF(INDEX('Per Invoice'!L$2:L$801,$W281)="","",INDEX('Per Invoice'!L$2:L$801,$W281)))</f>
        <v/>
      </c>
      <c r="M281">
        <f>IF($W281="","",IF(INDEX('Per Invoice'!M$2:M$801,$W281)="","",INDEX('Per Invoice'!M$2:M$801,$W281)))</f>
        <v/>
      </c>
      <c r="N281" s="7">
        <f>IF($W281="","",IF(INDEX('Per Invoice'!N$2:N$801,$W281)="","",INDEX('Per Invoice'!N$2:N$801,$W281)))</f>
        <v/>
      </c>
      <c r="O281" s="7">
        <f>IF($W281="","",IF(INDEX('Per Invoice'!O$2:O$801,$W281)="","",INDEX('Per Invoice'!O$2:O$801,$W281)))</f>
        <v/>
      </c>
      <c r="P281">
        <f>IF($W281="","",IF(INDEX('Per Invoice'!P$2:P$801,$W281)="","",INDEX('Per Invoice'!P$2:P$801,$W281)))</f>
        <v/>
      </c>
      <c r="Q281" s="7">
        <f>IF($W281="","",IF(INDEX('Per Invoice'!Q$2:Q$801,$W281)="","",INDEX('Per Invoice'!Q$2:Q$801,$W281)))</f>
        <v/>
      </c>
      <c r="R281" s="7">
        <f>IF($W281="","",IF(INDEX('Per Invoice'!R$2:R$801,$W281)="","",INDEX('Per Invoice'!R$2:R$801,$W281)))</f>
        <v/>
      </c>
      <c r="S281" s="7">
        <f>IF($W281="","",IF(INDEX('Per Invoice'!S$2:S$801,$W281)="","",INDEX('Per Invoice'!S$2:S$801,$W281)))</f>
        <v/>
      </c>
      <c r="T281" s="7">
        <f>IF($W281="","",IF(INDEX('Per Invoice'!T$2:T$801,$W281)="","",INDEX('Per Invoice'!T$2:T$801,$W281)))</f>
        <v/>
      </c>
      <c r="U281" s="7">
        <f>IF($W281="","",IF(INDEX('Per Invoice'!U$2:U$801,$W281)="","",INDEX('Per Invoice'!U$2:U$801,$W281)))</f>
        <v/>
      </c>
      <c r="V281" s="7">
        <f>IF($W281="","",IF(INDEX('Per Invoice'!V$2:V$801,$W281)="","",INDEX('Per Invoice'!V$2:V$801,$W281)))</f>
        <v/>
      </c>
      <c r="W281" s="16">
        <f>IFERROR(MATCH(Settings!$C$29&amp;"|"&amp;ROWS($W$2:$W281),'Per Invoice'!$X$2:$X$801,0),"")</f>
        <v/>
      </c>
    </row>
    <row r="282">
      <c r="A282">
        <f>IF($W282="","",IF(INDEX('Per Invoice'!A$2:A$801,$W282)="","",INDEX('Per Invoice'!A$2:A$801,$W282)))</f>
        <v/>
      </c>
      <c r="B282">
        <f>IF($W282="","",IF(INDEX('Per Invoice'!B$2:B$801,$W282)="","",INDEX('Per Invoice'!B$2:B$801,$W282)))</f>
        <v/>
      </c>
      <c r="C282">
        <f>IF($W282="","",IF(INDEX('Per Invoice'!C$2:C$801,$W282)="","",INDEX('Per Invoice'!C$2:C$801,$W282)))</f>
        <v/>
      </c>
      <c r="D282">
        <f>IF($W282="","",IF(INDEX('Per Invoice'!D$2:D$801,$W282)="","",INDEX('Per Invoice'!D$2:D$801,$W282)))</f>
        <v/>
      </c>
      <c r="E282">
        <f>IF($W282="","",IF(INDEX('Per Invoice'!E$2:E$801,$W282)="","",INDEX('Per Invoice'!E$2:E$801,$W282)))</f>
        <v/>
      </c>
      <c r="F282">
        <f>IF($W282="","",IF(INDEX('Per Invoice'!F$2:F$801,$W282)="","",INDEX('Per Invoice'!F$2:F$801,$W282)))</f>
        <v/>
      </c>
      <c r="G282">
        <f>IF($W282="","",IF(INDEX('Per Invoice'!G$2:G$801,$W282)="","",INDEX('Per Invoice'!G$2:G$801,$W282)))</f>
        <v/>
      </c>
      <c r="H282">
        <f>IF($W282="","",IF(INDEX('Per Invoice'!H$2:H$801,$W282)="","",INDEX('Per Invoice'!H$2:H$801,$W282)))</f>
        <v/>
      </c>
      <c r="I282">
        <f>IF($W282="","",IF(INDEX('Per Invoice'!I$2:I$801,$W282)="","",INDEX('Per Invoice'!I$2:I$801,$W282)))</f>
        <v/>
      </c>
      <c r="J282">
        <f>IF($W282="","",IF(INDEX('Per Invoice'!J$2:J$801,$W282)="","",INDEX('Per Invoice'!J$2:J$801,$W282)))</f>
        <v/>
      </c>
      <c r="K282" s="7">
        <f>IF($W282="","",IF(INDEX('Per Invoice'!K$2:K$801,$W282)="","",INDEX('Per Invoice'!K$2:K$801,$W282)))</f>
        <v/>
      </c>
      <c r="L282" s="14">
        <f>IF($W282="","",IF(INDEX('Per Invoice'!L$2:L$801,$W282)="","",INDEX('Per Invoice'!L$2:L$801,$W282)))</f>
        <v/>
      </c>
      <c r="M282">
        <f>IF($W282="","",IF(INDEX('Per Invoice'!M$2:M$801,$W282)="","",INDEX('Per Invoice'!M$2:M$801,$W282)))</f>
        <v/>
      </c>
      <c r="N282" s="7">
        <f>IF($W282="","",IF(INDEX('Per Invoice'!N$2:N$801,$W282)="","",INDEX('Per Invoice'!N$2:N$801,$W282)))</f>
        <v/>
      </c>
      <c r="O282" s="7">
        <f>IF($W282="","",IF(INDEX('Per Invoice'!O$2:O$801,$W282)="","",INDEX('Per Invoice'!O$2:O$801,$W282)))</f>
        <v/>
      </c>
      <c r="P282">
        <f>IF($W282="","",IF(INDEX('Per Invoice'!P$2:P$801,$W282)="","",INDEX('Per Invoice'!P$2:P$801,$W282)))</f>
        <v/>
      </c>
      <c r="Q282" s="7">
        <f>IF($W282="","",IF(INDEX('Per Invoice'!Q$2:Q$801,$W282)="","",INDEX('Per Invoice'!Q$2:Q$801,$W282)))</f>
        <v/>
      </c>
      <c r="R282" s="7">
        <f>IF($W282="","",IF(INDEX('Per Invoice'!R$2:R$801,$W282)="","",INDEX('Per Invoice'!R$2:R$801,$W282)))</f>
        <v/>
      </c>
      <c r="S282" s="7">
        <f>IF($W282="","",IF(INDEX('Per Invoice'!S$2:S$801,$W282)="","",INDEX('Per Invoice'!S$2:S$801,$W282)))</f>
        <v/>
      </c>
      <c r="T282" s="7">
        <f>IF($W282="","",IF(INDEX('Per Invoice'!T$2:T$801,$W282)="","",INDEX('Per Invoice'!T$2:T$801,$W282)))</f>
        <v/>
      </c>
      <c r="U282" s="7">
        <f>IF($W282="","",IF(INDEX('Per Invoice'!U$2:U$801,$W282)="","",INDEX('Per Invoice'!U$2:U$801,$W282)))</f>
        <v/>
      </c>
      <c r="V282" s="7">
        <f>IF($W282="","",IF(INDEX('Per Invoice'!V$2:V$801,$W282)="","",INDEX('Per Invoice'!V$2:V$801,$W282)))</f>
        <v/>
      </c>
      <c r="W282" s="16">
        <f>IFERROR(MATCH(Settings!$C$29&amp;"|"&amp;ROWS($W$2:$W282),'Per Invoice'!$X$2:$X$801,0),"")</f>
        <v/>
      </c>
    </row>
    <row r="283">
      <c r="A283">
        <f>IF($W283="","",IF(INDEX('Per Invoice'!A$2:A$801,$W283)="","",INDEX('Per Invoice'!A$2:A$801,$W283)))</f>
        <v/>
      </c>
      <c r="B283">
        <f>IF($W283="","",IF(INDEX('Per Invoice'!B$2:B$801,$W283)="","",INDEX('Per Invoice'!B$2:B$801,$W283)))</f>
        <v/>
      </c>
      <c r="C283">
        <f>IF($W283="","",IF(INDEX('Per Invoice'!C$2:C$801,$W283)="","",INDEX('Per Invoice'!C$2:C$801,$W283)))</f>
        <v/>
      </c>
      <c r="D283">
        <f>IF($W283="","",IF(INDEX('Per Invoice'!D$2:D$801,$W283)="","",INDEX('Per Invoice'!D$2:D$801,$W283)))</f>
        <v/>
      </c>
      <c r="E283">
        <f>IF($W283="","",IF(INDEX('Per Invoice'!E$2:E$801,$W283)="","",INDEX('Per Invoice'!E$2:E$801,$W283)))</f>
        <v/>
      </c>
      <c r="F283">
        <f>IF($W283="","",IF(INDEX('Per Invoice'!F$2:F$801,$W283)="","",INDEX('Per Invoice'!F$2:F$801,$W283)))</f>
        <v/>
      </c>
      <c r="G283">
        <f>IF($W283="","",IF(INDEX('Per Invoice'!G$2:G$801,$W283)="","",INDEX('Per Invoice'!G$2:G$801,$W283)))</f>
        <v/>
      </c>
      <c r="H283">
        <f>IF($W283="","",IF(INDEX('Per Invoice'!H$2:H$801,$W283)="","",INDEX('Per Invoice'!H$2:H$801,$W283)))</f>
        <v/>
      </c>
      <c r="I283">
        <f>IF($W283="","",IF(INDEX('Per Invoice'!I$2:I$801,$W283)="","",INDEX('Per Invoice'!I$2:I$801,$W283)))</f>
        <v/>
      </c>
      <c r="J283">
        <f>IF($W283="","",IF(INDEX('Per Invoice'!J$2:J$801,$W283)="","",INDEX('Per Invoice'!J$2:J$801,$W283)))</f>
        <v/>
      </c>
      <c r="K283" s="7">
        <f>IF($W283="","",IF(INDEX('Per Invoice'!K$2:K$801,$W283)="","",INDEX('Per Invoice'!K$2:K$801,$W283)))</f>
        <v/>
      </c>
      <c r="L283" s="14">
        <f>IF($W283="","",IF(INDEX('Per Invoice'!L$2:L$801,$W283)="","",INDEX('Per Invoice'!L$2:L$801,$W283)))</f>
        <v/>
      </c>
      <c r="M283">
        <f>IF($W283="","",IF(INDEX('Per Invoice'!M$2:M$801,$W283)="","",INDEX('Per Invoice'!M$2:M$801,$W283)))</f>
        <v/>
      </c>
      <c r="N283" s="7">
        <f>IF($W283="","",IF(INDEX('Per Invoice'!N$2:N$801,$W283)="","",INDEX('Per Invoice'!N$2:N$801,$W283)))</f>
        <v/>
      </c>
      <c r="O283" s="7">
        <f>IF($W283="","",IF(INDEX('Per Invoice'!O$2:O$801,$W283)="","",INDEX('Per Invoice'!O$2:O$801,$W283)))</f>
        <v/>
      </c>
      <c r="P283">
        <f>IF($W283="","",IF(INDEX('Per Invoice'!P$2:P$801,$W283)="","",INDEX('Per Invoice'!P$2:P$801,$W283)))</f>
        <v/>
      </c>
      <c r="Q283" s="7">
        <f>IF($W283="","",IF(INDEX('Per Invoice'!Q$2:Q$801,$W283)="","",INDEX('Per Invoice'!Q$2:Q$801,$W283)))</f>
        <v/>
      </c>
      <c r="R283" s="7">
        <f>IF($W283="","",IF(INDEX('Per Invoice'!R$2:R$801,$W283)="","",INDEX('Per Invoice'!R$2:R$801,$W283)))</f>
        <v/>
      </c>
      <c r="S283" s="7">
        <f>IF($W283="","",IF(INDEX('Per Invoice'!S$2:S$801,$W283)="","",INDEX('Per Invoice'!S$2:S$801,$W283)))</f>
        <v/>
      </c>
      <c r="T283" s="7">
        <f>IF($W283="","",IF(INDEX('Per Invoice'!T$2:T$801,$W283)="","",INDEX('Per Invoice'!T$2:T$801,$W283)))</f>
        <v/>
      </c>
      <c r="U283" s="7">
        <f>IF($W283="","",IF(INDEX('Per Invoice'!U$2:U$801,$W283)="","",INDEX('Per Invoice'!U$2:U$801,$W283)))</f>
        <v/>
      </c>
      <c r="V283" s="7">
        <f>IF($W283="","",IF(INDEX('Per Invoice'!V$2:V$801,$W283)="","",INDEX('Per Invoice'!V$2:V$801,$W283)))</f>
        <v/>
      </c>
      <c r="W283" s="16">
        <f>IFERROR(MATCH(Settings!$C$29&amp;"|"&amp;ROWS($W$2:$W283),'Per Invoice'!$X$2:$X$801,0),"")</f>
        <v/>
      </c>
    </row>
    <row r="284">
      <c r="A284">
        <f>IF($W284="","",IF(INDEX('Per Invoice'!A$2:A$801,$W284)="","",INDEX('Per Invoice'!A$2:A$801,$W284)))</f>
        <v/>
      </c>
      <c r="B284">
        <f>IF($W284="","",IF(INDEX('Per Invoice'!B$2:B$801,$W284)="","",INDEX('Per Invoice'!B$2:B$801,$W284)))</f>
        <v/>
      </c>
      <c r="C284">
        <f>IF($W284="","",IF(INDEX('Per Invoice'!C$2:C$801,$W284)="","",INDEX('Per Invoice'!C$2:C$801,$W284)))</f>
        <v/>
      </c>
      <c r="D284">
        <f>IF($W284="","",IF(INDEX('Per Invoice'!D$2:D$801,$W284)="","",INDEX('Per Invoice'!D$2:D$801,$W284)))</f>
        <v/>
      </c>
      <c r="E284">
        <f>IF($W284="","",IF(INDEX('Per Invoice'!E$2:E$801,$W284)="","",INDEX('Per Invoice'!E$2:E$801,$W284)))</f>
        <v/>
      </c>
      <c r="F284">
        <f>IF($W284="","",IF(INDEX('Per Invoice'!F$2:F$801,$W284)="","",INDEX('Per Invoice'!F$2:F$801,$W284)))</f>
        <v/>
      </c>
      <c r="G284">
        <f>IF($W284="","",IF(INDEX('Per Invoice'!G$2:G$801,$W284)="","",INDEX('Per Invoice'!G$2:G$801,$W284)))</f>
        <v/>
      </c>
      <c r="H284">
        <f>IF($W284="","",IF(INDEX('Per Invoice'!H$2:H$801,$W284)="","",INDEX('Per Invoice'!H$2:H$801,$W284)))</f>
        <v/>
      </c>
      <c r="I284">
        <f>IF($W284="","",IF(INDEX('Per Invoice'!I$2:I$801,$W284)="","",INDEX('Per Invoice'!I$2:I$801,$W284)))</f>
        <v/>
      </c>
      <c r="J284">
        <f>IF($W284="","",IF(INDEX('Per Invoice'!J$2:J$801,$W284)="","",INDEX('Per Invoice'!J$2:J$801,$W284)))</f>
        <v/>
      </c>
      <c r="K284" s="7">
        <f>IF($W284="","",IF(INDEX('Per Invoice'!K$2:K$801,$W284)="","",INDEX('Per Invoice'!K$2:K$801,$W284)))</f>
        <v/>
      </c>
      <c r="L284" s="14">
        <f>IF($W284="","",IF(INDEX('Per Invoice'!L$2:L$801,$W284)="","",INDEX('Per Invoice'!L$2:L$801,$W284)))</f>
        <v/>
      </c>
      <c r="M284">
        <f>IF($W284="","",IF(INDEX('Per Invoice'!M$2:M$801,$W284)="","",INDEX('Per Invoice'!M$2:M$801,$W284)))</f>
        <v/>
      </c>
      <c r="N284" s="7">
        <f>IF($W284="","",IF(INDEX('Per Invoice'!N$2:N$801,$W284)="","",INDEX('Per Invoice'!N$2:N$801,$W284)))</f>
        <v/>
      </c>
      <c r="O284" s="7">
        <f>IF($W284="","",IF(INDEX('Per Invoice'!O$2:O$801,$W284)="","",INDEX('Per Invoice'!O$2:O$801,$W284)))</f>
        <v/>
      </c>
      <c r="P284">
        <f>IF($W284="","",IF(INDEX('Per Invoice'!P$2:P$801,$W284)="","",INDEX('Per Invoice'!P$2:P$801,$W284)))</f>
        <v/>
      </c>
      <c r="Q284" s="7">
        <f>IF($W284="","",IF(INDEX('Per Invoice'!Q$2:Q$801,$W284)="","",INDEX('Per Invoice'!Q$2:Q$801,$W284)))</f>
        <v/>
      </c>
      <c r="R284" s="7">
        <f>IF($W284="","",IF(INDEX('Per Invoice'!R$2:R$801,$W284)="","",INDEX('Per Invoice'!R$2:R$801,$W284)))</f>
        <v/>
      </c>
      <c r="S284" s="7">
        <f>IF($W284="","",IF(INDEX('Per Invoice'!S$2:S$801,$W284)="","",INDEX('Per Invoice'!S$2:S$801,$W284)))</f>
        <v/>
      </c>
      <c r="T284" s="7">
        <f>IF($W284="","",IF(INDEX('Per Invoice'!T$2:T$801,$W284)="","",INDEX('Per Invoice'!T$2:T$801,$W284)))</f>
        <v/>
      </c>
      <c r="U284" s="7">
        <f>IF($W284="","",IF(INDEX('Per Invoice'!U$2:U$801,$W284)="","",INDEX('Per Invoice'!U$2:U$801,$W284)))</f>
        <v/>
      </c>
      <c r="V284" s="7">
        <f>IF($W284="","",IF(INDEX('Per Invoice'!V$2:V$801,$W284)="","",INDEX('Per Invoice'!V$2:V$801,$W284)))</f>
        <v/>
      </c>
      <c r="W284" s="16">
        <f>IFERROR(MATCH(Settings!$C$29&amp;"|"&amp;ROWS($W$2:$W284),'Per Invoice'!$X$2:$X$801,0),"")</f>
        <v/>
      </c>
    </row>
    <row r="285">
      <c r="A285">
        <f>IF($W285="","",IF(INDEX('Per Invoice'!A$2:A$801,$W285)="","",INDEX('Per Invoice'!A$2:A$801,$W285)))</f>
        <v/>
      </c>
      <c r="B285">
        <f>IF($W285="","",IF(INDEX('Per Invoice'!B$2:B$801,$W285)="","",INDEX('Per Invoice'!B$2:B$801,$W285)))</f>
        <v/>
      </c>
      <c r="C285">
        <f>IF($W285="","",IF(INDEX('Per Invoice'!C$2:C$801,$W285)="","",INDEX('Per Invoice'!C$2:C$801,$W285)))</f>
        <v/>
      </c>
      <c r="D285">
        <f>IF($W285="","",IF(INDEX('Per Invoice'!D$2:D$801,$W285)="","",INDEX('Per Invoice'!D$2:D$801,$W285)))</f>
        <v/>
      </c>
      <c r="E285">
        <f>IF($W285="","",IF(INDEX('Per Invoice'!E$2:E$801,$W285)="","",INDEX('Per Invoice'!E$2:E$801,$W285)))</f>
        <v/>
      </c>
      <c r="F285">
        <f>IF($W285="","",IF(INDEX('Per Invoice'!F$2:F$801,$W285)="","",INDEX('Per Invoice'!F$2:F$801,$W285)))</f>
        <v/>
      </c>
      <c r="G285">
        <f>IF($W285="","",IF(INDEX('Per Invoice'!G$2:G$801,$W285)="","",INDEX('Per Invoice'!G$2:G$801,$W285)))</f>
        <v/>
      </c>
      <c r="H285">
        <f>IF($W285="","",IF(INDEX('Per Invoice'!H$2:H$801,$W285)="","",INDEX('Per Invoice'!H$2:H$801,$W285)))</f>
        <v/>
      </c>
      <c r="I285">
        <f>IF($W285="","",IF(INDEX('Per Invoice'!I$2:I$801,$W285)="","",INDEX('Per Invoice'!I$2:I$801,$W285)))</f>
        <v/>
      </c>
      <c r="J285">
        <f>IF($W285="","",IF(INDEX('Per Invoice'!J$2:J$801,$W285)="","",INDEX('Per Invoice'!J$2:J$801,$W285)))</f>
        <v/>
      </c>
      <c r="K285" s="7">
        <f>IF($W285="","",IF(INDEX('Per Invoice'!K$2:K$801,$W285)="","",INDEX('Per Invoice'!K$2:K$801,$W285)))</f>
        <v/>
      </c>
      <c r="L285" s="14">
        <f>IF($W285="","",IF(INDEX('Per Invoice'!L$2:L$801,$W285)="","",INDEX('Per Invoice'!L$2:L$801,$W285)))</f>
        <v/>
      </c>
      <c r="M285">
        <f>IF($W285="","",IF(INDEX('Per Invoice'!M$2:M$801,$W285)="","",INDEX('Per Invoice'!M$2:M$801,$W285)))</f>
        <v/>
      </c>
      <c r="N285" s="7">
        <f>IF($W285="","",IF(INDEX('Per Invoice'!N$2:N$801,$W285)="","",INDEX('Per Invoice'!N$2:N$801,$W285)))</f>
        <v/>
      </c>
      <c r="O285" s="7">
        <f>IF($W285="","",IF(INDEX('Per Invoice'!O$2:O$801,$W285)="","",INDEX('Per Invoice'!O$2:O$801,$W285)))</f>
        <v/>
      </c>
      <c r="P285">
        <f>IF($W285="","",IF(INDEX('Per Invoice'!P$2:P$801,$W285)="","",INDEX('Per Invoice'!P$2:P$801,$W285)))</f>
        <v/>
      </c>
      <c r="Q285" s="7">
        <f>IF($W285="","",IF(INDEX('Per Invoice'!Q$2:Q$801,$W285)="","",INDEX('Per Invoice'!Q$2:Q$801,$W285)))</f>
        <v/>
      </c>
      <c r="R285" s="7">
        <f>IF($W285="","",IF(INDEX('Per Invoice'!R$2:R$801,$W285)="","",INDEX('Per Invoice'!R$2:R$801,$W285)))</f>
        <v/>
      </c>
      <c r="S285" s="7">
        <f>IF($W285="","",IF(INDEX('Per Invoice'!S$2:S$801,$W285)="","",INDEX('Per Invoice'!S$2:S$801,$W285)))</f>
        <v/>
      </c>
      <c r="T285" s="7">
        <f>IF($W285="","",IF(INDEX('Per Invoice'!T$2:T$801,$W285)="","",INDEX('Per Invoice'!T$2:T$801,$W285)))</f>
        <v/>
      </c>
      <c r="U285" s="7">
        <f>IF($W285="","",IF(INDEX('Per Invoice'!U$2:U$801,$W285)="","",INDEX('Per Invoice'!U$2:U$801,$W285)))</f>
        <v/>
      </c>
      <c r="V285" s="7">
        <f>IF($W285="","",IF(INDEX('Per Invoice'!V$2:V$801,$W285)="","",INDEX('Per Invoice'!V$2:V$801,$W285)))</f>
        <v/>
      </c>
      <c r="W285" s="16">
        <f>IFERROR(MATCH(Settings!$C$29&amp;"|"&amp;ROWS($W$2:$W285),'Per Invoice'!$X$2:$X$801,0),"")</f>
        <v/>
      </c>
    </row>
    <row r="286">
      <c r="A286">
        <f>IF($W286="","",IF(INDEX('Per Invoice'!A$2:A$801,$W286)="","",INDEX('Per Invoice'!A$2:A$801,$W286)))</f>
        <v/>
      </c>
      <c r="B286">
        <f>IF($W286="","",IF(INDEX('Per Invoice'!B$2:B$801,$W286)="","",INDEX('Per Invoice'!B$2:B$801,$W286)))</f>
        <v/>
      </c>
      <c r="C286">
        <f>IF($W286="","",IF(INDEX('Per Invoice'!C$2:C$801,$W286)="","",INDEX('Per Invoice'!C$2:C$801,$W286)))</f>
        <v/>
      </c>
      <c r="D286">
        <f>IF($W286="","",IF(INDEX('Per Invoice'!D$2:D$801,$W286)="","",INDEX('Per Invoice'!D$2:D$801,$W286)))</f>
        <v/>
      </c>
      <c r="E286">
        <f>IF($W286="","",IF(INDEX('Per Invoice'!E$2:E$801,$W286)="","",INDEX('Per Invoice'!E$2:E$801,$W286)))</f>
        <v/>
      </c>
      <c r="F286">
        <f>IF($W286="","",IF(INDEX('Per Invoice'!F$2:F$801,$W286)="","",INDEX('Per Invoice'!F$2:F$801,$W286)))</f>
        <v/>
      </c>
      <c r="G286">
        <f>IF($W286="","",IF(INDEX('Per Invoice'!G$2:G$801,$W286)="","",INDEX('Per Invoice'!G$2:G$801,$W286)))</f>
        <v/>
      </c>
      <c r="H286">
        <f>IF($W286="","",IF(INDEX('Per Invoice'!H$2:H$801,$W286)="","",INDEX('Per Invoice'!H$2:H$801,$W286)))</f>
        <v/>
      </c>
      <c r="I286">
        <f>IF($W286="","",IF(INDEX('Per Invoice'!I$2:I$801,$W286)="","",INDEX('Per Invoice'!I$2:I$801,$W286)))</f>
        <v/>
      </c>
      <c r="J286">
        <f>IF($W286="","",IF(INDEX('Per Invoice'!J$2:J$801,$W286)="","",INDEX('Per Invoice'!J$2:J$801,$W286)))</f>
        <v/>
      </c>
      <c r="K286" s="7">
        <f>IF($W286="","",IF(INDEX('Per Invoice'!K$2:K$801,$W286)="","",INDEX('Per Invoice'!K$2:K$801,$W286)))</f>
        <v/>
      </c>
      <c r="L286" s="14">
        <f>IF($W286="","",IF(INDEX('Per Invoice'!L$2:L$801,$W286)="","",INDEX('Per Invoice'!L$2:L$801,$W286)))</f>
        <v/>
      </c>
      <c r="M286">
        <f>IF($W286="","",IF(INDEX('Per Invoice'!M$2:M$801,$W286)="","",INDEX('Per Invoice'!M$2:M$801,$W286)))</f>
        <v/>
      </c>
      <c r="N286" s="7">
        <f>IF($W286="","",IF(INDEX('Per Invoice'!N$2:N$801,$W286)="","",INDEX('Per Invoice'!N$2:N$801,$W286)))</f>
        <v/>
      </c>
      <c r="O286" s="7">
        <f>IF($W286="","",IF(INDEX('Per Invoice'!O$2:O$801,$W286)="","",INDEX('Per Invoice'!O$2:O$801,$W286)))</f>
        <v/>
      </c>
      <c r="P286">
        <f>IF($W286="","",IF(INDEX('Per Invoice'!P$2:P$801,$W286)="","",INDEX('Per Invoice'!P$2:P$801,$W286)))</f>
        <v/>
      </c>
      <c r="Q286" s="7">
        <f>IF($W286="","",IF(INDEX('Per Invoice'!Q$2:Q$801,$W286)="","",INDEX('Per Invoice'!Q$2:Q$801,$W286)))</f>
        <v/>
      </c>
      <c r="R286" s="7">
        <f>IF($W286="","",IF(INDEX('Per Invoice'!R$2:R$801,$W286)="","",INDEX('Per Invoice'!R$2:R$801,$W286)))</f>
        <v/>
      </c>
      <c r="S286" s="7">
        <f>IF($W286="","",IF(INDEX('Per Invoice'!S$2:S$801,$W286)="","",INDEX('Per Invoice'!S$2:S$801,$W286)))</f>
        <v/>
      </c>
      <c r="T286" s="7">
        <f>IF($W286="","",IF(INDEX('Per Invoice'!T$2:T$801,$W286)="","",INDEX('Per Invoice'!T$2:T$801,$W286)))</f>
        <v/>
      </c>
      <c r="U286" s="7">
        <f>IF($W286="","",IF(INDEX('Per Invoice'!U$2:U$801,$W286)="","",INDEX('Per Invoice'!U$2:U$801,$W286)))</f>
        <v/>
      </c>
      <c r="V286" s="7">
        <f>IF($W286="","",IF(INDEX('Per Invoice'!V$2:V$801,$W286)="","",INDEX('Per Invoice'!V$2:V$801,$W286)))</f>
        <v/>
      </c>
      <c r="W286" s="16">
        <f>IFERROR(MATCH(Settings!$C$29&amp;"|"&amp;ROWS($W$2:$W286),'Per Invoice'!$X$2:$X$801,0),"")</f>
        <v/>
      </c>
    </row>
    <row r="287">
      <c r="A287">
        <f>IF($W287="","",IF(INDEX('Per Invoice'!A$2:A$801,$W287)="","",INDEX('Per Invoice'!A$2:A$801,$W287)))</f>
        <v/>
      </c>
      <c r="B287">
        <f>IF($W287="","",IF(INDEX('Per Invoice'!B$2:B$801,$W287)="","",INDEX('Per Invoice'!B$2:B$801,$W287)))</f>
        <v/>
      </c>
      <c r="C287">
        <f>IF($W287="","",IF(INDEX('Per Invoice'!C$2:C$801,$W287)="","",INDEX('Per Invoice'!C$2:C$801,$W287)))</f>
        <v/>
      </c>
      <c r="D287">
        <f>IF($W287="","",IF(INDEX('Per Invoice'!D$2:D$801,$W287)="","",INDEX('Per Invoice'!D$2:D$801,$W287)))</f>
        <v/>
      </c>
      <c r="E287">
        <f>IF($W287="","",IF(INDEX('Per Invoice'!E$2:E$801,$W287)="","",INDEX('Per Invoice'!E$2:E$801,$W287)))</f>
        <v/>
      </c>
      <c r="F287">
        <f>IF($W287="","",IF(INDEX('Per Invoice'!F$2:F$801,$W287)="","",INDEX('Per Invoice'!F$2:F$801,$W287)))</f>
        <v/>
      </c>
      <c r="G287">
        <f>IF($W287="","",IF(INDEX('Per Invoice'!G$2:G$801,$W287)="","",INDEX('Per Invoice'!G$2:G$801,$W287)))</f>
        <v/>
      </c>
      <c r="H287">
        <f>IF($W287="","",IF(INDEX('Per Invoice'!H$2:H$801,$W287)="","",INDEX('Per Invoice'!H$2:H$801,$W287)))</f>
        <v/>
      </c>
      <c r="I287">
        <f>IF($W287="","",IF(INDEX('Per Invoice'!I$2:I$801,$W287)="","",INDEX('Per Invoice'!I$2:I$801,$W287)))</f>
        <v/>
      </c>
      <c r="J287">
        <f>IF($W287="","",IF(INDEX('Per Invoice'!J$2:J$801,$W287)="","",INDEX('Per Invoice'!J$2:J$801,$W287)))</f>
        <v/>
      </c>
      <c r="K287" s="7">
        <f>IF($W287="","",IF(INDEX('Per Invoice'!K$2:K$801,$W287)="","",INDEX('Per Invoice'!K$2:K$801,$W287)))</f>
        <v/>
      </c>
      <c r="L287" s="14">
        <f>IF($W287="","",IF(INDEX('Per Invoice'!L$2:L$801,$W287)="","",INDEX('Per Invoice'!L$2:L$801,$W287)))</f>
        <v/>
      </c>
      <c r="M287">
        <f>IF($W287="","",IF(INDEX('Per Invoice'!M$2:M$801,$W287)="","",INDEX('Per Invoice'!M$2:M$801,$W287)))</f>
        <v/>
      </c>
      <c r="N287" s="7">
        <f>IF($W287="","",IF(INDEX('Per Invoice'!N$2:N$801,$W287)="","",INDEX('Per Invoice'!N$2:N$801,$W287)))</f>
        <v/>
      </c>
      <c r="O287" s="7">
        <f>IF($W287="","",IF(INDEX('Per Invoice'!O$2:O$801,$W287)="","",INDEX('Per Invoice'!O$2:O$801,$W287)))</f>
        <v/>
      </c>
      <c r="P287">
        <f>IF($W287="","",IF(INDEX('Per Invoice'!P$2:P$801,$W287)="","",INDEX('Per Invoice'!P$2:P$801,$W287)))</f>
        <v/>
      </c>
      <c r="Q287" s="7">
        <f>IF($W287="","",IF(INDEX('Per Invoice'!Q$2:Q$801,$W287)="","",INDEX('Per Invoice'!Q$2:Q$801,$W287)))</f>
        <v/>
      </c>
      <c r="R287" s="7">
        <f>IF($W287="","",IF(INDEX('Per Invoice'!R$2:R$801,$W287)="","",INDEX('Per Invoice'!R$2:R$801,$W287)))</f>
        <v/>
      </c>
      <c r="S287" s="7">
        <f>IF($W287="","",IF(INDEX('Per Invoice'!S$2:S$801,$W287)="","",INDEX('Per Invoice'!S$2:S$801,$W287)))</f>
        <v/>
      </c>
      <c r="T287" s="7">
        <f>IF($W287="","",IF(INDEX('Per Invoice'!T$2:T$801,$W287)="","",INDEX('Per Invoice'!T$2:T$801,$W287)))</f>
        <v/>
      </c>
      <c r="U287" s="7">
        <f>IF($W287="","",IF(INDEX('Per Invoice'!U$2:U$801,$W287)="","",INDEX('Per Invoice'!U$2:U$801,$W287)))</f>
        <v/>
      </c>
      <c r="V287" s="7">
        <f>IF($W287="","",IF(INDEX('Per Invoice'!V$2:V$801,$W287)="","",INDEX('Per Invoice'!V$2:V$801,$W287)))</f>
        <v/>
      </c>
      <c r="W287" s="16">
        <f>IFERROR(MATCH(Settings!$C$29&amp;"|"&amp;ROWS($W$2:$W287),'Per Invoice'!$X$2:$X$801,0),"")</f>
        <v/>
      </c>
    </row>
    <row r="288">
      <c r="A288">
        <f>IF($W288="","",IF(INDEX('Per Invoice'!A$2:A$801,$W288)="","",INDEX('Per Invoice'!A$2:A$801,$W288)))</f>
        <v/>
      </c>
      <c r="B288">
        <f>IF($W288="","",IF(INDEX('Per Invoice'!B$2:B$801,$W288)="","",INDEX('Per Invoice'!B$2:B$801,$W288)))</f>
        <v/>
      </c>
      <c r="C288">
        <f>IF($W288="","",IF(INDEX('Per Invoice'!C$2:C$801,$W288)="","",INDEX('Per Invoice'!C$2:C$801,$W288)))</f>
        <v/>
      </c>
      <c r="D288">
        <f>IF($W288="","",IF(INDEX('Per Invoice'!D$2:D$801,$W288)="","",INDEX('Per Invoice'!D$2:D$801,$W288)))</f>
        <v/>
      </c>
      <c r="E288">
        <f>IF($W288="","",IF(INDEX('Per Invoice'!E$2:E$801,$W288)="","",INDEX('Per Invoice'!E$2:E$801,$W288)))</f>
        <v/>
      </c>
      <c r="F288">
        <f>IF($W288="","",IF(INDEX('Per Invoice'!F$2:F$801,$W288)="","",INDEX('Per Invoice'!F$2:F$801,$W288)))</f>
        <v/>
      </c>
      <c r="G288">
        <f>IF($W288="","",IF(INDEX('Per Invoice'!G$2:G$801,$W288)="","",INDEX('Per Invoice'!G$2:G$801,$W288)))</f>
        <v/>
      </c>
      <c r="H288">
        <f>IF($W288="","",IF(INDEX('Per Invoice'!H$2:H$801,$W288)="","",INDEX('Per Invoice'!H$2:H$801,$W288)))</f>
        <v/>
      </c>
      <c r="I288">
        <f>IF($W288="","",IF(INDEX('Per Invoice'!I$2:I$801,$W288)="","",INDEX('Per Invoice'!I$2:I$801,$W288)))</f>
        <v/>
      </c>
      <c r="J288">
        <f>IF($W288="","",IF(INDEX('Per Invoice'!J$2:J$801,$W288)="","",INDEX('Per Invoice'!J$2:J$801,$W288)))</f>
        <v/>
      </c>
      <c r="K288" s="7">
        <f>IF($W288="","",IF(INDEX('Per Invoice'!K$2:K$801,$W288)="","",INDEX('Per Invoice'!K$2:K$801,$W288)))</f>
        <v/>
      </c>
      <c r="L288" s="14">
        <f>IF($W288="","",IF(INDEX('Per Invoice'!L$2:L$801,$W288)="","",INDEX('Per Invoice'!L$2:L$801,$W288)))</f>
        <v/>
      </c>
      <c r="M288">
        <f>IF($W288="","",IF(INDEX('Per Invoice'!M$2:M$801,$W288)="","",INDEX('Per Invoice'!M$2:M$801,$W288)))</f>
        <v/>
      </c>
      <c r="N288" s="7">
        <f>IF($W288="","",IF(INDEX('Per Invoice'!N$2:N$801,$W288)="","",INDEX('Per Invoice'!N$2:N$801,$W288)))</f>
        <v/>
      </c>
      <c r="O288" s="7">
        <f>IF($W288="","",IF(INDEX('Per Invoice'!O$2:O$801,$W288)="","",INDEX('Per Invoice'!O$2:O$801,$W288)))</f>
        <v/>
      </c>
      <c r="P288">
        <f>IF($W288="","",IF(INDEX('Per Invoice'!P$2:P$801,$W288)="","",INDEX('Per Invoice'!P$2:P$801,$W288)))</f>
        <v/>
      </c>
      <c r="Q288" s="7">
        <f>IF($W288="","",IF(INDEX('Per Invoice'!Q$2:Q$801,$W288)="","",INDEX('Per Invoice'!Q$2:Q$801,$W288)))</f>
        <v/>
      </c>
      <c r="R288" s="7">
        <f>IF($W288="","",IF(INDEX('Per Invoice'!R$2:R$801,$W288)="","",INDEX('Per Invoice'!R$2:R$801,$W288)))</f>
        <v/>
      </c>
      <c r="S288" s="7">
        <f>IF($W288="","",IF(INDEX('Per Invoice'!S$2:S$801,$W288)="","",INDEX('Per Invoice'!S$2:S$801,$W288)))</f>
        <v/>
      </c>
      <c r="T288" s="7">
        <f>IF($W288="","",IF(INDEX('Per Invoice'!T$2:T$801,$W288)="","",INDEX('Per Invoice'!T$2:T$801,$W288)))</f>
        <v/>
      </c>
      <c r="U288" s="7">
        <f>IF($W288="","",IF(INDEX('Per Invoice'!U$2:U$801,$W288)="","",INDEX('Per Invoice'!U$2:U$801,$W288)))</f>
        <v/>
      </c>
      <c r="V288" s="7">
        <f>IF($W288="","",IF(INDEX('Per Invoice'!V$2:V$801,$W288)="","",INDEX('Per Invoice'!V$2:V$801,$W288)))</f>
        <v/>
      </c>
      <c r="W288" s="16">
        <f>IFERROR(MATCH(Settings!$C$29&amp;"|"&amp;ROWS($W$2:$W288),'Per Invoice'!$X$2:$X$801,0),"")</f>
        <v/>
      </c>
    </row>
    <row r="289">
      <c r="A289">
        <f>IF($W289="","",IF(INDEX('Per Invoice'!A$2:A$801,$W289)="","",INDEX('Per Invoice'!A$2:A$801,$W289)))</f>
        <v/>
      </c>
      <c r="B289">
        <f>IF($W289="","",IF(INDEX('Per Invoice'!B$2:B$801,$W289)="","",INDEX('Per Invoice'!B$2:B$801,$W289)))</f>
        <v/>
      </c>
      <c r="C289">
        <f>IF($W289="","",IF(INDEX('Per Invoice'!C$2:C$801,$W289)="","",INDEX('Per Invoice'!C$2:C$801,$W289)))</f>
        <v/>
      </c>
      <c r="D289">
        <f>IF($W289="","",IF(INDEX('Per Invoice'!D$2:D$801,$W289)="","",INDEX('Per Invoice'!D$2:D$801,$W289)))</f>
        <v/>
      </c>
      <c r="E289">
        <f>IF($W289="","",IF(INDEX('Per Invoice'!E$2:E$801,$W289)="","",INDEX('Per Invoice'!E$2:E$801,$W289)))</f>
        <v/>
      </c>
      <c r="F289">
        <f>IF($W289="","",IF(INDEX('Per Invoice'!F$2:F$801,$W289)="","",INDEX('Per Invoice'!F$2:F$801,$W289)))</f>
        <v/>
      </c>
      <c r="G289">
        <f>IF($W289="","",IF(INDEX('Per Invoice'!G$2:G$801,$W289)="","",INDEX('Per Invoice'!G$2:G$801,$W289)))</f>
        <v/>
      </c>
      <c r="H289">
        <f>IF($W289="","",IF(INDEX('Per Invoice'!H$2:H$801,$W289)="","",INDEX('Per Invoice'!H$2:H$801,$W289)))</f>
        <v/>
      </c>
      <c r="I289">
        <f>IF($W289="","",IF(INDEX('Per Invoice'!I$2:I$801,$W289)="","",INDEX('Per Invoice'!I$2:I$801,$W289)))</f>
        <v/>
      </c>
      <c r="J289">
        <f>IF($W289="","",IF(INDEX('Per Invoice'!J$2:J$801,$W289)="","",INDEX('Per Invoice'!J$2:J$801,$W289)))</f>
        <v/>
      </c>
      <c r="K289" s="7">
        <f>IF($W289="","",IF(INDEX('Per Invoice'!K$2:K$801,$W289)="","",INDEX('Per Invoice'!K$2:K$801,$W289)))</f>
        <v/>
      </c>
      <c r="L289" s="14">
        <f>IF($W289="","",IF(INDEX('Per Invoice'!L$2:L$801,$W289)="","",INDEX('Per Invoice'!L$2:L$801,$W289)))</f>
        <v/>
      </c>
      <c r="M289">
        <f>IF($W289="","",IF(INDEX('Per Invoice'!M$2:M$801,$W289)="","",INDEX('Per Invoice'!M$2:M$801,$W289)))</f>
        <v/>
      </c>
      <c r="N289" s="7">
        <f>IF($W289="","",IF(INDEX('Per Invoice'!N$2:N$801,$W289)="","",INDEX('Per Invoice'!N$2:N$801,$W289)))</f>
        <v/>
      </c>
      <c r="O289" s="7">
        <f>IF($W289="","",IF(INDEX('Per Invoice'!O$2:O$801,$W289)="","",INDEX('Per Invoice'!O$2:O$801,$W289)))</f>
        <v/>
      </c>
      <c r="P289">
        <f>IF($W289="","",IF(INDEX('Per Invoice'!P$2:P$801,$W289)="","",INDEX('Per Invoice'!P$2:P$801,$W289)))</f>
        <v/>
      </c>
      <c r="Q289" s="7">
        <f>IF($W289="","",IF(INDEX('Per Invoice'!Q$2:Q$801,$W289)="","",INDEX('Per Invoice'!Q$2:Q$801,$W289)))</f>
        <v/>
      </c>
      <c r="R289" s="7">
        <f>IF($W289="","",IF(INDEX('Per Invoice'!R$2:R$801,$W289)="","",INDEX('Per Invoice'!R$2:R$801,$W289)))</f>
        <v/>
      </c>
      <c r="S289" s="7">
        <f>IF($W289="","",IF(INDEX('Per Invoice'!S$2:S$801,$W289)="","",INDEX('Per Invoice'!S$2:S$801,$W289)))</f>
        <v/>
      </c>
      <c r="T289" s="7">
        <f>IF($W289="","",IF(INDEX('Per Invoice'!T$2:T$801,$W289)="","",INDEX('Per Invoice'!T$2:T$801,$W289)))</f>
        <v/>
      </c>
      <c r="U289" s="7">
        <f>IF($W289="","",IF(INDEX('Per Invoice'!U$2:U$801,$W289)="","",INDEX('Per Invoice'!U$2:U$801,$W289)))</f>
        <v/>
      </c>
      <c r="V289" s="7">
        <f>IF($W289="","",IF(INDEX('Per Invoice'!V$2:V$801,$W289)="","",INDEX('Per Invoice'!V$2:V$801,$W289)))</f>
        <v/>
      </c>
      <c r="W289" s="16">
        <f>IFERROR(MATCH(Settings!$C$29&amp;"|"&amp;ROWS($W$2:$W289),'Per Invoice'!$X$2:$X$801,0),"")</f>
        <v/>
      </c>
    </row>
    <row r="290">
      <c r="A290">
        <f>IF($W290="","",IF(INDEX('Per Invoice'!A$2:A$801,$W290)="","",INDEX('Per Invoice'!A$2:A$801,$W290)))</f>
        <v/>
      </c>
      <c r="B290">
        <f>IF($W290="","",IF(INDEX('Per Invoice'!B$2:B$801,$W290)="","",INDEX('Per Invoice'!B$2:B$801,$W290)))</f>
        <v/>
      </c>
      <c r="C290">
        <f>IF($W290="","",IF(INDEX('Per Invoice'!C$2:C$801,$W290)="","",INDEX('Per Invoice'!C$2:C$801,$W290)))</f>
        <v/>
      </c>
      <c r="D290">
        <f>IF($W290="","",IF(INDEX('Per Invoice'!D$2:D$801,$W290)="","",INDEX('Per Invoice'!D$2:D$801,$W290)))</f>
        <v/>
      </c>
      <c r="E290">
        <f>IF($W290="","",IF(INDEX('Per Invoice'!E$2:E$801,$W290)="","",INDEX('Per Invoice'!E$2:E$801,$W290)))</f>
        <v/>
      </c>
      <c r="F290">
        <f>IF($W290="","",IF(INDEX('Per Invoice'!F$2:F$801,$W290)="","",INDEX('Per Invoice'!F$2:F$801,$W290)))</f>
        <v/>
      </c>
      <c r="G290">
        <f>IF($W290="","",IF(INDEX('Per Invoice'!G$2:G$801,$W290)="","",INDEX('Per Invoice'!G$2:G$801,$W290)))</f>
        <v/>
      </c>
      <c r="H290">
        <f>IF($W290="","",IF(INDEX('Per Invoice'!H$2:H$801,$W290)="","",INDEX('Per Invoice'!H$2:H$801,$W290)))</f>
        <v/>
      </c>
      <c r="I290">
        <f>IF($W290="","",IF(INDEX('Per Invoice'!I$2:I$801,$W290)="","",INDEX('Per Invoice'!I$2:I$801,$W290)))</f>
        <v/>
      </c>
      <c r="J290">
        <f>IF($W290="","",IF(INDEX('Per Invoice'!J$2:J$801,$W290)="","",INDEX('Per Invoice'!J$2:J$801,$W290)))</f>
        <v/>
      </c>
      <c r="K290" s="7">
        <f>IF($W290="","",IF(INDEX('Per Invoice'!K$2:K$801,$W290)="","",INDEX('Per Invoice'!K$2:K$801,$W290)))</f>
        <v/>
      </c>
      <c r="L290" s="14">
        <f>IF($W290="","",IF(INDEX('Per Invoice'!L$2:L$801,$W290)="","",INDEX('Per Invoice'!L$2:L$801,$W290)))</f>
        <v/>
      </c>
      <c r="M290">
        <f>IF($W290="","",IF(INDEX('Per Invoice'!M$2:M$801,$W290)="","",INDEX('Per Invoice'!M$2:M$801,$W290)))</f>
        <v/>
      </c>
      <c r="N290" s="7">
        <f>IF($W290="","",IF(INDEX('Per Invoice'!N$2:N$801,$W290)="","",INDEX('Per Invoice'!N$2:N$801,$W290)))</f>
        <v/>
      </c>
      <c r="O290" s="7">
        <f>IF($W290="","",IF(INDEX('Per Invoice'!O$2:O$801,$W290)="","",INDEX('Per Invoice'!O$2:O$801,$W290)))</f>
        <v/>
      </c>
      <c r="P290">
        <f>IF($W290="","",IF(INDEX('Per Invoice'!P$2:P$801,$W290)="","",INDEX('Per Invoice'!P$2:P$801,$W290)))</f>
        <v/>
      </c>
      <c r="Q290" s="7">
        <f>IF($W290="","",IF(INDEX('Per Invoice'!Q$2:Q$801,$W290)="","",INDEX('Per Invoice'!Q$2:Q$801,$W290)))</f>
        <v/>
      </c>
      <c r="R290" s="7">
        <f>IF($W290="","",IF(INDEX('Per Invoice'!R$2:R$801,$W290)="","",INDEX('Per Invoice'!R$2:R$801,$W290)))</f>
        <v/>
      </c>
      <c r="S290" s="7">
        <f>IF($W290="","",IF(INDEX('Per Invoice'!S$2:S$801,$W290)="","",INDEX('Per Invoice'!S$2:S$801,$W290)))</f>
        <v/>
      </c>
      <c r="T290" s="7">
        <f>IF($W290="","",IF(INDEX('Per Invoice'!T$2:T$801,$W290)="","",INDEX('Per Invoice'!T$2:T$801,$W290)))</f>
        <v/>
      </c>
      <c r="U290" s="7">
        <f>IF($W290="","",IF(INDEX('Per Invoice'!U$2:U$801,$W290)="","",INDEX('Per Invoice'!U$2:U$801,$W290)))</f>
        <v/>
      </c>
      <c r="V290" s="7">
        <f>IF($W290="","",IF(INDEX('Per Invoice'!V$2:V$801,$W290)="","",INDEX('Per Invoice'!V$2:V$801,$W290)))</f>
        <v/>
      </c>
      <c r="W290" s="16">
        <f>IFERROR(MATCH(Settings!$C$29&amp;"|"&amp;ROWS($W$2:$W290),'Per Invoice'!$X$2:$X$801,0),"")</f>
        <v/>
      </c>
    </row>
    <row r="291">
      <c r="A291">
        <f>IF($W291="","",IF(INDEX('Per Invoice'!A$2:A$801,$W291)="","",INDEX('Per Invoice'!A$2:A$801,$W291)))</f>
        <v/>
      </c>
      <c r="B291">
        <f>IF($W291="","",IF(INDEX('Per Invoice'!B$2:B$801,$W291)="","",INDEX('Per Invoice'!B$2:B$801,$W291)))</f>
        <v/>
      </c>
      <c r="C291">
        <f>IF($W291="","",IF(INDEX('Per Invoice'!C$2:C$801,$W291)="","",INDEX('Per Invoice'!C$2:C$801,$W291)))</f>
        <v/>
      </c>
      <c r="D291">
        <f>IF($W291="","",IF(INDEX('Per Invoice'!D$2:D$801,$W291)="","",INDEX('Per Invoice'!D$2:D$801,$W291)))</f>
        <v/>
      </c>
      <c r="E291">
        <f>IF($W291="","",IF(INDEX('Per Invoice'!E$2:E$801,$W291)="","",INDEX('Per Invoice'!E$2:E$801,$W291)))</f>
        <v/>
      </c>
      <c r="F291">
        <f>IF($W291="","",IF(INDEX('Per Invoice'!F$2:F$801,$W291)="","",INDEX('Per Invoice'!F$2:F$801,$W291)))</f>
        <v/>
      </c>
      <c r="G291">
        <f>IF($W291="","",IF(INDEX('Per Invoice'!G$2:G$801,$W291)="","",INDEX('Per Invoice'!G$2:G$801,$W291)))</f>
        <v/>
      </c>
      <c r="H291">
        <f>IF($W291="","",IF(INDEX('Per Invoice'!H$2:H$801,$W291)="","",INDEX('Per Invoice'!H$2:H$801,$W291)))</f>
        <v/>
      </c>
      <c r="I291">
        <f>IF($W291="","",IF(INDEX('Per Invoice'!I$2:I$801,$W291)="","",INDEX('Per Invoice'!I$2:I$801,$W291)))</f>
        <v/>
      </c>
      <c r="J291">
        <f>IF($W291="","",IF(INDEX('Per Invoice'!J$2:J$801,$W291)="","",INDEX('Per Invoice'!J$2:J$801,$W291)))</f>
        <v/>
      </c>
      <c r="K291" s="7">
        <f>IF($W291="","",IF(INDEX('Per Invoice'!K$2:K$801,$W291)="","",INDEX('Per Invoice'!K$2:K$801,$W291)))</f>
        <v/>
      </c>
      <c r="L291" s="14">
        <f>IF($W291="","",IF(INDEX('Per Invoice'!L$2:L$801,$W291)="","",INDEX('Per Invoice'!L$2:L$801,$W291)))</f>
        <v/>
      </c>
      <c r="M291">
        <f>IF($W291="","",IF(INDEX('Per Invoice'!M$2:M$801,$W291)="","",INDEX('Per Invoice'!M$2:M$801,$W291)))</f>
        <v/>
      </c>
      <c r="N291" s="7">
        <f>IF($W291="","",IF(INDEX('Per Invoice'!N$2:N$801,$W291)="","",INDEX('Per Invoice'!N$2:N$801,$W291)))</f>
        <v/>
      </c>
      <c r="O291" s="7">
        <f>IF($W291="","",IF(INDEX('Per Invoice'!O$2:O$801,$W291)="","",INDEX('Per Invoice'!O$2:O$801,$W291)))</f>
        <v/>
      </c>
      <c r="P291">
        <f>IF($W291="","",IF(INDEX('Per Invoice'!P$2:P$801,$W291)="","",INDEX('Per Invoice'!P$2:P$801,$W291)))</f>
        <v/>
      </c>
      <c r="Q291" s="7">
        <f>IF($W291="","",IF(INDEX('Per Invoice'!Q$2:Q$801,$W291)="","",INDEX('Per Invoice'!Q$2:Q$801,$W291)))</f>
        <v/>
      </c>
      <c r="R291" s="7">
        <f>IF($W291="","",IF(INDEX('Per Invoice'!R$2:R$801,$W291)="","",INDEX('Per Invoice'!R$2:R$801,$W291)))</f>
        <v/>
      </c>
      <c r="S291" s="7">
        <f>IF($W291="","",IF(INDEX('Per Invoice'!S$2:S$801,$W291)="","",INDEX('Per Invoice'!S$2:S$801,$W291)))</f>
        <v/>
      </c>
      <c r="T291" s="7">
        <f>IF($W291="","",IF(INDEX('Per Invoice'!T$2:T$801,$W291)="","",INDEX('Per Invoice'!T$2:T$801,$W291)))</f>
        <v/>
      </c>
      <c r="U291" s="7">
        <f>IF($W291="","",IF(INDEX('Per Invoice'!U$2:U$801,$W291)="","",INDEX('Per Invoice'!U$2:U$801,$W291)))</f>
        <v/>
      </c>
      <c r="V291" s="7">
        <f>IF($W291="","",IF(INDEX('Per Invoice'!V$2:V$801,$W291)="","",INDEX('Per Invoice'!V$2:V$801,$W291)))</f>
        <v/>
      </c>
      <c r="W291" s="16">
        <f>IFERROR(MATCH(Settings!$C$29&amp;"|"&amp;ROWS($W$2:$W291),'Per Invoice'!$X$2:$X$801,0),"")</f>
        <v/>
      </c>
    </row>
    <row r="292">
      <c r="A292">
        <f>IF($W292="","",IF(INDEX('Per Invoice'!A$2:A$801,$W292)="","",INDEX('Per Invoice'!A$2:A$801,$W292)))</f>
        <v/>
      </c>
      <c r="B292">
        <f>IF($W292="","",IF(INDEX('Per Invoice'!B$2:B$801,$W292)="","",INDEX('Per Invoice'!B$2:B$801,$W292)))</f>
        <v/>
      </c>
      <c r="C292">
        <f>IF($W292="","",IF(INDEX('Per Invoice'!C$2:C$801,$W292)="","",INDEX('Per Invoice'!C$2:C$801,$W292)))</f>
        <v/>
      </c>
      <c r="D292">
        <f>IF($W292="","",IF(INDEX('Per Invoice'!D$2:D$801,$W292)="","",INDEX('Per Invoice'!D$2:D$801,$W292)))</f>
        <v/>
      </c>
      <c r="E292">
        <f>IF($W292="","",IF(INDEX('Per Invoice'!E$2:E$801,$W292)="","",INDEX('Per Invoice'!E$2:E$801,$W292)))</f>
        <v/>
      </c>
      <c r="F292">
        <f>IF($W292="","",IF(INDEX('Per Invoice'!F$2:F$801,$W292)="","",INDEX('Per Invoice'!F$2:F$801,$W292)))</f>
        <v/>
      </c>
      <c r="G292">
        <f>IF($W292="","",IF(INDEX('Per Invoice'!G$2:G$801,$W292)="","",INDEX('Per Invoice'!G$2:G$801,$W292)))</f>
        <v/>
      </c>
      <c r="H292">
        <f>IF($W292="","",IF(INDEX('Per Invoice'!H$2:H$801,$W292)="","",INDEX('Per Invoice'!H$2:H$801,$W292)))</f>
        <v/>
      </c>
      <c r="I292">
        <f>IF($W292="","",IF(INDEX('Per Invoice'!I$2:I$801,$W292)="","",INDEX('Per Invoice'!I$2:I$801,$W292)))</f>
        <v/>
      </c>
      <c r="J292">
        <f>IF($W292="","",IF(INDEX('Per Invoice'!J$2:J$801,$W292)="","",INDEX('Per Invoice'!J$2:J$801,$W292)))</f>
        <v/>
      </c>
      <c r="K292" s="7">
        <f>IF($W292="","",IF(INDEX('Per Invoice'!K$2:K$801,$W292)="","",INDEX('Per Invoice'!K$2:K$801,$W292)))</f>
        <v/>
      </c>
      <c r="L292" s="14">
        <f>IF($W292="","",IF(INDEX('Per Invoice'!L$2:L$801,$W292)="","",INDEX('Per Invoice'!L$2:L$801,$W292)))</f>
        <v/>
      </c>
      <c r="M292">
        <f>IF($W292="","",IF(INDEX('Per Invoice'!M$2:M$801,$W292)="","",INDEX('Per Invoice'!M$2:M$801,$W292)))</f>
        <v/>
      </c>
      <c r="N292" s="7">
        <f>IF($W292="","",IF(INDEX('Per Invoice'!N$2:N$801,$W292)="","",INDEX('Per Invoice'!N$2:N$801,$W292)))</f>
        <v/>
      </c>
      <c r="O292" s="7">
        <f>IF($W292="","",IF(INDEX('Per Invoice'!O$2:O$801,$W292)="","",INDEX('Per Invoice'!O$2:O$801,$W292)))</f>
        <v/>
      </c>
      <c r="P292">
        <f>IF($W292="","",IF(INDEX('Per Invoice'!P$2:P$801,$W292)="","",INDEX('Per Invoice'!P$2:P$801,$W292)))</f>
        <v/>
      </c>
      <c r="Q292" s="7">
        <f>IF($W292="","",IF(INDEX('Per Invoice'!Q$2:Q$801,$W292)="","",INDEX('Per Invoice'!Q$2:Q$801,$W292)))</f>
        <v/>
      </c>
      <c r="R292" s="7">
        <f>IF($W292="","",IF(INDEX('Per Invoice'!R$2:R$801,$W292)="","",INDEX('Per Invoice'!R$2:R$801,$W292)))</f>
        <v/>
      </c>
      <c r="S292" s="7">
        <f>IF($W292="","",IF(INDEX('Per Invoice'!S$2:S$801,$W292)="","",INDEX('Per Invoice'!S$2:S$801,$W292)))</f>
        <v/>
      </c>
      <c r="T292" s="7">
        <f>IF($W292="","",IF(INDEX('Per Invoice'!T$2:T$801,$W292)="","",INDEX('Per Invoice'!T$2:T$801,$W292)))</f>
        <v/>
      </c>
      <c r="U292" s="7">
        <f>IF($W292="","",IF(INDEX('Per Invoice'!U$2:U$801,$W292)="","",INDEX('Per Invoice'!U$2:U$801,$W292)))</f>
        <v/>
      </c>
      <c r="V292" s="7">
        <f>IF($W292="","",IF(INDEX('Per Invoice'!V$2:V$801,$W292)="","",INDEX('Per Invoice'!V$2:V$801,$W292)))</f>
        <v/>
      </c>
      <c r="W292" s="16">
        <f>IFERROR(MATCH(Settings!$C$29&amp;"|"&amp;ROWS($W$2:$W292),'Per Invoice'!$X$2:$X$801,0),"")</f>
        <v/>
      </c>
    </row>
    <row r="293">
      <c r="A293">
        <f>IF($W293="","",IF(INDEX('Per Invoice'!A$2:A$801,$W293)="","",INDEX('Per Invoice'!A$2:A$801,$W293)))</f>
        <v/>
      </c>
      <c r="B293">
        <f>IF($W293="","",IF(INDEX('Per Invoice'!B$2:B$801,$W293)="","",INDEX('Per Invoice'!B$2:B$801,$W293)))</f>
        <v/>
      </c>
      <c r="C293">
        <f>IF($W293="","",IF(INDEX('Per Invoice'!C$2:C$801,$W293)="","",INDEX('Per Invoice'!C$2:C$801,$W293)))</f>
        <v/>
      </c>
      <c r="D293">
        <f>IF($W293="","",IF(INDEX('Per Invoice'!D$2:D$801,$W293)="","",INDEX('Per Invoice'!D$2:D$801,$W293)))</f>
        <v/>
      </c>
      <c r="E293">
        <f>IF($W293="","",IF(INDEX('Per Invoice'!E$2:E$801,$W293)="","",INDEX('Per Invoice'!E$2:E$801,$W293)))</f>
        <v/>
      </c>
      <c r="F293">
        <f>IF($W293="","",IF(INDEX('Per Invoice'!F$2:F$801,$W293)="","",INDEX('Per Invoice'!F$2:F$801,$W293)))</f>
        <v/>
      </c>
      <c r="G293">
        <f>IF($W293="","",IF(INDEX('Per Invoice'!G$2:G$801,$W293)="","",INDEX('Per Invoice'!G$2:G$801,$W293)))</f>
        <v/>
      </c>
      <c r="H293">
        <f>IF($W293="","",IF(INDEX('Per Invoice'!H$2:H$801,$W293)="","",INDEX('Per Invoice'!H$2:H$801,$W293)))</f>
        <v/>
      </c>
      <c r="I293">
        <f>IF($W293="","",IF(INDEX('Per Invoice'!I$2:I$801,$W293)="","",INDEX('Per Invoice'!I$2:I$801,$W293)))</f>
        <v/>
      </c>
      <c r="J293">
        <f>IF($W293="","",IF(INDEX('Per Invoice'!J$2:J$801,$W293)="","",INDEX('Per Invoice'!J$2:J$801,$W293)))</f>
        <v/>
      </c>
      <c r="K293" s="7">
        <f>IF($W293="","",IF(INDEX('Per Invoice'!K$2:K$801,$W293)="","",INDEX('Per Invoice'!K$2:K$801,$W293)))</f>
        <v/>
      </c>
      <c r="L293" s="14">
        <f>IF($W293="","",IF(INDEX('Per Invoice'!L$2:L$801,$W293)="","",INDEX('Per Invoice'!L$2:L$801,$W293)))</f>
        <v/>
      </c>
      <c r="M293">
        <f>IF($W293="","",IF(INDEX('Per Invoice'!M$2:M$801,$W293)="","",INDEX('Per Invoice'!M$2:M$801,$W293)))</f>
        <v/>
      </c>
      <c r="N293" s="7">
        <f>IF($W293="","",IF(INDEX('Per Invoice'!N$2:N$801,$W293)="","",INDEX('Per Invoice'!N$2:N$801,$W293)))</f>
        <v/>
      </c>
      <c r="O293" s="7">
        <f>IF($W293="","",IF(INDEX('Per Invoice'!O$2:O$801,$W293)="","",INDEX('Per Invoice'!O$2:O$801,$W293)))</f>
        <v/>
      </c>
      <c r="P293">
        <f>IF($W293="","",IF(INDEX('Per Invoice'!P$2:P$801,$W293)="","",INDEX('Per Invoice'!P$2:P$801,$W293)))</f>
        <v/>
      </c>
      <c r="Q293" s="7">
        <f>IF($W293="","",IF(INDEX('Per Invoice'!Q$2:Q$801,$W293)="","",INDEX('Per Invoice'!Q$2:Q$801,$W293)))</f>
        <v/>
      </c>
      <c r="R293" s="7">
        <f>IF($W293="","",IF(INDEX('Per Invoice'!R$2:R$801,$W293)="","",INDEX('Per Invoice'!R$2:R$801,$W293)))</f>
        <v/>
      </c>
      <c r="S293" s="7">
        <f>IF($W293="","",IF(INDEX('Per Invoice'!S$2:S$801,$W293)="","",INDEX('Per Invoice'!S$2:S$801,$W293)))</f>
        <v/>
      </c>
      <c r="T293" s="7">
        <f>IF($W293="","",IF(INDEX('Per Invoice'!T$2:T$801,$W293)="","",INDEX('Per Invoice'!T$2:T$801,$W293)))</f>
        <v/>
      </c>
      <c r="U293" s="7">
        <f>IF($W293="","",IF(INDEX('Per Invoice'!U$2:U$801,$W293)="","",INDEX('Per Invoice'!U$2:U$801,$W293)))</f>
        <v/>
      </c>
      <c r="V293" s="7">
        <f>IF($W293="","",IF(INDEX('Per Invoice'!V$2:V$801,$W293)="","",INDEX('Per Invoice'!V$2:V$801,$W293)))</f>
        <v/>
      </c>
      <c r="W293" s="16">
        <f>IFERROR(MATCH(Settings!$C$29&amp;"|"&amp;ROWS($W$2:$W293),'Per Invoice'!$X$2:$X$801,0),"")</f>
        <v/>
      </c>
    </row>
    <row r="294">
      <c r="A294">
        <f>IF($W294="","",IF(INDEX('Per Invoice'!A$2:A$801,$W294)="","",INDEX('Per Invoice'!A$2:A$801,$W294)))</f>
        <v/>
      </c>
      <c r="B294">
        <f>IF($W294="","",IF(INDEX('Per Invoice'!B$2:B$801,$W294)="","",INDEX('Per Invoice'!B$2:B$801,$W294)))</f>
        <v/>
      </c>
      <c r="C294">
        <f>IF($W294="","",IF(INDEX('Per Invoice'!C$2:C$801,$W294)="","",INDEX('Per Invoice'!C$2:C$801,$W294)))</f>
        <v/>
      </c>
      <c r="D294">
        <f>IF($W294="","",IF(INDEX('Per Invoice'!D$2:D$801,$W294)="","",INDEX('Per Invoice'!D$2:D$801,$W294)))</f>
        <v/>
      </c>
      <c r="E294">
        <f>IF($W294="","",IF(INDEX('Per Invoice'!E$2:E$801,$W294)="","",INDEX('Per Invoice'!E$2:E$801,$W294)))</f>
        <v/>
      </c>
      <c r="F294">
        <f>IF($W294="","",IF(INDEX('Per Invoice'!F$2:F$801,$W294)="","",INDEX('Per Invoice'!F$2:F$801,$W294)))</f>
        <v/>
      </c>
      <c r="G294">
        <f>IF($W294="","",IF(INDEX('Per Invoice'!G$2:G$801,$W294)="","",INDEX('Per Invoice'!G$2:G$801,$W294)))</f>
        <v/>
      </c>
      <c r="H294">
        <f>IF($W294="","",IF(INDEX('Per Invoice'!H$2:H$801,$W294)="","",INDEX('Per Invoice'!H$2:H$801,$W294)))</f>
        <v/>
      </c>
      <c r="I294">
        <f>IF($W294="","",IF(INDEX('Per Invoice'!I$2:I$801,$W294)="","",INDEX('Per Invoice'!I$2:I$801,$W294)))</f>
        <v/>
      </c>
      <c r="J294">
        <f>IF($W294="","",IF(INDEX('Per Invoice'!J$2:J$801,$W294)="","",INDEX('Per Invoice'!J$2:J$801,$W294)))</f>
        <v/>
      </c>
      <c r="K294" s="7">
        <f>IF($W294="","",IF(INDEX('Per Invoice'!K$2:K$801,$W294)="","",INDEX('Per Invoice'!K$2:K$801,$W294)))</f>
        <v/>
      </c>
      <c r="L294" s="14">
        <f>IF($W294="","",IF(INDEX('Per Invoice'!L$2:L$801,$W294)="","",INDEX('Per Invoice'!L$2:L$801,$W294)))</f>
        <v/>
      </c>
      <c r="M294">
        <f>IF($W294="","",IF(INDEX('Per Invoice'!M$2:M$801,$W294)="","",INDEX('Per Invoice'!M$2:M$801,$W294)))</f>
        <v/>
      </c>
      <c r="N294" s="7">
        <f>IF($W294="","",IF(INDEX('Per Invoice'!N$2:N$801,$W294)="","",INDEX('Per Invoice'!N$2:N$801,$W294)))</f>
        <v/>
      </c>
      <c r="O294" s="7">
        <f>IF($W294="","",IF(INDEX('Per Invoice'!O$2:O$801,$W294)="","",INDEX('Per Invoice'!O$2:O$801,$W294)))</f>
        <v/>
      </c>
      <c r="P294">
        <f>IF($W294="","",IF(INDEX('Per Invoice'!P$2:P$801,$W294)="","",INDEX('Per Invoice'!P$2:P$801,$W294)))</f>
        <v/>
      </c>
      <c r="Q294" s="7">
        <f>IF($W294="","",IF(INDEX('Per Invoice'!Q$2:Q$801,$W294)="","",INDEX('Per Invoice'!Q$2:Q$801,$W294)))</f>
        <v/>
      </c>
      <c r="R294" s="7">
        <f>IF($W294="","",IF(INDEX('Per Invoice'!R$2:R$801,$W294)="","",INDEX('Per Invoice'!R$2:R$801,$W294)))</f>
        <v/>
      </c>
      <c r="S294" s="7">
        <f>IF($W294="","",IF(INDEX('Per Invoice'!S$2:S$801,$W294)="","",INDEX('Per Invoice'!S$2:S$801,$W294)))</f>
        <v/>
      </c>
      <c r="T294" s="7">
        <f>IF($W294="","",IF(INDEX('Per Invoice'!T$2:T$801,$W294)="","",INDEX('Per Invoice'!T$2:T$801,$W294)))</f>
        <v/>
      </c>
      <c r="U294" s="7">
        <f>IF($W294="","",IF(INDEX('Per Invoice'!U$2:U$801,$W294)="","",INDEX('Per Invoice'!U$2:U$801,$W294)))</f>
        <v/>
      </c>
      <c r="V294" s="7">
        <f>IF($W294="","",IF(INDEX('Per Invoice'!V$2:V$801,$W294)="","",INDEX('Per Invoice'!V$2:V$801,$W294)))</f>
        <v/>
      </c>
      <c r="W294" s="16">
        <f>IFERROR(MATCH(Settings!$C$29&amp;"|"&amp;ROWS($W$2:$W294),'Per Invoice'!$X$2:$X$801,0),"")</f>
        <v/>
      </c>
    </row>
    <row r="295">
      <c r="A295">
        <f>IF($W295="","",IF(INDEX('Per Invoice'!A$2:A$801,$W295)="","",INDEX('Per Invoice'!A$2:A$801,$W295)))</f>
        <v/>
      </c>
      <c r="B295">
        <f>IF($W295="","",IF(INDEX('Per Invoice'!B$2:B$801,$W295)="","",INDEX('Per Invoice'!B$2:B$801,$W295)))</f>
        <v/>
      </c>
      <c r="C295">
        <f>IF($W295="","",IF(INDEX('Per Invoice'!C$2:C$801,$W295)="","",INDEX('Per Invoice'!C$2:C$801,$W295)))</f>
        <v/>
      </c>
      <c r="D295">
        <f>IF($W295="","",IF(INDEX('Per Invoice'!D$2:D$801,$W295)="","",INDEX('Per Invoice'!D$2:D$801,$W295)))</f>
        <v/>
      </c>
      <c r="E295">
        <f>IF($W295="","",IF(INDEX('Per Invoice'!E$2:E$801,$W295)="","",INDEX('Per Invoice'!E$2:E$801,$W295)))</f>
        <v/>
      </c>
      <c r="F295">
        <f>IF($W295="","",IF(INDEX('Per Invoice'!F$2:F$801,$W295)="","",INDEX('Per Invoice'!F$2:F$801,$W295)))</f>
        <v/>
      </c>
      <c r="G295">
        <f>IF($W295="","",IF(INDEX('Per Invoice'!G$2:G$801,$W295)="","",INDEX('Per Invoice'!G$2:G$801,$W295)))</f>
        <v/>
      </c>
      <c r="H295">
        <f>IF($W295="","",IF(INDEX('Per Invoice'!H$2:H$801,$W295)="","",INDEX('Per Invoice'!H$2:H$801,$W295)))</f>
        <v/>
      </c>
      <c r="I295">
        <f>IF($W295="","",IF(INDEX('Per Invoice'!I$2:I$801,$W295)="","",INDEX('Per Invoice'!I$2:I$801,$W295)))</f>
        <v/>
      </c>
      <c r="J295">
        <f>IF($W295="","",IF(INDEX('Per Invoice'!J$2:J$801,$W295)="","",INDEX('Per Invoice'!J$2:J$801,$W295)))</f>
        <v/>
      </c>
      <c r="K295" s="7">
        <f>IF($W295="","",IF(INDEX('Per Invoice'!K$2:K$801,$W295)="","",INDEX('Per Invoice'!K$2:K$801,$W295)))</f>
        <v/>
      </c>
      <c r="L295" s="14">
        <f>IF($W295="","",IF(INDEX('Per Invoice'!L$2:L$801,$W295)="","",INDEX('Per Invoice'!L$2:L$801,$W295)))</f>
        <v/>
      </c>
      <c r="M295">
        <f>IF($W295="","",IF(INDEX('Per Invoice'!M$2:M$801,$W295)="","",INDEX('Per Invoice'!M$2:M$801,$W295)))</f>
        <v/>
      </c>
      <c r="N295" s="7">
        <f>IF($W295="","",IF(INDEX('Per Invoice'!N$2:N$801,$W295)="","",INDEX('Per Invoice'!N$2:N$801,$W295)))</f>
        <v/>
      </c>
      <c r="O295" s="7">
        <f>IF($W295="","",IF(INDEX('Per Invoice'!O$2:O$801,$W295)="","",INDEX('Per Invoice'!O$2:O$801,$W295)))</f>
        <v/>
      </c>
      <c r="P295">
        <f>IF($W295="","",IF(INDEX('Per Invoice'!P$2:P$801,$W295)="","",INDEX('Per Invoice'!P$2:P$801,$W295)))</f>
        <v/>
      </c>
      <c r="Q295" s="7">
        <f>IF($W295="","",IF(INDEX('Per Invoice'!Q$2:Q$801,$W295)="","",INDEX('Per Invoice'!Q$2:Q$801,$W295)))</f>
        <v/>
      </c>
      <c r="R295" s="7">
        <f>IF($W295="","",IF(INDEX('Per Invoice'!R$2:R$801,$W295)="","",INDEX('Per Invoice'!R$2:R$801,$W295)))</f>
        <v/>
      </c>
      <c r="S295" s="7">
        <f>IF($W295="","",IF(INDEX('Per Invoice'!S$2:S$801,$W295)="","",INDEX('Per Invoice'!S$2:S$801,$W295)))</f>
        <v/>
      </c>
      <c r="T295" s="7">
        <f>IF($W295="","",IF(INDEX('Per Invoice'!T$2:T$801,$W295)="","",INDEX('Per Invoice'!T$2:T$801,$W295)))</f>
        <v/>
      </c>
      <c r="U295" s="7">
        <f>IF($W295="","",IF(INDEX('Per Invoice'!U$2:U$801,$W295)="","",INDEX('Per Invoice'!U$2:U$801,$W295)))</f>
        <v/>
      </c>
      <c r="V295" s="7">
        <f>IF($W295="","",IF(INDEX('Per Invoice'!V$2:V$801,$W295)="","",INDEX('Per Invoice'!V$2:V$801,$W295)))</f>
        <v/>
      </c>
      <c r="W295" s="16">
        <f>IFERROR(MATCH(Settings!$C$29&amp;"|"&amp;ROWS($W$2:$W295),'Per Invoice'!$X$2:$X$801,0),"")</f>
        <v/>
      </c>
    </row>
    <row r="296">
      <c r="A296">
        <f>IF($W296="","",IF(INDEX('Per Invoice'!A$2:A$801,$W296)="","",INDEX('Per Invoice'!A$2:A$801,$W296)))</f>
        <v/>
      </c>
      <c r="B296">
        <f>IF($W296="","",IF(INDEX('Per Invoice'!B$2:B$801,$W296)="","",INDEX('Per Invoice'!B$2:B$801,$W296)))</f>
        <v/>
      </c>
      <c r="C296">
        <f>IF($W296="","",IF(INDEX('Per Invoice'!C$2:C$801,$W296)="","",INDEX('Per Invoice'!C$2:C$801,$W296)))</f>
        <v/>
      </c>
      <c r="D296">
        <f>IF($W296="","",IF(INDEX('Per Invoice'!D$2:D$801,$W296)="","",INDEX('Per Invoice'!D$2:D$801,$W296)))</f>
        <v/>
      </c>
      <c r="E296">
        <f>IF($W296="","",IF(INDEX('Per Invoice'!E$2:E$801,$W296)="","",INDEX('Per Invoice'!E$2:E$801,$W296)))</f>
        <v/>
      </c>
      <c r="F296">
        <f>IF($W296="","",IF(INDEX('Per Invoice'!F$2:F$801,$W296)="","",INDEX('Per Invoice'!F$2:F$801,$W296)))</f>
        <v/>
      </c>
      <c r="G296">
        <f>IF($W296="","",IF(INDEX('Per Invoice'!G$2:G$801,$W296)="","",INDEX('Per Invoice'!G$2:G$801,$W296)))</f>
        <v/>
      </c>
      <c r="H296">
        <f>IF($W296="","",IF(INDEX('Per Invoice'!H$2:H$801,$W296)="","",INDEX('Per Invoice'!H$2:H$801,$W296)))</f>
        <v/>
      </c>
      <c r="I296">
        <f>IF($W296="","",IF(INDEX('Per Invoice'!I$2:I$801,$W296)="","",INDEX('Per Invoice'!I$2:I$801,$W296)))</f>
        <v/>
      </c>
      <c r="J296">
        <f>IF($W296="","",IF(INDEX('Per Invoice'!J$2:J$801,$W296)="","",INDEX('Per Invoice'!J$2:J$801,$W296)))</f>
        <v/>
      </c>
      <c r="K296" s="7">
        <f>IF($W296="","",IF(INDEX('Per Invoice'!K$2:K$801,$W296)="","",INDEX('Per Invoice'!K$2:K$801,$W296)))</f>
        <v/>
      </c>
      <c r="L296" s="14">
        <f>IF($W296="","",IF(INDEX('Per Invoice'!L$2:L$801,$W296)="","",INDEX('Per Invoice'!L$2:L$801,$W296)))</f>
        <v/>
      </c>
      <c r="M296">
        <f>IF($W296="","",IF(INDEX('Per Invoice'!M$2:M$801,$W296)="","",INDEX('Per Invoice'!M$2:M$801,$W296)))</f>
        <v/>
      </c>
      <c r="N296" s="7">
        <f>IF($W296="","",IF(INDEX('Per Invoice'!N$2:N$801,$W296)="","",INDEX('Per Invoice'!N$2:N$801,$W296)))</f>
        <v/>
      </c>
      <c r="O296" s="7">
        <f>IF($W296="","",IF(INDEX('Per Invoice'!O$2:O$801,$W296)="","",INDEX('Per Invoice'!O$2:O$801,$W296)))</f>
        <v/>
      </c>
      <c r="P296">
        <f>IF($W296="","",IF(INDEX('Per Invoice'!P$2:P$801,$W296)="","",INDEX('Per Invoice'!P$2:P$801,$W296)))</f>
        <v/>
      </c>
      <c r="Q296" s="7">
        <f>IF($W296="","",IF(INDEX('Per Invoice'!Q$2:Q$801,$W296)="","",INDEX('Per Invoice'!Q$2:Q$801,$W296)))</f>
        <v/>
      </c>
      <c r="R296" s="7">
        <f>IF($W296="","",IF(INDEX('Per Invoice'!R$2:R$801,$W296)="","",INDEX('Per Invoice'!R$2:R$801,$W296)))</f>
        <v/>
      </c>
      <c r="S296" s="7">
        <f>IF($W296="","",IF(INDEX('Per Invoice'!S$2:S$801,$W296)="","",INDEX('Per Invoice'!S$2:S$801,$W296)))</f>
        <v/>
      </c>
      <c r="T296" s="7">
        <f>IF($W296="","",IF(INDEX('Per Invoice'!T$2:T$801,$W296)="","",INDEX('Per Invoice'!T$2:T$801,$W296)))</f>
        <v/>
      </c>
      <c r="U296" s="7">
        <f>IF($W296="","",IF(INDEX('Per Invoice'!U$2:U$801,$W296)="","",INDEX('Per Invoice'!U$2:U$801,$W296)))</f>
        <v/>
      </c>
      <c r="V296" s="7">
        <f>IF($W296="","",IF(INDEX('Per Invoice'!V$2:V$801,$W296)="","",INDEX('Per Invoice'!V$2:V$801,$W296)))</f>
        <v/>
      </c>
      <c r="W296" s="16">
        <f>IFERROR(MATCH(Settings!$C$29&amp;"|"&amp;ROWS($W$2:$W296),'Per Invoice'!$X$2:$X$801,0),"")</f>
        <v/>
      </c>
    </row>
    <row r="297">
      <c r="A297">
        <f>IF($W297="","",IF(INDEX('Per Invoice'!A$2:A$801,$W297)="","",INDEX('Per Invoice'!A$2:A$801,$W297)))</f>
        <v/>
      </c>
      <c r="B297">
        <f>IF($W297="","",IF(INDEX('Per Invoice'!B$2:B$801,$W297)="","",INDEX('Per Invoice'!B$2:B$801,$W297)))</f>
        <v/>
      </c>
      <c r="C297">
        <f>IF($W297="","",IF(INDEX('Per Invoice'!C$2:C$801,$W297)="","",INDEX('Per Invoice'!C$2:C$801,$W297)))</f>
        <v/>
      </c>
      <c r="D297">
        <f>IF($W297="","",IF(INDEX('Per Invoice'!D$2:D$801,$W297)="","",INDEX('Per Invoice'!D$2:D$801,$W297)))</f>
        <v/>
      </c>
      <c r="E297">
        <f>IF($W297="","",IF(INDEX('Per Invoice'!E$2:E$801,$W297)="","",INDEX('Per Invoice'!E$2:E$801,$W297)))</f>
        <v/>
      </c>
      <c r="F297">
        <f>IF($W297="","",IF(INDEX('Per Invoice'!F$2:F$801,$W297)="","",INDEX('Per Invoice'!F$2:F$801,$W297)))</f>
        <v/>
      </c>
      <c r="G297">
        <f>IF($W297="","",IF(INDEX('Per Invoice'!G$2:G$801,$W297)="","",INDEX('Per Invoice'!G$2:G$801,$W297)))</f>
        <v/>
      </c>
      <c r="H297">
        <f>IF($W297="","",IF(INDEX('Per Invoice'!H$2:H$801,$W297)="","",INDEX('Per Invoice'!H$2:H$801,$W297)))</f>
        <v/>
      </c>
      <c r="I297">
        <f>IF($W297="","",IF(INDEX('Per Invoice'!I$2:I$801,$W297)="","",INDEX('Per Invoice'!I$2:I$801,$W297)))</f>
        <v/>
      </c>
      <c r="J297">
        <f>IF($W297="","",IF(INDEX('Per Invoice'!J$2:J$801,$W297)="","",INDEX('Per Invoice'!J$2:J$801,$W297)))</f>
        <v/>
      </c>
      <c r="K297" s="7">
        <f>IF($W297="","",IF(INDEX('Per Invoice'!K$2:K$801,$W297)="","",INDEX('Per Invoice'!K$2:K$801,$W297)))</f>
        <v/>
      </c>
      <c r="L297" s="14">
        <f>IF($W297="","",IF(INDEX('Per Invoice'!L$2:L$801,$W297)="","",INDEX('Per Invoice'!L$2:L$801,$W297)))</f>
        <v/>
      </c>
      <c r="M297">
        <f>IF($W297="","",IF(INDEX('Per Invoice'!M$2:M$801,$W297)="","",INDEX('Per Invoice'!M$2:M$801,$W297)))</f>
        <v/>
      </c>
      <c r="N297" s="7">
        <f>IF($W297="","",IF(INDEX('Per Invoice'!N$2:N$801,$W297)="","",INDEX('Per Invoice'!N$2:N$801,$W297)))</f>
        <v/>
      </c>
      <c r="O297" s="7">
        <f>IF($W297="","",IF(INDEX('Per Invoice'!O$2:O$801,$W297)="","",INDEX('Per Invoice'!O$2:O$801,$W297)))</f>
        <v/>
      </c>
      <c r="P297">
        <f>IF($W297="","",IF(INDEX('Per Invoice'!P$2:P$801,$W297)="","",INDEX('Per Invoice'!P$2:P$801,$W297)))</f>
        <v/>
      </c>
      <c r="Q297" s="7">
        <f>IF($W297="","",IF(INDEX('Per Invoice'!Q$2:Q$801,$W297)="","",INDEX('Per Invoice'!Q$2:Q$801,$W297)))</f>
        <v/>
      </c>
      <c r="R297" s="7">
        <f>IF($W297="","",IF(INDEX('Per Invoice'!R$2:R$801,$W297)="","",INDEX('Per Invoice'!R$2:R$801,$W297)))</f>
        <v/>
      </c>
      <c r="S297" s="7">
        <f>IF($W297="","",IF(INDEX('Per Invoice'!S$2:S$801,$W297)="","",INDEX('Per Invoice'!S$2:S$801,$W297)))</f>
        <v/>
      </c>
      <c r="T297" s="7">
        <f>IF($W297="","",IF(INDEX('Per Invoice'!T$2:T$801,$W297)="","",INDEX('Per Invoice'!T$2:T$801,$W297)))</f>
        <v/>
      </c>
      <c r="U297" s="7">
        <f>IF($W297="","",IF(INDEX('Per Invoice'!U$2:U$801,$W297)="","",INDEX('Per Invoice'!U$2:U$801,$W297)))</f>
        <v/>
      </c>
      <c r="V297" s="7">
        <f>IF($W297="","",IF(INDEX('Per Invoice'!V$2:V$801,$W297)="","",INDEX('Per Invoice'!V$2:V$801,$W297)))</f>
        <v/>
      </c>
      <c r="W297" s="16">
        <f>IFERROR(MATCH(Settings!$C$29&amp;"|"&amp;ROWS($W$2:$W297),'Per Invoice'!$X$2:$X$801,0),"")</f>
        <v/>
      </c>
    </row>
    <row r="298">
      <c r="A298">
        <f>IF($W298="","",IF(INDEX('Per Invoice'!A$2:A$801,$W298)="","",INDEX('Per Invoice'!A$2:A$801,$W298)))</f>
        <v/>
      </c>
      <c r="B298">
        <f>IF($W298="","",IF(INDEX('Per Invoice'!B$2:B$801,$W298)="","",INDEX('Per Invoice'!B$2:B$801,$W298)))</f>
        <v/>
      </c>
      <c r="C298">
        <f>IF($W298="","",IF(INDEX('Per Invoice'!C$2:C$801,$W298)="","",INDEX('Per Invoice'!C$2:C$801,$W298)))</f>
        <v/>
      </c>
      <c r="D298">
        <f>IF($W298="","",IF(INDEX('Per Invoice'!D$2:D$801,$W298)="","",INDEX('Per Invoice'!D$2:D$801,$W298)))</f>
        <v/>
      </c>
      <c r="E298">
        <f>IF($W298="","",IF(INDEX('Per Invoice'!E$2:E$801,$W298)="","",INDEX('Per Invoice'!E$2:E$801,$W298)))</f>
        <v/>
      </c>
      <c r="F298">
        <f>IF($W298="","",IF(INDEX('Per Invoice'!F$2:F$801,$W298)="","",INDEX('Per Invoice'!F$2:F$801,$W298)))</f>
        <v/>
      </c>
      <c r="G298">
        <f>IF($W298="","",IF(INDEX('Per Invoice'!G$2:G$801,$W298)="","",INDEX('Per Invoice'!G$2:G$801,$W298)))</f>
        <v/>
      </c>
      <c r="H298">
        <f>IF($W298="","",IF(INDEX('Per Invoice'!H$2:H$801,$W298)="","",INDEX('Per Invoice'!H$2:H$801,$W298)))</f>
        <v/>
      </c>
      <c r="I298">
        <f>IF($W298="","",IF(INDEX('Per Invoice'!I$2:I$801,$W298)="","",INDEX('Per Invoice'!I$2:I$801,$W298)))</f>
        <v/>
      </c>
      <c r="J298">
        <f>IF($W298="","",IF(INDEX('Per Invoice'!J$2:J$801,$W298)="","",INDEX('Per Invoice'!J$2:J$801,$W298)))</f>
        <v/>
      </c>
      <c r="K298" s="7">
        <f>IF($W298="","",IF(INDEX('Per Invoice'!K$2:K$801,$W298)="","",INDEX('Per Invoice'!K$2:K$801,$W298)))</f>
        <v/>
      </c>
      <c r="L298" s="14">
        <f>IF($W298="","",IF(INDEX('Per Invoice'!L$2:L$801,$W298)="","",INDEX('Per Invoice'!L$2:L$801,$W298)))</f>
        <v/>
      </c>
      <c r="M298">
        <f>IF($W298="","",IF(INDEX('Per Invoice'!M$2:M$801,$W298)="","",INDEX('Per Invoice'!M$2:M$801,$W298)))</f>
        <v/>
      </c>
      <c r="N298" s="7">
        <f>IF($W298="","",IF(INDEX('Per Invoice'!N$2:N$801,$W298)="","",INDEX('Per Invoice'!N$2:N$801,$W298)))</f>
        <v/>
      </c>
      <c r="O298" s="7">
        <f>IF($W298="","",IF(INDEX('Per Invoice'!O$2:O$801,$W298)="","",INDEX('Per Invoice'!O$2:O$801,$W298)))</f>
        <v/>
      </c>
      <c r="P298">
        <f>IF($W298="","",IF(INDEX('Per Invoice'!P$2:P$801,$W298)="","",INDEX('Per Invoice'!P$2:P$801,$W298)))</f>
        <v/>
      </c>
      <c r="Q298" s="7">
        <f>IF($W298="","",IF(INDEX('Per Invoice'!Q$2:Q$801,$W298)="","",INDEX('Per Invoice'!Q$2:Q$801,$W298)))</f>
        <v/>
      </c>
      <c r="R298" s="7">
        <f>IF($W298="","",IF(INDEX('Per Invoice'!R$2:R$801,$W298)="","",INDEX('Per Invoice'!R$2:R$801,$W298)))</f>
        <v/>
      </c>
      <c r="S298" s="7">
        <f>IF($W298="","",IF(INDEX('Per Invoice'!S$2:S$801,$W298)="","",INDEX('Per Invoice'!S$2:S$801,$W298)))</f>
        <v/>
      </c>
      <c r="T298" s="7">
        <f>IF($W298="","",IF(INDEX('Per Invoice'!T$2:T$801,$W298)="","",INDEX('Per Invoice'!T$2:T$801,$W298)))</f>
        <v/>
      </c>
      <c r="U298" s="7">
        <f>IF($W298="","",IF(INDEX('Per Invoice'!U$2:U$801,$W298)="","",INDEX('Per Invoice'!U$2:U$801,$W298)))</f>
        <v/>
      </c>
      <c r="V298" s="7">
        <f>IF($W298="","",IF(INDEX('Per Invoice'!V$2:V$801,$W298)="","",INDEX('Per Invoice'!V$2:V$801,$W298)))</f>
        <v/>
      </c>
      <c r="W298" s="16">
        <f>IFERROR(MATCH(Settings!$C$29&amp;"|"&amp;ROWS($W$2:$W298),'Per Invoice'!$X$2:$X$801,0),"")</f>
        <v/>
      </c>
    </row>
    <row r="299">
      <c r="A299">
        <f>IF($W299="","",IF(INDEX('Per Invoice'!A$2:A$801,$W299)="","",INDEX('Per Invoice'!A$2:A$801,$W299)))</f>
        <v/>
      </c>
      <c r="B299">
        <f>IF($W299="","",IF(INDEX('Per Invoice'!B$2:B$801,$W299)="","",INDEX('Per Invoice'!B$2:B$801,$W299)))</f>
        <v/>
      </c>
      <c r="C299">
        <f>IF($W299="","",IF(INDEX('Per Invoice'!C$2:C$801,$W299)="","",INDEX('Per Invoice'!C$2:C$801,$W299)))</f>
        <v/>
      </c>
      <c r="D299">
        <f>IF($W299="","",IF(INDEX('Per Invoice'!D$2:D$801,$W299)="","",INDEX('Per Invoice'!D$2:D$801,$W299)))</f>
        <v/>
      </c>
      <c r="E299">
        <f>IF($W299="","",IF(INDEX('Per Invoice'!E$2:E$801,$W299)="","",INDEX('Per Invoice'!E$2:E$801,$W299)))</f>
        <v/>
      </c>
      <c r="F299">
        <f>IF($W299="","",IF(INDEX('Per Invoice'!F$2:F$801,$W299)="","",INDEX('Per Invoice'!F$2:F$801,$W299)))</f>
        <v/>
      </c>
      <c r="G299">
        <f>IF($W299="","",IF(INDEX('Per Invoice'!G$2:G$801,$W299)="","",INDEX('Per Invoice'!G$2:G$801,$W299)))</f>
        <v/>
      </c>
      <c r="H299">
        <f>IF($W299="","",IF(INDEX('Per Invoice'!H$2:H$801,$W299)="","",INDEX('Per Invoice'!H$2:H$801,$W299)))</f>
        <v/>
      </c>
      <c r="I299">
        <f>IF($W299="","",IF(INDEX('Per Invoice'!I$2:I$801,$W299)="","",INDEX('Per Invoice'!I$2:I$801,$W299)))</f>
        <v/>
      </c>
      <c r="J299">
        <f>IF($W299="","",IF(INDEX('Per Invoice'!J$2:J$801,$W299)="","",INDEX('Per Invoice'!J$2:J$801,$W299)))</f>
        <v/>
      </c>
      <c r="K299" s="7">
        <f>IF($W299="","",IF(INDEX('Per Invoice'!K$2:K$801,$W299)="","",INDEX('Per Invoice'!K$2:K$801,$W299)))</f>
        <v/>
      </c>
      <c r="L299" s="14">
        <f>IF($W299="","",IF(INDEX('Per Invoice'!L$2:L$801,$W299)="","",INDEX('Per Invoice'!L$2:L$801,$W299)))</f>
        <v/>
      </c>
      <c r="M299">
        <f>IF($W299="","",IF(INDEX('Per Invoice'!M$2:M$801,$W299)="","",INDEX('Per Invoice'!M$2:M$801,$W299)))</f>
        <v/>
      </c>
      <c r="N299" s="7">
        <f>IF($W299="","",IF(INDEX('Per Invoice'!N$2:N$801,$W299)="","",INDEX('Per Invoice'!N$2:N$801,$W299)))</f>
        <v/>
      </c>
      <c r="O299" s="7">
        <f>IF($W299="","",IF(INDEX('Per Invoice'!O$2:O$801,$W299)="","",INDEX('Per Invoice'!O$2:O$801,$W299)))</f>
        <v/>
      </c>
      <c r="P299">
        <f>IF($W299="","",IF(INDEX('Per Invoice'!P$2:P$801,$W299)="","",INDEX('Per Invoice'!P$2:P$801,$W299)))</f>
        <v/>
      </c>
      <c r="Q299" s="7">
        <f>IF($W299="","",IF(INDEX('Per Invoice'!Q$2:Q$801,$W299)="","",INDEX('Per Invoice'!Q$2:Q$801,$W299)))</f>
        <v/>
      </c>
      <c r="R299" s="7">
        <f>IF($W299="","",IF(INDEX('Per Invoice'!R$2:R$801,$W299)="","",INDEX('Per Invoice'!R$2:R$801,$W299)))</f>
        <v/>
      </c>
      <c r="S299" s="7">
        <f>IF($W299="","",IF(INDEX('Per Invoice'!S$2:S$801,$W299)="","",INDEX('Per Invoice'!S$2:S$801,$W299)))</f>
        <v/>
      </c>
      <c r="T299" s="7">
        <f>IF($W299="","",IF(INDEX('Per Invoice'!T$2:T$801,$W299)="","",INDEX('Per Invoice'!T$2:T$801,$W299)))</f>
        <v/>
      </c>
      <c r="U299" s="7">
        <f>IF($W299="","",IF(INDEX('Per Invoice'!U$2:U$801,$W299)="","",INDEX('Per Invoice'!U$2:U$801,$W299)))</f>
        <v/>
      </c>
      <c r="V299" s="7">
        <f>IF($W299="","",IF(INDEX('Per Invoice'!V$2:V$801,$W299)="","",INDEX('Per Invoice'!V$2:V$801,$W299)))</f>
        <v/>
      </c>
      <c r="W299" s="16">
        <f>IFERROR(MATCH(Settings!$C$29&amp;"|"&amp;ROWS($W$2:$W299),'Per Invoice'!$X$2:$X$801,0),"")</f>
        <v/>
      </c>
    </row>
    <row r="300">
      <c r="A300">
        <f>IF($W300="","",IF(INDEX('Per Invoice'!A$2:A$801,$W300)="","",INDEX('Per Invoice'!A$2:A$801,$W300)))</f>
        <v/>
      </c>
      <c r="B300">
        <f>IF($W300="","",IF(INDEX('Per Invoice'!B$2:B$801,$W300)="","",INDEX('Per Invoice'!B$2:B$801,$W300)))</f>
        <v/>
      </c>
      <c r="C300">
        <f>IF($W300="","",IF(INDEX('Per Invoice'!C$2:C$801,$W300)="","",INDEX('Per Invoice'!C$2:C$801,$W300)))</f>
        <v/>
      </c>
      <c r="D300">
        <f>IF($W300="","",IF(INDEX('Per Invoice'!D$2:D$801,$W300)="","",INDEX('Per Invoice'!D$2:D$801,$W300)))</f>
        <v/>
      </c>
      <c r="E300">
        <f>IF($W300="","",IF(INDEX('Per Invoice'!E$2:E$801,$W300)="","",INDEX('Per Invoice'!E$2:E$801,$W300)))</f>
        <v/>
      </c>
      <c r="F300">
        <f>IF($W300="","",IF(INDEX('Per Invoice'!F$2:F$801,$W300)="","",INDEX('Per Invoice'!F$2:F$801,$W300)))</f>
        <v/>
      </c>
      <c r="G300">
        <f>IF($W300="","",IF(INDEX('Per Invoice'!G$2:G$801,$W300)="","",INDEX('Per Invoice'!G$2:G$801,$W300)))</f>
        <v/>
      </c>
      <c r="H300">
        <f>IF($W300="","",IF(INDEX('Per Invoice'!H$2:H$801,$W300)="","",INDEX('Per Invoice'!H$2:H$801,$W300)))</f>
        <v/>
      </c>
      <c r="I300">
        <f>IF($W300="","",IF(INDEX('Per Invoice'!I$2:I$801,$W300)="","",INDEX('Per Invoice'!I$2:I$801,$W300)))</f>
        <v/>
      </c>
      <c r="J300">
        <f>IF($W300="","",IF(INDEX('Per Invoice'!J$2:J$801,$W300)="","",INDEX('Per Invoice'!J$2:J$801,$W300)))</f>
        <v/>
      </c>
      <c r="K300" s="7">
        <f>IF($W300="","",IF(INDEX('Per Invoice'!K$2:K$801,$W300)="","",INDEX('Per Invoice'!K$2:K$801,$W300)))</f>
        <v/>
      </c>
      <c r="L300" s="14">
        <f>IF($W300="","",IF(INDEX('Per Invoice'!L$2:L$801,$W300)="","",INDEX('Per Invoice'!L$2:L$801,$W300)))</f>
        <v/>
      </c>
      <c r="M300">
        <f>IF($W300="","",IF(INDEX('Per Invoice'!M$2:M$801,$W300)="","",INDEX('Per Invoice'!M$2:M$801,$W300)))</f>
        <v/>
      </c>
      <c r="N300" s="7">
        <f>IF($W300="","",IF(INDEX('Per Invoice'!N$2:N$801,$W300)="","",INDEX('Per Invoice'!N$2:N$801,$W300)))</f>
        <v/>
      </c>
      <c r="O300" s="7">
        <f>IF($W300="","",IF(INDEX('Per Invoice'!O$2:O$801,$W300)="","",INDEX('Per Invoice'!O$2:O$801,$W300)))</f>
        <v/>
      </c>
      <c r="P300">
        <f>IF($W300="","",IF(INDEX('Per Invoice'!P$2:P$801,$W300)="","",INDEX('Per Invoice'!P$2:P$801,$W300)))</f>
        <v/>
      </c>
      <c r="Q300" s="7">
        <f>IF($W300="","",IF(INDEX('Per Invoice'!Q$2:Q$801,$W300)="","",INDEX('Per Invoice'!Q$2:Q$801,$W300)))</f>
        <v/>
      </c>
      <c r="R300" s="7">
        <f>IF($W300="","",IF(INDEX('Per Invoice'!R$2:R$801,$W300)="","",INDEX('Per Invoice'!R$2:R$801,$W300)))</f>
        <v/>
      </c>
      <c r="S300" s="7">
        <f>IF($W300="","",IF(INDEX('Per Invoice'!S$2:S$801,$W300)="","",INDEX('Per Invoice'!S$2:S$801,$W300)))</f>
        <v/>
      </c>
      <c r="T300" s="7">
        <f>IF($W300="","",IF(INDEX('Per Invoice'!T$2:T$801,$W300)="","",INDEX('Per Invoice'!T$2:T$801,$W300)))</f>
        <v/>
      </c>
      <c r="U300" s="7">
        <f>IF($W300="","",IF(INDEX('Per Invoice'!U$2:U$801,$W300)="","",INDEX('Per Invoice'!U$2:U$801,$W300)))</f>
        <v/>
      </c>
      <c r="V300" s="7">
        <f>IF($W300="","",IF(INDEX('Per Invoice'!V$2:V$801,$W300)="","",INDEX('Per Invoice'!V$2:V$801,$W300)))</f>
        <v/>
      </c>
      <c r="W300" s="16">
        <f>IFERROR(MATCH(Settings!$C$29&amp;"|"&amp;ROWS($W$2:$W300),'Per Invoice'!$X$2:$X$801,0),"")</f>
        <v/>
      </c>
    </row>
    <row r="301">
      <c r="A301">
        <f>IF($W301="","",IF(INDEX('Per Invoice'!A$2:A$801,$W301)="","",INDEX('Per Invoice'!A$2:A$801,$W301)))</f>
        <v/>
      </c>
      <c r="B301">
        <f>IF($W301="","",IF(INDEX('Per Invoice'!B$2:B$801,$W301)="","",INDEX('Per Invoice'!B$2:B$801,$W301)))</f>
        <v/>
      </c>
      <c r="C301">
        <f>IF($W301="","",IF(INDEX('Per Invoice'!C$2:C$801,$W301)="","",INDEX('Per Invoice'!C$2:C$801,$W301)))</f>
        <v/>
      </c>
      <c r="D301">
        <f>IF($W301="","",IF(INDEX('Per Invoice'!D$2:D$801,$W301)="","",INDEX('Per Invoice'!D$2:D$801,$W301)))</f>
        <v/>
      </c>
      <c r="E301">
        <f>IF($W301="","",IF(INDEX('Per Invoice'!E$2:E$801,$W301)="","",INDEX('Per Invoice'!E$2:E$801,$W301)))</f>
        <v/>
      </c>
      <c r="F301">
        <f>IF($W301="","",IF(INDEX('Per Invoice'!F$2:F$801,$W301)="","",INDEX('Per Invoice'!F$2:F$801,$W301)))</f>
        <v/>
      </c>
      <c r="G301">
        <f>IF($W301="","",IF(INDEX('Per Invoice'!G$2:G$801,$W301)="","",INDEX('Per Invoice'!G$2:G$801,$W301)))</f>
        <v/>
      </c>
      <c r="H301">
        <f>IF($W301="","",IF(INDEX('Per Invoice'!H$2:H$801,$W301)="","",INDEX('Per Invoice'!H$2:H$801,$W301)))</f>
        <v/>
      </c>
      <c r="I301">
        <f>IF($W301="","",IF(INDEX('Per Invoice'!I$2:I$801,$W301)="","",INDEX('Per Invoice'!I$2:I$801,$W301)))</f>
        <v/>
      </c>
      <c r="J301">
        <f>IF($W301="","",IF(INDEX('Per Invoice'!J$2:J$801,$W301)="","",INDEX('Per Invoice'!J$2:J$801,$W301)))</f>
        <v/>
      </c>
      <c r="K301" s="7">
        <f>IF($W301="","",IF(INDEX('Per Invoice'!K$2:K$801,$W301)="","",INDEX('Per Invoice'!K$2:K$801,$W301)))</f>
        <v/>
      </c>
      <c r="L301" s="14">
        <f>IF($W301="","",IF(INDEX('Per Invoice'!L$2:L$801,$W301)="","",INDEX('Per Invoice'!L$2:L$801,$W301)))</f>
        <v/>
      </c>
      <c r="M301">
        <f>IF($W301="","",IF(INDEX('Per Invoice'!M$2:M$801,$W301)="","",INDEX('Per Invoice'!M$2:M$801,$W301)))</f>
        <v/>
      </c>
      <c r="N301" s="7">
        <f>IF($W301="","",IF(INDEX('Per Invoice'!N$2:N$801,$W301)="","",INDEX('Per Invoice'!N$2:N$801,$W301)))</f>
        <v/>
      </c>
      <c r="O301" s="7">
        <f>IF($W301="","",IF(INDEX('Per Invoice'!O$2:O$801,$W301)="","",INDEX('Per Invoice'!O$2:O$801,$W301)))</f>
        <v/>
      </c>
      <c r="P301">
        <f>IF($W301="","",IF(INDEX('Per Invoice'!P$2:P$801,$W301)="","",INDEX('Per Invoice'!P$2:P$801,$W301)))</f>
        <v/>
      </c>
      <c r="Q301" s="7">
        <f>IF($W301="","",IF(INDEX('Per Invoice'!Q$2:Q$801,$W301)="","",INDEX('Per Invoice'!Q$2:Q$801,$W301)))</f>
        <v/>
      </c>
      <c r="R301" s="7">
        <f>IF($W301="","",IF(INDEX('Per Invoice'!R$2:R$801,$W301)="","",INDEX('Per Invoice'!R$2:R$801,$W301)))</f>
        <v/>
      </c>
      <c r="S301" s="7">
        <f>IF($W301="","",IF(INDEX('Per Invoice'!S$2:S$801,$W301)="","",INDEX('Per Invoice'!S$2:S$801,$W301)))</f>
        <v/>
      </c>
      <c r="T301" s="7">
        <f>IF($W301="","",IF(INDEX('Per Invoice'!T$2:T$801,$W301)="","",INDEX('Per Invoice'!T$2:T$801,$W301)))</f>
        <v/>
      </c>
      <c r="U301" s="7">
        <f>IF($W301="","",IF(INDEX('Per Invoice'!U$2:U$801,$W301)="","",INDEX('Per Invoice'!U$2:U$801,$W301)))</f>
        <v/>
      </c>
      <c r="V301" s="7">
        <f>IF($W301="","",IF(INDEX('Per Invoice'!V$2:V$801,$W301)="","",INDEX('Per Invoice'!V$2:V$801,$W301)))</f>
        <v/>
      </c>
      <c r="W301" s="16">
        <f>IFERROR(MATCH(Settings!$C$29&amp;"|"&amp;ROWS($W$2:$W301),'Per Invoice'!$X$2:$X$801,0),"")</f>
        <v/>
      </c>
    </row>
  </sheetData>
  <autoFilter ref="A1:W3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26" customWidth="1" min="8" max="8"/>
    <col width="13" customWidth="1" min="9" max="9"/>
    <col width="12" customWidth="1" min="10" max="10"/>
    <col width="1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 ht="32" customHeight="1">
      <c r="A1" s="10" t="inlineStr">
        <is>
          <t>Invoice</t>
        </is>
      </c>
      <c r="B1" s="10" t="inlineStr">
        <is>
          <t>Pos Reference</t>
        </is>
      </c>
      <c r="C1" s="10" t="inlineStr">
        <is>
          <t>Approval</t>
        </is>
      </c>
      <c r="D1" s="10" t="inlineStr">
        <is>
          <t>##</t>
        </is>
      </c>
      <c r="E1" s="10" t="inlineStr">
        <is>
          <t>Payer</t>
        </is>
      </c>
      <c r="F1" s="10" t="inlineStr">
        <is>
          <t>Payment term</t>
        </is>
      </c>
      <c r="G1" s="10" t="inlineStr">
        <is>
          <t>Insurance Company</t>
        </is>
      </c>
      <c r="H1" s="10" t="inlineStr">
        <is>
          <t>Name</t>
        </is>
      </c>
      <c r="I1" s="10" t="inlineStr">
        <is>
          <t>Card Number</t>
        </is>
      </c>
      <c r="J1" s="10" t="inlineStr">
        <is>
          <t>Co Payment %</t>
        </is>
      </c>
      <c r="K1" s="10" t="inlineStr">
        <is>
          <t>Co val</t>
        </is>
      </c>
      <c r="L1" s="10" t="inlineStr">
        <is>
          <t>Create Date</t>
        </is>
      </c>
      <c r="M1" s="10" t="inlineStr">
        <is>
          <t>Imp%</t>
        </is>
      </c>
      <c r="N1" s="10" t="inlineStr">
        <is>
          <t>Imp</t>
        </is>
      </c>
      <c r="O1" s="10" t="inlineStr">
        <is>
          <t>Imp_Val</t>
        </is>
      </c>
      <c r="P1" s="10" t="inlineStr">
        <is>
          <t>Local%</t>
        </is>
      </c>
      <c r="Q1" s="10" t="inlineStr">
        <is>
          <t>Local</t>
        </is>
      </c>
      <c r="R1" s="10" t="inlineStr">
        <is>
          <t>Local_Val</t>
        </is>
      </c>
      <c r="S1" s="10" t="inlineStr">
        <is>
          <t>Discount</t>
        </is>
      </c>
      <c r="T1" s="10" t="inlineStr">
        <is>
          <t>Subtotal</t>
        </is>
      </c>
      <c r="U1" s="10" t="inlineStr">
        <is>
          <t>Net</t>
        </is>
      </c>
      <c r="V1" s="10" t="inlineStr">
        <is>
          <t>Grand Total</t>
        </is>
      </c>
      <c r="W1" s="13" t="inlineStr">
        <is>
          <t>Src Row (helper)</t>
        </is>
      </c>
    </row>
    <row r="2">
      <c r="A2">
        <f>IF($W2="","",IF(INDEX('Per Invoice'!A$2:A$801,$W2)="","",INDEX('Per Invoice'!A$2:A$801,$W2)))</f>
        <v/>
      </c>
      <c r="B2">
        <f>IF($W2="","",IF(INDEX('Per Invoice'!B$2:B$801,$W2)="","",INDEX('Per Invoice'!B$2:B$801,$W2)))</f>
        <v/>
      </c>
      <c r="C2">
        <f>IF($W2="","",IF(INDEX('Per Invoice'!C$2:C$801,$W2)="","",INDEX('Per Invoice'!C$2:C$801,$W2)))</f>
        <v/>
      </c>
      <c r="D2">
        <f>IF($W2="","",IF(INDEX('Per Invoice'!D$2:D$801,$W2)="","",INDEX('Per Invoice'!D$2:D$801,$W2)))</f>
        <v/>
      </c>
      <c r="E2">
        <f>IF($W2="","",IF(INDEX('Per Invoice'!E$2:E$801,$W2)="","",INDEX('Per Invoice'!E$2:E$801,$W2)))</f>
        <v/>
      </c>
      <c r="F2">
        <f>IF($W2="","",IF(INDEX('Per Invoice'!F$2:F$801,$W2)="","",INDEX('Per Invoice'!F$2:F$801,$W2)))</f>
        <v/>
      </c>
      <c r="G2">
        <f>IF($W2="","",IF(INDEX('Per Invoice'!G$2:G$801,$W2)="","",INDEX('Per Invoice'!G$2:G$801,$W2)))</f>
        <v/>
      </c>
      <c r="H2">
        <f>IF($W2="","",IF(INDEX('Per Invoice'!H$2:H$801,$W2)="","",INDEX('Per Invoice'!H$2:H$801,$W2)))</f>
        <v/>
      </c>
      <c r="I2">
        <f>IF($W2="","",IF(INDEX('Per Invoice'!I$2:I$801,$W2)="","",INDEX('Per Invoice'!I$2:I$801,$W2)))</f>
        <v/>
      </c>
      <c r="J2">
        <f>IF($W2="","",IF(INDEX('Per Invoice'!J$2:J$801,$W2)="","",INDEX('Per Invoice'!J$2:J$801,$W2)))</f>
        <v/>
      </c>
      <c r="K2" s="7">
        <f>IF($W2="","",IF(INDEX('Per Invoice'!K$2:K$801,$W2)="","",INDEX('Per Invoice'!K$2:K$801,$W2)))</f>
        <v/>
      </c>
      <c r="L2" s="14">
        <f>IF($W2="","",IF(INDEX('Per Invoice'!L$2:L$801,$W2)="","",INDEX('Per Invoice'!L$2:L$801,$W2)))</f>
        <v/>
      </c>
      <c r="M2">
        <f>IF($W2="","",IF(INDEX('Per Invoice'!M$2:M$801,$W2)="","",INDEX('Per Invoice'!M$2:M$801,$W2)))</f>
        <v/>
      </c>
      <c r="N2" s="7">
        <f>IF($W2="","",IF(INDEX('Per Invoice'!N$2:N$801,$W2)="","",INDEX('Per Invoice'!N$2:N$801,$W2)))</f>
        <v/>
      </c>
      <c r="O2" s="7">
        <f>IF($W2="","",IF(INDEX('Per Invoice'!O$2:O$801,$W2)="","",INDEX('Per Invoice'!O$2:O$801,$W2)))</f>
        <v/>
      </c>
      <c r="P2">
        <f>IF($W2="","",IF(INDEX('Per Invoice'!P$2:P$801,$W2)="","",INDEX('Per Invoice'!P$2:P$801,$W2)))</f>
        <v/>
      </c>
      <c r="Q2" s="7">
        <f>IF($W2="","",IF(INDEX('Per Invoice'!Q$2:Q$801,$W2)="","",INDEX('Per Invoice'!Q$2:Q$801,$W2)))</f>
        <v/>
      </c>
      <c r="R2" s="7">
        <f>IF($W2="","",IF(INDEX('Per Invoice'!R$2:R$801,$W2)="","",INDEX('Per Invoice'!R$2:R$801,$W2)))</f>
        <v/>
      </c>
      <c r="S2" s="7">
        <f>IF($W2="","",IF(INDEX('Per Invoice'!S$2:S$801,$W2)="","",INDEX('Per Invoice'!S$2:S$801,$W2)))</f>
        <v/>
      </c>
      <c r="T2" s="7">
        <f>IF($W2="","",IF(INDEX('Per Invoice'!T$2:T$801,$W2)="","",INDEX('Per Invoice'!T$2:T$801,$W2)))</f>
        <v/>
      </c>
      <c r="U2" s="7">
        <f>IF($W2="","",IF(INDEX('Per Invoice'!U$2:U$801,$W2)="","",INDEX('Per Invoice'!U$2:U$801,$W2)))</f>
        <v/>
      </c>
      <c r="V2" s="7">
        <f>IF($W2="","",IF(INDEX('Per Invoice'!V$2:V$801,$W2)="","",INDEX('Per Invoice'!V$2:V$801,$W2)))</f>
        <v/>
      </c>
      <c r="W2" s="16">
        <f>IFERROR(MATCH(Settings!$C$30&amp;"|"&amp;ROWS($W$2:$W2),'Per Invoice'!$X$2:$X$801,0),"")</f>
        <v/>
      </c>
    </row>
    <row r="3">
      <c r="A3">
        <f>IF($W3="","",IF(INDEX('Per Invoice'!A$2:A$801,$W3)="","",INDEX('Per Invoice'!A$2:A$801,$W3)))</f>
        <v/>
      </c>
      <c r="B3">
        <f>IF($W3="","",IF(INDEX('Per Invoice'!B$2:B$801,$W3)="","",INDEX('Per Invoice'!B$2:B$801,$W3)))</f>
        <v/>
      </c>
      <c r="C3">
        <f>IF($W3="","",IF(INDEX('Per Invoice'!C$2:C$801,$W3)="","",INDEX('Per Invoice'!C$2:C$801,$W3)))</f>
        <v/>
      </c>
      <c r="D3">
        <f>IF($W3="","",IF(INDEX('Per Invoice'!D$2:D$801,$W3)="","",INDEX('Per Invoice'!D$2:D$801,$W3)))</f>
        <v/>
      </c>
      <c r="E3">
        <f>IF($W3="","",IF(INDEX('Per Invoice'!E$2:E$801,$W3)="","",INDEX('Per Invoice'!E$2:E$801,$W3)))</f>
        <v/>
      </c>
      <c r="F3">
        <f>IF($W3="","",IF(INDEX('Per Invoice'!F$2:F$801,$W3)="","",INDEX('Per Invoice'!F$2:F$801,$W3)))</f>
        <v/>
      </c>
      <c r="G3">
        <f>IF($W3="","",IF(INDEX('Per Invoice'!G$2:G$801,$W3)="","",INDEX('Per Invoice'!G$2:G$801,$W3)))</f>
        <v/>
      </c>
      <c r="H3">
        <f>IF($W3="","",IF(INDEX('Per Invoice'!H$2:H$801,$W3)="","",INDEX('Per Invoice'!H$2:H$801,$W3)))</f>
        <v/>
      </c>
      <c r="I3">
        <f>IF($W3="","",IF(INDEX('Per Invoice'!I$2:I$801,$W3)="","",INDEX('Per Invoice'!I$2:I$801,$W3)))</f>
        <v/>
      </c>
      <c r="J3">
        <f>IF($W3="","",IF(INDEX('Per Invoice'!J$2:J$801,$W3)="","",INDEX('Per Invoice'!J$2:J$801,$W3)))</f>
        <v/>
      </c>
      <c r="K3" s="7">
        <f>IF($W3="","",IF(INDEX('Per Invoice'!K$2:K$801,$W3)="","",INDEX('Per Invoice'!K$2:K$801,$W3)))</f>
        <v/>
      </c>
      <c r="L3" s="14">
        <f>IF($W3="","",IF(INDEX('Per Invoice'!L$2:L$801,$W3)="","",INDEX('Per Invoice'!L$2:L$801,$W3)))</f>
        <v/>
      </c>
      <c r="M3">
        <f>IF($W3="","",IF(INDEX('Per Invoice'!M$2:M$801,$W3)="","",INDEX('Per Invoice'!M$2:M$801,$W3)))</f>
        <v/>
      </c>
      <c r="N3" s="7">
        <f>IF($W3="","",IF(INDEX('Per Invoice'!N$2:N$801,$W3)="","",INDEX('Per Invoice'!N$2:N$801,$W3)))</f>
        <v/>
      </c>
      <c r="O3" s="7">
        <f>IF($W3="","",IF(INDEX('Per Invoice'!O$2:O$801,$W3)="","",INDEX('Per Invoice'!O$2:O$801,$W3)))</f>
        <v/>
      </c>
      <c r="P3">
        <f>IF($W3="","",IF(INDEX('Per Invoice'!P$2:P$801,$W3)="","",INDEX('Per Invoice'!P$2:P$801,$W3)))</f>
        <v/>
      </c>
      <c r="Q3" s="7">
        <f>IF($W3="","",IF(INDEX('Per Invoice'!Q$2:Q$801,$W3)="","",INDEX('Per Invoice'!Q$2:Q$801,$W3)))</f>
        <v/>
      </c>
      <c r="R3" s="7">
        <f>IF($W3="","",IF(INDEX('Per Invoice'!R$2:R$801,$W3)="","",INDEX('Per Invoice'!R$2:R$801,$W3)))</f>
        <v/>
      </c>
      <c r="S3" s="7">
        <f>IF($W3="","",IF(INDEX('Per Invoice'!S$2:S$801,$W3)="","",INDEX('Per Invoice'!S$2:S$801,$W3)))</f>
        <v/>
      </c>
      <c r="T3" s="7">
        <f>IF($W3="","",IF(INDEX('Per Invoice'!T$2:T$801,$W3)="","",INDEX('Per Invoice'!T$2:T$801,$W3)))</f>
        <v/>
      </c>
      <c r="U3" s="7">
        <f>IF($W3="","",IF(INDEX('Per Invoice'!U$2:U$801,$W3)="","",INDEX('Per Invoice'!U$2:U$801,$W3)))</f>
        <v/>
      </c>
      <c r="V3" s="7">
        <f>IF($W3="","",IF(INDEX('Per Invoice'!V$2:V$801,$W3)="","",INDEX('Per Invoice'!V$2:V$801,$W3)))</f>
        <v/>
      </c>
      <c r="W3" s="16">
        <f>IFERROR(MATCH(Settings!$C$30&amp;"|"&amp;ROWS($W$2:$W3),'Per Invoice'!$X$2:$X$801,0),"")</f>
        <v/>
      </c>
    </row>
    <row r="4">
      <c r="A4">
        <f>IF($W4="","",IF(INDEX('Per Invoice'!A$2:A$801,$W4)="","",INDEX('Per Invoice'!A$2:A$801,$W4)))</f>
        <v/>
      </c>
      <c r="B4">
        <f>IF($W4="","",IF(INDEX('Per Invoice'!B$2:B$801,$W4)="","",INDEX('Per Invoice'!B$2:B$801,$W4)))</f>
        <v/>
      </c>
      <c r="C4">
        <f>IF($W4="","",IF(INDEX('Per Invoice'!C$2:C$801,$W4)="","",INDEX('Per Invoice'!C$2:C$801,$W4)))</f>
        <v/>
      </c>
      <c r="D4">
        <f>IF($W4="","",IF(INDEX('Per Invoice'!D$2:D$801,$W4)="","",INDEX('Per Invoice'!D$2:D$801,$W4)))</f>
        <v/>
      </c>
      <c r="E4">
        <f>IF($W4="","",IF(INDEX('Per Invoice'!E$2:E$801,$W4)="","",INDEX('Per Invoice'!E$2:E$801,$W4)))</f>
        <v/>
      </c>
      <c r="F4">
        <f>IF($W4="","",IF(INDEX('Per Invoice'!F$2:F$801,$W4)="","",INDEX('Per Invoice'!F$2:F$801,$W4)))</f>
        <v/>
      </c>
      <c r="G4">
        <f>IF($W4="","",IF(INDEX('Per Invoice'!G$2:G$801,$W4)="","",INDEX('Per Invoice'!G$2:G$801,$W4)))</f>
        <v/>
      </c>
      <c r="H4">
        <f>IF($W4="","",IF(INDEX('Per Invoice'!H$2:H$801,$W4)="","",INDEX('Per Invoice'!H$2:H$801,$W4)))</f>
        <v/>
      </c>
      <c r="I4">
        <f>IF($W4="","",IF(INDEX('Per Invoice'!I$2:I$801,$W4)="","",INDEX('Per Invoice'!I$2:I$801,$W4)))</f>
        <v/>
      </c>
      <c r="J4">
        <f>IF($W4="","",IF(INDEX('Per Invoice'!J$2:J$801,$W4)="","",INDEX('Per Invoice'!J$2:J$801,$W4)))</f>
        <v/>
      </c>
      <c r="K4" s="7">
        <f>IF($W4="","",IF(INDEX('Per Invoice'!K$2:K$801,$W4)="","",INDEX('Per Invoice'!K$2:K$801,$W4)))</f>
        <v/>
      </c>
      <c r="L4" s="14">
        <f>IF($W4="","",IF(INDEX('Per Invoice'!L$2:L$801,$W4)="","",INDEX('Per Invoice'!L$2:L$801,$W4)))</f>
        <v/>
      </c>
      <c r="M4">
        <f>IF($W4="","",IF(INDEX('Per Invoice'!M$2:M$801,$W4)="","",INDEX('Per Invoice'!M$2:M$801,$W4)))</f>
        <v/>
      </c>
      <c r="N4" s="7">
        <f>IF($W4="","",IF(INDEX('Per Invoice'!N$2:N$801,$W4)="","",INDEX('Per Invoice'!N$2:N$801,$W4)))</f>
        <v/>
      </c>
      <c r="O4" s="7">
        <f>IF($W4="","",IF(INDEX('Per Invoice'!O$2:O$801,$W4)="","",INDEX('Per Invoice'!O$2:O$801,$W4)))</f>
        <v/>
      </c>
      <c r="P4">
        <f>IF($W4="","",IF(INDEX('Per Invoice'!P$2:P$801,$W4)="","",INDEX('Per Invoice'!P$2:P$801,$W4)))</f>
        <v/>
      </c>
      <c r="Q4" s="7">
        <f>IF($W4="","",IF(INDEX('Per Invoice'!Q$2:Q$801,$W4)="","",INDEX('Per Invoice'!Q$2:Q$801,$W4)))</f>
        <v/>
      </c>
      <c r="R4" s="7">
        <f>IF($W4="","",IF(INDEX('Per Invoice'!R$2:R$801,$W4)="","",INDEX('Per Invoice'!R$2:R$801,$W4)))</f>
        <v/>
      </c>
      <c r="S4" s="7">
        <f>IF($W4="","",IF(INDEX('Per Invoice'!S$2:S$801,$W4)="","",INDEX('Per Invoice'!S$2:S$801,$W4)))</f>
        <v/>
      </c>
      <c r="T4" s="7">
        <f>IF($W4="","",IF(INDEX('Per Invoice'!T$2:T$801,$W4)="","",INDEX('Per Invoice'!T$2:T$801,$W4)))</f>
        <v/>
      </c>
      <c r="U4" s="7">
        <f>IF($W4="","",IF(INDEX('Per Invoice'!U$2:U$801,$W4)="","",INDEX('Per Invoice'!U$2:U$801,$W4)))</f>
        <v/>
      </c>
      <c r="V4" s="7">
        <f>IF($W4="","",IF(INDEX('Per Invoice'!V$2:V$801,$W4)="","",INDEX('Per Invoice'!V$2:V$801,$W4)))</f>
        <v/>
      </c>
      <c r="W4" s="16">
        <f>IFERROR(MATCH(Settings!$C$30&amp;"|"&amp;ROWS($W$2:$W4),'Per Invoice'!$X$2:$X$801,0),"")</f>
        <v/>
      </c>
    </row>
    <row r="5">
      <c r="A5">
        <f>IF($W5="","",IF(INDEX('Per Invoice'!A$2:A$801,$W5)="","",INDEX('Per Invoice'!A$2:A$801,$W5)))</f>
        <v/>
      </c>
      <c r="B5">
        <f>IF($W5="","",IF(INDEX('Per Invoice'!B$2:B$801,$W5)="","",INDEX('Per Invoice'!B$2:B$801,$W5)))</f>
        <v/>
      </c>
      <c r="C5">
        <f>IF($W5="","",IF(INDEX('Per Invoice'!C$2:C$801,$W5)="","",INDEX('Per Invoice'!C$2:C$801,$W5)))</f>
        <v/>
      </c>
      <c r="D5">
        <f>IF($W5="","",IF(INDEX('Per Invoice'!D$2:D$801,$W5)="","",INDEX('Per Invoice'!D$2:D$801,$W5)))</f>
        <v/>
      </c>
      <c r="E5">
        <f>IF($W5="","",IF(INDEX('Per Invoice'!E$2:E$801,$W5)="","",INDEX('Per Invoice'!E$2:E$801,$W5)))</f>
        <v/>
      </c>
      <c r="F5">
        <f>IF($W5="","",IF(INDEX('Per Invoice'!F$2:F$801,$W5)="","",INDEX('Per Invoice'!F$2:F$801,$W5)))</f>
        <v/>
      </c>
      <c r="G5">
        <f>IF($W5="","",IF(INDEX('Per Invoice'!G$2:G$801,$W5)="","",INDEX('Per Invoice'!G$2:G$801,$W5)))</f>
        <v/>
      </c>
      <c r="H5">
        <f>IF($W5="","",IF(INDEX('Per Invoice'!H$2:H$801,$W5)="","",INDEX('Per Invoice'!H$2:H$801,$W5)))</f>
        <v/>
      </c>
      <c r="I5">
        <f>IF($W5="","",IF(INDEX('Per Invoice'!I$2:I$801,$W5)="","",INDEX('Per Invoice'!I$2:I$801,$W5)))</f>
        <v/>
      </c>
      <c r="J5">
        <f>IF($W5="","",IF(INDEX('Per Invoice'!J$2:J$801,$W5)="","",INDEX('Per Invoice'!J$2:J$801,$W5)))</f>
        <v/>
      </c>
      <c r="K5" s="7">
        <f>IF($W5="","",IF(INDEX('Per Invoice'!K$2:K$801,$W5)="","",INDEX('Per Invoice'!K$2:K$801,$W5)))</f>
        <v/>
      </c>
      <c r="L5" s="14">
        <f>IF($W5="","",IF(INDEX('Per Invoice'!L$2:L$801,$W5)="","",INDEX('Per Invoice'!L$2:L$801,$W5)))</f>
        <v/>
      </c>
      <c r="M5">
        <f>IF($W5="","",IF(INDEX('Per Invoice'!M$2:M$801,$W5)="","",INDEX('Per Invoice'!M$2:M$801,$W5)))</f>
        <v/>
      </c>
      <c r="N5" s="7">
        <f>IF($W5="","",IF(INDEX('Per Invoice'!N$2:N$801,$W5)="","",INDEX('Per Invoice'!N$2:N$801,$W5)))</f>
        <v/>
      </c>
      <c r="O5" s="7">
        <f>IF($W5="","",IF(INDEX('Per Invoice'!O$2:O$801,$W5)="","",INDEX('Per Invoice'!O$2:O$801,$W5)))</f>
        <v/>
      </c>
      <c r="P5">
        <f>IF($W5="","",IF(INDEX('Per Invoice'!P$2:P$801,$W5)="","",INDEX('Per Invoice'!P$2:P$801,$W5)))</f>
        <v/>
      </c>
      <c r="Q5" s="7">
        <f>IF($W5="","",IF(INDEX('Per Invoice'!Q$2:Q$801,$W5)="","",INDEX('Per Invoice'!Q$2:Q$801,$W5)))</f>
        <v/>
      </c>
      <c r="R5" s="7">
        <f>IF($W5="","",IF(INDEX('Per Invoice'!R$2:R$801,$W5)="","",INDEX('Per Invoice'!R$2:R$801,$W5)))</f>
        <v/>
      </c>
      <c r="S5" s="7">
        <f>IF($W5="","",IF(INDEX('Per Invoice'!S$2:S$801,$W5)="","",INDEX('Per Invoice'!S$2:S$801,$W5)))</f>
        <v/>
      </c>
      <c r="T5" s="7">
        <f>IF($W5="","",IF(INDEX('Per Invoice'!T$2:T$801,$W5)="","",INDEX('Per Invoice'!T$2:T$801,$W5)))</f>
        <v/>
      </c>
      <c r="U5" s="7">
        <f>IF($W5="","",IF(INDEX('Per Invoice'!U$2:U$801,$W5)="","",INDEX('Per Invoice'!U$2:U$801,$W5)))</f>
        <v/>
      </c>
      <c r="V5" s="7">
        <f>IF($W5="","",IF(INDEX('Per Invoice'!V$2:V$801,$W5)="","",INDEX('Per Invoice'!V$2:V$801,$W5)))</f>
        <v/>
      </c>
      <c r="W5" s="16">
        <f>IFERROR(MATCH(Settings!$C$30&amp;"|"&amp;ROWS($W$2:$W5),'Per Invoice'!$X$2:$X$801,0),"")</f>
        <v/>
      </c>
    </row>
    <row r="6">
      <c r="A6">
        <f>IF($W6="","",IF(INDEX('Per Invoice'!A$2:A$801,$W6)="","",INDEX('Per Invoice'!A$2:A$801,$W6)))</f>
        <v/>
      </c>
      <c r="B6">
        <f>IF($W6="","",IF(INDEX('Per Invoice'!B$2:B$801,$W6)="","",INDEX('Per Invoice'!B$2:B$801,$W6)))</f>
        <v/>
      </c>
      <c r="C6">
        <f>IF($W6="","",IF(INDEX('Per Invoice'!C$2:C$801,$W6)="","",INDEX('Per Invoice'!C$2:C$801,$W6)))</f>
        <v/>
      </c>
      <c r="D6">
        <f>IF($W6="","",IF(INDEX('Per Invoice'!D$2:D$801,$W6)="","",INDEX('Per Invoice'!D$2:D$801,$W6)))</f>
        <v/>
      </c>
      <c r="E6">
        <f>IF($W6="","",IF(INDEX('Per Invoice'!E$2:E$801,$W6)="","",INDEX('Per Invoice'!E$2:E$801,$W6)))</f>
        <v/>
      </c>
      <c r="F6">
        <f>IF($W6="","",IF(INDEX('Per Invoice'!F$2:F$801,$W6)="","",INDEX('Per Invoice'!F$2:F$801,$W6)))</f>
        <v/>
      </c>
      <c r="G6">
        <f>IF($W6="","",IF(INDEX('Per Invoice'!G$2:G$801,$W6)="","",INDEX('Per Invoice'!G$2:G$801,$W6)))</f>
        <v/>
      </c>
      <c r="H6">
        <f>IF($W6="","",IF(INDEX('Per Invoice'!H$2:H$801,$W6)="","",INDEX('Per Invoice'!H$2:H$801,$W6)))</f>
        <v/>
      </c>
      <c r="I6">
        <f>IF($W6="","",IF(INDEX('Per Invoice'!I$2:I$801,$W6)="","",INDEX('Per Invoice'!I$2:I$801,$W6)))</f>
        <v/>
      </c>
      <c r="J6">
        <f>IF($W6="","",IF(INDEX('Per Invoice'!J$2:J$801,$W6)="","",INDEX('Per Invoice'!J$2:J$801,$W6)))</f>
        <v/>
      </c>
      <c r="K6" s="7">
        <f>IF($W6="","",IF(INDEX('Per Invoice'!K$2:K$801,$W6)="","",INDEX('Per Invoice'!K$2:K$801,$W6)))</f>
        <v/>
      </c>
      <c r="L6" s="14">
        <f>IF($W6="","",IF(INDEX('Per Invoice'!L$2:L$801,$W6)="","",INDEX('Per Invoice'!L$2:L$801,$W6)))</f>
        <v/>
      </c>
      <c r="M6">
        <f>IF($W6="","",IF(INDEX('Per Invoice'!M$2:M$801,$W6)="","",INDEX('Per Invoice'!M$2:M$801,$W6)))</f>
        <v/>
      </c>
      <c r="N6" s="7">
        <f>IF($W6="","",IF(INDEX('Per Invoice'!N$2:N$801,$W6)="","",INDEX('Per Invoice'!N$2:N$801,$W6)))</f>
        <v/>
      </c>
      <c r="O6" s="7">
        <f>IF($W6="","",IF(INDEX('Per Invoice'!O$2:O$801,$W6)="","",INDEX('Per Invoice'!O$2:O$801,$W6)))</f>
        <v/>
      </c>
      <c r="P6">
        <f>IF($W6="","",IF(INDEX('Per Invoice'!P$2:P$801,$W6)="","",INDEX('Per Invoice'!P$2:P$801,$W6)))</f>
        <v/>
      </c>
      <c r="Q6" s="7">
        <f>IF($W6="","",IF(INDEX('Per Invoice'!Q$2:Q$801,$W6)="","",INDEX('Per Invoice'!Q$2:Q$801,$W6)))</f>
        <v/>
      </c>
      <c r="R6" s="7">
        <f>IF($W6="","",IF(INDEX('Per Invoice'!R$2:R$801,$W6)="","",INDEX('Per Invoice'!R$2:R$801,$W6)))</f>
        <v/>
      </c>
      <c r="S6" s="7">
        <f>IF($W6="","",IF(INDEX('Per Invoice'!S$2:S$801,$W6)="","",INDEX('Per Invoice'!S$2:S$801,$W6)))</f>
        <v/>
      </c>
      <c r="T6" s="7">
        <f>IF($W6="","",IF(INDEX('Per Invoice'!T$2:T$801,$W6)="","",INDEX('Per Invoice'!T$2:T$801,$W6)))</f>
        <v/>
      </c>
      <c r="U6" s="7">
        <f>IF($W6="","",IF(INDEX('Per Invoice'!U$2:U$801,$W6)="","",INDEX('Per Invoice'!U$2:U$801,$W6)))</f>
        <v/>
      </c>
      <c r="V6" s="7">
        <f>IF($W6="","",IF(INDEX('Per Invoice'!V$2:V$801,$W6)="","",INDEX('Per Invoice'!V$2:V$801,$W6)))</f>
        <v/>
      </c>
      <c r="W6" s="16">
        <f>IFERROR(MATCH(Settings!$C$30&amp;"|"&amp;ROWS($W$2:$W6),'Per Invoice'!$X$2:$X$801,0),"")</f>
        <v/>
      </c>
    </row>
    <row r="7">
      <c r="A7">
        <f>IF($W7="","",IF(INDEX('Per Invoice'!A$2:A$801,$W7)="","",INDEX('Per Invoice'!A$2:A$801,$W7)))</f>
        <v/>
      </c>
      <c r="B7">
        <f>IF($W7="","",IF(INDEX('Per Invoice'!B$2:B$801,$W7)="","",INDEX('Per Invoice'!B$2:B$801,$W7)))</f>
        <v/>
      </c>
      <c r="C7">
        <f>IF($W7="","",IF(INDEX('Per Invoice'!C$2:C$801,$W7)="","",INDEX('Per Invoice'!C$2:C$801,$W7)))</f>
        <v/>
      </c>
      <c r="D7">
        <f>IF($W7="","",IF(INDEX('Per Invoice'!D$2:D$801,$W7)="","",INDEX('Per Invoice'!D$2:D$801,$W7)))</f>
        <v/>
      </c>
      <c r="E7">
        <f>IF($W7="","",IF(INDEX('Per Invoice'!E$2:E$801,$W7)="","",INDEX('Per Invoice'!E$2:E$801,$W7)))</f>
        <v/>
      </c>
      <c r="F7">
        <f>IF($W7="","",IF(INDEX('Per Invoice'!F$2:F$801,$W7)="","",INDEX('Per Invoice'!F$2:F$801,$W7)))</f>
        <v/>
      </c>
      <c r="G7">
        <f>IF($W7="","",IF(INDEX('Per Invoice'!G$2:G$801,$W7)="","",INDEX('Per Invoice'!G$2:G$801,$W7)))</f>
        <v/>
      </c>
      <c r="H7">
        <f>IF($W7="","",IF(INDEX('Per Invoice'!H$2:H$801,$W7)="","",INDEX('Per Invoice'!H$2:H$801,$W7)))</f>
        <v/>
      </c>
      <c r="I7">
        <f>IF($W7="","",IF(INDEX('Per Invoice'!I$2:I$801,$W7)="","",INDEX('Per Invoice'!I$2:I$801,$W7)))</f>
        <v/>
      </c>
      <c r="J7">
        <f>IF($W7="","",IF(INDEX('Per Invoice'!J$2:J$801,$W7)="","",INDEX('Per Invoice'!J$2:J$801,$W7)))</f>
        <v/>
      </c>
      <c r="K7" s="7">
        <f>IF($W7="","",IF(INDEX('Per Invoice'!K$2:K$801,$W7)="","",INDEX('Per Invoice'!K$2:K$801,$W7)))</f>
        <v/>
      </c>
      <c r="L7" s="14">
        <f>IF($W7="","",IF(INDEX('Per Invoice'!L$2:L$801,$W7)="","",INDEX('Per Invoice'!L$2:L$801,$W7)))</f>
        <v/>
      </c>
      <c r="M7">
        <f>IF($W7="","",IF(INDEX('Per Invoice'!M$2:M$801,$W7)="","",INDEX('Per Invoice'!M$2:M$801,$W7)))</f>
        <v/>
      </c>
      <c r="N7" s="7">
        <f>IF($W7="","",IF(INDEX('Per Invoice'!N$2:N$801,$W7)="","",INDEX('Per Invoice'!N$2:N$801,$W7)))</f>
        <v/>
      </c>
      <c r="O7" s="7">
        <f>IF($W7="","",IF(INDEX('Per Invoice'!O$2:O$801,$W7)="","",INDEX('Per Invoice'!O$2:O$801,$W7)))</f>
        <v/>
      </c>
      <c r="P7">
        <f>IF($W7="","",IF(INDEX('Per Invoice'!P$2:P$801,$W7)="","",INDEX('Per Invoice'!P$2:P$801,$W7)))</f>
        <v/>
      </c>
      <c r="Q7" s="7">
        <f>IF($W7="","",IF(INDEX('Per Invoice'!Q$2:Q$801,$W7)="","",INDEX('Per Invoice'!Q$2:Q$801,$W7)))</f>
        <v/>
      </c>
      <c r="R7" s="7">
        <f>IF($W7="","",IF(INDEX('Per Invoice'!R$2:R$801,$W7)="","",INDEX('Per Invoice'!R$2:R$801,$W7)))</f>
        <v/>
      </c>
      <c r="S7" s="7">
        <f>IF($W7="","",IF(INDEX('Per Invoice'!S$2:S$801,$W7)="","",INDEX('Per Invoice'!S$2:S$801,$W7)))</f>
        <v/>
      </c>
      <c r="T7" s="7">
        <f>IF($W7="","",IF(INDEX('Per Invoice'!T$2:T$801,$W7)="","",INDEX('Per Invoice'!T$2:T$801,$W7)))</f>
        <v/>
      </c>
      <c r="U7" s="7">
        <f>IF($W7="","",IF(INDEX('Per Invoice'!U$2:U$801,$W7)="","",INDEX('Per Invoice'!U$2:U$801,$W7)))</f>
        <v/>
      </c>
      <c r="V7" s="7">
        <f>IF($W7="","",IF(INDEX('Per Invoice'!V$2:V$801,$W7)="","",INDEX('Per Invoice'!V$2:V$801,$W7)))</f>
        <v/>
      </c>
      <c r="W7" s="16">
        <f>IFERROR(MATCH(Settings!$C$30&amp;"|"&amp;ROWS($W$2:$W7),'Per Invoice'!$X$2:$X$801,0),"")</f>
        <v/>
      </c>
    </row>
    <row r="8">
      <c r="A8">
        <f>IF($W8="","",IF(INDEX('Per Invoice'!A$2:A$801,$W8)="","",INDEX('Per Invoice'!A$2:A$801,$W8)))</f>
        <v/>
      </c>
      <c r="B8">
        <f>IF($W8="","",IF(INDEX('Per Invoice'!B$2:B$801,$W8)="","",INDEX('Per Invoice'!B$2:B$801,$W8)))</f>
        <v/>
      </c>
      <c r="C8">
        <f>IF($W8="","",IF(INDEX('Per Invoice'!C$2:C$801,$W8)="","",INDEX('Per Invoice'!C$2:C$801,$W8)))</f>
        <v/>
      </c>
      <c r="D8">
        <f>IF($W8="","",IF(INDEX('Per Invoice'!D$2:D$801,$W8)="","",INDEX('Per Invoice'!D$2:D$801,$W8)))</f>
        <v/>
      </c>
      <c r="E8">
        <f>IF($W8="","",IF(INDEX('Per Invoice'!E$2:E$801,$W8)="","",INDEX('Per Invoice'!E$2:E$801,$W8)))</f>
        <v/>
      </c>
      <c r="F8">
        <f>IF($W8="","",IF(INDEX('Per Invoice'!F$2:F$801,$W8)="","",INDEX('Per Invoice'!F$2:F$801,$W8)))</f>
        <v/>
      </c>
      <c r="G8">
        <f>IF($W8="","",IF(INDEX('Per Invoice'!G$2:G$801,$W8)="","",INDEX('Per Invoice'!G$2:G$801,$W8)))</f>
        <v/>
      </c>
      <c r="H8">
        <f>IF($W8="","",IF(INDEX('Per Invoice'!H$2:H$801,$W8)="","",INDEX('Per Invoice'!H$2:H$801,$W8)))</f>
        <v/>
      </c>
      <c r="I8">
        <f>IF($W8="","",IF(INDEX('Per Invoice'!I$2:I$801,$W8)="","",INDEX('Per Invoice'!I$2:I$801,$W8)))</f>
        <v/>
      </c>
      <c r="J8">
        <f>IF($W8="","",IF(INDEX('Per Invoice'!J$2:J$801,$W8)="","",INDEX('Per Invoice'!J$2:J$801,$W8)))</f>
        <v/>
      </c>
      <c r="K8" s="7">
        <f>IF($W8="","",IF(INDEX('Per Invoice'!K$2:K$801,$W8)="","",INDEX('Per Invoice'!K$2:K$801,$W8)))</f>
        <v/>
      </c>
      <c r="L8" s="14">
        <f>IF($W8="","",IF(INDEX('Per Invoice'!L$2:L$801,$W8)="","",INDEX('Per Invoice'!L$2:L$801,$W8)))</f>
        <v/>
      </c>
      <c r="M8">
        <f>IF($W8="","",IF(INDEX('Per Invoice'!M$2:M$801,$W8)="","",INDEX('Per Invoice'!M$2:M$801,$W8)))</f>
        <v/>
      </c>
      <c r="N8" s="7">
        <f>IF($W8="","",IF(INDEX('Per Invoice'!N$2:N$801,$W8)="","",INDEX('Per Invoice'!N$2:N$801,$W8)))</f>
        <v/>
      </c>
      <c r="O8" s="7">
        <f>IF($W8="","",IF(INDEX('Per Invoice'!O$2:O$801,$W8)="","",INDEX('Per Invoice'!O$2:O$801,$W8)))</f>
        <v/>
      </c>
      <c r="P8">
        <f>IF($W8="","",IF(INDEX('Per Invoice'!P$2:P$801,$W8)="","",INDEX('Per Invoice'!P$2:P$801,$W8)))</f>
        <v/>
      </c>
      <c r="Q8" s="7">
        <f>IF($W8="","",IF(INDEX('Per Invoice'!Q$2:Q$801,$W8)="","",INDEX('Per Invoice'!Q$2:Q$801,$W8)))</f>
        <v/>
      </c>
      <c r="R8" s="7">
        <f>IF($W8="","",IF(INDEX('Per Invoice'!R$2:R$801,$W8)="","",INDEX('Per Invoice'!R$2:R$801,$W8)))</f>
        <v/>
      </c>
      <c r="S8" s="7">
        <f>IF($W8="","",IF(INDEX('Per Invoice'!S$2:S$801,$W8)="","",INDEX('Per Invoice'!S$2:S$801,$W8)))</f>
        <v/>
      </c>
      <c r="T8" s="7">
        <f>IF($W8="","",IF(INDEX('Per Invoice'!T$2:T$801,$W8)="","",INDEX('Per Invoice'!T$2:T$801,$W8)))</f>
        <v/>
      </c>
      <c r="U8" s="7">
        <f>IF($W8="","",IF(INDEX('Per Invoice'!U$2:U$801,$W8)="","",INDEX('Per Invoice'!U$2:U$801,$W8)))</f>
        <v/>
      </c>
      <c r="V8" s="7">
        <f>IF($W8="","",IF(INDEX('Per Invoice'!V$2:V$801,$W8)="","",INDEX('Per Invoice'!V$2:V$801,$W8)))</f>
        <v/>
      </c>
      <c r="W8" s="16">
        <f>IFERROR(MATCH(Settings!$C$30&amp;"|"&amp;ROWS($W$2:$W8),'Per Invoice'!$X$2:$X$801,0),"")</f>
        <v/>
      </c>
    </row>
    <row r="9">
      <c r="A9">
        <f>IF($W9="","",IF(INDEX('Per Invoice'!A$2:A$801,$W9)="","",INDEX('Per Invoice'!A$2:A$801,$W9)))</f>
        <v/>
      </c>
      <c r="B9">
        <f>IF($W9="","",IF(INDEX('Per Invoice'!B$2:B$801,$W9)="","",INDEX('Per Invoice'!B$2:B$801,$W9)))</f>
        <v/>
      </c>
      <c r="C9">
        <f>IF($W9="","",IF(INDEX('Per Invoice'!C$2:C$801,$W9)="","",INDEX('Per Invoice'!C$2:C$801,$W9)))</f>
        <v/>
      </c>
      <c r="D9">
        <f>IF($W9="","",IF(INDEX('Per Invoice'!D$2:D$801,$W9)="","",INDEX('Per Invoice'!D$2:D$801,$W9)))</f>
        <v/>
      </c>
      <c r="E9">
        <f>IF($W9="","",IF(INDEX('Per Invoice'!E$2:E$801,$W9)="","",INDEX('Per Invoice'!E$2:E$801,$W9)))</f>
        <v/>
      </c>
      <c r="F9">
        <f>IF($W9="","",IF(INDEX('Per Invoice'!F$2:F$801,$W9)="","",INDEX('Per Invoice'!F$2:F$801,$W9)))</f>
        <v/>
      </c>
      <c r="G9">
        <f>IF($W9="","",IF(INDEX('Per Invoice'!G$2:G$801,$W9)="","",INDEX('Per Invoice'!G$2:G$801,$W9)))</f>
        <v/>
      </c>
      <c r="H9">
        <f>IF($W9="","",IF(INDEX('Per Invoice'!H$2:H$801,$W9)="","",INDEX('Per Invoice'!H$2:H$801,$W9)))</f>
        <v/>
      </c>
      <c r="I9">
        <f>IF($W9="","",IF(INDEX('Per Invoice'!I$2:I$801,$W9)="","",INDEX('Per Invoice'!I$2:I$801,$W9)))</f>
        <v/>
      </c>
      <c r="J9">
        <f>IF($W9="","",IF(INDEX('Per Invoice'!J$2:J$801,$W9)="","",INDEX('Per Invoice'!J$2:J$801,$W9)))</f>
        <v/>
      </c>
      <c r="K9" s="7">
        <f>IF($W9="","",IF(INDEX('Per Invoice'!K$2:K$801,$W9)="","",INDEX('Per Invoice'!K$2:K$801,$W9)))</f>
        <v/>
      </c>
      <c r="L9" s="14">
        <f>IF($W9="","",IF(INDEX('Per Invoice'!L$2:L$801,$W9)="","",INDEX('Per Invoice'!L$2:L$801,$W9)))</f>
        <v/>
      </c>
      <c r="M9">
        <f>IF($W9="","",IF(INDEX('Per Invoice'!M$2:M$801,$W9)="","",INDEX('Per Invoice'!M$2:M$801,$W9)))</f>
        <v/>
      </c>
      <c r="N9" s="7">
        <f>IF($W9="","",IF(INDEX('Per Invoice'!N$2:N$801,$W9)="","",INDEX('Per Invoice'!N$2:N$801,$W9)))</f>
        <v/>
      </c>
      <c r="O9" s="7">
        <f>IF($W9="","",IF(INDEX('Per Invoice'!O$2:O$801,$W9)="","",INDEX('Per Invoice'!O$2:O$801,$W9)))</f>
        <v/>
      </c>
      <c r="P9">
        <f>IF($W9="","",IF(INDEX('Per Invoice'!P$2:P$801,$W9)="","",INDEX('Per Invoice'!P$2:P$801,$W9)))</f>
        <v/>
      </c>
      <c r="Q9" s="7">
        <f>IF($W9="","",IF(INDEX('Per Invoice'!Q$2:Q$801,$W9)="","",INDEX('Per Invoice'!Q$2:Q$801,$W9)))</f>
        <v/>
      </c>
      <c r="R9" s="7">
        <f>IF($W9="","",IF(INDEX('Per Invoice'!R$2:R$801,$W9)="","",INDEX('Per Invoice'!R$2:R$801,$W9)))</f>
        <v/>
      </c>
      <c r="S9" s="7">
        <f>IF($W9="","",IF(INDEX('Per Invoice'!S$2:S$801,$W9)="","",INDEX('Per Invoice'!S$2:S$801,$W9)))</f>
        <v/>
      </c>
      <c r="T9" s="7">
        <f>IF($W9="","",IF(INDEX('Per Invoice'!T$2:T$801,$W9)="","",INDEX('Per Invoice'!T$2:T$801,$W9)))</f>
        <v/>
      </c>
      <c r="U9" s="7">
        <f>IF($W9="","",IF(INDEX('Per Invoice'!U$2:U$801,$W9)="","",INDEX('Per Invoice'!U$2:U$801,$W9)))</f>
        <v/>
      </c>
      <c r="V9" s="7">
        <f>IF($W9="","",IF(INDEX('Per Invoice'!V$2:V$801,$W9)="","",INDEX('Per Invoice'!V$2:V$801,$W9)))</f>
        <v/>
      </c>
      <c r="W9" s="16">
        <f>IFERROR(MATCH(Settings!$C$30&amp;"|"&amp;ROWS($W$2:$W9),'Per Invoice'!$X$2:$X$801,0),"")</f>
        <v/>
      </c>
    </row>
    <row r="10">
      <c r="A10">
        <f>IF($W10="","",IF(INDEX('Per Invoice'!A$2:A$801,$W10)="","",INDEX('Per Invoice'!A$2:A$801,$W10)))</f>
        <v/>
      </c>
      <c r="B10">
        <f>IF($W10="","",IF(INDEX('Per Invoice'!B$2:B$801,$W10)="","",INDEX('Per Invoice'!B$2:B$801,$W10)))</f>
        <v/>
      </c>
      <c r="C10">
        <f>IF($W10="","",IF(INDEX('Per Invoice'!C$2:C$801,$W10)="","",INDEX('Per Invoice'!C$2:C$801,$W10)))</f>
        <v/>
      </c>
      <c r="D10">
        <f>IF($W10="","",IF(INDEX('Per Invoice'!D$2:D$801,$W10)="","",INDEX('Per Invoice'!D$2:D$801,$W10)))</f>
        <v/>
      </c>
      <c r="E10">
        <f>IF($W10="","",IF(INDEX('Per Invoice'!E$2:E$801,$W10)="","",INDEX('Per Invoice'!E$2:E$801,$W10)))</f>
        <v/>
      </c>
      <c r="F10">
        <f>IF($W10="","",IF(INDEX('Per Invoice'!F$2:F$801,$W10)="","",INDEX('Per Invoice'!F$2:F$801,$W10)))</f>
        <v/>
      </c>
      <c r="G10">
        <f>IF($W10="","",IF(INDEX('Per Invoice'!G$2:G$801,$W10)="","",INDEX('Per Invoice'!G$2:G$801,$W10)))</f>
        <v/>
      </c>
      <c r="H10">
        <f>IF($W10="","",IF(INDEX('Per Invoice'!H$2:H$801,$W10)="","",INDEX('Per Invoice'!H$2:H$801,$W10)))</f>
        <v/>
      </c>
      <c r="I10">
        <f>IF($W10="","",IF(INDEX('Per Invoice'!I$2:I$801,$W10)="","",INDEX('Per Invoice'!I$2:I$801,$W10)))</f>
        <v/>
      </c>
      <c r="J10">
        <f>IF($W10="","",IF(INDEX('Per Invoice'!J$2:J$801,$W10)="","",INDEX('Per Invoice'!J$2:J$801,$W10)))</f>
        <v/>
      </c>
      <c r="K10" s="7">
        <f>IF($W10="","",IF(INDEX('Per Invoice'!K$2:K$801,$W10)="","",INDEX('Per Invoice'!K$2:K$801,$W10)))</f>
        <v/>
      </c>
      <c r="L10" s="14">
        <f>IF($W10="","",IF(INDEX('Per Invoice'!L$2:L$801,$W10)="","",INDEX('Per Invoice'!L$2:L$801,$W10)))</f>
        <v/>
      </c>
      <c r="M10">
        <f>IF($W10="","",IF(INDEX('Per Invoice'!M$2:M$801,$W10)="","",INDEX('Per Invoice'!M$2:M$801,$W10)))</f>
        <v/>
      </c>
      <c r="N10" s="7">
        <f>IF($W10="","",IF(INDEX('Per Invoice'!N$2:N$801,$W10)="","",INDEX('Per Invoice'!N$2:N$801,$W10)))</f>
        <v/>
      </c>
      <c r="O10" s="7">
        <f>IF($W10="","",IF(INDEX('Per Invoice'!O$2:O$801,$W10)="","",INDEX('Per Invoice'!O$2:O$801,$W10)))</f>
        <v/>
      </c>
      <c r="P10">
        <f>IF($W10="","",IF(INDEX('Per Invoice'!P$2:P$801,$W10)="","",INDEX('Per Invoice'!P$2:P$801,$W10)))</f>
        <v/>
      </c>
      <c r="Q10" s="7">
        <f>IF($W10="","",IF(INDEX('Per Invoice'!Q$2:Q$801,$W10)="","",INDEX('Per Invoice'!Q$2:Q$801,$W10)))</f>
        <v/>
      </c>
      <c r="R10" s="7">
        <f>IF($W10="","",IF(INDEX('Per Invoice'!R$2:R$801,$W10)="","",INDEX('Per Invoice'!R$2:R$801,$W10)))</f>
        <v/>
      </c>
      <c r="S10" s="7">
        <f>IF($W10="","",IF(INDEX('Per Invoice'!S$2:S$801,$W10)="","",INDEX('Per Invoice'!S$2:S$801,$W10)))</f>
        <v/>
      </c>
      <c r="T10" s="7">
        <f>IF($W10="","",IF(INDEX('Per Invoice'!T$2:T$801,$W10)="","",INDEX('Per Invoice'!T$2:T$801,$W10)))</f>
        <v/>
      </c>
      <c r="U10" s="7">
        <f>IF($W10="","",IF(INDEX('Per Invoice'!U$2:U$801,$W10)="","",INDEX('Per Invoice'!U$2:U$801,$W10)))</f>
        <v/>
      </c>
      <c r="V10" s="7">
        <f>IF($W10="","",IF(INDEX('Per Invoice'!V$2:V$801,$W10)="","",INDEX('Per Invoice'!V$2:V$801,$W10)))</f>
        <v/>
      </c>
      <c r="W10" s="16">
        <f>IFERROR(MATCH(Settings!$C$30&amp;"|"&amp;ROWS($W$2:$W10),'Per Invoice'!$X$2:$X$801,0),"")</f>
        <v/>
      </c>
    </row>
    <row r="11">
      <c r="A11">
        <f>IF($W11="","",IF(INDEX('Per Invoice'!A$2:A$801,$W11)="","",INDEX('Per Invoice'!A$2:A$801,$W11)))</f>
        <v/>
      </c>
      <c r="B11">
        <f>IF($W11="","",IF(INDEX('Per Invoice'!B$2:B$801,$W11)="","",INDEX('Per Invoice'!B$2:B$801,$W11)))</f>
        <v/>
      </c>
      <c r="C11">
        <f>IF($W11="","",IF(INDEX('Per Invoice'!C$2:C$801,$W11)="","",INDEX('Per Invoice'!C$2:C$801,$W11)))</f>
        <v/>
      </c>
      <c r="D11">
        <f>IF($W11="","",IF(INDEX('Per Invoice'!D$2:D$801,$W11)="","",INDEX('Per Invoice'!D$2:D$801,$W11)))</f>
        <v/>
      </c>
      <c r="E11">
        <f>IF($W11="","",IF(INDEX('Per Invoice'!E$2:E$801,$W11)="","",INDEX('Per Invoice'!E$2:E$801,$W11)))</f>
        <v/>
      </c>
      <c r="F11">
        <f>IF($W11="","",IF(INDEX('Per Invoice'!F$2:F$801,$W11)="","",INDEX('Per Invoice'!F$2:F$801,$W11)))</f>
        <v/>
      </c>
      <c r="G11">
        <f>IF($W11="","",IF(INDEX('Per Invoice'!G$2:G$801,$W11)="","",INDEX('Per Invoice'!G$2:G$801,$W11)))</f>
        <v/>
      </c>
      <c r="H11">
        <f>IF($W11="","",IF(INDEX('Per Invoice'!H$2:H$801,$W11)="","",INDEX('Per Invoice'!H$2:H$801,$W11)))</f>
        <v/>
      </c>
      <c r="I11">
        <f>IF($W11="","",IF(INDEX('Per Invoice'!I$2:I$801,$W11)="","",INDEX('Per Invoice'!I$2:I$801,$W11)))</f>
        <v/>
      </c>
      <c r="J11">
        <f>IF($W11="","",IF(INDEX('Per Invoice'!J$2:J$801,$W11)="","",INDEX('Per Invoice'!J$2:J$801,$W11)))</f>
        <v/>
      </c>
      <c r="K11" s="7">
        <f>IF($W11="","",IF(INDEX('Per Invoice'!K$2:K$801,$W11)="","",INDEX('Per Invoice'!K$2:K$801,$W11)))</f>
        <v/>
      </c>
      <c r="L11" s="14">
        <f>IF($W11="","",IF(INDEX('Per Invoice'!L$2:L$801,$W11)="","",INDEX('Per Invoice'!L$2:L$801,$W11)))</f>
        <v/>
      </c>
      <c r="M11">
        <f>IF($W11="","",IF(INDEX('Per Invoice'!M$2:M$801,$W11)="","",INDEX('Per Invoice'!M$2:M$801,$W11)))</f>
        <v/>
      </c>
      <c r="N11" s="7">
        <f>IF($W11="","",IF(INDEX('Per Invoice'!N$2:N$801,$W11)="","",INDEX('Per Invoice'!N$2:N$801,$W11)))</f>
        <v/>
      </c>
      <c r="O11" s="7">
        <f>IF($W11="","",IF(INDEX('Per Invoice'!O$2:O$801,$W11)="","",INDEX('Per Invoice'!O$2:O$801,$W11)))</f>
        <v/>
      </c>
      <c r="P11">
        <f>IF($W11="","",IF(INDEX('Per Invoice'!P$2:P$801,$W11)="","",INDEX('Per Invoice'!P$2:P$801,$W11)))</f>
        <v/>
      </c>
      <c r="Q11" s="7">
        <f>IF($W11="","",IF(INDEX('Per Invoice'!Q$2:Q$801,$W11)="","",INDEX('Per Invoice'!Q$2:Q$801,$W11)))</f>
        <v/>
      </c>
      <c r="R11" s="7">
        <f>IF($W11="","",IF(INDEX('Per Invoice'!R$2:R$801,$W11)="","",INDEX('Per Invoice'!R$2:R$801,$W11)))</f>
        <v/>
      </c>
      <c r="S11" s="7">
        <f>IF($W11="","",IF(INDEX('Per Invoice'!S$2:S$801,$W11)="","",INDEX('Per Invoice'!S$2:S$801,$W11)))</f>
        <v/>
      </c>
      <c r="T11" s="7">
        <f>IF($W11="","",IF(INDEX('Per Invoice'!T$2:T$801,$W11)="","",INDEX('Per Invoice'!T$2:T$801,$W11)))</f>
        <v/>
      </c>
      <c r="U11" s="7">
        <f>IF($W11="","",IF(INDEX('Per Invoice'!U$2:U$801,$W11)="","",INDEX('Per Invoice'!U$2:U$801,$W11)))</f>
        <v/>
      </c>
      <c r="V11" s="7">
        <f>IF($W11="","",IF(INDEX('Per Invoice'!V$2:V$801,$W11)="","",INDEX('Per Invoice'!V$2:V$801,$W11)))</f>
        <v/>
      </c>
      <c r="W11" s="16">
        <f>IFERROR(MATCH(Settings!$C$30&amp;"|"&amp;ROWS($W$2:$W11),'Per Invoice'!$X$2:$X$801,0),"")</f>
        <v/>
      </c>
    </row>
    <row r="12">
      <c r="A12">
        <f>IF($W12="","",IF(INDEX('Per Invoice'!A$2:A$801,$W12)="","",INDEX('Per Invoice'!A$2:A$801,$W12)))</f>
        <v/>
      </c>
      <c r="B12">
        <f>IF($W12="","",IF(INDEX('Per Invoice'!B$2:B$801,$W12)="","",INDEX('Per Invoice'!B$2:B$801,$W12)))</f>
        <v/>
      </c>
      <c r="C12">
        <f>IF($W12="","",IF(INDEX('Per Invoice'!C$2:C$801,$W12)="","",INDEX('Per Invoice'!C$2:C$801,$W12)))</f>
        <v/>
      </c>
      <c r="D12">
        <f>IF($W12="","",IF(INDEX('Per Invoice'!D$2:D$801,$W12)="","",INDEX('Per Invoice'!D$2:D$801,$W12)))</f>
        <v/>
      </c>
      <c r="E12">
        <f>IF($W12="","",IF(INDEX('Per Invoice'!E$2:E$801,$W12)="","",INDEX('Per Invoice'!E$2:E$801,$W12)))</f>
        <v/>
      </c>
      <c r="F12">
        <f>IF($W12="","",IF(INDEX('Per Invoice'!F$2:F$801,$W12)="","",INDEX('Per Invoice'!F$2:F$801,$W12)))</f>
        <v/>
      </c>
      <c r="G12">
        <f>IF($W12="","",IF(INDEX('Per Invoice'!G$2:G$801,$W12)="","",INDEX('Per Invoice'!G$2:G$801,$W12)))</f>
        <v/>
      </c>
      <c r="H12">
        <f>IF($W12="","",IF(INDEX('Per Invoice'!H$2:H$801,$W12)="","",INDEX('Per Invoice'!H$2:H$801,$W12)))</f>
        <v/>
      </c>
      <c r="I12">
        <f>IF($W12="","",IF(INDEX('Per Invoice'!I$2:I$801,$W12)="","",INDEX('Per Invoice'!I$2:I$801,$W12)))</f>
        <v/>
      </c>
      <c r="J12">
        <f>IF($W12="","",IF(INDEX('Per Invoice'!J$2:J$801,$W12)="","",INDEX('Per Invoice'!J$2:J$801,$W12)))</f>
        <v/>
      </c>
      <c r="K12" s="7">
        <f>IF($W12="","",IF(INDEX('Per Invoice'!K$2:K$801,$W12)="","",INDEX('Per Invoice'!K$2:K$801,$W12)))</f>
        <v/>
      </c>
      <c r="L12" s="14">
        <f>IF($W12="","",IF(INDEX('Per Invoice'!L$2:L$801,$W12)="","",INDEX('Per Invoice'!L$2:L$801,$W12)))</f>
        <v/>
      </c>
      <c r="M12">
        <f>IF($W12="","",IF(INDEX('Per Invoice'!M$2:M$801,$W12)="","",INDEX('Per Invoice'!M$2:M$801,$W12)))</f>
        <v/>
      </c>
      <c r="N12" s="7">
        <f>IF($W12="","",IF(INDEX('Per Invoice'!N$2:N$801,$W12)="","",INDEX('Per Invoice'!N$2:N$801,$W12)))</f>
        <v/>
      </c>
      <c r="O12" s="7">
        <f>IF($W12="","",IF(INDEX('Per Invoice'!O$2:O$801,$W12)="","",INDEX('Per Invoice'!O$2:O$801,$W12)))</f>
        <v/>
      </c>
      <c r="P12">
        <f>IF($W12="","",IF(INDEX('Per Invoice'!P$2:P$801,$W12)="","",INDEX('Per Invoice'!P$2:P$801,$W12)))</f>
        <v/>
      </c>
      <c r="Q12" s="7">
        <f>IF($W12="","",IF(INDEX('Per Invoice'!Q$2:Q$801,$W12)="","",INDEX('Per Invoice'!Q$2:Q$801,$W12)))</f>
        <v/>
      </c>
      <c r="R12" s="7">
        <f>IF($W12="","",IF(INDEX('Per Invoice'!R$2:R$801,$W12)="","",INDEX('Per Invoice'!R$2:R$801,$W12)))</f>
        <v/>
      </c>
      <c r="S12" s="7">
        <f>IF($W12="","",IF(INDEX('Per Invoice'!S$2:S$801,$W12)="","",INDEX('Per Invoice'!S$2:S$801,$W12)))</f>
        <v/>
      </c>
      <c r="T12" s="7">
        <f>IF($W12="","",IF(INDEX('Per Invoice'!T$2:T$801,$W12)="","",INDEX('Per Invoice'!T$2:T$801,$W12)))</f>
        <v/>
      </c>
      <c r="U12" s="7">
        <f>IF($W12="","",IF(INDEX('Per Invoice'!U$2:U$801,$W12)="","",INDEX('Per Invoice'!U$2:U$801,$W12)))</f>
        <v/>
      </c>
      <c r="V12" s="7">
        <f>IF($W12="","",IF(INDEX('Per Invoice'!V$2:V$801,$W12)="","",INDEX('Per Invoice'!V$2:V$801,$W12)))</f>
        <v/>
      </c>
      <c r="W12" s="16">
        <f>IFERROR(MATCH(Settings!$C$30&amp;"|"&amp;ROWS($W$2:$W12),'Per Invoice'!$X$2:$X$801,0),"")</f>
        <v/>
      </c>
    </row>
    <row r="13">
      <c r="A13">
        <f>IF($W13="","",IF(INDEX('Per Invoice'!A$2:A$801,$W13)="","",INDEX('Per Invoice'!A$2:A$801,$W13)))</f>
        <v/>
      </c>
      <c r="B13">
        <f>IF($W13="","",IF(INDEX('Per Invoice'!B$2:B$801,$W13)="","",INDEX('Per Invoice'!B$2:B$801,$W13)))</f>
        <v/>
      </c>
      <c r="C13">
        <f>IF($W13="","",IF(INDEX('Per Invoice'!C$2:C$801,$W13)="","",INDEX('Per Invoice'!C$2:C$801,$W13)))</f>
        <v/>
      </c>
      <c r="D13">
        <f>IF($W13="","",IF(INDEX('Per Invoice'!D$2:D$801,$W13)="","",INDEX('Per Invoice'!D$2:D$801,$W13)))</f>
        <v/>
      </c>
      <c r="E13">
        <f>IF($W13="","",IF(INDEX('Per Invoice'!E$2:E$801,$W13)="","",INDEX('Per Invoice'!E$2:E$801,$W13)))</f>
        <v/>
      </c>
      <c r="F13">
        <f>IF($W13="","",IF(INDEX('Per Invoice'!F$2:F$801,$W13)="","",INDEX('Per Invoice'!F$2:F$801,$W13)))</f>
        <v/>
      </c>
      <c r="G13">
        <f>IF($W13="","",IF(INDEX('Per Invoice'!G$2:G$801,$W13)="","",INDEX('Per Invoice'!G$2:G$801,$W13)))</f>
        <v/>
      </c>
      <c r="H13">
        <f>IF($W13="","",IF(INDEX('Per Invoice'!H$2:H$801,$W13)="","",INDEX('Per Invoice'!H$2:H$801,$W13)))</f>
        <v/>
      </c>
      <c r="I13">
        <f>IF($W13="","",IF(INDEX('Per Invoice'!I$2:I$801,$W13)="","",INDEX('Per Invoice'!I$2:I$801,$W13)))</f>
        <v/>
      </c>
      <c r="J13">
        <f>IF($W13="","",IF(INDEX('Per Invoice'!J$2:J$801,$W13)="","",INDEX('Per Invoice'!J$2:J$801,$W13)))</f>
        <v/>
      </c>
      <c r="K13" s="7">
        <f>IF($W13="","",IF(INDEX('Per Invoice'!K$2:K$801,$W13)="","",INDEX('Per Invoice'!K$2:K$801,$W13)))</f>
        <v/>
      </c>
      <c r="L13" s="14">
        <f>IF($W13="","",IF(INDEX('Per Invoice'!L$2:L$801,$W13)="","",INDEX('Per Invoice'!L$2:L$801,$W13)))</f>
        <v/>
      </c>
      <c r="M13">
        <f>IF($W13="","",IF(INDEX('Per Invoice'!M$2:M$801,$W13)="","",INDEX('Per Invoice'!M$2:M$801,$W13)))</f>
        <v/>
      </c>
      <c r="N13" s="7">
        <f>IF($W13="","",IF(INDEX('Per Invoice'!N$2:N$801,$W13)="","",INDEX('Per Invoice'!N$2:N$801,$W13)))</f>
        <v/>
      </c>
      <c r="O13" s="7">
        <f>IF($W13="","",IF(INDEX('Per Invoice'!O$2:O$801,$W13)="","",INDEX('Per Invoice'!O$2:O$801,$W13)))</f>
        <v/>
      </c>
      <c r="P13">
        <f>IF($W13="","",IF(INDEX('Per Invoice'!P$2:P$801,$W13)="","",INDEX('Per Invoice'!P$2:P$801,$W13)))</f>
        <v/>
      </c>
      <c r="Q13" s="7">
        <f>IF($W13="","",IF(INDEX('Per Invoice'!Q$2:Q$801,$W13)="","",INDEX('Per Invoice'!Q$2:Q$801,$W13)))</f>
        <v/>
      </c>
      <c r="R13" s="7">
        <f>IF($W13="","",IF(INDEX('Per Invoice'!R$2:R$801,$W13)="","",INDEX('Per Invoice'!R$2:R$801,$W13)))</f>
        <v/>
      </c>
      <c r="S13" s="7">
        <f>IF($W13="","",IF(INDEX('Per Invoice'!S$2:S$801,$W13)="","",INDEX('Per Invoice'!S$2:S$801,$W13)))</f>
        <v/>
      </c>
      <c r="T13" s="7">
        <f>IF($W13="","",IF(INDEX('Per Invoice'!T$2:T$801,$W13)="","",INDEX('Per Invoice'!T$2:T$801,$W13)))</f>
        <v/>
      </c>
      <c r="U13" s="7">
        <f>IF($W13="","",IF(INDEX('Per Invoice'!U$2:U$801,$W13)="","",INDEX('Per Invoice'!U$2:U$801,$W13)))</f>
        <v/>
      </c>
      <c r="V13" s="7">
        <f>IF($W13="","",IF(INDEX('Per Invoice'!V$2:V$801,$W13)="","",INDEX('Per Invoice'!V$2:V$801,$W13)))</f>
        <v/>
      </c>
      <c r="W13" s="16">
        <f>IFERROR(MATCH(Settings!$C$30&amp;"|"&amp;ROWS($W$2:$W13),'Per Invoice'!$X$2:$X$801,0),"")</f>
        <v/>
      </c>
    </row>
    <row r="14">
      <c r="A14">
        <f>IF($W14="","",IF(INDEX('Per Invoice'!A$2:A$801,$W14)="","",INDEX('Per Invoice'!A$2:A$801,$W14)))</f>
        <v/>
      </c>
      <c r="B14">
        <f>IF($W14="","",IF(INDEX('Per Invoice'!B$2:B$801,$W14)="","",INDEX('Per Invoice'!B$2:B$801,$W14)))</f>
        <v/>
      </c>
      <c r="C14">
        <f>IF($W14="","",IF(INDEX('Per Invoice'!C$2:C$801,$W14)="","",INDEX('Per Invoice'!C$2:C$801,$W14)))</f>
        <v/>
      </c>
      <c r="D14">
        <f>IF($W14="","",IF(INDEX('Per Invoice'!D$2:D$801,$W14)="","",INDEX('Per Invoice'!D$2:D$801,$W14)))</f>
        <v/>
      </c>
      <c r="E14">
        <f>IF($W14="","",IF(INDEX('Per Invoice'!E$2:E$801,$W14)="","",INDEX('Per Invoice'!E$2:E$801,$W14)))</f>
        <v/>
      </c>
      <c r="F14">
        <f>IF($W14="","",IF(INDEX('Per Invoice'!F$2:F$801,$W14)="","",INDEX('Per Invoice'!F$2:F$801,$W14)))</f>
        <v/>
      </c>
      <c r="G14">
        <f>IF($W14="","",IF(INDEX('Per Invoice'!G$2:G$801,$W14)="","",INDEX('Per Invoice'!G$2:G$801,$W14)))</f>
        <v/>
      </c>
      <c r="H14">
        <f>IF($W14="","",IF(INDEX('Per Invoice'!H$2:H$801,$W14)="","",INDEX('Per Invoice'!H$2:H$801,$W14)))</f>
        <v/>
      </c>
      <c r="I14">
        <f>IF($W14="","",IF(INDEX('Per Invoice'!I$2:I$801,$W14)="","",INDEX('Per Invoice'!I$2:I$801,$W14)))</f>
        <v/>
      </c>
      <c r="J14">
        <f>IF($W14="","",IF(INDEX('Per Invoice'!J$2:J$801,$W14)="","",INDEX('Per Invoice'!J$2:J$801,$W14)))</f>
        <v/>
      </c>
      <c r="K14" s="7">
        <f>IF($W14="","",IF(INDEX('Per Invoice'!K$2:K$801,$W14)="","",INDEX('Per Invoice'!K$2:K$801,$W14)))</f>
        <v/>
      </c>
      <c r="L14" s="14">
        <f>IF($W14="","",IF(INDEX('Per Invoice'!L$2:L$801,$W14)="","",INDEX('Per Invoice'!L$2:L$801,$W14)))</f>
        <v/>
      </c>
      <c r="M14">
        <f>IF($W14="","",IF(INDEX('Per Invoice'!M$2:M$801,$W14)="","",INDEX('Per Invoice'!M$2:M$801,$W14)))</f>
        <v/>
      </c>
      <c r="N14" s="7">
        <f>IF($W14="","",IF(INDEX('Per Invoice'!N$2:N$801,$W14)="","",INDEX('Per Invoice'!N$2:N$801,$W14)))</f>
        <v/>
      </c>
      <c r="O14" s="7">
        <f>IF($W14="","",IF(INDEX('Per Invoice'!O$2:O$801,$W14)="","",INDEX('Per Invoice'!O$2:O$801,$W14)))</f>
        <v/>
      </c>
      <c r="P14">
        <f>IF($W14="","",IF(INDEX('Per Invoice'!P$2:P$801,$W14)="","",INDEX('Per Invoice'!P$2:P$801,$W14)))</f>
        <v/>
      </c>
      <c r="Q14" s="7">
        <f>IF($W14="","",IF(INDEX('Per Invoice'!Q$2:Q$801,$W14)="","",INDEX('Per Invoice'!Q$2:Q$801,$W14)))</f>
        <v/>
      </c>
      <c r="R14" s="7">
        <f>IF($W14="","",IF(INDEX('Per Invoice'!R$2:R$801,$W14)="","",INDEX('Per Invoice'!R$2:R$801,$W14)))</f>
        <v/>
      </c>
      <c r="S14" s="7">
        <f>IF($W14="","",IF(INDEX('Per Invoice'!S$2:S$801,$W14)="","",INDEX('Per Invoice'!S$2:S$801,$W14)))</f>
        <v/>
      </c>
      <c r="T14" s="7">
        <f>IF($W14="","",IF(INDEX('Per Invoice'!T$2:T$801,$W14)="","",INDEX('Per Invoice'!T$2:T$801,$W14)))</f>
        <v/>
      </c>
      <c r="U14" s="7">
        <f>IF($W14="","",IF(INDEX('Per Invoice'!U$2:U$801,$W14)="","",INDEX('Per Invoice'!U$2:U$801,$W14)))</f>
        <v/>
      </c>
      <c r="V14" s="7">
        <f>IF($W14="","",IF(INDEX('Per Invoice'!V$2:V$801,$W14)="","",INDEX('Per Invoice'!V$2:V$801,$W14)))</f>
        <v/>
      </c>
      <c r="W14" s="16">
        <f>IFERROR(MATCH(Settings!$C$30&amp;"|"&amp;ROWS($W$2:$W14),'Per Invoice'!$X$2:$X$801,0),"")</f>
        <v/>
      </c>
    </row>
    <row r="15">
      <c r="A15">
        <f>IF($W15="","",IF(INDEX('Per Invoice'!A$2:A$801,$W15)="","",INDEX('Per Invoice'!A$2:A$801,$W15)))</f>
        <v/>
      </c>
      <c r="B15">
        <f>IF($W15="","",IF(INDEX('Per Invoice'!B$2:B$801,$W15)="","",INDEX('Per Invoice'!B$2:B$801,$W15)))</f>
        <v/>
      </c>
      <c r="C15">
        <f>IF($W15="","",IF(INDEX('Per Invoice'!C$2:C$801,$W15)="","",INDEX('Per Invoice'!C$2:C$801,$W15)))</f>
        <v/>
      </c>
      <c r="D15">
        <f>IF($W15="","",IF(INDEX('Per Invoice'!D$2:D$801,$W15)="","",INDEX('Per Invoice'!D$2:D$801,$W15)))</f>
        <v/>
      </c>
      <c r="E15">
        <f>IF($W15="","",IF(INDEX('Per Invoice'!E$2:E$801,$W15)="","",INDEX('Per Invoice'!E$2:E$801,$W15)))</f>
        <v/>
      </c>
      <c r="F15">
        <f>IF($W15="","",IF(INDEX('Per Invoice'!F$2:F$801,$W15)="","",INDEX('Per Invoice'!F$2:F$801,$W15)))</f>
        <v/>
      </c>
      <c r="G15">
        <f>IF($W15="","",IF(INDEX('Per Invoice'!G$2:G$801,$W15)="","",INDEX('Per Invoice'!G$2:G$801,$W15)))</f>
        <v/>
      </c>
      <c r="H15">
        <f>IF($W15="","",IF(INDEX('Per Invoice'!H$2:H$801,$W15)="","",INDEX('Per Invoice'!H$2:H$801,$W15)))</f>
        <v/>
      </c>
      <c r="I15">
        <f>IF($W15="","",IF(INDEX('Per Invoice'!I$2:I$801,$W15)="","",INDEX('Per Invoice'!I$2:I$801,$W15)))</f>
        <v/>
      </c>
      <c r="J15">
        <f>IF($W15="","",IF(INDEX('Per Invoice'!J$2:J$801,$W15)="","",INDEX('Per Invoice'!J$2:J$801,$W15)))</f>
        <v/>
      </c>
      <c r="K15" s="7">
        <f>IF($W15="","",IF(INDEX('Per Invoice'!K$2:K$801,$W15)="","",INDEX('Per Invoice'!K$2:K$801,$W15)))</f>
        <v/>
      </c>
      <c r="L15" s="14">
        <f>IF($W15="","",IF(INDEX('Per Invoice'!L$2:L$801,$W15)="","",INDEX('Per Invoice'!L$2:L$801,$W15)))</f>
        <v/>
      </c>
      <c r="M15">
        <f>IF($W15="","",IF(INDEX('Per Invoice'!M$2:M$801,$W15)="","",INDEX('Per Invoice'!M$2:M$801,$W15)))</f>
        <v/>
      </c>
      <c r="N15" s="7">
        <f>IF($W15="","",IF(INDEX('Per Invoice'!N$2:N$801,$W15)="","",INDEX('Per Invoice'!N$2:N$801,$W15)))</f>
        <v/>
      </c>
      <c r="O15" s="7">
        <f>IF($W15="","",IF(INDEX('Per Invoice'!O$2:O$801,$W15)="","",INDEX('Per Invoice'!O$2:O$801,$W15)))</f>
        <v/>
      </c>
      <c r="P15">
        <f>IF($W15="","",IF(INDEX('Per Invoice'!P$2:P$801,$W15)="","",INDEX('Per Invoice'!P$2:P$801,$W15)))</f>
        <v/>
      </c>
      <c r="Q15" s="7">
        <f>IF($W15="","",IF(INDEX('Per Invoice'!Q$2:Q$801,$W15)="","",INDEX('Per Invoice'!Q$2:Q$801,$W15)))</f>
        <v/>
      </c>
      <c r="R15" s="7">
        <f>IF($W15="","",IF(INDEX('Per Invoice'!R$2:R$801,$W15)="","",INDEX('Per Invoice'!R$2:R$801,$W15)))</f>
        <v/>
      </c>
      <c r="S15" s="7">
        <f>IF($W15="","",IF(INDEX('Per Invoice'!S$2:S$801,$W15)="","",INDEX('Per Invoice'!S$2:S$801,$W15)))</f>
        <v/>
      </c>
      <c r="T15" s="7">
        <f>IF($W15="","",IF(INDEX('Per Invoice'!T$2:T$801,$W15)="","",INDEX('Per Invoice'!T$2:T$801,$W15)))</f>
        <v/>
      </c>
      <c r="U15" s="7">
        <f>IF($W15="","",IF(INDEX('Per Invoice'!U$2:U$801,$W15)="","",INDEX('Per Invoice'!U$2:U$801,$W15)))</f>
        <v/>
      </c>
      <c r="V15" s="7">
        <f>IF($W15="","",IF(INDEX('Per Invoice'!V$2:V$801,$W15)="","",INDEX('Per Invoice'!V$2:V$801,$W15)))</f>
        <v/>
      </c>
      <c r="W15" s="16">
        <f>IFERROR(MATCH(Settings!$C$30&amp;"|"&amp;ROWS($W$2:$W15),'Per Invoice'!$X$2:$X$801,0),"")</f>
        <v/>
      </c>
    </row>
    <row r="16">
      <c r="A16">
        <f>IF($W16="","",IF(INDEX('Per Invoice'!A$2:A$801,$W16)="","",INDEX('Per Invoice'!A$2:A$801,$W16)))</f>
        <v/>
      </c>
      <c r="B16">
        <f>IF($W16="","",IF(INDEX('Per Invoice'!B$2:B$801,$W16)="","",INDEX('Per Invoice'!B$2:B$801,$W16)))</f>
        <v/>
      </c>
      <c r="C16">
        <f>IF($W16="","",IF(INDEX('Per Invoice'!C$2:C$801,$W16)="","",INDEX('Per Invoice'!C$2:C$801,$W16)))</f>
        <v/>
      </c>
      <c r="D16">
        <f>IF($W16="","",IF(INDEX('Per Invoice'!D$2:D$801,$W16)="","",INDEX('Per Invoice'!D$2:D$801,$W16)))</f>
        <v/>
      </c>
      <c r="E16">
        <f>IF($W16="","",IF(INDEX('Per Invoice'!E$2:E$801,$W16)="","",INDEX('Per Invoice'!E$2:E$801,$W16)))</f>
        <v/>
      </c>
      <c r="F16">
        <f>IF($W16="","",IF(INDEX('Per Invoice'!F$2:F$801,$W16)="","",INDEX('Per Invoice'!F$2:F$801,$W16)))</f>
        <v/>
      </c>
      <c r="G16">
        <f>IF($W16="","",IF(INDEX('Per Invoice'!G$2:G$801,$W16)="","",INDEX('Per Invoice'!G$2:G$801,$W16)))</f>
        <v/>
      </c>
      <c r="H16">
        <f>IF($W16="","",IF(INDEX('Per Invoice'!H$2:H$801,$W16)="","",INDEX('Per Invoice'!H$2:H$801,$W16)))</f>
        <v/>
      </c>
      <c r="I16">
        <f>IF($W16="","",IF(INDEX('Per Invoice'!I$2:I$801,$W16)="","",INDEX('Per Invoice'!I$2:I$801,$W16)))</f>
        <v/>
      </c>
      <c r="J16">
        <f>IF($W16="","",IF(INDEX('Per Invoice'!J$2:J$801,$W16)="","",INDEX('Per Invoice'!J$2:J$801,$W16)))</f>
        <v/>
      </c>
      <c r="K16" s="7">
        <f>IF($W16="","",IF(INDEX('Per Invoice'!K$2:K$801,$W16)="","",INDEX('Per Invoice'!K$2:K$801,$W16)))</f>
        <v/>
      </c>
      <c r="L16" s="14">
        <f>IF($W16="","",IF(INDEX('Per Invoice'!L$2:L$801,$W16)="","",INDEX('Per Invoice'!L$2:L$801,$W16)))</f>
        <v/>
      </c>
      <c r="M16">
        <f>IF($W16="","",IF(INDEX('Per Invoice'!M$2:M$801,$W16)="","",INDEX('Per Invoice'!M$2:M$801,$W16)))</f>
        <v/>
      </c>
      <c r="N16" s="7">
        <f>IF($W16="","",IF(INDEX('Per Invoice'!N$2:N$801,$W16)="","",INDEX('Per Invoice'!N$2:N$801,$W16)))</f>
        <v/>
      </c>
      <c r="O16" s="7">
        <f>IF($W16="","",IF(INDEX('Per Invoice'!O$2:O$801,$W16)="","",INDEX('Per Invoice'!O$2:O$801,$W16)))</f>
        <v/>
      </c>
      <c r="P16">
        <f>IF($W16="","",IF(INDEX('Per Invoice'!P$2:P$801,$W16)="","",INDEX('Per Invoice'!P$2:P$801,$W16)))</f>
        <v/>
      </c>
      <c r="Q16" s="7">
        <f>IF($W16="","",IF(INDEX('Per Invoice'!Q$2:Q$801,$W16)="","",INDEX('Per Invoice'!Q$2:Q$801,$W16)))</f>
        <v/>
      </c>
      <c r="R16" s="7">
        <f>IF($W16="","",IF(INDEX('Per Invoice'!R$2:R$801,$W16)="","",INDEX('Per Invoice'!R$2:R$801,$W16)))</f>
        <v/>
      </c>
      <c r="S16" s="7">
        <f>IF($W16="","",IF(INDEX('Per Invoice'!S$2:S$801,$W16)="","",INDEX('Per Invoice'!S$2:S$801,$W16)))</f>
        <v/>
      </c>
      <c r="T16" s="7">
        <f>IF($W16="","",IF(INDEX('Per Invoice'!T$2:T$801,$W16)="","",INDEX('Per Invoice'!T$2:T$801,$W16)))</f>
        <v/>
      </c>
      <c r="U16" s="7">
        <f>IF($W16="","",IF(INDEX('Per Invoice'!U$2:U$801,$W16)="","",INDEX('Per Invoice'!U$2:U$801,$W16)))</f>
        <v/>
      </c>
      <c r="V16" s="7">
        <f>IF($W16="","",IF(INDEX('Per Invoice'!V$2:V$801,$W16)="","",INDEX('Per Invoice'!V$2:V$801,$W16)))</f>
        <v/>
      </c>
      <c r="W16" s="16">
        <f>IFERROR(MATCH(Settings!$C$30&amp;"|"&amp;ROWS($W$2:$W16),'Per Invoice'!$X$2:$X$801,0),"")</f>
        <v/>
      </c>
    </row>
    <row r="17">
      <c r="A17">
        <f>IF($W17="","",IF(INDEX('Per Invoice'!A$2:A$801,$W17)="","",INDEX('Per Invoice'!A$2:A$801,$W17)))</f>
        <v/>
      </c>
      <c r="B17">
        <f>IF($W17="","",IF(INDEX('Per Invoice'!B$2:B$801,$W17)="","",INDEX('Per Invoice'!B$2:B$801,$W17)))</f>
        <v/>
      </c>
      <c r="C17">
        <f>IF($W17="","",IF(INDEX('Per Invoice'!C$2:C$801,$W17)="","",INDEX('Per Invoice'!C$2:C$801,$W17)))</f>
        <v/>
      </c>
      <c r="D17">
        <f>IF($W17="","",IF(INDEX('Per Invoice'!D$2:D$801,$W17)="","",INDEX('Per Invoice'!D$2:D$801,$W17)))</f>
        <v/>
      </c>
      <c r="E17">
        <f>IF($W17="","",IF(INDEX('Per Invoice'!E$2:E$801,$W17)="","",INDEX('Per Invoice'!E$2:E$801,$W17)))</f>
        <v/>
      </c>
      <c r="F17">
        <f>IF($W17="","",IF(INDEX('Per Invoice'!F$2:F$801,$W17)="","",INDEX('Per Invoice'!F$2:F$801,$W17)))</f>
        <v/>
      </c>
      <c r="G17">
        <f>IF($W17="","",IF(INDEX('Per Invoice'!G$2:G$801,$W17)="","",INDEX('Per Invoice'!G$2:G$801,$W17)))</f>
        <v/>
      </c>
      <c r="H17">
        <f>IF($W17="","",IF(INDEX('Per Invoice'!H$2:H$801,$W17)="","",INDEX('Per Invoice'!H$2:H$801,$W17)))</f>
        <v/>
      </c>
      <c r="I17">
        <f>IF($W17="","",IF(INDEX('Per Invoice'!I$2:I$801,$W17)="","",INDEX('Per Invoice'!I$2:I$801,$W17)))</f>
        <v/>
      </c>
      <c r="J17">
        <f>IF($W17="","",IF(INDEX('Per Invoice'!J$2:J$801,$W17)="","",INDEX('Per Invoice'!J$2:J$801,$W17)))</f>
        <v/>
      </c>
      <c r="K17" s="7">
        <f>IF($W17="","",IF(INDEX('Per Invoice'!K$2:K$801,$W17)="","",INDEX('Per Invoice'!K$2:K$801,$W17)))</f>
        <v/>
      </c>
      <c r="L17" s="14">
        <f>IF($W17="","",IF(INDEX('Per Invoice'!L$2:L$801,$W17)="","",INDEX('Per Invoice'!L$2:L$801,$W17)))</f>
        <v/>
      </c>
      <c r="M17">
        <f>IF($W17="","",IF(INDEX('Per Invoice'!M$2:M$801,$W17)="","",INDEX('Per Invoice'!M$2:M$801,$W17)))</f>
        <v/>
      </c>
      <c r="N17" s="7">
        <f>IF($W17="","",IF(INDEX('Per Invoice'!N$2:N$801,$W17)="","",INDEX('Per Invoice'!N$2:N$801,$W17)))</f>
        <v/>
      </c>
      <c r="O17" s="7">
        <f>IF($W17="","",IF(INDEX('Per Invoice'!O$2:O$801,$W17)="","",INDEX('Per Invoice'!O$2:O$801,$W17)))</f>
        <v/>
      </c>
      <c r="P17">
        <f>IF($W17="","",IF(INDEX('Per Invoice'!P$2:P$801,$W17)="","",INDEX('Per Invoice'!P$2:P$801,$W17)))</f>
        <v/>
      </c>
      <c r="Q17" s="7">
        <f>IF($W17="","",IF(INDEX('Per Invoice'!Q$2:Q$801,$W17)="","",INDEX('Per Invoice'!Q$2:Q$801,$W17)))</f>
        <v/>
      </c>
      <c r="R17" s="7">
        <f>IF($W17="","",IF(INDEX('Per Invoice'!R$2:R$801,$W17)="","",INDEX('Per Invoice'!R$2:R$801,$W17)))</f>
        <v/>
      </c>
      <c r="S17" s="7">
        <f>IF($W17="","",IF(INDEX('Per Invoice'!S$2:S$801,$W17)="","",INDEX('Per Invoice'!S$2:S$801,$W17)))</f>
        <v/>
      </c>
      <c r="T17" s="7">
        <f>IF($W17="","",IF(INDEX('Per Invoice'!T$2:T$801,$W17)="","",INDEX('Per Invoice'!T$2:T$801,$W17)))</f>
        <v/>
      </c>
      <c r="U17" s="7">
        <f>IF($W17="","",IF(INDEX('Per Invoice'!U$2:U$801,$W17)="","",INDEX('Per Invoice'!U$2:U$801,$W17)))</f>
        <v/>
      </c>
      <c r="V17" s="7">
        <f>IF($W17="","",IF(INDEX('Per Invoice'!V$2:V$801,$W17)="","",INDEX('Per Invoice'!V$2:V$801,$W17)))</f>
        <v/>
      </c>
      <c r="W17" s="16">
        <f>IFERROR(MATCH(Settings!$C$30&amp;"|"&amp;ROWS($W$2:$W17),'Per Invoice'!$X$2:$X$801,0),"")</f>
        <v/>
      </c>
    </row>
    <row r="18">
      <c r="A18">
        <f>IF($W18="","",IF(INDEX('Per Invoice'!A$2:A$801,$W18)="","",INDEX('Per Invoice'!A$2:A$801,$W18)))</f>
        <v/>
      </c>
      <c r="B18">
        <f>IF($W18="","",IF(INDEX('Per Invoice'!B$2:B$801,$W18)="","",INDEX('Per Invoice'!B$2:B$801,$W18)))</f>
        <v/>
      </c>
      <c r="C18">
        <f>IF($W18="","",IF(INDEX('Per Invoice'!C$2:C$801,$W18)="","",INDEX('Per Invoice'!C$2:C$801,$W18)))</f>
        <v/>
      </c>
      <c r="D18">
        <f>IF($W18="","",IF(INDEX('Per Invoice'!D$2:D$801,$W18)="","",INDEX('Per Invoice'!D$2:D$801,$W18)))</f>
        <v/>
      </c>
      <c r="E18">
        <f>IF($W18="","",IF(INDEX('Per Invoice'!E$2:E$801,$W18)="","",INDEX('Per Invoice'!E$2:E$801,$W18)))</f>
        <v/>
      </c>
      <c r="F18">
        <f>IF($W18="","",IF(INDEX('Per Invoice'!F$2:F$801,$W18)="","",INDEX('Per Invoice'!F$2:F$801,$W18)))</f>
        <v/>
      </c>
      <c r="G18">
        <f>IF($W18="","",IF(INDEX('Per Invoice'!G$2:G$801,$W18)="","",INDEX('Per Invoice'!G$2:G$801,$W18)))</f>
        <v/>
      </c>
      <c r="H18">
        <f>IF($W18="","",IF(INDEX('Per Invoice'!H$2:H$801,$W18)="","",INDEX('Per Invoice'!H$2:H$801,$W18)))</f>
        <v/>
      </c>
      <c r="I18">
        <f>IF($W18="","",IF(INDEX('Per Invoice'!I$2:I$801,$W18)="","",INDEX('Per Invoice'!I$2:I$801,$W18)))</f>
        <v/>
      </c>
      <c r="J18">
        <f>IF($W18="","",IF(INDEX('Per Invoice'!J$2:J$801,$W18)="","",INDEX('Per Invoice'!J$2:J$801,$W18)))</f>
        <v/>
      </c>
      <c r="K18" s="7">
        <f>IF($W18="","",IF(INDEX('Per Invoice'!K$2:K$801,$W18)="","",INDEX('Per Invoice'!K$2:K$801,$W18)))</f>
        <v/>
      </c>
      <c r="L18" s="14">
        <f>IF($W18="","",IF(INDEX('Per Invoice'!L$2:L$801,$W18)="","",INDEX('Per Invoice'!L$2:L$801,$W18)))</f>
        <v/>
      </c>
      <c r="M18">
        <f>IF($W18="","",IF(INDEX('Per Invoice'!M$2:M$801,$W18)="","",INDEX('Per Invoice'!M$2:M$801,$W18)))</f>
        <v/>
      </c>
      <c r="N18" s="7">
        <f>IF($W18="","",IF(INDEX('Per Invoice'!N$2:N$801,$W18)="","",INDEX('Per Invoice'!N$2:N$801,$W18)))</f>
        <v/>
      </c>
      <c r="O18" s="7">
        <f>IF($W18="","",IF(INDEX('Per Invoice'!O$2:O$801,$W18)="","",INDEX('Per Invoice'!O$2:O$801,$W18)))</f>
        <v/>
      </c>
      <c r="P18">
        <f>IF($W18="","",IF(INDEX('Per Invoice'!P$2:P$801,$W18)="","",INDEX('Per Invoice'!P$2:P$801,$W18)))</f>
        <v/>
      </c>
      <c r="Q18" s="7">
        <f>IF($W18="","",IF(INDEX('Per Invoice'!Q$2:Q$801,$W18)="","",INDEX('Per Invoice'!Q$2:Q$801,$W18)))</f>
        <v/>
      </c>
      <c r="R18" s="7">
        <f>IF($W18="","",IF(INDEX('Per Invoice'!R$2:R$801,$W18)="","",INDEX('Per Invoice'!R$2:R$801,$W18)))</f>
        <v/>
      </c>
      <c r="S18" s="7">
        <f>IF($W18="","",IF(INDEX('Per Invoice'!S$2:S$801,$W18)="","",INDEX('Per Invoice'!S$2:S$801,$W18)))</f>
        <v/>
      </c>
      <c r="T18" s="7">
        <f>IF($W18="","",IF(INDEX('Per Invoice'!T$2:T$801,$W18)="","",INDEX('Per Invoice'!T$2:T$801,$W18)))</f>
        <v/>
      </c>
      <c r="U18" s="7">
        <f>IF($W18="","",IF(INDEX('Per Invoice'!U$2:U$801,$W18)="","",INDEX('Per Invoice'!U$2:U$801,$W18)))</f>
        <v/>
      </c>
      <c r="V18" s="7">
        <f>IF($W18="","",IF(INDEX('Per Invoice'!V$2:V$801,$W18)="","",INDEX('Per Invoice'!V$2:V$801,$W18)))</f>
        <v/>
      </c>
      <c r="W18" s="16">
        <f>IFERROR(MATCH(Settings!$C$30&amp;"|"&amp;ROWS($W$2:$W18),'Per Invoice'!$X$2:$X$801,0),"")</f>
        <v/>
      </c>
    </row>
    <row r="19">
      <c r="A19">
        <f>IF($W19="","",IF(INDEX('Per Invoice'!A$2:A$801,$W19)="","",INDEX('Per Invoice'!A$2:A$801,$W19)))</f>
        <v/>
      </c>
      <c r="B19">
        <f>IF($W19="","",IF(INDEX('Per Invoice'!B$2:B$801,$W19)="","",INDEX('Per Invoice'!B$2:B$801,$W19)))</f>
        <v/>
      </c>
      <c r="C19">
        <f>IF($W19="","",IF(INDEX('Per Invoice'!C$2:C$801,$W19)="","",INDEX('Per Invoice'!C$2:C$801,$W19)))</f>
        <v/>
      </c>
      <c r="D19">
        <f>IF($W19="","",IF(INDEX('Per Invoice'!D$2:D$801,$W19)="","",INDEX('Per Invoice'!D$2:D$801,$W19)))</f>
        <v/>
      </c>
      <c r="E19">
        <f>IF($W19="","",IF(INDEX('Per Invoice'!E$2:E$801,$W19)="","",INDEX('Per Invoice'!E$2:E$801,$W19)))</f>
        <v/>
      </c>
      <c r="F19">
        <f>IF($W19="","",IF(INDEX('Per Invoice'!F$2:F$801,$W19)="","",INDEX('Per Invoice'!F$2:F$801,$W19)))</f>
        <v/>
      </c>
      <c r="G19">
        <f>IF($W19="","",IF(INDEX('Per Invoice'!G$2:G$801,$W19)="","",INDEX('Per Invoice'!G$2:G$801,$W19)))</f>
        <v/>
      </c>
      <c r="H19">
        <f>IF($W19="","",IF(INDEX('Per Invoice'!H$2:H$801,$W19)="","",INDEX('Per Invoice'!H$2:H$801,$W19)))</f>
        <v/>
      </c>
      <c r="I19">
        <f>IF($W19="","",IF(INDEX('Per Invoice'!I$2:I$801,$W19)="","",INDEX('Per Invoice'!I$2:I$801,$W19)))</f>
        <v/>
      </c>
      <c r="J19">
        <f>IF($W19="","",IF(INDEX('Per Invoice'!J$2:J$801,$W19)="","",INDEX('Per Invoice'!J$2:J$801,$W19)))</f>
        <v/>
      </c>
      <c r="K19" s="7">
        <f>IF($W19="","",IF(INDEX('Per Invoice'!K$2:K$801,$W19)="","",INDEX('Per Invoice'!K$2:K$801,$W19)))</f>
        <v/>
      </c>
      <c r="L19" s="14">
        <f>IF($W19="","",IF(INDEX('Per Invoice'!L$2:L$801,$W19)="","",INDEX('Per Invoice'!L$2:L$801,$W19)))</f>
        <v/>
      </c>
      <c r="M19">
        <f>IF($W19="","",IF(INDEX('Per Invoice'!M$2:M$801,$W19)="","",INDEX('Per Invoice'!M$2:M$801,$W19)))</f>
        <v/>
      </c>
      <c r="N19" s="7">
        <f>IF($W19="","",IF(INDEX('Per Invoice'!N$2:N$801,$W19)="","",INDEX('Per Invoice'!N$2:N$801,$W19)))</f>
        <v/>
      </c>
      <c r="O19" s="7">
        <f>IF($W19="","",IF(INDEX('Per Invoice'!O$2:O$801,$W19)="","",INDEX('Per Invoice'!O$2:O$801,$W19)))</f>
        <v/>
      </c>
      <c r="P19">
        <f>IF($W19="","",IF(INDEX('Per Invoice'!P$2:P$801,$W19)="","",INDEX('Per Invoice'!P$2:P$801,$W19)))</f>
        <v/>
      </c>
      <c r="Q19" s="7">
        <f>IF($W19="","",IF(INDEX('Per Invoice'!Q$2:Q$801,$W19)="","",INDEX('Per Invoice'!Q$2:Q$801,$W19)))</f>
        <v/>
      </c>
      <c r="R19" s="7">
        <f>IF($W19="","",IF(INDEX('Per Invoice'!R$2:R$801,$W19)="","",INDEX('Per Invoice'!R$2:R$801,$W19)))</f>
        <v/>
      </c>
      <c r="S19" s="7">
        <f>IF($W19="","",IF(INDEX('Per Invoice'!S$2:S$801,$W19)="","",INDEX('Per Invoice'!S$2:S$801,$W19)))</f>
        <v/>
      </c>
      <c r="T19" s="7">
        <f>IF($W19="","",IF(INDEX('Per Invoice'!T$2:T$801,$W19)="","",INDEX('Per Invoice'!T$2:T$801,$W19)))</f>
        <v/>
      </c>
      <c r="U19" s="7">
        <f>IF($W19="","",IF(INDEX('Per Invoice'!U$2:U$801,$W19)="","",INDEX('Per Invoice'!U$2:U$801,$W19)))</f>
        <v/>
      </c>
      <c r="V19" s="7">
        <f>IF($W19="","",IF(INDEX('Per Invoice'!V$2:V$801,$W19)="","",INDEX('Per Invoice'!V$2:V$801,$W19)))</f>
        <v/>
      </c>
      <c r="W19" s="16">
        <f>IFERROR(MATCH(Settings!$C$30&amp;"|"&amp;ROWS($W$2:$W19),'Per Invoice'!$X$2:$X$801,0),"")</f>
        <v/>
      </c>
    </row>
    <row r="20">
      <c r="A20">
        <f>IF($W20="","",IF(INDEX('Per Invoice'!A$2:A$801,$W20)="","",INDEX('Per Invoice'!A$2:A$801,$W20)))</f>
        <v/>
      </c>
      <c r="B20">
        <f>IF($W20="","",IF(INDEX('Per Invoice'!B$2:B$801,$W20)="","",INDEX('Per Invoice'!B$2:B$801,$W20)))</f>
        <v/>
      </c>
      <c r="C20">
        <f>IF($W20="","",IF(INDEX('Per Invoice'!C$2:C$801,$W20)="","",INDEX('Per Invoice'!C$2:C$801,$W20)))</f>
        <v/>
      </c>
      <c r="D20">
        <f>IF($W20="","",IF(INDEX('Per Invoice'!D$2:D$801,$W20)="","",INDEX('Per Invoice'!D$2:D$801,$W20)))</f>
        <v/>
      </c>
      <c r="E20">
        <f>IF($W20="","",IF(INDEX('Per Invoice'!E$2:E$801,$W20)="","",INDEX('Per Invoice'!E$2:E$801,$W20)))</f>
        <v/>
      </c>
      <c r="F20">
        <f>IF($W20="","",IF(INDEX('Per Invoice'!F$2:F$801,$W20)="","",INDEX('Per Invoice'!F$2:F$801,$W20)))</f>
        <v/>
      </c>
      <c r="G20">
        <f>IF($W20="","",IF(INDEX('Per Invoice'!G$2:G$801,$W20)="","",INDEX('Per Invoice'!G$2:G$801,$W20)))</f>
        <v/>
      </c>
      <c r="H20">
        <f>IF($W20="","",IF(INDEX('Per Invoice'!H$2:H$801,$W20)="","",INDEX('Per Invoice'!H$2:H$801,$W20)))</f>
        <v/>
      </c>
      <c r="I20">
        <f>IF($W20="","",IF(INDEX('Per Invoice'!I$2:I$801,$W20)="","",INDEX('Per Invoice'!I$2:I$801,$W20)))</f>
        <v/>
      </c>
      <c r="J20">
        <f>IF($W20="","",IF(INDEX('Per Invoice'!J$2:J$801,$W20)="","",INDEX('Per Invoice'!J$2:J$801,$W20)))</f>
        <v/>
      </c>
      <c r="K20" s="7">
        <f>IF($W20="","",IF(INDEX('Per Invoice'!K$2:K$801,$W20)="","",INDEX('Per Invoice'!K$2:K$801,$W20)))</f>
        <v/>
      </c>
      <c r="L20" s="14">
        <f>IF($W20="","",IF(INDEX('Per Invoice'!L$2:L$801,$W20)="","",INDEX('Per Invoice'!L$2:L$801,$W20)))</f>
        <v/>
      </c>
      <c r="M20">
        <f>IF($W20="","",IF(INDEX('Per Invoice'!M$2:M$801,$W20)="","",INDEX('Per Invoice'!M$2:M$801,$W20)))</f>
        <v/>
      </c>
      <c r="N20" s="7">
        <f>IF($W20="","",IF(INDEX('Per Invoice'!N$2:N$801,$W20)="","",INDEX('Per Invoice'!N$2:N$801,$W20)))</f>
        <v/>
      </c>
      <c r="O20" s="7">
        <f>IF($W20="","",IF(INDEX('Per Invoice'!O$2:O$801,$W20)="","",INDEX('Per Invoice'!O$2:O$801,$W20)))</f>
        <v/>
      </c>
      <c r="P20">
        <f>IF($W20="","",IF(INDEX('Per Invoice'!P$2:P$801,$W20)="","",INDEX('Per Invoice'!P$2:P$801,$W20)))</f>
        <v/>
      </c>
      <c r="Q20" s="7">
        <f>IF($W20="","",IF(INDEX('Per Invoice'!Q$2:Q$801,$W20)="","",INDEX('Per Invoice'!Q$2:Q$801,$W20)))</f>
        <v/>
      </c>
      <c r="R20" s="7">
        <f>IF($W20="","",IF(INDEX('Per Invoice'!R$2:R$801,$W20)="","",INDEX('Per Invoice'!R$2:R$801,$W20)))</f>
        <v/>
      </c>
      <c r="S20" s="7">
        <f>IF($W20="","",IF(INDEX('Per Invoice'!S$2:S$801,$W20)="","",INDEX('Per Invoice'!S$2:S$801,$W20)))</f>
        <v/>
      </c>
      <c r="T20" s="7">
        <f>IF($W20="","",IF(INDEX('Per Invoice'!T$2:T$801,$W20)="","",INDEX('Per Invoice'!T$2:T$801,$W20)))</f>
        <v/>
      </c>
      <c r="U20" s="7">
        <f>IF($W20="","",IF(INDEX('Per Invoice'!U$2:U$801,$W20)="","",INDEX('Per Invoice'!U$2:U$801,$W20)))</f>
        <v/>
      </c>
      <c r="V20" s="7">
        <f>IF($W20="","",IF(INDEX('Per Invoice'!V$2:V$801,$W20)="","",INDEX('Per Invoice'!V$2:V$801,$W20)))</f>
        <v/>
      </c>
      <c r="W20" s="16">
        <f>IFERROR(MATCH(Settings!$C$30&amp;"|"&amp;ROWS($W$2:$W20),'Per Invoice'!$X$2:$X$801,0),"")</f>
        <v/>
      </c>
    </row>
    <row r="21">
      <c r="A21">
        <f>IF($W21="","",IF(INDEX('Per Invoice'!A$2:A$801,$W21)="","",INDEX('Per Invoice'!A$2:A$801,$W21)))</f>
        <v/>
      </c>
      <c r="B21">
        <f>IF($W21="","",IF(INDEX('Per Invoice'!B$2:B$801,$W21)="","",INDEX('Per Invoice'!B$2:B$801,$W21)))</f>
        <v/>
      </c>
      <c r="C21">
        <f>IF($W21="","",IF(INDEX('Per Invoice'!C$2:C$801,$W21)="","",INDEX('Per Invoice'!C$2:C$801,$W21)))</f>
        <v/>
      </c>
      <c r="D21">
        <f>IF($W21="","",IF(INDEX('Per Invoice'!D$2:D$801,$W21)="","",INDEX('Per Invoice'!D$2:D$801,$W21)))</f>
        <v/>
      </c>
      <c r="E21">
        <f>IF($W21="","",IF(INDEX('Per Invoice'!E$2:E$801,$W21)="","",INDEX('Per Invoice'!E$2:E$801,$W21)))</f>
        <v/>
      </c>
      <c r="F21">
        <f>IF($W21="","",IF(INDEX('Per Invoice'!F$2:F$801,$W21)="","",INDEX('Per Invoice'!F$2:F$801,$W21)))</f>
        <v/>
      </c>
      <c r="G21">
        <f>IF($W21="","",IF(INDEX('Per Invoice'!G$2:G$801,$W21)="","",INDEX('Per Invoice'!G$2:G$801,$W21)))</f>
        <v/>
      </c>
      <c r="H21">
        <f>IF($W21="","",IF(INDEX('Per Invoice'!H$2:H$801,$W21)="","",INDEX('Per Invoice'!H$2:H$801,$W21)))</f>
        <v/>
      </c>
      <c r="I21">
        <f>IF($W21="","",IF(INDEX('Per Invoice'!I$2:I$801,$W21)="","",INDEX('Per Invoice'!I$2:I$801,$W21)))</f>
        <v/>
      </c>
      <c r="J21">
        <f>IF($W21="","",IF(INDEX('Per Invoice'!J$2:J$801,$W21)="","",INDEX('Per Invoice'!J$2:J$801,$W21)))</f>
        <v/>
      </c>
      <c r="K21" s="7">
        <f>IF($W21="","",IF(INDEX('Per Invoice'!K$2:K$801,$W21)="","",INDEX('Per Invoice'!K$2:K$801,$W21)))</f>
        <v/>
      </c>
      <c r="L21" s="14">
        <f>IF($W21="","",IF(INDEX('Per Invoice'!L$2:L$801,$W21)="","",INDEX('Per Invoice'!L$2:L$801,$W21)))</f>
        <v/>
      </c>
      <c r="M21">
        <f>IF($W21="","",IF(INDEX('Per Invoice'!M$2:M$801,$W21)="","",INDEX('Per Invoice'!M$2:M$801,$W21)))</f>
        <v/>
      </c>
      <c r="N21" s="7">
        <f>IF($W21="","",IF(INDEX('Per Invoice'!N$2:N$801,$W21)="","",INDEX('Per Invoice'!N$2:N$801,$W21)))</f>
        <v/>
      </c>
      <c r="O21" s="7">
        <f>IF($W21="","",IF(INDEX('Per Invoice'!O$2:O$801,$W21)="","",INDEX('Per Invoice'!O$2:O$801,$W21)))</f>
        <v/>
      </c>
      <c r="P21">
        <f>IF($W21="","",IF(INDEX('Per Invoice'!P$2:P$801,$W21)="","",INDEX('Per Invoice'!P$2:P$801,$W21)))</f>
        <v/>
      </c>
      <c r="Q21" s="7">
        <f>IF($W21="","",IF(INDEX('Per Invoice'!Q$2:Q$801,$W21)="","",INDEX('Per Invoice'!Q$2:Q$801,$W21)))</f>
        <v/>
      </c>
      <c r="R21" s="7">
        <f>IF($W21="","",IF(INDEX('Per Invoice'!R$2:R$801,$W21)="","",INDEX('Per Invoice'!R$2:R$801,$W21)))</f>
        <v/>
      </c>
      <c r="S21" s="7">
        <f>IF($W21="","",IF(INDEX('Per Invoice'!S$2:S$801,$W21)="","",INDEX('Per Invoice'!S$2:S$801,$W21)))</f>
        <v/>
      </c>
      <c r="T21" s="7">
        <f>IF($W21="","",IF(INDEX('Per Invoice'!T$2:T$801,$W21)="","",INDEX('Per Invoice'!T$2:T$801,$W21)))</f>
        <v/>
      </c>
      <c r="U21" s="7">
        <f>IF($W21="","",IF(INDEX('Per Invoice'!U$2:U$801,$W21)="","",INDEX('Per Invoice'!U$2:U$801,$W21)))</f>
        <v/>
      </c>
      <c r="V21" s="7">
        <f>IF($W21="","",IF(INDEX('Per Invoice'!V$2:V$801,$W21)="","",INDEX('Per Invoice'!V$2:V$801,$W21)))</f>
        <v/>
      </c>
      <c r="W21" s="16">
        <f>IFERROR(MATCH(Settings!$C$30&amp;"|"&amp;ROWS($W$2:$W21),'Per Invoice'!$X$2:$X$801,0),"")</f>
        <v/>
      </c>
    </row>
    <row r="22">
      <c r="A22">
        <f>IF($W22="","",IF(INDEX('Per Invoice'!A$2:A$801,$W22)="","",INDEX('Per Invoice'!A$2:A$801,$W22)))</f>
        <v/>
      </c>
      <c r="B22">
        <f>IF($W22="","",IF(INDEX('Per Invoice'!B$2:B$801,$W22)="","",INDEX('Per Invoice'!B$2:B$801,$W22)))</f>
        <v/>
      </c>
      <c r="C22">
        <f>IF($W22="","",IF(INDEX('Per Invoice'!C$2:C$801,$W22)="","",INDEX('Per Invoice'!C$2:C$801,$W22)))</f>
        <v/>
      </c>
      <c r="D22">
        <f>IF($W22="","",IF(INDEX('Per Invoice'!D$2:D$801,$W22)="","",INDEX('Per Invoice'!D$2:D$801,$W22)))</f>
        <v/>
      </c>
      <c r="E22">
        <f>IF($W22="","",IF(INDEX('Per Invoice'!E$2:E$801,$W22)="","",INDEX('Per Invoice'!E$2:E$801,$W22)))</f>
        <v/>
      </c>
      <c r="F22">
        <f>IF($W22="","",IF(INDEX('Per Invoice'!F$2:F$801,$W22)="","",INDEX('Per Invoice'!F$2:F$801,$W22)))</f>
        <v/>
      </c>
      <c r="G22">
        <f>IF($W22="","",IF(INDEX('Per Invoice'!G$2:G$801,$W22)="","",INDEX('Per Invoice'!G$2:G$801,$W22)))</f>
        <v/>
      </c>
      <c r="H22">
        <f>IF($W22="","",IF(INDEX('Per Invoice'!H$2:H$801,$W22)="","",INDEX('Per Invoice'!H$2:H$801,$W22)))</f>
        <v/>
      </c>
      <c r="I22">
        <f>IF($W22="","",IF(INDEX('Per Invoice'!I$2:I$801,$W22)="","",INDEX('Per Invoice'!I$2:I$801,$W22)))</f>
        <v/>
      </c>
      <c r="J22">
        <f>IF($W22="","",IF(INDEX('Per Invoice'!J$2:J$801,$W22)="","",INDEX('Per Invoice'!J$2:J$801,$W22)))</f>
        <v/>
      </c>
      <c r="K22" s="7">
        <f>IF($W22="","",IF(INDEX('Per Invoice'!K$2:K$801,$W22)="","",INDEX('Per Invoice'!K$2:K$801,$W22)))</f>
        <v/>
      </c>
      <c r="L22" s="14">
        <f>IF($W22="","",IF(INDEX('Per Invoice'!L$2:L$801,$W22)="","",INDEX('Per Invoice'!L$2:L$801,$W22)))</f>
        <v/>
      </c>
      <c r="M22">
        <f>IF($W22="","",IF(INDEX('Per Invoice'!M$2:M$801,$W22)="","",INDEX('Per Invoice'!M$2:M$801,$W22)))</f>
        <v/>
      </c>
      <c r="N22" s="7">
        <f>IF($W22="","",IF(INDEX('Per Invoice'!N$2:N$801,$W22)="","",INDEX('Per Invoice'!N$2:N$801,$W22)))</f>
        <v/>
      </c>
      <c r="O22" s="7">
        <f>IF($W22="","",IF(INDEX('Per Invoice'!O$2:O$801,$W22)="","",INDEX('Per Invoice'!O$2:O$801,$W22)))</f>
        <v/>
      </c>
      <c r="P22">
        <f>IF($W22="","",IF(INDEX('Per Invoice'!P$2:P$801,$W22)="","",INDEX('Per Invoice'!P$2:P$801,$W22)))</f>
        <v/>
      </c>
      <c r="Q22" s="7">
        <f>IF($W22="","",IF(INDEX('Per Invoice'!Q$2:Q$801,$W22)="","",INDEX('Per Invoice'!Q$2:Q$801,$W22)))</f>
        <v/>
      </c>
      <c r="R22" s="7">
        <f>IF($W22="","",IF(INDEX('Per Invoice'!R$2:R$801,$W22)="","",INDEX('Per Invoice'!R$2:R$801,$W22)))</f>
        <v/>
      </c>
      <c r="S22" s="7">
        <f>IF($W22="","",IF(INDEX('Per Invoice'!S$2:S$801,$W22)="","",INDEX('Per Invoice'!S$2:S$801,$W22)))</f>
        <v/>
      </c>
      <c r="T22" s="7">
        <f>IF($W22="","",IF(INDEX('Per Invoice'!T$2:T$801,$W22)="","",INDEX('Per Invoice'!T$2:T$801,$W22)))</f>
        <v/>
      </c>
      <c r="U22" s="7">
        <f>IF($W22="","",IF(INDEX('Per Invoice'!U$2:U$801,$W22)="","",INDEX('Per Invoice'!U$2:U$801,$W22)))</f>
        <v/>
      </c>
      <c r="V22" s="7">
        <f>IF($W22="","",IF(INDEX('Per Invoice'!V$2:V$801,$W22)="","",INDEX('Per Invoice'!V$2:V$801,$W22)))</f>
        <v/>
      </c>
      <c r="W22" s="16">
        <f>IFERROR(MATCH(Settings!$C$30&amp;"|"&amp;ROWS($W$2:$W22),'Per Invoice'!$X$2:$X$801,0),"")</f>
        <v/>
      </c>
    </row>
    <row r="23">
      <c r="A23">
        <f>IF($W23="","",IF(INDEX('Per Invoice'!A$2:A$801,$W23)="","",INDEX('Per Invoice'!A$2:A$801,$W23)))</f>
        <v/>
      </c>
      <c r="B23">
        <f>IF($W23="","",IF(INDEX('Per Invoice'!B$2:B$801,$W23)="","",INDEX('Per Invoice'!B$2:B$801,$W23)))</f>
        <v/>
      </c>
      <c r="C23">
        <f>IF($W23="","",IF(INDEX('Per Invoice'!C$2:C$801,$W23)="","",INDEX('Per Invoice'!C$2:C$801,$W23)))</f>
        <v/>
      </c>
      <c r="D23">
        <f>IF($W23="","",IF(INDEX('Per Invoice'!D$2:D$801,$W23)="","",INDEX('Per Invoice'!D$2:D$801,$W23)))</f>
        <v/>
      </c>
      <c r="E23">
        <f>IF($W23="","",IF(INDEX('Per Invoice'!E$2:E$801,$W23)="","",INDEX('Per Invoice'!E$2:E$801,$W23)))</f>
        <v/>
      </c>
      <c r="F23">
        <f>IF($W23="","",IF(INDEX('Per Invoice'!F$2:F$801,$W23)="","",INDEX('Per Invoice'!F$2:F$801,$W23)))</f>
        <v/>
      </c>
      <c r="G23">
        <f>IF($W23="","",IF(INDEX('Per Invoice'!G$2:G$801,$W23)="","",INDEX('Per Invoice'!G$2:G$801,$W23)))</f>
        <v/>
      </c>
      <c r="H23">
        <f>IF($W23="","",IF(INDEX('Per Invoice'!H$2:H$801,$W23)="","",INDEX('Per Invoice'!H$2:H$801,$W23)))</f>
        <v/>
      </c>
      <c r="I23">
        <f>IF($W23="","",IF(INDEX('Per Invoice'!I$2:I$801,$W23)="","",INDEX('Per Invoice'!I$2:I$801,$W23)))</f>
        <v/>
      </c>
      <c r="J23">
        <f>IF($W23="","",IF(INDEX('Per Invoice'!J$2:J$801,$W23)="","",INDEX('Per Invoice'!J$2:J$801,$W23)))</f>
        <v/>
      </c>
      <c r="K23" s="7">
        <f>IF($W23="","",IF(INDEX('Per Invoice'!K$2:K$801,$W23)="","",INDEX('Per Invoice'!K$2:K$801,$W23)))</f>
        <v/>
      </c>
      <c r="L23" s="14">
        <f>IF($W23="","",IF(INDEX('Per Invoice'!L$2:L$801,$W23)="","",INDEX('Per Invoice'!L$2:L$801,$W23)))</f>
        <v/>
      </c>
      <c r="M23">
        <f>IF($W23="","",IF(INDEX('Per Invoice'!M$2:M$801,$W23)="","",INDEX('Per Invoice'!M$2:M$801,$W23)))</f>
        <v/>
      </c>
      <c r="N23" s="7">
        <f>IF($W23="","",IF(INDEX('Per Invoice'!N$2:N$801,$W23)="","",INDEX('Per Invoice'!N$2:N$801,$W23)))</f>
        <v/>
      </c>
      <c r="O23" s="7">
        <f>IF($W23="","",IF(INDEX('Per Invoice'!O$2:O$801,$W23)="","",INDEX('Per Invoice'!O$2:O$801,$W23)))</f>
        <v/>
      </c>
      <c r="P23">
        <f>IF($W23="","",IF(INDEX('Per Invoice'!P$2:P$801,$W23)="","",INDEX('Per Invoice'!P$2:P$801,$W23)))</f>
        <v/>
      </c>
      <c r="Q23" s="7">
        <f>IF($W23="","",IF(INDEX('Per Invoice'!Q$2:Q$801,$W23)="","",INDEX('Per Invoice'!Q$2:Q$801,$W23)))</f>
        <v/>
      </c>
      <c r="R23" s="7">
        <f>IF($W23="","",IF(INDEX('Per Invoice'!R$2:R$801,$W23)="","",INDEX('Per Invoice'!R$2:R$801,$W23)))</f>
        <v/>
      </c>
      <c r="S23" s="7">
        <f>IF($W23="","",IF(INDEX('Per Invoice'!S$2:S$801,$W23)="","",INDEX('Per Invoice'!S$2:S$801,$W23)))</f>
        <v/>
      </c>
      <c r="T23" s="7">
        <f>IF($W23="","",IF(INDEX('Per Invoice'!T$2:T$801,$W23)="","",INDEX('Per Invoice'!T$2:T$801,$W23)))</f>
        <v/>
      </c>
      <c r="U23" s="7">
        <f>IF($W23="","",IF(INDEX('Per Invoice'!U$2:U$801,$W23)="","",INDEX('Per Invoice'!U$2:U$801,$W23)))</f>
        <v/>
      </c>
      <c r="V23" s="7">
        <f>IF($W23="","",IF(INDEX('Per Invoice'!V$2:V$801,$W23)="","",INDEX('Per Invoice'!V$2:V$801,$W23)))</f>
        <v/>
      </c>
      <c r="W23" s="16">
        <f>IFERROR(MATCH(Settings!$C$30&amp;"|"&amp;ROWS($W$2:$W23),'Per Invoice'!$X$2:$X$801,0),"")</f>
        <v/>
      </c>
    </row>
    <row r="24">
      <c r="A24">
        <f>IF($W24="","",IF(INDEX('Per Invoice'!A$2:A$801,$W24)="","",INDEX('Per Invoice'!A$2:A$801,$W24)))</f>
        <v/>
      </c>
      <c r="B24">
        <f>IF($W24="","",IF(INDEX('Per Invoice'!B$2:B$801,$W24)="","",INDEX('Per Invoice'!B$2:B$801,$W24)))</f>
        <v/>
      </c>
      <c r="C24">
        <f>IF($W24="","",IF(INDEX('Per Invoice'!C$2:C$801,$W24)="","",INDEX('Per Invoice'!C$2:C$801,$W24)))</f>
        <v/>
      </c>
      <c r="D24">
        <f>IF($W24="","",IF(INDEX('Per Invoice'!D$2:D$801,$W24)="","",INDEX('Per Invoice'!D$2:D$801,$W24)))</f>
        <v/>
      </c>
      <c r="E24">
        <f>IF($W24="","",IF(INDEX('Per Invoice'!E$2:E$801,$W24)="","",INDEX('Per Invoice'!E$2:E$801,$W24)))</f>
        <v/>
      </c>
      <c r="F24">
        <f>IF($W24="","",IF(INDEX('Per Invoice'!F$2:F$801,$W24)="","",INDEX('Per Invoice'!F$2:F$801,$W24)))</f>
        <v/>
      </c>
      <c r="G24">
        <f>IF($W24="","",IF(INDEX('Per Invoice'!G$2:G$801,$W24)="","",INDEX('Per Invoice'!G$2:G$801,$W24)))</f>
        <v/>
      </c>
      <c r="H24">
        <f>IF($W24="","",IF(INDEX('Per Invoice'!H$2:H$801,$W24)="","",INDEX('Per Invoice'!H$2:H$801,$W24)))</f>
        <v/>
      </c>
      <c r="I24">
        <f>IF($W24="","",IF(INDEX('Per Invoice'!I$2:I$801,$W24)="","",INDEX('Per Invoice'!I$2:I$801,$W24)))</f>
        <v/>
      </c>
      <c r="J24">
        <f>IF($W24="","",IF(INDEX('Per Invoice'!J$2:J$801,$W24)="","",INDEX('Per Invoice'!J$2:J$801,$W24)))</f>
        <v/>
      </c>
      <c r="K24" s="7">
        <f>IF($W24="","",IF(INDEX('Per Invoice'!K$2:K$801,$W24)="","",INDEX('Per Invoice'!K$2:K$801,$W24)))</f>
        <v/>
      </c>
      <c r="L24" s="14">
        <f>IF($W24="","",IF(INDEX('Per Invoice'!L$2:L$801,$W24)="","",INDEX('Per Invoice'!L$2:L$801,$W24)))</f>
        <v/>
      </c>
      <c r="M24">
        <f>IF($W24="","",IF(INDEX('Per Invoice'!M$2:M$801,$W24)="","",INDEX('Per Invoice'!M$2:M$801,$W24)))</f>
        <v/>
      </c>
      <c r="N24" s="7">
        <f>IF($W24="","",IF(INDEX('Per Invoice'!N$2:N$801,$W24)="","",INDEX('Per Invoice'!N$2:N$801,$W24)))</f>
        <v/>
      </c>
      <c r="O24" s="7">
        <f>IF($W24="","",IF(INDEX('Per Invoice'!O$2:O$801,$W24)="","",INDEX('Per Invoice'!O$2:O$801,$W24)))</f>
        <v/>
      </c>
      <c r="P24">
        <f>IF($W24="","",IF(INDEX('Per Invoice'!P$2:P$801,$W24)="","",INDEX('Per Invoice'!P$2:P$801,$W24)))</f>
        <v/>
      </c>
      <c r="Q24" s="7">
        <f>IF($W24="","",IF(INDEX('Per Invoice'!Q$2:Q$801,$W24)="","",INDEX('Per Invoice'!Q$2:Q$801,$W24)))</f>
        <v/>
      </c>
      <c r="R24" s="7">
        <f>IF($W24="","",IF(INDEX('Per Invoice'!R$2:R$801,$W24)="","",INDEX('Per Invoice'!R$2:R$801,$W24)))</f>
        <v/>
      </c>
      <c r="S24" s="7">
        <f>IF($W24="","",IF(INDEX('Per Invoice'!S$2:S$801,$W24)="","",INDEX('Per Invoice'!S$2:S$801,$W24)))</f>
        <v/>
      </c>
      <c r="T24" s="7">
        <f>IF($W24="","",IF(INDEX('Per Invoice'!T$2:T$801,$W24)="","",INDEX('Per Invoice'!T$2:T$801,$W24)))</f>
        <v/>
      </c>
      <c r="U24" s="7">
        <f>IF($W24="","",IF(INDEX('Per Invoice'!U$2:U$801,$W24)="","",INDEX('Per Invoice'!U$2:U$801,$W24)))</f>
        <v/>
      </c>
      <c r="V24" s="7">
        <f>IF($W24="","",IF(INDEX('Per Invoice'!V$2:V$801,$W24)="","",INDEX('Per Invoice'!V$2:V$801,$W24)))</f>
        <v/>
      </c>
      <c r="W24" s="16">
        <f>IFERROR(MATCH(Settings!$C$30&amp;"|"&amp;ROWS($W$2:$W24),'Per Invoice'!$X$2:$X$801,0),"")</f>
        <v/>
      </c>
    </row>
    <row r="25">
      <c r="A25">
        <f>IF($W25="","",IF(INDEX('Per Invoice'!A$2:A$801,$W25)="","",INDEX('Per Invoice'!A$2:A$801,$W25)))</f>
        <v/>
      </c>
      <c r="B25">
        <f>IF($W25="","",IF(INDEX('Per Invoice'!B$2:B$801,$W25)="","",INDEX('Per Invoice'!B$2:B$801,$W25)))</f>
        <v/>
      </c>
      <c r="C25">
        <f>IF($W25="","",IF(INDEX('Per Invoice'!C$2:C$801,$W25)="","",INDEX('Per Invoice'!C$2:C$801,$W25)))</f>
        <v/>
      </c>
      <c r="D25">
        <f>IF($W25="","",IF(INDEX('Per Invoice'!D$2:D$801,$W25)="","",INDEX('Per Invoice'!D$2:D$801,$W25)))</f>
        <v/>
      </c>
      <c r="E25">
        <f>IF($W25="","",IF(INDEX('Per Invoice'!E$2:E$801,$W25)="","",INDEX('Per Invoice'!E$2:E$801,$W25)))</f>
        <v/>
      </c>
      <c r="F25">
        <f>IF($W25="","",IF(INDEX('Per Invoice'!F$2:F$801,$W25)="","",INDEX('Per Invoice'!F$2:F$801,$W25)))</f>
        <v/>
      </c>
      <c r="G25">
        <f>IF($W25="","",IF(INDEX('Per Invoice'!G$2:G$801,$W25)="","",INDEX('Per Invoice'!G$2:G$801,$W25)))</f>
        <v/>
      </c>
      <c r="H25">
        <f>IF($W25="","",IF(INDEX('Per Invoice'!H$2:H$801,$W25)="","",INDEX('Per Invoice'!H$2:H$801,$W25)))</f>
        <v/>
      </c>
      <c r="I25">
        <f>IF($W25="","",IF(INDEX('Per Invoice'!I$2:I$801,$W25)="","",INDEX('Per Invoice'!I$2:I$801,$W25)))</f>
        <v/>
      </c>
      <c r="J25">
        <f>IF($W25="","",IF(INDEX('Per Invoice'!J$2:J$801,$W25)="","",INDEX('Per Invoice'!J$2:J$801,$W25)))</f>
        <v/>
      </c>
      <c r="K25" s="7">
        <f>IF($W25="","",IF(INDEX('Per Invoice'!K$2:K$801,$W25)="","",INDEX('Per Invoice'!K$2:K$801,$W25)))</f>
        <v/>
      </c>
      <c r="L25" s="14">
        <f>IF($W25="","",IF(INDEX('Per Invoice'!L$2:L$801,$W25)="","",INDEX('Per Invoice'!L$2:L$801,$W25)))</f>
        <v/>
      </c>
      <c r="M25">
        <f>IF($W25="","",IF(INDEX('Per Invoice'!M$2:M$801,$W25)="","",INDEX('Per Invoice'!M$2:M$801,$W25)))</f>
        <v/>
      </c>
      <c r="N25" s="7">
        <f>IF($W25="","",IF(INDEX('Per Invoice'!N$2:N$801,$W25)="","",INDEX('Per Invoice'!N$2:N$801,$W25)))</f>
        <v/>
      </c>
      <c r="O25" s="7">
        <f>IF($W25="","",IF(INDEX('Per Invoice'!O$2:O$801,$W25)="","",INDEX('Per Invoice'!O$2:O$801,$W25)))</f>
        <v/>
      </c>
      <c r="P25">
        <f>IF($W25="","",IF(INDEX('Per Invoice'!P$2:P$801,$W25)="","",INDEX('Per Invoice'!P$2:P$801,$W25)))</f>
        <v/>
      </c>
      <c r="Q25" s="7">
        <f>IF($W25="","",IF(INDEX('Per Invoice'!Q$2:Q$801,$W25)="","",INDEX('Per Invoice'!Q$2:Q$801,$W25)))</f>
        <v/>
      </c>
      <c r="R25" s="7">
        <f>IF($W25="","",IF(INDEX('Per Invoice'!R$2:R$801,$W25)="","",INDEX('Per Invoice'!R$2:R$801,$W25)))</f>
        <v/>
      </c>
      <c r="S25" s="7">
        <f>IF($W25="","",IF(INDEX('Per Invoice'!S$2:S$801,$W25)="","",INDEX('Per Invoice'!S$2:S$801,$W25)))</f>
        <v/>
      </c>
      <c r="T25" s="7">
        <f>IF($W25="","",IF(INDEX('Per Invoice'!T$2:T$801,$W25)="","",INDEX('Per Invoice'!T$2:T$801,$W25)))</f>
        <v/>
      </c>
      <c r="U25" s="7">
        <f>IF($W25="","",IF(INDEX('Per Invoice'!U$2:U$801,$W25)="","",INDEX('Per Invoice'!U$2:U$801,$W25)))</f>
        <v/>
      </c>
      <c r="V25" s="7">
        <f>IF($W25="","",IF(INDEX('Per Invoice'!V$2:V$801,$W25)="","",INDEX('Per Invoice'!V$2:V$801,$W25)))</f>
        <v/>
      </c>
      <c r="W25" s="16">
        <f>IFERROR(MATCH(Settings!$C$30&amp;"|"&amp;ROWS($W$2:$W25),'Per Invoice'!$X$2:$X$801,0),"")</f>
        <v/>
      </c>
    </row>
    <row r="26">
      <c r="A26">
        <f>IF($W26="","",IF(INDEX('Per Invoice'!A$2:A$801,$W26)="","",INDEX('Per Invoice'!A$2:A$801,$W26)))</f>
        <v/>
      </c>
      <c r="B26">
        <f>IF($W26="","",IF(INDEX('Per Invoice'!B$2:B$801,$W26)="","",INDEX('Per Invoice'!B$2:B$801,$W26)))</f>
        <v/>
      </c>
      <c r="C26">
        <f>IF($W26="","",IF(INDEX('Per Invoice'!C$2:C$801,$W26)="","",INDEX('Per Invoice'!C$2:C$801,$W26)))</f>
        <v/>
      </c>
      <c r="D26">
        <f>IF($W26="","",IF(INDEX('Per Invoice'!D$2:D$801,$W26)="","",INDEX('Per Invoice'!D$2:D$801,$W26)))</f>
        <v/>
      </c>
      <c r="E26">
        <f>IF($W26="","",IF(INDEX('Per Invoice'!E$2:E$801,$W26)="","",INDEX('Per Invoice'!E$2:E$801,$W26)))</f>
        <v/>
      </c>
      <c r="F26">
        <f>IF($W26="","",IF(INDEX('Per Invoice'!F$2:F$801,$W26)="","",INDEX('Per Invoice'!F$2:F$801,$W26)))</f>
        <v/>
      </c>
      <c r="G26">
        <f>IF($W26="","",IF(INDEX('Per Invoice'!G$2:G$801,$W26)="","",INDEX('Per Invoice'!G$2:G$801,$W26)))</f>
        <v/>
      </c>
      <c r="H26">
        <f>IF($W26="","",IF(INDEX('Per Invoice'!H$2:H$801,$W26)="","",INDEX('Per Invoice'!H$2:H$801,$W26)))</f>
        <v/>
      </c>
      <c r="I26">
        <f>IF($W26="","",IF(INDEX('Per Invoice'!I$2:I$801,$W26)="","",INDEX('Per Invoice'!I$2:I$801,$W26)))</f>
        <v/>
      </c>
      <c r="J26">
        <f>IF($W26="","",IF(INDEX('Per Invoice'!J$2:J$801,$W26)="","",INDEX('Per Invoice'!J$2:J$801,$W26)))</f>
        <v/>
      </c>
      <c r="K26" s="7">
        <f>IF($W26="","",IF(INDEX('Per Invoice'!K$2:K$801,$W26)="","",INDEX('Per Invoice'!K$2:K$801,$W26)))</f>
        <v/>
      </c>
      <c r="L26" s="14">
        <f>IF($W26="","",IF(INDEX('Per Invoice'!L$2:L$801,$W26)="","",INDEX('Per Invoice'!L$2:L$801,$W26)))</f>
        <v/>
      </c>
      <c r="M26">
        <f>IF($W26="","",IF(INDEX('Per Invoice'!M$2:M$801,$W26)="","",INDEX('Per Invoice'!M$2:M$801,$W26)))</f>
        <v/>
      </c>
      <c r="N26" s="7">
        <f>IF($W26="","",IF(INDEX('Per Invoice'!N$2:N$801,$W26)="","",INDEX('Per Invoice'!N$2:N$801,$W26)))</f>
        <v/>
      </c>
      <c r="O26" s="7">
        <f>IF($W26="","",IF(INDEX('Per Invoice'!O$2:O$801,$W26)="","",INDEX('Per Invoice'!O$2:O$801,$W26)))</f>
        <v/>
      </c>
      <c r="P26">
        <f>IF($W26="","",IF(INDEX('Per Invoice'!P$2:P$801,$W26)="","",INDEX('Per Invoice'!P$2:P$801,$W26)))</f>
        <v/>
      </c>
      <c r="Q26" s="7">
        <f>IF($W26="","",IF(INDEX('Per Invoice'!Q$2:Q$801,$W26)="","",INDEX('Per Invoice'!Q$2:Q$801,$W26)))</f>
        <v/>
      </c>
      <c r="R26" s="7">
        <f>IF($W26="","",IF(INDEX('Per Invoice'!R$2:R$801,$W26)="","",INDEX('Per Invoice'!R$2:R$801,$W26)))</f>
        <v/>
      </c>
      <c r="S26" s="7">
        <f>IF($W26="","",IF(INDEX('Per Invoice'!S$2:S$801,$W26)="","",INDEX('Per Invoice'!S$2:S$801,$W26)))</f>
        <v/>
      </c>
      <c r="T26" s="7">
        <f>IF($W26="","",IF(INDEX('Per Invoice'!T$2:T$801,$W26)="","",INDEX('Per Invoice'!T$2:T$801,$W26)))</f>
        <v/>
      </c>
      <c r="U26" s="7">
        <f>IF($W26="","",IF(INDEX('Per Invoice'!U$2:U$801,$W26)="","",INDEX('Per Invoice'!U$2:U$801,$W26)))</f>
        <v/>
      </c>
      <c r="V26" s="7">
        <f>IF($W26="","",IF(INDEX('Per Invoice'!V$2:V$801,$W26)="","",INDEX('Per Invoice'!V$2:V$801,$W26)))</f>
        <v/>
      </c>
      <c r="W26" s="16">
        <f>IFERROR(MATCH(Settings!$C$30&amp;"|"&amp;ROWS($W$2:$W26),'Per Invoice'!$X$2:$X$801,0),"")</f>
        <v/>
      </c>
    </row>
    <row r="27">
      <c r="A27">
        <f>IF($W27="","",IF(INDEX('Per Invoice'!A$2:A$801,$W27)="","",INDEX('Per Invoice'!A$2:A$801,$W27)))</f>
        <v/>
      </c>
      <c r="B27">
        <f>IF($W27="","",IF(INDEX('Per Invoice'!B$2:B$801,$W27)="","",INDEX('Per Invoice'!B$2:B$801,$W27)))</f>
        <v/>
      </c>
      <c r="C27">
        <f>IF($W27="","",IF(INDEX('Per Invoice'!C$2:C$801,$W27)="","",INDEX('Per Invoice'!C$2:C$801,$W27)))</f>
        <v/>
      </c>
      <c r="D27">
        <f>IF($W27="","",IF(INDEX('Per Invoice'!D$2:D$801,$W27)="","",INDEX('Per Invoice'!D$2:D$801,$W27)))</f>
        <v/>
      </c>
      <c r="E27">
        <f>IF($W27="","",IF(INDEX('Per Invoice'!E$2:E$801,$W27)="","",INDEX('Per Invoice'!E$2:E$801,$W27)))</f>
        <v/>
      </c>
      <c r="F27">
        <f>IF($W27="","",IF(INDEX('Per Invoice'!F$2:F$801,$W27)="","",INDEX('Per Invoice'!F$2:F$801,$W27)))</f>
        <v/>
      </c>
      <c r="G27">
        <f>IF($W27="","",IF(INDEX('Per Invoice'!G$2:G$801,$W27)="","",INDEX('Per Invoice'!G$2:G$801,$W27)))</f>
        <v/>
      </c>
      <c r="H27">
        <f>IF($W27="","",IF(INDEX('Per Invoice'!H$2:H$801,$W27)="","",INDEX('Per Invoice'!H$2:H$801,$W27)))</f>
        <v/>
      </c>
      <c r="I27">
        <f>IF($W27="","",IF(INDEX('Per Invoice'!I$2:I$801,$W27)="","",INDEX('Per Invoice'!I$2:I$801,$W27)))</f>
        <v/>
      </c>
      <c r="J27">
        <f>IF($W27="","",IF(INDEX('Per Invoice'!J$2:J$801,$W27)="","",INDEX('Per Invoice'!J$2:J$801,$W27)))</f>
        <v/>
      </c>
      <c r="K27" s="7">
        <f>IF($W27="","",IF(INDEX('Per Invoice'!K$2:K$801,$W27)="","",INDEX('Per Invoice'!K$2:K$801,$W27)))</f>
        <v/>
      </c>
      <c r="L27" s="14">
        <f>IF($W27="","",IF(INDEX('Per Invoice'!L$2:L$801,$W27)="","",INDEX('Per Invoice'!L$2:L$801,$W27)))</f>
        <v/>
      </c>
      <c r="M27">
        <f>IF($W27="","",IF(INDEX('Per Invoice'!M$2:M$801,$W27)="","",INDEX('Per Invoice'!M$2:M$801,$W27)))</f>
        <v/>
      </c>
      <c r="N27" s="7">
        <f>IF($W27="","",IF(INDEX('Per Invoice'!N$2:N$801,$W27)="","",INDEX('Per Invoice'!N$2:N$801,$W27)))</f>
        <v/>
      </c>
      <c r="O27" s="7">
        <f>IF($W27="","",IF(INDEX('Per Invoice'!O$2:O$801,$W27)="","",INDEX('Per Invoice'!O$2:O$801,$W27)))</f>
        <v/>
      </c>
      <c r="P27">
        <f>IF($W27="","",IF(INDEX('Per Invoice'!P$2:P$801,$W27)="","",INDEX('Per Invoice'!P$2:P$801,$W27)))</f>
        <v/>
      </c>
      <c r="Q27" s="7">
        <f>IF($W27="","",IF(INDEX('Per Invoice'!Q$2:Q$801,$W27)="","",INDEX('Per Invoice'!Q$2:Q$801,$W27)))</f>
        <v/>
      </c>
      <c r="R27" s="7">
        <f>IF($W27="","",IF(INDEX('Per Invoice'!R$2:R$801,$W27)="","",INDEX('Per Invoice'!R$2:R$801,$W27)))</f>
        <v/>
      </c>
      <c r="S27" s="7">
        <f>IF($W27="","",IF(INDEX('Per Invoice'!S$2:S$801,$W27)="","",INDEX('Per Invoice'!S$2:S$801,$W27)))</f>
        <v/>
      </c>
      <c r="T27" s="7">
        <f>IF($W27="","",IF(INDEX('Per Invoice'!T$2:T$801,$W27)="","",INDEX('Per Invoice'!T$2:T$801,$W27)))</f>
        <v/>
      </c>
      <c r="U27" s="7">
        <f>IF($W27="","",IF(INDEX('Per Invoice'!U$2:U$801,$W27)="","",INDEX('Per Invoice'!U$2:U$801,$W27)))</f>
        <v/>
      </c>
      <c r="V27" s="7">
        <f>IF($W27="","",IF(INDEX('Per Invoice'!V$2:V$801,$W27)="","",INDEX('Per Invoice'!V$2:V$801,$W27)))</f>
        <v/>
      </c>
      <c r="W27" s="16">
        <f>IFERROR(MATCH(Settings!$C$30&amp;"|"&amp;ROWS($W$2:$W27),'Per Invoice'!$X$2:$X$801,0),"")</f>
        <v/>
      </c>
    </row>
    <row r="28">
      <c r="A28">
        <f>IF($W28="","",IF(INDEX('Per Invoice'!A$2:A$801,$W28)="","",INDEX('Per Invoice'!A$2:A$801,$W28)))</f>
        <v/>
      </c>
      <c r="B28">
        <f>IF($W28="","",IF(INDEX('Per Invoice'!B$2:B$801,$W28)="","",INDEX('Per Invoice'!B$2:B$801,$W28)))</f>
        <v/>
      </c>
      <c r="C28">
        <f>IF($W28="","",IF(INDEX('Per Invoice'!C$2:C$801,$W28)="","",INDEX('Per Invoice'!C$2:C$801,$W28)))</f>
        <v/>
      </c>
      <c r="D28">
        <f>IF($W28="","",IF(INDEX('Per Invoice'!D$2:D$801,$W28)="","",INDEX('Per Invoice'!D$2:D$801,$W28)))</f>
        <v/>
      </c>
      <c r="E28">
        <f>IF($W28="","",IF(INDEX('Per Invoice'!E$2:E$801,$W28)="","",INDEX('Per Invoice'!E$2:E$801,$W28)))</f>
        <v/>
      </c>
      <c r="F28">
        <f>IF($W28="","",IF(INDEX('Per Invoice'!F$2:F$801,$W28)="","",INDEX('Per Invoice'!F$2:F$801,$W28)))</f>
        <v/>
      </c>
      <c r="G28">
        <f>IF($W28="","",IF(INDEX('Per Invoice'!G$2:G$801,$W28)="","",INDEX('Per Invoice'!G$2:G$801,$W28)))</f>
        <v/>
      </c>
      <c r="H28">
        <f>IF($W28="","",IF(INDEX('Per Invoice'!H$2:H$801,$W28)="","",INDEX('Per Invoice'!H$2:H$801,$W28)))</f>
        <v/>
      </c>
      <c r="I28">
        <f>IF($W28="","",IF(INDEX('Per Invoice'!I$2:I$801,$W28)="","",INDEX('Per Invoice'!I$2:I$801,$W28)))</f>
        <v/>
      </c>
      <c r="J28">
        <f>IF($W28="","",IF(INDEX('Per Invoice'!J$2:J$801,$W28)="","",INDEX('Per Invoice'!J$2:J$801,$W28)))</f>
        <v/>
      </c>
      <c r="K28" s="7">
        <f>IF($W28="","",IF(INDEX('Per Invoice'!K$2:K$801,$W28)="","",INDEX('Per Invoice'!K$2:K$801,$W28)))</f>
        <v/>
      </c>
      <c r="L28" s="14">
        <f>IF($W28="","",IF(INDEX('Per Invoice'!L$2:L$801,$W28)="","",INDEX('Per Invoice'!L$2:L$801,$W28)))</f>
        <v/>
      </c>
      <c r="M28">
        <f>IF($W28="","",IF(INDEX('Per Invoice'!M$2:M$801,$W28)="","",INDEX('Per Invoice'!M$2:M$801,$W28)))</f>
        <v/>
      </c>
      <c r="N28" s="7">
        <f>IF($W28="","",IF(INDEX('Per Invoice'!N$2:N$801,$W28)="","",INDEX('Per Invoice'!N$2:N$801,$W28)))</f>
        <v/>
      </c>
      <c r="O28" s="7">
        <f>IF($W28="","",IF(INDEX('Per Invoice'!O$2:O$801,$W28)="","",INDEX('Per Invoice'!O$2:O$801,$W28)))</f>
        <v/>
      </c>
      <c r="P28">
        <f>IF($W28="","",IF(INDEX('Per Invoice'!P$2:P$801,$W28)="","",INDEX('Per Invoice'!P$2:P$801,$W28)))</f>
        <v/>
      </c>
      <c r="Q28" s="7">
        <f>IF($W28="","",IF(INDEX('Per Invoice'!Q$2:Q$801,$W28)="","",INDEX('Per Invoice'!Q$2:Q$801,$W28)))</f>
        <v/>
      </c>
      <c r="R28" s="7">
        <f>IF($W28="","",IF(INDEX('Per Invoice'!R$2:R$801,$W28)="","",INDEX('Per Invoice'!R$2:R$801,$W28)))</f>
        <v/>
      </c>
      <c r="S28" s="7">
        <f>IF($W28="","",IF(INDEX('Per Invoice'!S$2:S$801,$W28)="","",INDEX('Per Invoice'!S$2:S$801,$W28)))</f>
        <v/>
      </c>
      <c r="T28" s="7">
        <f>IF($W28="","",IF(INDEX('Per Invoice'!T$2:T$801,$W28)="","",INDEX('Per Invoice'!T$2:T$801,$W28)))</f>
        <v/>
      </c>
      <c r="U28" s="7">
        <f>IF($W28="","",IF(INDEX('Per Invoice'!U$2:U$801,$W28)="","",INDEX('Per Invoice'!U$2:U$801,$W28)))</f>
        <v/>
      </c>
      <c r="V28" s="7">
        <f>IF($W28="","",IF(INDEX('Per Invoice'!V$2:V$801,$W28)="","",INDEX('Per Invoice'!V$2:V$801,$W28)))</f>
        <v/>
      </c>
      <c r="W28" s="16">
        <f>IFERROR(MATCH(Settings!$C$30&amp;"|"&amp;ROWS($W$2:$W28),'Per Invoice'!$X$2:$X$801,0),"")</f>
        <v/>
      </c>
    </row>
    <row r="29">
      <c r="A29">
        <f>IF($W29="","",IF(INDEX('Per Invoice'!A$2:A$801,$W29)="","",INDEX('Per Invoice'!A$2:A$801,$W29)))</f>
        <v/>
      </c>
      <c r="B29">
        <f>IF($W29="","",IF(INDEX('Per Invoice'!B$2:B$801,$W29)="","",INDEX('Per Invoice'!B$2:B$801,$W29)))</f>
        <v/>
      </c>
      <c r="C29">
        <f>IF($W29="","",IF(INDEX('Per Invoice'!C$2:C$801,$W29)="","",INDEX('Per Invoice'!C$2:C$801,$W29)))</f>
        <v/>
      </c>
      <c r="D29">
        <f>IF($W29="","",IF(INDEX('Per Invoice'!D$2:D$801,$W29)="","",INDEX('Per Invoice'!D$2:D$801,$W29)))</f>
        <v/>
      </c>
      <c r="E29">
        <f>IF($W29="","",IF(INDEX('Per Invoice'!E$2:E$801,$W29)="","",INDEX('Per Invoice'!E$2:E$801,$W29)))</f>
        <v/>
      </c>
      <c r="F29">
        <f>IF($W29="","",IF(INDEX('Per Invoice'!F$2:F$801,$W29)="","",INDEX('Per Invoice'!F$2:F$801,$W29)))</f>
        <v/>
      </c>
      <c r="G29">
        <f>IF($W29="","",IF(INDEX('Per Invoice'!G$2:G$801,$W29)="","",INDEX('Per Invoice'!G$2:G$801,$W29)))</f>
        <v/>
      </c>
      <c r="H29">
        <f>IF($W29="","",IF(INDEX('Per Invoice'!H$2:H$801,$W29)="","",INDEX('Per Invoice'!H$2:H$801,$W29)))</f>
        <v/>
      </c>
      <c r="I29">
        <f>IF($W29="","",IF(INDEX('Per Invoice'!I$2:I$801,$W29)="","",INDEX('Per Invoice'!I$2:I$801,$W29)))</f>
        <v/>
      </c>
      <c r="J29">
        <f>IF($W29="","",IF(INDEX('Per Invoice'!J$2:J$801,$W29)="","",INDEX('Per Invoice'!J$2:J$801,$W29)))</f>
        <v/>
      </c>
      <c r="K29" s="7">
        <f>IF($W29="","",IF(INDEX('Per Invoice'!K$2:K$801,$W29)="","",INDEX('Per Invoice'!K$2:K$801,$W29)))</f>
        <v/>
      </c>
      <c r="L29" s="14">
        <f>IF($W29="","",IF(INDEX('Per Invoice'!L$2:L$801,$W29)="","",INDEX('Per Invoice'!L$2:L$801,$W29)))</f>
        <v/>
      </c>
      <c r="M29">
        <f>IF($W29="","",IF(INDEX('Per Invoice'!M$2:M$801,$W29)="","",INDEX('Per Invoice'!M$2:M$801,$W29)))</f>
        <v/>
      </c>
      <c r="N29" s="7">
        <f>IF($W29="","",IF(INDEX('Per Invoice'!N$2:N$801,$W29)="","",INDEX('Per Invoice'!N$2:N$801,$W29)))</f>
        <v/>
      </c>
      <c r="O29" s="7">
        <f>IF($W29="","",IF(INDEX('Per Invoice'!O$2:O$801,$W29)="","",INDEX('Per Invoice'!O$2:O$801,$W29)))</f>
        <v/>
      </c>
      <c r="P29">
        <f>IF($W29="","",IF(INDEX('Per Invoice'!P$2:P$801,$W29)="","",INDEX('Per Invoice'!P$2:P$801,$W29)))</f>
        <v/>
      </c>
      <c r="Q29" s="7">
        <f>IF($W29="","",IF(INDEX('Per Invoice'!Q$2:Q$801,$W29)="","",INDEX('Per Invoice'!Q$2:Q$801,$W29)))</f>
        <v/>
      </c>
      <c r="R29" s="7">
        <f>IF($W29="","",IF(INDEX('Per Invoice'!R$2:R$801,$W29)="","",INDEX('Per Invoice'!R$2:R$801,$W29)))</f>
        <v/>
      </c>
      <c r="S29" s="7">
        <f>IF($W29="","",IF(INDEX('Per Invoice'!S$2:S$801,$W29)="","",INDEX('Per Invoice'!S$2:S$801,$W29)))</f>
        <v/>
      </c>
      <c r="T29" s="7">
        <f>IF($W29="","",IF(INDEX('Per Invoice'!T$2:T$801,$W29)="","",INDEX('Per Invoice'!T$2:T$801,$W29)))</f>
        <v/>
      </c>
      <c r="U29" s="7">
        <f>IF($W29="","",IF(INDEX('Per Invoice'!U$2:U$801,$W29)="","",INDEX('Per Invoice'!U$2:U$801,$W29)))</f>
        <v/>
      </c>
      <c r="V29" s="7">
        <f>IF($W29="","",IF(INDEX('Per Invoice'!V$2:V$801,$W29)="","",INDEX('Per Invoice'!V$2:V$801,$W29)))</f>
        <v/>
      </c>
      <c r="W29" s="16">
        <f>IFERROR(MATCH(Settings!$C$30&amp;"|"&amp;ROWS($W$2:$W29),'Per Invoice'!$X$2:$X$801,0),"")</f>
        <v/>
      </c>
    </row>
    <row r="30">
      <c r="A30">
        <f>IF($W30="","",IF(INDEX('Per Invoice'!A$2:A$801,$W30)="","",INDEX('Per Invoice'!A$2:A$801,$W30)))</f>
        <v/>
      </c>
      <c r="B30">
        <f>IF($W30="","",IF(INDEX('Per Invoice'!B$2:B$801,$W30)="","",INDEX('Per Invoice'!B$2:B$801,$W30)))</f>
        <v/>
      </c>
      <c r="C30">
        <f>IF($W30="","",IF(INDEX('Per Invoice'!C$2:C$801,$W30)="","",INDEX('Per Invoice'!C$2:C$801,$W30)))</f>
        <v/>
      </c>
      <c r="D30">
        <f>IF($W30="","",IF(INDEX('Per Invoice'!D$2:D$801,$W30)="","",INDEX('Per Invoice'!D$2:D$801,$W30)))</f>
        <v/>
      </c>
      <c r="E30">
        <f>IF($W30="","",IF(INDEX('Per Invoice'!E$2:E$801,$W30)="","",INDEX('Per Invoice'!E$2:E$801,$W30)))</f>
        <v/>
      </c>
      <c r="F30">
        <f>IF($W30="","",IF(INDEX('Per Invoice'!F$2:F$801,$W30)="","",INDEX('Per Invoice'!F$2:F$801,$W30)))</f>
        <v/>
      </c>
      <c r="G30">
        <f>IF($W30="","",IF(INDEX('Per Invoice'!G$2:G$801,$W30)="","",INDEX('Per Invoice'!G$2:G$801,$W30)))</f>
        <v/>
      </c>
      <c r="H30">
        <f>IF($W30="","",IF(INDEX('Per Invoice'!H$2:H$801,$W30)="","",INDEX('Per Invoice'!H$2:H$801,$W30)))</f>
        <v/>
      </c>
      <c r="I30">
        <f>IF($W30="","",IF(INDEX('Per Invoice'!I$2:I$801,$W30)="","",INDEX('Per Invoice'!I$2:I$801,$W30)))</f>
        <v/>
      </c>
      <c r="J30">
        <f>IF($W30="","",IF(INDEX('Per Invoice'!J$2:J$801,$W30)="","",INDEX('Per Invoice'!J$2:J$801,$W30)))</f>
        <v/>
      </c>
      <c r="K30" s="7">
        <f>IF($W30="","",IF(INDEX('Per Invoice'!K$2:K$801,$W30)="","",INDEX('Per Invoice'!K$2:K$801,$W30)))</f>
        <v/>
      </c>
      <c r="L30" s="14">
        <f>IF($W30="","",IF(INDEX('Per Invoice'!L$2:L$801,$W30)="","",INDEX('Per Invoice'!L$2:L$801,$W30)))</f>
        <v/>
      </c>
      <c r="M30">
        <f>IF($W30="","",IF(INDEX('Per Invoice'!M$2:M$801,$W30)="","",INDEX('Per Invoice'!M$2:M$801,$W30)))</f>
        <v/>
      </c>
      <c r="N30" s="7">
        <f>IF($W30="","",IF(INDEX('Per Invoice'!N$2:N$801,$W30)="","",INDEX('Per Invoice'!N$2:N$801,$W30)))</f>
        <v/>
      </c>
      <c r="O30" s="7">
        <f>IF($W30="","",IF(INDEX('Per Invoice'!O$2:O$801,$W30)="","",INDEX('Per Invoice'!O$2:O$801,$W30)))</f>
        <v/>
      </c>
      <c r="P30">
        <f>IF($W30="","",IF(INDEX('Per Invoice'!P$2:P$801,$W30)="","",INDEX('Per Invoice'!P$2:P$801,$W30)))</f>
        <v/>
      </c>
      <c r="Q30" s="7">
        <f>IF($W30="","",IF(INDEX('Per Invoice'!Q$2:Q$801,$W30)="","",INDEX('Per Invoice'!Q$2:Q$801,$W30)))</f>
        <v/>
      </c>
      <c r="R30" s="7">
        <f>IF($W30="","",IF(INDEX('Per Invoice'!R$2:R$801,$W30)="","",INDEX('Per Invoice'!R$2:R$801,$W30)))</f>
        <v/>
      </c>
      <c r="S30" s="7">
        <f>IF($W30="","",IF(INDEX('Per Invoice'!S$2:S$801,$W30)="","",INDEX('Per Invoice'!S$2:S$801,$W30)))</f>
        <v/>
      </c>
      <c r="T30" s="7">
        <f>IF($W30="","",IF(INDEX('Per Invoice'!T$2:T$801,$W30)="","",INDEX('Per Invoice'!T$2:T$801,$W30)))</f>
        <v/>
      </c>
      <c r="U30" s="7">
        <f>IF($W30="","",IF(INDEX('Per Invoice'!U$2:U$801,$W30)="","",INDEX('Per Invoice'!U$2:U$801,$W30)))</f>
        <v/>
      </c>
      <c r="V30" s="7">
        <f>IF($W30="","",IF(INDEX('Per Invoice'!V$2:V$801,$W30)="","",INDEX('Per Invoice'!V$2:V$801,$W30)))</f>
        <v/>
      </c>
      <c r="W30" s="16">
        <f>IFERROR(MATCH(Settings!$C$30&amp;"|"&amp;ROWS($W$2:$W30),'Per Invoice'!$X$2:$X$801,0),"")</f>
        <v/>
      </c>
    </row>
    <row r="31">
      <c r="A31">
        <f>IF($W31="","",IF(INDEX('Per Invoice'!A$2:A$801,$W31)="","",INDEX('Per Invoice'!A$2:A$801,$W31)))</f>
        <v/>
      </c>
      <c r="B31">
        <f>IF($W31="","",IF(INDEX('Per Invoice'!B$2:B$801,$W31)="","",INDEX('Per Invoice'!B$2:B$801,$W31)))</f>
        <v/>
      </c>
      <c r="C31">
        <f>IF($W31="","",IF(INDEX('Per Invoice'!C$2:C$801,$W31)="","",INDEX('Per Invoice'!C$2:C$801,$W31)))</f>
        <v/>
      </c>
      <c r="D31">
        <f>IF($W31="","",IF(INDEX('Per Invoice'!D$2:D$801,$W31)="","",INDEX('Per Invoice'!D$2:D$801,$W31)))</f>
        <v/>
      </c>
      <c r="E31">
        <f>IF($W31="","",IF(INDEX('Per Invoice'!E$2:E$801,$W31)="","",INDEX('Per Invoice'!E$2:E$801,$W31)))</f>
        <v/>
      </c>
      <c r="F31">
        <f>IF($W31="","",IF(INDEX('Per Invoice'!F$2:F$801,$W31)="","",INDEX('Per Invoice'!F$2:F$801,$W31)))</f>
        <v/>
      </c>
      <c r="G31">
        <f>IF($W31="","",IF(INDEX('Per Invoice'!G$2:G$801,$W31)="","",INDEX('Per Invoice'!G$2:G$801,$W31)))</f>
        <v/>
      </c>
      <c r="H31">
        <f>IF($W31="","",IF(INDEX('Per Invoice'!H$2:H$801,$W31)="","",INDEX('Per Invoice'!H$2:H$801,$W31)))</f>
        <v/>
      </c>
      <c r="I31">
        <f>IF($W31="","",IF(INDEX('Per Invoice'!I$2:I$801,$W31)="","",INDEX('Per Invoice'!I$2:I$801,$W31)))</f>
        <v/>
      </c>
      <c r="J31">
        <f>IF($W31="","",IF(INDEX('Per Invoice'!J$2:J$801,$W31)="","",INDEX('Per Invoice'!J$2:J$801,$W31)))</f>
        <v/>
      </c>
      <c r="K31" s="7">
        <f>IF($W31="","",IF(INDEX('Per Invoice'!K$2:K$801,$W31)="","",INDEX('Per Invoice'!K$2:K$801,$W31)))</f>
        <v/>
      </c>
      <c r="L31" s="14">
        <f>IF($W31="","",IF(INDEX('Per Invoice'!L$2:L$801,$W31)="","",INDEX('Per Invoice'!L$2:L$801,$W31)))</f>
        <v/>
      </c>
      <c r="M31">
        <f>IF($W31="","",IF(INDEX('Per Invoice'!M$2:M$801,$W31)="","",INDEX('Per Invoice'!M$2:M$801,$W31)))</f>
        <v/>
      </c>
      <c r="N31" s="7">
        <f>IF($W31="","",IF(INDEX('Per Invoice'!N$2:N$801,$W31)="","",INDEX('Per Invoice'!N$2:N$801,$W31)))</f>
        <v/>
      </c>
      <c r="O31" s="7">
        <f>IF($W31="","",IF(INDEX('Per Invoice'!O$2:O$801,$W31)="","",INDEX('Per Invoice'!O$2:O$801,$W31)))</f>
        <v/>
      </c>
      <c r="P31">
        <f>IF($W31="","",IF(INDEX('Per Invoice'!P$2:P$801,$W31)="","",INDEX('Per Invoice'!P$2:P$801,$W31)))</f>
        <v/>
      </c>
      <c r="Q31" s="7">
        <f>IF($W31="","",IF(INDEX('Per Invoice'!Q$2:Q$801,$W31)="","",INDEX('Per Invoice'!Q$2:Q$801,$W31)))</f>
        <v/>
      </c>
      <c r="R31" s="7">
        <f>IF($W31="","",IF(INDEX('Per Invoice'!R$2:R$801,$W31)="","",INDEX('Per Invoice'!R$2:R$801,$W31)))</f>
        <v/>
      </c>
      <c r="S31" s="7">
        <f>IF($W31="","",IF(INDEX('Per Invoice'!S$2:S$801,$W31)="","",INDEX('Per Invoice'!S$2:S$801,$W31)))</f>
        <v/>
      </c>
      <c r="T31" s="7">
        <f>IF($W31="","",IF(INDEX('Per Invoice'!T$2:T$801,$W31)="","",INDEX('Per Invoice'!T$2:T$801,$W31)))</f>
        <v/>
      </c>
      <c r="U31" s="7">
        <f>IF($W31="","",IF(INDEX('Per Invoice'!U$2:U$801,$W31)="","",INDEX('Per Invoice'!U$2:U$801,$W31)))</f>
        <v/>
      </c>
      <c r="V31" s="7">
        <f>IF($W31="","",IF(INDEX('Per Invoice'!V$2:V$801,$W31)="","",INDEX('Per Invoice'!V$2:V$801,$W31)))</f>
        <v/>
      </c>
      <c r="W31" s="16">
        <f>IFERROR(MATCH(Settings!$C$30&amp;"|"&amp;ROWS($W$2:$W31),'Per Invoice'!$X$2:$X$801,0),"")</f>
        <v/>
      </c>
    </row>
    <row r="32">
      <c r="A32">
        <f>IF($W32="","",IF(INDEX('Per Invoice'!A$2:A$801,$W32)="","",INDEX('Per Invoice'!A$2:A$801,$W32)))</f>
        <v/>
      </c>
      <c r="B32">
        <f>IF($W32="","",IF(INDEX('Per Invoice'!B$2:B$801,$W32)="","",INDEX('Per Invoice'!B$2:B$801,$W32)))</f>
        <v/>
      </c>
      <c r="C32">
        <f>IF($W32="","",IF(INDEX('Per Invoice'!C$2:C$801,$W32)="","",INDEX('Per Invoice'!C$2:C$801,$W32)))</f>
        <v/>
      </c>
      <c r="D32">
        <f>IF($W32="","",IF(INDEX('Per Invoice'!D$2:D$801,$W32)="","",INDEX('Per Invoice'!D$2:D$801,$W32)))</f>
        <v/>
      </c>
      <c r="E32">
        <f>IF($W32="","",IF(INDEX('Per Invoice'!E$2:E$801,$W32)="","",INDEX('Per Invoice'!E$2:E$801,$W32)))</f>
        <v/>
      </c>
      <c r="F32">
        <f>IF($W32="","",IF(INDEX('Per Invoice'!F$2:F$801,$W32)="","",INDEX('Per Invoice'!F$2:F$801,$W32)))</f>
        <v/>
      </c>
      <c r="G32">
        <f>IF($W32="","",IF(INDEX('Per Invoice'!G$2:G$801,$W32)="","",INDEX('Per Invoice'!G$2:G$801,$W32)))</f>
        <v/>
      </c>
      <c r="H32">
        <f>IF($W32="","",IF(INDEX('Per Invoice'!H$2:H$801,$W32)="","",INDEX('Per Invoice'!H$2:H$801,$W32)))</f>
        <v/>
      </c>
      <c r="I32">
        <f>IF($W32="","",IF(INDEX('Per Invoice'!I$2:I$801,$W32)="","",INDEX('Per Invoice'!I$2:I$801,$W32)))</f>
        <v/>
      </c>
      <c r="J32">
        <f>IF($W32="","",IF(INDEX('Per Invoice'!J$2:J$801,$W32)="","",INDEX('Per Invoice'!J$2:J$801,$W32)))</f>
        <v/>
      </c>
      <c r="K32" s="7">
        <f>IF($W32="","",IF(INDEX('Per Invoice'!K$2:K$801,$W32)="","",INDEX('Per Invoice'!K$2:K$801,$W32)))</f>
        <v/>
      </c>
      <c r="L32" s="14">
        <f>IF($W32="","",IF(INDEX('Per Invoice'!L$2:L$801,$W32)="","",INDEX('Per Invoice'!L$2:L$801,$W32)))</f>
        <v/>
      </c>
      <c r="M32">
        <f>IF($W32="","",IF(INDEX('Per Invoice'!M$2:M$801,$W32)="","",INDEX('Per Invoice'!M$2:M$801,$W32)))</f>
        <v/>
      </c>
      <c r="N32" s="7">
        <f>IF($W32="","",IF(INDEX('Per Invoice'!N$2:N$801,$W32)="","",INDEX('Per Invoice'!N$2:N$801,$W32)))</f>
        <v/>
      </c>
      <c r="O32" s="7">
        <f>IF($W32="","",IF(INDEX('Per Invoice'!O$2:O$801,$W32)="","",INDEX('Per Invoice'!O$2:O$801,$W32)))</f>
        <v/>
      </c>
      <c r="P32">
        <f>IF($W32="","",IF(INDEX('Per Invoice'!P$2:P$801,$W32)="","",INDEX('Per Invoice'!P$2:P$801,$W32)))</f>
        <v/>
      </c>
      <c r="Q32" s="7">
        <f>IF($W32="","",IF(INDEX('Per Invoice'!Q$2:Q$801,$W32)="","",INDEX('Per Invoice'!Q$2:Q$801,$W32)))</f>
        <v/>
      </c>
      <c r="R32" s="7">
        <f>IF($W32="","",IF(INDEX('Per Invoice'!R$2:R$801,$W32)="","",INDEX('Per Invoice'!R$2:R$801,$W32)))</f>
        <v/>
      </c>
      <c r="S32" s="7">
        <f>IF($W32="","",IF(INDEX('Per Invoice'!S$2:S$801,$W32)="","",INDEX('Per Invoice'!S$2:S$801,$W32)))</f>
        <v/>
      </c>
      <c r="T32" s="7">
        <f>IF($W32="","",IF(INDEX('Per Invoice'!T$2:T$801,$W32)="","",INDEX('Per Invoice'!T$2:T$801,$W32)))</f>
        <v/>
      </c>
      <c r="U32" s="7">
        <f>IF($W32="","",IF(INDEX('Per Invoice'!U$2:U$801,$W32)="","",INDEX('Per Invoice'!U$2:U$801,$W32)))</f>
        <v/>
      </c>
      <c r="V32" s="7">
        <f>IF($W32="","",IF(INDEX('Per Invoice'!V$2:V$801,$W32)="","",INDEX('Per Invoice'!V$2:V$801,$W32)))</f>
        <v/>
      </c>
      <c r="W32" s="16">
        <f>IFERROR(MATCH(Settings!$C$30&amp;"|"&amp;ROWS($W$2:$W32),'Per Invoice'!$X$2:$X$801,0),"")</f>
        <v/>
      </c>
    </row>
    <row r="33">
      <c r="A33">
        <f>IF($W33="","",IF(INDEX('Per Invoice'!A$2:A$801,$W33)="","",INDEX('Per Invoice'!A$2:A$801,$W33)))</f>
        <v/>
      </c>
      <c r="B33">
        <f>IF($W33="","",IF(INDEX('Per Invoice'!B$2:B$801,$W33)="","",INDEX('Per Invoice'!B$2:B$801,$W33)))</f>
        <v/>
      </c>
      <c r="C33">
        <f>IF($W33="","",IF(INDEX('Per Invoice'!C$2:C$801,$W33)="","",INDEX('Per Invoice'!C$2:C$801,$W33)))</f>
        <v/>
      </c>
      <c r="D33">
        <f>IF($W33="","",IF(INDEX('Per Invoice'!D$2:D$801,$W33)="","",INDEX('Per Invoice'!D$2:D$801,$W33)))</f>
        <v/>
      </c>
      <c r="E33">
        <f>IF($W33="","",IF(INDEX('Per Invoice'!E$2:E$801,$W33)="","",INDEX('Per Invoice'!E$2:E$801,$W33)))</f>
        <v/>
      </c>
      <c r="F33">
        <f>IF($W33="","",IF(INDEX('Per Invoice'!F$2:F$801,$W33)="","",INDEX('Per Invoice'!F$2:F$801,$W33)))</f>
        <v/>
      </c>
      <c r="G33">
        <f>IF($W33="","",IF(INDEX('Per Invoice'!G$2:G$801,$W33)="","",INDEX('Per Invoice'!G$2:G$801,$W33)))</f>
        <v/>
      </c>
      <c r="H33">
        <f>IF($W33="","",IF(INDEX('Per Invoice'!H$2:H$801,$W33)="","",INDEX('Per Invoice'!H$2:H$801,$W33)))</f>
        <v/>
      </c>
      <c r="I33">
        <f>IF($W33="","",IF(INDEX('Per Invoice'!I$2:I$801,$W33)="","",INDEX('Per Invoice'!I$2:I$801,$W33)))</f>
        <v/>
      </c>
      <c r="J33">
        <f>IF($W33="","",IF(INDEX('Per Invoice'!J$2:J$801,$W33)="","",INDEX('Per Invoice'!J$2:J$801,$W33)))</f>
        <v/>
      </c>
      <c r="K33" s="7">
        <f>IF($W33="","",IF(INDEX('Per Invoice'!K$2:K$801,$W33)="","",INDEX('Per Invoice'!K$2:K$801,$W33)))</f>
        <v/>
      </c>
      <c r="L33" s="14">
        <f>IF($W33="","",IF(INDEX('Per Invoice'!L$2:L$801,$W33)="","",INDEX('Per Invoice'!L$2:L$801,$W33)))</f>
        <v/>
      </c>
      <c r="M33">
        <f>IF($W33="","",IF(INDEX('Per Invoice'!M$2:M$801,$W33)="","",INDEX('Per Invoice'!M$2:M$801,$W33)))</f>
        <v/>
      </c>
      <c r="N33" s="7">
        <f>IF($W33="","",IF(INDEX('Per Invoice'!N$2:N$801,$W33)="","",INDEX('Per Invoice'!N$2:N$801,$W33)))</f>
        <v/>
      </c>
      <c r="O33" s="7">
        <f>IF($W33="","",IF(INDEX('Per Invoice'!O$2:O$801,$W33)="","",INDEX('Per Invoice'!O$2:O$801,$W33)))</f>
        <v/>
      </c>
      <c r="P33">
        <f>IF($W33="","",IF(INDEX('Per Invoice'!P$2:P$801,$W33)="","",INDEX('Per Invoice'!P$2:P$801,$W33)))</f>
        <v/>
      </c>
      <c r="Q33" s="7">
        <f>IF($W33="","",IF(INDEX('Per Invoice'!Q$2:Q$801,$W33)="","",INDEX('Per Invoice'!Q$2:Q$801,$W33)))</f>
        <v/>
      </c>
      <c r="R33" s="7">
        <f>IF($W33="","",IF(INDEX('Per Invoice'!R$2:R$801,$W33)="","",INDEX('Per Invoice'!R$2:R$801,$W33)))</f>
        <v/>
      </c>
      <c r="S33" s="7">
        <f>IF($W33="","",IF(INDEX('Per Invoice'!S$2:S$801,$W33)="","",INDEX('Per Invoice'!S$2:S$801,$W33)))</f>
        <v/>
      </c>
      <c r="T33" s="7">
        <f>IF($W33="","",IF(INDEX('Per Invoice'!T$2:T$801,$W33)="","",INDEX('Per Invoice'!T$2:T$801,$W33)))</f>
        <v/>
      </c>
      <c r="U33" s="7">
        <f>IF($W33="","",IF(INDEX('Per Invoice'!U$2:U$801,$W33)="","",INDEX('Per Invoice'!U$2:U$801,$W33)))</f>
        <v/>
      </c>
      <c r="V33" s="7">
        <f>IF($W33="","",IF(INDEX('Per Invoice'!V$2:V$801,$W33)="","",INDEX('Per Invoice'!V$2:V$801,$W33)))</f>
        <v/>
      </c>
      <c r="W33" s="16">
        <f>IFERROR(MATCH(Settings!$C$30&amp;"|"&amp;ROWS($W$2:$W33),'Per Invoice'!$X$2:$X$801,0),"")</f>
        <v/>
      </c>
    </row>
    <row r="34">
      <c r="A34">
        <f>IF($W34="","",IF(INDEX('Per Invoice'!A$2:A$801,$W34)="","",INDEX('Per Invoice'!A$2:A$801,$W34)))</f>
        <v/>
      </c>
      <c r="B34">
        <f>IF($W34="","",IF(INDEX('Per Invoice'!B$2:B$801,$W34)="","",INDEX('Per Invoice'!B$2:B$801,$W34)))</f>
        <v/>
      </c>
      <c r="C34">
        <f>IF($W34="","",IF(INDEX('Per Invoice'!C$2:C$801,$W34)="","",INDEX('Per Invoice'!C$2:C$801,$W34)))</f>
        <v/>
      </c>
      <c r="D34">
        <f>IF($W34="","",IF(INDEX('Per Invoice'!D$2:D$801,$W34)="","",INDEX('Per Invoice'!D$2:D$801,$W34)))</f>
        <v/>
      </c>
      <c r="E34">
        <f>IF($W34="","",IF(INDEX('Per Invoice'!E$2:E$801,$W34)="","",INDEX('Per Invoice'!E$2:E$801,$W34)))</f>
        <v/>
      </c>
      <c r="F34">
        <f>IF($W34="","",IF(INDEX('Per Invoice'!F$2:F$801,$W34)="","",INDEX('Per Invoice'!F$2:F$801,$W34)))</f>
        <v/>
      </c>
      <c r="G34">
        <f>IF($W34="","",IF(INDEX('Per Invoice'!G$2:G$801,$W34)="","",INDEX('Per Invoice'!G$2:G$801,$W34)))</f>
        <v/>
      </c>
      <c r="H34">
        <f>IF($W34="","",IF(INDEX('Per Invoice'!H$2:H$801,$W34)="","",INDEX('Per Invoice'!H$2:H$801,$W34)))</f>
        <v/>
      </c>
      <c r="I34">
        <f>IF($W34="","",IF(INDEX('Per Invoice'!I$2:I$801,$W34)="","",INDEX('Per Invoice'!I$2:I$801,$W34)))</f>
        <v/>
      </c>
      <c r="J34">
        <f>IF($W34="","",IF(INDEX('Per Invoice'!J$2:J$801,$W34)="","",INDEX('Per Invoice'!J$2:J$801,$W34)))</f>
        <v/>
      </c>
      <c r="K34" s="7">
        <f>IF($W34="","",IF(INDEX('Per Invoice'!K$2:K$801,$W34)="","",INDEX('Per Invoice'!K$2:K$801,$W34)))</f>
        <v/>
      </c>
      <c r="L34" s="14">
        <f>IF($W34="","",IF(INDEX('Per Invoice'!L$2:L$801,$W34)="","",INDEX('Per Invoice'!L$2:L$801,$W34)))</f>
        <v/>
      </c>
      <c r="M34">
        <f>IF($W34="","",IF(INDEX('Per Invoice'!M$2:M$801,$W34)="","",INDEX('Per Invoice'!M$2:M$801,$W34)))</f>
        <v/>
      </c>
      <c r="N34" s="7">
        <f>IF($W34="","",IF(INDEX('Per Invoice'!N$2:N$801,$W34)="","",INDEX('Per Invoice'!N$2:N$801,$W34)))</f>
        <v/>
      </c>
      <c r="O34" s="7">
        <f>IF($W34="","",IF(INDEX('Per Invoice'!O$2:O$801,$W34)="","",INDEX('Per Invoice'!O$2:O$801,$W34)))</f>
        <v/>
      </c>
      <c r="P34">
        <f>IF($W34="","",IF(INDEX('Per Invoice'!P$2:P$801,$W34)="","",INDEX('Per Invoice'!P$2:P$801,$W34)))</f>
        <v/>
      </c>
      <c r="Q34" s="7">
        <f>IF($W34="","",IF(INDEX('Per Invoice'!Q$2:Q$801,$W34)="","",INDEX('Per Invoice'!Q$2:Q$801,$W34)))</f>
        <v/>
      </c>
      <c r="R34" s="7">
        <f>IF($W34="","",IF(INDEX('Per Invoice'!R$2:R$801,$W34)="","",INDEX('Per Invoice'!R$2:R$801,$W34)))</f>
        <v/>
      </c>
      <c r="S34" s="7">
        <f>IF($W34="","",IF(INDEX('Per Invoice'!S$2:S$801,$W34)="","",INDEX('Per Invoice'!S$2:S$801,$W34)))</f>
        <v/>
      </c>
      <c r="T34" s="7">
        <f>IF($W34="","",IF(INDEX('Per Invoice'!T$2:T$801,$W34)="","",INDEX('Per Invoice'!T$2:T$801,$W34)))</f>
        <v/>
      </c>
      <c r="U34" s="7">
        <f>IF($W34="","",IF(INDEX('Per Invoice'!U$2:U$801,$W34)="","",INDEX('Per Invoice'!U$2:U$801,$W34)))</f>
        <v/>
      </c>
      <c r="V34" s="7">
        <f>IF($W34="","",IF(INDEX('Per Invoice'!V$2:V$801,$W34)="","",INDEX('Per Invoice'!V$2:V$801,$W34)))</f>
        <v/>
      </c>
      <c r="W34" s="16">
        <f>IFERROR(MATCH(Settings!$C$30&amp;"|"&amp;ROWS($W$2:$W34),'Per Invoice'!$X$2:$X$801,0),"")</f>
        <v/>
      </c>
    </row>
    <row r="35">
      <c r="A35">
        <f>IF($W35="","",IF(INDEX('Per Invoice'!A$2:A$801,$W35)="","",INDEX('Per Invoice'!A$2:A$801,$W35)))</f>
        <v/>
      </c>
      <c r="B35">
        <f>IF($W35="","",IF(INDEX('Per Invoice'!B$2:B$801,$W35)="","",INDEX('Per Invoice'!B$2:B$801,$W35)))</f>
        <v/>
      </c>
      <c r="C35">
        <f>IF($W35="","",IF(INDEX('Per Invoice'!C$2:C$801,$W35)="","",INDEX('Per Invoice'!C$2:C$801,$W35)))</f>
        <v/>
      </c>
      <c r="D35">
        <f>IF($W35="","",IF(INDEX('Per Invoice'!D$2:D$801,$W35)="","",INDEX('Per Invoice'!D$2:D$801,$W35)))</f>
        <v/>
      </c>
      <c r="E35">
        <f>IF($W35="","",IF(INDEX('Per Invoice'!E$2:E$801,$W35)="","",INDEX('Per Invoice'!E$2:E$801,$W35)))</f>
        <v/>
      </c>
      <c r="F35">
        <f>IF($W35="","",IF(INDEX('Per Invoice'!F$2:F$801,$W35)="","",INDEX('Per Invoice'!F$2:F$801,$W35)))</f>
        <v/>
      </c>
      <c r="G35">
        <f>IF($W35="","",IF(INDEX('Per Invoice'!G$2:G$801,$W35)="","",INDEX('Per Invoice'!G$2:G$801,$W35)))</f>
        <v/>
      </c>
      <c r="H35">
        <f>IF($W35="","",IF(INDEX('Per Invoice'!H$2:H$801,$W35)="","",INDEX('Per Invoice'!H$2:H$801,$W35)))</f>
        <v/>
      </c>
      <c r="I35">
        <f>IF($W35="","",IF(INDEX('Per Invoice'!I$2:I$801,$W35)="","",INDEX('Per Invoice'!I$2:I$801,$W35)))</f>
        <v/>
      </c>
      <c r="J35">
        <f>IF($W35="","",IF(INDEX('Per Invoice'!J$2:J$801,$W35)="","",INDEX('Per Invoice'!J$2:J$801,$W35)))</f>
        <v/>
      </c>
      <c r="K35" s="7">
        <f>IF($W35="","",IF(INDEX('Per Invoice'!K$2:K$801,$W35)="","",INDEX('Per Invoice'!K$2:K$801,$W35)))</f>
        <v/>
      </c>
      <c r="L35" s="14">
        <f>IF($W35="","",IF(INDEX('Per Invoice'!L$2:L$801,$W35)="","",INDEX('Per Invoice'!L$2:L$801,$W35)))</f>
        <v/>
      </c>
      <c r="M35">
        <f>IF($W35="","",IF(INDEX('Per Invoice'!M$2:M$801,$W35)="","",INDEX('Per Invoice'!M$2:M$801,$W35)))</f>
        <v/>
      </c>
      <c r="N35" s="7">
        <f>IF($W35="","",IF(INDEX('Per Invoice'!N$2:N$801,$W35)="","",INDEX('Per Invoice'!N$2:N$801,$W35)))</f>
        <v/>
      </c>
      <c r="O35" s="7">
        <f>IF($W35="","",IF(INDEX('Per Invoice'!O$2:O$801,$W35)="","",INDEX('Per Invoice'!O$2:O$801,$W35)))</f>
        <v/>
      </c>
      <c r="P35">
        <f>IF($W35="","",IF(INDEX('Per Invoice'!P$2:P$801,$W35)="","",INDEX('Per Invoice'!P$2:P$801,$W35)))</f>
        <v/>
      </c>
      <c r="Q35" s="7">
        <f>IF($W35="","",IF(INDEX('Per Invoice'!Q$2:Q$801,$W35)="","",INDEX('Per Invoice'!Q$2:Q$801,$W35)))</f>
        <v/>
      </c>
      <c r="R35" s="7">
        <f>IF($W35="","",IF(INDEX('Per Invoice'!R$2:R$801,$W35)="","",INDEX('Per Invoice'!R$2:R$801,$W35)))</f>
        <v/>
      </c>
      <c r="S35" s="7">
        <f>IF($W35="","",IF(INDEX('Per Invoice'!S$2:S$801,$W35)="","",INDEX('Per Invoice'!S$2:S$801,$W35)))</f>
        <v/>
      </c>
      <c r="T35" s="7">
        <f>IF($W35="","",IF(INDEX('Per Invoice'!T$2:T$801,$W35)="","",INDEX('Per Invoice'!T$2:T$801,$W35)))</f>
        <v/>
      </c>
      <c r="U35" s="7">
        <f>IF($W35="","",IF(INDEX('Per Invoice'!U$2:U$801,$W35)="","",INDEX('Per Invoice'!U$2:U$801,$W35)))</f>
        <v/>
      </c>
      <c r="V35" s="7">
        <f>IF($W35="","",IF(INDEX('Per Invoice'!V$2:V$801,$W35)="","",INDEX('Per Invoice'!V$2:V$801,$W35)))</f>
        <v/>
      </c>
      <c r="W35" s="16">
        <f>IFERROR(MATCH(Settings!$C$30&amp;"|"&amp;ROWS($W$2:$W35),'Per Invoice'!$X$2:$X$801,0),"")</f>
        <v/>
      </c>
    </row>
    <row r="36">
      <c r="A36">
        <f>IF($W36="","",IF(INDEX('Per Invoice'!A$2:A$801,$W36)="","",INDEX('Per Invoice'!A$2:A$801,$W36)))</f>
        <v/>
      </c>
      <c r="B36">
        <f>IF($W36="","",IF(INDEX('Per Invoice'!B$2:B$801,$W36)="","",INDEX('Per Invoice'!B$2:B$801,$W36)))</f>
        <v/>
      </c>
      <c r="C36">
        <f>IF($W36="","",IF(INDEX('Per Invoice'!C$2:C$801,$W36)="","",INDEX('Per Invoice'!C$2:C$801,$W36)))</f>
        <v/>
      </c>
      <c r="D36">
        <f>IF($W36="","",IF(INDEX('Per Invoice'!D$2:D$801,$W36)="","",INDEX('Per Invoice'!D$2:D$801,$W36)))</f>
        <v/>
      </c>
      <c r="E36">
        <f>IF($W36="","",IF(INDEX('Per Invoice'!E$2:E$801,$W36)="","",INDEX('Per Invoice'!E$2:E$801,$W36)))</f>
        <v/>
      </c>
      <c r="F36">
        <f>IF($W36="","",IF(INDEX('Per Invoice'!F$2:F$801,$W36)="","",INDEX('Per Invoice'!F$2:F$801,$W36)))</f>
        <v/>
      </c>
      <c r="G36">
        <f>IF($W36="","",IF(INDEX('Per Invoice'!G$2:G$801,$W36)="","",INDEX('Per Invoice'!G$2:G$801,$W36)))</f>
        <v/>
      </c>
      <c r="H36">
        <f>IF($W36="","",IF(INDEX('Per Invoice'!H$2:H$801,$W36)="","",INDEX('Per Invoice'!H$2:H$801,$W36)))</f>
        <v/>
      </c>
      <c r="I36">
        <f>IF($W36="","",IF(INDEX('Per Invoice'!I$2:I$801,$W36)="","",INDEX('Per Invoice'!I$2:I$801,$W36)))</f>
        <v/>
      </c>
      <c r="J36">
        <f>IF($W36="","",IF(INDEX('Per Invoice'!J$2:J$801,$W36)="","",INDEX('Per Invoice'!J$2:J$801,$W36)))</f>
        <v/>
      </c>
      <c r="K36" s="7">
        <f>IF($W36="","",IF(INDEX('Per Invoice'!K$2:K$801,$W36)="","",INDEX('Per Invoice'!K$2:K$801,$W36)))</f>
        <v/>
      </c>
      <c r="L36" s="14">
        <f>IF($W36="","",IF(INDEX('Per Invoice'!L$2:L$801,$W36)="","",INDEX('Per Invoice'!L$2:L$801,$W36)))</f>
        <v/>
      </c>
      <c r="M36">
        <f>IF($W36="","",IF(INDEX('Per Invoice'!M$2:M$801,$W36)="","",INDEX('Per Invoice'!M$2:M$801,$W36)))</f>
        <v/>
      </c>
      <c r="N36" s="7">
        <f>IF($W36="","",IF(INDEX('Per Invoice'!N$2:N$801,$W36)="","",INDEX('Per Invoice'!N$2:N$801,$W36)))</f>
        <v/>
      </c>
      <c r="O36" s="7">
        <f>IF($W36="","",IF(INDEX('Per Invoice'!O$2:O$801,$W36)="","",INDEX('Per Invoice'!O$2:O$801,$W36)))</f>
        <v/>
      </c>
      <c r="P36">
        <f>IF($W36="","",IF(INDEX('Per Invoice'!P$2:P$801,$W36)="","",INDEX('Per Invoice'!P$2:P$801,$W36)))</f>
        <v/>
      </c>
      <c r="Q36" s="7">
        <f>IF($W36="","",IF(INDEX('Per Invoice'!Q$2:Q$801,$W36)="","",INDEX('Per Invoice'!Q$2:Q$801,$W36)))</f>
        <v/>
      </c>
      <c r="R36" s="7">
        <f>IF($W36="","",IF(INDEX('Per Invoice'!R$2:R$801,$W36)="","",INDEX('Per Invoice'!R$2:R$801,$W36)))</f>
        <v/>
      </c>
      <c r="S36" s="7">
        <f>IF($W36="","",IF(INDEX('Per Invoice'!S$2:S$801,$W36)="","",INDEX('Per Invoice'!S$2:S$801,$W36)))</f>
        <v/>
      </c>
      <c r="T36" s="7">
        <f>IF($W36="","",IF(INDEX('Per Invoice'!T$2:T$801,$W36)="","",INDEX('Per Invoice'!T$2:T$801,$W36)))</f>
        <v/>
      </c>
      <c r="U36" s="7">
        <f>IF($W36="","",IF(INDEX('Per Invoice'!U$2:U$801,$W36)="","",INDEX('Per Invoice'!U$2:U$801,$W36)))</f>
        <v/>
      </c>
      <c r="V36" s="7">
        <f>IF($W36="","",IF(INDEX('Per Invoice'!V$2:V$801,$W36)="","",INDEX('Per Invoice'!V$2:V$801,$W36)))</f>
        <v/>
      </c>
      <c r="W36" s="16">
        <f>IFERROR(MATCH(Settings!$C$30&amp;"|"&amp;ROWS($W$2:$W36),'Per Invoice'!$X$2:$X$801,0),"")</f>
        <v/>
      </c>
    </row>
    <row r="37">
      <c r="A37">
        <f>IF($W37="","",IF(INDEX('Per Invoice'!A$2:A$801,$W37)="","",INDEX('Per Invoice'!A$2:A$801,$W37)))</f>
        <v/>
      </c>
      <c r="B37">
        <f>IF($W37="","",IF(INDEX('Per Invoice'!B$2:B$801,$W37)="","",INDEX('Per Invoice'!B$2:B$801,$W37)))</f>
        <v/>
      </c>
      <c r="C37">
        <f>IF($W37="","",IF(INDEX('Per Invoice'!C$2:C$801,$W37)="","",INDEX('Per Invoice'!C$2:C$801,$W37)))</f>
        <v/>
      </c>
      <c r="D37">
        <f>IF($W37="","",IF(INDEX('Per Invoice'!D$2:D$801,$W37)="","",INDEX('Per Invoice'!D$2:D$801,$W37)))</f>
        <v/>
      </c>
      <c r="E37">
        <f>IF($W37="","",IF(INDEX('Per Invoice'!E$2:E$801,$W37)="","",INDEX('Per Invoice'!E$2:E$801,$W37)))</f>
        <v/>
      </c>
      <c r="F37">
        <f>IF($W37="","",IF(INDEX('Per Invoice'!F$2:F$801,$W37)="","",INDEX('Per Invoice'!F$2:F$801,$W37)))</f>
        <v/>
      </c>
      <c r="G37">
        <f>IF($W37="","",IF(INDEX('Per Invoice'!G$2:G$801,$W37)="","",INDEX('Per Invoice'!G$2:G$801,$W37)))</f>
        <v/>
      </c>
      <c r="H37">
        <f>IF($W37="","",IF(INDEX('Per Invoice'!H$2:H$801,$W37)="","",INDEX('Per Invoice'!H$2:H$801,$W37)))</f>
        <v/>
      </c>
      <c r="I37">
        <f>IF($W37="","",IF(INDEX('Per Invoice'!I$2:I$801,$W37)="","",INDEX('Per Invoice'!I$2:I$801,$W37)))</f>
        <v/>
      </c>
      <c r="J37">
        <f>IF($W37="","",IF(INDEX('Per Invoice'!J$2:J$801,$W37)="","",INDEX('Per Invoice'!J$2:J$801,$W37)))</f>
        <v/>
      </c>
      <c r="K37" s="7">
        <f>IF($W37="","",IF(INDEX('Per Invoice'!K$2:K$801,$W37)="","",INDEX('Per Invoice'!K$2:K$801,$W37)))</f>
        <v/>
      </c>
      <c r="L37" s="14">
        <f>IF($W37="","",IF(INDEX('Per Invoice'!L$2:L$801,$W37)="","",INDEX('Per Invoice'!L$2:L$801,$W37)))</f>
        <v/>
      </c>
      <c r="M37">
        <f>IF($W37="","",IF(INDEX('Per Invoice'!M$2:M$801,$W37)="","",INDEX('Per Invoice'!M$2:M$801,$W37)))</f>
        <v/>
      </c>
      <c r="N37" s="7">
        <f>IF($W37="","",IF(INDEX('Per Invoice'!N$2:N$801,$W37)="","",INDEX('Per Invoice'!N$2:N$801,$W37)))</f>
        <v/>
      </c>
      <c r="O37" s="7">
        <f>IF($W37="","",IF(INDEX('Per Invoice'!O$2:O$801,$W37)="","",INDEX('Per Invoice'!O$2:O$801,$W37)))</f>
        <v/>
      </c>
      <c r="P37">
        <f>IF($W37="","",IF(INDEX('Per Invoice'!P$2:P$801,$W37)="","",INDEX('Per Invoice'!P$2:P$801,$W37)))</f>
        <v/>
      </c>
      <c r="Q37" s="7">
        <f>IF($W37="","",IF(INDEX('Per Invoice'!Q$2:Q$801,$W37)="","",INDEX('Per Invoice'!Q$2:Q$801,$W37)))</f>
        <v/>
      </c>
      <c r="R37" s="7">
        <f>IF($W37="","",IF(INDEX('Per Invoice'!R$2:R$801,$W37)="","",INDEX('Per Invoice'!R$2:R$801,$W37)))</f>
        <v/>
      </c>
      <c r="S37" s="7">
        <f>IF($W37="","",IF(INDEX('Per Invoice'!S$2:S$801,$W37)="","",INDEX('Per Invoice'!S$2:S$801,$W37)))</f>
        <v/>
      </c>
      <c r="T37" s="7">
        <f>IF($W37="","",IF(INDEX('Per Invoice'!T$2:T$801,$W37)="","",INDEX('Per Invoice'!T$2:T$801,$W37)))</f>
        <v/>
      </c>
      <c r="U37" s="7">
        <f>IF($W37="","",IF(INDEX('Per Invoice'!U$2:U$801,$W37)="","",INDEX('Per Invoice'!U$2:U$801,$W37)))</f>
        <v/>
      </c>
      <c r="V37" s="7">
        <f>IF($W37="","",IF(INDEX('Per Invoice'!V$2:V$801,$W37)="","",INDEX('Per Invoice'!V$2:V$801,$W37)))</f>
        <v/>
      </c>
      <c r="W37" s="16">
        <f>IFERROR(MATCH(Settings!$C$30&amp;"|"&amp;ROWS($W$2:$W37),'Per Invoice'!$X$2:$X$801,0),"")</f>
        <v/>
      </c>
    </row>
    <row r="38">
      <c r="A38">
        <f>IF($W38="","",IF(INDEX('Per Invoice'!A$2:A$801,$W38)="","",INDEX('Per Invoice'!A$2:A$801,$W38)))</f>
        <v/>
      </c>
      <c r="B38">
        <f>IF($W38="","",IF(INDEX('Per Invoice'!B$2:B$801,$W38)="","",INDEX('Per Invoice'!B$2:B$801,$W38)))</f>
        <v/>
      </c>
      <c r="C38">
        <f>IF($W38="","",IF(INDEX('Per Invoice'!C$2:C$801,$W38)="","",INDEX('Per Invoice'!C$2:C$801,$W38)))</f>
        <v/>
      </c>
      <c r="D38">
        <f>IF($W38="","",IF(INDEX('Per Invoice'!D$2:D$801,$W38)="","",INDEX('Per Invoice'!D$2:D$801,$W38)))</f>
        <v/>
      </c>
      <c r="E38">
        <f>IF($W38="","",IF(INDEX('Per Invoice'!E$2:E$801,$W38)="","",INDEX('Per Invoice'!E$2:E$801,$W38)))</f>
        <v/>
      </c>
      <c r="F38">
        <f>IF($W38="","",IF(INDEX('Per Invoice'!F$2:F$801,$W38)="","",INDEX('Per Invoice'!F$2:F$801,$W38)))</f>
        <v/>
      </c>
      <c r="G38">
        <f>IF($W38="","",IF(INDEX('Per Invoice'!G$2:G$801,$W38)="","",INDEX('Per Invoice'!G$2:G$801,$W38)))</f>
        <v/>
      </c>
      <c r="H38">
        <f>IF($W38="","",IF(INDEX('Per Invoice'!H$2:H$801,$W38)="","",INDEX('Per Invoice'!H$2:H$801,$W38)))</f>
        <v/>
      </c>
      <c r="I38">
        <f>IF($W38="","",IF(INDEX('Per Invoice'!I$2:I$801,$W38)="","",INDEX('Per Invoice'!I$2:I$801,$W38)))</f>
        <v/>
      </c>
      <c r="J38">
        <f>IF($W38="","",IF(INDEX('Per Invoice'!J$2:J$801,$W38)="","",INDEX('Per Invoice'!J$2:J$801,$W38)))</f>
        <v/>
      </c>
      <c r="K38" s="7">
        <f>IF($W38="","",IF(INDEX('Per Invoice'!K$2:K$801,$W38)="","",INDEX('Per Invoice'!K$2:K$801,$W38)))</f>
        <v/>
      </c>
      <c r="L38" s="14">
        <f>IF($W38="","",IF(INDEX('Per Invoice'!L$2:L$801,$W38)="","",INDEX('Per Invoice'!L$2:L$801,$W38)))</f>
        <v/>
      </c>
      <c r="M38">
        <f>IF($W38="","",IF(INDEX('Per Invoice'!M$2:M$801,$W38)="","",INDEX('Per Invoice'!M$2:M$801,$W38)))</f>
        <v/>
      </c>
      <c r="N38" s="7">
        <f>IF($W38="","",IF(INDEX('Per Invoice'!N$2:N$801,$W38)="","",INDEX('Per Invoice'!N$2:N$801,$W38)))</f>
        <v/>
      </c>
      <c r="O38" s="7">
        <f>IF($W38="","",IF(INDEX('Per Invoice'!O$2:O$801,$W38)="","",INDEX('Per Invoice'!O$2:O$801,$W38)))</f>
        <v/>
      </c>
      <c r="P38">
        <f>IF($W38="","",IF(INDEX('Per Invoice'!P$2:P$801,$W38)="","",INDEX('Per Invoice'!P$2:P$801,$W38)))</f>
        <v/>
      </c>
      <c r="Q38" s="7">
        <f>IF($W38="","",IF(INDEX('Per Invoice'!Q$2:Q$801,$W38)="","",INDEX('Per Invoice'!Q$2:Q$801,$W38)))</f>
        <v/>
      </c>
      <c r="R38" s="7">
        <f>IF($W38="","",IF(INDEX('Per Invoice'!R$2:R$801,$W38)="","",INDEX('Per Invoice'!R$2:R$801,$W38)))</f>
        <v/>
      </c>
      <c r="S38" s="7">
        <f>IF($W38="","",IF(INDEX('Per Invoice'!S$2:S$801,$W38)="","",INDEX('Per Invoice'!S$2:S$801,$W38)))</f>
        <v/>
      </c>
      <c r="T38" s="7">
        <f>IF($W38="","",IF(INDEX('Per Invoice'!T$2:T$801,$W38)="","",INDEX('Per Invoice'!T$2:T$801,$W38)))</f>
        <v/>
      </c>
      <c r="U38" s="7">
        <f>IF($W38="","",IF(INDEX('Per Invoice'!U$2:U$801,$W38)="","",INDEX('Per Invoice'!U$2:U$801,$W38)))</f>
        <v/>
      </c>
      <c r="V38" s="7">
        <f>IF($W38="","",IF(INDEX('Per Invoice'!V$2:V$801,$W38)="","",INDEX('Per Invoice'!V$2:V$801,$W38)))</f>
        <v/>
      </c>
      <c r="W38" s="16">
        <f>IFERROR(MATCH(Settings!$C$30&amp;"|"&amp;ROWS($W$2:$W38),'Per Invoice'!$X$2:$X$801,0),"")</f>
        <v/>
      </c>
    </row>
    <row r="39">
      <c r="A39">
        <f>IF($W39="","",IF(INDEX('Per Invoice'!A$2:A$801,$W39)="","",INDEX('Per Invoice'!A$2:A$801,$W39)))</f>
        <v/>
      </c>
      <c r="B39">
        <f>IF($W39="","",IF(INDEX('Per Invoice'!B$2:B$801,$W39)="","",INDEX('Per Invoice'!B$2:B$801,$W39)))</f>
        <v/>
      </c>
      <c r="C39">
        <f>IF($W39="","",IF(INDEX('Per Invoice'!C$2:C$801,$W39)="","",INDEX('Per Invoice'!C$2:C$801,$W39)))</f>
        <v/>
      </c>
      <c r="D39">
        <f>IF($W39="","",IF(INDEX('Per Invoice'!D$2:D$801,$W39)="","",INDEX('Per Invoice'!D$2:D$801,$W39)))</f>
        <v/>
      </c>
      <c r="E39">
        <f>IF($W39="","",IF(INDEX('Per Invoice'!E$2:E$801,$W39)="","",INDEX('Per Invoice'!E$2:E$801,$W39)))</f>
        <v/>
      </c>
      <c r="F39">
        <f>IF($W39="","",IF(INDEX('Per Invoice'!F$2:F$801,$W39)="","",INDEX('Per Invoice'!F$2:F$801,$W39)))</f>
        <v/>
      </c>
      <c r="G39">
        <f>IF($W39="","",IF(INDEX('Per Invoice'!G$2:G$801,$W39)="","",INDEX('Per Invoice'!G$2:G$801,$W39)))</f>
        <v/>
      </c>
      <c r="H39">
        <f>IF($W39="","",IF(INDEX('Per Invoice'!H$2:H$801,$W39)="","",INDEX('Per Invoice'!H$2:H$801,$W39)))</f>
        <v/>
      </c>
      <c r="I39">
        <f>IF($W39="","",IF(INDEX('Per Invoice'!I$2:I$801,$W39)="","",INDEX('Per Invoice'!I$2:I$801,$W39)))</f>
        <v/>
      </c>
      <c r="J39">
        <f>IF($W39="","",IF(INDEX('Per Invoice'!J$2:J$801,$W39)="","",INDEX('Per Invoice'!J$2:J$801,$W39)))</f>
        <v/>
      </c>
      <c r="K39" s="7">
        <f>IF($W39="","",IF(INDEX('Per Invoice'!K$2:K$801,$W39)="","",INDEX('Per Invoice'!K$2:K$801,$W39)))</f>
        <v/>
      </c>
      <c r="L39" s="14">
        <f>IF($W39="","",IF(INDEX('Per Invoice'!L$2:L$801,$W39)="","",INDEX('Per Invoice'!L$2:L$801,$W39)))</f>
        <v/>
      </c>
      <c r="M39">
        <f>IF($W39="","",IF(INDEX('Per Invoice'!M$2:M$801,$W39)="","",INDEX('Per Invoice'!M$2:M$801,$W39)))</f>
        <v/>
      </c>
      <c r="N39" s="7">
        <f>IF($W39="","",IF(INDEX('Per Invoice'!N$2:N$801,$W39)="","",INDEX('Per Invoice'!N$2:N$801,$W39)))</f>
        <v/>
      </c>
      <c r="O39" s="7">
        <f>IF($W39="","",IF(INDEX('Per Invoice'!O$2:O$801,$W39)="","",INDEX('Per Invoice'!O$2:O$801,$W39)))</f>
        <v/>
      </c>
      <c r="P39">
        <f>IF($W39="","",IF(INDEX('Per Invoice'!P$2:P$801,$W39)="","",INDEX('Per Invoice'!P$2:P$801,$W39)))</f>
        <v/>
      </c>
      <c r="Q39" s="7">
        <f>IF($W39="","",IF(INDEX('Per Invoice'!Q$2:Q$801,$W39)="","",INDEX('Per Invoice'!Q$2:Q$801,$W39)))</f>
        <v/>
      </c>
      <c r="R39" s="7">
        <f>IF($W39="","",IF(INDEX('Per Invoice'!R$2:R$801,$W39)="","",INDEX('Per Invoice'!R$2:R$801,$W39)))</f>
        <v/>
      </c>
      <c r="S39" s="7">
        <f>IF($W39="","",IF(INDEX('Per Invoice'!S$2:S$801,$W39)="","",INDEX('Per Invoice'!S$2:S$801,$W39)))</f>
        <v/>
      </c>
      <c r="T39" s="7">
        <f>IF($W39="","",IF(INDEX('Per Invoice'!T$2:T$801,$W39)="","",INDEX('Per Invoice'!T$2:T$801,$W39)))</f>
        <v/>
      </c>
      <c r="U39" s="7">
        <f>IF($W39="","",IF(INDEX('Per Invoice'!U$2:U$801,$W39)="","",INDEX('Per Invoice'!U$2:U$801,$W39)))</f>
        <v/>
      </c>
      <c r="V39" s="7">
        <f>IF($W39="","",IF(INDEX('Per Invoice'!V$2:V$801,$W39)="","",INDEX('Per Invoice'!V$2:V$801,$W39)))</f>
        <v/>
      </c>
      <c r="W39" s="16">
        <f>IFERROR(MATCH(Settings!$C$30&amp;"|"&amp;ROWS($W$2:$W39),'Per Invoice'!$X$2:$X$801,0),"")</f>
        <v/>
      </c>
    </row>
    <row r="40">
      <c r="A40">
        <f>IF($W40="","",IF(INDEX('Per Invoice'!A$2:A$801,$W40)="","",INDEX('Per Invoice'!A$2:A$801,$W40)))</f>
        <v/>
      </c>
      <c r="B40">
        <f>IF($W40="","",IF(INDEX('Per Invoice'!B$2:B$801,$W40)="","",INDEX('Per Invoice'!B$2:B$801,$W40)))</f>
        <v/>
      </c>
      <c r="C40">
        <f>IF($W40="","",IF(INDEX('Per Invoice'!C$2:C$801,$W40)="","",INDEX('Per Invoice'!C$2:C$801,$W40)))</f>
        <v/>
      </c>
      <c r="D40">
        <f>IF($W40="","",IF(INDEX('Per Invoice'!D$2:D$801,$W40)="","",INDEX('Per Invoice'!D$2:D$801,$W40)))</f>
        <v/>
      </c>
      <c r="E40">
        <f>IF($W40="","",IF(INDEX('Per Invoice'!E$2:E$801,$W40)="","",INDEX('Per Invoice'!E$2:E$801,$W40)))</f>
        <v/>
      </c>
      <c r="F40">
        <f>IF($W40="","",IF(INDEX('Per Invoice'!F$2:F$801,$W40)="","",INDEX('Per Invoice'!F$2:F$801,$W40)))</f>
        <v/>
      </c>
      <c r="G40">
        <f>IF($W40="","",IF(INDEX('Per Invoice'!G$2:G$801,$W40)="","",INDEX('Per Invoice'!G$2:G$801,$W40)))</f>
        <v/>
      </c>
      <c r="H40">
        <f>IF($W40="","",IF(INDEX('Per Invoice'!H$2:H$801,$W40)="","",INDEX('Per Invoice'!H$2:H$801,$W40)))</f>
        <v/>
      </c>
      <c r="I40">
        <f>IF($W40="","",IF(INDEX('Per Invoice'!I$2:I$801,$W40)="","",INDEX('Per Invoice'!I$2:I$801,$W40)))</f>
        <v/>
      </c>
      <c r="J40">
        <f>IF($W40="","",IF(INDEX('Per Invoice'!J$2:J$801,$W40)="","",INDEX('Per Invoice'!J$2:J$801,$W40)))</f>
        <v/>
      </c>
      <c r="K40" s="7">
        <f>IF($W40="","",IF(INDEX('Per Invoice'!K$2:K$801,$W40)="","",INDEX('Per Invoice'!K$2:K$801,$W40)))</f>
        <v/>
      </c>
      <c r="L40" s="14">
        <f>IF($W40="","",IF(INDEX('Per Invoice'!L$2:L$801,$W40)="","",INDEX('Per Invoice'!L$2:L$801,$W40)))</f>
        <v/>
      </c>
      <c r="M40">
        <f>IF($W40="","",IF(INDEX('Per Invoice'!M$2:M$801,$W40)="","",INDEX('Per Invoice'!M$2:M$801,$W40)))</f>
        <v/>
      </c>
      <c r="N40" s="7">
        <f>IF($W40="","",IF(INDEX('Per Invoice'!N$2:N$801,$W40)="","",INDEX('Per Invoice'!N$2:N$801,$W40)))</f>
        <v/>
      </c>
      <c r="O40" s="7">
        <f>IF($W40="","",IF(INDEX('Per Invoice'!O$2:O$801,$W40)="","",INDEX('Per Invoice'!O$2:O$801,$W40)))</f>
        <v/>
      </c>
      <c r="P40">
        <f>IF($W40="","",IF(INDEX('Per Invoice'!P$2:P$801,$W40)="","",INDEX('Per Invoice'!P$2:P$801,$W40)))</f>
        <v/>
      </c>
      <c r="Q40" s="7">
        <f>IF($W40="","",IF(INDEX('Per Invoice'!Q$2:Q$801,$W40)="","",INDEX('Per Invoice'!Q$2:Q$801,$W40)))</f>
        <v/>
      </c>
      <c r="R40" s="7">
        <f>IF($W40="","",IF(INDEX('Per Invoice'!R$2:R$801,$W40)="","",INDEX('Per Invoice'!R$2:R$801,$W40)))</f>
        <v/>
      </c>
      <c r="S40" s="7">
        <f>IF($W40="","",IF(INDEX('Per Invoice'!S$2:S$801,$W40)="","",INDEX('Per Invoice'!S$2:S$801,$W40)))</f>
        <v/>
      </c>
      <c r="T40" s="7">
        <f>IF($W40="","",IF(INDEX('Per Invoice'!T$2:T$801,$W40)="","",INDEX('Per Invoice'!T$2:T$801,$W40)))</f>
        <v/>
      </c>
      <c r="U40" s="7">
        <f>IF($W40="","",IF(INDEX('Per Invoice'!U$2:U$801,$W40)="","",INDEX('Per Invoice'!U$2:U$801,$W40)))</f>
        <v/>
      </c>
      <c r="V40" s="7">
        <f>IF($W40="","",IF(INDEX('Per Invoice'!V$2:V$801,$W40)="","",INDEX('Per Invoice'!V$2:V$801,$W40)))</f>
        <v/>
      </c>
      <c r="W40" s="16">
        <f>IFERROR(MATCH(Settings!$C$30&amp;"|"&amp;ROWS($W$2:$W40),'Per Invoice'!$X$2:$X$801,0),"")</f>
        <v/>
      </c>
    </row>
    <row r="41">
      <c r="A41">
        <f>IF($W41="","",IF(INDEX('Per Invoice'!A$2:A$801,$W41)="","",INDEX('Per Invoice'!A$2:A$801,$W41)))</f>
        <v/>
      </c>
      <c r="B41">
        <f>IF($W41="","",IF(INDEX('Per Invoice'!B$2:B$801,$W41)="","",INDEX('Per Invoice'!B$2:B$801,$W41)))</f>
        <v/>
      </c>
      <c r="C41">
        <f>IF($W41="","",IF(INDEX('Per Invoice'!C$2:C$801,$W41)="","",INDEX('Per Invoice'!C$2:C$801,$W41)))</f>
        <v/>
      </c>
      <c r="D41">
        <f>IF($W41="","",IF(INDEX('Per Invoice'!D$2:D$801,$W41)="","",INDEX('Per Invoice'!D$2:D$801,$W41)))</f>
        <v/>
      </c>
      <c r="E41">
        <f>IF($W41="","",IF(INDEX('Per Invoice'!E$2:E$801,$W41)="","",INDEX('Per Invoice'!E$2:E$801,$W41)))</f>
        <v/>
      </c>
      <c r="F41">
        <f>IF($W41="","",IF(INDEX('Per Invoice'!F$2:F$801,$W41)="","",INDEX('Per Invoice'!F$2:F$801,$W41)))</f>
        <v/>
      </c>
      <c r="G41">
        <f>IF($W41="","",IF(INDEX('Per Invoice'!G$2:G$801,$W41)="","",INDEX('Per Invoice'!G$2:G$801,$W41)))</f>
        <v/>
      </c>
      <c r="H41">
        <f>IF($W41="","",IF(INDEX('Per Invoice'!H$2:H$801,$W41)="","",INDEX('Per Invoice'!H$2:H$801,$W41)))</f>
        <v/>
      </c>
      <c r="I41">
        <f>IF($W41="","",IF(INDEX('Per Invoice'!I$2:I$801,$W41)="","",INDEX('Per Invoice'!I$2:I$801,$W41)))</f>
        <v/>
      </c>
      <c r="J41">
        <f>IF($W41="","",IF(INDEX('Per Invoice'!J$2:J$801,$W41)="","",INDEX('Per Invoice'!J$2:J$801,$W41)))</f>
        <v/>
      </c>
      <c r="K41" s="7">
        <f>IF($W41="","",IF(INDEX('Per Invoice'!K$2:K$801,$W41)="","",INDEX('Per Invoice'!K$2:K$801,$W41)))</f>
        <v/>
      </c>
      <c r="L41" s="14">
        <f>IF($W41="","",IF(INDEX('Per Invoice'!L$2:L$801,$W41)="","",INDEX('Per Invoice'!L$2:L$801,$W41)))</f>
        <v/>
      </c>
      <c r="M41">
        <f>IF($W41="","",IF(INDEX('Per Invoice'!M$2:M$801,$W41)="","",INDEX('Per Invoice'!M$2:M$801,$W41)))</f>
        <v/>
      </c>
      <c r="N41" s="7">
        <f>IF($W41="","",IF(INDEX('Per Invoice'!N$2:N$801,$W41)="","",INDEX('Per Invoice'!N$2:N$801,$W41)))</f>
        <v/>
      </c>
      <c r="O41" s="7">
        <f>IF($W41="","",IF(INDEX('Per Invoice'!O$2:O$801,$W41)="","",INDEX('Per Invoice'!O$2:O$801,$W41)))</f>
        <v/>
      </c>
      <c r="P41">
        <f>IF($W41="","",IF(INDEX('Per Invoice'!P$2:P$801,$W41)="","",INDEX('Per Invoice'!P$2:P$801,$W41)))</f>
        <v/>
      </c>
      <c r="Q41" s="7">
        <f>IF($W41="","",IF(INDEX('Per Invoice'!Q$2:Q$801,$W41)="","",INDEX('Per Invoice'!Q$2:Q$801,$W41)))</f>
        <v/>
      </c>
      <c r="R41" s="7">
        <f>IF($W41="","",IF(INDEX('Per Invoice'!R$2:R$801,$W41)="","",INDEX('Per Invoice'!R$2:R$801,$W41)))</f>
        <v/>
      </c>
      <c r="S41" s="7">
        <f>IF($W41="","",IF(INDEX('Per Invoice'!S$2:S$801,$W41)="","",INDEX('Per Invoice'!S$2:S$801,$W41)))</f>
        <v/>
      </c>
      <c r="T41" s="7">
        <f>IF($W41="","",IF(INDEX('Per Invoice'!T$2:T$801,$W41)="","",INDEX('Per Invoice'!T$2:T$801,$W41)))</f>
        <v/>
      </c>
      <c r="U41" s="7">
        <f>IF($W41="","",IF(INDEX('Per Invoice'!U$2:U$801,$W41)="","",INDEX('Per Invoice'!U$2:U$801,$W41)))</f>
        <v/>
      </c>
      <c r="V41" s="7">
        <f>IF($W41="","",IF(INDEX('Per Invoice'!V$2:V$801,$W41)="","",INDEX('Per Invoice'!V$2:V$801,$W41)))</f>
        <v/>
      </c>
      <c r="W41" s="16">
        <f>IFERROR(MATCH(Settings!$C$30&amp;"|"&amp;ROWS($W$2:$W41),'Per Invoice'!$X$2:$X$801,0),"")</f>
        <v/>
      </c>
    </row>
    <row r="42">
      <c r="A42">
        <f>IF($W42="","",IF(INDEX('Per Invoice'!A$2:A$801,$W42)="","",INDEX('Per Invoice'!A$2:A$801,$W42)))</f>
        <v/>
      </c>
      <c r="B42">
        <f>IF($W42="","",IF(INDEX('Per Invoice'!B$2:B$801,$W42)="","",INDEX('Per Invoice'!B$2:B$801,$W42)))</f>
        <v/>
      </c>
      <c r="C42">
        <f>IF($W42="","",IF(INDEX('Per Invoice'!C$2:C$801,$W42)="","",INDEX('Per Invoice'!C$2:C$801,$W42)))</f>
        <v/>
      </c>
      <c r="D42">
        <f>IF($W42="","",IF(INDEX('Per Invoice'!D$2:D$801,$W42)="","",INDEX('Per Invoice'!D$2:D$801,$W42)))</f>
        <v/>
      </c>
      <c r="E42">
        <f>IF($W42="","",IF(INDEX('Per Invoice'!E$2:E$801,$W42)="","",INDEX('Per Invoice'!E$2:E$801,$W42)))</f>
        <v/>
      </c>
      <c r="F42">
        <f>IF($W42="","",IF(INDEX('Per Invoice'!F$2:F$801,$W42)="","",INDEX('Per Invoice'!F$2:F$801,$W42)))</f>
        <v/>
      </c>
      <c r="G42">
        <f>IF($W42="","",IF(INDEX('Per Invoice'!G$2:G$801,$W42)="","",INDEX('Per Invoice'!G$2:G$801,$W42)))</f>
        <v/>
      </c>
      <c r="H42">
        <f>IF($W42="","",IF(INDEX('Per Invoice'!H$2:H$801,$W42)="","",INDEX('Per Invoice'!H$2:H$801,$W42)))</f>
        <v/>
      </c>
      <c r="I42">
        <f>IF($W42="","",IF(INDEX('Per Invoice'!I$2:I$801,$W42)="","",INDEX('Per Invoice'!I$2:I$801,$W42)))</f>
        <v/>
      </c>
      <c r="J42">
        <f>IF($W42="","",IF(INDEX('Per Invoice'!J$2:J$801,$W42)="","",INDEX('Per Invoice'!J$2:J$801,$W42)))</f>
        <v/>
      </c>
      <c r="K42" s="7">
        <f>IF($W42="","",IF(INDEX('Per Invoice'!K$2:K$801,$W42)="","",INDEX('Per Invoice'!K$2:K$801,$W42)))</f>
        <v/>
      </c>
      <c r="L42" s="14">
        <f>IF($W42="","",IF(INDEX('Per Invoice'!L$2:L$801,$W42)="","",INDEX('Per Invoice'!L$2:L$801,$W42)))</f>
        <v/>
      </c>
      <c r="M42">
        <f>IF($W42="","",IF(INDEX('Per Invoice'!M$2:M$801,$W42)="","",INDEX('Per Invoice'!M$2:M$801,$W42)))</f>
        <v/>
      </c>
      <c r="N42" s="7">
        <f>IF($W42="","",IF(INDEX('Per Invoice'!N$2:N$801,$W42)="","",INDEX('Per Invoice'!N$2:N$801,$W42)))</f>
        <v/>
      </c>
      <c r="O42" s="7">
        <f>IF($W42="","",IF(INDEX('Per Invoice'!O$2:O$801,$W42)="","",INDEX('Per Invoice'!O$2:O$801,$W42)))</f>
        <v/>
      </c>
      <c r="P42">
        <f>IF($W42="","",IF(INDEX('Per Invoice'!P$2:P$801,$W42)="","",INDEX('Per Invoice'!P$2:P$801,$W42)))</f>
        <v/>
      </c>
      <c r="Q42" s="7">
        <f>IF($W42="","",IF(INDEX('Per Invoice'!Q$2:Q$801,$W42)="","",INDEX('Per Invoice'!Q$2:Q$801,$W42)))</f>
        <v/>
      </c>
      <c r="R42" s="7">
        <f>IF($W42="","",IF(INDEX('Per Invoice'!R$2:R$801,$W42)="","",INDEX('Per Invoice'!R$2:R$801,$W42)))</f>
        <v/>
      </c>
      <c r="S42" s="7">
        <f>IF($W42="","",IF(INDEX('Per Invoice'!S$2:S$801,$W42)="","",INDEX('Per Invoice'!S$2:S$801,$W42)))</f>
        <v/>
      </c>
      <c r="T42" s="7">
        <f>IF($W42="","",IF(INDEX('Per Invoice'!T$2:T$801,$W42)="","",INDEX('Per Invoice'!T$2:T$801,$W42)))</f>
        <v/>
      </c>
      <c r="U42" s="7">
        <f>IF($W42="","",IF(INDEX('Per Invoice'!U$2:U$801,$W42)="","",INDEX('Per Invoice'!U$2:U$801,$W42)))</f>
        <v/>
      </c>
      <c r="V42" s="7">
        <f>IF($W42="","",IF(INDEX('Per Invoice'!V$2:V$801,$W42)="","",INDEX('Per Invoice'!V$2:V$801,$W42)))</f>
        <v/>
      </c>
      <c r="W42" s="16">
        <f>IFERROR(MATCH(Settings!$C$30&amp;"|"&amp;ROWS($W$2:$W42),'Per Invoice'!$X$2:$X$801,0),"")</f>
        <v/>
      </c>
    </row>
    <row r="43">
      <c r="A43">
        <f>IF($W43="","",IF(INDEX('Per Invoice'!A$2:A$801,$W43)="","",INDEX('Per Invoice'!A$2:A$801,$W43)))</f>
        <v/>
      </c>
      <c r="B43">
        <f>IF($W43="","",IF(INDEX('Per Invoice'!B$2:B$801,$W43)="","",INDEX('Per Invoice'!B$2:B$801,$W43)))</f>
        <v/>
      </c>
      <c r="C43">
        <f>IF($W43="","",IF(INDEX('Per Invoice'!C$2:C$801,$W43)="","",INDEX('Per Invoice'!C$2:C$801,$W43)))</f>
        <v/>
      </c>
      <c r="D43">
        <f>IF($W43="","",IF(INDEX('Per Invoice'!D$2:D$801,$W43)="","",INDEX('Per Invoice'!D$2:D$801,$W43)))</f>
        <v/>
      </c>
      <c r="E43">
        <f>IF($W43="","",IF(INDEX('Per Invoice'!E$2:E$801,$W43)="","",INDEX('Per Invoice'!E$2:E$801,$W43)))</f>
        <v/>
      </c>
      <c r="F43">
        <f>IF($W43="","",IF(INDEX('Per Invoice'!F$2:F$801,$W43)="","",INDEX('Per Invoice'!F$2:F$801,$W43)))</f>
        <v/>
      </c>
      <c r="G43">
        <f>IF($W43="","",IF(INDEX('Per Invoice'!G$2:G$801,$W43)="","",INDEX('Per Invoice'!G$2:G$801,$W43)))</f>
        <v/>
      </c>
      <c r="H43">
        <f>IF($W43="","",IF(INDEX('Per Invoice'!H$2:H$801,$W43)="","",INDEX('Per Invoice'!H$2:H$801,$W43)))</f>
        <v/>
      </c>
      <c r="I43">
        <f>IF($W43="","",IF(INDEX('Per Invoice'!I$2:I$801,$W43)="","",INDEX('Per Invoice'!I$2:I$801,$W43)))</f>
        <v/>
      </c>
      <c r="J43">
        <f>IF($W43="","",IF(INDEX('Per Invoice'!J$2:J$801,$W43)="","",INDEX('Per Invoice'!J$2:J$801,$W43)))</f>
        <v/>
      </c>
      <c r="K43" s="7">
        <f>IF($W43="","",IF(INDEX('Per Invoice'!K$2:K$801,$W43)="","",INDEX('Per Invoice'!K$2:K$801,$W43)))</f>
        <v/>
      </c>
      <c r="L43" s="14">
        <f>IF($W43="","",IF(INDEX('Per Invoice'!L$2:L$801,$W43)="","",INDEX('Per Invoice'!L$2:L$801,$W43)))</f>
        <v/>
      </c>
      <c r="M43">
        <f>IF($W43="","",IF(INDEX('Per Invoice'!M$2:M$801,$W43)="","",INDEX('Per Invoice'!M$2:M$801,$W43)))</f>
        <v/>
      </c>
      <c r="N43" s="7">
        <f>IF($W43="","",IF(INDEX('Per Invoice'!N$2:N$801,$W43)="","",INDEX('Per Invoice'!N$2:N$801,$W43)))</f>
        <v/>
      </c>
      <c r="O43" s="7">
        <f>IF($W43="","",IF(INDEX('Per Invoice'!O$2:O$801,$W43)="","",INDEX('Per Invoice'!O$2:O$801,$W43)))</f>
        <v/>
      </c>
      <c r="P43">
        <f>IF($W43="","",IF(INDEX('Per Invoice'!P$2:P$801,$W43)="","",INDEX('Per Invoice'!P$2:P$801,$W43)))</f>
        <v/>
      </c>
      <c r="Q43" s="7">
        <f>IF($W43="","",IF(INDEX('Per Invoice'!Q$2:Q$801,$W43)="","",INDEX('Per Invoice'!Q$2:Q$801,$W43)))</f>
        <v/>
      </c>
      <c r="R43" s="7">
        <f>IF($W43="","",IF(INDEX('Per Invoice'!R$2:R$801,$W43)="","",INDEX('Per Invoice'!R$2:R$801,$W43)))</f>
        <v/>
      </c>
      <c r="S43" s="7">
        <f>IF($W43="","",IF(INDEX('Per Invoice'!S$2:S$801,$W43)="","",INDEX('Per Invoice'!S$2:S$801,$W43)))</f>
        <v/>
      </c>
      <c r="T43" s="7">
        <f>IF($W43="","",IF(INDEX('Per Invoice'!T$2:T$801,$W43)="","",INDEX('Per Invoice'!T$2:T$801,$W43)))</f>
        <v/>
      </c>
      <c r="U43" s="7">
        <f>IF($W43="","",IF(INDEX('Per Invoice'!U$2:U$801,$W43)="","",INDEX('Per Invoice'!U$2:U$801,$W43)))</f>
        <v/>
      </c>
      <c r="V43" s="7">
        <f>IF($W43="","",IF(INDEX('Per Invoice'!V$2:V$801,$W43)="","",INDEX('Per Invoice'!V$2:V$801,$W43)))</f>
        <v/>
      </c>
      <c r="W43" s="16">
        <f>IFERROR(MATCH(Settings!$C$30&amp;"|"&amp;ROWS($W$2:$W43),'Per Invoice'!$X$2:$X$801,0),"")</f>
        <v/>
      </c>
    </row>
    <row r="44">
      <c r="A44">
        <f>IF($W44="","",IF(INDEX('Per Invoice'!A$2:A$801,$W44)="","",INDEX('Per Invoice'!A$2:A$801,$W44)))</f>
        <v/>
      </c>
      <c r="B44">
        <f>IF($W44="","",IF(INDEX('Per Invoice'!B$2:B$801,$W44)="","",INDEX('Per Invoice'!B$2:B$801,$W44)))</f>
        <v/>
      </c>
      <c r="C44">
        <f>IF($W44="","",IF(INDEX('Per Invoice'!C$2:C$801,$W44)="","",INDEX('Per Invoice'!C$2:C$801,$W44)))</f>
        <v/>
      </c>
      <c r="D44">
        <f>IF($W44="","",IF(INDEX('Per Invoice'!D$2:D$801,$W44)="","",INDEX('Per Invoice'!D$2:D$801,$W44)))</f>
        <v/>
      </c>
      <c r="E44">
        <f>IF($W44="","",IF(INDEX('Per Invoice'!E$2:E$801,$W44)="","",INDEX('Per Invoice'!E$2:E$801,$W44)))</f>
        <v/>
      </c>
      <c r="F44">
        <f>IF($W44="","",IF(INDEX('Per Invoice'!F$2:F$801,$W44)="","",INDEX('Per Invoice'!F$2:F$801,$W44)))</f>
        <v/>
      </c>
      <c r="G44">
        <f>IF($W44="","",IF(INDEX('Per Invoice'!G$2:G$801,$W44)="","",INDEX('Per Invoice'!G$2:G$801,$W44)))</f>
        <v/>
      </c>
      <c r="H44">
        <f>IF($W44="","",IF(INDEX('Per Invoice'!H$2:H$801,$W44)="","",INDEX('Per Invoice'!H$2:H$801,$W44)))</f>
        <v/>
      </c>
      <c r="I44">
        <f>IF($W44="","",IF(INDEX('Per Invoice'!I$2:I$801,$W44)="","",INDEX('Per Invoice'!I$2:I$801,$W44)))</f>
        <v/>
      </c>
      <c r="J44">
        <f>IF($W44="","",IF(INDEX('Per Invoice'!J$2:J$801,$W44)="","",INDEX('Per Invoice'!J$2:J$801,$W44)))</f>
        <v/>
      </c>
      <c r="K44" s="7">
        <f>IF($W44="","",IF(INDEX('Per Invoice'!K$2:K$801,$W44)="","",INDEX('Per Invoice'!K$2:K$801,$W44)))</f>
        <v/>
      </c>
      <c r="L44" s="14">
        <f>IF($W44="","",IF(INDEX('Per Invoice'!L$2:L$801,$W44)="","",INDEX('Per Invoice'!L$2:L$801,$W44)))</f>
        <v/>
      </c>
      <c r="M44">
        <f>IF($W44="","",IF(INDEX('Per Invoice'!M$2:M$801,$W44)="","",INDEX('Per Invoice'!M$2:M$801,$W44)))</f>
        <v/>
      </c>
      <c r="N44" s="7">
        <f>IF($W44="","",IF(INDEX('Per Invoice'!N$2:N$801,$W44)="","",INDEX('Per Invoice'!N$2:N$801,$W44)))</f>
        <v/>
      </c>
      <c r="O44" s="7">
        <f>IF($W44="","",IF(INDEX('Per Invoice'!O$2:O$801,$W44)="","",INDEX('Per Invoice'!O$2:O$801,$W44)))</f>
        <v/>
      </c>
      <c r="P44">
        <f>IF($W44="","",IF(INDEX('Per Invoice'!P$2:P$801,$W44)="","",INDEX('Per Invoice'!P$2:P$801,$W44)))</f>
        <v/>
      </c>
      <c r="Q44" s="7">
        <f>IF($W44="","",IF(INDEX('Per Invoice'!Q$2:Q$801,$W44)="","",INDEX('Per Invoice'!Q$2:Q$801,$W44)))</f>
        <v/>
      </c>
      <c r="R44" s="7">
        <f>IF($W44="","",IF(INDEX('Per Invoice'!R$2:R$801,$W44)="","",INDEX('Per Invoice'!R$2:R$801,$W44)))</f>
        <v/>
      </c>
      <c r="S44" s="7">
        <f>IF($W44="","",IF(INDEX('Per Invoice'!S$2:S$801,$W44)="","",INDEX('Per Invoice'!S$2:S$801,$W44)))</f>
        <v/>
      </c>
      <c r="T44" s="7">
        <f>IF($W44="","",IF(INDEX('Per Invoice'!T$2:T$801,$W44)="","",INDEX('Per Invoice'!T$2:T$801,$W44)))</f>
        <v/>
      </c>
      <c r="U44" s="7">
        <f>IF($W44="","",IF(INDEX('Per Invoice'!U$2:U$801,$W44)="","",INDEX('Per Invoice'!U$2:U$801,$W44)))</f>
        <v/>
      </c>
      <c r="V44" s="7">
        <f>IF($W44="","",IF(INDEX('Per Invoice'!V$2:V$801,$W44)="","",INDEX('Per Invoice'!V$2:V$801,$W44)))</f>
        <v/>
      </c>
      <c r="W44" s="16">
        <f>IFERROR(MATCH(Settings!$C$30&amp;"|"&amp;ROWS($W$2:$W44),'Per Invoice'!$X$2:$X$801,0),"")</f>
        <v/>
      </c>
    </row>
    <row r="45">
      <c r="A45">
        <f>IF($W45="","",IF(INDEX('Per Invoice'!A$2:A$801,$W45)="","",INDEX('Per Invoice'!A$2:A$801,$W45)))</f>
        <v/>
      </c>
      <c r="B45">
        <f>IF($W45="","",IF(INDEX('Per Invoice'!B$2:B$801,$W45)="","",INDEX('Per Invoice'!B$2:B$801,$W45)))</f>
        <v/>
      </c>
      <c r="C45">
        <f>IF($W45="","",IF(INDEX('Per Invoice'!C$2:C$801,$W45)="","",INDEX('Per Invoice'!C$2:C$801,$W45)))</f>
        <v/>
      </c>
      <c r="D45">
        <f>IF($W45="","",IF(INDEX('Per Invoice'!D$2:D$801,$W45)="","",INDEX('Per Invoice'!D$2:D$801,$W45)))</f>
        <v/>
      </c>
      <c r="E45">
        <f>IF($W45="","",IF(INDEX('Per Invoice'!E$2:E$801,$W45)="","",INDEX('Per Invoice'!E$2:E$801,$W45)))</f>
        <v/>
      </c>
      <c r="F45">
        <f>IF($W45="","",IF(INDEX('Per Invoice'!F$2:F$801,$W45)="","",INDEX('Per Invoice'!F$2:F$801,$W45)))</f>
        <v/>
      </c>
      <c r="G45">
        <f>IF($W45="","",IF(INDEX('Per Invoice'!G$2:G$801,$W45)="","",INDEX('Per Invoice'!G$2:G$801,$W45)))</f>
        <v/>
      </c>
      <c r="H45">
        <f>IF($W45="","",IF(INDEX('Per Invoice'!H$2:H$801,$W45)="","",INDEX('Per Invoice'!H$2:H$801,$W45)))</f>
        <v/>
      </c>
      <c r="I45">
        <f>IF($W45="","",IF(INDEX('Per Invoice'!I$2:I$801,$W45)="","",INDEX('Per Invoice'!I$2:I$801,$W45)))</f>
        <v/>
      </c>
      <c r="J45">
        <f>IF($W45="","",IF(INDEX('Per Invoice'!J$2:J$801,$W45)="","",INDEX('Per Invoice'!J$2:J$801,$W45)))</f>
        <v/>
      </c>
      <c r="K45" s="7">
        <f>IF($W45="","",IF(INDEX('Per Invoice'!K$2:K$801,$W45)="","",INDEX('Per Invoice'!K$2:K$801,$W45)))</f>
        <v/>
      </c>
      <c r="L45" s="14">
        <f>IF($W45="","",IF(INDEX('Per Invoice'!L$2:L$801,$W45)="","",INDEX('Per Invoice'!L$2:L$801,$W45)))</f>
        <v/>
      </c>
      <c r="M45">
        <f>IF($W45="","",IF(INDEX('Per Invoice'!M$2:M$801,$W45)="","",INDEX('Per Invoice'!M$2:M$801,$W45)))</f>
        <v/>
      </c>
      <c r="N45" s="7">
        <f>IF($W45="","",IF(INDEX('Per Invoice'!N$2:N$801,$W45)="","",INDEX('Per Invoice'!N$2:N$801,$W45)))</f>
        <v/>
      </c>
      <c r="O45" s="7">
        <f>IF($W45="","",IF(INDEX('Per Invoice'!O$2:O$801,$W45)="","",INDEX('Per Invoice'!O$2:O$801,$W45)))</f>
        <v/>
      </c>
      <c r="P45">
        <f>IF($W45="","",IF(INDEX('Per Invoice'!P$2:P$801,$W45)="","",INDEX('Per Invoice'!P$2:P$801,$W45)))</f>
        <v/>
      </c>
      <c r="Q45" s="7">
        <f>IF($W45="","",IF(INDEX('Per Invoice'!Q$2:Q$801,$W45)="","",INDEX('Per Invoice'!Q$2:Q$801,$W45)))</f>
        <v/>
      </c>
      <c r="R45" s="7">
        <f>IF($W45="","",IF(INDEX('Per Invoice'!R$2:R$801,$W45)="","",INDEX('Per Invoice'!R$2:R$801,$W45)))</f>
        <v/>
      </c>
      <c r="S45" s="7">
        <f>IF($W45="","",IF(INDEX('Per Invoice'!S$2:S$801,$W45)="","",INDEX('Per Invoice'!S$2:S$801,$W45)))</f>
        <v/>
      </c>
      <c r="T45" s="7">
        <f>IF($W45="","",IF(INDEX('Per Invoice'!T$2:T$801,$W45)="","",INDEX('Per Invoice'!T$2:T$801,$W45)))</f>
        <v/>
      </c>
      <c r="U45" s="7">
        <f>IF($W45="","",IF(INDEX('Per Invoice'!U$2:U$801,$W45)="","",INDEX('Per Invoice'!U$2:U$801,$W45)))</f>
        <v/>
      </c>
      <c r="V45" s="7">
        <f>IF($W45="","",IF(INDEX('Per Invoice'!V$2:V$801,$W45)="","",INDEX('Per Invoice'!V$2:V$801,$W45)))</f>
        <v/>
      </c>
      <c r="W45" s="16">
        <f>IFERROR(MATCH(Settings!$C$30&amp;"|"&amp;ROWS($W$2:$W45),'Per Invoice'!$X$2:$X$801,0),"")</f>
        <v/>
      </c>
    </row>
    <row r="46">
      <c r="A46">
        <f>IF($W46="","",IF(INDEX('Per Invoice'!A$2:A$801,$W46)="","",INDEX('Per Invoice'!A$2:A$801,$W46)))</f>
        <v/>
      </c>
      <c r="B46">
        <f>IF($W46="","",IF(INDEX('Per Invoice'!B$2:B$801,$W46)="","",INDEX('Per Invoice'!B$2:B$801,$W46)))</f>
        <v/>
      </c>
      <c r="C46">
        <f>IF($W46="","",IF(INDEX('Per Invoice'!C$2:C$801,$W46)="","",INDEX('Per Invoice'!C$2:C$801,$W46)))</f>
        <v/>
      </c>
      <c r="D46">
        <f>IF($W46="","",IF(INDEX('Per Invoice'!D$2:D$801,$W46)="","",INDEX('Per Invoice'!D$2:D$801,$W46)))</f>
        <v/>
      </c>
      <c r="E46">
        <f>IF($W46="","",IF(INDEX('Per Invoice'!E$2:E$801,$W46)="","",INDEX('Per Invoice'!E$2:E$801,$W46)))</f>
        <v/>
      </c>
      <c r="F46">
        <f>IF($W46="","",IF(INDEX('Per Invoice'!F$2:F$801,$W46)="","",INDEX('Per Invoice'!F$2:F$801,$W46)))</f>
        <v/>
      </c>
      <c r="G46">
        <f>IF($W46="","",IF(INDEX('Per Invoice'!G$2:G$801,$W46)="","",INDEX('Per Invoice'!G$2:G$801,$W46)))</f>
        <v/>
      </c>
      <c r="H46">
        <f>IF($W46="","",IF(INDEX('Per Invoice'!H$2:H$801,$W46)="","",INDEX('Per Invoice'!H$2:H$801,$W46)))</f>
        <v/>
      </c>
      <c r="I46">
        <f>IF($W46="","",IF(INDEX('Per Invoice'!I$2:I$801,$W46)="","",INDEX('Per Invoice'!I$2:I$801,$W46)))</f>
        <v/>
      </c>
      <c r="J46">
        <f>IF($W46="","",IF(INDEX('Per Invoice'!J$2:J$801,$W46)="","",INDEX('Per Invoice'!J$2:J$801,$W46)))</f>
        <v/>
      </c>
      <c r="K46" s="7">
        <f>IF($W46="","",IF(INDEX('Per Invoice'!K$2:K$801,$W46)="","",INDEX('Per Invoice'!K$2:K$801,$W46)))</f>
        <v/>
      </c>
      <c r="L46" s="14">
        <f>IF($W46="","",IF(INDEX('Per Invoice'!L$2:L$801,$W46)="","",INDEX('Per Invoice'!L$2:L$801,$W46)))</f>
        <v/>
      </c>
      <c r="M46">
        <f>IF($W46="","",IF(INDEX('Per Invoice'!M$2:M$801,$W46)="","",INDEX('Per Invoice'!M$2:M$801,$W46)))</f>
        <v/>
      </c>
      <c r="N46" s="7">
        <f>IF($W46="","",IF(INDEX('Per Invoice'!N$2:N$801,$W46)="","",INDEX('Per Invoice'!N$2:N$801,$W46)))</f>
        <v/>
      </c>
      <c r="O46" s="7">
        <f>IF($W46="","",IF(INDEX('Per Invoice'!O$2:O$801,$W46)="","",INDEX('Per Invoice'!O$2:O$801,$W46)))</f>
        <v/>
      </c>
      <c r="P46">
        <f>IF($W46="","",IF(INDEX('Per Invoice'!P$2:P$801,$W46)="","",INDEX('Per Invoice'!P$2:P$801,$W46)))</f>
        <v/>
      </c>
      <c r="Q46" s="7">
        <f>IF($W46="","",IF(INDEX('Per Invoice'!Q$2:Q$801,$W46)="","",INDEX('Per Invoice'!Q$2:Q$801,$W46)))</f>
        <v/>
      </c>
      <c r="R46" s="7">
        <f>IF($W46="","",IF(INDEX('Per Invoice'!R$2:R$801,$W46)="","",INDEX('Per Invoice'!R$2:R$801,$W46)))</f>
        <v/>
      </c>
      <c r="S46" s="7">
        <f>IF($W46="","",IF(INDEX('Per Invoice'!S$2:S$801,$W46)="","",INDEX('Per Invoice'!S$2:S$801,$W46)))</f>
        <v/>
      </c>
      <c r="T46" s="7">
        <f>IF($W46="","",IF(INDEX('Per Invoice'!T$2:T$801,$W46)="","",INDEX('Per Invoice'!T$2:T$801,$W46)))</f>
        <v/>
      </c>
      <c r="U46" s="7">
        <f>IF($W46="","",IF(INDEX('Per Invoice'!U$2:U$801,$W46)="","",INDEX('Per Invoice'!U$2:U$801,$W46)))</f>
        <v/>
      </c>
      <c r="V46" s="7">
        <f>IF($W46="","",IF(INDEX('Per Invoice'!V$2:V$801,$W46)="","",INDEX('Per Invoice'!V$2:V$801,$W46)))</f>
        <v/>
      </c>
      <c r="W46" s="16">
        <f>IFERROR(MATCH(Settings!$C$30&amp;"|"&amp;ROWS($W$2:$W46),'Per Invoice'!$X$2:$X$801,0),"")</f>
        <v/>
      </c>
    </row>
    <row r="47">
      <c r="A47">
        <f>IF($W47="","",IF(INDEX('Per Invoice'!A$2:A$801,$W47)="","",INDEX('Per Invoice'!A$2:A$801,$W47)))</f>
        <v/>
      </c>
      <c r="B47">
        <f>IF($W47="","",IF(INDEX('Per Invoice'!B$2:B$801,$W47)="","",INDEX('Per Invoice'!B$2:B$801,$W47)))</f>
        <v/>
      </c>
      <c r="C47">
        <f>IF($W47="","",IF(INDEX('Per Invoice'!C$2:C$801,$W47)="","",INDEX('Per Invoice'!C$2:C$801,$W47)))</f>
        <v/>
      </c>
      <c r="D47">
        <f>IF($W47="","",IF(INDEX('Per Invoice'!D$2:D$801,$W47)="","",INDEX('Per Invoice'!D$2:D$801,$W47)))</f>
        <v/>
      </c>
      <c r="E47">
        <f>IF($W47="","",IF(INDEX('Per Invoice'!E$2:E$801,$W47)="","",INDEX('Per Invoice'!E$2:E$801,$W47)))</f>
        <v/>
      </c>
      <c r="F47">
        <f>IF($W47="","",IF(INDEX('Per Invoice'!F$2:F$801,$W47)="","",INDEX('Per Invoice'!F$2:F$801,$W47)))</f>
        <v/>
      </c>
      <c r="G47">
        <f>IF($W47="","",IF(INDEX('Per Invoice'!G$2:G$801,$W47)="","",INDEX('Per Invoice'!G$2:G$801,$W47)))</f>
        <v/>
      </c>
      <c r="H47">
        <f>IF($W47="","",IF(INDEX('Per Invoice'!H$2:H$801,$W47)="","",INDEX('Per Invoice'!H$2:H$801,$W47)))</f>
        <v/>
      </c>
      <c r="I47">
        <f>IF($W47="","",IF(INDEX('Per Invoice'!I$2:I$801,$W47)="","",INDEX('Per Invoice'!I$2:I$801,$W47)))</f>
        <v/>
      </c>
      <c r="J47">
        <f>IF($W47="","",IF(INDEX('Per Invoice'!J$2:J$801,$W47)="","",INDEX('Per Invoice'!J$2:J$801,$W47)))</f>
        <v/>
      </c>
      <c r="K47" s="7">
        <f>IF($W47="","",IF(INDEX('Per Invoice'!K$2:K$801,$W47)="","",INDEX('Per Invoice'!K$2:K$801,$W47)))</f>
        <v/>
      </c>
      <c r="L47" s="14">
        <f>IF($W47="","",IF(INDEX('Per Invoice'!L$2:L$801,$W47)="","",INDEX('Per Invoice'!L$2:L$801,$W47)))</f>
        <v/>
      </c>
      <c r="M47">
        <f>IF($W47="","",IF(INDEX('Per Invoice'!M$2:M$801,$W47)="","",INDEX('Per Invoice'!M$2:M$801,$W47)))</f>
        <v/>
      </c>
      <c r="N47" s="7">
        <f>IF($W47="","",IF(INDEX('Per Invoice'!N$2:N$801,$W47)="","",INDEX('Per Invoice'!N$2:N$801,$W47)))</f>
        <v/>
      </c>
      <c r="O47" s="7">
        <f>IF($W47="","",IF(INDEX('Per Invoice'!O$2:O$801,$W47)="","",INDEX('Per Invoice'!O$2:O$801,$W47)))</f>
        <v/>
      </c>
      <c r="P47">
        <f>IF($W47="","",IF(INDEX('Per Invoice'!P$2:P$801,$W47)="","",INDEX('Per Invoice'!P$2:P$801,$W47)))</f>
        <v/>
      </c>
      <c r="Q47" s="7">
        <f>IF($W47="","",IF(INDEX('Per Invoice'!Q$2:Q$801,$W47)="","",INDEX('Per Invoice'!Q$2:Q$801,$W47)))</f>
        <v/>
      </c>
      <c r="R47" s="7">
        <f>IF($W47="","",IF(INDEX('Per Invoice'!R$2:R$801,$W47)="","",INDEX('Per Invoice'!R$2:R$801,$W47)))</f>
        <v/>
      </c>
      <c r="S47" s="7">
        <f>IF($W47="","",IF(INDEX('Per Invoice'!S$2:S$801,$W47)="","",INDEX('Per Invoice'!S$2:S$801,$W47)))</f>
        <v/>
      </c>
      <c r="T47" s="7">
        <f>IF($W47="","",IF(INDEX('Per Invoice'!T$2:T$801,$W47)="","",INDEX('Per Invoice'!T$2:T$801,$W47)))</f>
        <v/>
      </c>
      <c r="U47" s="7">
        <f>IF($W47="","",IF(INDEX('Per Invoice'!U$2:U$801,$W47)="","",INDEX('Per Invoice'!U$2:U$801,$W47)))</f>
        <v/>
      </c>
      <c r="V47" s="7">
        <f>IF($W47="","",IF(INDEX('Per Invoice'!V$2:V$801,$W47)="","",INDEX('Per Invoice'!V$2:V$801,$W47)))</f>
        <v/>
      </c>
      <c r="W47" s="16">
        <f>IFERROR(MATCH(Settings!$C$30&amp;"|"&amp;ROWS($W$2:$W47),'Per Invoice'!$X$2:$X$801,0),"")</f>
        <v/>
      </c>
    </row>
    <row r="48">
      <c r="A48">
        <f>IF($W48="","",IF(INDEX('Per Invoice'!A$2:A$801,$W48)="","",INDEX('Per Invoice'!A$2:A$801,$W48)))</f>
        <v/>
      </c>
      <c r="B48">
        <f>IF($W48="","",IF(INDEX('Per Invoice'!B$2:B$801,$W48)="","",INDEX('Per Invoice'!B$2:B$801,$W48)))</f>
        <v/>
      </c>
      <c r="C48">
        <f>IF($W48="","",IF(INDEX('Per Invoice'!C$2:C$801,$W48)="","",INDEX('Per Invoice'!C$2:C$801,$W48)))</f>
        <v/>
      </c>
      <c r="D48">
        <f>IF($W48="","",IF(INDEX('Per Invoice'!D$2:D$801,$W48)="","",INDEX('Per Invoice'!D$2:D$801,$W48)))</f>
        <v/>
      </c>
      <c r="E48">
        <f>IF($W48="","",IF(INDEX('Per Invoice'!E$2:E$801,$W48)="","",INDEX('Per Invoice'!E$2:E$801,$W48)))</f>
        <v/>
      </c>
      <c r="F48">
        <f>IF($W48="","",IF(INDEX('Per Invoice'!F$2:F$801,$W48)="","",INDEX('Per Invoice'!F$2:F$801,$W48)))</f>
        <v/>
      </c>
      <c r="G48">
        <f>IF($W48="","",IF(INDEX('Per Invoice'!G$2:G$801,$W48)="","",INDEX('Per Invoice'!G$2:G$801,$W48)))</f>
        <v/>
      </c>
      <c r="H48">
        <f>IF($W48="","",IF(INDEX('Per Invoice'!H$2:H$801,$W48)="","",INDEX('Per Invoice'!H$2:H$801,$W48)))</f>
        <v/>
      </c>
      <c r="I48">
        <f>IF($W48="","",IF(INDEX('Per Invoice'!I$2:I$801,$W48)="","",INDEX('Per Invoice'!I$2:I$801,$W48)))</f>
        <v/>
      </c>
      <c r="J48">
        <f>IF($W48="","",IF(INDEX('Per Invoice'!J$2:J$801,$W48)="","",INDEX('Per Invoice'!J$2:J$801,$W48)))</f>
        <v/>
      </c>
      <c r="K48" s="7">
        <f>IF($W48="","",IF(INDEX('Per Invoice'!K$2:K$801,$W48)="","",INDEX('Per Invoice'!K$2:K$801,$W48)))</f>
        <v/>
      </c>
      <c r="L48" s="14">
        <f>IF($W48="","",IF(INDEX('Per Invoice'!L$2:L$801,$W48)="","",INDEX('Per Invoice'!L$2:L$801,$W48)))</f>
        <v/>
      </c>
      <c r="M48">
        <f>IF($W48="","",IF(INDEX('Per Invoice'!M$2:M$801,$W48)="","",INDEX('Per Invoice'!M$2:M$801,$W48)))</f>
        <v/>
      </c>
      <c r="N48" s="7">
        <f>IF($W48="","",IF(INDEX('Per Invoice'!N$2:N$801,$W48)="","",INDEX('Per Invoice'!N$2:N$801,$W48)))</f>
        <v/>
      </c>
      <c r="O48" s="7">
        <f>IF($W48="","",IF(INDEX('Per Invoice'!O$2:O$801,$W48)="","",INDEX('Per Invoice'!O$2:O$801,$W48)))</f>
        <v/>
      </c>
      <c r="P48">
        <f>IF($W48="","",IF(INDEX('Per Invoice'!P$2:P$801,$W48)="","",INDEX('Per Invoice'!P$2:P$801,$W48)))</f>
        <v/>
      </c>
      <c r="Q48" s="7">
        <f>IF($W48="","",IF(INDEX('Per Invoice'!Q$2:Q$801,$W48)="","",INDEX('Per Invoice'!Q$2:Q$801,$W48)))</f>
        <v/>
      </c>
      <c r="R48" s="7">
        <f>IF($W48="","",IF(INDEX('Per Invoice'!R$2:R$801,$W48)="","",INDEX('Per Invoice'!R$2:R$801,$W48)))</f>
        <v/>
      </c>
      <c r="S48" s="7">
        <f>IF($W48="","",IF(INDEX('Per Invoice'!S$2:S$801,$W48)="","",INDEX('Per Invoice'!S$2:S$801,$W48)))</f>
        <v/>
      </c>
      <c r="T48" s="7">
        <f>IF($W48="","",IF(INDEX('Per Invoice'!T$2:T$801,$W48)="","",INDEX('Per Invoice'!T$2:T$801,$W48)))</f>
        <v/>
      </c>
      <c r="U48" s="7">
        <f>IF($W48="","",IF(INDEX('Per Invoice'!U$2:U$801,$W48)="","",INDEX('Per Invoice'!U$2:U$801,$W48)))</f>
        <v/>
      </c>
      <c r="V48" s="7">
        <f>IF($W48="","",IF(INDEX('Per Invoice'!V$2:V$801,$W48)="","",INDEX('Per Invoice'!V$2:V$801,$W48)))</f>
        <v/>
      </c>
      <c r="W48" s="16">
        <f>IFERROR(MATCH(Settings!$C$30&amp;"|"&amp;ROWS($W$2:$W48),'Per Invoice'!$X$2:$X$801,0),"")</f>
        <v/>
      </c>
    </row>
    <row r="49">
      <c r="A49">
        <f>IF($W49="","",IF(INDEX('Per Invoice'!A$2:A$801,$W49)="","",INDEX('Per Invoice'!A$2:A$801,$W49)))</f>
        <v/>
      </c>
      <c r="B49">
        <f>IF($W49="","",IF(INDEX('Per Invoice'!B$2:B$801,$W49)="","",INDEX('Per Invoice'!B$2:B$801,$W49)))</f>
        <v/>
      </c>
      <c r="C49">
        <f>IF($W49="","",IF(INDEX('Per Invoice'!C$2:C$801,$W49)="","",INDEX('Per Invoice'!C$2:C$801,$W49)))</f>
        <v/>
      </c>
      <c r="D49">
        <f>IF($W49="","",IF(INDEX('Per Invoice'!D$2:D$801,$W49)="","",INDEX('Per Invoice'!D$2:D$801,$W49)))</f>
        <v/>
      </c>
      <c r="E49">
        <f>IF($W49="","",IF(INDEX('Per Invoice'!E$2:E$801,$W49)="","",INDEX('Per Invoice'!E$2:E$801,$W49)))</f>
        <v/>
      </c>
      <c r="F49">
        <f>IF($W49="","",IF(INDEX('Per Invoice'!F$2:F$801,$W49)="","",INDEX('Per Invoice'!F$2:F$801,$W49)))</f>
        <v/>
      </c>
      <c r="G49">
        <f>IF($W49="","",IF(INDEX('Per Invoice'!G$2:G$801,$W49)="","",INDEX('Per Invoice'!G$2:G$801,$W49)))</f>
        <v/>
      </c>
      <c r="H49">
        <f>IF($W49="","",IF(INDEX('Per Invoice'!H$2:H$801,$W49)="","",INDEX('Per Invoice'!H$2:H$801,$W49)))</f>
        <v/>
      </c>
      <c r="I49">
        <f>IF($W49="","",IF(INDEX('Per Invoice'!I$2:I$801,$W49)="","",INDEX('Per Invoice'!I$2:I$801,$W49)))</f>
        <v/>
      </c>
      <c r="J49">
        <f>IF($W49="","",IF(INDEX('Per Invoice'!J$2:J$801,$W49)="","",INDEX('Per Invoice'!J$2:J$801,$W49)))</f>
        <v/>
      </c>
      <c r="K49" s="7">
        <f>IF($W49="","",IF(INDEX('Per Invoice'!K$2:K$801,$W49)="","",INDEX('Per Invoice'!K$2:K$801,$W49)))</f>
        <v/>
      </c>
      <c r="L49" s="14">
        <f>IF($W49="","",IF(INDEX('Per Invoice'!L$2:L$801,$W49)="","",INDEX('Per Invoice'!L$2:L$801,$W49)))</f>
        <v/>
      </c>
      <c r="M49">
        <f>IF($W49="","",IF(INDEX('Per Invoice'!M$2:M$801,$W49)="","",INDEX('Per Invoice'!M$2:M$801,$W49)))</f>
        <v/>
      </c>
      <c r="N49" s="7">
        <f>IF($W49="","",IF(INDEX('Per Invoice'!N$2:N$801,$W49)="","",INDEX('Per Invoice'!N$2:N$801,$W49)))</f>
        <v/>
      </c>
      <c r="O49" s="7">
        <f>IF($W49="","",IF(INDEX('Per Invoice'!O$2:O$801,$W49)="","",INDEX('Per Invoice'!O$2:O$801,$W49)))</f>
        <v/>
      </c>
      <c r="P49">
        <f>IF($W49="","",IF(INDEX('Per Invoice'!P$2:P$801,$W49)="","",INDEX('Per Invoice'!P$2:P$801,$W49)))</f>
        <v/>
      </c>
      <c r="Q49" s="7">
        <f>IF($W49="","",IF(INDEX('Per Invoice'!Q$2:Q$801,$W49)="","",INDEX('Per Invoice'!Q$2:Q$801,$W49)))</f>
        <v/>
      </c>
      <c r="R49" s="7">
        <f>IF($W49="","",IF(INDEX('Per Invoice'!R$2:R$801,$W49)="","",INDEX('Per Invoice'!R$2:R$801,$W49)))</f>
        <v/>
      </c>
      <c r="S49" s="7">
        <f>IF($W49="","",IF(INDEX('Per Invoice'!S$2:S$801,$W49)="","",INDEX('Per Invoice'!S$2:S$801,$W49)))</f>
        <v/>
      </c>
      <c r="T49" s="7">
        <f>IF($W49="","",IF(INDEX('Per Invoice'!T$2:T$801,$W49)="","",INDEX('Per Invoice'!T$2:T$801,$W49)))</f>
        <v/>
      </c>
      <c r="U49" s="7">
        <f>IF($W49="","",IF(INDEX('Per Invoice'!U$2:U$801,$W49)="","",INDEX('Per Invoice'!U$2:U$801,$W49)))</f>
        <v/>
      </c>
      <c r="V49" s="7">
        <f>IF($W49="","",IF(INDEX('Per Invoice'!V$2:V$801,$W49)="","",INDEX('Per Invoice'!V$2:V$801,$W49)))</f>
        <v/>
      </c>
      <c r="W49" s="16">
        <f>IFERROR(MATCH(Settings!$C$30&amp;"|"&amp;ROWS($W$2:$W49),'Per Invoice'!$X$2:$X$801,0),"")</f>
        <v/>
      </c>
    </row>
    <row r="50">
      <c r="A50">
        <f>IF($W50="","",IF(INDEX('Per Invoice'!A$2:A$801,$W50)="","",INDEX('Per Invoice'!A$2:A$801,$W50)))</f>
        <v/>
      </c>
      <c r="B50">
        <f>IF($W50="","",IF(INDEX('Per Invoice'!B$2:B$801,$W50)="","",INDEX('Per Invoice'!B$2:B$801,$W50)))</f>
        <v/>
      </c>
      <c r="C50">
        <f>IF($W50="","",IF(INDEX('Per Invoice'!C$2:C$801,$W50)="","",INDEX('Per Invoice'!C$2:C$801,$W50)))</f>
        <v/>
      </c>
      <c r="D50">
        <f>IF($W50="","",IF(INDEX('Per Invoice'!D$2:D$801,$W50)="","",INDEX('Per Invoice'!D$2:D$801,$W50)))</f>
        <v/>
      </c>
      <c r="E50">
        <f>IF($W50="","",IF(INDEX('Per Invoice'!E$2:E$801,$W50)="","",INDEX('Per Invoice'!E$2:E$801,$W50)))</f>
        <v/>
      </c>
      <c r="F50">
        <f>IF($W50="","",IF(INDEX('Per Invoice'!F$2:F$801,$W50)="","",INDEX('Per Invoice'!F$2:F$801,$W50)))</f>
        <v/>
      </c>
      <c r="G50">
        <f>IF($W50="","",IF(INDEX('Per Invoice'!G$2:G$801,$W50)="","",INDEX('Per Invoice'!G$2:G$801,$W50)))</f>
        <v/>
      </c>
      <c r="H50">
        <f>IF($W50="","",IF(INDEX('Per Invoice'!H$2:H$801,$W50)="","",INDEX('Per Invoice'!H$2:H$801,$W50)))</f>
        <v/>
      </c>
      <c r="I50">
        <f>IF($W50="","",IF(INDEX('Per Invoice'!I$2:I$801,$W50)="","",INDEX('Per Invoice'!I$2:I$801,$W50)))</f>
        <v/>
      </c>
      <c r="J50">
        <f>IF($W50="","",IF(INDEX('Per Invoice'!J$2:J$801,$W50)="","",INDEX('Per Invoice'!J$2:J$801,$W50)))</f>
        <v/>
      </c>
      <c r="K50" s="7">
        <f>IF($W50="","",IF(INDEX('Per Invoice'!K$2:K$801,$W50)="","",INDEX('Per Invoice'!K$2:K$801,$W50)))</f>
        <v/>
      </c>
      <c r="L50" s="14">
        <f>IF($W50="","",IF(INDEX('Per Invoice'!L$2:L$801,$W50)="","",INDEX('Per Invoice'!L$2:L$801,$W50)))</f>
        <v/>
      </c>
      <c r="M50">
        <f>IF($W50="","",IF(INDEX('Per Invoice'!M$2:M$801,$W50)="","",INDEX('Per Invoice'!M$2:M$801,$W50)))</f>
        <v/>
      </c>
      <c r="N50" s="7">
        <f>IF($W50="","",IF(INDEX('Per Invoice'!N$2:N$801,$W50)="","",INDEX('Per Invoice'!N$2:N$801,$W50)))</f>
        <v/>
      </c>
      <c r="O50" s="7">
        <f>IF($W50="","",IF(INDEX('Per Invoice'!O$2:O$801,$W50)="","",INDEX('Per Invoice'!O$2:O$801,$W50)))</f>
        <v/>
      </c>
      <c r="P50">
        <f>IF($W50="","",IF(INDEX('Per Invoice'!P$2:P$801,$W50)="","",INDEX('Per Invoice'!P$2:P$801,$W50)))</f>
        <v/>
      </c>
      <c r="Q50" s="7">
        <f>IF($W50="","",IF(INDEX('Per Invoice'!Q$2:Q$801,$W50)="","",INDEX('Per Invoice'!Q$2:Q$801,$W50)))</f>
        <v/>
      </c>
      <c r="R50" s="7">
        <f>IF($W50="","",IF(INDEX('Per Invoice'!R$2:R$801,$W50)="","",INDEX('Per Invoice'!R$2:R$801,$W50)))</f>
        <v/>
      </c>
      <c r="S50" s="7">
        <f>IF($W50="","",IF(INDEX('Per Invoice'!S$2:S$801,$W50)="","",INDEX('Per Invoice'!S$2:S$801,$W50)))</f>
        <v/>
      </c>
      <c r="T50" s="7">
        <f>IF($W50="","",IF(INDEX('Per Invoice'!T$2:T$801,$W50)="","",INDEX('Per Invoice'!T$2:T$801,$W50)))</f>
        <v/>
      </c>
      <c r="U50" s="7">
        <f>IF($W50="","",IF(INDEX('Per Invoice'!U$2:U$801,$W50)="","",INDEX('Per Invoice'!U$2:U$801,$W50)))</f>
        <v/>
      </c>
      <c r="V50" s="7">
        <f>IF($W50="","",IF(INDEX('Per Invoice'!V$2:V$801,$W50)="","",INDEX('Per Invoice'!V$2:V$801,$W50)))</f>
        <v/>
      </c>
      <c r="W50" s="16">
        <f>IFERROR(MATCH(Settings!$C$30&amp;"|"&amp;ROWS($W$2:$W50),'Per Invoice'!$X$2:$X$801,0),"")</f>
        <v/>
      </c>
    </row>
    <row r="51">
      <c r="A51">
        <f>IF($W51="","",IF(INDEX('Per Invoice'!A$2:A$801,$W51)="","",INDEX('Per Invoice'!A$2:A$801,$W51)))</f>
        <v/>
      </c>
      <c r="B51">
        <f>IF($W51="","",IF(INDEX('Per Invoice'!B$2:B$801,$W51)="","",INDEX('Per Invoice'!B$2:B$801,$W51)))</f>
        <v/>
      </c>
      <c r="C51">
        <f>IF($W51="","",IF(INDEX('Per Invoice'!C$2:C$801,$W51)="","",INDEX('Per Invoice'!C$2:C$801,$W51)))</f>
        <v/>
      </c>
      <c r="D51">
        <f>IF($W51="","",IF(INDEX('Per Invoice'!D$2:D$801,$W51)="","",INDEX('Per Invoice'!D$2:D$801,$W51)))</f>
        <v/>
      </c>
      <c r="E51">
        <f>IF($W51="","",IF(INDEX('Per Invoice'!E$2:E$801,$W51)="","",INDEX('Per Invoice'!E$2:E$801,$W51)))</f>
        <v/>
      </c>
      <c r="F51">
        <f>IF($W51="","",IF(INDEX('Per Invoice'!F$2:F$801,$W51)="","",INDEX('Per Invoice'!F$2:F$801,$W51)))</f>
        <v/>
      </c>
      <c r="G51">
        <f>IF($W51="","",IF(INDEX('Per Invoice'!G$2:G$801,$W51)="","",INDEX('Per Invoice'!G$2:G$801,$W51)))</f>
        <v/>
      </c>
      <c r="H51">
        <f>IF($W51="","",IF(INDEX('Per Invoice'!H$2:H$801,$W51)="","",INDEX('Per Invoice'!H$2:H$801,$W51)))</f>
        <v/>
      </c>
      <c r="I51">
        <f>IF($W51="","",IF(INDEX('Per Invoice'!I$2:I$801,$W51)="","",INDEX('Per Invoice'!I$2:I$801,$W51)))</f>
        <v/>
      </c>
      <c r="J51">
        <f>IF($W51="","",IF(INDEX('Per Invoice'!J$2:J$801,$W51)="","",INDEX('Per Invoice'!J$2:J$801,$W51)))</f>
        <v/>
      </c>
      <c r="K51" s="7">
        <f>IF($W51="","",IF(INDEX('Per Invoice'!K$2:K$801,$W51)="","",INDEX('Per Invoice'!K$2:K$801,$W51)))</f>
        <v/>
      </c>
      <c r="L51" s="14">
        <f>IF($W51="","",IF(INDEX('Per Invoice'!L$2:L$801,$W51)="","",INDEX('Per Invoice'!L$2:L$801,$W51)))</f>
        <v/>
      </c>
      <c r="M51">
        <f>IF($W51="","",IF(INDEX('Per Invoice'!M$2:M$801,$W51)="","",INDEX('Per Invoice'!M$2:M$801,$W51)))</f>
        <v/>
      </c>
      <c r="N51" s="7">
        <f>IF($W51="","",IF(INDEX('Per Invoice'!N$2:N$801,$W51)="","",INDEX('Per Invoice'!N$2:N$801,$W51)))</f>
        <v/>
      </c>
      <c r="O51" s="7">
        <f>IF($W51="","",IF(INDEX('Per Invoice'!O$2:O$801,$W51)="","",INDEX('Per Invoice'!O$2:O$801,$W51)))</f>
        <v/>
      </c>
      <c r="P51">
        <f>IF($W51="","",IF(INDEX('Per Invoice'!P$2:P$801,$W51)="","",INDEX('Per Invoice'!P$2:P$801,$W51)))</f>
        <v/>
      </c>
      <c r="Q51" s="7">
        <f>IF($W51="","",IF(INDEX('Per Invoice'!Q$2:Q$801,$W51)="","",INDEX('Per Invoice'!Q$2:Q$801,$W51)))</f>
        <v/>
      </c>
      <c r="R51" s="7">
        <f>IF($W51="","",IF(INDEX('Per Invoice'!R$2:R$801,$W51)="","",INDEX('Per Invoice'!R$2:R$801,$W51)))</f>
        <v/>
      </c>
      <c r="S51" s="7">
        <f>IF($W51="","",IF(INDEX('Per Invoice'!S$2:S$801,$W51)="","",INDEX('Per Invoice'!S$2:S$801,$W51)))</f>
        <v/>
      </c>
      <c r="T51" s="7">
        <f>IF($W51="","",IF(INDEX('Per Invoice'!T$2:T$801,$W51)="","",INDEX('Per Invoice'!T$2:T$801,$W51)))</f>
        <v/>
      </c>
      <c r="U51" s="7">
        <f>IF($W51="","",IF(INDEX('Per Invoice'!U$2:U$801,$W51)="","",INDEX('Per Invoice'!U$2:U$801,$W51)))</f>
        <v/>
      </c>
      <c r="V51" s="7">
        <f>IF($W51="","",IF(INDEX('Per Invoice'!V$2:V$801,$W51)="","",INDEX('Per Invoice'!V$2:V$801,$W51)))</f>
        <v/>
      </c>
      <c r="W51" s="16">
        <f>IFERROR(MATCH(Settings!$C$30&amp;"|"&amp;ROWS($W$2:$W51),'Per Invoice'!$X$2:$X$801,0),"")</f>
        <v/>
      </c>
    </row>
    <row r="52">
      <c r="A52">
        <f>IF($W52="","",IF(INDEX('Per Invoice'!A$2:A$801,$W52)="","",INDEX('Per Invoice'!A$2:A$801,$W52)))</f>
        <v/>
      </c>
      <c r="B52">
        <f>IF($W52="","",IF(INDEX('Per Invoice'!B$2:B$801,$W52)="","",INDEX('Per Invoice'!B$2:B$801,$W52)))</f>
        <v/>
      </c>
      <c r="C52">
        <f>IF($W52="","",IF(INDEX('Per Invoice'!C$2:C$801,$W52)="","",INDEX('Per Invoice'!C$2:C$801,$W52)))</f>
        <v/>
      </c>
      <c r="D52">
        <f>IF($W52="","",IF(INDEX('Per Invoice'!D$2:D$801,$W52)="","",INDEX('Per Invoice'!D$2:D$801,$W52)))</f>
        <v/>
      </c>
      <c r="E52">
        <f>IF($W52="","",IF(INDEX('Per Invoice'!E$2:E$801,$W52)="","",INDEX('Per Invoice'!E$2:E$801,$W52)))</f>
        <v/>
      </c>
      <c r="F52">
        <f>IF($W52="","",IF(INDEX('Per Invoice'!F$2:F$801,$W52)="","",INDEX('Per Invoice'!F$2:F$801,$W52)))</f>
        <v/>
      </c>
      <c r="G52">
        <f>IF($W52="","",IF(INDEX('Per Invoice'!G$2:G$801,$W52)="","",INDEX('Per Invoice'!G$2:G$801,$W52)))</f>
        <v/>
      </c>
      <c r="H52">
        <f>IF($W52="","",IF(INDEX('Per Invoice'!H$2:H$801,$W52)="","",INDEX('Per Invoice'!H$2:H$801,$W52)))</f>
        <v/>
      </c>
      <c r="I52">
        <f>IF($W52="","",IF(INDEX('Per Invoice'!I$2:I$801,$W52)="","",INDEX('Per Invoice'!I$2:I$801,$W52)))</f>
        <v/>
      </c>
      <c r="J52">
        <f>IF($W52="","",IF(INDEX('Per Invoice'!J$2:J$801,$W52)="","",INDEX('Per Invoice'!J$2:J$801,$W52)))</f>
        <v/>
      </c>
      <c r="K52" s="7">
        <f>IF($W52="","",IF(INDEX('Per Invoice'!K$2:K$801,$W52)="","",INDEX('Per Invoice'!K$2:K$801,$W52)))</f>
        <v/>
      </c>
      <c r="L52" s="14">
        <f>IF($W52="","",IF(INDEX('Per Invoice'!L$2:L$801,$W52)="","",INDEX('Per Invoice'!L$2:L$801,$W52)))</f>
        <v/>
      </c>
      <c r="M52">
        <f>IF($W52="","",IF(INDEX('Per Invoice'!M$2:M$801,$W52)="","",INDEX('Per Invoice'!M$2:M$801,$W52)))</f>
        <v/>
      </c>
      <c r="N52" s="7">
        <f>IF($W52="","",IF(INDEX('Per Invoice'!N$2:N$801,$W52)="","",INDEX('Per Invoice'!N$2:N$801,$W52)))</f>
        <v/>
      </c>
      <c r="O52" s="7">
        <f>IF($W52="","",IF(INDEX('Per Invoice'!O$2:O$801,$W52)="","",INDEX('Per Invoice'!O$2:O$801,$W52)))</f>
        <v/>
      </c>
      <c r="P52">
        <f>IF($W52="","",IF(INDEX('Per Invoice'!P$2:P$801,$W52)="","",INDEX('Per Invoice'!P$2:P$801,$W52)))</f>
        <v/>
      </c>
      <c r="Q52" s="7">
        <f>IF($W52="","",IF(INDEX('Per Invoice'!Q$2:Q$801,$W52)="","",INDEX('Per Invoice'!Q$2:Q$801,$W52)))</f>
        <v/>
      </c>
      <c r="R52" s="7">
        <f>IF($W52="","",IF(INDEX('Per Invoice'!R$2:R$801,$W52)="","",INDEX('Per Invoice'!R$2:R$801,$W52)))</f>
        <v/>
      </c>
      <c r="S52" s="7">
        <f>IF($W52="","",IF(INDEX('Per Invoice'!S$2:S$801,$W52)="","",INDEX('Per Invoice'!S$2:S$801,$W52)))</f>
        <v/>
      </c>
      <c r="T52" s="7">
        <f>IF($W52="","",IF(INDEX('Per Invoice'!T$2:T$801,$W52)="","",INDEX('Per Invoice'!T$2:T$801,$W52)))</f>
        <v/>
      </c>
      <c r="U52" s="7">
        <f>IF($W52="","",IF(INDEX('Per Invoice'!U$2:U$801,$W52)="","",INDEX('Per Invoice'!U$2:U$801,$W52)))</f>
        <v/>
      </c>
      <c r="V52" s="7">
        <f>IF($W52="","",IF(INDEX('Per Invoice'!V$2:V$801,$W52)="","",INDEX('Per Invoice'!V$2:V$801,$W52)))</f>
        <v/>
      </c>
      <c r="W52" s="16">
        <f>IFERROR(MATCH(Settings!$C$30&amp;"|"&amp;ROWS($W$2:$W52),'Per Invoice'!$X$2:$X$801,0),"")</f>
        <v/>
      </c>
    </row>
    <row r="53">
      <c r="A53">
        <f>IF($W53="","",IF(INDEX('Per Invoice'!A$2:A$801,$W53)="","",INDEX('Per Invoice'!A$2:A$801,$W53)))</f>
        <v/>
      </c>
      <c r="B53">
        <f>IF($W53="","",IF(INDEX('Per Invoice'!B$2:B$801,$W53)="","",INDEX('Per Invoice'!B$2:B$801,$W53)))</f>
        <v/>
      </c>
      <c r="C53">
        <f>IF($W53="","",IF(INDEX('Per Invoice'!C$2:C$801,$W53)="","",INDEX('Per Invoice'!C$2:C$801,$W53)))</f>
        <v/>
      </c>
      <c r="D53">
        <f>IF($W53="","",IF(INDEX('Per Invoice'!D$2:D$801,$W53)="","",INDEX('Per Invoice'!D$2:D$801,$W53)))</f>
        <v/>
      </c>
      <c r="E53">
        <f>IF($W53="","",IF(INDEX('Per Invoice'!E$2:E$801,$W53)="","",INDEX('Per Invoice'!E$2:E$801,$W53)))</f>
        <v/>
      </c>
      <c r="F53">
        <f>IF($W53="","",IF(INDEX('Per Invoice'!F$2:F$801,$W53)="","",INDEX('Per Invoice'!F$2:F$801,$W53)))</f>
        <v/>
      </c>
      <c r="G53">
        <f>IF($W53="","",IF(INDEX('Per Invoice'!G$2:G$801,$W53)="","",INDEX('Per Invoice'!G$2:G$801,$W53)))</f>
        <v/>
      </c>
      <c r="H53">
        <f>IF($W53="","",IF(INDEX('Per Invoice'!H$2:H$801,$W53)="","",INDEX('Per Invoice'!H$2:H$801,$W53)))</f>
        <v/>
      </c>
      <c r="I53">
        <f>IF($W53="","",IF(INDEX('Per Invoice'!I$2:I$801,$W53)="","",INDEX('Per Invoice'!I$2:I$801,$W53)))</f>
        <v/>
      </c>
      <c r="J53">
        <f>IF($W53="","",IF(INDEX('Per Invoice'!J$2:J$801,$W53)="","",INDEX('Per Invoice'!J$2:J$801,$W53)))</f>
        <v/>
      </c>
      <c r="K53" s="7">
        <f>IF($W53="","",IF(INDEX('Per Invoice'!K$2:K$801,$W53)="","",INDEX('Per Invoice'!K$2:K$801,$W53)))</f>
        <v/>
      </c>
      <c r="L53" s="14">
        <f>IF($W53="","",IF(INDEX('Per Invoice'!L$2:L$801,$W53)="","",INDEX('Per Invoice'!L$2:L$801,$W53)))</f>
        <v/>
      </c>
      <c r="M53">
        <f>IF($W53="","",IF(INDEX('Per Invoice'!M$2:M$801,$W53)="","",INDEX('Per Invoice'!M$2:M$801,$W53)))</f>
        <v/>
      </c>
      <c r="N53" s="7">
        <f>IF($W53="","",IF(INDEX('Per Invoice'!N$2:N$801,$W53)="","",INDEX('Per Invoice'!N$2:N$801,$W53)))</f>
        <v/>
      </c>
      <c r="O53" s="7">
        <f>IF($W53="","",IF(INDEX('Per Invoice'!O$2:O$801,$W53)="","",INDEX('Per Invoice'!O$2:O$801,$W53)))</f>
        <v/>
      </c>
      <c r="P53">
        <f>IF($W53="","",IF(INDEX('Per Invoice'!P$2:P$801,$W53)="","",INDEX('Per Invoice'!P$2:P$801,$W53)))</f>
        <v/>
      </c>
      <c r="Q53" s="7">
        <f>IF($W53="","",IF(INDEX('Per Invoice'!Q$2:Q$801,$W53)="","",INDEX('Per Invoice'!Q$2:Q$801,$W53)))</f>
        <v/>
      </c>
      <c r="R53" s="7">
        <f>IF($W53="","",IF(INDEX('Per Invoice'!R$2:R$801,$W53)="","",INDEX('Per Invoice'!R$2:R$801,$W53)))</f>
        <v/>
      </c>
      <c r="S53" s="7">
        <f>IF($W53="","",IF(INDEX('Per Invoice'!S$2:S$801,$W53)="","",INDEX('Per Invoice'!S$2:S$801,$W53)))</f>
        <v/>
      </c>
      <c r="T53" s="7">
        <f>IF($W53="","",IF(INDEX('Per Invoice'!T$2:T$801,$W53)="","",INDEX('Per Invoice'!T$2:T$801,$W53)))</f>
        <v/>
      </c>
      <c r="U53" s="7">
        <f>IF($W53="","",IF(INDEX('Per Invoice'!U$2:U$801,$W53)="","",INDEX('Per Invoice'!U$2:U$801,$W53)))</f>
        <v/>
      </c>
      <c r="V53" s="7">
        <f>IF($W53="","",IF(INDEX('Per Invoice'!V$2:V$801,$W53)="","",INDEX('Per Invoice'!V$2:V$801,$W53)))</f>
        <v/>
      </c>
      <c r="W53" s="16">
        <f>IFERROR(MATCH(Settings!$C$30&amp;"|"&amp;ROWS($W$2:$W53),'Per Invoice'!$X$2:$X$801,0),"")</f>
        <v/>
      </c>
    </row>
    <row r="54">
      <c r="A54">
        <f>IF($W54="","",IF(INDEX('Per Invoice'!A$2:A$801,$W54)="","",INDEX('Per Invoice'!A$2:A$801,$W54)))</f>
        <v/>
      </c>
      <c r="B54">
        <f>IF($W54="","",IF(INDEX('Per Invoice'!B$2:B$801,$W54)="","",INDEX('Per Invoice'!B$2:B$801,$W54)))</f>
        <v/>
      </c>
      <c r="C54">
        <f>IF($W54="","",IF(INDEX('Per Invoice'!C$2:C$801,$W54)="","",INDEX('Per Invoice'!C$2:C$801,$W54)))</f>
        <v/>
      </c>
      <c r="D54">
        <f>IF($W54="","",IF(INDEX('Per Invoice'!D$2:D$801,$W54)="","",INDEX('Per Invoice'!D$2:D$801,$W54)))</f>
        <v/>
      </c>
      <c r="E54">
        <f>IF($W54="","",IF(INDEX('Per Invoice'!E$2:E$801,$W54)="","",INDEX('Per Invoice'!E$2:E$801,$W54)))</f>
        <v/>
      </c>
      <c r="F54">
        <f>IF($W54="","",IF(INDEX('Per Invoice'!F$2:F$801,$W54)="","",INDEX('Per Invoice'!F$2:F$801,$W54)))</f>
        <v/>
      </c>
      <c r="G54">
        <f>IF($W54="","",IF(INDEX('Per Invoice'!G$2:G$801,$W54)="","",INDEX('Per Invoice'!G$2:G$801,$W54)))</f>
        <v/>
      </c>
      <c r="H54">
        <f>IF($W54="","",IF(INDEX('Per Invoice'!H$2:H$801,$W54)="","",INDEX('Per Invoice'!H$2:H$801,$W54)))</f>
        <v/>
      </c>
      <c r="I54">
        <f>IF($W54="","",IF(INDEX('Per Invoice'!I$2:I$801,$W54)="","",INDEX('Per Invoice'!I$2:I$801,$W54)))</f>
        <v/>
      </c>
      <c r="J54">
        <f>IF($W54="","",IF(INDEX('Per Invoice'!J$2:J$801,$W54)="","",INDEX('Per Invoice'!J$2:J$801,$W54)))</f>
        <v/>
      </c>
      <c r="K54" s="7">
        <f>IF($W54="","",IF(INDEX('Per Invoice'!K$2:K$801,$W54)="","",INDEX('Per Invoice'!K$2:K$801,$W54)))</f>
        <v/>
      </c>
      <c r="L54" s="14">
        <f>IF($W54="","",IF(INDEX('Per Invoice'!L$2:L$801,$W54)="","",INDEX('Per Invoice'!L$2:L$801,$W54)))</f>
        <v/>
      </c>
      <c r="M54">
        <f>IF($W54="","",IF(INDEX('Per Invoice'!M$2:M$801,$W54)="","",INDEX('Per Invoice'!M$2:M$801,$W54)))</f>
        <v/>
      </c>
      <c r="N54" s="7">
        <f>IF($W54="","",IF(INDEX('Per Invoice'!N$2:N$801,$W54)="","",INDEX('Per Invoice'!N$2:N$801,$W54)))</f>
        <v/>
      </c>
      <c r="O54" s="7">
        <f>IF($W54="","",IF(INDEX('Per Invoice'!O$2:O$801,$W54)="","",INDEX('Per Invoice'!O$2:O$801,$W54)))</f>
        <v/>
      </c>
      <c r="P54">
        <f>IF($W54="","",IF(INDEX('Per Invoice'!P$2:P$801,$W54)="","",INDEX('Per Invoice'!P$2:P$801,$W54)))</f>
        <v/>
      </c>
      <c r="Q54" s="7">
        <f>IF($W54="","",IF(INDEX('Per Invoice'!Q$2:Q$801,$W54)="","",INDEX('Per Invoice'!Q$2:Q$801,$W54)))</f>
        <v/>
      </c>
      <c r="R54" s="7">
        <f>IF($W54="","",IF(INDEX('Per Invoice'!R$2:R$801,$W54)="","",INDEX('Per Invoice'!R$2:R$801,$W54)))</f>
        <v/>
      </c>
      <c r="S54" s="7">
        <f>IF($W54="","",IF(INDEX('Per Invoice'!S$2:S$801,$W54)="","",INDEX('Per Invoice'!S$2:S$801,$W54)))</f>
        <v/>
      </c>
      <c r="T54" s="7">
        <f>IF($W54="","",IF(INDEX('Per Invoice'!T$2:T$801,$W54)="","",INDEX('Per Invoice'!T$2:T$801,$W54)))</f>
        <v/>
      </c>
      <c r="U54" s="7">
        <f>IF($W54="","",IF(INDEX('Per Invoice'!U$2:U$801,$W54)="","",INDEX('Per Invoice'!U$2:U$801,$W54)))</f>
        <v/>
      </c>
      <c r="V54" s="7">
        <f>IF($W54="","",IF(INDEX('Per Invoice'!V$2:V$801,$W54)="","",INDEX('Per Invoice'!V$2:V$801,$W54)))</f>
        <v/>
      </c>
      <c r="W54" s="16">
        <f>IFERROR(MATCH(Settings!$C$30&amp;"|"&amp;ROWS($W$2:$W54),'Per Invoice'!$X$2:$X$801,0),"")</f>
        <v/>
      </c>
    </row>
    <row r="55">
      <c r="A55">
        <f>IF($W55="","",IF(INDEX('Per Invoice'!A$2:A$801,$W55)="","",INDEX('Per Invoice'!A$2:A$801,$W55)))</f>
        <v/>
      </c>
      <c r="B55">
        <f>IF($W55="","",IF(INDEX('Per Invoice'!B$2:B$801,$W55)="","",INDEX('Per Invoice'!B$2:B$801,$W55)))</f>
        <v/>
      </c>
      <c r="C55">
        <f>IF($W55="","",IF(INDEX('Per Invoice'!C$2:C$801,$W55)="","",INDEX('Per Invoice'!C$2:C$801,$W55)))</f>
        <v/>
      </c>
      <c r="D55">
        <f>IF($W55="","",IF(INDEX('Per Invoice'!D$2:D$801,$W55)="","",INDEX('Per Invoice'!D$2:D$801,$W55)))</f>
        <v/>
      </c>
      <c r="E55">
        <f>IF($W55="","",IF(INDEX('Per Invoice'!E$2:E$801,$W55)="","",INDEX('Per Invoice'!E$2:E$801,$W55)))</f>
        <v/>
      </c>
      <c r="F55">
        <f>IF($W55="","",IF(INDEX('Per Invoice'!F$2:F$801,$W55)="","",INDEX('Per Invoice'!F$2:F$801,$W55)))</f>
        <v/>
      </c>
      <c r="G55">
        <f>IF($W55="","",IF(INDEX('Per Invoice'!G$2:G$801,$W55)="","",INDEX('Per Invoice'!G$2:G$801,$W55)))</f>
        <v/>
      </c>
      <c r="H55">
        <f>IF($W55="","",IF(INDEX('Per Invoice'!H$2:H$801,$W55)="","",INDEX('Per Invoice'!H$2:H$801,$W55)))</f>
        <v/>
      </c>
      <c r="I55">
        <f>IF($W55="","",IF(INDEX('Per Invoice'!I$2:I$801,$W55)="","",INDEX('Per Invoice'!I$2:I$801,$W55)))</f>
        <v/>
      </c>
      <c r="J55">
        <f>IF($W55="","",IF(INDEX('Per Invoice'!J$2:J$801,$W55)="","",INDEX('Per Invoice'!J$2:J$801,$W55)))</f>
        <v/>
      </c>
      <c r="K55" s="7">
        <f>IF($W55="","",IF(INDEX('Per Invoice'!K$2:K$801,$W55)="","",INDEX('Per Invoice'!K$2:K$801,$W55)))</f>
        <v/>
      </c>
      <c r="L55" s="14">
        <f>IF($W55="","",IF(INDEX('Per Invoice'!L$2:L$801,$W55)="","",INDEX('Per Invoice'!L$2:L$801,$W55)))</f>
        <v/>
      </c>
      <c r="M55">
        <f>IF($W55="","",IF(INDEX('Per Invoice'!M$2:M$801,$W55)="","",INDEX('Per Invoice'!M$2:M$801,$W55)))</f>
        <v/>
      </c>
      <c r="N55" s="7">
        <f>IF($W55="","",IF(INDEX('Per Invoice'!N$2:N$801,$W55)="","",INDEX('Per Invoice'!N$2:N$801,$W55)))</f>
        <v/>
      </c>
      <c r="O55" s="7">
        <f>IF($W55="","",IF(INDEX('Per Invoice'!O$2:O$801,$W55)="","",INDEX('Per Invoice'!O$2:O$801,$W55)))</f>
        <v/>
      </c>
      <c r="P55">
        <f>IF($W55="","",IF(INDEX('Per Invoice'!P$2:P$801,$W55)="","",INDEX('Per Invoice'!P$2:P$801,$W55)))</f>
        <v/>
      </c>
      <c r="Q55" s="7">
        <f>IF($W55="","",IF(INDEX('Per Invoice'!Q$2:Q$801,$W55)="","",INDEX('Per Invoice'!Q$2:Q$801,$W55)))</f>
        <v/>
      </c>
      <c r="R55" s="7">
        <f>IF($W55="","",IF(INDEX('Per Invoice'!R$2:R$801,$W55)="","",INDEX('Per Invoice'!R$2:R$801,$W55)))</f>
        <v/>
      </c>
      <c r="S55" s="7">
        <f>IF($W55="","",IF(INDEX('Per Invoice'!S$2:S$801,$W55)="","",INDEX('Per Invoice'!S$2:S$801,$W55)))</f>
        <v/>
      </c>
      <c r="T55" s="7">
        <f>IF($W55="","",IF(INDEX('Per Invoice'!T$2:T$801,$W55)="","",INDEX('Per Invoice'!T$2:T$801,$W55)))</f>
        <v/>
      </c>
      <c r="U55" s="7">
        <f>IF($W55="","",IF(INDEX('Per Invoice'!U$2:U$801,$W55)="","",INDEX('Per Invoice'!U$2:U$801,$W55)))</f>
        <v/>
      </c>
      <c r="V55" s="7">
        <f>IF($W55="","",IF(INDEX('Per Invoice'!V$2:V$801,$W55)="","",INDEX('Per Invoice'!V$2:V$801,$W55)))</f>
        <v/>
      </c>
      <c r="W55" s="16">
        <f>IFERROR(MATCH(Settings!$C$30&amp;"|"&amp;ROWS($W$2:$W55),'Per Invoice'!$X$2:$X$801,0),"")</f>
        <v/>
      </c>
    </row>
    <row r="56">
      <c r="A56">
        <f>IF($W56="","",IF(INDEX('Per Invoice'!A$2:A$801,$W56)="","",INDEX('Per Invoice'!A$2:A$801,$W56)))</f>
        <v/>
      </c>
      <c r="B56">
        <f>IF($W56="","",IF(INDEX('Per Invoice'!B$2:B$801,$W56)="","",INDEX('Per Invoice'!B$2:B$801,$W56)))</f>
        <v/>
      </c>
      <c r="C56">
        <f>IF($W56="","",IF(INDEX('Per Invoice'!C$2:C$801,$W56)="","",INDEX('Per Invoice'!C$2:C$801,$W56)))</f>
        <v/>
      </c>
      <c r="D56">
        <f>IF($W56="","",IF(INDEX('Per Invoice'!D$2:D$801,$W56)="","",INDEX('Per Invoice'!D$2:D$801,$W56)))</f>
        <v/>
      </c>
      <c r="E56">
        <f>IF($W56="","",IF(INDEX('Per Invoice'!E$2:E$801,$W56)="","",INDEX('Per Invoice'!E$2:E$801,$W56)))</f>
        <v/>
      </c>
      <c r="F56">
        <f>IF($W56="","",IF(INDEX('Per Invoice'!F$2:F$801,$W56)="","",INDEX('Per Invoice'!F$2:F$801,$W56)))</f>
        <v/>
      </c>
      <c r="G56">
        <f>IF($W56="","",IF(INDEX('Per Invoice'!G$2:G$801,$W56)="","",INDEX('Per Invoice'!G$2:G$801,$W56)))</f>
        <v/>
      </c>
      <c r="H56">
        <f>IF($W56="","",IF(INDEX('Per Invoice'!H$2:H$801,$W56)="","",INDEX('Per Invoice'!H$2:H$801,$W56)))</f>
        <v/>
      </c>
      <c r="I56">
        <f>IF($W56="","",IF(INDEX('Per Invoice'!I$2:I$801,$W56)="","",INDEX('Per Invoice'!I$2:I$801,$W56)))</f>
        <v/>
      </c>
      <c r="J56">
        <f>IF($W56="","",IF(INDEX('Per Invoice'!J$2:J$801,$W56)="","",INDEX('Per Invoice'!J$2:J$801,$W56)))</f>
        <v/>
      </c>
      <c r="K56" s="7">
        <f>IF($W56="","",IF(INDEX('Per Invoice'!K$2:K$801,$W56)="","",INDEX('Per Invoice'!K$2:K$801,$W56)))</f>
        <v/>
      </c>
      <c r="L56" s="14">
        <f>IF($W56="","",IF(INDEX('Per Invoice'!L$2:L$801,$W56)="","",INDEX('Per Invoice'!L$2:L$801,$W56)))</f>
        <v/>
      </c>
      <c r="M56">
        <f>IF($W56="","",IF(INDEX('Per Invoice'!M$2:M$801,$W56)="","",INDEX('Per Invoice'!M$2:M$801,$W56)))</f>
        <v/>
      </c>
      <c r="N56" s="7">
        <f>IF($W56="","",IF(INDEX('Per Invoice'!N$2:N$801,$W56)="","",INDEX('Per Invoice'!N$2:N$801,$W56)))</f>
        <v/>
      </c>
      <c r="O56" s="7">
        <f>IF($W56="","",IF(INDEX('Per Invoice'!O$2:O$801,$W56)="","",INDEX('Per Invoice'!O$2:O$801,$W56)))</f>
        <v/>
      </c>
      <c r="P56">
        <f>IF($W56="","",IF(INDEX('Per Invoice'!P$2:P$801,$W56)="","",INDEX('Per Invoice'!P$2:P$801,$W56)))</f>
        <v/>
      </c>
      <c r="Q56" s="7">
        <f>IF($W56="","",IF(INDEX('Per Invoice'!Q$2:Q$801,$W56)="","",INDEX('Per Invoice'!Q$2:Q$801,$W56)))</f>
        <v/>
      </c>
      <c r="R56" s="7">
        <f>IF($W56="","",IF(INDEX('Per Invoice'!R$2:R$801,$W56)="","",INDEX('Per Invoice'!R$2:R$801,$W56)))</f>
        <v/>
      </c>
      <c r="S56" s="7">
        <f>IF($W56="","",IF(INDEX('Per Invoice'!S$2:S$801,$W56)="","",INDEX('Per Invoice'!S$2:S$801,$W56)))</f>
        <v/>
      </c>
      <c r="T56" s="7">
        <f>IF($W56="","",IF(INDEX('Per Invoice'!T$2:T$801,$W56)="","",INDEX('Per Invoice'!T$2:T$801,$W56)))</f>
        <v/>
      </c>
      <c r="U56" s="7">
        <f>IF($W56="","",IF(INDEX('Per Invoice'!U$2:U$801,$W56)="","",INDEX('Per Invoice'!U$2:U$801,$W56)))</f>
        <v/>
      </c>
      <c r="V56" s="7">
        <f>IF($W56="","",IF(INDEX('Per Invoice'!V$2:V$801,$W56)="","",INDEX('Per Invoice'!V$2:V$801,$W56)))</f>
        <v/>
      </c>
      <c r="W56" s="16">
        <f>IFERROR(MATCH(Settings!$C$30&amp;"|"&amp;ROWS($W$2:$W56),'Per Invoice'!$X$2:$X$801,0),"")</f>
        <v/>
      </c>
    </row>
    <row r="57">
      <c r="A57">
        <f>IF($W57="","",IF(INDEX('Per Invoice'!A$2:A$801,$W57)="","",INDEX('Per Invoice'!A$2:A$801,$W57)))</f>
        <v/>
      </c>
      <c r="B57">
        <f>IF($W57="","",IF(INDEX('Per Invoice'!B$2:B$801,$W57)="","",INDEX('Per Invoice'!B$2:B$801,$W57)))</f>
        <v/>
      </c>
      <c r="C57">
        <f>IF($W57="","",IF(INDEX('Per Invoice'!C$2:C$801,$W57)="","",INDEX('Per Invoice'!C$2:C$801,$W57)))</f>
        <v/>
      </c>
      <c r="D57">
        <f>IF($W57="","",IF(INDEX('Per Invoice'!D$2:D$801,$W57)="","",INDEX('Per Invoice'!D$2:D$801,$W57)))</f>
        <v/>
      </c>
      <c r="E57">
        <f>IF($W57="","",IF(INDEX('Per Invoice'!E$2:E$801,$W57)="","",INDEX('Per Invoice'!E$2:E$801,$W57)))</f>
        <v/>
      </c>
      <c r="F57">
        <f>IF($W57="","",IF(INDEX('Per Invoice'!F$2:F$801,$W57)="","",INDEX('Per Invoice'!F$2:F$801,$W57)))</f>
        <v/>
      </c>
      <c r="G57">
        <f>IF($W57="","",IF(INDEX('Per Invoice'!G$2:G$801,$W57)="","",INDEX('Per Invoice'!G$2:G$801,$W57)))</f>
        <v/>
      </c>
      <c r="H57">
        <f>IF($W57="","",IF(INDEX('Per Invoice'!H$2:H$801,$W57)="","",INDEX('Per Invoice'!H$2:H$801,$W57)))</f>
        <v/>
      </c>
      <c r="I57">
        <f>IF($W57="","",IF(INDEX('Per Invoice'!I$2:I$801,$W57)="","",INDEX('Per Invoice'!I$2:I$801,$W57)))</f>
        <v/>
      </c>
      <c r="J57">
        <f>IF($W57="","",IF(INDEX('Per Invoice'!J$2:J$801,$W57)="","",INDEX('Per Invoice'!J$2:J$801,$W57)))</f>
        <v/>
      </c>
      <c r="K57" s="7">
        <f>IF($W57="","",IF(INDEX('Per Invoice'!K$2:K$801,$W57)="","",INDEX('Per Invoice'!K$2:K$801,$W57)))</f>
        <v/>
      </c>
      <c r="L57" s="14">
        <f>IF($W57="","",IF(INDEX('Per Invoice'!L$2:L$801,$W57)="","",INDEX('Per Invoice'!L$2:L$801,$W57)))</f>
        <v/>
      </c>
      <c r="M57">
        <f>IF($W57="","",IF(INDEX('Per Invoice'!M$2:M$801,$W57)="","",INDEX('Per Invoice'!M$2:M$801,$W57)))</f>
        <v/>
      </c>
      <c r="N57" s="7">
        <f>IF($W57="","",IF(INDEX('Per Invoice'!N$2:N$801,$W57)="","",INDEX('Per Invoice'!N$2:N$801,$W57)))</f>
        <v/>
      </c>
      <c r="O57" s="7">
        <f>IF($W57="","",IF(INDEX('Per Invoice'!O$2:O$801,$W57)="","",INDEX('Per Invoice'!O$2:O$801,$W57)))</f>
        <v/>
      </c>
      <c r="P57">
        <f>IF($W57="","",IF(INDEX('Per Invoice'!P$2:P$801,$W57)="","",INDEX('Per Invoice'!P$2:P$801,$W57)))</f>
        <v/>
      </c>
      <c r="Q57" s="7">
        <f>IF($W57="","",IF(INDEX('Per Invoice'!Q$2:Q$801,$W57)="","",INDEX('Per Invoice'!Q$2:Q$801,$W57)))</f>
        <v/>
      </c>
      <c r="R57" s="7">
        <f>IF($W57="","",IF(INDEX('Per Invoice'!R$2:R$801,$W57)="","",INDEX('Per Invoice'!R$2:R$801,$W57)))</f>
        <v/>
      </c>
      <c r="S57" s="7">
        <f>IF($W57="","",IF(INDEX('Per Invoice'!S$2:S$801,$W57)="","",INDEX('Per Invoice'!S$2:S$801,$W57)))</f>
        <v/>
      </c>
      <c r="T57" s="7">
        <f>IF($W57="","",IF(INDEX('Per Invoice'!T$2:T$801,$W57)="","",INDEX('Per Invoice'!T$2:T$801,$W57)))</f>
        <v/>
      </c>
      <c r="U57" s="7">
        <f>IF($W57="","",IF(INDEX('Per Invoice'!U$2:U$801,$W57)="","",INDEX('Per Invoice'!U$2:U$801,$W57)))</f>
        <v/>
      </c>
      <c r="V57" s="7">
        <f>IF($W57="","",IF(INDEX('Per Invoice'!V$2:V$801,$W57)="","",INDEX('Per Invoice'!V$2:V$801,$W57)))</f>
        <v/>
      </c>
      <c r="W57" s="16">
        <f>IFERROR(MATCH(Settings!$C$30&amp;"|"&amp;ROWS($W$2:$W57),'Per Invoice'!$X$2:$X$801,0),"")</f>
        <v/>
      </c>
    </row>
    <row r="58">
      <c r="A58">
        <f>IF($W58="","",IF(INDEX('Per Invoice'!A$2:A$801,$W58)="","",INDEX('Per Invoice'!A$2:A$801,$W58)))</f>
        <v/>
      </c>
      <c r="B58">
        <f>IF($W58="","",IF(INDEX('Per Invoice'!B$2:B$801,$W58)="","",INDEX('Per Invoice'!B$2:B$801,$W58)))</f>
        <v/>
      </c>
      <c r="C58">
        <f>IF($W58="","",IF(INDEX('Per Invoice'!C$2:C$801,$W58)="","",INDEX('Per Invoice'!C$2:C$801,$W58)))</f>
        <v/>
      </c>
      <c r="D58">
        <f>IF($W58="","",IF(INDEX('Per Invoice'!D$2:D$801,$W58)="","",INDEX('Per Invoice'!D$2:D$801,$W58)))</f>
        <v/>
      </c>
      <c r="E58">
        <f>IF($W58="","",IF(INDEX('Per Invoice'!E$2:E$801,$W58)="","",INDEX('Per Invoice'!E$2:E$801,$W58)))</f>
        <v/>
      </c>
      <c r="F58">
        <f>IF($W58="","",IF(INDEX('Per Invoice'!F$2:F$801,$W58)="","",INDEX('Per Invoice'!F$2:F$801,$W58)))</f>
        <v/>
      </c>
      <c r="G58">
        <f>IF($W58="","",IF(INDEX('Per Invoice'!G$2:G$801,$W58)="","",INDEX('Per Invoice'!G$2:G$801,$W58)))</f>
        <v/>
      </c>
      <c r="H58">
        <f>IF($W58="","",IF(INDEX('Per Invoice'!H$2:H$801,$W58)="","",INDEX('Per Invoice'!H$2:H$801,$W58)))</f>
        <v/>
      </c>
      <c r="I58">
        <f>IF($W58="","",IF(INDEX('Per Invoice'!I$2:I$801,$W58)="","",INDEX('Per Invoice'!I$2:I$801,$W58)))</f>
        <v/>
      </c>
      <c r="J58">
        <f>IF($W58="","",IF(INDEX('Per Invoice'!J$2:J$801,$W58)="","",INDEX('Per Invoice'!J$2:J$801,$W58)))</f>
        <v/>
      </c>
      <c r="K58" s="7">
        <f>IF($W58="","",IF(INDEX('Per Invoice'!K$2:K$801,$W58)="","",INDEX('Per Invoice'!K$2:K$801,$W58)))</f>
        <v/>
      </c>
      <c r="L58" s="14">
        <f>IF($W58="","",IF(INDEX('Per Invoice'!L$2:L$801,$W58)="","",INDEX('Per Invoice'!L$2:L$801,$W58)))</f>
        <v/>
      </c>
      <c r="M58">
        <f>IF($W58="","",IF(INDEX('Per Invoice'!M$2:M$801,$W58)="","",INDEX('Per Invoice'!M$2:M$801,$W58)))</f>
        <v/>
      </c>
      <c r="N58" s="7">
        <f>IF($W58="","",IF(INDEX('Per Invoice'!N$2:N$801,$W58)="","",INDEX('Per Invoice'!N$2:N$801,$W58)))</f>
        <v/>
      </c>
      <c r="O58" s="7">
        <f>IF($W58="","",IF(INDEX('Per Invoice'!O$2:O$801,$W58)="","",INDEX('Per Invoice'!O$2:O$801,$W58)))</f>
        <v/>
      </c>
      <c r="P58">
        <f>IF($W58="","",IF(INDEX('Per Invoice'!P$2:P$801,$W58)="","",INDEX('Per Invoice'!P$2:P$801,$W58)))</f>
        <v/>
      </c>
      <c r="Q58" s="7">
        <f>IF($W58="","",IF(INDEX('Per Invoice'!Q$2:Q$801,$W58)="","",INDEX('Per Invoice'!Q$2:Q$801,$W58)))</f>
        <v/>
      </c>
      <c r="R58" s="7">
        <f>IF($W58="","",IF(INDEX('Per Invoice'!R$2:R$801,$W58)="","",INDEX('Per Invoice'!R$2:R$801,$W58)))</f>
        <v/>
      </c>
      <c r="S58" s="7">
        <f>IF($W58="","",IF(INDEX('Per Invoice'!S$2:S$801,$W58)="","",INDEX('Per Invoice'!S$2:S$801,$W58)))</f>
        <v/>
      </c>
      <c r="T58" s="7">
        <f>IF($W58="","",IF(INDEX('Per Invoice'!T$2:T$801,$W58)="","",INDEX('Per Invoice'!T$2:T$801,$W58)))</f>
        <v/>
      </c>
      <c r="U58" s="7">
        <f>IF($W58="","",IF(INDEX('Per Invoice'!U$2:U$801,$W58)="","",INDEX('Per Invoice'!U$2:U$801,$W58)))</f>
        <v/>
      </c>
      <c r="V58" s="7">
        <f>IF($W58="","",IF(INDEX('Per Invoice'!V$2:V$801,$W58)="","",INDEX('Per Invoice'!V$2:V$801,$W58)))</f>
        <v/>
      </c>
      <c r="W58" s="16">
        <f>IFERROR(MATCH(Settings!$C$30&amp;"|"&amp;ROWS($W$2:$W58),'Per Invoice'!$X$2:$X$801,0),"")</f>
        <v/>
      </c>
    </row>
    <row r="59">
      <c r="A59">
        <f>IF($W59="","",IF(INDEX('Per Invoice'!A$2:A$801,$W59)="","",INDEX('Per Invoice'!A$2:A$801,$W59)))</f>
        <v/>
      </c>
      <c r="B59">
        <f>IF($W59="","",IF(INDEX('Per Invoice'!B$2:B$801,$W59)="","",INDEX('Per Invoice'!B$2:B$801,$W59)))</f>
        <v/>
      </c>
      <c r="C59">
        <f>IF($W59="","",IF(INDEX('Per Invoice'!C$2:C$801,$W59)="","",INDEX('Per Invoice'!C$2:C$801,$W59)))</f>
        <v/>
      </c>
      <c r="D59">
        <f>IF($W59="","",IF(INDEX('Per Invoice'!D$2:D$801,$W59)="","",INDEX('Per Invoice'!D$2:D$801,$W59)))</f>
        <v/>
      </c>
      <c r="E59">
        <f>IF($W59="","",IF(INDEX('Per Invoice'!E$2:E$801,$W59)="","",INDEX('Per Invoice'!E$2:E$801,$W59)))</f>
        <v/>
      </c>
      <c r="F59">
        <f>IF($W59="","",IF(INDEX('Per Invoice'!F$2:F$801,$W59)="","",INDEX('Per Invoice'!F$2:F$801,$W59)))</f>
        <v/>
      </c>
      <c r="G59">
        <f>IF($W59="","",IF(INDEX('Per Invoice'!G$2:G$801,$W59)="","",INDEX('Per Invoice'!G$2:G$801,$W59)))</f>
        <v/>
      </c>
      <c r="H59">
        <f>IF($W59="","",IF(INDEX('Per Invoice'!H$2:H$801,$W59)="","",INDEX('Per Invoice'!H$2:H$801,$W59)))</f>
        <v/>
      </c>
      <c r="I59">
        <f>IF($W59="","",IF(INDEX('Per Invoice'!I$2:I$801,$W59)="","",INDEX('Per Invoice'!I$2:I$801,$W59)))</f>
        <v/>
      </c>
      <c r="J59">
        <f>IF($W59="","",IF(INDEX('Per Invoice'!J$2:J$801,$W59)="","",INDEX('Per Invoice'!J$2:J$801,$W59)))</f>
        <v/>
      </c>
      <c r="K59" s="7">
        <f>IF($W59="","",IF(INDEX('Per Invoice'!K$2:K$801,$W59)="","",INDEX('Per Invoice'!K$2:K$801,$W59)))</f>
        <v/>
      </c>
      <c r="L59" s="14">
        <f>IF($W59="","",IF(INDEX('Per Invoice'!L$2:L$801,$W59)="","",INDEX('Per Invoice'!L$2:L$801,$W59)))</f>
        <v/>
      </c>
      <c r="M59">
        <f>IF($W59="","",IF(INDEX('Per Invoice'!M$2:M$801,$W59)="","",INDEX('Per Invoice'!M$2:M$801,$W59)))</f>
        <v/>
      </c>
      <c r="N59" s="7">
        <f>IF($W59="","",IF(INDEX('Per Invoice'!N$2:N$801,$W59)="","",INDEX('Per Invoice'!N$2:N$801,$W59)))</f>
        <v/>
      </c>
      <c r="O59" s="7">
        <f>IF($W59="","",IF(INDEX('Per Invoice'!O$2:O$801,$W59)="","",INDEX('Per Invoice'!O$2:O$801,$W59)))</f>
        <v/>
      </c>
      <c r="P59">
        <f>IF($W59="","",IF(INDEX('Per Invoice'!P$2:P$801,$W59)="","",INDEX('Per Invoice'!P$2:P$801,$W59)))</f>
        <v/>
      </c>
      <c r="Q59" s="7">
        <f>IF($W59="","",IF(INDEX('Per Invoice'!Q$2:Q$801,$W59)="","",INDEX('Per Invoice'!Q$2:Q$801,$W59)))</f>
        <v/>
      </c>
      <c r="R59" s="7">
        <f>IF($W59="","",IF(INDEX('Per Invoice'!R$2:R$801,$W59)="","",INDEX('Per Invoice'!R$2:R$801,$W59)))</f>
        <v/>
      </c>
      <c r="S59" s="7">
        <f>IF($W59="","",IF(INDEX('Per Invoice'!S$2:S$801,$W59)="","",INDEX('Per Invoice'!S$2:S$801,$W59)))</f>
        <v/>
      </c>
      <c r="T59" s="7">
        <f>IF($W59="","",IF(INDEX('Per Invoice'!T$2:T$801,$W59)="","",INDEX('Per Invoice'!T$2:T$801,$W59)))</f>
        <v/>
      </c>
      <c r="U59" s="7">
        <f>IF($W59="","",IF(INDEX('Per Invoice'!U$2:U$801,$W59)="","",INDEX('Per Invoice'!U$2:U$801,$W59)))</f>
        <v/>
      </c>
      <c r="V59" s="7">
        <f>IF($W59="","",IF(INDEX('Per Invoice'!V$2:V$801,$W59)="","",INDEX('Per Invoice'!V$2:V$801,$W59)))</f>
        <v/>
      </c>
      <c r="W59" s="16">
        <f>IFERROR(MATCH(Settings!$C$30&amp;"|"&amp;ROWS($W$2:$W59),'Per Invoice'!$X$2:$X$801,0),"")</f>
        <v/>
      </c>
    </row>
    <row r="60">
      <c r="A60">
        <f>IF($W60="","",IF(INDEX('Per Invoice'!A$2:A$801,$W60)="","",INDEX('Per Invoice'!A$2:A$801,$W60)))</f>
        <v/>
      </c>
      <c r="B60">
        <f>IF($W60="","",IF(INDEX('Per Invoice'!B$2:B$801,$W60)="","",INDEX('Per Invoice'!B$2:B$801,$W60)))</f>
        <v/>
      </c>
      <c r="C60">
        <f>IF($W60="","",IF(INDEX('Per Invoice'!C$2:C$801,$W60)="","",INDEX('Per Invoice'!C$2:C$801,$W60)))</f>
        <v/>
      </c>
      <c r="D60">
        <f>IF($W60="","",IF(INDEX('Per Invoice'!D$2:D$801,$W60)="","",INDEX('Per Invoice'!D$2:D$801,$W60)))</f>
        <v/>
      </c>
      <c r="E60">
        <f>IF($W60="","",IF(INDEX('Per Invoice'!E$2:E$801,$W60)="","",INDEX('Per Invoice'!E$2:E$801,$W60)))</f>
        <v/>
      </c>
      <c r="F60">
        <f>IF($W60="","",IF(INDEX('Per Invoice'!F$2:F$801,$W60)="","",INDEX('Per Invoice'!F$2:F$801,$W60)))</f>
        <v/>
      </c>
      <c r="G60">
        <f>IF($W60="","",IF(INDEX('Per Invoice'!G$2:G$801,$W60)="","",INDEX('Per Invoice'!G$2:G$801,$W60)))</f>
        <v/>
      </c>
      <c r="H60">
        <f>IF($W60="","",IF(INDEX('Per Invoice'!H$2:H$801,$W60)="","",INDEX('Per Invoice'!H$2:H$801,$W60)))</f>
        <v/>
      </c>
      <c r="I60">
        <f>IF($W60="","",IF(INDEX('Per Invoice'!I$2:I$801,$W60)="","",INDEX('Per Invoice'!I$2:I$801,$W60)))</f>
        <v/>
      </c>
      <c r="J60">
        <f>IF($W60="","",IF(INDEX('Per Invoice'!J$2:J$801,$W60)="","",INDEX('Per Invoice'!J$2:J$801,$W60)))</f>
        <v/>
      </c>
      <c r="K60" s="7">
        <f>IF($W60="","",IF(INDEX('Per Invoice'!K$2:K$801,$W60)="","",INDEX('Per Invoice'!K$2:K$801,$W60)))</f>
        <v/>
      </c>
      <c r="L60" s="14">
        <f>IF($W60="","",IF(INDEX('Per Invoice'!L$2:L$801,$W60)="","",INDEX('Per Invoice'!L$2:L$801,$W60)))</f>
        <v/>
      </c>
      <c r="M60">
        <f>IF($W60="","",IF(INDEX('Per Invoice'!M$2:M$801,$W60)="","",INDEX('Per Invoice'!M$2:M$801,$W60)))</f>
        <v/>
      </c>
      <c r="N60" s="7">
        <f>IF($W60="","",IF(INDEX('Per Invoice'!N$2:N$801,$W60)="","",INDEX('Per Invoice'!N$2:N$801,$W60)))</f>
        <v/>
      </c>
      <c r="O60" s="7">
        <f>IF($W60="","",IF(INDEX('Per Invoice'!O$2:O$801,$W60)="","",INDEX('Per Invoice'!O$2:O$801,$W60)))</f>
        <v/>
      </c>
      <c r="P60">
        <f>IF($W60="","",IF(INDEX('Per Invoice'!P$2:P$801,$W60)="","",INDEX('Per Invoice'!P$2:P$801,$W60)))</f>
        <v/>
      </c>
      <c r="Q60" s="7">
        <f>IF($W60="","",IF(INDEX('Per Invoice'!Q$2:Q$801,$W60)="","",INDEX('Per Invoice'!Q$2:Q$801,$W60)))</f>
        <v/>
      </c>
      <c r="R60" s="7">
        <f>IF($W60="","",IF(INDEX('Per Invoice'!R$2:R$801,$W60)="","",INDEX('Per Invoice'!R$2:R$801,$W60)))</f>
        <v/>
      </c>
      <c r="S60" s="7">
        <f>IF($W60="","",IF(INDEX('Per Invoice'!S$2:S$801,$W60)="","",INDEX('Per Invoice'!S$2:S$801,$W60)))</f>
        <v/>
      </c>
      <c r="T60" s="7">
        <f>IF($W60="","",IF(INDEX('Per Invoice'!T$2:T$801,$W60)="","",INDEX('Per Invoice'!T$2:T$801,$W60)))</f>
        <v/>
      </c>
      <c r="U60" s="7">
        <f>IF($W60="","",IF(INDEX('Per Invoice'!U$2:U$801,$W60)="","",INDEX('Per Invoice'!U$2:U$801,$W60)))</f>
        <v/>
      </c>
      <c r="V60" s="7">
        <f>IF($W60="","",IF(INDEX('Per Invoice'!V$2:V$801,$W60)="","",INDEX('Per Invoice'!V$2:V$801,$W60)))</f>
        <v/>
      </c>
      <c r="W60" s="16">
        <f>IFERROR(MATCH(Settings!$C$30&amp;"|"&amp;ROWS($W$2:$W60),'Per Invoice'!$X$2:$X$801,0),"")</f>
        <v/>
      </c>
    </row>
    <row r="61">
      <c r="A61">
        <f>IF($W61="","",IF(INDEX('Per Invoice'!A$2:A$801,$W61)="","",INDEX('Per Invoice'!A$2:A$801,$W61)))</f>
        <v/>
      </c>
      <c r="B61">
        <f>IF($W61="","",IF(INDEX('Per Invoice'!B$2:B$801,$W61)="","",INDEX('Per Invoice'!B$2:B$801,$W61)))</f>
        <v/>
      </c>
      <c r="C61">
        <f>IF($W61="","",IF(INDEX('Per Invoice'!C$2:C$801,$W61)="","",INDEX('Per Invoice'!C$2:C$801,$W61)))</f>
        <v/>
      </c>
      <c r="D61">
        <f>IF($W61="","",IF(INDEX('Per Invoice'!D$2:D$801,$W61)="","",INDEX('Per Invoice'!D$2:D$801,$W61)))</f>
        <v/>
      </c>
      <c r="E61">
        <f>IF($W61="","",IF(INDEX('Per Invoice'!E$2:E$801,$W61)="","",INDEX('Per Invoice'!E$2:E$801,$W61)))</f>
        <v/>
      </c>
      <c r="F61">
        <f>IF($W61="","",IF(INDEX('Per Invoice'!F$2:F$801,$W61)="","",INDEX('Per Invoice'!F$2:F$801,$W61)))</f>
        <v/>
      </c>
      <c r="G61">
        <f>IF($W61="","",IF(INDEX('Per Invoice'!G$2:G$801,$W61)="","",INDEX('Per Invoice'!G$2:G$801,$W61)))</f>
        <v/>
      </c>
      <c r="H61">
        <f>IF($W61="","",IF(INDEX('Per Invoice'!H$2:H$801,$W61)="","",INDEX('Per Invoice'!H$2:H$801,$W61)))</f>
        <v/>
      </c>
      <c r="I61">
        <f>IF($W61="","",IF(INDEX('Per Invoice'!I$2:I$801,$W61)="","",INDEX('Per Invoice'!I$2:I$801,$W61)))</f>
        <v/>
      </c>
      <c r="J61">
        <f>IF($W61="","",IF(INDEX('Per Invoice'!J$2:J$801,$W61)="","",INDEX('Per Invoice'!J$2:J$801,$W61)))</f>
        <v/>
      </c>
      <c r="K61" s="7">
        <f>IF($W61="","",IF(INDEX('Per Invoice'!K$2:K$801,$W61)="","",INDEX('Per Invoice'!K$2:K$801,$W61)))</f>
        <v/>
      </c>
      <c r="L61" s="14">
        <f>IF($W61="","",IF(INDEX('Per Invoice'!L$2:L$801,$W61)="","",INDEX('Per Invoice'!L$2:L$801,$W61)))</f>
        <v/>
      </c>
      <c r="M61">
        <f>IF($W61="","",IF(INDEX('Per Invoice'!M$2:M$801,$W61)="","",INDEX('Per Invoice'!M$2:M$801,$W61)))</f>
        <v/>
      </c>
      <c r="N61" s="7">
        <f>IF($W61="","",IF(INDEX('Per Invoice'!N$2:N$801,$W61)="","",INDEX('Per Invoice'!N$2:N$801,$W61)))</f>
        <v/>
      </c>
      <c r="O61" s="7">
        <f>IF($W61="","",IF(INDEX('Per Invoice'!O$2:O$801,$W61)="","",INDEX('Per Invoice'!O$2:O$801,$W61)))</f>
        <v/>
      </c>
      <c r="P61">
        <f>IF($W61="","",IF(INDEX('Per Invoice'!P$2:P$801,$W61)="","",INDEX('Per Invoice'!P$2:P$801,$W61)))</f>
        <v/>
      </c>
      <c r="Q61" s="7">
        <f>IF($W61="","",IF(INDEX('Per Invoice'!Q$2:Q$801,$W61)="","",INDEX('Per Invoice'!Q$2:Q$801,$W61)))</f>
        <v/>
      </c>
      <c r="R61" s="7">
        <f>IF($W61="","",IF(INDEX('Per Invoice'!R$2:R$801,$W61)="","",INDEX('Per Invoice'!R$2:R$801,$W61)))</f>
        <v/>
      </c>
      <c r="S61" s="7">
        <f>IF($W61="","",IF(INDEX('Per Invoice'!S$2:S$801,$W61)="","",INDEX('Per Invoice'!S$2:S$801,$W61)))</f>
        <v/>
      </c>
      <c r="T61" s="7">
        <f>IF($W61="","",IF(INDEX('Per Invoice'!T$2:T$801,$W61)="","",INDEX('Per Invoice'!T$2:T$801,$W61)))</f>
        <v/>
      </c>
      <c r="U61" s="7">
        <f>IF($W61="","",IF(INDEX('Per Invoice'!U$2:U$801,$W61)="","",INDEX('Per Invoice'!U$2:U$801,$W61)))</f>
        <v/>
      </c>
      <c r="V61" s="7">
        <f>IF($W61="","",IF(INDEX('Per Invoice'!V$2:V$801,$W61)="","",INDEX('Per Invoice'!V$2:V$801,$W61)))</f>
        <v/>
      </c>
      <c r="W61" s="16">
        <f>IFERROR(MATCH(Settings!$C$30&amp;"|"&amp;ROWS($W$2:$W61),'Per Invoice'!$X$2:$X$801,0),"")</f>
        <v/>
      </c>
    </row>
    <row r="62">
      <c r="A62">
        <f>IF($W62="","",IF(INDEX('Per Invoice'!A$2:A$801,$W62)="","",INDEX('Per Invoice'!A$2:A$801,$W62)))</f>
        <v/>
      </c>
      <c r="B62">
        <f>IF($W62="","",IF(INDEX('Per Invoice'!B$2:B$801,$W62)="","",INDEX('Per Invoice'!B$2:B$801,$W62)))</f>
        <v/>
      </c>
      <c r="C62">
        <f>IF($W62="","",IF(INDEX('Per Invoice'!C$2:C$801,$W62)="","",INDEX('Per Invoice'!C$2:C$801,$W62)))</f>
        <v/>
      </c>
      <c r="D62">
        <f>IF($W62="","",IF(INDEX('Per Invoice'!D$2:D$801,$W62)="","",INDEX('Per Invoice'!D$2:D$801,$W62)))</f>
        <v/>
      </c>
      <c r="E62">
        <f>IF($W62="","",IF(INDEX('Per Invoice'!E$2:E$801,$W62)="","",INDEX('Per Invoice'!E$2:E$801,$W62)))</f>
        <v/>
      </c>
      <c r="F62">
        <f>IF($W62="","",IF(INDEX('Per Invoice'!F$2:F$801,$W62)="","",INDEX('Per Invoice'!F$2:F$801,$W62)))</f>
        <v/>
      </c>
      <c r="G62">
        <f>IF($W62="","",IF(INDEX('Per Invoice'!G$2:G$801,$W62)="","",INDEX('Per Invoice'!G$2:G$801,$W62)))</f>
        <v/>
      </c>
      <c r="H62">
        <f>IF($W62="","",IF(INDEX('Per Invoice'!H$2:H$801,$W62)="","",INDEX('Per Invoice'!H$2:H$801,$W62)))</f>
        <v/>
      </c>
      <c r="I62">
        <f>IF($W62="","",IF(INDEX('Per Invoice'!I$2:I$801,$W62)="","",INDEX('Per Invoice'!I$2:I$801,$W62)))</f>
        <v/>
      </c>
      <c r="J62">
        <f>IF($W62="","",IF(INDEX('Per Invoice'!J$2:J$801,$W62)="","",INDEX('Per Invoice'!J$2:J$801,$W62)))</f>
        <v/>
      </c>
      <c r="K62" s="7">
        <f>IF($W62="","",IF(INDEX('Per Invoice'!K$2:K$801,$W62)="","",INDEX('Per Invoice'!K$2:K$801,$W62)))</f>
        <v/>
      </c>
      <c r="L62" s="14">
        <f>IF($W62="","",IF(INDEX('Per Invoice'!L$2:L$801,$W62)="","",INDEX('Per Invoice'!L$2:L$801,$W62)))</f>
        <v/>
      </c>
      <c r="M62">
        <f>IF($W62="","",IF(INDEX('Per Invoice'!M$2:M$801,$W62)="","",INDEX('Per Invoice'!M$2:M$801,$W62)))</f>
        <v/>
      </c>
      <c r="N62" s="7">
        <f>IF($W62="","",IF(INDEX('Per Invoice'!N$2:N$801,$W62)="","",INDEX('Per Invoice'!N$2:N$801,$W62)))</f>
        <v/>
      </c>
      <c r="O62" s="7">
        <f>IF($W62="","",IF(INDEX('Per Invoice'!O$2:O$801,$W62)="","",INDEX('Per Invoice'!O$2:O$801,$W62)))</f>
        <v/>
      </c>
      <c r="P62">
        <f>IF($W62="","",IF(INDEX('Per Invoice'!P$2:P$801,$W62)="","",INDEX('Per Invoice'!P$2:P$801,$W62)))</f>
        <v/>
      </c>
      <c r="Q62" s="7">
        <f>IF($W62="","",IF(INDEX('Per Invoice'!Q$2:Q$801,$W62)="","",INDEX('Per Invoice'!Q$2:Q$801,$W62)))</f>
        <v/>
      </c>
      <c r="R62" s="7">
        <f>IF($W62="","",IF(INDEX('Per Invoice'!R$2:R$801,$W62)="","",INDEX('Per Invoice'!R$2:R$801,$W62)))</f>
        <v/>
      </c>
      <c r="S62" s="7">
        <f>IF($W62="","",IF(INDEX('Per Invoice'!S$2:S$801,$W62)="","",INDEX('Per Invoice'!S$2:S$801,$W62)))</f>
        <v/>
      </c>
      <c r="T62" s="7">
        <f>IF($W62="","",IF(INDEX('Per Invoice'!T$2:T$801,$W62)="","",INDEX('Per Invoice'!T$2:T$801,$W62)))</f>
        <v/>
      </c>
      <c r="U62" s="7">
        <f>IF($W62="","",IF(INDEX('Per Invoice'!U$2:U$801,$W62)="","",INDEX('Per Invoice'!U$2:U$801,$W62)))</f>
        <v/>
      </c>
      <c r="V62" s="7">
        <f>IF($W62="","",IF(INDEX('Per Invoice'!V$2:V$801,$W62)="","",INDEX('Per Invoice'!V$2:V$801,$W62)))</f>
        <v/>
      </c>
      <c r="W62" s="16">
        <f>IFERROR(MATCH(Settings!$C$30&amp;"|"&amp;ROWS($W$2:$W62),'Per Invoice'!$X$2:$X$801,0),"")</f>
        <v/>
      </c>
    </row>
    <row r="63">
      <c r="A63">
        <f>IF($W63="","",IF(INDEX('Per Invoice'!A$2:A$801,$W63)="","",INDEX('Per Invoice'!A$2:A$801,$W63)))</f>
        <v/>
      </c>
      <c r="B63">
        <f>IF($W63="","",IF(INDEX('Per Invoice'!B$2:B$801,$W63)="","",INDEX('Per Invoice'!B$2:B$801,$W63)))</f>
        <v/>
      </c>
      <c r="C63">
        <f>IF($W63="","",IF(INDEX('Per Invoice'!C$2:C$801,$W63)="","",INDEX('Per Invoice'!C$2:C$801,$W63)))</f>
        <v/>
      </c>
      <c r="D63">
        <f>IF($W63="","",IF(INDEX('Per Invoice'!D$2:D$801,$W63)="","",INDEX('Per Invoice'!D$2:D$801,$W63)))</f>
        <v/>
      </c>
      <c r="E63">
        <f>IF($W63="","",IF(INDEX('Per Invoice'!E$2:E$801,$W63)="","",INDEX('Per Invoice'!E$2:E$801,$W63)))</f>
        <v/>
      </c>
      <c r="F63">
        <f>IF($W63="","",IF(INDEX('Per Invoice'!F$2:F$801,$W63)="","",INDEX('Per Invoice'!F$2:F$801,$W63)))</f>
        <v/>
      </c>
      <c r="G63">
        <f>IF($W63="","",IF(INDEX('Per Invoice'!G$2:G$801,$W63)="","",INDEX('Per Invoice'!G$2:G$801,$W63)))</f>
        <v/>
      </c>
      <c r="H63">
        <f>IF($W63="","",IF(INDEX('Per Invoice'!H$2:H$801,$W63)="","",INDEX('Per Invoice'!H$2:H$801,$W63)))</f>
        <v/>
      </c>
      <c r="I63">
        <f>IF($W63="","",IF(INDEX('Per Invoice'!I$2:I$801,$W63)="","",INDEX('Per Invoice'!I$2:I$801,$W63)))</f>
        <v/>
      </c>
      <c r="J63">
        <f>IF($W63="","",IF(INDEX('Per Invoice'!J$2:J$801,$W63)="","",INDEX('Per Invoice'!J$2:J$801,$W63)))</f>
        <v/>
      </c>
      <c r="K63" s="7">
        <f>IF($W63="","",IF(INDEX('Per Invoice'!K$2:K$801,$W63)="","",INDEX('Per Invoice'!K$2:K$801,$W63)))</f>
        <v/>
      </c>
      <c r="L63" s="14">
        <f>IF($W63="","",IF(INDEX('Per Invoice'!L$2:L$801,$W63)="","",INDEX('Per Invoice'!L$2:L$801,$W63)))</f>
        <v/>
      </c>
      <c r="M63">
        <f>IF($W63="","",IF(INDEX('Per Invoice'!M$2:M$801,$W63)="","",INDEX('Per Invoice'!M$2:M$801,$W63)))</f>
        <v/>
      </c>
      <c r="N63" s="7">
        <f>IF($W63="","",IF(INDEX('Per Invoice'!N$2:N$801,$W63)="","",INDEX('Per Invoice'!N$2:N$801,$W63)))</f>
        <v/>
      </c>
      <c r="O63" s="7">
        <f>IF($W63="","",IF(INDEX('Per Invoice'!O$2:O$801,$W63)="","",INDEX('Per Invoice'!O$2:O$801,$W63)))</f>
        <v/>
      </c>
      <c r="P63">
        <f>IF($W63="","",IF(INDEX('Per Invoice'!P$2:P$801,$W63)="","",INDEX('Per Invoice'!P$2:P$801,$W63)))</f>
        <v/>
      </c>
      <c r="Q63" s="7">
        <f>IF($W63="","",IF(INDEX('Per Invoice'!Q$2:Q$801,$W63)="","",INDEX('Per Invoice'!Q$2:Q$801,$W63)))</f>
        <v/>
      </c>
      <c r="R63" s="7">
        <f>IF($W63="","",IF(INDEX('Per Invoice'!R$2:R$801,$W63)="","",INDEX('Per Invoice'!R$2:R$801,$W63)))</f>
        <v/>
      </c>
      <c r="S63" s="7">
        <f>IF($W63="","",IF(INDEX('Per Invoice'!S$2:S$801,$W63)="","",INDEX('Per Invoice'!S$2:S$801,$W63)))</f>
        <v/>
      </c>
      <c r="T63" s="7">
        <f>IF($W63="","",IF(INDEX('Per Invoice'!T$2:T$801,$W63)="","",INDEX('Per Invoice'!T$2:T$801,$W63)))</f>
        <v/>
      </c>
      <c r="U63" s="7">
        <f>IF($W63="","",IF(INDEX('Per Invoice'!U$2:U$801,$W63)="","",INDEX('Per Invoice'!U$2:U$801,$W63)))</f>
        <v/>
      </c>
      <c r="V63" s="7">
        <f>IF($W63="","",IF(INDEX('Per Invoice'!V$2:V$801,$W63)="","",INDEX('Per Invoice'!V$2:V$801,$W63)))</f>
        <v/>
      </c>
      <c r="W63" s="16">
        <f>IFERROR(MATCH(Settings!$C$30&amp;"|"&amp;ROWS($W$2:$W63),'Per Invoice'!$X$2:$X$801,0),"")</f>
        <v/>
      </c>
    </row>
    <row r="64">
      <c r="A64">
        <f>IF($W64="","",IF(INDEX('Per Invoice'!A$2:A$801,$W64)="","",INDEX('Per Invoice'!A$2:A$801,$W64)))</f>
        <v/>
      </c>
      <c r="B64">
        <f>IF($W64="","",IF(INDEX('Per Invoice'!B$2:B$801,$W64)="","",INDEX('Per Invoice'!B$2:B$801,$W64)))</f>
        <v/>
      </c>
      <c r="C64">
        <f>IF($W64="","",IF(INDEX('Per Invoice'!C$2:C$801,$W64)="","",INDEX('Per Invoice'!C$2:C$801,$W64)))</f>
        <v/>
      </c>
      <c r="D64">
        <f>IF($W64="","",IF(INDEX('Per Invoice'!D$2:D$801,$W64)="","",INDEX('Per Invoice'!D$2:D$801,$W64)))</f>
        <v/>
      </c>
      <c r="E64">
        <f>IF($W64="","",IF(INDEX('Per Invoice'!E$2:E$801,$W64)="","",INDEX('Per Invoice'!E$2:E$801,$W64)))</f>
        <v/>
      </c>
      <c r="F64">
        <f>IF($W64="","",IF(INDEX('Per Invoice'!F$2:F$801,$W64)="","",INDEX('Per Invoice'!F$2:F$801,$W64)))</f>
        <v/>
      </c>
      <c r="G64">
        <f>IF($W64="","",IF(INDEX('Per Invoice'!G$2:G$801,$W64)="","",INDEX('Per Invoice'!G$2:G$801,$W64)))</f>
        <v/>
      </c>
      <c r="H64">
        <f>IF($W64="","",IF(INDEX('Per Invoice'!H$2:H$801,$W64)="","",INDEX('Per Invoice'!H$2:H$801,$W64)))</f>
        <v/>
      </c>
      <c r="I64">
        <f>IF($W64="","",IF(INDEX('Per Invoice'!I$2:I$801,$W64)="","",INDEX('Per Invoice'!I$2:I$801,$W64)))</f>
        <v/>
      </c>
      <c r="J64">
        <f>IF($W64="","",IF(INDEX('Per Invoice'!J$2:J$801,$W64)="","",INDEX('Per Invoice'!J$2:J$801,$W64)))</f>
        <v/>
      </c>
      <c r="K64" s="7">
        <f>IF($W64="","",IF(INDEX('Per Invoice'!K$2:K$801,$W64)="","",INDEX('Per Invoice'!K$2:K$801,$W64)))</f>
        <v/>
      </c>
      <c r="L64" s="14">
        <f>IF($W64="","",IF(INDEX('Per Invoice'!L$2:L$801,$W64)="","",INDEX('Per Invoice'!L$2:L$801,$W64)))</f>
        <v/>
      </c>
      <c r="M64">
        <f>IF($W64="","",IF(INDEX('Per Invoice'!M$2:M$801,$W64)="","",INDEX('Per Invoice'!M$2:M$801,$W64)))</f>
        <v/>
      </c>
      <c r="N64" s="7">
        <f>IF($W64="","",IF(INDEX('Per Invoice'!N$2:N$801,$W64)="","",INDEX('Per Invoice'!N$2:N$801,$W64)))</f>
        <v/>
      </c>
      <c r="O64" s="7">
        <f>IF($W64="","",IF(INDEX('Per Invoice'!O$2:O$801,$W64)="","",INDEX('Per Invoice'!O$2:O$801,$W64)))</f>
        <v/>
      </c>
      <c r="P64">
        <f>IF($W64="","",IF(INDEX('Per Invoice'!P$2:P$801,$W64)="","",INDEX('Per Invoice'!P$2:P$801,$W64)))</f>
        <v/>
      </c>
      <c r="Q64" s="7">
        <f>IF($W64="","",IF(INDEX('Per Invoice'!Q$2:Q$801,$W64)="","",INDEX('Per Invoice'!Q$2:Q$801,$W64)))</f>
        <v/>
      </c>
      <c r="R64" s="7">
        <f>IF($W64="","",IF(INDEX('Per Invoice'!R$2:R$801,$W64)="","",INDEX('Per Invoice'!R$2:R$801,$W64)))</f>
        <v/>
      </c>
      <c r="S64" s="7">
        <f>IF($W64="","",IF(INDEX('Per Invoice'!S$2:S$801,$W64)="","",INDEX('Per Invoice'!S$2:S$801,$W64)))</f>
        <v/>
      </c>
      <c r="T64" s="7">
        <f>IF($W64="","",IF(INDEX('Per Invoice'!T$2:T$801,$W64)="","",INDEX('Per Invoice'!T$2:T$801,$W64)))</f>
        <v/>
      </c>
      <c r="U64" s="7">
        <f>IF($W64="","",IF(INDEX('Per Invoice'!U$2:U$801,$W64)="","",INDEX('Per Invoice'!U$2:U$801,$W64)))</f>
        <v/>
      </c>
      <c r="V64" s="7">
        <f>IF($W64="","",IF(INDEX('Per Invoice'!V$2:V$801,$W64)="","",INDEX('Per Invoice'!V$2:V$801,$W64)))</f>
        <v/>
      </c>
      <c r="W64" s="16">
        <f>IFERROR(MATCH(Settings!$C$30&amp;"|"&amp;ROWS($W$2:$W64),'Per Invoice'!$X$2:$X$801,0),"")</f>
        <v/>
      </c>
    </row>
    <row r="65">
      <c r="A65">
        <f>IF($W65="","",IF(INDEX('Per Invoice'!A$2:A$801,$W65)="","",INDEX('Per Invoice'!A$2:A$801,$W65)))</f>
        <v/>
      </c>
      <c r="B65">
        <f>IF($W65="","",IF(INDEX('Per Invoice'!B$2:B$801,$W65)="","",INDEX('Per Invoice'!B$2:B$801,$W65)))</f>
        <v/>
      </c>
      <c r="C65">
        <f>IF($W65="","",IF(INDEX('Per Invoice'!C$2:C$801,$W65)="","",INDEX('Per Invoice'!C$2:C$801,$W65)))</f>
        <v/>
      </c>
      <c r="D65">
        <f>IF($W65="","",IF(INDEX('Per Invoice'!D$2:D$801,$W65)="","",INDEX('Per Invoice'!D$2:D$801,$W65)))</f>
        <v/>
      </c>
      <c r="E65">
        <f>IF($W65="","",IF(INDEX('Per Invoice'!E$2:E$801,$W65)="","",INDEX('Per Invoice'!E$2:E$801,$W65)))</f>
        <v/>
      </c>
      <c r="F65">
        <f>IF($W65="","",IF(INDEX('Per Invoice'!F$2:F$801,$W65)="","",INDEX('Per Invoice'!F$2:F$801,$W65)))</f>
        <v/>
      </c>
      <c r="G65">
        <f>IF($W65="","",IF(INDEX('Per Invoice'!G$2:G$801,$W65)="","",INDEX('Per Invoice'!G$2:G$801,$W65)))</f>
        <v/>
      </c>
      <c r="H65">
        <f>IF($W65="","",IF(INDEX('Per Invoice'!H$2:H$801,$W65)="","",INDEX('Per Invoice'!H$2:H$801,$W65)))</f>
        <v/>
      </c>
      <c r="I65">
        <f>IF($W65="","",IF(INDEX('Per Invoice'!I$2:I$801,$W65)="","",INDEX('Per Invoice'!I$2:I$801,$W65)))</f>
        <v/>
      </c>
      <c r="J65">
        <f>IF($W65="","",IF(INDEX('Per Invoice'!J$2:J$801,$W65)="","",INDEX('Per Invoice'!J$2:J$801,$W65)))</f>
        <v/>
      </c>
      <c r="K65" s="7">
        <f>IF($W65="","",IF(INDEX('Per Invoice'!K$2:K$801,$W65)="","",INDEX('Per Invoice'!K$2:K$801,$W65)))</f>
        <v/>
      </c>
      <c r="L65" s="14">
        <f>IF($W65="","",IF(INDEX('Per Invoice'!L$2:L$801,$W65)="","",INDEX('Per Invoice'!L$2:L$801,$W65)))</f>
        <v/>
      </c>
      <c r="M65">
        <f>IF($W65="","",IF(INDEX('Per Invoice'!M$2:M$801,$W65)="","",INDEX('Per Invoice'!M$2:M$801,$W65)))</f>
        <v/>
      </c>
      <c r="N65" s="7">
        <f>IF($W65="","",IF(INDEX('Per Invoice'!N$2:N$801,$W65)="","",INDEX('Per Invoice'!N$2:N$801,$W65)))</f>
        <v/>
      </c>
      <c r="O65" s="7">
        <f>IF($W65="","",IF(INDEX('Per Invoice'!O$2:O$801,$W65)="","",INDEX('Per Invoice'!O$2:O$801,$W65)))</f>
        <v/>
      </c>
      <c r="P65">
        <f>IF($W65="","",IF(INDEX('Per Invoice'!P$2:P$801,$W65)="","",INDEX('Per Invoice'!P$2:P$801,$W65)))</f>
        <v/>
      </c>
      <c r="Q65" s="7">
        <f>IF($W65="","",IF(INDEX('Per Invoice'!Q$2:Q$801,$W65)="","",INDEX('Per Invoice'!Q$2:Q$801,$W65)))</f>
        <v/>
      </c>
      <c r="R65" s="7">
        <f>IF($W65="","",IF(INDEX('Per Invoice'!R$2:R$801,$W65)="","",INDEX('Per Invoice'!R$2:R$801,$W65)))</f>
        <v/>
      </c>
      <c r="S65" s="7">
        <f>IF($W65="","",IF(INDEX('Per Invoice'!S$2:S$801,$W65)="","",INDEX('Per Invoice'!S$2:S$801,$W65)))</f>
        <v/>
      </c>
      <c r="T65" s="7">
        <f>IF($W65="","",IF(INDEX('Per Invoice'!T$2:T$801,$W65)="","",INDEX('Per Invoice'!T$2:T$801,$W65)))</f>
        <v/>
      </c>
      <c r="U65" s="7">
        <f>IF($W65="","",IF(INDEX('Per Invoice'!U$2:U$801,$W65)="","",INDEX('Per Invoice'!U$2:U$801,$W65)))</f>
        <v/>
      </c>
      <c r="V65" s="7">
        <f>IF($W65="","",IF(INDEX('Per Invoice'!V$2:V$801,$W65)="","",INDEX('Per Invoice'!V$2:V$801,$W65)))</f>
        <v/>
      </c>
      <c r="W65" s="16">
        <f>IFERROR(MATCH(Settings!$C$30&amp;"|"&amp;ROWS($W$2:$W65),'Per Invoice'!$X$2:$X$801,0),"")</f>
        <v/>
      </c>
    </row>
    <row r="66">
      <c r="A66">
        <f>IF($W66="","",IF(INDEX('Per Invoice'!A$2:A$801,$W66)="","",INDEX('Per Invoice'!A$2:A$801,$W66)))</f>
        <v/>
      </c>
      <c r="B66">
        <f>IF($W66="","",IF(INDEX('Per Invoice'!B$2:B$801,$W66)="","",INDEX('Per Invoice'!B$2:B$801,$W66)))</f>
        <v/>
      </c>
      <c r="C66">
        <f>IF($W66="","",IF(INDEX('Per Invoice'!C$2:C$801,$W66)="","",INDEX('Per Invoice'!C$2:C$801,$W66)))</f>
        <v/>
      </c>
      <c r="D66">
        <f>IF($W66="","",IF(INDEX('Per Invoice'!D$2:D$801,$W66)="","",INDEX('Per Invoice'!D$2:D$801,$W66)))</f>
        <v/>
      </c>
      <c r="E66">
        <f>IF($W66="","",IF(INDEX('Per Invoice'!E$2:E$801,$W66)="","",INDEX('Per Invoice'!E$2:E$801,$W66)))</f>
        <v/>
      </c>
      <c r="F66">
        <f>IF($W66="","",IF(INDEX('Per Invoice'!F$2:F$801,$W66)="","",INDEX('Per Invoice'!F$2:F$801,$W66)))</f>
        <v/>
      </c>
      <c r="G66">
        <f>IF($W66="","",IF(INDEX('Per Invoice'!G$2:G$801,$W66)="","",INDEX('Per Invoice'!G$2:G$801,$W66)))</f>
        <v/>
      </c>
      <c r="H66">
        <f>IF($W66="","",IF(INDEX('Per Invoice'!H$2:H$801,$W66)="","",INDEX('Per Invoice'!H$2:H$801,$W66)))</f>
        <v/>
      </c>
      <c r="I66">
        <f>IF($W66="","",IF(INDEX('Per Invoice'!I$2:I$801,$W66)="","",INDEX('Per Invoice'!I$2:I$801,$W66)))</f>
        <v/>
      </c>
      <c r="J66">
        <f>IF($W66="","",IF(INDEX('Per Invoice'!J$2:J$801,$W66)="","",INDEX('Per Invoice'!J$2:J$801,$W66)))</f>
        <v/>
      </c>
      <c r="K66" s="7">
        <f>IF($W66="","",IF(INDEX('Per Invoice'!K$2:K$801,$W66)="","",INDEX('Per Invoice'!K$2:K$801,$W66)))</f>
        <v/>
      </c>
      <c r="L66" s="14">
        <f>IF($W66="","",IF(INDEX('Per Invoice'!L$2:L$801,$W66)="","",INDEX('Per Invoice'!L$2:L$801,$W66)))</f>
        <v/>
      </c>
      <c r="M66">
        <f>IF($W66="","",IF(INDEX('Per Invoice'!M$2:M$801,$W66)="","",INDEX('Per Invoice'!M$2:M$801,$W66)))</f>
        <v/>
      </c>
      <c r="N66" s="7">
        <f>IF($W66="","",IF(INDEX('Per Invoice'!N$2:N$801,$W66)="","",INDEX('Per Invoice'!N$2:N$801,$W66)))</f>
        <v/>
      </c>
      <c r="O66" s="7">
        <f>IF($W66="","",IF(INDEX('Per Invoice'!O$2:O$801,$W66)="","",INDEX('Per Invoice'!O$2:O$801,$W66)))</f>
        <v/>
      </c>
      <c r="P66">
        <f>IF($W66="","",IF(INDEX('Per Invoice'!P$2:P$801,$W66)="","",INDEX('Per Invoice'!P$2:P$801,$W66)))</f>
        <v/>
      </c>
      <c r="Q66" s="7">
        <f>IF($W66="","",IF(INDEX('Per Invoice'!Q$2:Q$801,$W66)="","",INDEX('Per Invoice'!Q$2:Q$801,$W66)))</f>
        <v/>
      </c>
      <c r="R66" s="7">
        <f>IF($W66="","",IF(INDEX('Per Invoice'!R$2:R$801,$W66)="","",INDEX('Per Invoice'!R$2:R$801,$W66)))</f>
        <v/>
      </c>
      <c r="S66" s="7">
        <f>IF($W66="","",IF(INDEX('Per Invoice'!S$2:S$801,$W66)="","",INDEX('Per Invoice'!S$2:S$801,$W66)))</f>
        <v/>
      </c>
      <c r="T66" s="7">
        <f>IF($W66="","",IF(INDEX('Per Invoice'!T$2:T$801,$W66)="","",INDEX('Per Invoice'!T$2:T$801,$W66)))</f>
        <v/>
      </c>
      <c r="U66" s="7">
        <f>IF($W66="","",IF(INDEX('Per Invoice'!U$2:U$801,$W66)="","",INDEX('Per Invoice'!U$2:U$801,$W66)))</f>
        <v/>
      </c>
      <c r="V66" s="7">
        <f>IF($W66="","",IF(INDEX('Per Invoice'!V$2:V$801,$W66)="","",INDEX('Per Invoice'!V$2:V$801,$W66)))</f>
        <v/>
      </c>
      <c r="W66" s="16">
        <f>IFERROR(MATCH(Settings!$C$30&amp;"|"&amp;ROWS($W$2:$W66),'Per Invoice'!$X$2:$X$801,0),"")</f>
        <v/>
      </c>
    </row>
    <row r="67">
      <c r="A67">
        <f>IF($W67="","",IF(INDEX('Per Invoice'!A$2:A$801,$W67)="","",INDEX('Per Invoice'!A$2:A$801,$W67)))</f>
        <v/>
      </c>
      <c r="B67">
        <f>IF($W67="","",IF(INDEX('Per Invoice'!B$2:B$801,$W67)="","",INDEX('Per Invoice'!B$2:B$801,$W67)))</f>
        <v/>
      </c>
      <c r="C67">
        <f>IF($W67="","",IF(INDEX('Per Invoice'!C$2:C$801,$W67)="","",INDEX('Per Invoice'!C$2:C$801,$W67)))</f>
        <v/>
      </c>
      <c r="D67">
        <f>IF($W67="","",IF(INDEX('Per Invoice'!D$2:D$801,$W67)="","",INDEX('Per Invoice'!D$2:D$801,$W67)))</f>
        <v/>
      </c>
      <c r="E67">
        <f>IF($W67="","",IF(INDEX('Per Invoice'!E$2:E$801,$W67)="","",INDEX('Per Invoice'!E$2:E$801,$W67)))</f>
        <v/>
      </c>
      <c r="F67">
        <f>IF($W67="","",IF(INDEX('Per Invoice'!F$2:F$801,$W67)="","",INDEX('Per Invoice'!F$2:F$801,$W67)))</f>
        <v/>
      </c>
      <c r="G67">
        <f>IF($W67="","",IF(INDEX('Per Invoice'!G$2:G$801,$W67)="","",INDEX('Per Invoice'!G$2:G$801,$W67)))</f>
        <v/>
      </c>
      <c r="H67">
        <f>IF($W67="","",IF(INDEX('Per Invoice'!H$2:H$801,$W67)="","",INDEX('Per Invoice'!H$2:H$801,$W67)))</f>
        <v/>
      </c>
      <c r="I67">
        <f>IF($W67="","",IF(INDEX('Per Invoice'!I$2:I$801,$W67)="","",INDEX('Per Invoice'!I$2:I$801,$W67)))</f>
        <v/>
      </c>
      <c r="J67">
        <f>IF($W67="","",IF(INDEX('Per Invoice'!J$2:J$801,$W67)="","",INDEX('Per Invoice'!J$2:J$801,$W67)))</f>
        <v/>
      </c>
      <c r="K67" s="7">
        <f>IF($W67="","",IF(INDEX('Per Invoice'!K$2:K$801,$W67)="","",INDEX('Per Invoice'!K$2:K$801,$W67)))</f>
        <v/>
      </c>
      <c r="L67" s="14">
        <f>IF($W67="","",IF(INDEX('Per Invoice'!L$2:L$801,$W67)="","",INDEX('Per Invoice'!L$2:L$801,$W67)))</f>
        <v/>
      </c>
      <c r="M67">
        <f>IF($W67="","",IF(INDEX('Per Invoice'!M$2:M$801,$W67)="","",INDEX('Per Invoice'!M$2:M$801,$W67)))</f>
        <v/>
      </c>
      <c r="N67" s="7">
        <f>IF($W67="","",IF(INDEX('Per Invoice'!N$2:N$801,$W67)="","",INDEX('Per Invoice'!N$2:N$801,$W67)))</f>
        <v/>
      </c>
      <c r="O67" s="7">
        <f>IF($W67="","",IF(INDEX('Per Invoice'!O$2:O$801,$W67)="","",INDEX('Per Invoice'!O$2:O$801,$W67)))</f>
        <v/>
      </c>
      <c r="P67">
        <f>IF($W67="","",IF(INDEX('Per Invoice'!P$2:P$801,$W67)="","",INDEX('Per Invoice'!P$2:P$801,$W67)))</f>
        <v/>
      </c>
      <c r="Q67" s="7">
        <f>IF($W67="","",IF(INDEX('Per Invoice'!Q$2:Q$801,$W67)="","",INDEX('Per Invoice'!Q$2:Q$801,$W67)))</f>
        <v/>
      </c>
      <c r="R67" s="7">
        <f>IF($W67="","",IF(INDEX('Per Invoice'!R$2:R$801,$W67)="","",INDEX('Per Invoice'!R$2:R$801,$W67)))</f>
        <v/>
      </c>
      <c r="S67" s="7">
        <f>IF($W67="","",IF(INDEX('Per Invoice'!S$2:S$801,$W67)="","",INDEX('Per Invoice'!S$2:S$801,$W67)))</f>
        <v/>
      </c>
      <c r="T67" s="7">
        <f>IF($W67="","",IF(INDEX('Per Invoice'!T$2:T$801,$W67)="","",INDEX('Per Invoice'!T$2:T$801,$W67)))</f>
        <v/>
      </c>
      <c r="U67" s="7">
        <f>IF($W67="","",IF(INDEX('Per Invoice'!U$2:U$801,$W67)="","",INDEX('Per Invoice'!U$2:U$801,$W67)))</f>
        <v/>
      </c>
      <c r="V67" s="7">
        <f>IF($W67="","",IF(INDEX('Per Invoice'!V$2:V$801,$W67)="","",INDEX('Per Invoice'!V$2:V$801,$W67)))</f>
        <v/>
      </c>
      <c r="W67" s="16">
        <f>IFERROR(MATCH(Settings!$C$30&amp;"|"&amp;ROWS($W$2:$W67),'Per Invoice'!$X$2:$X$801,0),"")</f>
        <v/>
      </c>
    </row>
    <row r="68">
      <c r="A68">
        <f>IF($W68="","",IF(INDEX('Per Invoice'!A$2:A$801,$W68)="","",INDEX('Per Invoice'!A$2:A$801,$W68)))</f>
        <v/>
      </c>
      <c r="B68">
        <f>IF($W68="","",IF(INDEX('Per Invoice'!B$2:B$801,$W68)="","",INDEX('Per Invoice'!B$2:B$801,$W68)))</f>
        <v/>
      </c>
      <c r="C68">
        <f>IF($W68="","",IF(INDEX('Per Invoice'!C$2:C$801,$W68)="","",INDEX('Per Invoice'!C$2:C$801,$W68)))</f>
        <v/>
      </c>
      <c r="D68">
        <f>IF($W68="","",IF(INDEX('Per Invoice'!D$2:D$801,$W68)="","",INDEX('Per Invoice'!D$2:D$801,$W68)))</f>
        <v/>
      </c>
      <c r="E68">
        <f>IF($W68="","",IF(INDEX('Per Invoice'!E$2:E$801,$W68)="","",INDEX('Per Invoice'!E$2:E$801,$W68)))</f>
        <v/>
      </c>
      <c r="F68">
        <f>IF($W68="","",IF(INDEX('Per Invoice'!F$2:F$801,$W68)="","",INDEX('Per Invoice'!F$2:F$801,$W68)))</f>
        <v/>
      </c>
      <c r="G68">
        <f>IF($W68="","",IF(INDEX('Per Invoice'!G$2:G$801,$W68)="","",INDEX('Per Invoice'!G$2:G$801,$W68)))</f>
        <v/>
      </c>
      <c r="H68">
        <f>IF($W68="","",IF(INDEX('Per Invoice'!H$2:H$801,$W68)="","",INDEX('Per Invoice'!H$2:H$801,$W68)))</f>
        <v/>
      </c>
      <c r="I68">
        <f>IF($W68="","",IF(INDEX('Per Invoice'!I$2:I$801,$W68)="","",INDEX('Per Invoice'!I$2:I$801,$W68)))</f>
        <v/>
      </c>
      <c r="J68">
        <f>IF($W68="","",IF(INDEX('Per Invoice'!J$2:J$801,$W68)="","",INDEX('Per Invoice'!J$2:J$801,$W68)))</f>
        <v/>
      </c>
      <c r="K68" s="7">
        <f>IF($W68="","",IF(INDEX('Per Invoice'!K$2:K$801,$W68)="","",INDEX('Per Invoice'!K$2:K$801,$W68)))</f>
        <v/>
      </c>
      <c r="L68" s="14">
        <f>IF($W68="","",IF(INDEX('Per Invoice'!L$2:L$801,$W68)="","",INDEX('Per Invoice'!L$2:L$801,$W68)))</f>
        <v/>
      </c>
      <c r="M68">
        <f>IF($W68="","",IF(INDEX('Per Invoice'!M$2:M$801,$W68)="","",INDEX('Per Invoice'!M$2:M$801,$W68)))</f>
        <v/>
      </c>
      <c r="N68" s="7">
        <f>IF($W68="","",IF(INDEX('Per Invoice'!N$2:N$801,$W68)="","",INDEX('Per Invoice'!N$2:N$801,$W68)))</f>
        <v/>
      </c>
      <c r="O68" s="7">
        <f>IF($W68="","",IF(INDEX('Per Invoice'!O$2:O$801,$W68)="","",INDEX('Per Invoice'!O$2:O$801,$W68)))</f>
        <v/>
      </c>
      <c r="P68">
        <f>IF($W68="","",IF(INDEX('Per Invoice'!P$2:P$801,$W68)="","",INDEX('Per Invoice'!P$2:P$801,$W68)))</f>
        <v/>
      </c>
      <c r="Q68" s="7">
        <f>IF($W68="","",IF(INDEX('Per Invoice'!Q$2:Q$801,$W68)="","",INDEX('Per Invoice'!Q$2:Q$801,$W68)))</f>
        <v/>
      </c>
      <c r="R68" s="7">
        <f>IF($W68="","",IF(INDEX('Per Invoice'!R$2:R$801,$W68)="","",INDEX('Per Invoice'!R$2:R$801,$W68)))</f>
        <v/>
      </c>
      <c r="S68" s="7">
        <f>IF($W68="","",IF(INDEX('Per Invoice'!S$2:S$801,$W68)="","",INDEX('Per Invoice'!S$2:S$801,$W68)))</f>
        <v/>
      </c>
      <c r="T68" s="7">
        <f>IF($W68="","",IF(INDEX('Per Invoice'!T$2:T$801,$W68)="","",INDEX('Per Invoice'!T$2:T$801,$W68)))</f>
        <v/>
      </c>
      <c r="U68" s="7">
        <f>IF($W68="","",IF(INDEX('Per Invoice'!U$2:U$801,$W68)="","",INDEX('Per Invoice'!U$2:U$801,$W68)))</f>
        <v/>
      </c>
      <c r="V68" s="7">
        <f>IF($W68="","",IF(INDEX('Per Invoice'!V$2:V$801,$W68)="","",INDEX('Per Invoice'!V$2:V$801,$W68)))</f>
        <v/>
      </c>
      <c r="W68" s="16">
        <f>IFERROR(MATCH(Settings!$C$30&amp;"|"&amp;ROWS($W$2:$W68),'Per Invoice'!$X$2:$X$801,0),"")</f>
        <v/>
      </c>
    </row>
    <row r="69">
      <c r="A69">
        <f>IF($W69="","",IF(INDEX('Per Invoice'!A$2:A$801,$W69)="","",INDEX('Per Invoice'!A$2:A$801,$W69)))</f>
        <v/>
      </c>
      <c r="B69">
        <f>IF($W69="","",IF(INDEX('Per Invoice'!B$2:B$801,$W69)="","",INDEX('Per Invoice'!B$2:B$801,$W69)))</f>
        <v/>
      </c>
      <c r="C69">
        <f>IF($W69="","",IF(INDEX('Per Invoice'!C$2:C$801,$W69)="","",INDEX('Per Invoice'!C$2:C$801,$W69)))</f>
        <v/>
      </c>
      <c r="D69">
        <f>IF($W69="","",IF(INDEX('Per Invoice'!D$2:D$801,$W69)="","",INDEX('Per Invoice'!D$2:D$801,$W69)))</f>
        <v/>
      </c>
      <c r="E69">
        <f>IF($W69="","",IF(INDEX('Per Invoice'!E$2:E$801,$W69)="","",INDEX('Per Invoice'!E$2:E$801,$W69)))</f>
        <v/>
      </c>
      <c r="F69">
        <f>IF($W69="","",IF(INDEX('Per Invoice'!F$2:F$801,$W69)="","",INDEX('Per Invoice'!F$2:F$801,$W69)))</f>
        <v/>
      </c>
      <c r="G69">
        <f>IF($W69="","",IF(INDEX('Per Invoice'!G$2:G$801,$W69)="","",INDEX('Per Invoice'!G$2:G$801,$W69)))</f>
        <v/>
      </c>
      <c r="H69">
        <f>IF($W69="","",IF(INDEX('Per Invoice'!H$2:H$801,$W69)="","",INDEX('Per Invoice'!H$2:H$801,$W69)))</f>
        <v/>
      </c>
      <c r="I69">
        <f>IF($W69="","",IF(INDEX('Per Invoice'!I$2:I$801,$W69)="","",INDEX('Per Invoice'!I$2:I$801,$W69)))</f>
        <v/>
      </c>
      <c r="J69">
        <f>IF($W69="","",IF(INDEX('Per Invoice'!J$2:J$801,$W69)="","",INDEX('Per Invoice'!J$2:J$801,$W69)))</f>
        <v/>
      </c>
      <c r="K69" s="7">
        <f>IF($W69="","",IF(INDEX('Per Invoice'!K$2:K$801,$W69)="","",INDEX('Per Invoice'!K$2:K$801,$W69)))</f>
        <v/>
      </c>
      <c r="L69" s="14">
        <f>IF($W69="","",IF(INDEX('Per Invoice'!L$2:L$801,$W69)="","",INDEX('Per Invoice'!L$2:L$801,$W69)))</f>
        <v/>
      </c>
      <c r="M69">
        <f>IF($W69="","",IF(INDEX('Per Invoice'!M$2:M$801,$W69)="","",INDEX('Per Invoice'!M$2:M$801,$W69)))</f>
        <v/>
      </c>
      <c r="N69" s="7">
        <f>IF($W69="","",IF(INDEX('Per Invoice'!N$2:N$801,$W69)="","",INDEX('Per Invoice'!N$2:N$801,$W69)))</f>
        <v/>
      </c>
      <c r="O69" s="7">
        <f>IF($W69="","",IF(INDEX('Per Invoice'!O$2:O$801,$W69)="","",INDEX('Per Invoice'!O$2:O$801,$W69)))</f>
        <v/>
      </c>
      <c r="P69">
        <f>IF($W69="","",IF(INDEX('Per Invoice'!P$2:P$801,$W69)="","",INDEX('Per Invoice'!P$2:P$801,$W69)))</f>
        <v/>
      </c>
      <c r="Q69" s="7">
        <f>IF($W69="","",IF(INDEX('Per Invoice'!Q$2:Q$801,$W69)="","",INDEX('Per Invoice'!Q$2:Q$801,$W69)))</f>
        <v/>
      </c>
      <c r="R69" s="7">
        <f>IF($W69="","",IF(INDEX('Per Invoice'!R$2:R$801,$W69)="","",INDEX('Per Invoice'!R$2:R$801,$W69)))</f>
        <v/>
      </c>
      <c r="S69" s="7">
        <f>IF($W69="","",IF(INDEX('Per Invoice'!S$2:S$801,$W69)="","",INDEX('Per Invoice'!S$2:S$801,$W69)))</f>
        <v/>
      </c>
      <c r="T69" s="7">
        <f>IF($W69="","",IF(INDEX('Per Invoice'!T$2:T$801,$W69)="","",INDEX('Per Invoice'!T$2:T$801,$W69)))</f>
        <v/>
      </c>
      <c r="U69" s="7">
        <f>IF($W69="","",IF(INDEX('Per Invoice'!U$2:U$801,$W69)="","",INDEX('Per Invoice'!U$2:U$801,$W69)))</f>
        <v/>
      </c>
      <c r="V69" s="7">
        <f>IF($W69="","",IF(INDEX('Per Invoice'!V$2:V$801,$W69)="","",INDEX('Per Invoice'!V$2:V$801,$W69)))</f>
        <v/>
      </c>
      <c r="W69" s="16">
        <f>IFERROR(MATCH(Settings!$C$30&amp;"|"&amp;ROWS($W$2:$W69),'Per Invoice'!$X$2:$X$801,0),"")</f>
        <v/>
      </c>
    </row>
    <row r="70">
      <c r="A70">
        <f>IF($W70="","",IF(INDEX('Per Invoice'!A$2:A$801,$W70)="","",INDEX('Per Invoice'!A$2:A$801,$W70)))</f>
        <v/>
      </c>
      <c r="B70">
        <f>IF($W70="","",IF(INDEX('Per Invoice'!B$2:B$801,$W70)="","",INDEX('Per Invoice'!B$2:B$801,$W70)))</f>
        <v/>
      </c>
      <c r="C70">
        <f>IF($W70="","",IF(INDEX('Per Invoice'!C$2:C$801,$W70)="","",INDEX('Per Invoice'!C$2:C$801,$W70)))</f>
        <v/>
      </c>
      <c r="D70">
        <f>IF($W70="","",IF(INDEX('Per Invoice'!D$2:D$801,$W70)="","",INDEX('Per Invoice'!D$2:D$801,$W70)))</f>
        <v/>
      </c>
      <c r="E70">
        <f>IF($W70="","",IF(INDEX('Per Invoice'!E$2:E$801,$W70)="","",INDEX('Per Invoice'!E$2:E$801,$W70)))</f>
        <v/>
      </c>
      <c r="F70">
        <f>IF($W70="","",IF(INDEX('Per Invoice'!F$2:F$801,$W70)="","",INDEX('Per Invoice'!F$2:F$801,$W70)))</f>
        <v/>
      </c>
      <c r="G70">
        <f>IF($W70="","",IF(INDEX('Per Invoice'!G$2:G$801,$W70)="","",INDEX('Per Invoice'!G$2:G$801,$W70)))</f>
        <v/>
      </c>
      <c r="H70">
        <f>IF($W70="","",IF(INDEX('Per Invoice'!H$2:H$801,$W70)="","",INDEX('Per Invoice'!H$2:H$801,$W70)))</f>
        <v/>
      </c>
      <c r="I70">
        <f>IF($W70="","",IF(INDEX('Per Invoice'!I$2:I$801,$W70)="","",INDEX('Per Invoice'!I$2:I$801,$W70)))</f>
        <v/>
      </c>
      <c r="J70">
        <f>IF($W70="","",IF(INDEX('Per Invoice'!J$2:J$801,$W70)="","",INDEX('Per Invoice'!J$2:J$801,$W70)))</f>
        <v/>
      </c>
      <c r="K70" s="7">
        <f>IF($W70="","",IF(INDEX('Per Invoice'!K$2:K$801,$W70)="","",INDEX('Per Invoice'!K$2:K$801,$W70)))</f>
        <v/>
      </c>
      <c r="L70" s="14">
        <f>IF($W70="","",IF(INDEX('Per Invoice'!L$2:L$801,$W70)="","",INDEX('Per Invoice'!L$2:L$801,$W70)))</f>
        <v/>
      </c>
      <c r="M70">
        <f>IF($W70="","",IF(INDEX('Per Invoice'!M$2:M$801,$W70)="","",INDEX('Per Invoice'!M$2:M$801,$W70)))</f>
        <v/>
      </c>
      <c r="N70" s="7">
        <f>IF($W70="","",IF(INDEX('Per Invoice'!N$2:N$801,$W70)="","",INDEX('Per Invoice'!N$2:N$801,$W70)))</f>
        <v/>
      </c>
      <c r="O70" s="7">
        <f>IF($W70="","",IF(INDEX('Per Invoice'!O$2:O$801,$W70)="","",INDEX('Per Invoice'!O$2:O$801,$W70)))</f>
        <v/>
      </c>
      <c r="P70">
        <f>IF($W70="","",IF(INDEX('Per Invoice'!P$2:P$801,$W70)="","",INDEX('Per Invoice'!P$2:P$801,$W70)))</f>
        <v/>
      </c>
      <c r="Q70" s="7">
        <f>IF($W70="","",IF(INDEX('Per Invoice'!Q$2:Q$801,$W70)="","",INDEX('Per Invoice'!Q$2:Q$801,$W70)))</f>
        <v/>
      </c>
      <c r="R70" s="7">
        <f>IF($W70="","",IF(INDEX('Per Invoice'!R$2:R$801,$W70)="","",INDEX('Per Invoice'!R$2:R$801,$W70)))</f>
        <v/>
      </c>
      <c r="S70" s="7">
        <f>IF($W70="","",IF(INDEX('Per Invoice'!S$2:S$801,$W70)="","",INDEX('Per Invoice'!S$2:S$801,$W70)))</f>
        <v/>
      </c>
      <c r="T70" s="7">
        <f>IF($W70="","",IF(INDEX('Per Invoice'!T$2:T$801,$W70)="","",INDEX('Per Invoice'!T$2:T$801,$W70)))</f>
        <v/>
      </c>
      <c r="U70" s="7">
        <f>IF($W70="","",IF(INDEX('Per Invoice'!U$2:U$801,$W70)="","",INDEX('Per Invoice'!U$2:U$801,$W70)))</f>
        <v/>
      </c>
      <c r="V70" s="7">
        <f>IF($W70="","",IF(INDEX('Per Invoice'!V$2:V$801,$W70)="","",INDEX('Per Invoice'!V$2:V$801,$W70)))</f>
        <v/>
      </c>
      <c r="W70" s="16">
        <f>IFERROR(MATCH(Settings!$C$30&amp;"|"&amp;ROWS($W$2:$W70),'Per Invoice'!$X$2:$X$801,0),"")</f>
        <v/>
      </c>
    </row>
    <row r="71">
      <c r="A71">
        <f>IF($W71="","",IF(INDEX('Per Invoice'!A$2:A$801,$W71)="","",INDEX('Per Invoice'!A$2:A$801,$W71)))</f>
        <v/>
      </c>
      <c r="B71">
        <f>IF($W71="","",IF(INDEX('Per Invoice'!B$2:B$801,$W71)="","",INDEX('Per Invoice'!B$2:B$801,$W71)))</f>
        <v/>
      </c>
      <c r="C71">
        <f>IF($W71="","",IF(INDEX('Per Invoice'!C$2:C$801,$W71)="","",INDEX('Per Invoice'!C$2:C$801,$W71)))</f>
        <v/>
      </c>
      <c r="D71">
        <f>IF($W71="","",IF(INDEX('Per Invoice'!D$2:D$801,$W71)="","",INDEX('Per Invoice'!D$2:D$801,$W71)))</f>
        <v/>
      </c>
      <c r="E71">
        <f>IF($W71="","",IF(INDEX('Per Invoice'!E$2:E$801,$W71)="","",INDEX('Per Invoice'!E$2:E$801,$W71)))</f>
        <v/>
      </c>
      <c r="F71">
        <f>IF($W71="","",IF(INDEX('Per Invoice'!F$2:F$801,$W71)="","",INDEX('Per Invoice'!F$2:F$801,$W71)))</f>
        <v/>
      </c>
      <c r="G71">
        <f>IF($W71="","",IF(INDEX('Per Invoice'!G$2:G$801,$W71)="","",INDEX('Per Invoice'!G$2:G$801,$W71)))</f>
        <v/>
      </c>
      <c r="H71">
        <f>IF($W71="","",IF(INDEX('Per Invoice'!H$2:H$801,$W71)="","",INDEX('Per Invoice'!H$2:H$801,$W71)))</f>
        <v/>
      </c>
      <c r="I71">
        <f>IF($W71="","",IF(INDEX('Per Invoice'!I$2:I$801,$W71)="","",INDEX('Per Invoice'!I$2:I$801,$W71)))</f>
        <v/>
      </c>
      <c r="J71">
        <f>IF($W71="","",IF(INDEX('Per Invoice'!J$2:J$801,$W71)="","",INDEX('Per Invoice'!J$2:J$801,$W71)))</f>
        <v/>
      </c>
      <c r="K71" s="7">
        <f>IF($W71="","",IF(INDEX('Per Invoice'!K$2:K$801,$W71)="","",INDEX('Per Invoice'!K$2:K$801,$W71)))</f>
        <v/>
      </c>
      <c r="L71" s="14">
        <f>IF($W71="","",IF(INDEX('Per Invoice'!L$2:L$801,$W71)="","",INDEX('Per Invoice'!L$2:L$801,$W71)))</f>
        <v/>
      </c>
      <c r="M71">
        <f>IF($W71="","",IF(INDEX('Per Invoice'!M$2:M$801,$W71)="","",INDEX('Per Invoice'!M$2:M$801,$W71)))</f>
        <v/>
      </c>
      <c r="N71" s="7">
        <f>IF($W71="","",IF(INDEX('Per Invoice'!N$2:N$801,$W71)="","",INDEX('Per Invoice'!N$2:N$801,$W71)))</f>
        <v/>
      </c>
      <c r="O71" s="7">
        <f>IF($W71="","",IF(INDEX('Per Invoice'!O$2:O$801,$W71)="","",INDEX('Per Invoice'!O$2:O$801,$W71)))</f>
        <v/>
      </c>
      <c r="P71">
        <f>IF($W71="","",IF(INDEX('Per Invoice'!P$2:P$801,$W71)="","",INDEX('Per Invoice'!P$2:P$801,$W71)))</f>
        <v/>
      </c>
      <c r="Q71" s="7">
        <f>IF($W71="","",IF(INDEX('Per Invoice'!Q$2:Q$801,$W71)="","",INDEX('Per Invoice'!Q$2:Q$801,$W71)))</f>
        <v/>
      </c>
      <c r="R71" s="7">
        <f>IF($W71="","",IF(INDEX('Per Invoice'!R$2:R$801,$W71)="","",INDEX('Per Invoice'!R$2:R$801,$W71)))</f>
        <v/>
      </c>
      <c r="S71" s="7">
        <f>IF($W71="","",IF(INDEX('Per Invoice'!S$2:S$801,$W71)="","",INDEX('Per Invoice'!S$2:S$801,$W71)))</f>
        <v/>
      </c>
      <c r="T71" s="7">
        <f>IF($W71="","",IF(INDEX('Per Invoice'!T$2:T$801,$W71)="","",INDEX('Per Invoice'!T$2:T$801,$W71)))</f>
        <v/>
      </c>
      <c r="U71" s="7">
        <f>IF($W71="","",IF(INDEX('Per Invoice'!U$2:U$801,$W71)="","",INDEX('Per Invoice'!U$2:U$801,$W71)))</f>
        <v/>
      </c>
      <c r="V71" s="7">
        <f>IF($W71="","",IF(INDEX('Per Invoice'!V$2:V$801,$W71)="","",INDEX('Per Invoice'!V$2:V$801,$W71)))</f>
        <v/>
      </c>
      <c r="W71" s="16">
        <f>IFERROR(MATCH(Settings!$C$30&amp;"|"&amp;ROWS($W$2:$W71),'Per Invoice'!$X$2:$X$801,0),"")</f>
        <v/>
      </c>
    </row>
    <row r="72">
      <c r="A72">
        <f>IF($W72="","",IF(INDEX('Per Invoice'!A$2:A$801,$W72)="","",INDEX('Per Invoice'!A$2:A$801,$W72)))</f>
        <v/>
      </c>
      <c r="B72">
        <f>IF($W72="","",IF(INDEX('Per Invoice'!B$2:B$801,$W72)="","",INDEX('Per Invoice'!B$2:B$801,$W72)))</f>
        <v/>
      </c>
      <c r="C72">
        <f>IF($W72="","",IF(INDEX('Per Invoice'!C$2:C$801,$W72)="","",INDEX('Per Invoice'!C$2:C$801,$W72)))</f>
        <v/>
      </c>
      <c r="D72">
        <f>IF($W72="","",IF(INDEX('Per Invoice'!D$2:D$801,$W72)="","",INDEX('Per Invoice'!D$2:D$801,$W72)))</f>
        <v/>
      </c>
      <c r="E72">
        <f>IF($W72="","",IF(INDEX('Per Invoice'!E$2:E$801,$W72)="","",INDEX('Per Invoice'!E$2:E$801,$W72)))</f>
        <v/>
      </c>
      <c r="F72">
        <f>IF($W72="","",IF(INDEX('Per Invoice'!F$2:F$801,$W72)="","",INDEX('Per Invoice'!F$2:F$801,$W72)))</f>
        <v/>
      </c>
      <c r="G72">
        <f>IF($W72="","",IF(INDEX('Per Invoice'!G$2:G$801,$W72)="","",INDEX('Per Invoice'!G$2:G$801,$W72)))</f>
        <v/>
      </c>
      <c r="H72">
        <f>IF($W72="","",IF(INDEX('Per Invoice'!H$2:H$801,$W72)="","",INDEX('Per Invoice'!H$2:H$801,$W72)))</f>
        <v/>
      </c>
      <c r="I72">
        <f>IF($W72="","",IF(INDEX('Per Invoice'!I$2:I$801,$W72)="","",INDEX('Per Invoice'!I$2:I$801,$W72)))</f>
        <v/>
      </c>
      <c r="J72">
        <f>IF($W72="","",IF(INDEX('Per Invoice'!J$2:J$801,$W72)="","",INDEX('Per Invoice'!J$2:J$801,$W72)))</f>
        <v/>
      </c>
      <c r="K72" s="7">
        <f>IF($W72="","",IF(INDEX('Per Invoice'!K$2:K$801,$W72)="","",INDEX('Per Invoice'!K$2:K$801,$W72)))</f>
        <v/>
      </c>
      <c r="L72" s="14">
        <f>IF($W72="","",IF(INDEX('Per Invoice'!L$2:L$801,$W72)="","",INDEX('Per Invoice'!L$2:L$801,$W72)))</f>
        <v/>
      </c>
      <c r="M72">
        <f>IF($W72="","",IF(INDEX('Per Invoice'!M$2:M$801,$W72)="","",INDEX('Per Invoice'!M$2:M$801,$W72)))</f>
        <v/>
      </c>
      <c r="N72" s="7">
        <f>IF($W72="","",IF(INDEX('Per Invoice'!N$2:N$801,$W72)="","",INDEX('Per Invoice'!N$2:N$801,$W72)))</f>
        <v/>
      </c>
      <c r="O72" s="7">
        <f>IF($W72="","",IF(INDEX('Per Invoice'!O$2:O$801,$W72)="","",INDEX('Per Invoice'!O$2:O$801,$W72)))</f>
        <v/>
      </c>
      <c r="P72">
        <f>IF($W72="","",IF(INDEX('Per Invoice'!P$2:P$801,$W72)="","",INDEX('Per Invoice'!P$2:P$801,$W72)))</f>
        <v/>
      </c>
      <c r="Q72" s="7">
        <f>IF($W72="","",IF(INDEX('Per Invoice'!Q$2:Q$801,$W72)="","",INDEX('Per Invoice'!Q$2:Q$801,$W72)))</f>
        <v/>
      </c>
      <c r="R72" s="7">
        <f>IF($W72="","",IF(INDEX('Per Invoice'!R$2:R$801,$W72)="","",INDEX('Per Invoice'!R$2:R$801,$W72)))</f>
        <v/>
      </c>
      <c r="S72" s="7">
        <f>IF($W72="","",IF(INDEX('Per Invoice'!S$2:S$801,$W72)="","",INDEX('Per Invoice'!S$2:S$801,$W72)))</f>
        <v/>
      </c>
      <c r="T72" s="7">
        <f>IF($W72="","",IF(INDEX('Per Invoice'!T$2:T$801,$W72)="","",INDEX('Per Invoice'!T$2:T$801,$W72)))</f>
        <v/>
      </c>
      <c r="U72" s="7">
        <f>IF($W72="","",IF(INDEX('Per Invoice'!U$2:U$801,$W72)="","",INDEX('Per Invoice'!U$2:U$801,$W72)))</f>
        <v/>
      </c>
      <c r="V72" s="7">
        <f>IF($W72="","",IF(INDEX('Per Invoice'!V$2:V$801,$W72)="","",INDEX('Per Invoice'!V$2:V$801,$W72)))</f>
        <v/>
      </c>
      <c r="W72" s="16">
        <f>IFERROR(MATCH(Settings!$C$30&amp;"|"&amp;ROWS($W$2:$W72),'Per Invoice'!$X$2:$X$801,0),"")</f>
        <v/>
      </c>
    </row>
    <row r="73">
      <c r="A73">
        <f>IF($W73="","",IF(INDEX('Per Invoice'!A$2:A$801,$W73)="","",INDEX('Per Invoice'!A$2:A$801,$W73)))</f>
        <v/>
      </c>
      <c r="B73">
        <f>IF($W73="","",IF(INDEX('Per Invoice'!B$2:B$801,$W73)="","",INDEX('Per Invoice'!B$2:B$801,$W73)))</f>
        <v/>
      </c>
      <c r="C73">
        <f>IF($W73="","",IF(INDEX('Per Invoice'!C$2:C$801,$W73)="","",INDEX('Per Invoice'!C$2:C$801,$W73)))</f>
        <v/>
      </c>
      <c r="D73">
        <f>IF($W73="","",IF(INDEX('Per Invoice'!D$2:D$801,$W73)="","",INDEX('Per Invoice'!D$2:D$801,$W73)))</f>
        <v/>
      </c>
      <c r="E73">
        <f>IF($W73="","",IF(INDEX('Per Invoice'!E$2:E$801,$W73)="","",INDEX('Per Invoice'!E$2:E$801,$W73)))</f>
        <v/>
      </c>
      <c r="F73">
        <f>IF($W73="","",IF(INDEX('Per Invoice'!F$2:F$801,$W73)="","",INDEX('Per Invoice'!F$2:F$801,$W73)))</f>
        <v/>
      </c>
      <c r="G73">
        <f>IF($W73="","",IF(INDEX('Per Invoice'!G$2:G$801,$W73)="","",INDEX('Per Invoice'!G$2:G$801,$W73)))</f>
        <v/>
      </c>
      <c r="H73">
        <f>IF($W73="","",IF(INDEX('Per Invoice'!H$2:H$801,$W73)="","",INDEX('Per Invoice'!H$2:H$801,$W73)))</f>
        <v/>
      </c>
      <c r="I73">
        <f>IF($W73="","",IF(INDEX('Per Invoice'!I$2:I$801,$W73)="","",INDEX('Per Invoice'!I$2:I$801,$W73)))</f>
        <v/>
      </c>
      <c r="J73">
        <f>IF($W73="","",IF(INDEX('Per Invoice'!J$2:J$801,$W73)="","",INDEX('Per Invoice'!J$2:J$801,$W73)))</f>
        <v/>
      </c>
      <c r="K73" s="7">
        <f>IF($W73="","",IF(INDEX('Per Invoice'!K$2:K$801,$W73)="","",INDEX('Per Invoice'!K$2:K$801,$W73)))</f>
        <v/>
      </c>
      <c r="L73" s="14">
        <f>IF($W73="","",IF(INDEX('Per Invoice'!L$2:L$801,$W73)="","",INDEX('Per Invoice'!L$2:L$801,$W73)))</f>
        <v/>
      </c>
      <c r="M73">
        <f>IF($W73="","",IF(INDEX('Per Invoice'!M$2:M$801,$W73)="","",INDEX('Per Invoice'!M$2:M$801,$W73)))</f>
        <v/>
      </c>
      <c r="N73" s="7">
        <f>IF($W73="","",IF(INDEX('Per Invoice'!N$2:N$801,$W73)="","",INDEX('Per Invoice'!N$2:N$801,$W73)))</f>
        <v/>
      </c>
      <c r="O73" s="7">
        <f>IF($W73="","",IF(INDEX('Per Invoice'!O$2:O$801,$W73)="","",INDEX('Per Invoice'!O$2:O$801,$W73)))</f>
        <v/>
      </c>
      <c r="P73">
        <f>IF($W73="","",IF(INDEX('Per Invoice'!P$2:P$801,$W73)="","",INDEX('Per Invoice'!P$2:P$801,$W73)))</f>
        <v/>
      </c>
      <c r="Q73" s="7">
        <f>IF($W73="","",IF(INDEX('Per Invoice'!Q$2:Q$801,$W73)="","",INDEX('Per Invoice'!Q$2:Q$801,$W73)))</f>
        <v/>
      </c>
      <c r="R73" s="7">
        <f>IF($W73="","",IF(INDEX('Per Invoice'!R$2:R$801,$W73)="","",INDEX('Per Invoice'!R$2:R$801,$W73)))</f>
        <v/>
      </c>
      <c r="S73" s="7">
        <f>IF($W73="","",IF(INDEX('Per Invoice'!S$2:S$801,$W73)="","",INDEX('Per Invoice'!S$2:S$801,$W73)))</f>
        <v/>
      </c>
      <c r="T73" s="7">
        <f>IF($W73="","",IF(INDEX('Per Invoice'!T$2:T$801,$W73)="","",INDEX('Per Invoice'!T$2:T$801,$W73)))</f>
        <v/>
      </c>
      <c r="U73" s="7">
        <f>IF($W73="","",IF(INDEX('Per Invoice'!U$2:U$801,$W73)="","",INDEX('Per Invoice'!U$2:U$801,$W73)))</f>
        <v/>
      </c>
      <c r="V73" s="7">
        <f>IF($W73="","",IF(INDEX('Per Invoice'!V$2:V$801,$W73)="","",INDEX('Per Invoice'!V$2:V$801,$W73)))</f>
        <v/>
      </c>
      <c r="W73" s="16">
        <f>IFERROR(MATCH(Settings!$C$30&amp;"|"&amp;ROWS($W$2:$W73),'Per Invoice'!$X$2:$X$801,0),"")</f>
        <v/>
      </c>
    </row>
    <row r="74">
      <c r="A74">
        <f>IF($W74="","",IF(INDEX('Per Invoice'!A$2:A$801,$W74)="","",INDEX('Per Invoice'!A$2:A$801,$W74)))</f>
        <v/>
      </c>
      <c r="B74">
        <f>IF($W74="","",IF(INDEX('Per Invoice'!B$2:B$801,$W74)="","",INDEX('Per Invoice'!B$2:B$801,$W74)))</f>
        <v/>
      </c>
      <c r="C74">
        <f>IF($W74="","",IF(INDEX('Per Invoice'!C$2:C$801,$W74)="","",INDEX('Per Invoice'!C$2:C$801,$W74)))</f>
        <v/>
      </c>
      <c r="D74">
        <f>IF($W74="","",IF(INDEX('Per Invoice'!D$2:D$801,$W74)="","",INDEX('Per Invoice'!D$2:D$801,$W74)))</f>
        <v/>
      </c>
      <c r="E74">
        <f>IF($W74="","",IF(INDEX('Per Invoice'!E$2:E$801,$W74)="","",INDEX('Per Invoice'!E$2:E$801,$W74)))</f>
        <v/>
      </c>
      <c r="F74">
        <f>IF($W74="","",IF(INDEX('Per Invoice'!F$2:F$801,$W74)="","",INDEX('Per Invoice'!F$2:F$801,$W74)))</f>
        <v/>
      </c>
      <c r="G74">
        <f>IF($W74="","",IF(INDEX('Per Invoice'!G$2:G$801,$W74)="","",INDEX('Per Invoice'!G$2:G$801,$W74)))</f>
        <v/>
      </c>
      <c r="H74">
        <f>IF($W74="","",IF(INDEX('Per Invoice'!H$2:H$801,$W74)="","",INDEX('Per Invoice'!H$2:H$801,$W74)))</f>
        <v/>
      </c>
      <c r="I74">
        <f>IF($W74="","",IF(INDEX('Per Invoice'!I$2:I$801,$W74)="","",INDEX('Per Invoice'!I$2:I$801,$W74)))</f>
        <v/>
      </c>
      <c r="J74">
        <f>IF($W74="","",IF(INDEX('Per Invoice'!J$2:J$801,$W74)="","",INDEX('Per Invoice'!J$2:J$801,$W74)))</f>
        <v/>
      </c>
      <c r="K74" s="7">
        <f>IF($W74="","",IF(INDEX('Per Invoice'!K$2:K$801,$W74)="","",INDEX('Per Invoice'!K$2:K$801,$W74)))</f>
        <v/>
      </c>
      <c r="L74" s="14">
        <f>IF($W74="","",IF(INDEX('Per Invoice'!L$2:L$801,$W74)="","",INDEX('Per Invoice'!L$2:L$801,$W74)))</f>
        <v/>
      </c>
      <c r="M74">
        <f>IF($W74="","",IF(INDEX('Per Invoice'!M$2:M$801,$W74)="","",INDEX('Per Invoice'!M$2:M$801,$W74)))</f>
        <v/>
      </c>
      <c r="N74" s="7">
        <f>IF($W74="","",IF(INDEX('Per Invoice'!N$2:N$801,$W74)="","",INDEX('Per Invoice'!N$2:N$801,$W74)))</f>
        <v/>
      </c>
      <c r="O74" s="7">
        <f>IF($W74="","",IF(INDEX('Per Invoice'!O$2:O$801,$W74)="","",INDEX('Per Invoice'!O$2:O$801,$W74)))</f>
        <v/>
      </c>
      <c r="P74">
        <f>IF($W74="","",IF(INDEX('Per Invoice'!P$2:P$801,$W74)="","",INDEX('Per Invoice'!P$2:P$801,$W74)))</f>
        <v/>
      </c>
      <c r="Q74" s="7">
        <f>IF($W74="","",IF(INDEX('Per Invoice'!Q$2:Q$801,$W74)="","",INDEX('Per Invoice'!Q$2:Q$801,$W74)))</f>
        <v/>
      </c>
      <c r="R74" s="7">
        <f>IF($W74="","",IF(INDEX('Per Invoice'!R$2:R$801,$W74)="","",INDEX('Per Invoice'!R$2:R$801,$W74)))</f>
        <v/>
      </c>
      <c r="S74" s="7">
        <f>IF($W74="","",IF(INDEX('Per Invoice'!S$2:S$801,$W74)="","",INDEX('Per Invoice'!S$2:S$801,$W74)))</f>
        <v/>
      </c>
      <c r="T74" s="7">
        <f>IF($W74="","",IF(INDEX('Per Invoice'!T$2:T$801,$W74)="","",INDEX('Per Invoice'!T$2:T$801,$W74)))</f>
        <v/>
      </c>
      <c r="U74" s="7">
        <f>IF($W74="","",IF(INDEX('Per Invoice'!U$2:U$801,$W74)="","",INDEX('Per Invoice'!U$2:U$801,$W74)))</f>
        <v/>
      </c>
      <c r="V74" s="7">
        <f>IF($W74="","",IF(INDEX('Per Invoice'!V$2:V$801,$W74)="","",INDEX('Per Invoice'!V$2:V$801,$W74)))</f>
        <v/>
      </c>
      <c r="W74" s="16">
        <f>IFERROR(MATCH(Settings!$C$30&amp;"|"&amp;ROWS($W$2:$W74),'Per Invoice'!$X$2:$X$801,0),"")</f>
        <v/>
      </c>
    </row>
    <row r="75">
      <c r="A75">
        <f>IF($W75="","",IF(INDEX('Per Invoice'!A$2:A$801,$W75)="","",INDEX('Per Invoice'!A$2:A$801,$W75)))</f>
        <v/>
      </c>
      <c r="B75">
        <f>IF($W75="","",IF(INDEX('Per Invoice'!B$2:B$801,$W75)="","",INDEX('Per Invoice'!B$2:B$801,$W75)))</f>
        <v/>
      </c>
      <c r="C75">
        <f>IF($W75="","",IF(INDEX('Per Invoice'!C$2:C$801,$W75)="","",INDEX('Per Invoice'!C$2:C$801,$W75)))</f>
        <v/>
      </c>
      <c r="D75">
        <f>IF($W75="","",IF(INDEX('Per Invoice'!D$2:D$801,$W75)="","",INDEX('Per Invoice'!D$2:D$801,$W75)))</f>
        <v/>
      </c>
      <c r="E75">
        <f>IF($W75="","",IF(INDEX('Per Invoice'!E$2:E$801,$W75)="","",INDEX('Per Invoice'!E$2:E$801,$W75)))</f>
        <v/>
      </c>
      <c r="F75">
        <f>IF($W75="","",IF(INDEX('Per Invoice'!F$2:F$801,$W75)="","",INDEX('Per Invoice'!F$2:F$801,$W75)))</f>
        <v/>
      </c>
      <c r="G75">
        <f>IF($W75="","",IF(INDEX('Per Invoice'!G$2:G$801,$W75)="","",INDEX('Per Invoice'!G$2:G$801,$W75)))</f>
        <v/>
      </c>
      <c r="H75">
        <f>IF($W75="","",IF(INDEX('Per Invoice'!H$2:H$801,$W75)="","",INDEX('Per Invoice'!H$2:H$801,$W75)))</f>
        <v/>
      </c>
      <c r="I75">
        <f>IF($W75="","",IF(INDEX('Per Invoice'!I$2:I$801,$W75)="","",INDEX('Per Invoice'!I$2:I$801,$W75)))</f>
        <v/>
      </c>
      <c r="J75">
        <f>IF($W75="","",IF(INDEX('Per Invoice'!J$2:J$801,$W75)="","",INDEX('Per Invoice'!J$2:J$801,$W75)))</f>
        <v/>
      </c>
      <c r="K75" s="7">
        <f>IF($W75="","",IF(INDEX('Per Invoice'!K$2:K$801,$W75)="","",INDEX('Per Invoice'!K$2:K$801,$W75)))</f>
        <v/>
      </c>
      <c r="L75" s="14">
        <f>IF($W75="","",IF(INDEX('Per Invoice'!L$2:L$801,$W75)="","",INDEX('Per Invoice'!L$2:L$801,$W75)))</f>
        <v/>
      </c>
      <c r="M75">
        <f>IF($W75="","",IF(INDEX('Per Invoice'!M$2:M$801,$W75)="","",INDEX('Per Invoice'!M$2:M$801,$W75)))</f>
        <v/>
      </c>
      <c r="N75" s="7">
        <f>IF($W75="","",IF(INDEX('Per Invoice'!N$2:N$801,$W75)="","",INDEX('Per Invoice'!N$2:N$801,$W75)))</f>
        <v/>
      </c>
      <c r="O75" s="7">
        <f>IF($W75="","",IF(INDEX('Per Invoice'!O$2:O$801,$W75)="","",INDEX('Per Invoice'!O$2:O$801,$W75)))</f>
        <v/>
      </c>
      <c r="P75">
        <f>IF($W75="","",IF(INDEX('Per Invoice'!P$2:P$801,$W75)="","",INDEX('Per Invoice'!P$2:P$801,$W75)))</f>
        <v/>
      </c>
      <c r="Q75" s="7">
        <f>IF($W75="","",IF(INDEX('Per Invoice'!Q$2:Q$801,$W75)="","",INDEX('Per Invoice'!Q$2:Q$801,$W75)))</f>
        <v/>
      </c>
      <c r="R75" s="7">
        <f>IF($W75="","",IF(INDEX('Per Invoice'!R$2:R$801,$W75)="","",INDEX('Per Invoice'!R$2:R$801,$W75)))</f>
        <v/>
      </c>
      <c r="S75" s="7">
        <f>IF($W75="","",IF(INDEX('Per Invoice'!S$2:S$801,$W75)="","",INDEX('Per Invoice'!S$2:S$801,$W75)))</f>
        <v/>
      </c>
      <c r="T75" s="7">
        <f>IF($W75="","",IF(INDEX('Per Invoice'!T$2:T$801,$W75)="","",INDEX('Per Invoice'!T$2:T$801,$W75)))</f>
        <v/>
      </c>
      <c r="U75" s="7">
        <f>IF($W75="","",IF(INDEX('Per Invoice'!U$2:U$801,$W75)="","",INDEX('Per Invoice'!U$2:U$801,$W75)))</f>
        <v/>
      </c>
      <c r="V75" s="7">
        <f>IF($W75="","",IF(INDEX('Per Invoice'!V$2:V$801,$W75)="","",INDEX('Per Invoice'!V$2:V$801,$W75)))</f>
        <v/>
      </c>
      <c r="W75" s="16">
        <f>IFERROR(MATCH(Settings!$C$30&amp;"|"&amp;ROWS($W$2:$W75),'Per Invoice'!$X$2:$X$801,0),"")</f>
        <v/>
      </c>
    </row>
    <row r="76">
      <c r="A76">
        <f>IF($W76="","",IF(INDEX('Per Invoice'!A$2:A$801,$W76)="","",INDEX('Per Invoice'!A$2:A$801,$W76)))</f>
        <v/>
      </c>
      <c r="B76">
        <f>IF($W76="","",IF(INDEX('Per Invoice'!B$2:B$801,$W76)="","",INDEX('Per Invoice'!B$2:B$801,$W76)))</f>
        <v/>
      </c>
      <c r="C76">
        <f>IF($W76="","",IF(INDEX('Per Invoice'!C$2:C$801,$W76)="","",INDEX('Per Invoice'!C$2:C$801,$W76)))</f>
        <v/>
      </c>
      <c r="D76">
        <f>IF($W76="","",IF(INDEX('Per Invoice'!D$2:D$801,$W76)="","",INDEX('Per Invoice'!D$2:D$801,$W76)))</f>
        <v/>
      </c>
      <c r="E76">
        <f>IF($W76="","",IF(INDEX('Per Invoice'!E$2:E$801,$W76)="","",INDEX('Per Invoice'!E$2:E$801,$W76)))</f>
        <v/>
      </c>
      <c r="F76">
        <f>IF($W76="","",IF(INDEX('Per Invoice'!F$2:F$801,$W76)="","",INDEX('Per Invoice'!F$2:F$801,$W76)))</f>
        <v/>
      </c>
      <c r="G76">
        <f>IF($W76="","",IF(INDEX('Per Invoice'!G$2:G$801,$W76)="","",INDEX('Per Invoice'!G$2:G$801,$W76)))</f>
        <v/>
      </c>
      <c r="H76">
        <f>IF($W76="","",IF(INDEX('Per Invoice'!H$2:H$801,$W76)="","",INDEX('Per Invoice'!H$2:H$801,$W76)))</f>
        <v/>
      </c>
      <c r="I76">
        <f>IF($W76="","",IF(INDEX('Per Invoice'!I$2:I$801,$W76)="","",INDEX('Per Invoice'!I$2:I$801,$W76)))</f>
        <v/>
      </c>
      <c r="J76">
        <f>IF($W76="","",IF(INDEX('Per Invoice'!J$2:J$801,$W76)="","",INDEX('Per Invoice'!J$2:J$801,$W76)))</f>
        <v/>
      </c>
      <c r="K76" s="7">
        <f>IF($W76="","",IF(INDEX('Per Invoice'!K$2:K$801,$W76)="","",INDEX('Per Invoice'!K$2:K$801,$W76)))</f>
        <v/>
      </c>
      <c r="L76" s="14">
        <f>IF($W76="","",IF(INDEX('Per Invoice'!L$2:L$801,$W76)="","",INDEX('Per Invoice'!L$2:L$801,$W76)))</f>
        <v/>
      </c>
      <c r="M76">
        <f>IF($W76="","",IF(INDEX('Per Invoice'!M$2:M$801,$W76)="","",INDEX('Per Invoice'!M$2:M$801,$W76)))</f>
        <v/>
      </c>
      <c r="N76" s="7">
        <f>IF($W76="","",IF(INDEX('Per Invoice'!N$2:N$801,$W76)="","",INDEX('Per Invoice'!N$2:N$801,$W76)))</f>
        <v/>
      </c>
      <c r="O76" s="7">
        <f>IF($W76="","",IF(INDEX('Per Invoice'!O$2:O$801,$W76)="","",INDEX('Per Invoice'!O$2:O$801,$W76)))</f>
        <v/>
      </c>
      <c r="P76">
        <f>IF($W76="","",IF(INDEX('Per Invoice'!P$2:P$801,$W76)="","",INDEX('Per Invoice'!P$2:P$801,$W76)))</f>
        <v/>
      </c>
      <c r="Q76" s="7">
        <f>IF($W76="","",IF(INDEX('Per Invoice'!Q$2:Q$801,$W76)="","",INDEX('Per Invoice'!Q$2:Q$801,$W76)))</f>
        <v/>
      </c>
      <c r="R76" s="7">
        <f>IF($W76="","",IF(INDEX('Per Invoice'!R$2:R$801,$W76)="","",INDEX('Per Invoice'!R$2:R$801,$W76)))</f>
        <v/>
      </c>
      <c r="S76" s="7">
        <f>IF($W76="","",IF(INDEX('Per Invoice'!S$2:S$801,$W76)="","",INDEX('Per Invoice'!S$2:S$801,$W76)))</f>
        <v/>
      </c>
      <c r="T76" s="7">
        <f>IF($W76="","",IF(INDEX('Per Invoice'!T$2:T$801,$W76)="","",INDEX('Per Invoice'!T$2:T$801,$W76)))</f>
        <v/>
      </c>
      <c r="U76" s="7">
        <f>IF($W76="","",IF(INDEX('Per Invoice'!U$2:U$801,$W76)="","",INDEX('Per Invoice'!U$2:U$801,$W76)))</f>
        <v/>
      </c>
      <c r="V76" s="7">
        <f>IF($W76="","",IF(INDEX('Per Invoice'!V$2:V$801,$W76)="","",INDEX('Per Invoice'!V$2:V$801,$W76)))</f>
        <v/>
      </c>
      <c r="W76" s="16">
        <f>IFERROR(MATCH(Settings!$C$30&amp;"|"&amp;ROWS($W$2:$W76),'Per Invoice'!$X$2:$X$801,0),"")</f>
        <v/>
      </c>
    </row>
    <row r="77">
      <c r="A77">
        <f>IF($W77="","",IF(INDEX('Per Invoice'!A$2:A$801,$W77)="","",INDEX('Per Invoice'!A$2:A$801,$W77)))</f>
        <v/>
      </c>
      <c r="B77">
        <f>IF($W77="","",IF(INDEX('Per Invoice'!B$2:B$801,$W77)="","",INDEX('Per Invoice'!B$2:B$801,$W77)))</f>
        <v/>
      </c>
      <c r="C77">
        <f>IF($W77="","",IF(INDEX('Per Invoice'!C$2:C$801,$W77)="","",INDEX('Per Invoice'!C$2:C$801,$W77)))</f>
        <v/>
      </c>
      <c r="D77">
        <f>IF($W77="","",IF(INDEX('Per Invoice'!D$2:D$801,$W77)="","",INDEX('Per Invoice'!D$2:D$801,$W77)))</f>
        <v/>
      </c>
      <c r="E77">
        <f>IF($W77="","",IF(INDEX('Per Invoice'!E$2:E$801,$W77)="","",INDEX('Per Invoice'!E$2:E$801,$W77)))</f>
        <v/>
      </c>
      <c r="F77">
        <f>IF($W77="","",IF(INDEX('Per Invoice'!F$2:F$801,$W77)="","",INDEX('Per Invoice'!F$2:F$801,$W77)))</f>
        <v/>
      </c>
      <c r="G77">
        <f>IF($W77="","",IF(INDEX('Per Invoice'!G$2:G$801,$W77)="","",INDEX('Per Invoice'!G$2:G$801,$W77)))</f>
        <v/>
      </c>
      <c r="H77">
        <f>IF($W77="","",IF(INDEX('Per Invoice'!H$2:H$801,$W77)="","",INDEX('Per Invoice'!H$2:H$801,$W77)))</f>
        <v/>
      </c>
      <c r="I77">
        <f>IF($W77="","",IF(INDEX('Per Invoice'!I$2:I$801,$W77)="","",INDEX('Per Invoice'!I$2:I$801,$W77)))</f>
        <v/>
      </c>
      <c r="J77">
        <f>IF($W77="","",IF(INDEX('Per Invoice'!J$2:J$801,$W77)="","",INDEX('Per Invoice'!J$2:J$801,$W77)))</f>
        <v/>
      </c>
      <c r="K77" s="7">
        <f>IF($W77="","",IF(INDEX('Per Invoice'!K$2:K$801,$W77)="","",INDEX('Per Invoice'!K$2:K$801,$W77)))</f>
        <v/>
      </c>
      <c r="L77" s="14">
        <f>IF($W77="","",IF(INDEX('Per Invoice'!L$2:L$801,$W77)="","",INDEX('Per Invoice'!L$2:L$801,$W77)))</f>
        <v/>
      </c>
      <c r="M77">
        <f>IF($W77="","",IF(INDEX('Per Invoice'!M$2:M$801,$W77)="","",INDEX('Per Invoice'!M$2:M$801,$W77)))</f>
        <v/>
      </c>
      <c r="N77" s="7">
        <f>IF($W77="","",IF(INDEX('Per Invoice'!N$2:N$801,$W77)="","",INDEX('Per Invoice'!N$2:N$801,$W77)))</f>
        <v/>
      </c>
      <c r="O77" s="7">
        <f>IF($W77="","",IF(INDEX('Per Invoice'!O$2:O$801,$W77)="","",INDEX('Per Invoice'!O$2:O$801,$W77)))</f>
        <v/>
      </c>
      <c r="P77">
        <f>IF($W77="","",IF(INDEX('Per Invoice'!P$2:P$801,$W77)="","",INDEX('Per Invoice'!P$2:P$801,$W77)))</f>
        <v/>
      </c>
      <c r="Q77" s="7">
        <f>IF($W77="","",IF(INDEX('Per Invoice'!Q$2:Q$801,$W77)="","",INDEX('Per Invoice'!Q$2:Q$801,$W77)))</f>
        <v/>
      </c>
      <c r="R77" s="7">
        <f>IF($W77="","",IF(INDEX('Per Invoice'!R$2:R$801,$W77)="","",INDEX('Per Invoice'!R$2:R$801,$W77)))</f>
        <v/>
      </c>
      <c r="S77" s="7">
        <f>IF($W77="","",IF(INDEX('Per Invoice'!S$2:S$801,$W77)="","",INDEX('Per Invoice'!S$2:S$801,$W77)))</f>
        <v/>
      </c>
      <c r="T77" s="7">
        <f>IF($W77="","",IF(INDEX('Per Invoice'!T$2:T$801,$W77)="","",INDEX('Per Invoice'!T$2:T$801,$W77)))</f>
        <v/>
      </c>
      <c r="U77" s="7">
        <f>IF($W77="","",IF(INDEX('Per Invoice'!U$2:U$801,$W77)="","",INDEX('Per Invoice'!U$2:U$801,$W77)))</f>
        <v/>
      </c>
      <c r="V77" s="7">
        <f>IF($W77="","",IF(INDEX('Per Invoice'!V$2:V$801,$W77)="","",INDEX('Per Invoice'!V$2:V$801,$W77)))</f>
        <v/>
      </c>
      <c r="W77" s="16">
        <f>IFERROR(MATCH(Settings!$C$30&amp;"|"&amp;ROWS($W$2:$W77),'Per Invoice'!$X$2:$X$801,0),"")</f>
        <v/>
      </c>
    </row>
    <row r="78">
      <c r="A78">
        <f>IF($W78="","",IF(INDEX('Per Invoice'!A$2:A$801,$W78)="","",INDEX('Per Invoice'!A$2:A$801,$W78)))</f>
        <v/>
      </c>
      <c r="B78">
        <f>IF($W78="","",IF(INDEX('Per Invoice'!B$2:B$801,$W78)="","",INDEX('Per Invoice'!B$2:B$801,$W78)))</f>
        <v/>
      </c>
      <c r="C78">
        <f>IF($W78="","",IF(INDEX('Per Invoice'!C$2:C$801,$W78)="","",INDEX('Per Invoice'!C$2:C$801,$W78)))</f>
        <v/>
      </c>
      <c r="D78">
        <f>IF($W78="","",IF(INDEX('Per Invoice'!D$2:D$801,$W78)="","",INDEX('Per Invoice'!D$2:D$801,$W78)))</f>
        <v/>
      </c>
      <c r="E78">
        <f>IF($W78="","",IF(INDEX('Per Invoice'!E$2:E$801,$W78)="","",INDEX('Per Invoice'!E$2:E$801,$W78)))</f>
        <v/>
      </c>
      <c r="F78">
        <f>IF($W78="","",IF(INDEX('Per Invoice'!F$2:F$801,$W78)="","",INDEX('Per Invoice'!F$2:F$801,$W78)))</f>
        <v/>
      </c>
      <c r="G78">
        <f>IF($W78="","",IF(INDEX('Per Invoice'!G$2:G$801,$W78)="","",INDEX('Per Invoice'!G$2:G$801,$W78)))</f>
        <v/>
      </c>
      <c r="H78">
        <f>IF($W78="","",IF(INDEX('Per Invoice'!H$2:H$801,$W78)="","",INDEX('Per Invoice'!H$2:H$801,$W78)))</f>
        <v/>
      </c>
      <c r="I78">
        <f>IF($W78="","",IF(INDEX('Per Invoice'!I$2:I$801,$W78)="","",INDEX('Per Invoice'!I$2:I$801,$W78)))</f>
        <v/>
      </c>
      <c r="J78">
        <f>IF($W78="","",IF(INDEX('Per Invoice'!J$2:J$801,$W78)="","",INDEX('Per Invoice'!J$2:J$801,$W78)))</f>
        <v/>
      </c>
      <c r="K78" s="7">
        <f>IF($W78="","",IF(INDEX('Per Invoice'!K$2:K$801,$W78)="","",INDEX('Per Invoice'!K$2:K$801,$W78)))</f>
        <v/>
      </c>
      <c r="L78" s="14">
        <f>IF($W78="","",IF(INDEX('Per Invoice'!L$2:L$801,$W78)="","",INDEX('Per Invoice'!L$2:L$801,$W78)))</f>
        <v/>
      </c>
      <c r="M78">
        <f>IF($W78="","",IF(INDEX('Per Invoice'!M$2:M$801,$W78)="","",INDEX('Per Invoice'!M$2:M$801,$W78)))</f>
        <v/>
      </c>
      <c r="N78" s="7">
        <f>IF($W78="","",IF(INDEX('Per Invoice'!N$2:N$801,$W78)="","",INDEX('Per Invoice'!N$2:N$801,$W78)))</f>
        <v/>
      </c>
      <c r="O78" s="7">
        <f>IF($W78="","",IF(INDEX('Per Invoice'!O$2:O$801,$W78)="","",INDEX('Per Invoice'!O$2:O$801,$W78)))</f>
        <v/>
      </c>
      <c r="P78">
        <f>IF($W78="","",IF(INDEX('Per Invoice'!P$2:P$801,$W78)="","",INDEX('Per Invoice'!P$2:P$801,$W78)))</f>
        <v/>
      </c>
      <c r="Q78" s="7">
        <f>IF($W78="","",IF(INDEX('Per Invoice'!Q$2:Q$801,$W78)="","",INDEX('Per Invoice'!Q$2:Q$801,$W78)))</f>
        <v/>
      </c>
      <c r="R78" s="7">
        <f>IF($W78="","",IF(INDEX('Per Invoice'!R$2:R$801,$W78)="","",INDEX('Per Invoice'!R$2:R$801,$W78)))</f>
        <v/>
      </c>
      <c r="S78" s="7">
        <f>IF($W78="","",IF(INDEX('Per Invoice'!S$2:S$801,$W78)="","",INDEX('Per Invoice'!S$2:S$801,$W78)))</f>
        <v/>
      </c>
      <c r="T78" s="7">
        <f>IF($W78="","",IF(INDEX('Per Invoice'!T$2:T$801,$W78)="","",INDEX('Per Invoice'!T$2:T$801,$W78)))</f>
        <v/>
      </c>
      <c r="U78" s="7">
        <f>IF($W78="","",IF(INDEX('Per Invoice'!U$2:U$801,$W78)="","",INDEX('Per Invoice'!U$2:U$801,$W78)))</f>
        <v/>
      </c>
      <c r="V78" s="7">
        <f>IF($W78="","",IF(INDEX('Per Invoice'!V$2:V$801,$W78)="","",INDEX('Per Invoice'!V$2:V$801,$W78)))</f>
        <v/>
      </c>
      <c r="W78" s="16">
        <f>IFERROR(MATCH(Settings!$C$30&amp;"|"&amp;ROWS($W$2:$W78),'Per Invoice'!$X$2:$X$801,0),"")</f>
        <v/>
      </c>
    </row>
    <row r="79">
      <c r="A79">
        <f>IF($W79="","",IF(INDEX('Per Invoice'!A$2:A$801,$W79)="","",INDEX('Per Invoice'!A$2:A$801,$W79)))</f>
        <v/>
      </c>
      <c r="B79">
        <f>IF($W79="","",IF(INDEX('Per Invoice'!B$2:B$801,$W79)="","",INDEX('Per Invoice'!B$2:B$801,$W79)))</f>
        <v/>
      </c>
      <c r="C79">
        <f>IF($W79="","",IF(INDEX('Per Invoice'!C$2:C$801,$W79)="","",INDEX('Per Invoice'!C$2:C$801,$W79)))</f>
        <v/>
      </c>
      <c r="D79">
        <f>IF($W79="","",IF(INDEX('Per Invoice'!D$2:D$801,$W79)="","",INDEX('Per Invoice'!D$2:D$801,$W79)))</f>
        <v/>
      </c>
      <c r="E79">
        <f>IF($W79="","",IF(INDEX('Per Invoice'!E$2:E$801,$W79)="","",INDEX('Per Invoice'!E$2:E$801,$W79)))</f>
        <v/>
      </c>
      <c r="F79">
        <f>IF($W79="","",IF(INDEX('Per Invoice'!F$2:F$801,$W79)="","",INDEX('Per Invoice'!F$2:F$801,$W79)))</f>
        <v/>
      </c>
      <c r="G79">
        <f>IF($W79="","",IF(INDEX('Per Invoice'!G$2:G$801,$W79)="","",INDEX('Per Invoice'!G$2:G$801,$W79)))</f>
        <v/>
      </c>
      <c r="H79">
        <f>IF($W79="","",IF(INDEX('Per Invoice'!H$2:H$801,$W79)="","",INDEX('Per Invoice'!H$2:H$801,$W79)))</f>
        <v/>
      </c>
      <c r="I79">
        <f>IF($W79="","",IF(INDEX('Per Invoice'!I$2:I$801,$W79)="","",INDEX('Per Invoice'!I$2:I$801,$W79)))</f>
        <v/>
      </c>
      <c r="J79">
        <f>IF($W79="","",IF(INDEX('Per Invoice'!J$2:J$801,$W79)="","",INDEX('Per Invoice'!J$2:J$801,$W79)))</f>
        <v/>
      </c>
      <c r="K79" s="7">
        <f>IF($W79="","",IF(INDEX('Per Invoice'!K$2:K$801,$W79)="","",INDEX('Per Invoice'!K$2:K$801,$W79)))</f>
        <v/>
      </c>
      <c r="L79" s="14">
        <f>IF($W79="","",IF(INDEX('Per Invoice'!L$2:L$801,$W79)="","",INDEX('Per Invoice'!L$2:L$801,$W79)))</f>
        <v/>
      </c>
      <c r="M79">
        <f>IF($W79="","",IF(INDEX('Per Invoice'!M$2:M$801,$W79)="","",INDEX('Per Invoice'!M$2:M$801,$W79)))</f>
        <v/>
      </c>
      <c r="N79" s="7">
        <f>IF($W79="","",IF(INDEX('Per Invoice'!N$2:N$801,$W79)="","",INDEX('Per Invoice'!N$2:N$801,$W79)))</f>
        <v/>
      </c>
      <c r="O79" s="7">
        <f>IF($W79="","",IF(INDEX('Per Invoice'!O$2:O$801,$W79)="","",INDEX('Per Invoice'!O$2:O$801,$W79)))</f>
        <v/>
      </c>
      <c r="P79">
        <f>IF($W79="","",IF(INDEX('Per Invoice'!P$2:P$801,$W79)="","",INDEX('Per Invoice'!P$2:P$801,$W79)))</f>
        <v/>
      </c>
      <c r="Q79" s="7">
        <f>IF($W79="","",IF(INDEX('Per Invoice'!Q$2:Q$801,$W79)="","",INDEX('Per Invoice'!Q$2:Q$801,$W79)))</f>
        <v/>
      </c>
      <c r="R79" s="7">
        <f>IF($W79="","",IF(INDEX('Per Invoice'!R$2:R$801,$W79)="","",INDEX('Per Invoice'!R$2:R$801,$W79)))</f>
        <v/>
      </c>
      <c r="S79" s="7">
        <f>IF($W79="","",IF(INDEX('Per Invoice'!S$2:S$801,$W79)="","",INDEX('Per Invoice'!S$2:S$801,$W79)))</f>
        <v/>
      </c>
      <c r="T79" s="7">
        <f>IF($W79="","",IF(INDEX('Per Invoice'!T$2:T$801,$W79)="","",INDEX('Per Invoice'!T$2:T$801,$W79)))</f>
        <v/>
      </c>
      <c r="U79" s="7">
        <f>IF($W79="","",IF(INDEX('Per Invoice'!U$2:U$801,$W79)="","",INDEX('Per Invoice'!U$2:U$801,$W79)))</f>
        <v/>
      </c>
      <c r="V79" s="7">
        <f>IF($W79="","",IF(INDEX('Per Invoice'!V$2:V$801,$W79)="","",INDEX('Per Invoice'!V$2:V$801,$W79)))</f>
        <v/>
      </c>
      <c r="W79" s="16">
        <f>IFERROR(MATCH(Settings!$C$30&amp;"|"&amp;ROWS($W$2:$W79),'Per Invoice'!$X$2:$X$801,0),"")</f>
        <v/>
      </c>
    </row>
    <row r="80">
      <c r="A80">
        <f>IF($W80="","",IF(INDEX('Per Invoice'!A$2:A$801,$W80)="","",INDEX('Per Invoice'!A$2:A$801,$W80)))</f>
        <v/>
      </c>
      <c r="B80">
        <f>IF($W80="","",IF(INDEX('Per Invoice'!B$2:B$801,$W80)="","",INDEX('Per Invoice'!B$2:B$801,$W80)))</f>
        <v/>
      </c>
      <c r="C80">
        <f>IF($W80="","",IF(INDEX('Per Invoice'!C$2:C$801,$W80)="","",INDEX('Per Invoice'!C$2:C$801,$W80)))</f>
        <v/>
      </c>
      <c r="D80">
        <f>IF($W80="","",IF(INDEX('Per Invoice'!D$2:D$801,$W80)="","",INDEX('Per Invoice'!D$2:D$801,$W80)))</f>
        <v/>
      </c>
      <c r="E80">
        <f>IF($W80="","",IF(INDEX('Per Invoice'!E$2:E$801,$W80)="","",INDEX('Per Invoice'!E$2:E$801,$W80)))</f>
        <v/>
      </c>
      <c r="F80">
        <f>IF($W80="","",IF(INDEX('Per Invoice'!F$2:F$801,$W80)="","",INDEX('Per Invoice'!F$2:F$801,$W80)))</f>
        <v/>
      </c>
      <c r="G80">
        <f>IF($W80="","",IF(INDEX('Per Invoice'!G$2:G$801,$W80)="","",INDEX('Per Invoice'!G$2:G$801,$W80)))</f>
        <v/>
      </c>
      <c r="H80">
        <f>IF($W80="","",IF(INDEX('Per Invoice'!H$2:H$801,$W80)="","",INDEX('Per Invoice'!H$2:H$801,$W80)))</f>
        <v/>
      </c>
      <c r="I80">
        <f>IF($W80="","",IF(INDEX('Per Invoice'!I$2:I$801,$W80)="","",INDEX('Per Invoice'!I$2:I$801,$W80)))</f>
        <v/>
      </c>
      <c r="J80">
        <f>IF($W80="","",IF(INDEX('Per Invoice'!J$2:J$801,$W80)="","",INDEX('Per Invoice'!J$2:J$801,$W80)))</f>
        <v/>
      </c>
      <c r="K80" s="7">
        <f>IF($W80="","",IF(INDEX('Per Invoice'!K$2:K$801,$W80)="","",INDEX('Per Invoice'!K$2:K$801,$W80)))</f>
        <v/>
      </c>
      <c r="L80" s="14">
        <f>IF($W80="","",IF(INDEX('Per Invoice'!L$2:L$801,$W80)="","",INDEX('Per Invoice'!L$2:L$801,$W80)))</f>
        <v/>
      </c>
      <c r="M80">
        <f>IF($W80="","",IF(INDEX('Per Invoice'!M$2:M$801,$W80)="","",INDEX('Per Invoice'!M$2:M$801,$W80)))</f>
        <v/>
      </c>
      <c r="N80" s="7">
        <f>IF($W80="","",IF(INDEX('Per Invoice'!N$2:N$801,$W80)="","",INDEX('Per Invoice'!N$2:N$801,$W80)))</f>
        <v/>
      </c>
      <c r="O80" s="7">
        <f>IF($W80="","",IF(INDEX('Per Invoice'!O$2:O$801,$W80)="","",INDEX('Per Invoice'!O$2:O$801,$W80)))</f>
        <v/>
      </c>
      <c r="P80">
        <f>IF($W80="","",IF(INDEX('Per Invoice'!P$2:P$801,$W80)="","",INDEX('Per Invoice'!P$2:P$801,$W80)))</f>
        <v/>
      </c>
      <c r="Q80" s="7">
        <f>IF($W80="","",IF(INDEX('Per Invoice'!Q$2:Q$801,$W80)="","",INDEX('Per Invoice'!Q$2:Q$801,$W80)))</f>
        <v/>
      </c>
      <c r="R80" s="7">
        <f>IF($W80="","",IF(INDEX('Per Invoice'!R$2:R$801,$W80)="","",INDEX('Per Invoice'!R$2:R$801,$W80)))</f>
        <v/>
      </c>
      <c r="S80" s="7">
        <f>IF($W80="","",IF(INDEX('Per Invoice'!S$2:S$801,$W80)="","",INDEX('Per Invoice'!S$2:S$801,$W80)))</f>
        <v/>
      </c>
      <c r="T80" s="7">
        <f>IF($W80="","",IF(INDEX('Per Invoice'!T$2:T$801,$W80)="","",INDEX('Per Invoice'!T$2:T$801,$W80)))</f>
        <v/>
      </c>
      <c r="U80" s="7">
        <f>IF($W80="","",IF(INDEX('Per Invoice'!U$2:U$801,$W80)="","",INDEX('Per Invoice'!U$2:U$801,$W80)))</f>
        <v/>
      </c>
      <c r="V80" s="7">
        <f>IF($W80="","",IF(INDEX('Per Invoice'!V$2:V$801,$W80)="","",INDEX('Per Invoice'!V$2:V$801,$W80)))</f>
        <v/>
      </c>
      <c r="W80" s="16">
        <f>IFERROR(MATCH(Settings!$C$30&amp;"|"&amp;ROWS($W$2:$W80),'Per Invoice'!$X$2:$X$801,0),"")</f>
        <v/>
      </c>
    </row>
    <row r="81">
      <c r="A81">
        <f>IF($W81="","",IF(INDEX('Per Invoice'!A$2:A$801,$W81)="","",INDEX('Per Invoice'!A$2:A$801,$W81)))</f>
        <v/>
      </c>
      <c r="B81">
        <f>IF($W81="","",IF(INDEX('Per Invoice'!B$2:B$801,$W81)="","",INDEX('Per Invoice'!B$2:B$801,$W81)))</f>
        <v/>
      </c>
      <c r="C81">
        <f>IF($W81="","",IF(INDEX('Per Invoice'!C$2:C$801,$W81)="","",INDEX('Per Invoice'!C$2:C$801,$W81)))</f>
        <v/>
      </c>
      <c r="D81">
        <f>IF($W81="","",IF(INDEX('Per Invoice'!D$2:D$801,$W81)="","",INDEX('Per Invoice'!D$2:D$801,$W81)))</f>
        <v/>
      </c>
      <c r="E81">
        <f>IF($W81="","",IF(INDEX('Per Invoice'!E$2:E$801,$W81)="","",INDEX('Per Invoice'!E$2:E$801,$W81)))</f>
        <v/>
      </c>
      <c r="F81">
        <f>IF($W81="","",IF(INDEX('Per Invoice'!F$2:F$801,$W81)="","",INDEX('Per Invoice'!F$2:F$801,$W81)))</f>
        <v/>
      </c>
      <c r="G81">
        <f>IF($W81="","",IF(INDEX('Per Invoice'!G$2:G$801,$W81)="","",INDEX('Per Invoice'!G$2:G$801,$W81)))</f>
        <v/>
      </c>
      <c r="H81">
        <f>IF($W81="","",IF(INDEX('Per Invoice'!H$2:H$801,$W81)="","",INDEX('Per Invoice'!H$2:H$801,$W81)))</f>
        <v/>
      </c>
      <c r="I81">
        <f>IF($W81="","",IF(INDEX('Per Invoice'!I$2:I$801,$W81)="","",INDEX('Per Invoice'!I$2:I$801,$W81)))</f>
        <v/>
      </c>
      <c r="J81">
        <f>IF($W81="","",IF(INDEX('Per Invoice'!J$2:J$801,$W81)="","",INDEX('Per Invoice'!J$2:J$801,$W81)))</f>
        <v/>
      </c>
      <c r="K81" s="7">
        <f>IF($W81="","",IF(INDEX('Per Invoice'!K$2:K$801,$W81)="","",INDEX('Per Invoice'!K$2:K$801,$W81)))</f>
        <v/>
      </c>
      <c r="L81" s="14">
        <f>IF($W81="","",IF(INDEX('Per Invoice'!L$2:L$801,$W81)="","",INDEX('Per Invoice'!L$2:L$801,$W81)))</f>
        <v/>
      </c>
      <c r="M81">
        <f>IF($W81="","",IF(INDEX('Per Invoice'!M$2:M$801,$W81)="","",INDEX('Per Invoice'!M$2:M$801,$W81)))</f>
        <v/>
      </c>
      <c r="N81" s="7">
        <f>IF($W81="","",IF(INDEX('Per Invoice'!N$2:N$801,$W81)="","",INDEX('Per Invoice'!N$2:N$801,$W81)))</f>
        <v/>
      </c>
      <c r="O81" s="7">
        <f>IF($W81="","",IF(INDEX('Per Invoice'!O$2:O$801,$W81)="","",INDEX('Per Invoice'!O$2:O$801,$W81)))</f>
        <v/>
      </c>
      <c r="P81">
        <f>IF($W81="","",IF(INDEX('Per Invoice'!P$2:P$801,$W81)="","",INDEX('Per Invoice'!P$2:P$801,$W81)))</f>
        <v/>
      </c>
      <c r="Q81" s="7">
        <f>IF($W81="","",IF(INDEX('Per Invoice'!Q$2:Q$801,$W81)="","",INDEX('Per Invoice'!Q$2:Q$801,$W81)))</f>
        <v/>
      </c>
      <c r="R81" s="7">
        <f>IF($W81="","",IF(INDEX('Per Invoice'!R$2:R$801,$W81)="","",INDEX('Per Invoice'!R$2:R$801,$W81)))</f>
        <v/>
      </c>
      <c r="S81" s="7">
        <f>IF($W81="","",IF(INDEX('Per Invoice'!S$2:S$801,$W81)="","",INDEX('Per Invoice'!S$2:S$801,$W81)))</f>
        <v/>
      </c>
      <c r="T81" s="7">
        <f>IF($W81="","",IF(INDEX('Per Invoice'!T$2:T$801,$W81)="","",INDEX('Per Invoice'!T$2:T$801,$W81)))</f>
        <v/>
      </c>
      <c r="U81" s="7">
        <f>IF($W81="","",IF(INDEX('Per Invoice'!U$2:U$801,$W81)="","",INDEX('Per Invoice'!U$2:U$801,$W81)))</f>
        <v/>
      </c>
      <c r="V81" s="7">
        <f>IF($W81="","",IF(INDEX('Per Invoice'!V$2:V$801,$W81)="","",INDEX('Per Invoice'!V$2:V$801,$W81)))</f>
        <v/>
      </c>
      <c r="W81" s="16">
        <f>IFERROR(MATCH(Settings!$C$30&amp;"|"&amp;ROWS($W$2:$W81),'Per Invoice'!$X$2:$X$801,0),"")</f>
        <v/>
      </c>
    </row>
    <row r="82">
      <c r="A82">
        <f>IF($W82="","",IF(INDEX('Per Invoice'!A$2:A$801,$W82)="","",INDEX('Per Invoice'!A$2:A$801,$W82)))</f>
        <v/>
      </c>
      <c r="B82">
        <f>IF($W82="","",IF(INDEX('Per Invoice'!B$2:B$801,$W82)="","",INDEX('Per Invoice'!B$2:B$801,$W82)))</f>
        <v/>
      </c>
      <c r="C82">
        <f>IF($W82="","",IF(INDEX('Per Invoice'!C$2:C$801,$W82)="","",INDEX('Per Invoice'!C$2:C$801,$W82)))</f>
        <v/>
      </c>
      <c r="D82">
        <f>IF($W82="","",IF(INDEX('Per Invoice'!D$2:D$801,$W82)="","",INDEX('Per Invoice'!D$2:D$801,$W82)))</f>
        <v/>
      </c>
      <c r="E82">
        <f>IF($W82="","",IF(INDEX('Per Invoice'!E$2:E$801,$W82)="","",INDEX('Per Invoice'!E$2:E$801,$W82)))</f>
        <v/>
      </c>
      <c r="F82">
        <f>IF($W82="","",IF(INDEX('Per Invoice'!F$2:F$801,$W82)="","",INDEX('Per Invoice'!F$2:F$801,$W82)))</f>
        <v/>
      </c>
      <c r="G82">
        <f>IF($W82="","",IF(INDEX('Per Invoice'!G$2:G$801,$W82)="","",INDEX('Per Invoice'!G$2:G$801,$W82)))</f>
        <v/>
      </c>
      <c r="H82">
        <f>IF($W82="","",IF(INDEX('Per Invoice'!H$2:H$801,$W82)="","",INDEX('Per Invoice'!H$2:H$801,$W82)))</f>
        <v/>
      </c>
      <c r="I82">
        <f>IF($W82="","",IF(INDEX('Per Invoice'!I$2:I$801,$W82)="","",INDEX('Per Invoice'!I$2:I$801,$W82)))</f>
        <v/>
      </c>
      <c r="J82">
        <f>IF($W82="","",IF(INDEX('Per Invoice'!J$2:J$801,$W82)="","",INDEX('Per Invoice'!J$2:J$801,$W82)))</f>
        <v/>
      </c>
      <c r="K82" s="7">
        <f>IF($W82="","",IF(INDEX('Per Invoice'!K$2:K$801,$W82)="","",INDEX('Per Invoice'!K$2:K$801,$W82)))</f>
        <v/>
      </c>
      <c r="L82" s="14">
        <f>IF($W82="","",IF(INDEX('Per Invoice'!L$2:L$801,$W82)="","",INDEX('Per Invoice'!L$2:L$801,$W82)))</f>
        <v/>
      </c>
      <c r="M82">
        <f>IF($W82="","",IF(INDEX('Per Invoice'!M$2:M$801,$W82)="","",INDEX('Per Invoice'!M$2:M$801,$W82)))</f>
        <v/>
      </c>
      <c r="N82" s="7">
        <f>IF($W82="","",IF(INDEX('Per Invoice'!N$2:N$801,$W82)="","",INDEX('Per Invoice'!N$2:N$801,$W82)))</f>
        <v/>
      </c>
      <c r="O82" s="7">
        <f>IF($W82="","",IF(INDEX('Per Invoice'!O$2:O$801,$W82)="","",INDEX('Per Invoice'!O$2:O$801,$W82)))</f>
        <v/>
      </c>
      <c r="P82">
        <f>IF($W82="","",IF(INDEX('Per Invoice'!P$2:P$801,$W82)="","",INDEX('Per Invoice'!P$2:P$801,$W82)))</f>
        <v/>
      </c>
      <c r="Q82" s="7">
        <f>IF($W82="","",IF(INDEX('Per Invoice'!Q$2:Q$801,$W82)="","",INDEX('Per Invoice'!Q$2:Q$801,$W82)))</f>
        <v/>
      </c>
      <c r="R82" s="7">
        <f>IF($W82="","",IF(INDEX('Per Invoice'!R$2:R$801,$W82)="","",INDEX('Per Invoice'!R$2:R$801,$W82)))</f>
        <v/>
      </c>
      <c r="S82" s="7">
        <f>IF($W82="","",IF(INDEX('Per Invoice'!S$2:S$801,$W82)="","",INDEX('Per Invoice'!S$2:S$801,$W82)))</f>
        <v/>
      </c>
      <c r="T82" s="7">
        <f>IF($W82="","",IF(INDEX('Per Invoice'!T$2:T$801,$W82)="","",INDEX('Per Invoice'!T$2:T$801,$W82)))</f>
        <v/>
      </c>
      <c r="U82" s="7">
        <f>IF($W82="","",IF(INDEX('Per Invoice'!U$2:U$801,$W82)="","",INDEX('Per Invoice'!U$2:U$801,$W82)))</f>
        <v/>
      </c>
      <c r="V82" s="7">
        <f>IF($W82="","",IF(INDEX('Per Invoice'!V$2:V$801,$W82)="","",INDEX('Per Invoice'!V$2:V$801,$W82)))</f>
        <v/>
      </c>
      <c r="W82" s="16">
        <f>IFERROR(MATCH(Settings!$C$30&amp;"|"&amp;ROWS($W$2:$W82),'Per Invoice'!$X$2:$X$801,0),"")</f>
        <v/>
      </c>
    </row>
    <row r="83">
      <c r="A83">
        <f>IF($W83="","",IF(INDEX('Per Invoice'!A$2:A$801,$W83)="","",INDEX('Per Invoice'!A$2:A$801,$W83)))</f>
        <v/>
      </c>
      <c r="B83">
        <f>IF($W83="","",IF(INDEX('Per Invoice'!B$2:B$801,$W83)="","",INDEX('Per Invoice'!B$2:B$801,$W83)))</f>
        <v/>
      </c>
      <c r="C83">
        <f>IF($W83="","",IF(INDEX('Per Invoice'!C$2:C$801,$W83)="","",INDEX('Per Invoice'!C$2:C$801,$W83)))</f>
        <v/>
      </c>
      <c r="D83">
        <f>IF($W83="","",IF(INDEX('Per Invoice'!D$2:D$801,$W83)="","",INDEX('Per Invoice'!D$2:D$801,$W83)))</f>
        <v/>
      </c>
      <c r="E83">
        <f>IF($W83="","",IF(INDEX('Per Invoice'!E$2:E$801,$W83)="","",INDEX('Per Invoice'!E$2:E$801,$W83)))</f>
        <v/>
      </c>
      <c r="F83">
        <f>IF($W83="","",IF(INDEX('Per Invoice'!F$2:F$801,$W83)="","",INDEX('Per Invoice'!F$2:F$801,$W83)))</f>
        <v/>
      </c>
      <c r="G83">
        <f>IF($W83="","",IF(INDEX('Per Invoice'!G$2:G$801,$W83)="","",INDEX('Per Invoice'!G$2:G$801,$W83)))</f>
        <v/>
      </c>
      <c r="H83">
        <f>IF($W83="","",IF(INDEX('Per Invoice'!H$2:H$801,$W83)="","",INDEX('Per Invoice'!H$2:H$801,$W83)))</f>
        <v/>
      </c>
      <c r="I83">
        <f>IF($W83="","",IF(INDEX('Per Invoice'!I$2:I$801,$W83)="","",INDEX('Per Invoice'!I$2:I$801,$W83)))</f>
        <v/>
      </c>
      <c r="J83">
        <f>IF($W83="","",IF(INDEX('Per Invoice'!J$2:J$801,$W83)="","",INDEX('Per Invoice'!J$2:J$801,$W83)))</f>
        <v/>
      </c>
      <c r="K83" s="7">
        <f>IF($W83="","",IF(INDEX('Per Invoice'!K$2:K$801,$W83)="","",INDEX('Per Invoice'!K$2:K$801,$W83)))</f>
        <v/>
      </c>
      <c r="L83" s="14">
        <f>IF($W83="","",IF(INDEX('Per Invoice'!L$2:L$801,$W83)="","",INDEX('Per Invoice'!L$2:L$801,$W83)))</f>
        <v/>
      </c>
      <c r="M83">
        <f>IF($W83="","",IF(INDEX('Per Invoice'!M$2:M$801,$W83)="","",INDEX('Per Invoice'!M$2:M$801,$W83)))</f>
        <v/>
      </c>
      <c r="N83" s="7">
        <f>IF($W83="","",IF(INDEX('Per Invoice'!N$2:N$801,$W83)="","",INDEX('Per Invoice'!N$2:N$801,$W83)))</f>
        <v/>
      </c>
      <c r="O83" s="7">
        <f>IF($W83="","",IF(INDEX('Per Invoice'!O$2:O$801,$W83)="","",INDEX('Per Invoice'!O$2:O$801,$W83)))</f>
        <v/>
      </c>
      <c r="P83">
        <f>IF($W83="","",IF(INDEX('Per Invoice'!P$2:P$801,$W83)="","",INDEX('Per Invoice'!P$2:P$801,$W83)))</f>
        <v/>
      </c>
      <c r="Q83" s="7">
        <f>IF($W83="","",IF(INDEX('Per Invoice'!Q$2:Q$801,$W83)="","",INDEX('Per Invoice'!Q$2:Q$801,$W83)))</f>
        <v/>
      </c>
      <c r="R83" s="7">
        <f>IF($W83="","",IF(INDEX('Per Invoice'!R$2:R$801,$W83)="","",INDEX('Per Invoice'!R$2:R$801,$W83)))</f>
        <v/>
      </c>
      <c r="S83" s="7">
        <f>IF($W83="","",IF(INDEX('Per Invoice'!S$2:S$801,$W83)="","",INDEX('Per Invoice'!S$2:S$801,$W83)))</f>
        <v/>
      </c>
      <c r="T83" s="7">
        <f>IF($W83="","",IF(INDEX('Per Invoice'!T$2:T$801,$W83)="","",INDEX('Per Invoice'!T$2:T$801,$W83)))</f>
        <v/>
      </c>
      <c r="U83" s="7">
        <f>IF($W83="","",IF(INDEX('Per Invoice'!U$2:U$801,$W83)="","",INDEX('Per Invoice'!U$2:U$801,$W83)))</f>
        <v/>
      </c>
      <c r="V83" s="7">
        <f>IF($W83="","",IF(INDEX('Per Invoice'!V$2:V$801,$W83)="","",INDEX('Per Invoice'!V$2:V$801,$W83)))</f>
        <v/>
      </c>
      <c r="W83" s="16">
        <f>IFERROR(MATCH(Settings!$C$30&amp;"|"&amp;ROWS($W$2:$W83),'Per Invoice'!$X$2:$X$801,0),"")</f>
        <v/>
      </c>
    </row>
    <row r="84">
      <c r="A84">
        <f>IF($W84="","",IF(INDEX('Per Invoice'!A$2:A$801,$W84)="","",INDEX('Per Invoice'!A$2:A$801,$W84)))</f>
        <v/>
      </c>
      <c r="B84">
        <f>IF($W84="","",IF(INDEX('Per Invoice'!B$2:B$801,$W84)="","",INDEX('Per Invoice'!B$2:B$801,$W84)))</f>
        <v/>
      </c>
      <c r="C84">
        <f>IF($W84="","",IF(INDEX('Per Invoice'!C$2:C$801,$W84)="","",INDEX('Per Invoice'!C$2:C$801,$W84)))</f>
        <v/>
      </c>
      <c r="D84">
        <f>IF($W84="","",IF(INDEX('Per Invoice'!D$2:D$801,$W84)="","",INDEX('Per Invoice'!D$2:D$801,$W84)))</f>
        <v/>
      </c>
      <c r="E84">
        <f>IF($W84="","",IF(INDEX('Per Invoice'!E$2:E$801,$W84)="","",INDEX('Per Invoice'!E$2:E$801,$W84)))</f>
        <v/>
      </c>
      <c r="F84">
        <f>IF($W84="","",IF(INDEX('Per Invoice'!F$2:F$801,$W84)="","",INDEX('Per Invoice'!F$2:F$801,$W84)))</f>
        <v/>
      </c>
      <c r="G84">
        <f>IF($W84="","",IF(INDEX('Per Invoice'!G$2:G$801,$W84)="","",INDEX('Per Invoice'!G$2:G$801,$W84)))</f>
        <v/>
      </c>
      <c r="H84">
        <f>IF($W84="","",IF(INDEX('Per Invoice'!H$2:H$801,$W84)="","",INDEX('Per Invoice'!H$2:H$801,$W84)))</f>
        <v/>
      </c>
      <c r="I84">
        <f>IF($W84="","",IF(INDEX('Per Invoice'!I$2:I$801,$W84)="","",INDEX('Per Invoice'!I$2:I$801,$W84)))</f>
        <v/>
      </c>
      <c r="J84">
        <f>IF($W84="","",IF(INDEX('Per Invoice'!J$2:J$801,$W84)="","",INDEX('Per Invoice'!J$2:J$801,$W84)))</f>
        <v/>
      </c>
      <c r="K84" s="7">
        <f>IF($W84="","",IF(INDEX('Per Invoice'!K$2:K$801,$W84)="","",INDEX('Per Invoice'!K$2:K$801,$W84)))</f>
        <v/>
      </c>
      <c r="L84" s="14">
        <f>IF($W84="","",IF(INDEX('Per Invoice'!L$2:L$801,$W84)="","",INDEX('Per Invoice'!L$2:L$801,$W84)))</f>
        <v/>
      </c>
      <c r="M84">
        <f>IF($W84="","",IF(INDEX('Per Invoice'!M$2:M$801,$W84)="","",INDEX('Per Invoice'!M$2:M$801,$W84)))</f>
        <v/>
      </c>
      <c r="N84" s="7">
        <f>IF($W84="","",IF(INDEX('Per Invoice'!N$2:N$801,$W84)="","",INDEX('Per Invoice'!N$2:N$801,$W84)))</f>
        <v/>
      </c>
      <c r="O84" s="7">
        <f>IF($W84="","",IF(INDEX('Per Invoice'!O$2:O$801,$W84)="","",INDEX('Per Invoice'!O$2:O$801,$W84)))</f>
        <v/>
      </c>
      <c r="P84">
        <f>IF($W84="","",IF(INDEX('Per Invoice'!P$2:P$801,$W84)="","",INDEX('Per Invoice'!P$2:P$801,$W84)))</f>
        <v/>
      </c>
      <c r="Q84" s="7">
        <f>IF($W84="","",IF(INDEX('Per Invoice'!Q$2:Q$801,$W84)="","",INDEX('Per Invoice'!Q$2:Q$801,$W84)))</f>
        <v/>
      </c>
      <c r="R84" s="7">
        <f>IF($W84="","",IF(INDEX('Per Invoice'!R$2:R$801,$W84)="","",INDEX('Per Invoice'!R$2:R$801,$W84)))</f>
        <v/>
      </c>
      <c r="S84" s="7">
        <f>IF($W84="","",IF(INDEX('Per Invoice'!S$2:S$801,$W84)="","",INDEX('Per Invoice'!S$2:S$801,$W84)))</f>
        <v/>
      </c>
      <c r="T84" s="7">
        <f>IF($W84="","",IF(INDEX('Per Invoice'!T$2:T$801,$W84)="","",INDEX('Per Invoice'!T$2:T$801,$W84)))</f>
        <v/>
      </c>
      <c r="U84" s="7">
        <f>IF($W84="","",IF(INDEX('Per Invoice'!U$2:U$801,$W84)="","",INDEX('Per Invoice'!U$2:U$801,$W84)))</f>
        <v/>
      </c>
      <c r="V84" s="7">
        <f>IF($W84="","",IF(INDEX('Per Invoice'!V$2:V$801,$W84)="","",INDEX('Per Invoice'!V$2:V$801,$W84)))</f>
        <v/>
      </c>
      <c r="W84" s="16">
        <f>IFERROR(MATCH(Settings!$C$30&amp;"|"&amp;ROWS($W$2:$W84),'Per Invoice'!$X$2:$X$801,0),"")</f>
        <v/>
      </c>
    </row>
    <row r="85">
      <c r="A85">
        <f>IF($W85="","",IF(INDEX('Per Invoice'!A$2:A$801,$W85)="","",INDEX('Per Invoice'!A$2:A$801,$W85)))</f>
        <v/>
      </c>
      <c r="B85">
        <f>IF($W85="","",IF(INDEX('Per Invoice'!B$2:B$801,$W85)="","",INDEX('Per Invoice'!B$2:B$801,$W85)))</f>
        <v/>
      </c>
      <c r="C85">
        <f>IF($W85="","",IF(INDEX('Per Invoice'!C$2:C$801,$W85)="","",INDEX('Per Invoice'!C$2:C$801,$W85)))</f>
        <v/>
      </c>
      <c r="D85">
        <f>IF($W85="","",IF(INDEX('Per Invoice'!D$2:D$801,$W85)="","",INDEX('Per Invoice'!D$2:D$801,$W85)))</f>
        <v/>
      </c>
      <c r="E85">
        <f>IF($W85="","",IF(INDEX('Per Invoice'!E$2:E$801,$W85)="","",INDEX('Per Invoice'!E$2:E$801,$W85)))</f>
        <v/>
      </c>
      <c r="F85">
        <f>IF($W85="","",IF(INDEX('Per Invoice'!F$2:F$801,$W85)="","",INDEX('Per Invoice'!F$2:F$801,$W85)))</f>
        <v/>
      </c>
      <c r="G85">
        <f>IF($W85="","",IF(INDEX('Per Invoice'!G$2:G$801,$W85)="","",INDEX('Per Invoice'!G$2:G$801,$W85)))</f>
        <v/>
      </c>
      <c r="H85">
        <f>IF($W85="","",IF(INDEX('Per Invoice'!H$2:H$801,$W85)="","",INDEX('Per Invoice'!H$2:H$801,$W85)))</f>
        <v/>
      </c>
      <c r="I85">
        <f>IF($W85="","",IF(INDEX('Per Invoice'!I$2:I$801,$W85)="","",INDEX('Per Invoice'!I$2:I$801,$W85)))</f>
        <v/>
      </c>
      <c r="J85">
        <f>IF($W85="","",IF(INDEX('Per Invoice'!J$2:J$801,$W85)="","",INDEX('Per Invoice'!J$2:J$801,$W85)))</f>
        <v/>
      </c>
      <c r="K85" s="7">
        <f>IF($W85="","",IF(INDEX('Per Invoice'!K$2:K$801,$W85)="","",INDEX('Per Invoice'!K$2:K$801,$W85)))</f>
        <v/>
      </c>
      <c r="L85" s="14">
        <f>IF($W85="","",IF(INDEX('Per Invoice'!L$2:L$801,$W85)="","",INDEX('Per Invoice'!L$2:L$801,$W85)))</f>
        <v/>
      </c>
      <c r="M85">
        <f>IF($W85="","",IF(INDEX('Per Invoice'!M$2:M$801,$W85)="","",INDEX('Per Invoice'!M$2:M$801,$W85)))</f>
        <v/>
      </c>
      <c r="N85" s="7">
        <f>IF($W85="","",IF(INDEX('Per Invoice'!N$2:N$801,$W85)="","",INDEX('Per Invoice'!N$2:N$801,$W85)))</f>
        <v/>
      </c>
      <c r="O85" s="7">
        <f>IF($W85="","",IF(INDEX('Per Invoice'!O$2:O$801,$W85)="","",INDEX('Per Invoice'!O$2:O$801,$W85)))</f>
        <v/>
      </c>
      <c r="P85">
        <f>IF($W85="","",IF(INDEX('Per Invoice'!P$2:P$801,$W85)="","",INDEX('Per Invoice'!P$2:P$801,$W85)))</f>
        <v/>
      </c>
      <c r="Q85" s="7">
        <f>IF($W85="","",IF(INDEX('Per Invoice'!Q$2:Q$801,$W85)="","",INDEX('Per Invoice'!Q$2:Q$801,$W85)))</f>
        <v/>
      </c>
      <c r="R85" s="7">
        <f>IF($W85="","",IF(INDEX('Per Invoice'!R$2:R$801,$W85)="","",INDEX('Per Invoice'!R$2:R$801,$W85)))</f>
        <v/>
      </c>
      <c r="S85" s="7">
        <f>IF($W85="","",IF(INDEX('Per Invoice'!S$2:S$801,$W85)="","",INDEX('Per Invoice'!S$2:S$801,$W85)))</f>
        <v/>
      </c>
      <c r="T85" s="7">
        <f>IF($W85="","",IF(INDEX('Per Invoice'!T$2:T$801,$W85)="","",INDEX('Per Invoice'!T$2:T$801,$W85)))</f>
        <v/>
      </c>
      <c r="U85" s="7">
        <f>IF($W85="","",IF(INDEX('Per Invoice'!U$2:U$801,$W85)="","",INDEX('Per Invoice'!U$2:U$801,$W85)))</f>
        <v/>
      </c>
      <c r="V85" s="7">
        <f>IF($W85="","",IF(INDEX('Per Invoice'!V$2:V$801,$W85)="","",INDEX('Per Invoice'!V$2:V$801,$W85)))</f>
        <v/>
      </c>
      <c r="W85" s="16">
        <f>IFERROR(MATCH(Settings!$C$30&amp;"|"&amp;ROWS($W$2:$W85),'Per Invoice'!$X$2:$X$801,0),"")</f>
        <v/>
      </c>
    </row>
    <row r="86">
      <c r="A86">
        <f>IF($W86="","",IF(INDEX('Per Invoice'!A$2:A$801,$W86)="","",INDEX('Per Invoice'!A$2:A$801,$W86)))</f>
        <v/>
      </c>
      <c r="B86">
        <f>IF($W86="","",IF(INDEX('Per Invoice'!B$2:B$801,$W86)="","",INDEX('Per Invoice'!B$2:B$801,$W86)))</f>
        <v/>
      </c>
      <c r="C86">
        <f>IF($W86="","",IF(INDEX('Per Invoice'!C$2:C$801,$W86)="","",INDEX('Per Invoice'!C$2:C$801,$W86)))</f>
        <v/>
      </c>
      <c r="D86">
        <f>IF($W86="","",IF(INDEX('Per Invoice'!D$2:D$801,$W86)="","",INDEX('Per Invoice'!D$2:D$801,$W86)))</f>
        <v/>
      </c>
      <c r="E86">
        <f>IF($W86="","",IF(INDEX('Per Invoice'!E$2:E$801,$W86)="","",INDEX('Per Invoice'!E$2:E$801,$W86)))</f>
        <v/>
      </c>
      <c r="F86">
        <f>IF($W86="","",IF(INDEX('Per Invoice'!F$2:F$801,$W86)="","",INDEX('Per Invoice'!F$2:F$801,$W86)))</f>
        <v/>
      </c>
      <c r="G86">
        <f>IF($W86="","",IF(INDEX('Per Invoice'!G$2:G$801,$W86)="","",INDEX('Per Invoice'!G$2:G$801,$W86)))</f>
        <v/>
      </c>
      <c r="H86">
        <f>IF($W86="","",IF(INDEX('Per Invoice'!H$2:H$801,$W86)="","",INDEX('Per Invoice'!H$2:H$801,$W86)))</f>
        <v/>
      </c>
      <c r="I86">
        <f>IF($W86="","",IF(INDEX('Per Invoice'!I$2:I$801,$W86)="","",INDEX('Per Invoice'!I$2:I$801,$W86)))</f>
        <v/>
      </c>
      <c r="J86">
        <f>IF($W86="","",IF(INDEX('Per Invoice'!J$2:J$801,$W86)="","",INDEX('Per Invoice'!J$2:J$801,$W86)))</f>
        <v/>
      </c>
      <c r="K86" s="7">
        <f>IF($W86="","",IF(INDEX('Per Invoice'!K$2:K$801,$W86)="","",INDEX('Per Invoice'!K$2:K$801,$W86)))</f>
        <v/>
      </c>
      <c r="L86" s="14">
        <f>IF($W86="","",IF(INDEX('Per Invoice'!L$2:L$801,$W86)="","",INDEX('Per Invoice'!L$2:L$801,$W86)))</f>
        <v/>
      </c>
      <c r="M86">
        <f>IF($W86="","",IF(INDEX('Per Invoice'!M$2:M$801,$W86)="","",INDEX('Per Invoice'!M$2:M$801,$W86)))</f>
        <v/>
      </c>
      <c r="N86" s="7">
        <f>IF($W86="","",IF(INDEX('Per Invoice'!N$2:N$801,$W86)="","",INDEX('Per Invoice'!N$2:N$801,$W86)))</f>
        <v/>
      </c>
      <c r="O86" s="7">
        <f>IF($W86="","",IF(INDEX('Per Invoice'!O$2:O$801,$W86)="","",INDEX('Per Invoice'!O$2:O$801,$W86)))</f>
        <v/>
      </c>
      <c r="P86">
        <f>IF($W86="","",IF(INDEX('Per Invoice'!P$2:P$801,$W86)="","",INDEX('Per Invoice'!P$2:P$801,$W86)))</f>
        <v/>
      </c>
      <c r="Q86" s="7">
        <f>IF($W86="","",IF(INDEX('Per Invoice'!Q$2:Q$801,$W86)="","",INDEX('Per Invoice'!Q$2:Q$801,$W86)))</f>
        <v/>
      </c>
      <c r="R86" s="7">
        <f>IF($W86="","",IF(INDEX('Per Invoice'!R$2:R$801,$W86)="","",INDEX('Per Invoice'!R$2:R$801,$W86)))</f>
        <v/>
      </c>
      <c r="S86" s="7">
        <f>IF($W86="","",IF(INDEX('Per Invoice'!S$2:S$801,$W86)="","",INDEX('Per Invoice'!S$2:S$801,$W86)))</f>
        <v/>
      </c>
      <c r="T86" s="7">
        <f>IF($W86="","",IF(INDEX('Per Invoice'!T$2:T$801,$W86)="","",INDEX('Per Invoice'!T$2:T$801,$W86)))</f>
        <v/>
      </c>
      <c r="U86" s="7">
        <f>IF($W86="","",IF(INDEX('Per Invoice'!U$2:U$801,$W86)="","",INDEX('Per Invoice'!U$2:U$801,$W86)))</f>
        <v/>
      </c>
      <c r="V86" s="7">
        <f>IF($W86="","",IF(INDEX('Per Invoice'!V$2:V$801,$W86)="","",INDEX('Per Invoice'!V$2:V$801,$W86)))</f>
        <v/>
      </c>
      <c r="W86" s="16">
        <f>IFERROR(MATCH(Settings!$C$30&amp;"|"&amp;ROWS($W$2:$W86),'Per Invoice'!$X$2:$X$801,0),"")</f>
        <v/>
      </c>
    </row>
    <row r="87">
      <c r="A87">
        <f>IF($W87="","",IF(INDEX('Per Invoice'!A$2:A$801,$W87)="","",INDEX('Per Invoice'!A$2:A$801,$W87)))</f>
        <v/>
      </c>
      <c r="B87">
        <f>IF($W87="","",IF(INDEX('Per Invoice'!B$2:B$801,$W87)="","",INDEX('Per Invoice'!B$2:B$801,$W87)))</f>
        <v/>
      </c>
      <c r="C87">
        <f>IF($W87="","",IF(INDEX('Per Invoice'!C$2:C$801,$W87)="","",INDEX('Per Invoice'!C$2:C$801,$W87)))</f>
        <v/>
      </c>
      <c r="D87">
        <f>IF($W87="","",IF(INDEX('Per Invoice'!D$2:D$801,$W87)="","",INDEX('Per Invoice'!D$2:D$801,$W87)))</f>
        <v/>
      </c>
      <c r="E87">
        <f>IF($W87="","",IF(INDEX('Per Invoice'!E$2:E$801,$W87)="","",INDEX('Per Invoice'!E$2:E$801,$W87)))</f>
        <v/>
      </c>
      <c r="F87">
        <f>IF($W87="","",IF(INDEX('Per Invoice'!F$2:F$801,$W87)="","",INDEX('Per Invoice'!F$2:F$801,$W87)))</f>
        <v/>
      </c>
      <c r="G87">
        <f>IF($W87="","",IF(INDEX('Per Invoice'!G$2:G$801,$W87)="","",INDEX('Per Invoice'!G$2:G$801,$W87)))</f>
        <v/>
      </c>
      <c r="H87">
        <f>IF($W87="","",IF(INDEX('Per Invoice'!H$2:H$801,$W87)="","",INDEX('Per Invoice'!H$2:H$801,$W87)))</f>
        <v/>
      </c>
      <c r="I87">
        <f>IF($W87="","",IF(INDEX('Per Invoice'!I$2:I$801,$W87)="","",INDEX('Per Invoice'!I$2:I$801,$W87)))</f>
        <v/>
      </c>
      <c r="J87">
        <f>IF($W87="","",IF(INDEX('Per Invoice'!J$2:J$801,$W87)="","",INDEX('Per Invoice'!J$2:J$801,$W87)))</f>
        <v/>
      </c>
      <c r="K87" s="7">
        <f>IF($W87="","",IF(INDEX('Per Invoice'!K$2:K$801,$W87)="","",INDEX('Per Invoice'!K$2:K$801,$W87)))</f>
        <v/>
      </c>
      <c r="L87" s="14">
        <f>IF($W87="","",IF(INDEX('Per Invoice'!L$2:L$801,$W87)="","",INDEX('Per Invoice'!L$2:L$801,$W87)))</f>
        <v/>
      </c>
      <c r="M87">
        <f>IF($W87="","",IF(INDEX('Per Invoice'!M$2:M$801,$W87)="","",INDEX('Per Invoice'!M$2:M$801,$W87)))</f>
        <v/>
      </c>
      <c r="N87" s="7">
        <f>IF($W87="","",IF(INDEX('Per Invoice'!N$2:N$801,$W87)="","",INDEX('Per Invoice'!N$2:N$801,$W87)))</f>
        <v/>
      </c>
      <c r="O87" s="7">
        <f>IF($W87="","",IF(INDEX('Per Invoice'!O$2:O$801,$W87)="","",INDEX('Per Invoice'!O$2:O$801,$W87)))</f>
        <v/>
      </c>
      <c r="P87">
        <f>IF($W87="","",IF(INDEX('Per Invoice'!P$2:P$801,$W87)="","",INDEX('Per Invoice'!P$2:P$801,$W87)))</f>
        <v/>
      </c>
      <c r="Q87" s="7">
        <f>IF($W87="","",IF(INDEX('Per Invoice'!Q$2:Q$801,$W87)="","",INDEX('Per Invoice'!Q$2:Q$801,$W87)))</f>
        <v/>
      </c>
      <c r="R87" s="7">
        <f>IF($W87="","",IF(INDEX('Per Invoice'!R$2:R$801,$W87)="","",INDEX('Per Invoice'!R$2:R$801,$W87)))</f>
        <v/>
      </c>
      <c r="S87" s="7">
        <f>IF($W87="","",IF(INDEX('Per Invoice'!S$2:S$801,$W87)="","",INDEX('Per Invoice'!S$2:S$801,$W87)))</f>
        <v/>
      </c>
      <c r="T87" s="7">
        <f>IF($W87="","",IF(INDEX('Per Invoice'!T$2:T$801,$W87)="","",INDEX('Per Invoice'!T$2:T$801,$W87)))</f>
        <v/>
      </c>
      <c r="U87" s="7">
        <f>IF($W87="","",IF(INDEX('Per Invoice'!U$2:U$801,$W87)="","",INDEX('Per Invoice'!U$2:U$801,$W87)))</f>
        <v/>
      </c>
      <c r="V87" s="7">
        <f>IF($W87="","",IF(INDEX('Per Invoice'!V$2:V$801,$W87)="","",INDEX('Per Invoice'!V$2:V$801,$W87)))</f>
        <v/>
      </c>
      <c r="W87" s="16">
        <f>IFERROR(MATCH(Settings!$C$30&amp;"|"&amp;ROWS($W$2:$W87),'Per Invoice'!$X$2:$X$801,0),"")</f>
        <v/>
      </c>
    </row>
    <row r="88">
      <c r="A88">
        <f>IF($W88="","",IF(INDEX('Per Invoice'!A$2:A$801,$W88)="","",INDEX('Per Invoice'!A$2:A$801,$W88)))</f>
        <v/>
      </c>
      <c r="B88">
        <f>IF($W88="","",IF(INDEX('Per Invoice'!B$2:B$801,$W88)="","",INDEX('Per Invoice'!B$2:B$801,$W88)))</f>
        <v/>
      </c>
      <c r="C88">
        <f>IF($W88="","",IF(INDEX('Per Invoice'!C$2:C$801,$W88)="","",INDEX('Per Invoice'!C$2:C$801,$W88)))</f>
        <v/>
      </c>
      <c r="D88">
        <f>IF($W88="","",IF(INDEX('Per Invoice'!D$2:D$801,$W88)="","",INDEX('Per Invoice'!D$2:D$801,$W88)))</f>
        <v/>
      </c>
      <c r="E88">
        <f>IF($W88="","",IF(INDEX('Per Invoice'!E$2:E$801,$W88)="","",INDEX('Per Invoice'!E$2:E$801,$W88)))</f>
        <v/>
      </c>
      <c r="F88">
        <f>IF($W88="","",IF(INDEX('Per Invoice'!F$2:F$801,$W88)="","",INDEX('Per Invoice'!F$2:F$801,$W88)))</f>
        <v/>
      </c>
      <c r="G88">
        <f>IF($W88="","",IF(INDEX('Per Invoice'!G$2:G$801,$W88)="","",INDEX('Per Invoice'!G$2:G$801,$W88)))</f>
        <v/>
      </c>
      <c r="H88">
        <f>IF($W88="","",IF(INDEX('Per Invoice'!H$2:H$801,$W88)="","",INDEX('Per Invoice'!H$2:H$801,$W88)))</f>
        <v/>
      </c>
      <c r="I88">
        <f>IF($W88="","",IF(INDEX('Per Invoice'!I$2:I$801,$W88)="","",INDEX('Per Invoice'!I$2:I$801,$W88)))</f>
        <v/>
      </c>
      <c r="J88">
        <f>IF($W88="","",IF(INDEX('Per Invoice'!J$2:J$801,$W88)="","",INDEX('Per Invoice'!J$2:J$801,$W88)))</f>
        <v/>
      </c>
      <c r="K88" s="7">
        <f>IF($W88="","",IF(INDEX('Per Invoice'!K$2:K$801,$W88)="","",INDEX('Per Invoice'!K$2:K$801,$W88)))</f>
        <v/>
      </c>
      <c r="L88" s="14">
        <f>IF($W88="","",IF(INDEX('Per Invoice'!L$2:L$801,$W88)="","",INDEX('Per Invoice'!L$2:L$801,$W88)))</f>
        <v/>
      </c>
      <c r="M88">
        <f>IF($W88="","",IF(INDEX('Per Invoice'!M$2:M$801,$W88)="","",INDEX('Per Invoice'!M$2:M$801,$W88)))</f>
        <v/>
      </c>
      <c r="N88" s="7">
        <f>IF($W88="","",IF(INDEX('Per Invoice'!N$2:N$801,$W88)="","",INDEX('Per Invoice'!N$2:N$801,$W88)))</f>
        <v/>
      </c>
      <c r="O88" s="7">
        <f>IF($W88="","",IF(INDEX('Per Invoice'!O$2:O$801,$W88)="","",INDEX('Per Invoice'!O$2:O$801,$W88)))</f>
        <v/>
      </c>
      <c r="P88">
        <f>IF($W88="","",IF(INDEX('Per Invoice'!P$2:P$801,$W88)="","",INDEX('Per Invoice'!P$2:P$801,$W88)))</f>
        <v/>
      </c>
      <c r="Q88" s="7">
        <f>IF($W88="","",IF(INDEX('Per Invoice'!Q$2:Q$801,$W88)="","",INDEX('Per Invoice'!Q$2:Q$801,$W88)))</f>
        <v/>
      </c>
      <c r="R88" s="7">
        <f>IF($W88="","",IF(INDEX('Per Invoice'!R$2:R$801,$W88)="","",INDEX('Per Invoice'!R$2:R$801,$W88)))</f>
        <v/>
      </c>
      <c r="S88" s="7">
        <f>IF($W88="","",IF(INDEX('Per Invoice'!S$2:S$801,$W88)="","",INDEX('Per Invoice'!S$2:S$801,$W88)))</f>
        <v/>
      </c>
      <c r="T88" s="7">
        <f>IF($W88="","",IF(INDEX('Per Invoice'!T$2:T$801,$W88)="","",INDEX('Per Invoice'!T$2:T$801,$W88)))</f>
        <v/>
      </c>
      <c r="U88" s="7">
        <f>IF($W88="","",IF(INDEX('Per Invoice'!U$2:U$801,$W88)="","",INDEX('Per Invoice'!U$2:U$801,$W88)))</f>
        <v/>
      </c>
      <c r="V88" s="7">
        <f>IF($W88="","",IF(INDEX('Per Invoice'!V$2:V$801,$W88)="","",INDEX('Per Invoice'!V$2:V$801,$W88)))</f>
        <v/>
      </c>
      <c r="W88" s="16">
        <f>IFERROR(MATCH(Settings!$C$30&amp;"|"&amp;ROWS($W$2:$W88),'Per Invoice'!$X$2:$X$801,0),"")</f>
        <v/>
      </c>
    </row>
    <row r="89">
      <c r="A89">
        <f>IF($W89="","",IF(INDEX('Per Invoice'!A$2:A$801,$W89)="","",INDEX('Per Invoice'!A$2:A$801,$W89)))</f>
        <v/>
      </c>
      <c r="B89">
        <f>IF($W89="","",IF(INDEX('Per Invoice'!B$2:B$801,$W89)="","",INDEX('Per Invoice'!B$2:B$801,$W89)))</f>
        <v/>
      </c>
      <c r="C89">
        <f>IF($W89="","",IF(INDEX('Per Invoice'!C$2:C$801,$W89)="","",INDEX('Per Invoice'!C$2:C$801,$W89)))</f>
        <v/>
      </c>
      <c r="D89">
        <f>IF($W89="","",IF(INDEX('Per Invoice'!D$2:D$801,$W89)="","",INDEX('Per Invoice'!D$2:D$801,$W89)))</f>
        <v/>
      </c>
      <c r="E89">
        <f>IF($W89="","",IF(INDEX('Per Invoice'!E$2:E$801,$W89)="","",INDEX('Per Invoice'!E$2:E$801,$W89)))</f>
        <v/>
      </c>
      <c r="F89">
        <f>IF($W89="","",IF(INDEX('Per Invoice'!F$2:F$801,$W89)="","",INDEX('Per Invoice'!F$2:F$801,$W89)))</f>
        <v/>
      </c>
      <c r="G89">
        <f>IF($W89="","",IF(INDEX('Per Invoice'!G$2:G$801,$W89)="","",INDEX('Per Invoice'!G$2:G$801,$W89)))</f>
        <v/>
      </c>
      <c r="H89">
        <f>IF($W89="","",IF(INDEX('Per Invoice'!H$2:H$801,$W89)="","",INDEX('Per Invoice'!H$2:H$801,$W89)))</f>
        <v/>
      </c>
      <c r="I89">
        <f>IF($W89="","",IF(INDEX('Per Invoice'!I$2:I$801,$W89)="","",INDEX('Per Invoice'!I$2:I$801,$W89)))</f>
        <v/>
      </c>
      <c r="J89">
        <f>IF($W89="","",IF(INDEX('Per Invoice'!J$2:J$801,$W89)="","",INDEX('Per Invoice'!J$2:J$801,$W89)))</f>
        <v/>
      </c>
      <c r="K89" s="7">
        <f>IF($W89="","",IF(INDEX('Per Invoice'!K$2:K$801,$W89)="","",INDEX('Per Invoice'!K$2:K$801,$W89)))</f>
        <v/>
      </c>
      <c r="L89" s="14">
        <f>IF($W89="","",IF(INDEX('Per Invoice'!L$2:L$801,$W89)="","",INDEX('Per Invoice'!L$2:L$801,$W89)))</f>
        <v/>
      </c>
      <c r="M89">
        <f>IF($W89="","",IF(INDEX('Per Invoice'!M$2:M$801,$W89)="","",INDEX('Per Invoice'!M$2:M$801,$W89)))</f>
        <v/>
      </c>
      <c r="N89" s="7">
        <f>IF($W89="","",IF(INDEX('Per Invoice'!N$2:N$801,$W89)="","",INDEX('Per Invoice'!N$2:N$801,$W89)))</f>
        <v/>
      </c>
      <c r="O89" s="7">
        <f>IF($W89="","",IF(INDEX('Per Invoice'!O$2:O$801,$W89)="","",INDEX('Per Invoice'!O$2:O$801,$W89)))</f>
        <v/>
      </c>
      <c r="P89">
        <f>IF($W89="","",IF(INDEX('Per Invoice'!P$2:P$801,$W89)="","",INDEX('Per Invoice'!P$2:P$801,$W89)))</f>
        <v/>
      </c>
      <c r="Q89" s="7">
        <f>IF($W89="","",IF(INDEX('Per Invoice'!Q$2:Q$801,$W89)="","",INDEX('Per Invoice'!Q$2:Q$801,$W89)))</f>
        <v/>
      </c>
      <c r="R89" s="7">
        <f>IF($W89="","",IF(INDEX('Per Invoice'!R$2:R$801,$W89)="","",INDEX('Per Invoice'!R$2:R$801,$W89)))</f>
        <v/>
      </c>
      <c r="S89" s="7">
        <f>IF($W89="","",IF(INDEX('Per Invoice'!S$2:S$801,$W89)="","",INDEX('Per Invoice'!S$2:S$801,$W89)))</f>
        <v/>
      </c>
      <c r="T89" s="7">
        <f>IF($W89="","",IF(INDEX('Per Invoice'!T$2:T$801,$W89)="","",INDEX('Per Invoice'!T$2:T$801,$W89)))</f>
        <v/>
      </c>
      <c r="U89" s="7">
        <f>IF($W89="","",IF(INDEX('Per Invoice'!U$2:U$801,$W89)="","",INDEX('Per Invoice'!U$2:U$801,$W89)))</f>
        <v/>
      </c>
      <c r="V89" s="7">
        <f>IF($W89="","",IF(INDEX('Per Invoice'!V$2:V$801,$W89)="","",INDEX('Per Invoice'!V$2:V$801,$W89)))</f>
        <v/>
      </c>
      <c r="W89" s="16">
        <f>IFERROR(MATCH(Settings!$C$30&amp;"|"&amp;ROWS($W$2:$W89),'Per Invoice'!$X$2:$X$801,0),"")</f>
        <v/>
      </c>
    </row>
    <row r="90">
      <c r="A90">
        <f>IF($W90="","",IF(INDEX('Per Invoice'!A$2:A$801,$W90)="","",INDEX('Per Invoice'!A$2:A$801,$W90)))</f>
        <v/>
      </c>
      <c r="B90">
        <f>IF($W90="","",IF(INDEX('Per Invoice'!B$2:B$801,$W90)="","",INDEX('Per Invoice'!B$2:B$801,$W90)))</f>
        <v/>
      </c>
      <c r="C90">
        <f>IF($W90="","",IF(INDEX('Per Invoice'!C$2:C$801,$W90)="","",INDEX('Per Invoice'!C$2:C$801,$W90)))</f>
        <v/>
      </c>
      <c r="D90">
        <f>IF($W90="","",IF(INDEX('Per Invoice'!D$2:D$801,$W90)="","",INDEX('Per Invoice'!D$2:D$801,$W90)))</f>
        <v/>
      </c>
      <c r="E90">
        <f>IF($W90="","",IF(INDEX('Per Invoice'!E$2:E$801,$W90)="","",INDEX('Per Invoice'!E$2:E$801,$W90)))</f>
        <v/>
      </c>
      <c r="F90">
        <f>IF($W90="","",IF(INDEX('Per Invoice'!F$2:F$801,$W90)="","",INDEX('Per Invoice'!F$2:F$801,$W90)))</f>
        <v/>
      </c>
      <c r="G90">
        <f>IF($W90="","",IF(INDEX('Per Invoice'!G$2:G$801,$W90)="","",INDEX('Per Invoice'!G$2:G$801,$W90)))</f>
        <v/>
      </c>
      <c r="H90">
        <f>IF($W90="","",IF(INDEX('Per Invoice'!H$2:H$801,$W90)="","",INDEX('Per Invoice'!H$2:H$801,$W90)))</f>
        <v/>
      </c>
      <c r="I90">
        <f>IF($W90="","",IF(INDEX('Per Invoice'!I$2:I$801,$W90)="","",INDEX('Per Invoice'!I$2:I$801,$W90)))</f>
        <v/>
      </c>
      <c r="J90">
        <f>IF($W90="","",IF(INDEX('Per Invoice'!J$2:J$801,$W90)="","",INDEX('Per Invoice'!J$2:J$801,$W90)))</f>
        <v/>
      </c>
      <c r="K90" s="7">
        <f>IF($W90="","",IF(INDEX('Per Invoice'!K$2:K$801,$W90)="","",INDEX('Per Invoice'!K$2:K$801,$W90)))</f>
        <v/>
      </c>
      <c r="L90" s="14">
        <f>IF($W90="","",IF(INDEX('Per Invoice'!L$2:L$801,$W90)="","",INDEX('Per Invoice'!L$2:L$801,$W90)))</f>
        <v/>
      </c>
      <c r="M90">
        <f>IF($W90="","",IF(INDEX('Per Invoice'!M$2:M$801,$W90)="","",INDEX('Per Invoice'!M$2:M$801,$W90)))</f>
        <v/>
      </c>
      <c r="N90" s="7">
        <f>IF($W90="","",IF(INDEX('Per Invoice'!N$2:N$801,$W90)="","",INDEX('Per Invoice'!N$2:N$801,$W90)))</f>
        <v/>
      </c>
      <c r="O90" s="7">
        <f>IF($W90="","",IF(INDEX('Per Invoice'!O$2:O$801,$W90)="","",INDEX('Per Invoice'!O$2:O$801,$W90)))</f>
        <v/>
      </c>
      <c r="P90">
        <f>IF($W90="","",IF(INDEX('Per Invoice'!P$2:P$801,$W90)="","",INDEX('Per Invoice'!P$2:P$801,$W90)))</f>
        <v/>
      </c>
      <c r="Q90" s="7">
        <f>IF($W90="","",IF(INDEX('Per Invoice'!Q$2:Q$801,$W90)="","",INDEX('Per Invoice'!Q$2:Q$801,$W90)))</f>
        <v/>
      </c>
      <c r="R90" s="7">
        <f>IF($W90="","",IF(INDEX('Per Invoice'!R$2:R$801,$W90)="","",INDEX('Per Invoice'!R$2:R$801,$W90)))</f>
        <v/>
      </c>
      <c r="S90" s="7">
        <f>IF($W90="","",IF(INDEX('Per Invoice'!S$2:S$801,$W90)="","",INDEX('Per Invoice'!S$2:S$801,$W90)))</f>
        <v/>
      </c>
      <c r="T90" s="7">
        <f>IF($W90="","",IF(INDEX('Per Invoice'!T$2:T$801,$W90)="","",INDEX('Per Invoice'!T$2:T$801,$W90)))</f>
        <v/>
      </c>
      <c r="U90" s="7">
        <f>IF($W90="","",IF(INDEX('Per Invoice'!U$2:U$801,$W90)="","",INDEX('Per Invoice'!U$2:U$801,$W90)))</f>
        <v/>
      </c>
      <c r="V90" s="7">
        <f>IF($W90="","",IF(INDEX('Per Invoice'!V$2:V$801,$W90)="","",INDEX('Per Invoice'!V$2:V$801,$W90)))</f>
        <v/>
      </c>
      <c r="W90" s="16">
        <f>IFERROR(MATCH(Settings!$C$30&amp;"|"&amp;ROWS($W$2:$W90),'Per Invoice'!$X$2:$X$801,0),"")</f>
        <v/>
      </c>
    </row>
    <row r="91">
      <c r="A91">
        <f>IF($W91="","",IF(INDEX('Per Invoice'!A$2:A$801,$W91)="","",INDEX('Per Invoice'!A$2:A$801,$W91)))</f>
        <v/>
      </c>
      <c r="B91">
        <f>IF($W91="","",IF(INDEX('Per Invoice'!B$2:B$801,$W91)="","",INDEX('Per Invoice'!B$2:B$801,$W91)))</f>
        <v/>
      </c>
      <c r="C91">
        <f>IF($W91="","",IF(INDEX('Per Invoice'!C$2:C$801,$W91)="","",INDEX('Per Invoice'!C$2:C$801,$W91)))</f>
        <v/>
      </c>
      <c r="D91">
        <f>IF($W91="","",IF(INDEX('Per Invoice'!D$2:D$801,$W91)="","",INDEX('Per Invoice'!D$2:D$801,$W91)))</f>
        <v/>
      </c>
      <c r="E91">
        <f>IF($W91="","",IF(INDEX('Per Invoice'!E$2:E$801,$W91)="","",INDEX('Per Invoice'!E$2:E$801,$W91)))</f>
        <v/>
      </c>
      <c r="F91">
        <f>IF($W91="","",IF(INDEX('Per Invoice'!F$2:F$801,$W91)="","",INDEX('Per Invoice'!F$2:F$801,$W91)))</f>
        <v/>
      </c>
      <c r="G91">
        <f>IF($W91="","",IF(INDEX('Per Invoice'!G$2:G$801,$W91)="","",INDEX('Per Invoice'!G$2:G$801,$W91)))</f>
        <v/>
      </c>
      <c r="H91">
        <f>IF($W91="","",IF(INDEX('Per Invoice'!H$2:H$801,$W91)="","",INDEX('Per Invoice'!H$2:H$801,$W91)))</f>
        <v/>
      </c>
      <c r="I91">
        <f>IF($W91="","",IF(INDEX('Per Invoice'!I$2:I$801,$W91)="","",INDEX('Per Invoice'!I$2:I$801,$W91)))</f>
        <v/>
      </c>
      <c r="J91">
        <f>IF($W91="","",IF(INDEX('Per Invoice'!J$2:J$801,$W91)="","",INDEX('Per Invoice'!J$2:J$801,$W91)))</f>
        <v/>
      </c>
      <c r="K91" s="7">
        <f>IF($W91="","",IF(INDEX('Per Invoice'!K$2:K$801,$W91)="","",INDEX('Per Invoice'!K$2:K$801,$W91)))</f>
        <v/>
      </c>
      <c r="L91" s="14">
        <f>IF($W91="","",IF(INDEX('Per Invoice'!L$2:L$801,$W91)="","",INDEX('Per Invoice'!L$2:L$801,$W91)))</f>
        <v/>
      </c>
      <c r="M91">
        <f>IF($W91="","",IF(INDEX('Per Invoice'!M$2:M$801,$W91)="","",INDEX('Per Invoice'!M$2:M$801,$W91)))</f>
        <v/>
      </c>
      <c r="N91" s="7">
        <f>IF($W91="","",IF(INDEX('Per Invoice'!N$2:N$801,$W91)="","",INDEX('Per Invoice'!N$2:N$801,$W91)))</f>
        <v/>
      </c>
      <c r="O91" s="7">
        <f>IF($W91="","",IF(INDEX('Per Invoice'!O$2:O$801,$W91)="","",INDEX('Per Invoice'!O$2:O$801,$W91)))</f>
        <v/>
      </c>
      <c r="P91">
        <f>IF($W91="","",IF(INDEX('Per Invoice'!P$2:P$801,$W91)="","",INDEX('Per Invoice'!P$2:P$801,$W91)))</f>
        <v/>
      </c>
      <c r="Q91" s="7">
        <f>IF($W91="","",IF(INDEX('Per Invoice'!Q$2:Q$801,$W91)="","",INDEX('Per Invoice'!Q$2:Q$801,$W91)))</f>
        <v/>
      </c>
      <c r="R91" s="7">
        <f>IF($W91="","",IF(INDEX('Per Invoice'!R$2:R$801,$W91)="","",INDEX('Per Invoice'!R$2:R$801,$W91)))</f>
        <v/>
      </c>
      <c r="S91" s="7">
        <f>IF($W91="","",IF(INDEX('Per Invoice'!S$2:S$801,$W91)="","",INDEX('Per Invoice'!S$2:S$801,$W91)))</f>
        <v/>
      </c>
      <c r="T91" s="7">
        <f>IF($W91="","",IF(INDEX('Per Invoice'!T$2:T$801,$W91)="","",INDEX('Per Invoice'!T$2:T$801,$W91)))</f>
        <v/>
      </c>
      <c r="U91" s="7">
        <f>IF($W91="","",IF(INDEX('Per Invoice'!U$2:U$801,$W91)="","",INDEX('Per Invoice'!U$2:U$801,$W91)))</f>
        <v/>
      </c>
      <c r="V91" s="7">
        <f>IF($W91="","",IF(INDEX('Per Invoice'!V$2:V$801,$W91)="","",INDEX('Per Invoice'!V$2:V$801,$W91)))</f>
        <v/>
      </c>
      <c r="W91" s="16">
        <f>IFERROR(MATCH(Settings!$C$30&amp;"|"&amp;ROWS($W$2:$W91),'Per Invoice'!$X$2:$X$801,0),"")</f>
        <v/>
      </c>
    </row>
    <row r="92">
      <c r="A92">
        <f>IF($W92="","",IF(INDEX('Per Invoice'!A$2:A$801,$W92)="","",INDEX('Per Invoice'!A$2:A$801,$W92)))</f>
        <v/>
      </c>
      <c r="B92">
        <f>IF($W92="","",IF(INDEX('Per Invoice'!B$2:B$801,$W92)="","",INDEX('Per Invoice'!B$2:B$801,$W92)))</f>
        <v/>
      </c>
      <c r="C92">
        <f>IF($W92="","",IF(INDEX('Per Invoice'!C$2:C$801,$W92)="","",INDEX('Per Invoice'!C$2:C$801,$W92)))</f>
        <v/>
      </c>
      <c r="D92">
        <f>IF($W92="","",IF(INDEX('Per Invoice'!D$2:D$801,$W92)="","",INDEX('Per Invoice'!D$2:D$801,$W92)))</f>
        <v/>
      </c>
      <c r="E92">
        <f>IF($W92="","",IF(INDEX('Per Invoice'!E$2:E$801,$W92)="","",INDEX('Per Invoice'!E$2:E$801,$W92)))</f>
        <v/>
      </c>
      <c r="F92">
        <f>IF($W92="","",IF(INDEX('Per Invoice'!F$2:F$801,$W92)="","",INDEX('Per Invoice'!F$2:F$801,$W92)))</f>
        <v/>
      </c>
      <c r="G92">
        <f>IF($W92="","",IF(INDEX('Per Invoice'!G$2:G$801,$W92)="","",INDEX('Per Invoice'!G$2:G$801,$W92)))</f>
        <v/>
      </c>
      <c r="H92">
        <f>IF($W92="","",IF(INDEX('Per Invoice'!H$2:H$801,$W92)="","",INDEX('Per Invoice'!H$2:H$801,$W92)))</f>
        <v/>
      </c>
      <c r="I92">
        <f>IF($W92="","",IF(INDEX('Per Invoice'!I$2:I$801,$W92)="","",INDEX('Per Invoice'!I$2:I$801,$W92)))</f>
        <v/>
      </c>
      <c r="J92">
        <f>IF($W92="","",IF(INDEX('Per Invoice'!J$2:J$801,$W92)="","",INDEX('Per Invoice'!J$2:J$801,$W92)))</f>
        <v/>
      </c>
      <c r="K92" s="7">
        <f>IF($W92="","",IF(INDEX('Per Invoice'!K$2:K$801,$W92)="","",INDEX('Per Invoice'!K$2:K$801,$W92)))</f>
        <v/>
      </c>
      <c r="L92" s="14">
        <f>IF($W92="","",IF(INDEX('Per Invoice'!L$2:L$801,$W92)="","",INDEX('Per Invoice'!L$2:L$801,$W92)))</f>
        <v/>
      </c>
      <c r="M92">
        <f>IF($W92="","",IF(INDEX('Per Invoice'!M$2:M$801,$W92)="","",INDEX('Per Invoice'!M$2:M$801,$W92)))</f>
        <v/>
      </c>
      <c r="N92" s="7">
        <f>IF($W92="","",IF(INDEX('Per Invoice'!N$2:N$801,$W92)="","",INDEX('Per Invoice'!N$2:N$801,$W92)))</f>
        <v/>
      </c>
      <c r="O92" s="7">
        <f>IF($W92="","",IF(INDEX('Per Invoice'!O$2:O$801,$W92)="","",INDEX('Per Invoice'!O$2:O$801,$W92)))</f>
        <v/>
      </c>
      <c r="P92">
        <f>IF($W92="","",IF(INDEX('Per Invoice'!P$2:P$801,$W92)="","",INDEX('Per Invoice'!P$2:P$801,$W92)))</f>
        <v/>
      </c>
      <c r="Q92" s="7">
        <f>IF($W92="","",IF(INDEX('Per Invoice'!Q$2:Q$801,$W92)="","",INDEX('Per Invoice'!Q$2:Q$801,$W92)))</f>
        <v/>
      </c>
      <c r="R92" s="7">
        <f>IF($W92="","",IF(INDEX('Per Invoice'!R$2:R$801,$W92)="","",INDEX('Per Invoice'!R$2:R$801,$W92)))</f>
        <v/>
      </c>
      <c r="S92" s="7">
        <f>IF($W92="","",IF(INDEX('Per Invoice'!S$2:S$801,$W92)="","",INDEX('Per Invoice'!S$2:S$801,$W92)))</f>
        <v/>
      </c>
      <c r="T92" s="7">
        <f>IF($W92="","",IF(INDEX('Per Invoice'!T$2:T$801,$W92)="","",INDEX('Per Invoice'!T$2:T$801,$W92)))</f>
        <v/>
      </c>
      <c r="U92" s="7">
        <f>IF($W92="","",IF(INDEX('Per Invoice'!U$2:U$801,$W92)="","",INDEX('Per Invoice'!U$2:U$801,$W92)))</f>
        <v/>
      </c>
      <c r="V92" s="7">
        <f>IF($W92="","",IF(INDEX('Per Invoice'!V$2:V$801,$W92)="","",INDEX('Per Invoice'!V$2:V$801,$W92)))</f>
        <v/>
      </c>
      <c r="W92" s="16">
        <f>IFERROR(MATCH(Settings!$C$30&amp;"|"&amp;ROWS($W$2:$W92),'Per Invoice'!$X$2:$X$801,0),"")</f>
        <v/>
      </c>
    </row>
    <row r="93">
      <c r="A93">
        <f>IF($W93="","",IF(INDEX('Per Invoice'!A$2:A$801,$W93)="","",INDEX('Per Invoice'!A$2:A$801,$W93)))</f>
        <v/>
      </c>
      <c r="B93">
        <f>IF($W93="","",IF(INDEX('Per Invoice'!B$2:B$801,$W93)="","",INDEX('Per Invoice'!B$2:B$801,$W93)))</f>
        <v/>
      </c>
      <c r="C93">
        <f>IF($W93="","",IF(INDEX('Per Invoice'!C$2:C$801,$W93)="","",INDEX('Per Invoice'!C$2:C$801,$W93)))</f>
        <v/>
      </c>
      <c r="D93">
        <f>IF($W93="","",IF(INDEX('Per Invoice'!D$2:D$801,$W93)="","",INDEX('Per Invoice'!D$2:D$801,$W93)))</f>
        <v/>
      </c>
      <c r="E93">
        <f>IF($W93="","",IF(INDEX('Per Invoice'!E$2:E$801,$W93)="","",INDEX('Per Invoice'!E$2:E$801,$W93)))</f>
        <v/>
      </c>
      <c r="F93">
        <f>IF($W93="","",IF(INDEX('Per Invoice'!F$2:F$801,$W93)="","",INDEX('Per Invoice'!F$2:F$801,$W93)))</f>
        <v/>
      </c>
      <c r="G93">
        <f>IF($W93="","",IF(INDEX('Per Invoice'!G$2:G$801,$W93)="","",INDEX('Per Invoice'!G$2:G$801,$W93)))</f>
        <v/>
      </c>
      <c r="H93">
        <f>IF($W93="","",IF(INDEX('Per Invoice'!H$2:H$801,$W93)="","",INDEX('Per Invoice'!H$2:H$801,$W93)))</f>
        <v/>
      </c>
      <c r="I93">
        <f>IF($W93="","",IF(INDEX('Per Invoice'!I$2:I$801,$W93)="","",INDEX('Per Invoice'!I$2:I$801,$W93)))</f>
        <v/>
      </c>
      <c r="J93">
        <f>IF($W93="","",IF(INDEX('Per Invoice'!J$2:J$801,$W93)="","",INDEX('Per Invoice'!J$2:J$801,$W93)))</f>
        <v/>
      </c>
      <c r="K93" s="7">
        <f>IF($W93="","",IF(INDEX('Per Invoice'!K$2:K$801,$W93)="","",INDEX('Per Invoice'!K$2:K$801,$W93)))</f>
        <v/>
      </c>
      <c r="L93" s="14">
        <f>IF($W93="","",IF(INDEX('Per Invoice'!L$2:L$801,$W93)="","",INDEX('Per Invoice'!L$2:L$801,$W93)))</f>
        <v/>
      </c>
      <c r="M93">
        <f>IF($W93="","",IF(INDEX('Per Invoice'!M$2:M$801,$W93)="","",INDEX('Per Invoice'!M$2:M$801,$W93)))</f>
        <v/>
      </c>
      <c r="N93" s="7">
        <f>IF($W93="","",IF(INDEX('Per Invoice'!N$2:N$801,$W93)="","",INDEX('Per Invoice'!N$2:N$801,$W93)))</f>
        <v/>
      </c>
      <c r="O93" s="7">
        <f>IF($W93="","",IF(INDEX('Per Invoice'!O$2:O$801,$W93)="","",INDEX('Per Invoice'!O$2:O$801,$W93)))</f>
        <v/>
      </c>
      <c r="P93">
        <f>IF($W93="","",IF(INDEX('Per Invoice'!P$2:P$801,$W93)="","",INDEX('Per Invoice'!P$2:P$801,$W93)))</f>
        <v/>
      </c>
      <c r="Q93" s="7">
        <f>IF($W93="","",IF(INDEX('Per Invoice'!Q$2:Q$801,$W93)="","",INDEX('Per Invoice'!Q$2:Q$801,$W93)))</f>
        <v/>
      </c>
      <c r="R93" s="7">
        <f>IF($W93="","",IF(INDEX('Per Invoice'!R$2:R$801,$W93)="","",INDEX('Per Invoice'!R$2:R$801,$W93)))</f>
        <v/>
      </c>
      <c r="S93" s="7">
        <f>IF($W93="","",IF(INDEX('Per Invoice'!S$2:S$801,$W93)="","",INDEX('Per Invoice'!S$2:S$801,$W93)))</f>
        <v/>
      </c>
      <c r="T93" s="7">
        <f>IF($W93="","",IF(INDEX('Per Invoice'!T$2:T$801,$W93)="","",INDEX('Per Invoice'!T$2:T$801,$W93)))</f>
        <v/>
      </c>
      <c r="U93" s="7">
        <f>IF($W93="","",IF(INDEX('Per Invoice'!U$2:U$801,$W93)="","",INDEX('Per Invoice'!U$2:U$801,$W93)))</f>
        <v/>
      </c>
      <c r="V93" s="7">
        <f>IF($W93="","",IF(INDEX('Per Invoice'!V$2:V$801,$W93)="","",INDEX('Per Invoice'!V$2:V$801,$W93)))</f>
        <v/>
      </c>
      <c r="W93" s="16">
        <f>IFERROR(MATCH(Settings!$C$30&amp;"|"&amp;ROWS($W$2:$W93),'Per Invoice'!$X$2:$X$801,0),"")</f>
        <v/>
      </c>
    </row>
    <row r="94">
      <c r="A94">
        <f>IF($W94="","",IF(INDEX('Per Invoice'!A$2:A$801,$W94)="","",INDEX('Per Invoice'!A$2:A$801,$W94)))</f>
        <v/>
      </c>
      <c r="B94">
        <f>IF($W94="","",IF(INDEX('Per Invoice'!B$2:B$801,$W94)="","",INDEX('Per Invoice'!B$2:B$801,$W94)))</f>
        <v/>
      </c>
      <c r="C94">
        <f>IF($W94="","",IF(INDEX('Per Invoice'!C$2:C$801,$W94)="","",INDEX('Per Invoice'!C$2:C$801,$W94)))</f>
        <v/>
      </c>
      <c r="D94">
        <f>IF($W94="","",IF(INDEX('Per Invoice'!D$2:D$801,$W94)="","",INDEX('Per Invoice'!D$2:D$801,$W94)))</f>
        <v/>
      </c>
      <c r="E94">
        <f>IF($W94="","",IF(INDEX('Per Invoice'!E$2:E$801,$W94)="","",INDEX('Per Invoice'!E$2:E$801,$W94)))</f>
        <v/>
      </c>
      <c r="F94">
        <f>IF($W94="","",IF(INDEX('Per Invoice'!F$2:F$801,$W94)="","",INDEX('Per Invoice'!F$2:F$801,$W94)))</f>
        <v/>
      </c>
      <c r="G94">
        <f>IF($W94="","",IF(INDEX('Per Invoice'!G$2:G$801,$W94)="","",INDEX('Per Invoice'!G$2:G$801,$W94)))</f>
        <v/>
      </c>
      <c r="H94">
        <f>IF($W94="","",IF(INDEX('Per Invoice'!H$2:H$801,$W94)="","",INDEX('Per Invoice'!H$2:H$801,$W94)))</f>
        <v/>
      </c>
      <c r="I94">
        <f>IF($W94="","",IF(INDEX('Per Invoice'!I$2:I$801,$W94)="","",INDEX('Per Invoice'!I$2:I$801,$W94)))</f>
        <v/>
      </c>
      <c r="J94">
        <f>IF($W94="","",IF(INDEX('Per Invoice'!J$2:J$801,$W94)="","",INDEX('Per Invoice'!J$2:J$801,$W94)))</f>
        <v/>
      </c>
      <c r="K94" s="7">
        <f>IF($W94="","",IF(INDEX('Per Invoice'!K$2:K$801,$W94)="","",INDEX('Per Invoice'!K$2:K$801,$W94)))</f>
        <v/>
      </c>
      <c r="L94" s="14">
        <f>IF($W94="","",IF(INDEX('Per Invoice'!L$2:L$801,$W94)="","",INDEX('Per Invoice'!L$2:L$801,$W94)))</f>
        <v/>
      </c>
      <c r="M94">
        <f>IF($W94="","",IF(INDEX('Per Invoice'!M$2:M$801,$W94)="","",INDEX('Per Invoice'!M$2:M$801,$W94)))</f>
        <v/>
      </c>
      <c r="N94" s="7">
        <f>IF($W94="","",IF(INDEX('Per Invoice'!N$2:N$801,$W94)="","",INDEX('Per Invoice'!N$2:N$801,$W94)))</f>
        <v/>
      </c>
      <c r="O94" s="7">
        <f>IF($W94="","",IF(INDEX('Per Invoice'!O$2:O$801,$W94)="","",INDEX('Per Invoice'!O$2:O$801,$W94)))</f>
        <v/>
      </c>
      <c r="P94">
        <f>IF($W94="","",IF(INDEX('Per Invoice'!P$2:P$801,$W94)="","",INDEX('Per Invoice'!P$2:P$801,$W94)))</f>
        <v/>
      </c>
      <c r="Q94" s="7">
        <f>IF($W94="","",IF(INDEX('Per Invoice'!Q$2:Q$801,$W94)="","",INDEX('Per Invoice'!Q$2:Q$801,$W94)))</f>
        <v/>
      </c>
      <c r="R94" s="7">
        <f>IF($W94="","",IF(INDEX('Per Invoice'!R$2:R$801,$W94)="","",INDEX('Per Invoice'!R$2:R$801,$W94)))</f>
        <v/>
      </c>
      <c r="S94" s="7">
        <f>IF($W94="","",IF(INDEX('Per Invoice'!S$2:S$801,$W94)="","",INDEX('Per Invoice'!S$2:S$801,$W94)))</f>
        <v/>
      </c>
      <c r="T94" s="7">
        <f>IF($W94="","",IF(INDEX('Per Invoice'!T$2:T$801,$W94)="","",INDEX('Per Invoice'!T$2:T$801,$W94)))</f>
        <v/>
      </c>
      <c r="U94" s="7">
        <f>IF($W94="","",IF(INDEX('Per Invoice'!U$2:U$801,$W94)="","",INDEX('Per Invoice'!U$2:U$801,$W94)))</f>
        <v/>
      </c>
      <c r="V94" s="7">
        <f>IF($W94="","",IF(INDEX('Per Invoice'!V$2:V$801,$W94)="","",INDEX('Per Invoice'!V$2:V$801,$W94)))</f>
        <v/>
      </c>
      <c r="W94" s="16">
        <f>IFERROR(MATCH(Settings!$C$30&amp;"|"&amp;ROWS($W$2:$W94),'Per Invoice'!$X$2:$X$801,0),"")</f>
        <v/>
      </c>
    </row>
    <row r="95">
      <c r="A95">
        <f>IF($W95="","",IF(INDEX('Per Invoice'!A$2:A$801,$W95)="","",INDEX('Per Invoice'!A$2:A$801,$W95)))</f>
        <v/>
      </c>
      <c r="B95">
        <f>IF($W95="","",IF(INDEX('Per Invoice'!B$2:B$801,$W95)="","",INDEX('Per Invoice'!B$2:B$801,$W95)))</f>
        <v/>
      </c>
      <c r="C95">
        <f>IF($W95="","",IF(INDEX('Per Invoice'!C$2:C$801,$W95)="","",INDEX('Per Invoice'!C$2:C$801,$W95)))</f>
        <v/>
      </c>
      <c r="D95">
        <f>IF($W95="","",IF(INDEX('Per Invoice'!D$2:D$801,$W95)="","",INDEX('Per Invoice'!D$2:D$801,$W95)))</f>
        <v/>
      </c>
      <c r="E95">
        <f>IF($W95="","",IF(INDEX('Per Invoice'!E$2:E$801,$W95)="","",INDEX('Per Invoice'!E$2:E$801,$W95)))</f>
        <v/>
      </c>
      <c r="F95">
        <f>IF($W95="","",IF(INDEX('Per Invoice'!F$2:F$801,$W95)="","",INDEX('Per Invoice'!F$2:F$801,$W95)))</f>
        <v/>
      </c>
      <c r="G95">
        <f>IF($W95="","",IF(INDEX('Per Invoice'!G$2:G$801,$W95)="","",INDEX('Per Invoice'!G$2:G$801,$W95)))</f>
        <v/>
      </c>
      <c r="H95">
        <f>IF($W95="","",IF(INDEX('Per Invoice'!H$2:H$801,$W95)="","",INDEX('Per Invoice'!H$2:H$801,$W95)))</f>
        <v/>
      </c>
      <c r="I95">
        <f>IF($W95="","",IF(INDEX('Per Invoice'!I$2:I$801,$W95)="","",INDEX('Per Invoice'!I$2:I$801,$W95)))</f>
        <v/>
      </c>
      <c r="J95">
        <f>IF($W95="","",IF(INDEX('Per Invoice'!J$2:J$801,$W95)="","",INDEX('Per Invoice'!J$2:J$801,$W95)))</f>
        <v/>
      </c>
      <c r="K95" s="7">
        <f>IF($W95="","",IF(INDEX('Per Invoice'!K$2:K$801,$W95)="","",INDEX('Per Invoice'!K$2:K$801,$W95)))</f>
        <v/>
      </c>
      <c r="L95" s="14">
        <f>IF($W95="","",IF(INDEX('Per Invoice'!L$2:L$801,$W95)="","",INDEX('Per Invoice'!L$2:L$801,$W95)))</f>
        <v/>
      </c>
      <c r="M95">
        <f>IF($W95="","",IF(INDEX('Per Invoice'!M$2:M$801,$W95)="","",INDEX('Per Invoice'!M$2:M$801,$W95)))</f>
        <v/>
      </c>
      <c r="N95" s="7">
        <f>IF($W95="","",IF(INDEX('Per Invoice'!N$2:N$801,$W95)="","",INDEX('Per Invoice'!N$2:N$801,$W95)))</f>
        <v/>
      </c>
      <c r="O95" s="7">
        <f>IF($W95="","",IF(INDEX('Per Invoice'!O$2:O$801,$W95)="","",INDEX('Per Invoice'!O$2:O$801,$W95)))</f>
        <v/>
      </c>
      <c r="P95">
        <f>IF($W95="","",IF(INDEX('Per Invoice'!P$2:P$801,$W95)="","",INDEX('Per Invoice'!P$2:P$801,$W95)))</f>
        <v/>
      </c>
      <c r="Q95" s="7">
        <f>IF($W95="","",IF(INDEX('Per Invoice'!Q$2:Q$801,$W95)="","",INDEX('Per Invoice'!Q$2:Q$801,$W95)))</f>
        <v/>
      </c>
      <c r="R95" s="7">
        <f>IF($W95="","",IF(INDEX('Per Invoice'!R$2:R$801,$W95)="","",INDEX('Per Invoice'!R$2:R$801,$W95)))</f>
        <v/>
      </c>
      <c r="S95" s="7">
        <f>IF($W95="","",IF(INDEX('Per Invoice'!S$2:S$801,$W95)="","",INDEX('Per Invoice'!S$2:S$801,$W95)))</f>
        <v/>
      </c>
      <c r="T95" s="7">
        <f>IF($W95="","",IF(INDEX('Per Invoice'!T$2:T$801,$W95)="","",INDEX('Per Invoice'!T$2:T$801,$W95)))</f>
        <v/>
      </c>
      <c r="U95" s="7">
        <f>IF($W95="","",IF(INDEX('Per Invoice'!U$2:U$801,$W95)="","",INDEX('Per Invoice'!U$2:U$801,$W95)))</f>
        <v/>
      </c>
      <c r="V95" s="7">
        <f>IF($W95="","",IF(INDEX('Per Invoice'!V$2:V$801,$W95)="","",INDEX('Per Invoice'!V$2:V$801,$W95)))</f>
        <v/>
      </c>
      <c r="W95" s="16">
        <f>IFERROR(MATCH(Settings!$C$30&amp;"|"&amp;ROWS($W$2:$W95),'Per Invoice'!$X$2:$X$801,0),"")</f>
        <v/>
      </c>
    </row>
    <row r="96">
      <c r="A96">
        <f>IF($W96="","",IF(INDEX('Per Invoice'!A$2:A$801,$W96)="","",INDEX('Per Invoice'!A$2:A$801,$W96)))</f>
        <v/>
      </c>
      <c r="B96">
        <f>IF($W96="","",IF(INDEX('Per Invoice'!B$2:B$801,$W96)="","",INDEX('Per Invoice'!B$2:B$801,$W96)))</f>
        <v/>
      </c>
      <c r="C96">
        <f>IF($W96="","",IF(INDEX('Per Invoice'!C$2:C$801,$W96)="","",INDEX('Per Invoice'!C$2:C$801,$W96)))</f>
        <v/>
      </c>
      <c r="D96">
        <f>IF($W96="","",IF(INDEX('Per Invoice'!D$2:D$801,$W96)="","",INDEX('Per Invoice'!D$2:D$801,$W96)))</f>
        <v/>
      </c>
      <c r="E96">
        <f>IF($W96="","",IF(INDEX('Per Invoice'!E$2:E$801,$W96)="","",INDEX('Per Invoice'!E$2:E$801,$W96)))</f>
        <v/>
      </c>
      <c r="F96">
        <f>IF($W96="","",IF(INDEX('Per Invoice'!F$2:F$801,$W96)="","",INDEX('Per Invoice'!F$2:F$801,$W96)))</f>
        <v/>
      </c>
      <c r="G96">
        <f>IF($W96="","",IF(INDEX('Per Invoice'!G$2:G$801,$W96)="","",INDEX('Per Invoice'!G$2:G$801,$W96)))</f>
        <v/>
      </c>
      <c r="H96">
        <f>IF($W96="","",IF(INDEX('Per Invoice'!H$2:H$801,$W96)="","",INDEX('Per Invoice'!H$2:H$801,$W96)))</f>
        <v/>
      </c>
      <c r="I96">
        <f>IF($W96="","",IF(INDEX('Per Invoice'!I$2:I$801,$W96)="","",INDEX('Per Invoice'!I$2:I$801,$W96)))</f>
        <v/>
      </c>
      <c r="J96">
        <f>IF($W96="","",IF(INDEX('Per Invoice'!J$2:J$801,$W96)="","",INDEX('Per Invoice'!J$2:J$801,$W96)))</f>
        <v/>
      </c>
      <c r="K96" s="7">
        <f>IF($W96="","",IF(INDEX('Per Invoice'!K$2:K$801,$W96)="","",INDEX('Per Invoice'!K$2:K$801,$W96)))</f>
        <v/>
      </c>
      <c r="L96" s="14">
        <f>IF($W96="","",IF(INDEX('Per Invoice'!L$2:L$801,$W96)="","",INDEX('Per Invoice'!L$2:L$801,$W96)))</f>
        <v/>
      </c>
      <c r="M96">
        <f>IF($W96="","",IF(INDEX('Per Invoice'!M$2:M$801,$W96)="","",INDEX('Per Invoice'!M$2:M$801,$W96)))</f>
        <v/>
      </c>
      <c r="N96" s="7">
        <f>IF($W96="","",IF(INDEX('Per Invoice'!N$2:N$801,$W96)="","",INDEX('Per Invoice'!N$2:N$801,$W96)))</f>
        <v/>
      </c>
      <c r="O96" s="7">
        <f>IF($W96="","",IF(INDEX('Per Invoice'!O$2:O$801,$W96)="","",INDEX('Per Invoice'!O$2:O$801,$W96)))</f>
        <v/>
      </c>
      <c r="P96">
        <f>IF($W96="","",IF(INDEX('Per Invoice'!P$2:P$801,$W96)="","",INDEX('Per Invoice'!P$2:P$801,$W96)))</f>
        <v/>
      </c>
      <c r="Q96" s="7">
        <f>IF($W96="","",IF(INDEX('Per Invoice'!Q$2:Q$801,$W96)="","",INDEX('Per Invoice'!Q$2:Q$801,$W96)))</f>
        <v/>
      </c>
      <c r="R96" s="7">
        <f>IF($W96="","",IF(INDEX('Per Invoice'!R$2:R$801,$W96)="","",INDEX('Per Invoice'!R$2:R$801,$W96)))</f>
        <v/>
      </c>
      <c r="S96" s="7">
        <f>IF($W96="","",IF(INDEX('Per Invoice'!S$2:S$801,$W96)="","",INDEX('Per Invoice'!S$2:S$801,$W96)))</f>
        <v/>
      </c>
      <c r="T96" s="7">
        <f>IF($W96="","",IF(INDEX('Per Invoice'!T$2:T$801,$W96)="","",INDEX('Per Invoice'!T$2:T$801,$W96)))</f>
        <v/>
      </c>
      <c r="U96" s="7">
        <f>IF($W96="","",IF(INDEX('Per Invoice'!U$2:U$801,$W96)="","",INDEX('Per Invoice'!U$2:U$801,$W96)))</f>
        <v/>
      </c>
      <c r="V96" s="7">
        <f>IF($W96="","",IF(INDEX('Per Invoice'!V$2:V$801,$W96)="","",INDEX('Per Invoice'!V$2:V$801,$W96)))</f>
        <v/>
      </c>
      <c r="W96" s="16">
        <f>IFERROR(MATCH(Settings!$C$30&amp;"|"&amp;ROWS($W$2:$W96),'Per Invoice'!$X$2:$X$801,0),"")</f>
        <v/>
      </c>
    </row>
    <row r="97">
      <c r="A97">
        <f>IF($W97="","",IF(INDEX('Per Invoice'!A$2:A$801,$W97)="","",INDEX('Per Invoice'!A$2:A$801,$W97)))</f>
        <v/>
      </c>
      <c r="B97">
        <f>IF($W97="","",IF(INDEX('Per Invoice'!B$2:B$801,$W97)="","",INDEX('Per Invoice'!B$2:B$801,$W97)))</f>
        <v/>
      </c>
      <c r="C97">
        <f>IF($W97="","",IF(INDEX('Per Invoice'!C$2:C$801,$W97)="","",INDEX('Per Invoice'!C$2:C$801,$W97)))</f>
        <v/>
      </c>
      <c r="D97">
        <f>IF($W97="","",IF(INDEX('Per Invoice'!D$2:D$801,$W97)="","",INDEX('Per Invoice'!D$2:D$801,$W97)))</f>
        <v/>
      </c>
      <c r="E97">
        <f>IF($W97="","",IF(INDEX('Per Invoice'!E$2:E$801,$W97)="","",INDEX('Per Invoice'!E$2:E$801,$W97)))</f>
        <v/>
      </c>
      <c r="F97">
        <f>IF($W97="","",IF(INDEX('Per Invoice'!F$2:F$801,$W97)="","",INDEX('Per Invoice'!F$2:F$801,$W97)))</f>
        <v/>
      </c>
      <c r="G97">
        <f>IF($W97="","",IF(INDEX('Per Invoice'!G$2:G$801,$W97)="","",INDEX('Per Invoice'!G$2:G$801,$W97)))</f>
        <v/>
      </c>
      <c r="H97">
        <f>IF($W97="","",IF(INDEX('Per Invoice'!H$2:H$801,$W97)="","",INDEX('Per Invoice'!H$2:H$801,$W97)))</f>
        <v/>
      </c>
      <c r="I97">
        <f>IF($W97="","",IF(INDEX('Per Invoice'!I$2:I$801,$W97)="","",INDEX('Per Invoice'!I$2:I$801,$W97)))</f>
        <v/>
      </c>
      <c r="J97">
        <f>IF($W97="","",IF(INDEX('Per Invoice'!J$2:J$801,$W97)="","",INDEX('Per Invoice'!J$2:J$801,$W97)))</f>
        <v/>
      </c>
      <c r="K97" s="7">
        <f>IF($W97="","",IF(INDEX('Per Invoice'!K$2:K$801,$W97)="","",INDEX('Per Invoice'!K$2:K$801,$W97)))</f>
        <v/>
      </c>
      <c r="L97" s="14">
        <f>IF($W97="","",IF(INDEX('Per Invoice'!L$2:L$801,$W97)="","",INDEX('Per Invoice'!L$2:L$801,$W97)))</f>
        <v/>
      </c>
      <c r="M97">
        <f>IF($W97="","",IF(INDEX('Per Invoice'!M$2:M$801,$W97)="","",INDEX('Per Invoice'!M$2:M$801,$W97)))</f>
        <v/>
      </c>
      <c r="N97" s="7">
        <f>IF($W97="","",IF(INDEX('Per Invoice'!N$2:N$801,$W97)="","",INDEX('Per Invoice'!N$2:N$801,$W97)))</f>
        <v/>
      </c>
      <c r="O97" s="7">
        <f>IF($W97="","",IF(INDEX('Per Invoice'!O$2:O$801,$W97)="","",INDEX('Per Invoice'!O$2:O$801,$W97)))</f>
        <v/>
      </c>
      <c r="P97">
        <f>IF($W97="","",IF(INDEX('Per Invoice'!P$2:P$801,$W97)="","",INDEX('Per Invoice'!P$2:P$801,$W97)))</f>
        <v/>
      </c>
      <c r="Q97" s="7">
        <f>IF($W97="","",IF(INDEX('Per Invoice'!Q$2:Q$801,$W97)="","",INDEX('Per Invoice'!Q$2:Q$801,$W97)))</f>
        <v/>
      </c>
      <c r="R97" s="7">
        <f>IF($W97="","",IF(INDEX('Per Invoice'!R$2:R$801,$W97)="","",INDEX('Per Invoice'!R$2:R$801,$W97)))</f>
        <v/>
      </c>
      <c r="S97" s="7">
        <f>IF($W97="","",IF(INDEX('Per Invoice'!S$2:S$801,$W97)="","",INDEX('Per Invoice'!S$2:S$801,$W97)))</f>
        <v/>
      </c>
      <c r="T97" s="7">
        <f>IF($W97="","",IF(INDEX('Per Invoice'!T$2:T$801,$W97)="","",INDEX('Per Invoice'!T$2:T$801,$W97)))</f>
        <v/>
      </c>
      <c r="U97" s="7">
        <f>IF($W97="","",IF(INDEX('Per Invoice'!U$2:U$801,$W97)="","",INDEX('Per Invoice'!U$2:U$801,$W97)))</f>
        <v/>
      </c>
      <c r="V97" s="7">
        <f>IF($W97="","",IF(INDEX('Per Invoice'!V$2:V$801,$W97)="","",INDEX('Per Invoice'!V$2:V$801,$W97)))</f>
        <v/>
      </c>
      <c r="W97" s="16">
        <f>IFERROR(MATCH(Settings!$C$30&amp;"|"&amp;ROWS($W$2:$W97),'Per Invoice'!$X$2:$X$801,0),"")</f>
        <v/>
      </c>
    </row>
    <row r="98">
      <c r="A98">
        <f>IF($W98="","",IF(INDEX('Per Invoice'!A$2:A$801,$W98)="","",INDEX('Per Invoice'!A$2:A$801,$W98)))</f>
        <v/>
      </c>
      <c r="B98">
        <f>IF($W98="","",IF(INDEX('Per Invoice'!B$2:B$801,$W98)="","",INDEX('Per Invoice'!B$2:B$801,$W98)))</f>
        <v/>
      </c>
      <c r="C98">
        <f>IF($W98="","",IF(INDEX('Per Invoice'!C$2:C$801,$W98)="","",INDEX('Per Invoice'!C$2:C$801,$W98)))</f>
        <v/>
      </c>
      <c r="D98">
        <f>IF($W98="","",IF(INDEX('Per Invoice'!D$2:D$801,$W98)="","",INDEX('Per Invoice'!D$2:D$801,$W98)))</f>
        <v/>
      </c>
      <c r="E98">
        <f>IF($W98="","",IF(INDEX('Per Invoice'!E$2:E$801,$W98)="","",INDEX('Per Invoice'!E$2:E$801,$W98)))</f>
        <v/>
      </c>
      <c r="F98">
        <f>IF($W98="","",IF(INDEX('Per Invoice'!F$2:F$801,$W98)="","",INDEX('Per Invoice'!F$2:F$801,$W98)))</f>
        <v/>
      </c>
      <c r="G98">
        <f>IF($W98="","",IF(INDEX('Per Invoice'!G$2:G$801,$W98)="","",INDEX('Per Invoice'!G$2:G$801,$W98)))</f>
        <v/>
      </c>
      <c r="H98">
        <f>IF($W98="","",IF(INDEX('Per Invoice'!H$2:H$801,$W98)="","",INDEX('Per Invoice'!H$2:H$801,$W98)))</f>
        <v/>
      </c>
      <c r="I98">
        <f>IF($W98="","",IF(INDEX('Per Invoice'!I$2:I$801,$W98)="","",INDEX('Per Invoice'!I$2:I$801,$W98)))</f>
        <v/>
      </c>
      <c r="J98">
        <f>IF($W98="","",IF(INDEX('Per Invoice'!J$2:J$801,$W98)="","",INDEX('Per Invoice'!J$2:J$801,$W98)))</f>
        <v/>
      </c>
      <c r="K98" s="7">
        <f>IF($W98="","",IF(INDEX('Per Invoice'!K$2:K$801,$W98)="","",INDEX('Per Invoice'!K$2:K$801,$W98)))</f>
        <v/>
      </c>
      <c r="L98" s="14">
        <f>IF($W98="","",IF(INDEX('Per Invoice'!L$2:L$801,$W98)="","",INDEX('Per Invoice'!L$2:L$801,$W98)))</f>
        <v/>
      </c>
      <c r="M98">
        <f>IF($W98="","",IF(INDEX('Per Invoice'!M$2:M$801,$W98)="","",INDEX('Per Invoice'!M$2:M$801,$W98)))</f>
        <v/>
      </c>
      <c r="N98" s="7">
        <f>IF($W98="","",IF(INDEX('Per Invoice'!N$2:N$801,$W98)="","",INDEX('Per Invoice'!N$2:N$801,$W98)))</f>
        <v/>
      </c>
      <c r="O98" s="7">
        <f>IF($W98="","",IF(INDEX('Per Invoice'!O$2:O$801,$W98)="","",INDEX('Per Invoice'!O$2:O$801,$W98)))</f>
        <v/>
      </c>
      <c r="P98">
        <f>IF($W98="","",IF(INDEX('Per Invoice'!P$2:P$801,$W98)="","",INDEX('Per Invoice'!P$2:P$801,$W98)))</f>
        <v/>
      </c>
      <c r="Q98" s="7">
        <f>IF($W98="","",IF(INDEX('Per Invoice'!Q$2:Q$801,$W98)="","",INDEX('Per Invoice'!Q$2:Q$801,$W98)))</f>
        <v/>
      </c>
      <c r="R98" s="7">
        <f>IF($W98="","",IF(INDEX('Per Invoice'!R$2:R$801,$W98)="","",INDEX('Per Invoice'!R$2:R$801,$W98)))</f>
        <v/>
      </c>
      <c r="S98" s="7">
        <f>IF($W98="","",IF(INDEX('Per Invoice'!S$2:S$801,$W98)="","",INDEX('Per Invoice'!S$2:S$801,$W98)))</f>
        <v/>
      </c>
      <c r="T98" s="7">
        <f>IF($W98="","",IF(INDEX('Per Invoice'!T$2:T$801,$W98)="","",INDEX('Per Invoice'!T$2:T$801,$W98)))</f>
        <v/>
      </c>
      <c r="U98" s="7">
        <f>IF($W98="","",IF(INDEX('Per Invoice'!U$2:U$801,$W98)="","",INDEX('Per Invoice'!U$2:U$801,$W98)))</f>
        <v/>
      </c>
      <c r="V98" s="7">
        <f>IF($W98="","",IF(INDEX('Per Invoice'!V$2:V$801,$W98)="","",INDEX('Per Invoice'!V$2:V$801,$W98)))</f>
        <v/>
      </c>
      <c r="W98" s="16">
        <f>IFERROR(MATCH(Settings!$C$30&amp;"|"&amp;ROWS($W$2:$W98),'Per Invoice'!$X$2:$X$801,0),"")</f>
        <v/>
      </c>
    </row>
    <row r="99">
      <c r="A99">
        <f>IF($W99="","",IF(INDEX('Per Invoice'!A$2:A$801,$W99)="","",INDEX('Per Invoice'!A$2:A$801,$W99)))</f>
        <v/>
      </c>
      <c r="B99">
        <f>IF($W99="","",IF(INDEX('Per Invoice'!B$2:B$801,$W99)="","",INDEX('Per Invoice'!B$2:B$801,$W99)))</f>
        <v/>
      </c>
      <c r="C99">
        <f>IF($W99="","",IF(INDEX('Per Invoice'!C$2:C$801,$W99)="","",INDEX('Per Invoice'!C$2:C$801,$W99)))</f>
        <v/>
      </c>
      <c r="D99">
        <f>IF($W99="","",IF(INDEX('Per Invoice'!D$2:D$801,$W99)="","",INDEX('Per Invoice'!D$2:D$801,$W99)))</f>
        <v/>
      </c>
      <c r="E99">
        <f>IF($W99="","",IF(INDEX('Per Invoice'!E$2:E$801,$W99)="","",INDEX('Per Invoice'!E$2:E$801,$W99)))</f>
        <v/>
      </c>
      <c r="F99">
        <f>IF($W99="","",IF(INDEX('Per Invoice'!F$2:F$801,$W99)="","",INDEX('Per Invoice'!F$2:F$801,$W99)))</f>
        <v/>
      </c>
      <c r="G99">
        <f>IF($W99="","",IF(INDEX('Per Invoice'!G$2:G$801,$W99)="","",INDEX('Per Invoice'!G$2:G$801,$W99)))</f>
        <v/>
      </c>
      <c r="H99">
        <f>IF($W99="","",IF(INDEX('Per Invoice'!H$2:H$801,$W99)="","",INDEX('Per Invoice'!H$2:H$801,$W99)))</f>
        <v/>
      </c>
      <c r="I99">
        <f>IF($W99="","",IF(INDEX('Per Invoice'!I$2:I$801,$W99)="","",INDEX('Per Invoice'!I$2:I$801,$W99)))</f>
        <v/>
      </c>
      <c r="J99">
        <f>IF($W99="","",IF(INDEX('Per Invoice'!J$2:J$801,$W99)="","",INDEX('Per Invoice'!J$2:J$801,$W99)))</f>
        <v/>
      </c>
      <c r="K99" s="7">
        <f>IF($W99="","",IF(INDEX('Per Invoice'!K$2:K$801,$W99)="","",INDEX('Per Invoice'!K$2:K$801,$W99)))</f>
        <v/>
      </c>
      <c r="L99" s="14">
        <f>IF($W99="","",IF(INDEX('Per Invoice'!L$2:L$801,$W99)="","",INDEX('Per Invoice'!L$2:L$801,$W99)))</f>
        <v/>
      </c>
      <c r="M99">
        <f>IF($W99="","",IF(INDEX('Per Invoice'!M$2:M$801,$W99)="","",INDEX('Per Invoice'!M$2:M$801,$W99)))</f>
        <v/>
      </c>
      <c r="N99" s="7">
        <f>IF($W99="","",IF(INDEX('Per Invoice'!N$2:N$801,$W99)="","",INDEX('Per Invoice'!N$2:N$801,$W99)))</f>
        <v/>
      </c>
      <c r="O99" s="7">
        <f>IF($W99="","",IF(INDEX('Per Invoice'!O$2:O$801,$W99)="","",INDEX('Per Invoice'!O$2:O$801,$W99)))</f>
        <v/>
      </c>
      <c r="P99">
        <f>IF($W99="","",IF(INDEX('Per Invoice'!P$2:P$801,$W99)="","",INDEX('Per Invoice'!P$2:P$801,$W99)))</f>
        <v/>
      </c>
      <c r="Q99" s="7">
        <f>IF($W99="","",IF(INDEX('Per Invoice'!Q$2:Q$801,$W99)="","",INDEX('Per Invoice'!Q$2:Q$801,$W99)))</f>
        <v/>
      </c>
      <c r="R99" s="7">
        <f>IF($W99="","",IF(INDEX('Per Invoice'!R$2:R$801,$W99)="","",INDEX('Per Invoice'!R$2:R$801,$W99)))</f>
        <v/>
      </c>
      <c r="S99" s="7">
        <f>IF($W99="","",IF(INDEX('Per Invoice'!S$2:S$801,$W99)="","",INDEX('Per Invoice'!S$2:S$801,$W99)))</f>
        <v/>
      </c>
      <c r="T99" s="7">
        <f>IF($W99="","",IF(INDEX('Per Invoice'!T$2:T$801,$W99)="","",INDEX('Per Invoice'!T$2:T$801,$W99)))</f>
        <v/>
      </c>
      <c r="U99" s="7">
        <f>IF($W99="","",IF(INDEX('Per Invoice'!U$2:U$801,$W99)="","",INDEX('Per Invoice'!U$2:U$801,$W99)))</f>
        <v/>
      </c>
      <c r="V99" s="7">
        <f>IF($W99="","",IF(INDEX('Per Invoice'!V$2:V$801,$W99)="","",INDEX('Per Invoice'!V$2:V$801,$W99)))</f>
        <v/>
      </c>
      <c r="W99" s="16">
        <f>IFERROR(MATCH(Settings!$C$30&amp;"|"&amp;ROWS($W$2:$W99),'Per Invoice'!$X$2:$X$801,0),"")</f>
        <v/>
      </c>
    </row>
    <row r="100">
      <c r="A100">
        <f>IF($W100="","",IF(INDEX('Per Invoice'!A$2:A$801,$W100)="","",INDEX('Per Invoice'!A$2:A$801,$W100)))</f>
        <v/>
      </c>
      <c r="B100">
        <f>IF($W100="","",IF(INDEX('Per Invoice'!B$2:B$801,$W100)="","",INDEX('Per Invoice'!B$2:B$801,$W100)))</f>
        <v/>
      </c>
      <c r="C100">
        <f>IF($W100="","",IF(INDEX('Per Invoice'!C$2:C$801,$W100)="","",INDEX('Per Invoice'!C$2:C$801,$W100)))</f>
        <v/>
      </c>
      <c r="D100">
        <f>IF($W100="","",IF(INDEX('Per Invoice'!D$2:D$801,$W100)="","",INDEX('Per Invoice'!D$2:D$801,$W100)))</f>
        <v/>
      </c>
      <c r="E100">
        <f>IF($W100="","",IF(INDEX('Per Invoice'!E$2:E$801,$W100)="","",INDEX('Per Invoice'!E$2:E$801,$W100)))</f>
        <v/>
      </c>
      <c r="F100">
        <f>IF($W100="","",IF(INDEX('Per Invoice'!F$2:F$801,$W100)="","",INDEX('Per Invoice'!F$2:F$801,$W100)))</f>
        <v/>
      </c>
      <c r="G100">
        <f>IF($W100="","",IF(INDEX('Per Invoice'!G$2:G$801,$W100)="","",INDEX('Per Invoice'!G$2:G$801,$W100)))</f>
        <v/>
      </c>
      <c r="H100">
        <f>IF($W100="","",IF(INDEX('Per Invoice'!H$2:H$801,$W100)="","",INDEX('Per Invoice'!H$2:H$801,$W100)))</f>
        <v/>
      </c>
      <c r="I100">
        <f>IF($W100="","",IF(INDEX('Per Invoice'!I$2:I$801,$W100)="","",INDEX('Per Invoice'!I$2:I$801,$W100)))</f>
        <v/>
      </c>
      <c r="J100">
        <f>IF($W100="","",IF(INDEX('Per Invoice'!J$2:J$801,$W100)="","",INDEX('Per Invoice'!J$2:J$801,$W100)))</f>
        <v/>
      </c>
      <c r="K100" s="7">
        <f>IF($W100="","",IF(INDEX('Per Invoice'!K$2:K$801,$W100)="","",INDEX('Per Invoice'!K$2:K$801,$W100)))</f>
        <v/>
      </c>
      <c r="L100" s="14">
        <f>IF($W100="","",IF(INDEX('Per Invoice'!L$2:L$801,$W100)="","",INDEX('Per Invoice'!L$2:L$801,$W100)))</f>
        <v/>
      </c>
      <c r="M100">
        <f>IF($W100="","",IF(INDEX('Per Invoice'!M$2:M$801,$W100)="","",INDEX('Per Invoice'!M$2:M$801,$W100)))</f>
        <v/>
      </c>
      <c r="N100" s="7">
        <f>IF($W100="","",IF(INDEX('Per Invoice'!N$2:N$801,$W100)="","",INDEX('Per Invoice'!N$2:N$801,$W100)))</f>
        <v/>
      </c>
      <c r="O100" s="7">
        <f>IF($W100="","",IF(INDEX('Per Invoice'!O$2:O$801,$W100)="","",INDEX('Per Invoice'!O$2:O$801,$W100)))</f>
        <v/>
      </c>
      <c r="P100">
        <f>IF($W100="","",IF(INDEX('Per Invoice'!P$2:P$801,$W100)="","",INDEX('Per Invoice'!P$2:P$801,$W100)))</f>
        <v/>
      </c>
      <c r="Q100" s="7">
        <f>IF($W100="","",IF(INDEX('Per Invoice'!Q$2:Q$801,$W100)="","",INDEX('Per Invoice'!Q$2:Q$801,$W100)))</f>
        <v/>
      </c>
      <c r="R100" s="7">
        <f>IF($W100="","",IF(INDEX('Per Invoice'!R$2:R$801,$W100)="","",INDEX('Per Invoice'!R$2:R$801,$W100)))</f>
        <v/>
      </c>
      <c r="S100" s="7">
        <f>IF($W100="","",IF(INDEX('Per Invoice'!S$2:S$801,$W100)="","",INDEX('Per Invoice'!S$2:S$801,$W100)))</f>
        <v/>
      </c>
      <c r="T100" s="7">
        <f>IF($W100="","",IF(INDEX('Per Invoice'!T$2:T$801,$W100)="","",INDEX('Per Invoice'!T$2:T$801,$W100)))</f>
        <v/>
      </c>
      <c r="U100" s="7">
        <f>IF($W100="","",IF(INDEX('Per Invoice'!U$2:U$801,$W100)="","",INDEX('Per Invoice'!U$2:U$801,$W100)))</f>
        <v/>
      </c>
      <c r="V100" s="7">
        <f>IF($W100="","",IF(INDEX('Per Invoice'!V$2:V$801,$W100)="","",INDEX('Per Invoice'!V$2:V$801,$W100)))</f>
        <v/>
      </c>
      <c r="W100" s="16">
        <f>IFERROR(MATCH(Settings!$C$30&amp;"|"&amp;ROWS($W$2:$W100),'Per Invoice'!$X$2:$X$801,0),"")</f>
        <v/>
      </c>
    </row>
    <row r="101">
      <c r="A101">
        <f>IF($W101="","",IF(INDEX('Per Invoice'!A$2:A$801,$W101)="","",INDEX('Per Invoice'!A$2:A$801,$W101)))</f>
        <v/>
      </c>
      <c r="B101">
        <f>IF($W101="","",IF(INDEX('Per Invoice'!B$2:B$801,$W101)="","",INDEX('Per Invoice'!B$2:B$801,$W101)))</f>
        <v/>
      </c>
      <c r="C101">
        <f>IF($W101="","",IF(INDEX('Per Invoice'!C$2:C$801,$W101)="","",INDEX('Per Invoice'!C$2:C$801,$W101)))</f>
        <v/>
      </c>
      <c r="D101">
        <f>IF($W101="","",IF(INDEX('Per Invoice'!D$2:D$801,$W101)="","",INDEX('Per Invoice'!D$2:D$801,$W101)))</f>
        <v/>
      </c>
      <c r="E101">
        <f>IF($W101="","",IF(INDEX('Per Invoice'!E$2:E$801,$W101)="","",INDEX('Per Invoice'!E$2:E$801,$W101)))</f>
        <v/>
      </c>
      <c r="F101">
        <f>IF($W101="","",IF(INDEX('Per Invoice'!F$2:F$801,$W101)="","",INDEX('Per Invoice'!F$2:F$801,$W101)))</f>
        <v/>
      </c>
      <c r="G101">
        <f>IF($W101="","",IF(INDEX('Per Invoice'!G$2:G$801,$W101)="","",INDEX('Per Invoice'!G$2:G$801,$W101)))</f>
        <v/>
      </c>
      <c r="H101">
        <f>IF($W101="","",IF(INDEX('Per Invoice'!H$2:H$801,$W101)="","",INDEX('Per Invoice'!H$2:H$801,$W101)))</f>
        <v/>
      </c>
      <c r="I101">
        <f>IF($W101="","",IF(INDEX('Per Invoice'!I$2:I$801,$W101)="","",INDEX('Per Invoice'!I$2:I$801,$W101)))</f>
        <v/>
      </c>
      <c r="J101">
        <f>IF($W101="","",IF(INDEX('Per Invoice'!J$2:J$801,$W101)="","",INDEX('Per Invoice'!J$2:J$801,$W101)))</f>
        <v/>
      </c>
      <c r="K101" s="7">
        <f>IF($W101="","",IF(INDEX('Per Invoice'!K$2:K$801,$W101)="","",INDEX('Per Invoice'!K$2:K$801,$W101)))</f>
        <v/>
      </c>
      <c r="L101" s="14">
        <f>IF($W101="","",IF(INDEX('Per Invoice'!L$2:L$801,$W101)="","",INDEX('Per Invoice'!L$2:L$801,$W101)))</f>
        <v/>
      </c>
      <c r="M101">
        <f>IF($W101="","",IF(INDEX('Per Invoice'!M$2:M$801,$W101)="","",INDEX('Per Invoice'!M$2:M$801,$W101)))</f>
        <v/>
      </c>
      <c r="N101" s="7">
        <f>IF($W101="","",IF(INDEX('Per Invoice'!N$2:N$801,$W101)="","",INDEX('Per Invoice'!N$2:N$801,$W101)))</f>
        <v/>
      </c>
      <c r="O101" s="7">
        <f>IF($W101="","",IF(INDEX('Per Invoice'!O$2:O$801,$W101)="","",INDEX('Per Invoice'!O$2:O$801,$W101)))</f>
        <v/>
      </c>
      <c r="P101">
        <f>IF($W101="","",IF(INDEX('Per Invoice'!P$2:P$801,$W101)="","",INDEX('Per Invoice'!P$2:P$801,$W101)))</f>
        <v/>
      </c>
      <c r="Q101" s="7">
        <f>IF($W101="","",IF(INDEX('Per Invoice'!Q$2:Q$801,$W101)="","",INDEX('Per Invoice'!Q$2:Q$801,$W101)))</f>
        <v/>
      </c>
      <c r="R101" s="7">
        <f>IF($W101="","",IF(INDEX('Per Invoice'!R$2:R$801,$W101)="","",INDEX('Per Invoice'!R$2:R$801,$W101)))</f>
        <v/>
      </c>
      <c r="S101" s="7">
        <f>IF($W101="","",IF(INDEX('Per Invoice'!S$2:S$801,$W101)="","",INDEX('Per Invoice'!S$2:S$801,$W101)))</f>
        <v/>
      </c>
      <c r="T101" s="7">
        <f>IF($W101="","",IF(INDEX('Per Invoice'!T$2:T$801,$W101)="","",INDEX('Per Invoice'!T$2:T$801,$W101)))</f>
        <v/>
      </c>
      <c r="U101" s="7">
        <f>IF($W101="","",IF(INDEX('Per Invoice'!U$2:U$801,$W101)="","",INDEX('Per Invoice'!U$2:U$801,$W101)))</f>
        <v/>
      </c>
      <c r="V101" s="7">
        <f>IF($W101="","",IF(INDEX('Per Invoice'!V$2:V$801,$W101)="","",INDEX('Per Invoice'!V$2:V$801,$W101)))</f>
        <v/>
      </c>
      <c r="W101" s="16">
        <f>IFERROR(MATCH(Settings!$C$30&amp;"|"&amp;ROWS($W$2:$W101),'Per Invoice'!$X$2:$X$801,0),"")</f>
        <v/>
      </c>
    </row>
    <row r="102">
      <c r="A102">
        <f>IF($W102="","",IF(INDEX('Per Invoice'!A$2:A$801,$W102)="","",INDEX('Per Invoice'!A$2:A$801,$W102)))</f>
        <v/>
      </c>
      <c r="B102">
        <f>IF($W102="","",IF(INDEX('Per Invoice'!B$2:B$801,$W102)="","",INDEX('Per Invoice'!B$2:B$801,$W102)))</f>
        <v/>
      </c>
      <c r="C102">
        <f>IF($W102="","",IF(INDEX('Per Invoice'!C$2:C$801,$W102)="","",INDEX('Per Invoice'!C$2:C$801,$W102)))</f>
        <v/>
      </c>
      <c r="D102">
        <f>IF($W102="","",IF(INDEX('Per Invoice'!D$2:D$801,$W102)="","",INDEX('Per Invoice'!D$2:D$801,$W102)))</f>
        <v/>
      </c>
      <c r="E102">
        <f>IF($W102="","",IF(INDEX('Per Invoice'!E$2:E$801,$W102)="","",INDEX('Per Invoice'!E$2:E$801,$W102)))</f>
        <v/>
      </c>
      <c r="F102">
        <f>IF($W102="","",IF(INDEX('Per Invoice'!F$2:F$801,$W102)="","",INDEX('Per Invoice'!F$2:F$801,$W102)))</f>
        <v/>
      </c>
      <c r="G102">
        <f>IF($W102="","",IF(INDEX('Per Invoice'!G$2:G$801,$W102)="","",INDEX('Per Invoice'!G$2:G$801,$W102)))</f>
        <v/>
      </c>
      <c r="H102">
        <f>IF($W102="","",IF(INDEX('Per Invoice'!H$2:H$801,$W102)="","",INDEX('Per Invoice'!H$2:H$801,$W102)))</f>
        <v/>
      </c>
      <c r="I102">
        <f>IF($W102="","",IF(INDEX('Per Invoice'!I$2:I$801,$W102)="","",INDEX('Per Invoice'!I$2:I$801,$W102)))</f>
        <v/>
      </c>
      <c r="J102">
        <f>IF($W102="","",IF(INDEX('Per Invoice'!J$2:J$801,$W102)="","",INDEX('Per Invoice'!J$2:J$801,$W102)))</f>
        <v/>
      </c>
      <c r="K102" s="7">
        <f>IF($W102="","",IF(INDEX('Per Invoice'!K$2:K$801,$W102)="","",INDEX('Per Invoice'!K$2:K$801,$W102)))</f>
        <v/>
      </c>
      <c r="L102" s="14">
        <f>IF($W102="","",IF(INDEX('Per Invoice'!L$2:L$801,$W102)="","",INDEX('Per Invoice'!L$2:L$801,$W102)))</f>
        <v/>
      </c>
      <c r="M102">
        <f>IF($W102="","",IF(INDEX('Per Invoice'!M$2:M$801,$W102)="","",INDEX('Per Invoice'!M$2:M$801,$W102)))</f>
        <v/>
      </c>
      <c r="N102" s="7">
        <f>IF($W102="","",IF(INDEX('Per Invoice'!N$2:N$801,$W102)="","",INDEX('Per Invoice'!N$2:N$801,$W102)))</f>
        <v/>
      </c>
      <c r="O102" s="7">
        <f>IF($W102="","",IF(INDEX('Per Invoice'!O$2:O$801,$W102)="","",INDEX('Per Invoice'!O$2:O$801,$W102)))</f>
        <v/>
      </c>
      <c r="P102">
        <f>IF($W102="","",IF(INDEX('Per Invoice'!P$2:P$801,$W102)="","",INDEX('Per Invoice'!P$2:P$801,$W102)))</f>
        <v/>
      </c>
      <c r="Q102" s="7">
        <f>IF($W102="","",IF(INDEX('Per Invoice'!Q$2:Q$801,$W102)="","",INDEX('Per Invoice'!Q$2:Q$801,$W102)))</f>
        <v/>
      </c>
      <c r="R102" s="7">
        <f>IF($W102="","",IF(INDEX('Per Invoice'!R$2:R$801,$W102)="","",INDEX('Per Invoice'!R$2:R$801,$W102)))</f>
        <v/>
      </c>
      <c r="S102" s="7">
        <f>IF($W102="","",IF(INDEX('Per Invoice'!S$2:S$801,$W102)="","",INDEX('Per Invoice'!S$2:S$801,$W102)))</f>
        <v/>
      </c>
      <c r="T102" s="7">
        <f>IF($W102="","",IF(INDEX('Per Invoice'!T$2:T$801,$W102)="","",INDEX('Per Invoice'!T$2:T$801,$W102)))</f>
        <v/>
      </c>
      <c r="U102" s="7">
        <f>IF($W102="","",IF(INDEX('Per Invoice'!U$2:U$801,$W102)="","",INDEX('Per Invoice'!U$2:U$801,$W102)))</f>
        <v/>
      </c>
      <c r="V102" s="7">
        <f>IF($W102="","",IF(INDEX('Per Invoice'!V$2:V$801,$W102)="","",INDEX('Per Invoice'!V$2:V$801,$W102)))</f>
        <v/>
      </c>
      <c r="W102" s="16">
        <f>IFERROR(MATCH(Settings!$C$30&amp;"|"&amp;ROWS($W$2:$W102),'Per Invoice'!$X$2:$X$801,0),"")</f>
        <v/>
      </c>
    </row>
    <row r="103">
      <c r="A103">
        <f>IF($W103="","",IF(INDEX('Per Invoice'!A$2:A$801,$W103)="","",INDEX('Per Invoice'!A$2:A$801,$W103)))</f>
        <v/>
      </c>
      <c r="B103">
        <f>IF($W103="","",IF(INDEX('Per Invoice'!B$2:B$801,$W103)="","",INDEX('Per Invoice'!B$2:B$801,$W103)))</f>
        <v/>
      </c>
      <c r="C103">
        <f>IF($W103="","",IF(INDEX('Per Invoice'!C$2:C$801,$W103)="","",INDEX('Per Invoice'!C$2:C$801,$W103)))</f>
        <v/>
      </c>
      <c r="D103">
        <f>IF($W103="","",IF(INDEX('Per Invoice'!D$2:D$801,$W103)="","",INDEX('Per Invoice'!D$2:D$801,$W103)))</f>
        <v/>
      </c>
      <c r="E103">
        <f>IF($W103="","",IF(INDEX('Per Invoice'!E$2:E$801,$W103)="","",INDEX('Per Invoice'!E$2:E$801,$W103)))</f>
        <v/>
      </c>
      <c r="F103">
        <f>IF($W103="","",IF(INDEX('Per Invoice'!F$2:F$801,$W103)="","",INDEX('Per Invoice'!F$2:F$801,$W103)))</f>
        <v/>
      </c>
      <c r="G103">
        <f>IF($W103="","",IF(INDEX('Per Invoice'!G$2:G$801,$W103)="","",INDEX('Per Invoice'!G$2:G$801,$W103)))</f>
        <v/>
      </c>
      <c r="H103">
        <f>IF($W103="","",IF(INDEX('Per Invoice'!H$2:H$801,$W103)="","",INDEX('Per Invoice'!H$2:H$801,$W103)))</f>
        <v/>
      </c>
      <c r="I103">
        <f>IF($W103="","",IF(INDEX('Per Invoice'!I$2:I$801,$W103)="","",INDEX('Per Invoice'!I$2:I$801,$W103)))</f>
        <v/>
      </c>
      <c r="J103">
        <f>IF($W103="","",IF(INDEX('Per Invoice'!J$2:J$801,$W103)="","",INDEX('Per Invoice'!J$2:J$801,$W103)))</f>
        <v/>
      </c>
      <c r="K103" s="7">
        <f>IF($W103="","",IF(INDEX('Per Invoice'!K$2:K$801,$W103)="","",INDEX('Per Invoice'!K$2:K$801,$W103)))</f>
        <v/>
      </c>
      <c r="L103" s="14">
        <f>IF($W103="","",IF(INDEX('Per Invoice'!L$2:L$801,$W103)="","",INDEX('Per Invoice'!L$2:L$801,$W103)))</f>
        <v/>
      </c>
      <c r="M103">
        <f>IF($W103="","",IF(INDEX('Per Invoice'!M$2:M$801,$W103)="","",INDEX('Per Invoice'!M$2:M$801,$W103)))</f>
        <v/>
      </c>
      <c r="N103" s="7">
        <f>IF($W103="","",IF(INDEX('Per Invoice'!N$2:N$801,$W103)="","",INDEX('Per Invoice'!N$2:N$801,$W103)))</f>
        <v/>
      </c>
      <c r="O103" s="7">
        <f>IF($W103="","",IF(INDEX('Per Invoice'!O$2:O$801,$W103)="","",INDEX('Per Invoice'!O$2:O$801,$W103)))</f>
        <v/>
      </c>
      <c r="P103">
        <f>IF($W103="","",IF(INDEX('Per Invoice'!P$2:P$801,$W103)="","",INDEX('Per Invoice'!P$2:P$801,$W103)))</f>
        <v/>
      </c>
      <c r="Q103" s="7">
        <f>IF($W103="","",IF(INDEX('Per Invoice'!Q$2:Q$801,$W103)="","",INDEX('Per Invoice'!Q$2:Q$801,$W103)))</f>
        <v/>
      </c>
      <c r="R103" s="7">
        <f>IF($W103="","",IF(INDEX('Per Invoice'!R$2:R$801,$W103)="","",INDEX('Per Invoice'!R$2:R$801,$W103)))</f>
        <v/>
      </c>
      <c r="S103" s="7">
        <f>IF($W103="","",IF(INDEX('Per Invoice'!S$2:S$801,$W103)="","",INDEX('Per Invoice'!S$2:S$801,$W103)))</f>
        <v/>
      </c>
      <c r="T103" s="7">
        <f>IF($W103="","",IF(INDEX('Per Invoice'!T$2:T$801,$W103)="","",INDEX('Per Invoice'!T$2:T$801,$W103)))</f>
        <v/>
      </c>
      <c r="U103" s="7">
        <f>IF($W103="","",IF(INDEX('Per Invoice'!U$2:U$801,$W103)="","",INDEX('Per Invoice'!U$2:U$801,$W103)))</f>
        <v/>
      </c>
      <c r="V103" s="7">
        <f>IF($W103="","",IF(INDEX('Per Invoice'!V$2:V$801,$W103)="","",INDEX('Per Invoice'!V$2:V$801,$W103)))</f>
        <v/>
      </c>
      <c r="W103" s="16">
        <f>IFERROR(MATCH(Settings!$C$30&amp;"|"&amp;ROWS($W$2:$W103),'Per Invoice'!$X$2:$X$801,0),"")</f>
        <v/>
      </c>
    </row>
    <row r="104">
      <c r="A104">
        <f>IF($W104="","",IF(INDEX('Per Invoice'!A$2:A$801,$W104)="","",INDEX('Per Invoice'!A$2:A$801,$W104)))</f>
        <v/>
      </c>
      <c r="B104">
        <f>IF($W104="","",IF(INDEX('Per Invoice'!B$2:B$801,$W104)="","",INDEX('Per Invoice'!B$2:B$801,$W104)))</f>
        <v/>
      </c>
      <c r="C104">
        <f>IF($W104="","",IF(INDEX('Per Invoice'!C$2:C$801,$W104)="","",INDEX('Per Invoice'!C$2:C$801,$W104)))</f>
        <v/>
      </c>
      <c r="D104">
        <f>IF($W104="","",IF(INDEX('Per Invoice'!D$2:D$801,$W104)="","",INDEX('Per Invoice'!D$2:D$801,$W104)))</f>
        <v/>
      </c>
      <c r="E104">
        <f>IF($W104="","",IF(INDEX('Per Invoice'!E$2:E$801,$W104)="","",INDEX('Per Invoice'!E$2:E$801,$W104)))</f>
        <v/>
      </c>
      <c r="F104">
        <f>IF($W104="","",IF(INDEX('Per Invoice'!F$2:F$801,$W104)="","",INDEX('Per Invoice'!F$2:F$801,$W104)))</f>
        <v/>
      </c>
      <c r="G104">
        <f>IF($W104="","",IF(INDEX('Per Invoice'!G$2:G$801,$W104)="","",INDEX('Per Invoice'!G$2:G$801,$W104)))</f>
        <v/>
      </c>
      <c r="H104">
        <f>IF($W104="","",IF(INDEX('Per Invoice'!H$2:H$801,$W104)="","",INDEX('Per Invoice'!H$2:H$801,$W104)))</f>
        <v/>
      </c>
      <c r="I104">
        <f>IF($W104="","",IF(INDEX('Per Invoice'!I$2:I$801,$W104)="","",INDEX('Per Invoice'!I$2:I$801,$W104)))</f>
        <v/>
      </c>
      <c r="J104">
        <f>IF($W104="","",IF(INDEX('Per Invoice'!J$2:J$801,$W104)="","",INDEX('Per Invoice'!J$2:J$801,$W104)))</f>
        <v/>
      </c>
      <c r="K104" s="7">
        <f>IF($W104="","",IF(INDEX('Per Invoice'!K$2:K$801,$W104)="","",INDEX('Per Invoice'!K$2:K$801,$W104)))</f>
        <v/>
      </c>
      <c r="L104" s="14">
        <f>IF($W104="","",IF(INDEX('Per Invoice'!L$2:L$801,$W104)="","",INDEX('Per Invoice'!L$2:L$801,$W104)))</f>
        <v/>
      </c>
      <c r="M104">
        <f>IF($W104="","",IF(INDEX('Per Invoice'!M$2:M$801,$W104)="","",INDEX('Per Invoice'!M$2:M$801,$W104)))</f>
        <v/>
      </c>
      <c r="N104" s="7">
        <f>IF($W104="","",IF(INDEX('Per Invoice'!N$2:N$801,$W104)="","",INDEX('Per Invoice'!N$2:N$801,$W104)))</f>
        <v/>
      </c>
      <c r="O104" s="7">
        <f>IF($W104="","",IF(INDEX('Per Invoice'!O$2:O$801,$W104)="","",INDEX('Per Invoice'!O$2:O$801,$W104)))</f>
        <v/>
      </c>
      <c r="P104">
        <f>IF($W104="","",IF(INDEX('Per Invoice'!P$2:P$801,$W104)="","",INDEX('Per Invoice'!P$2:P$801,$W104)))</f>
        <v/>
      </c>
      <c r="Q104" s="7">
        <f>IF($W104="","",IF(INDEX('Per Invoice'!Q$2:Q$801,$W104)="","",INDEX('Per Invoice'!Q$2:Q$801,$W104)))</f>
        <v/>
      </c>
      <c r="R104" s="7">
        <f>IF($W104="","",IF(INDEX('Per Invoice'!R$2:R$801,$W104)="","",INDEX('Per Invoice'!R$2:R$801,$W104)))</f>
        <v/>
      </c>
      <c r="S104" s="7">
        <f>IF($W104="","",IF(INDEX('Per Invoice'!S$2:S$801,$W104)="","",INDEX('Per Invoice'!S$2:S$801,$W104)))</f>
        <v/>
      </c>
      <c r="T104" s="7">
        <f>IF($W104="","",IF(INDEX('Per Invoice'!T$2:T$801,$W104)="","",INDEX('Per Invoice'!T$2:T$801,$W104)))</f>
        <v/>
      </c>
      <c r="U104" s="7">
        <f>IF($W104="","",IF(INDEX('Per Invoice'!U$2:U$801,$W104)="","",INDEX('Per Invoice'!U$2:U$801,$W104)))</f>
        <v/>
      </c>
      <c r="V104" s="7">
        <f>IF($W104="","",IF(INDEX('Per Invoice'!V$2:V$801,$W104)="","",INDEX('Per Invoice'!V$2:V$801,$W104)))</f>
        <v/>
      </c>
      <c r="W104" s="16">
        <f>IFERROR(MATCH(Settings!$C$30&amp;"|"&amp;ROWS($W$2:$W104),'Per Invoice'!$X$2:$X$801,0),"")</f>
        <v/>
      </c>
    </row>
    <row r="105">
      <c r="A105">
        <f>IF($W105="","",IF(INDEX('Per Invoice'!A$2:A$801,$W105)="","",INDEX('Per Invoice'!A$2:A$801,$W105)))</f>
        <v/>
      </c>
      <c r="B105">
        <f>IF($W105="","",IF(INDEX('Per Invoice'!B$2:B$801,$W105)="","",INDEX('Per Invoice'!B$2:B$801,$W105)))</f>
        <v/>
      </c>
      <c r="C105">
        <f>IF($W105="","",IF(INDEX('Per Invoice'!C$2:C$801,$W105)="","",INDEX('Per Invoice'!C$2:C$801,$W105)))</f>
        <v/>
      </c>
      <c r="D105">
        <f>IF($W105="","",IF(INDEX('Per Invoice'!D$2:D$801,$W105)="","",INDEX('Per Invoice'!D$2:D$801,$W105)))</f>
        <v/>
      </c>
      <c r="E105">
        <f>IF($W105="","",IF(INDEX('Per Invoice'!E$2:E$801,$W105)="","",INDEX('Per Invoice'!E$2:E$801,$W105)))</f>
        <v/>
      </c>
      <c r="F105">
        <f>IF($W105="","",IF(INDEX('Per Invoice'!F$2:F$801,$W105)="","",INDEX('Per Invoice'!F$2:F$801,$W105)))</f>
        <v/>
      </c>
      <c r="G105">
        <f>IF($W105="","",IF(INDEX('Per Invoice'!G$2:G$801,$W105)="","",INDEX('Per Invoice'!G$2:G$801,$W105)))</f>
        <v/>
      </c>
      <c r="H105">
        <f>IF($W105="","",IF(INDEX('Per Invoice'!H$2:H$801,$W105)="","",INDEX('Per Invoice'!H$2:H$801,$W105)))</f>
        <v/>
      </c>
      <c r="I105">
        <f>IF($W105="","",IF(INDEX('Per Invoice'!I$2:I$801,$W105)="","",INDEX('Per Invoice'!I$2:I$801,$W105)))</f>
        <v/>
      </c>
      <c r="J105">
        <f>IF($W105="","",IF(INDEX('Per Invoice'!J$2:J$801,$W105)="","",INDEX('Per Invoice'!J$2:J$801,$W105)))</f>
        <v/>
      </c>
      <c r="K105" s="7">
        <f>IF($W105="","",IF(INDEX('Per Invoice'!K$2:K$801,$W105)="","",INDEX('Per Invoice'!K$2:K$801,$W105)))</f>
        <v/>
      </c>
      <c r="L105" s="14">
        <f>IF($W105="","",IF(INDEX('Per Invoice'!L$2:L$801,$W105)="","",INDEX('Per Invoice'!L$2:L$801,$W105)))</f>
        <v/>
      </c>
      <c r="M105">
        <f>IF($W105="","",IF(INDEX('Per Invoice'!M$2:M$801,$W105)="","",INDEX('Per Invoice'!M$2:M$801,$W105)))</f>
        <v/>
      </c>
      <c r="N105" s="7">
        <f>IF($W105="","",IF(INDEX('Per Invoice'!N$2:N$801,$W105)="","",INDEX('Per Invoice'!N$2:N$801,$W105)))</f>
        <v/>
      </c>
      <c r="O105" s="7">
        <f>IF($W105="","",IF(INDEX('Per Invoice'!O$2:O$801,$W105)="","",INDEX('Per Invoice'!O$2:O$801,$W105)))</f>
        <v/>
      </c>
      <c r="P105">
        <f>IF($W105="","",IF(INDEX('Per Invoice'!P$2:P$801,$W105)="","",INDEX('Per Invoice'!P$2:P$801,$W105)))</f>
        <v/>
      </c>
      <c r="Q105" s="7">
        <f>IF($W105="","",IF(INDEX('Per Invoice'!Q$2:Q$801,$W105)="","",INDEX('Per Invoice'!Q$2:Q$801,$W105)))</f>
        <v/>
      </c>
      <c r="R105" s="7">
        <f>IF($W105="","",IF(INDEX('Per Invoice'!R$2:R$801,$W105)="","",INDEX('Per Invoice'!R$2:R$801,$W105)))</f>
        <v/>
      </c>
      <c r="S105" s="7">
        <f>IF($W105="","",IF(INDEX('Per Invoice'!S$2:S$801,$W105)="","",INDEX('Per Invoice'!S$2:S$801,$W105)))</f>
        <v/>
      </c>
      <c r="T105" s="7">
        <f>IF($W105="","",IF(INDEX('Per Invoice'!T$2:T$801,$W105)="","",INDEX('Per Invoice'!T$2:T$801,$W105)))</f>
        <v/>
      </c>
      <c r="U105" s="7">
        <f>IF($W105="","",IF(INDEX('Per Invoice'!U$2:U$801,$W105)="","",INDEX('Per Invoice'!U$2:U$801,$W105)))</f>
        <v/>
      </c>
      <c r="V105" s="7">
        <f>IF($W105="","",IF(INDEX('Per Invoice'!V$2:V$801,$W105)="","",INDEX('Per Invoice'!V$2:V$801,$W105)))</f>
        <v/>
      </c>
      <c r="W105" s="16">
        <f>IFERROR(MATCH(Settings!$C$30&amp;"|"&amp;ROWS($W$2:$W105),'Per Invoice'!$X$2:$X$801,0),"")</f>
        <v/>
      </c>
    </row>
    <row r="106">
      <c r="A106">
        <f>IF($W106="","",IF(INDEX('Per Invoice'!A$2:A$801,$W106)="","",INDEX('Per Invoice'!A$2:A$801,$W106)))</f>
        <v/>
      </c>
      <c r="B106">
        <f>IF($W106="","",IF(INDEX('Per Invoice'!B$2:B$801,$W106)="","",INDEX('Per Invoice'!B$2:B$801,$W106)))</f>
        <v/>
      </c>
      <c r="C106">
        <f>IF($W106="","",IF(INDEX('Per Invoice'!C$2:C$801,$W106)="","",INDEX('Per Invoice'!C$2:C$801,$W106)))</f>
        <v/>
      </c>
      <c r="D106">
        <f>IF($W106="","",IF(INDEX('Per Invoice'!D$2:D$801,$W106)="","",INDEX('Per Invoice'!D$2:D$801,$W106)))</f>
        <v/>
      </c>
      <c r="E106">
        <f>IF($W106="","",IF(INDEX('Per Invoice'!E$2:E$801,$W106)="","",INDEX('Per Invoice'!E$2:E$801,$W106)))</f>
        <v/>
      </c>
      <c r="F106">
        <f>IF($W106="","",IF(INDEX('Per Invoice'!F$2:F$801,$W106)="","",INDEX('Per Invoice'!F$2:F$801,$W106)))</f>
        <v/>
      </c>
      <c r="G106">
        <f>IF($W106="","",IF(INDEX('Per Invoice'!G$2:G$801,$W106)="","",INDEX('Per Invoice'!G$2:G$801,$W106)))</f>
        <v/>
      </c>
      <c r="H106">
        <f>IF($W106="","",IF(INDEX('Per Invoice'!H$2:H$801,$W106)="","",INDEX('Per Invoice'!H$2:H$801,$W106)))</f>
        <v/>
      </c>
      <c r="I106">
        <f>IF($W106="","",IF(INDEX('Per Invoice'!I$2:I$801,$W106)="","",INDEX('Per Invoice'!I$2:I$801,$W106)))</f>
        <v/>
      </c>
      <c r="J106">
        <f>IF($W106="","",IF(INDEX('Per Invoice'!J$2:J$801,$W106)="","",INDEX('Per Invoice'!J$2:J$801,$W106)))</f>
        <v/>
      </c>
      <c r="K106" s="7">
        <f>IF($W106="","",IF(INDEX('Per Invoice'!K$2:K$801,$W106)="","",INDEX('Per Invoice'!K$2:K$801,$W106)))</f>
        <v/>
      </c>
      <c r="L106" s="14">
        <f>IF($W106="","",IF(INDEX('Per Invoice'!L$2:L$801,$W106)="","",INDEX('Per Invoice'!L$2:L$801,$W106)))</f>
        <v/>
      </c>
      <c r="M106">
        <f>IF($W106="","",IF(INDEX('Per Invoice'!M$2:M$801,$W106)="","",INDEX('Per Invoice'!M$2:M$801,$W106)))</f>
        <v/>
      </c>
      <c r="N106" s="7">
        <f>IF($W106="","",IF(INDEX('Per Invoice'!N$2:N$801,$W106)="","",INDEX('Per Invoice'!N$2:N$801,$W106)))</f>
        <v/>
      </c>
      <c r="O106" s="7">
        <f>IF($W106="","",IF(INDEX('Per Invoice'!O$2:O$801,$W106)="","",INDEX('Per Invoice'!O$2:O$801,$W106)))</f>
        <v/>
      </c>
      <c r="P106">
        <f>IF($W106="","",IF(INDEX('Per Invoice'!P$2:P$801,$W106)="","",INDEX('Per Invoice'!P$2:P$801,$W106)))</f>
        <v/>
      </c>
      <c r="Q106" s="7">
        <f>IF($W106="","",IF(INDEX('Per Invoice'!Q$2:Q$801,$W106)="","",INDEX('Per Invoice'!Q$2:Q$801,$W106)))</f>
        <v/>
      </c>
      <c r="R106" s="7">
        <f>IF($W106="","",IF(INDEX('Per Invoice'!R$2:R$801,$W106)="","",INDEX('Per Invoice'!R$2:R$801,$W106)))</f>
        <v/>
      </c>
      <c r="S106" s="7">
        <f>IF($W106="","",IF(INDEX('Per Invoice'!S$2:S$801,$W106)="","",INDEX('Per Invoice'!S$2:S$801,$W106)))</f>
        <v/>
      </c>
      <c r="T106" s="7">
        <f>IF($W106="","",IF(INDEX('Per Invoice'!T$2:T$801,$W106)="","",INDEX('Per Invoice'!T$2:T$801,$W106)))</f>
        <v/>
      </c>
      <c r="U106" s="7">
        <f>IF($W106="","",IF(INDEX('Per Invoice'!U$2:U$801,$W106)="","",INDEX('Per Invoice'!U$2:U$801,$W106)))</f>
        <v/>
      </c>
      <c r="V106" s="7">
        <f>IF($W106="","",IF(INDEX('Per Invoice'!V$2:V$801,$W106)="","",INDEX('Per Invoice'!V$2:V$801,$W106)))</f>
        <v/>
      </c>
      <c r="W106" s="16">
        <f>IFERROR(MATCH(Settings!$C$30&amp;"|"&amp;ROWS($W$2:$W106),'Per Invoice'!$X$2:$X$801,0),"")</f>
        <v/>
      </c>
    </row>
    <row r="107">
      <c r="A107">
        <f>IF($W107="","",IF(INDEX('Per Invoice'!A$2:A$801,$W107)="","",INDEX('Per Invoice'!A$2:A$801,$W107)))</f>
        <v/>
      </c>
      <c r="B107">
        <f>IF($W107="","",IF(INDEX('Per Invoice'!B$2:B$801,$W107)="","",INDEX('Per Invoice'!B$2:B$801,$W107)))</f>
        <v/>
      </c>
      <c r="C107">
        <f>IF($W107="","",IF(INDEX('Per Invoice'!C$2:C$801,$W107)="","",INDEX('Per Invoice'!C$2:C$801,$W107)))</f>
        <v/>
      </c>
      <c r="D107">
        <f>IF($W107="","",IF(INDEX('Per Invoice'!D$2:D$801,$W107)="","",INDEX('Per Invoice'!D$2:D$801,$W107)))</f>
        <v/>
      </c>
      <c r="E107">
        <f>IF($W107="","",IF(INDEX('Per Invoice'!E$2:E$801,$W107)="","",INDEX('Per Invoice'!E$2:E$801,$W107)))</f>
        <v/>
      </c>
      <c r="F107">
        <f>IF($W107="","",IF(INDEX('Per Invoice'!F$2:F$801,$W107)="","",INDEX('Per Invoice'!F$2:F$801,$W107)))</f>
        <v/>
      </c>
      <c r="G107">
        <f>IF($W107="","",IF(INDEX('Per Invoice'!G$2:G$801,$W107)="","",INDEX('Per Invoice'!G$2:G$801,$W107)))</f>
        <v/>
      </c>
      <c r="H107">
        <f>IF($W107="","",IF(INDEX('Per Invoice'!H$2:H$801,$W107)="","",INDEX('Per Invoice'!H$2:H$801,$W107)))</f>
        <v/>
      </c>
      <c r="I107">
        <f>IF($W107="","",IF(INDEX('Per Invoice'!I$2:I$801,$W107)="","",INDEX('Per Invoice'!I$2:I$801,$W107)))</f>
        <v/>
      </c>
      <c r="J107">
        <f>IF($W107="","",IF(INDEX('Per Invoice'!J$2:J$801,$W107)="","",INDEX('Per Invoice'!J$2:J$801,$W107)))</f>
        <v/>
      </c>
      <c r="K107" s="7">
        <f>IF($W107="","",IF(INDEX('Per Invoice'!K$2:K$801,$W107)="","",INDEX('Per Invoice'!K$2:K$801,$W107)))</f>
        <v/>
      </c>
      <c r="L107" s="14">
        <f>IF($W107="","",IF(INDEX('Per Invoice'!L$2:L$801,$W107)="","",INDEX('Per Invoice'!L$2:L$801,$W107)))</f>
        <v/>
      </c>
      <c r="M107">
        <f>IF($W107="","",IF(INDEX('Per Invoice'!M$2:M$801,$W107)="","",INDEX('Per Invoice'!M$2:M$801,$W107)))</f>
        <v/>
      </c>
      <c r="N107" s="7">
        <f>IF($W107="","",IF(INDEX('Per Invoice'!N$2:N$801,$W107)="","",INDEX('Per Invoice'!N$2:N$801,$W107)))</f>
        <v/>
      </c>
      <c r="O107" s="7">
        <f>IF($W107="","",IF(INDEX('Per Invoice'!O$2:O$801,$W107)="","",INDEX('Per Invoice'!O$2:O$801,$W107)))</f>
        <v/>
      </c>
      <c r="P107">
        <f>IF($W107="","",IF(INDEX('Per Invoice'!P$2:P$801,$W107)="","",INDEX('Per Invoice'!P$2:P$801,$W107)))</f>
        <v/>
      </c>
      <c r="Q107" s="7">
        <f>IF($W107="","",IF(INDEX('Per Invoice'!Q$2:Q$801,$W107)="","",INDEX('Per Invoice'!Q$2:Q$801,$W107)))</f>
        <v/>
      </c>
      <c r="R107" s="7">
        <f>IF($W107="","",IF(INDEX('Per Invoice'!R$2:R$801,$W107)="","",INDEX('Per Invoice'!R$2:R$801,$W107)))</f>
        <v/>
      </c>
      <c r="S107" s="7">
        <f>IF($W107="","",IF(INDEX('Per Invoice'!S$2:S$801,$W107)="","",INDEX('Per Invoice'!S$2:S$801,$W107)))</f>
        <v/>
      </c>
      <c r="T107" s="7">
        <f>IF($W107="","",IF(INDEX('Per Invoice'!T$2:T$801,$W107)="","",INDEX('Per Invoice'!T$2:T$801,$W107)))</f>
        <v/>
      </c>
      <c r="U107" s="7">
        <f>IF($W107="","",IF(INDEX('Per Invoice'!U$2:U$801,$W107)="","",INDEX('Per Invoice'!U$2:U$801,$W107)))</f>
        <v/>
      </c>
      <c r="V107" s="7">
        <f>IF($W107="","",IF(INDEX('Per Invoice'!V$2:V$801,$W107)="","",INDEX('Per Invoice'!V$2:V$801,$W107)))</f>
        <v/>
      </c>
      <c r="W107" s="16">
        <f>IFERROR(MATCH(Settings!$C$30&amp;"|"&amp;ROWS($W$2:$W107),'Per Invoice'!$X$2:$X$801,0),"")</f>
        <v/>
      </c>
    </row>
    <row r="108">
      <c r="A108">
        <f>IF($W108="","",IF(INDEX('Per Invoice'!A$2:A$801,$W108)="","",INDEX('Per Invoice'!A$2:A$801,$W108)))</f>
        <v/>
      </c>
      <c r="B108">
        <f>IF($W108="","",IF(INDEX('Per Invoice'!B$2:B$801,$W108)="","",INDEX('Per Invoice'!B$2:B$801,$W108)))</f>
        <v/>
      </c>
      <c r="C108">
        <f>IF($W108="","",IF(INDEX('Per Invoice'!C$2:C$801,$W108)="","",INDEX('Per Invoice'!C$2:C$801,$W108)))</f>
        <v/>
      </c>
      <c r="D108">
        <f>IF($W108="","",IF(INDEX('Per Invoice'!D$2:D$801,$W108)="","",INDEX('Per Invoice'!D$2:D$801,$W108)))</f>
        <v/>
      </c>
      <c r="E108">
        <f>IF($W108="","",IF(INDEX('Per Invoice'!E$2:E$801,$W108)="","",INDEX('Per Invoice'!E$2:E$801,$W108)))</f>
        <v/>
      </c>
      <c r="F108">
        <f>IF($W108="","",IF(INDEX('Per Invoice'!F$2:F$801,$W108)="","",INDEX('Per Invoice'!F$2:F$801,$W108)))</f>
        <v/>
      </c>
      <c r="G108">
        <f>IF($W108="","",IF(INDEX('Per Invoice'!G$2:G$801,$W108)="","",INDEX('Per Invoice'!G$2:G$801,$W108)))</f>
        <v/>
      </c>
      <c r="H108">
        <f>IF($W108="","",IF(INDEX('Per Invoice'!H$2:H$801,$W108)="","",INDEX('Per Invoice'!H$2:H$801,$W108)))</f>
        <v/>
      </c>
      <c r="I108">
        <f>IF($W108="","",IF(INDEX('Per Invoice'!I$2:I$801,$W108)="","",INDEX('Per Invoice'!I$2:I$801,$W108)))</f>
        <v/>
      </c>
      <c r="J108">
        <f>IF($W108="","",IF(INDEX('Per Invoice'!J$2:J$801,$W108)="","",INDEX('Per Invoice'!J$2:J$801,$W108)))</f>
        <v/>
      </c>
      <c r="K108" s="7">
        <f>IF($W108="","",IF(INDEX('Per Invoice'!K$2:K$801,$W108)="","",INDEX('Per Invoice'!K$2:K$801,$W108)))</f>
        <v/>
      </c>
      <c r="L108" s="14">
        <f>IF($W108="","",IF(INDEX('Per Invoice'!L$2:L$801,$W108)="","",INDEX('Per Invoice'!L$2:L$801,$W108)))</f>
        <v/>
      </c>
      <c r="M108">
        <f>IF($W108="","",IF(INDEX('Per Invoice'!M$2:M$801,$W108)="","",INDEX('Per Invoice'!M$2:M$801,$W108)))</f>
        <v/>
      </c>
      <c r="N108" s="7">
        <f>IF($W108="","",IF(INDEX('Per Invoice'!N$2:N$801,$W108)="","",INDEX('Per Invoice'!N$2:N$801,$W108)))</f>
        <v/>
      </c>
      <c r="O108" s="7">
        <f>IF($W108="","",IF(INDEX('Per Invoice'!O$2:O$801,$W108)="","",INDEX('Per Invoice'!O$2:O$801,$W108)))</f>
        <v/>
      </c>
      <c r="P108">
        <f>IF($W108="","",IF(INDEX('Per Invoice'!P$2:P$801,$W108)="","",INDEX('Per Invoice'!P$2:P$801,$W108)))</f>
        <v/>
      </c>
      <c r="Q108" s="7">
        <f>IF($W108="","",IF(INDEX('Per Invoice'!Q$2:Q$801,$W108)="","",INDEX('Per Invoice'!Q$2:Q$801,$W108)))</f>
        <v/>
      </c>
      <c r="R108" s="7">
        <f>IF($W108="","",IF(INDEX('Per Invoice'!R$2:R$801,$W108)="","",INDEX('Per Invoice'!R$2:R$801,$W108)))</f>
        <v/>
      </c>
      <c r="S108" s="7">
        <f>IF($W108="","",IF(INDEX('Per Invoice'!S$2:S$801,$W108)="","",INDEX('Per Invoice'!S$2:S$801,$W108)))</f>
        <v/>
      </c>
      <c r="T108" s="7">
        <f>IF($W108="","",IF(INDEX('Per Invoice'!T$2:T$801,$W108)="","",INDEX('Per Invoice'!T$2:T$801,$W108)))</f>
        <v/>
      </c>
      <c r="U108" s="7">
        <f>IF($W108="","",IF(INDEX('Per Invoice'!U$2:U$801,$W108)="","",INDEX('Per Invoice'!U$2:U$801,$W108)))</f>
        <v/>
      </c>
      <c r="V108" s="7">
        <f>IF($W108="","",IF(INDEX('Per Invoice'!V$2:V$801,$W108)="","",INDEX('Per Invoice'!V$2:V$801,$W108)))</f>
        <v/>
      </c>
      <c r="W108" s="16">
        <f>IFERROR(MATCH(Settings!$C$30&amp;"|"&amp;ROWS($W$2:$W108),'Per Invoice'!$X$2:$X$801,0),"")</f>
        <v/>
      </c>
    </row>
    <row r="109">
      <c r="A109">
        <f>IF($W109="","",IF(INDEX('Per Invoice'!A$2:A$801,$W109)="","",INDEX('Per Invoice'!A$2:A$801,$W109)))</f>
        <v/>
      </c>
      <c r="B109">
        <f>IF($W109="","",IF(INDEX('Per Invoice'!B$2:B$801,$W109)="","",INDEX('Per Invoice'!B$2:B$801,$W109)))</f>
        <v/>
      </c>
      <c r="C109">
        <f>IF($W109="","",IF(INDEX('Per Invoice'!C$2:C$801,$W109)="","",INDEX('Per Invoice'!C$2:C$801,$W109)))</f>
        <v/>
      </c>
      <c r="D109">
        <f>IF($W109="","",IF(INDEX('Per Invoice'!D$2:D$801,$W109)="","",INDEX('Per Invoice'!D$2:D$801,$W109)))</f>
        <v/>
      </c>
      <c r="E109">
        <f>IF($W109="","",IF(INDEX('Per Invoice'!E$2:E$801,$W109)="","",INDEX('Per Invoice'!E$2:E$801,$W109)))</f>
        <v/>
      </c>
      <c r="F109">
        <f>IF($W109="","",IF(INDEX('Per Invoice'!F$2:F$801,$W109)="","",INDEX('Per Invoice'!F$2:F$801,$W109)))</f>
        <v/>
      </c>
      <c r="G109">
        <f>IF($W109="","",IF(INDEX('Per Invoice'!G$2:G$801,$W109)="","",INDEX('Per Invoice'!G$2:G$801,$W109)))</f>
        <v/>
      </c>
      <c r="H109">
        <f>IF($W109="","",IF(INDEX('Per Invoice'!H$2:H$801,$W109)="","",INDEX('Per Invoice'!H$2:H$801,$W109)))</f>
        <v/>
      </c>
      <c r="I109">
        <f>IF($W109="","",IF(INDEX('Per Invoice'!I$2:I$801,$W109)="","",INDEX('Per Invoice'!I$2:I$801,$W109)))</f>
        <v/>
      </c>
      <c r="J109">
        <f>IF($W109="","",IF(INDEX('Per Invoice'!J$2:J$801,$W109)="","",INDEX('Per Invoice'!J$2:J$801,$W109)))</f>
        <v/>
      </c>
      <c r="K109" s="7">
        <f>IF($W109="","",IF(INDEX('Per Invoice'!K$2:K$801,$W109)="","",INDEX('Per Invoice'!K$2:K$801,$W109)))</f>
        <v/>
      </c>
      <c r="L109" s="14">
        <f>IF($W109="","",IF(INDEX('Per Invoice'!L$2:L$801,$W109)="","",INDEX('Per Invoice'!L$2:L$801,$W109)))</f>
        <v/>
      </c>
      <c r="M109">
        <f>IF($W109="","",IF(INDEX('Per Invoice'!M$2:M$801,$W109)="","",INDEX('Per Invoice'!M$2:M$801,$W109)))</f>
        <v/>
      </c>
      <c r="N109" s="7">
        <f>IF($W109="","",IF(INDEX('Per Invoice'!N$2:N$801,$W109)="","",INDEX('Per Invoice'!N$2:N$801,$W109)))</f>
        <v/>
      </c>
      <c r="O109" s="7">
        <f>IF($W109="","",IF(INDEX('Per Invoice'!O$2:O$801,$W109)="","",INDEX('Per Invoice'!O$2:O$801,$W109)))</f>
        <v/>
      </c>
      <c r="P109">
        <f>IF($W109="","",IF(INDEX('Per Invoice'!P$2:P$801,$W109)="","",INDEX('Per Invoice'!P$2:P$801,$W109)))</f>
        <v/>
      </c>
      <c r="Q109" s="7">
        <f>IF($W109="","",IF(INDEX('Per Invoice'!Q$2:Q$801,$W109)="","",INDEX('Per Invoice'!Q$2:Q$801,$W109)))</f>
        <v/>
      </c>
      <c r="R109" s="7">
        <f>IF($W109="","",IF(INDEX('Per Invoice'!R$2:R$801,$W109)="","",INDEX('Per Invoice'!R$2:R$801,$W109)))</f>
        <v/>
      </c>
      <c r="S109" s="7">
        <f>IF($W109="","",IF(INDEX('Per Invoice'!S$2:S$801,$W109)="","",INDEX('Per Invoice'!S$2:S$801,$W109)))</f>
        <v/>
      </c>
      <c r="T109" s="7">
        <f>IF($W109="","",IF(INDEX('Per Invoice'!T$2:T$801,$W109)="","",INDEX('Per Invoice'!T$2:T$801,$W109)))</f>
        <v/>
      </c>
      <c r="U109" s="7">
        <f>IF($W109="","",IF(INDEX('Per Invoice'!U$2:U$801,$W109)="","",INDEX('Per Invoice'!U$2:U$801,$W109)))</f>
        <v/>
      </c>
      <c r="V109" s="7">
        <f>IF($W109="","",IF(INDEX('Per Invoice'!V$2:V$801,$W109)="","",INDEX('Per Invoice'!V$2:V$801,$W109)))</f>
        <v/>
      </c>
      <c r="W109" s="16">
        <f>IFERROR(MATCH(Settings!$C$30&amp;"|"&amp;ROWS($W$2:$W109),'Per Invoice'!$X$2:$X$801,0),"")</f>
        <v/>
      </c>
    </row>
    <row r="110">
      <c r="A110">
        <f>IF($W110="","",IF(INDEX('Per Invoice'!A$2:A$801,$W110)="","",INDEX('Per Invoice'!A$2:A$801,$W110)))</f>
        <v/>
      </c>
      <c r="B110">
        <f>IF($W110="","",IF(INDEX('Per Invoice'!B$2:B$801,$W110)="","",INDEX('Per Invoice'!B$2:B$801,$W110)))</f>
        <v/>
      </c>
      <c r="C110">
        <f>IF($W110="","",IF(INDEX('Per Invoice'!C$2:C$801,$W110)="","",INDEX('Per Invoice'!C$2:C$801,$W110)))</f>
        <v/>
      </c>
      <c r="D110">
        <f>IF($W110="","",IF(INDEX('Per Invoice'!D$2:D$801,$W110)="","",INDEX('Per Invoice'!D$2:D$801,$W110)))</f>
        <v/>
      </c>
      <c r="E110">
        <f>IF($W110="","",IF(INDEX('Per Invoice'!E$2:E$801,$W110)="","",INDEX('Per Invoice'!E$2:E$801,$W110)))</f>
        <v/>
      </c>
      <c r="F110">
        <f>IF($W110="","",IF(INDEX('Per Invoice'!F$2:F$801,$W110)="","",INDEX('Per Invoice'!F$2:F$801,$W110)))</f>
        <v/>
      </c>
      <c r="G110">
        <f>IF($W110="","",IF(INDEX('Per Invoice'!G$2:G$801,$W110)="","",INDEX('Per Invoice'!G$2:G$801,$W110)))</f>
        <v/>
      </c>
      <c r="H110">
        <f>IF($W110="","",IF(INDEX('Per Invoice'!H$2:H$801,$W110)="","",INDEX('Per Invoice'!H$2:H$801,$W110)))</f>
        <v/>
      </c>
      <c r="I110">
        <f>IF($W110="","",IF(INDEX('Per Invoice'!I$2:I$801,$W110)="","",INDEX('Per Invoice'!I$2:I$801,$W110)))</f>
        <v/>
      </c>
      <c r="J110">
        <f>IF($W110="","",IF(INDEX('Per Invoice'!J$2:J$801,$W110)="","",INDEX('Per Invoice'!J$2:J$801,$W110)))</f>
        <v/>
      </c>
      <c r="K110" s="7">
        <f>IF($W110="","",IF(INDEX('Per Invoice'!K$2:K$801,$W110)="","",INDEX('Per Invoice'!K$2:K$801,$W110)))</f>
        <v/>
      </c>
      <c r="L110" s="14">
        <f>IF($W110="","",IF(INDEX('Per Invoice'!L$2:L$801,$W110)="","",INDEX('Per Invoice'!L$2:L$801,$W110)))</f>
        <v/>
      </c>
      <c r="M110">
        <f>IF($W110="","",IF(INDEX('Per Invoice'!M$2:M$801,$W110)="","",INDEX('Per Invoice'!M$2:M$801,$W110)))</f>
        <v/>
      </c>
      <c r="N110" s="7">
        <f>IF($W110="","",IF(INDEX('Per Invoice'!N$2:N$801,$W110)="","",INDEX('Per Invoice'!N$2:N$801,$W110)))</f>
        <v/>
      </c>
      <c r="O110" s="7">
        <f>IF($W110="","",IF(INDEX('Per Invoice'!O$2:O$801,$W110)="","",INDEX('Per Invoice'!O$2:O$801,$W110)))</f>
        <v/>
      </c>
      <c r="P110">
        <f>IF($W110="","",IF(INDEX('Per Invoice'!P$2:P$801,$W110)="","",INDEX('Per Invoice'!P$2:P$801,$W110)))</f>
        <v/>
      </c>
      <c r="Q110" s="7">
        <f>IF($W110="","",IF(INDEX('Per Invoice'!Q$2:Q$801,$W110)="","",INDEX('Per Invoice'!Q$2:Q$801,$W110)))</f>
        <v/>
      </c>
      <c r="R110" s="7">
        <f>IF($W110="","",IF(INDEX('Per Invoice'!R$2:R$801,$W110)="","",INDEX('Per Invoice'!R$2:R$801,$W110)))</f>
        <v/>
      </c>
      <c r="S110" s="7">
        <f>IF($W110="","",IF(INDEX('Per Invoice'!S$2:S$801,$W110)="","",INDEX('Per Invoice'!S$2:S$801,$W110)))</f>
        <v/>
      </c>
      <c r="T110" s="7">
        <f>IF($W110="","",IF(INDEX('Per Invoice'!T$2:T$801,$W110)="","",INDEX('Per Invoice'!T$2:T$801,$W110)))</f>
        <v/>
      </c>
      <c r="U110" s="7">
        <f>IF($W110="","",IF(INDEX('Per Invoice'!U$2:U$801,$W110)="","",INDEX('Per Invoice'!U$2:U$801,$W110)))</f>
        <v/>
      </c>
      <c r="V110" s="7">
        <f>IF($W110="","",IF(INDEX('Per Invoice'!V$2:V$801,$W110)="","",INDEX('Per Invoice'!V$2:V$801,$W110)))</f>
        <v/>
      </c>
      <c r="W110" s="16">
        <f>IFERROR(MATCH(Settings!$C$30&amp;"|"&amp;ROWS($W$2:$W110),'Per Invoice'!$X$2:$X$801,0),"")</f>
        <v/>
      </c>
    </row>
    <row r="111">
      <c r="A111">
        <f>IF($W111="","",IF(INDEX('Per Invoice'!A$2:A$801,$W111)="","",INDEX('Per Invoice'!A$2:A$801,$W111)))</f>
        <v/>
      </c>
      <c r="B111">
        <f>IF($W111="","",IF(INDEX('Per Invoice'!B$2:B$801,$W111)="","",INDEX('Per Invoice'!B$2:B$801,$W111)))</f>
        <v/>
      </c>
      <c r="C111">
        <f>IF($W111="","",IF(INDEX('Per Invoice'!C$2:C$801,$W111)="","",INDEX('Per Invoice'!C$2:C$801,$W111)))</f>
        <v/>
      </c>
      <c r="D111">
        <f>IF($W111="","",IF(INDEX('Per Invoice'!D$2:D$801,$W111)="","",INDEX('Per Invoice'!D$2:D$801,$W111)))</f>
        <v/>
      </c>
      <c r="E111">
        <f>IF($W111="","",IF(INDEX('Per Invoice'!E$2:E$801,$W111)="","",INDEX('Per Invoice'!E$2:E$801,$W111)))</f>
        <v/>
      </c>
      <c r="F111">
        <f>IF($W111="","",IF(INDEX('Per Invoice'!F$2:F$801,$W111)="","",INDEX('Per Invoice'!F$2:F$801,$W111)))</f>
        <v/>
      </c>
      <c r="G111">
        <f>IF($W111="","",IF(INDEX('Per Invoice'!G$2:G$801,$W111)="","",INDEX('Per Invoice'!G$2:G$801,$W111)))</f>
        <v/>
      </c>
      <c r="H111">
        <f>IF($W111="","",IF(INDEX('Per Invoice'!H$2:H$801,$W111)="","",INDEX('Per Invoice'!H$2:H$801,$W111)))</f>
        <v/>
      </c>
      <c r="I111">
        <f>IF($W111="","",IF(INDEX('Per Invoice'!I$2:I$801,$W111)="","",INDEX('Per Invoice'!I$2:I$801,$W111)))</f>
        <v/>
      </c>
      <c r="J111">
        <f>IF($W111="","",IF(INDEX('Per Invoice'!J$2:J$801,$W111)="","",INDEX('Per Invoice'!J$2:J$801,$W111)))</f>
        <v/>
      </c>
      <c r="K111" s="7">
        <f>IF($W111="","",IF(INDEX('Per Invoice'!K$2:K$801,$W111)="","",INDEX('Per Invoice'!K$2:K$801,$W111)))</f>
        <v/>
      </c>
      <c r="L111" s="14">
        <f>IF($W111="","",IF(INDEX('Per Invoice'!L$2:L$801,$W111)="","",INDEX('Per Invoice'!L$2:L$801,$W111)))</f>
        <v/>
      </c>
      <c r="M111">
        <f>IF($W111="","",IF(INDEX('Per Invoice'!M$2:M$801,$W111)="","",INDEX('Per Invoice'!M$2:M$801,$W111)))</f>
        <v/>
      </c>
      <c r="N111" s="7">
        <f>IF($W111="","",IF(INDEX('Per Invoice'!N$2:N$801,$W111)="","",INDEX('Per Invoice'!N$2:N$801,$W111)))</f>
        <v/>
      </c>
      <c r="O111" s="7">
        <f>IF($W111="","",IF(INDEX('Per Invoice'!O$2:O$801,$W111)="","",INDEX('Per Invoice'!O$2:O$801,$W111)))</f>
        <v/>
      </c>
      <c r="P111">
        <f>IF($W111="","",IF(INDEX('Per Invoice'!P$2:P$801,$W111)="","",INDEX('Per Invoice'!P$2:P$801,$W111)))</f>
        <v/>
      </c>
      <c r="Q111" s="7">
        <f>IF($W111="","",IF(INDEX('Per Invoice'!Q$2:Q$801,$W111)="","",INDEX('Per Invoice'!Q$2:Q$801,$W111)))</f>
        <v/>
      </c>
      <c r="R111" s="7">
        <f>IF($W111="","",IF(INDEX('Per Invoice'!R$2:R$801,$W111)="","",INDEX('Per Invoice'!R$2:R$801,$W111)))</f>
        <v/>
      </c>
      <c r="S111" s="7">
        <f>IF($W111="","",IF(INDEX('Per Invoice'!S$2:S$801,$W111)="","",INDEX('Per Invoice'!S$2:S$801,$W111)))</f>
        <v/>
      </c>
      <c r="T111" s="7">
        <f>IF($W111="","",IF(INDEX('Per Invoice'!T$2:T$801,$W111)="","",INDEX('Per Invoice'!T$2:T$801,$W111)))</f>
        <v/>
      </c>
      <c r="U111" s="7">
        <f>IF($W111="","",IF(INDEX('Per Invoice'!U$2:U$801,$W111)="","",INDEX('Per Invoice'!U$2:U$801,$W111)))</f>
        <v/>
      </c>
      <c r="V111" s="7">
        <f>IF($W111="","",IF(INDEX('Per Invoice'!V$2:V$801,$W111)="","",INDEX('Per Invoice'!V$2:V$801,$W111)))</f>
        <v/>
      </c>
      <c r="W111" s="16">
        <f>IFERROR(MATCH(Settings!$C$30&amp;"|"&amp;ROWS($W$2:$W111),'Per Invoice'!$X$2:$X$801,0),"")</f>
        <v/>
      </c>
    </row>
    <row r="112">
      <c r="A112">
        <f>IF($W112="","",IF(INDEX('Per Invoice'!A$2:A$801,$W112)="","",INDEX('Per Invoice'!A$2:A$801,$W112)))</f>
        <v/>
      </c>
      <c r="B112">
        <f>IF($W112="","",IF(INDEX('Per Invoice'!B$2:B$801,$W112)="","",INDEX('Per Invoice'!B$2:B$801,$W112)))</f>
        <v/>
      </c>
      <c r="C112">
        <f>IF($W112="","",IF(INDEX('Per Invoice'!C$2:C$801,$W112)="","",INDEX('Per Invoice'!C$2:C$801,$W112)))</f>
        <v/>
      </c>
      <c r="D112">
        <f>IF($W112="","",IF(INDEX('Per Invoice'!D$2:D$801,$W112)="","",INDEX('Per Invoice'!D$2:D$801,$W112)))</f>
        <v/>
      </c>
      <c r="E112">
        <f>IF($W112="","",IF(INDEX('Per Invoice'!E$2:E$801,$W112)="","",INDEX('Per Invoice'!E$2:E$801,$W112)))</f>
        <v/>
      </c>
      <c r="F112">
        <f>IF($W112="","",IF(INDEX('Per Invoice'!F$2:F$801,$W112)="","",INDEX('Per Invoice'!F$2:F$801,$W112)))</f>
        <v/>
      </c>
      <c r="G112">
        <f>IF($W112="","",IF(INDEX('Per Invoice'!G$2:G$801,$W112)="","",INDEX('Per Invoice'!G$2:G$801,$W112)))</f>
        <v/>
      </c>
      <c r="H112">
        <f>IF($W112="","",IF(INDEX('Per Invoice'!H$2:H$801,$W112)="","",INDEX('Per Invoice'!H$2:H$801,$W112)))</f>
        <v/>
      </c>
      <c r="I112">
        <f>IF($W112="","",IF(INDEX('Per Invoice'!I$2:I$801,$W112)="","",INDEX('Per Invoice'!I$2:I$801,$W112)))</f>
        <v/>
      </c>
      <c r="J112">
        <f>IF($W112="","",IF(INDEX('Per Invoice'!J$2:J$801,$W112)="","",INDEX('Per Invoice'!J$2:J$801,$W112)))</f>
        <v/>
      </c>
      <c r="K112" s="7">
        <f>IF($W112="","",IF(INDEX('Per Invoice'!K$2:K$801,$W112)="","",INDEX('Per Invoice'!K$2:K$801,$W112)))</f>
        <v/>
      </c>
      <c r="L112" s="14">
        <f>IF($W112="","",IF(INDEX('Per Invoice'!L$2:L$801,$W112)="","",INDEX('Per Invoice'!L$2:L$801,$W112)))</f>
        <v/>
      </c>
      <c r="M112">
        <f>IF($W112="","",IF(INDEX('Per Invoice'!M$2:M$801,$W112)="","",INDEX('Per Invoice'!M$2:M$801,$W112)))</f>
        <v/>
      </c>
      <c r="N112" s="7">
        <f>IF($W112="","",IF(INDEX('Per Invoice'!N$2:N$801,$W112)="","",INDEX('Per Invoice'!N$2:N$801,$W112)))</f>
        <v/>
      </c>
      <c r="O112" s="7">
        <f>IF($W112="","",IF(INDEX('Per Invoice'!O$2:O$801,$W112)="","",INDEX('Per Invoice'!O$2:O$801,$W112)))</f>
        <v/>
      </c>
      <c r="P112">
        <f>IF($W112="","",IF(INDEX('Per Invoice'!P$2:P$801,$W112)="","",INDEX('Per Invoice'!P$2:P$801,$W112)))</f>
        <v/>
      </c>
      <c r="Q112" s="7">
        <f>IF($W112="","",IF(INDEX('Per Invoice'!Q$2:Q$801,$W112)="","",INDEX('Per Invoice'!Q$2:Q$801,$W112)))</f>
        <v/>
      </c>
      <c r="R112" s="7">
        <f>IF($W112="","",IF(INDEX('Per Invoice'!R$2:R$801,$W112)="","",INDEX('Per Invoice'!R$2:R$801,$W112)))</f>
        <v/>
      </c>
      <c r="S112" s="7">
        <f>IF($W112="","",IF(INDEX('Per Invoice'!S$2:S$801,$W112)="","",INDEX('Per Invoice'!S$2:S$801,$W112)))</f>
        <v/>
      </c>
      <c r="T112" s="7">
        <f>IF($W112="","",IF(INDEX('Per Invoice'!T$2:T$801,$W112)="","",INDEX('Per Invoice'!T$2:T$801,$W112)))</f>
        <v/>
      </c>
      <c r="U112" s="7">
        <f>IF($W112="","",IF(INDEX('Per Invoice'!U$2:U$801,$W112)="","",INDEX('Per Invoice'!U$2:U$801,$W112)))</f>
        <v/>
      </c>
      <c r="V112" s="7">
        <f>IF($W112="","",IF(INDEX('Per Invoice'!V$2:V$801,$W112)="","",INDEX('Per Invoice'!V$2:V$801,$W112)))</f>
        <v/>
      </c>
      <c r="W112" s="16">
        <f>IFERROR(MATCH(Settings!$C$30&amp;"|"&amp;ROWS($W$2:$W112),'Per Invoice'!$X$2:$X$801,0),"")</f>
        <v/>
      </c>
    </row>
    <row r="113">
      <c r="A113">
        <f>IF($W113="","",IF(INDEX('Per Invoice'!A$2:A$801,$W113)="","",INDEX('Per Invoice'!A$2:A$801,$W113)))</f>
        <v/>
      </c>
      <c r="B113">
        <f>IF($W113="","",IF(INDEX('Per Invoice'!B$2:B$801,$W113)="","",INDEX('Per Invoice'!B$2:B$801,$W113)))</f>
        <v/>
      </c>
      <c r="C113">
        <f>IF($W113="","",IF(INDEX('Per Invoice'!C$2:C$801,$W113)="","",INDEX('Per Invoice'!C$2:C$801,$W113)))</f>
        <v/>
      </c>
      <c r="D113">
        <f>IF($W113="","",IF(INDEX('Per Invoice'!D$2:D$801,$W113)="","",INDEX('Per Invoice'!D$2:D$801,$W113)))</f>
        <v/>
      </c>
      <c r="E113">
        <f>IF($W113="","",IF(INDEX('Per Invoice'!E$2:E$801,$W113)="","",INDEX('Per Invoice'!E$2:E$801,$W113)))</f>
        <v/>
      </c>
      <c r="F113">
        <f>IF($W113="","",IF(INDEX('Per Invoice'!F$2:F$801,$W113)="","",INDEX('Per Invoice'!F$2:F$801,$W113)))</f>
        <v/>
      </c>
      <c r="G113">
        <f>IF($W113="","",IF(INDEX('Per Invoice'!G$2:G$801,$W113)="","",INDEX('Per Invoice'!G$2:G$801,$W113)))</f>
        <v/>
      </c>
      <c r="H113">
        <f>IF($W113="","",IF(INDEX('Per Invoice'!H$2:H$801,$W113)="","",INDEX('Per Invoice'!H$2:H$801,$W113)))</f>
        <v/>
      </c>
      <c r="I113">
        <f>IF($W113="","",IF(INDEX('Per Invoice'!I$2:I$801,$W113)="","",INDEX('Per Invoice'!I$2:I$801,$W113)))</f>
        <v/>
      </c>
      <c r="J113">
        <f>IF($W113="","",IF(INDEX('Per Invoice'!J$2:J$801,$W113)="","",INDEX('Per Invoice'!J$2:J$801,$W113)))</f>
        <v/>
      </c>
      <c r="K113" s="7">
        <f>IF($W113="","",IF(INDEX('Per Invoice'!K$2:K$801,$W113)="","",INDEX('Per Invoice'!K$2:K$801,$W113)))</f>
        <v/>
      </c>
      <c r="L113" s="14">
        <f>IF($W113="","",IF(INDEX('Per Invoice'!L$2:L$801,$W113)="","",INDEX('Per Invoice'!L$2:L$801,$W113)))</f>
        <v/>
      </c>
      <c r="M113">
        <f>IF($W113="","",IF(INDEX('Per Invoice'!M$2:M$801,$W113)="","",INDEX('Per Invoice'!M$2:M$801,$W113)))</f>
        <v/>
      </c>
      <c r="N113" s="7">
        <f>IF($W113="","",IF(INDEX('Per Invoice'!N$2:N$801,$W113)="","",INDEX('Per Invoice'!N$2:N$801,$W113)))</f>
        <v/>
      </c>
      <c r="O113" s="7">
        <f>IF($W113="","",IF(INDEX('Per Invoice'!O$2:O$801,$W113)="","",INDEX('Per Invoice'!O$2:O$801,$W113)))</f>
        <v/>
      </c>
      <c r="P113">
        <f>IF($W113="","",IF(INDEX('Per Invoice'!P$2:P$801,$W113)="","",INDEX('Per Invoice'!P$2:P$801,$W113)))</f>
        <v/>
      </c>
      <c r="Q113" s="7">
        <f>IF($W113="","",IF(INDEX('Per Invoice'!Q$2:Q$801,$W113)="","",INDEX('Per Invoice'!Q$2:Q$801,$W113)))</f>
        <v/>
      </c>
      <c r="R113" s="7">
        <f>IF($W113="","",IF(INDEX('Per Invoice'!R$2:R$801,$W113)="","",INDEX('Per Invoice'!R$2:R$801,$W113)))</f>
        <v/>
      </c>
      <c r="S113" s="7">
        <f>IF($W113="","",IF(INDEX('Per Invoice'!S$2:S$801,$W113)="","",INDEX('Per Invoice'!S$2:S$801,$W113)))</f>
        <v/>
      </c>
      <c r="T113" s="7">
        <f>IF($W113="","",IF(INDEX('Per Invoice'!T$2:T$801,$W113)="","",INDEX('Per Invoice'!T$2:T$801,$W113)))</f>
        <v/>
      </c>
      <c r="U113" s="7">
        <f>IF($W113="","",IF(INDEX('Per Invoice'!U$2:U$801,$W113)="","",INDEX('Per Invoice'!U$2:U$801,$W113)))</f>
        <v/>
      </c>
      <c r="V113" s="7">
        <f>IF($W113="","",IF(INDEX('Per Invoice'!V$2:V$801,$W113)="","",INDEX('Per Invoice'!V$2:V$801,$W113)))</f>
        <v/>
      </c>
      <c r="W113" s="16">
        <f>IFERROR(MATCH(Settings!$C$30&amp;"|"&amp;ROWS($W$2:$W113),'Per Invoice'!$X$2:$X$801,0),"")</f>
        <v/>
      </c>
    </row>
    <row r="114">
      <c r="A114">
        <f>IF($W114="","",IF(INDEX('Per Invoice'!A$2:A$801,$W114)="","",INDEX('Per Invoice'!A$2:A$801,$W114)))</f>
        <v/>
      </c>
      <c r="B114">
        <f>IF($W114="","",IF(INDEX('Per Invoice'!B$2:B$801,$W114)="","",INDEX('Per Invoice'!B$2:B$801,$W114)))</f>
        <v/>
      </c>
      <c r="C114">
        <f>IF($W114="","",IF(INDEX('Per Invoice'!C$2:C$801,$W114)="","",INDEX('Per Invoice'!C$2:C$801,$W114)))</f>
        <v/>
      </c>
      <c r="D114">
        <f>IF($W114="","",IF(INDEX('Per Invoice'!D$2:D$801,$W114)="","",INDEX('Per Invoice'!D$2:D$801,$W114)))</f>
        <v/>
      </c>
      <c r="E114">
        <f>IF($W114="","",IF(INDEX('Per Invoice'!E$2:E$801,$W114)="","",INDEX('Per Invoice'!E$2:E$801,$W114)))</f>
        <v/>
      </c>
      <c r="F114">
        <f>IF($W114="","",IF(INDEX('Per Invoice'!F$2:F$801,$W114)="","",INDEX('Per Invoice'!F$2:F$801,$W114)))</f>
        <v/>
      </c>
      <c r="G114">
        <f>IF($W114="","",IF(INDEX('Per Invoice'!G$2:G$801,$W114)="","",INDEX('Per Invoice'!G$2:G$801,$W114)))</f>
        <v/>
      </c>
      <c r="H114">
        <f>IF($W114="","",IF(INDEX('Per Invoice'!H$2:H$801,$W114)="","",INDEX('Per Invoice'!H$2:H$801,$W114)))</f>
        <v/>
      </c>
      <c r="I114">
        <f>IF($W114="","",IF(INDEX('Per Invoice'!I$2:I$801,$W114)="","",INDEX('Per Invoice'!I$2:I$801,$W114)))</f>
        <v/>
      </c>
      <c r="J114">
        <f>IF($W114="","",IF(INDEX('Per Invoice'!J$2:J$801,$W114)="","",INDEX('Per Invoice'!J$2:J$801,$W114)))</f>
        <v/>
      </c>
      <c r="K114" s="7">
        <f>IF($W114="","",IF(INDEX('Per Invoice'!K$2:K$801,$W114)="","",INDEX('Per Invoice'!K$2:K$801,$W114)))</f>
        <v/>
      </c>
      <c r="L114" s="14">
        <f>IF($W114="","",IF(INDEX('Per Invoice'!L$2:L$801,$W114)="","",INDEX('Per Invoice'!L$2:L$801,$W114)))</f>
        <v/>
      </c>
      <c r="M114">
        <f>IF($W114="","",IF(INDEX('Per Invoice'!M$2:M$801,$W114)="","",INDEX('Per Invoice'!M$2:M$801,$W114)))</f>
        <v/>
      </c>
      <c r="N114" s="7">
        <f>IF($W114="","",IF(INDEX('Per Invoice'!N$2:N$801,$W114)="","",INDEX('Per Invoice'!N$2:N$801,$W114)))</f>
        <v/>
      </c>
      <c r="O114" s="7">
        <f>IF($W114="","",IF(INDEX('Per Invoice'!O$2:O$801,$W114)="","",INDEX('Per Invoice'!O$2:O$801,$W114)))</f>
        <v/>
      </c>
      <c r="P114">
        <f>IF($W114="","",IF(INDEX('Per Invoice'!P$2:P$801,$W114)="","",INDEX('Per Invoice'!P$2:P$801,$W114)))</f>
        <v/>
      </c>
      <c r="Q114" s="7">
        <f>IF($W114="","",IF(INDEX('Per Invoice'!Q$2:Q$801,$W114)="","",INDEX('Per Invoice'!Q$2:Q$801,$W114)))</f>
        <v/>
      </c>
      <c r="R114" s="7">
        <f>IF($W114="","",IF(INDEX('Per Invoice'!R$2:R$801,$W114)="","",INDEX('Per Invoice'!R$2:R$801,$W114)))</f>
        <v/>
      </c>
      <c r="S114" s="7">
        <f>IF($W114="","",IF(INDEX('Per Invoice'!S$2:S$801,$W114)="","",INDEX('Per Invoice'!S$2:S$801,$W114)))</f>
        <v/>
      </c>
      <c r="T114" s="7">
        <f>IF($W114="","",IF(INDEX('Per Invoice'!T$2:T$801,$W114)="","",INDEX('Per Invoice'!T$2:T$801,$W114)))</f>
        <v/>
      </c>
      <c r="U114" s="7">
        <f>IF($W114="","",IF(INDEX('Per Invoice'!U$2:U$801,$W114)="","",INDEX('Per Invoice'!U$2:U$801,$W114)))</f>
        <v/>
      </c>
      <c r="V114" s="7">
        <f>IF($W114="","",IF(INDEX('Per Invoice'!V$2:V$801,$W114)="","",INDEX('Per Invoice'!V$2:V$801,$W114)))</f>
        <v/>
      </c>
      <c r="W114" s="16">
        <f>IFERROR(MATCH(Settings!$C$30&amp;"|"&amp;ROWS($W$2:$W114),'Per Invoice'!$X$2:$X$801,0),"")</f>
        <v/>
      </c>
    </row>
    <row r="115">
      <c r="A115">
        <f>IF($W115="","",IF(INDEX('Per Invoice'!A$2:A$801,$W115)="","",INDEX('Per Invoice'!A$2:A$801,$W115)))</f>
        <v/>
      </c>
      <c r="B115">
        <f>IF($W115="","",IF(INDEX('Per Invoice'!B$2:B$801,$W115)="","",INDEX('Per Invoice'!B$2:B$801,$W115)))</f>
        <v/>
      </c>
      <c r="C115">
        <f>IF($W115="","",IF(INDEX('Per Invoice'!C$2:C$801,$W115)="","",INDEX('Per Invoice'!C$2:C$801,$W115)))</f>
        <v/>
      </c>
      <c r="D115">
        <f>IF($W115="","",IF(INDEX('Per Invoice'!D$2:D$801,$W115)="","",INDEX('Per Invoice'!D$2:D$801,$W115)))</f>
        <v/>
      </c>
      <c r="E115">
        <f>IF($W115="","",IF(INDEX('Per Invoice'!E$2:E$801,$W115)="","",INDEX('Per Invoice'!E$2:E$801,$W115)))</f>
        <v/>
      </c>
      <c r="F115">
        <f>IF($W115="","",IF(INDEX('Per Invoice'!F$2:F$801,$W115)="","",INDEX('Per Invoice'!F$2:F$801,$W115)))</f>
        <v/>
      </c>
      <c r="G115">
        <f>IF($W115="","",IF(INDEX('Per Invoice'!G$2:G$801,$W115)="","",INDEX('Per Invoice'!G$2:G$801,$W115)))</f>
        <v/>
      </c>
      <c r="H115">
        <f>IF($W115="","",IF(INDEX('Per Invoice'!H$2:H$801,$W115)="","",INDEX('Per Invoice'!H$2:H$801,$W115)))</f>
        <v/>
      </c>
      <c r="I115">
        <f>IF($W115="","",IF(INDEX('Per Invoice'!I$2:I$801,$W115)="","",INDEX('Per Invoice'!I$2:I$801,$W115)))</f>
        <v/>
      </c>
      <c r="J115">
        <f>IF($W115="","",IF(INDEX('Per Invoice'!J$2:J$801,$W115)="","",INDEX('Per Invoice'!J$2:J$801,$W115)))</f>
        <v/>
      </c>
      <c r="K115" s="7">
        <f>IF($W115="","",IF(INDEX('Per Invoice'!K$2:K$801,$W115)="","",INDEX('Per Invoice'!K$2:K$801,$W115)))</f>
        <v/>
      </c>
      <c r="L115" s="14">
        <f>IF($W115="","",IF(INDEX('Per Invoice'!L$2:L$801,$W115)="","",INDEX('Per Invoice'!L$2:L$801,$W115)))</f>
        <v/>
      </c>
      <c r="M115">
        <f>IF($W115="","",IF(INDEX('Per Invoice'!M$2:M$801,$W115)="","",INDEX('Per Invoice'!M$2:M$801,$W115)))</f>
        <v/>
      </c>
      <c r="N115" s="7">
        <f>IF($W115="","",IF(INDEX('Per Invoice'!N$2:N$801,$W115)="","",INDEX('Per Invoice'!N$2:N$801,$W115)))</f>
        <v/>
      </c>
      <c r="O115" s="7">
        <f>IF($W115="","",IF(INDEX('Per Invoice'!O$2:O$801,$W115)="","",INDEX('Per Invoice'!O$2:O$801,$W115)))</f>
        <v/>
      </c>
      <c r="P115">
        <f>IF($W115="","",IF(INDEX('Per Invoice'!P$2:P$801,$W115)="","",INDEX('Per Invoice'!P$2:P$801,$W115)))</f>
        <v/>
      </c>
      <c r="Q115" s="7">
        <f>IF($W115="","",IF(INDEX('Per Invoice'!Q$2:Q$801,$W115)="","",INDEX('Per Invoice'!Q$2:Q$801,$W115)))</f>
        <v/>
      </c>
      <c r="R115" s="7">
        <f>IF($W115="","",IF(INDEX('Per Invoice'!R$2:R$801,$W115)="","",INDEX('Per Invoice'!R$2:R$801,$W115)))</f>
        <v/>
      </c>
      <c r="S115" s="7">
        <f>IF($W115="","",IF(INDEX('Per Invoice'!S$2:S$801,$W115)="","",INDEX('Per Invoice'!S$2:S$801,$W115)))</f>
        <v/>
      </c>
      <c r="T115" s="7">
        <f>IF($W115="","",IF(INDEX('Per Invoice'!T$2:T$801,$W115)="","",INDEX('Per Invoice'!T$2:T$801,$W115)))</f>
        <v/>
      </c>
      <c r="U115" s="7">
        <f>IF($W115="","",IF(INDEX('Per Invoice'!U$2:U$801,$W115)="","",INDEX('Per Invoice'!U$2:U$801,$W115)))</f>
        <v/>
      </c>
      <c r="V115" s="7">
        <f>IF($W115="","",IF(INDEX('Per Invoice'!V$2:V$801,$W115)="","",INDEX('Per Invoice'!V$2:V$801,$W115)))</f>
        <v/>
      </c>
      <c r="W115" s="16">
        <f>IFERROR(MATCH(Settings!$C$30&amp;"|"&amp;ROWS($W$2:$W115),'Per Invoice'!$X$2:$X$801,0),"")</f>
        <v/>
      </c>
    </row>
    <row r="116">
      <c r="A116">
        <f>IF($W116="","",IF(INDEX('Per Invoice'!A$2:A$801,$W116)="","",INDEX('Per Invoice'!A$2:A$801,$W116)))</f>
        <v/>
      </c>
      <c r="B116">
        <f>IF($W116="","",IF(INDEX('Per Invoice'!B$2:B$801,$W116)="","",INDEX('Per Invoice'!B$2:B$801,$W116)))</f>
        <v/>
      </c>
      <c r="C116">
        <f>IF($W116="","",IF(INDEX('Per Invoice'!C$2:C$801,$W116)="","",INDEX('Per Invoice'!C$2:C$801,$W116)))</f>
        <v/>
      </c>
      <c r="D116">
        <f>IF($W116="","",IF(INDEX('Per Invoice'!D$2:D$801,$W116)="","",INDEX('Per Invoice'!D$2:D$801,$W116)))</f>
        <v/>
      </c>
      <c r="E116">
        <f>IF($W116="","",IF(INDEX('Per Invoice'!E$2:E$801,$W116)="","",INDEX('Per Invoice'!E$2:E$801,$W116)))</f>
        <v/>
      </c>
      <c r="F116">
        <f>IF($W116="","",IF(INDEX('Per Invoice'!F$2:F$801,$W116)="","",INDEX('Per Invoice'!F$2:F$801,$W116)))</f>
        <v/>
      </c>
      <c r="G116">
        <f>IF($W116="","",IF(INDEX('Per Invoice'!G$2:G$801,$W116)="","",INDEX('Per Invoice'!G$2:G$801,$W116)))</f>
        <v/>
      </c>
      <c r="H116">
        <f>IF($W116="","",IF(INDEX('Per Invoice'!H$2:H$801,$W116)="","",INDEX('Per Invoice'!H$2:H$801,$W116)))</f>
        <v/>
      </c>
      <c r="I116">
        <f>IF($W116="","",IF(INDEX('Per Invoice'!I$2:I$801,$W116)="","",INDEX('Per Invoice'!I$2:I$801,$W116)))</f>
        <v/>
      </c>
      <c r="J116">
        <f>IF($W116="","",IF(INDEX('Per Invoice'!J$2:J$801,$W116)="","",INDEX('Per Invoice'!J$2:J$801,$W116)))</f>
        <v/>
      </c>
      <c r="K116" s="7">
        <f>IF($W116="","",IF(INDEX('Per Invoice'!K$2:K$801,$W116)="","",INDEX('Per Invoice'!K$2:K$801,$W116)))</f>
        <v/>
      </c>
      <c r="L116" s="14">
        <f>IF($W116="","",IF(INDEX('Per Invoice'!L$2:L$801,$W116)="","",INDEX('Per Invoice'!L$2:L$801,$W116)))</f>
        <v/>
      </c>
      <c r="M116">
        <f>IF($W116="","",IF(INDEX('Per Invoice'!M$2:M$801,$W116)="","",INDEX('Per Invoice'!M$2:M$801,$W116)))</f>
        <v/>
      </c>
      <c r="N116" s="7">
        <f>IF($W116="","",IF(INDEX('Per Invoice'!N$2:N$801,$W116)="","",INDEX('Per Invoice'!N$2:N$801,$W116)))</f>
        <v/>
      </c>
      <c r="O116" s="7">
        <f>IF($W116="","",IF(INDEX('Per Invoice'!O$2:O$801,$W116)="","",INDEX('Per Invoice'!O$2:O$801,$W116)))</f>
        <v/>
      </c>
      <c r="P116">
        <f>IF($W116="","",IF(INDEX('Per Invoice'!P$2:P$801,$W116)="","",INDEX('Per Invoice'!P$2:P$801,$W116)))</f>
        <v/>
      </c>
      <c r="Q116" s="7">
        <f>IF($W116="","",IF(INDEX('Per Invoice'!Q$2:Q$801,$W116)="","",INDEX('Per Invoice'!Q$2:Q$801,$W116)))</f>
        <v/>
      </c>
      <c r="R116" s="7">
        <f>IF($W116="","",IF(INDEX('Per Invoice'!R$2:R$801,$W116)="","",INDEX('Per Invoice'!R$2:R$801,$W116)))</f>
        <v/>
      </c>
      <c r="S116" s="7">
        <f>IF($W116="","",IF(INDEX('Per Invoice'!S$2:S$801,$W116)="","",INDEX('Per Invoice'!S$2:S$801,$W116)))</f>
        <v/>
      </c>
      <c r="T116" s="7">
        <f>IF($W116="","",IF(INDEX('Per Invoice'!T$2:T$801,$W116)="","",INDEX('Per Invoice'!T$2:T$801,$W116)))</f>
        <v/>
      </c>
      <c r="U116" s="7">
        <f>IF($W116="","",IF(INDEX('Per Invoice'!U$2:U$801,$W116)="","",INDEX('Per Invoice'!U$2:U$801,$W116)))</f>
        <v/>
      </c>
      <c r="V116" s="7">
        <f>IF($W116="","",IF(INDEX('Per Invoice'!V$2:V$801,$W116)="","",INDEX('Per Invoice'!V$2:V$801,$W116)))</f>
        <v/>
      </c>
      <c r="W116" s="16">
        <f>IFERROR(MATCH(Settings!$C$30&amp;"|"&amp;ROWS($W$2:$W116),'Per Invoice'!$X$2:$X$801,0),"")</f>
        <v/>
      </c>
    </row>
    <row r="117">
      <c r="A117">
        <f>IF($W117="","",IF(INDEX('Per Invoice'!A$2:A$801,$W117)="","",INDEX('Per Invoice'!A$2:A$801,$W117)))</f>
        <v/>
      </c>
      <c r="B117">
        <f>IF($W117="","",IF(INDEX('Per Invoice'!B$2:B$801,$W117)="","",INDEX('Per Invoice'!B$2:B$801,$W117)))</f>
        <v/>
      </c>
      <c r="C117">
        <f>IF($W117="","",IF(INDEX('Per Invoice'!C$2:C$801,$W117)="","",INDEX('Per Invoice'!C$2:C$801,$W117)))</f>
        <v/>
      </c>
      <c r="D117">
        <f>IF($W117="","",IF(INDEX('Per Invoice'!D$2:D$801,$W117)="","",INDEX('Per Invoice'!D$2:D$801,$W117)))</f>
        <v/>
      </c>
      <c r="E117">
        <f>IF($W117="","",IF(INDEX('Per Invoice'!E$2:E$801,$W117)="","",INDEX('Per Invoice'!E$2:E$801,$W117)))</f>
        <v/>
      </c>
      <c r="F117">
        <f>IF($W117="","",IF(INDEX('Per Invoice'!F$2:F$801,$W117)="","",INDEX('Per Invoice'!F$2:F$801,$W117)))</f>
        <v/>
      </c>
      <c r="G117">
        <f>IF($W117="","",IF(INDEX('Per Invoice'!G$2:G$801,$W117)="","",INDEX('Per Invoice'!G$2:G$801,$W117)))</f>
        <v/>
      </c>
      <c r="H117">
        <f>IF($W117="","",IF(INDEX('Per Invoice'!H$2:H$801,$W117)="","",INDEX('Per Invoice'!H$2:H$801,$W117)))</f>
        <v/>
      </c>
      <c r="I117">
        <f>IF($W117="","",IF(INDEX('Per Invoice'!I$2:I$801,$W117)="","",INDEX('Per Invoice'!I$2:I$801,$W117)))</f>
        <v/>
      </c>
      <c r="J117">
        <f>IF($W117="","",IF(INDEX('Per Invoice'!J$2:J$801,$W117)="","",INDEX('Per Invoice'!J$2:J$801,$W117)))</f>
        <v/>
      </c>
      <c r="K117" s="7">
        <f>IF($W117="","",IF(INDEX('Per Invoice'!K$2:K$801,$W117)="","",INDEX('Per Invoice'!K$2:K$801,$W117)))</f>
        <v/>
      </c>
      <c r="L117" s="14">
        <f>IF($W117="","",IF(INDEX('Per Invoice'!L$2:L$801,$W117)="","",INDEX('Per Invoice'!L$2:L$801,$W117)))</f>
        <v/>
      </c>
      <c r="M117">
        <f>IF($W117="","",IF(INDEX('Per Invoice'!M$2:M$801,$W117)="","",INDEX('Per Invoice'!M$2:M$801,$W117)))</f>
        <v/>
      </c>
      <c r="N117" s="7">
        <f>IF($W117="","",IF(INDEX('Per Invoice'!N$2:N$801,$W117)="","",INDEX('Per Invoice'!N$2:N$801,$W117)))</f>
        <v/>
      </c>
      <c r="O117" s="7">
        <f>IF($W117="","",IF(INDEX('Per Invoice'!O$2:O$801,$W117)="","",INDEX('Per Invoice'!O$2:O$801,$W117)))</f>
        <v/>
      </c>
      <c r="P117">
        <f>IF($W117="","",IF(INDEX('Per Invoice'!P$2:P$801,$W117)="","",INDEX('Per Invoice'!P$2:P$801,$W117)))</f>
        <v/>
      </c>
      <c r="Q117" s="7">
        <f>IF($W117="","",IF(INDEX('Per Invoice'!Q$2:Q$801,$W117)="","",INDEX('Per Invoice'!Q$2:Q$801,$W117)))</f>
        <v/>
      </c>
      <c r="R117" s="7">
        <f>IF($W117="","",IF(INDEX('Per Invoice'!R$2:R$801,$W117)="","",INDEX('Per Invoice'!R$2:R$801,$W117)))</f>
        <v/>
      </c>
      <c r="S117" s="7">
        <f>IF($W117="","",IF(INDEX('Per Invoice'!S$2:S$801,$W117)="","",INDEX('Per Invoice'!S$2:S$801,$W117)))</f>
        <v/>
      </c>
      <c r="T117" s="7">
        <f>IF($W117="","",IF(INDEX('Per Invoice'!T$2:T$801,$W117)="","",INDEX('Per Invoice'!T$2:T$801,$W117)))</f>
        <v/>
      </c>
      <c r="U117" s="7">
        <f>IF($W117="","",IF(INDEX('Per Invoice'!U$2:U$801,$W117)="","",INDEX('Per Invoice'!U$2:U$801,$W117)))</f>
        <v/>
      </c>
      <c r="V117" s="7">
        <f>IF($W117="","",IF(INDEX('Per Invoice'!V$2:V$801,$W117)="","",INDEX('Per Invoice'!V$2:V$801,$W117)))</f>
        <v/>
      </c>
      <c r="W117" s="16">
        <f>IFERROR(MATCH(Settings!$C$30&amp;"|"&amp;ROWS($W$2:$W117),'Per Invoice'!$X$2:$X$801,0),"")</f>
        <v/>
      </c>
    </row>
    <row r="118">
      <c r="A118">
        <f>IF($W118="","",IF(INDEX('Per Invoice'!A$2:A$801,$W118)="","",INDEX('Per Invoice'!A$2:A$801,$W118)))</f>
        <v/>
      </c>
      <c r="B118">
        <f>IF($W118="","",IF(INDEX('Per Invoice'!B$2:B$801,$W118)="","",INDEX('Per Invoice'!B$2:B$801,$W118)))</f>
        <v/>
      </c>
      <c r="C118">
        <f>IF($W118="","",IF(INDEX('Per Invoice'!C$2:C$801,$W118)="","",INDEX('Per Invoice'!C$2:C$801,$W118)))</f>
        <v/>
      </c>
      <c r="D118">
        <f>IF($W118="","",IF(INDEX('Per Invoice'!D$2:D$801,$W118)="","",INDEX('Per Invoice'!D$2:D$801,$W118)))</f>
        <v/>
      </c>
      <c r="E118">
        <f>IF($W118="","",IF(INDEX('Per Invoice'!E$2:E$801,$W118)="","",INDEX('Per Invoice'!E$2:E$801,$W118)))</f>
        <v/>
      </c>
      <c r="F118">
        <f>IF($W118="","",IF(INDEX('Per Invoice'!F$2:F$801,$W118)="","",INDEX('Per Invoice'!F$2:F$801,$W118)))</f>
        <v/>
      </c>
      <c r="G118">
        <f>IF($W118="","",IF(INDEX('Per Invoice'!G$2:G$801,$W118)="","",INDEX('Per Invoice'!G$2:G$801,$W118)))</f>
        <v/>
      </c>
      <c r="H118">
        <f>IF($W118="","",IF(INDEX('Per Invoice'!H$2:H$801,$W118)="","",INDEX('Per Invoice'!H$2:H$801,$W118)))</f>
        <v/>
      </c>
      <c r="I118">
        <f>IF($W118="","",IF(INDEX('Per Invoice'!I$2:I$801,$W118)="","",INDEX('Per Invoice'!I$2:I$801,$W118)))</f>
        <v/>
      </c>
      <c r="J118">
        <f>IF($W118="","",IF(INDEX('Per Invoice'!J$2:J$801,$W118)="","",INDEX('Per Invoice'!J$2:J$801,$W118)))</f>
        <v/>
      </c>
      <c r="K118" s="7">
        <f>IF($W118="","",IF(INDEX('Per Invoice'!K$2:K$801,$W118)="","",INDEX('Per Invoice'!K$2:K$801,$W118)))</f>
        <v/>
      </c>
      <c r="L118" s="14">
        <f>IF($W118="","",IF(INDEX('Per Invoice'!L$2:L$801,$W118)="","",INDEX('Per Invoice'!L$2:L$801,$W118)))</f>
        <v/>
      </c>
      <c r="M118">
        <f>IF($W118="","",IF(INDEX('Per Invoice'!M$2:M$801,$W118)="","",INDEX('Per Invoice'!M$2:M$801,$W118)))</f>
        <v/>
      </c>
      <c r="N118" s="7">
        <f>IF($W118="","",IF(INDEX('Per Invoice'!N$2:N$801,$W118)="","",INDEX('Per Invoice'!N$2:N$801,$W118)))</f>
        <v/>
      </c>
      <c r="O118" s="7">
        <f>IF($W118="","",IF(INDEX('Per Invoice'!O$2:O$801,$W118)="","",INDEX('Per Invoice'!O$2:O$801,$W118)))</f>
        <v/>
      </c>
      <c r="P118">
        <f>IF($W118="","",IF(INDEX('Per Invoice'!P$2:P$801,$W118)="","",INDEX('Per Invoice'!P$2:P$801,$W118)))</f>
        <v/>
      </c>
      <c r="Q118" s="7">
        <f>IF($W118="","",IF(INDEX('Per Invoice'!Q$2:Q$801,$W118)="","",INDEX('Per Invoice'!Q$2:Q$801,$W118)))</f>
        <v/>
      </c>
      <c r="R118" s="7">
        <f>IF($W118="","",IF(INDEX('Per Invoice'!R$2:R$801,$W118)="","",INDEX('Per Invoice'!R$2:R$801,$W118)))</f>
        <v/>
      </c>
      <c r="S118" s="7">
        <f>IF($W118="","",IF(INDEX('Per Invoice'!S$2:S$801,$W118)="","",INDEX('Per Invoice'!S$2:S$801,$W118)))</f>
        <v/>
      </c>
      <c r="T118" s="7">
        <f>IF($W118="","",IF(INDEX('Per Invoice'!T$2:T$801,$W118)="","",INDEX('Per Invoice'!T$2:T$801,$W118)))</f>
        <v/>
      </c>
      <c r="U118" s="7">
        <f>IF($W118="","",IF(INDEX('Per Invoice'!U$2:U$801,$W118)="","",INDEX('Per Invoice'!U$2:U$801,$W118)))</f>
        <v/>
      </c>
      <c r="V118" s="7">
        <f>IF($W118="","",IF(INDEX('Per Invoice'!V$2:V$801,$W118)="","",INDEX('Per Invoice'!V$2:V$801,$W118)))</f>
        <v/>
      </c>
      <c r="W118" s="16">
        <f>IFERROR(MATCH(Settings!$C$30&amp;"|"&amp;ROWS($W$2:$W118),'Per Invoice'!$X$2:$X$801,0),"")</f>
        <v/>
      </c>
    </row>
    <row r="119">
      <c r="A119">
        <f>IF($W119="","",IF(INDEX('Per Invoice'!A$2:A$801,$W119)="","",INDEX('Per Invoice'!A$2:A$801,$W119)))</f>
        <v/>
      </c>
      <c r="B119">
        <f>IF($W119="","",IF(INDEX('Per Invoice'!B$2:B$801,$W119)="","",INDEX('Per Invoice'!B$2:B$801,$W119)))</f>
        <v/>
      </c>
      <c r="C119">
        <f>IF($W119="","",IF(INDEX('Per Invoice'!C$2:C$801,$W119)="","",INDEX('Per Invoice'!C$2:C$801,$W119)))</f>
        <v/>
      </c>
      <c r="D119">
        <f>IF($W119="","",IF(INDEX('Per Invoice'!D$2:D$801,$W119)="","",INDEX('Per Invoice'!D$2:D$801,$W119)))</f>
        <v/>
      </c>
      <c r="E119">
        <f>IF($W119="","",IF(INDEX('Per Invoice'!E$2:E$801,$W119)="","",INDEX('Per Invoice'!E$2:E$801,$W119)))</f>
        <v/>
      </c>
      <c r="F119">
        <f>IF($W119="","",IF(INDEX('Per Invoice'!F$2:F$801,$W119)="","",INDEX('Per Invoice'!F$2:F$801,$W119)))</f>
        <v/>
      </c>
      <c r="G119">
        <f>IF($W119="","",IF(INDEX('Per Invoice'!G$2:G$801,$W119)="","",INDEX('Per Invoice'!G$2:G$801,$W119)))</f>
        <v/>
      </c>
      <c r="H119">
        <f>IF($W119="","",IF(INDEX('Per Invoice'!H$2:H$801,$W119)="","",INDEX('Per Invoice'!H$2:H$801,$W119)))</f>
        <v/>
      </c>
      <c r="I119">
        <f>IF($W119="","",IF(INDEX('Per Invoice'!I$2:I$801,$W119)="","",INDEX('Per Invoice'!I$2:I$801,$W119)))</f>
        <v/>
      </c>
      <c r="J119">
        <f>IF($W119="","",IF(INDEX('Per Invoice'!J$2:J$801,$W119)="","",INDEX('Per Invoice'!J$2:J$801,$W119)))</f>
        <v/>
      </c>
      <c r="K119" s="7">
        <f>IF($W119="","",IF(INDEX('Per Invoice'!K$2:K$801,$W119)="","",INDEX('Per Invoice'!K$2:K$801,$W119)))</f>
        <v/>
      </c>
      <c r="L119" s="14">
        <f>IF($W119="","",IF(INDEX('Per Invoice'!L$2:L$801,$W119)="","",INDEX('Per Invoice'!L$2:L$801,$W119)))</f>
        <v/>
      </c>
      <c r="M119">
        <f>IF($W119="","",IF(INDEX('Per Invoice'!M$2:M$801,$W119)="","",INDEX('Per Invoice'!M$2:M$801,$W119)))</f>
        <v/>
      </c>
      <c r="N119" s="7">
        <f>IF($W119="","",IF(INDEX('Per Invoice'!N$2:N$801,$W119)="","",INDEX('Per Invoice'!N$2:N$801,$W119)))</f>
        <v/>
      </c>
      <c r="O119" s="7">
        <f>IF($W119="","",IF(INDEX('Per Invoice'!O$2:O$801,$W119)="","",INDEX('Per Invoice'!O$2:O$801,$W119)))</f>
        <v/>
      </c>
      <c r="P119">
        <f>IF($W119="","",IF(INDEX('Per Invoice'!P$2:P$801,$W119)="","",INDEX('Per Invoice'!P$2:P$801,$W119)))</f>
        <v/>
      </c>
      <c r="Q119" s="7">
        <f>IF($W119="","",IF(INDEX('Per Invoice'!Q$2:Q$801,$W119)="","",INDEX('Per Invoice'!Q$2:Q$801,$W119)))</f>
        <v/>
      </c>
      <c r="R119" s="7">
        <f>IF($W119="","",IF(INDEX('Per Invoice'!R$2:R$801,$W119)="","",INDEX('Per Invoice'!R$2:R$801,$W119)))</f>
        <v/>
      </c>
      <c r="S119" s="7">
        <f>IF($W119="","",IF(INDEX('Per Invoice'!S$2:S$801,$W119)="","",INDEX('Per Invoice'!S$2:S$801,$W119)))</f>
        <v/>
      </c>
      <c r="T119" s="7">
        <f>IF($W119="","",IF(INDEX('Per Invoice'!T$2:T$801,$W119)="","",INDEX('Per Invoice'!T$2:T$801,$W119)))</f>
        <v/>
      </c>
      <c r="U119" s="7">
        <f>IF($W119="","",IF(INDEX('Per Invoice'!U$2:U$801,$W119)="","",INDEX('Per Invoice'!U$2:U$801,$W119)))</f>
        <v/>
      </c>
      <c r="V119" s="7">
        <f>IF($W119="","",IF(INDEX('Per Invoice'!V$2:V$801,$W119)="","",INDEX('Per Invoice'!V$2:V$801,$W119)))</f>
        <v/>
      </c>
      <c r="W119" s="16">
        <f>IFERROR(MATCH(Settings!$C$30&amp;"|"&amp;ROWS($W$2:$W119),'Per Invoice'!$X$2:$X$801,0),"")</f>
        <v/>
      </c>
    </row>
    <row r="120">
      <c r="A120">
        <f>IF($W120="","",IF(INDEX('Per Invoice'!A$2:A$801,$W120)="","",INDEX('Per Invoice'!A$2:A$801,$W120)))</f>
        <v/>
      </c>
      <c r="B120">
        <f>IF($W120="","",IF(INDEX('Per Invoice'!B$2:B$801,$W120)="","",INDEX('Per Invoice'!B$2:B$801,$W120)))</f>
        <v/>
      </c>
      <c r="C120">
        <f>IF($W120="","",IF(INDEX('Per Invoice'!C$2:C$801,$W120)="","",INDEX('Per Invoice'!C$2:C$801,$W120)))</f>
        <v/>
      </c>
      <c r="D120">
        <f>IF($W120="","",IF(INDEX('Per Invoice'!D$2:D$801,$W120)="","",INDEX('Per Invoice'!D$2:D$801,$W120)))</f>
        <v/>
      </c>
      <c r="E120">
        <f>IF($W120="","",IF(INDEX('Per Invoice'!E$2:E$801,$W120)="","",INDEX('Per Invoice'!E$2:E$801,$W120)))</f>
        <v/>
      </c>
      <c r="F120">
        <f>IF($W120="","",IF(INDEX('Per Invoice'!F$2:F$801,$W120)="","",INDEX('Per Invoice'!F$2:F$801,$W120)))</f>
        <v/>
      </c>
      <c r="G120">
        <f>IF($W120="","",IF(INDEX('Per Invoice'!G$2:G$801,$W120)="","",INDEX('Per Invoice'!G$2:G$801,$W120)))</f>
        <v/>
      </c>
      <c r="H120">
        <f>IF($W120="","",IF(INDEX('Per Invoice'!H$2:H$801,$W120)="","",INDEX('Per Invoice'!H$2:H$801,$W120)))</f>
        <v/>
      </c>
      <c r="I120">
        <f>IF($W120="","",IF(INDEX('Per Invoice'!I$2:I$801,$W120)="","",INDEX('Per Invoice'!I$2:I$801,$W120)))</f>
        <v/>
      </c>
      <c r="J120">
        <f>IF($W120="","",IF(INDEX('Per Invoice'!J$2:J$801,$W120)="","",INDEX('Per Invoice'!J$2:J$801,$W120)))</f>
        <v/>
      </c>
      <c r="K120" s="7">
        <f>IF($W120="","",IF(INDEX('Per Invoice'!K$2:K$801,$W120)="","",INDEX('Per Invoice'!K$2:K$801,$W120)))</f>
        <v/>
      </c>
      <c r="L120" s="14">
        <f>IF($W120="","",IF(INDEX('Per Invoice'!L$2:L$801,$W120)="","",INDEX('Per Invoice'!L$2:L$801,$W120)))</f>
        <v/>
      </c>
      <c r="M120">
        <f>IF($W120="","",IF(INDEX('Per Invoice'!M$2:M$801,$W120)="","",INDEX('Per Invoice'!M$2:M$801,$W120)))</f>
        <v/>
      </c>
      <c r="N120" s="7">
        <f>IF($W120="","",IF(INDEX('Per Invoice'!N$2:N$801,$W120)="","",INDEX('Per Invoice'!N$2:N$801,$W120)))</f>
        <v/>
      </c>
      <c r="O120" s="7">
        <f>IF($W120="","",IF(INDEX('Per Invoice'!O$2:O$801,$W120)="","",INDEX('Per Invoice'!O$2:O$801,$W120)))</f>
        <v/>
      </c>
      <c r="P120">
        <f>IF($W120="","",IF(INDEX('Per Invoice'!P$2:P$801,$W120)="","",INDEX('Per Invoice'!P$2:P$801,$W120)))</f>
        <v/>
      </c>
      <c r="Q120" s="7">
        <f>IF($W120="","",IF(INDEX('Per Invoice'!Q$2:Q$801,$W120)="","",INDEX('Per Invoice'!Q$2:Q$801,$W120)))</f>
        <v/>
      </c>
      <c r="R120" s="7">
        <f>IF($W120="","",IF(INDEX('Per Invoice'!R$2:R$801,$W120)="","",INDEX('Per Invoice'!R$2:R$801,$W120)))</f>
        <v/>
      </c>
      <c r="S120" s="7">
        <f>IF($W120="","",IF(INDEX('Per Invoice'!S$2:S$801,$W120)="","",INDEX('Per Invoice'!S$2:S$801,$W120)))</f>
        <v/>
      </c>
      <c r="T120" s="7">
        <f>IF($W120="","",IF(INDEX('Per Invoice'!T$2:T$801,$W120)="","",INDEX('Per Invoice'!T$2:T$801,$W120)))</f>
        <v/>
      </c>
      <c r="U120" s="7">
        <f>IF($W120="","",IF(INDEX('Per Invoice'!U$2:U$801,$W120)="","",INDEX('Per Invoice'!U$2:U$801,$W120)))</f>
        <v/>
      </c>
      <c r="V120" s="7">
        <f>IF($W120="","",IF(INDEX('Per Invoice'!V$2:V$801,$W120)="","",INDEX('Per Invoice'!V$2:V$801,$W120)))</f>
        <v/>
      </c>
      <c r="W120" s="16">
        <f>IFERROR(MATCH(Settings!$C$30&amp;"|"&amp;ROWS($W$2:$W120),'Per Invoice'!$X$2:$X$801,0),"")</f>
        <v/>
      </c>
    </row>
    <row r="121">
      <c r="A121">
        <f>IF($W121="","",IF(INDEX('Per Invoice'!A$2:A$801,$W121)="","",INDEX('Per Invoice'!A$2:A$801,$W121)))</f>
        <v/>
      </c>
      <c r="B121">
        <f>IF($W121="","",IF(INDEX('Per Invoice'!B$2:B$801,$W121)="","",INDEX('Per Invoice'!B$2:B$801,$W121)))</f>
        <v/>
      </c>
      <c r="C121">
        <f>IF($W121="","",IF(INDEX('Per Invoice'!C$2:C$801,$W121)="","",INDEX('Per Invoice'!C$2:C$801,$W121)))</f>
        <v/>
      </c>
      <c r="D121">
        <f>IF($W121="","",IF(INDEX('Per Invoice'!D$2:D$801,$W121)="","",INDEX('Per Invoice'!D$2:D$801,$W121)))</f>
        <v/>
      </c>
      <c r="E121">
        <f>IF($W121="","",IF(INDEX('Per Invoice'!E$2:E$801,$W121)="","",INDEX('Per Invoice'!E$2:E$801,$W121)))</f>
        <v/>
      </c>
      <c r="F121">
        <f>IF($W121="","",IF(INDEX('Per Invoice'!F$2:F$801,$W121)="","",INDEX('Per Invoice'!F$2:F$801,$W121)))</f>
        <v/>
      </c>
      <c r="G121">
        <f>IF($W121="","",IF(INDEX('Per Invoice'!G$2:G$801,$W121)="","",INDEX('Per Invoice'!G$2:G$801,$W121)))</f>
        <v/>
      </c>
      <c r="H121">
        <f>IF($W121="","",IF(INDEX('Per Invoice'!H$2:H$801,$W121)="","",INDEX('Per Invoice'!H$2:H$801,$W121)))</f>
        <v/>
      </c>
      <c r="I121">
        <f>IF($W121="","",IF(INDEX('Per Invoice'!I$2:I$801,$W121)="","",INDEX('Per Invoice'!I$2:I$801,$W121)))</f>
        <v/>
      </c>
      <c r="J121">
        <f>IF($W121="","",IF(INDEX('Per Invoice'!J$2:J$801,$W121)="","",INDEX('Per Invoice'!J$2:J$801,$W121)))</f>
        <v/>
      </c>
      <c r="K121" s="7">
        <f>IF($W121="","",IF(INDEX('Per Invoice'!K$2:K$801,$W121)="","",INDEX('Per Invoice'!K$2:K$801,$W121)))</f>
        <v/>
      </c>
      <c r="L121" s="14">
        <f>IF($W121="","",IF(INDEX('Per Invoice'!L$2:L$801,$W121)="","",INDEX('Per Invoice'!L$2:L$801,$W121)))</f>
        <v/>
      </c>
      <c r="M121">
        <f>IF($W121="","",IF(INDEX('Per Invoice'!M$2:M$801,$W121)="","",INDEX('Per Invoice'!M$2:M$801,$W121)))</f>
        <v/>
      </c>
      <c r="N121" s="7">
        <f>IF($W121="","",IF(INDEX('Per Invoice'!N$2:N$801,$W121)="","",INDEX('Per Invoice'!N$2:N$801,$W121)))</f>
        <v/>
      </c>
      <c r="O121" s="7">
        <f>IF($W121="","",IF(INDEX('Per Invoice'!O$2:O$801,$W121)="","",INDEX('Per Invoice'!O$2:O$801,$W121)))</f>
        <v/>
      </c>
      <c r="P121">
        <f>IF($W121="","",IF(INDEX('Per Invoice'!P$2:P$801,$W121)="","",INDEX('Per Invoice'!P$2:P$801,$W121)))</f>
        <v/>
      </c>
      <c r="Q121" s="7">
        <f>IF($W121="","",IF(INDEX('Per Invoice'!Q$2:Q$801,$W121)="","",INDEX('Per Invoice'!Q$2:Q$801,$W121)))</f>
        <v/>
      </c>
      <c r="R121" s="7">
        <f>IF($W121="","",IF(INDEX('Per Invoice'!R$2:R$801,$W121)="","",INDEX('Per Invoice'!R$2:R$801,$W121)))</f>
        <v/>
      </c>
      <c r="S121" s="7">
        <f>IF($W121="","",IF(INDEX('Per Invoice'!S$2:S$801,$W121)="","",INDEX('Per Invoice'!S$2:S$801,$W121)))</f>
        <v/>
      </c>
      <c r="T121" s="7">
        <f>IF($W121="","",IF(INDEX('Per Invoice'!T$2:T$801,$W121)="","",INDEX('Per Invoice'!T$2:T$801,$W121)))</f>
        <v/>
      </c>
      <c r="U121" s="7">
        <f>IF($W121="","",IF(INDEX('Per Invoice'!U$2:U$801,$W121)="","",INDEX('Per Invoice'!U$2:U$801,$W121)))</f>
        <v/>
      </c>
      <c r="V121" s="7">
        <f>IF($W121="","",IF(INDEX('Per Invoice'!V$2:V$801,$W121)="","",INDEX('Per Invoice'!V$2:V$801,$W121)))</f>
        <v/>
      </c>
      <c r="W121" s="16">
        <f>IFERROR(MATCH(Settings!$C$30&amp;"|"&amp;ROWS($W$2:$W121),'Per Invoice'!$X$2:$X$801,0),"")</f>
        <v/>
      </c>
    </row>
    <row r="122">
      <c r="A122">
        <f>IF($W122="","",IF(INDEX('Per Invoice'!A$2:A$801,$W122)="","",INDEX('Per Invoice'!A$2:A$801,$W122)))</f>
        <v/>
      </c>
      <c r="B122">
        <f>IF($W122="","",IF(INDEX('Per Invoice'!B$2:B$801,$W122)="","",INDEX('Per Invoice'!B$2:B$801,$W122)))</f>
        <v/>
      </c>
      <c r="C122">
        <f>IF($W122="","",IF(INDEX('Per Invoice'!C$2:C$801,$W122)="","",INDEX('Per Invoice'!C$2:C$801,$W122)))</f>
        <v/>
      </c>
      <c r="D122">
        <f>IF($W122="","",IF(INDEX('Per Invoice'!D$2:D$801,$W122)="","",INDEX('Per Invoice'!D$2:D$801,$W122)))</f>
        <v/>
      </c>
      <c r="E122">
        <f>IF($W122="","",IF(INDEX('Per Invoice'!E$2:E$801,$W122)="","",INDEX('Per Invoice'!E$2:E$801,$W122)))</f>
        <v/>
      </c>
      <c r="F122">
        <f>IF($W122="","",IF(INDEX('Per Invoice'!F$2:F$801,$W122)="","",INDEX('Per Invoice'!F$2:F$801,$W122)))</f>
        <v/>
      </c>
      <c r="G122">
        <f>IF($W122="","",IF(INDEX('Per Invoice'!G$2:G$801,$W122)="","",INDEX('Per Invoice'!G$2:G$801,$W122)))</f>
        <v/>
      </c>
      <c r="H122">
        <f>IF($W122="","",IF(INDEX('Per Invoice'!H$2:H$801,$W122)="","",INDEX('Per Invoice'!H$2:H$801,$W122)))</f>
        <v/>
      </c>
      <c r="I122">
        <f>IF($W122="","",IF(INDEX('Per Invoice'!I$2:I$801,$W122)="","",INDEX('Per Invoice'!I$2:I$801,$W122)))</f>
        <v/>
      </c>
      <c r="J122">
        <f>IF($W122="","",IF(INDEX('Per Invoice'!J$2:J$801,$W122)="","",INDEX('Per Invoice'!J$2:J$801,$W122)))</f>
        <v/>
      </c>
      <c r="K122" s="7">
        <f>IF($W122="","",IF(INDEX('Per Invoice'!K$2:K$801,$W122)="","",INDEX('Per Invoice'!K$2:K$801,$W122)))</f>
        <v/>
      </c>
      <c r="L122" s="14">
        <f>IF($W122="","",IF(INDEX('Per Invoice'!L$2:L$801,$W122)="","",INDEX('Per Invoice'!L$2:L$801,$W122)))</f>
        <v/>
      </c>
      <c r="M122">
        <f>IF($W122="","",IF(INDEX('Per Invoice'!M$2:M$801,$W122)="","",INDEX('Per Invoice'!M$2:M$801,$W122)))</f>
        <v/>
      </c>
      <c r="N122" s="7">
        <f>IF($W122="","",IF(INDEX('Per Invoice'!N$2:N$801,$W122)="","",INDEX('Per Invoice'!N$2:N$801,$W122)))</f>
        <v/>
      </c>
      <c r="O122" s="7">
        <f>IF($W122="","",IF(INDEX('Per Invoice'!O$2:O$801,$W122)="","",INDEX('Per Invoice'!O$2:O$801,$W122)))</f>
        <v/>
      </c>
      <c r="P122">
        <f>IF($W122="","",IF(INDEX('Per Invoice'!P$2:P$801,$W122)="","",INDEX('Per Invoice'!P$2:P$801,$W122)))</f>
        <v/>
      </c>
      <c r="Q122" s="7">
        <f>IF($W122="","",IF(INDEX('Per Invoice'!Q$2:Q$801,$W122)="","",INDEX('Per Invoice'!Q$2:Q$801,$W122)))</f>
        <v/>
      </c>
      <c r="R122" s="7">
        <f>IF($W122="","",IF(INDEX('Per Invoice'!R$2:R$801,$W122)="","",INDEX('Per Invoice'!R$2:R$801,$W122)))</f>
        <v/>
      </c>
      <c r="S122" s="7">
        <f>IF($W122="","",IF(INDEX('Per Invoice'!S$2:S$801,$W122)="","",INDEX('Per Invoice'!S$2:S$801,$W122)))</f>
        <v/>
      </c>
      <c r="T122" s="7">
        <f>IF($W122="","",IF(INDEX('Per Invoice'!T$2:T$801,$W122)="","",INDEX('Per Invoice'!T$2:T$801,$W122)))</f>
        <v/>
      </c>
      <c r="U122" s="7">
        <f>IF($W122="","",IF(INDEX('Per Invoice'!U$2:U$801,$W122)="","",INDEX('Per Invoice'!U$2:U$801,$W122)))</f>
        <v/>
      </c>
      <c r="V122" s="7">
        <f>IF($W122="","",IF(INDEX('Per Invoice'!V$2:V$801,$W122)="","",INDEX('Per Invoice'!V$2:V$801,$W122)))</f>
        <v/>
      </c>
      <c r="W122" s="16">
        <f>IFERROR(MATCH(Settings!$C$30&amp;"|"&amp;ROWS($W$2:$W122),'Per Invoice'!$X$2:$X$801,0),"")</f>
        <v/>
      </c>
    </row>
    <row r="123">
      <c r="A123">
        <f>IF($W123="","",IF(INDEX('Per Invoice'!A$2:A$801,$W123)="","",INDEX('Per Invoice'!A$2:A$801,$W123)))</f>
        <v/>
      </c>
      <c r="B123">
        <f>IF($W123="","",IF(INDEX('Per Invoice'!B$2:B$801,$W123)="","",INDEX('Per Invoice'!B$2:B$801,$W123)))</f>
        <v/>
      </c>
      <c r="C123">
        <f>IF($W123="","",IF(INDEX('Per Invoice'!C$2:C$801,$W123)="","",INDEX('Per Invoice'!C$2:C$801,$W123)))</f>
        <v/>
      </c>
      <c r="D123">
        <f>IF($W123="","",IF(INDEX('Per Invoice'!D$2:D$801,$W123)="","",INDEX('Per Invoice'!D$2:D$801,$W123)))</f>
        <v/>
      </c>
      <c r="E123">
        <f>IF($W123="","",IF(INDEX('Per Invoice'!E$2:E$801,$W123)="","",INDEX('Per Invoice'!E$2:E$801,$W123)))</f>
        <v/>
      </c>
      <c r="F123">
        <f>IF($W123="","",IF(INDEX('Per Invoice'!F$2:F$801,$W123)="","",INDEX('Per Invoice'!F$2:F$801,$W123)))</f>
        <v/>
      </c>
      <c r="G123">
        <f>IF($W123="","",IF(INDEX('Per Invoice'!G$2:G$801,$W123)="","",INDEX('Per Invoice'!G$2:G$801,$W123)))</f>
        <v/>
      </c>
      <c r="H123">
        <f>IF($W123="","",IF(INDEX('Per Invoice'!H$2:H$801,$W123)="","",INDEX('Per Invoice'!H$2:H$801,$W123)))</f>
        <v/>
      </c>
      <c r="I123">
        <f>IF($W123="","",IF(INDEX('Per Invoice'!I$2:I$801,$W123)="","",INDEX('Per Invoice'!I$2:I$801,$W123)))</f>
        <v/>
      </c>
      <c r="J123">
        <f>IF($W123="","",IF(INDEX('Per Invoice'!J$2:J$801,$W123)="","",INDEX('Per Invoice'!J$2:J$801,$W123)))</f>
        <v/>
      </c>
      <c r="K123" s="7">
        <f>IF($W123="","",IF(INDEX('Per Invoice'!K$2:K$801,$W123)="","",INDEX('Per Invoice'!K$2:K$801,$W123)))</f>
        <v/>
      </c>
      <c r="L123" s="14">
        <f>IF($W123="","",IF(INDEX('Per Invoice'!L$2:L$801,$W123)="","",INDEX('Per Invoice'!L$2:L$801,$W123)))</f>
        <v/>
      </c>
      <c r="M123">
        <f>IF($W123="","",IF(INDEX('Per Invoice'!M$2:M$801,$W123)="","",INDEX('Per Invoice'!M$2:M$801,$W123)))</f>
        <v/>
      </c>
      <c r="N123" s="7">
        <f>IF($W123="","",IF(INDEX('Per Invoice'!N$2:N$801,$W123)="","",INDEX('Per Invoice'!N$2:N$801,$W123)))</f>
        <v/>
      </c>
      <c r="O123" s="7">
        <f>IF($W123="","",IF(INDEX('Per Invoice'!O$2:O$801,$W123)="","",INDEX('Per Invoice'!O$2:O$801,$W123)))</f>
        <v/>
      </c>
      <c r="P123">
        <f>IF($W123="","",IF(INDEX('Per Invoice'!P$2:P$801,$W123)="","",INDEX('Per Invoice'!P$2:P$801,$W123)))</f>
        <v/>
      </c>
      <c r="Q123" s="7">
        <f>IF($W123="","",IF(INDEX('Per Invoice'!Q$2:Q$801,$W123)="","",INDEX('Per Invoice'!Q$2:Q$801,$W123)))</f>
        <v/>
      </c>
      <c r="R123" s="7">
        <f>IF($W123="","",IF(INDEX('Per Invoice'!R$2:R$801,$W123)="","",INDEX('Per Invoice'!R$2:R$801,$W123)))</f>
        <v/>
      </c>
      <c r="S123" s="7">
        <f>IF($W123="","",IF(INDEX('Per Invoice'!S$2:S$801,$W123)="","",INDEX('Per Invoice'!S$2:S$801,$W123)))</f>
        <v/>
      </c>
      <c r="T123" s="7">
        <f>IF($W123="","",IF(INDEX('Per Invoice'!T$2:T$801,$W123)="","",INDEX('Per Invoice'!T$2:T$801,$W123)))</f>
        <v/>
      </c>
      <c r="U123" s="7">
        <f>IF($W123="","",IF(INDEX('Per Invoice'!U$2:U$801,$W123)="","",INDEX('Per Invoice'!U$2:U$801,$W123)))</f>
        <v/>
      </c>
      <c r="V123" s="7">
        <f>IF($W123="","",IF(INDEX('Per Invoice'!V$2:V$801,$W123)="","",INDEX('Per Invoice'!V$2:V$801,$W123)))</f>
        <v/>
      </c>
      <c r="W123" s="16">
        <f>IFERROR(MATCH(Settings!$C$30&amp;"|"&amp;ROWS($W$2:$W123),'Per Invoice'!$X$2:$X$801,0),"")</f>
        <v/>
      </c>
    </row>
    <row r="124">
      <c r="A124">
        <f>IF($W124="","",IF(INDEX('Per Invoice'!A$2:A$801,$W124)="","",INDEX('Per Invoice'!A$2:A$801,$W124)))</f>
        <v/>
      </c>
      <c r="B124">
        <f>IF($W124="","",IF(INDEX('Per Invoice'!B$2:B$801,$W124)="","",INDEX('Per Invoice'!B$2:B$801,$W124)))</f>
        <v/>
      </c>
      <c r="C124">
        <f>IF($W124="","",IF(INDEX('Per Invoice'!C$2:C$801,$W124)="","",INDEX('Per Invoice'!C$2:C$801,$W124)))</f>
        <v/>
      </c>
      <c r="D124">
        <f>IF($W124="","",IF(INDEX('Per Invoice'!D$2:D$801,$W124)="","",INDEX('Per Invoice'!D$2:D$801,$W124)))</f>
        <v/>
      </c>
      <c r="E124">
        <f>IF($W124="","",IF(INDEX('Per Invoice'!E$2:E$801,$W124)="","",INDEX('Per Invoice'!E$2:E$801,$W124)))</f>
        <v/>
      </c>
      <c r="F124">
        <f>IF($W124="","",IF(INDEX('Per Invoice'!F$2:F$801,$W124)="","",INDEX('Per Invoice'!F$2:F$801,$W124)))</f>
        <v/>
      </c>
      <c r="G124">
        <f>IF($W124="","",IF(INDEX('Per Invoice'!G$2:G$801,$W124)="","",INDEX('Per Invoice'!G$2:G$801,$W124)))</f>
        <v/>
      </c>
      <c r="H124">
        <f>IF($W124="","",IF(INDEX('Per Invoice'!H$2:H$801,$W124)="","",INDEX('Per Invoice'!H$2:H$801,$W124)))</f>
        <v/>
      </c>
      <c r="I124">
        <f>IF($W124="","",IF(INDEX('Per Invoice'!I$2:I$801,$W124)="","",INDEX('Per Invoice'!I$2:I$801,$W124)))</f>
        <v/>
      </c>
      <c r="J124">
        <f>IF($W124="","",IF(INDEX('Per Invoice'!J$2:J$801,$W124)="","",INDEX('Per Invoice'!J$2:J$801,$W124)))</f>
        <v/>
      </c>
      <c r="K124" s="7">
        <f>IF($W124="","",IF(INDEX('Per Invoice'!K$2:K$801,$W124)="","",INDEX('Per Invoice'!K$2:K$801,$W124)))</f>
        <v/>
      </c>
      <c r="L124" s="14">
        <f>IF($W124="","",IF(INDEX('Per Invoice'!L$2:L$801,$W124)="","",INDEX('Per Invoice'!L$2:L$801,$W124)))</f>
        <v/>
      </c>
      <c r="M124">
        <f>IF($W124="","",IF(INDEX('Per Invoice'!M$2:M$801,$W124)="","",INDEX('Per Invoice'!M$2:M$801,$W124)))</f>
        <v/>
      </c>
      <c r="N124" s="7">
        <f>IF($W124="","",IF(INDEX('Per Invoice'!N$2:N$801,$W124)="","",INDEX('Per Invoice'!N$2:N$801,$W124)))</f>
        <v/>
      </c>
      <c r="O124" s="7">
        <f>IF($W124="","",IF(INDEX('Per Invoice'!O$2:O$801,$W124)="","",INDEX('Per Invoice'!O$2:O$801,$W124)))</f>
        <v/>
      </c>
      <c r="P124">
        <f>IF($W124="","",IF(INDEX('Per Invoice'!P$2:P$801,$W124)="","",INDEX('Per Invoice'!P$2:P$801,$W124)))</f>
        <v/>
      </c>
      <c r="Q124" s="7">
        <f>IF($W124="","",IF(INDEX('Per Invoice'!Q$2:Q$801,$W124)="","",INDEX('Per Invoice'!Q$2:Q$801,$W124)))</f>
        <v/>
      </c>
      <c r="R124" s="7">
        <f>IF($W124="","",IF(INDEX('Per Invoice'!R$2:R$801,$W124)="","",INDEX('Per Invoice'!R$2:R$801,$W124)))</f>
        <v/>
      </c>
      <c r="S124" s="7">
        <f>IF($W124="","",IF(INDEX('Per Invoice'!S$2:S$801,$W124)="","",INDEX('Per Invoice'!S$2:S$801,$W124)))</f>
        <v/>
      </c>
      <c r="T124" s="7">
        <f>IF($W124="","",IF(INDEX('Per Invoice'!T$2:T$801,$W124)="","",INDEX('Per Invoice'!T$2:T$801,$W124)))</f>
        <v/>
      </c>
      <c r="U124" s="7">
        <f>IF($W124="","",IF(INDEX('Per Invoice'!U$2:U$801,$W124)="","",INDEX('Per Invoice'!U$2:U$801,$W124)))</f>
        <v/>
      </c>
      <c r="V124" s="7">
        <f>IF($W124="","",IF(INDEX('Per Invoice'!V$2:V$801,$W124)="","",INDEX('Per Invoice'!V$2:V$801,$W124)))</f>
        <v/>
      </c>
      <c r="W124" s="16">
        <f>IFERROR(MATCH(Settings!$C$30&amp;"|"&amp;ROWS($W$2:$W124),'Per Invoice'!$X$2:$X$801,0),"")</f>
        <v/>
      </c>
    </row>
    <row r="125">
      <c r="A125">
        <f>IF($W125="","",IF(INDEX('Per Invoice'!A$2:A$801,$W125)="","",INDEX('Per Invoice'!A$2:A$801,$W125)))</f>
        <v/>
      </c>
      <c r="B125">
        <f>IF($W125="","",IF(INDEX('Per Invoice'!B$2:B$801,$W125)="","",INDEX('Per Invoice'!B$2:B$801,$W125)))</f>
        <v/>
      </c>
      <c r="C125">
        <f>IF($W125="","",IF(INDEX('Per Invoice'!C$2:C$801,$W125)="","",INDEX('Per Invoice'!C$2:C$801,$W125)))</f>
        <v/>
      </c>
      <c r="D125">
        <f>IF($W125="","",IF(INDEX('Per Invoice'!D$2:D$801,$W125)="","",INDEX('Per Invoice'!D$2:D$801,$W125)))</f>
        <v/>
      </c>
      <c r="E125">
        <f>IF($W125="","",IF(INDEX('Per Invoice'!E$2:E$801,$W125)="","",INDEX('Per Invoice'!E$2:E$801,$W125)))</f>
        <v/>
      </c>
      <c r="F125">
        <f>IF($W125="","",IF(INDEX('Per Invoice'!F$2:F$801,$W125)="","",INDEX('Per Invoice'!F$2:F$801,$W125)))</f>
        <v/>
      </c>
      <c r="G125">
        <f>IF($W125="","",IF(INDEX('Per Invoice'!G$2:G$801,$W125)="","",INDEX('Per Invoice'!G$2:G$801,$W125)))</f>
        <v/>
      </c>
      <c r="H125">
        <f>IF($W125="","",IF(INDEX('Per Invoice'!H$2:H$801,$W125)="","",INDEX('Per Invoice'!H$2:H$801,$W125)))</f>
        <v/>
      </c>
      <c r="I125">
        <f>IF($W125="","",IF(INDEX('Per Invoice'!I$2:I$801,$W125)="","",INDEX('Per Invoice'!I$2:I$801,$W125)))</f>
        <v/>
      </c>
      <c r="J125">
        <f>IF($W125="","",IF(INDEX('Per Invoice'!J$2:J$801,$W125)="","",INDEX('Per Invoice'!J$2:J$801,$W125)))</f>
        <v/>
      </c>
      <c r="K125" s="7">
        <f>IF($W125="","",IF(INDEX('Per Invoice'!K$2:K$801,$W125)="","",INDEX('Per Invoice'!K$2:K$801,$W125)))</f>
        <v/>
      </c>
      <c r="L125" s="14">
        <f>IF($W125="","",IF(INDEX('Per Invoice'!L$2:L$801,$W125)="","",INDEX('Per Invoice'!L$2:L$801,$W125)))</f>
        <v/>
      </c>
      <c r="M125">
        <f>IF($W125="","",IF(INDEX('Per Invoice'!M$2:M$801,$W125)="","",INDEX('Per Invoice'!M$2:M$801,$W125)))</f>
        <v/>
      </c>
      <c r="N125" s="7">
        <f>IF($W125="","",IF(INDEX('Per Invoice'!N$2:N$801,$W125)="","",INDEX('Per Invoice'!N$2:N$801,$W125)))</f>
        <v/>
      </c>
      <c r="O125" s="7">
        <f>IF($W125="","",IF(INDEX('Per Invoice'!O$2:O$801,$W125)="","",INDEX('Per Invoice'!O$2:O$801,$W125)))</f>
        <v/>
      </c>
      <c r="P125">
        <f>IF($W125="","",IF(INDEX('Per Invoice'!P$2:P$801,$W125)="","",INDEX('Per Invoice'!P$2:P$801,$W125)))</f>
        <v/>
      </c>
      <c r="Q125" s="7">
        <f>IF($W125="","",IF(INDEX('Per Invoice'!Q$2:Q$801,$W125)="","",INDEX('Per Invoice'!Q$2:Q$801,$W125)))</f>
        <v/>
      </c>
      <c r="R125" s="7">
        <f>IF($W125="","",IF(INDEX('Per Invoice'!R$2:R$801,$W125)="","",INDEX('Per Invoice'!R$2:R$801,$W125)))</f>
        <v/>
      </c>
      <c r="S125" s="7">
        <f>IF($W125="","",IF(INDEX('Per Invoice'!S$2:S$801,$W125)="","",INDEX('Per Invoice'!S$2:S$801,$W125)))</f>
        <v/>
      </c>
      <c r="T125" s="7">
        <f>IF($W125="","",IF(INDEX('Per Invoice'!T$2:T$801,$W125)="","",INDEX('Per Invoice'!T$2:T$801,$W125)))</f>
        <v/>
      </c>
      <c r="U125" s="7">
        <f>IF($W125="","",IF(INDEX('Per Invoice'!U$2:U$801,$W125)="","",INDEX('Per Invoice'!U$2:U$801,$W125)))</f>
        <v/>
      </c>
      <c r="V125" s="7">
        <f>IF($W125="","",IF(INDEX('Per Invoice'!V$2:V$801,$W125)="","",INDEX('Per Invoice'!V$2:V$801,$W125)))</f>
        <v/>
      </c>
      <c r="W125" s="16">
        <f>IFERROR(MATCH(Settings!$C$30&amp;"|"&amp;ROWS($W$2:$W125),'Per Invoice'!$X$2:$X$801,0),"")</f>
        <v/>
      </c>
    </row>
    <row r="126">
      <c r="A126">
        <f>IF($W126="","",IF(INDEX('Per Invoice'!A$2:A$801,$W126)="","",INDEX('Per Invoice'!A$2:A$801,$W126)))</f>
        <v/>
      </c>
      <c r="B126">
        <f>IF($W126="","",IF(INDEX('Per Invoice'!B$2:B$801,$W126)="","",INDEX('Per Invoice'!B$2:B$801,$W126)))</f>
        <v/>
      </c>
      <c r="C126">
        <f>IF($W126="","",IF(INDEX('Per Invoice'!C$2:C$801,$W126)="","",INDEX('Per Invoice'!C$2:C$801,$W126)))</f>
        <v/>
      </c>
      <c r="D126">
        <f>IF($W126="","",IF(INDEX('Per Invoice'!D$2:D$801,$W126)="","",INDEX('Per Invoice'!D$2:D$801,$W126)))</f>
        <v/>
      </c>
      <c r="E126">
        <f>IF($W126="","",IF(INDEX('Per Invoice'!E$2:E$801,$W126)="","",INDEX('Per Invoice'!E$2:E$801,$W126)))</f>
        <v/>
      </c>
      <c r="F126">
        <f>IF($W126="","",IF(INDEX('Per Invoice'!F$2:F$801,$W126)="","",INDEX('Per Invoice'!F$2:F$801,$W126)))</f>
        <v/>
      </c>
      <c r="G126">
        <f>IF($W126="","",IF(INDEX('Per Invoice'!G$2:G$801,$W126)="","",INDEX('Per Invoice'!G$2:G$801,$W126)))</f>
        <v/>
      </c>
      <c r="H126">
        <f>IF($W126="","",IF(INDEX('Per Invoice'!H$2:H$801,$W126)="","",INDEX('Per Invoice'!H$2:H$801,$W126)))</f>
        <v/>
      </c>
      <c r="I126">
        <f>IF($W126="","",IF(INDEX('Per Invoice'!I$2:I$801,$W126)="","",INDEX('Per Invoice'!I$2:I$801,$W126)))</f>
        <v/>
      </c>
      <c r="J126">
        <f>IF($W126="","",IF(INDEX('Per Invoice'!J$2:J$801,$W126)="","",INDEX('Per Invoice'!J$2:J$801,$W126)))</f>
        <v/>
      </c>
      <c r="K126" s="7">
        <f>IF($W126="","",IF(INDEX('Per Invoice'!K$2:K$801,$W126)="","",INDEX('Per Invoice'!K$2:K$801,$W126)))</f>
        <v/>
      </c>
      <c r="L126" s="14">
        <f>IF($W126="","",IF(INDEX('Per Invoice'!L$2:L$801,$W126)="","",INDEX('Per Invoice'!L$2:L$801,$W126)))</f>
        <v/>
      </c>
      <c r="M126">
        <f>IF($W126="","",IF(INDEX('Per Invoice'!M$2:M$801,$W126)="","",INDEX('Per Invoice'!M$2:M$801,$W126)))</f>
        <v/>
      </c>
      <c r="N126" s="7">
        <f>IF($W126="","",IF(INDEX('Per Invoice'!N$2:N$801,$W126)="","",INDEX('Per Invoice'!N$2:N$801,$W126)))</f>
        <v/>
      </c>
      <c r="O126" s="7">
        <f>IF($W126="","",IF(INDEX('Per Invoice'!O$2:O$801,$W126)="","",INDEX('Per Invoice'!O$2:O$801,$W126)))</f>
        <v/>
      </c>
      <c r="P126">
        <f>IF($W126="","",IF(INDEX('Per Invoice'!P$2:P$801,$W126)="","",INDEX('Per Invoice'!P$2:P$801,$W126)))</f>
        <v/>
      </c>
      <c r="Q126" s="7">
        <f>IF($W126="","",IF(INDEX('Per Invoice'!Q$2:Q$801,$W126)="","",INDEX('Per Invoice'!Q$2:Q$801,$W126)))</f>
        <v/>
      </c>
      <c r="R126" s="7">
        <f>IF($W126="","",IF(INDEX('Per Invoice'!R$2:R$801,$W126)="","",INDEX('Per Invoice'!R$2:R$801,$W126)))</f>
        <v/>
      </c>
      <c r="S126" s="7">
        <f>IF($W126="","",IF(INDEX('Per Invoice'!S$2:S$801,$W126)="","",INDEX('Per Invoice'!S$2:S$801,$W126)))</f>
        <v/>
      </c>
      <c r="T126" s="7">
        <f>IF($W126="","",IF(INDEX('Per Invoice'!T$2:T$801,$W126)="","",INDEX('Per Invoice'!T$2:T$801,$W126)))</f>
        <v/>
      </c>
      <c r="U126" s="7">
        <f>IF($W126="","",IF(INDEX('Per Invoice'!U$2:U$801,$W126)="","",INDEX('Per Invoice'!U$2:U$801,$W126)))</f>
        <v/>
      </c>
      <c r="V126" s="7">
        <f>IF($W126="","",IF(INDEX('Per Invoice'!V$2:V$801,$W126)="","",INDEX('Per Invoice'!V$2:V$801,$W126)))</f>
        <v/>
      </c>
      <c r="W126" s="16">
        <f>IFERROR(MATCH(Settings!$C$30&amp;"|"&amp;ROWS($W$2:$W126),'Per Invoice'!$X$2:$X$801,0),"")</f>
        <v/>
      </c>
    </row>
    <row r="127">
      <c r="A127">
        <f>IF($W127="","",IF(INDEX('Per Invoice'!A$2:A$801,$W127)="","",INDEX('Per Invoice'!A$2:A$801,$W127)))</f>
        <v/>
      </c>
      <c r="B127">
        <f>IF($W127="","",IF(INDEX('Per Invoice'!B$2:B$801,$W127)="","",INDEX('Per Invoice'!B$2:B$801,$W127)))</f>
        <v/>
      </c>
      <c r="C127">
        <f>IF($W127="","",IF(INDEX('Per Invoice'!C$2:C$801,$W127)="","",INDEX('Per Invoice'!C$2:C$801,$W127)))</f>
        <v/>
      </c>
      <c r="D127">
        <f>IF($W127="","",IF(INDEX('Per Invoice'!D$2:D$801,$W127)="","",INDEX('Per Invoice'!D$2:D$801,$W127)))</f>
        <v/>
      </c>
      <c r="E127">
        <f>IF($W127="","",IF(INDEX('Per Invoice'!E$2:E$801,$W127)="","",INDEX('Per Invoice'!E$2:E$801,$W127)))</f>
        <v/>
      </c>
      <c r="F127">
        <f>IF($W127="","",IF(INDEX('Per Invoice'!F$2:F$801,$W127)="","",INDEX('Per Invoice'!F$2:F$801,$W127)))</f>
        <v/>
      </c>
      <c r="G127">
        <f>IF($W127="","",IF(INDEX('Per Invoice'!G$2:G$801,$W127)="","",INDEX('Per Invoice'!G$2:G$801,$W127)))</f>
        <v/>
      </c>
      <c r="H127">
        <f>IF($W127="","",IF(INDEX('Per Invoice'!H$2:H$801,$W127)="","",INDEX('Per Invoice'!H$2:H$801,$W127)))</f>
        <v/>
      </c>
      <c r="I127">
        <f>IF($W127="","",IF(INDEX('Per Invoice'!I$2:I$801,$W127)="","",INDEX('Per Invoice'!I$2:I$801,$W127)))</f>
        <v/>
      </c>
      <c r="J127">
        <f>IF($W127="","",IF(INDEX('Per Invoice'!J$2:J$801,$W127)="","",INDEX('Per Invoice'!J$2:J$801,$W127)))</f>
        <v/>
      </c>
      <c r="K127" s="7">
        <f>IF($W127="","",IF(INDEX('Per Invoice'!K$2:K$801,$W127)="","",INDEX('Per Invoice'!K$2:K$801,$W127)))</f>
        <v/>
      </c>
      <c r="L127" s="14">
        <f>IF($W127="","",IF(INDEX('Per Invoice'!L$2:L$801,$W127)="","",INDEX('Per Invoice'!L$2:L$801,$W127)))</f>
        <v/>
      </c>
      <c r="M127">
        <f>IF($W127="","",IF(INDEX('Per Invoice'!M$2:M$801,$W127)="","",INDEX('Per Invoice'!M$2:M$801,$W127)))</f>
        <v/>
      </c>
      <c r="N127" s="7">
        <f>IF($W127="","",IF(INDEX('Per Invoice'!N$2:N$801,$W127)="","",INDEX('Per Invoice'!N$2:N$801,$W127)))</f>
        <v/>
      </c>
      <c r="O127" s="7">
        <f>IF($W127="","",IF(INDEX('Per Invoice'!O$2:O$801,$W127)="","",INDEX('Per Invoice'!O$2:O$801,$W127)))</f>
        <v/>
      </c>
      <c r="P127">
        <f>IF($W127="","",IF(INDEX('Per Invoice'!P$2:P$801,$W127)="","",INDEX('Per Invoice'!P$2:P$801,$W127)))</f>
        <v/>
      </c>
      <c r="Q127" s="7">
        <f>IF($W127="","",IF(INDEX('Per Invoice'!Q$2:Q$801,$W127)="","",INDEX('Per Invoice'!Q$2:Q$801,$W127)))</f>
        <v/>
      </c>
      <c r="R127" s="7">
        <f>IF($W127="","",IF(INDEX('Per Invoice'!R$2:R$801,$W127)="","",INDEX('Per Invoice'!R$2:R$801,$W127)))</f>
        <v/>
      </c>
      <c r="S127" s="7">
        <f>IF($W127="","",IF(INDEX('Per Invoice'!S$2:S$801,$W127)="","",INDEX('Per Invoice'!S$2:S$801,$W127)))</f>
        <v/>
      </c>
      <c r="T127" s="7">
        <f>IF($W127="","",IF(INDEX('Per Invoice'!T$2:T$801,$W127)="","",INDEX('Per Invoice'!T$2:T$801,$W127)))</f>
        <v/>
      </c>
      <c r="U127" s="7">
        <f>IF($W127="","",IF(INDEX('Per Invoice'!U$2:U$801,$W127)="","",INDEX('Per Invoice'!U$2:U$801,$W127)))</f>
        <v/>
      </c>
      <c r="V127" s="7">
        <f>IF($W127="","",IF(INDEX('Per Invoice'!V$2:V$801,$W127)="","",INDEX('Per Invoice'!V$2:V$801,$W127)))</f>
        <v/>
      </c>
      <c r="W127" s="16">
        <f>IFERROR(MATCH(Settings!$C$30&amp;"|"&amp;ROWS($W$2:$W127),'Per Invoice'!$X$2:$X$801,0),"")</f>
        <v/>
      </c>
    </row>
    <row r="128">
      <c r="A128">
        <f>IF($W128="","",IF(INDEX('Per Invoice'!A$2:A$801,$W128)="","",INDEX('Per Invoice'!A$2:A$801,$W128)))</f>
        <v/>
      </c>
      <c r="B128">
        <f>IF($W128="","",IF(INDEX('Per Invoice'!B$2:B$801,$W128)="","",INDEX('Per Invoice'!B$2:B$801,$W128)))</f>
        <v/>
      </c>
      <c r="C128">
        <f>IF($W128="","",IF(INDEX('Per Invoice'!C$2:C$801,$W128)="","",INDEX('Per Invoice'!C$2:C$801,$W128)))</f>
        <v/>
      </c>
      <c r="D128">
        <f>IF($W128="","",IF(INDEX('Per Invoice'!D$2:D$801,$W128)="","",INDEX('Per Invoice'!D$2:D$801,$W128)))</f>
        <v/>
      </c>
      <c r="E128">
        <f>IF($W128="","",IF(INDEX('Per Invoice'!E$2:E$801,$W128)="","",INDEX('Per Invoice'!E$2:E$801,$W128)))</f>
        <v/>
      </c>
      <c r="F128">
        <f>IF($W128="","",IF(INDEX('Per Invoice'!F$2:F$801,$W128)="","",INDEX('Per Invoice'!F$2:F$801,$W128)))</f>
        <v/>
      </c>
      <c r="G128">
        <f>IF($W128="","",IF(INDEX('Per Invoice'!G$2:G$801,$W128)="","",INDEX('Per Invoice'!G$2:G$801,$W128)))</f>
        <v/>
      </c>
      <c r="H128">
        <f>IF($W128="","",IF(INDEX('Per Invoice'!H$2:H$801,$W128)="","",INDEX('Per Invoice'!H$2:H$801,$W128)))</f>
        <v/>
      </c>
      <c r="I128">
        <f>IF($W128="","",IF(INDEX('Per Invoice'!I$2:I$801,$W128)="","",INDEX('Per Invoice'!I$2:I$801,$W128)))</f>
        <v/>
      </c>
      <c r="J128">
        <f>IF($W128="","",IF(INDEX('Per Invoice'!J$2:J$801,$W128)="","",INDEX('Per Invoice'!J$2:J$801,$W128)))</f>
        <v/>
      </c>
      <c r="K128" s="7">
        <f>IF($W128="","",IF(INDEX('Per Invoice'!K$2:K$801,$W128)="","",INDEX('Per Invoice'!K$2:K$801,$W128)))</f>
        <v/>
      </c>
      <c r="L128" s="14">
        <f>IF($W128="","",IF(INDEX('Per Invoice'!L$2:L$801,$W128)="","",INDEX('Per Invoice'!L$2:L$801,$W128)))</f>
        <v/>
      </c>
      <c r="M128">
        <f>IF($W128="","",IF(INDEX('Per Invoice'!M$2:M$801,$W128)="","",INDEX('Per Invoice'!M$2:M$801,$W128)))</f>
        <v/>
      </c>
      <c r="N128" s="7">
        <f>IF($W128="","",IF(INDEX('Per Invoice'!N$2:N$801,$W128)="","",INDEX('Per Invoice'!N$2:N$801,$W128)))</f>
        <v/>
      </c>
      <c r="O128" s="7">
        <f>IF($W128="","",IF(INDEX('Per Invoice'!O$2:O$801,$W128)="","",INDEX('Per Invoice'!O$2:O$801,$W128)))</f>
        <v/>
      </c>
      <c r="P128">
        <f>IF($W128="","",IF(INDEX('Per Invoice'!P$2:P$801,$W128)="","",INDEX('Per Invoice'!P$2:P$801,$W128)))</f>
        <v/>
      </c>
      <c r="Q128" s="7">
        <f>IF($W128="","",IF(INDEX('Per Invoice'!Q$2:Q$801,$W128)="","",INDEX('Per Invoice'!Q$2:Q$801,$W128)))</f>
        <v/>
      </c>
      <c r="R128" s="7">
        <f>IF($W128="","",IF(INDEX('Per Invoice'!R$2:R$801,$W128)="","",INDEX('Per Invoice'!R$2:R$801,$W128)))</f>
        <v/>
      </c>
      <c r="S128" s="7">
        <f>IF($W128="","",IF(INDEX('Per Invoice'!S$2:S$801,$W128)="","",INDEX('Per Invoice'!S$2:S$801,$W128)))</f>
        <v/>
      </c>
      <c r="T128" s="7">
        <f>IF($W128="","",IF(INDEX('Per Invoice'!T$2:T$801,$W128)="","",INDEX('Per Invoice'!T$2:T$801,$W128)))</f>
        <v/>
      </c>
      <c r="U128" s="7">
        <f>IF($W128="","",IF(INDEX('Per Invoice'!U$2:U$801,$W128)="","",INDEX('Per Invoice'!U$2:U$801,$W128)))</f>
        <v/>
      </c>
      <c r="V128" s="7">
        <f>IF($W128="","",IF(INDEX('Per Invoice'!V$2:V$801,$W128)="","",INDEX('Per Invoice'!V$2:V$801,$W128)))</f>
        <v/>
      </c>
      <c r="W128" s="16">
        <f>IFERROR(MATCH(Settings!$C$30&amp;"|"&amp;ROWS($W$2:$W128),'Per Invoice'!$X$2:$X$801,0),"")</f>
        <v/>
      </c>
    </row>
    <row r="129">
      <c r="A129">
        <f>IF($W129="","",IF(INDEX('Per Invoice'!A$2:A$801,$W129)="","",INDEX('Per Invoice'!A$2:A$801,$W129)))</f>
        <v/>
      </c>
      <c r="B129">
        <f>IF($W129="","",IF(INDEX('Per Invoice'!B$2:B$801,$W129)="","",INDEX('Per Invoice'!B$2:B$801,$W129)))</f>
        <v/>
      </c>
      <c r="C129">
        <f>IF($W129="","",IF(INDEX('Per Invoice'!C$2:C$801,$W129)="","",INDEX('Per Invoice'!C$2:C$801,$W129)))</f>
        <v/>
      </c>
      <c r="D129">
        <f>IF($W129="","",IF(INDEX('Per Invoice'!D$2:D$801,$W129)="","",INDEX('Per Invoice'!D$2:D$801,$W129)))</f>
        <v/>
      </c>
      <c r="E129">
        <f>IF($W129="","",IF(INDEX('Per Invoice'!E$2:E$801,$W129)="","",INDEX('Per Invoice'!E$2:E$801,$W129)))</f>
        <v/>
      </c>
      <c r="F129">
        <f>IF($W129="","",IF(INDEX('Per Invoice'!F$2:F$801,$W129)="","",INDEX('Per Invoice'!F$2:F$801,$W129)))</f>
        <v/>
      </c>
      <c r="G129">
        <f>IF($W129="","",IF(INDEX('Per Invoice'!G$2:G$801,$W129)="","",INDEX('Per Invoice'!G$2:G$801,$W129)))</f>
        <v/>
      </c>
      <c r="H129">
        <f>IF($W129="","",IF(INDEX('Per Invoice'!H$2:H$801,$W129)="","",INDEX('Per Invoice'!H$2:H$801,$W129)))</f>
        <v/>
      </c>
      <c r="I129">
        <f>IF($W129="","",IF(INDEX('Per Invoice'!I$2:I$801,$W129)="","",INDEX('Per Invoice'!I$2:I$801,$W129)))</f>
        <v/>
      </c>
      <c r="J129">
        <f>IF($W129="","",IF(INDEX('Per Invoice'!J$2:J$801,$W129)="","",INDEX('Per Invoice'!J$2:J$801,$W129)))</f>
        <v/>
      </c>
      <c r="K129" s="7">
        <f>IF($W129="","",IF(INDEX('Per Invoice'!K$2:K$801,$W129)="","",INDEX('Per Invoice'!K$2:K$801,$W129)))</f>
        <v/>
      </c>
      <c r="L129" s="14">
        <f>IF($W129="","",IF(INDEX('Per Invoice'!L$2:L$801,$W129)="","",INDEX('Per Invoice'!L$2:L$801,$W129)))</f>
        <v/>
      </c>
      <c r="M129">
        <f>IF($W129="","",IF(INDEX('Per Invoice'!M$2:M$801,$W129)="","",INDEX('Per Invoice'!M$2:M$801,$W129)))</f>
        <v/>
      </c>
      <c r="N129" s="7">
        <f>IF($W129="","",IF(INDEX('Per Invoice'!N$2:N$801,$W129)="","",INDEX('Per Invoice'!N$2:N$801,$W129)))</f>
        <v/>
      </c>
      <c r="O129" s="7">
        <f>IF($W129="","",IF(INDEX('Per Invoice'!O$2:O$801,$W129)="","",INDEX('Per Invoice'!O$2:O$801,$W129)))</f>
        <v/>
      </c>
      <c r="P129">
        <f>IF($W129="","",IF(INDEX('Per Invoice'!P$2:P$801,$W129)="","",INDEX('Per Invoice'!P$2:P$801,$W129)))</f>
        <v/>
      </c>
      <c r="Q129" s="7">
        <f>IF($W129="","",IF(INDEX('Per Invoice'!Q$2:Q$801,$W129)="","",INDEX('Per Invoice'!Q$2:Q$801,$W129)))</f>
        <v/>
      </c>
      <c r="R129" s="7">
        <f>IF($W129="","",IF(INDEX('Per Invoice'!R$2:R$801,$W129)="","",INDEX('Per Invoice'!R$2:R$801,$W129)))</f>
        <v/>
      </c>
      <c r="S129" s="7">
        <f>IF($W129="","",IF(INDEX('Per Invoice'!S$2:S$801,$W129)="","",INDEX('Per Invoice'!S$2:S$801,$W129)))</f>
        <v/>
      </c>
      <c r="T129" s="7">
        <f>IF($W129="","",IF(INDEX('Per Invoice'!T$2:T$801,$W129)="","",INDEX('Per Invoice'!T$2:T$801,$W129)))</f>
        <v/>
      </c>
      <c r="U129" s="7">
        <f>IF($W129="","",IF(INDEX('Per Invoice'!U$2:U$801,$W129)="","",INDEX('Per Invoice'!U$2:U$801,$W129)))</f>
        <v/>
      </c>
      <c r="V129" s="7">
        <f>IF($W129="","",IF(INDEX('Per Invoice'!V$2:V$801,$W129)="","",INDEX('Per Invoice'!V$2:V$801,$W129)))</f>
        <v/>
      </c>
      <c r="W129" s="16">
        <f>IFERROR(MATCH(Settings!$C$30&amp;"|"&amp;ROWS($W$2:$W129),'Per Invoice'!$X$2:$X$801,0),"")</f>
        <v/>
      </c>
    </row>
    <row r="130">
      <c r="A130">
        <f>IF($W130="","",IF(INDEX('Per Invoice'!A$2:A$801,$W130)="","",INDEX('Per Invoice'!A$2:A$801,$W130)))</f>
        <v/>
      </c>
      <c r="B130">
        <f>IF($W130="","",IF(INDEX('Per Invoice'!B$2:B$801,$W130)="","",INDEX('Per Invoice'!B$2:B$801,$W130)))</f>
        <v/>
      </c>
      <c r="C130">
        <f>IF($W130="","",IF(INDEX('Per Invoice'!C$2:C$801,$W130)="","",INDEX('Per Invoice'!C$2:C$801,$W130)))</f>
        <v/>
      </c>
      <c r="D130">
        <f>IF($W130="","",IF(INDEX('Per Invoice'!D$2:D$801,$W130)="","",INDEX('Per Invoice'!D$2:D$801,$W130)))</f>
        <v/>
      </c>
      <c r="E130">
        <f>IF($W130="","",IF(INDEX('Per Invoice'!E$2:E$801,$W130)="","",INDEX('Per Invoice'!E$2:E$801,$W130)))</f>
        <v/>
      </c>
      <c r="F130">
        <f>IF($W130="","",IF(INDEX('Per Invoice'!F$2:F$801,$W130)="","",INDEX('Per Invoice'!F$2:F$801,$W130)))</f>
        <v/>
      </c>
      <c r="G130">
        <f>IF($W130="","",IF(INDEX('Per Invoice'!G$2:G$801,$W130)="","",INDEX('Per Invoice'!G$2:G$801,$W130)))</f>
        <v/>
      </c>
      <c r="H130">
        <f>IF($W130="","",IF(INDEX('Per Invoice'!H$2:H$801,$W130)="","",INDEX('Per Invoice'!H$2:H$801,$W130)))</f>
        <v/>
      </c>
      <c r="I130">
        <f>IF($W130="","",IF(INDEX('Per Invoice'!I$2:I$801,$W130)="","",INDEX('Per Invoice'!I$2:I$801,$W130)))</f>
        <v/>
      </c>
      <c r="J130">
        <f>IF($W130="","",IF(INDEX('Per Invoice'!J$2:J$801,$W130)="","",INDEX('Per Invoice'!J$2:J$801,$W130)))</f>
        <v/>
      </c>
      <c r="K130" s="7">
        <f>IF($W130="","",IF(INDEX('Per Invoice'!K$2:K$801,$W130)="","",INDEX('Per Invoice'!K$2:K$801,$W130)))</f>
        <v/>
      </c>
      <c r="L130" s="14">
        <f>IF($W130="","",IF(INDEX('Per Invoice'!L$2:L$801,$W130)="","",INDEX('Per Invoice'!L$2:L$801,$W130)))</f>
        <v/>
      </c>
      <c r="M130">
        <f>IF($W130="","",IF(INDEX('Per Invoice'!M$2:M$801,$W130)="","",INDEX('Per Invoice'!M$2:M$801,$W130)))</f>
        <v/>
      </c>
      <c r="N130" s="7">
        <f>IF($W130="","",IF(INDEX('Per Invoice'!N$2:N$801,$W130)="","",INDEX('Per Invoice'!N$2:N$801,$W130)))</f>
        <v/>
      </c>
      <c r="O130" s="7">
        <f>IF($W130="","",IF(INDEX('Per Invoice'!O$2:O$801,$W130)="","",INDEX('Per Invoice'!O$2:O$801,$W130)))</f>
        <v/>
      </c>
      <c r="P130">
        <f>IF($W130="","",IF(INDEX('Per Invoice'!P$2:P$801,$W130)="","",INDEX('Per Invoice'!P$2:P$801,$W130)))</f>
        <v/>
      </c>
      <c r="Q130" s="7">
        <f>IF($W130="","",IF(INDEX('Per Invoice'!Q$2:Q$801,$W130)="","",INDEX('Per Invoice'!Q$2:Q$801,$W130)))</f>
        <v/>
      </c>
      <c r="R130" s="7">
        <f>IF($W130="","",IF(INDEX('Per Invoice'!R$2:R$801,$W130)="","",INDEX('Per Invoice'!R$2:R$801,$W130)))</f>
        <v/>
      </c>
      <c r="S130" s="7">
        <f>IF($W130="","",IF(INDEX('Per Invoice'!S$2:S$801,$W130)="","",INDEX('Per Invoice'!S$2:S$801,$W130)))</f>
        <v/>
      </c>
      <c r="T130" s="7">
        <f>IF($W130="","",IF(INDEX('Per Invoice'!T$2:T$801,$W130)="","",INDEX('Per Invoice'!T$2:T$801,$W130)))</f>
        <v/>
      </c>
      <c r="U130" s="7">
        <f>IF($W130="","",IF(INDEX('Per Invoice'!U$2:U$801,$W130)="","",INDEX('Per Invoice'!U$2:U$801,$W130)))</f>
        <v/>
      </c>
      <c r="V130" s="7">
        <f>IF($W130="","",IF(INDEX('Per Invoice'!V$2:V$801,$W130)="","",INDEX('Per Invoice'!V$2:V$801,$W130)))</f>
        <v/>
      </c>
      <c r="W130" s="16">
        <f>IFERROR(MATCH(Settings!$C$30&amp;"|"&amp;ROWS($W$2:$W130),'Per Invoice'!$X$2:$X$801,0),"")</f>
        <v/>
      </c>
    </row>
    <row r="131">
      <c r="A131">
        <f>IF($W131="","",IF(INDEX('Per Invoice'!A$2:A$801,$W131)="","",INDEX('Per Invoice'!A$2:A$801,$W131)))</f>
        <v/>
      </c>
      <c r="B131">
        <f>IF($W131="","",IF(INDEX('Per Invoice'!B$2:B$801,$W131)="","",INDEX('Per Invoice'!B$2:B$801,$W131)))</f>
        <v/>
      </c>
      <c r="C131">
        <f>IF($W131="","",IF(INDEX('Per Invoice'!C$2:C$801,$W131)="","",INDEX('Per Invoice'!C$2:C$801,$W131)))</f>
        <v/>
      </c>
      <c r="D131">
        <f>IF($W131="","",IF(INDEX('Per Invoice'!D$2:D$801,$W131)="","",INDEX('Per Invoice'!D$2:D$801,$W131)))</f>
        <v/>
      </c>
      <c r="E131">
        <f>IF($W131="","",IF(INDEX('Per Invoice'!E$2:E$801,$W131)="","",INDEX('Per Invoice'!E$2:E$801,$W131)))</f>
        <v/>
      </c>
      <c r="F131">
        <f>IF($W131="","",IF(INDEX('Per Invoice'!F$2:F$801,$W131)="","",INDEX('Per Invoice'!F$2:F$801,$W131)))</f>
        <v/>
      </c>
      <c r="G131">
        <f>IF($W131="","",IF(INDEX('Per Invoice'!G$2:G$801,$W131)="","",INDEX('Per Invoice'!G$2:G$801,$W131)))</f>
        <v/>
      </c>
      <c r="H131">
        <f>IF($W131="","",IF(INDEX('Per Invoice'!H$2:H$801,$W131)="","",INDEX('Per Invoice'!H$2:H$801,$W131)))</f>
        <v/>
      </c>
      <c r="I131">
        <f>IF($W131="","",IF(INDEX('Per Invoice'!I$2:I$801,$W131)="","",INDEX('Per Invoice'!I$2:I$801,$W131)))</f>
        <v/>
      </c>
      <c r="J131">
        <f>IF($W131="","",IF(INDEX('Per Invoice'!J$2:J$801,$W131)="","",INDEX('Per Invoice'!J$2:J$801,$W131)))</f>
        <v/>
      </c>
      <c r="K131" s="7">
        <f>IF($W131="","",IF(INDEX('Per Invoice'!K$2:K$801,$W131)="","",INDEX('Per Invoice'!K$2:K$801,$W131)))</f>
        <v/>
      </c>
      <c r="L131" s="14">
        <f>IF($W131="","",IF(INDEX('Per Invoice'!L$2:L$801,$W131)="","",INDEX('Per Invoice'!L$2:L$801,$W131)))</f>
        <v/>
      </c>
      <c r="M131">
        <f>IF($W131="","",IF(INDEX('Per Invoice'!M$2:M$801,$W131)="","",INDEX('Per Invoice'!M$2:M$801,$W131)))</f>
        <v/>
      </c>
      <c r="N131" s="7">
        <f>IF($W131="","",IF(INDEX('Per Invoice'!N$2:N$801,$W131)="","",INDEX('Per Invoice'!N$2:N$801,$W131)))</f>
        <v/>
      </c>
      <c r="O131" s="7">
        <f>IF($W131="","",IF(INDEX('Per Invoice'!O$2:O$801,$W131)="","",INDEX('Per Invoice'!O$2:O$801,$W131)))</f>
        <v/>
      </c>
      <c r="P131">
        <f>IF($W131="","",IF(INDEX('Per Invoice'!P$2:P$801,$W131)="","",INDEX('Per Invoice'!P$2:P$801,$W131)))</f>
        <v/>
      </c>
      <c r="Q131" s="7">
        <f>IF($W131="","",IF(INDEX('Per Invoice'!Q$2:Q$801,$W131)="","",INDEX('Per Invoice'!Q$2:Q$801,$W131)))</f>
        <v/>
      </c>
      <c r="R131" s="7">
        <f>IF($W131="","",IF(INDEX('Per Invoice'!R$2:R$801,$W131)="","",INDEX('Per Invoice'!R$2:R$801,$W131)))</f>
        <v/>
      </c>
      <c r="S131" s="7">
        <f>IF($W131="","",IF(INDEX('Per Invoice'!S$2:S$801,$W131)="","",INDEX('Per Invoice'!S$2:S$801,$W131)))</f>
        <v/>
      </c>
      <c r="T131" s="7">
        <f>IF($W131="","",IF(INDEX('Per Invoice'!T$2:T$801,$W131)="","",INDEX('Per Invoice'!T$2:T$801,$W131)))</f>
        <v/>
      </c>
      <c r="U131" s="7">
        <f>IF($W131="","",IF(INDEX('Per Invoice'!U$2:U$801,$W131)="","",INDEX('Per Invoice'!U$2:U$801,$W131)))</f>
        <v/>
      </c>
      <c r="V131" s="7">
        <f>IF($W131="","",IF(INDEX('Per Invoice'!V$2:V$801,$W131)="","",INDEX('Per Invoice'!V$2:V$801,$W131)))</f>
        <v/>
      </c>
      <c r="W131" s="16">
        <f>IFERROR(MATCH(Settings!$C$30&amp;"|"&amp;ROWS($W$2:$W131),'Per Invoice'!$X$2:$X$801,0),"")</f>
        <v/>
      </c>
    </row>
    <row r="132">
      <c r="A132">
        <f>IF($W132="","",IF(INDEX('Per Invoice'!A$2:A$801,$W132)="","",INDEX('Per Invoice'!A$2:A$801,$W132)))</f>
        <v/>
      </c>
      <c r="B132">
        <f>IF($W132="","",IF(INDEX('Per Invoice'!B$2:B$801,$W132)="","",INDEX('Per Invoice'!B$2:B$801,$W132)))</f>
        <v/>
      </c>
      <c r="C132">
        <f>IF($W132="","",IF(INDEX('Per Invoice'!C$2:C$801,$W132)="","",INDEX('Per Invoice'!C$2:C$801,$W132)))</f>
        <v/>
      </c>
      <c r="D132">
        <f>IF($W132="","",IF(INDEX('Per Invoice'!D$2:D$801,$W132)="","",INDEX('Per Invoice'!D$2:D$801,$W132)))</f>
        <v/>
      </c>
      <c r="E132">
        <f>IF($W132="","",IF(INDEX('Per Invoice'!E$2:E$801,$W132)="","",INDEX('Per Invoice'!E$2:E$801,$W132)))</f>
        <v/>
      </c>
      <c r="F132">
        <f>IF($W132="","",IF(INDEX('Per Invoice'!F$2:F$801,$W132)="","",INDEX('Per Invoice'!F$2:F$801,$W132)))</f>
        <v/>
      </c>
      <c r="G132">
        <f>IF($W132="","",IF(INDEX('Per Invoice'!G$2:G$801,$W132)="","",INDEX('Per Invoice'!G$2:G$801,$W132)))</f>
        <v/>
      </c>
      <c r="H132">
        <f>IF($W132="","",IF(INDEX('Per Invoice'!H$2:H$801,$W132)="","",INDEX('Per Invoice'!H$2:H$801,$W132)))</f>
        <v/>
      </c>
      <c r="I132">
        <f>IF($W132="","",IF(INDEX('Per Invoice'!I$2:I$801,$W132)="","",INDEX('Per Invoice'!I$2:I$801,$W132)))</f>
        <v/>
      </c>
      <c r="J132">
        <f>IF($W132="","",IF(INDEX('Per Invoice'!J$2:J$801,$W132)="","",INDEX('Per Invoice'!J$2:J$801,$W132)))</f>
        <v/>
      </c>
      <c r="K132" s="7">
        <f>IF($W132="","",IF(INDEX('Per Invoice'!K$2:K$801,$W132)="","",INDEX('Per Invoice'!K$2:K$801,$W132)))</f>
        <v/>
      </c>
      <c r="L132" s="14">
        <f>IF($W132="","",IF(INDEX('Per Invoice'!L$2:L$801,$W132)="","",INDEX('Per Invoice'!L$2:L$801,$W132)))</f>
        <v/>
      </c>
      <c r="M132">
        <f>IF($W132="","",IF(INDEX('Per Invoice'!M$2:M$801,$W132)="","",INDEX('Per Invoice'!M$2:M$801,$W132)))</f>
        <v/>
      </c>
      <c r="N132" s="7">
        <f>IF($W132="","",IF(INDEX('Per Invoice'!N$2:N$801,$W132)="","",INDEX('Per Invoice'!N$2:N$801,$W132)))</f>
        <v/>
      </c>
      <c r="O132" s="7">
        <f>IF($W132="","",IF(INDEX('Per Invoice'!O$2:O$801,$W132)="","",INDEX('Per Invoice'!O$2:O$801,$W132)))</f>
        <v/>
      </c>
      <c r="P132">
        <f>IF($W132="","",IF(INDEX('Per Invoice'!P$2:P$801,$W132)="","",INDEX('Per Invoice'!P$2:P$801,$W132)))</f>
        <v/>
      </c>
      <c r="Q132" s="7">
        <f>IF($W132="","",IF(INDEX('Per Invoice'!Q$2:Q$801,$W132)="","",INDEX('Per Invoice'!Q$2:Q$801,$W132)))</f>
        <v/>
      </c>
      <c r="R132" s="7">
        <f>IF($W132="","",IF(INDEX('Per Invoice'!R$2:R$801,$W132)="","",INDEX('Per Invoice'!R$2:R$801,$W132)))</f>
        <v/>
      </c>
      <c r="S132" s="7">
        <f>IF($W132="","",IF(INDEX('Per Invoice'!S$2:S$801,$W132)="","",INDEX('Per Invoice'!S$2:S$801,$W132)))</f>
        <v/>
      </c>
      <c r="T132" s="7">
        <f>IF($W132="","",IF(INDEX('Per Invoice'!T$2:T$801,$W132)="","",INDEX('Per Invoice'!T$2:T$801,$W132)))</f>
        <v/>
      </c>
      <c r="U132" s="7">
        <f>IF($W132="","",IF(INDEX('Per Invoice'!U$2:U$801,$W132)="","",INDEX('Per Invoice'!U$2:U$801,$W132)))</f>
        <v/>
      </c>
      <c r="V132" s="7">
        <f>IF($W132="","",IF(INDEX('Per Invoice'!V$2:V$801,$W132)="","",INDEX('Per Invoice'!V$2:V$801,$W132)))</f>
        <v/>
      </c>
      <c r="W132" s="16">
        <f>IFERROR(MATCH(Settings!$C$30&amp;"|"&amp;ROWS($W$2:$W132),'Per Invoice'!$X$2:$X$801,0),"")</f>
        <v/>
      </c>
    </row>
    <row r="133">
      <c r="A133">
        <f>IF($W133="","",IF(INDEX('Per Invoice'!A$2:A$801,$W133)="","",INDEX('Per Invoice'!A$2:A$801,$W133)))</f>
        <v/>
      </c>
      <c r="B133">
        <f>IF($W133="","",IF(INDEX('Per Invoice'!B$2:B$801,$W133)="","",INDEX('Per Invoice'!B$2:B$801,$W133)))</f>
        <v/>
      </c>
      <c r="C133">
        <f>IF($W133="","",IF(INDEX('Per Invoice'!C$2:C$801,$W133)="","",INDEX('Per Invoice'!C$2:C$801,$W133)))</f>
        <v/>
      </c>
      <c r="D133">
        <f>IF($W133="","",IF(INDEX('Per Invoice'!D$2:D$801,$W133)="","",INDEX('Per Invoice'!D$2:D$801,$W133)))</f>
        <v/>
      </c>
      <c r="E133">
        <f>IF($W133="","",IF(INDEX('Per Invoice'!E$2:E$801,$W133)="","",INDEX('Per Invoice'!E$2:E$801,$W133)))</f>
        <v/>
      </c>
      <c r="F133">
        <f>IF($W133="","",IF(INDEX('Per Invoice'!F$2:F$801,$W133)="","",INDEX('Per Invoice'!F$2:F$801,$W133)))</f>
        <v/>
      </c>
      <c r="G133">
        <f>IF($W133="","",IF(INDEX('Per Invoice'!G$2:G$801,$W133)="","",INDEX('Per Invoice'!G$2:G$801,$W133)))</f>
        <v/>
      </c>
      <c r="H133">
        <f>IF($W133="","",IF(INDEX('Per Invoice'!H$2:H$801,$W133)="","",INDEX('Per Invoice'!H$2:H$801,$W133)))</f>
        <v/>
      </c>
      <c r="I133">
        <f>IF($W133="","",IF(INDEX('Per Invoice'!I$2:I$801,$W133)="","",INDEX('Per Invoice'!I$2:I$801,$W133)))</f>
        <v/>
      </c>
      <c r="J133">
        <f>IF($W133="","",IF(INDEX('Per Invoice'!J$2:J$801,$W133)="","",INDEX('Per Invoice'!J$2:J$801,$W133)))</f>
        <v/>
      </c>
      <c r="K133" s="7">
        <f>IF($W133="","",IF(INDEX('Per Invoice'!K$2:K$801,$W133)="","",INDEX('Per Invoice'!K$2:K$801,$W133)))</f>
        <v/>
      </c>
      <c r="L133" s="14">
        <f>IF($W133="","",IF(INDEX('Per Invoice'!L$2:L$801,$W133)="","",INDEX('Per Invoice'!L$2:L$801,$W133)))</f>
        <v/>
      </c>
      <c r="M133">
        <f>IF($W133="","",IF(INDEX('Per Invoice'!M$2:M$801,$W133)="","",INDEX('Per Invoice'!M$2:M$801,$W133)))</f>
        <v/>
      </c>
      <c r="N133" s="7">
        <f>IF($W133="","",IF(INDEX('Per Invoice'!N$2:N$801,$W133)="","",INDEX('Per Invoice'!N$2:N$801,$W133)))</f>
        <v/>
      </c>
      <c r="O133" s="7">
        <f>IF($W133="","",IF(INDEX('Per Invoice'!O$2:O$801,$W133)="","",INDEX('Per Invoice'!O$2:O$801,$W133)))</f>
        <v/>
      </c>
      <c r="P133">
        <f>IF($W133="","",IF(INDEX('Per Invoice'!P$2:P$801,$W133)="","",INDEX('Per Invoice'!P$2:P$801,$W133)))</f>
        <v/>
      </c>
      <c r="Q133" s="7">
        <f>IF($W133="","",IF(INDEX('Per Invoice'!Q$2:Q$801,$W133)="","",INDEX('Per Invoice'!Q$2:Q$801,$W133)))</f>
        <v/>
      </c>
      <c r="R133" s="7">
        <f>IF($W133="","",IF(INDEX('Per Invoice'!R$2:R$801,$W133)="","",INDEX('Per Invoice'!R$2:R$801,$W133)))</f>
        <v/>
      </c>
      <c r="S133" s="7">
        <f>IF($W133="","",IF(INDEX('Per Invoice'!S$2:S$801,$W133)="","",INDEX('Per Invoice'!S$2:S$801,$W133)))</f>
        <v/>
      </c>
      <c r="T133" s="7">
        <f>IF($W133="","",IF(INDEX('Per Invoice'!T$2:T$801,$W133)="","",INDEX('Per Invoice'!T$2:T$801,$W133)))</f>
        <v/>
      </c>
      <c r="U133" s="7">
        <f>IF($W133="","",IF(INDEX('Per Invoice'!U$2:U$801,$W133)="","",INDEX('Per Invoice'!U$2:U$801,$W133)))</f>
        <v/>
      </c>
      <c r="V133" s="7">
        <f>IF($W133="","",IF(INDEX('Per Invoice'!V$2:V$801,$W133)="","",INDEX('Per Invoice'!V$2:V$801,$W133)))</f>
        <v/>
      </c>
      <c r="W133" s="16">
        <f>IFERROR(MATCH(Settings!$C$30&amp;"|"&amp;ROWS($W$2:$W133),'Per Invoice'!$X$2:$X$801,0),"")</f>
        <v/>
      </c>
    </row>
    <row r="134">
      <c r="A134">
        <f>IF($W134="","",IF(INDEX('Per Invoice'!A$2:A$801,$W134)="","",INDEX('Per Invoice'!A$2:A$801,$W134)))</f>
        <v/>
      </c>
      <c r="B134">
        <f>IF($W134="","",IF(INDEX('Per Invoice'!B$2:B$801,$W134)="","",INDEX('Per Invoice'!B$2:B$801,$W134)))</f>
        <v/>
      </c>
      <c r="C134">
        <f>IF($W134="","",IF(INDEX('Per Invoice'!C$2:C$801,$W134)="","",INDEX('Per Invoice'!C$2:C$801,$W134)))</f>
        <v/>
      </c>
      <c r="D134">
        <f>IF($W134="","",IF(INDEX('Per Invoice'!D$2:D$801,$W134)="","",INDEX('Per Invoice'!D$2:D$801,$W134)))</f>
        <v/>
      </c>
      <c r="E134">
        <f>IF($W134="","",IF(INDEX('Per Invoice'!E$2:E$801,$W134)="","",INDEX('Per Invoice'!E$2:E$801,$W134)))</f>
        <v/>
      </c>
      <c r="F134">
        <f>IF($W134="","",IF(INDEX('Per Invoice'!F$2:F$801,$W134)="","",INDEX('Per Invoice'!F$2:F$801,$W134)))</f>
        <v/>
      </c>
      <c r="G134">
        <f>IF($W134="","",IF(INDEX('Per Invoice'!G$2:G$801,$W134)="","",INDEX('Per Invoice'!G$2:G$801,$W134)))</f>
        <v/>
      </c>
      <c r="H134">
        <f>IF($W134="","",IF(INDEX('Per Invoice'!H$2:H$801,$W134)="","",INDEX('Per Invoice'!H$2:H$801,$W134)))</f>
        <v/>
      </c>
      <c r="I134">
        <f>IF($W134="","",IF(INDEX('Per Invoice'!I$2:I$801,$W134)="","",INDEX('Per Invoice'!I$2:I$801,$W134)))</f>
        <v/>
      </c>
      <c r="J134">
        <f>IF($W134="","",IF(INDEX('Per Invoice'!J$2:J$801,$W134)="","",INDEX('Per Invoice'!J$2:J$801,$W134)))</f>
        <v/>
      </c>
      <c r="K134" s="7">
        <f>IF($W134="","",IF(INDEX('Per Invoice'!K$2:K$801,$W134)="","",INDEX('Per Invoice'!K$2:K$801,$W134)))</f>
        <v/>
      </c>
      <c r="L134" s="14">
        <f>IF($W134="","",IF(INDEX('Per Invoice'!L$2:L$801,$W134)="","",INDEX('Per Invoice'!L$2:L$801,$W134)))</f>
        <v/>
      </c>
      <c r="M134">
        <f>IF($W134="","",IF(INDEX('Per Invoice'!M$2:M$801,$W134)="","",INDEX('Per Invoice'!M$2:M$801,$W134)))</f>
        <v/>
      </c>
      <c r="N134" s="7">
        <f>IF($W134="","",IF(INDEX('Per Invoice'!N$2:N$801,$W134)="","",INDEX('Per Invoice'!N$2:N$801,$W134)))</f>
        <v/>
      </c>
      <c r="O134" s="7">
        <f>IF($W134="","",IF(INDEX('Per Invoice'!O$2:O$801,$W134)="","",INDEX('Per Invoice'!O$2:O$801,$W134)))</f>
        <v/>
      </c>
      <c r="P134">
        <f>IF($W134="","",IF(INDEX('Per Invoice'!P$2:P$801,$W134)="","",INDEX('Per Invoice'!P$2:P$801,$W134)))</f>
        <v/>
      </c>
      <c r="Q134" s="7">
        <f>IF($W134="","",IF(INDEX('Per Invoice'!Q$2:Q$801,$W134)="","",INDEX('Per Invoice'!Q$2:Q$801,$W134)))</f>
        <v/>
      </c>
      <c r="R134" s="7">
        <f>IF($W134="","",IF(INDEX('Per Invoice'!R$2:R$801,$W134)="","",INDEX('Per Invoice'!R$2:R$801,$W134)))</f>
        <v/>
      </c>
      <c r="S134" s="7">
        <f>IF($W134="","",IF(INDEX('Per Invoice'!S$2:S$801,$W134)="","",INDEX('Per Invoice'!S$2:S$801,$W134)))</f>
        <v/>
      </c>
      <c r="T134" s="7">
        <f>IF($W134="","",IF(INDEX('Per Invoice'!T$2:T$801,$W134)="","",INDEX('Per Invoice'!T$2:T$801,$W134)))</f>
        <v/>
      </c>
      <c r="U134" s="7">
        <f>IF($W134="","",IF(INDEX('Per Invoice'!U$2:U$801,$W134)="","",INDEX('Per Invoice'!U$2:U$801,$W134)))</f>
        <v/>
      </c>
      <c r="V134" s="7">
        <f>IF($W134="","",IF(INDEX('Per Invoice'!V$2:V$801,$W134)="","",INDEX('Per Invoice'!V$2:V$801,$W134)))</f>
        <v/>
      </c>
      <c r="W134" s="16">
        <f>IFERROR(MATCH(Settings!$C$30&amp;"|"&amp;ROWS($W$2:$W134),'Per Invoice'!$X$2:$X$801,0),"")</f>
        <v/>
      </c>
    </row>
    <row r="135">
      <c r="A135">
        <f>IF($W135="","",IF(INDEX('Per Invoice'!A$2:A$801,$W135)="","",INDEX('Per Invoice'!A$2:A$801,$W135)))</f>
        <v/>
      </c>
      <c r="B135">
        <f>IF($W135="","",IF(INDEX('Per Invoice'!B$2:B$801,$W135)="","",INDEX('Per Invoice'!B$2:B$801,$W135)))</f>
        <v/>
      </c>
      <c r="C135">
        <f>IF($W135="","",IF(INDEX('Per Invoice'!C$2:C$801,$W135)="","",INDEX('Per Invoice'!C$2:C$801,$W135)))</f>
        <v/>
      </c>
      <c r="D135">
        <f>IF($W135="","",IF(INDEX('Per Invoice'!D$2:D$801,$W135)="","",INDEX('Per Invoice'!D$2:D$801,$W135)))</f>
        <v/>
      </c>
      <c r="E135">
        <f>IF($W135="","",IF(INDEX('Per Invoice'!E$2:E$801,$W135)="","",INDEX('Per Invoice'!E$2:E$801,$W135)))</f>
        <v/>
      </c>
      <c r="F135">
        <f>IF($W135="","",IF(INDEX('Per Invoice'!F$2:F$801,$W135)="","",INDEX('Per Invoice'!F$2:F$801,$W135)))</f>
        <v/>
      </c>
      <c r="G135">
        <f>IF($W135="","",IF(INDEX('Per Invoice'!G$2:G$801,$W135)="","",INDEX('Per Invoice'!G$2:G$801,$W135)))</f>
        <v/>
      </c>
      <c r="H135">
        <f>IF($W135="","",IF(INDEX('Per Invoice'!H$2:H$801,$W135)="","",INDEX('Per Invoice'!H$2:H$801,$W135)))</f>
        <v/>
      </c>
      <c r="I135">
        <f>IF($W135="","",IF(INDEX('Per Invoice'!I$2:I$801,$W135)="","",INDEX('Per Invoice'!I$2:I$801,$W135)))</f>
        <v/>
      </c>
      <c r="J135">
        <f>IF($W135="","",IF(INDEX('Per Invoice'!J$2:J$801,$W135)="","",INDEX('Per Invoice'!J$2:J$801,$W135)))</f>
        <v/>
      </c>
      <c r="K135" s="7">
        <f>IF($W135="","",IF(INDEX('Per Invoice'!K$2:K$801,$W135)="","",INDEX('Per Invoice'!K$2:K$801,$W135)))</f>
        <v/>
      </c>
      <c r="L135" s="14">
        <f>IF($W135="","",IF(INDEX('Per Invoice'!L$2:L$801,$W135)="","",INDEX('Per Invoice'!L$2:L$801,$W135)))</f>
        <v/>
      </c>
      <c r="M135">
        <f>IF($W135="","",IF(INDEX('Per Invoice'!M$2:M$801,$W135)="","",INDEX('Per Invoice'!M$2:M$801,$W135)))</f>
        <v/>
      </c>
      <c r="N135" s="7">
        <f>IF($W135="","",IF(INDEX('Per Invoice'!N$2:N$801,$W135)="","",INDEX('Per Invoice'!N$2:N$801,$W135)))</f>
        <v/>
      </c>
      <c r="O135" s="7">
        <f>IF($W135="","",IF(INDEX('Per Invoice'!O$2:O$801,$W135)="","",INDEX('Per Invoice'!O$2:O$801,$W135)))</f>
        <v/>
      </c>
      <c r="P135">
        <f>IF($W135="","",IF(INDEX('Per Invoice'!P$2:P$801,$W135)="","",INDEX('Per Invoice'!P$2:P$801,$W135)))</f>
        <v/>
      </c>
      <c r="Q135" s="7">
        <f>IF($W135="","",IF(INDEX('Per Invoice'!Q$2:Q$801,$W135)="","",INDEX('Per Invoice'!Q$2:Q$801,$W135)))</f>
        <v/>
      </c>
      <c r="R135" s="7">
        <f>IF($W135="","",IF(INDEX('Per Invoice'!R$2:R$801,$W135)="","",INDEX('Per Invoice'!R$2:R$801,$W135)))</f>
        <v/>
      </c>
      <c r="S135" s="7">
        <f>IF($W135="","",IF(INDEX('Per Invoice'!S$2:S$801,$W135)="","",INDEX('Per Invoice'!S$2:S$801,$W135)))</f>
        <v/>
      </c>
      <c r="T135" s="7">
        <f>IF($W135="","",IF(INDEX('Per Invoice'!T$2:T$801,$W135)="","",INDEX('Per Invoice'!T$2:T$801,$W135)))</f>
        <v/>
      </c>
      <c r="U135" s="7">
        <f>IF($W135="","",IF(INDEX('Per Invoice'!U$2:U$801,$W135)="","",INDEX('Per Invoice'!U$2:U$801,$W135)))</f>
        <v/>
      </c>
      <c r="V135" s="7">
        <f>IF($W135="","",IF(INDEX('Per Invoice'!V$2:V$801,$W135)="","",INDEX('Per Invoice'!V$2:V$801,$W135)))</f>
        <v/>
      </c>
      <c r="W135" s="16">
        <f>IFERROR(MATCH(Settings!$C$30&amp;"|"&amp;ROWS($W$2:$W135),'Per Invoice'!$X$2:$X$801,0),"")</f>
        <v/>
      </c>
    </row>
    <row r="136">
      <c r="A136">
        <f>IF($W136="","",IF(INDEX('Per Invoice'!A$2:A$801,$W136)="","",INDEX('Per Invoice'!A$2:A$801,$W136)))</f>
        <v/>
      </c>
      <c r="B136">
        <f>IF($W136="","",IF(INDEX('Per Invoice'!B$2:B$801,$W136)="","",INDEX('Per Invoice'!B$2:B$801,$W136)))</f>
        <v/>
      </c>
      <c r="C136">
        <f>IF($W136="","",IF(INDEX('Per Invoice'!C$2:C$801,$W136)="","",INDEX('Per Invoice'!C$2:C$801,$W136)))</f>
        <v/>
      </c>
      <c r="D136">
        <f>IF($W136="","",IF(INDEX('Per Invoice'!D$2:D$801,$W136)="","",INDEX('Per Invoice'!D$2:D$801,$W136)))</f>
        <v/>
      </c>
      <c r="E136">
        <f>IF($W136="","",IF(INDEX('Per Invoice'!E$2:E$801,$W136)="","",INDEX('Per Invoice'!E$2:E$801,$W136)))</f>
        <v/>
      </c>
      <c r="F136">
        <f>IF($W136="","",IF(INDEX('Per Invoice'!F$2:F$801,$W136)="","",INDEX('Per Invoice'!F$2:F$801,$W136)))</f>
        <v/>
      </c>
      <c r="G136">
        <f>IF($W136="","",IF(INDEX('Per Invoice'!G$2:G$801,$W136)="","",INDEX('Per Invoice'!G$2:G$801,$W136)))</f>
        <v/>
      </c>
      <c r="H136">
        <f>IF($W136="","",IF(INDEX('Per Invoice'!H$2:H$801,$W136)="","",INDEX('Per Invoice'!H$2:H$801,$W136)))</f>
        <v/>
      </c>
      <c r="I136">
        <f>IF($W136="","",IF(INDEX('Per Invoice'!I$2:I$801,$W136)="","",INDEX('Per Invoice'!I$2:I$801,$W136)))</f>
        <v/>
      </c>
      <c r="J136">
        <f>IF($W136="","",IF(INDEX('Per Invoice'!J$2:J$801,$W136)="","",INDEX('Per Invoice'!J$2:J$801,$W136)))</f>
        <v/>
      </c>
      <c r="K136" s="7">
        <f>IF($W136="","",IF(INDEX('Per Invoice'!K$2:K$801,$W136)="","",INDEX('Per Invoice'!K$2:K$801,$W136)))</f>
        <v/>
      </c>
      <c r="L136" s="14">
        <f>IF($W136="","",IF(INDEX('Per Invoice'!L$2:L$801,$W136)="","",INDEX('Per Invoice'!L$2:L$801,$W136)))</f>
        <v/>
      </c>
      <c r="M136">
        <f>IF($W136="","",IF(INDEX('Per Invoice'!M$2:M$801,$W136)="","",INDEX('Per Invoice'!M$2:M$801,$W136)))</f>
        <v/>
      </c>
      <c r="N136" s="7">
        <f>IF($W136="","",IF(INDEX('Per Invoice'!N$2:N$801,$W136)="","",INDEX('Per Invoice'!N$2:N$801,$W136)))</f>
        <v/>
      </c>
      <c r="O136" s="7">
        <f>IF($W136="","",IF(INDEX('Per Invoice'!O$2:O$801,$W136)="","",INDEX('Per Invoice'!O$2:O$801,$W136)))</f>
        <v/>
      </c>
      <c r="P136">
        <f>IF($W136="","",IF(INDEX('Per Invoice'!P$2:P$801,$W136)="","",INDEX('Per Invoice'!P$2:P$801,$W136)))</f>
        <v/>
      </c>
      <c r="Q136" s="7">
        <f>IF($W136="","",IF(INDEX('Per Invoice'!Q$2:Q$801,$W136)="","",INDEX('Per Invoice'!Q$2:Q$801,$W136)))</f>
        <v/>
      </c>
      <c r="R136" s="7">
        <f>IF($W136="","",IF(INDEX('Per Invoice'!R$2:R$801,$W136)="","",INDEX('Per Invoice'!R$2:R$801,$W136)))</f>
        <v/>
      </c>
      <c r="S136" s="7">
        <f>IF($W136="","",IF(INDEX('Per Invoice'!S$2:S$801,$W136)="","",INDEX('Per Invoice'!S$2:S$801,$W136)))</f>
        <v/>
      </c>
      <c r="T136" s="7">
        <f>IF($W136="","",IF(INDEX('Per Invoice'!T$2:T$801,$W136)="","",INDEX('Per Invoice'!T$2:T$801,$W136)))</f>
        <v/>
      </c>
      <c r="U136" s="7">
        <f>IF($W136="","",IF(INDEX('Per Invoice'!U$2:U$801,$W136)="","",INDEX('Per Invoice'!U$2:U$801,$W136)))</f>
        <v/>
      </c>
      <c r="V136" s="7">
        <f>IF($W136="","",IF(INDEX('Per Invoice'!V$2:V$801,$W136)="","",INDEX('Per Invoice'!V$2:V$801,$W136)))</f>
        <v/>
      </c>
      <c r="W136" s="16">
        <f>IFERROR(MATCH(Settings!$C$30&amp;"|"&amp;ROWS($W$2:$W136),'Per Invoice'!$X$2:$X$801,0),"")</f>
        <v/>
      </c>
    </row>
    <row r="137">
      <c r="A137">
        <f>IF($W137="","",IF(INDEX('Per Invoice'!A$2:A$801,$W137)="","",INDEX('Per Invoice'!A$2:A$801,$W137)))</f>
        <v/>
      </c>
      <c r="B137">
        <f>IF($W137="","",IF(INDEX('Per Invoice'!B$2:B$801,$W137)="","",INDEX('Per Invoice'!B$2:B$801,$W137)))</f>
        <v/>
      </c>
      <c r="C137">
        <f>IF($W137="","",IF(INDEX('Per Invoice'!C$2:C$801,$W137)="","",INDEX('Per Invoice'!C$2:C$801,$W137)))</f>
        <v/>
      </c>
      <c r="D137">
        <f>IF($W137="","",IF(INDEX('Per Invoice'!D$2:D$801,$W137)="","",INDEX('Per Invoice'!D$2:D$801,$W137)))</f>
        <v/>
      </c>
      <c r="E137">
        <f>IF($W137="","",IF(INDEX('Per Invoice'!E$2:E$801,$W137)="","",INDEX('Per Invoice'!E$2:E$801,$W137)))</f>
        <v/>
      </c>
      <c r="F137">
        <f>IF($W137="","",IF(INDEX('Per Invoice'!F$2:F$801,$W137)="","",INDEX('Per Invoice'!F$2:F$801,$W137)))</f>
        <v/>
      </c>
      <c r="G137">
        <f>IF($W137="","",IF(INDEX('Per Invoice'!G$2:G$801,$W137)="","",INDEX('Per Invoice'!G$2:G$801,$W137)))</f>
        <v/>
      </c>
      <c r="H137">
        <f>IF($W137="","",IF(INDEX('Per Invoice'!H$2:H$801,$W137)="","",INDEX('Per Invoice'!H$2:H$801,$W137)))</f>
        <v/>
      </c>
      <c r="I137">
        <f>IF($W137="","",IF(INDEX('Per Invoice'!I$2:I$801,$W137)="","",INDEX('Per Invoice'!I$2:I$801,$W137)))</f>
        <v/>
      </c>
      <c r="J137">
        <f>IF($W137="","",IF(INDEX('Per Invoice'!J$2:J$801,$W137)="","",INDEX('Per Invoice'!J$2:J$801,$W137)))</f>
        <v/>
      </c>
      <c r="K137" s="7">
        <f>IF($W137="","",IF(INDEX('Per Invoice'!K$2:K$801,$W137)="","",INDEX('Per Invoice'!K$2:K$801,$W137)))</f>
        <v/>
      </c>
      <c r="L137" s="14">
        <f>IF($W137="","",IF(INDEX('Per Invoice'!L$2:L$801,$W137)="","",INDEX('Per Invoice'!L$2:L$801,$W137)))</f>
        <v/>
      </c>
      <c r="M137">
        <f>IF($W137="","",IF(INDEX('Per Invoice'!M$2:M$801,$W137)="","",INDEX('Per Invoice'!M$2:M$801,$W137)))</f>
        <v/>
      </c>
      <c r="N137" s="7">
        <f>IF($W137="","",IF(INDEX('Per Invoice'!N$2:N$801,$W137)="","",INDEX('Per Invoice'!N$2:N$801,$W137)))</f>
        <v/>
      </c>
      <c r="O137" s="7">
        <f>IF($W137="","",IF(INDEX('Per Invoice'!O$2:O$801,$W137)="","",INDEX('Per Invoice'!O$2:O$801,$W137)))</f>
        <v/>
      </c>
      <c r="P137">
        <f>IF($W137="","",IF(INDEX('Per Invoice'!P$2:P$801,$W137)="","",INDEX('Per Invoice'!P$2:P$801,$W137)))</f>
        <v/>
      </c>
      <c r="Q137" s="7">
        <f>IF($W137="","",IF(INDEX('Per Invoice'!Q$2:Q$801,$W137)="","",INDEX('Per Invoice'!Q$2:Q$801,$W137)))</f>
        <v/>
      </c>
      <c r="R137" s="7">
        <f>IF($W137="","",IF(INDEX('Per Invoice'!R$2:R$801,$W137)="","",INDEX('Per Invoice'!R$2:R$801,$W137)))</f>
        <v/>
      </c>
      <c r="S137" s="7">
        <f>IF($W137="","",IF(INDEX('Per Invoice'!S$2:S$801,$W137)="","",INDEX('Per Invoice'!S$2:S$801,$W137)))</f>
        <v/>
      </c>
      <c r="T137" s="7">
        <f>IF($W137="","",IF(INDEX('Per Invoice'!T$2:T$801,$W137)="","",INDEX('Per Invoice'!T$2:T$801,$W137)))</f>
        <v/>
      </c>
      <c r="U137" s="7">
        <f>IF($W137="","",IF(INDEX('Per Invoice'!U$2:U$801,$W137)="","",INDEX('Per Invoice'!U$2:U$801,$W137)))</f>
        <v/>
      </c>
      <c r="V137" s="7">
        <f>IF($W137="","",IF(INDEX('Per Invoice'!V$2:V$801,$W137)="","",INDEX('Per Invoice'!V$2:V$801,$W137)))</f>
        <v/>
      </c>
      <c r="W137" s="16">
        <f>IFERROR(MATCH(Settings!$C$30&amp;"|"&amp;ROWS($W$2:$W137),'Per Invoice'!$X$2:$X$801,0),"")</f>
        <v/>
      </c>
    </row>
    <row r="138">
      <c r="A138">
        <f>IF($W138="","",IF(INDEX('Per Invoice'!A$2:A$801,$W138)="","",INDEX('Per Invoice'!A$2:A$801,$W138)))</f>
        <v/>
      </c>
      <c r="B138">
        <f>IF($W138="","",IF(INDEX('Per Invoice'!B$2:B$801,$W138)="","",INDEX('Per Invoice'!B$2:B$801,$W138)))</f>
        <v/>
      </c>
      <c r="C138">
        <f>IF($W138="","",IF(INDEX('Per Invoice'!C$2:C$801,$W138)="","",INDEX('Per Invoice'!C$2:C$801,$W138)))</f>
        <v/>
      </c>
      <c r="D138">
        <f>IF($W138="","",IF(INDEX('Per Invoice'!D$2:D$801,$W138)="","",INDEX('Per Invoice'!D$2:D$801,$W138)))</f>
        <v/>
      </c>
      <c r="E138">
        <f>IF($W138="","",IF(INDEX('Per Invoice'!E$2:E$801,$W138)="","",INDEX('Per Invoice'!E$2:E$801,$W138)))</f>
        <v/>
      </c>
      <c r="F138">
        <f>IF($W138="","",IF(INDEX('Per Invoice'!F$2:F$801,$W138)="","",INDEX('Per Invoice'!F$2:F$801,$W138)))</f>
        <v/>
      </c>
      <c r="G138">
        <f>IF($W138="","",IF(INDEX('Per Invoice'!G$2:G$801,$W138)="","",INDEX('Per Invoice'!G$2:G$801,$W138)))</f>
        <v/>
      </c>
      <c r="H138">
        <f>IF($W138="","",IF(INDEX('Per Invoice'!H$2:H$801,$W138)="","",INDEX('Per Invoice'!H$2:H$801,$W138)))</f>
        <v/>
      </c>
      <c r="I138">
        <f>IF($W138="","",IF(INDEX('Per Invoice'!I$2:I$801,$W138)="","",INDEX('Per Invoice'!I$2:I$801,$W138)))</f>
        <v/>
      </c>
      <c r="J138">
        <f>IF($W138="","",IF(INDEX('Per Invoice'!J$2:J$801,$W138)="","",INDEX('Per Invoice'!J$2:J$801,$W138)))</f>
        <v/>
      </c>
      <c r="K138" s="7">
        <f>IF($W138="","",IF(INDEX('Per Invoice'!K$2:K$801,$W138)="","",INDEX('Per Invoice'!K$2:K$801,$W138)))</f>
        <v/>
      </c>
      <c r="L138" s="14">
        <f>IF($W138="","",IF(INDEX('Per Invoice'!L$2:L$801,$W138)="","",INDEX('Per Invoice'!L$2:L$801,$W138)))</f>
        <v/>
      </c>
      <c r="M138">
        <f>IF($W138="","",IF(INDEX('Per Invoice'!M$2:M$801,$W138)="","",INDEX('Per Invoice'!M$2:M$801,$W138)))</f>
        <v/>
      </c>
      <c r="N138" s="7">
        <f>IF($W138="","",IF(INDEX('Per Invoice'!N$2:N$801,$W138)="","",INDEX('Per Invoice'!N$2:N$801,$W138)))</f>
        <v/>
      </c>
      <c r="O138" s="7">
        <f>IF($W138="","",IF(INDEX('Per Invoice'!O$2:O$801,$W138)="","",INDEX('Per Invoice'!O$2:O$801,$W138)))</f>
        <v/>
      </c>
      <c r="P138">
        <f>IF($W138="","",IF(INDEX('Per Invoice'!P$2:P$801,$W138)="","",INDEX('Per Invoice'!P$2:P$801,$W138)))</f>
        <v/>
      </c>
      <c r="Q138" s="7">
        <f>IF($W138="","",IF(INDEX('Per Invoice'!Q$2:Q$801,$W138)="","",INDEX('Per Invoice'!Q$2:Q$801,$W138)))</f>
        <v/>
      </c>
      <c r="R138" s="7">
        <f>IF($W138="","",IF(INDEX('Per Invoice'!R$2:R$801,$W138)="","",INDEX('Per Invoice'!R$2:R$801,$W138)))</f>
        <v/>
      </c>
      <c r="S138" s="7">
        <f>IF($W138="","",IF(INDEX('Per Invoice'!S$2:S$801,$W138)="","",INDEX('Per Invoice'!S$2:S$801,$W138)))</f>
        <v/>
      </c>
      <c r="T138" s="7">
        <f>IF($W138="","",IF(INDEX('Per Invoice'!T$2:T$801,$W138)="","",INDEX('Per Invoice'!T$2:T$801,$W138)))</f>
        <v/>
      </c>
      <c r="U138" s="7">
        <f>IF($W138="","",IF(INDEX('Per Invoice'!U$2:U$801,$W138)="","",INDEX('Per Invoice'!U$2:U$801,$W138)))</f>
        <v/>
      </c>
      <c r="V138" s="7">
        <f>IF($W138="","",IF(INDEX('Per Invoice'!V$2:V$801,$W138)="","",INDEX('Per Invoice'!V$2:V$801,$W138)))</f>
        <v/>
      </c>
      <c r="W138" s="16">
        <f>IFERROR(MATCH(Settings!$C$30&amp;"|"&amp;ROWS($W$2:$W138),'Per Invoice'!$X$2:$X$801,0),"")</f>
        <v/>
      </c>
    </row>
    <row r="139">
      <c r="A139">
        <f>IF($W139="","",IF(INDEX('Per Invoice'!A$2:A$801,$W139)="","",INDEX('Per Invoice'!A$2:A$801,$W139)))</f>
        <v/>
      </c>
      <c r="B139">
        <f>IF($W139="","",IF(INDEX('Per Invoice'!B$2:B$801,$W139)="","",INDEX('Per Invoice'!B$2:B$801,$W139)))</f>
        <v/>
      </c>
      <c r="C139">
        <f>IF($W139="","",IF(INDEX('Per Invoice'!C$2:C$801,$W139)="","",INDEX('Per Invoice'!C$2:C$801,$W139)))</f>
        <v/>
      </c>
      <c r="D139">
        <f>IF($W139="","",IF(INDEX('Per Invoice'!D$2:D$801,$W139)="","",INDEX('Per Invoice'!D$2:D$801,$W139)))</f>
        <v/>
      </c>
      <c r="E139">
        <f>IF($W139="","",IF(INDEX('Per Invoice'!E$2:E$801,$W139)="","",INDEX('Per Invoice'!E$2:E$801,$W139)))</f>
        <v/>
      </c>
      <c r="F139">
        <f>IF($W139="","",IF(INDEX('Per Invoice'!F$2:F$801,$W139)="","",INDEX('Per Invoice'!F$2:F$801,$W139)))</f>
        <v/>
      </c>
      <c r="G139">
        <f>IF($W139="","",IF(INDEX('Per Invoice'!G$2:G$801,$W139)="","",INDEX('Per Invoice'!G$2:G$801,$W139)))</f>
        <v/>
      </c>
      <c r="H139">
        <f>IF($W139="","",IF(INDEX('Per Invoice'!H$2:H$801,$W139)="","",INDEX('Per Invoice'!H$2:H$801,$W139)))</f>
        <v/>
      </c>
      <c r="I139">
        <f>IF($W139="","",IF(INDEX('Per Invoice'!I$2:I$801,$W139)="","",INDEX('Per Invoice'!I$2:I$801,$W139)))</f>
        <v/>
      </c>
      <c r="J139">
        <f>IF($W139="","",IF(INDEX('Per Invoice'!J$2:J$801,$W139)="","",INDEX('Per Invoice'!J$2:J$801,$W139)))</f>
        <v/>
      </c>
      <c r="K139" s="7">
        <f>IF($W139="","",IF(INDEX('Per Invoice'!K$2:K$801,$W139)="","",INDEX('Per Invoice'!K$2:K$801,$W139)))</f>
        <v/>
      </c>
      <c r="L139" s="14">
        <f>IF($W139="","",IF(INDEX('Per Invoice'!L$2:L$801,$W139)="","",INDEX('Per Invoice'!L$2:L$801,$W139)))</f>
        <v/>
      </c>
      <c r="M139">
        <f>IF($W139="","",IF(INDEX('Per Invoice'!M$2:M$801,$W139)="","",INDEX('Per Invoice'!M$2:M$801,$W139)))</f>
        <v/>
      </c>
      <c r="N139" s="7">
        <f>IF($W139="","",IF(INDEX('Per Invoice'!N$2:N$801,$W139)="","",INDEX('Per Invoice'!N$2:N$801,$W139)))</f>
        <v/>
      </c>
      <c r="O139" s="7">
        <f>IF($W139="","",IF(INDEX('Per Invoice'!O$2:O$801,$W139)="","",INDEX('Per Invoice'!O$2:O$801,$W139)))</f>
        <v/>
      </c>
      <c r="P139">
        <f>IF($W139="","",IF(INDEX('Per Invoice'!P$2:P$801,$W139)="","",INDEX('Per Invoice'!P$2:P$801,$W139)))</f>
        <v/>
      </c>
      <c r="Q139" s="7">
        <f>IF($W139="","",IF(INDEX('Per Invoice'!Q$2:Q$801,$W139)="","",INDEX('Per Invoice'!Q$2:Q$801,$W139)))</f>
        <v/>
      </c>
      <c r="R139" s="7">
        <f>IF($W139="","",IF(INDEX('Per Invoice'!R$2:R$801,$W139)="","",INDEX('Per Invoice'!R$2:R$801,$W139)))</f>
        <v/>
      </c>
      <c r="S139" s="7">
        <f>IF($W139="","",IF(INDEX('Per Invoice'!S$2:S$801,$W139)="","",INDEX('Per Invoice'!S$2:S$801,$W139)))</f>
        <v/>
      </c>
      <c r="T139" s="7">
        <f>IF($W139="","",IF(INDEX('Per Invoice'!T$2:T$801,$W139)="","",INDEX('Per Invoice'!T$2:T$801,$W139)))</f>
        <v/>
      </c>
      <c r="U139" s="7">
        <f>IF($W139="","",IF(INDEX('Per Invoice'!U$2:U$801,$W139)="","",INDEX('Per Invoice'!U$2:U$801,$W139)))</f>
        <v/>
      </c>
      <c r="V139" s="7">
        <f>IF($W139="","",IF(INDEX('Per Invoice'!V$2:V$801,$W139)="","",INDEX('Per Invoice'!V$2:V$801,$W139)))</f>
        <v/>
      </c>
      <c r="W139" s="16">
        <f>IFERROR(MATCH(Settings!$C$30&amp;"|"&amp;ROWS($W$2:$W139),'Per Invoice'!$X$2:$X$801,0),"")</f>
        <v/>
      </c>
    </row>
    <row r="140">
      <c r="A140">
        <f>IF($W140="","",IF(INDEX('Per Invoice'!A$2:A$801,$W140)="","",INDEX('Per Invoice'!A$2:A$801,$W140)))</f>
        <v/>
      </c>
      <c r="B140">
        <f>IF($W140="","",IF(INDEX('Per Invoice'!B$2:B$801,$W140)="","",INDEX('Per Invoice'!B$2:B$801,$W140)))</f>
        <v/>
      </c>
      <c r="C140">
        <f>IF($W140="","",IF(INDEX('Per Invoice'!C$2:C$801,$W140)="","",INDEX('Per Invoice'!C$2:C$801,$W140)))</f>
        <v/>
      </c>
      <c r="D140">
        <f>IF($W140="","",IF(INDEX('Per Invoice'!D$2:D$801,$W140)="","",INDEX('Per Invoice'!D$2:D$801,$W140)))</f>
        <v/>
      </c>
      <c r="E140">
        <f>IF($W140="","",IF(INDEX('Per Invoice'!E$2:E$801,$W140)="","",INDEX('Per Invoice'!E$2:E$801,$W140)))</f>
        <v/>
      </c>
      <c r="F140">
        <f>IF($W140="","",IF(INDEX('Per Invoice'!F$2:F$801,$W140)="","",INDEX('Per Invoice'!F$2:F$801,$W140)))</f>
        <v/>
      </c>
      <c r="G140">
        <f>IF($W140="","",IF(INDEX('Per Invoice'!G$2:G$801,$W140)="","",INDEX('Per Invoice'!G$2:G$801,$W140)))</f>
        <v/>
      </c>
      <c r="H140">
        <f>IF($W140="","",IF(INDEX('Per Invoice'!H$2:H$801,$W140)="","",INDEX('Per Invoice'!H$2:H$801,$W140)))</f>
        <v/>
      </c>
      <c r="I140">
        <f>IF($W140="","",IF(INDEX('Per Invoice'!I$2:I$801,$W140)="","",INDEX('Per Invoice'!I$2:I$801,$W140)))</f>
        <v/>
      </c>
      <c r="J140">
        <f>IF($W140="","",IF(INDEX('Per Invoice'!J$2:J$801,$W140)="","",INDEX('Per Invoice'!J$2:J$801,$W140)))</f>
        <v/>
      </c>
      <c r="K140" s="7">
        <f>IF($W140="","",IF(INDEX('Per Invoice'!K$2:K$801,$W140)="","",INDEX('Per Invoice'!K$2:K$801,$W140)))</f>
        <v/>
      </c>
      <c r="L140" s="14">
        <f>IF($W140="","",IF(INDEX('Per Invoice'!L$2:L$801,$W140)="","",INDEX('Per Invoice'!L$2:L$801,$W140)))</f>
        <v/>
      </c>
      <c r="M140">
        <f>IF($W140="","",IF(INDEX('Per Invoice'!M$2:M$801,$W140)="","",INDEX('Per Invoice'!M$2:M$801,$W140)))</f>
        <v/>
      </c>
      <c r="N140" s="7">
        <f>IF($W140="","",IF(INDEX('Per Invoice'!N$2:N$801,$W140)="","",INDEX('Per Invoice'!N$2:N$801,$W140)))</f>
        <v/>
      </c>
      <c r="O140" s="7">
        <f>IF($W140="","",IF(INDEX('Per Invoice'!O$2:O$801,$W140)="","",INDEX('Per Invoice'!O$2:O$801,$W140)))</f>
        <v/>
      </c>
      <c r="P140">
        <f>IF($W140="","",IF(INDEX('Per Invoice'!P$2:P$801,$W140)="","",INDEX('Per Invoice'!P$2:P$801,$W140)))</f>
        <v/>
      </c>
      <c r="Q140" s="7">
        <f>IF($W140="","",IF(INDEX('Per Invoice'!Q$2:Q$801,$W140)="","",INDEX('Per Invoice'!Q$2:Q$801,$W140)))</f>
        <v/>
      </c>
      <c r="R140" s="7">
        <f>IF($W140="","",IF(INDEX('Per Invoice'!R$2:R$801,$W140)="","",INDEX('Per Invoice'!R$2:R$801,$W140)))</f>
        <v/>
      </c>
      <c r="S140" s="7">
        <f>IF($W140="","",IF(INDEX('Per Invoice'!S$2:S$801,$W140)="","",INDEX('Per Invoice'!S$2:S$801,$W140)))</f>
        <v/>
      </c>
      <c r="T140" s="7">
        <f>IF($W140="","",IF(INDEX('Per Invoice'!T$2:T$801,$W140)="","",INDEX('Per Invoice'!T$2:T$801,$W140)))</f>
        <v/>
      </c>
      <c r="U140" s="7">
        <f>IF($W140="","",IF(INDEX('Per Invoice'!U$2:U$801,$W140)="","",INDEX('Per Invoice'!U$2:U$801,$W140)))</f>
        <v/>
      </c>
      <c r="V140" s="7">
        <f>IF($W140="","",IF(INDEX('Per Invoice'!V$2:V$801,$W140)="","",INDEX('Per Invoice'!V$2:V$801,$W140)))</f>
        <v/>
      </c>
      <c r="W140" s="16">
        <f>IFERROR(MATCH(Settings!$C$30&amp;"|"&amp;ROWS($W$2:$W140),'Per Invoice'!$X$2:$X$801,0),"")</f>
        <v/>
      </c>
    </row>
    <row r="141">
      <c r="A141">
        <f>IF($W141="","",IF(INDEX('Per Invoice'!A$2:A$801,$W141)="","",INDEX('Per Invoice'!A$2:A$801,$W141)))</f>
        <v/>
      </c>
      <c r="B141">
        <f>IF($W141="","",IF(INDEX('Per Invoice'!B$2:B$801,$W141)="","",INDEX('Per Invoice'!B$2:B$801,$W141)))</f>
        <v/>
      </c>
      <c r="C141">
        <f>IF($W141="","",IF(INDEX('Per Invoice'!C$2:C$801,$W141)="","",INDEX('Per Invoice'!C$2:C$801,$W141)))</f>
        <v/>
      </c>
      <c r="D141">
        <f>IF($W141="","",IF(INDEX('Per Invoice'!D$2:D$801,$W141)="","",INDEX('Per Invoice'!D$2:D$801,$W141)))</f>
        <v/>
      </c>
      <c r="E141">
        <f>IF($W141="","",IF(INDEX('Per Invoice'!E$2:E$801,$W141)="","",INDEX('Per Invoice'!E$2:E$801,$W141)))</f>
        <v/>
      </c>
      <c r="F141">
        <f>IF($W141="","",IF(INDEX('Per Invoice'!F$2:F$801,$W141)="","",INDEX('Per Invoice'!F$2:F$801,$W141)))</f>
        <v/>
      </c>
      <c r="G141">
        <f>IF($W141="","",IF(INDEX('Per Invoice'!G$2:G$801,$W141)="","",INDEX('Per Invoice'!G$2:G$801,$W141)))</f>
        <v/>
      </c>
      <c r="H141">
        <f>IF($W141="","",IF(INDEX('Per Invoice'!H$2:H$801,$W141)="","",INDEX('Per Invoice'!H$2:H$801,$W141)))</f>
        <v/>
      </c>
      <c r="I141">
        <f>IF($W141="","",IF(INDEX('Per Invoice'!I$2:I$801,$W141)="","",INDEX('Per Invoice'!I$2:I$801,$W141)))</f>
        <v/>
      </c>
      <c r="J141">
        <f>IF($W141="","",IF(INDEX('Per Invoice'!J$2:J$801,$W141)="","",INDEX('Per Invoice'!J$2:J$801,$W141)))</f>
        <v/>
      </c>
      <c r="K141" s="7">
        <f>IF($W141="","",IF(INDEX('Per Invoice'!K$2:K$801,$W141)="","",INDEX('Per Invoice'!K$2:K$801,$W141)))</f>
        <v/>
      </c>
      <c r="L141" s="14">
        <f>IF($W141="","",IF(INDEX('Per Invoice'!L$2:L$801,$W141)="","",INDEX('Per Invoice'!L$2:L$801,$W141)))</f>
        <v/>
      </c>
      <c r="M141">
        <f>IF($W141="","",IF(INDEX('Per Invoice'!M$2:M$801,$W141)="","",INDEX('Per Invoice'!M$2:M$801,$W141)))</f>
        <v/>
      </c>
      <c r="N141" s="7">
        <f>IF($W141="","",IF(INDEX('Per Invoice'!N$2:N$801,$W141)="","",INDEX('Per Invoice'!N$2:N$801,$W141)))</f>
        <v/>
      </c>
      <c r="O141" s="7">
        <f>IF($W141="","",IF(INDEX('Per Invoice'!O$2:O$801,$W141)="","",INDEX('Per Invoice'!O$2:O$801,$W141)))</f>
        <v/>
      </c>
      <c r="P141">
        <f>IF($W141="","",IF(INDEX('Per Invoice'!P$2:P$801,$W141)="","",INDEX('Per Invoice'!P$2:P$801,$W141)))</f>
        <v/>
      </c>
      <c r="Q141" s="7">
        <f>IF($W141="","",IF(INDEX('Per Invoice'!Q$2:Q$801,$W141)="","",INDEX('Per Invoice'!Q$2:Q$801,$W141)))</f>
        <v/>
      </c>
      <c r="R141" s="7">
        <f>IF($W141="","",IF(INDEX('Per Invoice'!R$2:R$801,$W141)="","",INDEX('Per Invoice'!R$2:R$801,$W141)))</f>
        <v/>
      </c>
      <c r="S141" s="7">
        <f>IF($W141="","",IF(INDEX('Per Invoice'!S$2:S$801,$W141)="","",INDEX('Per Invoice'!S$2:S$801,$W141)))</f>
        <v/>
      </c>
      <c r="T141" s="7">
        <f>IF($W141="","",IF(INDEX('Per Invoice'!T$2:T$801,$W141)="","",INDEX('Per Invoice'!T$2:T$801,$W141)))</f>
        <v/>
      </c>
      <c r="U141" s="7">
        <f>IF($W141="","",IF(INDEX('Per Invoice'!U$2:U$801,$W141)="","",INDEX('Per Invoice'!U$2:U$801,$W141)))</f>
        <v/>
      </c>
      <c r="V141" s="7">
        <f>IF($W141="","",IF(INDEX('Per Invoice'!V$2:V$801,$W141)="","",INDEX('Per Invoice'!V$2:V$801,$W141)))</f>
        <v/>
      </c>
      <c r="W141" s="16">
        <f>IFERROR(MATCH(Settings!$C$30&amp;"|"&amp;ROWS($W$2:$W141),'Per Invoice'!$X$2:$X$801,0),"")</f>
        <v/>
      </c>
    </row>
    <row r="142">
      <c r="A142">
        <f>IF($W142="","",IF(INDEX('Per Invoice'!A$2:A$801,$W142)="","",INDEX('Per Invoice'!A$2:A$801,$W142)))</f>
        <v/>
      </c>
      <c r="B142">
        <f>IF($W142="","",IF(INDEX('Per Invoice'!B$2:B$801,$W142)="","",INDEX('Per Invoice'!B$2:B$801,$W142)))</f>
        <v/>
      </c>
      <c r="C142">
        <f>IF($W142="","",IF(INDEX('Per Invoice'!C$2:C$801,$W142)="","",INDEX('Per Invoice'!C$2:C$801,$W142)))</f>
        <v/>
      </c>
      <c r="D142">
        <f>IF($W142="","",IF(INDEX('Per Invoice'!D$2:D$801,$W142)="","",INDEX('Per Invoice'!D$2:D$801,$W142)))</f>
        <v/>
      </c>
      <c r="E142">
        <f>IF($W142="","",IF(INDEX('Per Invoice'!E$2:E$801,$W142)="","",INDEX('Per Invoice'!E$2:E$801,$W142)))</f>
        <v/>
      </c>
      <c r="F142">
        <f>IF($W142="","",IF(INDEX('Per Invoice'!F$2:F$801,$W142)="","",INDEX('Per Invoice'!F$2:F$801,$W142)))</f>
        <v/>
      </c>
      <c r="G142">
        <f>IF($W142="","",IF(INDEX('Per Invoice'!G$2:G$801,$W142)="","",INDEX('Per Invoice'!G$2:G$801,$W142)))</f>
        <v/>
      </c>
      <c r="H142">
        <f>IF($W142="","",IF(INDEX('Per Invoice'!H$2:H$801,$W142)="","",INDEX('Per Invoice'!H$2:H$801,$W142)))</f>
        <v/>
      </c>
      <c r="I142">
        <f>IF($W142="","",IF(INDEX('Per Invoice'!I$2:I$801,$W142)="","",INDEX('Per Invoice'!I$2:I$801,$W142)))</f>
        <v/>
      </c>
      <c r="J142">
        <f>IF($W142="","",IF(INDEX('Per Invoice'!J$2:J$801,$W142)="","",INDEX('Per Invoice'!J$2:J$801,$W142)))</f>
        <v/>
      </c>
      <c r="K142" s="7">
        <f>IF($W142="","",IF(INDEX('Per Invoice'!K$2:K$801,$W142)="","",INDEX('Per Invoice'!K$2:K$801,$W142)))</f>
        <v/>
      </c>
      <c r="L142" s="14">
        <f>IF($W142="","",IF(INDEX('Per Invoice'!L$2:L$801,$W142)="","",INDEX('Per Invoice'!L$2:L$801,$W142)))</f>
        <v/>
      </c>
      <c r="M142">
        <f>IF($W142="","",IF(INDEX('Per Invoice'!M$2:M$801,$W142)="","",INDEX('Per Invoice'!M$2:M$801,$W142)))</f>
        <v/>
      </c>
      <c r="N142" s="7">
        <f>IF($W142="","",IF(INDEX('Per Invoice'!N$2:N$801,$W142)="","",INDEX('Per Invoice'!N$2:N$801,$W142)))</f>
        <v/>
      </c>
      <c r="O142" s="7">
        <f>IF($W142="","",IF(INDEX('Per Invoice'!O$2:O$801,$W142)="","",INDEX('Per Invoice'!O$2:O$801,$W142)))</f>
        <v/>
      </c>
      <c r="P142">
        <f>IF($W142="","",IF(INDEX('Per Invoice'!P$2:P$801,$W142)="","",INDEX('Per Invoice'!P$2:P$801,$W142)))</f>
        <v/>
      </c>
      <c r="Q142" s="7">
        <f>IF($W142="","",IF(INDEX('Per Invoice'!Q$2:Q$801,$W142)="","",INDEX('Per Invoice'!Q$2:Q$801,$W142)))</f>
        <v/>
      </c>
      <c r="R142" s="7">
        <f>IF($W142="","",IF(INDEX('Per Invoice'!R$2:R$801,$W142)="","",INDEX('Per Invoice'!R$2:R$801,$W142)))</f>
        <v/>
      </c>
      <c r="S142" s="7">
        <f>IF($W142="","",IF(INDEX('Per Invoice'!S$2:S$801,$W142)="","",INDEX('Per Invoice'!S$2:S$801,$W142)))</f>
        <v/>
      </c>
      <c r="T142" s="7">
        <f>IF($W142="","",IF(INDEX('Per Invoice'!T$2:T$801,$W142)="","",INDEX('Per Invoice'!T$2:T$801,$W142)))</f>
        <v/>
      </c>
      <c r="U142" s="7">
        <f>IF($W142="","",IF(INDEX('Per Invoice'!U$2:U$801,$W142)="","",INDEX('Per Invoice'!U$2:U$801,$W142)))</f>
        <v/>
      </c>
      <c r="V142" s="7">
        <f>IF($W142="","",IF(INDEX('Per Invoice'!V$2:V$801,$W142)="","",INDEX('Per Invoice'!V$2:V$801,$W142)))</f>
        <v/>
      </c>
      <c r="W142" s="16">
        <f>IFERROR(MATCH(Settings!$C$30&amp;"|"&amp;ROWS($W$2:$W142),'Per Invoice'!$X$2:$X$801,0),"")</f>
        <v/>
      </c>
    </row>
    <row r="143">
      <c r="A143">
        <f>IF($W143="","",IF(INDEX('Per Invoice'!A$2:A$801,$W143)="","",INDEX('Per Invoice'!A$2:A$801,$W143)))</f>
        <v/>
      </c>
      <c r="B143">
        <f>IF($W143="","",IF(INDEX('Per Invoice'!B$2:B$801,$W143)="","",INDEX('Per Invoice'!B$2:B$801,$W143)))</f>
        <v/>
      </c>
      <c r="C143">
        <f>IF($W143="","",IF(INDEX('Per Invoice'!C$2:C$801,$W143)="","",INDEX('Per Invoice'!C$2:C$801,$W143)))</f>
        <v/>
      </c>
      <c r="D143">
        <f>IF($W143="","",IF(INDEX('Per Invoice'!D$2:D$801,$W143)="","",INDEX('Per Invoice'!D$2:D$801,$W143)))</f>
        <v/>
      </c>
      <c r="E143">
        <f>IF($W143="","",IF(INDEX('Per Invoice'!E$2:E$801,$W143)="","",INDEX('Per Invoice'!E$2:E$801,$W143)))</f>
        <v/>
      </c>
      <c r="F143">
        <f>IF($W143="","",IF(INDEX('Per Invoice'!F$2:F$801,$W143)="","",INDEX('Per Invoice'!F$2:F$801,$W143)))</f>
        <v/>
      </c>
      <c r="G143">
        <f>IF($W143="","",IF(INDEX('Per Invoice'!G$2:G$801,$W143)="","",INDEX('Per Invoice'!G$2:G$801,$W143)))</f>
        <v/>
      </c>
      <c r="H143">
        <f>IF($W143="","",IF(INDEX('Per Invoice'!H$2:H$801,$W143)="","",INDEX('Per Invoice'!H$2:H$801,$W143)))</f>
        <v/>
      </c>
      <c r="I143">
        <f>IF($W143="","",IF(INDEX('Per Invoice'!I$2:I$801,$W143)="","",INDEX('Per Invoice'!I$2:I$801,$W143)))</f>
        <v/>
      </c>
      <c r="J143">
        <f>IF($W143="","",IF(INDEX('Per Invoice'!J$2:J$801,$W143)="","",INDEX('Per Invoice'!J$2:J$801,$W143)))</f>
        <v/>
      </c>
      <c r="K143" s="7">
        <f>IF($W143="","",IF(INDEX('Per Invoice'!K$2:K$801,$W143)="","",INDEX('Per Invoice'!K$2:K$801,$W143)))</f>
        <v/>
      </c>
      <c r="L143" s="14">
        <f>IF($W143="","",IF(INDEX('Per Invoice'!L$2:L$801,$W143)="","",INDEX('Per Invoice'!L$2:L$801,$W143)))</f>
        <v/>
      </c>
      <c r="M143">
        <f>IF($W143="","",IF(INDEX('Per Invoice'!M$2:M$801,$W143)="","",INDEX('Per Invoice'!M$2:M$801,$W143)))</f>
        <v/>
      </c>
      <c r="N143" s="7">
        <f>IF($W143="","",IF(INDEX('Per Invoice'!N$2:N$801,$W143)="","",INDEX('Per Invoice'!N$2:N$801,$W143)))</f>
        <v/>
      </c>
      <c r="O143" s="7">
        <f>IF($W143="","",IF(INDEX('Per Invoice'!O$2:O$801,$W143)="","",INDEX('Per Invoice'!O$2:O$801,$W143)))</f>
        <v/>
      </c>
      <c r="P143">
        <f>IF($W143="","",IF(INDEX('Per Invoice'!P$2:P$801,$W143)="","",INDEX('Per Invoice'!P$2:P$801,$W143)))</f>
        <v/>
      </c>
      <c r="Q143" s="7">
        <f>IF($W143="","",IF(INDEX('Per Invoice'!Q$2:Q$801,$W143)="","",INDEX('Per Invoice'!Q$2:Q$801,$W143)))</f>
        <v/>
      </c>
      <c r="R143" s="7">
        <f>IF($W143="","",IF(INDEX('Per Invoice'!R$2:R$801,$W143)="","",INDEX('Per Invoice'!R$2:R$801,$W143)))</f>
        <v/>
      </c>
      <c r="S143" s="7">
        <f>IF($W143="","",IF(INDEX('Per Invoice'!S$2:S$801,$W143)="","",INDEX('Per Invoice'!S$2:S$801,$W143)))</f>
        <v/>
      </c>
      <c r="T143" s="7">
        <f>IF($W143="","",IF(INDEX('Per Invoice'!T$2:T$801,$W143)="","",INDEX('Per Invoice'!T$2:T$801,$W143)))</f>
        <v/>
      </c>
      <c r="U143" s="7">
        <f>IF($W143="","",IF(INDEX('Per Invoice'!U$2:U$801,$W143)="","",INDEX('Per Invoice'!U$2:U$801,$W143)))</f>
        <v/>
      </c>
      <c r="V143" s="7">
        <f>IF($W143="","",IF(INDEX('Per Invoice'!V$2:V$801,$W143)="","",INDEX('Per Invoice'!V$2:V$801,$W143)))</f>
        <v/>
      </c>
      <c r="W143" s="16">
        <f>IFERROR(MATCH(Settings!$C$30&amp;"|"&amp;ROWS($W$2:$W143),'Per Invoice'!$X$2:$X$801,0),"")</f>
        <v/>
      </c>
    </row>
    <row r="144">
      <c r="A144">
        <f>IF($W144="","",IF(INDEX('Per Invoice'!A$2:A$801,$W144)="","",INDEX('Per Invoice'!A$2:A$801,$W144)))</f>
        <v/>
      </c>
      <c r="B144">
        <f>IF($W144="","",IF(INDEX('Per Invoice'!B$2:B$801,$W144)="","",INDEX('Per Invoice'!B$2:B$801,$W144)))</f>
        <v/>
      </c>
      <c r="C144">
        <f>IF($W144="","",IF(INDEX('Per Invoice'!C$2:C$801,$W144)="","",INDEX('Per Invoice'!C$2:C$801,$W144)))</f>
        <v/>
      </c>
      <c r="D144">
        <f>IF($W144="","",IF(INDEX('Per Invoice'!D$2:D$801,$W144)="","",INDEX('Per Invoice'!D$2:D$801,$W144)))</f>
        <v/>
      </c>
      <c r="E144">
        <f>IF($W144="","",IF(INDEX('Per Invoice'!E$2:E$801,$W144)="","",INDEX('Per Invoice'!E$2:E$801,$W144)))</f>
        <v/>
      </c>
      <c r="F144">
        <f>IF($W144="","",IF(INDEX('Per Invoice'!F$2:F$801,$W144)="","",INDEX('Per Invoice'!F$2:F$801,$W144)))</f>
        <v/>
      </c>
      <c r="G144">
        <f>IF($W144="","",IF(INDEX('Per Invoice'!G$2:G$801,$W144)="","",INDEX('Per Invoice'!G$2:G$801,$W144)))</f>
        <v/>
      </c>
      <c r="H144">
        <f>IF($W144="","",IF(INDEX('Per Invoice'!H$2:H$801,$W144)="","",INDEX('Per Invoice'!H$2:H$801,$W144)))</f>
        <v/>
      </c>
      <c r="I144">
        <f>IF($W144="","",IF(INDEX('Per Invoice'!I$2:I$801,$W144)="","",INDEX('Per Invoice'!I$2:I$801,$W144)))</f>
        <v/>
      </c>
      <c r="J144">
        <f>IF($W144="","",IF(INDEX('Per Invoice'!J$2:J$801,$W144)="","",INDEX('Per Invoice'!J$2:J$801,$W144)))</f>
        <v/>
      </c>
      <c r="K144" s="7">
        <f>IF($W144="","",IF(INDEX('Per Invoice'!K$2:K$801,$W144)="","",INDEX('Per Invoice'!K$2:K$801,$W144)))</f>
        <v/>
      </c>
      <c r="L144" s="14">
        <f>IF($W144="","",IF(INDEX('Per Invoice'!L$2:L$801,$W144)="","",INDEX('Per Invoice'!L$2:L$801,$W144)))</f>
        <v/>
      </c>
      <c r="M144">
        <f>IF($W144="","",IF(INDEX('Per Invoice'!M$2:M$801,$W144)="","",INDEX('Per Invoice'!M$2:M$801,$W144)))</f>
        <v/>
      </c>
      <c r="N144" s="7">
        <f>IF($W144="","",IF(INDEX('Per Invoice'!N$2:N$801,$W144)="","",INDEX('Per Invoice'!N$2:N$801,$W144)))</f>
        <v/>
      </c>
      <c r="O144" s="7">
        <f>IF($W144="","",IF(INDEX('Per Invoice'!O$2:O$801,$W144)="","",INDEX('Per Invoice'!O$2:O$801,$W144)))</f>
        <v/>
      </c>
      <c r="P144">
        <f>IF($W144="","",IF(INDEX('Per Invoice'!P$2:P$801,$W144)="","",INDEX('Per Invoice'!P$2:P$801,$W144)))</f>
        <v/>
      </c>
      <c r="Q144" s="7">
        <f>IF($W144="","",IF(INDEX('Per Invoice'!Q$2:Q$801,$W144)="","",INDEX('Per Invoice'!Q$2:Q$801,$W144)))</f>
        <v/>
      </c>
      <c r="R144" s="7">
        <f>IF($W144="","",IF(INDEX('Per Invoice'!R$2:R$801,$W144)="","",INDEX('Per Invoice'!R$2:R$801,$W144)))</f>
        <v/>
      </c>
      <c r="S144" s="7">
        <f>IF($W144="","",IF(INDEX('Per Invoice'!S$2:S$801,$W144)="","",INDEX('Per Invoice'!S$2:S$801,$W144)))</f>
        <v/>
      </c>
      <c r="T144" s="7">
        <f>IF($W144="","",IF(INDEX('Per Invoice'!T$2:T$801,$W144)="","",INDEX('Per Invoice'!T$2:T$801,$W144)))</f>
        <v/>
      </c>
      <c r="U144" s="7">
        <f>IF($W144="","",IF(INDEX('Per Invoice'!U$2:U$801,$W144)="","",INDEX('Per Invoice'!U$2:U$801,$W144)))</f>
        <v/>
      </c>
      <c r="V144" s="7">
        <f>IF($W144="","",IF(INDEX('Per Invoice'!V$2:V$801,$W144)="","",INDEX('Per Invoice'!V$2:V$801,$W144)))</f>
        <v/>
      </c>
      <c r="W144" s="16">
        <f>IFERROR(MATCH(Settings!$C$30&amp;"|"&amp;ROWS($W$2:$W144),'Per Invoice'!$X$2:$X$801,0),"")</f>
        <v/>
      </c>
    </row>
    <row r="145">
      <c r="A145">
        <f>IF($W145="","",IF(INDEX('Per Invoice'!A$2:A$801,$W145)="","",INDEX('Per Invoice'!A$2:A$801,$W145)))</f>
        <v/>
      </c>
      <c r="B145">
        <f>IF($W145="","",IF(INDEX('Per Invoice'!B$2:B$801,$W145)="","",INDEX('Per Invoice'!B$2:B$801,$W145)))</f>
        <v/>
      </c>
      <c r="C145">
        <f>IF($W145="","",IF(INDEX('Per Invoice'!C$2:C$801,$W145)="","",INDEX('Per Invoice'!C$2:C$801,$W145)))</f>
        <v/>
      </c>
      <c r="D145">
        <f>IF($W145="","",IF(INDEX('Per Invoice'!D$2:D$801,$W145)="","",INDEX('Per Invoice'!D$2:D$801,$W145)))</f>
        <v/>
      </c>
      <c r="E145">
        <f>IF($W145="","",IF(INDEX('Per Invoice'!E$2:E$801,$W145)="","",INDEX('Per Invoice'!E$2:E$801,$W145)))</f>
        <v/>
      </c>
      <c r="F145">
        <f>IF($W145="","",IF(INDEX('Per Invoice'!F$2:F$801,$W145)="","",INDEX('Per Invoice'!F$2:F$801,$W145)))</f>
        <v/>
      </c>
      <c r="G145">
        <f>IF($W145="","",IF(INDEX('Per Invoice'!G$2:G$801,$W145)="","",INDEX('Per Invoice'!G$2:G$801,$W145)))</f>
        <v/>
      </c>
      <c r="H145">
        <f>IF($W145="","",IF(INDEX('Per Invoice'!H$2:H$801,$W145)="","",INDEX('Per Invoice'!H$2:H$801,$W145)))</f>
        <v/>
      </c>
      <c r="I145">
        <f>IF($W145="","",IF(INDEX('Per Invoice'!I$2:I$801,$W145)="","",INDEX('Per Invoice'!I$2:I$801,$W145)))</f>
        <v/>
      </c>
      <c r="J145">
        <f>IF($W145="","",IF(INDEX('Per Invoice'!J$2:J$801,$W145)="","",INDEX('Per Invoice'!J$2:J$801,$W145)))</f>
        <v/>
      </c>
      <c r="K145" s="7">
        <f>IF($W145="","",IF(INDEX('Per Invoice'!K$2:K$801,$W145)="","",INDEX('Per Invoice'!K$2:K$801,$W145)))</f>
        <v/>
      </c>
      <c r="L145" s="14">
        <f>IF($W145="","",IF(INDEX('Per Invoice'!L$2:L$801,$W145)="","",INDEX('Per Invoice'!L$2:L$801,$W145)))</f>
        <v/>
      </c>
      <c r="M145">
        <f>IF($W145="","",IF(INDEX('Per Invoice'!M$2:M$801,$W145)="","",INDEX('Per Invoice'!M$2:M$801,$W145)))</f>
        <v/>
      </c>
      <c r="N145" s="7">
        <f>IF($W145="","",IF(INDEX('Per Invoice'!N$2:N$801,$W145)="","",INDEX('Per Invoice'!N$2:N$801,$W145)))</f>
        <v/>
      </c>
      <c r="O145" s="7">
        <f>IF($W145="","",IF(INDEX('Per Invoice'!O$2:O$801,$W145)="","",INDEX('Per Invoice'!O$2:O$801,$W145)))</f>
        <v/>
      </c>
      <c r="P145">
        <f>IF($W145="","",IF(INDEX('Per Invoice'!P$2:P$801,$W145)="","",INDEX('Per Invoice'!P$2:P$801,$W145)))</f>
        <v/>
      </c>
      <c r="Q145" s="7">
        <f>IF($W145="","",IF(INDEX('Per Invoice'!Q$2:Q$801,$W145)="","",INDEX('Per Invoice'!Q$2:Q$801,$W145)))</f>
        <v/>
      </c>
      <c r="R145" s="7">
        <f>IF($W145="","",IF(INDEX('Per Invoice'!R$2:R$801,$W145)="","",INDEX('Per Invoice'!R$2:R$801,$W145)))</f>
        <v/>
      </c>
      <c r="S145" s="7">
        <f>IF($W145="","",IF(INDEX('Per Invoice'!S$2:S$801,$W145)="","",INDEX('Per Invoice'!S$2:S$801,$W145)))</f>
        <v/>
      </c>
      <c r="T145" s="7">
        <f>IF($W145="","",IF(INDEX('Per Invoice'!T$2:T$801,$W145)="","",INDEX('Per Invoice'!T$2:T$801,$W145)))</f>
        <v/>
      </c>
      <c r="U145" s="7">
        <f>IF($W145="","",IF(INDEX('Per Invoice'!U$2:U$801,$W145)="","",INDEX('Per Invoice'!U$2:U$801,$W145)))</f>
        <v/>
      </c>
      <c r="V145" s="7">
        <f>IF($W145="","",IF(INDEX('Per Invoice'!V$2:V$801,$W145)="","",INDEX('Per Invoice'!V$2:V$801,$W145)))</f>
        <v/>
      </c>
      <c r="W145" s="16">
        <f>IFERROR(MATCH(Settings!$C$30&amp;"|"&amp;ROWS($W$2:$W145),'Per Invoice'!$X$2:$X$801,0),"")</f>
        <v/>
      </c>
    </row>
    <row r="146">
      <c r="A146">
        <f>IF($W146="","",IF(INDEX('Per Invoice'!A$2:A$801,$W146)="","",INDEX('Per Invoice'!A$2:A$801,$W146)))</f>
        <v/>
      </c>
      <c r="B146">
        <f>IF($W146="","",IF(INDEX('Per Invoice'!B$2:B$801,$W146)="","",INDEX('Per Invoice'!B$2:B$801,$W146)))</f>
        <v/>
      </c>
      <c r="C146">
        <f>IF($W146="","",IF(INDEX('Per Invoice'!C$2:C$801,$W146)="","",INDEX('Per Invoice'!C$2:C$801,$W146)))</f>
        <v/>
      </c>
      <c r="D146">
        <f>IF($W146="","",IF(INDEX('Per Invoice'!D$2:D$801,$W146)="","",INDEX('Per Invoice'!D$2:D$801,$W146)))</f>
        <v/>
      </c>
      <c r="E146">
        <f>IF($W146="","",IF(INDEX('Per Invoice'!E$2:E$801,$W146)="","",INDEX('Per Invoice'!E$2:E$801,$W146)))</f>
        <v/>
      </c>
      <c r="F146">
        <f>IF($W146="","",IF(INDEX('Per Invoice'!F$2:F$801,$W146)="","",INDEX('Per Invoice'!F$2:F$801,$W146)))</f>
        <v/>
      </c>
      <c r="G146">
        <f>IF($W146="","",IF(INDEX('Per Invoice'!G$2:G$801,$W146)="","",INDEX('Per Invoice'!G$2:G$801,$W146)))</f>
        <v/>
      </c>
      <c r="H146">
        <f>IF($W146="","",IF(INDEX('Per Invoice'!H$2:H$801,$W146)="","",INDEX('Per Invoice'!H$2:H$801,$W146)))</f>
        <v/>
      </c>
      <c r="I146">
        <f>IF($W146="","",IF(INDEX('Per Invoice'!I$2:I$801,$W146)="","",INDEX('Per Invoice'!I$2:I$801,$W146)))</f>
        <v/>
      </c>
      <c r="J146">
        <f>IF($W146="","",IF(INDEX('Per Invoice'!J$2:J$801,$W146)="","",INDEX('Per Invoice'!J$2:J$801,$W146)))</f>
        <v/>
      </c>
      <c r="K146" s="7">
        <f>IF($W146="","",IF(INDEX('Per Invoice'!K$2:K$801,$W146)="","",INDEX('Per Invoice'!K$2:K$801,$W146)))</f>
        <v/>
      </c>
      <c r="L146" s="14">
        <f>IF($W146="","",IF(INDEX('Per Invoice'!L$2:L$801,$W146)="","",INDEX('Per Invoice'!L$2:L$801,$W146)))</f>
        <v/>
      </c>
      <c r="M146">
        <f>IF($W146="","",IF(INDEX('Per Invoice'!M$2:M$801,$W146)="","",INDEX('Per Invoice'!M$2:M$801,$W146)))</f>
        <v/>
      </c>
      <c r="N146" s="7">
        <f>IF($W146="","",IF(INDEX('Per Invoice'!N$2:N$801,$W146)="","",INDEX('Per Invoice'!N$2:N$801,$W146)))</f>
        <v/>
      </c>
      <c r="O146" s="7">
        <f>IF($W146="","",IF(INDEX('Per Invoice'!O$2:O$801,$W146)="","",INDEX('Per Invoice'!O$2:O$801,$W146)))</f>
        <v/>
      </c>
      <c r="P146">
        <f>IF($W146="","",IF(INDEX('Per Invoice'!P$2:P$801,$W146)="","",INDEX('Per Invoice'!P$2:P$801,$W146)))</f>
        <v/>
      </c>
      <c r="Q146" s="7">
        <f>IF($W146="","",IF(INDEX('Per Invoice'!Q$2:Q$801,$W146)="","",INDEX('Per Invoice'!Q$2:Q$801,$W146)))</f>
        <v/>
      </c>
      <c r="R146" s="7">
        <f>IF($W146="","",IF(INDEX('Per Invoice'!R$2:R$801,$W146)="","",INDEX('Per Invoice'!R$2:R$801,$W146)))</f>
        <v/>
      </c>
      <c r="S146" s="7">
        <f>IF($W146="","",IF(INDEX('Per Invoice'!S$2:S$801,$W146)="","",INDEX('Per Invoice'!S$2:S$801,$W146)))</f>
        <v/>
      </c>
      <c r="T146" s="7">
        <f>IF($W146="","",IF(INDEX('Per Invoice'!T$2:T$801,$W146)="","",INDEX('Per Invoice'!T$2:T$801,$W146)))</f>
        <v/>
      </c>
      <c r="U146" s="7">
        <f>IF($W146="","",IF(INDEX('Per Invoice'!U$2:U$801,$W146)="","",INDEX('Per Invoice'!U$2:U$801,$W146)))</f>
        <v/>
      </c>
      <c r="V146" s="7">
        <f>IF($W146="","",IF(INDEX('Per Invoice'!V$2:V$801,$W146)="","",INDEX('Per Invoice'!V$2:V$801,$W146)))</f>
        <v/>
      </c>
      <c r="W146" s="16">
        <f>IFERROR(MATCH(Settings!$C$30&amp;"|"&amp;ROWS($W$2:$W146),'Per Invoice'!$X$2:$X$801,0),"")</f>
        <v/>
      </c>
    </row>
    <row r="147">
      <c r="A147">
        <f>IF($W147="","",IF(INDEX('Per Invoice'!A$2:A$801,$W147)="","",INDEX('Per Invoice'!A$2:A$801,$W147)))</f>
        <v/>
      </c>
      <c r="B147">
        <f>IF($W147="","",IF(INDEX('Per Invoice'!B$2:B$801,$W147)="","",INDEX('Per Invoice'!B$2:B$801,$W147)))</f>
        <v/>
      </c>
      <c r="C147">
        <f>IF($W147="","",IF(INDEX('Per Invoice'!C$2:C$801,$W147)="","",INDEX('Per Invoice'!C$2:C$801,$W147)))</f>
        <v/>
      </c>
      <c r="D147">
        <f>IF($W147="","",IF(INDEX('Per Invoice'!D$2:D$801,$W147)="","",INDEX('Per Invoice'!D$2:D$801,$W147)))</f>
        <v/>
      </c>
      <c r="E147">
        <f>IF($W147="","",IF(INDEX('Per Invoice'!E$2:E$801,$W147)="","",INDEX('Per Invoice'!E$2:E$801,$W147)))</f>
        <v/>
      </c>
      <c r="F147">
        <f>IF($W147="","",IF(INDEX('Per Invoice'!F$2:F$801,$W147)="","",INDEX('Per Invoice'!F$2:F$801,$W147)))</f>
        <v/>
      </c>
      <c r="G147">
        <f>IF($W147="","",IF(INDEX('Per Invoice'!G$2:G$801,$W147)="","",INDEX('Per Invoice'!G$2:G$801,$W147)))</f>
        <v/>
      </c>
      <c r="H147">
        <f>IF($W147="","",IF(INDEX('Per Invoice'!H$2:H$801,$W147)="","",INDEX('Per Invoice'!H$2:H$801,$W147)))</f>
        <v/>
      </c>
      <c r="I147">
        <f>IF($W147="","",IF(INDEX('Per Invoice'!I$2:I$801,$W147)="","",INDEX('Per Invoice'!I$2:I$801,$W147)))</f>
        <v/>
      </c>
      <c r="J147">
        <f>IF($W147="","",IF(INDEX('Per Invoice'!J$2:J$801,$W147)="","",INDEX('Per Invoice'!J$2:J$801,$W147)))</f>
        <v/>
      </c>
      <c r="K147" s="7">
        <f>IF($W147="","",IF(INDEX('Per Invoice'!K$2:K$801,$W147)="","",INDEX('Per Invoice'!K$2:K$801,$W147)))</f>
        <v/>
      </c>
      <c r="L147" s="14">
        <f>IF($W147="","",IF(INDEX('Per Invoice'!L$2:L$801,$W147)="","",INDEX('Per Invoice'!L$2:L$801,$W147)))</f>
        <v/>
      </c>
      <c r="M147">
        <f>IF($W147="","",IF(INDEX('Per Invoice'!M$2:M$801,$W147)="","",INDEX('Per Invoice'!M$2:M$801,$W147)))</f>
        <v/>
      </c>
      <c r="N147" s="7">
        <f>IF($W147="","",IF(INDEX('Per Invoice'!N$2:N$801,$W147)="","",INDEX('Per Invoice'!N$2:N$801,$W147)))</f>
        <v/>
      </c>
      <c r="O147" s="7">
        <f>IF($W147="","",IF(INDEX('Per Invoice'!O$2:O$801,$W147)="","",INDEX('Per Invoice'!O$2:O$801,$W147)))</f>
        <v/>
      </c>
      <c r="P147">
        <f>IF($W147="","",IF(INDEX('Per Invoice'!P$2:P$801,$W147)="","",INDEX('Per Invoice'!P$2:P$801,$W147)))</f>
        <v/>
      </c>
      <c r="Q147" s="7">
        <f>IF($W147="","",IF(INDEX('Per Invoice'!Q$2:Q$801,$W147)="","",INDEX('Per Invoice'!Q$2:Q$801,$W147)))</f>
        <v/>
      </c>
      <c r="R147" s="7">
        <f>IF($W147="","",IF(INDEX('Per Invoice'!R$2:R$801,$W147)="","",INDEX('Per Invoice'!R$2:R$801,$W147)))</f>
        <v/>
      </c>
      <c r="S147" s="7">
        <f>IF($W147="","",IF(INDEX('Per Invoice'!S$2:S$801,$W147)="","",INDEX('Per Invoice'!S$2:S$801,$W147)))</f>
        <v/>
      </c>
      <c r="T147" s="7">
        <f>IF($W147="","",IF(INDEX('Per Invoice'!T$2:T$801,$W147)="","",INDEX('Per Invoice'!T$2:T$801,$W147)))</f>
        <v/>
      </c>
      <c r="U147" s="7">
        <f>IF($W147="","",IF(INDEX('Per Invoice'!U$2:U$801,$W147)="","",INDEX('Per Invoice'!U$2:U$801,$W147)))</f>
        <v/>
      </c>
      <c r="V147" s="7">
        <f>IF($W147="","",IF(INDEX('Per Invoice'!V$2:V$801,$W147)="","",INDEX('Per Invoice'!V$2:V$801,$W147)))</f>
        <v/>
      </c>
      <c r="W147" s="16">
        <f>IFERROR(MATCH(Settings!$C$30&amp;"|"&amp;ROWS($W$2:$W147),'Per Invoice'!$X$2:$X$801,0),"")</f>
        <v/>
      </c>
    </row>
    <row r="148">
      <c r="A148">
        <f>IF($W148="","",IF(INDEX('Per Invoice'!A$2:A$801,$W148)="","",INDEX('Per Invoice'!A$2:A$801,$W148)))</f>
        <v/>
      </c>
      <c r="B148">
        <f>IF($W148="","",IF(INDEX('Per Invoice'!B$2:B$801,$W148)="","",INDEX('Per Invoice'!B$2:B$801,$W148)))</f>
        <v/>
      </c>
      <c r="C148">
        <f>IF($W148="","",IF(INDEX('Per Invoice'!C$2:C$801,$W148)="","",INDEX('Per Invoice'!C$2:C$801,$W148)))</f>
        <v/>
      </c>
      <c r="D148">
        <f>IF($W148="","",IF(INDEX('Per Invoice'!D$2:D$801,$W148)="","",INDEX('Per Invoice'!D$2:D$801,$W148)))</f>
        <v/>
      </c>
      <c r="E148">
        <f>IF($W148="","",IF(INDEX('Per Invoice'!E$2:E$801,$W148)="","",INDEX('Per Invoice'!E$2:E$801,$W148)))</f>
        <v/>
      </c>
      <c r="F148">
        <f>IF($W148="","",IF(INDEX('Per Invoice'!F$2:F$801,$W148)="","",INDEX('Per Invoice'!F$2:F$801,$W148)))</f>
        <v/>
      </c>
      <c r="G148">
        <f>IF($W148="","",IF(INDEX('Per Invoice'!G$2:G$801,$W148)="","",INDEX('Per Invoice'!G$2:G$801,$W148)))</f>
        <v/>
      </c>
      <c r="H148">
        <f>IF($W148="","",IF(INDEX('Per Invoice'!H$2:H$801,$W148)="","",INDEX('Per Invoice'!H$2:H$801,$W148)))</f>
        <v/>
      </c>
      <c r="I148">
        <f>IF($W148="","",IF(INDEX('Per Invoice'!I$2:I$801,$W148)="","",INDEX('Per Invoice'!I$2:I$801,$W148)))</f>
        <v/>
      </c>
      <c r="J148">
        <f>IF($W148="","",IF(INDEX('Per Invoice'!J$2:J$801,$W148)="","",INDEX('Per Invoice'!J$2:J$801,$W148)))</f>
        <v/>
      </c>
      <c r="K148" s="7">
        <f>IF($W148="","",IF(INDEX('Per Invoice'!K$2:K$801,$W148)="","",INDEX('Per Invoice'!K$2:K$801,$W148)))</f>
        <v/>
      </c>
      <c r="L148" s="14">
        <f>IF($W148="","",IF(INDEX('Per Invoice'!L$2:L$801,$W148)="","",INDEX('Per Invoice'!L$2:L$801,$W148)))</f>
        <v/>
      </c>
      <c r="M148">
        <f>IF($W148="","",IF(INDEX('Per Invoice'!M$2:M$801,$W148)="","",INDEX('Per Invoice'!M$2:M$801,$W148)))</f>
        <v/>
      </c>
      <c r="N148" s="7">
        <f>IF($W148="","",IF(INDEX('Per Invoice'!N$2:N$801,$W148)="","",INDEX('Per Invoice'!N$2:N$801,$W148)))</f>
        <v/>
      </c>
      <c r="O148" s="7">
        <f>IF($W148="","",IF(INDEX('Per Invoice'!O$2:O$801,$W148)="","",INDEX('Per Invoice'!O$2:O$801,$W148)))</f>
        <v/>
      </c>
      <c r="P148">
        <f>IF($W148="","",IF(INDEX('Per Invoice'!P$2:P$801,$W148)="","",INDEX('Per Invoice'!P$2:P$801,$W148)))</f>
        <v/>
      </c>
      <c r="Q148" s="7">
        <f>IF($W148="","",IF(INDEX('Per Invoice'!Q$2:Q$801,$W148)="","",INDEX('Per Invoice'!Q$2:Q$801,$W148)))</f>
        <v/>
      </c>
      <c r="R148" s="7">
        <f>IF($W148="","",IF(INDEX('Per Invoice'!R$2:R$801,$W148)="","",INDEX('Per Invoice'!R$2:R$801,$W148)))</f>
        <v/>
      </c>
      <c r="S148" s="7">
        <f>IF($W148="","",IF(INDEX('Per Invoice'!S$2:S$801,$W148)="","",INDEX('Per Invoice'!S$2:S$801,$W148)))</f>
        <v/>
      </c>
      <c r="T148" s="7">
        <f>IF($W148="","",IF(INDEX('Per Invoice'!T$2:T$801,$W148)="","",INDEX('Per Invoice'!T$2:T$801,$W148)))</f>
        <v/>
      </c>
      <c r="U148" s="7">
        <f>IF($W148="","",IF(INDEX('Per Invoice'!U$2:U$801,$W148)="","",INDEX('Per Invoice'!U$2:U$801,$W148)))</f>
        <v/>
      </c>
      <c r="V148" s="7">
        <f>IF($W148="","",IF(INDEX('Per Invoice'!V$2:V$801,$W148)="","",INDEX('Per Invoice'!V$2:V$801,$W148)))</f>
        <v/>
      </c>
      <c r="W148" s="16">
        <f>IFERROR(MATCH(Settings!$C$30&amp;"|"&amp;ROWS($W$2:$W148),'Per Invoice'!$X$2:$X$801,0),"")</f>
        <v/>
      </c>
    </row>
    <row r="149">
      <c r="A149">
        <f>IF($W149="","",IF(INDEX('Per Invoice'!A$2:A$801,$W149)="","",INDEX('Per Invoice'!A$2:A$801,$W149)))</f>
        <v/>
      </c>
      <c r="B149">
        <f>IF($W149="","",IF(INDEX('Per Invoice'!B$2:B$801,$W149)="","",INDEX('Per Invoice'!B$2:B$801,$W149)))</f>
        <v/>
      </c>
      <c r="C149">
        <f>IF($W149="","",IF(INDEX('Per Invoice'!C$2:C$801,$W149)="","",INDEX('Per Invoice'!C$2:C$801,$W149)))</f>
        <v/>
      </c>
      <c r="D149">
        <f>IF($W149="","",IF(INDEX('Per Invoice'!D$2:D$801,$W149)="","",INDEX('Per Invoice'!D$2:D$801,$W149)))</f>
        <v/>
      </c>
      <c r="E149">
        <f>IF($W149="","",IF(INDEX('Per Invoice'!E$2:E$801,$W149)="","",INDEX('Per Invoice'!E$2:E$801,$W149)))</f>
        <v/>
      </c>
      <c r="F149">
        <f>IF($W149="","",IF(INDEX('Per Invoice'!F$2:F$801,$W149)="","",INDEX('Per Invoice'!F$2:F$801,$W149)))</f>
        <v/>
      </c>
      <c r="G149">
        <f>IF($W149="","",IF(INDEX('Per Invoice'!G$2:G$801,$W149)="","",INDEX('Per Invoice'!G$2:G$801,$W149)))</f>
        <v/>
      </c>
      <c r="H149">
        <f>IF($W149="","",IF(INDEX('Per Invoice'!H$2:H$801,$W149)="","",INDEX('Per Invoice'!H$2:H$801,$W149)))</f>
        <v/>
      </c>
      <c r="I149">
        <f>IF($W149="","",IF(INDEX('Per Invoice'!I$2:I$801,$W149)="","",INDEX('Per Invoice'!I$2:I$801,$W149)))</f>
        <v/>
      </c>
      <c r="J149">
        <f>IF($W149="","",IF(INDEX('Per Invoice'!J$2:J$801,$W149)="","",INDEX('Per Invoice'!J$2:J$801,$W149)))</f>
        <v/>
      </c>
      <c r="K149" s="7">
        <f>IF($W149="","",IF(INDEX('Per Invoice'!K$2:K$801,$W149)="","",INDEX('Per Invoice'!K$2:K$801,$W149)))</f>
        <v/>
      </c>
      <c r="L149" s="14">
        <f>IF($W149="","",IF(INDEX('Per Invoice'!L$2:L$801,$W149)="","",INDEX('Per Invoice'!L$2:L$801,$W149)))</f>
        <v/>
      </c>
      <c r="M149">
        <f>IF($W149="","",IF(INDEX('Per Invoice'!M$2:M$801,$W149)="","",INDEX('Per Invoice'!M$2:M$801,$W149)))</f>
        <v/>
      </c>
      <c r="N149" s="7">
        <f>IF($W149="","",IF(INDEX('Per Invoice'!N$2:N$801,$W149)="","",INDEX('Per Invoice'!N$2:N$801,$W149)))</f>
        <v/>
      </c>
      <c r="O149" s="7">
        <f>IF($W149="","",IF(INDEX('Per Invoice'!O$2:O$801,$W149)="","",INDEX('Per Invoice'!O$2:O$801,$W149)))</f>
        <v/>
      </c>
      <c r="P149">
        <f>IF($W149="","",IF(INDEX('Per Invoice'!P$2:P$801,$W149)="","",INDEX('Per Invoice'!P$2:P$801,$W149)))</f>
        <v/>
      </c>
      <c r="Q149" s="7">
        <f>IF($W149="","",IF(INDEX('Per Invoice'!Q$2:Q$801,$W149)="","",INDEX('Per Invoice'!Q$2:Q$801,$W149)))</f>
        <v/>
      </c>
      <c r="R149" s="7">
        <f>IF($W149="","",IF(INDEX('Per Invoice'!R$2:R$801,$W149)="","",INDEX('Per Invoice'!R$2:R$801,$W149)))</f>
        <v/>
      </c>
      <c r="S149" s="7">
        <f>IF($W149="","",IF(INDEX('Per Invoice'!S$2:S$801,$W149)="","",INDEX('Per Invoice'!S$2:S$801,$W149)))</f>
        <v/>
      </c>
      <c r="T149" s="7">
        <f>IF($W149="","",IF(INDEX('Per Invoice'!T$2:T$801,$W149)="","",INDEX('Per Invoice'!T$2:T$801,$W149)))</f>
        <v/>
      </c>
      <c r="U149" s="7">
        <f>IF($W149="","",IF(INDEX('Per Invoice'!U$2:U$801,$W149)="","",INDEX('Per Invoice'!U$2:U$801,$W149)))</f>
        <v/>
      </c>
      <c r="V149" s="7">
        <f>IF($W149="","",IF(INDEX('Per Invoice'!V$2:V$801,$W149)="","",INDEX('Per Invoice'!V$2:V$801,$W149)))</f>
        <v/>
      </c>
      <c r="W149" s="16">
        <f>IFERROR(MATCH(Settings!$C$30&amp;"|"&amp;ROWS($W$2:$W149),'Per Invoice'!$X$2:$X$801,0),"")</f>
        <v/>
      </c>
    </row>
    <row r="150">
      <c r="A150">
        <f>IF($W150="","",IF(INDEX('Per Invoice'!A$2:A$801,$W150)="","",INDEX('Per Invoice'!A$2:A$801,$W150)))</f>
        <v/>
      </c>
      <c r="B150">
        <f>IF($W150="","",IF(INDEX('Per Invoice'!B$2:B$801,$W150)="","",INDEX('Per Invoice'!B$2:B$801,$W150)))</f>
        <v/>
      </c>
      <c r="C150">
        <f>IF($W150="","",IF(INDEX('Per Invoice'!C$2:C$801,$W150)="","",INDEX('Per Invoice'!C$2:C$801,$W150)))</f>
        <v/>
      </c>
      <c r="D150">
        <f>IF($W150="","",IF(INDEX('Per Invoice'!D$2:D$801,$W150)="","",INDEX('Per Invoice'!D$2:D$801,$W150)))</f>
        <v/>
      </c>
      <c r="E150">
        <f>IF($W150="","",IF(INDEX('Per Invoice'!E$2:E$801,$W150)="","",INDEX('Per Invoice'!E$2:E$801,$W150)))</f>
        <v/>
      </c>
      <c r="F150">
        <f>IF($W150="","",IF(INDEX('Per Invoice'!F$2:F$801,$W150)="","",INDEX('Per Invoice'!F$2:F$801,$W150)))</f>
        <v/>
      </c>
      <c r="G150">
        <f>IF($W150="","",IF(INDEX('Per Invoice'!G$2:G$801,$W150)="","",INDEX('Per Invoice'!G$2:G$801,$W150)))</f>
        <v/>
      </c>
      <c r="H150">
        <f>IF($W150="","",IF(INDEX('Per Invoice'!H$2:H$801,$W150)="","",INDEX('Per Invoice'!H$2:H$801,$W150)))</f>
        <v/>
      </c>
      <c r="I150">
        <f>IF($W150="","",IF(INDEX('Per Invoice'!I$2:I$801,$W150)="","",INDEX('Per Invoice'!I$2:I$801,$W150)))</f>
        <v/>
      </c>
      <c r="J150">
        <f>IF($W150="","",IF(INDEX('Per Invoice'!J$2:J$801,$W150)="","",INDEX('Per Invoice'!J$2:J$801,$W150)))</f>
        <v/>
      </c>
      <c r="K150" s="7">
        <f>IF($W150="","",IF(INDEX('Per Invoice'!K$2:K$801,$W150)="","",INDEX('Per Invoice'!K$2:K$801,$W150)))</f>
        <v/>
      </c>
      <c r="L150" s="14">
        <f>IF($W150="","",IF(INDEX('Per Invoice'!L$2:L$801,$W150)="","",INDEX('Per Invoice'!L$2:L$801,$W150)))</f>
        <v/>
      </c>
      <c r="M150">
        <f>IF($W150="","",IF(INDEX('Per Invoice'!M$2:M$801,$W150)="","",INDEX('Per Invoice'!M$2:M$801,$W150)))</f>
        <v/>
      </c>
      <c r="N150" s="7">
        <f>IF($W150="","",IF(INDEX('Per Invoice'!N$2:N$801,$W150)="","",INDEX('Per Invoice'!N$2:N$801,$W150)))</f>
        <v/>
      </c>
      <c r="O150" s="7">
        <f>IF($W150="","",IF(INDEX('Per Invoice'!O$2:O$801,$W150)="","",INDEX('Per Invoice'!O$2:O$801,$W150)))</f>
        <v/>
      </c>
      <c r="P150">
        <f>IF($W150="","",IF(INDEX('Per Invoice'!P$2:P$801,$W150)="","",INDEX('Per Invoice'!P$2:P$801,$W150)))</f>
        <v/>
      </c>
      <c r="Q150" s="7">
        <f>IF($W150="","",IF(INDEX('Per Invoice'!Q$2:Q$801,$W150)="","",INDEX('Per Invoice'!Q$2:Q$801,$W150)))</f>
        <v/>
      </c>
      <c r="R150" s="7">
        <f>IF($W150="","",IF(INDEX('Per Invoice'!R$2:R$801,$W150)="","",INDEX('Per Invoice'!R$2:R$801,$W150)))</f>
        <v/>
      </c>
      <c r="S150" s="7">
        <f>IF($W150="","",IF(INDEX('Per Invoice'!S$2:S$801,$W150)="","",INDEX('Per Invoice'!S$2:S$801,$W150)))</f>
        <v/>
      </c>
      <c r="T150" s="7">
        <f>IF($W150="","",IF(INDEX('Per Invoice'!T$2:T$801,$W150)="","",INDEX('Per Invoice'!T$2:T$801,$W150)))</f>
        <v/>
      </c>
      <c r="U150" s="7">
        <f>IF($W150="","",IF(INDEX('Per Invoice'!U$2:U$801,$W150)="","",INDEX('Per Invoice'!U$2:U$801,$W150)))</f>
        <v/>
      </c>
      <c r="V150" s="7">
        <f>IF($W150="","",IF(INDEX('Per Invoice'!V$2:V$801,$W150)="","",INDEX('Per Invoice'!V$2:V$801,$W150)))</f>
        <v/>
      </c>
      <c r="W150" s="16">
        <f>IFERROR(MATCH(Settings!$C$30&amp;"|"&amp;ROWS($W$2:$W150),'Per Invoice'!$X$2:$X$801,0),"")</f>
        <v/>
      </c>
    </row>
    <row r="151">
      <c r="A151">
        <f>IF($W151="","",IF(INDEX('Per Invoice'!A$2:A$801,$W151)="","",INDEX('Per Invoice'!A$2:A$801,$W151)))</f>
        <v/>
      </c>
      <c r="B151">
        <f>IF($W151="","",IF(INDEX('Per Invoice'!B$2:B$801,$W151)="","",INDEX('Per Invoice'!B$2:B$801,$W151)))</f>
        <v/>
      </c>
      <c r="C151">
        <f>IF($W151="","",IF(INDEX('Per Invoice'!C$2:C$801,$W151)="","",INDEX('Per Invoice'!C$2:C$801,$W151)))</f>
        <v/>
      </c>
      <c r="D151">
        <f>IF($W151="","",IF(INDEX('Per Invoice'!D$2:D$801,$W151)="","",INDEX('Per Invoice'!D$2:D$801,$W151)))</f>
        <v/>
      </c>
      <c r="E151">
        <f>IF($W151="","",IF(INDEX('Per Invoice'!E$2:E$801,$W151)="","",INDEX('Per Invoice'!E$2:E$801,$W151)))</f>
        <v/>
      </c>
      <c r="F151">
        <f>IF($W151="","",IF(INDEX('Per Invoice'!F$2:F$801,$W151)="","",INDEX('Per Invoice'!F$2:F$801,$W151)))</f>
        <v/>
      </c>
      <c r="G151">
        <f>IF($W151="","",IF(INDEX('Per Invoice'!G$2:G$801,$W151)="","",INDEX('Per Invoice'!G$2:G$801,$W151)))</f>
        <v/>
      </c>
      <c r="H151">
        <f>IF($W151="","",IF(INDEX('Per Invoice'!H$2:H$801,$W151)="","",INDEX('Per Invoice'!H$2:H$801,$W151)))</f>
        <v/>
      </c>
      <c r="I151">
        <f>IF($W151="","",IF(INDEX('Per Invoice'!I$2:I$801,$W151)="","",INDEX('Per Invoice'!I$2:I$801,$W151)))</f>
        <v/>
      </c>
      <c r="J151">
        <f>IF($W151="","",IF(INDEX('Per Invoice'!J$2:J$801,$W151)="","",INDEX('Per Invoice'!J$2:J$801,$W151)))</f>
        <v/>
      </c>
      <c r="K151" s="7">
        <f>IF($W151="","",IF(INDEX('Per Invoice'!K$2:K$801,$W151)="","",INDEX('Per Invoice'!K$2:K$801,$W151)))</f>
        <v/>
      </c>
      <c r="L151" s="14">
        <f>IF($W151="","",IF(INDEX('Per Invoice'!L$2:L$801,$W151)="","",INDEX('Per Invoice'!L$2:L$801,$W151)))</f>
        <v/>
      </c>
      <c r="M151">
        <f>IF($W151="","",IF(INDEX('Per Invoice'!M$2:M$801,$W151)="","",INDEX('Per Invoice'!M$2:M$801,$W151)))</f>
        <v/>
      </c>
      <c r="N151" s="7">
        <f>IF($W151="","",IF(INDEX('Per Invoice'!N$2:N$801,$W151)="","",INDEX('Per Invoice'!N$2:N$801,$W151)))</f>
        <v/>
      </c>
      <c r="O151" s="7">
        <f>IF($W151="","",IF(INDEX('Per Invoice'!O$2:O$801,$W151)="","",INDEX('Per Invoice'!O$2:O$801,$W151)))</f>
        <v/>
      </c>
      <c r="P151">
        <f>IF($W151="","",IF(INDEX('Per Invoice'!P$2:P$801,$W151)="","",INDEX('Per Invoice'!P$2:P$801,$W151)))</f>
        <v/>
      </c>
      <c r="Q151" s="7">
        <f>IF($W151="","",IF(INDEX('Per Invoice'!Q$2:Q$801,$W151)="","",INDEX('Per Invoice'!Q$2:Q$801,$W151)))</f>
        <v/>
      </c>
      <c r="R151" s="7">
        <f>IF($W151="","",IF(INDEX('Per Invoice'!R$2:R$801,$W151)="","",INDEX('Per Invoice'!R$2:R$801,$W151)))</f>
        <v/>
      </c>
      <c r="S151" s="7">
        <f>IF($W151="","",IF(INDEX('Per Invoice'!S$2:S$801,$W151)="","",INDEX('Per Invoice'!S$2:S$801,$W151)))</f>
        <v/>
      </c>
      <c r="T151" s="7">
        <f>IF($W151="","",IF(INDEX('Per Invoice'!T$2:T$801,$W151)="","",INDEX('Per Invoice'!T$2:T$801,$W151)))</f>
        <v/>
      </c>
      <c r="U151" s="7">
        <f>IF($W151="","",IF(INDEX('Per Invoice'!U$2:U$801,$W151)="","",INDEX('Per Invoice'!U$2:U$801,$W151)))</f>
        <v/>
      </c>
      <c r="V151" s="7">
        <f>IF($W151="","",IF(INDEX('Per Invoice'!V$2:V$801,$W151)="","",INDEX('Per Invoice'!V$2:V$801,$W151)))</f>
        <v/>
      </c>
      <c r="W151" s="16">
        <f>IFERROR(MATCH(Settings!$C$30&amp;"|"&amp;ROWS($W$2:$W151),'Per Invoice'!$X$2:$X$801,0),"")</f>
        <v/>
      </c>
    </row>
    <row r="152">
      <c r="A152">
        <f>IF($W152="","",IF(INDEX('Per Invoice'!A$2:A$801,$W152)="","",INDEX('Per Invoice'!A$2:A$801,$W152)))</f>
        <v/>
      </c>
      <c r="B152">
        <f>IF($W152="","",IF(INDEX('Per Invoice'!B$2:B$801,$W152)="","",INDEX('Per Invoice'!B$2:B$801,$W152)))</f>
        <v/>
      </c>
      <c r="C152">
        <f>IF($W152="","",IF(INDEX('Per Invoice'!C$2:C$801,$W152)="","",INDEX('Per Invoice'!C$2:C$801,$W152)))</f>
        <v/>
      </c>
      <c r="D152">
        <f>IF($W152="","",IF(INDEX('Per Invoice'!D$2:D$801,$W152)="","",INDEX('Per Invoice'!D$2:D$801,$W152)))</f>
        <v/>
      </c>
      <c r="E152">
        <f>IF($W152="","",IF(INDEX('Per Invoice'!E$2:E$801,$W152)="","",INDEX('Per Invoice'!E$2:E$801,$W152)))</f>
        <v/>
      </c>
      <c r="F152">
        <f>IF($W152="","",IF(INDEX('Per Invoice'!F$2:F$801,$W152)="","",INDEX('Per Invoice'!F$2:F$801,$W152)))</f>
        <v/>
      </c>
      <c r="G152">
        <f>IF($W152="","",IF(INDEX('Per Invoice'!G$2:G$801,$W152)="","",INDEX('Per Invoice'!G$2:G$801,$W152)))</f>
        <v/>
      </c>
      <c r="H152">
        <f>IF($W152="","",IF(INDEX('Per Invoice'!H$2:H$801,$W152)="","",INDEX('Per Invoice'!H$2:H$801,$W152)))</f>
        <v/>
      </c>
      <c r="I152">
        <f>IF($W152="","",IF(INDEX('Per Invoice'!I$2:I$801,$W152)="","",INDEX('Per Invoice'!I$2:I$801,$W152)))</f>
        <v/>
      </c>
      <c r="J152">
        <f>IF($W152="","",IF(INDEX('Per Invoice'!J$2:J$801,$W152)="","",INDEX('Per Invoice'!J$2:J$801,$W152)))</f>
        <v/>
      </c>
      <c r="K152" s="7">
        <f>IF($W152="","",IF(INDEX('Per Invoice'!K$2:K$801,$W152)="","",INDEX('Per Invoice'!K$2:K$801,$W152)))</f>
        <v/>
      </c>
      <c r="L152" s="14">
        <f>IF($W152="","",IF(INDEX('Per Invoice'!L$2:L$801,$W152)="","",INDEX('Per Invoice'!L$2:L$801,$W152)))</f>
        <v/>
      </c>
      <c r="M152">
        <f>IF($W152="","",IF(INDEX('Per Invoice'!M$2:M$801,$W152)="","",INDEX('Per Invoice'!M$2:M$801,$W152)))</f>
        <v/>
      </c>
      <c r="N152" s="7">
        <f>IF($W152="","",IF(INDEX('Per Invoice'!N$2:N$801,$W152)="","",INDEX('Per Invoice'!N$2:N$801,$W152)))</f>
        <v/>
      </c>
      <c r="O152" s="7">
        <f>IF($W152="","",IF(INDEX('Per Invoice'!O$2:O$801,$W152)="","",INDEX('Per Invoice'!O$2:O$801,$W152)))</f>
        <v/>
      </c>
      <c r="P152">
        <f>IF($W152="","",IF(INDEX('Per Invoice'!P$2:P$801,$W152)="","",INDEX('Per Invoice'!P$2:P$801,$W152)))</f>
        <v/>
      </c>
      <c r="Q152" s="7">
        <f>IF($W152="","",IF(INDEX('Per Invoice'!Q$2:Q$801,$W152)="","",INDEX('Per Invoice'!Q$2:Q$801,$W152)))</f>
        <v/>
      </c>
      <c r="R152" s="7">
        <f>IF($W152="","",IF(INDEX('Per Invoice'!R$2:R$801,$W152)="","",INDEX('Per Invoice'!R$2:R$801,$W152)))</f>
        <v/>
      </c>
      <c r="S152" s="7">
        <f>IF($W152="","",IF(INDEX('Per Invoice'!S$2:S$801,$W152)="","",INDEX('Per Invoice'!S$2:S$801,$W152)))</f>
        <v/>
      </c>
      <c r="T152" s="7">
        <f>IF($W152="","",IF(INDEX('Per Invoice'!T$2:T$801,$W152)="","",INDEX('Per Invoice'!T$2:T$801,$W152)))</f>
        <v/>
      </c>
      <c r="U152" s="7">
        <f>IF($W152="","",IF(INDEX('Per Invoice'!U$2:U$801,$W152)="","",INDEX('Per Invoice'!U$2:U$801,$W152)))</f>
        <v/>
      </c>
      <c r="V152" s="7">
        <f>IF($W152="","",IF(INDEX('Per Invoice'!V$2:V$801,$W152)="","",INDEX('Per Invoice'!V$2:V$801,$W152)))</f>
        <v/>
      </c>
      <c r="W152" s="16">
        <f>IFERROR(MATCH(Settings!$C$30&amp;"|"&amp;ROWS($W$2:$W152),'Per Invoice'!$X$2:$X$801,0),"")</f>
        <v/>
      </c>
    </row>
    <row r="153">
      <c r="A153">
        <f>IF($W153="","",IF(INDEX('Per Invoice'!A$2:A$801,$W153)="","",INDEX('Per Invoice'!A$2:A$801,$W153)))</f>
        <v/>
      </c>
      <c r="B153">
        <f>IF($W153="","",IF(INDEX('Per Invoice'!B$2:B$801,$W153)="","",INDEX('Per Invoice'!B$2:B$801,$W153)))</f>
        <v/>
      </c>
      <c r="C153">
        <f>IF($W153="","",IF(INDEX('Per Invoice'!C$2:C$801,$W153)="","",INDEX('Per Invoice'!C$2:C$801,$W153)))</f>
        <v/>
      </c>
      <c r="D153">
        <f>IF($W153="","",IF(INDEX('Per Invoice'!D$2:D$801,$W153)="","",INDEX('Per Invoice'!D$2:D$801,$W153)))</f>
        <v/>
      </c>
      <c r="E153">
        <f>IF($W153="","",IF(INDEX('Per Invoice'!E$2:E$801,$W153)="","",INDEX('Per Invoice'!E$2:E$801,$W153)))</f>
        <v/>
      </c>
      <c r="F153">
        <f>IF($W153="","",IF(INDEX('Per Invoice'!F$2:F$801,$W153)="","",INDEX('Per Invoice'!F$2:F$801,$W153)))</f>
        <v/>
      </c>
      <c r="G153">
        <f>IF($W153="","",IF(INDEX('Per Invoice'!G$2:G$801,$W153)="","",INDEX('Per Invoice'!G$2:G$801,$W153)))</f>
        <v/>
      </c>
      <c r="H153">
        <f>IF($W153="","",IF(INDEX('Per Invoice'!H$2:H$801,$W153)="","",INDEX('Per Invoice'!H$2:H$801,$W153)))</f>
        <v/>
      </c>
      <c r="I153">
        <f>IF($W153="","",IF(INDEX('Per Invoice'!I$2:I$801,$W153)="","",INDEX('Per Invoice'!I$2:I$801,$W153)))</f>
        <v/>
      </c>
      <c r="J153">
        <f>IF($W153="","",IF(INDEX('Per Invoice'!J$2:J$801,$W153)="","",INDEX('Per Invoice'!J$2:J$801,$W153)))</f>
        <v/>
      </c>
      <c r="K153" s="7">
        <f>IF($W153="","",IF(INDEX('Per Invoice'!K$2:K$801,$W153)="","",INDEX('Per Invoice'!K$2:K$801,$W153)))</f>
        <v/>
      </c>
      <c r="L153" s="14">
        <f>IF($W153="","",IF(INDEX('Per Invoice'!L$2:L$801,$W153)="","",INDEX('Per Invoice'!L$2:L$801,$W153)))</f>
        <v/>
      </c>
      <c r="M153">
        <f>IF($W153="","",IF(INDEX('Per Invoice'!M$2:M$801,$W153)="","",INDEX('Per Invoice'!M$2:M$801,$W153)))</f>
        <v/>
      </c>
      <c r="N153" s="7">
        <f>IF($W153="","",IF(INDEX('Per Invoice'!N$2:N$801,$W153)="","",INDEX('Per Invoice'!N$2:N$801,$W153)))</f>
        <v/>
      </c>
      <c r="O153" s="7">
        <f>IF($W153="","",IF(INDEX('Per Invoice'!O$2:O$801,$W153)="","",INDEX('Per Invoice'!O$2:O$801,$W153)))</f>
        <v/>
      </c>
      <c r="P153">
        <f>IF($W153="","",IF(INDEX('Per Invoice'!P$2:P$801,$W153)="","",INDEX('Per Invoice'!P$2:P$801,$W153)))</f>
        <v/>
      </c>
      <c r="Q153" s="7">
        <f>IF($W153="","",IF(INDEX('Per Invoice'!Q$2:Q$801,$W153)="","",INDEX('Per Invoice'!Q$2:Q$801,$W153)))</f>
        <v/>
      </c>
      <c r="R153" s="7">
        <f>IF($W153="","",IF(INDEX('Per Invoice'!R$2:R$801,$W153)="","",INDEX('Per Invoice'!R$2:R$801,$W153)))</f>
        <v/>
      </c>
      <c r="S153" s="7">
        <f>IF($W153="","",IF(INDEX('Per Invoice'!S$2:S$801,$W153)="","",INDEX('Per Invoice'!S$2:S$801,$W153)))</f>
        <v/>
      </c>
      <c r="T153" s="7">
        <f>IF($W153="","",IF(INDEX('Per Invoice'!T$2:T$801,$W153)="","",INDEX('Per Invoice'!T$2:T$801,$W153)))</f>
        <v/>
      </c>
      <c r="U153" s="7">
        <f>IF($W153="","",IF(INDEX('Per Invoice'!U$2:U$801,$W153)="","",INDEX('Per Invoice'!U$2:U$801,$W153)))</f>
        <v/>
      </c>
      <c r="V153" s="7">
        <f>IF($W153="","",IF(INDEX('Per Invoice'!V$2:V$801,$W153)="","",INDEX('Per Invoice'!V$2:V$801,$W153)))</f>
        <v/>
      </c>
      <c r="W153" s="16">
        <f>IFERROR(MATCH(Settings!$C$30&amp;"|"&amp;ROWS($W$2:$W153),'Per Invoice'!$X$2:$X$801,0),"")</f>
        <v/>
      </c>
    </row>
    <row r="154">
      <c r="A154">
        <f>IF($W154="","",IF(INDEX('Per Invoice'!A$2:A$801,$W154)="","",INDEX('Per Invoice'!A$2:A$801,$W154)))</f>
        <v/>
      </c>
      <c r="B154">
        <f>IF($W154="","",IF(INDEX('Per Invoice'!B$2:B$801,$W154)="","",INDEX('Per Invoice'!B$2:B$801,$W154)))</f>
        <v/>
      </c>
      <c r="C154">
        <f>IF($W154="","",IF(INDEX('Per Invoice'!C$2:C$801,$W154)="","",INDEX('Per Invoice'!C$2:C$801,$W154)))</f>
        <v/>
      </c>
      <c r="D154">
        <f>IF($W154="","",IF(INDEX('Per Invoice'!D$2:D$801,$W154)="","",INDEX('Per Invoice'!D$2:D$801,$W154)))</f>
        <v/>
      </c>
      <c r="E154">
        <f>IF($W154="","",IF(INDEX('Per Invoice'!E$2:E$801,$W154)="","",INDEX('Per Invoice'!E$2:E$801,$W154)))</f>
        <v/>
      </c>
      <c r="F154">
        <f>IF($W154="","",IF(INDEX('Per Invoice'!F$2:F$801,$W154)="","",INDEX('Per Invoice'!F$2:F$801,$W154)))</f>
        <v/>
      </c>
      <c r="G154">
        <f>IF($W154="","",IF(INDEX('Per Invoice'!G$2:G$801,$W154)="","",INDEX('Per Invoice'!G$2:G$801,$W154)))</f>
        <v/>
      </c>
      <c r="H154">
        <f>IF($W154="","",IF(INDEX('Per Invoice'!H$2:H$801,$W154)="","",INDEX('Per Invoice'!H$2:H$801,$W154)))</f>
        <v/>
      </c>
      <c r="I154">
        <f>IF($W154="","",IF(INDEX('Per Invoice'!I$2:I$801,$W154)="","",INDEX('Per Invoice'!I$2:I$801,$W154)))</f>
        <v/>
      </c>
      <c r="J154">
        <f>IF($W154="","",IF(INDEX('Per Invoice'!J$2:J$801,$W154)="","",INDEX('Per Invoice'!J$2:J$801,$W154)))</f>
        <v/>
      </c>
      <c r="K154" s="7">
        <f>IF($W154="","",IF(INDEX('Per Invoice'!K$2:K$801,$W154)="","",INDEX('Per Invoice'!K$2:K$801,$W154)))</f>
        <v/>
      </c>
      <c r="L154" s="14">
        <f>IF($W154="","",IF(INDEX('Per Invoice'!L$2:L$801,$W154)="","",INDEX('Per Invoice'!L$2:L$801,$W154)))</f>
        <v/>
      </c>
      <c r="M154">
        <f>IF($W154="","",IF(INDEX('Per Invoice'!M$2:M$801,$W154)="","",INDEX('Per Invoice'!M$2:M$801,$W154)))</f>
        <v/>
      </c>
      <c r="N154" s="7">
        <f>IF($W154="","",IF(INDEX('Per Invoice'!N$2:N$801,$W154)="","",INDEX('Per Invoice'!N$2:N$801,$W154)))</f>
        <v/>
      </c>
      <c r="O154" s="7">
        <f>IF($W154="","",IF(INDEX('Per Invoice'!O$2:O$801,$W154)="","",INDEX('Per Invoice'!O$2:O$801,$W154)))</f>
        <v/>
      </c>
      <c r="P154">
        <f>IF($W154="","",IF(INDEX('Per Invoice'!P$2:P$801,$W154)="","",INDEX('Per Invoice'!P$2:P$801,$W154)))</f>
        <v/>
      </c>
      <c r="Q154" s="7">
        <f>IF($W154="","",IF(INDEX('Per Invoice'!Q$2:Q$801,$W154)="","",INDEX('Per Invoice'!Q$2:Q$801,$W154)))</f>
        <v/>
      </c>
      <c r="R154" s="7">
        <f>IF($W154="","",IF(INDEX('Per Invoice'!R$2:R$801,$W154)="","",INDEX('Per Invoice'!R$2:R$801,$W154)))</f>
        <v/>
      </c>
      <c r="S154" s="7">
        <f>IF($W154="","",IF(INDEX('Per Invoice'!S$2:S$801,$W154)="","",INDEX('Per Invoice'!S$2:S$801,$W154)))</f>
        <v/>
      </c>
      <c r="T154" s="7">
        <f>IF($W154="","",IF(INDEX('Per Invoice'!T$2:T$801,$W154)="","",INDEX('Per Invoice'!T$2:T$801,$W154)))</f>
        <v/>
      </c>
      <c r="U154" s="7">
        <f>IF($W154="","",IF(INDEX('Per Invoice'!U$2:U$801,$W154)="","",INDEX('Per Invoice'!U$2:U$801,$W154)))</f>
        <v/>
      </c>
      <c r="V154" s="7">
        <f>IF($W154="","",IF(INDEX('Per Invoice'!V$2:V$801,$W154)="","",INDEX('Per Invoice'!V$2:V$801,$W154)))</f>
        <v/>
      </c>
      <c r="W154" s="16">
        <f>IFERROR(MATCH(Settings!$C$30&amp;"|"&amp;ROWS($W$2:$W154),'Per Invoice'!$X$2:$X$801,0),"")</f>
        <v/>
      </c>
    </row>
    <row r="155">
      <c r="A155">
        <f>IF($W155="","",IF(INDEX('Per Invoice'!A$2:A$801,$W155)="","",INDEX('Per Invoice'!A$2:A$801,$W155)))</f>
        <v/>
      </c>
      <c r="B155">
        <f>IF($W155="","",IF(INDEX('Per Invoice'!B$2:B$801,$W155)="","",INDEX('Per Invoice'!B$2:B$801,$W155)))</f>
        <v/>
      </c>
      <c r="C155">
        <f>IF($W155="","",IF(INDEX('Per Invoice'!C$2:C$801,$W155)="","",INDEX('Per Invoice'!C$2:C$801,$W155)))</f>
        <v/>
      </c>
      <c r="D155">
        <f>IF($W155="","",IF(INDEX('Per Invoice'!D$2:D$801,$W155)="","",INDEX('Per Invoice'!D$2:D$801,$W155)))</f>
        <v/>
      </c>
      <c r="E155">
        <f>IF($W155="","",IF(INDEX('Per Invoice'!E$2:E$801,$W155)="","",INDEX('Per Invoice'!E$2:E$801,$W155)))</f>
        <v/>
      </c>
      <c r="F155">
        <f>IF($W155="","",IF(INDEX('Per Invoice'!F$2:F$801,$W155)="","",INDEX('Per Invoice'!F$2:F$801,$W155)))</f>
        <v/>
      </c>
      <c r="G155">
        <f>IF($W155="","",IF(INDEX('Per Invoice'!G$2:G$801,$W155)="","",INDEX('Per Invoice'!G$2:G$801,$W155)))</f>
        <v/>
      </c>
      <c r="H155">
        <f>IF($W155="","",IF(INDEX('Per Invoice'!H$2:H$801,$W155)="","",INDEX('Per Invoice'!H$2:H$801,$W155)))</f>
        <v/>
      </c>
      <c r="I155">
        <f>IF($W155="","",IF(INDEX('Per Invoice'!I$2:I$801,$W155)="","",INDEX('Per Invoice'!I$2:I$801,$W155)))</f>
        <v/>
      </c>
      <c r="J155">
        <f>IF($W155="","",IF(INDEX('Per Invoice'!J$2:J$801,$W155)="","",INDEX('Per Invoice'!J$2:J$801,$W155)))</f>
        <v/>
      </c>
      <c r="K155" s="7">
        <f>IF($W155="","",IF(INDEX('Per Invoice'!K$2:K$801,$W155)="","",INDEX('Per Invoice'!K$2:K$801,$W155)))</f>
        <v/>
      </c>
      <c r="L155" s="14">
        <f>IF($W155="","",IF(INDEX('Per Invoice'!L$2:L$801,$W155)="","",INDEX('Per Invoice'!L$2:L$801,$W155)))</f>
        <v/>
      </c>
      <c r="M155">
        <f>IF($W155="","",IF(INDEX('Per Invoice'!M$2:M$801,$W155)="","",INDEX('Per Invoice'!M$2:M$801,$W155)))</f>
        <v/>
      </c>
      <c r="N155" s="7">
        <f>IF($W155="","",IF(INDEX('Per Invoice'!N$2:N$801,$W155)="","",INDEX('Per Invoice'!N$2:N$801,$W155)))</f>
        <v/>
      </c>
      <c r="O155" s="7">
        <f>IF($W155="","",IF(INDEX('Per Invoice'!O$2:O$801,$W155)="","",INDEX('Per Invoice'!O$2:O$801,$W155)))</f>
        <v/>
      </c>
      <c r="P155">
        <f>IF($W155="","",IF(INDEX('Per Invoice'!P$2:P$801,$W155)="","",INDEX('Per Invoice'!P$2:P$801,$W155)))</f>
        <v/>
      </c>
      <c r="Q155" s="7">
        <f>IF($W155="","",IF(INDEX('Per Invoice'!Q$2:Q$801,$W155)="","",INDEX('Per Invoice'!Q$2:Q$801,$W155)))</f>
        <v/>
      </c>
      <c r="R155" s="7">
        <f>IF($W155="","",IF(INDEX('Per Invoice'!R$2:R$801,$W155)="","",INDEX('Per Invoice'!R$2:R$801,$W155)))</f>
        <v/>
      </c>
      <c r="S155" s="7">
        <f>IF($W155="","",IF(INDEX('Per Invoice'!S$2:S$801,$W155)="","",INDEX('Per Invoice'!S$2:S$801,$W155)))</f>
        <v/>
      </c>
      <c r="T155" s="7">
        <f>IF($W155="","",IF(INDEX('Per Invoice'!T$2:T$801,$W155)="","",INDEX('Per Invoice'!T$2:T$801,$W155)))</f>
        <v/>
      </c>
      <c r="U155" s="7">
        <f>IF($W155="","",IF(INDEX('Per Invoice'!U$2:U$801,$W155)="","",INDEX('Per Invoice'!U$2:U$801,$W155)))</f>
        <v/>
      </c>
      <c r="V155" s="7">
        <f>IF($W155="","",IF(INDEX('Per Invoice'!V$2:V$801,$W155)="","",INDEX('Per Invoice'!V$2:V$801,$W155)))</f>
        <v/>
      </c>
      <c r="W155" s="16">
        <f>IFERROR(MATCH(Settings!$C$30&amp;"|"&amp;ROWS($W$2:$W155),'Per Invoice'!$X$2:$X$801,0),"")</f>
        <v/>
      </c>
    </row>
    <row r="156">
      <c r="A156">
        <f>IF($W156="","",IF(INDEX('Per Invoice'!A$2:A$801,$W156)="","",INDEX('Per Invoice'!A$2:A$801,$W156)))</f>
        <v/>
      </c>
      <c r="B156">
        <f>IF($W156="","",IF(INDEX('Per Invoice'!B$2:B$801,$W156)="","",INDEX('Per Invoice'!B$2:B$801,$W156)))</f>
        <v/>
      </c>
      <c r="C156">
        <f>IF($W156="","",IF(INDEX('Per Invoice'!C$2:C$801,$W156)="","",INDEX('Per Invoice'!C$2:C$801,$W156)))</f>
        <v/>
      </c>
      <c r="D156">
        <f>IF($W156="","",IF(INDEX('Per Invoice'!D$2:D$801,$W156)="","",INDEX('Per Invoice'!D$2:D$801,$W156)))</f>
        <v/>
      </c>
      <c r="E156">
        <f>IF($W156="","",IF(INDEX('Per Invoice'!E$2:E$801,$W156)="","",INDEX('Per Invoice'!E$2:E$801,$W156)))</f>
        <v/>
      </c>
      <c r="F156">
        <f>IF($W156="","",IF(INDEX('Per Invoice'!F$2:F$801,$W156)="","",INDEX('Per Invoice'!F$2:F$801,$W156)))</f>
        <v/>
      </c>
      <c r="G156">
        <f>IF($W156="","",IF(INDEX('Per Invoice'!G$2:G$801,$W156)="","",INDEX('Per Invoice'!G$2:G$801,$W156)))</f>
        <v/>
      </c>
      <c r="H156">
        <f>IF($W156="","",IF(INDEX('Per Invoice'!H$2:H$801,$W156)="","",INDEX('Per Invoice'!H$2:H$801,$W156)))</f>
        <v/>
      </c>
      <c r="I156">
        <f>IF($W156="","",IF(INDEX('Per Invoice'!I$2:I$801,$W156)="","",INDEX('Per Invoice'!I$2:I$801,$W156)))</f>
        <v/>
      </c>
      <c r="J156">
        <f>IF($W156="","",IF(INDEX('Per Invoice'!J$2:J$801,$W156)="","",INDEX('Per Invoice'!J$2:J$801,$W156)))</f>
        <v/>
      </c>
      <c r="K156" s="7">
        <f>IF($W156="","",IF(INDEX('Per Invoice'!K$2:K$801,$W156)="","",INDEX('Per Invoice'!K$2:K$801,$W156)))</f>
        <v/>
      </c>
      <c r="L156" s="14">
        <f>IF($W156="","",IF(INDEX('Per Invoice'!L$2:L$801,$W156)="","",INDEX('Per Invoice'!L$2:L$801,$W156)))</f>
        <v/>
      </c>
      <c r="M156">
        <f>IF($W156="","",IF(INDEX('Per Invoice'!M$2:M$801,$W156)="","",INDEX('Per Invoice'!M$2:M$801,$W156)))</f>
        <v/>
      </c>
      <c r="N156" s="7">
        <f>IF($W156="","",IF(INDEX('Per Invoice'!N$2:N$801,$W156)="","",INDEX('Per Invoice'!N$2:N$801,$W156)))</f>
        <v/>
      </c>
      <c r="O156" s="7">
        <f>IF($W156="","",IF(INDEX('Per Invoice'!O$2:O$801,$W156)="","",INDEX('Per Invoice'!O$2:O$801,$W156)))</f>
        <v/>
      </c>
      <c r="P156">
        <f>IF($W156="","",IF(INDEX('Per Invoice'!P$2:P$801,$W156)="","",INDEX('Per Invoice'!P$2:P$801,$W156)))</f>
        <v/>
      </c>
      <c r="Q156" s="7">
        <f>IF($W156="","",IF(INDEX('Per Invoice'!Q$2:Q$801,$W156)="","",INDEX('Per Invoice'!Q$2:Q$801,$W156)))</f>
        <v/>
      </c>
      <c r="R156" s="7">
        <f>IF($W156="","",IF(INDEX('Per Invoice'!R$2:R$801,$W156)="","",INDEX('Per Invoice'!R$2:R$801,$W156)))</f>
        <v/>
      </c>
      <c r="S156" s="7">
        <f>IF($W156="","",IF(INDEX('Per Invoice'!S$2:S$801,$W156)="","",INDEX('Per Invoice'!S$2:S$801,$W156)))</f>
        <v/>
      </c>
      <c r="T156" s="7">
        <f>IF($W156="","",IF(INDEX('Per Invoice'!T$2:T$801,$W156)="","",INDEX('Per Invoice'!T$2:T$801,$W156)))</f>
        <v/>
      </c>
      <c r="U156" s="7">
        <f>IF($W156="","",IF(INDEX('Per Invoice'!U$2:U$801,$W156)="","",INDEX('Per Invoice'!U$2:U$801,$W156)))</f>
        <v/>
      </c>
      <c r="V156" s="7">
        <f>IF($W156="","",IF(INDEX('Per Invoice'!V$2:V$801,$W156)="","",INDEX('Per Invoice'!V$2:V$801,$W156)))</f>
        <v/>
      </c>
      <c r="W156" s="16">
        <f>IFERROR(MATCH(Settings!$C$30&amp;"|"&amp;ROWS($W$2:$W156),'Per Invoice'!$X$2:$X$801,0),"")</f>
        <v/>
      </c>
    </row>
    <row r="157">
      <c r="A157">
        <f>IF($W157="","",IF(INDEX('Per Invoice'!A$2:A$801,$W157)="","",INDEX('Per Invoice'!A$2:A$801,$W157)))</f>
        <v/>
      </c>
      <c r="B157">
        <f>IF($W157="","",IF(INDEX('Per Invoice'!B$2:B$801,$W157)="","",INDEX('Per Invoice'!B$2:B$801,$W157)))</f>
        <v/>
      </c>
      <c r="C157">
        <f>IF($W157="","",IF(INDEX('Per Invoice'!C$2:C$801,$W157)="","",INDEX('Per Invoice'!C$2:C$801,$W157)))</f>
        <v/>
      </c>
      <c r="D157">
        <f>IF($W157="","",IF(INDEX('Per Invoice'!D$2:D$801,$W157)="","",INDEX('Per Invoice'!D$2:D$801,$W157)))</f>
        <v/>
      </c>
      <c r="E157">
        <f>IF($W157="","",IF(INDEX('Per Invoice'!E$2:E$801,$W157)="","",INDEX('Per Invoice'!E$2:E$801,$W157)))</f>
        <v/>
      </c>
      <c r="F157">
        <f>IF($W157="","",IF(INDEX('Per Invoice'!F$2:F$801,$W157)="","",INDEX('Per Invoice'!F$2:F$801,$W157)))</f>
        <v/>
      </c>
      <c r="G157">
        <f>IF($W157="","",IF(INDEX('Per Invoice'!G$2:G$801,$W157)="","",INDEX('Per Invoice'!G$2:G$801,$W157)))</f>
        <v/>
      </c>
      <c r="H157">
        <f>IF($W157="","",IF(INDEX('Per Invoice'!H$2:H$801,$W157)="","",INDEX('Per Invoice'!H$2:H$801,$W157)))</f>
        <v/>
      </c>
      <c r="I157">
        <f>IF($W157="","",IF(INDEX('Per Invoice'!I$2:I$801,$W157)="","",INDEX('Per Invoice'!I$2:I$801,$W157)))</f>
        <v/>
      </c>
      <c r="J157">
        <f>IF($W157="","",IF(INDEX('Per Invoice'!J$2:J$801,$W157)="","",INDEX('Per Invoice'!J$2:J$801,$W157)))</f>
        <v/>
      </c>
      <c r="K157" s="7">
        <f>IF($W157="","",IF(INDEX('Per Invoice'!K$2:K$801,$W157)="","",INDEX('Per Invoice'!K$2:K$801,$W157)))</f>
        <v/>
      </c>
      <c r="L157" s="14">
        <f>IF($W157="","",IF(INDEX('Per Invoice'!L$2:L$801,$W157)="","",INDEX('Per Invoice'!L$2:L$801,$W157)))</f>
        <v/>
      </c>
      <c r="M157">
        <f>IF($W157="","",IF(INDEX('Per Invoice'!M$2:M$801,$W157)="","",INDEX('Per Invoice'!M$2:M$801,$W157)))</f>
        <v/>
      </c>
      <c r="N157" s="7">
        <f>IF($W157="","",IF(INDEX('Per Invoice'!N$2:N$801,$W157)="","",INDEX('Per Invoice'!N$2:N$801,$W157)))</f>
        <v/>
      </c>
      <c r="O157" s="7">
        <f>IF($W157="","",IF(INDEX('Per Invoice'!O$2:O$801,$W157)="","",INDEX('Per Invoice'!O$2:O$801,$W157)))</f>
        <v/>
      </c>
      <c r="P157">
        <f>IF($W157="","",IF(INDEX('Per Invoice'!P$2:P$801,$W157)="","",INDEX('Per Invoice'!P$2:P$801,$W157)))</f>
        <v/>
      </c>
      <c r="Q157" s="7">
        <f>IF($W157="","",IF(INDEX('Per Invoice'!Q$2:Q$801,$W157)="","",INDEX('Per Invoice'!Q$2:Q$801,$W157)))</f>
        <v/>
      </c>
      <c r="R157" s="7">
        <f>IF($W157="","",IF(INDEX('Per Invoice'!R$2:R$801,$W157)="","",INDEX('Per Invoice'!R$2:R$801,$W157)))</f>
        <v/>
      </c>
      <c r="S157" s="7">
        <f>IF($W157="","",IF(INDEX('Per Invoice'!S$2:S$801,$W157)="","",INDEX('Per Invoice'!S$2:S$801,$W157)))</f>
        <v/>
      </c>
      <c r="T157" s="7">
        <f>IF($W157="","",IF(INDEX('Per Invoice'!T$2:T$801,$W157)="","",INDEX('Per Invoice'!T$2:T$801,$W157)))</f>
        <v/>
      </c>
      <c r="U157" s="7">
        <f>IF($W157="","",IF(INDEX('Per Invoice'!U$2:U$801,$W157)="","",INDEX('Per Invoice'!U$2:U$801,$W157)))</f>
        <v/>
      </c>
      <c r="V157" s="7">
        <f>IF($W157="","",IF(INDEX('Per Invoice'!V$2:V$801,$W157)="","",INDEX('Per Invoice'!V$2:V$801,$W157)))</f>
        <v/>
      </c>
      <c r="W157" s="16">
        <f>IFERROR(MATCH(Settings!$C$30&amp;"|"&amp;ROWS($W$2:$W157),'Per Invoice'!$X$2:$X$801,0),"")</f>
        <v/>
      </c>
    </row>
    <row r="158">
      <c r="A158">
        <f>IF($W158="","",IF(INDEX('Per Invoice'!A$2:A$801,$W158)="","",INDEX('Per Invoice'!A$2:A$801,$W158)))</f>
        <v/>
      </c>
      <c r="B158">
        <f>IF($W158="","",IF(INDEX('Per Invoice'!B$2:B$801,$W158)="","",INDEX('Per Invoice'!B$2:B$801,$W158)))</f>
        <v/>
      </c>
      <c r="C158">
        <f>IF($W158="","",IF(INDEX('Per Invoice'!C$2:C$801,$W158)="","",INDEX('Per Invoice'!C$2:C$801,$W158)))</f>
        <v/>
      </c>
      <c r="D158">
        <f>IF($W158="","",IF(INDEX('Per Invoice'!D$2:D$801,$W158)="","",INDEX('Per Invoice'!D$2:D$801,$W158)))</f>
        <v/>
      </c>
      <c r="E158">
        <f>IF($W158="","",IF(INDEX('Per Invoice'!E$2:E$801,$W158)="","",INDEX('Per Invoice'!E$2:E$801,$W158)))</f>
        <v/>
      </c>
      <c r="F158">
        <f>IF($W158="","",IF(INDEX('Per Invoice'!F$2:F$801,$W158)="","",INDEX('Per Invoice'!F$2:F$801,$W158)))</f>
        <v/>
      </c>
      <c r="G158">
        <f>IF($W158="","",IF(INDEX('Per Invoice'!G$2:G$801,$W158)="","",INDEX('Per Invoice'!G$2:G$801,$W158)))</f>
        <v/>
      </c>
      <c r="H158">
        <f>IF($W158="","",IF(INDEX('Per Invoice'!H$2:H$801,$W158)="","",INDEX('Per Invoice'!H$2:H$801,$W158)))</f>
        <v/>
      </c>
      <c r="I158">
        <f>IF($W158="","",IF(INDEX('Per Invoice'!I$2:I$801,$W158)="","",INDEX('Per Invoice'!I$2:I$801,$W158)))</f>
        <v/>
      </c>
      <c r="J158">
        <f>IF($W158="","",IF(INDEX('Per Invoice'!J$2:J$801,$W158)="","",INDEX('Per Invoice'!J$2:J$801,$W158)))</f>
        <v/>
      </c>
      <c r="K158" s="7">
        <f>IF($W158="","",IF(INDEX('Per Invoice'!K$2:K$801,$W158)="","",INDEX('Per Invoice'!K$2:K$801,$W158)))</f>
        <v/>
      </c>
      <c r="L158" s="14">
        <f>IF($W158="","",IF(INDEX('Per Invoice'!L$2:L$801,$W158)="","",INDEX('Per Invoice'!L$2:L$801,$W158)))</f>
        <v/>
      </c>
      <c r="M158">
        <f>IF($W158="","",IF(INDEX('Per Invoice'!M$2:M$801,$W158)="","",INDEX('Per Invoice'!M$2:M$801,$W158)))</f>
        <v/>
      </c>
      <c r="N158" s="7">
        <f>IF($W158="","",IF(INDEX('Per Invoice'!N$2:N$801,$W158)="","",INDEX('Per Invoice'!N$2:N$801,$W158)))</f>
        <v/>
      </c>
      <c r="O158" s="7">
        <f>IF($W158="","",IF(INDEX('Per Invoice'!O$2:O$801,$W158)="","",INDEX('Per Invoice'!O$2:O$801,$W158)))</f>
        <v/>
      </c>
      <c r="P158">
        <f>IF($W158="","",IF(INDEX('Per Invoice'!P$2:P$801,$W158)="","",INDEX('Per Invoice'!P$2:P$801,$W158)))</f>
        <v/>
      </c>
      <c r="Q158" s="7">
        <f>IF($W158="","",IF(INDEX('Per Invoice'!Q$2:Q$801,$W158)="","",INDEX('Per Invoice'!Q$2:Q$801,$W158)))</f>
        <v/>
      </c>
      <c r="R158" s="7">
        <f>IF($W158="","",IF(INDEX('Per Invoice'!R$2:R$801,$W158)="","",INDEX('Per Invoice'!R$2:R$801,$W158)))</f>
        <v/>
      </c>
      <c r="S158" s="7">
        <f>IF($W158="","",IF(INDEX('Per Invoice'!S$2:S$801,$W158)="","",INDEX('Per Invoice'!S$2:S$801,$W158)))</f>
        <v/>
      </c>
      <c r="T158" s="7">
        <f>IF($W158="","",IF(INDEX('Per Invoice'!T$2:T$801,$W158)="","",INDEX('Per Invoice'!T$2:T$801,$W158)))</f>
        <v/>
      </c>
      <c r="U158" s="7">
        <f>IF($W158="","",IF(INDEX('Per Invoice'!U$2:U$801,$W158)="","",INDEX('Per Invoice'!U$2:U$801,$W158)))</f>
        <v/>
      </c>
      <c r="V158" s="7">
        <f>IF($W158="","",IF(INDEX('Per Invoice'!V$2:V$801,$W158)="","",INDEX('Per Invoice'!V$2:V$801,$W158)))</f>
        <v/>
      </c>
      <c r="W158" s="16">
        <f>IFERROR(MATCH(Settings!$C$30&amp;"|"&amp;ROWS($W$2:$W158),'Per Invoice'!$X$2:$X$801,0),"")</f>
        <v/>
      </c>
    </row>
    <row r="159">
      <c r="A159">
        <f>IF($W159="","",IF(INDEX('Per Invoice'!A$2:A$801,$W159)="","",INDEX('Per Invoice'!A$2:A$801,$W159)))</f>
        <v/>
      </c>
      <c r="B159">
        <f>IF($W159="","",IF(INDEX('Per Invoice'!B$2:B$801,$W159)="","",INDEX('Per Invoice'!B$2:B$801,$W159)))</f>
        <v/>
      </c>
      <c r="C159">
        <f>IF($W159="","",IF(INDEX('Per Invoice'!C$2:C$801,$W159)="","",INDEX('Per Invoice'!C$2:C$801,$W159)))</f>
        <v/>
      </c>
      <c r="D159">
        <f>IF($W159="","",IF(INDEX('Per Invoice'!D$2:D$801,$W159)="","",INDEX('Per Invoice'!D$2:D$801,$W159)))</f>
        <v/>
      </c>
      <c r="E159">
        <f>IF($W159="","",IF(INDEX('Per Invoice'!E$2:E$801,$W159)="","",INDEX('Per Invoice'!E$2:E$801,$W159)))</f>
        <v/>
      </c>
      <c r="F159">
        <f>IF($W159="","",IF(INDEX('Per Invoice'!F$2:F$801,$W159)="","",INDEX('Per Invoice'!F$2:F$801,$W159)))</f>
        <v/>
      </c>
      <c r="G159">
        <f>IF($W159="","",IF(INDEX('Per Invoice'!G$2:G$801,$W159)="","",INDEX('Per Invoice'!G$2:G$801,$W159)))</f>
        <v/>
      </c>
      <c r="H159">
        <f>IF($W159="","",IF(INDEX('Per Invoice'!H$2:H$801,$W159)="","",INDEX('Per Invoice'!H$2:H$801,$W159)))</f>
        <v/>
      </c>
      <c r="I159">
        <f>IF($W159="","",IF(INDEX('Per Invoice'!I$2:I$801,$W159)="","",INDEX('Per Invoice'!I$2:I$801,$W159)))</f>
        <v/>
      </c>
      <c r="J159">
        <f>IF($W159="","",IF(INDEX('Per Invoice'!J$2:J$801,$W159)="","",INDEX('Per Invoice'!J$2:J$801,$W159)))</f>
        <v/>
      </c>
      <c r="K159" s="7">
        <f>IF($W159="","",IF(INDEX('Per Invoice'!K$2:K$801,$W159)="","",INDEX('Per Invoice'!K$2:K$801,$W159)))</f>
        <v/>
      </c>
      <c r="L159" s="14">
        <f>IF($W159="","",IF(INDEX('Per Invoice'!L$2:L$801,$W159)="","",INDEX('Per Invoice'!L$2:L$801,$W159)))</f>
        <v/>
      </c>
      <c r="M159">
        <f>IF($W159="","",IF(INDEX('Per Invoice'!M$2:M$801,$W159)="","",INDEX('Per Invoice'!M$2:M$801,$W159)))</f>
        <v/>
      </c>
      <c r="N159" s="7">
        <f>IF($W159="","",IF(INDEX('Per Invoice'!N$2:N$801,$W159)="","",INDEX('Per Invoice'!N$2:N$801,$W159)))</f>
        <v/>
      </c>
      <c r="O159" s="7">
        <f>IF($W159="","",IF(INDEX('Per Invoice'!O$2:O$801,$W159)="","",INDEX('Per Invoice'!O$2:O$801,$W159)))</f>
        <v/>
      </c>
      <c r="P159">
        <f>IF($W159="","",IF(INDEX('Per Invoice'!P$2:P$801,$W159)="","",INDEX('Per Invoice'!P$2:P$801,$W159)))</f>
        <v/>
      </c>
      <c r="Q159" s="7">
        <f>IF($W159="","",IF(INDEX('Per Invoice'!Q$2:Q$801,$W159)="","",INDEX('Per Invoice'!Q$2:Q$801,$W159)))</f>
        <v/>
      </c>
      <c r="R159" s="7">
        <f>IF($W159="","",IF(INDEX('Per Invoice'!R$2:R$801,$W159)="","",INDEX('Per Invoice'!R$2:R$801,$W159)))</f>
        <v/>
      </c>
      <c r="S159" s="7">
        <f>IF($W159="","",IF(INDEX('Per Invoice'!S$2:S$801,$W159)="","",INDEX('Per Invoice'!S$2:S$801,$W159)))</f>
        <v/>
      </c>
      <c r="T159" s="7">
        <f>IF($W159="","",IF(INDEX('Per Invoice'!T$2:T$801,$W159)="","",INDEX('Per Invoice'!T$2:T$801,$W159)))</f>
        <v/>
      </c>
      <c r="U159" s="7">
        <f>IF($W159="","",IF(INDEX('Per Invoice'!U$2:U$801,$W159)="","",INDEX('Per Invoice'!U$2:U$801,$W159)))</f>
        <v/>
      </c>
      <c r="V159" s="7">
        <f>IF($W159="","",IF(INDEX('Per Invoice'!V$2:V$801,$W159)="","",INDEX('Per Invoice'!V$2:V$801,$W159)))</f>
        <v/>
      </c>
      <c r="W159" s="16">
        <f>IFERROR(MATCH(Settings!$C$30&amp;"|"&amp;ROWS($W$2:$W159),'Per Invoice'!$X$2:$X$801,0),"")</f>
        <v/>
      </c>
    </row>
    <row r="160">
      <c r="A160">
        <f>IF($W160="","",IF(INDEX('Per Invoice'!A$2:A$801,$W160)="","",INDEX('Per Invoice'!A$2:A$801,$W160)))</f>
        <v/>
      </c>
      <c r="B160">
        <f>IF($W160="","",IF(INDEX('Per Invoice'!B$2:B$801,$W160)="","",INDEX('Per Invoice'!B$2:B$801,$W160)))</f>
        <v/>
      </c>
      <c r="C160">
        <f>IF($W160="","",IF(INDEX('Per Invoice'!C$2:C$801,$W160)="","",INDEX('Per Invoice'!C$2:C$801,$W160)))</f>
        <v/>
      </c>
      <c r="D160">
        <f>IF($W160="","",IF(INDEX('Per Invoice'!D$2:D$801,$W160)="","",INDEX('Per Invoice'!D$2:D$801,$W160)))</f>
        <v/>
      </c>
      <c r="E160">
        <f>IF($W160="","",IF(INDEX('Per Invoice'!E$2:E$801,$W160)="","",INDEX('Per Invoice'!E$2:E$801,$W160)))</f>
        <v/>
      </c>
      <c r="F160">
        <f>IF($W160="","",IF(INDEX('Per Invoice'!F$2:F$801,$W160)="","",INDEX('Per Invoice'!F$2:F$801,$W160)))</f>
        <v/>
      </c>
      <c r="G160">
        <f>IF($W160="","",IF(INDEX('Per Invoice'!G$2:G$801,$W160)="","",INDEX('Per Invoice'!G$2:G$801,$W160)))</f>
        <v/>
      </c>
      <c r="H160">
        <f>IF($W160="","",IF(INDEX('Per Invoice'!H$2:H$801,$W160)="","",INDEX('Per Invoice'!H$2:H$801,$W160)))</f>
        <v/>
      </c>
      <c r="I160">
        <f>IF($W160="","",IF(INDEX('Per Invoice'!I$2:I$801,$W160)="","",INDEX('Per Invoice'!I$2:I$801,$W160)))</f>
        <v/>
      </c>
      <c r="J160">
        <f>IF($W160="","",IF(INDEX('Per Invoice'!J$2:J$801,$W160)="","",INDEX('Per Invoice'!J$2:J$801,$W160)))</f>
        <v/>
      </c>
      <c r="K160" s="7">
        <f>IF($W160="","",IF(INDEX('Per Invoice'!K$2:K$801,$W160)="","",INDEX('Per Invoice'!K$2:K$801,$W160)))</f>
        <v/>
      </c>
      <c r="L160" s="14">
        <f>IF($W160="","",IF(INDEX('Per Invoice'!L$2:L$801,$W160)="","",INDEX('Per Invoice'!L$2:L$801,$W160)))</f>
        <v/>
      </c>
      <c r="M160">
        <f>IF($W160="","",IF(INDEX('Per Invoice'!M$2:M$801,$W160)="","",INDEX('Per Invoice'!M$2:M$801,$W160)))</f>
        <v/>
      </c>
      <c r="N160" s="7">
        <f>IF($W160="","",IF(INDEX('Per Invoice'!N$2:N$801,$W160)="","",INDEX('Per Invoice'!N$2:N$801,$W160)))</f>
        <v/>
      </c>
      <c r="O160" s="7">
        <f>IF($W160="","",IF(INDEX('Per Invoice'!O$2:O$801,$W160)="","",INDEX('Per Invoice'!O$2:O$801,$W160)))</f>
        <v/>
      </c>
      <c r="P160">
        <f>IF($W160="","",IF(INDEX('Per Invoice'!P$2:P$801,$W160)="","",INDEX('Per Invoice'!P$2:P$801,$W160)))</f>
        <v/>
      </c>
      <c r="Q160" s="7">
        <f>IF($W160="","",IF(INDEX('Per Invoice'!Q$2:Q$801,$W160)="","",INDEX('Per Invoice'!Q$2:Q$801,$W160)))</f>
        <v/>
      </c>
      <c r="R160" s="7">
        <f>IF($W160="","",IF(INDEX('Per Invoice'!R$2:R$801,$W160)="","",INDEX('Per Invoice'!R$2:R$801,$W160)))</f>
        <v/>
      </c>
      <c r="S160" s="7">
        <f>IF($W160="","",IF(INDEX('Per Invoice'!S$2:S$801,$W160)="","",INDEX('Per Invoice'!S$2:S$801,$W160)))</f>
        <v/>
      </c>
      <c r="T160" s="7">
        <f>IF($W160="","",IF(INDEX('Per Invoice'!T$2:T$801,$W160)="","",INDEX('Per Invoice'!T$2:T$801,$W160)))</f>
        <v/>
      </c>
      <c r="U160" s="7">
        <f>IF($W160="","",IF(INDEX('Per Invoice'!U$2:U$801,$W160)="","",INDEX('Per Invoice'!U$2:U$801,$W160)))</f>
        <v/>
      </c>
      <c r="V160" s="7">
        <f>IF($W160="","",IF(INDEX('Per Invoice'!V$2:V$801,$W160)="","",INDEX('Per Invoice'!V$2:V$801,$W160)))</f>
        <v/>
      </c>
      <c r="W160" s="16">
        <f>IFERROR(MATCH(Settings!$C$30&amp;"|"&amp;ROWS($W$2:$W160),'Per Invoice'!$X$2:$X$801,0),"")</f>
        <v/>
      </c>
    </row>
    <row r="161">
      <c r="A161">
        <f>IF($W161="","",IF(INDEX('Per Invoice'!A$2:A$801,$W161)="","",INDEX('Per Invoice'!A$2:A$801,$W161)))</f>
        <v/>
      </c>
      <c r="B161">
        <f>IF($W161="","",IF(INDEX('Per Invoice'!B$2:B$801,$W161)="","",INDEX('Per Invoice'!B$2:B$801,$W161)))</f>
        <v/>
      </c>
      <c r="C161">
        <f>IF($W161="","",IF(INDEX('Per Invoice'!C$2:C$801,$W161)="","",INDEX('Per Invoice'!C$2:C$801,$W161)))</f>
        <v/>
      </c>
      <c r="D161">
        <f>IF($W161="","",IF(INDEX('Per Invoice'!D$2:D$801,$W161)="","",INDEX('Per Invoice'!D$2:D$801,$W161)))</f>
        <v/>
      </c>
      <c r="E161">
        <f>IF($W161="","",IF(INDEX('Per Invoice'!E$2:E$801,$W161)="","",INDEX('Per Invoice'!E$2:E$801,$W161)))</f>
        <v/>
      </c>
      <c r="F161">
        <f>IF($W161="","",IF(INDEX('Per Invoice'!F$2:F$801,$W161)="","",INDEX('Per Invoice'!F$2:F$801,$W161)))</f>
        <v/>
      </c>
      <c r="G161">
        <f>IF($W161="","",IF(INDEX('Per Invoice'!G$2:G$801,$W161)="","",INDEX('Per Invoice'!G$2:G$801,$W161)))</f>
        <v/>
      </c>
      <c r="H161">
        <f>IF($W161="","",IF(INDEX('Per Invoice'!H$2:H$801,$W161)="","",INDEX('Per Invoice'!H$2:H$801,$W161)))</f>
        <v/>
      </c>
      <c r="I161">
        <f>IF($W161="","",IF(INDEX('Per Invoice'!I$2:I$801,$W161)="","",INDEX('Per Invoice'!I$2:I$801,$W161)))</f>
        <v/>
      </c>
      <c r="J161">
        <f>IF($W161="","",IF(INDEX('Per Invoice'!J$2:J$801,$W161)="","",INDEX('Per Invoice'!J$2:J$801,$W161)))</f>
        <v/>
      </c>
      <c r="K161" s="7">
        <f>IF($W161="","",IF(INDEX('Per Invoice'!K$2:K$801,$W161)="","",INDEX('Per Invoice'!K$2:K$801,$W161)))</f>
        <v/>
      </c>
      <c r="L161" s="14">
        <f>IF($W161="","",IF(INDEX('Per Invoice'!L$2:L$801,$W161)="","",INDEX('Per Invoice'!L$2:L$801,$W161)))</f>
        <v/>
      </c>
      <c r="M161">
        <f>IF($W161="","",IF(INDEX('Per Invoice'!M$2:M$801,$W161)="","",INDEX('Per Invoice'!M$2:M$801,$W161)))</f>
        <v/>
      </c>
      <c r="N161" s="7">
        <f>IF($W161="","",IF(INDEX('Per Invoice'!N$2:N$801,$W161)="","",INDEX('Per Invoice'!N$2:N$801,$W161)))</f>
        <v/>
      </c>
      <c r="O161" s="7">
        <f>IF($W161="","",IF(INDEX('Per Invoice'!O$2:O$801,$W161)="","",INDEX('Per Invoice'!O$2:O$801,$W161)))</f>
        <v/>
      </c>
      <c r="P161">
        <f>IF($W161="","",IF(INDEX('Per Invoice'!P$2:P$801,$W161)="","",INDEX('Per Invoice'!P$2:P$801,$W161)))</f>
        <v/>
      </c>
      <c r="Q161" s="7">
        <f>IF($W161="","",IF(INDEX('Per Invoice'!Q$2:Q$801,$W161)="","",INDEX('Per Invoice'!Q$2:Q$801,$W161)))</f>
        <v/>
      </c>
      <c r="R161" s="7">
        <f>IF($W161="","",IF(INDEX('Per Invoice'!R$2:R$801,$W161)="","",INDEX('Per Invoice'!R$2:R$801,$W161)))</f>
        <v/>
      </c>
      <c r="S161" s="7">
        <f>IF($W161="","",IF(INDEX('Per Invoice'!S$2:S$801,$W161)="","",INDEX('Per Invoice'!S$2:S$801,$W161)))</f>
        <v/>
      </c>
      <c r="T161" s="7">
        <f>IF($W161="","",IF(INDEX('Per Invoice'!T$2:T$801,$W161)="","",INDEX('Per Invoice'!T$2:T$801,$W161)))</f>
        <v/>
      </c>
      <c r="U161" s="7">
        <f>IF($W161="","",IF(INDEX('Per Invoice'!U$2:U$801,$W161)="","",INDEX('Per Invoice'!U$2:U$801,$W161)))</f>
        <v/>
      </c>
      <c r="V161" s="7">
        <f>IF($W161="","",IF(INDEX('Per Invoice'!V$2:V$801,$W161)="","",INDEX('Per Invoice'!V$2:V$801,$W161)))</f>
        <v/>
      </c>
      <c r="W161" s="16">
        <f>IFERROR(MATCH(Settings!$C$30&amp;"|"&amp;ROWS($W$2:$W161),'Per Invoice'!$X$2:$X$801,0),"")</f>
        <v/>
      </c>
    </row>
    <row r="162">
      <c r="A162">
        <f>IF($W162="","",IF(INDEX('Per Invoice'!A$2:A$801,$W162)="","",INDEX('Per Invoice'!A$2:A$801,$W162)))</f>
        <v/>
      </c>
      <c r="B162">
        <f>IF($W162="","",IF(INDEX('Per Invoice'!B$2:B$801,$W162)="","",INDEX('Per Invoice'!B$2:B$801,$W162)))</f>
        <v/>
      </c>
      <c r="C162">
        <f>IF($W162="","",IF(INDEX('Per Invoice'!C$2:C$801,$W162)="","",INDEX('Per Invoice'!C$2:C$801,$W162)))</f>
        <v/>
      </c>
      <c r="D162">
        <f>IF($W162="","",IF(INDEX('Per Invoice'!D$2:D$801,$W162)="","",INDEX('Per Invoice'!D$2:D$801,$W162)))</f>
        <v/>
      </c>
      <c r="E162">
        <f>IF($W162="","",IF(INDEX('Per Invoice'!E$2:E$801,$W162)="","",INDEX('Per Invoice'!E$2:E$801,$W162)))</f>
        <v/>
      </c>
      <c r="F162">
        <f>IF($W162="","",IF(INDEX('Per Invoice'!F$2:F$801,$W162)="","",INDEX('Per Invoice'!F$2:F$801,$W162)))</f>
        <v/>
      </c>
      <c r="G162">
        <f>IF($W162="","",IF(INDEX('Per Invoice'!G$2:G$801,$W162)="","",INDEX('Per Invoice'!G$2:G$801,$W162)))</f>
        <v/>
      </c>
      <c r="H162">
        <f>IF($W162="","",IF(INDEX('Per Invoice'!H$2:H$801,$W162)="","",INDEX('Per Invoice'!H$2:H$801,$W162)))</f>
        <v/>
      </c>
      <c r="I162">
        <f>IF($W162="","",IF(INDEX('Per Invoice'!I$2:I$801,$W162)="","",INDEX('Per Invoice'!I$2:I$801,$W162)))</f>
        <v/>
      </c>
      <c r="J162">
        <f>IF($W162="","",IF(INDEX('Per Invoice'!J$2:J$801,$W162)="","",INDEX('Per Invoice'!J$2:J$801,$W162)))</f>
        <v/>
      </c>
      <c r="K162" s="7">
        <f>IF($W162="","",IF(INDEX('Per Invoice'!K$2:K$801,$W162)="","",INDEX('Per Invoice'!K$2:K$801,$W162)))</f>
        <v/>
      </c>
      <c r="L162" s="14">
        <f>IF($W162="","",IF(INDEX('Per Invoice'!L$2:L$801,$W162)="","",INDEX('Per Invoice'!L$2:L$801,$W162)))</f>
        <v/>
      </c>
      <c r="M162">
        <f>IF($W162="","",IF(INDEX('Per Invoice'!M$2:M$801,$W162)="","",INDEX('Per Invoice'!M$2:M$801,$W162)))</f>
        <v/>
      </c>
      <c r="N162" s="7">
        <f>IF($W162="","",IF(INDEX('Per Invoice'!N$2:N$801,$W162)="","",INDEX('Per Invoice'!N$2:N$801,$W162)))</f>
        <v/>
      </c>
      <c r="O162" s="7">
        <f>IF($W162="","",IF(INDEX('Per Invoice'!O$2:O$801,$W162)="","",INDEX('Per Invoice'!O$2:O$801,$W162)))</f>
        <v/>
      </c>
      <c r="P162">
        <f>IF($W162="","",IF(INDEX('Per Invoice'!P$2:P$801,$W162)="","",INDEX('Per Invoice'!P$2:P$801,$W162)))</f>
        <v/>
      </c>
      <c r="Q162" s="7">
        <f>IF($W162="","",IF(INDEX('Per Invoice'!Q$2:Q$801,$W162)="","",INDEX('Per Invoice'!Q$2:Q$801,$W162)))</f>
        <v/>
      </c>
      <c r="R162" s="7">
        <f>IF($W162="","",IF(INDEX('Per Invoice'!R$2:R$801,$W162)="","",INDEX('Per Invoice'!R$2:R$801,$W162)))</f>
        <v/>
      </c>
      <c r="S162" s="7">
        <f>IF($W162="","",IF(INDEX('Per Invoice'!S$2:S$801,$W162)="","",INDEX('Per Invoice'!S$2:S$801,$W162)))</f>
        <v/>
      </c>
      <c r="T162" s="7">
        <f>IF($W162="","",IF(INDEX('Per Invoice'!T$2:T$801,$W162)="","",INDEX('Per Invoice'!T$2:T$801,$W162)))</f>
        <v/>
      </c>
      <c r="U162" s="7">
        <f>IF($W162="","",IF(INDEX('Per Invoice'!U$2:U$801,$W162)="","",INDEX('Per Invoice'!U$2:U$801,$W162)))</f>
        <v/>
      </c>
      <c r="V162" s="7">
        <f>IF($W162="","",IF(INDEX('Per Invoice'!V$2:V$801,$W162)="","",INDEX('Per Invoice'!V$2:V$801,$W162)))</f>
        <v/>
      </c>
      <c r="W162" s="16">
        <f>IFERROR(MATCH(Settings!$C$30&amp;"|"&amp;ROWS($W$2:$W162),'Per Invoice'!$X$2:$X$801,0),"")</f>
        <v/>
      </c>
    </row>
    <row r="163">
      <c r="A163">
        <f>IF($W163="","",IF(INDEX('Per Invoice'!A$2:A$801,$W163)="","",INDEX('Per Invoice'!A$2:A$801,$W163)))</f>
        <v/>
      </c>
      <c r="B163">
        <f>IF($W163="","",IF(INDEX('Per Invoice'!B$2:B$801,$W163)="","",INDEX('Per Invoice'!B$2:B$801,$W163)))</f>
        <v/>
      </c>
      <c r="C163">
        <f>IF($W163="","",IF(INDEX('Per Invoice'!C$2:C$801,$W163)="","",INDEX('Per Invoice'!C$2:C$801,$W163)))</f>
        <v/>
      </c>
      <c r="D163">
        <f>IF($W163="","",IF(INDEX('Per Invoice'!D$2:D$801,$W163)="","",INDEX('Per Invoice'!D$2:D$801,$W163)))</f>
        <v/>
      </c>
      <c r="E163">
        <f>IF($W163="","",IF(INDEX('Per Invoice'!E$2:E$801,$W163)="","",INDEX('Per Invoice'!E$2:E$801,$W163)))</f>
        <v/>
      </c>
      <c r="F163">
        <f>IF($W163="","",IF(INDEX('Per Invoice'!F$2:F$801,$W163)="","",INDEX('Per Invoice'!F$2:F$801,$W163)))</f>
        <v/>
      </c>
      <c r="G163">
        <f>IF($W163="","",IF(INDEX('Per Invoice'!G$2:G$801,$W163)="","",INDEX('Per Invoice'!G$2:G$801,$W163)))</f>
        <v/>
      </c>
      <c r="H163">
        <f>IF($W163="","",IF(INDEX('Per Invoice'!H$2:H$801,$W163)="","",INDEX('Per Invoice'!H$2:H$801,$W163)))</f>
        <v/>
      </c>
      <c r="I163">
        <f>IF($W163="","",IF(INDEX('Per Invoice'!I$2:I$801,$W163)="","",INDEX('Per Invoice'!I$2:I$801,$W163)))</f>
        <v/>
      </c>
      <c r="J163">
        <f>IF($W163="","",IF(INDEX('Per Invoice'!J$2:J$801,$W163)="","",INDEX('Per Invoice'!J$2:J$801,$W163)))</f>
        <v/>
      </c>
      <c r="K163" s="7">
        <f>IF($W163="","",IF(INDEX('Per Invoice'!K$2:K$801,$W163)="","",INDEX('Per Invoice'!K$2:K$801,$W163)))</f>
        <v/>
      </c>
      <c r="L163" s="14">
        <f>IF($W163="","",IF(INDEX('Per Invoice'!L$2:L$801,$W163)="","",INDEX('Per Invoice'!L$2:L$801,$W163)))</f>
        <v/>
      </c>
      <c r="M163">
        <f>IF($W163="","",IF(INDEX('Per Invoice'!M$2:M$801,$W163)="","",INDEX('Per Invoice'!M$2:M$801,$W163)))</f>
        <v/>
      </c>
      <c r="N163" s="7">
        <f>IF($W163="","",IF(INDEX('Per Invoice'!N$2:N$801,$W163)="","",INDEX('Per Invoice'!N$2:N$801,$W163)))</f>
        <v/>
      </c>
      <c r="O163" s="7">
        <f>IF($W163="","",IF(INDEX('Per Invoice'!O$2:O$801,$W163)="","",INDEX('Per Invoice'!O$2:O$801,$W163)))</f>
        <v/>
      </c>
      <c r="P163">
        <f>IF($W163="","",IF(INDEX('Per Invoice'!P$2:P$801,$W163)="","",INDEX('Per Invoice'!P$2:P$801,$W163)))</f>
        <v/>
      </c>
      <c r="Q163" s="7">
        <f>IF($W163="","",IF(INDEX('Per Invoice'!Q$2:Q$801,$W163)="","",INDEX('Per Invoice'!Q$2:Q$801,$W163)))</f>
        <v/>
      </c>
      <c r="R163" s="7">
        <f>IF($W163="","",IF(INDEX('Per Invoice'!R$2:R$801,$W163)="","",INDEX('Per Invoice'!R$2:R$801,$W163)))</f>
        <v/>
      </c>
      <c r="S163" s="7">
        <f>IF($W163="","",IF(INDEX('Per Invoice'!S$2:S$801,$W163)="","",INDEX('Per Invoice'!S$2:S$801,$W163)))</f>
        <v/>
      </c>
      <c r="T163" s="7">
        <f>IF($W163="","",IF(INDEX('Per Invoice'!T$2:T$801,$W163)="","",INDEX('Per Invoice'!T$2:T$801,$W163)))</f>
        <v/>
      </c>
      <c r="U163" s="7">
        <f>IF($W163="","",IF(INDEX('Per Invoice'!U$2:U$801,$W163)="","",INDEX('Per Invoice'!U$2:U$801,$W163)))</f>
        <v/>
      </c>
      <c r="V163" s="7">
        <f>IF($W163="","",IF(INDEX('Per Invoice'!V$2:V$801,$W163)="","",INDEX('Per Invoice'!V$2:V$801,$W163)))</f>
        <v/>
      </c>
      <c r="W163" s="16">
        <f>IFERROR(MATCH(Settings!$C$30&amp;"|"&amp;ROWS($W$2:$W163),'Per Invoice'!$X$2:$X$801,0),"")</f>
        <v/>
      </c>
    </row>
    <row r="164">
      <c r="A164">
        <f>IF($W164="","",IF(INDEX('Per Invoice'!A$2:A$801,$W164)="","",INDEX('Per Invoice'!A$2:A$801,$W164)))</f>
        <v/>
      </c>
      <c r="B164">
        <f>IF($W164="","",IF(INDEX('Per Invoice'!B$2:B$801,$W164)="","",INDEX('Per Invoice'!B$2:B$801,$W164)))</f>
        <v/>
      </c>
      <c r="C164">
        <f>IF($W164="","",IF(INDEX('Per Invoice'!C$2:C$801,$W164)="","",INDEX('Per Invoice'!C$2:C$801,$W164)))</f>
        <v/>
      </c>
      <c r="D164">
        <f>IF($W164="","",IF(INDEX('Per Invoice'!D$2:D$801,$W164)="","",INDEX('Per Invoice'!D$2:D$801,$W164)))</f>
        <v/>
      </c>
      <c r="E164">
        <f>IF($W164="","",IF(INDEX('Per Invoice'!E$2:E$801,$W164)="","",INDEX('Per Invoice'!E$2:E$801,$W164)))</f>
        <v/>
      </c>
      <c r="F164">
        <f>IF($W164="","",IF(INDEX('Per Invoice'!F$2:F$801,$W164)="","",INDEX('Per Invoice'!F$2:F$801,$W164)))</f>
        <v/>
      </c>
      <c r="G164">
        <f>IF($W164="","",IF(INDEX('Per Invoice'!G$2:G$801,$W164)="","",INDEX('Per Invoice'!G$2:G$801,$W164)))</f>
        <v/>
      </c>
      <c r="H164">
        <f>IF($W164="","",IF(INDEX('Per Invoice'!H$2:H$801,$W164)="","",INDEX('Per Invoice'!H$2:H$801,$W164)))</f>
        <v/>
      </c>
      <c r="I164">
        <f>IF($W164="","",IF(INDEX('Per Invoice'!I$2:I$801,$W164)="","",INDEX('Per Invoice'!I$2:I$801,$W164)))</f>
        <v/>
      </c>
      <c r="J164">
        <f>IF($W164="","",IF(INDEX('Per Invoice'!J$2:J$801,$W164)="","",INDEX('Per Invoice'!J$2:J$801,$W164)))</f>
        <v/>
      </c>
      <c r="K164" s="7">
        <f>IF($W164="","",IF(INDEX('Per Invoice'!K$2:K$801,$W164)="","",INDEX('Per Invoice'!K$2:K$801,$W164)))</f>
        <v/>
      </c>
      <c r="L164" s="14">
        <f>IF($W164="","",IF(INDEX('Per Invoice'!L$2:L$801,$W164)="","",INDEX('Per Invoice'!L$2:L$801,$W164)))</f>
        <v/>
      </c>
      <c r="M164">
        <f>IF($W164="","",IF(INDEX('Per Invoice'!M$2:M$801,$W164)="","",INDEX('Per Invoice'!M$2:M$801,$W164)))</f>
        <v/>
      </c>
      <c r="N164" s="7">
        <f>IF($W164="","",IF(INDEX('Per Invoice'!N$2:N$801,$W164)="","",INDEX('Per Invoice'!N$2:N$801,$W164)))</f>
        <v/>
      </c>
      <c r="O164" s="7">
        <f>IF($W164="","",IF(INDEX('Per Invoice'!O$2:O$801,$W164)="","",INDEX('Per Invoice'!O$2:O$801,$W164)))</f>
        <v/>
      </c>
      <c r="P164">
        <f>IF($W164="","",IF(INDEX('Per Invoice'!P$2:P$801,$W164)="","",INDEX('Per Invoice'!P$2:P$801,$W164)))</f>
        <v/>
      </c>
      <c r="Q164" s="7">
        <f>IF($W164="","",IF(INDEX('Per Invoice'!Q$2:Q$801,$W164)="","",INDEX('Per Invoice'!Q$2:Q$801,$W164)))</f>
        <v/>
      </c>
      <c r="R164" s="7">
        <f>IF($W164="","",IF(INDEX('Per Invoice'!R$2:R$801,$W164)="","",INDEX('Per Invoice'!R$2:R$801,$W164)))</f>
        <v/>
      </c>
      <c r="S164" s="7">
        <f>IF($W164="","",IF(INDEX('Per Invoice'!S$2:S$801,$W164)="","",INDEX('Per Invoice'!S$2:S$801,$W164)))</f>
        <v/>
      </c>
      <c r="T164" s="7">
        <f>IF($W164="","",IF(INDEX('Per Invoice'!T$2:T$801,$W164)="","",INDEX('Per Invoice'!T$2:T$801,$W164)))</f>
        <v/>
      </c>
      <c r="U164" s="7">
        <f>IF($W164="","",IF(INDEX('Per Invoice'!U$2:U$801,$W164)="","",INDEX('Per Invoice'!U$2:U$801,$W164)))</f>
        <v/>
      </c>
      <c r="V164" s="7">
        <f>IF($W164="","",IF(INDEX('Per Invoice'!V$2:V$801,$W164)="","",INDEX('Per Invoice'!V$2:V$801,$W164)))</f>
        <v/>
      </c>
      <c r="W164" s="16">
        <f>IFERROR(MATCH(Settings!$C$30&amp;"|"&amp;ROWS($W$2:$W164),'Per Invoice'!$X$2:$X$801,0),"")</f>
        <v/>
      </c>
    </row>
    <row r="165">
      <c r="A165">
        <f>IF($W165="","",IF(INDEX('Per Invoice'!A$2:A$801,$W165)="","",INDEX('Per Invoice'!A$2:A$801,$W165)))</f>
        <v/>
      </c>
      <c r="B165">
        <f>IF($W165="","",IF(INDEX('Per Invoice'!B$2:B$801,$W165)="","",INDEX('Per Invoice'!B$2:B$801,$W165)))</f>
        <v/>
      </c>
      <c r="C165">
        <f>IF($W165="","",IF(INDEX('Per Invoice'!C$2:C$801,$W165)="","",INDEX('Per Invoice'!C$2:C$801,$W165)))</f>
        <v/>
      </c>
      <c r="D165">
        <f>IF($W165="","",IF(INDEX('Per Invoice'!D$2:D$801,$W165)="","",INDEX('Per Invoice'!D$2:D$801,$W165)))</f>
        <v/>
      </c>
      <c r="E165">
        <f>IF($W165="","",IF(INDEX('Per Invoice'!E$2:E$801,$W165)="","",INDEX('Per Invoice'!E$2:E$801,$W165)))</f>
        <v/>
      </c>
      <c r="F165">
        <f>IF($W165="","",IF(INDEX('Per Invoice'!F$2:F$801,$W165)="","",INDEX('Per Invoice'!F$2:F$801,$W165)))</f>
        <v/>
      </c>
      <c r="G165">
        <f>IF($W165="","",IF(INDEX('Per Invoice'!G$2:G$801,$W165)="","",INDEX('Per Invoice'!G$2:G$801,$W165)))</f>
        <v/>
      </c>
      <c r="H165">
        <f>IF($W165="","",IF(INDEX('Per Invoice'!H$2:H$801,$W165)="","",INDEX('Per Invoice'!H$2:H$801,$W165)))</f>
        <v/>
      </c>
      <c r="I165">
        <f>IF($W165="","",IF(INDEX('Per Invoice'!I$2:I$801,$W165)="","",INDEX('Per Invoice'!I$2:I$801,$W165)))</f>
        <v/>
      </c>
      <c r="J165">
        <f>IF($W165="","",IF(INDEX('Per Invoice'!J$2:J$801,$W165)="","",INDEX('Per Invoice'!J$2:J$801,$W165)))</f>
        <v/>
      </c>
      <c r="K165" s="7">
        <f>IF($W165="","",IF(INDEX('Per Invoice'!K$2:K$801,$W165)="","",INDEX('Per Invoice'!K$2:K$801,$W165)))</f>
        <v/>
      </c>
      <c r="L165" s="14">
        <f>IF($W165="","",IF(INDEX('Per Invoice'!L$2:L$801,$W165)="","",INDEX('Per Invoice'!L$2:L$801,$W165)))</f>
        <v/>
      </c>
      <c r="M165">
        <f>IF($W165="","",IF(INDEX('Per Invoice'!M$2:M$801,$W165)="","",INDEX('Per Invoice'!M$2:M$801,$W165)))</f>
        <v/>
      </c>
      <c r="N165" s="7">
        <f>IF($W165="","",IF(INDEX('Per Invoice'!N$2:N$801,$W165)="","",INDEX('Per Invoice'!N$2:N$801,$W165)))</f>
        <v/>
      </c>
      <c r="O165" s="7">
        <f>IF($W165="","",IF(INDEX('Per Invoice'!O$2:O$801,$W165)="","",INDEX('Per Invoice'!O$2:O$801,$W165)))</f>
        <v/>
      </c>
      <c r="P165">
        <f>IF($W165="","",IF(INDEX('Per Invoice'!P$2:P$801,$W165)="","",INDEX('Per Invoice'!P$2:P$801,$W165)))</f>
        <v/>
      </c>
      <c r="Q165" s="7">
        <f>IF($W165="","",IF(INDEX('Per Invoice'!Q$2:Q$801,$W165)="","",INDEX('Per Invoice'!Q$2:Q$801,$W165)))</f>
        <v/>
      </c>
      <c r="R165" s="7">
        <f>IF($W165="","",IF(INDEX('Per Invoice'!R$2:R$801,$W165)="","",INDEX('Per Invoice'!R$2:R$801,$W165)))</f>
        <v/>
      </c>
      <c r="S165" s="7">
        <f>IF($W165="","",IF(INDEX('Per Invoice'!S$2:S$801,$W165)="","",INDEX('Per Invoice'!S$2:S$801,$W165)))</f>
        <v/>
      </c>
      <c r="T165" s="7">
        <f>IF($W165="","",IF(INDEX('Per Invoice'!T$2:T$801,$W165)="","",INDEX('Per Invoice'!T$2:T$801,$W165)))</f>
        <v/>
      </c>
      <c r="U165" s="7">
        <f>IF($W165="","",IF(INDEX('Per Invoice'!U$2:U$801,$W165)="","",INDEX('Per Invoice'!U$2:U$801,$W165)))</f>
        <v/>
      </c>
      <c r="V165" s="7">
        <f>IF($W165="","",IF(INDEX('Per Invoice'!V$2:V$801,$W165)="","",INDEX('Per Invoice'!V$2:V$801,$W165)))</f>
        <v/>
      </c>
      <c r="W165" s="16">
        <f>IFERROR(MATCH(Settings!$C$30&amp;"|"&amp;ROWS($W$2:$W165),'Per Invoice'!$X$2:$X$801,0),"")</f>
        <v/>
      </c>
    </row>
    <row r="166">
      <c r="A166">
        <f>IF($W166="","",IF(INDEX('Per Invoice'!A$2:A$801,$W166)="","",INDEX('Per Invoice'!A$2:A$801,$W166)))</f>
        <v/>
      </c>
      <c r="B166">
        <f>IF($W166="","",IF(INDEX('Per Invoice'!B$2:B$801,$W166)="","",INDEX('Per Invoice'!B$2:B$801,$W166)))</f>
        <v/>
      </c>
      <c r="C166">
        <f>IF($W166="","",IF(INDEX('Per Invoice'!C$2:C$801,$W166)="","",INDEX('Per Invoice'!C$2:C$801,$W166)))</f>
        <v/>
      </c>
      <c r="D166">
        <f>IF($W166="","",IF(INDEX('Per Invoice'!D$2:D$801,$W166)="","",INDEX('Per Invoice'!D$2:D$801,$W166)))</f>
        <v/>
      </c>
      <c r="E166">
        <f>IF($W166="","",IF(INDEX('Per Invoice'!E$2:E$801,$W166)="","",INDEX('Per Invoice'!E$2:E$801,$W166)))</f>
        <v/>
      </c>
      <c r="F166">
        <f>IF($W166="","",IF(INDEX('Per Invoice'!F$2:F$801,$W166)="","",INDEX('Per Invoice'!F$2:F$801,$W166)))</f>
        <v/>
      </c>
      <c r="G166">
        <f>IF($W166="","",IF(INDEX('Per Invoice'!G$2:G$801,$W166)="","",INDEX('Per Invoice'!G$2:G$801,$W166)))</f>
        <v/>
      </c>
      <c r="H166">
        <f>IF($W166="","",IF(INDEX('Per Invoice'!H$2:H$801,$W166)="","",INDEX('Per Invoice'!H$2:H$801,$W166)))</f>
        <v/>
      </c>
      <c r="I166">
        <f>IF($W166="","",IF(INDEX('Per Invoice'!I$2:I$801,$W166)="","",INDEX('Per Invoice'!I$2:I$801,$W166)))</f>
        <v/>
      </c>
      <c r="J166">
        <f>IF($W166="","",IF(INDEX('Per Invoice'!J$2:J$801,$W166)="","",INDEX('Per Invoice'!J$2:J$801,$W166)))</f>
        <v/>
      </c>
      <c r="K166" s="7">
        <f>IF($W166="","",IF(INDEX('Per Invoice'!K$2:K$801,$W166)="","",INDEX('Per Invoice'!K$2:K$801,$W166)))</f>
        <v/>
      </c>
      <c r="L166" s="14">
        <f>IF($W166="","",IF(INDEX('Per Invoice'!L$2:L$801,$W166)="","",INDEX('Per Invoice'!L$2:L$801,$W166)))</f>
        <v/>
      </c>
      <c r="M166">
        <f>IF($W166="","",IF(INDEX('Per Invoice'!M$2:M$801,$W166)="","",INDEX('Per Invoice'!M$2:M$801,$W166)))</f>
        <v/>
      </c>
      <c r="N166" s="7">
        <f>IF($W166="","",IF(INDEX('Per Invoice'!N$2:N$801,$W166)="","",INDEX('Per Invoice'!N$2:N$801,$W166)))</f>
        <v/>
      </c>
      <c r="O166" s="7">
        <f>IF($W166="","",IF(INDEX('Per Invoice'!O$2:O$801,$W166)="","",INDEX('Per Invoice'!O$2:O$801,$W166)))</f>
        <v/>
      </c>
      <c r="P166">
        <f>IF($W166="","",IF(INDEX('Per Invoice'!P$2:P$801,$W166)="","",INDEX('Per Invoice'!P$2:P$801,$W166)))</f>
        <v/>
      </c>
      <c r="Q166" s="7">
        <f>IF($W166="","",IF(INDEX('Per Invoice'!Q$2:Q$801,$W166)="","",INDEX('Per Invoice'!Q$2:Q$801,$W166)))</f>
        <v/>
      </c>
      <c r="R166" s="7">
        <f>IF($W166="","",IF(INDEX('Per Invoice'!R$2:R$801,$W166)="","",INDEX('Per Invoice'!R$2:R$801,$W166)))</f>
        <v/>
      </c>
      <c r="S166" s="7">
        <f>IF($W166="","",IF(INDEX('Per Invoice'!S$2:S$801,$W166)="","",INDEX('Per Invoice'!S$2:S$801,$W166)))</f>
        <v/>
      </c>
      <c r="T166" s="7">
        <f>IF($W166="","",IF(INDEX('Per Invoice'!T$2:T$801,$W166)="","",INDEX('Per Invoice'!T$2:T$801,$W166)))</f>
        <v/>
      </c>
      <c r="U166" s="7">
        <f>IF($W166="","",IF(INDEX('Per Invoice'!U$2:U$801,$W166)="","",INDEX('Per Invoice'!U$2:U$801,$W166)))</f>
        <v/>
      </c>
      <c r="V166" s="7">
        <f>IF($W166="","",IF(INDEX('Per Invoice'!V$2:V$801,$W166)="","",INDEX('Per Invoice'!V$2:V$801,$W166)))</f>
        <v/>
      </c>
      <c r="W166" s="16">
        <f>IFERROR(MATCH(Settings!$C$30&amp;"|"&amp;ROWS($W$2:$W166),'Per Invoice'!$X$2:$X$801,0),"")</f>
        <v/>
      </c>
    </row>
    <row r="167">
      <c r="A167">
        <f>IF($W167="","",IF(INDEX('Per Invoice'!A$2:A$801,$W167)="","",INDEX('Per Invoice'!A$2:A$801,$W167)))</f>
        <v/>
      </c>
      <c r="B167">
        <f>IF($W167="","",IF(INDEX('Per Invoice'!B$2:B$801,$W167)="","",INDEX('Per Invoice'!B$2:B$801,$W167)))</f>
        <v/>
      </c>
      <c r="C167">
        <f>IF($W167="","",IF(INDEX('Per Invoice'!C$2:C$801,$W167)="","",INDEX('Per Invoice'!C$2:C$801,$W167)))</f>
        <v/>
      </c>
      <c r="D167">
        <f>IF($W167="","",IF(INDEX('Per Invoice'!D$2:D$801,$W167)="","",INDEX('Per Invoice'!D$2:D$801,$W167)))</f>
        <v/>
      </c>
      <c r="E167">
        <f>IF($W167="","",IF(INDEX('Per Invoice'!E$2:E$801,$W167)="","",INDEX('Per Invoice'!E$2:E$801,$W167)))</f>
        <v/>
      </c>
      <c r="F167">
        <f>IF($W167="","",IF(INDEX('Per Invoice'!F$2:F$801,$W167)="","",INDEX('Per Invoice'!F$2:F$801,$W167)))</f>
        <v/>
      </c>
      <c r="G167">
        <f>IF($W167="","",IF(INDEX('Per Invoice'!G$2:G$801,$W167)="","",INDEX('Per Invoice'!G$2:G$801,$W167)))</f>
        <v/>
      </c>
      <c r="H167">
        <f>IF($W167="","",IF(INDEX('Per Invoice'!H$2:H$801,$W167)="","",INDEX('Per Invoice'!H$2:H$801,$W167)))</f>
        <v/>
      </c>
      <c r="I167">
        <f>IF($W167="","",IF(INDEX('Per Invoice'!I$2:I$801,$W167)="","",INDEX('Per Invoice'!I$2:I$801,$W167)))</f>
        <v/>
      </c>
      <c r="J167">
        <f>IF($W167="","",IF(INDEX('Per Invoice'!J$2:J$801,$W167)="","",INDEX('Per Invoice'!J$2:J$801,$W167)))</f>
        <v/>
      </c>
      <c r="K167" s="7">
        <f>IF($W167="","",IF(INDEX('Per Invoice'!K$2:K$801,$W167)="","",INDEX('Per Invoice'!K$2:K$801,$W167)))</f>
        <v/>
      </c>
      <c r="L167" s="14">
        <f>IF($W167="","",IF(INDEX('Per Invoice'!L$2:L$801,$W167)="","",INDEX('Per Invoice'!L$2:L$801,$W167)))</f>
        <v/>
      </c>
      <c r="M167">
        <f>IF($W167="","",IF(INDEX('Per Invoice'!M$2:M$801,$W167)="","",INDEX('Per Invoice'!M$2:M$801,$W167)))</f>
        <v/>
      </c>
      <c r="N167" s="7">
        <f>IF($W167="","",IF(INDEX('Per Invoice'!N$2:N$801,$W167)="","",INDEX('Per Invoice'!N$2:N$801,$W167)))</f>
        <v/>
      </c>
      <c r="O167" s="7">
        <f>IF($W167="","",IF(INDEX('Per Invoice'!O$2:O$801,$W167)="","",INDEX('Per Invoice'!O$2:O$801,$W167)))</f>
        <v/>
      </c>
      <c r="P167">
        <f>IF($W167="","",IF(INDEX('Per Invoice'!P$2:P$801,$W167)="","",INDEX('Per Invoice'!P$2:P$801,$W167)))</f>
        <v/>
      </c>
      <c r="Q167" s="7">
        <f>IF($W167="","",IF(INDEX('Per Invoice'!Q$2:Q$801,$W167)="","",INDEX('Per Invoice'!Q$2:Q$801,$W167)))</f>
        <v/>
      </c>
      <c r="R167" s="7">
        <f>IF($W167="","",IF(INDEX('Per Invoice'!R$2:R$801,$W167)="","",INDEX('Per Invoice'!R$2:R$801,$W167)))</f>
        <v/>
      </c>
      <c r="S167" s="7">
        <f>IF($W167="","",IF(INDEX('Per Invoice'!S$2:S$801,$W167)="","",INDEX('Per Invoice'!S$2:S$801,$W167)))</f>
        <v/>
      </c>
      <c r="T167" s="7">
        <f>IF($W167="","",IF(INDEX('Per Invoice'!T$2:T$801,$W167)="","",INDEX('Per Invoice'!T$2:T$801,$W167)))</f>
        <v/>
      </c>
      <c r="U167" s="7">
        <f>IF($W167="","",IF(INDEX('Per Invoice'!U$2:U$801,$W167)="","",INDEX('Per Invoice'!U$2:U$801,$W167)))</f>
        <v/>
      </c>
      <c r="V167" s="7">
        <f>IF($W167="","",IF(INDEX('Per Invoice'!V$2:V$801,$W167)="","",INDEX('Per Invoice'!V$2:V$801,$W167)))</f>
        <v/>
      </c>
      <c r="W167" s="16">
        <f>IFERROR(MATCH(Settings!$C$30&amp;"|"&amp;ROWS($W$2:$W167),'Per Invoice'!$X$2:$X$801,0),"")</f>
        <v/>
      </c>
    </row>
    <row r="168">
      <c r="A168">
        <f>IF($W168="","",IF(INDEX('Per Invoice'!A$2:A$801,$W168)="","",INDEX('Per Invoice'!A$2:A$801,$W168)))</f>
        <v/>
      </c>
      <c r="B168">
        <f>IF($W168="","",IF(INDEX('Per Invoice'!B$2:B$801,$W168)="","",INDEX('Per Invoice'!B$2:B$801,$W168)))</f>
        <v/>
      </c>
      <c r="C168">
        <f>IF($W168="","",IF(INDEX('Per Invoice'!C$2:C$801,$W168)="","",INDEX('Per Invoice'!C$2:C$801,$W168)))</f>
        <v/>
      </c>
      <c r="D168">
        <f>IF($W168="","",IF(INDEX('Per Invoice'!D$2:D$801,$W168)="","",INDEX('Per Invoice'!D$2:D$801,$W168)))</f>
        <v/>
      </c>
      <c r="E168">
        <f>IF($W168="","",IF(INDEX('Per Invoice'!E$2:E$801,$W168)="","",INDEX('Per Invoice'!E$2:E$801,$W168)))</f>
        <v/>
      </c>
      <c r="F168">
        <f>IF($W168="","",IF(INDEX('Per Invoice'!F$2:F$801,$W168)="","",INDEX('Per Invoice'!F$2:F$801,$W168)))</f>
        <v/>
      </c>
      <c r="G168">
        <f>IF($W168="","",IF(INDEX('Per Invoice'!G$2:G$801,$W168)="","",INDEX('Per Invoice'!G$2:G$801,$W168)))</f>
        <v/>
      </c>
      <c r="H168">
        <f>IF($W168="","",IF(INDEX('Per Invoice'!H$2:H$801,$W168)="","",INDEX('Per Invoice'!H$2:H$801,$W168)))</f>
        <v/>
      </c>
      <c r="I168">
        <f>IF($W168="","",IF(INDEX('Per Invoice'!I$2:I$801,$W168)="","",INDEX('Per Invoice'!I$2:I$801,$W168)))</f>
        <v/>
      </c>
      <c r="J168">
        <f>IF($W168="","",IF(INDEX('Per Invoice'!J$2:J$801,$W168)="","",INDEX('Per Invoice'!J$2:J$801,$W168)))</f>
        <v/>
      </c>
      <c r="K168" s="7">
        <f>IF($W168="","",IF(INDEX('Per Invoice'!K$2:K$801,$W168)="","",INDEX('Per Invoice'!K$2:K$801,$W168)))</f>
        <v/>
      </c>
      <c r="L168" s="14">
        <f>IF($W168="","",IF(INDEX('Per Invoice'!L$2:L$801,$W168)="","",INDEX('Per Invoice'!L$2:L$801,$W168)))</f>
        <v/>
      </c>
      <c r="M168">
        <f>IF($W168="","",IF(INDEX('Per Invoice'!M$2:M$801,$W168)="","",INDEX('Per Invoice'!M$2:M$801,$W168)))</f>
        <v/>
      </c>
      <c r="N168" s="7">
        <f>IF($W168="","",IF(INDEX('Per Invoice'!N$2:N$801,$W168)="","",INDEX('Per Invoice'!N$2:N$801,$W168)))</f>
        <v/>
      </c>
      <c r="O168" s="7">
        <f>IF($W168="","",IF(INDEX('Per Invoice'!O$2:O$801,$W168)="","",INDEX('Per Invoice'!O$2:O$801,$W168)))</f>
        <v/>
      </c>
      <c r="P168">
        <f>IF($W168="","",IF(INDEX('Per Invoice'!P$2:P$801,$W168)="","",INDEX('Per Invoice'!P$2:P$801,$W168)))</f>
        <v/>
      </c>
      <c r="Q168" s="7">
        <f>IF($W168="","",IF(INDEX('Per Invoice'!Q$2:Q$801,$W168)="","",INDEX('Per Invoice'!Q$2:Q$801,$W168)))</f>
        <v/>
      </c>
      <c r="R168" s="7">
        <f>IF($W168="","",IF(INDEX('Per Invoice'!R$2:R$801,$W168)="","",INDEX('Per Invoice'!R$2:R$801,$W168)))</f>
        <v/>
      </c>
      <c r="S168" s="7">
        <f>IF($W168="","",IF(INDEX('Per Invoice'!S$2:S$801,$W168)="","",INDEX('Per Invoice'!S$2:S$801,$W168)))</f>
        <v/>
      </c>
      <c r="T168" s="7">
        <f>IF($W168="","",IF(INDEX('Per Invoice'!T$2:T$801,$W168)="","",INDEX('Per Invoice'!T$2:T$801,$W168)))</f>
        <v/>
      </c>
      <c r="U168" s="7">
        <f>IF($W168="","",IF(INDEX('Per Invoice'!U$2:U$801,$W168)="","",INDEX('Per Invoice'!U$2:U$801,$W168)))</f>
        <v/>
      </c>
      <c r="V168" s="7">
        <f>IF($W168="","",IF(INDEX('Per Invoice'!V$2:V$801,$W168)="","",INDEX('Per Invoice'!V$2:V$801,$W168)))</f>
        <v/>
      </c>
      <c r="W168" s="16">
        <f>IFERROR(MATCH(Settings!$C$30&amp;"|"&amp;ROWS($W$2:$W168),'Per Invoice'!$X$2:$X$801,0),"")</f>
        <v/>
      </c>
    </row>
    <row r="169">
      <c r="A169">
        <f>IF($W169="","",IF(INDEX('Per Invoice'!A$2:A$801,$W169)="","",INDEX('Per Invoice'!A$2:A$801,$W169)))</f>
        <v/>
      </c>
      <c r="B169">
        <f>IF($W169="","",IF(INDEX('Per Invoice'!B$2:B$801,$W169)="","",INDEX('Per Invoice'!B$2:B$801,$W169)))</f>
        <v/>
      </c>
      <c r="C169">
        <f>IF($W169="","",IF(INDEX('Per Invoice'!C$2:C$801,$W169)="","",INDEX('Per Invoice'!C$2:C$801,$W169)))</f>
        <v/>
      </c>
      <c r="D169">
        <f>IF($W169="","",IF(INDEX('Per Invoice'!D$2:D$801,$W169)="","",INDEX('Per Invoice'!D$2:D$801,$W169)))</f>
        <v/>
      </c>
      <c r="E169">
        <f>IF($W169="","",IF(INDEX('Per Invoice'!E$2:E$801,$W169)="","",INDEX('Per Invoice'!E$2:E$801,$W169)))</f>
        <v/>
      </c>
      <c r="F169">
        <f>IF($W169="","",IF(INDEX('Per Invoice'!F$2:F$801,$W169)="","",INDEX('Per Invoice'!F$2:F$801,$W169)))</f>
        <v/>
      </c>
      <c r="G169">
        <f>IF($W169="","",IF(INDEX('Per Invoice'!G$2:G$801,$W169)="","",INDEX('Per Invoice'!G$2:G$801,$W169)))</f>
        <v/>
      </c>
      <c r="H169">
        <f>IF($W169="","",IF(INDEX('Per Invoice'!H$2:H$801,$W169)="","",INDEX('Per Invoice'!H$2:H$801,$W169)))</f>
        <v/>
      </c>
      <c r="I169">
        <f>IF($W169="","",IF(INDEX('Per Invoice'!I$2:I$801,$W169)="","",INDEX('Per Invoice'!I$2:I$801,$W169)))</f>
        <v/>
      </c>
      <c r="J169">
        <f>IF($W169="","",IF(INDEX('Per Invoice'!J$2:J$801,$W169)="","",INDEX('Per Invoice'!J$2:J$801,$W169)))</f>
        <v/>
      </c>
      <c r="K169" s="7">
        <f>IF($W169="","",IF(INDEX('Per Invoice'!K$2:K$801,$W169)="","",INDEX('Per Invoice'!K$2:K$801,$W169)))</f>
        <v/>
      </c>
      <c r="L169" s="14">
        <f>IF($W169="","",IF(INDEX('Per Invoice'!L$2:L$801,$W169)="","",INDEX('Per Invoice'!L$2:L$801,$W169)))</f>
        <v/>
      </c>
      <c r="M169">
        <f>IF($W169="","",IF(INDEX('Per Invoice'!M$2:M$801,$W169)="","",INDEX('Per Invoice'!M$2:M$801,$W169)))</f>
        <v/>
      </c>
      <c r="N169" s="7">
        <f>IF($W169="","",IF(INDEX('Per Invoice'!N$2:N$801,$W169)="","",INDEX('Per Invoice'!N$2:N$801,$W169)))</f>
        <v/>
      </c>
      <c r="O169" s="7">
        <f>IF($W169="","",IF(INDEX('Per Invoice'!O$2:O$801,$W169)="","",INDEX('Per Invoice'!O$2:O$801,$W169)))</f>
        <v/>
      </c>
      <c r="P169">
        <f>IF($W169="","",IF(INDEX('Per Invoice'!P$2:P$801,$W169)="","",INDEX('Per Invoice'!P$2:P$801,$W169)))</f>
        <v/>
      </c>
      <c r="Q169" s="7">
        <f>IF($W169="","",IF(INDEX('Per Invoice'!Q$2:Q$801,$W169)="","",INDEX('Per Invoice'!Q$2:Q$801,$W169)))</f>
        <v/>
      </c>
      <c r="R169" s="7">
        <f>IF($W169="","",IF(INDEX('Per Invoice'!R$2:R$801,$W169)="","",INDEX('Per Invoice'!R$2:R$801,$W169)))</f>
        <v/>
      </c>
      <c r="S169" s="7">
        <f>IF($W169="","",IF(INDEX('Per Invoice'!S$2:S$801,$W169)="","",INDEX('Per Invoice'!S$2:S$801,$W169)))</f>
        <v/>
      </c>
      <c r="T169" s="7">
        <f>IF($W169="","",IF(INDEX('Per Invoice'!T$2:T$801,$W169)="","",INDEX('Per Invoice'!T$2:T$801,$W169)))</f>
        <v/>
      </c>
      <c r="U169" s="7">
        <f>IF($W169="","",IF(INDEX('Per Invoice'!U$2:U$801,$W169)="","",INDEX('Per Invoice'!U$2:U$801,$W169)))</f>
        <v/>
      </c>
      <c r="V169" s="7">
        <f>IF($W169="","",IF(INDEX('Per Invoice'!V$2:V$801,$W169)="","",INDEX('Per Invoice'!V$2:V$801,$W169)))</f>
        <v/>
      </c>
      <c r="W169" s="16">
        <f>IFERROR(MATCH(Settings!$C$30&amp;"|"&amp;ROWS($W$2:$W169),'Per Invoice'!$X$2:$X$801,0),"")</f>
        <v/>
      </c>
    </row>
    <row r="170">
      <c r="A170">
        <f>IF($W170="","",IF(INDEX('Per Invoice'!A$2:A$801,$W170)="","",INDEX('Per Invoice'!A$2:A$801,$W170)))</f>
        <v/>
      </c>
      <c r="B170">
        <f>IF($W170="","",IF(INDEX('Per Invoice'!B$2:B$801,$W170)="","",INDEX('Per Invoice'!B$2:B$801,$W170)))</f>
        <v/>
      </c>
      <c r="C170">
        <f>IF($W170="","",IF(INDEX('Per Invoice'!C$2:C$801,$W170)="","",INDEX('Per Invoice'!C$2:C$801,$W170)))</f>
        <v/>
      </c>
      <c r="D170">
        <f>IF($W170="","",IF(INDEX('Per Invoice'!D$2:D$801,$W170)="","",INDEX('Per Invoice'!D$2:D$801,$W170)))</f>
        <v/>
      </c>
      <c r="E170">
        <f>IF($W170="","",IF(INDEX('Per Invoice'!E$2:E$801,$W170)="","",INDEX('Per Invoice'!E$2:E$801,$W170)))</f>
        <v/>
      </c>
      <c r="F170">
        <f>IF($W170="","",IF(INDEX('Per Invoice'!F$2:F$801,$W170)="","",INDEX('Per Invoice'!F$2:F$801,$W170)))</f>
        <v/>
      </c>
      <c r="G170">
        <f>IF($W170="","",IF(INDEX('Per Invoice'!G$2:G$801,$W170)="","",INDEX('Per Invoice'!G$2:G$801,$W170)))</f>
        <v/>
      </c>
      <c r="H170">
        <f>IF($W170="","",IF(INDEX('Per Invoice'!H$2:H$801,$W170)="","",INDEX('Per Invoice'!H$2:H$801,$W170)))</f>
        <v/>
      </c>
      <c r="I170">
        <f>IF($W170="","",IF(INDEX('Per Invoice'!I$2:I$801,$W170)="","",INDEX('Per Invoice'!I$2:I$801,$W170)))</f>
        <v/>
      </c>
      <c r="J170">
        <f>IF($W170="","",IF(INDEX('Per Invoice'!J$2:J$801,$W170)="","",INDEX('Per Invoice'!J$2:J$801,$W170)))</f>
        <v/>
      </c>
      <c r="K170" s="7">
        <f>IF($W170="","",IF(INDEX('Per Invoice'!K$2:K$801,$W170)="","",INDEX('Per Invoice'!K$2:K$801,$W170)))</f>
        <v/>
      </c>
      <c r="L170" s="14">
        <f>IF($W170="","",IF(INDEX('Per Invoice'!L$2:L$801,$W170)="","",INDEX('Per Invoice'!L$2:L$801,$W170)))</f>
        <v/>
      </c>
      <c r="M170">
        <f>IF($W170="","",IF(INDEX('Per Invoice'!M$2:M$801,$W170)="","",INDEX('Per Invoice'!M$2:M$801,$W170)))</f>
        <v/>
      </c>
      <c r="N170" s="7">
        <f>IF($W170="","",IF(INDEX('Per Invoice'!N$2:N$801,$W170)="","",INDEX('Per Invoice'!N$2:N$801,$W170)))</f>
        <v/>
      </c>
      <c r="O170" s="7">
        <f>IF($W170="","",IF(INDEX('Per Invoice'!O$2:O$801,$W170)="","",INDEX('Per Invoice'!O$2:O$801,$W170)))</f>
        <v/>
      </c>
      <c r="P170">
        <f>IF($W170="","",IF(INDEX('Per Invoice'!P$2:P$801,$W170)="","",INDEX('Per Invoice'!P$2:P$801,$W170)))</f>
        <v/>
      </c>
      <c r="Q170" s="7">
        <f>IF($W170="","",IF(INDEX('Per Invoice'!Q$2:Q$801,$W170)="","",INDEX('Per Invoice'!Q$2:Q$801,$W170)))</f>
        <v/>
      </c>
      <c r="R170" s="7">
        <f>IF($W170="","",IF(INDEX('Per Invoice'!R$2:R$801,$W170)="","",INDEX('Per Invoice'!R$2:R$801,$W170)))</f>
        <v/>
      </c>
      <c r="S170" s="7">
        <f>IF($W170="","",IF(INDEX('Per Invoice'!S$2:S$801,$W170)="","",INDEX('Per Invoice'!S$2:S$801,$W170)))</f>
        <v/>
      </c>
      <c r="T170" s="7">
        <f>IF($W170="","",IF(INDEX('Per Invoice'!T$2:T$801,$W170)="","",INDEX('Per Invoice'!T$2:T$801,$W170)))</f>
        <v/>
      </c>
      <c r="U170" s="7">
        <f>IF($W170="","",IF(INDEX('Per Invoice'!U$2:U$801,$W170)="","",INDEX('Per Invoice'!U$2:U$801,$W170)))</f>
        <v/>
      </c>
      <c r="V170" s="7">
        <f>IF($W170="","",IF(INDEX('Per Invoice'!V$2:V$801,$W170)="","",INDEX('Per Invoice'!V$2:V$801,$W170)))</f>
        <v/>
      </c>
      <c r="W170" s="16">
        <f>IFERROR(MATCH(Settings!$C$30&amp;"|"&amp;ROWS($W$2:$W170),'Per Invoice'!$X$2:$X$801,0),"")</f>
        <v/>
      </c>
    </row>
    <row r="171">
      <c r="A171">
        <f>IF($W171="","",IF(INDEX('Per Invoice'!A$2:A$801,$W171)="","",INDEX('Per Invoice'!A$2:A$801,$W171)))</f>
        <v/>
      </c>
      <c r="B171">
        <f>IF($W171="","",IF(INDEX('Per Invoice'!B$2:B$801,$W171)="","",INDEX('Per Invoice'!B$2:B$801,$W171)))</f>
        <v/>
      </c>
      <c r="C171">
        <f>IF($W171="","",IF(INDEX('Per Invoice'!C$2:C$801,$W171)="","",INDEX('Per Invoice'!C$2:C$801,$W171)))</f>
        <v/>
      </c>
      <c r="D171">
        <f>IF($W171="","",IF(INDEX('Per Invoice'!D$2:D$801,$W171)="","",INDEX('Per Invoice'!D$2:D$801,$W171)))</f>
        <v/>
      </c>
      <c r="E171">
        <f>IF($W171="","",IF(INDEX('Per Invoice'!E$2:E$801,$W171)="","",INDEX('Per Invoice'!E$2:E$801,$W171)))</f>
        <v/>
      </c>
      <c r="F171">
        <f>IF($W171="","",IF(INDEX('Per Invoice'!F$2:F$801,$W171)="","",INDEX('Per Invoice'!F$2:F$801,$W171)))</f>
        <v/>
      </c>
      <c r="G171">
        <f>IF($W171="","",IF(INDEX('Per Invoice'!G$2:G$801,$W171)="","",INDEX('Per Invoice'!G$2:G$801,$W171)))</f>
        <v/>
      </c>
      <c r="H171">
        <f>IF($W171="","",IF(INDEX('Per Invoice'!H$2:H$801,$W171)="","",INDEX('Per Invoice'!H$2:H$801,$W171)))</f>
        <v/>
      </c>
      <c r="I171">
        <f>IF($W171="","",IF(INDEX('Per Invoice'!I$2:I$801,$W171)="","",INDEX('Per Invoice'!I$2:I$801,$W171)))</f>
        <v/>
      </c>
      <c r="J171">
        <f>IF($W171="","",IF(INDEX('Per Invoice'!J$2:J$801,$W171)="","",INDEX('Per Invoice'!J$2:J$801,$W171)))</f>
        <v/>
      </c>
      <c r="K171" s="7">
        <f>IF($W171="","",IF(INDEX('Per Invoice'!K$2:K$801,$W171)="","",INDEX('Per Invoice'!K$2:K$801,$W171)))</f>
        <v/>
      </c>
      <c r="L171" s="14">
        <f>IF($W171="","",IF(INDEX('Per Invoice'!L$2:L$801,$W171)="","",INDEX('Per Invoice'!L$2:L$801,$W171)))</f>
        <v/>
      </c>
      <c r="M171">
        <f>IF($W171="","",IF(INDEX('Per Invoice'!M$2:M$801,$W171)="","",INDEX('Per Invoice'!M$2:M$801,$W171)))</f>
        <v/>
      </c>
      <c r="N171" s="7">
        <f>IF($W171="","",IF(INDEX('Per Invoice'!N$2:N$801,$W171)="","",INDEX('Per Invoice'!N$2:N$801,$W171)))</f>
        <v/>
      </c>
      <c r="O171" s="7">
        <f>IF($W171="","",IF(INDEX('Per Invoice'!O$2:O$801,$W171)="","",INDEX('Per Invoice'!O$2:O$801,$W171)))</f>
        <v/>
      </c>
      <c r="P171">
        <f>IF($W171="","",IF(INDEX('Per Invoice'!P$2:P$801,$W171)="","",INDEX('Per Invoice'!P$2:P$801,$W171)))</f>
        <v/>
      </c>
      <c r="Q171" s="7">
        <f>IF($W171="","",IF(INDEX('Per Invoice'!Q$2:Q$801,$W171)="","",INDEX('Per Invoice'!Q$2:Q$801,$W171)))</f>
        <v/>
      </c>
      <c r="R171" s="7">
        <f>IF($W171="","",IF(INDEX('Per Invoice'!R$2:R$801,$W171)="","",INDEX('Per Invoice'!R$2:R$801,$W171)))</f>
        <v/>
      </c>
      <c r="S171" s="7">
        <f>IF($W171="","",IF(INDEX('Per Invoice'!S$2:S$801,$W171)="","",INDEX('Per Invoice'!S$2:S$801,$W171)))</f>
        <v/>
      </c>
      <c r="T171" s="7">
        <f>IF($W171="","",IF(INDEX('Per Invoice'!T$2:T$801,$W171)="","",INDEX('Per Invoice'!T$2:T$801,$W171)))</f>
        <v/>
      </c>
      <c r="U171" s="7">
        <f>IF($W171="","",IF(INDEX('Per Invoice'!U$2:U$801,$W171)="","",INDEX('Per Invoice'!U$2:U$801,$W171)))</f>
        <v/>
      </c>
      <c r="V171" s="7">
        <f>IF($W171="","",IF(INDEX('Per Invoice'!V$2:V$801,$W171)="","",INDEX('Per Invoice'!V$2:V$801,$W171)))</f>
        <v/>
      </c>
      <c r="W171" s="16">
        <f>IFERROR(MATCH(Settings!$C$30&amp;"|"&amp;ROWS($W$2:$W171),'Per Invoice'!$X$2:$X$801,0),"")</f>
        <v/>
      </c>
    </row>
    <row r="172">
      <c r="A172">
        <f>IF($W172="","",IF(INDEX('Per Invoice'!A$2:A$801,$W172)="","",INDEX('Per Invoice'!A$2:A$801,$W172)))</f>
        <v/>
      </c>
      <c r="B172">
        <f>IF($W172="","",IF(INDEX('Per Invoice'!B$2:B$801,$W172)="","",INDEX('Per Invoice'!B$2:B$801,$W172)))</f>
        <v/>
      </c>
      <c r="C172">
        <f>IF($W172="","",IF(INDEX('Per Invoice'!C$2:C$801,$W172)="","",INDEX('Per Invoice'!C$2:C$801,$W172)))</f>
        <v/>
      </c>
      <c r="D172">
        <f>IF($W172="","",IF(INDEX('Per Invoice'!D$2:D$801,$W172)="","",INDEX('Per Invoice'!D$2:D$801,$W172)))</f>
        <v/>
      </c>
      <c r="E172">
        <f>IF($W172="","",IF(INDEX('Per Invoice'!E$2:E$801,$W172)="","",INDEX('Per Invoice'!E$2:E$801,$W172)))</f>
        <v/>
      </c>
      <c r="F172">
        <f>IF($W172="","",IF(INDEX('Per Invoice'!F$2:F$801,$W172)="","",INDEX('Per Invoice'!F$2:F$801,$W172)))</f>
        <v/>
      </c>
      <c r="G172">
        <f>IF($W172="","",IF(INDEX('Per Invoice'!G$2:G$801,$W172)="","",INDEX('Per Invoice'!G$2:G$801,$W172)))</f>
        <v/>
      </c>
      <c r="H172">
        <f>IF($W172="","",IF(INDEX('Per Invoice'!H$2:H$801,$W172)="","",INDEX('Per Invoice'!H$2:H$801,$W172)))</f>
        <v/>
      </c>
      <c r="I172">
        <f>IF($W172="","",IF(INDEX('Per Invoice'!I$2:I$801,$W172)="","",INDEX('Per Invoice'!I$2:I$801,$W172)))</f>
        <v/>
      </c>
      <c r="J172">
        <f>IF($W172="","",IF(INDEX('Per Invoice'!J$2:J$801,$W172)="","",INDEX('Per Invoice'!J$2:J$801,$W172)))</f>
        <v/>
      </c>
      <c r="K172" s="7">
        <f>IF($W172="","",IF(INDEX('Per Invoice'!K$2:K$801,$W172)="","",INDEX('Per Invoice'!K$2:K$801,$W172)))</f>
        <v/>
      </c>
      <c r="L172" s="14">
        <f>IF($W172="","",IF(INDEX('Per Invoice'!L$2:L$801,$W172)="","",INDEX('Per Invoice'!L$2:L$801,$W172)))</f>
        <v/>
      </c>
      <c r="M172">
        <f>IF($W172="","",IF(INDEX('Per Invoice'!M$2:M$801,$W172)="","",INDEX('Per Invoice'!M$2:M$801,$W172)))</f>
        <v/>
      </c>
      <c r="N172" s="7">
        <f>IF($W172="","",IF(INDEX('Per Invoice'!N$2:N$801,$W172)="","",INDEX('Per Invoice'!N$2:N$801,$W172)))</f>
        <v/>
      </c>
      <c r="O172" s="7">
        <f>IF($W172="","",IF(INDEX('Per Invoice'!O$2:O$801,$W172)="","",INDEX('Per Invoice'!O$2:O$801,$W172)))</f>
        <v/>
      </c>
      <c r="P172">
        <f>IF($W172="","",IF(INDEX('Per Invoice'!P$2:P$801,$W172)="","",INDEX('Per Invoice'!P$2:P$801,$W172)))</f>
        <v/>
      </c>
      <c r="Q172" s="7">
        <f>IF($W172="","",IF(INDEX('Per Invoice'!Q$2:Q$801,$W172)="","",INDEX('Per Invoice'!Q$2:Q$801,$W172)))</f>
        <v/>
      </c>
      <c r="R172" s="7">
        <f>IF($W172="","",IF(INDEX('Per Invoice'!R$2:R$801,$W172)="","",INDEX('Per Invoice'!R$2:R$801,$W172)))</f>
        <v/>
      </c>
      <c r="S172" s="7">
        <f>IF($W172="","",IF(INDEX('Per Invoice'!S$2:S$801,$W172)="","",INDEX('Per Invoice'!S$2:S$801,$W172)))</f>
        <v/>
      </c>
      <c r="T172" s="7">
        <f>IF($W172="","",IF(INDEX('Per Invoice'!T$2:T$801,$W172)="","",INDEX('Per Invoice'!T$2:T$801,$W172)))</f>
        <v/>
      </c>
      <c r="U172" s="7">
        <f>IF($W172="","",IF(INDEX('Per Invoice'!U$2:U$801,$W172)="","",INDEX('Per Invoice'!U$2:U$801,$W172)))</f>
        <v/>
      </c>
      <c r="V172" s="7">
        <f>IF($W172="","",IF(INDEX('Per Invoice'!V$2:V$801,$W172)="","",INDEX('Per Invoice'!V$2:V$801,$W172)))</f>
        <v/>
      </c>
      <c r="W172" s="16">
        <f>IFERROR(MATCH(Settings!$C$30&amp;"|"&amp;ROWS($W$2:$W172),'Per Invoice'!$X$2:$X$801,0),"")</f>
        <v/>
      </c>
    </row>
    <row r="173">
      <c r="A173">
        <f>IF($W173="","",IF(INDEX('Per Invoice'!A$2:A$801,$W173)="","",INDEX('Per Invoice'!A$2:A$801,$W173)))</f>
        <v/>
      </c>
      <c r="B173">
        <f>IF($W173="","",IF(INDEX('Per Invoice'!B$2:B$801,$W173)="","",INDEX('Per Invoice'!B$2:B$801,$W173)))</f>
        <v/>
      </c>
      <c r="C173">
        <f>IF($W173="","",IF(INDEX('Per Invoice'!C$2:C$801,$W173)="","",INDEX('Per Invoice'!C$2:C$801,$W173)))</f>
        <v/>
      </c>
      <c r="D173">
        <f>IF($W173="","",IF(INDEX('Per Invoice'!D$2:D$801,$W173)="","",INDEX('Per Invoice'!D$2:D$801,$W173)))</f>
        <v/>
      </c>
      <c r="E173">
        <f>IF($W173="","",IF(INDEX('Per Invoice'!E$2:E$801,$W173)="","",INDEX('Per Invoice'!E$2:E$801,$W173)))</f>
        <v/>
      </c>
      <c r="F173">
        <f>IF($W173="","",IF(INDEX('Per Invoice'!F$2:F$801,$W173)="","",INDEX('Per Invoice'!F$2:F$801,$W173)))</f>
        <v/>
      </c>
      <c r="G173">
        <f>IF($W173="","",IF(INDEX('Per Invoice'!G$2:G$801,$W173)="","",INDEX('Per Invoice'!G$2:G$801,$W173)))</f>
        <v/>
      </c>
      <c r="H173">
        <f>IF($W173="","",IF(INDEX('Per Invoice'!H$2:H$801,$W173)="","",INDEX('Per Invoice'!H$2:H$801,$W173)))</f>
        <v/>
      </c>
      <c r="I173">
        <f>IF($W173="","",IF(INDEX('Per Invoice'!I$2:I$801,$W173)="","",INDEX('Per Invoice'!I$2:I$801,$W173)))</f>
        <v/>
      </c>
      <c r="J173">
        <f>IF($W173="","",IF(INDEX('Per Invoice'!J$2:J$801,$W173)="","",INDEX('Per Invoice'!J$2:J$801,$W173)))</f>
        <v/>
      </c>
      <c r="K173" s="7">
        <f>IF($W173="","",IF(INDEX('Per Invoice'!K$2:K$801,$W173)="","",INDEX('Per Invoice'!K$2:K$801,$W173)))</f>
        <v/>
      </c>
      <c r="L173" s="14">
        <f>IF($W173="","",IF(INDEX('Per Invoice'!L$2:L$801,$W173)="","",INDEX('Per Invoice'!L$2:L$801,$W173)))</f>
        <v/>
      </c>
      <c r="M173">
        <f>IF($W173="","",IF(INDEX('Per Invoice'!M$2:M$801,$W173)="","",INDEX('Per Invoice'!M$2:M$801,$W173)))</f>
        <v/>
      </c>
      <c r="N173" s="7">
        <f>IF($W173="","",IF(INDEX('Per Invoice'!N$2:N$801,$W173)="","",INDEX('Per Invoice'!N$2:N$801,$W173)))</f>
        <v/>
      </c>
      <c r="O173" s="7">
        <f>IF($W173="","",IF(INDEX('Per Invoice'!O$2:O$801,$W173)="","",INDEX('Per Invoice'!O$2:O$801,$W173)))</f>
        <v/>
      </c>
      <c r="P173">
        <f>IF($W173="","",IF(INDEX('Per Invoice'!P$2:P$801,$W173)="","",INDEX('Per Invoice'!P$2:P$801,$W173)))</f>
        <v/>
      </c>
      <c r="Q173" s="7">
        <f>IF($W173="","",IF(INDEX('Per Invoice'!Q$2:Q$801,$W173)="","",INDEX('Per Invoice'!Q$2:Q$801,$W173)))</f>
        <v/>
      </c>
      <c r="R173" s="7">
        <f>IF($W173="","",IF(INDEX('Per Invoice'!R$2:R$801,$W173)="","",INDEX('Per Invoice'!R$2:R$801,$W173)))</f>
        <v/>
      </c>
      <c r="S173" s="7">
        <f>IF($W173="","",IF(INDEX('Per Invoice'!S$2:S$801,$W173)="","",INDEX('Per Invoice'!S$2:S$801,$W173)))</f>
        <v/>
      </c>
      <c r="T173" s="7">
        <f>IF($W173="","",IF(INDEX('Per Invoice'!T$2:T$801,$W173)="","",INDEX('Per Invoice'!T$2:T$801,$W173)))</f>
        <v/>
      </c>
      <c r="U173" s="7">
        <f>IF($W173="","",IF(INDEX('Per Invoice'!U$2:U$801,$W173)="","",INDEX('Per Invoice'!U$2:U$801,$W173)))</f>
        <v/>
      </c>
      <c r="V173" s="7">
        <f>IF($W173="","",IF(INDEX('Per Invoice'!V$2:V$801,$W173)="","",INDEX('Per Invoice'!V$2:V$801,$W173)))</f>
        <v/>
      </c>
      <c r="W173" s="16">
        <f>IFERROR(MATCH(Settings!$C$30&amp;"|"&amp;ROWS($W$2:$W173),'Per Invoice'!$X$2:$X$801,0),"")</f>
        <v/>
      </c>
    </row>
    <row r="174">
      <c r="A174">
        <f>IF($W174="","",IF(INDEX('Per Invoice'!A$2:A$801,$W174)="","",INDEX('Per Invoice'!A$2:A$801,$W174)))</f>
        <v/>
      </c>
      <c r="B174">
        <f>IF($W174="","",IF(INDEX('Per Invoice'!B$2:B$801,$W174)="","",INDEX('Per Invoice'!B$2:B$801,$W174)))</f>
        <v/>
      </c>
      <c r="C174">
        <f>IF($W174="","",IF(INDEX('Per Invoice'!C$2:C$801,$W174)="","",INDEX('Per Invoice'!C$2:C$801,$W174)))</f>
        <v/>
      </c>
      <c r="D174">
        <f>IF($W174="","",IF(INDEX('Per Invoice'!D$2:D$801,$W174)="","",INDEX('Per Invoice'!D$2:D$801,$W174)))</f>
        <v/>
      </c>
      <c r="E174">
        <f>IF($W174="","",IF(INDEX('Per Invoice'!E$2:E$801,$W174)="","",INDEX('Per Invoice'!E$2:E$801,$W174)))</f>
        <v/>
      </c>
      <c r="F174">
        <f>IF($W174="","",IF(INDEX('Per Invoice'!F$2:F$801,$W174)="","",INDEX('Per Invoice'!F$2:F$801,$W174)))</f>
        <v/>
      </c>
      <c r="G174">
        <f>IF($W174="","",IF(INDEX('Per Invoice'!G$2:G$801,$W174)="","",INDEX('Per Invoice'!G$2:G$801,$W174)))</f>
        <v/>
      </c>
      <c r="H174">
        <f>IF($W174="","",IF(INDEX('Per Invoice'!H$2:H$801,$W174)="","",INDEX('Per Invoice'!H$2:H$801,$W174)))</f>
        <v/>
      </c>
      <c r="I174">
        <f>IF($W174="","",IF(INDEX('Per Invoice'!I$2:I$801,$W174)="","",INDEX('Per Invoice'!I$2:I$801,$W174)))</f>
        <v/>
      </c>
      <c r="J174">
        <f>IF($W174="","",IF(INDEX('Per Invoice'!J$2:J$801,$W174)="","",INDEX('Per Invoice'!J$2:J$801,$W174)))</f>
        <v/>
      </c>
      <c r="K174" s="7">
        <f>IF($W174="","",IF(INDEX('Per Invoice'!K$2:K$801,$W174)="","",INDEX('Per Invoice'!K$2:K$801,$W174)))</f>
        <v/>
      </c>
      <c r="L174" s="14">
        <f>IF($W174="","",IF(INDEX('Per Invoice'!L$2:L$801,$W174)="","",INDEX('Per Invoice'!L$2:L$801,$W174)))</f>
        <v/>
      </c>
      <c r="M174">
        <f>IF($W174="","",IF(INDEX('Per Invoice'!M$2:M$801,$W174)="","",INDEX('Per Invoice'!M$2:M$801,$W174)))</f>
        <v/>
      </c>
      <c r="N174" s="7">
        <f>IF($W174="","",IF(INDEX('Per Invoice'!N$2:N$801,$W174)="","",INDEX('Per Invoice'!N$2:N$801,$W174)))</f>
        <v/>
      </c>
      <c r="O174" s="7">
        <f>IF($W174="","",IF(INDEX('Per Invoice'!O$2:O$801,$W174)="","",INDEX('Per Invoice'!O$2:O$801,$W174)))</f>
        <v/>
      </c>
      <c r="P174">
        <f>IF($W174="","",IF(INDEX('Per Invoice'!P$2:P$801,$W174)="","",INDEX('Per Invoice'!P$2:P$801,$W174)))</f>
        <v/>
      </c>
      <c r="Q174" s="7">
        <f>IF($W174="","",IF(INDEX('Per Invoice'!Q$2:Q$801,$W174)="","",INDEX('Per Invoice'!Q$2:Q$801,$W174)))</f>
        <v/>
      </c>
      <c r="R174" s="7">
        <f>IF($W174="","",IF(INDEX('Per Invoice'!R$2:R$801,$W174)="","",INDEX('Per Invoice'!R$2:R$801,$W174)))</f>
        <v/>
      </c>
      <c r="S174" s="7">
        <f>IF($W174="","",IF(INDEX('Per Invoice'!S$2:S$801,$W174)="","",INDEX('Per Invoice'!S$2:S$801,$W174)))</f>
        <v/>
      </c>
      <c r="T174" s="7">
        <f>IF($W174="","",IF(INDEX('Per Invoice'!T$2:T$801,$W174)="","",INDEX('Per Invoice'!T$2:T$801,$W174)))</f>
        <v/>
      </c>
      <c r="U174" s="7">
        <f>IF($W174="","",IF(INDEX('Per Invoice'!U$2:U$801,$W174)="","",INDEX('Per Invoice'!U$2:U$801,$W174)))</f>
        <v/>
      </c>
      <c r="V174" s="7">
        <f>IF($W174="","",IF(INDEX('Per Invoice'!V$2:V$801,$W174)="","",INDEX('Per Invoice'!V$2:V$801,$W174)))</f>
        <v/>
      </c>
      <c r="W174" s="16">
        <f>IFERROR(MATCH(Settings!$C$30&amp;"|"&amp;ROWS($W$2:$W174),'Per Invoice'!$X$2:$X$801,0),"")</f>
        <v/>
      </c>
    </row>
    <row r="175">
      <c r="A175">
        <f>IF($W175="","",IF(INDEX('Per Invoice'!A$2:A$801,$W175)="","",INDEX('Per Invoice'!A$2:A$801,$W175)))</f>
        <v/>
      </c>
      <c r="B175">
        <f>IF($W175="","",IF(INDEX('Per Invoice'!B$2:B$801,$W175)="","",INDEX('Per Invoice'!B$2:B$801,$W175)))</f>
        <v/>
      </c>
      <c r="C175">
        <f>IF($W175="","",IF(INDEX('Per Invoice'!C$2:C$801,$W175)="","",INDEX('Per Invoice'!C$2:C$801,$W175)))</f>
        <v/>
      </c>
      <c r="D175">
        <f>IF($W175="","",IF(INDEX('Per Invoice'!D$2:D$801,$W175)="","",INDEX('Per Invoice'!D$2:D$801,$W175)))</f>
        <v/>
      </c>
      <c r="E175">
        <f>IF($W175="","",IF(INDEX('Per Invoice'!E$2:E$801,$W175)="","",INDEX('Per Invoice'!E$2:E$801,$W175)))</f>
        <v/>
      </c>
      <c r="F175">
        <f>IF($W175="","",IF(INDEX('Per Invoice'!F$2:F$801,$W175)="","",INDEX('Per Invoice'!F$2:F$801,$W175)))</f>
        <v/>
      </c>
      <c r="G175">
        <f>IF($W175="","",IF(INDEX('Per Invoice'!G$2:G$801,$W175)="","",INDEX('Per Invoice'!G$2:G$801,$W175)))</f>
        <v/>
      </c>
      <c r="H175">
        <f>IF($W175="","",IF(INDEX('Per Invoice'!H$2:H$801,$W175)="","",INDEX('Per Invoice'!H$2:H$801,$W175)))</f>
        <v/>
      </c>
      <c r="I175">
        <f>IF($W175="","",IF(INDEX('Per Invoice'!I$2:I$801,$W175)="","",INDEX('Per Invoice'!I$2:I$801,$W175)))</f>
        <v/>
      </c>
      <c r="J175">
        <f>IF($W175="","",IF(INDEX('Per Invoice'!J$2:J$801,$W175)="","",INDEX('Per Invoice'!J$2:J$801,$W175)))</f>
        <v/>
      </c>
      <c r="K175" s="7">
        <f>IF($W175="","",IF(INDEX('Per Invoice'!K$2:K$801,$W175)="","",INDEX('Per Invoice'!K$2:K$801,$W175)))</f>
        <v/>
      </c>
      <c r="L175" s="14">
        <f>IF($W175="","",IF(INDEX('Per Invoice'!L$2:L$801,$W175)="","",INDEX('Per Invoice'!L$2:L$801,$W175)))</f>
        <v/>
      </c>
      <c r="M175">
        <f>IF($W175="","",IF(INDEX('Per Invoice'!M$2:M$801,$W175)="","",INDEX('Per Invoice'!M$2:M$801,$W175)))</f>
        <v/>
      </c>
      <c r="N175" s="7">
        <f>IF($W175="","",IF(INDEX('Per Invoice'!N$2:N$801,$W175)="","",INDEX('Per Invoice'!N$2:N$801,$W175)))</f>
        <v/>
      </c>
      <c r="O175" s="7">
        <f>IF($W175="","",IF(INDEX('Per Invoice'!O$2:O$801,$W175)="","",INDEX('Per Invoice'!O$2:O$801,$W175)))</f>
        <v/>
      </c>
      <c r="P175">
        <f>IF($W175="","",IF(INDEX('Per Invoice'!P$2:P$801,$W175)="","",INDEX('Per Invoice'!P$2:P$801,$W175)))</f>
        <v/>
      </c>
      <c r="Q175" s="7">
        <f>IF($W175="","",IF(INDEX('Per Invoice'!Q$2:Q$801,$W175)="","",INDEX('Per Invoice'!Q$2:Q$801,$W175)))</f>
        <v/>
      </c>
      <c r="R175" s="7">
        <f>IF($W175="","",IF(INDEX('Per Invoice'!R$2:R$801,$W175)="","",INDEX('Per Invoice'!R$2:R$801,$W175)))</f>
        <v/>
      </c>
      <c r="S175" s="7">
        <f>IF($W175="","",IF(INDEX('Per Invoice'!S$2:S$801,$W175)="","",INDEX('Per Invoice'!S$2:S$801,$W175)))</f>
        <v/>
      </c>
      <c r="T175" s="7">
        <f>IF($W175="","",IF(INDEX('Per Invoice'!T$2:T$801,$W175)="","",INDEX('Per Invoice'!T$2:T$801,$W175)))</f>
        <v/>
      </c>
      <c r="U175" s="7">
        <f>IF($W175="","",IF(INDEX('Per Invoice'!U$2:U$801,$W175)="","",INDEX('Per Invoice'!U$2:U$801,$W175)))</f>
        <v/>
      </c>
      <c r="V175" s="7">
        <f>IF($W175="","",IF(INDEX('Per Invoice'!V$2:V$801,$W175)="","",INDEX('Per Invoice'!V$2:V$801,$W175)))</f>
        <v/>
      </c>
      <c r="W175" s="16">
        <f>IFERROR(MATCH(Settings!$C$30&amp;"|"&amp;ROWS($W$2:$W175),'Per Invoice'!$X$2:$X$801,0),"")</f>
        <v/>
      </c>
    </row>
    <row r="176">
      <c r="A176">
        <f>IF($W176="","",IF(INDEX('Per Invoice'!A$2:A$801,$W176)="","",INDEX('Per Invoice'!A$2:A$801,$W176)))</f>
        <v/>
      </c>
      <c r="B176">
        <f>IF($W176="","",IF(INDEX('Per Invoice'!B$2:B$801,$W176)="","",INDEX('Per Invoice'!B$2:B$801,$W176)))</f>
        <v/>
      </c>
      <c r="C176">
        <f>IF($W176="","",IF(INDEX('Per Invoice'!C$2:C$801,$W176)="","",INDEX('Per Invoice'!C$2:C$801,$W176)))</f>
        <v/>
      </c>
      <c r="D176">
        <f>IF($W176="","",IF(INDEX('Per Invoice'!D$2:D$801,$W176)="","",INDEX('Per Invoice'!D$2:D$801,$W176)))</f>
        <v/>
      </c>
      <c r="E176">
        <f>IF($W176="","",IF(INDEX('Per Invoice'!E$2:E$801,$W176)="","",INDEX('Per Invoice'!E$2:E$801,$W176)))</f>
        <v/>
      </c>
      <c r="F176">
        <f>IF($W176="","",IF(INDEX('Per Invoice'!F$2:F$801,$W176)="","",INDEX('Per Invoice'!F$2:F$801,$W176)))</f>
        <v/>
      </c>
      <c r="G176">
        <f>IF($W176="","",IF(INDEX('Per Invoice'!G$2:G$801,$W176)="","",INDEX('Per Invoice'!G$2:G$801,$W176)))</f>
        <v/>
      </c>
      <c r="H176">
        <f>IF($W176="","",IF(INDEX('Per Invoice'!H$2:H$801,$W176)="","",INDEX('Per Invoice'!H$2:H$801,$W176)))</f>
        <v/>
      </c>
      <c r="I176">
        <f>IF($W176="","",IF(INDEX('Per Invoice'!I$2:I$801,$W176)="","",INDEX('Per Invoice'!I$2:I$801,$W176)))</f>
        <v/>
      </c>
      <c r="J176">
        <f>IF($W176="","",IF(INDEX('Per Invoice'!J$2:J$801,$W176)="","",INDEX('Per Invoice'!J$2:J$801,$W176)))</f>
        <v/>
      </c>
      <c r="K176" s="7">
        <f>IF($W176="","",IF(INDEX('Per Invoice'!K$2:K$801,$W176)="","",INDEX('Per Invoice'!K$2:K$801,$W176)))</f>
        <v/>
      </c>
      <c r="L176" s="14">
        <f>IF($W176="","",IF(INDEX('Per Invoice'!L$2:L$801,$W176)="","",INDEX('Per Invoice'!L$2:L$801,$W176)))</f>
        <v/>
      </c>
      <c r="M176">
        <f>IF($W176="","",IF(INDEX('Per Invoice'!M$2:M$801,$W176)="","",INDEX('Per Invoice'!M$2:M$801,$W176)))</f>
        <v/>
      </c>
      <c r="N176" s="7">
        <f>IF($W176="","",IF(INDEX('Per Invoice'!N$2:N$801,$W176)="","",INDEX('Per Invoice'!N$2:N$801,$W176)))</f>
        <v/>
      </c>
      <c r="O176" s="7">
        <f>IF($W176="","",IF(INDEX('Per Invoice'!O$2:O$801,$W176)="","",INDEX('Per Invoice'!O$2:O$801,$W176)))</f>
        <v/>
      </c>
      <c r="P176">
        <f>IF($W176="","",IF(INDEX('Per Invoice'!P$2:P$801,$W176)="","",INDEX('Per Invoice'!P$2:P$801,$W176)))</f>
        <v/>
      </c>
      <c r="Q176" s="7">
        <f>IF($W176="","",IF(INDEX('Per Invoice'!Q$2:Q$801,$W176)="","",INDEX('Per Invoice'!Q$2:Q$801,$W176)))</f>
        <v/>
      </c>
      <c r="R176" s="7">
        <f>IF($W176="","",IF(INDEX('Per Invoice'!R$2:R$801,$W176)="","",INDEX('Per Invoice'!R$2:R$801,$W176)))</f>
        <v/>
      </c>
      <c r="S176" s="7">
        <f>IF($W176="","",IF(INDEX('Per Invoice'!S$2:S$801,$W176)="","",INDEX('Per Invoice'!S$2:S$801,$W176)))</f>
        <v/>
      </c>
      <c r="T176" s="7">
        <f>IF($W176="","",IF(INDEX('Per Invoice'!T$2:T$801,$W176)="","",INDEX('Per Invoice'!T$2:T$801,$W176)))</f>
        <v/>
      </c>
      <c r="U176" s="7">
        <f>IF($W176="","",IF(INDEX('Per Invoice'!U$2:U$801,$W176)="","",INDEX('Per Invoice'!U$2:U$801,$W176)))</f>
        <v/>
      </c>
      <c r="V176" s="7">
        <f>IF($W176="","",IF(INDEX('Per Invoice'!V$2:V$801,$W176)="","",INDEX('Per Invoice'!V$2:V$801,$W176)))</f>
        <v/>
      </c>
      <c r="W176" s="16">
        <f>IFERROR(MATCH(Settings!$C$30&amp;"|"&amp;ROWS($W$2:$W176),'Per Invoice'!$X$2:$X$801,0),"")</f>
        <v/>
      </c>
    </row>
    <row r="177">
      <c r="A177">
        <f>IF($W177="","",IF(INDEX('Per Invoice'!A$2:A$801,$W177)="","",INDEX('Per Invoice'!A$2:A$801,$W177)))</f>
        <v/>
      </c>
      <c r="B177">
        <f>IF($W177="","",IF(INDEX('Per Invoice'!B$2:B$801,$W177)="","",INDEX('Per Invoice'!B$2:B$801,$W177)))</f>
        <v/>
      </c>
      <c r="C177">
        <f>IF($W177="","",IF(INDEX('Per Invoice'!C$2:C$801,$W177)="","",INDEX('Per Invoice'!C$2:C$801,$W177)))</f>
        <v/>
      </c>
      <c r="D177">
        <f>IF($W177="","",IF(INDEX('Per Invoice'!D$2:D$801,$W177)="","",INDEX('Per Invoice'!D$2:D$801,$W177)))</f>
        <v/>
      </c>
      <c r="E177">
        <f>IF($W177="","",IF(INDEX('Per Invoice'!E$2:E$801,$W177)="","",INDEX('Per Invoice'!E$2:E$801,$W177)))</f>
        <v/>
      </c>
      <c r="F177">
        <f>IF($W177="","",IF(INDEX('Per Invoice'!F$2:F$801,$W177)="","",INDEX('Per Invoice'!F$2:F$801,$W177)))</f>
        <v/>
      </c>
      <c r="G177">
        <f>IF($W177="","",IF(INDEX('Per Invoice'!G$2:G$801,$W177)="","",INDEX('Per Invoice'!G$2:G$801,$W177)))</f>
        <v/>
      </c>
      <c r="H177">
        <f>IF($W177="","",IF(INDEX('Per Invoice'!H$2:H$801,$W177)="","",INDEX('Per Invoice'!H$2:H$801,$W177)))</f>
        <v/>
      </c>
      <c r="I177">
        <f>IF($W177="","",IF(INDEX('Per Invoice'!I$2:I$801,$W177)="","",INDEX('Per Invoice'!I$2:I$801,$W177)))</f>
        <v/>
      </c>
      <c r="J177">
        <f>IF($W177="","",IF(INDEX('Per Invoice'!J$2:J$801,$W177)="","",INDEX('Per Invoice'!J$2:J$801,$W177)))</f>
        <v/>
      </c>
      <c r="K177" s="7">
        <f>IF($W177="","",IF(INDEX('Per Invoice'!K$2:K$801,$W177)="","",INDEX('Per Invoice'!K$2:K$801,$W177)))</f>
        <v/>
      </c>
      <c r="L177" s="14">
        <f>IF($W177="","",IF(INDEX('Per Invoice'!L$2:L$801,$W177)="","",INDEX('Per Invoice'!L$2:L$801,$W177)))</f>
        <v/>
      </c>
      <c r="M177">
        <f>IF($W177="","",IF(INDEX('Per Invoice'!M$2:M$801,$W177)="","",INDEX('Per Invoice'!M$2:M$801,$W177)))</f>
        <v/>
      </c>
      <c r="N177" s="7">
        <f>IF($W177="","",IF(INDEX('Per Invoice'!N$2:N$801,$W177)="","",INDEX('Per Invoice'!N$2:N$801,$W177)))</f>
        <v/>
      </c>
      <c r="O177" s="7">
        <f>IF($W177="","",IF(INDEX('Per Invoice'!O$2:O$801,$W177)="","",INDEX('Per Invoice'!O$2:O$801,$W177)))</f>
        <v/>
      </c>
      <c r="P177">
        <f>IF($W177="","",IF(INDEX('Per Invoice'!P$2:P$801,$W177)="","",INDEX('Per Invoice'!P$2:P$801,$W177)))</f>
        <v/>
      </c>
      <c r="Q177" s="7">
        <f>IF($W177="","",IF(INDEX('Per Invoice'!Q$2:Q$801,$W177)="","",INDEX('Per Invoice'!Q$2:Q$801,$W177)))</f>
        <v/>
      </c>
      <c r="R177" s="7">
        <f>IF($W177="","",IF(INDEX('Per Invoice'!R$2:R$801,$W177)="","",INDEX('Per Invoice'!R$2:R$801,$W177)))</f>
        <v/>
      </c>
      <c r="S177" s="7">
        <f>IF($W177="","",IF(INDEX('Per Invoice'!S$2:S$801,$W177)="","",INDEX('Per Invoice'!S$2:S$801,$W177)))</f>
        <v/>
      </c>
      <c r="T177" s="7">
        <f>IF($W177="","",IF(INDEX('Per Invoice'!T$2:T$801,$W177)="","",INDEX('Per Invoice'!T$2:T$801,$W177)))</f>
        <v/>
      </c>
      <c r="U177" s="7">
        <f>IF($W177="","",IF(INDEX('Per Invoice'!U$2:U$801,$W177)="","",INDEX('Per Invoice'!U$2:U$801,$W177)))</f>
        <v/>
      </c>
      <c r="V177" s="7">
        <f>IF($W177="","",IF(INDEX('Per Invoice'!V$2:V$801,$W177)="","",INDEX('Per Invoice'!V$2:V$801,$W177)))</f>
        <v/>
      </c>
      <c r="W177" s="16">
        <f>IFERROR(MATCH(Settings!$C$30&amp;"|"&amp;ROWS($W$2:$W177),'Per Invoice'!$X$2:$X$801,0),"")</f>
        <v/>
      </c>
    </row>
    <row r="178">
      <c r="A178">
        <f>IF($W178="","",IF(INDEX('Per Invoice'!A$2:A$801,$W178)="","",INDEX('Per Invoice'!A$2:A$801,$W178)))</f>
        <v/>
      </c>
      <c r="B178">
        <f>IF($W178="","",IF(INDEX('Per Invoice'!B$2:B$801,$W178)="","",INDEX('Per Invoice'!B$2:B$801,$W178)))</f>
        <v/>
      </c>
      <c r="C178">
        <f>IF($W178="","",IF(INDEX('Per Invoice'!C$2:C$801,$W178)="","",INDEX('Per Invoice'!C$2:C$801,$W178)))</f>
        <v/>
      </c>
      <c r="D178">
        <f>IF($W178="","",IF(INDEX('Per Invoice'!D$2:D$801,$W178)="","",INDEX('Per Invoice'!D$2:D$801,$W178)))</f>
        <v/>
      </c>
      <c r="E178">
        <f>IF($W178="","",IF(INDEX('Per Invoice'!E$2:E$801,$W178)="","",INDEX('Per Invoice'!E$2:E$801,$W178)))</f>
        <v/>
      </c>
      <c r="F178">
        <f>IF($W178="","",IF(INDEX('Per Invoice'!F$2:F$801,$W178)="","",INDEX('Per Invoice'!F$2:F$801,$W178)))</f>
        <v/>
      </c>
      <c r="G178">
        <f>IF($W178="","",IF(INDEX('Per Invoice'!G$2:G$801,$W178)="","",INDEX('Per Invoice'!G$2:G$801,$W178)))</f>
        <v/>
      </c>
      <c r="H178">
        <f>IF($W178="","",IF(INDEX('Per Invoice'!H$2:H$801,$W178)="","",INDEX('Per Invoice'!H$2:H$801,$W178)))</f>
        <v/>
      </c>
      <c r="I178">
        <f>IF($W178="","",IF(INDEX('Per Invoice'!I$2:I$801,$W178)="","",INDEX('Per Invoice'!I$2:I$801,$W178)))</f>
        <v/>
      </c>
      <c r="J178">
        <f>IF($W178="","",IF(INDEX('Per Invoice'!J$2:J$801,$W178)="","",INDEX('Per Invoice'!J$2:J$801,$W178)))</f>
        <v/>
      </c>
      <c r="K178" s="7">
        <f>IF($W178="","",IF(INDEX('Per Invoice'!K$2:K$801,$W178)="","",INDEX('Per Invoice'!K$2:K$801,$W178)))</f>
        <v/>
      </c>
      <c r="L178" s="14">
        <f>IF($W178="","",IF(INDEX('Per Invoice'!L$2:L$801,$W178)="","",INDEX('Per Invoice'!L$2:L$801,$W178)))</f>
        <v/>
      </c>
      <c r="M178">
        <f>IF($W178="","",IF(INDEX('Per Invoice'!M$2:M$801,$W178)="","",INDEX('Per Invoice'!M$2:M$801,$W178)))</f>
        <v/>
      </c>
      <c r="N178" s="7">
        <f>IF($W178="","",IF(INDEX('Per Invoice'!N$2:N$801,$W178)="","",INDEX('Per Invoice'!N$2:N$801,$W178)))</f>
        <v/>
      </c>
      <c r="O178" s="7">
        <f>IF($W178="","",IF(INDEX('Per Invoice'!O$2:O$801,$W178)="","",INDEX('Per Invoice'!O$2:O$801,$W178)))</f>
        <v/>
      </c>
      <c r="P178">
        <f>IF($W178="","",IF(INDEX('Per Invoice'!P$2:P$801,$W178)="","",INDEX('Per Invoice'!P$2:P$801,$W178)))</f>
        <v/>
      </c>
      <c r="Q178" s="7">
        <f>IF($W178="","",IF(INDEX('Per Invoice'!Q$2:Q$801,$W178)="","",INDEX('Per Invoice'!Q$2:Q$801,$W178)))</f>
        <v/>
      </c>
      <c r="R178" s="7">
        <f>IF($W178="","",IF(INDEX('Per Invoice'!R$2:R$801,$W178)="","",INDEX('Per Invoice'!R$2:R$801,$W178)))</f>
        <v/>
      </c>
      <c r="S178" s="7">
        <f>IF($W178="","",IF(INDEX('Per Invoice'!S$2:S$801,$W178)="","",INDEX('Per Invoice'!S$2:S$801,$W178)))</f>
        <v/>
      </c>
      <c r="T178" s="7">
        <f>IF($W178="","",IF(INDEX('Per Invoice'!T$2:T$801,$W178)="","",INDEX('Per Invoice'!T$2:T$801,$W178)))</f>
        <v/>
      </c>
      <c r="U178" s="7">
        <f>IF($W178="","",IF(INDEX('Per Invoice'!U$2:U$801,$W178)="","",INDEX('Per Invoice'!U$2:U$801,$W178)))</f>
        <v/>
      </c>
      <c r="V178" s="7">
        <f>IF($W178="","",IF(INDEX('Per Invoice'!V$2:V$801,$W178)="","",INDEX('Per Invoice'!V$2:V$801,$W178)))</f>
        <v/>
      </c>
      <c r="W178" s="16">
        <f>IFERROR(MATCH(Settings!$C$30&amp;"|"&amp;ROWS($W$2:$W178),'Per Invoice'!$X$2:$X$801,0),"")</f>
        <v/>
      </c>
    </row>
    <row r="179">
      <c r="A179">
        <f>IF($W179="","",IF(INDEX('Per Invoice'!A$2:A$801,$W179)="","",INDEX('Per Invoice'!A$2:A$801,$W179)))</f>
        <v/>
      </c>
      <c r="B179">
        <f>IF($W179="","",IF(INDEX('Per Invoice'!B$2:B$801,$W179)="","",INDEX('Per Invoice'!B$2:B$801,$W179)))</f>
        <v/>
      </c>
      <c r="C179">
        <f>IF($W179="","",IF(INDEX('Per Invoice'!C$2:C$801,$W179)="","",INDEX('Per Invoice'!C$2:C$801,$W179)))</f>
        <v/>
      </c>
      <c r="D179">
        <f>IF($W179="","",IF(INDEX('Per Invoice'!D$2:D$801,$W179)="","",INDEX('Per Invoice'!D$2:D$801,$W179)))</f>
        <v/>
      </c>
      <c r="E179">
        <f>IF($W179="","",IF(INDEX('Per Invoice'!E$2:E$801,$W179)="","",INDEX('Per Invoice'!E$2:E$801,$W179)))</f>
        <v/>
      </c>
      <c r="F179">
        <f>IF($W179="","",IF(INDEX('Per Invoice'!F$2:F$801,$W179)="","",INDEX('Per Invoice'!F$2:F$801,$W179)))</f>
        <v/>
      </c>
      <c r="G179">
        <f>IF($W179="","",IF(INDEX('Per Invoice'!G$2:G$801,$W179)="","",INDEX('Per Invoice'!G$2:G$801,$W179)))</f>
        <v/>
      </c>
      <c r="H179">
        <f>IF($W179="","",IF(INDEX('Per Invoice'!H$2:H$801,$W179)="","",INDEX('Per Invoice'!H$2:H$801,$W179)))</f>
        <v/>
      </c>
      <c r="I179">
        <f>IF($W179="","",IF(INDEX('Per Invoice'!I$2:I$801,$W179)="","",INDEX('Per Invoice'!I$2:I$801,$W179)))</f>
        <v/>
      </c>
      <c r="J179">
        <f>IF($W179="","",IF(INDEX('Per Invoice'!J$2:J$801,$W179)="","",INDEX('Per Invoice'!J$2:J$801,$W179)))</f>
        <v/>
      </c>
      <c r="K179" s="7">
        <f>IF($W179="","",IF(INDEX('Per Invoice'!K$2:K$801,$W179)="","",INDEX('Per Invoice'!K$2:K$801,$W179)))</f>
        <v/>
      </c>
      <c r="L179" s="14">
        <f>IF($W179="","",IF(INDEX('Per Invoice'!L$2:L$801,$W179)="","",INDEX('Per Invoice'!L$2:L$801,$W179)))</f>
        <v/>
      </c>
      <c r="M179">
        <f>IF($W179="","",IF(INDEX('Per Invoice'!M$2:M$801,$W179)="","",INDEX('Per Invoice'!M$2:M$801,$W179)))</f>
        <v/>
      </c>
      <c r="N179" s="7">
        <f>IF($W179="","",IF(INDEX('Per Invoice'!N$2:N$801,$W179)="","",INDEX('Per Invoice'!N$2:N$801,$W179)))</f>
        <v/>
      </c>
      <c r="O179" s="7">
        <f>IF($W179="","",IF(INDEX('Per Invoice'!O$2:O$801,$W179)="","",INDEX('Per Invoice'!O$2:O$801,$W179)))</f>
        <v/>
      </c>
      <c r="P179">
        <f>IF($W179="","",IF(INDEX('Per Invoice'!P$2:P$801,$W179)="","",INDEX('Per Invoice'!P$2:P$801,$W179)))</f>
        <v/>
      </c>
      <c r="Q179" s="7">
        <f>IF($W179="","",IF(INDEX('Per Invoice'!Q$2:Q$801,$W179)="","",INDEX('Per Invoice'!Q$2:Q$801,$W179)))</f>
        <v/>
      </c>
      <c r="R179" s="7">
        <f>IF($W179="","",IF(INDEX('Per Invoice'!R$2:R$801,$W179)="","",INDEX('Per Invoice'!R$2:R$801,$W179)))</f>
        <v/>
      </c>
      <c r="S179" s="7">
        <f>IF($W179="","",IF(INDEX('Per Invoice'!S$2:S$801,$W179)="","",INDEX('Per Invoice'!S$2:S$801,$W179)))</f>
        <v/>
      </c>
      <c r="T179" s="7">
        <f>IF($W179="","",IF(INDEX('Per Invoice'!T$2:T$801,$W179)="","",INDEX('Per Invoice'!T$2:T$801,$W179)))</f>
        <v/>
      </c>
      <c r="U179" s="7">
        <f>IF($W179="","",IF(INDEX('Per Invoice'!U$2:U$801,$W179)="","",INDEX('Per Invoice'!U$2:U$801,$W179)))</f>
        <v/>
      </c>
      <c r="V179" s="7">
        <f>IF($W179="","",IF(INDEX('Per Invoice'!V$2:V$801,$W179)="","",INDEX('Per Invoice'!V$2:V$801,$W179)))</f>
        <v/>
      </c>
      <c r="W179" s="16">
        <f>IFERROR(MATCH(Settings!$C$30&amp;"|"&amp;ROWS($W$2:$W179),'Per Invoice'!$X$2:$X$801,0),"")</f>
        <v/>
      </c>
    </row>
    <row r="180">
      <c r="A180">
        <f>IF($W180="","",IF(INDEX('Per Invoice'!A$2:A$801,$W180)="","",INDEX('Per Invoice'!A$2:A$801,$W180)))</f>
        <v/>
      </c>
      <c r="B180">
        <f>IF($W180="","",IF(INDEX('Per Invoice'!B$2:B$801,$W180)="","",INDEX('Per Invoice'!B$2:B$801,$W180)))</f>
        <v/>
      </c>
      <c r="C180">
        <f>IF($W180="","",IF(INDEX('Per Invoice'!C$2:C$801,$W180)="","",INDEX('Per Invoice'!C$2:C$801,$W180)))</f>
        <v/>
      </c>
      <c r="D180">
        <f>IF($W180="","",IF(INDEX('Per Invoice'!D$2:D$801,$W180)="","",INDEX('Per Invoice'!D$2:D$801,$W180)))</f>
        <v/>
      </c>
      <c r="E180">
        <f>IF($W180="","",IF(INDEX('Per Invoice'!E$2:E$801,$W180)="","",INDEX('Per Invoice'!E$2:E$801,$W180)))</f>
        <v/>
      </c>
      <c r="F180">
        <f>IF($W180="","",IF(INDEX('Per Invoice'!F$2:F$801,$W180)="","",INDEX('Per Invoice'!F$2:F$801,$W180)))</f>
        <v/>
      </c>
      <c r="G180">
        <f>IF($W180="","",IF(INDEX('Per Invoice'!G$2:G$801,$W180)="","",INDEX('Per Invoice'!G$2:G$801,$W180)))</f>
        <v/>
      </c>
      <c r="H180">
        <f>IF($W180="","",IF(INDEX('Per Invoice'!H$2:H$801,$W180)="","",INDEX('Per Invoice'!H$2:H$801,$W180)))</f>
        <v/>
      </c>
      <c r="I180">
        <f>IF($W180="","",IF(INDEX('Per Invoice'!I$2:I$801,$W180)="","",INDEX('Per Invoice'!I$2:I$801,$W180)))</f>
        <v/>
      </c>
      <c r="J180">
        <f>IF($W180="","",IF(INDEX('Per Invoice'!J$2:J$801,$W180)="","",INDEX('Per Invoice'!J$2:J$801,$W180)))</f>
        <v/>
      </c>
      <c r="K180" s="7">
        <f>IF($W180="","",IF(INDEX('Per Invoice'!K$2:K$801,$W180)="","",INDEX('Per Invoice'!K$2:K$801,$W180)))</f>
        <v/>
      </c>
      <c r="L180" s="14">
        <f>IF($W180="","",IF(INDEX('Per Invoice'!L$2:L$801,$W180)="","",INDEX('Per Invoice'!L$2:L$801,$W180)))</f>
        <v/>
      </c>
      <c r="M180">
        <f>IF($W180="","",IF(INDEX('Per Invoice'!M$2:M$801,$W180)="","",INDEX('Per Invoice'!M$2:M$801,$W180)))</f>
        <v/>
      </c>
      <c r="N180" s="7">
        <f>IF($W180="","",IF(INDEX('Per Invoice'!N$2:N$801,$W180)="","",INDEX('Per Invoice'!N$2:N$801,$W180)))</f>
        <v/>
      </c>
      <c r="O180" s="7">
        <f>IF($W180="","",IF(INDEX('Per Invoice'!O$2:O$801,$W180)="","",INDEX('Per Invoice'!O$2:O$801,$W180)))</f>
        <v/>
      </c>
      <c r="P180">
        <f>IF($W180="","",IF(INDEX('Per Invoice'!P$2:P$801,$W180)="","",INDEX('Per Invoice'!P$2:P$801,$W180)))</f>
        <v/>
      </c>
      <c r="Q180" s="7">
        <f>IF($W180="","",IF(INDEX('Per Invoice'!Q$2:Q$801,$W180)="","",INDEX('Per Invoice'!Q$2:Q$801,$W180)))</f>
        <v/>
      </c>
      <c r="R180" s="7">
        <f>IF($W180="","",IF(INDEX('Per Invoice'!R$2:R$801,$W180)="","",INDEX('Per Invoice'!R$2:R$801,$W180)))</f>
        <v/>
      </c>
      <c r="S180" s="7">
        <f>IF($W180="","",IF(INDEX('Per Invoice'!S$2:S$801,$W180)="","",INDEX('Per Invoice'!S$2:S$801,$W180)))</f>
        <v/>
      </c>
      <c r="T180" s="7">
        <f>IF($W180="","",IF(INDEX('Per Invoice'!T$2:T$801,$W180)="","",INDEX('Per Invoice'!T$2:T$801,$W180)))</f>
        <v/>
      </c>
      <c r="U180" s="7">
        <f>IF($W180="","",IF(INDEX('Per Invoice'!U$2:U$801,$W180)="","",INDEX('Per Invoice'!U$2:U$801,$W180)))</f>
        <v/>
      </c>
      <c r="V180" s="7">
        <f>IF($W180="","",IF(INDEX('Per Invoice'!V$2:V$801,$W180)="","",INDEX('Per Invoice'!V$2:V$801,$W180)))</f>
        <v/>
      </c>
      <c r="W180" s="16">
        <f>IFERROR(MATCH(Settings!$C$30&amp;"|"&amp;ROWS($W$2:$W180),'Per Invoice'!$X$2:$X$801,0),"")</f>
        <v/>
      </c>
    </row>
    <row r="181">
      <c r="A181">
        <f>IF($W181="","",IF(INDEX('Per Invoice'!A$2:A$801,$W181)="","",INDEX('Per Invoice'!A$2:A$801,$W181)))</f>
        <v/>
      </c>
      <c r="B181">
        <f>IF($W181="","",IF(INDEX('Per Invoice'!B$2:B$801,$W181)="","",INDEX('Per Invoice'!B$2:B$801,$W181)))</f>
        <v/>
      </c>
      <c r="C181">
        <f>IF($W181="","",IF(INDEX('Per Invoice'!C$2:C$801,$W181)="","",INDEX('Per Invoice'!C$2:C$801,$W181)))</f>
        <v/>
      </c>
      <c r="D181">
        <f>IF($W181="","",IF(INDEX('Per Invoice'!D$2:D$801,$W181)="","",INDEX('Per Invoice'!D$2:D$801,$W181)))</f>
        <v/>
      </c>
      <c r="E181">
        <f>IF($W181="","",IF(INDEX('Per Invoice'!E$2:E$801,$W181)="","",INDEX('Per Invoice'!E$2:E$801,$W181)))</f>
        <v/>
      </c>
      <c r="F181">
        <f>IF($W181="","",IF(INDEX('Per Invoice'!F$2:F$801,$W181)="","",INDEX('Per Invoice'!F$2:F$801,$W181)))</f>
        <v/>
      </c>
      <c r="G181">
        <f>IF($W181="","",IF(INDEX('Per Invoice'!G$2:G$801,$W181)="","",INDEX('Per Invoice'!G$2:G$801,$W181)))</f>
        <v/>
      </c>
      <c r="H181">
        <f>IF($W181="","",IF(INDEX('Per Invoice'!H$2:H$801,$W181)="","",INDEX('Per Invoice'!H$2:H$801,$W181)))</f>
        <v/>
      </c>
      <c r="I181">
        <f>IF($W181="","",IF(INDEX('Per Invoice'!I$2:I$801,$W181)="","",INDEX('Per Invoice'!I$2:I$801,$W181)))</f>
        <v/>
      </c>
      <c r="J181">
        <f>IF($W181="","",IF(INDEX('Per Invoice'!J$2:J$801,$W181)="","",INDEX('Per Invoice'!J$2:J$801,$W181)))</f>
        <v/>
      </c>
      <c r="K181" s="7">
        <f>IF($W181="","",IF(INDEX('Per Invoice'!K$2:K$801,$W181)="","",INDEX('Per Invoice'!K$2:K$801,$W181)))</f>
        <v/>
      </c>
      <c r="L181" s="14">
        <f>IF($W181="","",IF(INDEX('Per Invoice'!L$2:L$801,$W181)="","",INDEX('Per Invoice'!L$2:L$801,$W181)))</f>
        <v/>
      </c>
      <c r="M181">
        <f>IF($W181="","",IF(INDEX('Per Invoice'!M$2:M$801,$W181)="","",INDEX('Per Invoice'!M$2:M$801,$W181)))</f>
        <v/>
      </c>
      <c r="N181" s="7">
        <f>IF($W181="","",IF(INDEX('Per Invoice'!N$2:N$801,$W181)="","",INDEX('Per Invoice'!N$2:N$801,$W181)))</f>
        <v/>
      </c>
      <c r="O181" s="7">
        <f>IF($W181="","",IF(INDEX('Per Invoice'!O$2:O$801,$W181)="","",INDEX('Per Invoice'!O$2:O$801,$W181)))</f>
        <v/>
      </c>
      <c r="P181">
        <f>IF($W181="","",IF(INDEX('Per Invoice'!P$2:P$801,$W181)="","",INDEX('Per Invoice'!P$2:P$801,$W181)))</f>
        <v/>
      </c>
      <c r="Q181" s="7">
        <f>IF($W181="","",IF(INDEX('Per Invoice'!Q$2:Q$801,$W181)="","",INDEX('Per Invoice'!Q$2:Q$801,$W181)))</f>
        <v/>
      </c>
      <c r="R181" s="7">
        <f>IF($W181="","",IF(INDEX('Per Invoice'!R$2:R$801,$W181)="","",INDEX('Per Invoice'!R$2:R$801,$W181)))</f>
        <v/>
      </c>
      <c r="S181" s="7">
        <f>IF($W181="","",IF(INDEX('Per Invoice'!S$2:S$801,$W181)="","",INDEX('Per Invoice'!S$2:S$801,$W181)))</f>
        <v/>
      </c>
      <c r="T181" s="7">
        <f>IF($W181="","",IF(INDEX('Per Invoice'!T$2:T$801,$W181)="","",INDEX('Per Invoice'!T$2:T$801,$W181)))</f>
        <v/>
      </c>
      <c r="U181" s="7">
        <f>IF($W181="","",IF(INDEX('Per Invoice'!U$2:U$801,$W181)="","",INDEX('Per Invoice'!U$2:U$801,$W181)))</f>
        <v/>
      </c>
      <c r="V181" s="7">
        <f>IF($W181="","",IF(INDEX('Per Invoice'!V$2:V$801,$W181)="","",INDEX('Per Invoice'!V$2:V$801,$W181)))</f>
        <v/>
      </c>
      <c r="W181" s="16">
        <f>IFERROR(MATCH(Settings!$C$30&amp;"|"&amp;ROWS($W$2:$W181),'Per Invoice'!$X$2:$X$801,0),"")</f>
        <v/>
      </c>
    </row>
    <row r="182">
      <c r="A182">
        <f>IF($W182="","",IF(INDEX('Per Invoice'!A$2:A$801,$W182)="","",INDEX('Per Invoice'!A$2:A$801,$W182)))</f>
        <v/>
      </c>
      <c r="B182">
        <f>IF($W182="","",IF(INDEX('Per Invoice'!B$2:B$801,$W182)="","",INDEX('Per Invoice'!B$2:B$801,$W182)))</f>
        <v/>
      </c>
      <c r="C182">
        <f>IF($W182="","",IF(INDEX('Per Invoice'!C$2:C$801,$W182)="","",INDEX('Per Invoice'!C$2:C$801,$W182)))</f>
        <v/>
      </c>
      <c r="D182">
        <f>IF($W182="","",IF(INDEX('Per Invoice'!D$2:D$801,$W182)="","",INDEX('Per Invoice'!D$2:D$801,$W182)))</f>
        <v/>
      </c>
      <c r="E182">
        <f>IF($W182="","",IF(INDEX('Per Invoice'!E$2:E$801,$W182)="","",INDEX('Per Invoice'!E$2:E$801,$W182)))</f>
        <v/>
      </c>
      <c r="F182">
        <f>IF($W182="","",IF(INDEX('Per Invoice'!F$2:F$801,$W182)="","",INDEX('Per Invoice'!F$2:F$801,$W182)))</f>
        <v/>
      </c>
      <c r="G182">
        <f>IF($W182="","",IF(INDEX('Per Invoice'!G$2:G$801,$W182)="","",INDEX('Per Invoice'!G$2:G$801,$W182)))</f>
        <v/>
      </c>
      <c r="H182">
        <f>IF($W182="","",IF(INDEX('Per Invoice'!H$2:H$801,$W182)="","",INDEX('Per Invoice'!H$2:H$801,$W182)))</f>
        <v/>
      </c>
      <c r="I182">
        <f>IF($W182="","",IF(INDEX('Per Invoice'!I$2:I$801,$W182)="","",INDEX('Per Invoice'!I$2:I$801,$W182)))</f>
        <v/>
      </c>
      <c r="J182">
        <f>IF($W182="","",IF(INDEX('Per Invoice'!J$2:J$801,$W182)="","",INDEX('Per Invoice'!J$2:J$801,$W182)))</f>
        <v/>
      </c>
      <c r="K182" s="7">
        <f>IF($W182="","",IF(INDEX('Per Invoice'!K$2:K$801,$W182)="","",INDEX('Per Invoice'!K$2:K$801,$W182)))</f>
        <v/>
      </c>
      <c r="L182" s="14">
        <f>IF($W182="","",IF(INDEX('Per Invoice'!L$2:L$801,$W182)="","",INDEX('Per Invoice'!L$2:L$801,$W182)))</f>
        <v/>
      </c>
      <c r="M182">
        <f>IF($W182="","",IF(INDEX('Per Invoice'!M$2:M$801,$W182)="","",INDEX('Per Invoice'!M$2:M$801,$W182)))</f>
        <v/>
      </c>
      <c r="N182" s="7">
        <f>IF($W182="","",IF(INDEX('Per Invoice'!N$2:N$801,$W182)="","",INDEX('Per Invoice'!N$2:N$801,$W182)))</f>
        <v/>
      </c>
      <c r="O182" s="7">
        <f>IF($W182="","",IF(INDEX('Per Invoice'!O$2:O$801,$W182)="","",INDEX('Per Invoice'!O$2:O$801,$W182)))</f>
        <v/>
      </c>
      <c r="P182">
        <f>IF($W182="","",IF(INDEX('Per Invoice'!P$2:P$801,$W182)="","",INDEX('Per Invoice'!P$2:P$801,$W182)))</f>
        <v/>
      </c>
      <c r="Q182" s="7">
        <f>IF($W182="","",IF(INDEX('Per Invoice'!Q$2:Q$801,$W182)="","",INDEX('Per Invoice'!Q$2:Q$801,$W182)))</f>
        <v/>
      </c>
      <c r="R182" s="7">
        <f>IF($W182="","",IF(INDEX('Per Invoice'!R$2:R$801,$W182)="","",INDEX('Per Invoice'!R$2:R$801,$W182)))</f>
        <v/>
      </c>
      <c r="S182" s="7">
        <f>IF($W182="","",IF(INDEX('Per Invoice'!S$2:S$801,$W182)="","",INDEX('Per Invoice'!S$2:S$801,$W182)))</f>
        <v/>
      </c>
      <c r="T182" s="7">
        <f>IF($W182="","",IF(INDEX('Per Invoice'!T$2:T$801,$W182)="","",INDEX('Per Invoice'!T$2:T$801,$W182)))</f>
        <v/>
      </c>
      <c r="U182" s="7">
        <f>IF($W182="","",IF(INDEX('Per Invoice'!U$2:U$801,$W182)="","",INDEX('Per Invoice'!U$2:U$801,$W182)))</f>
        <v/>
      </c>
      <c r="V182" s="7">
        <f>IF($W182="","",IF(INDEX('Per Invoice'!V$2:V$801,$W182)="","",INDEX('Per Invoice'!V$2:V$801,$W182)))</f>
        <v/>
      </c>
      <c r="W182" s="16">
        <f>IFERROR(MATCH(Settings!$C$30&amp;"|"&amp;ROWS($W$2:$W182),'Per Invoice'!$X$2:$X$801,0),"")</f>
        <v/>
      </c>
    </row>
    <row r="183">
      <c r="A183">
        <f>IF($W183="","",IF(INDEX('Per Invoice'!A$2:A$801,$W183)="","",INDEX('Per Invoice'!A$2:A$801,$W183)))</f>
        <v/>
      </c>
      <c r="B183">
        <f>IF($W183="","",IF(INDEX('Per Invoice'!B$2:B$801,$W183)="","",INDEX('Per Invoice'!B$2:B$801,$W183)))</f>
        <v/>
      </c>
      <c r="C183">
        <f>IF($W183="","",IF(INDEX('Per Invoice'!C$2:C$801,$W183)="","",INDEX('Per Invoice'!C$2:C$801,$W183)))</f>
        <v/>
      </c>
      <c r="D183">
        <f>IF($W183="","",IF(INDEX('Per Invoice'!D$2:D$801,$W183)="","",INDEX('Per Invoice'!D$2:D$801,$W183)))</f>
        <v/>
      </c>
      <c r="E183">
        <f>IF($W183="","",IF(INDEX('Per Invoice'!E$2:E$801,$W183)="","",INDEX('Per Invoice'!E$2:E$801,$W183)))</f>
        <v/>
      </c>
      <c r="F183">
        <f>IF($W183="","",IF(INDEX('Per Invoice'!F$2:F$801,$W183)="","",INDEX('Per Invoice'!F$2:F$801,$W183)))</f>
        <v/>
      </c>
      <c r="G183">
        <f>IF($W183="","",IF(INDEX('Per Invoice'!G$2:G$801,$W183)="","",INDEX('Per Invoice'!G$2:G$801,$W183)))</f>
        <v/>
      </c>
      <c r="H183">
        <f>IF($W183="","",IF(INDEX('Per Invoice'!H$2:H$801,$W183)="","",INDEX('Per Invoice'!H$2:H$801,$W183)))</f>
        <v/>
      </c>
      <c r="I183">
        <f>IF($W183="","",IF(INDEX('Per Invoice'!I$2:I$801,$W183)="","",INDEX('Per Invoice'!I$2:I$801,$W183)))</f>
        <v/>
      </c>
      <c r="J183">
        <f>IF($W183="","",IF(INDEX('Per Invoice'!J$2:J$801,$W183)="","",INDEX('Per Invoice'!J$2:J$801,$W183)))</f>
        <v/>
      </c>
      <c r="K183" s="7">
        <f>IF($W183="","",IF(INDEX('Per Invoice'!K$2:K$801,$W183)="","",INDEX('Per Invoice'!K$2:K$801,$W183)))</f>
        <v/>
      </c>
      <c r="L183" s="14">
        <f>IF($W183="","",IF(INDEX('Per Invoice'!L$2:L$801,$W183)="","",INDEX('Per Invoice'!L$2:L$801,$W183)))</f>
        <v/>
      </c>
      <c r="M183">
        <f>IF($W183="","",IF(INDEX('Per Invoice'!M$2:M$801,$W183)="","",INDEX('Per Invoice'!M$2:M$801,$W183)))</f>
        <v/>
      </c>
      <c r="N183" s="7">
        <f>IF($W183="","",IF(INDEX('Per Invoice'!N$2:N$801,$W183)="","",INDEX('Per Invoice'!N$2:N$801,$W183)))</f>
        <v/>
      </c>
      <c r="O183" s="7">
        <f>IF($W183="","",IF(INDEX('Per Invoice'!O$2:O$801,$W183)="","",INDEX('Per Invoice'!O$2:O$801,$W183)))</f>
        <v/>
      </c>
      <c r="P183">
        <f>IF($W183="","",IF(INDEX('Per Invoice'!P$2:P$801,$W183)="","",INDEX('Per Invoice'!P$2:P$801,$W183)))</f>
        <v/>
      </c>
      <c r="Q183" s="7">
        <f>IF($W183="","",IF(INDEX('Per Invoice'!Q$2:Q$801,$W183)="","",INDEX('Per Invoice'!Q$2:Q$801,$W183)))</f>
        <v/>
      </c>
      <c r="R183" s="7">
        <f>IF($W183="","",IF(INDEX('Per Invoice'!R$2:R$801,$W183)="","",INDEX('Per Invoice'!R$2:R$801,$W183)))</f>
        <v/>
      </c>
      <c r="S183" s="7">
        <f>IF($W183="","",IF(INDEX('Per Invoice'!S$2:S$801,$W183)="","",INDEX('Per Invoice'!S$2:S$801,$W183)))</f>
        <v/>
      </c>
      <c r="T183" s="7">
        <f>IF($W183="","",IF(INDEX('Per Invoice'!T$2:T$801,$W183)="","",INDEX('Per Invoice'!T$2:T$801,$W183)))</f>
        <v/>
      </c>
      <c r="U183" s="7">
        <f>IF($W183="","",IF(INDEX('Per Invoice'!U$2:U$801,$W183)="","",INDEX('Per Invoice'!U$2:U$801,$W183)))</f>
        <v/>
      </c>
      <c r="V183" s="7">
        <f>IF($W183="","",IF(INDEX('Per Invoice'!V$2:V$801,$W183)="","",INDEX('Per Invoice'!V$2:V$801,$W183)))</f>
        <v/>
      </c>
      <c r="W183" s="16">
        <f>IFERROR(MATCH(Settings!$C$30&amp;"|"&amp;ROWS($W$2:$W183),'Per Invoice'!$X$2:$X$801,0),"")</f>
        <v/>
      </c>
    </row>
    <row r="184">
      <c r="A184">
        <f>IF($W184="","",IF(INDEX('Per Invoice'!A$2:A$801,$W184)="","",INDEX('Per Invoice'!A$2:A$801,$W184)))</f>
        <v/>
      </c>
      <c r="B184">
        <f>IF($W184="","",IF(INDEX('Per Invoice'!B$2:B$801,$W184)="","",INDEX('Per Invoice'!B$2:B$801,$W184)))</f>
        <v/>
      </c>
      <c r="C184">
        <f>IF($W184="","",IF(INDEX('Per Invoice'!C$2:C$801,$W184)="","",INDEX('Per Invoice'!C$2:C$801,$W184)))</f>
        <v/>
      </c>
      <c r="D184">
        <f>IF($W184="","",IF(INDEX('Per Invoice'!D$2:D$801,$W184)="","",INDEX('Per Invoice'!D$2:D$801,$W184)))</f>
        <v/>
      </c>
      <c r="E184">
        <f>IF($W184="","",IF(INDEX('Per Invoice'!E$2:E$801,$W184)="","",INDEX('Per Invoice'!E$2:E$801,$W184)))</f>
        <v/>
      </c>
      <c r="F184">
        <f>IF($W184="","",IF(INDEX('Per Invoice'!F$2:F$801,$W184)="","",INDEX('Per Invoice'!F$2:F$801,$W184)))</f>
        <v/>
      </c>
      <c r="G184">
        <f>IF($W184="","",IF(INDEX('Per Invoice'!G$2:G$801,$W184)="","",INDEX('Per Invoice'!G$2:G$801,$W184)))</f>
        <v/>
      </c>
      <c r="H184">
        <f>IF($W184="","",IF(INDEX('Per Invoice'!H$2:H$801,$W184)="","",INDEX('Per Invoice'!H$2:H$801,$W184)))</f>
        <v/>
      </c>
      <c r="I184">
        <f>IF($W184="","",IF(INDEX('Per Invoice'!I$2:I$801,$W184)="","",INDEX('Per Invoice'!I$2:I$801,$W184)))</f>
        <v/>
      </c>
      <c r="J184">
        <f>IF($W184="","",IF(INDEX('Per Invoice'!J$2:J$801,$W184)="","",INDEX('Per Invoice'!J$2:J$801,$W184)))</f>
        <v/>
      </c>
      <c r="K184" s="7">
        <f>IF($W184="","",IF(INDEX('Per Invoice'!K$2:K$801,$W184)="","",INDEX('Per Invoice'!K$2:K$801,$W184)))</f>
        <v/>
      </c>
      <c r="L184" s="14">
        <f>IF($W184="","",IF(INDEX('Per Invoice'!L$2:L$801,$W184)="","",INDEX('Per Invoice'!L$2:L$801,$W184)))</f>
        <v/>
      </c>
      <c r="M184">
        <f>IF($W184="","",IF(INDEX('Per Invoice'!M$2:M$801,$W184)="","",INDEX('Per Invoice'!M$2:M$801,$W184)))</f>
        <v/>
      </c>
      <c r="N184" s="7">
        <f>IF($W184="","",IF(INDEX('Per Invoice'!N$2:N$801,$W184)="","",INDEX('Per Invoice'!N$2:N$801,$W184)))</f>
        <v/>
      </c>
      <c r="O184" s="7">
        <f>IF($W184="","",IF(INDEX('Per Invoice'!O$2:O$801,$W184)="","",INDEX('Per Invoice'!O$2:O$801,$W184)))</f>
        <v/>
      </c>
      <c r="P184">
        <f>IF($W184="","",IF(INDEX('Per Invoice'!P$2:P$801,$W184)="","",INDEX('Per Invoice'!P$2:P$801,$W184)))</f>
        <v/>
      </c>
      <c r="Q184" s="7">
        <f>IF($W184="","",IF(INDEX('Per Invoice'!Q$2:Q$801,$W184)="","",INDEX('Per Invoice'!Q$2:Q$801,$W184)))</f>
        <v/>
      </c>
      <c r="R184" s="7">
        <f>IF($W184="","",IF(INDEX('Per Invoice'!R$2:R$801,$W184)="","",INDEX('Per Invoice'!R$2:R$801,$W184)))</f>
        <v/>
      </c>
      <c r="S184" s="7">
        <f>IF($W184="","",IF(INDEX('Per Invoice'!S$2:S$801,$W184)="","",INDEX('Per Invoice'!S$2:S$801,$W184)))</f>
        <v/>
      </c>
      <c r="T184" s="7">
        <f>IF($W184="","",IF(INDEX('Per Invoice'!T$2:T$801,$W184)="","",INDEX('Per Invoice'!T$2:T$801,$W184)))</f>
        <v/>
      </c>
      <c r="U184" s="7">
        <f>IF($W184="","",IF(INDEX('Per Invoice'!U$2:U$801,$W184)="","",INDEX('Per Invoice'!U$2:U$801,$W184)))</f>
        <v/>
      </c>
      <c r="V184" s="7">
        <f>IF($W184="","",IF(INDEX('Per Invoice'!V$2:V$801,$W184)="","",INDEX('Per Invoice'!V$2:V$801,$W184)))</f>
        <v/>
      </c>
      <c r="W184" s="16">
        <f>IFERROR(MATCH(Settings!$C$30&amp;"|"&amp;ROWS($W$2:$W184),'Per Invoice'!$X$2:$X$801,0),"")</f>
        <v/>
      </c>
    </row>
    <row r="185">
      <c r="A185">
        <f>IF($W185="","",IF(INDEX('Per Invoice'!A$2:A$801,$W185)="","",INDEX('Per Invoice'!A$2:A$801,$W185)))</f>
        <v/>
      </c>
      <c r="B185">
        <f>IF($W185="","",IF(INDEX('Per Invoice'!B$2:B$801,$W185)="","",INDEX('Per Invoice'!B$2:B$801,$W185)))</f>
        <v/>
      </c>
      <c r="C185">
        <f>IF($W185="","",IF(INDEX('Per Invoice'!C$2:C$801,$W185)="","",INDEX('Per Invoice'!C$2:C$801,$W185)))</f>
        <v/>
      </c>
      <c r="D185">
        <f>IF($W185="","",IF(INDEX('Per Invoice'!D$2:D$801,$W185)="","",INDEX('Per Invoice'!D$2:D$801,$W185)))</f>
        <v/>
      </c>
      <c r="E185">
        <f>IF($W185="","",IF(INDEX('Per Invoice'!E$2:E$801,$W185)="","",INDEX('Per Invoice'!E$2:E$801,$W185)))</f>
        <v/>
      </c>
      <c r="F185">
        <f>IF($W185="","",IF(INDEX('Per Invoice'!F$2:F$801,$W185)="","",INDEX('Per Invoice'!F$2:F$801,$W185)))</f>
        <v/>
      </c>
      <c r="G185">
        <f>IF($W185="","",IF(INDEX('Per Invoice'!G$2:G$801,$W185)="","",INDEX('Per Invoice'!G$2:G$801,$W185)))</f>
        <v/>
      </c>
      <c r="H185">
        <f>IF($W185="","",IF(INDEX('Per Invoice'!H$2:H$801,$W185)="","",INDEX('Per Invoice'!H$2:H$801,$W185)))</f>
        <v/>
      </c>
      <c r="I185">
        <f>IF($W185="","",IF(INDEX('Per Invoice'!I$2:I$801,$W185)="","",INDEX('Per Invoice'!I$2:I$801,$W185)))</f>
        <v/>
      </c>
      <c r="J185">
        <f>IF($W185="","",IF(INDEX('Per Invoice'!J$2:J$801,$W185)="","",INDEX('Per Invoice'!J$2:J$801,$W185)))</f>
        <v/>
      </c>
      <c r="K185" s="7">
        <f>IF($W185="","",IF(INDEX('Per Invoice'!K$2:K$801,$W185)="","",INDEX('Per Invoice'!K$2:K$801,$W185)))</f>
        <v/>
      </c>
      <c r="L185" s="14">
        <f>IF($W185="","",IF(INDEX('Per Invoice'!L$2:L$801,$W185)="","",INDEX('Per Invoice'!L$2:L$801,$W185)))</f>
        <v/>
      </c>
      <c r="M185">
        <f>IF($W185="","",IF(INDEX('Per Invoice'!M$2:M$801,$W185)="","",INDEX('Per Invoice'!M$2:M$801,$W185)))</f>
        <v/>
      </c>
      <c r="N185" s="7">
        <f>IF($W185="","",IF(INDEX('Per Invoice'!N$2:N$801,$W185)="","",INDEX('Per Invoice'!N$2:N$801,$W185)))</f>
        <v/>
      </c>
      <c r="O185" s="7">
        <f>IF($W185="","",IF(INDEX('Per Invoice'!O$2:O$801,$W185)="","",INDEX('Per Invoice'!O$2:O$801,$W185)))</f>
        <v/>
      </c>
      <c r="P185">
        <f>IF($W185="","",IF(INDEX('Per Invoice'!P$2:P$801,$W185)="","",INDEX('Per Invoice'!P$2:P$801,$W185)))</f>
        <v/>
      </c>
      <c r="Q185" s="7">
        <f>IF($W185="","",IF(INDEX('Per Invoice'!Q$2:Q$801,$W185)="","",INDEX('Per Invoice'!Q$2:Q$801,$W185)))</f>
        <v/>
      </c>
      <c r="R185" s="7">
        <f>IF($W185="","",IF(INDEX('Per Invoice'!R$2:R$801,$W185)="","",INDEX('Per Invoice'!R$2:R$801,$W185)))</f>
        <v/>
      </c>
      <c r="S185" s="7">
        <f>IF($W185="","",IF(INDEX('Per Invoice'!S$2:S$801,$W185)="","",INDEX('Per Invoice'!S$2:S$801,$W185)))</f>
        <v/>
      </c>
      <c r="T185" s="7">
        <f>IF($W185="","",IF(INDEX('Per Invoice'!T$2:T$801,$W185)="","",INDEX('Per Invoice'!T$2:T$801,$W185)))</f>
        <v/>
      </c>
      <c r="U185" s="7">
        <f>IF($W185="","",IF(INDEX('Per Invoice'!U$2:U$801,$W185)="","",INDEX('Per Invoice'!U$2:U$801,$W185)))</f>
        <v/>
      </c>
      <c r="V185" s="7">
        <f>IF($W185="","",IF(INDEX('Per Invoice'!V$2:V$801,$W185)="","",INDEX('Per Invoice'!V$2:V$801,$W185)))</f>
        <v/>
      </c>
      <c r="W185" s="16">
        <f>IFERROR(MATCH(Settings!$C$30&amp;"|"&amp;ROWS($W$2:$W185),'Per Invoice'!$X$2:$X$801,0),"")</f>
        <v/>
      </c>
    </row>
    <row r="186">
      <c r="A186">
        <f>IF($W186="","",IF(INDEX('Per Invoice'!A$2:A$801,$W186)="","",INDEX('Per Invoice'!A$2:A$801,$W186)))</f>
        <v/>
      </c>
      <c r="B186">
        <f>IF($W186="","",IF(INDEX('Per Invoice'!B$2:B$801,$W186)="","",INDEX('Per Invoice'!B$2:B$801,$W186)))</f>
        <v/>
      </c>
      <c r="C186">
        <f>IF($W186="","",IF(INDEX('Per Invoice'!C$2:C$801,$W186)="","",INDEX('Per Invoice'!C$2:C$801,$W186)))</f>
        <v/>
      </c>
      <c r="D186">
        <f>IF($W186="","",IF(INDEX('Per Invoice'!D$2:D$801,$W186)="","",INDEX('Per Invoice'!D$2:D$801,$W186)))</f>
        <v/>
      </c>
      <c r="E186">
        <f>IF($W186="","",IF(INDEX('Per Invoice'!E$2:E$801,$W186)="","",INDEX('Per Invoice'!E$2:E$801,$W186)))</f>
        <v/>
      </c>
      <c r="F186">
        <f>IF($W186="","",IF(INDEX('Per Invoice'!F$2:F$801,$W186)="","",INDEX('Per Invoice'!F$2:F$801,$W186)))</f>
        <v/>
      </c>
      <c r="G186">
        <f>IF($W186="","",IF(INDEX('Per Invoice'!G$2:G$801,$W186)="","",INDEX('Per Invoice'!G$2:G$801,$W186)))</f>
        <v/>
      </c>
      <c r="H186">
        <f>IF($W186="","",IF(INDEX('Per Invoice'!H$2:H$801,$W186)="","",INDEX('Per Invoice'!H$2:H$801,$W186)))</f>
        <v/>
      </c>
      <c r="I186">
        <f>IF($W186="","",IF(INDEX('Per Invoice'!I$2:I$801,$W186)="","",INDEX('Per Invoice'!I$2:I$801,$W186)))</f>
        <v/>
      </c>
      <c r="J186">
        <f>IF($W186="","",IF(INDEX('Per Invoice'!J$2:J$801,$W186)="","",INDEX('Per Invoice'!J$2:J$801,$W186)))</f>
        <v/>
      </c>
      <c r="K186" s="7">
        <f>IF($W186="","",IF(INDEX('Per Invoice'!K$2:K$801,$W186)="","",INDEX('Per Invoice'!K$2:K$801,$W186)))</f>
        <v/>
      </c>
      <c r="L186" s="14">
        <f>IF($W186="","",IF(INDEX('Per Invoice'!L$2:L$801,$W186)="","",INDEX('Per Invoice'!L$2:L$801,$W186)))</f>
        <v/>
      </c>
      <c r="M186">
        <f>IF($W186="","",IF(INDEX('Per Invoice'!M$2:M$801,$W186)="","",INDEX('Per Invoice'!M$2:M$801,$W186)))</f>
        <v/>
      </c>
      <c r="N186" s="7">
        <f>IF($W186="","",IF(INDEX('Per Invoice'!N$2:N$801,$W186)="","",INDEX('Per Invoice'!N$2:N$801,$W186)))</f>
        <v/>
      </c>
      <c r="O186" s="7">
        <f>IF($W186="","",IF(INDEX('Per Invoice'!O$2:O$801,$W186)="","",INDEX('Per Invoice'!O$2:O$801,$W186)))</f>
        <v/>
      </c>
      <c r="P186">
        <f>IF($W186="","",IF(INDEX('Per Invoice'!P$2:P$801,$W186)="","",INDEX('Per Invoice'!P$2:P$801,$W186)))</f>
        <v/>
      </c>
      <c r="Q186" s="7">
        <f>IF($W186="","",IF(INDEX('Per Invoice'!Q$2:Q$801,$W186)="","",INDEX('Per Invoice'!Q$2:Q$801,$W186)))</f>
        <v/>
      </c>
      <c r="R186" s="7">
        <f>IF($W186="","",IF(INDEX('Per Invoice'!R$2:R$801,$W186)="","",INDEX('Per Invoice'!R$2:R$801,$W186)))</f>
        <v/>
      </c>
      <c r="S186" s="7">
        <f>IF($W186="","",IF(INDEX('Per Invoice'!S$2:S$801,$W186)="","",INDEX('Per Invoice'!S$2:S$801,$W186)))</f>
        <v/>
      </c>
      <c r="T186" s="7">
        <f>IF($W186="","",IF(INDEX('Per Invoice'!T$2:T$801,$W186)="","",INDEX('Per Invoice'!T$2:T$801,$W186)))</f>
        <v/>
      </c>
      <c r="U186" s="7">
        <f>IF($W186="","",IF(INDEX('Per Invoice'!U$2:U$801,$W186)="","",INDEX('Per Invoice'!U$2:U$801,$W186)))</f>
        <v/>
      </c>
      <c r="V186" s="7">
        <f>IF($W186="","",IF(INDEX('Per Invoice'!V$2:V$801,$W186)="","",INDEX('Per Invoice'!V$2:V$801,$W186)))</f>
        <v/>
      </c>
      <c r="W186" s="16">
        <f>IFERROR(MATCH(Settings!$C$30&amp;"|"&amp;ROWS($W$2:$W186),'Per Invoice'!$X$2:$X$801,0),"")</f>
        <v/>
      </c>
    </row>
    <row r="187">
      <c r="A187">
        <f>IF($W187="","",IF(INDEX('Per Invoice'!A$2:A$801,$W187)="","",INDEX('Per Invoice'!A$2:A$801,$W187)))</f>
        <v/>
      </c>
      <c r="B187">
        <f>IF($W187="","",IF(INDEX('Per Invoice'!B$2:B$801,$W187)="","",INDEX('Per Invoice'!B$2:B$801,$W187)))</f>
        <v/>
      </c>
      <c r="C187">
        <f>IF($W187="","",IF(INDEX('Per Invoice'!C$2:C$801,$W187)="","",INDEX('Per Invoice'!C$2:C$801,$W187)))</f>
        <v/>
      </c>
      <c r="D187">
        <f>IF($W187="","",IF(INDEX('Per Invoice'!D$2:D$801,$W187)="","",INDEX('Per Invoice'!D$2:D$801,$W187)))</f>
        <v/>
      </c>
      <c r="E187">
        <f>IF($W187="","",IF(INDEX('Per Invoice'!E$2:E$801,$W187)="","",INDEX('Per Invoice'!E$2:E$801,$W187)))</f>
        <v/>
      </c>
      <c r="F187">
        <f>IF($W187="","",IF(INDEX('Per Invoice'!F$2:F$801,$W187)="","",INDEX('Per Invoice'!F$2:F$801,$W187)))</f>
        <v/>
      </c>
      <c r="G187">
        <f>IF($W187="","",IF(INDEX('Per Invoice'!G$2:G$801,$W187)="","",INDEX('Per Invoice'!G$2:G$801,$W187)))</f>
        <v/>
      </c>
      <c r="H187">
        <f>IF($W187="","",IF(INDEX('Per Invoice'!H$2:H$801,$W187)="","",INDEX('Per Invoice'!H$2:H$801,$W187)))</f>
        <v/>
      </c>
      <c r="I187">
        <f>IF($W187="","",IF(INDEX('Per Invoice'!I$2:I$801,$W187)="","",INDEX('Per Invoice'!I$2:I$801,$W187)))</f>
        <v/>
      </c>
      <c r="J187">
        <f>IF($W187="","",IF(INDEX('Per Invoice'!J$2:J$801,$W187)="","",INDEX('Per Invoice'!J$2:J$801,$W187)))</f>
        <v/>
      </c>
      <c r="K187" s="7">
        <f>IF($W187="","",IF(INDEX('Per Invoice'!K$2:K$801,$W187)="","",INDEX('Per Invoice'!K$2:K$801,$W187)))</f>
        <v/>
      </c>
      <c r="L187" s="14">
        <f>IF($W187="","",IF(INDEX('Per Invoice'!L$2:L$801,$W187)="","",INDEX('Per Invoice'!L$2:L$801,$W187)))</f>
        <v/>
      </c>
      <c r="M187">
        <f>IF($W187="","",IF(INDEX('Per Invoice'!M$2:M$801,$W187)="","",INDEX('Per Invoice'!M$2:M$801,$W187)))</f>
        <v/>
      </c>
      <c r="N187" s="7">
        <f>IF($W187="","",IF(INDEX('Per Invoice'!N$2:N$801,$W187)="","",INDEX('Per Invoice'!N$2:N$801,$W187)))</f>
        <v/>
      </c>
      <c r="O187" s="7">
        <f>IF($W187="","",IF(INDEX('Per Invoice'!O$2:O$801,$W187)="","",INDEX('Per Invoice'!O$2:O$801,$W187)))</f>
        <v/>
      </c>
      <c r="P187">
        <f>IF($W187="","",IF(INDEX('Per Invoice'!P$2:P$801,$W187)="","",INDEX('Per Invoice'!P$2:P$801,$W187)))</f>
        <v/>
      </c>
      <c r="Q187" s="7">
        <f>IF($W187="","",IF(INDEX('Per Invoice'!Q$2:Q$801,$W187)="","",INDEX('Per Invoice'!Q$2:Q$801,$W187)))</f>
        <v/>
      </c>
      <c r="R187" s="7">
        <f>IF($W187="","",IF(INDEX('Per Invoice'!R$2:R$801,$W187)="","",INDEX('Per Invoice'!R$2:R$801,$W187)))</f>
        <v/>
      </c>
      <c r="S187" s="7">
        <f>IF($W187="","",IF(INDEX('Per Invoice'!S$2:S$801,$W187)="","",INDEX('Per Invoice'!S$2:S$801,$W187)))</f>
        <v/>
      </c>
      <c r="T187" s="7">
        <f>IF($W187="","",IF(INDEX('Per Invoice'!T$2:T$801,$W187)="","",INDEX('Per Invoice'!T$2:T$801,$W187)))</f>
        <v/>
      </c>
      <c r="U187" s="7">
        <f>IF($W187="","",IF(INDEX('Per Invoice'!U$2:U$801,$W187)="","",INDEX('Per Invoice'!U$2:U$801,$W187)))</f>
        <v/>
      </c>
      <c r="V187" s="7">
        <f>IF($W187="","",IF(INDEX('Per Invoice'!V$2:V$801,$W187)="","",INDEX('Per Invoice'!V$2:V$801,$W187)))</f>
        <v/>
      </c>
      <c r="W187" s="16">
        <f>IFERROR(MATCH(Settings!$C$30&amp;"|"&amp;ROWS($W$2:$W187),'Per Invoice'!$X$2:$X$801,0),"")</f>
        <v/>
      </c>
    </row>
    <row r="188">
      <c r="A188">
        <f>IF($W188="","",IF(INDEX('Per Invoice'!A$2:A$801,$W188)="","",INDEX('Per Invoice'!A$2:A$801,$W188)))</f>
        <v/>
      </c>
      <c r="B188">
        <f>IF($W188="","",IF(INDEX('Per Invoice'!B$2:B$801,$W188)="","",INDEX('Per Invoice'!B$2:B$801,$W188)))</f>
        <v/>
      </c>
      <c r="C188">
        <f>IF($W188="","",IF(INDEX('Per Invoice'!C$2:C$801,$W188)="","",INDEX('Per Invoice'!C$2:C$801,$W188)))</f>
        <v/>
      </c>
      <c r="D188">
        <f>IF($W188="","",IF(INDEX('Per Invoice'!D$2:D$801,$W188)="","",INDEX('Per Invoice'!D$2:D$801,$W188)))</f>
        <v/>
      </c>
      <c r="E188">
        <f>IF($W188="","",IF(INDEX('Per Invoice'!E$2:E$801,$W188)="","",INDEX('Per Invoice'!E$2:E$801,$W188)))</f>
        <v/>
      </c>
      <c r="F188">
        <f>IF($W188="","",IF(INDEX('Per Invoice'!F$2:F$801,$W188)="","",INDEX('Per Invoice'!F$2:F$801,$W188)))</f>
        <v/>
      </c>
      <c r="G188">
        <f>IF($W188="","",IF(INDEX('Per Invoice'!G$2:G$801,$W188)="","",INDEX('Per Invoice'!G$2:G$801,$W188)))</f>
        <v/>
      </c>
      <c r="H188">
        <f>IF($W188="","",IF(INDEX('Per Invoice'!H$2:H$801,$W188)="","",INDEX('Per Invoice'!H$2:H$801,$W188)))</f>
        <v/>
      </c>
      <c r="I188">
        <f>IF($W188="","",IF(INDEX('Per Invoice'!I$2:I$801,$W188)="","",INDEX('Per Invoice'!I$2:I$801,$W188)))</f>
        <v/>
      </c>
      <c r="J188">
        <f>IF($W188="","",IF(INDEX('Per Invoice'!J$2:J$801,$W188)="","",INDEX('Per Invoice'!J$2:J$801,$W188)))</f>
        <v/>
      </c>
      <c r="K188" s="7">
        <f>IF($W188="","",IF(INDEX('Per Invoice'!K$2:K$801,$W188)="","",INDEX('Per Invoice'!K$2:K$801,$W188)))</f>
        <v/>
      </c>
      <c r="L188" s="14">
        <f>IF($W188="","",IF(INDEX('Per Invoice'!L$2:L$801,$W188)="","",INDEX('Per Invoice'!L$2:L$801,$W188)))</f>
        <v/>
      </c>
      <c r="M188">
        <f>IF($W188="","",IF(INDEX('Per Invoice'!M$2:M$801,$W188)="","",INDEX('Per Invoice'!M$2:M$801,$W188)))</f>
        <v/>
      </c>
      <c r="N188" s="7">
        <f>IF($W188="","",IF(INDEX('Per Invoice'!N$2:N$801,$W188)="","",INDEX('Per Invoice'!N$2:N$801,$W188)))</f>
        <v/>
      </c>
      <c r="O188" s="7">
        <f>IF($W188="","",IF(INDEX('Per Invoice'!O$2:O$801,$W188)="","",INDEX('Per Invoice'!O$2:O$801,$W188)))</f>
        <v/>
      </c>
      <c r="P188">
        <f>IF($W188="","",IF(INDEX('Per Invoice'!P$2:P$801,$W188)="","",INDEX('Per Invoice'!P$2:P$801,$W188)))</f>
        <v/>
      </c>
      <c r="Q188" s="7">
        <f>IF($W188="","",IF(INDEX('Per Invoice'!Q$2:Q$801,$W188)="","",INDEX('Per Invoice'!Q$2:Q$801,$W188)))</f>
        <v/>
      </c>
      <c r="R188" s="7">
        <f>IF($W188="","",IF(INDEX('Per Invoice'!R$2:R$801,$W188)="","",INDEX('Per Invoice'!R$2:R$801,$W188)))</f>
        <v/>
      </c>
      <c r="S188" s="7">
        <f>IF($W188="","",IF(INDEX('Per Invoice'!S$2:S$801,$W188)="","",INDEX('Per Invoice'!S$2:S$801,$W188)))</f>
        <v/>
      </c>
      <c r="T188" s="7">
        <f>IF($W188="","",IF(INDEX('Per Invoice'!T$2:T$801,$W188)="","",INDEX('Per Invoice'!T$2:T$801,$W188)))</f>
        <v/>
      </c>
      <c r="U188" s="7">
        <f>IF($W188="","",IF(INDEX('Per Invoice'!U$2:U$801,$W188)="","",INDEX('Per Invoice'!U$2:U$801,$W188)))</f>
        <v/>
      </c>
      <c r="V188" s="7">
        <f>IF($W188="","",IF(INDEX('Per Invoice'!V$2:V$801,$W188)="","",INDEX('Per Invoice'!V$2:V$801,$W188)))</f>
        <v/>
      </c>
      <c r="W188" s="16">
        <f>IFERROR(MATCH(Settings!$C$30&amp;"|"&amp;ROWS($W$2:$W188),'Per Invoice'!$X$2:$X$801,0),"")</f>
        <v/>
      </c>
    </row>
    <row r="189">
      <c r="A189">
        <f>IF($W189="","",IF(INDEX('Per Invoice'!A$2:A$801,$W189)="","",INDEX('Per Invoice'!A$2:A$801,$W189)))</f>
        <v/>
      </c>
      <c r="B189">
        <f>IF($W189="","",IF(INDEX('Per Invoice'!B$2:B$801,$W189)="","",INDEX('Per Invoice'!B$2:B$801,$W189)))</f>
        <v/>
      </c>
      <c r="C189">
        <f>IF($W189="","",IF(INDEX('Per Invoice'!C$2:C$801,$W189)="","",INDEX('Per Invoice'!C$2:C$801,$W189)))</f>
        <v/>
      </c>
      <c r="D189">
        <f>IF($W189="","",IF(INDEX('Per Invoice'!D$2:D$801,$W189)="","",INDEX('Per Invoice'!D$2:D$801,$W189)))</f>
        <v/>
      </c>
      <c r="E189">
        <f>IF($W189="","",IF(INDEX('Per Invoice'!E$2:E$801,$W189)="","",INDEX('Per Invoice'!E$2:E$801,$W189)))</f>
        <v/>
      </c>
      <c r="F189">
        <f>IF($W189="","",IF(INDEX('Per Invoice'!F$2:F$801,$W189)="","",INDEX('Per Invoice'!F$2:F$801,$W189)))</f>
        <v/>
      </c>
      <c r="G189">
        <f>IF($W189="","",IF(INDEX('Per Invoice'!G$2:G$801,$W189)="","",INDEX('Per Invoice'!G$2:G$801,$W189)))</f>
        <v/>
      </c>
      <c r="H189">
        <f>IF($W189="","",IF(INDEX('Per Invoice'!H$2:H$801,$W189)="","",INDEX('Per Invoice'!H$2:H$801,$W189)))</f>
        <v/>
      </c>
      <c r="I189">
        <f>IF($W189="","",IF(INDEX('Per Invoice'!I$2:I$801,$W189)="","",INDEX('Per Invoice'!I$2:I$801,$W189)))</f>
        <v/>
      </c>
      <c r="J189">
        <f>IF($W189="","",IF(INDEX('Per Invoice'!J$2:J$801,$W189)="","",INDEX('Per Invoice'!J$2:J$801,$W189)))</f>
        <v/>
      </c>
      <c r="K189" s="7">
        <f>IF($W189="","",IF(INDEX('Per Invoice'!K$2:K$801,$W189)="","",INDEX('Per Invoice'!K$2:K$801,$W189)))</f>
        <v/>
      </c>
      <c r="L189" s="14">
        <f>IF($W189="","",IF(INDEX('Per Invoice'!L$2:L$801,$W189)="","",INDEX('Per Invoice'!L$2:L$801,$W189)))</f>
        <v/>
      </c>
      <c r="M189">
        <f>IF($W189="","",IF(INDEX('Per Invoice'!M$2:M$801,$W189)="","",INDEX('Per Invoice'!M$2:M$801,$W189)))</f>
        <v/>
      </c>
      <c r="N189" s="7">
        <f>IF($W189="","",IF(INDEX('Per Invoice'!N$2:N$801,$W189)="","",INDEX('Per Invoice'!N$2:N$801,$W189)))</f>
        <v/>
      </c>
      <c r="O189" s="7">
        <f>IF($W189="","",IF(INDEX('Per Invoice'!O$2:O$801,$W189)="","",INDEX('Per Invoice'!O$2:O$801,$W189)))</f>
        <v/>
      </c>
      <c r="P189">
        <f>IF($W189="","",IF(INDEX('Per Invoice'!P$2:P$801,$W189)="","",INDEX('Per Invoice'!P$2:P$801,$W189)))</f>
        <v/>
      </c>
      <c r="Q189" s="7">
        <f>IF($W189="","",IF(INDEX('Per Invoice'!Q$2:Q$801,$W189)="","",INDEX('Per Invoice'!Q$2:Q$801,$W189)))</f>
        <v/>
      </c>
      <c r="R189" s="7">
        <f>IF($W189="","",IF(INDEX('Per Invoice'!R$2:R$801,$W189)="","",INDEX('Per Invoice'!R$2:R$801,$W189)))</f>
        <v/>
      </c>
      <c r="S189" s="7">
        <f>IF($W189="","",IF(INDEX('Per Invoice'!S$2:S$801,$W189)="","",INDEX('Per Invoice'!S$2:S$801,$W189)))</f>
        <v/>
      </c>
      <c r="T189" s="7">
        <f>IF($W189="","",IF(INDEX('Per Invoice'!T$2:T$801,$W189)="","",INDEX('Per Invoice'!T$2:T$801,$W189)))</f>
        <v/>
      </c>
      <c r="U189" s="7">
        <f>IF($W189="","",IF(INDEX('Per Invoice'!U$2:U$801,$W189)="","",INDEX('Per Invoice'!U$2:U$801,$W189)))</f>
        <v/>
      </c>
      <c r="V189" s="7">
        <f>IF($W189="","",IF(INDEX('Per Invoice'!V$2:V$801,$W189)="","",INDEX('Per Invoice'!V$2:V$801,$W189)))</f>
        <v/>
      </c>
      <c r="W189" s="16">
        <f>IFERROR(MATCH(Settings!$C$30&amp;"|"&amp;ROWS($W$2:$W189),'Per Invoice'!$X$2:$X$801,0),"")</f>
        <v/>
      </c>
    </row>
    <row r="190">
      <c r="A190">
        <f>IF($W190="","",IF(INDEX('Per Invoice'!A$2:A$801,$W190)="","",INDEX('Per Invoice'!A$2:A$801,$W190)))</f>
        <v/>
      </c>
      <c r="B190">
        <f>IF($W190="","",IF(INDEX('Per Invoice'!B$2:B$801,$W190)="","",INDEX('Per Invoice'!B$2:B$801,$W190)))</f>
        <v/>
      </c>
      <c r="C190">
        <f>IF($W190="","",IF(INDEX('Per Invoice'!C$2:C$801,$W190)="","",INDEX('Per Invoice'!C$2:C$801,$W190)))</f>
        <v/>
      </c>
      <c r="D190">
        <f>IF($W190="","",IF(INDEX('Per Invoice'!D$2:D$801,$W190)="","",INDEX('Per Invoice'!D$2:D$801,$W190)))</f>
        <v/>
      </c>
      <c r="E190">
        <f>IF($W190="","",IF(INDEX('Per Invoice'!E$2:E$801,$W190)="","",INDEX('Per Invoice'!E$2:E$801,$W190)))</f>
        <v/>
      </c>
      <c r="F190">
        <f>IF($W190="","",IF(INDEX('Per Invoice'!F$2:F$801,$W190)="","",INDEX('Per Invoice'!F$2:F$801,$W190)))</f>
        <v/>
      </c>
      <c r="G190">
        <f>IF($W190="","",IF(INDEX('Per Invoice'!G$2:G$801,$W190)="","",INDEX('Per Invoice'!G$2:G$801,$W190)))</f>
        <v/>
      </c>
      <c r="H190">
        <f>IF($W190="","",IF(INDEX('Per Invoice'!H$2:H$801,$W190)="","",INDEX('Per Invoice'!H$2:H$801,$W190)))</f>
        <v/>
      </c>
      <c r="I190">
        <f>IF($W190="","",IF(INDEX('Per Invoice'!I$2:I$801,$W190)="","",INDEX('Per Invoice'!I$2:I$801,$W190)))</f>
        <v/>
      </c>
      <c r="J190">
        <f>IF($W190="","",IF(INDEX('Per Invoice'!J$2:J$801,$W190)="","",INDEX('Per Invoice'!J$2:J$801,$W190)))</f>
        <v/>
      </c>
      <c r="K190" s="7">
        <f>IF($W190="","",IF(INDEX('Per Invoice'!K$2:K$801,$W190)="","",INDEX('Per Invoice'!K$2:K$801,$W190)))</f>
        <v/>
      </c>
      <c r="L190" s="14">
        <f>IF($W190="","",IF(INDEX('Per Invoice'!L$2:L$801,$W190)="","",INDEX('Per Invoice'!L$2:L$801,$W190)))</f>
        <v/>
      </c>
      <c r="M190">
        <f>IF($W190="","",IF(INDEX('Per Invoice'!M$2:M$801,$W190)="","",INDEX('Per Invoice'!M$2:M$801,$W190)))</f>
        <v/>
      </c>
      <c r="N190" s="7">
        <f>IF($W190="","",IF(INDEX('Per Invoice'!N$2:N$801,$W190)="","",INDEX('Per Invoice'!N$2:N$801,$W190)))</f>
        <v/>
      </c>
      <c r="O190" s="7">
        <f>IF($W190="","",IF(INDEX('Per Invoice'!O$2:O$801,$W190)="","",INDEX('Per Invoice'!O$2:O$801,$W190)))</f>
        <v/>
      </c>
      <c r="P190">
        <f>IF($W190="","",IF(INDEX('Per Invoice'!P$2:P$801,$W190)="","",INDEX('Per Invoice'!P$2:P$801,$W190)))</f>
        <v/>
      </c>
      <c r="Q190" s="7">
        <f>IF($W190="","",IF(INDEX('Per Invoice'!Q$2:Q$801,$W190)="","",INDEX('Per Invoice'!Q$2:Q$801,$W190)))</f>
        <v/>
      </c>
      <c r="R190" s="7">
        <f>IF($W190="","",IF(INDEX('Per Invoice'!R$2:R$801,$W190)="","",INDEX('Per Invoice'!R$2:R$801,$W190)))</f>
        <v/>
      </c>
      <c r="S190" s="7">
        <f>IF($W190="","",IF(INDEX('Per Invoice'!S$2:S$801,$W190)="","",INDEX('Per Invoice'!S$2:S$801,$W190)))</f>
        <v/>
      </c>
      <c r="T190" s="7">
        <f>IF($W190="","",IF(INDEX('Per Invoice'!T$2:T$801,$W190)="","",INDEX('Per Invoice'!T$2:T$801,$W190)))</f>
        <v/>
      </c>
      <c r="U190" s="7">
        <f>IF($W190="","",IF(INDEX('Per Invoice'!U$2:U$801,$W190)="","",INDEX('Per Invoice'!U$2:U$801,$W190)))</f>
        <v/>
      </c>
      <c r="V190" s="7">
        <f>IF($W190="","",IF(INDEX('Per Invoice'!V$2:V$801,$W190)="","",INDEX('Per Invoice'!V$2:V$801,$W190)))</f>
        <v/>
      </c>
      <c r="W190" s="16">
        <f>IFERROR(MATCH(Settings!$C$30&amp;"|"&amp;ROWS($W$2:$W190),'Per Invoice'!$X$2:$X$801,0),"")</f>
        <v/>
      </c>
    </row>
    <row r="191">
      <c r="A191">
        <f>IF($W191="","",IF(INDEX('Per Invoice'!A$2:A$801,$W191)="","",INDEX('Per Invoice'!A$2:A$801,$W191)))</f>
        <v/>
      </c>
      <c r="B191">
        <f>IF($W191="","",IF(INDEX('Per Invoice'!B$2:B$801,$W191)="","",INDEX('Per Invoice'!B$2:B$801,$W191)))</f>
        <v/>
      </c>
      <c r="C191">
        <f>IF($W191="","",IF(INDEX('Per Invoice'!C$2:C$801,$W191)="","",INDEX('Per Invoice'!C$2:C$801,$W191)))</f>
        <v/>
      </c>
      <c r="D191">
        <f>IF($W191="","",IF(INDEX('Per Invoice'!D$2:D$801,$W191)="","",INDEX('Per Invoice'!D$2:D$801,$W191)))</f>
        <v/>
      </c>
      <c r="E191">
        <f>IF($W191="","",IF(INDEX('Per Invoice'!E$2:E$801,$W191)="","",INDEX('Per Invoice'!E$2:E$801,$W191)))</f>
        <v/>
      </c>
      <c r="F191">
        <f>IF($W191="","",IF(INDEX('Per Invoice'!F$2:F$801,$W191)="","",INDEX('Per Invoice'!F$2:F$801,$W191)))</f>
        <v/>
      </c>
      <c r="G191">
        <f>IF($W191="","",IF(INDEX('Per Invoice'!G$2:G$801,$W191)="","",INDEX('Per Invoice'!G$2:G$801,$W191)))</f>
        <v/>
      </c>
      <c r="H191">
        <f>IF($W191="","",IF(INDEX('Per Invoice'!H$2:H$801,$W191)="","",INDEX('Per Invoice'!H$2:H$801,$W191)))</f>
        <v/>
      </c>
      <c r="I191">
        <f>IF($W191="","",IF(INDEX('Per Invoice'!I$2:I$801,$W191)="","",INDEX('Per Invoice'!I$2:I$801,$W191)))</f>
        <v/>
      </c>
      <c r="J191">
        <f>IF($W191="","",IF(INDEX('Per Invoice'!J$2:J$801,$W191)="","",INDEX('Per Invoice'!J$2:J$801,$W191)))</f>
        <v/>
      </c>
      <c r="K191" s="7">
        <f>IF($W191="","",IF(INDEX('Per Invoice'!K$2:K$801,$W191)="","",INDEX('Per Invoice'!K$2:K$801,$W191)))</f>
        <v/>
      </c>
      <c r="L191" s="14">
        <f>IF($W191="","",IF(INDEX('Per Invoice'!L$2:L$801,$W191)="","",INDEX('Per Invoice'!L$2:L$801,$W191)))</f>
        <v/>
      </c>
      <c r="M191">
        <f>IF($W191="","",IF(INDEX('Per Invoice'!M$2:M$801,$W191)="","",INDEX('Per Invoice'!M$2:M$801,$W191)))</f>
        <v/>
      </c>
      <c r="N191" s="7">
        <f>IF($W191="","",IF(INDEX('Per Invoice'!N$2:N$801,$W191)="","",INDEX('Per Invoice'!N$2:N$801,$W191)))</f>
        <v/>
      </c>
      <c r="O191" s="7">
        <f>IF($W191="","",IF(INDEX('Per Invoice'!O$2:O$801,$W191)="","",INDEX('Per Invoice'!O$2:O$801,$W191)))</f>
        <v/>
      </c>
      <c r="P191">
        <f>IF($W191="","",IF(INDEX('Per Invoice'!P$2:P$801,$W191)="","",INDEX('Per Invoice'!P$2:P$801,$W191)))</f>
        <v/>
      </c>
      <c r="Q191" s="7">
        <f>IF($W191="","",IF(INDEX('Per Invoice'!Q$2:Q$801,$W191)="","",INDEX('Per Invoice'!Q$2:Q$801,$W191)))</f>
        <v/>
      </c>
      <c r="R191" s="7">
        <f>IF($W191="","",IF(INDEX('Per Invoice'!R$2:R$801,$W191)="","",INDEX('Per Invoice'!R$2:R$801,$W191)))</f>
        <v/>
      </c>
      <c r="S191" s="7">
        <f>IF($W191="","",IF(INDEX('Per Invoice'!S$2:S$801,$W191)="","",INDEX('Per Invoice'!S$2:S$801,$W191)))</f>
        <v/>
      </c>
      <c r="T191" s="7">
        <f>IF($W191="","",IF(INDEX('Per Invoice'!T$2:T$801,$W191)="","",INDEX('Per Invoice'!T$2:T$801,$W191)))</f>
        <v/>
      </c>
      <c r="U191" s="7">
        <f>IF($W191="","",IF(INDEX('Per Invoice'!U$2:U$801,$W191)="","",INDEX('Per Invoice'!U$2:U$801,$W191)))</f>
        <v/>
      </c>
      <c r="V191" s="7">
        <f>IF($W191="","",IF(INDEX('Per Invoice'!V$2:V$801,$W191)="","",INDEX('Per Invoice'!V$2:V$801,$W191)))</f>
        <v/>
      </c>
      <c r="W191" s="16">
        <f>IFERROR(MATCH(Settings!$C$30&amp;"|"&amp;ROWS($W$2:$W191),'Per Invoice'!$X$2:$X$801,0),"")</f>
        <v/>
      </c>
    </row>
    <row r="192">
      <c r="A192">
        <f>IF($W192="","",IF(INDEX('Per Invoice'!A$2:A$801,$W192)="","",INDEX('Per Invoice'!A$2:A$801,$W192)))</f>
        <v/>
      </c>
      <c r="B192">
        <f>IF($W192="","",IF(INDEX('Per Invoice'!B$2:B$801,$W192)="","",INDEX('Per Invoice'!B$2:B$801,$W192)))</f>
        <v/>
      </c>
      <c r="C192">
        <f>IF($W192="","",IF(INDEX('Per Invoice'!C$2:C$801,$W192)="","",INDEX('Per Invoice'!C$2:C$801,$W192)))</f>
        <v/>
      </c>
      <c r="D192">
        <f>IF($W192="","",IF(INDEX('Per Invoice'!D$2:D$801,$W192)="","",INDEX('Per Invoice'!D$2:D$801,$W192)))</f>
        <v/>
      </c>
      <c r="E192">
        <f>IF($W192="","",IF(INDEX('Per Invoice'!E$2:E$801,$W192)="","",INDEX('Per Invoice'!E$2:E$801,$W192)))</f>
        <v/>
      </c>
      <c r="F192">
        <f>IF($W192="","",IF(INDEX('Per Invoice'!F$2:F$801,$W192)="","",INDEX('Per Invoice'!F$2:F$801,$W192)))</f>
        <v/>
      </c>
      <c r="G192">
        <f>IF($W192="","",IF(INDEX('Per Invoice'!G$2:G$801,$W192)="","",INDEX('Per Invoice'!G$2:G$801,$W192)))</f>
        <v/>
      </c>
      <c r="H192">
        <f>IF($W192="","",IF(INDEX('Per Invoice'!H$2:H$801,$W192)="","",INDEX('Per Invoice'!H$2:H$801,$W192)))</f>
        <v/>
      </c>
      <c r="I192">
        <f>IF($W192="","",IF(INDEX('Per Invoice'!I$2:I$801,$W192)="","",INDEX('Per Invoice'!I$2:I$801,$W192)))</f>
        <v/>
      </c>
      <c r="J192">
        <f>IF($W192="","",IF(INDEX('Per Invoice'!J$2:J$801,$W192)="","",INDEX('Per Invoice'!J$2:J$801,$W192)))</f>
        <v/>
      </c>
      <c r="K192" s="7">
        <f>IF($W192="","",IF(INDEX('Per Invoice'!K$2:K$801,$W192)="","",INDEX('Per Invoice'!K$2:K$801,$W192)))</f>
        <v/>
      </c>
      <c r="L192" s="14">
        <f>IF($W192="","",IF(INDEX('Per Invoice'!L$2:L$801,$W192)="","",INDEX('Per Invoice'!L$2:L$801,$W192)))</f>
        <v/>
      </c>
      <c r="M192">
        <f>IF($W192="","",IF(INDEX('Per Invoice'!M$2:M$801,$W192)="","",INDEX('Per Invoice'!M$2:M$801,$W192)))</f>
        <v/>
      </c>
      <c r="N192" s="7">
        <f>IF($W192="","",IF(INDEX('Per Invoice'!N$2:N$801,$W192)="","",INDEX('Per Invoice'!N$2:N$801,$W192)))</f>
        <v/>
      </c>
      <c r="O192" s="7">
        <f>IF($W192="","",IF(INDEX('Per Invoice'!O$2:O$801,$W192)="","",INDEX('Per Invoice'!O$2:O$801,$W192)))</f>
        <v/>
      </c>
      <c r="P192">
        <f>IF($W192="","",IF(INDEX('Per Invoice'!P$2:P$801,$W192)="","",INDEX('Per Invoice'!P$2:P$801,$W192)))</f>
        <v/>
      </c>
      <c r="Q192" s="7">
        <f>IF($W192="","",IF(INDEX('Per Invoice'!Q$2:Q$801,$W192)="","",INDEX('Per Invoice'!Q$2:Q$801,$W192)))</f>
        <v/>
      </c>
      <c r="R192" s="7">
        <f>IF($W192="","",IF(INDEX('Per Invoice'!R$2:R$801,$W192)="","",INDEX('Per Invoice'!R$2:R$801,$W192)))</f>
        <v/>
      </c>
      <c r="S192" s="7">
        <f>IF($W192="","",IF(INDEX('Per Invoice'!S$2:S$801,$W192)="","",INDEX('Per Invoice'!S$2:S$801,$W192)))</f>
        <v/>
      </c>
      <c r="T192" s="7">
        <f>IF($W192="","",IF(INDEX('Per Invoice'!T$2:T$801,$W192)="","",INDEX('Per Invoice'!T$2:T$801,$W192)))</f>
        <v/>
      </c>
      <c r="U192" s="7">
        <f>IF($W192="","",IF(INDEX('Per Invoice'!U$2:U$801,$W192)="","",INDEX('Per Invoice'!U$2:U$801,$W192)))</f>
        <v/>
      </c>
      <c r="V192" s="7">
        <f>IF($W192="","",IF(INDEX('Per Invoice'!V$2:V$801,$W192)="","",INDEX('Per Invoice'!V$2:V$801,$W192)))</f>
        <v/>
      </c>
      <c r="W192" s="16">
        <f>IFERROR(MATCH(Settings!$C$30&amp;"|"&amp;ROWS($W$2:$W192),'Per Invoice'!$X$2:$X$801,0),"")</f>
        <v/>
      </c>
    </row>
    <row r="193">
      <c r="A193">
        <f>IF($W193="","",IF(INDEX('Per Invoice'!A$2:A$801,$W193)="","",INDEX('Per Invoice'!A$2:A$801,$W193)))</f>
        <v/>
      </c>
      <c r="B193">
        <f>IF($W193="","",IF(INDEX('Per Invoice'!B$2:B$801,$W193)="","",INDEX('Per Invoice'!B$2:B$801,$W193)))</f>
        <v/>
      </c>
      <c r="C193">
        <f>IF($W193="","",IF(INDEX('Per Invoice'!C$2:C$801,$W193)="","",INDEX('Per Invoice'!C$2:C$801,$W193)))</f>
        <v/>
      </c>
      <c r="D193">
        <f>IF($W193="","",IF(INDEX('Per Invoice'!D$2:D$801,$W193)="","",INDEX('Per Invoice'!D$2:D$801,$W193)))</f>
        <v/>
      </c>
      <c r="E193">
        <f>IF($W193="","",IF(INDEX('Per Invoice'!E$2:E$801,$W193)="","",INDEX('Per Invoice'!E$2:E$801,$W193)))</f>
        <v/>
      </c>
      <c r="F193">
        <f>IF($W193="","",IF(INDEX('Per Invoice'!F$2:F$801,$W193)="","",INDEX('Per Invoice'!F$2:F$801,$W193)))</f>
        <v/>
      </c>
      <c r="G193">
        <f>IF($W193="","",IF(INDEX('Per Invoice'!G$2:G$801,$W193)="","",INDEX('Per Invoice'!G$2:G$801,$W193)))</f>
        <v/>
      </c>
      <c r="H193">
        <f>IF($W193="","",IF(INDEX('Per Invoice'!H$2:H$801,$W193)="","",INDEX('Per Invoice'!H$2:H$801,$W193)))</f>
        <v/>
      </c>
      <c r="I193">
        <f>IF($W193="","",IF(INDEX('Per Invoice'!I$2:I$801,$W193)="","",INDEX('Per Invoice'!I$2:I$801,$W193)))</f>
        <v/>
      </c>
      <c r="J193">
        <f>IF($W193="","",IF(INDEX('Per Invoice'!J$2:J$801,$W193)="","",INDEX('Per Invoice'!J$2:J$801,$W193)))</f>
        <v/>
      </c>
      <c r="K193" s="7">
        <f>IF($W193="","",IF(INDEX('Per Invoice'!K$2:K$801,$W193)="","",INDEX('Per Invoice'!K$2:K$801,$W193)))</f>
        <v/>
      </c>
      <c r="L193" s="14">
        <f>IF($W193="","",IF(INDEX('Per Invoice'!L$2:L$801,$W193)="","",INDEX('Per Invoice'!L$2:L$801,$W193)))</f>
        <v/>
      </c>
      <c r="M193">
        <f>IF($W193="","",IF(INDEX('Per Invoice'!M$2:M$801,$W193)="","",INDEX('Per Invoice'!M$2:M$801,$W193)))</f>
        <v/>
      </c>
      <c r="N193" s="7">
        <f>IF($W193="","",IF(INDEX('Per Invoice'!N$2:N$801,$W193)="","",INDEX('Per Invoice'!N$2:N$801,$W193)))</f>
        <v/>
      </c>
      <c r="O193" s="7">
        <f>IF($W193="","",IF(INDEX('Per Invoice'!O$2:O$801,$W193)="","",INDEX('Per Invoice'!O$2:O$801,$W193)))</f>
        <v/>
      </c>
      <c r="P193">
        <f>IF($W193="","",IF(INDEX('Per Invoice'!P$2:P$801,$W193)="","",INDEX('Per Invoice'!P$2:P$801,$W193)))</f>
        <v/>
      </c>
      <c r="Q193" s="7">
        <f>IF($W193="","",IF(INDEX('Per Invoice'!Q$2:Q$801,$W193)="","",INDEX('Per Invoice'!Q$2:Q$801,$W193)))</f>
        <v/>
      </c>
      <c r="R193" s="7">
        <f>IF($W193="","",IF(INDEX('Per Invoice'!R$2:R$801,$W193)="","",INDEX('Per Invoice'!R$2:R$801,$W193)))</f>
        <v/>
      </c>
      <c r="S193" s="7">
        <f>IF($W193="","",IF(INDEX('Per Invoice'!S$2:S$801,$W193)="","",INDEX('Per Invoice'!S$2:S$801,$W193)))</f>
        <v/>
      </c>
      <c r="T193" s="7">
        <f>IF($W193="","",IF(INDEX('Per Invoice'!T$2:T$801,$W193)="","",INDEX('Per Invoice'!T$2:T$801,$W193)))</f>
        <v/>
      </c>
      <c r="U193" s="7">
        <f>IF($W193="","",IF(INDEX('Per Invoice'!U$2:U$801,$W193)="","",INDEX('Per Invoice'!U$2:U$801,$W193)))</f>
        <v/>
      </c>
      <c r="V193" s="7">
        <f>IF($W193="","",IF(INDEX('Per Invoice'!V$2:V$801,$W193)="","",INDEX('Per Invoice'!V$2:V$801,$W193)))</f>
        <v/>
      </c>
      <c r="W193" s="16">
        <f>IFERROR(MATCH(Settings!$C$30&amp;"|"&amp;ROWS($W$2:$W193),'Per Invoice'!$X$2:$X$801,0),"")</f>
        <v/>
      </c>
    </row>
    <row r="194">
      <c r="A194">
        <f>IF($W194="","",IF(INDEX('Per Invoice'!A$2:A$801,$W194)="","",INDEX('Per Invoice'!A$2:A$801,$W194)))</f>
        <v/>
      </c>
      <c r="B194">
        <f>IF($W194="","",IF(INDEX('Per Invoice'!B$2:B$801,$W194)="","",INDEX('Per Invoice'!B$2:B$801,$W194)))</f>
        <v/>
      </c>
      <c r="C194">
        <f>IF($W194="","",IF(INDEX('Per Invoice'!C$2:C$801,$W194)="","",INDEX('Per Invoice'!C$2:C$801,$W194)))</f>
        <v/>
      </c>
      <c r="D194">
        <f>IF($W194="","",IF(INDEX('Per Invoice'!D$2:D$801,$W194)="","",INDEX('Per Invoice'!D$2:D$801,$W194)))</f>
        <v/>
      </c>
      <c r="E194">
        <f>IF($W194="","",IF(INDEX('Per Invoice'!E$2:E$801,$W194)="","",INDEX('Per Invoice'!E$2:E$801,$W194)))</f>
        <v/>
      </c>
      <c r="F194">
        <f>IF($W194="","",IF(INDEX('Per Invoice'!F$2:F$801,$W194)="","",INDEX('Per Invoice'!F$2:F$801,$W194)))</f>
        <v/>
      </c>
      <c r="G194">
        <f>IF($W194="","",IF(INDEX('Per Invoice'!G$2:G$801,$W194)="","",INDEX('Per Invoice'!G$2:G$801,$W194)))</f>
        <v/>
      </c>
      <c r="H194">
        <f>IF($W194="","",IF(INDEX('Per Invoice'!H$2:H$801,$W194)="","",INDEX('Per Invoice'!H$2:H$801,$W194)))</f>
        <v/>
      </c>
      <c r="I194">
        <f>IF($W194="","",IF(INDEX('Per Invoice'!I$2:I$801,$W194)="","",INDEX('Per Invoice'!I$2:I$801,$W194)))</f>
        <v/>
      </c>
      <c r="J194">
        <f>IF($W194="","",IF(INDEX('Per Invoice'!J$2:J$801,$W194)="","",INDEX('Per Invoice'!J$2:J$801,$W194)))</f>
        <v/>
      </c>
      <c r="K194" s="7">
        <f>IF($W194="","",IF(INDEX('Per Invoice'!K$2:K$801,$W194)="","",INDEX('Per Invoice'!K$2:K$801,$W194)))</f>
        <v/>
      </c>
      <c r="L194" s="14">
        <f>IF($W194="","",IF(INDEX('Per Invoice'!L$2:L$801,$W194)="","",INDEX('Per Invoice'!L$2:L$801,$W194)))</f>
        <v/>
      </c>
      <c r="M194">
        <f>IF($W194="","",IF(INDEX('Per Invoice'!M$2:M$801,$W194)="","",INDEX('Per Invoice'!M$2:M$801,$W194)))</f>
        <v/>
      </c>
      <c r="N194" s="7">
        <f>IF($W194="","",IF(INDEX('Per Invoice'!N$2:N$801,$W194)="","",INDEX('Per Invoice'!N$2:N$801,$W194)))</f>
        <v/>
      </c>
      <c r="O194" s="7">
        <f>IF($W194="","",IF(INDEX('Per Invoice'!O$2:O$801,$W194)="","",INDEX('Per Invoice'!O$2:O$801,$W194)))</f>
        <v/>
      </c>
      <c r="P194">
        <f>IF($W194="","",IF(INDEX('Per Invoice'!P$2:P$801,$W194)="","",INDEX('Per Invoice'!P$2:P$801,$W194)))</f>
        <v/>
      </c>
      <c r="Q194" s="7">
        <f>IF($W194="","",IF(INDEX('Per Invoice'!Q$2:Q$801,$W194)="","",INDEX('Per Invoice'!Q$2:Q$801,$W194)))</f>
        <v/>
      </c>
      <c r="R194" s="7">
        <f>IF($W194="","",IF(INDEX('Per Invoice'!R$2:R$801,$W194)="","",INDEX('Per Invoice'!R$2:R$801,$W194)))</f>
        <v/>
      </c>
      <c r="S194" s="7">
        <f>IF($W194="","",IF(INDEX('Per Invoice'!S$2:S$801,$W194)="","",INDEX('Per Invoice'!S$2:S$801,$W194)))</f>
        <v/>
      </c>
      <c r="T194" s="7">
        <f>IF($W194="","",IF(INDEX('Per Invoice'!T$2:T$801,$W194)="","",INDEX('Per Invoice'!T$2:T$801,$W194)))</f>
        <v/>
      </c>
      <c r="U194" s="7">
        <f>IF($W194="","",IF(INDEX('Per Invoice'!U$2:U$801,$W194)="","",INDEX('Per Invoice'!U$2:U$801,$W194)))</f>
        <v/>
      </c>
      <c r="V194" s="7">
        <f>IF($W194="","",IF(INDEX('Per Invoice'!V$2:V$801,$W194)="","",INDEX('Per Invoice'!V$2:V$801,$W194)))</f>
        <v/>
      </c>
      <c r="W194" s="16">
        <f>IFERROR(MATCH(Settings!$C$30&amp;"|"&amp;ROWS($W$2:$W194),'Per Invoice'!$X$2:$X$801,0),"")</f>
        <v/>
      </c>
    </row>
    <row r="195">
      <c r="A195">
        <f>IF($W195="","",IF(INDEX('Per Invoice'!A$2:A$801,$W195)="","",INDEX('Per Invoice'!A$2:A$801,$W195)))</f>
        <v/>
      </c>
      <c r="B195">
        <f>IF($W195="","",IF(INDEX('Per Invoice'!B$2:B$801,$W195)="","",INDEX('Per Invoice'!B$2:B$801,$W195)))</f>
        <v/>
      </c>
      <c r="C195">
        <f>IF($W195="","",IF(INDEX('Per Invoice'!C$2:C$801,$W195)="","",INDEX('Per Invoice'!C$2:C$801,$W195)))</f>
        <v/>
      </c>
      <c r="D195">
        <f>IF($W195="","",IF(INDEX('Per Invoice'!D$2:D$801,$W195)="","",INDEX('Per Invoice'!D$2:D$801,$W195)))</f>
        <v/>
      </c>
      <c r="E195">
        <f>IF($W195="","",IF(INDEX('Per Invoice'!E$2:E$801,$W195)="","",INDEX('Per Invoice'!E$2:E$801,$W195)))</f>
        <v/>
      </c>
      <c r="F195">
        <f>IF($W195="","",IF(INDEX('Per Invoice'!F$2:F$801,$W195)="","",INDEX('Per Invoice'!F$2:F$801,$W195)))</f>
        <v/>
      </c>
      <c r="G195">
        <f>IF($W195="","",IF(INDEX('Per Invoice'!G$2:G$801,$W195)="","",INDEX('Per Invoice'!G$2:G$801,$W195)))</f>
        <v/>
      </c>
      <c r="H195">
        <f>IF($W195="","",IF(INDEX('Per Invoice'!H$2:H$801,$W195)="","",INDEX('Per Invoice'!H$2:H$801,$W195)))</f>
        <v/>
      </c>
      <c r="I195">
        <f>IF($W195="","",IF(INDEX('Per Invoice'!I$2:I$801,$W195)="","",INDEX('Per Invoice'!I$2:I$801,$W195)))</f>
        <v/>
      </c>
      <c r="J195">
        <f>IF($W195="","",IF(INDEX('Per Invoice'!J$2:J$801,$W195)="","",INDEX('Per Invoice'!J$2:J$801,$W195)))</f>
        <v/>
      </c>
      <c r="K195" s="7">
        <f>IF($W195="","",IF(INDEX('Per Invoice'!K$2:K$801,$W195)="","",INDEX('Per Invoice'!K$2:K$801,$W195)))</f>
        <v/>
      </c>
      <c r="L195" s="14">
        <f>IF($W195="","",IF(INDEX('Per Invoice'!L$2:L$801,$W195)="","",INDEX('Per Invoice'!L$2:L$801,$W195)))</f>
        <v/>
      </c>
      <c r="M195">
        <f>IF($W195="","",IF(INDEX('Per Invoice'!M$2:M$801,$W195)="","",INDEX('Per Invoice'!M$2:M$801,$W195)))</f>
        <v/>
      </c>
      <c r="N195" s="7">
        <f>IF($W195="","",IF(INDEX('Per Invoice'!N$2:N$801,$W195)="","",INDEX('Per Invoice'!N$2:N$801,$W195)))</f>
        <v/>
      </c>
      <c r="O195" s="7">
        <f>IF($W195="","",IF(INDEX('Per Invoice'!O$2:O$801,$W195)="","",INDEX('Per Invoice'!O$2:O$801,$W195)))</f>
        <v/>
      </c>
      <c r="P195">
        <f>IF($W195="","",IF(INDEX('Per Invoice'!P$2:P$801,$W195)="","",INDEX('Per Invoice'!P$2:P$801,$W195)))</f>
        <v/>
      </c>
      <c r="Q195" s="7">
        <f>IF($W195="","",IF(INDEX('Per Invoice'!Q$2:Q$801,$W195)="","",INDEX('Per Invoice'!Q$2:Q$801,$W195)))</f>
        <v/>
      </c>
      <c r="R195" s="7">
        <f>IF($W195="","",IF(INDEX('Per Invoice'!R$2:R$801,$W195)="","",INDEX('Per Invoice'!R$2:R$801,$W195)))</f>
        <v/>
      </c>
      <c r="S195" s="7">
        <f>IF($W195="","",IF(INDEX('Per Invoice'!S$2:S$801,$W195)="","",INDEX('Per Invoice'!S$2:S$801,$W195)))</f>
        <v/>
      </c>
      <c r="T195" s="7">
        <f>IF($W195="","",IF(INDEX('Per Invoice'!T$2:T$801,$W195)="","",INDEX('Per Invoice'!T$2:T$801,$W195)))</f>
        <v/>
      </c>
      <c r="U195" s="7">
        <f>IF($W195="","",IF(INDEX('Per Invoice'!U$2:U$801,$W195)="","",INDEX('Per Invoice'!U$2:U$801,$W195)))</f>
        <v/>
      </c>
      <c r="V195" s="7">
        <f>IF($W195="","",IF(INDEX('Per Invoice'!V$2:V$801,$W195)="","",INDEX('Per Invoice'!V$2:V$801,$W195)))</f>
        <v/>
      </c>
      <c r="W195" s="16">
        <f>IFERROR(MATCH(Settings!$C$30&amp;"|"&amp;ROWS($W$2:$W195),'Per Invoice'!$X$2:$X$801,0),"")</f>
        <v/>
      </c>
    </row>
    <row r="196">
      <c r="A196">
        <f>IF($W196="","",IF(INDEX('Per Invoice'!A$2:A$801,$W196)="","",INDEX('Per Invoice'!A$2:A$801,$W196)))</f>
        <v/>
      </c>
      <c r="B196">
        <f>IF($W196="","",IF(INDEX('Per Invoice'!B$2:B$801,$W196)="","",INDEX('Per Invoice'!B$2:B$801,$W196)))</f>
        <v/>
      </c>
      <c r="C196">
        <f>IF($W196="","",IF(INDEX('Per Invoice'!C$2:C$801,$W196)="","",INDEX('Per Invoice'!C$2:C$801,$W196)))</f>
        <v/>
      </c>
      <c r="D196">
        <f>IF($W196="","",IF(INDEX('Per Invoice'!D$2:D$801,$W196)="","",INDEX('Per Invoice'!D$2:D$801,$W196)))</f>
        <v/>
      </c>
      <c r="E196">
        <f>IF($W196="","",IF(INDEX('Per Invoice'!E$2:E$801,$W196)="","",INDEX('Per Invoice'!E$2:E$801,$W196)))</f>
        <v/>
      </c>
      <c r="F196">
        <f>IF($W196="","",IF(INDEX('Per Invoice'!F$2:F$801,$W196)="","",INDEX('Per Invoice'!F$2:F$801,$W196)))</f>
        <v/>
      </c>
      <c r="G196">
        <f>IF($W196="","",IF(INDEX('Per Invoice'!G$2:G$801,$W196)="","",INDEX('Per Invoice'!G$2:G$801,$W196)))</f>
        <v/>
      </c>
      <c r="H196">
        <f>IF($W196="","",IF(INDEX('Per Invoice'!H$2:H$801,$W196)="","",INDEX('Per Invoice'!H$2:H$801,$W196)))</f>
        <v/>
      </c>
      <c r="I196">
        <f>IF($W196="","",IF(INDEX('Per Invoice'!I$2:I$801,$W196)="","",INDEX('Per Invoice'!I$2:I$801,$W196)))</f>
        <v/>
      </c>
      <c r="J196">
        <f>IF($W196="","",IF(INDEX('Per Invoice'!J$2:J$801,$W196)="","",INDEX('Per Invoice'!J$2:J$801,$W196)))</f>
        <v/>
      </c>
      <c r="K196" s="7">
        <f>IF($W196="","",IF(INDEX('Per Invoice'!K$2:K$801,$W196)="","",INDEX('Per Invoice'!K$2:K$801,$W196)))</f>
        <v/>
      </c>
      <c r="L196" s="14">
        <f>IF($W196="","",IF(INDEX('Per Invoice'!L$2:L$801,$W196)="","",INDEX('Per Invoice'!L$2:L$801,$W196)))</f>
        <v/>
      </c>
      <c r="M196">
        <f>IF($W196="","",IF(INDEX('Per Invoice'!M$2:M$801,$W196)="","",INDEX('Per Invoice'!M$2:M$801,$W196)))</f>
        <v/>
      </c>
      <c r="N196" s="7">
        <f>IF($W196="","",IF(INDEX('Per Invoice'!N$2:N$801,$W196)="","",INDEX('Per Invoice'!N$2:N$801,$W196)))</f>
        <v/>
      </c>
      <c r="O196" s="7">
        <f>IF($W196="","",IF(INDEX('Per Invoice'!O$2:O$801,$W196)="","",INDEX('Per Invoice'!O$2:O$801,$W196)))</f>
        <v/>
      </c>
      <c r="P196">
        <f>IF($W196="","",IF(INDEX('Per Invoice'!P$2:P$801,$W196)="","",INDEX('Per Invoice'!P$2:P$801,$W196)))</f>
        <v/>
      </c>
      <c r="Q196" s="7">
        <f>IF($W196="","",IF(INDEX('Per Invoice'!Q$2:Q$801,$W196)="","",INDEX('Per Invoice'!Q$2:Q$801,$W196)))</f>
        <v/>
      </c>
      <c r="R196" s="7">
        <f>IF($W196="","",IF(INDEX('Per Invoice'!R$2:R$801,$W196)="","",INDEX('Per Invoice'!R$2:R$801,$W196)))</f>
        <v/>
      </c>
      <c r="S196" s="7">
        <f>IF($W196="","",IF(INDEX('Per Invoice'!S$2:S$801,$W196)="","",INDEX('Per Invoice'!S$2:S$801,$W196)))</f>
        <v/>
      </c>
      <c r="T196" s="7">
        <f>IF($W196="","",IF(INDEX('Per Invoice'!T$2:T$801,$W196)="","",INDEX('Per Invoice'!T$2:T$801,$W196)))</f>
        <v/>
      </c>
      <c r="U196" s="7">
        <f>IF($W196="","",IF(INDEX('Per Invoice'!U$2:U$801,$W196)="","",INDEX('Per Invoice'!U$2:U$801,$W196)))</f>
        <v/>
      </c>
      <c r="V196" s="7">
        <f>IF($W196="","",IF(INDEX('Per Invoice'!V$2:V$801,$W196)="","",INDEX('Per Invoice'!V$2:V$801,$W196)))</f>
        <v/>
      </c>
      <c r="W196" s="16">
        <f>IFERROR(MATCH(Settings!$C$30&amp;"|"&amp;ROWS($W$2:$W196),'Per Invoice'!$X$2:$X$801,0),"")</f>
        <v/>
      </c>
    </row>
    <row r="197">
      <c r="A197">
        <f>IF($W197="","",IF(INDEX('Per Invoice'!A$2:A$801,$W197)="","",INDEX('Per Invoice'!A$2:A$801,$W197)))</f>
        <v/>
      </c>
      <c r="B197">
        <f>IF($W197="","",IF(INDEX('Per Invoice'!B$2:B$801,$W197)="","",INDEX('Per Invoice'!B$2:B$801,$W197)))</f>
        <v/>
      </c>
      <c r="C197">
        <f>IF($W197="","",IF(INDEX('Per Invoice'!C$2:C$801,$W197)="","",INDEX('Per Invoice'!C$2:C$801,$W197)))</f>
        <v/>
      </c>
      <c r="D197">
        <f>IF($W197="","",IF(INDEX('Per Invoice'!D$2:D$801,$W197)="","",INDEX('Per Invoice'!D$2:D$801,$W197)))</f>
        <v/>
      </c>
      <c r="E197">
        <f>IF($W197="","",IF(INDEX('Per Invoice'!E$2:E$801,$W197)="","",INDEX('Per Invoice'!E$2:E$801,$W197)))</f>
        <v/>
      </c>
      <c r="F197">
        <f>IF($W197="","",IF(INDEX('Per Invoice'!F$2:F$801,$W197)="","",INDEX('Per Invoice'!F$2:F$801,$W197)))</f>
        <v/>
      </c>
      <c r="G197">
        <f>IF($W197="","",IF(INDEX('Per Invoice'!G$2:G$801,$W197)="","",INDEX('Per Invoice'!G$2:G$801,$W197)))</f>
        <v/>
      </c>
      <c r="H197">
        <f>IF($W197="","",IF(INDEX('Per Invoice'!H$2:H$801,$W197)="","",INDEX('Per Invoice'!H$2:H$801,$W197)))</f>
        <v/>
      </c>
      <c r="I197">
        <f>IF($W197="","",IF(INDEX('Per Invoice'!I$2:I$801,$W197)="","",INDEX('Per Invoice'!I$2:I$801,$W197)))</f>
        <v/>
      </c>
      <c r="J197">
        <f>IF($W197="","",IF(INDEX('Per Invoice'!J$2:J$801,$W197)="","",INDEX('Per Invoice'!J$2:J$801,$W197)))</f>
        <v/>
      </c>
      <c r="K197" s="7">
        <f>IF($W197="","",IF(INDEX('Per Invoice'!K$2:K$801,$W197)="","",INDEX('Per Invoice'!K$2:K$801,$W197)))</f>
        <v/>
      </c>
      <c r="L197" s="14">
        <f>IF($W197="","",IF(INDEX('Per Invoice'!L$2:L$801,$W197)="","",INDEX('Per Invoice'!L$2:L$801,$W197)))</f>
        <v/>
      </c>
      <c r="M197">
        <f>IF($W197="","",IF(INDEX('Per Invoice'!M$2:M$801,$W197)="","",INDEX('Per Invoice'!M$2:M$801,$W197)))</f>
        <v/>
      </c>
      <c r="N197" s="7">
        <f>IF($W197="","",IF(INDEX('Per Invoice'!N$2:N$801,$W197)="","",INDEX('Per Invoice'!N$2:N$801,$W197)))</f>
        <v/>
      </c>
      <c r="O197" s="7">
        <f>IF($W197="","",IF(INDEX('Per Invoice'!O$2:O$801,$W197)="","",INDEX('Per Invoice'!O$2:O$801,$W197)))</f>
        <v/>
      </c>
      <c r="P197">
        <f>IF($W197="","",IF(INDEX('Per Invoice'!P$2:P$801,$W197)="","",INDEX('Per Invoice'!P$2:P$801,$W197)))</f>
        <v/>
      </c>
      <c r="Q197" s="7">
        <f>IF($W197="","",IF(INDEX('Per Invoice'!Q$2:Q$801,$W197)="","",INDEX('Per Invoice'!Q$2:Q$801,$W197)))</f>
        <v/>
      </c>
      <c r="R197" s="7">
        <f>IF($W197="","",IF(INDEX('Per Invoice'!R$2:R$801,$W197)="","",INDEX('Per Invoice'!R$2:R$801,$W197)))</f>
        <v/>
      </c>
      <c r="S197" s="7">
        <f>IF($W197="","",IF(INDEX('Per Invoice'!S$2:S$801,$W197)="","",INDEX('Per Invoice'!S$2:S$801,$W197)))</f>
        <v/>
      </c>
      <c r="T197" s="7">
        <f>IF($W197="","",IF(INDEX('Per Invoice'!T$2:T$801,$W197)="","",INDEX('Per Invoice'!T$2:T$801,$W197)))</f>
        <v/>
      </c>
      <c r="U197" s="7">
        <f>IF($W197="","",IF(INDEX('Per Invoice'!U$2:U$801,$W197)="","",INDEX('Per Invoice'!U$2:U$801,$W197)))</f>
        <v/>
      </c>
      <c r="V197" s="7">
        <f>IF($W197="","",IF(INDEX('Per Invoice'!V$2:V$801,$W197)="","",INDEX('Per Invoice'!V$2:V$801,$W197)))</f>
        <v/>
      </c>
      <c r="W197" s="16">
        <f>IFERROR(MATCH(Settings!$C$30&amp;"|"&amp;ROWS($W$2:$W197),'Per Invoice'!$X$2:$X$801,0),"")</f>
        <v/>
      </c>
    </row>
    <row r="198">
      <c r="A198">
        <f>IF($W198="","",IF(INDEX('Per Invoice'!A$2:A$801,$W198)="","",INDEX('Per Invoice'!A$2:A$801,$W198)))</f>
        <v/>
      </c>
      <c r="B198">
        <f>IF($W198="","",IF(INDEX('Per Invoice'!B$2:B$801,$W198)="","",INDEX('Per Invoice'!B$2:B$801,$W198)))</f>
        <v/>
      </c>
      <c r="C198">
        <f>IF($W198="","",IF(INDEX('Per Invoice'!C$2:C$801,$W198)="","",INDEX('Per Invoice'!C$2:C$801,$W198)))</f>
        <v/>
      </c>
      <c r="D198">
        <f>IF($W198="","",IF(INDEX('Per Invoice'!D$2:D$801,$W198)="","",INDEX('Per Invoice'!D$2:D$801,$W198)))</f>
        <v/>
      </c>
      <c r="E198">
        <f>IF($W198="","",IF(INDEX('Per Invoice'!E$2:E$801,$W198)="","",INDEX('Per Invoice'!E$2:E$801,$W198)))</f>
        <v/>
      </c>
      <c r="F198">
        <f>IF($W198="","",IF(INDEX('Per Invoice'!F$2:F$801,$W198)="","",INDEX('Per Invoice'!F$2:F$801,$W198)))</f>
        <v/>
      </c>
      <c r="G198">
        <f>IF($W198="","",IF(INDEX('Per Invoice'!G$2:G$801,$W198)="","",INDEX('Per Invoice'!G$2:G$801,$W198)))</f>
        <v/>
      </c>
      <c r="H198">
        <f>IF($W198="","",IF(INDEX('Per Invoice'!H$2:H$801,$W198)="","",INDEX('Per Invoice'!H$2:H$801,$W198)))</f>
        <v/>
      </c>
      <c r="I198">
        <f>IF($W198="","",IF(INDEX('Per Invoice'!I$2:I$801,$W198)="","",INDEX('Per Invoice'!I$2:I$801,$W198)))</f>
        <v/>
      </c>
      <c r="J198">
        <f>IF($W198="","",IF(INDEX('Per Invoice'!J$2:J$801,$W198)="","",INDEX('Per Invoice'!J$2:J$801,$W198)))</f>
        <v/>
      </c>
      <c r="K198" s="7">
        <f>IF($W198="","",IF(INDEX('Per Invoice'!K$2:K$801,$W198)="","",INDEX('Per Invoice'!K$2:K$801,$W198)))</f>
        <v/>
      </c>
      <c r="L198" s="14">
        <f>IF($W198="","",IF(INDEX('Per Invoice'!L$2:L$801,$W198)="","",INDEX('Per Invoice'!L$2:L$801,$W198)))</f>
        <v/>
      </c>
      <c r="M198">
        <f>IF($W198="","",IF(INDEX('Per Invoice'!M$2:M$801,$W198)="","",INDEX('Per Invoice'!M$2:M$801,$W198)))</f>
        <v/>
      </c>
      <c r="N198" s="7">
        <f>IF($W198="","",IF(INDEX('Per Invoice'!N$2:N$801,$W198)="","",INDEX('Per Invoice'!N$2:N$801,$W198)))</f>
        <v/>
      </c>
      <c r="O198" s="7">
        <f>IF($W198="","",IF(INDEX('Per Invoice'!O$2:O$801,$W198)="","",INDEX('Per Invoice'!O$2:O$801,$W198)))</f>
        <v/>
      </c>
      <c r="P198">
        <f>IF($W198="","",IF(INDEX('Per Invoice'!P$2:P$801,$W198)="","",INDEX('Per Invoice'!P$2:P$801,$W198)))</f>
        <v/>
      </c>
      <c r="Q198" s="7">
        <f>IF($W198="","",IF(INDEX('Per Invoice'!Q$2:Q$801,$W198)="","",INDEX('Per Invoice'!Q$2:Q$801,$W198)))</f>
        <v/>
      </c>
      <c r="R198" s="7">
        <f>IF($W198="","",IF(INDEX('Per Invoice'!R$2:R$801,$W198)="","",INDEX('Per Invoice'!R$2:R$801,$W198)))</f>
        <v/>
      </c>
      <c r="S198" s="7">
        <f>IF($W198="","",IF(INDEX('Per Invoice'!S$2:S$801,$W198)="","",INDEX('Per Invoice'!S$2:S$801,$W198)))</f>
        <v/>
      </c>
      <c r="T198" s="7">
        <f>IF($W198="","",IF(INDEX('Per Invoice'!T$2:T$801,$W198)="","",INDEX('Per Invoice'!T$2:T$801,$W198)))</f>
        <v/>
      </c>
      <c r="U198" s="7">
        <f>IF($W198="","",IF(INDEX('Per Invoice'!U$2:U$801,$W198)="","",INDEX('Per Invoice'!U$2:U$801,$W198)))</f>
        <v/>
      </c>
      <c r="V198" s="7">
        <f>IF($W198="","",IF(INDEX('Per Invoice'!V$2:V$801,$W198)="","",INDEX('Per Invoice'!V$2:V$801,$W198)))</f>
        <v/>
      </c>
      <c r="W198" s="16">
        <f>IFERROR(MATCH(Settings!$C$30&amp;"|"&amp;ROWS($W$2:$W198),'Per Invoice'!$X$2:$X$801,0),"")</f>
        <v/>
      </c>
    </row>
    <row r="199">
      <c r="A199">
        <f>IF($W199="","",IF(INDEX('Per Invoice'!A$2:A$801,$W199)="","",INDEX('Per Invoice'!A$2:A$801,$W199)))</f>
        <v/>
      </c>
      <c r="B199">
        <f>IF($W199="","",IF(INDEX('Per Invoice'!B$2:B$801,$W199)="","",INDEX('Per Invoice'!B$2:B$801,$W199)))</f>
        <v/>
      </c>
      <c r="C199">
        <f>IF($W199="","",IF(INDEX('Per Invoice'!C$2:C$801,$W199)="","",INDEX('Per Invoice'!C$2:C$801,$W199)))</f>
        <v/>
      </c>
      <c r="D199">
        <f>IF($W199="","",IF(INDEX('Per Invoice'!D$2:D$801,$W199)="","",INDEX('Per Invoice'!D$2:D$801,$W199)))</f>
        <v/>
      </c>
      <c r="E199">
        <f>IF($W199="","",IF(INDEX('Per Invoice'!E$2:E$801,$W199)="","",INDEX('Per Invoice'!E$2:E$801,$W199)))</f>
        <v/>
      </c>
      <c r="F199">
        <f>IF($W199="","",IF(INDEX('Per Invoice'!F$2:F$801,$W199)="","",INDEX('Per Invoice'!F$2:F$801,$W199)))</f>
        <v/>
      </c>
      <c r="G199">
        <f>IF($W199="","",IF(INDEX('Per Invoice'!G$2:G$801,$W199)="","",INDEX('Per Invoice'!G$2:G$801,$W199)))</f>
        <v/>
      </c>
      <c r="H199">
        <f>IF($W199="","",IF(INDEX('Per Invoice'!H$2:H$801,$W199)="","",INDEX('Per Invoice'!H$2:H$801,$W199)))</f>
        <v/>
      </c>
      <c r="I199">
        <f>IF($W199="","",IF(INDEX('Per Invoice'!I$2:I$801,$W199)="","",INDEX('Per Invoice'!I$2:I$801,$W199)))</f>
        <v/>
      </c>
      <c r="J199">
        <f>IF($W199="","",IF(INDEX('Per Invoice'!J$2:J$801,$W199)="","",INDEX('Per Invoice'!J$2:J$801,$W199)))</f>
        <v/>
      </c>
      <c r="K199" s="7">
        <f>IF($W199="","",IF(INDEX('Per Invoice'!K$2:K$801,$W199)="","",INDEX('Per Invoice'!K$2:K$801,$W199)))</f>
        <v/>
      </c>
      <c r="L199" s="14">
        <f>IF($W199="","",IF(INDEX('Per Invoice'!L$2:L$801,$W199)="","",INDEX('Per Invoice'!L$2:L$801,$W199)))</f>
        <v/>
      </c>
      <c r="M199">
        <f>IF($W199="","",IF(INDEX('Per Invoice'!M$2:M$801,$W199)="","",INDEX('Per Invoice'!M$2:M$801,$W199)))</f>
        <v/>
      </c>
      <c r="N199" s="7">
        <f>IF($W199="","",IF(INDEX('Per Invoice'!N$2:N$801,$W199)="","",INDEX('Per Invoice'!N$2:N$801,$W199)))</f>
        <v/>
      </c>
      <c r="O199" s="7">
        <f>IF($W199="","",IF(INDEX('Per Invoice'!O$2:O$801,$W199)="","",INDEX('Per Invoice'!O$2:O$801,$W199)))</f>
        <v/>
      </c>
      <c r="P199">
        <f>IF($W199="","",IF(INDEX('Per Invoice'!P$2:P$801,$W199)="","",INDEX('Per Invoice'!P$2:P$801,$W199)))</f>
        <v/>
      </c>
      <c r="Q199" s="7">
        <f>IF($W199="","",IF(INDEX('Per Invoice'!Q$2:Q$801,$W199)="","",INDEX('Per Invoice'!Q$2:Q$801,$W199)))</f>
        <v/>
      </c>
      <c r="R199" s="7">
        <f>IF($W199="","",IF(INDEX('Per Invoice'!R$2:R$801,$W199)="","",INDEX('Per Invoice'!R$2:R$801,$W199)))</f>
        <v/>
      </c>
      <c r="S199" s="7">
        <f>IF($W199="","",IF(INDEX('Per Invoice'!S$2:S$801,$W199)="","",INDEX('Per Invoice'!S$2:S$801,$W199)))</f>
        <v/>
      </c>
      <c r="T199" s="7">
        <f>IF($W199="","",IF(INDEX('Per Invoice'!T$2:T$801,$W199)="","",INDEX('Per Invoice'!T$2:T$801,$W199)))</f>
        <v/>
      </c>
      <c r="U199" s="7">
        <f>IF($W199="","",IF(INDEX('Per Invoice'!U$2:U$801,$W199)="","",INDEX('Per Invoice'!U$2:U$801,$W199)))</f>
        <v/>
      </c>
      <c r="V199" s="7">
        <f>IF($W199="","",IF(INDEX('Per Invoice'!V$2:V$801,$W199)="","",INDEX('Per Invoice'!V$2:V$801,$W199)))</f>
        <v/>
      </c>
      <c r="W199" s="16">
        <f>IFERROR(MATCH(Settings!$C$30&amp;"|"&amp;ROWS($W$2:$W199),'Per Invoice'!$X$2:$X$801,0),"")</f>
        <v/>
      </c>
    </row>
    <row r="200">
      <c r="A200">
        <f>IF($W200="","",IF(INDEX('Per Invoice'!A$2:A$801,$W200)="","",INDEX('Per Invoice'!A$2:A$801,$W200)))</f>
        <v/>
      </c>
      <c r="B200">
        <f>IF($W200="","",IF(INDEX('Per Invoice'!B$2:B$801,$W200)="","",INDEX('Per Invoice'!B$2:B$801,$W200)))</f>
        <v/>
      </c>
      <c r="C200">
        <f>IF($W200="","",IF(INDEX('Per Invoice'!C$2:C$801,$W200)="","",INDEX('Per Invoice'!C$2:C$801,$W200)))</f>
        <v/>
      </c>
      <c r="D200">
        <f>IF($W200="","",IF(INDEX('Per Invoice'!D$2:D$801,$W200)="","",INDEX('Per Invoice'!D$2:D$801,$W200)))</f>
        <v/>
      </c>
      <c r="E200">
        <f>IF($W200="","",IF(INDEX('Per Invoice'!E$2:E$801,$W200)="","",INDEX('Per Invoice'!E$2:E$801,$W200)))</f>
        <v/>
      </c>
      <c r="F200">
        <f>IF($W200="","",IF(INDEX('Per Invoice'!F$2:F$801,$W200)="","",INDEX('Per Invoice'!F$2:F$801,$W200)))</f>
        <v/>
      </c>
      <c r="G200">
        <f>IF($W200="","",IF(INDEX('Per Invoice'!G$2:G$801,$W200)="","",INDEX('Per Invoice'!G$2:G$801,$W200)))</f>
        <v/>
      </c>
      <c r="H200">
        <f>IF($W200="","",IF(INDEX('Per Invoice'!H$2:H$801,$W200)="","",INDEX('Per Invoice'!H$2:H$801,$W200)))</f>
        <v/>
      </c>
      <c r="I200">
        <f>IF($W200="","",IF(INDEX('Per Invoice'!I$2:I$801,$W200)="","",INDEX('Per Invoice'!I$2:I$801,$W200)))</f>
        <v/>
      </c>
      <c r="J200">
        <f>IF($W200="","",IF(INDEX('Per Invoice'!J$2:J$801,$W200)="","",INDEX('Per Invoice'!J$2:J$801,$W200)))</f>
        <v/>
      </c>
      <c r="K200" s="7">
        <f>IF($W200="","",IF(INDEX('Per Invoice'!K$2:K$801,$W200)="","",INDEX('Per Invoice'!K$2:K$801,$W200)))</f>
        <v/>
      </c>
      <c r="L200" s="14">
        <f>IF($W200="","",IF(INDEX('Per Invoice'!L$2:L$801,$W200)="","",INDEX('Per Invoice'!L$2:L$801,$W200)))</f>
        <v/>
      </c>
      <c r="M200">
        <f>IF($W200="","",IF(INDEX('Per Invoice'!M$2:M$801,$W200)="","",INDEX('Per Invoice'!M$2:M$801,$W200)))</f>
        <v/>
      </c>
      <c r="N200" s="7">
        <f>IF($W200="","",IF(INDEX('Per Invoice'!N$2:N$801,$W200)="","",INDEX('Per Invoice'!N$2:N$801,$W200)))</f>
        <v/>
      </c>
      <c r="O200" s="7">
        <f>IF($W200="","",IF(INDEX('Per Invoice'!O$2:O$801,$W200)="","",INDEX('Per Invoice'!O$2:O$801,$W200)))</f>
        <v/>
      </c>
      <c r="P200">
        <f>IF($W200="","",IF(INDEX('Per Invoice'!P$2:P$801,$W200)="","",INDEX('Per Invoice'!P$2:P$801,$W200)))</f>
        <v/>
      </c>
      <c r="Q200" s="7">
        <f>IF($W200="","",IF(INDEX('Per Invoice'!Q$2:Q$801,$W200)="","",INDEX('Per Invoice'!Q$2:Q$801,$W200)))</f>
        <v/>
      </c>
      <c r="R200" s="7">
        <f>IF($W200="","",IF(INDEX('Per Invoice'!R$2:R$801,$W200)="","",INDEX('Per Invoice'!R$2:R$801,$W200)))</f>
        <v/>
      </c>
      <c r="S200" s="7">
        <f>IF($W200="","",IF(INDEX('Per Invoice'!S$2:S$801,$W200)="","",INDEX('Per Invoice'!S$2:S$801,$W200)))</f>
        <v/>
      </c>
      <c r="T200" s="7">
        <f>IF($W200="","",IF(INDEX('Per Invoice'!T$2:T$801,$W200)="","",INDEX('Per Invoice'!T$2:T$801,$W200)))</f>
        <v/>
      </c>
      <c r="U200" s="7">
        <f>IF($W200="","",IF(INDEX('Per Invoice'!U$2:U$801,$W200)="","",INDEX('Per Invoice'!U$2:U$801,$W200)))</f>
        <v/>
      </c>
      <c r="V200" s="7">
        <f>IF($W200="","",IF(INDEX('Per Invoice'!V$2:V$801,$W200)="","",INDEX('Per Invoice'!V$2:V$801,$W200)))</f>
        <v/>
      </c>
      <c r="W200" s="16">
        <f>IFERROR(MATCH(Settings!$C$30&amp;"|"&amp;ROWS($W$2:$W200),'Per Invoice'!$X$2:$X$801,0),"")</f>
        <v/>
      </c>
    </row>
    <row r="201">
      <c r="A201">
        <f>IF($W201="","",IF(INDEX('Per Invoice'!A$2:A$801,$W201)="","",INDEX('Per Invoice'!A$2:A$801,$W201)))</f>
        <v/>
      </c>
      <c r="B201">
        <f>IF($W201="","",IF(INDEX('Per Invoice'!B$2:B$801,$W201)="","",INDEX('Per Invoice'!B$2:B$801,$W201)))</f>
        <v/>
      </c>
      <c r="C201">
        <f>IF($W201="","",IF(INDEX('Per Invoice'!C$2:C$801,$W201)="","",INDEX('Per Invoice'!C$2:C$801,$W201)))</f>
        <v/>
      </c>
      <c r="D201">
        <f>IF($W201="","",IF(INDEX('Per Invoice'!D$2:D$801,$W201)="","",INDEX('Per Invoice'!D$2:D$801,$W201)))</f>
        <v/>
      </c>
      <c r="E201">
        <f>IF($W201="","",IF(INDEX('Per Invoice'!E$2:E$801,$W201)="","",INDEX('Per Invoice'!E$2:E$801,$W201)))</f>
        <v/>
      </c>
      <c r="F201">
        <f>IF($W201="","",IF(INDEX('Per Invoice'!F$2:F$801,$W201)="","",INDEX('Per Invoice'!F$2:F$801,$W201)))</f>
        <v/>
      </c>
      <c r="G201">
        <f>IF($W201="","",IF(INDEX('Per Invoice'!G$2:G$801,$W201)="","",INDEX('Per Invoice'!G$2:G$801,$W201)))</f>
        <v/>
      </c>
      <c r="H201">
        <f>IF($W201="","",IF(INDEX('Per Invoice'!H$2:H$801,$W201)="","",INDEX('Per Invoice'!H$2:H$801,$W201)))</f>
        <v/>
      </c>
      <c r="I201">
        <f>IF($W201="","",IF(INDEX('Per Invoice'!I$2:I$801,$W201)="","",INDEX('Per Invoice'!I$2:I$801,$W201)))</f>
        <v/>
      </c>
      <c r="J201">
        <f>IF($W201="","",IF(INDEX('Per Invoice'!J$2:J$801,$W201)="","",INDEX('Per Invoice'!J$2:J$801,$W201)))</f>
        <v/>
      </c>
      <c r="K201" s="7">
        <f>IF($W201="","",IF(INDEX('Per Invoice'!K$2:K$801,$W201)="","",INDEX('Per Invoice'!K$2:K$801,$W201)))</f>
        <v/>
      </c>
      <c r="L201" s="14">
        <f>IF($W201="","",IF(INDEX('Per Invoice'!L$2:L$801,$W201)="","",INDEX('Per Invoice'!L$2:L$801,$W201)))</f>
        <v/>
      </c>
      <c r="M201">
        <f>IF($W201="","",IF(INDEX('Per Invoice'!M$2:M$801,$W201)="","",INDEX('Per Invoice'!M$2:M$801,$W201)))</f>
        <v/>
      </c>
      <c r="N201" s="7">
        <f>IF($W201="","",IF(INDEX('Per Invoice'!N$2:N$801,$W201)="","",INDEX('Per Invoice'!N$2:N$801,$W201)))</f>
        <v/>
      </c>
      <c r="O201" s="7">
        <f>IF($W201="","",IF(INDEX('Per Invoice'!O$2:O$801,$W201)="","",INDEX('Per Invoice'!O$2:O$801,$W201)))</f>
        <v/>
      </c>
      <c r="P201">
        <f>IF($W201="","",IF(INDEX('Per Invoice'!P$2:P$801,$W201)="","",INDEX('Per Invoice'!P$2:P$801,$W201)))</f>
        <v/>
      </c>
      <c r="Q201" s="7">
        <f>IF($W201="","",IF(INDEX('Per Invoice'!Q$2:Q$801,$W201)="","",INDEX('Per Invoice'!Q$2:Q$801,$W201)))</f>
        <v/>
      </c>
      <c r="R201" s="7">
        <f>IF($W201="","",IF(INDEX('Per Invoice'!R$2:R$801,$W201)="","",INDEX('Per Invoice'!R$2:R$801,$W201)))</f>
        <v/>
      </c>
      <c r="S201" s="7">
        <f>IF($W201="","",IF(INDEX('Per Invoice'!S$2:S$801,$W201)="","",INDEX('Per Invoice'!S$2:S$801,$W201)))</f>
        <v/>
      </c>
      <c r="T201" s="7">
        <f>IF($W201="","",IF(INDEX('Per Invoice'!T$2:T$801,$W201)="","",INDEX('Per Invoice'!T$2:T$801,$W201)))</f>
        <v/>
      </c>
      <c r="U201" s="7">
        <f>IF($W201="","",IF(INDEX('Per Invoice'!U$2:U$801,$W201)="","",INDEX('Per Invoice'!U$2:U$801,$W201)))</f>
        <v/>
      </c>
      <c r="V201" s="7">
        <f>IF($W201="","",IF(INDEX('Per Invoice'!V$2:V$801,$W201)="","",INDEX('Per Invoice'!V$2:V$801,$W201)))</f>
        <v/>
      </c>
      <c r="W201" s="16">
        <f>IFERROR(MATCH(Settings!$C$30&amp;"|"&amp;ROWS($W$2:$W201),'Per Invoice'!$X$2:$X$801,0),"")</f>
        <v/>
      </c>
    </row>
    <row r="202">
      <c r="A202">
        <f>IF($W202="","",IF(INDEX('Per Invoice'!A$2:A$801,$W202)="","",INDEX('Per Invoice'!A$2:A$801,$W202)))</f>
        <v/>
      </c>
      <c r="B202">
        <f>IF($W202="","",IF(INDEX('Per Invoice'!B$2:B$801,$W202)="","",INDEX('Per Invoice'!B$2:B$801,$W202)))</f>
        <v/>
      </c>
      <c r="C202">
        <f>IF($W202="","",IF(INDEX('Per Invoice'!C$2:C$801,$W202)="","",INDEX('Per Invoice'!C$2:C$801,$W202)))</f>
        <v/>
      </c>
      <c r="D202">
        <f>IF($W202="","",IF(INDEX('Per Invoice'!D$2:D$801,$W202)="","",INDEX('Per Invoice'!D$2:D$801,$W202)))</f>
        <v/>
      </c>
      <c r="E202">
        <f>IF($W202="","",IF(INDEX('Per Invoice'!E$2:E$801,$W202)="","",INDEX('Per Invoice'!E$2:E$801,$W202)))</f>
        <v/>
      </c>
      <c r="F202">
        <f>IF($W202="","",IF(INDEX('Per Invoice'!F$2:F$801,$W202)="","",INDEX('Per Invoice'!F$2:F$801,$W202)))</f>
        <v/>
      </c>
      <c r="G202">
        <f>IF($W202="","",IF(INDEX('Per Invoice'!G$2:G$801,$W202)="","",INDEX('Per Invoice'!G$2:G$801,$W202)))</f>
        <v/>
      </c>
      <c r="H202">
        <f>IF($W202="","",IF(INDEX('Per Invoice'!H$2:H$801,$W202)="","",INDEX('Per Invoice'!H$2:H$801,$W202)))</f>
        <v/>
      </c>
      <c r="I202">
        <f>IF($W202="","",IF(INDEX('Per Invoice'!I$2:I$801,$W202)="","",INDEX('Per Invoice'!I$2:I$801,$W202)))</f>
        <v/>
      </c>
      <c r="J202">
        <f>IF($W202="","",IF(INDEX('Per Invoice'!J$2:J$801,$W202)="","",INDEX('Per Invoice'!J$2:J$801,$W202)))</f>
        <v/>
      </c>
      <c r="K202" s="7">
        <f>IF($W202="","",IF(INDEX('Per Invoice'!K$2:K$801,$W202)="","",INDEX('Per Invoice'!K$2:K$801,$W202)))</f>
        <v/>
      </c>
      <c r="L202" s="14">
        <f>IF($W202="","",IF(INDEX('Per Invoice'!L$2:L$801,$W202)="","",INDEX('Per Invoice'!L$2:L$801,$W202)))</f>
        <v/>
      </c>
      <c r="M202">
        <f>IF($W202="","",IF(INDEX('Per Invoice'!M$2:M$801,$W202)="","",INDEX('Per Invoice'!M$2:M$801,$W202)))</f>
        <v/>
      </c>
      <c r="N202" s="7">
        <f>IF($W202="","",IF(INDEX('Per Invoice'!N$2:N$801,$W202)="","",INDEX('Per Invoice'!N$2:N$801,$W202)))</f>
        <v/>
      </c>
      <c r="O202" s="7">
        <f>IF($W202="","",IF(INDEX('Per Invoice'!O$2:O$801,$W202)="","",INDEX('Per Invoice'!O$2:O$801,$W202)))</f>
        <v/>
      </c>
      <c r="P202">
        <f>IF($W202="","",IF(INDEX('Per Invoice'!P$2:P$801,$W202)="","",INDEX('Per Invoice'!P$2:P$801,$W202)))</f>
        <v/>
      </c>
      <c r="Q202" s="7">
        <f>IF($W202="","",IF(INDEX('Per Invoice'!Q$2:Q$801,$W202)="","",INDEX('Per Invoice'!Q$2:Q$801,$W202)))</f>
        <v/>
      </c>
      <c r="R202" s="7">
        <f>IF($W202="","",IF(INDEX('Per Invoice'!R$2:R$801,$W202)="","",INDEX('Per Invoice'!R$2:R$801,$W202)))</f>
        <v/>
      </c>
      <c r="S202" s="7">
        <f>IF($W202="","",IF(INDEX('Per Invoice'!S$2:S$801,$W202)="","",INDEX('Per Invoice'!S$2:S$801,$W202)))</f>
        <v/>
      </c>
      <c r="T202" s="7">
        <f>IF($W202="","",IF(INDEX('Per Invoice'!T$2:T$801,$W202)="","",INDEX('Per Invoice'!T$2:T$801,$W202)))</f>
        <v/>
      </c>
      <c r="U202" s="7">
        <f>IF($W202="","",IF(INDEX('Per Invoice'!U$2:U$801,$W202)="","",INDEX('Per Invoice'!U$2:U$801,$W202)))</f>
        <v/>
      </c>
      <c r="V202" s="7">
        <f>IF($W202="","",IF(INDEX('Per Invoice'!V$2:V$801,$W202)="","",INDEX('Per Invoice'!V$2:V$801,$W202)))</f>
        <v/>
      </c>
      <c r="W202" s="16">
        <f>IFERROR(MATCH(Settings!$C$30&amp;"|"&amp;ROWS($W$2:$W202),'Per Invoice'!$X$2:$X$801,0),"")</f>
        <v/>
      </c>
    </row>
    <row r="203">
      <c r="A203">
        <f>IF($W203="","",IF(INDEX('Per Invoice'!A$2:A$801,$W203)="","",INDEX('Per Invoice'!A$2:A$801,$W203)))</f>
        <v/>
      </c>
      <c r="B203">
        <f>IF($W203="","",IF(INDEX('Per Invoice'!B$2:B$801,$W203)="","",INDEX('Per Invoice'!B$2:B$801,$W203)))</f>
        <v/>
      </c>
      <c r="C203">
        <f>IF($W203="","",IF(INDEX('Per Invoice'!C$2:C$801,$W203)="","",INDEX('Per Invoice'!C$2:C$801,$W203)))</f>
        <v/>
      </c>
      <c r="D203">
        <f>IF($W203="","",IF(INDEX('Per Invoice'!D$2:D$801,$W203)="","",INDEX('Per Invoice'!D$2:D$801,$W203)))</f>
        <v/>
      </c>
      <c r="E203">
        <f>IF($W203="","",IF(INDEX('Per Invoice'!E$2:E$801,$W203)="","",INDEX('Per Invoice'!E$2:E$801,$W203)))</f>
        <v/>
      </c>
      <c r="F203">
        <f>IF($W203="","",IF(INDEX('Per Invoice'!F$2:F$801,$W203)="","",INDEX('Per Invoice'!F$2:F$801,$W203)))</f>
        <v/>
      </c>
      <c r="G203">
        <f>IF($W203="","",IF(INDEX('Per Invoice'!G$2:G$801,$W203)="","",INDEX('Per Invoice'!G$2:G$801,$W203)))</f>
        <v/>
      </c>
      <c r="H203">
        <f>IF($W203="","",IF(INDEX('Per Invoice'!H$2:H$801,$W203)="","",INDEX('Per Invoice'!H$2:H$801,$W203)))</f>
        <v/>
      </c>
      <c r="I203">
        <f>IF($W203="","",IF(INDEX('Per Invoice'!I$2:I$801,$W203)="","",INDEX('Per Invoice'!I$2:I$801,$W203)))</f>
        <v/>
      </c>
      <c r="J203">
        <f>IF($W203="","",IF(INDEX('Per Invoice'!J$2:J$801,$W203)="","",INDEX('Per Invoice'!J$2:J$801,$W203)))</f>
        <v/>
      </c>
      <c r="K203" s="7">
        <f>IF($W203="","",IF(INDEX('Per Invoice'!K$2:K$801,$W203)="","",INDEX('Per Invoice'!K$2:K$801,$W203)))</f>
        <v/>
      </c>
      <c r="L203" s="14">
        <f>IF($W203="","",IF(INDEX('Per Invoice'!L$2:L$801,$W203)="","",INDEX('Per Invoice'!L$2:L$801,$W203)))</f>
        <v/>
      </c>
      <c r="M203">
        <f>IF($W203="","",IF(INDEX('Per Invoice'!M$2:M$801,$W203)="","",INDEX('Per Invoice'!M$2:M$801,$W203)))</f>
        <v/>
      </c>
      <c r="N203" s="7">
        <f>IF($W203="","",IF(INDEX('Per Invoice'!N$2:N$801,$W203)="","",INDEX('Per Invoice'!N$2:N$801,$W203)))</f>
        <v/>
      </c>
      <c r="O203" s="7">
        <f>IF($W203="","",IF(INDEX('Per Invoice'!O$2:O$801,$W203)="","",INDEX('Per Invoice'!O$2:O$801,$W203)))</f>
        <v/>
      </c>
      <c r="P203">
        <f>IF($W203="","",IF(INDEX('Per Invoice'!P$2:P$801,$W203)="","",INDEX('Per Invoice'!P$2:P$801,$W203)))</f>
        <v/>
      </c>
      <c r="Q203" s="7">
        <f>IF($W203="","",IF(INDEX('Per Invoice'!Q$2:Q$801,$W203)="","",INDEX('Per Invoice'!Q$2:Q$801,$W203)))</f>
        <v/>
      </c>
      <c r="R203" s="7">
        <f>IF($W203="","",IF(INDEX('Per Invoice'!R$2:R$801,$W203)="","",INDEX('Per Invoice'!R$2:R$801,$W203)))</f>
        <v/>
      </c>
      <c r="S203" s="7">
        <f>IF($W203="","",IF(INDEX('Per Invoice'!S$2:S$801,$W203)="","",INDEX('Per Invoice'!S$2:S$801,$W203)))</f>
        <v/>
      </c>
      <c r="T203" s="7">
        <f>IF($W203="","",IF(INDEX('Per Invoice'!T$2:T$801,$W203)="","",INDEX('Per Invoice'!T$2:T$801,$W203)))</f>
        <v/>
      </c>
      <c r="U203" s="7">
        <f>IF($W203="","",IF(INDEX('Per Invoice'!U$2:U$801,$W203)="","",INDEX('Per Invoice'!U$2:U$801,$W203)))</f>
        <v/>
      </c>
      <c r="V203" s="7">
        <f>IF($W203="","",IF(INDEX('Per Invoice'!V$2:V$801,$W203)="","",INDEX('Per Invoice'!V$2:V$801,$W203)))</f>
        <v/>
      </c>
      <c r="W203" s="16">
        <f>IFERROR(MATCH(Settings!$C$30&amp;"|"&amp;ROWS($W$2:$W203),'Per Invoice'!$X$2:$X$801,0),"")</f>
        <v/>
      </c>
    </row>
    <row r="204">
      <c r="A204">
        <f>IF($W204="","",IF(INDEX('Per Invoice'!A$2:A$801,$W204)="","",INDEX('Per Invoice'!A$2:A$801,$W204)))</f>
        <v/>
      </c>
      <c r="B204">
        <f>IF($W204="","",IF(INDEX('Per Invoice'!B$2:B$801,$W204)="","",INDEX('Per Invoice'!B$2:B$801,$W204)))</f>
        <v/>
      </c>
      <c r="C204">
        <f>IF($W204="","",IF(INDEX('Per Invoice'!C$2:C$801,$W204)="","",INDEX('Per Invoice'!C$2:C$801,$W204)))</f>
        <v/>
      </c>
      <c r="D204">
        <f>IF($W204="","",IF(INDEX('Per Invoice'!D$2:D$801,$W204)="","",INDEX('Per Invoice'!D$2:D$801,$W204)))</f>
        <v/>
      </c>
      <c r="E204">
        <f>IF($W204="","",IF(INDEX('Per Invoice'!E$2:E$801,$W204)="","",INDEX('Per Invoice'!E$2:E$801,$W204)))</f>
        <v/>
      </c>
      <c r="F204">
        <f>IF($W204="","",IF(INDEX('Per Invoice'!F$2:F$801,$W204)="","",INDEX('Per Invoice'!F$2:F$801,$W204)))</f>
        <v/>
      </c>
      <c r="G204">
        <f>IF($W204="","",IF(INDEX('Per Invoice'!G$2:G$801,$W204)="","",INDEX('Per Invoice'!G$2:G$801,$W204)))</f>
        <v/>
      </c>
      <c r="H204">
        <f>IF($W204="","",IF(INDEX('Per Invoice'!H$2:H$801,$W204)="","",INDEX('Per Invoice'!H$2:H$801,$W204)))</f>
        <v/>
      </c>
      <c r="I204">
        <f>IF($W204="","",IF(INDEX('Per Invoice'!I$2:I$801,$W204)="","",INDEX('Per Invoice'!I$2:I$801,$W204)))</f>
        <v/>
      </c>
      <c r="J204">
        <f>IF($W204="","",IF(INDEX('Per Invoice'!J$2:J$801,$W204)="","",INDEX('Per Invoice'!J$2:J$801,$W204)))</f>
        <v/>
      </c>
      <c r="K204" s="7">
        <f>IF($W204="","",IF(INDEX('Per Invoice'!K$2:K$801,$W204)="","",INDEX('Per Invoice'!K$2:K$801,$W204)))</f>
        <v/>
      </c>
      <c r="L204" s="14">
        <f>IF($W204="","",IF(INDEX('Per Invoice'!L$2:L$801,$W204)="","",INDEX('Per Invoice'!L$2:L$801,$W204)))</f>
        <v/>
      </c>
      <c r="M204">
        <f>IF($W204="","",IF(INDEX('Per Invoice'!M$2:M$801,$W204)="","",INDEX('Per Invoice'!M$2:M$801,$W204)))</f>
        <v/>
      </c>
      <c r="N204" s="7">
        <f>IF($W204="","",IF(INDEX('Per Invoice'!N$2:N$801,$W204)="","",INDEX('Per Invoice'!N$2:N$801,$W204)))</f>
        <v/>
      </c>
      <c r="O204" s="7">
        <f>IF($W204="","",IF(INDEX('Per Invoice'!O$2:O$801,$W204)="","",INDEX('Per Invoice'!O$2:O$801,$W204)))</f>
        <v/>
      </c>
      <c r="P204">
        <f>IF($W204="","",IF(INDEX('Per Invoice'!P$2:P$801,$W204)="","",INDEX('Per Invoice'!P$2:P$801,$W204)))</f>
        <v/>
      </c>
      <c r="Q204" s="7">
        <f>IF($W204="","",IF(INDEX('Per Invoice'!Q$2:Q$801,$W204)="","",INDEX('Per Invoice'!Q$2:Q$801,$W204)))</f>
        <v/>
      </c>
      <c r="R204" s="7">
        <f>IF($W204="","",IF(INDEX('Per Invoice'!R$2:R$801,$W204)="","",INDEX('Per Invoice'!R$2:R$801,$W204)))</f>
        <v/>
      </c>
      <c r="S204" s="7">
        <f>IF($W204="","",IF(INDEX('Per Invoice'!S$2:S$801,$W204)="","",INDEX('Per Invoice'!S$2:S$801,$W204)))</f>
        <v/>
      </c>
      <c r="T204" s="7">
        <f>IF($W204="","",IF(INDEX('Per Invoice'!T$2:T$801,$W204)="","",INDEX('Per Invoice'!T$2:T$801,$W204)))</f>
        <v/>
      </c>
      <c r="U204" s="7">
        <f>IF($W204="","",IF(INDEX('Per Invoice'!U$2:U$801,$W204)="","",INDEX('Per Invoice'!U$2:U$801,$W204)))</f>
        <v/>
      </c>
      <c r="V204" s="7">
        <f>IF($W204="","",IF(INDEX('Per Invoice'!V$2:V$801,$W204)="","",INDEX('Per Invoice'!V$2:V$801,$W204)))</f>
        <v/>
      </c>
      <c r="W204" s="16">
        <f>IFERROR(MATCH(Settings!$C$30&amp;"|"&amp;ROWS($W$2:$W204),'Per Invoice'!$X$2:$X$801,0),"")</f>
        <v/>
      </c>
    </row>
    <row r="205">
      <c r="A205">
        <f>IF($W205="","",IF(INDEX('Per Invoice'!A$2:A$801,$W205)="","",INDEX('Per Invoice'!A$2:A$801,$W205)))</f>
        <v/>
      </c>
      <c r="B205">
        <f>IF($W205="","",IF(INDEX('Per Invoice'!B$2:B$801,$W205)="","",INDEX('Per Invoice'!B$2:B$801,$W205)))</f>
        <v/>
      </c>
      <c r="C205">
        <f>IF($W205="","",IF(INDEX('Per Invoice'!C$2:C$801,$W205)="","",INDEX('Per Invoice'!C$2:C$801,$W205)))</f>
        <v/>
      </c>
      <c r="D205">
        <f>IF($W205="","",IF(INDEX('Per Invoice'!D$2:D$801,$W205)="","",INDEX('Per Invoice'!D$2:D$801,$W205)))</f>
        <v/>
      </c>
      <c r="E205">
        <f>IF($W205="","",IF(INDEX('Per Invoice'!E$2:E$801,$W205)="","",INDEX('Per Invoice'!E$2:E$801,$W205)))</f>
        <v/>
      </c>
      <c r="F205">
        <f>IF($W205="","",IF(INDEX('Per Invoice'!F$2:F$801,$W205)="","",INDEX('Per Invoice'!F$2:F$801,$W205)))</f>
        <v/>
      </c>
      <c r="G205">
        <f>IF($W205="","",IF(INDEX('Per Invoice'!G$2:G$801,$W205)="","",INDEX('Per Invoice'!G$2:G$801,$W205)))</f>
        <v/>
      </c>
      <c r="H205">
        <f>IF($W205="","",IF(INDEX('Per Invoice'!H$2:H$801,$W205)="","",INDEX('Per Invoice'!H$2:H$801,$W205)))</f>
        <v/>
      </c>
      <c r="I205">
        <f>IF($W205="","",IF(INDEX('Per Invoice'!I$2:I$801,$W205)="","",INDEX('Per Invoice'!I$2:I$801,$W205)))</f>
        <v/>
      </c>
      <c r="J205">
        <f>IF($W205="","",IF(INDEX('Per Invoice'!J$2:J$801,$W205)="","",INDEX('Per Invoice'!J$2:J$801,$W205)))</f>
        <v/>
      </c>
      <c r="K205" s="7">
        <f>IF($W205="","",IF(INDEX('Per Invoice'!K$2:K$801,$W205)="","",INDEX('Per Invoice'!K$2:K$801,$W205)))</f>
        <v/>
      </c>
      <c r="L205" s="14">
        <f>IF($W205="","",IF(INDEX('Per Invoice'!L$2:L$801,$W205)="","",INDEX('Per Invoice'!L$2:L$801,$W205)))</f>
        <v/>
      </c>
      <c r="M205">
        <f>IF($W205="","",IF(INDEX('Per Invoice'!M$2:M$801,$W205)="","",INDEX('Per Invoice'!M$2:M$801,$W205)))</f>
        <v/>
      </c>
      <c r="N205" s="7">
        <f>IF($W205="","",IF(INDEX('Per Invoice'!N$2:N$801,$W205)="","",INDEX('Per Invoice'!N$2:N$801,$W205)))</f>
        <v/>
      </c>
      <c r="O205" s="7">
        <f>IF($W205="","",IF(INDEX('Per Invoice'!O$2:O$801,$W205)="","",INDEX('Per Invoice'!O$2:O$801,$W205)))</f>
        <v/>
      </c>
      <c r="P205">
        <f>IF($W205="","",IF(INDEX('Per Invoice'!P$2:P$801,$W205)="","",INDEX('Per Invoice'!P$2:P$801,$W205)))</f>
        <v/>
      </c>
      <c r="Q205" s="7">
        <f>IF($W205="","",IF(INDEX('Per Invoice'!Q$2:Q$801,$W205)="","",INDEX('Per Invoice'!Q$2:Q$801,$W205)))</f>
        <v/>
      </c>
      <c r="R205" s="7">
        <f>IF($W205="","",IF(INDEX('Per Invoice'!R$2:R$801,$W205)="","",INDEX('Per Invoice'!R$2:R$801,$W205)))</f>
        <v/>
      </c>
      <c r="S205" s="7">
        <f>IF($W205="","",IF(INDEX('Per Invoice'!S$2:S$801,$W205)="","",INDEX('Per Invoice'!S$2:S$801,$W205)))</f>
        <v/>
      </c>
      <c r="T205" s="7">
        <f>IF($W205="","",IF(INDEX('Per Invoice'!T$2:T$801,$W205)="","",INDEX('Per Invoice'!T$2:T$801,$W205)))</f>
        <v/>
      </c>
      <c r="U205" s="7">
        <f>IF($W205="","",IF(INDEX('Per Invoice'!U$2:U$801,$W205)="","",INDEX('Per Invoice'!U$2:U$801,$W205)))</f>
        <v/>
      </c>
      <c r="V205" s="7">
        <f>IF($W205="","",IF(INDEX('Per Invoice'!V$2:V$801,$W205)="","",INDEX('Per Invoice'!V$2:V$801,$W205)))</f>
        <v/>
      </c>
      <c r="W205" s="16">
        <f>IFERROR(MATCH(Settings!$C$30&amp;"|"&amp;ROWS($W$2:$W205),'Per Invoice'!$X$2:$X$801,0),"")</f>
        <v/>
      </c>
    </row>
    <row r="206">
      <c r="A206">
        <f>IF($W206="","",IF(INDEX('Per Invoice'!A$2:A$801,$W206)="","",INDEX('Per Invoice'!A$2:A$801,$W206)))</f>
        <v/>
      </c>
      <c r="B206">
        <f>IF($W206="","",IF(INDEX('Per Invoice'!B$2:B$801,$W206)="","",INDEX('Per Invoice'!B$2:B$801,$W206)))</f>
        <v/>
      </c>
      <c r="C206">
        <f>IF($W206="","",IF(INDEX('Per Invoice'!C$2:C$801,$W206)="","",INDEX('Per Invoice'!C$2:C$801,$W206)))</f>
        <v/>
      </c>
      <c r="D206">
        <f>IF($W206="","",IF(INDEX('Per Invoice'!D$2:D$801,$W206)="","",INDEX('Per Invoice'!D$2:D$801,$W206)))</f>
        <v/>
      </c>
      <c r="E206">
        <f>IF($W206="","",IF(INDEX('Per Invoice'!E$2:E$801,$W206)="","",INDEX('Per Invoice'!E$2:E$801,$W206)))</f>
        <v/>
      </c>
      <c r="F206">
        <f>IF($W206="","",IF(INDEX('Per Invoice'!F$2:F$801,$W206)="","",INDEX('Per Invoice'!F$2:F$801,$W206)))</f>
        <v/>
      </c>
      <c r="G206">
        <f>IF($W206="","",IF(INDEX('Per Invoice'!G$2:G$801,$W206)="","",INDEX('Per Invoice'!G$2:G$801,$W206)))</f>
        <v/>
      </c>
      <c r="H206">
        <f>IF($W206="","",IF(INDEX('Per Invoice'!H$2:H$801,$W206)="","",INDEX('Per Invoice'!H$2:H$801,$W206)))</f>
        <v/>
      </c>
      <c r="I206">
        <f>IF($W206="","",IF(INDEX('Per Invoice'!I$2:I$801,$W206)="","",INDEX('Per Invoice'!I$2:I$801,$W206)))</f>
        <v/>
      </c>
      <c r="J206">
        <f>IF($W206="","",IF(INDEX('Per Invoice'!J$2:J$801,$W206)="","",INDEX('Per Invoice'!J$2:J$801,$W206)))</f>
        <v/>
      </c>
      <c r="K206" s="7">
        <f>IF($W206="","",IF(INDEX('Per Invoice'!K$2:K$801,$W206)="","",INDEX('Per Invoice'!K$2:K$801,$W206)))</f>
        <v/>
      </c>
      <c r="L206" s="14">
        <f>IF($W206="","",IF(INDEX('Per Invoice'!L$2:L$801,$W206)="","",INDEX('Per Invoice'!L$2:L$801,$W206)))</f>
        <v/>
      </c>
      <c r="M206">
        <f>IF($W206="","",IF(INDEX('Per Invoice'!M$2:M$801,$W206)="","",INDEX('Per Invoice'!M$2:M$801,$W206)))</f>
        <v/>
      </c>
      <c r="N206" s="7">
        <f>IF($W206="","",IF(INDEX('Per Invoice'!N$2:N$801,$W206)="","",INDEX('Per Invoice'!N$2:N$801,$W206)))</f>
        <v/>
      </c>
      <c r="O206" s="7">
        <f>IF($W206="","",IF(INDEX('Per Invoice'!O$2:O$801,$W206)="","",INDEX('Per Invoice'!O$2:O$801,$W206)))</f>
        <v/>
      </c>
      <c r="P206">
        <f>IF($W206="","",IF(INDEX('Per Invoice'!P$2:P$801,$W206)="","",INDEX('Per Invoice'!P$2:P$801,$W206)))</f>
        <v/>
      </c>
      <c r="Q206" s="7">
        <f>IF($W206="","",IF(INDEX('Per Invoice'!Q$2:Q$801,$W206)="","",INDEX('Per Invoice'!Q$2:Q$801,$W206)))</f>
        <v/>
      </c>
      <c r="R206" s="7">
        <f>IF($W206="","",IF(INDEX('Per Invoice'!R$2:R$801,$W206)="","",INDEX('Per Invoice'!R$2:R$801,$W206)))</f>
        <v/>
      </c>
      <c r="S206" s="7">
        <f>IF($W206="","",IF(INDEX('Per Invoice'!S$2:S$801,$W206)="","",INDEX('Per Invoice'!S$2:S$801,$W206)))</f>
        <v/>
      </c>
      <c r="T206" s="7">
        <f>IF($W206="","",IF(INDEX('Per Invoice'!T$2:T$801,$W206)="","",INDEX('Per Invoice'!T$2:T$801,$W206)))</f>
        <v/>
      </c>
      <c r="U206" s="7">
        <f>IF($W206="","",IF(INDEX('Per Invoice'!U$2:U$801,$W206)="","",INDEX('Per Invoice'!U$2:U$801,$W206)))</f>
        <v/>
      </c>
      <c r="V206" s="7">
        <f>IF($W206="","",IF(INDEX('Per Invoice'!V$2:V$801,$W206)="","",INDEX('Per Invoice'!V$2:V$801,$W206)))</f>
        <v/>
      </c>
      <c r="W206" s="16">
        <f>IFERROR(MATCH(Settings!$C$30&amp;"|"&amp;ROWS($W$2:$W206),'Per Invoice'!$X$2:$X$801,0),"")</f>
        <v/>
      </c>
    </row>
    <row r="207">
      <c r="A207">
        <f>IF($W207="","",IF(INDEX('Per Invoice'!A$2:A$801,$W207)="","",INDEX('Per Invoice'!A$2:A$801,$W207)))</f>
        <v/>
      </c>
      <c r="B207">
        <f>IF($W207="","",IF(INDEX('Per Invoice'!B$2:B$801,$W207)="","",INDEX('Per Invoice'!B$2:B$801,$W207)))</f>
        <v/>
      </c>
      <c r="C207">
        <f>IF($W207="","",IF(INDEX('Per Invoice'!C$2:C$801,$W207)="","",INDEX('Per Invoice'!C$2:C$801,$W207)))</f>
        <v/>
      </c>
      <c r="D207">
        <f>IF($W207="","",IF(INDEX('Per Invoice'!D$2:D$801,$W207)="","",INDEX('Per Invoice'!D$2:D$801,$W207)))</f>
        <v/>
      </c>
      <c r="E207">
        <f>IF($W207="","",IF(INDEX('Per Invoice'!E$2:E$801,$W207)="","",INDEX('Per Invoice'!E$2:E$801,$W207)))</f>
        <v/>
      </c>
      <c r="F207">
        <f>IF($W207="","",IF(INDEX('Per Invoice'!F$2:F$801,$W207)="","",INDEX('Per Invoice'!F$2:F$801,$W207)))</f>
        <v/>
      </c>
      <c r="G207">
        <f>IF($W207="","",IF(INDEX('Per Invoice'!G$2:G$801,$W207)="","",INDEX('Per Invoice'!G$2:G$801,$W207)))</f>
        <v/>
      </c>
      <c r="H207">
        <f>IF($W207="","",IF(INDEX('Per Invoice'!H$2:H$801,$W207)="","",INDEX('Per Invoice'!H$2:H$801,$W207)))</f>
        <v/>
      </c>
      <c r="I207">
        <f>IF($W207="","",IF(INDEX('Per Invoice'!I$2:I$801,$W207)="","",INDEX('Per Invoice'!I$2:I$801,$W207)))</f>
        <v/>
      </c>
      <c r="J207">
        <f>IF($W207="","",IF(INDEX('Per Invoice'!J$2:J$801,$W207)="","",INDEX('Per Invoice'!J$2:J$801,$W207)))</f>
        <v/>
      </c>
      <c r="K207" s="7">
        <f>IF($W207="","",IF(INDEX('Per Invoice'!K$2:K$801,$W207)="","",INDEX('Per Invoice'!K$2:K$801,$W207)))</f>
        <v/>
      </c>
      <c r="L207" s="14">
        <f>IF($W207="","",IF(INDEX('Per Invoice'!L$2:L$801,$W207)="","",INDEX('Per Invoice'!L$2:L$801,$W207)))</f>
        <v/>
      </c>
      <c r="M207">
        <f>IF($W207="","",IF(INDEX('Per Invoice'!M$2:M$801,$W207)="","",INDEX('Per Invoice'!M$2:M$801,$W207)))</f>
        <v/>
      </c>
      <c r="N207" s="7">
        <f>IF($W207="","",IF(INDEX('Per Invoice'!N$2:N$801,$W207)="","",INDEX('Per Invoice'!N$2:N$801,$W207)))</f>
        <v/>
      </c>
      <c r="O207" s="7">
        <f>IF($W207="","",IF(INDEX('Per Invoice'!O$2:O$801,$W207)="","",INDEX('Per Invoice'!O$2:O$801,$W207)))</f>
        <v/>
      </c>
      <c r="P207">
        <f>IF($W207="","",IF(INDEX('Per Invoice'!P$2:P$801,$W207)="","",INDEX('Per Invoice'!P$2:P$801,$W207)))</f>
        <v/>
      </c>
      <c r="Q207" s="7">
        <f>IF($W207="","",IF(INDEX('Per Invoice'!Q$2:Q$801,$W207)="","",INDEX('Per Invoice'!Q$2:Q$801,$W207)))</f>
        <v/>
      </c>
      <c r="R207" s="7">
        <f>IF($W207="","",IF(INDEX('Per Invoice'!R$2:R$801,$W207)="","",INDEX('Per Invoice'!R$2:R$801,$W207)))</f>
        <v/>
      </c>
      <c r="S207" s="7">
        <f>IF($W207="","",IF(INDEX('Per Invoice'!S$2:S$801,$W207)="","",INDEX('Per Invoice'!S$2:S$801,$W207)))</f>
        <v/>
      </c>
      <c r="T207" s="7">
        <f>IF($W207="","",IF(INDEX('Per Invoice'!T$2:T$801,$W207)="","",INDEX('Per Invoice'!T$2:T$801,$W207)))</f>
        <v/>
      </c>
      <c r="U207" s="7">
        <f>IF($W207="","",IF(INDEX('Per Invoice'!U$2:U$801,$W207)="","",INDEX('Per Invoice'!U$2:U$801,$W207)))</f>
        <v/>
      </c>
      <c r="V207" s="7">
        <f>IF($W207="","",IF(INDEX('Per Invoice'!V$2:V$801,$W207)="","",INDEX('Per Invoice'!V$2:V$801,$W207)))</f>
        <v/>
      </c>
      <c r="W207" s="16">
        <f>IFERROR(MATCH(Settings!$C$30&amp;"|"&amp;ROWS($W$2:$W207),'Per Invoice'!$X$2:$X$801,0),"")</f>
        <v/>
      </c>
    </row>
    <row r="208">
      <c r="A208">
        <f>IF($W208="","",IF(INDEX('Per Invoice'!A$2:A$801,$W208)="","",INDEX('Per Invoice'!A$2:A$801,$W208)))</f>
        <v/>
      </c>
      <c r="B208">
        <f>IF($W208="","",IF(INDEX('Per Invoice'!B$2:B$801,$W208)="","",INDEX('Per Invoice'!B$2:B$801,$W208)))</f>
        <v/>
      </c>
      <c r="C208">
        <f>IF($W208="","",IF(INDEX('Per Invoice'!C$2:C$801,$W208)="","",INDEX('Per Invoice'!C$2:C$801,$W208)))</f>
        <v/>
      </c>
      <c r="D208">
        <f>IF($W208="","",IF(INDEX('Per Invoice'!D$2:D$801,$W208)="","",INDEX('Per Invoice'!D$2:D$801,$W208)))</f>
        <v/>
      </c>
      <c r="E208">
        <f>IF($W208="","",IF(INDEX('Per Invoice'!E$2:E$801,$W208)="","",INDEX('Per Invoice'!E$2:E$801,$W208)))</f>
        <v/>
      </c>
      <c r="F208">
        <f>IF($W208="","",IF(INDEX('Per Invoice'!F$2:F$801,$W208)="","",INDEX('Per Invoice'!F$2:F$801,$W208)))</f>
        <v/>
      </c>
      <c r="G208">
        <f>IF($W208="","",IF(INDEX('Per Invoice'!G$2:G$801,$W208)="","",INDEX('Per Invoice'!G$2:G$801,$W208)))</f>
        <v/>
      </c>
      <c r="H208">
        <f>IF($W208="","",IF(INDEX('Per Invoice'!H$2:H$801,$W208)="","",INDEX('Per Invoice'!H$2:H$801,$W208)))</f>
        <v/>
      </c>
      <c r="I208">
        <f>IF($W208="","",IF(INDEX('Per Invoice'!I$2:I$801,$W208)="","",INDEX('Per Invoice'!I$2:I$801,$W208)))</f>
        <v/>
      </c>
      <c r="J208">
        <f>IF($W208="","",IF(INDEX('Per Invoice'!J$2:J$801,$W208)="","",INDEX('Per Invoice'!J$2:J$801,$W208)))</f>
        <v/>
      </c>
      <c r="K208" s="7">
        <f>IF($W208="","",IF(INDEX('Per Invoice'!K$2:K$801,$W208)="","",INDEX('Per Invoice'!K$2:K$801,$W208)))</f>
        <v/>
      </c>
      <c r="L208" s="14">
        <f>IF($W208="","",IF(INDEX('Per Invoice'!L$2:L$801,$W208)="","",INDEX('Per Invoice'!L$2:L$801,$W208)))</f>
        <v/>
      </c>
      <c r="M208">
        <f>IF($W208="","",IF(INDEX('Per Invoice'!M$2:M$801,$W208)="","",INDEX('Per Invoice'!M$2:M$801,$W208)))</f>
        <v/>
      </c>
      <c r="N208" s="7">
        <f>IF($W208="","",IF(INDEX('Per Invoice'!N$2:N$801,$W208)="","",INDEX('Per Invoice'!N$2:N$801,$W208)))</f>
        <v/>
      </c>
      <c r="O208" s="7">
        <f>IF($W208="","",IF(INDEX('Per Invoice'!O$2:O$801,$W208)="","",INDEX('Per Invoice'!O$2:O$801,$W208)))</f>
        <v/>
      </c>
      <c r="P208">
        <f>IF($W208="","",IF(INDEX('Per Invoice'!P$2:P$801,$W208)="","",INDEX('Per Invoice'!P$2:P$801,$W208)))</f>
        <v/>
      </c>
      <c r="Q208" s="7">
        <f>IF($W208="","",IF(INDEX('Per Invoice'!Q$2:Q$801,$W208)="","",INDEX('Per Invoice'!Q$2:Q$801,$W208)))</f>
        <v/>
      </c>
      <c r="R208" s="7">
        <f>IF($W208="","",IF(INDEX('Per Invoice'!R$2:R$801,$W208)="","",INDEX('Per Invoice'!R$2:R$801,$W208)))</f>
        <v/>
      </c>
      <c r="S208" s="7">
        <f>IF($W208="","",IF(INDEX('Per Invoice'!S$2:S$801,$W208)="","",INDEX('Per Invoice'!S$2:S$801,$W208)))</f>
        <v/>
      </c>
      <c r="T208" s="7">
        <f>IF($W208="","",IF(INDEX('Per Invoice'!T$2:T$801,$W208)="","",INDEX('Per Invoice'!T$2:T$801,$W208)))</f>
        <v/>
      </c>
      <c r="U208" s="7">
        <f>IF($W208="","",IF(INDEX('Per Invoice'!U$2:U$801,$W208)="","",INDEX('Per Invoice'!U$2:U$801,$W208)))</f>
        <v/>
      </c>
      <c r="V208" s="7">
        <f>IF($W208="","",IF(INDEX('Per Invoice'!V$2:V$801,$W208)="","",INDEX('Per Invoice'!V$2:V$801,$W208)))</f>
        <v/>
      </c>
      <c r="W208" s="16">
        <f>IFERROR(MATCH(Settings!$C$30&amp;"|"&amp;ROWS($W$2:$W208),'Per Invoice'!$X$2:$X$801,0),"")</f>
        <v/>
      </c>
    </row>
    <row r="209">
      <c r="A209">
        <f>IF($W209="","",IF(INDEX('Per Invoice'!A$2:A$801,$W209)="","",INDEX('Per Invoice'!A$2:A$801,$W209)))</f>
        <v/>
      </c>
      <c r="B209">
        <f>IF($W209="","",IF(INDEX('Per Invoice'!B$2:B$801,$W209)="","",INDEX('Per Invoice'!B$2:B$801,$W209)))</f>
        <v/>
      </c>
      <c r="C209">
        <f>IF($W209="","",IF(INDEX('Per Invoice'!C$2:C$801,$W209)="","",INDEX('Per Invoice'!C$2:C$801,$W209)))</f>
        <v/>
      </c>
      <c r="D209">
        <f>IF($W209="","",IF(INDEX('Per Invoice'!D$2:D$801,$W209)="","",INDEX('Per Invoice'!D$2:D$801,$W209)))</f>
        <v/>
      </c>
      <c r="E209">
        <f>IF($W209="","",IF(INDEX('Per Invoice'!E$2:E$801,$W209)="","",INDEX('Per Invoice'!E$2:E$801,$W209)))</f>
        <v/>
      </c>
      <c r="F209">
        <f>IF($W209="","",IF(INDEX('Per Invoice'!F$2:F$801,$W209)="","",INDEX('Per Invoice'!F$2:F$801,$W209)))</f>
        <v/>
      </c>
      <c r="G209">
        <f>IF($W209="","",IF(INDEX('Per Invoice'!G$2:G$801,$W209)="","",INDEX('Per Invoice'!G$2:G$801,$W209)))</f>
        <v/>
      </c>
      <c r="H209">
        <f>IF($W209="","",IF(INDEX('Per Invoice'!H$2:H$801,$W209)="","",INDEX('Per Invoice'!H$2:H$801,$W209)))</f>
        <v/>
      </c>
      <c r="I209">
        <f>IF($W209="","",IF(INDEX('Per Invoice'!I$2:I$801,$W209)="","",INDEX('Per Invoice'!I$2:I$801,$W209)))</f>
        <v/>
      </c>
      <c r="J209">
        <f>IF($W209="","",IF(INDEX('Per Invoice'!J$2:J$801,$W209)="","",INDEX('Per Invoice'!J$2:J$801,$W209)))</f>
        <v/>
      </c>
      <c r="K209" s="7">
        <f>IF($W209="","",IF(INDEX('Per Invoice'!K$2:K$801,$W209)="","",INDEX('Per Invoice'!K$2:K$801,$W209)))</f>
        <v/>
      </c>
      <c r="L209" s="14">
        <f>IF($W209="","",IF(INDEX('Per Invoice'!L$2:L$801,$W209)="","",INDEX('Per Invoice'!L$2:L$801,$W209)))</f>
        <v/>
      </c>
      <c r="M209">
        <f>IF($W209="","",IF(INDEX('Per Invoice'!M$2:M$801,$W209)="","",INDEX('Per Invoice'!M$2:M$801,$W209)))</f>
        <v/>
      </c>
      <c r="N209" s="7">
        <f>IF($W209="","",IF(INDEX('Per Invoice'!N$2:N$801,$W209)="","",INDEX('Per Invoice'!N$2:N$801,$W209)))</f>
        <v/>
      </c>
      <c r="O209" s="7">
        <f>IF($W209="","",IF(INDEX('Per Invoice'!O$2:O$801,$W209)="","",INDEX('Per Invoice'!O$2:O$801,$W209)))</f>
        <v/>
      </c>
      <c r="P209">
        <f>IF($W209="","",IF(INDEX('Per Invoice'!P$2:P$801,$W209)="","",INDEX('Per Invoice'!P$2:P$801,$W209)))</f>
        <v/>
      </c>
      <c r="Q209" s="7">
        <f>IF($W209="","",IF(INDEX('Per Invoice'!Q$2:Q$801,$W209)="","",INDEX('Per Invoice'!Q$2:Q$801,$W209)))</f>
        <v/>
      </c>
      <c r="R209" s="7">
        <f>IF($W209="","",IF(INDEX('Per Invoice'!R$2:R$801,$W209)="","",INDEX('Per Invoice'!R$2:R$801,$W209)))</f>
        <v/>
      </c>
      <c r="S209" s="7">
        <f>IF($W209="","",IF(INDEX('Per Invoice'!S$2:S$801,$W209)="","",INDEX('Per Invoice'!S$2:S$801,$W209)))</f>
        <v/>
      </c>
      <c r="T209" s="7">
        <f>IF($W209="","",IF(INDEX('Per Invoice'!T$2:T$801,$W209)="","",INDEX('Per Invoice'!T$2:T$801,$W209)))</f>
        <v/>
      </c>
      <c r="U209" s="7">
        <f>IF($W209="","",IF(INDEX('Per Invoice'!U$2:U$801,$W209)="","",INDEX('Per Invoice'!U$2:U$801,$W209)))</f>
        <v/>
      </c>
      <c r="V209" s="7">
        <f>IF($W209="","",IF(INDEX('Per Invoice'!V$2:V$801,$W209)="","",INDEX('Per Invoice'!V$2:V$801,$W209)))</f>
        <v/>
      </c>
      <c r="W209" s="16">
        <f>IFERROR(MATCH(Settings!$C$30&amp;"|"&amp;ROWS($W$2:$W209),'Per Invoice'!$X$2:$X$801,0),"")</f>
        <v/>
      </c>
    </row>
    <row r="210">
      <c r="A210">
        <f>IF($W210="","",IF(INDEX('Per Invoice'!A$2:A$801,$W210)="","",INDEX('Per Invoice'!A$2:A$801,$W210)))</f>
        <v/>
      </c>
      <c r="B210">
        <f>IF($W210="","",IF(INDEX('Per Invoice'!B$2:B$801,$W210)="","",INDEX('Per Invoice'!B$2:B$801,$W210)))</f>
        <v/>
      </c>
      <c r="C210">
        <f>IF($W210="","",IF(INDEX('Per Invoice'!C$2:C$801,$W210)="","",INDEX('Per Invoice'!C$2:C$801,$W210)))</f>
        <v/>
      </c>
      <c r="D210">
        <f>IF($W210="","",IF(INDEX('Per Invoice'!D$2:D$801,$W210)="","",INDEX('Per Invoice'!D$2:D$801,$W210)))</f>
        <v/>
      </c>
      <c r="E210">
        <f>IF($W210="","",IF(INDEX('Per Invoice'!E$2:E$801,$W210)="","",INDEX('Per Invoice'!E$2:E$801,$W210)))</f>
        <v/>
      </c>
      <c r="F210">
        <f>IF($W210="","",IF(INDEX('Per Invoice'!F$2:F$801,$W210)="","",INDEX('Per Invoice'!F$2:F$801,$W210)))</f>
        <v/>
      </c>
      <c r="G210">
        <f>IF($W210="","",IF(INDEX('Per Invoice'!G$2:G$801,$W210)="","",INDEX('Per Invoice'!G$2:G$801,$W210)))</f>
        <v/>
      </c>
      <c r="H210">
        <f>IF($W210="","",IF(INDEX('Per Invoice'!H$2:H$801,$W210)="","",INDEX('Per Invoice'!H$2:H$801,$W210)))</f>
        <v/>
      </c>
      <c r="I210">
        <f>IF($W210="","",IF(INDEX('Per Invoice'!I$2:I$801,$W210)="","",INDEX('Per Invoice'!I$2:I$801,$W210)))</f>
        <v/>
      </c>
      <c r="J210">
        <f>IF($W210="","",IF(INDEX('Per Invoice'!J$2:J$801,$W210)="","",INDEX('Per Invoice'!J$2:J$801,$W210)))</f>
        <v/>
      </c>
      <c r="K210" s="7">
        <f>IF($W210="","",IF(INDEX('Per Invoice'!K$2:K$801,$W210)="","",INDEX('Per Invoice'!K$2:K$801,$W210)))</f>
        <v/>
      </c>
      <c r="L210" s="14">
        <f>IF($W210="","",IF(INDEX('Per Invoice'!L$2:L$801,$W210)="","",INDEX('Per Invoice'!L$2:L$801,$W210)))</f>
        <v/>
      </c>
      <c r="M210">
        <f>IF($W210="","",IF(INDEX('Per Invoice'!M$2:M$801,$W210)="","",INDEX('Per Invoice'!M$2:M$801,$W210)))</f>
        <v/>
      </c>
      <c r="N210" s="7">
        <f>IF($W210="","",IF(INDEX('Per Invoice'!N$2:N$801,$W210)="","",INDEX('Per Invoice'!N$2:N$801,$W210)))</f>
        <v/>
      </c>
      <c r="O210" s="7">
        <f>IF($W210="","",IF(INDEX('Per Invoice'!O$2:O$801,$W210)="","",INDEX('Per Invoice'!O$2:O$801,$W210)))</f>
        <v/>
      </c>
      <c r="P210">
        <f>IF($W210="","",IF(INDEX('Per Invoice'!P$2:P$801,$W210)="","",INDEX('Per Invoice'!P$2:P$801,$W210)))</f>
        <v/>
      </c>
      <c r="Q210" s="7">
        <f>IF($W210="","",IF(INDEX('Per Invoice'!Q$2:Q$801,$W210)="","",INDEX('Per Invoice'!Q$2:Q$801,$W210)))</f>
        <v/>
      </c>
      <c r="R210" s="7">
        <f>IF($W210="","",IF(INDEX('Per Invoice'!R$2:R$801,$W210)="","",INDEX('Per Invoice'!R$2:R$801,$W210)))</f>
        <v/>
      </c>
      <c r="S210" s="7">
        <f>IF($W210="","",IF(INDEX('Per Invoice'!S$2:S$801,$W210)="","",INDEX('Per Invoice'!S$2:S$801,$W210)))</f>
        <v/>
      </c>
      <c r="T210" s="7">
        <f>IF($W210="","",IF(INDEX('Per Invoice'!T$2:T$801,$W210)="","",INDEX('Per Invoice'!T$2:T$801,$W210)))</f>
        <v/>
      </c>
      <c r="U210" s="7">
        <f>IF($W210="","",IF(INDEX('Per Invoice'!U$2:U$801,$W210)="","",INDEX('Per Invoice'!U$2:U$801,$W210)))</f>
        <v/>
      </c>
      <c r="V210" s="7">
        <f>IF($W210="","",IF(INDEX('Per Invoice'!V$2:V$801,$W210)="","",INDEX('Per Invoice'!V$2:V$801,$W210)))</f>
        <v/>
      </c>
      <c r="W210" s="16">
        <f>IFERROR(MATCH(Settings!$C$30&amp;"|"&amp;ROWS($W$2:$W210),'Per Invoice'!$X$2:$X$801,0),"")</f>
        <v/>
      </c>
    </row>
    <row r="211">
      <c r="A211">
        <f>IF($W211="","",IF(INDEX('Per Invoice'!A$2:A$801,$W211)="","",INDEX('Per Invoice'!A$2:A$801,$W211)))</f>
        <v/>
      </c>
      <c r="B211">
        <f>IF($W211="","",IF(INDEX('Per Invoice'!B$2:B$801,$W211)="","",INDEX('Per Invoice'!B$2:B$801,$W211)))</f>
        <v/>
      </c>
      <c r="C211">
        <f>IF($W211="","",IF(INDEX('Per Invoice'!C$2:C$801,$W211)="","",INDEX('Per Invoice'!C$2:C$801,$W211)))</f>
        <v/>
      </c>
      <c r="D211">
        <f>IF($W211="","",IF(INDEX('Per Invoice'!D$2:D$801,$W211)="","",INDEX('Per Invoice'!D$2:D$801,$W211)))</f>
        <v/>
      </c>
      <c r="E211">
        <f>IF($W211="","",IF(INDEX('Per Invoice'!E$2:E$801,$W211)="","",INDEX('Per Invoice'!E$2:E$801,$W211)))</f>
        <v/>
      </c>
      <c r="F211">
        <f>IF($W211="","",IF(INDEX('Per Invoice'!F$2:F$801,$W211)="","",INDEX('Per Invoice'!F$2:F$801,$W211)))</f>
        <v/>
      </c>
      <c r="G211">
        <f>IF($W211="","",IF(INDEX('Per Invoice'!G$2:G$801,$W211)="","",INDEX('Per Invoice'!G$2:G$801,$W211)))</f>
        <v/>
      </c>
      <c r="H211">
        <f>IF($W211="","",IF(INDEX('Per Invoice'!H$2:H$801,$W211)="","",INDEX('Per Invoice'!H$2:H$801,$W211)))</f>
        <v/>
      </c>
      <c r="I211">
        <f>IF($W211="","",IF(INDEX('Per Invoice'!I$2:I$801,$W211)="","",INDEX('Per Invoice'!I$2:I$801,$W211)))</f>
        <v/>
      </c>
      <c r="J211">
        <f>IF($W211="","",IF(INDEX('Per Invoice'!J$2:J$801,$W211)="","",INDEX('Per Invoice'!J$2:J$801,$W211)))</f>
        <v/>
      </c>
      <c r="K211" s="7">
        <f>IF($W211="","",IF(INDEX('Per Invoice'!K$2:K$801,$W211)="","",INDEX('Per Invoice'!K$2:K$801,$W211)))</f>
        <v/>
      </c>
      <c r="L211" s="14">
        <f>IF($W211="","",IF(INDEX('Per Invoice'!L$2:L$801,$W211)="","",INDEX('Per Invoice'!L$2:L$801,$W211)))</f>
        <v/>
      </c>
      <c r="M211">
        <f>IF($W211="","",IF(INDEX('Per Invoice'!M$2:M$801,$W211)="","",INDEX('Per Invoice'!M$2:M$801,$W211)))</f>
        <v/>
      </c>
      <c r="N211" s="7">
        <f>IF($W211="","",IF(INDEX('Per Invoice'!N$2:N$801,$W211)="","",INDEX('Per Invoice'!N$2:N$801,$W211)))</f>
        <v/>
      </c>
      <c r="O211" s="7">
        <f>IF($W211="","",IF(INDEX('Per Invoice'!O$2:O$801,$W211)="","",INDEX('Per Invoice'!O$2:O$801,$W211)))</f>
        <v/>
      </c>
      <c r="P211">
        <f>IF($W211="","",IF(INDEX('Per Invoice'!P$2:P$801,$W211)="","",INDEX('Per Invoice'!P$2:P$801,$W211)))</f>
        <v/>
      </c>
      <c r="Q211" s="7">
        <f>IF($W211="","",IF(INDEX('Per Invoice'!Q$2:Q$801,$W211)="","",INDEX('Per Invoice'!Q$2:Q$801,$W211)))</f>
        <v/>
      </c>
      <c r="R211" s="7">
        <f>IF($W211="","",IF(INDEX('Per Invoice'!R$2:R$801,$W211)="","",INDEX('Per Invoice'!R$2:R$801,$W211)))</f>
        <v/>
      </c>
      <c r="S211" s="7">
        <f>IF($W211="","",IF(INDEX('Per Invoice'!S$2:S$801,$W211)="","",INDEX('Per Invoice'!S$2:S$801,$W211)))</f>
        <v/>
      </c>
      <c r="T211" s="7">
        <f>IF($W211="","",IF(INDEX('Per Invoice'!T$2:T$801,$W211)="","",INDEX('Per Invoice'!T$2:T$801,$W211)))</f>
        <v/>
      </c>
      <c r="U211" s="7">
        <f>IF($W211="","",IF(INDEX('Per Invoice'!U$2:U$801,$W211)="","",INDEX('Per Invoice'!U$2:U$801,$W211)))</f>
        <v/>
      </c>
      <c r="V211" s="7">
        <f>IF($W211="","",IF(INDEX('Per Invoice'!V$2:V$801,$W211)="","",INDEX('Per Invoice'!V$2:V$801,$W211)))</f>
        <v/>
      </c>
      <c r="W211" s="16">
        <f>IFERROR(MATCH(Settings!$C$30&amp;"|"&amp;ROWS($W$2:$W211),'Per Invoice'!$X$2:$X$801,0),"")</f>
        <v/>
      </c>
    </row>
    <row r="212">
      <c r="A212">
        <f>IF($W212="","",IF(INDEX('Per Invoice'!A$2:A$801,$W212)="","",INDEX('Per Invoice'!A$2:A$801,$W212)))</f>
        <v/>
      </c>
      <c r="B212">
        <f>IF($W212="","",IF(INDEX('Per Invoice'!B$2:B$801,$W212)="","",INDEX('Per Invoice'!B$2:B$801,$W212)))</f>
        <v/>
      </c>
      <c r="C212">
        <f>IF($W212="","",IF(INDEX('Per Invoice'!C$2:C$801,$W212)="","",INDEX('Per Invoice'!C$2:C$801,$W212)))</f>
        <v/>
      </c>
      <c r="D212">
        <f>IF($W212="","",IF(INDEX('Per Invoice'!D$2:D$801,$W212)="","",INDEX('Per Invoice'!D$2:D$801,$W212)))</f>
        <v/>
      </c>
      <c r="E212">
        <f>IF($W212="","",IF(INDEX('Per Invoice'!E$2:E$801,$W212)="","",INDEX('Per Invoice'!E$2:E$801,$W212)))</f>
        <v/>
      </c>
      <c r="F212">
        <f>IF($W212="","",IF(INDEX('Per Invoice'!F$2:F$801,$W212)="","",INDEX('Per Invoice'!F$2:F$801,$W212)))</f>
        <v/>
      </c>
      <c r="G212">
        <f>IF($W212="","",IF(INDEX('Per Invoice'!G$2:G$801,$W212)="","",INDEX('Per Invoice'!G$2:G$801,$W212)))</f>
        <v/>
      </c>
      <c r="H212">
        <f>IF($W212="","",IF(INDEX('Per Invoice'!H$2:H$801,$W212)="","",INDEX('Per Invoice'!H$2:H$801,$W212)))</f>
        <v/>
      </c>
      <c r="I212">
        <f>IF($W212="","",IF(INDEX('Per Invoice'!I$2:I$801,$W212)="","",INDEX('Per Invoice'!I$2:I$801,$W212)))</f>
        <v/>
      </c>
      <c r="J212">
        <f>IF($W212="","",IF(INDEX('Per Invoice'!J$2:J$801,$W212)="","",INDEX('Per Invoice'!J$2:J$801,$W212)))</f>
        <v/>
      </c>
      <c r="K212" s="7">
        <f>IF($W212="","",IF(INDEX('Per Invoice'!K$2:K$801,$W212)="","",INDEX('Per Invoice'!K$2:K$801,$W212)))</f>
        <v/>
      </c>
      <c r="L212" s="14">
        <f>IF($W212="","",IF(INDEX('Per Invoice'!L$2:L$801,$W212)="","",INDEX('Per Invoice'!L$2:L$801,$W212)))</f>
        <v/>
      </c>
      <c r="M212">
        <f>IF($W212="","",IF(INDEX('Per Invoice'!M$2:M$801,$W212)="","",INDEX('Per Invoice'!M$2:M$801,$W212)))</f>
        <v/>
      </c>
      <c r="N212" s="7">
        <f>IF($W212="","",IF(INDEX('Per Invoice'!N$2:N$801,$W212)="","",INDEX('Per Invoice'!N$2:N$801,$W212)))</f>
        <v/>
      </c>
      <c r="O212" s="7">
        <f>IF($W212="","",IF(INDEX('Per Invoice'!O$2:O$801,$W212)="","",INDEX('Per Invoice'!O$2:O$801,$W212)))</f>
        <v/>
      </c>
      <c r="P212">
        <f>IF($W212="","",IF(INDEX('Per Invoice'!P$2:P$801,$W212)="","",INDEX('Per Invoice'!P$2:P$801,$W212)))</f>
        <v/>
      </c>
      <c r="Q212" s="7">
        <f>IF($W212="","",IF(INDEX('Per Invoice'!Q$2:Q$801,$W212)="","",INDEX('Per Invoice'!Q$2:Q$801,$W212)))</f>
        <v/>
      </c>
      <c r="R212" s="7">
        <f>IF($W212="","",IF(INDEX('Per Invoice'!R$2:R$801,$W212)="","",INDEX('Per Invoice'!R$2:R$801,$W212)))</f>
        <v/>
      </c>
      <c r="S212" s="7">
        <f>IF($W212="","",IF(INDEX('Per Invoice'!S$2:S$801,$W212)="","",INDEX('Per Invoice'!S$2:S$801,$W212)))</f>
        <v/>
      </c>
      <c r="T212" s="7">
        <f>IF($W212="","",IF(INDEX('Per Invoice'!T$2:T$801,$W212)="","",INDEX('Per Invoice'!T$2:T$801,$W212)))</f>
        <v/>
      </c>
      <c r="U212" s="7">
        <f>IF($W212="","",IF(INDEX('Per Invoice'!U$2:U$801,$W212)="","",INDEX('Per Invoice'!U$2:U$801,$W212)))</f>
        <v/>
      </c>
      <c r="V212" s="7">
        <f>IF($W212="","",IF(INDEX('Per Invoice'!V$2:V$801,$W212)="","",INDEX('Per Invoice'!V$2:V$801,$W212)))</f>
        <v/>
      </c>
      <c r="W212" s="16">
        <f>IFERROR(MATCH(Settings!$C$30&amp;"|"&amp;ROWS($W$2:$W212),'Per Invoice'!$X$2:$X$801,0),"")</f>
        <v/>
      </c>
    </row>
    <row r="213">
      <c r="A213">
        <f>IF($W213="","",IF(INDEX('Per Invoice'!A$2:A$801,$W213)="","",INDEX('Per Invoice'!A$2:A$801,$W213)))</f>
        <v/>
      </c>
      <c r="B213">
        <f>IF($W213="","",IF(INDEX('Per Invoice'!B$2:B$801,$W213)="","",INDEX('Per Invoice'!B$2:B$801,$W213)))</f>
        <v/>
      </c>
      <c r="C213">
        <f>IF($W213="","",IF(INDEX('Per Invoice'!C$2:C$801,$W213)="","",INDEX('Per Invoice'!C$2:C$801,$W213)))</f>
        <v/>
      </c>
      <c r="D213">
        <f>IF($W213="","",IF(INDEX('Per Invoice'!D$2:D$801,$W213)="","",INDEX('Per Invoice'!D$2:D$801,$W213)))</f>
        <v/>
      </c>
      <c r="E213">
        <f>IF($W213="","",IF(INDEX('Per Invoice'!E$2:E$801,$W213)="","",INDEX('Per Invoice'!E$2:E$801,$W213)))</f>
        <v/>
      </c>
      <c r="F213">
        <f>IF($W213="","",IF(INDEX('Per Invoice'!F$2:F$801,$W213)="","",INDEX('Per Invoice'!F$2:F$801,$W213)))</f>
        <v/>
      </c>
      <c r="G213">
        <f>IF($W213="","",IF(INDEX('Per Invoice'!G$2:G$801,$W213)="","",INDEX('Per Invoice'!G$2:G$801,$W213)))</f>
        <v/>
      </c>
      <c r="H213">
        <f>IF($W213="","",IF(INDEX('Per Invoice'!H$2:H$801,$W213)="","",INDEX('Per Invoice'!H$2:H$801,$W213)))</f>
        <v/>
      </c>
      <c r="I213">
        <f>IF($W213="","",IF(INDEX('Per Invoice'!I$2:I$801,$W213)="","",INDEX('Per Invoice'!I$2:I$801,$W213)))</f>
        <v/>
      </c>
      <c r="J213">
        <f>IF($W213="","",IF(INDEX('Per Invoice'!J$2:J$801,$W213)="","",INDEX('Per Invoice'!J$2:J$801,$W213)))</f>
        <v/>
      </c>
      <c r="K213" s="7">
        <f>IF($W213="","",IF(INDEX('Per Invoice'!K$2:K$801,$W213)="","",INDEX('Per Invoice'!K$2:K$801,$W213)))</f>
        <v/>
      </c>
      <c r="L213" s="14">
        <f>IF($W213="","",IF(INDEX('Per Invoice'!L$2:L$801,$W213)="","",INDEX('Per Invoice'!L$2:L$801,$W213)))</f>
        <v/>
      </c>
      <c r="M213">
        <f>IF($W213="","",IF(INDEX('Per Invoice'!M$2:M$801,$W213)="","",INDEX('Per Invoice'!M$2:M$801,$W213)))</f>
        <v/>
      </c>
      <c r="N213" s="7">
        <f>IF($W213="","",IF(INDEX('Per Invoice'!N$2:N$801,$W213)="","",INDEX('Per Invoice'!N$2:N$801,$W213)))</f>
        <v/>
      </c>
      <c r="O213" s="7">
        <f>IF($W213="","",IF(INDEX('Per Invoice'!O$2:O$801,$W213)="","",INDEX('Per Invoice'!O$2:O$801,$W213)))</f>
        <v/>
      </c>
      <c r="P213">
        <f>IF($W213="","",IF(INDEX('Per Invoice'!P$2:P$801,$W213)="","",INDEX('Per Invoice'!P$2:P$801,$W213)))</f>
        <v/>
      </c>
      <c r="Q213" s="7">
        <f>IF($W213="","",IF(INDEX('Per Invoice'!Q$2:Q$801,$W213)="","",INDEX('Per Invoice'!Q$2:Q$801,$W213)))</f>
        <v/>
      </c>
      <c r="R213" s="7">
        <f>IF($W213="","",IF(INDEX('Per Invoice'!R$2:R$801,$W213)="","",INDEX('Per Invoice'!R$2:R$801,$W213)))</f>
        <v/>
      </c>
      <c r="S213" s="7">
        <f>IF($W213="","",IF(INDEX('Per Invoice'!S$2:S$801,$W213)="","",INDEX('Per Invoice'!S$2:S$801,$W213)))</f>
        <v/>
      </c>
      <c r="T213" s="7">
        <f>IF($W213="","",IF(INDEX('Per Invoice'!T$2:T$801,$W213)="","",INDEX('Per Invoice'!T$2:T$801,$W213)))</f>
        <v/>
      </c>
      <c r="U213" s="7">
        <f>IF($W213="","",IF(INDEX('Per Invoice'!U$2:U$801,$W213)="","",INDEX('Per Invoice'!U$2:U$801,$W213)))</f>
        <v/>
      </c>
      <c r="V213" s="7">
        <f>IF($W213="","",IF(INDEX('Per Invoice'!V$2:V$801,$W213)="","",INDEX('Per Invoice'!V$2:V$801,$W213)))</f>
        <v/>
      </c>
      <c r="W213" s="16">
        <f>IFERROR(MATCH(Settings!$C$30&amp;"|"&amp;ROWS($W$2:$W213),'Per Invoice'!$X$2:$X$801,0),"")</f>
        <v/>
      </c>
    </row>
    <row r="214">
      <c r="A214">
        <f>IF($W214="","",IF(INDEX('Per Invoice'!A$2:A$801,$W214)="","",INDEX('Per Invoice'!A$2:A$801,$W214)))</f>
        <v/>
      </c>
      <c r="B214">
        <f>IF($W214="","",IF(INDEX('Per Invoice'!B$2:B$801,$W214)="","",INDEX('Per Invoice'!B$2:B$801,$W214)))</f>
        <v/>
      </c>
      <c r="C214">
        <f>IF($W214="","",IF(INDEX('Per Invoice'!C$2:C$801,$W214)="","",INDEX('Per Invoice'!C$2:C$801,$W214)))</f>
        <v/>
      </c>
      <c r="D214">
        <f>IF($W214="","",IF(INDEX('Per Invoice'!D$2:D$801,$W214)="","",INDEX('Per Invoice'!D$2:D$801,$W214)))</f>
        <v/>
      </c>
      <c r="E214">
        <f>IF($W214="","",IF(INDEX('Per Invoice'!E$2:E$801,$W214)="","",INDEX('Per Invoice'!E$2:E$801,$W214)))</f>
        <v/>
      </c>
      <c r="F214">
        <f>IF($W214="","",IF(INDEX('Per Invoice'!F$2:F$801,$W214)="","",INDEX('Per Invoice'!F$2:F$801,$W214)))</f>
        <v/>
      </c>
      <c r="G214">
        <f>IF($W214="","",IF(INDEX('Per Invoice'!G$2:G$801,$W214)="","",INDEX('Per Invoice'!G$2:G$801,$W214)))</f>
        <v/>
      </c>
      <c r="H214">
        <f>IF($W214="","",IF(INDEX('Per Invoice'!H$2:H$801,$W214)="","",INDEX('Per Invoice'!H$2:H$801,$W214)))</f>
        <v/>
      </c>
      <c r="I214">
        <f>IF($W214="","",IF(INDEX('Per Invoice'!I$2:I$801,$W214)="","",INDEX('Per Invoice'!I$2:I$801,$W214)))</f>
        <v/>
      </c>
      <c r="J214">
        <f>IF($W214="","",IF(INDEX('Per Invoice'!J$2:J$801,$W214)="","",INDEX('Per Invoice'!J$2:J$801,$W214)))</f>
        <v/>
      </c>
      <c r="K214" s="7">
        <f>IF($W214="","",IF(INDEX('Per Invoice'!K$2:K$801,$W214)="","",INDEX('Per Invoice'!K$2:K$801,$W214)))</f>
        <v/>
      </c>
      <c r="L214" s="14">
        <f>IF($W214="","",IF(INDEX('Per Invoice'!L$2:L$801,$W214)="","",INDEX('Per Invoice'!L$2:L$801,$W214)))</f>
        <v/>
      </c>
      <c r="M214">
        <f>IF($W214="","",IF(INDEX('Per Invoice'!M$2:M$801,$W214)="","",INDEX('Per Invoice'!M$2:M$801,$W214)))</f>
        <v/>
      </c>
      <c r="N214" s="7">
        <f>IF($W214="","",IF(INDEX('Per Invoice'!N$2:N$801,$W214)="","",INDEX('Per Invoice'!N$2:N$801,$W214)))</f>
        <v/>
      </c>
      <c r="O214" s="7">
        <f>IF($W214="","",IF(INDEX('Per Invoice'!O$2:O$801,$W214)="","",INDEX('Per Invoice'!O$2:O$801,$W214)))</f>
        <v/>
      </c>
      <c r="P214">
        <f>IF($W214="","",IF(INDEX('Per Invoice'!P$2:P$801,$W214)="","",INDEX('Per Invoice'!P$2:P$801,$W214)))</f>
        <v/>
      </c>
      <c r="Q214" s="7">
        <f>IF($W214="","",IF(INDEX('Per Invoice'!Q$2:Q$801,$W214)="","",INDEX('Per Invoice'!Q$2:Q$801,$W214)))</f>
        <v/>
      </c>
      <c r="R214" s="7">
        <f>IF($W214="","",IF(INDEX('Per Invoice'!R$2:R$801,$W214)="","",INDEX('Per Invoice'!R$2:R$801,$W214)))</f>
        <v/>
      </c>
      <c r="S214" s="7">
        <f>IF($W214="","",IF(INDEX('Per Invoice'!S$2:S$801,$W214)="","",INDEX('Per Invoice'!S$2:S$801,$W214)))</f>
        <v/>
      </c>
      <c r="T214" s="7">
        <f>IF($W214="","",IF(INDEX('Per Invoice'!T$2:T$801,$W214)="","",INDEX('Per Invoice'!T$2:T$801,$W214)))</f>
        <v/>
      </c>
      <c r="U214" s="7">
        <f>IF($W214="","",IF(INDEX('Per Invoice'!U$2:U$801,$W214)="","",INDEX('Per Invoice'!U$2:U$801,$W214)))</f>
        <v/>
      </c>
      <c r="V214" s="7">
        <f>IF($W214="","",IF(INDEX('Per Invoice'!V$2:V$801,$W214)="","",INDEX('Per Invoice'!V$2:V$801,$W214)))</f>
        <v/>
      </c>
      <c r="W214" s="16">
        <f>IFERROR(MATCH(Settings!$C$30&amp;"|"&amp;ROWS($W$2:$W214),'Per Invoice'!$X$2:$X$801,0),"")</f>
        <v/>
      </c>
    </row>
    <row r="215">
      <c r="A215">
        <f>IF($W215="","",IF(INDEX('Per Invoice'!A$2:A$801,$W215)="","",INDEX('Per Invoice'!A$2:A$801,$W215)))</f>
        <v/>
      </c>
      <c r="B215">
        <f>IF($W215="","",IF(INDEX('Per Invoice'!B$2:B$801,$W215)="","",INDEX('Per Invoice'!B$2:B$801,$W215)))</f>
        <v/>
      </c>
      <c r="C215">
        <f>IF($W215="","",IF(INDEX('Per Invoice'!C$2:C$801,$W215)="","",INDEX('Per Invoice'!C$2:C$801,$W215)))</f>
        <v/>
      </c>
      <c r="D215">
        <f>IF($W215="","",IF(INDEX('Per Invoice'!D$2:D$801,$W215)="","",INDEX('Per Invoice'!D$2:D$801,$W215)))</f>
        <v/>
      </c>
      <c r="E215">
        <f>IF($W215="","",IF(INDEX('Per Invoice'!E$2:E$801,$W215)="","",INDEX('Per Invoice'!E$2:E$801,$W215)))</f>
        <v/>
      </c>
      <c r="F215">
        <f>IF($W215="","",IF(INDEX('Per Invoice'!F$2:F$801,$W215)="","",INDEX('Per Invoice'!F$2:F$801,$W215)))</f>
        <v/>
      </c>
      <c r="G215">
        <f>IF($W215="","",IF(INDEX('Per Invoice'!G$2:G$801,$W215)="","",INDEX('Per Invoice'!G$2:G$801,$W215)))</f>
        <v/>
      </c>
      <c r="H215">
        <f>IF($W215="","",IF(INDEX('Per Invoice'!H$2:H$801,$W215)="","",INDEX('Per Invoice'!H$2:H$801,$W215)))</f>
        <v/>
      </c>
      <c r="I215">
        <f>IF($W215="","",IF(INDEX('Per Invoice'!I$2:I$801,$W215)="","",INDEX('Per Invoice'!I$2:I$801,$W215)))</f>
        <v/>
      </c>
      <c r="J215">
        <f>IF($W215="","",IF(INDEX('Per Invoice'!J$2:J$801,$W215)="","",INDEX('Per Invoice'!J$2:J$801,$W215)))</f>
        <v/>
      </c>
      <c r="K215" s="7">
        <f>IF($W215="","",IF(INDEX('Per Invoice'!K$2:K$801,$W215)="","",INDEX('Per Invoice'!K$2:K$801,$W215)))</f>
        <v/>
      </c>
      <c r="L215" s="14">
        <f>IF($W215="","",IF(INDEX('Per Invoice'!L$2:L$801,$W215)="","",INDEX('Per Invoice'!L$2:L$801,$W215)))</f>
        <v/>
      </c>
      <c r="M215">
        <f>IF($W215="","",IF(INDEX('Per Invoice'!M$2:M$801,$W215)="","",INDEX('Per Invoice'!M$2:M$801,$W215)))</f>
        <v/>
      </c>
      <c r="N215" s="7">
        <f>IF($W215="","",IF(INDEX('Per Invoice'!N$2:N$801,$W215)="","",INDEX('Per Invoice'!N$2:N$801,$W215)))</f>
        <v/>
      </c>
      <c r="O215" s="7">
        <f>IF($W215="","",IF(INDEX('Per Invoice'!O$2:O$801,$W215)="","",INDEX('Per Invoice'!O$2:O$801,$W215)))</f>
        <v/>
      </c>
      <c r="P215">
        <f>IF($W215="","",IF(INDEX('Per Invoice'!P$2:P$801,$W215)="","",INDEX('Per Invoice'!P$2:P$801,$W215)))</f>
        <v/>
      </c>
      <c r="Q215" s="7">
        <f>IF($W215="","",IF(INDEX('Per Invoice'!Q$2:Q$801,$W215)="","",INDEX('Per Invoice'!Q$2:Q$801,$W215)))</f>
        <v/>
      </c>
      <c r="R215" s="7">
        <f>IF($W215="","",IF(INDEX('Per Invoice'!R$2:R$801,$W215)="","",INDEX('Per Invoice'!R$2:R$801,$W215)))</f>
        <v/>
      </c>
      <c r="S215" s="7">
        <f>IF($W215="","",IF(INDEX('Per Invoice'!S$2:S$801,$W215)="","",INDEX('Per Invoice'!S$2:S$801,$W215)))</f>
        <v/>
      </c>
      <c r="T215" s="7">
        <f>IF($W215="","",IF(INDEX('Per Invoice'!T$2:T$801,$W215)="","",INDEX('Per Invoice'!T$2:T$801,$W215)))</f>
        <v/>
      </c>
      <c r="U215" s="7">
        <f>IF($W215="","",IF(INDEX('Per Invoice'!U$2:U$801,$W215)="","",INDEX('Per Invoice'!U$2:U$801,$W215)))</f>
        <v/>
      </c>
      <c r="V215" s="7">
        <f>IF($W215="","",IF(INDEX('Per Invoice'!V$2:V$801,$W215)="","",INDEX('Per Invoice'!V$2:V$801,$W215)))</f>
        <v/>
      </c>
      <c r="W215" s="16">
        <f>IFERROR(MATCH(Settings!$C$30&amp;"|"&amp;ROWS($W$2:$W215),'Per Invoice'!$X$2:$X$801,0),"")</f>
        <v/>
      </c>
    </row>
    <row r="216">
      <c r="A216">
        <f>IF($W216="","",IF(INDEX('Per Invoice'!A$2:A$801,$W216)="","",INDEX('Per Invoice'!A$2:A$801,$W216)))</f>
        <v/>
      </c>
      <c r="B216">
        <f>IF($W216="","",IF(INDEX('Per Invoice'!B$2:B$801,$W216)="","",INDEX('Per Invoice'!B$2:B$801,$W216)))</f>
        <v/>
      </c>
      <c r="C216">
        <f>IF($W216="","",IF(INDEX('Per Invoice'!C$2:C$801,$W216)="","",INDEX('Per Invoice'!C$2:C$801,$W216)))</f>
        <v/>
      </c>
      <c r="D216">
        <f>IF($W216="","",IF(INDEX('Per Invoice'!D$2:D$801,$W216)="","",INDEX('Per Invoice'!D$2:D$801,$W216)))</f>
        <v/>
      </c>
      <c r="E216">
        <f>IF($W216="","",IF(INDEX('Per Invoice'!E$2:E$801,$W216)="","",INDEX('Per Invoice'!E$2:E$801,$W216)))</f>
        <v/>
      </c>
      <c r="F216">
        <f>IF($W216="","",IF(INDEX('Per Invoice'!F$2:F$801,$W216)="","",INDEX('Per Invoice'!F$2:F$801,$W216)))</f>
        <v/>
      </c>
      <c r="G216">
        <f>IF($W216="","",IF(INDEX('Per Invoice'!G$2:G$801,$W216)="","",INDEX('Per Invoice'!G$2:G$801,$W216)))</f>
        <v/>
      </c>
      <c r="H216">
        <f>IF($W216="","",IF(INDEX('Per Invoice'!H$2:H$801,$W216)="","",INDEX('Per Invoice'!H$2:H$801,$W216)))</f>
        <v/>
      </c>
      <c r="I216">
        <f>IF($W216="","",IF(INDEX('Per Invoice'!I$2:I$801,$W216)="","",INDEX('Per Invoice'!I$2:I$801,$W216)))</f>
        <v/>
      </c>
      <c r="J216">
        <f>IF($W216="","",IF(INDEX('Per Invoice'!J$2:J$801,$W216)="","",INDEX('Per Invoice'!J$2:J$801,$W216)))</f>
        <v/>
      </c>
      <c r="K216" s="7">
        <f>IF($W216="","",IF(INDEX('Per Invoice'!K$2:K$801,$W216)="","",INDEX('Per Invoice'!K$2:K$801,$W216)))</f>
        <v/>
      </c>
      <c r="L216" s="14">
        <f>IF($W216="","",IF(INDEX('Per Invoice'!L$2:L$801,$W216)="","",INDEX('Per Invoice'!L$2:L$801,$W216)))</f>
        <v/>
      </c>
      <c r="M216">
        <f>IF($W216="","",IF(INDEX('Per Invoice'!M$2:M$801,$W216)="","",INDEX('Per Invoice'!M$2:M$801,$W216)))</f>
        <v/>
      </c>
      <c r="N216" s="7">
        <f>IF($W216="","",IF(INDEX('Per Invoice'!N$2:N$801,$W216)="","",INDEX('Per Invoice'!N$2:N$801,$W216)))</f>
        <v/>
      </c>
      <c r="O216" s="7">
        <f>IF($W216="","",IF(INDEX('Per Invoice'!O$2:O$801,$W216)="","",INDEX('Per Invoice'!O$2:O$801,$W216)))</f>
        <v/>
      </c>
      <c r="P216">
        <f>IF($W216="","",IF(INDEX('Per Invoice'!P$2:P$801,$W216)="","",INDEX('Per Invoice'!P$2:P$801,$W216)))</f>
        <v/>
      </c>
      <c r="Q216" s="7">
        <f>IF($W216="","",IF(INDEX('Per Invoice'!Q$2:Q$801,$W216)="","",INDEX('Per Invoice'!Q$2:Q$801,$W216)))</f>
        <v/>
      </c>
      <c r="R216" s="7">
        <f>IF($W216="","",IF(INDEX('Per Invoice'!R$2:R$801,$W216)="","",INDEX('Per Invoice'!R$2:R$801,$W216)))</f>
        <v/>
      </c>
      <c r="S216" s="7">
        <f>IF($W216="","",IF(INDEX('Per Invoice'!S$2:S$801,$W216)="","",INDEX('Per Invoice'!S$2:S$801,$W216)))</f>
        <v/>
      </c>
      <c r="T216" s="7">
        <f>IF($W216="","",IF(INDEX('Per Invoice'!T$2:T$801,$W216)="","",INDEX('Per Invoice'!T$2:T$801,$W216)))</f>
        <v/>
      </c>
      <c r="U216" s="7">
        <f>IF($W216="","",IF(INDEX('Per Invoice'!U$2:U$801,$W216)="","",INDEX('Per Invoice'!U$2:U$801,$W216)))</f>
        <v/>
      </c>
      <c r="V216" s="7">
        <f>IF($W216="","",IF(INDEX('Per Invoice'!V$2:V$801,$W216)="","",INDEX('Per Invoice'!V$2:V$801,$W216)))</f>
        <v/>
      </c>
      <c r="W216" s="16">
        <f>IFERROR(MATCH(Settings!$C$30&amp;"|"&amp;ROWS($W$2:$W216),'Per Invoice'!$X$2:$X$801,0),"")</f>
        <v/>
      </c>
    </row>
    <row r="217">
      <c r="A217">
        <f>IF($W217="","",IF(INDEX('Per Invoice'!A$2:A$801,$W217)="","",INDEX('Per Invoice'!A$2:A$801,$W217)))</f>
        <v/>
      </c>
      <c r="B217">
        <f>IF($W217="","",IF(INDEX('Per Invoice'!B$2:B$801,$W217)="","",INDEX('Per Invoice'!B$2:B$801,$W217)))</f>
        <v/>
      </c>
      <c r="C217">
        <f>IF($W217="","",IF(INDEX('Per Invoice'!C$2:C$801,$W217)="","",INDEX('Per Invoice'!C$2:C$801,$W217)))</f>
        <v/>
      </c>
      <c r="D217">
        <f>IF($W217="","",IF(INDEX('Per Invoice'!D$2:D$801,$W217)="","",INDEX('Per Invoice'!D$2:D$801,$W217)))</f>
        <v/>
      </c>
      <c r="E217">
        <f>IF($W217="","",IF(INDEX('Per Invoice'!E$2:E$801,$W217)="","",INDEX('Per Invoice'!E$2:E$801,$W217)))</f>
        <v/>
      </c>
      <c r="F217">
        <f>IF($W217="","",IF(INDEX('Per Invoice'!F$2:F$801,$W217)="","",INDEX('Per Invoice'!F$2:F$801,$W217)))</f>
        <v/>
      </c>
      <c r="G217">
        <f>IF($W217="","",IF(INDEX('Per Invoice'!G$2:G$801,$W217)="","",INDEX('Per Invoice'!G$2:G$801,$W217)))</f>
        <v/>
      </c>
      <c r="H217">
        <f>IF($W217="","",IF(INDEX('Per Invoice'!H$2:H$801,$W217)="","",INDEX('Per Invoice'!H$2:H$801,$W217)))</f>
        <v/>
      </c>
      <c r="I217">
        <f>IF($W217="","",IF(INDEX('Per Invoice'!I$2:I$801,$W217)="","",INDEX('Per Invoice'!I$2:I$801,$W217)))</f>
        <v/>
      </c>
      <c r="J217">
        <f>IF($W217="","",IF(INDEX('Per Invoice'!J$2:J$801,$W217)="","",INDEX('Per Invoice'!J$2:J$801,$W217)))</f>
        <v/>
      </c>
      <c r="K217" s="7">
        <f>IF($W217="","",IF(INDEX('Per Invoice'!K$2:K$801,$W217)="","",INDEX('Per Invoice'!K$2:K$801,$W217)))</f>
        <v/>
      </c>
      <c r="L217" s="14">
        <f>IF($W217="","",IF(INDEX('Per Invoice'!L$2:L$801,$W217)="","",INDEX('Per Invoice'!L$2:L$801,$W217)))</f>
        <v/>
      </c>
      <c r="M217">
        <f>IF($W217="","",IF(INDEX('Per Invoice'!M$2:M$801,$W217)="","",INDEX('Per Invoice'!M$2:M$801,$W217)))</f>
        <v/>
      </c>
      <c r="N217" s="7">
        <f>IF($W217="","",IF(INDEX('Per Invoice'!N$2:N$801,$W217)="","",INDEX('Per Invoice'!N$2:N$801,$W217)))</f>
        <v/>
      </c>
      <c r="O217" s="7">
        <f>IF($W217="","",IF(INDEX('Per Invoice'!O$2:O$801,$W217)="","",INDEX('Per Invoice'!O$2:O$801,$W217)))</f>
        <v/>
      </c>
      <c r="P217">
        <f>IF($W217="","",IF(INDEX('Per Invoice'!P$2:P$801,$W217)="","",INDEX('Per Invoice'!P$2:P$801,$W217)))</f>
        <v/>
      </c>
      <c r="Q217" s="7">
        <f>IF($W217="","",IF(INDEX('Per Invoice'!Q$2:Q$801,$W217)="","",INDEX('Per Invoice'!Q$2:Q$801,$W217)))</f>
        <v/>
      </c>
      <c r="R217" s="7">
        <f>IF($W217="","",IF(INDEX('Per Invoice'!R$2:R$801,$W217)="","",INDEX('Per Invoice'!R$2:R$801,$W217)))</f>
        <v/>
      </c>
      <c r="S217" s="7">
        <f>IF($W217="","",IF(INDEX('Per Invoice'!S$2:S$801,$W217)="","",INDEX('Per Invoice'!S$2:S$801,$W217)))</f>
        <v/>
      </c>
      <c r="T217" s="7">
        <f>IF($W217="","",IF(INDEX('Per Invoice'!T$2:T$801,$W217)="","",INDEX('Per Invoice'!T$2:T$801,$W217)))</f>
        <v/>
      </c>
      <c r="U217" s="7">
        <f>IF($W217="","",IF(INDEX('Per Invoice'!U$2:U$801,$W217)="","",INDEX('Per Invoice'!U$2:U$801,$W217)))</f>
        <v/>
      </c>
      <c r="V217" s="7">
        <f>IF($W217="","",IF(INDEX('Per Invoice'!V$2:V$801,$W217)="","",INDEX('Per Invoice'!V$2:V$801,$W217)))</f>
        <v/>
      </c>
      <c r="W217" s="16">
        <f>IFERROR(MATCH(Settings!$C$30&amp;"|"&amp;ROWS($W$2:$W217),'Per Invoice'!$X$2:$X$801,0),"")</f>
        <v/>
      </c>
    </row>
    <row r="218">
      <c r="A218">
        <f>IF($W218="","",IF(INDEX('Per Invoice'!A$2:A$801,$W218)="","",INDEX('Per Invoice'!A$2:A$801,$W218)))</f>
        <v/>
      </c>
      <c r="B218">
        <f>IF($W218="","",IF(INDEX('Per Invoice'!B$2:B$801,$W218)="","",INDEX('Per Invoice'!B$2:B$801,$W218)))</f>
        <v/>
      </c>
      <c r="C218">
        <f>IF($W218="","",IF(INDEX('Per Invoice'!C$2:C$801,$W218)="","",INDEX('Per Invoice'!C$2:C$801,$W218)))</f>
        <v/>
      </c>
      <c r="D218">
        <f>IF($W218="","",IF(INDEX('Per Invoice'!D$2:D$801,$W218)="","",INDEX('Per Invoice'!D$2:D$801,$W218)))</f>
        <v/>
      </c>
      <c r="E218">
        <f>IF($W218="","",IF(INDEX('Per Invoice'!E$2:E$801,$W218)="","",INDEX('Per Invoice'!E$2:E$801,$W218)))</f>
        <v/>
      </c>
      <c r="F218">
        <f>IF($W218="","",IF(INDEX('Per Invoice'!F$2:F$801,$W218)="","",INDEX('Per Invoice'!F$2:F$801,$W218)))</f>
        <v/>
      </c>
      <c r="G218">
        <f>IF($W218="","",IF(INDEX('Per Invoice'!G$2:G$801,$W218)="","",INDEX('Per Invoice'!G$2:G$801,$W218)))</f>
        <v/>
      </c>
      <c r="H218">
        <f>IF($W218="","",IF(INDEX('Per Invoice'!H$2:H$801,$W218)="","",INDEX('Per Invoice'!H$2:H$801,$W218)))</f>
        <v/>
      </c>
      <c r="I218">
        <f>IF($W218="","",IF(INDEX('Per Invoice'!I$2:I$801,$W218)="","",INDEX('Per Invoice'!I$2:I$801,$W218)))</f>
        <v/>
      </c>
      <c r="J218">
        <f>IF($W218="","",IF(INDEX('Per Invoice'!J$2:J$801,$W218)="","",INDEX('Per Invoice'!J$2:J$801,$W218)))</f>
        <v/>
      </c>
      <c r="K218" s="7">
        <f>IF($W218="","",IF(INDEX('Per Invoice'!K$2:K$801,$W218)="","",INDEX('Per Invoice'!K$2:K$801,$W218)))</f>
        <v/>
      </c>
      <c r="L218" s="14">
        <f>IF($W218="","",IF(INDEX('Per Invoice'!L$2:L$801,$W218)="","",INDEX('Per Invoice'!L$2:L$801,$W218)))</f>
        <v/>
      </c>
      <c r="M218">
        <f>IF($W218="","",IF(INDEX('Per Invoice'!M$2:M$801,$W218)="","",INDEX('Per Invoice'!M$2:M$801,$W218)))</f>
        <v/>
      </c>
      <c r="N218" s="7">
        <f>IF($W218="","",IF(INDEX('Per Invoice'!N$2:N$801,$W218)="","",INDEX('Per Invoice'!N$2:N$801,$W218)))</f>
        <v/>
      </c>
      <c r="O218" s="7">
        <f>IF($W218="","",IF(INDEX('Per Invoice'!O$2:O$801,$W218)="","",INDEX('Per Invoice'!O$2:O$801,$W218)))</f>
        <v/>
      </c>
      <c r="P218">
        <f>IF($W218="","",IF(INDEX('Per Invoice'!P$2:P$801,$W218)="","",INDEX('Per Invoice'!P$2:P$801,$W218)))</f>
        <v/>
      </c>
      <c r="Q218" s="7">
        <f>IF($W218="","",IF(INDEX('Per Invoice'!Q$2:Q$801,$W218)="","",INDEX('Per Invoice'!Q$2:Q$801,$W218)))</f>
        <v/>
      </c>
      <c r="R218" s="7">
        <f>IF($W218="","",IF(INDEX('Per Invoice'!R$2:R$801,$W218)="","",INDEX('Per Invoice'!R$2:R$801,$W218)))</f>
        <v/>
      </c>
      <c r="S218" s="7">
        <f>IF($W218="","",IF(INDEX('Per Invoice'!S$2:S$801,$W218)="","",INDEX('Per Invoice'!S$2:S$801,$W218)))</f>
        <v/>
      </c>
      <c r="T218" s="7">
        <f>IF($W218="","",IF(INDEX('Per Invoice'!T$2:T$801,$W218)="","",INDEX('Per Invoice'!T$2:T$801,$W218)))</f>
        <v/>
      </c>
      <c r="U218" s="7">
        <f>IF($W218="","",IF(INDEX('Per Invoice'!U$2:U$801,$W218)="","",INDEX('Per Invoice'!U$2:U$801,$W218)))</f>
        <v/>
      </c>
      <c r="V218" s="7">
        <f>IF($W218="","",IF(INDEX('Per Invoice'!V$2:V$801,$W218)="","",INDEX('Per Invoice'!V$2:V$801,$W218)))</f>
        <v/>
      </c>
      <c r="W218" s="16">
        <f>IFERROR(MATCH(Settings!$C$30&amp;"|"&amp;ROWS($W$2:$W218),'Per Invoice'!$X$2:$X$801,0),"")</f>
        <v/>
      </c>
    </row>
    <row r="219">
      <c r="A219">
        <f>IF($W219="","",IF(INDEX('Per Invoice'!A$2:A$801,$W219)="","",INDEX('Per Invoice'!A$2:A$801,$W219)))</f>
        <v/>
      </c>
      <c r="B219">
        <f>IF($W219="","",IF(INDEX('Per Invoice'!B$2:B$801,$W219)="","",INDEX('Per Invoice'!B$2:B$801,$W219)))</f>
        <v/>
      </c>
      <c r="C219">
        <f>IF($W219="","",IF(INDEX('Per Invoice'!C$2:C$801,$W219)="","",INDEX('Per Invoice'!C$2:C$801,$W219)))</f>
        <v/>
      </c>
      <c r="D219">
        <f>IF($W219="","",IF(INDEX('Per Invoice'!D$2:D$801,$W219)="","",INDEX('Per Invoice'!D$2:D$801,$W219)))</f>
        <v/>
      </c>
      <c r="E219">
        <f>IF($W219="","",IF(INDEX('Per Invoice'!E$2:E$801,$W219)="","",INDEX('Per Invoice'!E$2:E$801,$W219)))</f>
        <v/>
      </c>
      <c r="F219">
        <f>IF($W219="","",IF(INDEX('Per Invoice'!F$2:F$801,$W219)="","",INDEX('Per Invoice'!F$2:F$801,$W219)))</f>
        <v/>
      </c>
      <c r="G219">
        <f>IF($W219="","",IF(INDEX('Per Invoice'!G$2:G$801,$W219)="","",INDEX('Per Invoice'!G$2:G$801,$W219)))</f>
        <v/>
      </c>
      <c r="H219">
        <f>IF($W219="","",IF(INDEX('Per Invoice'!H$2:H$801,$W219)="","",INDEX('Per Invoice'!H$2:H$801,$W219)))</f>
        <v/>
      </c>
      <c r="I219">
        <f>IF($W219="","",IF(INDEX('Per Invoice'!I$2:I$801,$W219)="","",INDEX('Per Invoice'!I$2:I$801,$W219)))</f>
        <v/>
      </c>
      <c r="J219">
        <f>IF($W219="","",IF(INDEX('Per Invoice'!J$2:J$801,$W219)="","",INDEX('Per Invoice'!J$2:J$801,$W219)))</f>
        <v/>
      </c>
      <c r="K219" s="7">
        <f>IF($W219="","",IF(INDEX('Per Invoice'!K$2:K$801,$W219)="","",INDEX('Per Invoice'!K$2:K$801,$W219)))</f>
        <v/>
      </c>
      <c r="L219" s="14">
        <f>IF($W219="","",IF(INDEX('Per Invoice'!L$2:L$801,$W219)="","",INDEX('Per Invoice'!L$2:L$801,$W219)))</f>
        <v/>
      </c>
      <c r="M219">
        <f>IF($W219="","",IF(INDEX('Per Invoice'!M$2:M$801,$W219)="","",INDEX('Per Invoice'!M$2:M$801,$W219)))</f>
        <v/>
      </c>
      <c r="N219" s="7">
        <f>IF($W219="","",IF(INDEX('Per Invoice'!N$2:N$801,$W219)="","",INDEX('Per Invoice'!N$2:N$801,$W219)))</f>
        <v/>
      </c>
      <c r="O219" s="7">
        <f>IF($W219="","",IF(INDEX('Per Invoice'!O$2:O$801,$W219)="","",INDEX('Per Invoice'!O$2:O$801,$W219)))</f>
        <v/>
      </c>
      <c r="P219">
        <f>IF($W219="","",IF(INDEX('Per Invoice'!P$2:P$801,$W219)="","",INDEX('Per Invoice'!P$2:P$801,$W219)))</f>
        <v/>
      </c>
      <c r="Q219" s="7">
        <f>IF($W219="","",IF(INDEX('Per Invoice'!Q$2:Q$801,$W219)="","",INDEX('Per Invoice'!Q$2:Q$801,$W219)))</f>
        <v/>
      </c>
      <c r="R219" s="7">
        <f>IF($W219="","",IF(INDEX('Per Invoice'!R$2:R$801,$W219)="","",INDEX('Per Invoice'!R$2:R$801,$W219)))</f>
        <v/>
      </c>
      <c r="S219" s="7">
        <f>IF($W219="","",IF(INDEX('Per Invoice'!S$2:S$801,$W219)="","",INDEX('Per Invoice'!S$2:S$801,$W219)))</f>
        <v/>
      </c>
      <c r="T219" s="7">
        <f>IF($W219="","",IF(INDEX('Per Invoice'!T$2:T$801,$W219)="","",INDEX('Per Invoice'!T$2:T$801,$W219)))</f>
        <v/>
      </c>
      <c r="U219" s="7">
        <f>IF($W219="","",IF(INDEX('Per Invoice'!U$2:U$801,$W219)="","",INDEX('Per Invoice'!U$2:U$801,$W219)))</f>
        <v/>
      </c>
      <c r="V219" s="7">
        <f>IF($W219="","",IF(INDEX('Per Invoice'!V$2:V$801,$W219)="","",INDEX('Per Invoice'!V$2:V$801,$W219)))</f>
        <v/>
      </c>
      <c r="W219" s="16">
        <f>IFERROR(MATCH(Settings!$C$30&amp;"|"&amp;ROWS($W$2:$W219),'Per Invoice'!$X$2:$X$801,0),"")</f>
        <v/>
      </c>
    </row>
    <row r="220">
      <c r="A220">
        <f>IF($W220="","",IF(INDEX('Per Invoice'!A$2:A$801,$W220)="","",INDEX('Per Invoice'!A$2:A$801,$W220)))</f>
        <v/>
      </c>
      <c r="B220">
        <f>IF($W220="","",IF(INDEX('Per Invoice'!B$2:B$801,$W220)="","",INDEX('Per Invoice'!B$2:B$801,$W220)))</f>
        <v/>
      </c>
      <c r="C220">
        <f>IF($W220="","",IF(INDEX('Per Invoice'!C$2:C$801,$W220)="","",INDEX('Per Invoice'!C$2:C$801,$W220)))</f>
        <v/>
      </c>
      <c r="D220">
        <f>IF($W220="","",IF(INDEX('Per Invoice'!D$2:D$801,$W220)="","",INDEX('Per Invoice'!D$2:D$801,$W220)))</f>
        <v/>
      </c>
      <c r="E220">
        <f>IF($W220="","",IF(INDEX('Per Invoice'!E$2:E$801,$W220)="","",INDEX('Per Invoice'!E$2:E$801,$W220)))</f>
        <v/>
      </c>
      <c r="F220">
        <f>IF($W220="","",IF(INDEX('Per Invoice'!F$2:F$801,$W220)="","",INDEX('Per Invoice'!F$2:F$801,$W220)))</f>
        <v/>
      </c>
      <c r="G220">
        <f>IF($W220="","",IF(INDEX('Per Invoice'!G$2:G$801,$W220)="","",INDEX('Per Invoice'!G$2:G$801,$W220)))</f>
        <v/>
      </c>
      <c r="H220">
        <f>IF($W220="","",IF(INDEX('Per Invoice'!H$2:H$801,$W220)="","",INDEX('Per Invoice'!H$2:H$801,$W220)))</f>
        <v/>
      </c>
      <c r="I220">
        <f>IF($W220="","",IF(INDEX('Per Invoice'!I$2:I$801,$W220)="","",INDEX('Per Invoice'!I$2:I$801,$W220)))</f>
        <v/>
      </c>
      <c r="J220">
        <f>IF($W220="","",IF(INDEX('Per Invoice'!J$2:J$801,$W220)="","",INDEX('Per Invoice'!J$2:J$801,$W220)))</f>
        <v/>
      </c>
      <c r="K220" s="7">
        <f>IF($W220="","",IF(INDEX('Per Invoice'!K$2:K$801,$W220)="","",INDEX('Per Invoice'!K$2:K$801,$W220)))</f>
        <v/>
      </c>
      <c r="L220" s="14">
        <f>IF($W220="","",IF(INDEX('Per Invoice'!L$2:L$801,$W220)="","",INDEX('Per Invoice'!L$2:L$801,$W220)))</f>
        <v/>
      </c>
      <c r="M220">
        <f>IF($W220="","",IF(INDEX('Per Invoice'!M$2:M$801,$W220)="","",INDEX('Per Invoice'!M$2:M$801,$W220)))</f>
        <v/>
      </c>
      <c r="N220" s="7">
        <f>IF($W220="","",IF(INDEX('Per Invoice'!N$2:N$801,$W220)="","",INDEX('Per Invoice'!N$2:N$801,$W220)))</f>
        <v/>
      </c>
      <c r="O220" s="7">
        <f>IF($W220="","",IF(INDEX('Per Invoice'!O$2:O$801,$W220)="","",INDEX('Per Invoice'!O$2:O$801,$W220)))</f>
        <v/>
      </c>
      <c r="P220">
        <f>IF($W220="","",IF(INDEX('Per Invoice'!P$2:P$801,$W220)="","",INDEX('Per Invoice'!P$2:P$801,$W220)))</f>
        <v/>
      </c>
      <c r="Q220" s="7">
        <f>IF($W220="","",IF(INDEX('Per Invoice'!Q$2:Q$801,$W220)="","",INDEX('Per Invoice'!Q$2:Q$801,$W220)))</f>
        <v/>
      </c>
      <c r="R220" s="7">
        <f>IF($W220="","",IF(INDEX('Per Invoice'!R$2:R$801,$W220)="","",INDEX('Per Invoice'!R$2:R$801,$W220)))</f>
        <v/>
      </c>
      <c r="S220" s="7">
        <f>IF($W220="","",IF(INDEX('Per Invoice'!S$2:S$801,$W220)="","",INDEX('Per Invoice'!S$2:S$801,$W220)))</f>
        <v/>
      </c>
      <c r="T220" s="7">
        <f>IF($W220="","",IF(INDEX('Per Invoice'!T$2:T$801,$W220)="","",INDEX('Per Invoice'!T$2:T$801,$W220)))</f>
        <v/>
      </c>
      <c r="U220" s="7">
        <f>IF($W220="","",IF(INDEX('Per Invoice'!U$2:U$801,$W220)="","",INDEX('Per Invoice'!U$2:U$801,$W220)))</f>
        <v/>
      </c>
      <c r="V220" s="7">
        <f>IF($W220="","",IF(INDEX('Per Invoice'!V$2:V$801,$W220)="","",INDEX('Per Invoice'!V$2:V$801,$W220)))</f>
        <v/>
      </c>
      <c r="W220" s="16">
        <f>IFERROR(MATCH(Settings!$C$30&amp;"|"&amp;ROWS($W$2:$W220),'Per Invoice'!$X$2:$X$801,0),"")</f>
        <v/>
      </c>
    </row>
    <row r="221">
      <c r="A221">
        <f>IF($W221="","",IF(INDEX('Per Invoice'!A$2:A$801,$W221)="","",INDEX('Per Invoice'!A$2:A$801,$W221)))</f>
        <v/>
      </c>
      <c r="B221">
        <f>IF($W221="","",IF(INDEX('Per Invoice'!B$2:B$801,$W221)="","",INDEX('Per Invoice'!B$2:B$801,$W221)))</f>
        <v/>
      </c>
      <c r="C221">
        <f>IF($W221="","",IF(INDEX('Per Invoice'!C$2:C$801,$W221)="","",INDEX('Per Invoice'!C$2:C$801,$W221)))</f>
        <v/>
      </c>
      <c r="D221">
        <f>IF($W221="","",IF(INDEX('Per Invoice'!D$2:D$801,$W221)="","",INDEX('Per Invoice'!D$2:D$801,$W221)))</f>
        <v/>
      </c>
      <c r="E221">
        <f>IF($W221="","",IF(INDEX('Per Invoice'!E$2:E$801,$W221)="","",INDEX('Per Invoice'!E$2:E$801,$W221)))</f>
        <v/>
      </c>
      <c r="F221">
        <f>IF($W221="","",IF(INDEX('Per Invoice'!F$2:F$801,$W221)="","",INDEX('Per Invoice'!F$2:F$801,$W221)))</f>
        <v/>
      </c>
      <c r="G221">
        <f>IF($W221="","",IF(INDEX('Per Invoice'!G$2:G$801,$W221)="","",INDEX('Per Invoice'!G$2:G$801,$W221)))</f>
        <v/>
      </c>
      <c r="H221">
        <f>IF($W221="","",IF(INDEX('Per Invoice'!H$2:H$801,$W221)="","",INDEX('Per Invoice'!H$2:H$801,$W221)))</f>
        <v/>
      </c>
      <c r="I221">
        <f>IF($W221="","",IF(INDEX('Per Invoice'!I$2:I$801,$W221)="","",INDEX('Per Invoice'!I$2:I$801,$W221)))</f>
        <v/>
      </c>
      <c r="J221">
        <f>IF($W221="","",IF(INDEX('Per Invoice'!J$2:J$801,$W221)="","",INDEX('Per Invoice'!J$2:J$801,$W221)))</f>
        <v/>
      </c>
      <c r="K221" s="7">
        <f>IF($W221="","",IF(INDEX('Per Invoice'!K$2:K$801,$W221)="","",INDEX('Per Invoice'!K$2:K$801,$W221)))</f>
        <v/>
      </c>
      <c r="L221" s="14">
        <f>IF($W221="","",IF(INDEX('Per Invoice'!L$2:L$801,$W221)="","",INDEX('Per Invoice'!L$2:L$801,$W221)))</f>
        <v/>
      </c>
      <c r="M221">
        <f>IF($W221="","",IF(INDEX('Per Invoice'!M$2:M$801,$W221)="","",INDEX('Per Invoice'!M$2:M$801,$W221)))</f>
        <v/>
      </c>
      <c r="N221" s="7">
        <f>IF($W221="","",IF(INDEX('Per Invoice'!N$2:N$801,$W221)="","",INDEX('Per Invoice'!N$2:N$801,$W221)))</f>
        <v/>
      </c>
      <c r="O221" s="7">
        <f>IF($W221="","",IF(INDEX('Per Invoice'!O$2:O$801,$W221)="","",INDEX('Per Invoice'!O$2:O$801,$W221)))</f>
        <v/>
      </c>
      <c r="P221">
        <f>IF($W221="","",IF(INDEX('Per Invoice'!P$2:P$801,$W221)="","",INDEX('Per Invoice'!P$2:P$801,$W221)))</f>
        <v/>
      </c>
      <c r="Q221" s="7">
        <f>IF($W221="","",IF(INDEX('Per Invoice'!Q$2:Q$801,$W221)="","",INDEX('Per Invoice'!Q$2:Q$801,$W221)))</f>
        <v/>
      </c>
      <c r="R221" s="7">
        <f>IF($W221="","",IF(INDEX('Per Invoice'!R$2:R$801,$W221)="","",INDEX('Per Invoice'!R$2:R$801,$W221)))</f>
        <v/>
      </c>
      <c r="S221" s="7">
        <f>IF($W221="","",IF(INDEX('Per Invoice'!S$2:S$801,$W221)="","",INDEX('Per Invoice'!S$2:S$801,$W221)))</f>
        <v/>
      </c>
      <c r="T221" s="7">
        <f>IF($W221="","",IF(INDEX('Per Invoice'!T$2:T$801,$W221)="","",INDEX('Per Invoice'!T$2:T$801,$W221)))</f>
        <v/>
      </c>
      <c r="U221" s="7">
        <f>IF($W221="","",IF(INDEX('Per Invoice'!U$2:U$801,$W221)="","",INDEX('Per Invoice'!U$2:U$801,$W221)))</f>
        <v/>
      </c>
      <c r="V221" s="7">
        <f>IF($W221="","",IF(INDEX('Per Invoice'!V$2:V$801,$W221)="","",INDEX('Per Invoice'!V$2:V$801,$W221)))</f>
        <v/>
      </c>
      <c r="W221" s="16">
        <f>IFERROR(MATCH(Settings!$C$30&amp;"|"&amp;ROWS($W$2:$W221),'Per Invoice'!$X$2:$X$801,0),"")</f>
        <v/>
      </c>
    </row>
    <row r="222">
      <c r="A222">
        <f>IF($W222="","",IF(INDEX('Per Invoice'!A$2:A$801,$W222)="","",INDEX('Per Invoice'!A$2:A$801,$W222)))</f>
        <v/>
      </c>
      <c r="B222">
        <f>IF($W222="","",IF(INDEX('Per Invoice'!B$2:B$801,$W222)="","",INDEX('Per Invoice'!B$2:B$801,$W222)))</f>
        <v/>
      </c>
      <c r="C222">
        <f>IF($W222="","",IF(INDEX('Per Invoice'!C$2:C$801,$W222)="","",INDEX('Per Invoice'!C$2:C$801,$W222)))</f>
        <v/>
      </c>
      <c r="D222">
        <f>IF($W222="","",IF(INDEX('Per Invoice'!D$2:D$801,$W222)="","",INDEX('Per Invoice'!D$2:D$801,$W222)))</f>
        <v/>
      </c>
      <c r="E222">
        <f>IF($W222="","",IF(INDEX('Per Invoice'!E$2:E$801,$W222)="","",INDEX('Per Invoice'!E$2:E$801,$W222)))</f>
        <v/>
      </c>
      <c r="F222">
        <f>IF($W222="","",IF(INDEX('Per Invoice'!F$2:F$801,$W222)="","",INDEX('Per Invoice'!F$2:F$801,$W222)))</f>
        <v/>
      </c>
      <c r="G222">
        <f>IF($W222="","",IF(INDEX('Per Invoice'!G$2:G$801,$W222)="","",INDEX('Per Invoice'!G$2:G$801,$W222)))</f>
        <v/>
      </c>
      <c r="H222">
        <f>IF($W222="","",IF(INDEX('Per Invoice'!H$2:H$801,$W222)="","",INDEX('Per Invoice'!H$2:H$801,$W222)))</f>
        <v/>
      </c>
      <c r="I222">
        <f>IF($W222="","",IF(INDEX('Per Invoice'!I$2:I$801,$W222)="","",INDEX('Per Invoice'!I$2:I$801,$W222)))</f>
        <v/>
      </c>
      <c r="J222">
        <f>IF($W222="","",IF(INDEX('Per Invoice'!J$2:J$801,$W222)="","",INDEX('Per Invoice'!J$2:J$801,$W222)))</f>
        <v/>
      </c>
      <c r="K222" s="7">
        <f>IF($W222="","",IF(INDEX('Per Invoice'!K$2:K$801,$W222)="","",INDEX('Per Invoice'!K$2:K$801,$W222)))</f>
        <v/>
      </c>
      <c r="L222" s="14">
        <f>IF($W222="","",IF(INDEX('Per Invoice'!L$2:L$801,$W222)="","",INDEX('Per Invoice'!L$2:L$801,$W222)))</f>
        <v/>
      </c>
      <c r="M222">
        <f>IF($W222="","",IF(INDEX('Per Invoice'!M$2:M$801,$W222)="","",INDEX('Per Invoice'!M$2:M$801,$W222)))</f>
        <v/>
      </c>
      <c r="N222" s="7">
        <f>IF($W222="","",IF(INDEX('Per Invoice'!N$2:N$801,$W222)="","",INDEX('Per Invoice'!N$2:N$801,$W222)))</f>
        <v/>
      </c>
      <c r="O222" s="7">
        <f>IF($W222="","",IF(INDEX('Per Invoice'!O$2:O$801,$W222)="","",INDEX('Per Invoice'!O$2:O$801,$W222)))</f>
        <v/>
      </c>
      <c r="P222">
        <f>IF($W222="","",IF(INDEX('Per Invoice'!P$2:P$801,$W222)="","",INDEX('Per Invoice'!P$2:P$801,$W222)))</f>
        <v/>
      </c>
      <c r="Q222" s="7">
        <f>IF($W222="","",IF(INDEX('Per Invoice'!Q$2:Q$801,$W222)="","",INDEX('Per Invoice'!Q$2:Q$801,$W222)))</f>
        <v/>
      </c>
      <c r="R222" s="7">
        <f>IF($W222="","",IF(INDEX('Per Invoice'!R$2:R$801,$W222)="","",INDEX('Per Invoice'!R$2:R$801,$W222)))</f>
        <v/>
      </c>
      <c r="S222" s="7">
        <f>IF($W222="","",IF(INDEX('Per Invoice'!S$2:S$801,$W222)="","",INDEX('Per Invoice'!S$2:S$801,$W222)))</f>
        <v/>
      </c>
      <c r="T222" s="7">
        <f>IF($W222="","",IF(INDEX('Per Invoice'!T$2:T$801,$W222)="","",INDEX('Per Invoice'!T$2:T$801,$W222)))</f>
        <v/>
      </c>
      <c r="U222" s="7">
        <f>IF($W222="","",IF(INDEX('Per Invoice'!U$2:U$801,$W222)="","",INDEX('Per Invoice'!U$2:U$801,$W222)))</f>
        <v/>
      </c>
      <c r="V222" s="7">
        <f>IF($W222="","",IF(INDEX('Per Invoice'!V$2:V$801,$W222)="","",INDEX('Per Invoice'!V$2:V$801,$W222)))</f>
        <v/>
      </c>
      <c r="W222" s="16">
        <f>IFERROR(MATCH(Settings!$C$30&amp;"|"&amp;ROWS($W$2:$W222),'Per Invoice'!$X$2:$X$801,0),"")</f>
        <v/>
      </c>
    </row>
    <row r="223">
      <c r="A223">
        <f>IF($W223="","",IF(INDEX('Per Invoice'!A$2:A$801,$W223)="","",INDEX('Per Invoice'!A$2:A$801,$W223)))</f>
        <v/>
      </c>
      <c r="B223">
        <f>IF($W223="","",IF(INDEX('Per Invoice'!B$2:B$801,$W223)="","",INDEX('Per Invoice'!B$2:B$801,$W223)))</f>
        <v/>
      </c>
      <c r="C223">
        <f>IF($W223="","",IF(INDEX('Per Invoice'!C$2:C$801,$W223)="","",INDEX('Per Invoice'!C$2:C$801,$W223)))</f>
        <v/>
      </c>
      <c r="D223">
        <f>IF($W223="","",IF(INDEX('Per Invoice'!D$2:D$801,$W223)="","",INDEX('Per Invoice'!D$2:D$801,$W223)))</f>
        <v/>
      </c>
      <c r="E223">
        <f>IF($W223="","",IF(INDEX('Per Invoice'!E$2:E$801,$W223)="","",INDEX('Per Invoice'!E$2:E$801,$W223)))</f>
        <v/>
      </c>
      <c r="F223">
        <f>IF($W223="","",IF(INDEX('Per Invoice'!F$2:F$801,$W223)="","",INDEX('Per Invoice'!F$2:F$801,$W223)))</f>
        <v/>
      </c>
      <c r="G223">
        <f>IF($W223="","",IF(INDEX('Per Invoice'!G$2:G$801,$W223)="","",INDEX('Per Invoice'!G$2:G$801,$W223)))</f>
        <v/>
      </c>
      <c r="H223">
        <f>IF($W223="","",IF(INDEX('Per Invoice'!H$2:H$801,$W223)="","",INDEX('Per Invoice'!H$2:H$801,$W223)))</f>
        <v/>
      </c>
      <c r="I223">
        <f>IF($W223="","",IF(INDEX('Per Invoice'!I$2:I$801,$W223)="","",INDEX('Per Invoice'!I$2:I$801,$W223)))</f>
        <v/>
      </c>
      <c r="J223">
        <f>IF($W223="","",IF(INDEX('Per Invoice'!J$2:J$801,$W223)="","",INDEX('Per Invoice'!J$2:J$801,$W223)))</f>
        <v/>
      </c>
      <c r="K223" s="7">
        <f>IF($W223="","",IF(INDEX('Per Invoice'!K$2:K$801,$W223)="","",INDEX('Per Invoice'!K$2:K$801,$W223)))</f>
        <v/>
      </c>
      <c r="L223" s="14">
        <f>IF($W223="","",IF(INDEX('Per Invoice'!L$2:L$801,$W223)="","",INDEX('Per Invoice'!L$2:L$801,$W223)))</f>
        <v/>
      </c>
      <c r="M223">
        <f>IF($W223="","",IF(INDEX('Per Invoice'!M$2:M$801,$W223)="","",INDEX('Per Invoice'!M$2:M$801,$W223)))</f>
        <v/>
      </c>
      <c r="N223" s="7">
        <f>IF($W223="","",IF(INDEX('Per Invoice'!N$2:N$801,$W223)="","",INDEX('Per Invoice'!N$2:N$801,$W223)))</f>
        <v/>
      </c>
      <c r="O223" s="7">
        <f>IF($W223="","",IF(INDEX('Per Invoice'!O$2:O$801,$W223)="","",INDEX('Per Invoice'!O$2:O$801,$W223)))</f>
        <v/>
      </c>
      <c r="P223">
        <f>IF($W223="","",IF(INDEX('Per Invoice'!P$2:P$801,$W223)="","",INDEX('Per Invoice'!P$2:P$801,$W223)))</f>
        <v/>
      </c>
      <c r="Q223" s="7">
        <f>IF($W223="","",IF(INDEX('Per Invoice'!Q$2:Q$801,$W223)="","",INDEX('Per Invoice'!Q$2:Q$801,$W223)))</f>
        <v/>
      </c>
      <c r="R223" s="7">
        <f>IF($W223="","",IF(INDEX('Per Invoice'!R$2:R$801,$W223)="","",INDEX('Per Invoice'!R$2:R$801,$W223)))</f>
        <v/>
      </c>
      <c r="S223" s="7">
        <f>IF($W223="","",IF(INDEX('Per Invoice'!S$2:S$801,$W223)="","",INDEX('Per Invoice'!S$2:S$801,$W223)))</f>
        <v/>
      </c>
      <c r="T223" s="7">
        <f>IF($W223="","",IF(INDEX('Per Invoice'!T$2:T$801,$W223)="","",INDEX('Per Invoice'!T$2:T$801,$W223)))</f>
        <v/>
      </c>
      <c r="U223" s="7">
        <f>IF($W223="","",IF(INDEX('Per Invoice'!U$2:U$801,$W223)="","",INDEX('Per Invoice'!U$2:U$801,$W223)))</f>
        <v/>
      </c>
      <c r="V223" s="7">
        <f>IF($W223="","",IF(INDEX('Per Invoice'!V$2:V$801,$W223)="","",INDEX('Per Invoice'!V$2:V$801,$W223)))</f>
        <v/>
      </c>
      <c r="W223" s="16">
        <f>IFERROR(MATCH(Settings!$C$30&amp;"|"&amp;ROWS($W$2:$W223),'Per Invoice'!$X$2:$X$801,0),"")</f>
        <v/>
      </c>
    </row>
    <row r="224">
      <c r="A224">
        <f>IF($W224="","",IF(INDEX('Per Invoice'!A$2:A$801,$W224)="","",INDEX('Per Invoice'!A$2:A$801,$W224)))</f>
        <v/>
      </c>
      <c r="B224">
        <f>IF($W224="","",IF(INDEX('Per Invoice'!B$2:B$801,$W224)="","",INDEX('Per Invoice'!B$2:B$801,$W224)))</f>
        <v/>
      </c>
      <c r="C224">
        <f>IF($W224="","",IF(INDEX('Per Invoice'!C$2:C$801,$W224)="","",INDEX('Per Invoice'!C$2:C$801,$W224)))</f>
        <v/>
      </c>
      <c r="D224">
        <f>IF($W224="","",IF(INDEX('Per Invoice'!D$2:D$801,$W224)="","",INDEX('Per Invoice'!D$2:D$801,$W224)))</f>
        <v/>
      </c>
      <c r="E224">
        <f>IF($W224="","",IF(INDEX('Per Invoice'!E$2:E$801,$W224)="","",INDEX('Per Invoice'!E$2:E$801,$W224)))</f>
        <v/>
      </c>
      <c r="F224">
        <f>IF($W224="","",IF(INDEX('Per Invoice'!F$2:F$801,$W224)="","",INDEX('Per Invoice'!F$2:F$801,$W224)))</f>
        <v/>
      </c>
      <c r="G224">
        <f>IF($W224="","",IF(INDEX('Per Invoice'!G$2:G$801,$W224)="","",INDEX('Per Invoice'!G$2:G$801,$W224)))</f>
        <v/>
      </c>
      <c r="H224">
        <f>IF($W224="","",IF(INDEX('Per Invoice'!H$2:H$801,$W224)="","",INDEX('Per Invoice'!H$2:H$801,$W224)))</f>
        <v/>
      </c>
      <c r="I224">
        <f>IF($W224="","",IF(INDEX('Per Invoice'!I$2:I$801,$W224)="","",INDEX('Per Invoice'!I$2:I$801,$W224)))</f>
        <v/>
      </c>
      <c r="J224">
        <f>IF($W224="","",IF(INDEX('Per Invoice'!J$2:J$801,$W224)="","",INDEX('Per Invoice'!J$2:J$801,$W224)))</f>
        <v/>
      </c>
      <c r="K224" s="7">
        <f>IF($W224="","",IF(INDEX('Per Invoice'!K$2:K$801,$W224)="","",INDEX('Per Invoice'!K$2:K$801,$W224)))</f>
        <v/>
      </c>
      <c r="L224" s="14">
        <f>IF($W224="","",IF(INDEX('Per Invoice'!L$2:L$801,$W224)="","",INDEX('Per Invoice'!L$2:L$801,$W224)))</f>
        <v/>
      </c>
      <c r="M224">
        <f>IF($W224="","",IF(INDEX('Per Invoice'!M$2:M$801,$W224)="","",INDEX('Per Invoice'!M$2:M$801,$W224)))</f>
        <v/>
      </c>
      <c r="N224" s="7">
        <f>IF($W224="","",IF(INDEX('Per Invoice'!N$2:N$801,$W224)="","",INDEX('Per Invoice'!N$2:N$801,$W224)))</f>
        <v/>
      </c>
      <c r="O224" s="7">
        <f>IF($W224="","",IF(INDEX('Per Invoice'!O$2:O$801,$W224)="","",INDEX('Per Invoice'!O$2:O$801,$W224)))</f>
        <v/>
      </c>
      <c r="P224">
        <f>IF($W224="","",IF(INDEX('Per Invoice'!P$2:P$801,$W224)="","",INDEX('Per Invoice'!P$2:P$801,$W224)))</f>
        <v/>
      </c>
      <c r="Q224" s="7">
        <f>IF($W224="","",IF(INDEX('Per Invoice'!Q$2:Q$801,$W224)="","",INDEX('Per Invoice'!Q$2:Q$801,$W224)))</f>
        <v/>
      </c>
      <c r="R224" s="7">
        <f>IF($W224="","",IF(INDEX('Per Invoice'!R$2:R$801,$W224)="","",INDEX('Per Invoice'!R$2:R$801,$W224)))</f>
        <v/>
      </c>
      <c r="S224" s="7">
        <f>IF($W224="","",IF(INDEX('Per Invoice'!S$2:S$801,$W224)="","",INDEX('Per Invoice'!S$2:S$801,$W224)))</f>
        <v/>
      </c>
      <c r="T224" s="7">
        <f>IF($W224="","",IF(INDEX('Per Invoice'!T$2:T$801,$W224)="","",INDEX('Per Invoice'!T$2:T$801,$W224)))</f>
        <v/>
      </c>
      <c r="U224" s="7">
        <f>IF($W224="","",IF(INDEX('Per Invoice'!U$2:U$801,$W224)="","",INDEX('Per Invoice'!U$2:U$801,$W224)))</f>
        <v/>
      </c>
      <c r="V224" s="7">
        <f>IF($W224="","",IF(INDEX('Per Invoice'!V$2:V$801,$W224)="","",INDEX('Per Invoice'!V$2:V$801,$W224)))</f>
        <v/>
      </c>
      <c r="W224" s="16">
        <f>IFERROR(MATCH(Settings!$C$30&amp;"|"&amp;ROWS($W$2:$W224),'Per Invoice'!$X$2:$X$801,0),"")</f>
        <v/>
      </c>
    </row>
    <row r="225">
      <c r="A225">
        <f>IF($W225="","",IF(INDEX('Per Invoice'!A$2:A$801,$W225)="","",INDEX('Per Invoice'!A$2:A$801,$W225)))</f>
        <v/>
      </c>
      <c r="B225">
        <f>IF($W225="","",IF(INDEX('Per Invoice'!B$2:B$801,$W225)="","",INDEX('Per Invoice'!B$2:B$801,$W225)))</f>
        <v/>
      </c>
      <c r="C225">
        <f>IF($W225="","",IF(INDEX('Per Invoice'!C$2:C$801,$W225)="","",INDEX('Per Invoice'!C$2:C$801,$W225)))</f>
        <v/>
      </c>
      <c r="D225">
        <f>IF($W225="","",IF(INDEX('Per Invoice'!D$2:D$801,$W225)="","",INDEX('Per Invoice'!D$2:D$801,$W225)))</f>
        <v/>
      </c>
      <c r="E225">
        <f>IF($W225="","",IF(INDEX('Per Invoice'!E$2:E$801,$W225)="","",INDEX('Per Invoice'!E$2:E$801,$W225)))</f>
        <v/>
      </c>
      <c r="F225">
        <f>IF($W225="","",IF(INDEX('Per Invoice'!F$2:F$801,$W225)="","",INDEX('Per Invoice'!F$2:F$801,$W225)))</f>
        <v/>
      </c>
      <c r="G225">
        <f>IF($W225="","",IF(INDEX('Per Invoice'!G$2:G$801,$W225)="","",INDEX('Per Invoice'!G$2:G$801,$W225)))</f>
        <v/>
      </c>
      <c r="H225">
        <f>IF($W225="","",IF(INDEX('Per Invoice'!H$2:H$801,$W225)="","",INDEX('Per Invoice'!H$2:H$801,$W225)))</f>
        <v/>
      </c>
      <c r="I225">
        <f>IF($W225="","",IF(INDEX('Per Invoice'!I$2:I$801,$W225)="","",INDEX('Per Invoice'!I$2:I$801,$W225)))</f>
        <v/>
      </c>
      <c r="J225">
        <f>IF($W225="","",IF(INDEX('Per Invoice'!J$2:J$801,$W225)="","",INDEX('Per Invoice'!J$2:J$801,$W225)))</f>
        <v/>
      </c>
      <c r="K225" s="7">
        <f>IF($W225="","",IF(INDEX('Per Invoice'!K$2:K$801,$W225)="","",INDEX('Per Invoice'!K$2:K$801,$W225)))</f>
        <v/>
      </c>
      <c r="L225" s="14">
        <f>IF($W225="","",IF(INDEX('Per Invoice'!L$2:L$801,$W225)="","",INDEX('Per Invoice'!L$2:L$801,$W225)))</f>
        <v/>
      </c>
      <c r="M225">
        <f>IF($W225="","",IF(INDEX('Per Invoice'!M$2:M$801,$W225)="","",INDEX('Per Invoice'!M$2:M$801,$W225)))</f>
        <v/>
      </c>
      <c r="N225" s="7">
        <f>IF($W225="","",IF(INDEX('Per Invoice'!N$2:N$801,$W225)="","",INDEX('Per Invoice'!N$2:N$801,$W225)))</f>
        <v/>
      </c>
      <c r="O225" s="7">
        <f>IF($W225="","",IF(INDEX('Per Invoice'!O$2:O$801,$W225)="","",INDEX('Per Invoice'!O$2:O$801,$W225)))</f>
        <v/>
      </c>
      <c r="P225">
        <f>IF($W225="","",IF(INDEX('Per Invoice'!P$2:P$801,$W225)="","",INDEX('Per Invoice'!P$2:P$801,$W225)))</f>
        <v/>
      </c>
      <c r="Q225" s="7">
        <f>IF($W225="","",IF(INDEX('Per Invoice'!Q$2:Q$801,$W225)="","",INDEX('Per Invoice'!Q$2:Q$801,$W225)))</f>
        <v/>
      </c>
      <c r="R225" s="7">
        <f>IF($W225="","",IF(INDEX('Per Invoice'!R$2:R$801,$W225)="","",INDEX('Per Invoice'!R$2:R$801,$W225)))</f>
        <v/>
      </c>
      <c r="S225" s="7">
        <f>IF($W225="","",IF(INDEX('Per Invoice'!S$2:S$801,$W225)="","",INDEX('Per Invoice'!S$2:S$801,$W225)))</f>
        <v/>
      </c>
      <c r="T225" s="7">
        <f>IF($W225="","",IF(INDEX('Per Invoice'!T$2:T$801,$W225)="","",INDEX('Per Invoice'!T$2:T$801,$W225)))</f>
        <v/>
      </c>
      <c r="U225" s="7">
        <f>IF($W225="","",IF(INDEX('Per Invoice'!U$2:U$801,$W225)="","",INDEX('Per Invoice'!U$2:U$801,$W225)))</f>
        <v/>
      </c>
      <c r="V225" s="7">
        <f>IF($W225="","",IF(INDEX('Per Invoice'!V$2:V$801,$W225)="","",INDEX('Per Invoice'!V$2:V$801,$W225)))</f>
        <v/>
      </c>
      <c r="W225" s="16">
        <f>IFERROR(MATCH(Settings!$C$30&amp;"|"&amp;ROWS($W$2:$W225),'Per Invoice'!$X$2:$X$801,0),"")</f>
        <v/>
      </c>
    </row>
    <row r="226">
      <c r="A226">
        <f>IF($W226="","",IF(INDEX('Per Invoice'!A$2:A$801,$W226)="","",INDEX('Per Invoice'!A$2:A$801,$W226)))</f>
        <v/>
      </c>
      <c r="B226">
        <f>IF($W226="","",IF(INDEX('Per Invoice'!B$2:B$801,$W226)="","",INDEX('Per Invoice'!B$2:B$801,$W226)))</f>
        <v/>
      </c>
      <c r="C226">
        <f>IF($W226="","",IF(INDEX('Per Invoice'!C$2:C$801,$W226)="","",INDEX('Per Invoice'!C$2:C$801,$W226)))</f>
        <v/>
      </c>
      <c r="D226">
        <f>IF($W226="","",IF(INDEX('Per Invoice'!D$2:D$801,$W226)="","",INDEX('Per Invoice'!D$2:D$801,$W226)))</f>
        <v/>
      </c>
      <c r="E226">
        <f>IF($W226="","",IF(INDEX('Per Invoice'!E$2:E$801,$W226)="","",INDEX('Per Invoice'!E$2:E$801,$W226)))</f>
        <v/>
      </c>
      <c r="F226">
        <f>IF($W226="","",IF(INDEX('Per Invoice'!F$2:F$801,$W226)="","",INDEX('Per Invoice'!F$2:F$801,$W226)))</f>
        <v/>
      </c>
      <c r="G226">
        <f>IF($W226="","",IF(INDEX('Per Invoice'!G$2:G$801,$W226)="","",INDEX('Per Invoice'!G$2:G$801,$W226)))</f>
        <v/>
      </c>
      <c r="H226">
        <f>IF($W226="","",IF(INDEX('Per Invoice'!H$2:H$801,$W226)="","",INDEX('Per Invoice'!H$2:H$801,$W226)))</f>
        <v/>
      </c>
      <c r="I226">
        <f>IF($W226="","",IF(INDEX('Per Invoice'!I$2:I$801,$W226)="","",INDEX('Per Invoice'!I$2:I$801,$W226)))</f>
        <v/>
      </c>
      <c r="J226">
        <f>IF($W226="","",IF(INDEX('Per Invoice'!J$2:J$801,$W226)="","",INDEX('Per Invoice'!J$2:J$801,$W226)))</f>
        <v/>
      </c>
      <c r="K226" s="7">
        <f>IF($W226="","",IF(INDEX('Per Invoice'!K$2:K$801,$W226)="","",INDEX('Per Invoice'!K$2:K$801,$W226)))</f>
        <v/>
      </c>
      <c r="L226" s="14">
        <f>IF($W226="","",IF(INDEX('Per Invoice'!L$2:L$801,$W226)="","",INDEX('Per Invoice'!L$2:L$801,$W226)))</f>
        <v/>
      </c>
      <c r="M226">
        <f>IF($W226="","",IF(INDEX('Per Invoice'!M$2:M$801,$W226)="","",INDEX('Per Invoice'!M$2:M$801,$W226)))</f>
        <v/>
      </c>
      <c r="N226" s="7">
        <f>IF($W226="","",IF(INDEX('Per Invoice'!N$2:N$801,$W226)="","",INDEX('Per Invoice'!N$2:N$801,$W226)))</f>
        <v/>
      </c>
      <c r="O226" s="7">
        <f>IF($W226="","",IF(INDEX('Per Invoice'!O$2:O$801,$W226)="","",INDEX('Per Invoice'!O$2:O$801,$W226)))</f>
        <v/>
      </c>
      <c r="P226">
        <f>IF($W226="","",IF(INDEX('Per Invoice'!P$2:P$801,$W226)="","",INDEX('Per Invoice'!P$2:P$801,$W226)))</f>
        <v/>
      </c>
      <c r="Q226" s="7">
        <f>IF($W226="","",IF(INDEX('Per Invoice'!Q$2:Q$801,$W226)="","",INDEX('Per Invoice'!Q$2:Q$801,$W226)))</f>
        <v/>
      </c>
      <c r="R226" s="7">
        <f>IF($W226="","",IF(INDEX('Per Invoice'!R$2:R$801,$W226)="","",INDEX('Per Invoice'!R$2:R$801,$W226)))</f>
        <v/>
      </c>
      <c r="S226" s="7">
        <f>IF($W226="","",IF(INDEX('Per Invoice'!S$2:S$801,$W226)="","",INDEX('Per Invoice'!S$2:S$801,$W226)))</f>
        <v/>
      </c>
      <c r="T226" s="7">
        <f>IF($W226="","",IF(INDEX('Per Invoice'!T$2:T$801,$W226)="","",INDEX('Per Invoice'!T$2:T$801,$W226)))</f>
        <v/>
      </c>
      <c r="U226" s="7">
        <f>IF($W226="","",IF(INDEX('Per Invoice'!U$2:U$801,$W226)="","",INDEX('Per Invoice'!U$2:U$801,$W226)))</f>
        <v/>
      </c>
      <c r="V226" s="7">
        <f>IF($W226="","",IF(INDEX('Per Invoice'!V$2:V$801,$W226)="","",INDEX('Per Invoice'!V$2:V$801,$W226)))</f>
        <v/>
      </c>
      <c r="W226" s="16">
        <f>IFERROR(MATCH(Settings!$C$30&amp;"|"&amp;ROWS($W$2:$W226),'Per Invoice'!$X$2:$X$801,0),"")</f>
        <v/>
      </c>
    </row>
    <row r="227">
      <c r="A227">
        <f>IF($W227="","",IF(INDEX('Per Invoice'!A$2:A$801,$W227)="","",INDEX('Per Invoice'!A$2:A$801,$W227)))</f>
        <v/>
      </c>
      <c r="B227">
        <f>IF($W227="","",IF(INDEX('Per Invoice'!B$2:B$801,$W227)="","",INDEX('Per Invoice'!B$2:B$801,$W227)))</f>
        <v/>
      </c>
      <c r="C227">
        <f>IF($W227="","",IF(INDEX('Per Invoice'!C$2:C$801,$W227)="","",INDEX('Per Invoice'!C$2:C$801,$W227)))</f>
        <v/>
      </c>
      <c r="D227">
        <f>IF($W227="","",IF(INDEX('Per Invoice'!D$2:D$801,$W227)="","",INDEX('Per Invoice'!D$2:D$801,$W227)))</f>
        <v/>
      </c>
      <c r="E227">
        <f>IF($W227="","",IF(INDEX('Per Invoice'!E$2:E$801,$W227)="","",INDEX('Per Invoice'!E$2:E$801,$W227)))</f>
        <v/>
      </c>
      <c r="F227">
        <f>IF($W227="","",IF(INDEX('Per Invoice'!F$2:F$801,$W227)="","",INDEX('Per Invoice'!F$2:F$801,$W227)))</f>
        <v/>
      </c>
      <c r="G227">
        <f>IF($W227="","",IF(INDEX('Per Invoice'!G$2:G$801,$W227)="","",INDEX('Per Invoice'!G$2:G$801,$W227)))</f>
        <v/>
      </c>
      <c r="H227">
        <f>IF($W227="","",IF(INDEX('Per Invoice'!H$2:H$801,$W227)="","",INDEX('Per Invoice'!H$2:H$801,$W227)))</f>
        <v/>
      </c>
      <c r="I227">
        <f>IF($W227="","",IF(INDEX('Per Invoice'!I$2:I$801,$W227)="","",INDEX('Per Invoice'!I$2:I$801,$W227)))</f>
        <v/>
      </c>
      <c r="J227">
        <f>IF($W227="","",IF(INDEX('Per Invoice'!J$2:J$801,$W227)="","",INDEX('Per Invoice'!J$2:J$801,$W227)))</f>
        <v/>
      </c>
      <c r="K227" s="7">
        <f>IF($W227="","",IF(INDEX('Per Invoice'!K$2:K$801,$W227)="","",INDEX('Per Invoice'!K$2:K$801,$W227)))</f>
        <v/>
      </c>
      <c r="L227" s="14">
        <f>IF($W227="","",IF(INDEX('Per Invoice'!L$2:L$801,$W227)="","",INDEX('Per Invoice'!L$2:L$801,$W227)))</f>
        <v/>
      </c>
      <c r="M227">
        <f>IF($W227="","",IF(INDEX('Per Invoice'!M$2:M$801,$W227)="","",INDEX('Per Invoice'!M$2:M$801,$W227)))</f>
        <v/>
      </c>
      <c r="N227" s="7">
        <f>IF($W227="","",IF(INDEX('Per Invoice'!N$2:N$801,$W227)="","",INDEX('Per Invoice'!N$2:N$801,$W227)))</f>
        <v/>
      </c>
      <c r="O227" s="7">
        <f>IF($W227="","",IF(INDEX('Per Invoice'!O$2:O$801,$W227)="","",INDEX('Per Invoice'!O$2:O$801,$W227)))</f>
        <v/>
      </c>
      <c r="P227">
        <f>IF($W227="","",IF(INDEX('Per Invoice'!P$2:P$801,$W227)="","",INDEX('Per Invoice'!P$2:P$801,$W227)))</f>
        <v/>
      </c>
      <c r="Q227" s="7">
        <f>IF($W227="","",IF(INDEX('Per Invoice'!Q$2:Q$801,$W227)="","",INDEX('Per Invoice'!Q$2:Q$801,$W227)))</f>
        <v/>
      </c>
      <c r="R227" s="7">
        <f>IF($W227="","",IF(INDEX('Per Invoice'!R$2:R$801,$W227)="","",INDEX('Per Invoice'!R$2:R$801,$W227)))</f>
        <v/>
      </c>
      <c r="S227" s="7">
        <f>IF($W227="","",IF(INDEX('Per Invoice'!S$2:S$801,$W227)="","",INDEX('Per Invoice'!S$2:S$801,$W227)))</f>
        <v/>
      </c>
      <c r="T227" s="7">
        <f>IF($W227="","",IF(INDEX('Per Invoice'!T$2:T$801,$W227)="","",INDEX('Per Invoice'!T$2:T$801,$W227)))</f>
        <v/>
      </c>
      <c r="U227" s="7">
        <f>IF($W227="","",IF(INDEX('Per Invoice'!U$2:U$801,$W227)="","",INDEX('Per Invoice'!U$2:U$801,$W227)))</f>
        <v/>
      </c>
      <c r="V227" s="7">
        <f>IF($W227="","",IF(INDEX('Per Invoice'!V$2:V$801,$W227)="","",INDEX('Per Invoice'!V$2:V$801,$W227)))</f>
        <v/>
      </c>
      <c r="W227" s="16">
        <f>IFERROR(MATCH(Settings!$C$30&amp;"|"&amp;ROWS($W$2:$W227),'Per Invoice'!$X$2:$X$801,0),"")</f>
        <v/>
      </c>
    </row>
    <row r="228">
      <c r="A228">
        <f>IF($W228="","",IF(INDEX('Per Invoice'!A$2:A$801,$W228)="","",INDEX('Per Invoice'!A$2:A$801,$W228)))</f>
        <v/>
      </c>
      <c r="B228">
        <f>IF($W228="","",IF(INDEX('Per Invoice'!B$2:B$801,$W228)="","",INDEX('Per Invoice'!B$2:B$801,$W228)))</f>
        <v/>
      </c>
      <c r="C228">
        <f>IF($W228="","",IF(INDEX('Per Invoice'!C$2:C$801,$W228)="","",INDEX('Per Invoice'!C$2:C$801,$W228)))</f>
        <v/>
      </c>
      <c r="D228">
        <f>IF($W228="","",IF(INDEX('Per Invoice'!D$2:D$801,$W228)="","",INDEX('Per Invoice'!D$2:D$801,$W228)))</f>
        <v/>
      </c>
      <c r="E228">
        <f>IF($W228="","",IF(INDEX('Per Invoice'!E$2:E$801,$W228)="","",INDEX('Per Invoice'!E$2:E$801,$W228)))</f>
        <v/>
      </c>
      <c r="F228">
        <f>IF($W228="","",IF(INDEX('Per Invoice'!F$2:F$801,$W228)="","",INDEX('Per Invoice'!F$2:F$801,$W228)))</f>
        <v/>
      </c>
      <c r="G228">
        <f>IF($W228="","",IF(INDEX('Per Invoice'!G$2:G$801,$W228)="","",INDEX('Per Invoice'!G$2:G$801,$W228)))</f>
        <v/>
      </c>
      <c r="H228">
        <f>IF($W228="","",IF(INDEX('Per Invoice'!H$2:H$801,$W228)="","",INDEX('Per Invoice'!H$2:H$801,$W228)))</f>
        <v/>
      </c>
      <c r="I228">
        <f>IF($W228="","",IF(INDEX('Per Invoice'!I$2:I$801,$W228)="","",INDEX('Per Invoice'!I$2:I$801,$W228)))</f>
        <v/>
      </c>
      <c r="J228">
        <f>IF($W228="","",IF(INDEX('Per Invoice'!J$2:J$801,$W228)="","",INDEX('Per Invoice'!J$2:J$801,$W228)))</f>
        <v/>
      </c>
      <c r="K228" s="7">
        <f>IF($W228="","",IF(INDEX('Per Invoice'!K$2:K$801,$W228)="","",INDEX('Per Invoice'!K$2:K$801,$W228)))</f>
        <v/>
      </c>
      <c r="L228" s="14">
        <f>IF($W228="","",IF(INDEX('Per Invoice'!L$2:L$801,$W228)="","",INDEX('Per Invoice'!L$2:L$801,$W228)))</f>
        <v/>
      </c>
      <c r="M228">
        <f>IF($W228="","",IF(INDEX('Per Invoice'!M$2:M$801,$W228)="","",INDEX('Per Invoice'!M$2:M$801,$W228)))</f>
        <v/>
      </c>
      <c r="N228" s="7">
        <f>IF($W228="","",IF(INDEX('Per Invoice'!N$2:N$801,$W228)="","",INDEX('Per Invoice'!N$2:N$801,$W228)))</f>
        <v/>
      </c>
      <c r="O228" s="7">
        <f>IF($W228="","",IF(INDEX('Per Invoice'!O$2:O$801,$W228)="","",INDEX('Per Invoice'!O$2:O$801,$W228)))</f>
        <v/>
      </c>
      <c r="P228">
        <f>IF($W228="","",IF(INDEX('Per Invoice'!P$2:P$801,$W228)="","",INDEX('Per Invoice'!P$2:P$801,$W228)))</f>
        <v/>
      </c>
      <c r="Q228" s="7">
        <f>IF($W228="","",IF(INDEX('Per Invoice'!Q$2:Q$801,$W228)="","",INDEX('Per Invoice'!Q$2:Q$801,$W228)))</f>
        <v/>
      </c>
      <c r="R228" s="7">
        <f>IF($W228="","",IF(INDEX('Per Invoice'!R$2:R$801,$W228)="","",INDEX('Per Invoice'!R$2:R$801,$W228)))</f>
        <v/>
      </c>
      <c r="S228" s="7">
        <f>IF($W228="","",IF(INDEX('Per Invoice'!S$2:S$801,$W228)="","",INDEX('Per Invoice'!S$2:S$801,$W228)))</f>
        <v/>
      </c>
      <c r="T228" s="7">
        <f>IF($W228="","",IF(INDEX('Per Invoice'!T$2:T$801,$W228)="","",INDEX('Per Invoice'!T$2:T$801,$W228)))</f>
        <v/>
      </c>
      <c r="U228" s="7">
        <f>IF($W228="","",IF(INDEX('Per Invoice'!U$2:U$801,$W228)="","",INDEX('Per Invoice'!U$2:U$801,$W228)))</f>
        <v/>
      </c>
      <c r="V228" s="7">
        <f>IF($W228="","",IF(INDEX('Per Invoice'!V$2:V$801,$W228)="","",INDEX('Per Invoice'!V$2:V$801,$W228)))</f>
        <v/>
      </c>
      <c r="W228" s="16">
        <f>IFERROR(MATCH(Settings!$C$30&amp;"|"&amp;ROWS($W$2:$W228),'Per Invoice'!$X$2:$X$801,0),"")</f>
        <v/>
      </c>
    </row>
    <row r="229">
      <c r="A229">
        <f>IF($W229="","",IF(INDEX('Per Invoice'!A$2:A$801,$W229)="","",INDEX('Per Invoice'!A$2:A$801,$W229)))</f>
        <v/>
      </c>
      <c r="B229">
        <f>IF($W229="","",IF(INDEX('Per Invoice'!B$2:B$801,$W229)="","",INDEX('Per Invoice'!B$2:B$801,$W229)))</f>
        <v/>
      </c>
      <c r="C229">
        <f>IF($W229="","",IF(INDEX('Per Invoice'!C$2:C$801,$W229)="","",INDEX('Per Invoice'!C$2:C$801,$W229)))</f>
        <v/>
      </c>
      <c r="D229">
        <f>IF($W229="","",IF(INDEX('Per Invoice'!D$2:D$801,$W229)="","",INDEX('Per Invoice'!D$2:D$801,$W229)))</f>
        <v/>
      </c>
      <c r="E229">
        <f>IF($W229="","",IF(INDEX('Per Invoice'!E$2:E$801,$W229)="","",INDEX('Per Invoice'!E$2:E$801,$W229)))</f>
        <v/>
      </c>
      <c r="F229">
        <f>IF($W229="","",IF(INDEX('Per Invoice'!F$2:F$801,$W229)="","",INDEX('Per Invoice'!F$2:F$801,$W229)))</f>
        <v/>
      </c>
      <c r="G229">
        <f>IF($W229="","",IF(INDEX('Per Invoice'!G$2:G$801,$W229)="","",INDEX('Per Invoice'!G$2:G$801,$W229)))</f>
        <v/>
      </c>
      <c r="H229">
        <f>IF($W229="","",IF(INDEX('Per Invoice'!H$2:H$801,$W229)="","",INDEX('Per Invoice'!H$2:H$801,$W229)))</f>
        <v/>
      </c>
      <c r="I229">
        <f>IF($W229="","",IF(INDEX('Per Invoice'!I$2:I$801,$W229)="","",INDEX('Per Invoice'!I$2:I$801,$W229)))</f>
        <v/>
      </c>
      <c r="J229">
        <f>IF($W229="","",IF(INDEX('Per Invoice'!J$2:J$801,$W229)="","",INDEX('Per Invoice'!J$2:J$801,$W229)))</f>
        <v/>
      </c>
      <c r="K229" s="7">
        <f>IF($W229="","",IF(INDEX('Per Invoice'!K$2:K$801,$W229)="","",INDEX('Per Invoice'!K$2:K$801,$W229)))</f>
        <v/>
      </c>
      <c r="L229" s="14">
        <f>IF($W229="","",IF(INDEX('Per Invoice'!L$2:L$801,$W229)="","",INDEX('Per Invoice'!L$2:L$801,$W229)))</f>
        <v/>
      </c>
      <c r="M229">
        <f>IF($W229="","",IF(INDEX('Per Invoice'!M$2:M$801,$W229)="","",INDEX('Per Invoice'!M$2:M$801,$W229)))</f>
        <v/>
      </c>
      <c r="N229" s="7">
        <f>IF($W229="","",IF(INDEX('Per Invoice'!N$2:N$801,$W229)="","",INDEX('Per Invoice'!N$2:N$801,$W229)))</f>
        <v/>
      </c>
      <c r="O229" s="7">
        <f>IF($W229="","",IF(INDEX('Per Invoice'!O$2:O$801,$W229)="","",INDEX('Per Invoice'!O$2:O$801,$W229)))</f>
        <v/>
      </c>
      <c r="P229">
        <f>IF($W229="","",IF(INDEX('Per Invoice'!P$2:P$801,$W229)="","",INDEX('Per Invoice'!P$2:P$801,$W229)))</f>
        <v/>
      </c>
      <c r="Q229" s="7">
        <f>IF($W229="","",IF(INDEX('Per Invoice'!Q$2:Q$801,$W229)="","",INDEX('Per Invoice'!Q$2:Q$801,$W229)))</f>
        <v/>
      </c>
      <c r="R229" s="7">
        <f>IF($W229="","",IF(INDEX('Per Invoice'!R$2:R$801,$W229)="","",INDEX('Per Invoice'!R$2:R$801,$W229)))</f>
        <v/>
      </c>
      <c r="S229" s="7">
        <f>IF($W229="","",IF(INDEX('Per Invoice'!S$2:S$801,$W229)="","",INDEX('Per Invoice'!S$2:S$801,$W229)))</f>
        <v/>
      </c>
      <c r="T229" s="7">
        <f>IF($W229="","",IF(INDEX('Per Invoice'!T$2:T$801,$W229)="","",INDEX('Per Invoice'!T$2:T$801,$W229)))</f>
        <v/>
      </c>
      <c r="U229" s="7">
        <f>IF($W229="","",IF(INDEX('Per Invoice'!U$2:U$801,$W229)="","",INDEX('Per Invoice'!U$2:U$801,$W229)))</f>
        <v/>
      </c>
      <c r="V229" s="7">
        <f>IF($W229="","",IF(INDEX('Per Invoice'!V$2:V$801,$W229)="","",INDEX('Per Invoice'!V$2:V$801,$W229)))</f>
        <v/>
      </c>
      <c r="W229" s="16">
        <f>IFERROR(MATCH(Settings!$C$30&amp;"|"&amp;ROWS($W$2:$W229),'Per Invoice'!$X$2:$X$801,0),"")</f>
        <v/>
      </c>
    </row>
    <row r="230">
      <c r="A230">
        <f>IF($W230="","",IF(INDEX('Per Invoice'!A$2:A$801,$W230)="","",INDEX('Per Invoice'!A$2:A$801,$W230)))</f>
        <v/>
      </c>
      <c r="B230">
        <f>IF($W230="","",IF(INDEX('Per Invoice'!B$2:B$801,$W230)="","",INDEX('Per Invoice'!B$2:B$801,$W230)))</f>
        <v/>
      </c>
      <c r="C230">
        <f>IF($W230="","",IF(INDEX('Per Invoice'!C$2:C$801,$W230)="","",INDEX('Per Invoice'!C$2:C$801,$W230)))</f>
        <v/>
      </c>
      <c r="D230">
        <f>IF($W230="","",IF(INDEX('Per Invoice'!D$2:D$801,$W230)="","",INDEX('Per Invoice'!D$2:D$801,$W230)))</f>
        <v/>
      </c>
      <c r="E230">
        <f>IF($W230="","",IF(INDEX('Per Invoice'!E$2:E$801,$W230)="","",INDEX('Per Invoice'!E$2:E$801,$W230)))</f>
        <v/>
      </c>
      <c r="F230">
        <f>IF($W230="","",IF(INDEX('Per Invoice'!F$2:F$801,$W230)="","",INDEX('Per Invoice'!F$2:F$801,$W230)))</f>
        <v/>
      </c>
      <c r="G230">
        <f>IF($W230="","",IF(INDEX('Per Invoice'!G$2:G$801,$W230)="","",INDEX('Per Invoice'!G$2:G$801,$W230)))</f>
        <v/>
      </c>
      <c r="H230">
        <f>IF($W230="","",IF(INDEX('Per Invoice'!H$2:H$801,$W230)="","",INDEX('Per Invoice'!H$2:H$801,$W230)))</f>
        <v/>
      </c>
      <c r="I230">
        <f>IF($W230="","",IF(INDEX('Per Invoice'!I$2:I$801,$W230)="","",INDEX('Per Invoice'!I$2:I$801,$W230)))</f>
        <v/>
      </c>
      <c r="J230">
        <f>IF($W230="","",IF(INDEX('Per Invoice'!J$2:J$801,$W230)="","",INDEX('Per Invoice'!J$2:J$801,$W230)))</f>
        <v/>
      </c>
      <c r="K230" s="7">
        <f>IF($W230="","",IF(INDEX('Per Invoice'!K$2:K$801,$W230)="","",INDEX('Per Invoice'!K$2:K$801,$W230)))</f>
        <v/>
      </c>
      <c r="L230" s="14">
        <f>IF($W230="","",IF(INDEX('Per Invoice'!L$2:L$801,$W230)="","",INDEX('Per Invoice'!L$2:L$801,$W230)))</f>
        <v/>
      </c>
      <c r="M230">
        <f>IF($W230="","",IF(INDEX('Per Invoice'!M$2:M$801,$W230)="","",INDEX('Per Invoice'!M$2:M$801,$W230)))</f>
        <v/>
      </c>
      <c r="N230" s="7">
        <f>IF($W230="","",IF(INDEX('Per Invoice'!N$2:N$801,$W230)="","",INDEX('Per Invoice'!N$2:N$801,$W230)))</f>
        <v/>
      </c>
      <c r="O230" s="7">
        <f>IF($W230="","",IF(INDEX('Per Invoice'!O$2:O$801,$W230)="","",INDEX('Per Invoice'!O$2:O$801,$W230)))</f>
        <v/>
      </c>
      <c r="P230">
        <f>IF($W230="","",IF(INDEX('Per Invoice'!P$2:P$801,$W230)="","",INDEX('Per Invoice'!P$2:P$801,$W230)))</f>
        <v/>
      </c>
      <c r="Q230" s="7">
        <f>IF($W230="","",IF(INDEX('Per Invoice'!Q$2:Q$801,$W230)="","",INDEX('Per Invoice'!Q$2:Q$801,$W230)))</f>
        <v/>
      </c>
      <c r="R230" s="7">
        <f>IF($W230="","",IF(INDEX('Per Invoice'!R$2:R$801,$W230)="","",INDEX('Per Invoice'!R$2:R$801,$W230)))</f>
        <v/>
      </c>
      <c r="S230" s="7">
        <f>IF($W230="","",IF(INDEX('Per Invoice'!S$2:S$801,$W230)="","",INDEX('Per Invoice'!S$2:S$801,$W230)))</f>
        <v/>
      </c>
      <c r="T230" s="7">
        <f>IF($W230="","",IF(INDEX('Per Invoice'!T$2:T$801,$W230)="","",INDEX('Per Invoice'!T$2:T$801,$W230)))</f>
        <v/>
      </c>
      <c r="U230" s="7">
        <f>IF($W230="","",IF(INDEX('Per Invoice'!U$2:U$801,$W230)="","",INDEX('Per Invoice'!U$2:U$801,$W230)))</f>
        <v/>
      </c>
      <c r="V230" s="7">
        <f>IF($W230="","",IF(INDEX('Per Invoice'!V$2:V$801,$W230)="","",INDEX('Per Invoice'!V$2:V$801,$W230)))</f>
        <v/>
      </c>
      <c r="W230" s="16">
        <f>IFERROR(MATCH(Settings!$C$30&amp;"|"&amp;ROWS($W$2:$W230),'Per Invoice'!$X$2:$X$801,0),"")</f>
        <v/>
      </c>
    </row>
    <row r="231">
      <c r="A231">
        <f>IF($W231="","",IF(INDEX('Per Invoice'!A$2:A$801,$W231)="","",INDEX('Per Invoice'!A$2:A$801,$W231)))</f>
        <v/>
      </c>
      <c r="B231">
        <f>IF($W231="","",IF(INDEX('Per Invoice'!B$2:B$801,$W231)="","",INDEX('Per Invoice'!B$2:B$801,$W231)))</f>
        <v/>
      </c>
      <c r="C231">
        <f>IF($W231="","",IF(INDEX('Per Invoice'!C$2:C$801,$W231)="","",INDEX('Per Invoice'!C$2:C$801,$W231)))</f>
        <v/>
      </c>
      <c r="D231">
        <f>IF($W231="","",IF(INDEX('Per Invoice'!D$2:D$801,$W231)="","",INDEX('Per Invoice'!D$2:D$801,$W231)))</f>
        <v/>
      </c>
      <c r="E231">
        <f>IF($W231="","",IF(INDEX('Per Invoice'!E$2:E$801,$W231)="","",INDEX('Per Invoice'!E$2:E$801,$W231)))</f>
        <v/>
      </c>
      <c r="F231">
        <f>IF($W231="","",IF(INDEX('Per Invoice'!F$2:F$801,$W231)="","",INDEX('Per Invoice'!F$2:F$801,$W231)))</f>
        <v/>
      </c>
      <c r="G231">
        <f>IF($W231="","",IF(INDEX('Per Invoice'!G$2:G$801,$W231)="","",INDEX('Per Invoice'!G$2:G$801,$W231)))</f>
        <v/>
      </c>
      <c r="H231">
        <f>IF($W231="","",IF(INDEX('Per Invoice'!H$2:H$801,$W231)="","",INDEX('Per Invoice'!H$2:H$801,$W231)))</f>
        <v/>
      </c>
      <c r="I231">
        <f>IF($W231="","",IF(INDEX('Per Invoice'!I$2:I$801,$W231)="","",INDEX('Per Invoice'!I$2:I$801,$W231)))</f>
        <v/>
      </c>
      <c r="J231">
        <f>IF($W231="","",IF(INDEX('Per Invoice'!J$2:J$801,$W231)="","",INDEX('Per Invoice'!J$2:J$801,$W231)))</f>
        <v/>
      </c>
      <c r="K231" s="7">
        <f>IF($W231="","",IF(INDEX('Per Invoice'!K$2:K$801,$W231)="","",INDEX('Per Invoice'!K$2:K$801,$W231)))</f>
        <v/>
      </c>
      <c r="L231" s="14">
        <f>IF($W231="","",IF(INDEX('Per Invoice'!L$2:L$801,$W231)="","",INDEX('Per Invoice'!L$2:L$801,$W231)))</f>
        <v/>
      </c>
      <c r="M231">
        <f>IF($W231="","",IF(INDEX('Per Invoice'!M$2:M$801,$W231)="","",INDEX('Per Invoice'!M$2:M$801,$W231)))</f>
        <v/>
      </c>
      <c r="N231" s="7">
        <f>IF($W231="","",IF(INDEX('Per Invoice'!N$2:N$801,$W231)="","",INDEX('Per Invoice'!N$2:N$801,$W231)))</f>
        <v/>
      </c>
      <c r="O231" s="7">
        <f>IF($W231="","",IF(INDEX('Per Invoice'!O$2:O$801,$W231)="","",INDEX('Per Invoice'!O$2:O$801,$W231)))</f>
        <v/>
      </c>
      <c r="P231">
        <f>IF($W231="","",IF(INDEX('Per Invoice'!P$2:P$801,$W231)="","",INDEX('Per Invoice'!P$2:P$801,$W231)))</f>
        <v/>
      </c>
      <c r="Q231" s="7">
        <f>IF($W231="","",IF(INDEX('Per Invoice'!Q$2:Q$801,$W231)="","",INDEX('Per Invoice'!Q$2:Q$801,$W231)))</f>
        <v/>
      </c>
      <c r="R231" s="7">
        <f>IF($W231="","",IF(INDEX('Per Invoice'!R$2:R$801,$W231)="","",INDEX('Per Invoice'!R$2:R$801,$W231)))</f>
        <v/>
      </c>
      <c r="S231" s="7">
        <f>IF($W231="","",IF(INDEX('Per Invoice'!S$2:S$801,$W231)="","",INDEX('Per Invoice'!S$2:S$801,$W231)))</f>
        <v/>
      </c>
      <c r="T231" s="7">
        <f>IF($W231="","",IF(INDEX('Per Invoice'!T$2:T$801,$W231)="","",INDEX('Per Invoice'!T$2:T$801,$W231)))</f>
        <v/>
      </c>
      <c r="U231" s="7">
        <f>IF($W231="","",IF(INDEX('Per Invoice'!U$2:U$801,$W231)="","",INDEX('Per Invoice'!U$2:U$801,$W231)))</f>
        <v/>
      </c>
      <c r="V231" s="7">
        <f>IF($W231="","",IF(INDEX('Per Invoice'!V$2:V$801,$W231)="","",INDEX('Per Invoice'!V$2:V$801,$W231)))</f>
        <v/>
      </c>
      <c r="W231" s="16">
        <f>IFERROR(MATCH(Settings!$C$30&amp;"|"&amp;ROWS($W$2:$W231),'Per Invoice'!$X$2:$X$801,0),"")</f>
        <v/>
      </c>
    </row>
    <row r="232">
      <c r="A232">
        <f>IF($W232="","",IF(INDEX('Per Invoice'!A$2:A$801,$W232)="","",INDEX('Per Invoice'!A$2:A$801,$W232)))</f>
        <v/>
      </c>
      <c r="B232">
        <f>IF($W232="","",IF(INDEX('Per Invoice'!B$2:B$801,$W232)="","",INDEX('Per Invoice'!B$2:B$801,$W232)))</f>
        <v/>
      </c>
      <c r="C232">
        <f>IF($W232="","",IF(INDEX('Per Invoice'!C$2:C$801,$W232)="","",INDEX('Per Invoice'!C$2:C$801,$W232)))</f>
        <v/>
      </c>
      <c r="D232">
        <f>IF($W232="","",IF(INDEX('Per Invoice'!D$2:D$801,$W232)="","",INDEX('Per Invoice'!D$2:D$801,$W232)))</f>
        <v/>
      </c>
      <c r="E232">
        <f>IF($W232="","",IF(INDEX('Per Invoice'!E$2:E$801,$W232)="","",INDEX('Per Invoice'!E$2:E$801,$W232)))</f>
        <v/>
      </c>
      <c r="F232">
        <f>IF($W232="","",IF(INDEX('Per Invoice'!F$2:F$801,$W232)="","",INDEX('Per Invoice'!F$2:F$801,$W232)))</f>
        <v/>
      </c>
      <c r="G232">
        <f>IF($W232="","",IF(INDEX('Per Invoice'!G$2:G$801,$W232)="","",INDEX('Per Invoice'!G$2:G$801,$W232)))</f>
        <v/>
      </c>
      <c r="H232">
        <f>IF($W232="","",IF(INDEX('Per Invoice'!H$2:H$801,$W232)="","",INDEX('Per Invoice'!H$2:H$801,$W232)))</f>
        <v/>
      </c>
      <c r="I232">
        <f>IF($W232="","",IF(INDEX('Per Invoice'!I$2:I$801,$W232)="","",INDEX('Per Invoice'!I$2:I$801,$W232)))</f>
        <v/>
      </c>
      <c r="J232">
        <f>IF($W232="","",IF(INDEX('Per Invoice'!J$2:J$801,$W232)="","",INDEX('Per Invoice'!J$2:J$801,$W232)))</f>
        <v/>
      </c>
      <c r="K232" s="7">
        <f>IF($W232="","",IF(INDEX('Per Invoice'!K$2:K$801,$W232)="","",INDEX('Per Invoice'!K$2:K$801,$W232)))</f>
        <v/>
      </c>
      <c r="L232" s="14">
        <f>IF($W232="","",IF(INDEX('Per Invoice'!L$2:L$801,$W232)="","",INDEX('Per Invoice'!L$2:L$801,$W232)))</f>
        <v/>
      </c>
      <c r="M232">
        <f>IF($W232="","",IF(INDEX('Per Invoice'!M$2:M$801,$W232)="","",INDEX('Per Invoice'!M$2:M$801,$W232)))</f>
        <v/>
      </c>
      <c r="N232" s="7">
        <f>IF($W232="","",IF(INDEX('Per Invoice'!N$2:N$801,$W232)="","",INDEX('Per Invoice'!N$2:N$801,$W232)))</f>
        <v/>
      </c>
      <c r="O232" s="7">
        <f>IF($W232="","",IF(INDEX('Per Invoice'!O$2:O$801,$W232)="","",INDEX('Per Invoice'!O$2:O$801,$W232)))</f>
        <v/>
      </c>
      <c r="P232">
        <f>IF($W232="","",IF(INDEX('Per Invoice'!P$2:P$801,$W232)="","",INDEX('Per Invoice'!P$2:P$801,$W232)))</f>
        <v/>
      </c>
      <c r="Q232" s="7">
        <f>IF($W232="","",IF(INDEX('Per Invoice'!Q$2:Q$801,$W232)="","",INDEX('Per Invoice'!Q$2:Q$801,$W232)))</f>
        <v/>
      </c>
      <c r="R232" s="7">
        <f>IF($W232="","",IF(INDEX('Per Invoice'!R$2:R$801,$W232)="","",INDEX('Per Invoice'!R$2:R$801,$W232)))</f>
        <v/>
      </c>
      <c r="S232" s="7">
        <f>IF($W232="","",IF(INDEX('Per Invoice'!S$2:S$801,$W232)="","",INDEX('Per Invoice'!S$2:S$801,$W232)))</f>
        <v/>
      </c>
      <c r="T232" s="7">
        <f>IF($W232="","",IF(INDEX('Per Invoice'!T$2:T$801,$W232)="","",INDEX('Per Invoice'!T$2:T$801,$W232)))</f>
        <v/>
      </c>
      <c r="U232" s="7">
        <f>IF($W232="","",IF(INDEX('Per Invoice'!U$2:U$801,$W232)="","",INDEX('Per Invoice'!U$2:U$801,$W232)))</f>
        <v/>
      </c>
      <c r="V232" s="7">
        <f>IF($W232="","",IF(INDEX('Per Invoice'!V$2:V$801,$W232)="","",INDEX('Per Invoice'!V$2:V$801,$W232)))</f>
        <v/>
      </c>
      <c r="W232" s="16">
        <f>IFERROR(MATCH(Settings!$C$30&amp;"|"&amp;ROWS($W$2:$W232),'Per Invoice'!$X$2:$X$801,0),"")</f>
        <v/>
      </c>
    </row>
    <row r="233">
      <c r="A233">
        <f>IF($W233="","",IF(INDEX('Per Invoice'!A$2:A$801,$W233)="","",INDEX('Per Invoice'!A$2:A$801,$W233)))</f>
        <v/>
      </c>
      <c r="B233">
        <f>IF($W233="","",IF(INDEX('Per Invoice'!B$2:B$801,$W233)="","",INDEX('Per Invoice'!B$2:B$801,$W233)))</f>
        <v/>
      </c>
      <c r="C233">
        <f>IF($W233="","",IF(INDEX('Per Invoice'!C$2:C$801,$W233)="","",INDEX('Per Invoice'!C$2:C$801,$W233)))</f>
        <v/>
      </c>
      <c r="D233">
        <f>IF($W233="","",IF(INDEX('Per Invoice'!D$2:D$801,$W233)="","",INDEX('Per Invoice'!D$2:D$801,$W233)))</f>
        <v/>
      </c>
      <c r="E233">
        <f>IF($W233="","",IF(INDEX('Per Invoice'!E$2:E$801,$W233)="","",INDEX('Per Invoice'!E$2:E$801,$W233)))</f>
        <v/>
      </c>
      <c r="F233">
        <f>IF($W233="","",IF(INDEX('Per Invoice'!F$2:F$801,$W233)="","",INDEX('Per Invoice'!F$2:F$801,$W233)))</f>
        <v/>
      </c>
      <c r="G233">
        <f>IF($W233="","",IF(INDEX('Per Invoice'!G$2:G$801,$W233)="","",INDEX('Per Invoice'!G$2:G$801,$W233)))</f>
        <v/>
      </c>
      <c r="H233">
        <f>IF($W233="","",IF(INDEX('Per Invoice'!H$2:H$801,$W233)="","",INDEX('Per Invoice'!H$2:H$801,$W233)))</f>
        <v/>
      </c>
      <c r="I233">
        <f>IF($W233="","",IF(INDEX('Per Invoice'!I$2:I$801,$W233)="","",INDEX('Per Invoice'!I$2:I$801,$W233)))</f>
        <v/>
      </c>
      <c r="J233">
        <f>IF($W233="","",IF(INDEX('Per Invoice'!J$2:J$801,$W233)="","",INDEX('Per Invoice'!J$2:J$801,$W233)))</f>
        <v/>
      </c>
      <c r="K233" s="7">
        <f>IF($W233="","",IF(INDEX('Per Invoice'!K$2:K$801,$W233)="","",INDEX('Per Invoice'!K$2:K$801,$W233)))</f>
        <v/>
      </c>
      <c r="L233" s="14">
        <f>IF($W233="","",IF(INDEX('Per Invoice'!L$2:L$801,$W233)="","",INDEX('Per Invoice'!L$2:L$801,$W233)))</f>
        <v/>
      </c>
      <c r="M233">
        <f>IF($W233="","",IF(INDEX('Per Invoice'!M$2:M$801,$W233)="","",INDEX('Per Invoice'!M$2:M$801,$W233)))</f>
        <v/>
      </c>
      <c r="N233" s="7">
        <f>IF($W233="","",IF(INDEX('Per Invoice'!N$2:N$801,$W233)="","",INDEX('Per Invoice'!N$2:N$801,$W233)))</f>
        <v/>
      </c>
      <c r="O233" s="7">
        <f>IF($W233="","",IF(INDEX('Per Invoice'!O$2:O$801,$W233)="","",INDEX('Per Invoice'!O$2:O$801,$W233)))</f>
        <v/>
      </c>
      <c r="P233">
        <f>IF($W233="","",IF(INDEX('Per Invoice'!P$2:P$801,$W233)="","",INDEX('Per Invoice'!P$2:P$801,$W233)))</f>
        <v/>
      </c>
      <c r="Q233" s="7">
        <f>IF($W233="","",IF(INDEX('Per Invoice'!Q$2:Q$801,$W233)="","",INDEX('Per Invoice'!Q$2:Q$801,$W233)))</f>
        <v/>
      </c>
      <c r="R233" s="7">
        <f>IF($W233="","",IF(INDEX('Per Invoice'!R$2:R$801,$W233)="","",INDEX('Per Invoice'!R$2:R$801,$W233)))</f>
        <v/>
      </c>
      <c r="S233" s="7">
        <f>IF($W233="","",IF(INDEX('Per Invoice'!S$2:S$801,$W233)="","",INDEX('Per Invoice'!S$2:S$801,$W233)))</f>
        <v/>
      </c>
      <c r="T233" s="7">
        <f>IF($W233="","",IF(INDEX('Per Invoice'!T$2:T$801,$W233)="","",INDEX('Per Invoice'!T$2:T$801,$W233)))</f>
        <v/>
      </c>
      <c r="U233" s="7">
        <f>IF($W233="","",IF(INDEX('Per Invoice'!U$2:U$801,$W233)="","",INDEX('Per Invoice'!U$2:U$801,$W233)))</f>
        <v/>
      </c>
      <c r="V233" s="7">
        <f>IF($W233="","",IF(INDEX('Per Invoice'!V$2:V$801,$W233)="","",INDEX('Per Invoice'!V$2:V$801,$W233)))</f>
        <v/>
      </c>
      <c r="W233" s="16">
        <f>IFERROR(MATCH(Settings!$C$30&amp;"|"&amp;ROWS($W$2:$W233),'Per Invoice'!$X$2:$X$801,0),"")</f>
        <v/>
      </c>
    </row>
    <row r="234">
      <c r="A234">
        <f>IF($W234="","",IF(INDEX('Per Invoice'!A$2:A$801,$W234)="","",INDEX('Per Invoice'!A$2:A$801,$W234)))</f>
        <v/>
      </c>
      <c r="B234">
        <f>IF($W234="","",IF(INDEX('Per Invoice'!B$2:B$801,$W234)="","",INDEX('Per Invoice'!B$2:B$801,$W234)))</f>
        <v/>
      </c>
      <c r="C234">
        <f>IF($W234="","",IF(INDEX('Per Invoice'!C$2:C$801,$W234)="","",INDEX('Per Invoice'!C$2:C$801,$W234)))</f>
        <v/>
      </c>
      <c r="D234">
        <f>IF($W234="","",IF(INDEX('Per Invoice'!D$2:D$801,$W234)="","",INDEX('Per Invoice'!D$2:D$801,$W234)))</f>
        <v/>
      </c>
      <c r="E234">
        <f>IF($W234="","",IF(INDEX('Per Invoice'!E$2:E$801,$W234)="","",INDEX('Per Invoice'!E$2:E$801,$W234)))</f>
        <v/>
      </c>
      <c r="F234">
        <f>IF($W234="","",IF(INDEX('Per Invoice'!F$2:F$801,$W234)="","",INDEX('Per Invoice'!F$2:F$801,$W234)))</f>
        <v/>
      </c>
      <c r="G234">
        <f>IF($W234="","",IF(INDEX('Per Invoice'!G$2:G$801,$W234)="","",INDEX('Per Invoice'!G$2:G$801,$W234)))</f>
        <v/>
      </c>
      <c r="H234">
        <f>IF($W234="","",IF(INDEX('Per Invoice'!H$2:H$801,$W234)="","",INDEX('Per Invoice'!H$2:H$801,$W234)))</f>
        <v/>
      </c>
      <c r="I234">
        <f>IF($W234="","",IF(INDEX('Per Invoice'!I$2:I$801,$W234)="","",INDEX('Per Invoice'!I$2:I$801,$W234)))</f>
        <v/>
      </c>
      <c r="J234">
        <f>IF($W234="","",IF(INDEX('Per Invoice'!J$2:J$801,$W234)="","",INDEX('Per Invoice'!J$2:J$801,$W234)))</f>
        <v/>
      </c>
      <c r="K234" s="7">
        <f>IF($W234="","",IF(INDEX('Per Invoice'!K$2:K$801,$W234)="","",INDEX('Per Invoice'!K$2:K$801,$W234)))</f>
        <v/>
      </c>
      <c r="L234" s="14">
        <f>IF($W234="","",IF(INDEX('Per Invoice'!L$2:L$801,$W234)="","",INDEX('Per Invoice'!L$2:L$801,$W234)))</f>
        <v/>
      </c>
      <c r="M234">
        <f>IF($W234="","",IF(INDEX('Per Invoice'!M$2:M$801,$W234)="","",INDEX('Per Invoice'!M$2:M$801,$W234)))</f>
        <v/>
      </c>
      <c r="N234" s="7">
        <f>IF($W234="","",IF(INDEX('Per Invoice'!N$2:N$801,$W234)="","",INDEX('Per Invoice'!N$2:N$801,$W234)))</f>
        <v/>
      </c>
      <c r="O234" s="7">
        <f>IF($W234="","",IF(INDEX('Per Invoice'!O$2:O$801,$W234)="","",INDEX('Per Invoice'!O$2:O$801,$W234)))</f>
        <v/>
      </c>
      <c r="P234">
        <f>IF($W234="","",IF(INDEX('Per Invoice'!P$2:P$801,$W234)="","",INDEX('Per Invoice'!P$2:P$801,$W234)))</f>
        <v/>
      </c>
      <c r="Q234" s="7">
        <f>IF($W234="","",IF(INDEX('Per Invoice'!Q$2:Q$801,$W234)="","",INDEX('Per Invoice'!Q$2:Q$801,$W234)))</f>
        <v/>
      </c>
      <c r="R234" s="7">
        <f>IF($W234="","",IF(INDEX('Per Invoice'!R$2:R$801,$W234)="","",INDEX('Per Invoice'!R$2:R$801,$W234)))</f>
        <v/>
      </c>
      <c r="S234" s="7">
        <f>IF($W234="","",IF(INDEX('Per Invoice'!S$2:S$801,$W234)="","",INDEX('Per Invoice'!S$2:S$801,$W234)))</f>
        <v/>
      </c>
      <c r="T234" s="7">
        <f>IF($W234="","",IF(INDEX('Per Invoice'!T$2:T$801,$W234)="","",INDEX('Per Invoice'!T$2:T$801,$W234)))</f>
        <v/>
      </c>
      <c r="U234" s="7">
        <f>IF($W234="","",IF(INDEX('Per Invoice'!U$2:U$801,$W234)="","",INDEX('Per Invoice'!U$2:U$801,$W234)))</f>
        <v/>
      </c>
      <c r="V234" s="7">
        <f>IF($W234="","",IF(INDEX('Per Invoice'!V$2:V$801,$W234)="","",INDEX('Per Invoice'!V$2:V$801,$W234)))</f>
        <v/>
      </c>
      <c r="W234" s="16">
        <f>IFERROR(MATCH(Settings!$C$30&amp;"|"&amp;ROWS($W$2:$W234),'Per Invoice'!$X$2:$X$801,0),"")</f>
        <v/>
      </c>
    </row>
    <row r="235">
      <c r="A235">
        <f>IF($W235="","",IF(INDEX('Per Invoice'!A$2:A$801,$W235)="","",INDEX('Per Invoice'!A$2:A$801,$W235)))</f>
        <v/>
      </c>
      <c r="B235">
        <f>IF($W235="","",IF(INDEX('Per Invoice'!B$2:B$801,$W235)="","",INDEX('Per Invoice'!B$2:B$801,$W235)))</f>
        <v/>
      </c>
      <c r="C235">
        <f>IF($W235="","",IF(INDEX('Per Invoice'!C$2:C$801,$W235)="","",INDEX('Per Invoice'!C$2:C$801,$W235)))</f>
        <v/>
      </c>
      <c r="D235">
        <f>IF($W235="","",IF(INDEX('Per Invoice'!D$2:D$801,$W235)="","",INDEX('Per Invoice'!D$2:D$801,$W235)))</f>
        <v/>
      </c>
      <c r="E235">
        <f>IF($W235="","",IF(INDEX('Per Invoice'!E$2:E$801,$W235)="","",INDEX('Per Invoice'!E$2:E$801,$W235)))</f>
        <v/>
      </c>
      <c r="F235">
        <f>IF($W235="","",IF(INDEX('Per Invoice'!F$2:F$801,$W235)="","",INDEX('Per Invoice'!F$2:F$801,$W235)))</f>
        <v/>
      </c>
      <c r="G235">
        <f>IF($W235="","",IF(INDEX('Per Invoice'!G$2:G$801,$W235)="","",INDEX('Per Invoice'!G$2:G$801,$W235)))</f>
        <v/>
      </c>
      <c r="H235">
        <f>IF($W235="","",IF(INDEX('Per Invoice'!H$2:H$801,$W235)="","",INDEX('Per Invoice'!H$2:H$801,$W235)))</f>
        <v/>
      </c>
      <c r="I235">
        <f>IF($W235="","",IF(INDEX('Per Invoice'!I$2:I$801,$W235)="","",INDEX('Per Invoice'!I$2:I$801,$W235)))</f>
        <v/>
      </c>
      <c r="J235">
        <f>IF($W235="","",IF(INDEX('Per Invoice'!J$2:J$801,$W235)="","",INDEX('Per Invoice'!J$2:J$801,$W235)))</f>
        <v/>
      </c>
      <c r="K235" s="7">
        <f>IF($W235="","",IF(INDEX('Per Invoice'!K$2:K$801,$W235)="","",INDEX('Per Invoice'!K$2:K$801,$W235)))</f>
        <v/>
      </c>
      <c r="L235" s="14">
        <f>IF($W235="","",IF(INDEX('Per Invoice'!L$2:L$801,$W235)="","",INDEX('Per Invoice'!L$2:L$801,$W235)))</f>
        <v/>
      </c>
      <c r="M235">
        <f>IF($W235="","",IF(INDEX('Per Invoice'!M$2:M$801,$W235)="","",INDEX('Per Invoice'!M$2:M$801,$W235)))</f>
        <v/>
      </c>
      <c r="N235" s="7">
        <f>IF($W235="","",IF(INDEX('Per Invoice'!N$2:N$801,$W235)="","",INDEX('Per Invoice'!N$2:N$801,$W235)))</f>
        <v/>
      </c>
      <c r="O235" s="7">
        <f>IF($W235="","",IF(INDEX('Per Invoice'!O$2:O$801,$W235)="","",INDEX('Per Invoice'!O$2:O$801,$W235)))</f>
        <v/>
      </c>
      <c r="P235">
        <f>IF($W235="","",IF(INDEX('Per Invoice'!P$2:P$801,$W235)="","",INDEX('Per Invoice'!P$2:P$801,$W235)))</f>
        <v/>
      </c>
      <c r="Q235" s="7">
        <f>IF($W235="","",IF(INDEX('Per Invoice'!Q$2:Q$801,$W235)="","",INDEX('Per Invoice'!Q$2:Q$801,$W235)))</f>
        <v/>
      </c>
      <c r="R235" s="7">
        <f>IF($W235="","",IF(INDEX('Per Invoice'!R$2:R$801,$W235)="","",INDEX('Per Invoice'!R$2:R$801,$W235)))</f>
        <v/>
      </c>
      <c r="S235" s="7">
        <f>IF($W235="","",IF(INDEX('Per Invoice'!S$2:S$801,$W235)="","",INDEX('Per Invoice'!S$2:S$801,$W235)))</f>
        <v/>
      </c>
      <c r="T235" s="7">
        <f>IF($W235="","",IF(INDEX('Per Invoice'!T$2:T$801,$W235)="","",INDEX('Per Invoice'!T$2:T$801,$W235)))</f>
        <v/>
      </c>
      <c r="U235" s="7">
        <f>IF($W235="","",IF(INDEX('Per Invoice'!U$2:U$801,$W235)="","",INDEX('Per Invoice'!U$2:U$801,$W235)))</f>
        <v/>
      </c>
      <c r="V235" s="7">
        <f>IF($W235="","",IF(INDEX('Per Invoice'!V$2:V$801,$W235)="","",INDEX('Per Invoice'!V$2:V$801,$W235)))</f>
        <v/>
      </c>
      <c r="W235" s="16">
        <f>IFERROR(MATCH(Settings!$C$30&amp;"|"&amp;ROWS($W$2:$W235),'Per Invoice'!$X$2:$X$801,0),"")</f>
        <v/>
      </c>
    </row>
    <row r="236">
      <c r="A236">
        <f>IF($W236="","",IF(INDEX('Per Invoice'!A$2:A$801,$W236)="","",INDEX('Per Invoice'!A$2:A$801,$W236)))</f>
        <v/>
      </c>
      <c r="B236">
        <f>IF($W236="","",IF(INDEX('Per Invoice'!B$2:B$801,$W236)="","",INDEX('Per Invoice'!B$2:B$801,$W236)))</f>
        <v/>
      </c>
      <c r="C236">
        <f>IF($W236="","",IF(INDEX('Per Invoice'!C$2:C$801,$W236)="","",INDEX('Per Invoice'!C$2:C$801,$W236)))</f>
        <v/>
      </c>
      <c r="D236">
        <f>IF($W236="","",IF(INDEX('Per Invoice'!D$2:D$801,$W236)="","",INDEX('Per Invoice'!D$2:D$801,$W236)))</f>
        <v/>
      </c>
      <c r="E236">
        <f>IF($W236="","",IF(INDEX('Per Invoice'!E$2:E$801,$W236)="","",INDEX('Per Invoice'!E$2:E$801,$W236)))</f>
        <v/>
      </c>
      <c r="F236">
        <f>IF($W236="","",IF(INDEX('Per Invoice'!F$2:F$801,$W236)="","",INDEX('Per Invoice'!F$2:F$801,$W236)))</f>
        <v/>
      </c>
      <c r="G236">
        <f>IF($W236="","",IF(INDEX('Per Invoice'!G$2:G$801,$W236)="","",INDEX('Per Invoice'!G$2:G$801,$W236)))</f>
        <v/>
      </c>
      <c r="H236">
        <f>IF($W236="","",IF(INDEX('Per Invoice'!H$2:H$801,$W236)="","",INDEX('Per Invoice'!H$2:H$801,$W236)))</f>
        <v/>
      </c>
      <c r="I236">
        <f>IF($W236="","",IF(INDEX('Per Invoice'!I$2:I$801,$W236)="","",INDEX('Per Invoice'!I$2:I$801,$W236)))</f>
        <v/>
      </c>
      <c r="J236">
        <f>IF($W236="","",IF(INDEX('Per Invoice'!J$2:J$801,$W236)="","",INDEX('Per Invoice'!J$2:J$801,$W236)))</f>
        <v/>
      </c>
      <c r="K236" s="7">
        <f>IF($W236="","",IF(INDEX('Per Invoice'!K$2:K$801,$W236)="","",INDEX('Per Invoice'!K$2:K$801,$W236)))</f>
        <v/>
      </c>
      <c r="L236" s="14">
        <f>IF($W236="","",IF(INDEX('Per Invoice'!L$2:L$801,$W236)="","",INDEX('Per Invoice'!L$2:L$801,$W236)))</f>
        <v/>
      </c>
      <c r="M236">
        <f>IF($W236="","",IF(INDEX('Per Invoice'!M$2:M$801,$W236)="","",INDEX('Per Invoice'!M$2:M$801,$W236)))</f>
        <v/>
      </c>
      <c r="N236" s="7">
        <f>IF($W236="","",IF(INDEX('Per Invoice'!N$2:N$801,$W236)="","",INDEX('Per Invoice'!N$2:N$801,$W236)))</f>
        <v/>
      </c>
      <c r="O236" s="7">
        <f>IF($W236="","",IF(INDEX('Per Invoice'!O$2:O$801,$W236)="","",INDEX('Per Invoice'!O$2:O$801,$W236)))</f>
        <v/>
      </c>
      <c r="P236">
        <f>IF($W236="","",IF(INDEX('Per Invoice'!P$2:P$801,$W236)="","",INDEX('Per Invoice'!P$2:P$801,$W236)))</f>
        <v/>
      </c>
      <c r="Q236" s="7">
        <f>IF($W236="","",IF(INDEX('Per Invoice'!Q$2:Q$801,$W236)="","",INDEX('Per Invoice'!Q$2:Q$801,$W236)))</f>
        <v/>
      </c>
      <c r="R236" s="7">
        <f>IF($W236="","",IF(INDEX('Per Invoice'!R$2:R$801,$W236)="","",INDEX('Per Invoice'!R$2:R$801,$W236)))</f>
        <v/>
      </c>
      <c r="S236" s="7">
        <f>IF($W236="","",IF(INDEX('Per Invoice'!S$2:S$801,$W236)="","",INDEX('Per Invoice'!S$2:S$801,$W236)))</f>
        <v/>
      </c>
      <c r="T236" s="7">
        <f>IF($W236="","",IF(INDEX('Per Invoice'!T$2:T$801,$W236)="","",INDEX('Per Invoice'!T$2:T$801,$W236)))</f>
        <v/>
      </c>
      <c r="U236" s="7">
        <f>IF($W236="","",IF(INDEX('Per Invoice'!U$2:U$801,$W236)="","",INDEX('Per Invoice'!U$2:U$801,$W236)))</f>
        <v/>
      </c>
      <c r="V236" s="7">
        <f>IF($W236="","",IF(INDEX('Per Invoice'!V$2:V$801,$W236)="","",INDEX('Per Invoice'!V$2:V$801,$W236)))</f>
        <v/>
      </c>
      <c r="W236" s="16">
        <f>IFERROR(MATCH(Settings!$C$30&amp;"|"&amp;ROWS($W$2:$W236),'Per Invoice'!$X$2:$X$801,0),"")</f>
        <v/>
      </c>
    </row>
    <row r="237">
      <c r="A237">
        <f>IF($W237="","",IF(INDEX('Per Invoice'!A$2:A$801,$W237)="","",INDEX('Per Invoice'!A$2:A$801,$W237)))</f>
        <v/>
      </c>
      <c r="B237">
        <f>IF($W237="","",IF(INDEX('Per Invoice'!B$2:B$801,$W237)="","",INDEX('Per Invoice'!B$2:B$801,$W237)))</f>
        <v/>
      </c>
      <c r="C237">
        <f>IF($W237="","",IF(INDEX('Per Invoice'!C$2:C$801,$W237)="","",INDEX('Per Invoice'!C$2:C$801,$W237)))</f>
        <v/>
      </c>
      <c r="D237">
        <f>IF($W237="","",IF(INDEX('Per Invoice'!D$2:D$801,$W237)="","",INDEX('Per Invoice'!D$2:D$801,$W237)))</f>
        <v/>
      </c>
      <c r="E237">
        <f>IF($W237="","",IF(INDEX('Per Invoice'!E$2:E$801,$W237)="","",INDEX('Per Invoice'!E$2:E$801,$W237)))</f>
        <v/>
      </c>
      <c r="F237">
        <f>IF($W237="","",IF(INDEX('Per Invoice'!F$2:F$801,$W237)="","",INDEX('Per Invoice'!F$2:F$801,$W237)))</f>
        <v/>
      </c>
      <c r="G237">
        <f>IF($W237="","",IF(INDEX('Per Invoice'!G$2:G$801,$W237)="","",INDEX('Per Invoice'!G$2:G$801,$W237)))</f>
        <v/>
      </c>
      <c r="H237">
        <f>IF($W237="","",IF(INDEX('Per Invoice'!H$2:H$801,$W237)="","",INDEX('Per Invoice'!H$2:H$801,$W237)))</f>
        <v/>
      </c>
      <c r="I237">
        <f>IF($W237="","",IF(INDEX('Per Invoice'!I$2:I$801,$W237)="","",INDEX('Per Invoice'!I$2:I$801,$W237)))</f>
        <v/>
      </c>
      <c r="J237">
        <f>IF($W237="","",IF(INDEX('Per Invoice'!J$2:J$801,$W237)="","",INDEX('Per Invoice'!J$2:J$801,$W237)))</f>
        <v/>
      </c>
      <c r="K237" s="7">
        <f>IF($W237="","",IF(INDEX('Per Invoice'!K$2:K$801,$W237)="","",INDEX('Per Invoice'!K$2:K$801,$W237)))</f>
        <v/>
      </c>
      <c r="L237" s="14">
        <f>IF($W237="","",IF(INDEX('Per Invoice'!L$2:L$801,$W237)="","",INDEX('Per Invoice'!L$2:L$801,$W237)))</f>
        <v/>
      </c>
      <c r="M237">
        <f>IF($W237="","",IF(INDEX('Per Invoice'!M$2:M$801,$W237)="","",INDEX('Per Invoice'!M$2:M$801,$W237)))</f>
        <v/>
      </c>
      <c r="N237" s="7">
        <f>IF($W237="","",IF(INDEX('Per Invoice'!N$2:N$801,$W237)="","",INDEX('Per Invoice'!N$2:N$801,$W237)))</f>
        <v/>
      </c>
      <c r="O237" s="7">
        <f>IF($W237="","",IF(INDEX('Per Invoice'!O$2:O$801,$W237)="","",INDEX('Per Invoice'!O$2:O$801,$W237)))</f>
        <v/>
      </c>
      <c r="P237">
        <f>IF($W237="","",IF(INDEX('Per Invoice'!P$2:P$801,$W237)="","",INDEX('Per Invoice'!P$2:P$801,$W237)))</f>
        <v/>
      </c>
      <c r="Q237" s="7">
        <f>IF($W237="","",IF(INDEX('Per Invoice'!Q$2:Q$801,$W237)="","",INDEX('Per Invoice'!Q$2:Q$801,$W237)))</f>
        <v/>
      </c>
      <c r="R237" s="7">
        <f>IF($W237="","",IF(INDEX('Per Invoice'!R$2:R$801,$W237)="","",INDEX('Per Invoice'!R$2:R$801,$W237)))</f>
        <v/>
      </c>
      <c r="S237" s="7">
        <f>IF($W237="","",IF(INDEX('Per Invoice'!S$2:S$801,$W237)="","",INDEX('Per Invoice'!S$2:S$801,$W237)))</f>
        <v/>
      </c>
      <c r="T237" s="7">
        <f>IF($W237="","",IF(INDEX('Per Invoice'!T$2:T$801,$W237)="","",INDEX('Per Invoice'!T$2:T$801,$W237)))</f>
        <v/>
      </c>
      <c r="U237" s="7">
        <f>IF($W237="","",IF(INDEX('Per Invoice'!U$2:U$801,$W237)="","",INDEX('Per Invoice'!U$2:U$801,$W237)))</f>
        <v/>
      </c>
      <c r="V237" s="7">
        <f>IF($W237="","",IF(INDEX('Per Invoice'!V$2:V$801,$W237)="","",INDEX('Per Invoice'!V$2:V$801,$W237)))</f>
        <v/>
      </c>
      <c r="W237" s="16">
        <f>IFERROR(MATCH(Settings!$C$30&amp;"|"&amp;ROWS($W$2:$W237),'Per Invoice'!$X$2:$X$801,0),"")</f>
        <v/>
      </c>
    </row>
    <row r="238">
      <c r="A238">
        <f>IF($W238="","",IF(INDEX('Per Invoice'!A$2:A$801,$W238)="","",INDEX('Per Invoice'!A$2:A$801,$W238)))</f>
        <v/>
      </c>
      <c r="B238">
        <f>IF($W238="","",IF(INDEX('Per Invoice'!B$2:B$801,$W238)="","",INDEX('Per Invoice'!B$2:B$801,$W238)))</f>
        <v/>
      </c>
      <c r="C238">
        <f>IF($W238="","",IF(INDEX('Per Invoice'!C$2:C$801,$W238)="","",INDEX('Per Invoice'!C$2:C$801,$W238)))</f>
        <v/>
      </c>
      <c r="D238">
        <f>IF($W238="","",IF(INDEX('Per Invoice'!D$2:D$801,$W238)="","",INDEX('Per Invoice'!D$2:D$801,$W238)))</f>
        <v/>
      </c>
      <c r="E238">
        <f>IF($W238="","",IF(INDEX('Per Invoice'!E$2:E$801,$W238)="","",INDEX('Per Invoice'!E$2:E$801,$W238)))</f>
        <v/>
      </c>
      <c r="F238">
        <f>IF($W238="","",IF(INDEX('Per Invoice'!F$2:F$801,$W238)="","",INDEX('Per Invoice'!F$2:F$801,$W238)))</f>
        <v/>
      </c>
      <c r="G238">
        <f>IF($W238="","",IF(INDEX('Per Invoice'!G$2:G$801,$W238)="","",INDEX('Per Invoice'!G$2:G$801,$W238)))</f>
        <v/>
      </c>
      <c r="H238">
        <f>IF($W238="","",IF(INDEX('Per Invoice'!H$2:H$801,$W238)="","",INDEX('Per Invoice'!H$2:H$801,$W238)))</f>
        <v/>
      </c>
      <c r="I238">
        <f>IF($W238="","",IF(INDEX('Per Invoice'!I$2:I$801,$W238)="","",INDEX('Per Invoice'!I$2:I$801,$W238)))</f>
        <v/>
      </c>
      <c r="J238">
        <f>IF($W238="","",IF(INDEX('Per Invoice'!J$2:J$801,$W238)="","",INDEX('Per Invoice'!J$2:J$801,$W238)))</f>
        <v/>
      </c>
      <c r="K238" s="7">
        <f>IF($W238="","",IF(INDEX('Per Invoice'!K$2:K$801,$W238)="","",INDEX('Per Invoice'!K$2:K$801,$W238)))</f>
        <v/>
      </c>
      <c r="L238" s="14">
        <f>IF($W238="","",IF(INDEX('Per Invoice'!L$2:L$801,$W238)="","",INDEX('Per Invoice'!L$2:L$801,$W238)))</f>
        <v/>
      </c>
      <c r="M238">
        <f>IF($W238="","",IF(INDEX('Per Invoice'!M$2:M$801,$W238)="","",INDEX('Per Invoice'!M$2:M$801,$W238)))</f>
        <v/>
      </c>
      <c r="N238" s="7">
        <f>IF($W238="","",IF(INDEX('Per Invoice'!N$2:N$801,$W238)="","",INDEX('Per Invoice'!N$2:N$801,$W238)))</f>
        <v/>
      </c>
      <c r="O238" s="7">
        <f>IF($W238="","",IF(INDEX('Per Invoice'!O$2:O$801,$W238)="","",INDEX('Per Invoice'!O$2:O$801,$W238)))</f>
        <v/>
      </c>
      <c r="P238">
        <f>IF($W238="","",IF(INDEX('Per Invoice'!P$2:P$801,$W238)="","",INDEX('Per Invoice'!P$2:P$801,$W238)))</f>
        <v/>
      </c>
      <c r="Q238" s="7">
        <f>IF($W238="","",IF(INDEX('Per Invoice'!Q$2:Q$801,$W238)="","",INDEX('Per Invoice'!Q$2:Q$801,$W238)))</f>
        <v/>
      </c>
      <c r="R238" s="7">
        <f>IF($W238="","",IF(INDEX('Per Invoice'!R$2:R$801,$W238)="","",INDEX('Per Invoice'!R$2:R$801,$W238)))</f>
        <v/>
      </c>
      <c r="S238" s="7">
        <f>IF($W238="","",IF(INDEX('Per Invoice'!S$2:S$801,$W238)="","",INDEX('Per Invoice'!S$2:S$801,$W238)))</f>
        <v/>
      </c>
      <c r="T238" s="7">
        <f>IF($W238="","",IF(INDEX('Per Invoice'!T$2:T$801,$W238)="","",INDEX('Per Invoice'!T$2:T$801,$W238)))</f>
        <v/>
      </c>
      <c r="U238" s="7">
        <f>IF($W238="","",IF(INDEX('Per Invoice'!U$2:U$801,$W238)="","",INDEX('Per Invoice'!U$2:U$801,$W238)))</f>
        <v/>
      </c>
      <c r="V238" s="7">
        <f>IF($W238="","",IF(INDEX('Per Invoice'!V$2:V$801,$W238)="","",INDEX('Per Invoice'!V$2:V$801,$W238)))</f>
        <v/>
      </c>
      <c r="W238" s="16">
        <f>IFERROR(MATCH(Settings!$C$30&amp;"|"&amp;ROWS($W$2:$W238),'Per Invoice'!$X$2:$X$801,0),"")</f>
        <v/>
      </c>
    </row>
    <row r="239">
      <c r="A239">
        <f>IF($W239="","",IF(INDEX('Per Invoice'!A$2:A$801,$W239)="","",INDEX('Per Invoice'!A$2:A$801,$W239)))</f>
        <v/>
      </c>
      <c r="B239">
        <f>IF($W239="","",IF(INDEX('Per Invoice'!B$2:B$801,$W239)="","",INDEX('Per Invoice'!B$2:B$801,$W239)))</f>
        <v/>
      </c>
      <c r="C239">
        <f>IF($W239="","",IF(INDEX('Per Invoice'!C$2:C$801,$W239)="","",INDEX('Per Invoice'!C$2:C$801,$W239)))</f>
        <v/>
      </c>
      <c r="D239">
        <f>IF($W239="","",IF(INDEX('Per Invoice'!D$2:D$801,$W239)="","",INDEX('Per Invoice'!D$2:D$801,$W239)))</f>
        <v/>
      </c>
      <c r="E239">
        <f>IF($W239="","",IF(INDEX('Per Invoice'!E$2:E$801,$W239)="","",INDEX('Per Invoice'!E$2:E$801,$W239)))</f>
        <v/>
      </c>
      <c r="F239">
        <f>IF($W239="","",IF(INDEX('Per Invoice'!F$2:F$801,$W239)="","",INDEX('Per Invoice'!F$2:F$801,$W239)))</f>
        <v/>
      </c>
      <c r="G239">
        <f>IF($W239="","",IF(INDEX('Per Invoice'!G$2:G$801,$W239)="","",INDEX('Per Invoice'!G$2:G$801,$W239)))</f>
        <v/>
      </c>
      <c r="H239">
        <f>IF($W239="","",IF(INDEX('Per Invoice'!H$2:H$801,$W239)="","",INDEX('Per Invoice'!H$2:H$801,$W239)))</f>
        <v/>
      </c>
      <c r="I239">
        <f>IF($W239="","",IF(INDEX('Per Invoice'!I$2:I$801,$W239)="","",INDEX('Per Invoice'!I$2:I$801,$W239)))</f>
        <v/>
      </c>
      <c r="J239">
        <f>IF($W239="","",IF(INDEX('Per Invoice'!J$2:J$801,$W239)="","",INDEX('Per Invoice'!J$2:J$801,$W239)))</f>
        <v/>
      </c>
      <c r="K239" s="7">
        <f>IF($W239="","",IF(INDEX('Per Invoice'!K$2:K$801,$W239)="","",INDEX('Per Invoice'!K$2:K$801,$W239)))</f>
        <v/>
      </c>
      <c r="L239" s="14">
        <f>IF($W239="","",IF(INDEX('Per Invoice'!L$2:L$801,$W239)="","",INDEX('Per Invoice'!L$2:L$801,$W239)))</f>
        <v/>
      </c>
      <c r="M239">
        <f>IF($W239="","",IF(INDEX('Per Invoice'!M$2:M$801,$W239)="","",INDEX('Per Invoice'!M$2:M$801,$W239)))</f>
        <v/>
      </c>
      <c r="N239" s="7">
        <f>IF($W239="","",IF(INDEX('Per Invoice'!N$2:N$801,$W239)="","",INDEX('Per Invoice'!N$2:N$801,$W239)))</f>
        <v/>
      </c>
      <c r="O239" s="7">
        <f>IF($W239="","",IF(INDEX('Per Invoice'!O$2:O$801,$W239)="","",INDEX('Per Invoice'!O$2:O$801,$W239)))</f>
        <v/>
      </c>
      <c r="P239">
        <f>IF($W239="","",IF(INDEX('Per Invoice'!P$2:P$801,$W239)="","",INDEX('Per Invoice'!P$2:P$801,$W239)))</f>
        <v/>
      </c>
      <c r="Q239" s="7">
        <f>IF($W239="","",IF(INDEX('Per Invoice'!Q$2:Q$801,$W239)="","",INDEX('Per Invoice'!Q$2:Q$801,$W239)))</f>
        <v/>
      </c>
      <c r="R239" s="7">
        <f>IF($W239="","",IF(INDEX('Per Invoice'!R$2:R$801,$W239)="","",INDEX('Per Invoice'!R$2:R$801,$W239)))</f>
        <v/>
      </c>
      <c r="S239" s="7">
        <f>IF($W239="","",IF(INDEX('Per Invoice'!S$2:S$801,$W239)="","",INDEX('Per Invoice'!S$2:S$801,$W239)))</f>
        <v/>
      </c>
      <c r="T239" s="7">
        <f>IF($W239="","",IF(INDEX('Per Invoice'!T$2:T$801,$W239)="","",INDEX('Per Invoice'!T$2:T$801,$W239)))</f>
        <v/>
      </c>
      <c r="U239" s="7">
        <f>IF($W239="","",IF(INDEX('Per Invoice'!U$2:U$801,$W239)="","",INDEX('Per Invoice'!U$2:U$801,$W239)))</f>
        <v/>
      </c>
      <c r="V239" s="7">
        <f>IF($W239="","",IF(INDEX('Per Invoice'!V$2:V$801,$W239)="","",INDEX('Per Invoice'!V$2:V$801,$W239)))</f>
        <v/>
      </c>
      <c r="W239" s="16">
        <f>IFERROR(MATCH(Settings!$C$30&amp;"|"&amp;ROWS($W$2:$W239),'Per Invoice'!$X$2:$X$801,0),"")</f>
        <v/>
      </c>
    </row>
    <row r="240">
      <c r="A240">
        <f>IF($W240="","",IF(INDEX('Per Invoice'!A$2:A$801,$W240)="","",INDEX('Per Invoice'!A$2:A$801,$W240)))</f>
        <v/>
      </c>
      <c r="B240">
        <f>IF($W240="","",IF(INDEX('Per Invoice'!B$2:B$801,$W240)="","",INDEX('Per Invoice'!B$2:B$801,$W240)))</f>
        <v/>
      </c>
      <c r="C240">
        <f>IF($W240="","",IF(INDEX('Per Invoice'!C$2:C$801,$W240)="","",INDEX('Per Invoice'!C$2:C$801,$W240)))</f>
        <v/>
      </c>
      <c r="D240">
        <f>IF($W240="","",IF(INDEX('Per Invoice'!D$2:D$801,$W240)="","",INDEX('Per Invoice'!D$2:D$801,$W240)))</f>
        <v/>
      </c>
      <c r="E240">
        <f>IF($W240="","",IF(INDEX('Per Invoice'!E$2:E$801,$W240)="","",INDEX('Per Invoice'!E$2:E$801,$W240)))</f>
        <v/>
      </c>
      <c r="F240">
        <f>IF($W240="","",IF(INDEX('Per Invoice'!F$2:F$801,$W240)="","",INDEX('Per Invoice'!F$2:F$801,$W240)))</f>
        <v/>
      </c>
      <c r="G240">
        <f>IF($W240="","",IF(INDEX('Per Invoice'!G$2:G$801,$W240)="","",INDEX('Per Invoice'!G$2:G$801,$W240)))</f>
        <v/>
      </c>
      <c r="H240">
        <f>IF($W240="","",IF(INDEX('Per Invoice'!H$2:H$801,$W240)="","",INDEX('Per Invoice'!H$2:H$801,$W240)))</f>
        <v/>
      </c>
      <c r="I240">
        <f>IF($W240="","",IF(INDEX('Per Invoice'!I$2:I$801,$W240)="","",INDEX('Per Invoice'!I$2:I$801,$W240)))</f>
        <v/>
      </c>
      <c r="J240">
        <f>IF($W240="","",IF(INDEX('Per Invoice'!J$2:J$801,$W240)="","",INDEX('Per Invoice'!J$2:J$801,$W240)))</f>
        <v/>
      </c>
      <c r="K240" s="7">
        <f>IF($W240="","",IF(INDEX('Per Invoice'!K$2:K$801,$W240)="","",INDEX('Per Invoice'!K$2:K$801,$W240)))</f>
        <v/>
      </c>
      <c r="L240" s="14">
        <f>IF($W240="","",IF(INDEX('Per Invoice'!L$2:L$801,$W240)="","",INDEX('Per Invoice'!L$2:L$801,$W240)))</f>
        <v/>
      </c>
      <c r="M240">
        <f>IF($W240="","",IF(INDEX('Per Invoice'!M$2:M$801,$W240)="","",INDEX('Per Invoice'!M$2:M$801,$W240)))</f>
        <v/>
      </c>
      <c r="N240" s="7">
        <f>IF($W240="","",IF(INDEX('Per Invoice'!N$2:N$801,$W240)="","",INDEX('Per Invoice'!N$2:N$801,$W240)))</f>
        <v/>
      </c>
      <c r="O240" s="7">
        <f>IF($W240="","",IF(INDEX('Per Invoice'!O$2:O$801,$W240)="","",INDEX('Per Invoice'!O$2:O$801,$W240)))</f>
        <v/>
      </c>
      <c r="P240">
        <f>IF($W240="","",IF(INDEX('Per Invoice'!P$2:P$801,$W240)="","",INDEX('Per Invoice'!P$2:P$801,$W240)))</f>
        <v/>
      </c>
      <c r="Q240" s="7">
        <f>IF($W240="","",IF(INDEX('Per Invoice'!Q$2:Q$801,$W240)="","",INDEX('Per Invoice'!Q$2:Q$801,$W240)))</f>
        <v/>
      </c>
      <c r="R240" s="7">
        <f>IF($W240="","",IF(INDEX('Per Invoice'!R$2:R$801,$W240)="","",INDEX('Per Invoice'!R$2:R$801,$W240)))</f>
        <v/>
      </c>
      <c r="S240" s="7">
        <f>IF($W240="","",IF(INDEX('Per Invoice'!S$2:S$801,$W240)="","",INDEX('Per Invoice'!S$2:S$801,$W240)))</f>
        <v/>
      </c>
      <c r="T240" s="7">
        <f>IF($W240="","",IF(INDEX('Per Invoice'!T$2:T$801,$W240)="","",INDEX('Per Invoice'!T$2:T$801,$W240)))</f>
        <v/>
      </c>
      <c r="U240" s="7">
        <f>IF($W240="","",IF(INDEX('Per Invoice'!U$2:U$801,$W240)="","",INDEX('Per Invoice'!U$2:U$801,$W240)))</f>
        <v/>
      </c>
      <c r="V240" s="7">
        <f>IF($W240="","",IF(INDEX('Per Invoice'!V$2:V$801,$W240)="","",INDEX('Per Invoice'!V$2:V$801,$W240)))</f>
        <v/>
      </c>
      <c r="W240" s="16">
        <f>IFERROR(MATCH(Settings!$C$30&amp;"|"&amp;ROWS($W$2:$W240),'Per Invoice'!$X$2:$X$801,0),"")</f>
        <v/>
      </c>
    </row>
    <row r="241">
      <c r="A241">
        <f>IF($W241="","",IF(INDEX('Per Invoice'!A$2:A$801,$W241)="","",INDEX('Per Invoice'!A$2:A$801,$W241)))</f>
        <v/>
      </c>
      <c r="B241">
        <f>IF($W241="","",IF(INDEX('Per Invoice'!B$2:B$801,$W241)="","",INDEX('Per Invoice'!B$2:B$801,$W241)))</f>
        <v/>
      </c>
      <c r="C241">
        <f>IF($W241="","",IF(INDEX('Per Invoice'!C$2:C$801,$W241)="","",INDEX('Per Invoice'!C$2:C$801,$W241)))</f>
        <v/>
      </c>
      <c r="D241">
        <f>IF($W241="","",IF(INDEX('Per Invoice'!D$2:D$801,$W241)="","",INDEX('Per Invoice'!D$2:D$801,$W241)))</f>
        <v/>
      </c>
      <c r="E241">
        <f>IF($W241="","",IF(INDEX('Per Invoice'!E$2:E$801,$W241)="","",INDEX('Per Invoice'!E$2:E$801,$W241)))</f>
        <v/>
      </c>
      <c r="F241">
        <f>IF($W241="","",IF(INDEX('Per Invoice'!F$2:F$801,$W241)="","",INDEX('Per Invoice'!F$2:F$801,$W241)))</f>
        <v/>
      </c>
      <c r="G241">
        <f>IF($W241="","",IF(INDEX('Per Invoice'!G$2:G$801,$W241)="","",INDEX('Per Invoice'!G$2:G$801,$W241)))</f>
        <v/>
      </c>
      <c r="H241">
        <f>IF($W241="","",IF(INDEX('Per Invoice'!H$2:H$801,$W241)="","",INDEX('Per Invoice'!H$2:H$801,$W241)))</f>
        <v/>
      </c>
      <c r="I241">
        <f>IF($W241="","",IF(INDEX('Per Invoice'!I$2:I$801,$W241)="","",INDEX('Per Invoice'!I$2:I$801,$W241)))</f>
        <v/>
      </c>
      <c r="J241">
        <f>IF($W241="","",IF(INDEX('Per Invoice'!J$2:J$801,$W241)="","",INDEX('Per Invoice'!J$2:J$801,$W241)))</f>
        <v/>
      </c>
      <c r="K241" s="7">
        <f>IF($W241="","",IF(INDEX('Per Invoice'!K$2:K$801,$W241)="","",INDEX('Per Invoice'!K$2:K$801,$W241)))</f>
        <v/>
      </c>
      <c r="L241" s="14">
        <f>IF($W241="","",IF(INDEX('Per Invoice'!L$2:L$801,$W241)="","",INDEX('Per Invoice'!L$2:L$801,$W241)))</f>
        <v/>
      </c>
      <c r="M241">
        <f>IF($W241="","",IF(INDEX('Per Invoice'!M$2:M$801,$W241)="","",INDEX('Per Invoice'!M$2:M$801,$W241)))</f>
        <v/>
      </c>
      <c r="N241" s="7">
        <f>IF($W241="","",IF(INDEX('Per Invoice'!N$2:N$801,$W241)="","",INDEX('Per Invoice'!N$2:N$801,$W241)))</f>
        <v/>
      </c>
      <c r="O241" s="7">
        <f>IF($W241="","",IF(INDEX('Per Invoice'!O$2:O$801,$W241)="","",INDEX('Per Invoice'!O$2:O$801,$W241)))</f>
        <v/>
      </c>
      <c r="P241">
        <f>IF($W241="","",IF(INDEX('Per Invoice'!P$2:P$801,$W241)="","",INDEX('Per Invoice'!P$2:P$801,$W241)))</f>
        <v/>
      </c>
      <c r="Q241" s="7">
        <f>IF($W241="","",IF(INDEX('Per Invoice'!Q$2:Q$801,$W241)="","",INDEX('Per Invoice'!Q$2:Q$801,$W241)))</f>
        <v/>
      </c>
      <c r="R241" s="7">
        <f>IF($W241="","",IF(INDEX('Per Invoice'!R$2:R$801,$W241)="","",INDEX('Per Invoice'!R$2:R$801,$W241)))</f>
        <v/>
      </c>
      <c r="S241" s="7">
        <f>IF($W241="","",IF(INDEX('Per Invoice'!S$2:S$801,$W241)="","",INDEX('Per Invoice'!S$2:S$801,$W241)))</f>
        <v/>
      </c>
      <c r="T241" s="7">
        <f>IF($W241="","",IF(INDEX('Per Invoice'!T$2:T$801,$W241)="","",INDEX('Per Invoice'!T$2:T$801,$W241)))</f>
        <v/>
      </c>
      <c r="U241" s="7">
        <f>IF($W241="","",IF(INDEX('Per Invoice'!U$2:U$801,$W241)="","",INDEX('Per Invoice'!U$2:U$801,$W241)))</f>
        <v/>
      </c>
      <c r="V241" s="7">
        <f>IF($W241="","",IF(INDEX('Per Invoice'!V$2:V$801,$W241)="","",INDEX('Per Invoice'!V$2:V$801,$W241)))</f>
        <v/>
      </c>
      <c r="W241" s="16">
        <f>IFERROR(MATCH(Settings!$C$30&amp;"|"&amp;ROWS($W$2:$W241),'Per Invoice'!$X$2:$X$801,0),"")</f>
        <v/>
      </c>
    </row>
    <row r="242">
      <c r="A242">
        <f>IF($W242="","",IF(INDEX('Per Invoice'!A$2:A$801,$W242)="","",INDEX('Per Invoice'!A$2:A$801,$W242)))</f>
        <v/>
      </c>
      <c r="B242">
        <f>IF($W242="","",IF(INDEX('Per Invoice'!B$2:B$801,$W242)="","",INDEX('Per Invoice'!B$2:B$801,$W242)))</f>
        <v/>
      </c>
      <c r="C242">
        <f>IF($W242="","",IF(INDEX('Per Invoice'!C$2:C$801,$W242)="","",INDEX('Per Invoice'!C$2:C$801,$W242)))</f>
        <v/>
      </c>
      <c r="D242">
        <f>IF($W242="","",IF(INDEX('Per Invoice'!D$2:D$801,$W242)="","",INDEX('Per Invoice'!D$2:D$801,$W242)))</f>
        <v/>
      </c>
      <c r="E242">
        <f>IF($W242="","",IF(INDEX('Per Invoice'!E$2:E$801,$W242)="","",INDEX('Per Invoice'!E$2:E$801,$W242)))</f>
        <v/>
      </c>
      <c r="F242">
        <f>IF($W242="","",IF(INDEX('Per Invoice'!F$2:F$801,$W242)="","",INDEX('Per Invoice'!F$2:F$801,$W242)))</f>
        <v/>
      </c>
      <c r="G242">
        <f>IF($W242="","",IF(INDEX('Per Invoice'!G$2:G$801,$W242)="","",INDEX('Per Invoice'!G$2:G$801,$W242)))</f>
        <v/>
      </c>
      <c r="H242">
        <f>IF($W242="","",IF(INDEX('Per Invoice'!H$2:H$801,$W242)="","",INDEX('Per Invoice'!H$2:H$801,$W242)))</f>
        <v/>
      </c>
      <c r="I242">
        <f>IF($W242="","",IF(INDEX('Per Invoice'!I$2:I$801,$W242)="","",INDEX('Per Invoice'!I$2:I$801,$W242)))</f>
        <v/>
      </c>
      <c r="J242">
        <f>IF($W242="","",IF(INDEX('Per Invoice'!J$2:J$801,$W242)="","",INDEX('Per Invoice'!J$2:J$801,$W242)))</f>
        <v/>
      </c>
      <c r="K242" s="7">
        <f>IF($W242="","",IF(INDEX('Per Invoice'!K$2:K$801,$W242)="","",INDEX('Per Invoice'!K$2:K$801,$W242)))</f>
        <v/>
      </c>
      <c r="L242" s="14">
        <f>IF($W242="","",IF(INDEX('Per Invoice'!L$2:L$801,$W242)="","",INDEX('Per Invoice'!L$2:L$801,$W242)))</f>
        <v/>
      </c>
      <c r="M242">
        <f>IF($W242="","",IF(INDEX('Per Invoice'!M$2:M$801,$W242)="","",INDEX('Per Invoice'!M$2:M$801,$W242)))</f>
        <v/>
      </c>
      <c r="N242" s="7">
        <f>IF($W242="","",IF(INDEX('Per Invoice'!N$2:N$801,$W242)="","",INDEX('Per Invoice'!N$2:N$801,$W242)))</f>
        <v/>
      </c>
      <c r="O242" s="7">
        <f>IF($W242="","",IF(INDEX('Per Invoice'!O$2:O$801,$W242)="","",INDEX('Per Invoice'!O$2:O$801,$W242)))</f>
        <v/>
      </c>
      <c r="P242">
        <f>IF($W242="","",IF(INDEX('Per Invoice'!P$2:P$801,$W242)="","",INDEX('Per Invoice'!P$2:P$801,$W242)))</f>
        <v/>
      </c>
      <c r="Q242" s="7">
        <f>IF($W242="","",IF(INDEX('Per Invoice'!Q$2:Q$801,$W242)="","",INDEX('Per Invoice'!Q$2:Q$801,$W242)))</f>
        <v/>
      </c>
      <c r="R242" s="7">
        <f>IF($W242="","",IF(INDEX('Per Invoice'!R$2:R$801,$W242)="","",INDEX('Per Invoice'!R$2:R$801,$W242)))</f>
        <v/>
      </c>
      <c r="S242" s="7">
        <f>IF($W242="","",IF(INDEX('Per Invoice'!S$2:S$801,$W242)="","",INDEX('Per Invoice'!S$2:S$801,$W242)))</f>
        <v/>
      </c>
      <c r="T242" s="7">
        <f>IF($W242="","",IF(INDEX('Per Invoice'!T$2:T$801,$W242)="","",INDEX('Per Invoice'!T$2:T$801,$W242)))</f>
        <v/>
      </c>
      <c r="U242" s="7">
        <f>IF($W242="","",IF(INDEX('Per Invoice'!U$2:U$801,$W242)="","",INDEX('Per Invoice'!U$2:U$801,$W242)))</f>
        <v/>
      </c>
      <c r="V242" s="7">
        <f>IF($W242="","",IF(INDEX('Per Invoice'!V$2:V$801,$W242)="","",INDEX('Per Invoice'!V$2:V$801,$W242)))</f>
        <v/>
      </c>
      <c r="W242" s="16">
        <f>IFERROR(MATCH(Settings!$C$30&amp;"|"&amp;ROWS($W$2:$W242),'Per Invoice'!$X$2:$X$801,0),"")</f>
        <v/>
      </c>
    </row>
    <row r="243">
      <c r="A243">
        <f>IF($W243="","",IF(INDEX('Per Invoice'!A$2:A$801,$W243)="","",INDEX('Per Invoice'!A$2:A$801,$W243)))</f>
        <v/>
      </c>
      <c r="B243">
        <f>IF($W243="","",IF(INDEX('Per Invoice'!B$2:B$801,$W243)="","",INDEX('Per Invoice'!B$2:B$801,$W243)))</f>
        <v/>
      </c>
      <c r="C243">
        <f>IF($W243="","",IF(INDEX('Per Invoice'!C$2:C$801,$W243)="","",INDEX('Per Invoice'!C$2:C$801,$W243)))</f>
        <v/>
      </c>
      <c r="D243">
        <f>IF($W243="","",IF(INDEX('Per Invoice'!D$2:D$801,$W243)="","",INDEX('Per Invoice'!D$2:D$801,$W243)))</f>
        <v/>
      </c>
      <c r="E243">
        <f>IF($W243="","",IF(INDEX('Per Invoice'!E$2:E$801,$W243)="","",INDEX('Per Invoice'!E$2:E$801,$W243)))</f>
        <v/>
      </c>
      <c r="F243">
        <f>IF($W243="","",IF(INDEX('Per Invoice'!F$2:F$801,$W243)="","",INDEX('Per Invoice'!F$2:F$801,$W243)))</f>
        <v/>
      </c>
      <c r="G243">
        <f>IF($W243="","",IF(INDEX('Per Invoice'!G$2:G$801,$W243)="","",INDEX('Per Invoice'!G$2:G$801,$W243)))</f>
        <v/>
      </c>
      <c r="H243">
        <f>IF($W243="","",IF(INDEX('Per Invoice'!H$2:H$801,$W243)="","",INDEX('Per Invoice'!H$2:H$801,$W243)))</f>
        <v/>
      </c>
      <c r="I243">
        <f>IF($W243="","",IF(INDEX('Per Invoice'!I$2:I$801,$W243)="","",INDEX('Per Invoice'!I$2:I$801,$W243)))</f>
        <v/>
      </c>
      <c r="J243">
        <f>IF($W243="","",IF(INDEX('Per Invoice'!J$2:J$801,$W243)="","",INDEX('Per Invoice'!J$2:J$801,$W243)))</f>
        <v/>
      </c>
      <c r="K243" s="7">
        <f>IF($W243="","",IF(INDEX('Per Invoice'!K$2:K$801,$W243)="","",INDEX('Per Invoice'!K$2:K$801,$W243)))</f>
        <v/>
      </c>
      <c r="L243" s="14">
        <f>IF($W243="","",IF(INDEX('Per Invoice'!L$2:L$801,$W243)="","",INDEX('Per Invoice'!L$2:L$801,$W243)))</f>
        <v/>
      </c>
      <c r="M243">
        <f>IF($W243="","",IF(INDEX('Per Invoice'!M$2:M$801,$W243)="","",INDEX('Per Invoice'!M$2:M$801,$W243)))</f>
        <v/>
      </c>
      <c r="N243" s="7">
        <f>IF($W243="","",IF(INDEX('Per Invoice'!N$2:N$801,$W243)="","",INDEX('Per Invoice'!N$2:N$801,$W243)))</f>
        <v/>
      </c>
      <c r="O243" s="7">
        <f>IF($W243="","",IF(INDEX('Per Invoice'!O$2:O$801,$W243)="","",INDEX('Per Invoice'!O$2:O$801,$W243)))</f>
        <v/>
      </c>
      <c r="P243">
        <f>IF($W243="","",IF(INDEX('Per Invoice'!P$2:P$801,$W243)="","",INDEX('Per Invoice'!P$2:P$801,$W243)))</f>
        <v/>
      </c>
      <c r="Q243" s="7">
        <f>IF($W243="","",IF(INDEX('Per Invoice'!Q$2:Q$801,$W243)="","",INDEX('Per Invoice'!Q$2:Q$801,$W243)))</f>
        <v/>
      </c>
      <c r="R243" s="7">
        <f>IF($W243="","",IF(INDEX('Per Invoice'!R$2:R$801,$W243)="","",INDEX('Per Invoice'!R$2:R$801,$W243)))</f>
        <v/>
      </c>
      <c r="S243" s="7">
        <f>IF($W243="","",IF(INDEX('Per Invoice'!S$2:S$801,$W243)="","",INDEX('Per Invoice'!S$2:S$801,$W243)))</f>
        <v/>
      </c>
      <c r="T243" s="7">
        <f>IF($W243="","",IF(INDEX('Per Invoice'!T$2:T$801,$W243)="","",INDEX('Per Invoice'!T$2:T$801,$W243)))</f>
        <v/>
      </c>
      <c r="U243" s="7">
        <f>IF($W243="","",IF(INDEX('Per Invoice'!U$2:U$801,$W243)="","",INDEX('Per Invoice'!U$2:U$801,$W243)))</f>
        <v/>
      </c>
      <c r="V243" s="7">
        <f>IF($W243="","",IF(INDEX('Per Invoice'!V$2:V$801,$W243)="","",INDEX('Per Invoice'!V$2:V$801,$W243)))</f>
        <v/>
      </c>
      <c r="W243" s="16">
        <f>IFERROR(MATCH(Settings!$C$30&amp;"|"&amp;ROWS($W$2:$W243),'Per Invoice'!$X$2:$X$801,0),"")</f>
        <v/>
      </c>
    </row>
    <row r="244">
      <c r="A244">
        <f>IF($W244="","",IF(INDEX('Per Invoice'!A$2:A$801,$W244)="","",INDEX('Per Invoice'!A$2:A$801,$W244)))</f>
        <v/>
      </c>
      <c r="B244">
        <f>IF($W244="","",IF(INDEX('Per Invoice'!B$2:B$801,$W244)="","",INDEX('Per Invoice'!B$2:B$801,$W244)))</f>
        <v/>
      </c>
      <c r="C244">
        <f>IF($W244="","",IF(INDEX('Per Invoice'!C$2:C$801,$W244)="","",INDEX('Per Invoice'!C$2:C$801,$W244)))</f>
        <v/>
      </c>
      <c r="D244">
        <f>IF($W244="","",IF(INDEX('Per Invoice'!D$2:D$801,$W244)="","",INDEX('Per Invoice'!D$2:D$801,$W244)))</f>
        <v/>
      </c>
      <c r="E244">
        <f>IF($W244="","",IF(INDEX('Per Invoice'!E$2:E$801,$W244)="","",INDEX('Per Invoice'!E$2:E$801,$W244)))</f>
        <v/>
      </c>
      <c r="F244">
        <f>IF($W244="","",IF(INDEX('Per Invoice'!F$2:F$801,$W244)="","",INDEX('Per Invoice'!F$2:F$801,$W244)))</f>
        <v/>
      </c>
      <c r="G244">
        <f>IF($W244="","",IF(INDEX('Per Invoice'!G$2:G$801,$W244)="","",INDEX('Per Invoice'!G$2:G$801,$W244)))</f>
        <v/>
      </c>
      <c r="H244">
        <f>IF($W244="","",IF(INDEX('Per Invoice'!H$2:H$801,$W244)="","",INDEX('Per Invoice'!H$2:H$801,$W244)))</f>
        <v/>
      </c>
      <c r="I244">
        <f>IF($W244="","",IF(INDEX('Per Invoice'!I$2:I$801,$W244)="","",INDEX('Per Invoice'!I$2:I$801,$W244)))</f>
        <v/>
      </c>
      <c r="J244">
        <f>IF($W244="","",IF(INDEX('Per Invoice'!J$2:J$801,$W244)="","",INDEX('Per Invoice'!J$2:J$801,$W244)))</f>
        <v/>
      </c>
      <c r="K244" s="7">
        <f>IF($W244="","",IF(INDEX('Per Invoice'!K$2:K$801,$W244)="","",INDEX('Per Invoice'!K$2:K$801,$W244)))</f>
        <v/>
      </c>
      <c r="L244" s="14">
        <f>IF($W244="","",IF(INDEX('Per Invoice'!L$2:L$801,$W244)="","",INDEX('Per Invoice'!L$2:L$801,$W244)))</f>
        <v/>
      </c>
      <c r="M244">
        <f>IF($W244="","",IF(INDEX('Per Invoice'!M$2:M$801,$W244)="","",INDEX('Per Invoice'!M$2:M$801,$W244)))</f>
        <v/>
      </c>
      <c r="N244" s="7">
        <f>IF($W244="","",IF(INDEX('Per Invoice'!N$2:N$801,$W244)="","",INDEX('Per Invoice'!N$2:N$801,$W244)))</f>
        <v/>
      </c>
      <c r="O244" s="7">
        <f>IF($W244="","",IF(INDEX('Per Invoice'!O$2:O$801,$W244)="","",INDEX('Per Invoice'!O$2:O$801,$W244)))</f>
        <v/>
      </c>
      <c r="P244">
        <f>IF($W244="","",IF(INDEX('Per Invoice'!P$2:P$801,$W244)="","",INDEX('Per Invoice'!P$2:P$801,$W244)))</f>
        <v/>
      </c>
      <c r="Q244" s="7">
        <f>IF($W244="","",IF(INDEX('Per Invoice'!Q$2:Q$801,$W244)="","",INDEX('Per Invoice'!Q$2:Q$801,$W244)))</f>
        <v/>
      </c>
      <c r="R244" s="7">
        <f>IF($W244="","",IF(INDEX('Per Invoice'!R$2:R$801,$W244)="","",INDEX('Per Invoice'!R$2:R$801,$W244)))</f>
        <v/>
      </c>
      <c r="S244" s="7">
        <f>IF($W244="","",IF(INDEX('Per Invoice'!S$2:S$801,$W244)="","",INDEX('Per Invoice'!S$2:S$801,$W244)))</f>
        <v/>
      </c>
      <c r="T244" s="7">
        <f>IF($W244="","",IF(INDEX('Per Invoice'!T$2:T$801,$W244)="","",INDEX('Per Invoice'!T$2:T$801,$W244)))</f>
        <v/>
      </c>
      <c r="U244" s="7">
        <f>IF($W244="","",IF(INDEX('Per Invoice'!U$2:U$801,$W244)="","",INDEX('Per Invoice'!U$2:U$801,$W244)))</f>
        <v/>
      </c>
      <c r="V244" s="7">
        <f>IF($W244="","",IF(INDEX('Per Invoice'!V$2:V$801,$W244)="","",INDEX('Per Invoice'!V$2:V$801,$W244)))</f>
        <v/>
      </c>
      <c r="W244" s="16">
        <f>IFERROR(MATCH(Settings!$C$30&amp;"|"&amp;ROWS($W$2:$W244),'Per Invoice'!$X$2:$X$801,0),"")</f>
        <v/>
      </c>
    </row>
    <row r="245">
      <c r="A245">
        <f>IF($W245="","",IF(INDEX('Per Invoice'!A$2:A$801,$W245)="","",INDEX('Per Invoice'!A$2:A$801,$W245)))</f>
        <v/>
      </c>
      <c r="B245">
        <f>IF($W245="","",IF(INDEX('Per Invoice'!B$2:B$801,$W245)="","",INDEX('Per Invoice'!B$2:B$801,$W245)))</f>
        <v/>
      </c>
      <c r="C245">
        <f>IF($W245="","",IF(INDEX('Per Invoice'!C$2:C$801,$W245)="","",INDEX('Per Invoice'!C$2:C$801,$W245)))</f>
        <v/>
      </c>
      <c r="D245">
        <f>IF($W245="","",IF(INDEX('Per Invoice'!D$2:D$801,$W245)="","",INDEX('Per Invoice'!D$2:D$801,$W245)))</f>
        <v/>
      </c>
      <c r="E245">
        <f>IF($W245="","",IF(INDEX('Per Invoice'!E$2:E$801,$W245)="","",INDEX('Per Invoice'!E$2:E$801,$W245)))</f>
        <v/>
      </c>
      <c r="F245">
        <f>IF($W245="","",IF(INDEX('Per Invoice'!F$2:F$801,$W245)="","",INDEX('Per Invoice'!F$2:F$801,$W245)))</f>
        <v/>
      </c>
      <c r="G245">
        <f>IF($W245="","",IF(INDEX('Per Invoice'!G$2:G$801,$W245)="","",INDEX('Per Invoice'!G$2:G$801,$W245)))</f>
        <v/>
      </c>
      <c r="H245">
        <f>IF($W245="","",IF(INDEX('Per Invoice'!H$2:H$801,$W245)="","",INDEX('Per Invoice'!H$2:H$801,$W245)))</f>
        <v/>
      </c>
      <c r="I245">
        <f>IF($W245="","",IF(INDEX('Per Invoice'!I$2:I$801,$W245)="","",INDEX('Per Invoice'!I$2:I$801,$W245)))</f>
        <v/>
      </c>
      <c r="J245">
        <f>IF($W245="","",IF(INDEX('Per Invoice'!J$2:J$801,$W245)="","",INDEX('Per Invoice'!J$2:J$801,$W245)))</f>
        <v/>
      </c>
      <c r="K245" s="7">
        <f>IF($W245="","",IF(INDEX('Per Invoice'!K$2:K$801,$W245)="","",INDEX('Per Invoice'!K$2:K$801,$W245)))</f>
        <v/>
      </c>
      <c r="L245" s="14">
        <f>IF($W245="","",IF(INDEX('Per Invoice'!L$2:L$801,$W245)="","",INDEX('Per Invoice'!L$2:L$801,$W245)))</f>
        <v/>
      </c>
      <c r="M245">
        <f>IF($W245="","",IF(INDEX('Per Invoice'!M$2:M$801,$W245)="","",INDEX('Per Invoice'!M$2:M$801,$W245)))</f>
        <v/>
      </c>
      <c r="N245" s="7">
        <f>IF($W245="","",IF(INDEX('Per Invoice'!N$2:N$801,$W245)="","",INDEX('Per Invoice'!N$2:N$801,$W245)))</f>
        <v/>
      </c>
      <c r="O245" s="7">
        <f>IF($W245="","",IF(INDEX('Per Invoice'!O$2:O$801,$W245)="","",INDEX('Per Invoice'!O$2:O$801,$W245)))</f>
        <v/>
      </c>
      <c r="P245">
        <f>IF($W245="","",IF(INDEX('Per Invoice'!P$2:P$801,$W245)="","",INDEX('Per Invoice'!P$2:P$801,$W245)))</f>
        <v/>
      </c>
      <c r="Q245" s="7">
        <f>IF($W245="","",IF(INDEX('Per Invoice'!Q$2:Q$801,$W245)="","",INDEX('Per Invoice'!Q$2:Q$801,$W245)))</f>
        <v/>
      </c>
      <c r="R245" s="7">
        <f>IF($W245="","",IF(INDEX('Per Invoice'!R$2:R$801,$W245)="","",INDEX('Per Invoice'!R$2:R$801,$W245)))</f>
        <v/>
      </c>
      <c r="S245" s="7">
        <f>IF($W245="","",IF(INDEX('Per Invoice'!S$2:S$801,$W245)="","",INDEX('Per Invoice'!S$2:S$801,$W245)))</f>
        <v/>
      </c>
      <c r="T245" s="7">
        <f>IF($W245="","",IF(INDEX('Per Invoice'!T$2:T$801,$W245)="","",INDEX('Per Invoice'!T$2:T$801,$W245)))</f>
        <v/>
      </c>
      <c r="U245" s="7">
        <f>IF($W245="","",IF(INDEX('Per Invoice'!U$2:U$801,$W245)="","",INDEX('Per Invoice'!U$2:U$801,$W245)))</f>
        <v/>
      </c>
      <c r="V245" s="7">
        <f>IF($W245="","",IF(INDEX('Per Invoice'!V$2:V$801,$W245)="","",INDEX('Per Invoice'!V$2:V$801,$W245)))</f>
        <v/>
      </c>
      <c r="W245" s="16">
        <f>IFERROR(MATCH(Settings!$C$30&amp;"|"&amp;ROWS($W$2:$W245),'Per Invoice'!$X$2:$X$801,0),"")</f>
        <v/>
      </c>
    </row>
    <row r="246">
      <c r="A246">
        <f>IF($W246="","",IF(INDEX('Per Invoice'!A$2:A$801,$W246)="","",INDEX('Per Invoice'!A$2:A$801,$W246)))</f>
        <v/>
      </c>
      <c r="B246">
        <f>IF($W246="","",IF(INDEX('Per Invoice'!B$2:B$801,$W246)="","",INDEX('Per Invoice'!B$2:B$801,$W246)))</f>
        <v/>
      </c>
      <c r="C246">
        <f>IF($W246="","",IF(INDEX('Per Invoice'!C$2:C$801,$W246)="","",INDEX('Per Invoice'!C$2:C$801,$W246)))</f>
        <v/>
      </c>
      <c r="D246">
        <f>IF($W246="","",IF(INDEX('Per Invoice'!D$2:D$801,$W246)="","",INDEX('Per Invoice'!D$2:D$801,$W246)))</f>
        <v/>
      </c>
      <c r="E246">
        <f>IF($W246="","",IF(INDEX('Per Invoice'!E$2:E$801,$W246)="","",INDEX('Per Invoice'!E$2:E$801,$W246)))</f>
        <v/>
      </c>
      <c r="F246">
        <f>IF($W246="","",IF(INDEX('Per Invoice'!F$2:F$801,$W246)="","",INDEX('Per Invoice'!F$2:F$801,$W246)))</f>
        <v/>
      </c>
      <c r="G246">
        <f>IF($W246="","",IF(INDEX('Per Invoice'!G$2:G$801,$W246)="","",INDEX('Per Invoice'!G$2:G$801,$W246)))</f>
        <v/>
      </c>
      <c r="H246">
        <f>IF($W246="","",IF(INDEX('Per Invoice'!H$2:H$801,$W246)="","",INDEX('Per Invoice'!H$2:H$801,$W246)))</f>
        <v/>
      </c>
      <c r="I246">
        <f>IF($W246="","",IF(INDEX('Per Invoice'!I$2:I$801,$W246)="","",INDEX('Per Invoice'!I$2:I$801,$W246)))</f>
        <v/>
      </c>
      <c r="J246">
        <f>IF($W246="","",IF(INDEX('Per Invoice'!J$2:J$801,$W246)="","",INDEX('Per Invoice'!J$2:J$801,$W246)))</f>
        <v/>
      </c>
      <c r="K246" s="7">
        <f>IF($W246="","",IF(INDEX('Per Invoice'!K$2:K$801,$W246)="","",INDEX('Per Invoice'!K$2:K$801,$W246)))</f>
        <v/>
      </c>
      <c r="L246" s="14">
        <f>IF($W246="","",IF(INDEX('Per Invoice'!L$2:L$801,$W246)="","",INDEX('Per Invoice'!L$2:L$801,$W246)))</f>
        <v/>
      </c>
      <c r="M246">
        <f>IF($W246="","",IF(INDEX('Per Invoice'!M$2:M$801,$W246)="","",INDEX('Per Invoice'!M$2:M$801,$W246)))</f>
        <v/>
      </c>
      <c r="N246" s="7">
        <f>IF($W246="","",IF(INDEX('Per Invoice'!N$2:N$801,$W246)="","",INDEX('Per Invoice'!N$2:N$801,$W246)))</f>
        <v/>
      </c>
      <c r="O246" s="7">
        <f>IF($W246="","",IF(INDEX('Per Invoice'!O$2:O$801,$W246)="","",INDEX('Per Invoice'!O$2:O$801,$W246)))</f>
        <v/>
      </c>
      <c r="P246">
        <f>IF($W246="","",IF(INDEX('Per Invoice'!P$2:P$801,$W246)="","",INDEX('Per Invoice'!P$2:P$801,$W246)))</f>
        <v/>
      </c>
      <c r="Q246" s="7">
        <f>IF($W246="","",IF(INDEX('Per Invoice'!Q$2:Q$801,$W246)="","",INDEX('Per Invoice'!Q$2:Q$801,$W246)))</f>
        <v/>
      </c>
      <c r="R246" s="7">
        <f>IF($W246="","",IF(INDEX('Per Invoice'!R$2:R$801,$W246)="","",INDEX('Per Invoice'!R$2:R$801,$W246)))</f>
        <v/>
      </c>
      <c r="S246" s="7">
        <f>IF($W246="","",IF(INDEX('Per Invoice'!S$2:S$801,$W246)="","",INDEX('Per Invoice'!S$2:S$801,$W246)))</f>
        <v/>
      </c>
      <c r="T246" s="7">
        <f>IF($W246="","",IF(INDEX('Per Invoice'!T$2:T$801,$W246)="","",INDEX('Per Invoice'!T$2:T$801,$W246)))</f>
        <v/>
      </c>
      <c r="U246" s="7">
        <f>IF($W246="","",IF(INDEX('Per Invoice'!U$2:U$801,$W246)="","",INDEX('Per Invoice'!U$2:U$801,$W246)))</f>
        <v/>
      </c>
      <c r="V246" s="7">
        <f>IF($W246="","",IF(INDEX('Per Invoice'!V$2:V$801,$W246)="","",INDEX('Per Invoice'!V$2:V$801,$W246)))</f>
        <v/>
      </c>
      <c r="W246" s="16">
        <f>IFERROR(MATCH(Settings!$C$30&amp;"|"&amp;ROWS($W$2:$W246),'Per Invoice'!$X$2:$X$801,0),"")</f>
        <v/>
      </c>
    </row>
    <row r="247">
      <c r="A247">
        <f>IF($W247="","",IF(INDEX('Per Invoice'!A$2:A$801,$W247)="","",INDEX('Per Invoice'!A$2:A$801,$W247)))</f>
        <v/>
      </c>
      <c r="B247">
        <f>IF($W247="","",IF(INDEX('Per Invoice'!B$2:B$801,$W247)="","",INDEX('Per Invoice'!B$2:B$801,$W247)))</f>
        <v/>
      </c>
      <c r="C247">
        <f>IF($W247="","",IF(INDEX('Per Invoice'!C$2:C$801,$W247)="","",INDEX('Per Invoice'!C$2:C$801,$W247)))</f>
        <v/>
      </c>
      <c r="D247">
        <f>IF($W247="","",IF(INDEX('Per Invoice'!D$2:D$801,$W247)="","",INDEX('Per Invoice'!D$2:D$801,$W247)))</f>
        <v/>
      </c>
      <c r="E247">
        <f>IF($W247="","",IF(INDEX('Per Invoice'!E$2:E$801,$W247)="","",INDEX('Per Invoice'!E$2:E$801,$W247)))</f>
        <v/>
      </c>
      <c r="F247">
        <f>IF($W247="","",IF(INDEX('Per Invoice'!F$2:F$801,$W247)="","",INDEX('Per Invoice'!F$2:F$801,$W247)))</f>
        <v/>
      </c>
      <c r="G247">
        <f>IF($W247="","",IF(INDEX('Per Invoice'!G$2:G$801,$W247)="","",INDEX('Per Invoice'!G$2:G$801,$W247)))</f>
        <v/>
      </c>
      <c r="H247">
        <f>IF($W247="","",IF(INDEX('Per Invoice'!H$2:H$801,$W247)="","",INDEX('Per Invoice'!H$2:H$801,$W247)))</f>
        <v/>
      </c>
      <c r="I247">
        <f>IF($W247="","",IF(INDEX('Per Invoice'!I$2:I$801,$W247)="","",INDEX('Per Invoice'!I$2:I$801,$W247)))</f>
        <v/>
      </c>
      <c r="J247">
        <f>IF($W247="","",IF(INDEX('Per Invoice'!J$2:J$801,$W247)="","",INDEX('Per Invoice'!J$2:J$801,$W247)))</f>
        <v/>
      </c>
      <c r="K247" s="7">
        <f>IF($W247="","",IF(INDEX('Per Invoice'!K$2:K$801,$W247)="","",INDEX('Per Invoice'!K$2:K$801,$W247)))</f>
        <v/>
      </c>
      <c r="L247" s="14">
        <f>IF($W247="","",IF(INDEX('Per Invoice'!L$2:L$801,$W247)="","",INDEX('Per Invoice'!L$2:L$801,$W247)))</f>
        <v/>
      </c>
      <c r="M247">
        <f>IF($W247="","",IF(INDEX('Per Invoice'!M$2:M$801,$W247)="","",INDEX('Per Invoice'!M$2:M$801,$W247)))</f>
        <v/>
      </c>
      <c r="N247" s="7">
        <f>IF($W247="","",IF(INDEX('Per Invoice'!N$2:N$801,$W247)="","",INDEX('Per Invoice'!N$2:N$801,$W247)))</f>
        <v/>
      </c>
      <c r="O247" s="7">
        <f>IF($W247="","",IF(INDEX('Per Invoice'!O$2:O$801,$W247)="","",INDEX('Per Invoice'!O$2:O$801,$W247)))</f>
        <v/>
      </c>
      <c r="P247">
        <f>IF($W247="","",IF(INDEX('Per Invoice'!P$2:P$801,$W247)="","",INDEX('Per Invoice'!P$2:P$801,$W247)))</f>
        <v/>
      </c>
      <c r="Q247" s="7">
        <f>IF($W247="","",IF(INDEX('Per Invoice'!Q$2:Q$801,$W247)="","",INDEX('Per Invoice'!Q$2:Q$801,$W247)))</f>
        <v/>
      </c>
      <c r="R247" s="7">
        <f>IF($W247="","",IF(INDEX('Per Invoice'!R$2:R$801,$W247)="","",INDEX('Per Invoice'!R$2:R$801,$W247)))</f>
        <v/>
      </c>
      <c r="S247" s="7">
        <f>IF($W247="","",IF(INDEX('Per Invoice'!S$2:S$801,$W247)="","",INDEX('Per Invoice'!S$2:S$801,$W247)))</f>
        <v/>
      </c>
      <c r="T247" s="7">
        <f>IF($W247="","",IF(INDEX('Per Invoice'!T$2:T$801,$W247)="","",INDEX('Per Invoice'!T$2:T$801,$W247)))</f>
        <v/>
      </c>
      <c r="U247" s="7">
        <f>IF($W247="","",IF(INDEX('Per Invoice'!U$2:U$801,$W247)="","",INDEX('Per Invoice'!U$2:U$801,$W247)))</f>
        <v/>
      </c>
      <c r="V247" s="7">
        <f>IF($W247="","",IF(INDEX('Per Invoice'!V$2:V$801,$W247)="","",INDEX('Per Invoice'!V$2:V$801,$W247)))</f>
        <v/>
      </c>
      <c r="W247" s="16">
        <f>IFERROR(MATCH(Settings!$C$30&amp;"|"&amp;ROWS($W$2:$W247),'Per Invoice'!$X$2:$X$801,0),"")</f>
        <v/>
      </c>
    </row>
    <row r="248">
      <c r="A248">
        <f>IF($W248="","",IF(INDEX('Per Invoice'!A$2:A$801,$W248)="","",INDEX('Per Invoice'!A$2:A$801,$W248)))</f>
        <v/>
      </c>
      <c r="B248">
        <f>IF($W248="","",IF(INDEX('Per Invoice'!B$2:B$801,$W248)="","",INDEX('Per Invoice'!B$2:B$801,$W248)))</f>
        <v/>
      </c>
      <c r="C248">
        <f>IF($W248="","",IF(INDEX('Per Invoice'!C$2:C$801,$W248)="","",INDEX('Per Invoice'!C$2:C$801,$W248)))</f>
        <v/>
      </c>
      <c r="D248">
        <f>IF($W248="","",IF(INDEX('Per Invoice'!D$2:D$801,$W248)="","",INDEX('Per Invoice'!D$2:D$801,$W248)))</f>
        <v/>
      </c>
      <c r="E248">
        <f>IF($W248="","",IF(INDEX('Per Invoice'!E$2:E$801,$W248)="","",INDEX('Per Invoice'!E$2:E$801,$W248)))</f>
        <v/>
      </c>
      <c r="F248">
        <f>IF($W248="","",IF(INDEX('Per Invoice'!F$2:F$801,$W248)="","",INDEX('Per Invoice'!F$2:F$801,$W248)))</f>
        <v/>
      </c>
      <c r="G248">
        <f>IF($W248="","",IF(INDEX('Per Invoice'!G$2:G$801,$W248)="","",INDEX('Per Invoice'!G$2:G$801,$W248)))</f>
        <v/>
      </c>
      <c r="H248">
        <f>IF($W248="","",IF(INDEX('Per Invoice'!H$2:H$801,$W248)="","",INDEX('Per Invoice'!H$2:H$801,$W248)))</f>
        <v/>
      </c>
      <c r="I248">
        <f>IF($W248="","",IF(INDEX('Per Invoice'!I$2:I$801,$W248)="","",INDEX('Per Invoice'!I$2:I$801,$W248)))</f>
        <v/>
      </c>
      <c r="J248">
        <f>IF($W248="","",IF(INDEX('Per Invoice'!J$2:J$801,$W248)="","",INDEX('Per Invoice'!J$2:J$801,$W248)))</f>
        <v/>
      </c>
      <c r="K248" s="7">
        <f>IF($W248="","",IF(INDEX('Per Invoice'!K$2:K$801,$W248)="","",INDEX('Per Invoice'!K$2:K$801,$W248)))</f>
        <v/>
      </c>
      <c r="L248" s="14">
        <f>IF($W248="","",IF(INDEX('Per Invoice'!L$2:L$801,$W248)="","",INDEX('Per Invoice'!L$2:L$801,$W248)))</f>
        <v/>
      </c>
      <c r="M248">
        <f>IF($W248="","",IF(INDEX('Per Invoice'!M$2:M$801,$W248)="","",INDEX('Per Invoice'!M$2:M$801,$W248)))</f>
        <v/>
      </c>
      <c r="N248" s="7">
        <f>IF($W248="","",IF(INDEX('Per Invoice'!N$2:N$801,$W248)="","",INDEX('Per Invoice'!N$2:N$801,$W248)))</f>
        <v/>
      </c>
      <c r="O248" s="7">
        <f>IF($W248="","",IF(INDEX('Per Invoice'!O$2:O$801,$W248)="","",INDEX('Per Invoice'!O$2:O$801,$W248)))</f>
        <v/>
      </c>
      <c r="P248">
        <f>IF($W248="","",IF(INDEX('Per Invoice'!P$2:P$801,$W248)="","",INDEX('Per Invoice'!P$2:P$801,$W248)))</f>
        <v/>
      </c>
      <c r="Q248" s="7">
        <f>IF($W248="","",IF(INDEX('Per Invoice'!Q$2:Q$801,$W248)="","",INDEX('Per Invoice'!Q$2:Q$801,$W248)))</f>
        <v/>
      </c>
      <c r="R248" s="7">
        <f>IF($W248="","",IF(INDEX('Per Invoice'!R$2:R$801,$W248)="","",INDEX('Per Invoice'!R$2:R$801,$W248)))</f>
        <v/>
      </c>
      <c r="S248" s="7">
        <f>IF($W248="","",IF(INDEX('Per Invoice'!S$2:S$801,$W248)="","",INDEX('Per Invoice'!S$2:S$801,$W248)))</f>
        <v/>
      </c>
      <c r="T248" s="7">
        <f>IF($W248="","",IF(INDEX('Per Invoice'!T$2:T$801,$W248)="","",INDEX('Per Invoice'!T$2:T$801,$W248)))</f>
        <v/>
      </c>
      <c r="U248" s="7">
        <f>IF($W248="","",IF(INDEX('Per Invoice'!U$2:U$801,$W248)="","",INDEX('Per Invoice'!U$2:U$801,$W248)))</f>
        <v/>
      </c>
      <c r="V248" s="7">
        <f>IF($W248="","",IF(INDEX('Per Invoice'!V$2:V$801,$W248)="","",INDEX('Per Invoice'!V$2:V$801,$W248)))</f>
        <v/>
      </c>
      <c r="W248" s="16">
        <f>IFERROR(MATCH(Settings!$C$30&amp;"|"&amp;ROWS($W$2:$W248),'Per Invoice'!$X$2:$X$801,0),"")</f>
        <v/>
      </c>
    </row>
    <row r="249">
      <c r="A249">
        <f>IF($W249="","",IF(INDEX('Per Invoice'!A$2:A$801,$W249)="","",INDEX('Per Invoice'!A$2:A$801,$W249)))</f>
        <v/>
      </c>
      <c r="B249">
        <f>IF($W249="","",IF(INDEX('Per Invoice'!B$2:B$801,$W249)="","",INDEX('Per Invoice'!B$2:B$801,$W249)))</f>
        <v/>
      </c>
      <c r="C249">
        <f>IF($W249="","",IF(INDEX('Per Invoice'!C$2:C$801,$W249)="","",INDEX('Per Invoice'!C$2:C$801,$W249)))</f>
        <v/>
      </c>
      <c r="D249">
        <f>IF($W249="","",IF(INDEX('Per Invoice'!D$2:D$801,$W249)="","",INDEX('Per Invoice'!D$2:D$801,$W249)))</f>
        <v/>
      </c>
      <c r="E249">
        <f>IF($W249="","",IF(INDEX('Per Invoice'!E$2:E$801,$W249)="","",INDEX('Per Invoice'!E$2:E$801,$W249)))</f>
        <v/>
      </c>
      <c r="F249">
        <f>IF($W249="","",IF(INDEX('Per Invoice'!F$2:F$801,$W249)="","",INDEX('Per Invoice'!F$2:F$801,$W249)))</f>
        <v/>
      </c>
      <c r="G249">
        <f>IF($W249="","",IF(INDEX('Per Invoice'!G$2:G$801,$W249)="","",INDEX('Per Invoice'!G$2:G$801,$W249)))</f>
        <v/>
      </c>
      <c r="H249">
        <f>IF($W249="","",IF(INDEX('Per Invoice'!H$2:H$801,$W249)="","",INDEX('Per Invoice'!H$2:H$801,$W249)))</f>
        <v/>
      </c>
      <c r="I249">
        <f>IF($W249="","",IF(INDEX('Per Invoice'!I$2:I$801,$W249)="","",INDEX('Per Invoice'!I$2:I$801,$W249)))</f>
        <v/>
      </c>
      <c r="J249">
        <f>IF($W249="","",IF(INDEX('Per Invoice'!J$2:J$801,$W249)="","",INDEX('Per Invoice'!J$2:J$801,$W249)))</f>
        <v/>
      </c>
      <c r="K249" s="7">
        <f>IF($W249="","",IF(INDEX('Per Invoice'!K$2:K$801,$W249)="","",INDEX('Per Invoice'!K$2:K$801,$W249)))</f>
        <v/>
      </c>
      <c r="L249" s="14">
        <f>IF($W249="","",IF(INDEX('Per Invoice'!L$2:L$801,$W249)="","",INDEX('Per Invoice'!L$2:L$801,$W249)))</f>
        <v/>
      </c>
      <c r="M249">
        <f>IF($W249="","",IF(INDEX('Per Invoice'!M$2:M$801,$W249)="","",INDEX('Per Invoice'!M$2:M$801,$W249)))</f>
        <v/>
      </c>
      <c r="N249" s="7">
        <f>IF($W249="","",IF(INDEX('Per Invoice'!N$2:N$801,$W249)="","",INDEX('Per Invoice'!N$2:N$801,$W249)))</f>
        <v/>
      </c>
      <c r="O249" s="7">
        <f>IF($W249="","",IF(INDEX('Per Invoice'!O$2:O$801,$W249)="","",INDEX('Per Invoice'!O$2:O$801,$W249)))</f>
        <v/>
      </c>
      <c r="P249">
        <f>IF($W249="","",IF(INDEX('Per Invoice'!P$2:P$801,$W249)="","",INDEX('Per Invoice'!P$2:P$801,$W249)))</f>
        <v/>
      </c>
      <c r="Q249" s="7">
        <f>IF($W249="","",IF(INDEX('Per Invoice'!Q$2:Q$801,$W249)="","",INDEX('Per Invoice'!Q$2:Q$801,$W249)))</f>
        <v/>
      </c>
      <c r="R249" s="7">
        <f>IF($W249="","",IF(INDEX('Per Invoice'!R$2:R$801,$W249)="","",INDEX('Per Invoice'!R$2:R$801,$W249)))</f>
        <v/>
      </c>
      <c r="S249" s="7">
        <f>IF($W249="","",IF(INDEX('Per Invoice'!S$2:S$801,$W249)="","",INDEX('Per Invoice'!S$2:S$801,$W249)))</f>
        <v/>
      </c>
      <c r="T249" s="7">
        <f>IF($W249="","",IF(INDEX('Per Invoice'!T$2:T$801,$W249)="","",INDEX('Per Invoice'!T$2:T$801,$W249)))</f>
        <v/>
      </c>
      <c r="U249" s="7">
        <f>IF($W249="","",IF(INDEX('Per Invoice'!U$2:U$801,$W249)="","",INDEX('Per Invoice'!U$2:U$801,$W249)))</f>
        <v/>
      </c>
      <c r="V249" s="7">
        <f>IF($W249="","",IF(INDEX('Per Invoice'!V$2:V$801,$W249)="","",INDEX('Per Invoice'!V$2:V$801,$W249)))</f>
        <v/>
      </c>
      <c r="W249" s="16">
        <f>IFERROR(MATCH(Settings!$C$30&amp;"|"&amp;ROWS($W$2:$W249),'Per Invoice'!$X$2:$X$801,0),"")</f>
        <v/>
      </c>
    </row>
    <row r="250">
      <c r="A250">
        <f>IF($W250="","",IF(INDEX('Per Invoice'!A$2:A$801,$W250)="","",INDEX('Per Invoice'!A$2:A$801,$W250)))</f>
        <v/>
      </c>
      <c r="B250">
        <f>IF($W250="","",IF(INDEX('Per Invoice'!B$2:B$801,$W250)="","",INDEX('Per Invoice'!B$2:B$801,$W250)))</f>
        <v/>
      </c>
      <c r="C250">
        <f>IF($W250="","",IF(INDEX('Per Invoice'!C$2:C$801,$W250)="","",INDEX('Per Invoice'!C$2:C$801,$W250)))</f>
        <v/>
      </c>
      <c r="D250">
        <f>IF($W250="","",IF(INDEX('Per Invoice'!D$2:D$801,$W250)="","",INDEX('Per Invoice'!D$2:D$801,$W250)))</f>
        <v/>
      </c>
      <c r="E250">
        <f>IF($W250="","",IF(INDEX('Per Invoice'!E$2:E$801,$W250)="","",INDEX('Per Invoice'!E$2:E$801,$W250)))</f>
        <v/>
      </c>
      <c r="F250">
        <f>IF($W250="","",IF(INDEX('Per Invoice'!F$2:F$801,$W250)="","",INDEX('Per Invoice'!F$2:F$801,$W250)))</f>
        <v/>
      </c>
      <c r="G250">
        <f>IF($W250="","",IF(INDEX('Per Invoice'!G$2:G$801,$W250)="","",INDEX('Per Invoice'!G$2:G$801,$W250)))</f>
        <v/>
      </c>
      <c r="H250">
        <f>IF($W250="","",IF(INDEX('Per Invoice'!H$2:H$801,$W250)="","",INDEX('Per Invoice'!H$2:H$801,$W250)))</f>
        <v/>
      </c>
      <c r="I250">
        <f>IF($W250="","",IF(INDEX('Per Invoice'!I$2:I$801,$W250)="","",INDEX('Per Invoice'!I$2:I$801,$W250)))</f>
        <v/>
      </c>
      <c r="J250">
        <f>IF($W250="","",IF(INDEX('Per Invoice'!J$2:J$801,$W250)="","",INDEX('Per Invoice'!J$2:J$801,$W250)))</f>
        <v/>
      </c>
      <c r="K250" s="7">
        <f>IF($W250="","",IF(INDEX('Per Invoice'!K$2:K$801,$W250)="","",INDEX('Per Invoice'!K$2:K$801,$W250)))</f>
        <v/>
      </c>
      <c r="L250" s="14">
        <f>IF($W250="","",IF(INDEX('Per Invoice'!L$2:L$801,$W250)="","",INDEX('Per Invoice'!L$2:L$801,$W250)))</f>
        <v/>
      </c>
      <c r="M250">
        <f>IF($W250="","",IF(INDEX('Per Invoice'!M$2:M$801,$W250)="","",INDEX('Per Invoice'!M$2:M$801,$W250)))</f>
        <v/>
      </c>
      <c r="N250" s="7">
        <f>IF($W250="","",IF(INDEX('Per Invoice'!N$2:N$801,$W250)="","",INDEX('Per Invoice'!N$2:N$801,$W250)))</f>
        <v/>
      </c>
      <c r="O250" s="7">
        <f>IF($W250="","",IF(INDEX('Per Invoice'!O$2:O$801,$W250)="","",INDEX('Per Invoice'!O$2:O$801,$W250)))</f>
        <v/>
      </c>
      <c r="P250">
        <f>IF($W250="","",IF(INDEX('Per Invoice'!P$2:P$801,$W250)="","",INDEX('Per Invoice'!P$2:P$801,$W250)))</f>
        <v/>
      </c>
      <c r="Q250" s="7">
        <f>IF($W250="","",IF(INDEX('Per Invoice'!Q$2:Q$801,$W250)="","",INDEX('Per Invoice'!Q$2:Q$801,$W250)))</f>
        <v/>
      </c>
      <c r="R250" s="7">
        <f>IF($W250="","",IF(INDEX('Per Invoice'!R$2:R$801,$W250)="","",INDEX('Per Invoice'!R$2:R$801,$W250)))</f>
        <v/>
      </c>
      <c r="S250" s="7">
        <f>IF($W250="","",IF(INDEX('Per Invoice'!S$2:S$801,$W250)="","",INDEX('Per Invoice'!S$2:S$801,$W250)))</f>
        <v/>
      </c>
      <c r="T250" s="7">
        <f>IF($W250="","",IF(INDEX('Per Invoice'!T$2:T$801,$W250)="","",INDEX('Per Invoice'!T$2:T$801,$W250)))</f>
        <v/>
      </c>
      <c r="U250" s="7">
        <f>IF($W250="","",IF(INDEX('Per Invoice'!U$2:U$801,$W250)="","",INDEX('Per Invoice'!U$2:U$801,$W250)))</f>
        <v/>
      </c>
      <c r="V250" s="7">
        <f>IF($W250="","",IF(INDEX('Per Invoice'!V$2:V$801,$W250)="","",INDEX('Per Invoice'!V$2:V$801,$W250)))</f>
        <v/>
      </c>
      <c r="W250" s="16">
        <f>IFERROR(MATCH(Settings!$C$30&amp;"|"&amp;ROWS($W$2:$W250),'Per Invoice'!$X$2:$X$801,0),"")</f>
        <v/>
      </c>
    </row>
    <row r="251">
      <c r="A251">
        <f>IF($W251="","",IF(INDEX('Per Invoice'!A$2:A$801,$W251)="","",INDEX('Per Invoice'!A$2:A$801,$W251)))</f>
        <v/>
      </c>
      <c r="B251">
        <f>IF($W251="","",IF(INDEX('Per Invoice'!B$2:B$801,$W251)="","",INDEX('Per Invoice'!B$2:B$801,$W251)))</f>
        <v/>
      </c>
      <c r="C251">
        <f>IF($W251="","",IF(INDEX('Per Invoice'!C$2:C$801,$W251)="","",INDEX('Per Invoice'!C$2:C$801,$W251)))</f>
        <v/>
      </c>
      <c r="D251">
        <f>IF($W251="","",IF(INDEX('Per Invoice'!D$2:D$801,$W251)="","",INDEX('Per Invoice'!D$2:D$801,$W251)))</f>
        <v/>
      </c>
      <c r="E251">
        <f>IF($W251="","",IF(INDEX('Per Invoice'!E$2:E$801,$W251)="","",INDEX('Per Invoice'!E$2:E$801,$W251)))</f>
        <v/>
      </c>
      <c r="F251">
        <f>IF($W251="","",IF(INDEX('Per Invoice'!F$2:F$801,$W251)="","",INDEX('Per Invoice'!F$2:F$801,$W251)))</f>
        <v/>
      </c>
      <c r="G251">
        <f>IF($W251="","",IF(INDEX('Per Invoice'!G$2:G$801,$W251)="","",INDEX('Per Invoice'!G$2:G$801,$W251)))</f>
        <v/>
      </c>
      <c r="H251">
        <f>IF($W251="","",IF(INDEX('Per Invoice'!H$2:H$801,$W251)="","",INDEX('Per Invoice'!H$2:H$801,$W251)))</f>
        <v/>
      </c>
      <c r="I251">
        <f>IF($W251="","",IF(INDEX('Per Invoice'!I$2:I$801,$W251)="","",INDEX('Per Invoice'!I$2:I$801,$W251)))</f>
        <v/>
      </c>
      <c r="J251">
        <f>IF($W251="","",IF(INDEX('Per Invoice'!J$2:J$801,$W251)="","",INDEX('Per Invoice'!J$2:J$801,$W251)))</f>
        <v/>
      </c>
      <c r="K251" s="7">
        <f>IF($W251="","",IF(INDEX('Per Invoice'!K$2:K$801,$W251)="","",INDEX('Per Invoice'!K$2:K$801,$W251)))</f>
        <v/>
      </c>
      <c r="L251" s="14">
        <f>IF($W251="","",IF(INDEX('Per Invoice'!L$2:L$801,$W251)="","",INDEX('Per Invoice'!L$2:L$801,$W251)))</f>
        <v/>
      </c>
      <c r="M251">
        <f>IF($W251="","",IF(INDEX('Per Invoice'!M$2:M$801,$W251)="","",INDEX('Per Invoice'!M$2:M$801,$W251)))</f>
        <v/>
      </c>
      <c r="N251" s="7">
        <f>IF($W251="","",IF(INDEX('Per Invoice'!N$2:N$801,$W251)="","",INDEX('Per Invoice'!N$2:N$801,$W251)))</f>
        <v/>
      </c>
      <c r="O251" s="7">
        <f>IF($W251="","",IF(INDEX('Per Invoice'!O$2:O$801,$W251)="","",INDEX('Per Invoice'!O$2:O$801,$W251)))</f>
        <v/>
      </c>
      <c r="P251">
        <f>IF($W251="","",IF(INDEX('Per Invoice'!P$2:P$801,$W251)="","",INDEX('Per Invoice'!P$2:P$801,$W251)))</f>
        <v/>
      </c>
      <c r="Q251" s="7">
        <f>IF($W251="","",IF(INDEX('Per Invoice'!Q$2:Q$801,$W251)="","",INDEX('Per Invoice'!Q$2:Q$801,$W251)))</f>
        <v/>
      </c>
      <c r="R251" s="7">
        <f>IF($W251="","",IF(INDEX('Per Invoice'!R$2:R$801,$W251)="","",INDEX('Per Invoice'!R$2:R$801,$W251)))</f>
        <v/>
      </c>
      <c r="S251" s="7">
        <f>IF($W251="","",IF(INDEX('Per Invoice'!S$2:S$801,$W251)="","",INDEX('Per Invoice'!S$2:S$801,$W251)))</f>
        <v/>
      </c>
      <c r="T251" s="7">
        <f>IF($W251="","",IF(INDEX('Per Invoice'!T$2:T$801,$W251)="","",INDEX('Per Invoice'!T$2:T$801,$W251)))</f>
        <v/>
      </c>
      <c r="U251" s="7">
        <f>IF($W251="","",IF(INDEX('Per Invoice'!U$2:U$801,$W251)="","",INDEX('Per Invoice'!U$2:U$801,$W251)))</f>
        <v/>
      </c>
      <c r="V251" s="7">
        <f>IF($W251="","",IF(INDEX('Per Invoice'!V$2:V$801,$W251)="","",INDEX('Per Invoice'!V$2:V$801,$W251)))</f>
        <v/>
      </c>
      <c r="W251" s="16">
        <f>IFERROR(MATCH(Settings!$C$30&amp;"|"&amp;ROWS($W$2:$W251),'Per Invoice'!$X$2:$X$801,0),"")</f>
        <v/>
      </c>
    </row>
    <row r="252">
      <c r="A252">
        <f>IF($W252="","",IF(INDEX('Per Invoice'!A$2:A$801,$W252)="","",INDEX('Per Invoice'!A$2:A$801,$W252)))</f>
        <v/>
      </c>
      <c r="B252">
        <f>IF($W252="","",IF(INDEX('Per Invoice'!B$2:B$801,$W252)="","",INDEX('Per Invoice'!B$2:B$801,$W252)))</f>
        <v/>
      </c>
      <c r="C252">
        <f>IF($W252="","",IF(INDEX('Per Invoice'!C$2:C$801,$W252)="","",INDEX('Per Invoice'!C$2:C$801,$W252)))</f>
        <v/>
      </c>
      <c r="D252">
        <f>IF($W252="","",IF(INDEX('Per Invoice'!D$2:D$801,$W252)="","",INDEX('Per Invoice'!D$2:D$801,$W252)))</f>
        <v/>
      </c>
      <c r="E252">
        <f>IF($W252="","",IF(INDEX('Per Invoice'!E$2:E$801,$W252)="","",INDEX('Per Invoice'!E$2:E$801,$W252)))</f>
        <v/>
      </c>
      <c r="F252">
        <f>IF($W252="","",IF(INDEX('Per Invoice'!F$2:F$801,$W252)="","",INDEX('Per Invoice'!F$2:F$801,$W252)))</f>
        <v/>
      </c>
      <c r="G252">
        <f>IF($W252="","",IF(INDEX('Per Invoice'!G$2:G$801,$W252)="","",INDEX('Per Invoice'!G$2:G$801,$W252)))</f>
        <v/>
      </c>
      <c r="H252">
        <f>IF($W252="","",IF(INDEX('Per Invoice'!H$2:H$801,$W252)="","",INDEX('Per Invoice'!H$2:H$801,$W252)))</f>
        <v/>
      </c>
      <c r="I252">
        <f>IF($W252="","",IF(INDEX('Per Invoice'!I$2:I$801,$W252)="","",INDEX('Per Invoice'!I$2:I$801,$W252)))</f>
        <v/>
      </c>
      <c r="J252">
        <f>IF($W252="","",IF(INDEX('Per Invoice'!J$2:J$801,$W252)="","",INDEX('Per Invoice'!J$2:J$801,$W252)))</f>
        <v/>
      </c>
      <c r="K252" s="7">
        <f>IF($W252="","",IF(INDEX('Per Invoice'!K$2:K$801,$W252)="","",INDEX('Per Invoice'!K$2:K$801,$W252)))</f>
        <v/>
      </c>
      <c r="L252" s="14">
        <f>IF($W252="","",IF(INDEX('Per Invoice'!L$2:L$801,$W252)="","",INDEX('Per Invoice'!L$2:L$801,$W252)))</f>
        <v/>
      </c>
      <c r="M252">
        <f>IF($W252="","",IF(INDEX('Per Invoice'!M$2:M$801,$W252)="","",INDEX('Per Invoice'!M$2:M$801,$W252)))</f>
        <v/>
      </c>
      <c r="N252" s="7">
        <f>IF($W252="","",IF(INDEX('Per Invoice'!N$2:N$801,$W252)="","",INDEX('Per Invoice'!N$2:N$801,$W252)))</f>
        <v/>
      </c>
      <c r="O252" s="7">
        <f>IF($W252="","",IF(INDEX('Per Invoice'!O$2:O$801,$W252)="","",INDEX('Per Invoice'!O$2:O$801,$W252)))</f>
        <v/>
      </c>
      <c r="P252">
        <f>IF($W252="","",IF(INDEX('Per Invoice'!P$2:P$801,$W252)="","",INDEX('Per Invoice'!P$2:P$801,$W252)))</f>
        <v/>
      </c>
      <c r="Q252" s="7">
        <f>IF($W252="","",IF(INDEX('Per Invoice'!Q$2:Q$801,$W252)="","",INDEX('Per Invoice'!Q$2:Q$801,$W252)))</f>
        <v/>
      </c>
      <c r="R252" s="7">
        <f>IF($W252="","",IF(INDEX('Per Invoice'!R$2:R$801,$W252)="","",INDEX('Per Invoice'!R$2:R$801,$W252)))</f>
        <v/>
      </c>
      <c r="S252" s="7">
        <f>IF($W252="","",IF(INDEX('Per Invoice'!S$2:S$801,$W252)="","",INDEX('Per Invoice'!S$2:S$801,$W252)))</f>
        <v/>
      </c>
      <c r="T252" s="7">
        <f>IF($W252="","",IF(INDEX('Per Invoice'!T$2:T$801,$W252)="","",INDEX('Per Invoice'!T$2:T$801,$W252)))</f>
        <v/>
      </c>
      <c r="U252" s="7">
        <f>IF($W252="","",IF(INDEX('Per Invoice'!U$2:U$801,$W252)="","",INDEX('Per Invoice'!U$2:U$801,$W252)))</f>
        <v/>
      </c>
      <c r="V252" s="7">
        <f>IF($W252="","",IF(INDEX('Per Invoice'!V$2:V$801,$W252)="","",INDEX('Per Invoice'!V$2:V$801,$W252)))</f>
        <v/>
      </c>
      <c r="W252" s="16">
        <f>IFERROR(MATCH(Settings!$C$30&amp;"|"&amp;ROWS($W$2:$W252),'Per Invoice'!$X$2:$X$801,0),"")</f>
        <v/>
      </c>
    </row>
    <row r="253">
      <c r="A253">
        <f>IF($W253="","",IF(INDEX('Per Invoice'!A$2:A$801,$W253)="","",INDEX('Per Invoice'!A$2:A$801,$W253)))</f>
        <v/>
      </c>
      <c r="B253">
        <f>IF($W253="","",IF(INDEX('Per Invoice'!B$2:B$801,$W253)="","",INDEX('Per Invoice'!B$2:B$801,$W253)))</f>
        <v/>
      </c>
      <c r="C253">
        <f>IF($W253="","",IF(INDEX('Per Invoice'!C$2:C$801,$W253)="","",INDEX('Per Invoice'!C$2:C$801,$W253)))</f>
        <v/>
      </c>
      <c r="D253">
        <f>IF($W253="","",IF(INDEX('Per Invoice'!D$2:D$801,$W253)="","",INDEX('Per Invoice'!D$2:D$801,$W253)))</f>
        <v/>
      </c>
      <c r="E253">
        <f>IF($W253="","",IF(INDEX('Per Invoice'!E$2:E$801,$W253)="","",INDEX('Per Invoice'!E$2:E$801,$W253)))</f>
        <v/>
      </c>
      <c r="F253">
        <f>IF($W253="","",IF(INDEX('Per Invoice'!F$2:F$801,$W253)="","",INDEX('Per Invoice'!F$2:F$801,$W253)))</f>
        <v/>
      </c>
      <c r="G253">
        <f>IF($W253="","",IF(INDEX('Per Invoice'!G$2:G$801,$W253)="","",INDEX('Per Invoice'!G$2:G$801,$W253)))</f>
        <v/>
      </c>
      <c r="H253">
        <f>IF($W253="","",IF(INDEX('Per Invoice'!H$2:H$801,$W253)="","",INDEX('Per Invoice'!H$2:H$801,$W253)))</f>
        <v/>
      </c>
      <c r="I253">
        <f>IF($W253="","",IF(INDEX('Per Invoice'!I$2:I$801,$W253)="","",INDEX('Per Invoice'!I$2:I$801,$W253)))</f>
        <v/>
      </c>
      <c r="J253">
        <f>IF($W253="","",IF(INDEX('Per Invoice'!J$2:J$801,$W253)="","",INDEX('Per Invoice'!J$2:J$801,$W253)))</f>
        <v/>
      </c>
      <c r="K253" s="7">
        <f>IF($W253="","",IF(INDEX('Per Invoice'!K$2:K$801,$W253)="","",INDEX('Per Invoice'!K$2:K$801,$W253)))</f>
        <v/>
      </c>
      <c r="L253" s="14">
        <f>IF($W253="","",IF(INDEX('Per Invoice'!L$2:L$801,$W253)="","",INDEX('Per Invoice'!L$2:L$801,$W253)))</f>
        <v/>
      </c>
      <c r="M253">
        <f>IF($W253="","",IF(INDEX('Per Invoice'!M$2:M$801,$W253)="","",INDEX('Per Invoice'!M$2:M$801,$W253)))</f>
        <v/>
      </c>
      <c r="N253" s="7">
        <f>IF($W253="","",IF(INDEX('Per Invoice'!N$2:N$801,$W253)="","",INDEX('Per Invoice'!N$2:N$801,$W253)))</f>
        <v/>
      </c>
      <c r="O253" s="7">
        <f>IF($W253="","",IF(INDEX('Per Invoice'!O$2:O$801,$W253)="","",INDEX('Per Invoice'!O$2:O$801,$W253)))</f>
        <v/>
      </c>
      <c r="P253">
        <f>IF($W253="","",IF(INDEX('Per Invoice'!P$2:P$801,$W253)="","",INDEX('Per Invoice'!P$2:P$801,$W253)))</f>
        <v/>
      </c>
      <c r="Q253" s="7">
        <f>IF($W253="","",IF(INDEX('Per Invoice'!Q$2:Q$801,$W253)="","",INDEX('Per Invoice'!Q$2:Q$801,$W253)))</f>
        <v/>
      </c>
      <c r="R253" s="7">
        <f>IF($W253="","",IF(INDEX('Per Invoice'!R$2:R$801,$W253)="","",INDEX('Per Invoice'!R$2:R$801,$W253)))</f>
        <v/>
      </c>
      <c r="S253" s="7">
        <f>IF($W253="","",IF(INDEX('Per Invoice'!S$2:S$801,$W253)="","",INDEX('Per Invoice'!S$2:S$801,$W253)))</f>
        <v/>
      </c>
      <c r="T253" s="7">
        <f>IF($W253="","",IF(INDEX('Per Invoice'!T$2:T$801,$W253)="","",INDEX('Per Invoice'!T$2:T$801,$W253)))</f>
        <v/>
      </c>
      <c r="U253" s="7">
        <f>IF($W253="","",IF(INDEX('Per Invoice'!U$2:U$801,$W253)="","",INDEX('Per Invoice'!U$2:U$801,$W253)))</f>
        <v/>
      </c>
      <c r="V253" s="7">
        <f>IF($W253="","",IF(INDEX('Per Invoice'!V$2:V$801,$W253)="","",INDEX('Per Invoice'!V$2:V$801,$W253)))</f>
        <v/>
      </c>
      <c r="W253" s="16">
        <f>IFERROR(MATCH(Settings!$C$30&amp;"|"&amp;ROWS($W$2:$W253),'Per Invoice'!$X$2:$X$801,0),"")</f>
        <v/>
      </c>
    </row>
    <row r="254">
      <c r="A254">
        <f>IF($W254="","",IF(INDEX('Per Invoice'!A$2:A$801,$W254)="","",INDEX('Per Invoice'!A$2:A$801,$W254)))</f>
        <v/>
      </c>
      <c r="B254">
        <f>IF($W254="","",IF(INDEX('Per Invoice'!B$2:B$801,$W254)="","",INDEX('Per Invoice'!B$2:B$801,$W254)))</f>
        <v/>
      </c>
      <c r="C254">
        <f>IF($W254="","",IF(INDEX('Per Invoice'!C$2:C$801,$W254)="","",INDEX('Per Invoice'!C$2:C$801,$W254)))</f>
        <v/>
      </c>
      <c r="D254">
        <f>IF($W254="","",IF(INDEX('Per Invoice'!D$2:D$801,$W254)="","",INDEX('Per Invoice'!D$2:D$801,$W254)))</f>
        <v/>
      </c>
      <c r="E254">
        <f>IF($W254="","",IF(INDEX('Per Invoice'!E$2:E$801,$W254)="","",INDEX('Per Invoice'!E$2:E$801,$W254)))</f>
        <v/>
      </c>
      <c r="F254">
        <f>IF($W254="","",IF(INDEX('Per Invoice'!F$2:F$801,$W254)="","",INDEX('Per Invoice'!F$2:F$801,$W254)))</f>
        <v/>
      </c>
      <c r="G254">
        <f>IF($W254="","",IF(INDEX('Per Invoice'!G$2:G$801,$W254)="","",INDEX('Per Invoice'!G$2:G$801,$W254)))</f>
        <v/>
      </c>
      <c r="H254">
        <f>IF($W254="","",IF(INDEX('Per Invoice'!H$2:H$801,$W254)="","",INDEX('Per Invoice'!H$2:H$801,$W254)))</f>
        <v/>
      </c>
      <c r="I254">
        <f>IF($W254="","",IF(INDEX('Per Invoice'!I$2:I$801,$W254)="","",INDEX('Per Invoice'!I$2:I$801,$W254)))</f>
        <v/>
      </c>
      <c r="J254">
        <f>IF($W254="","",IF(INDEX('Per Invoice'!J$2:J$801,$W254)="","",INDEX('Per Invoice'!J$2:J$801,$W254)))</f>
        <v/>
      </c>
      <c r="K254" s="7">
        <f>IF($W254="","",IF(INDEX('Per Invoice'!K$2:K$801,$W254)="","",INDEX('Per Invoice'!K$2:K$801,$W254)))</f>
        <v/>
      </c>
      <c r="L254" s="14">
        <f>IF($W254="","",IF(INDEX('Per Invoice'!L$2:L$801,$W254)="","",INDEX('Per Invoice'!L$2:L$801,$W254)))</f>
        <v/>
      </c>
      <c r="M254">
        <f>IF($W254="","",IF(INDEX('Per Invoice'!M$2:M$801,$W254)="","",INDEX('Per Invoice'!M$2:M$801,$W254)))</f>
        <v/>
      </c>
      <c r="N254" s="7">
        <f>IF($W254="","",IF(INDEX('Per Invoice'!N$2:N$801,$W254)="","",INDEX('Per Invoice'!N$2:N$801,$W254)))</f>
        <v/>
      </c>
      <c r="O254" s="7">
        <f>IF($W254="","",IF(INDEX('Per Invoice'!O$2:O$801,$W254)="","",INDEX('Per Invoice'!O$2:O$801,$W254)))</f>
        <v/>
      </c>
      <c r="P254">
        <f>IF($W254="","",IF(INDEX('Per Invoice'!P$2:P$801,$W254)="","",INDEX('Per Invoice'!P$2:P$801,$W254)))</f>
        <v/>
      </c>
      <c r="Q254" s="7">
        <f>IF($W254="","",IF(INDEX('Per Invoice'!Q$2:Q$801,$W254)="","",INDEX('Per Invoice'!Q$2:Q$801,$W254)))</f>
        <v/>
      </c>
      <c r="R254" s="7">
        <f>IF($W254="","",IF(INDEX('Per Invoice'!R$2:R$801,$W254)="","",INDEX('Per Invoice'!R$2:R$801,$W254)))</f>
        <v/>
      </c>
      <c r="S254" s="7">
        <f>IF($W254="","",IF(INDEX('Per Invoice'!S$2:S$801,$W254)="","",INDEX('Per Invoice'!S$2:S$801,$W254)))</f>
        <v/>
      </c>
      <c r="T254" s="7">
        <f>IF($W254="","",IF(INDEX('Per Invoice'!T$2:T$801,$W254)="","",INDEX('Per Invoice'!T$2:T$801,$W254)))</f>
        <v/>
      </c>
      <c r="U254" s="7">
        <f>IF($W254="","",IF(INDEX('Per Invoice'!U$2:U$801,$W254)="","",INDEX('Per Invoice'!U$2:U$801,$W254)))</f>
        <v/>
      </c>
      <c r="V254" s="7">
        <f>IF($W254="","",IF(INDEX('Per Invoice'!V$2:V$801,$W254)="","",INDEX('Per Invoice'!V$2:V$801,$W254)))</f>
        <v/>
      </c>
      <c r="W254" s="16">
        <f>IFERROR(MATCH(Settings!$C$30&amp;"|"&amp;ROWS($W$2:$W254),'Per Invoice'!$X$2:$X$801,0),"")</f>
        <v/>
      </c>
    </row>
    <row r="255">
      <c r="A255">
        <f>IF($W255="","",IF(INDEX('Per Invoice'!A$2:A$801,$W255)="","",INDEX('Per Invoice'!A$2:A$801,$W255)))</f>
        <v/>
      </c>
      <c r="B255">
        <f>IF($W255="","",IF(INDEX('Per Invoice'!B$2:B$801,$W255)="","",INDEX('Per Invoice'!B$2:B$801,$W255)))</f>
        <v/>
      </c>
      <c r="C255">
        <f>IF($W255="","",IF(INDEX('Per Invoice'!C$2:C$801,$W255)="","",INDEX('Per Invoice'!C$2:C$801,$W255)))</f>
        <v/>
      </c>
      <c r="D255">
        <f>IF($W255="","",IF(INDEX('Per Invoice'!D$2:D$801,$W255)="","",INDEX('Per Invoice'!D$2:D$801,$W255)))</f>
        <v/>
      </c>
      <c r="E255">
        <f>IF($W255="","",IF(INDEX('Per Invoice'!E$2:E$801,$W255)="","",INDEX('Per Invoice'!E$2:E$801,$W255)))</f>
        <v/>
      </c>
      <c r="F255">
        <f>IF($W255="","",IF(INDEX('Per Invoice'!F$2:F$801,$W255)="","",INDEX('Per Invoice'!F$2:F$801,$W255)))</f>
        <v/>
      </c>
      <c r="G255">
        <f>IF($W255="","",IF(INDEX('Per Invoice'!G$2:G$801,$W255)="","",INDEX('Per Invoice'!G$2:G$801,$W255)))</f>
        <v/>
      </c>
      <c r="H255">
        <f>IF($W255="","",IF(INDEX('Per Invoice'!H$2:H$801,$W255)="","",INDEX('Per Invoice'!H$2:H$801,$W255)))</f>
        <v/>
      </c>
      <c r="I255">
        <f>IF($W255="","",IF(INDEX('Per Invoice'!I$2:I$801,$W255)="","",INDEX('Per Invoice'!I$2:I$801,$W255)))</f>
        <v/>
      </c>
      <c r="J255">
        <f>IF($W255="","",IF(INDEX('Per Invoice'!J$2:J$801,$W255)="","",INDEX('Per Invoice'!J$2:J$801,$W255)))</f>
        <v/>
      </c>
      <c r="K255" s="7">
        <f>IF($W255="","",IF(INDEX('Per Invoice'!K$2:K$801,$W255)="","",INDEX('Per Invoice'!K$2:K$801,$W255)))</f>
        <v/>
      </c>
      <c r="L255" s="14">
        <f>IF($W255="","",IF(INDEX('Per Invoice'!L$2:L$801,$W255)="","",INDEX('Per Invoice'!L$2:L$801,$W255)))</f>
        <v/>
      </c>
      <c r="M255">
        <f>IF($W255="","",IF(INDEX('Per Invoice'!M$2:M$801,$W255)="","",INDEX('Per Invoice'!M$2:M$801,$W255)))</f>
        <v/>
      </c>
      <c r="N255" s="7">
        <f>IF($W255="","",IF(INDEX('Per Invoice'!N$2:N$801,$W255)="","",INDEX('Per Invoice'!N$2:N$801,$W255)))</f>
        <v/>
      </c>
      <c r="O255" s="7">
        <f>IF($W255="","",IF(INDEX('Per Invoice'!O$2:O$801,$W255)="","",INDEX('Per Invoice'!O$2:O$801,$W255)))</f>
        <v/>
      </c>
      <c r="P255">
        <f>IF($W255="","",IF(INDEX('Per Invoice'!P$2:P$801,$W255)="","",INDEX('Per Invoice'!P$2:P$801,$W255)))</f>
        <v/>
      </c>
      <c r="Q255" s="7">
        <f>IF($W255="","",IF(INDEX('Per Invoice'!Q$2:Q$801,$W255)="","",INDEX('Per Invoice'!Q$2:Q$801,$W255)))</f>
        <v/>
      </c>
      <c r="R255" s="7">
        <f>IF($W255="","",IF(INDEX('Per Invoice'!R$2:R$801,$W255)="","",INDEX('Per Invoice'!R$2:R$801,$W255)))</f>
        <v/>
      </c>
      <c r="S255" s="7">
        <f>IF($W255="","",IF(INDEX('Per Invoice'!S$2:S$801,$W255)="","",INDEX('Per Invoice'!S$2:S$801,$W255)))</f>
        <v/>
      </c>
      <c r="T255" s="7">
        <f>IF($W255="","",IF(INDEX('Per Invoice'!T$2:T$801,$W255)="","",INDEX('Per Invoice'!T$2:T$801,$W255)))</f>
        <v/>
      </c>
      <c r="U255" s="7">
        <f>IF($W255="","",IF(INDEX('Per Invoice'!U$2:U$801,$W255)="","",INDEX('Per Invoice'!U$2:U$801,$W255)))</f>
        <v/>
      </c>
      <c r="V255" s="7">
        <f>IF($W255="","",IF(INDEX('Per Invoice'!V$2:V$801,$W255)="","",INDEX('Per Invoice'!V$2:V$801,$W255)))</f>
        <v/>
      </c>
      <c r="W255" s="16">
        <f>IFERROR(MATCH(Settings!$C$30&amp;"|"&amp;ROWS($W$2:$W255),'Per Invoice'!$X$2:$X$801,0),"")</f>
        <v/>
      </c>
    </row>
    <row r="256">
      <c r="A256">
        <f>IF($W256="","",IF(INDEX('Per Invoice'!A$2:A$801,$W256)="","",INDEX('Per Invoice'!A$2:A$801,$W256)))</f>
        <v/>
      </c>
      <c r="B256">
        <f>IF($W256="","",IF(INDEX('Per Invoice'!B$2:B$801,$W256)="","",INDEX('Per Invoice'!B$2:B$801,$W256)))</f>
        <v/>
      </c>
      <c r="C256">
        <f>IF($W256="","",IF(INDEX('Per Invoice'!C$2:C$801,$W256)="","",INDEX('Per Invoice'!C$2:C$801,$W256)))</f>
        <v/>
      </c>
      <c r="D256">
        <f>IF($W256="","",IF(INDEX('Per Invoice'!D$2:D$801,$W256)="","",INDEX('Per Invoice'!D$2:D$801,$W256)))</f>
        <v/>
      </c>
      <c r="E256">
        <f>IF($W256="","",IF(INDEX('Per Invoice'!E$2:E$801,$W256)="","",INDEX('Per Invoice'!E$2:E$801,$W256)))</f>
        <v/>
      </c>
      <c r="F256">
        <f>IF($W256="","",IF(INDEX('Per Invoice'!F$2:F$801,$W256)="","",INDEX('Per Invoice'!F$2:F$801,$W256)))</f>
        <v/>
      </c>
      <c r="G256">
        <f>IF($W256="","",IF(INDEX('Per Invoice'!G$2:G$801,$W256)="","",INDEX('Per Invoice'!G$2:G$801,$W256)))</f>
        <v/>
      </c>
      <c r="H256">
        <f>IF($W256="","",IF(INDEX('Per Invoice'!H$2:H$801,$W256)="","",INDEX('Per Invoice'!H$2:H$801,$W256)))</f>
        <v/>
      </c>
      <c r="I256">
        <f>IF($W256="","",IF(INDEX('Per Invoice'!I$2:I$801,$W256)="","",INDEX('Per Invoice'!I$2:I$801,$W256)))</f>
        <v/>
      </c>
      <c r="J256">
        <f>IF($W256="","",IF(INDEX('Per Invoice'!J$2:J$801,$W256)="","",INDEX('Per Invoice'!J$2:J$801,$W256)))</f>
        <v/>
      </c>
      <c r="K256" s="7">
        <f>IF($W256="","",IF(INDEX('Per Invoice'!K$2:K$801,$W256)="","",INDEX('Per Invoice'!K$2:K$801,$W256)))</f>
        <v/>
      </c>
      <c r="L256" s="14">
        <f>IF($W256="","",IF(INDEX('Per Invoice'!L$2:L$801,$W256)="","",INDEX('Per Invoice'!L$2:L$801,$W256)))</f>
        <v/>
      </c>
      <c r="M256">
        <f>IF($W256="","",IF(INDEX('Per Invoice'!M$2:M$801,$W256)="","",INDEX('Per Invoice'!M$2:M$801,$W256)))</f>
        <v/>
      </c>
      <c r="N256" s="7">
        <f>IF($W256="","",IF(INDEX('Per Invoice'!N$2:N$801,$W256)="","",INDEX('Per Invoice'!N$2:N$801,$W256)))</f>
        <v/>
      </c>
      <c r="O256" s="7">
        <f>IF($W256="","",IF(INDEX('Per Invoice'!O$2:O$801,$W256)="","",INDEX('Per Invoice'!O$2:O$801,$W256)))</f>
        <v/>
      </c>
      <c r="P256">
        <f>IF($W256="","",IF(INDEX('Per Invoice'!P$2:P$801,$W256)="","",INDEX('Per Invoice'!P$2:P$801,$W256)))</f>
        <v/>
      </c>
      <c r="Q256" s="7">
        <f>IF($W256="","",IF(INDEX('Per Invoice'!Q$2:Q$801,$W256)="","",INDEX('Per Invoice'!Q$2:Q$801,$W256)))</f>
        <v/>
      </c>
      <c r="R256" s="7">
        <f>IF($W256="","",IF(INDEX('Per Invoice'!R$2:R$801,$W256)="","",INDEX('Per Invoice'!R$2:R$801,$W256)))</f>
        <v/>
      </c>
      <c r="S256" s="7">
        <f>IF($W256="","",IF(INDEX('Per Invoice'!S$2:S$801,$W256)="","",INDEX('Per Invoice'!S$2:S$801,$W256)))</f>
        <v/>
      </c>
      <c r="T256" s="7">
        <f>IF($W256="","",IF(INDEX('Per Invoice'!T$2:T$801,$W256)="","",INDEX('Per Invoice'!T$2:T$801,$W256)))</f>
        <v/>
      </c>
      <c r="U256" s="7">
        <f>IF($W256="","",IF(INDEX('Per Invoice'!U$2:U$801,$W256)="","",INDEX('Per Invoice'!U$2:U$801,$W256)))</f>
        <v/>
      </c>
      <c r="V256" s="7">
        <f>IF($W256="","",IF(INDEX('Per Invoice'!V$2:V$801,$W256)="","",INDEX('Per Invoice'!V$2:V$801,$W256)))</f>
        <v/>
      </c>
      <c r="W256" s="16">
        <f>IFERROR(MATCH(Settings!$C$30&amp;"|"&amp;ROWS($W$2:$W256),'Per Invoice'!$X$2:$X$801,0),"")</f>
        <v/>
      </c>
    </row>
    <row r="257">
      <c r="A257">
        <f>IF($W257="","",IF(INDEX('Per Invoice'!A$2:A$801,$W257)="","",INDEX('Per Invoice'!A$2:A$801,$W257)))</f>
        <v/>
      </c>
      <c r="B257">
        <f>IF($W257="","",IF(INDEX('Per Invoice'!B$2:B$801,$W257)="","",INDEX('Per Invoice'!B$2:B$801,$W257)))</f>
        <v/>
      </c>
      <c r="C257">
        <f>IF($W257="","",IF(INDEX('Per Invoice'!C$2:C$801,$W257)="","",INDEX('Per Invoice'!C$2:C$801,$W257)))</f>
        <v/>
      </c>
      <c r="D257">
        <f>IF($W257="","",IF(INDEX('Per Invoice'!D$2:D$801,$W257)="","",INDEX('Per Invoice'!D$2:D$801,$W257)))</f>
        <v/>
      </c>
      <c r="E257">
        <f>IF($W257="","",IF(INDEX('Per Invoice'!E$2:E$801,$W257)="","",INDEX('Per Invoice'!E$2:E$801,$W257)))</f>
        <v/>
      </c>
      <c r="F257">
        <f>IF($W257="","",IF(INDEX('Per Invoice'!F$2:F$801,$W257)="","",INDEX('Per Invoice'!F$2:F$801,$W257)))</f>
        <v/>
      </c>
      <c r="G257">
        <f>IF($W257="","",IF(INDEX('Per Invoice'!G$2:G$801,$W257)="","",INDEX('Per Invoice'!G$2:G$801,$W257)))</f>
        <v/>
      </c>
      <c r="H257">
        <f>IF($W257="","",IF(INDEX('Per Invoice'!H$2:H$801,$W257)="","",INDEX('Per Invoice'!H$2:H$801,$W257)))</f>
        <v/>
      </c>
      <c r="I257">
        <f>IF($W257="","",IF(INDEX('Per Invoice'!I$2:I$801,$W257)="","",INDEX('Per Invoice'!I$2:I$801,$W257)))</f>
        <v/>
      </c>
      <c r="J257">
        <f>IF($W257="","",IF(INDEX('Per Invoice'!J$2:J$801,$W257)="","",INDEX('Per Invoice'!J$2:J$801,$W257)))</f>
        <v/>
      </c>
      <c r="K257" s="7">
        <f>IF($W257="","",IF(INDEX('Per Invoice'!K$2:K$801,$W257)="","",INDEX('Per Invoice'!K$2:K$801,$W257)))</f>
        <v/>
      </c>
      <c r="L257" s="14">
        <f>IF($W257="","",IF(INDEX('Per Invoice'!L$2:L$801,$W257)="","",INDEX('Per Invoice'!L$2:L$801,$W257)))</f>
        <v/>
      </c>
      <c r="M257">
        <f>IF($W257="","",IF(INDEX('Per Invoice'!M$2:M$801,$W257)="","",INDEX('Per Invoice'!M$2:M$801,$W257)))</f>
        <v/>
      </c>
      <c r="N257" s="7">
        <f>IF($W257="","",IF(INDEX('Per Invoice'!N$2:N$801,$W257)="","",INDEX('Per Invoice'!N$2:N$801,$W257)))</f>
        <v/>
      </c>
      <c r="O257" s="7">
        <f>IF($W257="","",IF(INDEX('Per Invoice'!O$2:O$801,$W257)="","",INDEX('Per Invoice'!O$2:O$801,$W257)))</f>
        <v/>
      </c>
      <c r="P257">
        <f>IF($W257="","",IF(INDEX('Per Invoice'!P$2:P$801,$W257)="","",INDEX('Per Invoice'!P$2:P$801,$W257)))</f>
        <v/>
      </c>
      <c r="Q257" s="7">
        <f>IF($W257="","",IF(INDEX('Per Invoice'!Q$2:Q$801,$W257)="","",INDEX('Per Invoice'!Q$2:Q$801,$W257)))</f>
        <v/>
      </c>
      <c r="R257" s="7">
        <f>IF($W257="","",IF(INDEX('Per Invoice'!R$2:R$801,$W257)="","",INDEX('Per Invoice'!R$2:R$801,$W257)))</f>
        <v/>
      </c>
      <c r="S257" s="7">
        <f>IF($W257="","",IF(INDEX('Per Invoice'!S$2:S$801,$W257)="","",INDEX('Per Invoice'!S$2:S$801,$W257)))</f>
        <v/>
      </c>
      <c r="T257" s="7">
        <f>IF($W257="","",IF(INDEX('Per Invoice'!T$2:T$801,$W257)="","",INDEX('Per Invoice'!T$2:T$801,$W257)))</f>
        <v/>
      </c>
      <c r="U257" s="7">
        <f>IF($W257="","",IF(INDEX('Per Invoice'!U$2:U$801,$W257)="","",INDEX('Per Invoice'!U$2:U$801,$W257)))</f>
        <v/>
      </c>
      <c r="V257" s="7">
        <f>IF($W257="","",IF(INDEX('Per Invoice'!V$2:V$801,$W257)="","",INDEX('Per Invoice'!V$2:V$801,$W257)))</f>
        <v/>
      </c>
      <c r="W257" s="16">
        <f>IFERROR(MATCH(Settings!$C$30&amp;"|"&amp;ROWS($W$2:$W257),'Per Invoice'!$X$2:$X$801,0),"")</f>
        <v/>
      </c>
    </row>
    <row r="258">
      <c r="A258">
        <f>IF($W258="","",IF(INDEX('Per Invoice'!A$2:A$801,$W258)="","",INDEX('Per Invoice'!A$2:A$801,$W258)))</f>
        <v/>
      </c>
      <c r="B258">
        <f>IF($W258="","",IF(INDEX('Per Invoice'!B$2:B$801,$W258)="","",INDEX('Per Invoice'!B$2:B$801,$W258)))</f>
        <v/>
      </c>
      <c r="C258">
        <f>IF($W258="","",IF(INDEX('Per Invoice'!C$2:C$801,$W258)="","",INDEX('Per Invoice'!C$2:C$801,$W258)))</f>
        <v/>
      </c>
      <c r="D258">
        <f>IF($W258="","",IF(INDEX('Per Invoice'!D$2:D$801,$W258)="","",INDEX('Per Invoice'!D$2:D$801,$W258)))</f>
        <v/>
      </c>
      <c r="E258">
        <f>IF($W258="","",IF(INDEX('Per Invoice'!E$2:E$801,$W258)="","",INDEX('Per Invoice'!E$2:E$801,$W258)))</f>
        <v/>
      </c>
      <c r="F258">
        <f>IF($W258="","",IF(INDEX('Per Invoice'!F$2:F$801,$W258)="","",INDEX('Per Invoice'!F$2:F$801,$W258)))</f>
        <v/>
      </c>
      <c r="G258">
        <f>IF($W258="","",IF(INDEX('Per Invoice'!G$2:G$801,$W258)="","",INDEX('Per Invoice'!G$2:G$801,$W258)))</f>
        <v/>
      </c>
      <c r="H258">
        <f>IF($W258="","",IF(INDEX('Per Invoice'!H$2:H$801,$W258)="","",INDEX('Per Invoice'!H$2:H$801,$W258)))</f>
        <v/>
      </c>
      <c r="I258">
        <f>IF($W258="","",IF(INDEX('Per Invoice'!I$2:I$801,$W258)="","",INDEX('Per Invoice'!I$2:I$801,$W258)))</f>
        <v/>
      </c>
      <c r="J258">
        <f>IF($W258="","",IF(INDEX('Per Invoice'!J$2:J$801,$W258)="","",INDEX('Per Invoice'!J$2:J$801,$W258)))</f>
        <v/>
      </c>
      <c r="K258" s="7">
        <f>IF($W258="","",IF(INDEX('Per Invoice'!K$2:K$801,$W258)="","",INDEX('Per Invoice'!K$2:K$801,$W258)))</f>
        <v/>
      </c>
      <c r="L258" s="14">
        <f>IF($W258="","",IF(INDEX('Per Invoice'!L$2:L$801,$W258)="","",INDEX('Per Invoice'!L$2:L$801,$W258)))</f>
        <v/>
      </c>
      <c r="M258">
        <f>IF($W258="","",IF(INDEX('Per Invoice'!M$2:M$801,$W258)="","",INDEX('Per Invoice'!M$2:M$801,$W258)))</f>
        <v/>
      </c>
      <c r="N258" s="7">
        <f>IF($W258="","",IF(INDEX('Per Invoice'!N$2:N$801,$W258)="","",INDEX('Per Invoice'!N$2:N$801,$W258)))</f>
        <v/>
      </c>
      <c r="O258" s="7">
        <f>IF($W258="","",IF(INDEX('Per Invoice'!O$2:O$801,$W258)="","",INDEX('Per Invoice'!O$2:O$801,$W258)))</f>
        <v/>
      </c>
      <c r="P258">
        <f>IF($W258="","",IF(INDEX('Per Invoice'!P$2:P$801,$W258)="","",INDEX('Per Invoice'!P$2:P$801,$W258)))</f>
        <v/>
      </c>
      <c r="Q258" s="7">
        <f>IF($W258="","",IF(INDEX('Per Invoice'!Q$2:Q$801,$W258)="","",INDEX('Per Invoice'!Q$2:Q$801,$W258)))</f>
        <v/>
      </c>
      <c r="R258" s="7">
        <f>IF($W258="","",IF(INDEX('Per Invoice'!R$2:R$801,$W258)="","",INDEX('Per Invoice'!R$2:R$801,$W258)))</f>
        <v/>
      </c>
      <c r="S258" s="7">
        <f>IF($W258="","",IF(INDEX('Per Invoice'!S$2:S$801,$W258)="","",INDEX('Per Invoice'!S$2:S$801,$W258)))</f>
        <v/>
      </c>
      <c r="T258" s="7">
        <f>IF($W258="","",IF(INDEX('Per Invoice'!T$2:T$801,$W258)="","",INDEX('Per Invoice'!T$2:T$801,$W258)))</f>
        <v/>
      </c>
      <c r="U258" s="7">
        <f>IF($W258="","",IF(INDEX('Per Invoice'!U$2:U$801,$W258)="","",INDEX('Per Invoice'!U$2:U$801,$W258)))</f>
        <v/>
      </c>
      <c r="V258" s="7">
        <f>IF($W258="","",IF(INDEX('Per Invoice'!V$2:V$801,$W258)="","",INDEX('Per Invoice'!V$2:V$801,$W258)))</f>
        <v/>
      </c>
      <c r="W258" s="16">
        <f>IFERROR(MATCH(Settings!$C$30&amp;"|"&amp;ROWS($W$2:$W258),'Per Invoice'!$X$2:$X$801,0),"")</f>
        <v/>
      </c>
    </row>
    <row r="259">
      <c r="A259">
        <f>IF($W259="","",IF(INDEX('Per Invoice'!A$2:A$801,$W259)="","",INDEX('Per Invoice'!A$2:A$801,$W259)))</f>
        <v/>
      </c>
      <c r="B259">
        <f>IF($W259="","",IF(INDEX('Per Invoice'!B$2:B$801,$W259)="","",INDEX('Per Invoice'!B$2:B$801,$W259)))</f>
        <v/>
      </c>
      <c r="C259">
        <f>IF($W259="","",IF(INDEX('Per Invoice'!C$2:C$801,$W259)="","",INDEX('Per Invoice'!C$2:C$801,$W259)))</f>
        <v/>
      </c>
      <c r="D259">
        <f>IF($W259="","",IF(INDEX('Per Invoice'!D$2:D$801,$W259)="","",INDEX('Per Invoice'!D$2:D$801,$W259)))</f>
        <v/>
      </c>
      <c r="E259">
        <f>IF($W259="","",IF(INDEX('Per Invoice'!E$2:E$801,$W259)="","",INDEX('Per Invoice'!E$2:E$801,$W259)))</f>
        <v/>
      </c>
      <c r="F259">
        <f>IF($W259="","",IF(INDEX('Per Invoice'!F$2:F$801,$W259)="","",INDEX('Per Invoice'!F$2:F$801,$W259)))</f>
        <v/>
      </c>
      <c r="G259">
        <f>IF($W259="","",IF(INDEX('Per Invoice'!G$2:G$801,$W259)="","",INDEX('Per Invoice'!G$2:G$801,$W259)))</f>
        <v/>
      </c>
      <c r="H259">
        <f>IF($W259="","",IF(INDEX('Per Invoice'!H$2:H$801,$W259)="","",INDEX('Per Invoice'!H$2:H$801,$W259)))</f>
        <v/>
      </c>
      <c r="I259">
        <f>IF($W259="","",IF(INDEX('Per Invoice'!I$2:I$801,$W259)="","",INDEX('Per Invoice'!I$2:I$801,$W259)))</f>
        <v/>
      </c>
      <c r="J259">
        <f>IF($W259="","",IF(INDEX('Per Invoice'!J$2:J$801,$W259)="","",INDEX('Per Invoice'!J$2:J$801,$W259)))</f>
        <v/>
      </c>
      <c r="K259" s="7">
        <f>IF($W259="","",IF(INDEX('Per Invoice'!K$2:K$801,$W259)="","",INDEX('Per Invoice'!K$2:K$801,$W259)))</f>
        <v/>
      </c>
      <c r="L259" s="14">
        <f>IF($W259="","",IF(INDEX('Per Invoice'!L$2:L$801,$W259)="","",INDEX('Per Invoice'!L$2:L$801,$W259)))</f>
        <v/>
      </c>
      <c r="M259">
        <f>IF($W259="","",IF(INDEX('Per Invoice'!M$2:M$801,$W259)="","",INDEX('Per Invoice'!M$2:M$801,$W259)))</f>
        <v/>
      </c>
      <c r="N259" s="7">
        <f>IF($W259="","",IF(INDEX('Per Invoice'!N$2:N$801,$W259)="","",INDEX('Per Invoice'!N$2:N$801,$W259)))</f>
        <v/>
      </c>
      <c r="O259" s="7">
        <f>IF($W259="","",IF(INDEX('Per Invoice'!O$2:O$801,$W259)="","",INDEX('Per Invoice'!O$2:O$801,$W259)))</f>
        <v/>
      </c>
      <c r="P259">
        <f>IF($W259="","",IF(INDEX('Per Invoice'!P$2:P$801,$W259)="","",INDEX('Per Invoice'!P$2:P$801,$W259)))</f>
        <v/>
      </c>
      <c r="Q259" s="7">
        <f>IF($W259="","",IF(INDEX('Per Invoice'!Q$2:Q$801,$W259)="","",INDEX('Per Invoice'!Q$2:Q$801,$W259)))</f>
        <v/>
      </c>
      <c r="R259" s="7">
        <f>IF($W259="","",IF(INDEX('Per Invoice'!R$2:R$801,$W259)="","",INDEX('Per Invoice'!R$2:R$801,$W259)))</f>
        <v/>
      </c>
      <c r="S259" s="7">
        <f>IF($W259="","",IF(INDEX('Per Invoice'!S$2:S$801,$W259)="","",INDEX('Per Invoice'!S$2:S$801,$W259)))</f>
        <v/>
      </c>
      <c r="T259" s="7">
        <f>IF($W259="","",IF(INDEX('Per Invoice'!T$2:T$801,$W259)="","",INDEX('Per Invoice'!T$2:T$801,$W259)))</f>
        <v/>
      </c>
      <c r="U259" s="7">
        <f>IF($W259="","",IF(INDEX('Per Invoice'!U$2:U$801,$W259)="","",INDEX('Per Invoice'!U$2:U$801,$W259)))</f>
        <v/>
      </c>
      <c r="V259" s="7">
        <f>IF($W259="","",IF(INDEX('Per Invoice'!V$2:V$801,$W259)="","",INDEX('Per Invoice'!V$2:V$801,$W259)))</f>
        <v/>
      </c>
      <c r="W259" s="16">
        <f>IFERROR(MATCH(Settings!$C$30&amp;"|"&amp;ROWS($W$2:$W259),'Per Invoice'!$X$2:$X$801,0),"")</f>
        <v/>
      </c>
    </row>
    <row r="260">
      <c r="A260">
        <f>IF($W260="","",IF(INDEX('Per Invoice'!A$2:A$801,$W260)="","",INDEX('Per Invoice'!A$2:A$801,$W260)))</f>
        <v/>
      </c>
      <c r="B260">
        <f>IF($W260="","",IF(INDEX('Per Invoice'!B$2:B$801,$W260)="","",INDEX('Per Invoice'!B$2:B$801,$W260)))</f>
        <v/>
      </c>
      <c r="C260">
        <f>IF($W260="","",IF(INDEX('Per Invoice'!C$2:C$801,$W260)="","",INDEX('Per Invoice'!C$2:C$801,$W260)))</f>
        <v/>
      </c>
      <c r="D260">
        <f>IF($W260="","",IF(INDEX('Per Invoice'!D$2:D$801,$W260)="","",INDEX('Per Invoice'!D$2:D$801,$W260)))</f>
        <v/>
      </c>
      <c r="E260">
        <f>IF($W260="","",IF(INDEX('Per Invoice'!E$2:E$801,$W260)="","",INDEX('Per Invoice'!E$2:E$801,$W260)))</f>
        <v/>
      </c>
      <c r="F260">
        <f>IF($W260="","",IF(INDEX('Per Invoice'!F$2:F$801,$W260)="","",INDEX('Per Invoice'!F$2:F$801,$W260)))</f>
        <v/>
      </c>
      <c r="G260">
        <f>IF($W260="","",IF(INDEX('Per Invoice'!G$2:G$801,$W260)="","",INDEX('Per Invoice'!G$2:G$801,$W260)))</f>
        <v/>
      </c>
      <c r="H260">
        <f>IF($W260="","",IF(INDEX('Per Invoice'!H$2:H$801,$W260)="","",INDEX('Per Invoice'!H$2:H$801,$W260)))</f>
        <v/>
      </c>
      <c r="I260">
        <f>IF($W260="","",IF(INDEX('Per Invoice'!I$2:I$801,$W260)="","",INDEX('Per Invoice'!I$2:I$801,$W260)))</f>
        <v/>
      </c>
      <c r="J260">
        <f>IF($W260="","",IF(INDEX('Per Invoice'!J$2:J$801,$W260)="","",INDEX('Per Invoice'!J$2:J$801,$W260)))</f>
        <v/>
      </c>
      <c r="K260" s="7">
        <f>IF($W260="","",IF(INDEX('Per Invoice'!K$2:K$801,$W260)="","",INDEX('Per Invoice'!K$2:K$801,$W260)))</f>
        <v/>
      </c>
      <c r="L260" s="14">
        <f>IF($W260="","",IF(INDEX('Per Invoice'!L$2:L$801,$W260)="","",INDEX('Per Invoice'!L$2:L$801,$W260)))</f>
        <v/>
      </c>
      <c r="M260">
        <f>IF($W260="","",IF(INDEX('Per Invoice'!M$2:M$801,$W260)="","",INDEX('Per Invoice'!M$2:M$801,$W260)))</f>
        <v/>
      </c>
      <c r="N260" s="7">
        <f>IF($W260="","",IF(INDEX('Per Invoice'!N$2:N$801,$W260)="","",INDEX('Per Invoice'!N$2:N$801,$W260)))</f>
        <v/>
      </c>
      <c r="O260" s="7">
        <f>IF($W260="","",IF(INDEX('Per Invoice'!O$2:O$801,$W260)="","",INDEX('Per Invoice'!O$2:O$801,$W260)))</f>
        <v/>
      </c>
      <c r="P260">
        <f>IF($W260="","",IF(INDEX('Per Invoice'!P$2:P$801,$W260)="","",INDEX('Per Invoice'!P$2:P$801,$W260)))</f>
        <v/>
      </c>
      <c r="Q260" s="7">
        <f>IF($W260="","",IF(INDEX('Per Invoice'!Q$2:Q$801,$W260)="","",INDEX('Per Invoice'!Q$2:Q$801,$W260)))</f>
        <v/>
      </c>
      <c r="R260" s="7">
        <f>IF($W260="","",IF(INDEX('Per Invoice'!R$2:R$801,$W260)="","",INDEX('Per Invoice'!R$2:R$801,$W260)))</f>
        <v/>
      </c>
      <c r="S260" s="7">
        <f>IF($W260="","",IF(INDEX('Per Invoice'!S$2:S$801,$W260)="","",INDEX('Per Invoice'!S$2:S$801,$W260)))</f>
        <v/>
      </c>
      <c r="T260" s="7">
        <f>IF($W260="","",IF(INDEX('Per Invoice'!T$2:T$801,$W260)="","",INDEX('Per Invoice'!T$2:T$801,$W260)))</f>
        <v/>
      </c>
      <c r="U260" s="7">
        <f>IF($W260="","",IF(INDEX('Per Invoice'!U$2:U$801,$W260)="","",INDEX('Per Invoice'!U$2:U$801,$W260)))</f>
        <v/>
      </c>
      <c r="V260" s="7">
        <f>IF($W260="","",IF(INDEX('Per Invoice'!V$2:V$801,$W260)="","",INDEX('Per Invoice'!V$2:V$801,$W260)))</f>
        <v/>
      </c>
      <c r="W260" s="16">
        <f>IFERROR(MATCH(Settings!$C$30&amp;"|"&amp;ROWS($W$2:$W260),'Per Invoice'!$X$2:$X$801,0),"")</f>
        <v/>
      </c>
    </row>
    <row r="261">
      <c r="A261">
        <f>IF($W261="","",IF(INDEX('Per Invoice'!A$2:A$801,$W261)="","",INDEX('Per Invoice'!A$2:A$801,$W261)))</f>
        <v/>
      </c>
      <c r="B261">
        <f>IF($W261="","",IF(INDEX('Per Invoice'!B$2:B$801,$W261)="","",INDEX('Per Invoice'!B$2:B$801,$W261)))</f>
        <v/>
      </c>
      <c r="C261">
        <f>IF($W261="","",IF(INDEX('Per Invoice'!C$2:C$801,$W261)="","",INDEX('Per Invoice'!C$2:C$801,$W261)))</f>
        <v/>
      </c>
      <c r="D261">
        <f>IF($W261="","",IF(INDEX('Per Invoice'!D$2:D$801,$W261)="","",INDEX('Per Invoice'!D$2:D$801,$W261)))</f>
        <v/>
      </c>
      <c r="E261">
        <f>IF($W261="","",IF(INDEX('Per Invoice'!E$2:E$801,$W261)="","",INDEX('Per Invoice'!E$2:E$801,$W261)))</f>
        <v/>
      </c>
      <c r="F261">
        <f>IF($W261="","",IF(INDEX('Per Invoice'!F$2:F$801,$W261)="","",INDEX('Per Invoice'!F$2:F$801,$W261)))</f>
        <v/>
      </c>
      <c r="G261">
        <f>IF($W261="","",IF(INDEX('Per Invoice'!G$2:G$801,$W261)="","",INDEX('Per Invoice'!G$2:G$801,$W261)))</f>
        <v/>
      </c>
      <c r="H261">
        <f>IF($W261="","",IF(INDEX('Per Invoice'!H$2:H$801,$W261)="","",INDEX('Per Invoice'!H$2:H$801,$W261)))</f>
        <v/>
      </c>
      <c r="I261">
        <f>IF($W261="","",IF(INDEX('Per Invoice'!I$2:I$801,$W261)="","",INDEX('Per Invoice'!I$2:I$801,$W261)))</f>
        <v/>
      </c>
      <c r="J261">
        <f>IF($W261="","",IF(INDEX('Per Invoice'!J$2:J$801,$W261)="","",INDEX('Per Invoice'!J$2:J$801,$W261)))</f>
        <v/>
      </c>
      <c r="K261" s="7">
        <f>IF($W261="","",IF(INDEX('Per Invoice'!K$2:K$801,$W261)="","",INDEX('Per Invoice'!K$2:K$801,$W261)))</f>
        <v/>
      </c>
      <c r="L261" s="14">
        <f>IF($W261="","",IF(INDEX('Per Invoice'!L$2:L$801,$W261)="","",INDEX('Per Invoice'!L$2:L$801,$W261)))</f>
        <v/>
      </c>
      <c r="M261">
        <f>IF($W261="","",IF(INDEX('Per Invoice'!M$2:M$801,$W261)="","",INDEX('Per Invoice'!M$2:M$801,$W261)))</f>
        <v/>
      </c>
      <c r="N261" s="7">
        <f>IF($W261="","",IF(INDEX('Per Invoice'!N$2:N$801,$W261)="","",INDEX('Per Invoice'!N$2:N$801,$W261)))</f>
        <v/>
      </c>
      <c r="O261" s="7">
        <f>IF($W261="","",IF(INDEX('Per Invoice'!O$2:O$801,$W261)="","",INDEX('Per Invoice'!O$2:O$801,$W261)))</f>
        <v/>
      </c>
      <c r="P261">
        <f>IF($W261="","",IF(INDEX('Per Invoice'!P$2:P$801,$W261)="","",INDEX('Per Invoice'!P$2:P$801,$W261)))</f>
        <v/>
      </c>
      <c r="Q261" s="7">
        <f>IF($W261="","",IF(INDEX('Per Invoice'!Q$2:Q$801,$W261)="","",INDEX('Per Invoice'!Q$2:Q$801,$W261)))</f>
        <v/>
      </c>
      <c r="R261" s="7">
        <f>IF($W261="","",IF(INDEX('Per Invoice'!R$2:R$801,$W261)="","",INDEX('Per Invoice'!R$2:R$801,$W261)))</f>
        <v/>
      </c>
      <c r="S261" s="7">
        <f>IF($W261="","",IF(INDEX('Per Invoice'!S$2:S$801,$W261)="","",INDEX('Per Invoice'!S$2:S$801,$W261)))</f>
        <v/>
      </c>
      <c r="T261" s="7">
        <f>IF($W261="","",IF(INDEX('Per Invoice'!T$2:T$801,$W261)="","",INDEX('Per Invoice'!T$2:T$801,$W261)))</f>
        <v/>
      </c>
      <c r="U261" s="7">
        <f>IF($W261="","",IF(INDEX('Per Invoice'!U$2:U$801,$W261)="","",INDEX('Per Invoice'!U$2:U$801,$W261)))</f>
        <v/>
      </c>
      <c r="V261" s="7">
        <f>IF($W261="","",IF(INDEX('Per Invoice'!V$2:V$801,$W261)="","",INDEX('Per Invoice'!V$2:V$801,$W261)))</f>
        <v/>
      </c>
      <c r="W261" s="16">
        <f>IFERROR(MATCH(Settings!$C$30&amp;"|"&amp;ROWS($W$2:$W261),'Per Invoice'!$X$2:$X$801,0),"")</f>
        <v/>
      </c>
    </row>
    <row r="262">
      <c r="A262">
        <f>IF($W262="","",IF(INDEX('Per Invoice'!A$2:A$801,$W262)="","",INDEX('Per Invoice'!A$2:A$801,$W262)))</f>
        <v/>
      </c>
      <c r="B262">
        <f>IF($W262="","",IF(INDEX('Per Invoice'!B$2:B$801,$W262)="","",INDEX('Per Invoice'!B$2:B$801,$W262)))</f>
        <v/>
      </c>
      <c r="C262">
        <f>IF($W262="","",IF(INDEX('Per Invoice'!C$2:C$801,$W262)="","",INDEX('Per Invoice'!C$2:C$801,$W262)))</f>
        <v/>
      </c>
      <c r="D262">
        <f>IF($W262="","",IF(INDEX('Per Invoice'!D$2:D$801,$W262)="","",INDEX('Per Invoice'!D$2:D$801,$W262)))</f>
        <v/>
      </c>
      <c r="E262">
        <f>IF($W262="","",IF(INDEX('Per Invoice'!E$2:E$801,$W262)="","",INDEX('Per Invoice'!E$2:E$801,$W262)))</f>
        <v/>
      </c>
      <c r="F262">
        <f>IF($W262="","",IF(INDEX('Per Invoice'!F$2:F$801,$W262)="","",INDEX('Per Invoice'!F$2:F$801,$W262)))</f>
        <v/>
      </c>
      <c r="G262">
        <f>IF($W262="","",IF(INDEX('Per Invoice'!G$2:G$801,$W262)="","",INDEX('Per Invoice'!G$2:G$801,$W262)))</f>
        <v/>
      </c>
      <c r="H262">
        <f>IF($W262="","",IF(INDEX('Per Invoice'!H$2:H$801,$W262)="","",INDEX('Per Invoice'!H$2:H$801,$W262)))</f>
        <v/>
      </c>
      <c r="I262">
        <f>IF($W262="","",IF(INDEX('Per Invoice'!I$2:I$801,$W262)="","",INDEX('Per Invoice'!I$2:I$801,$W262)))</f>
        <v/>
      </c>
      <c r="J262">
        <f>IF($W262="","",IF(INDEX('Per Invoice'!J$2:J$801,$W262)="","",INDEX('Per Invoice'!J$2:J$801,$W262)))</f>
        <v/>
      </c>
      <c r="K262" s="7">
        <f>IF($W262="","",IF(INDEX('Per Invoice'!K$2:K$801,$W262)="","",INDEX('Per Invoice'!K$2:K$801,$W262)))</f>
        <v/>
      </c>
      <c r="L262" s="14">
        <f>IF($W262="","",IF(INDEX('Per Invoice'!L$2:L$801,$W262)="","",INDEX('Per Invoice'!L$2:L$801,$W262)))</f>
        <v/>
      </c>
      <c r="M262">
        <f>IF($W262="","",IF(INDEX('Per Invoice'!M$2:M$801,$W262)="","",INDEX('Per Invoice'!M$2:M$801,$W262)))</f>
        <v/>
      </c>
      <c r="N262" s="7">
        <f>IF($W262="","",IF(INDEX('Per Invoice'!N$2:N$801,$W262)="","",INDEX('Per Invoice'!N$2:N$801,$W262)))</f>
        <v/>
      </c>
      <c r="O262" s="7">
        <f>IF($W262="","",IF(INDEX('Per Invoice'!O$2:O$801,$W262)="","",INDEX('Per Invoice'!O$2:O$801,$W262)))</f>
        <v/>
      </c>
      <c r="P262">
        <f>IF($W262="","",IF(INDEX('Per Invoice'!P$2:P$801,$W262)="","",INDEX('Per Invoice'!P$2:P$801,$W262)))</f>
        <v/>
      </c>
      <c r="Q262" s="7">
        <f>IF($W262="","",IF(INDEX('Per Invoice'!Q$2:Q$801,$W262)="","",INDEX('Per Invoice'!Q$2:Q$801,$W262)))</f>
        <v/>
      </c>
      <c r="R262" s="7">
        <f>IF($W262="","",IF(INDEX('Per Invoice'!R$2:R$801,$W262)="","",INDEX('Per Invoice'!R$2:R$801,$W262)))</f>
        <v/>
      </c>
      <c r="S262" s="7">
        <f>IF($W262="","",IF(INDEX('Per Invoice'!S$2:S$801,$W262)="","",INDEX('Per Invoice'!S$2:S$801,$W262)))</f>
        <v/>
      </c>
      <c r="T262" s="7">
        <f>IF($W262="","",IF(INDEX('Per Invoice'!T$2:T$801,$W262)="","",INDEX('Per Invoice'!T$2:T$801,$W262)))</f>
        <v/>
      </c>
      <c r="U262" s="7">
        <f>IF($W262="","",IF(INDEX('Per Invoice'!U$2:U$801,$W262)="","",INDEX('Per Invoice'!U$2:U$801,$W262)))</f>
        <v/>
      </c>
      <c r="V262" s="7">
        <f>IF($W262="","",IF(INDEX('Per Invoice'!V$2:V$801,$W262)="","",INDEX('Per Invoice'!V$2:V$801,$W262)))</f>
        <v/>
      </c>
      <c r="W262" s="16">
        <f>IFERROR(MATCH(Settings!$C$30&amp;"|"&amp;ROWS($W$2:$W262),'Per Invoice'!$X$2:$X$801,0),"")</f>
        <v/>
      </c>
    </row>
    <row r="263">
      <c r="A263">
        <f>IF($W263="","",IF(INDEX('Per Invoice'!A$2:A$801,$W263)="","",INDEX('Per Invoice'!A$2:A$801,$W263)))</f>
        <v/>
      </c>
      <c r="B263">
        <f>IF($W263="","",IF(INDEX('Per Invoice'!B$2:B$801,$W263)="","",INDEX('Per Invoice'!B$2:B$801,$W263)))</f>
        <v/>
      </c>
      <c r="C263">
        <f>IF($W263="","",IF(INDEX('Per Invoice'!C$2:C$801,$W263)="","",INDEX('Per Invoice'!C$2:C$801,$W263)))</f>
        <v/>
      </c>
      <c r="D263">
        <f>IF($W263="","",IF(INDEX('Per Invoice'!D$2:D$801,$W263)="","",INDEX('Per Invoice'!D$2:D$801,$W263)))</f>
        <v/>
      </c>
      <c r="E263">
        <f>IF($W263="","",IF(INDEX('Per Invoice'!E$2:E$801,$W263)="","",INDEX('Per Invoice'!E$2:E$801,$W263)))</f>
        <v/>
      </c>
      <c r="F263">
        <f>IF($W263="","",IF(INDEX('Per Invoice'!F$2:F$801,$W263)="","",INDEX('Per Invoice'!F$2:F$801,$W263)))</f>
        <v/>
      </c>
      <c r="G263">
        <f>IF($W263="","",IF(INDEX('Per Invoice'!G$2:G$801,$W263)="","",INDEX('Per Invoice'!G$2:G$801,$W263)))</f>
        <v/>
      </c>
      <c r="H263">
        <f>IF($W263="","",IF(INDEX('Per Invoice'!H$2:H$801,$W263)="","",INDEX('Per Invoice'!H$2:H$801,$W263)))</f>
        <v/>
      </c>
      <c r="I263">
        <f>IF($W263="","",IF(INDEX('Per Invoice'!I$2:I$801,$W263)="","",INDEX('Per Invoice'!I$2:I$801,$W263)))</f>
        <v/>
      </c>
      <c r="J263">
        <f>IF($W263="","",IF(INDEX('Per Invoice'!J$2:J$801,$W263)="","",INDEX('Per Invoice'!J$2:J$801,$W263)))</f>
        <v/>
      </c>
      <c r="K263" s="7">
        <f>IF($W263="","",IF(INDEX('Per Invoice'!K$2:K$801,$W263)="","",INDEX('Per Invoice'!K$2:K$801,$W263)))</f>
        <v/>
      </c>
      <c r="L263" s="14">
        <f>IF($W263="","",IF(INDEX('Per Invoice'!L$2:L$801,$W263)="","",INDEX('Per Invoice'!L$2:L$801,$W263)))</f>
        <v/>
      </c>
      <c r="M263">
        <f>IF($W263="","",IF(INDEX('Per Invoice'!M$2:M$801,$W263)="","",INDEX('Per Invoice'!M$2:M$801,$W263)))</f>
        <v/>
      </c>
      <c r="N263" s="7">
        <f>IF($W263="","",IF(INDEX('Per Invoice'!N$2:N$801,$W263)="","",INDEX('Per Invoice'!N$2:N$801,$W263)))</f>
        <v/>
      </c>
      <c r="O263" s="7">
        <f>IF($W263="","",IF(INDEX('Per Invoice'!O$2:O$801,$W263)="","",INDEX('Per Invoice'!O$2:O$801,$W263)))</f>
        <v/>
      </c>
      <c r="P263">
        <f>IF($W263="","",IF(INDEX('Per Invoice'!P$2:P$801,$W263)="","",INDEX('Per Invoice'!P$2:P$801,$W263)))</f>
        <v/>
      </c>
      <c r="Q263" s="7">
        <f>IF($W263="","",IF(INDEX('Per Invoice'!Q$2:Q$801,$W263)="","",INDEX('Per Invoice'!Q$2:Q$801,$W263)))</f>
        <v/>
      </c>
      <c r="R263" s="7">
        <f>IF($W263="","",IF(INDEX('Per Invoice'!R$2:R$801,$W263)="","",INDEX('Per Invoice'!R$2:R$801,$W263)))</f>
        <v/>
      </c>
      <c r="S263" s="7">
        <f>IF($W263="","",IF(INDEX('Per Invoice'!S$2:S$801,$W263)="","",INDEX('Per Invoice'!S$2:S$801,$W263)))</f>
        <v/>
      </c>
      <c r="T263" s="7">
        <f>IF($W263="","",IF(INDEX('Per Invoice'!T$2:T$801,$W263)="","",INDEX('Per Invoice'!T$2:T$801,$W263)))</f>
        <v/>
      </c>
      <c r="U263" s="7">
        <f>IF($W263="","",IF(INDEX('Per Invoice'!U$2:U$801,$W263)="","",INDEX('Per Invoice'!U$2:U$801,$W263)))</f>
        <v/>
      </c>
      <c r="V263" s="7">
        <f>IF($W263="","",IF(INDEX('Per Invoice'!V$2:V$801,$W263)="","",INDEX('Per Invoice'!V$2:V$801,$W263)))</f>
        <v/>
      </c>
      <c r="W263" s="16">
        <f>IFERROR(MATCH(Settings!$C$30&amp;"|"&amp;ROWS($W$2:$W263),'Per Invoice'!$X$2:$X$801,0),"")</f>
        <v/>
      </c>
    </row>
    <row r="264">
      <c r="A264">
        <f>IF($W264="","",IF(INDEX('Per Invoice'!A$2:A$801,$W264)="","",INDEX('Per Invoice'!A$2:A$801,$W264)))</f>
        <v/>
      </c>
      <c r="B264">
        <f>IF($W264="","",IF(INDEX('Per Invoice'!B$2:B$801,$W264)="","",INDEX('Per Invoice'!B$2:B$801,$W264)))</f>
        <v/>
      </c>
      <c r="C264">
        <f>IF($W264="","",IF(INDEX('Per Invoice'!C$2:C$801,$W264)="","",INDEX('Per Invoice'!C$2:C$801,$W264)))</f>
        <v/>
      </c>
      <c r="D264">
        <f>IF($W264="","",IF(INDEX('Per Invoice'!D$2:D$801,$W264)="","",INDEX('Per Invoice'!D$2:D$801,$W264)))</f>
        <v/>
      </c>
      <c r="E264">
        <f>IF($W264="","",IF(INDEX('Per Invoice'!E$2:E$801,$W264)="","",INDEX('Per Invoice'!E$2:E$801,$W264)))</f>
        <v/>
      </c>
      <c r="F264">
        <f>IF($W264="","",IF(INDEX('Per Invoice'!F$2:F$801,$W264)="","",INDEX('Per Invoice'!F$2:F$801,$W264)))</f>
        <v/>
      </c>
      <c r="G264">
        <f>IF($W264="","",IF(INDEX('Per Invoice'!G$2:G$801,$W264)="","",INDEX('Per Invoice'!G$2:G$801,$W264)))</f>
        <v/>
      </c>
      <c r="H264">
        <f>IF($W264="","",IF(INDEX('Per Invoice'!H$2:H$801,$W264)="","",INDEX('Per Invoice'!H$2:H$801,$W264)))</f>
        <v/>
      </c>
      <c r="I264">
        <f>IF($W264="","",IF(INDEX('Per Invoice'!I$2:I$801,$W264)="","",INDEX('Per Invoice'!I$2:I$801,$W264)))</f>
        <v/>
      </c>
      <c r="J264">
        <f>IF($W264="","",IF(INDEX('Per Invoice'!J$2:J$801,$W264)="","",INDEX('Per Invoice'!J$2:J$801,$W264)))</f>
        <v/>
      </c>
      <c r="K264" s="7">
        <f>IF($W264="","",IF(INDEX('Per Invoice'!K$2:K$801,$W264)="","",INDEX('Per Invoice'!K$2:K$801,$W264)))</f>
        <v/>
      </c>
      <c r="L264" s="14">
        <f>IF($W264="","",IF(INDEX('Per Invoice'!L$2:L$801,$W264)="","",INDEX('Per Invoice'!L$2:L$801,$W264)))</f>
        <v/>
      </c>
      <c r="M264">
        <f>IF($W264="","",IF(INDEX('Per Invoice'!M$2:M$801,$W264)="","",INDEX('Per Invoice'!M$2:M$801,$W264)))</f>
        <v/>
      </c>
      <c r="N264" s="7">
        <f>IF($W264="","",IF(INDEX('Per Invoice'!N$2:N$801,$W264)="","",INDEX('Per Invoice'!N$2:N$801,$W264)))</f>
        <v/>
      </c>
      <c r="O264" s="7">
        <f>IF($W264="","",IF(INDEX('Per Invoice'!O$2:O$801,$W264)="","",INDEX('Per Invoice'!O$2:O$801,$W264)))</f>
        <v/>
      </c>
      <c r="P264">
        <f>IF($W264="","",IF(INDEX('Per Invoice'!P$2:P$801,$W264)="","",INDEX('Per Invoice'!P$2:P$801,$W264)))</f>
        <v/>
      </c>
      <c r="Q264" s="7">
        <f>IF($W264="","",IF(INDEX('Per Invoice'!Q$2:Q$801,$W264)="","",INDEX('Per Invoice'!Q$2:Q$801,$W264)))</f>
        <v/>
      </c>
      <c r="R264" s="7">
        <f>IF($W264="","",IF(INDEX('Per Invoice'!R$2:R$801,$W264)="","",INDEX('Per Invoice'!R$2:R$801,$W264)))</f>
        <v/>
      </c>
      <c r="S264" s="7">
        <f>IF($W264="","",IF(INDEX('Per Invoice'!S$2:S$801,$W264)="","",INDEX('Per Invoice'!S$2:S$801,$W264)))</f>
        <v/>
      </c>
      <c r="T264" s="7">
        <f>IF($W264="","",IF(INDEX('Per Invoice'!T$2:T$801,$W264)="","",INDEX('Per Invoice'!T$2:T$801,$W264)))</f>
        <v/>
      </c>
      <c r="U264" s="7">
        <f>IF($W264="","",IF(INDEX('Per Invoice'!U$2:U$801,$W264)="","",INDEX('Per Invoice'!U$2:U$801,$W264)))</f>
        <v/>
      </c>
      <c r="V264" s="7">
        <f>IF($W264="","",IF(INDEX('Per Invoice'!V$2:V$801,$W264)="","",INDEX('Per Invoice'!V$2:V$801,$W264)))</f>
        <v/>
      </c>
      <c r="W264" s="16">
        <f>IFERROR(MATCH(Settings!$C$30&amp;"|"&amp;ROWS($W$2:$W264),'Per Invoice'!$X$2:$X$801,0),"")</f>
        <v/>
      </c>
    </row>
    <row r="265">
      <c r="A265">
        <f>IF($W265="","",IF(INDEX('Per Invoice'!A$2:A$801,$W265)="","",INDEX('Per Invoice'!A$2:A$801,$W265)))</f>
        <v/>
      </c>
      <c r="B265">
        <f>IF($W265="","",IF(INDEX('Per Invoice'!B$2:B$801,$W265)="","",INDEX('Per Invoice'!B$2:B$801,$W265)))</f>
        <v/>
      </c>
      <c r="C265">
        <f>IF($W265="","",IF(INDEX('Per Invoice'!C$2:C$801,$W265)="","",INDEX('Per Invoice'!C$2:C$801,$W265)))</f>
        <v/>
      </c>
      <c r="D265">
        <f>IF($W265="","",IF(INDEX('Per Invoice'!D$2:D$801,$W265)="","",INDEX('Per Invoice'!D$2:D$801,$W265)))</f>
        <v/>
      </c>
      <c r="E265">
        <f>IF($W265="","",IF(INDEX('Per Invoice'!E$2:E$801,$W265)="","",INDEX('Per Invoice'!E$2:E$801,$W265)))</f>
        <v/>
      </c>
      <c r="F265">
        <f>IF($W265="","",IF(INDEX('Per Invoice'!F$2:F$801,$W265)="","",INDEX('Per Invoice'!F$2:F$801,$W265)))</f>
        <v/>
      </c>
      <c r="G265">
        <f>IF($W265="","",IF(INDEX('Per Invoice'!G$2:G$801,$W265)="","",INDEX('Per Invoice'!G$2:G$801,$W265)))</f>
        <v/>
      </c>
      <c r="H265">
        <f>IF($W265="","",IF(INDEX('Per Invoice'!H$2:H$801,$W265)="","",INDEX('Per Invoice'!H$2:H$801,$W265)))</f>
        <v/>
      </c>
      <c r="I265">
        <f>IF($W265="","",IF(INDEX('Per Invoice'!I$2:I$801,$W265)="","",INDEX('Per Invoice'!I$2:I$801,$W265)))</f>
        <v/>
      </c>
      <c r="J265">
        <f>IF($W265="","",IF(INDEX('Per Invoice'!J$2:J$801,$W265)="","",INDEX('Per Invoice'!J$2:J$801,$W265)))</f>
        <v/>
      </c>
      <c r="K265" s="7">
        <f>IF($W265="","",IF(INDEX('Per Invoice'!K$2:K$801,$W265)="","",INDEX('Per Invoice'!K$2:K$801,$W265)))</f>
        <v/>
      </c>
      <c r="L265" s="14">
        <f>IF($W265="","",IF(INDEX('Per Invoice'!L$2:L$801,$W265)="","",INDEX('Per Invoice'!L$2:L$801,$W265)))</f>
        <v/>
      </c>
      <c r="M265">
        <f>IF($W265="","",IF(INDEX('Per Invoice'!M$2:M$801,$W265)="","",INDEX('Per Invoice'!M$2:M$801,$W265)))</f>
        <v/>
      </c>
      <c r="N265" s="7">
        <f>IF($W265="","",IF(INDEX('Per Invoice'!N$2:N$801,$W265)="","",INDEX('Per Invoice'!N$2:N$801,$W265)))</f>
        <v/>
      </c>
      <c r="O265" s="7">
        <f>IF($W265="","",IF(INDEX('Per Invoice'!O$2:O$801,$W265)="","",INDEX('Per Invoice'!O$2:O$801,$W265)))</f>
        <v/>
      </c>
      <c r="P265">
        <f>IF($W265="","",IF(INDEX('Per Invoice'!P$2:P$801,$W265)="","",INDEX('Per Invoice'!P$2:P$801,$W265)))</f>
        <v/>
      </c>
      <c r="Q265" s="7">
        <f>IF($W265="","",IF(INDEX('Per Invoice'!Q$2:Q$801,$W265)="","",INDEX('Per Invoice'!Q$2:Q$801,$W265)))</f>
        <v/>
      </c>
      <c r="R265" s="7">
        <f>IF($W265="","",IF(INDEX('Per Invoice'!R$2:R$801,$W265)="","",INDEX('Per Invoice'!R$2:R$801,$W265)))</f>
        <v/>
      </c>
      <c r="S265" s="7">
        <f>IF($W265="","",IF(INDEX('Per Invoice'!S$2:S$801,$W265)="","",INDEX('Per Invoice'!S$2:S$801,$W265)))</f>
        <v/>
      </c>
      <c r="T265" s="7">
        <f>IF($W265="","",IF(INDEX('Per Invoice'!T$2:T$801,$W265)="","",INDEX('Per Invoice'!T$2:T$801,$W265)))</f>
        <v/>
      </c>
      <c r="U265" s="7">
        <f>IF($W265="","",IF(INDEX('Per Invoice'!U$2:U$801,$W265)="","",INDEX('Per Invoice'!U$2:U$801,$W265)))</f>
        <v/>
      </c>
      <c r="V265" s="7">
        <f>IF($W265="","",IF(INDEX('Per Invoice'!V$2:V$801,$W265)="","",INDEX('Per Invoice'!V$2:V$801,$W265)))</f>
        <v/>
      </c>
      <c r="W265" s="16">
        <f>IFERROR(MATCH(Settings!$C$30&amp;"|"&amp;ROWS($W$2:$W265),'Per Invoice'!$X$2:$X$801,0),"")</f>
        <v/>
      </c>
    </row>
    <row r="266">
      <c r="A266">
        <f>IF($W266="","",IF(INDEX('Per Invoice'!A$2:A$801,$W266)="","",INDEX('Per Invoice'!A$2:A$801,$W266)))</f>
        <v/>
      </c>
      <c r="B266">
        <f>IF($W266="","",IF(INDEX('Per Invoice'!B$2:B$801,$W266)="","",INDEX('Per Invoice'!B$2:B$801,$W266)))</f>
        <v/>
      </c>
      <c r="C266">
        <f>IF($W266="","",IF(INDEX('Per Invoice'!C$2:C$801,$W266)="","",INDEX('Per Invoice'!C$2:C$801,$W266)))</f>
        <v/>
      </c>
      <c r="D266">
        <f>IF($W266="","",IF(INDEX('Per Invoice'!D$2:D$801,$W266)="","",INDEX('Per Invoice'!D$2:D$801,$W266)))</f>
        <v/>
      </c>
      <c r="E266">
        <f>IF($W266="","",IF(INDEX('Per Invoice'!E$2:E$801,$W266)="","",INDEX('Per Invoice'!E$2:E$801,$W266)))</f>
        <v/>
      </c>
      <c r="F266">
        <f>IF($W266="","",IF(INDEX('Per Invoice'!F$2:F$801,$W266)="","",INDEX('Per Invoice'!F$2:F$801,$W266)))</f>
        <v/>
      </c>
      <c r="G266">
        <f>IF($W266="","",IF(INDEX('Per Invoice'!G$2:G$801,$W266)="","",INDEX('Per Invoice'!G$2:G$801,$W266)))</f>
        <v/>
      </c>
      <c r="H266">
        <f>IF($W266="","",IF(INDEX('Per Invoice'!H$2:H$801,$W266)="","",INDEX('Per Invoice'!H$2:H$801,$W266)))</f>
        <v/>
      </c>
      <c r="I266">
        <f>IF($W266="","",IF(INDEX('Per Invoice'!I$2:I$801,$W266)="","",INDEX('Per Invoice'!I$2:I$801,$W266)))</f>
        <v/>
      </c>
      <c r="J266">
        <f>IF($W266="","",IF(INDEX('Per Invoice'!J$2:J$801,$W266)="","",INDEX('Per Invoice'!J$2:J$801,$W266)))</f>
        <v/>
      </c>
      <c r="K266" s="7">
        <f>IF($W266="","",IF(INDEX('Per Invoice'!K$2:K$801,$W266)="","",INDEX('Per Invoice'!K$2:K$801,$W266)))</f>
        <v/>
      </c>
      <c r="L266" s="14">
        <f>IF($W266="","",IF(INDEX('Per Invoice'!L$2:L$801,$W266)="","",INDEX('Per Invoice'!L$2:L$801,$W266)))</f>
        <v/>
      </c>
      <c r="M266">
        <f>IF($W266="","",IF(INDEX('Per Invoice'!M$2:M$801,$W266)="","",INDEX('Per Invoice'!M$2:M$801,$W266)))</f>
        <v/>
      </c>
      <c r="N266" s="7">
        <f>IF($W266="","",IF(INDEX('Per Invoice'!N$2:N$801,$W266)="","",INDEX('Per Invoice'!N$2:N$801,$W266)))</f>
        <v/>
      </c>
      <c r="O266" s="7">
        <f>IF($W266="","",IF(INDEX('Per Invoice'!O$2:O$801,$W266)="","",INDEX('Per Invoice'!O$2:O$801,$W266)))</f>
        <v/>
      </c>
      <c r="P266">
        <f>IF($W266="","",IF(INDEX('Per Invoice'!P$2:P$801,$W266)="","",INDEX('Per Invoice'!P$2:P$801,$W266)))</f>
        <v/>
      </c>
      <c r="Q266" s="7">
        <f>IF($W266="","",IF(INDEX('Per Invoice'!Q$2:Q$801,$W266)="","",INDEX('Per Invoice'!Q$2:Q$801,$W266)))</f>
        <v/>
      </c>
      <c r="R266" s="7">
        <f>IF($W266="","",IF(INDEX('Per Invoice'!R$2:R$801,$W266)="","",INDEX('Per Invoice'!R$2:R$801,$W266)))</f>
        <v/>
      </c>
      <c r="S266" s="7">
        <f>IF($W266="","",IF(INDEX('Per Invoice'!S$2:S$801,$W266)="","",INDEX('Per Invoice'!S$2:S$801,$W266)))</f>
        <v/>
      </c>
      <c r="T266" s="7">
        <f>IF($W266="","",IF(INDEX('Per Invoice'!T$2:T$801,$W266)="","",INDEX('Per Invoice'!T$2:T$801,$W266)))</f>
        <v/>
      </c>
      <c r="U266" s="7">
        <f>IF($W266="","",IF(INDEX('Per Invoice'!U$2:U$801,$W266)="","",INDEX('Per Invoice'!U$2:U$801,$W266)))</f>
        <v/>
      </c>
      <c r="V266" s="7">
        <f>IF($W266="","",IF(INDEX('Per Invoice'!V$2:V$801,$W266)="","",INDEX('Per Invoice'!V$2:V$801,$W266)))</f>
        <v/>
      </c>
      <c r="W266" s="16">
        <f>IFERROR(MATCH(Settings!$C$30&amp;"|"&amp;ROWS($W$2:$W266),'Per Invoice'!$X$2:$X$801,0),"")</f>
        <v/>
      </c>
    </row>
    <row r="267">
      <c r="A267">
        <f>IF($W267="","",IF(INDEX('Per Invoice'!A$2:A$801,$W267)="","",INDEX('Per Invoice'!A$2:A$801,$W267)))</f>
        <v/>
      </c>
      <c r="B267">
        <f>IF($W267="","",IF(INDEX('Per Invoice'!B$2:B$801,$W267)="","",INDEX('Per Invoice'!B$2:B$801,$W267)))</f>
        <v/>
      </c>
      <c r="C267">
        <f>IF($W267="","",IF(INDEX('Per Invoice'!C$2:C$801,$W267)="","",INDEX('Per Invoice'!C$2:C$801,$W267)))</f>
        <v/>
      </c>
      <c r="D267">
        <f>IF($W267="","",IF(INDEX('Per Invoice'!D$2:D$801,$W267)="","",INDEX('Per Invoice'!D$2:D$801,$W267)))</f>
        <v/>
      </c>
      <c r="E267">
        <f>IF($W267="","",IF(INDEX('Per Invoice'!E$2:E$801,$W267)="","",INDEX('Per Invoice'!E$2:E$801,$W267)))</f>
        <v/>
      </c>
      <c r="F267">
        <f>IF($W267="","",IF(INDEX('Per Invoice'!F$2:F$801,$W267)="","",INDEX('Per Invoice'!F$2:F$801,$W267)))</f>
        <v/>
      </c>
      <c r="G267">
        <f>IF($W267="","",IF(INDEX('Per Invoice'!G$2:G$801,$W267)="","",INDEX('Per Invoice'!G$2:G$801,$W267)))</f>
        <v/>
      </c>
      <c r="H267">
        <f>IF($W267="","",IF(INDEX('Per Invoice'!H$2:H$801,$W267)="","",INDEX('Per Invoice'!H$2:H$801,$W267)))</f>
        <v/>
      </c>
      <c r="I267">
        <f>IF($W267="","",IF(INDEX('Per Invoice'!I$2:I$801,$W267)="","",INDEX('Per Invoice'!I$2:I$801,$W267)))</f>
        <v/>
      </c>
      <c r="J267">
        <f>IF($W267="","",IF(INDEX('Per Invoice'!J$2:J$801,$W267)="","",INDEX('Per Invoice'!J$2:J$801,$W267)))</f>
        <v/>
      </c>
      <c r="K267" s="7">
        <f>IF($W267="","",IF(INDEX('Per Invoice'!K$2:K$801,$W267)="","",INDEX('Per Invoice'!K$2:K$801,$W267)))</f>
        <v/>
      </c>
      <c r="L267" s="14">
        <f>IF($W267="","",IF(INDEX('Per Invoice'!L$2:L$801,$W267)="","",INDEX('Per Invoice'!L$2:L$801,$W267)))</f>
        <v/>
      </c>
      <c r="M267">
        <f>IF($W267="","",IF(INDEX('Per Invoice'!M$2:M$801,$W267)="","",INDEX('Per Invoice'!M$2:M$801,$W267)))</f>
        <v/>
      </c>
      <c r="N267" s="7">
        <f>IF($W267="","",IF(INDEX('Per Invoice'!N$2:N$801,$W267)="","",INDEX('Per Invoice'!N$2:N$801,$W267)))</f>
        <v/>
      </c>
      <c r="O267" s="7">
        <f>IF($W267="","",IF(INDEX('Per Invoice'!O$2:O$801,$W267)="","",INDEX('Per Invoice'!O$2:O$801,$W267)))</f>
        <v/>
      </c>
      <c r="P267">
        <f>IF($W267="","",IF(INDEX('Per Invoice'!P$2:P$801,$W267)="","",INDEX('Per Invoice'!P$2:P$801,$W267)))</f>
        <v/>
      </c>
      <c r="Q267" s="7">
        <f>IF($W267="","",IF(INDEX('Per Invoice'!Q$2:Q$801,$W267)="","",INDEX('Per Invoice'!Q$2:Q$801,$W267)))</f>
        <v/>
      </c>
      <c r="R267" s="7">
        <f>IF($W267="","",IF(INDEX('Per Invoice'!R$2:R$801,$W267)="","",INDEX('Per Invoice'!R$2:R$801,$W267)))</f>
        <v/>
      </c>
      <c r="S267" s="7">
        <f>IF($W267="","",IF(INDEX('Per Invoice'!S$2:S$801,$W267)="","",INDEX('Per Invoice'!S$2:S$801,$W267)))</f>
        <v/>
      </c>
      <c r="T267" s="7">
        <f>IF($W267="","",IF(INDEX('Per Invoice'!T$2:T$801,$W267)="","",INDEX('Per Invoice'!T$2:T$801,$W267)))</f>
        <v/>
      </c>
      <c r="U267" s="7">
        <f>IF($W267="","",IF(INDEX('Per Invoice'!U$2:U$801,$W267)="","",INDEX('Per Invoice'!U$2:U$801,$W267)))</f>
        <v/>
      </c>
      <c r="V267" s="7">
        <f>IF($W267="","",IF(INDEX('Per Invoice'!V$2:V$801,$W267)="","",INDEX('Per Invoice'!V$2:V$801,$W267)))</f>
        <v/>
      </c>
      <c r="W267" s="16">
        <f>IFERROR(MATCH(Settings!$C$30&amp;"|"&amp;ROWS($W$2:$W267),'Per Invoice'!$X$2:$X$801,0),"")</f>
        <v/>
      </c>
    </row>
    <row r="268">
      <c r="A268">
        <f>IF($W268="","",IF(INDEX('Per Invoice'!A$2:A$801,$W268)="","",INDEX('Per Invoice'!A$2:A$801,$W268)))</f>
        <v/>
      </c>
      <c r="B268">
        <f>IF($W268="","",IF(INDEX('Per Invoice'!B$2:B$801,$W268)="","",INDEX('Per Invoice'!B$2:B$801,$W268)))</f>
        <v/>
      </c>
      <c r="C268">
        <f>IF($W268="","",IF(INDEX('Per Invoice'!C$2:C$801,$W268)="","",INDEX('Per Invoice'!C$2:C$801,$W268)))</f>
        <v/>
      </c>
      <c r="D268">
        <f>IF($W268="","",IF(INDEX('Per Invoice'!D$2:D$801,$W268)="","",INDEX('Per Invoice'!D$2:D$801,$W268)))</f>
        <v/>
      </c>
      <c r="E268">
        <f>IF($W268="","",IF(INDEX('Per Invoice'!E$2:E$801,$W268)="","",INDEX('Per Invoice'!E$2:E$801,$W268)))</f>
        <v/>
      </c>
      <c r="F268">
        <f>IF($W268="","",IF(INDEX('Per Invoice'!F$2:F$801,$W268)="","",INDEX('Per Invoice'!F$2:F$801,$W268)))</f>
        <v/>
      </c>
      <c r="G268">
        <f>IF($W268="","",IF(INDEX('Per Invoice'!G$2:G$801,$W268)="","",INDEX('Per Invoice'!G$2:G$801,$W268)))</f>
        <v/>
      </c>
      <c r="H268">
        <f>IF($W268="","",IF(INDEX('Per Invoice'!H$2:H$801,$W268)="","",INDEX('Per Invoice'!H$2:H$801,$W268)))</f>
        <v/>
      </c>
      <c r="I268">
        <f>IF($W268="","",IF(INDEX('Per Invoice'!I$2:I$801,$W268)="","",INDEX('Per Invoice'!I$2:I$801,$W268)))</f>
        <v/>
      </c>
      <c r="J268">
        <f>IF($W268="","",IF(INDEX('Per Invoice'!J$2:J$801,$W268)="","",INDEX('Per Invoice'!J$2:J$801,$W268)))</f>
        <v/>
      </c>
      <c r="K268" s="7">
        <f>IF($W268="","",IF(INDEX('Per Invoice'!K$2:K$801,$W268)="","",INDEX('Per Invoice'!K$2:K$801,$W268)))</f>
        <v/>
      </c>
      <c r="L268" s="14">
        <f>IF($W268="","",IF(INDEX('Per Invoice'!L$2:L$801,$W268)="","",INDEX('Per Invoice'!L$2:L$801,$W268)))</f>
        <v/>
      </c>
      <c r="M268">
        <f>IF($W268="","",IF(INDEX('Per Invoice'!M$2:M$801,$W268)="","",INDEX('Per Invoice'!M$2:M$801,$W268)))</f>
        <v/>
      </c>
      <c r="N268" s="7">
        <f>IF($W268="","",IF(INDEX('Per Invoice'!N$2:N$801,$W268)="","",INDEX('Per Invoice'!N$2:N$801,$W268)))</f>
        <v/>
      </c>
      <c r="O268" s="7">
        <f>IF($W268="","",IF(INDEX('Per Invoice'!O$2:O$801,$W268)="","",INDEX('Per Invoice'!O$2:O$801,$W268)))</f>
        <v/>
      </c>
      <c r="P268">
        <f>IF($W268="","",IF(INDEX('Per Invoice'!P$2:P$801,$W268)="","",INDEX('Per Invoice'!P$2:P$801,$W268)))</f>
        <v/>
      </c>
      <c r="Q268" s="7">
        <f>IF($W268="","",IF(INDEX('Per Invoice'!Q$2:Q$801,$W268)="","",INDEX('Per Invoice'!Q$2:Q$801,$W268)))</f>
        <v/>
      </c>
      <c r="R268" s="7">
        <f>IF($W268="","",IF(INDEX('Per Invoice'!R$2:R$801,$W268)="","",INDEX('Per Invoice'!R$2:R$801,$W268)))</f>
        <v/>
      </c>
      <c r="S268" s="7">
        <f>IF($W268="","",IF(INDEX('Per Invoice'!S$2:S$801,$W268)="","",INDEX('Per Invoice'!S$2:S$801,$W268)))</f>
        <v/>
      </c>
      <c r="T268" s="7">
        <f>IF($W268="","",IF(INDEX('Per Invoice'!T$2:T$801,$W268)="","",INDEX('Per Invoice'!T$2:T$801,$W268)))</f>
        <v/>
      </c>
      <c r="U268" s="7">
        <f>IF($W268="","",IF(INDEX('Per Invoice'!U$2:U$801,$W268)="","",INDEX('Per Invoice'!U$2:U$801,$W268)))</f>
        <v/>
      </c>
      <c r="V268" s="7">
        <f>IF($W268="","",IF(INDEX('Per Invoice'!V$2:V$801,$W268)="","",INDEX('Per Invoice'!V$2:V$801,$W268)))</f>
        <v/>
      </c>
      <c r="W268" s="16">
        <f>IFERROR(MATCH(Settings!$C$30&amp;"|"&amp;ROWS($W$2:$W268),'Per Invoice'!$X$2:$X$801,0),"")</f>
        <v/>
      </c>
    </row>
    <row r="269">
      <c r="A269">
        <f>IF($W269="","",IF(INDEX('Per Invoice'!A$2:A$801,$W269)="","",INDEX('Per Invoice'!A$2:A$801,$W269)))</f>
        <v/>
      </c>
      <c r="B269">
        <f>IF($W269="","",IF(INDEX('Per Invoice'!B$2:B$801,$W269)="","",INDEX('Per Invoice'!B$2:B$801,$W269)))</f>
        <v/>
      </c>
      <c r="C269">
        <f>IF($W269="","",IF(INDEX('Per Invoice'!C$2:C$801,$W269)="","",INDEX('Per Invoice'!C$2:C$801,$W269)))</f>
        <v/>
      </c>
      <c r="D269">
        <f>IF($W269="","",IF(INDEX('Per Invoice'!D$2:D$801,$W269)="","",INDEX('Per Invoice'!D$2:D$801,$W269)))</f>
        <v/>
      </c>
      <c r="E269">
        <f>IF($W269="","",IF(INDEX('Per Invoice'!E$2:E$801,$W269)="","",INDEX('Per Invoice'!E$2:E$801,$W269)))</f>
        <v/>
      </c>
      <c r="F269">
        <f>IF($W269="","",IF(INDEX('Per Invoice'!F$2:F$801,$W269)="","",INDEX('Per Invoice'!F$2:F$801,$W269)))</f>
        <v/>
      </c>
      <c r="G269">
        <f>IF($W269="","",IF(INDEX('Per Invoice'!G$2:G$801,$W269)="","",INDEX('Per Invoice'!G$2:G$801,$W269)))</f>
        <v/>
      </c>
      <c r="H269">
        <f>IF($W269="","",IF(INDEX('Per Invoice'!H$2:H$801,$W269)="","",INDEX('Per Invoice'!H$2:H$801,$W269)))</f>
        <v/>
      </c>
      <c r="I269">
        <f>IF($W269="","",IF(INDEX('Per Invoice'!I$2:I$801,$W269)="","",INDEX('Per Invoice'!I$2:I$801,$W269)))</f>
        <v/>
      </c>
      <c r="J269">
        <f>IF($W269="","",IF(INDEX('Per Invoice'!J$2:J$801,$W269)="","",INDEX('Per Invoice'!J$2:J$801,$W269)))</f>
        <v/>
      </c>
      <c r="K269" s="7">
        <f>IF($W269="","",IF(INDEX('Per Invoice'!K$2:K$801,$W269)="","",INDEX('Per Invoice'!K$2:K$801,$W269)))</f>
        <v/>
      </c>
      <c r="L269" s="14">
        <f>IF($W269="","",IF(INDEX('Per Invoice'!L$2:L$801,$W269)="","",INDEX('Per Invoice'!L$2:L$801,$W269)))</f>
        <v/>
      </c>
      <c r="M269">
        <f>IF($W269="","",IF(INDEX('Per Invoice'!M$2:M$801,$W269)="","",INDEX('Per Invoice'!M$2:M$801,$W269)))</f>
        <v/>
      </c>
      <c r="N269" s="7">
        <f>IF($W269="","",IF(INDEX('Per Invoice'!N$2:N$801,$W269)="","",INDEX('Per Invoice'!N$2:N$801,$W269)))</f>
        <v/>
      </c>
      <c r="O269" s="7">
        <f>IF($W269="","",IF(INDEX('Per Invoice'!O$2:O$801,$W269)="","",INDEX('Per Invoice'!O$2:O$801,$W269)))</f>
        <v/>
      </c>
      <c r="P269">
        <f>IF($W269="","",IF(INDEX('Per Invoice'!P$2:P$801,$W269)="","",INDEX('Per Invoice'!P$2:P$801,$W269)))</f>
        <v/>
      </c>
      <c r="Q269" s="7">
        <f>IF($W269="","",IF(INDEX('Per Invoice'!Q$2:Q$801,$W269)="","",INDEX('Per Invoice'!Q$2:Q$801,$W269)))</f>
        <v/>
      </c>
      <c r="R269" s="7">
        <f>IF($W269="","",IF(INDEX('Per Invoice'!R$2:R$801,$W269)="","",INDEX('Per Invoice'!R$2:R$801,$W269)))</f>
        <v/>
      </c>
      <c r="S269" s="7">
        <f>IF($W269="","",IF(INDEX('Per Invoice'!S$2:S$801,$W269)="","",INDEX('Per Invoice'!S$2:S$801,$W269)))</f>
        <v/>
      </c>
      <c r="T269" s="7">
        <f>IF($W269="","",IF(INDEX('Per Invoice'!T$2:T$801,$W269)="","",INDEX('Per Invoice'!T$2:T$801,$W269)))</f>
        <v/>
      </c>
      <c r="U269" s="7">
        <f>IF($W269="","",IF(INDEX('Per Invoice'!U$2:U$801,$W269)="","",INDEX('Per Invoice'!U$2:U$801,$W269)))</f>
        <v/>
      </c>
      <c r="V269" s="7">
        <f>IF($W269="","",IF(INDEX('Per Invoice'!V$2:V$801,$W269)="","",INDEX('Per Invoice'!V$2:V$801,$W269)))</f>
        <v/>
      </c>
      <c r="W269" s="16">
        <f>IFERROR(MATCH(Settings!$C$30&amp;"|"&amp;ROWS($W$2:$W269),'Per Invoice'!$X$2:$X$801,0),"")</f>
        <v/>
      </c>
    </row>
    <row r="270">
      <c r="A270">
        <f>IF($W270="","",IF(INDEX('Per Invoice'!A$2:A$801,$W270)="","",INDEX('Per Invoice'!A$2:A$801,$W270)))</f>
        <v/>
      </c>
      <c r="B270">
        <f>IF($W270="","",IF(INDEX('Per Invoice'!B$2:B$801,$W270)="","",INDEX('Per Invoice'!B$2:B$801,$W270)))</f>
        <v/>
      </c>
      <c r="C270">
        <f>IF($W270="","",IF(INDEX('Per Invoice'!C$2:C$801,$W270)="","",INDEX('Per Invoice'!C$2:C$801,$W270)))</f>
        <v/>
      </c>
      <c r="D270">
        <f>IF($W270="","",IF(INDEX('Per Invoice'!D$2:D$801,$W270)="","",INDEX('Per Invoice'!D$2:D$801,$W270)))</f>
        <v/>
      </c>
      <c r="E270">
        <f>IF($W270="","",IF(INDEX('Per Invoice'!E$2:E$801,$W270)="","",INDEX('Per Invoice'!E$2:E$801,$W270)))</f>
        <v/>
      </c>
      <c r="F270">
        <f>IF($W270="","",IF(INDEX('Per Invoice'!F$2:F$801,$W270)="","",INDEX('Per Invoice'!F$2:F$801,$W270)))</f>
        <v/>
      </c>
      <c r="G270">
        <f>IF($W270="","",IF(INDEX('Per Invoice'!G$2:G$801,$W270)="","",INDEX('Per Invoice'!G$2:G$801,$W270)))</f>
        <v/>
      </c>
      <c r="H270">
        <f>IF($W270="","",IF(INDEX('Per Invoice'!H$2:H$801,$W270)="","",INDEX('Per Invoice'!H$2:H$801,$W270)))</f>
        <v/>
      </c>
      <c r="I270">
        <f>IF($W270="","",IF(INDEX('Per Invoice'!I$2:I$801,$W270)="","",INDEX('Per Invoice'!I$2:I$801,$W270)))</f>
        <v/>
      </c>
      <c r="J270">
        <f>IF($W270="","",IF(INDEX('Per Invoice'!J$2:J$801,$W270)="","",INDEX('Per Invoice'!J$2:J$801,$W270)))</f>
        <v/>
      </c>
      <c r="K270" s="7">
        <f>IF($W270="","",IF(INDEX('Per Invoice'!K$2:K$801,$W270)="","",INDEX('Per Invoice'!K$2:K$801,$W270)))</f>
        <v/>
      </c>
      <c r="L270" s="14">
        <f>IF($W270="","",IF(INDEX('Per Invoice'!L$2:L$801,$W270)="","",INDEX('Per Invoice'!L$2:L$801,$W270)))</f>
        <v/>
      </c>
      <c r="M270">
        <f>IF($W270="","",IF(INDEX('Per Invoice'!M$2:M$801,$W270)="","",INDEX('Per Invoice'!M$2:M$801,$W270)))</f>
        <v/>
      </c>
      <c r="N270" s="7">
        <f>IF($W270="","",IF(INDEX('Per Invoice'!N$2:N$801,$W270)="","",INDEX('Per Invoice'!N$2:N$801,$W270)))</f>
        <v/>
      </c>
      <c r="O270" s="7">
        <f>IF($W270="","",IF(INDEX('Per Invoice'!O$2:O$801,$W270)="","",INDEX('Per Invoice'!O$2:O$801,$W270)))</f>
        <v/>
      </c>
      <c r="P270">
        <f>IF($W270="","",IF(INDEX('Per Invoice'!P$2:P$801,$W270)="","",INDEX('Per Invoice'!P$2:P$801,$W270)))</f>
        <v/>
      </c>
      <c r="Q270" s="7">
        <f>IF($W270="","",IF(INDEX('Per Invoice'!Q$2:Q$801,$W270)="","",INDEX('Per Invoice'!Q$2:Q$801,$W270)))</f>
        <v/>
      </c>
      <c r="R270" s="7">
        <f>IF($W270="","",IF(INDEX('Per Invoice'!R$2:R$801,$W270)="","",INDEX('Per Invoice'!R$2:R$801,$W270)))</f>
        <v/>
      </c>
      <c r="S270" s="7">
        <f>IF($W270="","",IF(INDEX('Per Invoice'!S$2:S$801,$W270)="","",INDEX('Per Invoice'!S$2:S$801,$W270)))</f>
        <v/>
      </c>
      <c r="T270" s="7">
        <f>IF($W270="","",IF(INDEX('Per Invoice'!T$2:T$801,$W270)="","",INDEX('Per Invoice'!T$2:T$801,$W270)))</f>
        <v/>
      </c>
      <c r="U270" s="7">
        <f>IF($W270="","",IF(INDEX('Per Invoice'!U$2:U$801,$W270)="","",INDEX('Per Invoice'!U$2:U$801,$W270)))</f>
        <v/>
      </c>
      <c r="V270" s="7">
        <f>IF($W270="","",IF(INDEX('Per Invoice'!V$2:V$801,$W270)="","",INDEX('Per Invoice'!V$2:V$801,$W270)))</f>
        <v/>
      </c>
      <c r="W270" s="16">
        <f>IFERROR(MATCH(Settings!$C$30&amp;"|"&amp;ROWS($W$2:$W270),'Per Invoice'!$X$2:$X$801,0),"")</f>
        <v/>
      </c>
    </row>
    <row r="271">
      <c r="A271">
        <f>IF($W271="","",IF(INDEX('Per Invoice'!A$2:A$801,$W271)="","",INDEX('Per Invoice'!A$2:A$801,$W271)))</f>
        <v/>
      </c>
      <c r="B271">
        <f>IF($W271="","",IF(INDEX('Per Invoice'!B$2:B$801,$W271)="","",INDEX('Per Invoice'!B$2:B$801,$W271)))</f>
        <v/>
      </c>
      <c r="C271">
        <f>IF($W271="","",IF(INDEX('Per Invoice'!C$2:C$801,$W271)="","",INDEX('Per Invoice'!C$2:C$801,$W271)))</f>
        <v/>
      </c>
      <c r="D271">
        <f>IF($W271="","",IF(INDEX('Per Invoice'!D$2:D$801,$W271)="","",INDEX('Per Invoice'!D$2:D$801,$W271)))</f>
        <v/>
      </c>
      <c r="E271">
        <f>IF($W271="","",IF(INDEX('Per Invoice'!E$2:E$801,$W271)="","",INDEX('Per Invoice'!E$2:E$801,$W271)))</f>
        <v/>
      </c>
      <c r="F271">
        <f>IF($W271="","",IF(INDEX('Per Invoice'!F$2:F$801,$W271)="","",INDEX('Per Invoice'!F$2:F$801,$W271)))</f>
        <v/>
      </c>
      <c r="G271">
        <f>IF($W271="","",IF(INDEX('Per Invoice'!G$2:G$801,$W271)="","",INDEX('Per Invoice'!G$2:G$801,$W271)))</f>
        <v/>
      </c>
      <c r="H271">
        <f>IF($W271="","",IF(INDEX('Per Invoice'!H$2:H$801,$W271)="","",INDEX('Per Invoice'!H$2:H$801,$W271)))</f>
        <v/>
      </c>
      <c r="I271">
        <f>IF($W271="","",IF(INDEX('Per Invoice'!I$2:I$801,$W271)="","",INDEX('Per Invoice'!I$2:I$801,$W271)))</f>
        <v/>
      </c>
      <c r="J271">
        <f>IF($W271="","",IF(INDEX('Per Invoice'!J$2:J$801,$W271)="","",INDEX('Per Invoice'!J$2:J$801,$W271)))</f>
        <v/>
      </c>
      <c r="K271" s="7">
        <f>IF($W271="","",IF(INDEX('Per Invoice'!K$2:K$801,$W271)="","",INDEX('Per Invoice'!K$2:K$801,$W271)))</f>
        <v/>
      </c>
      <c r="L271" s="14">
        <f>IF($W271="","",IF(INDEX('Per Invoice'!L$2:L$801,$W271)="","",INDEX('Per Invoice'!L$2:L$801,$W271)))</f>
        <v/>
      </c>
      <c r="M271">
        <f>IF($W271="","",IF(INDEX('Per Invoice'!M$2:M$801,$W271)="","",INDEX('Per Invoice'!M$2:M$801,$W271)))</f>
        <v/>
      </c>
      <c r="N271" s="7">
        <f>IF($W271="","",IF(INDEX('Per Invoice'!N$2:N$801,$W271)="","",INDEX('Per Invoice'!N$2:N$801,$W271)))</f>
        <v/>
      </c>
      <c r="O271" s="7">
        <f>IF($W271="","",IF(INDEX('Per Invoice'!O$2:O$801,$W271)="","",INDEX('Per Invoice'!O$2:O$801,$W271)))</f>
        <v/>
      </c>
      <c r="P271">
        <f>IF($W271="","",IF(INDEX('Per Invoice'!P$2:P$801,$W271)="","",INDEX('Per Invoice'!P$2:P$801,$W271)))</f>
        <v/>
      </c>
      <c r="Q271" s="7">
        <f>IF($W271="","",IF(INDEX('Per Invoice'!Q$2:Q$801,$W271)="","",INDEX('Per Invoice'!Q$2:Q$801,$W271)))</f>
        <v/>
      </c>
      <c r="R271" s="7">
        <f>IF($W271="","",IF(INDEX('Per Invoice'!R$2:R$801,$W271)="","",INDEX('Per Invoice'!R$2:R$801,$W271)))</f>
        <v/>
      </c>
      <c r="S271" s="7">
        <f>IF($W271="","",IF(INDEX('Per Invoice'!S$2:S$801,$W271)="","",INDEX('Per Invoice'!S$2:S$801,$W271)))</f>
        <v/>
      </c>
      <c r="T271" s="7">
        <f>IF($W271="","",IF(INDEX('Per Invoice'!T$2:T$801,$W271)="","",INDEX('Per Invoice'!T$2:T$801,$W271)))</f>
        <v/>
      </c>
      <c r="U271" s="7">
        <f>IF($W271="","",IF(INDEX('Per Invoice'!U$2:U$801,$W271)="","",INDEX('Per Invoice'!U$2:U$801,$W271)))</f>
        <v/>
      </c>
      <c r="V271" s="7">
        <f>IF($W271="","",IF(INDEX('Per Invoice'!V$2:V$801,$W271)="","",INDEX('Per Invoice'!V$2:V$801,$W271)))</f>
        <v/>
      </c>
      <c r="W271" s="16">
        <f>IFERROR(MATCH(Settings!$C$30&amp;"|"&amp;ROWS($W$2:$W271),'Per Invoice'!$X$2:$X$801,0),"")</f>
        <v/>
      </c>
    </row>
    <row r="272">
      <c r="A272">
        <f>IF($W272="","",IF(INDEX('Per Invoice'!A$2:A$801,$W272)="","",INDEX('Per Invoice'!A$2:A$801,$W272)))</f>
        <v/>
      </c>
      <c r="B272">
        <f>IF($W272="","",IF(INDEX('Per Invoice'!B$2:B$801,$W272)="","",INDEX('Per Invoice'!B$2:B$801,$W272)))</f>
        <v/>
      </c>
      <c r="C272">
        <f>IF($W272="","",IF(INDEX('Per Invoice'!C$2:C$801,$W272)="","",INDEX('Per Invoice'!C$2:C$801,$W272)))</f>
        <v/>
      </c>
      <c r="D272">
        <f>IF($W272="","",IF(INDEX('Per Invoice'!D$2:D$801,$W272)="","",INDEX('Per Invoice'!D$2:D$801,$W272)))</f>
        <v/>
      </c>
      <c r="E272">
        <f>IF($W272="","",IF(INDEX('Per Invoice'!E$2:E$801,$W272)="","",INDEX('Per Invoice'!E$2:E$801,$W272)))</f>
        <v/>
      </c>
      <c r="F272">
        <f>IF($W272="","",IF(INDEX('Per Invoice'!F$2:F$801,$W272)="","",INDEX('Per Invoice'!F$2:F$801,$W272)))</f>
        <v/>
      </c>
      <c r="G272">
        <f>IF($W272="","",IF(INDEX('Per Invoice'!G$2:G$801,$W272)="","",INDEX('Per Invoice'!G$2:G$801,$W272)))</f>
        <v/>
      </c>
      <c r="H272">
        <f>IF($W272="","",IF(INDEX('Per Invoice'!H$2:H$801,$W272)="","",INDEX('Per Invoice'!H$2:H$801,$W272)))</f>
        <v/>
      </c>
      <c r="I272">
        <f>IF($W272="","",IF(INDEX('Per Invoice'!I$2:I$801,$W272)="","",INDEX('Per Invoice'!I$2:I$801,$W272)))</f>
        <v/>
      </c>
      <c r="J272">
        <f>IF($W272="","",IF(INDEX('Per Invoice'!J$2:J$801,$W272)="","",INDEX('Per Invoice'!J$2:J$801,$W272)))</f>
        <v/>
      </c>
      <c r="K272" s="7">
        <f>IF($W272="","",IF(INDEX('Per Invoice'!K$2:K$801,$W272)="","",INDEX('Per Invoice'!K$2:K$801,$W272)))</f>
        <v/>
      </c>
      <c r="L272" s="14">
        <f>IF($W272="","",IF(INDEX('Per Invoice'!L$2:L$801,$W272)="","",INDEX('Per Invoice'!L$2:L$801,$W272)))</f>
        <v/>
      </c>
      <c r="M272">
        <f>IF($W272="","",IF(INDEX('Per Invoice'!M$2:M$801,$W272)="","",INDEX('Per Invoice'!M$2:M$801,$W272)))</f>
        <v/>
      </c>
      <c r="N272" s="7">
        <f>IF($W272="","",IF(INDEX('Per Invoice'!N$2:N$801,$W272)="","",INDEX('Per Invoice'!N$2:N$801,$W272)))</f>
        <v/>
      </c>
      <c r="O272" s="7">
        <f>IF($W272="","",IF(INDEX('Per Invoice'!O$2:O$801,$W272)="","",INDEX('Per Invoice'!O$2:O$801,$W272)))</f>
        <v/>
      </c>
      <c r="P272">
        <f>IF($W272="","",IF(INDEX('Per Invoice'!P$2:P$801,$W272)="","",INDEX('Per Invoice'!P$2:P$801,$W272)))</f>
        <v/>
      </c>
      <c r="Q272" s="7">
        <f>IF($W272="","",IF(INDEX('Per Invoice'!Q$2:Q$801,$W272)="","",INDEX('Per Invoice'!Q$2:Q$801,$W272)))</f>
        <v/>
      </c>
      <c r="R272" s="7">
        <f>IF($W272="","",IF(INDEX('Per Invoice'!R$2:R$801,$W272)="","",INDEX('Per Invoice'!R$2:R$801,$W272)))</f>
        <v/>
      </c>
      <c r="S272" s="7">
        <f>IF($W272="","",IF(INDEX('Per Invoice'!S$2:S$801,$W272)="","",INDEX('Per Invoice'!S$2:S$801,$W272)))</f>
        <v/>
      </c>
      <c r="T272" s="7">
        <f>IF($W272="","",IF(INDEX('Per Invoice'!T$2:T$801,$W272)="","",INDEX('Per Invoice'!T$2:T$801,$W272)))</f>
        <v/>
      </c>
      <c r="U272" s="7">
        <f>IF($W272="","",IF(INDEX('Per Invoice'!U$2:U$801,$W272)="","",INDEX('Per Invoice'!U$2:U$801,$W272)))</f>
        <v/>
      </c>
      <c r="V272" s="7">
        <f>IF($W272="","",IF(INDEX('Per Invoice'!V$2:V$801,$W272)="","",INDEX('Per Invoice'!V$2:V$801,$W272)))</f>
        <v/>
      </c>
      <c r="W272" s="16">
        <f>IFERROR(MATCH(Settings!$C$30&amp;"|"&amp;ROWS($W$2:$W272),'Per Invoice'!$X$2:$X$801,0),"")</f>
        <v/>
      </c>
    </row>
    <row r="273">
      <c r="A273">
        <f>IF($W273="","",IF(INDEX('Per Invoice'!A$2:A$801,$W273)="","",INDEX('Per Invoice'!A$2:A$801,$W273)))</f>
        <v/>
      </c>
      <c r="B273">
        <f>IF($W273="","",IF(INDEX('Per Invoice'!B$2:B$801,$W273)="","",INDEX('Per Invoice'!B$2:B$801,$W273)))</f>
        <v/>
      </c>
      <c r="C273">
        <f>IF($W273="","",IF(INDEX('Per Invoice'!C$2:C$801,$W273)="","",INDEX('Per Invoice'!C$2:C$801,$W273)))</f>
        <v/>
      </c>
      <c r="D273">
        <f>IF($W273="","",IF(INDEX('Per Invoice'!D$2:D$801,$W273)="","",INDEX('Per Invoice'!D$2:D$801,$W273)))</f>
        <v/>
      </c>
      <c r="E273">
        <f>IF($W273="","",IF(INDEX('Per Invoice'!E$2:E$801,$W273)="","",INDEX('Per Invoice'!E$2:E$801,$W273)))</f>
        <v/>
      </c>
      <c r="F273">
        <f>IF($W273="","",IF(INDEX('Per Invoice'!F$2:F$801,$W273)="","",INDEX('Per Invoice'!F$2:F$801,$W273)))</f>
        <v/>
      </c>
      <c r="G273">
        <f>IF($W273="","",IF(INDEX('Per Invoice'!G$2:G$801,$W273)="","",INDEX('Per Invoice'!G$2:G$801,$W273)))</f>
        <v/>
      </c>
      <c r="H273">
        <f>IF($W273="","",IF(INDEX('Per Invoice'!H$2:H$801,$W273)="","",INDEX('Per Invoice'!H$2:H$801,$W273)))</f>
        <v/>
      </c>
      <c r="I273">
        <f>IF($W273="","",IF(INDEX('Per Invoice'!I$2:I$801,$W273)="","",INDEX('Per Invoice'!I$2:I$801,$W273)))</f>
        <v/>
      </c>
      <c r="J273">
        <f>IF($W273="","",IF(INDEX('Per Invoice'!J$2:J$801,$W273)="","",INDEX('Per Invoice'!J$2:J$801,$W273)))</f>
        <v/>
      </c>
      <c r="K273" s="7">
        <f>IF($W273="","",IF(INDEX('Per Invoice'!K$2:K$801,$W273)="","",INDEX('Per Invoice'!K$2:K$801,$W273)))</f>
        <v/>
      </c>
      <c r="L273" s="14">
        <f>IF($W273="","",IF(INDEX('Per Invoice'!L$2:L$801,$W273)="","",INDEX('Per Invoice'!L$2:L$801,$W273)))</f>
        <v/>
      </c>
      <c r="M273">
        <f>IF($W273="","",IF(INDEX('Per Invoice'!M$2:M$801,$W273)="","",INDEX('Per Invoice'!M$2:M$801,$W273)))</f>
        <v/>
      </c>
      <c r="N273" s="7">
        <f>IF($W273="","",IF(INDEX('Per Invoice'!N$2:N$801,$W273)="","",INDEX('Per Invoice'!N$2:N$801,$W273)))</f>
        <v/>
      </c>
      <c r="O273" s="7">
        <f>IF($W273="","",IF(INDEX('Per Invoice'!O$2:O$801,$W273)="","",INDEX('Per Invoice'!O$2:O$801,$W273)))</f>
        <v/>
      </c>
      <c r="P273">
        <f>IF($W273="","",IF(INDEX('Per Invoice'!P$2:P$801,$W273)="","",INDEX('Per Invoice'!P$2:P$801,$W273)))</f>
        <v/>
      </c>
      <c r="Q273" s="7">
        <f>IF($W273="","",IF(INDEX('Per Invoice'!Q$2:Q$801,$W273)="","",INDEX('Per Invoice'!Q$2:Q$801,$W273)))</f>
        <v/>
      </c>
      <c r="R273" s="7">
        <f>IF($W273="","",IF(INDEX('Per Invoice'!R$2:R$801,$W273)="","",INDEX('Per Invoice'!R$2:R$801,$W273)))</f>
        <v/>
      </c>
      <c r="S273" s="7">
        <f>IF($W273="","",IF(INDEX('Per Invoice'!S$2:S$801,$W273)="","",INDEX('Per Invoice'!S$2:S$801,$W273)))</f>
        <v/>
      </c>
      <c r="T273" s="7">
        <f>IF($W273="","",IF(INDEX('Per Invoice'!T$2:T$801,$W273)="","",INDEX('Per Invoice'!T$2:T$801,$W273)))</f>
        <v/>
      </c>
      <c r="U273" s="7">
        <f>IF($W273="","",IF(INDEX('Per Invoice'!U$2:U$801,$W273)="","",INDEX('Per Invoice'!U$2:U$801,$W273)))</f>
        <v/>
      </c>
      <c r="V273" s="7">
        <f>IF($W273="","",IF(INDEX('Per Invoice'!V$2:V$801,$W273)="","",INDEX('Per Invoice'!V$2:V$801,$W273)))</f>
        <v/>
      </c>
      <c r="W273" s="16">
        <f>IFERROR(MATCH(Settings!$C$30&amp;"|"&amp;ROWS($W$2:$W273),'Per Invoice'!$X$2:$X$801,0),"")</f>
        <v/>
      </c>
    </row>
    <row r="274">
      <c r="A274">
        <f>IF($W274="","",IF(INDEX('Per Invoice'!A$2:A$801,$W274)="","",INDEX('Per Invoice'!A$2:A$801,$W274)))</f>
        <v/>
      </c>
      <c r="B274">
        <f>IF($W274="","",IF(INDEX('Per Invoice'!B$2:B$801,$W274)="","",INDEX('Per Invoice'!B$2:B$801,$W274)))</f>
        <v/>
      </c>
      <c r="C274">
        <f>IF($W274="","",IF(INDEX('Per Invoice'!C$2:C$801,$W274)="","",INDEX('Per Invoice'!C$2:C$801,$W274)))</f>
        <v/>
      </c>
      <c r="D274">
        <f>IF($W274="","",IF(INDEX('Per Invoice'!D$2:D$801,$W274)="","",INDEX('Per Invoice'!D$2:D$801,$W274)))</f>
        <v/>
      </c>
      <c r="E274">
        <f>IF($W274="","",IF(INDEX('Per Invoice'!E$2:E$801,$W274)="","",INDEX('Per Invoice'!E$2:E$801,$W274)))</f>
        <v/>
      </c>
      <c r="F274">
        <f>IF($W274="","",IF(INDEX('Per Invoice'!F$2:F$801,$W274)="","",INDEX('Per Invoice'!F$2:F$801,$W274)))</f>
        <v/>
      </c>
      <c r="G274">
        <f>IF($W274="","",IF(INDEX('Per Invoice'!G$2:G$801,$W274)="","",INDEX('Per Invoice'!G$2:G$801,$W274)))</f>
        <v/>
      </c>
      <c r="H274">
        <f>IF($W274="","",IF(INDEX('Per Invoice'!H$2:H$801,$W274)="","",INDEX('Per Invoice'!H$2:H$801,$W274)))</f>
        <v/>
      </c>
      <c r="I274">
        <f>IF($W274="","",IF(INDEX('Per Invoice'!I$2:I$801,$W274)="","",INDEX('Per Invoice'!I$2:I$801,$W274)))</f>
        <v/>
      </c>
      <c r="J274">
        <f>IF($W274="","",IF(INDEX('Per Invoice'!J$2:J$801,$W274)="","",INDEX('Per Invoice'!J$2:J$801,$W274)))</f>
        <v/>
      </c>
      <c r="K274" s="7">
        <f>IF($W274="","",IF(INDEX('Per Invoice'!K$2:K$801,$W274)="","",INDEX('Per Invoice'!K$2:K$801,$W274)))</f>
        <v/>
      </c>
      <c r="L274" s="14">
        <f>IF($W274="","",IF(INDEX('Per Invoice'!L$2:L$801,$W274)="","",INDEX('Per Invoice'!L$2:L$801,$W274)))</f>
        <v/>
      </c>
      <c r="M274">
        <f>IF($W274="","",IF(INDEX('Per Invoice'!M$2:M$801,$W274)="","",INDEX('Per Invoice'!M$2:M$801,$W274)))</f>
        <v/>
      </c>
      <c r="N274" s="7">
        <f>IF($W274="","",IF(INDEX('Per Invoice'!N$2:N$801,$W274)="","",INDEX('Per Invoice'!N$2:N$801,$W274)))</f>
        <v/>
      </c>
      <c r="O274" s="7">
        <f>IF($W274="","",IF(INDEX('Per Invoice'!O$2:O$801,$W274)="","",INDEX('Per Invoice'!O$2:O$801,$W274)))</f>
        <v/>
      </c>
      <c r="P274">
        <f>IF($W274="","",IF(INDEX('Per Invoice'!P$2:P$801,$W274)="","",INDEX('Per Invoice'!P$2:P$801,$W274)))</f>
        <v/>
      </c>
      <c r="Q274" s="7">
        <f>IF($W274="","",IF(INDEX('Per Invoice'!Q$2:Q$801,$W274)="","",INDEX('Per Invoice'!Q$2:Q$801,$W274)))</f>
        <v/>
      </c>
      <c r="R274" s="7">
        <f>IF($W274="","",IF(INDEX('Per Invoice'!R$2:R$801,$W274)="","",INDEX('Per Invoice'!R$2:R$801,$W274)))</f>
        <v/>
      </c>
      <c r="S274" s="7">
        <f>IF($W274="","",IF(INDEX('Per Invoice'!S$2:S$801,$W274)="","",INDEX('Per Invoice'!S$2:S$801,$W274)))</f>
        <v/>
      </c>
      <c r="T274" s="7">
        <f>IF($W274="","",IF(INDEX('Per Invoice'!T$2:T$801,$W274)="","",INDEX('Per Invoice'!T$2:T$801,$W274)))</f>
        <v/>
      </c>
      <c r="U274" s="7">
        <f>IF($W274="","",IF(INDEX('Per Invoice'!U$2:U$801,$W274)="","",INDEX('Per Invoice'!U$2:U$801,$W274)))</f>
        <v/>
      </c>
      <c r="V274" s="7">
        <f>IF($W274="","",IF(INDEX('Per Invoice'!V$2:V$801,$W274)="","",INDEX('Per Invoice'!V$2:V$801,$W274)))</f>
        <v/>
      </c>
      <c r="W274" s="16">
        <f>IFERROR(MATCH(Settings!$C$30&amp;"|"&amp;ROWS($W$2:$W274),'Per Invoice'!$X$2:$X$801,0),"")</f>
        <v/>
      </c>
    </row>
    <row r="275">
      <c r="A275">
        <f>IF($W275="","",IF(INDEX('Per Invoice'!A$2:A$801,$W275)="","",INDEX('Per Invoice'!A$2:A$801,$W275)))</f>
        <v/>
      </c>
      <c r="B275">
        <f>IF($W275="","",IF(INDEX('Per Invoice'!B$2:B$801,$W275)="","",INDEX('Per Invoice'!B$2:B$801,$W275)))</f>
        <v/>
      </c>
      <c r="C275">
        <f>IF($W275="","",IF(INDEX('Per Invoice'!C$2:C$801,$W275)="","",INDEX('Per Invoice'!C$2:C$801,$W275)))</f>
        <v/>
      </c>
      <c r="D275">
        <f>IF($W275="","",IF(INDEX('Per Invoice'!D$2:D$801,$W275)="","",INDEX('Per Invoice'!D$2:D$801,$W275)))</f>
        <v/>
      </c>
      <c r="E275">
        <f>IF($W275="","",IF(INDEX('Per Invoice'!E$2:E$801,$W275)="","",INDEX('Per Invoice'!E$2:E$801,$W275)))</f>
        <v/>
      </c>
      <c r="F275">
        <f>IF($W275="","",IF(INDEX('Per Invoice'!F$2:F$801,$W275)="","",INDEX('Per Invoice'!F$2:F$801,$W275)))</f>
        <v/>
      </c>
      <c r="G275">
        <f>IF($W275="","",IF(INDEX('Per Invoice'!G$2:G$801,$W275)="","",INDEX('Per Invoice'!G$2:G$801,$W275)))</f>
        <v/>
      </c>
      <c r="H275">
        <f>IF($W275="","",IF(INDEX('Per Invoice'!H$2:H$801,$W275)="","",INDEX('Per Invoice'!H$2:H$801,$W275)))</f>
        <v/>
      </c>
      <c r="I275">
        <f>IF($W275="","",IF(INDEX('Per Invoice'!I$2:I$801,$W275)="","",INDEX('Per Invoice'!I$2:I$801,$W275)))</f>
        <v/>
      </c>
      <c r="J275">
        <f>IF($W275="","",IF(INDEX('Per Invoice'!J$2:J$801,$W275)="","",INDEX('Per Invoice'!J$2:J$801,$W275)))</f>
        <v/>
      </c>
      <c r="K275" s="7">
        <f>IF($W275="","",IF(INDEX('Per Invoice'!K$2:K$801,$W275)="","",INDEX('Per Invoice'!K$2:K$801,$W275)))</f>
        <v/>
      </c>
      <c r="L275" s="14">
        <f>IF($W275="","",IF(INDEX('Per Invoice'!L$2:L$801,$W275)="","",INDEX('Per Invoice'!L$2:L$801,$W275)))</f>
        <v/>
      </c>
      <c r="M275">
        <f>IF($W275="","",IF(INDEX('Per Invoice'!M$2:M$801,$W275)="","",INDEX('Per Invoice'!M$2:M$801,$W275)))</f>
        <v/>
      </c>
      <c r="N275" s="7">
        <f>IF($W275="","",IF(INDEX('Per Invoice'!N$2:N$801,$W275)="","",INDEX('Per Invoice'!N$2:N$801,$W275)))</f>
        <v/>
      </c>
      <c r="O275" s="7">
        <f>IF($W275="","",IF(INDEX('Per Invoice'!O$2:O$801,$W275)="","",INDEX('Per Invoice'!O$2:O$801,$W275)))</f>
        <v/>
      </c>
      <c r="P275">
        <f>IF($W275="","",IF(INDEX('Per Invoice'!P$2:P$801,$W275)="","",INDEX('Per Invoice'!P$2:P$801,$W275)))</f>
        <v/>
      </c>
      <c r="Q275" s="7">
        <f>IF($W275="","",IF(INDEX('Per Invoice'!Q$2:Q$801,$W275)="","",INDEX('Per Invoice'!Q$2:Q$801,$W275)))</f>
        <v/>
      </c>
      <c r="R275" s="7">
        <f>IF($W275="","",IF(INDEX('Per Invoice'!R$2:R$801,$W275)="","",INDEX('Per Invoice'!R$2:R$801,$W275)))</f>
        <v/>
      </c>
      <c r="S275" s="7">
        <f>IF($W275="","",IF(INDEX('Per Invoice'!S$2:S$801,$W275)="","",INDEX('Per Invoice'!S$2:S$801,$W275)))</f>
        <v/>
      </c>
      <c r="T275" s="7">
        <f>IF($W275="","",IF(INDEX('Per Invoice'!T$2:T$801,$W275)="","",INDEX('Per Invoice'!T$2:T$801,$W275)))</f>
        <v/>
      </c>
      <c r="U275" s="7">
        <f>IF($W275="","",IF(INDEX('Per Invoice'!U$2:U$801,$W275)="","",INDEX('Per Invoice'!U$2:U$801,$W275)))</f>
        <v/>
      </c>
      <c r="V275" s="7">
        <f>IF($W275="","",IF(INDEX('Per Invoice'!V$2:V$801,$W275)="","",INDEX('Per Invoice'!V$2:V$801,$W275)))</f>
        <v/>
      </c>
      <c r="W275" s="16">
        <f>IFERROR(MATCH(Settings!$C$30&amp;"|"&amp;ROWS($W$2:$W275),'Per Invoice'!$X$2:$X$801,0),"")</f>
        <v/>
      </c>
    </row>
    <row r="276">
      <c r="A276">
        <f>IF($W276="","",IF(INDEX('Per Invoice'!A$2:A$801,$W276)="","",INDEX('Per Invoice'!A$2:A$801,$W276)))</f>
        <v/>
      </c>
      <c r="B276">
        <f>IF($W276="","",IF(INDEX('Per Invoice'!B$2:B$801,$W276)="","",INDEX('Per Invoice'!B$2:B$801,$W276)))</f>
        <v/>
      </c>
      <c r="C276">
        <f>IF($W276="","",IF(INDEX('Per Invoice'!C$2:C$801,$W276)="","",INDEX('Per Invoice'!C$2:C$801,$W276)))</f>
        <v/>
      </c>
      <c r="D276">
        <f>IF($W276="","",IF(INDEX('Per Invoice'!D$2:D$801,$W276)="","",INDEX('Per Invoice'!D$2:D$801,$W276)))</f>
        <v/>
      </c>
      <c r="E276">
        <f>IF($W276="","",IF(INDEX('Per Invoice'!E$2:E$801,$W276)="","",INDEX('Per Invoice'!E$2:E$801,$W276)))</f>
        <v/>
      </c>
      <c r="F276">
        <f>IF($W276="","",IF(INDEX('Per Invoice'!F$2:F$801,$W276)="","",INDEX('Per Invoice'!F$2:F$801,$W276)))</f>
        <v/>
      </c>
      <c r="G276">
        <f>IF($W276="","",IF(INDEX('Per Invoice'!G$2:G$801,$W276)="","",INDEX('Per Invoice'!G$2:G$801,$W276)))</f>
        <v/>
      </c>
      <c r="H276">
        <f>IF($W276="","",IF(INDEX('Per Invoice'!H$2:H$801,$W276)="","",INDEX('Per Invoice'!H$2:H$801,$W276)))</f>
        <v/>
      </c>
      <c r="I276">
        <f>IF($W276="","",IF(INDEX('Per Invoice'!I$2:I$801,$W276)="","",INDEX('Per Invoice'!I$2:I$801,$W276)))</f>
        <v/>
      </c>
      <c r="J276">
        <f>IF($W276="","",IF(INDEX('Per Invoice'!J$2:J$801,$W276)="","",INDEX('Per Invoice'!J$2:J$801,$W276)))</f>
        <v/>
      </c>
      <c r="K276" s="7">
        <f>IF($W276="","",IF(INDEX('Per Invoice'!K$2:K$801,$W276)="","",INDEX('Per Invoice'!K$2:K$801,$W276)))</f>
        <v/>
      </c>
      <c r="L276" s="14">
        <f>IF($W276="","",IF(INDEX('Per Invoice'!L$2:L$801,$W276)="","",INDEX('Per Invoice'!L$2:L$801,$W276)))</f>
        <v/>
      </c>
      <c r="M276">
        <f>IF($W276="","",IF(INDEX('Per Invoice'!M$2:M$801,$W276)="","",INDEX('Per Invoice'!M$2:M$801,$W276)))</f>
        <v/>
      </c>
      <c r="N276" s="7">
        <f>IF($W276="","",IF(INDEX('Per Invoice'!N$2:N$801,$W276)="","",INDEX('Per Invoice'!N$2:N$801,$W276)))</f>
        <v/>
      </c>
      <c r="O276" s="7">
        <f>IF($W276="","",IF(INDEX('Per Invoice'!O$2:O$801,$W276)="","",INDEX('Per Invoice'!O$2:O$801,$W276)))</f>
        <v/>
      </c>
      <c r="P276">
        <f>IF($W276="","",IF(INDEX('Per Invoice'!P$2:P$801,$W276)="","",INDEX('Per Invoice'!P$2:P$801,$W276)))</f>
        <v/>
      </c>
      <c r="Q276" s="7">
        <f>IF($W276="","",IF(INDEX('Per Invoice'!Q$2:Q$801,$W276)="","",INDEX('Per Invoice'!Q$2:Q$801,$W276)))</f>
        <v/>
      </c>
      <c r="R276" s="7">
        <f>IF($W276="","",IF(INDEX('Per Invoice'!R$2:R$801,$W276)="","",INDEX('Per Invoice'!R$2:R$801,$W276)))</f>
        <v/>
      </c>
      <c r="S276" s="7">
        <f>IF($W276="","",IF(INDEX('Per Invoice'!S$2:S$801,$W276)="","",INDEX('Per Invoice'!S$2:S$801,$W276)))</f>
        <v/>
      </c>
      <c r="T276" s="7">
        <f>IF($W276="","",IF(INDEX('Per Invoice'!T$2:T$801,$W276)="","",INDEX('Per Invoice'!T$2:T$801,$W276)))</f>
        <v/>
      </c>
      <c r="U276" s="7">
        <f>IF($W276="","",IF(INDEX('Per Invoice'!U$2:U$801,$W276)="","",INDEX('Per Invoice'!U$2:U$801,$W276)))</f>
        <v/>
      </c>
      <c r="V276" s="7">
        <f>IF($W276="","",IF(INDEX('Per Invoice'!V$2:V$801,$W276)="","",INDEX('Per Invoice'!V$2:V$801,$W276)))</f>
        <v/>
      </c>
      <c r="W276" s="16">
        <f>IFERROR(MATCH(Settings!$C$30&amp;"|"&amp;ROWS($W$2:$W276),'Per Invoice'!$X$2:$X$801,0),"")</f>
        <v/>
      </c>
    </row>
    <row r="277">
      <c r="A277">
        <f>IF($W277="","",IF(INDEX('Per Invoice'!A$2:A$801,$W277)="","",INDEX('Per Invoice'!A$2:A$801,$W277)))</f>
        <v/>
      </c>
      <c r="B277">
        <f>IF($W277="","",IF(INDEX('Per Invoice'!B$2:B$801,$W277)="","",INDEX('Per Invoice'!B$2:B$801,$W277)))</f>
        <v/>
      </c>
      <c r="C277">
        <f>IF($W277="","",IF(INDEX('Per Invoice'!C$2:C$801,$W277)="","",INDEX('Per Invoice'!C$2:C$801,$W277)))</f>
        <v/>
      </c>
      <c r="D277">
        <f>IF($W277="","",IF(INDEX('Per Invoice'!D$2:D$801,$W277)="","",INDEX('Per Invoice'!D$2:D$801,$W277)))</f>
        <v/>
      </c>
      <c r="E277">
        <f>IF($W277="","",IF(INDEX('Per Invoice'!E$2:E$801,$W277)="","",INDEX('Per Invoice'!E$2:E$801,$W277)))</f>
        <v/>
      </c>
      <c r="F277">
        <f>IF($W277="","",IF(INDEX('Per Invoice'!F$2:F$801,$W277)="","",INDEX('Per Invoice'!F$2:F$801,$W277)))</f>
        <v/>
      </c>
      <c r="G277">
        <f>IF($W277="","",IF(INDEX('Per Invoice'!G$2:G$801,$W277)="","",INDEX('Per Invoice'!G$2:G$801,$W277)))</f>
        <v/>
      </c>
      <c r="H277">
        <f>IF($W277="","",IF(INDEX('Per Invoice'!H$2:H$801,$W277)="","",INDEX('Per Invoice'!H$2:H$801,$W277)))</f>
        <v/>
      </c>
      <c r="I277">
        <f>IF($W277="","",IF(INDEX('Per Invoice'!I$2:I$801,$W277)="","",INDEX('Per Invoice'!I$2:I$801,$W277)))</f>
        <v/>
      </c>
      <c r="J277">
        <f>IF($W277="","",IF(INDEX('Per Invoice'!J$2:J$801,$W277)="","",INDEX('Per Invoice'!J$2:J$801,$W277)))</f>
        <v/>
      </c>
      <c r="K277" s="7">
        <f>IF($W277="","",IF(INDEX('Per Invoice'!K$2:K$801,$W277)="","",INDEX('Per Invoice'!K$2:K$801,$W277)))</f>
        <v/>
      </c>
      <c r="L277" s="14">
        <f>IF($W277="","",IF(INDEX('Per Invoice'!L$2:L$801,$W277)="","",INDEX('Per Invoice'!L$2:L$801,$W277)))</f>
        <v/>
      </c>
      <c r="M277">
        <f>IF($W277="","",IF(INDEX('Per Invoice'!M$2:M$801,$W277)="","",INDEX('Per Invoice'!M$2:M$801,$W277)))</f>
        <v/>
      </c>
      <c r="N277" s="7">
        <f>IF($W277="","",IF(INDEX('Per Invoice'!N$2:N$801,$W277)="","",INDEX('Per Invoice'!N$2:N$801,$W277)))</f>
        <v/>
      </c>
      <c r="O277" s="7">
        <f>IF($W277="","",IF(INDEX('Per Invoice'!O$2:O$801,$W277)="","",INDEX('Per Invoice'!O$2:O$801,$W277)))</f>
        <v/>
      </c>
      <c r="P277">
        <f>IF($W277="","",IF(INDEX('Per Invoice'!P$2:P$801,$W277)="","",INDEX('Per Invoice'!P$2:P$801,$W277)))</f>
        <v/>
      </c>
      <c r="Q277" s="7">
        <f>IF($W277="","",IF(INDEX('Per Invoice'!Q$2:Q$801,$W277)="","",INDEX('Per Invoice'!Q$2:Q$801,$W277)))</f>
        <v/>
      </c>
      <c r="R277" s="7">
        <f>IF($W277="","",IF(INDEX('Per Invoice'!R$2:R$801,$W277)="","",INDEX('Per Invoice'!R$2:R$801,$W277)))</f>
        <v/>
      </c>
      <c r="S277" s="7">
        <f>IF($W277="","",IF(INDEX('Per Invoice'!S$2:S$801,$W277)="","",INDEX('Per Invoice'!S$2:S$801,$W277)))</f>
        <v/>
      </c>
      <c r="T277" s="7">
        <f>IF($W277="","",IF(INDEX('Per Invoice'!T$2:T$801,$W277)="","",INDEX('Per Invoice'!T$2:T$801,$W277)))</f>
        <v/>
      </c>
      <c r="U277" s="7">
        <f>IF($W277="","",IF(INDEX('Per Invoice'!U$2:U$801,$W277)="","",INDEX('Per Invoice'!U$2:U$801,$W277)))</f>
        <v/>
      </c>
      <c r="V277" s="7">
        <f>IF($W277="","",IF(INDEX('Per Invoice'!V$2:V$801,$W277)="","",INDEX('Per Invoice'!V$2:V$801,$W277)))</f>
        <v/>
      </c>
      <c r="W277" s="16">
        <f>IFERROR(MATCH(Settings!$C$30&amp;"|"&amp;ROWS($W$2:$W277),'Per Invoice'!$X$2:$X$801,0),"")</f>
        <v/>
      </c>
    </row>
    <row r="278">
      <c r="A278">
        <f>IF($W278="","",IF(INDEX('Per Invoice'!A$2:A$801,$W278)="","",INDEX('Per Invoice'!A$2:A$801,$W278)))</f>
        <v/>
      </c>
      <c r="B278">
        <f>IF($W278="","",IF(INDEX('Per Invoice'!B$2:B$801,$W278)="","",INDEX('Per Invoice'!B$2:B$801,$W278)))</f>
        <v/>
      </c>
      <c r="C278">
        <f>IF($W278="","",IF(INDEX('Per Invoice'!C$2:C$801,$W278)="","",INDEX('Per Invoice'!C$2:C$801,$W278)))</f>
        <v/>
      </c>
      <c r="D278">
        <f>IF($W278="","",IF(INDEX('Per Invoice'!D$2:D$801,$W278)="","",INDEX('Per Invoice'!D$2:D$801,$W278)))</f>
        <v/>
      </c>
      <c r="E278">
        <f>IF($W278="","",IF(INDEX('Per Invoice'!E$2:E$801,$W278)="","",INDEX('Per Invoice'!E$2:E$801,$W278)))</f>
        <v/>
      </c>
      <c r="F278">
        <f>IF($W278="","",IF(INDEX('Per Invoice'!F$2:F$801,$W278)="","",INDEX('Per Invoice'!F$2:F$801,$W278)))</f>
        <v/>
      </c>
      <c r="G278">
        <f>IF($W278="","",IF(INDEX('Per Invoice'!G$2:G$801,$W278)="","",INDEX('Per Invoice'!G$2:G$801,$W278)))</f>
        <v/>
      </c>
      <c r="H278">
        <f>IF($W278="","",IF(INDEX('Per Invoice'!H$2:H$801,$W278)="","",INDEX('Per Invoice'!H$2:H$801,$W278)))</f>
        <v/>
      </c>
      <c r="I278">
        <f>IF($W278="","",IF(INDEX('Per Invoice'!I$2:I$801,$W278)="","",INDEX('Per Invoice'!I$2:I$801,$W278)))</f>
        <v/>
      </c>
      <c r="J278">
        <f>IF($W278="","",IF(INDEX('Per Invoice'!J$2:J$801,$W278)="","",INDEX('Per Invoice'!J$2:J$801,$W278)))</f>
        <v/>
      </c>
      <c r="K278" s="7">
        <f>IF($W278="","",IF(INDEX('Per Invoice'!K$2:K$801,$W278)="","",INDEX('Per Invoice'!K$2:K$801,$W278)))</f>
        <v/>
      </c>
      <c r="L278" s="14">
        <f>IF($W278="","",IF(INDEX('Per Invoice'!L$2:L$801,$W278)="","",INDEX('Per Invoice'!L$2:L$801,$W278)))</f>
        <v/>
      </c>
      <c r="M278">
        <f>IF($W278="","",IF(INDEX('Per Invoice'!M$2:M$801,$W278)="","",INDEX('Per Invoice'!M$2:M$801,$W278)))</f>
        <v/>
      </c>
      <c r="N278" s="7">
        <f>IF($W278="","",IF(INDEX('Per Invoice'!N$2:N$801,$W278)="","",INDEX('Per Invoice'!N$2:N$801,$W278)))</f>
        <v/>
      </c>
      <c r="O278" s="7">
        <f>IF($W278="","",IF(INDEX('Per Invoice'!O$2:O$801,$W278)="","",INDEX('Per Invoice'!O$2:O$801,$W278)))</f>
        <v/>
      </c>
      <c r="P278">
        <f>IF($W278="","",IF(INDEX('Per Invoice'!P$2:P$801,$W278)="","",INDEX('Per Invoice'!P$2:P$801,$W278)))</f>
        <v/>
      </c>
      <c r="Q278" s="7">
        <f>IF($W278="","",IF(INDEX('Per Invoice'!Q$2:Q$801,$W278)="","",INDEX('Per Invoice'!Q$2:Q$801,$W278)))</f>
        <v/>
      </c>
      <c r="R278" s="7">
        <f>IF($W278="","",IF(INDEX('Per Invoice'!R$2:R$801,$W278)="","",INDEX('Per Invoice'!R$2:R$801,$W278)))</f>
        <v/>
      </c>
      <c r="S278" s="7">
        <f>IF($W278="","",IF(INDEX('Per Invoice'!S$2:S$801,$W278)="","",INDEX('Per Invoice'!S$2:S$801,$W278)))</f>
        <v/>
      </c>
      <c r="T278" s="7">
        <f>IF($W278="","",IF(INDEX('Per Invoice'!T$2:T$801,$W278)="","",INDEX('Per Invoice'!T$2:T$801,$W278)))</f>
        <v/>
      </c>
      <c r="U278" s="7">
        <f>IF($W278="","",IF(INDEX('Per Invoice'!U$2:U$801,$W278)="","",INDEX('Per Invoice'!U$2:U$801,$W278)))</f>
        <v/>
      </c>
      <c r="V278" s="7">
        <f>IF($W278="","",IF(INDEX('Per Invoice'!V$2:V$801,$W278)="","",INDEX('Per Invoice'!V$2:V$801,$W278)))</f>
        <v/>
      </c>
      <c r="W278" s="16">
        <f>IFERROR(MATCH(Settings!$C$30&amp;"|"&amp;ROWS($W$2:$W278),'Per Invoice'!$X$2:$X$801,0),"")</f>
        <v/>
      </c>
    </row>
    <row r="279">
      <c r="A279">
        <f>IF($W279="","",IF(INDEX('Per Invoice'!A$2:A$801,$W279)="","",INDEX('Per Invoice'!A$2:A$801,$W279)))</f>
        <v/>
      </c>
      <c r="B279">
        <f>IF($W279="","",IF(INDEX('Per Invoice'!B$2:B$801,$W279)="","",INDEX('Per Invoice'!B$2:B$801,$W279)))</f>
        <v/>
      </c>
      <c r="C279">
        <f>IF($W279="","",IF(INDEX('Per Invoice'!C$2:C$801,$W279)="","",INDEX('Per Invoice'!C$2:C$801,$W279)))</f>
        <v/>
      </c>
      <c r="D279">
        <f>IF($W279="","",IF(INDEX('Per Invoice'!D$2:D$801,$W279)="","",INDEX('Per Invoice'!D$2:D$801,$W279)))</f>
        <v/>
      </c>
      <c r="E279">
        <f>IF($W279="","",IF(INDEX('Per Invoice'!E$2:E$801,$W279)="","",INDEX('Per Invoice'!E$2:E$801,$W279)))</f>
        <v/>
      </c>
      <c r="F279">
        <f>IF($W279="","",IF(INDEX('Per Invoice'!F$2:F$801,$W279)="","",INDEX('Per Invoice'!F$2:F$801,$W279)))</f>
        <v/>
      </c>
      <c r="G279">
        <f>IF($W279="","",IF(INDEX('Per Invoice'!G$2:G$801,$W279)="","",INDEX('Per Invoice'!G$2:G$801,$W279)))</f>
        <v/>
      </c>
      <c r="H279">
        <f>IF($W279="","",IF(INDEX('Per Invoice'!H$2:H$801,$W279)="","",INDEX('Per Invoice'!H$2:H$801,$W279)))</f>
        <v/>
      </c>
      <c r="I279">
        <f>IF($W279="","",IF(INDEX('Per Invoice'!I$2:I$801,$W279)="","",INDEX('Per Invoice'!I$2:I$801,$W279)))</f>
        <v/>
      </c>
      <c r="J279">
        <f>IF($W279="","",IF(INDEX('Per Invoice'!J$2:J$801,$W279)="","",INDEX('Per Invoice'!J$2:J$801,$W279)))</f>
        <v/>
      </c>
      <c r="K279" s="7">
        <f>IF($W279="","",IF(INDEX('Per Invoice'!K$2:K$801,$W279)="","",INDEX('Per Invoice'!K$2:K$801,$W279)))</f>
        <v/>
      </c>
      <c r="L279" s="14">
        <f>IF($W279="","",IF(INDEX('Per Invoice'!L$2:L$801,$W279)="","",INDEX('Per Invoice'!L$2:L$801,$W279)))</f>
        <v/>
      </c>
      <c r="M279">
        <f>IF($W279="","",IF(INDEX('Per Invoice'!M$2:M$801,$W279)="","",INDEX('Per Invoice'!M$2:M$801,$W279)))</f>
        <v/>
      </c>
      <c r="N279" s="7">
        <f>IF($W279="","",IF(INDEX('Per Invoice'!N$2:N$801,$W279)="","",INDEX('Per Invoice'!N$2:N$801,$W279)))</f>
        <v/>
      </c>
      <c r="O279" s="7">
        <f>IF($W279="","",IF(INDEX('Per Invoice'!O$2:O$801,$W279)="","",INDEX('Per Invoice'!O$2:O$801,$W279)))</f>
        <v/>
      </c>
      <c r="P279">
        <f>IF($W279="","",IF(INDEX('Per Invoice'!P$2:P$801,$W279)="","",INDEX('Per Invoice'!P$2:P$801,$W279)))</f>
        <v/>
      </c>
      <c r="Q279" s="7">
        <f>IF($W279="","",IF(INDEX('Per Invoice'!Q$2:Q$801,$W279)="","",INDEX('Per Invoice'!Q$2:Q$801,$W279)))</f>
        <v/>
      </c>
      <c r="R279" s="7">
        <f>IF($W279="","",IF(INDEX('Per Invoice'!R$2:R$801,$W279)="","",INDEX('Per Invoice'!R$2:R$801,$W279)))</f>
        <v/>
      </c>
      <c r="S279" s="7">
        <f>IF($W279="","",IF(INDEX('Per Invoice'!S$2:S$801,$W279)="","",INDEX('Per Invoice'!S$2:S$801,$W279)))</f>
        <v/>
      </c>
      <c r="T279" s="7">
        <f>IF($W279="","",IF(INDEX('Per Invoice'!T$2:T$801,$W279)="","",INDEX('Per Invoice'!T$2:T$801,$W279)))</f>
        <v/>
      </c>
      <c r="U279" s="7">
        <f>IF($W279="","",IF(INDEX('Per Invoice'!U$2:U$801,$W279)="","",INDEX('Per Invoice'!U$2:U$801,$W279)))</f>
        <v/>
      </c>
      <c r="V279" s="7">
        <f>IF($W279="","",IF(INDEX('Per Invoice'!V$2:V$801,$W279)="","",INDEX('Per Invoice'!V$2:V$801,$W279)))</f>
        <v/>
      </c>
      <c r="W279" s="16">
        <f>IFERROR(MATCH(Settings!$C$30&amp;"|"&amp;ROWS($W$2:$W279),'Per Invoice'!$X$2:$X$801,0),"")</f>
        <v/>
      </c>
    </row>
    <row r="280">
      <c r="A280">
        <f>IF($W280="","",IF(INDEX('Per Invoice'!A$2:A$801,$W280)="","",INDEX('Per Invoice'!A$2:A$801,$W280)))</f>
        <v/>
      </c>
      <c r="B280">
        <f>IF($W280="","",IF(INDEX('Per Invoice'!B$2:B$801,$W280)="","",INDEX('Per Invoice'!B$2:B$801,$W280)))</f>
        <v/>
      </c>
      <c r="C280">
        <f>IF($W280="","",IF(INDEX('Per Invoice'!C$2:C$801,$W280)="","",INDEX('Per Invoice'!C$2:C$801,$W280)))</f>
        <v/>
      </c>
      <c r="D280">
        <f>IF($W280="","",IF(INDEX('Per Invoice'!D$2:D$801,$W280)="","",INDEX('Per Invoice'!D$2:D$801,$W280)))</f>
        <v/>
      </c>
      <c r="E280">
        <f>IF($W280="","",IF(INDEX('Per Invoice'!E$2:E$801,$W280)="","",INDEX('Per Invoice'!E$2:E$801,$W280)))</f>
        <v/>
      </c>
      <c r="F280">
        <f>IF($W280="","",IF(INDEX('Per Invoice'!F$2:F$801,$W280)="","",INDEX('Per Invoice'!F$2:F$801,$W280)))</f>
        <v/>
      </c>
      <c r="G280">
        <f>IF($W280="","",IF(INDEX('Per Invoice'!G$2:G$801,$W280)="","",INDEX('Per Invoice'!G$2:G$801,$W280)))</f>
        <v/>
      </c>
      <c r="H280">
        <f>IF($W280="","",IF(INDEX('Per Invoice'!H$2:H$801,$W280)="","",INDEX('Per Invoice'!H$2:H$801,$W280)))</f>
        <v/>
      </c>
      <c r="I280">
        <f>IF($W280="","",IF(INDEX('Per Invoice'!I$2:I$801,$W280)="","",INDEX('Per Invoice'!I$2:I$801,$W280)))</f>
        <v/>
      </c>
      <c r="J280">
        <f>IF($W280="","",IF(INDEX('Per Invoice'!J$2:J$801,$W280)="","",INDEX('Per Invoice'!J$2:J$801,$W280)))</f>
        <v/>
      </c>
      <c r="K280" s="7">
        <f>IF($W280="","",IF(INDEX('Per Invoice'!K$2:K$801,$W280)="","",INDEX('Per Invoice'!K$2:K$801,$W280)))</f>
        <v/>
      </c>
      <c r="L280" s="14">
        <f>IF($W280="","",IF(INDEX('Per Invoice'!L$2:L$801,$W280)="","",INDEX('Per Invoice'!L$2:L$801,$W280)))</f>
        <v/>
      </c>
      <c r="M280">
        <f>IF($W280="","",IF(INDEX('Per Invoice'!M$2:M$801,$W280)="","",INDEX('Per Invoice'!M$2:M$801,$W280)))</f>
        <v/>
      </c>
      <c r="N280" s="7">
        <f>IF($W280="","",IF(INDEX('Per Invoice'!N$2:N$801,$W280)="","",INDEX('Per Invoice'!N$2:N$801,$W280)))</f>
        <v/>
      </c>
      <c r="O280" s="7">
        <f>IF($W280="","",IF(INDEX('Per Invoice'!O$2:O$801,$W280)="","",INDEX('Per Invoice'!O$2:O$801,$W280)))</f>
        <v/>
      </c>
      <c r="P280">
        <f>IF($W280="","",IF(INDEX('Per Invoice'!P$2:P$801,$W280)="","",INDEX('Per Invoice'!P$2:P$801,$W280)))</f>
        <v/>
      </c>
      <c r="Q280" s="7">
        <f>IF($W280="","",IF(INDEX('Per Invoice'!Q$2:Q$801,$W280)="","",INDEX('Per Invoice'!Q$2:Q$801,$W280)))</f>
        <v/>
      </c>
      <c r="R280" s="7">
        <f>IF($W280="","",IF(INDEX('Per Invoice'!R$2:R$801,$W280)="","",INDEX('Per Invoice'!R$2:R$801,$W280)))</f>
        <v/>
      </c>
      <c r="S280" s="7">
        <f>IF($W280="","",IF(INDEX('Per Invoice'!S$2:S$801,$W280)="","",INDEX('Per Invoice'!S$2:S$801,$W280)))</f>
        <v/>
      </c>
      <c r="T280" s="7">
        <f>IF($W280="","",IF(INDEX('Per Invoice'!T$2:T$801,$W280)="","",INDEX('Per Invoice'!T$2:T$801,$W280)))</f>
        <v/>
      </c>
      <c r="U280" s="7">
        <f>IF($W280="","",IF(INDEX('Per Invoice'!U$2:U$801,$W280)="","",INDEX('Per Invoice'!U$2:U$801,$W280)))</f>
        <v/>
      </c>
      <c r="V280" s="7">
        <f>IF($W280="","",IF(INDEX('Per Invoice'!V$2:V$801,$W280)="","",INDEX('Per Invoice'!V$2:V$801,$W280)))</f>
        <v/>
      </c>
      <c r="W280" s="16">
        <f>IFERROR(MATCH(Settings!$C$30&amp;"|"&amp;ROWS($W$2:$W280),'Per Invoice'!$X$2:$X$801,0),"")</f>
        <v/>
      </c>
    </row>
    <row r="281">
      <c r="A281">
        <f>IF($W281="","",IF(INDEX('Per Invoice'!A$2:A$801,$W281)="","",INDEX('Per Invoice'!A$2:A$801,$W281)))</f>
        <v/>
      </c>
      <c r="B281">
        <f>IF($W281="","",IF(INDEX('Per Invoice'!B$2:B$801,$W281)="","",INDEX('Per Invoice'!B$2:B$801,$W281)))</f>
        <v/>
      </c>
      <c r="C281">
        <f>IF($W281="","",IF(INDEX('Per Invoice'!C$2:C$801,$W281)="","",INDEX('Per Invoice'!C$2:C$801,$W281)))</f>
        <v/>
      </c>
      <c r="D281">
        <f>IF($W281="","",IF(INDEX('Per Invoice'!D$2:D$801,$W281)="","",INDEX('Per Invoice'!D$2:D$801,$W281)))</f>
        <v/>
      </c>
      <c r="E281">
        <f>IF($W281="","",IF(INDEX('Per Invoice'!E$2:E$801,$W281)="","",INDEX('Per Invoice'!E$2:E$801,$W281)))</f>
        <v/>
      </c>
      <c r="F281">
        <f>IF($W281="","",IF(INDEX('Per Invoice'!F$2:F$801,$W281)="","",INDEX('Per Invoice'!F$2:F$801,$W281)))</f>
        <v/>
      </c>
      <c r="G281">
        <f>IF($W281="","",IF(INDEX('Per Invoice'!G$2:G$801,$W281)="","",INDEX('Per Invoice'!G$2:G$801,$W281)))</f>
        <v/>
      </c>
      <c r="H281">
        <f>IF($W281="","",IF(INDEX('Per Invoice'!H$2:H$801,$W281)="","",INDEX('Per Invoice'!H$2:H$801,$W281)))</f>
        <v/>
      </c>
      <c r="I281">
        <f>IF($W281="","",IF(INDEX('Per Invoice'!I$2:I$801,$W281)="","",INDEX('Per Invoice'!I$2:I$801,$W281)))</f>
        <v/>
      </c>
      <c r="J281">
        <f>IF($W281="","",IF(INDEX('Per Invoice'!J$2:J$801,$W281)="","",INDEX('Per Invoice'!J$2:J$801,$W281)))</f>
        <v/>
      </c>
      <c r="K281" s="7">
        <f>IF($W281="","",IF(INDEX('Per Invoice'!K$2:K$801,$W281)="","",INDEX('Per Invoice'!K$2:K$801,$W281)))</f>
        <v/>
      </c>
      <c r="L281" s="14">
        <f>IF($W281="","",IF(INDEX('Per Invoice'!L$2:L$801,$W281)="","",INDEX('Per Invoice'!L$2:L$801,$W281)))</f>
        <v/>
      </c>
      <c r="M281">
        <f>IF($W281="","",IF(INDEX('Per Invoice'!M$2:M$801,$W281)="","",INDEX('Per Invoice'!M$2:M$801,$W281)))</f>
        <v/>
      </c>
      <c r="N281" s="7">
        <f>IF($W281="","",IF(INDEX('Per Invoice'!N$2:N$801,$W281)="","",INDEX('Per Invoice'!N$2:N$801,$W281)))</f>
        <v/>
      </c>
      <c r="O281" s="7">
        <f>IF($W281="","",IF(INDEX('Per Invoice'!O$2:O$801,$W281)="","",INDEX('Per Invoice'!O$2:O$801,$W281)))</f>
        <v/>
      </c>
      <c r="P281">
        <f>IF($W281="","",IF(INDEX('Per Invoice'!P$2:P$801,$W281)="","",INDEX('Per Invoice'!P$2:P$801,$W281)))</f>
        <v/>
      </c>
      <c r="Q281" s="7">
        <f>IF($W281="","",IF(INDEX('Per Invoice'!Q$2:Q$801,$W281)="","",INDEX('Per Invoice'!Q$2:Q$801,$W281)))</f>
        <v/>
      </c>
      <c r="R281" s="7">
        <f>IF($W281="","",IF(INDEX('Per Invoice'!R$2:R$801,$W281)="","",INDEX('Per Invoice'!R$2:R$801,$W281)))</f>
        <v/>
      </c>
      <c r="S281" s="7">
        <f>IF($W281="","",IF(INDEX('Per Invoice'!S$2:S$801,$W281)="","",INDEX('Per Invoice'!S$2:S$801,$W281)))</f>
        <v/>
      </c>
      <c r="T281" s="7">
        <f>IF($W281="","",IF(INDEX('Per Invoice'!T$2:T$801,$W281)="","",INDEX('Per Invoice'!T$2:T$801,$W281)))</f>
        <v/>
      </c>
      <c r="U281" s="7">
        <f>IF($W281="","",IF(INDEX('Per Invoice'!U$2:U$801,$W281)="","",INDEX('Per Invoice'!U$2:U$801,$W281)))</f>
        <v/>
      </c>
      <c r="V281" s="7">
        <f>IF($W281="","",IF(INDEX('Per Invoice'!V$2:V$801,$W281)="","",INDEX('Per Invoice'!V$2:V$801,$W281)))</f>
        <v/>
      </c>
      <c r="W281" s="16">
        <f>IFERROR(MATCH(Settings!$C$30&amp;"|"&amp;ROWS($W$2:$W281),'Per Invoice'!$X$2:$X$801,0),"")</f>
        <v/>
      </c>
    </row>
    <row r="282">
      <c r="A282">
        <f>IF($W282="","",IF(INDEX('Per Invoice'!A$2:A$801,$W282)="","",INDEX('Per Invoice'!A$2:A$801,$W282)))</f>
        <v/>
      </c>
      <c r="B282">
        <f>IF($W282="","",IF(INDEX('Per Invoice'!B$2:B$801,$W282)="","",INDEX('Per Invoice'!B$2:B$801,$W282)))</f>
        <v/>
      </c>
      <c r="C282">
        <f>IF($W282="","",IF(INDEX('Per Invoice'!C$2:C$801,$W282)="","",INDEX('Per Invoice'!C$2:C$801,$W282)))</f>
        <v/>
      </c>
      <c r="D282">
        <f>IF($W282="","",IF(INDEX('Per Invoice'!D$2:D$801,$W282)="","",INDEX('Per Invoice'!D$2:D$801,$W282)))</f>
        <v/>
      </c>
      <c r="E282">
        <f>IF($W282="","",IF(INDEX('Per Invoice'!E$2:E$801,$W282)="","",INDEX('Per Invoice'!E$2:E$801,$W282)))</f>
        <v/>
      </c>
      <c r="F282">
        <f>IF($W282="","",IF(INDEX('Per Invoice'!F$2:F$801,$W282)="","",INDEX('Per Invoice'!F$2:F$801,$W282)))</f>
        <v/>
      </c>
      <c r="G282">
        <f>IF($W282="","",IF(INDEX('Per Invoice'!G$2:G$801,$W282)="","",INDEX('Per Invoice'!G$2:G$801,$W282)))</f>
        <v/>
      </c>
      <c r="H282">
        <f>IF($W282="","",IF(INDEX('Per Invoice'!H$2:H$801,$W282)="","",INDEX('Per Invoice'!H$2:H$801,$W282)))</f>
        <v/>
      </c>
      <c r="I282">
        <f>IF($W282="","",IF(INDEX('Per Invoice'!I$2:I$801,$W282)="","",INDEX('Per Invoice'!I$2:I$801,$W282)))</f>
        <v/>
      </c>
      <c r="J282">
        <f>IF($W282="","",IF(INDEX('Per Invoice'!J$2:J$801,$W282)="","",INDEX('Per Invoice'!J$2:J$801,$W282)))</f>
        <v/>
      </c>
      <c r="K282" s="7">
        <f>IF($W282="","",IF(INDEX('Per Invoice'!K$2:K$801,$W282)="","",INDEX('Per Invoice'!K$2:K$801,$W282)))</f>
        <v/>
      </c>
      <c r="L282" s="14">
        <f>IF($W282="","",IF(INDEX('Per Invoice'!L$2:L$801,$W282)="","",INDEX('Per Invoice'!L$2:L$801,$W282)))</f>
        <v/>
      </c>
      <c r="M282">
        <f>IF($W282="","",IF(INDEX('Per Invoice'!M$2:M$801,$W282)="","",INDEX('Per Invoice'!M$2:M$801,$W282)))</f>
        <v/>
      </c>
      <c r="N282" s="7">
        <f>IF($W282="","",IF(INDEX('Per Invoice'!N$2:N$801,$W282)="","",INDEX('Per Invoice'!N$2:N$801,$W282)))</f>
        <v/>
      </c>
      <c r="O282" s="7">
        <f>IF($W282="","",IF(INDEX('Per Invoice'!O$2:O$801,$W282)="","",INDEX('Per Invoice'!O$2:O$801,$W282)))</f>
        <v/>
      </c>
      <c r="P282">
        <f>IF($W282="","",IF(INDEX('Per Invoice'!P$2:P$801,$W282)="","",INDEX('Per Invoice'!P$2:P$801,$W282)))</f>
        <v/>
      </c>
      <c r="Q282" s="7">
        <f>IF($W282="","",IF(INDEX('Per Invoice'!Q$2:Q$801,$W282)="","",INDEX('Per Invoice'!Q$2:Q$801,$W282)))</f>
        <v/>
      </c>
      <c r="R282" s="7">
        <f>IF($W282="","",IF(INDEX('Per Invoice'!R$2:R$801,$W282)="","",INDEX('Per Invoice'!R$2:R$801,$W282)))</f>
        <v/>
      </c>
      <c r="S282" s="7">
        <f>IF($W282="","",IF(INDEX('Per Invoice'!S$2:S$801,$W282)="","",INDEX('Per Invoice'!S$2:S$801,$W282)))</f>
        <v/>
      </c>
      <c r="T282" s="7">
        <f>IF($W282="","",IF(INDEX('Per Invoice'!T$2:T$801,$W282)="","",INDEX('Per Invoice'!T$2:T$801,$W282)))</f>
        <v/>
      </c>
      <c r="U282" s="7">
        <f>IF($W282="","",IF(INDEX('Per Invoice'!U$2:U$801,$W282)="","",INDEX('Per Invoice'!U$2:U$801,$W282)))</f>
        <v/>
      </c>
      <c r="V282" s="7">
        <f>IF($W282="","",IF(INDEX('Per Invoice'!V$2:V$801,$W282)="","",INDEX('Per Invoice'!V$2:V$801,$W282)))</f>
        <v/>
      </c>
      <c r="W282" s="16">
        <f>IFERROR(MATCH(Settings!$C$30&amp;"|"&amp;ROWS($W$2:$W282),'Per Invoice'!$X$2:$X$801,0),"")</f>
        <v/>
      </c>
    </row>
    <row r="283">
      <c r="A283">
        <f>IF($W283="","",IF(INDEX('Per Invoice'!A$2:A$801,$W283)="","",INDEX('Per Invoice'!A$2:A$801,$W283)))</f>
        <v/>
      </c>
      <c r="B283">
        <f>IF($W283="","",IF(INDEX('Per Invoice'!B$2:B$801,$W283)="","",INDEX('Per Invoice'!B$2:B$801,$W283)))</f>
        <v/>
      </c>
      <c r="C283">
        <f>IF($W283="","",IF(INDEX('Per Invoice'!C$2:C$801,$W283)="","",INDEX('Per Invoice'!C$2:C$801,$W283)))</f>
        <v/>
      </c>
      <c r="D283">
        <f>IF($W283="","",IF(INDEX('Per Invoice'!D$2:D$801,$W283)="","",INDEX('Per Invoice'!D$2:D$801,$W283)))</f>
        <v/>
      </c>
      <c r="E283">
        <f>IF($W283="","",IF(INDEX('Per Invoice'!E$2:E$801,$W283)="","",INDEX('Per Invoice'!E$2:E$801,$W283)))</f>
        <v/>
      </c>
      <c r="F283">
        <f>IF($W283="","",IF(INDEX('Per Invoice'!F$2:F$801,$W283)="","",INDEX('Per Invoice'!F$2:F$801,$W283)))</f>
        <v/>
      </c>
      <c r="G283">
        <f>IF($W283="","",IF(INDEX('Per Invoice'!G$2:G$801,$W283)="","",INDEX('Per Invoice'!G$2:G$801,$W283)))</f>
        <v/>
      </c>
      <c r="H283">
        <f>IF($W283="","",IF(INDEX('Per Invoice'!H$2:H$801,$W283)="","",INDEX('Per Invoice'!H$2:H$801,$W283)))</f>
        <v/>
      </c>
      <c r="I283">
        <f>IF($W283="","",IF(INDEX('Per Invoice'!I$2:I$801,$W283)="","",INDEX('Per Invoice'!I$2:I$801,$W283)))</f>
        <v/>
      </c>
      <c r="J283">
        <f>IF($W283="","",IF(INDEX('Per Invoice'!J$2:J$801,$W283)="","",INDEX('Per Invoice'!J$2:J$801,$W283)))</f>
        <v/>
      </c>
      <c r="K283" s="7">
        <f>IF($W283="","",IF(INDEX('Per Invoice'!K$2:K$801,$W283)="","",INDEX('Per Invoice'!K$2:K$801,$W283)))</f>
        <v/>
      </c>
      <c r="L283" s="14">
        <f>IF($W283="","",IF(INDEX('Per Invoice'!L$2:L$801,$W283)="","",INDEX('Per Invoice'!L$2:L$801,$W283)))</f>
        <v/>
      </c>
      <c r="M283">
        <f>IF($W283="","",IF(INDEX('Per Invoice'!M$2:M$801,$W283)="","",INDEX('Per Invoice'!M$2:M$801,$W283)))</f>
        <v/>
      </c>
      <c r="N283" s="7">
        <f>IF($W283="","",IF(INDEX('Per Invoice'!N$2:N$801,$W283)="","",INDEX('Per Invoice'!N$2:N$801,$W283)))</f>
        <v/>
      </c>
      <c r="O283" s="7">
        <f>IF($W283="","",IF(INDEX('Per Invoice'!O$2:O$801,$W283)="","",INDEX('Per Invoice'!O$2:O$801,$W283)))</f>
        <v/>
      </c>
      <c r="P283">
        <f>IF($W283="","",IF(INDEX('Per Invoice'!P$2:P$801,$W283)="","",INDEX('Per Invoice'!P$2:P$801,$W283)))</f>
        <v/>
      </c>
      <c r="Q283" s="7">
        <f>IF($W283="","",IF(INDEX('Per Invoice'!Q$2:Q$801,$W283)="","",INDEX('Per Invoice'!Q$2:Q$801,$W283)))</f>
        <v/>
      </c>
      <c r="R283" s="7">
        <f>IF($W283="","",IF(INDEX('Per Invoice'!R$2:R$801,$W283)="","",INDEX('Per Invoice'!R$2:R$801,$W283)))</f>
        <v/>
      </c>
      <c r="S283" s="7">
        <f>IF($W283="","",IF(INDEX('Per Invoice'!S$2:S$801,$W283)="","",INDEX('Per Invoice'!S$2:S$801,$W283)))</f>
        <v/>
      </c>
      <c r="T283" s="7">
        <f>IF($W283="","",IF(INDEX('Per Invoice'!T$2:T$801,$W283)="","",INDEX('Per Invoice'!T$2:T$801,$W283)))</f>
        <v/>
      </c>
      <c r="U283" s="7">
        <f>IF($W283="","",IF(INDEX('Per Invoice'!U$2:U$801,$W283)="","",INDEX('Per Invoice'!U$2:U$801,$W283)))</f>
        <v/>
      </c>
      <c r="V283" s="7">
        <f>IF($W283="","",IF(INDEX('Per Invoice'!V$2:V$801,$W283)="","",INDEX('Per Invoice'!V$2:V$801,$W283)))</f>
        <v/>
      </c>
      <c r="W283" s="16">
        <f>IFERROR(MATCH(Settings!$C$30&amp;"|"&amp;ROWS($W$2:$W283),'Per Invoice'!$X$2:$X$801,0),"")</f>
        <v/>
      </c>
    </row>
    <row r="284">
      <c r="A284">
        <f>IF($W284="","",IF(INDEX('Per Invoice'!A$2:A$801,$W284)="","",INDEX('Per Invoice'!A$2:A$801,$W284)))</f>
        <v/>
      </c>
      <c r="B284">
        <f>IF($W284="","",IF(INDEX('Per Invoice'!B$2:B$801,$W284)="","",INDEX('Per Invoice'!B$2:B$801,$W284)))</f>
        <v/>
      </c>
      <c r="C284">
        <f>IF($W284="","",IF(INDEX('Per Invoice'!C$2:C$801,$W284)="","",INDEX('Per Invoice'!C$2:C$801,$W284)))</f>
        <v/>
      </c>
      <c r="D284">
        <f>IF($W284="","",IF(INDEX('Per Invoice'!D$2:D$801,$W284)="","",INDEX('Per Invoice'!D$2:D$801,$W284)))</f>
        <v/>
      </c>
      <c r="E284">
        <f>IF($W284="","",IF(INDEX('Per Invoice'!E$2:E$801,$W284)="","",INDEX('Per Invoice'!E$2:E$801,$W284)))</f>
        <v/>
      </c>
      <c r="F284">
        <f>IF($W284="","",IF(INDEX('Per Invoice'!F$2:F$801,$W284)="","",INDEX('Per Invoice'!F$2:F$801,$W284)))</f>
        <v/>
      </c>
      <c r="G284">
        <f>IF($W284="","",IF(INDEX('Per Invoice'!G$2:G$801,$W284)="","",INDEX('Per Invoice'!G$2:G$801,$W284)))</f>
        <v/>
      </c>
      <c r="H284">
        <f>IF($W284="","",IF(INDEX('Per Invoice'!H$2:H$801,$W284)="","",INDEX('Per Invoice'!H$2:H$801,$W284)))</f>
        <v/>
      </c>
      <c r="I284">
        <f>IF($W284="","",IF(INDEX('Per Invoice'!I$2:I$801,$W284)="","",INDEX('Per Invoice'!I$2:I$801,$W284)))</f>
        <v/>
      </c>
      <c r="J284">
        <f>IF($W284="","",IF(INDEX('Per Invoice'!J$2:J$801,$W284)="","",INDEX('Per Invoice'!J$2:J$801,$W284)))</f>
        <v/>
      </c>
      <c r="K284" s="7">
        <f>IF($W284="","",IF(INDEX('Per Invoice'!K$2:K$801,$W284)="","",INDEX('Per Invoice'!K$2:K$801,$W284)))</f>
        <v/>
      </c>
      <c r="L284" s="14">
        <f>IF($W284="","",IF(INDEX('Per Invoice'!L$2:L$801,$W284)="","",INDEX('Per Invoice'!L$2:L$801,$W284)))</f>
        <v/>
      </c>
      <c r="M284">
        <f>IF($W284="","",IF(INDEX('Per Invoice'!M$2:M$801,$W284)="","",INDEX('Per Invoice'!M$2:M$801,$W284)))</f>
        <v/>
      </c>
      <c r="N284" s="7">
        <f>IF($W284="","",IF(INDEX('Per Invoice'!N$2:N$801,$W284)="","",INDEX('Per Invoice'!N$2:N$801,$W284)))</f>
        <v/>
      </c>
      <c r="O284" s="7">
        <f>IF($W284="","",IF(INDEX('Per Invoice'!O$2:O$801,$W284)="","",INDEX('Per Invoice'!O$2:O$801,$W284)))</f>
        <v/>
      </c>
      <c r="P284">
        <f>IF($W284="","",IF(INDEX('Per Invoice'!P$2:P$801,$W284)="","",INDEX('Per Invoice'!P$2:P$801,$W284)))</f>
        <v/>
      </c>
      <c r="Q284" s="7">
        <f>IF($W284="","",IF(INDEX('Per Invoice'!Q$2:Q$801,$W284)="","",INDEX('Per Invoice'!Q$2:Q$801,$W284)))</f>
        <v/>
      </c>
      <c r="R284" s="7">
        <f>IF($W284="","",IF(INDEX('Per Invoice'!R$2:R$801,$W284)="","",INDEX('Per Invoice'!R$2:R$801,$W284)))</f>
        <v/>
      </c>
      <c r="S284" s="7">
        <f>IF($W284="","",IF(INDEX('Per Invoice'!S$2:S$801,$W284)="","",INDEX('Per Invoice'!S$2:S$801,$W284)))</f>
        <v/>
      </c>
      <c r="T284" s="7">
        <f>IF($W284="","",IF(INDEX('Per Invoice'!T$2:T$801,$W284)="","",INDEX('Per Invoice'!T$2:T$801,$W284)))</f>
        <v/>
      </c>
      <c r="U284" s="7">
        <f>IF($W284="","",IF(INDEX('Per Invoice'!U$2:U$801,$W284)="","",INDEX('Per Invoice'!U$2:U$801,$W284)))</f>
        <v/>
      </c>
      <c r="V284" s="7">
        <f>IF($W284="","",IF(INDEX('Per Invoice'!V$2:V$801,$W284)="","",INDEX('Per Invoice'!V$2:V$801,$W284)))</f>
        <v/>
      </c>
      <c r="W284" s="16">
        <f>IFERROR(MATCH(Settings!$C$30&amp;"|"&amp;ROWS($W$2:$W284),'Per Invoice'!$X$2:$X$801,0),"")</f>
        <v/>
      </c>
    </row>
    <row r="285">
      <c r="A285">
        <f>IF($W285="","",IF(INDEX('Per Invoice'!A$2:A$801,$W285)="","",INDEX('Per Invoice'!A$2:A$801,$W285)))</f>
        <v/>
      </c>
      <c r="B285">
        <f>IF($W285="","",IF(INDEX('Per Invoice'!B$2:B$801,$W285)="","",INDEX('Per Invoice'!B$2:B$801,$W285)))</f>
        <v/>
      </c>
      <c r="C285">
        <f>IF($W285="","",IF(INDEX('Per Invoice'!C$2:C$801,$W285)="","",INDEX('Per Invoice'!C$2:C$801,$W285)))</f>
        <v/>
      </c>
      <c r="D285">
        <f>IF($W285="","",IF(INDEX('Per Invoice'!D$2:D$801,$W285)="","",INDEX('Per Invoice'!D$2:D$801,$W285)))</f>
        <v/>
      </c>
      <c r="E285">
        <f>IF($W285="","",IF(INDEX('Per Invoice'!E$2:E$801,$W285)="","",INDEX('Per Invoice'!E$2:E$801,$W285)))</f>
        <v/>
      </c>
      <c r="F285">
        <f>IF($W285="","",IF(INDEX('Per Invoice'!F$2:F$801,$W285)="","",INDEX('Per Invoice'!F$2:F$801,$W285)))</f>
        <v/>
      </c>
      <c r="G285">
        <f>IF($W285="","",IF(INDEX('Per Invoice'!G$2:G$801,$W285)="","",INDEX('Per Invoice'!G$2:G$801,$W285)))</f>
        <v/>
      </c>
      <c r="H285">
        <f>IF($W285="","",IF(INDEX('Per Invoice'!H$2:H$801,$W285)="","",INDEX('Per Invoice'!H$2:H$801,$W285)))</f>
        <v/>
      </c>
      <c r="I285">
        <f>IF($W285="","",IF(INDEX('Per Invoice'!I$2:I$801,$W285)="","",INDEX('Per Invoice'!I$2:I$801,$W285)))</f>
        <v/>
      </c>
      <c r="J285">
        <f>IF($W285="","",IF(INDEX('Per Invoice'!J$2:J$801,$W285)="","",INDEX('Per Invoice'!J$2:J$801,$W285)))</f>
        <v/>
      </c>
      <c r="K285" s="7">
        <f>IF($W285="","",IF(INDEX('Per Invoice'!K$2:K$801,$W285)="","",INDEX('Per Invoice'!K$2:K$801,$W285)))</f>
        <v/>
      </c>
      <c r="L285" s="14">
        <f>IF($W285="","",IF(INDEX('Per Invoice'!L$2:L$801,$W285)="","",INDEX('Per Invoice'!L$2:L$801,$W285)))</f>
        <v/>
      </c>
      <c r="M285">
        <f>IF($W285="","",IF(INDEX('Per Invoice'!M$2:M$801,$W285)="","",INDEX('Per Invoice'!M$2:M$801,$W285)))</f>
        <v/>
      </c>
      <c r="N285" s="7">
        <f>IF($W285="","",IF(INDEX('Per Invoice'!N$2:N$801,$W285)="","",INDEX('Per Invoice'!N$2:N$801,$W285)))</f>
        <v/>
      </c>
      <c r="O285" s="7">
        <f>IF($W285="","",IF(INDEX('Per Invoice'!O$2:O$801,$W285)="","",INDEX('Per Invoice'!O$2:O$801,$W285)))</f>
        <v/>
      </c>
      <c r="P285">
        <f>IF($W285="","",IF(INDEX('Per Invoice'!P$2:P$801,$W285)="","",INDEX('Per Invoice'!P$2:P$801,$W285)))</f>
        <v/>
      </c>
      <c r="Q285" s="7">
        <f>IF($W285="","",IF(INDEX('Per Invoice'!Q$2:Q$801,$W285)="","",INDEX('Per Invoice'!Q$2:Q$801,$W285)))</f>
        <v/>
      </c>
      <c r="R285" s="7">
        <f>IF($W285="","",IF(INDEX('Per Invoice'!R$2:R$801,$W285)="","",INDEX('Per Invoice'!R$2:R$801,$W285)))</f>
        <v/>
      </c>
      <c r="S285" s="7">
        <f>IF($W285="","",IF(INDEX('Per Invoice'!S$2:S$801,$W285)="","",INDEX('Per Invoice'!S$2:S$801,$W285)))</f>
        <v/>
      </c>
      <c r="T285" s="7">
        <f>IF($W285="","",IF(INDEX('Per Invoice'!T$2:T$801,$W285)="","",INDEX('Per Invoice'!T$2:T$801,$W285)))</f>
        <v/>
      </c>
      <c r="U285" s="7">
        <f>IF($W285="","",IF(INDEX('Per Invoice'!U$2:U$801,$W285)="","",INDEX('Per Invoice'!U$2:U$801,$W285)))</f>
        <v/>
      </c>
      <c r="V285" s="7">
        <f>IF($W285="","",IF(INDEX('Per Invoice'!V$2:V$801,$W285)="","",INDEX('Per Invoice'!V$2:V$801,$W285)))</f>
        <v/>
      </c>
      <c r="W285" s="16">
        <f>IFERROR(MATCH(Settings!$C$30&amp;"|"&amp;ROWS($W$2:$W285),'Per Invoice'!$X$2:$X$801,0),"")</f>
        <v/>
      </c>
    </row>
    <row r="286">
      <c r="A286">
        <f>IF($W286="","",IF(INDEX('Per Invoice'!A$2:A$801,$W286)="","",INDEX('Per Invoice'!A$2:A$801,$W286)))</f>
        <v/>
      </c>
      <c r="B286">
        <f>IF($W286="","",IF(INDEX('Per Invoice'!B$2:B$801,$W286)="","",INDEX('Per Invoice'!B$2:B$801,$W286)))</f>
        <v/>
      </c>
      <c r="C286">
        <f>IF($W286="","",IF(INDEX('Per Invoice'!C$2:C$801,$W286)="","",INDEX('Per Invoice'!C$2:C$801,$W286)))</f>
        <v/>
      </c>
      <c r="D286">
        <f>IF($W286="","",IF(INDEX('Per Invoice'!D$2:D$801,$W286)="","",INDEX('Per Invoice'!D$2:D$801,$W286)))</f>
        <v/>
      </c>
      <c r="E286">
        <f>IF($W286="","",IF(INDEX('Per Invoice'!E$2:E$801,$W286)="","",INDEX('Per Invoice'!E$2:E$801,$W286)))</f>
        <v/>
      </c>
      <c r="F286">
        <f>IF($W286="","",IF(INDEX('Per Invoice'!F$2:F$801,$W286)="","",INDEX('Per Invoice'!F$2:F$801,$W286)))</f>
        <v/>
      </c>
      <c r="G286">
        <f>IF($W286="","",IF(INDEX('Per Invoice'!G$2:G$801,$W286)="","",INDEX('Per Invoice'!G$2:G$801,$W286)))</f>
        <v/>
      </c>
      <c r="H286">
        <f>IF($W286="","",IF(INDEX('Per Invoice'!H$2:H$801,$W286)="","",INDEX('Per Invoice'!H$2:H$801,$W286)))</f>
        <v/>
      </c>
      <c r="I286">
        <f>IF($W286="","",IF(INDEX('Per Invoice'!I$2:I$801,$W286)="","",INDEX('Per Invoice'!I$2:I$801,$W286)))</f>
        <v/>
      </c>
      <c r="J286">
        <f>IF($W286="","",IF(INDEX('Per Invoice'!J$2:J$801,$W286)="","",INDEX('Per Invoice'!J$2:J$801,$W286)))</f>
        <v/>
      </c>
      <c r="K286" s="7">
        <f>IF($W286="","",IF(INDEX('Per Invoice'!K$2:K$801,$W286)="","",INDEX('Per Invoice'!K$2:K$801,$W286)))</f>
        <v/>
      </c>
      <c r="L286" s="14">
        <f>IF($W286="","",IF(INDEX('Per Invoice'!L$2:L$801,$W286)="","",INDEX('Per Invoice'!L$2:L$801,$W286)))</f>
        <v/>
      </c>
      <c r="M286">
        <f>IF($W286="","",IF(INDEX('Per Invoice'!M$2:M$801,$W286)="","",INDEX('Per Invoice'!M$2:M$801,$W286)))</f>
        <v/>
      </c>
      <c r="N286" s="7">
        <f>IF($W286="","",IF(INDEX('Per Invoice'!N$2:N$801,$W286)="","",INDEX('Per Invoice'!N$2:N$801,$W286)))</f>
        <v/>
      </c>
      <c r="O286" s="7">
        <f>IF($W286="","",IF(INDEX('Per Invoice'!O$2:O$801,$W286)="","",INDEX('Per Invoice'!O$2:O$801,$W286)))</f>
        <v/>
      </c>
      <c r="P286">
        <f>IF($W286="","",IF(INDEX('Per Invoice'!P$2:P$801,$W286)="","",INDEX('Per Invoice'!P$2:P$801,$W286)))</f>
        <v/>
      </c>
      <c r="Q286" s="7">
        <f>IF($W286="","",IF(INDEX('Per Invoice'!Q$2:Q$801,$W286)="","",INDEX('Per Invoice'!Q$2:Q$801,$W286)))</f>
        <v/>
      </c>
      <c r="R286" s="7">
        <f>IF($W286="","",IF(INDEX('Per Invoice'!R$2:R$801,$W286)="","",INDEX('Per Invoice'!R$2:R$801,$W286)))</f>
        <v/>
      </c>
      <c r="S286" s="7">
        <f>IF($W286="","",IF(INDEX('Per Invoice'!S$2:S$801,$W286)="","",INDEX('Per Invoice'!S$2:S$801,$W286)))</f>
        <v/>
      </c>
      <c r="T286" s="7">
        <f>IF($W286="","",IF(INDEX('Per Invoice'!T$2:T$801,$W286)="","",INDEX('Per Invoice'!T$2:T$801,$W286)))</f>
        <v/>
      </c>
      <c r="U286" s="7">
        <f>IF($W286="","",IF(INDEX('Per Invoice'!U$2:U$801,$W286)="","",INDEX('Per Invoice'!U$2:U$801,$W286)))</f>
        <v/>
      </c>
      <c r="V286" s="7">
        <f>IF($W286="","",IF(INDEX('Per Invoice'!V$2:V$801,$W286)="","",INDEX('Per Invoice'!V$2:V$801,$W286)))</f>
        <v/>
      </c>
      <c r="W286" s="16">
        <f>IFERROR(MATCH(Settings!$C$30&amp;"|"&amp;ROWS($W$2:$W286),'Per Invoice'!$X$2:$X$801,0),"")</f>
        <v/>
      </c>
    </row>
    <row r="287">
      <c r="A287">
        <f>IF($W287="","",IF(INDEX('Per Invoice'!A$2:A$801,$W287)="","",INDEX('Per Invoice'!A$2:A$801,$W287)))</f>
        <v/>
      </c>
      <c r="B287">
        <f>IF($W287="","",IF(INDEX('Per Invoice'!B$2:B$801,$W287)="","",INDEX('Per Invoice'!B$2:B$801,$W287)))</f>
        <v/>
      </c>
      <c r="C287">
        <f>IF($W287="","",IF(INDEX('Per Invoice'!C$2:C$801,$W287)="","",INDEX('Per Invoice'!C$2:C$801,$W287)))</f>
        <v/>
      </c>
      <c r="D287">
        <f>IF($W287="","",IF(INDEX('Per Invoice'!D$2:D$801,$W287)="","",INDEX('Per Invoice'!D$2:D$801,$W287)))</f>
        <v/>
      </c>
      <c r="E287">
        <f>IF($W287="","",IF(INDEX('Per Invoice'!E$2:E$801,$W287)="","",INDEX('Per Invoice'!E$2:E$801,$W287)))</f>
        <v/>
      </c>
      <c r="F287">
        <f>IF($W287="","",IF(INDEX('Per Invoice'!F$2:F$801,$W287)="","",INDEX('Per Invoice'!F$2:F$801,$W287)))</f>
        <v/>
      </c>
      <c r="G287">
        <f>IF($W287="","",IF(INDEX('Per Invoice'!G$2:G$801,$W287)="","",INDEX('Per Invoice'!G$2:G$801,$W287)))</f>
        <v/>
      </c>
      <c r="H287">
        <f>IF($W287="","",IF(INDEX('Per Invoice'!H$2:H$801,$W287)="","",INDEX('Per Invoice'!H$2:H$801,$W287)))</f>
        <v/>
      </c>
      <c r="I287">
        <f>IF($W287="","",IF(INDEX('Per Invoice'!I$2:I$801,$W287)="","",INDEX('Per Invoice'!I$2:I$801,$W287)))</f>
        <v/>
      </c>
      <c r="J287">
        <f>IF($W287="","",IF(INDEX('Per Invoice'!J$2:J$801,$W287)="","",INDEX('Per Invoice'!J$2:J$801,$W287)))</f>
        <v/>
      </c>
      <c r="K287" s="7">
        <f>IF($W287="","",IF(INDEX('Per Invoice'!K$2:K$801,$W287)="","",INDEX('Per Invoice'!K$2:K$801,$W287)))</f>
        <v/>
      </c>
      <c r="L287" s="14">
        <f>IF($W287="","",IF(INDEX('Per Invoice'!L$2:L$801,$W287)="","",INDEX('Per Invoice'!L$2:L$801,$W287)))</f>
        <v/>
      </c>
      <c r="M287">
        <f>IF($W287="","",IF(INDEX('Per Invoice'!M$2:M$801,$W287)="","",INDEX('Per Invoice'!M$2:M$801,$W287)))</f>
        <v/>
      </c>
      <c r="N287" s="7">
        <f>IF($W287="","",IF(INDEX('Per Invoice'!N$2:N$801,$W287)="","",INDEX('Per Invoice'!N$2:N$801,$W287)))</f>
        <v/>
      </c>
      <c r="O287" s="7">
        <f>IF($W287="","",IF(INDEX('Per Invoice'!O$2:O$801,$W287)="","",INDEX('Per Invoice'!O$2:O$801,$W287)))</f>
        <v/>
      </c>
      <c r="P287">
        <f>IF($W287="","",IF(INDEX('Per Invoice'!P$2:P$801,$W287)="","",INDEX('Per Invoice'!P$2:P$801,$W287)))</f>
        <v/>
      </c>
      <c r="Q287" s="7">
        <f>IF($W287="","",IF(INDEX('Per Invoice'!Q$2:Q$801,$W287)="","",INDEX('Per Invoice'!Q$2:Q$801,$W287)))</f>
        <v/>
      </c>
      <c r="R287" s="7">
        <f>IF($W287="","",IF(INDEX('Per Invoice'!R$2:R$801,$W287)="","",INDEX('Per Invoice'!R$2:R$801,$W287)))</f>
        <v/>
      </c>
      <c r="S287" s="7">
        <f>IF($W287="","",IF(INDEX('Per Invoice'!S$2:S$801,$W287)="","",INDEX('Per Invoice'!S$2:S$801,$W287)))</f>
        <v/>
      </c>
      <c r="T287" s="7">
        <f>IF($W287="","",IF(INDEX('Per Invoice'!T$2:T$801,$W287)="","",INDEX('Per Invoice'!T$2:T$801,$W287)))</f>
        <v/>
      </c>
      <c r="U287" s="7">
        <f>IF($W287="","",IF(INDEX('Per Invoice'!U$2:U$801,$W287)="","",INDEX('Per Invoice'!U$2:U$801,$W287)))</f>
        <v/>
      </c>
      <c r="V287" s="7">
        <f>IF($W287="","",IF(INDEX('Per Invoice'!V$2:V$801,$W287)="","",INDEX('Per Invoice'!V$2:V$801,$W287)))</f>
        <v/>
      </c>
      <c r="W287" s="16">
        <f>IFERROR(MATCH(Settings!$C$30&amp;"|"&amp;ROWS($W$2:$W287),'Per Invoice'!$X$2:$X$801,0),"")</f>
        <v/>
      </c>
    </row>
    <row r="288">
      <c r="A288">
        <f>IF($W288="","",IF(INDEX('Per Invoice'!A$2:A$801,$W288)="","",INDEX('Per Invoice'!A$2:A$801,$W288)))</f>
        <v/>
      </c>
      <c r="B288">
        <f>IF($W288="","",IF(INDEX('Per Invoice'!B$2:B$801,$W288)="","",INDEX('Per Invoice'!B$2:B$801,$W288)))</f>
        <v/>
      </c>
      <c r="C288">
        <f>IF($W288="","",IF(INDEX('Per Invoice'!C$2:C$801,$W288)="","",INDEX('Per Invoice'!C$2:C$801,$W288)))</f>
        <v/>
      </c>
      <c r="D288">
        <f>IF($W288="","",IF(INDEX('Per Invoice'!D$2:D$801,$W288)="","",INDEX('Per Invoice'!D$2:D$801,$W288)))</f>
        <v/>
      </c>
      <c r="E288">
        <f>IF($W288="","",IF(INDEX('Per Invoice'!E$2:E$801,$W288)="","",INDEX('Per Invoice'!E$2:E$801,$W288)))</f>
        <v/>
      </c>
      <c r="F288">
        <f>IF($W288="","",IF(INDEX('Per Invoice'!F$2:F$801,$W288)="","",INDEX('Per Invoice'!F$2:F$801,$W288)))</f>
        <v/>
      </c>
      <c r="G288">
        <f>IF($W288="","",IF(INDEX('Per Invoice'!G$2:G$801,$W288)="","",INDEX('Per Invoice'!G$2:G$801,$W288)))</f>
        <v/>
      </c>
      <c r="H288">
        <f>IF($W288="","",IF(INDEX('Per Invoice'!H$2:H$801,$W288)="","",INDEX('Per Invoice'!H$2:H$801,$W288)))</f>
        <v/>
      </c>
      <c r="I288">
        <f>IF($W288="","",IF(INDEX('Per Invoice'!I$2:I$801,$W288)="","",INDEX('Per Invoice'!I$2:I$801,$W288)))</f>
        <v/>
      </c>
      <c r="J288">
        <f>IF($W288="","",IF(INDEX('Per Invoice'!J$2:J$801,$W288)="","",INDEX('Per Invoice'!J$2:J$801,$W288)))</f>
        <v/>
      </c>
      <c r="K288" s="7">
        <f>IF($W288="","",IF(INDEX('Per Invoice'!K$2:K$801,$W288)="","",INDEX('Per Invoice'!K$2:K$801,$W288)))</f>
        <v/>
      </c>
      <c r="L288" s="14">
        <f>IF($W288="","",IF(INDEX('Per Invoice'!L$2:L$801,$W288)="","",INDEX('Per Invoice'!L$2:L$801,$W288)))</f>
        <v/>
      </c>
      <c r="M288">
        <f>IF($W288="","",IF(INDEX('Per Invoice'!M$2:M$801,$W288)="","",INDEX('Per Invoice'!M$2:M$801,$W288)))</f>
        <v/>
      </c>
      <c r="N288" s="7">
        <f>IF($W288="","",IF(INDEX('Per Invoice'!N$2:N$801,$W288)="","",INDEX('Per Invoice'!N$2:N$801,$W288)))</f>
        <v/>
      </c>
      <c r="O288" s="7">
        <f>IF($W288="","",IF(INDEX('Per Invoice'!O$2:O$801,$W288)="","",INDEX('Per Invoice'!O$2:O$801,$W288)))</f>
        <v/>
      </c>
      <c r="P288">
        <f>IF($W288="","",IF(INDEX('Per Invoice'!P$2:P$801,$W288)="","",INDEX('Per Invoice'!P$2:P$801,$W288)))</f>
        <v/>
      </c>
      <c r="Q288" s="7">
        <f>IF($W288="","",IF(INDEX('Per Invoice'!Q$2:Q$801,$W288)="","",INDEX('Per Invoice'!Q$2:Q$801,$W288)))</f>
        <v/>
      </c>
      <c r="R288" s="7">
        <f>IF($W288="","",IF(INDEX('Per Invoice'!R$2:R$801,$W288)="","",INDEX('Per Invoice'!R$2:R$801,$W288)))</f>
        <v/>
      </c>
      <c r="S288" s="7">
        <f>IF($W288="","",IF(INDEX('Per Invoice'!S$2:S$801,$W288)="","",INDEX('Per Invoice'!S$2:S$801,$W288)))</f>
        <v/>
      </c>
      <c r="T288" s="7">
        <f>IF($W288="","",IF(INDEX('Per Invoice'!T$2:T$801,$W288)="","",INDEX('Per Invoice'!T$2:T$801,$W288)))</f>
        <v/>
      </c>
      <c r="U288" s="7">
        <f>IF($W288="","",IF(INDEX('Per Invoice'!U$2:U$801,$W288)="","",INDEX('Per Invoice'!U$2:U$801,$W288)))</f>
        <v/>
      </c>
      <c r="V288" s="7">
        <f>IF($W288="","",IF(INDEX('Per Invoice'!V$2:V$801,$W288)="","",INDEX('Per Invoice'!V$2:V$801,$W288)))</f>
        <v/>
      </c>
      <c r="W288" s="16">
        <f>IFERROR(MATCH(Settings!$C$30&amp;"|"&amp;ROWS($W$2:$W288),'Per Invoice'!$X$2:$X$801,0),"")</f>
        <v/>
      </c>
    </row>
    <row r="289">
      <c r="A289">
        <f>IF($W289="","",IF(INDEX('Per Invoice'!A$2:A$801,$W289)="","",INDEX('Per Invoice'!A$2:A$801,$W289)))</f>
        <v/>
      </c>
      <c r="B289">
        <f>IF($W289="","",IF(INDEX('Per Invoice'!B$2:B$801,$W289)="","",INDEX('Per Invoice'!B$2:B$801,$W289)))</f>
        <v/>
      </c>
      <c r="C289">
        <f>IF($W289="","",IF(INDEX('Per Invoice'!C$2:C$801,$W289)="","",INDEX('Per Invoice'!C$2:C$801,$W289)))</f>
        <v/>
      </c>
      <c r="D289">
        <f>IF($W289="","",IF(INDEX('Per Invoice'!D$2:D$801,$W289)="","",INDEX('Per Invoice'!D$2:D$801,$W289)))</f>
        <v/>
      </c>
      <c r="E289">
        <f>IF($W289="","",IF(INDEX('Per Invoice'!E$2:E$801,$W289)="","",INDEX('Per Invoice'!E$2:E$801,$W289)))</f>
        <v/>
      </c>
      <c r="F289">
        <f>IF($W289="","",IF(INDEX('Per Invoice'!F$2:F$801,$W289)="","",INDEX('Per Invoice'!F$2:F$801,$W289)))</f>
        <v/>
      </c>
      <c r="G289">
        <f>IF($W289="","",IF(INDEX('Per Invoice'!G$2:G$801,$W289)="","",INDEX('Per Invoice'!G$2:G$801,$W289)))</f>
        <v/>
      </c>
      <c r="H289">
        <f>IF($W289="","",IF(INDEX('Per Invoice'!H$2:H$801,$W289)="","",INDEX('Per Invoice'!H$2:H$801,$W289)))</f>
        <v/>
      </c>
      <c r="I289">
        <f>IF($W289="","",IF(INDEX('Per Invoice'!I$2:I$801,$W289)="","",INDEX('Per Invoice'!I$2:I$801,$W289)))</f>
        <v/>
      </c>
      <c r="J289">
        <f>IF($W289="","",IF(INDEX('Per Invoice'!J$2:J$801,$W289)="","",INDEX('Per Invoice'!J$2:J$801,$W289)))</f>
        <v/>
      </c>
      <c r="K289" s="7">
        <f>IF($W289="","",IF(INDEX('Per Invoice'!K$2:K$801,$W289)="","",INDEX('Per Invoice'!K$2:K$801,$W289)))</f>
        <v/>
      </c>
      <c r="L289" s="14">
        <f>IF($W289="","",IF(INDEX('Per Invoice'!L$2:L$801,$W289)="","",INDEX('Per Invoice'!L$2:L$801,$W289)))</f>
        <v/>
      </c>
      <c r="M289">
        <f>IF($W289="","",IF(INDEX('Per Invoice'!M$2:M$801,$W289)="","",INDEX('Per Invoice'!M$2:M$801,$W289)))</f>
        <v/>
      </c>
      <c r="N289" s="7">
        <f>IF($W289="","",IF(INDEX('Per Invoice'!N$2:N$801,$W289)="","",INDEX('Per Invoice'!N$2:N$801,$W289)))</f>
        <v/>
      </c>
      <c r="O289" s="7">
        <f>IF($W289="","",IF(INDEX('Per Invoice'!O$2:O$801,$W289)="","",INDEX('Per Invoice'!O$2:O$801,$W289)))</f>
        <v/>
      </c>
      <c r="P289">
        <f>IF($W289="","",IF(INDEX('Per Invoice'!P$2:P$801,$W289)="","",INDEX('Per Invoice'!P$2:P$801,$W289)))</f>
        <v/>
      </c>
      <c r="Q289" s="7">
        <f>IF($W289="","",IF(INDEX('Per Invoice'!Q$2:Q$801,$W289)="","",INDEX('Per Invoice'!Q$2:Q$801,$W289)))</f>
        <v/>
      </c>
      <c r="R289" s="7">
        <f>IF($W289="","",IF(INDEX('Per Invoice'!R$2:R$801,$W289)="","",INDEX('Per Invoice'!R$2:R$801,$W289)))</f>
        <v/>
      </c>
      <c r="S289" s="7">
        <f>IF($W289="","",IF(INDEX('Per Invoice'!S$2:S$801,$W289)="","",INDEX('Per Invoice'!S$2:S$801,$W289)))</f>
        <v/>
      </c>
      <c r="T289" s="7">
        <f>IF($W289="","",IF(INDEX('Per Invoice'!T$2:T$801,$W289)="","",INDEX('Per Invoice'!T$2:T$801,$W289)))</f>
        <v/>
      </c>
      <c r="U289" s="7">
        <f>IF($W289="","",IF(INDEX('Per Invoice'!U$2:U$801,$W289)="","",INDEX('Per Invoice'!U$2:U$801,$W289)))</f>
        <v/>
      </c>
      <c r="V289" s="7">
        <f>IF($W289="","",IF(INDEX('Per Invoice'!V$2:V$801,$W289)="","",INDEX('Per Invoice'!V$2:V$801,$W289)))</f>
        <v/>
      </c>
      <c r="W289" s="16">
        <f>IFERROR(MATCH(Settings!$C$30&amp;"|"&amp;ROWS($W$2:$W289),'Per Invoice'!$X$2:$X$801,0),"")</f>
        <v/>
      </c>
    </row>
    <row r="290">
      <c r="A290">
        <f>IF($W290="","",IF(INDEX('Per Invoice'!A$2:A$801,$W290)="","",INDEX('Per Invoice'!A$2:A$801,$W290)))</f>
        <v/>
      </c>
      <c r="B290">
        <f>IF($W290="","",IF(INDEX('Per Invoice'!B$2:B$801,$W290)="","",INDEX('Per Invoice'!B$2:B$801,$W290)))</f>
        <v/>
      </c>
      <c r="C290">
        <f>IF($W290="","",IF(INDEX('Per Invoice'!C$2:C$801,$W290)="","",INDEX('Per Invoice'!C$2:C$801,$W290)))</f>
        <v/>
      </c>
      <c r="D290">
        <f>IF($W290="","",IF(INDEX('Per Invoice'!D$2:D$801,$W290)="","",INDEX('Per Invoice'!D$2:D$801,$W290)))</f>
        <v/>
      </c>
      <c r="E290">
        <f>IF($W290="","",IF(INDEX('Per Invoice'!E$2:E$801,$W290)="","",INDEX('Per Invoice'!E$2:E$801,$W290)))</f>
        <v/>
      </c>
      <c r="F290">
        <f>IF($W290="","",IF(INDEX('Per Invoice'!F$2:F$801,$W290)="","",INDEX('Per Invoice'!F$2:F$801,$W290)))</f>
        <v/>
      </c>
      <c r="G290">
        <f>IF($W290="","",IF(INDEX('Per Invoice'!G$2:G$801,$W290)="","",INDEX('Per Invoice'!G$2:G$801,$W290)))</f>
        <v/>
      </c>
      <c r="H290">
        <f>IF($W290="","",IF(INDEX('Per Invoice'!H$2:H$801,$W290)="","",INDEX('Per Invoice'!H$2:H$801,$W290)))</f>
        <v/>
      </c>
      <c r="I290">
        <f>IF($W290="","",IF(INDEX('Per Invoice'!I$2:I$801,$W290)="","",INDEX('Per Invoice'!I$2:I$801,$W290)))</f>
        <v/>
      </c>
      <c r="J290">
        <f>IF($W290="","",IF(INDEX('Per Invoice'!J$2:J$801,$W290)="","",INDEX('Per Invoice'!J$2:J$801,$W290)))</f>
        <v/>
      </c>
      <c r="K290" s="7">
        <f>IF($W290="","",IF(INDEX('Per Invoice'!K$2:K$801,$W290)="","",INDEX('Per Invoice'!K$2:K$801,$W290)))</f>
        <v/>
      </c>
      <c r="L290" s="14">
        <f>IF($W290="","",IF(INDEX('Per Invoice'!L$2:L$801,$W290)="","",INDEX('Per Invoice'!L$2:L$801,$W290)))</f>
        <v/>
      </c>
      <c r="M290">
        <f>IF($W290="","",IF(INDEX('Per Invoice'!M$2:M$801,$W290)="","",INDEX('Per Invoice'!M$2:M$801,$W290)))</f>
        <v/>
      </c>
      <c r="N290" s="7">
        <f>IF($W290="","",IF(INDEX('Per Invoice'!N$2:N$801,$W290)="","",INDEX('Per Invoice'!N$2:N$801,$W290)))</f>
        <v/>
      </c>
      <c r="O290" s="7">
        <f>IF($W290="","",IF(INDEX('Per Invoice'!O$2:O$801,$W290)="","",INDEX('Per Invoice'!O$2:O$801,$W290)))</f>
        <v/>
      </c>
      <c r="P290">
        <f>IF($W290="","",IF(INDEX('Per Invoice'!P$2:P$801,$W290)="","",INDEX('Per Invoice'!P$2:P$801,$W290)))</f>
        <v/>
      </c>
      <c r="Q290" s="7">
        <f>IF($W290="","",IF(INDEX('Per Invoice'!Q$2:Q$801,$W290)="","",INDEX('Per Invoice'!Q$2:Q$801,$W290)))</f>
        <v/>
      </c>
      <c r="R290" s="7">
        <f>IF($W290="","",IF(INDEX('Per Invoice'!R$2:R$801,$W290)="","",INDEX('Per Invoice'!R$2:R$801,$W290)))</f>
        <v/>
      </c>
      <c r="S290" s="7">
        <f>IF($W290="","",IF(INDEX('Per Invoice'!S$2:S$801,$W290)="","",INDEX('Per Invoice'!S$2:S$801,$W290)))</f>
        <v/>
      </c>
      <c r="T290" s="7">
        <f>IF($W290="","",IF(INDEX('Per Invoice'!T$2:T$801,$W290)="","",INDEX('Per Invoice'!T$2:T$801,$W290)))</f>
        <v/>
      </c>
      <c r="U290" s="7">
        <f>IF($W290="","",IF(INDEX('Per Invoice'!U$2:U$801,$W290)="","",INDEX('Per Invoice'!U$2:U$801,$W290)))</f>
        <v/>
      </c>
      <c r="V290" s="7">
        <f>IF($W290="","",IF(INDEX('Per Invoice'!V$2:V$801,$W290)="","",INDEX('Per Invoice'!V$2:V$801,$W290)))</f>
        <v/>
      </c>
      <c r="W290" s="16">
        <f>IFERROR(MATCH(Settings!$C$30&amp;"|"&amp;ROWS($W$2:$W290),'Per Invoice'!$X$2:$X$801,0),"")</f>
        <v/>
      </c>
    </row>
    <row r="291">
      <c r="A291">
        <f>IF($W291="","",IF(INDEX('Per Invoice'!A$2:A$801,$W291)="","",INDEX('Per Invoice'!A$2:A$801,$W291)))</f>
        <v/>
      </c>
      <c r="B291">
        <f>IF($W291="","",IF(INDEX('Per Invoice'!B$2:B$801,$W291)="","",INDEX('Per Invoice'!B$2:B$801,$W291)))</f>
        <v/>
      </c>
      <c r="C291">
        <f>IF($W291="","",IF(INDEX('Per Invoice'!C$2:C$801,$W291)="","",INDEX('Per Invoice'!C$2:C$801,$W291)))</f>
        <v/>
      </c>
      <c r="D291">
        <f>IF($W291="","",IF(INDEX('Per Invoice'!D$2:D$801,$W291)="","",INDEX('Per Invoice'!D$2:D$801,$W291)))</f>
        <v/>
      </c>
      <c r="E291">
        <f>IF($W291="","",IF(INDEX('Per Invoice'!E$2:E$801,$W291)="","",INDEX('Per Invoice'!E$2:E$801,$W291)))</f>
        <v/>
      </c>
      <c r="F291">
        <f>IF($W291="","",IF(INDEX('Per Invoice'!F$2:F$801,$W291)="","",INDEX('Per Invoice'!F$2:F$801,$W291)))</f>
        <v/>
      </c>
      <c r="G291">
        <f>IF($W291="","",IF(INDEX('Per Invoice'!G$2:G$801,$W291)="","",INDEX('Per Invoice'!G$2:G$801,$W291)))</f>
        <v/>
      </c>
      <c r="H291">
        <f>IF($W291="","",IF(INDEX('Per Invoice'!H$2:H$801,$W291)="","",INDEX('Per Invoice'!H$2:H$801,$W291)))</f>
        <v/>
      </c>
      <c r="I291">
        <f>IF($W291="","",IF(INDEX('Per Invoice'!I$2:I$801,$W291)="","",INDEX('Per Invoice'!I$2:I$801,$W291)))</f>
        <v/>
      </c>
      <c r="J291">
        <f>IF($W291="","",IF(INDEX('Per Invoice'!J$2:J$801,$W291)="","",INDEX('Per Invoice'!J$2:J$801,$W291)))</f>
        <v/>
      </c>
      <c r="K291" s="7">
        <f>IF($W291="","",IF(INDEX('Per Invoice'!K$2:K$801,$W291)="","",INDEX('Per Invoice'!K$2:K$801,$W291)))</f>
        <v/>
      </c>
      <c r="L291" s="14">
        <f>IF($W291="","",IF(INDEX('Per Invoice'!L$2:L$801,$W291)="","",INDEX('Per Invoice'!L$2:L$801,$W291)))</f>
        <v/>
      </c>
      <c r="M291">
        <f>IF($W291="","",IF(INDEX('Per Invoice'!M$2:M$801,$W291)="","",INDEX('Per Invoice'!M$2:M$801,$W291)))</f>
        <v/>
      </c>
      <c r="N291" s="7">
        <f>IF($W291="","",IF(INDEX('Per Invoice'!N$2:N$801,$W291)="","",INDEX('Per Invoice'!N$2:N$801,$W291)))</f>
        <v/>
      </c>
      <c r="O291" s="7">
        <f>IF($W291="","",IF(INDEX('Per Invoice'!O$2:O$801,$W291)="","",INDEX('Per Invoice'!O$2:O$801,$W291)))</f>
        <v/>
      </c>
      <c r="P291">
        <f>IF($W291="","",IF(INDEX('Per Invoice'!P$2:P$801,$W291)="","",INDEX('Per Invoice'!P$2:P$801,$W291)))</f>
        <v/>
      </c>
      <c r="Q291" s="7">
        <f>IF($W291="","",IF(INDEX('Per Invoice'!Q$2:Q$801,$W291)="","",INDEX('Per Invoice'!Q$2:Q$801,$W291)))</f>
        <v/>
      </c>
      <c r="R291" s="7">
        <f>IF($W291="","",IF(INDEX('Per Invoice'!R$2:R$801,$W291)="","",INDEX('Per Invoice'!R$2:R$801,$W291)))</f>
        <v/>
      </c>
      <c r="S291" s="7">
        <f>IF($W291="","",IF(INDEX('Per Invoice'!S$2:S$801,$W291)="","",INDEX('Per Invoice'!S$2:S$801,$W291)))</f>
        <v/>
      </c>
      <c r="T291" s="7">
        <f>IF($W291="","",IF(INDEX('Per Invoice'!T$2:T$801,$W291)="","",INDEX('Per Invoice'!T$2:T$801,$W291)))</f>
        <v/>
      </c>
      <c r="U291" s="7">
        <f>IF($W291="","",IF(INDEX('Per Invoice'!U$2:U$801,$W291)="","",INDEX('Per Invoice'!U$2:U$801,$W291)))</f>
        <v/>
      </c>
      <c r="V291" s="7">
        <f>IF($W291="","",IF(INDEX('Per Invoice'!V$2:V$801,$W291)="","",INDEX('Per Invoice'!V$2:V$801,$W291)))</f>
        <v/>
      </c>
      <c r="W291" s="16">
        <f>IFERROR(MATCH(Settings!$C$30&amp;"|"&amp;ROWS($W$2:$W291),'Per Invoice'!$X$2:$X$801,0),"")</f>
        <v/>
      </c>
    </row>
    <row r="292">
      <c r="A292">
        <f>IF($W292="","",IF(INDEX('Per Invoice'!A$2:A$801,$W292)="","",INDEX('Per Invoice'!A$2:A$801,$W292)))</f>
        <v/>
      </c>
      <c r="B292">
        <f>IF($W292="","",IF(INDEX('Per Invoice'!B$2:B$801,$W292)="","",INDEX('Per Invoice'!B$2:B$801,$W292)))</f>
        <v/>
      </c>
      <c r="C292">
        <f>IF($W292="","",IF(INDEX('Per Invoice'!C$2:C$801,$W292)="","",INDEX('Per Invoice'!C$2:C$801,$W292)))</f>
        <v/>
      </c>
      <c r="D292">
        <f>IF($W292="","",IF(INDEX('Per Invoice'!D$2:D$801,$W292)="","",INDEX('Per Invoice'!D$2:D$801,$W292)))</f>
        <v/>
      </c>
      <c r="E292">
        <f>IF($W292="","",IF(INDEX('Per Invoice'!E$2:E$801,$W292)="","",INDEX('Per Invoice'!E$2:E$801,$W292)))</f>
        <v/>
      </c>
      <c r="F292">
        <f>IF($W292="","",IF(INDEX('Per Invoice'!F$2:F$801,$W292)="","",INDEX('Per Invoice'!F$2:F$801,$W292)))</f>
        <v/>
      </c>
      <c r="G292">
        <f>IF($W292="","",IF(INDEX('Per Invoice'!G$2:G$801,$W292)="","",INDEX('Per Invoice'!G$2:G$801,$W292)))</f>
        <v/>
      </c>
      <c r="H292">
        <f>IF($W292="","",IF(INDEX('Per Invoice'!H$2:H$801,$W292)="","",INDEX('Per Invoice'!H$2:H$801,$W292)))</f>
        <v/>
      </c>
      <c r="I292">
        <f>IF($W292="","",IF(INDEX('Per Invoice'!I$2:I$801,$W292)="","",INDEX('Per Invoice'!I$2:I$801,$W292)))</f>
        <v/>
      </c>
      <c r="J292">
        <f>IF($W292="","",IF(INDEX('Per Invoice'!J$2:J$801,$W292)="","",INDEX('Per Invoice'!J$2:J$801,$W292)))</f>
        <v/>
      </c>
      <c r="K292" s="7">
        <f>IF($W292="","",IF(INDEX('Per Invoice'!K$2:K$801,$W292)="","",INDEX('Per Invoice'!K$2:K$801,$W292)))</f>
        <v/>
      </c>
      <c r="L292" s="14">
        <f>IF($W292="","",IF(INDEX('Per Invoice'!L$2:L$801,$W292)="","",INDEX('Per Invoice'!L$2:L$801,$W292)))</f>
        <v/>
      </c>
      <c r="M292">
        <f>IF($W292="","",IF(INDEX('Per Invoice'!M$2:M$801,$W292)="","",INDEX('Per Invoice'!M$2:M$801,$W292)))</f>
        <v/>
      </c>
      <c r="N292" s="7">
        <f>IF($W292="","",IF(INDEX('Per Invoice'!N$2:N$801,$W292)="","",INDEX('Per Invoice'!N$2:N$801,$W292)))</f>
        <v/>
      </c>
      <c r="O292" s="7">
        <f>IF($W292="","",IF(INDEX('Per Invoice'!O$2:O$801,$W292)="","",INDEX('Per Invoice'!O$2:O$801,$W292)))</f>
        <v/>
      </c>
      <c r="P292">
        <f>IF($W292="","",IF(INDEX('Per Invoice'!P$2:P$801,$W292)="","",INDEX('Per Invoice'!P$2:P$801,$W292)))</f>
        <v/>
      </c>
      <c r="Q292" s="7">
        <f>IF($W292="","",IF(INDEX('Per Invoice'!Q$2:Q$801,$W292)="","",INDEX('Per Invoice'!Q$2:Q$801,$W292)))</f>
        <v/>
      </c>
      <c r="R292" s="7">
        <f>IF($W292="","",IF(INDEX('Per Invoice'!R$2:R$801,$W292)="","",INDEX('Per Invoice'!R$2:R$801,$W292)))</f>
        <v/>
      </c>
      <c r="S292" s="7">
        <f>IF($W292="","",IF(INDEX('Per Invoice'!S$2:S$801,$W292)="","",INDEX('Per Invoice'!S$2:S$801,$W292)))</f>
        <v/>
      </c>
      <c r="T292" s="7">
        <f>IF($W292="","",IF(INDEX('Per Invoice'!T$2:T$801,$W292)="","",INDEX('Per Invoice'!T$2:T$801,$W292)))</f>
        <v/>
      </c>
      <c r="U292" s="7">
        <f>IF($W292="","",IF(INDEX('Per Invoice'!U$2:U$801,$W292)="","",INDEX('Per Invoice'!U$2:U$801,$W292)))</f>
        <v/>
      </c>
      <c r="V292" s="7">
        <f>IF($W292="","",IF(INDEX('Per Invoice'!V$2:V$801,$W292)="","",INDEX('Per Invoice'!V$2:V$801,$W292)))</f>
        <v/>
      </c>
      <c r="W292" s="16">
        <f>IFERROR(MATCH(Settings!$C$30&amp;"|"&amp;ROWS($W$2:$W292),'Per Invoice'!$X$2:$X$801,0),"")</f>
        <v/>
      </c>
    </row>
    <row r="293">
      <c r="A293">
        <f>IF($W293="","",IF(INDEX('Per Invoice'!A$2:A$801,$W293)="","",INDEX('Per Invoice'!A$2:A$801,$W293)))</f>
        <v/>
      </c>
      <c r="B293">
        <f>IF($W293="","",IF(INDEX('Per Invoice'!B$2:B$801,$W293)="","",INDEX('Per Invoice'!B$2:B$801,$W293)))</f>
        <v/>
      </c>
      <c r="C293">
        <f>IF($W293="","",IF(INDEX('Per Invoice'!C$2:C$801,$W293)="","",INDEX('Per Invoice'!C$2:C$801,$W293)))</f>
        <v/>
      </c>
      <c r="D293">
        <f>IF($W293="","",IF(INDEX('Per Invoice'!D$2:D$801,$W293)="","",INDEX('Per Invoice'!D$2:D$801,$W293)))</f>
        <v/>
      </c>
      <c r="E293">
        <f>IF($W293="","",IF(INDEX('Per Invoice'!E$2:E$801,$W293)="","",INDEX('Per Invoice'!E$2:E$801,$W293)))</f>
        <v/>
      </c>
      <c r="F293">
        <f>IF($W293="","",IF(INDEX('Per Invoice'!F$2:F$801,$W293)="","",INDEX('Per Invoice'!F$2:F$801,$W293)))</f>
        <v/>
      </c>
      <c r="G293">
        <f>IF($W293="","",IF(INDEX('Per Invoice'!G$2:G$801,$W293)="","",INDEX('Per Invoice'!G$2:G$801,$W293)))</f>
        <v/>
      </c>
      <c r="H293">
        <f>IF($W293="","",IF(INDEX('Per Invoice'!H$2:H$801,$W293)="","",INDEX('Per Invoice'!H$2:H$801,$W293)))</f>
        <v/>
      </c>
      <c r="I293">
        <f>IF($W293="","",IF(INDEX('Per Invoice'!I$2:I$801,$W293)="","",INDEX('Per Invoice'!I$2:I$801,$W293)))</f>
        <v/>
      </c>
      <c r="J293">
        <f>IF($W293="","",IF(INDEX('Per Invoice'!J$2:J$801,$W293)="","",INDEX('Per Invoice'!J$2:J$801,$W293)))</f>
        <v/>
      </c>
      <c r="K293" s="7">
        <f>IF($W293="","",IF(INDEX('Per Invoice'!K$2:K$801,$W293)="","",INDEX('Per Invoice'!K$2:K$801,$W293)))</f>
        <v/>
      </c>
      <c r="L293" s="14">
        <f>IF($W293="","",IF(INDEX('Per Invoice'!L$2:L$801,$W293)="","",INDEX('Per Invoice'!L$2:L$801,$W293)))</f>
        <v/>
      </c>
      <c r="M293">
        <f>IF($W293="","",IF(INDEX('Per Invoice'!M$2:M$801,$W293)="","",INDEX('Per Invoice'!M$2:M$801,$W293)))</f>
        <v/>
      </c>
      <c r="N293" s="7">
        <f>IF($W293="","",IF(INDEX('Per Invoice'!N$2:N$801,$W293)="","",INDEX('Per Invoice'!N$2:N$801,$W293)))</f>
        <v/>
      </c>
      <c r="O293" s="7">
        <f>IF($W293="","",IF(INDEX('Per Invoice'!O$2:O$801,$W293)="","",INDEX('Per Invoice'!O$2:O$801,$W293)))</f>
        <v/>
      </c>
      <c r="P293">
        <f>IF($W293="","",IF(INDEX('Per Invoice'!P$2:P$801,$W293)="","",INDEX('Per Invoice'!P$2:P$801,$W293)))</f>
        <v/>
      </c>
      <c r="Q293" s="7">
        <f>IF($W293="","",IF(INDEX('Per Invoice'!Q$2:Q$801,$W293)="","",INDEX('Per Invoice'!Q$2:Q$801,$W293)))</f>
        <v/>
      </c>
      <c r="R293" s="7">
        <f>IF($W293="","",IF(INDEX('Per Invoice'!R$2:R$801,$W293)="","",INDEX('Per Invoice'!R$2:R$801,$W293)))</f>
        <v/>
      </c>
      <c r="S293" s="7">
        <f>IF($W293="","",IF(INDEX('Per Invoice'!S$2:S$801,$W293)="","",INDEX('Per Invoice'!S$2:S$801,$W293)))</f>
        <v/>
      </c>
      <c r="T293" s="7">
        <f>IF($W293="","",IF(INDEX('Per Invoice'!T$2:T$801,$W293)="","",INDEX('Per Invoice'!T$2:T$801,$W293)))</f>
        <v/>
      </c>
      <c r="U293" s="7">
        <f>IF($W293="","",IF(INDEX('Per Invoice'!U$2:U$801,$W293)="","",INDEX('Per Invoice'!U$2:U$801,$W293)))</f>
        <v/>
      </c>
      <c r="V293" s="7">
        <f>IF($W293="","",IF(INDEX('Per Invoice'!V$2:V$801,$W293)="","",INDEX('Per Invoice'!V$2:V$801,$W293)))</f>
        <v/>
      </c>
      <c r="W293" s="16">
        <f>IFERROR(MATCH(Settings!$C$30&amp;"|"&amp;ROWS($W$2:$W293),'Per Invoice'!$X$2:$X$801,0),"")</f>
        <v/>
      </c>
    </row>
    <row r="294">
      <c r="A294">
        <f>IF($W294="","",IF(INDEX('Per Invoice'!A$2:A$801,$W294)="","",INDEX('Per Invoice'!A$2:A$801,$W294)))</f>
        <v/>
      </c>
      <c r="B294">
        <f>IF($W294="","",IF(INDEX('Per Invoice'!B$2:B$801,$W294)="","",INDEX('Per Invoice'!B$2:B$801,$W294)))</f>
        <v/>
      </c>
      <c r="C294">
        <f>IF($W294="","",IF(INDEX('Per Invoice'!C$2:C$801,$W294)="","",INDEX('Per Invoice'!C$2:C$801,$W294)))</f>
        <v/>
      </c>
      <c r="D294">
        <f>IF($W294="","",IF(INDEX('Per Invoice'!D$2:D$801,$W294)="","",INDEX('Per Invoice'!D$2:D$801,$W294)))</f>
        <v/>
      </c>
      <c r="E294">
        <f>IF($W294="","",IF(INDEX('Per Invoice'!E$2:E$801,$W294)="","",INDEX('Per Invoice'!E$2:E$801,$W294)))</f>
        <v/>
      </c>
      <c r="F294">
        <f>IF($W294="","",IF(INDEX('Per Invoice'!F$2:F$801,$W294)="","",INDEX('Per Invoice'!F$2:F$801,$W294)))</f>
        <v/>
      </c>
      <c r="G294">
        <f>IF($W294="","",IF(INDEX('Per Invoice'!G$2:G$801,$W294)="","",INDEX('Per Invoice'!G$2:G$801,$W294)))</f>
        <v/>
      </c>
      <c r="H294">
        <f>IF($W294="","",IF(INDEX('Per Invoice'!H$2:H$801,$W294)="","",INDEX('Per Invoice'!H$2:H$801,$W294)))</f>
        <v/>
      </c>
      <c r="I294">
        <f>IF($W294="","",IF(INDEX('Per Invoice'!I$2:I$801,$W294)="","",INDEX('Per Invoice'!I$2:I$801,$W294)))</f>
        <v/>
      </c>
      <c r="J294">
        <f>IF($W294="","",IF(INDEX('Per Invoice'!J$2:J$801,$W294)="","",INDEX('Per Invoice'!J$2:J$801,$W294)))</f>
        <v/>
      </c>
      <c r="K294" s="7">
        <f>IF($W294="","",IF(INDEX('Per Invoice'!K$2:K$801,$W294)="","",INDEX('Per Invoice'!K$2:K$801,$W294)))</f>
        <v/>
      </c>
      <c r="L294" s="14">
        <f>IF($W294="","",IF(INDEX('Per Invoice'!L$2:L$801,$W294)="","",INDEX('Per Invoice'!L$2:L$801,$W294)))</f>
        <v/>
      </c>
      <c r="M294">
        <f>IF($W294="","",IF(INDEX('Per Invoice'!M$2:M$801,$W294)="","",INDEX('Per Invoice'!M$2:M$801,$W294)))</f>
        <v/>
      </c>
      <c r="N294" s="7">
        <f>IF($W294="","",IF(INDEX('Per Invoice'!N$2:N$801,$W294)="","",INDEX('Per Invoice'!N$2:N$801,$W294)))</f>
        <v/>
      </c>
      <c r="O294" s="7">
        <f>IF($W294="","",IF(INDEX('Per Invoice'!O$2:O$801,$W294)="","",INDEX('Per Invoice'!O$2:O$801,$W294)))</f>
        <v/>
      </c>
      <c r="P294">
        <f>IF($W294="","",IF(INDEX('Per Invoice'!P$2:P$801,$W294)="","",INDEX('Per Invoice'!P$2:P$801,$W294)))</f>
        <v/>
      </c>
      <c r="Q294" s="7">
        <f>IF($W294="","",IF(INDEX('Per Invoice'!Q$2:Q$801,$W294)="","",INDEX('Per Invoice'!Q$2:Q$801,$W294)))</f>
        <v/>
      </c>
      <c r="R294" s="7">
        <f>IF($W294="","",IF(INDEX('Per Invoice'!R$2:R$801,$W294)="","",INDEX('Per Invoice'!R$2:R$801,$W294)))</f>
        <v/>
      </c>
      <c r="S294" s="7">
        <f>IF($W294="","",IF(INDEX('Per Invoice'!S$2:S$801,$W294)="","",INDEX('Per Invoice'!S$2:S$801,$W294)))</f>
        <v/>
      </c>
      <c r="T294" s="7">
        <f>IF($W294="","",IF(INDEX('Per Invoice'!T$2:T$801,$W294)="","",INDEX('Per Invoice'!T$2:T$801,$W294)))</f>
        <v/>
      </c>
      <c r="U294" s="7">
        <f>IF($W294="","",IF(INDEX('Per Invoice'!U$2:U$801,$W294)="","",INDEX('Per Invoice'!U$2:U$801,$W294)))</f>
        <v/>
      </c>
      <c r="V294" s="7">
        <f>IF($W294="","",IF(INDEX('Per Invoice'!V$2:V$801,$W294)="","",INDEX('Per Invoice'!V$2:V$801,$W294)))</f>
        <v/>
      </c>
      <c r="W294" s="16">
        <f>IFERROR(MATCH(Settings!$C$30&amp;"|"&amp;ROWS($W$2:$W294),'Per Invoice'!$X$2:$X$801,0),"")</f>
        <v/>
      </c>
    </row>
    <row r="295">
      <c r="A295">
        <f>IF($W295="","",IF(INDEX('Per Invoice'!A$2:A$801,$W295)="","",INDEX('Per Invoice'!A$2:A$801,$W295)))</f>
        <v/>
      </c>
      <c r="B295">
        <f>IF($W295="","",IF(INDEX('Per Invoice'!B$2:B$801,$W295)="","",INDEX('Per Invoice'!B$2:B$801,$W295)))</f>
        <v/>
      </c>
      <c r="C295">
        <f>IF($W295="","",IF(INDEX('Per Invoice'!C$2:C$801,$W295)="","",INDEX('Per Invoice'!C$2:C$801,$W295)))</f>
        <v/>
      </c>
      <c r="D295">
        <f>IF($W295="","",IF(INDEX('Per Invoice'!D$2:D$801,$W295)="","",INDEX('Per Invoice'!D$2:D$801,$W295)))</f>
        <v/>
      </c>
      <c r="E295">
        <f>IF($W295="","",IF(INDEX('Per Invoice'!E$2:E$801,$W295)="","",INDEX('Per Invoice'!E$2:E$801,$W295)))</f>
        <v/>
      </c>
      <c r="F295">
        <f>IF($W295="","",IF(INDEX('Per Invoice'!F$2:F$801,$W295)="","",INDEX('Per Invoice'!F$2:F$801,$W295)))</f>
        <v/>
      </c>
      <c r="G295">
        <f>IF($W295="","",IF(INDEX('Per Invoice'!G$2:G$801,$W295)="","",INDEX('Per Invoice'!G$2:G$801,$W295)))</f>
        <v/>
      </c>
      <c r="H295">
        <f>IF($W295="","",IF(INDEX('Per Invoice'!H$2:H$801,$W295)="","",INDEX('Per Invoice'!H$2:H$801,$W295)))</f>
        <v/>
      </c>
      <c r="I295">
        <f>IF($W295="","",IF(INDEX('Per Invoice'!I$2:I$801,$W295)="","",INDEX('Per Invoice'!I$2:I$801,$W295)))</f>
        <v/>
      </c>
      <c r="J295">
        <f>IF($W295="","",IF(INDEX('Per Invoice'!J$2:J$801,$W295)="","",INDEX('Per Invoice'!J$2:J$801,$W295)))</f>
        <v/>
      </c>
      <c r="K295" s="7">
        <f>IF($W295="","",IF(INDEX('Per Invoice'!K$2:K$801,$W295)="","",INDEX('Per Invoice'!K$2:K$801,$W295)))</f>
        <v/>
      </c>
      <c r="L295" s="14">
        <f>IF($W295="","",IF(INDEX('Per Invoice'!L$2:L$801,$W295)="","",INDEX('Per Invoice'!L$2:L$801,$W295)))</f>
        <v/>
      </c>
      <c r="M295">
        <f>IF($W295="","",IF(INDEX('Per Invoice'!M$2:M$801,$W295)="","",INDEX('Per Invoice'!M$2:M$801,$W295)))</f>
        <v/>
      </c>
      <c r="N295" s="7">
        <f>IF($W295="","",IF(INDEX('Per Invoice'!N$2:N$801,$W295)="","",INDEX('Per Invoice'!N$2:N$801,$W295)))</f>
        <v/>
      </c>
      <c r="O295" s="7">
        <f>IF($W295="","",IF(INDEX('Per Invoice'!O$2:O$801,$W295)="","",INDEX('Per Invoice'!O$2:O$801,$W295)))</f>
        <v/>
      </c>
      <c r="P295">
        <f>IF($W295="","",IF(INDEX('Per Invoice'!P$2:P$801,$W295)="","",INDEX('Per Invoice'!P$2:P$801,$W295)))</f>
        <v/>
      </c>
      <c r="Q295" s="7">
        <f>IF($W295="","",IF(INDEX('Per Invoice'!Q$2:Q$801,$W295)="","",INDEX('Per Invoice'!Q$2:Q$801,$W295)))</f>
        <v/>
      </c>
      <c r="R295" s="7">
        <f>IF($W295="","",IF(INDEX('Per Invoice'!R$2:R$801,$W295)="","",INDEX('Per Invoice'!R$2:R$801,$W295)))</f>
        <v/>
      </c>
      <c r="S295" s="7">
        <f>IF($W295="","",IF(INDEX('Per Invoice'!S$2:S$801,$W295)="","",INDEX('Per Invoice'!S$2:S$801,$W295)))</f>
        <v/>
      </c>
      <c r="T295" s="7">
        <f>IF($W295="","",IF(INDEX('Per Invoice'!T$2:T$801,$W295)="","",INDEX('Per Invoice'!T$2:T$801,$W295)))</f>
        <v/>
      </c>
      <c r="U295" s="7">
        <f>IF($W295="","",IF(INDEX('Per Invoice'!U$2:U$801,$W295)="","",INDEX('Per Invoice'!U$2:U$801,$W295)))</f>
        <v/>
      </c>
      <c r="V295" s="7">
        <f>IF($W295="","",IF(INDEX('Per Invoice'!V$2:V$801,$W295)="","",INDEX('Per Invoice'!V$2:V$801,$W295)))</f>
        <v/>
      </c>
      <c r="W295" s="16">
        <f>IFERROR(MATCH(Settings!$C$30&amp;"|"&amp;ROWS($W$2:$W295),'Per Invoice'!$X$2:$X$801,0),"")</f>
        <v/>
      </c>
    </row>
    <row r="296">
      <c r="A296">
        <f>IF($W296="","",IF(INDEX('Per Invoice'!A$2:A$801,$W296)="","",INDEX('Per Invoice'!A$2:A$801,$W296)))</f>
        <v/>
      </c>
      <c r="B296">
        <f>IF($W296="","",IF(INDEX('Per Invoice'!B$2:B$801,$W296)="","",INDEX('Per Invoice'!B$2:B$801,$W296)))</f>
        <v/>
      </c>
      <c r="C296">
        <f>IF($W296="","",IF(INDEX('Per Invoice'!C$2:C$801,$W296)="","",INDEX('Per Invoice'!C$2:C$801,$W296)))</f>
        <v/>
      </c>
      <c r="D296">
        <f>IF($W296="","",IF(INDEX('Per Invoice'!D$2:D$801,$W296)="","",INDEX('Per Invoice'!D$2:D$801,$W296)))</f>
        <v/>
      </c>
      <c r="E296">
        <f>IF($W296="","",IF(INDEX('Per Invoice'!E$2:E$801,$W296)="","",INDEX('Per Invoice'!E$2:E$801,$W296)))</f>
        <v/>
      </c>
      <c r="F296">
        <f>IF($W296="","",IF(INDEX('Per Invoice'!F$2:F$801,$W296)="","",INDEX('Per Invoice'!F$2:F$801,$W296)))</f>
        <v/>
      </c>
      <c r="G296">
        <f>IF($W296="","",IF(INDEX('Per Invoice'!G$2:G$801,$W296)="","",INDEX('Per Invoice'!G$2:G$801,$W296)))</f>
        <v/>
      </c>
      <c r="H296">
        <f>IF($W296="","",IF(INDEX('Per Invoice'!H$2:H$801,$W296)="","",INDEX('Per Invoice'!H$2:H$801,$W296)))</f>
        <v/>
      </c>
      <c r="I296">
        <f>IF($W296="","",IF(INDEX('Per Invoice'!I$2:I$801,$W296)="","",INDEX('Per Invoice'!I$2:I$801,$W296)))</f>
        <v/>
      </c>
      <c r="J296">
        <f>IF($W296="","",IF(INDEX('Per Invoice'!J$2:J$801,$W296)="","",INDEX('Per Invoice'!J$2:J$801,$W296)))</f>
        <v/>
      </c>
      <c r="K296" s="7">
        <f>IF($W296="","",IF(INDEX('Per Invoice'!K$2:K$801,$W296)="","",INDEX('Per Invoice'!K$2:K$801,$W296)))</f>
        <v/>
      </c>
      <c r="L296" s="14">
        <f>IF($W296="","",IF(INDEX('Per Invoice'!L$2:L$801,$W296)="","",INDEX('Per Invoice'!L$2:L$801,$W296)))</f>
        <v/>
      </c>
      <c r="M296">
        <f>IF($W296="","",IF(INDEX('Per Invoice'!M$2:M$801,$W296)="","",INDEX('Per Invoice'!M$2:M$801,$W296)))</f>
        <v/>
      </c>
      <c r="N296" s="7">
        <f>IF($W296="","",IF(INDEX('Per Invoice'!N$2:N$801,$W296)="","",INDEX('Per Invoice'!N$2:N$801,$W296)))</f>
        <v/>
      </c>
      <c r="O296" s="7">
        <f>IF($W296="","",IF(INDEX('Per Invoice'!O$2:O$801,$W296)="","",INDEX('Per Invoice'!O$2:O$801,$W296)))</f>
        <v/>
      </c>
      <c r="P296">
        <f>IF($W296="","",IF(INDEX('Per Invoice'!P$2:P$801,$W296)="","",INDEX('Per Invoice'!P$2:P$801,$W296)))</f>
        <v/>
      </c>
      <c r="Q296" s="7">
        <f>IF($W296="","",IF(INDEX('Per Invoice'!Q$2:Q$801,$W296)="","",INDEX('Per Invoice'!Q$2:Q$801,$W296)))</f>
        <v/>
      </c>
      <c r="R296" s="7">
        <f>IF($W296="","",IF(INDEX('Per Invoice'!R$2:R$801,$W296)="","",INDEX('Per Invoice'!R$2:R$801,$W296)))</f>
        <v/>
      </c>
      <c r="S296" s="7">
        <f>IF($W296="","",IF(INDEX('Per Invoice'!S$2:S$801,$W296)="","",INDEX('Per Invoice'!S$2:S$801,$W296)))</f>
        <v/>
      </c>
      <c r="T296" s="7">
        <f>IF($W296="","",IF(INDEX('Per Invoice'!T$2:T$801,$W296)="","",INDEX('Per Invoice'!T$2:T$801,$W296)))</f>
        <v/>
      </c>
      <c r="U296" s="7">
        <f>IF($W296="","",IF(INDEX('Per Invoice'!U$2:U$801,$W296)="","",INDEX('Per Invoice'!U$2:U$801,$W296)))</f>
        <v/>
      </c>
      <c r="V296" s="7">
        <f>IF($W296="","",IF(INDEX('Per Invoice'!V$2:V$801,$W296)="","",INDEX('Per Invoice'!V$2:V$801,$W296)))</f>
        <v/>
      </c>
      <c r="W296" s="16">
        <f>IFERROR(MATCH(Settings!$C$30&amp;"|"&amp;ROWS($W$2:$W296),'Per Invoice'!$X$2:$X$801,0),"")</f>
        <v/>
      </c>
    </row>
    <row r="297">
      <c r="A297">
        <f>IF($W297="","",IF(INDEX('Per Invoice'!A$2:A$801,$W297)="","",INDEX('Per Invoice'!A$2:A$801,$W297)))</f>
        <v/>
      </c>
      <c r="B297">
        <f>IF($W297="","",IF(INDEX('Per Invoice'!B$2:B$801,$W297)="","",INDEX('Per Invoice'!B$2:B$801,$W297)))</f>
        <v/>
      </c>
      <c r="C297">
        <f>IF($W297="","",IF(INDEX('Per Invoice'!C$2:C$801,$W297)="","",INDEX('Per Invoice'!C$2:C$801,$W297)))</f>
        <v/>
      </c>
      <c r="D297">
        <f>IF($W297="","",IF(INDEX('Per Invoice'!D$2:D$801,$W297)="","",INDEX('Per Invoice'!D$2:D$801,$W297)))</f>
        <v/>
      </c>
      <c r="E297">
        <f>IF($W297="","",IF(INDEX('Per Invoice'!E$2:E$801,$W297)="","",INDEX('Per Invoice'!E$2:E$801,$W297)))</f>
        <v/>
      </c>
      <c r="F297">
        <f>IF($W297="","",IF(INDEX('Per Invoice'!F$2:F$801,$W297)="","",INDEX('Per Invoice'!F$2:F$801,$W297)))</f>
        <v/>
      </c>
      <c r="G297">
        <f>IF($W297="","",IF(INDEX('Per Invoice'!G$2:G$801,$W297)="","",INDEX('Per Invoice'!G$2:G$801,$W297)))</f>
        <v/>
      </c>
      <c r="H297">
        <f>IF($W297="","",IF(INDEX('Per Invoice'!H$2:H$801,$W297)="","",INDEX('Per Invoice'!H$2:H$801,$W297)))</f>
        <v/>
      </c>
      <c r="I297">
        <f>IF($W297="","",IF(INDEX('Per Invoice'!I$2:I$801,$W297)="","",INDEX('Per Invoice'!I$2:I$801,$W297)))</f>
        <v/>
      </c>
      <c r="J297">
        <f>IF($W297="","",IF(INDEX('Per Invoice'!J$2:J$801,$W297)="","",INDEX('Per Invoice'!J$2:J$801,$W297)))</f>
        <v/>
      </c>
      <c r="K297" s="7">
        <f>IF($W297="","",IF(INDEX('Per Invoice'!K$2:K$801,$W297)="","",INDEX('Per Invoice'!K$2:K$801,$W297)))</f>
        <v/>
      </c>
      <c r="L297" s="14">
        <f>IF($W297="","",IF(INDEX('Per Invoice'!L$2:L$801,$W297)="","",INDEX('Per Invoice'!L$2:L$801,$W297)))</f>
        <v/>
      </c>
      <c r="M297">
        <f>IF($W297="","",IF(INDEX('Per Invoice'!M$2:M$801,$W297)="","",INDEX('Per Invoice'!M$2:M$801,$W297)))</f>
        <v/>
      </c>
      <c r="N297" s="7">
        <f>IF($W297="","",IF(INDEX('Per Invoice'!N$2:N$801,$W297)="","",INDEX('Per Invoice'!N$2:N$801,$W297)))</f>
        <v/>
      </c>
      <c r="O297" s="7">
        <f>IF($W297="","",IF(INDEX('Per Invoice'!O$2:O$801,$W297)="","",INDEX('Per Invoice'!O$2:O$801,$W297)))</f>
        <v/>
      </c>
      <c r="P297">
        <f>IF($W297="","",IF(INDEX('Per Invoice'!P$2:P$801,$W297)="","",INDEX('Per Invoice'!P$2:P$801,$W297)))</f>
        <v/>
      </c>
      <c r="Q297" s="7">
        <f>IF($W297="","",IF(INDEX('Per Invoice'!Q$2:Q$801,$W297)="","",INDEX('Per Invoice'!Q$2:Q$801,$W297)))</f>
        <v/>
      </c>
      <c r="R297" s="7">
        <f>IF($W297="","",IF(INDEX('Per Invoice'!R$2:R$801,$W297)="","",INDEX('Per Invoice'!R$2:R$801,$W297)))</f>
        <v/>
      </c>
      <c r="S297" s="7">
        <f>IF($W297="","",IF(INDEX('Per Invoice'!S$2:S$801,$W297)="","",INDEX('Per Invoice'!S$2:S$801,$W297)))</f>
        <v/>
      </c>
      <c r="T297" s="7">
        <f>IF($W297="","",IF(INDEX('Per Invoice'!T$2:T$801,$W297)="","",INDEX('Per Invoice'!T$2:T$801,$W297)))</f>
        <v/>
      </c>
      <c r="U297" s="7">
        <f>IF($W297="","",IF(INDEX('Per Invoice'!U$2:U$801,$W297)="","",INDEX('Per Invoice'!U$2:U$801,$W297)))</f>
        <v/>
      </c>
      <c r="V297" s="7">
        <f>IF($W297="","",IF(INDEX('Per Invoice'!V$2:V$801,$W297)="","",INDEX('Per Invoice'!V$2:V$801,$W297)))</f>
        <v/>
      </c>
      <c r="W297" s="16">
        <f>IFERROR(MATCH(Settings!$C$30&amp;"|"&amp;ROWS($W$2:$W297),'Per Invoice'!$X$2:$X$801,0),"")</f>
        <v/>
      </c>
    </row>
    <row r="298">
      <c r="A298">
        <f>IF($W298="","",IF(INDEX('Per Invoice'!A$2:A$801,$W298)="","",INDEX('Per Invoice'!A$2:A$801,$W298)))</f>
        <v/>
      </c>
      <c r="B298">
        <f>IF($W298="","",IF(INDEX('Per Invoice'!B$2:B$801,$W298)="","",INDEX('Per Invoice'!B$2:B$801,$W298)))</f>
        <v/>
      </c>
      <c r="C298">
        <f>IF($W298="","",IF(INDEX('Per Invoice'!C$2:C$801,$W298)="","",INDEX('Per Invoice'!C$2:C$801,$W298)))</f>
        <v/>
      </c>
      <c r="D298">
        <f>IF($W298="","",IF(INDEX('Per Invoice'!D$2:D$801,$W298)="","",INDEX('Per Invoice'!D$2:D$801,$W298)))</f>
        <v/>
      </c>
      <c r="E298">
        <f>IF($W298="","",IF(INDEX('Per Invoice'!E$2:E$801,$W298)="","",INDEX('Per Invoice'!E$2:E$801,$W298)))</f>
        <v/>
      </c>
      <c r="F298">
        <f>IF($W298="","",IF(INDEX('Per Invoice'!F$2:F$801,$W298)="","",INDEX('Per Invoice'!F$2:F$801,$W298)))</f>
        <v/>
      </c>
      <c r="G298">
        <f>IF($W298="","",IF(INDEX('Per Invoice'!G$2:G$801,$W298)="","",INDEX('Per Invoice'!G$2:G$801,$W298)))</f>
        <v/>
      </c>
      <c r="H298">
        <f>IF($W298="","",IF(INDEX('Per Invoice'!H$2:H$801,$W298)="","",INDEX('Per Invoice'!H$2:H$801,$W298)))</f>
        <v/>
      </c>
      <c r="I298">
        <f>IF($W298="","",IF(INDEX('Per Invoice'!I$2:I$801,$W298)="","",INDEX('Per Invoice'!I$2:I$801,$W298)))</f>
        <v/>
      </c>
      <c r="J298">
        <f>IF($W298="","",IF(INDEX('Per Invoice'!J$2:J$801,$W298)="","",INDEX('Per Invoice'!J$2:J$801,$W298)))</f>
        <v/>
      </c>
      <c r="K298" s="7">
        <f>IF($W298="","",IF(INDEX('Per Invoice'!K$2:K$801,$W298)="","",INDEX('Per Invoice'!K$2:K$801,$W298)))</f>
        <v/>
      </c>
      <c r="L298" s="14">
        <f>IF($W298="","",IF(INDEX('Per Invoice'!L$2:L$801,$W298)="","",INDEX('Per Invoice'!L$2:L$801,$W298)))</f>
        <v/>
      </c>
      <c r="M298">
        <f>IF($W298="","",IF(INDEX('Per Invoice'!M$2:M$801,$W298)="","",INDEX('Per Invoice'!M$2:M$801,$W298)))</f>
        <v/>
      </c>
      <c r="N298" s="7">
        <f>IF($W298="","",IF(INDEX('Per Invoice'!N$2:N$801,$W298)="","",INDEX('Per Invoice'!N$2:N$801,$W298)))</f>
        <v/>
      </c>
      <c r="O298" s="7">
        <f>IF($W298="","",IF(INDEX('Per Invoice'!O$2:O$801,$W298)="","",INDEX('Per Invoice'!O$2:O$801,$W298)))</f>
        <v/>
      </c>
      <c r="P298">
        <f>IF($W298="","",IF(INDEX('Per Invoice'!P$2:P$801,$W298)="","",INDEX('Per Invoice'!P$2:P$801,$W298)))</f>
        <v/>
      </c>
      <c r="Q298" s="7">
        <f>IF($W298="","",IF(INDEX('Per Invoice'!Q$2:Q$801,$W298)="","",INDEX('Per Invoice'!Q$2:Q$801,$W298)))</f>
        <v/>
      </c>
      <c r="R298" s="7">
        <f>IF($W298="","",IF(INDEX('Per Invoice'!R$2:R$801,$W298)="","",INDEX('Per Invoice'!R$2:R$801,$W298)))</f>
        <v/>
      </c>
      <c r="S298" s="7">
        <f>IF($W298="","",IF(INDEX('Per Invoice'!S$2:S$801,$W298)="","",INDEX('Per Invoice'!S$2:S$801,$W298)))</f>
        <v/>
      </c>
      <c r="T298" s="7">
        <f>IF($W298="","",IF(INDEX('Per Invoice'!T$2:T$801,$W298)="","",INDEX('Per Invoice'!T$2:T$801,$W298)))</f>
        <v/>
      </c>
      <c r="U298" s="7">
        <f>IF($W298="","",IF(INDEX('Per Invoice'!U$2:U$801,$W298)="","",INDEX('Per Invoice'!U$2:U$801,$W298)))</f>
        <v/>
      </c>
      <c r="V298" s="7">
        <f>IF($W298="","",IF(INDEX('Per Invoice'!V$2:V$801,$W298)="","",INDEX('Per Invoice'!V$2:V$801,$W298)))</f>
        <v/>
      </c>
      <c r="W298" s="16">
        <f>IFERROR(MATCH(Settings!$C$30&amp;"|"&amp;ROWS($W$2:$W298),'Per Invoice'!$X$2:$X$801,0),"")</f>
        <v/>
      </c>
    </row>
    <row r="299">
      <c r="A299">
        <f>IF($W299="","",IF(INDEX('Per Invoice'!A$2:A$801,$W299)="","",INDEX('Per Invoice'!A$2:A$801,$W299)))</f>
        <v/>
      </c>
      <c r="B299">
        <f>IF($W299="","",IF(INDEX('Per Invoice'!B$2:B$801,$W299)="","",INDEX('Per Invoice'!B$2:B$801,$W299)))</f>
        <v/>
      </c>
      <c r="C299">
        <f>IF($W299="","",IF(INDEX('Per Invoice'!C$2:C$801,$W299)="","",INDEX('Per Invoice'!C$2:C$801,$W299)))</f>
        <v/>
      </c>
      <c r="D299">
        <f>IF($W299="","",IF(INDEX('Per Invoice'!D$2:D$801,$W299)="","",INDEX('Per Invoice'!D$2:D$801,$W299)))</f>
        <v/>
      </c>
      <c r="E299">
        <f>IF($W299="","",IF(INDEX('Per Invoice'!E$2:E$801,$W299)="","",INDEX('Per Invoice'!E$2:E$801,$W299)))</f>
        <v/>
      </c>
      <c r="F299">
        <f>IF($W299="","",IF(INDEX('Per Invoice'!F$2:F$801,$W299)="","",INDEX('Per Invoice'!F$2:F$801,$W299)))</f>
        <v/>
      </c>
      <c r="G299">
        <f>IF($W299="","",IF(INDEX('Per Invoice'!G$2:G$801,$W299)="","",INDEX('Per Invoice'!G$2:G$801,$W299)))</f>
        <v/>
      </c>
      <c r="H299">
        <f>IF($W299="","",IF(INDEX('Per Invoice'!H$2:H$801,$W299)="","",INDEX('Per Invoice'!H$2:H$801,$W299)))</f>
        <v/>
      </c>
      <c r="I299">
        <f>IF($W299="","",IF(INDEX('Per Invoice'!I$2:I$801,$W299)="","",INDEX('Per Invoice'!I$2:I$801,$W299)))</f>
        <v/>
      </c>
      <c r="J299">
        <f>IF($W299="","",IF(INDEX('Per Invoice'!J$2:J$801,$W299)="","",INDEX('Per Invoice'!J$2:J$801,$W299)))</f>
        <v/>
      </c>
      <c r="K299" s="7">
        <f>IF($W299="","",IF(INDEX('Per Invoice'!K$2:K$801,$W299)="","",INDEX('Per Invoice'!K$2:K$801,$W299)))</f>
        <v/>
      </c>
      <c r="L299" s="14">
        <f>IF($W299="","",IF(INDEX('Per Invoice'!L$2:L$801,$W299)="","",INDEX('Per Invoice'!L$2:L$801,$W299)))</f>
        <v/>
      </c>
      <c r="M299">
        <f>IF($W299="","",IF(INDEX('Per Invoice'!M$2:M$801,$W299)="","",INDEX('Per Invoice'!M$2:M$801,$W299)))</f>
        <v/>
      </c>
      <c r="N299" s="7">
        <f>IF($W299="","",IF(INDEX('Per Invoice'!N$2:N$801,$W299)="","",INDEX('Per Invoice'!N$2:N$801,$W299)))</f>
        <v/>
      </c>
      <c r="O299" s="7">
        <f>IF($W299="","",IF(INDEX('Per Invoice'!O$2:O$801,$W299)="","",INDEX('Per Invoice'!O$2:O$801,$W299)))</f>
        <v/>
      </c>
      <c r="P299">
        <f>IF($W299="","",IF(INDEX('Per Invoice'!P$2:P$801,$W299)="","",INDEX('Per Invoice'!P$2:P$801,$W299)))</f>
        <v/>
      </c>
      <c r="Q299" s="7">
        <f>IF($W299="","",IF(INDEX('Per Invoice'!Q$2:Q$801,$W299)="","",INDEX('Per Invoice'!Q$2:Q$801,$W299)))</f>
        <v/>
      </c>
      <c r="R299" s="7">
        <f>IF($W299="","",IF(INDEX('Per Invoice'!R$2:R$801,$W299)="","",INDEX('Per Invoice'!R$2:R$801,$W299)))</f>
        <v/>
      </c>
      <c r="S299" s="7">
        <f>IF($W299="","",IF(INDEX('Per Invoice'!S$2:S$801,$W299)="","",INDEX('Per Invoice'!S$2:S$801,$W299)))</f>
        <v/>
      </c>
      <c r="T299" s="7">
        <f>IF($W299="","",IF(INDEX('Per Invoice'!T$2:T$801,$W299)="","",INDEX('Per Invoice'!T$2:T$801,$W299)))</f>
        <v/>
      </c>
      <c r="U299" s="7">
        <f>IF($W299="","",IF(INDEX('Per Invoice'!U$2:U$801,$W299)="","",INDEX('Per Invoice'!U$2:U$801,$W299)))</f>
        <v/>
      </c>
      <c r="V299" s="7">
        <f>IF($W299="","",IF(INDEX('Per Invoice'!V$2:V$801,$W299)="","",INDEX('Per Invoice'!V$2:V$801,$W299)))</f>
        <v/>
      </c>
      <c r="W299" s="16">
        <f>IFERROR(MATCH(Settings!$C$30&amp;"|"&amp;ROWS($W$2:$W299),'Per Invoice'!$X$2:$X$801,0),"")</f>
        <v/>
      </c>
    </row>
    <row r="300">
      <c r="A300">
        <f>IF($W300="","",IF(INDEX('Per Invoice'!A$2:A$801,$W300)="","",INDEX('Per Invoice'!A$2:A$801,$W300)))</f>
        <v/>
      </c>
      <c r="B300">
        <f>IF($W300="","",IF(INDEX('Per Invoice'!B$2:B$801,$W300)="","",INDEX('Per Invoice'!B$2:B$801,$W300)))</f>
        <v/>
      </c>
      <c r="C300">
        <f>IF($W300="","",IF(INDEX('Per Invoice'!C$2:C$801,$W300)="","",INDEX('Per Invoice'!C$2:C$801,$W300)))</f>
        <v/>
      </c>
      <c r="D300">
        <f>IF($W300="","",IF(INDEX('Per Invoice'!D$2:D$801,$W300)="","",INDEX('Per Invoice'!D$2:D$801,$W300)))</f>
        <v/>
      </c>
      <c r="E300">
        <f>IF($W300="","",IF(INDEX('Per Invoice'!E$2:E$801,$W300)="","",INDEX('Per Invoice'!E$2:E$801,$W300)))</f>
        <v/>
      </c>
      <c r="F300">
        <f>IF($W300="","",IF(INDEX('Per Invoice'!F$2:F$801,$W300)="","",INDEX('Per Invoice'!F$2:F$801,$W300)))</f>
        <v/>
      </c>
      <c r="G300">
        <f>IF($W300="","",IF(INDEX('Per Invoice'!G$2:G$801,$W300)="","",INDEX('Per Invoice'!G$2:G$801,$W300)))</f>
        <v/>
      </c>
      <c r="H300">
        <f>IF($W300="","",IF(INDEX('Per Invoice'!H$2:H$801,$W300)="","",INDEX('Per Invoice'!H$2:H$801,$W300)))</f>
        <v/>
      </c>
      <c r="I300">
        <f>IF($W300="","",IF(INDEX('Per Invoice'!I$2:I$801,$W300)="","",INDEX('Per Invoice'!I$2:I$801,$W300)))</f>
        <v/>
      </c>
      <c r="J300">
        <f>IF($W300="","",IF(INDEX('Per Invoice'!J$2:J$801,$W300)="","",INDEX('Per Invoice'!J$2:J$801,$W300)))</f>
        <v/>
      </c>
      <c r="K300" s="7">
        <f>IF($W300="","",IF(INDEX('Per Invoice'!K$2:K$801,$W300)="","",INDEX('Per Invoice'!K$2:K$801,$W300)))</f>
        <v/>
      </c>
      <c r="L300" s="14">
        <f>IF($W300="","",IF(INDEX('Per Invoice'!L$2:L$801,$W300)="","",INDEX('Per Invoice'!L$2:L$801,$W300)))</f>
        <v/>
      </c>
      <c r="M300">
        <f>IF($W300="","",IF(INDEX('Per Invoice'!M$2:M$801,$W300)="","",INDEX('Per Invoice'!M$2:M$801,$W300)))</f>
        <v/>
      </c>
      <c r="N300" s="7">
        <f>IF($W300="","",IF(INDEX('Per Invoice'!N$2:N$801,$W300)="","",INDEX('Per Invoice'!N$2:N$801,$W300)))</f>
        <v/>
      </c>
      <c r="O300" s="7">
        <f>IF($W300="","",IF(INDEX('Per Invoice'!O$2:O$801,$W300)="","",INDEX('Per Invoice'!O$2:O$801,$W300)))</f>
        <v/>
      </c>
      <c r="P300">
        <f>IF($W300="","",IF(INDEX('Per Invoice'!P$2:P$801,$W300)="","",INDEX('Per Invoice'!P$2:P$801,$W300)))</f>
        <v/>
      </c>
      <c r="Q300" s="7">
        <f>IF($W300="","",IF(INDEX('Per Invoice'!Q$2:Q$801,$W300)="","",INDEX('Per Invoice'!Q$2:Q$801,$W300)))</f>
        <v/>
      </c>
      <c r="R300" s="7">
        <f>IF($W300="","",IF(INDEX('Per Invoice'!R$2:R$801,$W300)="","",INDEX('Per Invoice'!R$2:R$801,$W300)))</f>
        <v/>
      </c>
      <c r="S300" s="7">
        <f>IF($W300="","",IF(INDEX('Per Invoice'!S$2:S$801,$W300)="","",INDEX('Per Invoice'!S$2:S$801,$W300)))</f>
        <v/>
      </c>
      <c r="T300" s="7">
        <f>IF($W300="","",IF(INDEX('Per Invoice'!T$2:T$801,$W300)="","",INDEX('Per Invoice'!T$2:T$801,$W300)))</f>
        <v/>
      </c>
      <c r="U300" s="7">
        <f>IF($W300="","",IF(INDEX('Per Invoice'!U$2:U$801,$W300)="","",INDEX('Per Invoice'!U$2:U$801,$W300)))</f>
        <v/>
      </c>
      <c r="V300" s="7">
        <f>IF($W300="","",IF(INDEX('Per Invoice'!V$2:V$801,$W300)="","",INDEX('Per Invoice'!V$2:V$801,$W300)))</f>
        <v/>
      </c>
      <c r="W300" s="16">
        <f>IFERROR(MATCH(Settings!$C$30&amp;"|"&amp;ROWS($W$2:$W300),'Per Invoice'!$X$2:$X$801,0),"")</f>
        <v/>
      </c>
    </row>
    <row r="301">
      <c r="A301">
        <f>IF($W301="","",IF(INDEX('Per Invoice'!A$2:A$801,$W301)="","",INDEX('Per Invoice'!A$2:A$801,$W301)))</f>
        <v/>
      </c>
      <c r="B301">
        <f>IF($W301="","",IF(INDEX('Per Invoice'!B$2:B$801,$W301)="","",INDEX('Per Invoice'!B$2:B$801,$W301)))</f>
        <v/>
      </c>
      <c r="C301">
        <f>IF($W301="","",IF(INDEX('Per Invoice'!C$2:C$801,$W301)="","",INDEX('Per Invoice'!C$2:C$801,$W301)))</f>
        <v/>
      </c>
      <c r="D301">
        <f>IF($W301="","",IF(INDEX('Per Invoice'!D$2:D$801,$W301)="","",INDEX('Per Invoice'!D$2:D$801,$W301)))</f>
        <v/>
      </c>
      <c r="E301">
        <f>IF($W301="","",IF(INDEX('Per Invoice'!E$2:E$801,$W301)="","",INDEX('Per Invoice'!E$2:E$801,$W301)))</f>
        <v/>
      </c>
      <c r="F301">
        <f>IF($W301="","",IF(INDEX('Per Invoice'!F$2:F$801,$W301)="","",INDEX('Per Invoice'!F$2:F$801,$W301)))</f>
        <v/>
      </c>
      <c r="G301">
        <f>IF($W301="","",IF(INDEX('Per Invoice'!G$2:G$801,$W301)="","",INDEX('Per Invoice'!G$2:G$801,$W301)))</f>
        <v/>
      </c>
      <c r="H301">
        <f>IF($W301="","",IF(INDEX('Per Invoice'!H$2:H$801,$W301)="","",INDEX('Per Invoice'!H$2:H$801,$W301)))</f>
        <v/>
      </c>
      <c r="I301">
        <f>IF($W301="","",IF(INDEX('Per Invoice'!I$2:I$801,$W301)="","",INDEX('Per Invoice'!I$2:I$801,$W301)))</f>
        <v/>
      </c>
      <c r="J301">
        <f>IF($W301="","",IF(INDEX('Per Invoice'!J$2:J$801,$W301)="","",INDEX('Per Invoice'!J$2:J$801,$W301)))</f>
        <v/>
      </c>
      <c r="K301" s="7">
        <f>IF($W301="","",IF(INDEX('Per Invoice'!K$2:K$801,$W301)="","",INDEX('Per Invoice'!K$2:K$801,$W301)))</f>
        <v/>
      </c>
      <c r="L301" s="14">
        <f>IF($W301="","",IF(INDEX('Per Invoice'!L$2:L$801,$W301)="","",INDEX('Per Invoice'!L$2:L$801,$W301)))</f>
        <v/>
      </c>
      <c r="M301">
        <f>IF($W301="","",IF(INDEX('Per Invoice'!M$2:M$801,$W301)="","",INDEX('Per Invoice'!M$2:M$801,$W301)))</f>
        <v/>
      </c>
      <c r="N301" s="7">
        <f>IF($W301="","",IF(INDEX('Per Invoice'!N$2:N$801,$W301)="","",INDEX('Per Invoice'!N$2:N$801,$W301)))</f>
        <v/>
      </c>
      <c r="O301" s="7">
        <f>IF($W301="","",IF(INDEX('Per Invoice'!O$2:O$801,$W301)="","",INDEX('Per Invoice'!O$2:O$801,$W301)))</f>
        <v/>
      </c>
      <c r="P301">
        <f>IF($W301="","",IF(INDEX('Per Invoice'!P$2:P$801,$W301)="","",INDEX('Per Invoice'!P$2:P$801,$W301)))</f>
        <v/>
      </c>
      <c r="Q301" s="7">
        <f>IF($W301="","",IF(INDEX('Per Invoice'!Q$2:Q$801,$W301)="","",INDEX('Per Invoice'!Q$2:Q$801,$W301)))</f>
        <v/>
      </c>
      <c r="R301" s="7">
        <f>IF($W301="","",IF(INDEX('Per Invoice'!R$2:R$801,$W301)="","",INDEX('Per Invoice'!R$2:R$801,$W301)))</f>
        <v/>
      </c>
      <c r="S301" s="7">
        <f>IF($W301="","",IF(INDEX('Per Invoice'!S$2:S$801,$W301)="","",INDEX('Per Invoice'!S$2:S$801,$W301)))</f>
        <v/>
      </c>
      <c r="T301" s="7">
        <f>IF($W301="","",IF(INDEX('Per Invoice'!T$2:T$801,$W301)="","",INDEX('Per Invoice'!T$2:T$801,$W301)))</f>
        <v/>
      </c>
      <c r="U301" s="7">
        <f>IF($W301="","",IF(INDEX('Per Invoice'!U$2:U$801,$W301)="","",INDEX('Per Invoice'!U$2:U$801,$W301)))</f>
        <v/>
      </c>
      <c r="V301" s="7">
        <f>IF($W301="","",IF(INDEX('Per Invoice'!V$2:V$801,$W301)="","",INDEX('Per Invoice'!V$2:V$801,$W301)))</f>
        <v/>
      </c>
      <c r="W301" s="16">
        <f>IFERROR(MATCH(Settings!$C$30&amp;"|"&amp;ROWS($W$2:$W301),'Per Invoice'!$X$2:$X$801,0),"")</f>
        <v/>
      </c>
    </row>
  </sheetData>
  <autoFilter ref="A1:W3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26" customWidth="1" min="8" max="8"/>
    <col width="13" customWidth="1" min="9" max="9"/>
    <col width="12" customWidth="1" min="10" max="10"/>
    <col width="1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 ht="32" customHeight="1">
      <c r="A1" s="10" t="inlineStr">
        <is>
          <t>Invoice</t>
        </is>
      </c>
      <c r="B1" s="10" t="inlineStr">
        <is>
          <t>Pos Reference</t>
        </is>
      </c>
      <c r="C1" s="10" t="inlineStr">
        <is>
          <t>Approval</t>
        </is>
      </c>
      <c r="D1" s="10" t="inlineStr">
        <is>
          <t>##</t>
        </is>
      </c>
      <c r="E1" s="10" t="inlineStr">
        <is>
          <t>Payer</t>
        </is>
      </c>
      <c r="F1" s="10" t="inlineStr">
        <is>
          <t>Payment term</t>
        </is>
      </c>
      <c r="G1" s="10" t="inlineStr">
        <is>
          <t>Insurance Company</t>
        </is>
      </c>
      <c r="H1" s="10" t="inlineStr">
        <is>
          <t>Name</t>
        </is>
      </c>
      <c r="I1" s="10" t="inlineStr">
        <is>
          <t>Card Number</t>
        </is>
      </c>
      <c r="J1" s="10" t="inlineStr">
        <is>
          <t>Co Payment %</t>
        </is>
      </c>
      <c r="K1" s="10" t="inlineStr">
        <is>
          <t>Co val</t>
        </is>
      </c>
      <c r="L1" s="10" t="inlineStr">
        <is>
          <t>Create Date</t>
        </is>
      </c>
      <c r="M1" s="10" t="inlineStr">
        <is>
          <t>Imp%</t>
        </is>
      </c>
      <c r="N1" s="10" t="inlineStr">
        <is>
          <t>Imp</t>
        </is>
      </c>
      <c r="O1" s="10" t="inlineStr">
        <is>
          <t>Imp_Val</t>
        </is>
      </c>
      <c r="P1" s="10" t="inlineStr">
        <is>
          <t>Local%</t>
        </is>
      </c>
      <c r="Q1" s="10" t="inlineStr">
        <is>
          <t>Local</t>
        </is>
      </c>
      <c r="R1" s="10" t="inlineStr">
        <is>
          <t>Local_Val</t>
        </is>
      </c>
      <c r="S1" s="10" t="inlineStr">
        <is>
          <t>Discount</t>
        </is>
      </c>
      <c r="T1" s="10" t="inlineStr">
        <is>
          <t>Subtotal</t>
        </is>
      </c>
      <c r="U1" s="10" t="inlineStr">
        <is>
          <t>Net</t>
        </is>
      </c>
      <c r="V1" s="10" t="inlineStr">
        <is>
          <t>Grand Total</t>
        </is>
      </c>
      <c r="W1" s="13" t="inlineStr">
        <is>
          <t>Src Row (helper)</t>
        </is>
      </c>
    </row>
    <row r="2">
      <c r="A2">
        <f>IF($W2="","",IF(INDEX('Per Invoice'!A$2:A$801,$W2)="","",INDEX('Per Invoice'!A$2:A$801,$W2)))</f>
        <v/>
      </c>
      <c r="B2">
        <f>IF($W2="","",IF(INDEX('Per Invoice'!B$2:B$801,$W2)="","",INDEX('Per Invoice'!B$2:B$801,$W2)))</f>
        <v/>
      </c>
      <c r="C2">
        <f>IF($W2="","",IF(INDEX('Per Invoice'!C$2:C$801,$W2)="","",INDEX('Per Invoice'!C$2:C$801,$W2)))</f>
        <v/>
      </c>
      <c r="D2">
        <f>IF($W2="","",IF(INDEX('Per Invoice'!D$2:D$801,$W2)="","",INDEX('Per Invoice'!D$2:D$801,$W2)))</f>
        <v/>
      </c>
      <c r="E2">
        <f>IF($W2="","",IF(INDEX('Per Invoice'!E$2:E$801,$W2)="","",INDEX('Per Invoice'!E$2:E$801,$W2)))</f>
        <v/>
      </c>
      <c r="F2">
        <f>IF($W2="","",IF(INDEX('Per Invoice'!F$2:F$801,$W2)="","",INDEX('Per Invoice'!F$2:F$801,$W2)))</f>
        <v/>
      </c>
      <c r="G2">
        <f>IF($W2="","",IF(INDEX('Per Invoice'!G$2:G$801,$W2)="","",INDEX('Per Invoice'!G$2:G$801,$W2)))</f>
        <v/>
      </c>
      <c r="H2">
        <f>IF($W2="","",IF(INDEX('Per Invoice'!H$2:H$801,$W2)="","",INDEX('Per Invoice'!H$2:H$801,$W2)))</f>
        <v/>
      </c>
      <c r="I2">
        <f>IF($W2="","",IF(INDEX('Per Invoice'!I$2:I$801,$W2)="","",INDEX('Per Invoice'!I$2:I$801,$W2)))</f>
        <v/>
      </c>
      <c r="J2">
        <f>IF($W2="","",IF(INDEX('Per Invoice'!J$2:J$801,$W2)="","",INDEX('Per Invoice'!J$2:J$801,$W2)))</f>
        <v/>
      </c>
      <c r="K2" s="7">
        <f>IF($W2="","",IF(INDEX('Per Invoice'!K$2:K$801,$W2)="","",INDEX('Per Invoice'!K$2:K$801,$W2)))</f>
        <v/>
      </c>
      <c r="L2" s="14">
        <f>IF($W2="","",IF(INDEX('Per Invoice'!L$2:L$801,$W2)="","",INDEX('Per Invoice'!L$2:L$801,$W2)))</f>
        <v/>
      </c>
      <c r="M2">
        <f>IF($W2="","",IF(INDEX('Per Invoice'!M$2:M$801,$W2)="","",INDEX('Per Invoice'!M$2:M$801,$W2)))</f>
        <v/>
      </c>
      <c r="N2" s="7">
        <f>IF($W2="","",IF(INDEX('Per Invoice'!N$2:N$801,$W2)="","",INDEX('Per Invoice'!N$2:N$801,$W2)))</f>
        <v/>
      </c>
      <c r="O2" s="7">
        <f>IF($W2="","",IF(INDEX('Per Invoice'!O$2:O$801,$W2)="","",INDEX('Per Invoice'!O$2:O$801,$W2)))</f>
        <v/>
      </c>
      <c r="P2">
        <f>IF($W2="","",IF(INDEX('Per Invoice'!P$2:P$801,$W2)="","",INDEX('Per Invoice'!P$2:P$801,$W2)))</f>
        <v/>
      </c>
      <c r="Q2" s="7">
        <f>IF($W2="","",IF(INDEX('Per Invoice'!Q$2:Q$801,$W2)="","",INDEX('Per Invoice'!Q$2:Q$801,$W2)))</f>
        <v/>
      </c>
      <c r="R2" s="7">
        <f>IF($W2="","",IF(INDEX('Per Invoice'!R$2:R$801,$W2)="","",INDEX('Per Invoice'!R$2:R$801,$W2)))</f>
        <v/>
      </c>
      <c r="S2" s="7">
        <f>IF($W2="","",IF(INDEX('Per Invoice'!S$2:S$801,$W2)="","",INDEX('Per Invoice'!S$2:S$801,$W2)))</f>
        <v/>
      </c>
      <c r="T2" s="7">
        <f>IF($W2="","",IF(INDEX('Per Invoice'!T$2:T$801,$W2)="","",INDEX('Per Invoice'!T$2:T$801,$W2)))</f>
        <v/>
      </c>
      <c r="U2" s="7">
        <f>IF($W2="","",IF(INDEX('Per Invoice'!U$2:U$801,$W2)="","",INDEX('Per Invoice'!U$2:U$801,$W2)))</f>
        <v/>
      </c>
      <c r="V2" s="7">
        <f>IF($W2="","",IF(INDEX('Per Invoice'!V$2:V$801,$W2)="","",INDEX('Per Invoice'!V$2:V$801,$W2)))</f>
        <v/>
      </c>
      <c r="W2" s="16">
        <f>IFERROR(MATCH(Settings!$C$31&amp;"|"&amp;ROWS($W$2:$W2),'Per Invoice'!$X$2:$X$801,0),"")</f>
        <v/>
      </c>
    </row>
    <row r="3">
      <c r="A3">
        <f>IF($W3="","",IF(INDEX('Per Invoice'!A$2:A$801,$W3)="","",INDEX('Per Invoice'!A$2:A$801,$W3)))</f>
        <v/>
      </c>
      <c r="B3">
        <f>IF($W3="","",IF(INDEX('Per Invoice'!B$2:B$801,$W3)="","",INDEX('Per Invoice'!B$2:B$801,$W3)))</f>
        <v/>
      </c>
      <c r="C3">
        <f>IF($W3="","",IF(INDEX('Per Invoice'!C$2:C$801,$W3)="","",INDEX('Per Invoice'!C$2:C$801,$W3)))</f>
        <v/>
      </c>
      <c r="D3">
        <f>IF($W3="","",IF(INDEX('Per Invoice'!D$2:D$801,$W3)="","",INDEX('Per Invoice'!D$2:D$801,$W3)))</f>
        <v/>
      </c>
      <c r="E3">
        <f>IF($W3="","",IF(INDEX('Per Invoice'!E$2:E$801,$W3)="","",INDEX('Per Invoice'!E$2:E$801,$W3)))</f>
        <v/>
      </c>
      <c r="F3">
        <f>IF($W3="","",IF(INDEX('Per Invoice'!F$2:F$801,$W3)="","",INDEX('Per Invoice'!F$2:F$801,$W3)))</f>
        <v/>
      </c>
      <c r="G3">
        <f>IF($W3="","",IF(INDEX('Per Invoice'!G$2:G$801,$W3)="","",INDEX('Per Invoice'!G$2:G$801,$W3)))</f>
        <v/>
      </c>
      <c r="H3">
        <f>IF($W3="","",IF(INDEX('Per Invoice'!H$2:H$801,$W3)="","",INDEX('Per Invoice'!H$2:H$801,$W3)))</f>
        <v/>
      </c>
      <c r="I3">
        <f>IF($W3="","",IF(INDEX('Per Invoice'!I$2:I$801,$W3)="","",INDEX('Per Invoice'!I$2:I$801,$W3)))</f>
        <v/>
      </c>
      <c r="J3">
        <f>IF($W3="","",IF(INDEX('Per Invoice'!J$2:J$801,$W3)="","",INDEX('Per Invoice'!J$2:J$801,$W3)))</f>
        <v/>
      </c>
      <c r="K3" s="7">
        <f>IF($W3="","",IF(INDEX('Per Invoice'!K$2:K$801,$W3)="","",INDEX('Per Invoice'!K$2:K$801,$W3)))</f>
        <v/>
      </c>
      <c r="L3" s="14">
        <f>IF($W3="","",IF(INDEX('Per Invoice'!L$2:L$801,$W3)="","",INDEX('Per Invoice'!L$2:L$801,$W3)))</f>
        <v/>
      </c>
      <c r="M3">
        <f>IF($W3="","",IF(INDEX('Per Invoice'!M$2:M$801,$W3)="","",INDEX('Per Invoice'!M$2:M$801,$W3)))</f>
        <v/>
      </c>
      <c r="N3" s="7">
        <f>IF($W3="","",IF(INDEX('Per Invoice'!N$2:N$801,$W3)="","",INDEX('Per Invoice'!N$2:N$801,$W3)))</f>
        <v/>
      </c>
      <c r="O3" s="7">
        <f>IF($W3="","",IF(INDEX('Per Invoice'!O$2:O$801,$W3)="","",INDEX('Per Invoice'!O$2:O$801,$W3)))</f>
        <v/>
      </c>
      <c r="P3">
        <f>IF($W3="","",IF(INDEX('Per Invoice'!P$2:P$801,$W3)="","",INDEX('Per Invoice'!P$2:P$801,$W3)))</f>
        <v/>
      </c>
      <c r="Q3" s="7">
        <f>IF($W3="","",IF(INDEX('Per Invoice'!Q$2:Q$801,$W3)="","",INDEX('Per Invoice'!Q$2:Q$801,$W3)))</f>
        <v/>
      </c>
      <c r="R3" s="7">
        <f>IF($W3="","",IF(INDEX('Per Invoice'!R$2:R$801,$W3)="","",INDEX('Per Invoice'!R$2:R$801,$W3)))</f>
        <v/>
      </c>
      <c r="S3" s="7">
        <f>IF($W3="","",IF(INDEX('Per Invoice'!S$2:S$801,$W3)="","",INDEX('Per Invoice'!S$2:S$801,$W3)))</f>
        <v/>
      </c>
      <c r="T3" s="7">
        <f>IF($W3="","",IF(INDEX('Per Invoice'!T$2:T$801,$W3)="","",INDEX('Per Invoice'!T$2:T$801,$W3)))</f>
        <v/>
      </c>
      <c r="U3" s="7">
        <f>IF($W3="","",IF(INDEX('Per Invoice'!U$2:U$801,$W3)="","",INDEX('Per Invoice'!U$2:U$801,$W3)))</f>
        <v/>
      </c>
      <c r="V3" s="7">
        <f>IF($W3="","",IF(INDEX('Per Invoice'!V$2:V$801,$W3)="","",INDEX('Per Invoice'!V$2:V$801,$W3)))</f>
        <v/>
      </c>
      <c r="W3" s="16">
        <f>IFERROR(MATCH(Settings!$C$31&amp;"|"&amp;ROWS($W$2:$W3),'Per Invoice'!$X$2:$X$801,0),"")</f>
        <v/>
      </c>
    </row>
    <row r="4">
      <c r="A4">
        <f>IF($W4="","",IF(INDEX('Per Invoice'!A$2:A$801,$W4)="","",INDEX('Per Invoice'!A$2:A$801,$W4)))</f>
        <v/>
      </c>
      <c r="B4">
        <f>IF($W4="","",IF(INDEX('Per Invoice'!B$2:B$801,$W4)="","",INDEX('Per Invoice'!B$2:B$801,$W4)))</f>
        <v/>
      </c>
      <c r="C4">
        <f>IF($W4="","",IF(INDEX('Per Invoice'!C$2:C$801,$W4)="","",INDEX('Per Invoice'!C$2:C$801,$W4)))</f>
        <v/>
      </c>
      <c r="D4">
        <f>IF($W4="","",IF(INDEX('Per Invoice'!D$2:D$801,$W4)="","",INDEX('Per Invoice'!D$2:D$801,$W4)))</f>
        <v/>
      </c>
      <c r="E4">
        <f>IF($W4="","",IF(INDEX('Per Invoice'!E$2:E$801,$W4)="","",INDEX('Per Invoice'!E$2:E$801,$W4)))</f>
        <v/>
      </c>
      <c r="F4">
        <f>IF($W4="","",IF(INDEX('Per Invoice'!F$2:F$801,$W4)="","",INDEX('Per Invoice'!F$2:F$801,$W4)))</f>
        <v/>
      </c>
      <c r="G4">
        <f>IF($W4="","",IF(INDEX('Per Invoice'!G$2:G$801,$W4)="","",INDEX('Per Invoice'!G$2:G$801,$W4)))</f>
        <v/>
      </c>
      <c r="H4">
        <f>IF($W4="","",IF(INDEX('Per Invoice'!H$2:H$801,$W4)="","",INDEX('Per Invoice'!H$2:H$801,$W4)))</f>
        <v/>
      </c>
      <c r="I4">
        <f>IF($W4="","",IF(INDEX('Per Invoice'!I$2:I$801,$W4)="","",INDEX('Per Invoice'!I$2:I$801,$W4)))</f>
        <v/>
      </c>
      <c r="J4">
        <f>IF($W4="","",IF(INDEX('Per Invoice'!J$2:J$801,$W4)="","",INDEX('Per Invoice'!J$2:J$801,$W4)))</f>
        <v/>
      </c>
      <c r="K4" s="7">
        <f>IF($W4="","",IF(INDEX('Per Invoice'!K$2:K$801,$W4)="","",INDEX('Per Invoice'!K$2:K$801,$W4)))</f>
        <v/>
      </c>
      <c r="L4" s="14">
        <f>IF($W4="","",IF(INDEX('Per Invoice'!L$2:L$801,$W4)="","",INDEX('Per Invoice'!L$2:L$801,$W4)))</f>
        <v/>
      </c>
      <c r="M4">
        <f>IF($W4="","",IF(INDEX('Per Invoice'!M$2:M$801,$W4)="","",INDEX('Per Invoice'!M$2:M$801,$W4)))</f>
        <v/>
      </c>
      <c r="N4" s="7">
        <f>IF($W4="","",IF(INDEX('Per Invoice'!N$2:N$801,$W4)="","",INDEX('Per Invoice'!N$2:N$801,$W4)))</f>
        <v/>
      </c>
      <c r="O4" s="7">
        <f>IF($W4="","",IF(INDEX('Per Invoice'!O$2:O$801,$W4)="","",INDEX('Per Invoice'!O$2:O$801,$W4)))</f>
        <v/>
      </c>
      <c r="P4">
        <f>IF($W4="","",IF(INDEX('Per Invoice'!P$2:P$801,$W4)="","",INDEX('Per Invoice'!P$2:P$801,$W4)))</f>
        <v/>
      </c>
      <c r="Q4" s="7">
        <f>IF($W4="","",IF(INDEX('Per Invoice'!Q$2:Q$801,$W4)="","",INDEX('Per Invoice'!Q$2:Q$801,$W4)))</f>
        <v/>
      </c>
      <c r="R4" s="7">
        <f>IF($W4="","",IF(INDEX('Per Invoice'!R$2:R$801,$W4)="","",INDEX('Per Invoice'!R$2:R$801,$W4)))</f>
        <v/>
      </c>
      <c r="S4" s="7">
        <f>IF($W4="","",IF(INDEX('Per Invoice'!S$2:S$801,$W4)="","",INDEX('Per Invoice'!S$2:S$801,$W4)))</f>
        <v/>
      </c>
      <c r="T4" s="7">
        <f>IF($W4="","",IF(INDEX('Per Invoice'!T$2:T$801,$W4)="","",INDEX('Per Invoice'!T$2:T$801,$W4)))</f>
        <v/>
      </c>
      <c r="U4" s="7">
        <f>IF($W4="","",IF(INDEX('Per Invoice'!U$2:U$801,$W4)="","",INDEX('Per Invoice'!U$2:U$801,$W4)))</f>
        <v/>
      </c>
      <c r="V4" s="7">
        <f>IF($W4="","",IF(INDEX('Per Invoice'!V$2:V$801,$W4)="","",INDEX('Per Invoice'!V$2:V$801,$W4)))</f>
        <v/>
      </c>
      <c r="W4" s="16">
        <f>IFERROR(MATCH(Settings!$C$31&amp;"|"&amp;ROWS($W$2:$W4),'Per Invoice'!$X$2:$X$801,0),"")</f>
        <v/>
      </c>
    </row>
    <row r="5">
      <c r="A5">
        <f>IF($W5="","",IF(INDEX('Per Invoice'!A$2:A$801,$W5)="","",INDEX('Per Invoice'!A$2:A$801,$W5)))</f>
        <v/>
      </c>
      <c r="B5">
        <f>IF($W5="","",IF(INDEX('Per Invoice'!B$2:B$801,$W5)="","",INDEX('Per Invoice'!B$2:B$801,$W5)))</f>
        <v/>
      </c>
      <c r="C5">
        <f>IF($W5="","",IF(INDEX('Per Invoice'!C$2:C$801,$W5)="","",INDEX('Per Invoice'!C$2:C$801,$W5)))</f>
        <v/>
      </c>
      <c r="D5">
        <f>IF($W5="","",IF(INDEX('Per Invoice'!D$2:D$801,$W5)="","",INDEX('Per Invoice'!D$2:D$801,$W5)))</f>
        <v/>
      </c>
      <c r="E5">
        <f>IF($W5="","",IF(INDEX('Per Invoice'!E$2:E$801,$W5)="","",INDEX('Per Invoice'!E$2:E$801,$W5)))</f>
        <v/>
      </c>
      <c r="F5">
        <f>IF($W5="","",IF(INDEX('Per Invoice'!F$2:F$801,$W5)="","",INDEX('Per Invoice'!F$2:F$801,$W5)))</f>
        <v/>
      </c>
      <c r="G5">
        <f>IF($W5="","",IF(INDEX('Per Invoice'!G$2:G$801,$W5)="","",INDEX('Per Invoice'!G$2:G$801,$W5)))</f>
        <v/>
      </c>
      <c r="H5">
        <f>IF($W5="","",IF(INDEX('Per Invoice'!H$2:H$801,$W5)="","",INDEX('Per Invoice'!H$2:H$801,$W5)))</f>
        <v/>
      </c>
      <c r="I5">
        <f>IF($W5="","",IF(INDEX('Per Invoice'!I$2:I$801,$W5)="","",INDEX('Per Invoice'!I$2:I$801,$W5)))</f>
        <v/>
      </c>
      <c r="J5">
        <f>IF($W5="","",IF(INDEX('Per Invoice'!J$2:J$801,$W5)="","",INDEX('Per Invoice'!J$2:J$801,$W5)))</f>
        <v/>
      </c>
      <c r="K5" s="7">
        <f>IF($W5="","",IF(INDEX('Per Invoice'!K$2:K$801,$W5)="","",INDEX('Per Invoice'!K$2:K$801,$W5)))</f>
        <v/>
      </c>
      <c r="L5" s="14">
        <f>IF($W5="","",IF(INDEX('Per Invoice'!L$2:L$801,$W5)="","",INDEX('Per Invoice'!L$2:L$801,$W5)))</f>
        <v/>
      </c>
      <c r="M5">
        <f>IF($W5="","",IF(INDEX('Per Invoice'!M$2:M$801,$W5)="","",INDEX('Per Invoice'!M$2:M$801,$W5)))</f>
        <v/>
      </c>
      <c r="N5" s="7">
        <f>IF($W5="","",IF(INDEX('Per Invoice'!N$2:N$801,$W5)="","",INDEX('Per Invoice'!N$2:N$801,$W5)))</f>
        <v/>
      </c>
      <c r="O5" s="7">
        <f>IF($W5="","",IF(INDEX('Per Invoice'!O$2:O$801,$W5)="","",INDEX('Per Invoice'!O$2:O$801,$W5)))</f>
        <v/>
      </c>
      <c r="P5">
        <f>IF($W5="","",IF(INDEX('Per Invoice'!P$2:P$801,$W5)="","",INDEX('Per Invoice'!P$2:P$801,$W5)))</f>
        <v/>
      </c>
      <c r="Q5" s="7">
        <f>IF($W5="","",IF(INDEX('Per Invoice'!Q$2:Q$801,$W5)="","",INDEX('Per Invoice'!Q$2:Q$801,$W5)))</f>
        <v/>
      </c>
      <c r="R5" s="7">
        <f>IF($W5="","",IF(INDEX('Per Invoice'!R$2:R$801,$W5)="","",INDEX('Per Invoice'!R$2:R$801,$W5)))</f>
        <v/>
      </c>
      <c r="S5" s="7">
        <f>IF($W5="","",IF(INDEX('Per Invoice'!S$2:S$801,$W5)="","",INDEX('Per Invoice'!S$2:S$801,$W5)))</f>
        <v/>
      </c>
      <c r="T5" s="7">
        <f>IF($W5="","",IF(INDEX('Per Invoice'!T$2:T$801,$W5)="","",INDEX('Per Invoice'!T$2:T$801,$W5)))</f>
        <v/>
      </c>
      <c r="U5" s="7">
        <f>IF($W5="","",IF(INDEX('Per Invoice'!U$2:U$801,$W5)="","",INDEX('Per Invoice'!U$2:U$801,$W5)))</f>
        <v/>
      </c>
      <c r="V5" s="7">
        <f>IF($W5="","",IF(INDEX('Per Invoice'!V$2:V$801,$W5)="","",INDEX('Per Invoice'!V$2:V$801,$W5)))</f>
        <v/>
      </c>
      <c r="W5" s="16">
        <f>IFERROR(MATCH(Settings!$C$31&amp;"|"&amp;ROWS($W$2:$W5),'Per Invoice'!$X$2:$X$801,0),"")</f>
        <v/>
      </c>
    </row>
    <row r="6">
      <c r="A6">
        <f>IF($W6="","",IF(INDEX('Per Invoice'!A$2:A$801,$W6)="","",INDEX('Per Invoice'!A$2:A$801,$W6)))</f>
        <v/>
      </c>
      <c r="B6">
        <f>IF($W6="","",IF(INDEX('Per Invoice'!B$2:B$801,$W6)="","",INDEX('Per Invoice'!B$2:B$801,$W6)))</f>
        <v/>
      </c>
      <c r="C6">
        <f>IF($W6="","",IF(INDEX('Per Invoice'!C$2:C$801,$W6)="","",INDEX('Per Invoice'!C$2:C$801,$W6)))</f>
        <v/>
      </c>
      <c r="D6">
        <f>IF($W6="","",IF(INDEX('Per Invoice'!D$2:D$801,$W6)="","",INDEX('Per Invoice'!D$2:D$801,$W6)))</f>
        <v/>
      </c>
      <c r="E6">
        <f>IF($W6="","",IF(INDEX('Per Invoice'!E$2:E$801,$W6)="","",INDEX('Per Invoice'!E$2:E$801,$W6)))</f>
        <v/>
      </c>
      <c r="F6">
        <f>IF($W6="","",IF(INDEX('Per Invoice'!F$2:F$801,$W6)="","",INDEX('Per Invoice'!F$2:F$801,$W6)))</f>
        <v/>
      </c>
      <c r="G6">
        <f>IF($W6="","",IF(INDEX('Per Invoice'!G$2:G$801,$W6)="","",INDEX('Per Invoice'!G$2:G$801,$W6)))</f>
        <v/>
      </c>
      <c r="H6">
        <f>IF($W6="","",IF(INDEX('Per Invoice'!H$2:H$801,$W6)="","",INDEX('Per Invoice'!H$2:H$801,$W6)))</f>
        <v/>
      </c>
      <c r="I6">
        <f>IF($W6="","",IF(INDEX('Per Invoice'!I$2:I$801,$W6)="","",INDEX('Per Invoice'!I$2:I$801,$W6)))</f>
        <v/>
      </c>
      <c r="J6">
        <f>IF($W6="","",IF(INDEX('Per Invoice'!J$2:J$801,$W6)="","",INDEX('Per Invoice'!J$2:J$801,$W6)))</f>
        <v/>
      </c>
      <c r="K6" s="7">
        <f>IF($W6="","",IF(INDEX('Per Invoice'!K$2:K$801,$W6)="","",INDEX('Per Invoice'!K$2:K$801,$W6)))</f>
        <v/>
      </c>
      <c r="L6" s="14">
        <f>IF($W6="","",IF(INDEX('Per Invoice'!L$2:L$801,$W6)="","",INDEX('Per Invoice'!L$2:L$801,$W6)))</f>
        <v/>
      </c>
      <c r="M6">
        <f>IF($W6="","",IF(INDEX('Per Invoice'!M$2:M$801,$W6)="","",INDEX('Per Invoice'!M$2:M$801,$W6)))</f>
        <v/>
      </c>
      <c r="N6" s="7">
        <f>IF($W6="","",IF(INDEX('Per Invoice'!N$2:N$801,$W6)="","",INDEX('Per Invoice'!N$2:N$801,$W6)))</f>
        <v/>
      </c>
      <c r="O6" s="7">
        <f>IF($W6="","",IF(INDEX('Per Invoice'!O$2:O$801,$W6)="","",INDEX('Per Invoice'!O$2:O$801,$W6)))</f>
        <v/>
      </c>
      <c r="P6">
        <f>IF($W6="","",IF(INDEX('Per Invoice'!P$2:P$801,$W6)="","",INDEX('Per Invoice'!P$2:P$801,$W6)))</f>
        <v/>
      </c>
      <c r="Q6" s="7">
        <f>IF($W6="","",IF(INDEX('Per Invoice'!Q$2:Q$801,$W6)="","",INDEX('Per Invoice'!Q$2:Q$801,$W6)))</f>
        <v/>
      </c>
      <c r="R6" s="7">
        <f>IF($W6="","",IF(INDEX('Per Invoice'!R$2:R$801,$W6)="","",INDEX('Per Invoice'!R$2:R$801,$W6)))</f>
        <v/>
      </c>
      <c r="S6" s="7">
        <f>IF($W6="","",IF(INDEX('Per Invoice'!S$2:S$801,$W6)="","",INDEX('Per Invoice'!S$2:S$801,$W6)))</f>
        <v/>
      </c>
      <c r="T6" s="7">
        <f>IF($W6="","",IF(INDEX('Per Invoice'!T$2:T$801,$W6)="","",INDEX('Per Invoice'!T$2:T$801,$W6)))</f>
        <v/>
      </c>
      <c r="U6" s="7">
        <f>IF($W6="","",IF(INDEX('Per Invoice'!U$2:U$801,$W6)="","",INDEX('Per Invoice'!U$2:U$801,$W6)))</f>
        <v/>
      </c>
      <c r="V6" s="7">
        <f>IF($W6="","",IF(INDEX('Per Invoice'!V$2:V$801,$W6)="","",INDEX('Per Invoice'!V$2:V$801,$W6)))</f>
        <v/>
      </c>
      <c r="W6" s="16">
        <f>IFERROR(MATCH(Settings!$C$31&amp;"|"&amp;ROWS($W$2:$W6),'Per Invoice'!$X$2:$X$801,0),"")</f>
        <v/>
      </c>
    </row>
    <row r="7">
      <c r="A7">
        <f>IF($W7="","",IF(INDEX('Per Invoice'!A$2:A$801,$W7)="","",INDEX('Per Invoice'!A$2:A$801,$W7)))</f>
        <v/>
      </c>
      <c r="B7">
        <f>IF($W7="","",IF(INDEX('Per Invoice'!B$2:B$801,$W7)="","",INDEX('Per Invoice'!B$2:B$801,$W7)))</f>
        <v/>
      </c>
      <c r="C7">
        <f>IF($W7="","",IF(INDEX('Per Invoice'!C$2:C$801,$W7)="","",INDEX('Per Invoice'!C$2:C$801,$W7)))</f>
        <v/>
      </c>
      <c r="D7">
        <f>IF($W7="","",IF(INDEX('Per Invoice'!D$2:D$801,$W7)="","",INDEX('Per Invoice'!D$2:D$801,$W7)))</f>
        <v/>
      </c>
      <c r="E7">
        <f>IF($W7="","",IF(INDEX('Per Invoice'!E$2:E$801,$W7)="","",INDEX('Per Invoice'!E$2:E$801,$W7)))</f>
        <v/>
      </c>
      <c r="F7">
        <f>IF($W7="","",IF(INDEX('Per Invoice'!F$2:F$801,$W7)="","",INDEX('Per Invoice'!F$2:F$801,$W7)))</f>
        <v/>
      </c>
      <c r="G7">
        <f>IF($W7="","",IF(INDEX('Per Invoice'!G$2:G$801,$W7)="","",INDEX('Per Invoice'!G$2:G$801,$W7)))</f>
        <v/>
      </c>
      <c r="H7">
        <f>IF($W7="","",IF(INDEX('Per Invoice'!H$2:H$801,$W7)="","",INDEX('Per Invoice'!H$2:H$801,$W7)))</f>
        <v/>
      </c>
      <c r="I7">
        <f>IF($W7="","",IF(INDEX('Per Invoice'!I$2:I$801,$W7)="","",INDEX('Per Invoice'!I$2:I$801,$W7)))</f>
        <v/>
      </c>
      <c r="J7">
        <f>IF($W7="","",IF(INDEX('Per Invoice'!J$2:J$801,$W7)="","",INDEX('Per Invoice'!J$2:J$801,$W7)))</f>
        <v/>
      </c>
      <c r="K7" s="7">
        <f>IF($W7="","",IF(INDEX('Per Invoice'!K$2:K$801,$W7)="","",INDEX('Per Invoice'!K$2:K$801,$W7)))</f>
        <v/>
      </c>
      <c r="L7" s="14">
        <f>IF($W7="","",IF(INDEX('Per Invoice'!L$2:L$801,$W7)="","",INDEX('Per Invoice'!L$2:L$801,$W7)))</f>
        <v/>
      </c>
      <c r="M7">
        <f>IF($W7="","",IF(INDEX('Per Invoice'!M$2:M$801,$W7)="","",INDEX('Per Invoice'!M$2:M$801,$W7)))</f>
        <v/>
      </c>
      <c r="N7" s="7">
        <f>IF($W7="","",IF(INDEX('Per Invoice'!N$2:N$801,$W7)="","",INDEX('Per Invoice'!N$2:N$801,$W7)))</f>
        <v/>
      </c>
      <c r="O7" s="7">
        <f>IF($W7="","",IF(INDEX('Per Invoice'!O$2:O$801,$W7)="","",INDEX('Per Invoice'!O$2:O$801,$W7)))</f>
        <v/>
      </c>
      <c r="P7">
        <f>IF($W7="","",IF(INDEX('Per Invoice'!P$2:P$801,$W7)="","",INDEX('Per Invoice'!P$2:P$801,$W7)))</f>
        <v/>
      </c>
      <c r="Q7" s="7">
        <f>IF($W7="","",IF(INDEX('Per Invoice'!Q$2:Q$801,$W7)="","",INDEX('Per Invoice'!Q$2:Q$801,$W7)))</f>
        <v/>
      </c>
      <c r="R7" s="7">
        <f>IF($W7="","",IF(INDEX('Per Invoice'!R$2:R$801,$W7)="","",INDEX('Per Invoice'!R$2:R$801,$W7)))</f>
        <v/>
      </c>
      <c r="S7" s="7">
        <f>IF($W7="","",IF(INDEX('Per Invoice'!S$2:S$801,$W7)="","",INDEX('Per Invoice'!S$2:S$801,$W7)))</f>
        <v/>
      </c>
      <c r="T7" s="7">
        <f>IF($W7="","",IF(INDEX('Per Invoice'!T$2:T$801,$W7)="","",INDEX('Per Invoice'!T$2:T$801,$W7)))</f>
        <v/>
      </c>
      <c r="U7" s="7">
        <f>IF($W7="","",IF(INDEX('Per Invoice'!U$2:U$801,$W7)="","",INDEX('Per Invoice'!U$2:U$801,$W7)))</f>
        <v/>
      </c>
      <c r="V7" s="7">
        <f>IF($W7="","",IF(INDEX('Per Invoice'!V$2:V$801,$W7)="","",INDEX('Per Invoice'!V$2:V$801,$W7)))</f>
        <v/>
      </c>
      <c r="W7" s="16">
        <f>IFERROR(MATCH(Settings!$C$31&amp;"|"&amp;ROWS($W$2:$W7),'Per Invoice'!$X$2:$X$801,0),"")</f>
        <v/>
      </c>
    </row>
    <row r="8">
      <c r="A8">
        <f>IF($W8="","",IF(INDEX('Per Invoice'!A$2:A$801,$W8)="","",INDEX('Per Invoice'!A$2:A$801,$W8)))</f>
        <v/>
      </c>
      <c r="B8">
        <f>IF($W8="","",IF(INDEX('Per Invoice'!B$2:B$801,$W8)="","",INDEX('Per Invoice'!B$2:B$801,$W8)))</f>
        <v/>
      </c>
      <c r="C8">
        <f>IF($W8="","",IF(INDEX('Per Invoice'!C$2:C$801,$W8)="","",INDEX('Per Invoice'!C$2:C$801,$W8)))</f>
        <v/>
      </c>
      <c r="D8">
        <f>IF($W8="","",IF(INDEX('Per Invoice'!D$2:D$801,$W8)="","",INDEX('Per Invoice'!D$2:D$801,$W8)))</f>
        <v/>
      </c>
      <c r="E8">
        <f>IF($W8="","",IF(INDEX('Per Invoice'!E$2:E$801,$W8)="","",INDEX('Per Invoice'!E$2:E$801,$W8)))</f>
        <v/>
      </c>
      <c r="F8">
        <f>IF($W8="","",IF(INDEX('Per Invoice'!F$2:F$801,$W8)="","",INDEX('Per Invoice'!F$2:F$801,$W8)))</f>
        <v/>
      </c>
      <c r="G8">
        <f>IF($W8="","",IF(INDEX('Per Invoice'!G$2:G$801,$W8)="","",INDEX('Per Invoice'!G$2:G$801,$W8)))</f>
        <v/>
      </c>
      <c r="H8">
        <f>IF($W8="","",IF(INDEX('Per Invoice'!H$2:H$801,$W8)="","",INDEX('Per Invoice'!H$2:H$801,$W8)))</f>
        <v/>
      </c>
      <c r="I8">
        <f>IF($W8="","",IF(INDEX('Per Invoice'!I$2:I$801,$W8)="","",INDEX('Per Invoice'!I$2:I$801,$W8)))</f>
        <v/>
      </c>
      <c r="J8">
        <f>IF($W8="","",IF(INDEX('Per Invoice'!J$2:J$801,$W8)="","",INDEX('Per Invoice'!J$2:J$801,$W8)))</f>
        <v/>
      </c>
      <c r="K8" s="7">
        <f>IF($W8="","",IF(INDEX('Per Invoice'!K$2:K$801,$W8)="","",INDEX('Per Invoice'!K$2:K$801,$W8)))</f>
        <v/>
      </c>
      <c r="L8" s="14">
        <f>IF($W8="","",IF(INDEX('Per Invoice'!L$2:L$801,$W8)="","",INDEX('Per Invoice'!L$2:L$801,$W8)))</f>
        <v/>
      </c>
      <c r="M8">
        <f>IF($W8="","",IF(INDEX('Per Invoice'!M$2:M$801,$W8)="","",INDEX('Per Invoice'!M$2:M$801,$W8)))</f>
        <v/>
      </c>
      <c r="N8" s="7">
        <f>IF($W8="","",IF(INDEX('Per Invoice'!N$2:N$801,$W8)="","",INDEX('Per Invoice'!N$2:N$801,$W8)))</f>
        <v/>
      </c>
      <c r="O8" s="7">
        <f>IF($W8="","",IF(INDEX('Per Invoice'!O$2:O$801,$W8)="","",INDEX('Per Invoice'!O$2:O$801,$W8)))</f>
        <v/>
      </c>
      <c r="P8">
        <f>IF($W8="","",IF(INDEX('Per Invoice'!P$2:P$801,$W8)="","",INDEX('Per Invoice'!P$2:P$801,$W8)))</f>
        <v/>
      </c>
      <c r="Q8" s="7">
        <f>IF($W8="","",IF(INDEX('Per Invoice'!Q$2:Q$801,$W8)="","",INDEX('Per Invoice'!Q$2:Q$801,$W8)))</f>
        <v/>
      </c>
      <c r="R8" s="7">
        <f>IF($W8="","",IF(INDEX('Per Invoice'!R$2:R$801,$W8)="","",INDEX('Per Invoice'!R$2:R$801,$W8)))</f>
        <v/>
      </c>
      <c r="S8" s="7">
        <f>IF($W8="","",IF(INDEX('Per Invoice'!S$2:S$801,$W8)="","",INDEX('Per Invoice'!S$2:S$801,$W8)))</f>
        <v/>
      </c>
      <c r="T8" s="7">
        <f>IF($W8="","",IF(INDEX('Per Invoice'!T$2:T$801,$W8)="","",INDEX('Per Invoice'!T$2:T$801,$W8)))</f>
        <v/>
      </c>
      <c r="U8" s="7">
        <f>IF($W8="","",IF(INDEX('Per Invoice'!U$2:U$801,$W8)="","",INDEX('Per Invoice'!U$2:U$801,$W8)))</f>
        <v/>
      </c>
      <c r="V8" s="7">
        <f>IF($W8="","",IF(INDEX('Per Invoice'!V$2:V$801,$W8)="","",INDEX('Per Invoice'!V$2:V$801,$W8)))</f>
        <v/>
      </c>
      <c r="W8" s="16">
        <f>IFERROR(MATCH(Settings!$C$31&amp;"|"&amp;ROWS($W$2:$W8),'Per Invoice'!$X$2:$X$801,0),"")</f>
        <v/>
      </c>
    </row>
    <row r="9">
      <c r="A9">
        <f>IF($W9="","",IF(INDEX('Per Invoice'!A$2:A$801,$W9)="","",INDEX('Per Invoice'!A$2:A$801,$W9)))</f>
        <v/>
      </c>
      <c r="B9">
        <f>IF($W9="","",IF(INDEX('Per Invoice'!B$2:B$801,$W9)="","",INDEX('Per Invoice'!B$2:B$801,$W9)))</f>
        <v/>
      </c>
      <c r="C9">
        <f>IF($W9="","",IF(INDEX('Per Invoice'!C$2:C$801,$W9)="","",INDEX('Per Invoice'!C$2:C$801,$W9)))</f>
        <v/>
      </c>
      <c r="D9">
        <f>IF($W9="","",IF(INDEX('Per Invoice'!D$2:D$801,$W9)="","",INDEX('Per Invoice'!D$2:D$801,$W9)))</f>
        <v/>
      </c>
      <c r="E9">
        <f>IF($W9="","",IF(INDEX('Per Invoice'!E$2:E$801,$W9)="","",INDEX('Per Invoice'!E$2:E$801,$W9)))</f>
        <v/>
      </c>
      <c r="F9">
        <f>IF($W9="","",IF(INDEX('Per Invoice'!F$2:F$801,$W9)="","",INDEX('Per Invoice'!F$2:F$801,$W9)))</f>
        <v/>
      </c>
      <c r="G9">
        <f>IF($W9="","",IF(INDEX('Per Invoice'!G$2:G$801,$W9)="","",INDEX('Per Invoice'!G$2:G$801,$W9)))</f>
        <v/>
      </c>
      <c r="H9">
        <f>IF($W9="","",IF(INDEX('Per Invoice'!H$2:H$801,$W9)="","",INDEX('Per Invoice'!H$2:H$801,$W9)))</f>
        <v/>
      </c>
      <c r="I9">
        <f>IF($W9="","",IF(INDEX('Per Invoice'!I$2:I$801,$W9)="","",INDEX('Per Invoice'!I$2:I$801,$W9)))</f>
        <v/>
      </c>
      <c r="J9">
        <f>IF($W9="","",IF(INDEX('Per Invoice'!J$2:J$801,$W9)="","",INDEX('Per Invoice'!J$2:J$801,$W9)))</f>
        <v/>
      </c>
      <c r="K9" s="7">
        <f>IF($W9="","",IF(INDEX('Per Invoice'!K$2:K$801,$W9)="","",INDEX('Per Invoice'!K$2:K$801,$W9)))</f>
        <v/>
      </c>
      <c r="L9" s="14">
        <f>IF($W9="","",IF(INDEX('Per Invoice'!L$2:L$801,$W9)="","",INDEX('Per Invoice'!L$2:L$801,$W9)))</f>
        <v/>
      </c>
      <c r="M9">
        <f>IF($W9="","",IF(INDEX('Per Invoice'!M$2:M$801,$W9)="","",INDEX('Per Invoice'!M$2:M$801,$W9)))</f>
        <v/>
      </c>
      <c r="N9" s="7">
        <f>IF($W9="","",IF(INDEX('Per Invoice'!N$2:N$801,$W9)="","",INDEX('Per Invoice'!N$2:N$801,$W9)))</f>
        <v/>
      </c>
      <c r="O9" s="7">
        <f>IF($W9="","",IF(INDEX('Per Invoice'!O$2:O$801,$W9)="","",INDEX('Per Invoice'!O$2:O$801,$W9)))</f>
        <v/>
      </c>
      <c r="P9">
        <f>IF($W9="","",IF(INDEX('Per Invoice'!P$2:P$801,$W9)="","",INDEX('Per Invoice'!P$2:P$801,$W9)))</f>
        <v/>
      </c>
      <c r="Q9" s="7">
        <f>IF($W9="","",IF(INDEX('Per Invoice'!Q$2:Q$801,$W9)="","",INDEX('Per Invoice'!Q$2:Q$801,$W9)))</f>
        <v/>
      </c>
      <c r="R9" s="7">
        <f>IF($W9="","",IF(INDEX('Per Invoice'!R$2:R$801,$W9)="","",INDEX('Per Invoice'!R$2:R$801,$W9)))</f>
        <v/>
      </c>
      <c r="S9" s="7">
        <f>IF($W9="","",IF(INDEX('Per Invoice'!S$2:S$801,$W9)="","",INDEX('Per Invoice'!S$2:S$801,$W9)))</f>
        <v/>
      </c>
      <c r="T9" s="7">
        <f>IF($W9="","",IF(INDEX('Per Invoice'!T$2:T$801,$W9)="","",INDEX('Per Invoice'!T$2:T$801,$W9)))</f>
        <v/>
      </c>
      <c r="U9" s="7">
        <f>IF($W9="","",IF(INDEX('Per Invoice'!U$2:U$801,$W9)="","",INDEX('Per Invoice'!U$2:U$801,$W9)))</f>
        <v/>
      </c>
      <c r="V9" s="7">
        <f>IF($W9="","",IF(INDEX('Per Invoice'!V$2:V$801,$W9)="","",INDEX('Per Invoice'!V$2:V$801,$W9)))</f>
        <v/>
      </c>
      <c r="W9" s="16">
        <f>IFERROR(MATCH(Settings!$C$31&amp;"|"&amp;ROWS($W$2:$W9),'Per Invoice'!$X$2:$X$801,0),"")</f>
        <v/>
      </c>
    </row>
    <row r="10">
      <c r="A10">
        <f>IF($W10="","",IF(INDEX('Per Invoice'!A$2:A$801,$W10)="","",INDEX('Per Invoice'!A$2:A$801,$W10)))</f>
        <v/>
      </c>
      <c r="B10">
        <f>IF($W10="","",IF(INDEX('Per Invoice'!B$2:B$801,$W10)="","",INDEX('Per Invoice'!B$2:B$801,$W10)))</f>
        <v/>
      </c>
      <c r="C10">
        <f>IF($W10="","",IF(INDEX('Per Invoice'!C$2:C$801,$W10)="","",INDEX('Per Invoice'!C$2:C$801,$W10)))</f>
        <v/>
      </c>
      <c r="D10">
        <f>IF($W10="","",IF(INDEX('Per Invoice'!D$2:D$801,$W10)="","",INDEX('Per Invoice'!D$2:D$801,$W10)))</f>
        <v/>
      </c>
      <c r="E10">
        <f>IF($W10="","",IF(INDEX('Per Invoice'!E$2:E$801,$W10)="","",INDEX('Per Invoice'!E$2:E$801,$W10)))</f>
        <v/>
      </c>
      <c r="F10">
        <f>IF($W10="","",IF(INDEX('Per Invoice'!F$2:F$801,$W10)="","",INDEX('Per Invoice'!F$2:F$801,$W10)))</f>
        <v/>
      </c>
      <c r="G10">
        <f>IF($W10="","",IF(INDEX('Per Invoice'!G$2:G$801,$W10)="","",INDEX('Per Invoice'!G$2:G$801,$W10)))</f>
        <v/>
      </c>
      <c r="H10">
        <f>IF($W10="","",IF(INDEX('Per Invoice'!H$2:H$801,$W10)="","",INDEX('Per Invoice'!H$2:H$801,$W10)))</f>
        <v/>
      </c>
      <c r="I10">
        <f>IF($W10="","",IF(INDEX('Per Invoice'!I$2:I$801,$W10)="","",INDEX('Per Invoice'!I$2:I$801,$W10)))</f>
        <v/>
      </c>
      <c r="J10">
        <f>IF($W10="","",IF(INDEX('Per Invoice'!J$2:J$801,$W10)="","",INDEX('Per Invoice'!J$2:J$801,$W10)))</f>
        <v/>
      </c>
      <c r="K10" s="7">
        <f>IF($W10="","",IF(INDEX('Per Invoice'!K$2:K$801,$W10)="","",INDEX('Per Invoice'!K$2:K$801,$W10)))</f>
        <v/>
      </c>
      <c r="L10" s="14">
        <f>IF($W10="","",IF(INDEX('Per Invoice'!L$2:L$801,$W10)="","",INDEX('Per Invoice'!L$2:L$801,$W10)))</f>
        <v/>
      </c>
      <c r="M10">
        <f>IF($W10="","",IF(INDEX('Per Invoice'!M$2:M$801,$W10)="","",INDEX('Per Invoice'!M$2:M$801,$W10)))</f>
        <v/>
      </c>
      <c r="N10" s="7">
        <f>IF($W10="","",IF(INDEX('Per Invoice'!N$2:N$801,$W10)="","",INDEX('Per Invoice'!N$2:N$801,$W10)))</f>
        <v/>
      </c>
      <c r="O10" s="7">
        <f>IF($W10="","",IF(INDEX('Per Invoice'!O$2:O$801,$W10)="","",INDEX('Per Invoice'!O$2:O$801,$W10)))</f>
        <v/>
      </c>
      <c r="P10">
        <f>IF($W10="","",IF(INDEX('Per Invoice'!P$2:P$801,$W10)="","",INDEX('Per Invoice'!P$2:P$801,$W10)))</f>
        <v/>
      </c>
      <c r="Q10" s="7">
        <f>IF($W10="","",IF(INDEX('Per Invoice'!Q$2:Q$801,$W10)="","",INDEX('Per Invoice'!Q$2:Q$801,$W10)))</f>
        <v/>
      </c>
      <c r="R10" s="7">
        <f>IF($W10="","",IF(INDEX('Per Invoice'!R$2:R$801,$W10)="","",INDEX('Per Invoice'!R$2:R$801,$W10)))</f>
        <v/>
      </c>
      <c r="S10" s="7">
        <f>IF($W10="","",IF(INDEX('Per Invoice'!S$2:S$801,$W10)="","",INDEX('Per Invoice'!S$2:S$801,$W10)))</f>
        <v/>
      </c>
      <c r="T10" s="7">
        <f>IF($W10="","",IF(INDEX('Per Invoice'!T$2:T$801,$W10)="","",INDEX('Per Invoice'!T$2:T$801,$W10)))</f>
        <v/>
      </c>
      <c r="U10" s="7">
        <f>IF($W10="","",IF(INDEX('Per Invoice'!U$2:U$801,$W10)="","",INDEX('Per Invoice'!U$2:U$801,$W10)))</f>
        <v/>
      </c>
      <c r="V10" s="7">
        <f>IF($W10="","",IF(INDEX('Per Invoice'!V$2:V$801,$W10)="","",INDEX('Per Invoice'!V$2:V$801,$W10)))</f>
        <v/>
      </c>
      <c r="W10" s="16">
        <f>IFERROR(MATCH(Settings!$C$31&amp;"|"&amp;ROWS($W$2:$W10),'Per Invoice'!$X$2:$X$801,0),"")</f>
        <v/>
      </c>
    </row>
    <row r="11">
      <c r="A11">
        <f>IF($W11="","",IF(INDEX('Per Invoice'!A$2:A$801,$W11)="","",INDEX('Per Invoice'!A$2:A$801,$W11)))</f>
        <v/>
      </c>
      <c r="B11">
        <f>IF($W11="","",IF(INDEX('Per Invoice'!B$2:B$801,$W11)="","",INDEX('Per Invoice'!B$2:B$801,$W11)))</f>
        <v/>
      </c>
      <c r="C11">
        <f>IF($W11="","",IF(INDEX('Per Invoice'!C$2:C$801,$W11)="","",INDEX('Per Invoice'!C$2:C$801,$W11)))</f>
        <v/>
      </c>
      <c r="D11">
        <f>IF($W11="","",IF(INDEX('Per Invoice'!D$2:D$801,$W11)="","",INDEX('Per Invoice'!D$2:D$801,$W11)))</f>
        <v/>
      </c>
      <c r="E11">
        <f>IF($W11="","",IF(INDEX('Per Invoice'!E$2:E$801,$W11)="","",INDEX('Per Invoice'!E$2:E$801,$W11)))</f>
        <v/>
      </c>
      <c r="F11">
        <f>IF($W11="","",IF(INDEX('Per Invoice'!F$2:F$801,$W11)="","",INDEX('Per Invoice'!F$2:F$801,$W11)))</f>
        <v/>
      </c>
      <c r="G11">
        <f>IF($W11="","",IF(INDEX('Per Invoice'!G$2:G$801,$W11)="","",INDEX('Per Invoice'!G$2:G$801,$W11)))</f>
        <v/>
      </c>
      <c r="H11">
        <f>IF($W11="","",IF(INDEX('Per Invoice'!H$2:H$801,$W11)="","",INDEX('Per Invoice'!H$2:H$801,$W11)))</f>
        <v/>
      </c>
      <c r="I11">
        <f>IF($W11="","",IF(INDEX('Per Invoice'!I$2:I$801,$W11)="","",INDEX('Per Invoice'!I$2:I$801,$W11)))</f>
        <v/>
      </c>
      <c r="J11">
        <f>IF($W11="","",IF(INDEX('Per Invoice'!J$2:J$801,$W11)="","",INDEX('Per Invoice'!J$2:J$801,$W11)))</f>
        <v/>
      </c>
      <c r="K11" s="7">
        <f>IF($W11="","",IF(INDEX('Per Invoice'!K$2:K$801,$W11)="","",INDEX('Per Invoice'!K$2:K$801,$W11)))</f>
        <v/>
      </c>
      <c r="L11" s="14">
        <f>IF($W11="","",IF(INDEX('Per Invoice'!L$2:L$801,$W11)="","",INDEX('Per Invoice'!L$2:L$801,$W11)))</f>
        <v/>
      </c>
      <c r="M11">
        <f>IF($W11="","",IF(INDEX('Per Invoice'!M$2:M$801,$W11)="","",INDEX('Per Invoice'!M$2:M$801,$W11)))</f>
        <v/>
      </c>
      <c r="N11" s="7">
        <f>IF($W11="","",IF(INDEX('Per Invoice'!N$2:N$801,$W11)="","",INDEX('Per Invoice'!N$2:N$801,$W11)))</f>
        <v/>
      </c>
      <c r="O11" s="7">
        <f>IF($W11="","",IF(INDEX('Per Invoice'!O$2:O$801,$W11)="","",INDEX('Per Invoice'!O$2:O$801,$W11)))</f>
        <v/>
      </c>
      <c r="P11">
        <f>IF($W11="","",IF(INDEX('Per Invoice'!P$2:P$801,$W11)="","",INDEX('Per Invoice'!P$2:P$801,$W11)))</f>
        <v/>
      </c>
      <c r="Q11" s="7">
        <f>IF($W11="","",IF(INDEX('Per Invoice'!Q$2:Q$801,$W11)="","",INDEX('Per Invoice'!Q$2:Q$801,$W11)))</f>
        <v/>
      </c>
      <c r="R11" s="7">
        <f>IF($W11="","",IF(INDEX('Per Invoice'!R$2:R$801,$W11)="","",INDEX('Per Invoice'!R$2:R$801,$W11)))</f>
        <v/>
      </c>
      <c r="S11" s="7">
        <f>IF($W11="","",IF(INDEX('Per Invoice'!S$2:S$801,$W11)="","",INDEX('Per Invoice'!S$2:S$801,$W11)))</f>
        <v/>
      </c>
      <c r="T11" s="7">
        <f>IF($W11="","",IF(INDEX('Per Invoice'!T$2:T$801,$W11)="","",INDEX('Per Invoice'!T$2:T$801,$W11)))</f>
        <v/>
      </c>
      <c r="U11" s="7">
        <f>IF($W11="","",IF(INDEX('Per Invoice'!U$2:U$801,$W11)="","",INDEX('Per Invoice'!U$2:U$801,$W11)))</f>
        <v/>
      </c>
      <c r="V11" s="7">
        <f>IF($W11="","",IF(INDEX('Per Invoice'!V$2:V$801,$W11)="","",INDEX('Per Invoice'!V$2:V$801,$W11)))</f>
        <v/>
      </c>
      <c r="W11" s="16">
        <f>IFERROR(MATCH(Settings!$C$31&amp;"|"&amp;ROWS($W$2:$W11),'Per Invoice'!$X$2:$X$801,0),"")</f>
        <v/>
      </c>
    </row>
    <row r="12">
      <c r="A12">
        <f>IF($W12="","",IF(INDEX('Per Invoice'!A$2:A$801,$W12)="","",INDEX('Per Invoice'!A$2:A$801,$W12)))</f>
        <v/>
      </c>
      <c r="B12">
        <f>IF($W12="","",IF(INDEX('Per Invoice'!B$2:B$801,$W12)="","",INDEX('Per Invoice'!B$2:B$801,$W12)))</f>
        <v/>
      </c>
      <c r="C12">
        <f>IF($W12="","",IF(INDEX('Per Invoice'!C$2:C$801,$W12)="","",INDEX('Per Invoice'!C$2:C$801,$W12)))</f>
        <v/>
      </c>
      <c r="D12">
        <f>IF($W12="","",IF(INDEX('Per Invoice'!D$2:D$801,$W12)="","",INDEX('Per Invoice'!D$2:D$801,$W12)))</f>
        <v/>
      </c>
      <c r="E12">
        <f>IF($W12="","",IF(INDEX('Per Invoice'!E$2:E$801,$W12)="","",INDEX('Per Invoice'!E$2:E$801,$W12)))</f>
        <v/>
      </c>
      <c r="F12">
        <f>IF($W12="","",IF(INDEX('Per Invoice'!F$2:F$801,$W12)="","",INDEX('Per Invoice'!F$2:F$801,$W12)))</f>
        <v/>
      </c>
      <c r="G12">
        <f>IF($W12="","",IF(INDEX('Per Invoice'!G$2:G$801,$W12)="","",INDEX('Per Invoice'!G$2:G$801,$W12)))</f>
        <v/>
      </c>
      <c r="H12">
        <f>IF($W12="","",IF(INDEX('Per Invoice'!H$2:H$801,$W12)="","",INDEX('Per Invoice'!H$2:H$801,$W12)))</f>
        <v/>
      </c>
      <c r="I12">
        <f>IF($W12="","",IF(INDEX('Per Invoice'!I$2:I$801,$W12)="","",INDEX('Per Invoice'!I$2:I$801,$W12)))</f>
        <v/>
      </c>
      <c r="J12">
        <f>IF($W12="","",IF(INDEX('Per Invoice'!J$2:J$801,$W12)="","",INDEX('Per Invoice'!J$2:J$801,$W12)))</f>
        <v/>
      </c>
      <c r="K12" s="7">
        <f>IF($W12="","",IF(INDEX('Per Invoice'!K$2:K$801,$W12)="","",INDEX('Per Invoice'!K$2:K$801,$W12)))</f>
        <v/>
      </c>
      <c r="L12" s="14">
        <f>IF($W12="","",IF(INDEX('Per Invoice'!L$2:L$801,$W12)="","",INDEX('Per Invoice'!L$2:L$801,$W12)))</f>
        <v/>
      </c>
      <c r="M12">
        <f>IF($W12="","",IF(INDEX('Per Invoice'!M$2:M$801,$W12)="","",INDEX('Per Invoice'!M$2:M$801,$W12)))</f>
        <v/>
      </c>
      <c r="N12" s="7">
        <f>IF($W12="","",IF(INDEX('Per Invoice'!N$2:N$801,$W12)="","",INDEX('Per Invoice'!N$2:N$801,$W12)))</f>
        <v/>
      </c>
      <c r="O12" s="7">
        <f>IF($W12="","",IF(INDEX('Per Invoice'!O$2:O$801,$W12)="","",INDEX('Per Invoice'!O$2:O$801,$W12)))</f>
        <v/>
      </c>
      <c r="P12">
        <f>IF($W12="","",IF(INDEX('Per Invoice'!P$2:P$801,$W12)="","",INDEX('Per Invoice'!P$2:P$801,$W12)))</f>
        <v/>
      </c>
      <c r="Q12" s="7">
        <f>IF($W12="","",IF(INDEX('Per Invoice'!Q$2:Q$801,$W12)="","",INDEX('Per Invoice'!Q$2:Q$801,$W12)))</f>
        <v/>
      </c>
      <c r="R12" s="7">
        <f>IF($W12="","",IF(INDEX('Per Invoice'!R$2:R$801,$W12)="","",INDEX('Per Invoice'!R$2:R$801,$W12)))</f>
        <v/>
      </c>
      <c r="S12" s="7">
        <f>IF($W12="","",IF(INDEX('Per Invoice'!S$2:S$801,$W12)="","",INDEX('Per Invoice'!S$2:S$801,$W12)))</f>
        <v/>
      </c>
      <c r="T12" s="7">
        <f>IF($W12="","",IF(INDEX('Per Invoice'!T$2:T$801,$W12)="","",INDEX('Per Invoice'!T$2:T$801,$W12)))</f>
        <v/>
      </c>
      <c r="U12" s="7">
        <f>IF($W12="","",IF(INDEX('Per Invoice'!U$2:U$801,$W12)="","",INDEX('Per Invoice'!U$2:U$801,$W12)))</f>
        <v/>
      </c>
      <c r="V12" s="7">
        <f>IF($W12="","",IF(INDEX('Per Invoice'!V$2:V$801,$W12)="","",INDEX('Per Invoice'!V$2:V$801,$W12)))</f>
        <v/>
      </c>
      <c r="W12" s="16">
        <f>IFERROR(MATCH(Settings!$C$31&amp;"|"&amp;ROWS($W$2:$W12),'Per Invoice'!$X$2:$X$801,0),"")</f>
        <v/>
      </c>
    </row>
    <row r="13">
      <c r="A13">
        <f>IF($W13="","",IF(INDEX('Per Invoice'!A$2:A$801,$W13)="","",INDEX('Per Invoice'!A$2:A$801,$W13)))</f>
        <v/>
      </c>
      <c r="B13">
        <f>IF($W13="","",IF(INDEX('Per Invoice'!B$2:B$801,$W13)="","",INDEX('Per Invoice'!B$2:B$801,$W13)))</f>
        <v/>
      </c>
      <c r="C13">
        <f>IF($W13="","",IF(INDEX('Per Invoice'!C$2:C$801,$W13)="","",INDEX('Per Invoice'!C$2:C$801,$W13)))</f>
        <v/>
      </c>
      <c r="D13">
        <f>IF($W13="","",IF(INDEX('Per Invoice'!D$2:D$801,$W13)="","",INDEX('Per Invoice'!D$2:D$801,$W13)))</f>
        <v/>
      </c>
      <c r="E13">
        <f>IF($W13="","",IF(INDEX('Per Invoice'!E$2:E$801,$W13)="","",INDEX('Per Invoice'!E$2:E$801,$W13)))</f>
        <v/>
      </c>
      <c r="F13">
        <f>IF($W13="","",IF(INDEX('Per Invoice'!F$2:F$801,$W13)="","",INDEX('Per Invoice'!F$2:F$801,$W13)))</f>
        <v/>
      </c>
      <c r="G13">
        <f>IF($W13="","",IF(INDEX('Per Invoice'!G$2:G$801,$W13)="","",INDEX('Per Invoice'!G$2:G$801,$W13)))</f>
        <v/>
      </c>
      <c r="H13">
        <f>IF($W13="","",IF(INDEX('Per Invoice'!H$2:H$801,$W13)="","",INDEX('Per Invoice'!H$2:H$801,$W13)))</f>
        <v/>
      </c>
      <c r="I13">
        <f>IF($W13="","",IF(INDEX('Per Invoice'!I$2:I$801,$W13)="","",INDEX('Per Invoice'!I$2:I$801,$W13)))</f>
        <v/>
      </c>
      <c r="J13">
        <f>IF($W13="","",IF(INDEX('Per Invoice'!J$2:J$801,$W13)="","",INDEX('Per Invoice'!J$2:J$801,$W13)))</f>
        <v/>
      </c>
      <c r="K13" s="7">
        <f>IF($W13="","",IF(INDEX('Per Invoice'!K$2:K$801,$W13)="","",INDEX('Per Invoice'!K$2:K$801,$W13)))</f>
        <v/>
      </c>
      <c r="L13" s="14">
        <f>IF($W13="","",IF(INDEX('Per Invoice'!L$2:L$801,$W13)="","",INDEX('Per Invoice'!L$2:L$801,$W13)))</f>
        <v/>
      </c>
      <c r="M13">
        <f>IF($W13="","",IF(INDEX('Per Invoice'!M$2:M$801,$W13)="","",INDEX('Per Invoice'!M$2:M$801,$W13)))</f>
        <v/>
      </c>
      <c r="N13" s="7">
        <f>IF($W13="","",IF(INDEX('Per Invoice'!N$2:N$801,$W13)="","",INDEX('Per Invoice'!N$2:N$801,$W13)))</f>
        <v/>
      </c>
      <c r="O13" s="7">
        <f>IF($W13="","",IF(INDEX('Per Invoice'!O$2:O$801,$W13)="","",INDEX('Per Invoice'!O$2:O$801,$W13)))</f>
        <v/>
      </c>
      <c r="P13">
        <f>IF($W13="","",IF(INDEX('Per Invoice'!P$2:P$801,$W13)="","",INDEX('Per Invoice'!P$2:P$801,$W13)))</f>
        <v/>
      </c>
      <c r="Q13" s="7">
        <f>IF($W13="","",IF(INDEX('Per Invoice'!Q$2:Q$801,$W13)="","",INDEX('Per Invoice'!Q$2:Q$801,$W13)))</f>
        <v/>
      </c>
      <c r="R13" s="7">
        <f>IF($W13="","",IF(INDEX('Per Invoice'!R$2:R$801,$W13)="","",INDEX('Per Invoice'!R$2:R$801,$W13)))</f>
        <v/>
      </c>
      <c r="S13" s="7">
        <f>IF($W13="","",IF(INDEX('Per Invoice'!S$2:S$801,$W13)="","",INDEX('Per Invoice'!S$2:S$801,$W13)))</f>
        <v/>
      </c>
      <c r="T13" s="7">
        <f>IF($W13="","",IF(INDEX('Per Invoice'!T$2:T$801,$W13)="","",INDEX('Per Invoice'!T$2:T$801,$W13)))</f>
        <v/>
      </c>
      <c r="U13" s="7">
        <f>IF($W13="","",IF(INDEX('Per Invoice'!U$2:U$801,$W13)="","",INDEX('Per Invoice'!U$2:U$801,$W13)))</f>
        <v/>
      </c>
      <c r="V13" s="7">
        <f>IF($W13="","",IF(INDEX('Per Invoice'!V$2:V$801,$W13)="","",INDEX('Per Invoice'!V$2:V$801,$W13)))</f>
        <v/>
      </c>
      <c r="W13" s="16">
        <f>IFERROR(MATCH(Settings!$C$31&amp;"|"&amp;ROWS($W$2:$W13),'Per Invoice'!$X$2:$X$801,0),"")</f>
        <v/>
      </c>
    </row>
    <row r="14">
      <c r="A14">
        <f>IF($W14="","",IF(INDEX('Per Invoice'!A$2:A$801,$W14)="","",INDEX('Per Invoice'!A$2:A$801,$W14)))</f>
        <v/>
      </c>
      <c r="B14">
        <f>IF($W14="","",IF(INDEX('Per Invoice'!B$2:B$801,$W14)="","",INDEX('Per Invoice'!B$2:B$801,$W14)))</f>
        <v/>
      </c>
      <c r="C14">
        <f>IF($W14="","",IF(INDEX('Per Invoice'!C$2:C$801,$W14)="","",INDEX('Per Invoice'!C$2:C$801,$W14)))</f>
        <v/>
      </c>
      <c r="D14">
        <f>IF($W14="","",IF(INDEX('Per Invoice'!D$2:D$801,$W14)="","",INDEX('Per Invoice'!D$2:D$801,$W14)))</f>
        <v/>
      </c>
      <c r="E14">
        <f>IF($W14="","",IF(INDEX('Per Invoice'!E$2:E$801,$W14)="","",INDEX('Per Invoice'!E$2:E$801,$W14)))</f>
        <v/>
      </c>
      <c r="F14">
        <f>IF($W14="","",IF(INDEX('Per Invoice'!F$2:F$801,$W14)="","",INDEX('Per Invoice'!F$2:F$801,$W14)))</f>
        <v/>
      </c>
      <c r="G14">
        <f>IF($W14="","",IF(INDEX('Per Invoice'!G$2:G$801,$W14)="","",INDEX('Per Invoice'!G$2:G$801,$W14)))</f>
        <v/>
      </c>
      <c r="H14">
        <f>IF($W14="","",IF(INDEX('Per Invoice'!H$2:H$801,$W14)="","",INDEX('Per Invoice'!H$2:H$801,$W14)))</f>
        <v/>
      </c>
      <c r="I14">
        <f>IF($W14="","",IF(INDEX('Per Invoice'!I$2:I$801,$W14)="","",INDEX('Per Invoice'!I$2:I$801,$W14)))</f>
        <v/>
      </c>
      <c r="J14">
        <f>IF($W14="","",IF(INDEX('Per Invoice'!J$2:J$801,$W14)="","",INDEX('Per Invoice'!J$2:J$801,$W14)))</f>
        <v/>
      </c>
      <c r="K14" s="7">
        <f>IF($W14="","",IF(INDEX('Per Invoice'!K$2:K$801,$W14)="","",INDEX('Per Invoice'!K$2:K$801,$W14)))</f>
        <v/>
      </c>
      <c r="L14" s="14">
        <f>IF($W14="","",IF(INDEX('Per Invoice'!L$2:L$801,$W14)="","",INDEX('Per Invoice'!L$2:L$801,$W14)))</f>
        <v/>
      </c>
      <c r="M14">
        <f>IF($W14="","",IF(INDEX('Per Invoice'!M$2:M$801,$W14)="","",INDEX('Per Invoice'!M$2:M$801,$W14)))</f>
        <v/>
      </c>
      <c r="N14" s="7">
        <f>IF($W14="","",IF(INDEX('Per Invoice'!N$2:N$801,$W14)="","",INDEX('Per Invoice'!N$2:N$801,$W14)))</f>
        <v/>
      </c>
      <c r="O14" s="7">
        <f>IF($W14="","",IF(INDEX('Per Invoice'!O$2:O$801,$W14)="","",INDEX('Per Invoice'!O$2:O$801,$W14)))</f>
        <v/>
      </c>
      <c r="P14">
        <f>IF($W14="","",IF(INDEX('Per Invoice'!P$2:P$801,$W14)="","",INDEX('Per Invoice'!P$2:P$801,$W14)))</f>
        <v/>
      </c>
      <c r="Q14" s="7">
        <f>IF($W14="","",IF(INDEX('Per Invoice'!Q$2:Q$801,$W14)="","",INDEX('Per Invoice'!Q$2:Q$801,$W14)))</f>
        <v/>
      </c>
      <c r="R14" s="7">
        <f>IF($W14="","",IF(INDEX('Per Invoice'!R$2:R$801,$W14)="","",INDEX('Per Invoice'!R$2:R$801,$W14)))</f>
        <v/>
      </c>
      <c r="S14" s="7">
        <f>IF($W14="","",IF(INDEX('Per Invoice'!S$2:S$801,$W14)="","",INDEX('Per Invoice'!S$2:S$801,$W14)))</f>
        <v/>
      </c>
      <c r="T14" s="7">
        <f>IF($W14="","",IF(INDEX('Per Invoice'!T$2:T$801,$W14)="","",INDEX('Per Invoice'!T$2:T$801,$W14)))</f>
        <v/>
      </c>
      <c r="U14" s="7">
        <f>IF($W14="","",IF(INDEX('Per Invoice'!U$2:U$801,$W14)="","",INDEX('Per Invoice'!U$2:U$801,$W14)))</f>
        <v/>
      </c>
      <c r="V14" s="7">
        <f>IF($W14="","",IF(INDEX('Per Invoice'!V$2:V$801,$W14)="","",INDEX('Per Invoice'!V$2:V$801,$W14)))</f>
        <v/>
      </c>
      <c r="W14" s="16">
        <f>IFERROR(MATCH(Settings!$C$31&amp;"|"&amp;ROWS($W$2:$W14),'Per Invoice'!$X$2:$X$801,0),"")</f>
        <v/>
      </c>
    </row>
    <row r="15">
      <c r="A15">
        <f>IF($W15="","",IF(INDEX('Per Invoice'!A$2:A$801,$W15)="","",INDEX('Per Invoice'!A$2:A$801,$W15)))</f>
        <v/>
      </c>
      <c r="B15">
        <f>IF($W15="","",IF(INDEX('Per Invoice'!B$2:B$801,$W15)="","",INDEX('Per Invoice'!B$2:B$801,$W15)))</f>
        <v/>
      </c>
      <c r="C15">
        <f>IF($W15="","",IF(INDEX('Per Invoice'!C$2:C$801,$W15)="","",INDEX('Per Invoice'!C$2:C$801,$W15)))</f>
        <v/>
      </c>
      <c r="D15">
        <f>IF($W15="","",IF(INDEX('Per Invoice'!D$2:D$801,$W15)="","",INDEX('Per Invoice'!D$2:D$801,$W15)))</f>
        <v/>
      </c>
      <c r="E15">
        <f>IF($W15="","",IF(INDEX('Per Invoice'!E$2:E$801,$W15)="","",INDEX('Per Invoice'!E$2:E$801,$W15)))</f>
        <v/>
      </c>
      <c r="F15">
        <f>IF($W15="","",IF(INDEX('Per Invoice'!F$2:F$801,$W15)="","",INDEX('Per Invoice'!F$2:F$801,$W15)))</f>
        <v/>
      </c>
      <c r="G15">
        <f>IF($W15="","",IF(INDEX('Per Invoice'!G$2:G$801,$W15)="","",INDEX('Per Invoice'!G$2:G$801,$W15)))</f>
        <v/>
      </c>
      <c r="H15">
        <f>IF($W15="","",IF(INDEX('Per Invoice'!H$2:H$801,$W15)="","",INDEX('Per Invoice'!H$2:H$801,$W15)))</f>
        <v/>
      </c>
      <c r="I15">
        <f>IF($W15="","",IF(INDEX('Per Invoice'!I$2:I$801,$W15)="","",INDEX('Per Invoice'!I$2:I$801,$W15)))</f>
        <v/>
      </c>
      <c r="J15">
        <f>IF($W15="","",IF(INDEX('Per Invoice'!J$2:J$801,$W15)="","",INDEX('Per Invoice'!J$2:J$801,$W15)))</f>
        <v/>
      </c>
      <c r="K15" s="7">
        <f>IF($W15="","",IF(INDEX('Per Invoice'!K$2:K$801,$W15)="","",INDEX('Per Invoice'!K$2:K$801,$W15)))</f>
        <v/>
      </c>
      <c r="L15" s="14">
        <f>IF($W15="","",IF(INDEX('Per Invoice'!L$2:L$801,$W15)="","",INDEX('Per Invoice'!L$2:L$801,$W15)))</f>
        <v/>
      </c>
      <c r="M15">
        <f>IF($W15="","",IF(INDEX('Per Invoice'!M$2:M$801,$W15)="","",INDEX('Per Invoice'!M$2:M$801,$W15)))</f>
        <v/>
      </c>
      <c r="N15" s="7">
        <f>IF($W15="","",IF(INDEX('Per Invoice'!N$2:N$801,$W15)="","",INDEX('Per Invoice'!N$2:N$801,$W15)))</f>
        <v/>
      </c>
      <c r="O15" s="7">
        <f>IF($W15="","",IF(INDEX('Per Invoice'!O$2:O$801,$W15)="","",INDEX('Per Invoice'!O$2:O$801,$W15)))</f>
        <v/>
      </c>
      <c r="P15">
        <f>IF($W15="","",IF(INDEX('Per Invoice'!P$2:P$801,$W15)="","",INDEX('Per Invoice'!P$2:P$801,$W15)))</f>
        <v/>
      </c>
      <c r="Q15" s="7">
        <f>IF($W15="","",IF(INDEX('Per Invoice'!Q$2:Q$801,$W15)="","",INDEX('Per Invoice'!Q$2:Q$801,$W15)))</f>
        <v/>
      </c>
      <c r="R15" s="7">
        <f>IF($W15="","",IF(INDEX('Per Invoice'!R$2:R$801,$W15)="","",INDEX('Per Invoice'!R$2:R$801,$W15)))</f>
        <v/>
      </c>
      <c r="S15" s="7">
        <f>IF($W15="","",IF(INDEX('Per Invoice'!S$2:S$801,$W15)="","",INDEX('Per Invoice'!S$2:S$801,$W15)))</f>
        <v/>
      </c>
      <c r="T15" s="7">
        <f>IF($W15="","",IF(INDEX('Per Invoice'!T$2:T$801,$W15)="","",INDEX('Per Invoice'!T$2:T$801,$W15)))</f>
        <v/>
      </c>
      <c r="U15" s="7">
        <f>IF($W15="","",IF(INDEX('Per Invoice'!U$2:U$801,$W15)="","",INDEX('Per Invoice'!U$2:U$801,$W15)))</f>
        <v/>
      </c>
      <c r="V15" s="7">
        <f>IF($W15="","",IF(INDEX('Per Invoice'!V$2:V$801,$W15)="","",INDEX('Per Invoice'!V$2:V$801,$W15)))</f>
        <v/>
      </c>
      <c r="W15" s="16">
        <f>IFERROR(MATCH(Settings!$C$31&amp;"|"&amp;ROWS($W$2:$W15),'Per Invoice'!$X$2:$X$801,0),"")</f>
        <v/>
      </c>
    </row>
    <row r="16">
      <c r="A16">
        <f>IF($W16="","",IF(INDEX('Per Invoice'!A$2:A$801,$W16)="","",INDEX('Per Invoice'!A$2:A$801,$W16)))</f>
        <v/>
      </c>
      <c r="B16">
        <f>IF($W16="","",IF(INDEX('Per Invoice'!B$2:B$801,$W16)="","",INDEX('Per Invoice'!B$2:B$801,$W16)))</f>
        <v/>
      </c>
      <c r="C16">
        <f>IF($W16="","",IF(INDEX('Per Invoice'!C$2:C$801,$W16)="","",INDEX('Per Invoice'!C$2:C$801,$W16)))</f>
        <v/>
      </c>
      <c r="D16">
        <f>IF($W16="","",IF(INDEX('Per Invoice'!D$2:D$801,$W16)="","",INDEX('Per Invoice'!D$2:D$801,$W16)))</f>
        <v/>
      </c>
      <c r="E16">
        <f>IF($W16="","",IF(INDEX('Per Invoice'!E$2:E$801,$W16)="","",INDEX('Per Invoice'!E$2:E$801,$W16)))</f>
        <v/>
      </c>
      <c r="F16">
        <f>IF($W16="","",IF(INDEX('Per Invoice'!F$2:F$801,$W16)="","",INDEX('Per Invoice'!F$2:F$801,$W16)))</f>
        <v/>
      </c>
      <c r="G16">
        <f>IF($W16="","",IF(INDEX('Per Invoice'!G$2:G$801,$W16)="","",INDEX('Per Invoice'!G$2:G$801,$W16)))</f>
        <v/>
      </c>
      <c r="H16">
        <f>IF($W16="","",IF(INDEX('Per Invoice'!H$2:H$801,$W16)="","",INDEX('Per Invoice'!H$2:H$801,$W16)))</f>
        <v/>
      </c>
      <c r="I16">
        <f>IF($W16="","",IF(INDEX('Per Invoice'!I$2:I$801,$W16)="","",INDEX('Per Invoice'!I$2:I$801,$W16)))</f>
        <v/>
      </c>
      <c r="J16">
        <f>IF($W16="","",IF(INDEX('Per Invoice'!J$2:J$801,$W16)="","",INDEX('Per Invoice'!J$2:J$801,$W16)))</f>
        <v/>
      </c>
      <c r="K16" s="7">
        <f>IF($W16="","",IF(INDEX('Per Invoice'!K$2:K$801,$W16)="","",INDEX('Per Invoice'!K$2:K$801,$W16)))</f>
        <v/>
      </c>
      <c r="L16" s="14">
        <f>IF($W16="","",IF(INDEX('Per Invoice'!L$2:L$801,$W16)="","",INDEX('Per Invoice'!L$2:L$801,$W16)))</f>
        <v/>
      </c>
      <c r="M16">
        <f>IF($W16="","",IF(INDEX('Per Invoice'!M$2:M$801,$W16)="","",INDEX('Per Invoice'!M$2:M$801,$W16)))</f>
        <v/>
      </c>
      <c r="N16" s="7">
        <f>IF($W16="","",IF(INDEX('Per Invoice'!N$2:N$801,$W16)="","",INDEX('Per Invoice'!N$2:N$801,$W16)))</f>
        <v/>
      </c>
      <c r="O16" s="7">
        <f>IF($W16="","",IF(INDEX('Per Invoice'!O$2:O$801,$W16)="","",INDEX('Per Invoice'!O$2:O$801,$W16)))</f>
        <v/>
      </c>
      <c r="P16">
        <f>IF($W16="","",IF(INDEX('Per Invoice'!P$2:P$801,$W16)="","",INDEX('Per Invoice'!P$2:P$801,$W16)))</f>
        <v/>
      </c>
      <c r="Q16" s="7">
        <f>IF($W16="","",IF(INDEX('Per Invoice'!Q$2:Q$801,$W16)="","",INDEX('Per Invoice'!Q$2:Q$801,$W16)))</f>
        <v/>
      </c>
      <c r="R16" s="7">
        <f>IF($W16="","",IF(INDEX('Per Invoice'!R$2:R$801,$W16)="","",INDEX('Per Invoice'!R$2:R$801,$W16)))</f>
        <v/>
      </c>
      <c r="S16" s="7">
        <f>IF($W16="","",IF(INDEX('Per Invoice'!S$2:S$801,$W16)="","",INDEX('Per Invoice'!S$2:S$801,$W16)))</f>
        <v/>
      </c>
      <c r="T16" s="7">
        <f>IF($W16="","",IF(INDEX('Per Invoice'!T$2:T$801,$W16)="","",INDEX('Per Invoice'!T$2:T$801,$W16)))</f>
        <v/>
      </c>
      <c r="U16" s="7">
        <f>IF($W16="","",IF(INDEX('Per Invoice'!U$2:U$801,$W16)="","",INDEX('Per Invoice'!U$2:U$801,$W16)))</f>
        <v/>
      </c>
      <c r="V16" s="7">
        <f>IF($W16="","",IF(INDEX('Per Invoice'!V$2:V$801,$W16)="","",INDEX('Per Invoice'!V$2:V$801,$W16)))</f>
        <v/>
      </c>
      <c r="W16" s="16">
        <f>IFERROR(MATCH(Settings!$C$31&amp;"|"&amp;ROWS($W$2:$W16),'Per Invoice'!$X$2:$X$801,0),"")</f>
        <v/>
      </c>
    </row>
    <row r="17">
      <c r="A17">
        <f>IF($W17="","",IF(INDEX('Per Invoice'!A$2:A$801,$W17)="","",INDEX('Per Invoice'!A$2:A$801,$W17)))</f>
        <v/>
      </c>
      <c r="B17">
        <f>IF($W17="","",IF(INDEX('Per Invoice'!B$2:B$801,$W17)="","",INDEX('Per Invoice'!B$2:B$801,$W17)))</f>
        <v/>
      </c>
      <c r="C17">
        <f>IF($W17="","",IF(INDEX('Per Invoice'!C$2:C$801,$W17)="","",INDEX('Per Invoice'!C$2:C$801,$W17)))</f>
        <v/>
      </c>
      <c r="D17">
        <f>IF($W17="","",IF(INDEX('Per Invoice'!D$2:D$801,$W17)="","",INDEX('Per Invoice'!D$2:D$801,$W17)))</f>
        <v/>
      </c>
      <c r="E17">
        <f>IF($W17="","",IF(INDEX('Per Invoice'!E$2:E$801,$W17)="","",INDEX('Per Invoice'!E$2:E$801,$W17)))</f>
        <v/>
      </c>
      <c r="F17">
        <f>IF($W17="","",IF(INDEX('Per Invoice'!F$2:F$801,$W17)="","",INDEX('Per Invoice'!F$2:F$801,$W17)))</f>
        <v/>
      </c>
      <c r="G17">
        <f>IF($W17="","",IF(INDEX('Per Invoice'!G$2:G$801,$W17)="","",INDEX('Per Invoice'!G$2:G$801,$W17)))</f>
        <v/>
      </c>
      <c r="H17">
        <f>IF($W17="","",IF(INDEX('Per Invoice'!H$2:H$801,$W17)="","",INDEX('Per Invoice'!H$2:H$801,$W17)))</f>
        <v/>
      </c>
      <c r="I17">
        <f>IF($W17="","",IF(INDEX('Per Invoice'!I$2:I$801,$W17)="","",INDEX('Per Invoice'!I$2:I$801,$W17)))</f>
        <v/>
      </c>
      <c r="J17">
        <f>IF($W17="","",IF(INDEX('Per Invoice'!J$2:J$801,$W17)="","",INDEX('Per Invoice'!J$2:J$801,$W17)))</f>
        <v/>
      </c>
      <c r="K17" s="7">
        <f>IF($W17="","",IF(INDEX('Per Invoice'!K$2:K$801,$W17)="","",INDEX('Per Invoice'!K$2:K$801,$W17)))</f>
        <v/>
      </c>
      <c r="L17" s="14">
        <f>IF($W17="","",IF(INDEX('Per Invoice'!L$2:L$801,$W17)="","",INDEX('Per Invoice'!L$2:L$801,$W17)))</f>
        <v/>
      </c>
      <c r="M17">
        <f>IF($W17="","",IF(INDEX('Per Invoice'!M$2:M$801,$W17)="","",INDEX('Per Invoice'!M$2:M$801,$W17)))</f>
        <v/>
      </c>
      <c r="N17" s="7">
        <f>IF($W17="","",IF(INDEX('Per Invoice'!N$2:N$801,$W17)="","",INDEX('Per Invoice'!N$2:N$801,$W17)))</f>
        <v/>
      </c>
      <c r="O17" s="7">
        <f>IF($W17="","",IF(INDEX('Per Invoice'!O$2:O$801,$W17)="","",INDEX('Per Invoice'!O$2:O$801,$W17)))</f>
        <v/>
      </c>
      <c r="P17">
        <f>IF($W17="","",IF(INDEX('Per Invoice'!P$2:P$801,$W17)="","",INDEX('Per Invoice'!P$2:P$801,$W17)))</f>
        <v/>
      </c>
      <c r="Q17" s="7">
        <f>IF($W17="","",IF(INDEX('Per Invoice'!Q$2:Q$801,$W17)="","",INDEX('Per Invoice'!Q$2:Q$801,$W17)))</f>
        <v/>
      </c>
      <c r="R17" s="7">
        <f>IF($W17="","",IF(INDEX('Per Invoice'!R$2:R$801,$W17)="","",INDEX('Per Invoice'!R$2:R$801,$W17)))</f>
        <v/>
      </c>
      <c r="S17" s="7">
        <f>IF($W17="","",IF(INDEX('Per Invoice'!S$2:S$801,$W17)="","",INDEX('Per Invoice'!S$2:S$801,$W17)))</f>
        <v/>
      </c>
      <c r="T17" s="7">
        <f>IF($W17="","",IF(INDEX('Per Invoice'!T$2:T$801,$W17)="","",INDEX('Per Invoice'!T$2:T$801,$W17)))</f>
        <v/>
      </c>
      <c r="U17" s="7">
        <f>IF($W17="","",IF(INDEX('Per Invoice'!U$2:U$801,$W17)="","",INDEX('Per Invoice'!U$2:U$801,$W17)))</f>
        <v/>
      </c>
      <c r="V17" s="7">
        <f>IF($W17="","",IF(INDEX('Per Invoice'!V$2:V$801,$W17)="","",INDEX('Per Invoice'!V$2:V$801,$W17)))</f>
        <v/>
      </c>
      <c r="W17" s="16">
        <f>IFERROR(MATCH(Settings!$C$31&amp;"|"&amp;ROWS($W$2:$W17),'Per Invoice'!$X$2:$X$801,0),"")</f>
        <v/>
      </c>
    </row>
    <row r="18">
      <c r="A18">
        <f>IF($W18="","",IF(INDEX('Per Invoice'!A$2:A$801,$W18)="","",INDEX('Per Invoice'!A$2:A$801,$W18)))</f>
        <v/>
      </c>
      <c r="B18">
        <f>IF($W18="","",IF(INDEX('Per Invoice'!B$2:B$801,$W18)="","",INDEX('Per Invoice'!B$2:B$801,$W18)))</f>
        <v/>
      </c>
      <c r="C18">
        <f>IF($W18="","",IF(INDEX('Per Invoice'!C$2:C$801,$W18)="","",INDEX('Per Invoice'!C$2:C$801,$W18)))</f>
        <v/>
      </c>
      <c r="D18">
        <f>IF($W18="","",IF(INDEX('Per Invoice'!D$2:D$801,$W18)="","",INDEX('Per Invoice'!D$2:D$801,$W18)))</f>
        <v/>
      </c>
      <c r="E18">
        <f>IF($W18="","",IF(INDEX('Per Invoice'!E$2:E$801,$W18)="","",INDEX('Per Invoice'!E$2:E$801,$W18)))</f>
        <v/>
      </c>
      <c r="F18">
        <f>IF($W18="","",IF(INDEX('Per Invoice'!F$2:F$801,$W18)="","",INDEX('Per Invoice'!F$2:F$801,$W18)))</f>
        <v/>
      </c>
      <c r="G18">
        <f>IF($W18="","",IF(INDEX('Per Invoice'!G$2:G$801,$W18)="","",INDEX('Per Invoice'!G$2:G$801,$W18)))</f>
        <v/>
      </c>
      <c r="H18">
        <f>IF($W18="","",IF(INDEX('Per Invoice'!H$2:H$801,$W18)="","",INDEX('Per Invoice'!H$2:H$801,$W18)))</f>
        <v/>
      </c>
      <c r="I18">
        <f>IF($W18="","",IF(INDEX('Per Invoice'!I$2:I$801,$W18)="","",INDEX('Per Invoice'!I$2:I$801,$W18)))</f>
        <v/>
      </c>
      <c r="J18">
        <f>IF($W18="","",IF(INDEX('Per Invoice'!J$2:J$801,$W18)="","",INDEX('Per Invoice'!J$2:J$801,$W18)))</f>
        <v/>
      </c>
      <c r="K18" s="7">
        <f>IF($W18="","",IF(INDEX('Per Invoice'!K$2:K$801,$W18)="","",INDEX('Per Invoice'!K$2:K$801,$W18)))</f>
        <v/>
      </c>
      <c r="L18" s="14">
        <f>IF($W18="","",IF(INDEX('Per Invoice'!L$2:L$801,$W18)="","",INDEX('Per Invoice'!L$2:L$801,$W18)))</f>
        <v/>
      </c>
      <c r="M18">
        <f>IF($W18="","",IF(INDEX('Per Invoice'!M$2:M$801,$W18)="","",INDEX('Per Invoice'!M$2:M$801,$W18)))</f>
        <v/>
      </c>
      <c r="N18" s="7">
        <f>IF($W18="","",IF(INDEX('Per Invoice'!N$2:N$801,$W18)="","",INDEX('Per Invoice'!N$2:N$801,$W18)))</f>
        <v/>
      </c>
      <c r="O18" s="7">
        <f>IF($W18="","",IF(INDEX('Per Invoice'!O$2:O$801,$W18)="","",INDEX('Per Invoice'!O$2:O$801,$W18)))</f>
        <v/>
      </c>
      <c r="P18">
        <f>IF($W18="","",IF(INDEX('Per Invoice'!P$2:P$801,$W18)="","",INDEX('Per Invoice'!P$2:P$801,$W18)))</f>
        <v/>
      </c>
      <c r="Q18" s="7">
        <f>IF($W18="","",IF(INDEX('Per Invoice'!Q$2:Q$801,$W18)="","",INDEX('Per Invoice'!Q$2:Q$801,$W18)))</f>
        <v/>
      </c>
      <c r="R18" s="7">
        <f>IF($W18="","",IF(INDEX('Per Invoice'!R$2:R$801,$W18)="","",INDEX('Per Invoice'!R$2:R$801,$W18)))</f>
        <v/>
      </c>
      <c r="S18" s="7">
        <f>IF($W18="","",IF(INDEX('Per Invoice'!S$2:S$801,$W18)="","",INDEX('Per Invoice'!S$2:S$801,$W18)))</f>
        <v/>
      </c>
      <c r="T18" s="7">
        <f>IF($W18="","",IF(INDEX('Per Invoice'!T$2:T$801,$W18)="","",INDEX('Per Invoice'!T$2:T$801,$W18)))</f>
        <v/>
      </c>
      <c r="U18" s="7">
        <f>IF($W18="","",IF(INDEX('Per Invoice'!U$2:U$801,$W18)="","",INDEX('Per Invoice'!U$2:U$801,$W18)))</f>
        <v/>
      </c>
      <c r="V18" s="7">
        <f>IF($W18="","",IF(INDEX('Per Invoice'!V$2:V$801,$W18)="","",INDEX('Per Invoice'!V$2:V$801,$W18)))</f>
        <v/>
      </c>
      <c r="W18" s="16">
        <f>IFERROR(MATCH(Settings!$C$31&amp;"|"&amp;ROWS($W$2:$W18),'Per Invoice'!$X$2:$X$801,0),"")</f>
        <v/>
      </c>
    </row>
    <row r="19">
      <c r="A19">
        <f>IF($W19="","",IF(INDEX('Per Invoice'!A$2:A$801,$W19)="","",INDEX('Per Invoice'!A$2:A$801,$W19)))</f>
        <v/>
      </c>
      <c r="B19">
        <f>IF($W19="","",IF(INDEX('Per Invoice'!B$2:B$801,$W19)="","",INDEX('Per Invoice'!B$2:B$801,$W19)))</f>
        <v/>
      </c>
      <c r="C19">
        <f>IF($W19="","",IF(INDEX('Per Invoice'!C$2:C$801,$W19)="","",INDEX('Per Invoice'!C$2:C$801,$W19)))</f>
        <v/>
      </c>
      <c r="D19">
        <f>IF($W19="","",IF(INDEX('Per Invoice'!D$2:D$801,$W19)="","",INDEX('Per Invoice'!D$2:D$801,$W19)))</f>
        <v/>
      </c>
      <c r="E19">
        <f>IF($W19="","",IF(INDEX('Per Invoice'!E$2:E$801,$W19)="","",INDEX('Per Invoice'!E$2:E$801,$W19)))</f>
        <v/>
      </c>
      <c r="F19">
        <f>IF($W19="","",IF(INDEX('Per Invoice'!F$2:F$801,$W19)="","",INDEX('Per Invoice'!F$2:F$801,$W19)))</f>
        <v/>
      </c>
      <c r="G19">
        <f>IF($W19="","",IF(INDEX('Per Invoice'!G$2:G$801,$W19)="","",INDEX('Per Invoice'!G$2:G$801,$W19)))</f>
        <v/>
      </c>
      <c r="H19">
        <f>IF($W19="","",IF(INDEX('Per Invoice'!H$2:H$801,$W19)="","",INDEX('Per Invoice'!H$2:H$801,$W19)))</f>
        <v/>
      </c>
      <c r="I19">
        <f>IF($W19="","",IF(INDEX('Per Invoice'!I$2:I$801,$W19)="","",INDEX('Per Invoice'!I$2:I$801,$W19)))</f>
        <v/>
      </c>
      <c r="J19">
        <f>IF($W19="","",IF(INDEX('Per Invoice'!J$2:J$801,$W19)="","",INDEX('Per Invoice'!J$2:J$801,$W19)))</f>
        <v/>
      </c>
      <c r="K19" s="7">
        <f>IF($W19="","",IF(INDEX('Per Invoice'!K$2:K$801,$W19)="","",INDEX('Per Invoice'!K$2:K$801,$W19)))</f>
        <v/>
      </c>
      <c r="L19" s="14">
        <f>IF($W19="","",IF(INDEX('Per Invoice'!L$2:L$801,$W19)="","",INDEX('Per Invoice'!L$2:L$801,$W19)))</f>
        <v/>
      </c>
      <c r="M19">
        <f>IF($W19="","",IF(INDEX('Per Invoice'!M$2:M$801,$W19)="","",INDEX('Per Invoice'!M$2:M$801,$W19)))</f>
        <v/>
      </c>
      <c r="N19" s="7">
        <f>IF($W19="","",IF(INDEX('Per Invoice'!N$2:N$801,$W19)="","",INDEX('Per Invoice'!N$2:N$801,$W19)))</f>
        <v/>
      </c>
      <c r="O19" s="7">
        <f>IF($W19="","",IF(INDEX('Per Invoice'!O$2:O$801,$W19)="","",INDEX('Per Invoice'!O$2:O$801,$W19)))</f>
        <v/>
      </c>
      <c r="P19">
        <f>IF($W19="","",IF(INDEX('Per Invoice'!P$2:P$801,$W19)="","",INDEX('Per Invoice'!P$2:P$801,$W19)))</f>
        <v/>
      </c>
      <c r="Q19" s="7">
        <f>IF($W19="","",IF(INDEX('Per Invoice'!Q$2:Q$801,$W19)="","",INDEX('Per Invoice'!Q$2:Q$801,$W19)))</f>
        <v/>
      </c>
      <c r="R19" s="7">
        <f>IF($W19="","",IF(INDEX('Per Invoice'!R$2:R$801,$W19)="","",INDEX('Per Invoice'!R$2:R$801,$W19)))</f>
        <v/>
      </c>
      <c r="S19" s="7">
        <f>IF($W19="","",IF(INDEX('Per Invoice'!S$2:S$801,$W19)="","",INDEX('Per Invoice'!S$2:S$801,$W19)))</f>
        <v/>
      </c>
      <c r="T19" s="7">
        <f>IF($W19="","",IF(INDEX('Per Invoice'!T$2:T$801,$W19)="","",INDEX('Per Invoice'!T$2:T$801,$W19)))</f>
        <v/>
      </c>
      <c r="U19" s="7">
        <f>IF($W19="","",IF(INDEX('Per Invoice'!U$2:U$801,$W19)="","",INDEX('Per Invoice'!U$2:U$801,$W19)))</f>
        <v/>
      </c>
      <c r="V19" s="7">
        <f>IF($W19="","",IF(INDEX('Per Invoice'!V$2:V$801,$W19)="","",INDEX('Per Invoice'!V$2:V$801,$W19)))</f>
        <v/>
      </c>
      <c r="W19" s="16">
        <f>IFERROR(MATCH(Settings!$C$31&amp;"|"&amp;ROWS($W$2:$W19),'Per Invoice'!$X$2:$X$801,0),"")</f>
        <v/>
      </c>
    </row>
    <row r="20">
      <c r="A20">
        <f>IF($W20="","",IF(INDEX('Per Invoice'!A$2:A$801,$W20)="","",INDEX('Per Invoice'!A$2:A$801,$W20)))</f>
        <v/>
      </c>
      <c r="B20">
        <f>IF($W20="","",IF(INDEX('Per Invoice'!B$2:B$801,$W20)="","",INDEX('Per Invoice'!B$2:B$801,$W20)))</f>
        <v/>
      </c>
      <c r="C20">
        <f>IF($W20="","",IF(INDEX('Per Invoice'!C$2:C$801,$W20)="","",INDEX('Per Invoice'!C$2:C$801,$W20)))</f>
        <v/>
      </c>
      <c r="D20">
        <f>IF($W20="","",IF(INDEX('Per Invoice'!D$2:D$801,$W20)="","",INDEX('Per Invoice'!D$2:D$801,$W20)))</f>
        <v/>
      </c>
      <c r="E20">
        <f>IF($W20="","",IF(INDEX('Per Invoice'!E$2:E$801,$W20)="","",INDEX('Per Invoice'!E$2:E$801,$W20)))</f>
        <v/>
      </c>
      <c r="F20">
        <f>IF($W20="","",IF(INDEX('Per Invoice'!F$2:F$801,$W20)="","",INDEX('Per Invoice'!F$2:F$801,$W20)))</f>
        <v/>
      </c>
      <c r="G20">
        <f>IF($W20="","",IF(INDEX('Per Invoice'!G$2:G$801,$W20)="","",INDEX('Per Invoice'!G$2:G$801,$W20)))</f>
        <v/>
      </c>
      <c r="H20">
        <f>IF($W20="","",IF(INDEX('Per Invoice'!H$2:H$801,$W20)="","",INDEX('Per Invoice'!H$2:H$801,$W20)))</f>
        <v/>
      </c>
      <c r="I20">
        <f>IF($W20="","",IF(INDEX('Per Invoice'!I$2:I$801,$W20)="","",INDEX('Per Invoice'!I$2:I$801,$W20)))</f>
        <v/>
      </c>
      <c r="J20">
        <f>IF($W20="","",IF(INDEX('Per Invoice'!J$2:J$801,$W20)="","",INDEX('Per Invoice'!J$2:J$801,$W20)))</f>
        <v/>
      </c>
      <c r="K20" s="7">
        <f>IF($W20="","",IF(INDEX('Per Invoice'!K$2:K$801,$W20)="","",INDEX('Per Invoice'!K$2:K$801,$W20)))</f>
        <v/>
      </c>
      <c r="L20" s="14">
        <f>IF($W20="","",IF(INDEX('Per Invoice'!L$2:L$801,$W20)="","",INDEX('Per Invoice'!L$2:L$801,$W20)))</f>
        <v/>
      </c>
      <c r="M20">
        <f>IF($W20="","",IF(INDEX('Per Invoice'!M$2:M$801,$W20)="","",INDEX('Per Invoice'!M$2:M$801,$W20)))</f>
        <v/>
      </c>
      <c r="N20" s="7">
        <f>IF($W20="","",IF(INDEX('Per Invoice'!N$2:N$801,$W20)="","",INDEX('Per Invoice'!N$2:N$801,$W20)))</f>
        <v/>
      </c>
      <c r="O20" s="7">
        <f>IF($W20="","",IF(INDEX('Per Invoice'!O$2:O$801,$W20)="","",INDEX('Per Invoice'!O$2:O$801,$W20)))</f>
        <v/>
      </c>
      <c r="P20">
        <f>IF($W20="","",IF(INDEX('Per Invoice'!P$2:P$801,$W20)="","",INDEX('Per Invoice'!P$2:P$801,$W20)))</f>
        <v/>
      </c>
      <c r="Q20" s="7">
        <f>IF($W20="","",IF(INDEX('Per Invoice'!Q$2:Q$801,$W20)="","",INDEX('Per Invoice'!Q$2:Q$801,$W20)))</f>
        <v/>
      </c>
      <c r="R20" s="7">
        <f>IF($W20="","",IF(INDEX('Per Invoice'!R$2:R$801,$W20)="","",INDEX('Per Invoice'!R$2:R$801,$W20)))</f>
        <v/>
      </c>
      <c r="S20" s="7">
        <f>IF($W20="","",IF(INDEX('Per Invoice'!S$2:S$801,$W20)="","",INDEX('Per Invoice'!S$2:S$801,$W20)))</f>
        <v/>
      </c>
      <c r="T20" s="7">
        <f>IF($W20="","",IF(INDEX('Per Invoice'!T$2:T$801,$W20)="","",INDEX('Per Invoice'!T$2:T$801,$W20)))</f>
        <v/>
      </c>
      <c r="U20" s="7">
        <f>IF($W20="","",IF(INDEX('Per Invoice'!U$2:U$801,$W20)="","",INDEX('Per Invoice'!U$2:U$801,$W20)))</f>
        <v/>
      </c>
      <c r="V20" s="7">
        <f>IF($W20="","",IF(INDEX('Per Invoice'!V$2:V$801,$W20)="","",INDEX('Per Invoice'!V$2:V$801,$W20)))</f>
        <v/>
      </c>
      <c r="W20" s="16">
        <f>IFERROR(MATCH(Settings!$C$31&amp;"|"&amp;ROWS($W$2:$W20),'Per Invoice'!$X$2:$X$801,0),"")</f>
        <v/>
      </c>
    </row>
    <row r="21">
      <c r="A21">
        <f>IF($W21="","",IF(INDEX('Per Invoice'!A$2:A$801,$W21)="","",INDEX('Per Invoice'!A$2:A$801,$W21)))</f>
        <v/>
      </c>
      <c r="B21">
        <f>IF($W21="","",IF(INDEX('Per Invoice'!B$2:B$801,$W21)="","",INDEX('Per Invoice'!B$2:B$801,$W21)))</f>
        <v/>
      </c>
      <c r="C21">
        <f>IF($W21="","",IF(INDEX('Per Invoice'!C$2:C$801,$W21)="","",INDEX('Per Invoice'!C$2:C$801,$W21)))</f>
        <v/>
      </c>
      <c r="D21">
        <f>IF($W21="","",IF(INDEX('Per Invoice'!D$2:D$801,$W21)="","",INDEX('Per Invoice'!D$2:D$801,$W21)))</f>
        <v/>
      </c>
      <c r="E21">
        <f>IF($W21="","",IF(INDEX('Per Invoice'!E$2:E$801,$W21)="","",INDEX('Per Invoice'!E$2:E$801,$W21)))</f>
        <v/>
      </c>
      <c r="F21">
        <f>IF($W21="","",IF(INDEX('Per Invoice'!F$2:F$801,$W21)="","",INDEX('Per Invoice'!F$2:F$801,$W21)))</f>
        <v/>
      </c>
      <c r="G21">
        <f>IF($W21="","",IF(INDEX('Per Invoice'!G$2:G$801,$W21)="","",INDEX('Per Invoice'!G$2:G$801,$W21)))</f>
        <v/>
      </c>
      <c r="H21">
        <f>IF($W21="","",IF(INDEX('Per Invoice'!H$2:H$801,$W21)="","",INDEX('Per Invoice'!H$2:H$801,$W21)))</f>
        <v/>
      </c>
      <c r="I21">
        <f>IF($W21="","",IF(INDEX('Per Invoice'!I$2:I$801,$W21)="","",INDEX('Per Invoice'!I$2:I$801,$W21)))</f>
        <v/>
      </c>
      <c r="J21">
        <f>IF($W21="","",IF(INDEX('Per Invoice'!J$2:J$801,$W21)="","",INDEX('Per Invoice'!J$2:J$801,$W21)))</f>
        <v/>
      </c>
      <c r="K21" s="7">
        <f>IF($W21="","",IF(INDEX('Per Invoice'!K$2:K$801,$W21)="","",INDEX('Per Invoice'!K$2:K$801,$W21)))</f>
        <v/>
      </c>
      <c r="L21" s="14">
        <f>IF($W21="","",IF(INDEX('Per Invoice'!L$2:L$801,$W21)="","",INDEX('Per Invoice'!L$2:L$801,$W21)))</f>
        <v/>
      </c>
      <c r="M21">
        <f>IF($W21="","",IF(INDEX('Per Invoice'!M$2:M$801,$W21)="","",INDEX('Per Invoice'!M$2:M$801,$W21)))</f>
        <v/>
      </c>
      <c r="N21" s="7">
        <f>IF($W21="","",IF(INDEX('Per Invoice'!N$2:N$801,$W21)="","",INDEX('Per Invoice'!N$2:N$801,$W21)))</f>
        <v/>
      </c>
      <c r="O21" s="7">
        <f>IF($W21="","",IF(INDEX('Per Invoice'!O$2:O$801,$W21)="","",INDEX('Per Invoice'!O$2:O$801,$W21)))</f>
        <v/>
      </c>
      <c r="P21">
        <f>IF($W21="","",IF(INDEX('Per Invoice'!P$2:P$801,$W21)="","",INDEX('Per Invoice'!P$2:P$801,$W21)))</f>
        <v/>
      </c>
      <c r="Q21" s="7">
        <f>IF($W21="","",IF(INDEX('Per Invoice'!Q$2:Q$801,$W21)="","",INDEX('Per Invoice'!Q$2:Q$801,$W21)))</f>
        <v/>
      </c>
      <c r="R21" s="7">
        <f>IF($W21="","",IF(INDEX('Per Invoice'!R$2:R$801,$W21)="","",INDEX('Per Invoice'!R$2:R$801,$W21)))</f>
        <v/>
      </c>
      <c r="S21" s="7">
        <f>IF($W21="","",IF(INDEX('Per Invoice'!S$2:S$801,$W21)="","",INDEX('Per Invoice'!S$2:S$801,$W21)))</f>
        <v/>
      </c>
      <c r="T21" s="7">
        <f>IF($W21="","",IF(INDEX('Per Invoice'!T$2:T$801,$W21)="","",INDEX('Per Invoice'!T$2:T$801,$W21)))</f>
        <v/>
      </c>
      <c r="U21" s="7">
        <f>IF($W21="","",IF(INDEX('Per Invoice'!U$2:U$801,$W21)="","",INDEX('Per Invoice'!U$2:U$801,$W21)))</f>
        <v/>
      </c>
      <c r="V21" s="7">
        <f>IF($W21="","",IF(INDEX('Per Invoice'!V$2:V$801,$W21)="","",INDEX('Per Invoice'!V$2:V$801,$W21)))</f>
        <v/>
      </c>
      <c r="W21" s="16">
        <f>IFERROR(MATCH(Settings!$C$31&amp;"|"&amp;ROWS($W$2:$W21),'Per Invoice'!$X$2:$X$801,0),"")</f>
        <v/>
      </c>
    </row>
    <row r="22">
      <c r="A22">
        <f>IF($W22="","",IF(INDEX('Per Invoice'!A$2:A$801,$W22)="","",INDEX('Per Invoice'!A$2:A$801,$W22)))</f>
        <v/>
      </c>
      <c r="B22">
        <f>IF($W22="","",IF(INDEX('Per Invoice'!B$2:B$801,$W22)="","",INDEX('Per Invoice'!B$2:B$801,$W22)))</f>
        <v/>
      </c>
      <c r="C22">
        <f>IF($W22="","",IF(INDEX('Per Invoice'!C$2:C$801,$W22)="","",INDEX('Per Invoice'!C$2:C$801,$W22)))</f>
        <v/>
      </c>
      <c r="D22">
        <f>IF($W22="","",IF(INDEX('Per Invoice'!D$2:D$801,$W22)="","",INDEX('Per Invoice'!D$2:D$801,$W22)))</f>
        <v/>
      </c>
      <c r="E22">
        <f>IF($W22="","",IF(INDEX('Per Invoice'!E$2:E$801,$W22)="","",INDEX('Per Invoice'!E$2:E$801,$W22)))</f>
        <v/>
      </c>
      <c r="F22">
        <f>IF($W22="","",IF(INDEX('Per Invoice'!F$2:F$801,$W22)="","",INDEX('Per Invoice'!F$2:F$801,$W22)))</f>
        <v/>
      </c>
      <c r="G22">
        <f>IF($W22="","",IF(INDEX('Per Invoice'!G$2:G$801,$W22)="","",INDEX('Per Invoice'!G$2:G$801,$W22)))</f>
        <v/>
      </c>
      <c r="H22">
        <f>IF($W22="","",IF(INDEX('Per Invoice'!H$2:H$801,$W22)="","",INDEX('Per Invoice'!H$2:H$801,$W22)))</f>
        <v/>
      </c>
      <c r="I22">
        <f>IF($W22="","",IF(INDEX('Per Invoice'!I$2:I$801,$W22)="","",INDEX('Per Invoice'!I$2:I$801,$W22)))</f>
        <v/>
      </c>
      <c r="J22">
        <f>IF($W22="","",IF(INDEX('Per Invoice'!J$2:J$801,$W22)="","",INDEX('Per Invoice'!J$2:J$801,$W22)))</f>
        <v/>
      </c>
      <c r="K22" s="7">
        <f>IF($W22="","",IF(INDEX('Per Invoice'!K$2:K$801,$W22)="","",INDEX('Per Invoice'!K$2:K$801,$W22)))</f>
        <v/>
      </c>
      <c r="L22" s="14">
        <f>IF($W22="","",IF(INDEX('Per Invoice'!L$2:L$801,$W22)="","",INDEX('Per Invoice'!L$2:L$801,$W22)))</f>
        <v/>
      </c>
      <c r="M22">
        <f>IF($W22="","",IF(INDEX('Per Invoice'!M$2:M$801,$W22)="","",INDEX('Per Invoice'!M$2:M$801,$W22)))</f>
        <v/>
      </c>
      <c r="N22" s="7">
        <f>IF($W22="","",IF(INDEX('Per Invoice'!N$2:N$801,$W22)="","",INDEX('Per Invoice'!N$2:N$801,$W22)))</f>
        <v/>
      </c>
      <c r="O22" s="7">
        <f>IF($W22="","",IF(INDEX('Per Invoice'!O$2:O$801,$W22)="","",INDEX('Per Invoice'!O$2:O$801,$W22)))</f>
        <v/>
      </c>
      <c r="P22">
        <f>IF($W22="","",IF(INDEX('Per Invoice'!P$2:P$801,$W22)="","",INDEX('Per Invoice'!P$2:P$801,$W22)))</f>
        <v/>
      </c>
      <c r="Q22" s="7">
        <f>IF($W22="","",IF(INDEX('Per Invoice'!Q$2:Q$801,$W22)="","",INDEX('Per Invoice'!Q$2:Q$801,$W22)))</f>
        <v/>
      </c>
      <c r="R22" s="7">
        <f>IF($W22="","",IF(INDEX('Per Invoice'!R$2:R$801,$W22)="","",INDEX('Per Invoice'!R$2:R$801,$W22)))</f>
        <v/>
      </c>
      <c r="S22" s="7">
        <f>IF($W22="","",IF(INDEX('Per Invoice'!S$2:S$801,$W22)="","",INDEX('Per Invoice'!S$2:S$801,$W22)))</f>
        <v/>
      </c>
      <c r="T22" s="7">
        <f>IF($W22="","",IF(INDEX('Per Invoice'!T$2:T$801,$W22)="","",INDEX('Per Invoice'!T$2:T$801,$W22)))</f>
        <v/>
      </c>
      <c r="U22" s="7">
        <f>IF($W22="","",IF(INDEX('Per Invoice'!U$2:U$801,$W22)="","",INDEX('Per Invoice'!U$2:U$801,$W22)))</f>
        <v/>
      </c>
      <c r="V22" s="7">
        <f>IF($W22="","",IF(INDEX('Per Invoice'!V$2:V$801,$W22)="","",INDEX('Per Invoice'!V$2:V$801,$W22)))</f>
        <v/>
      </c>
      <c r="W22" s="16">
        <f>IFERROR(MATCH(Settings!$C$31&amp;"|"&amp;ROWS($W$2:$W22),'Per Invoice'!$X$2:$X$801,0),"")</f>
        <v/>
      </c>
    </row>
    <row r="23">
      <c r="A23">
        <f>IF($W23="","",IF(INDEX('Per Invoice'!A$2:A$801,$W23)="","",INDEX('Per Invoice'!A$2:A$801,$W23)))</f>
        <v/>
      </c>
      <c r="B23">
        <f>IF($W23="","",IF(INDEX('Per Invoice'!B$2:B$801,$W23)="","",INDEX('Per Invoice'!B$2:B$801,$W23)))</f>
        <v/>
      </c>
      <c r="C23">
        <f>IF($W23="","",IF(INDEX('Per Invoice'!C$2:C$801,$W23)="","",INDEX('Per Invoice'!C$2:C$801,$W23)))</f>
        <v/>
      </c>
      <c r="D23">
        <f>IF($W23="","",IF(INDEX('Per Invoice'!D$2:D$801,$W23)="","",INDEX('Per Invoice'!D$2:D$801,$W23)))</f>
        <v/>
      </c>
      <c r="E23">
        <f>IF($W23="","",IF(INDEX('Per Invoice'!E$2:E$801,$W23)="","",INDEX('Per Invoice'!E$2:E$801,$W23)))</f>
        <v/>
      </c>
      <c r="F23">
        <f>IF($W23="","",IF(INDEX('Per Invoice'!F$2:F$801,$W23)="","",INDEX('Per Invoice'!F$2:F$801,$W23)))</f>
        <v/>
      </c>
      <c r="G23">
        <f>IF($W23="","",IF(INDEX('Per Invoice'!G$2:G$801,$W23)="","",INDEX('Per Invoice'!G$2:G$801,$W23)))</f>
        <v/>
      </c>
      <c r="H23">
        <f>IF($W23="","",IF(INDEX('Per Invoice'!H$2:H$801,$W23)="","",INDEX('Per Invoice'!H$2:H$801,$W23)))</f>
        <v/>
      </c>
      <c r="I23">
        <f>IF($W23="","",IF(INDEX('Per Invoice'!I$2:I$801,$W23)="","",INDEX('Per Invoice'!I$2:I$801,$W23)))</f>
        <v/>
      </c>
      <c r="J23">
        <f>IF($W23="","",IF(INDEX('Per Invoice'!J$2:J$801,$W23)="","",INDEX('Per Invoice'!J$2:J$801,$W23)))</f>
        <v/>
      </c>
      <c r="K23" s="7">
        <f>IF($W23="","",IF(INDEX('Per Invoice'!K$2:K$801,$W23)="","",INDEX('Per Invoice'!K$2:K$801,$W23)))</f>
        <v/>
      </c>
      <c r="L23" s="14">
        <f>IF($W23="","",IF(INDEX('Per Invoice'!L$2:L$801,$W23)="","",INDEX('Per Invoice'!L$2:L$801,$W23)))</f>
        <v/>
      </c>
      <c r="M23">
        <f>IF($W23="","",IF(INDEX('Per Invoice'!M$2:M$801,$W23)="","",INDEX('Per Invoice'!M$2:M$801,$W23)))</f>
        <v/>
      </c>
      <c r="N23" s="7">
        <f>IF($W23="","",IF(INDEX('Per Invoice'!N$2:N$801,$W23)="","",INDEX('Per Invoice'!N$2:N$801,$W23)))</f>
        <v/>
      </c>
      <c r="O23" s="7">
        <f>IF($W23="","",IF(INDEX('Per Invoice'!O$2:O$801,$W23)="","",INDEX('Per Invoice'!O$2:O$801,$W23)))</f>
        <v/>
      </c>
      <c r="P23">
        <f>IF($W23="","",IF(INDEX('Per Invoice'!P$2:P$801,$W23)="","",INDEX('Per Invoice'!P$2:P$801,$W23)))</f>
        <v/>
      </c>
      <c r="Q23" s="7">
        <f>IF($W23="","",IF(INDEX('Per Invoice'!Q$2:Q$801,$W23)="","",INDEX('Per Invoice'!Q$2:Q$801,$W23)))</f>
        <v/>
      </c>
      <c r="R23" s="7">
        <f>IF($W23="","",IF(INDEX('Per Invoice'!R$2:R$801,$W23)="","",INDEX('Per Invoice'!R$2:R$801,$W23)))</f>
        <v/>
      </c>
      <c r="S23" s="7">
        <f>IF($W23="","",IF(INDEX('Per Invoice'!S$2:S$801,$W23)="","",INDEX('Per Invoice'!S$2:S$801,$W23)))</f>
        <v/>
      </c>
      <c r="T23" s="7">
        <f>IF($W23="","",IF(INDEX('Per Invoice'!T$2:T$801,$W23)="","",INDEX('Per Invoice'!T$2:T$801,$W23)))</f>
        <v/>
      </c>
      <c r="U23" s="7">
        <f>IF($W23="","",IF(INDEX('Per Invoice'!U$2:U$801,$W23)="","",INDEX('Per Invoice'!U$2:U$801,$W23)))</f>
        <v/>
      </c>
      <c r="V23" s="7">
        <f>IF($W23="","",IF(INDEX('Per Invoice'!V$2:V$801,$W23)="","",INDEX('Per Invoice'!V$2:V$801,$W23)))</f>
        <v/>
      </c>
      <c r="W23" s="16">
        <f>IFERROR(MATCH(Settings!$C$31&amp;"|"&amp;ROWS($W$2:$W23),'Per Invoice'!$X$2:$X$801,0),"")</f>
        <v/>
      </c>
    </row>
    <row r="24">
      <c r="A24">
        <f>IF($W24="","",IF(INDEX('Per Invoice'!A$2:A$801,$W24)="","",INDEX('Per Invoice'!A$2:A$801,$W24)))</f>
        <v/>
      </c>
      <c r="B24">
        <f>IF($W24="","",IF(INDEX('Per Invoice'!B$2:B$801,$W24)="","",INDEX('Per Invoice'!B$2:B$801,$W24)))</f>
        <v/>
      </c>
      <c r="C24">
        <f>IF($W24="","",IF(INDEX('Per Invoice'!C$2:C$801,$W24)="","",INDEX('Per Invoice'!C$2:C$801,$W24)))</f>
        <v/>
      </c>
      <c r="D24">
        <f>IF($W24="","",IF(INDEX('Per Invoice'!D$2:D$801,$W24)="","",INDEX('Per Invoice'!D$2:D$801,$W24)))</f>
        <v/>
      </c>
      <c r="E24">
        <f>IF($W24="","",IF(INDEX('Per Invoice'!E$2:E$801,$W24)="","",INDEX('Per Invoice'!E$2:E$801,$W24)))</f>
        <v/>
      </c>
      <c r="F24">
        <f>IF($W24="","",IF(INDEX('Per Invoice'!F$2:F$801,$W24)="","",INDEX('Per Invoice'!F$2:F$801,$W24)))</f>
        <v/>
      </c>
      <c r="G24">
        <f>IF($W24="","",IF(INDEX('Per Invoice'!G$2:G$801,$W24)="","",INDEX('Per Invoice'!G$2:G$801,$W24)))</f>
        <v/>
      </c>
      <c r="H24">
        <f>IF($W24="","",IF(INDEX('Per Invoice'!H$2:H$801,$W24)="","",INDEX('Per Invoice'!H$2:H$801,$W24)))</f>
        <v/>
      </c>
      <c r="I24">
        <f>IF($W24="","",IF(INDEX('Per Invoice'!I$2:I$801,$W24)="","",INDEX('Per Invoice'!I$2:I$801,$W24)))</f>
        <v/>
      </c>
      <c r="J24">
        <f>IF($W24="","",IF(INDEX('Per Invoice'!J$2:J$801,$W24)="","",INDEX('Per Invoice'!J$2:J$801,$W24)))</f>
        <v/>
      </c>
      <c r="K24" s="7">
        <f>IF($W24="","",IF(INDEX('Per Invoice'!K$2:K$801,$W24)="","",INDEX('Per Invoice'!K$2:K$801,$W24)))</f>
        <v/>
      </c>
      <c r="L24" s="14">
        <f>IF($W24="","",IF(INDEX('Per Invoice'!L$2:L$801,$W24)="","",INDEX('Per Invoice'!L$2:L$801,$W24)))</f>
        <v/>
      </c>
      <c r="M24">
        <f>IF($W24="","",IF(INDEX('Per Invoice'!M$2:M$801,$W24)="","",INDEX('Per Invoice'!M$2:M$801,$W24)))</f>
        <v/>
      </c>
      <c r="N24" s="7">
        <f>IF($W24="","",IF(INDEX('Per Invoice'!N$2:N$801,$W24)="","",INDEX('Per Invoice'!N$2:N$801,$W24)))</f>
        <v/>
      </c>
      <c r="O24" s="7">
        <f>IF($W24="","",IF(INDEX('Per Invoice'!O$2:O$801,$W24)="","",INDEX('Per Invoice'!O$2:O$801,$W24)))</f>
        <v/>
      </c>
      <c r="P24">
        <f>IF($W24="","",IF(INDEX('Per Invoice'!P$2:P$801,$W24)="","",INDEX('Per Invoice'!P$2:P$801,$W24)))</f>
        <v/>
      </c>
      <c r="Q24" s="7">
        <f>IF($W24="","",IF(INDEX('Per Invoice'!Q$2:Q$801,$W24)="","",INDEX('Per Invoice'!Q$2:Q$801,$W24)))</f>
        <v/>
      </c>
      <c r="R24" s="7">
        <f>IF($W24="","",IF(INDEX('Per Invoice'!R$2:R$801,$W24)="","",INDEX('Per Invoice'!R$2:R$801,$W24)))</f>
        <v/>
      </c>
      <c r="S24" s="7">
        <f>IF($W24="","",IF(INDEX('Per Invoice'!S$2:S$801,$W24)="","",INDEX('Per Invoice'!S$2:S$801,$W24)))</f>
        <v/>
      </c>
      <c r="T24" s="7">
        <f>IF($W24="","",IF(INDEX('Per Invoice'!T$2:T$801,$W24)="","",INDEX('Per Invoice'!T$2:T$801,$W24)))</f>
        <v/>
      </c>
      <c r="U24" s="7">
        <f>IF($W24="","",IF(INDEX('Per Invoice'!U$2:U$801,$W24)="","",INDEX('Per Invoice'!U$2:U$801,$W24)))</f>
        <v/>
      </c>
      <c r="V24" s="7">
        <f>IF($W24="","",IF(INDEX('Per Invoice'!V$2:V$801,$W24)="","",INDEX('Per Invoice'!V$2:V$801,$W24)))</f>
        <v/>
      </c>
      <c r="W24" s="16">
        <f>IFERROR(MATCH(Settings!$C$31&amp;"|"&amp;ROWS($W$2:$W24),'Per Invoice'!$X$2:$X$801,0),"")</f>
        <v/>
      </c>
    </row>
    <row r="25">
      <c r="A25">
        <f>IF($W25="","",IF(INDEX('Per Invoice'!A$2:A$801,$W25)="","",INDEX('Per Invoice'!A$2:A$801,$W25)))</f>
        <v/>
      </c>
      <c r="B25">
        <f>IF($W25="","",IF(INDEX('Per Invoice'!B$2:B$801,$W25)="","",INDEX('Per Invoice'!B$2:B$801,$W25)))</f>
        <v/>
      </c>
      <c r="C25">
        <f>IF($W25="","",IF(INDEX('Per Invoice'!C$2:C$801,$W25)="","",INDEX('Per Invoice'!C$2:C$801,$W25)))</f>
        <v/>
      </c>
      <c r="D25">
        <f>IF($W25="","",IF(INDEX('Per Invoice'!D$2:D$801,$W25)="","",INDEX('Per Invoice'!D$2:D$801,$W25)))</f>
        <v/>
      </c>
      <c r="E25">
        <f>IF($W25="","",IF(INDEX('Per Invoice'!E$2:E$801,$W25)="","",INDEX('Per Invoice'!E$2:E$801,$W25)))</f>
        <v/>
      </c>
      <c r="F25">
        <f>IF($W25="","",IF(INDEX('Per Invoice'!F$2:F$801,$W25)="","",INDEX('Per Invoice'!F$2:F$801,$W25)))</f>
        <v/>
      </c>
      <c r="G25">
        <f>IF($W25="","",IF(INDEX('Per Invoice'!G$2:G$801,$W25)="","",INDEX('Per Invoice'!G$2:G$801,$W25)))</f>
        <v/>
      </c>
      <c r="H25">
        <f>IF($W25="","",IF(INDEX('Per Invoice'!H$2:H$801,$W25)="","",INDEX('Per Invoice'!H$2:H$801,$W25)))</f>
        <v/>
      </c>
      <c r="I25">
        <f>IF($W25="","",IF(INDEX('Per Invoice'!I$2:I$801,$W25)="","",INDEX('Per Invoice'!I$2:I$801,$W25)))</f>
        <v/>
      </c>
      <c r="J25">
        <f>IF($W25="","",IF(INDEX('Per Invoice'!J$2:J$801,$W25)="","",INDEX('Per Invoice'!J$2:J$801,$W25)))</f>
        <v/>
      </c>
      <c r="K25" s="7">
        <f>IF($W25="","",IF(INDEX('Per Invoice'!K$2:K$801,$W25)="","",INDEX('Per Invoice'!K$2:K$801,$W25)))</f>
        <v/>
      </c>
      <c r="L25" s="14">
        <f>IF($W25="","",IF(INDEX('Per Invoice'!L$2:L$801,$W25)="","",INDEX('Per Invoice'!L$2:L$801,$W25)))</f>
        <v/>
      </c>
      <c r="M25">
        <f>IF($W25="","",IF(INDEX('Per Invoice'!M$2:M$801,$W25)="","",INDEX('Per Invoice'!M$2:M$801,$W25)))</f>
        <v/>
      </c>
      <c r="N25" s="7">
        <f>IF($W25="","",IF(INDEX('Per Invoice'!N$2:N$801,$W25)="","",INDEX('Per Invoice'!N$2:N$801,$W25)))</f>
        <v/>
      </c>
      <c r="O25" s="7">
        <f>IF($W25="","",IF(INDEX('Per Invoice'!O$2:O$801,$W25)="","",INDEX('Per Invoice'!O$2:O$801,$W25)))</f>
        <v/>
      </c>
      <c r="P25">
        <f>IF($W25="","",IF(INDEX('Per Invoice'!P$2:P$801,$W25)="","",INDEX('Per Invoice'!P$2:P$801,$W25)))</f>
        <v/>
      </c>
      <c r="Q25" s="7">
        <f>IF($W25="","",IF(INDEX('Per Invoice'!Q$2:Q$801,$W25)="","",INDEX('Per Invoice'!Q$2:Q$801,$W25)))</f>
        <v/>
      </c>
      <c r="R25" s="7">
        <f>IF($W25="","",IF(INDEX('Per Invoice'!R$2:R$801,$W25)="","",INDEX('Per Invoice'!R$2:R$801,$W25)))</f>
        <v/>
      </c>
      <c r="S25" s="7">
        <f>IF($W25="","",IF(INDEX('Per Invoice'!S$2:S$801,$W25)="","",INDEX('Per Invoice'!S$2:S$801,$W25)))</f>
        <v/>
      </c>
      <c r="T25" s="7">
        <f>IF($W25="","",IF(INDEX('Per Invoice'!T$2:T$801,$W25)="","",INDEX('Per Invoice'!T$2:T$801,$W25)))</f>
        <v/>
      </c>
      <c r="U25" s="7">
        <f>IF($W25="","",IF(INDEX('Per Invoice'!U$2:U$801,$W25)="","",INDEX('Per Invoice'!U$2:U$801,$W25)))</f>
        <v/>
      </c>
      <c r="V25" s="7">
        <f>IF($W25="","",IF(INDEX('Per Invoice'!V$2:V$801,$W25)="","",INDEX('Per Invoice'!V$2:V$801,$W25)))</f>
        <v/>
      </c>
      <c r="W25" s="16">
        <f>IFERROR(MATCH(Settings!$C$31&amp;"|"&amp;ROWS($W$2:$W25),'Per Invoice'!$X$2:$X$801,0),"")</f>
        <v/>
      </c>
    </row>
    <row r="26">
      <c r="A26">
        <f>IF($W26="","",IF(INDEX('Per Invoice'!A$2:A$801,$W26)="","",INDEX('Per Invoice'!A$2:A$801,$W26)))</f>
        <v/>
      </c>
      <c r="B26">
        <f>IF($W26="","",IF(INDEX('Per Invoice'!B$2:B$801,$W26)="","",INDEX('Per Invoice'!B$2:B$801,$W26)))</f>
        <v/>
      </c>
      <c r="C26">
        <f>IF($W26="","",IF(INDEX('Per Invoice'!C$2:C$801,$W26)="","",INDEX('Per Invoice'!C$2:C$801,$W26)))</f>
        <v/>
      </c>
      <c r="D26">
        <f>IF($W26="","",IF(INDEX('Per Invoice'!D$2:D$801,$W26)="","",INDEX('Per Invoice'!D$2:D$801,$W26)))</f>
        <v/>
      </c>
      <c r="E26">
        <f>IF($W26="","",IF(INDEX('Per Invoice'!E$2:E$801,$W26)="","",INDEX('Per Invoice'!E$2:E$801,$W26)))</f>
        <v/>
      </c>
      <c r="F26">
        <f>IF($W26="","",IF(INDEX('Per Invoice'!F$2:F$801,$W26)="","",INDEX('Per Invoice'!F$2:F$801,$W26)))</f>
        <v/>
      </c>
      <c r="G26">
        <f>IF($W26="","",IF(INDEX('Per Invoice'!G$2:G$801,$W26)="","",INDEX('Per Invoice'!G$2:G$801,$W26)))</f>
        <v/>
      </c>
      <c r="H26">
        <f>IF($W26="","",IF(INDEX('Per Invoice'!H$2:H$801,$W26)="","",INDEX('Per Invoice'!H$2:H$801,$W26)))</f>
        <v/>
      </c>
      <c r="I26">
        <f>IF($W26="","",IF(INDEX('Per Invoice'!I$2:I$801,$W26)="","",INDEX('Per Invoice'!I$2:I$801,$W26)))</f>
        <v/>
      </c>
      <c r="J26">
        <f>IF($W26="","",IF(INDEX('Per Invoice'!J$2:J$801,$W26)="","",INDEX('Per Invoice'!J$2:J$801,$W26)))</f>
        <v/>
      </c>
      <c r="K26" s="7">
        <f>IF($W26="","",IF(INDEX('Per Invoice'!K$2:K$801,$W26)="","",INDEX('Per Invoice'!K$2:K$801,$W26)))</f>
        <v/>
      </c>
      <c r="L26" s="14">
        <f>IF($W26="","",IF(INDEX('Per Invoice'!L$2:L$801,$W26)="","",INDEX('Per Invoice'!L$2:L$801,$W26)))</f>
        <v/>
      </c>
      <c r="M26">
        <f>IF($W26="","",IF(INDEX('Per Invoice'!M$2:M$801,$W26)="","",INDEX('Per Invoice'!M$2:M$801,$W26)))</f>
        <v/>
      </c>
      <c r="N26" s="7">
        <f>IF($W26="","",IF(INDEX('Per Invoice'!N$2:N$801,$W26)="","",INDEX('Per Invoice'!N$2:N$801,$W26)))</f>
        <v/>
      </c>
      <c r="O26" s="7">
        <f>IF($W26="","",IF(INDEX('Per Invoice'!O$2:O$801,$W26)="","",INDEX('Per Invoice'!O$2:O$801,$W26)))</f>
        <v/>
      </c>
      <c r="P26">
        <f>IF($W26="","",IF(INDEX('Per Invoice'!P$2:P$801,$W26)="","",INDEX('Per Invoice'!P$2:P$801,$W26)))</f>
        <v/>
      </c>
      <c r="Q26" s="7">
        <f>IF($W26="","",IF(INDEX('Per Invoice'!Q$2:Q$801,$W26)="","",INDEX('Per Invoice'!Q$2:Q$801,$W26)))</f>
        <v/>
      </c>
      <c r="R26" s="7">
        <f>IF($W26="","",IF(INDEX('Per Invoice'!R$2:R$801,$W26)="","",INDEX('Per Invoice'!R$2:R$801,$W26)))</f>
        <v/>
      </c>
      <c r="S26" s="7">
        <f>IF($W26="","",IF(INDEX('Per Invoice'!S$2:S$801,$W26)="","",INDEX('Per Invoice'!S$2:S$801,$W26)))</f>
        <v/>
      </c>
      <c r="T26" s="7">
        <f>IF($W26="","",IF(INDEX('Per Invoice'!T$2:T$801,$W26)="","",INDEX('Per Invoice'!T$2:T$801,$W26)))</f>
        <v/>
      </c>
      <c r="U26" s="7">
        <f>IF($W26="","",IF(INDEX('Per Invoice'!U$2:U$801,$W26)="","",INDEX('Per Invoice'!U$2:U$801,$W26)))</f>
        <v/>
      </c>
      <c r="V26" s="7">
        <f>IF($W26="","",IF(INDEX('Per Invoice'!V$2:V$801,$W26)="","",INDEX('Per Invoice'!V$2:V$801,$W26)))</f>
        <v/>
      </c>
      <c r="W26" s="16">
        <f>IFERROR(MATCH(Settings!$C$31&amp;"|"&amp;ROWS($W$2:$W26),'Per Invoice'!$X$2:$X$801,0),"")</f>
        <v/>
      </c>
    </row>
    <row r="27">
      <c r="A27">
        <f>IF($W27="","",IF(INDEX('Per Invoice'!A$2:A$801,$W27)="","",INDEX('Per Invoice'!A$2:A$801,$W27)))</f>
        <v/>
      </c>
      <c r="B27">
        <f>IF($W27="","",IF(INDEX('Per Invoice'!B$2:B$801,$W27)="","",INDEX('Per Invoice'!B$2:B$801,$W27)))</f>
        <v/>
      </c>
      <c r="C27">
        <f>IF($W27="","",IF(INDEX('Per Invoice'!C$2:C$801,$W27)="","",INDEX('Per Invoice'!C$2:C$801,$W27)))</f>
        <v/>
      </c>
      <c r="D27">
        <f>IF($W27="","",IF(INDEX('Per Invoice'!D$2:D$801,$W27)="","",INDEX('Per Invoice'!D$2:D$801,$W27)))</f>
        <v/>
      </c>
      <c r="E27">
        <f>IF($W27="","",IF(INDEX('Per Invoice'!E$2:E$801,$W27)="","",INDEX('Per Invoice'!E$2:E$801,$W27)))</f>
        <v/>
      </c>
      <c r="F27">
        <f>IF($W27="","",IF(INDEX('Per Invoice'!F$2:F$801,$W27)="","",INDEX('Per Invoice'!F$2:F$801,$W27)))</f>
        <v/>
      </c>
      <c r="G27">
        <f>IF($W27="","",IF(INDEX('Per Invoice'!G$2:G$801,$W27)="","",INDEX('Per Invoice'!G$2:G$801,$W27)))</f>
        <v/>
      </c>
      <c r="H27">
        <f>IF($W27="","",IF(INDEX('Per Invoice'!H$2:H$801,$W27)="","",INDEX('Per Invoice'!H$2:H$801,$W27)))</f>
        <v/>
      </c>
      <c r="I27">
        <f>IF($W27="","",IF(INDEX('Per Invoice'!I$2:I$801,$W27)="","",INDEX('Per Invoice'!I$2:I$801,$W27)))</f>
        <v/>
      </c>
      <c r="J27">
        <f>IF($W27="","",IF(INDEX('Per Invoice'!J$2:J$801,$W27)="","",INDEX('Per Invoice'!J$2:J$801,$W27)))</f>
        <v/>
      </c>
      <c r="K27" s="7">
        <f>IF($W27="","",IF(INDEX('Per Invoice'!K$2:K$801,$W27)="","",INDEX('Per Invoice'!K$2:K$801,$W27)))</f>
        <v/>
      </c>
      <c r="L27" s="14">
        <f>IF($W27="","",IF(INDEX('Per Invoice'!L$2:L$801,$W27)="","",INDEX('Per Invoice'!L$2:L$801,$W27)))</f>
        <v/>
      </c>
      <c r="M27">
        <f>IF($W27="","",IF(INDEX('Per Invoice'!M$2:M$801,$W27)="","",INDEX('Per Invoice'!M$2:M$801,$W27)))</f>
        <v/>
      </c>
      <c r="N27" s="7">
        <f>IF($W27="","",IF(INDEX('Per Invoice'!N$2:N$801,$W27)="","",INDEX('Per Invoice'!N$2:N$801,$W27)))</f>
        <v/>
      </c>
      <c r="O27" s="7">
        <f>IF($W27="","",IF(INDEX('Per Invoice'!O$2:O$801,$W27)="","",INDEX('Per Invoice'!O$2:O$801,$W27)))</f>
        <v/>
      </c>
      <c r="P27">
        <f>IF($W27="","",IF(INDEX('Per Invoice'!P$2:P$801,$W27)="","",INDEX('Per Invoice'!P$2:P$801,$W27)))</f>
        <v/>
      </c>
      <c r="Q27" s="7">
        <f>IF($W27="","",IF(INDEX('Per Invoice'!Q$2:Q$801,$W27)="","",INDEX('Per Invoice'!Q$2:Q$801,$W27)))</f>
        <v/>
      </c>
      <c r="R27" s="7">
        <f>IF($W27="","",IF(INDEX('Per Invoice'!R$2:R$801,$W27)="","",INDEX('Per Invoice'!R$2:R$801,$W27)))</f>
        <v/>
      </c>
      <c r="S27" s="7">
        <f>IF($W27="","",IF(INDEX('Per Invoice'!S$2:S$801,$W27)="","",INDEX('Per Invoice'!S$2:S$801,$W27)))</f>
        <v/>
      </c>
      <c r="T27" s="7">
        <f>IF($W27="","",IF(INDEX('Per Invoice'!T$2:T$801,$W27)="","",INDEX('Per Invoice'!T$2:T$801,$W27)))</f>
        <v/>
      </c>
      <c r="U27" s="7">
        <f>IF($W27="","",IF(INDEX('Per Invoice'!U$2:U$801,$W27)="","",INDEX('Per Invoice'!U$2:U$801,$W27)))</f>
        <v/>
      </c>
      <c r="V27" s="7">
        <f>IF($W27="","",IF(INDEX('Per Invoice'!V$2:V$801,$W27)="","",INDEX('Per Invoice'!V$2:V$801,$W27)))</f>
        <v/>
      </c>
      <c r="W27" s="16">
        <f>IFERROR(MATCH(Settings!$C$31&amp;"|"&amp;ROWS($W$2:$W27),'Per Invoice'!$X$2:$X$801,0),"")</f>
        <v/>
      </c>
    </row>
    <row r="28">
      <c r="A28">
        <f>IF($W28="","",IF(INDEX('Per Invoice'!A$2:A$801,$W28)="","",INDEX('Per Invoice'!A$2:A$801,$W28)))</f>
        <v/>
      </c>
      <c r="B28">
        <f>IF($W28="","",IF(INDEX('Per Invoice'!B$2:B$801,$W28)="","",INDEX('Per Invoice'!B$2:B$801,$W28)))</f>
        <v/>
      </c>
      <c r="C28">
        <f>IF($W28="","",IF(INDEX('Per Invoice'!C$2:C$801,$W28)="","",INDEX('Per Invoice'!C$2:C$801,$W28)))</f>
        <v/>
      </c>
      <c r="D28">
        <f>IF($W28="","",IF(INDEX('Per Invoice'!D$2:D$801,$W28)="","",INDEX('Per Invoice'!D$2:D$801,$W28)))</f>
        <v/>
      </c>
      <c r="E28">
        <f>IF($W28="","",IF(INDEX('Per Invoice'!E$2:E$801,$W28)="","",INDEX('Per Invoice'!E$2:E$801,$W28)))</f>
        <v/>
      </c>
      <c r="F28">
        <f>IF($W28="","",IF(INDEX('Per Invoice'!F$2:F$801,$W28)="","",INDEX('Per Invoice'!F$2:F$801,$W28)))</f>
        <v/>
      </c>
      <c r="G28">
        <f>IF($W28="","",IF(INDEX('Per Invoice'!G$2:G$801,$W28)="","",INDEX('Per Invoice'!G$2:G$801,$W28)))</f>
        <v/>
      </c>
      <c r="H28">
        <f>IF($W28="","",IF(INDEX('Per Invoice'!H$2:H$801,$W28)="","",INDEX('Per Invoice'!H$2:H$801,$W28)))</f>
        <v/>
      </c>
      <c r="I28">
        <f>IF($W28="","",IF(INDEX('Per Invoice'!I$2:I$801,$W28)="","",INDEX('Per Invoice'!I$2:I$801,$W28)))</f>
        <v/>
      </c>
      <c r="J28">
        <f>IF($W28="","",IF(INDEX('Per Invoice'!J$2:J$801,$W28)="","",INDEX('Per Invoice'!J$2:J$801,$W28)))</f>
        <v/>
      </c>
      <c r="K28" s="7">
        <f>IF($W28="","",IF(INDEX('Per Invoice'!K$2:K$801,$W28)="","",INDEX('Per Invoice'!K$2:K$801,$W28)))</f>
        <v/>
      </c>
      <c r="L28" s="14">
        <f>IF($W28="","",IF(INDEX('Per Invoice'!L$2:L$801,$W28)="","",INDEX('Per Invoice'!L$2:L$801,$W28)))</f>
        <v/>
      </c>
      <c r="M28">
        <f>IF($W28="","",IF(INDEX('Per Invoice'!M$2:M$801,$W28)="","",INDEX('Per Invoice'!M$2:M$801,$W28)))</f>
        <v/>
      </c>
      <c r="N28" s="7">
        <f>IF($W28="","",IF(INDEX('Per Invoice'!N$2:N$801,$W28)="","",INDEX('Per Invoice'!N$2:N$801,$W28)))</f>
        <v/>
      </c>
      <c r="O28" s="7">
        <f>IF($W28="","",IF(INDEX('Per Invoice'!O$2:O$801,$W28)="","",INDEX('Per Invoice'!O$2:O$801,$W28)))</f>
        <v/>
      </c>
      <c r="P28">
        <f>IF($W28="","",IF(INDEX('Per Invoice'!P$2:P$801,$W28)="","",INDEX('Per Invoice'!P$2:P$801,$W28)))</f>
        <v/>
      </c>
      <c r="Q28" s="7">
        <f>IF($W28="","",IF(INDEX('Per Invoice'!Q$2:Q$801,$W28)="","",INDEX('Per Invoice'!Q$2:Q$801,$W28)))</f>
        <v/>
      </c>
      <c r="R28" s="7">
        <f>IF($W28="","",IF(INDEX('Per Invoice'!R$2:R$801,$W28)="","",INDEX('Per Invoice'!R$2:R$801,$W28)))</f>
        <v/>
      </c>
      <c r="S28" s="7">
        <f>IF($W28="","",IF(INDEX('Per Invoice'!S$2:S$801,$W28)="","",INDEX('Per Invoice'!S$2:S$801,$W28)))</f>
        <v/>
      </c>
      <c r="T28" s="7">
        <f>IF($W28="","",IF(INDEX('Per Invoice'!T$2:T$801,$W28)="","",INDEX('Per Invoice'!T$2:T$801,$W28)))</f>
        <v/>
      </c>
      <c r="U28" s="7">
        <f>IF($W28="","",IF(INDEX('Per Invoice'!U$2:U$801,$W28)="","",INDEX('Per Invoice'!U$2:U$801,$W28)))</f>
        <v/>
      </c>
      <c r="V28" s="7">
        <f>IF($W28="","",IF(INDEX('Per Invoice'!V$2:V$801,$W28)="","",INDEX('Per Invoice'!V$2:V$801,$W28)))</f>
        <v/>
      </c>
      <c r="W28" s="16">
        <f>IFERROR(MATCH(Settings!$C$31&amp;"|"&amp;ROWS($W$2:$W28),'Per Invoice'!$X$2:$X$801,0),"")</f>
        <v/>
      </c>
    </row>
    <row r="29">
      <c r="A29">
        <f>IF($W29="","",IF(INDEX('Per Invoice'!A$2:A$801,$W29)="","",INDEX('Per Invoice'!A$2:A$801,$W29)))</f>
        <v/>
      </c>
      <c r="B29">
        <f>IF($W29="","",IF(INDEX('Per Invoice'!B$2:B$801,$W29)="","",INDEX('Per Invoice'!B$2:B$801,$W29)))</f>
        <v/>
      </c>
      <c r="C29">
        <f>IF($W29="","",IF(INDEX('Per Invoice'!C$2:C$801,$W29)="","",INDEX('Per Invoice'!C$2:C$801,$W29)))</f>
        <v/>
      </c>
      <c r="D29">
        <f>IF($W29="","",IF(INDEX('Per Invoice'!D$2:D$801,$W29)="","",INDEX('Per Invoice'!D$2:D$801,$W29)))</f>
        <v/>
      </c>
      <c r="E29">
        <f>IF($W29="","",IF(INDEX('Per Invoice'!E$2:E$801,$W29)="","",INDEX('Per Invoice'!E$2:E$801,$W29)))</f>
        <v/>
      </c>
      <c r="F29">
        <f>IF($W29="","",IF(INDEX('Per Invoice'!F$2:F$801,$W29)="","",INDEX('Per Invoice'!F$2:F$801,$W29)))</f>
        <v/>
      </c>
      <c r="G29">
        <f>IF($W29="","",IF(INDEX('Per Invoice'!G$2:G$801,$W29)="","",INDEX('Per Invoice'!G$2:G$801,$W29)))</f>
        <v/>
      </c>
      <c r="H29">
        <f>IF($W29="","",IF(INDEX('Per Invoice'!H$2:H$801,$W29)="","",INDEX('Per Invoice'!H$2:H$801,$W29)))</f>
        <v/>
      </c>
      <c r="I29">
        <f>IF($W29="","",IF(INDEX('Per Invoice'!I$2:I$801,$W29)="","",INDEX('Per Invoice'!I$2:I$801,$W29)))</f>
        <v/>
      </c>
      <c r="J29">
        <f>IF($W29="","",IF(INDEX('Per Invoice'!J$2:J$801,$W29)="","",INDEX('Per Invoice'!J$2:J$801,$W29)))</f>
        <v/>
      </c>
      <c r="K29" s="7">
        <f>IF($W29="","",IF(INDEX('Per Invoice'!K$2:K$801,$W29)="","",INDEX('Per Invoice'!K$2:K$801,$W29)))</f>
        <v/>
      </c>
      <c r="L29" s="14">
        <f>IF($W29="","",IF(INDEX('Per Invoice'!L$2:L$801,$W29)="","",INDEX('Per Invoice'!L$2:L$801,$W29)))</f>
        <v/>
      </c>
      <c r="M29">
        <f>IF($W29="","",IF(INDEX('Per Invoice'!M$2:M$801,$W29)="","",INDEX('Per Invoice'!M$2:M$801,$W29)))</f>
        <v/>
      </c>
      <c r="N29" s="7">
        <f>IF($W29="","",IF(INDEX('Per Invoice'!N$2:N$801,$W29)="","",INDEX('Per Invoice'!N$2:N$801,$W29)))</f>
        <v/>
      </c>
      <c r="O29" s="7">
        <f>IF($W29="","",IF(INDEX('Per Invoice'!O$2:O$801,$W29)="","",INDEX('Per Invoice'!O$2:O$801,$W29)))</f>
        <v/>
      </c>
      <c r="P29">
        <f>IF($W29="","",IF(INDEX('Per Invoice'!P$2:P$801,$W29)="","",INDEX('Per Invoice'!P$2:P$801,$W29)))</f>
        <v/>
      </c>
      <c r="Q29" s="7">
        <f>IF($W29="","",IF(INDEX('Per Invoice'!Q$2:Q$801,$W29)="","",INDEX('Per Invoice'!Q$2:Q$801,$W29)))</f>
        <v/>
      </c>
      <c r="R29" s="7">
        <f>IF($W29="","",IF(INDEX('Per Invoice'!R$2:R$801,$W29)="","",INDEX('Per Invoice'!R$2:R$801,$W29)))</f>
        <v/>
      </c>
      <c r="S29" s="7">
        <f>IF($W29="","",IF(INDEX('Per Invoice'!S$2:S$801,$W29)="","",INDEX('Per Invoice'!S$2:S$801,$W29)))</f>
        <v/>
      </c>
      <c r="T29" s="7">
        <f>IF($W29="","",IF(INDEX('Per Invoice'!T$2:T$801,$W29)="","",INDEX('Per Invoice'!T$2:T$801,$W29)))</f>
        <v/>
      </c>
      <c r="U29" s="7">
        <f>IF($W29="","",IF(INDEX('Per Invoice'!U$2:U$801,$W29)="","",INDEX('Per Invoice'!U$2:U$801,$W29)))</f>
        <v/>
      </c>
      <c r="V29" s="7">
        <f>IF($W29="","",IF(INDEX('Per Invoice'!V$2:V$801,$W29)="","",INDEX('Per Invoice'!V$2:V$801,$W29)))</f>
        <v/>
      </c>
      <c r="W29" s="16">
        <f>IFERROR(MATCH(Settings!$C$31&amp;"|"&amp;ROWS($W$2:$W29),'Per Invoice'!$X$2:$X$801,0),"")</f>
        <v/>
      </c>
    </row>
    <row r="30">
      <c r="A30">
        <f>IF($W30="","",IF(INDEX('Per Invoice'!A$2:A$801,$W30)="","",INDEX('Per Invoice'!A$2:A$801,$W30)))</f>
        <v/>
      </c>
      <c r="B30">
        <f>IF($W30="","",IF(INDEX('Per Invoice'!B$2:B$801,$W30)="","",INDEX('Per Invoice'!B$2:B$801,$W30)))</f>
        <v/>
      </c>
      <c r="C30">
        <f>IF($W30="","",IF(INDEX('Per Invoice'!C$2:C$801,$W30)="","",INDEX('Per Invoice'!C$2:C$801,$W30)))</f>
        <v/>
      </c>
      <c r="D30">
        <f>IF($W30="","",IF(INDEX('Per Invoice'!D$2:D$801,$W30)="","",INDEX('Per Invoice'!D$2:D$801,$W30)))</f>
        <v/>
      </c>
      <c r="E30">
        <f>IF($W30="","",IF(INDEX('Per Invoice'!E$2:E$801,$W30)="","",INDEX('Per Invoice'!E$2:E$801,$W30)))</f>
        <v/>
      </c>
      <c r="F30">
        <f>IF($W30="","",IF(INDEX('Per Invoice'!F$2:F$801,$W30)="","",INDEX('Per Invoice'!F$2:F$801,$W30)))</f>
        <v/>
      </c>
      <c r="G30">
        <f>IF($W30="","",IF(INDEX('Per Invoice'!G$2:G$801,$W30)="","",INDEX('Per Invoice'!G$2:G$801,$W30)))</f>
        <v/>
      </c>
      <c r="H30">
        <f>IF($W30="","",IF(INDEX('Per Invoice'!H$2:H$801,$W30)="","",INDEX('Per Invoice'!H$2:H$801,$W30)))</f>
        <v/>
      </c>
      <c r="I30">
        <f>IF($W30="","",IF(INDEX('Per Invoice'!I$2:I$801,$W30)="","",INDEX('Per Invoice'!I$2:I$801,$W30)))</f>
        <v/>
      </c>
      <c r="J30">
        <f>IF($W30="","",IF(INDEX('Per Invoice'!J$2:J$801,$W30)="","",INDEX('Per Invoice'!J$2:J$801,$W30)))</f>
        <v/>
      </c>
      <c r="K30" s="7">
        <f>IF($W30="","",IF(INDEX('Per Invoice'!K$2:K$801,$W30)="","",INDEX('Per Invoice'!K$2:K$801,$W30)))</f>
        <v/>
      </c>
      <c r="L30" s="14">
        <f>IF($W30="","",IF(INDEX('Per Invoice'!L$2:L$801,$W30)="","",INDEX('Per Invoice'!L$2:L$801,$W30)))</f>
        <v/>
      </c>
      <c r="M30">
        <f>IF($W30="","",IF(INDEX('Per Invoice'!M$2:M$801,$W30)="","",INDEX('Per Invoice'!M$2:M$801,$W30)))</f>
        <v/>
      </c>
      <c r="N30" s="7">
        <f>IF($W30="","",IF(INDEX('Per Invoice'!N$2:N$801,$W30)="","",INDEX('Per Invoice'!N$2:N$801,$W30)))</f>
        <v/>
      </c>
      <c r="O30" s="7">
        <f>IF($W30="","",IF(INDEX('Per Invoice'!O$2:O$801,$W30)="","",INDEX('Per Invoice'!O$2:O$801,$W30)))</f>
        <v/>
      </c>
      <c r="P30">
        <f>IF($W30="","",IF(INDEX('Per Invoice'!P$2:P$801,$W30)="","",INDEX('Per Invoice'!P$2:P$801,$W30)))</f>
        <v/>
      </c>
      <c r="Q30" s="7">
        <f>IF($W30="","",IF(INDEX('Per Invoice'!Q$2:Q$801,$W30)="","",INDEX('Per Invoice'!Q$2:Q$801,$W30)))</f>
        <v/>
      </c>
      <c r="R30" s="7">
        <f>IF($W30="","",IF(INDEX('Per Invoice'!R$2:R$801,$W30)="","",INDEX('Per Invoice'!R$2:R$801,$W30)))</f>
        <v/>
      </c>
      <c r="S30" s="7">
        <f>IF($W30="","",IF(INDEX('Per Invoice'!S$2:S$801,$W30)="","",INDEX('Per Invoice'!S$2:S$801,$W30)))</f>
        <v/>
      </c>
      <c r="T30" s="7">
        <f>IF($W30="","",IF(INDEX('Per Invoice'!T$2:T$801,$W30)="","",INDEX('Per Invoice'!T$2:T$801,$W30)))</f>
        <v/>
      </c>
      <c r="U30" s="7">
        <f>IF($W30="","",IF(INDEX('Per Invoice'!U$2:U$801,$W30)="","",INDEX('Per Invoice'!U$2:U$801,$W30)))</f>
        <v/>
      </c>
      <c r="V30" s="7">
        <f>IF($W30="","",IF(INDEX('Per Invoice'!V$2:V$801,$W30)="","",INDEX('Per Invoice'!V$2:V$801,$W30)))</f>
        <v/>
      </c>
      <c r="W30" s="16">
        <f>IFERROR(MATCH(Settings!$C$31&amp;"|"&amp;ROWS($W$2:$W30),'Per Invoice'!$X$2:$X$801,0),"")</f>
        <v/>
      </c>
    </row>
    <row r="31">
      <c r="A31">
        <f>IF($W31="","",IF(INDEX('Per Invoice'!A$2:A$801,$W31)="","",INDEX('Per Invoice'!A$2:A$801,$W31)))</f>
        <v/>
      </c>
      <c r="B31">
        <f>IF($W31="","",IF(INDEX('Per Invoice'!B$2:B$801,$W31)="","",INDEX('Per Invoice'!B$2:B$801,$W31)))</f>
        <v/>
      </c>
      <c r="C31">
        <f>IF($W31="","",IF(INDEX('Per Invoice'!C$2:C$801,$W31)="","",INDEX('Per Invoice'!C$2:C$801,$W31)))</f>
        <v/>
      </c>
      <c r="D31">
        <f>IF($W31="","",IF(INDEX('Per Invoice'!D$2:D$801,$W31)="","",INDEX('Per Invoice'!D$2:D$801,$W31)))</f>
        <v/>
      </c>
      <c r="E31">
        <f>IF($W31="","",IF(INDEX('Per Invoice'!E$2:E$801,$W31)="","",INDEX('Per Invoice'!E$2:E$801,$W31)))</f>
        <v/>
      </c>
      <c r="F31">
        <f>IF($W31="","",IF(INDEX('Per Invoice'!F$2:F$801,$W31)="","",INDEX('Per Invoice'!F$2:F$801,$W31)))</f>
        <v/>
      </c>
      <c r="G31">
        <f>IF($W31="","",IF(INDEX('Per Invoice'!G$2:G$801,$W31)="","",INDEX('Per Invoice'!G$2:G$801,$W31)))</f>
        <v/>
      </c>
      <c r="H31">
        <f>IF($W31="","",IF(INDEX('Per Invoice'!H$2:H$801,$W31)="","",INDEX('Per Invoice'!H$2:H$801,$W31)))</f>
        <v/>
      </c>
      <c r="I31">
        <f>IF($W31="","",IF(INDEX('Per Invoice'!I$2:I$801,$W31)="","",INDEX('Per Invoice'!I$2:I$801,$W31)))</f>
        <v/>
      </c>
      <c r="J31">
        <f>IF($W31="","",IF(INDEX('Per Invoice'!J$2:J$801,$W31)="","",INDEX('Per Invoice'!J$2:J$801,$W31)))</f>
        <v/>
      </c>
      <c r="K31" s="7">
        <f>IF($W31="","",IF(INDEX('Per Invoice'!K$2:K$801,$W31)="","",INDEX('Per Invoice'!K$2:K$801,$W31)))</f>
        <v/>
      </c>
      <c r="L31" s="14">
        <f>IF($W31="","",IF(INDEX('Per Invoice'!L$2:L$801,$W31)="","",INDEX('Per Invoice'!L$2:L$801,$W31)))</f>
        <v/>
      </c>
      <c r="M31">
        <f>IF($W31="","",IF(INDEX('Per Invoice'!M$2:M$801,$W31)="","",INDEX('Per Invoice'!M$2:M$801,$W31)))</f>
        <v/>
      </c>
      <c r="N31" s="7">
        <f>IF($W31="","",IF(INDEX('Per Invoice'!N$2:N$801,$W31)="","",INDEX('Per Invoice'!N$2:N$801,$W31)))</f>
        <v/>
      </c>
      <c r="O31" s="7">
        <f>IF($W31="","",IF(INDEX('Per Invoice'!O$2:O$801,$W31)="","",INDEX('Per Invoice'!O$2:O$801,$W31)))</f>
        <v/>
      </c>
      <c r="P31">
        <f>IF($W31="","",IF(INDEX('Per Invoice'!P$2:P$801,$W31)="","",INDEX('Per Invoice'!P$2:P$801,$W31)))</f>
        <v/>
      </c>
      <c r="Q31" s="7">
        <f>IF($W31="","",IF(INDEX('Per Invoice'!Q$2:Q$801,$W31)="","",INDEX('Per Invoice'!Q$2:Q$801,$W31)))</f>
        <v/>
      </c>
      <c r="R31" s="7">
        <f>IF($W31="","",IF(INDEX('Per Invoice'!R$2:R$801,$W31)="","",INDEX('Per Invoice'!R$2:R$801,$W31)))</f>
        <v/>
      </c>
      <c r="S31" s="7">
        <f>IF($W31="","",IF(INDEX('Per Invoice'!S$2:S$801,$W31)="","",INDEX('Per Invoice'!S$2:S$801,$W31)))</f>
        <v/>
      </c>
      <c r="T31" s="7">
        <f>IF($W31="","",IF(INDEX('Per Invoice'!T$2:T$801,$W31)="","",INDEX('Per Invoice'!T$2:T$801,$W31)))</f>
        <v/>
      </c>
      <c r="U31" s="7">
        <f>IF($W31="","",IF(INDEX('Per Invoice'!U$2:U$801,$W31)="","",INDEX('Per Invoice'!U$2:U$801,$W31)))</f>
        <v/>
      </c>
      <c r="V31" s="7">
        <f>IF($W31="","",IF(INDEX('Per Invoice'!V$2:V$801,$W31)="","",INDEX('Per Invoice'!V$2:V$801,$W31)))</f>
        <v/>
      </c>
      <c r="W31" s="16">
        <f>IFERROR(MATCH(Settings!$C$31&amp;"|"&amp;ROWS($W$2:$W31),'Per Invoice'!$X$2:$X$801,0),"")</f>
        <v/>
      </c>
    </row>
    <row r="32">
      <c r="A32">
        <f>IF($W32="","",IF(INDEX('Per Invoice'!A$2:A$801,$W32)="","",INDEX('Per Invoice'!A$2:A$801,$W32)))</f>
        <v/>
      </c>
      <c r="B32">
        <f>IF($W32="","",IF(INDEX('Per Invoice'!B$2:B$801,$W32)="","",INDEX('Per Invoice'!B$2:B$801,$W32)))</f>
        <v/>
      </c>
      <c r="C32">
        <f>IF($W32="","",IF(INDEX('Per Invoice'!C$2:C$801,$W32)="","",INDEX('Per Invoice'!C$2:C$801,$W32)))</f>
        <v/>
      </c>
      <c r="D32">
        <f>IF($W32="","",IF(INDEX('Per Invoice'!D$2:D$801,$W32)="","",INDEX('Per Invoice'!D$2:D$801,$W32)))</f>
        <v/>
      </c>
      <c r="E32">
        <f>IF($W32="","",IF(INDEX('Per Invoice'!E$2:E$801,$W32)="","",INDEX('Per Invoice'!E$2:E$801,$W32)))</f>
        <v/>
      </c>
      <c r="F32">
        <f>IF($W32="","",IF(INDEX('Per Invoice'!F$2:F$801,$W32)="","",INDEX('Per Invoice'!F$2:F$801,$W32)))</f>
        <v/>
      </c>
      <c r="G32">
        <f>IF($W32="","",IF(INDEX('Per Invoice'!G$2:G$801,$W32)="","",INDEX('Per Invoice'!G$2:G$801,$W32)))</f>
        <v/>
      </c>
      <c r="H32">
        <f>IF($W32="","",IF(INDEX('Per Invoice'!H$2:H$801,$W32)="","",INDEX('Per Invoice'!H$2:H$801,$W32)))</f>
        <v/>
      </c>
      <c r="I32">
        <f>IF($W32="","",IF(INDEX('Per Invoice'!I$2:I$801,$W32)="","",INDEX('Per Invoice'!I$2:I$801,$W32)))</f>
        <v/>
      </c>
      <c r="J32">
        <f>IF($W32="","",IF(INDEX('Per Invoice'!J$2:J$801,$W32)="","",INDEX('Per Invoice'!J$2:J$801,$W32)))</f>
        <v/>
      </c>
      <c r="K32" s="7">
        <f>IF($W32="","",IF(INDEX('Per Invoice'!K$2:K$801,$W32)="","",INDEX('Per Invoice'!K$2:K$801,$W32)))</f>
        <v/>
      </c>
      <c r="L32" s="14">
        <f>IF($W32="","",IF(INDEX('Per Invoice'!L$2:L$801,$W32)="","",INDEX('Per Invoice'!L$2:L$801,$W32)))</f>
        <v/>
      </c>
      <c r="M32">
        <f>IF($W32="","",IF(INDEX('Per Invoice'!M$2:M$801,$W32)="","",INDEX('Per Invoice'!M$2:M$801,$W32)))</f>
        <v/>
      </c>
      <c r="N32" s="7">
        <f>IF($W32="","",IF(INDEX('Per Invoice'!N$2:N$801,$W32)="","",INDEX('Per Invoice'!N$2:N$801,$W32)))</f>
        <v/>
      </c>
      <c r="O32" s="7">
        <f>IF($W32="","",IF(INDEX('Per Invoice'!O$2:O$801,$W32)="","",INDEX('Per Invoice'!O$2:O$801,$W32)))</f>
        <v/>
      </c>
      <c r="P32">
        <f>IF($W32="","",IF(INDEX('Per Invoice'!P$2:P$801,$W32)="","",INDEX('Per Invoice'!P$2:P$801,$W32)))</f>
        <v/>
      </c>
      <c r="Q32" s="7">
        <f>IF($W32="","",IF(INDEX('Per Invoice'!Q$2:Q$801,$W32)="","",INDEX('Per Invoice'!Q$2:Q$801,$W32)))</f>
        <v/>
      </c>
      <c r="R32" s="7">
        <f>IF($W32="","",IF(INDEX('Per Invoice'!R$2:R$801,$W32)="","",INDEX('Per Invoice'!R$2:R$801,$W32)))</f>
        <v/>
      </c>
      <c r="S32" s="7">
        <f>IF($W32="","",IF(INDEX('Per Invoice'!S$2:S$801,$W32)="","",INDEX('Per Invoice'!S$2:S$801,$W32)))</f>
        <v/>
      </c>
      <c r="T32" s="7">
        <f>IF($W32="","",IF(INDEX('Per Invoice'!T$2:T$801,$W32)="","",INDEX('Per Invoice'!T$2:T$801,$W32)))</f>
        <v/>
      </c>
      <c r="U32" s="7">
        <f>IF($W32="","",IF(INDEX('Per Invoice'!U$2:U$801,$W32)="","",INDEX('Per Invoice'!U$2:U$801,$W32)))</f>
        <v/>
      </c>
      <c r="V32" s="7">
        <f>IF($W32="","",IF(INDEX('Per Invoice'!V$2:V$801,$W32)="","",INDEX('Per Invoice'!V$2:V$801,$W32)))</f>
        <v/>
      </c>
      <c r="W32" s="16">
        <f>IFERROR(MATCH(Settings!$C$31&amp;"|"&amp;ROWS($W$2:$W32),'Per Invoice'!$X$2:$X$801,0),"")</f>
        <v/>
      </c>
    </row>
    <row r="33">
      <c r="A33">
        <f>IF($W33="","",IF(INDEX('Per Invoice'!A$2:A$801,$W33)="","",INDEX('Per Invoice'!A$2:A$801,$W33)))</f>
        <v/>
      </c>
      <c r="B33">
        <f>IF($W33="","",IF(INDEX('Per Invoice'!B$2:B$801,$W33)="","",INDEX('Per Invoice'!B$2:B$801,$W33)))</f>
        <v/>
      </c>
      <c r="C33">
        <f>IF($W33="","",IF(INDEX('Per Invoice'!C$2:C$801,$W33)="","",INDEX('Per Invoice'!C$2:C$801,$W33)))</f>
        <v/>
      </c>
      <c r="D33">
        <f>IF($W33="","",IF(INDEX('Per Invoice'!D$2:D$801,$W33)="","",INDEX('Per Invoice'!D$2:D$801,$W33)))</f>
        <v/>
      </c>
      <c r="E33">
        <f>IF($W33="","",IF(INDEX('Per Invoice'!E$2:E$801,$W33)="","",INDEX('Per Invoice'!E$2:E$801,$W33)))</f>
        <v/>
      </c>
      <c r="F33">
        <f>IF($W33="","",IF(INDEX('Per Invoice'!F$2:F$801,$W33)="","",INDEX('Per Invoice'!F$2:F$801,$W33)))</f>
        <v/>
      </c>
      <c r="G33">
        <f>IF($W33="","",IF(INDEX('Per Invoice'!G$2:G$801,$W33)="","",INDEX('Per Invoice'!G$2:G$801,$W33)))</f>
        <v/>
      </c>
      <c r="H33">
        <f>IF($W33="","",IF(INDEX('Per Invoice'!H$2:H$801,$W33)="","",INDEX('Per Invoice'!H$2:H$801,$W33)))</f>
        <v/>
      </c>
      <c r="I33">
        <f>IF($W33="","",IF(INDEX('Per Invoice'!I$2:I$801,$W33)="","",INDEX('Per Invoice'!I$2:I$801,$W33)))</f>
        <v/>
      </c>
      <c r="J33">
        <f>IF($W33="","",IF(INDEX('Per Invoice'!J$2:J$801,$W33)="","",INDEX('Per Invoice'!J$2:J$801,$W33)))</f>
        <v/>
      </c>
      <c r="K33" s="7">
        <f>IF($W33="","",IF(INDEX('Per Invoice'!K$2:K$801,$W33)="","",INDEX('Per Invoice'!K$2:K$801,$W33)))</f>
        <v/>
      </c>
      <c r="L33" s="14">
        <f>IF($W33="","",IF(INDEX('Per Invoice'!L$2:L$801,$W33)="","",INDEX('Per Invoice'!L$2:L$801,$W33)))</f>
        <v/>
      </c>
      <c r="M33">
        <f>IF($W33="","",IF(INDEX('Per Invoice'!M$2:M$801,$W33)="","",INDEX('Per Invoice'!M$2:M$801,$W33)))</f>
        <v/>
      </c>
      <c r="N33" s="7">
        <f>IF($W33="","",IF(INDEX('Per Invoice'!N$2:N$801,$W33)="","",INDEX('Per Invoice'!N$2:N$801,$W33)))</f>
        <v/>
      </c>
      <c r="O33" s="7">
        <f>IF($W33="","",IF(INDEX('Per Invoice'!O$2:O$801,$W33)="","",INDEX('Per Invoice'!O$2:O$801,$W33)))</f>
        <v/>
      </c>
      <c r="P33">
        <f>IF($W33="","",IF(INDEX('Per Invoice'!P$2:P$801,$W33)="","",INDEX('Per Invoice'!P$2:P$801,$W33)))</f>
        <v/>
      </c>
      <c r="Q33" s="7">
        <f>IF($W33="","",IF(INDEX('Per Invoice'!Q$2:Q$801,$W33)="","",INDEX('Per Invoice'!Q$2:Q$801,$W33)))</f>
        <v/>
      </c>
      <c r="R33" s="7">
        <f>IF($W33="","",IF(INDEX('Per Invoice'!R$2:R$801,$W33)="","",INDEX('Per Invoice'!R$2:R$801,$W33)))</f>
        <v/>
      </c>
      <c r="S33" s="7">
        <f>IF($W33="","",IF(INDEX('Per Invoice'!S$2:S$801,$W33)="","",INDEX('Per Invoice'!S$2:S$801,$W33)))</f>
        <v/>
      </c>
      <c r="T33" s="7">
        <f>IF($W33="","",IF(INDEX('Per Invoice'!T$2:T$801,$W33)="","",INDEX('Per Invoice'!T$2:T$801,$W33)))</f>
        <v/>
      </c>
      <c r="U33" s="7">
        <f>IF($W33="","",IF(INDEX('Per Invoice'!U$2:U$801,$W33)="","",INDEX('Per Invoice'!U$2:U$801,$W33)))</f>
        <v/>
      </c>
      <c r="V33" s="7">
        <f>IF($W33="","",IF(INDEX('Per Invoice'!V$2:V$801,$W33)="","",INDEX('Per Invoice'!V$2:V$801,$W33)))</f>
        <v/>
      </c>
      <c r="W33" s="16">
        <f>IFERROR(MATCH(Settings!$C$31&amp;"|"&amp;ROWS($W$2:$W33),'Per Invoice'!$X$2:$X$801,0),"")</f>
        <v/>
      </c>
    </row>
    <row r="34">
      <c r="A34">
        <f>IF($W34="","",IF(INDEX('Per Invoice'!A$2:A$801,$W34)="","",INDEX('Per Invoice'!A$2:A$801,$W34)))</f>
        <v/>
      </c>
      <c r="B34">
        <f>IF($W34="","",IF(INDEX('Per Invoice'!B$2:B$801,$W34)="","",INDEX('Per Invoice'!B$2:B$801,$W34)))</f>
        <v/>
      </c>
      <c r="C34">
        <f>IF($W34="","",IF(INDEX('Per Invoice'!C$2:C$801,$W34)="","",INDEX('Per Invoice'!C$2:C$801,$W34)))</f>
        <v/>
      </c>
      <c r="D34">
        <f>IF($W34="","",IF(INDEX('Per Invoice'!D$2:D$801,$W34)="","",INDEX('Per Invoice'!D$2:D$801,$W34)))</f>
        <v/>
      </c>
      <c r="E34">
        <f>IF($W34="","",IF(INDEX('Per Invoice'!E$2:E$801,$W34)="","",INDEX('Per Invoice'!E$2:E$801,$W34)))</f>
        <v/>
      </c>
      <c r="F34">
        <f>IF($W34="","",IF(INDEX('Per Invoice'!F$2:F$801,$W34)="","",INDEX('Per Invoice'!F$2:F$801,$W34)))</f>
        <v/>
      </c>
      <c r="G34">
        <f>IF($W34="","",IF(INDEX('Per Invoice'!G$2:G$801,$W34)="","",INDEX('Per Invoice'!G$2:G$801,$W34)))</f>
        <v/>
      </c>
      <c r="H34">
        <f>IF($W34="","",IF(INDEX('Per Invoice'!H$2:H$801,$W34)="","",INDEX('Per Invoice'!H$2:H$801,$W34)))</f>
        <v/>
      </c>
      <c r="I34">
        <f>IF($W34="","",IF(INDEX('Per Invoice'!I$2:I$801,$W34)="","",INDEX('Per Invoice'!I$2:I$801,$W34)))</f>
        <v/>
      </c>
      <c r="J34">
        <f>IF($W34="","",IF(INDEX('Per Invoice'!J$2:J$801,$W34)="","",INDEX('Per Invoice'!J$2:J$801,$W34)))</f>
        <v/>
      </c>
      <c r="K34" s="7">
        <f>IF($W34="","",IF(INDEX('Per Invoice'!K$2:K$801,$W34)="","",INDEX('Per Invoice'!K$2:K$801,$W34)))</f>
        <v/>
      </c>
      <c r="L34" s="14">
        <f>IF($W34="","",IF(INDEX('Per Invoice'!L$2:L$801,$W34)="","",INDEX('Per Invoice'!L$2:L$801,$W34)))</f>
        <v/>
      </c>
      <c r="M34">
        <f>IF($W34="","",IF(INDEX('Per Invoice'!M$2:M$801,$W34)="","",INDEX('Per Invoice'!M$2:M$801,$W34)))</f>
        <v/>
      </c>
      <c r="N34" s="7">
        <f>IF($W34="","",IF(INDEX('Per Invoice'!N$2:N$801,$W34)="","",INDEX('Per Invoice'!N$2:N$801,$W34)))</f>
        <v/>
      </c>
      <c r="O34" s="7">
        <f>IF($W34="","",IF(INDEX('Per Invoice'!O$2:O$801,$W34)="","",INDEX('Per Invoice'!O$2:O$801,$W34)))</f>
        <v/>
      </c>
      <c r="P34">
        <f>IF($W34="","",IF(INDEX('Per Invoice'!P$2:P$801,$W34)="","",INDEX('Per Invoice'!P$2:P$801,$W34)))</f>
        <v/>
      </c>
      <c r="Q34" s="7">
        <f>IF($W34="","",IF(INDEX('Per Invoice'!Q$2:Q$801,$W34)="","",INDEX('Per Invoice'!Q$2:Q$801,$W34)))</f>
        <v/>
      </c>
      <c r="R34" s="7">
        <f>IF($W34="","",IF(INDEX('Per Invoice'!R$2:R$801,$W34)="","",INDEX('Per Invoice'!R$2:R$801,$W34)))</f>
        <v/>
      </c>
      <c r="S34" s="7">
        <f>IF($W34="","",IF(INDEX('Per Invoice'!S$2:S$801,$W34)="","",INDEX('Per Invoice'!S$2:S$801,$W34)))</f>
        <v/>
      </c>
      <c r="T34" s="7">
        <f>IF($W34="","",IF(INDEX('Per Invoice'!T$2:T$801,$W34)="","",INDEX('Per Invoice'!T$2:T$801,$W34)))</f>
        <v/>
      </c>
      <c r="U34" s="7">
        <f>IF($W34="","",IF(INDEX('Per Invoice'!U$2:U$801,$W34)="","",INDEX('Per Invoice'!U$2:U$801,$W34)))</f>
        <v/>
      </c>
      <c r="V34" s="7">
        <f>IF($W34="","",IF(INDEX('Per Invoice'!V$2:V$801,$W34)="","",INDEX('Per Invoice'!V$2:V$801,$W34)))</f>
        <v/>
      </c>
      <c r="W34" s="16">
        <f>IFERROR(MATCH(Settings!$C$31&amp;"|"&amp;ROWS($W$2:$W34),'Per Invoice'!$X$2:$X$801,0),"")</f>
        <v/>
      </c>
    </row>
    <row r="35">
      <c r="A35">
        <f>IF($W35="","",IF(INDEX('Per Invoice'!A$2:A$801,$W35)="","",INDEX('Per Invoice'!A$2:A$801,$W35)))</f>
        <v/>
      </c>
      <c r="B35">
        <f>IF($W35="","",IF(INDEX('Per Invoice'!B$2:B$801,$W35)="","",INDEX('Per Invoice'!B$2:B$801,$W35)))</f>
        <v/>
      </c>
      <c r="C35">
        <f>IF($W35="","",IF(INDEX('Per Invoice'!C$2:C$801,$W35)="","",INDEX('Per Invoice'!C$2:C$801,$W35)))</f>
        <v/>
      </c>
      <c r="D35">
        <f>IF($W35="","",IF(INDEX('Per Invoice'!D$2:D$801,$W35)="","",INDEX('Per Invoice'!D$2:D$801,$W35)))</f>
        <v/>
      </c>
      <c r="E35">
        <f>IF($W35="","",IF(INDEX('Per Invoice'!E$2:E$801,$W35)="","",INDEX('Per Invoice'!E$2:E$801,$W35)))</f>
        <v/>
      </c>
      <c r="F35">
        <f>IF($W35="","",IF(INDEX('Per Invoice'!F$2:F$801,$W35)="","",INDEX('Per Invoice'!F$2:F$801,$W35)))</f>
        <v/>
      </c>
      <c r="G35">
        <f>IF($W35="","",IF(INDEX('Per Invoice'!G$2:G$801,$W35)="","",INDEX('Per Invoice'!G$2:G$801,$W35)))</f>
        <v/>
      </c>
      <c r="H35">
        <f>IF($W35="","",IF(INDEX('Per Invoice'!H$2:H$801,$W35)="","",INDEX('Per Invoice'!H$2:H$801,$W35)))</f>
        <v/>
      </c>
      <c r="I35">
        <f>IF($W35="","",IF(INDEX('Per Invoice'!I$2:I$801,$W35)="","",INDEX('Per Invoice'!I$2:I$801,$W35)))</f>
        <v/>
      </c>
      <c r="J35">
        <f>IF($W35="","",IF(INDEX('Per Invoice'!J$2:J$801,$W35)="","",INDEX('Per Invoice'!J$2:J$801,$W35)))</f>
        <v/>
      </c>
      <c r="K35" s="7">
        <f>IF($W35="","",IF(INDEX('Per Invoice'!K$2:K$801,$W35)="","",INDEX('Per Invoice'!K$2:K$801,$W35)))</f>
        <v/>
      </c>
      <c r="L35" s="14">
        <f>IF($W35="","",IF(INDEX('Per Invoice'!L$2:L$801,$W35)="","",INDEX('Per Invoice'!L$2:L$801,$W35)))</f>
        <v/>
      </c>
      <c r="M35">
        <f>IF($W35="","",IF(INDEX('Per Invoice'!M$2:M$801,$W35)="","",INDEX('Per Invoice'!M$2:M$801,$W35)))</f>
        <v/>
      </c>
      <c r="N35" s="7">
        <f>IF($W35="","",IF(INDEX('Per Invoice'!N$2:N$801,$W35)="","",INDEX('Per Invoice'!N$2:N$801,$W35)))</f>
        <v/>
      </c>
      <c r="O35" s="7">
        <f>IF($W35="","",IF(INDEX('Per Invoice'!O$2:O$801,$W35)="","",INDEX('Per Invoice'!O$2:O$801,$W35)))</f>
        <v/>
      </c>
      <c r="P35">
        <f>IF($W35="","",IF(INDEX('Per Invoice'!P$2:P$801,$W35)="","",INDEX('Per Invoice'!P$2:P$801,$W35)))</f>
        <v/>
      </c>
      <c r="Q35" s="7">
        <f>IF($W35="","",IF(INDEX('Per Invoice'!Q$2:Q$801,$W35)="","",INDEX('Per Invoice'!Q$2:Q$801,$W35)))</f>
        <v/>
      </c>
      <c r="R35" s="7">
        <f>IF($W35="","",IF(INDEX('Per Invoice'!R$2:R$801,$W35)="","",INDEX('Per Invoice'!R$2:R$801,$W35)))</f>
        <v/>
      </c>
      <c r="S35" s="7">
        <f>IF($W35="","",IF(INDEX('Per Invoice'!S$2:S$801,$W35)="","",INDEX('Per Invoice'!S$2:S$801,$W35)))</f>
        <v/>
      </c>
      <c r="T35" s="7">
        <f>IF($W35="","",IF(INDEX('Per Invoice'!T$2:T$801,$W35)="","",INDEX('Per Invoice'!T$2:T$801,$W35)))</f>
        <v/>
      </c>
      <c r="U35" s="7">
        <f>IF($W35="","",IF(INDEX('Per Invoice'!U$2:U$801,$W35)="","",INDEX('Per Invoice'!U$2:U$801,$W35)))</f>
        <v/>
      </c>
      <c r="V35" s="7">
        <f>IF($W35="","",IF(INDEX('Per Invoice'!V$2:V$801,$W35)="","",INDEX('Per Invoice'!V$2:V$801,$W35)))</f>
        <v/>
      </c>
      <c r="W35" s="16">
        <f>IFERROR(MATCH(Settings!$C$31&amp;"|"&amp;ROWS($W$2:$W35),'Per Invoice'!$X$2:$X$801,0),"")</f>
        <v/>
      </c>
    </row>
    <row r="36">
      <c r="A36">
        <f>IF($W36="","",IF(INDEX('Per Invoice'!A$2:A$801,$W36)="","",INDEX('Per Invoice'!A$2:A$801,$W36)))</f>
        <v/>
      </c>
      <c r="B36">
        <f>IF($W36="","",IF(INDEX('Per Invoice'!B$2:B$801,$W36)="","",INDEX('Per Invoice'!B$2:B$801,$W36)))</f>
        <v/>
      </c>
      <c r="C36">
        <f>IF($W36="","",IF(INDEX('Per Invoice'!C$2:C$801,$W36)="","",INDEX('Per Invoice'!C$2:C$801,$W36)))</f>
        <v/>
      </c>
      <c r="D36">
        <f>IF($W36="","",IF(INDEX('Per Invoice'!D$2:D$801,$W36)="","",INDEX('Per Invoice'!D$2:D$801,$W36)))</f>
        <v/>
      </c>
      <c r="E36">
        <f>IF($W36="","",IF(INDEX('Per Invoice'!E$2:E$801,$W36)="","",INDEX('Per Invoice'!E$2:E$801,$W36)))</f>
        <v/>
      </c>
      <c r="F36">
        <f>IF($W36="","",IF(INDEX('Per Invoice'!F$2:F$801,$W36)="","",INDEX('Per Invoice'!F$2:F$801,$W36)))</f>
        <v/>
      </c>
      <c r="G36">
        <f>IF($W36="","",IF(INDEX('Per Invoice'!G$2:G$801,$W36)="","",INDEX('Per Invoice'!G$2:G$801,$W36)))</f>
        <v/>
      </c>
      <c r="H36">
        <f>IF($W36="","",IF(INDEX('Per Invoice'!H$2:H$801,$W36)="","",INDEX('Per Invoice'!H$2:H$801,$W36)))</f>
        <v/>
      </c>
      <c r="I36">
        <f>IF($W36="","",IF(INDEX('Per Invoice'!I$2:I$801,$W36)="","",INDEX('Per Invoice'!I$2:I$801,$W36)))</f>
        <v/>
      </c>
      <c r="J36">
        <f>IF($W36="","",IF(INDEX('Per Invoice'!J$2:J$801,$W36)="","",INDEX('Per Invoice'!J$2:J$801,$W36)))</f>
        <v/>
      </c>
      <c r="K36" s="7">
        <f>IF($W36="","",IF(INDEX('Per Invoice'!K$2:K$801,$W36)="","",INDEX('Per Invoice'!K$2:K$801,$W36)))</f>
        <v/>
      </c>
      <c r="L36" s="14">
        <f>IF($W36="","",IF(INDEX('Per Invoice'!L$2:L$801,$W36)="","",INDEX('Per Invoice'!L$2:L$801,$W36)))</f>
        <v/>
      </c>
      <c r="M36">
        <f>IF($W36="","",IF(INDEX('Per Invoice'!M$2:M$801,$W36)="","",INDEX('Per Invoice'!M$2:M$801,$W36)))</f>
        <v/>
      </c>
      <c r="N36" s="7">
        <f>IF($W36="","",IF(INDEX('Per Invoice'!N$2:N$801,$W36)="","",INDEX('Per Invoice'!N$2:N$801,$W36)))</f>
        <v/>
      </c>
      <c r="O36" s="7">
        <f>IF($W36="","",IF(INDEX('Per Invoice'!O$2:O$801,$W36)="","",INDEX('Per Invoice'!O$2:O$801,$W36)))</f>
        <v/>
      </c>
      <c r="P36">
        <f>IF($W36="","",IF(INDEX('Per Invoice'!P$2:P$801,$W36)="","",INDEX('Per Invoice'!P$2:P$801,$W36)))</f>
        <v/>
      </c>
      <c r="Q36" s="7">
        <f>IF($W36="","",IF(INDEX('Per Invoice'!Q$2:Q$801,$W36)="","",INDEX('Per Invoice'!Q$2:Q$801,$W36)))</f>
        <v/>
      </c>
      <c r="R36" s="7">
        <f>IF($W36="","",IF(INDEX('Per Invoice'!R$2:R$801,$W36)="","",INDEX('Per Invoice'!R$2:R$801,$W36)))</f>
        <v/>
      </c>
      <c r="S36" s="7">
        <f>IF($W36="","",IF(INDEX('Per Invoice'!S$2:S$801,$W36)="","",INDEX('Per Invoice'!S$2:S$801,$W36)))</f>
        <v/>
      </c>
      <c r="T36" s="7">
        <f>IF($W36="","",IF(INDEX('Per Invoice'!T$2:T$801,$W36)="","",INDEX('Per Invoice'!T$2:T$801,$W36)))</f>
        <v/>
      </c>
      <c r="U36" s="7">
        <f>IF($W36="","",IF(INDEX('Per Invoice'!U$2:U$801,$W36)="","",INDEX('Per Invoice'!U$2:U$801,$W36)))</f>
        <v/>
      </c>
      <c r="V36" s="7">
        <f>IF($W36="","",IF(INDEX('Per Invoice'!V$2:V$801,$W36)="","",INDEX('Per Invoice'!V$2:V$801,$W36)))</f>
        <v/>
      </c>
      <c r="W36" s="16">
        <f>IFERROR(MATCH(Settings!$C$31&amp;"|"&amp;ROWS($W$2:$W36),'Per Invoice'!$X$2:$X$801,0),"")</f>
        <v/>
      </c>
    </row>
    <row r="37">
      <c r="A37">
        <f>IF($W37="","",IF(INDEX('Per Invoice'!A$2:A$801,$W37)="","",INDEX('Per Invoice'!A$2:A$801,$W37)))</f>
        <v/>
      </c>
      <c r="B37">
        <f>IF($W37="","",IF(INDEX('Per Invoice'!B$2:B$801,$W37)="","",INDEX('Per Invoice'!B$2:B$801,$W37)))</f>
        <v/>
      </c>
      <c r="C37">
        <f>IF($W37="","",IF(INDEX('Per Invoice'!C$2:C$801,$W37)="","",INDEX('Per Invoice'!C$2:C$801,$W37)))</f>
        <v/>
      </c>
      <c r="D37">
        <f>IF($W37="","",IF(INDEX('Per Invoice'!D$2:D$801,$W37)="","",INDEX('Per Invoice'!D$2:D$801,$W37)))</f>
        <v/>
      </c>
      <c r="E37">
        <f>IF($W37="","",IF(INDEX('Per Invoice'!E$2:E$801,$W37)="","",INDEX('Per Invoice'!E$2:E$801,$W37)))</f>
        <v/>
      </c>
      <c r="F37">
        <f>IF($W37="","",IF(INDEX('Per Invoice'!F$2:F$801,$W37)="","",INDEX('Per Invoice'!F$2:F$801,$W37)))</f>
        <v/>
      </c>
      <c r="G37">
        <f>IF($W37="","",IF(INDEX('Per Invoice'!G$2:G$801,$W37)="","",INDEX('Per Invoice'!G$2:G$801,$W37)))</f>
        <v/>
      </c>
      <c r="H37">
        <f>IF($W37="","",IF(INDEX('Per Invoice'!H$2:H$801,$W37)="","",INDEX('Per Invoice'!H$2:H$801,$W37)))</f>
        <v/>
      </c>
      <c r="I37">
        <f>IF($W37="","",IF(INDEX('Per Invoice'!I$2:I$801,$W37)="","",INDEX('Per Invoice'!I$2:I$801,$W37)))</f>
        <v/>
      </c>
      <c r="J37">
        <f>IF($W37="","",IF(INDEX('Per Invoice'!J$2:J$801,$W37)="","",INDEX('Per Invoice'!J$2:J$801,$W37)))</f>
        <v/>
      </c>
      <c r="K37" s="7">
        <f>IF($W37="","",IF(INDEX('Per Invoice'!K$2:K$801,$W37)="","",INDEX('Per Invoice'!K$2:K$801,$W37)))</f>
        <v/>
      </c>
      <c r="L37" s="14">
        <f>IF($W37="","",IF(INDEX('Per Invoice'!L$2:L$801,$W37)="","",INDEX('Per Invoice'!L$2:L$801,$W37)))</f>
        <v/>
      </c>
      <c r="M37">
        <f>IF($W37="","",IF(INDEX('Per Invoice'!M$2:M$801,$W37)="","",INDEX('Per Invoice'!M$2:M$801,$W37)))</f>
        <v/>
      </c>
      <c r="N37" s="7">
        <f>IF($W37="","",IF(INDEX('Per Invoice'!N$2:N$801,$W37)="","",INDEX('Per Invoice'!N$2:N$801,$W37)))</f>
        <v/>
      </c>
      <c r="O37" s="7">
        <f>IF($W37="","",IF(INDEX('Per Invoice'!O$2:O$801,$W37)="","",INDEX('Per Invoice'!O$2:O$801,$W37)))</f>
        <v/>
      </c>
      <c r="P37">
        <f>IF($W37="","",IF(INDEX('Per Invoice'!P$2:P$801,$W37)="","",INDEX('Per Invoice'!P$2:P$801,$W37)))</f>
        <v/>
      </c>
      <c r="Q37" s="7">
        <f>IF($W37="","",IF(INDEX('Per Invoice'!Q$2:Q$801,$W37)="","",INDEX('Per Invoice'!Q$2:Q$801,$W37)))</f>
        <v/>
      </c>
      <c r="R37" s="7">
        <f>IF($W37="","",IF(INDEX('Per Invoice'!R$2:R$801,$W37)="","",INDEX('Per Invoice'!R$2:R$801,$W37)))</f>
        <v/>
      </c>
      <c r="S37" s="7">
        <f>IF($W37="","",IF(INDEX('Per Invoice'!S$2:S$801,$W37)="","",INDEX('Per Invoice'!S$2:S$801,$W37)))</f>
        <v/>
      </c>
      <c r="T37" s="7">
        <f>IF($W37="","",IF(INDEX('Per Invoice'!T$2:T$801,$W37)="","",INDEX('Per Invoice'!T$2:T$801,$W37)))</f>
        <v/>
      </c>
      <c r="U37" s="7">
        <f>IF($W37="","",IF(INDEX('Per Invoice'!U$2:U$801,$W37)="","",INDEX('Per Invoice'!U$2:U$801,$W37)))</f>
        <v/>
      </c>
      <c r="V37" s="7">
        <f>IF($W37="","",IF(INDEX('Per Invoice'!V$2:V$801,$W37)="","",INDEX('Per Invoice'!V$2:V$801,$W37)))</f>
        <v/>
      </c>
      <c r="W37" s="16">
        <f>IFERROR(MATCH(Settings!$C$31&amp;"|"&amp;ROWS($W$2:$W37),'Per Invoice'!$X$2:$X$801,0),"")</f>
        <v/>
      </c>
    </row>
    <row r="38">
      <c r="A38">
        <f>IF($W38="","",IF(INDEX('Per Invoice'!A$2:A$801,$W38)="","",INDEX('Per Invoice'!A$2:A$801,$W38)))</f>
        <v/>
      </c>
      <c r="B38">
        <f>IF($W38="","",IF(INDEX('Per Invoice'!B$2:B$801,$W38)="","",INDEX('Per Invoice'!B$2:B$801,$W38)))</f>
        <v/>
      </c>
      <c r="C38">
        <f>IF($W38="","",IF(INDEX('Per Invoice'!C$2:C$801,$W38)="","",INDEX('Per Invoice'!C$2:C$801,$W38)))</f>
        <v/>
      </c>
      <c r="D38">
        <f>IF($W38="","",IF(INDEX('Per Invoice'!D$2:D$801,$W38)="","",INDEX('Per Invoice'!D$2:D$801,$W38)))</f>
        <v/>
      </c>
      <c r="E38">
        <f>IF($W38="","",IF(INDEX('Per Invoice'!E$2:E$801,$W38)="","",INDEX('Per Invoice'!E$2:E$801,$W38)))</f>
        <v/>
      </c>
      <c r="F38">
        <f>IF($W38="","",IF(INDEX('Per Invoice'!F$2:F$801,$W38)="","",INDEX('Per Invoice'!F$2:F$801,$W38)))</f>
        <v/>
      </c>
      <c r="G38">
        <f>IF($W38="","",IF(INDEX('Per Invoice'!G$2:G$801,$W38)="","",INDEX('Per Invoice'!G$2:G$801,$W38)))</f>
        <v/>
      </c>
      <c r="H38">
        <f>IF($W38="","",IF(INDEX('Per Invoice'!H$2:H$801,$W38)="","",INDEX('Per Invoice'!H$2:H$801,$W38)))</f>
        <v/>
      </c>
      <c r="I38">
        <f>IF($W38="","",IF(INDEX('Per Invoice'!I$2:I$801,$W38)="","",INDEX('Per Invoice'!I$2:I$801,$W38)))</f>
        <v/>
      </c>
      <c r="J38">
        <f>IF($W38="","",IF(INDEX('Per Invoice'!J$2:J$801,$W38)="","",INDEX('Per Invoice'!J$2:J$801,$W38)))</f>
        <v/>
      </c>
      <c r="K38" s="7">
        <f>IF($W38="","",IF(INDEX('Per Invoice'!K$2:K$801,$W38)="","",INDEX('Per Invoice'!K$2:K$801,$W38)))</f>
        <v/>
      </c>
      <c r="L38" s="14">
        <f>IF($W38="","",IF(INDEX('Per Invoice'!L$2:L$801,$W38)="","",INDEX('Per Invoice'!L$2:L$801,$W38)))</f>
        <v/>
      </c>
      <c r="M38">
        <f>IF($W38="","",IF(INDEX('Per Invoice'!M$2:M$801,$W38)="","",INDEX('Per Invoice'!M$2:M$801,$W38)))</f>
        <v/>
      </c>
      <c r="N38" s="7">
        <f>IF($W38="","",IF(INDEX('Per Invoice'!N$2:N$801,$W38)="","",INDEX('Per Invoice'!N$2:N$801,$W38)))</f>
        <v/>
      </c>
      <c r="O38" s="7">
        <f>IF($W38="","",IF(INDEX('Per Invoice'!O$2:O$801,$W38)="","",INDEX('Per Invoice'!O$2:O$801,$W38)))</f>
        <v/>
      </c>
      <c r="P38">
        <f>IF($W38="","",IF(INDEX('Per Invoice'!P$2:P$801,$W38)="","",INDEX('Per Invoice'!P$2:P$801,$W38)))</f>
        <v/>
      </c>
      <c r="Q38" s="7">
        <f>IF($W38="","",IF(INDEX('Per Invoice'!Q$2:Q$801,$W38)="","",INDEX('Per Invoice'!Q$2:Q$801,$W38)))</f>
        <v/>
      </c>
      <c r="R38" s="7">
        <f>IF($W38="","",IF(INDEX('Per Invoice'!R$2:R$801,$W38)="","",INDEX('Per Invoice'!R$2:R$801,$W38)))</f>
        <v/>
      </c>
      <c r="S38" s="7">
        <f>IF($W38="","",IF(INDEX('Per Invoice'!S$2:S$801,$W38)="","",INDEX('Per Invoice'!S$2:S$801,$W38)))</f>
        <v/>
      </c>
      <c r="T38" s="7">
        <f>IF($W38="","",IF(INDEX('Per Invoice'!T$2:T$801,$W38)="","",INDEX('Per Invoice'!T$2:T$801,$W38)))</f>
        <v/>
      </c>
      <c r="U38" s="7">
        <f>IF($W38="","",IF(INDEX('Per Invoice'!U$2:U$801,$W38)="","",INDEX('Per Invoice'!U$2:U$801,$W38)))</f>
        <v/>
      </c>
      <c r="V38" s="7">
        <f>IF($W38="","",IF(INDEX('Per Invoice'!V$2:V$801,$W38)="","",INDEX('Per Invoice'!V$2:V$801,$W38)))</f>
        <v/>
      </c>
      <c r="W38" s="16">
        <f>IFERROR(MATCH(Settings!$C$31&amp;"|"&amp;ROWS($W$2:$W38),'Per Invoice'!$X$2:$X$801,0),"")</f>
        <v/>
      </c>
    </row>
    <row r="39">
      <c r="A39">
        <f>IF($W39="","",IF(INDEX('Per Invoice'!A$2:A$801,$W39)="","",INDEX('Per Invoice'!A$2:A$801,$W39)))</f>
        <v/>
      </c>
      <c r="B39">
        <f>IF($W39="","",IF(INDEX('Per Invoice'!B$2:B$801,$W39)="","",INDEX('Per Invoice'!B$2:B$801,$W39)))</f>
        <v/>
      </c>
      <c r="C39">
        <f>IF($W39="","",IF(INDEX('Per Invoice'!C$2:C$801,$W39)="","",INDEX('Per Invoice'!C$2:C$801,$W39)))</f>
        <v/>
      </c>
      <c r="D39">
        <f>IF($W39="","",IF(INDEX('Per Invoice'!D$2:D$801,$W39)="","",INDEX('Per Invoice'!D$2:D$801,$W39)))</f>
        <v/>
      </c>
      <c r="E39">
        <f>IF($W39="","",IF(INDEX('Per Invoice'!E$2:E$801,$W39)="","",INDEX('Per Invoice'!E$2:E$801,$W39)))</f>
        <v/>
      </c>
      <c r="F39">
        <f>IF($W39="","",IF(INDEX('Per Invoice'!F$2:F$801,$W39)="","",INDEX('Per Invoice'!F$2:F$801,$W39)))</f>
        <v/>
      </c>
      <c r="G39">
        <f>IF($W39="","",IF(INDEX('Per Invoice'!G$2:G$801,$W39)="","",INDEX('Per Invoice'!G$2:G$801,$W39)))</f>
        <v/>
      </c>
      <c r="H39">
        <f>IF($W39="","",IF(INDEX('Per Invoice'!H$2:H$801,$W39)="","",INDEX('Per Invoice'!H$2:H$801,$W39)))</f>
        <v/>
      </c>
      <c r="I39">
        <f>IF($W39="","",IF(INDEX('Per Invoice'!I$2:I$801,$W39)="","",INDEX('Per Invoice'!I$2:I$801,$W39)))</f>
        <v/>
      </c>
      <c r="J39">
        <f>IF($W39="","",IF(INDEX('Per Invoice'!J$2:J$801,$W39)="","",INDEX('Per Invoice'!J$2:J$801,$W39)))</f>
        <v/>
      </c>
      <c r="K39" s="7">
        <f>IF($W39="","",IF(INDEX('Per Invoice'!K$2:K$801,$W39)="","",INDEX('Per Invoice'!K$2:K$801,$W39)))</f>
        <v/>
      </c>
      <c r="L39" s="14">
        <f>IF($W39="","",IF(INDEX('Per Invoice'!L$2:L$801,$W39)="","",INDEX('Per Invoice'!L$2:L$801,$W39)))</f>
        <v/>
      </c>
      <c r="M39">
        <f>IF($W39="","",IF(INDEX('Per Invoice'!M$2:M$801,$W39)="","",INDEX('Per Invoice'!M$2:M$801,$W39)))</f>
        <v/>
      </c>
      <c r="N39" s="7">
        <f>IF($W39="","",IF(INDEX('Per Invoice'!N$2:N$801,$W39)="","",INDEX('Per Invoice'!N$2:N$801,$W39)))</f>
        <v/>
      </c>
      <c r="O39" s="7">
        <f>IF($W39="","",IF(INDEX('Per Invoice'!O$2:O$801,$W39)="","",INDEX('Per Invoice'!O$2:O$801,$W39)))</f>
        <v/>
      </c>
      <c r="P39">
        <f>IF($W39="","",IF(INDEX('Per Invoice'!P$2:P$801,$W39)="","",INDEX('Per Invoice'!P$2:P$801,$W39)))</f>
        <v/>
      </c>
      <c r="Q39" s="7">
        <f>IF($W39="","",IF(INDEX('Per Invoice'!Q$2:Q$801,$W39)="","",INDEX('Per Invoice'!Q$2:Q$801,$W39)))</f>
        <v/>
      </c>
      <c r="R39" s="7">
        <f>IF($W39="","",IF(INDEX('Per Invoice'!R$2:R$801,$W39)="","",INDEX('Per Invoice'!R$2:R$801,$W39)))</f>
        <v/>
      </c>
      <c r="S39" s="7">
        <f>IF($W39="","",IF(INDEX('Per Invoice'!S$2:S$801,$W39)="","",INDEX('Per Invoice'!S$2:S$801,$W39)))</f>
        <v/>
      </c>
      <c r="T39" s="7">
        <f>IF($W39="","",IF(INDEX('Per Invoice'!T$2:T$801,$W39)="","",INDEX('Per Invoice'!T$2:T$801,$W39)))</f>
        <v/>
      </c>
      <c r="U39" s="7">
        <f>IF($W39="","",IF(INDEX('Per Invoice'!U$2:U$801,$W39)="","",INDEX('Per Invoice'!U$2:U$801,$W39)))</f>
        <v/>
      </c>
      <c r="V39" s="7">
        <f>IF($W39="","",IF(INDEX('Per Invoice'!V$2:V$801,$W39)="","",INDEX('Per Invoice'!V$2:V$801,$W39)))</f>
        <v/>
      </c>
      <c r="W39" s="16">
        <f>IFERROR(MATCH(Settings!$C$31&amp;"|"&amp;ROWS($W$2:$W39),'Per Invoice'!$X$2:$X$801,0),"")</f>
        <v/>
      </c>
    </row>
    <row r="40">
      <c r="A40">
        <f>IF($W40="","",IF(INDEX('Per Invoice'!A$2:A$801,$W40)="","",INDEX('Per Invoice'!A$2:A$801,$W40)))</f>
        <v/>
      </c>
      <c r="B40">
        <f>IF($W40="","",IF(INDEX('Per Invoice'!B$2:B$801,$W40)="","",INDEX('Per Invoice'!B$2:B$801,$W40)))</f>
        <v/>
      </c>
      <c r="C40">
        <f>IF($W40="","",IF(INDEX('Per Invoice'!C$2:C$801,$W40)="","",INDEX('Per Invoice'!C$2:C$801,$W40)))</f>
        <v/>
      </c>
      <c r="D40">
        <f>IF($W40="","",IF(INDEX('Per Invoice'!D$2:D$801,$W40)="","",INDEX('Per Invoice'!D$2:D$801,$W40)))</f>
        <v/>
      </c>
      <c r="E40">
        <f>IF($W40="","",IF(INDEX('Per Invoice'!E$2:E$801,$W40)="","",INDEX('Per Invoice'!E$2:E$801,$W40)))</f>
        <v/>
      </c>
      <c r="F40">
        <f>IF($W40="","",IF(INDEX('Per Invoice'!F$2:F$801,$W40)="","",INDEX('Per Invoice'!F$2:F$801,$W40)))</f>
        <v/>
      </c>
      <c r="G40">
        <f>IF($W40="","",IF(INDEX('Per Invoice'!G$2:G$801,$W40)="","",INDEX('Per Invoice'!G$2:G$801,$W40)))</f>
        <v/>
      </c>
      <c r="H40">
        <f>IF($W40="","",IF(INDEX('Per Invoice'!H$2:H$801,$W40)="","",INDEX('Per Invoice'!H$2:H$801,$W40)))</f>
        <v/>
      </c>
      <c r="I40">
        <f>IF($W40="","",IF(INDEX('Per Invoice'!I$2:I$801,$W40)="","",INDEX('Per Invoice'!I$2:I$801,$W40)))</f>
        <v/>
      </c>
      <c r="J40">
        <f>IF($W40="","",IF(INDEX('Per Invoice'!J$2:J$801,$W40)="","",INDEX('Per Invoice'!J$2:J$801,$W40)))</f>
        <v/>
      </c>
      <c r="K40" s="7">
        <f>IF($W40="","",IF(INDEX('Per Invoice'!K$2:K$801,$W40)="","",INDEX('Per Invoice'!K$2:K$801,$W40)))</f>
        <v/>
      </c>
      <c r="L40" s="14">
        <f>IF($W40="","",IF(INDEX('Per Invoice'!L$2:L$801,$W40)="","",INDEX('Per Invoice'!L$2:L$801,$W40)))</f>
        <v/>
      </c>
      <c r="M40">
        <f>IF($W40="","",IF(INDEX('Per Invoice'!M$2:M$801,$W40)="","",INDEX('Per Invoice'!M$2:M$801,$W40)))</f>
        <v/>
      </c>
      <c r="N40" s="7">
        <f>IF($W40="","",IF(INDEX('Per Invoice'!N$2:N$801,$W40)="","",INDEX('Per Invoice'!N$2:N$801,$W40)))</f>
        <v/>
      </c>
      <c r="O40" s="7">
        <f>IF($W40="","",IF(INDEX('Per Invoice'!O$2:O$801,$W40)="","",INDEX('Per Invoice'!O$2:O$801,$W40)))</f>
        <v/>
      </c>
      <c r="P40">
        <f>IF($W40="","",IF(INDEX('Per Invoice'!P$2:P$801,$W40)="","",INDEX('Per Invoice'!P$2:P$801,$W40)))</f>
        <v/>
      </c>
      <c r="Q40" s="7">
        <f>IF($W40="","",IF(INDEX('Per Invoice'!Q$2:Q$801,$W40)="","",INDEX('Per Invoice'!Q$2:Q$801,$W40)))</f>
        <v/>
      </c>
      <c r="R40" s="7">
        <f>IF($W40="","",IF(INDEX('Per Invoice'!R$2:R$801,$W40)="","",INDEX('Per Invoice'!R$2:R$801,$W40)))</f>
        <v/>
      </c>
      <c r="S40" s="7">
        <f>IF($W40="","",IF(INDEX('Per Invoice'!S$2:S$801,$W40)="","",INDEX('Per Invoice'!S$2:S$801,$W40)))</f>
        <v/>
      </c>
      <c r="T40" s="7">
        <f>IF($W40="","",IF(INDEX('Per Invoice'!T$2:T$801,$W40)="","",INDEX('Per Invoice'!T$2:T$801,$W40)))</f>
        <v/>
      </c>
      <c r="U40" s="7">
        <f>IF($W40="","",IF(INDEX('Per Invoice'!U$2:U$801,$W40)="","",INDEX('Per Invoice'!U$2:U$801,$W40)))</f>
        <v/>
      </c>
      <c r="V40" s="7">
        <f>IF($W40="","",IF(INDEX('Per Invoice'!V$2:V$801,$W40)="","",INDEX('Per Invoice'!V$2:V$801,$W40)))</f>
        <v/>
      </c>
      <c r="W40" s="16">
        <f>IFERROR(MATCH(Settings!$C$31&amp;"|"&amp;ROWS($W$2:$W40),'Per Invoice'!$X$2:$X$801,0),"")</f>
        <v/>
      </c>
    </row>
    <row r="41">
      <c r="A41">
        <f>IF($W41="","",IF(INDEX('Per Invoice'!A$2:A$801,$W41)="","",INDEX('Per Invoice'!A$2:A$801,$W41)))</f>
        <v/>
      </c>
      <c r="B41">
        <f>IF($W41="","",IF(INDEX('Per Invoice'!B$2:B$801,$W41)="","",INDEX('Per Invoice'!B$2:B$801,$W41)))</f>
        <v/>
      </c>
      <c r="C41">
        <f>IF($W41="","",IF(INDEX('Per Invoice'!C$2:C$801,$W41)="","",INDEX('Per Invoice'!C$2:C$801,$W41)))</f>
        <v/>
      </c>
      <c r="D41">
        <f>IF($W41="","",IF(INDEX('Per Invoice'!D$2:D$801,$W41)="","",INDEX('Per Invoice'!D$2:D$801,$W41)))</f>
        <v/>
      </c>
      <c r="E41">
        <f>IF($W41="","",IF(INDEX('Per Invoice'!E$2:E$801,$W41)="","",INDEX('Per Invoice'!E$2:E$801,$W41)))</f>
        <v/>
      </c>
      <c r="F41">
        <f>IF($W41="","",IF(INDEX('Per Invoice'!F$2:F$801,$W41)="","",INDEX('Per Invoice'!F$2:F$801,$W41)))</f>
        <v/>
      </c>
      <c r="G41">
        <f>IF($W41="","",IF(INDEX('Per Invoice'!G$2:G$801,$W41)="","",INDEX('Per Invoice'!G$2:G$801,$W41)))</f>
        <v/>
      </c>
      <c r="H41">
        <f>IF($W41="","",IF(INDEX('Per Invoice'!H$2:H$801,$W41)="","",INDEX('Per Invoice'!H$2:H$801,$W41)))</f>
        <v/>
      </c>
      <c r="I41">
        <f>IF($W41="","",IF(INDEX('Per Invoice'!I$2:I$801,$W41)="","",INDEX('Per Invoice'!I$2:I$801,$W41)))</f>
        <v/>
      </c>
      <c r="J41">
        <f>IF($W41="","",IF(INDEX('Per Invoice'!J$2:J$801,$W41)="","",INDEX('Per Invoice'!J$2:J$801,$W41)))</f>
        <v/>
      </c>
      <c r="K41" s="7">
        <f>IF($W41="","",IF(INDEX('Per Invoice'!K$2:K$801,$W41)="","",INDEX('Per Invoice'!K$2:K$801,$W41)))</f>
        <v/>
      </c>
      <c r="L41" s="14">
        <f>IF($W41="","",IF(INDEX('Per Invoice'!L$2:L$801,$W41)="","",INDEX('Per Invoice'!L$2:L$801,$W41)))</f>
        <v/>
      </c>
      <c r="M41">
        <f>IF($W41="","",IF(INDEX('Per Invoice'!M$2:M$801,$W41)="","",INDEX('Per Invoice'!M$2:M$801,$W41)))</f>
        <v/>
      </c>
      <c r="N41" s="7">
        <f>IF($W41="","",IF(INDEX('Per Invoice'!N$2:N$801,$W41)="","",INDEX('Per Invoice'!N$2:N$801,$W41)))</f>
        <v/>
      </c>
      <c r="O41" s="7">
        <f>IF($W41="","",IF(INDEX('Per Invoice'!O$2:O$801,$W41)="","",INDEX('Per Invoice'!O$2:O$801,$W41)))</f>
        <v/>
      </c>
      <c r="P41">
        <f>IF($W41="","",IF(INDEX('Per Invoice'!P$2:P$801,$W41)="","",INDEX('Per Invoice'!P$2:P$801,$W41)))</f>
        <v/>
      </c>
      <c r="Q41" s="7">
        <f>IF($W41="","",IF(INDEX('Per Invoice'!Q$2:Q$801,$W41)="","",INDEX('Per Invoice'!Q$2:Q$801,$W41)))</f>
        <v/>
      </c>
      <c r="R41" s="7">
        <f>IF($W41="","",IF(INDEX('Per Invoice'!R$2:R$801,$W41)="","",INDEX('Per Invoice'!R$2:R$801,$W41)))</f>
        <v/>
      </c>
      <c r="S41" s="7">
        <f>IF($W41="","",IF(INDEX('Per Invoice'!S$2:S$801,$W41)="","",INDEX('Per Invoice'!S$2:S$801,$W41)))</f>
        <v/>
      </c>
      <c r="T41" s="7">
        <f>IF($W41="","",IF(INDEX('Per Invoice'!T$2:T$801,$W41)="","",INDEX('Per Invoice'!T$2:T$801,$W41)))</f>
        <v/>
      </c>
      <c r="U41" s="7">
        <f>IF($W41="","",IF(INDEX('Per Invoice'!U$2:U$801,$W41)="","",INDEX('Per Invoice'!U$2:U$801,$W41)))</f>
        <v/>
      </c>
      <c r="V41" s="7">
        <f>IF($W41="","",IF(INDEX('Per Invoice'!V$2:V$801,$W41)="","",INDEX('Per Invoice'!V$2:V$801,$W41)))</f>
        <v/>
      </c>
      <c r="W41" s="16">
        <f>IFERROR(MATCH(Settings!$C$31&amp;"|"&amp;ROWS($W$2:$W41),'Per Invoice'!$X$2:$X$801,0),"")</f>
        <v/>
      </c>
    </row>
    <row r="42">
      <c r="A42">
        <f>IF($W42="","",IF(INDEX('Per Invoice'!A$2:A$801,$W42)="","",INDEX('Per Invoice'!A$2:A$801,$W42)))</f>
        <v/>
      </c>
      <c r="B42">
        <f>IF($W42="","",IF(INDEX('Per Invoice'!B$2:B$801,$W42)="","",INDEX('Per Invoice'!B$2:B$801,$W42)))</f>
        <v/>
      </c>
      <c r="C42">
        <f>IF($W42="","",IF(INDEX('Per Invoice'!C$2:C$801,$W42)="","",INDEX('Per Invoice'!C$2:C$801,$W42)))</f>
        <v/>
      </c>
      <c r="D42">
        <f>IF($W42="","",IF(INDEX('Per Invoice'!D$2:D$801,$W42)="","",INDEX('Per Invoice'!D$2:D$801,$W42)))</f>
        <v/>
      </c>
      <c r="E42">
        <f>IF($W42="","",IF(INDEX('Per Invoice'!E$2:E$801,$W42)="","",INDEX('Per Invoice'!E$2:E$801,$W42)))</f>
        <v/>
      </c>
      <c r="F42">
        <f>IF($W42="","",IF(INDEX('Per Invoice'!F$2:F$801,$W42)="","",INDEX('Per Invoice'!F$2:F$801,$W42)))</f>
        <v/>
      </c>
      <c r="G42">
        <f>IF($W42="","",IF(INDEX('Per Invoice'!G$2:G$801,$W42)="","",INDEX('Per Invoice'!G$2:G$801,$W42)))</f>
        <v/>
      </c>
      <c r="H42">
        <f>IF($W42="","",IF(INDEX('Per Invoice'!H$2:H$801,$W42)="","",INDEX('Per Invoice'!H$2:H$801,$W42)))</f>
        <v/>
      </c>
      <c r="I42">
        <f>IF($W42="","",IF(INDEX('Per Invoice'!I$2:I$801,$W42)="","",INDEX('Per Invoice'!I$2:I$801,$W42)))</f>
        <v/>
      </c>
      <c r="J42">
        <f>IF($W42="","",IF(INDEX('Per Invoice'!J$2:J$801,$W42)="","",INDEX('Per Invoice'!J$2:J$801,$W42)))</f>
        <v/>
      </c>
      <c r="K42" s="7">
        <f>IF($W42="","",IF(INDEX('Per Invoice'!K$2:K$801,$W42)="","",INDEX('Per Invoice'!K$2:K$801,$W42)))</f>
        <v/>
      </c>
      <c r="L42" s="14">
        <f>IF($W42="","",IF(INDEX('Per Invoice'!L$2:L$801,$W42)="","",INDEX('Per Invoice'!L$2:L$801,$W42)))</f>
        <v/>
      </c>
      <c r="M42">
        <f>IF($W42="","",IF(INDEX('Per Invoice'!M$2:M$801,$W42)="","",INDEX('Per Invoice'!M$2:M$801,$W42)))</f>
        <v/>
      </c>
      <c r="N42" s="7">
        <f>IF($W42="","",IF(INDEX('Per Invoice'!N$2:N$801,$W42)="","",INDEX('Per Invoice'!N$2:N$801,$W42)))</f>
        <v/>
      </c>
      <c r="O42" s="7">
        <f>IF($W42="","",IF(INDEX('Per Invoice'!O$2:O$801,$W42)="","",INDEX('Per Invoice'!O$2:O$801,$W42)))</f>
        <v/>
      </c>
      <c r="P42">
        <f>IF($W42="","",IF(INDEX('Per Invoice'!P$2:P$801,$W42)="","",INDEX('Per Invoice'!P$2:P$801,$W42)))</f>
        <v/>
      </c>
      <c r="Q42" s="7">
        <f>IF($W42="","",IF(INDEX('Per Invoice'!Q$2:Q$801,$W42)="","",INDEX('Per Invoice'!Q$2:Q$801,$W42)))</f>
        <v/>
      </c>
      <c r="R42" s="7">
        <f>IF($W42="","",IF(INDEX('Per Invoice'!R$2:R$801,$W42)="","",INDEX('Per Invoice'!R$2:R$801,$W42)))</f>
        <v/>
      </c>
      <c r="S42" s="7">
        <f>IF($W42="","",IF(INDEX('Per Invoice'!S$2:S$801,$W42)="","",INDEX('Per Invoice'!S$2:S$801,$W42)))</f>
        <v/>
      </c>
      <c r="T42" s="7">
        <f>IF($W42="","",IF(INDEX('Per Invoice'!T$2:T$801,$W42)="","",INDEX('Per Invoice'!T$2:T$801,$W42)))</f>
        <v/>
      </c>
      <c r="U42" s="7">
        <f>IF($W42="","",IF(INDEX('Per Invoice'!U$2:U$801,$W42)="","",INDEX('Per Invoice'!U$2:U$801,$W42)))</f>
        <v/>
      </c>
      <c r="V42" s="7">
        <f>IF($W42="","",IF(INDEX('Per Invoice'!V$2:V$801,$W42)="","",INDEX('Per Invoice'!V$2:V$801,$W42)))</f>
        <v/>
      </c>
      <c r="W42" s="16">
        <f>IFERROR(MATCH(Settings!$C$31&amp;"|"&amp;ROWS($W$2:$W42),'Per Invoice'!$X$2:$X$801,0),"")</f>
        <v/>
      </c>
    </row>
    <row r="43">
      <c r="A43">
        <f>IF($W43="","",IF(INDEX('Per Invoice'!A$2:A$801,$W43)="","",INDEX('Per Invoice'!A$2:A$801,$W43)))</f>
        <v/>
      </c>
      <c r="B43">
        <f>IF($W43="","",IF(INDEX('Per Invoice'!B$2:B$801,$W43)="","",INDEX('Per Invoice'!B$2:B$801,$W43)))</f>
        <v/>
      </c>
      <c r="C43">
        <f>IF($W43="","",IF(INDEX('Per Invoice'!C$2:C$801,$W43)="","",INDEX('Per Invoice'!C$2:C$801,$W43)))</f>
        <v/>
      </c>
      <c r="D43">
        <f>IF($W43="","",IF(INDEX('Per Invoice'!D$2:D$801,$W43)="","",INDEX('Per Invoice'!D$2:D$801,$W43)))</f>
        <v/>
      </c>
      <c r="E43">
        <f>IF($W43="","",IF(INDEX('Per Invoice'!E$2:E$801,$W43)="","",INDEX('Per Invoice'!E$2:E$801,$W43)))</f>
        <v/>
      </c>
      <c r="F43">
        <f>IF($W43="","",IF(INDEX('Per Invoice'!F$2:F$801,$W43)="","",INDEX('Per Invoice'!F$2:F$801,$W43)))</f>
        <v/>
      </c>
      <c r="G43">
        <f>IF($W43="","",IF(INDEX('Per Invoice'!G$2:G$801,$W43)="","",INDEX('Per Invoice'!G$2:G$801,$W43)))</f>
        <v/>
      </c>
      <c r="H43">
        <f>IF($W43="","",IF(INDEX('Per Invoice'!H$2:H$801,$W43)="","",INDEX('Per Invoice'!H$2:H$801,$W43)))</f>
        <v/>
      </c>
      <c r="I43">
        <f>IF($W43="","",IF(INDEX('Per Invoice'!I$2:I$801,$W43)="","",INDEX('Per Invoice'!I$2:I$801,$W43)))</f>
        <v/>
      </c>
      <c r="J43">
        <f>IF($W43="","",IF(INDEX('Per Invoice'!J$2:J$801,$W43)="","",INDEX('Per Invoice'!J$2:J$801,$W43)))</f>
        <v/>
      </c>
      <c r="K43" s="7">
        <f>IF($W43="","",IF(INDEX('Per Invoice'!K$2:K$801,$W43)="","",INDEX('Per Invoice'!K$2:K$801,$W43)))</f>
        <v/>
      </c>
      <c r="L43" s="14">
        <f>IF($W43="","",IF(INDEX('Per Invoice'!L$2:L$801,$W43)="","",INDEX('Per Invoice'!L$2:L$801,$W43)))</f>
        <v/>
      </c>
      <c r="M43">
        <f>IF($W43="","",IF(INDEX('Per Invoice'!M$2:M$801,$W43)="","",INDEX('Per Invoice'!M$2:M$801,$W43)))</f>
        <v/>
      </c>
      <c r="N43" s="7">
        <f>IF($W43="","",IF(INDEX('Per Invoice'!N$2:N$801,$W43)="","",INDEX('Per Invoice'!N$2:N$801,$W43)))</f>
        <v/>
      </c>
      <c r="O43" s="7">
        <f>IF($W43="","",IF(INDEX('Per Invoice'!O$2:O$801,$W43)="","",INDEX('Per Invoice'!O$2:O$801,$W43)))</f>
        <v/>
      </c>
      <c r="P43">
        <f>IF($W43="","",IF(INDEX('Per Invoice'!P$2:P$801,$W43)="","",INDEX('Per Invoice'!P$2:P$801,$W43)))</f>
        <v/>
      </c>
      <c r="Q43" s="7">
        <f>IF($W43="","",IF(INDEX('Per Invoice'!Q$2:Q$801,$W43)="","",INDEX('Per Invoice'!Q$2:Q$801,$W43)))</f>
        <v/>
      </c>
      <c r="R43" s="7">
        <f>IF($W43="","",IF(INDEX('Per Invoice'!R$2:R$801,$W43)="","",INDEX('Per Invoice'!R$2:R$801,$W43)))</f>
        <v/>
      </c>
      <c r="S43" s="7">
        <f>IF($W43="","",IF(INDEX('Per Invoice'!S$2:S$801,$W43)="","",INDEX('Per Invoice'!S$2:S$801,$W43)))</f>
        <v/>
      </c>
      <c r="T43" s="7">
        <f>IF($W43="","",IF(INDEX('Per Invoice'!T$2:T$801,$W43)="","",INDEX('Per Invoice'!T$2:T$801,$W43)))</f>
        <v/>
      </c>
      <c r="U43" s="7">
        <f>IF($W43="","",IF(INDEX('Per Invoice'!U$2:U$801,$W43)="","",INDEX('Per Invoice'!U$2:U$801,$W43)))</f>
        <v/>
      </c>
      <c r="V43" s="7">
        <f>IF($W43="","",IF(INDEX('Per Invoice'!V$2:V$801,$W43)="","",INDEX('Per Invoice'!V$2:V$801,$W43)))</f>
        <v/>
      </c>
      <c r="W43" s="16">
        <f>IFERROR(MATCH(Settings!$C$31&amp;"|"&amp;ROWS($W$2:$W43),'Per Invoice'!$X$2:$X$801,0),"")</f>
        <v/>
      </c>
    </row>
    <row r="44">
      <c r="A44">
        <f>IF($W44="","",IF(INDEX('Per Invoice'!A$2:A$801,$W44)="","",INDEX('Per Invoice'!A$2:A$801,$W44)))</f>
        <v/>
      </c>
      <c r="B44">
        <f>IF($W44="","",IF(INDEX('Per Invoice'!B$2:B$801,$W44)="","",INDEX('Per Invoice'!B$2:B$801,$W44)))</f>
        <v/>
      </c>
      <c r="C44">
        <f>IF($W44="","",IF(INDEX('Per Invoice'!C$2:C$801,$W44)="","",INDEX('Per Invoice'!C$2:C$801,$W44)))</f>
        <v/>
      </c>
      <c r="D44">
        <f>IF($W44="","",IF(INDEX('Per Invoice'!D$2:D$801,$W44)="","",INDEX('Per Invoice'!D$2:D$801,$W44)))</f>
        <v/>
      </c>
      <c r="E44">
        <f>IF($W44="","",IF(INDEX('Per Invoice'!E$2:E$801,$W44)="","",INDEX('Per Invoice'!E$2:E$801,$W44)))</f>
        <v/>
      </c>
      <c r="F44">
        <f>IF($W44="","",IF(INDEX('Per Invoice'!F$2:F$801,$W44)="","",INDEX('Per Invoice'!F$2:F$801,$W44)))</f>
        <v/>
      </c>
      <c r="G44">
        <f>IF($W44="","",IF(INDEX('Per Invoice'!G$2:G$801,$W44)="","",INDEX('Per Invoice'!G$2:G$801,$W44)))</f>
        <v/>
      </c>
      <c r="H44">
        <f>IF($W44="","",IF(INDEX('Per Invoice'!H$2:H$801,$W44)="","",INDEX('Per Invoice'!H$2:H$801,$W44)))</f>
        <v/>
      </c>
      <c r="I44">
        <f>IF($W44="","",IF(INDEX('Per Invoice'!I$2:I$801,$W44)="","",INDEX('Per Invoice'!I$2:I$801,$W44)))</f>
        <v/>
      </c>
      <c r="J44">
        <f>IF($W44="","",IF(INDEX('Per Invoice'!J$2:J$801,$W44)="","",INDEX('Per Invoice'!J$2:J$801,$W44)))</f>
        <v/>
      </c>
      <c r="K44" s="7">
        <f>IF($W44="","",IF(INDEX('Per Invoice'!K$2:K$801,$W44)="","",INDEX('Per Invoice'!K$2:K$801,$W44)))</f>
        <v/>
      </c>
      <c r="L44" s="14">
        <f>IF($W44="","",IF(INDEX('Per Invoice'!L$2:L$801,$W44)="","",INDEX('Per Invoice'!L$2:L$801,$W44)))</f>
        <v/>
      </c>
      <c r="M44">
        <f>IF($W44="","",IF(INDEX('Per Invoice'!M$2:M$801,$W44)="","",INDEX('Per Invoice'!M$2:M$801,$W44)))</f>
        <v/>
      </c>
      <c r="N44" s="7">
        <f>IF($W44="","",IF(INDEX('Per Invoice'!N$2:N$801,$W44)="","",INDEX('Per Invoice'!N$2:N$801,$W44)))</f>
        <v/>
      </c>
      <c r="O44" s="7">
        <f>IF($W44="","",IF(INDEX('Per Invoice'!O$2:O$801,$W44)="","",INDEX('Per Invoice'!O$2:O$801,$W44)))</f>
        <v/>
      </c>
      <c r="P44">
        <f>IF($W44="","",IF(INDEX('Per Invoice'!P$2:P$801,$W44)="","",INDEX('Per Invoice'!P$2:P$801,$W44)))</f>
        <v/>
      </c>
      <c r="Q44" s="7">
        <f>IF($W44="","",IF(INDEX('Per Invoice'!Q$2:Q$801,$W44)="","",INDEX('Per Invoice'!Q$2:Q$801,$W44)))</f>
        <v/>
      </c>
      <c r="R44" s="7">
        <f>IF($W44="","",IF(INDEX('Per Invoice'!R$2:R$801,$W44)="","",INDEX('Per Invoice'!R$2:R$801,$W44)))</f>
        <v/>
      </c>
      <c r="S44" s="7">
        <f>IF($W44="","",IF(INDEX('Per Invoice'!S$2:S$801,$W44)="","",INDEX('Per Invoice'!S$2:S$801,$W44)))</f>
        <v/>
      </c>
      <c r="T44" s="7">
        <f>IF($W44="","",IF(INDEX('Per Invoice'!T$2:T$801,$W44)="","",INDEX('Per Invoice'!T$2:T$801,$W44)))</f>
        <v/>
      </c>
      <c r="U44" s="7">
        <f>IF($W44="","",IF(INDEX('Per Invoice'!U$2:U$801,$W44)="","",INDEX('Per Invoice'!U$2:U$801,$W44)))</f>
        <v/>
      </c>
      <c r="V44" s="7">
        <f>IF($W44="","",IF(INDEX('Per Invoice'!V$2:V$801,$W44)="","",INDEX('Per Invoice'!V$2:V$801,$W44)))</f>
        <v/>
      </c>
      <c r="W44" s="16">
        <f>IFERROR(MATCH(Settings!$C$31&amp;"|"&amp;ROWS($W$2:$W44),'Per Invoice'!$X$2:$X$801,0),"")</f>
        <v/>
      </c>
    </row>
    <row r="45">
      <c r="A45">
        <f>IF($W45="","",IF(INDEX('Per Invoice'!A$2:A$801,$W45)="","",INDEX('Per Invoice'!A$2:A$801,$W45)))</f>
        <v/>
      </c>
      <c r="B45">
        <f>IF($W45="","",IF(INDEX('Per Invoice'!B$2:B$801,$W45)="","",INDEX('Per Invoice'!B$2:B$801,$W45)))</f>
        <v/>
      </c>
      <c r="C45">
        <f>IF($W45="","",IF(INDEX('Per Invoice'!C$2:C$801,$W45)="","",INDEX('Per Invoice'!C$2:C$801,$W45)))</f>
        <v/>
      </c>
      <c r="D45">
        <f>IF($W45="","",IF(INDEX('Per Invoice'!D$2:D$801,$W45)="","",INDEX('Per Invoice'!D$2:D$801,$W45)))</f>
        <v/>
      </c>
      <c r="E45">
        <f>IF($W45="","",IF(INDEX('Per Invoice'!E$2:E$801,$W45)="","",INDEX('Per Invoice'!E$2:E$801,$W45)))</f>
        <v/>
      </c>
      <c r="F45">
        <f>IF($W45="","",IF(INDEX('Per Invoice'!F$2:F$801,$W45)="","",INDEX('Per Invoice'!F$2:F$801,$W45)))</f>
        <v/>
      </c>
      <c r="G45">
        <f>IF($W45="","",IF(INDEX('Per Invoice'!G$2:G$801,$W45)="","",INDEX('Per Invoice'!G$2:G$801,$W45)))</f>
        <v/>
      </c>
      <c r="H45">
        <f>IF($W45="","",IF(INDEX('Per Invoice'!H$2:H$801,$W45)="","",INDEX('Per Invoice'!H$2:H$801,$W45)))</f>
        <v/>
      </c>
      <c r="I45">
        <f>IF($W45="","",IF(INDEX('Per Invoice'!I$2:I$801,$W45)="","",INDEX('Per Invoice'!I$2:I$801,$W45)))</f>
        <v/>
      </c>
      <c r="J45">
        <f>IF($W45="","",IF(INDEX('Per Invoice'!J$2:J$801,$W45)="","",INDEX('Per Invoice'!J$2:J$801,$W45)))</f>
        <v/>
      </c>
      <c r="K45" s="7">
        <f>IF($W45="","",IF(INDEX('Per Invoice'!K$2:K$801,$W45)="","",INDEX('Per Invoice'!K$2:K$801,$W45)))</f>
        <v/>
      </c>
      <c r="L45" s="14">
        <f>IF($W45="","",IF(INDEX('Per Invoice'!L$2:L$801,$W45)="","",INDEX('Per Invoice'!L$2:L$801,$W45)))</f>
        <v/>
      </c>
      <c r="M45">
        <f>IF($W45="","",IF(INDEX('Per Invoice'!M$2:M$801,$W45)="","",INDEX('Per Invoice'!M$2:M$801,$W45)))</f>
        <v/>
      </c>
      <c r="N45" s="7">
        <f>IF($W45="","",IF(INDEX('Per Invoice'!N$2:N$801,$W45)="","",INDEX('Per Invoice'!N$2:N$801,$W45)))</f>
        <v/>
      </c>
      <c r="O45" s="7">
        <f>IF($W45="","",IF(INDEX('Per Invoice'!O$2:O$801,$W45)="","",INDEX('Per Invoice'!O$2:O$801,$W45)))</f>
        <v/>
      </c>
      <c r="P45">
        <f>IF($W45="","",IF(INDEX('Per Invoice'!P$2:P$801,$W45)="","",INDEX('Per Invoice'!P$2:P$801,$W45)))</f>
        <v/>
      </c>
      <c r="Q45" s="7">
        <f>IF($W45="","",IF(INDEX('Per Invoice'!Q$2:Q$801,$W45)="","",INDEX('Per Invoice'!Q$2:Q$801,$W45)))</f>
        <v/>
      </c>
      <c r="R45" s="7">
        <f>IF($W45="","",IF(INDEX('Per Invoice'!R$2:R$801,$W45)="","",INDEX('Per Invoice'!R$2:R$801,$W45)))</f>
        <v/>
      </c>
      <c r="S45" s="7">
        <f>IF($W45="","",IF(INDEX('Per Invoice'!S$2:S$801,$W45)="","",INDEX('Per Invoice'!S$2:S$801,$W45)))</f>
        <v/>
      </c>
      <c r="T45" s="7">
        <f>IF($W45="","",IF(INDEX('Per Invoice'!T$2:T$801,$W45)="","",INDEX('Per Invoice'!T$2:T$801,$W45)))</f>
        <v/>
      </c>
      <c r="U45" s="7">
        <f>IF($W45="","",IF(INDEX('Per Invoice'!U$2:U$801,$W45)="","",INDEX('Per Invoice'!U$2:U$801,$W45)))</f>
        <v/>
      </c>
      <c r="V45" s="7">
        <f>IF($W45="","",IF(INDEX('Per Invoice'!V$2:V$801,$W45)="","",INDEX('Per Invoice'!V$2:V$801,$W45)))</f>
        <v/>
      </c>
      <c r="W45" s="16">
        <f>IFERROR(MATCH(Settings!$C$31&amp;"|"&amp;ROWS($W$2:$W45),'Per Invoice'!$X$2:$X$801,0),"")</f>
        <v/>
      </c>
    </row>
    <row r="46">
      <c r="A46">
        <f>IF($W46="","",IF(INDEX('Per Invoice'!A$2:A$801,$W46)="","",INDEX('Per Invoice'!A$2:A$801,$W46)))</f>
        <v/>
      </c>
      <c r="B46">
        <f>IF($W46="","",IF(INDEX('Per Invoice'!B$2:B$801,$W46)="","",INDEX('Per Invoice'!B$2:B$801,$W46)))</f>
        <v/>
      </c>
      <c r="C46">
        <f>IF($W46="","",IF(INDEX('Per Invoice'!C$2:C$801,$W46)="","",INDEX('Per Invoice'!C$2:C$801,$W46)))</f>
        <v/>
      </c>
      <c r="D46">
        <f>IF($W46="","",IF(INDEX('Per Invoice'!D$2:D$801,$W46)="","",INDEX('Per Invoice'!D$2:D$801,$W46)))</f>
        <v/>
      </c>
      <c r="E46">
        <f>IF($W46="","",IF(INDEX('Per Invoice'!E$2:E$801,$W46)="","",INDEX('Per Invoice'!E$2:E$801,$W46)))</f>
        <v/>
      </c>
      <c r="F46">
        <f>IF($W46="","",IF(INDEX('Per Invoice'!F$2:F$801,$W46)="","",INDEX('Per Invoice'!F$2:F$801,$W46)))</f>
        <v/>
      </c>
      <c r="G46">
        <f>IF($W46="","",IF(INDEX('Per Invoice'!G$2:G$801,$W46)="","",INDEX('Per Invoice'!G$2:G$801,$W46)))</f>
        <v/>
      </c>
      <c r="H46">
        <f>IF($W46="","",IF(INDEX('Per Invoice'!H$2:H$801,$W46)="","",INDEX('Per Invoice'!H$2:H$801,$W46)))</f>
        <v/>
      </c>
      <c r="I46">
        <f>IF($W46="","",IF(INDEX('Per Invoice'!I$2:I$801,$W46)="","",INDEX('Per Invoice'!I$2:I$801,$W46)))</f>
        <v/>
      </c>
      <c r="J46">
        <f>IF($W46="","",IF(INDEX('Per Invoice'!J$2:J$801,$W46)="","",INDEX('Per Invoice'!J$2:J$801,$W46)))</f>
        <v/>
      </c>
      <c r="K46" s="7">
        <f>IF($W46="","",IF(INDEX('Per Invoice'!K$2:K$801,$W46)="","",INDEX('Per Invoice'!K$2:K$801,$W46)))</f>
        <v/>
      </c>
      <c r="L46" s="14">
        <f>IF($W46="","",IF(INDEX('Per Invoice'!L$2:L$801,$W46)="","",INDEX('Per Invoice'!L$2:L$801,$W46)))</f>
        <v/>
      </c>
      <c r="M46">
        <f>IF($W46="","",IF(INDEX('Per Invoice'!M$2:M$801,$W46)="","",INDEX('Per Invoice'!M$2:M$801,$W46)))</f>
        <v/>
      </c>
      <c r="N46" s="7">
        <f>IF($W46="","",IF(INDEX('Per Invoice'!N$2:N$801,$W46)="","",INDEX('Per Invoice'!N$2:N$801,$W46)))</f>
        <v/>
      </c>
      <c r="O46" s="7">
        <f>IF($W46="","",IF(INDEX('Per Invoice'!O$2:O$801,$W46)="","",INDEX('Per Invoice'!O$2:O$801,$W46)))</f>
        <v/>
      </c>
      <c r="P46">
        <f>IF($W46="","",IF(INDEX('Per Invoice'!P$2:P$801,$W46)="","",INDEX('Per Invoice'!P$2:P$801,$W46)))</f>
        <v/>
      </c>
      <c r="Q46" s="7">
        <f>IF($W46="","",IF(INDEX('Per Invoice'!Q$2:Q$801,$W46)="","",INDEX('Per Invoice'!Q$2:Q$801,$W46)))</f>
        <v/>
      </c>
      <c r="R46" s="7">
        <f>IF($W46="","",IF(INDEX('Per Invoice'!R$2:R$801,$W46)="","",INDEX('Per Invoice'!R$2:R$801,$W46)))</f>
        <v/>
      </c>
      <c r="S46" s="7">
        <f>IF($W46="","",IF(INDEX('Per Invoice'!S$2:S$801,$W46)="","",INDEX('Per Invoice'!S$2:S$801,$W46)))</f>
        <v/>
      </c>
      <c r="T46" s="7">
        <f>IF($W46="","",IF(INDEX('Per Invoice'!T$2:T$801,$W46)="","",INDEX('Per Invoice'!T$2:T$801,$W46)))</f>
        <v/>
      </c>
      <c r="U46" s="7">
        <f>IF($W46="","",IF(INDEX('Per Invoice'!U$2:U$801,$W46)="","",INDEX('Per Invoice'!U$2:U$801,$W46)))</f>
        <v/>
      </c>
      <c r="V46" s="7">
        <f>IF($W46="","",IF(INDEX('Per Invoice'!V$2:V$801,$W46)="","",INDEX('Per Invoice'!V$2:V$801,$W46)))</f>
        <v/>
      </c>
      <c r="W46" s="16">
        <f>IFERROR(MATCH(Settings!$C$31&amp;"|"&amp;ROWS($W$2:$W46),'Per Invoice'!$X$2:$X$801,0),"")</f>
        <v/>
      </c>
    </row>
    <row r="47">
      <c r="A47">
        <f>IF($W47="","",IF(INDEX('Per Invoice'!A$2:A$801,$W47)="","",INDEX('Per Invoice'!A$2:A$801,$W47)))</f>
        <v/>
      </c>
      <c r="B47">
        <f>IF($W47="","",IF(INDEX('Per Invoice'!B$2:B$801,$W47)="","",INDEX('Per Invoice'!B$2:B$801,$W47)))</f>
        <v/>
      </c>
      <c r="C47">
        <f>IF($W47="","",IF(INDEX('Per Invoice'!C$2:C$801,$W47)="","",INDEX('Per Invoice'!C$2:C$801,$W47)))</f>
        <v/>
      </c>
      <c r="D47">
        <f>IF($W47="","",IF(INDEX('Per Invoice'!D$2:D$801,$W47)="","",INDEX('Per Invoice'!D$2:D$801,$W47)))</f>
        <v/>
      </c>
      <c r="E47">
        <f>IF($W47="","",IF(INDEX('Per Invoice'!E$2:E$801,$W47)="","",INDEX('Per Invoice'!E$2:E$801,$W47)))</f>
        <v/>
      </c>
      <c r="F47">
        <f>IF($W47="","",IF(INDEX('Per Invoice'!F$2:F$801,$W47)="","",INDEX('Per Invoice'!F$2:F$801,$W47)))</f>
        <v/>
      </c>
      <c r="G47">
        <f>IF($W47="","",IF(INDEX('Per Invoice'!G$2:G$801,$W47)="","",INDEX('Per Invoice'!G$2:G$801,$W47)))</f>
        <v/>
      </c>
      <c r="H47">
        <f>IF($W47="","",IF(INDEX('Per Invoice'!H$2:H$801,$W47)="","",INDEX('Per Invoice'!H$2:H$801,$W47)))</f>
        <v/>
      </c>
      <c r="I47">
        <f>IF($W47="","",IF(INDEX('Per Invoice'!I$2:I$801,$W47)="","",INDEX('Per Invoice'!I$2:I$801,$W47)))</f>
        <v/>
      </c>
      <c r="J47">
        <f>IF($W47="","",IF(INDEX('Per Invoice'!J$2:J$801,$W47)="","",INDEX('Per Invoice'!J$2:J$801,$W47)))</f>
        <v/>
      </c>
      <c r="K47" s="7">
        <f>IF($W47="","",IF(INDEX('Per Invoice'!K$2:K$801,$W47)="","",INDEX('Per Invoice'!K$2:K$801,$W47)))</f>
        <v/>
      </c>
      <c r="L47" s="14">
        <f>IF($W47="","",IF(INDEX('Per Invoice'!L$2:L$801,$W47)="","",INDEX('Per Invoice'!L$2:L$801,$W47)))</f>
        <v/>
      </c>
      <c r="M47">
        <f>IF($W47="","",IF(INDEX('Per Invoice'!M$2:M$801,$W47)="","",INDEX('Per Invoice'!M$2:M$801,$W47)))</f>
        <v/>
      </c>
      <c r="N47" s="7">
        <f>IF($W47="","",IF(INDEX('Per Invoice'!N$2:N$801,$W47)="","",INDEX('Per Invoice'!N$2:N$801,$W47)))</f>
        <v/>
      </c>
      <c r="O47" s="7">
        <f>IF($W47="","",IF(INDEX('Per Invoice'!O$2:O$801,$W47)="","",INDEX('Per Invoice'!O$2:O$801,$W47)))</f>
        <v/>
      </c>
      <c r="P47">
        <f>IF($W47="","",IF(INDEX('Per Invoice'!P$2:P$801,$W47)="","",INDEX('Per Invoice'!P$2:P$801,$W47)))</f>
        <v/>
      </c>
      <c r="Q47" s="7">
        <f>IF($W47="","",IF(INDEX('Per Invoice'!Q$2:Q$801,$W47)="","",INDEX('Per Invoice'!Q$2:Q$801,$W47)))</f>
        <v/>
      </c>
      <c r="R47" s="7">
        <f>IF($W47="","",IF(INDEX('Per Invoice'!R$2:R$801,$W47)="","",INDEX('Per Invoice'!R$2:R$801,$W47)))</f>
        <v/>
      </c>
      <c r="S47" s="7">
        <f>IF($W47="","",IF(INDEX('Per Invoice'!S$2:S$801,$W47)="","",INDEX('Per Invoice'!S$2:S$801,$W47)))</f>
        <v/>
      </c>
      <c r="T47" s="7">
        <f>IF($W47="","",IF(INDEX('Per Invoice'!T$2:T$801,$W47)="","",INDEX('Per Invoice'!T$2:T$801,$W47)))</f>
        <v/>
      </c>
      <c r="U47" s="7">
        <f>IF($W47="","",IF(INDEX('Per Invoice'!U$2:U$801,$W47)="","",INDEX('Per Invoice'!U$2:U$801,$W47)))</f>
        <v/>
      </c>
      <c r="V47" s="7">
        <f>IF($W47="","",IF(INDEX('Per Invoice'!V$2:V$801,$W47)="","",INDEX('Per Invoice'!V$2:V$801,$W47)))</f>
        <v/>
      </c>
      <c r="W47" s="16">
        <f>IFERROR(MATCH(Settings!$C$31&amp;"|"&amp;ROWS($W$2:$W47),'Per Invoice'!$X$2:$X$801,0),"")</f>
        <v/>
      </c>
    </row>
    <row r="48">
      <c r="A48">
        <f>IF($W48="","",IF(INDEX('Per Invoice'!A$2:A$801,$W48)="","",INDEX('Per Invoice'!A$2:A$801,$W48)))</f>
        <v/>
      </c>
      <c r="B48">
        <f>IF($W48="","",IF(INDEX('Per Invoice'!B$2:B$801,$W48)="","",INDEX('Per Invoice'!B$2:B$801,$W48)))</f>
        <v/>
      </c>
      <c r="C48">
        <f>IF($W48="","",IF(INDEX('Per Invoice'!C$2:C$801,$W48)="","",INDEX('Per Invoice'!C$2:C$801,$W48)))</f>
        <v/>
      </c>
      <c r="D48">
        <f>IF($W48="","",IF(INDEX('Per Invoice'!D$2:D$801,$W48)="","",INDEX('Per Invoice'!D$2:D$801,$W48)))</f>
        <v/>
      </c>
      <c r="E48">
        <f>IF($W48="","",IF(INDEX('Per Invoice'!E$2:E$801,$W48)="","",INDEX('Per Invoice'!E$2:E$801,$W48)))</f>
        <v/>
      </c>
      <c r="F48">
        <f>IF($W48="","",IF(INDEX('Per Invoice'!F$2:F$801,$W48)="","",INDEX('Per Invoice'!F$2:F$801,$W48)))</f>
        <v/>
      </c>
      <c r="G48">
        <f>IF($W48="","",IF(INDEX('Per Invoice'!G$2:G$801,$W48)="","",INDEX('Per Invoice'!G$2:G$801,$W48)))</f>
        <v/>
      </c>
      <c r="H48">
        <f>IF($W48="","",IF(INDEX('Per Invoice'!H$2:H$801,$W48)="","",INDEX('Per Invoice'!H$2:H$801,$W48)))</f>
        <v/>
      </c>
      <c r="I48">
        <f>IF($W48="","",IF(INDEX('Per Invoice'!I$2:I$801,$W48)="","",INDEX('Per Invoice'!I$2:I$801,$W48)))</f>
        <v/>
      </c>
      <c r="J48">
        <f>IF($W48="","",IF(INDEX('Per Invoice'!J$2:J$801,$W48)="","",INDEX('Per Invoice'!J$2:J$801,$W48)))</f>
        <v/>
      </c>
      <c r="K48" s="7">
        <f>IF($W48="","",IF(INDEX('Per Invoice'!K$2:K$801,$W48)="","",INDEX('Per Invoice'!K$2:K$801,$W48)))</f>
        <v/>
      </c>
      <c r="L48" s="14">
        <f>IF($W48="","",IF(INDEX('Per Invoice'!L$2:L$801,$W48)="","",INDEX('Per Invoice'!L$2:L$801,$W48)))</f>
        <v/>
      </c>
      <c r="M48">
        <f>IF($W48="","",IF(INDEX('Per Invoice'!M$2:M$801,$W48)="","",INDEX('Per Invoice'!M$2:M$801,$W48)))</f>
        <v/>
      </c>
      <c r="N48" s="7">
        <f>IF($W48="","",IF(INDEX('Per Invoice'!N$2:N$801,$W48)="","",INDEX('Per Invoice'!N$2:N$801,$W48)))</f>
        <v/>
      </c>
      <c r="O48" s="7">
        <f>IF($W48="","",IF(INDEX('Per Invoice'!O$2:O$801,$W48)="","",INDEX('Per Invoice'!O$2:O$801,$W48)))</f>
        <v/>
      </c>
      <c r="P48">
        <f>IF($W48="","",IF(INDEX('Per Invoice'!P$2:P$801,$W48)="","",INDEX('Per Invoice'!P$2:P$801,$W48)))</f>
        <v/>
      </c>
      <c r="Q48" s="7">
        <f>IF($W48="","",IF(INDEX('Per Invoice'!Q$2:Q$801,$W48)="","",INDEX('Per Invoice'!Q$2:Q$801,$W48)))</f>
        <v/>
      </c>
      <c r="R48" s="7">
        <f>IF($W48="","",IF(INDEX('Per Invoice'!R$2:R$801,$W48)="","",INDEX('Per Invoice'!R$2:R$801,$W48)))</f>
        <v/>
      </c>
      <c r="S48" s="7">
        <f>IF($W48="","",IF(INDEX('Per Invoice'!S$2:S$801,$W48)="","",INDEX('Per Invoice'!S$2:S$801,$W48)))</f>
        <v/>
      </c>
      <c r="T48" s="7">
        <f>IF($W48="","",IF(INDEX('Per Invoice'!T$2:T$801,$W48)="","",INDEX('Per Invoice'!T$2:T$801,$W48)))</f>
        <v/>
      </c>
      <c r="U48" s="7">
        <f>IF($W48="","",IF(INDEX('Per Invoice'!U$2:U$801,$W48)="","",INDEX('Per Invoice'!U$2:U$801,$W48)))</f>
        <v/>
      </c>
      <c r="V48" s="7">
        <f>IF($W48="","",IF(INDEX('Per Invoice'!V$2:V$801,$W48)="","",INDEX('Per Invoice'!V$2:V$801,$W48)))</f>
        <v/>
      </c>
      <c r="W48" s="16">
        <f>IFERROR(MATCH(Settings!$C$31&amp;"|"&amp;ROWS($W$2:$W48),'Per Invoice'!$X$2:$X$801,0),"")</f>
        <v/>
      </c>
    </row>
    <row r="49">
      <c r="A49">
        <f>IF($W49="","",IF(INDEX('Per Invoice'!A$2:A$801,$W49)="","",INDEX('Per Invoice'!A$2:A$801,$W49)))</f>
        <v/>
      </c>
      <c r="B49">
        <f>IF($W49="","",IF(INDEX('Per Invoice'!B$2:B$801,$W49)="","",INDEX('Per Invoice'!B$2:B$801,$W49)))</f>
        <v/>
      </c>
      <c r="C49">
        <f>IF($W49="","",IF(INDEX('Per Invoice'!C$2:C$801,$W49)="","",INDEX('Per Invoice'!C$2:C$801,$W49)))</f>
        <v/>
      </c>
      <c r="D49">
        <f>IF($W49="","",IF(INDEX('Per Invoice'!D$2:D$801,$W49)="","",INDEX('Per Invoice'!D$2:D$801,$W49)))</f>
        <v/>
      </c>
      <c r="E49">
        <f>IF($W49="","",IF(INDEX('Per Invoice'!E$2:E$801,$W49)="","",INDEX('Per Invoice'!E$2:E$801,$W49)))</f>
        <v/>
      </c>
      <c r="F49">
        <f>IF($W49="","",IF(INDEX('Per Invoice'!F$2:F$801,$W49)="","",INDEX('Per Invoice'!F$2:F$801,$W49)))</f>
        <v/>
      </c>
      <c r="G49">
        <f>IF($W49="","",IF(INDEX('Per Invoice'!G$2:G$801,$W49)="","",INDEX('Per Invoice'!G$2:G$801,$W49)))</f>
        <v/>
      </c>
      <c r="H49">
        <f>IF($W49="","",IF(INDEX('Per Invoice'!H$2:H$801,$W49)="","",INDEX('Per Invoice'!H$2:H$801,$W49)))</f>
        <v/>
      </c>
      <c r="I49">
        <f>IF($W49="","",IF(INDEX('Per Invoice'!I$2:I$801,$W49)="","",INDEX('Per Invoice'!I$2:I$801,$W49)))</f>
        <v/>
      </c>
      <c r="J49">
        <f>IF($W49="","",IF(INDEX('Per Invoice'!J$2:J$801,$W49)="","",INDEX('Per Invoice'!J$2:J$801,$W49)))</f>
        <v/>
      </c>
      <c r="K49" s="7">
        <f>IF($W49="","",IF(INDEX('Per Invoice'!K$2:K$801,$W49)="","",INDEX('Per Invoice'!K$2:K$801,$W49)))</f>
        <v/>
      </c>
      <c r="L49" s="14">
        <f>IF($W49="","",IF(INDEX('Per Invoice'!L$2:L$801,$W49)="","",INDEX('Per Invoice'!L$2:L$801,$W49)))</f>
        <v/>
      </c>
      <c r="M49">
        <f>IF($W49="","",IF(INDEX('Per Invoice'!M$2:M$801,$W49)="","",INDEX('Per Invoice'!M$2:M$801,$W49)))</f>
        <v/>
      </c>
      <c r="N49" s="7">
        <f>IF($W49="","",IF(INDEX('Per Invoice'!N$2:N$801,$W49)="","",INDEX('Per Invoice'!N$2:N$801,$W49)))</f>
        <v/>
      </c>
      <c r="O49" s="7">
        <f>IF($W49="","",IF(INDEX('Per Invoice'!O$2:O$801,$W49)="","",INDEX('Per Invoice'!O$2:O$801,$W49)))</f>
        <v/>
      </c>
      <c r="P49">
        <f>IF($W49="","",IF(INDEX('Per Invoice'!P$2:P$801,$W49)="","",INDEX('Per Invoice'!P$2:P$801,$W49)))</f>
        <v/>
      </c>
      <c r="Q49" s="7">
        <f>IF($W49="","",IF(INDEX('Per Invoice'!Q$2:Q$801,$W49)="","",INDEX('Per Invoice'!Q$2:Q$801,$W49)))</f>
        <v/>
      </c>
      <c r="R49" s="7">
        <f>IF($W49="","",IF(INDEX('Per Invoice'!R$2:R$801,$W49)="","",INDEX('Per Invoice'!R$2:R$801,$W49)))</f>
        <v/>
      </c>
      <c r="S49" s="7">
        <f>IF($W49="","",IF(INDEX('Per Invoice'!S$2:S$801,$W49)="","",INDEX('Per Invoice'!S$2:S$801,$W49)))</f>
        <v/>
      </c>
      <c r="T49" s="7">
        <f>IF($W49="","",IF(INDEX('Per Invoice'!T$2:T$801,$W49)="","",INDEX('Per Invoice'!T$2:T$801,$W49)))</f>
        <v/>
      </c>
      <c r="U49" s="7">
        <f>IF($W49="","",IF(INDEX('Per Invoice'!U$2:U$801,$W49)="","",INDEX('Per Invoice'!U$2:U$801,$W49)))</f>
        <v/>
      </c>
      <c r="V49" s="7">
        <f>IF($W49="","",IF(INDEX('Per Invoice'!V$2:V$801,$W49)="","",INDEX('Per Invoice'!V$2:V$801,$W49)))</f>
        <v/>
      </c>
      <c r="W49" s="16">
        <f>IFERROR(MATCH(Settings!$C$31&amp;"|"&amp;ROWS($W$2:$W49),'Per Invoice'!$X$2:$X$801,0),"")</f>
        <v/>
      </c>
    </row>
    <row r="50">
      <c r="A50">
        <f>IF($W50="","",IF(INDEX('Per Invoice'!A$2:A$801,$W50)="","",INDEX('Per Invoice'!A$2:A$801,$W50)))</f>
        <v/>
      </c>
      <c r="B50">
        <f>IF($W50="","",IF(INDEX('Per Invoice'!B$2:B$801,$W50)="","",INDEX('Per Invoice'!B$2:B$801,$W50)))</f>
        <v/>
      </c>
      <c r="C50">
        <f>IF($W50="","",IF(INDEX('Per Invoice'!C$2:C$801,$W50)="","",INDEX('Per Invoice'!C$2:C$801,$W50)))</f>
        <v/>
      </c>
      <c r="D50">
        <f>IF($W50="","",IF(INDEX('Per Invoice'!D$2:D$801,$W50)="","",INDEX('Per Invoice'!D$2:D$801,$W50)))</f>
        <v/>
      </c>
      <c r="E50">
        <f>IF($W50="","",IF(INDEX('Per Invoice'!E$2:E$801,$W50)="","",INDEX('Per Invoice'!E$2:E$801,$W50)))</f>
        <v/>
      </c>
      <c r="F50">
        <f>IF($W50="","",IF(INDEX('Per Invoice'!F$2:F$801,$W50)="","",INDEX('Per Invoice'!F$2:F$801,$W50)))</f>
        <v/>
      </c>
      <c r="G50">
        <f>IF($W50="","",IF(INDEX('Per Invoice'!G$2:G$801,$W50)="","",INDEX('Per Invoice'!G$2:G$801,$W50)))</f>
        <v/>
      </c>
      <c r="H50">
        <f>IF($W50="","",IF(INDEX('Per Invoice'!H$2:H$801,$W50)="","",INDEX('Per Invoice'!H$2:H$801,$W50)))</f>
        <v/>
      </c>
      <c r="I50">
        <f>IF($W50="","",IF(INDEX('Per Invoice'!I$2:I$801,$W50)="","",INDEX('Per Invoice'!I$2:I$801,$W50)))</f>
        <v/>
      </c>
      <c r="J50">
        <f>IF($W50="","",IF(INDEX('Per Invoice'!J$2:J$801,$W50)="","",INDEX('Per Invoice'!J$2:J$801,$W50)))</f>
        <v/>
      </c>
      <c r="K50" s="7">
        <f>IF($W50="","",IF(INDEX('Per Invoice'!K$2:K$801,$W50)="","",INDEX('Per Invoice'!K$2:K$801,$W50)))</f>
        <v/>
      </c>
      <c r="L50" s="14">
        <f>IF($W50="","",IF(INDEX('Per Invoice'!L$2:L$801,$W50)="","",INDEX('Per Invoice'!L$2:L$801,$W50)))</f>
        <v/>
      </c>
      <c r="M50">
        <f>IF($W50="","",IF(INDEX('Per Invoice'!M$2:M$801,$W50)="","",INDEX('Per Invoice'!M$2:M$801,$W50)))</f>
        <v/>
      </c>
      <c r="N50" s="7">
        <f>IF($W50="","",IF(INDEX('Per Invoice'!N$2:N$801,$W50)="","",INDEX('Per Invoice'!N$2:N$801,$W50)))</f>
        <v/>
      </c>
      <c r="O50" s="7">
        <f>IF($W50="","",IF(INDEX('Per Invoice'!O$2:O$801,$W50)="","",INDEX('Per Invoice'!O$2:O$801,$W50)))</f>
        <v/>
      </c>
      <c r="P50">
        <f>IF($W50="","",IF(INDEX('Per Invoice'!P$2:P$801,$W50)="","",INDEX('Per Invoice'!P$2:P$801,$W50)))</f>
        <v/>
      </c>
      <c r="Q50" s="7">
        <f>IF($W50="","",IF(INDEX('Per Invoice'!Q$2:Q$801,$W50)="","",INDEX('Per Invoice'!Q$2:Q$801,$W50)))</f>
        <v/>
      </c>
      <c r="R50" s="7">
        <f>IF($W50="","",IF(INDEX('Per Invoice'!R$2:R$801,$W50)="","",INDEX('Per Invoice'!R$2:R$801,$W50)))</f>
        <v/>
      </c>
      <c r="S50" s="7">
        <f>IF($W50="","",IF(INDEX('Per Invoice'!S$2:S$801,$W50)="","",INDEX('Per Invoice'!S$2:S$801,$W50)))</f>
        <v/>
      </c>
      <c r="T50" s="7">
        <f>IF($W50="","",IF(INDEX('Per Invoice'!T$2:T$801,$W50)="","",INDEX('Per Invoice'!T$2:T$801,$W50)))</f>
        <v/>
      </c>
      <c r="U50" s="7">
        <f>IF($W50="","",IF(INDEX('Per Invoice'!U$2:U$801,$W50)="","",INDEX('Per Invoice'!U$2:U$801,$W50)))</f>
        <v/>
      </c>
      <c r="V50" s="7">
        <f>IF($W50="","",IF(INDEX('Per Invoice'!V$2:V$801,$W50)="","",INDEX('Per Invoice'!V$2:V$801,$W50)))</f>
        <v/>
      </c>
      <c r="W50" s="16">
        <f>IFERROR(MATCH(Settings!$C$31&amp;"|"&amp;ROWS($W$2:$W50),'Per Invoice'!$X$2:$X$801,0),"")</f>
        <v/>
      </c>
    </row>
    <row r="51">
      <c r="A51">
        <f>IF($W51="","",IF(INDEX('Per Invoice'!A$2:A$801,$W51)="","",INDEX('Per Invoice'!A$2:A$801,$W51)))</f>
        <v/>
      </c>
      <c r="B51">
        <f>IF($W51="","",IF(INDEX('Per Invoice'!B$2:B$801,$W51)="","",INDEX('Per Invoice'!B$2:B$801,$W51)))</f>
        <v/>
      </c>
      <c r="C51">
        <f>IF($W51="","",IF(INDEX('Per Invoice'!C$2:C$801,$W51)="","",INDEX('Per Invoice'!C$2:C$801,$W51)))</f>
        <v/>
      </c>
      <c r="D51">
        <f>IF($W51="","",IF(INDEX('Per Invoice'!D$2:D$801,$W51)="","",INDEX('Per Invoice'!D$2:D$801,$W51)))</f>
        <v/>
      </c>
      <c r="E51">
        <f>IF($W51="","",IF(INDEX('Per Invoice'!E$2:E$801,$W51)="","",INDEX('Per Invoice'!E$2:E$801,$W51)))</f>
        <v/>
      </c>
      <c r="F51">
        <f>IF($W51="","",IF(INDEX('Per Invoice'!F$2:F$801,$W51)="","",INDEX('Per Invoice'!F$2:F$801,$W51)))</f>
        <v/>
      </c>
      <c r="G51">
        <f>IF($W51="","",IF(INDEX('Per Invoice'!G$2:G$801,$W51)="","",INDEX('Per Invoice'!G$2:G$801,$W51)))</f>
        <v/>
      </c>
      <c r="H51">
        <f>IF($W51="","",IF(INDEX('Per Invoice'!H$2:H$801,$W51)="","",INDEX('Per Invoice'!H$2:H$801,$W51)))</f>
        <v/>
      </c>
      <c r="I51">
        <f>IF($W51="","",IF(INDEX('Per Invoice'!I$2:I$801,$W51)="","",INDEX('Per Invoice'!I$2:I$801,$W51)))</f>
        <v/>
      </c>
      <c r="J51">
        <f>IF($W51="","",IF(INDEX('Per Invoice'!J$2:J$801,$W51)="","",INDEX('Per Invoice'!J$2:J$801,$W51)))</f>
        <v/>
      </c>
      <c r="K51" s="7">
        <f>IF($W51="","",IF(INDEX('Per Invoice'!K$2:K$801,$W51)="","",INDEX('Per Invoice'!K$2:K$801,$W51)))</f>
        <v/>
      </c>
      <c r="L51" s="14">
        <f>IF($W51="","",IF(INDEX('Per Invoice'!L$2:L$801,$W51)="","",INDEX('Per Invoice'!L$2:L$801,$W51)))</f>
        <v/>
      </c>
      <c r="M51">
        <f>IF($W51="","",IF(INDEX('Per Invoice'!M$2:M$801,$W51)="","",INDEX('Per Invoice'!M$2:M$801,$W51)))</f>
        <v/>
      </c>
      <c r="N51" s="7">
        <f>IF($W51="","",IF(INDEX('Per Invoice'!N$2:N$801,$W51)="","",INDEX('Per Invoice'!N$2:N$801,$W51)))</f>
        <v/>
      </c>
      <c r="O51" s="7">
        <f>IF($W51="","",IF(INDEX('Per Invoice'!O$2:O$801,$W51)="","",INDEX('Per Invoice'!O$2:O$801,$W51)))</f>
        <v/>
      </c>
      <c r="P51">
        <f>IF($W51="","",IF(INDEX('Per Invoice'!P$2:P$801,$W51)="","",INDEX('Per Invoice'!P$2:P$801,$W51)))</f>
        <v/>
      </c>
      <c r="Q51" s="7">
        <f>IF($W51="","",IF(INDEX('Per Invoice'!Q$2:Q$801,$W51)="","",INDEX('Per Invoice'!Q$2:Q$801,$W51)))</f>
        <v/>
      </c>
      <c r="R51" s="7">
        <f>IF($W51="","",IF(INDEX('Per Invoice'!R$2:R$801,$W51)="","",INDEX('Per Invoice'!R$2:R$801,$W51)))</f>
        <v/>
      </c>
      <c r="S51" s="7">
        <f>IF($W51="","",IF(INDEX('Per Invoice'!S$2:S$801,$W51)="","",INDEX('Per Invoice'!S$2:S$801,$W51)))</f>
        <v/>
      </c>
      <c r="T51" s="7">
        <f>IF($W51="","",IF(INDEX('Per Invoice'!T$2:T$801,$W51)="","",INDEX('Per Invoice'!T$2:T$801,$W51)))</f>
        <v/>
      </c>
      <c r="U51" s="7">
        <f>IF($W51="","",IF(INDEX('Per Invoice'!U$2:U$801,$W51)="","",INDEX('Per Invoice'!U$2:U$801,$W51)))</f>
        <v/>
      </c>
      <c r="V51" s="7">
        <f>IF($W51="","",IF(INDEX('Per Invoice'!V$2:V$801,$W51)="","",INDEX('Per Invoice'!V$2:V$801,$W51)))</f>
        <v/>
      </c>
      <c r="W51" s="16">
        <f>IFERROR(MATCH(Settings!$C$31&amp;"|"&amp;ROWS($W$2:$W51),'Per Invoice'!$X$2:$X$801,0),"")</f>
        <v/>
      </c>
    </row>
    <row r="52">
      <c r="A52">
        <f>IF($W52="","",IF(INDEX('Per Invoice'!A$2:A$801,$W52)="","",INDEX('Per Invoice'!A$2:A$801,$W52)))</f>
        <v/>
      </c>
      <c r="B52">
        <f>IF($W52="","",IF(INDEX('Per Invoice'!B$2:B$801,$W52)="","",INDEX('Per Invoice'!B$2:B$801,$W52)))</f>
        <v/>
      </c>
      <c r="C52">
        <f>IF($W52="","",IF(INDEX('Per Invoice'!C$2:C$801,$W52)="","",INDEX('Per Invoice'!C$2:C$801,$W52)))</f>
        <v/>
      </c>
      <c r="D52">
        <f>IF($W52="","",IF(INDEX('Per Invoice'!D$2:D$801,$W52)="","",INDEX('Per Invoice'!D$2:D$801,$W52)))</f>
        <v/>
      </c>
      <c r="E52">
        <f>IF($W52="","",IF(INDEX('Per Invoice'!E$2:E$801,$W52)="","",INDEX('Per Invoice'!E$2:E$801,$W52)))</f>
        <v/>
      </c>
      <c r="F52">
        <f>IF($W52="","",IF(INDEX('Per Invoice'!F$2:F$801,$W52)="","",INDEX('Per Invoice'!F$2:F$801,$W52)))</f>
        <v/>
      </c>
      <c r="G52">
        <f>IF($W52="","",IF(INDEX('Per Invoice'!G$2:G$801,$W52)="","",INDEX('Per Invoice'!G$2:G$801,$W52)))</f>
        <v/>
      </c>
      <c r="H52">
        <f>IF($W52="","",IF(INDEX('Per Invoice'!H$2:H$801,$W52)="","",INDEX('Per Invoice'!H$2:H$801,$W52)))</f>
        <v/>
      </c>
      <c r="I52">
        <f>IF($W52="","",IF(INDEX('Per Invoice'!I$2:I$801,$W52)="","",INDEX('Per Invoice'!I$2:I$801,$W52)))</f>
        <v/>
      </c>
      <c r="J52">
        <f>IF($W52="","",IF(INDEX('Per Invoice'!J$2:J$801,$W52)="","",INDEX('Per Invoice'!J$2:J$801,$W52)))</f>
        <v/>
      </c>
      <c r="K52" s="7">
        <f>IF($W52="","",IF(INDEX('Per Invoice'!K$2:K$801,$W52)="","",INDEX('Per Invoice'!K$2:K$801,$W52)))</f>
        <v/>
      </c>
      <c r="L52" s="14">
        <f>IF($W52="","",IF(INDEX('Per Invoice'!L$2:L$801,$W52)="","",INDEX('Per Invoice'!L$2:L$801,$W52)))</f>
        <v/>
      </c>
      <c r="M52">
        <f>IF($W52="","",IF(INDEX('Per Invoice'!M$2:M$801,$W52)="","",INDEX('Per Invoice'!M$2:M$801,$W52)))</f>
        <v/>
      </c>
      <c r="N52" s="7">
        <f>IF($W52="","",IF(INDEX('Per Invoice'!N$2:N$801,$W52)="","",INDEX('Per Invoice'!N$2:N$801,$W52)))</f>
        <v/>
      </c>
      <c r="O52" s="7">
        <f>IF($W52="","",IF(INDEX('Per Invoice'!O$2:O$801,$W52)="","",INDEX('Per Invoice'!O$2:O$801,$W52)))</f>
        <v/>
      </c>
      <c r="P52">
        <f>IF($W52="","",IF(INDEX('Per Invoice'!P$2:P$801,$W52)="","",INDEX('Per Invoice'!P$2:P$801,$W52)))</f>
        <v/>
      </c>
      <c r="Q52" s="7">
        <f>IF($W52="","",IF(INDEX('Per Invoice'!Q$2:Q$801,$W52)="","",INDEX('Per Invoice'!Q$2:Q$801,$W52)))</f>
        <v/>
      </c>
      <c r="R52" s="7">
        <f>IF($W52="","",IF(INDEX('Per Invoice'!R$2:R$801,$W52)="","",INDEX('Per Invoice'!R$2:R$801,$W52)))</f>
        <v/>
      </c>
      <c r="S52" s="7">
        <f>IF($W52="","",IF(INDEX('Per Invoice'!S$2:S$801,$W52)="","",INDEX('Per Invoice'!S$2:S$801,$W52)))</f>
        <v/>
      </c>
      <c r="T52" s="7">
        <f>IF($W52="","",IF(INDEX('Per Invoice'!T$2:T$801,$W52)="","",INDEX('Per Invoice'!T$2:T$801,$W52)))</f>
        <v/>
      </c>
      <c r="U52" s="7">
        <f>IF($W52="","",IF(INDEX('Per Invoice'!U$2:U$801,$W52)="","",INDEX('Per Invoice'!U$2:U$801,$W52)))</f>
        <v/>
      </c>
      <c r="V52" s="7">
        <f>IF($W52="","",IF(INDEX('Per Invoice'!V$2:V$801,$W52)="","",INDEX('Per Invoice'!V$2:V$801,$W52)))</f>
        <v/>
      </c>
      <c r="W52" s="16">
        <f>IFERROR(MATCH(Settings!$C$31&amp;"|"&amp;ROWS($W$2:$W52),'Per Invoice'!$X$2:$X$801,0),"")</f>
        <v/>
      </c>
    </row>
    <row r="53">
      <c r="A53">
        <f>IF($W53="","",IF(INDEX('Per Invoice'!A$2:A$801,$W53)="","",INDEX('Per Invoice'!A$2:A$801,$W53)))</f>
        <v/>
      </c>
      <c r="B53">
        <f>IF($W53="","",IF(INDEX('Per Invoice'!B$2:B$801,$W53)="","",INDEX('Per Invoice'!B$2:B$801,$W53)))</f>
        <v/>
      </c>
      <c r="C53">
        <f>IF($W53="","",IF(INDEX('Per Invoice'!C$2:C$801,$W53)="","",INDEX('Per Invoice'!C$2:C$801,$W53)))</f>
        <v/>
      </c>
      <c r="D53">
        <f>IF($W53="","",IF(INDEX('Per Invoice'!D$2:D$801,$W53)="","",INDEX('Per Invoice'!D$2:D$801,$W53)))</f>
        <v/>
      </c>
      <c r="E53">
        <f>IF($W53="","",IF(INDEX('Per Invoice'!E$2:E$801,$W53)="","",INDEX('Per Invoice'!E$2:E$801,$W53)))</f>
        <v/>
      </c>
      <c r="F53">
        <f>IF($W53="","",IF(INDEX('Per Invoice'!F$2:F$801,$W53)="","",INDEX('Per Invoice'!F$2:F$801,$W53)))</f>
        <v/>
      </c>
      <c r="G53">
        <f>IF($W53="","",IF(INDEX('Per Invoice'!G$2:G$801,$W53)="","",INDEX('Per Invoice'!G$2:G$801,$W53)))</f>
        <v/>
      </c>
      <c r="H53">
        <f>IF($W53="","",IF(INDEX('Per Invoice'!H$2:H$801,$W53)="","",INDEX('Per Invoice'!H$2:H$801,$W53)))</f>
        <v/>
      </c>
      <c r="I53">
        <f>IF($W53="","",IF(INDEX('Per Invoice'!I$2:I$801,$W53)="","",INDEX('Per Invoice'!I$2:I$801,$W53)))</f>
        <v/>
      </c>
      <c r="J53">
        <f>IF($W53="","",IF(INDEX('Per Invoice'!J$2:J$801,$W53)="","",INDEX('Per Invoice'!J$2:J$801,$W53)))</f>
        <v/>
      </c>
      <c r="K53" s="7">
        <f>IF($W53="","",IF(INDEX('Per Invoice'!K$2:K$801,$W53)="","",INDEX('Per Invoice'!K$2:K$801,$W53)))</f>
        <v/>
      </c>
      <c r="L53" s="14">
        <f>IF($W53="","",IF(INDEX('Per Invoice'!L$2:L$801,$W53)="","",INDEX('Per Invoice'!L$2:L$801,$W53)))</f>
        <v/>
      </c>
      <c r="M53">
        <f>IF($W53="","",IF(INDEX('Per Invoice'!M$2:M$801,$W53)="","",INDEX('Per Invoice'!M$2:M$801,$W53)))</f>
        <v/>
      </c>
      <c r="N53" s="7">
        <f>IF($W53="","",IF(INDEX('Per Invoice'!N$2:N$801,$W53)="","",INDEX('Per Invoice'!N$2:N$801,$W53)))</f>
        <v/>
      </c>
      <c r="O53" s="7">
        <f>IF($W53="","",IF(INDEX('Per Invoice'!O$2:O$801,$W53)="","",INDEX('Per Invoice'!O$2:O$801,$W53)))</f>
        <v/>
      </c>
      <c r="P53">
        <f>IF($W53="","",IF(INDEX('Per Invoice'!P$2:P$801,$W53)="","",INDEX('Per Invoice'!P$2:P$801,$W53)))</f>
        <v/>
      </c>
      <c r="Q53" s="7">
        <f>IF($W53="","",IF(INDEX('Per Invoice'!Q$2:Q$801,$W53)="","",INDEX('Per Invoice'!Q$2:Q$801,$W53)))</f>
        <v/>
      </c>
      <c r="R53" s="7">
        <f>IF($W53="","",IF(INDEX('Per Invoice'!R$2:R$801,$W53)="","",INDEX('Per Invoice'!R$2:R$801,$W53)))</f>
        <v/>
      </c>
      <c r="S53" s="7">
        <f>IF($W53="","",IF(INDEX('Per Invoice'!S$2:S$801,$W53)="","",INDEX('Per Invoice'!S$2:S$801,$W53)))</f>
        <v/>
      </c>
      <c r="T53" s="7">
        <f>IF($W53="","",IF(INDEX('Per Invoice'!T$2:T$801,$W53)="","",INDEX('Per Invoice'!T$2:T$801,$W53)))</f>
        <v/>
      </c>
      <c r="U53" s="7">
        <f>IF($W53="","",IF(INDEX('Per Invoice'!U$2:U$801,$W53)="","",INDEX('Per Invoice'!U$2:U$801,$W53)))</f>
        <v/>
      </c>
      <c r="V53" s="7">
        <f>IF($W53="","",IF(INDEX('Per Invoice'!V$2:V$801,$W53)="","",INDEX('Per Invoice'!V$2:V$801,$W53)))</f>
        <v/>
      </c>
      <c r="W53" s="16">
        <f>IFERROR(MATCH(Settings!$C$31&amp;"|"&amp;ROWS($W$2:$W53),'Per Invoice'!$X$2:$X$801,0),"")</f>
        <v/>
      </c>
    </row>
    <row r="54">
      <c r="A54">
        <f>IF($W54="","",IF(INDEX('Per Invoice'!A$2:A$801,$W54)="","",INDEX('Per Invoice'!A$2:A$801,$W54)))</f>
        <v/>
      </c>
      <c r="B54">
        <f>IF($W54="","",IF(INDEX('Per Invoice'!B$2:B$801,$W54)="","",INDEX('Per Invoice'!B$2:B$801,$W54)))</f>
        <v/>
      </c>
      <c r="C54">
        <f>IF($W54="","",IF(INDEX('Per Invoice'!C$2:C$801,$W54)="","",INDEX('Per Invoice'!C$2:C$801,$W54)))</f>
        <v/>
      </c>
      <c r="D54">
        <f>IF($W54="","",IF(INDEX('Per Invoice'!D$2:D$801,$W54)="","",INDEX('Per Invoice'!D$2:D$801,$W54)))</f>
        <v/>
      </c>
      <c r="E54">
        <f>IF($W54="","",IF(INDEX('Per Invoice'!E$2:E$801,$W54)="","",INDEX('Per Invoice'!E$2:E$801,$W54)))</f>
        <v/>
      </c>
      <c r="F54">
        <f>IF($W54="","",IF(INDEX('Per Invoice'!F$2:F$801,$W54)="","",INDEX('Per Invoice'!F$2:F$801,$W54)))</f>
        <v/>
      </c>
      <c r="G54">
        <f>IF($W54="","",IF(INDEX('Per Invoice'!G$2:G$801,$W54)="","",INDEX('Per Invoice'!G$2:G$801,$W54)))</f>
        <v/>
      </c>
      <c r="H54">
        <f>IF($W54="","",IF(INDEX('Per Invoice'!H$2:H$801,$W54)="","",INDEX('Per Invoice'!H$2:H$801,$W54)))</f>
        <v/>
      </c>
      <c r="I54">
        <f>IF($W54="","",IF(INDEX('Per Invoice'!I$2:I$801,$W54)="","",INDEX('Per Invoice'!I$2:I$801,$W54)))</f>
        <v/>
      </c>
      <c r="J54">
        <f>IF($W54="","",IF(INDEX('Per Invoice'!J$2:J$801,$W54)="","",INDEX('Per Invoice'!J$2:J$801,$W54)))</f>
        <v/>
      </c>
      <c r="K54" s="7">
        <f>IF($W54="","",IF(INDEX('Per Invoice'!K$2:K$801,$W54)="","",INDEX('Per Invoice'!K$2:K$801,$W54)))</f>
        <v/>
      </c>
      <c r="L54" s="14">
        <f>IF($W54="","",IF(INDEX('Per Invoice'!L$2:L$801,$W54)="","",INDEX('Per Invoice'!L$2:L$801,$W54)))</f>
        <v/>
      </c>
      <c r="M54">
        <f>IF($W54="","",IF(INDEX('Per Invoice'!M$2:M$801,$W54)="","",INDEX('Per Invoice'!M$2:M$801,$W54)))</f>
        <v/>
      </c>
      <c r="N54" s="7">
        <f>IF($W54="","",IF(INDEX('Per Invoice'!N$2:N$801,$W54)="","",INDEX('Per Invoice'!N$2:N$801,$W54)))</f>
        <v/>
      </c>
      <c r="O54" s="7">
        <f>IF($W54="","",IF(INDEX('Per Invoice'!O$2:O$801,$W54)="","",INDEX('Per Invoice'!O$2:O$801,$W54)))</f>
        <v/>
      </c>
      <c r="P54">
        <f>IF($W54="","",IF(INDEX('Per Invoice'!P$2:P$801,$W54)="","",INDEX('Per Invoice'!P$2:P$801,$W54)))</f>
        <v/>
      </c>
      <c r="Q54" s="7">
        <f>IF($W54="","",IF(INDEX('Per Invoice'!Q$2:Q$801,$W54)="","",INDEX('Per Invoice'!Q$2:Q$801,$W54)))</f>
        <v/>
      </c>
      <c r="R54" s="7">
        <f>IF($W54="","",IF(INDEX('Per Invoice'!R$2:R$801,$W54)="","",INDEX('Per Invoice'!R$2:R$801,$W54)))</f>
        <v/>
      </c>
      <c r="S54" s="7">
        <f>IF($W54="","",IF(INDEX('Per Invoice'!S$2:S$801,$W54)="","",INDEX('Per Invoice'!S$2:S$801,$W54)))</f>
        <v/>
      </c>
      <c r="T54" s="7">
        <f>IF($W54="","",IF(INDEX('Per Invoice'!T$2:T$801,$W54)="","",INDEX('Per Invoice'!T$2:T$801,$W54)))</f>
        <v/>
      </c>
      <c r="U54" s="7">
        <f>IF($W54="","",IF(INDEX('Per Invoice'!U$2:U$801,$W54)="","",INDEX('Per Invoice'!U$2:U$801,$W54)))</f>
        <v/>
      </c>
      <c r="V54" s="7">
        <f>IF($W54="","",IF(INDEX('Per Invoice'!V$2:V$801,$W54)="","",INDEX('Per Invoice'!V$2:V$801,$W54)))</f>
        <v/>
      </c>
      <c r="W54" s="16">
        <f>IFERROR(MATCH(Settings!$C$31&amp;"|"&amp;ROWS($W$2:$W54),'Per Invoice'!$X$2:$X$801,0),"")</f>
        <v/>
      </c>
    </row>
    <row r="55">
      <c r="A55">
        <f>IF($W55="","",IF(INDEX('Per Invoice'!A$2:A$801,$W55)="","",INDEX('Per Invoice'!A$2:A$801,$W55)))</f>
        <v/>
      </c>
      <c r="B55">
        <f>IF($W55="","",IF(INDEX('Per Invoice'!B$2:B$801,$W55)="","",INDEX('Per Invoice'!B$2:B$801,$W55)))</f>
        <v/>
      </c>
      <c r="C55">
        <f>IF($W55="","",IF(INDEX('Per Invoice'!C$2:C$801,$W55)="","",INDEX('Per Invoice'!C$2:C$801,$W55)))</f>
        <v/>
      </c>
      <c r="D55">
        <f>IF($W55="","",IF(INDEX('Per Invoice'!D$2:D$801,$W55)="","",INDEX('Per Invoice'!D$2:D$801,$W55)))</f>
        <v/>
      </c>
      <c r="E55">
        <f>IF($W55="","",IF(INDEX('Per Invoice'!E$2:E$801,$W55)="","",INDEX('Per Invoice'!E$2:E$801,$W55)))</f>
        <v/>
      </c>
      <c r="F55">
        <f>IF($W55="","",IF(INDEX('Per Invoice'!F$2:F$801,$W55)="","",INDEX('Per Invoice'!F$2:F$801,$W55)))</f>
        <v/>
      </c>
      <c r="G55">
        <f>IF($W55="","",IF(INDEX('Per Invoice'!G$2:G$801,$W55)="","",INDEX('Per Invoice'!G$2:G$801,$W55)))</f>
        <v/>
      </c>
      <c r="H55">
        <f>IF($W55="","",IF(INDEX('Per Invoice'!H$2:H$801,$W55)="","",INDEX('Per Invoice'!H$2:H$801,$W55)))</f>
        <v/>
      </c>
      <c r="I55">
        <f>IF($W55="","",IF(INDEX('Per Invoice'!I$2:I$801,$W55)="","",INDEX('Per Invoice'!I$2:I$801,$W55)))</f>
        <v/>
      </c>
      <c r="J55">
        <f>IF($W55="","",IF(INDEX('Per Invoice'!J$2:J$801,$W55)="","",INDEX('Per Invoice'!J$2:J$801,$W55)))</f>
        <v/>
      </c>
      <c r="K55" s="7">
        <f>IF($W55="","",IF(INDEX('Per Invoice'!K$2:K$801,$W55)="","",INDEX('Per Invoice'!K$2:K$801,$W55)))</f>
        <v/>
      </c>
      <c r="L55" s="14">
        <f>IF($W55="","",IF(INDEX('Per Invoice'!L$2:L$801,$W55)="","",INDEX('Per Invoice'!L$2:L$801,$W55)))</f>
        <v/>
      </c>
      <c r="M55">
        <f>IF($W55="","",IF(INDEX('Per Invoice'!M$2:M$801,$W55)="","",INDEX('Per Invoice'!M$2:M$801,$W55)))</f>
        <v/>
      </c>
      <c r="N55" s="7">
        <f>IF($W55="","",IF(INDEX('Per Invoice'!N$2:N$801,$W55)="","",INDEX('Per Invoice'!N$2:N$801,$W55)))</f>
        <v/>
      </c>
      <c r="O55" s="7">
        <f>IF($W55="","",IF(INDEX('Per Invoice'!O$2:O$801,$W55)="","",INDEX('Per Invoice'!O$2:O$801,$W55)))</f>
        <v/>
      </c>
      <c r="P55">
        <f>IF($W55="","",IF(INDEX('Per Invoice'!P$2:P$801,$W55)="","",INDEX('Per Invoice'!P$2:P$801,$W55)))</f>
        <v/>
      </c>
      <c r="Q55" s="7">
        <f>IF($W55="","",IF(INDEX('Per Invoice'!Q$2:Q$801,$W55)="","",INDEX('Per Invoice'!Q$2:Q$801,$W55)))</f>
        <v/>
      </c>
      <c r="R55" s="7">
        <f>IF($W55="","",IF(INDEX('Per Invoice'!R$2:R$801,$W55)="","",INDEX('Per Invoice'!R$2:R$801,$W55)))</f>
        <v/>
      </c>
      <c r="S55" s="7">
        <f>IF($W55="","",IF(INDEX('Per Invoice'!S$2:S$801,$W55)="","",INDEX('Per Invoice'!S$2:S$801,$W55)))</f>
        <v/>
      </c>
      <c r="T55" s="7">
        <f>IF($W55="","",IF(INDEX('Per Invoice'!T$2:T$801,$W55)="","",INDEX('Per Invoice'!T$2:T$801,$W55)))</f>
        <v/>
      </c>
      <c r="U55" s="7">
        <f>IF($W55="","",IF(INDEX('Per Invoice'!U$2:U$801,$W55)="","",INDEX('Per Invoice'!U$2:U$801,$W55)))</f>
        <v/>
      </c>
      <c r="V55" s="7">
        <f>IF($W55="","",IF(INDEX('Per Invoice'!V$2:V$801,$W55)="","",INDEX('Per Invoice'!V$2:V$801,$W55)))</f>
        <v/>
      </c>
      <c r="W55" s="16">
        <f>IFERROR(MATCH(Settings!$C$31&amp;"|"&amp;ROWS($W$2:$W55),'Per Invoice'!$X$2:$X$801,0),"")</f>
        <v/>
      </c>
    </row>
    <row r="56">
      <c r="A56">
        <f>IF($W56="","",IF(INDEX('Per Invoice'!A$2:A$801,$W56)="","",INDEX('Per Invoice'!A$2:A$801,$W56)))</f>
        <v/>
      </c>
      <c r="B56">
        <f>IF($W56="","",IF(INDEX('Per Invoice'!B$2:B$801,$W56)="","",INDEX('Per Invoice'!B$2:B$801,$W56)))</f>
        <v/>
      </c>
      <c r="C56">
        <f>IF($W56="","",IF(INDEX('Per Invoice'!C$2:C$801,$W56)="","",INDEX('Per Invoice'!C$2:C$801,$W56)))</f>
        <v/>
      </c>
      <c r="D56">
        <f>IF($W56="","",IF(INDEX('Per Invoice'!D$2:D$801,$W56)="","",INDEX('Per Invoice'!D$2:D$801,$W56)))</f>
        <v/>
      </c>
      <c r="E56">
        <f>IF($W56="","",IF(INDEX('Per Invoice'!E$2:E$801,$W56)="","",INDEX('Per Invoice'!E$2:E$801,$W56)))</f>
        <v/>
      </c>
      <c r="F56">
        <f>IF($W56="","",IF(INDEX('Per Invoice'!F$2:F$801,$W56)="","",INDEX('Per Invoice'!F$2:F$801,$W56)))</f>
        <v/>
      </c>
      <c r="G56">
        <f>IF($W56="","",IF(INDEX('Per Invoice'!G$2:G$801,$W56)="","",INDEX('Per Invoice'!G$2:G$801,$W56)))</f>
        <v/>
      </c>
      <c r="H56">
        <f>IF($W56="","",IF(INDEX('Per Invoice'!H$2:H$801,$W56)="","",INDEX('Per Invoice'!H$2:H$801,$W56)))</f>
        <v/>
      </c>
      <c r="I56">
        <f>IF($W56="","",IF(INDEX('Per Invoice'!I$2:I$801,$W56)="","",INDEX('Per Invoice'!I$2:I$801,$W56)))</f>
        <v/>
      </c>
      <c r="J56">
        <f>IF($W56="","",IF(INDEX('Per Invoice'!J$2:J$801,$W56)="","",INDEX('Per Invoice'!J$2:J$801,$W56)))</f>
        <v/>
      </c>
      <c r="K56" s="7">
        <f>IF($W56="","",IF(INDEX('Per Invoice'!K$2:K$801,$W56)="","",INDEX('Per Invoice'!K$2:K$801,$W56)))</f>
        <v/>
      </c>
      <c r="L56" s="14">
        <f>IF($W56="","",IF(INDEX('Per Invoice'!L$2:L$801,$W56)="","",INDEX('Per Invoice'!L$2:L$801,$W56)))</f>
        <v/>
      </c>
      <c r="M56">
        <f>IF($W56="","",IF(INDEX('Per Invoice'!M$2:M$801,$W56)="","",INDEX('Per Invoice'!M$2:M$801,$W56)))</f>
        <v/>
      </c>
      <c r="N56" s="7">
        <f>IF($W56="","",IF(INDEX('Per Invoice'!N$2:N$801,$W56)="","",INDEX('Per Invoice'!N$2:N$801,$W56)))</f>
        <v/>
      </c>
      <c r="O56" s="7">
        <f>IF($W56="","",IF(INDEX('Per Invoice'!O$2:O$801,$W56)="","",INDEX('Per Invoice'!O$2:O$801,$W56)))</f>
        <v/>
      </c>
      <c r="P56">
        <f>IF($W56="","",IF(INDEX('Per Invoice'!P$2:P$801,$W56)="","",INDEX('Per Invoice'!P$2:P$801,$W56)))</f>
        <v/>
      </c>
      <c r="Q56" s="7">
        <f>IF($W56="","",IF(INDEX('Per Invoice'!Q$2:Q$801,$W56)="","",INDEX('Per Invoice'!Q$2:Q$801,$W56)))</f>
        <v/>
      </c>
      <c r="R56" s="7">
        <f>IF($W56="","",IF(INDEX('Per Invoice'!R$2:R$801,$W56)="","",INDEX('Per Invoice'!R$2:R$801,$W56)))</f>
        <v/>
      </c>
      <c r="S56" s="7">
        <f>IF($W56="","",IF(INDEX('Per Invoice'!S$2:S$801,$W56)="","",INDEX('Per Invoice'!S$2:S$801,$W56)))</f>
        <v/>
      </c>
      <c r="T56" s="7">
        <f>IF($W56="","",IF(INDEX('Per Invoice'!T$2:T$801,$W56)="","",INDEX('Per Invoice'!T$2:T$801,$W56)))</f>
        <v/>
      </c>
      <c r="U56" s="7">
        <f>IF($W56="","",IF(INDEX('Per Invoice'!U$2:U$801,$W56)="","",INDEX('Per Invoice'!U$2:U$801,$W56)))</f>
        <v/>
      </c>
      <c r="V56" s="7">
        <f>IF($W56="","",IF(INDEX('Per Invoice'!V$2:V$801,$W56)="","",INDEX('Per Invoice'!V$2:V$801,$W56)))</f>
        <v/>
      </c>
      <c r="W56" s="16">
        <f>IFERROR(MATCH(Settings!$C$31&amp;"|"&amp;ROWS($W$2:$W56),'Per Invoice'!$X$2:$X$801,0),"")</f>
        <v/>
      </c>
    </row>
    <row r="57">
      <c r="A57">
        <f>IF($W57="","",IF(INDEX('Per Invoice'!A$2:A$801,$W57)="","",INDEX('Per Invoice'!A$2:A$801,$W57)))</f>
        <v/>
      </c>
      <c r="B57">
        <f>IF($W57="","",IF(INDEX('Per Invoice'!B$2:B$801,$W57)="","",INDEX('Per Invoice'!B$2:B$801,$W57)))</f>
        <v/>
      </c>
      <c r="C57">
        <f>IF($W57="","",IF(INDEX('Per Invoice'!C$2:C$801,$W57)="","",INDEX('Per Invoice'!C$2:C$801,$W57)))</f>
        <v/>
      </c>
      <c r="D57">
        <f>IF($W57="","",IF(INDEX('Per Invoice'!D$2:D$801,$W57)="","",INDEX('Per Invoice'!D$2:D$801,$W57)))</f>
        <v/>
      </c>
      <c r="E57">
        <f>IF($W57="","",IF(INDEX('Per Invoice'!E$2:E$801,$W57)="","",INDEX('Per Invoice'!E$2:E$801,$W57)))</f>
        <v/>
      </c>
      <c r="F57">
        <f>IF($W57="","",IF(INDEX('Per Invoice'!F$2:F$801,$W57)="","",INDEX('Per Invoice'!F$2:F$801,$W57)))</f>
        <v/>
      </c>
      <c r="G57">
        <f>IF($W57="","",IF(INDEX('Per Invoice'!G$2:G$801,$W57)="","",INDEX('Per Invoice'!G$2:G$801,$W57)))</f>
        <v/>
      </c>
      <c r="H57">
        <f>IF($W57="","",IF(INDEX('Per Invoice'!H$2:H$801,$W57)="","",INDEX('Per Invoice'!H$2:H$801,$W57)))</f>
        <v/>
      </c>
      <c r="I57">
        <f>IF($W57="","",IF(INDEX('Per Invoice'!I$2:I$801,$W57)="","",INDEX('Per Invoice'!I$2:I$801,$W57)))</f>
        <v/>
      </c>
      <c r="J57">
        <f>IF($W57="","",IF(INDEX('Per Invoice'!J$2:J$801,$W57)="","",INDEX('Per Invoice'!J$2:J$801,$W57)))</f>
        <v/>
      </c>
      <c r="K57" s="7">
        <f>IF($W57="","",IF(INDEX('Per Invoice'!K$2:K$801,$W57)="","",INDEX('Per Invoice'!K$2:K$801,$W57)))</f>
        <v/>
      </c>
      <c r="L57" s="14">
        <f>IF($W57="","",IF(INDEX('Per Invoice'!L$2:L$801,$W57)="","",INDEX('Per Invoice'!L$2:L$801,$W57)))</f>
        <v/>
      </c>
      <c r="M57">
        <f>IF($W57="","",IF(INDEX('Per Invoice'!M$2:M$801,$W57)="","",INDEX('Per Invoice'!M$2:M$801,$W57)))</f>
        <v/>
      </c>
      <c r="N57" s="7">
        <f>IF($W57="","",IF(INDEX('Per Invoice'!N$2:N$801,$W57)="","",INDEX('Per Invoice'!N$2:N$801,$W57)))</f>
        <v/>
      </c>
      <c r="O57" s="7">
        <f>IF($W57="","",IF(INDEX('Per Invoice'!O$2:O$801,$W57)="","",INDEX('Per Invoice'!O$2:O$801,$W57)))</f>
        <v/>
      </c>
      <c r="P57">
        <f>IF($W57="","",IF(INDEX('Per Invoice'!P$2:P$801,$W57)="","",INDEX('Per Invoice'!P$2:P$801,$W57)))</f>
        <v/>
      </c>
      <c r="Q57" s="7">
        <f>IF($W57="","",IF(INDEX('Per Invoice'!Q$2:Q$801,$W57)="","",INDEX('Per Invoice'!Q$2:Q$801,$W57)))</f>
        <v/>
      </c>
      <c r="R57" s="7">
        <f>IF($W57="","",IF(INDEX('Per Invoice'!R$2:R$801,$W57)="","",INDEX('Per Invoice'!R$2:R$801,$W57)))</f>
        <v/>
      </c>
      <c r="S57" s="7">
        <f>IF($W57="","",IF(INDEX('Per Invoice'!S$2:S$801,$W57)="","",INDEX('Per Invoice'!S$2:S$801,$W57)))</f>
        <v/>
      </c>
      <c r="T57" s="7">
        <f>IF($W57="","",IF(INDEX('Per Invoice'!T$2:T$801,$W57)="","",INDEX('Per Invoice'!T$2:T$801,$W57)))</f>
        <v/>
      </c>
      <c r="U57" s="7">
        <f>IF($W57="","",IF(INDEX('Per Invoice'!U$2:U$801,$W57)="","",INDEX('Per Invoice'!U$2:U$801,$W57)))</f>
        <v/>
      </c>
      <c r="V57" s="7">
        <f>IF($W57="","",IF(INDEX('Per Invoice'!V$2:V$801,$W57)="","",INDEX('Per Invoice'!V$2:V$801,$W57)))</f>
        <v/>
      </c>
      <c r="W57" s="16">
        <f>IFERROR(MATCH(Settings!$C$31&amp;"|"&amp;ROWS($W$2:$W57),'Per Invoice'!$X$2:$X$801,0),"")</f>
        <v/>
      </c>
    </row>
    <row r="58">
      <c r="A58">
        <f>IF($W58="","",IF(INDEX('Per Invoice'!A$2:A$801,$W58)="","",INDEX('Per Invoice'!A$2:A$801,$W58)))</f>
        <v/>
      </c>
      <c r="B58">
        <f>IF($W58="","",IF(INDEX('Per Invoice'!B$2:B$801,$W58)="","",INDEX('Per Invoice'!B$2:B$801,$W58)))</f>
        <v/>
      </c>
      <c r="C58">
        <f>IF($W58="","",IF(INDEX('Per Invoice'!C$2:C$801,$W58)="","",INDEX('Per Invoice'!C$2:C$801,$W58)))</f>
        <v/>
      </c>
      <c r="D58">
        <f>IF($W58="","",IF(INDEX('Per Invoice'!D$2:D$801,$W58)="","",INDEX('Per Invoice'!D$2:D$801,$W58)))</f>
        <v/>
      </c>
      <c r="E58">
        <f>IF($W58="","",IF(INDEX('Per Invoice'!E$2:E$801,$W58)="","",INDEX('Per Invoice'!E$2:E$801,$W58)))</f>
        <v/>
      </c>
      <c r="F58">
        <f>IF($W58="","",IF(INDEX('Per Invoice'!F$2:F$801,$W58)="","",INDEX('Per Invoice'!F$2:F$801,$W58)))</f>
        <v/>
      </c>
      <c r="G58">
        <f>IF($W58="","",IF(INDEX('Per Invoice'!G$2:G$801,$W58)="","",INDEX('Per Invoice'!G$2:G$801,$W58)))</f>
        <v/>
      </c>
      <c r="H58">
        <f>IF($W58="","",IF(INDEX('Per Invoice'!H$2:H$801,$W58)="","",INDEX('Per Invoice'!H$2:H$801,$W58)))</f>
        <v/>
      </c>
      <c r="I58">
        <f>IF($W58="","",IF(INDEX('Per Invoice'!I$2:I$801,$W58)="","",INDEX('Per Invoice'!I$2:I$801,$W58)))</f>
        <v/>
      </c>
      <c r="J58">
        <f>IF($W58="","",IF(INDEX('Per Invoice'!J$2:J$801,$W58)="","",INDEX('Per Invoice'!J$2:J$801,$W58)))</f>
        <v/>
      </c>
      <c r="K58" s="7">
        <f>IF($W58="","",IF(INDEX('Per Invoice'!K$2:K$801,$W58)="","",INDEX('Per Invoice'!K$2:K$801,$W58)))</f>
        <v/>
      </c>
      <c r="L58" s="14">
        <f>IF($W58="","",IF(INDEX('Per Invoice'!L$2:L$801,$W58)="","",INDEX('Per Invoice'!L$2:L$801,$W58)))</f>
        <v/>
      </c>
      <c r="M58">
        <f>IF($W58="","",IF(INDEX('Per Invoice'!M$2:M$801,$W58)="","",INDEX('Per Invoice'!M$2:M$801,$W58)))</f>
        <v/>
      </c>
      <c r="N58" s="7">
        <f>IF($W58="","",IF(INDEX('Per Invoice'!N$2:N$801,$W58)="","",INDEX('Per Invoice'!N$2:N$801,$W58)))</f>
        <v/>
      </c>
      <c r="O58" s="7">
        <f>IF($W58="","",IF(INDEX('Per Invoice'!O$2:O$801,$W58)="","",INDEX('Per Invoice'!O$2:O$801,$W58)))</f>
        <v/>
      </c>
      <c r="P58">
        <f>IF($W58="","",IF(INDEX('Per Invoice'!P$2:P$801,$W58)="","",INDEX('Per Invoice'!P$2:P$801,$W58)))</f>
        <v/>
      </c>
      <c r="Q58" s="7">
        <f>IF($W58="","",IF(INDEX('Per Invoice'!Q$2:Q$801,$W58)="","",INDEX('Per Invoice'!Q$2:Q$801,$W58)))</f>
        <v/>
      </c>
      <c r="R58" s="7">
        <f>IF($W58="","",IF(INDEX('Per Invoice'!R$2:R$801,$W58)="","",INDEX('Per Invoice'!R$2:R$801,$W58)))</f>
        <v/>
      </c>
      <c r="S58" s="7">
        <f>IF($W58="","",IF(INDEX('Per Invoice'!S$2:S$801,$W58)="","",INDEX('Per Invoice'!S$2:S$801,$W58)))</f>
        <v/>
      </c>
      <c r="T58" s="7">
        <f>IF($W58="","",IF(INDEX('Per Invoice'!T$2:T$801,$W58)="","",INDEX('Per Invoice'!T$2:T$801,$W58)))</f>
        <v/>
      </c>
      <c r="U58" s="7">
        <f>IF($W58="","",IF(INDEX('Per Invoice'!U$2:U$801,$W58)="","",INDEX('Per Invoice'!U$2:U$801,$W58)))</f>
        <v/>
      </c>
      <c r="V58" s="7">
        <f>IF($W58="","",IF(INDEX('Per Invoice'!V$2:V$801,$W58)="","",INDEX('Per Invoice'!V$2:V$801,$W58)))</f>
        <v/>
      </c>
      <c r="W58" s="16">
        <f>IFERROR(MATCH(Settings!$C$31&amp;"|"&amp;ROWS($W$2:$W58),'Per Invoice'!$X$2:$X$801,0),"")</f>
        <v/>
      </c>
    </row>
    <row r="59">
      <c r="A59">
        <f>IF($W59="","",IF(INDEX('Per Invoice'!A$2:A$801,$W59)="","",INDEX('Per Invoice'!A$2:A$801,$W59)))</f>
        <v/>
      </c>
      <c r="B59">
        <f>IF($W59="","",IF(INDEX('Per Invoice'!B$2:B$801,$W59)="","",INDEX('Per Invoice'!B$2:B$801,$W59)))</f>
        <v/>
      </c>
      <c r="C59">
        <f>IF($W59="","",IF(INDEX('Per Invoice'!C$2:C$801,$W59)="","",INDEX('Per Invoice'!C$2:C$801,$W59)))</f>
        <v/>
      </c>
      <c r="D59">
        <f>IF($W59="","",IF(INDEX('Per Invoice'!D$2:D$801,$W59)="","",INDEX('Per Invoice'!D$2:D$801,$W59)))</f>
        <v/>
      </c>
      <c r="E59">
        <f>IF($W59="","",IF(INDEX('Per Invoice'!E$2:E$801,$W59)="","",INDEX('Per Invoice'!E$2:E$801,$W59)))</f>
        <v/>
      </c>
      <c r="F59">
        <f>IF($W59="","",IF(INDEX('Per Invoice'!F$2:F$801,$W59)="","",INDEX('Per Invoice'!F$2:F$801,$W59)))</f>
        <v/>
      </c>
      <c r="G59">
        <f>IF($W59="","",IF(INDEX('Per Invoice'!G$2:G$801,$W59)="","",INDEX('Per Invoice'!G$2:G$801,$W59)))</f>
        <v/>
      </c>
      <c r="H59">
        <f>IF($W59="","",IF(INDEX('Per Invoice'!H$2:H$801,$W59)="","",INDEX('Per Invoice'!H$2:H$801,$W59)))</f>
        <v/>
      </c>
      <c r="I59">
        <f>IF($W59="","",IF(INDEX('Per Invoice'!I$2:I$801,$W59)="","",INDEX('Per Invoice'!I$2:I$801,$W59)))</f>
        <v/>
      </c>
      <c r="J59">
        <f>IF($W59="","",IF(INDEX('Per Invoice'!J$2:J$801,$W59)="","",INDEX('Per Invoice'!J$2:J$801,$W59)))</f>
        <v/>
      </c>
      <c r="K59" s="7">
        <f>IF($W59="","",IF(INDEX('Per Invoice'!K$2:K$801,$W59)="","",INDEX('Per Invoice'!K$2:K$801,$W59)))</f>
        <v/>
      </c>
      <c r="L59" s="14">
        <f>IF($W59="","",IF(INDEX('Per Invoice'!L$2:L$801,$W59)="","",INDEX('Per Invoice'!L$2:L$801,$W59)))</f>
        <v/>
      </c>
      <c r="M59">
        <f>IF($W59="","",IF(INDEX('Per Invoice'!M$2:M$801,$W59)="","",INDEX('Per Invoice'!M$2:M$801,$W59)))</f>
        <v/>
      </c>
      <c r="N59" s="7">
        <f>IF($W59="","",IF(INDEX('Per Invoice'!N$2:N$801,$W59)="","",INDEX('Per Invoice'!N$2:N$801,$W59)))</f>
        <v/>
      </c>
      <c r="O59" s="7">
        <f>IF($W59="","",IF(INDEX('Per Invoice'!O$2:O$801,$W59)="","",INDEX('Per Invoice'!O$2:O$801,$W59)))</f>
        <v/>
      </c>
      <c r="P59">
        <f>IF($W59="","",IF(INDEX('Per Invoice'!P$2:P$801,$W59)="","",INDEX('Per Invoice'!P$2:P$801,$W59)))</f>
        <v/>
      </c>
      <c r="Q59" s="7">
        <f>IF($W59="","",IF(INDEX('Per Invoice'!Q$2:Q$801,$W59)="","",INDEX('Per Invoice'!Q$2:Q$801,$W59)))</f>
        <v/>
      </c>
      <c r="R59" s="7">
        <f>IF($W59="","",IF(INDEX('Per Invoice'!R$2:R$801,$W59)="","",INDEX('Per Invoice'!R$2:R$801,$W59)))</f>
        <v/>
      </c>
      <c r="S59" s="7">
        <f>IF($W59="","",IF(INDEX('Per Invoice'!S$2:S$801,$W59)="","",INDEX('Per Invoice'!S$2:S$801,$W59)))</f>
        <v/>
      </c>
      <c r="T59" s="7">
        <f>IF($W59="","",IF(INDEX('Per Invoice'!T$2:T$801,$W59)="","",INDEX('Per Invoice'!T$2:T$801,$W59)))</f>
        <v/>
      </c>
      <c r="U59" s="7">
        <f>IF($W59="","",IF(INDEX('Per Invoice'!U$2:U$801,$W59)="","",INDEX('Per Invoice'!U$2:U$801,$W59)))</f>
        <v/>
      </c>
      <c r="V59" s="7">
        <f>IF($W59="","",IF(INDEX('Per Invoice'!V$2:V$801,$W59)="","",INDEX('Per Invoice'!V$2:V$801,$W59)))</f>
        <v/>
      </c>
      <c r="W59" s="16">
        <f>IFERROR(MATCH(Settings!$C$31&amp;"|"&amp;ROWS($W$2:$W59),'Per Invoice'!$X$2:$X$801,0),"")</f>
        <v/>
      </c>
    </row>
    <row r="60">
      <c r="A60">
        <f>IF($W60="","",IF(INDEX('Per Invoice'!A$2:A$801,$W60)="","",INDEX('Per Invoice'!A$2:A$801,$W60)))</f>
        <v/>
      </c>
      <c r="B60">
        <f>IF($W60="","",IF(INDEX('Per Invoice'!B$2:B$801,$W60)="","",INDEX('Per Invoice'!B$2:B$801,$W60)))</f>
        <v/>
      </c>
      <c r="C60">
        <f>IF($W60="","",IF(INDEX('Per Invoice'!C$2:C$801,$W60)="","",INDEX('Per Invoice'!C$2:C$801,$W60)))</f>
        <v/>
      </c>
      <c r="D60">
        <f>IF($W60="","",IF(INDEX('Per Invoice'!D$2:D$801,$W60)="","",INDEX('Per Invoice'!D$2:D$801,$W60)))</f>
        <v/>
      </c>
      <c r="E60">
        <f>IF($W60="","",IF(INDEX('Per Invoice'!E$2:E$801,$W60)="","",INDEX('Per Invoice'!E$2:E$801,$W60)))</f>
        <v/>
      </c>
      <c r="F60">
        <f>IF($W60="","",IF(INDEX('Per Invoice'!F$2:F$801,$W60)="","",INDEX('Per Invoice'!F$2:F$801,$W60)))</f>
        <v/>
      </c>
      <c r="G60">
        <f>IF($W60="","",IF(INDEX('Per Invoice'!G$2:G$801,$W60)="","",INDEX('Per Invoice'!G$2:G$801,$W60)))</f>
        <v/>
      </c>
      <c r="H60">
        <f>IF($W60="","",IF(INDEX('Per Invoice'!H$2:H$801,$W60)="","",INDEX('Per Invoice'!H$2:H$801,$W60)))</f>
        <v/>
      </c>
      <c r="I60">
        <f>IF($W60="","",IF(INDEX('Per Invoice'!I$2:I$801,$W60)="","",INDEX('Per Invoice'!I$2:I$801,$W60)))</f>
        <v/>
      </c>
      <c r="J60">
        <f>IF($W60="","",IF(INDEX('Per Invoice'!J$2:J$801,$W60)="","",INDEX('Per Invoice'!J$2:J$801,$W60)))</f>
        <v/>
      </c>
      <c r="K60" s="7">
        <f>IF($W60="","",IF(INDEX('Per Invoice'!K$2:K$801,$W60)="","",INDEX('Per Invoice'!K$2:K$801,$W60)))</f>
        <v/>
      </c>
      <c r="L60" s="14">
        <f>IF($W60="","",IF(INDEX('Per Invoice'!L$2:L$801,$W60)="","",INDEX('Per Invoice'!L$2:L$801,$W60)))</f>
        <v/>
      </c>
      <c r="M60">
        <f>IF($W60="","",IF(INDEX('Per Invoice'!M$2:M$801,$W60)="","",INDEX('Per Invoice'!M$2:M$801,$W60)))</f>
        <v/>
      </c>
      <c r="N60" s="7">
        <f>IF($W60="","",IF(INDEX('Per Invoice'!N$2:N$801,$W60)="","",INDEX('Per Invoice'!N$2:N$801,$W60)))</f>
        <v/>
      </c>
      <c r="O60" s="7">
        <f>IF($W60="","",IF(INDEX('Per Invoice'!O$2:O$801,$W60)="","",INDEX('Per Invoice'!O$2:O$801,$W60)))</f>
        <v/>
      </c>
      <c r="P60">
        <f>IF($W60="","",IF(INDEX('Per Invoice'!P$2:P$801,$W60)="","",INDEX('Per Invoice'!P$2:P$801,$W60)))</f>
        <v/>
      </c>
      <c r="Q60" s="7">
        <f>IF($W60="","",IF(INDEX('Per Invoice'!Q$2:Q$801,$W60)="","",INDEX('Per Invoice'!Q$2:Q$801,$W60)))</f>
        <v/>
      </c>
      <c r="R60" s="7">
        <f>IF($W60="","",IF(INDEX('Per Invoice'!R$2:R$801,$W60)="","",INDEX('Per Invoice'!R$2:R$801,$W60)))</f>
        <v/>
      </c>
      <c r="S60" s="7">
        <f>IF($W60="","",IF(INDEX('Per Invoice'!S$2:S$801,$W60)="","",INDEX('Per Invoice'!S$2:S$801,$W60)))</f>
        <v/>
      </c>
      <c r="T60" s="7">
        <f>IF($W60="","",IF(INDEX('Per Invoice'!T$2:T$801,$W60)="","",INDEX('Per Invoice'!T$2:T$801,$W60)))</f>
        <v/>
      </c>
      <c r="U60" s="7">
        <f>IF($W60="","",IF(INDEX('Per Invoice'!U$2:U$801,$W60)="","",INDEX('Per Invoice'!U$2:U$801,$W60)))</f>
        <v/>
      </c>
      <c r="V60" s="7">
        <f>IF($W60="","",IF(INDEX('Per Invoice'!V$2:V$801,$W60)="","",INDEX('Per Invoice'!V$2:V$801,$W60)))</f>
        <v/>
      </c>
      <c r="W60" s="16">
        <f>IFERROR(MATCH(Settings!$C$31&amp;"|"&amp;ROWS($W$2:$W60),'Per Invoice'!$X$2:$X$801,0),"")</f>
        <v/>
      </c>
    </row>
    <row r="61">
      <c r="A61">
        <f>IF($W61="","",IF(INDEX('Per Invoice'!A$2:A$801,$W61)="","",INDEX('Per Invoice'!A$2:A$801,$W61)))</f>
        <v/>
      </c>
      <c r="B61">
        <f>IF($W61="","",IF(INDEX('Per Invoice'!B$2:B$801,$W61)="","",INDEX('Per Invoice'!B$2:B$801,$W61)))</f>
        <v/>
      </c>
      <c r="C61">
        <f>IF($W61="","",IF(INDEX('Per Invoice'!C$2:C$801,$W61)="","",INDEX('Per Invoice'!C$2:C$801,$W61)))</f>
        <v/>
      </c>
      <c r="D61">
        <f>IF($W61="","",IF(INDEX('Per Invoice'!D$2:D$801,$W61)="","",INDEX('Per Invoice'!D$2:D$801,$W61)))</f>
        <v/>
      </c>
      <c r="E61">
        <f>IF($W61="","",IF(INDEX('Per Invoice'!E$2:E$801,$W61)="","",INDEX('Per Invoice'!E$2:E$801,$W61)))</f>
        <v/>
      </c>
      <c r="F61">
        <f>IF($W61="","",IF(INDEX('Per Invoice'!F$2:F$801,$W61)="","",INDEX('Per Invoice'!F$2:F$801,$W61)))</f>
        <v/>
      </c>
      <c r="G61">
        <f>IF($W61="","",IF(INDEX('Per Invoice'!G$2:G$801,$W61)="","",INDEX('Per Invoice'!G$2:G$801,$W61)))</f>
        <v/>
      </c>
      <c r="H61">
        <f>IF($W61="","",IF(INDEX('Per Invoice'!H$2:H$801,$W61)="","",INDEX('Per Invoice'!H$2:H$801,$W61)))</f>
        <v/>
      </c>
      <c r="I61">
        <f>IF($W61="","",IF(INDEX('Per Invoice'!I$2:I$801,$W61)="","",INDEX('Per Invoice'!I$2:I$801,$W61)))</f>
        <v/>
      </c>
      <c r="J61">
        <f>IF($W61="","",IF(INDEX('Per Invoice'!J$2:J$801,$W61)="","",INDEX('Per Invoice'!J$2:J$801,$W61)))</f>
        <v/>
      </c>
      <c r="K61" s="7">
        <f>IF($W61="","",IF(INDEX('Per Invoice'!K$2:K$801,$W61)="","",INDEX('Per Invoice'!K$2:K$801,$W61)))</f>
        <v/>
      </c>
      <c r="L61" s="14">
        <f>IF($W61="","",IF(INDEX('Per Invoice'!L$2:L$801,$W61)="","",INDEX('Per Invoice'!L$2:L$801,$W61)))</f>
        <v/>
      </c>
      <c r="M61">
        <f>IF($W61="","",IF(INDEX('Per Invoice'!M$2:M$801,$W61)="","",INDEX('Per Invoice'!M$2:M$801,$W61)))</f>
        <v/>
      </c>
      <c r="N61" s="7">
        <f>IF($W61="","",IF(INDEX('Per Invoice'!N$2:N$801,$W61)="","",INDEX('Per Invoice'!N$2:N$801,$W61)))</f>
        <v/>
      </c>
      <c r="O61" s="7">
        <f>IF($W61="","",IF(INDEX('Per Invoice'!O$2:O$801,$W61)="","",INDEX('Per Invoice'!O$2:O$801,$W61)))</f>
        <v/>
      </c>
      <c r="P61">
        <f>IF($W61="","",IF(INDEX('Per Invoice'!P$2:P$801,$W61)="","",INDEX('Per Invoice'!P$2:P$801,$W61)))</f>
        <v/>
      </c>
      <c r="Q61" s="7">
        <f>IF($W61="","",IF(INDEX('Per Invoice'!Q$2:Q$801,$W61)="","",INDEX('Per Invoice'!Q$2:Q$801,$W61)))</f>
        <v/>
      </c>
      <c r="R61" s="7">
        <f>IF($W61="","",IF(INDEX('Per Invoice'!R$2:R$801,$W61)="","",INDEX('Per Invoice'!R$2:R$801,$W61)))</f>
        <v/>
      </c>
      <c r="S61" s="7">
        <f>IF($W61="","",IF(INDEX('Per Invoice'!S$2:S$801,$W61)="","",INDEX('Per Invoice'!S$2:S$801,$W61)))</f>
        <v/>
      </c>
      <c r="T61" s="7">
        <f>IF($W61="","",IF(INDEX('Per Invoice'!T$2:T$801,$W61)="","",INDEX('Per Invoice'!T$2:T$801,$W61)))</f>
        <v/>
      </c>
      <c r="U61" s="7">
        <f>IF($W61="","",IF(INDEX('Per Invoice'!U$2:U$801,$W61)="","",INDEX('Per Invoice'!U$2:U$801,$W61)))</f>
        <v/>
      </c>
      <c r="V61" s="7">
        <f>IF($W61="","",IF(INDEX('Per Invoice'!V$2:V$801,$W61)="","",INDEX('Per Invoice'!V$2:V$801,$W61)))</f>
        <v/>
      </c>
      <c r="W61" s="16">
        <f>IFERROR(MATCH(Settings!$C$31&amp;"|"&amp;ROWS($W$2:$W61),'Per Invoice'!$X$2:$X$801,0),"")</f>
        <v/>
      </c>
    </row>
    <row r="62">
      <c r="A62">
        <f>IF($W62="","",IF(INDEX('Per Invoice'!A$2:A$801,$W62)="","",INDEX('Per Invoice'!A$2:A$801,$W62)))</f>
        <v/>
      </c>
      <c r="B62">
        <f>IF($W62="","",IF(INDEX('Per Invoice'!B$2:B$801,$W62)="","",INDEX('Per Invoice'!B$2:B$801,$W62)))</f>
        <v/>
      </c>
      <c r="C62">
        <f>IF($W62="","",IF(INDEX('Per Invoice'!C$2:C$801,$W62)="","",INDEX('Per Invoice'!C$2:C$801,$W62)))</f>
        <v/>
      </c>
      <c r="D62">
        <f>IF($W62="","",IF(INDEX('Per Invoice'!D$2:D$801,$W62)="","",INDEX('Per Invoice'!D$2:D$801,$W62)))</f>
        <v/>
      </c>
      <c r="E62">
        <f>IF($W62="","",IF(INDEX('Per Invoice'!E$2:E$801,$W62)="","",INDEX('Per Invoice'!E$2:E$801,$W62)))</f>
        <v/>
      </c>
      <c r="F62">
        <f>IF($W62="","",IF(INDEX('Per Invoice'!F$2:F$801,$W62)="","",INDEX('Per Invoice'!F$2:F$801,$W62)))</f>
        <v/>
      </c>
      <c r="G62">
        <f>IF($W62="","",IF(INDEX('Per Invoice'!G$2:G$801,$W62)="","",INDEX('Per Invoice'!G$2:G$801,$W62)))</f>
        <v/>
      </c>
      <c r="H62">
        <f>IF($W62="","",IF(INDEX('Per Invoice'!H$2:H$801,$W62)="","",INDEX('Per Invoice'!H$2:H$801,$W62)))</f>
        <v/>
      </c>
      <c r="I62">
        <f>IF($W62="","",IF(INDEX('Per Invoice'!I$2:I$801,$W62)="","",INDEX('Per Invoice'!I$2:I$801,$W62)))</f>
        <v/>
      </c>
      <c r="J62">
        <f>IF($W62="","",IF(INDEX('Per Invoice'!J$2:J$801,$W62)="","",INDEX('Per Invoice'!J$2:J$801,$W62)))</f>
        <v/>
      </c>
      <c r="K62" s="7">
        <f>IF($W62="","",IF(INDEX('Per Invoice'!K$2:K$801,$W62)="","",INDEX('Per Invoice'!K$2:K$801,$W62)))</f>
        <v/>
      </c>
      <c r="L62" s="14">
        <f>IF($W62="","",IF(INDEX('Per Invoice'!L$2:L$801,$W62)="","",INDEX('Per Invoice'!L$2:L$801,$W62)))</f>
        <v/>
      </c>
      <c r="M62">
        <f>IF($W62="","",IF(INDEX('Per Invoice'!M$2:M$801,$W62)="","",INDEX('Per Invoice'!M$2:M$801,$W62)))</f>
        <v/>
      </c>
      <c r="N62" s="7">
        <f>IF($W62="","",IF(INDEX('Per Invoice'!N$2:N$801,$W62)="","",INDEX('Per Invoice'!N$2:N$801,$W62)))</f>
        <v/>
      </c>
      <c r="O62" s="7">
        <f>IF($W62="","",IF(INDEX('Per Invoice'!O$2:O$801,$W62)="","",INDEX('Per Invoice'!O$2:O$801,$W62)))</f>
        <v/>
      </c>
      <c r="P62">
        <f>IF($W62="","",IF(INDEX('Per Invoice'!P$2:P$801,$W62)="","",INDEX('Per Invoice'!P$2:P$801,$W62)))</f>
        <v/>
      </c>
      <c r="Q62" s="7">
        <f>IF($W62="","",IF(INDEX('Per Invoice'!Q$2:Q$801,$W62)="","",INDEX('Per Invoice'!Q$2:Q$801,$W62)))</f>
        <v/>
      </c>
      <c r="R62" s="7">
        <f>IF($W62="","",IF(INDEX('Per Invoice'!R$2:R$801,$W62)="","",INDEX('Per Invoice'!R$2:R$801,$W62)))</f>
        <v/>
      </c>
      <c r="S62" s="7">
        <f>IF($W62="","",IF(INDEX('Per Invoice'!S$2:S$801,$W62)="","",INDEX('Per Invoice'!S$2:S$801,$W62)))</f>
        <v/>
      </c>
      <c r="T62" s="7">
        <f>IF($W62="","",IF(INDEX('Per Invoice'!T$2:T$801,$W62)="","",INDEX('Per Invoice'!T$2:T$801,$W62)))</f>
        <v/>
      </c>
      <c r="U62" s="7">
        <f>IF($W62="","",IF(INDEX('Per Invoice'!U$2:U$801,$W62)="","",INDEX('Per Invoice'!U$2:U$801,$W62)))</f>
        <v/>
      </c>
      <c r="V62" s="7">
        <f>IF($W62="","",IF(INDEX('Per Invoice'!V$2:V$801,$W62)="","",INDEX('Per Invoice'!V$2:V$801,$W62)))</f>
        <v/>
      </c>
      <c r="W62" s="16">
        <f>IFERROR(MATCH(Settings!$C$31&amp;"|"&amp;ROWS($W$2:$W62),'Per Invoice'!$X$2:$X$801,0),"")</f>
        <v/>
      </c>
    </row>
    <row r="63">
      <c r="A63">
        <f>IF($W63="","",IF(INDEX('Per Invoice'!A$2:A$801,$W63)="","",INDEX('Per Invoice'!A$2:A$801,$W63)))</f>
        <v/>
      </c>
      <c r="B63">
        <f>IF($W63="","",IF(INDEX('Per Invoice'!B$2:B$801,$W63)="","",INDEX('Per Invoice'!B$2:B$801,$W63)))</f>
        <v/>
      </c>
      <c r="C63">
        <f>IF($W63="","",IF(INDEX('Per Invoice'!C$2:C$801,$W63)="","",INDEX('Per Invoice'!C$2:C$801,$W63)))</f>
        <v/>
      </c>
      <c r="D63">
        <f>IF($W63="","",IF(INDEX('Per Invoice'!D$2:D$801,$W63)="","",INDEX('Per Invoice'!D$2:D$801,$W63)))</f>
        <v/>
      </c>
      <c r="E63">
        <f>IF($W63="","",IF(INDEX('Per Invoice'!E$2:E$801,$W63)="","",INDEX('Per Invoice'!E$2:E$801,$W63)))</f>
        <v/>
      </c>
      <c r="F63">
        <f>IF($W63="","",IF(INDEX('Per Invoice'!F$2:F$801,$W63)="","",INDEX('Per Invoice'!F$2:F$801,$W63)))</f>
        <v/>
      </c>
      <c r="G63">
        <f>IF($W63="","",IF(INDEX('Per Invoice'!G$2:G$801,$W63)="","",INDEX('Per Invoice'!G$2:G$801,$W63)))</f>
        <v/>
      </c>
      <c r="H63">
        <f>IF($W63="","",IF(INDEX('Per Invoice'!H$2:H$801,$W63)="","",INDEX('Per Invoice'!H$2:H$801,$W63)))</f>
        <v/>
      </c>
      <c r="I63">
        <f>IF($W63="","",IF(INDEX('Per Invoice'!I$2:I$801,$W63)="","",INDEX('Per Invoice'!I$2:I$801,$W63)))</f>
        <v/>
      </c>
      <c r="J63">
        <f>IF($W63="","",IF(INDEX('Per Invoice'!J$2:J$801,$W63)="","",INDEX('Per Invoice'!J$2:J$801,$W63)))</f>
        <v/>
      </c>
      <c r="K63" s="7">
        <f>IF($W63="","",IF(INDEX('Per Invoice'!K$2:K$801,$W63)="","",INDEX('Per Invoice'!K$2:K$801,$W63)))</f>
        <v/>
      </c>
      <c r="L63" s="14">
        <f>IF($W63="","",IF(INDEX('Per Invoice'!L$2:L$801,$W63)="","",INDEX('Per Invoice'!L$2:L$801,$W63)))</f>
        <v/>
      </c>
      <c r="M63">
        <f>IF($W63="","",IF(INDEX('Per Invoice'!M$2:M$801,$W63)="","",INDEX('Per Invoice'!M$2:M$801,$W63)))</f>
        <v/>
      </c>
      <c r="N63" s="7">
        <f>IF($W63="","",IF(INDEX('Per Invoice'!N$2:N$801,$W63)="","",INDEX('Per Invoice'!N$2:N$801,$W63)))</f>
        <v/>
      </c>
      <c r="O63" s="7">
        <f>IF($W63="","",IF(INDEX('Per Invoice'!O$2:O$801,$W63)="","",INDEX('Per Invoice'!O$2:O$801,$W63)))</f>
        <v/>
      </c>
      <c r="P63">
        <f>IF($W63="","",IF(INDEX('Per Invoice'!P$2:P$801,$W63)="","",INDEX('Per Invoice'!P$2:P$801,$W63)))</f>
        <v/>
      </c>
      <c r="Q63" s="7">
        <f>IF($W63="","",IF(INDEX('Per Invoice'!Q$2:Q$801,$W63)="","",INDEX('Per Invoice'!Q$2:Q$801,$W63)))</f>
        <v/>
      </c>
      <c r="R63" s="7">
        <f>IF($W63="","",IF(INDEX('Per Invoice'!R$2:R$801,$W63)="","",INDEX('Per Invoice'!R$2:R$801,$W63)))</f>
        <v/>
      </c>
      <c r="S63" s="7">
        <f>IF($W63="","",IF(INDEX('Per Invoice'!S$2:S$801,$W63)="","",INDEX('Per Invoice'!S$2:S$801,$W63)))</f>
        <v/>
      </c>
      <c r="T63" s="7">
        <f>IF($W63="","",IF(INDEX('Per Invoice'!T$2:T$801,$W63)="","",INDEX('Per Invoice'!T$2:T$801,$W63)))</f>
        <v/>
      </c>
      <c r="U63" s="7">
        <f>IF($W63="","",IF(INDEX('Per Invoice'!U$2:U$801,$W63)="","",INDEX('Per Invoice'!U$2:U$801,$W63)))</f>
        <v/>
      </c>
      <c r="V63" s="7">
        <f>IF($W63="","",IF(INDEX('Per Invoice'!V$2:V$801,$W63)="","",INDEX('Per Invoice'!V$2:V$801,$W63)))</f>
        <v/>
      </c>
      <c r="W63" s="16">
        <f>IFERROR(MATCH(Settings!$C$31&amp;"|"&amp;ROWS($W$2:$W63),'Per Invoice'!$X$2:$X$801,0),"")</f>
        <v/>
      </c>
    </row>
    <row r="64">
      <c r="A64">
        <f>IF($W64="","",IF(INDEX('Per Invoice'!A$2:A$801,$W64)="","",INDEX('Per Invoice'!A$2:A$801,$W64)))</f>
        <v/>
      </c>
      <c r="B64">
        <f>IF($W64="","",IF(INDEX('Per Invoice'!B$2:B$801,$W64)="","",INDEX('Per Invoice'!B$2:B$801,$W64)))</f>
        <v/>
      </c>
      <c r="C64">
        <f>IF($W64="","",IF(INDEX('Per Invoice'!C$2:C$801,$W64)="","",INDEX('Per Invoice'!C$2:C$801,$W64)))</f>
        <v/>
      </c>
      <c r="D64">
        <f>IF($W64="","",IF(INDEX('Per Invoice'!D$2:D$801,$W64)="","",INDEX('Per Invoice'!D$2:D$801,$W64)))</f>
        <v/>
      </c>
      <c r="E64">
        <f>IF($W64="","",IF(INDEX('Per Invoice'!E$2:E$801,$W64)="","",INDEX('Per Invoice'!E$2:E$801,$W64)))</f>
        <v/>
      </c>
      <c r="F64">
        <f>IF($W64="","",IF(INDEX('Per Invoice'!F$2:F$801,$W64)="","",INDEX('Per Invoice'!F$2:F$801,$W64)))</f>
        <v/>
      </c>
      <c r="G64">
        <f>IF($W64="","",IF(INDEX('Per Invoice'!G$2:G$801,$W64)="","",INDEX('Per Invoice'!G$2:G$801,$W64)))</f>
        <v/>
      </c>
      <c r="H64">
        <f>IF($W64="","",IF(INDEX('Per Invoice'!H$2:H$801,$W64)="","",INDEX('Per Invoice'!H$2:H$801,$W64)))</f>
        <v/>
      </c>
      <c r="I64">
        <f>IF($W64="","",IF(INDEX('Per Invoice'!I$2:I$801,$W64)="","",INDEX('Per Invoice'!I$2:I$801,$W64)))</f>
        <v/>
      </c>
      <c r="J64">
        <f>IF($W64="","",IF(INDEX('Per Invoice'!J$2:J$801,$W64)="","",INDEX('Per Invoice'!J$2:J$801,$W64)))</f>
        <v/>
      </c>
      <c r="K64" s="7">
        <f>IF($W64="","",IF(INDEX('Per Invoice'!K$2:K$801,$W64)="","",INDEX('Per Invoice'!K$2:K$801,$W64)))</f>
        <v/>
      </c>
      <c r="L64" s="14">
        <f>IF($W64="","",IF(INDEX('Per Invoice'!L$2:L$801,$W64)="","",INDEX('Per Invoice'!L$2:L$801,$W64)))</f>
        <v/>
      </c>
      <c r="M64">
        <f>IF($W64="","",IF(INDEX('Per Invoice'!M$2:M$801,$W64)="","",INDEX('Per Invoice'!M$2:M$801,$W64)))</f>
        <v/>
      </c>
      <c r="N64" s="7">
        <f>IF($W64="","",IF(INDEX('Per Invoice'!N$2:N$801,$W64)="","",INDEX('Per Invoice'!N$2:N$801,$W64)))</f>
        <v/>
      </c>
      <c r="O64" s="7">
        <f>IF($W64="","",IF(INDEX('Per Invoice'!O$2:O$801,$W64)="","",INDEX('Per Invoice'!O$2:O$801,$W64)))</f>
        <v/>
      </c>
      <c r="P64">
        <f>IF($W64="","",IF(INDEX('Per Invoice'!P$2:P$801,$W64)="","",INDEX('Per Invoice'!P$2:P$801,$W64)))</f>
        <v/>
      </c>
      <c r="Q64" s="7">
        <f>IF($W64="","",IF(INDEX('Per Invoice'!Q$2:Q$801,$W64)="","",INDEX('Per Invoice'!Q$2:Q$801,$W64)))</f>
        <v/>
      </c>
      <c r="R64" s="7">
        <f>IF($W64="","",IF(INDEX('Per Invoice'!R$2:R$801,$W64)="","",INDEX('Per Invoice'!R$2:R$801,$W64)))</f>
        <v/>
      </c>
      <c r="S64" s="7">
        <f>IF($W64="","",IF(INDEX('Per Invoice'!S$2:S$801,$W64)="","",INDEX('Per Invoice'!S$2:S$801,$W64)))</f>
        <v/>
      </c>
      <c r="T64" s="7">
        <f>IF($W64="","",IF(INDEX('Per Invoice'!T$2:T$801,$W64)="","",INDEX('Per Invoice'!T$2:T$801,$W64)))</f>
        <v/>
      </c>
      <c r="U64" s="7">
        <f>IF($W64="","",IF(INDEX('Per Invoice'!U$2:U$801,$W64)="","",INDEX('Per Invoice'!U$2:U$801,$W64)))</f>
        <v/>
      </c>
      <c r="V64" s="7">
        <f>IF($W64="","",IF(INDEX('Per Invoice'!V$2:V$801,$W64)="","",INDEX('Per Invoice'!V$2:V$801,$W64)))</f>
        <v/>
      </c>
      <c r="W64" s="16">
        <f>IFERROR(MATCH(Settings!$C$31&amp;"|"&amp;ROWS($W$2:$W64),'Per Invoice'!$X$2:$X$801,0),"")</f>
        <v/>
      </c>
    </row>
    <row r="65">
      <c r="A65">
        <f>IF($W65="","",IF(INDEX('Per Invoice'!A$2:A$801,$W65)="","",INDEX('Per Invoice'!A$2:A$801,$W65)))</f>
        <v/>
      </c>
      <c r="B65">
        <f>IF($W65="","",IF(INDEX('Per Invoice'!B$2:B$801,$W65)="","",INDEX('Per Invoice'!B$2:B$801,$W65)))</f>
        <v/>
      </c>
      <c r="C65">
        <f>IF($W65="","",IF(INDEX('Per Invoice'!C$2:C$801,$W65)="","",INDEX('Per Invoice'!C$2:C$801,$W65)))</f>
        <v/>
      </c>
      <c r="D65">
        <f>IF($W65="","",IF(INDEX('Per Invoice'!D$2:D$801,$W65)="","",INDEX('Per Invoice'!D$2:D$801,$W65)))</f>
        <v/>
      </c>
      <c r="E65">
        <f>IF($W65="","",IF(INDEX('Per Invoice'!E$2:E$801,$W65)="","",INDEX('Per Invoice'!E$2:E$801,$W65)))</f>
        <v/>
      </c>
      <c r="F65">
        <f>IF($W65="","",IF(INDEX('Per Invoice'!F$2:F$801,$W65)="","",INDEX('Per Invoice'!F$2:F$801,$W65)))</f>
        <v/>
      </c>
      <c r="G65">
        <f>IF($W65="","",IF(INDEX('Per Invoice'!G$2:G$801,$W65)="","",INDEX('Per Invoice'!G$2:G$801,$W65)))</f>
        <v/>
      </c>
      <c r="H65">
        <f>IF($W65="","",IF(INDEX('Per Invoice'!H$2:H$801,$W65)="","",INDEX('Per Invoice'!H$2:H$801,$W65)))</f>
        <v/>
      </c>
      <c r="I65">
        <f>IF($W65="","",IF(INDEX('Per Invoice'!I$2:I$801,$W65)="","",INDEX('Per Invoice'!I$2:I$801,$W65)))</f>
        <v/>
      </c>
      <c r="J65">
        <f>IF($W65="","",IF(INDEX('Per Invoice'!J$2:J$801,$W65)="","",INDEX('Per Invoice'!J$2:J$801,$W65)))</f>
        <v/>
      </c>
      <c r="K65" s="7">
        <f>IF($W65="","",IF(INDEX('Per Invoice'!K$2:K$801,$W65)="","",INDEX('Per Invoice'!K$2:K$801,$W65)))</f>
        <v/>
      </c>
      <c r="L65" s="14">
        <f>IF($W65="","",IF(INDEX('Per Invoice'!L$2:L$801,$W65)="","",INDEX('Per Invoice'!L$2:L$801,$W65)))</f>
        <v/>
      </c>
      <c r="M65">
        <f>IF($W65="","",IF(INDEX('Per Invoice'!M$2:M$801,$W65)="","",INDEX('Per Invoice'!M$2:M$801,$W65)))</f>
        <v/>
      </c>
      <c r="N65" s="7">
        <f>IF($W65="","",IF(INDEX('Per Invoice'!N$2:N$801,$W65)="","",INDEX('Per Invoice'!N$2:N$801,$W65)))</f>
        <v/>
      </c>
      <c r="O65" s="7">
        <f>IF($W65="","",IF(INDEX('Per Invoice'!O$2:O$801,$W65)="","",INDEX('Per Invoice'!O$2:O$801,$W65)))</f>
        <v/>
      </c>
      <c r="P65">
        <f>IF($W65="","",IF(INDEX('Per Invoice'!P$2:P$801,$W65)="","",INDEX('Per Invoice'!P$2:P$801,$W65)))</f>
        <v/>
      </c>
      <c r="Q65" s="7">
        <f>IF($W65="","",IF(INDEX('Per Invoice'!Q$2:Q$801,$W65)="","",INDEX('Per Invoice'!Q$2:Q$801,$W65)))</f>
        <v/>
      </c>
      <c r="R65" s="7">
        <f>IF($W65="","",IF(INDEX('Per Invoice'!R$2:R$801,$W65)="","",INDEX('Per Invoice'!R$2:R$801,$W65)))</f>
        <v/>
      </c>
      <c r="S65" s="7">
        <f>IF($W65="","",IF(INDEX('Per Invoice'!S$2:S$801,$W65)="","",INDEX('Per Invoice'!S$2:S$801,$W65)))</f>
        <v/>
      </c>
      <c r="T65" s="7">
        <f>IF($W65="","",IF(INDEX('Per Invoice'!T$2:T$801,$W65)="","",INDEX('Per Invoice'!T$2:T$801,$W65)))</f>
        <v/>
      </c>
      <c r="U65" s="7">
        <f>IF($W65="","",IF(INDEX('Per Invoice'!U$2:U$801,$W65)="","",INDEX('Per Invoice'!U$2:U$801,$W65)))</f>
        <v/>
      </c>
      <c r="V65" s="7">
        <f>IF($W65="","",IF(INDEX('Per Invoice'!V$2:V$801,$W65)="","",INDEX('Per Invoice'!V$2:V$801,$W65)))</f>
        <v/>
      </c>
      <c r="W65" s="16">
        <f>IFERROR(MATCH(Settings!$C$31&amp;"|"&amp;ROWS($W$2:$W65),'Per Invoice'!$X$2:$X$801,0),"")</f>
        <v/>
      </c>
    </row>
    <row r="66">
      <c r="A66">
        <f>IF($W66="","",IF(INDEX('Per Invoice'!A$2:A$801,$W66)="","",INDEX('Per Invoice'!A$2:A$801,$W66)))</f>
        <v/>
      </c>
      <c r="B66">
        <f>IF($W66="","",IF(INDEX('Per Invoice'!B$2:B$801,$W66)="","",INDEX('Per Invoice'!B$2:B$801,$W66)))</f>
        <v/>
      </c>
      <c r="C66">
        <f>IF($W66="","",IF(INDEX('Per Invoice'!C$2:C$801,$W66)="","",INDEX('Per Invoice'!C$2:C$801,$W66)))</f>
        <v/>
      </c>
      <c r="D66">
        <f>IF($W66="","",IF(INDEX('Per Invoice'!D$2:D$801,$W66)="","",INDEX('Per Invoice'!D$2:D$801,$W66)))</f>
        <v/>
      </c>
      <c r="E66">
        <f>IF($W66="","",IF(INDEX('Per Invoice'!E$2:E$801,$W66)="","",INDEX('Per Invoice'!E$2:E$801,$W66)))</f>
        <v/>
      </c>
      <c r="F66">
        <f>IF($W66="","",IF(INDEX('Per Invoice'!F$2:F$801,$W66)="","",INDEX('Per Invoice'!F$2:F$801,$W66)))</f>
        <v/>
      </c>
      <c r="G66">
        <f>IF($W66="","",IF(INDEX('Per Invoice'!G$2:G$801,$W66)="","",INDEX('Per Invoice'!G$2:G$801,$W66)))</f>
        <v/>
      </c>
      <c r="H66">
        <f>IF($W66="","",IF(INDEX('Per Invoice'!H$2:H$801,$W66)="","",INDEX('Per Invoice'!H$2:H$801,$W66)))</f>
        <v/>
      </c>
      <c r="I66">
        <f>IF($W66="","",IF(INDEX('Per Invoice'!I$2:I$801,$W66)="","",INDEX('Per Invoice'!I$2:I$801,$W66)))</f>
        <v/>
      </c>
      <c r="J66">
        <f>IF($W66="","",IF(INDEX('Per Invoice'!J$2:J$801,$W66)="","",INDEX('Per Invoice'!J$2:J$801,$W66)))</f>
        <v/>
      </c>
      <c r="K66" s="7">
        <f>IF($W66="","",IF(INDEX('Per Invoice'!K$2:K$801,$W66)="","",INDEX('Per Invoice'!K$2:K$801,$W66)))</f>
        <v/>
      </c>
      <c r="L66" s="14">
        <f>IF($W66="","",IF(INDEX('Per Invoice'!L$2:L$801,$W66)="","",INDEX('Per Invoice'!L$2:L$801,$W66)))</f>
        <v/>
      </c>
      <c r="M66">
        <f>IF($W66="","",IF(INDEX('Per Invoice'!M$2:M$801,$W66)="","",INDEX('Per Invoice'!M$2:M$801,$W66)))</f>
        <v/>
      </c>
      <c r="N66" s="7">
        <f>IF($W66="","",IF(INDEX('Per Invoice'!N$2:N$801,$W66)="","",INDEX('Per Invoice'!N$2:N$801,$W66)))</f>
        <v/>
      </c>
      <c r="O66" s="7">
        <f>IF($W66="","",IF(INDEX('Per Invoice'!O$2:O$801,$W66)="","",INDEX('Per Invoice'!O$2:O$801,$W66)))</f>
        <v/>
      </c>
      <c r="P66">
        <f>IF($W66="","",IF(INDEX('Per Invoice'!P$2:P$801,$W66)="","",INDEX('Per Invoice'!P$2:P$801,$W66)))</f>
        <v/>
      </c>
      <c r="Q66" s="7">
        <f>IF($W66="","",IF(INDEX('Per Invoice'!Q$2:Q$801,$W66)="","",INDEX('Per Invoice'!Q$2:Q$801,$W66)))</f>
        <v/>
      </c>
      <c r="R66" s="7">
        <f>IF($W66="","",IF(INDEX('Per Invoice'!R$2:R$801,$W66)="","",INDEX('Per Invoice'!R$2:R$801,$W66)))</f>
        <v/>
      </c>
      <c r="S66" s="7">
        <f>IF($W66="","",IF(INDEX('Per Invoice'!S$2:S$801,$W66)="","",INDEX('Per Invoice'!S$2:S$801,$W66)))</f>
        <v/>
      </c>
      <c r="T66" s="7">
        <f>IF($W66="","",IF(INDEX('Per Invoice'!T$2:T$801,$W66)="","",INDEX('Per Invoice'!T$2:T$801,$W66)))</f>
        <v/>
      </c>
      <c r="U66" s="7">
        <f>IF($W66="","",IF(INDEX('Per Invoice'!U$2:U$801,$W66)="","",INDEX('Per Invoice'!U$2:U$801,$W66)))</f>
        <v/>
      </c>
      <c r="V66" s="7">
        <f>IF($W66="","",IF(INDEX('Per Invoice'!V$2:V$801,$W66)="","",INDEX('Per Invoice'!V$2:V$801,$W66)))</f>
        <v/>
      </c>
      <c r="W66" s="16">
        <f>IFERROR(MATCH(Settings!$C$31&amp;"|"&amp;ROWS($W$2:$W66),'Per Invoice'!$X$2:$X$801,0),"")</f>
        <v/>
      </c>
    </row>
    <row r="67">
      <c r="A67">
        <f>IF($W67="","",IF(INDEX('Per Invoice'!A$2:A$801,$W67)="","",INDEX('Per Invoice'!A$2:A$801,$W67)))</f>
        <v/>
      </c>
      <c r="B67">
        <f>IF($W67="","",IF(INDEX('Per Invoice'!B$2:B$801,$W67)="","",INDEX('Per Invoice'!B$2:B$801,$W67)))</f>
        <v/>
      </c>
      <c r="C67">
        <f>IF($W67="","",IF(INDEX('Per Invoice'!C$2:C$801,$W67)="","",INDEX('Per Invoice'!C$2:C$801,$W67)))</f>
        <v/>
      </c>
      <c r="D67">
        <f>IF($W67="","",IF(INDEX('Per Invoice'!D$2:D$801,$W67)="","",INDEX('Per Invoice'!D$2:D$801,$W67)))</f>
        <v/>
      </c>
      <c r="E67">
        <f>IF($W67="","",IF(INDEX('Per Invoice'!E$2:E$801,$W67)="","",INDEX('Per Invoice'!E$2:E$801,$W67)))</f>
        <v/>
      </c>
      <c r="F67">
        <f>IF($W67="","",IF(INDEX('Per Invoice'!F$2:F$801,$W67)="","",INDEX('Per Invoice'!F$2:F$801,$W67)))</f>
        <v/>
      </c>
      <c r="G67">
        <f>IF($W67="","",IF(INDEX('Per Invoice'!G$2:G$801,$W67)="","",INDEX('Per Invoice'!G$2:G$801,$W67)))</f>
        <v/>
      </c>
      <c r="H67">
        <f>IF($W67="","",IF(INDEX('Per Invoice'!H$2:H$801,$W67)="","",INDEX('Per Invoice'!H$2:H$801,$W67)))</f>
        <v/>
      </c>
      <c r="I67">
        <f>IF($W67="","",IF(INDEX('Per Invoice'!I$2:I$801,$W67)="","",INDEX('Per Invoice'!I$2:I$801,$W67)))</f>
        <v/>
      </c>
      <c r="J67">
        <f>IF($W67="","",IF(INDEX('Per Invoice'!J$2:J$801,$W67)="","",INDEX('Per Invoice'!J$2:J$801,$W67)))</f>
        <v/>
      </c>
      <c r="K67" s="7">
        <f>IF($W67="","",IF(INDEX('Per Invoice'!K$2:K$801,$W67)="","",INDEX('Per Invoice'!K$2:K$801,$W67)))</f>
        <v/>
      </c>
      <c r="L67" s="14">
        <f>IF($W67="","",IF(INDEX('Per Invoice'!L$2:L$801,$W67)="","",INDEX('Per Invoice'!L$2:L$801,$W67)))</f>
        <v/>
      </c>
      <c r="M67">
        <f>IF($W67="","",IF(INDEX('Per Invoice'!M$2:M$801,$W67)="","",INDEX('Per Invoice'!M$2:M$801,$W67)))</f>
        <v/>
      </c>
      <c r="N67" s="7">
        <f>IF($W67="","",IF(INDEX('Per Invoice'!N$2:N$801,$W67)="","",INDEX('Per Invoice'!N$2:N$801,$W67)))</f>
        <v/>
      </c>
      <c r="O67" s="7">
        <f>IF($W67="","",IF(INDEX('Per Invoice'!O$2:O$801,$W67)="","",INDEX('Per Invoice'!O$2:O$801,$W67)))</f>
        <v/>
      </c>
      <c r="P67">
        <f>IF($W67="","",IF(INDEX('Per Invoice'!P$2:P$801,$W67)="","",INDEX('Per Invoice'!P$2:P$801,$W67)))</f>
        <v/>
      </c>
      <c r="Q67" s="7">
        <f>IF($W67="","",IF(INDEX('Per Invoice'!Q$2:Q$801,$W67)="","",INDEX('Per Invoice'!Q$2:Q$801,$W67)))</f>
        <v/>
      </c>
      <c r="R67" s="7">
        <f>IF($W67="","",IF(INDEX('Per Invoice'!R$2:R$801,$W67)="","",INDEX('Per Invoice'!R$2:R$801,$W67)))</f>
        <v/>
      </c>
      <c r="S67" s="7">
        <f>IF($W67="","",IF(INDEX('Per Invoice'!S$2:S$801,$W67)="","",INDEX('Per Invoice'!S$2:S$801,$W67)))</f>
        <v/>
      </c>
      <c r="T67" s="7">
        <f>IF($W67="","",IF(INDEX('Per Invoice'!T$2:T$801,$W67)="","",INDEX('Per Invoice'!T$2:T$801,$W67)))</f>
        <v/>
      </c>
      <c r="U67" s="7">
        <f>IF($W67="","",IF(INDEX('Per Invoice'!U$2:U$801,$W67)="","",INDEX('Per Invoice'!U$2:U$801,$W67)))</f>
        <v/>
      </c>
      <c r="V67" s="7">
        <f>IF($W67="","",IF(INDEX('Per Invoice'!V$2:V$801,$W67)="","",INDEX('Per Invoice'!V$2:V$801,$W67)))</f>
        <v/>
      </c>
      <c r="W67" s="16">
        <f>IFERROR(MATCH(Settings!$C$31&amp;"|"&amp;ROWS($W$2:$W67),'Per Invoice'!$X$2:$X$801,0),"")</f>
        <v/>
      </c>
    </row>
    <row r="68">
      <c r="A68">
        <f>IF($W68="","",IF(INDEX('Per Invoice'!A$2:A$801,$W68)="","",INDEX('Per Invoice'!A$2:A$801,$W68)))</f>
        <v/>
      </c>
      <c r="B68">
        <f>IF($W68="","",IF(INDEX('Per Invoice'!B$2:B$801,$W68)="","",INDEX('Per Invoice'!B$2:B$801,$W68)))</f>
        <v/>
      </c>
      <c r="C68">
        <f>IF($W68="","",IF(INDEX('Per Invoice'!C$2:C$801,$W68)="","",INDEX('Per Invoice'!C$2:C$801,$W68)))</f>
        <v/>
      </c>
      <c r="D68">
        <f>IF($W68="","",IF(INDEX('Per Invoice'!D$2:D$801,$W68)="","",INDEX('Per Invoice'!D$2:D$801,$W68)))</f>
        <v/>
      </c>
      <c r="E68">
        <f>IF($W68="","",IF(INDEX('Per Invoice'!E$2:E$801,$W68)="","",INDEX('Per Invoice'!E$2:E$801,$W68)))</f>
        <v/>
      </c>
      <c r="F68">
        <f>IF($W68="","",IF(INDEX('Per Invoice'!F$2:F$801,$W68)="","",INDEX('Per Invoice'!F$2:F$801,$W68)))</f>
        <v/>
      </c>
      <c r="G68">
        <f>IF($W68="","",IF(INDEX('Per Invoice'!G$2:G$801,$W68)="","",INDEX('Per Invoice'!G$2:G$801,$W68)))</f>
        <v/>
      </c>
      <c r="H68">
        <f>IF($W68="","",IF(INDEX('Per Invoice'!H$2:H$801,$W68)="","",INDEX('Per Invoice'!H$2:H$801,$W68)))</f>
        <v/>
      </c>
      <c r="I68">
        <f>IF($W68="","",IF(INDEX('Per Invoice'!I$2:I$801,$W68)="","",INDEX('Per Invoice'!I$2:I$801,$W68)))</f>
        <v/>
      </c>
      <c r="J68">
        <f>IF($W68="","",IF(INDEX('Per Invoice'!J$2:J$801,$W68)="","",INDEX('Per Invoice'!J$2:J$801,$W68)))</f>
        <v/>
      </c>
      <c r="K68" s="7">
        <f>IF($W68="","",IF(INDEX('Per Invoice'!K$2:K$801,$W68)="","",INDEX('Per Invoice'!K$2:K$801,$W68)))</f>
        <v/>
      </c>
      <c r="L68" s="14">
        <f>IF($W68="","",IF(INDEX('Per Invoice'!L$2:L$801,$W68)="","",INDEX('Per Invoice'!L$2:L$801,$W68)))</f>
        <v/>
      </c>
      <c r="M68">
        <f>IF($W68="","",IF(INDEX('Per Invoice'!M$2:M$801,$W68)="","",INDEX('Per Invoice'!M$2:M$801,$W68)))</f>
        <v/>
      </c>
      <c r="N68" s="7">
        <f>IF($W68="","",IF(INDEX('Per Invoice'!N$2:N$801,$W68)="","",INDEX('Per Invoice'!N$2:N$801,$W68)))</f>
        <v/>
      </c>
      <c r="O68" s="7">
        <f>IF($W68="","",IF(INDEX('Per Invoice'!O$2:O$801,$W68)="","",INDEX('Per Invoice'!O$2:O$801,$W68)))</f>
        <v/>
      </c>
      <c r="P68">
        <f>IF($W68="","",IF(INDEX('Per Invoice'!P$2:P$801,$W68)="","",INDEX('Per Invoice'!P$2:P$801,$W68)))</f>
        <v/>
      </c>
      <c r="Q68" s="7">
        <f>IF($W68="","",IF(INDEX('Per Invoice'!Q$2:Q$801,$W68)="","",INDEX('Per Invoice'!Q$2:Q$801,$W68)))</f>
        <v/>
      </c>
      <c r="R68" s="7">
        <f>IF($W68="","",IF(INDEX('Per Invoice'!R$2:R$801,$W68)="","",INDEX('Per Invoice'!R$2:R$801,$W68)))</f>
        <v/>
      </c>
      <c r="S68" s="7">
        <f>IF($W68="","",IF(INDEX('Per Invoice'!S$2:S$801,$W68)="","",INDEX('Per Invoice'!S$2:S$801,$W68)))</f>
        <v/>
      </c>
      <c r="T68" s="7">
        <f>IF($W68="","",IF(INDEX('Per Invoice'!T$2:T$801,$W68)="","",INDEX('Per Invoice'!T$2:T$801,$W68)))</f>
        <v/>
      </c>
      <c r="U68" s="7">
        <f>IF($W68="","",IF(INDEX('Per Invoice'!U$2:U$801,$W68)="","",INDEX('Per Invoice'!U$2:U$801,$W68)))</f>
        <v/>
      </c>
      <c r="V68" s="7">
        <f>IF($W68="","",IF(INDEX('Per Invoice'!V$2:V$801,$W68)="","",INDEX('Per Invoice'!V$2:V$801,$W68)))</f>
        <v/>
      </c>
      <c r="W68" s="16">
        <f>IFERROR(MATCH(Settings!$C$31&amp;"|"&amp;ROWS($W$2:$W68),'Per Invoice'!$X$2:$X$801,0),"")</f>
        <v/>
      </c>
    </row>
    <row r="69">
      <c r="A69">
        <f>IF($W69="","",IF(INDEX('Per Invoice'!A$2:A$801,$W69)="","",INDEX('Per Invoice'!A$2:A$801,$W69)))</f>
        <v/>
      </c>
      <c r="B69">
        <f>IF($W69="","",IF(INDEX('Per Invoice'!B$2:B$801,$W69)="","",INDEX('Per Invoice'!B$2:B$801,$W69)))</f>
        <v/>
      </c>
      <c r="C69">
        <f>IF($W69="","",IF(INDEX('Per Invoice'!C$2:C$801,$W69)="","",INDEX('Per Invoice'!C$2:C$801,$W69)))</f>
        <v/>
      </c>
      <c r="D69">
        <f>IF($W69="","",IF(INDEX('Per Invoice'!D$2:D$801,$W69)="","",INDEX('Per Invoice'!D$2:D$801,$W69)))</f>
        <v/>
      </c>
      <c r="E69">
        <f>IF($W69="","",IF(INDEX('Per Invoice'!E$2:E$801,$W69)="","",INDEX('Per Invoice'!E$2:E$801,$W69)))</f>
        <v/>
      </c>
      <c r="F69">
        <f>IF($W69="","",IF(INDEX('Per Invoice'!F$2:F$801,$W69)="","",INDEX('Per Invoice'!F$2:F$801,$W69)))</f>
        <v/>
      </c>
      <c r="G69">
        <f>IF($W69="","",IF(INDEX('Per Invoice'!G$2:G$801,$W69)="","",INDEX('Per Invoice'!G$2:G$801,$W69)))</f>
        <v/>
      </c>
      <c r="H69">
        <f>IF($W69="","",IF(INDEX('Per Invoice'!H$2:H$801,$W69)="","",INDEX('Per Invoice'!H$2:H$801,$W69)))</f>
        <v/>
      </c>
      <c r="I69">
        <f>IF($W69="","",IF(INDEX('Per Invoice'!I$2:I$801,$W69)="","",INDEX('Per Invoice'!I$2:I$801,$W69)))</f>
        <v/>
      </c>
      <c r="J69">
        <f>IF($W69="","",IF(INDEX('Per Invoice'!J$2:J$801,$W69)="","",INDEX('Per Invoice'!J$2:J$801,$W69)))</f>
        <v/>
      </c>
      <c r="K69" s="7">
        <f>IF($W69="","",IF(INDEX('Per Invoice'!K$2:K$801,$W69)="","",INDEX('Per Invoice'!K$2:K$801,$W69)))</f>
        <v/>
      </c>
      <c r="L69" s="14">
        <f>IF($W69="","",IF(INDEX('Per Invoice'!L$2:L$801,$W69)="","",INDEX('Per Invoice'!L$2:L$801,$W69)))</f>
        <v/>
      </c>
      <c r="M69">
        <f>IF($W69="","",IF(INDEX('Per Invoice'!M$2:M$801,$W69)="","",INDEX('Per Invoice'!M$2:M$801,$W69)))</f>
        <v/>
      </c>
      <c r="N69" s="7">
        <f>IF($W69="","",IF(INDEX('Per Invoice'!N$2:N$801,$W69)="","",INDEX('Per Invoice'!N$2:N$801,$W69)))</f>
        <v/>
      </c>
      <c r="O69" s="7">
        <f>IF($W69="","",IF(INDEX('Per Invoice'!O$2:O$801,$W69)="","",INDEX('Per Invoice'!O$2:O$801,$W69)))</f>
        <v/>
      </c>
      <c r="P69">
        <f>IF($W69="","",IF(INDEX('Per Invoice'!P$2:P$801,$W69)="","",INDEX('Per Invoice'!P$2:P$801,$W69)))</f>
        <v/>
      </c>
      <c r="Q69" s="7">
        <f>IF($W69="","",IF(INDEX('Per Invoice'!Q$2:Q$801,$W69)="","",INDEX('Per Invoice'!Q$2:Q$801,$W69)))</f>
        <v/>
      </c>
      <c r="R69" s="7">
        <f>IF($W69="","",IF(INDEX('Per Invoice'!R$2:R$801,$W69)="","",INDEX('Per Invoice'!R$2:R$801,$W69)))</f>
        <v/>
      </c>
      <c r="S69" s="7">
        <f>IF($W69="","",IF(INDEX('Per Invoice'!S$2:S$801,$W69)="","",INDEX('Per Invoice'!S$2:S$801,$W69)))</f>
        <v/>
      </c>
      <c r="T69" s="7">
        <f>IF($W69="","",IF(INDEX('Per Invoice'!T$2:T$801,$W69)="","",INDEX('Per Invoice'!T$2:T$801,$W69)))</f>
        <v/>
      </c>
      <c r="U69" s="7">
        <f>IF($W69="","",IF(INDEX('Per Invoice'!U$2:U$801,$W69)="","",INDEX('Per Invoice'!U$2:U$801,$W69)))</f>
        <v/>
      </c>
      <c r="V69" s="7">
        <f>IF($W69="","",IF(INDEX('Per Invoice'!V$2:V$801,$W69)="","",INDEX('Per Invoice'!V$2:V$801,$W69)))</f>
        <v/>
      </c>
      <c r="W69" s="16">
        <f>IFERROR(MATCH(Settings!$C$31&amp;"|"&amp;ROWS($W$2:$W69),'Per Invoice'!$X$2:$X$801,0),"")</f>
        <v/>
      </c>
    </row>
    <row r="70">
      <c r="A70">
        <f>IF($W70="","",IF(INDEX('Per Invoice'!A$2:A$801,$W70)="","",INDEX('Per Invoice'!A$2:A$801,$W70)))</f>
        <v/>
      </c>
      <c r="B70">
        <f>IF($W70="","",IF(INDEX('Per Invoice'!B$2:B$801,$W70)="","",INDEX('Per Invoice'!B$2:B$801,$W70)))</f>
        <v/>
      </c>
      <c r="C70">
        <f>IF($W70="","",IF(INDEX('Per Invoice'!C$2:C$801,$W70)="","",INDEX('Per Invoice'!C$2:C$801,$W70)))</f>
        <v/>
      </c>
      <c r="D70">
        <f>IF($W70="","",IF(INDEX('Per Invoice'!D$2:D$801,$W70)="","",INDEX('Per Invoice'!D$2:D$801,$W70)))</f>
        <v/>
      </c>
      <c r="E70">
        <f>IF($W70="","",IF(INDEX('Per Invoice'!E$2:E$801,$W70)="","",INDEX('Per Invoice'!E$2:E$801,$W70)))</f>
        <v/>
      </c>
      <c r="F70">
        <f>IF($W70="","",IF(INDEX('Per Invoice'!F$2:F$801,$W70)="","",INDEX('Per Invoice'!F$2:F$801,$W70)))</f>
        <v/>
      </c>
      <c r="G70">
        <f>IF($W70="","",IF(INDEX('Per Invoice'!G$2:G$801,$W70)="","",INDEX('Per Invoice'!G$2:G$801,$W70)))</f>
        <v/>
      </c>
      <c r="H70">
        <f>IF($W70="","",IF(INDEX('Per Invoice'!H$2:H$801,$W70)="","",INDEX('Per Invoice'!H$2:H$801,$W70)))</f>
        <v/>
      </c>
      <c r="I70">
        <f>IF($W70="","",IF(INDEX('Per Invoice'!I$2:I$801,$W70)="","",INDEX('Per Invoice'!I$2:I$801,$W70)))</f>
        <v/>
      </c>
      <c r="J70">
        <f>IF($W70="","",IF(INDEX('Per Invoice'!J$2:J$801,$W70)="","",INDEX('Per Invoice'!J$2:J$801,$W70)))</f>
        <v/>
      </c>
      <c r="K70" s="7">
        <f>IF($W70="","",IF(INDEX('Per Invoice'!K$2:K$801,$W70)="","",INDEX('Per Invoice'!K$2:K$801,$W70)))</f>
        <v/>
      </c>
      <c r="L70" s="14">
        <f>IF($W70="","",IF(INDEX('Per Invoice'!L$2:L$801,$W70)="","",INDEX('Per Invoice'!L$2:L$801,$W70)))</f>
        <v/>
      </c>
      <c r="M70">
        <f>IF($W70="","",IF(INDEX('Per Invoice'!M$2:M$801,$W70)="","",INDEX('Per Invoice'!M$2:M$801,$W70)))</f>
        <v/>
      </c>
      <c r="N70" s="7">
        <f>IF($W70="","",IF(INDEX('Per Invoice'!N$2:N$801,$W70)="","",INDEX('Per Invoice'!N$2:N$801,$W70)))</f>
        <v/>
      </c>
      <c r="O70" s="7">
        <f>IF($W70="","",IF(INDEX('Per Invoice'!O$2:O$801,$W70)="","",INDEX('Per Invoice'!O$2:O$801,$W70)))</f>
        <v/>
      </c>
      <c r="P70">
        <f>IF($W70="","",IF(INDEX('Per Invoice'!P$2:P$801,$W70)="","",INDEX('Per Invoice'!P$2:P$801,$W70)))</f>
        <v/>
      </c>
      <c r="Q70" s="7">
        <f>IF($W70="","",IF(INDEX('Per Invoice'!Q$2:Q$801,$W70)="","",INDEX('Per Invoice'!Q$2:Q$801,$W70)))</f>
        <v/>
      </c>
      <c r="R70" s="7">
        <f>IF($W70="","",IF(INDEX('Per Invoice'!R$2:R$801,$W70)="","",INDEX('Per Invoice'!R$2:R$801,$W70)))</f>
        <v/>
      </c>
      <c r="S70" s="7">
        <f>IF($W70="","",IF(INDEX('Per Invoice'!S$2:S$801,$W70)="","",INDEX('Per Invoice'!S$2:S$801,$W70)))</f>
        <v/>
      </c>
      <c r="T70" s="7">
        <f>IF($W70="","",IF(INDEX('Per Invoice'!T$2:T$801,$W70)="","",INDEX('Per Invoice'!T$2:T$801,$W70)))</f>
        <v/>
      </c>
      <c r="U70" s="7">
        <f>IF($W70="","",IF(INDEX('Per Invoice'!U$2:U$801,$W70)="","",INDEX('Per Invoice'!U$2:U$801,$W70)))</f>
        <v/>
      </c>
      <c r="V70" s="7">
        <f>IF($W70="","",IF(INDEX('Per Invoice'!V$2:V$801,$W70)="","",INDEX('Per Invoice'!V$2:V$801,$W70)))</f>
        <v/>
      </c>
      <c r="W70" s="16">
        <f>IFERROR(MATCH(Settings!$C$31&amp;"|"&amp;ROWS($W$2:$W70),'Per Invoice'!$X$2:$X$801,0),"")</f>
        <v/>
      </c>
    </row>
    <row r="71">
      <c r="A71">
        <f>IF($W71="","",IF(INDEX('Per Invoice'!A$2:A$801,$W71)="","",INDEX('Per Invoice'!A$2:A$801,$W71)))</f>
        <v/>
      </c>
      <c r="B71">
        <f>IF($W71="","",IF(INDEX('Per Invoice'!B$2:B$801,$W71)="","",INDEX('Per Invoice'!B$2:B$801,$W71)))</f>
        <v/>
      </c>
      <c r="C71">
        <f>IF($W71="","",IF(INDEX('Per Invoice'!C$2:C$801,$W71)="","",INDEX('Per Invoice'!C$2:C$801,$W71)))</f>
        <v/>
      </c>
      <c r="D71">
        <f>IF($W71="","",IF(INDEX('Per Invoice'!D$2:D$801,$W71)="","",INDEX('Per Invoice'!D$2:D$801,$W71)))</f>
        <v/>
      </c>
      <c r="E71">
        <f>IF($W71="","",IF(INDEX('Per Invoice'!E$2:E$801,$W71)="","",INDEX('Per Invoice'!E$2:E$801,$W71)))</f>
        <v/>
      </c>
      <c r="F71">
        <f>IF($W71="","",IF(INDEX('Per Invoice'!F$2:F$801,$W71)="","",INDEX('Per Invoice'!F$2:F$801,$W71)))</f>
        <v/>
      </c>
      <c r="G71">
        <f>IF($W71="","",IF(INDEX('Per Invoice'!G$2:G$801,$W71)="","",INDEX('Per Invoice'!G$2:G$801,$W71)))</f>
        <v/>
      </c>
      <c r="H71">
        <f>IF($W71="","",IF(INDEX('Per Invoice'!H$2:H$801,$W71)="","",INDEX('Per Invoice'!H$2:H$801,$W71)))</f>
        <v/>
      </c>
      <c r="I71">
        <f>IF($W71="","",IF(INDEX('Per Invoice'!I$2:I$801,$W71)="","",INDEX('Per Invoice'!I$2:I$801,$W71)))</f>
        <v/>
      </c>
      <c r="J71">
        <f>IF($W71="","",IF(INDEX('Per Invoice'!J$2:J$801,$W71)="","",INDEX('Per Invoice'!J$2:J$801,$W71)))</f>
        <v/>
      </c>
      <c r="K71" s="7">
        <f>IF($W71="","",IF(INDEX('Per Invoice'!K$2:K$801,$W71)="","",INDEX('Per Invoice'!K$2:K$801,$W71)))</f>
        <v/>
      </c>
      <c r="L71" s="14">
        <f>IF($W71="","",IF(INDEX('Per Invoice'!L$2:L$801,$W71)="","",INDEX('Per Invoice'!L$2:L$801,$W71)))</f>
        <v/>
      </c>
      <c r="M71">
        <f>IF($W71="","",IF(INDEX('Per Invoice'!M$2:M$801,$W71)="","",INDEX('Per Invoice'!M$2:M$801,$W71)))</f>
        <v/>
      </c>
      <c r="N71" s="7">
        <f>IF($W71="","",IF(INDEX('Per Invoice'!N$2:N$801,$W71)="","",INDEX('Per Invoice'!N$2:N$801,$W71)))</f>
        <v/>
      </c>
      <c r="O71" s="7">
        <f>IF($W71="","",IF(INDEX('Per Invoice'!O$2:O$801,$W71)="","",INDEX('Per Invoice'!O$2:O$801,$W71)))</f>
        <v/>
      </c>
      <c r="P71">
        <f>IF($W71="","",IF(INDEX('Per Invoice'!P$2:P$801,$W71)="","",INDEX('Per Invoice'!P$2:P$801,$W71)))</f>
        <v/>
      </c>
      <c r="Q71" s="7">
        <f>IF($W71="","",IF(INDEX('Per Invoice'!Q$2:Q$801,$W71)="","",INDEX('Per Invoice'!Q$2:Q$801,$W71)))</f>
        <v/>
      </c>
      <c r="R71" s="7">
        <f>IF($W71="","",IF(INDEX('Per Invoice'!R$2:R$801,$W71)="","",INDEX('Per Invoice'!R$2:R$801,$W71)))</f>
        <v/>
      </c>
      <c r="S71" s="7">
        <f>IF($W71="","",IF(INDEX('Per Invoice'!S$2:S$801,$W71)="","",INDEX('Per Invoice'!S$2:S$801,$W71)))</f>
        <v/>
      </c>
      <c r="T71" s="7">
        <f>IF($W71="","",IF(INDEX('Per Invoice'!T$2:T$801,$W71)="","",INDEX('Per Invoice'!T$2:T$801,$W71)))</f>
        <v/>
      </c>
      <c r="U71" s="7">
        <f>IF($W71="","",IF(INDEX('Per Invoice'!U$2:U$801,$W71)="","",INDEX('Per Invoice'!U$2:U$801,$W71)))</f>
        <v/>
      </c>
      <c r="V71" s="7">
        <f>IF($W71="","",IF(INDEX('Per Invoice'!V$2:V$801,$W71)="","",INDEX('Per Invoice'!V$2:V$801,$W71)))</f>
        <v/>
      </c>
      <c r="W71" s="16">
        <f>IFERROR(MATCH(Settings!$C$31&amp;"|"&amp;ROWS($W$2:$W71),'Per Invoice'!$X$2:$X$801,0),"")</f>
        <v/>
      </c>
    </row>
    <row r="72">
      <c r="A72">
        <f>IF($W72="","",IF(INDEX('Per Invoice'!A$2:A$801,$W72)="","",INDEX('Per Invoice'!A$2:A$801,$W72)))</f>
        <v/>
      </c>
      <c r="B72">
        <f>IF($W72="","",IF(INDEX('Per Invoice'!B$2:B$801,$W72)="","",INDEX('Per Invoice'!B$2:B$801,$W72)))</f>
        <v/>
      </c>
      <c r="C72">
        <f>IF($W72="","",IF(INDEX('Per Invoice'!C$2:C$801,$W72)="","",INDEX('Per Invoice'!C$2:C$801,$W72)))</f>
        <v/>
      </c>
      <c r="D72">
        <f>IF($W72="","",IF(INDEX('Per Invoice'!D$2:D$801,$W72)="","",INDEX('Per Invoice'!D$2:D$801,$W72)))</f>
        <v/>
      </c>
      <c r="E72">
        <f>IF($W72="","",IF(INDEX('Per Invoice'!E$2:E$801,$W72)="","",INDEX('Per Invoice'!E$2:E$801,$W72)))</f>
        <v/>
      </c>
      <c r="F72">
        <f>IF($W72="","",IF(INDEX('Per Invoice'!F$2:F$801,$W72)="","",INDEX('Per Invoice'!F$2:F$801,$W72)))</f>
        <v/>
      </c>
      <c r="G72">
        <f>IF($W72="","",IF(INDEX('Per Invoice'!G$2:G$801,$W72)="","",INDEX('Per Invoice'!G$2:G$801,$W72)))</f>
        <v/>
      </c>
      <c r="H72">
        <f>IF($W72="","",IF(INDEX('Per Invoice'!H$2:H$801,$W72)="","",INDEX('Per Invoice'!H$2:H$801,$W72)))</f>
        <v/>
      </c>
      <c r="I72">
        <f>IF($W72="","",IF(INDEX('Per Invoice'!I$2:I$801,$W72)="","",INDEX('Per Invoice'!I$2:I$801,$W72)))</f>
        <v/>
      </c>
      <c r="J72">
        <f>IF($W72="","",IF(INDEX('Per Invoice'!J$2:J$801,$W72)="","",INDEX('Per Invoice'!J$2:J$801,$W72)))</f>
        <v/>
      </c>
      <c r="K72" s="7">
        <f>IF($W72="","",IF(INDEX('Per Invoice'!K$2:K$801,$W72)="","",INDEX('Per Invoice'!K$2:K$801,$W72)))</f>
        <v/>
      </c>
      <c r="L72" s="14">
        <f>IF($W72="","",IF(INDEX('Per Invoice'!L$2:L$801,$W72)="","",INDEX('Per Invoice'!L$2:L$801,$W72)))</f>
        <v/>
      </c>
      <c r="M72">
        <f>IF($W72="","",IF(INDEX('Per Invoice'!M$2:M$801,$W72)="","",INDEX('Per Invoice'!M$2:M$801,$W72)))</f>
        <v/>
      </c>
      <c r="N72" s="7">
        <f>IF($W72="","",IF(INDEX('Per Invoice'!N$2:N$801,$W72)="","",INDEX('Per Invoice'!N$2:N$801,$W72)))</f>
        <v/>
      </c>
      <c r="O72" s="7">
        <f>IF($W72="","",IF(INDEX('Per Invoice'!O$2:O$801,$W72)="","",INDEX('Per Invoice'!O$2:O$801,$W72)))</f>
        <v/>
      </c>
      <c r="P72">
        <f>IF($W72="","",IF(INDEX('Per Invoice'!P$2:P$801,$W72)="","",INDEX('Per Invoice'!P$2:P$801,$W72)))</f>
        <v/>
      </c>
      <c r="Q72" s="7">
        <f>IF($W72="","",IF(INDEX('Per Invoice'!Q$2:Q$801,$W72)="","",INDEX('Per Invoice'!Q$2:Q$801,$W72)))</f>
        <v/>
      </c>
      <c r="R72" s="7">
        <f>IF($W72="","",IF(INDEX('Per Invoice'!R$2:R$801,$W72)="","",INDEX('Per Invoice'!R$2:R$801,$W72)))</f>
        <v/>
      </c>
      <c r="S72" s="7">
        <f>IF($W72="","",IF(INDEX('Per Invoice'!S$2:S$801,$W72)="","",INDEX('Per Invoice'!S$2:S$801,$W72)))</f>
        <v/>
      </c>
      <c r="T72" s="7">
        <f>IF($W72="","",IF(INDEX('Per Invoice'!T$2:T$801,$W72)="","",INDEX('Per Invoice'!T$2:T$801,$W72)))</f>
        <v/>
      </c>
      <c r="U72" s="7">
        <f>IF($W72="","",IF(INDEX('Per Invoice'!U$2:U$801,$W72)="","",INDEX('Per Invoice'!U$2:U$801,$W72)))</f>
        <v/>
      </c>
      <c r="V72" s="7">
        <f>IF($W72="","",IF(INDEX('Per Invoice'!V$2:V$801,$W72)="","",INDEX('Per Invoice'!V$2:V$801,$W72)))</f>
        <v/>
      </c>
      <c r="W72" s="16">
        <f>IFERROR(MATCH(Settings!$C$31&amp;"|"&amp;ROWS($W$2:$W72),'Per Invoice'!$X$2:$X$801,0),"")</f>
        <v/>
      </c>
    </row>
    <row r="73">
      <c r="A73">
        <f>IF($W73="","",IF(INDEX('Per Invoice'!A$2:A$801,$W73)="","",INDEX('Per Invoice'!A$2:A$801,$W73)))</f>
        <v/>
      </c>
      <c r="B73">
        <f>IF($W73="","",IF(INDEX('Per Invoice'!B$2:B$801,$W73)="","",INDEX('Per Invoice'!B$2:B$801,$W73)))</f>
        <v/>
      </c>
      <c r="C73">
        <f>IF($W73="","",IF(INDEX('Per Invoice'!C$2:C$801,$W73)="","",INDEX('Per Invoice'!C$2:C$801,$W73)))</f>
        <v/>
      </c>
      <c r="D73">
        <f>IF($W73="","",IF(INDEX('Per Invoice'!D$2:D$801,$W73)="","",INDEX('Per Invoice'!D$2:D$801,$W73)))</f>
        <v/>
      </c>
      <c r="E73">
        <f>IF($W73="","",IF(INDEX('Per Invoice'!E$2:E$801,$W73)="","",INDEX('Per Invoice'!E$2:E$801,$W73)))</f>
        <v/>
      </c>
      <c r="F73">
        <f>IF($W73="","",IF(INDEX('Per Invoice'!F$2:F$801,$W73)="","",INDEX('Per Invoice'!F$2:F$801,$W73)))</f>
        <v/>
      </c>
      <c r="G73">
        <f>IF($W73="","",IF(INDEX('Per Invoice'!G$2:G$801,$W73)="","",INDEX('Per Invoice'!G$2:G$801,$W73)))</f>
        <v/>
      </c>
      <c r="H73">
        <f>IF($W73="","",IF(INDEX('Per Invoice'!H$2:H$801,$W73)="","",INDEX('Per Invoice'!H$2:H$801,$W73)))</f>
        <v/>
      </c>
      <c r="I73">
        <f>IF($W73="","",IF(INDEX('Per Invoice'!I$2:I$801,$W73)="","",INDEX('Per Invoice'!I$2:I$801,$W73)))</f>
        <v/>
      </c>
      <c r="J73">
        <f>IF($W73="","",IF(INDEX('Per Invoice'!J$2:J$801,$W73)="","",INDEX('Per Invoice'!J$2:J$801,$W73)))</f>
        <v/>
      </c>
      <c r="K73" s="7">
        <f>IF($W73="","",IF(INDEX('Per Invoice'!K$2:K$801,$W73)="","",INDEX('Per Invoice'!K$2:K$801,$W73)))</f>
        <v/>
      </c>
      <c r="L73" s="14">
        <f>IF($W73="","",IF(INDEX('Per Invoice'!L$2:L$801,$W73)="","",INDEX('Per Invoice'!L$2:L$801,$W73)))</f>
        <v/>
      </c>
      <c r="M73">
        <f>IF($W73="","",IF(INDEX('Per Invoice'!M$2:M$801,$W73)="","",INDEX('Per Invoice'!M$2:M$801,$W73)))</f>
        <v/>
      </c>
      <c r="N73" s="7">
        <f>IF($W73="","",IF(INDEX('Per Invoice'!N$2:N$801,$W73)="","",INDEX('Per Invoice'!N$2:N$801,$W73)))</f>
        <v/>
      </c>
      <c r="O73" s="7">
        <f>IF($W73="","",IF(INDEX('Per Invoice'!O$2:O$801,$W73)="","",INDEX('Per Invoice'!O$2:O$801,$W73)))</f>
        <v/>
      </c>
      <c r="P73">
        <f>IF($W73="","",IF(INDEX('Per Invoice'!P$2:P$801,$W73)="","",INDEX('Per Invoice'!P$2:P$801,$W73)))</f>
        <v/>
      </c>
      <c r="Q73" s="7">
        <f>IF($W73="","",IF(INDEX('Per Invoice'!Q$2:Q$801,$W73)="","",INDEX('Per Invoice'!Q$2:Q$801,$W73)))</f>
        <v/>
      </c>
      <c r="R73" s="7">
        <f>IF($W73="","",IF(INDEX('Per Invoice'!R$2:R$801,$W73)="","",INDEX('Per Invoice'!R$2:R$801,$W73)))</f>
        <v/>
      </c>
      <c r="S73" s="7">
        <f>IF($W73="","",IF(INDEX('Per Invoice'!S$2:S$801,$W73)="","",INDEX('Per Invoice'!S$2:S$801,$W73)))</f>
        <v/>
      </c>
      <c r="T73" s="7">
        <f>IF($W73="","",IF(INDEX('Per Invoice'!T$2:T$801,$W73)="","",INDEX('Per Invoice'!T$2:T$801,$W73)))</f>
        <v/>
      </c>
      <c r="U73" s="7">
        <f>IF($W73="","",IF(INDEX('Per Invoice'!U$2:U$801,$W73)="","",INDEX('Per Invoice'!U$2:U$801,$W73)))</f>
        <v/>
      </c>
      <c r="V73" s="7">
        <f>IF($W73="","",IF(INDEX('Per Invoice'!V$2:V$801,$W73)="","",INDEX('Per Invoice'!V$2:V$801,$W73)))</f>
        <v/>
      </c>
      <c r="W73" s="16">
        <f>IFERROR(MATCH(Settings!$C$31&amp;"|"&amp;ROWS($W$2:$W73),'Per Invoice'!$X$2:$X$801,0),"")</f>
        <v/>
      </c>
    </row>
    <row r="74">
      <c r="A74">
        <f>IF($W74="","",IF(INDEX('Per Invoice'!A$2:A$801,$W74)="","",INDEX('Per Invoice'!A$2:A$801,$W74)))</f>
        <v/>
      </c>
      <c r="B74">
        <f>IF($W74="","",IF(INDEX('Per Invoice'!B$2:B$801,$W74)="","",INDEX('Per Invoice'!B$2:B$801,$W74)))</f>
        <v/>
      </c>
      <c r="C74">
        <f>IF($W74="","",IF(INDEX('Per Invoice'!C$2:C$801,$W74)="","",INDEX('Per Invoice'!C$2:C$801,$W74)))</f>
        <v/>
      </c>
      <c r="D74">
        <f>IF($W74="","",IF(INDEX('Per Invoice'!D$2:D$801,$W74)="","",INDEX('Per Invoice'!D$2:D$801,$W74)))</f>
        <v/>
      </c>
      <c r="E74">
        <f>IF($W74="","",IF(INDEX('Per Invoice'!E$2:E$801,$W74)="","",INDEX('Per Invoice'!E$2:E$801,$W74)))</f>
        <v/>
      </c>
      <c r="F74">
        <f>IF($W74="","",IF(INDEX('Per Invoice'!F$2:F$801,$W74)="","",INDEX('Per Invoice'!F$2:F$801,$W74)))</f>
        <v/>
      </c>
      <c r="G74">
        <f>IF($W74="","",IF(INDEX('Per Invoice'!G$2:G$801,$W74)="","",INDEX('Per Invoice'!G$2:G$801,$W74)))</f>
        <v/>
      </c>
      <c r="H74">
        <f>IF($W74="","",IF(INDEX('Per Invoice'!H$2:H$801,$W74)="","",INDEX('Per Invoice'!H$2:H$801,$W74)))</f>
        <v/>
      </c>
      <c r="I74">
        <f>IF($W74="","",IF(INDEX('Per Invoice'!I$2:I$801,$W74)="","",INDEX('Per Invoice'!I$2:I$801,$W74)))</f>
        <v/>
      </c>
      <c r="J74">
        <f>IF($W74="","",IF(INDEX('Per Invoice'!J$2:J$801,$W74)="","",INDEX('Per Invoice'!J$2:J$801,$W74)))</f>
        <v/>
      </c>
      <c r="K74" s="7">
        <f>IF($W74="","",IF(INDEX('Per Invoice'!K$2:K$801,$W74)="","",INDEX('Per Invoice'!K$2:K$801,$W74)))</f>
        <v/>
      </c>
      <c r="L74" s="14">
        <f>IF($W74="","",IF(INDEX('Per Invoice'!L$2:L$801,$W74)="","",INDEX('Per Invoice'!L$2:L$801,$W74)))</f>
        <v/>
      </c>
      <c r="M74">
        <f>IF($W74="","",IF(INDEX('Per Invoice'!M$2:M$801,$W74)="","",INDEX('Per Invoice'!M$2:M$801,$W74)))</f>
        <v/>
      </c>
      <c r="N74" s="7">
        <f>IF($W74="","",IF(INDEX('Per Invoice'!N$2:N$801,$W74)="","",INDEX('Per Invoice'!N$2:N$801,$W74)))</f>
        <v/>
      </c>
      <c r="O74" s="7">
        <f>IF($W74="","",IF(INDEX('Per Invoice'!O$2:O$801,$W74)="","",INDEX('Per Invoice'!O$2:O$801,$W74)))</f>
        <v/>
      </c>
      <c r="P74">
        <f>IF($W74="","",IF(INDEX('Per Invoice'!P$2:P$801,$W74)="","",INDEX('Per Invoice'!P$2:P$801,$W74)))</f>
        <v/>
      </c>
      <c r="Q74" s="7">
        <f>IF($W74="","",IF(INDEX('Per Invoice'!Q$2:Q$801,$W74)="","",INDEX('Per Invoice'!Q$2:Q$801,$W74)))</f>
        <v/>
      </c>
      <c r="R74" s="7">
        <f>IF($W74="","",IF(INDEX('Per Invoice'!R$2:R$801,$W74)="","",INDEX('Per Invoice'!R$2:R$801,$W74)))</f>
        <v/>
      </c>
      <c r="S74" s="7">
        <f>IF($W74="","",IF(INDEX('Per Invoice'!S$2:S$801,$W74)="","",INDEX('Per Invoice'!S$2:S$801,$W74)))</f>
        <v/>
      </c>
      <c r="T74" s="7">
        <f>IF($W74="","",IF(INDEX('Per Invoice'!T$2:T$801,$W74)="","",INDEX('Per Invoice'!T$2:T$801,$W74)))</f>
        <v/>
      </c>
      <c r="U74" s="7">
        <f>IF($W74="","",IF(INDEX('Per Invoice'!U$2:U$801,$W74)="","",INDEX('Per Invoice'!U$2:U$801,$W74)))</f>
        <v/>
      </c>
      <c r="V74" s="7">
        <f>IF($W74="","",IF(INDEX('Per Invoice'!V$2:V$801,$W74)="","",INDEX('Per Invoice'!V$2:V$801,$W74)))</f>
        <v/>
      </c>
      <c r="W74" s="16">
        <f>IFERROR(MATCH(Settings!$C$31&amp;"|"&amp;ROWS($W$2:$W74),'Per Invoice'!$X$2:$X$801,0),"")</f>
        <v/>
      </c>
    </row>
    <row r="75">
      <c r="A75">
        <f>IF($W75="","",IF(INDEX('Per Invoice'!A$2:A$801,$W75)="","",INDEX('Per Invoice'!A$2:A$801,$W75)))</f>
        <v/>
      </c>
      <c r="B75">
        <f>IF($W75="","",IF(INDEX('Per Invoice'!B$2:B$801,$W75)="","",INDEX('Per Invoice'!B$2:B$801,$W75)))</f>
        <v/>
      </c>
      <c r="C75">
        <f>IF($W75="","",IF(INDEX('Per Invoice'!C$2:C$801,$W75)="","",INDEX('Per Invoice'!C$2:C$801,$W75)))</f>
        <v/>
      </c>
      <c r="D75">
        <f>IF($W75="","",IF(INDEX('Per Invoice'!D$2:D$801,$W75)="","",INDEX('Per Invoice'!D$2:D$801,$W75)))</f>
        <v/>
      </c>
      <c r="E75">
        <f>IF($W75="","",IF(INDEX('Per Invoice'!E$2:E$801,$W75)="","",INDEX('Per Invoice'!E$2:E$801,$W75)))</f>
        <v/>
      </c>
      <c r="F75">
        <f>IF($W75="","",IF(INDEX('Per Invoice'!F$2:F$801,$W75)="","",INDEX('Per Invoice'!F$2:F$801,$W75)))</f>
        <v/>
      </c>
      <c r="G75">
        <f>IF($W75="","",IF(INDEX('Per Invoice'!G$2:G$801,$W75)="","",INDEX('Per Invoice'!G$2:G$801,$W75)))</f>
        <v/>
      </c>
      <c r="H75">
        <f>IF($W75="","",IF(INDEX('Per Invoice'!H$2:H$801,$W75)="","",INDEX('Per Invoice'!H$2:H$801,$W75)))</f>
        <v/>
      </c>
      <c r="I75">
        <f>IF($W75="","",IF(INDEX('Per Invoice'!I$2:I$801,$W75)="","",INDEX('Per Invoice'!I$2:I$801,$W75)))</f>
        <v/>
      </c>
      <c r="J75">
        <f>IF($W75="","",IF(INDEX('Per Invoice'!J$2:J$801,$W75)="","",INDEX('Per Invoice'!J$2:J$801,$W75)))</f>
        <v/>
      </c>
      <c r="K75" s="7">
        <f>IF($W75="","",IF(INDEX('Per Invoice'!K$2:K$801,$W75)="","",INDEX('Per Invoice'!K$2:K$801,$W75)))</f>
        <v/>
      </c>
      <c r="L75" s="14">
        <f>IF($W75="","",IF(INDEX('Per Invoice'!L$2:L$801,$W75)="","",INDEX('Per Invoice'!L$2:L$801,$W75)))</f>
        <v/>
      </c>
      <c r="M75">
        <f>IF($W75="","",IF(INDEX('Per Invoice'!M$2:M$801,$W75)="","",INDEX('Per Invoice'!M$2:M$801,$W75)))</f>
        <v/>
      </c>
      <c r="N75" s="7">
        <f>IF($W75="","",IF(INDEX('Per Invoice'!N$2:N$801,$W75)="","",INDEX('Per Invoice'!N$2:N$801,$W75)))</f>
        <v/>
      </c>
      <c r="O75" s="7">
        <f>IF($W75="","",IF(INDEX('Per Invoice'!O$2:O$801,$W75)="","",INDEX('Per Invoice'!O$2:O$801,$W75)))</f>
        <v/>
      </c>
      <c r="P75">
        <f>IF($W75="","",IF(INDEX('Per Invoice'!P$2:P$801,$W75)="","",INDEX('Per Invoice'!P$2:P$801,$W75)))</f>
        <v/>
      </c>
      <c r="Q75" s="7">
        <f>IF($W75="","",IF(INDEX('Per Invoice'!Q$2:Q$801,$W75)="","",INDEX('Per Invoice'!Q$2:Q$801,$W75)))</f>
        <v/>
      </c>
      <c r="R75" s="7">
        <f>IF($W75="","",IF(INDEX('Per Invoice'!R$2:R$801,$W75)="","",INDEX('Per Invoice'!R$2:R$801,$W75)))</f>
        <v/>
      </c>
      <c r="S75" s="7">
        <f>IF($W75="","",IF(INDEX('Per Invoice'!S$2:S$801,$W75)="","",INDEX('Per Invoice'!S$2:S$801,$W75)))</f>
        <v/>
      </c>
      <c r="T75" s="7">
        <f>IF($W75="","",IF(INDEX('Per Invoice'!T$2:T$801,$W75)="","",INDEX('Per Invoice'!T$2:T$801,$W75)))</f>
        <v/>
      </c>
      <c r="U75" s="7">
        <f>IF($W75="","",IF(INDEX('Per Invoice'!U$2:U$801,$W75)="","",INDEX('Per Invoice'!U$2:U$801,$W75)))</f>
        <v/>
      </c>
      <c r="V75" s="7">
        <f>IF($W75="","",IF(INDEX('Per Invoice'!V$2:V$801,$W75)="","",INDEX('Per Invoice'!V$2:V$801,$W75)))</f>
        <v/>
      </c>
      <c r="W75" s="16">
        <f>IFERROR(MATCH(Settings!$C$31&amp;"|"&amp;ROWS($W$2:$W75),'Per Invoice'!$X$2:$X$801,0),"")</f>
        <v/>
      </c>
    </row>
    <row r="76">
      <c r="A76">
        <f>IF($W76="","",IF(INDEX('Per Invoice'!A$2:A$801,$W76)="","",INDEX('Per Invoice'!A$2:A$801,$W76)))</f>
        <v/>
      </c>
      <c r="B76">
        <f>IF($W76="","",IF(INDEX('Per Invoice'!B$2:B$801,$W76)="","",INDEX('Per Invoice'!B$2:B$801,$W76)))</f>
        <v/>
      </c>
      <c r="C76">
        <f>IF($W76="","",IF(INDEX('Per Invoice'!C$2:C$801,$W76)="","",INDEX('Per Invoice'!C$2:C$801,$W76)))</f>
        <v/>
      </c>
      <c r="D76">
        <f>IF($W76="","",IF(INDEX('Per Invoice'!D$2:D$801,$W76)="","",INDEX('Per Invoice'!D$2:D$801,$W76)))</f>
        <v/>
      </c>
      <c r="E76">
        <f>IF($W76="","",IF(INDEX('Per Invoice'!E$2:E$801,$W76)="","",INDEX('Per Invoice'!E$2:E$801,$W76)))</f>
        <v/>
      </c>
      <c r="F76">
        <f>IF($W76="","",IF(INDEX('Per Invoice'!F$2:F$801,$W76)="","",INDEX('Per Invoice'!F$2:F$801,$W76)))</f>
        <v/>
      </c>
      <c r="G76">
        <f>IF($W76="","",IF(INDEX('Per Invoice'!G$2:G$801,$W76)="","",INDEX('Per Invoice'!G$2:G$801,$W76)))</f>
        <v/>
      </c>
      <c r="H76">
        <f>IF($W76="","",IF(INDEX('Per Invoice'!H$2:H$801,$W76)="","",INDEX('Per Invoice'!H$2:H$801,$W76)))</f>
        <v/>
      </c>
      <c r="I76">
        <f>IF($W76="","",IF(INDEX('Per Invoice'!I$2:I$801,$W76)="","",INDEX('Per Invoice'!I$2:I$801,$W76)))</f>
        <v/>
      </c>
      <c r="J76">
        <f>IF($W76="","",IF(INDEX('Per Invoice'!J$2:J$801,$W76)="","",INDEX('Per Invoice'!J$2:J$801,$W76)))</f>
        <v/>
      </c>
      <c r="K76" s="7">
        <f>IF($W76="","",IF(INDEX('Per Invoice'!K$2:K$801,$W76)="","",INDEX('Per Invoice'!K$2:K$801,$W76)))</f>
        <v/>
      </c>
      <c r="L76" s="14">
        <f>IF($W76="","",IF(INDEX('Per Invoice'!L$2:L$801,$W76)="","",INDEX('Per Invoice'!L$2:L$801,$W76)))</f>
        <v/>
      </c>
      <c r="M76">
        <f>IF($W76="","",IF(INDEX('Per Invoice'!M$2:M$801,$W76)="","",INDEX('Per Invoice'!M$2:M$801,$W76)))</f>
        <v/>
      </c>
      <c r="N76" s="7">
        <f>IF($W76="","",IF(INDEX('Per Invoice'!N$2:N$801,$W76)="","",INDEX('Per Invoice'!N$2:N$801,$W76)))</f>
        <v/>
      </c>
      <c r="O76" s="7">
        <f>IF($W76="","",IF(INDEX('Per Invoice'!O$2:O$801,$W76)="","",INDEX('Per Invoice'!O$2:O$801,$W76)))</f>
        <v/>
      </c>
      <c r="P76">
        <f>IF($W76="","",IF(INDEX('Per Invoice'!P$2:P$801,$W76)="","",INDEX('Per Invoice'!P$2:P$801,$W76)))</f>
        <v/>
      </c>
      <c r="Q76" s="7">
        <f>IF($W76="","",IF(INDEX('Per Invoice'!Q$2:Q$801,$W76)="","",INDEX('Per Invoice'!Q$2:Q$801,$W76)))</f>
        <v/>
      </c>
      <c r="R76" s="7">
        <f>IF($W76="","",IF(INDEX('Per Invoice'!R$2:R$801,$W76)="","",INDEX('Per Invoice'!R$2:R$801,$W76)))</f>
        <v/>
      </c>
      <c r="S76" s="7">
        <f>IF($W76="","",IF(INDEX('Per Invoice'!S$2:S$801,$W76)="","",INDEX('Per Invoice'!S$2:S$801,$W76)))</f>
        <v/>
      </c>
      <c r="T76" s="7">
        <f>IF($W76="","",IF(INDEX('Per Invoice'!T$2:T$801,$W76)="","",INDEX('Per Invoice'!T$2:T$801,$W76)))</f>
        <v/>
      </c>
      <c r="U76" s="7">
        <f>IF($W76="","",IF(INDEX('Per Invoice'!U$2:U$801,$W76)="","",INDEX('Per Invoice'!U$2:U$801,$W76)))</f>
        <v/>
      </c>
      <c r="V76" s="7">
        <f>IF($W76="","",IF(INDEX('Per Invoice'!V$2:V$801,$W76)="","",INDEX('Per Invoice'!V$2:V$801,$W76)))</f>
        <v/>
      </c>
      <c r="W76" s="16">
        <f>IFERROR(MATCH(Settings!$C$31&amp;"|"&amp;ROWS($W$2:$W76),'Per Invoice'!$X$2:$X$801,0),"")</f>
        <v/>
      </c>
    </row>
    <row r="77">
      <c r="A77">
        <f>IF($W77="","",IF(INDEX('Per Invoice'!A$2:A$801,$W77)="","",INDEX('Per Invoice'!A$2:A$801,$W77)))</f>
        <v/>
      </c>
      <c r="B77">
        <f>IF($W77="","",IF(INDEX('Per Invoice'!B$2:B$801,$W77)="","",INDEX('Per Invoice'!B$2:B$801,$W77)))</f>
        <v/>
      </c>
      <c r="C77">
        <f>IF($W77="","",IF(INDEX('Per Invoice'!C$2:C$801,$W77)="","",INDEX('Per Invoice'!C$2:C$801,$W77)))</f>
        <v/>
      </c>
      <c r="D77">
        <f>IF($W77="","",IF(INDEX('Per Invoice'!D$2:D$801,$W77)="","",INDEX('Per Invoice'!D$2:D$801,$W77)))</f>
        <v/>
      </c>
      <c r="E77">
        <f>IF($W77="","",IF(INDEX('Per Invoice'!E$2:E$801,$W77)="","",INDEX('Per Invoice'!E$2:E$801,$W77)))</f>
        <v/>
      </c>
      <c r="F77">
        <f>IF($W77="","",IF(INDEX('Per Invoice'!F$2:F$801,$W77)="","",INDEX('Per Invoice'!F$2:F$801,$W77)))</f>
        <v/>
      </c>
      <c r="G77">
        <f>IF($W77="","",IF(INDEX('Per Invoice'!G$2:G$801,$W77)="","",INDEX('Per Invoice'!G$2:G$801,$W77)))</f>
        <v/>
      </c>
      <c r="H77">
        <f>IF($W77="","",IF(INDEX('Per Invoice'!H$2:H$801,$W77)="","",INDEX('Per Invoice'!H$2:H$801,$W77)))</f>
        <v/>
      </c>
      <c r="I77">
        <f>IF($W77="","",IF(INDEX('Per Invoice'!I$2:I$801,$W77)="","",INDEX('Per Invoice'!I$2:I$801,$W77)))</f>
        <v/>
      </c>
      <c r="J77">
        <f>IF($W77="","",IF(INDEX('Per Invoice'!J$2:J$801,$W77)="","",INDEX('Per Invoice'!J$2:J$801,$W77)))</f>
        <v/>
      </c>
      <c r="K77" s="7">
        <f>IF($W77="","",IF(INDEX('Per Invoice'!K$2:K$801,$W77)="","",INDEX('Per Invoice'!K$2:K$801,$W77)))</f>
        <v/>
      </c>
      <c r="L77" s="14">
        <f>IF($W77="","",IF(INDEX('Per Invoice'!L$2:L$801,$W77)="","",INDEX('Per Invoice'!L$2:L$801,$W77)))</f>
        <v/>
      </c>
      <c r="M77">
        <f>IF($W77="","",IF(INDEX('Per Invoice'!M$2:M$801,$W77)="","",INDEX('Per Invoice'!M$2:M$801,$W77)))</f>
        <v/>
      </c>
      <c r="N77" s="7">
        <f>IF($W77="","",IF(INDEX('Per Invoice'!N$2:N$801,$W77)="","",INDEX('Per Invoice'!N$2:N$801,$W77)))</f>
        <v/>
      </c>
      <c r="O77" s="7">
        <f>IF($W77="","",IF(INDEX('Per Invoice'!O$2:O$801,$W77)="","",INDEX('Per Invoice'!O$2:O$801,$W77)))</f>
        <v/>
      </c>
      <c r="P77">
        <f>IF($W77="","",IF(INDEX('Per Invoice'!P$2:P$801,$W77)="","",INDEX('Per Invoice'!P$2:P$801,$W77)))</f>
        <v/>
      </c>
      <c r="Q77" s="7">
        <f>IF($W77="","",IF(INDEX('Per Invoice'!Q$2:Q$801,$W77)="","",INDEX('Per Invoice'!Q$2:Q$801,$W77)))</f>
        <v/>
      </c>
      <c r="R77" s="7">
        <f>IF($W77="","",IF(INDEX('Per Invoice'!R$2:R$801,$W77)="","",INDEX('Per Invoice'!R$2:R$801,$W77)))</f>
        <v/>
      </c>
      <c r="S77" s="7">
        <f>IF($W77="","",IF(INDEX('Per Invoice'!S$2:S$801,$W77)="","",INDEX('Per Invoice'!S$2:S$801,$W77)))</f>
        <v/>
      </c>
      <c r="T77" s="7">
        <f>IF($W77="","",IF(INDEX('Per Invoice'!T$2:T$801,$W77)="","",INDEX('Per Invoice'!T$2:T$801,$W77)))</f>
        <v/>
      </c>
      <c r="U77" s="7">
        <f>IF($W77="","",IF(INDEX('Per Invoice'!U$2:U$801,$W77)="","",INDEX('Per Invoice'!U$2:U$801,$W77)))</f>
        <v/>
      </c>
      <c r="V77" s="7">
        <f>IF($W77="","",IF(INDEX('Per Invoice'!V$2:V$801,$W77)="","",INDEX('Per Invoice'!V$2:V$801,$W77)))</f>
        <v/>
      </c>
      <c r="W77" s="16">
        <f>IFERROR(MATCH(Settings!$C$31&amp;"|"&amp;ROWS($W$2:$W77),'Per Invoice'!$X$2:$X$801,0),"")</f>
        <v/>
      </c>
    </row>
    <row r="78">
      <c r="A78">
        <f>IF($W78="","",IF(INDEX('Per Invoice'!A$2:A$801,$W78)="","",INDEX('Per Invoice'!A$2:A$801,$W78)))</f>
        <v/>
      </c>
      <c r="B78">
        <f>IF($W78="","",IF(INDEX('Per Invoice'!B$2:B$801,$W78)="","",INDEX('Per Invoice'!B$2:B$801,$W78)))</f>
        <v/>
      </c>
      <c r="C78">
        <f>IF($W78="","",IF(INDEX('Per Invoice'!C$2:C$801,$W78)="","",INDEX('Per Invoice'!C$2:C$801,$W78)))</f>
        <v/>
      </c>
      <c r="D78">
        <f>IF($W78="","",IF(INDEX('Per Invoice'!D$2:D$801,$W78)="","",INDEX('Per Invoice'!D$2:D$801,$W78)))</f>
        <v/>
      </c>
      <c r="E78">
        <f>IF($W78="","",IF(INDEX('Per Invoice'!E$2:E$801,$W78)="","",INDEX('Per Invoice'!E$2:E$801,$W78)))</f>
        <v/>
      </c>
      <c r="F78">
        <f>IF($W78="","",IF(INDEX('Per Invoice'!F$2:F$801,$W78)="","",INDEX('Per Invoice'!F$2:F$801,$W78)))</f>
        <v/>
      </c>
      <c r="G78">
        <f>IF($W78="","",IF(INDEX('Per Invoice'!G$2:G$801,$W78)="","",INDEX('Per Invoice'!G$2:G$801,$W78)))</f>
        <v/>
      </c>
      <c r="H78">
        <f>IF($W78="","",IF(INDEX('Per Invoice'!H$2:H$801,$W78)="","",INDEX('Per Invoice'!H$2:H$801,$W78)))</f>
        <v/>
      </c>
      <c r="I78">
        <f>IF($W78="","",IF(INDEX('Per Invoice'!I$2:I$801,$W78)="","",INDEX('Per Invoice'!I$2:I$801,$W78)))</f>
        <v/>
      </c>
      <c r="J78">
        <f>IF($W78="","",IF(INDEX('Per Invoice'!J$2:J$801,$W78)="","",INDEX('Per Invoice'!J$2:J$801,$W78)))</f>
        <v/>
      </c>
      <c r="K78" s="7">
        <f>IF($W78="","",IF(INDEX('Per Invoice'!K$2:K$801,$W78)="","",INDEX('Per Invoice'!K$2:K$801,$W78)))</f>
        <v/>
      </c>
      <c r="L78" s="14">
        <f>IF($W78="","",IF(INDEX('Per Invoice'!L$2:L$801,$W78)="","",INDEX('Per Invoice'!L$2:L$801,$W78)))</f>
        <v/>
      </c>
      <c r="M78">
        <f>IF($W78="","",IF(INDEX('Per Invoice'!M$2:M$801,$W78)="","",INDEX('Per Invoice'!M$2:M$801,$W78)))</f>
        <v/>
      </c>
      <c r="N78" s="7">
        <f>IF($W78="","",IF(INDEX('Per Invoice'!N$2:N$801,$W78)="","",INDEX('Per Invoice'!N$2:N$801,$W78)))</f>
        <v/>
      </c>
      <c r="O78" s="7">
        <f>IF($W78="","",IF(INDEX('Per Invoice'!O$2:O$801,$W78)="","",INDEX('Per Invoice'!O$2:O$801,$W78)))</f>
        <v/>
      </c>
      <c r="P78">
        <f>IF($W78="","",IF(INDEX('Per Invoice'!P$2:P$801,$W78)="","",INDEX('Per Invoice'!P$2:P$801,$W78)))</f>
        <v/>
      </c>
      <c r="Q78" s="7">
        <f>IF($W78="","",IF(INDEX('Per Invoice'!Q$2:Q$801,$W78)="","",INDEX('Per Invoice'!Q$2:Q$801,$W78)))</f>
        <v/>
      </c>
      <c r="R78" s="7">
        <f>IF($W78="","",IF(INDEX('Per Invoice'!R$2:R$801,$W78)="","",INDEX('Per Invoice'!R$2:R$801,$W78)))</f>
        <v/>
      </c>
      <c r="S78" s="7">
        <f>IF($W78="","",IF(INDEX('Per Invoice'!S$2:S$801,$W78)="","",INDEX('Per Invoice'!S$2:S$801,$W78)))</f>
        <v/>
      </c>
      <c r="T78" s="7">
        <f>IF($W78="","",IF(INDEX('Per Invoice'!T$2:T$801,$W78)="","",INDEX('Per Invoice'!T$2:T$801,$W78)))</f>
        <v/>
      </c>
      <c r="U78" s="7">
        <f>IF($W78="","",IF(INDEX('Per Invoice'!U$2:U$801,$W78)="","",INDEX('Per Invoice'!U$2:U$801,$W78)))</f>
        <v/>
      </c>
      <c r="V78" s="7">
        <f>IF($W78="","",IF(INDEX('Per Invoice'!V$2:V$801,$W78)="","",INDEX('Per Invoice'!V$2:V$801,$W78)))</f>
        <v/>
      </c>
      <c r="W78" s="16">
        <f>IFERROR(MATCH(Settings!$C$31&amp;"|"&amp;ROWS($W$2:$W78),'Per Invoice'!$X$2:$X$801,0),"")</f>
        <v/>
      </c>
    </row>
    <row r="79">
      <c r="A79">
        <f>IF($W79="","",IF(INDEX('Per Invoice'!A$2:A$801,$W79)="","",INDEX('Per Invoice'!A$2:A$801,$W79)))</f>
        <v/>
      </c>
      <c r="B79">
        <f>IF($W79="","",IF(INDEX('Per Invoice'!B$2:B$801,$W79)="","",INDEX('Per Invoice'!B$2:B$801,$W79)))</f>
        <v/>
      </c>
      <c r="C79">
        <f>IF($W79="","",IF(INDEX('Per Invoice'!C$2:C$801,$W79)="","",INDEX('Per Invoice'!C$2:C$801,$W79)))</f>
        <v/>
      </c>
      <c r="D79">
        <f>IF($W79="","",IF(INDEX('Per Invoice'!D$2:D$801,$W79)="","",INDEX('Per Invoice'!D$2:D$801,$W79)))</f>
        <v/>
      </c>
      <c r="E79">
        <f>IF($W79="","",IF(INDEX('Per Invoice'!E$2:E$801,$W79)="","",INDEX('Per Invoice'!E$2:E$801,$W79)))</f>
        <v/>
      </c>
      <c r="F79">
        <f>IF($W79="","",IF(INDEX('Per Invoice'!F$2:F$801,$W79)="","",INDEX('Per Invoice'!F$2:F$801,$W79)))</f>
        <v/>
      </c>
      <c r="G79">
        <f>IF($W79="","",IF(INDEX('Per Invoice'!G$2:G$801,$W79)="","",INDEX('Per Invoice'!G$2:G$801,$W79)))</f>
        <v/>
      </c>
      <c r="H79">
        <f>IF($W79="","",IF(INDEX('Per Invoice'!H$2:H$801,$W79)="","",INDEX('Per Invoice'!H$2:H$801,$W79)))</f>
        <v/>
      </c>
      <c r="I79">
        <f>IF($W79="","",IF(INDEX('Per Invoice'!I$2:I$801,$W79)="","",INDEX('Per Invoice'!I$2:I$801,$W79)))</f>
        <v/>
      </c>
      <c r="J79">
        <f>IF($W79="","",IF(INDEX('Per Invoice'!J$2:J$801,$W79)="","",INDEX('Per Invoice'!J$2:J$801,$W79)))</f>
        <v/>
      </c>
      <c r="K79" s="7">
        <f>IF($W79="","",IF(INDEX('Per Invoice'!K$2:K$801,$W79)="","",INDEX('Per Invoice'!K$2:K$801,$W79)))</f>
        <v/>
      </c>
      <c r="L79" s="14">
        <f>IF($W79="","",IF(INDEX('Per Invoice'!L$2:L$801,$W79)="","",INDEX('Per Invoice'!L$2:L$801,$W79)))</f>
        <v/>
      </c>
      <c r="M79">
        <f>IF($W79="","",IF(INDEX('Per Invoice'!M$2:M$801,$W79)="","",INDEX('Per Invoice'!M$2:M$801,$W79)))</f>
        <v/>
      </c>
      <c r="N79" s="7">
        <f>IF($W79="","",IF(INDEX('Per Invoice'!N$2:N$801,$W79)="","",INDEX('Per Invoice'!N$2:N$801,$W79)))</f>
        <v/>
      </c>
      <c r="O79" s="7">
        <f>IF($W79="","",IF(INDEX('Per Invoice'!O$2:O$801,$W79)="","",INDEX('Per Invoice'!O$2:O$801,$W79)))</f>
        <v/>
      </c>
      <c r="P79">
        <f>IF($W79="","",IF(INDEX('Per Invoice'!P$2:P$801,$W79)="","",INDEX('Per Invoice'!P$2:P$801,$W79)))</f>
        <v/>
      </c>
      <c r="Q79" s="7">
        <f>IF($W79="","",IF(INDEX('Per Invoice'!Q$2:Q$801,$W79)="","",INDEX('Per Invoice'!Q$2:Q$801,$W79)))</f>
        <v/>
      </c>
      <c r="R79" s="7">
        <f>IF($W79="","",IF(INDEX('Per Invoice'!R$2:R$801,$W79)="","",INDEX('Per Invoice'!R$2:R$801,$W79)))</f>
        <v/>
      </c>
      <c r="S79" s="7">
        <f>IF($W79="","",IF(INDEX('Per Invoice'!S$2:S$801,$W79)="","",INDEX('Per Invoice'!S$2:S$801,$W79)))</f>
        <v/>
      </c>
      <c r="T79" s="7">
        <f>IF($W79="","",IF(INDEX('Per Invoice'!T$2:T$801,$W79)="","",INDEX('Per Invoice'!T$2:T$801,$W79)))</f>
        <v/>
      </c>
      <c r="U79" s="7">
        <f>IF($W79="","",IF(INDEX('Per Invoice'!U$2:U$801,$W79)="","",INDEX('Per Invoice'!U$2:U$801,$W79)))</f>
        <v/>
      </c>
      <c r="V79" s="7">
        <f>IF($W79="","",IF(INDEX('Per Invoice'!V$2:V$801,$W79)="","",INDEX('Per Invoice'!V$2:V$801,$W79)))</f>
        <v/>
      </c>
      <c r="W79" s="16">
        <f>IFERROR(MATCH(Settings!$C$31&amp;"|"&amp;ROWS($W$2:$W79),'Per Invoice'!$X$2:$X$801,0),"")</f>
        <v/>
      </c>
    </row>
    <row r="80">
      <c r="A80">
        <f>IF($W80="","",IF(INDEX('Per Invoice'!A$2:A$801,$W80)="","",INDEX('Per Invoice'!A$2:A$801,$W80)))</f>
        <v/>
      </c>
      <c r="B80">
        <f>IF($W80="","",IF(INDEX('Per Invoice'!B$2:B$801,$W80)="","",INDEX('Per Invoice'!B$2:B$801,$W80)))</f>
        <v/>
      </c>
      <c r="C80">
        <f>IF($W80="","",IF(INDEX('Per Invoice'!C$2:C$801,$W80)="","",INDEX('Per Invoice'!C$2:C$801,$W80)))</f>
        <v/>
      </c>
      <c r="D80">
        <f>IF($W80="","",IF(INDEX('Per Invoice'!D$2:D$801,$W80)="","",INDEX('Per Invoice'!D$2:D$801,$W80)))</f>
        <v/>
      </c>
      <c r="E80">
        <f>IF($W80="","",IF(INDEX('Per Invoice'!E$2:E$801,$W80)="","",INDEX('Per Invoice'!E$2:E$801,$W80)))</f>
        <v/>
      </c>
      <c r="F80">
        <f>IF($W80="","",IF(INDEX('Per Invoice'!F$2:F$801,$W80)="","",INDEX('Per Invoice'!F$2:F$801,$W80)))</f>
        <v/>
      </c>
      <c r="G80">
        <f>IF($W80="","",IF(INDEX('Per Invoice'!G$2:G$801,$W80)="","",INDEX('Per Invoice'!G$2:G$801,$W80)))</f>
        <v/>
      </c>
      <c r="H80">
        <f>IF($W80="","",IF(INDEX('Per Invoice'!H$2:H$801,$W80)="","",INDEX('Per Invoice'!H$2:H$801,$W80)))</f>
        <v/>
      </c>
      <c r="I80">
        <f>IF($W80="","",IF(INDEX('Per Invoice'!I$2:I$801,$W80)="","",INDEX('Per Invoice'!I$2:I$801,$W80)))</f>
        <v/>
      </c>
      <c r="J80">
        <f>IF($W80="","",IF(INDEX('Per Invoice'!J$2:J$801,$W80)="","",INDEX('Per Invoice'!J$2:J$801,$W80)))</f>
        <v/>
      </c>
      <c r="K80" s="7">
        <f>IF($W80="","",IF(INDEX('Per Invoice'!K$2:K$801,$W80)="","",INDEX('Per Invoice'!K$2:K$801,$W80)))</f>
        <v/>
      </c>
      <c r="L80" s="14">
        <f>IF($W80="","",IF(INDEX('Per Invoice'!L$2:L$801,$W80)="","",INDEX('Per Invoice'!L$2:L$801,$W80)))</f>
        <v/>
      </c>
      <c r="M80">
        <f>IF($W80="","",IF(INDEX('Per Invoice'!M$2:M$801,$W80)="","",INDEX('Per Invoice'!M$2:M$801,$W80)))</f>
        <v/>
      </c>
      <c r="N80" s="7">
        <f>IF($W80="","",IF(INDEX('Per Invoice'!N$2:N$801,$W80)="","",INDEX('Per Invoice'!N$2:N$801,$W80)))</f>
        <v/>
      </c>
      <c r="O80" s="7">
        <f>IF($W80="","",IF(INDEX('Per Invoice'!O$2:O$801,$W80)="","",INDEX('Per Invoice'!O$2:O$801,$W80)))</f>
        <v/>
      </c>
      <c r="P80">
        <f>IF($W80="","",IF(INDEX('Per Invoice'!P$2:P$801,$W80)="","",INDEX('Per Invoice'!P$2:P$801,$W80)))</f>
        <v/>
      </c>
      <c r="Q80" s="7">
        <f>IF($W80="","",IF(INDEX('Per Invoice'!Q$2:Q$801,$W80)="","",INDEX('Per Invoice'!Q$2:Q$801,$W80)))</f>
        <v/>
      </c>
      <c r="R80" s="7">
        <f>IF($W80="","",IF(INDEX('Per Invoice'!R$2:R$801,$W80)="","",INDEX('Per Invoice'!R$2:R$801,$W80)))</f>
        <v/>
      </c>
      <c r="S80" s="7">
        <f>IF($W80="","",IF(INDEX('Per Invoice'!S$2:S$801,$W80)="","",INDEX('Per Invoice'!S$2:S$801,$W80)))</f>
        <v/>
      </c>
      <c r="T80" s="7">
        <f>IF($W80="","",IF(INDEX('Per Invoice'!T$2:T$801,$W80)="","",INDEX('Per Invoice'!T$2:T$801,$W80)))</f>
        <v/>
      </c>
      <c r="U80" s="7">
        <f>IF($W80="","",IF(INDEX('Per Invoice'!U$2:U$801,$W80)="","",INDEX('Per Invoice'!U$2:U$801,$W80)))</f>
        <v/>
      </c>
      <c r="V80" s="7">
        <f>IF($W80="","",IF(INDEX('Per Invoice'!V$2:V$801,$W80)="","",INDEX('Per Invoice'!V$2:V$801,$W80)))</f>
        <v/>
      </c>
      <c r="W80" s="16">
        <f>IFERROR(MATCH(Settings!$C$31&amp;"|"&amp;ROWS($W$2:$W80),'Per Invoice'!$X$2:$X$801,0),"")</f>
        <v/>
      </c>
    </row>
    <row r="81">
      <c r="A81">
        <f>IF($W81="","",IF(INDEX('Per Invoice'!A$2:A$801,$W81)="","",INDEX('Per Invoice'!A$2:A$801,$W81)))</f>
        <v/>
      </c>
      <c r="B81">
        <f>IF($W81="","",IF(INDEX('Per Invoice'!B$2:B$801,$W81)="","",INDEX('Per Invoice'!B$2:B$801,$W81)))</f>
        <v/>
      </c>
      <c r="C81">
        <f>IF($W81="","",IF(INDEX('Per Invoice'!C$2:C$801,$W81)="","",INDEX('Per Invoice'!C$2:C$801,$W81)))</f>
        <v/>
      </c>
      <c r="D81">
        <f>IF($W81="","",IF(INDEX('Per Invoice'!D$2:D$801,$W81)="","",INDEX('Per Invoice'!D$2:D$801,$W81)))</f>
        <v/>
      </c>
      <c r="E81">
        <f>IF($W81="","",IF(INDEX('Per Invoice'!E$2:E$801,$W81)="","",INDEX('Per Invoice'!E$2:E$801,$W81)))</f>
        <v/>
      </c>
      <c r="F81">
        <f>IF($W81="","",IF(INDEX('Per Invoice'!F$2:F$801,$W81)="","",INDEX('Per Invoice'!F$2:F$801,$W81)))</f>
        <v/>
      </c>
      <c r="G81">
        <f>IF($W81="","",IF(INDEX('Per Invoice'!G$2:G$801,$W81)="","",INDEX('Per Invoice'!G$2:G$801,$W81)))</f>
        <v/>
      </c>
      <c r="H81">
        <f>IF($W81="","",IF(INDEX('Per Invoice'!H$2:H$801,$W81)="","",INDEX('Per Invoice'!H$2:H$801,$W81)))</f>
        <v/>
      </c>
      <c r="I81">
        <f>IF($W81="","",IF(INDEX('Per Invoice'!I$2:I$801,$W81)="","",INDEX('Per Invoice'!I$2:I$801,$W81)))</f>
        <v/>
      </c>
      <c r="J81">
        <f>IF($W81="","",IF(INDEX('Per Invoice'!J$2:J$801,$W81)="","",INDEX('Per Invoice'!J$2:J$801,$W81)))</f>
        <v/>
      </c>
      <c r="K81" s="7">
        <f>IF($W81="","",IF(INDEX('Per Invoice'!K$2:K$801,$W81)="","",INDEX('Per Invoice'!K$2:K$801,$W81)))</f>
        <v/>
      </c>
      <c r="L81" s="14">
        <f>IF($W81="","",IF(INDEX('Per Invoice'!L$2:L$801,$W81)="","",INDEX('Per Invoice'!L$2:L$801,$W81)))</f>
        <v/>
      </c>
      <c r="M81">
        <f>IF($W81="","",IF(INDEX('Per Invoice'!M$2:M$801,$W81)="","",INDEX('Per Invoice'!M$2:M$801,$W81)))</f>
        <v/>
      </c>
      <c r="N81" s="7">
        <f>IF($W81="","",IF(INDEX('Per Invoice'!N$2:N$801,$W81)="","",INDEX('Per Invoice'!N$2:N$801,$W81)))</f>
        <v/>
      </c>
      <c r="O81" s="7">
        <f>IF($W81="","",IF(INDEX('Per Invoice'!O$2:O$801,$W81)="","",INDEX('Per Invoice'!O$2:O$801,$W81)))</f>
        <v/>
      </c>
      <c r="P81">
        <f>IF($W81="","",IF(INDEX('Per Invoice'!P$2:P$801,$W81)="","",INDEX('Per Invoice'!P$2:P$801,$W81)))</f>
        <v/>
      </c>
      <c r="Q81" s="7">
        <f>IF($W81="","",IF(INDEX('Per Invoice'!Q$2:Q$801,$W81)="","",INDEX('Per Invoice'!Q$2:Q$801,$W81)))</f>
        <v/>
      </c>
      <c r="R81" s="7">
        <f>IF($W81="","",IF(INDEX('Per Invoice'!R$2:R$801,$W81)="","",INDEX('Per Invoice'!R$2:R$801,$W81)))</f>
        <v/>
      </c>
      <c r="S81" s="7">
        <f>IF($W81="","",IF(INDEX('Per Invoice'!S$2:S$801,$W81)="","",INDEX('Per Invoice'!S$2:S$801,$W81)))</f>
        <v/>
      </c>
      <c r="T81" s="7">
        <f>IF($W81="","",IF(INDEX('Per Invoice'!T$2:T$801,$W81)="","",INDEX('Per Invoice'!T$2:T$801,$W81)))</f>
        <v/>
      </c>
      <c r="U81" s="7">
        <f>IF($W81="","",IF(INDEX('Per Invoice'!U$2:U$801,$W81)="","",INDEX('Per Invoice'!U$2:U$801,$W81)))</f>
        <v/>
      </c>
      <c r="V81" s="7">
        <f>IF($W81="","",IF(INDEX('Per Invoice'!V$2:V$801,$W81)="","",INDEX('Per Invoice'!V$2:V$801,$W81)))</f>
        <v/>
      </c>
      <c r="W81" s="16">
        <f>IFERROR(MATCH(Settings!$C$31&amp;"|"&amp;ROWS($W$2:$W81),'Per Invoice'!$X$2:$X$801,0),"")</f>
        <v/>
      </c>
    </row>
    <row r="82">
      <c r="A82">
        <f>IF($W82="","",IF(INDEX('Per Invoice'!A$2:A$801,$W82)="","",INDEX('Per Invoice'!A$2:A$801,$W82)))</f>
        <v/>
      </c>
      <c r="B82">
        <f>IF($W82="","",IF(INDEX('Per Invoice'!B$2:B$801,$W82)="","",INDEX('Per Invoice'!B$2:B$801,$W82)))</f>
        <v/>
      </c>
      <c r="C82">
        <f>IF($W82="","",IF(INDEX('Per Invoice'!C$2:C$801,$W82)="","",INDEX('Per Invoice'!C$2:C$801,$W82)))</f>
        <v/>
      </c>
      <c r="D82">
        <f>IF($W82="","",IF(INDEX('Per Invoice'!D$2:D$801,$W82)="","",INDEX('Per Invoice'!D$2:D$801,$W82)))</f>
        <v/>
      </c>
      <c r="E82">
        <f>IF($W82="","",IF(INDEX('Per Invoice'!E$2:E$801,$W82)="","",INDEX('Per Invoice'!E$2:E$801,$W82)))</f>
        <v/>
      </c>
      <c r="F82">
        <f>IF($W82="","",IF(INDEX('Per Invoice'!F$2:F$801,$W82)="","",INDEX('Per Invoice'!F$2:F$801,$W82)))</f>
        <v/>
      </c>
      <c r="G82">
        <f>IF($W82="","",IF(INDEX('Per Invoice'!G$2:G$801,$W82)="","",INDEX('Per Invoice'!G$2:G$801,$W82)))</f>
        <v/>
      </c>
      <c r="H82">
        <f>IF($W82="","",IF(INDEX('Per Invoice'!H$2:H$801,$W82)="","",INDEX('Per Invoice'!H$2:H$801,$W82)))</f>
        <v/>
      </c>
      <c r="I82">
        <f>IF($W82="","",IF(INDEX('Per Invoice'!I$2:I$801,$W82)="","",INDEX('Per Invoice'!I$2:I$801,$W82)))</f>
        <v/>
      </c>
      <c r="J82">
        <f>IF($W82="","",IF(INDEX('Per Invoice'!J$2:J$801,$W82)="","",INDEX('Per Invoice'!J$2:J$801,$W82)))</f>
        <v/>
      </c>
      <c r="K82" s="7">
        <f>IF($W82="","",IF(INDEX('Per Invoice'!K$2:K$801,$W82)="","",INDEX('Per Invoice'!K$2:K$801,$W82)))</f>
        <v/>
      </c>
      <c r="L82" s="14">
        <f>IF($W82="","",IF(INDEX('Per Invoice'!L$2:L$801,$W82)="","",INDEX('Per Invoice'!L$2:L$801,$W82)))</f>
        <v/>
      </c>
      <c r="M82">
        <f>IF($W82="","",IF(INDEX('Per Invoice'!M$2:M$801,$W82)="","",INDEX('Per Invoice'!M$2:M$801,$W82)))</f>
        <v/>
      </c>
      <c r="N82" s="7">
        <f>IF($W82="","",IF(INDEX('Per Invoice'!N$2:N$801,$W82)="","",INDEX('Per Invoice'!N$2:N$801,$W82)))</f>
        <v/>
      </c>
      <c r="O82" s="7">
        <f>IF($W82="","",IF(INDEX('Per Invoice'!O$2:O$801,$W82)="","",INDEX('Per Invoice'!O$2:O$801,$W82)))</f>
        <v/>
      </c>
      <c r="P82">
        <f>IF($W82="","",IF(INDEX('Per Invoice'!P$2:P$801,$W82)="","",INDEX('Per Invoice'!P$2:P$801,$W82)))</f>
        <v/>
      </c>
      <c r="Q82" s="7">
        <f>IF($W82="","",IF(INDEX('Per Invoice'!Q$2:Q$801,$W82)="","",INDEX('Per Invoice'!Q$2:Q$801,$W82)))</f>
        <v/>
      </c>
      <c r="R82" s="7">
        <f>IF($W82="","",IF(INDEX('Per Invoice'!R$2:R$801,$W82)="","",INDEX('Per Invoice'!R$2:R$801,$W82)))</f>
        <v/>
      </c>
      <c r="S82" s="7">
        <f>IF($W82="","",IF(INDEX('Per Invoice'!S$2:S$801,$W82)="","",INDEX('Per Invoice'!S$2:S$801,$W82)))</f>
        <v/>
      </c>
      <c r="T82" s="7">
        <f>IF($W82="","",IF(INDEX('Per Invoice'!T$2:T$801,$W82)="","",INDEX('Per Invoice'!T$2:T$801,$W82)))</f>
        <v/>
      </c>
      <c r="U82" s="7">
        <f>IF($W82="","",IF(INDEX('Per Invoice'!U$2:U$801,$W82)="","",INDEX('Per Invoice'!U$2:U$801,$W82)))</f>
        <v/>
      </c>
      <c r="V82" s="7">
        <f>IF($W82="","",IF(INDEX('Per Invoice'!V$2:V$801,$W82)="","",INDEX('Per Invoice'!V$2:V$801,$W82)))</f>
        <v/>
      </c>
      <c r="W82" s="16">
        <f>IFERROR(MATCH(Settings!$C$31&amp;"|"&amp;ROWS($W$2:$W82),'Per Invoice'!$X$2:$X$801,0),"")</f>
        <v/>
      </c>
    </row>
    <row r="83">
      <c r="A83">
        <f>IF($W83="","",IF(INDEX('Per Invoice'!A$2:A$801,$W83)="","",INDEX('Per Invoice'!A$2:A$801,$W83)))</f>
        <v/>
      </c>
      <c r="B83">
        <f>IF($W83="","",IF(INDEX('Per Invoice'!B$2:B$801,$W83)="","",INDEX('Per Invoice'!B$2:B$801,$W83)))</f>
        <v/>
      </c>
      <c r="C83">
        <f>IF($W83="","",IF(INDEX('Per Invoice'!C$2:C$801,$W83)="","",INDEX('Per Invoice'!C$2:C$801,$W83)))</f>
        <v/>
      </c>
      <c r="D83">
        <f>IF($W83="","",IF(INDEX('Per Invoice'!D$2:D$801,$W83)="","",INDEX('Per Invoice'!D$2:D$801,$W83)))</f>
        <v/>
      </c>
      <c r="E83">
        <f>IF($W83="","",IF(INDEX('Per Invoice'!E$2:E$801,$W83)="","",INDEX('Per Invoice'!E$2:E$801,$W83)))</f>
        <v/>
      </c>
      <c r="F83">
        <f>IF($W83="","",IF(INDEX('Per Invoice'!F$2:F$801,$W83)="","",INDEX('Per Invoice'!F$2:F$801,$W83)))</f>
        <v/>
      </c>
      <c r="G83">
        <f>IF($W83="","",IF(INDEX('Per Invoice'!G$2:G$801,$W83)="","",INDEX('Per Invoice'!G$2:G$801,$W83)))</f>
        <v/>
      </c>
      <c r="H83">
        <f>IF($W83="","",IF(INDEX('Per Invoice'!H$2:H$801,$W83)="","",INDEX('Per Invoice'!H$2:H$801,$W83)))</f>
        <v/>
      </c>
      <c r="I83">
        <f>IF($W83="","",IF(INDEX('Per Invoice'!I$2:I$801,$W83)="","",INDEX('Per Invoice'!I$2:I$801,$W83)))</f>
        <v/>
      </c>
      <c r="J83">
        <f>IF($W83="","",IF(INDEX('Per Invoice'!J$2:J$801,$W83)="","",INDEX('Per Invoice'!J$2:J$801,$W83)))</f>
        <v/>
      </c>
      <c r="K83" s="7">
        <f>IF($W83="","",IF(INDEX('Per Invoice'!K$2:K$801,$W83)="","",INDEX('Per Invoice'!K$2:K$801,$W83)))</f>
        <v/>
      </c>
      <c r="L83" s="14">
        <f>IF($W83="","",IF(INDEX('Per Invoice'!L$2:L$801,$W83)="","",INDEX('Per Invoice'!L$2:L$801,$W83)))</f>
        <v/>
      </c>
      <c r="M83">
        <f>IF($W83="","",IF(INDEX('Per Invoice'!M$2:M$801,$W83)="","",INDEX('Per Invoice'!M$2:M$801,$W83)))</f>
        <v/>
      </c>
      <c r="N83" s="7">
        <f>IF($W83="","",IF(INDEX('Per Invoice'!N$2:N$801,$W83)="","",INDEX('Per Invoice'!N$2:N$801,$W83)))</f>
        <v/>
      </c>
      <c r="O83" s="7">
        <f>IF($W83="","",IF(INDEX('Per Invoice'!O$2:O$801,$W83)="","",INDEX('Per Invoice'!O$2:O$801,$W83)))</f>
        <v/>
      </c>
      <c r="P83">
        <f>IF($W83="","",IF(INDEX('Per Invoice'!P$2:P$801,$W83)="","",INDEX('Per Invoice'!P$2:P$801,$W83)))</f>
        <v/>
      </c>
      <c r="Q83" s="7">
        <f>IF($W83="","",IF(INDEX('Per Invoice'!Q$2:Q$801,$W83)="","",INDEX('Per Invoice'!Q$2:Q$801,$W83)))</f>
        <v/>
      </c>
      <c r="R83" s="7">
        <f>IF($W83="","",IF(INDEX('Per Invoice'!R$2:R$801,$W83)="","",INDEX('Per Invoice'!R$2:R$801,$W83)))</f>
        <v/>
      </c>
      <c r="S83" s="7">
        <f>IF($W83="","",IF(INDEX('Per Invoice'!S$2:S$801,$W83)="","",INDEX('Per Invoice'!S$2:S$801,$W83)))</f>
        <v/>
      </c>
      <c r="T83" s="7">
        <f>IF($W83="","",IF(INDEX('Per Invoice'!T$2:T$801,$W83)="","",INDEX('Per Invoice'!T$2:T$801,$W83)))</f>
        <v/>
      </c>
      <c r="U83" s="7">
        <f>IF($W83="","",IF(INDEX('Per Invoice'!U$2:U$801,$W83)="","",INDEX('Per Invoice'!U$2:U$801,$W83)))</f>
        <v/>
      </c>
      <c r="V83" s="7">
        <f>IF($W83="","",IF(INDEX('Per Invoice'!V$2:V$801,$W83)="","",INDEX('Per Invoice'!V$2:V$801,$W83)))</f>
        <v/>
      </c>
      <c r="W83" s="16">
        <f>IFERROR(MATCH(Settings!$C$31&amp;"|"&amp;ROWS($W$2:$W83),'Per Invoice'!$X$2:$X$801,0),"")</f>
        <v/>
      </c>
    </row>
    <row r="84">
      <c r="A84">
        <f>IF($W84="","",IF(INDEX('Per Invoice'!A$2:A$801,$W84)="","",INDEX('Per Invoice'!A$2:A$801,$W84)))</f>
        <v/>
      </c>
      <c r="B84">
        <f>IF($W84="","",IF(INDEX('Per Invoice'!B$2:B$801,$W84)="","",INDEX('Per Invoice'!B$2:B$801,$W84)))</f>
        <v/>
      </c>
      <c r="C84">
        <f>IF($W84="","",IF(INDEX('Per Invoice'!C$2:C$801,$W84)="","",INDEX('Per Invoice'!C$2:C$801,$W84)))</f>
        <v/>
      </c>
      <c r="D84">
        <f>IF($W84="","",IF(INDEX('Per Invoice'!D$2:D$801,$W84)="","",INDEX('Per Invoice'!D$2:D$801,$W84)))</f>
        <v/>
      </c>
      <c r="E84">
        <f>IF($W84="","",IF(INDEX('Per Invoice'!E$2:E$801,$W84)="","",INDEX('Per Invoice'!E$2:E$801,$W84)))</f>
        <v/>
      </c>
      <c r="F84">
        <f>IF($W84="","",IF(INDEX('Per Invoice'!F$2:F$801,$W84)="","",INDEX('Per Invoice'!F$2:F$801,$W84)))</f>
        <v/>
      </c>
      <c r="G84">
        <f>IF($W84="","",IF(INDEX('Per Invoice'!G$2:G$801,$W84)="","",INDEX('Per Invoice'!G$2:G$801,$W84)))</f>
        <v/>
      </c>
      <c r="H84">
        <f>IF($W84="","",IF(INDEX('Per Invoice'!H$2:H$801,$W84)="","",INDEX('Per Invoice'!H$2:H$801,$W84)))</f>
        <v/>
      </c>
      <c r="I84">
        <f>IF($W84="","",IF(INDEX('Per Invoice'!I$2:I$801,$W84)="","",INDEX('Per Invoice'!I$2:I$801,$W84)))</f>
        <v/>
      </c>
      <c r="J84">
        <f>IF($W84="","",IF(INDEX('Per Invoice'!J$2:J$801,$W84)="","",INDEX('Per Invoice'!J$2:J$801,$W84)))</f>
        <v/>
      </c>
      <c r="K84" s="7">
        <f>IF($W84="","",IF(INDEX('Per Invoice'!K$2:K$801,$W84)="","",INDEX('Per Invoice'!K$2:K$801,$W84)))</f>
        <v/>
      </c>
      <c r="L84" s="14">
        <f>IF($W84="","",IF(INDEX('Per Invoice'!L$2:L$801,$W84)="","",INDEX('Per Invoice'!L$2:L$801,$W84)))</f>
        <v/>
      </c>
      <c r="M84">
        <f>IF($W84="","",IF(INDEX('Per Invoice'!M$2:M$801,$W84)="","",INDEX('Per Invoice'!M$2:M$801,$W84)))</f>
        <v/>
      </c>
      <c r="N84" s="7">
        <f>IF($W84="","",IF(INDEX('Per Invoice'!N$2:N$801,$W84)="","",INDEX('Per Invoice'!N$2:N$801,$W84)))</f>
        <v/>
      </c>
      <c r="O84" s="7">
        <f>IF($W84="","",IF(INDEX('Per Invoice'!O$2:O$801,$W84)="","",INDEX('Per Invoice'!O$2:O$801,$W84)))</f>
        <v/>
      </c>
      <c r="P84">
        <f>IF($W84="","",IF(INDEX('Per Invoice'!P$2:P$801,$W84)="","",INDEX('Per Invoice'!P$2:P$801,$W84)))</f>
        <v/>
      </c>
      <c r="Q84" s="7">
        <f>IF($W84="","",IF(INDEX('Per Invoice'!Q$2:Q$801,$W84)="","",INDEX('Per Invoice'!Q$2:Q$801,$W84)))</f>
        <v/>
      </c>
      <c r="R84" s="7">
        <f>IF($W84="","",IF(INDEX('Per Invoice'!R$2:R$801,$W84)="","",INDEX('Per Invoice'!R$2:R$801,$W84)))</f>
        <v/>
      </c>
      <c r="S84" s="7">
        <f>IF($W84="","",IF(INDEX('Per Invoice'!S$2:S$801,$W84)="","",INDEX('Per Invoice'!S$2:S$801,$W84)))</f>
        <v/>
      </c>
      <c r="T84" s="7">
        <f>IF($W84="","",IF(INDEX('Per Invoice'!T$2:T$801,$W84)="","",INDEX('Per Invoice'!T$2:T$801,$W84)))</f>
        <v/>
      </c>
      <c r="U84" s="7">
        <f>IF($W84="","",IF(INDEX('Per Invoice'!U$2:U$801,$W84)="","",INDEX('Per Invoice'!U$2:U$801,$W84)))</f>
        <v/>
      </c>
      <c r="V84" s="7">
        <f>IF($W84="","",IF(INDEX('Per Invoice'!V$2:V$801,$W84)="","",INDEX('Per Invoice'!V$2:V$801,$W84)))</f>
        <v/>
      </c>
      <c r="W84" s="16">
        <f>IFERROR(MATCH(Settings!$C$31&amp;"|"&amp;ROWS($W$2:$W84),'Per Invoice'!$X$2:$X$801,0),"")</f>
        <v/>
      </c>
    </row>
    <row r="85">
      <c r="A85">
        <f>IF($W85="","",IF(INDEX('Per Invoice'!A$2:A$801,$W85)="","",INDEX('Per Invoice'!A$2:A$801,$W85)))</f>
        <v/>
      </c>
      <c r="B85">
        <f>IF($W85="","",IF(INDEX('Per Invoice'!B$2:B$801,$W85)="","",INDEX('Per Invoice'!B$2:B$801,$W85)))</f>
        <v/>
      </c>
      <c r="C85">
        <f>IF($W85="","",IF(INDEX('Per Invoice'!C$2:C$801,$W85)="","",INDEX('Per Invoice'!C$2:C$801,$W85)))</f>
        <v/>
      </c>
      <c r="D85">
        <f>IF($W85="","",IF(INDEX('Per Invoice'!D$2:D$801,$W85)="","",INDEX('Per Invoice'!D$2:D$801,$W85)))</f>
        <v/>
      </c>
      <c r="E85">
        <f>IF($W85="","",IF(INDEX('Per Invoice'!E$2:E$801,$W85)="","",INDEX('Per Invoice'!E$2:E$801,$W85)))</f>
        <v/>
      </c>
      <c r="F85">
        <f>IF($W85="","",IF(INDEX('Per Invoice'!F$2:F$801,$W85)="","",INDEX('Per Invoice'!F$2:F$801,$W85)))</f>
        <v/>
      </c>
      <c r="G85">
        <f>IF($W85="","",IF(INDEX('Per Invoice'!G$2:G$801,$W85)="","",INDEX('Per Invoice'!G$2:G$801,$W85)))</f>
        <v/>
      </c>
      <c r="H85">
        <f>IF($W85="","",IF(INDEX('Per Invoice'!H$2:H$801,$W85)="","",INDEX('Per Invoice'!H$2:H$801,$W85)))</f>
        <v/>
      </c>
      <c r="I85">
        <f>IF($W85="","",IF(INDEX('Per Invoice'!I$2:I$801,$W85)="","",INDEX('Per Invoice'!I$2:I$801,$W85)))</f>
        <v/>
      </c>
      <c r="J85">
        <f>IF($W85="","",IF(INDEX('Per Invoice'!J$2:J$801,$W85)="","",INDEX('Per Invoice'!J$2:J$801,$W85)))</f>
        <v/>
      </c>
      <c r="K85" s="7">
        <f>IF($W85="","",IF(INDEX('Per Invoice'!K$2:K$801,$W85)="","",INDEX('Per Invoice'!K$2:K$801,$W85)))</f>
        <v/>
      </c>
      <c r="L85" s="14">
        <f>IF($W85="","",IF(INDEX('Per Invoice'!L$2:L$801,$W85)="","",INDEX('Per Invoice'!L$2:L$801,$W85)))</f>
        <v/>
      </c>
      <c r="M85">
        <f>IF($W85="","",IF(INDEX('Per Invoice'!M$2:M$801,$W85)="","",INDEX('Per Invoice'!M$2:M$801,$W85)))</f>
        <v/>
      </c>
      <c r="N85" s="7">
        <f>IF($W85="","",IF(INDEX('Per Invoice'!N$2:N$801,$W85)="","",INDEX('Per Invoice'!N$2:N$801,$W85)))</f>
        <v/>
      </c>
      <c r="O85" s="7">
        <f>IF($W85="","",IF(INDEX('Per Invoice'!O$2:O$801,$W85)="","",INDEX('Per Invoice'!O$2:O$801,$W85)))</f>
        <v/>
      </c>
      <c r="P85">
        <f>IF($W85="","",IF(INDEX('Per Invoice'!P$2:P$801,$W85)="","",INDEX('Per Invoice'!P$2:P$801,$W85)))</f>
        <v/>
      </c>
      <c r="Q85" s="7">
        <f>IF($W85="","",IF(INDEX('Per Invoice'!Q$2:Q$801,$W85)="","",INDEX('Per Invoice'!Q$2:Q$801,$W85)))</f>
        <v/>
      </c>
      <c r="R85" s="7">
        <f>IF($W85="","",IF(INDEX('Per Invoice'!R$2:R$801,$W85)="","",INDEX('Per Invoice'!R$2:R$801,$W85)))</f>
        <v/>
      </c>
      <c r="S85" s="7">
        <f>IF($W85="","",IF(INDEX('Per Invoice'!S$2:S$801,$W85)="","",INDEX('Per Invoice'!S$2:S$801,$W85)))</f>
        <v/>
      </c>
      <c r="T85" s="7">
        <f>IF($W85="","",IF(INDEX('Per Invoice'!T$2:T$801,$W85)="","",INDEX('Per Invoice'!T$2:T$801,$W85)))</f>
        <v/>
      </c>
      <c r="U85" s="7">
        <f>IF($W85="","",IF(INDEX('Per Invoice'!U$2:U$801,$W85)="","",INDEX('Per Invoice'!U$2:U$801,$W85)))</f>
        <v/>
      </c>
      <c r="V85" s="7">
        <f>IF($W85="","",IF(INDEX('Per Invoice'!V$2:V$801,$W85)="","",INDEX('Per Invoice'!V$2:V$801,$W85)))</f>
        <v/>
      </c>
      <c r="W85" s="16">
        <f>IFERROR(MATCH(Settings!$C$31&amp;"|"&amp;ROWS($W$2:$W85),'Per Invoice'!$X$2:$X$801,0),"")</f>
        <v/>
      </c>
    </row>
    <row r="86">
      <c r="A86">
        <f>IF($W86="","",IF(INDEX('Per Invoice'!A$2:A$801,$W86)="","",INDEX('Per Invoice'!A$2:A$801,$W86)))</f>
        <v/>
      </c>
      <c r="B86">
        <f>IF($W86="","",IF(INDEX('Per Invoice'!B$2:B$801,$W86)="","",INDEX('Per Invoice'!B$2:B$801,$W86)))</f>
        <v/>
      </c>
      <c r="C86">
        <f>IF($W86="","",IF(INDEX('Per Invoice'!C$2:C$801,$W86)="","",INDEX('Per Invoice'!C$2:C$801,$W86)))</f>
        <v/>
      </c>
      <c r="D86">
        <f>IF($W86="","",IF(INDEX('Per Invoice'!D$2:D$801,$W86)="","",INDEX('Per Invoice'!D$2:D$801,$W86)))</f>
        <v/>
      </c>
      <c r="E86">
        <f>IF($W86="","",IF(INDEX('Per Invoice'!E$2:E$801,$W86)="","",INDEX('Per Invoice'!E$2:E$801,$W86)))</f>
        <v/>
      </c>
      <c r="F86">
        <f>IF($W86="","",IF(INDEX('Per Invoice'!F$2:F$801,$W86)="","",INDEX('Per Invoice'!F$2:F$801,$W86)))</f>
        <v/>
      </c>
      <c r="G86">
        <f>IF($W86="","",IF(INDEX('Per Invoice'!G$2:G$801,$W86)="","",INDEX('Per Invoice'!G$2:G$801,$W86)))</f>
        <v/>
      </c>
      <c r="H86">
        <f>IF($W86="","",IF(INDEX('Per Invoice'!H$2:H$801,$W86)="","",INDEX('Per Invoice'!H$2:H$801,$W86)))</f>
        <v/>
      </c>
      <c r="I86">
        <f>IF($W86="","",IF(INDEX('Per Invoice'!I$2:I$801,$W86)="","",INDEX('Per Invoice'!I$2:I$801,$W86)))</f>
        <v/>
      </c>
      <c r="J86">
        <f>IF($W86="","",IF(INDEX('Per Invoice'!J$2:J$801,$W86)="","",INDEX('Per Invoice'!J$2:J$801,$W86)))</f>
        <v/>
      </c>
      <c r="K86" s="7">
        <f>IF($W86="","",IF(INDEX('Per Invoice'!K$2:K$801,$W86)="","",INDEX('Per Invoice'!K$2:K$801,$W86)))</f>
        <v/>
      </c>
      <c r="L86" s="14">
        <f>IF($W86="","",IF(INDEX('Per Invoice'!L$2:L$801,$W86)="","",INDEX('Per Invoice'!L$2:L$801,$W86)))</f>
        <v/>
      </c>
      <c r="M86">
        <f>IF($W86="","",IF(INDEX('Per Invoice'!M$2:M$801,$W86)="","",INDEX('Per Invoice'!M$2:M$801,$W86)))</f>
        <v/>
      </c>
      <c r="N86" s="7">
        <f>IF($W86="","",IF(INDEX('Per Invoice'!N$2:N$801,$W86)="","",INDEX('Per Invoice'!N$2:N$801,$W86)))</f>
        <v/>
      </c>
      <c r="O86" s="7">
        <f>IF($W86="","",IF(INDEX('Per Invoice'!O$2:O$801,$W86)="","",INDEX('Per Invoice'!O$2:O$801,$W86)))</f>
        <v/>
      </c>
      <c r="P86">
        <f>IF($W86="","",IF(INDEX('Per Invoice'!P$2:P$801,$W86)="","",INDEX('Per Invoice'!P$2:P$801,$W86)))</f>
        <v/>
      </c>
      <c r="Q86" s="7">
        <f>IF($W86="","",IF(INDEX('Per Invoice'!Q$2:Q$801,$W86)="","",INDEX('Per Invoice'!Q$2:Q$801,$W86)))</f>
        <v/>
      </c>
      <c r="R86" s="7">
        <f>IF($W86="","",IF(INDEX('Per Invoice'!R$2:R$801,$W86)="","",INDEX('Per Invoice'!R$2:R$801,$W86)))</f>
        <v/>
      </c>
      <c r="S86" s="7">
        <f>IF($W86="","",IF(INDEX('Per Invoice'!S$2:S$801,$W86)="","",INDEX('Per Invoice'!S$2:S$801,$W86)))</f>
        <v/>
      </c>
      <c r="T86" s="7">
        <f>IF($W86="","",IF(INDEX('Per Invoice'!T$2:T$801,$W86)="","",INDEX('Per Invoice'!T$2:T$801,$W86)))</f>
        <v/>
      </c>
      <c r="U86" s="7">
        <f>IF($W86="","",IF(INDEX('Per Invoice'!U$2:U$801,$W86)="","",INDEX('Per Invoice'!U$2:U$801,$W86)))</f>
        <v/>
      </c>
      <c r="V86" s="7">
        <f>IF($W86="","",IF(INDEX('Per Invoice'!V$2:V$801,$W86)="","",INDEX('Per Invoice'!V$2:V$801,$W86)))</f>
        <v/>
      </c>
      <c r="W86" s="16">
        <f>IFERROR(MATCH(Settings!$C$31&amp;"|"&amp;ROWS($W$2:$W86),'Per Invoice'!$X$2:$X$801,0),"")</f>
        <v/>
      </c>
    </row>
    <row r="87">
      <c r="A87">
        <f>IF($W87="","",IF(INDEX('Per Invoice'!A$2:A$801,$W87)="","",INDEX('Per Invoice'!A$2:A$801,$W87)))</f>
        <v/>
      </c>
      <c r="B87">
        <f>IF($W87="","",IF(INDEX('Per Invoice'!B$2:B$801,$W87)="","",INDEX('Per Invoice'!B$2:B$801,$W87)))</f>
        <v/>
      </c>
      <c r="C87">
        <f>IF($W87="","",IF(INDEX('Per Invoice'!C$2:C$801,$W87)="","",INDEX('Per Invoice'!C$2:C$801,$W87)))</f>
        <v/>
      </c>
      <c r="D87">
        <f>IF($W87="","",IF(INDEX('Per Invoice'!D$2:D$801,$W87)="","",INDEX('Per Invoice'!D$2:D$801,$W87)))</f>
        <v/>
      </c>
      <c r="E87">
        <f>IF($W87="","",IF(INDEX('Per Invoice'!E$2:E$801,$W87)="","",INDEX('Per Invoice'!E$2:E$801,$W87)))</f>
        <v/>
      </c>
      <c r="F87">
        <f>IF($W87="","",IF(INDEX('Per Invoice'!F$2:F$801,$W87)="","",INDEX('Per Invoice'!F$2:F$801,$W87)))</f>
        <v/>
      </c>
      <c r="G87">
        <f>IF($W87="","",IF(INDEX('Per Invoice'!G$2:G$801,$W87)="","",INDEX('Per Invoice'!G$2:G$801,$W87)))</f>
        <v/>
      </c>
      <c r="H87">
        <f>IF($W87="","",IF(INDEX('Per Invoice'!H$2:H$801,$W87)="","",INDEX('Per Invoice'!H$2:H$801,$W87)))</f>
        <v/>
      </c>
      <c r="I87">
        <f>IF($W87="","",IF(INDEX('Per Invoice'!I$2:I$801,$W87)="","",INDEX('Per Invoice'!I$2:I$801,$W87)))</f>
        <v/>
      </c>
      <c r="J87">
        <f>IF($W87="","",IF(INDEX('Per Invoice'!J$2:J$801,$W87)="","",INDEX('Per Invoice'!J$2:J$801,$W87)))</f>
        <v/>
      </c>
      <c r="K87" s="7">
        <f>IF($W87="","",IF(INDEX('Per Invoice'!K$2:K$801,$W87)="","",INDEX('Per Invoice'!K$2:K$801,$W87)))</f>
        <v/>
      </c>
      <c r="L87" s="14">
        <f>IF($W87="","",IF(INDEX('Per Invoice'!L$2:L$801,$W87)="","",INDEX('Per Invoice'!L$2:L$801,$W87)))</f>
        <v/>
      </c>
      <c r="M87">
        <f>IF($W87="","",IF(INDEX('Per Invoice'!M$2:M$801,$W87)="","",INDEX('Per Invoice'!M$2:M$801,$W87)))</f>
        <v/>
      </c>
      <c r="N87" s="7">
        <f>IF($W87="","",IF(INDEX('Per Invoice'!N$2:N$801,$W87)="","",INDEX('Per Invoice'!N$2:N$801,$W87)))</f>
        <v/>
      </c>
      <c r="O87" s="7">
        <f>IF($W87="","",IF(INDEX('Per Invoice'!O$2:O$801,$W87)="","",INDEX('Per Invoice'!O$2:O$801,$W87)))</f>
        <v/>
      </c>
      <c r="P87">
        <f>IF($W87="","",IF(INDEX('Per Invoice'!P$2:P$801,$W87)="","",INDEX('Per Invoice'!P$2:P$801,$W87)))</f>
        <v/>
      </c>
      <c r="Q87" s="7">
        <f>IF($W87="","",IF(INDEX('Per Invoice'!Q$2:Q$801,$W87)="","",INDEX('Per Invoice'!Q$2:Q$801,$W87)))</f>
        <v/>
      </c>
      <c r="R87" s="7">
        <f>IF($W87="","",IF(INDEX('Per Invoice'!R$2:R$801,$W87)="","",INDEX('Per Invoice'!R$2:R$801,$W87)))</f>
        <v/>
      </c>
      <c r="S87" s="7">
        <f>IF($W87="","",IF(INDEX('Per Invoice'!S$2:S$801,$W87)="","",INDEX('Per Invoice'!S$2:S$801,$W87)))</f>
        <v/>
      </c>
      <c r="T87" s="7">
        <f>IF($W87="","",IF(INDEX('Per Invoice'!T$2:T$801,$W87)="","",INDEX('Per Invoice'!T$2:T$801,$W87)))</f>
        <v/>
      </c>
      <c r="U87" s="7">
        <f>IF($W87="","",IF(INDEX('Per Invoice'!U$2:U$801,$W87)="","",INDEX('Per Invoice'!U$2:U$801,$W87)))</f>
        <v/>
      </c>
      <c r="V87" s="7">
        <f>IF($W87="","",IF(INDEX('Per Invoice'!V$2:V$801,$W87)="","",INDEX('Per Invoice'!V$2:V$801,$W87)))</f>
        <v/>
      </c>
      <c r="W87" s="16">
        <f>IFERROR(MATCH(Settings!$C$31&amp;"|"&amp;ROWS($W$2:$W87),'Per Invoice'!$X$2:$X$801,0),"")</f>
        <v/>
      </c>
    </row>
    <row r="88">
      <c r="A88">
        <f>IF($W88="","",IF(INDEX('Per Invoice'!A$2:A$801,$W88)="","",INDEX('Per Invoice'!A$2:A$801,$W88)))</f>
        <v/>
      </c>
      <c r="B88">
        <f>IF($W88="","",IF(INDEX('Per Invoice'!B$2:B$801,$W88)="","",INDEX('Per Invoice'!B$2:B$801,$W88)))</f>
        <v/>
      </c>
      <c r="C88">
        <f>IF($W88="","",IF(INDEX('Per Invoice'!C$2:C$801,$W88)="","",INDEX('Per Invoice'!C$2:C$801,$W88)))</f>
        <v/>
      </c>
      <c r="D88">
        <f>IF($W88="","",IF(INDEX('Per Invoice'!D$2:D$801,$W88)="","",INDEX('Per Invoice'!D$2:D$801,$W88)))</f>
        <v/>
      </c>
      <c r="E88">
        <f>IF($W88="","",IF(INDEX('Per Invoice'!E$2:E$801,$W88)="","",INDEX('Per Invoice'!E$2:E$801,$W88)))</f>
        <v/>
      </c>
      <c r="F88">
        <f>IF($W88="","",IF(INDEX('Per Invoice'!F$2:F$801,$W88)="","",INDEX('Per Invoice'!F$2:F$801,$W88)))</f>
        <v/>
      </c>
      <c r="G88">
        <f>IF($W88="","",IF(INDEX('Per Invoice'!G$2:G$801,$W88)="","",INDEX('Per Invoice'!G$2:G$801,$W88)))</f>
        <v/>
      </c>
      <c r="H88">
        <f>IF($W88="","",IF(INDEX('Per Invoice'!H$2:H$801,$W88)="","",INDEX('Per Invoice'!H$2:H$801,$W88)))</f>
        <v/>
      </c>
      <c r="I88">
        <f>IF($W88="","",IF(INDEX('Per Invoice'!I$2:I$801,$W88)="","",INDEX('Per Invoice'!I$2:I$801,$W88)))</f>
        <v/>
      </c>
      <c r="J88">
        <f>IF($W88="","",IF(INDEX('Per Invoice'!J$2:J$801,$W88)="","",INDEX('Per Invoice'!J$2:J$801,$W88)))</f>
        <v/>
      </c>
      <c r="K88" s="7">
        <f>IF($W88="","",IF(INDEX('Per Invoice'!K$2:K$801,$W88)="","",INDEX('Per Invoice'!K$2:K$801,$W88)))</f>
        <v/>
      </c>
      <c r="L88" s="14">
        <f>IF($W88="","",IF(INDEX('Per Invoice'!L$2:L$801,$W88)="","",INDEX('Per Invoice'!L$2:L$801,$W88)))</f>
        <v/>
      </c>
      <c r="M88">
        <f>IF($W88="","",IF(INDEX('Per Invoice'!M$2:M$801,$W88)="","",INDEX('Per Invoice'!M$2:M$801,$W88)))</f>
        <v/>
      </c>
      <c r="N88" s="7">
        <f>IF($W88="","",IF(INDEX('Per Invoice'!N$2:N$801,$W88)="","",INDEX('Per Invoice'!N$2:N$801,$W88)))</f>
        <v/>
      </c>
      <c r="O88" s="7">
        <f>IF($W88="","",IF(INDEX('Per Invoice'!O$2:O$801,$W88)="","",INDEX('Per Invoice'!O$2:O$801,$W88)))</f>
        <v/>
      </c>
      <c r="P88">
        <f>IF($W88="","",IF(INDEX('Per Invoice'!P$2:P$801,$W88)="","",INDEX('Per Invoice'!P$2:P$801,$W88)))</f>
        <v/>
      </c>
      <c r="Q88" s="7">
        <f>IF($W88="","",IF(INDEX('Per Invoice'!Q$2:Q$801,$W88)="","",INDEX('Per Invoice'!Q$2:Q$801,$W88)))</f>
        <v/>
      </c>
      <c r="R88" s="7">
        <f>IF($W88="","",IF(INDEX('Per Invoice'!R$2:R$801,$W88)="","",INDEX('Per Invoice'!R$2:R$801,$W88)))</f>
        <v/>
      </c>
      <c r="S88" s="7">
        <f>IF($W88="","",IF(INDEX('Per Invoice'!S$2:S$801,$W88)="","",INDEX('Per Invoice'!S$2:S$801,$W88)))</f>
        <v/>
      </c>
      <c r="T88" s="7">
        <f>IF($W88="","",IF(INDEX('Per Invoice'!T$2:T$801,$W88)="","",INDEX('Per Invoice'!T$2:T$801,$W88)))</f>
        <v/>
      </c>
      <c r="U88" s="7">
        <f>IF($W88="","",IF(INDEX('Per Invoice'!U$2:U$801,$W88)="","",INDEX('Per Invoice'!U$2:U$801,$W88)))</f>
        <v/>
      </c>
      <c r="V88" s="7">
        <f>IF($W88="","",IF(INDEX('Per Invoice'!V$2:V$801,$W88)="","",INDEX('Per Invoice'!V$2:V$801,$W88)))</f>
        <v/>
      </c>
      <c r="W88" s="16">
        <f>IFERROR(MATCH(Settings!$C$31&amp;"|"&amp;ROWS($W$2:$W88),'Per Invoice'!$X$2:$X$801,0),"")</f>
        <v/>
      </c>
    </row>
    <row r="89">
      <c r="A89">
        <f>IF($W89="","",IF(INDEX('Per Invoice'!A$2:A$801,$W89)="","",INDEX('Per Invoice'!A$2:A$801,$W89)))</f>
        <v/>
      </c>
      <c r="B89">
        <f>IF($W89="","",IF(INDEX('Per Invoice'!B$2:B$801,$W89)="","",INDEX('Per Invoice'!B$2:B$801,$W89)))</f>
        <v/>
      </c>
      <c r="C89">
        <f>IF($W89="","",IF(INDEX('Per Invoice'!C$2:C$801,$W89)="","",INDEX('Per Invoice'!C$2:C$801,$W89)))</f>
        <v/>
      </c>
      <c r="D89">
        <f>IF($W89="","",IF(INDEX('Per Invoice'!D$2:D$801,$W89)="","",INDEX('Per Invoice'!D$2:D$801,$W89)))</f>
        <v/>
      </c>
      <c r="E89">
        <f>IF($W89="","",IF(INDEX('Per Invoice'!E$2:E$801,$W89)="","",INDEX('Per Invoice'!E$2:E$801,$W89)))</f>
        <v/>
      </c>
      <c r="F89">
        <f>IF($W89="","",IF(INDEX('Per Invoice'!F$2:F$801,$W89)="","",INDEX('Per Invoice'!F$2:F$801,$W89)))</f>
        <v/>
      </c>
      <c r="G89">
        <f>IF($W89="","",IF(INDEX('Per Invoice'!G$2:G$801,$W89)="","",INDEX('Per Invoice'!G$2:G$801,$W89)))</f>
        <v/>
      </c>
      <c r="H89">
        <f>IF($W89="","",IF(INDEX('Per Invoice'!H$2:H$801,$W89)="","",INDEX('Per Invoice'!H$2:H$801,$W89)))</f>
        <v/>
      </c>
      <c r="I89">
        <f>IF($W89="","",IF(INDEX('Per Invoice'!I$2:I$801,$W89)="","",INDEX('Per Invoice'!I$2:I$801,$W89)))</f>
        <v/>
      </c>
      <c r="J89">
        <f>IF($W89="","",IF(INDEX('Per Invoice'!J$2:J$801,$W89)="","",INDEX('Per Invoice'!J$2:J$801,$W89)))</f>
        <v/>
      </c>
      <c r="K89" s="7">
        <f>IF($W89="","",IF(INDEX('Per Invoice'!K$2:K$801,$W89)="","",INDEX('Per Invoice'!K$2:K$801,$W89)))</f>
        <v/>
      </c>
      <c r="L89" s="14">
        <f>IF($W89="","",IF(INDEX('Per Invoice'!L$2:L$801,$W89)="","",INDEX('Per Invoice'!L$2:L$801,$W89)))</f>
        <v/>
      </c>
      <c r="M89">
        <f>IF($W89="","",IF(INDEX('Per Invoice'!M$2:M$801,$W89)="","",INDEX('Per Invoice'!M$2:M$801,$W89)))</f>
        <v/>
      </c>
      <c r="N89" s="7">
        <f>IF($W89="","",IF(INDEX('Per Invoice'!N$2:N$801,$W89)="","",INDEX('Per Invoice'!N$2:N$801,$W89)))</f>
        <v/>
      </c>
      <c r="O89" s="7">
        <f>IF($W89="","",IF(INDEX('Per Invoice'!O$2:O$801,$W89)="","",INDEX('Per Invoice'!O$2:O$801,$W89)))</f>
        <v/>
      </c>
      <c r="P89">
        <f>IF($W89="","",IF(INDEX('Per Invoice'!P$2:P$801,$W89)="","",INDEX('Per Invoice'!P$2:P$801,$W89)))</f>
        <v/>
      </c>
      <c r="Q89" s="7">
        <f>IF($W89="","",IF(INDEX('Per Invoice'!Q$2:Q$801,$W89)="","",INDEX('Per Invoice'!Q$2:Q$801,$W89)))</f>
        <v/>
      </c>
      <c r="R89" s="7">
        <f>IF($W89="","",IF(INDEX('Per Invoice'!R$2:R$801,$W89)="","",INDEX('Per Invoice'!R$2:R$801,$W89)))</f>
        <v/>
      </c>
      <c r="S89" s="7">
        <f>IF($W89="","",IF(INDEX('Per Invoice'!S$2:S$801,$W89)="","",INDEX('Per Invoice'!S$2:S$801,$W89)))</f>
        <v/>
      </c>
      <c r="T89" s="7">
        <f>IF($W89="","",IF(INDEX('Per Invoice'!T$2:T$801,$W89)="","",INDEX('Per Invoice'!T$2:T$801,$W89)))</f>
        <v/>
      </c>
      <c r="U89" s="7">
        <f>IF($W89="","",IF(INDEX('Per Invoice'!U$2:U$801,$W89)="","",INDEX('Per Invoice'!U$2:U$801,$W89)))</f>
        <v/>
      </c>
      <c r="V89" s="7">
        <f>IF($W89="","",IF(INDEX('Per Invoice'!V$2:V$801,$W89)="","",INDEX('Per Invoice'!V$2:V$801,$W89)))</f>
        <v/>
      </c>
      <c r="W89" s="16">
        <f>IFERROR(MATCH(Settings!$C$31&amp;"|"&amp;ROWS($W$2:$W89),'Per Invoice'!$X$2:$X$801,0),"")</f>
        <v/>
      </c>
    </row>
    <row r="90">
      <c r="A90">
        <f>IF($W90="","",IF(INDEX('Per Invoice'!A$2:A$801,$W90)="","",INDEX('Per Invoice'!A$2:A$801,$W90)))</f>
        <v/>
      </c>
      <c r="B90">
        <f>IF($W90="","",IF(INDEX('Per Invoice'!B$2:B$801,$W90)="","",INDEX('Per Invoice'!B$2:B$801,$W90)))</f>
        <v/>
      </c>
      <c r="C90">
        <f>IF($W90="","",IF(INDEX('Per Invoice'!C$2:C$801,$W90)="","",INDEX('Per Invoice'!C$2:C$801,$W90)))</f>
        <v/>
      </c>
      <c r="D90">
        <f>IF($W90="","",IF(INDEX('Per Invoice'!D$2:D$801,$W90)="","",INDEX('Per Invoice'!D$2:D$801,$W90)))</f>
        <v/>
      </c>
      <c r="E90">
        <f>IF($W90="","",IF(INDEX('Per Invoice'!E$2:E$801,$W90)="","",INDEX('Per Invoice'!E$2:E$801,$W90)))</f>
        <v/>
      </c>
      <c r="F90">
        <f>IF($W90="","",IF(INDEX('Per Invoice'!F$2:F$801,$W90)="","",INDEX('Per Invoice'!F$2:F$801,$W90)))</f>
        <v/>
      </c>
      <c r="G90">
        <f>IF($W90="","",IF(INDEX('Per Invoice'!G$2:G$801,$W90)="","",INDEX('Per Invoice'!G$2:G$801,$W90)))</f>
        <v/>
      </c>
      <c r="H90">
        <f>IF($W90="","",IF(INDEX('Per Invoice'!H$2:H$801,$W90)="","",INDEX('Per Invoice'!H$2:H$801,$W90)))</f>
        <v/>
      </c>
      <c r="I90">
        <f>IF($W90="","",IF(INDEX('Per Invoice'!I$2:I$801,$W90)="","",INDEX('Per Invoice'!I$2:I$801,$W90)))</f>
        <v/>
      </c>
      <c r="J90">
        <f>IF($W90="","",IF(INDEX('Per Invoice'!J$2:J$801,$W90)="","",INDEX('Per Invoice'!J$2:J$801,$W90)))</f>
        <v/>
      </c>
      <c r="K90" s="7">
        <f>IF($W90="","",IF(INDEX('Per Invoice'!K$2:K$801,$W90)="","",INDEX('Per Invoice'!K$2:K$801,$W90)))</f>
        <v/>
      </c>
      <c r="L90" s="14">
        <f>IF($W90="","",IF(INDEX('Per Invoice'!L$2:L$801,$W90)="","",INDEX('Per Invoice'!L$2:L$801,$W90)))</f>
        <v/>
      </c>
      <c r="M90">
        <f>IF($W90="","",IF(INDEX('Per Invoice'!M$2:M$801,$W90)="","",INDEX('Per Invoice'!M$2:M$801,$W90)))</f>
        <v/>
      </c>
      <c r="N90" s="7">
        <f>IF($W90="","",IF(INDEX('Per Invoice'!N$2:N$801,$W90)="","",INDEX('Per Invoice'!N$2:N$801,$W90)))</f>
        <v/>
      </c>
      <c r="O90" s="7">
        <f>IF($W90="","",IF(INDEX('Per Invoice'!O$2:O$801,$W90)="","",INDEX('Per Invoice'!O$2:O$801,$W90)))</f>
        <v/>
      </c>
      <c r="P90">
        <f>IF($W90="","",IF(INDEX('Per Invoice'!P$2:P$801,$W90)="","",INDEX('Per Invoice'!P$2:P$801,$W90)))</f>
        <v/>
      </c>
      <c r="Q90" s="7">
        <f>IF($W90="","",IF(INDEX('Per Invoice'!Q$2:Q$801,$W90)="","",INDEX('Per Invoice'!Q$2:Q$801,$W90)))</f>
        <v/>
      </c>
      <c r="R90" s="7">
        <f>IF($W90="","",IF(INDEX('Per Invoice'!R$2:R$801,$W90)="","",INDEX('Per Invoice'!R$2:R$801,$W90)))</f>
        <v/>
      </c>
      <c r="S90" s="7">
        <f>IF($W90="","",IF(INDEX('Per Invoice'!S$2:S$801,$W90)="","",INDEX('Per Invoice'!S$2:S$801,$W90)))</f>
        <v/>
      </c>
      <c r="T90" s="7">
        <f>IF($W90="","",IF(INDEX('Per Invoice'!T$2:T$801,$W90)="","",INDEX('Per Invoice'!T$2:T$801,$W90)))</f>
        <v/>
      </c>
      <c r="U90" s="7">
        <f>IF($W90="","",IF(INDEX('Per Invoice'!U$2:U$801,$W90)="","",INDEX('Per Invoice'!U$2:U$801,$W90)))</f>
        <v/>
      </c>
      <c r="V90" s="7">
        <f>IF($W90="","",IF(INDEX('Per Invoice'!V$2:V$801,$W90)="","",INDEX('Per Invoice'!V$2:V$801,$W90)))</f>
        <v/>
      </c>
      <c r="W90" s="16">
        <f>IFERROR(MATCH(Settings!$C$31&amp;"|"&amp;ROWS($W$2:$W90),'Per Invoice'!$X$2:$X$801,0),"")</f>
        <v/>
      </c>
    </row>
    <row r="91">
      <c r="A91">
        <f>IF($W91="","",IF(INDEX('Per Invoice'!A$2:A$801,$W91)="","",INDEX('Per Invoice'!A$2:A$801,$W91)))</f>
        <v/>
      </c>
      <c r="B91">
        <f>IF($W91="","",IF(INDEX('Per Invoice'!B$2:B$801,$W91)="","",INDEX('Per Invoice'!B$2:B$801,$W91)))</f>
        <v/>
      </c>
      <c r="C91">
        <f>IF($W91="","",IF(INDEX('Per Invoice'!C$2:C$801,$W91)="","",INDEX('Per Invoice'!C$2:C$801,$W91)))</f>
        <v/>
      </c>
      <c r="D91">
        <f>IF($W91="","",IF(INDEX('Per Invoice'!D$2:D$801,$W91)="","",INDEX('Per Invoice'!D$2:D$801,$W91)))</f>
        <v/>
      </c>
      <c r="E91">
        <f>IF($W91="","",IF(INDEX('Per Invoice'!E$2:E$801,$W91)="","",INDEX('Per Invoice'!E$2:E$801,$W91)))</f>
        <v/>
      </c>
      <c r="F91">
        <f>IF($W91="","",IF(INDEX('Per Invoice'!F$2:F$801,$W91)="","",INDEX('Per Invoice'!F$2:F$801,$W91)))</f>
        <v/>
      </c>
      <c r="G91">
        <f>IF($W91="","",IF(INDEX('Per Invoice'!G$2:G$801,$W91)="","",INDEX('Per Invoice'!G$2:G$801,$W91)))</f>
        <v/>
      </c>
      <c r="H91">
        <f>IF($W91="","",IF(INDEX('Per Invoice'!H$2:H$801,$W91)="","",INDEX('Per Invoice'!H$2:H$801,$W91)))</f>
        <v/>
      </c>
      <c r="I91">
        <f>IF($W91="","",IF(INDEX('Per Invoice'!I$2:I$801,$W91)="","",INDEX('Per Invoice'!I$2:I$801,$W91)))</f>
        <v/>
      </c>
      <c r="J91">
        <f>IF($W91="","",IF(INDEX('Per Invoice'!J$2:J$801,$W91)="","",INDEX('Per Invoice'!J$2:J$801,$W91)))</f>
        <v/>
      </c>
      <c r="K91" s="7">
        <f>IF($W91="","",IF(INDEX('Per Invoice'!K$2:K$801,$W91)="","",INDEX('Per Invoice'!K$2:K$801,$W91)))</f>
        <v/>
      </c>
      <c r="L91" s="14">
        <f>IF($W91="","",IF(INDEX('Per Invoice'!L$2:L$801,$W91)="","",INDEX('Per Invoice'!L$2:L$801,$W91)))</f>
        <v/>
      </c>
      <c r="M91">
        <f>IF($W91="","",IF(INDEX('Per Invoice'!M$2:M$801,$W91)="","",INDEX('Per Invoice'!M$2:M$801,$W91)))</f>
        <v/>
      </c>
      <c r="N91" s="7">
        <f>IF($W91="","",IF(INDEX('Per Invoice'!N$2:N$801,$W91)="","",INDEX('Per Invoice'!N$2:N$801,$W91)))</f>
        <v/>
      </c>
      <c r="O91" s="7">
        <f>IF($W91="","",IF(INDEX('Per Invoice'!O$2:O$801,$W91)="","",INDEX('Per Invoice'!O$2:O$801,$W91)))</f>
        <v/>
      </c>
      <c r="P91">
        <f>IF($W91="","",IF(INDEX('Per Invoice'!P$2:P$801,$W91)="","",INDEX('Per Invoice'!P$2:P$801,$W91)))</f>
        <v/>
      </c>
      <c r="Q91" s="7">
        <f>IF($W91="","",IF(INDEX('Per Invoice'!Q$2:Q$801,$W91)="","",INDEX('Per Invoice'!Q$2:Q$801,$W91)))</f>
        <v/>
      </c>
      <c r="R91" s="7">
        <f>IF($W91="","",IF(INDEX('Per Invoice'!R$2:R$801,$W91)="","",INDEX('Per Invoice'!R$2:R$801,$W91)))</f>
        <v/>
      </c>
      <c r="S91" s="7">
        <f>IF($W91="","",IF(INDEX('Per Invoice'!S$2:S$801,$W91)="","",INDEX('Per Invoice'!S$2:S$801,$W91)))</f>
        <v/>
      </c>
      <c r="T91" s="7">
        <f>IF($W91="","",IF(INDEX('Per Invoice'!T$2:T$801,$W91)="","",INDEX('Per Invoice'!T$2:T$801,$W91)))</f>
        <v/>
      </c>
      <c r="U91" s="7">
        <f>IF($W91="","",IF(INDEX('Per Invoice'!U$2:U$801,$W91)="","",INDEX('Per Invoice'!U$2:U$801,$W91)))</f>
        <v/>
      </c>
      <c r="V91" s="7">
        <f>IF($W91="","",IF(INDEX('Per Invoice'!V$2:V$801,$W91)="","",INDEX('Per Invoice'!V$2:V$801,$W91)))</f>
        <v/>
      </c>
      <c r="W91" s="16">
        <f>IFERROR(MATCH(Settings!$C$31&amp;"|"&amp;ROWS($W$2:$W91),'Per Invoice'!$X$2:$X$801,0),"")</f>
        <v/>
      </c>
    </row>
    <row r="92">
      <c r="A92">
        <f>IF($W92="","",IF(INDEX('Per Invoice'!A$2:A$801,$W92)="","",INDEX('Per Invoice'!A$2:A$801,$W92)))</f>
        <v/>
      </c>
      <c r="B92">
        <f>IF($W92="","",IF(INDEX('Per Invoice'!B$2:B$801,$W92)="","",INDEX('Per Invoice'!B$2:B$801,$W92)))</f>
        <v/>
      </c>
      <c r="C92">
        <f>IF($W92="","",IF(INDEX('Per Invoice'!C$2:C$801,$W92)="","",INDEX('Per Invoice'!C$2:C$801,$W92)))</f>
        <v/>
      </c>
      <c r="D92">
        <f>IF($W92="","",IF(INDEX('Per Invoice'!D$2:D$801,$W92)="","",INDEX('Per Invoice'!D$2:D$801,$W92)))</f>
        <v/>
      </c>
      <c r="E92">
        <f>IF($W92="","",IF(INDEX('Per Invoice'!E$2:E$801,$W92)="","",INDEX('Per Invoice'!E$2:E$801,$W92)))</f>
        <v/>
      </c>
      <c r="F92">
        <f>IF($W92="","",IF(INDEX('Per Invoice'!F$2:F$801,$W92)="","",INDEX('Per Invoice'!F$2:F$801,$W92)))</f>
        <v/>
      </c>
      <c r="G92">
        <f>IF($W92="","",IF(INDEX('Per Invoice'!G$2:G$801,$W92)="","",INDEX('Per Invoice'!G$2:G$801,$W92)))</f>
        <v/>
      </c>
      <c r="H92">
        <f>IF($W92="","",IF(INDEX('Per Invoice'!H$2:H$801,$W92)="","",INDEX('Per Invoice'!H$2:H$801,$W92)))</f>
        <v/>
      </c>
      <c r="I92">
        <f>IF($W92="","",IF(INDEX('Per Invoice'!I$2:I$801,$W92)="","",INDEX('Per Invoice'!I$2:I$801,$W92)))</f>
        <v/>
      </c>
      <c r="J92">
        <f>IF($W92="","",IF(INDEX('Per Invoice'!J$2:J$801,$W92)="","",INDEX('Per Invoice'!J$2:J$801,$W92)))</f>
        <v/>
      </c>
      <c r="K92" s="7">
        <f>IF($W92="","",IF(INDEX('Per Invoice'!K$2:K$801,$W92)="","",INDEX('Per Invoice'!K$2:K$801,$W92)))</f>
        <v/>
      </c>
      <c r="L92" s="14">
        <f>IF($W92="","",IF(INDEX('Per Invoice'!L$2:L$801,$W92)="","",INDEX('Per Invoice'!L$2:L$801,$W92)))</f>
        <v/>
      </c>
      <c r="M92">
        <f>IF($W92="","",IF(INDEX('Per Invoice'!M$2:M$801,$W92)="","",INDEX('Per Invoice'!M$2:M$801,$W92)))</f>
        <v/>
      </c>
      <c r="N92" s="7">
        <f>IF($W92="","",IF(INDEX('Per Invoice'!N$2:N$801,$W92)="","",INDEX('Per Invoice'!N$2:N$801,$W92)))</f>
        <v/>
      </c>
      <c r="O92" s="7">
        <f>IF($W92="","",IF(INDEX('Per Invoice'!O$2:O$801,$W92)="","",INDEX('Per Invoice'!O$2:O$801,$W92)))</f>
        <v/>
      </c>
      <c r="P92">
        <f>IF($W92="","",IF(INDEX('Per Invoice'!P$2:P$801,$W92)="","",INDEX('Per Invoice'!P$2:P$801,$W92)))</f>
        <v/>
      </c>
      <c r="Q92" s="7">
        <f>IF($W92="","",IF(INDEX('Per Invoice'!Q$2:Q$801,$W92)="","",INDEX('Per Invoice'!Q$2:Q$801,$W92)))</f>
        <v/>
      </c>
      <c r="R92" s="7">
        <f>IF($W92="","",IF(INDEX('Per Invoice'!R$2:R$801,$W92)="","",INDEX('Per Invoice'!R$2:R$801,$W92)))</f>
        <v/>
      </c>
      <c r="S92" s="7">
        <f>IF($W92="","",IF(INDEX('Per Invoice'!S$2:S$801,$W92)="","",INDEX('Per Invoice'!S$2:S$801,$W92)))</f>
        <v/>
      </c>
      <c r="T92" s="7">
        <f>IF($W92="","",IF(INDEX('Per Invoice'!T$2:T$801,$W92)="","",INDEX('Per Invoice'!T$2:T$801,$W92)))</f>
        <v/>
      </c>
      <c r="U92" s="7">
        <f>IF($W92="","",IF(INDEX('Per Invoice'!U$2:U$801,$W92)="","",INDEX('Per Invoice'!U$2:U$801,$W92)))</f>
        <v/>
      </c>
      <c r="V92" s="7">
        <f>IF($W92="","",IF(INDEX('Per Invoice'!V$2:V$801,$W92)="","",INDEX('Per Invoice'!V$2:V$801,$W92)))</f>
        <v/>
      </c>
      <c r="W92" s="16">
        <f>IFERROR(MATCH(Settings!$C$31&amp;"|"&amp;ROWS($W$2:$W92),'Per Invoice'!$X$2:$X$801,0),"")</f>
        <v/>
      </c>
    </row>
    <row r="93">
      <c r="A93">
        <f>IF($W93="","",IF(INDEX('Per Invoice'!A$2:A$801,$W93)="","",INDEX('Per Invoice'!A$2:A$801,$W93)))</f>
        <v/>
      </c>
      <c r="B93">
        <f>IF($W93="","",IF(INDEX('Per Invoice'!B$2:B$801,$W93)="","",INDEX('Per Invoice'!B$2:B$801,$W93)))</f>
        <v/>
      </c>
      <c r="C93">
        <f>IF($W93="","",IF(INDEX('Per Invoice'!C$2:C$801,$W93)="","",INDEX('Per Invoice'!C$2:C$801,$W93)))</f>
        <v/>
      </c>
      <c r="D93">
        <f>IF($W93="","",IF(INDEX('Per Invoice'!D$2:D$801,$W93)="","",INDEX('Per Invoice'!D$2:D$801,$W93)))</f>
        <v/>
      </c>
      <c r="E93">
        <f>IF($W93="","",IF(INDEX('Per Invoice'!E$2:E$801,$W93)="","",INDEX('Per Invoice'!E$2:E$801,$W93)))</f>
        <v/>
      </c>
      <c r="F93">
        <f>IF($W93="","",IF(INDEX('Per Invoice'!F$2:F$801,$W93)="","",INDEX('Per Invoice'!F$2:F$801,$W93)))</f>
        <v/>
      </c>
      <c r="G93">
        <f>IF($W93="","",IF(INDEX('Per Invoice'!G$2:G$801,$W93)="","",INDEX('Per Invoice'!G$2:G$801,$W93)))</f>
        <v/>
      </c>
      <c r="H93">
        <f>IF($W93="","",IF(INDEX('Per Invoice'!H$2:H$801,$W93)="","",INDEX('Per Invoice'!H$2:H$801,$W93)))</f>
        <v/>
      </c>
      <c r="I93">
        <f>IF($W93="","",IF(INDEX('Per Invoice'!I$2:I$801,$W93)="","",INDEX('Per Invoice'!I$2:I$801,$W93)))</f>
        <v/>
      </c>
      <c r="J93">
        <f>IF($W93="","",IF(INDEX('Per Invoice'!J$2:J$801,$W93)="","",INDEX('Per Invoice'!J$2:J$801,$W93)))</f>
        <v/>
      </c>
      <c r="K93" s="7">
        <f>IF($W93="","",IF(INDEX('Per Invoice'!K$2:K$801,$W93)="","",INDEX('Per Invoice'!K$2:K$801,$W93)))</f>
        <v/>
      </c>
      <c r="L93" s="14">
        <f>IF($W93="","",IF(INDEX('Per Invoice'!L$2:L$801,$W93)="","",INDEX('Per Invoice'!L$2:L$801,$W93)))</f>
        <v/>
      </c>
      <c r="M93">
        <f>IF($W93="","",IF(INDEX('Per Invoice'!M$2:M$801,$W93)="","",INDEX('Per Invoice'!M$2:M$801,$W93)))</f>
        <v/>
      </c>
      <c r="N93" s="7">
        <f>IF($W93="","",IF(INDEX('Per Invoice'!N$2:N$801,$W93)="","",INDEX('Per Invoice'!N$2:N$801,$W93)))</f>
        <v/>
      </c>
      <c r="O93" s="7">
        <f>IF($W93="","",IF(INDEX('Per Invoice'!O$2:O$801,$W93)="","",INDEX('Per Invoice'!O$2:O$801,$W93)))</f>
        <v/>
      </c>
      <c r="P93">
        <f>IF($W93="","",IF(INDEX('Per Invoice'!P$2:P$801,$W93)="","",INDEX('Per Invoice'!P$2:P$801,$W93)))</f>
        <v/>
      </c>
      <c r="Q93" s="7">
        <f>IF($W93="","",IF(INDEX('Per Invoice'!Q$2:Q$801,$W93)="","",INDEX('Per Invoice'!Q$2:Q$801,$W93)))</f>
        <v/>
      </c>
      <c r="R93" s="7">
        <f>IF($W93="","",IF(INDEX('Per Invoice'!R$2:R$801,$W93)="","",INDEX('Per Invoice'!R$2:R$801,$W93)))</f>
        <v/>
      </c>
      <c r="S93" s="7">
        <f>IF($W93="","",IF(INDEX('Per Invoice'!S$2:S$801,$W93)="","",INDEX('Per Invoice'!S$2:S$801,$W93)))</f>
        <v/>
      </c>
      <c r="T93" s="7">
        <f>IF($W93="","",IF(INDEX('Per Invoice'!T$2:T$801,$W93)="","",INDEX('Per Invoice'!T$2:T$801,$W93)))</f>
        <v/>
      </c>
      <c r="U93" s="7">
        <f>IF($W93="","",IF(INDEX('Per Invoice'!U$2:U$801,$W93)="","",INDEX('Per Invoice'!U$2:U$801,$W93)))</f>
        <v/>
      </c>
      <c r="V93" s="7">
        <f>IF($W93="","",IF(INDEX('Per Invoice'!V$2:V$801,$W93)="","",INDEX('Per Invoice'!V$2:V$801,$W93)))</f>
        <v/>
      </c>
      <c r="W93" s="16">
        <f>IFERROR(MATCH(Settings!$C$31&amp;"|"&amp;ROWS($W$2:$W93),'Per Invoice'!$X$2:$X$801,0),"")</f>
        <v/>
      </c>
    </row>
    <row r="94">
      <c r="A94">
        <f>IF($W94="","",IF(INDEX('Per Invoice'!A$2:A$801,$W94)="","",INDEX('Per Invoice'!A$2:A$801,$W94)))</f>
        <v/>
      </c>
      <c r="B94">
        <f>IF($W94="","",IF(INDEX('Per Invoice'!B$2:B$801,$W94)="","",INDEX('Per Invoice'!B$2:B$801,$W94)))</f>
        <v/>
      </c>
      <c r="C94">
        <f>IF($W94="","",IF(INDEX('Per Invoice'!C$2:C$801,$W94)="","",INDEX('Per Invoice'!C$2:C$801,$W94)))</f>
        <v/>
      </c>
      <c r="D94">
        <f>IF($W94="","",IF(INDEX('Per Invoice'!D$2:D$801,$W94)="","",INDEX('Per Invoice'!D$2:D$801,$W94)))</f>
        <v/>
      </c>
      <c r="E94">
        <f>IF($W94="","",IF(INDEX('Per Invoice'!E$2:E$801,$W94)="","",INDEX('Per Invoice'!E$2:E$801,$W94)))</f>
        <v/>
      </c>
      <c r="F94">
        <f>IF($W94="","",IF(INDEX('Per Invoice'!F$2:F$801,$W94)="","",INDEX('Per Invoice'!F$2:F$801,$W94)))</f>
        <v/>
      </c>
      <c r="G94">
        <f>IF($W94="","",IF(INDEX('Per Invoice'!G$2:G$801,$W94)="","",INDEX('Per Invoice'!G$2:G$801,$W94)))</f>
        <v/>
      </c>
      <c r="H94">
        <f>IF($W94="","",IF(INDEX('Per Invoice'!H$2:H$801,$W94)="","",INDEX('Per Invoice'!H$2:H$801,$W94)))</f>
        <v/>
      </c>
      <c r="I94">
        <f>IF($W94="","",IF(INDEX('Per Invoice'!I$2:I$801,$W94)="","",INDEX('Per Invoice'!I$2:I$801,$W94)))</f>
        <v/>
      </c>
      <c r="J94">
        <f>IF($W94="","",IF(INDEX('Per Invoice'!J$2:J$801,$W94)="","",INDEX('Per Invoice'!J$2:J$801,$W94)))</f>
        <v/>
      </c>
      <c r="K94" s="7">
        <f>IF($W94="","",IF(INDEX('Per Invoice'!K$2:K$801,$W94)="","",INDEX('Per Invoice'!K$2:K$801,$W94)))</f>
        <v/>
      </c>
      <c r="L94" s="14">
        <f>IF($W94="","",IF(INDEX('Per Invoice'!L$2:L$801,$W94)="","",INDEX('Per Invoice'!L$2:L$801,$W94)))</f>
        <v/>
      </c>
      <c r="M94">
        <f>IF($W94="","",IF(INDEX('Per Invoice'!M$2:M$801,$W94)="","",INDEX('Per Invoice'!M$2:M$801,$W94)))</f>
        <v/>
      </c>
      <c r="N94" s="7">
        <f>IF($W94="","",IF(INDEX('Per Invoice'!N$2:N$801,$W94)="","",INDEX('Per Invoice'!N$2:N$801,$W94)))</f>
        <v/>
      </c>
      <c r="O94" s="7">
        <f>IF($W94="","",IF(INDEX('Per Invoice'!O$2:O$801,$W94)="","",INDEX('Per Invoice'!O$2:O$801,$W94)))</f>
        <v/>
      </c>
      <c r="P94">
        <f>IF($W94="","",IF(INDEX('Per Invoice'!P$2:P$801,$W94)="","",INDEX('Per Invoice'!P$2:P$801,$W94)))</f>
        <v/>
      </c>
      <c r="Q94" s="7">
        <f>IF($W94="","",IF(INDEX('Per Invoice'!Q$2:Q$801,$W94)="","",INDEX('Per Invoice'!Q$2:Q$801,$W94)))</f>
        <v/>
      </c>
      <c r="R94" s="7">
        <f>IF($W94="","",IF(INDEX('Per Invoice'!R$2:R$801,$W94)="","",INDEX('Per Invoice'!R$2:R$801,$W94)))</f>
        <v/>
      </c>
      <c r="S94" s="7">
        <f>IF($W94="","",IF(INDEX('Per Invoice'!S$2:S$801,$W94)="","",INDEX('Per Invoice'!S$2:S$801,$W94)))</f>
        <v/>
      </c>
      <c r="T94" s="7">
        <f>IF($W94="","",IF(INDEX('Per Invoice'!T$2:T$801,$W94)="","",INDEX('Per Invoice'!T$2:T$801,$W94)))</f>
        <v/>
      </c>
      <c r="U94" s="7">
        <f>IF($W94="","",IF(INDEX('Per Invoice'!U$2:U$801,$W94)="","",INDEX('Per Invoice'!U$2:U$801,$W94)))</f>
        <v/>
      </c>
      <c r="V94" s="7">
        <f>IF($W94="","",IF(INDEX('Per Invoice'!V$2:V$801,$W94)="","",INDEX('Per Invoice'!V$2:V$801,$W94)))</f>
        <v/>
      </c>
      <c r="W94" s="16">
        <f>IFERROR(MATCH(Settings!$C$31&amp;"|"&amp;ROWS($W$2:$W94),'Per Invoice'!$X$2:$X$801,0),"")</f>
        <v/>
      </c>
    </row>
    <row r="95">
      <c r="A95">
        <f>IF($W95="","",IF(INDEX('Per Invoice'!A$2:A$801,$W95)="","",INDEX('Per Invoice'!A$2:A$801,$W95)))</f>
        <v/>
      </c>
      <c r="B95">
        <f>IF($W95="","",IF(INDEX('Per Invoice'!B$2:B$801,$W95)="","",INDEX('Per Invoice'!B$2:B$801,$W95)))</f>
        <v/>
      </c>
      <c r="C95">
        <f>IF($W95="","",IF(INDEX('Per Invoice'!C$2:C$801,$W95)="","",INDEX('Per Invoice'!C$2:C$801,$W95)))</f>
        <v/>
      </c>
      <c r="D95">
        <f>IF($W95="","",IF(INDEX('Per Invoice'!D$2:D$801,$W95)="","",INDEX('Per Invoice'!D$2:D$801,$W95)))</f>
        <v/>
      </c>
      <c r="E95">
        <f>IF($W95="","",IF(INDEX('Per Invoice'!E$2:E$801,$W95)="","",INDEX('Per Invoice'!E$2:E$801,$W95)))</f>
        <v/>
      </c>
      <c r="F95">
        <f>IF($W95="","",IF(INDEX('Per Invoice'!F$2:F$801,$W95)="","",INDEX('Per Invoice'!F$2:F$801,$W95)))</f>
        <v/>
      </c>
      <c r="G95">
        <f>IF($W95="","",IF(INDEX('Per Invoice'!G$2:G$801,$W95)="","",INDEX('Per Invoice'!G$2:G$801,$W95)))</f>
        <v/>
      </c>
      <c r="H95">
        <f>IF($W95="","",IF(INDEX('Per Invoice'!H$2:H$801,$W95)="","",INDEX('Per Invoice'!H$2:H$801,$W95)))</f>
        <v/>
      </c>
      <c r="I95">
        <f>IF($W95="","",IF(INDEX('Per Invoice'!I$2:I$801,$W95)="","",INDEX('Per Invoice'!I$2:I$801,$W95)))</f>
        <v/>
      </c>
      <c r="J95">
        <f>IF($W95="","",IF(INDEX('Per Invoice'!J$2:J$801,$W95)="","",INDEX('Per Invoice'!J$2:J$801,$W95)))</f>
        <v/>
      </c>
      <c r="K95" s="7">
        <f>IF($W95="","",IF(INDEX('Per Invoice'!K$2:K$801,$W95)="","",INDEX('Per Invoice'!K$2:K$801,$W95)))</f>
        <v/>
      </c>
      <c r="L95" s="14">
        <f>IF($W95="","",IF(INDEX('Per Invoice'!L$2:L$801,$W95)="","",INDEX('Per Invoice'!L$2:L$801,$W95)))</f>
        <v/>
      </c>
      <c r="M95">
        <f>IF($W95="","",IF(INDEX('Per Invoice'!M$2:M$801,$W95)="","",INDEX('Per Invoice'!M$2:M$801,$W95)))</f>
        <v/>
      </c>
      <c r="N95" s="7">
        <f>IF($W95="","",IF(INDEX('Per Invoice'!N$2:N$801,$W95)="","",INDEX('Per Invoice'!N$2:N$801,$W95)))</f>
        <v/>
      </c>
      <c r="O95" s="7">
        <f>IF($W95="","",IF(INDEX('Per Invoice'!O$2:O$801,$W95)="","",INDEX('Per Invoice'!O$2:O$801,$W95)))</f>
        <v/>
      </c>
      <c r="P95">
        <f>IF($W95="","",IF(INDEX('Per Invoice'!P$2:P$801,$W95)="","",INDEX('Per Invoice'!P$2:P$801,$W95)))</f>
        <v/>
      </c>
      <c r="Q95" s="7">
        <f>IF($W95="","",IF(INDEX('Per Invoice'!Q$2:Q$801,$W95)="","",INDEX('Per Invoice'!Q$2:Q$801,$W95)))</f>
        <v/>
      </c>
      <c r="R95" s="7">
        <f>IF($W95="","",IF(INDEX('Per Invoice'!R$2:R$801,$W95)="","",INDEX('Per Invoice'!R$2:R$801,$W95)))</f>
        <v/>
      </c>
      <c r="S95" s="7">
        <f>IF($W95="","",IF(INDEX('Per Invoice'!S$2:S$801,$W95)="","",INDEX('Per Invoice'!S$2:S$801,$W95)))</f>
        <v/>
      </c>
      <c r="T95" s="7">
        <f>IF($W95="","",IF(INDEX('Per Invoice'!T$2:T$801,$W95)="","",INDEX('Per Invoice'!T$2:T$801,$W95)))</f>
        <v/>
      </c>
      <c r="U95" s="7">
        <f>IF($W95="","",IF(INDEX('Per Invoice'!U$2:U$801,$W95)="","",INDEX('Per Invoice'!U$2:U$801,$W95)))</f>
        <v/>
      </c>
      <c r="V95" s="7">
        <f>IF($W95="","",IF(INDEX('Per Invoice'!V$2:V$801,$W95)="","",INDEX('Per Invoice'!V$2:V$801,$W95)))</f>
        <v/>
      </c>
      <c r="W95" s="16">
        <f>IFERROR(MATCH(Settings!$C$31&amp;"|"&amp;ROWS($W$2:$W95),'Per Invoice'!$X$2:$X$801,0),"")</f>
        <v/>
      </c>
    </row>
    <row r="96">
      <c r="A96">
        <f>IF($W96="","",IF(INDEX('Per Invoice'!A$2:A$801,$W96)="","",INDEX('Per Invoice'!A$2:A$801,$W96)))</f>
        <v/>
      </c>
      <c r="B96">
        <f>IF($W96="","",IF(INDEX('Per Invoice'!B$2:B$801,$W96)="","",INDEX('Per Invoice'!B$2:B$801,$W96)))</f>
        <v/>
      </c>
      <c r="C96">
        <f>IF($W96="","",IF(INDEX('Per Invoice'!C$2:C$801,$W96)="","",INDEX('Per Invoice'!C$2:C$801,$W96)))</f>
        <v/>
      </c>
      <c r="D96">
        <f>IF($W96="","",IF(INDEX('Per Invoice'!D$2:D$801,$W96)="","",INDEX('Per Invoice'!D$2:D$801,$W96)))</f>
        <v/>
      </c>
      <c r="E96">
        <f>IF($W96="","",IF(INDEX('Per Invoice'!E$2:E$801,$W96)="","",INDEX('Per Invoice'!E$2:E$801,$W96)))</f>
        <v/>
      </c>
      <c r="F96">
        <f>IF($W96="","",IF(INDEX('Per Invoice'!F$2:F$801,$W96)="","",INDEX('Per Invoice'!F$2:F$801,$W96)))</f>
        <v/>
      </c>
      <c r="G96">
        <f>IF($W96="","",IF(INDEX('Per Invoice'!G$2:G$801,$W96)="","",INDEX('Per Invoice'!G$2:G$801,$W96)))</f>
        <v/>
      </c>
      <c r="H96">
        <f>IF($W96="","",IF(INDEX('Per Invoice'!H$2:H$801,$W96)="","",INDEX('Per Invoice'!H$2:H$801,$W96)))</f>
        <v/>
      </c>
      <c r="I96">
        <f>IF($W96="","",IF(INDEX('Per Invoice'!I$2:I$801,$W96)="","",INDEX('Per Invoice'!I$2:I$801,$W96)))</f>
        <v/>
      </c>
      <c r="J96">
        <f>IF($W96="","",IF(INDEX('Per Invoice'!J$2:J$801,$W96)="","",INDEX('Per Invoice'!J$2:J$801,$W96)))</f>
        <v/>
      </c>
      <c r="K96" s="7">
        <f>IF($W96="","",IF(INDEX('Per Invoice'!K$2:K$801,$W96)="","",INDEX('Per Invoice'!K$2:K$801,$W96)))</f>
        <v/>
      </c>
      <c r="L96" s="14">
        <f>IF($W96="","",IF(INDEX('Per Invoice'!L$2:L$801,$W96)="","",INDEX('Per Invoice'!L$2:L$801,$W96)))</f>
        <v/>
      </c>
      <c r="M96">
        <f>IF($W96="","",IF(INDEX('Per Invoice'!M$2:M$801,$W96)="","",INDEX('Per Invoice'!M$2:M$801,$W96)))</f>
        <v/>
      </c>
      <c r="N96" s="7">
        <f>IF($W96="","",IF(INDEX('Per Invoice'!N$2:N$801,$W96)="","",INDEX('Per Invoice'!N$2:N$801,$W96)))</f>
        <v/>
      </c>
      <c r="O96" s="7">
        <f>IF($W96="","",IF(INDEX('Per Invoice'!O$2:O$801,$W96)="","",INDEX('Per Invoice'!O$2:O$801,$W96)))</f>
        <v/>
      </c>
      <c r="P96">
        <f>IF($W96="","",IF(INDEX('Per Invoice'!P$2:P$801,$W96)="","",INDEX('Per Invoice'!P$2:P$801,$W96)))</f>
        <v/>
      </c>
      <c r="Q96" s="7">
        <f>IF($W96="","",IF(INDEX('Per Invoice'!Q$2:Q$801,$W96)="","",INDEX('Per Invoice'!Q$2:Q$801,$W96)))</f>
        <v/>
      </c>
      <c r="R96" s="7">
        <f>IF($W96="","",IF(INDEX('Per Invoice'!R$2:R$801,$W96)="","",INDEX('Per Invoice'!R$2:R$801,$W96)))</f>
        <v/>
      </c>
      <c r="S96" s="7">
        <f>IF($W96="","",IF(INDEX('Per Invoice'!S$2:S$801,$W96)="","",INDEX('Per Invoice'!S$2:S$801,$W96)))</f>
        <v/>
      </c>
      <c r="T96" s="7">
        <f>IF($W96="","",IF(INDEX('Per Invoice'!T$2:T$801,$W96)="","",INDEX('Per Invoice'!T$2:T$801,$W96)))</f>
        <v/>
      </c>
      <c r="U96" s="7">
        <f>IF($W96="","",IF(INDEX('Per Invoice'!U$2:U$801,$W96)="","",INDEX('Per Invoice'!U$2:U$801,$W96)))</f>
        <v/>
      </c>
      <c r="V96" s="7">
        <f>IF($W96="","",IF(INDEX('Per Invoice'!V$2:V$801,$W96)="","",INDEX('Per Invoice'!V$2:V$801,$W96)))</f>
        <v/>
      </c>
      <c r="W96" s="16">
        <f>IFERROR(MATCH(Settings!$C$31&amp;"|"&amp;ROWS($W$2:$W96),'Per Invoice'!$X$2:$X$801,0),"")</f>
        <v/>
      </c>
    </row>
    <row r="97">
      <c r="A97">
        <f>IF($W97="","",IF(INDEX('Per Invoice'!A$2:A$801,$W97)="","",INDEX('Per Invoice'!A$2:A$801,$W97)))</f>
        <v/>
      </c>
      <c r="B97">
        <f>IF($W97="","",IF(INDEX('Per Invoice'!B$2:B$801,$W97)="","",INDEX('Per Invoice'!B$2:B$801,$W97)))</f>
        <v/>
      </c>
      <c r="C97">
        <f>IF($W97="","",IF(INDEX('Per Invoice'!C$2:C$801,$W97)="","",INDEX('Per Invoice'!C$2:C$801,$W97)))</f>
        <v/>
      </c>
      <c r="D97">
        <f>IF($W97="","",IF(INDEX('Per Invoice'!D$2:D$801,$W97)="","",INDEX('Per Invoice'!D$2:D$801,$W97)))</f>
        <v/>
      </c>
      <c r="E97">
        <f>IF($W97="","",IF(INDEX('Per Invoice'!E$2:E$801,$W97)="","",INDEX('Per Invoice'!E$2:E$801,$W97)))</f>
        <v/>
      </c>
      <c r="F97">
        <f>IF($W97="","",IF(INDEX('Per Invoice'!F$2:F$801,$W97)="","",INDEX('Per Invoice'!F$2:F$801,$W97)))</f>
        <v/>
      </c>
      <c r="G97">
        <f>IF($W97="","",IF(INDEX('Per Invoice'!G$2:G$801,$W97)="","",INDEX('Per Invoice'!G$2:G$801,$W97)))</f>
        <v/>
      </c>
      <c r="H97">
        <f>IF($W97="","",IF(INDEX('Per Invoice'!H$2:H$801,$W97)="","",INDEX('Per Invoice'!H$2:H$801,$W97)))</f>
        <v/>
      </c>
      <c r="I97">
        <f>IF($W97="","",IF(INDEX('Per Invoice'!I$2:I$801,$W97)="","",INDEX('Per Invoice'!I$2:I$801,$W97)))</f>
        <v/>
      </c>
      <c r="J97">
        <f>IF($W97="","",IF(INDEX('Per Invoice'!J$2:J$801,$W97)="","",INDEX('Per Invoice'!J$2:J$801,$W97)))</f>
        <v/>
      </c>
      <c r="K97" s="7">
        <f>IF($W97="","",IF(INDEX('Per Invoice'!K$2:K$801,$W97)="","",INDEX('Per Invoice'!K$2:K$801,$W97)))</f>
        <v/>
      </c>
      <c r="L97" s="14">
        <f>IF($W97="","",IF(INDEX('Per Invoice'!L$2:L$801,$W97)="","",INDEX('Per Invoice'!L$2:L$801,$W97)))</f>
        <v/>
      </c>
      <c r="M97">
        <f>IF($W97="","",IF(INDEX('Per Invoice'!M$2:M$801,$W97)="","",INDEX('Per Invoice'!M$2:M$801,$W97)))</f>
        <v/>
      </c>
      <c r="N97" s="7">
        <f>IF($W97="","",IF(INDEX('Per Invoice'!N$2:N$801,$W97)="","",INDEX('Per Invoice'!N$2:N$801,$W97)))</f>
        <v/>
      </c>
      <c r="O97" s="7">
        <f>IF($W97="","",IF(INDEX('Per Invoice'!O$2:O$801,$W97)="","",INDEX('Per Invoice'!O$2:O$801,$W97)))</f>
        <v/>
      </c>
      <c r="P97">
        <f>IF($W97="","",IF(INDEX('Per Invoice'!P$2:P$801,$W97)="","",INDEX('Per Invoice'!P$2:P$801,$W97)))</f>
        <v/>
      </c>
      <c r="Q97" s="7">
        <f>IF($W97="","",IF(INDEX('Per Invoice'!Q$2:Q$801,$W97)="","",INDEX('Per Invoice'!Q$2:Q$801,$W97)))</f>
        <v/>
      </c>
      <c r="R97" s="7">
        <f>IF($W97="","",IF(INDEX('Per Invoice'!R$2:R$801,$W97)="","",INDEX('Per Invoice'!R$2:R$801,$W97)))</f>
        <v/>
      </c>
      <c r="S97" s="7">
        <f>IF($W97="","",IF(INDEX('Per Invoice'!S$2:S$801,$W97)="","",INDEX('Per Invoice'!S$2:S$801,$W97)))</f>
        <v/>
      </c>
      <c r="T97" s="7">
        <f>IF($W97="","",IF(INDEX('Per Invoice'!T$2:T$801,$W97)="","",INDEX('Per Invoice'!T$2:T$801,$W97)))</f>
        <v/>
      </c>
      <c r="U97" s="7">
        <f>IF($W97="","",IF(INDEX('Per Invoice'!U$2:U$801,$W97)="","",INDEX('Per Invoice'!U$2:U$801,$W97)))</f>
        <v/>
      </c>
      <c r="V97" s="7">
        <f>IF($W97="","",IF(INDEX('Per Invoice'!V$2:V$801,$W97)="","",INDEX('Per Invoice'!V$2:V$801,$W97)))</f>
        <v/>
      </c>
      <c r="W97" s="16">
        <f>IFERROR(MATCH(Settings!$C$31&amp;"|"&amp;ROWS($W$2:$W97),'Per Invoice'!$X$2:$X$801,0),"")</f>
        <v/>
      </c>
    </row>
    <row r="98">
      <c r="A98">
        <f>IF($W98="","",IF(INDEX('Per Invoice'!A$2:A$801,$W98)="","",INDEX('Per Invoice'!A$2:A$801,$W98)))</f>
        <v/>
      </c>
      <c r="B98">
        <f>IF($W98="","",IF(INDEX('Per Invoice'!B$2:B$801,$W98)="","",INDEX('Per Invoice'!B$2:B$801,$W98)))</f>
        <v/>
      </c>
      <c r="C98">
        <f>IF($W98="","",IF(INDEX('Per Invoice'!C$2:C$801,$W98)="","",INDEX('Per Invoice'!C$2:C$801,$W98)))</f>
        <v/>
      </c>
      <c r="D98">
        <f>IF($W98="","",IF(INDEX('Per Invoice'!D$2:D$801,$W98)="","",INDEX('Per Invoice'!D$2:D$801,$W98)))</f>
        <v/>
      </c>
      <c r="E98">
        <f>IF($W98="","",IF(INDEX('Per Invoice'!E$2:E$801,$W98)="","",INDEX('Per Invoice'!E$2:E$801,$W98)))</f>
        <v/>
      </c>
      <c r="F98">
        <f>IF($W98="","",IF(INDEX('Per Invoice'!F$2:F$801,$W98)="","",INDEX('Per Invoice'!F$2:F$801,$W98)))</f>
        <v/>
      </c>
      <c r="G98">
        <f>IF($W98="","",IF(INDEX('Per Invoice'!G$2:G$801,$W98)="","",INDEX('Per Invoice'!G$2:G$801,$W98)))</f>
        <v/>
      </c>
      <c r="H98">
        <f>IF($W98="","",IF(INDEX('Per Invoice'!H$2:H$801,$W98)="","",INDEX('Per Invoice'!H$2:H$801,$W98)))</f>
        <v/>
      </c>
      <c r="I98">
        <f>IF($W98="","",IF(INDEX('Per Invoice'!I$2:I$801,$W98)="","",INDEX('Per Invoice'!I$2:I$801,$W98)))</f>
        <v/>
      </c>
      <c r="J98">
        <f>IF($W98="","",IF(INDEX('Per Invoice'!J$2:J$801,$W98)="","",INDEX('Per Invoice'!J$2:J$801,$W98)))</f>
        <v/>
      </c>
      <c r="K98" s="7">
        <f>IF($W98="","",IF(INDEX('Per Invoice'!K$2:K$801,$W98)="","",INDEX('Per Invoice'!K$2:K$801,$W98)))</f>
        <v/>
      </c>
      <c r="L98" s="14">
        <f>IF($W98="","",IF(INDEX('Per Invoice'!L$2:L$801,$W98)="","",INDEX('Per Invoice'!L$2:L$801,$W98)))</f>
        <v/>
      </c>
      <c r="M98">
        <f>IF($W98="","",IF(INDEX('Per Invoice'!M$2:M$801,$W98)="","",INDEX('Per Invoice'!M$2:M$801,$W98)))</f>
        <v/>
      </c>
      <c r="N98" s="7">
        <f>IF($W98="","",IF(INDEX('Per Invoice'!N$2:N$801,$W98)="","",INDEX('Per Invoice'!N$2:N$801,$W98)))</f>
        <v/>
      </c>
      <c r="O98" s="7">
        <f>IF($W98="","",IF(INDEX('Per Invoice'!O$2:O$801,$W98)="","",INDEX('Per Invoice'!O$2:O$801,$W98)))</f>
        <v/>
      </c>
      <c r="P98">
        <f>IF($W98="","",IF(INDEX('Per Invoice'!P$2:P$801,$W98)="","",INDEX('Per Invoice'!P$2:P$801,$W98)))</f>
        <v/>
      </c>
      <c r="Q98" s="7">
        <f>IF($W98="","",IF(INDEX('Per Invoice'!Q$2:Q$801,$W98)="","",INDEX('Per Invoice'!Q$2:Q$801,$W98)))</f>
        <v/>
      </c>
      <c r="R98" s="7">
        <f>IF($W98="","",IF(INDEX('Per Invoice'!R$2:R$801,$W98)="","",INDEX('Per Invoice'!R$2:R$801,$W98)))</f>
        <v/>
      </c>
      <c r="S98" s="7">
        <f>IF($W98="","",IF(INDEX('Per Invoice'!S$2:S$801,$W98)="","",INDEX('Per Invoice'!S$2:S$801,$W98)))</f>
        <v/>
      </c>
      <c r="T98" s="7">
        <f>IF($W98="","",IF(INDEX('Per Invoice'!T$2:T$801,$W98)="","",INDEX('Per Invoice'!T$2:T$801,$W98)))</f>
        <v/>
      </c>
      <c r="U98" s="7">
        <f>IF($W98="","",IF(INDEX('Per Invoice'!U$2:U$801,$W98)="","",INDEX('Per Invoice'!U$2:U$801,$W98)))</f>
        <v/>
      </c>
      <c r="V98" s="7">
        <f>IF($W98="","",IF(INDEX('Per Invoice'!V$2:V$801,$W98)="","",INDEX('Per Invoice'!V$2:V$801,$W98)))</f>
        <v/>
      </c>
      <c r="W98" s="16">
        <f>IFERROR(MATCH(Settings!$C$31&amp;"|"&amp;ROWS($W$2:$W98),'Per Invoice'!$X$2:$X$801,0),"")</f>
        <v/>
      </c>
    </row>
    <row r="99">
      <c r="A99">
        <f>IF($W99="","",IF(INDEX('Per Invoice'!A$2:A$801,$W99)="","",INDEX('Per Invoice'!A$2:A$801,$W99)))</f>
        <v/>
      </c>
      <c r="B99">
        <f>IF($W99="","",IF(INDEX('Per Invoice'!B$2:B$801,$W99)="","",INDEX('Per Invoice'!B$2:B$801,$W99)))</f>
        <v/>
      </c>
      <c r="C99">
        <f>IF($W99="","",IF(INDEX('Per Invoice'!C$2:C$801,$W99)="","",INDEX('Per Invoice'!C$2:C$801,$W99)))</f>
        <v/>
      </c>
      <c r="D99">
        <f>IF($W99="","",IF(INDEX('Per Invoice'!D$2:D$801,$W99)="","",INDEX('Per Invoice'!D$2:D$801,$W99)))</f>
        <v/>
      </c>
      <c r="E99">
        <f>IF($W99="","",IF(INDEX('Per Invoice'!E$2:E$801,$W99)="","",INDEX('Per Invoice'!E$2:E$801,$W99)))</f>
        <v/>
      </c>
      <c r="F99">
        <f>IF($W99="","",IF(INDEX('Per Invoice'!F$2:F$801,$W99)="","",INDEX('Per Invoice'!F$2:F$801,$W99)))</f>
        <v/>
      </c>
      <c r="G99">
        <f>IF($W99="","",IF(INDEX('Per Invoice'!G$2:G$801,$W99)="","",INDEX('Per Invoice'!G$2:G$801,$W99)))</f>
        <v/>
      </c>
      <c r="H99">
        <f>IF($W99="","",IF(INDEX('Per Invoice'!H$2:H$801,$W99)="","",INDEX('Per Invoice'!H$2:H$801,$W99)))</f>
        <v/>
      </c>
      <c r="I99">
        <f>IF($W99="","",IF(INDEX('Per Invoice'!I$2:I$801,$W99)="","",INDEX('Per Invoice'!I$2:I$801,$W99)))</f>
        <v/>
      </c>
      <c r="J99">
        <f>IF($W99="","",IF(INDEX('Per Invoice'!J$2:J$801,$W99)="","",INDEX('Per Invoice'!J$2:J$801,$W99)))</f>
        <v/>
      </c>
      <c r="K99" s="7">
        <f>IF($W99="","",IF(INDEX('Per Invoice'!K$2:K$801,$W99)="","",INDEX('Per Invoice'!K$2:K$801,$W99)))</f>
        <v/>
      </c>
      <c r="L99" s="14">
        <f>IF($W99="","",IF(INDEX('Per Invoice'!L$2:L$801,$W99)="","",INDEX('Per Invoice'!L$2:L$801,$W99)))</f>
        <v/>
      </c>
      <c r="M99">
        <f>IF($W99="","",IF(INDEX('Per Invoice'!M$2:M$801,$W99)="","",INDEX('Per Invoice'!M$2:M$801,$W99)))</f>
        <v/>
      </c>
      <c r="N99" s="7">
        <f>IF($W99="","",IF(INDEX('Per Invoice'!N$2:N$801,$W99)="","",INDEX('Per Invoice'!N$2:N$801,$W99)))</f>
        <v/>
      </c>
      <c r="O99" s="7">
        <f>IF($W99="","",IF(INDEX('Per Invoice'!O$2:O$801,$W99)="","",INDEX('Per Invoice'!O$2:O$801,$W99)))</f>
        <v/>
      </c>
      <c r="P99">
        <f>IF($W99="","",IF(INDEX('Per Invoice'!P$2:P$801,$W99)="","",INDEX('Per Invoice'!P$2:P$801,$W99)))</f>
        <v/>
      </c>
      <c r="Q99" s="7">
        <f>IF($W99="","",IF(INDEX('Per Invoice'!Q$2:Q$801,$W99)="","",INDEX('Per Invoice'!Q$2:Q$801,$W99)))</f>
        <v/>
      </c>
      <c r="R99" s="7">
        <f>IF($W99="","",IF(INDEX('Per Invoice'!R$2:R$801,$W99)="","",INDEX('Per Invoice'!R$2:R$801,$W99)))</f>
        <v/>
      </c>
      <c r="S99" s="7">
        <f>IF($W99="","",IF(INDEX('Per Invoice'!S$2:S$801,$W99)="","",INDEX('Per Invoice'!S$2:S$801,$W99)))</f>
        <v/>
      </c>
      <c r="T99" s="7">
        <f>IF($W99="","",IF(INDEX('Per Invoice'!T$2:T$801,$W99)="","",INDEX('Per Invoice'!T$2:T$801,$W99)))</f>
        <v/>
      </c>
      <c r="U99" s="7">
        <f>IF($W99="","",IF(INDEX('Per Invoice'!U$2:U$801,$W99)="","",INDEX('Per Invoice'!U$2:U$801,$W99)))</f>
        <v/>
      </c>
      <c r="V99" s="7">
        <f>IF($W99="","",IF(INDEX('Per Invoice'!V$2:V$801,$W99)="","",INDEX('Per Invoice'!V$2:V$801,$W99)))</f>
        <v/>
      </c>
      <c r="W99" s="16">
        <f>IFERROR(MATCH(Settings!$C$31&amp;"|"&amp;ROWS($W$2:$W99),'Per Invoice'!$X$2:$X$801,0),"")</f>
        <v/>
      </c>
    </row>
    <row r="100">
      <c r="A100">
        <f>IF($W100="","",IF(INDEX('Per Invoice'!A$2:A$801,$W100)="","",INDEX('Per Invoice'!A$2:A$801,$W100)))</f>
        <v/>
      </c>
      <c r="B100">
        <f>IF($W100="","",IF(INDEX('Per Invoice'!B$2:B$801,$W100)="","",INDEX('Per Invoice'!B$2:B$801,$W100)))</f>
        <v/>
      </c>
      <c r="C100">
        <f>IF($W100="","",IF(INDEX('Per Invoice'!C$2:C$801,$W100)="","",INDEX('Per Invoice'!C$2:C$801,$W100)))</f>
        <v/>
      </c>
      <c r="D100">
        <f>IF($W100="","",IF(INDEX('Per Invoice'!D$2:D$801,$W100)="","",INDEX('Per Invoice'!D$2:D$801,$W100)))</f>
        <v/>
      </c>
      <c r="E100">
        <f>IF($W100="","",IF(INDEX('Per Invoice'!E$2:E$801,$W100)="","",INDEX('Per Invoice'!E$2:E$801,$W100)))</f>
        <v/>
      </c>
      <c r="F100">
        <f>IF($W100="","",IF(INDEX('Per Invoice'!F$2:F$801,$W100)="","",INDEX('Per Invoice'!F$2:F$801,$W100)))</f>
        <v/>
      </c>
      <c r="G100">
        <f>IF($W100="","",IF(INDEX('Per Invoice'!G$2:G$801,$W100)="","",INDEX('Per Invoice'!G$2:G$801,$W100)))</f>
        <v/>
      </c>
      <c r="H100">
        <f>IF($W100="","",IF(INDEX('Per Invoice'!H$2:H$801,$W100)="","",INDEX('Per Invoice'!H$2:H$801,$W100)))</f>
        <v/>
      </c>
      <c r="I100">
        <f>IF($W100="","",IF(INDEX('Per Invoice'!I$2:I$801,$W100)="","",INDEX('Per Invoice'!I$2:I$801,$W100)))</f>
        <v/>
      </c>
      <c r="J100">
        <f>IF($W100="","",IF(INDEX('Per Invoice'!J$2:J$801,$W100)="","",INDEX('Per Invoice'!J$2:J$801,$W100)))</f>
        <v/>
      </c>
      <c r="K100" s="7">
        <f>IF($W100="","",IF(INDEX('Per Invoice'!K$2:K$801,$W100)="","",INDEX('Per Invoice'!K$2:K$801,$W100)))</f>
        <v/>
      </c>
      <c r="L100" s="14">
        <f>IF($W100="","",IF(INDEX('Per Invoice'!L$2:L$801,$W100)="","",INDEX('Per Invoice'!L$2:L$801,$W100)))</f>
        <v/>
      </c>
      <c r="M100">
        <f>IF($W100="","",IF(INDEX('Per Invoice'!M$2:M$801,$W100)="","",INDEX('Per Invoice'!M$2:M$801,$W100)))</f>
        <v/>
      </c>
      <c r="N100" s="7">
        <f>IF($W100="","",IF(INDEX('Per Invoice'!N$2:N$801,$W100)="","",INDEX('Per Invoice'!N$2:N$801,$W100)))</f>
        <v/>
      </c>
      <c r="O100" s="7">
        <f>IF($W100="","",IF(INDEX('Per Invoice'!O$2:O$801,$W100)="","",INDEX('Per Invoice'!O$2:O$801,$W100)))</f>
        <v/>
      </c>
      <c r="P100">
        <f>IF($W100="","",IF(INDEX('Per Invoice'!P$2:P$801,$W100)="","",INDEX('Per Invoice'!P$2:P$801,$W100)))</f>
        <v/>
      </c>
      <c r="Q100" s="7">
        <f>IF($W100="","",IF(INDEX('Per Invoice'!Q$2:Q$801,$W100)="","",INDEX('Per Invoice'!Q$2:Q$801,$W100)))</f>
        <v/>
      </c>
      <c r="R100" s="7">
        <f>IF($W100="","",IF(INDEX('Per Invoice'!R$2:R$801,$W100)="","",INDEX('Per Invoice'!R$2:R$801,$W100)))</f>
        <v/>
      </c>
      <c r="S100" s="7">
        <f>IF($W100="","",IF(INDEX('Per Invoice'!S$2:S$801,$W100)="","",INDEX('Per Invoice'!S$2:S$801,$W100)))</f>
        <v/>
      </c>
      <c r="T100" s="7">
        <f>IF($W100="","",IF(INDEX('Per Invoice'!T$2:T$801,$W100)="","",INDEX('Per Invoice'!T$2:T$801,$W100)))</f>
        <v/>
      </c>
      <c r="U100" s="7">
        <f>IF($W100="","",IF(INDEX('Per Invoice'!U$2:U$801,$W100)="","",INDEX('Per Invoice'!U$2:U$801,$W100)))</f>
        <v/>
      </c>
      <c r="V100" s="7">
        <f>IF($W100="","",IF(INDEX('Per Invoice'!V$2:V$801,$W100)="","",INDEX('Per Invoice'!V$2:V$801,$W100)))</f>
        <v/>
      </c>
      <c r="W100" s="16">
        <f>IFERROR(MATCH(Settings!$C$31&amp;"|"&amp;ROWS($W$2:$W100),'Per Invoice'!$X$2:$X$801,0),"")</f>
        <v/>
      </c>
    </row>
    <row r="101">
      <c r="A101">
        <f>IF($W101="","",IF(INDEX('Per Invoice'!A$2:A$801,$W101)="","",INDEX('Per Invoice'!A$2:A$801,$W101)))</f>
        <v/>
      </c>
      <c r="B101">
        <f>IF($W101="","",IF(INDEX('Per Invoice'!B$2:B$801,$W101)="","",INDEX('Per Invoice'!B$2:B$801,$W101)))</f>
        <v/>
      </c>
      <c r="C101">
        <f>IF($W101="","",IF(INDEX('Per Invoice'!C$2:C$801,$W101)="","",INDEX('Per Invoice'!C$2:C$801,$W101)))</f>
        <v/>
      </c>
      <c r="D101">
        <f>IF($W101="","",IF(INDEX('Per Invoice'!D$2:D$801,$W101)="","",INDEX('Per Invoice'!D$2:D$801,$W101)))</f>
        <v/>
      </c>
      <c r="E101">
        <f>IF($W101="","",IF(INDEX('Per Invoice'!E$2:E$801,$W101)="","",INDEX('Per Invoice'!E$2:E$801,$W101)))</f>
        <v/>
      </c>
      <c r="F101">
        <f>IF($W101="","",IF(INDEX('Per Invoice'!F$2:F$801,$W101)="","",INDEX('Per Invoice'!F$2:F$801,$W101)))</f>
        <v/>
      </c>
      <c r="G101">
        <f>IF($W101="","",IF(INDEX('Per Invoice'!G$2:G$801,$W101)="","",INDEX('Per Invoice'!G$2:G$801,$W101)))</f>
        <v/>
      </c>
      <c r="H101">
        <f>IF($W101="","",IF(INDEX('Per Invoice'!H$2:H$801,$W101)="","",INDEX('Per Invoice'!H$2:H$801,$W101)))</f>
        <v/>
      </c>
      <c r="I101">
        <f>IF($W101="","",IF(INDEX('Per Invoice'!I$2:I$801,$W101)="","",INDEX('Per Invoice'!I$2:I$801,$W101)))</f>
        <v/>
      </c>
      <c r="J101">
        <f>IF($W101="","",IF(INDEX('Per Invoice'!J$2:J$801,$W101)="","",INDEX('Per Invoice'!J$2:J$801,$W101)))</f>
        <v/>
      </c>
      <c r="K101" s="7">
        <f>IF($W101="","",IF(INDEX('Per Invoice'!K$2:K$801,$W101)="","",INDEX('Per Invoice'!K$2:K$801,$W101)))</f>
        <v/>
      </c>
      <c r="L101" s="14">
        <f>IF($W101="","",IF(INDEX('Per Invoice'!L$2:L$801,$W101)="","",INDEX('Per Invoice'!L$2:L$801,$W101)))</f>
        <v/>
      </c>
      <c r="M101">
        <f>IF($W101="","",IF(INDEX('Per Invoice'!M$2:M$801,$W101)="","",INDEX('Per Invoice'!M$2:M$801,$W101)))</f>
        <v/>
      </c>
      <c r="N101" s="7">
        <f>IF($W101="","",IF(INDEX('Per Invoice'!N$2:N$801,$W101)="","",INDEX('Per Invoice'!N$2:N$801,$W101)))</f>
        <v/>
      </c>
      <c r="O101" s="7">
        <f>IF($W101="","",IF(INDEX('Per Invoice'!O$2:O$801,$W101)="","",INDEX('Per Invoice'!O$2:O$801,$W101)))</f>
        <v/>
      </c>
      <c r="P101">
        <f>IF($W101="","",IF(INDEX('Per Invoice'!P$2:P$801,$W101)="","",INDEX('Per Invoice'!P$2:P$801,$W101)))</f>
        <v/>
      </c>
      <c r="Q101" s="7">
        <f>IF($W101="","",IF(INDEX('Per Invoice'!Q$2:Q$801,$W101)="","",INDEX('Per Invoice'!Q$2:Q$801,$W101)))</f>
        <v/>
      </c>
      <c r="R101" s="7">
        <f>IF($W101="","",IF(INDEX('Per Invoice'!R$2:R$801,$W101)="","",INDEX('Per Invoice'!R$2:R$801,$W101)))</f>
        <v/>
      </c>
      <c r="S101" s="7">
        <f>IF($W101="","",IF(INDEX('Per Invoice'!S$2:S$801,$W101)="","",INDEX('Per Invoice'!S$2:S$801,$W101)))</f>
        <v/>
      </c>
      <c r="T101" s="7">
        <f>IF($W101="","",IF(INDEX('Per Invoice'!T$2:T$801,$W101)="","",INDEX('Per Invoice'!T$2:T$801,$W101)))</f>
        <v/>
      </c>
      <c r="U101" s="7">
        <f>IF($W101="","",IF(INDEX('Per Invoice'!U$2:U$801,$W101)="","",INDEX('Per Invoice'!U$2:U$801,$W101)))</f>
        <v/>
      </c>
      <c r="V101" s="7">
        <f>IF($W101="","",IF(INDEX('Per Invoice'!V$2:V$801,$W101)="","",INDEX('Per Invoice'!V$2:V$801,$W101)))</f>
        <v/>
      </c>
      <c r="W101" s="16">
        <f>IFERROR(MATCH(Settings!$C$31&amp;"|"&amp;ROWS($W$2:$W101),'Per Invoice'!$X$2:$X$801,0),"")</f>
        <v/>
      </c>
    </row>
    <row r="102">
      <c r="A102">
        <f>IF($W102="","",IF(INDEX('Per Invoice'!A$2:A$801,$W102)="","",INDEX('Per Invoice'!A$2:A$801,$W102)))</f>
        <v/>
      </c>
      <c r="B102">
        <f>IF($W102="","",IF(INDEX('Per Invoice'!B$2:B$801,$W102)="","",INDEX('Per Invoice'!B$2:B$801,$W102)))</f>
        <v/>
      </c>
      <c r="C102">
        <f>IF($W102="","",IF(INDEX('Per Invoice'!C$2:C$801,$W102)="","",INDEX('Per Invoice'!C$2:C$801,$W102)))</f>
        <v/>
      </c>
      <c r="D102">
        <f>IF($W102="","",IF(INDEX('Per Invoice'!D$2:D$801,$W102)="","",INDEX('Per Invoice'!D$2:D$801,$W102)))</f>
        <v/>
      </c>
      <c r="E102">
        <f>IF($W102="","",IF(INDEX('Per Invoice'!E$2:E$801,$W102)="","",INDEX('Per Invoice'!E$2:E$801,$W102)))</f>
        <v/>
      </c>
      <c r="F102">
        <f>IF($W102="","",IF(INDEX('Per Invoice'!F$2:F$801,$W102)="","",INDEX('Per Invoice'!F$2:F$801,$W102)))</f>
        <v/>
      </c>
      <c r="G102">
        <f>IF($W102="","",IF(INDEX('Per Invoice'!G$2:G$801,$W102)="","",INDEX('Per Invoice'!G$2:G$801,$W102)))</f>
        <v/>
      </c>
      <c r="H102">
        <f>IF($W102="","",IF(INDEX('Per Invoice'!H$2:H$801,$W102)="","",INDEX('Per Invoice'!H$2:H$801,$W102)))</f>
        <v/>
      </c>
      <c r="I102">
        <f>IF($W102="","",IF(INDEX('Per Invoice'!I$2:I$801,$W102)="","",INDEX('Per Invoice'!I$2:I$801,$W102)))</f>
        <v/>
      </c>
      <c r="J102">
        <f>IF($W102="","",IF(INDEX('Per Invoice'!J$2:J$801,$W102)="","",INDEX('Per Invoice'!J$2:J$801,$W102)))</f>
        <v/>
      </c>
      <c r="K102" s="7">
        <f>IF($W102="","",IF(INDEX('Per Invoice'!K$2:K$801,$W102)="","",INDEX('Per Invoice'!K$2:K$801,$W102)))</f>
        <v/>
      </c>
      <c r="L102" s="14">
        <f>IF($W102="","",IF(INDEX('Per Invoice'!L$2:L$801,$W102)="","",INDEX('Per Invoice'!L$2:L$801,$W102)))</f>
        <v/>
      </c>
      <c r="M102">
        <f>IF($W102="","",IF(INDEX('Per Invoice'!M$2:M$801,$W102)="","",INDEX('Per Invoice'!M$2:M$801,$W102)))</f>
        <v/>
      </c>
      <c r="N102" s="7">
        <f>IF($W102="","",IF(INDEX('Per Invoice'!N$2:N$801,$W102)="","",INDEX('Per Invoice'!N$2:N$801,$W102)))</f>
        <v/>
      </c>
      <c r="O102" s="7">
        <f>IF($W102="","",IF(INDEX('Per Invoice'!O$2:O$801,$W102)="","",INDEX('Per Invoice'!O$2:O$801,$W102)))</f>
        <v/>
      </c>
      <c r="P102">
        <f>IF($W102="","",IF(INDEX('Per Invoice'!P$2:P$801,$W102)="","",INDEX('Per Invoice'!P$2:P$801,$W102)))</f>
        <v/>
      </c>
      <c r="Q102" s="7">
        <f>IF($W102="","",IF(INDEX('Per Invoice'!Q$2:Q$801,$W102)="","",INDEX('Per Invoice'!Q$2:Q$801,$W102)))</f>
        <v/>
      </c>
      <c r="R102" s="7">
        <f>IF($W102="","",IF(INDEX('Per Invoice'!R$2:R$801,$W102)="","",INDEX('Per Invoice'!R$2:R$801,$W102)))</f>
        <v/>
      </c>
      <c r="S102" s="7">
        <f>IF($W102="","",IF(INDEX('Per Invoice'!S$2:S$801,$W102)="","",INDEX('Per Invoice'!S$2:S$801,$W102)))</f>
        <v/>
      </c>
      <c r="T102" s="7">
        <f>IF($W102="","",IF(INDEX('Per Invoice'!T$2:T$801,$W102)="","",INDEX('Per Invoice'!T$2:T$801,$W102)))</f>
        <v/>
      </c>
      <c r="U102" s="7">
        <f>IF($W102="","",IF(INDEX('Per Invoice'!U$2:U$801,$W102)="","",INDEX('Per Invoice'!U$2:U$801,$W102)))</f>
        <v/>
      </c>
      <c r="V102" s="7">
        <f>IF($W102="","",IF(INDEX('Per Invoice'!V$2:V$801,$W102)="","",INDEX('Per Invoice'!V$2:V$801,$W102)))</f>
        <v/>
      </c>
      <c r="W102" s="16">
        <f>IFERROR(MATCH(Settings!$C$31&amp;"|"&amp;ROWS($W$2:$W102),'Per Invoice'!$X$2:$X$801,0),"")</f>
        <v/>
      </c>
    </row>
    <row r="103">
      <c r="A103">
        <f>IF($W103="","",IF(INDEX('Per Invoice'!A$2:A$801,$W103)="","",INDEX('Per Invoice'!A$2:A$801,$W103)))</f>
        <v/>
      </c>
      <c r="B103">
        <f>IF($W103="","",IF(INDEX('Per Invoice'!B$2:B$801,$W103)="","",INDEX('Per Invoice'!B$2:B$801,$W103)))</f>
        <v/>
      </c>
      <c r="C103">
        <f>IF($W103="","",IF(INDEX('Per Invoice'!C$2:C$801,$W103)="","",INDEX('Per Invoice'!C$2:C$801,$W103)))</f>
        <v/>
      </c>
      <c r="D103">
        <f>IF($W103="","",IF(INDEX('Per Invoice'!D$2:D$801,$W103)="","",INDEX('Per Invoice'!D$2:D$801,$W103)))</f>
        <v/>
      </c>
      <c r="E103">
        <f>IF($W103="","",IF(INDEX('Per Invoice'!E$2:E$801,$W103)="","",INDEX('Per Invoice'!E$2:E$801,$W103)))</f>
        <v/>
      </c>
      <c r="F103">
        <f>IF($W103="","",IF(INDEX('Per Invoice'!F$2:F$801,$W103)="","",INDEX('Per Invoice'!F$2:F$801,$W103)))</f>
        <v/>
      </c>
      <c r="G103">
        <f>IF($W103="","",IF(INDEX('Per Invoice'!G$2:G$801,$W103)="","",INDEX('Per Invoice'!G$2:G$801,$W103)))</f>
        <v/>
      </c>
      <c r="H103">
        <f>IF($W103="","",IF(INDEX('Per Invoice'!H$2:H$801,$W103)="","",INDEX('Per Invoice'!H$2:H$801,$W103)))</f>
        <v/>
      </c>
      <c r="I103">
        <f>IF($W103="","",IF(INDEX('Per Invoice'!I$2:I$801,$W103)="","",INDEX('Per Invoice'!I$2:I$801,$W103)))</f>
        <v/>
      </c>
      <c r="J103">
        <f>IF($W103="","",IF(INDEX('Per Invoice'!J$2:J$801,$W103)="","",INDEX('Per Invoice'!J$2:J$801,$W103)))</f>
        <v/>
      </c>
      <c r="K103" s="7">
        <f>IF($W103="","",IF(INDEX('Per Invoice'!K$2:K$801,$W103)="","",INDEX('Per Invoice'!K$2:K$801,$W103)))</f>
        <v/>
      </c>
      <c r="L103" s="14">
        <f>IF($W103="","",IF(INDEX('Per Invoice'!L$2:L$801,$W103)="","",INDEX('Per Invoice'!L$2:L$801,$W103)))</f>
        <v/>
      </c>
      <c r="M103">
        <f>IF($W103="","",IF(INDEX('Per Invoice'!M$2:M$801,$W103)="","",INDEX('Per Invoice'!M$2:M$801,$W103)))</f>
        <v/>
      </c>
      <c r="N103" s="7">
        <f>IF($W103="","",IF(INDEX('Per Invoice'!N$2:N$801,$W103)="","",INDEX('Per Invoice'!N$2:N$801,$W103)))</f>
        <v/>
      </c>
      <c r="O103" s="7">
        <f>IF($W103="","",IF(INDEX('Per Invoice'!O$2:O$801,$W103)="","",INDEX('Per Invoice'!O$2:O$801,$W103)))</f>
        <v/>
      </c>
      <c r="P103">
        <f>IF($W103="","",IF(INDEX('Per Invoice'!P$2:P$801,$W103)="","",INDEX('Per Invoice'!P$2:P$801,$W103)))</f>
        <v/>
      </c>
      <c r="Q103" s="7">
        <f>IF($W103="","",IF(INDEX('Per Invoice'!Q$2:Q$801,$W103)="","",INDEX('Per Invoice'!Q$2:Q$801,$W103)))</f>
        <v/>
      </c>
      <c r="R103" s="7">
        <f>IF($W103="","",IF(INDEX('Per Invoice'!R$2:R$801,$W103)="","",INDEX('Per Invoice'!R$2:R$801,$W103)))</f>
        <v/>
      </c>
      <c r="S103" s="7">
        <f>IF($W103="","",IF(INDEX('Per Invoice'!S$2:S$801,$W103)="","",INDEX('Per Invoice'!S$2:S$801,$W103)))</f>
        <v/>
      </c>
      <c r="T103" s="7">
        <f>IF($W103="","",IF(INDEX('Per Invoice'!T$2:T$801,$W103)="","",INDEX('Per Invoice'!T$2:T$801,$W103)))</f>
        <v/>
      </c>
      <c r="U103" s="7">
        <f>IF($W103="","",IF(INDEX('Per Invoice'!U$2:U$801,$W103)="","",INDEX('Per Invoice'!U$2:U$801,$W103)))</f>
        <v/>
      </c>
      <c r="V103" s="7">
        <f>IF($W103="","",IF(INDEX('Per Invoice'!V$2:V$801,$W103)="","",INDEX('Per Invoice'!V$2:V$801,$W103)))</f>
        <v/>
      </c>
      <c r="W103" s="16">
        <f>IFERROR(MATCH(Settings!$C$31&amp;"|"&amp;ROWS($W$2:$W103),'Per Invoice'!$X$2:$X$801,0),"")</f>
        <v/>
      </c>
    </row>
    <row r="104">
      <c r="A104">
        <f>IF($W104="","",IF(INDEX('Per Invoice'!A$2:A$801,$W104)="","",INDEX('Per Invoice'!A$2:A$801,$W104)))</f>
        <v/>
      </c>
      <c r="B104">
        <f>IF($W104="","",IF(INDEX('Per Invoice'!B$2:B$801,$W104)="","",INDEX('Per Invoice'!B$2:B$801,$W104)))</f>
        <v/>
      </c>
      <c r="C104">
        <f>IF($W104="","",IF(INDEX('Per Invoice'!C$2:C$801,$W104)="","",INDEX('Per Invoice'!C$2:C$801,$W104)))</f>
        <v/>
      </c>
      <c r="D104">
        <f>IF($W104="","",IF(INDEX('Per Invoice'!D$2:D$801,$W104)="","",INDEX('Per Invoice'!D$2:D$801,$W104)))</f>
        <v/>
      </c>
      <c r="E104">
        <f>IF($W104="","",IF(INDEX('Per Invoice'!E$2:E$801,$W104)="","",INDEX('Per Invoice'!E$2:E$801,$W104)))</f>
        <v/>
      </c>
      <c r="F104">
        <f>IF($W104="","",IF(INDEX('Per Invoice'!F$2:F$801,$W104)="","",INDEX('Per Invoice'!F$2:F$801,$W104)))</f>
        <v/>
      </c>
      <c r="G104">
        <f>IF($W104="","",IF(INDEX('Per Invoice'!G$2:G$801,$W104)="","",INDEX('Per Invoice'!G$2:G$801,$W104)))</f>
        <v/>
      </c>
      <c r="H104">
        <f>IF($W104="","",IF(INDEX('Per Invoice'!H$2:H$801,$W104)="","",INDEX('Per Invoice'!H$2:H$801,$W104)))</f>
        <v/>
      </c>
      <c r="I104">
        <f>IF($W104="","",IF(INDEX('Per Invoice'!I$2:I$801,$W104)="","",INDEX('Per Invoice'!I$2:I$801,$W104)))</f>
        <v/>
      </c>
      <c r="J104">
        <f>IF($W104="","",IF(INDEX('Per Invoice'!J$2:J$801,$W104)="","",INDEX('Per Invoice'!J$2:J$801,$W104)))</f>
        <v/>
      </c>
      <c r="K104" s="7">
        <f>IF($W104="","",IF(INDEX('Per Invoice'!K$2:K$801,$W104)="","",INDEX('Per Invoice'!K$2:K$801,$W104)))</f>
        <v/>
      </c>
      <c r="L104" s="14">
        <f>IF($W104="","",IF(INDEX('Per Invoice'!L$2:L$801,$W104)="","",INDEX('Per Invoice'!L$2:L$801,$W104)))</f>
        <v/>
      </c>
      <c r="M104">
        <f>IF($W104="","",IF(INDEX('Per Invoice'!M$2:M$801,$W104)="","",INDEX('Per Invoice'!M$2:M$801,$W104)))</f>
        <v/>
      </c>
      <c r="N104" s="7">
        <f>IF($W104="","",IF(INDEX('Per Invoice'!N$2:N$801,$W104)="","",INDEX('Per Invoice'!N$2:N$801,$W104)))</f>
        <v/>
      </c>
      <c r="O104" s="7">
        <f>IF($W104="","",IF(INDEX('Per Invoice'!O$2:O$801,$W104)="","",INDEX('Per Invoice'!O$2:O$801,$W104)))</f>
        <v/>
      </c>
      <c r="P104">
        <f>IF($W104="","",IF(INDEX('Per Invoice'!P$2:P$801,$W104)="","",INDEX('Per Invoice'!P$2:P$801,$W104)))</f>
        <v/>
      </c>
      <c r="Q104" s="7">
        <f>IF($W104="","",IF(INDEX('Per Invoice'!Q$2:Q$801,$W104)="","",INDEX('Per Invoice'!Q$2:Q$801,$W104)))</f>
        <v/>
      </c>
      <c r="R104" s="7">
        <f>IF($W104="","",IF(INDEX('Per Invoice'!R$2:R$801,$W104)="","",INDEX('Per Invoice'!R$2:R$801,$W104)))</f>
        <v/>
      </c>
      <c r="S104" s="7">
        <f>IF($W104="","",IF(INDEX('Per Invoice'!S$2:S$801,$W104)="","",INDEX('Per Invoice'!S$2:S$801,$W104)))</f>
        <v/>
      </c>
      <c r="T104" s="7">
        <f>IF($W104="","",IF(INDEX('Per Invoice'!T$2:T$801,$W104)="","",INDEX('Per Invoice'!T$2:T$801,$W104)))</f>
        <v/>
      </c>
      <c r="U104" s="7">
        <f>IF($W104="","",IF(INDEX('Per Invoice'!U$2:U$801,$W104)="","",INDEX('Per Invoice'!U$2:U$801,$W104)))</f>
        <v/>
      </c>
      <c r="V104" s="7">
        <f>IF($W104="","",IF(INDEX('Per Invoice'!V$2:V$801,$W104)="","",INDEX('Per Invoice'!V$2:V$801,$W104)))</f>
        <v/>
      </c>
      <c r="W104" s="16">
        <f>IFERROR(MATCH(Settings!$C$31&amp;"|"&amp;ROWS($W$2:$W104),'Per Invoice'!$X$2:$X$801,0),"")</f>
        <v/>
      </c>
    </row>
    <row r="105">
      <c r="A105">
        <f>IF($W105="","",IF(INDEX('Per Invoice'!A$2:A$801,$W105)="","",INDEX('Per Invoice'!A$2:A$801,$W105)))</f>
        <v/>
      </c>
      <c r="B105">
        <f>IF($W105="","",IF(INDEX('Per Invoice'!B$2:B$801,$W105)="","",INDEX('Per Invoice'!B$2:B$801,$W105)))</f>
        <v/>
      </c>
      <c r="C105">
        <f>IF($W105="","",IF(INDEX('Per Invoice'!C$2:C$801,$W105)="","",INDEX('Per Invoice'!C$2:C$801,$W105)))</f>
        <v/>
      </c>
      <c r="D105">
        <f>IF($W105="","",IF(INDEX('Per Invoice'!D$2:D$801,$W105)="","",INDEX('Per Invoice'!D$2:D$801,$W105)))</f>
        <v/>
      </c>
      <c r="E105">
        <f>IF($W105="","",IF(INDEX('Per Invoice'!E$2:E$801,$W105)="","",INDEX('Per Invoice'!E$2:E$801,$W105)))</f>
        <v/>
      </c>
      <c r="F105">
        <f>IF($W105="","",IF(INDEX('Per Invoice'!F$2:F$801,$W105)="","",INDEX('Per Invoice'!F$2:F$801,$W105)))</f>
        <v/>
      </c>
      <c r="G105">
        <f>IF($W105="","",IF(INDEX('Per Invoice'!G$2:G$801,$W105)="","",INDEX('Per Invoice'!G$2:G$801,$W105)))</f>
        <v/>
      </c>
      <c r="H105">
        <f>IF($W105="","",IF(INDEX('Per Invoice'!H$2:H$801,$W105)="","",INDEX('Per Invoice'!H$2:H$801,$W105)))</f>
        <v/>
      </c>
      <c r="I105">
        <f>IF($W105="","",IF(INDEX('Per Invoice'!I$2:I$801,$W105)="","",INDEX('Per Invoice'!I$2:I$801,$W105)))</f>
        <v/>
      </c>
      <c r="J105">
        <f>IF($W105="","",IF(INDEX('Per Invoice'!J$2:J$801,$W105)="","",INDEX('Per Invoice'!J$2:J$801,$W105)))</f>
        <v/>
      </c>
      <c r="K105" s="7">
        <f>IF($W105="","",IF(INDEX('Per Invoice'!K$2:K$801,$W105)="","",INDEX('Per Invoice'!K$2:K$801,$W105)))</f>
        <v/>
      </c>
      <c r="L105" s="14">
        <f>IF($W105="","",IF(INDEX('Per Invoice'!L$2:L$801,$W105)="","",INDEX('Per Invoice'!L$2:L$801,$W105)))</f>
        <v/>
      </c>
      <c r="M105">
        <f>IF($W105="","",IF(INDEX('Per Invoice'!M$2:M$801,$W105)="","",INDEX('Per Invoice'!M$2:M$801,$W105)))</f>
        <v/>
      </c>
      <c r="N105" s="7">
        <f>IF($W105="","",IF(INDEX('Per Invoice'!N$2:N$801,$W105)="","",INDEX('Per Invoice'!N$2:N$801,$W105)))</f>
        <v/>
      </c>
      <c r="O105" s="7">
        <f>IF($W105="","",IF(INDEX('Per Invoice'!O$2:O$801,$W105)="","",INDEX('Per Invoice'!O$2:O$801,$W105)))</f>
        <v/>
      </c>
      <c r="P105">
        <f>IF($W105="","",IF(INDEX('Per Invoice'!P$2:P$801,$W105)="","",INDEX('Per Invoice'!P$2:P$801,$W105)))</f>
        <v/>
      </c>
      <c r="Q105" s="7">
        <f>IF($W105="","",IF(INDEX('Per Invoice'!Q$2:Q$801,$W105)="","",INDEX('Per Invoice'!Q$2:Q$801,$W105)))</f>
        <v/>
      </c>
      <c r="R105" s="7">
        <f>IF($W105="","",IF(INDEX('Per Invoice'!R$2:R$801,$W105)="","",INDEX('Per Invoice'!R$2:R$801,$W105)))</f>
        <v/>
      </c>
      <c r="S105" s="7">
        <f>IF($W105="","",IF(INDEX('Per Invoice'!S$2:S$801,$W105)="","",INDEX('Per Invoice'!S$2:S$801,$W105)))</f>
        <v/>
      </c>
      <c r="T105" s="7">
        <f>IF($W105="","",IF(INDEX('Per Invoice'!T$2:T$801,$W105)="","",INDEX('Per Invoice'!T$2:T$801,$W105)))</f>
        <v/>
      </c>
      <c r="U105" s="7">
        <f>IF($W105="","",IF(INDEX('Per Invoice'!U$2:U$801,$W105)="","",INDEX('Per Invoice'!U$2:U$801,$W105)))</f>
        <v/>
      </c>
      <c r="V105" s="7">
        <f>IF($W105="","",IF(INDEX('Per Invoice'!V$2:V$801,$W105)="","",INDEX('Per Invoice'!V$2:V$801,$W105)))</f>
        <v/>
      </c>
      <c r="W105" s="16">
        <f>IFERROR(MATCH(Settings!$C$31&amp;"|"&amp;ROWS($W$2:$W105),'Per Invoice'!$X$2:$X$801,0),"")</f>
        <v/>
      </c>
    </row>
    <row r="106">
      <c r="A106">
        <f>IF($W106="","",IF(INDEX('Per Invoice'!A$2:A$801,$W106)="","",INDEX('Per Invoice'!A$2:A$801,$W106)))</f>
        <v/>
      </c>
      <c r="B106">
        <f>IF($W106="","",IF(INDEX('Per Invoice'!B$2:B$801,$W106)="","",INDEX('Per Invoice'!B$2:B$801,$W106)))</f>
        <v/>
      </c>
      <c r="C106">
        <f>IF($W106="","",IF(INDEX('Per Invoice'!C$2:C$801,$W106)="","",INDEX('Per Invoice'!C$2:C$801,$W106)))</f>
        <v/>
      </c>
      <c r="D106">
        <f>IF($W106="","",IF(INDEX('Per Invoice'!D$2:D$801,$W106)="","",INDEX('Per Invoice'!D$2:D$801,$W106)))</f>
        <v/>
      </c>
      <c r="E106">
        <f>IF($W106="","",IF(INDEX('Per Invoice'!E$2:E$801,$W106)="","",INDEX('Per Invoice'!E$2:E$801,$W106)))</f>
        <v/>
      </c>
      <c r="F106">
        <f>IF($W106="","",IF(INDEX('Per Invoice'!F$2:F$801,$W106)="","",INDEX('Per Invoice'!F$2:F$801,$W106)))</f>
        <v/>
      </c>
      <c r="G106">
        <f>IF($W106="","",IF(INDEX('Per Invoice'!G$2:G$801,$W106)="","",INDEX('Per Invoice'!G$2:G$801,$W106)))</f>
        <v/>
      </c>
      <c r="H106">
        <f>IF($W106="","",IF(INDEX('Per Invoice'!H$2:H$801,$W106)="","",INDEX('Per Invoice'!H$2:H$801,$W106)))</f>
        <v/>
      </c>
      <c r="I106">
        <f>IF($W106="","",IF(INDEX('Per Invoice'!I$2:I$801,$W106)="","",INDEX('Per Invoice'!I$2:I$801,$W106)))</f>
        <v/>
      </c>
      <c r="J106">
        <f>IF($W106="","",IF(INDEX('Per Invoice'!J$2:J$801,$W106)="","",INDEX('Per Invoice'!J$2:J$801,$W106)))</f>
        <v/>
      </c>
      <c r="K106" s="7">
        <f>IF($W106="","",IF(INDEX('Per Invoice'!K$2:K$801,$W106)="","",INDEX('Per Invoice'!K$2:K$801,$W106)))</f>
        <v/>
      </c>
      <c r="L106" s="14">
        <f>IF($W106="","",IF(INDEX('Per Invoice'!L$2:L$801,$W106)="","",INDEX('Per Invoice'!L$2:L$801,$W106)))</f>
        <v/>
      </c>
      <c r="M106">
        <f>IF($W106="","",IF(INDEX('Per Invoice'!M$2:M$801,$W106)="","",INDEX('Per Invoice'!M$2:M$801,$W106)))</f>
        <v/>
      </c>
      <c r="N106" s="7">
        <f>IF($W106="","",IF(INDEX('Per Invoice'!N$2:N$801,$W106)="","",INDEX('Per Invoice'!N$2:N$801,$W106)))</f>
        <v/>
      </c>
      <c r="O106" s="7">
        <f>IF($W106="","",IF(INDEX('Per Invoice'!O$2:O$801,$W106)="","",INDEX('Per Invoice'!O$2:O$801,$W106)))</f>
        <v/>
      </c>
      <c r="P106">
        <f>IF($W106="","",IF(INDEX('Per Invoice'!P$2:P$801,$W106)="","",INDEX('Per Invoice'!P$2:P$801,$W106)))</f>
        <v/>
      </c>
      <c r="Q106" s="7">
        <f>IF($W106="","",IF(INDEX('Per Invoice'!Q$2:Q$801,$W106)="","",INDEX('Per Invoice'!Q$2:Q$801,$W106)))</f>
        <v/>
      </c>
      <c r="R106" s="7">
        <f>IF($W106="","",IF(INDEX('Per Invoice'!R$2:R$801,$W106)="","",INDEX('Per Invoice'!R$2:R$801,$W106)))</f>
        <v/>
      </c>
      <c r="S106" s="7">
        <f>IF($W106="","",IF(INDEX('Per Invoice'!S$2:S$801,$W106)="","",INDEX('Per Invoice'!S$2:S$801,$W106)))</f>
        <v/>
      </c>
      <c r="T106" s="7">
        <f>IF($W106="","",IF(INDEX('Per Invoice'!T$2:T$801,$W106)="","",INDEX('Per Invoice'!T$2:T$801,$W106)))</f>
        <v/>
      </c>
      <c r="U106" s="7">
        <f>IF($W106="","",IF(INDEX('Per Invoice'!U$2:U$801,$W106)="","",INDEX('Per Invoice'!U$2:U$801,$W106)))</f>
        <v/>
      </c>
      <c r="V106" s="7">
        <f>IF($W106="","",IF(INDEX('Per Invoice'!V$2:V$801,$W106)="","",INDEX('Per Invoice'!V$2:V$801,$W106)))</f>
        <v/>
      </c>
      <c r="W106" s="16">
        <f>IFERROR(MATCH(Settings!$C$31&amp;"|"&amp;ROWS($W$2:$W106),'Per Invoice'!$X$2:$X$801,0),"")</f>
        <v/>
      </c>
    </row>
    <row r="107">
      <c r="A107">
        <f>IF($W107="","",IF(INDEX('Per Invoice'!A$2:A$801,$W107)="","",INDEX('Per Invoice'!A$2:A$801,$W107)))</f>
        <v/>
      </c>
      <c r="B107">
        <f>IF($W107="","",IF(INDEX('Per Invoice'!B$2:B$801,$W107)="","",INDEX('Per Invoice'!B$2:B$801,$W107)))</f>
        <v/>
      </c>
      <c r="C107">
        <f>IF($W107="","",IF(INDEX('Per Invoice'!C$2:C$801,$W107)="","",INDEX('Per Invoice'!C$2:C$801,$W107)))</f>
        <v/>
      </c>
      <c r="D107">
        <f>IF($W107="","",IF(INDEX('Per Invoice'!D$2:D$801,$W107)="","",INDEX('Per Invoice'!D$2:D$801,$W107)))</f>
        <v/>
      </c>
      <c r="E107">
        <f>IF($W107="","",IF(INDEX('Per Invoice'!E$2:E$801,$W107)="","",INDEX('Per Invoice'!E$2:E$801,$W107)))</f>
        <v/>
      </c>
      <c r="F107">
        <f>IF($W107="","",IF(INDEX('Per Invoice'!F$2:F$801,$W107)="","",INDEX('Per Invoice'!F$2:F$801,$W107)))</f>
        <v/>
      </c>
      <c r="G107">
        <f>IF($W107="","",IF(INDEX('Per Invoice'!G$2:G$801,$W107)="","",INDEX('Per Invoice'!G$2:G$801,$W107)))</f>
        <v/>
      </c>
      <c r="H107">
        <f>IF($W107="","",IF(INDEX('Per Invoice'!H$2:H$801,$W107)="","",INDEX('Per Invoice'!H$2:H$801,$W107)))</f>
        <v/>
      </c>
      <c r="I107">
        <f>IF($W107="","",IF(INDEX('Per Invoice'!I$2:I$801,$W107)="","",INDEX('Per Invoice'!I$2:I$801,$W107)))</f>
        <v/>
      </c>
      <c r="J107">
        <f>IF($W107="","",IF(INDEX('Per Invoice'!J$2:J$801,$W107)="","",INDEX('Per Invoice'!J$2:J$801,$W107)))</f>
        <v/>
      </c>
      <c r="K107" s="7">
        <f>IF($W107="","",IF(INDEX('Per Invoice'!K$2:K$801,$W107)="","",INDEX('Per Invoice'!K$2:K$801,$W107)))</f>
        <v/>
      </c>
      <c r="L107" s="14">
        <f>IF($W107="","",IF(INDEX('Per Invoice'!L$2:L$801,$W107)="","",INDEX('Per Invoice'!L$2:L$801,$W107)))</f>
        <v/>
      </c>
      <c r="M107">
        <f>IF($W107="","",IF(INDEX('Per Invoice'!M$2:M$801,$W107)="","",INDEX('Per Invoice'!M$2:M$801,$W107)))</f>
        <v/>
      </c>
      <c r="N107" s="7">
        <f>IF($W107="","",IF(INDEX('Per Invoice'!N$2:N$801,$W107)="","",INDEX('Per Invoice'!N$2:N$801,$W107)))</f>
        <v/>
      </c>
      <c r="O107" s="7">
        <f>IF($W107="","",IF(INDEX('Per Invoice'!O$2:O$801,$W107)="","",INDEX('Per Invoice'!O$2:O$801,$W107)))</f>
        <v/>
      </c>
      <c r="P107">
        <f>IF($W107="","",IF(INDEX('Per Invoice'!P$2:P$801,$W107)="","",INDEX('Per Invoice'!P$2:P$801,$W107)))</f>
        <v/>
      </c>
      <c r="Q107" s="7">
        <f>IF($W107="","",IF(INDEX('Per Invoice'!Q$2:Q$801,$W107)="","",INDEX('Per Invoice'!Q$2:Q$801,$W107)))</f>
        <v/>
      </c>
      <c r="R107" s="7">
        <f>IF($W107="","",IF(INDEX('Per Invoice'!R$2:R$801,$W107)="","",INDEX('Per Invoice'!R$2:R$801,$W107)))</f>
        <v/>
      </c>
      <c r="S107" s="7">
        <f>IF($W107="","",IF(INDEX('Per Invoice'!S$2:S$801,$W107)="","",INDEX('Per Invoice'!S$2:S$801,$W107)))</f>
        <v/>
      </c>
      <c r="T107" s="7">
        <f>IF($W107="","",IF(INDEX('Per Invoice'!T$2:T$801,$W107)="","",INDEX('Per Invoice'!T$2:T$801,$W107)))</f>
        <v/>
      </c>
      <c r="U107" s="7">
        <f>IF($W107="","",IF(INDEX('Per Invoice'!U$2:U$801,$W107)="","",INDEX('Per Invoice'!U$2:U$801,$W107)))</f>
        <v/>
      </c>
      <c r="V107" s="7">
        <f>IF($W107="","",IF(INDEX('Per Invoice'!V$2:V$801,$W107)="","",INDEX('Per Invoice'!V$2:V$801,$W107)))</f>
        <v/>
      </c>
      <c r="W107" s="16">
        <f>IFERROR(MATCH(Settings!$C$31&amp;"|"&amp;ROWS($W$2:$W107),'Per Invoice'!$X$2:$X$801,0),"")</f>
        <v/>
      </c>
    </row>
    <row r="108">
      <c r="A108">
        <f>IF($W108="","",IF(INDEX('Per Invoice'!A$2:A$801,$W108)="","",INDEX('Per Invoice'!A$2:A$801,$W108)))</f>
        <v/>
      </c>
      <c r="B108">
        <f>IF($W108="","",IF(INDEX('Per Invoice'!B$2:B$801,$W108)="","",INDEX('Per Invoice'!B$2:B$801,$W108)))</f>
        <v/>
      </c>
      <c r="C108">
        <f>IF($W108="","",IF(INDEX('Per Invoice'!C$2:C$801,$W108)="","",INDEX('Per Invoice'!C$2:C$801,$W108)))</f>
        <v/>
      </c>
      <c r="D108">
        <f>IF($W108="","",IF(INDEX('Per Invoice'!D$2:D$801,$W108)="","",INDEX('Per Invoice'!D$2:D$801,$W108)))</f>
        <v/>
      </c>
      <c r="E108">
        <f>IF($W108="","",IF(INDEX('Per Invoice'!E$2:E$801,$W108)="","",INDEX('Per Invoice'!E$2:E$801,$W108)))</f>
        <v/>
      </c>
      <c r="F108">
        <f>IF($W108="","",IF(INDEX('Per Invoice'!F$2:F$801,$W108)="","",INDEX('Per Invoice'!F$2:F$801,$W108)))</f>
        <v/>
      </c>
      <c r="G108">
        <f>IF($W108="","",IF(INDEX('Per Invoice'!G$2:G$801,$W108)="","",INDEX('Per Invoice'!G$2:G$801,$W108)))</f>
        <v/>
      </c>
      <c r="H108">
        <f>IF($W108="","",IF(INDEX('Per Invoice'!H$2:H$801,$W108)="","",INDEX('Per Invoice'!H$2:H$801,$W108)))</f>
        <v/>
      </c>
      <c r="I108">
        <f>IF($W108="","",IF(INDEX('Per Invoice'!I$2:I$801,$W108)="","",INDEX('Per Invoice'!I$2:I$801,$W108)))</f>
        <v/>
      </c>
      <c r="J108">
        <f>IF($W108="","",IF(INDEX('Per Invoice'!J$2:J$801,$W108)="","",INDEX('Per Invoice'!J$2:J$801,$W108)))</f>
        <v/>
      </c>
      <c r="K108" s="7">
        <f>IF($W108="","",IF(INDEX('Per Invoice'!K$2:K$801,$W108)="","",INDEX('Per Invoice'!K$2:K$801,$W108)))</f>
        <v/>
      </c>
      <c r="L108" s="14">
        <f>IF($W108="","",IF(INDEX('Per Invoice'!L$2:L$801,$W108)="","",INDEX('Per Invoice'!L$2:L$801,$W108)))</f>
        <v/>
      </c>
      <c r="M108">
        <f>IF($W108="","",IF(INDEX('Per Invoice'!M$2:M$801,$W108)="","",INDEX('Per Invoice'!M$2:M$801,$W108)))</f>
        <v/>
      </c>
      <c r="N108" s="7">
        <f>IF($W108="","",IF(INDEX('Per Invoice'!N$2:N$801,$W108)="","",INDEX('Per Invoice'!N$2:N$801,$W108)))</f>
        <v/>
      </c>
      <c r="O108" s="7">
        <f>IF($W108="","",IF(INDEX('Per Invoice'!O$2:O$801,$W108)="","",INDEX('Per Invoice'!O$2:O$801,$W108)))</f>
        <v/>
      </c>
      <c r="P108">
        <f>IF($W108="","",IF(INDEX('Per Invoice'!P$2:P$801,$W108)="","",INDEX('Per Invoice'!P$2:P$801,$W108)))</f>
        <v/>
      </c>
      <c r="Q108" s="7">
        <f>IF($W108="","",IF(INDEX('Per Invoice'!Q$2:Q$801,$W108)="","",INDEX('Per Invoice'!Q$2:Q$801,$W108)))</f>
        <v/>
      </c>
      <c r="R108" s="7">
        <f>IF($W108="","",IF(INDEX('Per Invoice'!R$2:R$801,$W108)="","",INDEX('Per Invoice'!R$2:R$801,$W108)))</f>
        <v/>
      </c>
      <c r="S108" s="7">
        <f>IF($W108="","",IF(INDEX('Per Invoice'!S$2:S$801,$W108)="","",INDEX('Per Invoice'!S$2:S$801,$W108)))</f>
        <v/>
      </c>
      <c r="T108" s="7">
        <f>IF($W108="","",IF(INDEX('Per Invoice'!T$2:T$801,$W108)="","",INDEX('Per Invoice'!T$2:T$801,$W108)))</f>
        <v/>
      </c>
      <c r="U108" s="7">
        <f>IF($W108="","",IF(INDEX('Per Invoice'!U$2:U$801,$W108)="","",INDEX('Per Invoice'!U$2:U$801,$W108)))</f>
        <v/>
      </c>
      <c r="V108" s="7">
        <f>IF($W108="","",IF(INDEX('Per Invoice'!V$2:V$801,$W108)="","",INDEX('Per Invoice'!V$2:V$801,$W108)))</f>
        <v/>
      </c>
      <c r="W108" s="16">
        <f>IFERROR(MATCH(Settings!$C$31&amp;"|"&amp;ROWS($W$2:$W108),'Per Invoice'!$X$2:$X$801,0),"")</f>
        <v/>
      </c>
    </row>
    <row r="109">
      <c r="A109">
        <f>IF($W109="","",IF(INDEX('Per Invoice'!A$2:A$801,$W109)="","",INDEX('Per Invoice'!A$2:A$801,$W109)))</f>
        <v/>
      </c>
      <c r="B109">
        <f>IF($W109="","",IF(INDEX('Per Invoice'!B$2:B$801,$W109)="","",INDEX('Per Invoice'!B$2:B$801,$W109)))</f>
        <v/>
      </c>
      <c r="C109">
        <f>IF($W109="","",IF(INDEX('Per Invoice'!C$2:C$801,$W109)="","",INDEX('Per Invoice'!C$2:C$801,$W109)))</f>
        <v/>
      </c>
      <c r="D109">
        <f>IF($W109="","",IF(INDEX('Per Invoice'!D$2:D$801,$W109)="","",INDEX('Per Invoice'!D$2:D$801,$W109)))</f>
        <v/>
      </c>
      <c r="E109">
        <f>IF($W109="","",IF(INDEX('Per Invoice'!E$2:E$801,$W109)="","",INDEX('Per Invoice'!E$2:E$801,$W109)))</f>
        <v/>
      </c>
      <c r="F109">
        <f>IF($W109="","",IF(INDEX('Per Invoice'!F$2:F$801,$W109)="","",INDEX('Per Invoice'!F$2:F$801,$W109)))</f>
        <v/>
      </c>
      <c r="G109">
        <f>IF($W109="","",IF(INDEX('Per Invoice'!G$2:G$801,$W109)="","",INDEX('Per Invoice'!G$2:G$801,$W109)))</f>
        <v/>
      </c>
      <c r="H109">
        <f>IF($W109="","",IF(INDEX('Per Invoice'!H$2:H$801,$W109)="","",INDEX('Per Invoice'!H$2:H$801,$W109)))</f>
        <v/>
      </c>
      <c r="I109">
        <f>IF($W109="","",IF(INDEX('Per Invoice'!I$2:I$801,$W109)="","",INDEX('Per Invoice'!I$2:I$801,$W109)))</f>
        <v/>
      </c>
      <c r="J109">
        <f>IF($W109="","",IF(INDEX('Per Invoice'!J$2:J$801,$W109)="","",INDEX('Per Invoice'!J$2:J$801,$W109)))</f>
        <v/>
      </c>
      <c r="K109" s="7">
        <f>IF($W109="","",IF(INDEX('Per Invoice'!K$2:K$801,$W109)="","",INDEX('Per Invoice'!K$2:K$801,$W109)))</f>
        <v/>
      </c>
      <c r="L109" s="14">
        <f>IF($W109="","",IF(INDEX('Per Invoice'!L$2:L$801,$W109)="","",INDEX('Per Invoice'!L$2:L$801,$W109)))</f>
        <v/>
      </c>
      <c r="M109">
        <f>IF($W109="","",IF(INDEX('Per Invoice'!M$2:M$801,$W109)="","",INDEX('Per Invoice'!M$2:M$801,$W109)))</f>
        <v/>
      </c>
      <c r="N109" s="7">
        <f>IF($W109="","",IF(INDEX('Per Invoice'!N$2:N$801,$W109)="","",INDEX('Per Invoice'!N$2:N$801,$W109)))</f>
        <v/>
      </c>
      <c r="O109" s="7">
        <f>IF($W109="","",IF(INDEX('Per Invoice'!O$2:O$801,$W109)="","",INDEX('Per Invoice'!O$2:O$801,$W109)))</f>
        <v/>
      </c>
      <c r="P109">
        <f>IF($W109="","",IF(INDEX('Per Invoice'!P$2:P$801,$W109)="","",INDEX('Per Invoice'!P$2:P$801,$W109)))</f>
        <v/>
      </c>
      <c r="Q109" s="7">
        <f>IF($W109="","",IF(INDEX('Per Invoice'!Q$2:Q$801,$W109)="","",INDEX('Per Invoice'!Q$2:Q$801,$W109)))</f>
        <v/>
      </c>
      <c r="R109" s="7">
        <f>IF($W109="","",IF(INDEX('Per Invoice'!R$2:R$801,$W109)="","",INDEX('Per Invoice'!R$2:R$801,$W109)))</f>
        <v/>
      </c>
      <c r="S109" s="7">
        <f>IF($W109="","",IF(INDEX('Per Invoice'!S$2:S$801,$W109)="","",INDEX('Per Invoice'!S$2:S$801,$W109)))</f>
        <v/>
      </c>
      <c r="T109" s="7">
        <f>IF($W109="","",IF(INDEX('Per Invoice'!T$2:T$801,$W109)="","",INDEX('Per Invoice'!T$2:T$801,$W109)))</f>
        <v/>
      </c>
      <c r="U109" s="7">
        <f>IF($W109="","",IF(INDEX('Per Invoice'!U$2:U$801,$W109)="","",INDEX('Per Invoice'!U$2:U$801,$W109)))</f>
        <v/>
      </c>
      <c r="V109" s="7">
        <f>IF($W109="","",IF(INDEX('Per Invoice'!V$2:V$801,$W109)="","",INDEX('Per Invoice'!V$2:V$801,$W109)))</f>
        <v/>
      </c>
      <c r="W109" s="16">
        <f>IFERROR(MATCH(Settings!$C$31&amp;"|"&amp;ROWS($W$2:$W109),'Per Invoice'!$X$2:$X$801,0),"")</f>
        <v/>
      </c>
    </row>
    <row r="110">
      <c r="A110">
        <f>IF($W110="","",IF(INDEX('Per Invoice'!A$2:A$801,$W110)="","",INDEX('Per Invoice'!A$2:A$801,$W110)))</f>
        <v/>
      </c>
      <c r="B110">
        <f>IF($W110="","",IF(INDEX('Per Invoice'!B$2:B$801,$W110)="","",INDEX('Per Invoice'!B$2:B$801,$W110)))</f>
        <v/>
      </c>
      <c r="C110">
        <f>IF($W110="","",IF(INDEX('Per Invoice'!C$2:C$801,$W110)="","",INDEX('Per Invoice'!C$2:C$801,$W110)))</f>
        <v/>
      </c>
      <c r="D110">
        <f>IF($W110="","",IF(INDEX('Per Invoice'!D$2:D$801,$W110)="","",INDEX('Per Invoice'!D$2:D$801,$W110)))</f>
        <v/>
      </c>
      <c r="E110">
        <f>IF($W110="","",IF(INDEX('Per Invoice'!E$2:E$801,$W110)="","",INDEX('Per Invoice'!E$2:E$801,$W110)))</f>
        <v/>
      </c>
      <c r="F110">
        <f>IF($W110="","",IF(INDEX('Per Invoice'!F$2:F$801,$W110)="","",INDEX('Per Invoice'!F$2:F$801,$W110)))</f>
        <v/>
      </c>
      <c r="G110">
        <f>IF($W110="","",IF(INDEX('Per Invoice'!G$2:G$801,$W110)="","",INDEX('Per Invoice'!G$2:G$801,$W110)))</f>
        <v/>
      </c>
      <c r="H110">
        <f>IF($W110="","",IF(INDEX('Per Invoice'!H$2:H$801,$W110)="","",INDEX('Per Invoice'!H$2:H$801,$W110)))</f>
        <v/>
      </c>
      <c r="I110">
        <f>IF($W110="","",IF(INDEX('Per Invoice'!I$2:I$801,$W110)="","",INDEX('Per Invoice'!I$2:I$801,$W110)))</f>
        <v/>
      </c>
      <c r="J110">
        <f>IF($W110="","",IF(INDEX('Per Invoice'!J$2:J$801,$W110)="","",INDEX('Per Invoice'!J$2:J$801,$W110)))</f>
        <v/>
      </c>
      <c r="K110" s="7">
        <f>IF($W110="","",IF(INDEX('Per Invoice'!K$2:K$801,$W110)="","",INDEX('Per Invoice'!K$2:K$801,$W110)))</f>
        <v/>
      </c>
      <c r="L110" s="14">
        <f>IF($W110="","",IF(INDEX('Per Invoice'!L$2:L$801,$W110)="","",INDEX('Per Invoice'!L$2:L$801,$W110)))</f>
        <v/>
      </c>
      <c r="M110">
        <f>IF($W110="","",IF(INDEX('Per Invoice'!M$2:M$801,$W110)="","",INDEX('Per Invoice'!M$2:M$801,$W110)))</f>
        <v/>
      </c>
      <c r="N110" s="7">
        <f>IF($W110="","",IF(INDEX('Per Invoice'!N$2:N$801,$W110)="","",INDEX('Per Invoice'!N$2:N$801,$W110)))</f>
        <v/>
      </c>
      <c r="O110" s="7">
        <f>IF($W110="","",IF(INDEX('Per Invoice'!O$2:O$801,$W110)="","",INDEX('Per Invoice'!O$2:O$801,$W110)))</f>
        <v/>
      </c>
      <c r="P110">
        <f>IF($W110="","",IF(INDEX('Per Invoice'!P$2:P$801,$W110)="","",INDEX('Per Invoice'!P$2:P$801,$W110)))</f>
        <v/>
      </c>
      <c r="Q110" s="7">
        <f>IF($W110="","",IF(INDEX('Per Invoice'!Q$2:Q$801,$W110)="","",INDEX('Per Invoice'!Q$2:Q$801,$W110)))</f>
        <v/>
      </c>
      <c r="R110" s="7">
        <f>IF($W110="","",IF(INDEX('Per Invoice'!R$2:R$801,$W110)="","",INDEX('Per Invoice'!R$2:R$801,$W110)))</f>
        <v/>
      </c>
      <c r="S110" s="7">
        <f>IF($W110="","",IF(INDEX('Per Invoice'!S$2:S$801,$W110)="","",INDEX('Per Invoice'!S$2:S$801,$W110)))</f>
        <v/>
      </c>
      <c r="T110" s="7">
        <f>IF($W110="","",IF(INDEX('Per Invoice'!T$2:T$801,$W110)="","",INDEX('Per Invoice'!T$2:T$801,$W110)))</f>
        <v/>
      </c>
      <c r="U110" s="7">
        <f>IF($W110="","",IF(INDEX('Per Invoice'!U$2:U$801,$W110)="","",INDEX('Per Invoice'!U$2:U$801,$W110)))</f>
        <v/>
      </c>
      <c r="V110" s="7">
        <f>IF($W110="","",IF(INDEX('Per Invoice'!V$2:V$801,$W110)="","",INDEX('Per Invoice'!V$2:V$801,$W110)))</f>
        <v/>
      </c>
      <c r="W110" s="16">
        <f>IFERROR(MATCH(Settings!$C$31&amp;"|"&amp;ROWS($W$2:$W110),'Per Invoice'!$X$2:$X$801,0),"")</f>
        <v/>
      </c>
    </row>
    <row r="111">
      <c r="A111">
        <f>IF($W111="","",IF(INDEX('Per Invoice'!A$2:A$801,$W111)="","",INDEX('Per Invoice'!A$2:A$801,$W111)))</f>
        <v/>
      </c>
      <c r="B111">
        <f>IF($W111="","",IF(INDEX('Per Invoice'!B$2:B$801,$W111)="","",INDEX('Per Invoice'!B$2:B$801,$W111)))</f>
        <v/>
      </c>
      <c r="C111">
        <f>IF($W111="","",IF(INDEX('Per Invoice'!C$2:C$801,$W111)="","",INDEX('Per Invoice'!C$2:C$801,$W111)))</f>
        <v/>
      </c>
      <c r="D111">
        <f>IF($W111="","",IF(INDEX('Per Invoice'!D$2:D$801,$W111)="","",INDEX('Per Invoice'!D$2:D$801,$W111)))</f>
        <v/>
      </c>
      <c r="E111">
        <f>IF($W111="","",IF(INDEX('Per Invoice'!E$2:E$801,$W111)="","",INDEX('Per Invoice'!E$2:E$801,$W111)))</f>
        <v/>
      </c>
      <c r="F111">
        <f>IF($W111="","",IF(INDEX('Per Invoice'!F$2:F$801,$W111)="","",INDEX('Per Invoice'!F$2:F$801,$W111)))</f>
        <v/>
      </c>
      <c r="G111">
        <f>IF($W111="","",IF(INDEX('Per Invoice'!G$2:G$801,$W111)="","",INDEX('Per Invoice'!G$2:G$801,$W111)))</f>
        <v/>
      </c>
      <c r="H111">
        <f>IF($W111="","",IF(INDEX('Per Invoice'!H$2:H$801,$W111)="","",INDEX('Per Invoice'!H$2:H$801,$W111)))</f>
        <v/>
      </c>
      <c r="I111">
        <f>IF($W111="","",IF(INDEX('Per Invoice'!I$2:I$801,$W111)="","",INDEX('Per Invoice'!I$2:I$801,$W111)))</f>
        <v/>
      </c>
      <c r="J111">
        <f>IF($W111="","",IF(INDEX('Per Invoice'!J$2:J$801,$W111)="","",INDEX('Per Invoice'!J$2:J$801,$W111)))</f>
        <v/>
      </c>
      <c r="K111" s="7">
        <f>IF($W111="","",IF(INDEX('Per Invoice'!K$2:K$801,$W111)="","",INDEX('Per Invoice'!K$2:K$801,$W111)))</f>
        <v/>
      </c>
      <c r="L111" s="14">
        <f>IF($W111="","",IF(INDEX('Per Invoice'!L$2:L$801,$W111)="","",INDEX('Per Invoice'!L$2:L$801,$W111)))</f>
        <v/>
      </c>
      <c r="M111">
        <f>IF($W111="","",IF(INDEX('Per Invoice'!M$2:M$801,$W111)="","",INDEX('Per Invoice'!M$2:M$801,$W111)))</f>
        <v/>
      </c>
      <c r="N111" s="7">
        <f>IF($W111="","",IF(INDEX('Per Invoice'!N$2:N$801,$W111)="","",INDEX('Per Invoice'!N$2:N$801,$W111)))</f>
        <v/>
      </c>
      <c r="O111" s="7">
        <f>IF($W111="","",IF(INDEX('Per Invoice'!O$2:O$801,$W111)="","",INDEX('Per Invoice'!O$2:O$801,$W111)))</f>
        <v/>
      </c>
      <c r="P111">
        <f>IF($W111="","",IF(INDEX('Per Invoice'!P$2:P$801,$W111)="","",INDEX('Per Invoice'!P$2:P$801,$W111)))</f>
        <v/>
      </c>
      <c r="Q111" s="7">
        <f>IF($W111="","",IF(INDEX('Per Invoice'!Q$2:Q$801,$W111)="","",INDEX('Per Invoice'!Q$2:Q$801,$W111)))</f>
        <v/>
      </c>
      <c r="R111" s="7">
        <f>IF($W111="","",IF(INDEX('Per Invoice'!R$2:R$801,$W111)="","",INDEX('Per Invoice'!R$2:R$801,$W111)))</f>
        <v/>
      </c>
      <c r="S111" s="7">
        <f>IF($W111="","",IF(INDEX('Per Invoice'!S$2:S$801,$W111)="","",INDEX('Per Invoice'!S$2:S$801,$W111)))</f>
        <v/>
      </c>
      <c r="T111" s="7">
        <f>IF($W111="","",IF(INDEX('Per Invoice'!T$2:T$801,$W111)="","",INDEX('Per Invoice'!T$2:T$801,$W111)))</f>
        <v/>
      </c>
      <c r="U111" s="7">
        <f>IF($W111="","",IF(INDEX('Per Invoice'!U$2:U$801,$W111)="","",INDEX('Per Invoice'!U$2:U$801,$W111)))</f>
        <v/>
      </c>
      <c r="V111" s="7">
        <f>IF($W111="","",IF(INDEX('Per Invoice'!V$2:V$801,$W111)="","",INDEX('Per Invoice'!V$2:V$801,$W111)))</f>
        <v/>
      </c>
      <c r="W111" s="16">
        <f>IFERROR(MATCH(Settings!$C$31&amp;"|"&amp;ROWS($W$2:$W111),'Per Invoice'!$X$2:$X$801,0),"")</f>
        <v/>
      </c>
    </row>
    <row r="112">
      <c r="A112">
        <f>IF($W112="","",IF(INDEX('Per Invoice'!A$2:A$801,$W112)="","",INDEX('Per Invoice'!A$2:A$801,$W112)))</f>
        <v/>
      </c>
      <c r="B112">
        <f>IF($W112="","",IF(INDEX('Per Invoice'!B$2:B$801,$W112)="","",INDEX('Per Invoice'!B$2:B$801,$W112)))</f>
        <v/>
      </c>
      <c r="C112">
        <f>IF($W112="","",IF(INDEX('Per Invoice'!C$2:C$801,$W112)="","",INDEX('Per Invoice'!C$2:C$801,$W112)))</f>
        <v/>
      </c>
      <c r="D112">
        <f>IF($W112="","",IF(INDEX('Per Invoice'!D$2:D$801,$W112)="","",INDEX('Per Invoice'!D$2:D$801,$W112)))</f>
        <v/>
      </c>
      <c r="E112">
        <f>IF($W112="","",IF(INDEX('Per Invoice'!E$2:E$801,$W112)="","",INDEX('Per Invoice'!E$2:E$801,$W112)))</f>
        <v/>
      </c>
      <c r="F112">
        <f>IF($W112="","",IF(INDEX('Per Invoice'!F$2:F$801,$W112)="","",INDEX('Per Invoice'!F$2:F$801,$W112)))</f>
        <v/>
      </c>
      <c r="G112">
        <f>IF($W112="","",IF(INDEX('Per Invoice'!G$2:G$801,$W112)="","",INDEX('Per Invoice'!G$2:G$801,$W112)))</f>
        <v/>
      </c>
      <c r="H112">
        <f>IF($W112="","",IF(INDEX('Per Invoice'!H$2:H$801,$W112)="","",INDEX('Per Invoice'!H$2:H$801,$W112)))</f>
        <v/>
      </c>
      <c r="I112">
        <f>IF($W112="","",IF(INDEX('Per Invoice'!I$2:I$801,$W112)="","",INDEX('Per Invoice'!I$2:I$801,$W112)))</f>
        <v/>
      </c>
      <c r="J112">
        <f>IF($W112="","",IF(INDEX('Per Invoice'!J$2:J$801,$W112)="","",INDEX('Per Invoice'!J$2:J$801,$W112)))</f>
        <v/>
      </c>
      <c r="K112" s="7">
        <f>IF($W112="","",IF(INDEX('Per Invoice'!K$2:K$801,$W112)="","",INDEX('Per Invoice'!K$2:K$801,$W112)))</f>
        <v/>
      </c>
      <c r="L112" s="14">
        <f>IF($W112="","",IF(INDEX('Per Invoice'!L$2:L$801,$W112)="","",INDEX('Per Invoice'!L$2:L$801,$W112)))</f>
        <v/>
      </c>
      <c r="M112">
        <f>IF($W112="","",IF(INDEX('Per Invoice'!M$2:M$801,$W112)="","",INDEX('Per Invoice'!M$2:M$801,$W112)))</f>
        <v/>
      </c>
      <c r="N112" s="7">
        <f>IF($W112="","",IF(INDEX('Per Invoice'!N$2:N$801,$W112)="","",INDEX('Per Invoice'!N$2:N$801,$W112)))</f>
        <v/>
      </c>
      <c r="O112" s="7">
        <f>IF($W112="","",IF(INDEX('Per Invoice'!O$2:O$801,$W112)="","",INDEX('Per Invoice'!O$2:O$801,$W112)))</f>
        <v/>
      </c>
      <c r="P112">
        <f>IF($W112="","",IF(INDEX('Per Invoice'!P$2:P$801,$W112)="","",INDEX('Per Invoice'!P$2:P$801,$W112)))</f>
        <v/>
      </c>
      <c r="Q112" s="7">
        <f>IF($W112="","",IF(INDEX('Per Invoice'!Q$2:Q$801,$W112)="","",INDEX('Per Invoice'!Q$2:Q$801,$W112)))</f>
        <v/>
      </c>
      <c r="R112" s="7">
        <f>IF($W112="","",IF(INDEX('Per Invoice'!R$2:R$801,$W112)="","",INDEX('Per Invoice'!R$2:R$801,$W112)))</f>
        <v/>
      </c>
      <c r="S112" s="7">
        <f>IF($W112="","",IF(INDEX('Per Invoice'!S$2:S$801,$W112)="","",INDEX('Per Invoice'!S$2:S$801,$W112)))</f>
        <v/>
      </c>
      <c r="T112" s="7">
        <f>IF($W112="","",IF(INDEX('Per Invoice'!T$2:T$801,$W112)="","",INDEX('Per Invoice'!T$2:T$801,$W112)))</f>
        <v/>
      </c>
      <c r="U112" s="7">
        <f>IF($W112="","",IF(INDEX('Per Invoice'!U$2:U$801,$W112)="","",INDEX('Per Invoice'!U$2:U$801,$W112)))</f>
        <v/>
      </c>
      <c r="V112" s="7">
        <f>IF($W112="","",IF(INDEX('Per Invoice'!V$2:V$801,$W112)="","",INDEX('Per Invoice'!V$2:V$801,$W112)))</f>
        <v/>
      </c>
      <c r="W112" s="16">
        <f>IFERROR(MATCH(Settings!$C$31&amp;"|"&amp;ROWS($W$2:$W112),'Per Invoice'!$X$2:$X$801,0),"")</f>
        <v/>
      </c>
    </row>
    <row r="113">
      <c r="A113">
        <f>IF($W113="","",IF(INDEX('Per Invoice'!A$2:A$801,$W113)="","",INDEX('Per Invoice'!A$2:A$801,$W113)))</f>
        <v/>
      </c>
      <c r="B113">
        <f>IF($W113="","",IF(INDEX('Per Invoice'!B$2:B$801,$W113)="","",INDEX('Per Invoice'!B$2:B$801,$W113)))</f>
        <v/>
      </c>
      <c r="C113">
        <f>IF($W113="","",IF(INDEX('Per Invoice'!C$2:C$801,$W113)="","",INDEX('Per Invoice'!C$2:C$801,$W113)))</f>
        <v/>
      </c>
      <c r="D113">
        <f>IF($W113="","",IF(INDEX('Per Invoice'!D$2:D$801,$W113)="","",INDEX('Per Invoice'!D$2:D$801,$W113)))</f>
        <v/>
      </c>
      <c r="E113">
        <f>IF($W113="","",IF(INDEX('Per Invoice'!E$2:E$801,$W113)="","",INDEX('Per Invoice'!E$2:E$801,$W113)))</f>
        <v/>
      </c>
      <c r="F113">
        <f>IF($W113="","",IF(INDEX('Per Invoice'!F$2:F$801,$W113)="","",INDEX('Per Invoice'!F$2:F$801,$W113)))</f>
        <v/>
      </c>
      <c r="G113">
        <f>IF($W113="","",IF(INDEX('Per Invoice'!G$2:G$801,$W113)="","",INDEX('Per Invoice'!G$2:G$801,$W113)))</f>
        <v/>
      </c>
      <c r="H113">
        <f>IF($W113="","",IF(INDEX('Per Invoice'!H$2:H$801,$W113)="","",INDEX('Per Invoice'!H$2:H$801,$W113)))</f>
        <v/>
      </c>
      <c r="I113">
        <f>IF($W113="","",IF(INDEX('Per Invoice'!I$2:I$801,$W113)="","",INDEX('Per Invoice'!I$2:I$801,$W113)))</f>
        <v/>
      </c>
      <c r="J113">
        <f>IF($W113="","",IF(INDEX('Per Invoice'!J$2:J$801,$W113)="","",INDEX('Per Invoice'!J$2:J$801,$W113)))</f>
        <v/>
      </c>
      <c r="K113" s="7">
        <f>IF($W113="","",IF(INDEX('Per Invoice'!K$2:K$801,$W113)="","",INDEX('Per Invoice'!K$2:K$801,$W113)))</f>
        <v/>
      </c>
      <c r="L113" s="14">
        <f>IF($W113="","",IF(INDEX('Per Invoice'!L$2:L$801,$W113)="","",INDEX('Per Invoice'!L$2:L$801,$W113)))</f>
        <v/>
      </c>
      <c r="M113">
        <f>IF($W113="","",IF(INDEX('Per Invoice'!M$2:M$801,$W113)="","",INDEX('Per Invoice'!M$2:M$801,$W113)))</f>
        <v/>
      </c>
      <c r="N113" s="7">
        <f>IF($W113="","",IF(INDEX('Per Invoice'!N$2:N$801,$W113)="","",INDEX('Per Invoice'!N$2:N$801,$W113)))</f>
        <v/>
      </c>
      <c r="O113" s="7">
        <f>IF($W113="","",IF(INDEX('Per Invoice'!O$2:O$801,$W113)="","",INDEX('Per Invoice'!O$2:O$801,$W113)))</f>
        <v/>
      </c>
      <c r="P113">
        <f>IF($W113="","",IF(INDEX('Per Invoice'!P$2:P$801,$W113)="","",INDEX('Per Invoice'!P$2:P$801,$W113)))</f>
        <v/>
      </c>
      <c r="Q113" s="7">
        <f>IF($W113="","",IF(INDEX('Per Invoice'!Q$2:Q$801,$W113)="","",INDEX('Per Invoice'!Q$2:Q$801,$W113)))</f>
        <v/>
      </c>
      <c r="R113" s="7">
        <f>IF($W113="","",IF(INDEX('Per Invoice'!R$2:R$801,$W113)="","",INDEX('Per Invoice'!R$2:R$801,$W113)))</f>
        <v/>
      </c>
      <c r="S113" s="7">
        <f>IF($W113="","",IF(INDEX('Per Invoice'!S$2:S$801,$W113)="","",INDEX('Per Invoice'!S$2:S$801,$W113)))</f>
        <v/>
      </c>
      <c r="T113" s="7">
        <f>IF($W113="","",IF(INDEX('Per Invoice'!T$2:T$801,$W113)="","",INDEX('Per Invoice'!T$2:T$801,$W113)))</f>
        <v/>
      </c>
      <c r="U113" s="7">
        <f>IF($W113="","",IF(INDEX('Per Invoice'!U$2:U$801,$W113)="","",INDEX('Per Invoice'!U$2:U$801,$W113)))</f>
        <v/>
      </c>
      <c r="V113" s="7">
        <f>IF($W113="","",IF(INDEX('Per Invoice'!V$2:V$801,$W113)="","",INDEX('Per Invoice'!V$2:V$801,$W113)))</f>
        <v/>
      </c>
      <c r="W113" s="16">
        <f>IFERROR(MATCH(Settings!$C$31&amp;"|"&amp;ROWS($W$2:$W113),'Per Invoice'!$X$2:$X$801,0),"")</f>
        <v/>
      </c>
    </row>
    <row r="114">
      <c r="A114">
        <f>IF($W114="","",IF(INDEX('Per Invoice'!A$2:A$801,$W114)="","",INDEX('Per Invoice'!A$2:A$801,$W114)))</f>
        <v/>
      </c>
      <c r="B114">
        <f>IF($W114="","",IF(INDEX('Per Invoice'!B$2:B$801,$W114)="","",INDEX('Per Invoice'!B$2:B$801,$W114)))</f>
        <v/>
      </c>
      <c r="C114">
        <f>IF($W114="","",IF(INDEX('Per Invoice'!C$2:C$801,$W114)="","",INDEX('Per Invoice'!C$2:C$801,$W114)))</f>
        <v/>
      </c>
      <c r="D114">
        <f>IF($W114="","",IF(INDEX('Per Invoice'!D$2:D$801,$W114)="","",INDEX('Per Invoice'!D$2:D$801,$W114)))</f>
        <v/>
      </c>
      <c r="E114">
        <f>IF($W114="","",IF(INDEX('Per Invoice'!E$2:E$801,$W114)="","",INDEX('Per Invoice'!E$2:E$801,$W114)))</f>
        <v/>
      </c>
      <c r="F114">
        <f>IF($W114="","",IF(INDEX('Per Invoice'!F$2:F$801,$W114)="","",INDEX('Per Invoice'!F$2:F$801,$W114)))</f>
        <v/>
      </c>
      <c r="G114">
        <f>IF($W114="","",IF(INDEX('Per Invoice'!G$2:G$801,$W114)="","",INDEX('Per Invoice'!G$2:G$801,$W114)))</f>
        <v/>
      </c>
      <c r="H114">
        <f>IF($W114="","",IF(INDEX('Per Invoice'!H$2:H$801,$W114)="","",INDEX('Per Invoice'!H$2:H$801,$W114)))</f>
        <v/>
      </c>
      <c r="I114">
        <f>IF($W114="","",IF(INDEX('Per Invoice'!I$2:I$801,$W114)="","",INDEX('Per Invoice'!I$2:I$801,$W114)))</f>
        <v/>
      </c>
      <c r="J114">
        <f>IF($W114="","",IF(INDEX('Per Invoice'!J$2:J$801,$W114)="","",INDEX('Per Invoice'!J$2:J$801,$W114)))</f>
        <v/>
      </c>
      <c r="K114" s="7">
        <f>IF($W114="","",IF(INDEX('Per Invoice'!K$2:K$801,$W114)="","",INDEX('Per Invoice'!K$2:K$801,$W114)))</f>
        <v/>
      </c>
      <c r="L114" s="14">
        <f>IF($W114="","",IF(INDEX('Per Invoice'!L$2:L$801,$W114)="","",INDEX('Per Invoice'!L$2:L$801,$W114)))</f>
        <v/>
      </c>
      <c r="M114">
        <f>IF($W114="","",IF(INDEX('Per Invoice'!M$2:M$801,$W114)="","",INDEX('Per Invoice'!M$2:M$801,$W114)))</f>
        <v/>
      </c>
      <c r="N114" s="7">
        <f>IF($W114="","",IF(INDEX('Per Invoice'!N$2:N$801,$W114)="","",INDEX('Per Invoice'!N$2:N$801,$W114)))</f>
        <v/>
      </c>
      <c r="O114" s="7">
        <f>IF($W114="","",IF(INDEX('Per Invoice'!O$2:O$801,$W114)="","",INDEX('Per Invoice'!O$2:O$801,$W114)))</f>
        <v/>
      </c>
      <c r="P114">
        <f>IF($W114="","",IF(INDEX('Per Invoice'!P$2:P$801,$W114)="","",INDEX('Per Invoice'!P$2:P$801,$W114)))</f>
        <v/>
      </c>
      <c r="Q114" s="7">
        <f>IF($W114="","",IF(INDEX('Per Invoice'!Q$2:Q$801,$W114)="","",INDEX('Per Invoice'!Q$2:Q$801,$W114)))</f>
        <v/>
      </c>
      <c r="R114" s="7">
        <f>IF($W114="","",IF(INDEX('Per Invoice'!R$2:R$801,$W114)="","",INDEX('Per Invoice'!R$2:R$801,$W114)))</f>
        <v/>
      </c>
      <c r="S114" s="7">
        <f>IF($W114="","",IF(INDEX('Per Invoice'!S$2:S$801,$W114)="","",INDEX('Per Invoice'!S$2:S$801,$W114)))</f>
        <v/>
      </c>
      <c r="T114" s="7">
        <f>IF($W114="","",IF(INDEX('Per Invoice'!T$2:T$801,$W114)="","",INDEX('Per Invoice'!T$2:T$801,$W114)))</f>
        <v/>
      </c>
      <c r="U114" s="7">
        <f>IF($W114="","",IF(INDEX('Per Invoice'!U$2:U$801,$W114)="","",INDEX('Per Invoice'!U$2:U$801,$W114)))</f>
        <v/>
      </c>
      <c r="V114" s="7">
        <f>IF($W114="","",IF(INDEX('Per Invoice'!V$2:V$801,$W114)="","",INDEX('Per Invoice'!V$2:V$801,$W114)))</f>
        <v/>
      </c>
      <c r="W114" s="16">
        <f>IFERROR(MATCH(Settings!$C$31&amp;"|"&amp;ROWS($W$2:$W114),'Per Invoice'!$X$2:$X$801,0),"")</f>
        <v/>
      </c>
    </row>
    <row r="115">
      <c r="A115">
        <f>IF($W115="","",IF(INDEX('Per Invoice'!A$2:A$801,$W115)="","",INDEX('Per Invoice'!A$2:A$801,$W115)))</f>
        <v/>
      </c>
      <c r="B115">
        <f>IF($W115="","",IF(INDEX('Per Invoice'!B$2:B$801,$W115)="","",INDEX('Per Invoice'!B$2:B$801,$W115)))</f>
        <v/>
      </c>
      <c r="C115">
        <f>IF($W115="","",IF(INDEX('Per Invoice'!C$2:C$801,$W115)="","",INDEX('Per Invoice'!C$2:C$801,$W115)))</f>
        <v/>
      </c>
      <c r="D115">
        <f>IF($W115="","",IF(INDEX('Per Invoice'!D$2:D$801,$W115)="","",INDEX('Per Invoice'!D$2:D$801,$W115)))</f>
        <v/>
      </c>
      <c r="E115">
        <f>IF($W115="","",IF(INDEX('Per Invoice'!E$2:E$801,$W115)="","",INDEX('Per Invoice'!E$2:E$801,$W115)))</f>
        <v/>
      </c>
      <c r="F115">
        <f>IF($W115="","",IF(INDEX('Per Invoice'!F$2:F$801,$W115)="","",INDEX('Per Invoice'!F$2:F$801,$W115)))</f>
        <v/>
      </c>
      <c r="G115">
        <f>IF($W115="","",IF(INDEX('Per Invoice'!G$2:G$801,$W115)="","",INDEX('Per Invoice'!G$2:G$801,$W115)))</f>
        <v/>
      </c>
      <c r="H115">
        <f>IF($W115="","",IF(INDEX('Per Invoice'!H$2:H$801,$W115)="","",INDEX('Per Invoice'!H$2:H$801,$W115)))</f>
        <v/>
      </c>
      <c r="I115">
        <f>IF($W115="","",IF(INDEX('Per Invoice'!I$2:I$801,$W115)="","",INDEX('Per Invoice'!I$2:I$801,$W115)))</f>
        <v/>
      </c>
      <c r="J115">
        <f>IF($W115="","",IF(INDEX('Per Invoice'!J$2:J$801,$W115)="","",INDEX('Per Invoice'!J$2:J$801,$W115)))</f>
        <v/>
      </c>
      <c r="K115" s="7">
        <f>IF($W115="","",IF(INDEX('Per Invoice'!K$2:K$801,$W115)="","",INDEX('Per Invoice'!K$2:K$801,$W115)))</f>
        <v/>
      </c>
      <c r="L115" s="14">
        <f>IF($W115="","",IF(INDEX('Per Invoice'!L$2:L$801,$W115)="","",INDEX('Per Invoice'!L$2:L$801,$W115)))</f>
        <v/>
      </c>
      <c r="M115">
        <f>IF($W115="","",IF(INDEX('Per Invoice'!M$2:M$801,$W115)="","",INDEX('Per Invoice'!M$2:M$801,$W115)))</f>
        <v/>
      </c>
      <c r="N115" s="7">
        <f>IF($W115="","",IF(INDEX('Per Invoice'!N$2:N$801,$W115)="","",INDEX('Per Invoice'!N$2:N$801,$W115)))</f>
        <v/>
      </c>
      <c r="O115" s="7">
        <f>IF($W115="","",IF(INDEX('Per Invoice'!O$2:O$801,$W115)="","",INDEX('Per Invoice'!O$2:O$801,$W115)))</f>
        <v/>
      </c>
      <c r="P115">
        <f>IF($W115="","",IF(INDEX('Per Invoice'!P$2:P$801,$W115)="","",INDEX('Per Invoice'!P$2:P$801,$W115)))</f>
        <v/>
      </c>
      <c r="Q115" s="7">
        <f>IF($W115="","",IF(INDEX('Per Invoice'!Q$2:Q$801,$W115)="","",INDEX('Per Invoice'!Q$2:Q$801,$W115)))</f>
        <v/>
      </c>
      <c r="R115" s="7">
        <f>IF($W115="","",IF(INDEX('Per Invoice'!R$2:R$801,$W115)="","",INDEX('Per Invoice'!R$2:R$801,$W115)))</f>
        <v/>
      </c>
      <c r="S115" s="7">
        <f>IF($W115="","",IF(INDEX('Per Invoice'!S$2:S$801,$W115)="","",INDEX('Per Invoice'!S$2:S$801,$W115)))</f>
        <v/>
      </c>
      <c r="T115" s="7">
        <f>IF($W115="","",IF(INDEX('Per Invoice'!T$2:T$801,$W115)="","",INDEX('Per Invoice'!T$2:T$801,$W115)))</f>
        <v/>
      </c>
      <c r="U115" s="7">
        <f>IF($W115="","",IF(INDEX('Per Invoice'!U$2:U$801,$W115)="","",INDEX('Per Invoice'!U$2:U$801,$W115)))</f>
        <v/>
      </c>
      <c r="V115" s="7">
        <f>IF($W115="","",IF(INDEX('Per Invoice'!V$2:V$801,$W115)="","",INDEX('Per Invoice'!V$2:V$801,$W115)))</f>
        <v/>
      </c>
      <c r="W115" s="16">
        <f>IFERROR(MATCH(Settings!$C$31&amp;"|"&amp;ROWS($W$2:$W115),'Per Invoice'!$X$2:$X$801,0),"")</f>
        <v/>
      </c>
    </row>
    <row r="116">
      <c r="A116">
        <f>IF($W116="","",IF(INDEX('Per Invoice'!A$2:A$801,$W116)="","",INDEX('Per Invoice'!A$2:A$801,$W116)))</f>
        <v/>
      </c>
      <c r="B116">
        <f>IF($W116="","",IF(INDEX('Per Invoice'!B$2:B$801,$W116)="","",INDEX('Per Invoice'!B$2:B$801,$W116)))</f>
        <v/>
      </c>
      <c r="C116">
        <f>IF($W116="","",IF(INDEX('Per Invoice'!C$2:C$801,$W116)="","",INDEX('Per Invoice'!C$2:C$801,$W116)))</f>
        <v/>
      </c>
      <c r="D116">
        <f>IF($W116="","",IF(INDEX('Per Invoice'!D$2:D$801,$W116)="","",INDEX('Per Invoice'!D$2:D$801,$W116)))</f>
        <v/>
      </c>
      <c r="E116">
        <f>IF($W116="","",IF(INDEX('Per Invoice'!E$2:E$801,$W116)="","",INDEX('Per Invoice'!E$2:E$801,$W116)))</f>
        <v/>
      </c>
      <c r="F116">
        <f>IF($W116="","",IF(INDEX('Per Invoice'!F$2:F$801,$W116)="","",INDEX('Per Invoice'!F$2:F$801,$W116)))</f>
        <v/>
      </c>
      <c r="G116">
        <f>IF($W116="","",IF(INDEX('Per Invoice'!G$2:G$801,$W116)="","",INDEX('Per Invoice'!G$2:G$801,$W116)))</f>
        <v/>
      </c>
      <c r="H116">
        <f>IF($W116="","",IF(INDEX('Per Invoice'!H$2:H$801,$W116)="","",INDEX('Per Invoice'!H$2:H$801,$W116)))</f>
        <v/>
      </c>
      <c r="I116">
        <f>IF($W116="","",IF(INDEX('Per Invoice'!I$2:I$801,$W116)="","",INDEX('Per Invoice'!I$2:I$801,$W116)))</f>
        <v/>
      </c>
      <c r="J116">
        <f>IF($W116="","",IF(INDEX('Per Invoice'!J$2:J$801,$W116)="","",INDEX('Per Invoice'!J$2:J$801,$W116)))</f>
        <v/>
      </c>
      <c r="K116" s="7">
        <f>IF($W116="","",IF(INDEX('Per Invoice'!K$2:K$801,$W116)="","",INDEX('Per Invoice'!K$2:K$801,$W116)))</f>
        <v/>
      </c>
      <c r="L116" s="14">
        <f>IF($W116="","",IF(INDEX('Per Invoice'!L$2:L$801,$W116)="","",INDEX('Per Invoice'!L$2:L$801,$W116)))</f>
        <v/>
      </c>
      <c r="M116">
        <f>IF($W116="","",IF(INDEX('Per Invoice'!M$2:M$801,$W116)="","",INDEX('Per Invoice'!M$2:M$801,$W116)))</f>
        <v/>
      </c>
      <c r="N116" s="7">
        <f>IF($W116="","",IF(INDEX('Per Invoice'!N$2:N$801,$W116)="","",INDEX('Per Invoice'!N$2:N$801,$W116)))</f>
        <v/>
      </c>
      <c r="O116" s="7">
        <f>IF($W116="","",IF(INDEX('Per Invoice'!O$2:O$801,$W116)="","",INDEX('Per Invoice'!O$2:O$801,$W116)))</f>
        <v/>
      </c>
      <c r="P116">
        <f>IF($W116="","",IF(INDEX('Per Invoice'!P$2:P$801,$W116)="","",INDEX('Per Invoice'!P$2:P$801,$W116)))</f>
        <v/>
      </c>
      <c r="Q116" s="7">
        <f>IF($W116="","",IF(INDEX('Per Invoice'!Q$2:Q$801,$W116)="","",INDEX('Per Invoice'!Q$2:Q$801,$W116)))</f>
        <v/>
      </c>
      <c r="R116" s="7">
        <f>IF($W116="","",IF(INDEX('Per Invoice'!R$2:R$801,$W116)="","",INDEX('Per Invoice'!R$2:R$801,$W116)))</f>
        <v/>
      </c>
      <c r="S116" s="7">
        <f>IF($W116="","",IF(INDEX('Per Invoice'!S$2:S$801,$W116)="","",INDEX('Per Invoice'!S$2:S$801,$W116)))</f>
        <v/>
      </c>
      <c r="T116" s="7">
        <f>IF($W116="","",IF(INDEX('Per Invoice'!T$2:T$801,$W116)="","",INDEX('Per Invoice'!T$2:T$801,$W116)))</f>
        <v/>
      </c>
      <c r="U116" s="7">
        <f>IF($W116="","",IF(INDEX('Per Invoice'!U$2:U$801,$W116)="","",INDEX('Per Invoice'!U$2:U$801,$W116)))</f>
        <v/>
      </c>
      <c r="V116" s="7">
        <f>IF($W116="","",IF(INDEX('Per Invoice'!V$2:V$801,$W116)="","",INDEX('Per Invoice'!V$2:V$801,$W116)))</f>
        <v/>
      </c>
      <c r="W116" s="16">
        <f>IFERROR(MATCH(Settings!$C$31&amp;"|"&amp;ROWS($W$2:$W116),'Per Invoice'!$X$2:$X$801,0),"")</f>
        <v/>
      </c>
    </row>
    <row r="117">
      <c r="A117">
        <f>IF($W117="","",IF(INDEX('Per Invoice'!A$2:A$801,$W117)="","",INDEX('Per Invoice'!A$2:A$801,$W117)))</f>
        <v/>
      </c>
      <c r="B117">
        <f>IF($W117="","",IF(INDEX('Per Invoice'!B$2:B$801,$W117)="","",INDEX('Per Invoice'!B$2:B$801,$W117)))</f>
        <v/>
      </c>
      <c r="C117">
        <f>IF($W117="","",IF(INDEX('Per Invoice'!C$2:C$801,$W117)="","",INDEX('Per Invoice'!C$2:C$801,$W117)))</f>
        <v/>
      </c>
      <c r="D117">
        <f>IF($W117="","",IF(INDEX('Per Invoice'!D$2:D$801,$W117)="","",INDEX('Per Invoice'!D$2:D$801,$W117)))</f>
        <v/>
      </c>
      <c r="E117">
        <f>IF($W117="","",IF(INDEX('Per Invoice'!E$2:E$801,$W117)="","",INDEX('Per Invoice'!E$2:E$801,$W117)))</f>
        <v/>
      </c>
      <c r="F117">
        <f>IF($W117="","",IF(INDEX('Per Invoice'!F$2:F$801,$W117)="","",INDEX('Per Invoice'!F$2:F$801,$W117)))</f>
        <v/>
      </c>
      <c r="G117">
        <f>IF($W117="","",IF(INDEX('Per Invoice'!G$2:G$801,$W117)="","",INDEX('Per Invoice'!G$2:G$801,$W117)))</f>
        <v/>
      </c>
      <c r="H117">
        <f>IF($W117="","",IF(INDEX('Per Invoice'!H$2:H$801,$W117)="","",INDEX('Per Invoice'!H$2:H$801,$W117)))</f>
        <v/>
      </c>
      <c r="I117">
        <f>IF($W117="","",IF(INDEX('Per Invoice'!I$2:I$801,$W117)="","",INDEX('Per Invoice'!I$2:I$801,$W117)))</f>
        <v/>
      </c>
      <c r="J117">
        <f>IF($W117="","",IF(INDEX('Per Invoice'!J$2:J$801,$W117)="","",INDEX('Per Invoice'!J$2:J$801,$W117)))</f>
        <v/>
      </c>
      <c r="K117" s="7">
        <f>IF($W117="","",IF(INDEX('Per Invoice'!K$2:K$801,$W117)="","",INDEX('Per Invoice'!K$2:K$801,$W117)))</f>
        <v/>
      </c>
      <c r="L117" s="14">
        <f>IF($W117="","",IF(INDEX('Per Invoice'!L$2:L$801,$W117)="","",INDEX('Per Invoice'!L$2:L$801,$W117)))</f>
        <v/>
      </c>
      <c r="M117">
        <f>IF($W117="","",IF(INDEX('Per Invoice'!M$2:M$801,$W117)="","",INDEX('Per Invoice'!M$2:M$801,$W117)))</f>
        <v/>
      </c>
      <c r="N117" s="7">
        <f>IF($W117="","",IF(INDEX('Per Invoice'!N$2:N$801,$W117)="","",INDEX('Per Invoice'!N$2:N$801,$W117)))</f>
        <v/>
      </c>
      <c r="O117" s="7">
        <f>IF($W117="","",IF(INDEX('Per Invoice'!O$2:O$801,$W117)="","",INDEX('Per Invoice'!O$2:O$801,$W117)))</f>
        <v/>
      </c>
      <c r="P117">
        <f>IF($W117="","",IF(INDEX('Per Invoice'!P$2:P$801,$W117)="","",INDEX('Per Invoice'!P$2:P$801,$W117)))</f>
        <v/>
      </c>
      <c r="Q117" s="7">
        <f>IF($W117="","",IF(INDEX('Per Invoice'!Q$2:Q$801,$W117)="","",INDEX('Per Invoice'!Q$2:Q$801,$W117)))</f>
        <v/>
      </c>
      <c r="R117" s="7">
        <f>IF($W117="","",IF(INDEX('Per Invoice'!R$2:R$801,$W117)="","",INDEX('Per Invoice'!R$2:R$801,$W117)))</f>
        <v/>
      </c>
      <c r="S117" s="7">
        <f>IF($W117="","",IF(INDEX('Per Invoice'!S$2:S$801,$W117)="","",INDEX('Per Invoice'!S$2:S$801,$W117)))</f>
        <v/>
      </c>
      <c r="T117" s="7">
        <f>IF($W117="","",IF(INDEX('Per Invoice'!T$2:T$801,$W117)="","",INDEX('Per Invoice'!T$2:T$801,$W117)))</f>
        <v/>
      </c>
      <c r="U117" s="7">
        <f>IF($W117="","",IF(INDEX('Per Invoice'!U$2:U$801,$W117)="","",INDEX('Per Invoice'!U$2:U$801,$W117)))</f>
        <v/>
      </c>
      <c r="V117" s="7">
        <f>IF($W117="","",IF(INDEX('Per Invoice'!V$2:V$801,$W117)="","",INDEX('Per Invoice'!V$2:V$801,$W117)))</f>
        <v/>
      </c>
      <c r="W117" s="16">
        <f>IFERROR(MATCH(Settings!$C$31&amp;"|"&amp;ROWS($W$2:$W117),'Per Invoice'!$X$2:$X$801,0),"")</f>
        <v/>
      </c>
    </row>
    <row r="118">
      <c r="A118">
        <f>IF($W118="","",IF(INDEX('Per Invoice'!A$2:A$801,$W118)="","",INDEX('Per Invoice'!A$2:A$801,$W118)))</f>
        <v/>
      </c>
      <c r="B118">
        <f>IF($W118="","",IF(INDEX('Per Invoice'!B$2:B$801,$W118)="","",INDEX('Per Invoice'!B$2:B$801,$W118)))</f>
        <v/>
      </c>
      <c r="C118">
        <f>IF($W118="","",IF(INDEX('Per Invoice'!C$2:C$801,$W118)="","",INDEX('Per Invoice'!C$2:C$801,$W118)))</f>
        <v/>
      </c>
      <c r="D118">
        <f>IF($W118="","",IF(INDEX('Per Invoice'!D$2:D$801,$W118)="","",INDEX('Per Invoice'!D$2:D$801,$W118)))</f>
        <v/>
      </c>
      <c r="E118">
        <f>IF($W118="","",IF(INDEX('Per Invoice'!E$2:E$801,$W118)="","",INDEX('Per Invoice'!E$2:E$801,$W118)))</f>
        <v/>
      </c>
      <c r="F118">
        <f>IF($W118="","",IF(INDEX('Per Invoice'!F$2:F$801,$W118)="","",INDEX('Per Invoice'!F$2:F$801,$W118)))</f>
        <v/>
      </c>
      <c r="G118">
        <f>IF($W118="","",IF(INDEX('Per Invoice'!G$2:G$801,$W118)="","",INDEX('Per Invoice'!G$2:G$801,$W118)))</f>
        <v/>
      </c>
      <c r="H118">
        <f>IF($W118="","",IF(INDEX('Per Invoice'!H$2:H$801,$W118)="","",INDEX('Per Invoice'!H$2:H$801,$W118)))</f>
        <v/>
      </c>
      <c r="I118">
        <f>IF($W118="","",IF(INDEX('Per Invoice'!I$2:I$801,$W118)="","",INDEX('Per Invoice'!I$2:I$801,$W118)))</f>
        <v/>
      </c>
      <c r="J118">
        <f>IF($W118="","",IF(INDEX('Per Invoice'!J$2:J$801,$W118)="","",INDEX('Per Invoice'!J$2:J$801,$W118)))</f>
        <v/>
      </c>
      <c r="K118" s="7">
        <f>IF($W118="","",IF(INDEX('Per Invoice'!K$2:K$801,$W118)="","",INDEX('Per Invoice'!K$2:K$801,$W118)))</f>
        <v/>
      </c>
      <c r="L118" s="14">
        <f>IF($W118="","",IF(INDEX('Per Invoice'!L$2:L$801,$W118)="","",INDEX('Per Invoice'!L$2:L$801,$W118)))</f>
        <v/>
      </c>
      <c r="M118">
        <f>IF($W118="","",IF(INDEX('Per Invoice'!M$2:M$801,$W118)="","",INDEX('Per Invoice'!M$2:M$801,$W118)))</f>
        <v/>
      </c>
      <c r="N118" s="7">
        <f>IF($W118="","",IF(INDEX('Per Invoice'!N$2:N$801,$W118)="","",INDEX('Per Invoice'!N$2:N$801,$W118)))</f>
        <v/>
      </c>
      <c r="O118" s="7">
        <f>IF($W118="","",IF(INDEX('Per Invoice'!O$2:O$801,$W118)="","",INDEX('Per Invoice'!O$2:O$801,$W118)))</f>
        <v/>
      </c>
      <c r="P118">
        <f>IF($W118="","",IF(INDEX('Per Invoice'!P$2:P$801,$W118)="","",INDEX('Per Invoice'!P$2:P$801,$W118)))</f>
        <v/>
      </c>
      <c r="Q118" s="7">
        <f>IF($W118="","",IF(INDEX('Per Invoice'!Q$2:Q$801,$W118)="","",INDEX('Per Invoice'!Q$2:Q$801,$W118)))</f>
        <v/>
      </c>
      <c r="R118" s="7">
        <f>IF($W118="","",IF(INDEX('Per Invoice'!R$2:R$801,$W118)="","",INDEX('Per Invoice'!R$2:R$801,$W118)))</f>
        <v/>
      </c>
      <c r="S118" s="7">
        <f>IF($W118="","",IF(INDEX('Per Invoice'!S$2:S$801,$W118)="","",INDEX('Per Invoice'!S$2:S$801,$W118)))</f>
        <v/>
      </c>
      <c r="T118" s="7">
        <f>IF($W118="","",IF(INDEX('Per Invoice'!T$2:T$801,$W118)="","",INDEX('Per Invoice'!T$2:T$801,$W118)))</f>
        <v/>
      </c>
      <c r="U118" s="7">
        <f>IF($W118="","",IF(INDEX('Per Invoice'!U$2:U$801,$W118)="","",INDEX('Per Invoice'!U$2:U$801,$W118)))</f>
        <v/>
      </c>
      <c r="V118" s="7">
        <f>IF($W118="","",IF(INDEX('Per Invoice'!V$2:V$801,$W118)="","",INDEX('Per Invoice'!V$2:V$801,$W118)))</f>
        <v/>
      </c>
      <c r="W118" s="16">
        <f>IFERROR(MATCH(Settings!$C$31&amp;"|"&amp;ROWS($W$2:$W118),'Per Invoice'!$X$2:$X$801,0),"")</f>
        <v/>
      </c>
    </row>
    <row r="119">
      <c r="A119">
        <f>IF($W119="","",IF(INDEX('Per Invoice'!A$2:A$801,$W119)="","",INDEX('Per Invoice'!A$2:A$801,$W119)))</f>
        <v/>
      </c>
      <c r="B119">
        <f>IF($W119="","",IF(INDEX('Per Invoice'!B$2:B$801,$W119)="","",INDEX('Per Invoice'!B$2:B$801,$W119)))</f>
        <v/>
      </c>
      <c r="C119">
        <f>IF($W119="","",IF(INDEX('Per Invoice'!C$2:C$801,$W119)="","",INDEX('Per Invoice'!C$2:C$801,$W119)))</f>
        <v/>
      </c>
      <c r="D119">
        <f>IF($W119="","",IF(INDEX('Per Invoice'!D$2:D$801,$W119)="","",INDEX('Per Invoice'!D$2:D$801,$W119)))</f>
        <v/>
      </c>
      <c r="E119">
        <f>IF($W119="","",IF(INDEX('Per Invoice'!E$2:E$801,$W119)="","",INDEX('Per Invoice'!E$2:E$801,$W119)))</f>
        <v/>
      </c>
      <c r="F119">
        <f>IF($W119="","",IF(INDEX('Per Invoice'!F$2:F$801,$W119)="","",INDEX('Per Invoice'!F$2:F$801,$W119)))</f>
        <v/>
      </c>
      <c r="G119">
        <f>IF($W119="","",IF(INDEX('Per Invoice'!G$2:G$801,$W119)="","",INDEX('Per Invoice'!G$2:G$801,$W119)))</f>
        <v/>
      </c>
      <c r="H119">
        <f>IF($W119="","",IF(INDEX('Per Invoice'!H$2:H$801,$W119)="","",INDEX('Per Invoice'!H$2:H$801,$W119)))</f>
        <v/>
      </c>
      <c r="I119">
        <f>IF($W119="","",IF(INDEX('Per Invoice'!I$2:I$801,$W119)="","",INDEX('Per Invoice'!I$2:I$801,$W119)))</f>
        <v/>
      </c>
      <c r="J119">
        <f>IF($W119="","",IF(INDEX('Per Invoice'!J$2:J$801,$W119)="","",INDEX('Per Invoice'!J$2:J$801,$W119)))</f>
        <v/>
      </c>
      <c r="K119" s="7">
        <f>IF($W119="","",IF(INDEX('Per Invoice'!K$2:K$801,$W119)="","",INDEX('Per Invoice'!K$2:K$801,$W119)))</f>
        <v/>
      </c>
      <c r="L119" s="14">
        <f>IF($W119="","",IF(INDEX('Per Invoice'!L$2:L$801,$W119)="","",INDEX('Per Invoice'!L$2:L$801,$W119)))</f>
        <v/>
      </c>
      <c r="M119">
        <f>IF($W119="","",IF(INDEX('Per Invoice'!M$2:M$801,$W119)="","",INDEX('Per Invoice'!M$2:M$801,$W119)))</f>
        <v/>
      </c>
      <c r="N119" s="7">
        <f>IF($W119="","",IF(INDEX('Per Invoice'!N$2:N$801,$W119)="","",INDEX('Per Invoice'!N$2:N$801,$W119)))</f>
        <v/>
      </c>
      <c r="O119" s="7">
        <f>IF($W119="","",IF(INDEX('Per Invoice'!O$2:O$801,$W119)="","",INDEX('Per Invoice'!O$2:O$801,$W119)))</f>
        <v/>
      </c>
      <c r="P119">
        <f>IF($W119="","",IF(INDEX('Per Invoice'!P$2:P$801,$W119)="","",INDEX('Per Invoice'!P$2:P$801,$W119)))</f>
        <v/>
      </c>
      <c r="Q119" s="7">
        <f>IF($W119="","",IF(INDEX('Per Invoice'!Q$2:Q$801,$W119)="","",INDEX('Per Invoice'!Q$2:Q$801,$W119)))</f>
        <v/>
      </c>
      <c r="R119" s="7">
        <f>IF($W119="","",IF(INDEX('Per Invoice'!R$2:R$801,$W119)="","",INDEX('Per Invoice'!R$2:R$801,$W119)))</f>
        <v/>
      </c>
      <c r="S119" s="7">
        <f>IF($W119="","",IF(INDEX('Per Invoice'!S$2:S$801,$W119)="","",INDEX('Per Invoice'!S$2:S$801,$W119)))</f>
        <v/>
      </c>
      <c r="T119" s="7">
        <f>IF($W119="","",IF(INDEX('Per Invoice'!T$2:T$801,$W119)="","",INDEX('Per Invoice'!T$2:T$801,$W119)))</f>
        <v/>
      </c>
      <c r="U119" s="7">
        <f>IF($W119="","",IF(INDEX('Per Invoice'!U$2:U$801,$W119)="","",INDEX('Per Invoice'!U$2:U$801,$W119)))</f>
        <v/>
      </c>
      <c r="V119" s="7">
        <f>IF($W119="","",IF(INDEX('Per Invoice'!V$2:V$801,$W119)="","",INDEX('Per Invoice'!V$2:V$801,$W119)))</f>
        <v/>
      </c>
      <c r="W119" s="16">
        <f>IFERROR(MATCH(Settings!$C$31&amp;"|"&amp;ROWS($W$2:$W119),'Per Invoice'!$X$2:$X$801,0),"")</f>
        <v/>
      </c>
    </row>
    <row r="120">
      <c r="A120">
        <f>IF($W120="","",IF(INDEX('Per Invoice'!A$2:A$801,$W120)="","",INDEX('Per Invoice'!A$2:A$801,$W120)))</f>
        <v/>
      </c>
      <c r="B120">
        <f>IF($W120="","",IF(INDEX('Per Invoice'!B$2:B$801,$W120)="","",INDEX('Per Invoice'!B$2:B$801,$W120)))</f>
        <v/>
      </c>
      <c r="C120">
        <f>IF($W120="","",IF(INDEX('Per Invoice'!C$2:C$801,$W120)="","",INDEX('Per Invoice'!C$2:C$801,$W120)))</f>
        <v/>
      </c>
      <c r="D120">
        <f>IF($W120="","",IF(INDEX('Per Invoice'!D$2:D$801,$W120)="","",INDEX('Per Invoice'!D$2:D$801,$W120)))</f>
        <v/>
      </c>
      <c r="E120">
        <f>IF($W120="","",IF(INDEX('Per Invoice'!E$2:E$801,$W120)="","",INDEX('Per Invoice'!E$2:E$801,$W120)))</f>
        <v/>
      </c>
      <c r="F120">
        <f>IF($W120="","",IF(INDEX('Per Invoice'!F$2:F$801,$W120)="","",INDEX('Per Invoice'!F$2:F$801,$W120)))</f>
        <v/>
      </c>
      <c r="G120">
        <f>IF($W120="","",IF(INDEX('Per Invoice'!G$2:G$801,$W120)="","",INDEX('Per Invoice'!G$2:G$801,$W120)))</f>
        <v/>
      </c>
      <c r="H120">
        <f>IF($W120="","",IF(INDEX('Per Invoice'!H$2:H$801,$W120)="","",INDEX('Per Invoice'!H$2:H$801,$W120)))</f>
        <v/>
      </c>
      <c r="I120">
        <f>IF($W120="","",IF(INDEX('Per Invoice'!I$2:I$801,$W120)="","",INDEX('Per Invoice'!I$2:I$801,$W120)))</f>
        <v/>
      </c>
      <c r="J120">
        <f>IF($W120="","",IF(INDEX('Per Invoice'!J$2:J$801,$W120)="","",INDEX('Per Invoice'!J$2:J$801,$W120)))</f>
        <v/>
      </c>
      <c r="K120" s="7">
        <f>IF($W120="","",IF(INDEX('Per Invoice'!K$2:K$801,$W120)="","",INDEX('Per Invoice'!K$2:K$801,$W120)))</f>
        <v/>
      </c>
      <c r="L120" s="14">
        <f>IF($W120="","",IF(INDEX('Per Invoice'!L$2:L$801,$W120)="","",INDEX('Per Invoice'!L$2:L$801,$W120)))</f>
        <v/>
      </c>
      <c r="M120">
        <f>IF($W120="","",IF(INDEX('Per Invoice'!M$2:M$801,$W120)="","",INDEX('Per Invoice'!M$2:M$801,$W120)))</f>
        <v/>
      </c>
      <c r="N120" s="7">
        <f>IF($W120="","",IF(INDEX('Per Invoice'!N$2:N$801,$W120)="","",INDEX('Per Invoice'!N$2:N$801,$W120)))</f>
        <v/>
      </c>
      <c r="O120" s="7">
        <f>IF($W120="","",IF(INDEX('Per Invoice'!O$2:O$801,$W120)="","",INDEX('Per Invoice'!O$2:O$801,$W120)))</f>
        <v/>
      </c>
      <c r="P120">
        <f>IF($W120="","",IF(INDEX('Per Invoice'!P$2:P$801,$W120)="","",INDEX('Per Invoice'!P$2:P$801,$W120)))</f>
        <v/>
      </c>
      <c r="Q120" s="7">
        <f>IF($W120="","",IF(INDEX('Per Invoice'!Q$2:Q$801,$W120)="","",INDEX('Per Invoice'!Q$2:Q$801,$W120)))</f>
        <v/>
      </c>
      <c r="R120" s="7">
        <f>IF($W120="","",IF(INDEX('Per Invoice'!R$2:R$801,$W120)="","",INDEX('Per Invoice'!R$2:R$801,$W120)))</f>
        <v/>
      </c>
      <c r="S120" s="7">
        <f>IF($W120="","",IF(INDEX('Per Invoice'!S$2:S$801,$W120)="","",INDEX('Per Invoice'!S$2:S$801,$W120)))</f>
        <v/>
      </c>
      <c r="T120" s="7">
        <f>IF($W120="","",IF(INDEX('Per Invoice'!T$2:T$801,$W120)="","",INDEX('Per Invoice'!T$2:T$801,$W120)))</f>
        <v/>
      </c>
      <c r="U120" s="7">
        <f>IF($W120="","",IF(INDEX('Per Invoice'!U$2:U$801,$W120)="","",INDEX('Per Invoice'!U$2:U$801,$W120)))</f>
        <v/>
      </c>
      <c r="V120" s="7">
        <f>IF($W120="","",IF(INDEX('Per Invoice'!V$2:V$801,$W120)="","",INDEX('Per Invoice'!V$2:V$801,$W120)))</f>
        <v/>
      </c>
      <c r="W120" s="16">
        <f>IFERROR(MATCH(Settings!$C$31&amp;"|"&amp;ROWS($W$2:$W120),'Per Invoice'!$X$2:$X$801,0),"")</f>
        <v/>
      </c>
    </row>
    <row r="121">
      <c r="A121">
        <f>IF($W121="","",IF(INDEX('Per Invoice'!A$2:A$801,$W121)="","",INDEX('Per Invoice'!A$2:A$801,$W121)))</f>
        <v/>
      </c>
      <c r="B121">
        <f>IF($W121="","",IF(INDEX('Per Invoice'!B$2:B$801,$W121)="","",INDEX('Per Invoice'!B$2:B$801,$W121)))</f>
        <v/>
      </c>
      <c r="C121">
        <f>IF($W121="","",IF(INDEX('Per Invoice'!C$2:C$801,$W121)="","",INDEX('Per Invoice'!C$2:C$801,$W121)))</f>
        <v/>
      </c>
      <c r="D121">
        <f>IF($W121="","",IF(INDEX('Per Invoice'!D$2:D$801,$W121)="","",INDEX('Per Invoice'!D$2:D$801,$W121)))</f>
        <v/>
      </c>
      <c r="E121">
        <f>IF($W121="","",IF(INDEX('Per Invoice'!E$2:E$801,$W121)="","",INDEX('Per Invoice'!E$2:E$801,$W121)))</f>
        <v/>
      </c>
      <c r="F121">
        <f>IF($W121="","",IF(INDEX('Per Invoice'!F$2:F$801,$W121)="","",INDEX('Per Invoice'!F$2:F$801,$W121)))</f>
        <v/>
      </c>
      <c r="G121">
        <f>IF($W121="","",IF(INDEX('Per Invoice'!G$2:G$801,$W121)="","",INDEX('Per Invoice'!G$2:G$801,$W121)))</f>
        <v/>
      </c>
      <c r="H121">
        <f>IF($W121="","",IF(INDEX('Per Invoice'!H$2:H$801,$W121)="","",INDEX('Per Invoice'!H$2:H$801,$W121)))</f>
        <v/>
      </c>
      <c r="I121">
        <f>IF($W121="","",IF(INDEX('Per Invoice'!I$2:I$801,$W121)="","",INDEX('Per Invoice'!I$2:I$801,$W121)))</f>
        <v/>
      </c>
      <c r="J121">
        <f>IF($W121="","",IF(INDEX('Per Invoice'!J$2:J$801,$W121)="","",INDEX('Per Invoice'!J$2:J$801,$W121)))</f>
        <v/>
      </c>
      <c r="K121" s="7">
        <f>IF($W121="","",IF(INDEX('Per Invoice'!K$2:K$801,$W121)="","",INDEX('Per Invoice'!K$2:K$801,$W121)))</f>
        <v/>
      </c>
      <c r="L121" s="14">
        <f>IF($W121="","",IF(INDEX('Per Invoice'!L$2:L$801,$W121)="","",INDEX('Per Invoice'!L$2:L$801,$W121)))</f>
        <v/>
      </c>
      <c r="M121">
        <f>IF($W121="","",IF(INDEX('Per Invoice'!M$2:M$801,$W121)="","",INDEX('Per Invoice'!M$2:M$801,$W121)))</f>
        <v/>
      </c>
      <c r="N121" s="7">
        <f>IF($W121="","",IF(INDEX('Per Invoice'!N$2:N$801,$W121)="","",INDEX('Per Invoice'!N$2:N$801,$W121)))</f>
        <v/>
      </c>
      <c r="O121" s="7">
        <f>IF($W121="","",IF(INDEX('Per Invoice'!O$2:O$801,$W121)="","",INDEX('Per Invoice'!O$2:O$801,$W121)))</f>
        <v/>
      </c>
      <c r="P121">
        <f>IF($W121="","",IF(INDEX('Per Invoice'!P$2:P$801,$W121)="","",INDEX('Per Invoice'!P$2:P$801,$W121)))</f>
        <v/>
      </c>
      <c r="Q121" s="7">
        <f>IF($W121="","",IF(INDEX('Per Invoice'!Q$2:Q$801,$W121)="","",INDEX('Per Invoice'!Q$2:Q$801,$W121)))</f>
        <v/>
      </c>
      <c r="R121" s="7">
        <f>IF($W121="","",IF(INDEX('Per Invoice'!R$2:R$801,$W121)="","",INDEX('Per Invoice'!R$2:R$801,$W121)))</f>
        <v/>
      </c>
      <c r="S121" s="7">
        <f>IF($W121="","",IF(INDEX('Per Invoice'!S$2:S$801,$W121)="","",INDEX('Per Invoice'!S$2:S$801,$W121)))</f>
        <v/>
      </c>
      <c r="T121" s="7">
        <f>IF($W121="","",IF(INDEX('Per Invoice'!T$2:T$801,$W121)="","",INDEX('Per Invoice'!T$2:T$801,$W121)))</f>
        <v/>
      </c>
      <c r="U121" s="7">
        <f>IF($W121="","",IF(INDEX('Per Invoice'!U$2:U$801,$W121)="","",INDEX('Per Invoice'!U$2:U$801,$W121)))</f>
        <v/>
      </c>
      <c r="V121" s="7">
        <f>IF($W121="","",IF(INDEX('Per Invoice'!V$2:V$801,$W121)="","",INDEX('Per Invoice'!V$2:V$801,$W121)))</f>
        <v/>
      </c>
      <c r="W121" s="16">
        <f>IFERROR(MATCH(Settings!$C$31&amp;"|"&amp;ROWS($W$2:$W121),'Per Invoice'!$X$2:$X$801,0),"")</f>
        <v/>
      </c>
    </row>
    <row r="122">
      <c r="A122">
        <f>IF($W122="","",IF(INDEX('Per Invoice'!A$2:A$801,$W122)="","",INDEX('Per Invoice'!A$2:A$801,$W122)))</f>
        <v/>
      </c>
      <c r="B122">
        <f>IF($W122="","",IF(INDEX('Per Invoice'!B$2:B$801,$W122)="","",INDEX('Per Invoice'!B$2:B$801,$W122)))</f>
        <v/>
      </c>
      <c r="C122">
        <f>IF($W122="","",IF(INDEX('Per Invoice'!C$2:C$801,$W122)="","",INDEX('Per Invoice'!C$2:C$801,$W122)))</f>
        <v/>
      </c>
      <c r="D122">
        <f>IF($W122="","",IF(INDEX('Per Invoice'!D$2:D$801,$W122)="","",INDEX('Per Invoice'!D$2:D$801,$W122)))</f>
        <v/>
      </c>
      <c r="E122">
        <f>IF($W122="","",IF(INDEX('Per Invoice'!E$2:E$801,$W122)="","",INDEX('Per Invoice'!E$2:E$801,$W122)))</f>
        <v/>
      </c>
      <c r="F122">
        <f>IF($W122="","",IF(INDEX('Per Invoice'!F$2:F$801,$W122)="","",INDEX('Per Invoice'!F$2:F$801,$W122)))</f>
        <v/>
      </c>
      <c r="G122">
        <f>IF($W122="","",IF(INDEX('Per Invoice'!G$2:G$801,$W122)="","",INDEX('Per Invoice'!G$2:G$801,$W122)))</f>
        <v/>
      </c>
      <c r="H122">
        <f>IF($W122="","",IF(INDEX('Per Invoice'!H$2:H$801,$W122)="","",INDEX('Per Invoice'!H$2:H$801,$W122)))</f>
        <v/>
      </c>
      <c r="I122">
        <f>IF($W122="","",IF(INDEX('Per Invoice'!I$2:I$801,$W122)="","",INDEX('Per Invoice'!I$2:I$801,$W122)))</f>
        <v/>
      </c>
      <c r="J122">
        <f>IF($W122="","",IF(INDEX('Per Invoice'!J$2:J$801,$W122)="","",INDEX('Per Invoice'!J$2:J$801,$W122)))</f>
        <v/>
      </c>
      <c r="K122" s="7">
        <f>IF($W122="","",IF(INDEX('Per Invoice'!K$2:K$801,$W122)="","",INDEX('Per Invoice'!K$2:K$801,$W122)))</f>
        <v/>
      </c>
      <c r="L122" s="14">
        <f>IF($W122="","",IF(INDEX('Per Invoice'!L$2:L$801,$W122)="","",INDEX('Per Invoice'!L$2:L$801,$W122)))</f>
        <v/>
      </c>
      <c r="M122">
        <f>IF($W122="","",IF(INDEX('Per Invoice'!M$2:M$801,$W122)="","",INDEX('Per Invoice'!M$2:M$801,$W122)))</f>
        <v/>
      </c>
      <c r="N122" s="7">
        <f>IF($W122="","",IF(INDEX('Per Invoice'!N$2:N$801,$W122)="","",INDEX('Per Invoice'!N$2:N$801,$W122)))</f>
        <v/>
      </c>
      <c r="O122" s="7">
        <f>IF($W122="","",IF(INDEX('Per Invoice'!O$2:O$801,$W122)="","",INDEX('Per Invoice'!O$2:O$801,$W122)))</f>
        <v/>
      </c>
      <c r="P122">
        <f>IF($W122="","",IF(INDEX('Per Invoice'!P$2:P$801,$W122)="","",INDEX('Per Invoice'!P$2:P$801,$W122)))</f>
        <v/>
      </c>
      <c r="Q122" s="7">
        <f>IF($W122="","",IF(INDEX('Per Invoice'!Q$2:Q$801,$W122)="","",INDEX('Per Invoice'!Q$2:Q$801,$W122)))</f>
        <v/>
      </c>
      <c r="R122" s="7">
        <f>IF($W122="","",IF(INDEX('Per Invoice'!R$2:R$801,$W122)="","",INDEX('Per Invoice'!R$2:R$801,$W122)))</f>
        <v/>
      </c>
      <c r="S122" s="7">
        <f>IF($W122="","",IF(INDEX('Per Invoice'!S$2:S$801,$W122)="","",INDEX('Per Invoice'!S$2:S$801,$W122)))</f>
        <v/>
      </c>
      <c r="T122" s="7">
        <f>IF($W122="","",IF(INDEX('Per Invoice'!T$2:T$801,$W122)="","",INDEX('Per Invoice'!T$2:T$801,$W122)))</f>
        <v/>
      </c>
      <c r="U122" s="7">
        <f>IF($W122="","",IF(INDEX('Per Invoice'!U$2:U$801,$W122)="","",INDEX('Per Invoice'!U$2:U$801,$W122)))</f>
        <v/>
      </c>
      <c r="V122" s="7">
        <f>IF($W122="","",IF(INDEX('Per Invoice'!V$2:V$801,$W122)="","",INDEX('Per Invoice'!V$2:V$801,$W122)))</f>
        <v/>
      </c>
      <c r="W122" s="16">
        <f>IFERROR(MATCH(Settings!$C$31&amp;"|"&amp;ROWS($W$2:$W122),'Per Invoice'!$X$2:$X$801,0),"")</f>
        <v/>
      </c>
    </row>
    <row r="123">
      <c r="A123">
        <f>IF($W123="","",IF(INDEX('Per Invoice'!A$2:A$801,$W123)="","",INDEX('Per Invoice'!A$2:A$801,$W123)))</f>
        <v/>
      </c>
      <c r="B123">
        <f>IF($W123="","",IF(INDEX('Per Invoice'!B$2:B$801,$W123)="","",INDEX('Per Invoice'!B$2:B$801,$W123)))</f>
        <v/>
      </c>
      <c r="C123">
        <f>IF($W123="","",IF(INDEX('Per Invoice'!C$2:C$801,$W123)="","",INDEX('Per Invoice'!C$2:C$801,$W123)))</f>
        <v/>
      </c>
      <c r="D123">
        <f>IF($W123="","",IF(INDEX('Per Invoice'!D$2:D$801,$W123)="","",INDEX('Per Invoice'!D$2:D$801,$W123)))</f>
        <v/>
      </c>
      <c r="E123">
        <f>IF($W123="","",IF(INDEX('Per Invoice'!E$2:E$801,$W123)="","",INDEX('Per Invoice'!E$2:E$801,$W123)))</f>
        <v/>
      </c>
      <c r="F123">
        <f>IF($W123="","",IF(INDEX('Per Invoice'!F$2:F$801,$W123)="","",INDEX('Per Invoice'!F$2:F$801,$W123)))</f>
        <v/>
      </c>
      <c r="G123">
        <f>IF($W123="","",IF(INDEX('Per Invoice'!G$2:G$801,$W123)="","",INDEX('Per Invoice'!G$2:G$801,$W123)))</f>
        <v/>
      </c>
      <c r="H123">
        <f>IF($W123="","",IF(INDEX('Per Invoice'!H$2:H$801,$W123)="","",INDEX('Per Invoice'!H$2:H$801,$W123)))</f>
        <v/>
      </c>
      <c r="I123">
        <f>IF($W123="","",IF(INDEX('Per Invoice'!I$2:I$801,$W123)="","",INDEX('Per Invoice'!I$2:I$801,$W123)))</f>
        <v/>
      </c>
      <c r="J123">
        <f>IF($W123="","",IF(INDEX('Per Invoice'!J$2:J$801,$W123)="","",INDEX('Per Invoice'!J$2:J$801,$W123)))</f>
        <v/>
      </c>
      <c r="K123" s="7">
        <f>IF($W123="","",IF(INDEX('Per Invoice'!K$2:K$801,$W123)="","",INDEX('Per Invoice'!K$2:K$801,$W123)))</f>
        <v/>
      </c>
      <c r="L123" s="14">
        <f>IF($W123="","",IF(INDEX('Per Invoice'!L$2:L$801,$W123)="","",INDEX('Per Invoice'!L$2:L$801,$W123)))</f>
        <v/>
      </c>
      <c r="M123">
        <f>IF($W123="","",IF(INDEX('Per Invoice'!M$2:M$801,$W123)="","",INDEX('Per Invoice'!M$2:M$801,$W123)))</f>
        <v/>
      </c>
      <c r="N123" s="7">
        <f>IF($W123="","",IF(INDEX('Per Invoice'!N$2:N$801,$W123)="","",INDEX('Per Invoice'!N$2:N$801,$W123)))</f>
        <v/>
      </c>
      <c r="O123" s="7">
        <f>IF($W123="","",IF(INDEX('Per Invoice'!O$2:O$801,$W123)="","",INDEX('Per Invoice'!O$2:O$801,$W123)))</f>
        <v/>
      </c>
      <c r="P123">
        <f>IF($W123="","",IF(INDEX('Per Invoice'!P$2:P$801,$W123)="","",INDEX('Per Invoice'!P$2:P$801,$W123)))</f>
        <v/>
      </c>
      <c r="Q123" s="7">
        <f>IF($W123="","",IF(INDEX('Per Invoice'!Q$2:Q$801,$W123)="","",INDEX('Per Invoice'!Q$2:Q$801,$W123)))</f>
        <v/>
      </c>
      <c r="R123" s="7">
        <f>IF($W123="","",IF(INDEX('Per Invoice'!R$2:R$801,$W123)="","",INDEX('Per Invoice'!R$2:R$801,$W123)))</f>
        <v/>
      </c>
      <c r="S123" s="7">
        <f>IF($W123="","",IF(INDEX('Per Invoice'!S$2:S$801,$W123)="","",INDEX('Per Invoice'!S$2:S$801,$W123)))</f>
        <v/>
      </c>
      <c r="T123" s="7">
        <f>IF($W123="","",IF(INDEX('Per Invoice'!T$2:T$801,$W123)="","",INDEX('Per Invoice'!T$2:T$801,$W123)))</f>
        <v/>
      </c>
      <c r="U123" s="7">
        <f>IF($W123="","",IF(INDEX('Per Invoice'!U$2:U$801,$W123)="","",INDEX('Per Invoice'!U$2:U$801,$W123)))</f>
        <v/>
      </c>
      <c r="V123" s="7">
        <f>IF($W123="","",IF(INDEX('Per Invoice'!V$2:V$801,$W123)="","",INDEX('Per Invoice'!V$2:V$801,$W123)))</f>
        <v/>
      </c>
      <c r="W123" s="16">
        <f>IFERROR(MATCH(Settings!$C$31&amp;"|"&amp;ROWS($W$2:$W123),'Per Invoice'!$X$2:$X$801,0),"")</f>
        <v/>
      </c>
    </row>
    <row r="124">
      <c r="A124">
        <f>IF($W124="","",IF(INDEX('Per Invoice'!A$2:A$801,$W124)="","",INDEX('Per Invoice'!A$2:A$801,$W124)))</f>
        <v/>
      </c>
      <c r="B124">
        <f>IF($W124="","",IF(INDEX('Per Invoice'!B$2:B$801,$W124)="","",INDEX('Per Invoice'!B$2:B$801,$W124)))</f>
        <v/>
      </c>
      <c r="C124">
        <f>IF($W124="","",IF(INDEX('Per Invoice'!C$2:C$801,$W124)="","",INDEX('Per Invoice'!C$2:C$801,$W124)))</f>
        <v/>
      </c>
      <c r="D124">
        <f>IF($W124="","",IF(INDEX('Per Invoice'!D$2:D$801,$W124)="","",INDEX('Per Invoice'!D$2:D$801,$W124)))</f>
        <v/>
      </c>
      <c r="E124">
        <f>IF($W124="","",IF(INDEX('Per Invoice'!E$2:E$801,$W124)="","",INDEX('Per Invoice'!E$2:E$801,$W124)))</f>
        <v/>
      </c>
      <c r="F124">
        <f>IF($W124="","",IF(INDEX('Per Invoice'!F$2:F$801,$W124)="","",INDEX('Per Invoice'!F$2:F$801,$W124)))</f>
        <v/>
      </c>
      <c r="G124">
        <f>IF($W124="","",IF(INDEX('Per Invoice'!G$2:G$801,$W124)="","",INDEX('Per Invoice'!G$2:G$801,$W124)))</f>
        <v/>
      </c>
      <c r="H124">
        <f>IF($W124="","",IF(INDEX('Per Invoice'!H$2:H$801,$W124)="","",INDEX('Per Invoice'!H$2:H$801,$W124)))</f>
        <v/>
      </c>
      <c r="I124">
        <f>IF($W124="","",IF(INDEX('Per Invoice'!I$2:I$801,$W124)="","",INDEX('Per Invoice'!I$2:I$801,$W124)))</f>
        <v/>
      </c>
      <c r="J124">
        <f>IF($W124="","",IF(INDEX('Per Invoice'!J$2:J$801,$W124)="","",INDEX('Per Invoice'!J$2:J$801,$W124)))</f>
        <v/>
      </c>
      <c r="K124" s="7">
        <f>IF($W124="","",IF(INDEX('Per Invoice'!K$2:K$801,$W124)="","",INDEX('Per Invoice'!K$2:K$801,$W124)))</f>
        <v/>
      </c>
      <c r="L124" s="14">
        <f>IF($W124="","",IF(INDEX('Per Invoice'!L$2:L$801,$W124)="","",INDEX('Per Invoice'!L$2:L$801,$W124)))</f>
        <v/>
      </c>
      <c r="M124">
        <f>IF($W124="","",IF(INDEX('Per Invoice'!M$2:M$801,$W124)="","",INDEX('Per Invoice'!M$2:M$801,$W124)))</f>
        <v/>
      </c>
      <c r="N124" s="7">
        <f>IF($W124="","",IF(INDEX('Per Invoice'!N$2:N$801,$W124)="","",INDEX('Per Invoice'!N$2:N$801,$W124)))</f>
        <v/>
      </c>
      <c r="O124" s="7">
        <f>IF($W124="","",IF(INDEX('Per Invoice'!O$2:O$801,$W124)="","",INDEX('Per Invoice'!O$2:O$801,$W124)))</f>
        <v/>
      </c>
      <c r="P124">
        <f>IF($W124="","",IF(INDEX('Per Invoice'!P$2:P$801,$W124)="","",INDEX('Per Invoice'!P$2:P$801,$W124)))</f>
        <v/>
      </c>
      <c r="Q124" s="7">
        <f>IF($W124="","",IF(INDEX('Per Invoice'!Q$2:Q$801,$W124)="","",INDEX('Per Invoice'!Q$2:Q$801,$W124)))</f>
        <v/>
      </c>
      <c r="R124" s="7">
        <f>IF($W124="","",IF(INDEX('Per Invoice'!R$2:R$801,$W124)="","",INDEX('Per Invoice'!R$2:R$801,$W124)))</f>
        <v/>
      </c>
      <c r="S124" s="7">
        <f>IF($W124="","",IF(INDEX('Per Invoice'!S$2:S$801,$W124)="","",INDEX('Per Invoice'!S$2:S$801,$W124)))</f>
        <v/>
      </c>
      <c r="T124" s="7">
        <f>IF($W124="","",IF(INDEX('Per Invoice'!T$2:T$801,$W124)="","",INDEX('Per Invoice'!T$2:T$801,$W124)))</f>
        <v/>
      </c>
      <c r="U124" s="7">
        <f>IF($W124="","",IF(INDEX('Per Invoice'!U$2:U$801,$W124)="","",INDEX('Per Invoice'!U$2:U$801,$W124)))</f>
        <v/>
      </c>
      <c r="V124" s="7">
        <f>IF($W124="","",IF(INDEX('Per Invoice'!V$2:V$801,$W124)="","",INDEX('Per Invoice'!V$2:V$801,$W124)))</f>
        <v/>
      </c>
      <c r="W124" s="16">
        <f>IFERROR(MATCH(Settings!$C$31&amp;"|"&amp;ROWS($W$2:$W124),'Per Invoice'!$X$2:$X$801,0),"")</f>
        <v/>
      </c>
    </row>
    <row r="125">
      <c r="A125">
        <f>IF($W125="","",IF(INDEX('Per Invoice'!A$2:A$801,$W125)="","",INDEX('Per Invoice'!A$2:A$801,$W125)))</f>
        <v/>
      </c>
      <c r="B125">
        <f>IF($W125="","",IF(INDEX('Per Invoice'!B$2:B$801,$W125)="","",INDEX('Per Invoice'!B$2:B$801,$W125)))</f>
        <v/>
      </c>
      <c r="C125">
        <f>IF($W125="","",IF(INDEX('Per Invoice'!C$2:C$801,$W125)="","",INDEX('Per Invoice'!C$2:C$801,$W125)))</f>
        <v/>
      </c>
      <c r="D125">
        <f>IF($W125="","",IF(INDEX('Per Invoice'!D$2:D$801,$W125)="","",INDEX('Per Invoice'!D$2:D$801,$W125)))</f>
        <v/>
      </c>
      <c r="E125">
        <f>IF($W125="","",IF(INDEX('Per Invoice'!E$2:E$801,$W125)="","",INDEX('Per Invoice'!E$2:E$801,$W125)))</f>
        <v/>
      </c>
      <c r="F125">
        <f>IF($W125="","",IF(INDEX('Per Invoice'!F$2:F$801,$W125)="","",INDEX('Per Invoice'!F$2:F$801,$W125)))</f>
        <v/>
      </c>
      <c r="G125">
        <f>IF($W125="","",IF(INDEX('Per Invoice'!G$2:G$801,$W125)="","",INDEX('Per Invoice'!G$2:G$801,$W125)))</f>
        <v/>
      </c>
      <c r="H125">
        <f>IF($W125="","",IF(INDEX('Per Invoice'!H$2:H$801,$W125)="","",INDEX('Per Invoice'!H$2:H$801,$W125)))</f>
        <v/>
      </c>
      <c r="I125">
        <f>IF($W125="","",IF(INDEX('Per Invoice'!I$2:I$801,$W125)="","",INDEX('Per Invoice'!I$2:I$801,$W125)))</f>
        <v/>
      </c>
      <c r="J125">
        <f>IF($W125="","",IF(INDEX('Per Invoice'!J$2:J$801,$W125)="","",INDEX('Per Invoice'!J$2:J$801,$W125)))</f>
        <v/>
      </c>
      <c r="K125" s="7">
        <f>IF($W125="","",IF(INDEX('Per Invoice'!K$2:K$801,$W125)="","",INDEX('Per Invoice'!K$2:K$801,$W125)))</f>
        <v/>
      </c>
      <c r="L125" s="14">
        <f>IF($W125="","",IF(INDEX('Per Invoice'!L$2:L$801,$W125)="","",INDEX('Per Invoice'!L$2:L$801,$W125)))</f>
        <v/>
      </c>
      <c r="M125">
        <f>IF($W125="","",IF(INDEX('Per Invoice'!M$2:M$801,$W125)="","",INDEX('Per Invoice'!M$2:M$801,$W125)))</f>
        <v/>
      </c>
      <c r="N125" s="7">
        <f>IF($W125="","",IF(INDEX('Per Invoice'!N$2:N$801,$W125)="","",INDEX('Per Invoice'!N$2:N$801,$W125)))</f>
        <v/>
      </c>
      <c r="O125" s="7">
        <f>IF($W125="","",IF(INDEX('Per Invoice'!O$2:O$801,$W125)="","",INDEX('Per Invoice'!O$2:O$801,$W125)))</f>
        <v/>
      </c>
      <c r="P125">
        <f>IF($W125="","",IF(INDEX('Per Invoice'!P$2:P$801,$W125)="","",INDEX('Per Invoice'!P$2:P$801,$W125)))</f>
        <v/>
      </c>
      <c r="Q125" s="7">
        <f>IF($W125="","",IF(INDEX('Per Invoice'!Q$2:Q$801,$W125)="","",INDEX('Per Invoice'!Q$2:Q$801,$W125)))</f>
        <v/>
      </c>
      <c r="R125" s="7">
        <f>IF($W125="","",IF(INDEX('Per Invoice'!R$2:R$801,$W125)="","",INDEX('Per Invoice'!R$2:R$801,$W125)))</f>
        <v/>
      </c>
      <c r="S125" s="7">
        <f>IF($W125="","",IF(INDEX('Per Invoice'!S$2:S$801,$W125)="","",INDEX('Per Invoice'!S$2:S$801,$W125)))</f>
        <v/>
      </c>
      <c r="T125" s="7">
        <f>IF($W125="","",IF(INDEX('Per Invoice'!T$2:T$801,$W125)="","",INDEX('Per Invoice'!T$2:T$801,$W125)))</f>
        <v/>
      </c>
      <c r="U125" s="7">
        <f>IF($W125="","",IF(INDEX('Per Invoice'!U$2:U$801,$W125)="","",INDEX('Per Invoice'!U$2:U$801,$W125)))</f>
        <v/>
      </c>
      <c r="V125" s="7">
        <f>IF($W125="","",IF(INDEX('Per Invoice'!V$2:V$801,$W125)="","",INDEX('Per Invoice'!V$2:V$801,$W125)))</f>
        <v/>
      </c>
      <c r="W125" s="16">
        <f>IFERROR(MATCH(Settings!$C$31&amp;"|"&amp;ROWS($W$2:$W125),'Per Invoice'!$X$2:$X$801,0),"")</f>
        <v/>
      </c>
    </row>
    <row r="126">
      <c r="A126">
        <f>IF($W126="","",IF(INDEX('Per Invoice'!A$2:A$801,$W126)="","",INDEX('Per Invoice'!A$2:A$801,$W126)))</f>
        <v/>
      </c>
      <c r="B126">
        <f>IF($W126="","",IF(INDEX('Per Invoice'!B$2:B$801,$W126)="","",INDEX('Per Invoice'!B$2:B$801,$W126)))</f>
        <v/>
      </c>
      <c r="C126">
        <f>IF($W126="","",IF(INDEX('Per Invoice'!C$2:C$801,$W126)="","",INDEX('Per Invoice'!C$2:C$801,$W126)))</f>
        <v/>
      </c>
      <c r="D126">
        <f>IF($W126="","",IF(INDEX('Per Invoice'!D$2:D$801,$W126)="","",INDEX('Per Invoice'!D$2:D$801,$W126)))</f>
        <v/>
      </c>
      <c r="E126">
        <f>IF($W126="","",IF(INDEX('Per Invoice'!E$2:E$801,$W126)="","",INDEX('Per Invoice'!E$2:E$801,$W126)))</f>
        <v/>
      </c>
      <c r="F126">
        <f>IF($W126="","",IF(INDEX('Per Invoice'!F$2:F$801,$W126)="","",INDEX('Per Invoice'!F$2:F$801,$W126)))</f>
        <v/>
      </c>
      <c r="G126">
        <f>IF($W126="","",IF(INDEX('Per Invoice'!G$2:G$801,$W126)="","",INDEX('Per Invoice'!G$2:G$801,$W126)))</f>
        <v/>
      </c>
      <c r="H126">
        <f>IF($W126="","",IF(INDEX('Per Invoice'!H$2:H$801,$W126)="","",INDEX('Per Invoice'!H$2:H$801,$W126)))</f>
        <v/>
      </c>
      <c r="I126">
        <f>IF($W126="","",IF(INDEX('Per Invoice'!I$2:I$801,$W126)="","",INDEX('Per Invoice'!I$2:I$801,$W126)))</f>
        <v/>
      </c>
      <c r="J126">
        <f>IF($W126="","",IF(INDEX('Per Invoice'!J$2:J$801,$W126)="","",INDEX('Per Invoice'!J$2:J$801,$W126)))</f>
        <v/>
      </c>
      <c r="K126" s="7">
        <f>IF($W126="","",IF(INDEX('Per Invoice'!K$2:K$801,$W126)="","",INDEX('Per Invoice'!K$2:K$801,$W126)))</f>
        <v/>
      </c>
      <c r="L126" s="14">
        <f>IF($W126="","",IF(INDEX('Per Invoice'!L$2:L$801,$W126)="","",INDEX('Per Invoice'!L$2:L$801,$W126)))</f>
        <v/>
      </c>
      <c r="M126">
        <f>IF($W126="","",IF(INDEX('Per Invoice'!M$2:M$801,$W126)="","",INDEX('Per Invoice'!M$2:M$801,$W126)))</f>
        <v/>
      </c>
      <c r="N126" s="7">
        <f>IF($W126="","",IF(INDEX('Per Invoice'!N$2:N$801,$W126)="","",INDEX('Per Invoice'!N$2:N$801,$W126)))</f>
        <v/>
      </c>
      <c r="O126" s="7">
        <f>IF($W126="","",IF(INDEX('Per Invoice'!O$2:O$801,$W126)="","",INDEX('Per Invoice'!O$2:O$801,$W126)))</f>
        <v/>
      </c>
      <c r="P126">
        <f>IF($W126="","",IF(INDEX('Per Invoice'!P$2:P$801,$W126)="","",INDEX('Per Invoice'!P$2:P$801,$W126)))</f>
        <v/>
      </c>
      <c r="Q126" s="7">
        <f>IF($W126="","",IF(INDEX('Per Invoice'!Q$2:Q$801,$W126)="","",INDEX('Per Invoice'!Q$2:Q$801,$W126)))</f>
        <v/>
      </c>
      <c r="R126" s="7">
        <f>IF($W126="","",IF(INDEX('Per Invoice'!R$2:R$801,$W126)="","",INDEX('Per Invoice'!R$2:R$801,$W126)))</f>
        <v/>
      </c>
      <c r="S126" s="7">
        <f>IF($W126="","",IF(INDEX('Per Invoice'!S$2:S$801,$W126)="","",INDEX('Per Invoice'!S$2:S$801,$W126)))</f>
        <v/>
      </c>
      <c r="T126" s="7">
        <f>IF($W126="","",IF(INDEX('Per Invoice'!T$2:T$801,$W126)="","",INDEX('Per Invoice'!T$2:T$801,$W126)))</f>
        <v/>
      </c>
      <c r="U126" s="7">
        <f>IF($W126="","",IF(INDEX('Per Invoice'!U$2:U$801,$W126)="","",INDEX('Per Invoice'!U$2:U$801,$W126)))</f>
        <v/>
      </c>
      <c r="V126" s="7">
        <f>IF($W126="","",IF(INDEX('Per Invoice'!V$2:V$801,$W126)="","",INDEX('Per Invoice'!V$2:V$801,$W126)))</f>
        <v/>
      </c>
      <c r="W126" s="16">
        <f>IFERROR(MATCH(Settings!$C$31&amp;"|"&amp;ROWS($W$2:$W126),'Per Invoice'!$X$2:$X$801,0),"")</f>
        <v/>
      </c>
    </row>
    <row r="127">
      <c r="A127">
        <f>IF($W127="","",IF(INDEX('Per Invoice'!A$2:A$801,$W127)="","",INDEX('Per Invoice'!A$2:A$801,$W127)))</f>
        <v/>
      </c>
      <c r="B127">
        <f>IF($W127="","",IF(INDEX('Per Invoice'!B$2:B$801,$W127)="","",INDEX('Per Invoice'!B$2:B$801,$W127)))</f>
        <v/>
      </c>
      <c r="C127">
        <f>IF($W127="","",IF(INDEX('Per Invoice'!C$2:C$801,$W127)="","",INDEX('Per Invoice'!C$2:C$801,$W127)))</f>
        <v/>
      </c>
      <c r="D127">
        <f>IF($W127="","",IF(INDEX('Per Invoice'!D$2:D$801,$W127)="","",INDEX('Per Invoice'!D$2:D$801,$W127)))</f>
        <v/>
      </c>
      <c r="E127">
        <f>IF($W127="","",IF(INDEX('Per Invoice'!E$2:E$801,$W127)="","",INDEX('Per Invoice'!E$2:E$801,$W127)))</f>
        <v/>
      </c>
      <c r="F127">
        <f>IF($W127="","",IF(INDEX('Per Invoice'!F$2:F$801,$W127)="","",INDEX('Per Invoice'!F$2:F$801,$W127)))</f>
        <v/>
      </c>
      <c r="G127">
        <f>IF($W127="","",IF(INDEX('Per Invoice'!G$2:G$801,$W127)="","",INDEX('Per Invoice'!G$2:G$801,$W127)))</f>
        <v/>
      </c>
      <c r="H127">
        <f>IF($W127="","",IF(INDEX('Per Invoice'!H$2:H$801,$W127)="","",INDEX('Per Invoice'!H$2:H$801,$W127)))</f>
        <v/>
      </c>
      <c r="I127">
        <f>IF($W127="","",IF(INDEX('Per Invoice'!I$2:I$801,$W127)="","",INDEX('Per Invoice'!I$2:I$801,$W127)))</f>
        <v/>
      </c>
      <c r="J127">
        <f>IF($W127="","",IF(INDEX('Per Invoice'!J$2:J$801,$W127)="","",INDEX('Per Invoice'!J$2:J$801,$W127)))</f>
        <v/>
      </c>
      <c r="K127" s="7">
        <f>IF($W127="","",IF(INDEX('Per Invoice'!K$2:K$801,$W127)="","",INDEX('Per Invoice'!K$2:K$801,$W127)))</f>
        <v/>
      </c>
      <c r="L127" s="14">
        <f>IF($W127="","",IF(INDEX('Per Invoice'!L$2:L$801,$W127)="","",INDEX('Per Invoice'!L$2:L$801,$W127)))</f>
        <v/>
      </c>
      <c r="M127">
        <f>IF($W127="","",IF(INDEX('Per Invoice'!M$2:M$801,$W127)="","",INDEX('Per Invoice'!M$2:M$801,$W127)))</f>
        <v/>
      </c>
      <c r="N127" s="7">
        <f>IF($W127="","",IF(INDEX('Per Invoice'!N$2:N$801,$W127)="","",INDEX('Per Invoice'!N$2:N$801,$W127)))</f>
        <v/>
      </c>
      <c r="O127" s="7">
        <f>IF($W127="","",IF(INDEX('Per Invoice'!O$2:O$801,$W127)="","",INDEX('Per Invoice'!O$2:O$801,$W127)))</f>
        <v/>
      </c>
      <c r="P127">
        <f>IF($W127="","",IF(INDEX('Per Invoice'!P$2:P$801,$W127)="","",INDEX('Per Invoice'!P$2:P$801,$W127)))</f>
        <v/>
      </c>
      <c r="Q127" s="7">
        <f>IF($W127="","",IF(INDEX('Per Invoice'!Q$2:Q$801,$W127)="","",INDEX('Per Invoice'!Q$2:Q$801,$W127)))</f>
        <v/>
      </c>
      <c r="R127" s="7">
        <f>IF($W127="","",IF(INDEX('Per Invoice'!R$2:R$801,$W127)="","",INDEX('Per Invoice'!R$2:R$801,$W127)))</f>
        <v/>
      </c>
      <c r="S127" s="7">
        <f>IF($W127="","",IF(INDEX('Per Invoice'!S$2:S$801,$W127)="","",INDEX('Per Invoice'!S$2:S$801,$W127)))</f>
        <v/>
      </c>
      <c r="T127" s="7">
        <f>IF($W127="","",IF(INDEX('Per Invoice'!T$2:T$801,$W127)="","",INDEX('Per Invoice'!T$2:T$801,$W127)))</f>
        <v/>
      </c>
      <c r="U127" s="7">
        <f>IF($W127="","",IF(INDEX('Per Invoice'!U$2:U$801,$W127)="","",INDEX('Per Invoice'!U$2:U$801,$W127)))</f>
        <v/>
      </c>
      <c r="V127" s="7">
        <f>IF($W127="","",IF(INDEX('Per Invoice'!V$2:V$801,$W127)="","",INDEX('Per Invoice'!V$2:V$801,$W127)))</f>
        <v/>
      </c>
      <c r="W127" s="16">
        <f>IFERROR(MATCH(Settings!$C$31&amp;"|"&amp;ROWS($W$2:$W127),'Per Invoice'!$X$2:$X$801,0),"")</f>
        <v/>
      </c>
    </row>
    <row r="128">
      <c r="A128">
        <f>IF($W128="","",IF(INDEX('Per Invoice'!A$2:A$801,$W128)="","",INDEX('Per Invoice'!A$2:A$801,$W128)))</f>
        <v/>
      </c>
      <c r="B128">
        <f>IF($W128="","",IF(INDEX('Per Invoice'!B$2:B$801,$W128)="","",INDEX('Per Invoice'!B$2:B$801,$W128)))</f>
        <v/>
      </c>
      <c r="C128">
        <f>IF($W128="","",IF(INDEX('Per Invoice'!C$2:C$801,$W128)="","",INDEX('Per Invoice'!C$2:C$801,$W128)))</f>
        <v/>
      </c>
      <c r="D128">
        <f>IF($W128="","",IF(INDEX('Per Invoice'!D$2:D$801,$W128)="","",INDEX('Per Invoice'!D$2:D$801,$W128)))</f>
        <v/>
      </c>
      <c r="E128">
        <f>IF($W128="","",IF(INDEX('Per Invoice'!E$2:E$801,$W128)="","",INDEX('Per Invoice'!E$2:E$801,$W128)))</f>
        <v/>
      </c>
      <c r="F128">
        <f>IF($W128="","",IF(INDEX('Per Invoice'!F$2:F$801,$W128)="","",INDEX('Per Invoice'!F$2:F$801,$W128)))</f>
        <v/>
      </c>
      <c r="G128">
        <f>IF($W128="","",IF(INDEX('Per Invoice'!G$2:G$801,$W128)="","",INDEX('Per Invoice'!G$2:G$801,$W128)))</f>
        <v/>
      </c>
      <c r="H128">
        <f>IF($W128="","",IF(INDEX('Per Invoice'!H$2:H$801,$W128)="","",INDEX('Per Invoice'!H$2:H$801,$W128)))</f>
        <v/>
      </c>
      <c r="I128">
        <f>IF($W128="","",IF(INDEX('Per Invoice'!I$2:I$801,$W128)="","",INDEX('Per Invoice'!I$2:I$801,$W128)))</f>
        <v/>
      </c>
      <c r="J128">
        <f>IF($W128="","",IF(INDEX('Per Invoice'!J$2:J$801,$W128)="","",INDEX('Per Invoice'!J$2:J$801,$W128)))</f>
        <v/>
      </c>
      <c r="K128" s="7">
        <f>IF($W128="","",IF(INDEX('Per Invoice'!K$2:K$801,$W128)="","",INDEX('Per Invoice'!K$2:K$801,$W128)))</f>
        <v/>
      </c>
      <c r="L128" s="14">
        <f>IF($W128="","",IF(INDEX('Per Invoice'!L$2:L$801,$W128)="","",INDEX('Per Invoice'!L$2:L$801,$W128)))</f>
        <v/>
      </c>
      <c r="M128">
        <f>IF($W128="","",IF(INDEX('Per Invoice'!M$2:M$801,$W128)="","",INDEX('Per Invoice'!M$2:M$801,$W128)))</f>
        <v/>
      </c>
      <c r="N128" s="7">
        <f>IF($W128="","",IF(INDEX('Per Invoice'!N$2:N$801,$W128)="","",INDEX('Per Invoice'!N$2:N$801,$W128)))</f>
        <v/>
      </c>
      <c r="O128" s="7">
        <f>IF($W128="","",IF(INDEX('Per Invoice'!O$2:O$801,$W128)="","",INDEX('Per Invoice'!O$2:O$801,$W128)))</f>
        <v/>
      </c>
      <c r="P128">
        <f>IF($W128="","",IF(INDEX('Per Invoice'!P$2:P$801,$W128)="","",INDEX('Per Invoice'!P$2:P$801,$W128)))</f>
        <v/>
      </c>
      <c r="Q128" s="7">
        <f>IF($W128="","",IF(INDEX('Per Invoice'!Q$2:Q$801,$W128)="","",INDEX('Per Invoice'!Q$2:Q$801,$W128)))</f>
        <v/>
      </c>
      <c r="R128" s="7">
        <f>IF($W128="","",IF(INDEX('Per Invoice'!R$2:R$801,$W128)="","",INDEX('Per Invoice'!R$2:R$801,$W128)))</f>
        <v/>
      </c>
      <c r="S128" s="7">
        <f>IF($W128="","",IF(INDEX('Per Invoice'!S$2:S$801,$W128)="","",INDEX('Per Invoice'!S$2:S$801,$W128)))</f>
        <v/>
      </c>
      <c r="T128" s="7">
        <f>IF($W128="","",IF(INDEX('Per Invoice'!T$2:T$801,$W128)="","",INDEX('Per Invoice'!T$2:T$801,$W128)))</f>
        <v/>
      </c>
      <c r="U128" s="7">
        <f>IF($W128="","",IF(INDEX('Per Invoice'!U$2:U$801,$W128)="","",INDEX('Per Invoice'!U$2:U$801,$W128)))</f>
        <v/>
      </c>
      <c r="V128" s="7">
        <f>IF($W128="","",IF(INDEX('Per Invoice'!V$2:V$801,$W128)="","",INDEX('Per Invoice'!V$2:V$801,$W128)))</f>
        <v/>
      </c>
      <c r="W128" s="16">
        <f>IFERROR(MATCH(Settings!$C$31&amp;"|"&amp;ROWS($W$2:$W128),'Per Invoice'!$X$2:$X$801,0),"")</f>
        <v/>
      </c>
    </row>
    <row r="129">
      <c r="A129">
        <f>IF($W129="","",IF(INDEX('Per Invoice'!A$2:A$801,$W129)="","",INDEX('Per Invoice'!A$2:A$801,$W129)))</f>
        <v/>
      </c>
      <c r="B129">
        <f>IF($W129="","",IF(INDEX('Per Invoice'!B$2:B$801,$W129)="","",INDEX('Per Invoice'!B$2:B$801,$W129)))</f>
        <v/>
      </c>
      <c r="C129">
        <f>IF($W129="","",IF(INDEX('Per Invoice'!C$2:C$801,$W129)="","",INDEX('Per Invoice'!C$2:C$801,$W129)))</f>
        <v/>
      </c>
      <c r="D129">
        <f>IF($W129="","",IF(INDEX('Per Invoice'!D$2:D$801,$W129)="","",INDEX('Per Invoice'!D$2:D$801,$W129)))</f>
        <v/>
      </c>
      <c r="E129">
        <f>IF($W129="","",IF(INDEX('Per Invoice'!E$2:E$801,$W129)="","",INDEX('Per Invoice'!E$2:E$801,$W129)))</f>
        <v/>
      </c>
      <c r="F129">
        <f>IF($W129="","",IF(INDEX('Per Invoice'!F$2:F$801,$W129)="","",INDEX('Per Invoice'!F$2:F$801,$W129)))</f>
        <v/>
      </c>
      <c r="G129">
        <f>IF($W129="","",IF(INDEX('Per Invoice'!G$2:G$801,$W129)="","",INDEX('Per Invoice'!G$2:G$801,$W129)))</f>
        <v/>
      </c>
      <c r="H129">
        <f>IF($W129="","",IF(INDEX('Per Invoice'!H$2:H$801,$W129)="","",INDEX('Per Invoice'!H$2:H$801,$W129)))</f>
        <v/>
      </c>
      <c r="I129">
        <f>IF($W129="","",IF(INDEX('Per Invoice'!I$2:I$801,$W129)="","",INDEX('Per Invoice'!I$2:I$801,$W129)))</f>
        <v/>
      </c>
      <c r="J129">
        <f>IF($W129="","",IF(INDEX('Per Invoice'!J$2:J$801,$W129)="","",INDEX('Per Invoice'!J$2:J$801,$W129)))</f>
        <v/>
      </c>
      <c r="K129" s="7">
        <f>IF($W129="","",IF(INDEX('Per Invoice'!K$2:K$801,$W129)="","",INDEX('Per Invoice'!K$2:K$801,$W129)))</f>
        <v/>
      </c>
      <c r="L129" s="14">
        <f>IF($W129="","",IF(INDEX('Per Invoice'!L$2:L$801,$W129)="","",INDEX('Per Invoice'!L$2:L$801,$W129)))</f>
        <v/>
      </c>
      <c r="M129">
        <f>IF($W129="","",IF(INDEX('Per Invoice'!M$2:M$801,$W129)="","",INDEX('Per Invoice'!M$2:M$801,$W129)))</f>
        <v/>
      </c>
      <c r="N129" s="7">
        <f>IF($W129="","",IF(INDEX('Per Invoice'!N$2:N$801,$W129)="","",INDEX('Per Invoice'!N$2:N$801,$W129)))</f>
        <v/>
      </c>
      <c r="O129" s="7">
        <f>IF($W129="","",IF(INDEX('Per Invoice'!O$2:O$801,$W129)="","",INDEX('Per Invoice'!O$2:O$801,$W129)))</f>
        <v/>
      </c>
      <c r="P129">
        <f>IF($W129="","",IF(INDEX('Per Invoice'!P$2:P$801,$W129)="","",INDEX('Per Invoice'!P$2:P$801,$W129)))</f>
        <v/>
      </c>
      <c r="Q129" s="7">
        <f>IF($W129="","",IF(INDEX('Per Invoice'!Q$2:Q$801,$W129)="","",INDEX('Per Invoice'!Q$2:Q$801,$W129)))</f>
        <v/>
      </c>
      <c r="R129" s="7">
        <f>IF($W129="","",IF(INDEX('Per Invoice'!R$2:R$801,$W129)="","",INDEX('Per Invoice'!R$2:R$801,$W129)))</f>
        <v/>
      </c>
      <c r="S129" s="7">
        <f>IF($W129="","",IF(INDEX('Per Invoice'!S$2:S$801,$W129)="","",INDEX('Per Invoice'!S$2:S$801,$W129)))</f>
        <v/>
      </c>
      <c r="T129" s="7">
        <f>IF($W129="","",IF(INDEX('Per Invoice'!T$2:T$801,$W129)="","",INDEX('Per Invoice'!T$2:T$801,$W129)))</f>
        <v/>
      </c>
      <c r="U129" s="7">
        <f>IF($W129="","",IF(INDEX('Per Invoice'!U$2:U$801,$W129)="","",INDEX('Per Invoice'!U$2:U$801,$W129)))</f>
        <v/>
      </c>
      <c r="V129" s="7">
        <f>IF($W129="","",IF(INDEX('Per Invoice'!V$2:V$801,$W129)="","",INDEX('Per Invoice'!V$2:V$801,$W129)))</f>
        <v/>
      </c>
      <c r="W129" s="16">
        <f>IFERROR(MATCH(Settings!$C$31&amp;"|"&amp;ROWS($W$2:$W129),'Per Invoice'!$X$2:$X$801,0),"")</f>
        <v/>
      </c>
    </row>
    <row r="130">
      <c r="A130">
        <f>IF($W130="","",IF(INDEX('Per Invoice'!A$2:A$801,$W130)="","",INDEX('Per Invoice'!A$2:A$801,$W130)))</f>
        <v/>
      </c>
      <c r="B130">
        <f>IF($W130="","",IF(INDEX('Per Invoice'!B$2:B$801,$W130)="","",INDEX('Per Invoice'!B$2:B$801,$W130)))</f>
        <v/>
      </c>
      <c r="C130">
        <f>IF($W130="","",IF(INDEX('Per Invoice'!C$2:C$801,$W130)="","",INDEX('Per Invoice'!C$2:C$801,$W130)))</f>
        <v/>
      </c>
      <c r="D130">
        <f>IF($W130="","",IF(INDEX('Per Invoice'!D$2:D$801,$W130)="","",INDEX('Per Invoice'!D$2:D$801,$W130)))</f>
        <v/>
      </c>
      <c r="E130">
        <f>IF($W130="","",IF(INDEX('Per Invoice'!E$2:E$801,$W130)="","",INDEX('Per Invoice'!E$2:E$801,$W130)))</f>
        <v/>
      </c>
      <c r="F130">
        <f>IF($W130="","",IF(INDEX('Per Invoice'!F$2:F$801,$W130)="","",INDEX('Per Invoice'!F$2:F$801,$W130)))</f>
        <v/>
      </c>
      <c r="G130">
        <f>IF($W130="","",IF(INDEX('Per Invoice'!G$2:G$801,$W130)="","",INDEX('Per Invoice'!G$2:G$801,$W130)))</f>
        <v/>
      </c>
      <c r="H130">
        <f>IF($W130="","",IF(INDEX('Per Invoice'!H$2:H$801,$W130)="","",INDEX('Per Invoice'!H$2:H$801,$W130)))</f>
        <v/>
      </c>
      <c r="I130">
        <f>IF($W130="","",IF(INDEX('Per Invoice'!I$2:I$801,$W130)="","",INDEX('Per Invoice'!I$2:I$801,$W130)))</f>
        <v/>
      </c>
      <c r="J130">
        <f>IF($W130="","",IF(INDEX('Per Invoice'!J$2:J$801,$W130)="","",INDEX('Per Invoice'!J$2:J$801,$W130)))</f>
        <v/>
      </c>
      <c r="K130" s="7">
        <f>IF($W130="","",IF(INDEX('Per Invoice'!K$2:K$801,$W130)="","",INDEX('Per Invoice'!K$2:K$801,$W130)))</f>
        <v/>
      </c>
      <c r="L130" s="14">
        <f>IF($W130="","",IF(INDEX('Per Invoice'!L$2:L$801,$W130)="","",INDEX('Per Invoice'!L$2:L$801,$W130)))</f>
        <v/>
      </c>
      <c r="M130">
        <f>IF($W130="","",IF(INDEX('Per Invoice'!M$2:M$801,$W130)="","",INDEX('Per Invoice'!M$2:M$801,$W130)))</f>
        <v/>
      </c>
      <c r="N130" s="7">
        <f>IF($W130="","",IF(INDEX('Per Invoice'!N$2:N$801,$W130)="","",INDEX('Per Invoice'!N$2:N$801,$W130)))</f>
        <v/>
      </c>
      <c r="O130" s="7">
        <f>IF($W130="","",IF(INDEX('Per Invoice'!O$2:O$801,$W130)="","",INDEX('Per Invoice'!O$2:O$801,$W130)))</f>
        <v/>
      </c>
      <c r="P130">
        <f>IF($W130="","",IF(INDEX('Per Invoice'!P$2:P$801,$W130)="","",INDEX('Per Invoice'!P$2:P$801,$W130)))</f>
        <v/>
      </c>
      <c r="Q130" s="7">
        <f>IF($W130="","",IF(INDEX('Per Invoice'!Q$2:Q$801,$W130)="","",INDEX('Per Invoice'!Q$2:Q$801,$W130)))</f>
        <v/>
      </c>
      <c r="R130" s="7">
        <f>IF($W130="","",IF(INDEX('Per Invoice'!R$2:R$801,$W130)="","",INDEX('Per Invoice'!R$2:R$801,$W130)))</f>
        <v/>
      </c>
      <c r="S130" s="7">
        <f>IF($W130="","",IF(INDEX('Per Invoice'!S$2:S$801,$W130)="","",INDEX('Per Invoice'!S$2:S$801,$W130)))</f>
        <v/>
      </c>
      <c r="T130" s="7">
        <f>IF($W130="","",IF(INDEX('Per Invoice'!T$2:T$801,$W130)="","",INDEX('Per Invoice'!T$2:T$801,$W130)))</f>
        <v/>
      </c>
      <c r="U130" s="7">
        <f>IF($W130="","",IF(INDEX('Per Invoice'!U$2:U$801,$W130)="","",INDEX('Per Invoice'!U$2:U$801,$W130)))</f>
        <v/>
      </c>
      <c r="V130" s="7">
        <f>IF($W130="","",IF(INDEX('Per Invoice'!V$2:V$801,$W130)="","",INDEX('Per Invoice'!V$2:V$801,$W130)))</f>
        <v/>
      </c>
      <c r="W130" s="16">
        <f>IFERROR(MATCH(Settings!$C$31&amp;"|"&amp;ROWS($W$2:$W130),'Per Invoice'!$X$2:$X$801,0),"")</f>
        <v/>
      </c>
    </row>
    <row r="131">
      <c r="A131">
        <f>IF($W131="","",IF(INDEX('Per Invoice'!A$2:A$801,$W131)="","",INDEX('Per Invoice'!A$2:A$801,$W131)))</f>
        <v/>
      </c>
      <c r="B131">
        <f>IF($W131="","",IF(INDEX('Per Invoice'!B$2:B$801,$W131)="","",INDEX('Per Invoice'!B$2:B$801,$W131)))</f>
        <v/>
      </c>
      <c r="C131">
        <f>IF($W131="","",IF(INDEX('Per Invoice'!C$2:C$801,$W131)="","",INDEX('Per Invoice'!C$2:C$801,$W131)))</f>
        <v/>
      </c>
      <c r="D131">
        <f>IF($W131="","",IF(INDEX('Per Invoice'!D$2:D$801,$W131)="","",INDEX('Per Invoice'!D$2:D$801,$W131)))</f>
        <v/>
      </c>
      <c r="E131">
        <f>IF($W131="","",IF(INDEX('Per Invoice'!E$2:E$801,$W131)="","",INDEX('Per Invoice'!E$2:E$801,$W131)))</f>
        <v/>
      </c>
      <c r="F131">
        <f>IF($W131="","",IF(INDEX('Per Invoice'!F$2:F$801,$W131)="","",INDEX('Per Invoice'!F$2:F$801,$W131)))</f>
        <v/>
      </c>
      <c r="G131">
        <f>IF($W131="","",IF(INDEX('Per Invoice'!G$2:G$801,$W131)="","",INDEX('Per Invoice'!G$2:G$801,$W131)))</f>
        <v/>
      </c>
      <c r="H131">
        <f>IF($W131="","",IF(INDEX('Per Invoice'!H$2:H$801,$W131)="","",INDEX('Per Invoice'!H$2:H$801,$W131)))</f>
        <v/>
      </c>
      <c r="I131">
        <f>IF($W131="","",IF(INDEX('Per Invoice'!I$2:I$801,$W131)="","",INDEX('Per Invoice'!I$2:I$801,$W131)))</f>
        <v/>
      </c>
      <c r="J131">
        <f>IF($W131="","",IF(INDEX('Per Invoice'!J$2:J$801,$W131)="","",INDEX('Per Invoice'!J$2:J$801,$W131)))</f>
        <v/>
      </c>
      <c r="K131" s="7">
        <f>IF($W131="","",IF(INDEX('Per Invoice'!K$2:K$801,$W131)="","",INDEX('Per Invoice'!K$2:K$801,$W131)))</f>
        <v/>
      </c>
      <c r="L131" s="14">
        <f>IF($W131="","",IF(INDEX('Per Invoice'!L$2:L$801,$W131)="","",INDEX('Per Invoice'!L$2:L$801,$W131)))</f>
        <v/>
      </c>
      <c r="M131">
        <f>IF($W131="","",IF(INDEX('Per Invoice'!M$2:M$801,$W131)="","",INDEX('Per Invoice'!M$2:M$801,$W131)))</f>
        <v/>
      </c>
      <c r="N131" s="7">
        <f>IF($W131="","",IF(INDEX('Per Invoice'!N$2:N$801,$W131)="","",INDEX('Per Invoice'!N$2:N$801,$W131)))</f>
        <v/>
      </c>
      <c r="O131" s="7">
        <f>IF($W131="","",IF(INDEX('Per Invoice'!O$2:O$801,$W131)="","",INDEX('Per Invoice'!O$2:O$801,$W131)))</f>
        <v/>
      </c>
      <c r="P131">
        <f>IF($W131="","",IF(INDEX('Per Invoice'!P$2:P$801,$W131)="","",INDEX('Per Invoice'!P$2:P$801,$W131)))</f>
        <v/>
      </c>
      <c r="Q131" s="7">
        <f>IF($W131="","",IF(INDEX('Per Invoice'!Q$2:Q$801,$W131)="","",INDEX('Per Invoice'!Q$2:Q$801,$W131)))</f>
        <v/>
      </c>
      <c r="R131" s="7">
        <f>IF($W131="","",IF(INDEX('Per Invoice'!R$2:R$801,$W131)="","",INDEX('Per Invoice'!R$2:R$801,$W131)))</f>
        <v/>
      </c>
      <c r="S131" s="7">
        <f>IF($W131="","",IF(INDEX('Per Invoice'!S$2:S$801,$W131)="","",INDEX('Per Invoice'!S$2:S$801,$W131)))</f>
        <v/>
      </c>
      <c r="T131" s="7">
        <f>IF($W131="","",IF(INDEX('Per Invoice'!T$2:T$801,$W131)="","",INDEX('Per Invoice'!T$2:T$801,$W131)))</f>
        <v/>
      </c>
      <c r="U131" s="7">
        <f>IF($W131="","",IF(INDEX('Per Invoice'!U$2:U$801,$W131)="","",INDEX('Per Invoice'!U$2:U$801,$W131)))</f>
        <v/>
      </c>
      <c r="V131" s="7">
        <f>IF($W131="","",IF(INDEX('Per Invoice'!V$2:V$801,$W131)="","",INDEX('Per Invoice'!V$2:V$801,$W131)))</f>
        <v/>
      </c>
      <c r="W131" s="16">
        <f>IFERROR(MATCH(Settings!$C$31&amp;"|"&amp;ROWS($W$2:$W131),'Per Invoice'!$X$2:$X$801,0),"")</f>
        <v/>
      </c>
    </row>
    <row r="132">
      <c r="A132">
        <f>IF($W132="","",IF(INDEX('Per Invoice'!A$2:A$801,$W132)="","",INDEX('Per Invoice'!A$2:A$801,$W132)))</f>
        <v/>
      </c>
      <c r="B132">
        <f>IF($W132="","",IF(INDEX('Per Invoice'!B$2:B$801,$W132)="","",INDEX('Per Invoice'!B$2:B$801,$W132)))</f>
        <v/>
      </c>
      <c r="C132">
        <f>IF($W132="","",IF(INDEX('Per Invoice'!C$2:C$801,$W132)="","",INDEX('Per Invoice'!C$2:C$801,$W132)))</f>
        <v/>
      </c>
      <c r="D132">
        <f>IF($W132="","",IF(INDEX('Per Invoice'!D$2:D$801,$W132)="","",INDEX('Per Invoice'!D$2:D$801,$W132)))</f>
        <v/>
      </c>
      <c r="E132">
        <f>IF($W132="","",IF(INDEX('Per Invoice'!E$2:E$801,$W132)="","",INDEX('Per Invoice'!E$2:E$801,$W132)))</f>
        <v/>
      </c>
      <c r="F132">
        <f>IF($W132="","",IF(INDEX('Per Invoice'!F$2:F$801,$W132)="","",INDEX('Per Invoice'!F$2:F$801,$W132)))</f>
        <v/>
      </c>
      <c r="G132">
        <f>IF($W132="","",IF(INDEX('Per Invoice'!G$2:G$801,$W132)="","",INDEX('Per Invoice'!G$2:G$801,$W132)))</f>
        <v/>
      </c>
      <c r="H132">
        <f>IF($W132="","",IF(INDEX('Per Invoice'!H$2:H$801,$W132)="","",INDEX('Per Invoice'!H$2:H$801,$W132)))</f>
        <v/>
      </c>
      <c r="I132">
        <f>IF($W132="","",IF(INDEX('Per Invoice'!I$2:I$801,$W132)="","",INDEX('Per Invoice'!I$2:I$801,$W132)))</f>
        <v/>
      </c>
      <c r="J132">
        <f>IF($W132="","",IF(INDEX('Per Invoice'!J$2:J$801,$W132)="","",INDEX('Per Invoice'!J$2:J$801,$W132)))</f>
        <v/>
      </c>
      <c r="K132" s="7">
        <f>IF($W132="","",IF(INDEX('Per Invoice'!K$2:K$801,$W132)="","",INDEX('Per Invoice'!K$2:K$801,$W132)))</f>
        <v/>
      </c>
      <c r="L132" s="14">
        <f>IF($W132="","",IF(INDEX('Per Invoice'!L$2:L$801,$W132)="","",INDEX('Per Invoice'!L$2:L$801,$W132)))</f>
        <v/>
      </c>
      <c r="M132">
        <f>IF($W132="","",IF(INDEX('Per Invoice'!M$2:M$801,$W132)="","",INDEX('Per Invoice'!M$2:M$801,$W132)))</f>
        <v/>
      </c>
      <c r="N132" s="7">
        <f>IF($W132="","",IF(INDEX('Per Invoice'!N$2:N$801,$W132)="","",INDEX('Per Invoice'!N$2:N$801,$W132)))</f>
        <v/>
      </c>
      <c r="O132" s="7">
        <f>IF($W132="","",IF(INDEX('Per Invoice'!O$2:O$801,$W132)="","",INDEX('Per Invoice'!O$2:O$801,$W132)))</f>
        <v/>
      </c>
      <c r="P132">
        <f>IF($W132="","",IF(INDEX('Per Invoice'!P$2:P$801,$W132)="","",INDEX('Per Invoice'!P$2:P$801,$W132)))</f>
        <v/>
      </c>
      <c r="Q132" s="7">
        <f>IF($W132="","",IF(INDEX('Per Invoice'!Q$2:Q$801,$W132)="","",INDEX('Per Invoice'!Q$2:Q$801,$W132)))</f>
        <v/>
      </c>
      <c r="R132" s="7">
        <f>IF($W132="","",IF(INDEX('Per Invoice'!R$2:R$801,$W132)="","",INDEX('Per Invoice'!R$2:R$801,$W132)))</f>
        <v/>
      </c>
      <c r="S132" s="7">
        <f>IF($W132="","",IF(INDEX('Per Invoice'!S$2:S$801,$W132)="","",INDEX('Per Invoice'!S$2:S$801,$W132)))</f>
        <v/>
      </c>
      <c r="T132" s="7">
        <f>IF($W132="","",IF(INDEX('Per Invoice'!T$2:T$801,$W132)="","",INDEX('Per Invoice'!T$2:T$801,$W132)))</f>
        <v/>
      </c>
      <c r="U132" s="7">
        <f>IF($W132="","",IF(INDEX('Per Invoice'!U$2:U$801,$W132)="","",INDEX('Per Invoice'!U$2:U$801,$W132)))</f>
        <v/>
      </c>
      <c r="V132" s="7">
        <f>IF($W132="","",IF(INDEX('Per Invoice'!V$2:V$801,$W132)="","",INDEX('Per Invoice'!V$2:V$801,$W132)))</f>
        <v/>
      </c>
      <c r="W132" s="16">
        <f>IFERROR(MATCH(Settings!$C$31&amp;"|"&amp;ROWS($W$2:$W132),'Per Invoice'!$X$2:$X$801,0),"")</f>
        <v/>
      </c>
    </row>
    <row r="133">
      <c r="A133">
        <f>IF($W133="","",IF(INDEX('Per Invoice'!A$2:A$801,$W133)="","",INDEX('Per Invoice'!A$2:A$801,$W133)))</f>
        <v/>
      </c>
      <c r="B133">
        <f>IF($W133="","",IF(INDEX('Per Invoice'!B$2:B$801,$W133)="","",INDEX('Per Invoice'!B$2:B$801,$W133)))</f>
        <v/>
      </c>
      <c r="C133">
        <f>IF($W133="","",IF(INDEX('Per Invoice'!C$2:C$801,$W133)="","",INDEX('Per Invoice'!C$2:C$801,$W133)))</f>
        <v/>
      </c>
      <c r="D133">
        <f>IF($W133="","",IF(INDEX('Per Invoice'!D$2:D$801,$W133)="","",INDEX('Per Invoice'!D$2:D$801,$W133)))</f>
        <v/>
      </c>
      <c r="E133">
        <f>IF($W133="","",IF(INDEX('Per Invoice'!E$2:E$801,$W133)="","",INDEX('Per Invoice'!E$2:E$801,$W133)))</f>
        <v/>
      </c>
      <c r="F133">
        <f>IF($W133="","",IF(INDEX('Per Invoice'!F$2:F$801,$W133)="","",INDEX('Per Invoice'!F$2:F$801,$W133)))</f>
        <v/>
      </c>
      <c r="G133">
        <f>IF($W133="","",IF(INDEX('Per Invoice'!G$2:G$801,$W133)="","",INDEX('Per Invoice'!G$2:G$801,$W133)))</f>
        <v/>
      </c>
      <c r="H133">
        <f>IF($W133="","",IF(INDEX('Per Invoice'!H$2:H$801,$W133)="","",INDEX('Per Invoice'!H$2:H$801,$W133)))</f>
        <v/>
      </c>
      <c r="I133">
        <f>IF($W133="","",IF(INDEX('Per Invoice'!I$2:I$801,$W133)="","",INDEX('Per Invoice'!I$2:I$801,$W133)))</f>
        <v/>
      </c>
      <c r="J133">
        <f>IF($W133="","",IF(INDEX('Per Invoice'!J$2:J$801,$W133)="","",INDEX('Per Invoice'!J$2:J$801,$W133)))</f>
        <v/>
      </c>
      <c r="K133" s="7">
        <f>IF($W133="","",IF(INDEX('Per Invoice'!K$2:K$801,$W133)="","",INDEX('Per Invoice'!K$2:K$801,$W133)))</f>
        <v/>
      </c>
      <c r="L133" s="14">
        <f>IF($W133="","",IF(INDEX('Per Invoice'!L$2:L$801,$W133)="","",INDEX('Per Invoice'!L$2:L$801,$W133)))</f>
        <v/>
      </c>
      <c r="M133">
        <f>IF($W133="","",IF(INDEX('Per Invoice'!M$2:M$801,$W133)="","",INDEX('Per Invoice'!M$2:M$801,$W133)))</f>
        <v/>
      </c>
      <c r="N133" s="7">
        <f>IF($W133="","",IF(INDEX('Per Invoice'!N$2:N$801,$W133)="","",INDEX('Per Invoice'!N$2:N$801,$W133)))</f>
        <v/>
      </c>
      <c r="O133" s="7">
        <f>IF($W133="","",IF(INDEX('Per Invoice'!O$2:O$801,$W133)="","",INDEX('Per Invoice'!O$2:O$801,$W133)))</f>
        <v/>
      </c>
      <c r="P133">
        <f>IF($W133="","",IF(INDEX('Per Invoice'!P$2:P$801,$W133)="","",INDEX('Per Invoice'!P$2:P$801,$W133)))</f>
        <v/>
      </c>
      <c r="Q133" s="7">
        <f>IF($W133="","",IF(INDEX('Per Invoice'!Q$2:Q$801,$W133)="","",INDEX('Per Invoice'!Q$2:Q$801,$W133)))</f>
        <v/>
      </c>
      <c r="R133" s="7">
        <f>IF($W133="","",IF(INDEX('Per Invoice'!R$2:R$801,$W133)="","",INDEX('Per Invoice'!R$2:R$801,$W133)))</f>
        <v/>
      </c>
      <c r="S133" s="7">
        <f>IF($W133="","",IF(INDEX('Per Invoice'!S$2:S$801,$W133)="","",INDEX('Per Invoice'!S$2:S$801,$W133)))</f>
        <v/>
      </c>
      <c r="T133" s="7">
        <f>IF($W133="","",IF(INDEX('Per Invoice'!T$2:T$801,$W133)="","",INDEX('Per Invoice'!T$2:T$801,$W133)))</f>
        <v/>
      </c>
      <c r="U133" s="7">
        <f>IF($W133="","",IF(INDEX('Per Invoice'!U$2:U$801,$W133)="","",INDEX('Per Invoice'!U$2:U$801,$W133)))</f>
        <v/>
      </c>
      <c r="V133" s="7">
        <f>IF($W133="","",IF(INDEX('Per Invoice'!V$2:V$801,$W133)="","",INDEX('Per Invoice'!V$2:V$801,$W133)))</f>
        <v/>
      </c>
      <c r="W133" s="16">
        <f>IFERROR(MATCH(Settings!$C$31&amp;"|"&amp;ROWS($W$2:$W133),'Per Invoice'!$X$2:$X$801,0),"")</f>
        <v/>
      </c>
    </row>
    <row r="134">
      <c r="A134">
        <f>IF($W134="","",IF(INDEX('Per Invoice'!A$2:A$801,$W134)="","",INDEX('Per Invoice'!A$2:A$801,$W134)))</f>
        <v/>
      </c>
      <c r="B134">
        <f>IF($W134="","",IF(INDEX('Per Invoice'!B$2:B$801,$W134)="","",INDEX('Per Invoice'!B$2:B$801,$W134)))</f>
        <v/>
      </c>
      <c r="C134">
        <f>IF($W134="","",IF(INDEX('Per Invoice'!C$2:C$801,$W134)="","",INDEX('Per Invoice'!C$2:C$801,$W134)))</f>
        <v/>
      </c>
      <c r="D134">
        <f>IF($W134="","",IF(INDEX('Per Invoice'!D$2:D$801,$W134)="","",INDEX('Per Invoice'!D$2:D$801,$W134)))</f>
        <v/>
      </c>
      <c r="E134">
        <f>IF($W134="","",IF(INDEX('Per Invoice'!E$2:E$801,$W134)="","",INDEX('Per Invoice'!E$2:E$801,$W134)))</f>
        <v/>
      </c>
      <c r="F134">
        <f>IF($W134="","",IF(INDEX('Per Invoice'!F$2:F$801,$W134)="","",INDEX('Per Invoice'!F$2:F$801,$W134)))</f>
        <v/>
      </c>
      <c r="G134">
        <f>IF($W134="","",IF(INDEX('Per Invoice'!G$2:G$801,$W134)="","",INDEX('Per Invoice'!G$2:G$801,$W134)))</f>
        <v/>
      </c>
      <c r="H134">
        <f>IF($W134="","",IF(INDEX('Per Invoice'!H$2:H$801,$W134)="","",INDEX('Per Invoice'!H$2:H$801,$W134)))</f>
        <v/>
      </c>
      <c r="I134">
        <f>IF($W134="","",IF(INDEX('Per Invoice'!I$2:I$801,$W134)="","",INDEX('Per Invoice'!I$2:I$801,$W134)))</f>
        <v/>
      </c>
      <c r="J134">
        <f>IF($W134="","",IF(INDEX('Per Invoice'!J$2:J$801,$W134)="","",INDEX('Per Invoice'!J$2:J$801,$W134)))</f>
        <v/>
      </c>
      <c r="K134" s="7">
        <f>IF($W134="","",IF(INDEX('Per Invoice'!K$2:K$801,$W134)="","",INDEX('Per Invoice'!K$2:K$801,$W134)))</f>
        <v/>
      </c>
      <c r="L134" s="14">
        <f>IF($W134="","",IF(INDEX('Per Invoice'!L$2:L$801,$W134)="","",INDEX('Per Invoice'!L$2:L$801,$W134)))</f>
        <v/>
      </c>
      <c r="M134">
        <f>IF($W134="","",IF(INDEX('Per Invoice'!M$2:M$801,$W134)="","",INDEX('Per Invoice'!M$2:M$801,$W134)))</f>
        <v/>
      </c>
      <c r="N134" s="7">
        <f>IF($W134="","",IF(INDEX('Per Invoice'!N$2:N$801,$W134)="","",INDEX('Per Invoice'!N$2:N$801,$W134)))</f>
        <v/>
      </c>
      <c r="O134" s="7">
        <f>IF($W134="","",IF(INDEX('Per Invoice'!O$2:O$801,$W134)="","",INDEX('Per Invoice'!O$2:O$801,$W134)))</f>
        <v/>
      </c>
      <c r="P134">
        <f>IF($W134="","",IF(INDEX('Per Invoice'!P$2:P$801,$W134)="","",INDEX('Per Invoice'!P$2:P$801,$W134)))</f>
        <v/>
      </c>
      <c r="Q134" s="7">
        <f>IF($W134="","",IF(INDEX('Per Invoice'!Q$2:Q$801,$W134)="","",INDEX('Per Invoice'!Q$2:Q$801,$W134)))</f>
        <v/>
      </c>
      <c r="R134" s="7">
        <f>IF($W134="","",IF(INDEX('Per Invoice'!R$2:R$801,$W134)="","",INDEX('Per Invoice'!R$2:R$801,$W134)))</f>
        <v/>
      </c>
      <c r="S134" s="7">
        <f>IF($W134="","",IF(INDEX('Per Invoice'!S$2:S$801,$W134)="","",INDEX('Per Invoice'!S$2:S$801,$W134)))</f>
        <v/>
      </c>
      <c r="T134" s="7">
        <f>IF($W134="","",IF(INDEX('Per Invoice'!T$2:T$801,$W134)="","",INDEX('Per Invoice'!T$2:T$801,$W134)))</f>
        <v/>
      </c>
      <c r="U134" s="7">
        <f>IF($W134="","",IF(INDEX('Per Invoice'!U$2:U$801,$W134)="","",INDEX('Per Invoice'!U$2:U$801,$W134)))</f>
        <v/>
      </c>
      <c r="V134" s="7">
        <f>IF($W134="","",IF(INDEX('Per Invoice'!V$2:V$801,$W134)="","",INDEX('Per Invoice'!V$2:V$801,$W134)))</f>
        <v/>
      </c>
      <c r="W134" s="16">
        <f>IFERROR(MATCH(Settings!$C$31&amp;"|"&amp;ROWS($W$2:$W134),'Per Invoice'!$X$2:$X$801,0),"")</f>
        <v/>
      </c>
    </row>
    <row r="135">
      <c r="A135">
        <f>IF($W135="","",IF(INDEX('Per Invoice'!A$2:A$801,$W135)="","",INDEX('Per Invoice'!A$2:A$801,$W135)))</f>
        <v/>
      </c>
      <c r="B135">
        <f>IF($W135="","",IF(INDEX('Per Invoice'!B$2:B$801,$W135)="","",INDEX('Per Invoice'!B$2:B$801,$W135)))</f>
        <v/>
      </c>
      <c r="C135">
        <f>IF($W135="","",IF(INDEX('Per Invoice'!C$2:C$801,$W135)="","",INDEX('Per Invoice'!C$2:C$801,$W135)))</f>
        <v/>
      </c>
      <c r="D135">
        <f>IF($W135="","",IF(INDEX('Per Invoice'!D$2:D$801,$W135)="","",INDEX('Per Invoice'!D$2:D$801,$W135)))</f>
        <v/>
      </c>
      <c r="E135">
        <f>IF($W135="","",IF(INDEX('Per Invoice'!E$2:E$801,$W135)="","",INDEX('Per Invoice'!E$2:E$801,$W135)))</f>
        <v/>
      </c>
      <c r="F135">
        <f>IF($W135="","",IF(INDEX('Per Invoice'!F$2:F$801,$W135)="","",INDEX('Per Invoice'!F$2:F$801,$W135)))</f>
        <v/>
      </c>
      <c r="G135">
        <f>IF($W135="","",IF(INDEX('Per Invoice'!G$2:G$801,$W135)="","",INDEX('Per Invoice'!G$2:G$801,$W135)))</f>
        <v/>
      </c>
      <c r="H135">
        <f>IF($W135="","",IF(INDEX('Per Invoice'!H$2:H$801,$W135)="","",INDEX('Per Invoice'!H$2:H$801,$W135)))</f>
        <v/>
      </c>
      <c r="I135">
        <f>IF($W135="","",IF(INDEX('Per Invoice'!I$2:I$801,$W135)="","",INDEX('Per Invoice'!I$2:I$801,$W135)))</f>
        <v/>
      </c>
      <c r="J135">
        <f>IF($W135="","",IF(INDEX('Per Invoice'!J$2:J$801,$W135)="","",INDEX('Per Invoice'!J$2:J$801,$W135)))</f>
        <v/>
      </c>
      <c r="K135" s="7">
        <f>IF($W135="","",IF(INDEX('Per Invoice'!K$2:K$801,$W135)="","",INDEX('Per Invoice'!K$2:K$801,$W135)))</f>
        <v/>
      </c>
      <c r="L135" s="14">
        <f>IF($W135="","",IF(INDEX('Per Invoice'!L$2:L$801,$W135)="","",INDEX('Per Invoice'!L$2:L$801,$W135)))</f>
        <v/>
      </c>
      <c r="M135">
        <f>IF($W135="","",IF(INDEX('Per Invoice'!M$2:M$801,$W135)="","",INDEX('Per Invoice'!M$2:M$801,$W135)))</f>
        <v/>
      </c>
      <c r="N135" s="7">
        <f>IF($W135="","",IF(INDEX('Per Invoice'!N$2:N$801,$W135)="","",INDEX('Per Invoice'!N$2:N$801,$W135)))</f>
        <v/>
      </c>
      <c r="O135" s="7">
        <f>IF($W135="","",IF(INDEX('Per Invoice'!O$2:O$801,$W135)="","",INDEX('Per Invoice'!O$2:O$801,$W135)))</f>
        <v/>
      </c>
      <c r="P135">
        <f>IF($W135="","",IF(INDEX('Per Invoice'!P$2:P$801,$W135)="","",INDEX('Per Invoice'!P$2:P$801,$W135)))</f>
        <v/>
      </c>
      <c r="Q135" s="7">
        <f>IF($W135="","",IF(INDEX('Per Invoice'!Q$2:Q$801,$W135)="","",INDEX('Per Invoice'!Q$2:Q$801,$W135)))</f>
        <v/>
      </c>
      <c r="R135" s="7">
        <f>IF($W135="","",IF(INDEX('Per Invoice'!R$2:R$801,$W135)="","",INDEX('Per Invoice'!R$2:R$801,$W135)))</f>
        <v/>
      </c>
      <c r="S135" s="7">
        <f>IF($W135="","",IF(INDEX('Per Invoice'!S$2:S$801,$W135)="","",INDEX('Per Invoice'!S$2:S$801,$W135)))</f>
        <v/>
      </c>
      <c r="T135" s="7">
        <f>IF($W135="","",IF(INDEX('Per Invoice'!T$2:T$801,$W135)="","",INDEX('Per Invoice'!T$2:T$801,$W135)))</f>
        <v/>
      </c>
      <c r="U135" s="7">
        <f>IF($W135="","",IF(INDEX('Per Invoice'!U$2:U$801,$W135)="","",INDEX('Per Invoice'!U$2:U$801,$W135)))</f>
        <v/>
      </c>
      <c r="V135" s="7">
        <f>IF($W135="","",IF(INDEX('Per Invoice'!V$2:V$801,$W135)="","",INDEX('Per Invoice'!V$2:V$801,$W135)))</f>
        <v/>
      </c>
      <c r="W135" s="16">
        <f>IFERROR(MATCH(Settings!$C$31&amp;"|"&amp;ROWS($W$2:$W135),'Per Invoice'!$X$2:$X$801,0),"")</f>
        <v/>
      </c>
    </row>
    <row r="136">
      <c r="A136">
        <f>IF($W136="","",IF(INDEX('Per Invoice'!A$2:A$801,$W136)="","",INDEX('Per Invoice'!A$2:A$801,$W136)))</f>
        <v/>
      </c>
      <c r="B136">
        <f>IF($W136="","",IF(INDEX('Per Invoice'!B$2:B$801,$W136)="","",INDEX('Per Invoice'!B$2:B$801,$W136)))</f>
        <v/>
      </c>
      <c r="C136">
        <f>IF($W136="","",IF(INDEX('Per Invoice'!C$2:C$801,$W136)="","",INDEX('Per Invoice'!C$2:C$801,$W136)))</f>
        <v/>
      </c>
      <c r="D136">
        <f>IF($W136="","",IF(INDEX('Per Invoice'!D$2:D$801,$W136)="","",INDEX('Per Invoice'!D$2:D$801,$W136)))</f>
        <v/>
      </c>
      <c r="E136">
        <f>IF($W136="","",IF(INDEX('Per Invoice'!E$2:E$801,$W136)="","",INDEX('Per Invoice'!E$2:E$801,$W136)))</f>
        <v/>
      </c>
      <c r="F136">
        <f>IF($W136="","",IF(INDEX('Per Invoice'!F$2:F$801,$W136)="","",INDEX('Per Invoice'!F$2:F$801,$W136)))</f>
        <v/>
      </c>
      <c r="G136">
        <f>IF($W136="","",IF(INDEX('Per Invoice'!G$2:G$801,$W136)="","",INDEX('Per Invoice'!G$2:G$801,$W136)))</f>
        <v/>
      </c>
      <c r="H136">
        <f>IF($W136="","",IF(INDEX('Per Invoice'!H$2:H$801,$W136)="","",INDEX('Per Invoice'!H$2:H$801,$W136)))</f>
        <v/>
      </c>
      <c r="I136">
        <f>IF($W136="","",IF(INDEX('Per Invoice'!I$2:I$801,$W136)="","",INDEX('Per Invoice'!I$2:I$801,$W136)))</f>
        <v/>
      </c>
      <c r="J136">
        <f>IF($W136="","",IF(INDEX('Per Invoice'!J$2:J$801,$W136)="","",INDEX('Per Invoice'!J$2:J$801,$W136)))</f>
        <v/>
      </c>
      <c r="K136" s="7">
        <f>IF($W136="","",IF(INDEX('Per Invoice'!K$2:K$801,$W136)="","",INDEX('Per Invoice'!K$2:K$801,$W136)))</f>
        <v/>
      </c>
      <c r="L136" s="14">
        <f>IF($W136="","",IF(INDEX('Per Invoice'!L$2:L$801,$W136)="","",INDEX('Per Invoice'!L$2:L$801,$W136)))</f>
        <v/>
      </c>
      <c r="M136">
        <f>IF($W136="","",IF(INDEX('Per Invoice'!M$2:M$801,$W136)="","",INDEX('Per Invoice'!M$2:M$801,$W136)))</f>
        <v/>
      </c>
      <c r="N136" s="7">
        <f>IF($W136="","",IF(INDEX('Per Invoice'!N$2:N$801,$W136)="","",INDEX('Per Invoice'!N$2:N$801,$W136)))</f>
        <v/>
      </c>
      <c r="O136" s="7">
        <f>IF($W136="","",IF(INDEX('Per Invoice'!O$2:O$801,$W136)="","",INDEX('Per Invoice'!O$2:O$801,$W136)))</f>
        <v/>
      </c>
      <c r="P136">
        <f>IF($W136="","",IF(INDEX('Per Invoice'!P$2:P$801,$W136)="","",INDEX('Per Invoice'!P$2:P$801,$W136)))</f>
        <v/>
      </c>
      <c r="Q136" s="7">
        <f>IF($W136="","",IF(INDEX('Per Invoice'!Q$2:Q$801,$W136)="","",INDEX('Per Invoice'!Q$2:Q$801,$W136)))</f>
        <v/>
      </c>
      <c r="R136" s="7">
        <f>IF($W136="","",IF(INDEX('Per Invoice'!R$2:R$801,$W136)="","",INDEX('Per Invoice'!R$2:R$801,$W136)))</f>
        <v/>
      </c>
      <c r="S136" s="7">
        <f>IF($W136="","",IF(INDEX('Per Invoice'!S$2:S$801,$W136)="","",INDEX('Per Invoice'!S$2:S$801,$W136)))</f>
        <v/>
      </c>
      <c r="T136" s="7">
        <f>IF($W136="","",IF(INDEX('Per Invoice'!T$2:T$801,$W136)="","",INDEX('Per Invoice'!T$2:T$801,$W136)))</f>
        <v/>
      </c>
      <c r="U136" s="7">
        <f>IF($W136="","",IF(INDEX('Per Invoice'!U$2:U$801,$W136)="","",INDEX('Per Invoice'!U$2:U$801,$W136)))</f>
        <v/>
      </c>
      <c r="V136" s="7">
        <f>IF($W136="","",IF(INDEX('Per Invoice'!V$2:V$801,$W136)="","",INDEX('Per Invoice'!V$2:V$801,$W136)))</f>
        <v/>
      </c>
      <c r="W136" s="16">
        <f>IFERROR(MATCH(Settings!$C$31&amp;"|"&amp;ROWS($W$2:$W136),'Per Invoice'!$X$2:$X$801,0),"")</f>
        <v/>
      </c>
    </row>
    <row r="137">
      <c r="A137">
        <f>IF($W137="","",IF(INDEX('Per Invoice'!A$2:A$801,$W137)="","",INDEX('Per Invoice'!A$2:A$801,$W137)))</f>
        <v/>
      </c>
      <c r="B137">
        <f>IF($W137="","",IF(INDEX('Per Invoice'!B$2:B$801,$W137)="","",INDEX('Per Invoice'!B$2:B$801,$W137)))</f>
        <v/>
      </c>
      <c r="C137">
        <f>IF($W137="","",IF(INDEX('Per Invoice'!C$2:C$801,$W137)="","",INDEX('Per Invoice'!C$2:C$801,$W137)))</f>
        <v/>
      </c>
      <c r="D137">
        <f>IF($W137="","",IF(INDEX('Per Invoice'!D$2:D$801,$W137)="","",INDEX('Per Invoice'!D$2:D$801,$W137)))</f>
        <v/>
      </c>
      <c r="E137">
        <f>IF($W137="","",IF(INDEX('Per Invoice'!E$2:E$801,$W137)="","",INDEX('Per Invoice'!E$2:E$801,$W137)))</f>
        <v/>
      </c>
      <c r="F137">
        <f>IF($W137="","",IF(INDEX('Per Invoice'!F$2:F$801,$W137)="","",INDEX('Per Invoice'!F$2:F$801,$W137)))</f>
        <v/>
      </c>
      <c r="G137">
        <f>IF($W137="","",IF(INDEX('Per Invoice'!G$2:G$801,$W137)="","",INDEX('Per Invoice'!G$2:G$801,$W137)))</f>
        <v/>
      </c>
      <c r="H137">
        <f>IF($W137="","",IF(INDEX('Per Invoice'!H$2:H$801,$W137)="","",INDEX('Per Invoice'!H$2:H$801,$W137)))</f>
        <v/>
      </c>
      <c r="I137">
        <f>IF($W137="","",IF(INDEX('Per Invoice'!I$2:I$801,$W137)="","",INDEX('Per Invoice'!I$2:I$801,$W137)))</f>
        <v/>
      </c>
      <c r="J137">
        <f>IF($W137="","",IF(INDEX('Per Invoice'!J$2:J$801,$W137)="","",INDEX('Per Invoice'!J$2:J$801,$W137)))</f>
        <v/>
      </c>
      <c r="K137" s="7">
        <f>IF($W137="","",IF(INDEX('Per Invoice'!K$2:K$801,$W137)="","",INDEX('Per Invoice'!K$2:K$801,$W137)))</f>
        <v/>
      </c>
      <c r="L137" s="14">
        <f>IF($W137="","",IF(INDEX('Per Invoice'!L$2:L$801,$W137)="","",INDEX('Per Invoice'!L$2:L$801,$W137)))</f>
        <v/>
      </c>
      <c r="M137">
        <f>IF($W137="","",IF(INDEX('Per Invoice'!M$2:M$801,$W137)="","",INDEX('Per Invoice'!M$2:M$801,$W137)))</f>
        <v/>
      </c>
      <c r="N137" s="7">
        <f>IF($W137="","",IF(INDEX('Per Invoice'!N$2:N$801,$W137)="","",INDEX('Per Invoice'!N$2:N$801,$W137)))</f>
        <v/>
      </c>
      <c r="O137" s="7">
        <f>IF($W137="","",IF(INDEX('Per Invoice'!O$2:O$801,$W137)="","",INDEX('Per Invoice'!O$2:O$801,$W137)))</f>
        <v/>
      </c>
      <c r="P137">
        <f>IF($W137="","",IF(INDEX('Per Invoice'!P$2:P$801,$W137)="","",INDEX('Per Invoice'!P$2:P$801,$W137)))</f>
        <v/>
      </c>
      <c r="Q137" s="7">
        <f>IF($W137="","",IF(INDEX('Per Invoice'!Q$2:Q$801,$W137)="","",INDEX('Per Invoice'!Q$2:Q$801,$W137)))</f>
        <v/>
      </c>
      <c r="R137" s="7">
        <f>IF($W137="","",IF(INDEX('Per Invoice'!R$2:R$801,$W137)="","",INDEX('Per Invoice'!R$2:R$801,$W137)))</f>
        <v/>
      </c>
      <c r="S137" s="7">
        <f>IF($W137="","",IF(INDEX('Per Invoice'!S$2:S$801,$W137)="","",INDEX('Per Invoice'!S$2:S$801,$W137)))</f>
        <v/>
      </c>
      <c r="T137" s="7">
        <f>IF($W137="","",IF(INDEX('Per Invoice'!T$2:T$801,$W137)="","",INDEX('Per Invoice'!T$2:T$801,$W137)))</f>
        <v/>
      </c>
      <c r="U137" s="7">
        <f>IF($W137="","",IF(INDEX('Per Invoice'!U$2:U$801,$W137)="","",INDEX('Per Invoice'!U$2:U$801,$W137)))</f>
        <v/>
      </c>
      <c r="V137" s="7">
        <f>IF($W137="","",IF(INDEX('Per Invoice'!V$2:V$801,$W137)="","",INDEX('Per Invoice'!V$2:V$801,$W137)))</f>
        <v/>
      </c>
      <c r="W137" s="16">
        <f>IFERROR(MATCH(Settings!$C$31&amp;"|"&amp;ROWS($W$2:$W137),'Per Invoice'!$X$2:$X$801,0),"")</f>
        <v/>
      </c>
    </row>
    <row r="138">
      <c r="A138">
        <f>IF($W138="","",IF(INDEX('Per Invoice'!A$2:A$801,$W138)="","",INDEX('Per Invoice'!A$2:A$801,$W138)))</f>
        <v/>
      </c>
      <c r="B138">
        <f>IF($W138="","",IF(INDEX('Per Invoice'!B$2:B$801,$W138)="","",INDEX('Per Invoice'!B$2:B$801,$W138)))</f>
        <v/>
      </c>
      <c r="C138">
        <f>IF($W138="","",IF(INDEX('Per Invoice'!C$2:C$801,$W138)="","",INDEX('Per Invoice'!C$2:C$801,$W138)))</f>
        <v/>
      </c>
      <c r="D138">
        <f>IF($W138="","",IF(INDEX('Per Invoice'!D$2:D$801,$W138)="","",INDEX('Per Invoice'!D$2:D$801,$W138)))</f>
        <v/>
      </c>
      <c r="E138">
        <f>IF($W138="","",IF(INDEX('Per Invoice'!E$2:E$801,$W138)="","",INDEX('Per Invoice'!E$2:E$801,$W138)))</f>
        <v/>
      </c>
      <c r="F138">
        <f>IF($W138="","",IF(INDEX('Per Invoice'!F$2:F$801,$W138)="","",INDEX('Per Invoice'!F$2:F$801,$W138)))</f>
        <v/>
      </c>
      <c r="G138">
        <f>IF($W138="","",IF(INDEX('Per Invoice'!G$2:G$801,$W138)="","",INDEX('Per Invoice'!G$2:G$801,$W138)))</f>
        <v/>
      </c>
      <c r="H138">
        <f>IF($W138="","",IF(INDEX('Per Invoice'!H$2:H$801,$W138)="","",INDEX('Per Invoice'!H$2:H$801,$W138)))</f>
        <v/>
      </c>
      <c r="I138">
        <f>IF($W138="","",IF(INDEX('Per Invoice'!I$2:I$801,$W138)="","",INDEX('Per Invoice'!I$2:I$801,$W138)))</f>
        <v/>
      </c>
      <c r="J138">
        <f>IF($W138="","",IF(INDEX('Per Invoice'!J$2:J$801,$W138)="","",INDEX('Per Invoice'!J$2:J$801,$W138)))</f>
        <v/>
      </c>
      <c r="K138" s="7">
        <f>IF($W138="","",IF(INDEX('Per Invoice'!K$2:K$801,$W138)="","",INDEX('Per Invoice'!K$2:K$801,$W138)))</f>
        <v/>
      </c>
      <c r="L138" s="14">
        <f>IF($W138="","",IF(INDEX('Per Invoice'!L$2:L$801,$W138)="","",INDEX('Per Invoice'!L$2:L$801,$W138)))</f>
        <v/>
      </c>
      <c r="M138">
        <f>IF($W138="","",IF(INDEX('Per Invoice'!M$2:M$801,$W138)="","",INDEX('Per Invoice'!M$2:M$801,$W138)))</f>
        <v/>
      </c>
      <c r="N138" s="7">
        <f>IF($W138="","",IF(INDEX('Per Invoice'!N$2:N$801,$W138)="","",INDEX('Per Invoice'!N$2:N$801,$W138)))</f>
        <v/>
      </c>
      <c r="O138" s="7">
        <f>IF($W138="","",IF(INDEX('Per Invoice'!O$2:O$801,$W138)="","",INDEX('Per Invoice'!O$2:O$801,$W138)))</f>
        <v/>
      </c>
      <c r="P138">
        <f>IF($W138="","",IF(INDEX('Per Invoice'!P$2:P$801,$W138)="","",INDEX('Per Invoice'!P$2:P$801,$W138)))</f>
        <v/>
      </c>
      <c r="Q138" s="7">
        <f>IF($W138="","",IF(INDEX('Per Invoice'!Q$2:Q$801,$W138)="","",INDEX('Per Invoice'!Q$2:Q$801,$W138)))</f>
        <v/>
      </c>
      <c r="R138" s="7">
        <f>IF($W138="","",IF(INDEX('Per Invoice'!R$2:R$801,$W138)="","",INDEX('Per Invoice'!R$2:R$801,$W138)))</f>
        <v/>
      </c>
      <c r="S138" s="7">
        <f>IF($W138="","",IF(INDEX('Per Invoice'!S$2:S$801,$W138)="","",INDEX('Per Invoice'!S$2:S$801,$W138)))</f>
        <v/>
      </c>
      <c r="T138" s="7">
        <f>IF($W138="","",IF(INDEX('Per Invoice'!T$2:T$801,$W138)="","",INDEX('Per Invoice'!T$2:T$801,$W138)))</f>
        <v/>
      </c>
      <c r="U138" s="7">
        <f>IF($W138="","",IF(INDEX('Per Invoice'!U$2:U$801,$W138)="","",INDEX('Per Invoice'!U$2:U$801,$W138)))</f>
        <v/>
      </c>
      <c r="V138" s="7">
        <f>IF($W138="","",IF(INDEX('Per Invoice'!V$2:V$801,$W138)="","",INDEX('Per Invoice'!V$2:V$801,$W138)))</f>
        <v/>
      </c>
      <c r="W138" s="16">
        <f>IFERROR(MATCH(Settings!$C$31&amp;"|"&amp;ROWS($W$2:$W138),'Per Invoice'!$X$2:$X$801,0),"")</f>
        <v/>
      </c>
    </row>
    <row r="139">
      <c r="A139">
        <f>IF($W139="","",IF(INDEX('Per Invoice'!A$2:A$801,$W139)="","",INDEX('Per Invoice'!A$2:A$801,$W139)))</f>
        <v/>
      </c>
      <c r="B139">
        <f>IF($W139="","",IF(INDEX('Per Invoice'!B$2:B$801,$W139)="","",INDEX('Per Invoice'!B$2:B$801,$W139)))</f>
        <v/>
      </c>
      <c r="C139">
        <f>IF($W139="","",IF(INDEX('Per Invoice'!C$2:C$801,$W139)="","",INDEX('Per Invoice'!C$2:C$801,$W139)))</f>
        <v/>
      </c>
      <c r="D139">
        <f>IF($W139="","",IF(INDEX('Per Invoice'!D$2:D$801,$W139)="","",INDEX('Per Invoice'!D$2:D$801,$W139)))</f>
        <v/>
      </c>
      <c r="E139">
        <f>IF($W139="","",IF(INDEX('Per Invoice'!E$2:E$801,$W139)="","",INDEX('Per Invoice'!E$2:E$801,$W139)))</f>
        <v/>
      </c>
      <c r="F139">
        <f>IF($W139="","",IF(INDEX('Per Invoice'!F$2:F$801,$W139)="","",INDEX('Per Invoice'!F$2:F$801,$W139)))</f>
        <v/>
      </c>
      <c r="G139">
        <f>IF($W139="","",IF(INDEX('Per Invoice'!G$2:G$801,$W139)="","",INDEX('Per Invoice'!G$2:G$801,$W139)))</f>
        <v/>
      </c>
      <c r="H139">
        <f>IF($W139="","",IF(INDEX('Per Invoice'!H$2:H$801,$W139)="","",INDEX('Per Invoice'!H$2:H$801,$W139)))</f>
        <v/>
      </c>
      <c r="I139">
        <f>IF($W139="","",IF(INDEX('Per Invoice'!I$2:I$801,$W139)="","",INDEX('Per Invoice'!I$2:I$801,$W139)))</f>
        <v/>
      </c>
      <c r="J139">
        <f>IF($W139="","",IF(INDEX('Per Invoice'!J$2:J$801,$W139)="","",INDEX('Per Invoice'!J$2:J$801,$W139)))</f>
        <v/>
      </c>
      <c r="K139" s="7">
        <f>IF($W139="","",IF(INDEX('Per Invoice'!K$2:K$801,$W139)="","",INDEX('Per Invoice'!K$2:K$801,$W139)))</f>
        <v/>
      </c>
      <c r="L139" s="14">
        <f>IF($W139="","",IF(INDEX('Per Invoice'!L$2:L$801,$W139)="","",INDEX('Per Invoice'!L$2:L$801,$W139)))</f>
        <v/>
      </c>
      <c r="M139">
        <f>IF($W139="","",IF(INDEX('Per Invoice'!M$2:M$801,$W139)="","",INDEX('Per Invoice'!M$2:M$801,$W139)))</f>
        <v/>
      </c>
      <c r="N139" s="7">
        <f>IF($W139="","",IF(INDEX('Per Invoice'!N$2:N$801,$W139)="","",INDEX('Per Invoice'!N$2:N$801,$W139)))</f>
        <v/>
      </c>
      <c r="O139" s="7">
        <f>IF($W139="","",IF(INDEX('Per Invoice'!O$2:O$801,$W139)="","",INDEX('Per Invoice'!O$2:O$801,$W139)))</f>
        <v/>
      </c>
      <c r="P139">
        <f>IF($W139="","",IF(INDEX('Per Invoice'!P$2:P$801,$W139)="","",INDEX('Per Invoice'!P$2:P$801,$W139)))</f>
        <v/>
      </c>
      <c r="Q139" s="7">
        <f>IF($W139="","",IF(INDEX('Per Invoice'!Q$2:Q$801,$W139)="","",INDEX('Per Invoice'!Q$2:Q$801,$W139)))</f>
        <v/>
      </c>
      <c r="R139" s="7">
        <f>IF($W139="","",IF(INDEX('Per Invoice'!R$2:R$801,$W139)="","",INDEX('Per Invoice'!R$2:R$801,$W139)))</f>
        <v/>
      </c>
      <c r="S139" s="7">
        <f>IF($W139="","",IF(INDEX('Per Invoice'!S$2:S$801,$W139)="","",INDEX('Per Invoice'!S$2:S$801,$W139)))</f>
        <v/>
      </c>
      <c r="T139" s="7">
        <f>IF($W139="","",IF(INDEX('Per Invoice'!T$2:T$801,$W139)="","",INDEX('Per Invoice'!T$2:T$801,$W139)))</f>
        <v/>
      </c>
      <c r="U139" s="7">
        <f>IF($W139="","",IF(INDEX('Per Invoice'!U$2:U$801,$W139)="","",INDEX('Per Invoice'!U$2:U$801,$W139)))</f>
        <v/>
      </c>
      <c r="V139" s="7">
        <f>IF($W139="","",IF(INDEX('Per Invoice'!V$2:V$801,$W139)="","",INDEX('Per Invoice'!V$2:V$801,$W139)))</f>
        <v/>
      </c>
      <c r="W139" s="16">
        <f>IFERROR(MATCH(Settings!$C$31&amp;"|"&amp;ROWS($W$2:$W139),'Per Invoice'!$X$2:$X$801,0),"")</f>
        <v/>
      </c>
    </row>
    <row r="140">
      <c r="A140">
        <f>IF($W140="","",IF(INDEX('Per Invoice'!A$2:A$801,$W140)="","",INDEX('Per Invoice'!A$2:A$801,$W140)))</f>
        <v/>
      </c>
      <c r="B140">
        <f>IF($W140="","",IF(INDEX('Per Invoice'!B$2:B$801,$W140)="","",INDEX('Per Invoice'!B$2:B$801,$W140)))</f>
        <v/>
      </c>
      <c r="C140">
        <f>IF($W140="","",IF(INDEX('Per Invoice'!C$2:C$801,$W140)="","",INDEX('Per Invoice'!C$2:C$801,$W140)))</f>
        <v/>
      </c>
      <c r="D140">
        <f>IF($W140="","",IF(INDEX('Per Invoice'!D$2:D$801,$W140)="","",INDEX('Per Invoice'!D$2:D$801,$W140)))</f>
        <v/>
      </c>
      <c r="E140">
        <f>IF($W140="","",IF(INDEX('Per Invoice'!E$2:E$801,$W140)="","",INDEX('Per Invoice'!E$2:E$801,$W140)))</f>
        <v/>
      </c>
      <c r="F140">
        <f>IF($W140="","",IF(INDEX('Per Invoice'!F$2:F$801,$W140)="","",INDEX('Per Invoice'!F$2:F$801,$W140)))</f>
        <v/>
      </c>
      <c r="G140">
        <f>IF($W140="","",IF(INDEX('Per Invoice'!G$2:G$801,$W140)="","",INDEX('Per Invoice'!G$2:G$801,$W140)))</f>
        <v/>
      </c>
      <c r="H140">
        <f>IF($W140="","",IF(INDEX('Per Invoice'!H$2:H$801,$W140)="","",INDEX('Per Invoice'!H$2:H$801,$W140)))</f>
        <v/>
      </c>
      <c r="I140">
        <f>IF($W140="","",IF(INDEX('Per Invoice'!I$2:I$801,$W140)="","",INDEX('Per Invoice'!I$2:I$801,$W140)))</f>
        <v/>
      </c>
      <c r="J140">
        <f>IF($W140="","",IF(INDEX('Per Invoice'!J$2:J$801,$W140)="","",INDEX('Per Invoice'!J$2:J$801,$W140)))</f>
        <v/>
      </c>
      <c r="K140" s="7">
        <f>IF($W140="","",IF(INDEX('Per Invoice'!K$2:K$801,$W140)="","",INDEX('Per Invoice'!K$2:K$801,$W140)))</f>
        <v/>
      </c>
      <c r="L140" s="14">
        <f>IF($W140="","",IF(INDEX('Per Invoice'!L$2:L$801,$W140)="","",INDEX('Per Invoice'!L$2:L$801,$W140)))</f>
        <v/>
      </c>
      <c r="M140">
        <f>IF($W140="","",IF(INDEX('Per Invoice'!M$2:M$801,$W140)="","",INDEX('Per Invoice'!M$2:M$801,$W140)))</f>
        <v/>
      </c>
      <c r="N140" s="7">
        <f>IF($W140="","",IF(INDEX('Per Invoice'!N$2:N$801,$W140)="","",INDEX('Per Invoice'!N$2:N$801,$W140)))</f>
        <v/>
      </c>
      <c r="O140" s="7">
        <f>IF($W140="","",IF(INDEX('Per Invoice'!O$2:O$801,$W140)="","",INDEX('Per Invoice'!O$2:O$801,$W140)))</f>
        <v/>
      </c>
      <c r="P140">
        <f>IF($W140="","",IF(INDEX('Per Invoice'!P$2:P$801,$W140)="","",INDEX('Per Invoice'!P$2:P$801,$W140)))</f>
        <v/>
      </c>
      <c r="Q140" s="7">
        <f>IF($W140="","",IF(INDEX('Per Invoice'!Q$2:Q$801,$W140)="","",INDEX('Per Invoice'!Q$2:Q$801,$W140)))</f>
        <v/>
      </c>
      <c r="R140" s="7">
        <f>IF($W140="","",IF(INDEX('Per Invoice'!R$2:R$801,$W140)="","",INDEX('Per Invoice'!R$2:R$801,$W140)))</f>
        <v/>
      </c>
      <c r="S140" s="7">
        <f>IF($W140="","",IF(INDEX('Per Invoice'!S$2:S$801,$W140)="","",INDEX('Per Invoice'!S$2:S$801,$W140)))</f>
        <v/>
      </c>
      <c r="T140" s="7">
        <f>IF($W140="","",IF(INDEX('Per Invoice'!T$2:T$801,$W140)="","",INDEX('Per Invoice'!T$2:T$801,$W140)))</f>
        <v/>
      </c>
      <c r="U140" s="7">
        <f>IF($W140="","",IF(INDEX('Per Invoice'!U$2:U$801,$W140)="","",INDEX('Per Invoice'!U$2:U$801,$W140)))</f>
        <v/>
      </c>
      <c r="V140" s="7">
        <f>IF($W140="","",IF(INDEX('Per Invoice'!V$2:V$801,$W140)="","",INDEX('Per Invoice'!V$2:V$801,$W140)))</f>
        <v/>
      </c>
      <c r="W140" s="16">
        <f>IFERROR(MATCH(Settings!$C$31&amp;"|"&amp;ROWS($W$2:$W140),'Per Invoice'!$X$2:$X$801,0),"")</f>
        <v/>
      </c>
    </row>
    <row r="141">
      <c r="A141">
        <f>IF($W141="","",IF(INDEX('Per Invoice'!A$2:A$801,$W141)="","",INDEX('Per Invoice'!A$2:A$801,$W141)))</f>
        <v/>
      </c>
      <c r="B141">
        <f>IF($W141="","",IF(INDEX('Per Invoice'!B$2:B$801,$W141)="","",INDEX('Per Invoice'!B$2:B$801,$W141)))</f>
        <v/>
      </c>
      <c r="C141">
        <f>IF($W141="","",IF(INDEX('Per Invoice'!C$2:C$801,$W141)="","",INDEX('Per Invoice'!C$2:C$801,$W141)))</f>
        <v/>
      </c>
      <c r="D141">
        <f>IF($W141="","",IF(INDEX('Per Invoice'!D$2:D$801,$W141)="","",INDEX('Per Invoice'!D$2:D$801,$W141)))</f>
        <v/>
      </c>
      <c r="E141">
        <f>IF($W141="","",IF(INDEX('Per Invoice'!E$2:E$801,$W141)="","",INDEX('Per Invoice'!E$2:E$801,$W141)))</f>
        <v/>
      </c>
      <c r="F141">
        <f>IF($W141="","",IF(INDEX('Per Invoice'!F$2:F$801,$W141)="","",INDEX('Per Invoice'!F$2:F$801,$W141)))</f>
        <v/>
      </c>
      <c r="G141">
        <f>IF($W141="","",IF(INDEX('Per Invoice'!G$2:G$801,$W141)="","",INDEX('Per Invoice'!G$2:G$801,$W141)))</f>
        <v/>
      </c>
      <c r="H141">
        <f>IF($W141="","",IF(INDEX('Per Invoice'!H$2:H$801,$W141)="","",INDEX('Per Invoice'!H$2:H$801,$W141)))</f>
        <v/>
      </c>
      <c r="I141">
        <f>IF($W141="","",IF(INDEX('Per Invoice'!I$2:I$801,$W141)="","",INDEX('Per Invoice'!I$2:I$801,$W141)))</f>
        <v/>
      </c>
      <c r="J141">
        <f>IF($W141="","",IF(INDEX('Per Invoice'!J$2:J$801,$W141)="","",INDEX('Per Invoice'!J$2:J$801,$W141)))</f>
        <v/>
      </c>
      <c r="K141" s="7">
        <f>IF($W141="","",IF(INDEX('Per Invoice'!K$2:K$801,$W141)="","",INDEX('Per Invoice'!K$2:K$801,$W141)))</f>
        <v/>
      </c>
      <c r="L141" s="14">
        <f>IF($W141="","",IF(INDEX('Per Invoice'!L$2:L$801,$W141)="","",INDEX('Per Invoice'!L$2:L$801,$W141)))</f>
        <v/>
      </c>
      <c r="M141">
        <f>IF($W141="","",IF(INDEX('Per Invoice'!M$2:M$801,$W141)="","",INDEX('Per Invoice'!M$2:M$801,$W141)))</f>
        <v/>
      </c>
      <c r="N141" s="7">
        <f>IF($W141="","",IF(INDEX('Per Invoice'!N$2:N$801,$W141)="","",INDEX('Per Invoice'!N$2:N$801,$W141)))</f>
        <v/>
      </c>
      <c r="O141" s="7">
        <f>IF($W141="","",IF(INDEX('Per Invoice'!O$2:O$801,$W141)="","",INDEX('Per Invoice'!O$2:O$801,$W141)))</f>
        <v/>
      </c>
      <c r="P141">
        <f>IF($W141="","",IF(INDEX('Per Invoice'!P$2:P$801,$W141)="","",INDEX('Per Invoice'!P$2:P$801,$W141)))</f>
        <v/>
      </c>
      <c r="Q141" s="7">
        <f>IF($W141="","",IF(INDEX('Per Invoice'!Q$2:Q$801,$W141)="","",INDEX('Per Invoice'!Q$2:Q$801,$W141)))</f>
        <v/>
      </c>
      <c r="R141" s="7">
        <f>IF($W141="","",IF(INDEX('Per Invoice'!R$2:R$801,$W141)="","",INDEX('Per Invoice'!R$2:R$801,$W141)))</f>
        <v/>
      </c>
      <c r="S141" s="7">
        <f>IF($W141="","",IF(INDEX('Per Invoice'!S$2:S$801,$W141)="","",INDEX('Per Invoice'!S$2:S$801,$W141)))</f>
        <v/>
      </c>
      <c r="T141" s="7">
        <f>IF($W141="","",IF(INDEX('Per Invoice'!T$2:T$801,$W141)="","",INDEX('Per Invoice'!T$2:T$801,$W141)))</f>
        <v/>
      </c>
      <c r="U141" s="7">
        <f>IF($W141="","",IF(INDEX('Per Invoice'!U$2:U$801,$W141)="","",INDEX('Per Invoice'!U$2:U$801,$W141)))</f>
        <v/>
      </c>
      <c r="V141" s="7">
        <f>IF($W141="","",IF(INDEX('Per Invoice'!V$2:V$801,$W141)="","",INDEX('Per Invoice'!V$2:V$801,$W141)))</f>
        <v/>
      </c>
      <c r="W141" s="16">
        <f>IFERROR(MATCH(Settings!$C$31&amp;"|"&amp;ROWS($W$2:$W141),'Per Invoice'!$X$2:$X$801,0),"")</f>
        <v/>
      </c>
    </row>
    <row r="142">
      <c r="A142">
        <f>IF($W142="","",IF(INDEX('Per Invoice'!A$2:A$801,$W142)="","",INDEX('Per Invoice'!A$2:A$801,$W142)))</f>
        <v/>
      </c>
      <c r="B142">
        <f>IF($W142="","",IF(INDEX('Per Invoice'!B$2:B$801,$W142)="","",INDEX('Per Invoice'!B$2:B$801,$W142)))</f>
        <v/>
      </c>
      <c r="C142">
        <f>IF($W142="","",IF(INDEX('Per Invoice'!C$2:C$801,$W142)="","",INDEX('Per Invoice'!C$2:C$801,$W142)))</f>
        <v/>
      </c>
      <c r="D142">
        <f>IF($W142="","",IF(INDEX('Per Invoice'!D$2:D$801,$W142)="","",INDEX('Per Invoice'!D$2:D$801,$W142)))</f>
        <v/>
      </c>
      <c r="E142">
        <f>IF($W142="","",IF(INDEX('Per Invoice'!E$2:E$801,$W142)="","",INDEX('Per Invoice'!E$2:E$801,$W142)))</f>
        <v/>
      </c>
      <c r="F142">
        <f>IF($W142="","",IF(INDEX('Per Invoice'!F$2:F$801,$W142)="","",INDEX('Per Invoice'!F$2:F$801,$W142)))</f>
        <v/>
      </c>
      <c r="G142">
        <f>IF($W142="","",IF(INDEX('Per Invoice'!G$2:G$801,$W142)="","",INDEX('Per Invoice'!G$2:G$801,$W142)))</f>
        <v/>
      </c>
      <c r="H142">
        <f>IF($W142="","",IF(INDEX('Per Invoice'!H$2:H$801,$W142)="","",INDEX('Per Invoice'!H$2:H$801,$W142)))</f>
        <v/>
      </c>
      <c r="I142">
        <f>IF($W142="","",IF(INDEX('Per Invoice'!I$2:I$801,$W142)="","",INDEX('Per Invoice'!I$2:I$801,$W142)))</f>
        <v/>
      </c>
      <c r="J142">
        <f>IF($W142="","",IF(INDEX('Per Invoice'!J$2:J$801,$W142)="","",INDEX('Per Invoice'!J$2:J$801,$W142)))</f>
        <v/>
      </c>
      <c r="K142" s="7">
        <f>IF($W142="","",IF(INDEX('Per Invoice'!K$2:K$801,$W142)="","",INDEX('Per Invoice'!K$2:K$801,$W142)))</f>
        <v/>
      </c>
      <c r="L142" s="14">
        <f>IF($W142="","",IF(INDEX('Per Invoice'!L$2:L$801,$W142)="","",INDEX('Per Invoice'!L$2:L$801,$W142)))</f>
        <v/>
      </c>
      <c r="M142">
        <f>IF($W142="","",IF(INDEX('Per Invoice'!M$2:M$801,$W142)="","",INDEX('Per Invoice'!M$2:M$801,$W142)))</f>
        <v/>
      </c>
      <c r="N142" s="7">
        <f>IF($W142="","",IF(INDEX('Per Invoice'!N$2:N$801,$W142)="","",INDEX('Per Invoice'!N$2:N$801,$W142)))</f>
        <v/>
      </c>
      <c r="O142" s="7">
        <f>IF($W142="","",IF(INDEX('Per Invoice'!O$2:O$801,$W142)="","",INDEX('Per Invoice'!O$2:O$801,$W142)))</f>
        <v/>
      </c>
      <c r="P142">
        <f>IF($W142="","",IF(INDEX('Per Invoice'!P$2:P$801,$W142)="","",INDEX('Per Invoice'!P$2:P$801,$W142)))</f>
        <v/>
      </c>
      <c r="Q142" s="7">
        <f>IF($W142="","",IF(INDEX('Per Invoice'!Q$2:Q$801,$W142)="","",INDEX('Per Invoice'!Q$2:Q$801,$W142)))</f>
        <v/>
      </c>
      <c r="R142" s="7">
        <f>IF($W142="","",IF(INDEX('Per Invoice'!R$2:R$801,$W142)="","",INDEX('Per Invoice'!R$2:R$801,$W142)))</f>
        <v/>
      </c>
      <c r="S142" s="7">
        <f>IF($W142="","",IF(INDEX('Per Invoice'!S$2:S$801,$W142)="","",INDEX('Per Invoice'!S$2:S$801,$W142)))</f>
        <v/>
      </c>
      <c r="T142" s="7">
        <f>IF($W142="","",IF(INDEX('Per Invoice'!T$2:T$801,$W142)="","",INDEX('Per Invoice'!T$2:T$801,$W142)))</f>
        <v/>
      </c>
      <c r="U142" s="7">
        <f>IF($W142="","",IF(INDEX('Per Invoice'!U$2:U$801,$W142)="","",INDEX('Per Invoice'!U$2:U$801,$W142)))</f>
        <v/>
      </c>
      <c r="V142" s="7">
        <f>IF($W142="","",IF(INDEX('Per Invoice'!V$2:V$801,$W142)="","",INDEX('Per Invoice'!V$2:V$801,$W142)))</f>
        <v/>
      </c>
      <c r="W142" s="16">
        <f>IFERROR(MATCH(Settings!$C$31&amp;"|"&amp;ROWS($W$2:$W142),'Per Invoice'!$X$2:$X$801,0),"")</f>
        <v/>
      </c>
    </row>
    <row r="143">
      <c r="A143">
        <f>IF($W143="","",IF(INDEX('Per Invoice'!A$2:A$801,$W143)="","",INDEX('Per Invoice'!A$2:A$801,$W143)))</f>
        <v/>
      </c>
      <c r="B143">
        <f>IF($W143="","",IF(INDEX('Per Invoice'!B$2:B$801,$W143)="","",INDEX('Per Invoice'!B$2:B$801,$W143)))</f>
        <v/>
      </c>
      <c r="C143">
        <f>IF($W143="","",IF(INDEX('Per Invoice'!C$2:C$801,$W143)="","",INDEX('Per Invoice'!C$2:C$801,$W143)))</f>
        <v/>
      </c>
      <c r="D143">
        <f>IF($W143="","",IF(INDEX('Per Invoice'!D$2:D$801,$W143)="","",INDEX('Per Invoice'!D$2:D$801,$W143)))</f>
        <v/>
      </c>
      <c r="E143">
        <f>IF($W143="","",IF(INDEX('Per Invoice'!E$2:E$801,$W143)="","",INDEX('Per Invoice'!E$2:E$801,$W143)))</f>
        <v/>
      </c>
      <c r="F143">
        <f>IF($W143="","",IF(INDEX('Per Invoice'!F$2:F$801,$W143)="","",INDEX('Per Invoice'!F$2:F$801,$W143)))</f>
        <v/>
      </c>
      <c r="G143">
        <f>IF($W143="","",IF(INDEX('Per Invoice'!G$2:G$801,$W143)="","",INDEX('Per Invoice'!G$2:G$801,$W143)))</f>
        <v/>
      </c>
      <c r="H143">
        <f>IF($W143="","",IF(INDEX('Per Invoice'!H$2:H$801,$W143)="","",INDEX('Per Invoice'!H$2:H$801,$W143)))</f>
        <v/>
      </c>
      <c r="I143">
        <f>IF($W143="","",IF(INDEX('Per Invoice'!I$2:I$801,$W143)="","",INDEX('Per Invoice'!I$2:I$801,$W143)))</f>
        <v/>
      </c>
      <c r="J143">
        <f>IF($W143="","",IF(INDEX('Per Invoice'!J$2:J$801,$W143)="","",INDEX('Per Invoice'!J$2:J$801,$W143)))</f>
        <v/>
      </c>
      <c r="K143" s="7">
        <f>IF($W143="","",IF(INDEX('Per Invoice'!K$2:K$801,$W143)="","",INDEX('Per Invoice'!K$2:K$801,$W143)))</f>
        <v/>
      </c>
      <c r="L143" s="14">
        <f>IF($W143="","",IF(INDEX('Per Invoice'!L$2:L$801,$W143)="","",INDEX('Per Invoice'!L$2:L$801,$W143)))</f>
        <v/>
      </c>
      <c r="M143">
        <f>IF($W143="","",IF(INDEX('Per Invoice'!M$2:M$801,$W143)="","",INDEX('Per Invoice'!M$2:M$801,$W143)))</f>
        <v/>
      </c>
      <c r="N143" s="7">
        <f>IF($W143="","",IF(INDEX('Per Invoice'!N$2:N$801,$W143)="","",INDEX('Per Invoice'!N$2:N$801,$W143)))</f>
        <v/>
      </c>
      <c r="O143" s="7">
        <f>IF($W143="","",IF(INDEX('Per Invoice'!O$2:O$801,$W143)="","",INDEX('Per Invoice'!O$2:O$801,$W143)))</f>
        <v/>
      </c>
      <c r="P143">
        <f>IF($W143="","",IF(INDEX('Per Invoice'!P$2:P$801,$W143)="","",INDEX('Per Invoice'!P$2:P$801,$W143)))</f>
        <v/>
      </c>
      <c r="Q143" s="7">
        <f>IF($W143="","",IF(INDEX('Per Invoice'!Q$2:Q$801,$W143)="","",INDEX('Per Invoice'!Q$2:Q$801,$W143)))</f>
        <v/>
      </c>
      <c r="R143" s="7">
        <f>IF($W143="","",IF(INDEX('Per Invoice'!R$2:R$801,$W143)="","",INDEX('Per Invoice'!R$2:R$801,$W143)))</f>
        <v/>
      </c>
      <c r="S143" s="7">
        <f>IF($W143="","",IF(INDEX('Per Invoice'!S$2:S$801,$W143)="","",INDEX('Per Invoice'!S$2:S$801,$W143)))</f>
        <v/>
      </c>
      <c r="T143" s="7">
        <f>IF($W143="","",IF(INDEX('Per Invoice'!T$2:T$801,$W143)="","",INDEX('Per Invoice'!T$2:T$801,$W143)))</f>
        <v/>
      </c>
      <c r="U143" s="7">
        <f>IF($W143="","",IF(INDEX('Per Invoice'!U$2:U$801,$W143)="","",INDEX('Per Invoice'!U$2:U$801,$W143)))</f>
        <v/>
      </c>
      <c r="V143" s="7">
        <f>IF($W143="","",IF(INDEX('Per Invoice'!V$2:V$801,$W143)="","",INDEX('Per Invoice'!V$2:V$801,$W143)))</f>
        <v/>
      </c>
      <c r="W143" s="16">
        <f>IFERROR(MATCH(Settings!$C$31&amp;"|"&amp;ROWS($W$2:$W143),'Per Invoice'!$X$2:$X$801,0),"")</f>
        <v/>
      </c>
    </row>
    <row r="144">
      <c r="A144">
        <f>IF($W144="","",IF(INDEX('Per Invoice'!A$2:A$801,$W144)="","",INDEX('Per Invoice'!A$2:A$801,$W144)))</f>
        <v/>
      </c>
      <c r="B144">
        <f>IF($W144="","",IF(INDEX('Per Invoice'!B$2:B$801,$W144)="","",INDEX('Per Invoice'!B$2:B$801,$W144)))</f>
        <v/>
      </c>
      <c r="C144">
        <f>IF($W144="","",IF(INDEX('Per Invoice'!C$2:C$801,$W144)="","",INDEX('Per Invoice'!C$2:C$801,$W144)))</f>
        <v/>
      </c>
      <c r="D144">
        <f>IF($W144="","",IF(INDEX('Per Invoice'!D$2:D$801,$W144)="","",INDEX('Per Invoice'!D$2:D$801,$W144)))</f>
        <v/>
      </c>
      <c r="E144">
        <f>IF($W144="","",IF(INDEX('Per Invoice'!E$2:E$801,$W144)="","",INDEX('Per Invoice'!E$2:E$801,$W144)))</f>
        <v/>
      </c>
      <c r="F144">
        <f>IF($W144="","",IF(INDEX('Per Invoice'!F$2:F$801,$W144)="","",INDEX('Per Invoice'!F$2:F$801,$W144)))</f>
        <v/>
      </c>
      <c r="G144">
        <f>IF($W144="","",IF(INDEX('Per Invoice'!G$2:G$801,$W144)="","",INDEX('Per Invoice'!G$2:G$801,$W144)))</f>
        <v/>
      </c>
      <c r="H144">
        <f>IF($W144="","",IF(INDEX('Per Invoice'!H$2:H$801,$W144)="","",INDEX('Per Invoice'!H$2:H$801,$W144)))</f>
        <v/>
      </c>
      <c r="I144">
        <f>IF($W144="","",IF(INDEX('Per Invoice'!I$2:I$801,$W144)="","",INDEX('Per Invoice'!I$2:I$801,$W144)))</f>
        <v/>
      </c>
      <c r="J144">
        <f>IF($W144="","",IF(INDEX('Per Invoice'!J$2:J$801,$W144)="","",INDEX('Per Invoice'!J$2:J$801,$W144)))</f>
        <v/>
      </c>
      <c r="K144" s="7">
        <f>IF($W144="","",IF(INDEX('Per Invoice'!K$2:K$801,$W144)="","",INDEX('Per Invoice'!K$2:K$801,$W144)))</f>
        <v/>
      </c>
      <c r="L144" s="14">
        <f>IF($W144="","",IF(INDEX('Per Invoice'!L$2:L$801,$W144)="","",INDEX('Per Invoice'!L$2:L$801,$W144)))</f>
        <v/>
      </c>
      <c r="M144">
        <f>IF($W144="","",IF(INDEX('Per Invoice'!M$2:M$801,$W144)="","",INDEX('Per Invoice'!M$2:M$801,$W144)))</f>
        <v/>
      </c>
      <c r="N144" s="7">
        <f>IF($W144="","",IF(INDEX('Per Invoice'!N$2:N$801,$W144)="","",INDEX('Per Invoice'!N$2:N$801,$W144)))</f>
        <v/>
      </c>
      <c r="O144" s="7">
        <f>IF($W144="","",IF(INDEX('Per Invoice'!O$2:O$801,$W144)="","",INDEX('Per Invoice'!O$2:O$801,$W144)))</f>
        <v/>
      </c>
      <c r="P144">
        <f>IF($W144="","",IF(INDEX('Per Invoice'!P$2:P$801,$W144)="","",INDEX('Per Invoice'!P$2:P$801,$W144)))</f>
        <v/>
      </c>
      <c r="Q144" s="7">
        <f>IF($W144="","",IF(INDEX('Per Invoice'!Q$2:Q$801,$W144)="","",INDEX('Per Invoice'!Q$2:Q$801,$W144)))</f>
        <v/>
      </c>
      <c r="R144" s="7">
        <f>IF($W144="","",IF(INDEX('Per Invoice'!R$2:R$801,$W144)="","",INDEX('Per Invoice'!R$2:R$801,$W144)))</f>
        <v/>
      </c>
      <c r="S144" s="7">
        <f>IF($W144="","",IF(INDEX('Per Invoice'!S$2:S$801,$W144)="","",INDEX('Per Invoice'!S$2:S$801,$W144)))</f>
        <v/>
      </c>
      <c r="T144" s="7">
        <f>IF($W144="","",IF(INDEX('Per Invoice'!T$2:T$801,$W144)="","",INDEX('Per Invoice'!T$2:T$801,$W144)))</f>
        <v/>
      </c>
      <c r="U144" s="7">
        <f>IF($W144="","",IF(INDEX('Per Invoice'!U$2:U$801,$W144)="","",INDEX('Per Invoice'!U$2:U$801,$W144)))</f>
        <v/>
      </c>
      <c r="V144" s="7">
        <f>IF($W144="","",IF(INDEX('Per Invoice'!V$2:V$801,$W144)="","",INDEX('Per Invoice'!V$2:V$801,$W144)))</f>
        <v/>
      </c>
      <c r="W144" s="16">
        <f>IFERROR(MATCH(Settings!$C$31&amp;"|"&amp;ROWS($W$2:$W144),'Per Invoice'!$X$2:$X$801,0),"")</f>
        <v/>
      </c>
    </row>
    <row r="145">
      <c r="A145">
        <f>IF($W145="","",IF(INDEX('Per Invoice'!A$2:A$801,$W145)="","",INDEX('Per Invoice'!A$2:A$801,$W145)))</f>
        <v/>
      </c>
      <c r="B145">
        <f>IF($W145="","",IF(INDEX('Per Invoice'!B$2:B$801,$W145)="","",INDEX('Per Invoice'!B$2:B$801,$W145)))</f>
        <v/>
      </c>
      <c r="C145">
        <f>IF($W145="","",IF(INDEX('Per Invoice'!C$2:C$801,$W145)="","",INDEX('Per Invoice'!C$2:C$801,$W145)))</f>
        <v/>
      </c>
      <c r="D145">
        <f>IF($W145="","",IF(INDEX('Per Invoice'!D$2:D$801,$W145)="","",INDEX('Per Invoice'!D$2:D$801,$W145)))</f>
        <v/>
      </c>
      <c r="E145">
        <f>IF($W145="","",IF(INDEX('Per Invoice'!E$2:E$801,$W145)="","",INDEX('Per Invoice'!E$2:E$801,$W145)))</f>
        <v/>
      </c>
      <c r="F145">
        <f>IF($W145="","",IF(INDEX('Per Invoice'!F$2:F$801,$W145)="","",INDEX('Per Invoice'!F$2:F$801,$W145)))</f>
        <v/>
      </c>
      <c r="G145">
        <f>IF($W145="","",IF(INDEX('Per Invoice'!G$2:G$801,$W145)="","",INDEX('Per Invoice'!G$2:G$801,$W145)))</f>
        <v/>
      </c>
      <c r="H145">
        <f>IF($W145="","",IF(INDEX('Per Invoice'!H$2:H$801,$W145)="","",INDEX('Per Invoice'!H$2:H$801,$W145)))</f>
        <v/>
      </c>
      <c r="I145">
        <f>IF($W145="","",IF(INDEX('Per Invoice'!I$2:I$801,$W145)="","",INDEX('Per Invoice'!I$2:I$801,$W145)))</f>
        <v/>
      </c>
      <c r="J145">
        <f>IF($W145="","",IF(INDEX('Per Invoice'!J$2:J$801,$W145)="","",INDEX('Per Invoice'!J$2:J$801,$W145)))</f>
        <v/>
      </c>
      <c r="K145" s="7">
        <f>IF($W145="","",IF(INDEX('Per Invoice'!K$2:K$801,$W145)="","",INDEX('Per Invoice'!K$2:K$801,$W145)))</f>
        <v/>
      </c>
      <c r="L145" s="14">
        <f>IF($W145="","",IF(INDEX('Per Invoice'!L$2:L$801,$W145)="","",INDEX('Per Invoice'!L$2:L$801,$W145)))</f>
        <v/>
      </c>
      <c r="M145">
        <f>IF($W145="","",IF(INDEX('Per Invoice'!M$2:M$801,$W145)="","",INDEX('Per Invoice'!M$2:M$801,$W145)))</f>
        <v/>
      </c>
      <c r="N145" s="7">
        <f>IF($W145="","",IF(INDEX('Per Invoice'!N$2:N$801,$W145)="","",INDEX('Per Invoice'!N$2:N$801,$W145)))</f>
        <v/>
      </c>
      <c r="O145" s="7">
        <f>IF($W145="","",IF(INDEX('Per Invoice'!O$2:O$801,$W145)="","",INDEX('Per Invoice'!O$2:O$801,$W145)))</f>
        <v/>
      </c>
      <c r="P145">
        <f>IF($W145="","",IF(INDEX('Per Invoice'!P$2:P$801,$W145)="","",INDEX('Per Invoice'!P$2:P$801,$W145)))</f>
        <v/>
      </c>
      <c r="Q145" s="7">
        <f>IF($W145="","",IF(INDEX('Per Invoice'!Q$2:Q$801,$W145)="","",INDEX('Per Invoice'!Q$2:Q$801,$W145)))</f>
        <v/>
      </c>
      <c r="R145" s="7">
        <f>IF($W145="","",IF(INDEX('Per Invoice'!R$2:R$801,$W145)="","",INDEX('Per Invoice'!R$2:R$801,$W145)))</f>
        <v/>
      </c>
      <c r="S145" s="7">
        <f>IF($W145="","",IF(INDEX('Per Invoice'!S$2:S$801,$W145)="","",INDEX('Per Invoice'!S$2:S$801,$W145)))</f>
        <v/>
      </c>
      <c r="T145" s="7">
        <f>IF($W145="","",IF(INDEX('Per Invoice'!T$2:T$801,$W145)="","",INDEX('Per Invoice'!T$2:T$801,$W145)))</f>
        <v/>
      </c>
      <c r="U145" s="7">
        <f>IF($W145="","",IF(INDEX('Per Invoice'!U$2:U$801,$W145)="","",INDEX('Per Invoice'!U$2:U$801,$W145)))</f>
        <v/>
      </c>
      <c r="V145" s="7">
        <f>IF($W145="","",IF(INDEX('Per Invoice'!V$2:V$801,$W145)="","",INDEX('Per Invoice'!V$2:V$801,$W145)))</f>
        <v/>
      </c>
      <c r="W145" s="16">
        <f>IFERROR(MATCH(Settings!$C$31&amp;"|"&amp;ROWS($W$2:$W145),'Per Invoice'!$X$2:$X$801,0),"")</f>
        <v/>
      </c>
    </row>
    <row r="146">
      <c r="A146">
        <f>IF($W146="","",IF(INDEX('Per Invoice'!A$2:A$801,$W146)="","",INDEX('Per Invoice'!A$2:A$801,$W146)))</f>
        <v/>
      </c>
      <c r="B146">
        <f>IF($W146="","",IF(INDEX('Per Invoice'!B$2:B$801,$W146)="","",INDEX('Per Invoice'!B$2:B$801,$W146)))</f>
        <v/>
      </c>
      <c r="C146">
        <f>IF($W146="","",IF(INDEX('Per Invoice'!C$2:C$801,$W146)="","",INDEX('Per Invoice'!C$2:C$801,$W146)))</f>
        <v/>
      </c>
      <c r="D146">
        <f>IF($W146="","",IF(INDEX('Per Invoice'!D$2:D$801,$W146)="","",INDEX('Per Invoice'!D$2:D$801,$W146)))</f>
        <v/>
      </c>
      <c r="E146">
        <f>IF($W146="","",IF(INDEX('Per Invoice'!E$2:E$801,$W146)="","",INDEX('Per Invoice'!E$2:E$801,$W146)))</f>
        <v/>
      </c>
      <c r="F146">
        <f>IF($W146="","",IF(INDEX('Per Invoice'!F$2:F$801,$W146)="","",INDEX('Per Invoice'!F$2:F$801,$W146)))</f>
        <v/>
      </c>
      <c r="G146">
        <f>IF($W146="","",IF(INDEX('Per Invoice'!G$2:G$801,$W146)="","",INDEX('Per Invoice'!G$2:G$801,$W146)))</f>
        <v/>
      </c>
      <c r="H146">
        <f>IF($W146="","",IF(INDEX('Per Invoice'!H$2:H$801,$W146)="","",INDEX('Per Invoice'!H$2:H$801,$W146)))</f>
        <v/>
      </c>
      <c r="I146">
        <f>IF($W146="","",IF(INDEX('Per Invoice'!I$2:I$801,$W146)="","",INDEX('Per Invoice'!I$2:I$801,$W146)))</f>
        <v/>
      </c>
      <c r="J146">
        <f>IF($W146="","",IF(INDEX('Per Invoice'!J$2:J$801,$W146)="","",INDEX('Per Invoice'!J$2:J$801,$W146)))</f>
        <v/>
      </c>
      <c r="K146" s="7">
        <f>IF($W146="","",IF(INDEX('Per Invoice'!K$2:K$801,$W146)="","",INDEX('Per Invoice'!K$2:K$801,$W146)))</f>
        <v/>
      </c>
      <c r="L146" s="14">
        <f>IF($W146="","",IF(INDEX('Per Invoice'!L$2:L$801,$W146)="","",INDEX('Per Invoice'!L$2:L$801,$W146)))</f>
        <v/>
      </c>
      <c r="M146">
        <f>IF($W146="","",IF(INDEX('Per Invoice'!M$2:M$801,$W146)="","",INDEX('Per Invoice'!M$2:M$801,$W146)))</f>
        <v/>
      </c>
      <c r="N146" s="7">
        <f>IF($W146="","",IF(INDEX('Per Invoice'!N$2:N$801,$W146)="","",INDEX('Per Invoice'!N$2:N$801,$W146)))</f>
        <v/>
      </c>
      <c r="O146" s="7">
        <f>IF($W146="","",IF(INDEX('Per Invoice'!O$2:O$801,$W146)="","",INDEX('Per Invoice'!O$2:O$801,$W146)))</f>
        <v/>
      </c>
      <c r="P146">
        <f>IF($W146="","",IF(INDEX('Per Invoice'!P$2:P$801,$W146)="","",INDEX('Per Invoice'!P$2:P$801,$W146)))</f>
        <v/>
      </c>
      <c r="Q146" s="7">
        <f>IF($W146="","",IF(INDEX('Per Invoice'!Q$2:Q$801,$W146)="","",INDEX('Per Invoice'!Q$2:Q$801,$W146)))</f>
        <v/>
      </c>
      <c r="R146" s="7">
        <f>IF($W146="","",IF(INDEX('Per Invoice'!R$2:R$801,$W146)="","",INDEX('Per Invoice'!R$2:R$801,$W146)))</f>
        <v/>
      </c>
      <c r="S146" s="7">
        <f>IF($W146="","",IF(INDEX('Per Invoice'!S$2:S$801,$W146)="","",INDEX('Per Invoice'!S$2:S$801,$W146)))</f>
        <v/>
      </c>
      <c r="T146" s="7">
        <f>IF($W146="","",IF(INDEX('Per Invoice'!T$2:T$801,$W146)="","",INDEX('Per Invoice'!T$2:T$801,$W146)))</f>
        <v/>
      </c>
      <c r="U146" s="7">
        <f>IF($W146="","",IF(INDEX('Per Invoice'!U$2:U$801,$W146)="","",INDEX('Per Invoice'!U$2:U$801,$W146)))</f>
        <v/>
      </c>
      <c r="V146" s="7">
        <f>IF($W146="","",IF(INDEX('Per Invoice'!V$2:V$801,$W146)="","",INDEX('Per Invoice'!V$2:V$801,$W146)))</f>
        <v/>
      </c>
      <c r="W146" s="16">
        <f>IFERROR(MATCH(Settings!$C$31&amp;"|"&amp;ROWS($W$2:$W146),'Per Invoice'!$X$2:$X$801,0),"")</f>
        <v/>
      </c>
    </row>
    <row r="147">
      <c r="A147">
        <f>IF($W147="","",IF(INDEX('Per Invoice'!A$2:A$801,$W147)="","",INDEX('Per Invoice'!A$2:A$801,$W147)))</f>
        <v/>
      </c>
      <c r="B147">
        <f>IF($W147="","",IF(INDEX('Per Invoice'!B$2:B$801,$W147)="","",INDEX('Per Invoice'!B$2:B$801,$W147)))</f>
        <v/>
      </c>
      <c r="C147">
        <f>IF($W147="","",IF(INDEX('Per Invoice'!C$2:C$801,$W147)="","",INDEX('Per Invoice'!C$2:C$801,$W147)))</f>
        <v/>
      </c>
      <c r="D147">
        <f>IF($W147="","",IF(INDEX('Per Invoice'!D$2:D$801,$W147)="","",INDEX('Per Invoice'!D$2:D$801,$W147)))</f>
        <v/>
      </c>
      <c r="E147">
        <f>IF($W147="","",IF(INDEX('Per Invoice'!E$2:E$801,$W147)="","",INDEX('Per Invoice'!E$2:E$801,$W147)))</f>
        <v/>
      </c>
      <c r="F147">
        <f>IF($W147="","",IF(INDEX('Per Invoice'!F$2:F$801,$W147)="","",INDEX('Per Invoice'!F$2:F$801,$W147)))</f>
        <v/>
      </c>
      <c r="G147">
        <f>IF($W147="","",IF(INDEX('Per Invoice'!G$2:G$801,$W147)="","",INDEX('Per Invoice'!G$2:G$801,$W147)))</f>
        <v/>
      </c>
      <c r="H147">
        <f>IF($W147="","",IF(INDEX('Per Invoice'!H$2:H$801,$W147)="","",INDEX('Per Invoice'!H$2:H$801,$W147)))</f>
        <v/>
      </c>
      <c r="I147">
        <f>IF($W147="","",IF(INDEX('Per Invoice'!I$2:I$801,$W147)="","",INDEX('Per Invoice'!I$2:I$801,$W147)))</f>
        <v/>
      </c>
      <c r="J147">
        <f>IF($W147="","",IF(INDEX('Per Invoice'!J$2:J$801,$W147)="","",INDEX('Per Invoice'!J$2:J$801,$W147)))</f>
        <v/>
      </c>
      <c r="K147" s="7">
        <f>IF($W147="","",IF(INDEX('Per Invoice'!K$2:K$801,$W147)="","",INDEX('Per Invoice'!K$2:K$801,$W147)))</f>
        <v/>
      </c>
      <c r="L147" s="14">
        <f>IF($W147="","",IF(INDEX('Per Invoice'!L$2:L$801,$W147)="","",INDEX('Per Invoice'!L$2:L$801,$W147)))</f>
        <v/>
      </c>
      <c r="M147">
        <f>IF($W147="","",IF(INDEX('Per Invoice'!M$2:M$801,$W147)="","",INDEX('Per Invoice'!M$2:M$801,$W147)))</f>
        <v/>
      </c>
      <c r="N147" s="7">
        <f>IF($W147="","",IF(INDEX('Per Invoice'!N$2:N$801,$W147)="","",INDEX('Per Invoice'!N$2:N$801,$W147)))</f>
        <v/>
      </c>
      <c r="O147" s="7">
        <f>IF($W147="","",IF(INDEX('Per Invoice'!O$2:O$801,$W147)="","",INDEX('Per Invoice'!O$2:O$801,$W147)))</f>
        <v/>
      </c>
      <c r="P147">
        <f>IF($W147="","",IF(INDEX('Per Invoice'!P$2:P$801,$W147)="","",INDEX('Per Invoice'!P$2:P$801,$W147)))</f>
        <v/>
      </c>
      <c r="Q147" s="7">
        <f>IF($W147="","",IF(INDEX('Per Invoice'!Q$2:Q$801,$W147)="","",INDEX('Per Invoice'!Q$2:Q$801,$W147)))</f>
        <v/>
      </c>
      <c r="R147" s="7">
        <f>IF($W147="","",IF(INDEX('Per Invoice'!R$2:R$801,$W147)="","",INDEX('Per Invoice'!R$2:R$801,$W147)))</f>
        <v/>
      </c>
      <c r="S147" s="7">
        <f>IF($W147="","",IF(INDEX('Per Invoice'!S$2:S$801,$W147)="","",INDEX('Per Invoice'!S$2:S$801,$W147)))</f>
        <v/>
      </c>
      <c r="T147" s="7">
        <f>IF($W147="","",IF(INDEX('Per Invoice'!T$2:T$801,$W147)="","",INDEX('Per Invoice'!T$2:T$801,$W147)))</f>
        <v/>
      </c>
      <c r="U147" s="7">
        <f>IF($W147="","",IF(INDEX('Per Invoice'!U$2:U$801,$W147)="","",INDEX('Per Invoice'!U$2:U$801,$W147)))</f>
        <v/>
      </c>
      <c r="V147" s="7">
        <f>IF($W147="","",IF(INDEX('Per Invoice'!V$2:V$801,$W147)="","",INDEX('Per Invoice'!V$2:V$801,$W147)))</f>
        <v/>
      </c>
      <c r="W147" s="16">
        <f>IFERROR(MATCH(Settings!$C$31&amp;"|"&amp;ROWS($W$2:$W147),'Per Invoice'!$X$2:$X$801,0),"")</f>
        <v/>
      </c>
    </row>
    <row r="148">
      <c r="A148">
        <f>IF($W148="","",IF(INDEX('Per Invoice'!A$2:A$801,$W148)="","",INDEX('Per Invoice'!A$2:A$801,$W148)))</f>
        <v/>
      </c>
      <c r="B148">
        <f>IF($W148="","",IF(INDEX('Per Invoice'!B$2:B$801,$W148)="","",INDEX('Per Invoice'!B$2:B$801,$W148)))</f>
        <v/>
      </c>
      <c r="C148">
        <f>IF($W148="","",IF(INDEX('Per Invoice'!C$2:C$801,$W148)="","",INDEX('Per Invoice'!C$2:C$801,$W148)))</f>
        <v/>
      </c>
      <c r="D148">
        <f>IF($W148="","",IF(INDEX('Per Invoice'!D$2:D$801,$W148)="","",INDEX('Per Invoice'!D$2:D$801,$W148)))</f>
        <v/>
      </c>
      <c r="E148">
        <f>IF($W148="","",IF(INDEX('Per Invoice'!E$2:E$801,$W148)="","",INDEX('Per Invoice'!E$2:E$801,$W148)))</f>
        <v/>
      </c>
      <c r="F148">
        <f>IF($W148="","",IF(INDEX('Per Invoice'!F$2:F$801,$W148)="","",INDEX('Per Invoice'!F$2:F$801,$W148)))</f>
        <v/>
      </c>
      <c r="G148">
        <f>IF($W148="","",IF(INDEX('Per Invoice'!G$2:G$801,$W148)="","",INDEX('Per Invoice'!G$2:G$801,$W148)))</f>
        <v/>
      </c>
      <c r="H148">
        <f>IF($W148="","",IF(INDEX('Per Invoice'!H$2:H$801,$W148)="","",INDEX('Per Invoice'!H$2:H$801,$W148)))</f>
        <v/>
      </c>
      <c r="I148">
        <f>IF($W148="","",IF(INDEX('Per Invoice'!I$2:I$801,$W148)="","",INDEX('Per Invoice'!I$2:I$801,$W148)))</f>
        <v/>
      </c>
      <c r="J148">
        <f>IF($W148="","",IF(INDEX('Per Invoice'!J$2:J$801,$W148)="","",INDEX('Per Invoice'!J$2:J$801,$W148)))</f>
        <v/>
      </c>
      <c r="K148" s="7">
        <f>IF($W148="","",IF(INDEX('Per Invoice'!K$2:K$801,$W148)="","",INDEX('Per Invoice'!K$2:K$801,$W148)))</f>
        <v/>
      </c>
      <c r="L148" s="14">
        <f>IF($W148="","",IF(INDEX('Per Invoice'!L$2:L$801,$W148)="","",INDEX('Per Invoice'!L$2:L$801,$W148)))</f>
        <v/>
      </c>
      <c r="M148">
        <f>IF($W148="","",IF(INDEX('Per Invoice'!M$2:M$801,$W148)="","",INDEX('Per Invoice'!M$2:M$801,$W148)))</f>
        <v/>
      </c>
      <c r="N148" s="7">
        <f>IF($W148="","",IF(INDEX('Per Invoice'!N$2:N$801,$W148)="","",INDEX('Per Invoice'!N$2:N$801,$W148)))</f>
        <v/>
      </c>
      <c r="O148" s="7">
        <f>IF($W148="","",IF(INDEX('Per Invoice'!O$2:O$801,$W148)="","",INDEX('Per Invoice'!O$2:O$801,$W148)))</f>
        <v/>
      </c>
      <c r="P148">
        <f>IF($W148="","",IF(INDEX('Per Invoice'!P$2:P$801,$W148)="","",INDEX('Per Invoice'!P$2:P$801,$W148)))</f>
        <v/>
      </c>
      <c r="Q148" s="7">
        <f>IF($W148="","",IF(INDEX('Per Invoice'!Q$2:Q$801,$W148)="","",INDEX('Per Invoice'!Q$2:Q$801,$W148)))</f>
        <v/>
      </c>
      <c r="R148" s="7">
        <f>IF($W148="","",IF(INDEX('Per Invoice'!R$2:R$801,$W148)="","",INDEX('Per Invoice'!R$2:R$801,$W148)))</f>
        <v/>
      </c>
      <c r="S148" s="7">
        <f>IF($W148="","",IF(INDEX('Per Invoice'!S$2:S$801,$W148)="","",INDEX('Per Invoice'!S$2:S$801,$W148)))</f>
        <v/>
      </c>
      <c r="T148" s="7">
        <f>IF($W148="","",IF(INDEX('Per Invoice'!T$2:T$801,$W148)="","",INDEX('Per Invoice'!T$2:T$801,$W148)))</f>
        <v/>
      </c>
      <c r="U148" s="7">
        <f>IF($W148="","",IF(INDEX('Per Invoice'!U$2:U$801,$W148)="","",INDEX('Per Invoice'!U$2:U$801,$W148)))</f>
        <v/>
      </c>
      <c r="V148" s="7">
        <f>IF($W148="","",IF(INDEX('Per Invoice'!V$2:V$801,$W148)="","",INDEX('Per Invoice'!V$2:V$801,$W148)))</f>
        <v/>
      </c>
      <c r="W148" s="16">
        <f>IFERROR(MATCH(Settings!$C$31&amp;"|"&amp;ROWS($W$2:$W148),'Per Invoice'!$X$2:$X$801,0),"")</f>
        <v/>
      </c>
    </row>
    <row r="149">
      <c r="A149">
        <f>IF($W149="","",IF(INDEX('Per Invoice'!A$2:A$801,$W149)="","",INDEX('Per Invoice'!A$2:A$801,$W149)))</f>
        <v/>
      </c>
      <c r="B149">
        <f>IF($W149="","",IF(INDEX('Per Invoice'!B$2:B$801,$W149)="","",INDEX('Per Invoice'!B$2:B$801,$W149)))</f>
        <v/>
      </c>
      <c r="C149">
        <f>IF($W149="","",IF(INDEX('Per Invoice'!C$2:C$801,$W149)="","",INDEX('Per Invoice'!C$2:C$801,$W149)))</f>
        <v/>
      </c>
      <c r="D149">
        <f>IF($W149="","",IF(INDEX('Per Invoice'!D$2:D$801,$W149)="","",INDEX('Per Invoice'!D$2:D$801,$W149)))</f>
        <v/>
      </c>
      <c r="E149">
        <f>IF($W149="","",IF(INDEX('Per Invoice'!E$2:E$801,$W149)="","",INDEX('Per Invoice'!E$2:E$801,$W149)))</f>
        <v/>
      </c>
      <c r="F149">
        <f>IF($W149="","",IF(INDEX('Per Invoice'!F$2:F$801,$W149)="","",INDEX('Per Invoice'!F$2:F$801,$W149)))</f>
        <v/>
      </c>
      <c r="G149">
        <f>IF($W149="","",IF(INDEX('Per Invoice'!G$2:G$801,$W149)="","",INDEX('Per Invoice'!G$2:G$801,$W149)))</f>
        <v/>
      </c>
      <c r="H149">
        <f>IF($W149="","",IF(INDEX('Per Invoice'!H$2:H$801,$W149)="","",INDEX('Per Invoice'!H$2:H$801,$W149)))</f>
        <v/>
      </c>
      <c r="I149">
        <f>IF($W149="","",IF(INDEX('Per Invoice'!I$2:I$801,$W149)="","",INDEX('Per Invoice'!I$2:I$801,$W149)))</f>
        <v/>
      </c>
      <c r="J149">
        <f>IF($W149="","",IF(INDEX('Per Invoice'!J$2:J$801,$W149)="","",INDEX('Per Invoice'!J$2:J$801,$W149)))</f>
        <v/>
      </c>
      <c r="K149" s="7">
        <f>IF($W149="","",IF(INDEX('Per Invoice'!K$2:K$801,$W149)="","",INDEX('Per Invoice'!K$2:K$801,$W149)))</f>
        <v/>
      </c>
      <c r="L149" s="14">
        <f>IF($W149="","",IF(INDEX('Per Invoice'!L$2:L$801,$W149)="","",INDEX('Per Invoice'!L$2:L$801,$W149)))</f>
        <v/>
      </c>
      <c r="M149">
        <f>IF($W149="","",IF(INDEX('Per Invoice'!M$2:M$801,$W149)="","",INDEX('Per Invoice'!M$2:M$801,$W149)))</f>
        <v/>
      </c>
      <c r="N149" s="7">
        <f>IF($W149="","",IF(INDEX('Per Invoice'!N$2:N$801,$W149)="","",INDEX('Per Invoice'!N$2:N$801,$W149)))</f>
        <v/>
      </c>
      <c r="O149" s="7">
        <f>IF($W149="","",IF(INDEX('Per Invoice'!O$2:O$801,$W149)="","",INDEX('Per Invoice'!O$2:O$801,$W149)))</f>
        <v/>
      </c>
      <c r="P149">
        <f>IF($W149="","",IF(INDEX('Per Invoice'!P$2:P$801,$W149)="","",INDEX('Per Invoice'!P$2:P$801,$W149)))</f>
        <v/>
      </c>
      <c r="Q149" s="7">
        <f>IF($W149="","",IF(INDEX('Per Invoice'!Q$2:Q$801,$W149)="","",INDEX('Per Invoice'!Q$2:Q$801,$W149)))</f>
        <v/>
      </c>
      <c r="R149" s="7">
        <f>IF($W149="","",IF(INDEX('Per Invoice'!R$2:R$801,$W149)="","",INDEX('Per Invoice'!R$2:R$801,$W149)))</f>
        <v/>
      </c>
      <c r="S149" s="7">
        <f>IF($W149="","",IF(INDEX('Per Invoice'!S$2:S$801,$W149)="","",INDEX('Per Invoice'!S$2:S$801,$W149)))</f>
        <v/>
      </c>
      <c r="T149" s="7">
        <f>IF($W149="","",IF(INDEX('Per Invoice'!T$2:T$801,$W149)="","",INDEX('Per Invoice'!T$2:T$801,$W149)))</f>
        <v/>
      </c>
      <c r="U149" s="7">
        <f>IF($W149="","",IF(INDEX('Per Invoice'!U$2:U$801,$W149)="","",INDEX('Per Invoice'!U$2:U$801,$W149)))</f>
        <v/>
      </c>
      <c r="V149" s="7">
        <f>IF($W149="","",IF(INDEX('Per Invoice'!V$2:V$801,$W149)="","",INDEX('Per Invoice'!V$2:V$801,$W149)))</f>
        <v/>
      </c>
      <c r="W149" s="16">
        <f>IFERROR(MATCH(Settings!$C$31&amp;"|"&amp;ROWS($W$2:$W149),'Per Invoice'!$X$2:$X$801,0),"")</f>
        <v/>
      </c>
    </row>
    <row r="150">
      <c r="A150">
        <f>IF($W150="","",IF(INDEX('Per Invoice'!A$2:A$801,$W150)="","",INDEX('Per Invoice'!A$2:A$801,$W150)))</f>
        <v/>
      </c>
      <c r="B150">
        <f>IF($W150="","",IF(INDEX('Per Invoice'!B$2:B$801,$W150)="","",INDEX('Per Invoice'!B$2:B$801,$W150)))</f>
        <v/>
      </c>
      <c r="C150">
        <f>IF($W150="","",IF(INDEX('Per Invoice'!C$2:C$801,$W150)="","",INDEX('Per Invoice'!C$2:C$801,$W150)))</f>
        <v/>
      </c>
      <c r="D150">
        <f>IF($W150="","",IF(INDEX('Per Invoice'!D$2:D$801,$W150)="","",INDEX('Per Invoice'!D$2:D$801,$W150)))</f>
        <v/>
      </c>
      <c r="E150">
        <f>IF($W150="","",IF(INDEX('Per Invoice'!E$2:E$801,$W150)="","",INDEX('Per Invoice'!E$2:E$801,$W150)))</f>
        <v/>
      </c>
      <c r="F150">
        <f>IF($W150="","",IF(INDEX('Per Invoice'!F$2:F$801,$W150)="","",INDEX('Per Invoice'!F$2:F$801,$W150)))</f>
        <v/>
      </c>
      <c r="G150">
        <f>IF($W150="","",IF(INDEX('Per Invoice'!G$2:G$801,$W150)="","",INDEX('Per Invoice'!G$2:G$801,$W150)))</f>
        <v/>
      </c>
      <c r="H150">
        <f>IF($W150="","",IF(INDEX('Per Invoice'!H$2:H$801,$W150)="","",INDEX('Per Invoice'!H$2:H$801,$W150)))</f>
        <v/>
      </c>
      <c r="I150">
        <f>IF($W150="","",IF(INDEX('Per Invoice'!I$2:I$801,$W150)="","",INDEX('Per Invoice'!I$2:I$801,$W150)))</f>
        <v/>
      </c>
      <c r="J150">
        <f>IF($W150="","",IF(INDEX('Per Invoice'!J$2:J$801,$W150)="","",INDEX('Per Invoice'!J$2:J$801,$W150)))</f>
        <v/>
      </c>
      <c r="K150" s="7">
        <f>IF($W150="","",IF(INDEX('Per Invoice'!K$2:K$801,$W150)="","",INDEX('Per Invoice'!K$2:K$801,$W150)))</f>
        <v/>
      </c>
      <c r="L150" s="14">
        <f>IF($W150="","",IF(INDEX('Per Invoice'!L$2:L$801,$W150)="","",INDEX('Per Invoice'!L$2:L$801,$W150)))</f>
        <v/>
      </c>
      <c r="M150">
        <f>IF($W150="","",IF(INDEX('Per Invoice'!M$2:M$801,$W150)="","",INDEX('Per Invoice'!M$2:M$801,$W150)))</f>
        <v/>
      </c>
      <c r="N150" s="7">
        <f>IF($W150="","",IF(INDEX('Per Invoice'!N$2:N$801,$W150)="","",INDEX('Per Invoice'!N$2:N$801,$W150)))</f>
        <v/>
      </c>
      <c r="O150" s="7">
        <f>IF($W150="","",IF(INDEX('Per Invoice'!O$2:O$801,$W150)="","",INDEX('Per Invoice'!O$2:O$801,$W150)))</f>
        <v/>
      </c>
      <c r="P150">
        <f>IF($W150="","",IF(INDEX('Per Invoice'!P$2:P$801,$W150)="","",INDEX('Per Invoice'!P$2:P$801,$W150)))</f>
        <v/>
      </c>
      <c r="Q150" s="7">
        <f>IF($W150="","",IF(INDEX('Per Invoice'!Q$2:Q$801,$W150)="","",INDEX('Per Invoice'!Q$2:Q$801,$W150)))</f>
        <v/>
      </c>
      <c r="R150" s="7">
        <f>IF($W150="","",IF(INDEX('Per Invoice'!R$2:R$801,$W150)="","",INDEX('Per Invoice'!R$2:R$801,$W150)))</f>
        <v/>
      </c>
      <c r="S150" s="7">
        <f>IF($W150="","",IF(INDEX('Per Invoice'!S$2:S$801,$W150)="","",INDEX('Per Invoice'!S$2:S$801,$W150)))</f>
        <v/>
      </c>
      <c r="T150" s="7">
        <f>IF($W150="","",IF(INDEX('Per Invoice'!T$2:T$801,$W150)="","",INDEX('Per Invoice'!T$2:T$801,$W150)))</f>
        <v/>
      </c>
      <c r="U150" s="7">
        <f>IF($W150="","",IF(INDEX('Per Invoice'!U$2:U$801,$W150)="","",INDEX('Per Invoice'!U$2:U$801,$W150)))</f>
        <v/>
      </c>
      <c r="V150" s="7">
        <f>IF($W150="","",IF(INDEX('Per Invoice'!V$2:V$801,$W150)="","",INDEX('Per Invoice'!V$2:V$801,$W150)))</f>
        <v/>
      </c>
      <c r="W150" s="16">
        <f>IFERROR(MATCH(Settings!$C$31&amp;"|"&amp;ROWS($W$2:$W150),'Per Invoice'!$X$2:$X$801,0),"")</f>
        <v/>
      </c>
    </row>
    <row r="151">
      <c r="A151">
        <f>IF($W151="","",IF(INDEX('Per Invoice'!A$2:A$801,$W151)="","",INDEX('Per Invoice'!A$2:A$801,$W151)))</f>
        <v/>
      </c>
      <c r="B151">
        <f>IF($W151="","",IF(INDEX('Per Invoice'!B$2:B$801,$W151)="","",INDEX('Per Invoice'!B$2:B$801,$W151)))</f>
        <v/>
      </c>
      <c r="C151">
        <f>IF($W151="","",IF(INDEX('Per Invoice'!C$2:C$801,$W151)="","",INDEX('Per Invoice'!C$2:C$801,$W151)))</f>
        <v/>
      </c>
      <c r="D151">
        <f>IF($W151="","",IF(INDEX('Per Invoice'!D$2:D$801,$W151)="","",INDEX('Per Invoice'!D$2:D$801,$W151)))</f>
        <v/>
      </c>
      <c r="E151">
        <f>IF($W151="","",IF(INDEX('Per Invoice'!E$2:E$801,$W151)="","",INDEX('Per Invoice'!E$2:E$801,$W151)))</f>
        <v/>
      </c>
      <c r="F151">
        <f>IF($W151="","",IF(INDEX('Per Invoice'!F$2:F$801,$W151)="","",INDEX('Per Invoice'!F$2:F$801,$W151)))</f>
        <v/>
      </c>
      <c r="G151">
        <f>IF($W151="","",IF(INDEX('Per Invoice'!G$2:G$801,$W151)="","",INDEX('Per Invoice'!G$2:G$801,$W151)))</f>
        <v/>
      </c>
      <c r="H151">
        <f>IF($W151="","",IF(INDEX('Per Invoice'!H$2:H$801,$W151)="","",INDEX('Per Invoice'!H$2:H$801,$W151)))</f>
        <v/>
      </c>
      <c r="I151">
        <f>IF($W151="","",IF(INDEX('Per Invoice'!I$2:I$801,$W151)="","",INDEX('Per Invoice'!I$2:I$801,$W151)))</f>
        <v/>
      </c>
      <c r="J151">
        <f>IF($W151="","",IF(INDEX('Per Invoice'!J$2:J$801,$W151)="","",INDEX('Per Invoice'!J$2:J$801,$W151)))</f>
        <v/>
      </c>
      <c r="K151" s="7">
        <f>IF($W151="","",IF(INDEX('Per Invoice'!K$2:K$801,$W151)="","",INDEX('Per Invoice'!K$2:K$801,$W151)))</f>
        <v/>
      </c>
      <c r="L151" s="14">
        <f>IF($W151="","",IF(INDEX('Per Invoice'!L$2:L$801,$W151)="","",INDEX('Per Invoice'!L$2:L$801,$W151)))</f>
        <v/>
      </c>
      <c r="M151">
        <f>IF($W151="","",IF(INDEX('Per Invoice'!M$2:M$801,$W151)="","",INDEX('Per Invoice'!M$2:M$801,$W151)))</f>
        <v/>
      </c>
      <c r="N151" s="7">
        <f>IF($W151="","",IF(INDEX('Per Invoice'!N$2:N$801,$W151)="","",INDEX('Per Invoice'!N$2:N$801,$W151)))</f>
        <v/>
      </c>
      <c r="O151" s="7">
        <f>IF($W151="","",IF(INDEX('Per Invoice'!O$2:O$801,$W151)="","",INDEX('Per Invoice'!O$2:O$801,$W151)))</f>
        <v/>
      </c>
      <c r="P151">
        <f>IF($W151="","",IF(INDEX('Per Invoice'!P$2:P$801,$W151)="","",INDEX('Per Invoice'!P$2:P$801,$W151)))</f>
        <v/>
      </c>
      <c r="Q151" s="7">
        <f>IF($W151="","",IF(INDEX('Per Invoice'!Q$2:Q$801,$W151)="","",INDEX('Per Invoice'!Q$2:Q$801,$W151)))</f>
        <v/>
      </c>
      <c r="R151" s="7">
        <f>IF($W151="","",IF(INDEX('Per Invoice'!R$2:R$801,$W151)="","",INDEX('Per Invoice'!R$2:R$801,$W151)))</f>
        <v/>
      </c>
      <c r="S151" s="7">
        <f>IF($W151="","",IF(INDEX('Per Invoice'!S$2:S$801,$W151)="","",INDEX('Per Invoice'!S$2:S$801,$W151)))</f>
        <v/>
      </c>
      <c r="T151" s="7">
        <f>IF($W151="","",IF(INDEX('Per Invoice'!T$2:T$801,$W151)="","",INDEX('Per Invoice'!T$2:T$801,$W151)))</f>
        <v/>
      </c>
      <c r="U151" s="7">
        <f>IF($W151="","",IF(INDEX('Per Invoice'!U$2:U$801,$W151)="","",INDEX('Per Invoice'!U$2:U$801,$W151)))</f>
        <v/>
      </c>
      <c r="V151" s="7">
        <f>IF($W151="","",IF(INDEX('Per Invoice'!V$2:V$801,$W151)="","",INDEX('Per Invoice'!V$2:V$801,$W151)))</f>
        <v/>
      </c>
      <c r="W151" s="16">
        <f>IFERROR(MATCH(Settings!$C$31&amp;"|"&amp;ROWS($W$2:$W151),'Per Invoice'!$X$2:$X$801,0),"")</f>
        <v/>
      </c>
    </row>
    <row r="152">
      <c r="A152">
        <f>IF($W152="","",IF(INDEX('Per Invoice'!A$2:A$801,$W152)="","",INDEX('Per Invoice'!A$2:A$801,$W152)))</f>
        <v/>
      </c>
      <c r="B152">
        <f>IF($W152="","",IF(INDEX('Per Invoice'!B$2:B$801,$W152)="","",INDEX('Per Invoice'!B$2:B$801,$W152)))</f>
        <v/>
      </c>
      <c r="C152">
        <f>IF($W152="","",IF(INDEX('Per Invoice'!C$2:C$801,$W152)="","",INDEX('Per Invoice'!C$2:C$801,$W152)))</f>
        <v/>
      </c>
      <c r="D152">
        <f>IF($W152="","",IF(INDEX('Per Invoice'!D$2:D$801,$W152)="","",INDEX('Per Invoice'!D$2:D$801,$W152)))</f>
        <v/>
      </c>
      <c r="E152">
        <f>IF($W152="","",IF(INDEX('Per Invoice'!E$2:E$801,$W152)="","",INDEX('Per Invoice'!E$2:E$801,$W152)))</f>
        <v/>
      </c>
      <c r="F152">
        <f>IF($W152="","",IF(INDEX('Per Invoice'!F$2:F$801,$W152)="","",INDEX('Per Invoice'!F$2:F$801,$W152)))</f>
        <v/>
      </c>
      <c r="G152">
        <f>IF($W152="","",IF(INDEX('Per Invoice'!G$2:G$801,$W152)="","",INDEX('Per Invoice'!G$2:G$801,$W152)))</f>
        <v/>
      </c>
      <c r="H152">
        <f>IF($W152="","",IF(INDEX('Per Invoice'!H$2:H$801,$W152)="","",INDEX('Per Invoice'!H$2:H$801,$W152)))</f>
        <v/>
      </c>
      <c r="I152">
        <f>IF($W152="","",IF(INDEX('Per Invoice'!I$2:I$801,$W152)="","",INDEX('Per Invoice'!I$2:I$801,$W152)))</f>
        <v/>
      </c>
      <c r="J152">
        <f>IF($W152="","",IF(INDEX('Per Invoice'!J$2:J$801,$W152)="","",INDEX('Per Invoice'!J$2:J$801,$W152)))</f>
        <v/>
      </c>
      <c r="K152" s="7">
        <f>IF($W152="","",IF(INDEX('Per Invoice'!K$2:K$801,$W152)="","",INDEX('Per Invoice'!K$2:K$801,$W152)))</f>
        <v/>
      </c>
      <c r="L152" s="14">
        <f>IF($W152="","",IF(INDEX('Per Invoice'!L$2:L$801,$W152)="","",INDEX('Per Invoice'!L$2:L$801,$W152)))</f>
        <v/>
      </c>
      <c r="M152">
        <f>IF($W152="","",IF(INDEX('Per Invoice'!M$2:M$801,$W152)="","",INDEX('Per Invoice'!M$2:M$801,$W152)))</f>
        <v/>
      </c>
      <c r="N152" s="7">
        <f>IF($W152="","",IF(INDEX('Per Invoice'!N$2:N$801,$W152)="","",INDEX('Per Invoice'!N$2:N$801,$W152)))</f>
        <v/>
      </c>
      <c r="O152" s="7">
        <f>IF($W152="","",IF(INDEX('Per Invoice'!O$2:O$801,$W152)="","",INDEX('Per Invoice'!O$2:O$801,$W152)))</f>
        <v/>
      </c>
      <c r="P152">
        <f>IF($W152="","",IF(INDEX('Per Invoice'!P$2:P$801,$W152)="","",INDEX('Per Invoice'!P$2:P$801,$W152)))</f>
        <v/>
      </c>
      <c r="Q152" s="7">
        <f>IF($W152="","",IF(INDEX('Per Invoice'!Q$2:Q$801,$W152)="","",INDEX('Per Invoice'!Q$2:Q$801,$W152)))</f>
        <v/>
      </c>
      <c r="R152" s="7">
        <f>IF($W152="","",IF(INDEX('Per Invoice'!R$2:R$801,$W152)="","",INDEX('Per Invoice'!R$2:R$801,$W152)))</f>
        <v/>
      </c>
      <c r="S152" s="7">
        <f>IF($W152="","",IF(INDEX('Per Invoice'!S$2:S$801,$W152)="","",INDEX('Per Invoice'!S$2:S$801,$W152)))</f>
        <v/>
      </c>
      <c r="T152" s="7">
        <f>IF($W152="","",IF(INDEX('Per Invoice'!T$2:T$801,$W152)="","",INDEX('Per Invoice'!T$2:T$801,$W152)))</f>
        <v/>
      </c>
      <c r="U152" s="7">
        <f>IF($W152="","",IF(INDEX('Per Invoice'!U$2:U$801,$W152)="","",INDEX('Per Invoice'!U$2:U$801,$W152)))</f>
        <v/>
      </c>
      <c r="V152" s="7">
        <f>IF($W152="","",IF(INDEX('Per Invoice'!V$2:V$801,$W152)="","",INDEX('Per Invoice'!V$2:V$801,$W152)))</f>
        <v/>
      </c>
      <c r="W152" s="16">
        <f>IFERROR(MATCH(Settings!$C$31&amp;"|"&amp;ROWS($W$2:$W152),'Per Invoice'!$X$2:$X$801,0),"")</f>
        <v/>
      </c>
    </row>
    <row r="153">
      <c r="A153">
        <f>IF($W153="","",IF(INDEX('Per Invoice'!A$2:A$801,$W153)="","",INDEX('Per Invoice'!A$2:A$801,$W153)))</f>
        <v/>
      </c>
      <c r="B153">
        <f>IF($W153="","",IF(INDEX('Per Invoice'!B$2:B$801,$W153)="","",INDEX('Per Invoice'!B$2:B$801,$W153)))</f>
        <v/>
      </c>
      <c r="C153">
        <f>IF($W153="","",IF(INDEX('Per Invoice'!C$2:C$801,$W153)="","",INDEX('Per Invoice'!C$2:C$801,$W153)))</f>
        <v/>
      </c>
      <c r="D153">
        <f>IF($W153="","",IF(INDEX('Per Invoice'!D$2:D$801,$W153)="","",INDEX('Per Invoice'!D$2:D$801,$W153)))</f>
        <v/>
      </c>
      <c r="E153">
        <f>IF($W153="","",IF(INDEX('Per Invoice'!E$2:E$801,$W153)="","",INDEX('Per Invoice'!E$2:E$801,$W153)))</f>
        <v/>
      </c>
      <c r="F153">
        <f>IF($W153="","",IF(INDEX('Per Invoice'!F$2:F$801,$W153)="","",INDEX('Per Invoice'!F$2:F$801,$W153)))</f>
        <v/>
      </c>
      <c r="G153">
        <f>IF($W153="","",IF(INDEX('Per Invoice'!G$2:G$801,$W153)="","",INDEX('Per Invoice'!G$2:G$801,$W153)))</f>
        <v/>
      </c>
      <c r="H153">
        <f>IF($W153="","",IF(INDEX('Per Invoice'!H$2:H$801,$W153)="","",INDEX('Per Invoice'!H$2:H$801,$W153)))</f>
        <v/>
      </c>
      <c r="I153">
        <f>IF($W153="","",IF(INDEX('Per Invoice'!I$2:I$801,$W153)="","",INDEX('Per Invoice'!I$2:I$801,$W153)))</f>
        <v/>
      </c>
      <c r="J153">
        <f>IF($W153="","",IF(INDEX('Per Invoice'!J$2:J$801,$W153)="","",INDEX('Per Invoice'!J$2:J$801,$W153)))</f>
        <v/>
      </c>
      <c r="K153" s="7">
        <f>IF($W153="","",IF(INDEX('Per Invoice'!K$2:K$801,$W153)="","",INDEX('Per Invoice'!K$2:K$801,$W153)))</f>
        <v/>
      </c>
      <c r="L153" s="14">
        <f>IF($W153="","",IF(INDEX('Per Invoice'!L$2:L$801,$W153)="","",INDEX('Per Invoice'!L$2:L$801,$W153)))</f>
        <v/>
      </c>
      <c r="M153">
        <f>IF($W153="","",IF(INDEX('Per Invoice'!M$2:M$801,$W153)="","",INDEX('Per Invoice'!M$2:M$801,$W153)))</f>
        <v/>
      </c>
      <c r="N153" s="7">
        <f>IF($W153="","",IF(INDEX('Per Invoice'!N$2:N$801,$W153)="","",INDEX('Per Invoice'!N$2:N$801,$W153)))</f>
        <v/>
      </c>
      <c r="O153" s="7">
        <f>IF($W153="","",IF(INDEX('Per Invoice'!O$2:O$801,$W153)="","",INDEX('Per Invoice'!O$2:O$801,$W153)))</f>
        <v/>
      </c>
      <c r="P153">
        <f>IF($W153="","",IF(INDEX('Per Invoice'!P$2:P$801,$W153)="","",INDEX('Per Invoice'!P$2:P$801,$W153)))</f>
        <v/>
      </c>
      <c r="Q153" s="7">
        <f>IF($W153="","",IF(INDEX('Per Invoice'!Q$2:Q$801,$W153)="","",INDEX('Per Invoice'!Q$2:Q$801,$W153)))</f>
        <v/>
      </c>
      <c r="R153" s="7">
        <f>IF($W153="","",IF(INDEX('Per Invoice'!R$2:R$801,$W153)="","",INDEX('Per Invoice'!R$2:R$801,$W153)))</f>
        <v/>
      </c>
      <c r="S153" s="7">
        <f>IF($W153="","",IF(INDEX('Per Invoice'!S$2:S$801,$W153)="","",INDEX('Per Invoice'!S$2:S$801,$W153)))</f>
        <v/>
      </c>
      <c r="T153" s="7">
        <f>IF($W153="","",IF(INDEX('Per Invoice'!T$2:T$801,$W153)="","",INDEX('Per Invoice'!T$2:T$801,$W153)))</f>
        <v/>
      </c>
      <c r="U153" s="7">
        <f>IF($W153="","",IF(INDEX('Per Invoice'!U$2:U$801,$W153)="","",INDEX('Per Invoice'!U$2:U$801,$W153)))</f>
        <v/>
      </c>
      <c r="V153" s="7">
        <f>IF($W153="","",IF(INDEX('Per Invoice'!V$2:V$801,$W153)="","",INDEX('Per Invoice'!V$2:V$801,$W153)))</f>
        <v/>
      </c>
      <c r="W153" s="16">
        <f>IFERROR(MATCH(Settings!$C$31&amp;"|"&amp;ROWS($W$2:$W153),'Per Invoice'!$X$2:$X$801,0),"")</f>
        <v/>
      </c>
    </row>
    <row r="154">
      <c r="A154">
        <f>IF($W154="","",IF(INDEX('Per Invoice'!A$2:A$801,$W154)="","",INDEX('Per Invoice'!A$2:A$801,$W154)))</f>
        <v/>
      </c>
      <c r="B154">
        <f>IF($W154="","",IF(INDEX('Per Invoice'!B$2:B$801,$W154)="","",INDEX('Per Invoice'!B$2:B$801,$W154)))</f>
        <v/>
      </c>
      <c r="C154">
        <f>IF($W154="","",IF(INDEX('Per Invoice'!C$2:C$801,$W154)="","",INDEX('Per Invoice'!C$2:C$801,$W154)))</f>
        <v/>
      </c>
      <c r="D154">
        <f>IF($W154="","",IF(INDEX('Per Invoice'!D$2:D$801,$W154)="","",INDEX('Per Invoice'!D$2:D$801,$W154)))</f>
        <v/>
      </c>
      <c r="E154">
        <f>IF($W154="","",IF(INDEX('Per Invoice'!E$2:E$801,$W154)="","",INDEX('Per Invoice'!E$2:E$801,$W154)))</f>
        <v/>
      </c>
      <c r="F154">
        <f>IF($W154="","",IF(INDEX('Per Invoice'!F$2:F$801,$W154)="","",INDEX('Per Invoice'!F$2:F$801,$W154)))</f>
        <v/>
      </c>
      <c r="G154">
        <f>IF($W154="","",IF(INDEX('Per Invoice'!G$2:G$801,$W154)="","",INDEX('Per Invoice'!G$2:G$801,$W154)))</f>
        <v/>
      </c>
      <c r="H154">
        <f>IF($W154="","",IF(INDEX('Per Invoice'!H$2:H$801,$W154)="","",INDEX('Per Invoice'!H$2:H$801,$W154)))</f>
        <v/>
      </c>
      <c r="I154">
        <f>IF($W154="","",IF(INDEX('Per Invoice'!I$2:I$801,$W154)="","",INDEX('Per Invoice'!I$2:I$801,$W154)))</f>
        <v/>
      </c>
      <c r="J154">
        <f>IF($W154="","",IF(INDEX('Per Invoice'!J$2:J$801,$W154)="","",INDEX('Per Invoice'!J$2:J$801,$W154)))</f>
        <v/>
      </c>
      <c r="K154" s="7">
        <f>IF($W154="","",IF(INDEX('Per Invoice'!K$2:K$801,$W154)="","",INDEX('Per Invoice'!K$2:K$801,$W154)))</f>
        <v/>
      </c>
      <c r="L154" s="14">
        <f>IF($W154="","",IF(INDEX('Per Invoice'!L$2:L$801,$W154)="","",INDEX('Per Invoice'!L$2:L$801,$W154)))</f>
        <v/>
      </c>
      <c r="M154">
        <f>IF($W154="","",IF(INDEX('Per Invoice'!M$2:M$801,$W154)="","",INDEX('Per Invoice'!M$2:M$801,$W154)))</f>
        <v/>
      </c>
      <c r="N154" s="7">
        <f>IF($W154="","",IF(INDEX('Per Invoice'!N$2:N$801,$W154)="","",INDEX('Per Invoice'!N$2:N$801,$W154)))</f>
        <v/>
      </c>
      <c r="O154" s="7">
        <f>IF($W154="","",IF(INDEX('Per Invoice'!O$2:O$801,$W154)="","",INDEX('Per Invoice'!O$2:O$801,$W154)))</f>
        <v/>
      </c>
      <c r="P154">
        <f>IF($W154="","",IF(INDEX('Per Invoice'!P$2:P$801,$W154)="","",INDEX('Per Invoice'!P$2:P$801,$W154)))</f>
        <v/>
      </c>
      <c r="Q154" s="7">
        <f>IF($W154="","",IF(INDEX('Per Invoice'!Q$2:Q$801,$W154)="","",INDEX('Per Invoice'!Q$2:Q$801,$W154)))</f>
        <v/>
      </c>
      <c r="R154" s="7">
        <f>IF($W154="","",IF(INDEX('Per Invoice'!R$2:R$801,$W154)="","",INDEX('Per Invoice'!R$2:R$801,$W154)))</f>
        <v/>
      </c>
      <c r="S154" s="7">
        <f>IF($W154="","",IF(INDEX('Per Invoice'!S$2:S$801,$W154)="","",INDEX('Per Invoice'!S$2:S$801,$W154)))</f>
        <v/>
      </c>
      <c r="T154" s="7">
        <f>IF($W154="","",IF(INDEX('Per Invoice'!T$2:T$801,$W154)="","",INDEX('Per Invoice'!T$2:T$801,$W154)))</f>
        <v/>
      </c>
      <c r="U154" s="7">
        <f>IF($W154="","",IF(INDEX('Per Invoice'!U$2:U$801,$W154)="","",INDEX('Per Invoice'!U$2:U$801,$W154)))</f>
        <v/>
      </c>
      <c r="V154" s="7">
        <f>IF($W154="","",IF(INDEX('Per Invoice'!V$2:V$801,$W154)="","",INDEX('Per Invoice'!V$2:V$801,$W154)))</f>
        <v/>
      </c>
      <c r="W154" s="16">
        <f>IFERROR(MATCH(Settings!$C$31&amp;"|"&amp;ROWS($W$2:$W154),'Per Invoice'!$X$2:$X$801,0),"")</f>
        <v/>
      </c>
    </row>
    <row r="155">
      <c r="A155">
        <f>IF($W155="","",IF(INDEX('Per Invoice'!A$2:A$801,$W155)="","",INDEX('Per Invoice'!A$2:A$801,$W155)))</f>
        <v/>
      </c>
      <c r="B155">
        <f>IF($W155="","",IF(INDEX('Per Invoice'!B$2:B$801,$W155)="","",INDEX('Per Invoice'!B$2:B$801,$W155)))</f>
        <v/>
      </c>
      <c r="C155">
        <f>IF($W155="","",IF(INDEX('Per Invoice'!C$2:C$801,$W155)="","",INDEX('Per Invoice'!C$2:C$801,$W155)))</f>
        <v/>
      </c>
      <c r="D155">
        <f>IF($W155="","",IF(INDEX('Per Invoice'!D$2:D$801,$W155)="","",INDEX('Per Invoice'!D$2:D$801,$W155)))</f>
        <v/>
      </c>
      <c r="E155">
        <f>IF($W155="","",IF(INDEX('Per Invoice'!E$2:E$801,$W155)="","",INDEX('Per Invoice'!E$2:E$801,$W155)))</f>
        <v/>
      </c>
      <c r="F155">
        <f>IF($W155="","",IF(INDEX('Per Invoice'!F$2:F$801,$W155)="","",INDEX('Per Invoice'!F$2:F$801,$W155)))</f>
        <v/>
      </c>
      <c r="G155">
        <f>IF($W155="","",IF(INDEX('Per Invoice'!G$2:G$801,$W155)="","",INDEX('Per Invoice'!G$2:G$801,$W155)))</f>
        <v/>
      </c>
      <c r="H155">
        <f>IF($W155="","",IF(INDEX('Per Invoice'!H$2:H$801,$W155)="","",INDEX('Per Invoice'!H$2:H$801,$W155)))</f>
        <v/>
      </c>
      <c r="I155">
        <f>IF($W155="","",IF(INDEX('Per Invoice'!I$2:I$801,$W155)="","",INDEX('Per Invoice'!I$2:I$801,$W155)))</f>
        <v/>
      </c>
      <c r="J155">
        <f>IF($W155="","",IF(INDEX('Per Invoice'!J$2:J$801,$W155)="","",INDEX('Per Invoice'!J$2:J$801,$W155)))</f>
        <v/>
      </c>
      <c r="K155" s="7">
        <f>IF($W155="","",IF(INDEX('Per Invoice'!K$2:K$801,$W155)="","",INDEX('Per Invoice'!K$2:K$801,$W155)))</f>
        <v/>
      </c>
      <c r="L155" s="14">
        <f>IF($W155="","",IF(INDEX('Per Invoice'!L$2:L$801,$W155)="","",INDEX('Per Invoice'!L$2:L$801,$W155)))</f>
        <v/>
      </c>
      <c r="M155">
        <f>IF($W155="","",IF(INDEX('Per Invoice'!M$2:M$801,$W155)="","",INDEX('Per Invoice'!M$2:M$801,$W155)))</f>
        <v/>
      </c>
      <c r="N155" s="7">
        <f>IF($W155="","",IF(INDEX('Per Invoice'!N$2:N$801,$W155)="","",INDEX('Per Invoice'!N$2:N$801,$W155)))</f>
        <v/>
      </c>
      <c r="O155" s="7">
        <f>IF($W155="","",IF(INDEX('Per Invoice'!O$2:O$801,$W155)="","",INDEX('Per Invoice'!O$2:O$801,$W155)))</f>
        <v/>
      </c>
      <c r="P155">
        <f>IF($W155="","",IF(INDEX('Per Invoice'!P$2:P$801,$W155)="","",INDEX('Per Invoice'!P$2:P$801,$W155)))</f>
        <v/>
      </c>
      <c r="Q155" s="7">
        <f>IF($W155="","",IF(INDEX('Per Invoice'!Q$2:Q$801,$W155)="","",INDEX('Per Invoice'!Q$2:Q$801,$W155)))</f>
        <v/>
      </c>
      <c r="R155" s="7">
        <f>IF($W155="","",IF(INDEX('Per Invoice'!R$2:R$801,$W155)="","",INDEX('Per Invoice'!R$2:R$801,$W155)))</f>
        <v/>
      </c>
      <c r="S155" s="7">
        <f>IF($W155="","",IF(INDEX('Per Invoice'!S$2:S$801,$W155)="","",INDEX('Per Invoice'!S$2:S$801,$W155)))</f>
        <v/>
      </c>
      <c r="T155" s="7">
        <f>IF($W155="","",IF(INDEX('Per Invoice'!T$2:T$801,$W155)="","",INDEX('Per Invoice'!T$2:T$801,$W155)))</f>
        <v/>
      </c>
      <c r="U155" s="7">
        <f>IF($W155="","",IF(INDEX('Per Invoice'!U$2:U$801,$W155)="","",INDEX('Per Invoice'!U$2:U$801,$W155)))</f>
        <v/>
      </c>
      <c r="V155" s="7">
        <f>IF($W155="","",IF(INDEX('Per Invoice'!V$2:V$801,$W155)="","",INDEX('Per Invoice'!V$2:V$801,$W155)))</f>
        <v/>
      </c>
      <c r="W155" s="16">
        <f>IFERROR(MATCH(Settings!$C$31&amp;"|"&amp;ROWS($W$2:$W155),'Per Invoice'!$X$2:$X$801,0),"")</f>
        <v/>
      </c>
    </row>
    <row r="156">
      <c r="A156">
        <f>IF($W156="","",IF(INDEX('Per Invoice'!A$2:A$801,$W156)="","",INDEX('Per Invoice'!A$2:A$801,$W156)))</f>
        <v/>
      </c>
      <c r="B156">
        <f>IF($W156="","",IF(INDEX('Per Invoice'!B$2:B$801,$W156)="","",INDEX('Per Invoice'!B$2:B$801,$W156)))</f>
        <v/>
      </c>
      <c r="C156">
        <f>IF($W156="","",IF(INDEX('Per Invoice'!C$2:C$801,$W156)="","",INDEX('Per Invoice'!C$2:C$801,$W156)))</f>
        <v/>
      </c>
      <c r="D156">
        <f>IF($W156="","",IF(INDEX('Per Invoice'!D$2:D$801,$W156)="","",INDEX('Per Invoice'!D$2:D$801,$W156)))</f>
        <v/>
      </c>
      <c r="E156">
        <f>IF($W156="","",IF(INDEX('Per Invoice'!E$2:E$801,$W156)="","",INDEX('Per Invoice'!E$2:E$801,$W156)))</f>
        <v/>
      </c>
      <c r="F156">
        <f>IF($W156="","",IF(INDEX('Per Invoice'!F$2:F$801,$W156)="","",INDEX('Per Invoice'!F$2:F$801,$W156)))</f>
        <v/>
      </c>
      <c r="G156">
        <f>IF($W156="","",IF(INDEX('Per Invoice'!G$2:G$801,$W156)="","",INDEX('Per Invoice'!G$2:G$801,$W156)))</f>
        <v/>
      </c>
      <c r="H156">
        <f>IF($W156="","",IF(INDEX('Per Invoice'!H$2:H$801,$W156)="","",INDEX('Per Invoice'!H$2:H$801,$W156)))</f>
        <v/>
      </c>
      <c r="I156">
        <f>IF($W156="","",IF(INDEX('Per Invoice'!I$2:I$801,$W156)="","",INDEX('Per Invoice'!I$2:I$801,$W156)))</f>
        <v/>
      </c>
      <c r="J156">
        <f>IF($W156="","",IF(INDEX('Per Invoice'!J$2:J$801,$W156)="","",INDEX('Per Invoice'!J$2:J$801,$W156)))</f>
        <v/>
      </c>
      <c r="K156" s="7">
        <f>IF($W156="","",IF(INDEX('Per Invoice'!K$2:K$801,$W156)="","",INDEX('Per Invoice'!K$2:K$801,$W156)))</f>
        <v/>
      </c>
      <c r="L156" s="14">
        <f>IF($W156="","",IF(INDEX('Per Invoice'!L$2:L$801,$W156)="","",INDEX('Per Invoice'!L$2:L$801,$W156)))</f>
        <v/>
      </c>
      <c r="M156">
        <f>IF($W156="","",IF(INDEX('Per Invoice'!M$2:M$801,$W156)="","",INDEX('Per Invoice'!M$2:M$801,$W156)))</f>
        <v/>
      </c>
      <c r="N156" s="7">
        <f>IF($W156="","",IF(INDEX('Per Invoice'!N$2:N$801,$W156)="","",INDEX('Per Invoice'!N$2:N$801,$W156)))</f>
        <v/>
      </c>
      <c r="O156" s="7">
        <f>IF($W156="","",IF(INDEX('Per Invoice'!O$2:O$801,$W156)="","",INDEX('Per Invoice'!O$2:O$801,$W156)))</f>
        <v/>
      </c>
      <c r="P156">
        <f>IF($W156="","",IF(INDEX('Per Invoice'!P$2:P$801,$W156)="","",INDEX('Per Invoice'!P$2:P$801,$W156)))</f>
        <v/>
      </c>
      <c r="Q156" s="7">
        <f>IF($W156="","",IF(INDEX('Per Invoice'!Q$2:Q$801,$W156)="","",INDEX('Per Invoice'!Q$2:Q$801,$W156)))</f>
        <v/>
      </c>
      <c r="R156" s="7">
        <f>IF($W156="","",IF(INDEX('Per Invoice'!R$2:R$801,$W156)="","",INDEX('Per Invoice'!R$2:R$801,$W156)))</f>
        <v/>
      </c>
      <c r="S156" s="7">
        <f>IF($W156="","",IF(INDEX('Per Invoice'!S$2:S$801,$W156)="","",INDEX('Per Invoice'!S$2:S$801,$W156)))</f>
        <v/>
      </c>
      <c r="T156" s="7">
        <f>IF($W156="","",IF(INDEX('Per Invoice'!T$2:T$801,$W156)="","",INDEX('Per Invoice'!T$2:T$801,$W156)))</f>
        <v/>
      </c>
      <c r="U156" s="7">
        <f>IF($W156="","",IF(INDEX('Per Invoice'!U$2:U$801,$W156)="","",INDEX('Per Invoice'!U$2:U$801,$W156)))</f>
        <v/>
      </c>
      <c r="V156" s="7">
        <f>IF($W156="","",IF(INDEX('Per Invoice'!V$2:V$801,$W156)="","",INDEX('Per Invoice'!V$2:V$801,$W156)))</f>
        <v/>
      </c>
      <c r="W156" s="16">
        <f>IFERROR(MATCH(Settings!$C$31&amp;"|"&amp;ROWS($W$2:$W156),'Per Invoice'!$X$2:$X$801,0),"")</f>
        <v/>
      </c>
    </row>
    <row r="157">
      <c r="A157">
        <f>IF($W157="","",IF(INDEX('Per Invoice'!A$2:A$801,$W157)="","",INDEX('Per Invoice'!A$2:A$801,$W157)))</f>
        <v/>
      </c>
      <c r="B157">
        <f>IF($W157="","",IF(INDEX('Per Invoice'!B$2:B$801,$W157)="","",INDEX('Per Invoice'!B$2:B$801,$W157)))</f>
        <v/>
      </c>
      <c r="C157">
        <f>IF($W157="","",IF(INDEX('Per Invoice'!C$2:C$801,$W157)="","",INDEX('Per Invoice'!C$2:C$801,$W157)))</f>
        <v/>
      </c>
      <c r="D157">
        <f>IF($W157="","",IF(INDEX('Per Invoice'!D$2:D$801,$W157)="","",INDEX('Per Invoice'!D$2:D$801,$W157)))</f>
        <v/>
      </c>
      <c r="E157">
        <f>IF($W157="","",IF(INDEX('Per Invoice'!E$2:E$801,$W157)="","",INDEX('Per Invoice'!E$2:E$801,$W157)))</f>
        <v/>
      </c>
      <c r="F157">
        <f>IF($W157="","",IF(INDEX('Per Invoice'!F$2:F$801,$W157)="","",INDEX('Per Invoice'!F$2:F$801,$W157)))</f>
        <v/>
      </c>
      <c r="G157">
        <f>IF($W157="","",IF(INDEX('Per Invoice'!G$2:G$801,$W157)="","",INDEX('Per Invoice'!G$2:G$801,$W157)))</f>
        <v/>
      </c>
      <c r="H157">
        <f>IF($W157="","",IF(INDEX('Per Invoice'!H$2:H$801,$W157)="","",INDEX('Per Invoice'!H$2:H$801,$W157)))</f>
        <v/>
      </c>
      <c r="I157">
        <f>IF($W157="","",IF(INDEX('Per Invoice'!I$2:I$801,$W157)="","",INDEX('Per Invoice'!I$2:I$801,$W157)))</f>
        <v/>
      </c>
      <c r="J157">
        <f>IF($W157="","",IF(INDEX('Per Invoice'!J$2:J$801,$W157)="","",INDEX('Per Invoice'!J$2:J$801,$W157)))</f>
        <v/>
      </c>
      <c r="K157" s="7">
        <f>IF($W157="","",IF(INDEX('Per Invoice'!K$2:K$801,$W157)="","",INDEX('Per Invoice'!K$2:K$801,$W157)))</f>
        <v/>
      </c>
      <c r="L157" s="14">
        <f>IF($W157="","",IF(INDEX('Per Invoice'!L$2:L$801,$W157)="","",INDEX('Per Invoice'!L$2:L$801,$W157)))</f>
        <v/>
      </c>
      <c r="M157">
        <f>IF($W157="","",IF(INDEX('Per Invoice'!M$2:M$801,$W157)="","",INDEX('Per Invoice'!M$2:M$801,$W157)))</f>
        <v/>
      </c>
      <c r="N157" s="7">
        <f>IF($W157="","",IF(INDEX('Per Invoice'!N$2:N$801,$W157)="","",INDEX('Per Invoice'!N$2:N$801,$W157)))</f>
        <v/>
      </c>
      <c r="O157" s="7">
        <f>IF($W157="","",IF(INDEX('Per Invoice'!O$2:O$801,$W157)="","",INDEX('Per Invoice'!O$2:O$801,$W157)))</f>
        <v/>
      </c>
      <c r="P157">
        <f>IF($W157="","",IF(INDEX('Per Invoice'!P$2:P$801,$W157)="","",INDEX('Per Invoice'!P$2:P$801,$W157)))</f>
        <v/>
      </c>
      <c r="Q157" s="7">
        <f>IF($W157="","",IF(INDEX('Per Invoice'!Q$2:Q$801,$W157)="","",INDEX('Per Invoice'!Q$2:Q$801,$W157)))</f>
        <v/>
      </c>
      <c r="R157" s="7">
        <f>IF($W157="","",IF(INDEX('Per Invoice'!R$2:R$801,$W157)="","",INDEX('Per Invoice'!R$2:R$801,$W157)))</f>
        <v/>
      </c>
      <c r="S157" s="7">
        <f>IF($W157="","",IF(INDEX('Per Invoice'!S$2:S$801,$W157)="","",INDEX('Per Invoice'!S$2:S$801,$W157)))</f>
        <v/>
      </c>
      <c r="T157" s="7">
        <f>IF($W157="","",IF(INDEX('Per Invoice'!T$2:T$801,$W157)="","",INDEX('Per Invoice'!T$2:T$801,$W157)))</f>
        <v/>
      </c>
      <c r="U157" s="7">
        <f>IF($W157="","",IF(INDEX('Per Invoice'!U$2:U$801,$W157)="","",INDEX('Per Invoice'!U$2:U$801,$W157)))</f>
        <v/>
      </c>
      <c r="V157" s="7">
        <f>IF($W157="","",IF(INDEX('Per Invoice'!V$2:V$801,$W157)="","",INDEX('Per Invoice'!V$2:V$801,$W157)))</f>
        <v/>
      </c>
      <c r="W157" s="16">
        <f>IFERROR(MATCH(Settings!$C$31&amp;"|"&amp;ROWS($W$2:$W157),'Per Invoice'!$X$2:$X$801,0),"")</f>
        <v/>
      </c>
    </row>
    <row r="158">
      <c r="A158">
        <f>IF($W158="","",IF(INDEX('Per Invoice'!A$2:A$801,$W158)="","",INDEX('Per Invoice'!A$2:A$801,$W158)))</f>
        <v/>
      </c>
      <c r="B158">
        <f>IF($W158="","",IF(INDEX('Per Invoice'!B$2:B$801,$W158)="","",INDEX('Per Invoice'!B$2:B$801,$W158)))</f>
        <v/>
      </c>
      <c r="C158">
        <f>IF($W158="","",IF(INDEX('Per Invoice'!C$2:C$801,$W158)="","",INDEX('Per Invoice'!C$2:C$801,$W158)))</f>
        <v/>
      </c>
      <c r="D158">
        <f>IF($W158="","",IF(INDEX('Per Invoice'!D$2:D$801,$W158)="","",INDEX('Per Invoice'!D$2:D$801,$W158)))</f>
        <v/>
      </c>
      <c r="E158">
        <f>IF($W158="","",IF(INDEX('Per Invoice'!E$2:E$801,$W158)="","",INDEX('Per Invoice'!E$2:E$801,$W158)))</f>
        <v/>
      </c>
      <c r="F158">
        <f>IF($W158="","",IF(INDEX('Per Invoice'!F$2:F$801,$W158)="","",INDEX('Per Invoice'!F$2:F$801,$W158)))</f>
        <v/>
      </c>
      <c r="G158">
        <f>IF($W158="","",IF(INDEX('Per Invoice'!G$2:G$801,$W158)="","",INDEX('Per Invoice'!G$2:G$801,$W158)))</f>
        <v/>
      </c>
      <c r="H158">
        <f>IF($W158="","",IF(INDEX('Per Invoice'!H$2:H$801,$W158)="","",INDEX('Per Invoice'!H$2:H$801,$W158)))</f>
        <v/>
      </c>
      <c r="I158">
        <f>IF($W158="","",IF(INDEX('Per Invoice'!I$2:I$801,$W158)="","",INDEX('Per Invoice'!I$2:I$801,$W158)))</f>
        <v/>
      </c>
      <c r="J158">
        <f>IF($W158="","",IF(INDEX('Per Invoice'!J$2:J$801,$W158)="","",INDEX('Per Invoice'!J$2:J$801,$W158)))</f>
        <v/>
      </c>
      <c r="K158" s="7">
        <f>IF($W158="","",IF(INDEX('Per Invoice'!K$2:K$801,$W158)="","",INDEX('Per Invoice'!K$2:K$801,$W158)))</f>
        <v/>
      </c>
      <c r="L158" s="14">
        <f>IF($W158="","",IF(INDEX('Per Invoice'!L$2:L$801,$W158)="","",INDEX('Per Invoice'!L$2:L$801,$W158)))</f>
        <v/>
      </c>
      <c r="M158">
        <f>IF($W158="","",IF(INDEX('Per Invoice'!M$2:M$801,$W158)="","",INDEX('Per Invoice'!M$2:M$801,$W158)))</f>
        <v/>
      </c>
      <c r="N158" s="7">
        <f>IF($W158="","",IF(INDEX('Per Invoice'!N$2:N$801,$W158)="","",INDEX('Per Invoice'!N$2:N$801,$W158)))</f>
        <v/>
      </c>
      <c r="O158" s="7">
        <f>IF($W158="","",IF(INDEX('Per Invoice'!O$2:O$801,$W158)="","",INDEX('Per Invoice'!O$2:O$801,$W158)))</f>
        <v/>
      </c>
      <c r="P158">
        <f>IF($W158="","",IF(INDEX('Per Invoice'!P$2:P$801,$W158)="","",INDEX('Per Invoice'!P$2:P$801,$W158)))</f>
        <v/>
      </c>
      <c r="Q158" s="7">
        <f>IF($W158="","",IF(INDEX('Per Invoice'!Q$2:Q$801,$W158)="","",INDEX('Per Invoice'!Q$2:Q$801,$W158)))</f>
        <v/>
      </c>
      <c r="R158" s="7">
        <f>IF($W158="","",IF(INDEX('Per Invoice'!R$2:R$801,$W158)="","",INDEX('Per Invoice'!R$2:R$801,$W158)))</f>
        <v/>
      </c>
      <c r="S158" s="7">
        <f>IF($W158="","",IF(INDEX('Per Invoice'!S$2:S$801,$W158)="","",INDEX('Per Invoice'!S$2:S$801,$W158)))</f>
        <v/>
      </c>
      <c r="T158" s="7">
        <f>IF($W158="","",IF(INDEX('Per Invoice'!T$2:T$801,$W158)="","",INDEX('Per Invoice'!T$2:T$801,$W158)))</f>
        <v/>
      </c>
      <c r="U158" s="7">
        <f>IF($W158="","",IF(INDEX('Per Invoice'!U$2:U$801,$W158)="","",INDEX('Per Invoice'!U$2:U$801,$W158)))</f>
        <v/>
      </c>
      <c r="V158" s="7">
        <f>IF($W158="","",IF(INDEX('Per Invoice'!V$2:V$801,$W158)="","",INDEX('Per Invoice'!V$2:V$801,$W158)))</f>
        <v/>
      </c>
      <c r="W158" s="16">
        <f>IFERROR(MATCH(Settings!$C$31&amp;"|"&amp;ROWS($W$2:$W158),'Per Invoice'!$X$2:$X$801,0),"")</f>
        <v/>
      </c>
    </row>
    <row r="159">
      <c r="A159">
        <f>IF($W159="","",IF(INDEX('Per Invoice'!A$2:A$801,$W159)="","",INDEX('Per Invoice'!A$2:A$801,$W159)))</f>
        <v/>
      </c>
      <c r="B159">
        <f>IF($W159="","",IF(INDEX('Per Invoice'!B$2:B$801,$W159)="","",INDEX('Per Invoice'!B$2:B$801,$W159)))</f>
        <v/>
      </c>
      <c r="C159">
        <f>IF($W159="","",IF(INDEX('Per Invoice'!C$2:C$801,$W159)="","",INDEX('Per Invoice'!C$2:C$801,$W159)))</f>
        <v/>
      </c>
      <c r="D159">
        <f>IF($W159="","",IF(INDEX('Per Invoice'!D$2:D$801,$W159)="","",INDEX('Per Invoice'!D$2:D$801,$W159)))</f>
        <v/>
      </c>
      <c r="E159">
        <f>IF($W159="","",IF(INDEX('Per Invoice'!E$2:E$801,$W159)="","",INDEX('Per Invoice'!E$2:E$801,$W159)))</f>
        <v/>
      </c>
      <c r="F159">
        <f>IF($W159="","",IF(INDEX('Per Invoice'!F$2:F$801,$W159)="","",INDEX('Per Invoice'!F$2:F$801,$W159)))</f>
        <v/>
      </c>
      <c r="G159">
        <f>IF($W159="","",IF(INDEX('Per Invoice'!G$2:G$801,$W159)="","",INDEX('Per Invoice'!G$2:G$801,$W159)))</f>
        <v/>
      </c>
      <c r="H159">
        <f>IF($W159="","",IF(INDEX('Per Invoice'!H$2:H$801,$W159)="","",INDEX('Per Invoice'!H$2:H$801,$W159)))</f>
        <v/>
      </c>
      <c r="I159">
        <f>IF($W159="","",IF(INDEX('Per Invoice'!I$2:I$801,$W159)="","",INDEX('Per Invoice'!I$2:I$801,$W159)))</f>
        <v/>
      </c>
      <c r="J159">
        <f>IF($W159="","",IF(INDEX('Per Invoice'!J$2:J$801,$W159)="","",INDEX('Per Invoice'!J$2:J$801,$W159)))</f>
        <v/>
      </c>
      <c r="K159" s="7">
        <f>IF($W159="","",IF(INDEX('Per Invoice'!K$2:K$801,$W159)="","",INDEX('Per Invoice'!K$2:K$801,$W159)))</f>
        <v/>
      </c>
      <c r="L159" s="14">
        <f>IF($W159="","",IF(INDEX('Per Invoice'!L$2:L$801,$W159)="","",INDEX('Per Invoice'!L$2:L$801,$W159)))</f>
        <v/>
      </c>
      <c r="M159">
        <f>IF($W159="","",IF(INDEX('Per Invoice'!M$2:M$801,$W159)="","",INDEX('Per Invoice'!M$2:M$801,$W159)))</f>
        <v/>
      </c>
      <c r="N159" s="7">
        <f>IF($W159="","",IF(INDEX('Per Invoice'!N$2:N$801,$W159)="","",INDEX('Per Invoice'!N$2:N$801,$W159)))</f>
        <v/>
      </c>
      <c r="O159" s="7">
        <f>IF($W159="","",IF(INDEX('Per Invoice'!O$2:O$801,$W159)="","",INDEX('Per Invoice'!O$2:O$801,$W159)))</f>
        <v/>
      </c>
      <c r="P159">
        <f>IF($W159="","",IF(INDEX('Per Invoice'!P$2:P$801,$W159)="","",INDEX('Per Invoice'!P$2:P$801,$W159)))</f>
        <v/>
      </c>
      <c r="Q159" s="7">
        <f>IF($W159="","",IF(INDEX('Per Invoice'!Q$2:Q$801,$W159)="","",INDEX('Per Invoice'!Q$2:Q$801,$W159)))</f>
        <v/>
      </c>
      <c r="R159" s="7">
        <f>IF($W159="","",IF(INDEX('Per Invoice'!R$2:R$801,$W159)="","",INDEX('Per Invoice'!R$2:R$801,$W159)))</f>
        <v/>
      </c>
      <c r="S159" s="7">
        <f>IF($W159="","",IF(INDEX('Per Invoice'!S$2:S$801,$W159)="","",INDEX('Per Invoice'!S$2:S$801,$W159)))</f>
        <v/>
      </c>
      <c r="T159" s="7">
        <f>IF($W159="","",IF(INDEX('Per Invoice'!T$2:T$801,$W159)="","",INDEX('Per Invoice'!T$2:T$801,$W159)))</f>
        <v/>
      </c>
      <c r="U159" s="7">
        <f>IF($W159="","",IF(INDEX('Per Invoice'!U$2:U$801,$W159)="","",INDEX('Per Invoice'!U$2:U$801,$W159)))</f>
        <v/>
      </c>
      <c r="V159" s="7">
        <f>IF($W159="","",IF(INDEX('Per Invoice'!V$2:V$801,$W159)="","",INDEX('Per Invoice'!V$2:V$801,$W159)))</f>
        <v/>
      </c>
      <c r="W159" s="16">
        <f>IFERROR(MATCH(Settings!$C$31&amp;"|"&amp;ROWS($W$2:$W159),'Per Invoice'!$X$2:$X$801,0),"")</f>
        <v/>
      </c>
    </row>
    <row r="160">
      <c r="A160">
        <f>IF($W160="","",IF(INDEX('Per Invoice'!A$2:A$801,$W160)="","",INDEX('Per Invoice'!A$2:A$801,$W160)))</f>
        <v/>
      </c>
      <c r="B160">
        <f>IF($W160="","",IF(INDEX('Per Invoice'!B$2:B$801,$W160)="","",INDEX('Per Invoice'!B$2:B$801,$W160)))</f>
        <v/>
      </c>
      <c r="C160">
        <f>IF($W160="","",IF(INDEX('Per Invoice'!C$2:C$801,$W160)="","",INDEX('Per Invoice'!C$2:C$801,$W160)))</f>
        <v/>
      </c>
      <c r="D160">
        <f>IF($W160="","",IF(INDEX('Per Invoice'!D$2:D$801,$W160)="","",INDEX('Per Invoice'!D$2:D$801,$W160)))</f>
        <v/>
      </c>
      <c r="E160">
        <f>IF($W160="","",IF(INDEX('Per Invoice'!E$2:E$801,$W160)="","",INDEX('Per Invoice'!E$2:E$801,$W160)))</f>
        <v/>
      </c>
      <c r="F160">
        <f>IF($W160="","",IF(INDEX('Per Invoice'!F$2:F$801,$W160)="","",INDEX('Per Invoice'!F$2:F$801,$W160)))</f>
        <v/>
      </c>
      <c r="G160">
        <f>IF($W160="","",IF(INDEX('Per Invoice'!G$2:G$801,$W160)="","",INDEX('Per Invoice'!G$2:G$801,$W160)))</f>
        <v/>
      </c>
      <c r="H160">
        <f>IF($W160="","",IF(INDEX('Per Invoice'!H$2:H$801,$W160)="","",INDEX('Per Invoice'!H$2:H$801,$W160)))</f>
        <v/>
      </c>
      <c r="I160">
        <f>IF($W160="","",IF(INDEX('Per Invoice'!I$2:I$801,$W160)="","",INDEX('Per Invoice'!I$2:I$801,$W160)))</f>
        <v/>
      </c>
      <c r="J160">
        <f>IF($W160="","",IF(INDEX('Per Invoice'!J$2:J$801,$W160)="","",INDEX('Per Invoice'!J$2:J$801,$W160)))</f>
        <v/>
      </c>
      <c r="K160" s="7">
        <f>IF($W160="","",IF(INDEX('Per Invoice'!K$2:K$801,$W160)="","",INDEX('Per Invoice'!K$2:K$801,$W160)))</f>
        <v/>
      </c>
      <c r="L160" s="14">
        <f>IF($W160="","",IF(INDEX('Per Invoice'!L$2:L$801,$W160)="","",INDEX('Per Invoice'!L$2:L$801,$W160)))</f>
        <v/>
      </c>
      <c r="M160">
        <f>IF($W160="","",IF(INDEX('Per Invoice'!M$2:M$801,$W160)="","",INDEX('Per Invoice'!M$2:M$801,$W160)))</f>
        <v/>
      </c>
      <c r="N160" s="7">
        <f>IF($W160="","",IF(INDEX('Per Invoice'!N$2:N$801,$W160)="","",INDEX('Per Invoice'!N$2:N$801,$W160)))</f>
        <v/>
      </c>
      <c r="O160" s="7">
        <f>IF($W160="","",IF(INDEX('Per Invoice'!O$2:O$801,$W160)="","",INDEX('Per Invoice'!O$2:O$801,$W160)))</f>
        <v/>
      </c>
      <c r="P160">
        <f>IF($W160="","",IF(INDEX('Per Invoice'!P$2:P$801,$W160)="","",INDEX('Per Invoice'!P$2:P$801,$W160)))</f>
        <v/>
      </c>
      <c r="Q160" s="7">
        <f>IF($W160="","",IF(INDEX('Per Invoice'!Q$2:Q$801,$W160)="","",INDEX('Per Invoice'!Q$2:Q$801,$W160)))</f>
        <v/>
      </c>
      <c r="R160" s="7">
        <f>IF($W160="","",IF(INDEX('Per Invoice'!R$2:R$801,$W160)="","",INDEX('Per Invoice'!R$2:R$801,$W160)))</f>
        <v/>
      </c>
      <c r="S160" s="7">
        <f>IF($W160="","",IF(INDEX('Per Invoice'!S$2:S$801,$W160)="","",INDEX('Per Invoice'!S$2:S$801,$W160)))</f>
        <v/>
      </c>
      <c r="T160" s="7">
        <f>IF($W160="","",IF(INDEX('Per Invoice'!T$2:T$801,$W160)="","",INDEX('Per Invoice'!T$2:T$801,$W160)))</f>
        <v/>
      </c>
      <c r="U160" s="7">
        <f>IF($W160="","",IF(INDEX('Per Invoice'!U$2:U$801,$W160)="","",INDEX('Per Invoice'!U$2:U$801,$W160)))</f>
        <v/>
      </c>
      <c r="V160" s="7">
        <f>IF($W160="","",IF(INDEX('Per Invoice'!V$2:V$801,$W160)="","",INDEX('Per Invoice'!V$2:V$801,$W160)))</f>
        <v/>
      </c>
      <c r="W160" s="16">
        <f>IFERROR(MATCH(Settings!$C$31&amp;"|"&amp;ROWS($W$2:$W160),'Per Invoice'!$X$2:$X$801,0),"")</f>
        <v/>
      </c>
    </row>
    <row r="161">
      <c r="A161">
        <f>IF($W161="","",IF(INDEX('Per Invoice'!A$2:A$801,$W161)="","",INDEX('Per Invoice'!A$2:A$801,$W161)))</f>
        <v/>
      </c>
      <c r="B161">
        <f>IF($W161="","",IF(INDEX('Per Invoice'!B$2:B$801,$W161)="","",INDEX('Per Invoice'!B$2:B$801,$W161)))</f>
        <v/>
      </c>
      <c r="C161">
        <f>IF($W161="","",IF(INDEX('Per Invoice'!C$2:C$801,$W161)="","",INDEX('Per Invoice'!C$2:C$801,$W161)))</f>
        <v/>
      </c>
      <c r="D161">
        <f>IF($W161="","",IF(INDEX('Per Invoice'!D$2:D$801,$W161)="","",INDEX('Per Invoice'!D$2:D$801,$W161)))</f>
        <v/>
      </c>
      <c r="E161">
        <f>IF($W161="","",IF(INDEX('Per Invoice'!E$2:E$801,$W161)="","",INDEX('Per Invoice'!E$2:E$801,$W161)))</f>
        <v/>
      </c>
      <c r="F161">
        <f>IF($W161="","",IF(INDEX('Per Invoice'!F$2:F$801,$W161)="","",INDEX('Per Invoice'!F$2:F$801,$W161)))</f>
        <v/>
      </c>
      <c r="G161">
        <f>IF($W161="","",IF(INDEX('Per Invoice'!G$2:G$801,$W161)="","",INDEX('Per Invoice'!G$2:G$801,$W161)))</f>
        <v/>
      </c>
      <c r="H161">
        <f>IF($W161="","",IF(INDEX('Per Invoice'!H$2:H$801,$W161)="","",INDEX('Per Invoice'!H$2:H$801,$W161)))</f>
        <v/>
      </c>
      <c r="I161">
        <f>IF($W161="","",IF(INDEX('Per Invoice'!I$2:I$801,$W161)="","",INDEX('Per Invoice'!I$2:I$801,$W161)))</f>
        <v/>
      </c>
      <c r="J161">
        <f>IF($W161="","",IF(INDEX('Per Invoice'!J$2:J$801,$W161)="","",INDEX('Per Invoice'!J$2:J$801,$W161)))</f>
        <v/>
      </c>
      <c r="K161" s="7">
        <f>IF($W161="","",IF(INDEX('Per Invoice'!K$2:K$801,$W161)="","",INDEX('Per Invoice'!K$2:K$801,$W161)))</f>
        <v/>
      </c>
      <c r="L161" s="14">
        <f>IF($W161="","",IF(INDEX('Per Invoice'!L$2:L$801,$W161)="","",INDEX('Per Invoice'!L$2:L$801,$W161)))</f>
        <v/>
      </c>
      <c r="M161">
        <f>IF($W161="","",IF(INDEX('Per Invoice'!M$2:M$801,$W161)="","",INDEX('Per Invoice'!M$2:M$801,$W161)))</f>
        <v/>
      </c>
      <c r="N161" s="7">
        <f>IF($W161="","",IF(INDEX('Per Invoice'!N$2:N$801,$W161)="","",INDEX('Per Invoice'!N$2:N$801,$W161)))</f>
        <v/>
      </c>
      <c r="O161" s="7">
        <f>IF($W161="","",IF(INDEX('Per Invoice'!O$2:O$801,$W161)="","",INDEX('Per Invoice'!O$2:O$801,$W161)))</f>
        <v/>
      </c>
      <c r="P161">
        <f>IF($W161="","",IF(INDEX('Per Invoice'!P$2:P$801,$W161)="","",INDEX('Per Invoice'!P$2:P$801,$W161)))</f>
        <v/>
      </c>
      <c r="Q161" s="7">
        <f>IF($W161="","",IF(INDEX('Per Invoice'!Q$2:Q$801,$W161)="","",INDEX('Per Invoice'!Q$2:Q$801,$W161)))</f>
        <v/>
      </c>
      <c r="R161" s="7">
        <f>IF($W161="","",IF(INDEX('Per Invoice'!R$2:R$801,$W161)="","",INDEX('Per Invoice'!R$2:R$801,$W161)))</f>
        <v/>
      </c>
      <c r="S161" s="7">
        <f>IF($W161="","",IF(INDEX('Per Invoice'!S$2:S$801,$W161)="","",INDEX('Per Invoice'!S$2:S$801,$W161)))</f>
        <v/>
      </c>
      <c r="T161" s="7">
        <f>IF($W161="","",IF(INDEX('Per Invoice'!T$2:T$801,$W161)="","",INDEX('Per Invoice'!T$2:T$801,$W161)))</f>
        <v/>
      </c>
      <c r="U161" s="7">
        <f>IF($W161="","",IF(INDEX('Per Invoice'!U$2:U$801,$W161)="","",INDEX('Per Invoice'!U$2:U$801,$W161)))</f>
        <v/>
      </c>
      <c r="V161" s="7">
        <f>IF($W161="","",IF(INDEX('Per Invoice'!V$2:V$801,$W161)="","",INDEX('Per Invoice'!V$2:V$801,$W161)))</f>
        <v/>
      </c>
      <c r="W161" s="16">
        <f>IFERROR(MATCH(Settings!$C$31&amp;"|"&amp;ROWS($W$2:$W161),'Per Invoice'!$X$2:$X$801,0),"")</f>
        <v/>
      </c>
    </row>
    <row r="162">
      <c r="A162">
        <f>IF($W162="","",IF(INDEX('Per Invoice'!A$2:A$801,$W162)="","",INDEX('Per Invoice'!A$2:A$801,$W162)))</f>
        <v/>
      </c>
      <c r="B162">
        <f>IF($W162="","",IF(INDEX('Per Invoice'!B$2:B$801,$W162)="","",INDEX('Per Invoice'!B$2:B$801,$W162)))</f>
        <v/>
      </c>
      <c r="C162">
        <f>IF($W162="","",IF(INDEX('Per Invoice'!C$2:C$801,$W162)="","",INDEX('Per Invoice'!C$2:C$801,$W162)))</f>
        <v/>
      </c>
      <c r="D162">
        <f>IF($W162="","",IF(INDEX('Per Invoice'!D$2:D$801,$W162)="","",INDEX('Per Invoice'!D$2:D$801,$W162)))</f>
        <v/>
      </c>
      <c r="E162">
        <f>IF($W162="","",IF(INDEX('Per Invoice'!E$2:E$801,$W162)="","",INDEX('Per Invoice'!E$2:E$801,$W162)))</f>
        <v/>
      </c>
      <c r="F162">
        <f>IF($W162="","",IF(INDEX('Per Invoice'!F$2:F$801,$W162)="","",INDEX('Per Invoice'!F$2:F$801,$W162)))</f>
        <v/>
      </c>
      <c r="G162">
        <f>IF($W162="","",IF(INDEX('Per Invoice'!G$2:G$801,$W162)="","",INDEX('Per Invoice'!G$2:G$801,$W162)))</f>
        <v/>
      </c>
      <c r="H162">
        <f>IF($W162="","",IF(INDEX('Per Invoice'!H$2:H$801,$W162)="","",INDEX('Per Invoice'!H$2:H$801,$W162)))</f>
        <v/>
      </c>
      <c r="I162">
        <f>IF($W162="","",IF(INDEX('Per Invoice'!I$2:I$801,$W162)="","",INDEX('Per Invoice'!I$2:I$801,$W162)))</f>
        <v/>
      </c>
      <c r="J162">
        <f>IF($W162="","",IF(INDEX('Per Invoice'!J$2:J$801,$W162)="","",INDEX('Per Invoice'!J$2:J$801,$W162)))</f>
        <v/>
      </c>
      <c r="K162" s="7">
        <f>IF($W162="","",IF(INDEX('Per Invoice'!K$2:K$801,$W162)="","",INDEX('Per Invoice'!K$2:K$801,$W162)))</f>
        <v/>
      </c>
      <c r="L162" s="14">
        <f>IF($W162="","",IF(INDEX('Per Invoice'!L$2:L$801,$W162)="","",INDEX('Per Invoice'!L$2:L$801,$W162)))</f>
        <v/>
      </c>
      <c r="M162">
        <f>IF($W162="","",IF(INDEX('Per Invoice'!M$2:M$801,$W162)="","",INDEX('Per Invoice'!M$2:M$801,$W162)))</f>
        <v/>
      </c>
      <c r="N162" s="7">
        <f>IF($W162="","",IF(INDEX('Per Invoice'!N$2:N$801,$W162)="","",INDEX('Per Invoice'!N$2:N$801,$W162)))</f>
        <v/>
      </c>
      <c r="O162" s="7">
        <f>IF($W162="","",IF(INDEX('Per Invoice'!O$2:O$801,$W162)="","",INDEX('Per Invoice'!O$2:O$801,$W162)))</f>
        <v/>
      </c>
      <c r="P162">
        <f>IF($W162="","",IF(INDEX('Per Invoice'!P$2:P$801,$W162)="","",INDEX('Per Invoice'!P$2:P$801,$W162)))</f>
        <v/>
      </c>
      <c r="Q162" s="7">
        <f>IF($W162="","",IF(INDEX('Per Invoice'!Q$2:Q$801,$W162)="","",INDEX('Per Invoice'!Q$2:Q$801,$W162)))</f>
        <v/>
      </c>
      <c r="R162" s="7">
        <f>IF($W162="","",IF(INDEX('Per Invoice'!R$2:R$801,$W162)="","",INDEX('Per Invoice'!R$2:R$801,$W162)))</f>
        <v/>
      </c>
      <c r="S162" s="7">
        <f>IF($W162="","",IF(INDEX('Per Invoice'!S$2:S$801,$W162)="","",INDEX('Per Invoice'!S$2:S$801,$W162)))</f>
        <v/>
      </c>
      <c r="T162" s="7">
        <f>IF($W162="","",IF(INDEX('Per Invoice'!T$2:T$801,$W162)="","",INDEX('Per Invoice'!T$2:T$801,$W162)))</f>
        <v/>
      </c>
      <c r="U162" s="7">
        <f>IF($W162="","",IF(INDEX('Per Invoice'!U$2:U$801,$W162)="","",INDEX('Per Invoice'!U$2:U$801,$W162)))</f>
        <v/>
      </c>
      <c r="V162" s="7">
        <f>IF($W162="","",IF(INDEX('Per Invoice'!V$2:V$801,$W162)="","",INDEX('Per Invoice'!V$2:V$801,$W162)))</f>
        <v/>
      </c>
      <c r="W162" s="16">
        <f>IFERROR(MATCH(Settings!$C$31&amp;"|"&amp;ROWS($W$2:$W162),'Per Invoice'!$X$2:$X$801,0),"")</f>
        <v/>
      </c>
    </row>
    <row r="163">
      <c r="A163">
        <f>IF($W163="","",IF(INDEX('Per Invoice'!A$2:A$801,$W163)="","",INDEX('Per Invoice'!A$2:A$801,$W163)))</f>
        <v/>
      </c>
      <c r="B163">
        <f>IF($W163="","",IF(INDEX('Per Invoice'!B$2:B$801,$W163)="","",INDEX('Per Invoice'!B$2:B$801,$W163)))</f>
        <v/>
      </c>
      <c r="C163">
        <f>IF($W163="","",IF(INDEX('Per Invoice'!C$2:C$801,$W163)="","",INDEX('Per Invoice'!C$2:C$801,$W163)))</f>
        <v/>
      </c>
      <c r="D163">
        <f>IF($W163="","",IF(INDEX('Per Invoice'!D$2:D$801,$W163)="","",INDEX('Per Invoice'!D$2:D$801,$W163)))</f>
        <v/>
      </c>
      <c r="E163">
        <f>IF($W163="","",IF(INDEX('Per Invoice'!E$2:E$801,$W163)="","",INDEX('Per Invoice'!E$2:E$801,$W163)))</f>
        <v/>
      </c>
      <c r="F163">
        <f>IF($W163="","",IF(INDEX('Per Invoice'!F$2:F$801,$W163)="","",INDEX('Per Invoice'!F$2:F$801,$W163)))</f>
        <v/>
      </c>
      <c r="G163">
        <f>IF($W163="","",IF(INDEX('Per Invoice'!G$2:G$801,$W163)="","",INDEX('Per Invoice'!G$2:G$801,$W163)))</f>
        <v/>
      </c>
      <c r="H163">
        <f>IF($W163="","",IF(INDEX('Per Invoice'!H$2:H$801,$W163)="","",INDEX('Per Invoice'!H$2:H$801,$W163)))</f>
        <v/>
      </c>
      <c r="I163">
        <f>IF($W163="","",IF(INDEX('Per Invoice'!I$2:I$801,$W163)="","",INDEX('Per Invoice'!I$2:I$801,$W163)))</f>
        <v/>
      </c>
      <c r="J163">
        <f>IF($W163="","",IF(INDEX('Per Invoice'!J$2:J$801,$W163)="","",INDEX('Per Invoice'!J$2:J$801,$W163)))</f>
        <v/>
      </c>
      <c r="K163" s="7">
        <f>IF($W163="","",IF(INDEX('Per Invoice'!K$2:K$801,$W163)="","",INDEX('Per Invoice'!K$2:K$801,$W163)))</f>
        <v/>
      </c>
      <c r="L163" s="14">
        <f>IF($W163="","",IF(INDEX('Per Invoice'!L$2:L$801,$W163)="","",INDEX('Per Invoice'!L$2:L$801,$W163)))</f>
        <v/>
      </c>
      <c r="M163">
        <f>IF($W163="","",IF(INDEX('Per Invoice'!M$2:M$801,$W163)="","",INDEX('Per Invoice'!M$2:M$801,$W163)))</f>
        <v/>
      </c>
      <c r="N163" s="7">
        <f>IF($W163="","",IF(INDEX('Per Invoice'!N$2:N$801,$W163)="","",INDEX('Per Invoice'!N$2:N$801,$W163)))</f>
        <v/>
      </c>
      <c r="O163" s="7">
        <f>IF($W163="","",IF(INDEX('Per Invoice'!O$2:O$801,$W163)="","",INDEX('Per Invoice'!O$2:O$801,$W163)))</f>
        <v/>
      </c>
      <c r="P163">
        <f>IF($W163="","",IF(INDEX('Per Invoice'!P$2:P$801,$W163)="","",INDEX('Per Invoice'!P$2:P$801,$W163)))</f>
        <v/>
      </c>
      <c r="Q163" s="7">
        <f>IF($W163="","",IF(INDEX('Per Invoice'!Q$2:Q$801,$W163)="","",INDEX('Per Invoice'!Q$2:Q$801,$W163)))</f>
        <v/>
      </c>
      <c r="R163" s="7">
        <f>IF($W163="","",IF(INDEX('Per Invoice'!R$2:R$801,$W163)="","",INDEX('Per Invoice'!R$2:R$801,$W163)))</f>
        <v/>
      </c>
      <c r="S163" s="7">
        <f>IF($W163="","",IF(INDEX('Per Invoice'!S$2:S$801,$W163)="","",INDEX('Per Invoice'!S$2:S$801,$W163)))</f>
        <v/>
      </c>
      <c r="T163" s="7">
        <f>IF($W163="","",IF(INDEX('Per Invoice'!T$2:T$801,$W163)="","",INDEX('Per Invoice'!T$2:T$801,$W163)))</f>
        <v/>
      </c>
      <c r="U163" s="7">
        <f>IF($W163="","",IF(INDEX('Per Invoice'!U$2:U$801,$W163)="","",INDEX('Per Invoice'!U$2:U$801,$W163)))</f>
        <v/>
      </c>
      <c r="V163" s="7">
        <f>IF($W163="","",IF(INDEX('Per Invoice'!V$2:V$801,$W163)="","",INDEX('Per Invoice'!V$2:V$801,$W163)))</f>
        <v/>
      </c>
      <c r="W163" s="16">
        <f>IFERROR(MATCH(Settings!$C$31&amp;"|"&amp;ROWS($W$2:$W163),'Per Invoice'!$X$2:$X$801,0),"")</f>
        <v/>
      </c>
    </row>
    <row r="164">
      <c r="A164">
        <f>IF($W164="","",IF(INDEX('Per Invoice'!A$2:A$801,$W164)="","",INDEX('Per Invoice'!A$2:A$801,$W164)))</f>
        <v/>
      </c>
      <c r="B164">
        <f>IF($W164="","",IF(INDEX('Per Invoice'!B$2:B$801,$W164)="","",INDEX('Per Invoice'!B$2:B$801,$W164)))</f>
        <v/>
      </c>
      <c r="C164">
        <f>IF($W164="","",IF(INDEX('Per Invoice'!C$2:C$801,$W164)="","",INDEX('Per Invoice'!C$2:C$801,$W164)))</f>
        <v/>
      </c>
      <c r="D164">
        <f>IF($W164="","",IF(INDEX('Per Invoice'!D$2:D$801,$W164)="","",INDEX('Per Invoice'!D$2:D$801,$W164)))</f>
        <v/>
      </c>
      <c r="E164">
        <f>IF($W164="","",IF(INDEX('Per Invoice'!E$2:E$801,$W164)="","",INDEX('Per Invoice'!E$2:E$801,$W164)))</f>
        <v/>
      </c>
      <c r="F164">
        <f>IF($W164="","",IF(INDEX('Per Invoice'!F$2:F$801,$W164)="","",INDEX('Per Invoice'!F$2:F$801,$W164)))</f>
        <v/>
      </c>
      <c r="G164">
        <f>IF($W164="","",IF(INDEX('Per Invoice'!G$2:G$801,$W164)="","",INDEX('Per Invoice'!G$2:G$801,$W164)))</f>
        <v/>
      </c>
      <c r="H164">
        <f>IF($W164="","",IF(INDEX('Per Invoice'!H$2:H$801,$W164)="","",INDEX('Per Invoice'!H$2:H$801,$W164)))</f>
        <v/>
      </c>
      <c r="I164">
        <f>IF($W164="","",IF(INDEX('Per Invoice'!I$2:I$801,$W164)="","",INDEX('Per Invoice'!I$2:I$801,$W164)))</f>
        <v/>
      </c>
      <c r="J164">
        <f>IF($W164="","",IF(INDEX('Per Invoice'!J$2:J$801,$W164)="","",INDEX('Per Invoice'!J$2:J$801,$W164)))</f>
        <v/>
      </c>
      <c r="K164" s="7">
        <f>IF($W164="","",IF(INDEX('Per Invoice'!K$2:K$801,$W164)="","",INDEX('Per Invoice'!K$2:K$801,$W164)))</f>
        <v/>
      </c>
      <c r="L164" s="14">
        <f>IF($W164="","",IF(INDEX('Per Invoice'!L$2:L$801,$W164)="","",INDEX('Per Invoice'!L$2:L$801,$W164)))</f>
        <v/>
      </c>
      <c r="M164">
        <f>IF($W164="","",IF(INDEX('Per Invoice'!M$2:M$801,$W164)="","",INDEX('Per Invoice'!M$2:M$801,$W164)))</f>
        <v/>
      </c>
      <c r="N164" s="7">
        <f>IF($W164="","",IF(INDEX('Per Invoice'!N$2:N$801,$W164)="","",INDEX('Per Invoice'!N$2:N$801,$W164)))</f>
        <v/>
      </c>
      <c r="O164" s="7">
        <f>IF($W164="","",IF(INDEX('Per Invoice'!O$2:O$801,$W164)="","",INDEX('Per Invoice'!O$2:O$801,$W164)))</f>
        <v/>
      </c>
      <c r="P164">
        <f>IF($W164="","",IF(INDEX('Per Invoice'!P$2:P$801,$W164)="","",INDEX('Per Invoice'!P$2:P$801,$W164)))</f>
        <v/>
      </c>
      <c r="Q164" s="7">
        <f>IF($W164="","",IF(INDEX('Per Invoice'!Q$2:Q$801,$W164)="","",INDEX('Per Invoice'!Q$2:Q$801,$W164)))</f>
        <v/>
      </c>
      <c r="R164" s="7">
        <f>IF($W164="","",IF(INDEX('Per Invoice'!R$2:R$801,$W164)="","",INDEX('Per Invoice'!R$2:R$801,$W164)))</f>
        <v/>
      </c>
      <c r="S164" s="7">
        <f>IF($W164="","",IF(INDEX('Per Invoice'!S$2:S$801,$W164)="","",INDEX('Per Invoice'!S$2:S$801,$W164)))</f>
        <v/>
      </c>
      <c r="T164" s="7">
        <f>IF($W164="","",IF(INDEX('Per Invoice'!T$2:T$801,$W164)="","",INDEX('Per Invoice'!T$2:T$801,$W164)))</f>
        <v/>
      </c>
      <c r="U164" s="7">
        <f>IF($W164="","",IF(INDEX('Per Invoice'!U$2:U$801,$W164)="","",INDEX('Per Invoice'!U$2:U$801,$W164)))</f>
        <v/>
      </c>
      <c r="V164" s="7">
        <f>IF($W164="","",IF(INDEX('Per Invoice'!V$2:V$801,$W164)="","",INDEX('Per Invoice'!V$2:V$801,$W164)))</f>
        <v/>
      </c>
      <c r="W164" s="16">
        <f>IFERROR(MATCH(Settings!$C$31&amp;"|"&amp;ROWS($W$2:$W164),'Per Invoice'!$X$2:$X$801,0),"")</f>
        <v/>
      </c>
    </row>
    <row r="165">
      <c r="A165">
        <f>IF($W165="","",IF(INDEX('Per Invoice'!A$2:A$801,$W165)="","",INDEX('Per Invoice'!A$2:A$801,$W165)))</f>
        <v/>
      </c>
      <c r="B165">
        <f>IF($W165="","",IF(INDEX('Per Invoice'!B$2:B$801,$W165)="","",INDEX('Per Invoice'!B$2:B$801,$W165)))</f>
        <v/>
      </c>
      <c r="C165">
        <f>IF($W165="","",IF(INDEX('Per Invoice'!C$2:C$801,$W165)="","",INDEX('Per Invoice'!C$2:C$801,$W165)))</f>
        <v/>
      </c>
      <c r="D165">
        <f>IF($W165="","",IF(INDEX('Per Invoice'!D$2:D$801,$W165)="","",INDEX('Per Invoice'!D$2:D$801,$W165)))</f>
        <v/>
      </c>
      <c r="E165">
        <f>IF($W165="","",IF(INDEX('Per Invoice'!E$2:E$801,$W165)="","",INDEX('Per Invoice'!E$2:E$801,$W165)))</f>
        <v/>
      </c>
      <c r="F165">
        <f>IF($W165="","",IF(INDEX('Per Invoice'!F$2:F$801,$W165)="","",INDEX('Per Invoice'!F$2:F$801,$W165)))</f>
        <v/>
      </c>
      <c r="G165">
        <f>IF($W165="","",IF(INDEX('Per Invoice'!G$2:G$801,$W165)="","",INDEX('Per Invoice'!G$2:G$801,$W165)))</f>
        <v/>
      </c>
      <c r="H165">
        <f>IF($W165="","",IF(INDEX('Per Invoice'!H$2:H$801,$W165)="","",INDEX('Per Invoice'!H$2:H$801,$W165)))</f>
        <v/>
      </c>
      <c r="I165">
        <f>IF($W165="","",IF(INDEX('Per Invoice'!I$2:I$801,$W165)="","",INDEX('Per Invoice'!I$2:I$801,$W165)))</f>
        <v/>
      </c>
      <c r="J165">
        <f>IF($W165="","",IF(INDEX('Per Invoice'!J$2:J$801,$W165)="","",INDEX('Per Invoice'!J$2:J$801,$W165)))</f>
        <v/>
      </c>
      <c r="K165" s="7">
        <f>IF($W165="","",IF(INDEX('Per Invoice'!K$2:K$801,$W165)="","",INDEX('Per Invoice'!K$2:K$801,$W165)))</f>
        <v/>
      </c>
      <c r="L165" s="14">
        <f>IF($W165="","",IF(INDEX('Per Invoice'!L$2:L$801,$W165)="","",INDEX('Per Invoice'!L$2:L$801,$W165)))</f>
        <v/>
      </c>
      <c r="M165">
        <f>IF($W165="","",IF(INDEX('Per Invoice'!M$2:M$801,$W165)="","",INDEX('Per Invoice'!M$2:M$801,$W165)))</f>
        <v/>
      </c>
      <c r="N165" s="7">
        <f>IF($W165="","",IF(INDEX('Per Invoice'!N$2:N$801,$W165)="","",INDEX('Per Invoice'!N$2:N$801,$W165)))</f>
        <v/>
      </c>
      <c r="O165" s="7">
        <f>IF($W165="","",IF(INDEX('Per Invoice'!O$2:O$801,$W165)="","",INDEX('Per Invoice'!O$2:O$801,$W165)))</f>
        <v/>
      </c>
      <c r="P165">
        <f>IF($W165="","",IF(INDEX('Per Invoice'!P$2:P$801,$W165)="","",INDEX('Per Invoice'!P$2:P$801,$W165)))</f>
        <v/>
      </c>
      <c r="Q165" s="7">
        <f>IF($W165="","",IF(INDEX('Per Invoice'!Q$2:Q$801,$W165)="","",INDEX('Per Invoice'!Q$2:Q$801,$W165)))</f>
        <v/>
      </c>
      <c r="R165" s="7">
        <f>IF($W165="","",IF(INDEX('Per Invoice'!R$2:R$801,$W165)="","",INDEX('Per Invoice'!R$2:R$801,$W165)))</f>
        <v/>
      </c>
      <c r="S165" s="7">
        <f>IF($W165="","",IF(INDEX('Per Invoice'!S$2:S$801,$W165)="","",INDEX('Per Invoice'!S$2:S$801,$W165)))</f>
        <v/>
      </c>
      <c r="T165" s="7">
        <f>IF($W165="","",IF(INDEX('Per Invoice'!T$2:T$801,$W165)="","",INDEX('Per Invoice'!T$2:T$801,$W165)))</f>
        <v/>
      </c>
      <c r="U165" s="7">
        <f>IF($W165="","",IF(INDEX('Per Invoice'!U$2:U$801,$W165)="","",INDEX('Per Invoice'!U$2:U$801,$W165)))</f>
        <v/>
      </c>
      <c r="V165" s="7">
        <f>IF($W165="","",IF(INDEX('Per Invoice'!V$2:V$801,$W165)="","",INDEX('Per Invoice'!V$2:V$801,$W165)))</f>
        <v/>
      </c>
      <c r="W165" s="16">
        <f>IFERROR(MATCH(Settings!$C$31&amp;"|"&amp;ROWS($W$2:$W165),'Per Invoice'!$X$2:$X$801,0),"")</f>
        <v/>
      </c>
    </row>
    <row r="166">
      <c r="A166">
        <f>IF($W166="","",IF(INDEX('Per Invoice'!A$2:A$801,$W166)="","",INDEX('Per Invoice'!A$2:A$801,$W166)))</f>
        <v/>
      </c>
      <c r="B166">
        <f>IF($W166="","",IF(INDEX('Per Invoice'!B$2:B$801,$W166)="","",INDEX('Per Invoice'!B$2:B$801,$W166)))</f>
        <v/>
      </c>
      <c r="C166">
        <f>IF($W166="","",IF(INDEX('Per Invoice'!C$2:C$801,$W166)="","",INDEX('Per Invoice'!C$2:C$801,$W166)))</f>
        <v/>
      </c>
      <c r="D166">
        <f>IF($W166="","",IF(INDEX('Per Invoice'!D$2:D$801,$W166)="","",INDEX('Per Invoice'!D$2:D$801,$W166)))</f>
        <v/>
      </c>
      <c r="E166">
        <f>IF($W166="","",IF(INDEX('Per Invoice'!E$2:E$801,$W166)="","",INDEX('Per Invoice'!E$2:E$801,$W166)))</f>
        <v/>
      </c>
      <c r="F166">
        <f>IF($W166="","",IF(INDEX('Per Invoice'!F$2:F$801,$W166)="","",INDEX('Per Invoice'!F$2:F$801,$W166)))</f>
        <v/>
      </c>
      <c r="G166">
        <f>IF($W166="","",IF(INDEX('Per Invoice'!G$2:G$801,$W166)="","",INDEX('Per Invoice'!G$2:G$801,$W166)))</f>
        <v/>
      </c>
      <c r="H166">
        <f>IF($W166="","",IF(INDEX('Per Invoice'!H$2:H$801,$W166)="","",INDEX('Per Invoice'!H$2:H$801,$W166)))</f>
        <v/>
      </c>
      <c r="I166">
        <f>IF($W166="","",IF(INDEX('Per Invoice'!I$2:I$801,$W166)="","",INDEX('Per Invoice'!I$2:I$801,$W166)))</f>
        <v/>
      </c>
      <c r="J166">
        <f>IF($W166="","",IF(INDEX('Per Invoice'!J$2:J$801,$W166)="","",INDEX('Per Invoice'!J$2:J$801,$W166)))</f>
        <v/>
      </c>
      <c r="K166" s="7">
        <f>IF($W166="","",IF(INDEX('Per Invoice'!K$2:K$801,$W166)="","",INDEX('Per Invoice'!K$2:K$801,$W166)))</f>
        <v/>
      </c>
      <c r="L166" s="14">
        <f>IF($W166="","",IF(INDEX('Per Invoice'!L$2:L$801,$W166)="","",INDEX('Per Invoice'!L$2:L$801,$W166)))</f>
        <v/>
      </c>
      <c r="M166">
        <f>IF($W166="","",IF(INDEX('Per Invoice'!M$2:M$801,$W166)="","",INDEX('Per Invoice'!M$2:M$801,$W166)))</f>
        <v/>
      </c>
      <c r="N166" s="7">
        <f>IF($W166="","",IF(INDEX('Per Invoice'!N$2:N$801,$W166)="","",INDEX('Per Invoice'!N$2:N$801,$W166)))</f>
        <v/>
      </c>
      <c r="O166" s="7">
        <f>IF($W166="","",IF(INDEX('Per Invoice'!O$2:O$801,$W166)="","",INDEX('Per Invoice'!O$2:O$801,$W166)))</f>
        <v/>
      </c>
      <c r="P166">
        <f>IF($W166="","",IF(INDEX('Per Invoice'!P$2:P$801,$W166)="","",INDEX('Per Invoice'!P$2:P$801,$W166)))</f>
        <v/>
      </c>
      <c r="Q166" s="7">
        <f>IF($W166="","",IF(INDEX('Per Invoice'!Q$2:Q$801,$W166)="","",INDEX('Per Invoice'!Q$2:Q$801,$W166)))</f>
        <v/>
      </c>
      <c r="R166" s="7">
        <f>IF($W166="","",IF(INDEX('Per Invoice'!R$2:R$801,$W166)="","",INDEX('Per Invoice'!R$2:R$801,$W166)))</f>
        <v/>
      </c>
      <c r="S166" s="7">
        <f>IF($W166="","",IF(INDEX('Per Invoice'!S$2:S$801,$W166)="","",INDEX('Per Invoice'!S$2:S$801,$W166)))</f>
        <v/>
      </c>
      <c r="T166" s="7">
        <f>IF($W166="","",IF(INDEX('Per Invoice'!T$2:T$801,$W166)="","",INDEX('Per Invoice'!T$2:T$801,$W166)))</f>
        <v/>
      </c>
      <c r="U166" s="7">
        <f>IF($W166="","",IF(INDEX('Per Invoice'!U$2:U$801,$W166)="","",INDEX('Per Invoice'!U$2:U$801,$W166)))</f>
        <v/>
      </c>
      <c r="V166" s="7">
        <f>IF($W166="","",IF(INDEX('Per Invoice'!V$2:V$801,$W166)="","",INDEX('Per Invoice'!V$2:V$801,$W166)))</f>
        <v/>
      </c>
      <c r="W166" s="16">
        <f>IFERROR(MATCH(Settings!$C$31&amp;"|"&amp;ROWS($W$2:$W166),'Per Invoice'!$X$2:$X$801,0),"")</f>
        <v/>
      </c>
    </row>
    <row r="167">
      <c r="A167">
        <f>IF($W167="","",IF(INDEX('Per Invoice'!A$2:A$801,$W167)="","",INDEX('Per Invoice'!A$2:A$801,$W167)))</f>
        <v/>
      </c>
      <c r="B167">
        <f>IF($W167="","",IF(INDEX('Per Invoice'!B$2:B$801,$W167)="","",INDEX('Per Invoice'!B$2:B$801,$W167)))</f>
        <v/>
      </c>
      <c r="C167">
        <f>IF($W167="","",IF(INDEX('Per Invoice'!C$2:C$801,$W167)="","",INDEX('Per Invoice'!C$2:C$801,$W167)))</f>
        <v/>
      </c>
      <c r="D167">
        <f>IF($W167="","",IF(INDEX('Per Invoice'!D$2:D$801,$W167)="","",INDEX('Per Invoice'!D$2:D$801,$W167)))</f>
        <v/>
      </c>
      <c r="E167">
        <f>IF($W167="","",IF(INDEX('Per Invoice'!E$2:E$801,$W167)="","",INDEX('Per Invoice'!E$2:E$801,$W167)))</f>
        <v/>
      </c>
      <c r="F167">
        <f>IF($W167="","",IF(INDEX('Per Invoice'!F$2:F$801,$W167)="","",INDEX('Per Invoice'!F$2:F$801,$W167)))</f>
        <v/>
      </c>
      <c r="G167">
        <f>IF($W167="","",IF(INDEX('Per Invoice'!G$2:G$801,$W167)="","",INDEX('Per Invoice'!G$2:G$801,$W167)))</f>
        <v/>
      </c>
      <c r="H167">
        <f>IF($W167="","",IF(INDEX('Per Invoice'!H$2:H$801,$W167)="","",INDEX('Per Invoice'!H$2:H$801,$W167)))</f>
        <v/>
      </c>
      <c r="I167">
        <f>IF($W167="","",IF(INDEX('Per Invoice'!I$2:I$801,$W167)="","",INDEX('Per Invoice'!I$2:I$801,$W167)))</f>
        <v/>
      </c>
      <c r="J167">
        <f>IF($W167="","",IF(INDEX('Per Invoice'!J$2:J$801,$W167)="","",INDEX('Per Invoice'!J$2:J$801,$W167)))</f>
        <v/>
      </c>
      <c r="K167" s="7">
        <f>IF($W167="","",IF(INDEX('Per Invoice'!K$2:K$801,$W167)="","",INDEX('Per Invoice'!K$2:K$801,$W167)))</f>
        <v/>
      </c>
      <c r="L167" s="14">
        <f>IF($W167="","",IF(INDEX('Per Invoice'!L$2:L$801,$W167)="","",INDEX('Per Invoice'!L$2:L$801,$W167)))</f>
        <v/>
      </c>
      <c r="M167">
        <f>IF($W167="","",IF(INDEX('Per Invoice'!M$2:M$801,$W167)="","",INDEX('Per Invoice'!M$2:M$801,$W167)))</f>
        <v/>
      </c>
      <c r="N167" s="7">
        <f>IF($W167="","",IF(INDEX('Per Invoice'!N$2:N$801,$W167)="","",INDEX('Per Invoice'!N$2:N$801,$W167)))</f>
        <v/>
      </c>
      <c r="O167" s="7">
        <f>IF($W167="","",IF(INDEX('Per Invoice'!O$2:O$801,$W167)="","",INDEX('Per Invoice'!O$2:O$801,$W167)))</f>
        <v/>
      </c>
      <c r="P167">
        <f>IF($W167="","",IF(INDEX('Per Invoice'!P$2:P$801,$W167)="","",INDEX('Per Invoice'!P$2:P$801,$W167)))</f>
        <v/>
      </c>
      <c r="Q167" s="7">
        <f>IF($W167="","",IF(INDEX('Per Invoice'!Q$2:Q$801,$W167)="","",INDEX('Per Invoice'!Q$2:Q$801,$W167)))</f>
        <v/>
      </c>
      <c r="R167" s="7">
        <f>IF($W167="","",IF(INDEX('Per Invoice'!R$2:R$801,$W167)="","",INDEX('Per Invoice'!R$2:R$801,$W167)))</f>
        <v/>
      </c>
      <c r="S167" s="7">
        <f>IF($W167="","",IF(INDEX('Per Invoice'!S$2:S$801,$W167)="","",INDEX('Per Invoice'!S$2:S$801,$W167)))</f>
        <v/>
      </c>
      <c r="T167" s="7">
        <f>IF($W167="","",IF(INDEX('Per Invoice'!T$2:T$801,$W167)="","",INDEX('Per Invoice'!T$2:T$801,$W167)))</f>
        <v/>
      </c>
      <c r="U167" s="7">
        <f>IF($W167="","",IF(INDEX('Per Invoice'!U$2:U$801,$W167)="","",INDEX('Per Invoice'!U$2:U$801,$W167)))</f>
        <v/>
      </c>
      <c r="V167" s="7">
        <f>IF($W167="","",IF(INDEX('Per Invoice'!V$2:V$801,$W167)="","",INDEX('Per Invoice'!V$2:V$801,$W167)))</f>
        <v/>
      </c>
      <c r="W167" s="16">
        <f>IFERROR(MATCH(Settings!$C$31&amp;"|"&amp;ROWS($W$2:$W167),'Per Invoice'!$X$2:$X$801,0),"")</f>
        <v/>
      </c>
    </row>
    <row r="168">
      <c r="A168">
        <f>IF($W168="","",IF(INDEX('Per Invoice'!A$2:A$801,$W168)="","",INDEX('Per Invoice'!A$2:A$801,$W168)))</f>
        <v/>
      </c>
      <c r="B168">
        <f>IF($W168="","",IF(INDEX('Per Invoice'!B$2:B$801,$W168)="","",INDEX('Per Invoice'!B$2:B$801,$W168)))</f>
        <v/>
      </c>
      <c r="C168">
        <f>IF($W168="","",IF(INDEX('Per Invoice'!C$2:C$801,$W168)="","",INDEX('Per Invoice'!C$2:C$801,$W168)))</f>
        <v/>
      </c>
      <c r="D168">
        <f>IF($W168="","",IF(INDEX('Per Invoice'!D$2:D$801,$W168)="","",INDEX('Per Invoice'!D$2:D$801,$W168)))</f>
        <v/>
      </c>
      <c r="E168">
        <f>IF($W168="","",IF(INDEX('Per Invoice'!E$2:E$801,$W168)="","",INDEX('Per Invoice'!E$2:E$801,$W168)))</f>
        <v/>
      </c>
      <c r="F168">
        <f>IF($W168="","",IF(INDEX('Per Invoice'!F$2:F$801,$W168)="","",INDEX('Per Invoice'!F$2:F$801,$W168)))</f>
        <v/>
      </c>
      <c r="G168">
        <f>IF($W168="","",IF(INDEX('Per Invoice'!G$2:G$801,$W168)="","",INDEX('Per Invoice'!G$2:G$801,$W168)))</f>
        <v/>
      </c>
      <c r="H168">
        <f>IF($W168="","",IF(INDEX('Per Invoice'!H$2:H$801,$W168)="","",INDEX('Per Invoice'!H$2:H$801,$W168)))</f>
        <v/>
      </c>
      <c r="I168">
        <f>IF($W168="","",IF(INDEX('Per Invoice'!I$2:I$801,$W168)="","",INDEX('Per Invoice'!I$2:I$801,$W168)))</f>
        <v/>
      </c>
      <c r="J168">
        <f>IF($W168="","",IF(INDEX('Per Invoice'!J$2:J$801,$W168)="","",INDEX('Per Invoice'!J$2:J$801,$W168)))</f>
        <v/>
      </c>
      <c r="K168" s="7">
        <f>IF($W168="","",IF(INDEX('Per Invoice'!K$2:K$801,$W168)="","",INDEX('Per Invoice'!K$2:K$801,$W168)))</f>
        <v/>
      </c>
      <c r="L168" s="14">
        <f>IF($W168="","",IF(INDEX('Per Invoice'!L$2:L$801,$W168)="","",INDEX('Per Invoice'!L$2:L$801,$W168)))</f>
        <v/>
      </c>
      <c r="M168">
        <f>IF($W168="","",IF(INDEX('Per Invoice'!M$2:M$801,$W168)="","",INDEX('Per Invoice'!M$2:M$801,$W168)))</f>
        <v/>
      </c>
      <c r="N168" s="7">
        <f>IF($W168="","",IF(INDEX('Per Invoice'!N$2:N$801,$W168)="","",INDEX('Per Invoice'!N$2:N$801,$W168)))</f>
        <v/>
      </c>
      <c r="O168" s="7">
        <f>IF($W168="","",IF(INDEX('Per Invoice'!O$2:O$801,$W168)="","",INDEX('Per Invoice'!O$2:O$801,$W168)))</f>
        <v/>
      </c>
      <c r="P168">
        <f>IF($W168="","",IF(INDEX('Per Invoice'!P$2:P$801,$W168)="","",INDEX('Per Invoice'!P$2:P$801,$W168)))</f>
        <v/>
      </c>
      <c r="Q168" s="7">
        <f>IF($W168="","",IF(INDEX('Per Invoice'!Q$2:Q$801,$W168)="","",INDEX('Per Invoice'!Q$2:Q$801,$W168)))</f>
        <v/>
      </c>
      <c r="R168" s="7">
        <f>IF($W168="","",IF(INDEX('Per Invoice'!R$2:R$801,$W168)="","",INDEX('Per Invoice'!R$2:R$801,$W168)))</f>
        <v/>
      </c>
      <c r="S168" s="7">
        <f>IF($W168="","",IF(INDEX('Per Invoice'!S$2:S$801,$W168)="","",INDEX('Per Invoice'!S$2:S$801,$W168)))</f>
        <v/>
      </c>
      <c r="T168" s="7">
        <f>IF($W168="","",IF(INDEX('Per Invoice'!T$2:T$801,$W168)="","",INDEX('Per Invoice'!T$2:T$801,$W168)))</f>
        <v/>
      </c>
      <c r="U168" s="7">
        <f>IF($W168="","",IF(INDEX('Per Invoice'!U$2:U$801,$W168)="","",INDEX('Per Invoice'!U$2:U$801,$W168)))</f>
        <v/>
      </c>
      <c r="V168" s="7">
        <f>IF($W168="","",IF(INDEX('Per Invoice'!V$2:V$801,$W168)="","",INDEX('Per Invoice'!V$2:V$801,$W168)))</f>
        <v/>
      </c>
      <c r="W168" s="16">
        <f>IFERROR(MATCH(Settings!$C$31&amp;"|"&amp;ROWS($W$2:$W168),'Per Invoice'!$X$2:$X$801,0),"")</f>
        <v/>
      </c>
    </row>
    <row r="169">
      <c r="A169">
        <f>IF($W169="","",IF(INDEX('Per Invoice'!A$2:A$801,$W169)="","",INDEX('Per Invoice'!A$2:A$801,$W169)))</f>
        <v/>
      </c>
      <c r="B169">
        <f>IF($W169="","",IF(INDEX('Per Invoice'!B$2:B$801,$W169)="","",INDEX('Per Invoice'!B$2:B$801,$W169)))</f>
        <v/>
      </c>
      <c r="C169">
        <f>IF($W169="","",IF(INDEX('Per Invoice'!C$2:C$801,$W169)="","",INDEX('Per Invoice'!C$2:C$801,$W169)))</f>
        <v/>
      </c>
      <c r="D169">
        <f>IF($W169="","",IF(INDEX('Per Invoice'!D$2:D$801,$W169)="","",INDEX('Per Invoice'!D$2:D$801,$W169)))</f>
        <v/>
      </c>
      <c r="E169">
        <f>IF($W169="","",IF(INDEX('Per Invoice'!E$2:E$801,$W169)="","",INDEX('Per Invoice'!E$2:E$801,$W169)))</f>
        <v/>
      </c>
      <c r="F169">
        <f>IF($W169="","",IF(INDEX('Per Invoice'!F$2:F$801,$W169)="","",INDEX('Per Invoice'!F$2:F$801,$W169)))</f>
        <v/>
      </c>
      <c r="G169">
        <f>IF($W169="","",IF(INDEX('Per Invoice'!G$2:G$801,$W169)="","",INDEX('Per Invoice'!G$2:G$801,$W169)))</f>
        <v/>
      </c>
      <c r="H169">
        <f>IF($W169="","",IF(INDEX('Per Invoice'!H$2:H$801,$W169)="","",INDEX('Per Invoice'!H$2:H$801,$W169)))</f>
        <v/>
      </c>
      <c r="I169">
        <f>IF($W169="","",IF(INDEX('Per Invoice'!I$2:I$801,$W169)="","",INDEX('Per Invoice'!I$2:I$801,$W169)))</f>
        <v/>
      </c>
      <c r="J169">
        <f>IF($W169="","",IF(INDEX('Per Invoice'!J$2:J$801,$W169)="","",INDEX('Per Invoice'!J$2:J$801,$W169)))</f>
        <v/>
      </c>
      <c r="K169" s="7">
        <f>IF($W169="","",IF(INDEX('Per Invoice'!K$2:K$801,$W169)="","",INDEX('Per Invoice'!K$2:K$801,$W169)))</f>
        <v/>
      </c>
      <c r="L169" s="14">
        <f>IF($W169="","",IF(INDEX('Per Invoice'!L$2:L$801,$W169)="","",INDEX('Per Invoice'!L$2:L$801,$W169)))</f>
        <v/>
      </c>
      <c r="M169">
        <f>IF($W169="","",IF(INDEX('Per Invoice'!M$2:M$801,$W169)="","",INDEX('Per Invoice'!M$2:M$801,$W169)))</f>
        <v/>
      </c>
      <c r="N169" s="7">
        <f>IF($W169="","",IF(INDEX('Per Invoice'!N$2:N$801,$W169)="","",INDEX('Per Invoice'!N$2:N$801,$W169)))</f>
        <v/>
      </c>
      <c r="O169" s="7">
        <f>IF($W169="","",IF(INDEX('Per Invoice'!O$2:O$801,$W169)="","",INDEX('Per Invoice'!O$2:O$801,$W169)))</f>
        <v/>
      </c>
      <c r="P169">
        <f>IF($W169="","",IF(INDEX('Per Invoice'!P$2:P$801,$W169)="","",INDEX('Per Invoice'!P$2:P$801,$W169)))</f>
        <v/>
      </c>
      <c r="Q169" s="7">
        <f>IF($W169="","",IF(INDEX('Per Invoice'!Q$2:Q$801,$W169)="","",INDEX('Per Invoice'!Q$2:Q$801,$W169)))</f>
        <v/>
      </c>
      <c r="R169" s="7">
        <f>IF($W169="","",IF(INDEX('Per Invoice'!R$2:R$801,$W169)="","",INDEX('Per Invoice'!R$2:R$801,$W169)))</f>
        <v/>
      </c>
      <c r="S169" s="7">
        <f>IF($W169="","",IF(INDEX('Per Invoice'!S$2:S$801,$W169)="","",INDEX('Per Invoice'!S$2:S$801,$W169)))</f>
        <v/>
      </c>
      <c r="T169" s="7">
        <f>IF($W169="","",IF(INDEX('Per Invoice'!T$2:T$801,$W169)="","",INDEX('Per Invoice'!T$2:T$801,$W169)))</f>
        <v/>
      </c>
      <c r="U169" s="7">
        <f>IF($W169="","",IF(INDEX('Per Invoice'!U$2:U$801,$W169)="","",INDEX('Per Invoice'!U$2:U$801,$W169)))</f>
        <v/>
      </c>
      <c r="V169" s="7">
        <f>IF($W169="","",IF(INDEX('Per Invoice'!V$2:V$801,$W169)="","",INDEX('Per Invoice'!V$2:V$801,$W169)))</f>
        <v/>
      </c>
      <c r="W169" s="16">
        <f>IFERROR(MATCH(Settings!$C$31&amp;"|"&amp;ROWS($W$2:$W169),'Per Invoice'!$X$2:$X$801,0),"")</f>
        <v/>
      </c>
    </row>
    <row r="170">
      <c r="A170">
        <f>IF($W170="","",IF(INDEX('Per Invoice'!A$2:A$801,$W170)="","",INDEX('Per Invoice'!A$2:A$801,$W170)))</f>
        <v/>
      </c>
      <c r="B170">
        <f>IF($W170="","",IF(INDEX('Per Invoice'!B$2:B$801,$W170)="","",INDEX('Per Invoice'!B$2:B$801,$W170)))</f>
        <v/>
      </c>
      <c r="C170">
        <f>IF($W170="","",IF(INDEX('Per Invoice'!C$2:C$801,$W170)="","",INDEX('Per Invoice'!C$2:C$801,$W170)))</f>
        <v/>
      </c>
      <c r="D170">
        <f>IF($W170="","",IF(INDEX('Per Invoice'!D$2:D$801,$W170)="","",INDEX('Per Invoice'!D$2:D$801,$W170)))</f>
        <v/>
      </c>
      <c r="E170">
        <f>IF($W170="","",IF(INDEX('Per Invoice'!E$2:E$801,$W170)="","",INDEX('Per Invoice'!E$2:E$801,$W170)))</f>
        <v/>
      </c>
      <c r="F170">
        <f>IF($W170="","",IF(INDEX('Per Invoice'!F$2:F$801,$W170)="","",INDEX('Per Invoice'!F$2:F$801,$W170)))</f>
        <v/>
      </c>
      <c r="G170">
        <f>IF($W170="","",IF(INDEX('Per Invoice'!G$2:G$801,$W170)="","",INDEX('Per Invoice'!G$2:G$801,$W170)))</f>
        <v/>
      </c>
      <c r="H170">
        <f>IF($W170="","",IF(INDEX('Per Invoice'!H$2:H$801,$W170)="","",INDEX('Per Invoice'!H$2:H$801,$W170)))</f>
        <v/>
      </c>
      <c r="I170">
        <f>IF($W170="","",IF(INDEX('Per Invoice'!I$2:I$801,$W170)="","",INDEX('Per Invoice'!I$2:I$801,$W170)))</f>
        <v/>
      </c>
      <c r="J170">
        <f>IF($W170="","",IF(INDEX('Per Invoice'!J$2:J$801,$W170)="","",INDEX('Per Invoice'!J$2:J$801,$W170)))</f>
        <v/>
      </c>
      <c r="K170" s="7">
        <f>IF($W170="","",IF(INDEX('Per Invoice'!K$2:K$801,$W170)="","",INDEX('Per Invoice'!K$2:K$801,$W170)))</f>
        <v/>
      </c>
      <c r="L170" s="14">
        <f>IF($W170="","",IF(INDEX('Per Invoice'!L$2:L$801,$W170)="","",INDEX('Per Invoice'!L$2:L$801,$W170)))</f>
        <v/>
      </c>
      <c r="M170">
        <f>IF($W170="","",IF(INDEX('Per Invoice'!M$2:M$801,$W170)="","",INDEX('Per Invoice'!M$2:M$801,$W170)))</f>
        <v/>
      </c>
      <c r="N170" s="7">
        <f>IF($W170="","",IF(INDEX('Per Invoice'!N$2:N$801,$W170)="","",INDEX('Per Invoice'!N$2:N$801,$W170)))</f>
        <v/>
      </c>
      <c r="O170" s="7">
        <f>IF($W170="","",IF(INDEX('Per Invoice'!O$2:O$801,$W170)="","",INDEX('Per Invoice'!O$2:O$801,$W170)))</f>
        <v/>
      </c>
      <c r="P170">
        <f>IF($W170="","",IF(INDEX('Per Invoice'!P$2:P$801,$W170)="","",INDEX('Per Invoice'!P$2:P$801,$W170)))</f>
        <v/>
      </c>
      <c r="Q170" s="7">
        <f>IF($W170="","",IF(INDEX('Per Invoice'!Q$2:Q$801,$W170)="","",INDEX('Per Invoice'!Q$2:Q$801,$W170)))</f>
        <v/>
      </c>
      <c r="R170" s="7">
        <f>IF($W170="","",IF(INDEX('Per Invoice'!R$2:R$801,$W170)="","",INDEX('Per Invoice'!R$2:R$801,$W170)))</f>
        <v/>
      </c>
      <c r="S170" s="7">
        <f>IF($W170="","",IF(INDEX('Per Invoice'!S$2:S$801,$W170)="","",INDEX('Per Invoice'!S$2:S$801,$W170)))</f>
        <v/>
      </c>
      <c r="T170" s="7">
        <f>IF($W170="","",IF(INDEX('Per Invoice'!T$2:T$801,$W170)="","",INDEX('Per Invoice'!T$2:T$801,$W170)))</f>
        <v/>
      </c>
      <c r="U170" s="7">
        <f>IF($W170="","",IF(INDEX('Per Invoice'!U$2:U$801,$W170)="","",INDEX('Per Invoice'!U$2:U$801,$W170)))</f>
        <v/>
      </c>
      <c r="V170" s="7">
        <f>IF($W170="","",IF(INDEX('Per Invoice'!V$2:V$801,$W170)="","",INDEX('Per Invoice'!V$2:V$801,$W170)))</f>
        <v/>
      </c>
      <c r="W170" s="16">
        <f>IFERROR(MATCH(Settings!$C$31&amp;"|"&amp;ROWS($W$2:$W170),'Per Invoice'!$X$2:$X$801,0),"")</f>
        <v/>
      </c>
    </row>
    <row r="171">
      <c r="A171">
        <f>IF($W171="","",IF(INDEX('Per Invoice'!A$2:A$801,$W171)="","",INDEX('Per Invoice'!A$2:A$801,$W171)))</f>
        <v/>
      </c>
      <c r="B171">
        <f>IF($W171="","",IF(INDEX('Per Invoice'!B$2:B$801,$W171)="","",INDEX('Per Invoice'!B$2:B$801,$W171)))</f>
        <v/>
      </c>
      <c r="C171">
        <f>IF($W171="","",IF(INDEX('Per Invoice'!C$2:C$801,$W171)="","",INDEX('Per Invoice'!C$2:C$801,$W171)))</f>
        <v/>
      </c>
      <c r="D171">
        <f>IF($W171="","",IF(INDEX('Per Invoice'!D$2:D$801,$W171)="","",INDEX('Per Invoice'!D$2:D$801,$W171)))</f>
        <v/>
      </c>
      <c r="E171">
        <f>IF($W171="","",IF(INDEX('Per Invoice'!E$2:E$801,$W171)="","",INDEX('Per Invoice'!E$2:E$801,$W171)))</f>
        <v/>
      </c>
      <c r="F171">
        <f>IF($W171="","",IF(INDEX('Per Invoice'!F$2:F$801,$W171)="","",INDEX('Per Invoice'!F$2:F$801,$W171)))</f>
        <v/>
      </c>
      <c r="G171">
        <f>IF($W171="","",IF(INDEX('Per Invoice'!G$2:G$801,$W171)="","",INDEX('Per Invoice'!G$2:G$801,$W171)))</f>
        <v/>
      </c>
      <c r="H171">
        <f>IF($W171="","",IF(INDEX('Per Invoice'!H$2:H$801,$W171)="","",INDEX('Per Invoice'!H$2:H$801,$W171)))</f>
        <v/>
      </c>
      <c r="I171">
        <f>IF($W171="","",IF(INDEX('Per Invoice'!I$2:I$801,$W171)="","",INDEX('Per Invoice'!I$2:I$801,$W171)))</f>
        <v/>
      </c>
      <c r="J171">
        <f>IF($W171="","",IF(INDEX('Per Invoice'!J$2:J$801,$W171)="","",INDEX('Per Invoice'!J$2:J$801,$W171)))</f>
        <v/>
      </c>
      <c r="K171" s="7">
        <f>IF($W171="","",IF(INDEX('Per Invoice'!K$2:K$801,$W171)="","",INDEX('Per Invoice'!K$2:K$801,$W171)))</f>
        <v/>
      </c>
      <c r="L171" s="14">
        <f>IF($W171="","",IF(INDEX('Per Invoice'!L$2:L$801,$W171)="","",INDEX('Per Invoice'!L$2:L$801,$W171)))</f>
        <v/>
      </c>
      <c r="M171">
        <f>IF($W171="","",IF(INDEX('Per Invoice'!M$2:M$801,$W171)="","",INDEX('Per Invoice'!M$2:M$801,$W171)))</f>
        <v/>
      </c>
      <c r="N171" s="7">
        <f>IF($W171="","",IF(INDEX('Per Invoice'!N$2:N$801,$W171)="","",INDEX('Per Invoice'!N$2:N$801,$W171)))</f>
        <v/>
      </c>
      <c r="O171" s="7">
        <f>IF($W171="","",IF(INDEX('Per Invoice'!O$2:O$801,$W171)="","",INDEX('Per Invoice'!O$2:O$801,$W171)))</f>
        <v/>
      </c>
      <c r="P171">
        <f>IF($W171="","",IF(INDEX('Per Invoice'!P$2:P$801,$W171)="","",INDEX('Per Invoice'!P$2:P$801,$W171)))</f>
        <v/>
      </c>
      <c r="Q171" s="7">
        <f>IF($W171="","",IF(INDEX('Per Invoice'!Q$2:Q$801,$W171)="","",INDEX('Per Invoice'!Q$2:Q$801,$W171)))</f>
        <v/>
      </c>
      <c r="R171" s="7">
        <f>IF($W171="","",IF(INDEX('Per Invoice'!R$2:R$801,$W171)="","",INDEX('Per Invoice'!R$2:R$801,$W171)))</f>
        <v/>
      </c>
      <c r="S171" s="7">
        <f>IF($W171="","",IF(INDEX('Per Invoice'!S$2:S$801,$W171)="","",INDEX('Per Invoice'!S$2:S$801,$W171)))</f>
        <v/>
      </c>
      <c r="T171" s="7">
        <f>IF($W171="","",IF(INDEX('Per Invoice'!T$2:T$801,$W171)="","",INDEX('Per Invoice'!T$2:T$801,$W171)))</f>
        <v/>
      </c>
      <c r="U171" s="7">
        <f>IF($W171="","",IF(INDEX('Per Invoice'!U$2:U$801,$W171)="","",INDEX('Per Invoice'!U$2:U$801,$W171)))</f>
        <v/>
      </c>
      <c r="V171" s="7">
        <f>IF($W171="","",IF(INDEX('Per Invoice'!V$2:V$801,$W171)="","",INDEX('Per Invoice'!V$2:V$801,$W171)))</f>
        <v/>
      </c>
      <c r="W171" s="16">
        <f>IFERROR(MATCH(Settings!$C$31&amp;"|"&amp;ROWS($W$2:$W171),'Per Invoice'!$X$2:$X$801,0),"")</f>
        <v/>
      </c>
    </row>
    <row r="172">
      <c r="A172">
        <f>IF($W172="","",IF(INDEX('Per Invoice'!A$2:A$801,$W172)="","",INDEX('Per Invoice'!A$2:A$801,$W172)))</f>
        <v/>
      </c>
      <c r="B172">
        <f>IF($W172="","",IF(INDEX('Per Invoice'!B$2:B$801,$W172)="","",INDEX('Per Invoice'!B$2:B$801,$W172)))</f>
        <v/>
      </c>
      <c r="C172">
        <f>IF($W172="","",IF(INDEX('Per Invoice'!C$2:C$801,$W172)="","",INDEX('Per Invoice'!C$2:C$801,$W172)))</f>
        <v/>
      </c>
      <c r="D172">
        <f>IF($W172="","",IF(INDEX('Per Invoice'!D$2:D$801,$W172)="","",INDEX('Per Invoice'!D$2:D$801,$W172)))</f>
        <v/>
      </c>
      <c r="E172">
        <f>IF($W172="","",IF(INDEX('Per Invoice'!E$2:E$801,$W172)="","",INDEX('Per Invoice'!E$2:E$801,$W172)))</f>
        <v/>
      </c>
      <c r="F172">
        <f>IF($W172="","",IF(INDEX('Per Invoice'!F$2:F$801,$W172)="","",INDEX('Per Invoice'!F$2:F$801,$W172)))</f>
        <v/>
      </c>
      <c r="G172">
        <f>IF($W172="","",IF(INDEX('Per Invoice'!G$2:G$801,$W172)="","",INDEX('Per Invoice'!G$2:G$801,$W172)))</f>
        <v/>
      </c>
      <c r="H172">
        <f>IF($W172="","",IF(INDEX('Per Invoice'!H$2:H$801,$W172)="","",INDEX('Per Invoice'!H$2:H$801,$W172)))</f>
        <v/>
      </c>
      <c r="I172">
        <f>IF($W172="","",IF(INDEX('Per Invoice'!I$2:I$801,$W172)="","",INDEX('Per Invoice'!I$2:I$801,$W172)))</f>
        <v/>
      </c>
      <c r="J172">
        <f>IF($W172="","",IF(INDEX('Per Invoice'!J$2:J$801,$W172)="","",INDEX('Per Invoice'!J$2:J$801,$W172)))</f>
        <v/>
      </c>
      <c r="K172" s="7">
        <f>IF($W172="","",IF(INDEX('Per Invoice'!K$2:K$801,$W172)="","",INDEX('Per Invoice'!K$2:K$801,$W172)))</f>
        <v/>
      </c>
      <c r="L172" s="14">
        <f>IF($W172="","",IF(INDEX('Per Invoice'!L$2:L$801,$W172)="","",INDEX('Per Invoice'!L$2:L$801,$W172)))</f>
        <v/>
      </c>
      <c r="M172">
        <f>IF($W172="","",IF(INDEX('Per Invoice'!M$2:M$801,$W172)="","",INDEX('Per Invoice'!M$2:M$801,$W172)))</f>
        <v/>
      </c>
      <c r="N172" s="7">
        <f>IF($W172="","",IF(INDEX('Per Invoice'!N$2:N$801,$W172)="","",INDEX('Per Invoice'!N$2:N$801,$W172)))</f>
        <v/>
      </c>
      <c r="O172" s="7">
        <f>IF($W172="","",IF(INDEX('Per Invoice'!O$2:O$801,$W172)="","",INDEX('Per Invoice'!O$2:O$801,$W172)))</f>
        <v/>
      </c>
      <c r="P172">
        <f>IF($W172="","",IF(INDEX('Per Invoice'!P$2:P$801,$W172)="","",INDEX('Per Invoice'!P$2:P$801,$W172)))</f>
        <v/>
      </c>
      <c r="Q172" s="7">
        <f>IF($W172="","",IF(INDEX('Per Invoice'!Q$2:Q$801,$W172)="","",INDEX('Per Invoice'!Q$2:Q$801,$W172)))</f>
        <v/>
      </c>
      <c r="R172" s="7">
        <f>IF($W172="","",IF(INDEX('Per Invoice'!R$2:R$801,$W172)="","",INDEX('Per Invoice'!R$2:R$801,$W172)))</f>
        <v/>
      </c>
      <c r="S172" s="7">
        <f>IF($W172="","",IF(INDEX('Per Invoice'!S$2:S$801,$W172)="","",INDEX('Per Invoice'!S$2:S$801,$W172)))</f>
        <v/>
      </c>
      <c r="T172" s="7">
        <f>IF($W172="","",IF(INDEX('Per Invoice'!T$2:T$801,$W172)="","",INDEX('Per Invoice'!T$2:T$801,$W172)))</f>
        <v/>
      </c>
      <c r="U172" s="7">
        <f>IF($W172="","",IF(INDEX('Per Invoice'!U$2:U$801,$W172)="","",INDEX('Per Invoice'!U$2:U$801,$W172)))</f>
        <v/>
      </c>
      <c r="V172" s="7">
        <f>IF($W172="","",IF(INDEX('Per Invoice'!V$2:V$801,$W172)="","",INDEX('Per Invoice'!V$2:V$801,$W172)))</f>
        <v/>
      </c>
      <c r="W172" s="16">
        <f>IFERROR(MATCH(Settings!$C$31&amp;"|"&amp;ROWS($W$2:$W172),'Per Invoice'!$X$2:$X$801,0),"")</f>
        <v/>
      </c>
    </row>
    <row r="173">
      <c r="A173">
        <f>IF($W173="","",IF(INDEX('Per Invoice'!A$2:A$801,$W173)="","",INDEX('Per Invoice'!A$2:A$801,$W173)))</f>
        <v/>
      </c>
      <c r="B173">
        <f>IF($W173="","",IF(INDEX('Per Invoice'!B$2:B$801,$W173)="","",INDEX('Per Invoice'!B$2:B$801,$W173)))</f>
        <v/>
      </c>
      <c r="C173">
        <f>IF($W173="","",IF(INDEX('Per Invoice'!C$2:C$801,$W173)="","",INDEX('Per Invoice'!C$2:C$801,$W173)))</f>
        <v/>
      </c>
      <c r="D173">
        <f>IF($W173="","",IF(INDEX('Per Invoice'!D$2:D$801,$W173)="","",INDEX('Per Invoice'!D$2:D$801,$W173)))</f>
        <v/>
      </c>
      <c r="E173">
        <f>IF($W173="","",IF(INDEX('Per Invoice'!E$2:E$801,$W173)="","",INDEX('Per Invoice'!E$2:E$801,$W173)))</f>
        <v/>
      </c>
      <c r="F173">
        <f>IF($W173="","",IF(INDEX('Per Invoice'!F$2:F$801,$W173)="","",INDEX('Per Invoice'!F$2:F$801,$W173)))</f>
        <v/>
      </c>
      <c r="G173">
        <f>IF($W173="","",IF(INDEX('Per Invoice'!G$2:G$801,$W173)="","",INDEX('Per Invoice'!G$2:G$801,$W173)))</f>
        <v/>
      </c>
      <c r="H173">
        <f>IF($W173="","",IF(INDEX('Per Invoice'!H$2:H$801,$W173)="","",INDEX('Per Invoice'!H$2:H$801,$W173)))</f>
        <v/>
      </c>
      <c r="I173">
        <f>IF($W173="","",IF(INDEX('Per Invoice'!I$2:I$801,$W173)="","",INDEX('Per Invoice'!I$2:I$801,$W173)))</f>
        <v/>
      </c>
      <c r="J173">
        <f>IF($W173="","",IF(INDEX('Per Invoice'!J$2:J$801,$W173)="","",INDEX('Per Invoice'!J$2:J$801,$W173)))</f>
        <v/>
      </c>
      <c r="K173" s="7">
        <f>IF($W173="","",IF(INDEX('Per Invoice'!K$2:K$801,$W173)="","",INDEX('Per Invoice'!K$2:K$801,$W173)))</f>
        <v/>
      </c>
      <c r="L173" s="14">
        <f>IF($W173="","",IF(INDEX('Per Invoice'!L$2:L$801,$W173)="","",INDEX('Per Invoice'!L$2:L$801,$W173)))</f>
        <v/>
      </c>
      <c r="M173">
        <f>IF($W173="","",IF(INDEX('Per Invoice'!M$2:M$801,$W173)="","",INDEX('Per Invoice'!M$2:M$801,$W173)))</f>
        <v/>
      </c>
      <c r="N173" s="7">
        <f>IF($W173="","",IF(INDEX('Per Invoice'!N$2:N$801,$W173)="","",INDEX('Per Invoice'!N$2:N$801,$W173)))</f>
        <v/>
      </c>
      <c r="O173" s="7">
        <f>IF($W173="","",IF(INDEX('Per Invoice'!O$2:O$801,$W173)="","",INDEX('Per Invoice'!O$2:O$801,$W173)))</f>
        <v/>
      </c>
      <c r="P173">
        <f>IF($W173="","",IF(INDEX('Per Invoice'!P$2:P$801,$W173)="","",INDEX('Per Invoice'!P$2:P$801,$W173)))</f>
        <v/>
      </c>
      <c r="Q173" s="7">
        <f>IF($W173="","",IF(INDEX('Per Invoice'!Q$2:Q$801,$W173)="","",INDEX('Per Invoice'!Q$2:Q$801,$W173)))</f>
        <v/>
      </c>
      <c r="R173" s="7">
        <f>IF($W173="","",IF(INDEX('Per Invoice'!R$2:R$801,$W173)="","",INDEX('Per Invoice'!R$2:R$801,$W173)))</f>
        <v/>
      </c>
      <c r="S173" s="7">
        <f>IF($W173="","",IF(INDEX('Per Invoice'!S$2:S$801,$W173)="","",INDEX('Per Invoice'!S$2:S$801,$W173)))</f>
        <v/>
      </c>
      <c r="T173" s="7">
        <f>IF($W173="","",IF(INDEX('Per Invoice'!T$2:T$801,$W173)="","",INDEX('Per Invoice'!T$2:T$801,$W173)))</f>
        <v/>
      </c>
      <c r="U173" s="7">
        <f>IF($W173="","",IF(INDEX('Per Invoice'!U$2:U$801,$W173)="","",INDEX('Per Invoice'!U$2:U$801,$W173)))</f>
        <v/>
      </c>
      <c r="V173" s="7">
        <f>IF($W173="","",IF(INDEX('Per Invoice'!V$2:V$801,$W173)="","",INDEX('Per Invoice'!V$2:V$801,$W173)))</f>
        <v/>
      </c>
      <c r="W173" s="16">
        <f>IFERROR(MATCH(Settings!$C$31&amp;"|"&amp;ROWS($W$2:$W173),'Per Invoice'!$X$2:$X$801,0),"")</f>
        <v/>
      </c>
    </row>
    <row r="174">
      <c r="A174">
        <f>IF($W174="","",IF(INDEX('Per Invoice'!A$2:A$801,$W174)="","",INDEX('Per Invoice'!A$2:A$801,$W174)))</f>
        <v/>
      </c>
      <c r="B174">
        <f>IF($W174="","",IF(INDEX('Per Invoice'!B$2:B$801,$W174)="","",INDEX('Per Invoice'!B$2:B$801,$W174)))</f>
        <v/>
      </c>
      <c r="C174">
        <f>IF($W174="","",IF(INDEX('Per Invoice'!C$2:C$801,$W174)="","",INDEX('Per Invoice'!C$2:C$801,$W174)))</f>
        <v/>
      </c>
      <c r="D174">
        <f>IF($W174="","",IF(INDEX('Per Invoice'!D$2:D$801,$W174)="","",INDEX('Per Invoice'!D$2:D$801,$W174)))</f>
        <v/>
      </c>
      <c r="E174">
        <f>IF($W174="","",IF(INDEX('Per Invoice'!E$2:E$801,$W174)="","",INDEX('Per Invoice'!E$2:E$801,$W174)))</f>
        <v/>
      </c>
      <c r="F174">
        <f>IF($W174="","",IF(INDEX('Per Invoice'!F$2:F$801,$W174)="","",INDEX('Per Invoice'!F$2:F$801,$W174)))</f>
        <v/>
      </c>
      <c r="G174">
        <f>IF($W174="","",IF(INDEX('Per Invoice'!G$2:G$801,$W174)="","",INDEX('Per Invoice'!G$2:G$801,$W174)))</f>
        <v/>
      </c>
      <c r="H174">
        <f>IF($W174="","",IF(INDEX('Per Invoice'!H$2:H$801,$W174)="","",INDEX('Per Invoice'!H$2:H$801,$W174)))</f>
        <v/>
      </c>
      <c r="I174">
        <f>IF($W174="","",IF(INDEX('Per Invoice'!I$2:I$801,$W174)="","",INDEX('Per Invoice'!I$2:I$801,$W174)))</f>
        <v/>
      </c>
      <c r="J174">
        <f>IF($W174="","",IF(INDEX('Per Invoice'!J$2:J$801,$W174)="","",INDEX('Per Invoice'!J$2:J$801,$W174)))</f>
        <v/>
      </c>
      <c r="K174" s="7">
        <f>IF($W174="","",IF(INDEX('Per Invoice'!K$2:K$801,$W174)="","",INDEX('Per Invoice'!K$2:K$801,$W174)))</f>
        <v/>
      </c>
      <c r="L174" s="14">
        <f>IF($W174="","",IF(INDEX('Per Invoice'!L$2:L$801,$W174)="","",INDEX('Per Invoice'!L$2:L$801,$W174)))</f>
        <v/>
      </c>
      <c r="M174">
        <f>IF($W174="","",IF(INDEX('Per Invoice'!M$2:M$801,$W174)="","",INDEX('Per Invoice'!M$2:M$801,$W174)))</f>
        <v/>
      </c>
      <c r="N174" s="7">
        <f>IF($W174="","",IF(INDEX('Per Invoice'!N$2:N$801,$W174)="","",INDEX('Per Invoice'!N$2:N$801,$W174)))</f>
        <v/>
      </c>
      <c r="O174" s="7">
        <f>IF($W174="","",IF(INDEX('Per Invoice'!O$2:O$801,$W174)="","",INDEX('Per Invoice'!O$2:O$801,$W174)))</f>
        <v/>
      </c>
      <c r="P174">
        <f>IF($W174="","",IF(INDEX('Per Invoice'!P$2:P$801,$W174)="","",INDEX('Per Invoice'!P$2:P$801,$W174)))</f>
        <v/>
      </c>
      <c r="Q174" s="7">
        <f>IF($W174="","",IF(INDEX('Per Invoice'!Q$2:Q$801,$W174)="","",INDEX('Per Invoice'!Q$2:Q$801,$W174)))</f>
        <v/>
      </c>
      <c r="R174" s="7">
        <f>IF($W174="","",IF(INDEX('Per Invoice'!R$2:R$801,$W174)="","",INDEX('Per Invoice'!R$2:R$801,$W174)))</f>
        <v/>
      </c>
      <c r="S174" s="7">
        <f>IF($W174="","",IF(INDEX('Per Invoice'!S$2:S$801,$W174)="","",INDEX('Per Invoice'!S$2:S$801,$W174)))</f>
        <v/>
      </c>
      <c r="T174" s="7">
        <f>IF($W174="","",IF(INDEX('Per Invoice'!T$2:T$801,$W174)="","",INDEX('Per Invoice'!T$2:T$801,$W174)))</f>
        <v/>
      </c>
      <c r="U174" s="7">
        <f>IF($W174="","",IF(INDEX('Per Invoice'!U$2:U$801,$W174)="","",INDEX('Per Invoice'!U$2:U$801,$W174)))</f>
        <v/>
      </c>
      <c r="V174" s="7">
        <f>IF($W174="","",IF(INDEX('Per Invoice'!V$2:V$801,$W174)="","",INDEX('Per Invoice'!V$2:V$801,$W174)))</f>
        <v/>
      </c>
      <c r="W174" s="16">
        <f>IFERROR(MATCH(Settings!$C$31&amp;"|"&amp;ROWS($W$2:$W174),'Per Invoice'!$X$2:$X$801,0),"")</f>
        <v/>
      </c>
    </row>
    <row r="175">
      <c r="A175">
        <f>IF($W175="","",IF(INDEX('Per Invoice'!A$2:A$801,$W175)="","",INDEX('Per Invoice'!A$2:A$801,$W175)))</f>
        <v/>
      </c>
      <c r="B175">
        <f>IF($W175="","",IF(INDEX('Per Invoice'!B$2:B$801,$W175)="","",INDEX('Per Invoice'!B$2:B$801,$W175)))</f>
        <v/>
      </c>
      <c r="C175">
        <f>IF($W175="","",IF(INDEX('Per Invoice'!C$2:C$801,$W175)="","",INDEX('Per Invoice'!C$2:C$801,$W175)))</f>
        <v/>
      </c>
      <c r="D175">
        <f>IF($W175="","",IF(INDEX('Per Invoice'!D$2:D$801,$W175)="","",INDEX('Per Invoice'!D$2:D$801,$W175)))</f>
        <v/>
      </c>
      <c r="E175">
        <f>IF($W175="","",IF(INDEX('Per Invoice'!E$2:E$801,$W175)="","",INDEX('Per Invoice'!E$2:E$801,$W175)))</f>
        <v/>
      </c>
      <c r="F175">
        <f>IF($W175="","",IF(INDEX('Per Invoice'!F$2:F$801,$W175)="","",INDEX('Per Invoice'!F$2:F$801,$W175)))</f>
        <v/>
      </c>
      <c r="G175">
        <f>IF($W175="","",IF(INDEX('Per Invoice'!G$2:G$801,$W175)="","",INDEX('Per Invoice'!G$2:G$801,$W175)))</f>
        <v/>
      </c>
      <c r="H175">
        <f>IF($W175="","",IF(INDEX('Per Invoice'!H$2:H$801,$W175)="","",INDEX('Per Invoice'!H$2:H$801,$W175)))</f>
        <v/>
      </c>
      <c r="I175">
        <f>IF($W175="","",IF(INDEX('Per Invoice'!I$2:I$801,$W175)="","",INDEX('Per Invoice'!I$2:I$801,$W175)))</f>
        <v/>
      </c>
      <c r="J175">
        <f>IF($W175="","",IF(INDEX('Per Invoice'!J$2:J$801,$W175)="","",INDEX('Per Invoice'!J$2:J$801,$W175)))</f>
        <v/>
      </c>
      <c r="K175" s="7">
        <f>IF($W175="","",IF(INDEX('Per Invoice'!K$2:K$801,$W175)="","",INDEX('Per Invoice'!K$2:K$801,$W175)))</f>
        <v/>
      </c>
      <c r="L175" s="14">
        <f>IF($W175="","",IF(INDEX('Per Invoice'!L$2:L$801,$W175)="","",INDEX('Per Invoice'!L$2:L$801,$W175)))</f>
        <v/>
      </c>
      <c r="M175">
        <f>IF($W175="","",IF(INDEX('Per Invoice'!M$2:M$801,$W175)="","",INDEX('Per Invoice'!M$2:M$801,$W175)))</f>
        <v/>
      </c>
      <c r="N175" s="7">
        <f>IF($W175="","",IF(INDEX('Per Invoice'!N$2:N$801,$W175)="","",INDEX('Per Invoice'!N$2:N$801,$W175)))</f>
        <v/>
      </c>
      <c r="O175" s="7">
        <f>IF($W175="","",IF(INDEX('Per Invoice'!O$2:O$801,$W175)="","",INDEX('Per Invoice'!O$2:O$801,$W175)))</f>
        <v/>
      </c>
      <c r="P175">
        <f>IF($W175="","",IF(INDEX('Per Invoice'!P$2:P$801,$W175)="","",INDEX('Per Invoice'!P$2:P$801,$W175)))</f>
        <v/>
      </c>
      <c r="Q175" s="7">
        <f>IF($W175="","",IF(INDEX('Per Invoice'!Q$2:Q$801,$W175)="","",INDEX('Per Invoice'!Q$2:Q$801,$W175)))</f>
        <v/>
      </c>
      <c r="R175" s="7">
        <f>IF($W175="","",IF(INDEX('Per Invoice'!R$2:R$801,$W175)="","",INDEX('Per Invoice'!R$2:R$801,$W175)))</f>
        <v/>
      </c>
      <c r="S175" s="7">
        <f>IF($W175="","",IF(INDEX('Per Invoice'!S$2:S$801,$W175)="","",INDEX('Per Invoice'!S$2:S$801,$W175)))</f>
        <v/>
      </c>
      <c r="T175" s="7">
        <f>IF($W175="","",IF(INDEX('Per Invoice'!T$2:T$801,$W175)="","",INDEX('Per Invoice'!T$2:T$801,$W175)))</f>
        <v/>
      </c>
      <c r="U175" s="7">
        <f>IF($W175="","",IF(INDEX('Per Invoice'!U$2:U$801,$W175)="","",INDEX('Per Invoice'!U$2:U$801,$W175)))</f>
        <v/>
      </c>
      <c r="V175" s="7">
        <f>IF($W175="","",IF(INDEX('Per Invoice'!V$2:V$801,$W175)="","",INDEX('Per Invoice'!V$2:V$801,$W175)))</f>
        <v/>
      </c>
      <c r="W175" s="16">
        <f>IFERROR(MATCH(Settings!$C$31&amp;"|"&amp;ROWS($W$2:$W175),'Per Invoice'!$X$2:$X$801,0),"")</f>
        <v/>
      </c>
    </row>
    <row r="176">
      <c r="A176">
        <f>IF($W176="","",IF(INDEX('Per Invoice'!A$2:A$801,$W176)="","",INDEX('Per Invoice'!A$2:A$801,$W176)))</f>
        <v/>
      </c>
      <c r="B176">
        <f>IF($W176="","",IF(INDEX('Per Invoice'!B$2:B$801,$W176)="","",INDEX('Per Invoice'!B$2:B$801,$W176)))</f>
        <v/>
      </c>
      <c r="C176">
        <f>IF($W176="","",IF(INDEX('Per Invoice'!C$2:C$801,$W176)="","",INDEX('Per Invoice'!C$2:C$801,$W176)))</f>
        <v/>
      </c>
      <c r="D176">
        <f>IF($W176="","",IF(INDEX('Per Invoice'!D$2:D$801,$W176)="","",INDEX('Per Invoice'!D$2:D$801,$W176)))</f>
        <v/>
      </c>
      <c r="E176">
        <f>IF($W176="","",IF(INDEX('Per Invoice'!E$2:E$801,$W176)="","",INDEX('Per Invoice'!E$2:E$801,$W176)))</f>
        <v/>
      </c>
      <c r="F176">
        <f>IF($W176="","",IF(INDEX('Per Invoice'!F$2:F$801,$W176)="","",INDEX('Per Invoice'!F$2:F$801,$W176)))</f>
        <v/>
      </c>
      <c r="G176">
        <f>IF($W176="","",IF(INDEX('Per Invoice'!G$2:G$801,$W176)="","",INDEX('Per Invoice'!G$2:G$801,$W176)))</f>
        <v/>
      </c>
      <c r="H176">
        <f>IF($W176="","",IF(INDEX('Per Invoice'!H$2:H$801,$W176)="","",INDEX('Per Invoice'!H$2:H$801,$W176)))</f>
        <v/>
      </c>
      <c r="I176">
        <f>IF($W176="","",IF(INDEX('Per Invoice'!I$2:I$801,$W176)="","",INDEX('Per Invoice'!I$2:I$801,$W176)))</f>
        <v/>
      </c>
      <c r="J176">
        <f>IF($W176="","",IF(INDEX('Per Invoice'!J$2:J$801,$W176)="","",INDEX('Per Invoice'!J$2:J$801,$W176)))</f>
        <v/>
      </c>
      <c r="K176" s="7">
        <f>IF($W176="","",IF(INDEX('Per Invoice'!K$2:K$801,$W176)="","",INDEX('Per Invoice'!K$2:K$801,$W176)))</f>
        <v/>
      </c>
      <c r="L176" s="14">
        <f>IF($W176="","",IF(INDEX('Per Invoice'!L$2:L$801,$W176)="","",INDEX('Per Invoice'!L$2:L$801,$W176)))</f>
        <v/>
      </c>
      <c r="M176">
        <f>IF($W176="","",IF(INDEX('Per Invoice'!M$2:M$801,$W176)="","",INDEX('Per Invoice'!M$2:M$801,$W176)))</f>
        <v/>
      </c>
      <c r="N176" s="7">
        <f>IF($W176="","",IF(INDEX('Per Invoice'!N$2:N$801,$W176)="","",INDEX('Per Invoice'!N$2:N$801,$W176)))</f>
        <v/>
      </c>
      <c r="O176" s="7">
        <f>IF($W176="","",IF(INDEX('Per Invoice'!O$2:O$801,$W176)="","",INDEX('Per Invoice'!O$2:O$801,$W176)))</f>
        <v/>
      </c>
      <c r="P176">
        <f>IF($W176="","",IF(INDEX('Per Invoice'!P$2:P$801,$W176)="","",INDEX('Per Invoice'!P$2:P$801,$W176)))</f>
        <v/>
      </c>
      <c r="Q176" s="7">
        <f>IF($W176="","",IF(INDEX('Per Invoice'!Q$2:Q$801,$W176)="","",INDEX('Per Invoice'!Q$2:Q$801,$W176)))</f>
        <v/>
      </c>
      <c r="R176" s="7">
        <f>IF($W176="","",IF(INDEX('Per Invoice'!R$2:R$801,$W176)="","",INDEX('Per Invoice'!R$2:R$801,$W176)))</f>
        <v/>
      </c>
      <c r="S176" s="7">
        <f>IF($W176="","",IF(INDEX('Per Invoice'!S$2:S$801,$W176)="","",INDEX('Per Invoice'!S$2:S$801,$W176)))</f>
        <v/>
      </c>
      <c r="T176" s="7">
        <f>IF($W176="","",IF(INDEX('Per Invoice'!T$2:T$801,$W176)="","",INDEX('Per Invoice'!T$2:T$801,$W176)))</f>
        <v/>
      </c>
      <c r="U176" s="7">
        <f>IF($W176="","",IF(INDEX('Per Invoice'!U$2:U$801,$W176)="","",INDEX('Per Invoice'!U$2:U$801,$W176)))</f>
        <v/>
      </c>
      <c r="V176" s="7">
        <f>IF($W176="","",IF(INDEX('Per Invoice'!V$2:V$801,$W176)="","",INDEX('Per Invoice'!V$2:V$801,$W176)))</f>
        <v/>
      </c>
      <c r="W176" s="16">
        <f>IFERROR(MATCH(Settings!$C$31&amp;"|"&amp;ROWS($W$2:$W176),'Per Invoice'!$X$2:$X$801,0),"")</f>
        <v/>
      </c>
    </row>
    <row r="177">
      <c r="A177">
        <f>IF($W177="","",IF(INDEX('Per Invoice'!A$2:A$801,$W177)="","",INDEX('Per Invoice'!A$2:A$801,$W177)))</f>
        <v/>
      </c>
      <c r="B177">
        <f>IF($W177="","",IF(INDEX('Per Invoice'!B$2:B$801,$W177)="","",INDEX('Per Invoice'!B$2:B$801,$W177)))</f>
        <v/>
      </c>
      <c r="C177">
        <f>IF($W177="","",IF(INDEX('Per Invoice'!C$2:C$801,$W177)="","",INDEX('Per Invoice'!C$2:C$801,$W177)))</f>
        <v/>
      </c>
      <c r="D177">
        <f>IF($W177="","",IF(INDEX('Per Invoice'!D$2:D$801,$W177)="","",INDEX('Per Invoice'!D$2:D$801,$W177)))</f>
        <v/>
      </c>
      <c r="E177">
        <f>IF($W177="","",IF(INDEX('Per Invoice'!E$2:E$801,$W177)="","",INDEX('Per Invoice'!E$2:E$801,$W177)))</f>
        <v/>
      </c>
      <c r="F177">
        <f>IF($W177="","",IF(INDEX('Per Invoice'!F$2:F$801,$W177)="","",INDEX('Per Invoice'!F$2:F$801,$W177)))</f>
        <v/>
      </c>
      <c r="G177">
        <f>IF($W177="","",IF(INDEX('Per Invoice'!G$2:G$801,$W177)="","",INDEX('Per Invoice'!G$2:G$801,$W177)))</f>
        <v/>
      </c>
      <c r="H177">
        <f>IF($W177="","",IF(INDEX('Per Invoice'!H$2:H$801,$W177)="","",INDEX('Per Invoice'!H$2:H$801,$W177)))</f>
        <v/>
      </c>
      <c r="I177">
        <f>IF($W177="","",IF(INDEX('Per Invoice'!I$2:I$801,$W177)="","",INDEX('Per Invoice'!I$2:I$801,$W177)))</f>
        <v/>
      </c>
      <c r="J177">
        <f>IF($W177="","",IF(INDEX('Per Invoice'!J$2:J$801,$W177)="","",INDEX('Per Invoice'!J$2:J$801,$W177)))</f>
        <v/>
      </c>
      <c r="K177" s="7">
        <f>IF($W177="","",IF(INDEX('Per Invoice'!K$2:K$801,$W177)="","",INDEX('Per Invoice'!K$2:K$801,$W177)))</f>
        <v/>
      </c>
      <c r="L177" s="14">
        <f>IF($W177="","",IF(INDEX('Per Invoice'!L$2:L$801,$W177)="","",INDEX('Per Invoice'!L$2:L$801,$W177)))</f>
        <v/>
      </c>
      <c r="M177">
        <f>IF($W177="","",IF(INDEX('Per Invoice'!M$2:M$801,$W177)="","",INDEX('Per Invoice'!M$2:M$801,$W177)))</f>
        <v/>
      </c>
      <c r="N177" s="7">
        <f>IF($W177="","",IF(INDEX('Per Invoice'!N$2:N$801,$W177)="","",INDEX('Per Invoice'!N$2:N$801,$W177)))</f>
        <v/>
      </c>
      <c r="O177" s="7">
        <f>IF($W177="","",IF(INDEX('Per Invoice'!O$2:O$801,$W177)="","",INDEX('Per Invoice'!O$2:O$801,$W177)))</f>
        <v/>
      </c>
      <c r="P177">
        <f>IF($W177="","",IF(INDEX('Per Invoice'!P$2:P$801,$W177)="","",INDEX('Per Invoice'!P$2:P$801,$W177)))</f>
        <v/>
      </c>
      <c r="Q177" s="7">
        <f>IF($W177="","",IF(INDEX('Per Invoice'!Q$2:Q$801,$W177)="","",INDEX('Per Invoice'!Q$2:Q$801,$W177)))</f>
        <v/>
      </c>
      <c r="R177" s="7">
        <f>IF($W177="","",IF(INDEX('Per Invoice'!R$2:R$801,$W177)="","",INDEX('Per Invoice'!R$2:R$801,$W177)))</f>
        <v/>
      </c>
      <c r="S177" s="7">
        <f>IF($W177="","",IF(INDEX('Per Invoice'!S$2:S$801,$W177)="","",INDEX('Per Invoice'!S$2:S$801,$W177)))</f>
        <v/>
      </c>
      <c r="T177" s="7">
        <f>IF($W177="","",IF(INDEX('Per Invoice'!T$2:T$801,$W177)="","",INDEX('Per Invoice'!T$2:T$801,$W177)))</f>
        <v/>
      </c>
      <c r="U177" s="7">
        <f>IF($W177="","",IF(INDEX('Per Invoice'!U$2:U$801,$W177)="","",INDEX('Per Invoice'!U$2:U$801,$W177)))</f>
        <v/>
      </c>
      <c r="V177" s="7">
        <f>IF($W177="","",IF(INDEX('Per Invoice'!V$2:V$801,$W177)="","",INDEX('Per Invoice'!V$2:V$801,$W177)))</f>
        <v/>
      </c>
      <c r="W177" s="16">
        <f>IFERROR(MATCH(Settings!$C$31&amp;"|"&amp;ROWS($W$2:$W177),'Per Invoice'!$X$2:$X$801,0),"")</f>
        <v/>
      </c>
    </row>
    <row r="178">
      <c r="A178">
        <f>IF($W178="","",IF(INDEX('Per Invoice'!A$2:A$801,$W178)="","",INDEX('Per Invoice'!A$2:A$801,$W178)))</f>
        <v/>
      </c>
      <c r="B178">
        <f>IF($W178="","",IF(INDEX('Per Invoice'!B$2:B$801,$W178)="","",INDEX('Per Invoice'!B$2:B$801,$W178)))</f>
        <v/>
      </c>
      <c r="C178">
        <f>IF($W178="","",IF(INDEX('Per Invoice'!C$2:C$801,$W178)="","",INDEX('Per Invoice'!C$2:C$801,$W178)))</f>
        <v/>
      </c>
      <c r="D178">
        <f>IF($W178="","",IF(INDEX('Per Invoice'!D$2:D$801,$W178)="","",INDEX('Per Invoice'!D$2:D$801,$W178)))</f>
        <v/>
      </c>
      <c r="E178">
        <f>IF($W178="","",IF(INDEX('Per Invoice'!E$2:E$801,$W178)="","",INDEX('Per Invoice'!E$2:E$801,$W178)))</f>
        <v/>
      </c>
      <c r="F178">
        <f>IF($W178="","",IF(INDEX('Per Invoice'!F$2:F$801,$W178)="","",INDEX('Per Invoice'!F$2:F$801,$W178)))</f>
        <v/>
      </c>
      <c r="G178">
        <f>IF($W178="","",IF(INDEX('Per Invoice'!G$2:G$801,$W178)="","",INDEX('Per Invoice'!G$2:G$801,$W178)))</f>
        <v/>
      </c>
      <c r="H178">
        <f>IF($W178="","",IF(INDEX('Per Invoice'!H$2:H$801,$W178)="","",INDEX('Per Invoice'!H$2:H$801,$W178)))</f>
        <v/>
      </c>
      <c r="I178">
        <f>IF($W178="","",IF(INDEX('Per Invoice'!I$2:I$801,$W178)="","",INDEX('Per Invoice'!I$2:I$801,$W178)))</f>
        <v/>
      </c>
      <c r="J178">
        <f>IF($W178="","",IF(INDEX('Per Invoice'!J$2:J$801,$W178)="","",INDEX('Per Invoice'!J$2:J$801,$W178)))</f>
        <v/>
      </c>
      <c r="K178" s="7">
        <f>IF($W178="","",IF(INDEX('Per Invoice'!K$2:K$801,$W178)="","",INDEX('Per Invoice'!K$2:K$801,$W178)))</f>
        <v/>
      </c>
      <c r="L178" s="14">
        <f>IF($W178="","",IF(INDEX('Per Invoice'!L$2:L$801,$W178)="","",INDEX('Per Invoice'!L$2:L$801,$W178)))</f>
        <v/>
      </c>
      <c r="M178">
        <f>IF($W178="","",IF(INDEX('Per Invoice'!M$2:M$801,$W178)="","",INDEX('Per Invoice'!M$2:M$801,$W178)))</f>
        <v/>
      </c>
      <c r="N178" s="7">
        <f>IF($W178="","",IF(INDEX('Per Invoice'!N$2:N$801,$W178)="","",INDEX('Per Invoice'!N$2:N$801,$W178)))</f>
        <v/>
      </c>
      <c r="O178" s="7">
        <f>IF($W178="","",IF(INDEX('Per Invoice'!O$2:O$801,$W178)="","",INDEX('Per Invoice'!O$2:O$801,$W178)))</f>
        <v/>
      </c>
      <c r="P178">
        <f>IF($W178="","",IF(INDEX('Per Invoice'!P$2:P$801,$W178)="","",INDEX('Per Invoice'!P$2:P$801,$W178)))</f>
        <v/>
      </c>
      <c r="Q178" s="7">
        <f>IF($W178="","",IF(INDEX('Per Invoice'!Q$2:Q$801,$W178)="","",INDEX('Per Invoice'!Q$2:Q$801,$W178)))</f>
        <v/>
      </c>
      <c r="R178" s="7">
        <f>IF($W178="","",IF(INDEX('Per Invoice'!R$2:R$801,$W178)="","",INDEX('Per Invoice'!R$2:R$801,$W178)))</f>
        <v/>
      </c>
      <c r="S178" s="7">
        <f>IF($W178="","",IF(INDEX('Per Invoice'!S$2:S$801,$W178)="","",INDEX('Per Invoice'!S$2:S$801,$W178)))</f>
        <v/>
      </c>
      <c r="T178" s="7">
        <f>IF($W178="","",IF(INDEX('Per Invoice'!T$2:T$801,$W178)="","",INDEX('Per Invoice'!T$2:T$801,$W178)))</f>
        <v/>
      </c>
      <c r="U178" s="7">
        <f>IF($W178="","",IF(INDEX('Per Invoice'!U$2:U$801,$W178)="","",INDEX('Per Invoice'!U$2:U$801,$W178)))</f>
        <v/>
      </c>
      <c r="V178" s="7">
        <f>IF($W178="","",IF(INDEX('Per Invoice'!V$2:V$801,$W178)="","",INDEX('Per Invoice'!V$2:V$801,$W178)))</f>
        <v/>
      </c>
      <c r="W178" s="16">
        <f>IFERROR(MATCH(Settings!$C$31&amp;"|"&amp;ROWS($W$2:$W178),'Per Invoice'!$X$2:$X$801,0),"")</f>
        <v/>
      </c>
    </row>
    <row r="179">
      <c r="A179">
        <f>IF($W179="","",IF(INDEX('Per Invoice'!A$2:A$801,$W179)="","",INDEX('Per Invoice'!A$2:A$801,$W179)))</f>
        <v/>
      </c>
      <c r="B179">
        <f>IF($W179="","",IF(INDEX('Per Invoice'!B$2:B$801,$W179)="","",INDEX('Per Invoice'!B$2:B$801,$W179)))</f>
        <v/>
      </c>
      <c r="C179">
        <f>IF($W179="","",IF(INDEX('Per Invoice'!C$2:C$801,$W179)="","",INDEX('Per Invoice'!C$2:C$801,$W179)))</f>
        <v/>
      </c>
      <c r="D179">
        <f>IF($W179="","",IF(INDEX('Per Invoice'!D$2:D$801,$W179)="","",INDEX('Per Invoice'!D$2:D$801,$W179)))</f>
        <v/>
      </c>
      <c r="E179">
        <f>IF($W179="","",IF(INDEX('Per Invoice'!E$2:E$801,$W179)="","",INDEX('Per Invoice'!E$2:E$801,$W179)))</f>
        <v/>
      </c>
      <c r="F179">
        <f>IF($W179="","",IF(INDEX('Per Invoice'!F$2:F$801,$W179)="","",INDEX('Per Invoice'!F$2:F$801,$W179)))</f>
        <v/>
      </c>
      <c r="G179">
        <f>IF($W179="","",IF(INDEX('Per Invoice'!G$2:G$801,$W179)="","",INDEX('Per Invoice'!G$2:G$801,$W179)))</f>
        <v/>
      </c>
      <c r="H179">
        <f>IF($W179="","",IF(INDEX('Per Invoice'!H$2:H$801,$W179)="","",INDEX('Per Invoice'!H$2:H$801,$W179)))</f>
        <v/>
      </c>
      <c r="I179">
        <f>IF($W179="","",IF(INDEX('Per Invoice'!I$2:I$801,$W179)="","",INDEX('Per Invoice'!I$2:I$801,$W179)))</f>
        <v/>
      </c>
      <c r="J179">
        <f>IF($W179="","",IF(INDEX('Per Invoice'!J$2:J$801,$W179)="","",INDEX('Per Invoice'!J$2:J$801,$W179)))</f>
        <v/>
      </c>
      <c r="K179" s="7">
        <f>IF($W179="","",IF(INDEX('Per Invoice'!K$2:K$801,$W179)="","",INDEX('Per Invoice'!K$2:K$801,$W179)))</f>
        <v/>
      </c>
      <c r="L179" s="14">
        <f>IF($W179="","",IF(INDEX('Per Invoice'!L$2:L$801,$W179)="","",INDEX('Per Invoice'!L$2:L$801,$W179)))</f>
        <v/>
      </c>
      <c r="M179">
        <f>IF($W179="","",IF(INDEX('Per Invoice'!M$2:M$801,$W179)="","",INDEX('Per Invoice'!M$2:M$801,$W179)))</f>
        <v/>
      </c>
      <c r="N179" s="7">
        <f>IF($W179="","",IF(INDEX('Per Invoice'!N$2:N$801,$W179)="","",INDEX('Per Invoice'!N$2:N$801,$W179)))</f>
        <v/>
      </c>
      <c r="O179" s="7">
        <f>IF($W179="","",IF(INDEX('Per Invoice'!O$2:O$801,$W179)="","",INDEX('Per Invoice'!O$2:O$801,$W179)))</f>
        <v/>
      </c>
      <c r="P179">
        <f>IF($W179="","",IF(INDEX('Per Invoice'!P$2:P$801,$W179)="","",INDEX('Per Invoice'!P$2:P$801,$W179)))</f>
        <v/>
      </c>
      <c r="Q179" s="7">
        <f>IF($W179="","",IF(INDEX('Per Invoice'!Q$2:Q$801,$W179)="","",INDEX('Per Invoice'!Q$2:Q$801,$W179)))</f>
        <v/>
      </c>
      <c r="R179" s="7">
        <f>IF($W179="","",IF(INDEX('Per Invoice'!R$2:R$801,$W179)="","",INDEX('Per Invoice'!R$2:R$801,$W179)))</f>
        <v/>
      </c>
      <c r="S179" s="7">
        <f>IF($W179="","",IF(INDEX('Per Invoice'!S$2:S$801,$W179)="","",INDEX('Per Invoice'!S$2:S$801,$W179)))</f>
        <v/>
      </c>
      <c r="T179" s="7">
        <f>IF($W179="","",IF(INDEX('Per Invoice'!T$2:T$801,$W179)="","",INDEX('Per Invoice'!T$2:T$801,$W179)))</f>
        <v/>
      </c>
      <c r="U179" s="7">
        <f>IF($W179="","",IF(INDEX('Per Invoice'!U$2:U$801,$W179)="","",INDEX('Per Invoice'!U$2:U$801,$W179)))</f>
        <v/>
      </c>
      <c r="V179" s="7">
        <f>IF($W179="","",IF(INDEX('Per Invoice'!V$2:V$801,$W179)="","",INDEX('Per Invoice'!V$2:V$801,$W179)))</f>
        <v/>
      </c>
      <c r="W179" s="16">
        <f>IFERROR(MATCH(Settings!$C$31&amp;"|"&amp;ROWS($W$2:$W179),'Per Invoice'!$X$2:$X$801,0),"")</f>
        <v/>
      </c>
    </row>
    <row r="180">
      <c r="A180">
        <f>IF($W180="","",IF(INDEX('Per Invoice'!A$2:A$801,$W180)="","",INDEX('Per Invoice'!A$2:A$801,$W180)))</f>
        <v/>
      </c>
      <c r="B180">
        <f>IF($W180="","",IF(INDEX('Per Invoice'!B$2:B$801,$W180)="","",INDEX('Per Invoice'!B$2:B$801,$W180)))</f>
        <v/>
      </c>
      <c r="C180">
        <f>IF($W180="","",IF(INDEX('Per Invoice'!C$2:C$801,$W180)="","",INDEX('Per Invoice'!C$2:C$801,$W180)))</f>
        <v/>
      </c>
      <c r="D180">
        <f>IF($W180="","",IF(INDEX('Per Invoice'!D$2:D$801,$W180)="","",INDEX('Per Invoice'!D$2:D$801,$W180)))</f>
        <v/>
      </c>
      <c r="E180">
        <f>IF($W180="","",IF(INDEX('Per Invoice'!E$2:E$801,$W180)="","",INDEX('Per Invoice'!E$2:E$801,$W180)))</f>
        <v/>
      </c>
      <c r="F180">
        <f>IF($W180="","",IF(INDEX('Per Invoice'!F$2:F$801,$W180)="","",INDEX('Per Invoice'!F$2:F$801,$W180)))</f>
        <v/>
      </c>
      <c r="G180">
        <f>IF($W180="","",IF(INDEX('Per Invoice'!G$2:G$801,$W180)="","",INDEX('Per Invoice'!G$2:G$801,$W180)))</f>
        <v/>
      </c>
      <c r="H180">
        <f>IF($W180="","",IF(INDEX('Per Invoice'!H$2:H$801,$W180)="","",INDEX('Per Invoice'!H$2:H$801,$W180)))</f>
        <v/>
      </c>
      <c r="I180">
        <f>IF($W180="","",IF(INDEX('Per Invoice'!I$2:I$801,$W180)="","",INDEX('Per Invoice'!I$2:I$801,$W180)))</f>
        <v/>
      </c>
      <c r="J180">
        <f>IF($W180="","",IF(INDEX('Per Invoice'!J$2:J$801,$W180)="","",INDEX('Per Invoice'!J$2:J$801,$W180)))</f>
        <v/>
      </c>
      <c r="K180" s="7">
        <f>IF($W180="","",IF(INDEX('Per Invoice'!K$2:K$801,$W180)="","",INDEX('Per Invoice'!K$2:K$801,$W180)))</f>
        <v/>
      </c>
      <c r="L180" s="14">
        <f>IF($W180="","",IF(INDEX('Per Invoice'!L$2:L$801,$W180)="","",INDEX('Per Invoice'!L$2:L$801,$W180)))</f>
        <v/>
      </c>
      <c r="M180">
        <f>IF($W180="","",IF(INDEX('Per Invoice'!M$2:M$801,$W180)="","",INDEX('Per Invoice'!M$2:M$801,$W180)))</f>
        <v/>
      </c>
      <c r="N180" s="7">
        <f>IF($W180="","",IF(INDEX('Per Invoice'!N$2:N$801,$W180)="","",INDEX('Per Invoice'!N$2:N$801,$W180)))</f>
        <v/>
      </c>
      <c r="O180" s="7">
        <f>IF($W180="","",IF(INDEX('Per Invoice'!O$2:O$801,$W180)="","",INDEX('Per Invoice'!O$2:O$801,$W180)))</f>
        <v/>
      </c>
      <c r="P180">
        <f>IF($W180="","",IF(INDEX('Per Invoice'!P$2:P$801,$W180)="","",INDEX('Per Invoice'!P$2:P$801,$W180)))</f>
        <v/>
      </c>
      <c r="Q180" s="7">
        <f>IF($W180="","",IF(INDEX('Per Invoice'!Q$2:Q$801,$W180)="","",INDEX('Per Invoice'!Q$2:Q$801,$W180)))</f>
        <v/>
      </c>
      <c r="R180" s="7">
        <f>IF($W180="","",IF(INDEX('Per Invoice'!R$2:R$801,$W180)="","",INDEX('Per Invoice'!R$2:R$801,$W180)))</f>
        <v/>
      </c>
      <c r="S180" s="7">
        <f>IF($W180="","",IF(INDEX('Per Invoice'!S$2:S$801,$W180)="","",INDEX('Per Invoice'!S$2:S$801,$W180)))</f>
        <v/>
      </c>
      <c r="T180" s="7">
        <f>IF($W180="","",IF(INDEX('Per Invoice'!T$2:T$801,$W180)="","",INDEX('Per Invoice'!T$2:T$801,$W180)))</f>
        <v/>
      </c>
      <c r="U180" s="7">
        <f>IF($W180="","",IF(INDEX('Per Invoice'!U$2:U$801,$W180)="","",INDEX('Per Invoice'!U$2:U$801,$W180)))</f>
        <v/>
      </c>
      <c r="V180" s="7">
        <f>IF($W180="","",IF(INDEX('Per Invoice'!V$2:V$801,$W180)="","",INDEX('Per Invoice'!V$2:V$801,$W180)))</f>
        <v/>
      </c>
      <c r="W180" s="16">
        <f>IFERROR(MATCH(Settings!$C$31&amp;"|"&amp;ROWS($W$2:$W180),'Per Invoice'!$X$2:$X$801,0),"")</f>
        <v/>
      </c>
    </row>
    <row r="181">
      <c r="A181">
        <f>IF($W181="","",IF(INDEX('Per Invoice'!A$2:A$801,$W181)="","",INDEX('Per Invoice'!A$2:A$801,$W181)))</f>
        <v/>
      </c>
      <c r="B181">
        <f>IF($W181="","",IF(INDEX('Per Invoice'!B$2:B$801,$W181)="","",INDEX('Per Invoice'!B$2:B$801,$W181)))</f>
        <v/>
      </c>
      <c r="C181">
        <f>IF($W181="","",IF(INDEX('Per Invoice'!C$2:C$801,$W181)="","",INDEX('Per Invoice'!C$2:C$801,$W181)))</f>
        <v/>
      </c>
      <c r="D181">
        <f>IF($W181="","",IF(INDEX('Per Invoice'!D$2:D$801,$W181)="","",INDEX('Per Invoice'!D$2:D$801,$W181)))</f>
        <v/>
      </c>
      <c r="E181">
        <f>IF($W181="","",IF(INDEX('Per Invoice'!E$2:E$801,$W181)="","",INDEX('Per Invoice'!E$2:E$801,$W181)))</f>
        <v/>
      </c>
      <c r="F181">
        <f>IF($W181="","",IF(INDEX('Per Invoice'!F$2:F$801,$W181)="","",INDEX('Per Invoice'!F$2:F$801,$W181)))</f>
        <v/>
      </c>
      <c r="G181">
        <f>IF($W181="","",IF(INDEX('Per Invoice'!G$2:G$801,$W181)="","",INDEX('Per Invoice'!G$2:G$801,$W181)))</f>
        <v/>
      </c>
      <c r="H181">
        <f>IF($W181="","",IF(INDEX('Per Invoice'!H$2:H$801,$W181)="","",INDEX('Per Invoice'!H$2:H$801,$W181)))</f>
        <v/>
      </c>
      <c r="I181">
        <f>IF($W181="","",IF(INDEX('Per Invoice'!I$2:I$801,$W181)="","",INDEX('Per Invoice'!I$2:I$801,$W181)))</f>
        <v/>
      </c>
      <c r="J181">
        <f>IF($W181="","",IF(INDEX('Per Invoice'!J$2:J$801,$W181)="","",INDEX('Per Invoice'!J$2:J$801,$W181)))</f>
        <v/>
      </c>
      <c r="K181" s="7">
        <f>IF($W181="","",IF(INDEX('Per Invoice'!K$2:K$801,$W181)="","",INDEX('Per Invoice'!K$2:K$801,$W181)))</f>
        <v/>
      </c>
      <c r="L181" s="14">
        <f>IF($W181="","",IF(INDEX('Per Invoice'!L$2:L$801,$W181)="","",INDEX('Per Invoice'!L$2:L$801,$W181)))</f>
        <v/>
      </c>
      <c r="M181">
        <f>IF($W181="","",IF(INDEX('Per Invoice'!M$2:M$801,$W181)="","",INDEX('Per Invoice'!M$2:M$801,$W181)))</f>
        <v/>
      </c>
      <c r="N181" s="7">
        <f>IF($W181="","",IF(INDEX('Per Invoice'!N$2:N$801,$W181)="","",INDEX('Per Invoice'!N$2:N$801,$W181)))</f>
        <v/>
      </c>
      <c r="O181" s="7">
        <f>IF($W181="","",IF(INDEX('Per Invoice'!O$2:O$801,$W181)="","",INDEX('Per Invoice'!O$2:O$801,$W181)))</f>
        <v/>
      </c>
      <c r="P181">
        <f>IF($W181="","",IF(INDEX('Per Invoice'!P$2:P$801,$W181)="","",INDEX('Per Invoice'!P$2:P$801,$W181)))</f>
        <v/>
      </c>
      <c r="Q181" s="7">
        <f>IF($W181="","",IF(INDEX('Per Invoice'!Q$2:Q$801,$W181)="","",INDEX('Per Invoice'!Q$2:Q$801,$W181)))</f>
        <v/>
      </c>
      <c r="R181" s="7">
        <f>IF($W181="","",IF(INDEX('Per Invoice'!R$2:R$801,$W181)="","",INDEX('Per Invoice'!R$2:R$801,$W181)))</f>
        <v/>
      </c>
      <c r="S181" s="7">
        <f>IF($W181="","",IF(INDEX('Per Invoice'!S$2:S$801,$W181)="","",INDEX('Per Invoice'!S$2:S$801,$W181)))</f>
        <v/>
      </c>
      <c r="T181" s="7">
        <f>IF($W181="","",IF(INDEX('Per Invoice'!T$2:T$801,$W181)="","",INDEX('Per Invoice'!T$2:T$801,$W181)))</f>
        <v/>
      </c>
      <c r="U181" s="7">
        <f>IF($W181="","",IF(INDEX('Per Invoice'!U$2:U$801,$W181)="","",INDEX('Per Invoice'!U$2:U$801,$W181)))</f>
        <v/>
      </c>
      <c r="V181" s="7">
        <f>IF($W181="","",IF(INDEX('Per Invoice'!V$2:V$801,$W181)="","",INDEX('Per Invoice'!V$2:V$801,$W181)))</f>
        <v/>
      </c>
      <c r="W181" s="16">
        <f>IFERROR(MATCH(Settings!$C$31&amp;"|"&amp;ROWS($W$2:$W181),'Per Invoice'!$X$2:$X$801,0),"")</f>
        <v/>
      </c>
    </row>
    <row r="182">
      <c r="A182">
        <f>IF($W182="","",IF(INDEX('Per Invoice'!A$2:A$801,$W182)="","",INDEX('Per Invoice'!A$2:A$801,$W182)))</f>
        <v/>
      </c>
      <c r="B182">
        <f>IF($W182="","",IF(INDEX('Per Invoice'!B$2:B$801,$W182)="","",INDEX('Per Invoice'!B$2:B$801,$W182)))</f>
        <v/>
      </c>
      <c r="C182">
        <f>IF($W182="","",IF(INDEX('Per Invoice'!C$2:C$801,$W182)="","",INDEX('Per Invoice'!C$2:C$801,$W182)))</f>
        <v/>
      </c>
      <c r="D182">
        <f>IF($W182="","",IF(INDEX('Per Invoice'!D$2:D$801,$W182)="","",INDEX('Per Invoice'!D$2:D$801,$W182)))</f>
        <v/>
      </c>
      <c r="E182">
        <f>IF($W182="","",IF(INDEX('Per Invoice'!E$2:E$801,$W182)="","",INDEX('Per Invoice'!E$2:E$801,$W182)))</f>
        <v/>
      </c>
      <c r="F182">
        <f>IF($W182="","",IF(INDEX('Per Invoice'!F$2:F$801,$W182)="","",INDEX('Per Invoice'!F$2:F$801,$W182)))</f>
        <v/>
      </c>
      <c r="G182">
        <f>IF($W182="","",IF(INDEX('Per Invoice'!G$2:G$801,$W182)="","",INDEX('Per Invoice'!G$2:G$801,$W182)))</f>
        <v/>
      </c>
      <c r="H182">
        <f>IF($W182="","",IF(INDEX('Per Invoice'!H$2:H$801,$W182)="","",INDEX('Per Invoice'!H$2:H$801,$W182)))</f>
        <v/>
      </c>
      <c r="I182">
        <f>IF($W182="","",IF(INDEX('Per Invoice'!I$2:I$801,$W182)="","",INDEX('Per Invoice'!I$2:I$801,$W182)))</f>
        <v/>
      </c>
      <c r="J182">
        <f>IF($W182="","",IF(INDEX('Per Invoice'!J$2:J$801,$W182)="","",INDEX('Per Invoice'!J$2:J$801,$W182)))</f>
        <v/>
      </c>
      <c r="K182" s="7">
        <f>IF($W182="","",IF(INDEX('Per Invoice'!K$2:K$801,$W182)="","",INDEX('Per Invoice'!K$2:K$801,$W182)))</f>
        <v/>
      </c>
      <c r="L182" s="14">
        <f>IF($W182="","",IF(INDEX('Per Invoice'!L$2:L$801,$W182)="","",INDEX('Per Invoice'!L$2:L$801,$W182)))</f>
        <v/>
      </c>
      <c r="M182">
        <f>IF($W182="","",IF(INDEX('Per Invoice'!M$2:M$801,$W182)="","",INDEX('Per Invoice'!M$2:M$801,$W182)))</f>
        <v/>
      </c>
      <c r="N182" s="7">
        <f>IF($W182="","",IF(INDEX('Per Invoice'!N$2:N$801,$W182)="","",INDEX('Per Invoice'!N$2:N$801,$W182)))</f>
        <v/>
      </c>
      <c r="O182" s="7">
        <f>IF($W182="","",IF(INDEX('Per Invoice'!O$2:O$801,$W182)="","",INDEX('Per Invoice'!O$2:O$801,$W182)))</f>
        <v/>
      </c>
      <c r="P182">
        <f>IF($W182="","",IF(INDEX('Per Invoice'!P$2:P$801,$W182)="","",INDEX('Per Invoice'!P$2:P$801,$W182)))</f>
        <v/>
      </c>
      <c r="Q182" s="7">
        <f>IF($W182="","",IF(INDEX('Per Invoice'!Q$2:Q$801,$W182)="","",INDEX('Per Invoice'!Q$2:Q$801,$W182)))</f>
        <v/>
      </c>
      <c r="R182" s="7">
        <f>IF($W182="","",IF(INDEX('Per Invoice'!R$2:R$801,$W182)="","",INDEX('Per Invoice'!R$2:R$801,$W182)))</f>
        <v/>
      </c>
      <c r="S182" s="7">
        <f>IF($W182="","",IF(INDEX('Per Invoice'!S$2:S$801,$W182)="","",INDEX('Per Invoice'!S$2:S$801,$W182)))</f>
        <v/>
      </c>
      <c r="T182" s="7">
        <f>IF($W182="","",IF(INDEX('Per Invoice'!T$2:T$801,$W182)="","",INDEX('Per Invoice'!T$2:T$801,$W182)))</f>
        <v/>
      </c>
      <c r="U182" s="7">
        <f>IF($W182="","",IF(INDEX('Per Invoice'!U$2:U$801,$W182)="","",INDEX('Per Invoice'!U$2:U$801,$W182)))</f>
        <v/>
      </c>
      <c r="V182" s="7">
        <f>IF($W182="","",IF(INDEX('Per Invoice'!V$2:V$801,$W182)="","",INDEX('Per Invoice'!V$2:V$801,$W182)))</f>
        <v/>
      </c>
      <c r="W182" s="16">
        <f>IFERROR(MATCH(Settings!$C$31&amp;"|"&amp;ROWS($W$2:$W182),'Per Invoice'!$X$2:$X$801,0),"")</f>
        <v/>
      </c>
    </row>
    <row r="183">
      <c r="A183">
        <f>IF($W183="","",IF(INDEX('Per Invoice'!A$2:A$801,$W183)="","",INDEX('Per Invoice'!A$2:A$801,$W183)))</f>
        <v/>
      </c>
      <c r="B183">
        <f>IF($W183="","",IF(INDEX('Per Invoice'!B$2:B$801,$W183)="","",INDEX('Per Invoice'!B$2:B$801,$W183)))</f>
        <v/>
      </c>
      <c r="C183">
        <f>IF($W183="","",IF(INDEX('Per Invoice'!C$2:C$801,$W183)="","",INDEX('Per Invoice'!C$2:C$801,$W183)))</f>
        <v/>
      </c>
      <c r="D183">
        <f>IF($W183="","",IF(INDEX('Per Invoice'!D$2:D$801,$W183)="","",INDEX('Per Invoice'!D$2:D$801,$W183)))</f>
        <v/>
      </c>
      <c r="E183">
        <f>IF($W183="","",IF(INDEX('Per Invoice'!E$2:E$801,$W183)="","",INDEX('Per Invoice'!E$2:E$801,$W183)))</f>
        <v/>
      </c>
      <c r="F183">
        <f>IF($W183="","",IF(INDEX('Per Invoice'!F$2:F$801,$W183)="","",INDEX('Per Invoice'!F$2:F$801,$W183)))</f>
        <v/>
      </c>
      <c r="G183">
        <f>IF($W183="","",IF(INDEX('Per Invoice'!G$2:G$801,$W183)="","",INDEX('Per Invoice'!G$2:G$801,$W183)))</f>
        <v/>
      </c>
      <c r="H183">
        <f>IF($W183="","",IF(INDEX('Per Invoice'!H$2:H$801,$W183)="","",INDEX('Per Invoice'!H$2:H$801,$W183)))</f>
        <v/>
      </c>
      <c r="I183">
        <f>IF($W183="","",IF(INDEX('Per Invoice'!I$2:I$801,$W183)="","",INDEX('Per Invoice'!I$2:I$801,$W183)))</f>
        <v/>
      </c>
      <c r="J183">
        <f>IF($W183="","",IF(INDEX('Per Invoice'!J$2:J$801,$W183)="","",INDEX('Per Invoice'!J$2:J$801,$W183)))</f>
        <v/>
      </c>
      <c r="K183" s="7">
        <f>IF($W183="","",IF(INDEX('Per Invoice'!K$2:K$801,$W183)="","",INDEX('Per Invoice'!K$2:K$801,$W183)))</f>
        <v/>
      </c>
      <c r="L183" s="14">
        <f>IF($W183="","",IF(INDEX('Per Invoice'!L$2:L$801,$W183)="","",INDEX('Per Invoice'!L$2:L$801,$W183)))</f>
        <v/>
      </c>
      <c r="M183">
        <f>IF($W183="","",IF(INDEX('Per Invoice'!M$2:M$801,$W183)="","",INDEX('Per Invoice'!M$2:M$801,$W183)))</f>
        <v/>
      </c>
      <c r="N183" s="7">
        <f>IF($W183="","",IF(INDEX('Per Invoice'!N$2:N$801,$W183)="","",INDEX('Per Invoice'!N$2:N$801,$W183)))</f>
        <v/>
      </c>
      <c r="O183" s="7">
        <f>IF($W183="","",IF(INDEX('Per Invoice'!O$2:O$801,$W183)="","",INDEX('Per Invoice'!O$2:O$801,$W183)))</f>
        <v/>
      </c>
      <c r="P183">
        <f>IF($W183="","",IF(INDEX('Per Invoice'!P$2:P$801,$W183)="","",INDEX('Per Invoice'!P$2:P$801,$W183)))</f>
        <v/>
      </c>
      <c r="Q183" s="7">
        <f>IF($W183="","",IF(INDEX('Per Invoice'!Q$2:Q$801,$W183)="","",INDEX('Per Invoice'!Q$2:Q$801,$W183)))</f>
        <v/>
      </c>
      <c r="R183" s="7">
        <f>IF($W183="","",IF(INDEX('Per Invoice'!R$2:R$801,$W183)="","",INDEX('Per Invoice'!R$2:R$801,$W183)))</f>
        <v/>
      </c>
      <c r="S183" s="7">
        <f>IF($W183="","",IF(INDEX('Per Invoice'!S$2:S$801,$W183)="","",INDEX('Per Invoice'!S$2:S$801,$W183)))</f>
        <v/>
      </c>
      <c r="T183" s="7">
        <f>IF($W183="","",IF(INDEX('Per Invoice'!T$2:T$801,$W183)="","",INDEX('Per Invoice'!T$2:T$801,$W183)))</f>
        <v/>
      </c>
      <c r="U183" s="7">
        <f>IF($W183="","",IF(INDEX('Per Invoice'!U$2:U$801,$W183)="","",INDEX('Per Invoice'!U$2:U$801,$W183)))</f>
        <v/>
      </c>
      <c r="V183" s="7">
        <f>IF($W183="","",IF(INDEX('Per Invoice'!V$2:V$801,$W183)="","",INDEX('Per Invoice'!V$2:V$801,$W183)))</f>
        <v/>
      </c>
      <c r="W183" s="16">
        <f>IFERROR(MATCH(Settings!$C$31&amp;"|"&amp;ROWS($W$2:$W183),'Per Invoice'!$X$2:$X$801,0),"")</f>
        <v/>
      </c>
    </row>
    <row r="184">
      <c r="A184">
        <f>IF($W184="","",IF(INDEX('Per Invoice'!A$2:A$801,$W184)="","",INDEX('Per Invoice'!A$2:A$801,$W184)))</f>
        <v/>
      </c>
      <c r="B184">
        <f>IF($W184="","",IF(INDEX('Per Invoice'!B$2:B$801,$W184)="","",INDEX('Per Invoice'!B$2:B$801,$W184)))</f>
        <v/>
      </c>
      <c r="C184">
        <f>IF($W184="","",IF(INDEX('Per Invoice'!C$2:C$801,$W184)="","",INDEX('Per Invoice'!C$2:C$801,$W184)))</f>
        <v/>
      </c>
      <c r="D184">
        <f>IF($W184="","",IF(INDEX('Per Invoice'!D$2:D$801,$W184)="","",INDEX('Per Invoice'!D$2:D$801,$W184)))</f>
        <v/>
      </c>
      <c r="E184">
        <f>IF($W184="","",IF(INDEX('Per Invoice'!E$2:E$801,$W184)="","",INDEX('Per Invoice'!E$2:E$801,$W184)))</f>
        <v/>
      </c>
      <c r="F184">
        <f>IF($W184="","",IF(INDEX('Per Invoice'!F$2:F$801,$W184)="","",INDEX('Per Invoice'!F$2:F$801,$W184)))</f>
        <v/>
      </c>
      <c r="G184">
        <f>IF($W184="","",IF(INDEX('Per Invoice'!G$2:G$801,$W184)="","",INDEX('Per Invoice'!G$2:G$801,$W184)))</f>
        <v/>
      </c>
      <c r="H184">
        <f>IF($W184="","",IF(INDEX('Per Invoice'!H$2:H$801,$W184)="","",INDEX('Per Invoice'!H$2:H$801,$W184)))</f>
        <v/>
      </c>
      <c r="I184">
        <f>IF($W184="","",IF(INDEX('Per Invoice'!I$2:I$801,$W184)="","",INDEX('Per Invoice'!I$2:I$801,$W184)))</f>
        <v/>
      </c>
      <c r="J184">
        <f>IF($W184="","",IF(INDEX('Per Invoice'!J$2:J$801,$W184)="","",INDEX('Per Invoice'!J$2:J$801,$W184)))</f>
        <v/>
      </c>
      <c r="K184" s="7">
        <f>IF($W184="","",IF(INDEX('Per Invoice'!K$2:K$801,$W184)="","",INDEX('Per Invoice'!K$2:K$801,$W184)))</f>
        <v/>
      </c>
      <c r="L184" s="14">
        <f>IF($W184="","",IF(INDEX('Per Invoice'!L$2:L$801,$W184)="","",INDEX('Per Invoice'!L$2:L$801,$W184)))</f>
        <v/>
      </c>
      <c r="M184">
        <f>IF($W184="","",IF(INDEX('Per Invoice'!M$2:M$801,$W184)="","",INDEX('Per Invoice'!M$2:M$801,$W184)))</f>
        <v/>
      </c>
      <c r="N184" s="7">
        <f>IF($W184="","",IF(INDEX('Per Invoice'!N$2:N$801,$W184)="","",INDEX('Per Invoice'!N$2:N$801,$W184)))</f>
        <v/>
      </c>
      <c r="O184" s="7">
        <f>IF($W184="","",IF(INDEX('Per Invoice'!O$2:O$801,$W184)="","",INDEX('Per Invoice'!O$2:O$801,$W184)))</f>
        <v/>
      </c>
      <c r="P184">
        <f>IF($W184="","",IF(INDEX('Per Invoice'!P$2:P$801,$W184)="","",INDEX('Per Invoice'!P$2:P$801,$W184)))</f>
        <v/>
      </c>
      <c r="Q184" s="7">
        <f>IF($W184="","",IF(INDEX('Per Invoice'!Q$2:Q$801,$W184)="","",INDEX('Per Invoice'!Q$2:Q$801,$W184)))</f>
        <v/>
      </c>
      <c r="R184" s="7">
        <f>IF($W184="","",IF(INDEX('Per Invoice'!R$2:R$801,$W184)="","",INDEX('Per Invoice'!R$2:R$801,$W184)))</f>
        <v/>
      </c>
      <c r="S184" s="7">
        <f>IF($W184="","",IF(INDEX('Per Invoice'!S$2:S$801,$W184)="","",INDEX('Per Invoice'!S$2:S$801,$W184)))</f>
        <v/>
      </c>
      <c r="T184" s="7">
        <f>IF($W184="","",IF(INDEX('Per Invoice'!T$2:T$801,$W184)="","",INDEX('Per Invoice'!T$2:T$801,$W184)))</f>
        <v/>
      </c>
      <c r="U184" s="7">
        <f>IF($W184="","",IF(INDEX('Per Invoice'!U$2:U$801,$W184)="","",INDEX('Per Invoice'!U$2:U$801,$W184)))</f>
        <v/>
      </c>
      <c r="V184" s="7">
        <f>IF($W184="","",IF(INDEX('Per Invoice'!V$2:V$801,$W184)="","",INDEX('Per Invoice'!V$2:V$801,$W184)))</f>
        <v/>
      </c>
      <c r="W184" s="16">
        <f>IFERROR(MATCH(Settings!$C$31&amp;"|"&amp;ROWS($W$2:$W184),'Per Invoice'!$X$2:$X$801,0),"")</f>
        <v/>
      </c>
    </row>
    <row r="185">
      <c r="A185">
        <f>IF($W185="","",IF(INDEX('Per Invoice'!A$2:A$801,$W185)="","",INDEX('Per Invoice'!A$2:A$801,$W185)))</f>
        <v/>
      </c>
      <c r="B185">
        <f>IF($W185="","",IF(INDEX('Per Invoice'!B$2:B$801,$W185)="","",INDEX('Per Invoice'!B$2:B$801,$W185)))</f>
        <v/>
      </c>
      <c r="C185">
        <f>IF($W185="","",IF(INDEX('Per Invoice'!C$2:C$801,$W185)="","",INDEX('Per Invoice'!C$2:C$801,$W185)))</f>
        <v/>
      </c>
      <c r="D185">
        <f>IF($W185="","",IF(INDEX('Per Invoice'!D$2:D$801,$W185)="","",INDEX('Per Invoice'!D$2:D$801,$W185)))</f>
        <v/>
      </c>
      <c r="E185">
        <f>IF($W185="","",IF(INDEX('Per Invoice'!E$2:E$801,$W185)="","",INDEX('Per Invoice'!E$2:E$801,$W185)))</f>
        <v/>
      </c>
      <c r="F185">
        <f>IF($W185="","",IF(INDEX('Per Invoice'!F$2:F$801,$W185)="","",INDEX('Per Invoice'!F$2:F$801,$W185)))</f>
        <v/>
      </c>
      <c r="G185">
        <f>IF($W185="","",IF(INDEX('Per Invoice'!G$2:G$801,$W185)="","",INDEX('Per Invoice'!G$2:G$801,$W185)))</f>
        <v/>
      </c>
      <c r="H185">
        <f>IF($W185="","",IF(INDEX('Per Invoice'!H$2:H$801,$W185)="","",INDEX('Per Invoice'!H$2:H$801,$W185)))</f>
        <v/>
      </c>
      <c r="I185">
        <f>IF($W185="","",IF(INDEX('Per Invoice'!I$2:I$801,$W185)="","",INDEX('Per Invoice'!I$2:I$801,$W185)))</f>
        <v/>
      </c>
      <c r="J185">
        <f>IF($W185="","",IF(INDEX('Per Invoice'!J$2:J$801,$W185)="","",INDEX('Per Invoice'!J$2:J$801,$W185)))</f>
        <v/>
      </c>
      <c r="K185" s="7">
        <f>IF($W185="","",IF(INDEX('Per Invoice'!K$2:K$801,$W185)="","",INDEX('Per Invoice'!K$2:K$801,$W185)))</f>
        <v/>
      </c>
      <c r="L185" s="14">
        <f>IF($W185="","",IF(INDEX('Per Invoice'!L$2:L$801,$W185)="","",INDEX('Per Invoice'!L$2:L$801,$W185)))</f>
        <v/>
      </c>
      <c r="M185">
        <f>IF($W185="","",IF(INDEX('Per Invoice'!M$2:M$801,$W185)="","",INDEX('Per Invoice'!M$2:M$801,$W185)))</f>
        <v/>
      </c>
      <c r="N185" s="7">
        <f>IF($W185="","",IF(INDEX('Per Invoice'!N$2:N$801,$W185)="","",INDEX('Per Invoice'!N$2:N$801,$W185)))</f>
        <v/>
      </c>
      <c r="O185" s="7">
        <f>IF($W185="","",IF(INDEX('Per Invoice'!O$2:O$801,$W185)="","",INDEX('Per Invoice'!O$2:O$801,$W185)))</f>
        <v/>
      </c>
      <c r="P185">
        <f>IF($W185="","",IF(INDEX('Per Invoice'!P$2:P$801,$W185)="","",INDEX('Per Invoice'!P$2:P$801,$W185)))</f>
        <v/>
      </c>
      <c r="Q185" s="7">
        <f>IF($W185="","",IF(INDEX('Per Invoice'!Q$2:Q$801,$W185)="","",INDEX('Per Invoice'!Q$2:Q$801,$W185)))</f>
        <v/>
      </c>
      <c r="R185" s="7">
        <f>IF($W185="","",IF(INDEX('Per Invoice'!R$2:R$801,$W185)="","",INDEX('Per Invoice'!R$2:R$801,$W185)))</f>
        <v/>
      </c>
      <c r="S185" s="7">
        <f>IF($W185="","",IF(INDEX('Per Invoice'!S$2:S$801,$W185)="","",INDEX('Per Invoice'!S$2:S$801,$W185)))</f>
        <v/>
      </c>
      <c r="T185" s="7">
        <f>IF($W185="","",IF(INDEX('Per Invoice'!T$2:T$801,$W185)="","",INDEX('Per Invoice'!T$2:T$801,$W185)))</f>
        <v/>
      </c>
      <c r="U185" s="7">
        <f>IF($W185="","",IF(INDEX('Per Invoice'!U$2:U$801,$W185)="","",INDEX('Per Invoice'!U$2:U$801,$W185)))</f>
        <v/>
      </c>
      <c r="V185" s="7">
        <f>IF($W185="","",IF(INDEX('Per Invoice'!V$2:V$801,$W185)="","",INDEX('Per Invoice'!V$2:V$801,$W185)))</f>
        <v/>
      </c>
      <c r="W185" s="16">
        <f>IFERROR(MATCH(Settings!$C$31&amp;"|"&amp;ROWS($W$2:$W185),'Per Invoice'!$X$2:$X$801,0),"")</f>
        <v/>
      </c>
    </row>
    <row r="186">
      <c r="A186">
        <f>IF($W186="","",IF(INDEX('Per Invoice'!A$2:A$801,$W186)="","",INDEX('Per Invoice'!A$2:A$801,$W186)))</f>
        <v/>
      </c>
      <c r="B186">
        <f>IF($W186="","",IF(INDEX('Per Invoice'!B$2:B$801,$W186)="","",INDEX('Per Invoice'!B$2:B$801,$W186)))</f>
        <v/>
      </c>
      <c r="C186">
        <f>IF($W186="","",IF(INDEX('Per Invoice'!C$2:C$801,$W186)="","",INDEX('Per Invoice'!C$2:C$801,$W186)))</f>
        <v/>
      </c>
      <c r="D186">
        <f>IF($W186="","",IF(INDEX('Per Invoice'!D$2:D$801,$W186)="","",INDEX('Per Invoice'!D$2:D$801,$W186)))</f>
        <v/>
      </c>
      <c r="E186">
        <f>IF($W186="","",IF(INDEX('Per Invoice'!E$2:E$801,$W186)="","",INDEX('Per Invoice'!E$2:E$801,$W186)))</f>
        <v/>
      </c>
      <c r="F186">
        <f>IF($W186="","",IF(INDEX('Per Invoice'!F$2:F$801,$W186)="","",INDEX('Per Invoice'!F$2:F$801,$W186)))</f>
        <v/>
      </c>
      <c r="G186">
        <f>IF($W186="","",IF(INDEX('Per Invoice'!G$2:G$801,$W186)="","",INDEX('Per Invoice'!G$2:G$801,$W186)))</f>
        <v/>
      </c>
      <c r="H186">
        <f>IF($W186="","",IF(INDEX('Per Invoice'!H$2:H$801,$W186)="","",INDEX('Per Invoice'!H$2:H$801,$W186)))</f>
        <v/>
      </c>
      <c r="I186">
        <f>IF($W186="","",IF(INDEX('Per Invoice'!I$2:I$801,$W186)="","",INDEX('Per Invoice'!I$2:I$801,$W186)))</f>
        <v/>
      </c>
      <c r="J186">
        <f>IF($W186="","",IF(INDEX('Per Invoice'!J$2:J$801,$W186)="","",INDEX('Per Invoice'!J$2:J$801,$W186)))</f>
        <v/>
      </c>
      <c r="K186" s="7">
        <f>IF($W186="","",IF(INDEX('Per Invoice'!K$2:K$801,$W186)="","",INDEX('Per Invoice'!K$2:K$801,$W186)))</f>
        <v/>
      </c>
      <c r="L186" s="14">
        <f>IF($W186="","",IF(INDEX('Per Invoice'!L$2:L$801,$W186)="","",INDEX('Per Invoice'!L$2:L$801,$W186)))</f>
        <v/>
      </c>
      <c r="M186">
        <f>IF($W186="","",IF(INDEX('Per Invoice'!M$2:M$801,$W186)="","",INDEX('Per Invoice'!M$2:M$801,$W186)))</f>
        <v/>
      </c>
      <c r="N186" s="7">
        <f>IF($W186="","",IF(INDEX('Per Invoice'!N$2:N$801,$W186)="","",INDEX('Per Invoice'!N$2:N$801,$W186)))</f>
        <v/>
      </c>
      <c r="O186" s="7">
        <f>IF($W186="","",IF(INDEX('Per Invoice'!O$2:O$801,$W186)="","",INDEX('Per Invoice'!O$2:O$801,$W186)))</f>
        <v/>
      </c>
      <c r="P186">
        <f>IF($W186="","",IF(INDEX('Per Invoice'!P$2:P$801,$W186)="","",INDEX('Per Invoice'!P$2:P$801,$W186)))</f>
        <v/>
      </c>
      <c r="Q186" s="7">
        <f>IF($W186="","",IF(INDEX('Per Invoice'!Q$2:Q$801,$W186)="","",INDEX('Per Invoice'!Q$2:Q$801,$W186)))</f>
        <v/>
      </c>
      <c r="R186" s="7">
        <f>IF($W186="","",IF(INDEX('Per Invoice'!R$2:R$801,$W186)="","",INDEX('Per Invoice'!R$2:R$801,$W186)))</f>
        <v/>
      </c>
      <c r="S186" s="7">
        <f>IF($W186="","",IF(INDEX('Per Invoice'!S$2:S$801,$W186)="","",INDEX('Per Invoice'!S$2:S$801,$W186)))</f>
        <v/>
      </c>
      <c r="T186" s="7">
        <f>IF($W186="","",IF(INDEX('Per Invoice'!T$2:T$801,$W186)="","",INDEX('Per Invoice'!T$2:T$801,$W186)))</f>
        <v/>
      </c>
      <c r="U186" s="7">
        <f>IF($W186="","",IF(INDEX('Per Invoice'!U$2:U$801,$W186)="","",INDEX('Per Invoice'!U$2:U$801,$W186)))</f>
        <v/>
      </c>
      <c r="V186" s="7">
        <f>IF($W186="","",IF(INDEX('Per Invoice'!V$2:V$801,$W186)="","",INDEX('Per Invoice'!V$2:V$801,$W186)))</f>
        <v/>
      </c>
      <c r="W186" s="16">
        <f>IFERROR(MATCH(Settings!$C$31&amp;"|"&amp;ROWS($W$2:$W186),'Per Invoice'!$X$2:$X$801,0),"")</f>
        <v/>
      </c>
    </row>
    <row r="187">
      <c r="A187">
        <f>IF($W187="","",IF(INDEX('Per Invoice'!A$2:A$801,$W187)="","",INDEX('Per Invoice'!A$2:A$801,$W187)))</f>
        <v/>
      </c>
      <c r="B187">
        <f>IF($W187="","",IF(INDEX('Per Invoice'!B$2:B$801,$W187)="","",INDEX('Per Invoice'!B$2:B$801,$W187)))</f>
        <v/>
      </c>
      <c r="C187">
        <f>IF($W187="","",IF(INDEX('Per Invoice'!C$2:C$801,$W187)="","",INDEX('Per Invoice'!C$2:C$801,$W187)))</f>
        <v/>
      </c>
      <c r="D187">
        <f>IF($W187="","",IF(INDEX('Per Invoice'!D$2:D$801,$W187)="","",INDEX('Per Invoice'!D$2:D$801,$W187)))</f>
        <v/>
      </c>
      <c r="E187">
        <f>IF($W187="","",IF(INDEX('Per Invoice'!E$2:E$801,$W187)="","",INDEX('Per Invoice'!E$2:E$801,$W187)))</f>
        <v/>
      </c>
      <c r="F187">
        <f>IF($W187="","",IF(INDEX('Per Invoice'!F$2:F$801,$W187)="","",INDEX('Per Invoice'!F$2:F$801,$W187)))</f>
        <v/>
      </c>
      <c r="G187">
        <f>IF($W187="","",IF(INDEX('Per Invoice'!G$2:G$801,$W187)="","",INDEX('Per Invoice'!G$2:G$801,$W187)))</f>
        <v/>
      </c>
      <c r="H187">
        <f>IF($W187="","",IF(INDEX('Per Invoice'!H$2:H$801,$W187)="","",INDEX('Per Invoice'!H$2:H$801,$W187)))</f>
        <v/>
      </c>
      <c r="I187">
        <f>IF($W187="","",IF(INDEX('Per Invoice'!I$2:I$801,$W187)="","",INDEX('Per Invoice'!I$2:I$801,$W187)))</f>
        <v/>
      </c>
      <c r="J187">
        <f>IF($W187="","",IF(INDEX('Per Invoice'!J$2:J$801,$W187)="","",INDEX('Per Invoice'!J$2:J$801,$W187)))</f>
        <v/>
      </c>
      <c r="K187" s="7">
        <f>IF($W187="","",IF(INDEX('Per Invoice'!K$2:K$801,$W187)="","",INDEX('Per Invoice'!K$2:K$801,$W187)))</f>
        <v/>
      </c>
      <c r="L187" s="14">
        <f>IF($W187="","",IF(INDEX('Per Invoice'!L$2:L$801,$W187)="","",INDEX('Per Invoice'!L$2:L$801,$W187)))</f>
        <v/>
      </c>
      <c r="M187">
        <f>IF($W187="","",IF(INDEX('Per Invoice'!M$2:M$801,$W187)="","",INDEX('Per Invoice'!M$2:M$801,$W187)))</f>
        <v/>
      </c>
      <c r="N187" s="7">
        <f>IF($W187="","",IF(INDEX('Per Invoice'!N$2:N$801,$W187)="","",INDEX('Per Invoice'!N$2:N$801,$W187)))</f>
        <v/>
      </c>
      <c r="O187" s="7">
        <f>IF($W187="","",IF(INDEX('Per Invoice'!O$2:O$801,$W187)="","",INDEX('Per Invoice'!O$2:O$801,$W187)))</f>
        <v/>
      </c>
      <c r="P187">
        <f>IF($W187="","",IF(INDEX('Per Invoice'!P$2:P$801,$W187)="","",INDEX('Per Invoice'!P$2:P$801,$W187)))</f>
        <v/>
      </c>
      <c r="Q187" s="7">
        <f>IF($W187="","",IF(INDEX('Per Invoice'!Q$2:Q$801,$W187)="","",INDEX('Per Invoice'!Q$2:Q$801,$W187)))</f>
        <v/>
      </c>
      <c r="R187" s="7">
        <f>IF($W187="","",IF(INDEX('Per Invoice'!R$2:R$801,$W187)="","",INDEX('Per Invoice'!R$2:R$801,$W187)))</f>
        <v/>
      </c>
      <c r="S187" s="7">
        <f>IF($W187="","",IF(INDEX('Per Invoice'!S$2:S$801,$W187)="","",INDEX('Per Invoice'!S$2:S$801,$W187)))</f>
        <v/>
      </c>
      <c r="T187" s="7">
        <f>IF($W187="","",IF(INDEX('Per Invoice'!T$2:T$801,$W187)="","",INDEX('Per Invoice'!T$2:T$801,$W187)))</f>
        <v/>
      </c>
      <c r="U187" s="7">
        <f>IF($W187="","",IF(INDEX('Per Invoice'!U$2:U$801,$W187)="","",INDEX('Per Invoice'!U$2:U$801,$W187)))</f>
        <v/>
      </c>
      <c r="V187" s="7">
        <f>IF($W187="","",IF(INDEX('Per Invoice'!V$2:V$801,$W187)="","",INDEX('Per Invoice'!V$2:V$801,$W187)))</f>
        <v/>
      </c>
      <c r="W187" s="16">
        <f>IFERROR(MATCH(Settings!$C$31&amp;"|"&amp;ROWS($W$2:$W187),'Per Invoice'!$X$2:$X$801,0),"")</f>
        <v/>
      </c>
    </row>
    <row r="188">
      <c r="A188">
        <f>IF($W188="","",IF(INDEX('Per Invoice'!A$2:A$801,$W188)="","",INDEX('Per Invoice'!A$2:A$801,$W188)))</f>
        <v/>
      </c>
      <c r="B188">
        <f>IF($W188="","",IF(INDEX('Per Invoice'!B$2:B$801,$W188)="","",INDEX('Per Invoice'!B$2:B$801,$W188)))</f>
        <v/>
      </c>
      <c r="C188">
        <f>IF($W188="","",IF(INDEX('Per Invoice'!C$2:C$801,$W188)="","",INDEX('Per Invoice'!C$2:C$801,$W188)))</f>
        <v/>
      </c>
      <c r="D188">
        <f>IF($W188="","",IF(INDEX('Per Invoice'!D$2:D$801,$W188)="","",INDEX('Per Invoice'!D$2:D$801,$W188)))</f>
        <v/>
      </c>
      <c r="E188">
        <f>IF($W188="","",IF(INDEX('Per Invoice'!E$2:E$801,$W188)="","",INDEX('Per Invoice'!E$2:E$801,$W188)))</f>
        <v/>
      </c>
      <c r="F188">
        <f>IF($W188="","",IF(INDEX('Per Invoice'!F$2:F$801,$W188)="","",INDEX('Per Invoice'!F$2:F$801,$W188)))</f>
        <v/>
      </c>
      <c r="G188">
        <f>IF($W188="","",IF(INDEX('Per Invoice'!G$2:G$801,$W188)="","",INDEX('Per Invoice'!G$2:G$801,$W188)))</f>
        <v/>
      </c>
      <c r="H188">
        <f>IF($W188="","",IF(INDEX('Per Invoice'!H$2:H$801,$W188)="","",INDEX('Per Invoice'!H$2:H$801,$W188)))</f>
        <v/>
      </c>
      <c r="I188">
        <f>IF($W188="","",IF(INDEX('Per Invoice'!I$2:I$801,$W188)="","",INDEX('Per Invoice'!I$2:I$801,$W188)))</f>
        <v/>
      </c>
      <c r="J188">
        <f>IF($W188="","",IF(INDEX('Per Invoice'!J$2:J$801,$W188)="","",INDEX('Per Invoice'!J$2:J$801,$W188)))</f>
        <v/>
      </c>
      <c r="K188" s="7">
        <f>IF($W188="","",IF(INDEX('Per Invoice'!K$2:K$801,$W188)="","",INDEX('Per Invoice'!K$2:K$801,$W188)))</f>
        <v/>
      </c>
      <c r="L188" s="14">
        <f>IF($W188="","",IF(INDEX('Per Invoice'!L$2:L$801,$W188)="","",INDEX('Per Invoice'!L$2:L$801,$W188)))</f>
        <v/>
      </c>
      <c r="M188">
        <f>IF($W188="","",IF(INDEX('Per Invoice'!M$2:M$801,$W188)="","",INDEX('Per Invoice'!M$2:M$801,$W188)))</f>
        <v/>
      </c>
      <c r="N188" s="7">
        <f>IF($W188="","",IF(INDEX('Per Invoice'!N$2:N$801,$W188)="","",INDEX('Per Invoice'!N$2:N$801,$W188)))</f>
        <v/>
      </c>
      <c r="O188" s="7">
        <f>IF($W188="","",IF(INDEX('Per Invoice'!O$2:O$801,$W188)="","",INDEX('Per Invoice'!O$2:O$801,$W188)))</f>
        <v/>
      </c>
      <c r="P188">
        <f>IF($W188="","",IF(INDEX('Per Invoice'!P$2:P$801,$W188)="","",INDEX('Per Invoice'!P$2:P$801,$W188)))</f>
        <v/>
      </c>
      <c r="Q188" s="7">
        <f>IF($W188="","",IF(INDEX('Per Invoice'!Q$2:Q$801,$W188)="","",INDEX('Per Invoice'!Q$2:Q$801,$W188)))</f>
        <v/>
      </c>
      <c r="R188" s="7">
        <f>IF($W188="","",IF(INDEX('Per Invoice'!R$2:R$801,$W188)="","",INDEX('Per Invoice'!R$2:R$801,$W188)))</f>
        <v/>
      </c>
      <c r="S188" s="7">
        <f>IF($W188="","",IF(INDEX('Per Invoice'!S$2:S$801,$W188)="","",INDEX('Per Invoice'!S$2:S$801,$W188)))</f>
        <v/>
      </c>
      <c r="T188" s="7">
        <f>IF($W188="","",IF(INDEX('Per Invoice'!T$2:T$801,$W188)="","",INDEX('Per Invoice'!T$2:T$801,$W188)))</f>
        <v/>
      </c>
      <c r="U188" s="7">
        <f>IF($W188="","",IF(INDEX('Per Invoice'!U$2:U$801,$W188)="","",INDEX('Per Invoice'!U$2:U$801,$W188)))</f>
        <v/>
      </c>
      <c r="V188" s="7">
        <f>IF($W188="","",IF(INDEX('Per Invoice'!V$2:V$801,$W188)="","",INDEX('Per Invoice'!V$2:V$801,$W188)))</f>
        <v/>
      </c>
      <c r="W188" s="16">
        <f>IFERROR(MATCH(Settings!$C$31&amp;"|"&amp;ROWS($W$2:$W188),'Per Invoice'!$X$2:$X$801,0),"")</f>
        <v/>
      </c>
    </row>
    <row r="189">
      <c r="A189">
        <f>IF($W189="","",IF(INDEX('Per Invoice'!A$2:A$801,$W189)="","",INDEX('Per Invoice'!A$2:A$801,$W189)))</f>
        <v/>
      </c>
      <c r="B189">
        <f>IF($W189="","",IF(INDEX('Per Invoice'!B$2:B$801,$W189)="","",INDEX('Per Invoice'!B$2:B$801,$W189)))</f>
        <v/>
      </c>
      <c r="C189">
        <f>IF($W189="","",IF(INDEX('Per Invoice'!C$2:C$801,$W189)="","",INDEX('Per Invoice'!C$2:C$801,$W189)))</f>
        <v/>
      </c>
      <c r="D189">
        <f>IF($W189="","",IF(INDEX('Per Invoice'!D$2:D$801,$W189)="","",INDEX('Per Invoice'!D$2:D$801,$W189)))</f>
        <v/>
      </c>
      <c r="E189">
        <f>IF($W189="","",IF(INDEX('Per Invoice'!E$2:E$801,$W189)="","",INDEX('Per Invoice'!E$2:E$801,$W189)))</f>
        <v/>
      </c>
      <c r="F189">
        <f>IF($W189="","",IF(INDEX('Per Invoice'!F$2:F$801,$W189)="","",INDEX('Per Invoice'!F$2:F$801,$W189)))</f>
        <v/>
      </c>
      <c r="G189">
        <f>IF($W189="","",IF(INDEX('Per Invoice'!G$2:G$801,$W189)="","",INDEX('Per Invoice'!G$2:G$801,$W189)))</f>
        <v/>
      </c>
      <c r="H189">
        <f>IF($W189="","",IF(INDEX('Per Invoice'!H$2:H$801,$W189)="","",INDEX('Per Invoice'!H$2:H$801,$W189)))</f>
        <v/>
      </c>
      <c r="I189">
        <f>IF($W189="","",IF(INDEX('Per Invoice'!I$2:I$801,$W189)="","",INDEX('Per Invoice'!I$2:I$801,$W189)))</f>
        <v/>
      </c>
      <c r="J189">
        <f>IF($W189="","",IF(INDEX('Per Invoice'!J$2:J$801,$W189)="","",INDEX('Per Invoice'!J$2:J$801,$W189)))</f>
        <v/>
      </c>
      <c r="K189" s="7">
        <f>IF($W189="","",IF(INDEX('Per Invoice'!K$2:K$801,$W189)="","",INDEX('Per Invoice'!K$2:K$801,$W189)))</f>
        <v/>
      </c>
      <c r="L189" s="14">
        <f>IF($W189="","",IF(INDEX('Per Invoice'!L$2:L$801,$W189)="","",INDEX('Per Invoice'!L$2:L$801,$W189)))</f>
        <v/>
      </c>
      <c r="M189">
        <f>IF($W189="","",IF(INDEX('Per Invoice'!M$2:M$801,$W189)="","",INDEX('Per Invoice'!M$2:M$801,$W189)))</f>
        <v/>
      </c>
      <c r="N189" s="7">
        <f>IF($W189="","",IF(INDEX('Per Invoice'!N$2:N$801,$W189)="","",INDEX('Per Invoice'!N$2:N$801,$W189)))</f>
        <v/>
      </c>
      <c r="O189" s="7">
        <f>IF($W189="","",IF(INDEX('Per Invoice'!O$2:O$801,$W189)="","",INDEX('Per Invoice'!O$2:O$801,$W189)))</f>
        <v/>
      </c>
      <c r="P189">
        <f>IF($W189="","",IF(INDEX('Per Invoice'!P$2:P$801,$W189)="","",INDEX('Per Invoice'!P$2:P$801,$W189)))</f>
        <v/>
      </c>
      <c r="Q189" s="7">
        <f>IF($W189="","",IF(INDEX('Per Invoice'!Q$2:Q$801,$W189)="","",INDEX('Per Invoice'!Q$2:Q$801,$W189)))</f>
        <v/>
      </c>
      <c r="R189" s="7">
        <f>IF($W189="","",IF(INDEX('Per Invoice'!R$2:R$801,$W189)="","",INDEX('Per Invoice'!R$2:R$801,$W189)))</f>
        <v/>
      </c>
      <c r="S189" s="7">
        <f>IF($W189="","",IF(INDEX('Per Invoice'!S$2:S$801,$W189)="","",INDEX('Per Invoice'!S$2:S$801,$W189)))</f>
        <v/>
      </c>
      <c r="T189" s="7">
        <f>IF($W189="","",IF(INDEX('Per Invoice'!T$2:T$801,$W189)="","",INDEX('Per Invoice'!T$2:T$801,$W189)))</f>
        <v/>
      </c>
      <c r="U189" s="7">
        <f>IF($W189="","",IF(INDEX('Per Invoice'!U$2:U$801,$W189)="","",INDEX('Per Invoice'!U$2:U$801,$W189)))</f>
        <v/>
      </c>
      <c r="V189" s="7">
        <f>IF($W189="","",IF(INDEX('Per Invoice'!V$2:V$801,$W189)="","",INDEX('Per Invoice'!V$2:V$801,$W189)))</f>
        <v/>
      </c>
      <c r="W189" s="16">
        <f>IFERROR(MATCH(Settings!$C$31&amp;"|"&amp;ROWS($W$2:$W189),'Per Invoice'!$X$2:$X$801,0),"")</f>
        <v/>
      </c>
    </row>
    <row r="190">
      <c r="A190">
        <f>IF($W190="","",IF(INDEX('Per Invoice'!A$2:A$801,$W190)="","",INDEX('Per Invoice'!A$2:A$801,$W190)))</f>
        <v/>
      </c>
      <c r="B190">
        <f>IF($W190="","",IF(INDEX('Per Invoice'!B$2:B$801,$W190)="","",INDEX('Per Invoice'!B$2:B$801,$W190)))</f>
        <v/>
      </c>
      <c r="C190">
        <f>IF($W190="","",IF(INDEX('Per Invoice'!C$2:C$801,$W190)="","",INDEX('Per Invoice'!C$2:C$801,$W190)))</f>
        <v/>
      </c>
      <c r="D190">
        <f>IF($W190="","",IF(INDEX('Per Invoice'!D$2:D$801,$W190)="","",INDEX('Per Invoice'!D$2:D$801,$W190)))</f>
        <v/>
      </c>
      <c r="E190">
        <f>IF($W190="","",IF(INDEX('Per Invoice'!E$2:E$801,$W190)="","",INDEX('Per Invoice'!E$2:E$801,$W190)))</f>
        <v/>
      </c>
      <c r="F190">
        <f>IF($W190="","",IF(INDEX('Per Invoice'!F$2:F$801,$W190)="","",INDEX('Per Invoice'!F$2:F$801,$W190)))</f>
        <v/>
      </c>
      <c r="G190">
        <f>IF($W190="","",IF(INDEX('Per Invoice'!G$2:G$801,$W190)="","",INDEX('Per Invoice'!G$2:G$801,$W190)))</f>
        <v/>
      </c>
      <c r="H190">
        <f>IF($W190="","",IF(INDEX('Per Invoice'!H$2:H$801,$W190)="","",INDEX('Per Invoice'!H$2:H$801,$W190)))</f>
        <v/>
      </c>
      <c r="I190">
        <f>IF($W190="","",IF(INDEX('Per Invoice'!I$2:I$801,$W190)="","",INDEX('Per Invoice'!I$2:I$801,$W190)))</f>
        <v/>
      </c>
      <c r="J190">
        <f>IF($W190="","",IF(INDEX('Per Invoice'!J$2:J$801,$W190)="","",INDEX('Per Invoice'!J$2:J$801,$W190)))</f>
        <v/>
      </c>
      <c r="K190" s="7">
        <f>IF($W190="","",IF(INDEX('Per Invoice'!K$2:K$801,$W190)="","",INDEX('Per Invoice'!K$2:K$801,$W190)))</f>
        <v/>
      </c>
      <c r="L190" s="14">
        <f>IF($W190="","",IF(INDEX('Per Invoice'!L$2:L$801,$W190)="","",INDEX('Per Invoice'!L$2:L$801,$W190)))</f>
        <v/>
      </c>
      <c r="M190">
        <f>IF($W190="","",IF(INDEX('Per Invoice'!M$2:M$801,$W190)="","",INDEX('Per Invoice'!M$2:M$801,$W190)))</f>
        <v/>
      </c>
      <c r="N190" s="7">
        <f>IF($W190="","",IF(INDEX('Per Invoice'!N$2:N$801,$W190)="","",INDEX('Per Invoice'!N$2:N$801,$W190)))</f>
        <v/>
      </c>
      <c r="O190" s="7">
        <f>IF($W190="","",IF(INDEX('Per Invoice'!O$2:O$801,$W190)="","",INDEX('Per Invoice'!O$2:O$801,$W190)))</f>
        <v/>
      </c>
      <c r="P190">
        <f>IF($W190="","",IF(INDEX('Per Invoice'!P$2:P$801,$W190)="","",INDEX('Per Invoice'!P$2:P$801,$W190)))</f>
        <v/>
      </c>
      <c r="Q190" s="7">
        <f>IF($W190="","",IF(INDEX('Per Invoice'!Q$2:Q$801,$W190)="","",INDEX('Per Invoice'!Q$2:Q$801,$W190)))</f>
        <v/>
      </c>
      <c r="R190" s="7">
        <f>IF($W190="","",IF(INDEX('Per Invoice'!R$2:R$801,$W190)="","",INDEX('Per Invoice'!R$2:R$801,$W190)))</f>
        <v/>
      </c>
      <c r="S190" s="7">
        <f>IF($W190="","",IF(INDEX('Per Invoice'!S$2:S$801,$W190)="","",INDEX('Per Invoice'!S$2:S$801,$W190)))</f>
        <v/>
      </c>
      <c r="T190" s="7">
        <f>IF($W190="","",IF(INDEX('Per Invoice'!T$2:T$801,$W190)="","",INDEX('Per Invoice'!T$2:T$801,$W190)))</f>
        <v/>
      </c>
      <c r="U190" s="7">
        <f>IF($W190="","",IF(INDEX('Per Invoice'!U$2:U$801,$W190)="","",INDEX('Per Invoice'!U$2:U$801,$W190)))</f>
        <v/>
      </c>
      <c r="V190" s="7">
        <f>IF($W190="","",IF(INDEX('Per Invoice'!V$2:V$801,$W190)="","",INDEX('Per Invoice'!V$2:V$801,$W190)))</f>
        <v/>
      </c>
      <c r="W190" s="16">
        <f>IFERROR(MATCH(Settings!$C$31&amp;"|"&amp;ROWS($W$2:$W190),'Per Invoice'!$X$2:$X$801,0),"")</f>
        <v/>
      </c>
    </row>
    <row r="191">
      <c r="A191">
        <f>IF($W191="","",IF(INDEX('Per Invoice'!A$2:A$801,$W191)="","",INDEX('Per Invoice'!A$2:A$801,$W191)))</f>
        <v/>
      </c>
      <c r="B191">
        <f>IF($W191="","",IF(INDEX('Per Invoice'!B$2:B$801,$W191)="","",INDEX('Per Invoice'!B$2:B$801,$W191)))</f>
        <v/>
      </c>
      <c r="C191">
        <f>IF($W191="","",IF(INDEX('Per Invoice'!C$2:C$801,$W191)="","",INDEX('Per Invoice'!C$2:C$801,$W191)))</f>
        <v/>
      </c>
      <c r="D191">
        <f>IF($W191="","",IF(INDEX('Per Invoice'!D$2:D$801,$W191)="","",INDEX('Per Invoice'!D$2:D$801,$W191)))</f>
        <v/>
      </c>
      <c r="E191">
        <f>IF($W191="","",IF(INDEX('Per Invoice'!E$2:E$801,$W191)="","",INDEX('Per Invoice'!E$2:E$801,$W191)))</f>
        <v/>
      </c>
      <c r="F191">
        <f>IF($W191="","",IF(INDEX('Per Invoice'!F$2:F$801,$W191)="","",INDEX('Per Invoice'!F$2:F$801,$W191)))</f>
        <v/>
      </c>
      <c r="G191">
        <f>IF($W191="","",IF(INDEX('Per Invoice'!G$2:G$801,$W191)="","",INDEX('Per Invoice'!G$2:G$801,$W191)))</f>
        <v/>
      </c>
      <c r="H191">
        <f>IF($W191="","",IF(INDEX('Per Invoice'!H$2:H$801,$W191)="","",INDEX('Per Invoice'!H$2:H$801,$W191)))</f>
        <v/>
      </c>
      <c r="I191">
        <f>IF($W191="","",IF(INDEX('Per Invoice'!I$2:I$801,$W191)="","",INDEX('Per Invoice'!I$2:I$801,$W191)))</f>
        <v/>
      </c>
      <c r="J191">
        <f>IF($W191="","",IF(INDEX('Per Invoice'!J$2:J$801,$W191)="","",INDEX('Per Invoice'!J$2:J$801,$W191)))</f>
        <v/>
      </c>
      <c r="K191" s="7">
        <f>IF($W191="","",IF(INDEX('Per Invoice'!K$2:K$801,$W191)="","",INDEX('Per Invoice'!K$2:K$801,$W191)))</f>
        <v/>
      </c>
      <c r="L191" s="14">
        <f>IF($W191="","",IF(INDEX('Per Invoice'!L$2:L$801,$W191)="","",INDEX('Per Invoice'!L$2:L$801,$W191)))</f>
        <v/>
      </c>
      <c r="M191">
        <f>IF($W191="","",IF(INDEX('Per Invoice'!M$2:M$801,$W191)="","",INDEX('Per Invoice'!M$2:M$801,$W191)))</f>
        <v/>
      </c>
      <c r="N191" s="7">
        <f>IF($W191="","",IF(INDEX('Per Invoice'!N$2:N$801,$W191)="","",INDEX('Per Invoice'!N$2:N$801,$W191)))</f>
        <v/>
      </c>
      <c r="O191" s="7">
        <f>IF($W191="","",IF(INDEX('Per Invoice'!O$2:O$801,$W191)="","",INDEX('Per Invoice'!O$2:O$801,$W191)))</f>
        <v/>
      </c>
      <c r="P191">
        <f>IF($W191="","",IF(INDEX('Per Invoice'!P$2:P$801,$W191)="","",INDEX('Per Invoice'!P$2:P$801,$W191)))</f>
        <v/>
      </c>
      <c r="Q191" s="7">
        <f>IF($W191="","",IF(INDEX('Per Invoice'!Q$2:Q$801,$W191)="","",INDEX('Per Invoice'!Q$2:Q$801,$W191)))</f>
        <v/>
      </c>
      <c r="R191" s="7">
        <f>IF($W191="","",IF(INDEX('Per Invoice'!R$2:R$801,$W191)="","",INDEX('Per Invoice'!R$2:R$801,$W191)))</f>
        <v/>
      </c>
      <c r="S191" s="7">
        <f>IF($W191="","",IF(INDEX('Per Invoice'!S$2:S$801,$W191)="","",INDEX('Per Invoice'!S$2:S$801,$W191)))</f>
        <v/>
      </c>
      <c r="T191" s="7">
        <f>IF($W191="","",IF(INDEX('Per Invoice'!T$2:T$801,$W191)="","",INDEX('Per Invoice'!T$2:T$801,$W191)))</f>
        <v/>
      </c>
      <c r="U191" s="7">
        <f>IF($W191="","",IF(INDEX('Per Invoice'!U$2:U$801,$W191)="","",INDEX('Per Invoice'!U$2:U$801,$W191)))</f>
        <v/>
      </c>
      <c r="V191" s="7">
        <f>IF($W191="","",IF(INDEX('Per Invoice'!V$2:V$801,$W191)="","",INDEX('Per Invoice'!V$2:V$801,$W191)))</f>
        <v/>
      </c>
      <c r="W191" s="16">
        <f>IFERROR(MATCH(Settings!$C$31&amp;"|"&amp;ROWS($W$2:$W191),'Per Invoice'!$X$2:$X$801,0),"")</f>
        <v/>
      </c>
    </row>
    <row r="192">
      <c r="A192">
        <f>IF($W192="","",IF(INDEX('Per Invoice'!A$2:A$801,$W192)="","",INDEX('Per Invoice'!A$2:A$801,$W192)))</f>
        <v/>
      </c>
      <c r="B192">
        <f>IF($W192="","",IF(INDEX('Per Invoice'!B$2:B$801,$W192)="","",INDEX('Per Invoice'!B$2:B$801,$W192)))</f>
        <v/>
      </c>
      <c r="C192">
        <f>IF($W192="","",IF(INDEX('Per Invoice'!C$2:C$801,$W192)="","",INDEX('Per Invoice'!C$2:C$801,$W192)))</f>
        <v/>
      </c>
      <c r="D192">
        <f>IF($W192="","",IF(INDEX('Per Invoice'!D$2:D$801,$W192)="","",INDEX('Per Invoice'!D$2:D$801,$W192)))</f>
        <v/>
      </c>
      <c r="E192">
        <f>IF($W192="","",IF(INDEX('Per Invoice'!E$2:E$801,$W192)="","",INDEX('Per Invoice'!E$2:E$801,$W192)))</f>
        <v/>
      </c>
      <c r="F192">
        <f>IF($W192="","",IF(INDEX('Per Invoice'!F$2:F$801,$W192)="","",INDEX('Per Invoice'!F$2:F$801,$W192)))</f>
        <v/>
      </c>
      <c r="G192">
        <f>IF($W192="","",IF(INDEX('Per Invoice'!G$2:G$801,$W192)="","",INDEX('Per Invoice'!G$2:G$801,$W192)))</f>
        <v/>
      </c>
      <c r="H192">
        <f>IF($W192="","",IF(INDEX('Per Invoice'!H$2:H$801,$W192)="","",INDEX('Per Invoice'!H$2:H$801,$W192)))</f>
        <v/>
      </c>
      <c r="I192">
        <f>IF($W192="","",IF(INDEX('Per Invoice'!I$2:I$801,$W192)="","",INDEX('Per Invoice'!I$2:I$801,$W192)))</f>
        <v/>
      </c>
      <c r="J192">
        <f>IF($W192="","",IF(INDEX('Per Invoice'!J$2:J$801,$W192)="","",INDEX('Per Invoice'!J$2:J$801,$W192)))</f>
        <v/>
      </c>
      <c r="K192" s="7">
        <f>IF($W192="","",IF(INDEX('Per Invoice'!K$2:K$801,$W192)="","",INDEX('Per Invoice'!K$2:K$801,$W192)))</f>
        <v/>
      </c>
      <c r="L192" s="14">
        <f>IF($W192="","",IF(INDEX('Per Invoice'!L$2:L$801,$W192)="","",INDEX('Per Invoice'!L$2:L$801,$W192)))</f>
        <v/>
      </c>
      <c r="M192">
        <f>IF($W192="","",IF(INDEX('Per Invoice'!M$2:M$801,$W192)="","",INDEX('Per Invoice'!M$2:M$801,$W192)))</f>
        <v/>
      </c>
      <c r="N192" s="7">
        <f>IF($W192="","",IF(INDEX('Per Invoice'!N$2:N$801,$W192)="","",INDEX('Per Invoice'!N$2:N$801,$W192)))</f>
        <v/>
      </c>
      <c r="O192" s="7">
        <f>IF($W192="","",IF(INDEX('Per Invoice'!O$2:O$801,$W192)="","",INDEX('Per Invoice'!O$2:O$801,$W192)))</f>
        <v/>
      </c>
      <c r="P192">
        <f>IF($W192="","",IF(INDEX('Per Invoice'!P$2:P$801,$W192)="","",INDEX('Per Invoice'!P$2:P$801,$W192)))</f>
        <v/>
      </c>
      <c r="Q192" s="7">
        <f>IF($W192="","",IF(INDEX('Per Invoice'!Q$2:Q$801,$W192)="","",INDEX('Per Invoice'!Q$2:Q$801,$W192)))</f>
        <v/>
      </c>
      <c r="R192" s="7">
        <f>IF($W192="","",IF(INDEX('Per Invoice'!R$2:R$801,$W192)="","",INDEX('Per Invoice'!R$2:R$801,$W192)))</f>
        <v/>
      </c>
      <c r="S192" s="7">
        <f>IF($W192="","",IF(INDEX('Per Invoice'!S$2:S$801,$W192)="","",INDEX('Per Invoice'!S$2:S$801,$W192)))</f>
        <v/>
      </c>
      <c r="T192" s="7">
        <f>IF($W192="","",IF(INDEX('Per Invoice'!T$2:T$801,$W192)="","",INDEX('Per Invoice'!T$2:T$801,$W192)))</f>
        <v/>
      </c>
      <c r="U192" s="7">
        <f>IF($W192="","",IF(INDEX('Per Invoice'!U$2:U$801,$W192)="","",INDEX('Per Invoice'!U$2:U$801,$W192)))</f>
        <v/>
      </c>
      <c r="V192" s="7">
        <f>IF($W192="","",IF(INDEX('Per Invoice'!V$2:V$801,$W192)="","",INDEX('Per Invoice'!V$2:V$801,$W192)))</f>
        <v/>
      </c>
      <c r="W192" s="16">
        <f>IFERROR(MATCH(Settings!$C$31&amp;"|"&amp;ROWS($W$2:$W192),'Per Invoice'!$X$2:$X$801,0),"")</f>
        <v/>
      </c>
    </row>
    <row r="193">
      <c r="A193">
        <f>IF($W193="","",IF(INDEX('Per Invoice'!A$2:A$801,$W193)="","",INDEX('Per Invoice'!A$2:A$801,$W193)))</f>
        <v/>
      </c>
      <c r="B193">
        <f>IF($W193="","",IF(INDEX('Per Invoice'!B$2:B$801,$W193)="","",INDEX('Per Invoice'!B$2:B$801,$W193)))</f>
        <v/>
      </c>
      <c r="C193">
        <f>IF($W193="","",IF(INDEX('Per Invoice'!C$2:C$801,$W193)="","",INDEX('Per Invoice'!C$2:C$801,$W193)))</f>
        <v/>
      </c>
      <c r="D193">
        <f>IF($W193="","",IF(INDEX('Per Invoice'!D$2:D$801,$W193)="","",INDEX('Per Invoice'!D$2:D$801,$W193)))</f>
        <v/>
      </c>
      <c r="E193">
        <f>IF($W193="","",IF(INDEX('Per Invoice'!E$2:E$801,$W193)="","",INDEX('Per Invoice'!E$2:E$801,$W193)))</f>
        <v/>
      </c>
      <c r="F193">
        <f>IF($W193="","",IF(INDEX('Per Invoice'!F$2:F$801,$W193)="","",INDEX('Per Invoice'!F$2:F$801,$W193)))</f>
        <v/>
      </c>
      <c r="G193">
        <f>IF($W193="","",IF(INDEX('Per Invoice'!G$2:G$801,$W193)="","",INDEX('Per Invoice'!G$2:G$801,$W193)))</f>
        <v/>
      </c>
      <c r="H193">
        <f>IF($W193="","",IF(INDEX('Per Invoice'!H$2:H$801,$W193)="","",INDEX('Per Invoice'!H$2:H$801,$W193)))</f>
        <v/>
      </c>
      <c r="I193">
        <f>IF($W193="","",IF(INDEX('Per Invoice'!I$2:I$801,$W193)="","",INDEX('Per Invoice'!I$2:I$801,$W193)))</f>
        <v/>
      </c>
      <c r="J193">
        <f>IF($W193="","",IF(INDEX('Per Invoice'!J$2:J$801,$W193)="","",INDEX('Per Invoice'!J$2:J$801,$W193)))</f>
        <v/>
      </c>
      <c r="K193" s="7">
        <f>IF($W193="","",IF(INDEX('Per Invoice'!K$2:K$801,$W193)="","",INDEX('Per Invoice'!K$2:K$801,$W193)))</f>
        <v/>
      </c>
      <c r="L193" s="14">
        <f>IF($W193="","",IF(INDEX('Per Invoice'!L$2:L$801,$W193)="","",INDEX('Per Invoice'!L$2:L$801,$W193)))</f>
        <v/>
      </c>
      <c r="M193">
        <f>IF($W193="","",IF(INDEX('Per Invoice'!M$2:M$801,$W193)="","",INDEX('Per Invoice'!M$2:M$801,$W193)))</f>
        <v/>
      </c>
      <c r="N193" s="7">
        <f>IF($W193="","",IF(INDEX('Per Invoice'!N$2:N$801,$W193)="","",INDEX('Per Invoice'!N$2:N$801,$W193)))</f>
        <v/>
      </c>
      <c r="O193" s="7">
        <f>IF($W193="","",IF(INDEX('Per Invoice'!O$2:O$801,$W193)="","",INDEX('Per Invoice'!O$2:O$801,$W193)))</f>
        <v/>
      </c>
      <c r="P193">
        <f>IF($W193="","",IF(INDEX('Per Invoice'!P$2:P$801,$W193)="","",INDEX('Per Invoice'!P$2:P$801,$W193)))</f>
        <v/>
      </c>
      <c r="Q193" s="7">
        <f>IF($W193="","",IF(INDEX('Per Invoice'!Q$2:Q$801,$W193)="","",INDEX('Per Invoice'!Q$2:Q$801,$W193)))</f>
        <v/>
      </c>
      <c r="R193" s="7">
        <f>IF($W193="","",IF(INDEX('Per Invoice'!R$2:R$801,$W193)="","",INDEX('Per Invoice'!R$2:R$801,$W193)))</f>
        <v/>
      </c>
      <c r="S193" s="7">
        <f>IF($W193="","",IF(INDEX('Per Invoice'!S$2:S$801,$W193)="","",INDEX('Per Invoice'!S$2:S$801,$W193)))</f>
        <v/>
      </c>
      <c r="T193" s="7">
        <f>IF($W193="","",IF(INDEX('Per Invoice'!T$2:T$801,$W193)="","",INDEX('Per Invoice'!T$2:T$801,$W193)))</f>
        <v/>
      </c>
      <c r="U193" s="7">
        <f>IF($W193="","",IF(INDEX('Per Invoice'!U$2:U$801,$W193)="","",INDEX('Per Invoice'!U$2:U$801,$W193)))</f>
        <v/>
      </c>
      <c r="V193" s="7">
        <f>IF($W193="","",IF(INDEX('Per Invoice'!V$2:V$801,$W193)="","",INDEX('Per Invoice'!V$2:V$801,$W193)))</f>
        <v/>
      </c>
      <c r="W193" s="16">
        <f>IFERROR(MATCH(Settings!$C$31&amp;"|"&amp;ROWS($W$2:$W193),'Per Invoice'!$X$2:$X$801,0),"")</f>
        <v/>
      </c>
    </row>
    <row r="194">
      <c r="A194">
        <f>IF($W194="","",IF(INDEX('Per Invoice'!A$2:A$801,$W194)="","",INDEX('Per Invoice'!A$2:A$801,$W194)))</f>
        <v/>
      </c>
      <c r="B194">
        <f>IF($W194="","",IF(INDEX('Per Invoice'!B$2:B$801,$W194)="","",INDEX('Per Invoice'!B$2:B$801,$W194)))</f>
        <v/>
      </c>
      <c r="C194">
        <f>IF($W194="","",IF(INDEX('Per Invoice'!C$2:C$801,$W194)="","",INDEX('Per Invoice'!C$2:C$801,$W194)))</f>
        <v/>
      </c>
      <c r="D194">
        <f>IF($W194="","",IF(INDEX('Per Invoice'!D$2:D$801,$W194)="","",INDEX('Per Invoice'!D$2:D$801,$W194)))</f>
        <v/>
      </c>
      <c r="E194">
        <f>IF($W194="","",IF(INDEX('Per Invoice'!E$2:E$801,$W194)="","",INDEX('Per Invoice'!E$2:E$801,$W194)))</f>
        <v/>
      </c>
      <c r="F194">
        <f>IF($W194="","",IF(INDEX('Per Invoice'!F$2:F$801,$W194)="","",INDEX('Per Invoice'!F$2:F$801,$W194)))</f>
        <v/>
      </c>
      <c r="G194">
        <f>IF($W194="","",IF(INDEX('Per Invoice'!G$2:G$801,$W194)="","",INDEX('Per Invoice'!G$2:G$801,$W194)))</f>
        <v/>
      </c>
      <c r="H194">
        <f>IF($W194="","",IF(INDEX('Per Invoice'!H$2:H$801,$W194)="","",INDEX('Per Invoice'!H$2:H$801,$W194)))</f>
        <v/>
      </c>
      <c r="I194">
        <f>IF($W194="","",IF(INDEX('Per Invoice'!I$2:I$801,$W194)="","",INDEX('Per Invoice'!I$2:I$801,$W194)))</f>
        <v/>
      </c>
      <c r="J194">
        <f>IF($W194="","",IF(INDEX('Per Invoice'!J$2:J$801,$W194)="","",INDEX('Per Invoice'!J$2:J$801,$W194)))</f>
        <v/>
      </c>
      <c r="K194" s="7">
        <f>IF($W194="","",IF(INDEX('Per Invoice'!K$2:K$801,$W194)="","",INDEX('Per Invoice'!K$2:K$801,$W194)))</f>
        <v/>
      </c>
      <c r="L194" s="14">
        <f>IF($W194="","",IF(INDEX('Per Invoice'!L$2:L$801,$W194)="","",INDEX('Per Invoice'!L$2:L$801,$W194)))</f>
        <v/>
      </c>
      <c r="M194">
        <f>IF($W194="","",IF(INDEX('Per Invoice'!M$2:M$801,$W194)="","",INDEX('Per Invoice'!M$2:M$801,$W194)))</f>
        <v/>
      </c>
      <c r="N194" s="7">
        <f>IF($W194="","",IF(INDEX('Per Invoice'!N$2:N$801,$W194)="","",INDEX('Per Invoice'!N$2:N$801,$W194)))</f>
        <v/>
      </c>
      <c r="O194" s="7">
        <f>IF($W194="","",IF(INDEX('Per Invoice'!O$2:O$801,$W194)="","",INDEX('Per Invoice'!O$2:O$801,$W194)))</f>
        <v/>
      </c>
      <c r="P194">
        <f>IF($W194="","",IF(INDEX('Per Invoice'!P$2:P$801,$W194)="","",INDEX('Per Invoice'!P$2:P$801,$W194)))</f>
        <v/>
      </c>
      <c r="Q194" s="7">
        <f>IF($W194="","",IF(INDEX('Per Invoice'!Q$2:Q$801,$W194)="","",INDEX('Per Invoice'!Q$2:Q$801,$W194)))</f>
        <v/>
      </c>
      <c r="R194" s="7">
        <f>IF($W194="","",IF(INDEX('Per Invoice'!R$2:R$801,$W194)="","",INDEX('Per Invoice'!R$2:R$801,$W194)))</f>
        <v/>
      </c>
      <c r="S194" s="7">
        <f>IF($W194="","",IF(INDEX('Per Invoice'!S$2:S$801,$W194)="","",INDEX('Per Invoice'!S$2:S$801,$W194)))</f>
        <v/>
      </c>
      <c r="T194" s="7">
        <f>IF($W194="","",IF(INDEX('Per Invoice'!T$2:T$801,$W194)="","",INDEX('Per Invoice'!T$2:T$801,$W194)))</f>
        <v/>
      </c>
      <c r="U194" s="7">
        <f>IF($W194="","",IF(INDEX('Per Invoice'!U$2:U$801,$W194)="","",INDEX('Per Invoice'!U$2:U$801,$W194)))</f>
        <v/>
      </c>
      <c r="V194" s="7">
        <f>IF($W194="","",IF(INDEX('Per Invoice'!V$2:V$801,$W194)="","",INDEX('Per Invoice'!V$2:V$801,$W194)))</f>
        <v/>
      </c>
      <c r="W194" s="16">
        <f>IFERROR(MATCH(Settings!$C$31&amp;"|"&amp;ROWS($W$2:$W194),'Per Invoice'!$X$2:$X$801,0),"")</f>
        <v/>
      </c>
    </row>
    <row r="195">
      <c r="A195">
        <f>IF($W195="","",IF(INDEX('Per Invoice'!A$2:A$801,$W195)="","",INDEX('Per Invoice'!A$2:A$801,$W195)))</f>
        <v/>
      </c>
      <c r="B195">
        <f>IF($W195="","",IF(INDEX('Per Invoice'!B$2:B$801,$W195)="","",INDEX('Per Invoice'!B$2:B$801,$W195)))</f>
        <v/>
      </c>
      <c r="C195">
        <f>IF($W195="","",IF(INDEX('Per Invoice'!C$2:C$801,$W195)="","",INDEX('Per Invoice'!C$2:C$801,$W195)))</f>
        <v/>
      </c>
      <c r="D195">
        <f>IF($W195="","",IF(INDEX('Per Invoice'!D$2:D$801,$W195)="","",INDEX('Per Invoice'!D$2:D$801,$W195)))</f>
        <v/>
      </c>
      <c r="E195">
        <f>IF($W195="","",IF(INDEX('Per Invoice'!E$2:E$801,$W195)="","",INDEX('Per Invoice'!E$2:E$801,$W195)))</f>
        <v/>
      </c>
      <c r="F195">
        <f>IF($W195="","",IF(INDEX('Per Invoice'!F$2:F$801,$W195)="","",INDEX('Per Invoice'!F$2:F$801,$W195)))</f>
        <v/>
      </c>
      <c r="G195">
        <f>IF($W195="","",IF(INDEX('Per Invoice'!G$2:G$801,$W195)="","",INDEX('Per Invoice'!G$2:G$801,$W195)))</f>
        <v/>
      </c>
      <c r="H195">
        <f>IF($W195="","",IF(INDEX('Per Invoice'!H$2:H$801,$W195)="","",INDEX('Per Invoice'!H$2:H$801,$W195)))</f>
        <v/>
      </c>
      <c r="I195">
        <f>IF($W195="","",IF(INDEX('Per Invoice'!I$2:I$801,$W195)="","",INDEX('Per Invoice'!I$2:I$801,$W195)))</f>
        <v/>
      </c>
      <c r="J195">
        <f>IF($W195="","",IF(INDEX('Per Invoice'!J$2:J$801,$W195)="","",INDEX('Per Invoice'!J$2:J$801,$W195)))</f>
        <v/>
      </c>
      <c r="K195" s="7">
        <f>IF($W195="","",IF(INDEX('Per Invoice'!K$2:K$801,$W195)="","",INDEX('Per Invoice'!K$2:K$801,$W195)))</f>
        <v/>
      </c>
      <c r="L195" s="14">
        <f>IF($W195="","",IF(INDEX('Per Invoice'!L$2:L$801,$W195)="","",INDEX('Per Invoice'!L$2:L$801,$W195)))</f>
        <v/>
      </c>
      <c r="M195">
        <f>IF($W195="","",IF(INDEX('Per Invoice'!M$2:M$801,$W195)="","",INDEX('Per Invoice'!M$2:M$801,$W195)))</f>
        <v/>
      </c>
      <c r="N195" s="7">
        <f>IF($W195="","",IF(INDEX('Per Invoice'!N$2:N$801,$W195)="","",INDEX('Per Invoice'!N$2:N$801,$W195)))</f>
        <v/>
      </c>
      <c r="O195" s="7">
        <f>IF($W195="","",IF(INDEX('Per Invoice'!O$2:O$801,$W195)="","",INDEX('Per Invoice'!O$2:O$801,$W195)))</f>
        <v/>
      </c>
      <c r="P195">
        <f>IF($W195="","",IF(INDEX('Per Invoice'!P$2:P$801,$W195)="","",INDEX('Per Invoice'!P$2:P$801,$W195)))</f>
        <v/>
      </c>
      <c r="Q195" s="7">
        <f>IF($W195="","",IF(INDEX('Per Invoice'!Q$2:Q$801,$W195)="","",INDEX('Per Invoice'!Q$2:Q$801,$W195)))</f>
        <v/>
      </c>
      <c r="R195" s="7">
        <f>IF($W195="","",IF(INDEX('Per Invoice'!R$2:R$801,$W195)="","",INDEX('Per Invoice'!R$2:R$801,$W195)))</f>
        <v/>
      </c>
      <c r="S195" s="7">
        <f>IF($W195="","",IF(INDEX('Per Invoice'!S$2:S$801,$W195)="","",INDEX('Per Invoice'!S$2:S$801,$W195)))</f>
        <v/>
      </c>
      <c r="T195" s="7">
        <f>IF($W195="","",IF(INDEX('Per Invoice'!T$2:T$801,$W195)="","",INDEX('Per Invoice'!T$2:T$801,$W195)))</f>
        <v/>
      </c>
      <c r="U195" s="7">
        <f>IF($W195="","",IF(INDEX('Per Invoice'!U$2:U$801,$W195)="","",INDEX('Per Invoice'!U$2:U$801,$W195)))</f>
        <v/>
      </c>
      <c r="V195" s="7">
        <f>IF($W195="","",IF(INDEX('Per Invoice'!V$2:V$801,$W195)="","",INDEX('Per Invoice'!V$2:V$801,$W195)))</f>
        <v/>
      </c>
      <c r="W195" s="16">
        <f>IFERROR(MATCH(Settings!$C$31&amp;"|"&amp;ROWS($W$2:$W195),'Per Invoice'!$X$2:$X$801,0),"")</f>
        <v/>
      </c>
    </row>
    <row r="196">
      <c r="A196">
        <f>IF($W196="","",IF(INDEX('Per Invoice'!A$2:A$801,$W196)="","",INDEX('Per Invoice'!A$2:A$801,$W196)))</f>
        <v/>
      </c>
      <c r="B196">
        <f>IF($W196="","",IF(INDEX('Per Invoice'!B$2:B$801,$W196)="","",INDEX('Per Invoice'!B$2:B$801,$W196)))</f>
        <v/>
      </c>
      <c r="C196">
        <f>IF($W196="","",IF(INDEX('Per Invoice'!C$2:C$801,$W196)="","",INDEX('Per Invoice'!C$2:C$801,$W196)))</f>
        <v/>
      </c>
      <c r="D196">
        <f>IF($W196="","",IF(INDEX('Per Invoice'!D$2:D$801,$W196)="","",INDEX('Per Invoice'!D$2:D$801,$W196)))</f>
        <v/>
      </c>
      <c r="E196">
        <f>IF($W196="","",IF(INDEX('Per Invoice'!E$2:E$801,$W196)="","",INDEX('Per Invoice'!E$2:E$801,$W196)))</f>
        <v/>
      </c>
      <c r="F196">
        <f>IF($W196="","",IF(INDEX('Per Invoice'!F$2:F$801,$W196)="","",INDEX('Per Invoice'!F$2:F$801,$W196)))</f>
        <v/>
      </c>
      <c r="G196">
        <f>IF($W196="","",IF(INDEX('Per Invoice'!G$2:G$801,$W196)="","",INDEX('Per Invoice'!G$2:G$801,$W196)))</f>
        <v/>
      </c>
      <c r="H196">
        <f>IF($W196="","",IF(INDEX('Per Invoice'!H$2:H$801,$W196)="","",INDEX('Per Invoice'!H$2:H$801,$W196)))</f>
        <v/>
      </c>
      <c r="I196">
        <f>IF($W196="","",IF(INDEX('Per Invoice'!I$2:I$801,$W196)="","",INDEX('Per Invoice'!I$2:I$801,$W196)))</f>
        <v/>
      </c>
      <c r="J196">
        <f>IF($W196="","",IF(INDEX('Per Invoice'!J$2:J$801,$W196)="","",INDEX('Per Invoice'!J$2:J$801,$W196)))</f>
        <v/>
      </c>
      <c r="K196" s="7">
        <f>IF($W196="","",IF(INDEX('Per Invoice'!K$2:K$801,$W196)="","",INDEX('Per Invoice'!K$2:K$801,$W196)))</f>
        <v/>
      </c>
      <c r="L196" s="14">
        <f>IF($W196="","",IF(INDEX('Per Invoice'!L$2:L$801,$W196)="","",INDEX('Per Invoice'!L$2:L$801,$W196)))</f>
        <v/>
      </c>
      <c r="M196">
        <f>IF($W196="","",IF(INDEX('Per Invoice'!M$2:M$801,$W196)="","",INDEX('Per Invoice'!M$2:M$801,$W196)))</f>
        <v/>
      </c>
      <c r="N196" s="7">
        <f>IF($W196="","",IF(INDEX('Per Invoice'!N$2:N$801,$W196)="","",INDEX('Per Invoice'!N$2:N$801,$W196)))</f>
        <v/>
      </c>
      <c r="O196" s="7">
        <f>IF($W196="","",IF(INDEX('Per Invoice'!O$2:O$801,$W196)="","",INDEX('Per Invoice'!O$2:O$801,$W196)))</f>
        <v/>
      </c>
      <c r="P196">
        <f>IF($W196="","",IF(INDEX('Per Invoice'!P$2:P$801,$W196)="","",INDEX('Per Invoice'!P$2:P$801,$W196)))</f>
        <v/>
      </c>
      <c r="Q196" s="7">
        <f>IF($W196="","",IF(INDEX('Per Invoice'!Q$2:Q$801,$W196)="","",INDEX('Per Invoice'!Q$2:Q$801,$W196)))</f>
        <v/>
      </c>
      <c r="R196" s="7">
        <f>IF($W196="","",IF(INDEX('Per Invoice'!R$2:R$801,$W196)="","",INDEX('Per Invoice'!R$2:R$801,$W196)))</f>
        <v/>
      </c>
      <c r="S196" s="7">
        <f>IF($W196="","",IF(INDEX('Per Invoice'!S$2:S$801,$W196)="","",INDEX('Per Invoice'!S$2:S$801,$W196)))</f>
        <v/>
      </c>
      <c r="T196" s="7">
        <f>IF($W196="","",IF(INDEX('Per Invoice'!T$2:T$801,$W196)="","",INDEX('Per Invoice'!T$2:T$801,$W196)))</f>
        <v/>
      </c>
      <c r="U196" s="7">
        <f>IF($W196="","",IF(INDEX('Per Invoice'!U$2:U$801,$W196)="","",INDEX('Per Invoice'!U$2:U$801,$W196)))</f>
        <v/>
      </c>
      <c r="V196" s="7">
        <f>IF($W196="","",IF(INDEX('Per Invoice'!V$2:V$801,$W196)="","",INDEX('Per Invoice'!V$2:V$801,$W196)))</f>
        <v/>
      </c>
      <c r="W196" s="16">
        <f>IFERROR(MATCH(Settings!$C$31&amp;"|"&amp;ROWS($W$2:$W196),'Per Invoice'!$X$2:$X$801,0),"")</f>
        <v/>
      </c>
    </row>
    <row r="197">
      <c r="A197">
        <f>IF($W197="","",IF(INDEX('Per Invoice'!A$2:A$801,$W197)="","",INDEX('Per Invoice'!A$2:A$801,$W197)))</f>
        <v/>
      </c>
      <c r="B197">
        <f>IF($W197="","",IF(INDEX('Per Invoice'!B$2:B$801,$W197)="","",INDEX('Per Invoice'!B$2:B$801,$W197)))</f>
        <v/>
      </c>
      <c r="C197">
        <f>IF($W197="","",IF(INDEX('Per Invoice'!C$2:C$801,$W197)="","",INDEX('Per Invoice'!C$2:C$801,$W197)))</f>
        <v/>
      </c>
      <c r="D197">
        <f>IF($W197="","",IF(INDEX('Per Invoice'!D$2:D$801,$W197)="","",INDEX('Per Invoice'!D$2:D$801,$W197)))</f>
        <v/>
      </c>
      <c r="E197">
        <f>IF($W197="","",IF(INDEX('Per Invoice'!E$2:E$801,$W197)="","",INDEX('Per Invoice'!E$2:E$801,$W197)))</f>
        <v/>
      </c>
      <c r="F197">
        <f>IF($W197="","",IF(INDEX('Per Invoice'!F$2:F$801,$W197)="","",INDEX('Per Invoice'!F$2:F$801,$W197)))</f>
        <v/>
      </c>
      <c r="G197">
        <f>IF($W197="","",IF(INDEX('Per Invoice'!G$2:G$801,$W197)="","",INDEX('Per Invoice'!G$2:G$801,$W197)))</f>
        <v/>
      </c>
      <c r="H197">
        <f>IF($W197="","",IF(INDEX('Per Invoice'!H$2:H$801,$W197)="","",INDEX('Per Invoice'!H$2:H$801,$W197)))</f>
        <v/>
      </c>
      <c r="I197">
        <f>IF($W197="","",IF(INDEX('Per Invoice'!I$2:I$801,$W197)="","",INDEX('Per Invoice'!I$2:I$801,$W197)))</f>
        <v/>
      </c>
      <c r="J197">
        <f>IF($W197="","",IF(INDEX('Per Invoice'!J$2:J$801,$W197)="","",INDEX('Per Invoice'!J$2:J$801,$W197)))</f>
        <v/>
      </c>
      <c r="K197" s="7">
        <f>IF($W197="","",IF(INDEX('Per Invoice'!K$2:K$801,$W197)="","",INDEX('Per Invoice'!K$2:K$801,$W197)))</f>
        <v/>
      </c>
      <c r="L197" s="14">
        <f>IF($W197="","",IF(INDEX('Per Invoice'!L$2:L$801,$W197)="","",INDEX('Per Invoice'!L$2:L$801,$W197)))</f>
        <v/>
      </c>
      <c r="M197">
        <f>IF($W197="","",IF(INDEX('Per Invoice'!M$2:M$801,$W197)="","",INDEX('Per Invoice'!M$2:M$801,$W197)))</f>
        <v/>
      </c>
      <c r="N197" s="7">
        <f>IF($W197="","",IF(INDEX('Per Invoice'!N$2:N$801,$W197)="","",INDEX('Per Invoice'!N$2:N$801,$W197)))</f>
        <v/>
      </c>
      <c r="O197" s="7">
        <f>IF($W197="","",IF(INDEX('Per Invoice'!O$2:O$801,$W197)="","",INDEX('Per Invoice'!O$2:O$801,$W197)))</f>
        <v/>
      </c>
      <c r="P197">
        <f>IF($W197="","",IF(INDEX('Per Invoice'!P$2:P$801,$W197)="","",INDEX('Per Invoice'!P$2:P$801,$W197)))</f>
        <v/>
      </c>
      <c r="Q197" s="7">
        <f>IF($W197="","",IF(INDEX('Per Invoice'!Q$2:Q$801,$W197)="","",INDEX('Per Invoice'!Q$2:Q$801,$W197)))</f>
        <v/>
      </c>
      <c r="R197" s="7">
        <f>IF($W197="","",IF(INDEX('Per Invoice'!R$2:R$801,$W197)="","",INDEX('Per Invoice'!R$2:R$801,$W197)))</f>
        <v/>
      </c>
      <c r="S197" s="7">
        <f>IF($W197="","",IF(INDEX('Per Invoice'!S$2:S$801,$W197)="","",INDEX('Per Invoice'!S$2:S$801,$W197)))</f>
        <v/>
      </c>
      <c r="T197" s="7">
        <f>IF($W197="","",IF(INDEX('Per Invoice'!T$2:T$801,$W197)="","",INDEX('Per Invoice'!T$2:T$801,$W197)))</f>
        <v/>
      </c>
      <c r="U197" s="7">
        <f>IF($W197="","",IF(INDEX('Per Invoice'!U$2:U$801,$W197)="","",INDEX('Per Invoice'!U$2:U$801,$W197)))</f>
        <v/>
      </c>
      <c r="V197" s="7">
        <f>IF($W197="","",IF(INDEX('Per Invoice'!V$2:V$801,$W197)="","",INDEX('Per Invoice'!V$2:V$801,$W197)))</f>
        <v/>
      </c>
      <c r="W197" s="16">
        <f>IFERROR(MATCH(Settings!$C$31&amp;"|"&amp;ROWS($W$2:$W197),'Per Invoice'!$X$2:$X$801,0),"")</f>
        <v/>
      </c>
    </row>
    <row r="198">
      <c r="A198">
        <f>IF($W198="","",IF(INDEX('Per Invoice'!A$2:A$801,$W198)="","",INDEX('Per Invoice'!A$2:A$801,$W198)))</f>
        <v/>
      </c>
      <c r="B198">
        <f>IF($W198="","",IF(INDEX('Per Invoice'!B$2:B$801,$W198)="","",INDEX('Per Invoice'!B$2:B$801,$W198)))</f>
        <v/>
      </c>
      <c r="C198">
        <f>IF($W198="","",IF(INDEX('Per Invoice'!C$2:C$801,$W198)="","",INDEX('Per Invoice'!C$2:C$801,$W198)))</f>
        <v/>
      </c>
      <c r="D198">
        <f>IF($W198="","",IF(INDEX('Per Invoice'!D$2:D$801,$W198)="","",INDEX('Per Invoice'!D$2:D$801,$W198)))</f>
        <v/>
      </c>
      <c r="E198">
        <f>IF($W198="","",IF(INDEX('Per Invoice'!E$2:E$801,$W198)="","",INDEX('Per Invoice'!E$2:E$801,$W198)))</f>
        <v/>
      </c>
      <c r="F198">
        <f>IF($W198="","",IF(INDEX('Per Invoice'!F$2:F$801,$W198)="","",INDEX('Per Invoice'!F$2:F$801,$W198)))</f>
        <v/>
      </c>
      <c r="G198">
        <f>IF($W198="","",IF(INDEX('Per Invoice'!G$2:G$801,$W198)="","",INDEX('Per Invoice'!G$2:G$801,$W198)))</f>
        <v/>
      </c>
      <c r="H198">
        <f>IF($W198="","",IF(INDEX('Per Invoice'!H$2:H$801,$W198)="","",INDEX('Per Invoice'!H$2:H$801,$W198)))</f>
        <v/>
      </c>
      <c r="I198">
        <f>IF($W198="","",IF(INDEX('Per Invoice'!I$2:I$801,$W198)="","",INDEX('Per Invoice'!I$2:I$801,$W198)))</f>
        <v/>
      </c>
      <c r="J198">
        <f>IF($W198="","",IF(INDEX('Per Invoice'!J$2:J$801,$W198)="","",INDEX('Per Invoice'!J$2:J$801,$W198)))</f>
        <v/>
      </c>
      <c r="K198" s="7">
        <f>IF($W198="","",IF(INDEX('Per Invoice'!K$2:K$801,$W198)="","",INDEX('Per Invoice'!K$2:K$801,$W198)))</f>
        <v/>
      </c>
      <c r="L198" s="14">
        <f>IF($W198="","",IF(INDEX('Per Invoice'!L$2:L$801,$W198)="","",INDEX('Per Invoice'!L$2:L$801,$W198)))</f>
        <v/>
      </c>
      <c r="M198">
        <f>IF($W198="","",IF(INDEX('Per Invoice'!M$2:M$801,$W198)="","",INDEX('Per Invoice'!M$2:M$801,$W198)))</f>
        <v/>
      </c>
      <c r="N198" s="7">
        <f>IF($W198="","",IF(INDEX('Per Invoice'!N$2:N$801,$W198)="","",INDEX('Per Invoice'!N$2:N$801,$W198)))</f>
        <v/>
      </c>
      <c r="O198" s="7">
        <f>IF($W198="","",IF(INDEX('Per Invoice'!O$2:O$801,$W198)="","",INDEX('Per Invoice'!O$2:O$801,$W198)))</f>
        <v/>
      </c>
      <c r="P198">
        <f>IF($W198="","",IF(INDEX('Per Invoice'!P$2:P$801,$W198)="","",INDEX('Per Invoice'!P$2:P$801,$W198)))</f>
        <v/>
      </c>
      <c r="Q198" s="7">
        <f>IF($W198="","",IF(INDEX('Per Invoice'!Q$2:Q$801,$W198)="","",INDEX('Per Invoice'!Q$2:Q$801,$W198)))</f>
        <v/>
      </c>
      <c r="R198" s="7">
        <f>IF($W198="","",IF(INDEX('Per Invoice'!R$2:R$801,$W198)="","",INDEX('Per Invoice'!R$2:R$801,$W198)))</f>
        <v/>
      </c>
      <c r="S198" s="7">
        <f>IF($W198="","",IF(INDEX('Per Invoice'!S$2:S$801,$W198)="","",INDEX('Per Invoice'!S$2:S$801,$W198)))</f>
        <v/>
      </c>
      <c r="T198" s="7">
        <f>IF($W198="","",IF(INDEX('Per Invoice'!T$2:T$801,$W198)="","",INDEX('Per Invoice'!T$2:T$801,$W198)))</f>
        <v/>
      </c>
      <c r="U198" s="7">
        <f>IF($W198="","",IF(INDEX('Per Invoice'!U$2:U$801,$W198)="","",INDEX('Per Invoice'!U$2:U$801,$W198)))</f>
        <v/>
      </c>
      <c r="V198" s="7">
        <f>IF($W198="","",IF(INDEX('Per Invoice'!V$2:V$801,$W198)="","",INDEX('Per Invoice'!V$2:V$801,$W198)))</f>
        <v/>
      </c>
      <c r="W198" s="16">
        <f>IFERROR(MATCH(Settings!$C$31&amp;"|"&amp;ROWS($W$2:$W198),'Per Invoice'!$X$2:$X$801,0),"")</f>
        <v/>
      </c>
    </row>
    <row r="199">
      <c r="A199">
        <f>IF($W199="","",IF(INDEX('Per Invoice'!A$2:A$801,$W199)="","",INDEX('Per Invoice'!A$2:A$801,$W199)))</f>
        <v/>
      </c>
      <c r="B199">
        <f>IF($W199="","",IF(INDEX('Per Invoice'!B$2:B$801,$W199)="","",INDEX('Per Invoice'!B$2:B$801,$W199)))</f>
        <v/>
      </c>
      <c r="C199">
        <f>IF($W199="","",IF(INDEX('Per Invoice'!C$2:C$801,$W199)="","",INDEX('Per Invoice'!C$2:C$801,$W199)))</f>
        <v/>
      </c>
      <c r="D199">
        <f>IF($W199="","",IF(INDEX('Per Invoice'!D$2:D$801,$W199)="","",INDEX('Per Invoice'!D$2:D$801,$W199)))</f>
        <v/>
      </c>
      <c r="E199">
        <f>IF($W199="","",IF(INDEX('Per Invoice'!E$2:E$801,$W199)="","",INDEX('Per Invoice'!E$2:E$801,$W199)))</f>
        <v/>
      </c>
      <c r="F199">
        <f>IF($W199="","",IF(INDEX('Per Invoice'!F$2:F$801,$W199)="","",INDEX('Per Invoice'!F$2:F$801,$W199)))</f>
        <v/>
      </c>
      <c r="G199">
        <f>IF($W199="","",IF(INDEX('Per Invoice'!G$2:G$801,$W199)="","",INDEX('Per Invoice'!G$2:G$801,$W199)))</f>
        <v/>
      </c>
      <c r="H199">
        <f>IF($W199="","",IF(INDEX('Per Invoice'!H$2:H$801,$W199)="","",INDEX('Per Invoice'!H$2:H$801,$W199)))</f>
        <v/>
      </c>
      <c r="I199">
        <f>IF($W199="","",IF(INDEX('Per Invoice'!I$2:I$801,$W199)="","",INDEX('Per Invoice'!I$2:I$801,$W199)))</f>
        <v/>
      </c>
      <c r="J199">
        <f>IF($W199="","",IF(INDEX('Per Invoice'!J$2:J$801,$W199)="","",INDEX('Per Invoice'!J$2:J$801,$W199)))</f>
        <v/>
      </c>
      <c r="K199" s="7">
        <f>IF($W199="","",IF(INDEX('Per Invoice'!K$2:K$801,$W199)="","",INDEX('Per Invoice'!K$2:K$801,$W199)))</f>
        <v/>
      </c>
      <c r="L199" s="14">
        <f>IF($W199="","",IF(INDEX('Per Invoice'!L$2:L$801,$W199)="","",INDEX('Per Invoice'!L$2:L$801,$W199)))</f>
        <v/>
      </c>
      <c r="M199">
        <f>IF($W199="","",IF(INDEX('Per Invoice'!M$2:M$801,$W199)="","",INDEX('Per Invoice'!M$2:M$801,$W199)))</f>
        <v/>
      </c>
      <c r="N199" s="7">
        <f>IF($W199="","",IF(INDEX('Per Invoice'!N$2:N$801,$W199)="","",INDEX('Per Invoice'!N$2:N$801,$W199)))</f>
        <v/>
      </c>
      <c r="O199" s="7">
        <f>IF($W199="","",IF(INDEX('Per Invoice'!O$2:O$801,$W199)="","",INDEX('Per Invoice'!O$2:O$801,$W199)))</f>
        <v/>
      </c>
      <c r="P199">
        <f>IF($W199="","",IF(INDEX('Per Invoice'!P$2:P$801,$W199)="","",INDEX('Per Invoice'!P$2:P$801,$W199)))</f>
        <v/>
      </c>
      <c r="Q199" s="7">
        <f>IF($W199="","",IF(INDEX('Per Invoice'!Q$2:Q$801,$W199)="","",INDEX('Per Invoice'!Q$2:Q$801,$W199)))</f>
        <v/>
      </c>
      <c r="R199" s="7">
        <f>IF($W199="","",IF(INDEX('Per Invoice'!R$2:R$801,$W199)="","",INDEX('Per Invoice'!R$2:R$801,$W199)))</f>
        <v/>
      </c>
      <c r="S199" s="7">
        <f>IF($W199="","",IF(INDEX('Per Invoice'!S$2:S$801,$W199)="","",INDEX('Per Invoice'!S$2:S$801,$W199)))</f>
        <v/>
      </c>
      <c r="T199" s="7">
        <f>IF($W199="","",IF(INDEX('Per Invoice'!T$2:T$801,$W199)="","",INDEX('Per Invoice'!T$2:T$801,$W199)))</f>
        <v/>
      </c>
      <c r="U199" s="7">
        <f>IF($W199="","",IF(INDEX('Per Invoice'!U$2:U$801,$W199)="","",INDEX('Per Invoice'!U$2:U$801,$W199)))</f>
        <v/>
      </c>
      <c r="V199" s="7">
        <f>IF($W199="","",IF(INDEX('Per Invoice'!V$2:V$801,$W199)="","",INDEX('Per Invoice'!V$2:V$801,$W199)))</f>
        <v/>
      </c>
      <c r="W199" s="16">
        <f>IFERROR(MATCH(Settings!$C$31&amp;"|"&amp;ROWS($W$2:$W199),'Per Invoice'!$X$2:$X$801,0),"")</f>
        <v/>
      </c>
    </row>
    <row r="200">
      <c r="A200">
        <f>IF($W200="","",IF(INDEX('Per Invoice'!A$2:A$801,$W200)="","",INDEX('Per Invoice'!A$2:A$801,$W200)))</f>
        <v/>
      </c>
      <c r="B200">
        <f>IF($W200="","",IF(INDEX('Per Invoice'!B$2:B$801,$W200)="","",INDEX('Per Invoice'!B$2:B$801,$W200)))</f>
        <v/>
      </c>
      <c r="C200">
        <f>IF($W200="","",IF(INDEX('Per Invoice'!C$2:C$801,$W200)="","",INDEX('Per Invoice'!C$2:C$801,$W200)))</f>
        <v/>
      </c>
      <c r="D200">
        <f>IF($W200="","",IF(INDEX('Per Invoice'!D$2:D$801,$W200)="","",INDEX('Per Invoice'!D$2:D$801,$W200)))</f>
        <v/>
      </c>
      <c r="E200">
        <f>IF($W200="","",IF(INDEX('Per Invoice'!E$2:E$801,$W200)="","",INDEX('Per Invoice'!E$2:E$801,$W200)))</f>
        <v/>
      </c>
      <c r="F200">
        <f>IF($W200="","",IF(INDEX('Per Invoice'!F$2:F$801,$W200)="","",INDEX('Per Invoice'!F$2:F$801,$W200)))</f>
        <v/>
      </c>
      <c r="G200">
        <f>IF($W200="","",IF(INDEX('Per Invoice'!G$2:G$801,$W200)="","",INDEX('Per Invoice'!G$2:G$801,$W200)))</f>
        <v/>
      </c>
      <c r="H200">
        <f>IF($W200="","",IF(INDEX('Per Invoice'!H$2:H$801,$W200)="","",INDEX('Per Invoice'!H$2:H$801,$W200)))</f>
        <v/>
      </c>
      <c r="I200">
        <f>IF($W200="","",IF(INDEX('Per Invoice'!I$2:I$801,$W200)="","",INDEX('Per Invoice'!I$2:I$801,$W200)))</f>
        <v/>
      </c>
      <c r="J200">
        <f>IF($W200="","",IF(INDEX('Per Invoice'!J$2:J$801,$W200)="","",INDEX('Per Invoice'!J$2:J$801,$W200)))</f>
        <v/>
      </c>
      <c r="K200" s="7">
        <f>IF($W200="","",IF(INDEX('Per Invoice'!K$2:K$801,$W200)="","",INDEX('Per Invoice'!K$2:K$801,$W200)))</f>
        <v/>
      </c>
      <c r="L200" s="14">
        <f>IF($W200="","",IF(INDEX('Per Invoice'!L$2:L$801,$W200)="","",INDEX('Per Invoice'!L$2:L$801,$W200)))</f>
        <v/>
      </c>
      <c r="M200">
        <f>IF($W200="","",IF(INDEX('Per Invoice'!M$2:M$801,$W200)="","",INDEX('Per Invoice'!M$2:M$801,$W200)))</f>
        <v/>
      </c>
      <c r="N200" s="7">
        <f>IF($W200="","",IF(INDEX('Per Invoice'!N$2:N$801,$W200)="","",INDEX('Per Invoice'!N$2:N$801,$W200)))</f>
        <v/>
      </c>
      <c r="O200" s="7">
        <f>IF($W200="","",IF(INDEX('Per Invoice'!O$2:O$801,$W200)="","",INDEX('Per Invoice'!O$2:O$801,$W200)))</f>
        <v/>
      </c>
      <c r="P200">
        <f>IF($W200="","",IF(INDEX('Per Invoice'!P$2:P$801,$W200)="","",INDEX('Per Invoice'!P$2:P$801,$W200)))</f>
        <v/>
      </c>
      <c r="Q200" s="7">
        <f>IF($W200="","",IF(INDEX('Per Invoice'!Q$2:Q$801,$W200)="","",INDEX('Per Invoice'!Q$2:Q$801,$W200)))</f>
        <v/>
      </c>
      <c r="R200" s="7">
        <f>IF($W200="","",IF(INDEX('Per Invoice'!R$2:R$801,$W200)="","",INDEX('Per Invoice'!R$2:R$801,$W200)))</f>
        <v/>
      </c>
      <c r="S200" s="7">
        <f>IF($W200="","",IF(INDEX('Per Invoice'!S$2:S$801,$W200)="","",INDEX('Per Invoice'!S$2:S$801,$W200)))</f>
        <v/>
      </c>
      <c r="T200" s="7">
        <f>IF($W200="","",IF(INDEX('Per Invoice'!T$2:T$801,$W200)="","",INDEX('Per Invoice'!T$2:T$801,$W200)))</f>
        <v/>
      </c>
      <c r="U200" s="7">
        <f>IF($W200="","",IF(INDEX('Per Invoice'!U$2:U$801,$W200)="","",INDEX('Per Invoice'!U$2:U$801,$W200)))</f>
        <v/>
      </c>
      <c r="V200" s="7">
        <f>IF($W200="","",IF(INDEX('Per Invoice'!V$2:V$801,$W200)="","",INDEX('Per Invoice'!V$2:V$801,$W200)))</f>
        <v/>
      </c>
      <c r="W200" s="16">
        <f>IFERROR(MATCH(Settings!$C$31&amp;"|"&amp;ROWS($W$2:$W200),'Per Invoice'!$X$2:$X$801,0),"")</f>
        <v/>
      </c>
    </row>
    <row r="201">
      <c r="A201">
        <f>IF($W201="","",IF(INDEX('Per Invoice'!A$2:A$801,$W201)="","",INDEX('Per Invoice'!A$2:A$801,$W201)))</f>
        <v/>
      </c>
      <c r="B201">
        <f>IF($W201="","",IF(INDEX('Per Invoice'!B$2:B$801,$W201)="","",INDEX('Per Invoice'!B$2:B$801,$W201)))</f>
        <v/>
      </c>
      <c r="C201">
        <f>IF($W201="","",IF(INDEX('Per Invoice'!C$2:C$801,$W201)="","",INDEX('Per Invoice'!C$2:C$801,$W201)))</f>
        <v/>
      </c>
      <c r="D201">
        <f>IF($W201="","",IF(INDEX('Per Invoice'!D$2:D$801,$W201)="","",INDEX('Per Invoice'!D$2:D$801,$W201)))</f>
        <v/>
      </c>
      <c r="E201">
        <f>IF($W201="","",IF(INDEX('Per Invoice'!E$2:E$801,$W201)="","",INDEX('Per Invoice'!E$2:E$801,$W201)))</f>
        <v/>
      </c>
      <c r="F201">
        <f>IF($W201="","",IF(INDEX('Per Invoice'!F$2:F$801,$W201)="","",INDEX('Per Invoice'!F$2:F$801,$W201)))</f>
        <v/>
      </c>
      <c r="G201">
        <f>IF($W201="","",IF(INDEX('Per Invoice'!G$2:G$801,$W201)="","",INDEX('Per Invoice'!G$2:G$801,$W201)))</f>
        <v/>
      </c>
      <c r="H201">
        <f>IF($W201="","",IF(INDEX('Per Invoice'!H$2:H$801,$W201)="","",INDEX('Per Invoice'!H$2:H$801,$W201)))</f>
        <v/>
      </c>
      <c r="I201">
        <f>IF($W201="","",IF(INDEX('Per Invoice'!I$2:I$801,$W201)="","",INDEX('Per Invoice'!I$2:I$801,$W201)))</f>
        <v/>
      </c>
      <c r="J201">
        <f>IF($W201="","",IF(INDEX('Per Invoice'!J$2:J$801,$W201)="","",INDEX('Per Invoice'!J$2:J$801,$W201)))</f>
        <v/>
      </c>
      <c r="K201" s="7">
        <f>IF($W201="","",IF(INDEX('Per Invoice'!K$2:K$801,$W201)="","",INDEX('Per Invoice'!K$2:K$801,$W201)))</f>
        <v/>
      </c>
      <c r="L201" s="14">
        <f>IF($W201="","",IF(INDEX('Per Invoice'!L$2:L$801,$W201)="","",INDEX('Per Invoice'!L$2:L$801,$W201)))</f>
        <v/>
      </c>
      <c r="M201">
        <f>IF($W201="","",IF(INDEX('Per Invoice'!M$2:M$801,$W201)="","",INDEX('Per Invoice'!M$2:M$801,$W201)))</f>
        <v/>
      </c>
      <c r="N201" s="7">
        <f>IF($W201="","",IF(INDEX('Per Invoice'!N$2:N$801,$W201)="","",INDEX('Per Invoice'!N$2:N$801,$W201)))</f>
        <v/>
      </c>
      <c r="O201" s="7">
        <f>IF($W201="","",IF(INDEX('Per Invoice'!O$2:O$801,$W201)="","",INDEX('Per Invoice'!O$2:O$801,$W201)))</f>
        <v/>
      </c>
      <c r="P201">
        <f>IF($W201="","",IF(INDEX('Per Invoice'!P$2:P$801,$W201)="","",INDEX('Per Invoice'!P$2:P$801,$W201)))</f>
        <v/>
      </c>
      <c r="Q201" s="7">
        <f>IF($W201="","",IF(INDEX('Per Invoice'!Q$2:Q$801,$W201)="","",INDEX('Per Invoice'!Q$2:Q$801,$W201)))</f>
        <v/>
      </c>
      <c r="R201" s="7">
        <f>IF($W201="","",IF(INDEX('Per Invoice'!R$2:R$801,$W201)="","",INDEX('Per Invoice'!R$2:R$801,$W201)))</f>
        <v/>
      </c>
      <c r="S201" s="7">
        <f>IF($W201="","",IF(INDEX('Per Invoice'!S$2:S$801,$W201)="","",INDEX('Per Invoice'!S$2:S$801,$W201)))</f>
        <v/>
      </c>
      <c r="T201" s="7">
        <f>IF($W201="","",IF(INDEX('Per Invoice'!T$2:T$801,$W201)="","",INDEX('Per Invoice'!T$2:T$801,$W201)))</f>
        <v/>
      </c>
      <c r="U201" s="7">
        <f>IF($W201="","",IF(INDEX('Per Invoice'!U$2:U$801,$W201)="","",INDEX('Per Invoice'!U$2:U$801,$W201)))</f>
        <v/>
      </c>
      <c r="V201" s="7">
        <f>IF($W201="","",IF(INDEX('Per Invoice'!V$2:V$801,$W201)="","",INDEX('Per Invoice'!V$2:V$801,$W201)))</f>
        <v/>
      </c>
      <c r="W201" s="16">
        <f>IFERROR(MATCH(Settings!$C$31&amp;"|"&amp;ROWS($W$2:$W201),'Per Invoice'!$X$2:$X$801,0),"")</f>
        <v/>
      </c>
    </row>
    <row r="202">
      <c r="A202">
        <f>IF($W202="","",IF(INDEX('Per Invoice'!A$2:A$801,$W202)="","",INDEX('Per Invoice'!A$2:A$801,$W202)))</f>
        <v/>
      </c>
      <c r="B202">
        <f>IF($W202="","",IF(INDEX('Per Invoice'!B$2:B$801,$W202)="","",INDEX('Per Invoice'!B$2:B$801,$W202)))</f>
        <v/>
      </c>
      <c r="C202">
        <f>IF($W202="","",IF(INDEX('Per Invoice'!C$2:C$801,$W202)="","",INDEX('Per Invoice'!C$2:C$801,$W202)))</f>
        <v/>
      </c>
      <c r="D202">
        <f>IF($W202="","",IF(INDEX('Per Invoice'!D$2:D$801,$W202)="","",INDEX('Per Invoice'!D$2:D$801,$W202)))</f>
        <v/>
      </c>
      <c r="E202">
        <f>IF($W202="","",IF(INDEX('Per Invoice'!E$2:E$801,$W202)="","",INDEX('Per Invoice'!E$2:E$801,$W202)))</f>
        <v/>
      </c>
      <c r="F202">
        <f>IF($W202="","",IF(INDEX('Per Invoice'!F$2:F$801,$W202)="","",INDEX('Per Invoice'!F$2:F$801,$W202)))</f>
        <v/>
      </c>
      <c r="G202">
        <f>IF($W202="","",IF(INDEX('Per Invoice'!G$2:G$801,$W202)="","",INDEX('Per Invoice'!G$2:G$801,$W202)))</f>
        <v/>
      </c>
      <c r="H202">
        <f>IF($W202="","",IF(INDEX('Per Invoice'!H$2:H$801,$W202)="","",INDEX('Per Invoice'!H$2:H$801,$W202)))</f>
        <v/>
      </c>
      <c r="I202">
        <f>IF($W202="","",IF(INDEX('Per Invoice'!I$2:I$801,$W202)="","",INDEX('Per Invoice'!I$2:I$801,$W202)))</f>
        <v/>
      </c>
      <c r="J202">
        <f>IF($W202="","",IF(INDEX('Per Invoice'!J$2:J$801,$W202)="","",INDEX('Per Invoice'!J$2:J$801,$W202)))</f>
        <v/>
      </c>
      <c r="K202" s="7">
        <f>IF($W202="","",IF(INDEX('Per Invoice'!K$2:K$801,$W202)="","",INDEX('Per Invoice'!K$2:K$801,$W202)))</f>
        <v/>
      </c>
      <c r="L202" s="14">
        <f>IF($W202="","",IF(INDEX('Per Invoice'!L$2:L$801,$W202)="","",INDEX('Per Invoice'!L$2:L$801,$W202)))</f>
        <v/>
      </c>
      <c r="M202">
        <f>IF($W202="","",IF(INDEX('Per Invoice'!M$2:M$801,$W202)="","",INDEX('Per Invoice'!M$2:M$801,$W202)))</f>
        <v/>
      </c>
      <c r="N202" s="7">
        <f>IF($W202="","",IF(INDEX('Per Invoice'!N$2:N$801,$W202)="","",INDEX('Per Invoice'!N$2:N$801,$W202)))</f>
        <v/>
      </c>
      <c r="O202" s="7">
        <f>IF($W202="","",IF(INDEX('Per Invoice'!O$2:O$801,$W202)="","",INDEX('Per Invoice'!O$2:O$801,$W202)))</f>
        <v/>
      </c>
      <c r="P202">
        <f>IF($W202="","",IF(INDEX('Per Invoice'!P$2:P$801,$W202)="","",INDEX('Per Invoice'!P$2:P$801,$W202)))</f>
        <v/>
      </c>
      <c r="Q202" s="7">
        <f>IF($W202="","",IF(INDEX('Per Invoice'!Q$2:Q$801,$W202)="","",INDEX('Per Invoice'!Q$2:Q$801,$W202)))</f>
        <v/>
      </c>
      <c r="R202" s="7">
        <f>IF($W202="","",IF(INDEX('Per Invoice'!R$2:R$801,$W202)="","",INDEX('Per Invoice'!R$2:R$801,$W202)))</f>
        <v/>
      </c>
      <c r="S202" s="7">
        <f>IF($W202="","",IF(INDEX('Per Invoice'!S$2:S$801,$W202)="","",INDEX('Per Invoice'!S$2:S$801,$W202)))</f>
        <v/>
      </c>
      <c r="T202" s="7">
        <f>IF($W202="","",IF(INDEX('Per Invoice'!T$2:T$801,$W202)="","",INDEX('Per Invoice'!T$2:T$801,$W202)))</f>
        <v/>
      </c>
      <c r="U202" s="7">
        <f>IF($W202="","",IF(INDEX('Per Invoice'!U$2:U$801,$W202)="","",INDEX('Per Invoice'!U$2:U$801,$W202)))</f>
        <v/>
      </c>
      <c r="V202" s="7">
        <f>IF($W202="","",IF(INDEX('Per Invoice'!V$2:V$801,$W202)="","",INDEX('Per Invoice'!V$2:V$801,$W202)))</f>
        <v/>
      </c>
      <c r="W202" s="16">
        <f>IFERROR(MATCH(Settings!$C$31&amp;"|"&amp;ROWS($W$2:$W202),'Per Invoice'!$X$2:$X$801,0),"")</f>
        <v/>
      </c>
    </row>
    <row r="203">
      <c r="A203">
        <f>IF($W203="","",IF(INDEX('Per Invoice'!A$2:A$801,$W203)="","",INDEX('Per Invoice'!A$2:A$801,$W203)))</f>
        <v/>
      </c>
      <c r="B203">
        <f>IF($W203="","",IF(INDEX('Per Invoice'!B$2:B$801,$W203)="","",INDEX('Per Invoice'!B$2:B$801,$W203)))</f>
        <v/>
      </c>
      <c r="C203">
        <f>IF($W203="","",IF(INDEX('Per Invoice'!C$2:C$801,$W203)="","",INDEX('Per Invoice'!C$2:C$801,$W203)))</f>
        <v/>
      </c>
      <c r="D203">
        <f>IF($W203="","",IF(INDEX('Per Invoice'!D$2:D$801,$W203)="","",INDEX('Per Invoice'!D$2:D$801,$W203)))</f>
        <v/>
      </c>
      <c r="E203">
        <f>IF($W203="","",IF(INDEX('Per Invoice'!E$2:E$801,$W203)="","",INDEX('Per Invoice'!E$2:E$801,$W203)))</f>
        <v/>
      </c>
      <c r="F203">
        <f>IF($W203="","",IF(INDEX('Per Invoice'!F$2:F$801,$W203)="","",INDEX('Per Invoice'!F$2:F$801,$W203)))</f>
        <v/>
      </c>
      <c r="G203">
        <f>IF($W203="","",IF(INDEX('Per Invoice'!G$2:G$801,$W203)="","",INDEX('Per Invoice'!G$2:G$801,$W203)))</f>
        <v/>
      </c>
      <c r="H203">
        <f>IF($W203="","",IF(INDEX('Per Invoice'!H$2:H$801,$W203)="","",INDEX('Per Invoice'!H$2:H$801,$W203)))</f>
        <v/>
      </c>
      <c r="I203">
        <f>IF($W203="","",IF(INDEX('Per Invoice'!I$2:I$801,$W203)="","",INDEX('Per Invoice'!I$2:I$801,$W203)))</f>
        <v/>
      </c>
      <c r="J203">
        <f>IF($W203="","",IF(INDEX('Per Invoice'!J$2:J$801,$W203)="","",INDEX('Per Invoice'!J$2:J$801,$W203)))</f>
        <v/>
      </c>
      <c r="K203" s="7">
        <f>IF($W203="","",IF(INDEX('Per Invoice'!K$2:K$801,$W203)="","",INDEX('Per Invoice'!K$2:K$801,$W203)))</f>
        <v/>
      </c>
      <c r="L203" s="14">
        <f>IF($W203="","",IF(INDEX('Per Invoice'!L$2:L$801,$W203)="","",INDEX('Per Invoice'!L$2:L$801,$W203)))</f>
        <v/>
      </c>
      <c r="M203">
        <f>IF($W203="","",IF(INDEX('Per Invoice'!M$2:M$801,$W203)="","",INDEX('Per Invoice'!M$2:M$801,$W203)))</f>
        <v/>
      </c>
      <c r="N203" s="7">
        <f>IF($W203="","",IF(INDEX('Per Invoice'!N$2:N$801,$W203)="","",INDEX('Per Invoice'!N$2:N$801,$W203)))</f>
        <v/>
      </c>
      <c r="O203" s="7">
        <f>IF($W203="","",IF(INDEX('Per Invoice'!O$2:O$801,$W203)="","",INDEX('Per Invoice'!O$2:O$801,$W203)))</f>
        <v/>
      </c>
      <c r="P203">
        <f>IF($W203="","",IF(INDEX('Per Invoice'!P$2:P$801,$W203)="","",INDEX('Per Invoice'!P$2:P$801,$W203)))</f>
        <v/>
      </c>
      <c r="Q203" s="7">
        <f>IF($W203="","",IF(INDEX('Per Invoice'!Q$2:Q$801,$W203)="","",INDEX('Per Invoice'!Q$2:Q$801,$W203)))</f>
        <v/>
      </c>
      <c r="R203" s="7">
        <f>IF($W203="","",IF(INDEX('Per Invoice'!R$2:R$801,$W203)="","",INDEX('Per Invoice'!R$2:R$801,$W203)))</f>
        <v/>
      </c>
      <c r="S203" s="7">
        <f>IF($W203="","",IF(INDEX('Per Invoice'!S$2:S$801,$W203)="","",INDEX('Per Invoice'!S$2:S$801,$W203)))</f>
        <v/>
      </c>
      <c r="T203" s="7">
        <f>IF($W203="","",IF(INDEX('Per Invoice'!T$2:T$801,$W203)="","",INDEX('Per Invoice'!T$2:T$801,$W203)))</f>
        <v/>
      </c>
      <c r="U203" s="7">
        <f>IF($W203="","",IF(INDEX('Per Invoice'!U$2:U$801,$W203)="","",INDEX('Per Invoice'!U$2:U$801,$W203)))</f>
        <v/>
      </c>
      <c r="V203" s="7">
        <f>IF($W203="","",IF(INDEX('Per Invoice'!V$2:V$801,$W203)="","",INDEX('Per Invoice'!V$2:V$801,$W203)))</f>
        <v/>
      </c>
      <c r="W203" s="16">
        <f>IFERROR(MATCH(Settings!$C$31&amp;"|"&amp;ROWS($W$2:$W203),'Per Invoice'!$X$2:$X$801,0),"")</f>
        <v/>
      </c>
    </row>
    <row r="204">
      <c r="A204">
        <f>IF($W204="","",IF(INDEX('Per Invoice'!A$2:A$801,$W204)="","",INDEX('Per Invoice'!A$2:A$801,$W204)))</f>
        <v/>
      </c>
      <c r="B204">
        <f>IF($W204="","",IF(INDEX('Per Invoice'!B$2:B$801,$W204)="","",INDEX('Per Invoice'!B$2:B$801,$W204)))</f>
        <v/>
      </c>
      <c r="C204">
        <f>IF($W204="","",IF(INDEX('Per Invoice'!C$2:C$801,$W204)="","",INDEX('Per Invoice'!C$2:C$801,$W204)))</f>
        <v/>
      </c>
      <c r="D204">
        <f>IF($W204="","",IF(INDEX('Per Invoice'!D$2:D$801,$W204)="","",INDEX('Per Invoice'!D$2:D$801,$W204)))</f>
        <v/>
      </c>
      <c r="E204">
        <f>IF($W204="","",IF(INDEX('Per Invoice'!E$2:E$801,$W204)="","",INDEX('Per Invoice'!E$2:E$801,$W204)))</f>
        <v/>
      </c>
      <c r="F204">
        <f>IF($W204="","",IF(INDEX('Per Invoice'!F$2:F$801,$W204)="","",INDEX('Per Invoice'!F$2:F$801,$W204)))</f>
        <v/>
      </c>
      <c r="G204">
        <f>IF($W204="","",IF(INDEX('Per Invoice'!G$2:G$801,$W204)="","",INDEX('Per Invoice'!G$2:G$801,$W204)))</f>
        <v/>
      </c>
      <c r="H204">
        <f>IF($W204="","",IF(INDEX('Per Invoice'!H$2:H$801,$W204)="","",INDEX('Per Invoice'!H$2:H$801,$W204)))</f>
        <v/>
      </c>
      <c r="I204">
        <f>IF($W204="","",IF(INDEX('Per Invoice'!I$2:I$801,$W204)="","",INDEX('Per Invoice'!I$2:I$801,$W204)))</f>
        <v/>
      </c>
      <c r="J204">
        <f>IF($W204="","",IF(INDEX('Per Invoice'!J$2:J$801,$W204)="","",INDEX('Per Invoice'!J$2:J$801,$W204)))</f>
        <v/>
      </c>
      <c r="K204" s="7">
        <f>IF($W204="","",IF(INDEX('Per Invoice'!K$2:K$801,$W204)="","",INDEX('Per Invoice'!K$2:K$801,$W204)))</f>
        <v/>
      </c>
      <c r="L204" s="14">
        <f>IF($W204="","",IF(INDEX('Per Invoice'!L$2:L$801,$W204)="","",INDEX('Per Invoice'!L$2:L$801,$W204)))</f>
        <v/>
      </c>
      <c r="M204">
        <f>IF($W204="","",IF(INDEX('Per Invoice'!M$2:M$801,$W204)="","",INDEX('Per Invoice'!M$2:M$801,$W204)))</f>
        <v/>
      </c>
      <c r="N204" s="7">
        <f>IF($W204="","",IF(INDEX('Per Invoice'!N$2:N$801,$W204)="","",INDEX('Per Invoice'!N$2:N$801,$W204)))</f>
        <v/>
      </c>
      <c r="O204" s="7">
        <f>IF($W204="","",IF(INDEX('Per Invoice'!O$2:O$801,$W204)="","",INDEX('Per Invoice'!O$2:O$801,$W204)))</f>
        <v/>
      </c>
      <c r="P204">
        <f>IF($W204="","",IF(INDEX('Per Invoice'!P$2:P$801,$W204)="","",INDEX('Per Invoice'!P$2:P$801,$W204)))</f>
        <v/>
      </c>
      <c r="Q204" s="7">
        <f>IF($W204="","",IF(INDEX('Per Invoice'!Q$2:Q$801,$W204)="","",INDEX('Per Invoice'!Q$2:Q$801,$W204)))</f>
        <v/>
      </c>
      <c r="R204" s="7">
        <f>IF($W204="","",IF(INDEX('Per Invoice'!R$2:R$801,$W204)="","",INDEX('Per Invoice'!R$2:R$801,$W204)))</f>
        <v/>
      </c>
      <c r="S204" s="7">
        <f>IF($W204="","",IF(INDEX('Per Invoice'!S$2:S$801,$W204)="","",INDEX('Per Invoice'!S$2:S$801,$W204)))</f>
        <v/>
      </c>
      <c r="T204" s="7">
        <f>IF($W204="","",IF(INDEX('Per Invoice'!T$2:T$801,$W204)="","",INDEX('Per Invoice'!T$2:T$801,$W204)))</f>
        <v/>
      </c>
      <c r="U204" s="7">
        <f>IF($W204="","",IF(INDEX('Per Invoice'!U$2:U$801,$W204)="","",INDEX('Per Invoice'!U$2:U$801,$W204)))</f>
        <v/>
      </c>
      <c r="V204" s="7">
        <f>IF($W204="","",IF(INDEX('Per Invoice'!V$2:V$801,$W204)="","",INDEX('Per Invoice'!V$2:V$801,$W204)))</f>
        <v/>
      </c>
      <c r="W204" s="16">
        <f>IFERROR(MATCH(Settings!$C$31&amp;"|"&amp;ROWS($W$2:$W204),'Per Invoice'!$X$2:$X$801,0),"")</f>
        <v/>
      </c>
    </row>
    <row r="205">
      <c r="A205">
        <f>IF($W205="","",IF(INDEX('Per Invoice'!A$2:A$801,$W205)="","",INDEX('Per Invoice'!A$2:A$801,$W205)))</f>
        <v/>
      </c>
      <c r="B205">
        <f>IF($W205="","",IF(INDEX('Per Invoice'!B$2:B$801,$W205)="","",INDEX('Per Invoice'!B$2:B$801,$W205)))</f>
        <v/>
      </c>
      <c r="C205">
        <f>IF($W205="","",IF(INDEX('Per Invoice'!C$2:C$801,$W205)="","",INDEX('Per Invoice'!C$2:C$801,$W205)))</f>
        <v/>
      </c>
      <c r="D205">
        <f>IF($W205="","",IF(INDEX('Per Invoice'!D$2:D$801,$W205)="","",INDEX('Per Invoice'!D$2:D$801,$W205)))</f>
        <v/>
      </c>
      <c r="E205">
        <f>IF($W205="","",IF(INDEX('Per Invoice'!E$2:E$801,$W205)="","",INDEX('Per Invoice'!E$2:E$801,$W205)))</f>
        <v/>
      </c>
      <c r="F205">
        <f>IF($W205="","",IF(INDEX('Per Invoice'!F$2:F$801,$W205)="","",INDEX('Per Invoice'!F$2:F$801,$W205)))</f>
        <v/>
      </c>
      <c r="G205">
        <f>IF($W205="","",IF(INDEX('Per Invoice'!G$2:G$801,$W205)="","",INDEX('Per Invoice'!G$2:G$801,$W205)))</f>
        <v/>
      </c>
      <c r="H205">
        <f>IF($W205="","",IF(INDEX('Per Invoice'!H$2:H$801,$W205)="","",INDEX('Per Invoice'!H$2:H$801,$W205)))</f>
        <v/>
      </c>
      <c r="I205">
        <f>IF($W205="","",IF(INDEX('Per Invoice'!I$2:I$801,$W205)="","",INDEX('Per Invoice'!I$2:I$801,$W205)))</f>
        <v/>
      </c>
      <c r="J205">
        <f>IF($W205="","",IF(INDEX('Per Invoice'!J$2:J$801,$W205)="","",INDEX('Per Invoice'!J$2:J$801,$W205)))</f>
        <v/>
      </c>
      <c r="K205" s="7">
        <f>IF($W205="","",IF(INDEX('Per Invoice'!K$2:K$801,$W205)="","",INDEX('Per Invoice'!K$2:K$801,$W205)))</f>
        <v/>
      </c>
      <c r="L205" s="14">
        <f>IF($W205="","",IF(INDEX('Per Invoice'!L$2:L$801,$W205)="","",INDEX('Per Invoice'!L$2:L$801,$W205)))</f>
        <v/>
      </c>
      <c r="M205">
        <f>IF($W205="","",IF(INDEX('Per Invoice'!M$2:M$801,$W205)="","",INDEX('Per Invoice'!M$2:M$801,$W205)))</f>
        <v/>
      </c>
      <c r="N205" s="7">
        <f>IF($W205="","",IF(INDEX('Per Invoice'!N$2:N$801,$W205)="","",INDEX('Per Invoice'!N$2:N$801,$W205)))</f>
        <v/>
      </c>
      <c r="O205" s="7">
        <f>IF($W205="","",IF(INDEX('Per Invoice'!O$2:O$801,$W205)="","",INDEX('Per Invoice'!O$2:O$801,$W205)))</f>
        <v/>
      </c>
      <c r="P205">
        <f>IF($W205="","",IF(INDEX('Per Invoice'!P$2:P$801,$W205)="","",INDEX('Per Invoice'!P$2:P$801,$W205)))</f>
        <v/>
      </c>
      <c r="Q205" s="7">
        <f>IF($W205="","",IF(INDEX('Per Invoice'!Q$2:Q$801,$W205)="","",INDEX('Per Invoice'!Q$2:Q$801,$W205)))</f>
        <v/>
      </c>
      <c r="R205" s="7">
        <f>IF($W205="","",IF(INDEX('Per Invoice'!R$2:R$801,$W205)="","",INDEX('Per Invoice'!R$2:R$801,$W205)))</f>
        <v/>
      </c>
      <c r="S205" s="7">
        <f>IF($W205="","",IF(INDEX('Per Invoice'!S$2:S$801,$W205)="","",INDEX('Per Invoice'!S$2:S$801,$W205)))</f>
        <v/>
      </c>
      <c r="T205" s="7">
        <f>IF($W205="","",IF(INDEX('Per Invoice'!T$2:T$801,$W205)="","",INDEX('Per Invoice'!T$2:T$801,$W205)))</f>
        <v/>
      </c>
      <c r="U205" s="7">
        <f>IF($W205="","",IF(INDEX('Per Invoice'!U$2:U$801,$W205)="","",INDEX('Per Invoice'!U$2:U$801,$W205)))</f>
        <v/>
      </c>
      <c r="V205" s="7">
        <f>IF($W205="","",IF(INDEX('Per Invoice'!V$2:V$801,$W205)="","",INDEX('Per Invoice'!V$2:V$801,$W205)))</f>
        <v/>
      </c>
      <c r="W205" s="16">
        <f>IFERROR(MATCH(Settings!$C$31&amp;"|"&amp;ROWS($W$2:$W205),'Per Invoice'!$X$2:$X$801,0),"")</f>
        <v/>
      </c>
    </row>
    <row r="206">
      <c r="A206">
        <f>IF($W206="","",IF(INDEX('Per Invoice'!A$2:A$801,$W206)="","",INDEX('Per Invoice'!A$2:A$801,$W206)))</f>
        <v/>
      </c>
      <c r="B206">
        <f>IF($W206="","",IF(INDEX('Per Invoice'!B$2:B$801,$W206)="","",INDEX('Per Invoice'!B$2:B$801,$W206)))</f>
        <v/>
      </c>
      <c r="C206">
        <f>IF($W206="","",IF(INDEX('Per Invoice'!C$2:C$801,$W206)="","",INDEX('Per Invoice'!C$2:C$801,$W206)))</f>
        <v/>
      </c>
      <c r="D206">
        <f>IF($W206="","",IF(INDEX('Per Invoice'!D$2:D$801,$W206)="","",INDEX('Per Invoice'!D$2:D$801,$W206)))</f>
        <v/>
      </c>
      <c r="E206">
        <f>IF($W206="","",IF(INDEX('Per Invoice'!E$2:E$801,$W206)="","",INDEX('Per Invoice'!E$2:E$801,$W206)))</f>
        <v/>
      </c>
      <c r="F206">
        <f>IF($W206="","",IF(INDEX('Per Invoice'!F$2:F$801,$W206)="","",INDEX('Per Invoice'!F$2:F$801,$W206)))</f>
        <v/>
      </c>
      <c r="G206">
        <f>IF($W206="","",IF(INDEX('Per Invoice'!G$2:G$801,$W206)="","",INDEX('Per Invoice'!G$2:G$801,$W206)))</f>
        <v/>
      </c>
      <c r="H206">
        <f>IF($W206="","",IF(INDEX('Per Invoice'!H$2:H$801,$W206)="","",INDEX('Per Invoice'!H$2:H$801,$W206)))</f>
        <v/>
      </c>
      <c r="I206">
        <f>IF($W206="","",IF(INDEX('Per Invoice'!I$2:I$801,$W206)="","",INDEX('Per Invoice'!I$2:I$801,$W206)))</f>
        <v/>
      </c>
      <c r="J206">
        <f>IF($W206="","",IF(INDEX('Per Invoice'!J$2:J$801,$W206)="","",INDEX('Per Invoice'!J$2:J$801,$W206)))</f>
        <v/>
      </c>
      <c r="K206" s="7">
        <f>IF($W206="","",IF(INDEX('Per Invoice'!K$2:K$801,$W206)="","",INDEX('Per Invoice'!K$2:K$801,$W206)))</f>
        <v/>
      </c>
      <c r="L206" s="14">
        <f>IF($W206="","",IF(INDEX('Per Invoice'!L$2:L$801,$W206)="","",INDEX('Per Invoice'!L$2:L$801,$W206)))</f>
        <v/>
      </c>
      <c r="M206">
        <f>IF($W206="","",IF(INDEX('Per Invoice'!M$2:M$801,$W206)="","",INDEX('Per Invoice'!M$2:M$801,$W206)))</f>
        <v/>
      </c>
      <c r="N206" s="7">
        <f>IF($W206="","",IF(INDEX('Per Invoice'!N$2:N$801,$W206)="","",INDEX('Per Invoice'!N$2:N$801,$W206)))</f>
        <v/>
      </c>
      <c r="O206" s="7">
        <f>IF($W206="","",IF(INDEX('Per Invoice'!O$2:O$801,$W206)="","",INDEX('Per Invoice'!O$2:O$801,$W206)))</f>
        <v/>
      </c>
      <c r="P206">
        <f>IF($W206="","",IF(INDEX('Per Invoice'!P$2:P$801,$W206)="","",INDEX('Per Invoice'!P$2:P$801,$W206)))</f>
        <v/>
      </c>
      <c r="Q206" s="7">
        <f>IF($W206="","",IF(INDEX('Per Invoice'!Q$2:Q$801,$W206)="","",INDEX('Per Invoice'!Q$2:Q$801,$W206)))</f>
        <v/>
      </c>
      <c r="R206" s="7">
        <f>IF($W206="","",IF(INDEX('Per Invoice'!R$2:R$801,$W206)="","",INDEX('Per Invoice'!R$2:R$801,$W206)))</f>
        <v/>
      </c>
      <c r="S206" s="7">
        <f>IF($W206="","",IF(INDEX('Per Invoice'!S$2:S$801,$W206)="","",INDEX('Per Invoice'!S$2:S$801,$W206)))</f>
        <v/>
      </c>
      <c r="T206" s="7">
        <f>IF($W206="","",IF(INDEX('Per Invoice'!T$2:T$801,$W206)="","",INDEX('Per Invoice'!T$2:T$801,$W206)))</f>
        <v/>
      </c>
      <c r="U206" s="7">
        <f>IF($W206="","",IF(INDEX('Per Invoice'!U$2:U$801,$W206)="","",INDEX('Per Invoice'!U$2:U$801,$W206)))</f>
        <v/>
      </c>
      <c r="V206" s="7">
        <f>IF($W206="","",IF(INDEX('Per Invoice'!V$2:V$801,$W206)="","",INDEX('Per Invoice'!V$2:V$801,$W206)))</f>
        <v/>
      </c>
      <c r="W206" s="16">
        <f>IFERROR(MATCH(Settings!$C$31&amp;"|"&amp;ROWS($W$2:$W206),'Per Invoice'!$X$2:$X$801,0),"")</f>
        <v/>
      </c>
    </row>
    <row r="207">
      <c r="A207">
        <f>IF($W207="","",IF(INDEX('Per Invoice'!A$2:A$801,$W207)="","",INDEX('Per Invoice'!A$2:A$801,$W207)))</f>
        <v/>
      </c>
      <c r="B207">
        <f>IF($W207="","",IF(INDEX('Per Invoice'!B$2:B$801,$W207)="","",INDEX('Per Invoice'!B$2:B$801,$W207)))</f>
        <v/>
      </c>
      <c r="C207">
        <f>IF($W207="","",IF(INDEX('Per Invoice'!C$2:C$801,$W207)="","",INDEX('Per Invoice'!C$2:C$801,$W207)))</f>
        <v/>
      </c>
      <c r="D207">
        <f>IF($W207="","",IF(INDEX('Per Invoice'!D$2:D$801,$W207)="","",INDEX('Per Invoice'!D$2:D$801,$W207)))</f>
        <v/>
      </c>
      <c r="E207">
        <f>IF($W207="","",IF(INDEX('Per Invoice'!E$2:E$801,$W207)="","",INDEX('Per Invoice'!E$2:E$801,$W207)))</f>
        <v/>
      </c>
      <c r="F207">
        <f>IF($W207="","",IF(INDEX('Per Invoice'!F$2:F$801,$W207)="","",INDEX('Per Invoice'!F$2:F$801,$W207)))</f>
        <v/>
      </c>
      <c r="G207">
        <f>IF($W207="","",IF(INDEX('Per Invoice'!G$2:G$801,$W207)="","",INDEX('Per Invoice'!G$2:G$801,$W207)))</f>
        <v/>
      </c>
      <c r="H207">
        <f>IF($W207="","",IF(INDEX('Per Invoice'!H$2:H$801,$W207)="","",INDEX('Per Invoice'!H$2:H$801,$W207)))</f>
        <v/>
      </c>
      <c r="I207">
        <f>IF($W207="","",IF(INDEX('Per Invoice'!I$2:I$801,$W207)="","",INDEX('Per Invoice'!I$2:I$801,$W207)))</f>
        <v/>
      </c>
      <c r="J207">
        <f>IF($W207="","",IF(INDEX('Per Invoice'!J$2:J$801,$W207)="","",INDEX('Per Invoice'!J$2:J$801,$W207)))</f>
        <v/>
      </c>
      <c r="K207" s="7">
        <f>IF($W207="","",IF(INDEX('Per Invoice'!K$2:K$801,$W207)="","",INDEX('Per Invoice'!K$2:K$801,$W207)))</f>
        <v/>
      </c>
      <c r="L207" s="14">
        <f>IF($W207="","",IF(INDEX('Per Invoice'!L$2:L$801,$W207)="","",INDEX('Per Invoice'!L$2:L$801,$W207)))</f>
        <v/>
      </c>
      <c r="M207">
        <f>IF($W207="","",IF(INDEX('Per Invoice'!M$2:M$801,$W207)="","",INDEX('Per Invoice'!M$2:M$801,$W207)))</f>
        <v/>
      </c>
      <c r="N207" s="7">
        <f>IF($W207="","",IF(INDEX('Per Invoice'!N$2:N$801,$W207)="","",INDEX('Per Invoice'!N$2:N$801,$W207)))</f>
        <v/>
      </c>
      <c r="O207" s="7">
        <f>IF($W207="","",IF(INDEX('Per Invoice'!O$2:O$801,$W207)="","",INDEX('Per Invoice'!O$2:O$801,$W207)))</f>
        <v/>
      </c>
      <c r="P207">
        <f>IF($W207="","",IF(INDEX('Per Invoice'!P$2:P$801,$W207)="","",INDEX('Per Invoice'!P$2:P$801,$W207)))</f>
        <v/>
      </c>
      <c r="Q207" s="7">
        <f>IF($W207="","",IF(INDEX('Per Invoice'!Q$2:Q$801,$W207)="","",INDEX('Per Invoice'!Q$2:Q$801,$W207)))</f>
        <v/>
      </c>
      <c r="R207" s="7">
        <f>IF($W207="","",IF(INDEX('Per Invoice'!R$2:R$801,$W207)="","",INDEX('Per Invoice'!R$2:R$801,$W207)))</f>
        <v/>
      </c>
      <c r="S207" s="7">
        <f>IF($W207="","",IF(INDEX('Per Invoice'!S$2:S$801,$W207)="","",INDEX('Per Invoice'!S$2:S$801,$W207)))</f>
        <v/>
      </c>
      <c r="T207" s="7">
        <f>IF($W207="","",IF(INDEX('Per Invoice'!T$2:T$801,$W207)="","",INDEX('Per Invoice'!T$2:T$801,$W207)))</f>
        <v/>
      </c>
      <c r="U207" s="7">
        <f>IF($W207="","",IF(INDEX('Per Invoice'!U$2:U$801,$W207)="","",INDEX('Per Invoice'!U$2:U$801,$W207)))</f>
        <v/>
      </c>
      <c r="V207" s="7">
        <f>IF($W207="","",IF(INDEX('Per Invoice'!V$2:V$801,$W207)="","",INDEX('Per Invoice'!V$2:V$801,$W207)))</f>
        <v/>
      </c>
      <c r="W207" s="16">
        <f>IFERROR(MATCH(Settings!$C$31&amp;"|"&amp;ROWS($W$2:$W207),'Per Invoice'!$X$2:$X$801,0),"")</f>
        <v/>
      </c>
    </row>
    <row r="208">
      <c r="A208">
        <f>IF($W208="","",IF(INDEX('Per Invoice'!A$2:A$801,$W208)="","",INDEX('Per Invoice'!A$2:A$801,$W208)))</f>
        <v/>
      </c>
      <c r="B208">
        <f>IF($W208="","",IF(INDEX('Per Invoice'!B$2:B$801,$W208)="","",INDEX('Per Invoice'!B$2:B$801,$W208)))</f>
        <v/>
      </c>
      <c r="C208">
        <f>IF($W208="","",IF(INDEX('Per Invoice'!C$2:C$801,$W208)="","",INDEX('Per Invoice'!C$2:C$801,$W208)))</f>
        <v/>
      </c>
      <c r="D208">
        <f>IF($W208="","",IF(INDEX('Per Invoice'!D$2:D$801,$W208)="","",INDEX('Per Invoice'!D$2:D$801,$W208)))</f>
        <v/>
      </c>
      <c r="E208">
        <f>IF($W208="","",IF(INDEX('Per Invoice'!E$2:E$801,$W208)="","",INDEX('Per Invoice'!E$2:E$801,$W208)))</f>
        <v/>
      </c>
      <c r="F208">
        <f>IF($W208="","",IF(INDEX('Per Invoice'!F$2:F$801,$W208)="","",INDEX('Per Invoice'!F$2:F$801,$W208)))</f>
        <v/>
      </c>
      <c r="G208">
        <f>IF($W208="","",IF(INDEX('Per Invoice'!G$2:G$801,$W208)="","",INDEX('Per Invoice'!G$2:G$801,$W208)))</f>
        <v/>
      </c>
      <c r="H208">
        <f>IF($W208="","",IF(INDEX('Per Invoice'!H$2:H$801,$W208)="","",INDEX('Per Invoice'!H$2:H$801,$W208)))</f>
        <v/>
      </c>
      <c r="I208">
        <f>IF($W208="","",IF(INDEX('Per Invoice'!I$2:I$801,$W208)="","",INDEX('Per Invoice'!I$2:I$801,$W208)))</f>
        <v/>
      </c>
      <c r="J208">
        <f>IF($W208="","",IF(INDEX('Per Invoice'!J$2:J$801,$W208)="","",INDEX('Per Invoice'!J$2:J$801,$W208)))</f>
        <v/>
      </c>
      <c r="K208" s="7">
        <f>IF($W208="","",IF(INDEX('Per Invoice'!K$2:K$801,$W208)="","",INDEX('Per Invoice'!K$2:K$801,$W208)))</f>
        <v/>
      </c>
      <c r="L208" s="14">
        <f>IF($W208="","",IF(INDEX('Per Invoice'!L$2:L$801,$W208)="","",INDEX('Per Invoice'!L$2:L$801,$W208)))</f>
        <v/>
      </c>
      <c r="M208">
        <f>IF($W208="","",IF(INDEX('Per Invoice'!M$2:M$801,$W208)="","",INDEX('Per Invoice'!M$2:M$801,$W208)))</f>
        <v/>
      </c>
      <c r="N208" s="7">
        <f>IF($W208="","",IF(INDEX('Per Invoice'!N$2:N$801,$W208)="","",INDEX('Per Invoice'!N$2:N$801,$W208)))</f>
        <v/>
      </c>
      <c r="O208" s="7">
        <f>IF($W208="","",IF(INDEX('Per Invoice'!O$2:O$801,$W208)="","",INDEX('Per Invoice'!O$2:O$801,$W208)))</f>
        <v/>
      </c>
      <c r="P208">
        <f>IF($W208="","",IF(INDEX('Per Invoice'!P$2:P$801,$W208)="","",INDEX('Per Invoice'!P$2:P$801,$W208)))</f>
        <v/>
      </c>
      <c r="Q208" s="7">
        <f>IF($W208="","",IF(INDEX('Per Invoice'!Q$2:Q$801,$W208)="","",INDEX('Per Invoice'!Q$2:Q$801,$W208)))</f>
        <v/>
      </c>
      <c r="R208" s="7">
        <f>IF($W208="","",IF(INDEX('Per Invoice'!R$2:R$801,$W208)="","",INDEX('Per Invoice'!R$2:R$801,$W208)))</f>
        <v/>
      </c>
      <c r="S208" s="7">
        <f>IF($W208="","",IF(INDEX('Per Invoice'!S$2:S$801,$W208)="","",INDEX('Per Invoice'!S$2:S$801,$W208)))</f>
        <v/>
      </c>
      <c r="T208" s="7">
        <f>IF($W208="","",IF(INDEX('Per Invoice'!T$2:T$801,$W208)="","",INDEX('Per Invoice'!T$2:T$801,$W208)))</f>
        <v/>
      </c>
      <c r="U208" s="7">
        <f>IF($W208="","",IF(INDEX('Per Invoice'!U$2:U$801,$W208)="","",INDEX('Per Invoice'!U$2:U$801,$W208)))</f>
        <v/>
      </c>
      <c r="V208" s="7">
        <f>IF($W208="","",IF(INDEX('Per Invoice'!V$2:V$801,$W208)="","",INDEX('Per Invoice'!V$2:V$801,$W208)))</f>
        <v/>
      </c>
      <c r="W208" s="16">
        <f>IFERROR(MATCH(Settings!$C$31&amp;"|"&amp;ROWS($W$2:$W208),'Per Invoice'!$X$2:$X$801,0),"")</f>
        <v/>
      </c>
    </row>
    <row r="209">
      <c r="A209">
        <f>IF($W209="","",IF(INDEX('Per Invoice'!A$2:A$801,$W209)="","",INDEX('Per Invoice'!A$2:A$801,$W209)))</f>
        <v/>
      </c>
      <c r="B209">
        <f>IF($W209="","",IF(INDEX('Per Invoice'!B$2:B$801,$W209)="","",INDEX('Per Invoice'!B$2:B$801,$W209)))</f>
        <v/>
      </c>
      <c r="C209">
        <f>IF($W209="","",IF(INDEX('Per Invoice'!C$2:C$801,$W209)="","",INDEX('Per Invoice'!C$2:C$801,$W209)))</f>
        <v/>
      </c>
      <c r="D209">
        <f>IF($W209="","",IF(INDEX('Per Invoice'!D$2:D$801,$W209)="","",INDEX('Per Invoice'!D$2:D$801,$W209)))</f>
        <v/>
      </c>
      <c r="E209">
        <f>IF($W209="","",IF(INDEX('Per Invoice'!E$2:E$801,$W209)="","",INDEX('Per Invoice'!E$2:E$801,$W209)))</f>
        <v/>
      </c>
      <c r="F209">
        <f>IF($W209="","",IF(INDEX('Per Invoice'!F$2:F$801,$W209)="","",INDEX('Per Invoice'!F$2:F$801,$W209)))</f>
        <v/>
      </c>
      <c r="G209">
        <f>IF($W209="","",IF(INDEX('Per Invoice'!G$2:G$801,$W209)="","",INDEX('Per Invoice'!G$2:G$801,$W209)))</f>
        <v/>
      </c>
      <c r="H209">
        <f>IF($W209="","",IF(INDEX('Per Invoice'!H$2:H$801,$W209)="","",INDEX('Per Invoice'!H$2:H$801,$W209)))</f>
        <v/>
      </c>
      <c r="I209">
        <f>IF($W209="","",IF(INDEX('Per Invoice'!I$2:I$801,$W209)="","",INDEX('Per Invoice'!I$2:I$801,$W209)))</f>
        <v/>
      </c>
      <c r="J209">
        <f>IF($W209="","",IF(INDEX('Per Invoice'!J$2:J$801,$W209)="","",INDEX('Per Invoice'!J$2:J$801,$W209)))</f>
        <v/>
      </c>
      <c r="K209" s="7">
        <f>IF($W209="","",IF(INDEX('Per Invoice'!K$2:K$801,$W209)="","",INDEX('Per Invoice'!K$2:K$801,$W209)))</f>
        <v/>
      </c>
      <c r="L209" s="14">
        <f>IF($W209="","",IF(INDEX('Per Invoice'!L$2:L$801,$W209)="","",INDEX('Per Invoice'!L$2:L$801,$W209)))</f>
        <v/>
      </c>
      <c r="M209">
        <f>IF($W209="","",IF(INDEX('Per Invoice'!M$2:M$801,$W209)="","",INDEX('Per Invoice'!M$2:M$801,$W209)))</f>
        <v/>
      </c>
      <c r="N209" s="7">
        <f>IF($W209="","",IF(INDEX('Per Invoice'!N$2:N$801,$W209)="","",INDEX('Per Invoice'!N$2:N$801,$W209)))</f>
        <v/>
      </c>
      <c r="O209" s="7">
        <f>IF($W209="","",IF(INDEX('Per Invoice'!O$2:O$801,$W209)="","",INDEX('Per Invoice'!O$2:O$801,$W209)))</f>
        <v/>
      </c>
      <c r="P209">
        <f>IF($W209="","",IF(INDEX('Per Invoice'!P$2:P$801,$W209)="","",INDEX('Per Invoice'!P$2:P$801,$W209)))</f>
        <v/>
      </c>
      <c r="Q209" s="7">
        <f>IF($W209="","",IF(INDEX('Per Invoice'!Q$2:Q$801,$W209)="","",INDEX('Per Invoice'!Q$2:Q$801,$W209)))</f>
        <v/>
      </c>
      <c r="R209" s="7">
        <f>IF($W209="","",IF(INDEX('Per Invoice'!R$2:R$801,$W209)="","",INDEX('Per Invoice'!R$2:R$801,$W209)))</f>
        <v/>
      </c>
      <c r="S209" s="7">
        <f>IF($W209="","",IF(INDEX('Per Invoice'!S$2:S$801,$W209)="","",INDEX('Per Invoice'!S$2:S$801,$W209)))</f>
        <v/>
      </c>
      <c r="T209" s="7">
        <f>IF($W209="","",IF(INDEX('Per Invoice'!T$2:T$801,$W209)="","",INDEX('Per Invoice'!T$2:T$801,$W209)))</f>
        <v/>
      </c>
      <c r="U209" s="7">
        <f>IF($W209="","",IF(INDEX('Per Invoice'!U$2:U$801,$W209)="","",INDEX('Per Invoice'!U$2:U$801,$W209)))</f>
        <v/>
      </c>
      <c r="V209" s="7">
        <f>IF($W209="","",IF(INDEX('Per Invoice'!V$2:V$801,$W209)="","",INDEX('Per Invoice'!V$2:V$801,$W209)))</f>
        <v/>
      </c>
      <c r="W209" s="16">
        <f>IFERROR(MATCH(Settings!$C$31&amp;"|"&amp;ROWS($W$2:$W209),'Per Invoice'!$X$2:$X$801,0),"")</f>
        <v/>
      </c>
    </row>
    <row r="210">
      <c r="A210">
        <f>IF($W210="","",IF(INDEX('Per Invoice'!A$2:A$801,$W210)="","",INDEX('Per Invoice'!A$2:A$801,$W210)))</f>
        <v/>
      </c>
      <c r="B210">
        <f>IF($W210="","",IF(INDEX('Per Invoice'!B$2:B$801,$W210)="","",INDEX('Per Invoice'!B$2:B$801,$W210)))</f>
        <v/>
      </c>
      <c r="C210">
        <f>IF($W210="","",IF(INDEX('Per Invoice'!C$2:C$801,$W210)="","",INDEX('Per Invoice'!C$2:C$801,$W210)))</f>
        <v/>
      </c>
      <c r="D210">
        <f>IF($W210="","",IF(INDEX('Per Invoice'!D$2:D$801,$W210)="","",INDEX('Per Invoice'!D$2:D$801,$W210)))</f>
        <v/>
      </c>
      <c r="E210">
        <f>IF($W210="","",IF(INDEX('Per Invoice'!E$2:E$801,$W210)="","",INDEX('Per Invoice'!E$2:E$801,$W210)))</f>
        <v/>
      </c>
      <c r="F210">
        <f>IF($W210="","",IF(INDEX('Per Invoice'!F$2:F$801,$W210)="","",INDEX('Per Invoice'!F$2:F$801,$W210)))</f>
        <v/>
      </c>
      <c r="G210">
        <f>IF($W210="","",IF(INDEX('Per Invoice'!G$2:G$801,$W210)="","",INDEX('Per Invoice'!G$2:G$801,$W210)))</f>
        <v/>
      </c>
      <c r="H210">
        <f>IF($W210="","",IF(INDEX('Per Invoice'!H$2:H$801,$W210)="","",INDEX('Per Invoice'!H$2:H$801,$W210)))</f>
        <v/>
      </c>
      <c r="I210">
        <f>IF($W210="","",IF(INDEX('Per Invoice'!I$2:I$801,$W210)="","",INDEX('Per Invoice'!I$2:I$801,$W210)))</f>
        <v/>
      </c>
      <c r="J210">
        <f>IF($W210="","",IF(INDEX('Per Invoice'!J$2:J$801,$W210)="","",INDEX('Per Invoice'!J$2:J$801,$W210)))</f>
        <v/>
      </c>
      <c r="K210" s="7">
        <f>IF($W210="","",IF(INDEX('Per Invoice'!K$2:K$801,$W210)="","",INDEX('Per Invoice'!K$2:K$801,$W210)))</f>
        <v/>
      </c>
      <c r="L210" s="14">
        <f>IF($W210="","",IF(INDEX('Per Invoice'!L$2:L$801,$W210)="","",INDEX('Per Invoice'!L$2:L$801,$W210)))</f>
        <v/>
      </c>
      <c r="M210">
        <f>IF($W210="","",IF(INDEX('Per Invoice'!M$2:M$801,$W210)="","",INDEX('Per Invoice'!M$2:M$801,$W210)))</f>
        <v/>
      </c>
      <c r="N210" s="7">
        <f>IF($W210="","",IF(INDEX('Per Invoice'!N$2:N$801,$W210)="","",INDEX('Per Invoice'!N$2:N$801,$W210)))</f>
        <v/>
      </c>
      <c r="O210" s="7">
        <f>IF($W210="","",IF(INDEX('Per Invoice'!O$2:O$801,$W210)="","",INDEX('Per Invoice'!O$2:O$801,$W210)))</f>
        <v/>
      </c>
      <c r="P210">
        <f>IF($W210="","",IF(INDEX('Per Invoice'!P$2:P$801,$W210)="","",INDEX('Per Invoice'!P$2:P$801,$W210)))</f>
        <v/>
      </c>
      <c r="Q210" s="7">
        <f>IF($W210="","",IF(INDEX('Per Invoice'!Q$2:Q$801,$W210)="","",INDEX('Per Invoice'!Q$2:Q$801,$W210)))</f>
        <v/>
      </c>
      <c r="R210" s="7">
        <f>IF($W210="","",IF(INDEX('Per Invoice'!R$2:R$801,$W210)="","",INDEX('Per Invoice'!R$2:R$801,$W210)))</f>
        <v/>
      </c>
      <c r="S210" s="7">
        <f>IF($W210="","",IF(INDEX('Per Invoice'!S$2:S$801,$W210)="","",INDEX('Per Invoice'!S$2:S$801,$W210)))</f>
        <v/>
      </c>
      <c r="T210" s="7">
        <f>IF($W210="","",IF(INDEX('Per Invoice'!T$2:T$801,$W210)="","",INDEX('Per Invoice'!T$2:T$801,$W210)))</f>
        <v/>
      </c>
      <c r="U210" s="7">
        <f>IF($W210="","",IF(INDEX('Per Invoice'!U$2:U$801,$W210)="","",INDEX('Per Invoice'!U$2:U$801,$W210)))</f>
        <v/>
      </c>
      <c r="V210" s="7">
        <f>IF($W210="","",IF(INDEX('Per Invoice'!V$2:V$801,$W210)="","",INDEX('Per Invoice'!V$2:V$801,$W210)))</f>
        <v/>
      </c>
      <c r="W210" s="16">
        <f>IFERROR(MATCH(Settings!$C$31&amp;"|"&amp;ROWS($W$2:$W210),'Per Invoice'!$X$2:$X$801,0),"")</f>
        <v/>
      </c>
    </row>
    <row r="211">
      <c r="A211">
        <f>IF($W211="","",IF(INDEX('Per Invoice'!A$2:A$801,$W211)="","",INDEX('Per Invoice'!A$2:A$801,$W211)))</f>
        <v/>
      </c>
      <c r="B211">
        <f>IF($W211="","",IF(INDEX('Per Invoice'!B$2:B$801,$W211)="","",INDEX('Per Invoice'!B$2:B$801,$W211)))</f>
        <v/>
      </c>
      <c r="C211">
        <f>IF($W211="","",IF(INDEX('Per Invoice'!C$2:C$801,$W211)="","",INDEX('Per Invoice'!C$2:C$801,$W211)))</f>
        <v/>
      </c>
      <c r="D211">
        <f>IF($W211="","",IF(INDEX('Per Invoice'!D$2:D$801,$W211)="","",INDEX('Per Invoice'!D$2:D$801,$W211)))</f>
        <v/>
      </c>
      <c r="E211">
        <f>IF($W211="","",IF(INDEX('Per Invoice'!E$2:E$801,$W211)="","",INDEX('Per Invoice'!E$2:E$801,$W211)))</f>
        <v/>
      </c>
      <c r="F211">
        <f>IF($W211="","",IF(INDEX('Per Invoice'!F$2:F$801,$W211)="","",INDEX('Per Invoice'!F$2:F$801,$W211)))</f>
        <v/>
      </c>
      <c r="G211">
        <f>IF($W211="","",IF(INDEX('Per Invoice'!G$2:G$801,$W211)="","",INDEX('Per Invoice'!G$2:G$801,$W211)))</f>
        <v/>
      </c>
      <c r="H211">
        <f>IF($W211="","",IF(INDEX('Per Invoice'!H$2:H$801,$W211)="","",INDEX('Per Invoice'!H$2:H$801,$W211)))</f>
        <v/>
      </c>
      <c r="I211">
        <f>IF($W211="","",IF(INDEX('Per Invoice'!I$2:I$801,$W211)="","",INDEX('Per Invoice'!I$2:I$801,$W211)))</f>
        <v/>
      </c>
      <c r="J211">
        <f>IF($W211="","",IF(INDEX('Per Invoice'!J$2:J$801,$W211)="","",INDEX('Per Invoice'!J$2:J$801,$W211)))</f>
        <v/>
      </c>
      <c r="K211" s="7">
        <f>IF($W211="","",IF(INDEX('Per Invoice'!K$2:K$801,$W211)="","",INDEX('Per Invoice'!K$2:K$801,$W211)))</f>
        <v/>
      </c>
      <c r="L211" s="14">
        <f>IF($W211="","",IF(INDEX('Per Invoice'!L$2:L$801,$W211)="","",INDEX('Per Invoice'!L$2:L$801,$W211)))</f>
        <v/>
      </c>
      <c r="M211">
        <f>IF($W211="","",IF(INDEX('Per Invoice'!M$2:M$801,$W211)="","",INDEX('Per Invoice'!M$2:M$801,$W211)))</f>
        <v/>
      </c>
      <c r="N211" s="7">
        <f>IF($W211="","",IF(INDEX('Per Invoice'!N$2:N$801,$W211)="","",INDEX('Per Invoice'!N$2:N$801,$W211)))</f>
        <v/>
      </c>
      <c r="O211" s="7">
        <f>IF($W211="","",IF(INDEX('Per Invoice'!O$2:O$801,$W211)="","",INDEX('Per Invoice'!O$2:O$801,$W211)))</f>
        <v/>
      </c>
      <c r="P211">
        <f>IF($W211="","",IF(INDEX('Per Invoice'!P$2:P$801,$W211)="","",INDEX('Per Invoice'!P$2:P$801,$W211)))</f>
        <v/>
      </c>
      <c r="Q211" s="7">
        <f>IF($W211="","",IF(INDEX('Per Invoice'!Q$2:Q$801,$W211)="","",INDEX('Per Invoice'!Q$2:Q$801,$W211)))</f>
        <v/>
      </c>
      <c r="R211" s="7">
        <f>IF($W211="","",IF(INDEX('Per Invoice'!R$2:R$801,$W211)="","",INDEX('Per Invoice'!R$2:R$801,$W211)))</f>
        <v/>
      </c>
      <c r="S211" s="7">
        <f>IF($W211="","",IF(INDEX('Per Invoice'!S$2:S$801,$W211)="","",INDEX('Per Invoice'!S$2:S$801,$W211)))</f>
        <v/>
      </c>
      <c r="T211" s="7">
        <f>IF($W211="","",IF(INDEX('Per Invoice'!T$2:T$801,$W211)="","",INDEX('Per Invoice'!T$2:T$801,$W211)))</f>
        <v/>
      </c>
      <c r="U211" s="7">
        <f>IF($W211="","",IF(INDEX('Per Invoice'!U$2:U$801,$W211)="","",INDEX('Per Invoice'!U$2:U$801,$W211)))</f>
        <v/>
      </c>
      <c r="V211" s="7">
        <f>IF($W211="","",IF(INDEX('Per Invoice'!V$2:V$801,$W211)="","",INDEX('Per Invoice'!V$2:V$801,$W211)))</f>
        <v/>
      </c>
      <c r="W211" s="16">
        <f>IFERROR(MATCH(Settings!$C$31&amp;"|"&amp;ROWS($W$2:$W211),'Per Invoice'!$X$2:$X$801,0),"")</f>
        <v/>
      </c>
    </row>
    <row r="212">
      <c r="A212">
        <f>IF($W212="","",IF(INDEX('Per Invoice'!A$2:A$801,$W212)="","",INDEX('Per Invoice'!A$2:A$801,$W212)))</f>
        <v/>
      </c>
      <c r="B212">
        <f>IF($W212="","",IF(INDEX('Per Invoice'!B$2:B$801,$W212)="","",INDEX('Per Invoice'!B$2:B$801,$W212)))</f>
        <v/>
      </c>
      <c r="C212">
        <f>IF($W212="","",IF(INDEX('Per Invoice'!C$2:C$801,$W212)="","",INDEX('Per Invoice'!C$2:C$801,$W212)))</f>
        <v/>
      </c>
      <c r="D212">
        <f>IF($W212="","",IF(INDEX('Per Invoice'!D$2:D$801,$W212)="","",INDEX('Per Invoice'!D$2:D$801,$W212)))</f>
        <v/>
      </c>
      <c r="E212">
        <f>IF($W212="","",IF(INDEX('Per Invoice'!E$2:E$801,$W212)="","",INDEX('Per Invoice'!E$2:E$801,$W212)))</f>
        <v/>
      </c>
      <c r="F212">
        <f>IF($W212="","",IF(INDEX('Per Invoice'!F$2:F$801,$W212)="","",INDEX('Per Invoice'!F$2:F$801,$W212)))</f>
        <v/>
      </c>
      <c r="G212">
        <f>IF($W212="","",IF(INDEX('Per Invoice'!G$2:G$801,$W212)="","",INDEX('Per Invoice'!G$2:G$801,$W212)))</f>
        <v/>
      </c>
      <c r="H212">
        <f>IF($W212="","",IF(INDEX('Per Invoice'!H$2:H$801,$W212)="","",INDEX('Per Invoice'!H$2:H$801,$W212)))</f>
        <v/>
      </c>
      <c r="I212">
        <f>IF($W212="","",IF(INDEX('Per Invoice'!I$2:I$801,$W212)="","",INDEX('Per Invoice'!I$2:I$801,$W212)))</f>
        <v/>
      </c>
      <c r="J212">
        <f>IF($W212="","",IF(INDEX('Per Invoice'!J$2:J$801,$W212)="","",INDEX('Per Invoice'!J$2:J$801,$W212)))</f>
        <v/>
      </c>
      <c r="K212" s="7">
        <f>IF($W212="","",IF(INDEX('Per Invoice'!K$2:K$801,$W212)="","",INDEX('Per Invoice'!K$2:K$801,$W212)))</f>
        <v/>
      </c>
      <c r="L212" s="14">
        <f>IF($W212="","",IF(INDEX('Per Invoice'!L$2:L$801,$W212)="","",INDEX('Per Invoice'!L$2:L$801,$W212)))</f>
        <v/>
      </c>
      <c r="M212">
        <f>IF($W212="","",IF(INDEX('Per Invoice'!M$2:M$801,$W212)="","",INDEX('Per Invoice'!M$2:M$801,$W212)))</f>
        <v/>
      </c>
      <c r="N212" s="7">
        <f>IF($W212="","",IF(INDEX('Per Invoice'!N$2:N$801,$W212)="","",INDEX('Per Invoice'!N$2:N$801,$W212)))</f>
        <v/>
      </c>
      <c r="O212" s="7">
        <f>IF($W212="","",IF(INDEX('Per Invoice'!O$2:O$801,$W212)="","",INDEX('Per Invoice'!O$2:O$801,$W212)))</f>
        <v/>
      </c>
      <c r="P212">
        <f>IF($W212="","",IF(INDEX('Per Invoice'!P$2:P$801,$W212)="","",INDEX('Per Invoice'!P$2:P$801,$W212)))</f>
        <v/>
      </c>
      <c r="Q212" s="7">
        <f>IF($W212="","",IF(INDEX('Per Invoice'!Q$2:Q$801,$W212)="","",INDEX('Per Invoice'!Q$2:Q$801,$W212)))</f>
        <v/>
      </c>
      <c r="R212" s="7">
        <f>IF($W212="","",IF(INDEX('Per Invoice'!R$2:R$801,$W212)="","",INDEX('Per Invoice'!R$2:R$801,$W212)))</f>
        <v/>
      </c>
      <c r="S212" s="7">
        <f>IF($W212="","",IF(INDEX('Per Invoice'!S$2:S$801,$W212)="","",INDEX('Per Invoice'!S$2:S$801,$W212)))</f>
        <v/>
      </c>
      <c r="T212" s="7">
        <f>IF($W212="","",IF(INDEX('Per Invoice'!T$2:T$801,$W212)="","",INDEX('Per Invoice'!T$2:T$801,$W212)))</f>
        <v/>
      </c>
      <c r="U212" s="7">
        <f>IF($W212="","",IF(INDEX('Per Invoice'!U$2:U$801,$W212)="","",INDEX('Per Invoice'!U$2:U$801,$W212)))</f>
        <v/>
      </c>
      <c r="V212" s="7">
        <f>IF($W212="","",IF(INDEX('Per Invoice'!V$2:V$801,$W212)="","",INDEX('Per Invoice'!V$2:V$801,$W212)))</f>
        <v/>
      </c>
      <c r="W212" s="16">
        <f>IFERROR(MATCH(Settings!$C$31&amp;"|"&amp;ROWS($W$2:$W212),'Per Invoice'!$X$2:$X$801,0),"")</f>
        <v/>
      </c>
    </row>
    <row r="213">
      <c r="A213">
        <f>IF($W213="","",IF(INDEX('Per Invoice'!A$2:A$801,$W213)="","",INDEX('Per Invoice'!A$2:A$801,$W213)))</f>
        <v/>
      </c>
      <c r="B213">
        <f>IF($W213="","",IF(INDEX('Per Invoice'!B$2:B$801,$W213)="","",INDEX('Per Invoice'!B$2:B$801,$W213)))</f>
        <v/>
      </c>
      <c r="C213">
        <f>IF($W213="","",IF(INDEX('Per Invoice'!C$2:C$801,$W213)="","",INDEX('Per Invoice'!C$2:C$801,$W213)))</f>
        <v/>
      </c>
      <c r="D213">
        <f>IF($W213="","",IF(INDEX('Per Invoice'!D$2:D$801,$W213)="","",INDEX('Per Invoice'!D$2:D$801,$W213)))</f>
        <v/>
      </c>
      <c r="E213">
        <f>IF($W213="","",IF(INDEX('Per Invoice'!E$2:E$801,$W213)="","",INDEX('Per Invoice'!E$2:E$801,$W213)))</f>
        <v/>
      </c>
      <c r="F213">
        <f>IF($W213="","",IF(INDEX('Per Invoice'!F$2:F$801,$W213)="","",INDEX('Per Invoice'!F$2:F$801,$W213)))</f>
        <v/>
      </c>
      <c r="G213">
        <f>IF($W213="","",IF(INDEX('Per Invoice'!G$2:G$801,$W213)="","",INDEX('Per Invoice'!G$2:G$801,$W213)))</f>
        <v/>
      </c>
      <c r="H213">
        <f>IF($W213="","",IF(INDEX('Per Invoice'!H$2:H$801,$W213)="","",INDEX('Per Invoice'!H$2:H$801,$W213)))</f>
        <v/>
      </c>
      <c r="I213">
        <f>IF($W213="","",IF(INDEX('Per Invoice'!I$2:I$801,$W213)="","",INDEX('Per Invoice'!I$2:I$801,$W213)))</f>
        <v/>
      </c>
      <c r="J213">
        <f>IF($W213="","",IF(INDEX('Per Invoice'!J$2:J$801,$W213)="","",INDEX('Per Invoice'!J$2:J$801,$W213)))</f>
        <v/>
      </c>
      <c r="K213" s="7">
        <f>IF($W213="","",IF(INDEX('Per Invoice'!K$2:K$801,$W213)="","",INDEX('Per Invoice'!K$2:K$801,$W213)))</f>
        <v/>
      </c>
      <c r="L213" s="14">
        <f>IF($W213="","",IF(INDEX('Per Invoice'!L$2:L$801,$W213)="","",INDEX('Per Invoice'!L$2:L$801,$W213)))</f>
        <v/>
      </c>
      <c r="M213">
        <f>IF($W213="","",IF(INDEX('Per Invoice'!M$2:M$801,$W213)="","",INDEX('Per Invoice'!M$2:M$801,$W213)))</f>
        <v/>
      </c>
      <c r="N213" s="7">
        <f>IF($W213="","",IF(INDEX('Per Invoice'!N$2:N$801,$W213)="","",INDEX('Per Invoice'!N$2:N$801,$W213)))</f>
        <v/>
      </c>
      <c r="O213" s="7">
        <f>IF($W213="","",IF(INDEX('Per Invoice'!O$2:O$801,$W213)="","",INDEX('Per Invoice'!O$2:O$801,$W213)))</f>
        <v/>
      </c>
      <c r="P213">
        <f>IF($W213="","",IF(INDEX('Per Invoice'!P$2:P$801,$W213)="","",INDEX('Per Invoice'!P$2:P$801,$W213)))</f>
        <v/>
      </c>
      <c r="Q213" s="7">
        <f>IF($W213="","",IF(INDEX('Per Invoice'!Q$2:Q$801,$W213)="","",INDEX('Per Invoice'!Q$2:Q$801,$W213)))</f>
        <v/>
      </c>
      <c r="R213" s="7">
        <f>IF($W213="","",IF(INDEX('Per Invoice'!R$2:R$801,$W213)="","",INDEX('Per Invoice'!R$2:R$801,$W213)))</f>
        <v/>
      </c>
      <c r="S213" s="7">
        <f>IF($W213="","",IF(INDEX('Per Invoice'!S$2:S$801,$W213)="","",INDEX('Per Invoice'!S$2:S$801,$W213)))</f>
        <v/>
      </c>
      <c r="T213" s="7">
        <f>IF($W213="","",IF(INDEX('Per Invoice'!T$2:T$801,$W213)="","",INDEX('Per Invoice'!T$2:T$801,$W213)))</f>
        <v/>
      </c>
      <c r="U213" s="7">
        <f>IF($W213="","",IF(INDEX('Per Invoice'!U$2:U$801,$W213)="","",INDEX('Per Invoice'!U$2:U$801,$W213)))</f>
        <v/>
      </c>
      <c r="V213" s="7">
        <f>IF($W213="","",IF(INDEX('Per Invoice'!V$2:V$801,$W213)="","",INDEX('Per Invoice'!V$2:V$801,$W213)))</f>
        <v/>
      </c>
      <c r="W213" s="16">
        <f>IFERROR(MATCH(Settings!$C$31&amp;"|"&amp;ROWS($W$2:$W213),'Per Invoice'!$X$2:$X$801,0),"")</f>
        <v/>
      </c>
    </row>
    <row r="214">
      <c r="A214">
        <f>IF($W214="","",IF(INDEX('Per Invoice'!A$2:A$801,$W214)="","",INDEX('Per Invoice'!A$2:A$801,$W214)))</f>
        <v/>
      </c>
      <c r="B214">
        <f>IF($W214="","",IF(INDEX('Per Invoice'!B$2:B$801,$W214)="","",INDEX('Per Invoice'!B$2:B$801,$W214)))</f>
        <v/>
      </c>
      <c r="C214">
        <f>IF($W214="","",IF(INDEX('Per Invoice'!C$2:C$801,$W214)="","",INDEX('Per Invoice'!C$2:C$801,$W214)))</f>
        <v/>
      </c>
      <c r="D214">
        <f>IF($W214="","",IF(INDEX('Per Invoice'!D$2:D$801,$W214)="","",INDEX('Per Invoice'!D$2:D$801,$W214)))</f>
        <v/>
      </c>
      <c r="E214">
        <f>IF($W214="","",IF(INDEX('Per Invoice'!E$2:E$801,$W214)="","",INDEX('Per Invoice'!E$2:E$801,$W214)))</f>
        <v/>
      </c>
      <c r="F214">
        <f>IF($W214="","",IF(INDEX('Per Invoice'!F$2:F$801,$W214)="","",INDEX('Per Invoice'!F$2:F$801,$W214)))</f>
        <v/>
      </c>
      <c r="G214">
        <f>IF($W214="","",IF(INDEX('Per Invoice'!G$2:G$801,$W214)="","",INDEX('Per Invoice'!G$2:G$801,$W214)))</f>
        <v/>
      </c>
      <c r="H214">
        <f>IF($W214="","",IF(INDEX('Per Invoice'!H$2:H$801,$W214)="","",INDEX('Per Invoice'!H$2:H$801,$W214)))</f>
        <v/>
      </c>
      <c r="I214">
        <f>IF($W214="","",IF(INDEX('Per Invoice'!I$2:I$801,$W214)="","",INDEX('Per Invoice'!I$2:I$801,$W214)))</f>
        <v/>
      </c>
      <c r="J214">
        <f>IF($W214="","",IF(INDEX('Per Invoice'!J$2:J$801,$W214)="","",INDEX('Per Invoice'!J$2:J$801,$W214)))</f>
        <v/>
      </c>
      <c r="K214" s="7">
        <f>IF($W214="","",IF(INDEX('Per Invoice'!K$2:K$801,$W214)="","",INDEX('Per Invoice'!K$2:K$801,$W214)))</f>
        <v/>
      </c>
      <c r="L214" s="14">
        <f>IF($W214="","",IF(INDEX('Per Invoice'!L$2:L$801,$W214)="","",INDEX('Per Invoice'!L$2:L$801,$W214)))</f>
        <v/>
      </c>
      <c r="M214">
        <f>IF($W214="","",IF(INDEX('Per Invoice'!M$2:M$801,$W214)="","",INDEX('Per Invoice'!M$2:M$801,$W214)))</f>
        <v/>
      </c>
      <c r="N214" s="7">
        <f>IF($W214="","",IF(INDEX('Per Invoice'!N$2:N$801,$W214)="","",INDEX('Per Invoice'!N$2:N$801,$W214)))</f>
        <v/>
      </c>
      <c r="O214" s="7">
        <f>IF($W214="","",IF(INDEX('Per Invoice'!O$2:O$801,$W214)="","",INDEX('Per Invoice'!O$2:O$801,$W214)))</f>
        <v/>
      </c>
      <c r="P214">
        <f>IF($W214="","",IF(INDEX('Per Invoice'!P$2:P$801,$W214)="","",INDEX('Per Invoice'!P$2:P$801,$W214)))</f>
        <v/>
      </c>
      <c r="Q214" s="7">
        <f>IF($W214="","",IF(INDEX('Per Invoice'!Q$2:Q$801,$W214)="","",INDEX('Per Invoice'!Q$2:Q$801,$W214)))</f>
        <v/>
      </c>
      <c r="R214" s="7">
        <f>IF($W214="","",IF(INDEX('Per Invoice'!R$2:R$801,$W214)="","",INDEX('Per Invoice'!R$2:R$801,$W214)))</f>
        <v/>
      </c>
      <c r="S214" s="7">
        <f>IF($W214="","",IF(INDEX('Per Invoice'!S$2:S$801,$W214)="","",INDEX('Per Invoice'!S$2:S$801,$W214)))</f>
        <v/>
      </c>
      <c r="T214" s="7">
        <f>IF($W214="","",IF(INDEX('Per Invoice'!T$2:T$801,$W214)="","",INDEX('Per Invoice'!T$2:T$801,$W214)))</f>
        <v/>
      </c>
      <c r="U214" s="7">
        <f>IF($W214="","",IF(INDEX('Per Invoice'!U$2:U$801,$W214)="","",INDEX('Per Invoice'!U$2:U$801,$W214)))</f>
        <v/>
      </c>
      <c r="V214" s="7">
        <f>IF($W214="","",IF(INDEX('Per Invoice'!V$2:V$801,$W214)="","",INDEX('Per Invoice'!V$2:V$801,$W214)))</f>
        <v/>
      </c>
      <c r="W214" s="16">
        <f>IFERROR(MATCH(Settings!$C$31&amp;"|"&amp;ROWS($W$2:$W214),'Per Invoice'!$X$2:$X$801,0),"")</f>
        <v/>
      </c>
    </row>
    <row r="215">
      <c r="A215">
        <f>IF($W215="","",IF(INDEX('Per Invoice'!A$2:A$801,$W215)="","",INDEX('Per Invoice'!A$2:A$801,$W215)))</f>
        <v/>
      </c>
      <c r="B215">
        <f>IF($W215="","",IF(INDEX('Per Invoice'!B$2:B$801,$W215)="","",INDEX('Per Invoice'!B$2:B$801,$W215)))</f>
        <v/>
      </c>
      <c r="C215">
        <f>IF($W215="","",IF(INDEX('Per Invoice'!C$2:C$801,$W215)="","",INDEX('Per Invoice'!C$2:C$801,$W215)))</f>
        <v/>
      </c>
      <c r="D215">
        <f>IF($W215="","",IF(INDEX('Per Invoice'!D$2:D$801,$W215)="","",INDEX('Per Invoice'!D$2:D$801,$W215)))</f>
        <v/>
      </c>
      <c r="E215">
        <f>IF($W215="","",IF(INDEX('Per Invoice'!E$2:E$801,$W215)="","",INDEX('Per Invoice'!E$2:E$801,$W215)))</f>
        <v/>
      </c>
      <c r="F215">
        <f>IF($W215="","",IF(INDEX('Per Invoice'!F$2:F$801,$W215)="","",INDEX('Per Invoice'!F$2:F$801,$W215)))</f>
        <v/>
      </c>
      <c r="G215">
        <f>IF($W215="","",IF(INDEX('Per Invoice'!G$2:G$801,$W215)="","",INDEX('Per Invoice'!G$2:G$801,$W215)))</f>
        <v/>
      </c>
      <c r="H215">
        <f>IF($W215="","",IF(INDEX('Per Invoice'!H$2:H$801,$W215)="","",INDEX('Per Invoice'!H$2:H$801,$W215)))</f>
        <v/>
      </c>
      <c r="I215">
        <f>IF($W215="","",IF(INDEX('Per Invoice'!I$2:I$801,$W215)="","",INDEX('Per Invoice'!I$2:I$801,$W215)))</f>
        <v/>
      </c>
      <c r="J215">
        <f>IF($W215="","",IF(INDEX('Per Invoice'!J$2:J$801,$W215)="","",INDEX('Per Invoice'!J$2:J$801,$W215)))</f>
        <v/>
      </c>
      <c r="K215" s="7">
        <f>IF($W215="","",IF(INDEX('Per Invoice'!K$2:K$801,$W215)="","",INDEX('Per Invoice'!K$2:K$801,$W215)))</f>
        <v/>
      </c>
      <c r="L215" s="14">
        <f>IF($W215="","",IF(INDEX('Per Invoice'!L$2:L$801,$W215)="","",INDEX('Per Invoice'!L$2:L$801,$W215)))</f>
        <v/>
      </c>
      <c r="M215">
        <f>IF($W215="","",IF(INDEX('Per Invoice'!M$2:M$801,$W215)="","",INDEX('Per Invoice'!M$2:M$801,$W215)))</f>
        <v/>
      </c>
      <c r="N215" s="7">
        <f>IF($W215="","",IF(INDEX('Per Invoice'!N$2:N$801,$W215)="","",INDEX('Per Invoice'!N$2:N$801,$W215)))</f>
        <v/>
      </c>
      <c r="O215" s="7">
        <f>IF($W215="","",IF(INDEX('Per Invoice'!O$2:O$801,$W215)="","",INDEX('Per Invoice'!O$2:O$801,$W215)))</f>
        <v/>
      </c>
      <c r="P215">
        <f>IF($W215="","",IF(INDEX('Per Invoice'!P$2:P$801,$W215)="","",INDEX('Per Invoice'!P$2:P$801,$W215)))</f>
        <v/>
      </c>
      <c r="Q215" s="7">
        <f>IF($W215="","",IF(INDEX('Per Invoice'!Q$2:Q$801,$W215)="","",INDEX('Per Invoice'!Q$2:Q$801,$W215)))</f>
        <v/>
      </c>
      <c r="R215" s="7">
        <f>IF($W215="","",IF(INDEX('Per Invoice'!R$2:R$801,$W215)="","",INDEX('Per Invoice'!R$2:R$801,$W215)))</f>
        <v/>
      </c>
      <c r="S215" s="7">
        <f>IF($W215="","",IF(INDEX('Per Invoice'!S$2:S$801,$W215)="","",INDEX('Per Invoice'!S$2:S$801,$W215)))</f>
        <v/>
      </c>
      <c r="T215" s="7">
        <f>IF($W215="","",IF(INDEX('Per Invoice'!T$2:T$801,$W215)="","",INDEX('Per Invoice'!T$2:T$801,$W215)))</f>
        <v/>
      </c>
      <c r="U215" s="7">
        <f>IF($W215="","",IF(INDEX('Per Invoice'!U$2:U$801,$W215)="","",INDEX('Per Invoice'!U$2:U$801,$W215)))</f>
        <v/>
      </c>
      <c r="V215" s="7">
        <f>IF($W215="","",IF(INDEX('Per Invoice'!V$2:V$801,$W215)="","",INDEX('Per Invoice'!V$2:V$801,$W215)))</f>
        <v/>
      </c>
      <c r="W215" s="16">
        <f>IFERROR(MATCH(Settings!$C$31&amp;"|"&amp;ROWS($W$2:$W215),'Per Invoice'!$X$2:$X$801,0),"")</f>
        <v/>
      </c>
    </row>
    <row r="216">
      <c r="A216">
        <f>IF($W216="","",IF(INDEX('Per Invoice'!A$2:A$801,$W216)="","",INDEX('Per Invoice'!A$2:A$801,$W216)))</f>
        <v/>
      </c>
      <c r="B216">
        <f>IF($W216="","",IF(INDEX('Per Invoice'!B$2:B$801,$W216)="","",INDEX('Per Invoice'!B$2:B$801,$W216)))</f>
        <v/>
      </c>
      <c r="C216">
        <f>IF($W216="","",IF(INDEX('Per Invoice'!C$2:C$801,$W216)="","",INDEX('Per Invoice'!C$2:C$801,$W216)))</f>
        <v/>
      </c>
      <c r="D216">
        <f>IF($W216="","",IF(INDEX('Per Invoice'!D$2:D$801,$W216)="","",INDEX('Per Invoice'!D$2:D$801,$W216)))</f>
        <v/>
      </c>
      <c r="E216">
        <f>IF($W216="","",IF(INDEX('Per Invoice'!E$2:E$801,$W216)="","",INDEX('Per Invoice'!E$2:E$801,$W216)))</f>
        <v/>
      </c>
      <c r="F216">
        <f>IF($W216="","",IF(INDEX('Per Invoice'!F$2:F$801,$W216)="","",INDEX('Per Invoice'!F$2:F$801,$W216)))</f>
        <v/>
      </c>
      <c r="G216">
        <f>IF($W216="","",IF(INDEX('Per Invoice'!G$2:G$801,$W216)="","",INDEX('Per Invoice'!G$2:G$801,$W216)))</f>
        <v/>
      </c>
      <c r="H216">
        <f>IF($W216="","",IF(INDEX('Per Invoice'!H$2:H$801,$W216)="","",INDEX('Per Invoice'!H$2:H$801,$W216)))</f>
        <v/>
      </c>
      <c r="I216">
        <f>IF($W216="","",IF(INDEX('Per Invoice'!I$2:I$801,$W216)="","",INDEX('Per Invoice'!I$2:I$801,$W216)))</f>
        <v/>
      </c>
      <c r="J216">
        <f>IF($W216="","",IF(INDEX('Per Invoice'!J$2:J$801,$W216)="","",INDEX('Per Invoice'!J$2:J$801,$W216)))</f>
        <v/>
      </c>
      <c r="K216" s="7">
        <f>IF($W216="","",IF(INDEX('Per Invoice'!K$2:K$801,$W216)="","",INDEX('Per Invoice'!K$2:K$801,$W216)))</f>
        <v/>
      </c>
      <c r="L216" s="14">
        <f>IF($W216="","",IF(INDEX('Per Invoice'!L$2:L$801,$W216)="","",INDEX('Per Invoice'!L$2:L$801,$W216)))</f>
        <v/>
      </c>
      <c r="M216">
        <f>IF($W216="","",IF(INDEX('Per Invoice'!M$2:M$801,$W216)="","",INDEX('Per Invoice'!M$2:M$801,$W216)))</f>
        <v/>
      </c>
      <c r="N216" s="7">
        <f>IF($W216="","",IF(INDEX('Per Invoice'!N$2:N$801,$W216)="","",INDEX('Per Invoice'!N$2:N$801,$W216)))</f>
        <v/>
      </c>
      <c r="O216" s="7">
        <f>IF($W216="","",IF(INDEX('Per Invoice'!O$2:O$801,$W216)="","",INDEX('Per Invoice'!O$2:O$801,$W216)))</f>
        <v/>
      </c>
      <c r="P216">
        <f>IF($W216="","",IF(INDEX('Per Invoice'!P$2:P$801,$W216)="","",INDEX('Per Invoice'!P$2:P$801,$W216)))</f>
        <v/>
      </c>
      <c r="Q216" s="7">
        <f>IF($W216="","",IF(INDEX('Per Invoice'!Q$2:Q$801,$W216)="","",INDEX('Per Invoice'!Q$2:Q$801,$W216)))</f>
        <v/>
      </c>
      <c r="R216" s="7">
        <f>IF($W216="","",IF(INDEX('Per Invoice'!R$2:R$801,$W216)="","",INDEX('Per Invoice'!R$2:R$801,$W216)))</f>
        <v/>
      </c>
      <c r="S216" s="7">
        <f>IF($W216="","",IF(INDEX('Per Invoice'!S$2:S$801,$W216)="","",INDEX('Per Invoice'!S$2:S$801,$W216)))</f>
        <v/>
      </c>
      <c r="T216" s="7">
        <f>IF($W216="","",IF(INDEX('Per Invoice'!T$2:T$801,$W216)="","",INDEX('Per Invoice'!T$2:T$801,$W216)))</f>
        <v/>
      </c>
      <c r="U216" s="7">
        <f>IF($W216="","",IF(INDEX('Per Invoice'!U$2:U$801,$W216)="","",INDEX('Per Invoice'!U$2:U$801,$W216)))</f>
        <v/>
      </c>
      <c r="V216" s="7">
        <f>IF($W216="","",IF(INDEX('Per Invoice'!V$2:V$801,$W216)="","",INDEX('Per Invoice'!V$2:V$801,$W216)))</f>
        <v/>
      </c>
      <c r="W216" s="16">
        <f>IFERROR(MATCH(Settings!$C$31&amp;"|"&amp;ROWS($W$2:$W216),'Per Invoice'!$X$2:$X$801,0),"")</f>
        <v/>
      </c>
    </row>
    <row r="217">
      <c r="A217">
        <f>IF($W217="","",IF(INDEX('Per Invoice'!A$2:A$801,$W217)="","",INDEX('Per Invoice'!A$2:A$801,$W217)))</f>
        <v/>
      </c>
      <c r="B217">
        <f>IF($W217="","",IF(INDEX('Per Invoice'!B$2:B$801,$W217)="","",INDEX('Per Invoice'!B$2:B$801,$W217)))</f>
        <v/>
      </c>
      <c r="C217">
        <f>IF($W217="","",IF(INDEX('Per Invoice'!C$2:C$801,$W217)="","",INDEX('Per Invoice'!C$2:C$801,$W217)))</f>
        <v/>
      </c>
      <c r="D217">
        <f>IF($W217="","",IF(INDEX('Per Invoice'!D$2:D$801,$W217)="","",INDEX('Per Invoice'!D$2:D$801,$W217)))</f>
        <v/>
      </c>
      <c r="E217">
        <f>IF($W217="","",IF(INDEX('Per Invoice'!E$2:E$801,$W217)="","",INDEX('Per Invoice'!E$2:E$801,$W217)))</f>
        <v/>
      </c>
      <c r="F217">
        <f>IF($W217="","",IF(INDEX('Per Invoice'!F$2:F$801,$W217)="","",INDEX('Per Invoice'!F$2:F$801,$W217)))</f>
        <v/>
      </c>
      <c r="G217">
        <f>IF($W217="","",IF(INDEX('Per Invoice'!G$2:G$801,$W217)="","",INDEX('Per Invoice'!G$2:G$801,$W217)))</f>
        <v/>
      </c>
      <c r="H217">
        <f>IF($W217="","",IF(INDEX('Per Invoice'!H$2:H$801,$W217)="","",INDEX('Per Invoice'!H$2:H$801,$W217)))</f>
        <v/>
      </c>
      <c r="I217">
        <f>IF($W217="","",IF(INDEX('Per Invoice'!I$2:I$801,$W217)="","",INDEX('Per Invoice'!I$2:I$801,$W217)))</f>
        <v/>
      </c>
      <c r="J217">
        <f>IF($W217="","",IF(INDEX('Per Invoice'!J$2:J$801,$W217)="","",INDEX('Per Invoice'!J$2:J$801,$W217)))</f>
        <v/>
      </c>
      <c r="K217" s="7">
        <f>IF($W217="","",IF(INDEX('Per Invoice'!K$2:K$801,$W217)="","",INDEX('Per Invoice'!K$2:K$801,$W217)))</f>
        <v/>
      </c>
      <c r="L217" s="14">
        <f>IF($W217="","",IF(INDEX('Per Invoice'!L$2:L$801,$W217)="","",INDEX('Per Invoice'!L$2:L$801,$W217)))</f>
        <v/>
      </c>
      <c r="M217">
        <f>IF($W217="","",IF(INDEX('Per Invoice'!M$2:M$801,$W217)="","",INDEX('Per Invoice'!M$2:M$801,$W217)))</f>
        <v/>
      </c>
      <c r="N217" s="7">
        <f>IF($W217="","",IF(INDEX('Per Invoice'!N$2:N$801,$W217)="","",INDEX('Per Invoice'!N$2:N$801,$W217)))</f>
        <v/>
      </c>
      <c r="O217" s="7">
        <f>IF($W217="","",IF(INDEX('Per Invoice'!O$2:O$801,$W217)="","",INDEX('Per Invoice'!O$2:O$801,$W217)))</f>
        <v/>
      </c>
      <c r="P217">
        <f>IF($W217="","",IF(INDEX('Per Invoice'!P$2:P$801,$W217)="","",INDEX('Per Invoice'!P$2:P$801,$W217)))</f>
        <v/>
      </c>
      <c r="Q217" s="7">
        <f>IF($W217="","",IF(INDEX('Per Invoice'!Q$2:Q$801,$W217)="","",INDEX('Per Invoice'!Q$2:Q$801,$W217)))</f>
        <v/>
      </c>
      <c r="R217" s="7">
        <f>IF($W217="","",IF(INDEX('Per Invoice'!R$2:R$801,$W217)="","",INDEX('Per Invoice'!R$2:R$801,$W217)))</f>
        <v/>
      </c>
      <c r="S217" s="7">
        <f>IF($W217="","",IF(INDEX('Per Invoice'!S$2:S$801,$W217)="","",INDEX('Per Invoice'!S$2:S$801,$W217)))</f>
        <v/>
      </c>
      <c r="T217" s="7">
        <f>IF($W217="","",IF(INDEX('Per Invoice'!T$2:T$801,$W217)="","",INDEX('Per Invoice'!T$2:T$801,$W217)))</f>
        <v/>
      </c>
      <c r="U217" s="7">
        <f>IF($W217="","",IF(INDEX('Per Invoice'!U$2:U$801,$W217)="","",INDEX('Per Invoice'!U$2:U$801,$W217)))</f>
        <v/>
      </c>
      <c r="V217" s="7">
        <f>IF($W217="","",IF(INDEX('Per Invoice'!V$2:V$801,$W217)="","",INDEX('Per Invoice'!V$2:V$801,$W217)))</f>
        <v/>
      </c>
      <c r="W217" s="16">
        <f>IFERROR(MATCH(Settings!$C$31&amp;"|"&amp;ROWS($W$2:$W217),'Per Invoice'!$X$2:$X$801,0),"")</f>
        <v/>
      </c>
    </row>
    <row r="218">
      <c r="A218">
        <f>IF($W218="","",IF(INDEX('Per Invoice'!A$2:A$801,$W218)="","",INDEX('Per Invoice'!A$2:A$801,$W218)))</f>
        <v/>
      </c>
      <c r="B218">
        <f>IF($W218="","",IF(INDEX('Per Invoice'!B$2:B$801,$W218)="","",INDEX('Per Invoice'!B$2:B$801,$W218)))</f>
        <v/>
      </c>
      <c r="C218">
        <f>IF($W218="","",IF(INDEX('Per Invoice'!C$2:C$801,$W218)="","",INDEX('Per Invoice'!C$2:C$801,$W218)))</f>
        <v/>
      </c>
      <c r="D218">
        <f>IF($W218="","",IF(INDEX('Per Invoice'!D$2:D$801,$W218)="","",INDEX('Per Invoice'!D$2:D$801,$W218)))</f>
        <v/>
      </c>
      <c r="E218">
        <f>IF($W218="","",IF(INDEX('Per Invoice'!E$2:E$801,$W218)="","",INDEX('Per Invoice'!E$2:E$801,$W218)))</f>
        <v/>
      </c>
      <c r="F218">
        <f>IF($W218="","",IF(INDEX('Per Invoice'!F$2:F$801,$W218)="","",INDEX('Per Invoice'!F$2:F$801,$W218)))</f>
        <v/>
      </c>
      <c r="G218">
        <f>IF($W218="","",IF(INDEX('Per Invoice'!G$2:G$801,$W218)="","",INDEX('Per Invoice'!G$2:G$801,$W218)))</f>
        <v/>
      </c>
      <c r="H218">
        <f>IF($W218="","",IF(INDEX('Per Invoice'!H$2:H$801,$W218)="","",INDEX('Per Invoice'!H$2:H$801,$W218)))</f>
        <v/>
      </c>
      <c r="I218">
        <f>IF($W218="","",IF(INDEX('Per Invoice'!I$2:I$801,$W218)="","",INDEX('Per Invoice'!I$2:I$801,$W218)))</f>
        <v/>
      </c>
      <c r="J218">
        <f>IF($W218="","",IF(INDEX('Per Invoice'!J$2:J$801,$W218)="","",INDEX('Per Invoice'!J$2:J$801,$W218)))</f>
        <v/>
      </c>
      <c r="K218" s="7">
        <f>IF($W218="","",IF(INDEX('Per Invoice'!K$2:K$801,$W218)="","",INDEX('Per Invoice'!K$2:K$801,$W218)))</f>
        <v/>
      </c>
      <c r="L218" s="14">
        <f>IF($W218="","",IF(INDEX('Per Invoice'!L$2:L$801,$W218)="","",INDEX('Per Invoice'!L$2:L$801,$W218)))</f>
        <v/>
      </c>
      <c r="M218">
        <f>IF($W218="","",IF(INDEX('Per Invoice'!M$2:M$801,$W218)="","",INDEX('Per Invoice'!M$2:M$801,$W218)))</f>
        <v/>
      </c>
      <c r="N218" s="7">
        <f>IF($W218="","",IF(INDEX('Per Invoice'!N$2:N$801,$W218)="","",INDEX('Per Invoice'!N$2:N$801,$W218)))</f>
        <v/>
      </c>
      <c r="O218" s="7">
        <f>IF($W218="","",IF(INDEX('Per Invoice'!O$2:O$801,$W218)="","",INDEX('Per Invoice'!O$2:O$801,$W218)))</f>
        <v/>
      </c>
      <c r="P218">
        <f>IF($W218="","",IF(INDEX('Per Invoice'!P$2:P$801,$W218)="","",INDEX('Per Invoice'!P$2:P$801,$W218)))</f>
        <v/>
      </c>
      <c r="Q218" s="7">
        <f>IF($W218="","",IF(INDEX('Per Invoice'!Q$2:Q$801,$W218)="","",INDEX('Per Invoice'!Q$2:Q$801,$W218)))</f>
        <v/>
      </c>
      <c r="R218" s="7">
        <f>IF($W218="","",IF(INDEX('Per Invoice'!R$2:R$801,$W218)="","",INDEX('Per Invoice'!R$2:R$801,$W218)))</f>
        <v/>
      </c>
      <c r="S218" s="7">
        <f>IF($W218="","",IF(INDEX('Per Invoice'!S$2:S$801,$W218)="","",INDEX('Per Invoice'!S$2:S$801,$W218)))</f>
        <v/>
      </c>
      <c r="T218" s="7">
        <f>IF($W218="","",IF(INDEX('Per Invoice'!T$2:T$801,$W218)="","",INDEX('Per Invoice'!T$2:T$801,$W218)))</f>
        <v/>
      </c>
      <c r="U218" s="7">
        <f>IF($W218="","",IF(INDEX('Per Invoice'!U$2:U$801,$W218)="","",INDEX('Per Invoice'!U$2:U$801,$W218)))</f>
        <v/>
      </c>
      <c r="V218" s="7">
        <f>IF($W218="","",IF(INDEX('Per Invoice'!V$2:V$801,$W218)="","",INDEX('Per Invoice'!V$2:V$801,$W218)))</f>
        <v/>
      </c>
      <c r="W218" s="16">
        <f>IFERROR(MATCH(Settings!$C$31&amp;"|"&amp;ROWS($W$2:$W218),'Per Invoice'!$X$2:$X$801,0),"")</f>
        <v/>
      </c>
    </row>
    <row r="219">
      <c r="A219">
        <f>IF($W219="","",IF(INDEX('Per Invoice'!A$2:A$801,$W219)="","",INDEX('Per Invoice'!A$2:A$801,$W219)))</f>
        <v/>
      </c>
      <c r="B219">
        <f>IF($W219="","",IF(INDEX('Per Invoice'!B$2:B$801,$W219)="","",INDEX('Per Invoice'!B$2:B$801,$W219)))</f>
        <v/>
      </c>
      <c r="C219">
        <f>IF($W219="","",IF(INDEX('Per Invoice'!C$2:C$801,$W219)="","",INDEX('Per Invoice'!C$2:C$801,$W219)))</f>
        <v/>
      </c>
      <c r="D219">
        <f>IF($W219="","",IF(INDEX('Per Invoice'!D$2:D$801,$W219)="","",INDEX('Per Invoice'!D$2:D$801,$W219)))</f>
        <v/>
      </c>
      <c r="E219">
        <f>IF($W219="","",IF(INDEX('Per Invoice'!E$2:E$801,$W219)="","",INDEX('Per Invoice'!E$2:E$801,$W219)))</f>
        <v/>
      </c>
      <c r="F219">
        <f>IF($W219="","",IF(INDEX('Per Invoice'!F$2:F$801,$W219)="","",INDEX('Per Invoice'!F$2:F$801,$W219)))</f>
        <v/>
      </c>
      <c r="G219">
        <f>IF($W219="","",IF(INDEX('Per Invoice'!G$2:G$801,$W219)="","",INDEX('Per Invoice'!G$2:G$801,$W219)))</f>
        <v/>
      </c>
      <c r="H219">
        <f>IF($W219="","",IF(INDEX('Per Invoice'!H$2:H$801,$W219)="","",INDEX('Per Invoice'!H$2:H$801,$W219)))</f>
        <v/>
      </c>
      <c r="I219">
        <f>IF($W219="","",IF(INDEX('Per Invoice'!I$2:I$801,$W219)="","",INDEX('Per Invoice'!I$2:I$801,$W219)))</f>
        <v/>
      </c>
      <c r="J219">
        <f>IF($W219="","",IF(INDEX('Per Invoice'!J$2:J$801,$W219)="","",INDEX('Per Invoice'!J$2:J$801,$W219)))</f>
        <v/>
      </c>
      <c r="K219" s="7">
        <f>IF($W219="","",IF(INDEX('Per Invoice'!K$2:K$801,$W219)="","",INDEX('Per Invoice'!K$2:K$801,$W219)))</f>
        <v/>
      </c>
      <c r="L219" s="14">
        <f>IF($W219="","",IF(INDEX('Per Invoice'!L$2:L$801,$W219)="","",INDEX('Per Invoice'!L$2:L$801,$W219)))</f>
        <v/>
      </c>
      <c r="M219">
        <f>IF($W219="","",IF(INDEX('Per Invoice'!M$2:M$801,$W219)="","",INDEX('Per Invoice'!M$2:M$801,$W219)))</f>
        <v/>
      </c>
      <c r="N219" s="7">
        <f>IF($W219="","",IF(INDEX('Per Invoice'!N$2:N$801,$W219)="","",INDEX('Per Invoice'!N$2:N$801,$W219)))</f>
        <v/>
      </c>
      <c r="O219" s="7">
        <f>IF($W219="","",IF(INDEX('Per Invoice'!O$2:O$801,$W219)="","",INDEX('Per Invoice'!O$2:O$801,$W219)))</f>
        <v/>
      </c>
      <c r="P219">
        <f>IF($W219="","",IF(INDEX('Per Invoice'!P$2:P$801,$W219)="","",INDEX('Per Invoice'!P$2:P$801,$W219)))</f>
        <v/>
      </c>
      <c r="Q219" s="7">
        <f>IF($W219="","",IF(INDEX('Per Invoice'!Q$2:Q$801,$W219)="","",INDEX('Per Invoice'!Q$2:Q$801,$W219)))</f>
        <v/>
      </c>
      <c r="R219" s="7">
        <f>IF($W219="","",IF(INDEX('Per Invoice'!R$2:R$801,$W219)="","",INDEX('Per Invoice'!R$2:R$801,$W219)))</f>
        <v/>
      </c>
      <c r="S219" s="7">
        <f>IF($W219="","",IF(INDEX('Per Invoice'!S$2:S$801,$W219)="","",INDEX('Per Invoice'!S$2:S$801,$W219)))</f>
        <v/>
      </c>
      <c r="T219" s="7">
        <f>IF($W219="","",IF(INDEX('Per Invoice'!T$2:T$801,$W219)="","",INDEX('Per Invoice'!T$2:T$801,$W219)))</f>
        <v/>
      </c>
      <c r="U219" s="7">
        <f>IF($W219="","",IF(INDEX('Per Invoice'!U$2:U$801,$W219)="","",INDEX('Per Invoice'!U$2:U$801,$W219)))</f>
        <v/>
      </c>
      <c r="V219" s="7">
        <f>IF($W219="","",IF(INDEX('Per Invoice'!V$2:V$801,$W219)="","",INDEX('Per Invoice'!V$2:V$801,$W219)))</f>
        <v/>
      </c>
      <c r="W219" s="16">
        <f>IFERROR(MATCH(Settings!$C$31&amp;"|"&amp;ROWS($W$2:$W219),'Per Invoice'!$X$2:$X$801,0),"")</f>
        <v/>
      </c>
    </row>
    <row r="220">
      <c r="A220">
        <f>IF($W220="","",IF(INDEX('Per Invoice'!A$2:A$801,$W220)="","",INDEX('Per Invoice'!A$2:A$801,$W220)))</f>
        <v/>
      </c>
      <c r="B220">
        <f>IF($W220="","",IF(INDEX('Per Invoice'!B$2:B$801,$W220)="","",INDEX('Per Invoice'!B$2:B$801,$W220)))</f>
        <v/>
      </c>
      <c r="C220">
        <f>IF($W220="","",IF(INDEX('Per Invoice'!C$2:C$801,$W220)="","",INDEX('Per Invoice'!C$2:C$801,$W220)))</f>
        <v/>
      </c>
      <c r="D220">
        <f>IF($W220="","",IF(INDEX('Per Invoice'!D$2:D$801,$W220)="","",INDEX('Per Invoice'!D$2:D$801,$W220)))</f>
        <v/>
      </c>
      <c r="E220">
        <f>IF($W220="","",IF(INDEX('Per Invoice'!E$2:E$801,$W220)="","",INDEX('Per Invoice'!E$2:E$801,$W220)))</f>
        <v/>
      </c>
      <c r="F220">
        <f>IF($W220="","",IF(INDEX('Per Invoice'!F$2:F$801,$W220)="","",INDEX('Per Invoice'!F$2:F$801,$W220)))</f>
        <v/>
      </c>
      <c r="G220">
        <f>IF($W220="","",IF(INDEX('Per Invoice'!G$2:G$801,$W220)="","",INDEX('Per Invoice'!G$2:G$801,$W220)))</f>
        <v/>
      </c>
      <c r="H220">
        <f>IF($W220="","",IF(INDEX('Per Invoice'!H$2:H$801,$W220)="","",INDEX('Per Invoice'!H$2:H$801,$W220)))</f>
        <v/>
      </c>
      <c r="I220">
        <f>IF($W220="","",IF(INDEX('Per Invoice'!I$2:I$801,$W220)="","",INDEX('Per Invoice'!I$2:I$801,$W220)))</f>
        <v/>
      </c>
      <c r="J220">
        <f>IF($W220="","",IF(INDEX('Per Invoice'!J$2:J$801,$W220)="","",INDEX('Per Invoice'!J$2:J$801,$W220)))</f>
        <v/>
      </c>
      <c r="K220" s="7">
        <f>IF($W220="","",IF(INDEX('Per Invoice'!K$2:K$801,$W220)="","",INDEX('Per Invoice'!K$2:K$801,$W220)))</f>
        <v/>
      </c>
      <c r="L220" s="14">
        <f>IF($W220="","",IF(INDEX('Per Invoice'!L$2:L$801,$W220)="","",INDEX('Per Invoice'!L$2:L$801,$W220)))</f>
        <v/>
      </c>
      <c r="M220">
        <f>IF($W220="","",IF(INDEX('Per Invoice'!M$2:M$801,$W220)="","",INDEX('Per Invoice'!M$2:M$801,$W220)))</f>
        <v/>
      </c>
      <c r="N220" s="7">
        <f>IF($W220="","",IF(INDEX('Per Invoice'!N$2:N$801,$W220)="","",INDEX('Per Invoice'!N$2:N$801,$W220)))</f>
        <v/>
      </c>
      <c r="O220" s="7">
        <f>IF($W220="","",IF(INDEX('Per Invoice'!O$2:O$801,$W220)="","",INDEX('Per Invoice'!O$2:O$801,$W220)))</f>
        <v/>
      </c>
      <c r="P220">
        <f>IF($W220="","",IF(INDEX('Per Invoice'!P$2:P$801,$W220)="","",INDEX('Per Invoice'!P$2:P$801,$W220)))</f>
        <v/>
      </c>
      <c r="Q220" s="7">
        <f>IF($W220="","",IF(INDEX('Per Invoice'!Q$2:Q$801,$W220)="","",INDEX('Per Invoice'!Q$2:Q$801,$W220)))</f>
        <v/>
      </c>
      <c r="R220" s="7">
        <f>IF($W220="","",IF(INDEX('Per Invoice'!R$2:R$801,$W220)="","",INDEX('Per Invoice'!R$2:R$801,$W220)))</f>
        <v/>
      </c>
      <c r="S220" s="7">
        <f>IF($W220="","",IF(INDEX('Per Invoice'!S$2:S$801,$W220)="","",INDEX('Per Invoice'!S$2:S$801,$W220)))</f>
        <v/>
      </c>
      <c r="T220" s="7">
        <f>IF($W220="","",IF(INDEX('Per Invoice'!T$2:T$801,$W220)="","",INDEX('Per Invoice'!T$2:T$801,$W220)))</f>
        <v/>
      </c>
      <c r="U220" s="7">
        <f>IF($W220="","",IF(INDEX('Per Invoice'!U$2:U$801,$W220)="","",INDEX('Per Invoice'!U$2:U$801,$W220)))</f>
        <v/>
      </c>
      <c r="V220" s="7">
        <f>IF($W220="","",IF(INDEX('Per Invoice'!V$2:V$801,$W220)="","",INDEX('Per Invoice'!V$2:V$801,$W220)))</f>
        <v/>
      </c>
      <c r="W220" s="16">
        <f>IFERROR(MATCH(Settings!$C$31&amp;"|"&amp;ROWS($W$2:$W220),'Per Invoice'!$X$2:$X$801,0),"")</f>
        <v/>
      </c>
    </row>
    <row r="221">
      <c r="A221">
        <f>IF($W221="","",IF(INDEX('Per Invoice'!A$2:A$801,$W221)="","",INDEX('Per Invoice'!A$2:A$801,$W221)))</f>
        <v/>
      </c>
      <c r="B221">
        <f>IF($W221="","",IF(INDEX('Per Invoice'!B$2:B$801,$W221)="","",INDEX('Per Invoice'!B$2:B$801,$W221)))</f>
        <v/>
      </c>
      <c r="C221">
        <f>IF($W221="","",IF(INDEX('Per Invoice'!C$2:C$801,$W221)="","",INDEX('Per Invoice'!C$2:C$801,$W221)))</f>
        <v/>
      </c>
      <c r="D221">
        <f>IF($W221="","",IF(INDEX('Per Invoice'!D$2:D$801,$W221)="","",INDEX('Per Invoice'!D$2:D$801,$W221)))</f>
        <v/>
      </c>
      <c r="E221">
        <f>IF($W221="","",IF(INDEX('Per Invoice'!E$2:E$801,$W221)="","",INDEX('Per Invoice'!E$2:E$801,$W221)))</f>
        <v/>
      </c>
      <c r="F221">
        <f>IF($W221="","",IF(INDEX('Per Invoice'!F$2:F$801,$W221)="","",INDEX('Per Invoice'!F$2:F$801,$W221)))</f>
        <v/>
      </c>
      <c r="G221">
        <f>IF($W221="","",IF(INDEX('Per Invoice'!G$2:G$801,$W221)="","",INDEX('Per Invoice'!G$2:G$801,$W221)))</f>
        <v/>
      </c>
      <c r="H221">
        <f>IF($W221="","",IF(INDEX('Per Invoice'!H$2:H$801,$W221)="","",INDEX('Per Invoice'!H$2:H$801,$W221)))</f>
        <v/>
      </c>
      <c r="I221">
        <f>IF($W221="","",IF(INDEX('Per Invoice'!I$2:I$801,$W221)="","",INDEX('Per Invoice'!I$2:I$801,$W221)))</f>
        <v/>
      </c>
      <c r="J221">
        <f>IF($W221="","",IF(INDEX('Per Invoice'!J$2:J$801,$W221)="","",INDEX('Per Invoice'!J$2:J$801,$W221)))</f>
        <v/>
      </c>
      <c r="K221" s="7">
        <f>IF($W221="","",IF(INDEX('Per Invoice'!K$2:K$801,$W221)="","",INDEX('Per Invoice'!K$2:K$801,$W221)))</f>
        <v/>
      </c>
      <c r="L221" s="14">
        <f>IF($W221="","",IF(INDEX('Per Invoice'!L$2:L$801,$W221)="","",INDEX('Per Invoice'!L$2:L$801,$W221)))</f>
        <v/>
      </c>
      <c r="M221">
        <f>IF($W221="","",IF(INDEX('Per Invoice'!M$2:M$801,$W221)="","",INDEX('Per Invoice'!M$2:M$801,$W221)))</f>
        <v/>
      </c>
      <c r="N221" s="7">
        <f>IF($W221="","",IF(INDEX('Per Invoice'!N$2:N$801,$W221)="","",INDEX('Per Invoice'!N$2:N$801,$W221)))</f>
        <v/>
      </c>
      <c r="O221" s="7">
        <f>IF($W221="","",IF(INDEX('Per Invoice'!O$2:O$801,$W221)="","",INDEX('Per Invoice'!O$2:O$801,$W221)))</f>
        <v/>
      </c>
      <c r="P221">
        <f>IF($W221="","",IF(INDEX('Per Invoice'!P$2:P$801,$W221)="","",INDEX('Per Invoice'!P$2:P$801,$W221)))</f>
        <v/>
      </c>
      <c r="Q221" s="7">
        <f>IF($W221="","",IF(INDEX('Per Invoice'!Q$2:Q$801,$W221)="","",INDEX('Per Invoice'!Q$2:Q$801,$W221)))</f>
        <v/>
      </c>
      <c r="R221" s="7">
        <f>IF($W221="","",IF(INDEX('Per Invoice'!R$2:R$801,$W221)="","",INDEX('Per Invoice'!R$2:R$801,$W221)))</f>
        <v/>
      </c>
      <c r="S221" s="7">
        <f>IF($W221="","",IF(INDEX('Per Invoice'!S$2:S$801,$W221)="","",INDEX('Per Invoice'!S$2:S$801,$W221)))</f>
        <v/>
      </c>
      <c r="T221" s="7">
        <f>IF($W221="","",IF(INDEX('Per Invoice'!T$2:T$801,$W221)="","",INDEX('Per Invoice'!T$2:T$801,$W221)))</f>
        <v/>
      </c>
      <c r="U221" s="7">
        <f>IF($W221="","",IF(INDEX('Per Invoice'!U$2:U$801,$W221)="","",INDEX('Per Invoice'!U$2:U$801,$W221)))</f>
        <v/>
      </c>
      <c r="V221" s="7">
        <f>IF($W221="","",IF(INDEX('Per Invoice'!V$2:V$801,$W221)="","",INDEX('Per Invoice'!V$2:V$801,$W221)))</f>
        <v/>
      </c>
      <c r="W221" s="16">
        <f>IFERROR(MATCH(Settings!$C$31&amp;"|"&amp;ROWS($W$2:$W221),'Per Invoice'!$X$2:$X$801,0),"")</f>
        <v/>
      </c>
    </row>
    <row r="222">
      <c r="A222">
        <f>IF($W222="","",IF(INDEX('Per Invoice'!A$2:A$801,$W222)="","",INDEX('Per Invoice'!A$2:A$801,$W222)))</f>
        <v/>
      </c>
      <c r="B222">
        <f>IF($W222="","",IF(INDEX('Per Invoice'!B$2:B$801,$W222)="","",INDEX('Per Invoice'!B$2:B$801,$W222)))</f>
        <v/>
      </c>
      <c r="C222">
        <f>IF($W222="","",IF(INDEX('Per Invoice'!C$2:C$801,$W222)="","",INDEX('Per Invoice'!C$2:C$801,$W222)))</f>
        <v/>
      </c>
      <c r="D222">
        <f>IF($W222="","",IF(INDEX('Per Invoice'!D$2:D$801,$W222)="","",INDEX('Per Invoice'!D$2:D$801,$W222)))</f>
        <v/>
      </c>
      <c r="E222">
        <f>IF($W222="","",IF(INDEX('Per Invoice'!E$2:E$801,$W222)="","",INDEX('Per Invoice'!E$2:E$801,$W222)))</f>
        <v/>
      </c>
      <c r="F222">
        <f>IF($W222="","",IF(INDEX('Per Invoice'!F$2:F$801,$W222)="","",INDEX('Per Invoice'!F$2:F$801,$W222)))</f>
        <v/>
      </c>
      <c r="G222">
        <f>IF($W222="","",IF(INDEX('Per Invoice'!G$2:G$801,$W222)="","",INDEX('Per Invoice'!G$2:G$801,$W222)))</f>
        <v/>
      </c>
      <c r="H222">
        <f>IF($W222="","",IF(INDEX('Per Invoice'!H$2:H$801,$W222)="","",INDEX('Per Invoice'!H$2:H$801,$W222)))</f>
        <v/>
      </c>
      <c r="I222">
        <f>IF($W222="","",IF(INDEX('Per Invoice'!I$2:I$801,$W222)="","",INDEX('Per Invoice'!I$2:I$801,$W222)))</f>
        <v/>
      </c>
      <c r="J222">
        <f>IF($W222="","",IF(INDEX('Per Invoice'!J$2:J$801,$W222)="","",INDEX('Per Invoice'!J$2:J$801,$W222)))</f>
        <v/>
      </c>
      <c r="K222" s="7">
        <f>IF($W222="","",IF(INDEX('Per Invoice'!K$2:K$801,$W222)="","",INDEX('Per Invoice'!K$2:K$801,$W222)))</f>
        <v/>
      </c>
      <c r="L222" s="14">
        <f>IF($W222="","",IF(INDEX('Per Invoice'!L$2:L$801,$W222)="","",INDEX('Per Invoice'!L$2:L$801,$W222)))</f>
        <v/>
      </c>
      <c r="M222">
        <f>IF($W222="","",IF(INDEX('Per Invoice'!M$2:M$801,$W222)="","",INDEX('Per Invoice'!M$2:M$801,$W222)))</f>
        <v/>
      </c>
      <c r="N222" s="7">
        <f>IF($W222="","",IF(INDEX('Per Invoice'!N$2:N$801,$W222)="","",INDEX('Per Invoice'!N$2:N$801,$W222)))</f>
        <v/>
      </c>
      <c r="O222" s="7">
        <f>IF($W222="","",IF(INDEX('Per Invoice'!O$2:O$801,$W222)="","",INDEX('Per Invoice'!O$2:O$801,$W222)))</f>
        <v/>
      </c>
      <c r="P222">
        <f>IF($W222="","",IF(INDEX('Per Invoice'!P$2:P$801,$W222)="","",INDEX('Per Invoice'!P$2:P$801,$W222)))</f>
        <v/>
      </c>
      <c r="Q222" s="7">
        <f>IF($W222="","",IF(INDEX('Per Invoice'!Q$2:Q$801,$W222)="","",INDEX('Per Invoice'!Q$2:Q$801,$W222)))</f>
        <v/>
      </c>
      <c r="R222" s="7">
        <f>IF($W222="","",IF(INDEX('Per Invoice'!R$2:R$801,$W222)="","",INDEX('Per Invoice'!R$2:R$801,$W222)))</f>
        <v/>
      </c>
      <c r="S222" s="7">
        <f>IF($W222="","",IF(INDEX('Per Invoice'!S$2:S$801,$W222)="","",INDEX('Per Invoice'!S$2:S$801,$W222)))</f>
        <v/>
      </c>
      <c r="T222" s="7">
        <f>IF($W222="","",IF(INDEX('Per Invoice'!T$2:T$801,$W222)="","",INDEX('Per Invoice'!T$2:T$801,$W222)))</f>
        <v/>
      </c>
      <c r="U222" s="7">
        <f>IF($W222="","",IF(INDEX('Per Invoice'!U$2:U$801,$W222)="","",INDEX('Per Invoice'!U$2:U$801,$W222)))</f>
        <v/>
      </c>
      <c r="V222" s="7">
        <f>IF($W222="","",IF(INDEX('Per Invoice'!V$2:V$801,$W222)="","",INDEX('Per Invoice'!V$2:V$801,$W222)))</f>
        <v/>
      </c>
      <c r="W222" s="16">
        <f>IFERROR(MATCH(Settings!$C$31&amp;"|"&amp;ROWS($W$2:$W222),'Per Invoice'!$X$2:$X$801,0),"")</f>
        <v/>
      </c>
    </row>
    <row r="223">
      <c r="A223">
        <f>IF($W223="","",IF(INDEX('Per Invoice'!A$2:A$801,$W223)="","",INDEX('Per Invoice'!A$2:A$801,$W223)))</f>
        <v/>
      </c>
      <c r="B223">
        <f>IF($W223="","",IF(INDEX('Per Invoice'!B$2:B$801,$W223)="","",INDEX('Per Invoice'!B$2:B$801,$W223)))</f>
        <v/>
      </c>
      <c r="C223">
        <f>IF($W223="","",IF(INDEX('Per Invoice'!C$2:C$801,$W223)="","",INDEX('Per Invoice'!C$2:C$801,$W223)))</f>
        <v/>
      </c>
      <c r="D223">
        <f>IF($W223="","",IF(INDEX('Per Invoice'!D$2:D$801,$W223)="","",INDEX('Per Invoice'!D$2:D$801,$W223)))</f>
        <v/>
      </c>
      <c r="E223">
        <f>IF($W223="","",IF(INDEX('Per Invoice'!E$2:E$801,$W223)="","",INDEX('Per Invoice'!E$2:E$801,$W223)))</f>
        <v/>
      </c>
      <c r="F223">
        <f>IF($W223="","",IF(INDEX('Per Invoice'!F$2:F$801,$W223)="","",INDEX('Per Invoice'!F$2:F$801,$W223)))</f>
        <v/>
      </c>
      <c r="G223">
        <f>IF($W223="","",IF(INDEX('Per Invoice'!G$2:G$801,$W223)="","",INDEX('Per Invoice'!G$2:G$801,$W223)))</f>
        <v/>
      </c>
      <c r="H223">
        <f>IF($W223="","",IF(INDEX('Per Invoice'!H$2:H$801,$W223)="","",INDEX('Per Invoice'!H$2:H$801,$W223)))</f>
        <v/>
      </c>
      <c r="I223">
        <f>IF($W223="","",IF(INDEX('Per Invoice'!I$2:I$801,$W223)="","",INDEX('Per Invoice'!I$2:I$801,$W223)))</f>
        <v/>
      </c>
      <c r="J223">
        <f>IF($W223="","",IF(INDEX('Per Invoice'!J$2:J$801,$W223)="","",INDEX('Per Invoice'!J$2:J$801,$W223)))</f>
        <v/>
      </c>
      <c r="K223" s="7">
        <f>IF($W223="","",IF(INDEX('Per Invoice'!K$2:K$801,$W223)="","",INDEX('Per Invoice'!K$2:K$801,$W223)))</f>
        <v/>
      </c>
      <c r="L223" s="14">
        <f>IF($W223="","",IF(INDEX('Per Invoice'!L$2:L$801,$W223)="","",INDEX('Per Invoice'!L$2:L$801,$W223)))</f>
        <v/>
      </c>
      <c r="M223">
        <f>IF($W223="","",IF(INDEX('Per Invoice'!M$2:M$801,$W223)="","",INDEX('Per Invoice'!M$2:M$801,$W223)))</f>
        <v/>
      </c>
      <c r="N223" s="7">
        <f>IF($W223="","",IF(INDEX('Per Invoice'!N$2:N$801,$W223)="","",INDEX('Per Invoice'!N$2:N$801,$W223)))</f>
        <v/>
      </c>
      <c r="O223" s="7">
        <f>IF($W223="","",IF(INDEX('Per Invoice'!O$2:O$801,$W223)="","",INDEX('Per Invoice'!O$2:O$801,$W223)))</f>
        <v/>
      </c>
      <c r="P223">
        <f>IF($W223="","",IF(INDEX('Per Invoice'!P$2:P$801,$W223)="","",INDEX('Per Invoice'!P$2:P$801,$W223)))</f>
        <v/>
      </c>
      <c r="Q223" s="7">
        <f>IF($W223="","",IF(INDEX('Per Invoice'!Q$2:Q$801,$W223)="","",INDEX('Per Invoice'!Q$2:Q$801,$W223)))</f>
        <v/>
      </c>
      <c r="R223" s="7">
        <f>IF($W223="","",IF(INDEX('Per Invoice'!R$2:R$801,$W223)="","",INDEX('Per Invoice'!R$2:R$801,$W223)))</f>
        <v/>
      </c>
      <c r="S223" s="7">
        <f>IF($W223="","",IF(INDEX('Per Invoice'!S$2:S$801,$W223)="","",INDEX('Per Invoice'!S$2:S$801,$W223)))</f>
        <v/>
      </c>
      <c r="T223" s="7">
        <f>IF($W223="","",IF(INDEX('Per Invoice'!T$2:T$801,$W223)="","",INDEX('Per Invoice'!T$2:T$801,$W223)))</f>
        <v/>
      </c>
      <c r="U223" s="7">
        <f>IF($W223="","",IF(INDEX('Per Invoice'!U$2:U$801,$W223)="","",INDEX('Per Invoice'!U$2:U$801,$W223)))</f>
        <v/>
      </c>
      <c r="V223" s="7">
        <f>IF($W223="","",IF(INDEX('Per Invoice'!V$2:V$801,$W223)="","",INDEX('Per Invoice'!V$2:V$801,$W223)))</f>
        <v/>
      </c>
      <c r="W223" s="16">
        <f>IFERROR(MATCH(Settings!$C$31&amp;"|"&amp;ROWS($W$2:$W223),'Per Invoice'!$X$2:$X$801,0),"")</f>
        <v/>
      </c>
    </row>
    <row r="224">
      <c r="A224">
        <f>IF($W224="","",IF(INDEX('Per Invoice'!A$2:A$801,$W224)="","",INDEX('Per Invoice'!A$2:A$801,$W224)))</f>
        <v/>
      </c>
      <c r="B224">
        <f>IF($W224="","",IF(INDEX('Per Invoice'!B$2:B$801,$W224)="","",INDEX('Per Invoice'!B$2:B$801,$W224)))</f>
        <v/>
      </c>
      <c r="C224">
        <f>IF($W224="","",IF(INDEX('Per Invoice'!C$2:C$801,$W224)="","",INDEX('Per Invoice'!C$2:C$801,$W224)))</f>
        <v/>
      </c>
      <c r="D224">
        <f>IF($W224="","",IF(INDEX('Per Invoice'!D$2:D$801,$W224)="","",INDEX('Per Invoice'!D$2:D$801,$W224)))</f>
        <v/>
      </c>
      <c r="E224">
        <f>IF($W224="","",IF(INDEX('Per Invoice'!E$2:E$801,$W224)="","",INDEX('Per Invoice'!E$2:E$801,$W224)))</f>
        <v/>
      </c>
      <c r="F224">
        <f>IF($W224="","",IF(INDEX('Per Invoice'!F$2:F$801,$W224)="","",INDEX('Per Invoice'!F$2:F$801,$W224)))</f>
        <v/>
      </c>
      <c r="G224">
        <f>IF($W224="","",IF(INDEX('Per Invoice'!G$2:G$801,$W224)="","",INDEX('Per Invoice'!G$2:G$801,$W224)))</f>
        <v/>
      </c>
      <c r="H224">
        <f>IF($W224="","",IF(INDEX('Per Invoice'!H$2:H$801,$W224)="","",INDEX('Per Invoice'!H$2:H$801,$W224)))</f>
        <v/>
      </c>
      <c r="I224">
        <f>IF($W224="","",IF(INDEX('Per Invoice'!I$2:I$801,$W224)="","",INDEX('Per Invoice'!I$2:I$801,$W224)))</f>
        <v/>
      </c>
      <c r="J224">
        <f>IF($W224="","",IF(INDEX('Per Invoice'!J$2:J$801,$W224)="","",INDEX('Per Invoice'!J$2:J$801,$W224)))</f>
        <v/>
      </c>
      <c r="K224" s="7">
        <f>IF($W224="","",IF(INDEX('Per Invoice'!K$2:K$801,$W224)="","",INDEX('Per Invoice'!K$2:K$801,$W224)))</f>
        <v/>
      </c>
      <c r="L224" s="14">
        <f>IF($W224="","",IF(INDEX('Per Invoice'!L$2:L$801,$W224)="","",INDEX('Per Invoice'!L$2:L$801,$W224)))</f>
        <v/>
      </c>
      <c r="M224">
        <f>IF($W224="","",IF(INDEX('Per Invoice'!M$2:M$801,$W224)="","",INDEX('Per Invoice'!M$2:M$801,$W224)))</f>
        <v/>
      </c>
      <c r="N224" s="7">
        <f>IF($W224="","",IF(INDEX('Per Invoice'!N$2:N$801,$W224)="","",INDEX('Per Invoice'!N$2:N$801,$W224)))</f>
        <v/>
      </c>
      <c r="O224" s="7">
        <f>IF($W224="","",IF(INDEX('Per Invoice'!O$2:O$801,$W224)="","",INDEX('Per Invoice'!O$2:O$801,$W224)))</f>
        <v/>
      </c>
      <c r="P224">
        <f>IF($W224="","",IF(INDEX('Per Invoice'!P$2:P$801,$W224)="","",INDEX('Per Invoice'!P$2:P$801,$W224)))</f>
        <v/>
      </c>
      <c r="Q224" s="7">
        <f>IF($W224="","",IF(INDEX('Per Invoice'!Q$2:Q$801,$W224)="","",INDEX('Per Invoice'!Q$2:Q$801,$W224)))</f>
        <v/>
      </c>
      <c r="R224" s="7">
        <f>IF($W224="","",IF(INDEX('Per Invoice'!R$2:R$801,$W224)="","",INDEX('Per Invoice'!R$2:R$801,$W224)))</f>
        <v/>
      </c>
      <c r="S224" s="7">
        <f>IF($W224="","",IF(INDEX('Per Invoice'!S$2:S$801,$W224)="","",INDEX('Per Invoice'!S$2:S$801,$W224)))</f>
        <v/>
      </c>
      <c r="T224" s="7">
        <f>IF($W224="","",IF(INDEX('Per Invoice'!T$2:T$801,$W224)="","",INDEX('Per Invoice'!T$2:T$801,$W224)))</f>
        <v/>
      </c>
      <c r="U224" s="7">
        <f>IF($W224="","",IF(INDEX('Per Invoice'!U$2:U$801,$W224)="","",INDEX('Per Invoice'!U$2:U$801,$W224)))</f>
        <v/>
      </c>
      <c r="V224" s="7">
        <f>IF($W224="","",IF(INDEX('Per Invoice'!V$2:V$801,$W224)="","",INDEX('Per Invoice'!V$2:V$801,$W224)))</f>
        <v/>
      </c>
      <c r="W224" s="16">
        <f>IFERROR(MATCH(Settings!$C$31&amp;"|"&amp;ROWS($W$2:$W224),'Per Invoice'!$X$2:$X$801,0),"")</f>
        <v/>
      </c>
    </row>
    <row r="225">
      <c r="A225">
        <f>IF($W225="","",IF(INDEX('Per Invoice'!A$2:A$801,$W225)="","",INDEX('Per Invoice'!A$2:A$801,$W225)))</f>
        <v/>
      </c>
      <c r="B225">
        <f>IF($W225="","",IF(INDEX('Per Invoice'!B$2:B$801,$W225)="","",INDEX('Per Invoice'!B$2:B$801,$W225)))</f>
        <v/>
      </c>
      <c r="C225">
        <f>IF($W225="","",IF(INDEX('Per Invoice'!C$2:C$801,$W225)="","",INDEX('Per Invoice'!C$2:C$801,$W225)))</f>
        <v/>
      </c>
      <c r="D225">
        <f>IF($W225="","",IF(INDEX('Per Invoice'!D$2:D$801,$W225)="","",INDEX('Per Invoice'!D$2:D$801,$W225)))</f>
        <v/>
      </c>
      <c r="E225">
        <f>IF($W225="","",IF(INDEX('Per Invoice'!E$2:E$801,$W225)="","",INDEX('Per Invoice'!E$2:E$801,$W225)))</f>
        <v/>
      </c>
      <c r="F225">
        <f>IF($W225="","",IF(INDEX('Per Invoice'!F$2:F$801,$W225)="","",INDEX('Per Invoice'!F$2:F$801,$W225)))</f>
        <v/>
      </c>
      <c r="G225">
        <f>IF($W225="","",IF(INDEX('Per Invoice'!G$2:G$801,$W225)="","",INDEX('Per Invoice'!G$2:G$801,$W225)))</f>
        <v/>
      </c>
      <c r="H225">
        <f>IF($W225="","",IF(INDEX('Per Invoice'!H$2:H$801,$W225)="","",INDEX('Per Invoice'!H$2:H$801,$W225)))</f>
        <v/>
      </c>
      <c r="I225">
        <f>IF($W225="","",IF(INDEX('Per Invoice'!I$2:I$801,$W225)="","",INDEX('Per Invoice'!I$2:I$801,$W225)))</f>
        <v/>
      </c>
      <c r="J225">
        <f>IF($W225="","",IF(INDEX('Per Invoice'!J$2:J$801,$W225)="","",INDEX('Per Invoice'!J$2:J$801,$W225)))</f>
        <v/>
      </c>
      <c r="K225" s="7">
        <f>IF($W225="","",IF(INDEX('Per Invoice'!K$2:K$801,$W225)="","",INDEX('Per Invoice'!K$2:K$801,$W225)))</f>
        <v/>
      </c>
      <c r="L225" s="14">
        <f>IF($W225="","",IF(INDEX('Per Invoice'!L$2:L$801,$W225)="","",INDEX('Per Invoice'!L$2:L$801,$W225)))</f>
        <v/>
      </c>
      <c r="M225">
        <f>IF($W225="","",IF(INDEX('Per Invoice'!M$2:M$801,$W225)="","",INDEX('Per Invoice'!M$2:M$801,$W225)))</f>
        <v/>
      </c>
      <c r="N225" s="7">
        <f>IF($W225="","",IF(INDEX('Per Invoice'!N$2:N$801,$W225)="","",INDEX('Per Invoice'!N$2:N$801,$W225)))</f>
        <v/>
      </c>
      <c r="O225" s="7">
        <f>IF($W225="","",IF(INDEX('Per Invoice'!O$2:O$801,$W225)="","",INDEX('Per Invoice'!O$2:O$801,$W225)))</f>
        <v/>
      </c>
      <c r="P225">
        <f>IF($W225="","",IF(INDEX('Per Invoice'!P$2:P$801,$W225)="","",INDEX('Per Invoice'!P$2:P$801,$W225)))</f>
        <v/>
      </c>
      <c r="Q225" s="7">
        <f>IF($W225="","",IF(INDEX('Per Invoice'!Q$2:Q$801,$W225)="","",INDEX('Per Invoice'!Q$2:Q$801,$W225)))</f>
        <v/>
      </c>
      <c r="R225" s="7">
        <f>IF($W225="","",IF(INDEX('Per Invoice'!R$2:R$801,$W225)="","",INDEX('Per Invoice'!R$2:R$801,$W225)))</f>
        <v/>
      </c>
      <c r="S225" s="7">
        <f>IF($W225="","",IF(INDEX('Per Invoice'!S$2:S$801,$W225)="","",INDEX('Per Invoice'!S$2:S$801,$W225)))</f>
        <v/>
      </c>
      <c r="T225" s="7">
        <f>IF($W225="","",IF(INDEX('Per Invoice'!T$2:T$801,$W225)="","",INDEX('Per Invoice'!T$2:T$801,$W225)))</f>
        <v/>
      </c>
      <c r="U225" s="7">
        <f>IF($W225="","",IF(INDEX('Per Invoice'!U$2:U$801,$W225)="","",INDEX('Per Invoice'!U$2:U$801,$W225)))</f>
        <v/>
      </c>
      <c r="V225" s="7">
        <f>IF($W225="","",IF(INDEX('Per Invoice'!V$2:V$801,$W225)="","",INDEX('Per Invoice'!V$2:V$801,$W225)))</f>
        <v/>
      </c>
      <c r="W225" s="16">
        <f>IFERROR(MATCH(Settings!$C$31&amp;"|"&amp;ROWS($W$2:$W225),'Per Invoice'!$X$2:$X$801,0),"")</f>
        <v/>
      </c>
    </row>
    <row r="226">
      <c r="A226">
        <f>IF($W226="","",IF(INDEX('Per Invoice'!A$2:A$801,$W226)="","",INDEX('Per Invoice'!A$2:A$801,$W226)))</f>
        <v/>
      </c>
      <c r="B226">
        <f>IF($W226="","",IF(INDEX('Per Invoice'!B$2:B$801,$W226)="","",INDEX('Per Invoice'!B$2:B$801,$W226)))</f>
        <v/>
      </c>
      <c r="C226">
        <f>IF($W226="","",IF(INDEX('Per Invoice'!C$2:C$801,$W226)="","",INDEX('Per Invoice'!C$2:C$801,$W226)))</f>
        <v/>
      </c>
      <c r="D226">
        <f>IF($W226="","",IF(INDEX('Per Invoice'!D$2:D$801,$W226)="","",INDEX('Per Invoice'!D$2:D$801,$W226)))</f>
        <v/>
      </c>
      <c r="E226">
        <f>IF($W226="","",IF(INDEX('Per Invoice'!E$2:E$801,$W226)="","",INDEX('Per Invoice'!E$2:E$801,$W226)))</f>
        <v/>
      </c>
      <c r="F226">
        <f>IF($W226="","",IF(INDEX('Per Invoice'!F$2:F$801,$W226)="","",INDEX('Per Invoice'!F$2:F$801,$W226)))</f>
        <v/>
      </c>
      <c r="G226">
        <f>IF($W226="","",IF(INDEX('Per Invoice'!G$2:G$801,$W226)="","",INDEX('Per Invoice'!G$2:G$801,$W226)))</f>
        <v/>
      </c>
      <c r="H226">
        <f>IF($W226="","",IF(INDEX('Per Invoice'!H$2:H$801,$W226)="","",INDEX('Per Invoice'!H$2:H$801,$W226)))</f>
        <v/>
      </c>
      <c r="I226">
        <f>IF($W226="","",IF(INDEX('Per Invoice'!I$2:I$801,$W226)="","",INDEX('Per Invoice'!I$2:I$801,$W226)))</f>
        <v/>
      </c>
      <c r="J226">
        <f>IF($W226="","",IF(INDEX('Per Invoice'!J$2:J$801,$W226)="","",INDEX('Per Invoice'!J$2:J$801,$W226)))</f>
        <v/>
      </c>
      <c r="K226" s="7">
        <f>IF($W226="","",IF(INDEX('Per Invoice'!K$2:K$801,$W226)="","",INDEX('Per Invoice'!K$2:K$801,$W226)))</f>
        <v/>
      </c>
      <c r="L226" s="14">
        <f>IF($W226="","",IF(INDEX('Per Invoice'!L$2:L$801,$W226)="","",INDEX('Per Invoice'!L$2:L$801,$W226)))</f>
        <v/>
      </c>
      <c r="M226">
        <f>IF($W226="","",IF(INDEX('Per Invoice'!M$2:M$801,$W226)="","",INDEX('Per Invoice'!M$2:M$801,$W226)))</f>
        <v/>
      </c>
      <c r="N226" s="7">
        <f>IF($W226="","",IF(INDEX('Per Invoice'!N$2:N$801,$W226)="","",INDEX('Per Invoice'!N$2:N$801,$W226)))</f>
        <v/>
      </c>
      <c r="O226" s="7">
        <f>IF($W226="","",IF(INDEX('Per Invoice'!O$2:O$801,$W226)="","",INDEX('Per Invoice'!O$2:O$801,$W226)))</f>
        <v/>
      </c>
      <c r="P226">
        <f>IF($W226="","",IF(INDEX('Per Invoice'!P$2:P$801,$W226)="","",INDEX('Per Invoice'!P$2:P$801,$W226)))</f>
        <v/>
      </c>
      <c r="Q226" s="7">
        <f>IF($W226="","",IF(INDEX('Per Invoice'!Q$2:Q$801,$W226)="","",INDEX('Per Invoice'!Q$2:Q$801,$W226)))</f>
        <v/>
      </c>
      <c r="R226" s="7">
        <f>IF($W226="","",IF(INDEX('Per Invoice'!R$2:R$801,$W226)="","",INDEX('Per Invoice'!R$2:R$801,$W226)))</f>
        <v/>
      </c>
      <c r="S226" s="7">
        <f>IF($W226="","",IF(INDEX('Per Invoice'!S$2:S$801,$W226)="","",INDEX('Per Invoice'!S$2:S$801,$W226)))</f>
        <v/>
      </c>
      <c r="T226" s="7">
        <f>IF($W226="","",IF(INDEX('Per Invoice'!T$2:T$801,$W226)="","",INDEX('Per Invoice'!T$2:T$801,$W226)))</f>
        <v/>
      </c>
      <c r="U226" s="7">
        <f>IF($W226="","",IF(INDEX('Per Invoice'!U$2:U$801,$W226)="","",INDEX('Per Invoice'!U$2:U$801,$W226)))</f>
        <v/>
      </c>
      <c r="V226" s="7">
        <f>IF($W226="","",IF(INDEX('Per Invoice'!V$2:V$801,$W226)="","",INDEX('Per Invoice'!V$2:V$801,$W226)))</f>
        <v/>
      </c>
      <c r="W226" s="16">
        <f>IFERROR(MATCH(Settings!$C$31&amp;"|"&amp;ROWS($W$2:$W226),'Per Invoice'!$X$2:$X$801,0),"")</f>
        <v/>
      </c>
    </row>
    <row r="227">
      <c r="A227">
        <f>IF($W227="","",IF(INDEX('Per Invoice'!A$2:A$801,$W227)="","",INDEX('Per Invoice'!A$2:A$801,$W227)))</f>
        <v/>
      </c>
      <c r="B227">
        <f>IF($W227="","",IF(INDEX('Per Invoice'!B$2:B$801,$W227)="","",INDEX('Per Invoice'!B$2:B$801,$W227)))</f>
        <v/>
      </c>
      <c r="C227">
        <f>IF($W227="","",IF(INDEX('Per Invoice'!C$2:C$801,$W227)="","",INDEX('Per Invoice'!C$2:C$801,$W227)))</f>
        <v/>
      </c>
      <c r="D227">
        <f>IF($W227="","",IF(INDEX('Per Invoice'!D$2:D$801,$W227)="","",INDEX('Per Invoice'!D$2:D$801,$W227)))</f>
        <v/>
      </c>
      <c r="E227">
        <f>IF($W227="","",IF(INDEX('Per Invoice'!E$2:E$801,$W227)="","",INDEX('Per Invoice'!E$2:E$801,$W227)))</f>
        <v/>
      </c>
      <c r="F227">
        <f>IF($W227="","",IF(INDEX('Per Invoice'!F$2:F$801,$W227)="","",INDEX('Per Invoice'!F$2:F$801,$W227)))</f>
        <v/>
      </c>
      <c r="G227">
        <f>IF($W227="","",IF(INDEX('Per Invoice'!G$2:G$801,$W227)="","",INDEX('Per Invoice'!G$2:G$801,$W227)))</f>
        <v/>
      </c>
      <c r="H227">
        <f>IF($W227="","",IF(INDEX('Per Invoice'!H$2:H$801,$W227)="","",INDEX('Per Invoice'!H$2:H$801,$W227)))</f>
        <v/>
      </c>
      <c r="I227">
        <f>IF($W227="","",IF(INDEX('Per Invoice'!I$2:I$801,$W227)="","",INDEX('Per Invoice'!I$2:I$801,$W227)))</f>
        <v/>
      </c>
      <c r="J227">
        <f>IF($W227="","",IF(INDEX('Per Invoice'!J$2:J$801,$W227)="","",INDEX('Per Invoice'!J$2:J$801,$W227)))</f>
        <v/>
      </c>
      <c r="K227" s="7">
        <f>IF($W227="","",IF(INDEX('Per Invoice'!K$2:K$801,$W227)="","",INDEX('Per Invoice'!K$2:K$801,$W227)))</f>
        <v/>
      </c>
      <c r="L227" s="14">
        <f>IF($W227="","",IF(INDEX('Per Invoice'!L$2:L$801,$W227)="","",INDEX('Per Invoice'!L$2:L$801,$W227)))</f>
        <v/>
      </c>
      <c r="M227">
        <f>IF($W227="","",IF(INDEX('Per Invoice'!M$2:M$801,$W227)="","",INDEX('Per Invoice'!M$2:M$801,$W227)))</f>
        <v/>
      </c>
      <c r="N227" s="7">
        <f>IF($W227="","",IF(INDEX('Per Invoice'!N$2:N$801,$W227)="","",INDEX('Per Invoice'!N$2:N$801,$W227)))</f>
        <v/>
      </c>
      <c r="O227" s="7">
        <f>IF($W227="","",IF(INDEX('Per Invoice'!O$2:O$801,$W227)="","",INDEX('Per Invoice'!O$2:O$801,$W227)))</f>
        <v/>
      </c>
      <c r="P227">
        <f>IF($W227="","",IF(INDEX('Per Invoice'!P$2:P$801,$W227)="","",INDEX('Per Invoice'!P$2:P$801,$W227)))</f>
        <v/>
      </c>
      <c r="Q227" s="7">
        <f>IF($W227="","",IF(INDEX('Per Invoice'!Q$2:Q$801,$W227)="","",INDEX('Per Invoice'!Q$2:Q$801,$W227)))</f>
        <v/>
      </c>
      <c r="R227" s="7">
        <f>IF($W227="","",IF(INDEX('Per Invoice'!R$2:R$801,$W227)="","",INDEX('Per Invoice'!R$2:R$801,$W227)))</f>
        <v/>
      </c>
      <c r="S227" s="7">
        <f>IF($W227="","",IF(INDEX('Per Invoice'!S$2:S$801,$W227)="","",INDEX('Per Invoice'!S$2:S$801,$W227)))</f>
        <v/>
      </c>
      <c r="T227" s="7">
        <f>IF($W227="","",IF(INDEX('Per Invoice'!T$2:T$801,$W227)="","",INDEX('Per Invoice'!T$2:T$801,$W227)))</f>
        <v/>
      </c>
      <c r="U227" s="7">
        <f>IF($W227="","",IF(INDEX('Per Invoice'!U$2:U$801,$W227)="","",INDEX('Per Invoice'!U$2:U$801,$W227)))</f>
        <v/>
      </c>
      <c r="V227" s="7">
        <f>IF($W227="","",IF(INDEX('Per Invoice'!V$2:V$801,$W227)="","",INDEX('Per Invoice'!V$2:V$801,$W227)))</f>
        <v/>
      </c>
      <c r="W227" s="16">
        <f>IFERROR(MATCH(Settings!$C$31&amp;"|"&amp;ROWS($W$2:$W227),'Per Invoice'!$X$2:$X$801,0),"")</f>
        <v/>
      </c>
    </row>
    <row r="228">
      <c r="A228">
        <f>IF($W228="","",IF(INDEX('Per Invoice'!A$2:A$801,$W228)="","",INDEX('Per Invoice'!A$2:A$801,$W228)))</f>
        <v/>
      </c>
      <c r="B228">
        <f>IF($W228="","",IF(INDEX('Per Invoice'!B$2:B$801,$W228)="","",INDEX('Per Invoice'!B$2:B$801,$W228)))</f>
        <v/>
      </c>
      <c r="C228">
        <f>IF($W228="","",IF(INDEX('Per Invoice'!C$2:C$801,$W228)="","",INDEX('Per Invoice'!C$2:C$801,$W228)))</f>
        <v/>
      </c>
      <c r="D228">
        <f>IF($W228="","",IF(INDEX('Per Invoice'!D$2:D$801,$W228)="","",INDEX('Per Invoice'!D$2:D$801,$W228)))</f>
        <v/>
      </c>
      <c r="E228">
        <f>IF($W228="","",IF(INDEX('Per Invoice'!E$2:E$801,$W228)="","",INDEX('Per Invoice'!E$2:E$801,$W228)))</f>
        <v/>
      </c>
      <c r="F228">
        <f>IF($W228="","",IF(INDEX('Per Invoice'!F$2:F$801,$W228)="","",INDEX('Per Invoice'!F$2:F$801,$W228)))</f>
        <v/>
      </c>
      <c r="G228">
        <f>IF($W228="","",IF(INDEX('Per Invoice'!G$2:G$801,$W228)="","",INDEX('Per Invoice'!G$2:G$801,$W228)))</f>
        <v/>
      </c>
      <c r="H228">
        <f>IF($W228="","",IF(INDEX('Per Invoice'!H$2:H$801,$W228)="","",INDEX('Per Invoice'!H$2:H$801,$W228)))</f>
        <v/>
      </c>
      <c r="I228">
        <f>IF($W228="","",IF(INDEX('Per Invoice'!I$2:I$801,$W228)="","",INDEX('Per Invoice'!I$2:I$801,$W228)))</f>
        <v/>
      </c>
      <c r="J228">
        <f>IF($W228="","",IF(INDEX('Per Invoice'!J$2:J$801,$W228)="","",INDEX('Per Invoice'!J$2:J$801,$W228)))</f>
        <v/>
      </c>
      <c r="K228" s="7">
        <f>IF($W228="","",IF(INDEX('Per Invoice'!K$2:K$801,$W228)="","",INDEX('Per Invoice'!K$2:K$801,$W228)))</f>
        <v/>
      </c>
      <c r="L228" s="14">
        <f>IF($W228="","",IF(INDEX('Per Invoice'!L$2:L$801,$W228)="","",INDEX('Per Invoice'!L$2:L$801,$W228)))</f>
        <v/>
      </c>
      <c r="M228">
        <f>IF($W228="","",IF(INDEX('Per Invoice'!M$2:M$801,$W228)="","",INDEX('Per Invoice'!M$2:M$801,$W228)))</f>
        <v/>
      </c>
      <c r="N228" s="7">
        <f>IF($W228="","",IF(INDEX('Per Invoice'!N$2:N$801,$W228)="","",INDEX('Per Invoice'!N$2:N$801,$W228)))</f>
        <v/>
      </c>
      <c r="O228" s="7">
        <f>IF($W228="","",IF(INDEX('Per Invoice'!O$2:O$801,$W228)="","",INDEX('Per Invoice'!O$2:O$801,$W228)))</f>
        <v/>
      </c>
      <c r="P228">
        <f>IF($W228="","",IF(INDEX('Per Invoice'!P$2:P$801,$W228)="","",INDEX('Per Invoice'!P$2:P$801,$W228)))</f>
        <v/>
      </c>
      <c r="Q228" s="7">
        <f>IF($W228="","",IF(INDEX('Per Invoice'!Q$2:Q$801,$W228)="","",INDEX('Per Invoice'!Q$2:Q$801,$W228)))</f>
        <v/>
      </c>
      <c r="R228" s="7">
        <f>IF($W228="","",IF(INDEX('Per Invoice'!R$2:R$801,$W228)="","",INDEX('Per Invoice'!R$2:R$801,$W228)))</f>
        <v/>
      </c>
      <c r="S228" s="7">
        <f>IF($W228="","",IF(INDEX('Per Invoice'!S$2:S$801,$W228)="","",INDEX('Per Invoice'!S$2:S$801,$W228)))</f>
        <v/>
      </c>
      <c r="T228" s="7">
        <f>IF($W228="","",IF(INDEX('Per Invoice'!T$2:T$801,$W228)="","",INDEX('Per Invoice'!T$2:T$801,$W228)))</f>
        <v/>
      </c>
      <c r="U228" s="7">
        <f>IF($W228="","",IF(INDEX('Per Invoice'!U$2:U$801,$W228)="","",INDEX('Per Invoice'!U$2:U$801,$W228)))</f>
        <v/>
      </c>
      <c r="V228" s="7">
        <f>IF($W228="","",IF(INDEX('Per Invoice'!V$2:V$801,$W228)="","",INDEX('Per Invoice'!V$2:V$801,$W228)))</f>
        <v/>
      </c>
      <c r="W228" s="16">
        <f>IFERROR(MATCH(Settings!$C$31&amp;"|"&amp;ROWS($W$2:$W228),'Per Invoice'!$X$2:$X$801,0),"")</f>
        <v/>
      </c>
    </row>
    <row r="229">
      <c r="A229">
        <f>IF($W229="","",IF(INDEX('Per Invoice'!A$2:A$801,$W229)="","",INDEX('Per Invoice'!A$2:A$801,$W229)))</f>
        <v/>
      </c>
      <c r="B229">
        <f>IF($W229="","",IF(INDEX('Per Invoice'!B$2:B$801,$W229)="","",INDEX('Per Invoice'!B$2:B$801,$W229)))</f>
        <v/>
      </c>
      <c r="C229">
        <f>IF($W229="","",IF(INDEX('Per Invoice'!C$2:C$801,$W229)="","",INDEX('Per Invoice'!C$2:C$801,$W229)))</f>
        <v/>
      </c>
      <c r="D229">
        <f>IF($W229="","",IF(INDEX('Per Invoice'!D$2:D$801,$W229)="","",INDEX('Per Invoice'!D$2:D$801,$W229)))</f>
        <v/>
      </c>
      <c r="E229">
        <f>IF($W229="","",IF(INDEX('Per Invoice'!E$2:E$801,$W229)="","",INDEX('Per Invoice'!E$2:E$801,$W229)))</f>
        <v/>
      </c>
      <c r="F229">
        <f>IF($W229="","",IF(INDEX('Per Invoice'!F$2:F$801,$W229)="","",INDEX('Per Invoice'!F$2:F$801,$W229)))</f>
        <v/>
      </c>
      <c r="G229">
        <f>IF($W229="","",IF(INDEX('Per Invoice'!G$2:G$801,$W229)="","",INDEX('Per Invoice'!G$2:G$801,$W229)))</f>
        <v/>
      </c>
      <c r="H229">
        <f>IF($W229="","",IF(INDEX('Per Invoice'!H$2:H$801,$W229)="","",INDEX('Per Invoice'!H$2:H$801,$W229)))</f>
        <v/>
      </c>
      <c r="I229">
        <f>IF($W229="","",IF(INDEX('Per Invoice'!I$2:I$801,$W229)="","",INDEX('Per Invoice'!I$2:I$801,$W229)))</f>
        <v/>
      </c>
      <c r="J229">
        <f>IF($W229="","",IF(INDEX('Per Invoice'!J$2:J$801,$W229)="","",INDEX('Per Invoice'!J$2:J$801,$W229)))</f>
        <v/>
      </c>
      <c r="K229" s="7">
        <f>IF($W229="","",IF(INDEX('Per Invoice'!K$2:K$801,$W229)="","",INDEX('Per Invoice'!K$2:K$801,$W229)))</f>
        <v/>
      </c>
      <c r="L229" s="14">
        <f>IF($W229="","",IF(INDEX('Per Invoice'!L$2:L$801,$W229)="","",INDEX('Per Invoice'!L$2:L$801,$W229)))</f>
        <v/>
      </c>
      <c r="M229">
        <f>IF($W229="","",IF(INDEX('Per Invoice'!M$2:M$801,$W229)="","",INDEX('Per Invoice'!M$2:M$801,$W229)))</f>
        <v/>
      </c>
      <c r="N229" s="7">
        <f>IF($W229="","",IF(INDEX('Per Invoice'!N$2:N$801,$W229)="","",INDEX('Per Invoice'!N$2:N$801,$W229)))</f>
        <v/>
      </c>
      <c r="O229" s="7">
        <f>IF($W229="","",IF(INDEX('Per Invoice'!O$2:O$801,$W229)="","",INDEX('Per Invoice'!O$2:O$801,$W229)))</f>
        <v/>
      </c>
      <c r="P229">
        <f>IF($W229="","",IF(INDEX('Per Invoice'!P$2:P$801,$W229)="","",INDEX('Per Invoice'!P$2:P$801,$W229)))</f>
        <v/>
      </c>
      <c r="Q229" s="7">
        <f>IF($W229="","",IF(INDEX('Per Invoice'!Q$2:Q$801,$W229)="","",INDEX('Per Invoice'!Q$2:Q$801,$W229)))</f>
        <v/>
      </c>
      <c r="R229" s="7">
        <f>IF($W229="","",IF(INDEX('Per Invoice'!R$2:R$801,$W229)="","",INDEX('Per Invoice'!R$2:R$801,$W229)))</f>
        <v/>
      </c>
      <c r="S229" s="7">
        <f>IF($W229="","",IF(INDEX('Per Invoice'!S$2:S$801,$W229)="","",INDEX('Per Invoice'!S$2:S$801,$W229)))</f>
        <v/>
      </c>
      <c r="T229" s="7">
        <f>IF($W229="","",IF(INDEX('Per Invoice'!T$2:T$801,$W229)="","",INDEX('Per Invoice'!T$2:T$801,$W229)))</f>
        <v/>
      </c>
      <c r="U229" s="7">
        <f>IF($W229="","",IF(INDEX('Per Invoice'!U$2:U$801,$W229)="","",INDEX('Per Invoice'!U$2:U$801,$W229)))</f>
        <v/>
      </c>
      <c r="V229" s="7">
        <f>IF($W229="","",IF(INDEX('Per Invoice'!V$2:V$801,$W229)="","",INDEX('Per Invoice'!V$2:V$801,$W229)))</f>
        <v/>
      </c>
      <c r="W229" s="16">
        <f>IFERROR(MATCH(Settings!$C$31&amp;"|"&amp;ROWS($W$2:$W229),'Per Invoice'!$X$2:$X$801,0),"")</f>
        <v/>
      </c>
    </row>
    <row r="230">
      <c r="A230">
        <f>IF($W230="","",IF(INDEX('Per Invoice'!A$2:A$801,$W230)="","",INDEX('Per Invoice'!A$2:A$801,$W230)))</f>
        <v/>
      </c>
      <c r="B230">
        <f>IF($W230="","",IF(INDEX('Per Invoice'!B$2:B$801,$W230)="","",INDEX('Per Invoice'!B$2:B$801,$W230)))</f>
        <v/>
      </c>
      <c r="C230">
        <f>IF($W230="","",IF(INDEX('Per Invoice'!C$2:C$801,$W230)="","",INDEX('Per Invoice'!C$2:C$801,$W230)))</f>
        <v/>
      </c>
      <c r="D230">
        <f>IF($W230="","",IF(INDEX('Per Invoice'!D$2:D$801,$W230)="","",INDEX('Per Invoice'!D$2:D$801,$W230)))</f>
        <v/>
      </c>
      <c r="E230">
        <f>IF($W230="","",IF(INDEX('Per Invoice'!E$2:E$801,$W230)="","",INDEX('Per Invoice'!E$2:E$801,$W230)))</f>
        <v/>
      </c>
      <c r="F230">
        <f>IF($W230="","",IF(INDEX('Per Invoice'!F$2:F$801,$W230)="","",INDEX('Per Invoice'!F$2:F$801,$W230)))</f>
        <v/>
      </c>
      <c r="G230">
        <f>IF($W230="","",IF(INDEX('Per Invoice'!G$2:G$801,$W230)="","",INDEX('Per Invoice'!G$2:G$801,$W230)))</f>
        <v/>
      </c>
      <c r="H230">
        <f>IF($W230="","",IF(INDEX('Per Invoice'!H$2:H$801,$W230)="","",INDEX('Per Invoice'!H$2:H$801,$W230)))</f>
        <v/>
      </c>
      <c r="I230">
        <f>IF($W230="","",IF(INDEX('Per Invoice'!I$2:I$801,$W230)="","",INDEX('Per Invoice'!I$2:I$801,$W230)))</f>
        <v/>
      </c>
      <c r="J230">
        <f>IF($W230="","",IF(INDEX('Per Invoice'!J$2:J$801,$W230)="","",INDEX('Per Invoice'!J$2:J$801,$W230)))</f>
        <v/>
      </c>
      <c r="K230" s="7">
        <f>IF($W230="","",IF(INDEX('Per Invoice'!K$2:K$801,$W230)="","",INDEX('Per Invoice'!K$2:K$801,$W230)))</f>
        <v/>
      </c>
      <c r="L230" s="14">
        <f>IF($W230="","",IF(INDEX('Per Invoice'!L$2:L$801,$W230)="","",INDEX('Per Invoice'!L$2:L$801,$W230)))</f>
        <v/>
      </c>
      <c r="M230">
        <f>IF($W230="","",IF(INDEX('Per Invoice'!M$2:M$801,$W230)="","",INDEX('Per Invoice'!M$2:M$801,$W230)))</f>
        <v/>
      </c>
      <c r="N230" s="7">
        <f>IF($W230="","",IF(INDEX('Per Invoice'!N$2:N$801,$W230)="","",INDEX('Per Invoice'!N$2:N$801,$W230)))</f>
        <v/>
      </c>
      <c r="O230" s="7">
        <f>IF($W230="","",IF(INDEX('Per Invoice'!O$2:O$801,$W230)="","",INDEX('Per Invoice'!O$2:O$801,$W230)))</f>
        <v/>
      </c>
      <c r="P230">
        <f>IF($W230="","",IF(INDEX('Per Invoice'!P$2:P$801,$W230)="","",INDEX('Per Invoice'!P$2:P$801,$W230)))</f>
        <v/>
      </c>
      <c r="Q230" s="7">
        <f>IF($W230="","",IF(INDEX('Per Invoice'!Q$2:Q$801,$W230)="","",INDEX('Per Invoice'!Q$2:Q$801,$W230)))</f>
        <v/>
      </c>
      <c r="R230" s="7">
        <f>IF($W230="","",IF(INDEX('Per Invoice'!R$2:R$801,$W230)="","",INDEX('Per Invoice'!R$2:R$801,$W230)))</f>
        <v/>
      </c>
      <c r="S230" s="7">
        <f>IF($W230="","",IF(INDEX('Per Invoice'!S$2:S$801,$W230)="","",INDEX('Per Invoice'!S$2:S$801,$W230)))</f>
        <v/>
      </c>
      <c r="T230" s="7">
        <f>IF($W230="","",IF(INDEX('Per Invoice'!T$2:T$801,$W230)="","",INDEX('Per Invoice'!T$2:T$801,$W230)))</f>
        <v/>
      </c>
      <c r="U230" s="7">
        <f>IF($W230="","",IF(INDEX('Per Invoice'!U$2:U$801,$W230)="","",INDEX('Per Invoice'!U$2:U$801,$W230)))</f>
        <v/>
      </c>
      <c r="V230" s="7">
        <f>IF($W230="","",IF(INDEX('Per Invoice'!V$2:V$801,$W230)="","",INDEX('Per Invoice'!V$2:V$801,$W230)))</f>
        <v/>
      </c>
      <c r="W230" s="16">
        <f>IFERROR(MATCH(Settings!$C$31&amp;"|"&amp;ROWS($W$2:$W230),'Per Invoice'!$X$2:$X$801,0),"")</f>
        <v/>
      </c>
    </row>
    <row r="231">
      <c r="A231">
        <f>IF($W231="","",IF(INDEX('Per Invoice'!A$2:A$801,$W231)="","",INDEX('Per Invoice'!A$2:A$801,$W231)))</f>
        <v/>
      </c>
      <c r="B231">
        <f>IF($W231="","",IF(INDEX('Per Invoice'!B$2:B$801,$W231)="","",INDEX('Per Invoice'!B$2:B$801,$W231)))</f>
        <v/>
      </c>
      <c r="C231">
        <f>IF($W231="","",IF(INDEX('Per Invoice'!C$2:C$801,$W231)="","",INDEX('Per Invoice'!C$2:C$801,$W231)))</f>
        <v/>
      </c>
      <c r="D231">
        <f>IF($W231="","",IF(INDEX('Per Invoice'!D$2:D$801,$W231)="","",INDEX('Per Invoice'!D$2:D$801,$W231)))</f>
        <v/>
      </c>
      <c r="E231">
        <f>IF($W231="","",IF(INDEX('Per Invoice'!E$2:E$801,$W231)="","",INDEX('Per Invoice'!E$2:E$801,$W231)))</f>
        <v/>
      </c>
      <c r="F231">
        <f>IF($W231="","",IF(INDEX('Per Invoice'!F$2:F$801,$W231)="","",INDEX('Per Invoice'!F$2:F$801,$W231)))</f>
        <v/>
      </c>
      <c r="G231">
        <f>IF($W231="","",IF(INDEX('Per Invoice'!G$2:G$801,$W231)="","",INDEX('Per Invoice'!G$2:G$801,$W231)))</f>
        <v/>
      </c>
      <c r="H231">
        <f>IF($W231="","",IF(INDEX('Per Invoice'!H$2:H$801,$W231)="","",INDEX('Per Invoice'!H$2:H$801,$W231)))</f>
        <v/>
      </c>
      <c r="I231">
        <f>IF($W231="","",IF(INDEX('Per Invoice'!I$2:I$801,$W231)="","",INDEX('Per Invoice'!I$2:I$801,$W231)))</f>
        <v/>
      </c>
      <c r="J231">
        <f>IF($W231="","",IF(INDEX('Per Invoice'!J$2:J$801,$W231)="","",INDEX('Per Invoice'!J$2:J$801,$W231)))</f>
        <v/>
      </c>
      <c r="K231" s="7">
        <f>IF($W231="","",IF(INDEX('Per Invoice'!K$2:K$801,$W231)="","",INDEX('Per Invoice'!K$2:K$801,$W231)))</f>
        <v/>
      </c>
      <c r="L231" s="14">
        <f>IF($W231="","",IF(INDEX('Per Invoice'!L$2:L$801,$W231)="","",INDEX('Per Invoice'!L$2:L$801,$W231)))</f>
        <v/>
      </c>
      <c r="M231">
        <f>IF($W231="","",IF(INDEX('Per Invoice'!M$2:M$801,$W231)="","",INDEX('Per Invoice'!M$2:M$801,$W231)))</f>
        <v/>
      </c>
      <c r="N231" s="7">
        <f>IF($W231="","",IF(INDEX('Per Invoice'!N$2:N$801,$W231)="","",INDEX('Per Invoice'!N$2:N$801,$W231)))</f>
        <v/>
      </c>
      <c r="O231" s="7">
        <f>IF($W231="","",IF(INDEX('Per Invoice'!O$2:O$801,$W231)="","",INDEX('Per Invoice'!O$2:O$801,$W231)))</f>
        <v/>
      </c>
      <c r="P231">
        <f>IF($W231="","",IF(INDEX('Per Invoice'!P$2:P$801,$W231)="","",INDEX('Per Invoice'!P$2:P$801,$W231)))</f>
        <v/>
      </c>
      <c r="Q231" s="7">
        <f>IF($W231="","",IF(INDEX('Per Invoice'!Q$2:Q$801,$W231)="","",INDEX('Per Invoice'!Q$2:Q$801,$W231)))</f>
        <v/>
      </c>
      <c r="R231" s="7">
        <f>IF($W231="","",IF(INDEX('Per Invoice'!R$2:R$801,$W231)="","",INDEX('Per Invoice'!R$2:R$801,$W231)))</f>
        <v/>
      </c>
      <c r="S231" s="7">
        <f>IF($W231="","",IF(INDEX('Per Invoice'!S$2:S$801,$W231)="","",INDEX('Per Invoice'!S$2:S$801,$W231)))</f>
        <v/>
      </c>
      <c r="T231" s="7">
        <f>IF($W231="","",IF(INDEX('Per Invoice'!T$2:T$801,$W231)="","",INDEX('Per Invoice'!T$2:T$801,$W231)))</f>
        <v/>
      </c>
      <c r="U231" s="7">
        <f>IF($W231="","",IF(INDEX('Per Invoice'!U$2:U$801,$W231)="","",INDEX('Per Invoice'!U$2:U$801,$W231)))</f>
        <v/>
      </c>
      <c r="V231" s="7">
        <f>IF($W231="","",IF(INDEX('Per Invoice'!V$2:V$801,$W231)="","",INDEX('Per Invoice'!V$2:V$801,$W231)))</f>
        <v/>
      </c>
      <c r="W231" s="16">
        <f>IFERROR(MATCH(Settings!$C$31&amp;"|"&amp;ROWS($W$2:$W231),'Per Invoice'!$X$2:$X$801,0),"")</f>
        <v/>
      </c>
    </row>
    <row r="232">
      <c r="A232">
        <f>IF($W232="","",IF(INDEX('Per Invoice'!A$2:A$801,$W232)="","",INDEX('Per Invoice'!A$2:A$801,$W232)))</f>
        <v/>
      </c>
      <c r="B232">
        <f>IF($W232="","",IF(INDEX('Per Invoice'!B$2:B$801,$W232)="","",INDEX('Per Invoice'!B$2:B$801,$W232)))</f>
        <v/>
      </c>
      <c r="C232">
        <f>IF($W232="","",IF(INDEX('Per Invoice'!C$2:C$801,$W232)="","",INDEX('Per Invoice'!C$2:C$801,$W232)))</f>
        <v/>
      </c>
      <c r="D232">
        <f>IF($W232="","",IF(INDEX('Per Invoice'!D$2:D$801,$W232)="","",INDEX('Per Invoice'!D$2:D$801,$W232)))</f>
        <v/>
      </c>
      <c r="E232">
        <f>IF($W232="","",IF(INDEX('Per Invoice'!E$2:E$801,$W232)="","",INDEX('Per Invoice'!E$2:E$801,$W232)))</f>
        <v/>
      </c>
      <c r="F232">
        <f>IF($W232="","",IF(INDEX('Per Invoice'!F$2:F$801,$W232)="","",INDEX('Per Invoice'!F$2:F$801,$W232)))</f>
        <v/>
      </c>
      <c r="G232">
        <f>IF($W232="","",IF(INDEX('Per Invoice'!G$2:G$801,$W232)="","",INDEX('Per Invoice'!G$2:G$801,$W232)))</f>
        <v/>
      </c>
      <c r="H232">
        <f>IF($W232="","",IF(INDEX('Per Invoice'!H$2:H$801,$W232)="","",INDEX('Per Invoice'!H$2:H$801,$W232)))</f>
        <v/>
      </c>
      <c r="I232">
        <f>IF($W232="","",IF(INDEX('Per Invoice'!I$2:I$801,$W232)="","",INDEX('Per Invoice'!I$2:I$801,$W232)))</f>
        <v/>
      </c>
      <c r="J232">
        <f>IF($W232="","",IF(INDEX('Per Invoice'!J$2:J$801,$W232)="","",INDEX('Per Invoice'!J$2:J$801,$W232)))</f>
        <v/>
      </c>
      <c r="K232" s="7">
        <f>IF($W232="","",IF(INDEX('Per Invoice'!K$2:K$801,$W232)="","",INDEX('Per Invoice'!K$2:K$801,$W232)))</f>
        <v/>
      </c>
      <c r="L232" s="14">
        <f>IF($W232="","",IF(INDEX('Per Invoice'!L$2:L$801,$W232)="","",INDEX('Per Invoice'!L$2:L$801,$W232)))</f>
        <v/>
      </c>
      <c r="M232">
        <f>IF($W232="","",IF(INDEX('Per Invoice'!M$2:M$801,$W232)="","",INDEX('Per Invoice'!M$2:M$801,$W232)))</f>
        <v/>
      </c>
      <c r="N232" s="7">
        <f>IF($W232="","",IF(INDEX('Per Invoice'!N$2:N$801,$W232)="","",INDEX('Per Invoice'!N$2:N$801,$W232)))</f>
        <v/>
      </c>
      <c r="O232" s="7">
        <f>IF($W232="","",IF(INDEX('Per Invoice'!O$2:O$801,$W232)="","",INDEX('Per Invoice'!O$2:O$801,$W232)))</f>
        <v/>
      </c>
      <c r="P232">
        <f>IF($W232="","",IF(INDEX('Per Invoice'!P$2:P$801,$W232)="","",INDEX('Per Invoice'!P$2:P$801,$W232)))</f>
        <v/>
      </c>
      <c r="Q232" s="7">
        <f>IF($W232="","",IF(INDEX('Per Invoice'!Q$2:Q$801,$W232)="","",INDEX('Per Invoice'!Q$2:Q$801,$W232)))</f>
        <v/>
      </c>
      <c r="R232" s="7">
        <f>IF($W232="","",IF(INDEX('Per Invoice'!R$2:R$801,$W232)="","",INDEX('Per Invoice'!R$2:R$801,$W232)))</f>
        <v/>
      </c>
      <c r="S232" s="7">
        <f>IF($W232="","",IF(INDEX('Per Invoice'!S$2:S$801,$W232)="","",INDEX('Per Invoice'!S$2:S$801,$W232)))</f>
        <v/>
      </c>
      <c r="T232" s="7">
        <f>IF($W232="","",IF(INDEX('Per Invoice'!T$2:T$801,$W232)="","",INDEX('Per Invoice'!T$2:T$801,$W232)))</f>
        <v/>
      </c>
      <c r="U232" s="7">
        <f>IF($W232="","",IF(INDEX('Per Invoice'!U$2:U$801,$W232)="","",INDEX('Per Invoice'!U$2:U$801,$W232)))</f>
        <v/>
      </c>
      <c r="V232" s="7">
        <f>IF($W232="","",IF(INDEX('Per Invoice'!V$2:V$801,$W232)="","",INDEX('Per Invoice'!V$2:V$801,$W232)))</f>
        <v/>
      </c>
      <c r="W232" s="16">
        <f>IFERROR(MATCH(Settings!$C$31&amp;"|"&amp;ROWS($W$2:$W232),'Per Invoice'!$X$2:$X$801,0),"")</f>
        <v/>
      </c>
    </row>
    <row r="233">
      <c r="A233">
        <f>IF($W233="","",IF(INDEX('Per Invoice'!A$2:A$801,$W233)="","",INDEX('Per Invoice'!A$2:A$801,$W233)))</f>
        <v/>
      </c>
      <c r="B233">
        <f>IF($W233="","",IF(INDEX('Per Invoice'!B$2:B$801,$W233)="","",INDEX('Per Invoice'!B$2:B$801,$W233)))</f>
        <v/>
      </c>
      <c r="C233">
        <f>IF($W233="","",IF(INDEX('Per Invoice'!C$2:C$801,$W233)="","",INDEX('Per Invoice'!C$2:C$801,$W233)))</f>
        <v/>
      </c>
      <c r="D233">
        <f>IF($W233="","",IF(INDEX('Per Invoice'!D$2:D$801,$W233)="","",INDEX('Per Invoice'!D$2:D$801,$W233)))</f>
        <v/>
      </c>
      <c r="E233">
        <f>IF($W233="","",IF(INDEX('Per Invoice'!E$2:E$801,$W233)="","",INDEX('Per Invoice'!E$2:E$801,$W233)))</f>
        <v/>
      </c>
      <c r="F233">
        <f>IF($W233="","",IF(INDEX('Per Invoice'!F$2:F$801,$W233)="","",INDEX('Per Invoice'!F$2:F$801,$W233)))</f>
        <v/>
      </c>
      <c r="G233">
        <f>IF($W233="","",IF(INDEX('Per Invoice'!G$2:G$801,$W233)="","",INDEX('Per Invoice'!G$2:G$801,$W233)))</f>
        <v/>
      </c>
      <c r="H233">
        <f>IF($W233="","",IF(INDEX('Per Invoice'!H$2:H$801,$W233)="","",INDEX('Per Invoice'!H$2:H$801,$W233)))</f>
        <v/>
      </c>
      <c r="I233">
        <f>IF($W233="","",IF(INDEX('Per Invoice'!I$2:I$801,$W233)="","",INDEX('Per Invoice'!I$2:I$801,$W233)))</f>
        <v/>
      </c>
      <c r="J233">
        <f>IF($W233="","",IF(INDEX('Per Invoice'!J$2:J$801,$W233)="","",INDEX('Per Invoice'!J$2:J$801,$W233)))</f>
        <v/>
      </c>
      <c r="K233" s="7">
        <f>IF($W233="","",IF(INDEX('Per Invoice'!K$2:K$801,$W233)="","",INDEX('Per Invoice'!K$2:K$801,$W233)))</f>
        <v/>
      </c>
      <c r="L233" s="14">
        <f>IF($W233="","",IF(INDEX('Per Invoice'!L$2:L$801,$W233)="","",INDEX('Per Invoice'!L$2:L$801,$W233)))</f>
        <v/>
      </c>
      <c r="M233">
        <f>IF($W233="","",IF(INDEX('Per Invoice'!M$2:M$801,$W233)="","",INDEX('Per Invoice'!M$2:M$801,$W233)))</f>
        <v/>
      </c>
      <c r="N233" s="7">
        <f>IF($W233="","",IF(INDEX('Per Invoice'!N$2:N$801,$W233)="","",INDEX('Per Invoice'!N$2:N$801,$W233)))</f>
        <v/>
      </c>
      <c r="O233" s="7">
        <f>IF($W233="","",IF(INDEX('Per Invoice'!O$2:O$801,$W233)="","",INDEX('Per Invoice'!O$2:O$801,$W233)))</f>
        <v/>
      </c>
      <c r="P233">
        <f>IF($W233="","",IF(INDEX('Per Invoice'!P$2:P$801,$W233)="","",INDEX('Per Invoice'!P$2:P$801,$W233)))</f>
        <v/>
      </c>
      <c r="Q233" s="7">
        <f>IF($W233="","",IF(INDEX('Per Invoice'!Q$2:Q$801,$W233)="","",INDEX('Per Invoice'!Q$2:Q$801,$W233)))</f>
        <v/>
      </c>
      <c r="R233" s="7">
        <f>IF($W233="","",IF(INDEX('Per Invoice'!R$2:R$801,$W233)="","",INDEX('Per Invoice'!R$2:R$801,$W233)))</f>
        <v/>
      </c>
      <c r="S233" s="7">
        <f>IF($W233="","",IF(INDEX('Per Invoice'!S$2:S$801,$W233)="","",INDEX('Per Invoice'!S$2:S$801,$W233)))</f>
        <v/>
      </c>
      <c r="T233" s="7">
        <f>IF($W233="","",IF(INDEX('Per Invoice'!T$2:T$801,$W233)="","",INDEX('Per Invoice'!T$2:T$801,$W233)))</f>
        <v/>
      </c>
      <c r="U233" s="7">
        <f>IF($W233="","",IF(INDEX('Per Invoice'!U$2:U$801,$W233)="","",INDEX('Per Invoice'!U$2:U$801,$W233)))</f>
        <v/>
      </c>
      <c r="V233" s="7">
        <f>IF($W233="","",IF(INDEX('Per Invoice'!V$2:V$801,$W233)="","",INDEX('Per Invoice'!V$2:V$801,$W233)))</f>
        <v/>
      </c>
      <c r="W233" s="16">
        <f>IFERROR(MATCH(Settings!$C$31&amp;"|"&amp;ROWS($W$2:$W233),'Per Invoice'!$X$2:$X$801,0),"")</f>
        <v/>
      </c>
    </row>
    <row r="234">
      <c r="A234">
        <f>IF($W234="","",IF(INDEX('Per Invoice'!A$2:A$801,$W234)="","",INDEX('Per Invoice'!A$2:A$801,$W234)))</f>
        <v/>
      </c>
      <c r="B234">
        <f>IF($W234="","",IF(INDEX('Per Invoice'!B$2:B$801,$W234)="","",INDEX('Per Invoice'!B$2:B$801,$W234)))</f>
        <v/>
      </c>
      <c r="C234">
        <f>IF($W234="","",IF(INDEX('Per Invoice'!C$2:C$801,$W234)="","",INDEX('Per Invoice'!C$2:C$801,$W234)))</f>
        <v/>
      </c>
      <c r="D234">
        <f>IF($W234="","",IF(INDEX('Per Invoice'!D$2:D$801,$W234)="","",INDEX('Per Invoice'!D$2:D$801,$W234)))</f>
        <v/>
      </c>
      <c r="E234">
        <f>IF($W234="","",IF(INDEX('Per Invoice'!E$2:E$801,$W234)="","",INDEX('Per Invoice'!E$2:E$801,$W234)))</f>
        <v/>
      </c>
      <c r="F234">
        <f>IF($W234="","",IF(INDEX('Per Invoice'!F$2:F$801,$W234)="","",INDEX('Per Invoice'!F$2:F$801,$W234)))</f>
        <v/>
      </c>
      <c r="G234">
        <f>IF($W234="","",IF(INDEX('Per Invoice'!G$2:G$801,$W234)="","",INDEX('Per Invoice'!G$2:G$801,$W234)))</f>
        <v/>
      </c>
      <c r="H234">
        <f>IF($W234="","",IF(INDEX('Per Invoice'!H$2:H$801,$W234)="","",INDEX('Per Invoice'!H$2:H$801,$W234)))</f>
        <v/>
      </c>
      <c r="I234">
        <f>IF($W234="","",IF(INDEX('Per Invoice'!I$2:I$801,$W234)="","",INDEX('Per Invoice'!I$2:I$801,$W234)))</f>
        <v/>
      </c>
      <c r="J234">
        <f>IF($W234="","",IF(INDEX('Per Invoice'!J$2:J$801,$W234)="","",INDEX('Per Invoice'!J$2:J$801,$W234)))</f>
        <v/>
      </c>
      <c r="K234" s="7">
        <f>IF($W234="","",IF(INDEX('Per Invoice'!K$2:K$801,$W234)="","",INDEX('Per Invoice'!K$2:K$801,$W234)))</f>
        <v/>
      </c>
      <c r="L234" s="14">
        <f>IF($W234="","",IF(INDEX('Per Invoice'!L$2:L$801,$W234)="","",INDEX('Per Invoice'!L$2:L$801,$W234)))</f>
        <v/>
      </c>
      <c r="M234">
        <f>IF($W234="","",IF(INDEX('Per Invoice'!M$2:M$801,$W234)="","",INDEX('Per Invoice'!M$2:M$801,$W234)))</f>
        <v/>
      </c>
      <c r="N234" s="7">
        <f>IF($W234="","",IF(INDEX('Per Invoice'!N$2:N$801,$W234)="","",INDEX('Per Invoice'!N$2:N$801,$W234)))</f>
        <v/>
      </c>
      <c r="O234" s="7">
        <f>IF($W234="","",IF(INDEX('Per Invoice'!O$2:O$801,$W234)="","",INDEX('Per Invoice'!O$2:O$801,$W234)))</f>
        <v/>
      </c>
      <c r="P234">
        <f>IF($W234="","",IF(INDEX('Per Invoice'!P$2:P$801,$W234)="","",INDEX('Per Invoice'!P$2:P$801,$W234)))</f>
        <v/>
      </c>
      <c r="Q234" s="7">
        <f>IF($W234="","",IF(INDEX('Per Invoice'!Q$2:Q$801,$W234)="","",INDEX('Per Invoice'!Q$2:Q$801,$W234)))</f>
        <v/>
      </c>
      <c r="R234" s="7">
        <f>IF($W234="","",IF(INDEX('Per Invoice'!R$2:R$801,$W234)="","",INDEX('Per Invoice'!R$2:R$801,$W234)))</f>
        <v/>
      </c>
      <c r="S234" s="7">
        <f>IF($W234="","",IF(INDEX('Per Invoice'!S$2:S$801,$W234)="","",INDEX('Per Invoice'!S$2:S$801,$W234)))</f>
        <v/>
      </c>
      <c r="T234" s="7">
        <f>IF($W234="","",IF(INDEX('Per Invoice'!T$2:T$801,$W234)="","",INDEX('Per Invoice'!T$2:T$801,$W234)))</f>
        <v/>
      </c>
      <c r="U234" s="7">
        <f>IF($W234="","",IF(INDEX('Per Invoice'!U$2:U$801,$W234)="","",INDEX('Per Invoice'!U$2:U$801,$W234)))</f>
        <v/>
      </c>
      <c r="V234" s="7">
        <f>IF($W234="","",IF(INDEX('Per Invoice'!V$2:V$801,$W234)="","",INDEX('Per Invoice'!V$2:V$801,$W234)))</f>
        <v/>
      </c>
      <c r="W234" s="16">
        <f>IFERROR(MATCH(Settings!$C$31&amp;"|"&amp;ROWS($W$2:$W234),'Per Invoice'!$X$2:$X$801,0),"")</f>
        <v/>
      </c>
    </row>
    <row r="235">
      <c r="A235">
        <f>IF($W235="","",IF(INDEX('Per Invoice'!A$2:A$801,$W235)="","",INDEX('Per Invoice'!A$2:A$801,$W235)))</f>
        <v/>
      </c>
      <c r="B235">
        <f>IF($W235="","",IF(INDEX('Per Invoice'!B$2:B$801,$W235)="","",INDEX('Per Invoice'!B$2:B$801,$W235)))</f>
        <v/>
      </c>
      <c r="C235">
        <f>IF($W235="","",IF(INDEX('Per Invoice'!C$2:C$801,$W235)="","",INDEX('Per Invoice'!C$2:C$801,$W235)))</f>
        <v/>
      </c>
      <c r="D235">
        <f>IF($W235="","",IF(INDEX('Per Invoice'!D$2:D$801,$W235)="","",INDEX('Per Invoice'!D$2:D$801,$W235)))</f>
        <v/>
      </c>
      <c r="E235">
        <f>IF($W235="","",IF(INDEX('Per Invoice'!E$2:E$801,$W235)="","",INDEX('Per Invoice'!E$2:E$801,$W235)))</f>
        <v/>
      </c>
      <c r="F235">
        <f>IF($W235="","",IF(INDEX('Per Invoice'!F$2:F$801,$W235)="","",INDEX('Per Invoice'!F$2:F$801,$W235)))</f>
        <v/>
      </c>
      <c r="G235">
        <f>IF($W235="","",IF(INDEX('Per Invoice'!G$2:G$801,$W235)="","",INDEX('Per Invoice'!G$2:G$801,$W235)))</f>
        <v/>
      </c>
      <c r="H235">
        <f>IF($W235="","",IF(INDEX('Per Invoice'!H$2:H$801,$W235)="","",INDEX('Per Invoice'!H$2:H$801,$W235)))</f>
        <v/>
      </c>
      <c r="I235">
        <f>IF($W235="","",IF(INDEX('Per Invoice'!I$2:I$801,$W235)="","",INDEX('Per Invoice'!I$2:I$801,$W235)))</f>
        <v/>
      </c>
      <c r="J235">
        <f>IF($W235="","",IF(INDEX('Per Invoice'!J$2:J$801,$W235)="","",INDEX('Per Invoice'!J$2:J$801,$W235)))</f>
        <v/>
      </c>
      <c r="K235" s="7">
        <f>IF($W235="","",IF(INDEX('Per Invoice'!K$2:K$801,$W235)="","",INDEX('Per Invoice'!K$2:K$801,$W235)))</f>
        <v/>
      </c>
      <c r="L235" s="14">
        <f>IF($W235="","",IF(INDEX('Per Invoice'!L$2:L$801,$W235)="","",INDEX('Per Invoice'!L$2:L$801,$W235)))</f>
        <v/>
      </c>
      <c r="M235">
        <f>IF($W235="","",IF(INDEX('Per Invoice'!M$2:M$801,$W235)="","",INDEX('Per Invoice'!M$2:M$801,$W235)))</f>
        <v/>
      </c>
      <c r="N235" s="7">
        <f>IF($W235="","",IF(INDEX('Per Invoice'!N$2:N$801,$W235)="","",INDEX('Per Invoice'!N$2:N$801,$W235)))</f>
        <v/>
      </c>
      <c r="O235" s="7">
        <f>IF($W235="","",IF(INDEX('Per Invoice'!O$2:O$801,$W235)="","",INDEX('Per Invoice'!O$2:O$801,$W235)))</f>
        <v/>
      </c>
      <c r="P235">
        <f>IF($W235="","",IF(INDEX('Per Invoice'!P$2:P$801,$W235)="","",INDEX('Per Invoice'!P$2:P$801,$W235)))</f>
        <v/>
      </c>
      <c r="Q235" s="7">
        <f>IF($W235="","",IF(INDEX('Per Invoice'!Q$2:Q$801,$W235)="","",INDEX('Per Invoice'!Q$2:Q$801,$W235)))</f>
        <v/>
      </c>
      <c r="R235" s="7">
        <f>IF($W235="","",IF(INDEX('Per Invoice'!R$2:R$801,$W235)="","",INDEX('Per Invoice'!R$2:R$801,$W235)))</f>
        <v/>
      </c>
      <c r="S235" s="7">
        <f>IF($W235="","",IF(INDEX('Per Invoice'!S$2:S$801,$W235)="","",INDEX('Per Invoice'!S$2:S$801,$W235)))</f>
        <v/>
      </c>
      <c r="T235" s="7">
        <f>IF($W235="","",IF(INDEX('Per Invoice'!T$2:T$801,$W235)="","",INDEX('Per Invoice'!T$2:T$801,$W235)))</f>
        <v/>
      </c>
      <c r="U235" s="7">
        <f>IF($W235="","",IF(INDEX('Per Invoice'!U$2:U$801,$W235)="","",INDEX('Per Invoice'!U$2:U$801,$W235)))</f>
        <v/>
      </c>
      <c r="V235" s="7">
        <f>IF($W235="","",IF(INDEX('Per Invoice'!V$2:V$801,$W235)="","",INDEX('Per Invoice'!V$2:V$801,$W235)))</f>
        <v/>
      </c>
      <c r="W235" s="16">
        <f>IFERROR(MATCH(Settings!$C$31&amp;"|"&amp;ROWS($W$2:$W235),'Per Invoice'!$X$2:$X$801,0),"")</f>
        <v/>
      </c>
    </row>
    <row r="236">
      <c r="A236">
        <f>IF($W236="","",IF(INDEX('Per Invoice'!A$2:A$801,$W236)="","",INDEX('Per Invoice'!A$2:A$801,$W236)))</f>
        <v/>
      </c>
      <c r="B236">
        <f>IF($W236="","",IF(INDEX('Per Invoice'!B$2:B$801,$W236)="","",INDEX('Per Invoice'!B$2:B$801,$W236)))</f>
        <v/>
      </c>
      <c r="C236">
        <f>IF($W236="","",IF(INDEX('Per Invoice'!C$2:C$801,$W236)="","",INDEX('Per Invoice'!C$2:C$801,$W236)))</f>
        <v/>
      </c>
      <c r="D236">
        <f>IF($W236="","",IF(INDEX('Per Invoice'!D$2:D$801,$W236)="","",INDEX('Per Invoice'!D$2:D$801,$W236)))</f>
        <v/>
      </c>
      <c r="E236">
        <f>IF($W236="","",IF(INDEX('Per Invoice'!E$2:E$801,$W236)="","",INDEX('Per Invoice'!E$2:E$801,$W236)))</f>
        <v/>
      </c>
      <c r="F236">
        <f>IF($W236="","",IF(INDEX('Per Invoice'!F$2:F$801,$W236)="","",INDEX('Per Invoice'!F$2:F$801,$W236)))</f>
        <v/>
      </c>
      <c r="G236">
        <f>IF($W236="","",IF(INDEX('Per Invoice'!G$2:G$801,$W236)="","",INDEX('Per Invoice'!G$2:G$801,$W236)))</f>
        <v/>
      </c>
      <c r="H236">
        <f>IF($W236="","",IF(INDEX('Per Invoice'!H$2:H$801,$W236)="","",INDEX('Per Invoice'!H$2:H$801,$W236)))</f>
        <v/>
      </c>
      <c r="I236">
        <f>IF($W236="","",IF(INDEX('Per Invoice'!I$2:I$801,$W236)="","",INDEX('Per Invoice'!I$2:I$801,$W236)))</f>
        <v/>
      </c>
      <c r="J236">
        <f>IF($W236="","",IF(INDEX('Per Invoice'!J$2:J$801,$W236)="","",INDEX('Per Invoice'!J$2:J$801,$W236)))</f>
        <v/>
      </c>
      <c r="K236" s="7">
        <f>IF($W236="","",IF(INDEX('Per Invoice'!K$2:K$801,$W236)="","",INDEX('Per Invoice'!K$2:K$801,$W236)))</f>
        <v/>
      </c>
      <c r="L236" s="14">
        <f>IF($W236="","",IF(INDEX('Per Invoice'!L$2:L$801,$W236)="","",INDEX('Per Invoice'!L$2:L$801,$W236)))</f>
        <v/>
      </c>
      <c r="M236">
        <f>IF($W236="","",IF(INDEX('Per Invoice'!M$2:M$801,$W236)="","",INDEX('Per Invoice'!M$2:M$801,$W236)))</f>
        <v/>
      </c>
      <c r="N236" s="7">
        <f>IF($W236="","",IF(INDEX('Per Invoice'!N$2:N$801,$W236)="","",INDEX('Per Invoice'!N$2:N$801,$W236)))</f>
        <v/>
      </c>
      <c r="O236" s="7">
        <f>IF($W236="","",IF(INDEX('Per Invoice'!O$2:O$801,$W236)="","",INDEX('Per Invoice'!O$2:O$801,$W236)))</f>
        <v/>
      </c>
      <c r="P236">
        <f>IF($W236="","",IF(INDEX('Per Invoice'!P$2:P$801,$W236)="","",INDEX('Per Invoice'!P$2:P$801,$W236)))</f>
        <v/>
      </c>
      <c r="Q236" s="7">
        <f>IF($W236="","",IF(INDEX('Per Invoice'!Q$2:Q$801,$W236)="","",INDEX('Per Invoice'!Q$2:Q$801,$W236)))</f>
        <v/>
      </c>
      <c r="R236" s="7">
        <f>IF($W236="","",IF(INDEX('Per Invoice'!R$2:R$801,$W236)="","",INDEX('Per Invoice'!R$2:R$801,$W236)))</f>
        <v/>
      </c>
      <c r="S236" s="7">
        <f>IF($W236="","",IF(INDEX('Per Invoice'!S$2:S$801,$W236)="","",INDEX('Per Invoice'!S$2:S$801,$W236)))</f>
        <v/>
      </c>
      <c r="T236" s="7">
        <f>IF($W236="","",IF(INDEX('Per Invoice'!T$2:T$801,$W236)="","",INDEX('Per Invoice'!T$2:T$801,$W236)))</f>
        <v/>
      </c>
      <c r="U236" s="7">
        <f>IF($W236="","",IF(INDEX('Per Invoice'!U$2:U$801,$W236)="","",INDEX('Per Invoice'!U$2:U$801,$W236)))</f>
        <v/>
      </c>
      <c r="V236" s="7">
        <f>IF($W236="","",IF(INDEX('Per Invoice'!V$2:V$801,$W236)="","",INDEX('Per Invoice'!V$2:V$801,$W236)))</f>
        <v/>
      </c>
      <c r="W236" s="16">
        <f>IFERROR(MATCH(Settings!$C$31&amp;"|"&amp;ROWS($W$2:$W236),'Per Invoice'!$X$2:$X$801,0),"")</f>
        <v/>
      </c>
    </row>
    <row r="237">
      <c r="A237">
        <f>IF($W237="","",IF(INDEX('Per Invoice'!A$2:A$801,$W237)="","",INDEX('Per Invoice'!A$2:A$801,$W237)))</f>
        <v/>
      </c>
      <c r="B237">
        <f>IF($W237="","",IF(INDEX('Per Invoice'!B$2:B$801,$W237)="","",INDEX('Per Invoice'!B$2:B$801,$W237)))</f>
        <v/>
      </c>
      <c r="C237">
        <f>IF($W237="","",IF(INDEX('Per Invoice'!C$2:C$801,$W237)="","",INDEX('Per Invoice'!C$2:C$801,$W237)))</f>
        <v/>
      </c>
      <c r="D237">
        <f>IF($W237="","",IF(INDEX('Per Invoice'!D$2:D$801,$W237)="","",INDEX('Per Invoice'!D$2:D$801,$W237)))</f>
        <v/>
      </c>
      <c r="E237">
        <f>IF($W237="","",IF(INDEX('Per Invoice'!E$2:E$801,$W237)="","",INDEX('Per Invoice'!E$2:E$801,$W237)))</f>
        <v/>
      </c>
      <c r="F237">
        <f>IF($W237="","",IF(INDEX('Per Invoice'!F$2:F$801,$W237)="","",INDEX('Per Invoice'!F$2:F$801,$W237)))</f>
        <v/>
      </c>
      <c r="G237">
        <f>IF($W237="","",IF(INDEX('Per Invoice'!G$2:G$801,$W237)="","",INDEX('Per Invoice'!G$2:G$801,$W237)))</f>
        <v/>
      </c>
      <c r="H237">
        <f>IF($W237="","",IF(INDEX('Per Invoice'!H$2:H$801,$W237)="","",INDEX('Per Invoice'!H$2:H$801,$W237)))</f>
        <v/>
      </c>
      <c r="I237">
        <f>IF($W237="","",IF(INDEX('Per Invoice'!I$2:I$801,$W237)="","",INDEX('Per Invoice'!I$2:I$801,$W237)))</f>
        <v/>
      </c>
      <c r="J237">
        <f>IF($W237="","",IF(INDEX('Per Invoice'!J$2:J$801,$W237)="","",INDEX('Per Invoice'!J$2:J$801,$W237)))</f>
        <v/>
      </c>
      <c r="K237" s="7">
        <f>IF($W237="","",IF(INDEX('Per Invoice'!K$2:K$801,$W237)="","",INDEX('Per Invoice'!K$2:K$801,$W237)))</f>
        <v/>
      </c>
      <c r="L237" s="14">
        <f>IF($W237="","",IF(INDEX('Per Invoice'!L$2:L$801,$W237)="","",INDEX('Per Invoice'!L$2:L$801,$W237)))</f>
        <v/>
      </c>
      <c r="M237">
        <f>IF($W237="","",IF(INDEX('Per Invoice'!M$2:M$801,$W237)="","",INDEX('Per Invoice'!M$2:M$801,$W237)))</f>
        <v/>
      </c>
      <c r="N237" s="7">
        <f>IF($W237="","",IF(INDEX('Per Invoice'!N$2:N$801,$W237)="","",INDEX('Per Invoice'!N$2:N$801,$W237)))</f>
        <v/>
      </c>
      <c r="O237" s="7">
        <f>IF($W237="","",IF(INDEX('Per Invoice'!O$2:O$801,$W237)="","",INDEX('Per Invoice'!O$2:O$801,$W237)))</f>
        <v/>
      </c>
      <c r="P237">
        <f>IF($W237="","",IF(INDEX('Per Invoice'!P$2:P$801,$W237)="","",INDEX('Per Invoice'!P$2:P$801,$W237)))</f>
        <v/>
      </c>
      <c r="Q237" s="7">
        <f>IF($W237="","",IF(INDEX('Per Invoice'!Q$2:Q$801,$W237)="","",INDEX('Per Invoice'!Q$2:Q$801,$W237)))</f>
        <v/>
      </c>
      <c r="R237" s="7">
        <f>IF($W237="","",IF(INDEX('Per Invoice'!R$2:R$801,$W237)="","",INDEX('Per Invoice'!R$2:R$801,$W237)))</f>
        <v/>
      </c>
      <c r="S237" s="7">
        <f>IF($W237="","",IF(INDEX('Per Invoice'!S$2:S$801,$W237)="","",INDEX('Per Invoice'!S$2:S$801,$W237)))</f>
        <v/>
      </c>
      <c r="T237" s="7">
        <f>IF($W237="","",IF(INDEX('Per Invoice'!T$2:T$801,$W237)="","",INDEX('Per Invoice'!T$2:T$801,$W237)))</f>
        <v/>
      </c>
      <c r="U237" s="7">
        <f>IF($W237="","",IF(INDEX('Per Invoice'!U$2:U$801,$W237)="","",INDEX('Per Invoice'!U$2:U$801,$W237)))</f>
        <v/>
      </c>
      <c r="V237" s="7">
        <f>IF($W237="","",IF(INDEX('Per Invoice'!V$2:V$801,$W237)="","",INDEX('Per Invoice'!V$2:V$801,$W237)))</f>
        <v/>
      </c>
      <c r="W237" s="16">
        <f>IFERROR(MATCH(Settings!$C$31&amp;"|"&amp;ROWS($W$2:$W237),'Per Invoice'!$X$2:$X$801,0),"")</f>
        <v/>
      </c>
    </row>
    <row r="238">
      <c r="A238">
        <f>IF($W238="","",IF(INDEX('Per Invoice'!A$2:A$801,$W238)="","",INDEX('Per Invoice'!A$2:A$801,$W238)))</f>
        <v/>
      </c>
      <c r="B238">
        <f>IF($W238="","",IF(INDEX('Per Invoice'!B$2:B$801,$W238)="","",INDEX('Per Invoice'!B$2:B$801,$W238)))</f>
        <v/>
      </c>
      <c r="C238">
        <f>IF($W238="","",IF(INDEX('Per Invoice'!C$2:C$801,$W238)="","",INDEX('Per Invoice'!C$2:C$801,$W238)))</f>
        <v/>
      </c>
      <c r="D238">
        <f>IF($W238="","",IF(INDEX('Per Invoice'!D$2:D$801,$W238)="","",INDEX('Per Invoice'!D$2:D$801,$W238)))</f>
        <v/>
      </c>
      <c r="E238">
        <f>IF($W238="","",IF(INDEX('Per Invoice'!E$2:E$801,$W238)="","",INDEX('Per Invoice'!E$2:E$801,$W238)))</f>
        <v/>
      </c>
      <c r="F238">
        <f>IF($W238="","",IF(INDEX('Per Invoice'!F$2:F$801,$W238)="","",INDEX('Per Invoice'!F$2:F$801,$W238)))</f>
        <v/>
      </c>
      <c r="G238">
        <f>IF($W238="","",IF(INDEX('Per Invoice'!G$2:G$801,$W238)="","",INDEX('Per Invoice'!G$2:G$801,$W238)))</f>
        <v/>
      </c>
      <c r="H238">
        <f>IF($W238="","",IF(INDEX('Per Invoice'!H$2:H$801,$W238)="","",INDEX('Per Invoice'!H$2:H$801,$W238)))</f>
        <v/>
      </c>
      <c r="I238">
        <f>IF($W238="","",IF(INDEX('Per Invoice'!I$2:I$801,$W238)="","",INDEX('Per Invoice'!I$2:I$801,$W238)))</f>
        <v/>
      </c>
      <c r="J238">
        <f>IF($W238="","",IF(INDEX('Per Invoice'!J$2:J$801,$W238)="","",INDEX('Per Invoice'!J$2:J$801,$W238)))</f>
        <v/>
      </c>
      <c r="K238" s="7">
        <f>IF($W238="","",IF(INDEX('Per Invoice'!K$2:K$801,$W238)="","",INDEX('Per Invoice'!K$2:K$801,$W238)))</f>
        <v/>
      </c>
      <c r="L238" s="14">
        <f>IF($W238="","",IF(INDEX('Per Invoice'!L$2:L$801,$W238)="","",INDEX('Per Invoice'!L$2:L$801,$W238)))</f>
        <v/>
      </c>
      <c r="M238">
        <f>IF($W238="","",IF(INDEX('Per Invoice'!M$2:M$801,$W238)="","",INDEX('Per Invoice'!M$2:M$801,$W238)))</f>
        <v/>
      </c>
      <c r="N238" s="7">
        <f>IF($W238="","",IF(INDEX('Per Invoice'!N$2:N$801,$W238)="","",INDEX('Per Invoice'!N$2:N$801,$W238)))</f>
        <v/>
      </c>
      <c r="O238" s="7">
        <f>IF($W238="","",IF(INDEX('Per Invoice'!O$2:O$801,$W238)="","",INDEX('Per Invoice'!O$2:O$801,$W238)))</f>
        <v/>
      </c>
      <c r="P238">
        <f>IF($W238="","",IF(INDEX('Per Invoice'!P$2:P$801,$W238)="","",INDEX('Per Invoice'!P$2:P$801,$W238)))</f>
        <v/>
      </c>
      <c r="Q238" s="7">
        <f>IF($W238="","",IF(INDEX('Per Invoice'!Q$2:Q$801,$W238)="","",INDEX('Per Invoice'!Q$2:Q$801,$W238)))</f>
        <v/>
      </c>
      <c r="R238" s="7">
        <f>IF($W238="","",IF(INDEX('Per Invoice'!R$2:R$801,$W238)="","",INDEX('Per Invoice'!R$2:R$801,$W238)))</f>
        <v/>
      </c>
      <c r="S238" s="7">
        <f>IF($W238="","",IF(INDEX('Per Invoice'!S$2:S$801,$W238)="","",INDEX('Per Invoice'!S$2:S$801,$W238)))</f>
        <v/>
      </c>
      <c r="T238" s="7">
        <f>IF($W238="","",IF(INDEX('Per Invoice'!T$2:T$801,$W238)="","",INDEX('Per Invoice'!T$2:T$801,$W238)))</f>
        <v/>
      </c>
      <c r="U238" s="7">
        <f>IF($W238="","",IF(INDEX('Per Invoice'!U$2:U$801,$W238)="","",INDEX('Per Invoice'!U$2:U$801,$W238)))</f>
        <v/>
      </c>
      <c r="V238" s="7">
        <f>IF($W238="","",IF(INDEX('Per Invoice'!V$2:V$801,$W238)="","",INDEX('Per Invoice'!V$2:V$801,$W238)))</f>
        <v/>
      </c>
      <c r="W238" s="16">
        <f>IFERROR(MATCH(Settings!$C$31&amp;"|"&amp;ROWS($W$2:$W238),'Per Invoice'!$X$2:$X$801,0),"")</f>
        <v/>
      </c>
    </row>
    <row r="239">
      <c r="A239">
        <f>IF($W239="","",IF(INDEX('Per Invoice'!A$2:A$801,$W239)="","",INDEX('Per Invoice'!A$2:A$801,$W239)))</f>
        <v/>
      </c>
      <c r="B239">
        <f>IF($W239="","",IF(INDEX('Per Invoice'!B$2:B$801,$W239)="","",INDEX('Per Invoice'!B$2:B$801,$W239)))</f>
        <v/>
      </c>
      <c r="C239">
        <f>IF($W239="","",IF(INDEX('Per Invoice'!C$2:C$801,$W239)="","",INDEX('Per Invoice'!C$2:C$801,$W239)))</f>
        <v/>
      </c>
      <c r="D239">
        <f>IF($W239="","",IF(INDEX('Per Invoice'!D$2:D$801,$W239)="","",INDEX('Per Invoice'!D$2:D$801,$W239)))</f>
        <v/>
      </c>
      <c r="E239">
        <f>IF($W239="","",IF(INDEX('Per Invoice'!E$2:E$801,$W239)="","",INDEX('Per Invoice'!E$2:E$801,$W239)))</f>
        <v/>
      </c>
      <c r="F239">
        <f>IF($W239="","",IF(INDEX('Per Invoice'!F$2:F$801,$W239)="","",INDEX('Per Invoice'!F$2:F$801,$W239)))</f>
        <v/>
      </c>
      <c r="G239">
        <f>IF($W239="","",IF(INDEX('Per Invoice'!G$2:G$801,$W239)="","",INDEX('Per Invoice'!G$2:G$801,$W239)))</f>
        <v/>
      </c>
      <c r="H239">
        <f>IF($W239="","",IF(INDEX('Per Invoice'!H$2:H$801,$W239)="","",INDEX('Per Invoice'!H$2:H$801,$W239)))</f>
        <v/>
      </c>
      <c r="I239">
        <f>IF($W239="","",IF(INDEX('Per Invoice'!I$2:I$801,$W239)="","",INDEX('Per Invoice'!I$2:I$801,$W239)))</f>
        <v/>
      </c>
      <c r="J239">
        <f>IF($W239="","",IF(INDEX('Per Invoice'!J$2:J$801,$W239)="","",INDEX('Per Invoice'!J$2:J$801,$W239)))</f>
        <v/>
      </c>
      <c r="K239" s="7">
        <f>IF($W239="","",IF(INDEX('Per Invoice'!K$2:K$801,$W239)="","",INDEX('Per Invoice'!K$2:K$801,$W239)))</f>
        <v/>
      </c>
      <c r="L239" s="14">
        <f>IF($W239="","",IF(INDEX('Per Invoice'!L$2:L$801,$W239)="","",INDEX('Per Invoice'!L$2:L$801,$W239)))</f>
        <v/>
      </c>
      <c r="M239">
        <f>IF($W239="","",IF(INDEX('Per Invoice'!M$2:M$801,$W239)="","",INDEX('Per Invoice'!M$2:M$801,$W239)))</f>
        <v/>
      </c>
      <c r="N239" s="7">
        <f>IF($W239="","",IF(INDEX('Per Invoice'!N$2:N$801,$W239)="","",INDEX('Per Invoice'!N$2:N$801,$W239)))</f>
        <v/>
      </c>
      <c r="O239" s="7">
        <f>IF($W239="","",IF(INDEX('Per Invoice'!O$2:O$801,$W239)="","",INDEX('Per Invoice'!O$2:O$801,$W239)))</f>
        <v/>
      </c>
      <c r="P239">
        <f>IF($W239="","",IF(INDEX('Per Invoice'!P$2:P$801,$W239)="","",INDEX('Per Invoice'!P$2:P$801,$W239)))</f>
        <v/>
      </c>
      <c r="Q239" s="7">
        <f>IF($W239="","",IF(INDEX('Per Invoice'!Q$2:Q$801,$W239)="","",INDEX('Per Invoice'!Q$2:Q$801,$W239)))</f>
        <v/>
      </c>
      <c r="R239" s="7">
        <f>IF($W239="","",IF(INDEX('Per Invoice'!R$2:R$801,$W239)="","",INDEX('Per Invoice'!R$2:R$801,$W239)))</f>
        <v/>
      </c>
      <c r="S239" s="7">
        <f>IF($W239="","",IF(INDEX('Per Invoice'!S$2:S$801,$W239)="","",INDEX('Per Invoice'!S$2:S$801,$W239)))</f>
        <v/>
      </c>
      <c r="T239" s="7">
        <f>IF($W239="","",IF(INDEX('Per Invoice'!T$2:T$801,$W239)="","",INDEX('Per Invoice'!T$2:T$801,$W239)))</f>
        <v/>
      </c>
      <c r="U239" s="7">
        <f>IF($W239="","",IF(INDEX('Per Invoice'!U$2:U$801,$W239)="","",INDEX('Per Invoice'!U$2:U$801,$W239)))</f>
        <v/>
      </c>
      <c r="V239" s="7">
        <f>IF($W239="","",IF(INDEX('Per Invoice'!V$2:V$801,$W239)="","",INDEX('Per Invoice'!V$2:V$801,$W239)))</f>
        <v/>
      </c>
      <c r="W239" s="16">
        <f>IFERROR(MATCH(Settings!$C$31&amp;"|"&amp;ROWS($W$2:$W239),'Per Invoice'!$X$2:$X$801,0),"")</f>
        <v/>
      </c>
    </row>
    <row r="240">
      <c r="A240">
        <f>IF($W240="","",IF(INDEX('Per Invoice'!A$2:A$801,$W240)="","",INDEX('Per Invoice'!A$2:A$801,$W240)))</f>
        <v/>
      </c>
      <c r="B240">
        <f>IF($W240="","",IF(INDEX('Per Invoice'!B$2:B$801,$W240)="","",INDEX('Per Invoice'!B$2:B$801,$W240)))</f>
        <v/>
      </c>
      <c r="C240">
        <f>IF($W240="","",IF(INDEX('Per Invoice'!C$2:C$801,$W240)="","",INDEX('Per Invoice'!C$2:C$801,$W240)))</f>
        <v/>
      </c>
      <c r="D240">
        <f>IF($W240="","",IF(INDEX('Per Invoice'!D$2:D$801,$W240)="","",INDEX('Per Invoice'!D$2:D$801,$W240)))</f>
        <v/>
      </c>
      <c r="E240">
        <f>IF($W240="","",IF(INDEX('Per Invoice'!E$2:E$801,$W240)="","",INDEX('Per Invoice'!E$2:E$801,$W240)))</f>
        <v/>
      </c>
      <c r="F240">
        <f>IF($W240="","",IF(INDEX('Per Invoice'!F$2:F$801,$W240)="","",INDEX('Per Invoice'!F$2:F$801,$W240)))</f>
        <v/>
      </c>
      <c r="G240">
        <f>IF($W240="","",IF(INDEX('Per Invoice'!G$2:G$801,$W240)="","",INDEX('Per Invoice'!G$2:G$801,$W240)))</f>
        <v/>
      </c>
      <c r="H240">
        <f>IF($W240="","",IF(INDEX('Per Invoice'!H$2:H$801,$W240)="","",INDEX('Per Invoice'!H$2:H$801,$W240)))</f>
        <v/>
      </c>
      <c r="I240">
        <f>IF($W240="","",IF(INDEX('Per Invoice'!I$2:I$801,$W240)="","",INDEX('Per Invoice'!I$2:I$801,$W240)))</f>
        <v/>
      </c>
      <c r="J240">
        <f>IF($W240="","",IF(INDEX('Per Invoice'!J$2:J$801,$W240)="","",INDEX('Per Invoice'!J$2:J$801,$W240)))</f>
        <v/>
      </c>
      <c r="K240" s="7">
        <f>IF($W240="","",IF(INDEX('Per Invoice'!K$2:K$801,$W240)="","",INDEX('Per Invoice'!K$2:K$801,$W240)))</f>
        <v/>
      </c>
      <c r="L240" s="14">
        <f>IF($W240="","",IF(INDEX('Per Invoice'!L$2:L$801,$W240)="","",INDEX('Per Invoice'!L$2:L$801,$W240)))</f>
        <v/>
      </c>
      <c r="M240">
        <f>IF($W240="","",IF(INDEX('Per Invoice'!M$2:M$801,$W240)="","",INDEX('Per Invoice'!M$2:M$801,$W240)))</f>
        <v/>
      </c>
      <c r="N240" s="7">
        <f>IF($W240="","",IF(INDEX('Per Invoice'!N$2:N$801,$W240)="","",INDEX('Per Invoice'!N$2:N$801,$W240)))</f>
        <v/>
      </c>
      <c r="O240" s="7">
        <f>IF($W240="","",IF(INDEX('Per Invoice'!O$2:O$801,$W240)="","",INDEX('Per Invoice'!O$2:O$801,$W240)))</f>
        <v/>
      </c>
      <c r="P240">
        <f>IF($W240="","",IF(INDEX('Per Invoice'!P$2:P$801,$W240)="","",INDEX('Per Invoice'!P$2:P$801,$W240)))</f>
        <v/>
      </c>
      <c r="Q240" s="7">
        <f>IF($W240="","",IF(INDEX('Per Invoice'!Q$2:Q$801,$W240)="","",INDEX('Per Invoice'!Q$2:Q$801,$W240)))</f>
        <v/>
      </c>
      <c r="R240" s="7">
        <f>IF($W240="","",IF(INDEX('Per Invoice'!R$2:R$801,$W240)="","",INDEX('Per Invoice'!R$2:R$801,$W240)))</f>
        <v/>
      </c>
      <c r="S240" s="7">
        <f>IF($W240="","",IF(INDEX('Per Invoice'!S$2:S$801,$W240)="","",INDEX('Per Invoice'!S$2:S$801,$W240)))</f>
        <v/>
      </c>
      <c r="T240" s="7">
        <f>IF($W240="","",IF(INDEX('Per Invoice'!T$2:T$801,$W240)="","",INDEX('Per Invoice'!T$2:T$801,$W240)))</f>
        <v/>
      </c>
      <c r="U240" s="7">
        <f>IF($W240="","",IF(INDEX('Per Invoice'!U$2:U$801,$W240)="","",INDEX('Per Invoice'!U$2:U$801,$W240)))</f>
        <v/>
      </c>
      <c r="V240" s="7">
        <f>IF($W240="","",IF(INDEX('Per Invoice'!V$2:V$801,$W240)="","",INDEX('Per Invoice'!V$2:V$801,$W240)))</f>
        <v/>
      </c>
      <c r="W240" s="16">
        <f>IFERROR(MATCH(Settings!$C$31&amp;"|"&amp;ROWS($W$2:$W240),'Per Invoice'!$X$2:$X$801,0),"")</f>
        <v/>
      </c>
    </row>
    <row r="241">
      <c r="A241">
        <f>IF($W241="","",IF(INDEX('Per Invoice'!A$2:A$801,$W241)="","",INDEX('Per Invoice'!A$2:A$801,$W241)))</f>
        <v/>
      </c>
      <c r="B241">
        <f>IF($W241="","",IF(INDEX('Per Invoice'!B$2:B$801,$W241)="","",INDEX('Per Invoice'!B$2:B$801,$W241)))</f>
        <v/>
      </c>
      <c r="C241">
        <f>IF($W241="","",IF(INDEX('Per Invoice'!C$2:C$801,$W241)="","",INDEX('Per Invoice'!C$2:C$801,$W241)))</f>
        <v/>
      </c>
      <c r="D241">
        <f>IF($W241="","",IF(INDEX('Per Invoice'!D$2:D$801,$W241)="","",INDEX('Per Invoice'!D$2:D$801,$W241)))</f>
        <v/>
      </c>
      <c r="E241">
        <f>IF($W241="","",IF(INDEX('Per Invoice'!E$2:E$801,$W241)="","",INDEX('Per Invoice'!E$2:E$801,$W241)))</f>
        <v/>
      </c>
      <c r="F241">
        <f>IF($W241="","",IF(INDEX('Per Invoice'!F$2:F$801,$W241)="","",INDEX('Per Invoice'!F$2:F$801,$W241)))</f>
        <v/>
      </c>
      <c r="G241">
        <f>IF($W241="","",IF(INDEX('Per Invoice'!G$2:G$801,$W241)="","",INDEX('Per Invoice'!G$2:G$801,$W241)))</f>
        <v/>
      </c>
      <c r="H241">
        <f>IF($W241="","",IF(INDEX('Per Invoice'!H$2:H$801,$W241)="","",INDEX('Per Invoice'!H$2:H$801,$W241)))</f>
        <v/>
      </c>
      <c r="I241">
        <f>IF($W241="","",IF(INDEX('Per Invoice'!I$2:I$801,$W241)="","",INDEX('Per Invoice'!I$2:I$801,$W241)))</f>
        <v/>
      </c>
      <c r="J241">
        <f>IF($W241="","",IF(INDEX('Per Invoice'!J$2:J$801,$W241)="","",INDEX('Per Invoice'!J$2:J$801,$W241)))</f>
        <v/>
      </c>
      <c r="K241" s="7">
        <f>IF($W241="","",IF(INDEX('Per Invoice'!K$2:K$801,$W241)="","",INDEX('Per Invoice'!K$2:K$801,$W241)))</f>
        <v/>
      </c>
      <c r="L241" s="14">
        <f>IF($W241="","",IF(INDEX('Per Invoice'!L$2:L$801,$W241)="","",INDEX('Per Invoice'!L$2:L$801,$W241)))</f>
        <v/>
      </c>
      <c r="M241">
        <f>IF($W241="","",IF(INDEX('Per Invoice'!M$2:M$801,$W241)="","",INDEX('Per Invoice'!M$2:M$801,$W241)))</f>
        <v/>
      </c>
      <c r="N241" s="7">
        <f>IF($W241="","",IF(INDEX('Per Invoice'!N$2:N$801,$W241)="","",INDEX('Per Invoice'!N$2:N$801,$W241)))</f>
        <v/>
      </c>
      <c r="O241" s="7">
        <f>IF($W241="","",IF(INDEX('Per Invoice'!O$2:O$801,$W241)="","",INDEX('Per Invoice'!O$2:O$801,$W241)))</f>
        <v/>
      </c>
      <c r="P241">
        <f>IF($W241="","",IF(INDEX('Per Invoice'!P$2:P$801,$W241)="","",INDEX('Per Invoice'!P$2:P$801,$W241)))</f>
        <v/>
      </c>
      <c r="Q241" s="7">
        <f>IF($W241="","",IF(INDEX('Per Invoice'!Q$2:Q$801,$W241)="","",INDEX('Per Invoice'!Q$2:Q$801,$W241)))</f>
        <v/>
      </c>
      <c r="R241" s="7">
        <f>IF($W241="","",IF(INDEX('Per Invoice'!R$2:R$801,$W241)="","",INDEX('Per Invoice'!R$2:R$801,$W241)))</f>
        <v/>
      </c>
      <c r="S241" s="7">
        <f>IF($W241="","",IF(INDEX('Per Invoice'!S$2:S$801,$W241)="","",INDEX('Per Invoice'!S$2:S$801,$W241)))</f>
        <v/>
      </c>
      <c r="T241" s="7">
        <f>IF($W241="","",IF(INDEX('Per Invoice'!T$2:T$801,$W241)="","",INDEX('Per Invoice'!T$2:T$801,$W241)))</f>
        <v/>
      </c>
      <c r="U241" s="7">
        <f>IF($W241="","",IF(INDEX('Per Invoice'!U$2:U$801,$W241)="","",INDEX('Per Invoice'!U$2:U$801,$W241)))</f>
        <v/>
      </c>
      <c r="V241" s="7">
        <f>IF($W241="","",IF(INDEX('Per Invoice'!V$2:V$801,$W241)="","",INDEX('Per Invoice'!V$2:V$801,$W241)))</f>
        <v/>
      </c>
      <c r="W241" s="16">
        <f>IFERROR(MATCH(Settings!$C$31&amp;"|"&amp;ROWS($W$2:$W241),'Per Invoice'!$X$2:$X$801,0),"")</f>
        <v/>
      </c>
    </row>
    <row r="242">
      <c r="A242">
        <f>IF($W242="","",IF(INDEX('Per Invoice'!A$2:A$801,$W242)="","",INDEX('Per Invoice'!A$2:A$801,$W242)))</f>
        <v/>
      </c>
      <c r="B242">
        <f>IF($W242="","",IF(INDEX('Per Invoice'!B$2:B$801,$W242)="","",INDEX('Per Invoice'!B$2:B$801,$W242)))</f>
        <v/>
      </c>
      <c r="C242">
        <f>IF($W242="","",IF(INDEX('Per Invoice'!C$2:C$801,$W242)="","",INDEX('Per Invoice'!C$2:C$801,$W242)))</f>
        <v/>
      </c>
      <c r="D242">
        <f>IF($W242="","",IF(INDEX('Per Invoice'!D$2:D$801,$W242)="","",INDEX('Per Invoice'!D$2:D$801,$W242)))</f>
        <v/>
      </c>
      <c r="E242">
        <f>IF($W242="","",IF(INDEX('Per Invoice'!E$2:E$801,$W242)="","",INDEX('Per Invoice'!E$2:E$801,$W242)))</f>
        <v/>
      </c>
      <c r="F242">
        <f>IF($W242="","",IF(INDEX('Per Invoice'!F$2:F$801,$W242)="","",INDEX('Per Invoice'!F$2:F$801,$W242)))</f>
        <v/>
      </c>
      <c r="G242">
        <f>IF($W242="","",IF(INDEX('Per Invoice'!G$2:G$801,$W242)="","",INDEX('Per Invoice'!G$2:G$801,$W242)))</f>
        <v/>
      </c>
      <c r="H242">
        <f>IF($W242="","",IF(INDEX('Per Invoice'!H$2:H$801,$W242)="","",INDEX('Per Invoice'!H$2:H$801,$W242)))</f>
        <v/>
      </c>
      <c r="I242">
        <f>IF($W242="","",IF(INDEX('Per Invoice'!I$2:I$801,$W242)="","",INDEX('Per Invoice'!I$2:I$801,$W242)))</f>
        <v/>
      </c>
      <c r="J242">
        <f>IF($W242="","",IF(INDEX('Per Invoice'!J$2:J$801,$W242)="","",INDEX('Per Invoice'!J$2:J$801,$W242)))</f>
        <v/>
      </c>
      <c r="K242" s="7">
        <f>IF($W242="","",IF(INDEX('Per Invoice'!K$2:K$801,$W242)="","",INDEX('Per Invoice'!K$2:K$801,$W242)))</f>
        <v/>
      </c>
      <c r="L242" s="14">
        <f>IF($W242="","",IF(INDEX('Per Invoice'!L$2:L$801,$W242)="","",INDEX('Per Invoice'!L$2:L$801,$W242)))</f>
        <v/>
      </c>
      <c r="M242">
        <f>IF($W242="","",IF(INDEX('Per Invoice'!M$2:M$801,$W242)="","",INDEX('Per Invoice'!M$2:M$801,$W242)))</f>
        <v/>
      </c>
      <c r="N242" s="7">
        <f>IF($W242="","",IF(INDEX('Per Invoice'!N$2:N$801,$W242)="","",INDEX('Per Invoice'!N$2:N$801,$W242)))</f>
        <v/>
      </c>
      <c r="O242" s="7">
        <f>IF($W242="","",IF(INDEX('Per Invoice'!O$2:O$801,$W242)="","",INDEX('Per Invoice'!O$2:O$801,$W242)))</f>
        <v/>
      </c>
      <c r="P242">
        <f>IF($W242="","",IF(INDEX('Per Invoice'!P$2:P$801,$W242)="","",INDEX('Per Invoice'!P$2:P$801,$W242)))</f>
        <v/>
      </c>
      <c r="Q242" s="7">
        <f>IF($W242="","",IF(INDEX('Per Invoice'!Q$2:Q$801,$W242)="","",INDEX('Per Invoice'!Q$2:Q$801,$W242)))</f>
        <v/>
      </c>
      <c r="R242" s="7">
        <f>IF($W242="","",IF(INDEX('Per Invoice'!R$2:R$801,$W242)="","",INDEX('Per Invoice'!R$2:R$801,$W242)))</f>
        <v/>
      </c>
      <c r="S242" s="7">
        <f>IF($W242="","",IF(INDEX('Per Invoice'!S$2:S$801,$W242)="","",INDEX('Per Invoice'!S$2:S$801,$W242)))</f>
        <v/>
      </c>
      <c r="T242" s="7">
        <f>IF($W242="","",IF(INDEX('Per Invoice'!T$2:T$801,$W242)="","",INDEX('Per Invoice'!T$2:T$801,$W242)))</f>
        <v/>
      </c>
      <c r="U242" s="7">
        <f>IF($W242="","",IF(INDEX('Per Invoice'!U$2:U$801,$W242)="","",INDEX('Per Invoice'!U$2:U$801,$W242)))</f>
        <v/>
      </c>
      <c r="V242" s="7">
        <f>IF($W242="","",IF(INDEX('Per Invoice'!V$2:V$801,$W242)="","",INDEX('Per Invoice'!V$2:V$801,$W242)))</f>
        <v/>
      </c>
      <c r="W242" s="16">
        <f>IFERROR(MATCH(Settings!$C$31&amp;"|"&amp;ROWS($W$2:$W242),'Per Invoice'!$X$2:$X$801,0),"")</f>
        <v/>
      </c>
    </row>
    <row r="243">
      <c r="A243">
        <f>IF($W243="","",IF(INDEX('Per Invoice'!A$2:A$801,$W243)="","",INDEX('Per Invoice'!A$2:A$801,$W243)))</f>
        <v/>
      </c>
      <c r="B243">
        <f>IF($W243="","",IF(INDEX('Per Invoice'!B$2:B$801,$W243)="","",INDEX('Per Invoice'!B$2:B$801,$W243)))</f>
        <v/>
      </c>
      <c r="C243">
        <f>IF($W243="","",IF(INDEX('Per Invoice'!C$2:C$801,$W243)="","",INDEX('Per Invoice'!C$2:C$801,$W243)))</f>
        <v/>
      </c>
      <c r="D243">
        <f>IF($W243="","",IF(INDEX('Per Invoice'!D$2:D$801,$W243)="","",INDEX('Per Invoice'!D$2:D$801,$W243)))</f>
        <v/>
      </c>
      <c r="E243">
        <f>IF($W243="","",IF(INDEX('Per Invoice'!E$2:E$801,$W243)="","",INDEX('Per Invoice'!E$2:E$801,$W243)))</f>
        <v/>
      </c>
      <c r="F243">
        <f>IF($W243="","",IF(INDEX('Per Invoice'!F$2:F$801,$W243)="","",INDEX('Per Invoice'!F$2:F$801,$W243)))</f>
        <v/>
      </c>
      <c r="G243">
        <f>IF($W243="","",IF(INDEX('Per Invoice'!G$2:G$801,$W243)="","",INDEX('Per Invoice'!G$2:G$801,$W243)))</f>
        <v/>
      </c>
      <c r="H243">
        <f>IF($W243="","",IF(INDEX('Per Invoice'!H$2:H$801,$W243)="","",INDEX('Per Invoice'!H$2:H$801,$W243)))</f>
        <v/>
      </c>
      <c r="I243">
        <f>IF($W243="","",IF(INDEX('Per Invoice'!I$2:I$801,$W243)="","",INDEX('Per Invoice'!I$2:I$801,$W243)))</f>
        <v/>
      </c>
      <c r="J243">
        <f>IF($W243="","",IF(INDEX('Per Invoice'!J$2:J$801,$W243)="","",INDEX('Per Invoice'!J$2:J$801,$W243)))</f>
        <v/>
      </c>
      <c r="K243" s="7">
        <f>IF($W243="","",IF(INDEX('Per Invoice'!K$2:K$801,$W243)="","",INDEX('Per Invoice'!K$2:K$801,$W243)))</f>
        <v/>
      </c>
      <c r="L243" s="14">
        <f>IF($W243="","",IF(INDEX('Per Invoice'!L$2:L$801,$W243)="","",INDEX('Per Invoice'!L$2:L$801,$W243)))</f>
        <v/>
      </c>
      <c r="M243">
        <f>IF($W243="","",IF(INDEX('Per Invoice'!M$2:M$801,$W243)="","",INDEX('Per Invoice'!M$2:M$801,$W243)))</f>
        <v/>
      </c>
      <c r="N243" s="7">
        <f>IF($W243="","",IF(INDEX('Per Invoice'!N$2:N$801,$W243)="","",INDEX('Per Invoice'!N$2:N$801,$W243)))</f>
        <v/>
      </c>
      <c r="O243" s="7">
        <f>IF($W243="","",IF(INDEX('Per Invoice'!O$2:O$801,$W243)="","",INDEX('Per Invoice'!O$2:O$801,$W243)))</f>
        <v/>
      </c>
      <c r="P243">
        <f>IF($W243="","",IF(INDEX('Per Invoice'!P$2:P$801,$W243)="","",INDEX('Per Invoice'!P$2:P$801,$W243)))</f>
        <v/>
      </c>
      <c r="Q243" s="7">
        <f>IF($W243="","",IF(INDEX('Per Invoice'!Q$2:Q$801,$W243)="","",INDEX('Per Invoice'!Q$2:Q$801,$W243)))</f>
        <v/>
      </c>
      <c r="R243" s="7">
        <f>IF($W243="","",IF(INDEX('Per Invoice'!R$2:R$801,$W243)="","",INDEX('Per Invoice'!R$2:R$801,$W243)))</f>
        <v/>
      </c>
      <c r="S243" s="7">
        <f>IF($W243="","",IF(INDEX('Per Invoice'!S$2:S$801,$W243)="","",INDEX('Per Invoice'!S$2:S$801,$W243)))</f>
        <v/>
      </c>
      <c r="T243" s="7">
        <f>IF($W243="","",IF(INDEX('Per Invoice'!T$2:T$801,$W243)="","",INDEX('Per Invoice'!T$2:T$801,$W243)))</f>
        <v/>
      </c>
      <c r="U243" s="7">
        <f>IF($W243="","",IF(INDEX('Per Invoice'!U$2:U$801,$W243)="","",INDEX('Per Invoice'!U$2:U$801,$W243)))</f>
        <v/>
      </c>
      <c r="V243" s="7">
        <f>IF($W243="","",IF(INDEX('Per Invoice'!V$2:V$801,$W243)="","",INDEX('Per Invoice'!V$2:V$801,$W243)))</f>
        <v/>
      </c>
      <c r="W243" s="16">
        <f>IFERROR(MATCH(Settings!$C$31&amp;"|"&amp;ROWS($W$2:$W243),'Per Invoice'!$X$2:$X$801,0),"")</f>
        <v/>
      </c>
    </row>
    <row r="244">
      <c r="A244">
        <f>IF($W244="","",IF(INDEX('Per Invoice'!A$2:A$801,$W244)="","",INDEX('Per Invoice'!A$2:A$801,$W244)))</f>
        <v/>
      </c>
      <c r="B244">
        <f>IF($W244="","",IF(INDEX('Per Invoice'!B$2:B$801,$W244)="","",INDEX('Per Invoice'!B$2:B$801,$W244)))</f>
        <v/>
      </c>
      <c r="C244">
        <f>IF($W244="","",IF(INDEX('Per Invoice'!C$2:C$801,$W244)="","",INDEX('Per Invoice'!C$2:C$801,$W244)))</f>
        <v/>
      </c>
      <c r="D244">
        <f>IF($W244="","",IF(INDEX('Per Invoice'!D$2:D$801,$W244)="","",INDEX('Per Invoice'!D$2:D$801,$W244)))</f>
        <v/>
      </c>
      <c r="E244">
        <f>IF($W244="","",IF(INDEX('Per Invoice'!E$2:E$801,$W244)="","",INDEX('Per Invoice'!E$2:E$801,$W244)))</f>
        <v/>
      </c>
      <c r="F244">
        <f>IF($W244="","",IF(INDEX('Per Invoice'!F$2:F$801,$W244)="","",INDEX('Per Invoice'!F$2:F$801,$W244)))</f>
        <v/>
      </c>
      <c r="G244">
        <f>IF($W244="","",IF(INDEX('Per Invoice'!G$2:G$801,$W244)="","",INDEX('Per Invoice'!G$2:G$801,$W244)))</f>
        <v/>
      </c>
      <c r="H244">
        <f>IF($W244="","",IF(INDEX('Per Invoice'!H$2:H$801,$W244)="","",INDEX('Per Invoice'!H$2:H$801,$W244)))</f>
        <v/>
      </c>
      <c r="I244">
        <f>IF($W244="","",IF(INDEX('Per Invoice'!I$2:I$801,$W244)="","",INDEX('Per Invoice'!I$2:I$801,$W244)))</f>
        <v/>
      </c>
      <c r="J244">
        <f>IF($W244="","",IF(INDEX('Per Invoice'!J$2:J$801,$W244)="","",INDEX('Per Invoice'!J$2:J$801,$W244)))</f>
        <v/>
      </c>
      <c r="K244" s="7">
        <f>IF($W244="","",IF(INDEX('Per Invoice'!K$2:K$801,$W244)="","",INDEX('Per Invoice'!K$2:K$801,$W244)))</f>
        <v/>
      </c>
      <c r="L244" s="14">
        <f>IF($W244="","",IF(INDEX('Per Invoice'!L$2:L$801,$W244)="","",INDEX('Per Invoice'!L$2:L$801,$W244)))</f>
        <v/>
      </c>
      <c r="M244">
        <f>IF($W244="","",IF(INDEX('Per Invoice'!M$2:M$801,$W244)="","",INDEX('Per Invoice'!M$2:M$801,$W244)))</f>
        <v/>
      </c>
      <c r="N244" s="7">
        <f>IF($W244="","",IF(INDEX('Per Invoice'!N$2:N$801,$W244)="","",INDEX('Per Invoice'!N$2:N$801,$W244)))</f>
        <v/>
      </c>
      <c r="O244" s="7">
        <f>IF($W244="","",IF(INDEX('Per Invoice'!O$2:O$801,$W244)="","",INDEX('Per Invoice'!O$2:O$801,$W244)))</f>
        <v/>
      </c>
      <c r="P244">
        <f>IF($W244="","",IF(INDEX('Per Invoice'!P$2:P$801,$W244)="","",INDEX('Per Invoice'!P$2:P$801,$W244)))</f>
        <v/>
      </c>
      <c r="Q244" s="7">
        <f>IF($W244="","",IF(INDEX('Per Invoice'!Q$2:Q$801,$W244)="","",INDEX('Per Invoice'!Q$2:Q$801,$W244)))</f>
        <v/>
      </c>
      <c r="R244" s="7">
        <f>IF($W244="","",IF(INDEX('Per Invoice'!R$2:R$801,$W244)="","",INDEX('Per Invoice'!R$2:R$801,$W244)))</f>
        <v/>
      </c>
      <c r="S244" s="7">
        <f>IF($W244="","",IF(INDEX('Per Invoice'!S$2:S$801,$W244)="","",INDEX('Per Invoice'!S$2:S$801,$W244)))</f>
        <v/>
      </c>
      <c r="T244" s="7">
        <f>IF($W244="","",IF(INDEX('Per Invoice'!T$2:T$801,$W244)="","",INDEX('Per Invoice'!T$2:T$801,$W244)))</f>
        <v/>
      </c>
      <c r="U244" s="7">
        <f>IF($W244="","",IF(INDEX('Per Invoice'!U$2:U$801,$W244)="","",INDEX('Per Invoice'!U$2:U$801,$W244)))</f>
        <v/>
      </c>
      <c r="V244" s="7">
        <f>IF($W244="","",IF(INDEX('Per Invoice'!V$2:V$801,$W244)="","",INDEX('Per Invoice'!V$2:V$801,$W244)))</f>
        <v/>
      </c>
      <c r="W244" s="16">
        <f>IFERROR(MATCH(Settings!$C$31&amp;"|"&amp;ROWS($W$2:$W244),'Per Invoice'!$X$2:$X$801,0),"")</f>
        <v/>
      </c>
    </row>
    <row r="245">
      <c r="A245">
        <f>IF($W245="","",IF(INDEX('Per Invoice'!A$2:A$801,$W245)="","",INDEX('Per Invoice'!A$2:A$801,$W245)))</f>
        <v/>
      </c>
      <c r="B245">
        <f>IF($W245="","",IF(INDEX('Per Invoice'!B$2:B$801,$W245)="","",INDEX('Per Invoice'!B$2:B$801,$W245)))</f>
        <v/>
      </c>
      <c r="C245">
        <f>IF($W245="","",IF(INDEX('Per Invoice'!C$2:C$801,$W245)="","",INDEX('Per Invoice'!C$2:C$801,$W245)))</f>
        <v/>
      </c>
      <c r="D245">
        <f>IF($W245="","",IF(INDEX('Per Invoice'!D$2:D$801,$W245)="","",INDEX('Per Invoice'!D$2:D$801,$W245)))</f>
        <v/>
      </c>
      <c r="E245">
        <f>IF($W245="","",IF(INDEX('Per Invoice'!E$2:E$801,$W245)="","",INDEX('Per Invoice'!E$2:E$801,$W245)))</f>
        <v/>
      </c>
      <c r="F245">
        <f>IF($W245="","",IF(INDEX('Per Invoice'!F$2:F$801,$W245)="","",INDEX('Per Invoice'!F$2:F$801,$W245)))</f>
        <v/>
      </c>
      <c r="G245">
        <f>IF($W245="","",IF(INDEX('Per Invoice'!G$2:G$801,$W245)="","",INDEX('Per Invoice'!G$2:G$801,$W245)))</f>
        <v/>
      </c>
      <c r="H245">
        <f>IF($W245="","",IF(INDEX('Per Invoice'!H$2:H$801,$W245)="","",INDEX('Per Invoice'!H$2:H$801,$W245)))</f>
        <v/>
      </c>
      <c r="I245">
        <f>IF($W245="","",IF(INDEX('Per Invoice'!I$2:I$801,$W245)="","",INDEX('Per Invoice'!I$2:I$801,$W245)))</f>
        <v/>
      </c>
      <c r="J245">
        <f>IF($W245="","",IF(INDEX('Per Invoice'!J$2:J$801,$W245)="","",INDEX('Per Invoice'!J$2:J$801,$W245)))</f>
        <v/>
      </c>
      <c r="K245" s="7">
        <f>IF($W245="","",IF(INDEX('Per Invoice'!K$2:K$801,$W245)="","",INDEX('Per Invoice'!K$2:K$801,$W245)))</f>
        <v/>
      </c>
      <c r="L245" s="14">
        <f>IF($W245="","",IF(INDEX('Per Invoice'!L$2:L$801,$W245)="","",INDEX('Per Invoice'!L$2:L$801,$W245)))</f>
        <v/>
      </c>
      <c r="M245">
        <f>IF($W245="","",IF(INDEX('Per Invoice'!M$2:M$801,$W245)="","",INDEX('Per Invoice'!M$2:M$801,$W245)))</f>
        <v/>
      </c>
      <c r="N245" s="7">
        <f>IF($W245="","",IF(INDEX('Per Invoice'!N$2:N$801,$W245)="","",INDEX('Per Invoice'!N$2:N$801,$W245)))</f>
        <v/>
      </c>
      <c r="O245" s="7">
        <f>IF($W245="","",IF(INDEX('Per Invoice'!O$2:O$801,$W245)="","",INDEX('Per Invoice'!O$2:O$801,$W245)))</f>
        <v/>
      </c>
      <c r="P245">
        <f>IF($W245="","",IF(INDEX('Per Invoice'!P$2:P$801,$W245)="","",INDEX('Per Invoice'!P$2:P$801,$W245)))</f>
        <v/>
      </c>
      <c r="Q245" s="7">
        <f>IF($W245="","",IF(INDEX('Per Invoice'!Q$2:Q$801,$W245)="","",INDEX('Per Invoice'!Q$2:Q$801,$W245)))</f>
        <v/>
      </c>
      <c r="R245" s="7">
        <f>IF($W245="","",IF(INDEX('Per Invoice'!R$2:R$801,$W245)="","",INDEX('Per Invoice'!R$2:R$801,$W245)))</f>
        <v/>
      </c>
      <c r="S245" s="7">
        <f>IF($W245="","",IF(INDEX('Per Invoice'!S$2:S$801,$W245)="","",INDEX('Per Invoice'!S$2:S$801,$W245)))</f>
        <v/>
      </c>
      <c r="T245" s="7">
        <f>IF($W245="","",IF(INDEX('Per Invoice'!T$2:T$801,$W245)="","",INDEX('Per Invoice'!T$2:T$801,$W245)))</f>
        <v/>
      </c>
      <c r="U245" s="7">
        <f>IF($W245="","",IF(INDEX('Per Invoice'!U$2:U$801,$W245)="","",INDEX('Per Invoice'!U$2:U$801,$W245)))</f>
        <v/>
      </c>
      <c r="V245" s="7">
        <f>IF($W245="","",IF(INDEX('Per Invoice'!V$2:V$801,$W245)="","",INDEX('Per Invoice'!V$2:V$801,$W245)))</f>
        <v/>
      </c>
      <c r="W245" s="16">
        <f>IFERROR(MATCH(Settings!$C$31&amp;"|"&amp;ROWS($W$2:$W245),'Per Invoice'!$X$2:$X$801,0),"")</f>
        <v/>
      </c>
    </row>
    <row r="246">
      <c r="A246">
        <f>IF($W246="","",IF(INDEX('Per Invoice'!A$2:A$801,$W246)="","",INDEX('Per Invoice'!A$2:A$801,$W246)))</f>
        <v/>
      </c>
      <c r="B246">
        <f>IF($W246="","",IF(INDEX('Per Invoice'!B$2:B$801,$W246)="","",INDEX('Per Invoice'!B$2:B$801,$W246)))</f>
        <v/>
      </c>
      <c r="C246">
        <f>IF($W246="","",IF(INDEX('Per Invoice'!C$2:C$801,$W246)="","",INDEX('Per Invoice'!C$2:C$801,$W246)))</f>
        <v/>
      </c>
      <c r="D246">
        <f>IF($W246="","",IF(INDEX('Per Invoice'!D$2:D$801,$W246)="","",INDEX('Per Invoice'!D$2:D$801,$W246)))</f>
        <v/>
      </c>
      <c r="E246">
        <f>IF($W246="","",IF(INDEX('Per Invoice'!E$2:E$801,$W246)="","",INDEX('Per Invoice'!E$2:E$801,$W246)))</f>
        <v/>
      </c>
      <c r="F246">
        <f>IF($W246="","",IF(INDEX('Per Invoice'!F$2:F$801,$W246)="","",INDEX('Per Invoice'!F$2:F$801,$W246)))</f>
        <v/>
      </c>
      <c r="G246">
        <f>IF($W246="","",IF(INDEX('Per Invoice'!G$2:G$801,$W246)="","",INDEX('Per Invoice'!G$2:G$801,$W246)))</f>
        <v/>
      </c>
      <c r="H246">
        <f>IF($W246="","",IF(INDEX('Per Invoice'!H$2:H$801,$W246)="","",INDEX('Per Invoice'!H$2:H$801,$W246)))</f>
        <v/>
      </c>
      <c r="I246">
        <f>IF($W246="","",IF(INDEX('Per Invoice'!I$2:I$801,$W246)="","",INDEX('Per Invoice'!I$2:I$801,$W246)))</f>
        <v/>
      </c>
      <c r="J246">
        <f>IF($W246="","",IF(INDEX('Per Invoice'!J$2:J$801,$W246)="","",INDEX('Per Invoice'!J$2:J$801,$W246)))</f>
        <v/>
      </c>
      <c r="K246" s="7">
        <f>IF($W246="","",IF(INDEX('Per Invoice'!K$2:K$801,$W246)="","",INDEX('Per Invoice'!K$2:K$801,$W246)))</f>
        <v/>
      </c>
      <c r="L246" s="14">
        <f>IF($W246="","",IF(INDEX('Per Invoice'!L$2:L$801,$W246)="","",INDEX('Per Invoice'!L$2:L$801,$W246)))</f>
        <v/>
      </c>
      <c r="M246">
        <f>IF($W246="","",IF(INDEX('Per Invoice'!M$2:M$801,$W246)="","",INDEX('Per Invoice'!M$2:M$801,$W246)))</f>
        <v/>
      </c>
      <c r="N246" s="7">
        <f>IF($W246="","",IF(INDEX('Per Invoice'!N$2:N$801,$W246)="","",INDEX('Per Invoice'!N$2:N$801,$W246)))</f>
        <v/>
      </c>
      <c r="O246" s="7">
        <f>IF($W246="","",IF(INDEX('Per Invoice'!O$2:O$801,$W246)="","",INDEX('Per Invoice'!O$2:O$801,$W246)))</f>
        <v/>
      </c>
      <c r="P246">
        <f>IF($W246="","",IF(INDEX('Per Invoice'!P$2:P$801,$W246)="","",INDEX('Per Invoice'!P$2:P$801,$W246)))</f>
        <v/>
      </c>
      <c r="Q246" s="7">
        <f>IF($W246="","",IF(INDEX('Per Invoice'!Q$2:Q$801,$W246)="","",INDEX('Per Invoice'!Q$2:Q$801,$W246)))</f>
        <v/>
      </c>
      <c r="R246" s="7">
        <f>IF($W246="","",IF(INDEX('Per Invoice'!R$2:R$801,$W246)="","",INDEX('Per Invoice'!R$2:R$801,$W246)))</f>
        <v/>
      </c>
      <c r="S246" s="7">
        <f>IF($W246="","",IF(INDEX('Per Invoice'!S$2:S$801,$W246)="","",INDEX('Per Invoice'!S$2:S$801,$W246)))</f>
        <v/>
      </c>
      <c r="T246" s="7">
        <f>IF($W246="","",IF(INDEX('Per Invoice'!T$2:T$801,$W246)="","",INDEX('Per Invoice'!T$2:T$801,$W246)))</f>
        <v/>
      </c>
      <c r="U246" s="7">
        <f>IF($W246="","",IF(INDEX('Per Invoice'!U$2:U$801,$W246)="","",INDEX('Per Invoice'!U$2:U$801,$W246)))</f>
        <v/>
      </c>
      <c r="V246" s="7">
        <f>IF($W246="","",IF(INDEX('Per Invoice'!V$2:V$801,$W246)="","",INDEX('Per Invoice'!V$2:V$801,$W246)))</f>
        <v/>
      </c>
      <c r="W246" s="16">
        <f>IFERROR(MATCH(Settings!$C$31&amp;"|"&amp;ROWS($W$2:$W246),'Per Invoice'!$X$2:$X$801,0),"")</f>
        <v/>
      </c>
    </row>
    <row r="247">
      <c r="A247">
        <f>IF($W247="","",IF(INDEX('Per Invoice'!A$2:A$801,$W247)="","",INDEX('Per Invoice'!A$2:A$801,$W247)))</f>
        <v/>
      </c>
      <c r="B247">
        <f>IF($W247="","",IF(INDEX('Per Invoice'!B$2:B$801,$W247)="","",INDEX('Per Invoice'!B$2:B$801,$W247)))</f>
        <v/>
      </c>
      <c r="C247">
        <f>IF($W247="","",IF(INDEX('Per Invoice'!C$2:C$801,$W247)="","",INDEX('Per Invoice'!C$2:C$801,$W247)))</f>
        <v/>
      </c>
      <c r="D247">
        <f>IF($W247="","",IF(INDEX('Per Invoice'!D$2:D$801,$W247)="","",INDEX('Per Invoice'!D$2:D$801,$W247)))</f>
        <v/>
      </c>
      <c r="E247">
        <f>IF($W247="","",IF(INDEX('Per Invoice'!E$2:E$801,$W247)="","",INDEX('Per Invoice'!E$2:E$801,$W247)))</f>
        <v/>
      </c>
      <c r="F247">
        <f>IF($W247="","",IF(INDEX('Per Invoice'!F$2:F$801,$W247)="","",INDEX('Per Invoice'!F$2:F$801,$W247)))</f>
        <v/>
      </c>
      <c r="G247">
        <f>IF($W247="","",IF(INDEX('Per Invoice'!G$2:G$801,$W247)="","",INDEX('Per Invoice'!G$2:G$801,$W247)))</f>
        <v/>
      </c>
      <c r="H247">
        <f>IF($W247="","",IF(INDEX('Per Invoice'!H$2:H$801,$W247)="","",INDEX('Per Invoice'!H$2:H$801,$W247)))</f>
        <v/>
      </c>
      <c r="I247">
        <f>IF($W247="","",IF(INDEX('Per Invoice'!I$2:I$801,$W247)="","",INDEX('Per Invoice'!I$2:I$801,$W247)))</f>
        <v/>
      </c>
      <c r="J247">
        <f>IF($W247="","",IF(INDEX('Per Invoice'!J$2:J$801,$W247)="","",INDEX('Per Invoice'!J$2:J$801,$W247)))</f>
        <v/>
      </c>
      <c r="K247" s="7">
        <f>IF($W247="","",IF(INDEX('Per Invoice'!K$2:K$801,$W247)="","",INDEX('Per Invoice'!K$2:K$801,$W247)))</f>
        <v/>
      </c>
      <c r="L247" s="14">
        <f>IF($W247="","",IF(INDEX('Per Invoice'!L$2:L$801,$W247)="","",INDEX('Per Invoice'!L$2:L$801,$W247)))</f>
        <v/>
      </c>
      <c r="M247">
        <f>IF($W247="","",IF(INDEX('Per Invoice'!M$2:M$801,$W247)="","",INDEX('Per Invoice'!M$2:M$801,$W247)))</f>
        <v/>
      </c>
      <c r="N247" s="7">
        <f>IF($W247="","",IF(INDEX('Per Invoice'!N$2:N$801,$W247)="","",INDEX('Per Invoice'!N$2:N$801,$W247)))</f>
        <v/>
      </c>
      <c r="O247" s="7">
        <f>IF($W247="","",IF(INDEX('Per Invoice'!O$2:O$801,$W247)="","",INDEX('Per Invoice'!O$2:O$801,$W247)))</f>
        <v/>
      </c>
      <c r="P247">
        <f>IF($W247="","",IF(INDEX('Per Invoice'!P$2:P$801,$W247)="","",INDEX('Per Invoice'!P$2:P$801,$W247)))</f>
        <v/>
      </c>
      <c r="Q247" s="7">
        <f>IF($W247="","",IF(INDEX('Per Invoice'!Q$2:Q$801,$W247)="","",INDEX('Per Invoice'!Q$2:Q$801,$W247)))</f>
        <v/>
      </c>
      <c r="R247" s="7">
        <f>IF($W247="","",IF(INDEX('Per Invoice'!R$2:R$801,$W247)="","",INDEX('Per Invoice'!R$2:R$801,$W247)))</f>
        <v/>
      </c>
      <c r="S247" s="7">
        <f>IF($W247="","",IF(INDEX('Per Invoice'!S$2:S$801,$W247)="","",INDEX('Per Invoice'!S$2:S$801,$W247)))</f>
        <v/>
      </c>
      <c r="T247" s="7">
        <f>IF($W247="","",IF(INDEX('Per Invoice'!T$2:T$801,$W247)="","",INDEX('Per Invoice'!T$2:T$801,$W247)))</f>
        <v/>
      </c>
      <c r="U247" s="7">
        <f>IF($W247="","",IF(INDEX('Per Invoice'!U$2:U$801,$W247)="","",INDEX('Per Invoice'!U$2:U$801,$W247)))</f>
        <v/>
      </c>
      <c r="V247" s="7">
        <f>IF($W247="","",IF(INDEX('Per Invoice'!V$2:V$801,$W247)="","",INDEX('Per Invoice'!V$2:V$801,$W247)))</f>
        <v/>
      </c>
      <c r="W247" s="16">
        <f>IFERROR(MATCH(Settings!$C$31&amp;"|"&amp;ROWS($W$2:$W247),'Per Invoice'!$X$2:$X$801,0),"")</f>
        <v/>
      </c>
    </row>
    <row r="248">
      <c r="A248">
        <f>IF($W248="","",IF(INDEX('Per Invoice'!A$2:A$801,$W248)="","",INDEX('Per Invoice'!A$2:A$801,$W248)))</f>
        <v/>
      </c>
      <c r="B248">
        <f>IF($W248="","",IF(INDEX('Per Invoice'!B$2:B$801,$W248)="","",INDEX('Per Invoice'!B$2:B$801,$W248)))</f>
        <v/>
      </c>
      <c r="C248">
        <f>IF($W248="","",IF(INDEX('Per Invoice'!C$2:C$801,$W248)="","",INDEX('Per Invoice'!C$2:C$801,$W248)))</f>
        <v/>
      </c>
      <c r="D248">
        <f>IF($W248="","",IF(INDEX('Per Invoice'!D$2:D$801,$W248)="","",INDEX('Per Invoice'!D$2:D$801,$W248)))</f>
        <v/>
      </c>
      <c r="E248">
        <f>IF($W248="","",IF(INDEX('Per Invoice'!E$2:E$801,$W248)="","",INDEX('Per Invoice'!E$2:E$801,$W248)))</f>
        <v/>
      </c>
      <c r="F248">
        <f>IF($W248="","",IF(INDEX('Per Invoice'!F$2:F$801,$W248)="","",INDEX('Per Invoice'!F$2:F$801,$W248)))</f>
        <v/>
      </c>
      <c r="G248">
        <f>IF($W248="","",IF(INDEX('Per Invoice'!G$2:G$801,$W248)="","",INDEX('Per Invoice'!G$2:G$801,$W248)))</f>
        <v/>
      </c>
      <c r="H248">
        <f>IF($W248="","",IF(INDEX('Per Invoice'!H$2:H$801,$W248)="","",INDEX('Per Invoice'!H$2:H$801,$W248)))</f>
        <v/>
      </c>
      <c r="I248">
        <f>IF($W248="","",IF(INDEX('Per Invoice'!I$2:I$801,$W248)="","",INDEX('Per Invoice'!I$2:I$801,$W248)))</f>
        <v/>
      </c>
      <c r="J248">
        <f>IF($W248="","",IF(INDEX('Per Invoice'!J$2:J$801,$W248)="","",INDEX('Per Invoice'!J$2:J$801,$W248)))</f>
        <v/>
      </c>
      <c r="K248" s="7">
        <f>IF($W248="","",IF(INDEX('Per Invoice'!K$2:K$801,$W248)="","",INDEX('Per Invoice'!K$2:K$801,$W248)))</f>
        <v/>
      </c>
      <c r="L248" s="14">
        <f>IF($W248="","",IF(INDEX('Per Invoice'!L$2:L$801,$W248)="","",INDEX('Per Invoice'!L$2:L$801,$W248)))</f>
        <v/>
      </c>
      <c r="M248">
        <f>IF($W248="","",IF(INDEX('Per Invoice'!M$2:M$801,$W248)="","",INDEX('Per Invoice'!M$2:M$801,$W248)))</f>
        <v/>
      </c>
      <c r="N248" s="7">
        <f>IF($W248="","",IF(INDEX('Per Invoice'!N$2:N$801,$W248)="","",INDEX('Per Invoice'!N$2:N$801,$W248)))</f>
        <v/>
      </c>
      <c r="O248" s="7">
        <f>IF($W248="","",IF(INDEX('Per Invoice'!O$2:O$801,$W248)="","",INDEX('Per Invoice'!O$2:O$801,$W248)))</f>
        <v/>
      </c>
      <c r="P248">
        <f>IF($W248="","",IF(INDEX('Per Invoice'!P$2:P$801,$W248)="","",INDEX('Per Invoice'!P$2:P$801,$W248)))</f>
        <v/>
      </c>
      <c r="Q248" s="7">
        <f>IF($W248="","",IF(INDEX('Per Invoice'!Q$2:Q$801,$W248)="","",INDEX('Per Invoice'!Q$2:Q$801,$W248)))</f>
        <v/>
      </c>
      <c r="R248" s="7">
        <f>IF($W248="","",IF(INDEX('Per Invoice'!R$2:R$801,$W248)="","",INDEX('Per Invoice'!R$2:R$801,$W248)))</f>
        <v/>
      </c>
      <c r="S248" s="7">
        <f>IF($W248="","",IF(INDEX('Per Invoice'!S$2:S$801,$W248)="","",INDEX('Per Invoice'!S$2:S$801,$W248)))</f>
        <v/>
      </c>
      <c r="T248" s="7">
        <f>IF($W248="","",IF(INDEX('Per Invoice'!T$2:T$801,$W248)="","",INDEX('Per Invoice'!T$2:T$801,$W248)))</f>
        <v/>
      </c>
      <c r="U248" s="7">
        <f>IF($W248="","",IF(INDEX('Per Invoice'!U$2:U$801,$W248)="","",INDEX('Per Invoice'!U$2:U$801,$W248)))</f>
        <v/>
      </c>
      <c r="V248" s="7">
        <f>IF($W248="","",IF(INDEX('Per Invoice'!V$2:V$801,$W248)="","",INDEX('Per Invoice'!V$2:V$801,$W248)))</f>
        <v/>
      </c>
      <c r="W248" s="16">
        <f>IFERROR(MATCH(Settings!$C$31&amp;"|"&amp;ROWS($W$2:$W248),'Per Invoice'!$X$2:$X$801,0),"")</f>
        <v/>
      </c>
    </row>
    <row r="249">
      <c r="A249">
        <f>IF($W249="","",IF(INDEX('Per Invoice'!A$2:A$801,$W249)="","",INDEX('Per Invoice'!A$2:A$801,$W249)))</f>
        <v/>
      </c>
      <c r="B249">
        <f>IF($W249="","",IF(INDEX('Per Invoice'!B$2:B$801,$W249)="","",INDEX('Per Invoice'!B$2:B$801,$W249)))</f>
        <v/>
      </c>
      <c r="C249">
        <f>IF($W249="","",IF(INDEX('Per Invoice'!C$2:C$801,$W249)="","",INDEX('Per Invoice'!C$2:C$801,$W249)))</f>
        <v/>
      </c>
      <c r="D249">
        <f>IF($W249="","",IF(INDEX('Per Invoice'!D$2:D$801,$W249)="","",INDEX('Per Invoice'!D$2:D$801,$W249)))</f>
        <v/>
      </c>
      <c r="E249">
        <f>IF($W249="","",IF(INDEX('Per Invoice'!E$2:E$801,$W249)="","",INDEX('Per Invoice'!E$2:E$801,$W249)))</f>
        <v/>
      </c>
      <c r="F249">
        <f>IF($W249="","",IF(INDEX('Per Invoice'!F$2:F$801,$W249)="","",INDEX('Per Invoice'!F$2:F$801,$W249)))</f>
        <v/>
      </c>
      <c r="G249">
        <f>IF($W249="","",IF(INDEX('Per Invoice'!G$2:G$801,$W249)="","",INDEX('Per Invoice'!G$2:G$801,$W249)))</f>
        <v/>
      </c>
      <c r="H249">
        <f>IF($W249="","",IF(INDEX('Per Invoice'!H$2:H$801,$W249)="","",INDEX('Per Invoice'!H$2:H$801,$W249)))</f>
        <v/>
      </c>
      <c r="I249">
        <f>IF($W249="","",IF(INDEX('Per Invoice'!I$2:I$801,$W249)="","",INDEX('Per Invoice'!I$2:I$801,$W249)))</f>
        <v/>
      </c>
      <c r="J249">
        <f>IF($W249="","",IF(INDEX('Per Invoice'!J$2:J$801,$W249)="","",INDEX('Per Invoice'!J$2:J$801,$W249)))</f>
        <v/>
      </c>
      <c r="K249" s="7">
        <f>IF($W249="","",IF(INDEX('Per Invoice'!K$2:K$801,$W249)="","",INDEX('Per Invoice'!K$2:K$801,$W249)))</f>
        <v/>
      </c>
      <c r="L249" s="14">
        <f>IF($W249="","",IF(INDEX('Per Invoice'!L$2:L$801,$W249)="","",INDEX('Per Invoice'!L$2:L$801,$W249)))</f>
        <v/>
      </c>
      <c r="M249">
        <f>IF($W249="","",IF(INDEX('Per Invoice'!M$2:M$801,$W249)="","",INDEX('Per Invoice'!M$2:M$801,$W249)))</f>
        <v/>
      </c>
      <c r="N249" s="7">
        <f>IF($W249="","",IF(INDEX('Per Invoice'!N$2:N$801,$W249)="","",INDEX('Per Invoice'!N$2:N$801,$W249)))</f>
        <v/>
      </c>
      <c r="O249" s="7">
        <f>IF($W249="","",IF(INDEX('Per Invoice'!O$2:O$801,$W249)="","",INDEX('Per Invoice'!O$2:O$801,$W249)))</f>
        <v/>
      </c>
      <c r="P249">
        <f>IF($W249="","",IF(INDEX('Per Invoice'!P$2:P$801,$W249)="","",INDEX('Per Invoice'!P$2:P$801,$W249)))</f>
        <v/>
      </c>
      <c r="Q249" s="7">
        <f>IF($W249="","",IF(INDEX('Per Invoice'!Q$2:Q$801,$W249)="","",INDEX('Per Invoice'!Q$2:Q$801,$W249)))</f>
        <v/>
      </c>
      <c r="R249" s="7">
        <f>IF($W249="","",IF(INDEX('Per Invoice'!R$2:R$801,$W249)="","",INDEX('Per Invoice'!R$2:R$801,$W249)))</f>
        <v/>
      </c>
      <c r="S249" s="7">
        <f>IF($W249="","",IF(INDEX('Per Invoice'!S$2:S$801,$W249)="","",INDEX('Per Invoice'!S$2:S$801,$W249)))</f>
        <v/>
      </c>
      <c r="T249" s="7">
        <f>IF($W249="","",IF(INDEX('Per Invoice'!T$2:T$801,$W249)="","",INDEX('Per Invoice'!T$2:T$801,$W249)))</f>
        <v/>
      </c>
      <c r="U249" s="7">
        <f>IF($W249="","",IF(INDEX('Per Invoice'!U$2:U$801,$W249)="","",INDEX('Per Invoice'!U$2:U$801,$W249)))</f>
        <v/>
      </c>
      <c r="V249" s="7">
        <f>IF($W249="","",IF(INDEX('Per Invoice'!V$2:V$801,$W249)="","",INDEX('Per Invoice'!V$2:V$801,$W249)))</f>
        <v/>
      </c>
      <c r="W249" s="16">
        <f>IFERROR(MATCH(Settings!$C$31&amp;"|"&amp;ROWS($W$2:$W249),'Per Invoice'!$X$2:$X$801,0),"")</f>
        <v/>
      </c>
    </row>
    <row r="250">
      <c r="A250">
        <f>IF($W250="","",IF(INDEX('Per Invoice'!A$2:A$801,$W250)="","",INDEX('Per Invoice'!A$2:A$801,$W250)))</f>
        <v/>
      </c>
      <c r="B250">
        <f>IF($W250="","",IF(INDEX('Per Invoice'!B$2:B$801,$W250)="","",INDEX('Per Invoice'!B$2:B$801,$W250)))</f>
        <v/>
      </c>
      <c r="C250">
        <f>IF($W250="","",IF(INDEX('Per Invoice'!C$2:C$801,$W250)="","",INDEX('Per Invoice'!C$2:C$801,$W250)))</f>
        <v/>
      </c>
      <c r="D250">
        <f>IF($W250="","",IF(INDEX('Per Invoice'!D$2:D$801,$W250)="","",INDEX('Per Invoice'!D$2:D$801,$W250)))</f>
        <v/>
      </c>
      <c r="E250">
        <f>IF($W250="","",IF(INDEX('Per Invoice'!E$2:E$801,$W250)="","",INDEX('Per Invoice'!E$2:E$801,$W250)))</f>
        <v/>
      </c>
      <c r="F250">
        <f>IF($W250="","",IF(INDEX('Per Invoice'!F$2:F$801,$W250)="","",INDEX('Per Invoice'!F$2:F$801,$W250)))</f>
        <v/>
      </c>
      <c r="G250">
        <f>IF($W250="","",IF(INDEX('Per Invoice'!G$2:G$801,$W250)="","",INDEX('Per Invoice'!G$2:G$801,$W250)))</f>
        <v/>
      </c>
      <c r="H250">
        <f>IF($W250="","",IF(INDEX('Per Invoice'!H$2:H$801,$W250)="","",INDEX('Per Invoice'!H$2:H$801,$W250)))</f>
        <v/>
      </c>
      <c r="I250">
        <f>IF($W250="","",IF(INDEX('Per Invoice'!I$2:I$801,$W250)="","",INDEX('Per Invoice'!I$2:I$801,$W250)))</f>
        <v/>
      </c>
      <c r="J250">
        <f>IF($W250="","",IF(INDEX('Per Invoice'!J$2:J$801,$W250)="","",INDEX('Per Invoice'!J$2:J$801,$W250)))</f>
        <v/>
      </c>
      <c r="K250" s="7">
        <f>IF($W250="","",IF(INDEX('Per Invoice'!K$2:K$801,$W250)="","",INDEX('Per Invoice'!K$2:K$801,$W250)))</f>
        <v/>
      </c>
      <c r="L250" s="14">
        <f>IF($W250="","",IF(INDEX('Per Invoice'!L$2:L$801,$W250)="","",INDEX('Per Invoice'!L$2:L$801,$W250)))</f>
        <v/>
      </c>
      <c r="M250">
        <f>IF($W250="","",IF(INDEX('Per Invoice'!M$2:M$801,$W250)="","",INDEX('Per Invoice'!M$2:M$801,$W250)))</f>
        <v/>
      </c>
      <c r="N250" s="7">
        <f>IF($W250="","",IF(INDEX('Per Invoice'!N$2:N$801,$W250)="","",INDEX('Per Invoice'!N$2:N$801,$W250)))</f>
        <v/>
      </c>
      <c r="O250" s="7">
        <f>IF($W250="","",IF(INDEX('Per Invoice'!O$2:O$801,$W250)="","",INDEX('Per Invoice'!O$2:O$801,$W250)))</f>
        <v/>
      </c>
      <c r="P250">
        <f>IF($W250="","",IF(INDEX('Per Invoice'!P$2:P$801,$W250)="","",INDEX('Per Invoice'!P$2:P$801,$W250)))</f>
        <v/>
      </c>
      <c r="Q250" s="7">
        <f>IF($W250="","",IF(INDEX('Per Invoice'!Q$2:Q$801,$W250)="","",INDEX('Per Invoice'!Q$2:Q$801,$W250)))</f>
        <v/>
      </c>
      <c r="R250" s="7">
        <f>IF($W250="","",IF(INDEX('Per Invoice'!R$2:R$801,$W250)="","",INDEX('Per Invoice'!R$2:R$801,$W250)))</f>
        <v/>
      </c>
      <c r="S250" s="7">
        <f>IF($W250="","",IF(INDEX('Per Invoice'!S$2:S$801,$W250)="","",INDEX('Per Invoice'!S$2:S$801,$W250)))</f>
        <v/>
      </c>
      <c r="T250" s="7">
        <f>IF($W250="","",IF(INDEX('Per Invoice'!T$2:T$801,$W250)="","",INDEX('Per Invoice'!T$2:T$801,$W250)))</f>
        <v/>
      </c>
      <c r="U250" s="7">
        <f>IF($W250="","",IF(INDEX('Per Invoice'!U$2:U$801,$W250)="","",INDEX('Per Invoice'!U$2:U$801,$W250)))</f>
        <v/>
      </c>
      <c r="V250" s="7">
        <f>IF($W250="","",IF(INDEX('Per Invoice'!V$2:V$801,$W250)="","",INDEX('Per Invoice'!V$2:V$801,$W250)))</f>
        <v/>
      </c>
      <c r="W250" s="16">
        <f>IFERROR(MATCH(Settings!$C$31&amp;"|"&amp;ROWS($W$2:$W250),'Per Invoice'!$X$2:$X$801,0),"")</f>
        <v/>
      </c>
    </row>
    <row r="251">
      <c r="A251">
        <f>IF($W251="","",IF(INDEX('Per Invoice'!A$2:A$801,$W251)="","",INDEX('Per Invoice'!A$2:A$801,$W251)))</f>
        <v/>
      </c>
      <c r="B251">
        <f>IF($W251="","",IF(INDEX('Per Invoice'!B$2:B$801,$W251)="","",INDEX('Per Invoice'!B$2:B$801,$W251)))</f>
        <v/>
      </c>
      <c r="C251">
        <f>IF($W251="","",IF(INDEX('Per Invoice'!C$2:C$801,$W251)="","",INDEX('Per Invoice'!C$2:C$801,$W251)))</f>
        <v/>
      </c>
      <c r="D251">
        <f>IF($W251="","",IF(INDEX('Per Invoice'!D$2:D$801,$W251)="","",INDEX('Per Invoice'!D$2:D$801,$W251)))</f>
        <v/>
      </c>
      <c r="E251">
        <f>IF($W251="","",IF(INDEX('Per Invoice'!E$2:E$801,$W251)="","",INDEX('Per Invoice'!E$2:E$801,$W251)))</f>
        <v/>
      </c>
      <c r="F251">
        <f>IF($W251="","",IF(INDEX('Per Invoice'!F$2:F$801,$W251)="","",INDEX('Per Invoice'!F$2:F$801,$W251)))</f>
        <v/>
      </c>
      <c r="G251">
        <f>IF($W251="","",IF(INDEX('Per Invoice'!G$2:G$801,$W251)="","",INDEX('Per Invoice'!G$2:G$801,$W251)))</f>
        <v/>
      </c>
      <c r="H251">
        <f>IF($W251="","",IF(INDEX('Per Invoice'!H$2:H$801,$W251)="","",INDEX('Per Invoice'!H$2:H$801,$W251)))</f>
        <v/>
      </c>
      <c r="I251">
        <f>IF($W251="","",IF(INDEX('Per Invoice'!I$2:I$801,$W251)="","",INDEX('Per Invoice'!I$2:I$801,$W251)))</f>
        <v/>
      </c>
      <c r="J251">
        <f>IF($W251="","",IF(INDEX('Per Invoice'!J$2:J$801,$W251)="","",INDEX('Per Invoice'!J$2:J$801,$W251)))</f>
        <v/>
      </c>
      <c r="K251" s="7">
        <f>IF($W251="","",IF(INDEX('Per Invoice'!K$2:K$801,$W251)="","",INDEX('Per Invoice'!K$2:K$801,$W251)))</f>
        <v/>
      </c>
      <c r="L251" s="14">
        <f>IF($W251="","",IF(INDEX('Per Invoice'!L$2:L$801,$W251)="","",INDEX('Per Invoice'!L$2:L$801,$W251)))</f>
        <v/>
      </c>
      <c r="M251">
        <f>IF($W251="","",IF(INDEX('Per Invoice'!M$2:M$801,$W251)="","",INDEX('Per Invoice'!M$2:M$801,$W251)))</f>
        <v/>
      </c>
      <c r="N251" s="7">
        <f>IF($W251="","",IF(INDEX('Per Invoice'!N$2:N$801,$W251)="","",INDEX('Per Invoice'!N$2:N$801,$W251)))</f>
        <v/>
      </c>
      <c r="O251" s="7">
        <f>IF($W251="","",IF(INDEX('Per Invoice'!O$2:O$801,$W251)="","",INDEX('Per Invoice'!O$2:O$801,$W251)))</f>
        <v/>
      </c>
      <c r="P251">
        <f>IF($W251="","",IF(INDEX('Per Invoice'!P$2:P$801,$W251)="","",INDEX('Per Invoice'!P$2:P$801,$W251)))</f>
        <v/>
      </c>
      <c r="Q251" s="7">
        <f>IF($W251="","",IF(INDEX('Per Invoice'!Q$2:Q$801,$W251)="","",INDEX('Per Invoice'!Q$2:Q$801,$W251)))</f>
        <v/>
      </c>
      <c r="R251" s="7">
        <f>IF($W251="","",IF(INDEX('Per Invoice'!R$2:R$801,$W251)="","",INDEX('Per Invoice'!R$2:R$801,$W251)))</f>
        <v/>
      </c>
      <c r="S251" s="7">
        <f>IF($W251="","",IF(INDEX('Per Invoice'!S$2:S$801,$W251)="","",INDEX('Per Invoice'!S$2:S$801,$W251)))</f>
        <v/>
      </c>
      <c r="T251" s="7">
        <f>IF($W251="","",IF(INDEX('Per Invoice'!T$2:T$801,$W251)="","",INDEX('Per Invoice'!T$2:T$801,$W251)))</f>
        <v/>
      </c>
      <c r="U251" s="7">
        <f>IF($W251="","",IF(INDEX('Per Invoice'!U$2:U$801,$W251)="","",INDEX('Per Invoice'!U$2:U$801,$W251)))</f>
        <v/>
      </c>
      <c r="V251" s="7">
        <f>IF($W251="","",IF(INDEX('Per Invoice'!V$2:V$801,$W251)="","",INDEX('Per Invoice'!V$2:V$801,$W251)))</f>
        <v/>
      </c>
      <c r="W251" s="16">
        <f>IFERROR(MATCH(Settings!$C$31&amp;"|"&amp;ROWS($W$2:$W251),'Per Invoice'!$X$2:$X$801,0),"")</f>
        <v/>
      </c>
    </row>
    <row r="252">
      <c r="A252">
        <f>IF($W252="","",IF(INDEX('Per Invoice'!A$2:A$801,$W252)="","",INDEX('Per Invoice'!A$2:A$801,$W252)))</f>
        <v/>
      </c>
      <c r="B252">
        <f>IF($W252="","",IF(INDEX('Per Invoice'!B$2:B$801,$W252)="","",INDEX('Per Invoice'!B$2:B$801,$W252)))</f>
        <v/>
      </c>
      <c r="C252">
        <f>IF($W252="","",IF(INDEX('Per Invoice'!C$2:C$801,$W252)="","",INDEX('Per Invoice'!C$2:C$801,$W252)))</f>
        <v/>
      </c>
      <c r="D252">
        <f>IF($W252="","",IF(INDEX('Per Invoice'!D$2:D$801,$W252)="","",INDEX('Per Invoice'!D$2:D$801,$W252)))</f>
        <v/>
      </c>
      <c r="E252">
        <f>IF($W252="","",IF(INDEX('Per Invoice'!E$2:E$801,$W252)="","",INDEX('Per Invoice'!E$2:E$801,$W252)))</f>
        <v/>
      </c>
      <c r="F252">
        <f>IF($W252="","",IF(INDEX('Per Invoice'!F$2:F$801,$W252)="","",INDEX('Per Invoice'!F$2:F$801,$W252)))</f>
        <v/>
      </c>
      <c r="G252">
        <f>IF($W252="","",IF(INDEX('Per Invoice'!G$2:G$801,$W252)="","",INDEX('Per Invoice'!G$2:G$801,$W252)))</f>
        <v/>
      </c>
      <c r="H252">
        <f>IF($W252="","",IF(INDEX('Per Invoice'!H$2:H$801,$W252)="","",INDEX('Per Invoice'!H$2:H$801,$W252)))</f>
        <v/>
      </c>
      <c r="I252">
        <f>IF($W252="","",IF(INDEX('Per Invoice'!I$2:I$801,$W252)="","",INDEX('Per Invoice'!I$2:I$801,$W252)))</f>
        <v/>
      </c>
      <c r="J252">
        <f>IF($W252="","",IF(INDEX('Per Invoice'!J$2:J$801,$W252)="","",INDEX('Per Invoice'!J$2:J$801,$W252)))</f>
        <v/>
      </c>
      <c r="K252" s="7">
        <f>IF($W252="","",IF(INDEX('Per Invoice'!K$2:K$801,$W252)="","",INDEX('Per Invoice'!K$2:K$801,$W252)))</f>
        <v/>
      </c>
      <c r="L252" s="14">
        <f>IF($W252="","",IF(INDEX('Per Invoice'!L$2:L$801,$W252)="","",INDEX('Per Invoice'!L$2:L$801,$W252)))</f>
        <v/>
      </c>
      <c r="M252">
        <f>IF($W252="","",IF(INDEX('Per Invoice'!M$2:M$801,$W252)="","",INDEX('Per Invoice'!M$2:M$801,$W252)))</f>
        <v/>
      </c>
      <c r="N252" s="7">
        <f>IF($W252="","",IF(INDEX('Per Invoice'!N$2:N$801,$W252)="","",INDEX('Per Invoice'!N$2:N$801,$W252)))</f>
        <v/>
      </c>
      <c r="O252" s="7">
        <f>IF($W252="","",IF(INDEX('Per Invoice'!O$2:O$801,$W252)="","",INDEX('Per Invoice'!O$2:O$801,$W252)))</f>
        <v/>
      </c>
      <c r="P252">
        <f>IF($W252="","",IF(INDEX('Per Invoice'!P$2:P$801,$W252)="","",INDEX('Per Invoice'!P$2:P$801,$W252)))</f>
        <v/>
      </c>
      <c r="Q252" s="7">
        <f>IF($W252="","",IF(INDEX('Per Invoice'!Q$2:Q$801,$W252)="","",INDEX('Per Invoice'!Q$2:Q$801,$W252)))</f>
        <v/>
      </c>
      <c r="R252" s="7">
        <f>IF($W252="","",IF(INDEX('Per Invoice'!R$2:R$801,$W252)="","",INDEX('Per Invoice'!R$2:R$801,$W252)))</f>
        <v/>
      </c>
      <c r="S252" s="7">
        <f>IF($W252="","",IF(INDEX('Per Invoice'!S$2:S$801,$W252)="","",INDEX('Per Invoice'!S$2:S$801,$W252)))</f>
        <v/>
      </c>
      <c r="T252" s="7">
        <f>IF($W252="","",IF(INDEX('Per Invoice'!T$2:T$801,$W252)="","",INDEX('Per Invoice'!T$2:T$801,$W252)))</f>
        <v/>
      </c>
      <c r="U252" s="7">
        <f>IF($W252="","",IF(INDEX('Per Invoice'!U$2:U$801,$W252)="","",INDEX('Per Invoice'!U$2:U$801,$W252)))</f>
        <v/>
      </c>
      <c r="V252" s="7">
        <f>IF($W252="","",IF(INDEX('Per Invoice'!V$2:V$801,$W252)="","",INDEX('Per Invoice'!V$2:V$801,$W252)))</f>
        <v/>
      </c>
      <c r="W252" s="16">
        <f>IFERROR(MATCH(Settings!$C$31&amp;"|"&amp;ROWS($W$2:$W252),'Per Invoice'!$X$2:$X$801,0),"")</f>
        <v/>
      </c>
    </row>
    <row r="253">
      <c r="A253">
        <f>IF($W253="","",IF(INDEX('Per Invoice'!A$2:A$801,$W253)="","",INDEX('Per Invoice'!A$2:A$801,$W253)))</f>
        <v/>
      </c>
      <c r="B253">
        <f>IF($W253="","",IF(INDEX('Per Invoice'!B$2:B$801,$W253)="","",INDEX('Per Invoice'!B$2:B$801,$W253)))</f>
        <v/>
      </c>
      <c r="C253">
        <f>IF($W253="","",IF(INDEX('Per Invoice'!C$2:C$801,$W253)="","",INDEX('Per Invoice'!C$2:C$801,$W253)))</f>
        <v/>
      </c>
      <c r="D253">
        <f>IF($W253="","",IF(INDEX('Per Invoice'!D$2:D$801,$W253)="","",INDEX('Per Invoice'!D$2:D$801,$W253)))</f>
        <v/>
      </c>
      <c r="E253">
        <f>IF($W253="","",IF(INDEX('Per Invoice'!E$2:E$801,$W253)="","",INDEX('Per Invoice'!E$2:E$801,$W253)))</f>
        <v/>
      </c>
      <c r="F253">
        <f>IF($W253="","",IF(INDEX('Per Invoice'!F$2:F$801,$W253)="","",INDEX('Per Invoice'!F$2:F$801,$W253)))</f>
        <v/>
      </c>
      <c r="G253">
        <f>IF($W253="","",IF(INDEX('Per Invoice'!G$2:G$801,$W253)="","",INDEX('Per Invoice'!G$2:G$801,$W253)))</f>
        <v/>
      </c>
      <c r="H253">
        <f>IF($W253="","",IF(INDEX('Per Invoice'!H$2:H$801,$W253)="","",INDEX('Per Invoice'!H$2:H$801,$W253)))</f>
        <v/>
      </c>
      <c r="I253">
        <f>IF($W253="","",IF(INDEX('Per Invoice'!I$2:I$801,$W253)="","",INDEX('Per Invoice'!I$2:I$801,$W253)))</f>
        <v/>
      </c>
      <c r="J253">
        <f>IF($W253="","",IF(INDEX('Per Invoice'!J$2:J$801,$W253)="","",INDEX('Per Invoice'!J$2:J$801,$W253)))</f>
        <v/>
      </c>
      <c r="K253" s="7">
        <f>IF($W253="","",IF(INDEX('Per Invoice'!K$2:K$801,$W253)="","",INDEX('Per Invoice'!K$2:K$801,$W253)))</f>
        <v/>
      </c>
      <c r="L253" s="14">
        <f>IF($W253="","",IF(INDEX('Per Invoice'!L$2:L$801,$W253)="","",INDEX('Per Invoice'!L$2:L$801,$W253)))</f>
        <v/>
      </c>
      <c r="M253">
        <f>IF($W253="","",IF(INDEX('Per Invoice'!M$2:M$801,$W253)="","",INDEX('Per Invoice'!M$2:M$801,$W253)))</f>
        <v/>
      </c>
      <c r="N253" s="7">
        <f>IF($W253="","",IF(INDEX('Per Invoice'!N$2:N$801,$W253)="","",INDEX('Per Invoice'!N$2:N$801,$W253)))</f>
        <v/>
      </c>
      <c r="O253" s="7">
        <f>IF($W253="","",IF(INDEX('Per Invoice'!O$2:O$801,$W253)="","",INDEX('Per Invoice'!O$2:O$801,$W253)))</f>
        <v/>
      </c>
      <c r="P253">
        <f>IF($W253="","",IF(INDEX('Per Invoice'!P$2:P$801,$W253)="","",INDEX('Per Invoice'!P$2:P$801,$W253)))</f>
        <v/>
      </c>
      <c r="Q253" s="7">
        <f>IF($W253="","",IF(INDEX('Per Invoice'!Q$2:Q$801,$W253)="","",INDEX('Per Invoice'!Q$2:Q$801,$W253)))</f>
        <v/>
      </c>
      <c r="R253" s="7">
        <f>IF($W253="","",IF(INDEX('Per Invoice'!R$2:R$801,$W253)="","",INDEX('Per Invoice'!R$2:R$801,$W253)))</f>
        <v/>
      </c>
      <c r="S253" s="7">
        <f>IF($W253="","",IF(INDEX('Per Invoice'!S$2:S$801,$W253)="","",INDEX('Per Invoice'!S$2:S$801,$W253)))</f>
        <v/>
      </c>
      <c r="T253" s="7">
        <f>IF($W253="","",IF(INDEX('Per Invoice'!T$2:T$801,$W253)="","",INDEX('Per Invoice'!T$2:T$801,$W253)))</f>
        <v/>
      </c>
      <c r="U253" s="7">
        <f>IF($W253="","",IF(INDEX('Per Invoice'!U$2:U$801,$W253)="","",INDEX('Per Invoice'!U$2:U$801,$W253)))</f>
        <v/>
      </c>
      <c r="V253" s="7">
        <f>IF($W253="","",IF(INDEX('Per Invoice'!V$2:V$801,$W253)="","",INDEX('Per Invoice'!V$2:V$801,$W253)))</f>
        <v/>
      </c>
      <c r="W253" s="16">
        <f>IFERROR(MATCH(Settings!$C$31&amp;"|"&amp;ROWS($W$2:$W253),'Per Invoice'!$X$2:$X$801,0),"")</f>
        <v/>
      </c>
    </row>
    <row r="254">
      <c r="A254">
        <f>IF($W254="","",IF(INDEX('Per Invoice'!A$2:A$801,$W254)="","",INDEX('Per Invoice'!A$2:A$801,$W254)))</f>
        <v/>
      </c>
      <c r="B254">
        <f>IF($W254="","",IF(INDEX('Per Invoice'!B$2:B$801,$W254)="","",INDEX('Per Invoice'!B$2:B$801,$W254)))</f>
        <v/>
      </c>
      <c r="C254">
        <f>IF($W254="","",IF(INDEX('Per Invoice'!C$2:C$801,$W254)="","",INDEX('Per Invoice'!C$2:C$801,$W254)))</f>
        <v/>
      </c>
      <c r="D254">
        <f>IF($W254="","",IF(INDEX('Per Invoice'!D$2:D$801,$W254)="","",INDEX('Per Invoice'!D$2:D$801,$W254)))</f>
        <v/>
      </c>
      <c r="E254">
        <f>IF($W254="","",IF(INDEX('Per Invoice'!E$2:E$801,$W254)="","",INDEX('Per Invoice'!E$2:E$801,$W254)))</f>
        <v/>
      </c>
      <c r="F254">
        <f>IF($W254="","",IF(INDEX('Per Invoice'!F$2:F$801,$W254)="","",INDEX('Per Invoice'!F$2:F$801,$W254)))</f>
        <v/>
      </c>
      <c r="G254">
        <f>IF($W254="","",IF(INDEX('Per Invoice'!G$2:G$801,$W254)="","",INDEX('Per Invoice'!G$2:G$801,$W254)))</f>
        <v/>
      </c>
      <c r="H254">
        <f>IF($W254="","",IF(INDEX('Per Invoice'!H$2:H$801,$W254)="","",INDEX('Per Invoice'!H$2:H$801,$W254)))</f>
        <v/>
      </c>
      <c r="I254">
        <f>IF($W254="","",IF(INDEX('Per Invoice'!I$2:I$801,$W254)="","",INDEX('Per Invoice'!I$2:I$801,$W254)))</f>
        <v/>
      </c>
      <c r="J254">
        <f>IF($W254="","",IF(INDEX('Per Invoice'!J$2:J$801,$W254)="","",INDEX('Per Invoice'!J$2:J$801,$W254)))</f>
        <v/>
      </c>
      <c r="K254" s="7">
        <f>IF($W254="","",IF(INDEX('Per Invoice'!K$2:K$801,$W254)="","",INDEX('Per Invoice'!K$2:K$801,$W254)))</f>
        <v/>
      </c>
      <c r="L254" s="14">
        <f>IF($W254="","",IF(INDEX('Per Invoice'!L$2:L$801,$W254)="","",INDEX('Per Invoice'!L$2:L$801,$W254)))</f>
        <v/>
      </c>
      <c r="M254">
        <f>IF($W254="","",IF(INDEX('Per Invoice'!M$2:M$801,$W254)="","",INDEX('Per Invoice'!M$2:M$801,$W254)))</f>
        <v/>
      </c>
      <c r="N254" s="7">
        <f>IF($W254="","",IF(INDEX('Per Invoice'!N$2:N$801,$W254)="","",INDEX('Per Invoice'!N$2:N$801,$W254)))</f>
        <v/>
      </c>
      <c r="O254" s="7">
        <f>IF($W254="","",IF(INDEX('Per Invoice'!O$2:O$801,$W254)="","",INDEX('Per Invoice'!O$2:O$801,$W254)))</f>
        <v/>
      </c>
      <c r="P254">
        <f>IF($W254="","",IF(INDEX('Per Invoice'!P$2:P$801,$W254)="","",INDEX('Per Invoice'!P$2:P$801,$W254)))</f>
        <v/>
      </c>
      <c r="Q254" s="7">
        <f>IF($W254="","",IF(INDEX('Per Invoice'!Q$2:Q$801,$W254)="","",INDEX('Per Invoice'!Q$2:Q$801,$W254)))</f>
        <v/>
      </c>
      <c r="R254" s="7">
        <f>IF($W254="","",IF(INDEX('Per Invoice'!R$2:R$801,$W254)="","",INDEX('Per Invoice'!R$2:R$801,$W254)))</f>
        <v/>
      </c>
      <c r="S254" s="7">
        <f>IF($W254="","",IF(INDEX('Per Invoice'!S$2:S$801,$W254)="","",INDEX('Per Invoice'!S$2:S$801,$W254)))</f>
        <v/>
      </c>
      <c r="T254" s="7">
        <f>IF($W254="","",IF(INDEX('Per Invoice'!T$2:T$801,$W254)="","",INDEX('Per Invoice'!T$2:T$801,$W254)))</f>
        <v/>
      </c>
      <c r="U254" s="7">
        <f>IF($W254="","",IF(INDEX('Per Invoice'!U$2:U$801,$W254)="","",INDEX('Per Invoice'!U$2:U$801,$W254)))</f>
        <v/>
      </c>
      <c r="V254" s="7">
        <f>IF($W254="","",IF(INDEX('Per Invoice'!V$2:V$801,$W254)="","",INDEX('Per Invoice'!V$2:V$801,$W254)))</f>
        <v/>
      </c>
      <c r="W254" s="16">
        <f>IFERROR(MATCH(Settings!$C$31&amp;"|"&amp;ROWS($W$2:$W254),'Per Invoice'!$X$2:$X$801,0),"")</f>
        <v/>
      </c>
    </row>
    <row r="255">
      <c r="A255">
        <f>IF($W255="","",IF(INDEX('Per Invoice'!A$2:A$801,$W255)="","",INDEX('Per Invoice'!A$2:A$801,$W255)))</f>
        <v/>
      </c>
      <c r="B255">
        <f>IF($W255="","",IF(INDEX('Per Invoice'!B$2:B$801,$W255)="","",INDEX('Per Invoice'!B$2:B$801,$W255)))</f>
        <v/>
      </c>
      <c r="C255">
        <f>IF($W255="","",IF(INDEX('Per Invoice'!C$2:C$801,$W255)="","",INDEX('Per Invoice'!C$2:C$801,$W255)))</f>
        <v/>
      </c>
      <c r="D255">
        <f>IF($W255="","",IF(INDEX('Per Invoice'!D$2:D$801,$W255)="","",INDEX('Per Invoice'!D$2:D$801,$W255)))</f>
        <v/>
      </c>
      <c r="E255">
        <f>IF($W255="","",IF(INDEX('Per Invoice'!E$2:E$801,$W255)="","",INDEX('Per Invoice'!E$2:E$801,$W255)))</f>
        <v/>
      </c>
      <c r="F255">
        <f>IF($W255="","",IF(INDEX('Per Invoice'!F$2:F$801,$W255)="","",INDEX('Per Invoice'!F$2:F$801,$W255)))</f>
        <v/>
      </c>
      <c r="G255">
        <f>IF($W255="","",IF(INDEX('Per Invoice'!G$2:G$801,$W255)="","",INDEX('Per Invoice'!G$2:G$801,$W255)))</f>
        <v/>
      </c>
      <c r="H255">
        <f>IF($W255="","",IF(INDEX('Per Invoice'!H$2:H$801,$W255)="","",INDEX('Per Invoice'!H$2:H$801,$W255)))</f>
        <v/>
      </c>
      <c r="I255">
        <f>IF($W255="","",IF(INDEX('Per Invoice'!I$2:I$801,$W255)="","",INDEX('Per Invoice'!I$2:I$801,$W255)))</f>
        <v/>
      </c>
      <c r="J255">
        <f>IF($W255="","",IF(INDEX('Per Invoice'!J$2:J$801,$W255)="","",INDEX('Per Invoice'!J$2:J$801,$W255)))</f>
        <v/>
      </c>
      <c r="K255" s="7">
        <f>IF($W255="","",IF(INDEX('Per Invoice'!K$2:K$801,$W255)="","",INDEX('Per Invoice'!K$2:K$801,$W255)))</f>
        <v/>
      </c>
      <c r="L255" s="14">
        <f>IF($W255="","",IF(INDEX('Per Invoice'!L$2:L$801,$W255)="","",INDEX('Per Invoice'!L$2:L$801,$W255)))</f>
        <v/>
      </c>
      <c r="M255">
        <f>IF($W255="","",IF(INDEX('Per Invoice'!M$2:M$801,$W255)="","",INDEX('Per Invoice'!M$2:M$801,$W255)))</f>
        <v/>
      </c>
      <c r="N255" s="7">
        <f>IF($W255="","",IF(INDEX('Per Invoice'!N$2:N$801,$W255)="","",INDEX('Per Invoice'!N$2:N$801,$W255)))</f>
        <v/>
      </c>
      <c r="O255" s="7">
        <f>IF($W255="","",IF(INDEX('Per Invoice'!O$2:O$801,$W255)="","",INDEX('Per Invoice'!O$2:O$801,$W255)))</f>
        <v/>
      </c>
      <c r="P255">
        <f>IF($W255="","",IF(INDEX('Per Invoice'!P$2:P$801,$W255)="","",INDEX('Per Invoice'!P$2:P$801,$W255)))</f>
        <v/>
      </c>
      <c r="Q255" s="7">
        <f>IF($W255="","",IF(INDEX('Per Invoice'!Q$2:Q$801,$W255)="","",INDEX('Per Invoice'!Q$2:Q$801,$W255)))</f>
        <v/>
      </c>
      <c r="R255" s="7">
        <f>IF($W255="","",IF(INDEX('Per Invoice'!R$2:R$801,$W255)="","",INDEX('Per Invoice'!R$2:R$801,$W255)))</f>
        <v/>
      </c>
      <c r="S255" s="7">
        <f>IF($W255="","",IF(INDEX('Per Invoice'!S$2:S$801,$W255)="","",INDEX('Per Invoice'!S$2:S$801,$W255)))</f>
        <v/>
      </c>
      <c r="T255" s="7">
        <f>IF($W255="","",IF(INDEX('Per Invoice'!T$2:T$801,$W255)="","",INDEX('Per Invoice'!T$2:T$801,$W255)))</f>
        <v/>
      </c>
      <c r="U255" s="7">
        <f>IF($W255="","",IF(INDEX('Per Invoice'!U$2:U$801,$W255)="","",INDEX('Per Invoice'!U$2:U$801,$W255)))</f>
        <v/>
      </c>
      <c r="V255" s="7">
        <f>IF($W255="","",IF(INDEX('Per Invoice'!V$2:V$801,$W255)="","",INDEX('Per Invoice'!V$2:V$801,$W255)))</f>
        <v/>
      </c>
      <c r="W255" s="16">
        <f>IFERROR(MATCH(Settings!$C$31&amp;"|"&amp;ROWS($W$2:$W255),'Per Invoice'!$X$2:$X$801,0),"")</f>
        <v/>
      </c>
    </row>
    <row r="256">
      <c r="A256">
        <f>IF($W256="","",IF(INDEX('Per Invoice'!A$2:A$801,$W256)="","",INDEX('Per Invoice'!A$2:A$801,$W256)))</f>
        <v/>
      </c>
      <c r="B256">
        <f>IF($W256="","",IF(INDEX('Per Invoice'!B$2:B$801,$W256)="","",INDEX('Per Invoice'!B$2:B$801,$W256)))</f>
        <v/>
      </c>
      <c r="C256">
        <f>IF($W256="","",IF(INDEX('Per Invoice'!C$2:C$801,$W256)="","",INDEX('Per Invoice'!C$2:C$801,$W256)))</f>
        <v/>
      </c>
      <c r="D256">
        <f>IF($W256="","",IF(INDEX('Per Invoice'!D$2:D$801,$W256)="","",INDEX('Per Invoice'!D$2:D$801,$W256)))</f>
        <v/>
      </c>
      <c r="E256">
        <f>IF($W256="","",IF(INDEX('Per Invoice'!E$2:E$801,$W256)="","",INDEX('Per Invoice'!E$2:E$801,$W256)))</f>
        <v/>
      </c>
      <c r="F256">
        <f>IF($W256="","",IF(INDEX('Per Invoice'!F$2:F$801,$W256)="","",INDEX('Per Invoice'!F$2:F$801,$W256)))</f>
        <v/>
      </c>
      <c r="G256">
        <f>IF($W256="","",IF(INDEX('Per Invoice'!G$2:G$801,$W256)="","",INDEX('Per Invoice'!G$2:G$801,$W256)))</f>
        <v/>
      </c>
      <c r="H256">
        <f>IF($W256="","",IF(INDEX('Per Invoice'!H$2:H$801,$W256)="","",INDEX('Per Invoice'!H$2:H$801,$W256)))</f>
        <v/>
      </c>
      <c r="I256">
        <f>IF($W256="","",IF(INDEX('Per Invoice'!I$2:I$801,$W256)="","",INDEX('Per Invoice'!I$2:I$801,$W256)))</f>
        <v/>
      </c>
      <c r="J256">
        <f>IF($W256="","",IF(INDEX('Per Invoice'!J$2:J$801,$W256)="","",INDEX('Per Invoice'!J$2:J$801,$W256)))</f>
        <v/>
      </c>
      <c r="K256" s="7">
        <f>IF($W256="","",IF(INDEX('Per Invoice'!K$2:K$801,$W256)="","",INDEX('Per Invoice'!K$2:K$801,$W256)))</f>
        <v/>
      </c>
      <c r="L256" s="14">
        <f>IF($W256="","",IF(INDEX('Per Invoice'!L$2:L$801,$W256)="","",INDEX('Per Invoice'!L$2:L$801,$W256)))</f>
        <v/>
      </c>
      <c r="M256">
        <f>IF($W256="","",IF(INDEX('Per Invoice'!M$2:M$801,$W256)="","",INDEX('Per Invoice'!M$2:M$801,$W256)))</f>
        <v/>
      </c>
      <c r="N256" s="7">
        <f>IF($W256="","",IF(INDEX('Per Invoice'!N$2:N$801,$W256)="","",INDEX('Per Invoice'!N$2:N$801,$W256)))</f>
        <v/>
      </c>
      <c r="O256" s="7">
        <f>IF($W256="","",IF(INDEX('Per Invoice'!O$2:O$801,$W256)="","",INDEX('Per Invoice'!O$2:O$801,$W256)))</f>
        <v/>
      </c>
      <c r="P256">
        <f>IF($W256="","",IF(INDEX('Per Invoice'!P$2:P$801,$W256)="","",INDEX('Per Invoice'!P$2:P$801,$W256)))</f>
        <v/>
      </c>
      <c r="Q256" s="7">
        <f>IF($W256="","",IF(INDEX('Per Invoice'!Q$2:Q$801,$W256)="","",INDEX('Per Invoice'!Q$2:Q$801,$W256)))</f>
        <v/>
      </c>
      <c r="R256" s="7">
        <f>IF($W256="","",IF(INDEX('Per Invoice'!R$2:R$801,$W256)="","",INDEX('Per Invoice'!R$2:R$801,$W256)))</f>
        <v/>
      </c>
      <c r="S256" s="7">
        <f>IF($W256="","",IF(INDEX('Per Invoice'!S$2:S$801,$W256)="","",INDEX('Per Invoice'!S$2:S$801,$W256)))</f>
        <v/>
      </c>
      <c r="T256" s="7">
        <f>IF($W256="","",IF(INDEX('Per Invoice'!T$2:T$801,$W256)="","",INDEX('Per Invoice'!T$2:T$801,$W256)))</f>
        <v/>
      </c>
      <c r="U256" s="7">
        <f>IF($W256="","",IF(INDEX('Per Invoice'!U$2:U$801,$W256)="","",INDEX('Per Invoice'!U$2:U$801,$W256)))</f>
        <v/>
      </c>
      <c r="V256" s="7">
        <f>IF($W256="","",IF(INDEX('Per Invoice'!V$2:V$801,$W256)="","",INDEX('Per Invoice'!V$2:V$801,$W256)))</f>
        <v/>
      </c>
      <c r="W256" s="16">
        <f>IFERROR(MATCH(Settings!$C$31&amp;"|"&amp;ROWS($W$2:$W256),'Per Invoice'!$X$2:$X$801,0),"")</f>
        <v/>
      </c>
    </row>
    <row r="257">
      <c r="A257">
        <f>IF($W257="","",IF(INDEX('Per Invoice'!A$2:A$801,$W257)="","",INDEX('Per Invoice'!A$2:A$801,$W257)))</f>
        <v/>
      </c>
      <c r="B257">
        <f>IF($W257="","",IF(INDEX('Per Invoice'!B$2:B$801,$W257)="","",INDEX('Per Invoice'!B$2:B$801,$W257)))</f>
        <v/>
      </c>
      <c r="C257">
        <f>IF($W257="","",IF(INDEX('Per Invoice'!C$2:C$801,$W257)="","",INDEX('Per Invoice'!C$2:C$801,$W257)))</f>
        <v/>
      </c>
      <c r="D257">
        <f>IF($W257="","",IF(INDEX('Per Invoice'!D$2:D$801,$W257)="","",INDEX('Per Invoice'!D$2:D$801,$W257)))</f>
        <v/>
      </c>
      <c r="E257">
        <f>IF($W257="","",IF(INDEX('Per Invoice'!E$2:E$801,$W257)="","",INDEX('Per Invoice'!E$2:E$801,$W257)))</f>
        <v/>
      </c>
      <c r="F257">
        <f>IF($W257="","",IF(INDEX('Per Invoice'!F$2:F$801,$W257)="","",INDEX('Per Invoice'!F$2:F$801,$W257)))</f>
        <v/>
      </c>
      <c r="G257">
        <f>IF($W257="","",IF(INDEX('Per Invoice'!G$2:G$801,$W257)="","",INDEX('Per Invoice'!G$2:G$801,$W257)))</f>
        <v/>
      </c>
      <c r="H257">
        <f>IF($W257="","",IF(INDEX('Per Invoice'!H$2:H$801,$W257)="","",INDEX('Per Invoice'!H$2:H$801,$W257)))</f>
        <v/>
      </c>
      <c r="I257">
        <f>IF($W257="","",IF(INDEX('Per Invoice'!I$2:I$801,$W257)="","",INDEX('Per Invoice'!I$2:I$801,$W257)))</f>
        <v/>
      </c>
      <c r="J257">
        <f>IF($W257="","",IF(INDEX('Per Invoice'!J$2:J$801,$W257)="","",INDEX('Per Invoice'!J$2:J$801,$W257)))</f>
        <v/>
      </c>
      <c r="K257" s="7">
        <f>IF($W257="","",IF(INDEX('Per Invoice'!K$2:K$801,$W257)="","",INDEX('Per Invoice'!K$2:K$801,$W257)))</f>
        <v/>
      </c>
      <c r="L257" s="14">
        <f>IF($W257="","",IF(INDEX('Per Invoice'!L$2:L$801,$W257)="","",INDEX('Per Invoice'!L$2:L$801,$W257)))</f>
        <v/>
      </c>
      <c r="M257">
        <f>IF($W257="","",IF(INDEX('Per Invoice'!M$2:M$801,$W257)="","",INDEX('Per Invoice'!M$2:M$801,$W257)))</f>
        <v/>
      </c>
      <c r="N257" s="7">
        <f>IF($W257="","",IF(INDEX('Per Invoice'!N$2:N$801,$W257)="","",INDEX('Per Invoice'!N$2:N$801,$W257)))</f>
        <v/>
      </c>
      <c r="O257" s="7">
        <f>IF($W257="","",IF(INDEX('Per Invoice'!O$2:O$801,$W257)="","",INDEX('Per Invoice'!O$2:O$801,$W257)))</f>
        <v/>
      </c>
      <c r="P257">
        <f>IF($W257="","",IF(INDEX('Per Invoice'!P$2:P$801,$W257)="","",INDEX('Per Invoice'!P$2:P$801,$W257)))</f>
        <v/>
      </c>
      <c r="Q257" s="7">
        <f>IF($W257="","",IF(INDEX('Per Invoice'!Q$2:Q$801,$W257)="","",INDEX('Per Invoice'!Q$2:Q$801,$W257)))</f>
        <v/>
      </c>
      <c r="R257" s="7">
        <f>IF($W257="","",IF(INDEX('Per Invoice'!R$2:R$801,$W257)="","",INDEX('Per Invoice'!R$2:R$801,$W257)))</f>
        <v/>
      </c>
      <c r="S257" s="7">
        <f>IF($W257="","",IF(INDEX('Per Invoice'!S$2:S$801,$W257)="","",INDEX('Per Invoice'!S$2:S$801,$W257)))</f>
        <v/>
      </c>
      <c r="T257" s="7">
        <f>IF($W257="","",IF(INDEX('Per Invoice'!T$2:T$801,$W257)="","",INDEX('Per Invoice'!T$2:T$801,$W257)))</f>
        <v/>
      </c>
      <c r="U257" s="7">
        <f>IF($W257="","",IF(INDEX('Per Invoice'!U$2:U$801,$W257)="","",INDEX('Per Invoice'!U$2:U$801,$W257)))</f>
        <v/>
      </c>
      <c r="V257" s="7">
        <f>IF($W257="","",IF(INDEX('Per Invoice'!V$2:V$801,$W257)="","",INDEX('Per Invoice'!V$2:V$801,$W257)))</f>
        <v/>
      </c>
      <c r="W257" s="16">
        <f>IFERROR(MATCH(Settings!$C$31&amp;"|"&amp;ROWS($W$2:$W257),'Per Invoice'!$X$2:$X$801,0),"")</f>
        <v/>
      </c>
    </row>
    <row r="258">
      <c r="A258">
        <f>IF($W258="","",IF(INDEX('Per Invoice'!A$2:A$801,$W258)="","",INDEX('Per Invoice'!A$2:A$801,$W258)))</f>
        <v/>
      </c>
      <c r="B258">
        <f>IF($W258="","",IF(INDEX('Per Invoice'!B$2:B$801,$W258)="","",INDEX('Per Invoice'!B$2:B$801,$W258)))</f>
        <v/>
      </c>
      <c r="C258">
        <f>IF($W258="","",IF(INDEX('Per Invoice'!C$2:C$801,$W258)="","",INDEX('Per Invoice'!C$2:C$801,$W258)))</f>
        <v/>
      </c>
      <c r="D258">
        <f>IF($W258="","",IF(INDEX('Per Invoice'!D$2:D$801,$W258)="","",INDEX('Per Invoice'!D$2:D$801,$W258)))</f>
        <v/>
      </c>
      <c r="E258">
        <f>IF($W258="","",IF(INDEX('Per Invoice'!E$2:E$801,$W258)="","",INDEX('Per Invoice'!E$2:E$801,$W258)))</f>
        <v/>
      </c>
      <c r="F258">
        <f>IF($W258="","",IF(INDEX('Per Invoice'!F$2:F$801,$W258)="","",INDEX('Per Invoice'!F$2:F$801,$W258)))</f>
        <v/>
      </c>
      <c r="G258">
        <f>IF($W258="","",IF(INDEX('Per Invoice'!G$2:G$801,$W258)="","",INDEX('Per Invoice'!G$2:G$801,$W258)))</f>
        <v/>
      </c>
      <c r="H258">
        <f>IF($W258="","",IF(INDEX('Per Invoice'!H$2:H$801,$W258)="","",INDEX('Per Invoice'!H$2:H$801,$W258)))</f>
        <v/>
      </c>
      <c r="I258">
        <f>IF($W258="","",IF(INDEX('Per Invoice'!I$2:I$801,$W258)="","",INDEX('Per Invoice'!I$2:I$801,$W258)))</f>
        <v/>
      </c>
      <c r="J258">
        <f>IF($W258="","",IF(INDEX('Per Invoice'!J$2:J$801,$W258)="","",INDEX('Per Invoice'!J$2:J$801,$W258)))</f>
        <v/>
      </c>
      <c r="K258" s="7">
        <f>IF($W258="","",IF(INDEX('Per Invoice'!K$2:K$801,$W258)="","",INDEX('Per Invoice'!K$2:K$801,$W258)))</f>
        <v/>
      </c>
      <c r="L258" s="14">
        <f>IF($W258="","",IF(INDEX('Per Invoice'!L$2:L$801,$W258)="","",INDEX('Per Invoice'!L$2:L$801,$W258)))</f>
        <v/>
      </c>
      <c r="M258">
        <f>IF($W258="","",IF(INDEX('Per Invoice'!M$2:M$801,$W258)="","",INDEX('Per Invoice'!M$2:M$801,$W258)))</f>
        <v/>
      </c>
      <c r="N258" s="7">
        <f>IF($W258="","",IF(INDEX('Per Invoice'!N$2:N$801,$W258)="","",INDEX('Per Invoice'!N$2:N$801,$W258)))</f>
        <v/>
      </c>
      <c r="O258" s="7">
        <f>IF($W258="","",IF(INDEX('Per Invoice'!O$2:O$801,$W258)="","",INDEX('Per Invoice'!O$2:O$801,$W258)))</f>
        <v/>
      </c>
      <c r="P258">
        <f>IF($W258="","",IF(INDEX('Per Invoice'!P$2:P$801,$W258)="","",INDEX('Per Invoice'!P$2:P$801,$W258)))</f>
        <v/>
      </c>
      <c r="Q258" s="7">
        <f>IF($W258="","",IF(INDEX('Per Invoice'!Q$2:Q$801,$W258)="","",INDEX('Per Invoice'!Q$2:Q$801,$W258)))</f>
        <v/>
      </c>
      <c r="R258" s="7">
        <f>IF($W258="","",IF(INDEX('Per Invoice'!R$2:R$801,$W258)="","",INDEX('Per Invoice'!R$2:R$801,$W258)))</f>
        <v/>
      </c>
      <c r="S258" s="7">
        <f>IF($W258="","",IF(INDEX('Per Invoice'!S$2:S$801,$W258)="","",INDEX('Per Invoice'!S$2:S$801,$W258)))</f>
        <v/>
      </c>
      <c r="T258" s="7">
        <f>IF($W258="","",IF(INDEX('Per Invoice'!T$2:T$801,$W258)="","",INDEX('Per Invoice'!T$2:T$801,$W258)))</f>
        <v/>
      </c>
      <c r="U258" s="7">
        <f>IF($W258="","",IF(INDEX('Per Invoice'!U$2:U$801,$W258)="","",INDEX('Per Invoice'!U$2:U$801,$W258)))</f>
        <v/>
      </c>
      <c r="V258" s="7">
        <f>IF($W258="","",IF(INDEX('Per Invoice'!V$2:V$801,$W258)="","",INDEX('Per Invoice'!V$2:V$801,$W258)))</f>
        <v/>
      </c>
      <c r="W258" s="16">
        <f>IFERROR(MATCH(Settings!$C$31&amp;"|"&amp;ROWS($W$2:$W258),'Per Invoice'!$X$2:$X$801,0),"")</f>
        <v/>
      </c>
    </row>
    <row r="259">
      <c r="A259">
        <f>IF($W259="","",IF(INDEX('Per Invoice'!A$2:A$801,$W259)="","",INDEX('Per Invoice'!A$2:A$801,$W259)))</f>
        <v/>
      </c>
      <c r="B259">
        <f>IF($W259="","",IF(INDEX('Per Invoice'!B$2:B$801,$W259)="","",INDEX('Per Invoice'!B$2:B$801,$W259)))</f>
        <v/>
      </c>
      <c r="C259">
        <f>IF($W259="","",IF(INDEX('Per Invoice'!C$2:C$801,$W259)="","",INDEX('Per Invoice'!C$2:C$801,$W259)))</f>
        <v/>
      </c>
      <c r="D259">
        <f>IF($W259="","",IF(INDEX('Per Invoice'!D$2:D$801,$W259)="","",INDEX('Per Invoice'!D$2:D$801,$W259)))</f>
        <v/>
      </c>
      <c r="E259">
        <f>IF($W259="","",IF(INDEX('Per Invoice'!E$2:E$801,$W259)="","",INDEX('Per Invoice'!E$2:E$801,$W259)))</f>
        <v/>
      </c>
      <c r="F259">
        <f>IF($W259="","",IF(INDEX('Per Invoice'!F$2:F$801,$W259)="","",INDEX('Per Invoice'!F$2:F$801,$W259)))</f>
        <v/>
      </c>
      <c r="G259">
        <f>IF($W259="","",IF(INDEX('Per Invoice'!G$2:G$801,$W259)="","",INDEX('Per Invoice'!G$2:G$801,$W259)))</f>
        <v/>
      </c>
      <c r="H259">
        <f>IF($W259="","",IF(INDEX('Per Invoice'!H$2:H$801,$W259)="","",INDEX('Per Invoice'!H$2:H$801,$W259)))</f>
        <v/>
      </c>
      <c r="I259">
        <f>IF($W259="","",IF(INDEX('Per Invoice'!I$2:I$801,$W259)="","",INDEX('Per Invoice'!I$2:I$801,$W259)))</f>
        <v/>
      </c>
      <c r="J259">
        <f>IF($W259="","",IF(INDEX('Per Invoice'!J$2:J$801,$W259)="","",INDEX('Per Invoice'!J$2:J$801,$W259)))</f>
        <v/>
      </c>
      <c r="K259" s="7">
        <f>IF($W259="","",IF(INDEX('Per Invoice'!K$2:K$801,$W259)="","",INDEX('Per Invoice'!K$2:K$801,$W259)))</f>
        <v/>
      </c>
      <c r="L259" s="14">
        <f>IF($W259="","",IF(INDEX('Per Invoice'!L$2:L$801,$W259)="","",INDEX('Per Invoice'!L$2:L$801,$W259)))</f>
        <v/>
      </c>
      <c r="M259">
        <f>IF($W259="","",IF(INDEX('Per Invoice'!M$2:M$801,$W259)="","",INDEX('Per Invoice'!M$2:M$801,$W259)))</f>
        <v/>
      </c>
      <c r="N259" s="7">
        <f>IF($W259="","",IF(INDEX('Per Invoice'!N$2:N$801,$W259)="","",INDEX('Per Invoice'!N$2:N$801,$W259)))</f>
        <v/>
      </c>
      <c r="O259" s="7">
        <f>IF($W259="","",IF(INDEX('Per Invoice'!O$2:O$801,$W259)="","",INDEX('Per Invoice'!O$2:O$801,$W259)))</f>
        <v/>
      </c>
      <c r="P259">
        <f>IF($W259="","",IF(INDEX('Per Invoice'!P$2:P$801,$W259)="","",INDEX('Per Invoice'!P$2:P$801,$W259)))</f>
        <v/>
      </c>
      <c r="Q259" s="7">
        <f>IF($W259="","",IF(INDEX('Per Invoice'!Q$2:Q$801,$W259)="","",INDEX('Per Invoice'!Q$2:Q$801,$W259)))</f>
        <v/>
      </c>
      <c r="R259" s="7">
        <f>IF($W259="","",IF(INDEX('Per Invoice'!R$2:R$801,$W259)="","",INDEX('Per Invoice'!R$2:R$801,$W259)))</f>
        <v/>
      </c>
      <c r="S259" s="7">
        <f>IF($W259="","",IF(INDEX('Per Invoice'!S$2:S$801,$W259)="","",INDEX('Per Invoice'!S$2:S$801,$W259)))</f>
        <v/>
      </c>
      <c r="T259" s="7">
        <f>IF($W259="","",IF(INDEX('Per Invoice'!T$2:T$801,$W259)="","",INDEX('Per Invoice'!T$2:T$801,$W259)))</f>
        <v/>
      </c>
      <c r="U259" s="7">
        <f>IF($W259="","",IF(INDEX('Per Invoice'!U$2:U$801,$W259)="","",INDEX('Per Invoice'!U$2:U$801,$W259)))</f>
        <v/>
      </c>
      <c r="V259" s="7">
        <f>IF($W259="","",IF(INDEX('Per Invoice'!V$2:V$801,$W259)="","",INDEX('Per Invoice'!V$2:V$801,$W259)))</f>
        <v/>
      </c>
      <c r="W259" s="16">
        <f>IFERROR(MATCH(Settings!$C$31&amp;"|"&amp;ROWS($W$2:$W259),'Per Invoice'!$X$2:$X$801,0),"")</f>
        <v/>
      </c>
    </row>
    <row r="260">
      <c r="A260">
        <f>IF($W260="","",IF(INDEX('Per Invoice'!A$2:A$801,$W260)="","",INDEX('Per Invoice'!A$2:A$801,$W260)))</f>
        <v/>
      </c>
      <c r="B260">
        <f>IF($W260="","",IF(INDEX('Per Invoice'!B$2:B$801,$W260)="","",INDEX('Per Invoice'!B$2:B$801,$W260)))</f>
        <v/>
      </c>
      <c r="C260">
        <f>IF($W260="","",IF(INDEX('Per Invoice'!C$2:C$801,$W260)="","",INDEX('Per Invoice'!C$2:C$801,$W260)))</f>
        <v/>
      </c>
      <c r="D260">
        <f>IF($W260="","",IF(INDEX('Per Invoice'!D$2:D$801,$W260)="","",INDEX('Per Invoice'!D$2:D$801,$W260)))</f>
        <v/>
      </c>
      <c r="E260">
        <f>IF($W260="","",IF(INDEX('Per Invoice'!E$2:E$801,$W260)="","",INDEX('Per Invoice'!E$2:E$801,$W260)))</f>
        <v/>
      </c>
      <c r="F260">
        <f>IF($W260="","",IF(INDEX('Per Invoice'!F$2:F$801,$W260)="","",INDEX('Per Invoice'!F$2:F$801,$W260)))</f>
        <v/>
      </c>
      <c r="G260">
        <f>IF($W260="","",IF(INDEX('Per Invoice'!G$2:G$801,$W260)="","",INDEX('Per Invoice'!G$2:G$801,$W260)))</f>
        <v/>
      </c>
      <c r="H260">
        <f>IF($W260="","",IF(INDEX('Per Invoice'!H$2:H$801,$W260)="","",INDEX('Per Invoice'!H$2:H$801,$W260)))</f>
        <v/>
      </c>
      <c r="I260">
        <f>IF($W260="","",IF(INDEX('Per Invoice'!I$2:I$801,$W260)="","",INDEX('Per Invoice'!I$2:I$801,$W260)))</f>
        <v/>
      </c>
      <c r="J260">
        <f>IF($W260="","",IF(INDEX('Per Invoice'!J$2:J$801,$W260)="","",INDEX('Per Invoice'!J$2:J$801,$W260)))</f>
        <v/>
      </c>
      <c r="K260" s="7">
        <f>IF($W260="","",IF(INDEX('Per Invoice'!K$2:K$801,$W260)="","",INDEX('Per Invoice'!K$2:K$801,$W260)))</f>
        <v/>
      </c>
      <c r="L260" s="14">
        <f>IF($W260="","",IF(INDEX('Per Invoice'!L$2:L$801,$W260)="","",INDEX('Per Invoice'!L$2:L$801,$W260)))</f>
        <v/>
      </c>
      <c r="M260">
        <f>IF($W260="","",IF(INDEX('Per Invoice'!M$2:M$801,$W260)="","",INDEX('Per Invoice'!M$2:M$801,$W260)))</f>
        <v/>
      </c>
      <c r="N260" s="7">
        <f>IF($W260="","",IF(INDEX('Per Invoice'!N$2:N$801,$W260)="","",INDEX('Per Invoice'!N$2:N$801,$W260)))</f>
        <v/>
      </c>
      <c r="O260" s="7">
        <f>IF($W260="","",IF(INDEX('Per Invoice'!O$2:O$801,$W260)="","",INDEX('Per Invoice'!O$2:O$801,$W260)))</f>
        <v/>
      </c>
      <c r="P260">
        <f>IF($W260="","",IF(INDEX('Per Invoice'!P$2:P$801,$W260)="","",INDEX('Per Invoice'!P$2:P$801,$W260)))</f>
        <v/>
      </c>
      <c r="Q260" s="7">
        <f>IF($W260="","",IF(INDEX('Per Invoice'!Q$2:Q$801,$W260)="","",INDEX('Per Invoice'!Q$2:Q$801,$W260)))</f>
        <v/>
      </c>
      <c r="R260" s="7">
        <f>IF($W260="","",IF(INDEX('Per Invoice'!R$2:R$801,$W260)="","",INDEX('Per Invoice'!R$2:R$801,$W260)))</f>
        <v/>
      </c>
      <c r="S260" s="7">
        <f>IF($W260="","",IF(INDEX('Per Invoice'!S$2:S$801,$W260)="","",INDEX('Per Invoice'!S$2:S$801,$W260)))</f>
        <v/>
      </c>
      <c r="T260" s="7">
        <f>IF($W260="","",IF(INDEX('Per Invoice'!T$2:T$801,$W260)="","",INDEX('Per Invoice'!T$2:T$801,$W260)))</f>
        <v/>
      </c>
      <c r="U260" s="7">
        <f>IF($W260="","",IF(INDEX('Per Invoice'!U$2:U$801,$W260)="","",INDEX('Per Invoice'!U$2:U$801,$W260)))</f>
        <v/>
      </c>
      <c r="V260" s="7">
        <f>IF($W260="","",IF(INDEX('Per Invoice'!V$2:V$801,$W260)="","",INDEX('Per Invoice'!V$2:V$801,$W260)))</f>
        <v/>
      </c>
      <c r="W260" s="16">
        <f>IFERROR(MATCH(Settings!$C$31&amp;"|"&amp;ROWS($W$2:$W260),'Per Invoice'!$X$2:$X$801,0),"")</f>
        <v/>
      </c>
    </row>
    <row r="261">
      <c r="A261">
        <f>IF($W261="","",IF(INDEX('Per Invoice'!A$2:A$801,$W261)="","",INDEX('Per Invoice'!A$2:A$801,$W261)))</f>
        <v/>
      </c>
      <c r="B261">
        <f>IF($W261="","",IF(INDEX('Per Invoice'!B$2:B$801,$W261)="","",INDEX('Per Invoice'!B$2:B$801,$W261)))</f>
        <v/>
      </c>
      <c r="C261">
        <f>IF($W261="","",IF(INDEX('Per Invoice'!C$2:C$801,$W261)="","",INDEX('Per Invoice'!C$2:C$801,$W261)))</f>
        <v/>
      </c>
      <c r="D261">
        <f>IF($W261="","",IF(INDEX('Per Invoice'!D$2:D$801,$W261)="","",INDEX('Per Invoice'!D$2:D$801,$W261)))</f>
        <v/>
      </c>
      <c r="E261">
        <f>IF($W261="","",IF(INDEX('Per Invoice'!E$2:E$801,$W261)="","",INDEX('Per Invoice'!E$2:E$801,$W261)))</f>
        <v/>
      </c>
      <c r="F261">
        <f>IF($W261="","",IF(INDEX('Per Invoice'!F$2:F$801,$W261)="","",INDEX('Per Invoice'!F$2:F$801,$W261)))</f>
        <v/>
      </c>
      <c r="G261">
        <f>IF($W261="","",IF(INDEX('Per Invoice'!G$2:G$801,$W261)="","",INDEX('Per Invoice'!G$2:G$801,$W261)))</f>
        <v/>
      </c>
      <c r="H261">
        <f>IF($W261="","",IF(INDEX('Per Invoice'!H$2:H$801,$W261)="","",INDEX('Per Invoice'!H$2:H$801,$W261)))</f>
        <v/>
      </c>
      <c r="I261">
        <f>IF($W261="","",IF(INDEX('Per Invoice'!I$2:I$801,$W261)="","",INDEX('Per Invoice'!I$2:I$801,$W261)))</f>
        <v/>
      </c>
      <c r="J261">
        <f>IF($W261="","",IF(INDEX('Per Invoice'!J$2:J$801,$W261)="","",INDEX('Per Invoice'!J$2:J$801,$W261)))</f>
        <v/>
      </c>
      <c r="K261" s="7">
        <f>IF($W261="","",IF(INDEX('Per Invoice'!K$2:K$801,$W261)="","",INDEX('Per Invoice'!K$2:K$801,$W261)))</f>
        <v/>
      </c>
      <c r="L261" s="14">
        <f>IF($W261="","",IF(INDEX('Per Invoice'!L$2:L$801,$W261)="","",INDEX('Per Invoice'!L$2:L$801,$W261)))</f>
        <v/>
      </c>
      <c r="M261">
        <f>IF($W261="","",IF(INDEX('Per Invoice'!M$2:M$801,$W261)="","",INDEX('Per Invoice'!M$2:M$801,$W261)))</f>
        <v/>
      </c>
      <c r="N261" s="7">
        <f>IF($W261="","",IF(INDEX('Per Invoice'!N$2:N$801,$W261)="","",INDEX('Per Invoice'!N$2:N$801,$W261)))</f>
        <v/>
      </c>
      <c r="O261" s="7">
        <f>IF($W261="","",IF(INDEX('Per Invoice'!O$2:O$801,$W261)="","",INDEX('Per Invoice'!O$2:O$801,$W261)))</f>
        <v/>
      </c>
      <c r="P261">
        <f>IF($W261="","",IF(INDEX('Per Invoice'!P$2:P$801,$W261)="","",INDEX('Per Invoice'!P$2:P$801,$W261)))</f>
        <v/>
      </c>
      <c r="Q261" s="7">
        <f>IF($W261="","",IF(INDEX('Per Invoice'!Q$2:Q$801,$W261)="","",INDEX('Per Invoice'!Q$2:Q$801,$W261)))</f>
        <v/>
      </c>
      <c r="R261" s="7">
        <f>IF($W261="","",IF(INDEX('Per Invoice'!R$2:R$801,$W261)="","",INDEX('Per Invoice'!R$2:R$801,$W261)))</f>
        <v/>
      </c>
      <c r="S261" s="7">
        <f>IF($W261="","",IF(INDEX('Per Invoice'!S$2:S$801,$W261)="","",INDEX('Per Invoice'!S$2:S$801,$W261)))</f>
        <v/>
      </c>
      <c r="T261" s="7">
        <f>IF($W261="","",IF(INDEX('Per Invoice'!T$2:T$801,$W261)="","",INDEX('Per Invoice'!T$2:T$801,$W261)))</f>
        <v/>
      </c>
      <c r="U261" s="7">
        <f>IF($W261="","",IF(INDEX('Per Invoice'!U$2:U$801,$W261)="","",INDEX('Per Invoice'!U$2:U$801,$W261)))</f>
        <v/>
      </c>
      <c r="V261" s="7">
        <f>IF($W261="","",IF(INDEX('Per Invoice'!V$2:V$801,$W261)="","",INDEX('Per Invoice'!V$2:V$801,$W261)))</f>
        <v/>
      </c>
      <c r="W261" s="16">
        <f>IFERROR(MATCH(Settings!$C$31&amp;"|"&amp;ROWS($W$2:$W261),'Per Invoice'!$X$2:$X$801,0),"")</f>
        <v/>
      </c>
    </row>
    <row r="262">
      <c r="A262">
        <f>IF($W262="","",IF(INDEX('Per Invoice'!A$2:A$801,$W262)="","",INDEX('Per Invoice'!A$2:A$801,$W262)))</f>
        <v/>
      </c>
      <c r="B262">
        <f>IF($W262="","",IF(INDEX('Per Invoice'!B$2:B$801,$W262)="","",INDEX('Per Invoice'!B$2:B$801,$W262)))</f>
        <v/>
      </c>
      <c r="C262">
        <f>IF($W262="","",IF(INDEX('Per Invoice'!C$2:C$801,$W262)="","",INDEX('Per Invoice'!C$2:C$801,$W262)))</f>
        <v/>
      </c>
      <c r="D262">
        <f>IF($W262="","",IF(INDEX('Per Invoice'!D$2:D$801,$W262)="","",INDEX('Per Invoice'!D$2:D$801,$W262)))</f>
        <v/>
      </c>
      <c r="E262">
        <f>IF($W262="","",IF(INDEX('Per Invoice'!E$2:E$801,$W262)="","",INDEX('Per Invoice'!E$2:E$801,$W262)))</f>
        <v/>
      </c>
      <c r="F262">
        <f>IF($W262="","",IF(INDEX('Per Invoice'!F$2:F$801,$W262)="","",INDEX('Per Invoice'!F$2:F$801,$W262)))</f>
        <v/>
      </c>
      <c r="G262">
        <f>IF($W262="","",IF(INDEX('Per Invoice'!G$2:G$801,$W262)="","",INDEX('Per Invoice'!G$2:G$801,$W262)))</f>
        <v/>
      </c>
      <c r="H262">
        <f>IF($W262="","",IF(INDEX('Per Invoice'!H$2:H$801,$W262)="","",INDEX('Per Invoice'!H$2:H$801,$W262)))</f>
        <v/>
      </c>
      <c r="I262">
        <f>IF($W262="","",IF(INDEX('Per Invoice'!I$2:I$801,$W262)="","",INDEX('Per Invoice'!I$2:I$801,$W262)))</f>
        <v/>
      </c>
      <c r="J262">
        <f>IF($W262="","",IF(INDEX('Per Invoice'!J$2:J$801,$W262)="","",INDEX('Per Invoice'!J$2:J$801,$W262)))</f>
        <v/>
      </c>
      <c r="K262" s="7">
        <f>IF($W262="","",IF(INDEX('Per Invoice'!K$2:K$801,$W262)="","",INDEX('Per Invoice'!K$2:K$801,$W262)))</f>
        <v/>
      </c>
      <c r="L262" s="14">
        <f>IF($W262="","",IF(INDEX('Per Invoice'!L$2:L$801,$W262)="","",INDEX('Per Invoice'!L$2:L$801,$W262)))</f>
        <v/>
      </c>
      <c r="M262">
        <f>IF($W262="","",IF(INDEX('Per Invoice'!M$2:M$801,$W262)="","",INDEX('Per Invoice'!M$2:M$801,$W262)))</f>
        <v/>
      </c>
      <c r="N262" s="7">
        <f>IF($W262="","",IF(INDEX('Per Invoice'!N$2:N$801,$W262)="","",INDEX('Per Invoice'!N$2:N$801,$W262)))</f>
        <v/>
      </c>
      <c r="O262" s="7">
        <f>IF($W262="","",IF(INDEX('Per Invoice'!O$2:O$801,$W262)="","",INDEX('Per Invoice'!O$2:O$801,$W262)))</f>
        <v/>
      </c>
      <c r="P262">
        <f>IF($W262="","",IF(INDEX('Per Invoice'!P$2:P$801,$W262)="","",INDEX('Per Invoice'!P$2:P$801,$W262)))</f>
        <v/>
      </c>
      <c r="Q262" s="7">
        <f>IF($W262="","",IF(INDEX('Per Invoice'!Q$2:Q$801,$W262)="","",INDEX('Per Invoice'!Q$2:Q$801,$W262)))</f>
        <v/>
      </c>
      <c r="R262" s="7">
        <f>IF($W262="","",IF(INDEX('Per Invoice'!R$2:R$801,$W262)="","",INDEX('Per Invoice'!R$2:R$801,$W262)))</f>
        <v/>
      </c>
      <c r="S262" s="7">
        <f>IF($W262="","",IF(INDEX('Per Invoice'!S$2:S$801,$W262)="","",INDEX('Per Invoice'!S$2:S$801,$W262)))</f>
        <v/>
      </c>
      <c r="T262" s="7">
        <f>IF($W262="","",IF(INDEX('Per Invoice'!T$2:T$801,$W262)="","",INDEX('Per Invoice'!T$2:T$801,$W262)))</f>
        <v/>
      </c>
      <c r="U262" s="7">
        <f>IF($W262="","",IF(INDEX('Per Invoice'!U$2:U$801,$W262)="","",INDEX('Per Invoice'!U$2:U$801,$W262)))</f>
        <v/>
      </c>
      <c r="V262" s="7">
        <f>IF($W262="","",IF(INDEX('Per Invoice'!V$2:V$801,$W262)="","",INDEX('Per Invoice'!V$2:V$801,$W262)))</f>
        <v/>
      </c>
      <c r="W262" s="16">
        <f>IFERROR(MATCH(Settings!$C$31&amp;"|"&amp;ROWS($W$2:$W262),'Per Invoice'!$X$2:$X$801,0),"")</f>
        <v/>
      </c>
    </row>
    <row r="263">
      <c r="A263">
        <f>IF($W263="","",IF(INDEX('Per Invoice'!A$2:A$801,$W263)="","",INDEX('Per Invoice'!A$2:A$801,$W263)))</f>
        <v/>
      </c>
      <c r="B263">
        <f>IF($W263="","",IF(INDEX('Per Invoice'!B$2:B$801,$W263)="","",INDEX('Per Invoice'!B$2:B$801,$W263)))</f>
        <v/>
      </c>
      <c r="C263">
        <f>IF($W263="","",IF(INDEX('Per Invoice'!C$2:C$801,$W263)="","",INDEX('Per Invoice'!C$2:C$801,$W263)))</f>
        <v/>
      </c>
      <c r="D263">
        <f>IF($W263="","",IF(INDEX('Per Invoice'!D$2:D$801,$W263)="","",INDEX('Per Invoice'!D$2:D$801,$W263)))</f>
        <v/>
      </c>
      <c r="E263">
        <f>IF($W263="","",IF(INDEX('Per Invoice'!E$2:E$801,$W263)="","",INDEX('Per Invoice'!E$2:E$801,$W263)))</f>
        <v/>
      </c>
      <c r="F263">
        <f>IF($W263="","",IF(INDEX('Per Invoice'!F$2:F$801,$W263)="","",INDEX('Per Invoice'!F$2:F$801,$W263)))</f>
        <v/>
      </c>
      <c r="G263">
        <f>IF($W263="","",IF(INDEX('Per Invoice'!G$2:G$801,$W263)="","",INDEX('Per Invoice'!G$2:G$801,$W263)))</f>
        <v/>
      </c>
      <c r="H263">
        <f>IF($W263="","",IF(INDEX('Per Invoice'!H$2:H$801,$W263)="","",INDEX('Per Invoice'!H$2:H$801,$W263)))</f>
        <v/>
      </c>
      <c r="I263">
        <f>IF($W263="","",IF(INDEX('Per Invoice'!I$2:I$801,$W263)="","",INDEX('Per Invoice'!I$2:I$801,$W263)))</f>
        <v/>
      </c>
      <c r="J263">
        <f>IF($W263="","",IF(INDEX('Per Invoice'!J$2:J$801,$W263)="","",INDEX('Per Invoice'!J$2:J$801,$W263)))</f>
        <v/>
      </c>
      <c r="K263" s="7">
        <f>IF($W263="","",IF(INDEX('Per Invoice'!K$2:K$801,$W263)="","",INDEX('Per Invoice'!K$2:K$801,$W263)))</f>
        <v/>
      </c>
      <c r="L263" s="14">
        <f>IF($W263="","",IF(INDEX('Per Invoice'!L$2:L$801,$W263)="","",INDEX('Per Invoice'!L$2:L$801,$W263)))</f>
        <v/>
      </c>
      <c r="M263">
        <f>IF($W263="","",IF(INDEX('Per Invoice'!M$2:M$801,$W263)="","",INDEX('Per Invoice'!M$2:M$801,$W263)))</f>
        <v/>
      </c>
      <c r="N263" s="7">
        <f>IF($W263="","",IF(INDEX('Per Invoice'!N$2:N$801,$W263)="","",INDEX('Per Invoice'!N$2:N$801,$W263)))</f>
        <v/>
      </c>
      <c r="O263" s="7">
        <f>IF($W263="","",IF(INDEX('Per Invoice'!O$2:O$801,$W263)="","",INDEX('Per Invoice'!O$2:O$801,$W263)))</f>
        <v/>
      </c>
      <c r="P263">
        <f>IF($W263="","",IF(INDEX('Per Invoice'!P$2:P$801,$W263)="","",INDEX('Per Invoice'!P$2:P$801,$W263)))</f>
        <v/>
      </c>
      <c r="Q263" s="7">
        <f>IF($W263="","",IF(INDEX('Per Invoice'!Q$2:Q$801,$W263)="","",INDEX('Per Invoice'!Q$2:Q$801,$W263)))</f>
        <v/>
      </c>
      <c r="R263" s="7">
        <f>IF($W263="","",IF(INDEX('Per Invoice'!R$2:R$801,$W263)="","",INDEX('Per Invoice'!R$2:R$801,$W263)))</f>
        <v/>
      </c>
      <c r="S263" s="7">
        <f>IF($W263="","",IF(INDEX('Per Invoice'!S$2:S$801,$W263)="","",INDEX('Per Invoice'!S$2:S$801,$W263)))</f>
        <v/>
      </c>
      <c r="T263" s="7">
        <f>IF($W263="","",IF(INDEX('Per Invoice'!T$2:T$801,$W263)="","",INDEX('Per Invoice'!T$2:T$801,$W263)))</f>
        <v/>
      </c>
      <c r="U263" s="7">
        <f>IF($W263="","",IF(INDEX('Per Invoice'!U$2:U$801,$W263)="","",INDEX('Per Invoice'!U$2:U$801,$W263)))</f>
        <v/>
      </c>
      <c r="V263" s="7">
        <f>IF($W263="","",IF(INDEX('Per Invoice'!V$2:V$801,$W263)="","",INDEX('Per Invoice'!V$2:V$801,$W263)))</f>
        <v/>
      </c>
      <c r="W263" s="16">
        <f>IFERROR(MATCH(Settings!$C$31&amp;"|"&amp;ROWS($W$2:$W263),'Per Invoice'!$X$2:$X$801,0),"")</f>
        <v/>
      </c>
    </row>
    <row r="264">
      <c r="A264">
        <f>IF($W264="","",IF(INDEX('Per Invoice'!A$2:A$801,$W264)="","",INDEX('Per Invoice'!A$2:A$801,$W264)))</f>
        <v/>
      </c>
      <c r="B264">
        <f>IF($W264="","",IF(INDEX('Per Invoice'!B$2:B$801,$W264)="","",INDEX('Per Invoice'!B$2:B$801,$W264)))</f>
        <v/>
      </c>
      <c r="C264">
        <f>IF($W264="","",IF(INDEX('Per Invoice'!C$2:C$801,$W264)="","",INDEX('Per Invoice'!C$2:C$801,$W264)))</f>
        <v/>
      </c>
      <c r="D264">
        <f>IF($W264="","",IF(INDEX('Per Invoice'!D$2:D$801,$W264)="","",INDEX('Per Invoice'!D$2:D$801,$W264)))</f>
        <v/>
      </c>
      <c r="E264">
        <f>IF($W264="","",IF(INDEX('Per Invoice'!E$2:E$801,$W264)="","",INDEX('Per Invoice'!E$2:E$801,$W264)))</f>
        <v/>
      </c>
      <c r="F264">
        <f>IF($W264="","",IF(INDEX('Per Invoice'!F$2:F$801,$W264)="","",INDEX('Per Invoice'!F$2:F$801,$W264)))</f>
        <v/>
      </c>
      <c r="G264">
        <f>IF($W264="","",IF(INDEX('Per Invoice'!G$2:G$801,$W264)="","",INDEX('Per Invoice'!G$2:G$801,$W264)))</f>
        <v/>
      </c>
      <c r="H264">
        <f>IF($W264="","",IF(INDEX('Per Invoice'!H$2:H$801,$W264)="","",INDEX('Per Invoice'!H$2:H$801,$W264)))</f>
        <v/>
      </c>
      <c r="I264">
        <f>IF($W264="","",IF(INDEX('Per Invoice'!I$2:I$801,$W264)="","",INDEX('Per Invoice'!I$2:I$801,$W264)))</f>
        <v/>
      </c>
      <c r="J264">
        <f>IF($W264="","",IF(INDEX('Per Invoice'!J$2:J$801,$W264)="","",INDEX('Per Invoice'!J$2:J$801,$W264)))</f>
        <v/>
      </c>
      <c r="K264" s="7">
        <f>IF($W264="","",IF(INDEX('Per Invoice'!K$2:K$801,$W264)="","",INDEX('Per Invoice'!K$2:K$801,$W264)))</f>
        <v/>
      </c>
      <c r="L264" s="14">
        <f>IF($W264="","",IF(INDEX('Per Invoice'!L$2:L$801,$W264)="","",INDEX('Per Invoice'!L$2:L$801,$W264)))</f>
        <v/>
      </c>
      <c r="M264">
        <f>IF($W264="","",IF(INDEX('Per Invoice'!M$2:M$801,$W264)="","",INDEX('Per Invoice'!M$2:M$801,$W264)))</f>
        <v/>
      </c>
      <c r="N264" s="7">
        <f>IF($W264="","",IF(INDEX('Per Invoice'!N$2:N$801,$W264)="","",INDEX('Per Invoice'!N$2:N$801,$W264)))</f>
        <v/>
      </c>
      <c r="O264" s="7">
        <f>IF($W264="","",IF(INDEX('Per Invoice'!O$2:O$801,$W264)="","",INDEX('Per Invoice'!O$2:O$801,$W264)))</f>
        <v/>
      </c>
      <c r="P264">
        <f>IF($W264="","",IF(INDEX('Per Invoice'!P$2:P$801,$W264)="","",INDEX('Per Invoice'!P$2:P$801,$W264)))</f>
        <v/>
      </c>
      <c r="Q264" s="7">
        <f>IF($W264="","",IF(INDEX('Per Invoice'!Q$2:Q$801,$W264)="","",INDEX('Per Invoice'!Q$2:Q$801,$W264)))</f>
        <v/>
      </c>
      <c r="R264" s="7">
        <f>IF($W264="","",IF(INDEX('Per Invoice'!R$2:R$801,$W264)="","",INDEX('Per Invoice'!R$2:R$801,$W264)))</f>
        <v/>
      </c>
      <c r="S264" s="7">
        <f>IF($W264="","",IF(INDEX('Per Invoice'!S$2:S$801,$W264)="","",INDEX('Per Invoice'!S$2:S$801,$W264)))</f>
        <v/>
      </c>
      <c r="T264" s="7">
        <f>IF($W264="","",IF(INDEX('Per Invoice'!T$2:T$801,$W264)="","",INDEX('Per Invoice'!T$2:T$801,$W264)))</f>
        <v/>
      </c>
      <c r="U264" s="7">
        <f>IF($W264="","",IF(INDEX('Per Invoice'!U$2:U$801,$W264)="","",INDEX('Per Invoice'!U$2:U$801,$W264)))</f>
        <v/>
      </c>
      <c r="V264" s="7">
        <f>IF($W264="","",IF(INDEX('Per Invoice'!V$2:V$801,$W264)="","",INDEX('Per Invoice'!V$2:V$801,$W264)))</f>
        <v/>
      </c>
      <c r="W264" s="16">
        <f>IFERROR(MATCH(Settings!$C$31&amp;"|"&amp;ROWS($W$2:$W264),'Per Invoice'!$X$2:$X$801,0),"")</f>
        <v/>
      </c>
    </row>
    <row r="265">
      <c r="A265">
        <f>IF($W265="","",IF(INDEX('Per Invoice'!A$2:A$801,$W265)="","",INDEX('Per Invoice'!A$2:A$801,$W265)))</f>
        <v/>
      </c>
      <c r="B265">
        <f>IF($W265="","",IF(INDEX('Per Invoice'!B$2:B$801,$W265)="","",INDEX('Per Invoice'!B$2:B$801,$W265)))</f>
        <v/>
      </c>
      <c r="C265">
        <f>IF($W265="","",IF(INDEX('Per Invoice'!C$2:C$801,$W265)="","",INDEX('Per Invoice'!C$2:C$801,$W265)))</f>
        <v/>
      </c>
      <c r="D265">
        <f>IF($W265="","",IF(INDEX('Per Invoice'!D$2:D$801,$W265)="","",INDEX('Per Invoice'!D$2:D$801,$W265)))</f>
        <v/>
      </c>
      <c r="E265">
        <f>IF($W265="","",IF(INDEX('Per Invoice'!E$2:E$801,$W265)="","",INDEX('Per Invoice'!E$2:E$801,$W265)))</f>
        <v/>
      </c>
      <c r="F265">
        <f>IF($W265="","",IF(INDEX('Per Invoice'!F$2:F$801,$W265)="","",INDEX('Per Invoice'!F$2:F$801,$W265)))</f>
        <v/>
      </c>
      <c r="G265">
        <f>IF($W265="","",IF(INDEX('Per Invoice'!G$2:G$801,$W265)="","",INDEX('Per Invoice'!G$2:G$801,$W265)))</f>
        <v/>
      </c>
      <c r="H265">
        <f>IF($W265="","",IF(INDEX('Per Invoice'!H$2:H$801,$W265)="","",INDEX('Per Invoice'!H$2:H$801,$W265)))</f>
        <v/>
      </c>
      <c r="I265">
        <f>IF($W265="","",IF(INDEX('Per Invoice'!I$2:I$801,$W265)="","",INDEX('Per Invoice'!I$2:I$801,$W265)))</f>
        <v/>
      </c>
      <c r="J265">
        <f>IF($W265="","",IF(INDEX('Per Invoice'!J$2:J$801,$W265)="","",INDEX('Per Invoice'!J$2:J$801,$W265)))</f>
        <v/>
      </c>
      <c r="K265" s="7">
        <f>IF($W265="","",IF(INDEX('Per Invoice'!K$2:K$801,$W265)="","",INDEX('Per Invoice'!K$2:K$801,$W265)))</f>
        <v/>
      </c>
      <c r="L265" s="14">
        <f>IF($W265="","",IF(INDEX('Per Invoice'!L$2:L$801,$W265)="","",INDEX('Per Invoice'!L$2:L$801,$W265)))</f>
        <v/>
      </c>
      <c r="M265">
        <f>IF($W265="","",IF(INDEX('Per Invoice'!M$2:M$801,$W265)="","",INDEX('Per Invoice'!M$2:M$801,$W265)))</f>
        <v/>
      </c>
      <c r="N265" s="7">
        <f>IF($W265="","",IF(INDEX('Per Invoice'!N$2:N$801,$W265)="","",INDEX('Per Invoice'!N$2:N$801,$W265)))</f>
        <v/>
      </c>
      <c r="O265" s="7">
        <f>IF($W265="","",IF(INDEX('Per Invoice'!O$2:O$801,$W265)="","",INDEX('Per Invoice'!O$2:O$801,$W265)))</f>
        <v/>
      </c>
      <c r="P265">
        <f>IF($W265="","",IF(INDEX('Per Invoice'!P$2:P$801,$W265)="","",INDEX('Per Invoice'!P$2:P$801,$W265)))</f>
        <v/>
      </c>
      <c r="Q265" s="7">
        <f>IF($W265="","",IF(INDEX('Per Invoice'!Q$2:Q$801,$W265)="","",INDEX('Per Invoice'!Q$2:Q$801,$W265)))</f>
        <v/>
      </c>
      <c r="R265" s="7">
        <f>IF($W265="","",IF(INDEX('Per Invoice'!R$2:R$801,$W265)="","",INDEX('Per Invoice'!R$2:R$801,$W265)))</f>
        <v/>
      </c>
      <c r="S265" s="7">
        <f>IF($W265="","",IF(INDEX('Per Invoice'!S$2:S$801,$W265)="","",INDEX('Per Invoice'!S$2:S$801,$W265)))</f>
        <v/>
      </c>
      <c r="T265" s="7">
        <f>IF($W265="","",IF(INDEX('Per Invoice'!T$2:T$801,$W265)="","",INDEX('Per Invoice'!T$2:T$801,$W265)))</f>
        <v/>
      </c>
      <c r="U265" s="7">
        <f>IF($W265="","",IF(INDEX('Per Invoice'!U$2:U$801,$W265)="","",INDEX('Per Invoice'!U$2:U$801,$W265)))</f>
        <v/>
      </c>
      <c r="V265" s="7">
        <f>IF($W265="","",IF(INDEX('Per Invoice'!V$2:V$801,$W265)="","",INDEX('Per Invoice'!V$2:V$801,$W265)))</f>
        <v/>
      </c>
      <c r="W265" s="16">
        <f>IFERROR(MATCH(Settings!$C$31&amp;"|"&amp;ROWS($W$2:$W265),'Per Invoice'!$X$2:$X$801,0),"")</f>
        <v/>
      </c>
    </row>
    <row r="266">
      <c r="A266">
        <f>IF($W266="","",IF(INDEX('Per Invoice'!A$2:A$801,$W266)="","",INDEX('Per Invoice'!A$2:A$801,$W266)))</f>
        <v/>
      </c>
      <c r="B266">
        <f>IF($W266="","",IF(INDEX('Per Invoice'!B$2:B$801,$W266)="","",INDEX('Per Invoice'!B$2:B$801,$W266)))</f>
        <v/>
      </c>
      <c r="C266">
        <f>IF($W266="","",IF(INDEX('Per Invoice'!C$2:C$801,$W266)="","",INDEX('Per Invoice'!C$2:C$801,$W266)))</f>
        <v/>
      </c>
      <c r="D266">
        <f>IF($W266="","",IF(INDEX('Per Invoice'!D$2:D$801,$W266)="","",INDEX('Per Invoice'!D$2:D$801,$W266)))</f>
        <v/>
      </c>
      <c r="E266">
        <f>IF($W266="","",IF(INDEX('Per Invoice'!E$2:E$801,$W266)="","",INDEX('Per Invoice'!E$2:E$801,$W266)))</f>
        <v/>
      </c>
      <c r="F266">
        <f>IF($W266="","",IF(INDEX('Per Invoice'!F$2:F$801,$W266)="","",INDEX('Per Invoice'!F$2:F$801,$W266)))</f>
        <v/>
      </c>
      <c r="G266">
        <f>IF($W266="","",IF(INDEX('Per Invoice'!G$2:G$801,$W266)="","",INDEX('Per Invoice'!G$2:G$801,$W266)))</f>
        <v/>
      </c>
      <c r="H266">
        <f>IF($W266="","",IF(INDEX('Per Invoice'!H$2:H$801,$W266)="","",INDEX('Per Invoice'!H$2:H$801,$W266)))</f>
        <v/>
      </c>
      <c r="I266">
        <f>IF($W266="","",IF(INDEX('Per Invoice'!I$2:I$801,$W266)="","",INDEX('Per Invoice'!I$2:I$801,$W266)))</f>
        <v/>
      </c>
      <c r="J266">
        <f>IF($W266="","",IF(INDEX('Per Invoice'!J$2:J$801,$W266)="","",INDEX('Per Invoice'!J$2:J$801,$W266)))</f>
        <v/>
      </c>
      <c r="K266" s="7">
        <f>IF($W266="","",IF(INDEX('Per Invoice'!K$2:K$801,$W266)="","",INDEX('Per Invoice'!K$2:K$801,$W266)))</f>
        <v/>
      </c>
      <c r="L266" s="14">
        <f>IF($W266="","",IF(INDEX('Per Invoice'!L$2:L$801,$W266)="","",INDEX('Per Invoice'!L$2:L$801,$W266)))</f>
        <v/>
      </c>
      <c r="M266">
        <f>IF($W266="","",IF(INDEX('Per Invoice'!M$2:M$801,$W266)="","",INDEX('Per Invoice'!M$2:M$801,$W266)))</f>
        <v/>
      </c>
      <c r="N266" s="7">
        <f>IF($W266="","",IF(INDEX('Per Invoice'!N$2:N$801,$W266)="","",INDEX('Per Invoice'!N$2:N$801,$W266)))</f>
        <v/>
      </c>
      <c r="O266" s="7">
        <f>IF($W266="","",IF(INDEX('Per Invoice'!O$2:O$801,$W266)="","",INDEX('Per Invoice'!O$2:O$801,$W266)))</f>
        <v/>
      </c>
      <c r="P266">
        <f>IF($W266="","",IF(INDEX('Per Invoice'!P$2:P$801,$W266)="","",INDEX('Per Invoice'!P$2:P$801,$W266)))</f>
        <v/>
      </c>
      <c r="Q266" s="7">
        <f>IF($W266="","",IF(INDEX('Per Invoice'!Q$2:Q$801,$W266)="","",INDEX('Per Invoice'!Q$2:Q$801,$W266)))</f>
        <v/>
      </c>
      <c r="R266" s="7">
        <f>IF($W266="","",IF(INDEX('Per Invoice'!R$2:R$801,$W266)="","",INDEX('Per Invoice'!R$2:R$801,$W266)))</f>
        <v/>
      </c>
      <c r="S266" s="7">
        <f>IF($W266="","",IF(INDEX('Per Invoice'!S$2:S$801,$W266)="","",INDEX('Per Invoice'!S$2:S$801,$W266)))</f>
        <v/>
      </c>
      <c r="T266" s="7">
        <f>IF($W266="","",IF(INDEX('Per Invoice'!T$2:T$801,$W266)="","",INDEX('Per Invoice'!T$2:T$801,$W266)))</f>
        <v/>
      </c>
      <c r="U266" s="7">
        <f>IF($W266="","",IF(INDEX('Per Invoice'!U$2:U$801,$W266)="","",INDEX('Per Invoice'!U$2:U$801,$W266)))</f>
        <v/>
      </c>
      <c r="V266" s="7">
        <f>IF($W266="","",IF(INDEX('Per Invoice'!V$2:V$801,$W266)="","",INDEX('Per Invoice'!V$2:V$801,$W266)))</f>
        <v/>
      </c>
      <c r="W266" s="16">
        <f>IFERROR(MATCH(Settings!$C$31&amp;"|"&amp;ROWS($W$2:$W266),'Per Invoice'!$X$2:$X$801,0),"")</f>
        <v/>
      </c>
    </row>
    <row r="267">
      <c r="A267">
        <f>IF($W267="","",IF(INDEX('Per Invoice'!A$2:A$801,$W267)="","",INDEX('Per Invoice'!A$2:A$801,$W267)))</f>
        <v/>
      </c>
      <c r="B267">
        <f>IF($W267="","",IF(INDEX('Per Invoice'!B$2:B$801,$W267)="","",INDEX('Per Invoice'!B$2:B$801,$W267)))</f>
        <v/>
      </c>
      <c r="C267">
        <f>IF($W267="","",IF(INDEX('Per Invoice'!C$2:C$801,$W267)="","",INDEX('Per Invoice'!C$2:C$801,$W267)))</f>
        <v/>
      </c>
      <c r="D267">
        <f>IF($W267="","",IF(INDEX('Per Invoice'!D$2:D$801,$W267)="","",INDEX('Per Invoice'!D$2:D$801,$W267)))</f>
        <v/>
      </c>
      <c r="E267">
        <f>IF($W267="","",IF(INDEX('Per Invoice'!E$2:E$801,$W267)="","",INDEX('Per Invoice'!E$2:E$801,$W267)))</f>
        <v/>
      </c>
      <c r="F267">
        <f>IF($W267="","",IF(INDEX('Per Invoice'!F$2:F$801,$W267)="","",INDEX('Per Invoice'!F$2:F$801,$W267)))</f>
        <v/>
      </c>
      <c r="G267">
        <f>IF($W267="","",IF(INDEX('Per Invoice'!G$2:G$801,$W267)="","",INDEX('Per Invoice'!G$2:G$801,$W267)))</f>
        <v/>
      </c>
      <c r="H267">
        <f>IF($W267="","",IF(INDEX('Per Invoice'!H$2:H$801,$W267)="","",INDEX('Per Invoice'!H$2:H$801,$W267)))</f>
        <v/>
      </c>
      <c r="I267">
        <f>IF($W267="","",IF(INDEX('Per Invoice'!I$2:I$801,$W267)="","",INDEX('Per Invoice'!I$2:I$801,$W267)))</f>
        <v/>
      </c>
      <c r="J267">
        <f>IF($W267="","",IF(INDEX('Per Invoice'!J$2:J$801,$W267)="","",INDEX('Per Invoice'!J$2:J$801,$W267)))</f>
        <v/>
      </c>
      <c r="K267" s="7">
        <f>IF($W267="","",IF(INDEX('Per Invoice'!K$2:K$801,$W267)="","",INDEX('Per Invoice'!K$2:K$801,$W267)))</f>
        <v/>
      </c>
      <c r="L267" s="14">
        <f>IF($W267="","",IF(INDEX('Per Invoice'!L$2:L$801,$W267)="","",INDEX('Per Invoice'!L$2:L$801,$W267)))</f>
        <v/>
      </c>
      <c r="M267">
        <f>IF($W267="","",IF(INDEX('Per Invoice'!M$2:M$801,$W267)="","",INDEX('Per Invoice'!M$2:M$801,$W267)))</f>
        <v/>
      </c>
      <c r="N267" s="7">
        <f>IF($W267="","",IF(INDEX('Per Invoice'!N$2:N$801,$W267)="","",INDEX('Per Invoice'!N$2:N$801,$W267)))</f>
        <v/>
      </c>
      <c r="O267" s="7">
        <f>IF($W267="","",IF(INDEX('Per Invoice'!O$2:O$801,$W267)="","",INDEX('Per Invoice'!O$2:O$801,$W267)))</f>
        <v/>
      </c>
      <c r="P267">
        <f>IF($W267="","",IF(INDEX('Per Invoice'!P$2:P$801,$W267)="","",INDEX('Per Invoice'!P$2:P$801,$W267)))</f>
        <v/>
      </c>
      <c r="Q267" s="7">
        <f>IF($W267="","",IF(INDEX('Per Invoice'!Q$2:Q$801,$W267)="","",INDEX('Per Invoice'!Q$2:Q$801,$W267)))</f>
        <v/>
      </c>
      <c r="R267" s="7">
        <f>IF($W267="","",IF(INDEX('Per Invoice'!R$2:R$801,$W267)="","",INDEX('Per Invoice'!R$2:R$801,$W267)))</f>
        <v/>
      </c>
      <c r="S267" s="7">
        <f>IF($W267="","",IF(INDEX('Per Invoice'!S$2:S$801,$W267)="","",INDEX('Per Invoice'!S$2:S$801,$W267)))</f>
        <v/>
      </c>
      <c r="T267" s="7">
        <f>IF($W267="","",IF(INDEX('Per Invoice'!T$2:T$801,$W267)="","",INDEX('Per Invoice'!T$2:T$801,$W267)))</f>
        <v/>
      </c>
      <c r="U267" s="7">
        <f>IF($W267="","",IF(INDEX('Per Invoice'!U$2:U$801,$W267)="","",INDEX('Per Invoice'!U$2:U$801,$W267)))</f>
        <v/>
      </c>
      <c r="V267" s="7">
        <f>IF($W267="","",IF(INDEX('Per Invoice'!V$2:V$801,$W267)="","",INDEX('Per Invoice'!V$2:V$801,$W267)))</f>
        <v/>
      </c>
      <c r="W267" s="16">
        <f>IFERROR(MATCH(Settings!$C$31&amp;"|"&amp;ROWS($W$2:$W267),'Per Invoice'!$X$2:$X$801,0),"")</f>
        <v/>
      </c>
    </row>
    <row r="268">
      <c r="A268">
        <f>IF($W268="","",IF(INDEX('Per Invoice'!A$2:A$801,$W268)="","",INDEX('Per Invoice'!A$2:A$801,$W268)))</f>
        <v/>
      </c>
      <c r="B268">
        <f>IF($W268="","",IF(INDEX('Per Invoice'!B$2:B$801,$W268)="","",INDEX('Per Invoice'!B$2:B$801,$W268)))</f>
        <v/>
      </c>
      <c r="C268">
        <f>IF($W268="","",IF(INDEX('Per Invoice'!C$2:C$801,$W268)="","",INDEX('Per Invoice'!C$2:C$801,$W268)))</f>
        <v/>
      </c>
      <c r="D268">
        <f>IF($W268="","",IF(INDEX('Per Invoice'!D$2:D$801,$W268)="","",INDEX('Per Invoice'!D$2:D$801,$W268)))</f>
        <v/>
      </c>
      <c r="E268">
        <f>IF($W268="","",IF(INDEX('Per Invoice'!E$2:E$801,$W268)="","",INDEX('Per Invoice'!E$2:E$801,$W268)))</f>
        <v/>
      </c>
      <c r="F268">
        <f>IF($W268="","",IF(INDEX('Per Invoice'!F$2:F$801,$W268)="","",INDEX('Per Invoice'!F$2:F$801,$W268)))</f>
        <v/>
      </c>
      <c r="G268">
        <f>IF($W268="","",IF(INDEX('Per Invoice'!G$2:G$801,$W268)="","",INDEX('Per Invoice'!G$2:G$801,$W268)))</f>
        <v/>
      </c>
      <c r="H268">
        <f>IF($W268="","",IF(INDEX('Per Invoice'!H$2:H$801,$W268)="","",INDEX('Per Invoice'!H$2:H$801,$W268)))</f>
        <v/>
      </c>
      <c r="I268">
        <f>IF($W268="","",IF(INDEX('Per Invoice'!I$2:I$801,$W268)="","",INDEX('Per Invoice'!I$2:I$801,$W268)))</f>
        <v/>
      </c>
      <c r="J268">
        <f>IF($W268="","",IF(INDEX('Per Invoice'!J$2:J$801,$W268)="","",INDEX('Per Invoice'!J$2:J$801,$W268)))</f>
        <v/>
      </c>
      <c r="K268" s="7">
        <f>IF($W268="","",IF(INDEX('Per Invoice'!K$2:K$801,$W268)="","",INDEX('Per Invoice'!K$2:K$801,$W268)))</f>
        <v/>
      </c>
      <c r="L268" s="14">
        <f>IF($W268="","",IF(INDEX('Per Invoice'!L$2:L$801,$W268)="","",INDEX('Per Invoice'!L$2:L$801,$W268)))</f>
        <v/>
      </c>
      <c r="M268">
        <f>IF($W268="","",IF(INDEX('Per Invoice'!M$2:M$801,$W268)="","",INDEX('Per Invoice'!M$2:M$801,$W268)))</f>
        <v/>
      </c>
      <c r="N268" s="7">
        <f>IF($W268="","",IF(INDEX('Per Invoice'!N$2:N$801,$W268)="","",INDEX('Per Invoice'!N$2:N$801,$W268)))</f>
        <v/>
      </c>
      <c r="O268" s="7">
        <f>IF($W268="","",IF(INDEX('Per Invoice'!O$2:O$801,$W268)="","",INDEX('Per Invoice'!O$2:O$801,$W268)))</f>
        <v/>
      </c>
      <c r="P268">
        <f>IF($W268="","",IF(INDEX('Per Invoice'!P$2:P$801,$W268)="","",INDEX('Per Invoice'!P$2:P$801,$W268)))</f>
        <v/>
      </c>
      <c r="Q268" s="7">
        <f>IF($W268="","",IF(INDEX('Per Invoice'!Q$2:Q$801,$W268)="","",INDEX('Per Invoice'!Q$2:Q$801,$W268)))</f>
        <v/>
      </c>
      <c r="R268" s="7">
        <f>IF($W268="","",IF(INDEX('Per Invoice'!R$2:R$801,$W268)="","",INDEX('Per Invoice'!R$2:R$801,$W268)))</f>
        <v/>
      </c>
      <c r="S268" s="7">
        <f>IF($W268="","",IF(INDEX('Per Invoice'!S$2:S$801,$W268)="","",INDEX('Per Invoice'!S$2:S$801,$W268)))</f>
        <v/>
      </c>
      <c r="T268" s="7">
        <f>IF($W268="","",IF(INDEX('Per Invoice'!T$2:T$801,$W268)="","",INDEX('Per Invoice'!T$2:T$801,$W268)))</f>
        <v/>
      </c>
      <c r="U268" s="7">
        <f>IF($W268="","",IF(INDEX('Per Invoice'!U$2:U$801,$W268)="","",INDEX('Per Invoice'!U$2:U$801,$W268)))</f>
        <v/>
      </c>
      <c r="V268" s="7">
        <f>IF($W268="","",IF(INDEX('Per Invoice'!V$2:V$801,$W268)="","",INDEX('Per Invoice'!V$2:V$801,$W268)))</f>
        <v/>
      </c>
      <c r="W268" s="16">
        <f>IFERROR(MATCH(Settings!$C$31&amp;"|"&amp;ROWS($W$2:$W268),'Per Invoice'!$X$2:$X$801,0),"")</f>
        <v/>
      </c>
    </row>
    <row r="269">
      <c r="A269">
        <f>IF($W269="","",IF(INDEX('Per Invoice'!A$2:A$801,$W269)="","",INDEX('Per Invoice'!A$2:A$801,$W269)))</f>
        <v/>
      </c>
      <c r="B269">
        <f>IF($W269="","",IF(INDEX('Per Invoice'!B$2:B$801,$W269)="","",INDEX('Per Invoice'!B$2:B$801,$W269)))</f>
        <v/>
      </c>
      <c r="C269">
        <f>IF($W269="","",IF(INDEX('Per Invoice'!C$2:C$801,$W269)="","",INDEX('Per Invoice'!C$2:C$801,$W269)))</f>
        <v/>
      </c>
      <c r="D269">
        <f>IF($W269="","",IF(INDEX('Per Invoice'!D$2:D$801,$W269)="","",INDEX('Per Invoice'!D$2:D$801,$W269)))</f>
        <v/>
      </c>
      <c r="E269">
        <f>IF($W269="","",IF(INDEX('Per Invoice'!E$2:E$801,$W269)="","",INDEX('Per Invoice'!E$2:E$801,$W269)))</f>
        <v/>
      </c>
      <c r="F269">
        <f>IF($W269="","",IF(INDEX('Per Invoice'!F$2:F$801,$W269)="","",INDEX('Per Invoice'!F$2:F$801,$W269)))</f>
        <v/>
      </c>
      <c r="G269">
        <f>IF($W269="","",IF(INDEX('Per Invoice'!G$2:G$801,$W269)="","",INDEX('Per Invoice'!G$2:G$801,$W269)))</f>
        <v/>
      </c>
      <c r="H269">
        <f>IF($W269="","",IF(INDEX('Per Invoice'!H$2:H$801,$W269)="","",INDEX('Per Invoice'!H$2:H$801,$W269)))</f>
        <v/>
      </c>
      <c r="I269">
        <f>IF($W269="","",IF(INDEX('Per Invoice'!I$2:I$801,$W269)="","",INDEX('Per Invoice'!I$2:I$801,$W269)))</f>
        <v/>
      </c>
      <c r="J269">
        <f>IF($W269="","",IF(INDEX('Per Invoice'!J$2:J$801,$W269)="","",INDEX('Per Invoice'!J$2:J$801,$W269)))</f>
        <v/>
      </c>
      <c r="K269" s="7">
        <f>IF($W269="","",IF(INDEX('Per Invoice'!K$2:K$801,$W269)="","",INDEX('Per Invoice'!K$2:K$801,$W269)))</f>
        <v/>
      </c>
      <c r="L269" s="14">
        <f>IF($W269="","",IF(INDEX('Per Invoice'!L$2:L$801,$W269)="","",INDEX('Per Invoice'!L$2:L$801,$W269)))</f>
        <v/>
      </c>
      <c r="M269">
        <f>IF($W269="","",IF(INDEX('Per Invoice'!M$2:M$801,$W269)="","",INDEX('Per Invoice'!M$2:M$801,$W269)))</f>
        <v/>
      </c>
      <c r="N269" s="7">
        <f>IF($W269="","",IF(INDEX('Per Invoice'!N$2:N$801,$W269)="","",INDEX('Per Invoice'!N$2:N$801,$W269)))</f>
        <v/>
      </c>
      <c r="O269" s="7">
        <f>IF($W269="","",IF(INDEX('Per Invoice'!O$2:O$801,$W269)="","",INDEX('Per Invoice'!O$2:O$801,$W269)))</f>
        <v/>
      </c>
      <c r="P269">
        <f>IF($W269="","",IF(INDEX('Per Invoice'!P$2:P$801,$W269)="","",INDEX('Per Invoice'!P$2:P$801,$W269)))</f>
        <v/>
      </c>
      <c r="Q269" s="7">
        <f>IF($W269="","",IF(INDEX('Per Invoice'!Q$2:Q$801,$W269)="","",INDEX('Per Invoice'!Q$2:Q$801,$W269)))</f>
        <v/>
      </c>
      <c r="R269" s="7">
        <f>IF($W269="","",IF(INDEX('Per Invoice'!R$2:R$801,$W269)="","",INDEX('Per Invoice'!R$2:R$801,$W269)))</f>
        <v/>
      </c>
      <c r="S269" s="7">
        <f>IF($W269="","",IF(INDEX('Per Invoice'!S$2:S$801,$W269)="","",INDEX('Per Invoice'!S$2:S$801,$W269)))</f>
        <v/>
      </c>
      <c r="T269" s="7">
        <f>IF($W269="","",IF(INDEX('Per Invoice'!T$2:T$801,$W269)="","",INDEX('Per Invoice'!T$2:T$801,$W269)))</f>
        <v/>
      </c>
      <c r="U269" s="7">
        <f>IF($W269="","",IF(INDEX('Per Invoice'!U$2:U$801,$W269)="","",INDEX('Per Invoice'!U$2:U$801,$W269)))</f>
        <v/>
      </c>
      <c r="V269" s="7">
        <f>IF($W269="","",IF(INDEX('Per Invoice'!V$2:V$801,$W269)="","",INDEX('Per Invoice'!V$2:V$801,$W269)))</f>
        <v/>
      </c>
      <c r="W269" s="16">
        <f>IFERROR(MATCH(Settings!$C$31&amp;"|"&amp;ROWS($W$2:$W269),'Per Invoice'!$X$2:$X$801,0),"")</f>
        <v/>
      </c>
    </row>
    <row r="270">
      <c r="A270">
        <f>IF($W270="","",IF(INDEX('Per Invoice'!A$2:A$801,$W270)="","",INDEX('Per Invoice'!A$2:A$801,$W270)))</f>
        <v/>
      </c>
      <c r="B270">
        <f>IF($W270="","",IF(INDEX('Per Invoice'!B$2:B$801,$W270)="","",INDEX('Per Invoice'!B$2:B$801,$W270)))</f>
        <v/>
      </c>
      <c r="C270">
        <f>IF($W270="","",IF(INDEX('Per Invoice'!C$2:C$801,$W270)="","",INDEX('Per Invoice'!C$2:C$801,$W270)))</f>
        <v/>
      </c>
      <c r="D270">
        <f>IF($W270="","",IF(INDEX('Per Invoice'!D$2:D$801,$W270)="","",INDEX('Per Invoice'!D$2:D$801,$W270)))</f>
        <v/>
      </c>
      <c r="E270">
        <f>IF($W270="","",IF(INDEX('Per Invoice'!E$2:E$801,$W270)="","",INDEX('Per Invoice'!E$2:E$801,$W270)))</f>
        <v/>
      </c>
      <c r="F270">
        <f>IF($W270="","",IF(INDEX('Per Invoice'!F$2:F$801,$W270)="","",INDEX('Per Invoice'!F$2:F$801,$W270)))</f>
        <v/>
      </c>
      <c r="G270">
        <f>IF($W270="","",IF(INDEX('Per Invoice'!G$2:G$801,$W270)="","",INDEX('Per Invoice'!G$2:G$801,$W270)))</f>
        <v/>
      </c>
      <c r="H270">
        <f>IF($W270="","",IF(INDEX('Per Invoice'!H$2:H$801,$W270)="","",INDEX('Per Invoice'!H$2:H$801,$W270)))</f>
        <v/>
      </c>
      <c r="I270">
        <f>IF($W270="","",IF(INDEX('Per Invoice'!I$2:I$801,$W270)="","",INDEX('Per Invoice'!I$2:I$801,$W270)))</f>
        <v/>
      </c>
      <c r="J270">
        <f>IF($W270="","",IF(INDEX('Per Invoice'!J$2:J$801,$W270)="","",INDEX('Per Invoice'!J$2:J$801,$W270)))</f>
        <v/>
      </c>
      <c r="K270" s="7">
        <f>IF($W270="","",IF(INDEX('Per Invoice'!K$2:K$801,$W270)="","",INDEX('Per Invoice'!K$2:K$801,$W270)))</f>
        <v/>
      </c>
      <c r="L270" s="14">
        <f>IF($W270="","",IF(INDEX('Per Invoice'!L$2:L$801,$W270)="","",INDEX('Per Invoice'!L$2:L$801,$W270)))</f>
        <v/>
      </c>
      <c r="M270">
        <f>IF($W270="","",IF(INDEX('Per Invoice'!M$2:M$801,$W270)="","",INDEX('Per Invoice'!M$2:M$801,$W270)))</f>
        <v/>
      </c>
      <c r="N270" s="7">
        <f>IF($W270="","",IF(INDEX('Per Invoice'!N$2:N$801,$W270)="","",INDEX('Per Invoice'!N$2:N$801,$W270)))</f>
        <v/>
      </c>
      <c r="O270" s="7">
        <f>IF($W270="","",IF(INDEX('Per Invoice'!O$2:O$801,$W270)="","",INDEX('Per Invoice'!O$2:O$801,$W270)))</f>
        <v/>
      </c>
      <c r="P270">
        <f>IF($W270="","",IF(INDEX('Per Invoice'!P$2:P$801,$W270)="","",INDEX('Per Invoice'!P$2:P$801,$W270)))</f>
        <v/>
      </c>
      <c r="Q270" s="7">
        <f>IF($W270="","",IF(INDEX('Per Invoice'!Q$2:Q$801,$W270)="","",INDEX('Per Invoice'!Q$2:Q$801,$W270)))</f>
        <v/>
      </c>
      <c r="R270" s="7">
        <f>IF($W270="","",IF(INDEX('Per Invoice'!R$2:R$801,$W270)="","",INDEX('Per Invoice'!R$2:R$801,$W270)))</f>
        <v/>
      </c>
      <c r="S270" s="7">
        <f>IF($W270="","",IF(INDEX('Per Invoice'!S$2:S$801,$W270)="","",INDEX('Per Invoice'!S$2:S$801,$W270)))</f>
        <v/>
      </c>
      <c r="T270" s="7">
        <f>IF($W270="","",IF(INDEX('Per Invoice'!T$2:T$801,$W270)="","",INDEX('Per Invoice'!T$2:T$801,$W270)))</f>
        <v/>
      </c>
      <c r="U270" s="7">
        <f>IF($W270="","",IF(INDEX('Per Invoice'!U$2:U$801,$W270)="","",INDEX('Per Invoice'!U$2:U$801,$W270)))</f>
        <v/>
      </c>
      <c r="V270" s="7">
        <f>IF($W270="","",IF(INDEX('Per Invoice'!V$2:V$801,$W270)="","",INDEX('Per Invoice'!V$2:V$801,$W270)))</f>
        <v/>
      </c>
      <c r="W270" s="16">
        <f>IFERROR(MATCH(Settings!$C$31&amp;"|"&amp;ROWS($W$2:$W270),'Per Invoice'!$X$2:$X$801,0),"")</f>
        <v/>
      </c>
    </row>
    <row r="271">
      <c r="A271">
        <f>IF($W271="","",IF(INDEX('Per Invoice'!A$2:A$801,$W271)="","",INDEX('Per Invoice'!A$2:A$801,$W271)))</f>
        <v/>
      </c>
      <c r="B271">
        <f>IF($W271="","",IF(INDEX('Per Invoice'!B$2:B$801,$W271)="","",INDEX('Per Invoice'!B$2:B$801,$W271)))</f>
        <v/>
      </c>
      <c r="C271">
        <f>IF($W271="","",IF(INDEX('Per Invoice'!C$2:C$801,$W271)="","",INDEX('Per Invoice'!C$2:C$801,$W271)))</f>
        <v/>
      </c>
      <c r="D271">
        <f>IF($W271="","",IF(INDEX('Per Invoice'!D$2:D$801,$W271)="","",INDEX('Per Invoice'!D$2:D$801,$W271)))</f>
        <v/>
      </c>
      <c r="E271">
        <f>IF($W271="","",IF(INDEX('Per Invoice'!E$2:E$801,$W271)="","",INDEX('Per Invoice'!E$2:E$801,$W271)))</f>
        <v/>
      </c>
      <c r="F271">
        <f>IF($W271="","",IF(INDEX('Per Invoice'!F$2:F$801,$W271)="","",INDEX('Per Invoice'!F$2:F$801,$W271)))</f>
        <v/>
      </c>
      <c r="G271">
        <f>IF($W271="","",IF(INDEX('Per Invoice'!G$2:G$801,$W271)="","",INDEX('Per Invoice'!G$2:G$801,$W271)))</f>
        <v/>
      </c>
      <c r="H271">
        <f>IF($W271="","",IF(INDEX('Per Invoice'!H$2:H$801,$W271)="","",INDEX('Per Invoice'!H$2:H$801,$W271)))</f>
        <v/>
      </c>
      <c r="I271">
        <f>IF($W271="","",IF(INDEX('Per Invoice'!I$2:I$801,$W271)="","",INDEX('Per Invoice'!I$2:I$801,$W271)))</f>
        <v/>
      </c>
      <c r="J271">
        <f>IF($W271="","",IF(INDEX('Per Invoice'!J$2:J$801,$W271)="","",INDEX('Per Invoice'!J$2:J$801,$W271)))</f>
        <v/>
      </c>
      <c r="K271" s="7">
        <f>IF($W271="","",IF(INDEX('Per Invoice'!K$2:K$801,$W271)="","",INDEX('Per Invoice'!K$2:K$801,$W271)))</f>
        <v/>
      </c>
      <c r="L271" s="14">
        <f>IF($W271="","",IF(INDEX('Per Invoice'!L$2:L$801,$W271)="","",INDEX('Per Invoice'!L$2:L$801,$W271)))</f>
        <v/>
      </c>
      <c r="M271">
        <f>IF($W271="","",IF(INDEX('Per Invoice'!M$2:M$801,$W271)="","",INDEX('Per Invoice'!M$2:M$801,$W271)))</f>
        <v/>
      </c>
      <c r="N271" s="7">
        <f>IF($W271="","",IF(INDEX('Per Invoice'!N$2:N$801,$W271)="","",INDEX('Per Invoice'!N$2:N$801,$W271)))</f>
        <v/>
      </c>
      <c r="O271" s="7">
        <f>IF($W271="","",IF(INDEX('Per Invoice'!O$2:O$801,$W271)="","",INDEX('Per Invoice'!O$2:O$801,$W271)))</f>
        <v/>
      </c>
      <c r="P271">
        <f>IF($W271="","",IF(INDEX('Per Invoice'!P$2:P$801,$W271)="","",INDEX('Per Invoice'!P$2:P$801,$W271)))</f>
        <v/>
      </c>
      <c r="Q271" s="7">
        <f>IF($W271="","",IF(INDEX('Per Invoice'!Q$2:Q$801,$W271)="","",INDEX('Per Invoice'!Q$2:Q$801,$W271)))</f>
        <v/>
      </c>
      <c r="R271" s="7">
        <f>IF($W271="","",IF(INDEX('Per Invoice'!R$2:R$801,$W271)="","",INDEX('Per Invoice'!R$2:R$801,$W271)))</f>
        <v/>
      </c>
      <c r="S271" s="7">
        <f>IF($W271="","",IF(INDEX('Per Invoice'!S$2:S$801,$W271)="","",INDEX('Per Invoice'!S$2:S$801,$W271)))</f>
        <v/>
      </c>
      <c r="T271" s="7">
        <f>IF($W271="","",IF(INDEX('Per Invoice'!T$2:T$801,$W271)="","",INDEX('Per Invoice'!T$2:T$801,$W271)))</f>
        <v/>
      </c>
      <c r="U271" s="7">
        <f>IF($W271="","",IF(INDEX('Per Invoice'!U$2:U$801,$W271)="","",INDEX('Per Invoice'!U$2:U$801,$W271)))</f>
        <v/>
      </c>
      <c r="V271" s="7">
        <f>IF($W271="","",IF(INDEX('Per Invoice'!V$2:V$801,$W271)="","",INDEX('Per Invoice'!V$2:V$801,$W271)))</f>
        <v/>
      </c>
      <c r="W271" s="16">
        <f>IFERROR(MATCH(Settings!$C$31&amp;"|"&amp;ROWS($W$2:$W271),'Per Invoice'!$X$2:$X$801,0),"")</f>
        <v/>
      </c>
    </row>
    <row r="272">
      <c r="A272">
        <f>IF($W272="","",IF(INDEX('Per Invoice'!A$2:A$801,$W272)="","",INDEX('Per Invoice'!A$2:A$801,$W272)))</f>
        <v/>
      </c>
      <c r="B272">
        <f>IF($W272="","",IF(INDEX('Per Invoice'!B$2:B$801,$W272)="","",INDEX('Per Invoice'!B$2:B$801,$W272)))</f>
        <v/>
      </c>
      <c r="C272">
        <f>IF($W272="","",IF(INDEX('Per Invoice'!C$2:C$801,$W272)="","",INDEX('Per Invoice'!C$2:C$801,$W272)))</f>
        <v/>
      </c>
      <c r="D272">
        <f>IF($W272="","",IF(INDEX('Per Invoice'!D$2:D$801,$W272)="","",INDEX('Per Invoice'!D$2:D$801,$W272)))</f>
        <v/>
      </c>
      <c r="E272">
        <f>IF($W272="","",IF(INDEX('Per Invoice'!E$2:E$801,$W272)="","",INDEX('Per Invoice'!E$2:E$801,$W272)))</f>
        <v/>
      </c>
      <c r="F272">
        <f>IF($W272="","",IF(INDEX('Per Invoice'!F$2:F$801,$W272)="","",INDEX('Per Invoice'!F$2:F$801,$W272)))</f>
        <v/>
      </c>
      <c r="G272">
        <f>IF($W272="","",IF(INDEX('Per Invoice'!G$2:G$801,$W272)="","",INDEX('Per Invoice'!G$2:G$801,$W272)))</f>
        <v/>
      </c>
      <c r="H272">
        <f>IF($W272="","",IF(INDEX('Per Invoice'!H$2:H$801,$W272)="","",INDEX('Per Invoice'!H$2:H$801,$W272)))</f>
        <v/>
      </c>
      <c r="I272">
        <f>IF($W272="","",IF(INDEX('Per Invoice'!I$2:I$801,$W272)="","",INDEX('Per Invoice'!I$2:I$801,$W272)))</f>
        <v/>
      </c>
      <c r="J272">
        <f>IF($W272="","",IF(INDEX('Per Invoice'!J$2:J$801,$W272)="","",INDEX('Per Invoice'!J$2:J$801,$W272)))</f>
        <v/>
      </c>
      <c r="K272" s="7">
        <f>IF($W272="","",IF(INDEX('Per Invoice'!K$2:K$801,$W272)="","",INDEX('Per Invoice'!K$2:K$801,$W272)))</f>
        <v/>
      </c>
      <c r="L272" s="14">
        <f>IF($W272="","",IF(INDEX('Per Invoice'!L$2:L$801,$W272)="","",INDEX('Per Invoice'!L$2:L$801,$W272)))</f>
        <v/>
      </c>
      <c r="M272">
        <f>IF($W272="","",IF(INDEX('Per Invoice'!M$2:M$801,$W272)="","",INDEX('Per Invoice'!M$2:M$801,$W272)))</f>
        <v/>
      </c>
      <c r="N272" s="7">
        <f>IF($W272="","",IF(INDEX('Per Invoice'!N$2:N$801,$W272)="","",INDEX('Per Invoice'!N$2:N$801,$W272)))</f>
        <v/>
      </c>
      <c r="O272" s="7">
        <f>IF($W272="","",IF(INDEX('Per Invoice'!O$2:O$801,$W272)="","",INDEX('Per Invoice'!O$2:O$801,$W272)))</f>
        <v/>
      </c>
      <c r="P272">
        <f>IF($W272="","",IF(INDEX('Per Invoice'!P$2:P$801,$W272)="","",INDEX('Per Invoice'!P$2:P$801,$W272)))</f>
        <v/>
      </c>
      <c r="Q272" s="7">
        <f>IF($W272="","",IF(INDEX('Per Invoice'!Q$2:Q$801,$W272)="","",INDEX('Per Invoice'!Q$2:Q$801,$W272)))</f>
        <v/>
      </c>
      <c r="R272" s="7">
        <f>IF($W272="","",IF(INDEX('Per Invoice'!R$2:R$801,$W272)="","",INDEX('Per Invoice'!R$2:R$801,$W272)))</f>
        <v/>
      </c>
      <c r="S272" s="7">
        <f>IF($W272="","",IF(INDEX('Per Invoice'!S$2:S$801,$W272)="","",INDEX('Per Invoice'!S$2:S$801,$W272)))</f>
        <v/>
      </c>
      <c r="T272" s="7">
        <f>IF($W272="","",IF(INDEX('Per Invoice'!T$2:T$801,$W272)="","",INDEX('Per Invoice'!T$2:T$801,$W272)))</f>
        <v/>
      </c>
      <c r="U272" s="7">
        <f>IF($W272="","",IF(INDEX('Per Invoice'!U$2:U$801,$W272)="","",INDEX('Per Invoice'!U$2:U$801,$W272)))</f>
        <v/>
      </c>
      <c r="V272" s="7">
        <f>IF($W272="","",IF(INDEX('Per Invoice'!V$2:V$801,$W272)="","",INDEX('Per Invoice'!V$2:V$801,$W272)))</f>
        <v/>
      </c>
      <c r="W272" s="16">
        <f>IFERROR(MATCH(Settings!$C$31&amp;"|"&amp;ROWS($W$2:$W272),'Per Invoice'!$X$2:$X$801,0),"")</f>
        <v/>
      </c>
    </row>
    <row r="273">
      <c r="A273">
        <f>IF($W273="","",IF(INDEX('Per Invoice'!A$2:A$801,$W273)="","",INDEX('Per Invoice'!A$2:A$801,$W273)))</f>
        <v/>
      </c>
      <c r="B273">
        <f>IF($W273="","",IF(INDEX('Per Invoice'!B$2:B$801,$W273)="","",INDEX('Per Invoice'!B$2:B$801,$W273)))</f>
        <v/>
      </c>
      <c r="C273">
        <f>IF($W273="","",IF(INDEX('Per Invoice'!C$2:C$801,$W273)="","",INDEX('Per Invoice'!C$2:C$801,$W273)))</f>
        <v/>
      </c>
      <c r="D273">
        <f>IF($W273="","",IF(INDEX('Per Invoice'!D$2:D$801,$W273)="","",INDEX('Per Invoice'!D$2:D$801,$W273)))</f>
        <v/>
      </c>
      <c r="E273">
        <f>IF($W273="","",IF(INDEX('Per Invoice'!E$2:E$801,$W273)="","",INDEX('Per Invoice'!E$2:E$801,$W273)))</f>
        <v/>
      </c>
      <c r="F273">
        <f>IF($W273="","",IF(INDEX('Per Invoice'!F$2:F$801,$W273)="","",INDEX('Per Invoice'!F$2:F$801,$W273)))</f>
        <v/>
      </c>
      <c r="G273">
        <f>IF($W273="","",IF(INDEX('Per Invoice'!G$2:G$801,$W273)="","",INDEX('Per Invoice'!G$2:G$801,$W273)))</f>
        <v/>
      </c>
      <c r="H273">
        <f>IF($W273="","",IF(INDEX('Per Invoice'!H$2:H$801,$W273)="","",INDEX('Per Invoice'!H$2:H$801,$W273)))</f>
        <v/>
      </c>
      <c r="I273">
        <f>IF($W273="","",IF(INDEX('Per Invoice'!I$2:I$801,$W273)="","",INDEX('Per Invoice'!I$2:I$801,$W273)))</f>
        <v/>
      </c>
      <c r="J273">
        <f>IF($W273="","",IF(INDEX('Per Invoice'!J$2:J$801,$W273)="","",INDEX('Per Invoice'!J$2:J$801,$W273)))</f>
        <v/>
      </c>
      <c r="K273" s="7">
        <f>IF($W273="","",IF(INDEX('Per Invoice'!K$2:K$801,$W273)="","",INDEX('Per Invoice'!K$2:K$801,$W273)))</f>
        <v/>
      </c>
      <c r="L273" s="14">
        <f>IF($W273="","",IF(INDEX('Per Invoice'!L$2:L$801,$W273)="","",INDEX('Per Invoice'!L$2:L$801,$W273)))</f>
        <v/>
      </c>
      <c r="M273">
        <f>IF($W273="","",IF(INDEX('Per Invoice'!M$2:M$801,$W273)="","",INDEX('Per Invoice'!M$2:M$801,$W273)))</f>
        <v/>
      </c>
      <c r="N273" s="7">
        <f>IF($W273="","",IF(INDEX('Per Invoice'!N$2:N$801,$W273)="","",INDEX('Per Invoice'!N$2:N$801,$W273)))</f>
        <v/>
      </c>
      <c r="O273" s="7">
        <f>IF($W273="","",IF(INDEX('Per Invoice'!O$2:O$801,$W273)="","",INDEX('Per Invoice'!O$2:O$801,$W273)))</f>
        <v/>
      </c>
      <c r="P273">
        <f>IF($W273="","",IF(INDEX('Per Invoice'!P$2:P$801,$W273)="","",INDEX('Per Invoice'!P$2:P$801,$W273)))</f>
        <v/>
      </c>
      <c r="Q273" s="7">
        <f>IF($W273="","",IF(INDEX('Per Invoice'!Q$2:Q$801,$W273)="","",INDEX('Per Invoice'!Q$2:Q$801,$W273)))</f>
        <v/>
      </c>
      <c r="R273" s="7">
        <f>IF($W273="","",IF(INDEX('Per Invoice'!R$2:R$801,$W273)="","",INDEX('Per Invoice'!R$2:R$801,$W273)))</f>
        <v/>
      </c>
      <c r="S273" s="7">
        <f>IF($W273="","",IF(INDEX('Per Invoice'!S$2:S$801,$W273)="","",INDEX('Per Invoice'!S$2:S$801,$W273)))</f>
        <v/>
      </c>
      <c r="T273" s="7">
        <f>IF($W273="","",IF(INDEX('Per Invoice'!T$2:T$801,$W273)="","",INDEX('Per Invoice'!T$2:T$801,$W273)))</f>
        <v/>
      </c>
      <c r="U273" s="7">
        <f>IF($W273="","",IF(INDEX('Per Invoice'!U$2:U$801,$W273)="","",INDEX('Per Invoice'!U$2:U$801,$W273)))</f>
        <v/>
      </c>
      <c r="V273" s="7">
        <f>IF($W273="","",IF(INDEX('Per Invoice'!V$2:V$801,$W273)="","",INDEX('Per Invoice'!V$2:V$801,$W273)))</f>
        <v/>
      </c>
      <c r="W273" s="16">
        <f>IFERROR(MATCH(Settings!$C$31&amp;"|"&amp;ROWS($W$2:$W273),'Per Invoice'!$X$2:$X$801,0),"")</f>
        <v/>
      </c>
    </row>
    <row r="274">
      <c r="A274">
        <f>IF($W274="","",IF(INDEX('Per Invoice'!A$2:A$801,$W274)="","",INDEX('Per Invoice'!A$2:A$801,$W274)))</f>
        <v/>
      </c>
      <c r="B274">
        <f>IF($W274="","",IF(INDEX('Per Invoice'!B$2:B$801,$W274)="","",INDEX('Per Invoice'!B$2:B$801,$W274)))</f>
        <v/>
      </c>
      <c r="C274">
        <f>IF($W274="","",IF(INDEX('Per Invoice'!C$2:C$801,$W274)="","",INDEX('Per Invoice'!C$2:C$801,$W274)))</f>
        <v/>
      </c>
      <c r="D274">
        <f>IF($W274="","",IF(INDEX('Per Invoice'!D$2:D$801,$W274)="","",INDEX('Per Invoice'!D$2:D$801,$W274)))</f>
        <v/>
      </c>
      <c r="E274">
        <f>IF($W274="","",IF(INDEX('Per Invoice'!E$2:E$801,$W274)="","",INDEX('Per Invoice'!E$2:E$801,$W274)))</f>
        <v/>
      </c>
      <c r="F274">
        <f>IF($W274="","",IF(INDEX('Per Invoice'!F$2:F$801,$W274)="","",INDEX('Per Invoice'!F$2:F$801,$W274)))</f>
        <v/>
      </c>
      <c r="G274">
        <f>IF($W274="","",IF(INDEX('Per Invoice'!G$2:G$801,$W274)="","",INDEX('Per Invoice'!G$2:G$801,$W274)))</f>
        <v/>
      </c>
      <c r="H274">
        <f>IF($W274="","",IF(INDEX('Per Invoice'!H$2:H$801,$W274)="","",INDEX('Per Invoice'!H$2:H$801,$W274)))</f>
        <v/>
      </c>
      <c r="I274">
        <f>IF($W274="","",IF(INDEX('Per Invoice'!I$2:I$801,$W274)="","",INDEX('Per Invoice'!I$2:I$801,$W274)))</f>
        <v/>
      </c>
      <c r="J274">
        <f>IF($W274="","",IF(INDEX('Per Invoice'!J$2:J$801,$W274)="","",INDEX('Per Invoice'!J$2:J$801,$W274)))</f>
        <v/>
      </c>
      <c r="K274" s="7">
        <f>IF($W274="","",IF(INDEX('Per Invoice'!K$2:K$801,$W274)="","",INDEX('Per Invoice'!K$2:K$801,$W274)))</f>
        <v/>
      </c>
      <c r="L274" s="14">
        <f>IF($W274="","",IF(INDEX('Per Invoice'!L$2:L$801,$W274)="","",INDEX('Per Invoice'!L$2:L$801,$W274)))</f>
        <v/>
      </c>
      <c r="M274">
        <f>IF($W274="","",IF(INDEX('Per Invoice'!M$2:M$801,$W274)="","",INDEX('Per Invoice'!M$2:M$801,$W274)))</f>
        <v/>
      </c>
      <c r="N274" s="7">
        <f>IF($W274="","",IF(INDEX('Per Invoice'!N$2:N$801,$W274)="","",INDEX('Per Invoice'!N$2:N$801,$W274)))</f>
        <v/>
      </c>
      <c r="O274" s="7">
        <f>IF($W274="","",IF(INDEX('Per Invoice'!O$2:O$801,$W274)="","",INDEX('Per Invoice'!O$2:O$801,$W274)))</f>
        <v/>
      </c>
      <c r="P274">
        <f>IF($W274="","",IF(INDEX('Per Invoice'!P$2:P$801,$W274)="","",INDEX('Per Invoice'!P$2:P$801,$W274)))</f>
        <v/>
      </c>
      <c r="Q274" s="7">
        <f>IF($W274="","",IF(INDEX('Per Invoice'!Q$2:Q$801,$W274)="","",INDEX('Per Invoice'!Q$2:Q$801,$W274)))</f>
        <v/>
      </c>
      <c r="R274" s="7">
        <f>IF($W274="","",IF(INDEX('Per Invoice'!R$2:R$801,$W274)="","",INDEX('Per Invoice'!R$2:R$801,$W274)))</f>
        <v/>
      </c>
      <c r="S274" s="7">
        <f>IF($W274="","",IF(INDEX('Per Invoice'!S$2:S$801,$W274)="","",INDEX('Per Invoice'!S$2:S$801,$W274)))</f>
        <v/>
      </c>
      <c r="T274" s="7">
        <f>IF($W274="","",IF(INDEX('Per Invoice'!T$2:T$801,$W274)="","",INDEX('Per Invoice'!T$2:T$801,$W274)))</f>
        <v/>
      </c>
      <c r="U274" s="7">
        <f>IF($W274="","",IF(INDEX('Per Invoice'!U$2:U$801,$W274)="","",INDEX('Per Invoice'!U$2:U$801,$W274)))</f>
        <v/>
      </c>
      <c r="V274" s="7">
        <f>IF($W274="","",IF(INDEX('Per Invoice'!V$2:V$801,$W274)="","",INDEX('Per Invoice'!V$2:V$801,$W274)))</f>
        <v/>
      </c>
      <c r="W274" s="16">
        <f>IFERROR(MATCH(Settings!$C$31&amp;"|"&amp;ROWS($W$2:$W274),'Per Invoice'!$X$2:$X$801,0),"")</f>
        <v/>
      </c>
    </row>
    <row r="275">
      <c r="A275">
        <f>IF($W275="","",IF(INDEX('Per Invoice'!A$2:A$801,$W275)="","",INDEX('Per Invoice'!A$2:A$801,$W275)))</f>
        <v/>
      </c>
      <c r="B275">
        <f>IF($W275="","",IF(INDEX('Per Invoice'!B$2:B$801,$W275)="","",INDEX('Per Invoice'!B$2:B$801,$W275)))</f>
        <v/>
      </c>
      <c r="C275">
        <f>IF($W275="","",IF(INDEX('Per Invoice'!C$2:C$801,$W275)="","",INDEX('Per Invoice'!C$2:C$801,$W275)))</f>
        <v/>
      </c>
      <c r="D275">
        <f>IF($W275="","",IF(INDEX('Per Invoice'!D$2:D$801,$W275)="","",INDEX('Per Invoice'!D$2:D$801,$W275)))</f>
        <v/>
      </c>
      <c r="E275">
        <f>IF($W275="","",IF(INDEX('Per Invoice'!E$2:E$801,$W275)="","",INDEX('Per Invoice'!E$2:E$801,$W275)))</f>
        <v/>
      </c>
      <c r="F275">
        <f>IF($W275="","",IF(INDEX('Per Invoice'!F$2:F$801,$W275)="","",INDEX('Per Invoice'!F$2:F$801,$W275)))</f>
        <v/>
      </c>
      <c r="G275">
        <f>IF($W275="","",IF(INDEX('Per Invoice'!G$2:G$801,$W275)="","",INDEX('Per Invoice'!G$2:G$801,$W275)))</f>
        <v/>
      </c>
      <c r="H275">
        <f>IF($W275="","",IF(INDEX('Per Invoice'!H$2:H$801,$W275)="","",INDEX('Per Invoice'!H$2:H$801,$W275)))</f>
        <v/>
      </c>
      <c r="I275">
        <f>IF($W275="","",IF(INDEX('Per Invoice'!I$2:I$801,$W275)="","",INDEX('Per Invoice'!I$2:I$801,$W275)))</f>
        <v/>
      </c>
      <c r="J275">
        <f>IF($W275="","",IF(INDEX('Per Invoice'!J$2:J$801,$W275)="","",INDEX('Per Invoice'!J$2:J$801,$W275)))</f>
        <v/>
      </c>
      <c r="K275" s="7">
        <f>IF($W275="","",IF(INDEX('Per Invoice'!K$2:K$801,$W275)="","",INDEX('Per Invoice'!K$2:K$801,$W275)))</f>
        <v/>
      </c>
      <c r="L275" s="14">
        <f>IF($W275="","",IF(INDEX('Per Invoice'!L$2:L$801,$W275)="","",INDEX('Per Invoice'!L$2:L$801,$W275)))</f>
        <v/>
      </c>
      <c r="M275">
        <f>IF($W275="","",IF(INDEX('Per Invoice'!M$2:M$801,$W275)="","",INDEX('Per Invoice'!M$2:M$801,$W275)))</f>
        <v/>
      </c>
      <c r="N275" s="7">
        <f>IF($W275="","",IF(INDEX('Per Invoice'!N$2:N$801,$W275)="","",INDEX('Per Invoice'!N$2:N$801,$W275)))</f>
        <v/>
      </c>
      <c r="O275" s="7">
        <f>IF($W275="","",IF(INDEX('Per Invoice'!O$2:O$801,$W275)="","",INDEX('Per Invoice'!O$2:O$801,$W275)))</f>
        <v/>
      </c>
      <c r="P275">
        <f>IF($W275="","",IF(INDEX('Per Invoice'!P$2:P$801,$W275)="","",INDEX('Per Invoice'!P$2:P$801,$W275)))</f>
        <v/>
      </c>
      <c r="Q275" s="7">
        <f>IF($W275="","",IF(INDEX('Per Invoice'!Q$2:Q$801,$W275)="","",INDEX('Per Invoice'!Q$2:Q$801,$W275)))</f>
        <v/>
      </c>
      <c r="R275" s="7">
        <f>IF($W275="","",IF(INDEX('Per Invoice'!R$2:R$801,$W275)="","",INDEX('Per Invoice'!R$2:R$801,$W275)))</f>
        <v/>
      </c>
      <c r="S275" s="7">
        <f>IF($W275="","",IF(INDEX('Per Invoice'!S$2:S$801,$W275)="","",INDEX('Per Invoice'!S$2:S$801,$W275)))</f>
        <v/>
      </c>
      <c r="T275" s="7">
        <f>IF($W275="","",IF(INDEX('Per Invoice'!T$2:T$801,$W275)="","",INDEX('Per Invoice'!T$2:T$801,$W275)))</f>
        <v/>
      </c>
      <c r="U275" s="7">
        <f>IF($W275="","",IF(INDEX('Per Invoice'!U$2:U$801,$W275)="","",INDEX('Per Invoice'!U$2:U$801,$W275)))</f>
        <v/>
      </c>
      <c r="V275" s="7">
        <f>IF($W275="","",IF(INDEX('Per Invoice'!V$2:V$801,$W275)="","",INDEX('Per Invoice'!V$2:V$801,$W275)))</f>
        <v/>
      </c>
      <c r="W275" s="16">
        <f>IFERROR(MATCH(Settings!$C$31&amp;"|"&amp;ROWS($W$2:$W275),'Per Invoice'!$X$2:$X$801,0),"")</f>
        <v/>
      </c>
    </row>
    <row r="276">
      <c r="A276">
        <f>IF($W276="","",IF(INDEX('Per Invoice'!A$2:A$801,$W276)="","",INDEX('Per Invoice'!A$2:A$801,$W276)))</f>
        <v/>
      </c>
      <c r="B276">
        <f>IF($W276="","",IF(INDEX('Per Invoice'!B$2:B$801,$W276)="","",INDEX('Per Invoice'!B$2:B$801,$W276)))</f>
        <v/>
      </c>
      <c r="C276">
        <f>IF($W276="","",IF(INDEX('Per Invoice'!C$2:C$801,$W276)="","",INDEX('Per Invoice'!C$2:C$801,$W276)))</f>
        <v/>
      </c>
      <c r="D276">
        <f>IF($W276="","",IF(INDEX('Per Invoice'!D$2:D$801,$W276)="","",INDEX('Per Invoice'!D$2:D$801,$W276)))</f>
        <v/>
      </c>
      <c r="E276">
        <f>IF($W276="","",IF(INDEX('Per Invoice'!E$2:E$801,$W276)="","",INDEX('Per Invoice'!E$2:E$801,$W276)))</f>
        <v/>
      </c>
      <c r="F276">
        <f>IF($W276="","",IF(INDEX('Per Invoice'!F$2:F$801,$W276)="","",INDEX('Per Invoice'!F$2:F$801,$W276)))</f>
        <v/>
      </c>
      <c r="G276">
        <f>IF($W276="","",IF(INDEX('Per Invoice'!G$2:G$801,$W276)="","",INDEX('Per Invoice'!G$2:G$801,$W276)))</f>
        <v/>
      </c>
      <c r="H276">
        <f>IF($W276="","",IF(INDEX('Per Invoice'!H$2:H$801,$W276)="","",INDEX('Per Invoice'!H$2:H$801,$W276)))</f>
        <v/>
      </c>
      <c r="I276">
        <f>IF($W276="","",IF(INDEX('Per Invoice'!I$2:I$801,$W276)="","",INDEX('Per Invoice'!I$2:I$801,$W276)))</f>
        <v/>
      </c>
      <c r="J276">
        <f>IF($W276="","",IF(INDEX('Per Invoice'!J$2:J$801,$W276)="","",INDEX('Per Invoice'!J$2:J$801,$W276)))</f>
        <v/>
      </c>
      <c r="K276" s="7">
        <f>IF($W276="","",IF(INDEX('Per Invoice'!K$2:K$801,$W276)="","",INDEX('Per Invoice'!K$2:K$801,$W276)))</f>
        <v/>
      </c>
      <c r="L276" s="14">
        <f>IF($W276="","",IF(INDEX('Per Invoice'!L$2:L$801,$W276)="","",INDEX('Per Invoice'!L$2:L$801,$W276)))</f>
        <v/>
      </c>
      <c r="M276">
        <f>IF($W276="","",IF(INDEX('Per Invoice'!M$2:M$801,$W276)="","",INDEX('Per Invoice'!M$2:M$801,$W276)))</f>
        <v/>
      </c>
      <c r="N276" s="7">
        <f>IF($W276="","",IF(INDEX('Per Invoice'!N$2:N$801,$W276)="","",INDEX('Per Invoice'!N$2:N$801,$W276)))</f>
        <v/>
      </c>
      <c r="O276" s="7">
        <f>IF($W276="","",IF(INDEX('Per Invoice'!O$2:O$801,$W276)="","",INDEX('Per Invoice'!O$2:O$801,$W276)))</f>
        <v/>
      </c>
      <c r="P276">
        <f>IF($W276="","",IF(INDEX('Per Invoice'!P$2:P$801,$W276)="","",INDEX('Per Invoice'!P$2:P$801,$W276)))</f>
        <v/>
      </c>
      <c r="Q276" s="7">
        <f>IF($W276="","",IF(INDEX('Per Invoice'!Q$2:Q$801,$W276)="","",INDEX('Per Invoice'!Q$2:Q$801,$W276)))</f>
        <v/>
      </c>
      <c r="R276" s="7">
        <f>IF($W276="","",IF(INDEX('Per Invoice'!R$2:R$801,$W276)="","",INDEX('Per Invoice'!R$2:R$801,$W276)))</f>
        <v/>
      </c>
      <c r="S276" s="7">
        <f>IF($W276="","",IF(INDEX('Per Invoice'!S$2:S$801,$W276)="","",INDEX('Per Invoice'!S$2:S$801,$W276)))</f>
        <v/>
      </c>
      <c r="T276" s="7">
        <f>IF($W276="","",IF(INDEX('Per Invoice'!T$2:T$801,$W276)="","",INDEX('Per Invoice'!T$2:T$801,$W276)))</f>
        <v/>
      </c>
      <c r="U276" s="7">
        <f>IF($W276="","",IF(INDEX('Per Invoice'!U$2:U$801,$W276)="","",INDEX('Per Invoice'!U$2:U$801,$W276)))</f>
        <v/>
      </c>
      <c r="V276" s="7">
        <f>IF($W276="","",IF(INDEX('Per Invoice'!V$2:V$801,$W276)="","",INDEX('Per Invoice'!V$2:V$801,$W276)))</f>
        <v/>
      </c>
      <c r="W276" s="16">
        <f>IFERROR(MATCH(Settings!$C$31&amp;"|"&amp;ROWS($W$2:$W276),'Per Invoice'!$X$2:$X$801,0),"")</f>
        <v/>
      </c>
    </row>
    <row r="277">
      <c r="A277">
        <f>IF($W277="","",IF(INDEX('Per Invoice'!A$2:A$801,$W277)="","",INDEX('Per Invoice'!A$2:A$801,$W277)))</f>
        <v/>
      </c>
      <c r="B277">
        <f>IF($W277="","",IF(INDEX('Per Invoice'!B$2:B$801,$W277)="","",INDEX('Per Invoice'!B$2:B$801,$W277)))</f>
        <v/>
      </c>
      <c r="C277">
        <f>IF($W277="","",IF(INDEX('Per Invoice'!C$2:C$801,$W277)="","",INDEX('Per Invoice'!C$2:C$801,$W277)))</f>
        <v/>
      </c>
      <c r="D277">
        <f>IF($W277="","",IF(INDEX('Per Invoice'!D$2:D$801,$W277)="","",INDEX('Per Invoice'!D$2:D$801,$W277)))</f>
        <v/>
      </c>
      <c r="E277">
        <f>IF($W277="","",IF(INDEX('Per Invoice'!E$2:E$801,$W277)="","",INDEX('Per Invoice'!E$2:E$801,$W277)))</f>
        <v/>
      </c>
      <c r="F277">
        <f>IF($W277="","",IF(INDEX('Per Invoice'!F$2:F$801,$W277)="","",INDEX('Per Invoice'!F$2:F$801,$W277)))</f>
        <v/>
      </c>
      <c r="G277">
        <f>IF($W277="","",IF(INDEX('Per Invoice'!G$2:G$801,$W277)="","",INDEX('Per Invoice'!G$2:G$801,$W277)))</f>
        <v/>
      </c>
      <c r="H277">
        <f>IF($W277="","",IF(INDEX('Per Invoice'!H$2:H$801,$W277)="","",INDEX('Per Invoice'!H$2:H$801,$W277)))</f>
        <v/>
      </c>
      <c r="I277">
        <f>IF($W277="","",IF(INDEX('Per Invoice'!I$2:I$801,$W277)="","",INDEX('Per Invoice'!I$2:I$801,$W277)))</f>
        <v/>
      </c>
      <c r="J277">
        <f>IF($W277="","",IF(INDEX('Per Invoice'!J$2:J$801,$W277)="","",INDEX('Per Invoice'!J$2:J$801,$W277)))</f>
        <v/>
      </c>
      <c r="K277" s="7">
        <f>IF($W277="","",IF(INDEX('Per Invoice'!K$2:K$801,$W277)="","",INDEX('Per Invoice'!K$2:K$801,$W277)))</f>
        <v/>
      </c>
      <c r="L277" s="14">
        <f>IF($W277="","",IF(INDEX('Per Invoice'!L$2:L$801,$W277)="","",INDEX('Per Invoice'!L$2:L$801,$W277)))</f>
        <v/>
      </c>
      <c r="M277">
        <f>IF($W277="","",IF(INDEX('Per Invoice'!M$2:M$801,$W277)="","",INDEX('Per Invoice'!M$2:M$801,$W277)))</f>
        <v/>
      </c>
      <c r="N277" s="7">
        <f>IF($W277="","",IF(INDEX('Per Invoice'!N$2:N$801,$W277)="","",INDEX('Per Invoice'!N$2:N$801,$W277)))</f>
        <v/>
      </c>
      <c r="O277" s="7">
        <f>IF($W277="","",IF(INDEX('Per Invoice'!O$2:O$801,$W277)="","",INDEX('Per Invoice'!O$2:O$801,$W277)))</f>
        <v/>
      </c>
      <c r="P277">
        <f>IF($W277="","",IF(INDEX('Per Invoice'!P$2:P$801,$W277)="","",INDEX('Per Invoice'!P$2:P$801,$W277)))</f>
        <v/>
      </c>
      <c r="Q277" s="7">
        <f>IF($W277="","",IF(INDEX('Per Invoice'!Q$2:Q$801,$W277)="","",INDEX('Per Invoice'!Q$2:Q$801,$W277)))</f>
        <v/>
      </c>
      <c r="R277" s="7">
        <f>IF($W277="","",IF(INDEX('Per Invoice'!R$2:R$801,$W277)="","",INDEX('Per Invoice'!R$2:R$801,$W277)))</f>
        <v/>
      </c>
      <c r="S277" s="7">
        <f>IF($W277="","",IF(INDEX('Per Invoice'!S$2:S$801,$W277)="","",INDEX('Per Invoice'!S$2:S$801,$W277)))</f>
        <v/>
      </c>
      <c r="T277" s="7">
        <f>IF($W277="","",IF(INDEX('Per Invoice'!T$2:T$801,$W277)="","",INDEX('Per Invoice'!T$2:T$801,$W277)))</f>
        <v/>
      </c>
      <c r="U277" s="7">
        <f>IF($W277="","",IF(INDEX('Per Invoice'!U$2:U$801,$W277)="","",INDEX('Per Invoice'!U$2:U$801,$W277)))</f>
        <v/>
      </c>
      <c r="V277" s="7">
        <f>IF($W277="","",IF(INDEX('Per Invoice'!V$2:V$801,$W277)="","",INDEX('Per Invoice'!V$2:V$801,$W277)))</f>
        <v/>
      </c>
      <c r="W277" s="16">
        <f>IFERROR(MATCH(Settings!$C$31&amp;"|"&amp;ROWS($W$2:$W277),'Per Invoice'!$X$2:$X$801,0),"")</f>
        <v/>
      </c>
    </row>
    <row r="278">
      <c r="A278">
        <f>IF($W278="","",IF(INDEX('Per Invoice'!A$2:A$801,$W278)="","",INDEX('Per Invoice'!A$2:A$801,$W278)))</f>
        <v/>
      </c>
      <c r="B278">
        <f>IF($W278="","",IF(INDEX('Per Invoice'!B$2:B$801,$W278)="","",INDEX('Per Invoice'!B$2:B$801,$W278)))</f>
        <v/>
      </c>
      <c r="C278">
        <f>IF($W278="","",IF(INDEX('Per Invoice'!C$2:C$801,$W278)="","",INDEX('Per Invoice'!C$2:C$801,$W278)))</f>
        <v/>
      </c>
      <c r="D278">
        <f>IF($W278="","",IF(INDEX('Per Invoice'!D$2:D$801,$W278)="","",INDEX('Per Invoice'!D$2:D$801,$W278)))</f>
        <v/>
      </c>
      <c r="E278">
        <f>IF($W278="","",IF(INDEX('Per Invoice'!E$2:E$801,$W278)="","",INDEX('Per Invoice'!E$2:E$801,$W278)))</f>
        <v/>
      </c>
      <c r="F278">
        <f>IF($W278="","",IF(INDEX('Per Invoice'!F$2:F$801,$W278)="","",INDEX('Per Invoice'!F$2:F$801,$W278)))</f>
        <v/>
      </c>
      <c r="G278">
        <f>IF($W278="","",IF(INDEX('Per Invoice'!G$2:G$801,$W278)="","",INDEX('Per Invoice'!G$2:G$801,$W278)))</f>
        <v/>
      </c>
      <c r="H278">
        <f>IF($W278="","",IF(INDEX('Per Invoice'!H$2:H$801,$W278)="","",INDEX('Per Invoice'!H$2:H$801,$W278)))</f>
        <v/>
      </c>
      <c r="I278">
        <f>IF($W278="","",IF(INDEX('Per Invoice'!I$2:I$801,$W278)="","",INDEX('Per Invoice'!I$2:I$801,$W278)))</f>
        <v/>
      </c>
      <c r="J278">
        <f>IF($W278="","",IF(INDEX('Per Invoice'!J$2:J$801,$W278)="","",INDEX('Per Invoice'!J$2:J$801,$W278)))</f>
        <v/>
      </c>
      <c r="K278" s="7">
        <f>IF($W278="","",IF(INDEX('Per Invoice'!K$2:K$801,$W278)="","",INDEX('Per Invoice'!K$2:K$801,$W278)))</f>
        <v/>
      </c>
      <c r="L278" s="14">
        <f>IF($W278="","",IF(INDEX('Per Invoice'!L$2:L$801,$W278)="","",INDEX('Per Invoice'!L$2:L$801,$W278)))</f>
        <v/>
      </c>
      <c r="M278">
        <f>IF($W278="","",IF(INDEX('Per Invoice'!M$2:M$801,$W278)="","",INDEX('Per Invoice'!M$2:M$801,$W278)))</f>
        <v/>
      </c>
      <c r="N278" s="7">
        <f>IF($W278="","",IF(INDEX('Per Invoice'!N$2:N$801,$W278)="","",INDEX('Per Invoice'!N$2:N$801,$W278)))</f>
        <v/>
      </c>
      <c r="O278" s="7">
        <f>IF($W278="","",IF(INDEX('Per Invoice'!O$2:O$801,$W278)="","",INDEX('Per Invoice'!O$2:O$801,$W278)))</f>
        <v/>
      </c>
      <c r="P278">
        <f>IF($W278="","",IF(INDEX('Per Invoice'!P$2:P$801,$W278)="","",INDEX('Per Invoice'!P$2:P$801,$W278)))</f>
        <v/>
      </c>
      <c r="Q278" s="7">
        <f>IF($W278="","",IF(INDEX('Per Invoice'!Q$2:Q$801,$W278)="","",INDEX('Per Invoice'!Q$2:Q$801,$W278)))</f>
        <v/>
      </c>
      <c r="R278" s="7">
        <f>IF($W278="","",IF(INDEX('Per Invoice'!R$2:R$801,$W278)="","",INDEX('Per Invoice'!R$2:R$801,$W278)))</f>
        <v/>
      </c>
      <c r="S278" s="7">
        <f>IF($W278="","",IF(INDEX('Per Invoice'!S$2:S$801,$W278)="","",INDEX('Per Invoice'!S$2:S$801,$W278)))</f>
        <v/>
      </c>
      <c r="T278" s="7">
        <f>IF($W278="","",IF(INDEX('Per Invoice'!T$2:T$801,$W278)="","",INDEX('Per Invoice'!T$2:T$801,$W278)))</f>
        <v/>
      </c>
      <c r="U278" s="7">
        <f>IF($W278="","",IF(INDEX('Per Invoice'!U$2:U$801,$W278)="","",INDEX('Per Invoice'!U$2:U$801,$W278)))</f>
        <v/>
      </c>
      <c r="V278" s="7">
        <f>IF($W278="","",IF(INDEX('Per Invoice'!V$2:V$801,$W278)="","",INDEX('Per Invoice'!V$2:V$801,$W278)))</f>
        <v/>
      </c>
      <c r="W278" s="16">
        <f>IFERROR(MATCH(Settings!$C$31&amp;"|"&amp;ROWS($W$2:$W278),'Per Invoice'!$X$2:$X$801,0),"")</f>
        <v/>
      </c>
    </row>
    <row r="279">
      <c r="A279">
        <f>IF($W279="","",IF(INDEX('Per Invoice'!A$2:A$801,$W279)="","",INDEX('Per Invoice'!A$2:A$801,$W279)))</f>
        <v/>
      </c>
      <c r="B279">
        <f>IF($W279="","",IF(INDEX('Per Invoice'!B$2:B$801,$W279)="","",INDEX('Per Invoice'!B$2:B$801,$W279)))</f>
        <v/>
      </c>
      <c r="C279">
        <f>IF($W279="","",IF(INDEX('Per Invoice'!C$2:C$801,$W279)="","",INDEX('Per Invoice'!C$2:C$801,$W279)))</f>
        <v/>
      </c>
      <c r="D279">
        <f>IF($W279="","",IF(INDEX('Per Invoice'!D$2:D$801,$W279)="","",INDEX('Per Invoice'!D$2:D$801,$W279)))</f>
        <v/>
      </c>
      <c r="E279">
        <f>IF($W279="","",IF(INDEX('Per Invoice'!E$2:E$801,$W279)="","",INDEX('Per Invoice'!E$2:E$801,$W279)))</f>
        <v/>
      </c>
      <c r="F279">
        <f>IF($W279="","",IF(INDEX('Per Invoice'!F$2:F$801,$W279)="","",INDEX('Per Invoice'!F$2:F$801,$W279)))</f>
        <v/>
      </c>
      <c r="G279">
        <f>IF($W279="","",IF(INDEX('Per Invoice'!G$2:G$801,$W279)="","",INDEX('Per Invoice'!G$2:G$801,$W279)))</f>
        <v/>
      </c>
      <c r="H279">
        <f>IF($W279="","",IF(INDEX('Per Invoice'!H$2:H$801,$W279)="","",INDEX('Per Invoice'!H$2:H$801,$W279)))</f>
        <v/>
      </c>
      <c r="I279">
        <f>IF($W279="","",IF(INDEX('Per Invoice'!I$2:I$801,$W279)="","",INDEX('Per Invoice'!I$2:I$801,$W279)))</f>
        <v/>
      </c>
      <c r="J279">
        <f>IF($W279="","",IF(INDEX('Per Invoice'!J$2:J$801,$W279)="","",INDEX('Per Invoice'!J$2:J$801,$W279)))</f>
        <v/>
      </c>
      <c r="K279" s="7">
        <f>IF($W279="","",IF(INDEX('Per Invoice'!K$2:K$801,$W279)="","",INDEX('Per Invoice'!K$2:K$801,$W279)))</f>
        <v/>
      </c>
      <c r="L279" s="14">
        <f>IF($W279="","",IF(INDEX('Per Invoice'!L$2:L$801,$W279)="","",INDEX('Per Invoice'!L$2:L$801,$W279)))</f>
        <v/>
      </c>
      <c r="M279">
        <f>IF($W279="","",IF(INDEX('Per Invoice'!M$2:M$801,$W279)="","",INDEX('Per Invoice'!M$2:M$801,$W279)))</f>
        <v/>
      </c>
      <c r="N279" s="7">
        <f>IF($W279="","",IF(INDEX('Per Invoice'!N$2:N$801,$W279)="","",INDEX('Per Invoice'!N$2:N$801,$W279)))</f>
        <v/>
      </c>
      <c r="O279" s="7">
        <f>IF($W279="","",IF(INDEX('Per Invoice'!O$2:O$801,$W279)="","",INDEX('Per Invoice'!O$2:O$801,$W279)))</f>
        <v/>
      </c>
      <c r="P279">
        <f>IF($W279="","",IF(INDEX('Per Invoice'!P$2:P$801,$W279)="","",INDEX('Per Invoice'!P$2:P$801,$W279)))</f>
        <v/>
      </c>
      <c r="Q279" s="7">
        <f>IF($W279="","",IF(INDEX('Per Invoice'!Q$2:Q$801,$W279)="","",INDEX('Per Invoice'!Q$2:Q$801,$W279)))</f>
        <v/>
      </c>
      <c r="R279" s="7">
        <f>IF($W279="","",IF(INDEX('Per Invoice'!R$2:R$801,$W279)="","",INDEX('Per Invoice'!R$2:R$801,$W279)))</f>
        <v/>
      </c>
      <c r="S279" s="7">
        <f>IF($W279="","",IF(INDEX('Per Invoice'!S$2:S$801,$W279)="","",INDEX('Per Invoice'!S$2:S$801,$W279)))</f>
        <v/>
      </c>
      <c r="T279" s="7">
        <f>IF($W279="","",IF(INDEX('Per Invoice'!T$2:T$801,$W279)="","",INDEX('Per Invoice'!T$2:T$801,$W279)))</f>
        <v/>
      </c>
      <c r="U279" s="7">
        <f>IF($W279="","",IF(INDEX('Per Invoice'!U$2:U$801,$W279)="","",INDEX('Per Invoice'!U$2:U$801,$W279)))</f>
        <v/>
      </c>
      <c r="V279" s="7">
        <f>IF($W279="","",IF(INDEX('Per Invoice'!V$2:V$801,$W279)="","",INDEX('Per Invoice'!V$2:V$801,$W279)))</f>
        <v/>
      </c>
      <c r="W279" s="16">
        <f>IFERROR(MATCH(Settings!$C$31&amp;"|"&amp;ROWS($W$2:$W279),'Per Invoice'!$X$2:$X$801,0),"")</f>
        <v/>
      </c>
    </row>
    <row r="280">
      <c r="A280">
        <f>IF($W280="","",IF(INDEX('Per Invoice'!A$2:A$801,$W280)="","",INDEX('Per Invoice'!A$2:A$801,$W280)))</f>
        <v/>
      </c>
      <c r="B280">
        <f>IF($W280="","",IF(INDEX('Per Invoice'!B$2:B$801,$W280)="","",INDEX('Per Invoice'!B$2:B$801,$W280)))</f>
        <v/>
      </c>
      <c r="C280">
        <f>IF($W280="","",IF(INDEX('Per Invoice'!C$2:C$801,$W280)="","",INDEX('Per Invoice'!C$2:C$801,$W280)))</f>
        <v/>
      </c>
      <c r="D280">
        <f>IF($W280="","",IF(INDEX('Per Invoice'!D$2:D$801,$W280)="","",INDEX('Per Invoice'!D$2:D$801,$W280)))</f>
        <v/>
      </c>
      <c r="E280">
        <f>IF($W280="","",IF(INDEX('Per Invoice'!E$2:E$801,$W280)="","",INDEX('Per Invoice'!E$2:E$801,$W280)))</f>
        <v/>
      </c>
      <c r="F280">
        <f>IF($W280="","",IF(INDEX('Per Invoice'!F$2:F$801,$W280)="","",INDEX('Per Invoice'!F$2:F$801,$W280)))</f>
        <v/>
      </c>
      <c r="G280">
        <f>IF($W280="","",IF(INDEX('Per Invoice'!G$2:G$801,$W280)="","",INDEX('Per Invoice'!G$2:G$801,$W280)))</f>
        <v/>
      </c>
      <c r="H280">
        <f>IF($W280="","",IF(INDEX('Per Invoice'!H$2:H$801,$W280)="","",INDEX('Per Invoice'!H$2:H$801,$W280)))</f>
        <v/>
      </c>
      <c r="I280">
        <f>IF($W280="","",IF(INDEX('Per Invoice'!I$2:I$801,$W280)="","",INDEX('Per Invoice'!I$2:I$801,$W280)))</f>
        <v/>
      </c>
      <c r="J280">
        <f>IF($W280="","",IF(INDEX('Per Invoice'!J$2:J$801,$W280)="","",INDEX('Per Invoice'!J$2:J$801,$W280)))</f>
        <v/>
      </c>
      <c r="K280" s="7">
        <f>IF($W280="","",IF(INDEX('Per Invoice'!K$2:K$801,$W280)="","",INDEX('Per Invoice'!K$2:K$801,$W280)))</f>
        <v/>
      </c>
      <c r="L280" s="14">
        <f>IF($W280="","",IF(INDEX('Per Invoice'!L$2:L$801,$W280)="","",INDEX('Per Invoice'!L$2:L$801,$W280)))</f>
        <v/>
      </c>
      <c r="M280">
        <f>IF($W280="","",IF(INDEX('Per Invoice'!M$2:M$801,$W280)="","",INDEX('Per Invoice'!M$2:M$801,$W280)))</f>
        <v/>
      </c>
      <c r="N280" s="7">
        <f>IF($W280="","",IF(INDEX('Per Invoice'!N$2:N$801,$W280)="","",INDEX('Per Invoice'!N$2:N$801,$W280)))</f>
        <v/>
      </c>
      <c r="O280" s="7">
        <f>IF($W280="","",IF(INDEX('Per Invoice'!O$2:O$801,$W280)="","",INDEX('Per Invoice'!O$2:O$801,$W280)))</f>
        <v/>
      </c>
      <c r="P280">
        <f>IF($W280="","",IF(INDEX('Per Invoice'!P$2:P$801,$W280)="","",INDEX('Per Invoice'!P$2:P$801,$W280)))</f>
        <v/>
      </c>
      <c r="Q280" s="7">
        <f>IF($W280="","",IF(INDEX('Per Invoice'!Q$2:Q$801,$W280)="","",INDEX('Per Invoice'!Q$2:Q$801,$W280)))</f>
        <v/>
      </c>
      <c r="R280" s="7">
        <f>IF($W280="","",IF(INDEX('Per Invoice'!R$2:R$801,$W280)="","",INDEX('Per Invoice'!R$2:R$801,$W280)))</f>
        <v/>
      </c>
      <c r="S280" s="7">
        <f>IF($W280="","",IF(INDEX('Per Invoice'!S$2:S$801,$W280)="","",INDEX('Per Invoice'!S$2:S$801,$W280)))</f>
        <v/>
      </c>
      <c r="T280" s="7">
        <f>IF($W280="","",IF(INDEX('Per Invoice'!T$2:T$801,$W280)="","",INDEX('Per Invoice'!T$2:T$801,$W280)))</f>
        <v/>
      </c>
      <c r="U280" s="7">
        <f>IF($W280="","",IF(INDEX('Per Invoice'!U$2:U$801,$W280)="","",INDEX('Per Invoice'!U$2:U$801,$W280)))</f>
        <v/>
      </c>
      <c r="V280" s="7">
        <f>IF($W280="","",IF(INDEX('Per Invoice'!V$2:V$801,$W280)="","",INDEX('Per Invoice'!V$2:V$801,$W280)))</f>
        <v/>
      </c>
      <c r="W280" s="16">
        <f>IFERROR(MATCH(Settings!$C$31&amp;"|"&amp;ROWS($W$2:$W280),'Per Invoice'!$X$2:$X$801,0),"")</f>
        <v/>
      </c>
    </row>
    <row r="281">
      <c r="A281">
        <f>IF($W281="","",IF(INDEX('Per Invoice'!A$2:A$801,$W281)="","",INDEX('Per Invoice'!A$2:A$801,$W281)))</f>
        <v/>
      </c>
      <c r="B281">
        <f>IF($W281="","",IF(INDEX('Per Invoice'!B$2:B$801,$W281)="","",INDEX('Per Invoice'!B$2:B$801,$W281)))</f>
        <v/>
      </c>
      <c r="C281">
        <f>IF($W281="","",IF(INDEX('Per Invoice'!C$2:C$801,$W281)="","",INDEX('Per Invoice'!C$2:C$801,$W281)))</f>
        <v/>
      </c>
      <c r="D281">
        <f>IF($W281="","",IF(INDEX('Per Invoice'!D$2:D$801,$W281)="","",INDEX('Per Invoice'!D$2:D$801,$W281)))</f>
        <v/>
      </c>
      <c r="E281">
        <f>IF($W281="","",IF(INDEX('Per Invoice'!E$2:E$801,$W281)="","",INDEX('Per Invoice'!E$2:E$801,$W281)))</f>
        <v/>
      </c>
      <c r="F281">
        <f>IF($W281="","",IF(INDEX('Per Invoice'!F$2:F$801,$W281)="","",INDEX('Per Invoice'!F$2:F$801,$W281)))</f>
        <v/>
      </c>
      <c r="G281">
        <f>IF($W281="","",IF(INDEX('Per Invoice'!G$2:G$801,$W281)="","",INDEX('Per Invoice'!G$2:G$801,$W281)))</f>
        <v/>
      </c>
      <c r="H281">
        <f>IF($W281="","",IF(INDEX('Per Invoice'!H$2:H$801,$W281)="","",INDEX('Per Invoice'!H$2:H$801,$W281)))</f>
        <v/>
      </c>
      <c r="I281">
        <f>IF($W281="","",IF(INDEX('Per Invoice'!I$2:I$801,$W281)="","",INDEX('Per Invoice'!I$2:I$801,$W281)))</f>
        <v/>
      </c>
      <c r="J281">
        <f>IF($W281="","",IF(INDEX('Per Invoice'!J$2:J$801,$W281)="","",INDEX('Per Invoice'!J$2:J$801,$W281)))</f>
        <v/>
      </c>
      <c r="K281" s="7">
        <f>IF($W281="","",IF(INDEX('Per Invoice'!K$2:K$801,$W281)="","",INDEX('Per Invoice'!K$2:K$801,$W281)))</f>
        <v/>
      </c>
      <c r="L281" s="14">
        <f>IF($W281="","",IF(INDEX('Per Invoice'!L$2:L$801,$W281)="","",INDEX('Per Invoice'!L$2:L$801,$W281)))</f>
        <v/>
      </c>
      <c r="M281">
        <f>IF($W281="","",IF(INDEX('Per Invoice'!M$2:M$801,$W281)="","",INDEX('Per Invoice'!M$2:M$801,$W281)))</f>
        <v/>
      </c>
      <c r="N281" s="7">
        <f>IF($W281="","",IF(INDEX('Per Invoice'!N$2:N$801,$W281)="","",INDEX('Per Invoice'!N$2:N$801,$W281)))</f>
        <v/>
      </c>
      <c r="O281" s="7">
        <f>IF($W281="","",IF(INDEX('Per Invoice'!O$2:O$801,$W281)="","",INDEX('Per Invoice'!O$2:O$801,$W281)))</f>
        <v/>
      </c>
      <c r="P281">
        <f>IF($W281="","",IF(INDEX('Per Invoice'!P$2:P$801,$W281)="","",INDEX('Per Invoice'!P$2:P$801,$W281)))</f>
        <v/>
      </c>
      <c r="Q281" s="7">
        <f>IF($W281="","",IF(INDEX('Per Invoice'!Q$2:Q$801,$W281)="","",INDEX('Per Invoice'!Q$2:Q$801,$W281)))</f>
        <v/>
      </c>
      <c r="R281" s="7">
        <f>IF($W281="","",IF(INDEX('Per Invoice'!R$2:R$801,$W281)="","",INDEX('Per Invoice'!R$2:R$801,$W281)))</f>
        <v/>
      </c>
      <c r="S281" s="7">
        <f>IF($W281="","",IF(INDEX('Per Invoice'!S$2:S$801,$W281)="","",INDEX('Per Invoice'!S$2:S$801,$W281)))</f>
        <v/>
      </c>
      <c r="T281" s="7">
        <f>IF($W281="","",IF(INDEX('Per Invoice'!T$2:T$801,$W281)="","",INDEX('Per Invoice'!T$2:T$801,$W281)))</f>
        <v/>
      </c>
      <c r="U281" s="7">
        <f>IF($W281="","",IF(INDEX('Per Invoice'!U$2:U$801,$W281)="","",INDEX('Per Invoice'!U$2:U$801,$W281)))</f>
        <v/>
      </c>
      <c r="V281" s="7">
        <f>IF($W281="","",IF(INDEX('Per Invoice'!V$2:V$801,$W281)="","",INDEX('Per Invoice'!V$2:V$801,$W281)))</f>
        <v/>
      </c>
      <c r="W281" s="16">
        <f>IFERROR(MATCH(Settings!$C$31&amp;"|"&amp;ROWS($W$2:$W281),'Per Invoice'!$X$2:$X$801,0),"")</f>
        <v/>
      </c>
    </row>
    <row r="282">
      <c r="A282">
        <f>IF($W282="","",IF(INDEX('Per Invoice'!A$2:A$801,$W282)="","",INDEX('Per Invoice'!A$2:A$801,$W282)))</f>
        <v/>
      </c>
      <c r="B282">
        <f>IF($W282="","",IF(INDEX('Per Invoice'!B$2:B$801,$W282)="","",INDEX('Per Invoice'!B$2:B$801,$W282)))</f>
        <v/>
      </c>
      <c r="C282">
        <f>IF($W282="","",IF(INDEX('Per Invoice'!C$2:C$801,$W282)="","",INDEX('Per Invoice'!C$2:C$801,$W282)))</f>
        <v/>
      </c>
      <c r="D282">
        <f>IF($W282="","",IF(INDEX('Per Invoice'!D$2:D$801,$W282)="","",INDEX('Per Invoice'!D$2:D$801,$W282)))</f>
        <v/>
      </c>
      <c r="E282">
        <f>IF($W282="","",IF(INDEX('Per Invoice'!E$2:E$801,$W282)="","",INDEX('Per Invoice'!E$2:E$801,$W282)))</f>
        <v/>
      </c>
      <c r="F282">
        <f>IF($W282="","",IF(INDEX('Per Invoice'!F$2:F$801,$W282)="","",INDEX('Per Invoice'!F$2:F$801,$W282)))</f>
        <v/>
      </c>
      <c r="G282">
        <f>IF($W282="","",IF(INDEX('Per Invoice'!G$2:G$801,$W282)="","",INDEX('Per Invoice'!G$2:G$801,$W282)))</f>
        <v/>
      </c>
      <c r="H282">
        <f>IF($W282="","",IF(INDEX('Per Invoice'!H$2:H$801,$W282)="","",INDEX('Per Invoice'!H$2:H$801,$W282)))</f>
        <v/>
      </c>
      <c r="I282">
        <f>IF($W282="","",IF(INDEX('Per Invoice'!I$2:I$801,$W282)="","",INDEX('Per Invoice'!I$2:I$801,$W282)))</f>
        <v/>
      </c>
      <c r="J282">
        <f>IF($W282="","",IF(INDEX('Per Invoice'!J$2:J$801,$W282)="","",INDEX('Per Invoice'!J$2:J$801,$W282)))</f>
        <v/>
      </c>
      <c r="K282" s="7">
        <f>IF($W282="","",IF(INDEX('Per Invoice'!K$2:K$801,$W282)="","",INDEX('Per Invoice'!K$2:K$801,$W282)))</f>
        <v/>
      </c>
      <c r="L282" s="14">
        <f>IF($W282="","",IF(INDEX('Per Invoice'!L$2:L$801,$W282)="","",INDEX('Per Invoice'!L$2:L$801,$W282)))</f>
        <v/>
      </c>
      <c r="M282">
        <f>IF($W282="","",IF(INDEX('Per Invoice'!M$2:M$801,$W282)="","",INDEX('Per Invoice'!M$2:M$801,$W282)))</f>
        <v/>
      </c>
      <c r="N282" s="7">
        <f>IF($W282="","",IF(INDEX('Per Invoice'!N$2:N$801,$W282)="","",INDEX('Per Invoice'!N$2:N$801,$W282)))</f>
        <v/>
      </c>
      <c r="O282" s="7">
        <f>IF($W282="","",IF(INDEX('Per Invoice'!O$2:O$801,$W282)="","",INDEX('Per Invoice'!O$2:O$801,$W282)))</f>
        <v/>
      </c>
      <c r="P282">
        <f>IF($W282="","",IF(INDEX('Per Invoice'!P$2:P$801,$W282)="","",INDEX('Per Invoice'!P$2:P$801,$W282)))</f>
        <v/>
      </c>
      <c r="Q282" s="7">
        <f>IF($W282="","",IF(INDEX('Per Invoice'!Q$2:Q$801,$W282)="","",INDEX('Per Invoice'!Q$2:Q$801,$W282)))</f>
        <v/>
      </c>
      <c r="R282" s="7">
        <f>IF($W282="","",IF(INDEX('Per Invoice'!R$2:R$801,$W282)="","",INDEX('Per Invoice'!R$2:R$801,$W282)))</f>
        <v/>
      </c>
      <c r="S282" s="7">
        <f>IF($W282="","",IF(INDEX('Per Invoice'!S$2:S$801,$W282)="","",INDEX('Per Invoice'!S$2:S$801,$W282)))</f>
        <v/>
      </c>
      <c r="T282" s="7">
        <f>IF($W282="","",IF(INDEX('Per Invoice'!T$2:T$801,$W282)="","",INDEX('Per Invoice'!T$2:T$801,$W282)))</f>
        <v/>
      </c>
      <c r="U282" s="7">
        <f>IF($W282="","",IF(INDEX('Per Invoice'!U$2:U$801,$W282)="","",INDEX('Per Invoice'!U$2:U$801,$W282)))</f>
        <v/>
      </c>
      <c r="V282" s="7">
        <f>IF($W282="","",IF(INDEX('Per Invoice'!V$2:V$801,$W282)="","",INDEX('Per Invoice'!V$2:V$801,$W282)))</f>
        <v/>
      </c>
      <c r="W282" s="16">
        <f>IFERROR(MATCH(Settings!$C$31&amp;"|"&amp;ROWS($W$2:$W282),'Per Invoice'!$X$2:$X$801,0),"")</f>
        <v/>
      </c>
    </row>
    <row r="283">
      <c r="A283">
        <f>IF($W283="","",IF(INDEX('Per Invoice'!A$2:A$801,$W283)="","",INDEX('Per Invoice'!A$2:A$801,$W283)))</f>
        <v/>
      </c>
      <c r="B283">
        <f>IF($W283="","",IF(INDEX('Per Invoice'!B$2:B$801,$W283)="","",INDEX('Per Invoice'!B$2:B$801,$W283)))</f>
        <v/>
      </c>
      <c r="C283">
        <f>IF($W283="","",IF(INDEX('Per Invoice'!C$2:C$801,$W283)="","",INDEX('Per Invoice'!C$2:C$801,$W283)))</f>
        <v/>
      </c>
      <c r="D283">
        <f>IF($W283="","",IF(INDEX('Per Invoice'!D$2:D$801,$W283)="","",INDEX('Per Invoice'!D$2:D$801,$W283)))</f>
        <v/>
      </c>
      <c r="E283">
        <f>IF($W283="","",IF(INDEX('Per Invoice'!E$2:E$801,$W283)="","",INDEX('Per Invoice'!E$2:E$801,$W283)))</f>
        <v/>
      </c>
      <c r="F283">
        <f>IF($W283="","",IF(INDEX('Per Invoice'!F$2:F$801,$W283)="","",INDEX('Per Invoice'!F$2:F$801,$W283)))</f>
        <v/>
      </c>
      <c r="G283">
        <f>IF($W283="","",IF(INDEX('Per Invoice'!G$2:G$801,$W283)="","",INDEX('Per Invoice'!G$2:G$801,$W283)))</f>
        <v/>
      </c>
      <c r="H283">
        <f>IF($W283="","",IF(INDEX('Per Invoice'!H$2:H$801,$W283)="","",INDEX('Per Invoice'!H$2:H$801,$W283)))</f>
        <v/>
      </c>
      <c r="I283">
        <f>IF($W283="","",IF(INDEX('Per Invoice'!I$2:I$801,$W283)="","",INDEX('Per Invoice'!I$2:I$801,$W283)))</f>
        <v/>
      </c>
      <c r="J283">
        <f>IF($W283="","",IF(INDEX('Per Invoice'!J$2:J$801,$W283)="","",INDEX('Per Invoice'!J$2:J$801,$W283)))</f>
        <v/>
      </c>
      <c r="K283" s="7">
        <f>IF($W283="","",IF(INDEX('Per Invoice'!K$2:K$801,$W283)="","",INDEX('Per Invoice'!K$2:K$801,$W283)))</f>
        <v/>
      </c>
      <c r="L283" s="14">
        <f>IF($W283="","",IF(INDEX('Per Invoice'!L$2:L$801,$W283)="","",INDEX('Per Invoice'!L$2:L$801,$W283)))</f>
        <v/>
      </c>
      <c r="M283">
        <f>IF($W283="","",IF(INDEX('Per Invoice'!M$2:M$801,$W283)="","",INDEX('Per Invoice'!M$2:M$801,$W283)))</f>
        <v/>
      </c>
      <c r="N283" s="7">
        <f>IF($W283="","",IF(INDEX('Per Invoice'!N$2:N$801,$W283)="","",INDEX('Per Invoice'!N$2:N$801,$W283)))</f>
        <v/>
      </c>
      <c r="O283" s="7">
        <f>IF($W283="","",IF(INDEX('Per Invoice'!O$2:O$801,$W283)="","",INDEX('Per Invoice'!O$2:O$801,$W283)))</f>
        <v/>
      </c>
      <c r="P283">
        <f>IF($W283="","",IF(INDEX('Per Invoice'!P$2:P$801,$W283)="","",INDEX('Per Invoice'!P$2:P$801,$W283)))</f>
        <v/>
      </c>
      <c r="Q283" s="7">
        <f>IF($W283="","",IF(INDEX('Per Invoice'!Q$2:Q$801,$W283)="","",INDEX('Per Invoice'!Q$2:Q$801,$W283)))</f>
        <v/>
      </c>
      <c r="R283" s="7">
        <f>IF($W283="","",IF(INDEX('Per Invoice'!R$2:R$801,$W283)="","",INDEX('Per Invoice'!R$2:R$801,$W283)))</f>
        <v/>
      </c>
      <c r="S283" s="7">
        <f>IF($W283="","",IF(INDEX('Per Invoice'!S$2:S$801,$W283)="","",INDEX('Per Invoice'!S$2:S$801,$W283)))</f>
        <v/>
      </c>
      <c r="T283" s="7">
        <f>IF($W283="","",IF(INDEX('Per Invoice'!T$2:T$801,$W283)="","",INDEX('Per Invoice'!T$2:T$801,$W283)))</f>
        <v/>
      </c>
      <c r="U283" s="7">
        <f>IF($W283="","",IF(INDEX('Per Invoice'!U$2:U$801,$W283)="","",INDEX('Per Invoice'!U$2:U$801,$W283)))</f>
        <v/>
      </c>
      <c r="V283" s="7">
        <f>IF($W283="","",IF(INDEX('Per Invoice'!V$2:V$801,$W283)="","",INDEX('Per Invoice'!V$2:V$801,$W283)))</f>
        <v/>
      </c>
      <c r="W283" s="16">
        <f>IFERROR(MATCH(Settings!$C$31&amp;"|"&amp;ROWS($W$2:$W283),'Per Invoice'!$X$2:$X$801,0),"")</f>
        <v/>
      </c>
    </row>
    <row r="284">
      <c r="A284">
        <f>IF($W284="","",IF(INDEX('Per Invoice'!A$2:A$801,$W284)="","",INDEX('Per Invoice'!A$2:A$801,$W284)))</f>
        <v/>
      </c>
      <c r="B284">
        <f>IF($W284="","",IF(INDEX('Per Invoice'!B$2:B$801,$W284)="","",INDEX('Per Invoice'!B$2:B$801,$W284)))</f>
        <v/>
      </c>
      <c r="C284">
        <f>IF($W284="","",IF(INDEX('Per Invoice'!C$2:C$801,$W284)="","",INDEX('Per Invoice'!C$2:C$801,$W284)))</f>
        <v/>
      </c>
      <c r="D284">
        <f>IF($W284="","",IF(INDEX('Per Invoice'!D$2:D$801,$W284)="","",INDEX('Per Invoice'!D$2:D$801,$W284)))</f>
        <v/>
      </c>
      <c r="E284">
        <f>IF($W284="","",IF(INDEX('Per Invoice'!E$2:E$801,$W284)="","",INDEX('Per Invoice'!E$2:E$801,$W284)))</f>
        <v/>
      </c>
      <c r="F284">
        <f>IF($W284="","",IF(INDEX('Per Invoice'!F$2:F$801,$W284)="","",INDEX('Per Invoice'!F$2:F$801,$W284)))</f>
        <v/>
      </c>
      <c r="G284">
        <f>IF($W284="","",IF(INDEX('Per Invoice'!G$2:G$801,$W284)="","",INDEX('Per Invoice'!G$2:G$801,$W284)))</f>
        <v/>
      </c>
      <c r="H284">
        <f>IF($W284="","",IF(INDEX('Per Invoice'!H$2:H$801,$W284)="","",INDEX('Per Invoice'!H$2:H$801,$W284)))</f>
        <v/>
      </c>
      <c r="I284">
        <f>IF($W284="","",IF(INDEX('Per Invoice'!I$2:I$801,$W284)="","",INDEX('Per Invoice'!I$2:I$801,$W284)))</f>
        <v/>
      </c>
      <c r="J284">
        <f>IF($W284="","",IF(INDEX('Per Invoice'!J$2:J$801,$W284)="","",INDEX('Per Invoice'!J$2:J$801,$W284)))</f>
        <v/>
      </c>
      <c r="K284" s="7">
        <f>IF($W284="","",IF(INDEX('Per Invoice'!K$2:K$801,$W284)="","",INDEX('Per Invoice'!K$2:K$801,$W284)))</f>
        <v/>
      </c>
      <c r="L284" s="14">
        <f>IF($W284="","",IF(INDEX('Per Invoice'!L$2:L$801,$W284)="","",INDEX('Per Invoice'!L$2:L$801,$W284)))</f>
        <v/>
      </c>
      <c r="M284">
        <f>IF($W284="","",IF(INDEX('Per Invoice'!M$2:M$801,$W284)="","",INDEX('Per Invoice'!M$2:M$801,$W284)))</f>
        <v/>
      </c>
      <c r="N284" s="7">
        <f>IF($W284="","",IF(INDEX('Per Invoice'!N$2:N$801,$W284)="","",INDEX('Per Invoice'!N$2:N$801,$W284)))</f>
        <v/>
      </c>
      <c r="O284" s="7">
        <f>IF($W284="","",IF(INDEX('Per Invoice'!O$2:O$801,$W284)="","",INDEX('Per Invoice'!O$2:O$801,$W284)))</f>
        <v/>
      </c>
      <c r="P284">
        <f>IF($W284="","",IF(INDEX('Per Invoice'!P$2:P$801,$W284)="","",INDEX('Per Invoice'!P$2:P$801,$W284)))</f>
        <v/>
      </c>
      <c r="Q284" s="7">
        <f>IF($W284="","",IF(INDEX('Per Invoice'!Q$2:Q$801,$W284)="","",INDEX('Per Invoice'!Q$2:Q$801,$W284)))</f>
        <v/>
      </c>
      <c r="R284" s="7">
        <f>IF($W284="","",IF(INDEX('Per Invoice'!R$2:R$801,$W284)="","",INDEX('Per Invoice'!R$2:R$801,$W284)))</f>
        <v/>
      </c>
      <c r="S284" s="7">
        <f>IF($W284="","",IF(INDEX('Per Invoice'!S$2:S$801,$W284)="","",INDEX('Per Invoice'!S$2:S$801,$W284)))</f>
        <v/>
      </c>
      <c r="T284" s="7">
        <f>IF($W284="","",IF(INDEX('Per Invoice'!T$2:T$801,$W284)="","",INDEX('Per Invoice'!T$2:T$801,$W284)))</f>
        <v/>
      </c>
      <c r="U284" s="7">
        <f>IF($W284="","",IF(INDEX('Per Invoice'!U$2:U$801,$W284)="","",INDEX('Per Invoice'!U$2:U$801,$W284)))</f>
        <v/>
      </c>
      <c r="V284" s="7">
        <f>IF($W284="","",IF(INDEX('Per Invoice'!V$2:V$801,$W284)="","",INDEX('Per Invoice'!V$2:V$801,$W284)))</f>
        <v/>
      </c>
      <c r="W284" s="16">
        <f>IFERROR(MATCH(Settings!$C$31&amp;"|"&amp;ROWS($W$2:$W284),'Per Invoice'!$X$2:$X$801,0),"")</f>
        <v/>
      </c>
    </row>
    <row r="285">
      <c r="A285">
        <f>IF($W285="","",IF(INDEX('Per Invoice'!A$2:A$801,$W285)="","",INDEX('Per Invoice'!A$2:A$801,$W285)))</f>
        <v/>
      </c>
      <c r="B285">
        <f>IF($W285="","",IF(INDEX('Per Invoice'!B$2:B$801,$W285)="","",INDEX('Per Invoice'!B$2:B$801,$W285)))</f>
        <v/>
      </c>
      <c r="C285">
        <f>IF($W285="","",IF(INDEX('Per Invoice'!C$2:C$801,$W285)="","",INDEX('Per Invoice'!C$2:C$801,$W285)))</f>
        <v/>
      </c>
      <c r="D285">
        <f>IF($W285="","",IF(INDEX('Per Invoice'!D$2:D$801,$W285)="","",INDEX('Per Invoice'!D$2:D$801,$W285)))</f>
        <v/>
      </c>
      <c r="E285">
        <f>IF($W285="","",IF(INDEX('Per Invoice'!E$2:E$801,$W285)="","",INDEX('Per Invoice'!E$2:E$801,$W285)))</f>
        <v/>
      </c>
      <c r="F285">
        <f>IF($W285="","",IF(INDEX('Per Invoice'!F$2:F$801,$W285)="","",INDEX('Per Invoice'!F$2:F$801,$W285)))</f>
        <v/>
      </c>
      <c r="G285">
        <f>IF($W285="","",IF(INDEX('Per Invoice'!G$2:G$801,$W285)="","",INDEX('Per Invoice'!G$2:G$801,$W285)))</f>
        <v/>
      </c>
      <c r="H285">
        <f>IF($W285="","",IF(INDEX('Per Invoice'!H$2:H$801,$W285)="","",INDEX('Per Invoice'!H$2:H$801,$W285)))</f>
        <v/>
      </c>
      <c r="I285">
        <f>IF($W285="","",IF(INDEX('Per Invoice'!I$2:I$801,$W285)="","",INDEX('Per Invoice'!I$2:I$801,$W285)))</f>
        <v/>
      </c>
      <c r="J285">
        <f>IF($W285="","",IF(INDEX('Per Invoice'!J$2:J$801,$W285)="","",INDEX('Per Invoice'!J$2:J$801,$W285)))</f>
        <v/>
      </c>
      <c r="K285" s="7">
        <f>IF($W285="","",IF(INDEX('Per Invoice'!K$2:K$801,$W285)="","",INDEX('Per Invoice'!K$2:K$801,$W285)))</f>
        <v/>
      </c>
      <c r="L285" s="14">
        <f>IF($W285="","",IF(INDEX('Per Invoice'!L$2:L$801,$W285)="","",INDEX('Per Invoice'!L$2:L$801,$W285)))</f>
        <v/>
      </c>
      <c r="M285">
        <f>IF($W285="","",IF(INDEX('Per Invoice'!M$2:M$801,$W285)="","",INDEX('Per Invoice'!M$2:M$801,$W285)))</f>
        <v/>
      </c>
      <c r="N285" s="7">
        <f>IF($W285="","",IF(INDEX('Per Invoice'!N$2:N$801,$W285)="","",INDEX('Per Invoice'!N$2:N$801,$W285)))</f>
        <v/>
      </c>
      <c r="O285" s="7">
        <f>IF($W285="","",IF(INDEX('Per Invoice'!O$2:O$801,$W285)="","",INDEX('Per Invoice'!O$2:O$801,$W285)))</f>
        <v/>
      </c>
      <c r="P285">
        <f>IF($W285="","",IF(INDEX('Per Invoice'!P$2:P$801,$W285)="","",INDEX('Per Invoice'!P$2:P$801,$W285)))</f>
        <v/>
      </c>
      <c r="Q285" s="7">
        <f>IF($W285="","",IF(INDEX('Per Invoice'!Q$2:Q$801,$W285)="","",INDEX('Per Invoice'!Q$2:Q$801,$W285)))</f>
        <v/>
      </c>
      <c r="R285" s="7">
        <f>IF($W285="","",IF(INDEX('Per Invoice'!R$2:R$801,$W285)="","",INDEX('Per Invoice'!R$2:R$801,$W285)))</f>
        <v/>
      </c>
      <c r="S285" s="7">
        <f>IF($W285="","",IF(INDEX('Per Invoice'!S$2:S$801,$W285)="","",INDEX('Per Invoice'!S$2:S$801,$W285)))</f>
        <v/>
      </c>
      <c r="T285" s="7">
        <f>IF($W285="","",IF(INDEX('Per Invoice'!T$2:T$801,$W285)="","",INDEX('Per Invoice'!T$2:T$801,$W285)))</f>
        <v/>
      </c>
      <c r="U285" s="7">
        <f>IF($W285="","",IF(INDEX('Per Invoice'!U$2:U$801,$W285)="","",INDEX('Per Invoice'!U$2:U$801,$W285)))</f>
        <v/>
      </c>
      <c r="V285" s="7">
        <f>IF($W285="","",IF(INDEX('Per Invoice'!V$2:V$801,$W285)="","",INDEX('Per Invoice'!V$2:V$801,$W285)))</f>
        <v/>
      </c>
      <c r="W285" s="16">
        <f>IFERROR(MATCH(Settings!$C$31&amp;"|"&amp;ROWS($W$2:$W285),'Per Invoice'!$X$2:$X$801,0),"")</f>
        <v/>
      </c>
    </row>
    <row r="286">
      <c r="A286">
        <f>IF($W286="","",IF(INDEX('Per Invoice'!A$2:A$801,$W286)="","",INDEX('Per Invoice'!A$2:A$801,$W286)))</f>
        <v/>
      </c>
      <c r="B286">
        <f>IF($W286="","",IF(INDEX('Per Invoice'!B$2:B$801,$W286)="","",INDEX('Per Invoice'!B$2:B$801,$W286)))</f>
        <v/>
      </c>
      <c r="C286">
        <f>IF($W286="","",IF(INDEX('Per Invoice'!C$2:C$801,$W286)="","",INDEX('Per Invoice'!C$2:C$801,$W286)))</f>
        <v/>
      </c>
      <c r="D286">
        <f>IF($W286="","",IF(INDEX('Per Invoice'!D$2:D$801,$W286)="","",INDEX('Per Invoice'!D$2:D$801,$W286)))</f>
        <v/>
      </c>
      <c r="E286">
        <f>IF($W286="","",IF(INDEX('Per Invoice'!E$2:E$801,$W286)="","",INDEX('Per Invoice'!E$2:E$801,$W286)))</f>
        <v/>
      </c>
      <c r="F286">
        <f>IF($W286="","",IF(INDEX('Per Invoice'!F$2:F$801,$W286)="","",INDEX('Per Invoice'!F$2:F$801,$W286)))</f>
        <v/>
      </c>
      <c r="G286">
        <f>IF($W286="","",IF(INDEX('Per Invoice'!G$2:G$801,$W286)="","",INDEX('Per Invoice'!G$2:G$801,$W286)))</f>
        <v/>
      </c>
      <c r="H286">
        <f>IF($W286="","",IF(INDEX('Per Invoice'!H$2:H$801,$W286)="","",INDEX('Per Invoice'!H$2:H$801,$W286)))</f>
        <v/>
      </c>
      <c r="I286">
        <f>IF($W286="","",IF(INDEX('Per Invoice'!I$2:I$801,$W286)="","",INDEX('Per Invoice'!I$2:I$801,$W286)))</f>
        <v/>
      </c>
      <c r="J286">
        <f>IF($W286="","",IF(INDEX('Per Invoice'!J$2:J$801,$W286)="","",INDEX('Per Invoice'!J$2:J$801,$W286)))</f>
        <v/>
      </c>
      <c r="K286" s="7">
        <f>IF($W286="","",IF(INDEX('Per Invoice'!K$2:K$801,$W286)="","",INDEX('Per Invoice'!K$2:K$801,$W286)))</f>
        <v/>
      </c>
      <c r="L286" s="14">
        <f>IF($W286="","",IF(INDEX('Per Invoice'!L$2:L$801,$W286)="","",INDEX('Per Invoice'!L$2:L$801,$W286)))</f>
        <v/>
      </c>
      <c r="M286">
        <f>IF($W286="","",IF(INDEX('Per Invoice'!M$2:M$801,$W286)="","",INDEX('Per Invoice'!M$2:M$801,$W286)))</f>
        <v/>
      </c>
      <c r="N286" s="7">
        <f>IF($W286="","",IF(INDEX('Per Invoice'!N$2:N$801,$W286)="","",INDEX('Per Invoice'!N$2:N$801,$W286)))</f>
        <v/>
      </c>
      <c r="O286" s="7">
        <f>IF($W286="","",IF(INDEX('Per Invoice'!O$2:O$801,$W286)="","",INDEX('Per Invoice'!O$2:O$801,$W286)))</f>
        <v/>
      </c>
      <c r="P286">
        <f>IF($W286="","",IF(INDEX('Per Invoice'!P$2:P$801,$W286)="","",INDEX('Per Invoice'!P$2:P$801,$W286)))</f>
        <v/>
      </c>
      <c r="Q286" s="7">
        <f>IF($W286="","",IF(INDEX('Per Invoice'!Q$2:Q$801,$W286)="","",INDEX('Per Invoice'!Q$2:Q$801,$W286)))</f>
        <v/>
      </c>
      <c r="R286" s="7">
        <f>IF($W286="","",IF(INDEX('Per Invoice'!R$2:R$801,$W286)="","",INDEX('Per Invoice'!R$2:R$801,$W286)))</f>
        <v/>
      </c>
      <c r="S286" s="7">
        <f>IF($W286="","",IF(INDEX('Per Invoice'!S$2:S$801,$W286)="","",INDEX('Per Invoice'!S$2:S$801,$W286)))</f>
        <v/>
      </c>
      <c r="T286" s="7">
        <f>IF($W286="","",IF(INDEX('Per Invoice'!T$2:T$801,$W286)="","",INDEX('Per Invoice'!T$2:T$801,$W286)))</f>
        <v/>
      </c>
      <c r="U286" s="7">
        <f>IF($W286="","",IF(INDEX('Per Invoice'!U$2:U$801,$W286)="","",INDEX('Per Invoice'!U$2:U$801,$W286)))</f>
        <v/>
      </c>
      <c r="V286" s="7">
        <f>IF($W286="","",IF(INDEX('Per Invoice'!V$2:V$801,$W286)="","",INDEX('Per Invoice'!V$2:V$801,$W286)))</f>
        <v/>
      </c>
      <c r="W286" s="16">
        <f>IFERROR(MATCH(Settings!$C$31&amp;"|"&amp;ROWS($W$2:$W286),'Per Invoice'!$X$2:$X$801,0),"")</f>
        <v/>
      </c>
    </row>
    <row r="287">
      <c r="A287">
        <f>IF($W287="","",IF(INDEX('Per Invoice'!A$2:A$801,$W287)="","",INDEX('Per Invoice'!A$2:A$801,$W287)))</f>
        <v/>
      </c>
      <c r="B287">
        <f>IF($W287="","",IF(INDEX('Per Invoice'!B$2:B$801,$W287)="","",INDEX('Per Invoice'!B$2:B$801,$W287)))</f>
        <v/>
      </c>
      <c r="C287">
        <f>IF($W287="","",IF(INDEX('Per Invoice'!C$2:C$801,$W287)="","",INDEX('Per Invoice'!C$2:C$801,$W287)))</f>
        <v/>
      </c>
      <c r="D287">
        <f>IF($W287="","",IF(INDEX('Per Invoice'!D$2:D$801,$W287)="","",INDEX('Per Invoice'!D$2:D$801,$W287)))</f>
        <v/>
      </c>
      <c r="E287">
        <f>IF($W287="","",IF(INDEX('Per Invoice'!E$2:E$801,$W287)="","",INDEX('Per Invoice'!E$2:E$801,$W287)))</f>
        <v/>
      </c>
      <c r="F287">
        <f>IF($W287="","",IF(INDEX('Per Invoice'!F$2:F$801,$W287)="","",INDEX('Per Invoice'!F$2:F$801,$W287)))</f>
        <v/>
      </c>
      <c r="G287">
        <f>IF($W287="","",IF(INDEX('Per Invoice'!G$2:G$801,$W287)="","",INDEX('Per Invoice'!G$2:G$801,$W287)))</f>
        <v/>
      </c>
      <c r="H287">
        <f>IF($W287="","",IF(INDEX('Per Invoice'!H$2:H$801,$W287)="","",INDEX('Per Invoice'!H$2:H$801,$W287)))</f>
        <v/>
      </c>
      <c r="I287">
        <f>IF($W287="","",IF(INDEX('Per Invoice'!I$2:I$801,$W287)="","",INDEX('Per Invoice'!I$2:I$801,$W287)))</f>
        <v/>
      </c>
      <c r="J287">
        <f>IF($W287="","",IF(INDEX('Per Invoice'!J$2:J$801,$W287)="","",INDEX('Per Invoice'!J$2:J$801,$W287)))</f>
        <v/>
      </c>
      <c r="K287" s="7">
        <f>IF($W287="","",IF(INDEX('Per Invoice'!K$2:K$801,$W287)="","",INDEX('Per Invoice'!K$2:K$801,$W287)))</f>
        <v/>
      </c>
      <c r="L287" s="14">
        <f>IF($W287="","",IF(INDEX('Per Invoice'!L$2:L$801,$W287)="","",INDEX('Per Invoice'!L$2:L$801,$W287)))</f>
        <v/>
      </c>
      <c r="M287">
        <f>IF($W287="","",IF(INDEX('Per Invoice'!M$2:M$801,$W287)="","",INDEX('Per Invoice'!M$2:M$801,$W287)))</f>
        <v/>
      </c>
      <c r="N287" s="7">
        <f>IF($W287="","",IF(INDEX('Per Invoice'!N$2:N$801,$W287)="","",INDEX('Per Invoice'!N$2:N$801,$W287)))</f>
        <v/>
      </c>
      <c r="O287" s="7">
        <f>IF($W287="","",IF(INDEX('Per Invoice'!O$2:O$801,$W287)="","",INDEX('Per Invoice'!O$2:O$801,$W287)))</f>
        <v/>
      </c>
      <c r="P287">
        <f>IF($W287="","",IF(INDEX('Per Invoice'!P$2:P$801,$W287)="","",INDEX('Per Invoice'!P$2:P$801,$W287)))</f>
        <v/>
      </c>
      <c r="Q287" s="7">
        <f>IF($W287="","",IF(INDEX('Per Invoice'!Q$2:Q$801,$W287)="","",INDEX('Per Invoice'!Q$2:Q$801,$W287)))</f>
        <v/>
      </c>
      <c r="R287" s="7">
        <f>IF($W287="","",IF(INDEX('Per Invoice'!R$2:R$801,$W287)="","",INDEX('Per Invoice'!R$2:R$801,$W287)))</f>
        <v/>
      </c>
      <c r="S287" s="7">
        <f>IF($W287="","",IF(INDEX('Per Invoice'!S$2:S$801,$W287)="","",INDEX('Per Invoice'!S$2:S$801,$W287)))</f>
        <v/>
      </c>
      <c r="T287" s="7">
        <f>IF($W287="","",IF(INDEX('Per Invoice'!T$2:T$801,$W287)="","",INDEX('Per Invoice'!T$2:T$801,$W287)))</f>
        <v/>
      </c>
      <c r="U287" s="7">
        <f>IF($W287="","",IF(INDEX('Per Invoice'!U$2:U$801,$W287)="","",INDEX('Per Invoice'!U$2:U$801,$W287)))</f>
        <v/>
      </c>
      <c r="V287" s="7">
        <f>IF($W287="","",IF(INDEX('Per Invoice'!V$2:V$801,$W287)="","",INDEX('Per Invoice'!V$2:V$801,$W287)))</f>
        <v/>
      </c>
      <c r="W287" s="16">
        <f>IFERROR(MATCH(Settings!$C$31&amp;"|"&amp;ROWS($W$2:$W287),'Per Invoice'!$X$2:$X$801,0),"")</f>
        <v/>
      </c>
    </row>
    <row r="288">
      <c r="A288">
        <f>IF($W288="","",IF(INDEX('Per Invoice'!A$2:A$801,$W288)="","",INDEX('Per Invoice'!A$2:A$801,$W288)))</f>
        <v/>
      </c>
      <c r="B288">
        <f>IF($W288="","",IF(INDEX('Per Invoice'!B$2:B$801,$W288)="","",INDEX('Per Invoice'!B$2:B$801,$W288)))</f>
        <v/>
      </c>
      <c r="C288">
        <f>IF($W288="","",IF(INDEX('Per Invoice'!C$2:C$801,$W288)="","",INDEX('Per Invoice'!C$2:C$801,$W288)))</f>
        <v/>
      </c>
      <c r="D288">
        <f>IF($W288="","",IF(INDEX('Per Invoice'!D$2:D$801,$W288)="","",INDEX('Per Invoice'!D$2:D$801,$W288)))</f>
        <v/>
      </c>
      <c r="E288">
        <f>IF($W288="","",IF(INDEX('Per Invoice'!E$2:E$801,$W288)="","",INDEX('Per Invoice'!E$2:E$801,$W288)))</f>
        <v/>
      </c>
      <c r="F288">
        <f>IF($W288="","",IF(INDEX('Per Invoice'!F$2:F$801,$W288)="","",INDEX('Per Invoice'!F$2:F$801,$W288)))</f>
        <v/>
      </c>
      <c r="G288">
        <f>IF($W288="","",IF(INDEX('Per Invoice'!G$2:G$801,$W288)="","",INDEX('Per Invoice'!G$2:G$801,$W288)))</f>
        <v/>
      </c>
      <c r="H288">
        <f>IF($W288="","",IF(INDEX('Per Invoice'!H$2:H$801,$W288)="","",INDEX('Per Invoice'!H$2:H$801,$W288)))</f>
        <v/>
      </c>
      <c r="I288">
        <f>IF($W288="","",IF(INDEX('Per Invoice'!I$2:I$801,$W288)="","",INDEX('Per Invoice'!I$2:I$801,$W288)))</f>
        <v/>
      </c>
      <c r="J288">
        <f>IF($W288="","",IF(INDEX('Per Invoice'!J$2:J$801,$W288)="","",INDEX('Per Invoice'!J$2:J$801,$W288)))</f>
        <v/>
      </c>
      <c r="K288" s="7">
        <f>IF($W288="","",IF(INDEX('Per Invoice'!K$2:K$801,$W288)="","",INDEX('Per Invoice'!K$2:K$801,$W288)))</f>
        <v/>
      </c>
      <c r="L288" s="14">
        <f>IF($W288="","",IF(INDEX('Per Invoice'!L$2:L$801,$W288)="","",INDEX('Per Invoice'!L$2:L$801,$W288)))</f>
        <v/>
      </c>
      <c r="M288">
        <f>IF($W288="","",IF(INDEX('Per Invoice'!M$2:M$801,$W288)="","",INDEX('Per Invoice'!M$2:M$801,$W288)))</f>
        <v/>
      </c>
      <c r="N288" s="7">
        <f>IF($W288="","",IF(INDEX('Per Invoice'!N$2:N$801,$W288)="","",INDEX('Per Invoice'!N$2:N$801,$W288)))</f>
        <v/>
      </c>
      <c r="O288" s="7">
        <f>IF($W288="","",IF(INDEX('Per Invoice'!O$2:O$801,$W288)="","",INDEX('Per Invoice'!O$2:O$801,$W288)))</f>
        <v/>
      </c>
      <c r="P288">
        <f>IF($W288="","",IF(INDEX('Per Invoice'!P$2:P$801,$W288)="","",INDEX('Per Invoice'!P$2:P$801,$W288)))</f>
        <v/>
      </c>
      <c r="Q288" s="7">
        <f>IF($W288="","",IF(INDEX('Per Invoice'!Q$2:Q$801,$W288)="","",INDEX('Per Invoice'!Q$2:Q$801,$W288)))</f>
        <v/>
      </c>
      <c r="R288" s="7">
        <f>IF($W288="","",IF(INDEX('Per Invoice'!R$2:R$801,$W288)="","",INDEX('Per Invoice'!R$2:R$801,$W288)))</f>
        <v/>
      </c>
      <c r="S288" s="7">
        <f>IF($W288="","",IF(INDEX('Per Invoice'!S$2:S$801,$W288)="","",INDEX('Per Invoice'!S$2:S$801,$W288)))</f>
        <v/>
      </c>
      <c r="T288" s="7">
        <f>IF($W288="","",IF(INDEX('Per Invoice'!T$2:T$801,$W288)="","",INDEX('Per Invoice'!T$2:T$801,$W288)))</f>
        <v/>
      </c>
      <c r="U288" s="7">
        <f>IF($W288="","",IF(INDEX('Per Invoice'!U$2:U$801,$W288)="","",INDEX('Per Invoice'!U$2:U$801,$W288)))</f>
        <v/>
      </c>
      <c r="V288" s="7">
        <f>IF($W288="","",IF(INDEX('Per Invoice'!V$2:V$801,$W288)="","",INDEX('Per Invoice'!V$2:V$801,$W288)))</f>
        <v/>
      </c>
      <c r="W288" s="16">
        <f>IFERROR(MATCH(Settings!$C$31&amp;"|"&amp;ROWS($W$2:$W288),'Per Invoice'!$X$2:$X$801,0),"")</f>
        <v/>
      </c>
    </row>
    <row r="289">
      <c r="A289">
        <f>IF($W289="","",IF(INDEX('Per Invoice'!A$2:A$801,$W289)="","",INDEX('Per Invoice'!A$2:A$801,$W289)))</f>
        <v/>
      </c>
      <c r="B289">
        <f>IF($W289="","",IF(INDEX('Per Invoice'!B$2:B$801,$W289)="","",INDEX('Per Invoice'!B$2:B$801,$W289)))</f>
        <v/>
      </c>
      <c r="C289">
        <f>IF($W289="","",IF(INDEX('Per Invoice'!C$2:C$801,$W289)="","",INDEX('Per Invoice'!C$2:C$801,$W289)))</f>
        <v/>
      </c>
      <c r="D289">
        <f>IF($W289="","",IF(INDEX('Per Invoice'!D$2:D$801,$W289)="","",INDEX('Per Invoice'!D$2:D$801,$W289)))</f>
        <v/>
      </c>
      <c r="E289">
        <f>IF($W289="","",IF(INDEX('Per Invoice'!E$2:E$801,$W289)="","",INDEX('Per Invoice'!E$2:E$801,$W289)))</f>
        <v/>
      </c>
      <c r="F289">
        <f>IF($W289="","",IF(INDEX('Per Invoice'!F$2:F$801,$W289)="","",INDEX('Per Invoice'!F$2:F$801,$W289)))</f>
        <v/>
      </c>
      <c r="G289">
        <f>IF($W289="","",IF(INDEX('Per Invoice'!G$2:G$801,$W289)="","",INDEX('Per Invoice'!G$2:G$801,$W289)))</f>
        <v/>
      </c>
      <c r="H289">
        <f>IF($W289="","",IF(INDEX('Per Invoice'!H$2:H$801,$W289)="","",INDEX('Per Invoice'!H$2:H$801,$W289)))</f>
        <v/>
      </c>
      <c r="I289">
        <f>IF($W289="","",IF(INDEX('Per Invoice'!I$2:I$801,$W289)="","",INDEX('Per Invoice'!I$2:I$801,$W289)))</f>
        <v/>
      </c>
      <c r="J289">
        <f>IF($W289="","",IF(INDEX('Per Invoice'!J$2:J$801,$W289)="","",INDEX('Per Invoice'!J$2:J$801,$W289)))</f>
        <v/>
      </c>
      <c r="K289" s="7">
        <f>IF($W289="","",IF(INDEX('Per Invoice'!K$2:K$801,$W289)="","",INDEX('Per Invoice'!K$2:K$801,$W289)))</f>
        <v/>
      </c>
      <c r="L289" s="14">
        <f>IF($W289="","",IF(INDEX('Per Invoice'!L$2:L$801,$W289)="","",INDEX('Per Invoice'!L$2:L$801,$W289)))</f>
        <v/>
      </c>
      <c r="M289">
        <f>IF($W289="","",IF(INDEX('Per Invoice'!M$2:M$801,$W289)="","",INDEX('Per Invoice'!M$2:M$801,$W289)))</f>
        <v/>
      </c>
      <c r="N289" s="7">
        <f>IF($W289="","",IF(INDEX('Per Invoice'!N$2:N$801,$W289)="","",INDEX('Per Invoice'!N$2:N$801,$W289)))</f>
        <v/>
      </c>
      <c r="O289" s="7">
        <f>IF($W289="","",IF(INDEX('Per Invoice'!O$2:O$801,$W289)="","",INDEX('Per Invoice'!O$2:O$801,$W289)))</f>
        <v/>
      </c>
      <c r="P289">
        <f>IF($W289="","",IF(INDEX('Per Invoice'!P$2:P$801,$W289)="","",INDEX('Per Invoice'!P$2:P$801,$W289)))</f>
        <v/>
      </c>
      <c r="Q289" s="7">
        <f>IF($W289="","",IF(INDEX('Per Invoice'!Q$2:Q$801,$W289)="","",INDEX('Per Invoice'!Q$2:Q$801,$W289)))</f>
        <v/>
      </c>
      <c r="R289" s="7">
        <f>IF($W289="","",IF(INDEX('Per Invoice'!R$2:R$801,$W289)="","",INDEX('Per Invoice'!R$2:R$801,$W289)))</f>
        <v/>
      </c>
      <c r="S289" s="7">
        <f>IF($W289="","",IF(INDEX('Per Invoice'!S$2:S$801,$W289)="","",INDEX('Per Invoice'!S$2:S$801,$W289)))</f>
        <v/>
      </c>
      <c r="T289" s="7">
        <f>IF($W289="","",IF(INDEX('Per Invoice'!T$2:T$801,$W289)="","",INDEX('Per Invoice'!T$2:T$801,$W289)))</f>
        <v/>
      </c>
      <c r="U289" s="7">
        <f>IF($W289="","",IF(INDEX('Per Invoice'!U$2:U$801,$W289)="","",INDEX('Per Invoice'!U$2:U$801,$W289)))</f>
        <v/>
      </c>
      <c r="V289" s="7">
        <f>IF($W289="","",IF(INDEX('Per Invoice'!V$2:V$801,$W289)="","",INDEX('Per Invoice'!V$2:V$801,$W289)))</f>
        <v/>
      </c>
      <c r="W289" s="16">
        <f>IFERROR(MATCH(Settings!$C$31&amp;"|"&amp;ROWS($W$2:$W289),'Per Invoice'!$X$2:$X$801,0),"")</f>
        <v/>
      </c>
    </row>
    <row r="290">
      <c r="A290">
        <f>IF($W290="","",IF(INDEX('Per Invoice'!A$2:A$801,$W290)="","",INDEX('Per Invoice'!A$2:A$801,$W290)))</f>
        <v/>
      </c>
      <c r="B290">
        <f>IF($W290="","",IF(INDEX('Per Invoice'!B$2:B$801,$W290)="","",INDEX('Per Invoice'!B$2:B$801,$W290)))</f>
        <v/>
      </c>
      <c r="C290">
        <f>IF($W290="","",IF(INDEX('Per Invoice'!C$2:C$801,$W290)="","",INDEX('Per Invoice'!C$2:C$801,$W290)))</f>
        <v/>
      </c>
      <c r="D290">
        <f>IF($W290="","",IF(INDEX('Per Invoice'!D$2:D$801,$W290)="","",INDEX('Per Invoice'!D$2:D$801,$W290)))</f>
        <v/>
      </c>
      <c r="E290">
        <f>IF($W290="","",IF(INDEX('Per Invoice'!E$2:E$801,$W290)="","",INDEX('Per Invoice'!E$2:E$801,$W290)))</f>
        <v/>
      </c>
      <c r="F290">
        <f>IF($W290="","",IF(INDEX('Per Invoice'!F$2:F$801,$W290)="","",INDEX('Per Invoice'!F$2:F$801,$W290)))</f>
        <v/>
      </c>
      <c r="G290">
        <f>IF($W290="","",IF(INDEX('Per Invoice'!G$2:G$801,$W290)="","",INDEX('Per Invoice'!G$2:G$801,$W290)))</f>
        <v/>
      </c>
      <c r="H290">
        <f>IF($W290="","",IF(INDEX('Per Invoice'!H$2:H$801,$W290)="","",INDEX('Per Invoice'!H$2:H$801,$W290)))</f>
        <v/>
      </c>
      <c r="I290">
        <f>IF($W290="","",IF(INDEX('Per Invoice'!I$2:I$801,$W290)="","",INDEX('Per Invoice'!I$2:I$801,$W290)))</f>
        <v/>
      </c>
      <c r="J290">
        <f>IF($W290="","",IF(INDEX('Per Invoice'!J$2:J$801,$W290)="","",INDEX('Per Invoice'!J$2:J$801,$W290)))</f>
        <v/>
      </c>
      <c r="K290" s="7">
        <f>IF($W290="","",IF(INDEX('Per Invoice'!K$2:K$801,$W290)="","",INDEX('Per Invoice'!K$2:K$801,$W290)))</f>
        <v/>
      </c>
      <c r="L290" s="14">
        <f>IF($W290="","",IF(INDEX('Per Invoice'!L$2:L$801,$W290)="","",INDEX('Per Invoice'!L$2:L$801,$W290)))</f>
        <v/>
      </c>
      <c r="M290">
        <f>IF($W290="","",IF(INDEX('Per Invoice'!M$2:M$801,$W290)="","",INDEX('Per Invoice'!M$2:M$801,$W290)))</f>
        <v/>
      </c>
      <c r="N290" s="7">
        <f>IF($W290="","",IF(INDEX('Per Invoice'!N$2:N$801,$W290)="","",INDEX('Per Invoice'!N$2:N$801,$W290)))</f>
        <v/>
      </c>
      <c r="O290" s="7">
        <f>IF($W290="","",IF(INDEX('Per Invoice'!O$2:O$801,$W290)="","",INDEX('Per Invoice'!O$2:O$801,$W290)))</f>
        <v/>
      </c>
      <c r="P290">
        <f>IF($W290="","",IF(INDEX('Per Invoice'!P$2:P$801,$W290)="","",INDEX('Per Invoice'!P$2:P$801,$W290)))</f>
        <v/>
      </c>
      <c r="Q290" s="7">
        <f>IF($W290="","",IF(INDEX('Per Invoice'!Q$2:Q$801,$W290)="","",INDEX('Per Invoice'!Q$2:Q$801,$W290)))</f>
        <v/>
      </c>
      <c r="R290" s="7">
        <f>IF($W290="","",IF(INDEX('Per Invoice'!R$2:R$801,$W290)="","",INDEX('Per Invoice'!R$2:R$801,$W290)))</f>
        <v/>
      </c>
      <c r="S290" s="7">
        <f>IF($W290="","",IF(INDEX('Per Invoice'!S$2:S$801,$W290)="","",INDEX('Per Invoice'!S$2:S$801,$W290)))</f>
        <v/>
      </c>
      <c r="T290" s="7">
        <f>IF($W290="","",IF(INDEX('Per Invoice'!T$2:T$801,$W290)="","",INDEX('Per Invoice'!T$2:T$801,$W290)))</f>
        <v/>
      </c>
      <c r="U290" s="7">
        <f>IF($W290="","",IF(INDEX('Per Invoice'!U$2:U$801,$W290)="","",INDEX('Per Invoice'!U$2:U$801,$W290)))</f>
        <v/>
      </c>
      <c r="V290" s="7">
        <f>IF($W290="","",IF(INDEX('Per Invoice'!V$2:V$801,$W290)="","",INDEX('Per Invoice'!V$2:V$801,$W290)))</f>
        <v/>
      </c>
      <c r="W290" s="16">
        <f>IFERROR(MATCH(Settings!$C$31&amp;"|"&amp;ROWS($W$2:$W290),'Per Invoice'!$X$2:$X$801,0),"")</f>
        <v/>
      </c>
    </row>
    <row r="291">
      <c r="A291">
        <f>IF($W291="","",IF(INDEX('Per Invoice'!A$2:A$801,$W291)="","",INDEX('Per Invoice'!A$2:A$801,$W291)))</f>
        <v/>
      </c>
      <c r="B291">
        <f>IF($W291="","",IF(INDEX('Per Invoice'!B$2:B$801,$W291)="","",INDEX('Per Invoice'!B$2:B$801,$W291)))</f>
        <v/>
      </c>
      <c r="C291">
        <f>IF($W291="","",IF(INDEX('Per Invoice'!C$2:C$801,$W291)="","",INDEX('Per Invoice'!C$2:C$801,$W291)))</f>
        <v/>
      </c>
      <c r="D291">
        <f>IF($W291="","",IF(INDEX('Per Invoice'!D$2:D$801,$W291)="","",INDEX('Per Invoice'!D$2:D$801,$W291)))</f>
        <v/>
      </c>
      <c r="E291">
        <f>IF($W291="","",IF(INDEX('Per Invoice'!E$2:E$801,$W291)="","",INDEX('Per Invoice'!E$2:E$801,$W291)))</f>
        <v/>
      </c>
      <c r="F291">
        <f>IF($W291="","",IF(INDEX('Per Invoice'!F$2:F$801,$W291)="","",INDEX('Per Invoice'!F$2:F$801,$W291)))</f>
        <v/>
      </c>
      <c r="G291">
        <f>IF($W291="","",IF(INDEX('Per Invoice'!G$2:G$801,$W291)="","",INDEX('Per Invoice'!G$2:G$801,$W291)))</f>
        <v/>
      </c>
      <c r="H291">
        <f>IF($W291="","",IF(INDEX('Per Invoice'!H$2:H$801,$W291)="","",INDEX('Per Invoice'!H$2:H$801,$W291)))</f>
        <v/>
      </c>
      <c r="I291">
        <f>IF($W291="","",IF(INDEX('Per Invoice'!I$2:I$801,$W291)="","",INDEX('Per Invoice'!I$2:I$801,$W291)))</f>
        <v/>
      </c>
      <c r="J291">
        <f>IF($W291="","",IF(INDEX('Per Invoice'!J$2:J$801,$W291)="","",INDEX('Per Invoice'!J$2:J$801,$W291)))</f>
        <v/>
      </c>
      <c r="K291" s="7">
        <f>IF($W291="","",IF(INDEX('Per Invoice'!K$2:K$801,$W291)="","",INDEX('Per Invoice'!K$2:K$801,$W291)))</f>
        <v/>
      </c>
      <c r="L291" s="14">
        <f>IF($W291="","",IF(INDEX('Per Invoice'!L$2:L$801,$W291)="","",INDEX('Per Invoice'!L$2:L$801,$W291)))</f>
        <v/>
      </c>
      <c r="M291">
        <f>IF($W291="","",IF(INDEX('Per Invoice'!M$2:M$801,$W291)="","",INDEX('Per Invoice'!M$2:M$801,$W291)))</f>
        <v/>
      </c>
      <c r="N291" s="7">
        <f>IF($W291="","",IF(INDEX('Per Invoice'!N$2:N$801,$W291)="","",INDEX('Per Invoice'!N$2:N$801,$W291)))</f>
        <v/>
      </c>
      <c r="O291" s="7">
        <f>IF($W291="","",IF(INDEX('Per Invoice'!O$2:O$801,$W291)="","",INDEX('Per Invoice'!O$2:O$801,$W291)))</f>
        <v/>
      </c>
      <c r="P291">
        <f>IF($W291="","",IF(INDEX('Per Invoice'!P$2:P$801,$W291)="","",INDEX('Per Invoice'!P$2:P$801,$W291)))</f>
        <v/>
      </c>
      <c r="Q291" s="7">
        <f>IF($W291="","",IF(INDEX('Per Invoice'!Q$2:Q$801,$W291)="","",INDEX('Per Invoice'!Q$2:Q$801,$W291)))</f>
        <v/>
      </c>
      <c r="R291" s="7">
        <f>IF($W291="","",IF(INDEX('Per Invoice'!R$2:R$801,$W291)="","",INDEX('Per Invoice'!R$2:R$801,$W291)))</f>
        <v/>
      </c>
      <c r="S291" s="7">
        <f>IF($W291="","",IF(INDEX('Per Invoice'!S$2:S$801,$W291)="","",INDEX('Per Invoice'!S$2:S$801,$W291)))</f>
        <v/>
      </c>
      <c r="T291" s="7">
        <f>IF($W291="","",IF(INDEX('Per Invoice'!T$2:T$801,$W291)="","",INDEX('Per Invoice'!T$2:T$801,$W291)))</f>
        <v/>
      </c>
      <c r="U291" s="7">
        <f>IF($W291="","",IF(INDEX('Per Invoice'!U$2:U$801,$W291)="","",INDEX('Per Invoice'!U$2:U$801,$W291)))</f>
        <v/>
      </c>
      <c r="V291" s="7">
        <f>IF($W291="","",IF(INDEX('Per Invoice'!V$2:V$801,$W291)="","",INDEX('Per Invoice'!V$2:V$801,$W291)))</f>
        <v/>
      </c>
      <c r="W291" s="16">
        <f>IFERROR(MATCH(Settings!$C$31&amp;"|"&amp;ROWS($W$2:$W291),'Per Invoice'!$X$2:$X$801,0),"")</f>
        <v/>
      </c>
    </row>
    <row r="292">
      <c r="A292">
        <f>IF($W292="","",IF(INDEX('Per Invoice'!A$2:A$801,$W292)="","",INDEX('Per Invoice'!A$2:A$801,$W292)))</f>
        <v/>
      </c>
      <c r="B292">
        <f>IF($W292="","",IF(INDEX('Per Invoice'!B$2:B$801,$W292)="","",INDEX('Per Invoice'!B$2:B$801,$W292)))</f>
        <v/>
      </c>
      <c r="C292">
        <f>IF($W292="","",IF(INDEX('Per Invoice'!C$2:C$801,$W292)="","",INDEX('Per Invoice'!C$2:C$801,$W292)))</f>
        <v/>
      </c>
      <c r="D292">
        <f>IF($W292="","",IF(INDEX('Per Invoice'!D$2:D$801,$W292)="","",INDEX('Per Invoice'!D$2:D$801,$W292)))</f>
        <v/>
      </c>
      <c r="E292">
        <f>IF($W292="","",IF(INDEX('Per Invoice'!E$2:E$801,$W292)="","",INDEX('Per Invoice'!E$2:E$801,$W292)))</f>
        <v/>
      </c>
      <c r="F292">
        <f>IF($W292="","",IF(INDEX('Per Invoice'!F$2:F$801,$W292)="","",INDEX('Per Invoice'!F$2:F$801,$W292)))</f>
        <v/>
      </c>
      <c r="G292">
        <f>IF($W292="","",IF(INDEX('Per Invoice'!G$2:G$801,$W292)="","",INDEX('Per Invoice'!G$2:G$801,$W292)))</f>
        <v/>
      </c>
      <c r="H292">
        <f>IF($W292="","",IF(INDEX('Per Invoice'!H$2:H$801,$W292)="","",INDEX('Per Invoice'!H$2:H$801,$W292)))</f>
        <v/>
      </c>
      <c r="I292">
        <f>IF($W292="","",IF(INDEX('Per Invoice'!I$2:I$801,$W292)="","",INDEX('Per Invoice'!I$2:I$801,$W292)))</f>
        <v/>
      </c>
      <c r="J292">
        <f>IF($W292="","",IF(INDEX('Per Invoice'!J$2:J$801,$W292)="","",INDEX('Per Invoice'!J$2:J$801,$W292)))</f>
        <v/>
      </c>
      <c r="K292" s="7">
        <f>IF($W292="","",IF(INDEX('Per Invoice'!K$2:K$801,$W292)="","",INDEX('Per Invoice'!K$2:K$801,$W292)))</f>
        <v/>
      </c>
      <c r="L292" s="14">
        <f>IF($W292="","",IF(INDEX('Per Invoice'!L$2:L$801,$W292)="","",INDEX('Per Invoice'!L$2:L$801,$W292)))</f>
        <v/>
      </c>
      <c r="M292">
        <f>IF($W292="","",IF(INDEX('Per Invoice'!M$2:M$801,$W292)="","",INDEX('Per Invoice'!M$2:M$801,$W292)))</f>
        <v/>
      </c>
      <c r="N292" s="7">
        <f>IF($W292="","",IF(INDEX('Per Invoice'!N$2:N$801,$W292)="","",INDEX('Per Invoice'!N$2:N$801,$W292)))</f>
        <v/>
      </c>
      <c r="O292" s="7">
        <f>IF($W292="","",IF(INDEX('Per Invoice'!O$2:O$801,$W292)="","",INDEX('Per Invoice'!O$2:O$801,$W292)))</f>
        <v/>
      </c>
      <c r="P292">
        <f>IF($W292="","",IF(INDEX('Per Invoice'!P$2:P$801,$W292)="","",INDEX('Per Invoice'!P$2:P$801,$W292)))</f>
        <v/>
      </c>
      <c r="Q292" s="7">
        <f>IF($W292="","",IF(INDEX('Per Invoice'!Q$2:Q$801,$W292)="","",INDEX('Per Invoice'!Q$2:Q$801,$W292)))</f>
        <v/>
      </c>
      <c r="R292" s="7">
        <f>IF($W292="","",IF(INDEX('Per Invoice'!R$2:R$801,$W292)="","",INDEX('Per Invoice'!R$2:R$801,$W292)))</f>
        <v/>
      </c>
      <c r="S292" s="7">
        <f>IF($W292="","",IF(INDEX('Per Invoice'!S$2:S$801,$W292)="","",INDEX('Per Invoice'!S$2:S$801,$W292)))</f>
        <v/>
      </c>
      <c r="T292" s="7">
        <f>IF($W292="","",IF(INDEX('Per Invoice'!T$2:T$801,$W292)="","",INDEX('Per Invoice'!T$2:T$801,$W292)))</f>
        <v/>
      </c>
      <c r="U292" s="7">
        <f>IF($W292="","",IF(INDEX('Per Invoice'!U$2:U$801,$W292)="","",INDEX('Per Invoice'!U$2:U$801,$W292)))</f>
        <v/>
      </c>
      <c r="V292" s="7">
        <f>IF($W292="","",IF(INDEX('Per Invoice'!V$2:V$801,$W292)="","",INDEX('Per Invoice'!V$2:V$801,$W292)))</f>
        <v/>
      </c>
      <c r="W292" s="16">
        <f>IFERROR(MATCH(Settings!$C$31&amp;"|"&amp;ROWS($W$2:$W292),'Per Invoice'!$X$2:$X$801,0),"")</f>
        <v/>
      </c>
    </row>
    <row r="293">
      <c r="A293">
        <f>IF($W293="","",IF(INDEX('Per Invoice'!A$2:A$801,$W293)="","",INDEX('Per Invoice'!A$2:A$801,$W293)))</f>
        <v/>
      </c>
      <c r="B293">
        <f>IF($W293="","",IF(INDEX('Per Invoice'!B$2:B$801,$W293)="","",INDEX('Per Invoice'!B$2:B$801,$W293)))</f>
        <v/>
      </c>
      <c r="C293">
        <f>IF($W293="","",IF(INDEX('Per Invoice'!C$2:C$801,$W293)="","",INDEX('Per Invoice'!C$2:C$801,$W293)))</f>
        <v/>
      </c>
      <c r="D293">
        <f>IF($W293="","",IF(INDEX('Per Invoice'!D$2:D$801,$W293)="","",INDEX('Per Invoice'!D$2:D$801,$W293)))</f>
        <v/>
      </c>
      <c r="E293">
        <f>IF($W293="","",IF(INDEX('Per Invoice'!E$2:E$801,$W293)="","",INDEX('Per Invoice'!E$2:E$801,$W293)))</f>
        <v/>
      </c>
      <c r="F293">
        <f>IF($W293="","",IF(INDEX('Per Invoice'!F$2:F$801,$W293)="","",INDEX('Per Invoice'!F$2:F$801,$W293)))</f>
        <v/>
      </c>
      <c r="G293">
        <f>IF($W293="","",IF(INDEX('Per Invoice'!G$2:G$801,$W293)="","",INDEX('Per Invoice'!G$2:G$801,$W293)))</f>
        <v/>
      </c>
      <c r="H293">
        <f>IF($W293="","",IF(INDEX('Per Invoice'!H$2:H$801,$W293)="","",INDEX('Per Invoice'!H$2:H$801,$W293)))</f>
        <v/>
      </c>
      <c r="I293">
        <f>IF($W293="","",IF(INDEX('Per Invoice'!I$2:I$801,$W293)="","",INDEX('Per Invoice'!I$2:I$801,$W293)))</f>
        <v/>
      </c>
      <c r="J293">
        <f>IF($W293="","",IF(INDEX('Per Invoice'!J$2:J$801,$W293)="","",INDEX('Per Invoice'!J$2:J$801,$W293)))</f>
        <v/>
      </c>
      <c r="K293" s="7">
        <f>IF($W293="","",IF(INDEX('Per Invoice'!K$2:K$801,$W293)="","",INDEX('Per Invoice'!K$2:K$801,$W293)))</f>
        <v/>
      </c>
      <c r="L293" s="14">
        <f>IF($W293="","",IF(INDEX('Per Invoice'!L$2:L$801,$W293)="","",INDEX('Per Invoice'!L$2:L$801,$W293)))</f>
        <v/>
      </c>
      <c r="M293">
        <f>IF($W293="","",IF(INDEX('Per Invoice'!M$2:M$801,$W293)="","",INDEX('Per Invoice'!M$2:M$801,$W293)))</f>
        <v/>
      </c>
      <c r="N293" s="7">
        <f>IF($W293="","",IF(INDEX('Per Invoice'!N$2:N$801,$W293)="","",INDEX('Per Invoice'!N$2:N$801,$W293)))</f>
        <v/>
      </c>
      <c r="O293" s="7">
        <f>IF($W293="","",IF(INDEX('Per Invoice'!O$2:O$801,$W293)="","",INDEX('Per Invoice'!O$2:O$801,$W293)))</f>
        <v/>
      </c>
      <c r="P293">
        <f>IF($W293="","",IF(INDEX('Per Invoice'!P$2:P$801,$W293)="","",INDEX('Per Invoice'!P$2:P$801,$W293)))</f>
        <v/>
      </c>
      <c r="Q293" s="7">
        <f>IF($W293="","",IF(INDEX('Per Invoice'!Q$2:Q$801,$W293)="","",INDEX('Per Invoice'!Q$2:Q$801,$W293)))</f>
        <v/>
      </c>
      <c r="R293" s="7">
        <f>IF($W293="","",IF(INDEX('Per Invoice'!R$2:R$801,$W293)="","",INDEX('Per Invoice'!R$2:R$801,$W293)))</f>
        <v/>
      </c>
      <c r="S293" s="7">
        <f>IF($W293="","",IF(INDEX('Per Invoice'!S$2:S$801,$W293)="","",INDEX('Per Invoice'!S$2:S$801,$W293)))</f>
        <v/>
      </c>
      <c r="T293" s="7">
        <f>IF($W293="","",IF(INDEX('Per Invoice'!T$2:T$801,$W293)="","",INDEX('Per Invoice'!T$2:T$801,$W293)))</f>
        <v/>
      </c>
      <c r="U293" s="7">
        <f>IF($W293="","",IF(INDEX('Per Invoice'!U$2:U$801,$W293)="","",INDEX('Per Invoice'!U$2:U$801,$W293)))</f>
        <v/>
      </c>
      <c r="V293" s="7">
        <f>IF($W293="","",IF(INDEX('Per Invoice'!V$2:V$801,$W293)="","",INDEX('Per Invoice'!V$2:V$801,$W293)))</f>
        <v/>
      </c>
      <c r="W293" s="16">
        <f>IFERROR(MATCH(Settings!$C$31&amp;"|"&amp;ROWS($W$2:$W293),'Per Invoice'!$X$2:$X$801,0),"")</f>
        <v/>
      </c>
    </row>
    <row r="294">
      <c r="A294">
        <f>IF($W294="","",IF(INDEX('Per Invoice'!A$2:A$801,$W294)="","",INDEX('Per Invoice'!A$2:A$801,$W294)))</f>
        <v/>
      </c>
      <c r="B294">
        <f>IF($W294="","",IF(INDEX('Per Invoice'!B$2:B$801,$W294)="","",INDEX('Per Invoice'!B$2:B$801,$W294)))</f>
        <v/>
      </c>
      <c r="C294">
        <f>IF($W294="","",IF(INDEX('Per Invoice'!C$2:C$801,$W294)="","",INDEX('Per Invoice'!C$2:C$801,$W294)))</f>
        <v/>
      </c>
      <c r="D294">
        <f>IF($W294="","",IF(INDEX('Per Invoice'!D$2:D$801,$W294)="","",INDEX('Per Invoice'!D$2:D$801,$W294)))</f>
        <v/>
      </c>
      <c r="E294">
        <f>IF($W294="","",IF(INDEX('Per Invoice'!E$2:E$801,$W294)="","",INDEX('Per Invoice'!E$2:E$801,$W294)))</f>
        <v/>
      </c>
      <c r="F294">
        <f>IF($W294="","",IF(INDEX('Per Invoice'!F$2:F$801,$W294)="","",INDEX('Per Invoice'!F$2:F$801,$W294)))</f>
        <v/>
      </c>
      <c r="G294">
        <f>IF($W294="","",IF(INDEX('Per Invoice'!G$2:G$801,$W294)="","",INDEX('Per Invoice'!G$2:G$801,$W294)))</f>
        <v/>
      </c>
      <c r="H294">
        <f>IF($W294="","",IF(INDEX('Per Invoice'!H$2:H$801,$W294)="","",INDEX('Per Invoice'!H$2:H$801,$W294)))</f>
        <v/>
      </c>
      <c r="I294">
        <f>IF($W294="","",IF(INDEX('Per Invoice'!I$2:I$801,$W294)="","",INDEX('Per Invoice'!I$2:I$801,$W294)))</f>
        <v/>
      </c>
      <c r="J294">
        <f>IF($W294="","",IF(INDEX('Per Invoice'!J$2:J$801,$W294)="","",INDEX('Per Invoice'!J$2:J$801,$W294)))</f>
        <v/>
      </c>
      <c r="K294" s="7">
        <f>IF($W294="","",IF(INDEX('Per Invoice'!K$2:K$801,$W294)="","",INDEX('Per Invoice'!K$2:K$801,$W294)))</f>
        <v/>
      </c>
      <c r="L294" s="14">
        <f>IF($W294="","",IF(INDEX('Per Invoice'!L$2:L$801,$W294)="","",INDEX('Per Invoice'!L$2:L$801,$W294)))</f>
        <v/>
      </c>
      <c r="M294">
        <f>IF($W294="","",IF(INDEX('Per Invoice'!M$2:M$801,$W294)="","",INDEX('Per Invoice'!M$2:M$801,$W294)))</f>
        <v/>
      </c>
      <c r="N294" s="7">
        <f>IF($W294="","",IF(INDEX('Per Invoice'!N$2:N$801,$W294)="","",INDEX('Per Invoice'!N$2:N$801,$W294)))</f>
        <v/>
      </c>
      <c r="O294" s="7">
        <f>IF($W294="","",IF(INDEX('Per Invoice'!O$2:O$801,$W294)="","",INDEX('Per Invoice'!O$2:O$801,$W294)))</f>
        <v/>
      </c>
      <c r="P294">
        <f>IF($W294="","",IF(INDEX('Per Invoice'!P$2:P$801,$W294)="","",INDEX('Per Invoice'!P$2:P$801,$W294)))</f>
        <v/>
      </c>
      <c r="Q294" s="7">
        <f>IF($W294="","",IF(INDEX('Per Invoice'!Q$2:Q$801,$W294)="","",INDEX('Per Invoice'!Q$2:Q$801,$W294)))</f>
        <v/>
      </c>
      <c r="R294" s="7">
        <f>IF($W294="","",IF(INDEX('Per Invoice'!R$2:R$801,$W294)="","",INDEX('Per Invoice'!R$2:R$801,$W294)))</f>
        <v/>
      </c>
      <c r="S294" s="7">
        <f>IF($W294="","",IF(INDEX('Per Invoice'!S$2:S$801,$W294)="","",INDEX('Per Invoice'!S$2:S$801,$W294)))</f>
        <v/>
      </c>
      <c r="T294" s="7">
        <f>IF($W294="","",IF(INDEX('Per Invoice'!T$2:T$801,$W294)="","",INDEX('Per Invoice'!T$2:T$801,$W294)))</f>
        <v/>
      </c>
      <c r="U294" s="7">
        <f>IF($W294="","",IF(INDEX('Per Invoice'!U$2:U$801,$W294)="","",INDEX('Per Invoice'!U$2:U$801,$W294)))</f>
        <v/>
      </c>
      <c r="V294" s="7">
        <f>IF($W294="","",IF(INDEX('Per Invoice'!V$2:V$801,$W294)="","",INDEX('Per Invoice'!V$2:V$801,$W294)))</f>
        <v/>
      </c>
      <c r="W294" s="16">
        <f>IFERROR(MATCH(Settings!$C$31&amp;"|"&amp;ROWS($W$2:$W294),'Per Invoice'!$X$2:$X$801,0),"")</f>
        <v/>
      </c>
    </row>
    <row r="295">
      <c r="A295">
        <f>IF($W295="","",IF(INDEX('Per Invoice'!A$2:A$801,$W295)="","",INDEX('Per Invoice'!A$2:A$801,$W295)))</f>
        <v/>
      </c>
      <c r="B295">
        <f>IF($W295="","",IF(INDEX('Per Invoice'!B$2:B$801,$W295)="","",INDEX('Per Invoice'!B$2:B$801,$W295)))</f>
        <v/>
      </c>
      <c r="C295">
        <f>IF($W295="","",IF(INDEX('Per Invoice'!C$2:C$801,$W295)="","",INDEX('Per Invoice'!C$2:C$801,$W295)))</f>
        <v/>
      </c>
      <c r="D295">
        <f>IF($W295="","",IF(INDEX('Per Invoice'!D$2:D$801,$W295)="","",INDEX('Per Invoice'!D$2:D$801,$W295)))</f>
        <v/>
      </c>
      <c r="E295">
        <f>IF($W295="","",IF(INDEX('Per Invoice'!E$2:E$801,$W295)="","",INDEX('Per Invoice'!E$2:E$801,$W295)))</f>
        <v/>
      </c>
      <c r="F295">
        <f>IF($W295="","",IF(INDEX('Per Invoice'!F$2:F$801,$W295)="","",INDEX('Per Invoice'!F$2:F$801,$W295)))</f>
        <v/>
      </c>
      <c r="G295">
        <f>IF($W295="","",IF(INDEX('Per Invoice'!G$2:G$801,$W295)="","",INDEX('Per Invoice'!G$2:G$801,$W295)))</f>
        <v/>
      </c>
      <c r="H295">
        <f>IF($W295="","",IF(INDEX('Per Invoice'!H$2:H$801,$W295)="","",INDEX('Per Invoice'!H$2:H$801,$W295)))</f>
        <v/>
      </c>
      <c r="I295">
        <f>IF($W295="","",IF(INDEX('Per Invoice'!I$2:I$801,$W295)="","",INDEX('Per Invoice'!I$2:I$801,$W295)))</f>
        <v/>
      </c>
      <c r="J295">
        <f>IF($W295="","",IF(INDEX('Per Invoice'!J$2:J$801,$W295)="","",INDEX('Per Invoice'!J$2:J$801,$W295)))</f>
        <v/>
      </c>
      <c r="K295" s="7">
        <f>IF($W295="","",IF(INDEX('Per Invoice'!K$2:K$801,$W295)="","",INDEX('Per Invoice'!K$2:K$801,$W295)))</f>
        <v/>
      </c>
      <c r="L295" s="14">
        <f>IF($W295="","",IF(INDEX('Per Invoice'!L$2:L$801,$W295)="","",INDEX('Per Invoice'!L$2:L$801,$W295)))</f>
        <v/>
      </c>
      <c r="M295">
        <f>IF($W295="","",IF(INDEX('Per Invoice'!M$2:M$801,$W295)="","",INDEX('Per Invoice'!M$2:M$801,$W295)))</f>
        <v/>
      </c>
      <c r="N295" s="7">
        <f>IF($W295="","",IF(INDEX('Per Invoice'!N$2:N$801,$W295)="","",INDEX('Per Invoice'!N$2:N$801,$W295)))</f>
        <v/>
      </c>
      <c r="O295" s="7">
        <f>IF($W295="","",IF(INDEX('Per Invoice'!O$2:O$801,$W295)="","",INDEX('Per Invoice'!O$2:O$801,$W295)))</f>
        <v/>
      </c>
      <c r="P295">
        <f>IF($W295="","",IF(INDEX('Per Invoice'!P$2:P$801,$W295)="","",INDEX('Per Invoice'!P$2:P$801,$W295)))</f>
        <v/>
      </c>
      <c r="Q295" s="7">
        <f>IF($W295="","",IF(INDEX('Per Invoice'!Q$2:Q$801,$W295)="","",INDEX('Per Invoice'!Q$2:Q$801,$W295)))</f>
        <v/>
      </c>
      <c r="R295" s="7">
        <f>IF($W295="","",IF(INDEX('Per Invoice'!R$2:R$801,$W295)="","",INDEX('Per Invoice'!R$2:R$801,$W295)))</f>
        <v/>
      </c>
      <c r="S295" s="7">
        <f>IF($W295="","",IF(INDEX('Per Invoice'!S$2:S$801,$W295)="","",INDEX('Per Invoice'!S$2:S$801,$W295)))</f>
        <v/>
      </c>
      <c r="T295" s="7">
        <f>IF($W295="","",IF(INDEX('Per Invoice'!T$2:T$801,$W295)="","",INDEX('Per Invoice'!T$2:T$801,$W295)))</f>
        <v/>
      </c>
      <c r="U295" s="7">
        <f>IF($W295="","",IF(INDEX('Per Invoice'!U$2:U$801,$W295)="","",INDEX('Per Invoice'!U$2:U$801,$W295)))</f>
        <v/>
      </c>
      <c r="V295" s="7">
        <f>IF($W295="","",IF(INDEX('Per Invoice'!V$2:V$801,$W295)="","",INDEX('Per Invoice'!V$2:V$801,$W295)))</f>
        <v/>
      </c>
      <c r="W295" s="16">
        <f>IFERROR(MATCH(Settings!$C$31&amp;"|"&amp;ROWS($W$2:$W295),'Per Invoice'!$X$2:$X$801,0),"")</f>
        <v/>
      </c>
    </row>
    <row r="296">
      <c r="A296">
        <f>IF($W296="","",IF(INDEX('Per Invoice'!A$2:A$801,$W296)="","",INDEX('Per Invoice'!A$2:A$801,$W296)))</f>
        <v/>
      </c>
      <c r="B296">
        <f>IF($W296="","",IF(INDEX('Per Invoice'!B$2:B$801,$W296)="","",INDEX('Per Invoice'!B$2:B$801,$W296)))</f>
        <v/>
      </c>
      <c r="C296">
        <f>IF($W296="","",IF(INDEX('Per Invoice'!C$2:C$801,$W296)="","",INDEX('Per Invoice'!C$2:C$801,$W296)))</f>
        <v/>
      </c>
      <c r="D296">
        <f>IF($W296="","",IF(INDEX('Per Invoice'!D$2:D$801,$W296)="","",INDEX('Per Invoice'!D$2:D$801,$W296)))</f>
        <v/>
      </c>
      <c r="E296">
        <f>IF($W296="","",IF(INDEX('Per Invoice'!E$2:E$801,$W296)="","",INDEX('Per Invoice'!E$2:E$801,$W296)))</f>
        <v/>
      </c>
      <c r="F296">
        <f>IF($W296="","",IF(INDEX('Per Invoice'!F$2:F$801,$W296)="","",INDEX('Per Invoice'!F$2:F$801,$W296)))</f>
        <v/>
      </c>
      <c r="G296">
        <f>IF($W296="","",IF(INDEX('Per Invoice'!G$2:G$801,$W296)="","",INDEX('Per Invoice'!G$2:G$801,$W296)))</f>
        <v/>
      </c>
      <c r="H296">
        <f>IF($W296="","",IF(INDEX('Per Invoice'!H$2:H$801,$W296)="","",INDEX('Per Invoice'!H$2:H$801,$W296)))</f>
        <v/>
      </c>
      <c r="I296">
        <f>IF($W296="","",IF(INDEX('Per Invoice'!I$2:I$801,$W296)="","",INDEX('Per Invoice'!I$2:I$801,$W296)))</f>
        <v/>
      </c>
      <c r="J296">
        <f>IF($W296="","",IF(INDEX('Per Invoice'!J$2:J$801,$W296)="","",INDEX('Per Invoice'!J$2:J$801,$W296)))</f>
        <v/>
      </c>
      <c r="K296" s="7">
        <f>IF($W296="","",IF(INDEX('Per Invoice'!K$2:K$801,$W296)="","",INDEX('Per Invoice'!K$2:K$801,$W296)))</f>
        <v/>
      </c>
      <c r="L296" s="14">
        <f>IF($W296="","",IF(INDEX('Per Invoice'!L$2:L$801,$W296)="","",INDEX('Per Invoice'!L$2:L$801,$W296)))</f>
        <v/>
      </c>
      <c r="M296">
        <f>IF($W296="","",IF(INDEX('Per Invoice'!M$2:M$801,$W296)="","",INDEX('Per Invoice'!M$2:M$801,$W296)))</f>
        <v/>
      </c>
      <c r="N296" s="7">
        <f>IF($W296="","",IF(INDEX('Per Invoice'!N$2:N$801,$W296)="","",INDEX('Per Invoice'!N$2:N$801,$W296)))</f>
        <v/>
      </c>
      <c r="O296" s="7">
        <f>IF($W296="","",IF(INDEX('Per Invoice'!O$2:O$801,$W296)="","",INDEX('Per Invoice'!O$2:O$801,$W296)))</f>
        <v/>
      </c>
      <c r="P296">
        <f>IF($W296="","",IF(INDEX('Per Invoice'!P$2:P$801,$W296)="","",INDEX('Per Invoice'!P$2:P$801,$W296)))</f>
        <v/>
      </c>
      <c r="Q296" s="7">
        <f>IF($W296="","",IF(INDEX('Per Invoice'!Q$2:Q$801,$W296)="","",INDEX('Per Invoice'!Q$2:Q$801,$W296)))</f>
        <v/>
      </c>
      <c r="R296" s="7">
        <f>IF($W296="","",IF(INDEX('Per Invoice'!R$2:R$801,$W296)="","",INDEX('Per Invoice'!R$2:R$801,$W296)))</f>
        <v/>
      </c>
      <c r="S296" s="7">
        <f>IF($W296="","",IF(INDEX('Per Invoice'!S$2:S$801,$W296)="","",INDEX('Per Invoice'!S$2:S$801,$W296)))</f>
        <v/>
      </c>
      <c r="T296" s="7">
        <f>IF($W296="","",IF(INDEX('Per Invoice'!T$2:T$801,$W296)="","",INDEX('Per Invoice'!T$2:T$801,$W296)))</f>
        <v/>
      </c>
      <c r="U296" s="7">
        <f>IF($W296="","",IF(INDEX('Per Invoice'!U$2:U$801,$W296)="","",INDEX('Per Invoice'!U$2:U$801,$W296)))</f>
        <v/>
      </c>
      <c r="V296" s="7">
        <f>IF($W296="","",IF(INDEX('Per Invoice'!V$2:V$801,$W296)="","",INDEX('Per Invoice'!V$2:V$801,$W296)))</f>
        <v/>
      </c>
      <c r="W296" s="16">
        <f>IFERROR(MATCH(Settings!$C$31&amp;"|"&amp;ROWS($W$2:$W296),'Per Invoice'!$X$2:$X$801,0),"")</f>
        <v/>
      </c>
    </row>
    <row r="297">
      <c r="A297">
        <f>IF($W297="","",IF(INDEX('Per Invoice'!A$2:A$801,$W297)="","",INDEX('Per Invoice'!A$2:A$801,$W297)))</f>
        <v/>
      </c>
      <c r="B297">
        <f>IF($W297="","",IF(INDEX('Per Invoice'!B$2:B$801,$W297)="","",INDEX('Per Invoice'!B$2:B$801,$W297)))</f>
        <v/>
      </c>
      <c r="C297">
        <f>IF($W297="","",IF(INDEX('Per Invoice'!C$2:C$801,$W297)="","",INDEX('Per Invoice'!C$2:C$801,$W297)))</f>
        <v/>
      </c>
      <c r="D297">
        <f>IF($W297="","",IF(INDEX('Per Invoice'!D$2:D$801,$W297)="","",INDEX('Per Invoice'!D$2:D$801,$W297)))</f>
        <v/>
      </c>
      <c r="E297">
        <f>IF($W297="","",IF(INDEX('Per Invoice'!E$2:E$801,$W297)="","",INDEX('Per Invoice'!E$2:E$801,$W297)))</f>
        <v/>
      </c>
      <c r="F297">
        <f>IF($W297="","",IF(INDEX('Per Invoice'!F$2:F$801,$W297)="","",INDEX('Per Invoice'!F$2:F$801,$W297)))</f>
        <v/>
      </c>
      <c r="G297">
        <f>IF($W297="","",IF(INDEX('Per Invoice'!G$2:G$801,$W297)="","",INDEX('Per Invoice'!G$2:G$801,$W297)))</f>
        <v/>
      </c>
      <c r="H297">
        <f>IF($W297="","",IF(INDEX('Per Invoice'!H$2:H$801,$W297)="","",INDEX('Per Invoice'!H$2:H$801,$W297)))</f>
        <v/>
      </c>
      <c r="I297">
        <f>IF($W297="","",IF(INDEX('Per Invoice'!I$2:I$801,$W297)="","",INDEX('Per Invoice'!I$2:I$801,$W297)))</f>
        <v/>
      </c>
      <c r="J297">
        <f>IF($W297="","",IF(INDEX('Per Invoice'!J$2:J$801,$W297)="","",INDEX('Per Invoice'!J$2:J$801,$W297)))</f>
        <v/>
      </c>
      <c r="K297" s="7">
        <f>IF($W297="","",IF(INDEX('Per Invoice'!K$2:K$801,$W297)="","",INDEX('Per Invoice'!K$2:K$801,$W297)))</f>
        <v/>
      </c>
      <c r="L297" s="14">
        <f>IF($W297="","",IF(INDEX('Per Invoice'!L$2:L$801,$W297)="","",INDEX('Per Invoice'!L$2:L$801,$W297)))</f>
        <v/>
      </c>
      <c r="M297">
        <f>IF($W297="","",IF(INDEX('Per Invoice'!M$2:M$801,$W297)="","",INDEX('Per Invoice'!M$2:M$801,$W297)))</f>
        <v/>
      </c>
      <c r="N297" s="7">
        <f>IF($W297="","",IF(INDEX('Per Invoice'!N$2:N$801,$W297)="","",INDEX('Per Invoice'!N$2:N$801,$W297)))</f>
        <v/>
      </c>
      <c r="O297" s="7">
        <f>IF($W297="","",IF(INDEX('Per Invoice'!O$2:O$801,$W297)="","",INDEX('Per Invoice'!O$2:O$801,$W297)))</f>
        <v/>
      </c>
      <c r="P297">
        <f>IF($W297="","",IF(INDEX('Per Invoice'!P$2:P$801,$W297)="","",INDEX('Per Invoice'!P$2:P$801,$W297)))</f>
        <v/>
      </c>
      <c r="Q297" s="7">
        <f>IF($W297="","",IF(INDEX('Per Invoice'!Q$2:Q$801,$W297)="","",INDEX('Per Invoice'!Q$2:Q$801,$W297)))</f>
        <v/>
      </c>
      <c r="R297" s="7">
        <f>IF($W297="","",IF(INDEX('Per Invoice'!R$2:R$801,$W297)="","",INDEX('Per Invoice'!R$2:R$801,$W297)))</f>
        <v/>
      </c>
      <c r="S297" s="7">
        <f>IF($W297="","",IF(INDEX('Per Invoice'!S$2:S$801,$W297)="","",INDEX('Per Invoice'!S$2:S$801,$W297)))</f>
        <v/>
      </c>
      <c r="T297" s="7">
        <f>IF($W297="","",IF(INDEX('Per Invoice'!T$2:T$801,$W297)="","",INDEX('Per Invoice'!T$2:T$801,$W297)))</f>
        <v/>
      </c>
      <c r="U297" s="7">
        <f>IF($W297="","",IF(INDEX('Per Invoice'!U$2:U$801,$W297)="","",INDEX('Per Invoice'!U$2:U$801,$W297)))</f>
        <v/>
      </c>
      <c r="V297" s="7">
        <f>IF($W297="","",IF(INDEX('Per Invoice'!V$2:V$801,$W297)="","",INDEX('Per Invoice'!V$2:V$801,$W297)))</f>
        <v/>
      </c>
      <c r="W297" s="16">
        <f>IFERROR(MATCH(Settings!$C$31&amp;"|"&amp;ROWS($W$2:$W297),'Per Invoice'!$X$2:$X$801,0),"")</f>
        <v/>
      </c>
    </row>
    <row r="298">
      <c r="A298">
        <f>IF($W298="","",IF(INDEX('Per Invoice'!A$2:A$801,$W298)="","",INDEX('Per Invoice'!A$2:A$801,$W298)))</f>
        <v/>
      </c>
      <c r="B298">
        <f>IF($W298="","",IF(INDEX('Per Invoice'!B$2:B$801,$W298)="","",INDEX('Per Invoice'!B$2:B$801,$W298)))</f>
        <v/>
      </c>
      <c r="C298">
        <f>IF($W298="","",IF(INDEX('Per Invoice'!C$2:C$801,$W298)="","",INDEX('Per Invoice'!C$2:C$801,$W298)))</f>
        <v/>
      </c>
      <c r="D298">
        <f>IF($W298="","",IF(INDEX('Per Invoice'!D$2:D$801,$W298)="","",INDEX('Per Invoice'!D$2:D$801,$W298)))</f>
        <v/>
      </c>
      <c r="E298">
        <f>IF($W298="","",IF(INDEX('Per Invoice'!E$2:E$801,$W298)="","",INDEX('Per Invoice'!E$2:E$801,$W298)))</f>
        <v/>
      </c>
      <c r="F298">
        <f>IF($W298="","",IF(INDEX('Per Invoice'!F$2:F$801,$W298)="","",INDEX('Per Invoice'!F$2:F$801,$W298)))</f>
        <v/>
      </c>
      <c r="G298">
        <f>IF($W298="","",IF(INDEX('Per Invoice'!G$2:G$801,$W298)="","",INDEX('Per Invoice'!G$2:G$801,$W298)))</f>
        <v/>
      </c>
      <c r="H298">
        <f>IF($W298="","",IF(INDEX('Per Invoice'!H$2:H$801,$W298)="","",INDEX('Per Invoice'!H$2:H$801,$W298)))</f>
        <v/>
      </c>
      <c r="I298">
        <f>IF($W298="","",IF(INDEX('Per Invoice'!I$2:I$801,$W298)="","",INDEX('Per Invoice'!I$2:I$801,$W298)))</f>
        <v/>
      </c>
      <c r="J298">
        <f>IF($W298="","",IF(INDEX('Per Invoice'!J$2:J$801,$W298)="","",INDEX('Per Invoice'!J$2:J$801,$W298)))</f>
        <v/>
      </c>
      <c r="K298" s="7">
        <f>IF($W298="","",IF(INDEX('Per Invoice'!K$2:K$801,$W298)="","",INDEX('Per Invoice'!K$2:K$801,$W298)))</f>
        <v/>
      </c>
      <c r="L298" s="14">
        <f>IF($W298="","",IF(INDEX('Per Invoice'!L$2:L$801,$W298)="","",INDEX('Per Invoice'!L$2:L$801,$W298)))</f>
        <v/>
      </c>
      <c r="M298">
        <f>IF($W298="","",IF(INDEX('Per Invoice'!M$2:M$801,$W298)="","",INDEX('Per Invoice'!M$2:M$801,$W298)))</f>
        <v/>
      </c>
      <c r="N298" s="7">
        <f>IF($W298="","",IF(INDEX('Per Invoice'!N$2:N$801,$W298)="","",INDEX('Per Invoice'!N$2:N$801,$W298)))</f>
        <v/>
      </c>
      <c r="O298" s="7">
        <f>IF($W298="","",IF(INDEX('Per Invoice'!O$2:O$801,$W298)="","",INDEX('Per Invoice'!O$2:O$801,$W298)))</f>
        <v/>
      </c>
      <c r="P298">
        <f>IF($W298="","",IF(INDEX('Per Invoice'!P$2:P$801,$W298)="","",INDEX('Per Invoice'!P$2:P$801,$W298)))</f>
        <v/>
      </c>
      <c r="Q298" s="7">
        <f>IF($W298="","",IF(INDEX('Per Invoice'!Q$2:Q$801,$W298)="","",INDEX('Per Invoice'!Q$2:Q$801,$W298)))</f>
        <v/>
      </c>
      <c r="R298" s="7">
        <f>IF($W298="","",IF(INDEX('Per Invoice'!R$2:R$801,$W298)="","",INDEX('Per Invoice'!R$2:R$801,$W298)))</f>
        <v/>
      </c>
      <c r="S298" s="7">
        <f>IF($W298="","",IF(INDEX('Per Invoice'!S$2:S$801,$W298)="","",INDEX('Per Invoice'!S$2:S$801,$W298)))</f>
        <v/>
      </c>
      <c r="T298" s="7">
        <f>IF($W298="","",IF(INDEX('Per Invoice'!T$2:T$801,$W298)="","",INDEX('Per Invoice'!T$2:T$801,$W298)))</f>
        <v/>
      </c>
      <c r="U298" s="7">
        <f>IF($W298="","",IF(INDEX('Per Invoice'!U$2:U$801,$W298)="","",INDEX('Per Invoice'!U$2:U$801,$W298)))</f>
        <v/>
      </c>
      <c r="V298" s="7">
        <f>IF($W298="","",IF(INDEX('Per Invoice'!V$2:V$801,$W298)="","",INDEX('Per Invoice'!V$2:V$801,$W298)))</f>
        <v/>
      </c>
      <c r="W298" s="16">
        <f>IFERROR(MATCH(Settings!$C$31&amp;"|"&amp;ROWS($W$2:$W298),'Per Invoice'!$X$2:$X$801,0),"")</f>
        <v/>
      </c>
    </row>
    <row r="299">
      <c r="A299">
        <f>IF($W299="","",IF(INDEX('Per Invoice'!A$2:A$801,$W299)="","",INDEX('Per Invoice'!A$2:A$801,$W299)))</f>
        <v/>
      </c>
      <c r="B299">
        <f>IF($W299="","",IF(INDEX('Per Invoice'!B$2:B$801,$W299)="","",INDEX('Per Invoice'!B$2:B$801,$W299)))</f>
        <v/>
      </c>
      <c r="C299">
        <f>IF($W299="","",IF(INDEX('Per Invoice'!C$2:C$801,$W299)="","",INDEX('Per Invoice'!C$2:C$801,$W299)))</f>
        <v/>
      </c>
      <c r="D299">
        <f>IF($W299="","",IF(INDEX('Per Invoice'!D$2:D$801,$W299)="","",INDEX('Per Invoice'!D$2:D$801,$W299)))</f>
        <v/>
      </c>
      <c r="E299">
        <f>IF($W299="","",IF(INDEX('Per Invoice'!E$2:E$801,$W299)="","",INDEX('Per Invoice'!E$2:E$801,$W299)))</f>
        <v/>
      </c>
      <c r="F299">
        <f>IF($W299="","",IF(INDEX('Per Invoice'!F$2:F$801,$W299)="","",INDEX('Per Invoice'!F$2:F$801,$W299)))</f>
        <v/>
      </c>
      <c r="G299">
        <f>IF($W299="","",IF(INDEX('Per Invoice'!G$2:G$801,$W299)="","",INDEX('Per Invoice'!G$2:G$801,$W299)))</f>
        <v/>
      </c>
      <c r="H299">
        <f>IF($W299="","",IF(INDEX('Per Invoice'!H$2:H$801,$W299)="","",INDEX('Per Invoice'!H$2:H$801,$W299)))</f>
        <v/>
      </c>
      <c r="I299">
        <f>IF($W299="","",IF(INDEX('Per Invoice'!I$2:I$801,$W299)="","",INDEX('Per Invoice'!I$2:I$801,$W299)))</f>
        <v/>
      </c>
      <c r="J299">
        <f>IF($W299="","",IF(INDEX('Per Invoice'!J$2:J$801,$W299)="","",INDEX('Per Invoice'!J$2:J$801,$W299)))</f>
        <v/>
      </c>
      <c r="K299" s="7">
        <f>IF($W299="","",IF(INDEX('Per Invoice'!K$2:K$801,$W299)="","",INDEX('Per Invoice'!K$2:K$801,$W299)))</f>
        <v/>
      </c>
      <c r="L299" s="14">
        <f>IF($W299="","",IF(INDEX('Per Invoice'!L$2:L$801,$W299)="","",INDEX('Per Invoice'!L$2:L$801,$W299)))</f>
        <v/>
      </c>
      <c r="M299">
        <f>IF($W299="","",IF(INDEX('Per Invoice'!M$2:M$801,$W299)="","",INDEX('Per Invoice'!M$2:M$801,$W299)))</f>
        <v/>
      </c>
      <c r="N299" s="7">
        <f>IF($W299="","",IF(INDEX('Per Invoice'!N$2:N$801,$W299)="","",INDEX('Per Invoice'!N$2:N$801,$W299)))</f>
        <v/>
      </c>
      <c r="O299" s="7">
        <f>IF($W299="","",IF(INDEX('Per Invoice'!O$2:O$801,$W299)="","",INDEX('Per Invoice'!O$2:O$801,$W299)))</f>
        <v/>
      </c>
      <c r="P299">
        <f>IF($W299="","",IF(INDEX('Per Invoice'!P$2:P$801,$W299)="","",INDEX('Per Invoice'!P$2:P$801,$W299)))</f>
        <v/>
      </c>
      <c r="Q299" s="7">
        <f>IF($W299="","",IF(INDEX('Per Invoice'!Q$2:Q$801,$W299)="","",INDEX('Per Invoice'!Q$2:Q$801,$W299)))</f>
        <v/>
      </c>
      <c r="R299" s="7">
        <f>IF($W299="","",IF(INDEX('Per Invoice'!R$2:R$801,$W299)="","",INDEX('Per Invoice'!R$2:R$801,$W299)))</f>
        <v/>
      </c>
      <c r="S299" s="7">
        <f>IF($W299="","",IF(INDEX('Per Invoice'!S$2:S$801,$W299)="","",INDEX('Per Invoice'!S$2:S$801,$W299)))</f>
        <v/>
      </c>
      <c r="T299" s="7">
        <f>IF($W299="","",IF(INDEX('Per Invoice'!T$2:T$801,$W299)="","",INDEX('Per Invoice'!T$2:T$801,$W299)))</f>
        <v/>
      </c>
      <c r="U299" s="7">
        <f>IF($W299="","",IF(INDEX('Per Invoice'!U$2:U$801,$W299)="","",INDEX('Per Invoice'!U$2:U$801,$W299)))</f>
        <v/>
      </c>
      <c r="V299" s="7">
        <f>IF($W299="","",IF(INDEX('Per Invoice'!V$2:V$801,$W299)="","",INDEX('Per Invoice'!V$2:V$801,$W299)))</f>
        <v/>
      </c>
      <c r="W299" s="16">
        <f>IFERROR(MATCH(Settings!$C$31&amp;"|"&amp;ROWS($W$2:$W299),'Per Invoice'!$X$2:$X$801,0),"")</f>
        <v/>
      </c>
    </row>
    <row r="300">
      <c r="A300">
        <f>IF($W300="","",IF(INDEX('Per Invoice'!A$2:A$801,$W300)="","",INDEX('Per Invoice'!A$2:A$801,$W300)))</f>
        <v/>
      </c>
      <c r="B300">
        <f>IF($W300="","",IF(INDEX('Per Invoice'!B$2:B$801,$W300)="","",INDEX('Per Invoice'!B$2:B$801,$W300)))</f>
        <v/>
      </c>
      <c r="C300">
        <f>IF($W300="","",IF(INDEX('Per Invoice'!C$2:C$801,$W300)="","",INDEX('Per Invoice'!C$2:C$801,$W300)))</f>
        <v/>
      </c>
      <c r="D300">
        <f>IF($W300="","",IF(INDEX('Per Invoice'!D$2:D$801,$W300)="","",INDEX('Per Invoice'!D$2:D$801,$W300)))</f>
        <v/>
      </c>
      <c r="E300">
        <f>IF($W300="","",IF(INDEX('Per Invoice'!E$2:E$801,$W300)="","",INDEX('Per Invoice'!E$2:E$801,$W300)))</f>
        <v/>
      </c>
      <c r="F300">
        <f>IF($W300="","",IF(INDEX('Per Invoice'!F$2:F$801,$W300)="","",INDEX('Per Invoice'!F$2:F$801,$W300)))</f>
        <v/>
      </c>
      <c r="G300">
        <f>IF($W300="","",IF(INDEX('Per Invoice'!G$2:G$801,$W300)="","",INDEX('Per Invoice'!G$2:G$801,$W300)))</f>
        <v/>
      </c>
      <c r="H300">
        <f>IF($W300="","",IF(INDEX('Per Invoice'!H$2:H$801,$W300)="","",INDEX('Per Invoice'!H$2:H$801,$W300)))</f>
        <v/>
      </c>
      <c r="I300">
        <f>IF($W300="","",IF(INDEX('Per Invoice'!I$2:I$801,$W300)="","",INDEX('Per Invoice'!I$2:I$801,$W300)))</f>
        <v/>
      </c>
      <c r="J300">
        <f>IF($W300="","",IF(INDEX('Per Invoice'!J$2:J$801,$W300)="","",INDEX('Per Invoice'!J$2:J$801,$W300)))</f>
        <v/>
      </c>
      <c r="K300" s="7">
        <f>IF($W300="","",IF(INDEX('Per Invoice'!K$2:K$801,$W300)="","",INDEX('Per Invoice'!K$2:K$801,$W300)))</f>
        <v/>
      </c>
      <c r="L300" s="14">
        <f>IF($W300="","",IF(INDEX('Per Invoice'!L$2:L$801,$W300)="","",INDEX('Per Invoice'!L$2:L$801,$W300)))</f>
        <v/>
      </c>
      <c r="M300">
        <f>IF($W300="","",IF(INDEX('Per Invoice'!M$2:M$801,$W300)="","",INDEX('Per Invoice'!M$2:M$801,$W300)))</f>
        <v/>
      </c>
      <c r="N300" s="7">
        <f>IF($W300="","",IF(INDEX('Per Invoice'!N$2:N$801,$W300)="","",INDEX('Per Invoice'!N$2:N$801,$W300)))</f>
        <v/>
      </c>
      <c r="O300" s="7">
        <f>IF($W300="","",IF(INDEX('Per Invoice'!O$2:O$801,$W300)="","",INDEX('Per Invoice'!O$2:O$801,$W300)))</f>
        <v/>
      </c>
      <c r="P300">
        <f>IF($W300="","",IF(INDEX('Per Invoice'!P$2:P$801,$W300)="","",INDEX('Per Invoice'!P$2:P$801,$W300)))</f>
        <v/>
      </c>
      <c r="Q300" s="7">
        <f>IF($W300="","",IF(INDEX('Per Invoice'!Q$2:Q$801,$W300)="","",INDEX('Per Invoice'!Q$2:Q$801,$W300)))</f>
        <v/>
      </c>
      <c r="R300" s="7">
        <f>IF($W300="","",IF(INDEX('Per Invoice'!R$2:R$801,$W300)="","",INDEX('Per Invoice'!R$2:R$801,$W300)))</f>
        <v/>
      </c>
      <c r="S300" s="7">
        <f>IF($W300="","",IF(INDEX('Per Invoice'!S$2:S$801,$W300)="","",INDEX('Per Invoice'!S$2:S$801,$W300)))</f>
        <v/>
      </c>
      <c r="T300" s="7">
        <f>IF($W300="","",IF(INDEX('Per Invoice'!T$2:T$801,$W300)="","",INDEX('Per Invoice'!T$2:T$801,$W300)))</f>
        <v/>
      </c>
      <c r="U300" s="7">
        <f>IF($W300="","",IF(INDEX('Per Invoice'!U$2:U$801,$W300)="","",INDEX('Per Invoice'!U$2:U$801,$W300)))</f>
        <v/>
      </c>
      <c r="V300" s="7">
        <f>IF($W300="","",IF(INDEX('Per Invoice'!V$2:V$801,$W300)="","",INDEX('Per Invoice'!V$2:V$801,$W300)))</f>
        <v/>
      </c>
      <c r="W300" s="16">
        <f>IFERROR(MATCH(Settings!$C$31&amp;"|"&amp;ROWS($W$2:$W300),'Per Invoice'!$X$2:$X$801,0),"")</f>
        <v/>
      </c>
    </row>
    <row r="301">
      <c r="A301">
        <f>IF($W301="","",IF(INDEX('Per Invoice'!A$2:A$801,$W301)="","",INDEX('Per Invoice'!A$2:A$801,$W301)))</f>
        <v/>
      </c>
      <c r="B301">
        <f>IF($W301="","",IF(INDEX('Per Invoice'!B$2:B$801,$W301)="","",INDEX('Per Invoice'!B$2:B$801,$W301)))</f>
        <v/>
      </c>
      <c r="C301">
        <f>IF($W301="","",IF(INDEX('Per Invoice'!C$2:C$801,$W301)="","",INDEX('Per Invoice'!C$2:C$801,$W301)))</f>
        <v/>
      </c>
      <c r="D301">
        <f>IF($W301="","",IF(INDEX('Per Invoice'!D$2:D$801,$W301)="","",INDEX('Per Invoice'!D$2:D$801,$W301)))</f>
        <v/>
      </c>
      <c r="E301">
        <f>IF($W301="","",IF(INDEX('Per Invoice'!E$2:E$801,$W301)="","",INDEX('Per Invoice'!E$2:E$801,$W301)))</f>
        <v/>
      </c>
      <c r="F301">
        <f>IF($W301="","",IF(INDEX('Per Invoice'!F$2:F$801,$W301)="","",INDEX('Per Invoice'!F$2:F$801,$W301)))</f>
        <v/>
      </c>
      <c r="G301">
        <f>IF($W301="","",IF(INDEX('Per Invoice'!G$2:G$801,$W301)="","",INDEX('Per Invoice'!G$2:G$801,$W301)))</f>
        <v/>
      </c>
      <c r="H301">
        <f>IF($W301="","",IF(INDEX('Per Invoice'!H$2:H$801,$W301)="","",INDEX('Per Invoice'!H$2:H$801,$W301)))</f>
        <v/>
      </c>
      <c r="I301">
        <f>IF($W301="","",IF(INDEX('Per Invoice'!I$2:I$801,$W301)="","",INDEX('Per Invoice'!I$2:I$801,$W301)))</f>
        <v/>
      </c>
      <c r="J301">
        <f>IF($W301="","",IF(INDEX('Per Invoice'!J$2:J$801,$W301)="","",INDEX('Per Invoice'!J$2:J$801,$W301)))</f>
        <v/>
      </c>
      <c r="K301" s="7">
        <f>IF($W301="","",IF(INDEX('Per Invoice'!K$2:K$801,$W301)="","",INDEX('Per Invoice'!K$2:K$801,$W301)))</f>
        <v/>
      </c>
      <c r="L301" s="14">
        <f>IF($W301="","",IF(INDEX('Per Invoice'!L$2:L$801,$W301)="","",INDEX('Per Invoice'!L$2:L$801,$W301)))</f>
        <v/>
      </c>
      <c r="M301">
        <f>IF($W301="","",IF(INDEX('Per Invoice'!M$2:M$801,$W301)="","",INDEX('Per Invoice'!M$2:M$801,$W301)))</f>
        <v/>
      </c>
      <c r="N301" s="7">
        <f>IF($W301="","",IF(INDEX('Per Invoice'!N$2:N$801,$W301)="","",INDEX('Per Invoice'!N$2:N$801,$W301)))</f>
        <v/>
      </c>
      <c r="O301" s="7">
        <f>IF($W301="","",IF(INDEX('Per Invoice'!O$2:O$801,$W301)="","",INDEX('Per Invoice'!O$2:O$801,$W301)))</f>
        <v/>
      </c>
      <c r="P301">
        <f>IF($W301="","",IF(INDEX('Per Invoice'!P$2:P$801,$W301)="","",INDEX('Per Invoice'!P$2:P$801,$W301)))</f>
        <v/>
      </c>
      <c r="Q301" s="7">
        <f>IF($W301="","",IF(INDEX('Per Invoice'!Q$2:Q$801,$W301)="","",INDEX('Per Invoice'!Q$2:Q$801,$W301)))</f>
        <v/>
      </c>
      <c r="R301" s="7">
        <f>IF($W301="","",IF(INDEX('Per Invoice'!R$2:R$801,$W301)="","",INDEX('Per Invoice'!R$2:R$801,$W301)))</f>
        <v/>
      </c>
      <c r="S301" s="7">
        <f>IF($W301="","",IF(INDEX('Per Invoice'!S$2:S$801,$W301)="","",INDEX('Per Invoice'!S$2:S$801,$W301)))</f>
        <v/>
      </c>
      <c r="T301" s="7">
        <f>IF($W301="","",IF(INDEX('Per Invoice'!T$2:T$801,$W301)="","",INDEX('Per Invoice'!T$2:T$801,$W301)))</f>
        <v/>
      </c>
      <c r="U301" s="7">
        <f>IF($W301="","",IF(INDEX('Per Invoice'!U$2:U$801,$W301)="","",INDEX('Per Invoice'!U$2:U$801,$W301)))</f>
        <v/>
      </c>
      <c r="V301" s="7">
        <f>IF($W301="","",IF(INDEX('Per Invoice'!V$2:V$801,$W301)="","",INDEX('Per Invoice'!V$2:V$801,$W301)))</f>
        <v/>
      </c>
      <c r="W301" s="16">
        <f>IFERROR(MATCH(Settings!$C$31&amp;"|"&amp;ROWS($W$2:$W301),'Per Invoice'!$X$2:$X$801,0),"")</f>
        <v/>
      </c>
    </row>
  </sheetData>
  <autoFilter ref="A1:W3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26" customWidth="1" min="8" max="8"/>
    <col width="13" customWidth="1" min="9" max="9"/>
    <col width="12" customWidth="1" min="10" max="10"/>
    <col width="1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 ht="32" customHeight="1">
      <c r="A1" s="10" t="inlineStr">
        <is>
          <t>Invoice</t>
        </is>
      </c>
      <c r="B1" s="10" t="inlineStr">
        <is>
          <t>Pos Reference</t>
        </is>
      </c>
      <c r="C1" s="10" t="inlineStr">
        <is>
          <t>Approval</t>
        </is>
      </c>
      <c r="D1" s="10" t="inlineStr">
        <is>
          <t>##</t>
        </is>
      </c>
      <c r="E1" s="10" t="inlineStr">
        <is>
          <t>Payer</t>
        </is>
      </c>
      <c r="F1" s="10" t="inlineStr">
        <is>
          <t>Payment term</t>
        </is>
      </c>
      <c r="G1" s="10" t="inlineStr">
        <is>
          <t>Insurance Company</t>
        </is>
      </c>
      <c r="H1" s="10" t="inlineStr">
        <is>
          <t>Name</t>
        </is>
      </c>
      <c r="I1" s="10" t="inlineStr">
        <is>
          <t>Card Number</t>
        </is>
      </c>
      <c r="J1" s="10" t="inlineStr">
        <is>
          <t>Co Payment %</t>
        </is>
      </c>
      <c r="K1" s="10" t="inlineStr">
        <is>
          <t>Co val</t>
        </is>
      </c>
      <c r="L1" s="10" t="inlineStr">
        <is>
          <t>Create Date</t>
        </is>
      </c>
      <c r="M1" s="10" t="inlineStr">
        <is>
          <t>Imp%</t>
        </is>
      </c>
      <c r="N1" s="10" t="inlineStr">
        <is>
          <t>Imp</t>
        </is>
      </c>
      <c r="O1" s="10" t="inlineStr">
        <is>
          <t>Imp_Val</t>
        </is>
      </c>
      <c r="P1" s="10" t="inlineStr">
        <is>
          <t>Local%</t>
        </is>
      </c>
      <c r="Q1" s="10" t="inlineStr">
        <is>
          <t>Local</t>
        </is>
      </c>
      <c r="R1" s="10" t="inlineStr">
        <is>
          <t>Local_Val</t>
        </is>
      </c>
      <c r="S1" s="10" t="inlineStr">
        <is>
          <t>Discount</t>
        </is>
      </c>
      <c r="T1" s="10" t="inlineStr">
        <is>
          <t>Subtotal</t>
        </is>
      </c>
      <c r="U1" s="10" t="inlineStr">
        <is>
          <t>Net</t>
        </is>
      </c>
      <c r="V1" s="10" t="inlineStr">
        <is>
          <t>Grand Total</t>
        </is>
      </c>
      <c r="W1" s="13" t="inlineStr">
        <is>
          <t>Src Row (helper)</t>
        </is>
      </c>
    </row>
    <row r="2">
      <c r="A2">
        <f>IF($W2="","",IF(INDEX('Per Invoice'!A$2:A$801,$W2)="","",INDEX('Per Invoice'!A$2:A$801,$W2)))</f>
        <v/>
      </c>
      <c r="B2">
        <f>IF($W2="","",IF(INDEX('Per Invoice'!B$2:B$801,$W2)="","",INDEX('Per Invoice'!B$2:B$801,$W2)))</f>
        <v/>
      </c>
      <c r="C2">
        <f>IF($W2="","",IF(INDEX('Per Invoice'!C$2:C$801,$W2)="","",INDEX('Per Invoice'!C$2:C$801,$W2)))</f>
        <v/>
      </c>
      <c r="D2">
        <f>IF($W2="","",IF(INDEX('Per Invoice'!D$2:D$801,$W2)="","",INDEX('Per Invoice'!D$2:D$801,$W2)))</f>
        <v/>
      </c>
      <c r="E2">
        <f>IF($W2="","",IF(INDEX('Per Invoice'!E$2:E$801,$W2)="","",INDEX('Per Invoice'!E$2:E$801,$W2)))</f>
        <v/>
      </c>
      <c r="F2">
        <f>IF($W2="","",IF(INDEX('Per Invoice'!F$2:F$801,$W2)="","",INDEX('Per Invoice'!F$2:F$801,$W2)))</f>
        <v/>
      </c>
      <c r="G2">
        <f>IF($W2="","",IF(INDEX('Per Invoice'!G$2:G$801,$W2)="","",INDEX('Per Invoice'!G$2:G$801,$W2)))</f>
        <v/>
      </c>
      <c r="H2">
        <f>IF($W2="","",IF(INDEX('Per Invoice'!H$2:H$801,$W2)="","",INDEX('Per Invoice'!H$2:H$801,$W2)))</f>
        <v/>
      </c>
      <c r="I2">
        <f>IF($W2="","",IF(INDEX('Per Invoice'!I$2:I$801,$W2)="","",INDEX('Per Invoice'!I$2:I$801,$W2)))</f>
        <v/>
      </c>
      <c r="J2">
        <f>IF($W2="","",IF(INDEX('Per Invoice'!J$2:J$801,$W2)="","",INDEX('Per Invoice'!J$2:J$801,$W2)))</f>
        <v/>
      </c>
      <c r="K2" s="7">
        <f>IF($W2="","",IF(INDEX('Per Invoice'!K$2:K$801,$W2)="","",INDEX('Per Invoice'!K$2:K$801,$W2)))</f>
        <v/>
      </c>
      <c r="L2" s="14">
        <f>IF($W2="","",IF(INDEX('Per Invoice'!L$2:L$801,$W2)="","",INDEX('Per Invoice'!L$2:L$801,$W2)))</f>
        <v/>
      </c>
      <c r="M2">
        <f>IF($W2="","",IF(INDEX('Per Invoice'!M$2:M$801,$W2)="","",INDEX('Per Invoice'!M$2:M$801,$W2)))</f>
        <v/>
      </c>
      <c r="N2" s="7">
        <f>IF($W2="","",IF(INDEX('Per Invoice'!N$2:N$801,$W2)="","",INDEX('Per Invoice'!N$2:N$801,$W2)))</f>
        <v/>
      </c>
      <c r="O2" s="7">
        <f>IF($W2="","",IF(INDEX('Per Invoice'!O$2:O$801,$W2)="","",INDEX('Per Invoice'!O$2:O$801,$W2)))</f>
        <v/>
      </c>
      <c r="P2">
        <f>IF($W2="","",IF(INDEX('Per Invoice'!P$2:P$801,$W2)="","",INDEX('Per Invoice'!P$2:P$801,$W2)))</f>
        <v/>
      </c>
      <c r="Q2" s="7">
        <f>IF($W2="","",IF(INDEX('Per Invoice'!Q$2:Q$801,$W2)="","",INDEX('Per Invoice'!Q$2:Q$801,$W2)))</f>
        <v/>
      </c>
      <c r="R2" s="7">
        <f>IF($W2="","",IF(INDEX('Per Invoice'!R$2:R$801,$W2)="","",INDEX('Per Invoice'!R$2:R$801,$W2)))</f>
        <v/>
      </c>
      <c r="S2" s="7">
        <f>IF($W2="","",IF(INDEX('Per Invoice'!S$2:S$801,$W2)="","",INDEX('Per Invoice'!S$2:S$801,$W2)))</f>
        <v/>
      </c>
      <c r="T2" s="7">
        <f>IF($W2="","",IF(INDEX('Per Invoice'!T$2:T$801,$W2)="","",INDEX('Per Invoice'!T$2:T$801,$W2)))</f>
        <v/>
      </c>
      <c r="U2" s="7">
        <f>IF($W2="","",IF(INDEX('Per Invoice'!U$2:U$801,$W2)="","",INDEX('Per Invoice'!U$2:U$801,$W2)))</f>
        <v/>
      </c>
      <c r="V2" s="7">
        <f>IF($W2="","",IF(INDEX('Per Invoice'!V$2:V$801,$W2)="","",INDEX('Per Invoice'!V$2:V$801,$W2)))</f>
        <v/>
      </c>
      <c r="W2" s="16">
        <f>IFERROR(MATCH(Settings!$C$32&amp;"|"&amp;ROWS($W$2:$W2),'Per Invoice'!$X$2:$X$801,0),"")</f>
        <v/>
      </c>
    </row>
    <row r="3">
      <c r="A3">
        <f>IF($W3="","",IF(INDEX('Per Invoice'!A$2:A$801,$W3)="","",INDEX('Per Invoice'!A$2:A$801,$W3)))</f>
        <v/>
      </c>
      <c r="B3">
        <f>IF($W3="","",IF(INDEX('Per Invoice'!B$2:B$801,$W3)="","",INDEX('Per Invoice'!B$2:B$801,$W3)))</f>
        <v/>
      </c>
      <c r="C3">
        <f>IF($W3="","",IF(INDEX('Per Invoice'!C$2:C$801,$W3)="","",INDEX('Per Invoice'!C$2:C$801,$W3)))</f>
        <v/>
      </c>
      <c r="D3">
        <f>IF($W3="","",IF(INDEX('Per Invoice'!D$2:D$801,$W3)="","",INDEX('Per Invoice'!D$2:D$801,$W3)))</f>
        <v/>
      </c>
      <c r="E3">
        <f>IF($W3="","",IF(INDEX('Per Invoice'!E$2:E$801,$W3)="","",INDEX('Per Invoice'!E$2:E$801,$W3)))</f>
        <v/>
      </c>
      <c r="F3">
        <f>IF($W3="","",IF(INDEX('Per Invoice'!F$2:F$801,$W3)="","",INDEX('Per Invoice'!F$2:F$801,$W3)))</f>
        <v/>
      </c>
      <c r="G3">
        <f>IF($W3="","",IF(INDEX('Per Invoice'!G$2:G$801,$W3)="","",INDEX('Per Invoice'!G$2:G$801,$W3)))</f>
        <v/>
      </c>
      <c r="H3">
        <f>IF($W3="","",IF(INDEX('Per Invoice'!H$2:H$801,$W3)="","",INDEX('Per Invoice'!H$2:H$801,$W3)))</f>
        <v/>
      </c>
      <c r="I3">
        <f>IF($W3="","",IF(INDEX('Per Invoice'!I$2:I$801,$W3)="","",INDEX('Per Invoice'!I$2:I$801,$W3)))</f>
        <v/>
      </c>
      <c r="J3">
        <f>IF($W3="","",IF(INDEX('Per Invoice'!J$2:J$801,$W3)="","",INDEX('Per Invoice'!J$2:J$801,$W3)))</f>
        <v/>
      </c>
      <c r="K3" s="7">
        <f>IF($W3="","",IF(INDEX('Per Invoice'!K$2:K$801,$W3)="","",INDEX('Per Invoice'!K$2:K$801,$W3)))</f>
        <v/>
      </c>
      <c r="L3" s="14">
        <f>IF($W3="","",IF(INDEX('Per Invoice'!L$2:L$801,$W3)="","",INDEX('Per Invoice'!L$2:L$801,$W3)))</f>
        <v/>
      </c>
      <c r="M3">
        <f>IF($W3="","",IF(INDEX('Per Invoice'!M$2:M$801,$W3)="","",INDEX('Per Invoice'!M$2:M$801,$W3)))</f>
        <v/>
      </c>
      <c r="N3" s="7">
        <f>IF($W3="","",IF(INDEX('Per Invoice'!N$2:N$801,$W3)="","",INDEX('Per Invoice'!N$2:N$801,$W3)))</f>
        <v/>
      </c>
      <c r="O3" s="7">
        <f>IF($W3="","",IF(INDEX('Per Invoice'!O$2:O$801,$W3)="","",INDEX('Per Invoice'!O$2:O$801,$W3)))</f>
        <v/>
      </c>
      <c r="P3">
        <f>IF($W3="","",IF(INDEX('Per Invoice'!P$2:P$801,$W3)="","",INDEX('Per Invoice'!P$2:P$801,$W3)))</f>
        <v/>
      </c>
      <c r="Q3" s="7">
        <f>IF($W3="","",IF(INDEX('Per Invoice'!Q$2:Q$801,$W3)="","",INDEX('Per Invoice'!Q$2:Q$801,$W3)))</f>
        <v/>
      </c>
      <c r="R3" s="7">
        <f>IF($W3="","",IF(INDEX('Per Invoice'!R$2:R$801,$W3)="","",INDEX('Per Invoice'!R$2:R$801,$W3)))</f>
        <v/>
      </c>
      <c r="S3" s="7">
        <f>IF($W3="","",IF(INDEX('Per Invoice'!S$2:S$801,$W3)="","",INDEX('Per Invoice'!S$2:S$801,$W3)))</f>
        <v/>
      </c>
      <c r="T3" s="7">
        <f>IF($W3="","",IF(INDEX('Per Invoice'!T$2:T$801,$W3)="","",INDEX('Per Invoice'!T$2:T$801,$W3)))</f>
        <v/>
      </c>
      <c r="U3" s="7">
        <f>IF($W3="","",IF(INDEX('Per Invoice'!U$2:U$801,$W3)="","",INDEX('Per Invoice'!U$2:U$801,$W3)))</f>
        <v/>
      </c>
      <c r="V3" s="7">
        <f>IF($W3="","",IF(INDEX('Per Invoice'!V$2:V$801,$W3)="","",INDEX('Per Invoice'!V$2:V$801,$W3)))</f>
        <v/>
      </c>
      <c r="W3" s="16">
        <f>IFERROR(MATCH(Settings!$C$32&amp;"|"&amp;ROWS($W$2:$W3),'Per Invoice'!$X$2:$X$801,0),"")</f>
        <v/>
      </c>
    </row>
    <row r="4">
      <c r="A4">
        <f>IF($W4="","",IF(INDEX('Per Invoice'!A$2:A$801,$W4)="","",INDEX('Per Invoice'!A$2:A$801,$W4)))</f>
        <v/>
      </c>
      <c r="B4">
        <f>IF($W4="","",IF(INDEX('Per Invoice'!B$2:B$801,$W4)="","",INDEX('Per Invoice'!B$2:B$801,$W4)))</f>
        <v/>
      </c>
      <c r="C4">
        <f>IF($W4="","",IF(INDEX('Per Invoice'!C$2:C$801,$W4)="","",INDEX('Per Invoice'!C$2:C$801,$W4)))</f>
        <v/>
      </c>
      <c r="D4">
        <f>IF($W4="","",IF(INDEX('Per Invoice'!D$2:D$801,$W4)="","",INDEX('Per Invoice'!D$2:D$801,$W4)))</f>
        <v/>
      </c>
      <c r="E4">
        <f>IF($W4="","",IF(INDEX('Per Invoice'!E$2:E$801,$W4)="","",INDEX('Per Invoice'!E$2:E$801,$W4)))</f>
        <v/>
      </c>
      <c r="F4">
        <f>IF($W4="","",IF(INDEX('Per Invoice'!F$2:F$801,$W4)="","",INDEX('Per Invoice'!F$2:F$801,$W4)))</f>
        <v/>
      </c>
      <c r="G4">
        <f>IF($W4="","",IF(INDEX('Per Invoice'!G$2:G$801,$W4)="","",INDEX('Per Invoice'!G$2:G$801,$W4)))</f>
        <v/>
      </c>
      <c r="H4">
        <f>IF($W4="","",IF(INDEX('Per Invoice'!H$2:H$801,$W4)="","",INDEX('Per Invoice'!H$2:H$801,$W4)))</f>
        <v/>
      </c>
      <c r="I4">
        <f>IF($W4="","",IF(INDEX('Per Invoice'!I$2:I$801,$W4)="","",INDEX('Per Invoice'!I$2:I$801,$W4)))</f>
        <v/>
      </c>
      <c r="J4">
        <f>IF($W4="","",IF(INDEX('Per Invoice'!J$2:J$801,$W4)="","",INDEX('Per Invoice'!J$2:J$801,$W4)))</f>
        <v/>
      </c>
      <c r="K4" s="7">
        <f>IF($W4="","",IF(INDEX('Per Invoice'!K$2:K$801,$W4)="","",INDEX('Per Invoice'!K$2:K$801,$W4)))</f>
        <v/>
      </c>
      <c r="L4" s="14">
        <f>IF($W4="","",IF(INDEX('Per Invoice'!L$2:L$801,$W4)="","",INDEX('Per Invoice'!L$2:L$801,$W4)))</f>
        <v/>
      </c>
      <c r="M4">
        <f>IF($W4="","",IF(INDEX('Per Invoice'!M$2:M$801,$W4)="","",INDEX('Per Invoice'!M$2:M$801,$W4)))</f>
        <v/>
      </c>
      <c r="N4" s="7">
        <f>IF($W4="","",IF(INDEX('Per Invoice'!N$2:N$801,$W4)="","",INDEX('Per Invoice'!N$2:N$801,$W4)))</f>
        <v/>
      </c>
      <c r="O4" s="7">
        <f>IF($W4="","",IF(INDEX('Per Invoice'!O$2:O$801,$W4)="","",INDEX('Per Invoice'!O$2:O$801,$W4)))</f>
        <v/>
      </c>
      <c r="P4">
        <f>IF($W4="","",IF(INDEX('Per Invoice'!P$2:P$801,$W4)="","",INDEX('Per Invoice'!P$2:P$801,$W4)))</f>
        <v/>
      </c>
      <c r="Q4" s="7">
        <f>IF($W4="","",IF(INDEX('Per Invoice'!Q$2:Q$801,$W4)="","",INDEX('Per Invoice'!Q$2:Q$801,$W4)))</f>
        <v/>
      </c>
      <c r="R4" s="7">
        <f>IF($W4="","",IF(INDEX('Per Invoice'!R$2:R$801,$W4)="","",INDEX('Per Invoice'!R$2:R$801,$W4)))</f>
        <v/>
      </c>
      <c r="S4" s="7">
        <f>IF($W4="","",IF(INDEX('Per Invoice'!S$2:S$801,$W4)="","",INDEX('Per Invoice'!S$2:S$801,$W4)))</f>
        <v/>
      </c>
      <c r="T4" s="7">
        <f>IF($W4="","",IF(INDEX('Per Invoice'!T$2:T$801,$W4)="","",INDEX('Per Invoice'!T$2:T$801,$W4)))</f>
        <v/>
      </c>
      <c r="U4" s="7">
        <f>IF($W4="","",IF(INDEX('Per Invoice'!U$2:U$801,$W4)="","",INDEX('Per Invoice'!U$2:U$801,$W4)))</f>
        <v/>
      </c>
      <c r="V4" s="7">
        <f>IF($W4="","",IF(INDEX('Per Invoice'!V$2:V$801,$W4)="","",INDEX('Per Invoice'!V$2:V$801,$W4)))</f>
        <v/>
      </c>
      <c r="W4" s="16">
        <f>IFERROR(MATCH(Settings!$C$32&amp;"|"&amp;ROWS($W$2:$W4),'Per Invoice'!$X$2:$X$801,0),"")</f>
        <v/>
      </c>
    </row>
    <row r="5">
      <c r="A5">
        <f>IF($W5="","",IF(INDEX('Per Invoice'!A$2:A$801,$W5)="","",INDEX('Per Invoice'!A$2:A$801,$W5)))</f>
        <v/>
      </c>
      <c r="B5">
        <f>IF($W5="","",IF(INDEX('Per Invoice'!B$2:B$801,$W5)="","",INDEX('Per Invoice'!B$2:B$801,$W5)))</f>
        <v/>
      </c>
      <c r="C5">
        <f>IF($W5="","",IF(INDEX('Per Invoice'!C$2:C$801,$W5)="","",INDEX('Per Invoice'!C$2:C$801,$W5)))</f>
        <v/>
      </c>
      <c r="D5">
        <f>IF($W5="","",IF(INDEX('Per Invoice'!D$2:D$801,$W5)="","",INDEX('Per Invoice'!D$2:D$801,$W5)))</f>
        <v/>
      </c>
      <c r="E5">
        <f>IF($W5="","",IF(INDEX('Per Invoice'!E$2:E$801,$W5)="","",INDEX('Per Invoice'!E$2:E$801,$W5)))</f>
        <v/>
      </c>
      <c r="F5">
        <f>IF($W5="","",IF(INDEX('Per Invoice'!F$2:F$801,$W5)="","",INDEX('Per Invoice'!F$2:F$801,$W5)))</f>
        <v/>
      </c>
      <c r="G5">
        <f>IF($W5="","",IF(INDEX('Per Invoice'!G$2:G$801,$W5)="","",INDEX('Per Invoice'!G$2:G$801,$W5)))</f>
        <v/>
      </c>
      <c r="H5">
        <f>IF($W5="","",IF(INDEX('Per Invoice'!H$2:H$801,$W5)="","",INDEX('Per Invoice'!H$2:H$801,$W5)))</f>
        <v/>
      </c>
      <c r="I5">
        <f>IF($W5="","",IF(INDEX('Per Invoice'!I$2:I$801,$W5)="","",INDEX('Per Invoice'!I$2:I$801,$W5)))</f>
        <v/>
      </c>
      <c r="J5">
        <f>IF($W5="","",IF(INDEX('Per Invoice'!J$2:J$801,$W5)="","",INDEX('Per Invoice'!J$2:J$801,$W5)))</f>
        <v/>
      </c>
      <c r="K5" s="7">
        <f>IF($W5="","",IF(INDEX('Per Invoice'!K$2:K$801,$W5)="","",INDEX('Per Invoice'!K$2:K$801,$W5)))</f>
        <v/>
      </c>
      <c r="L5" s="14">
        <f>IF($W5="","",IF(INDEX('Per Invoice'!L$2:L$801,$W5)="","",INDEX('Per Invoice'!L$2:L$801,$W5)))</f>
        <v/>
      </c>
      <c r="M5">
        <f>IF($W5="","",IF(INDEX('Per Invoice'!M$2:M$801,$W5)="","",INDEX('Per Invoice'!M$2:M$801,$W5)))</f>
        <v/>
      </c>
      <c r="N5" s="7">
        <f>IF($W5="","",IF(INDEX('Per Invoice'!N$2:N$801,$W5)="","",INDEX('Per Invoice'!N$2:N$801,$W5)))</f>
        <v/>
      </c>
      <c r="O5" s="7">
        <f>IF($W5="","",IF(INDEX('Per Invoice'!O$2:O$801,$W5)="","",INDEX('Per Invoice'!O$2:O$801,$W5)))</f>
        <v/>
      </c>
      <c r="P5">
        <f>IF($W5="","",IF(INDEX('Per Invoice'!P$2:P$801,$W5)="","",INDEX('Per Invoice'!P$2:P$801,$W5)))</f>
        <v/>
      </c>
      <c r="Q5" s="7">
        <f>IF($W5="","",IF(INDEX('Per Invoice'!Q$2:Q$801,$W5)="","",INDEX('Per Invoice'!Q$2:Q$801,$W5)))</f>
        <v/>
      </c>
      <c r="R5" s="7">
        <f>IF($W5="","",IF(INDEX('Per Invoice'!R$2:R$801,$W5)="","",INDEX('Per Invoice'!R$2:R$801,$W5)))</f>
        <v/>
      </c>
      <c r="S5" s="7">
        <f>IF($W5="","",IF(INDEX('Per Invoice'!S$2:S$801,$W5)="","",INDEX('Per Invoice'!S$2:S$801,$W5)))</f>
        <v/>
      </c>
      <c r="T5" s="7">
        <f>IF($W5="","",IF(INDEX('Per Invoice'!T$2:T$801,$W5)="","",INDEX('Per Invoice'!T$2:T$801,$W5)))</f>
        <v/>
      </c>
      <c r="U5" s="7">
        <f>IF($W5="","",IF(INDEX('Per Invoice'!U$2:U$801,$W5)="","",INDEX('Per Invoice'!U$2:U$801,$W5)))</f>
        <v/>
      </c>
      <c r="V5" s="7">
        <f>IF($W5="","",IF(INDEX('Per Invoice'!V$2:V$801,$W5)="","",INDEX('Per Invoice'!V$2:V$801,$W5)))</f>
        <v/>
      </c>
      <c r="W5" s="16">
        <f>IFERROR(MATCH(Settings!$C$32&amp;"|"&amp;ROWS($W$2:$W5),'Per Invoice'!$X$2:$X$801,0),"")</f>
        <v/>
      </c>
    </row>
    <row r="6">
      <c r="A6">
        <f>IF($W6="","",IF(INDEX('Per Invoice'!A$2:A$801,$W6)="","",INDEX('Per Invoice'!A$2:A$801,$W6)))</f>
        <v/>
      </c>
      <c r="B6">
        <f>IF($W6="","",IF(INDEX('Per Invoice'!B$2:B$801,$W6)="","",INDEX('Per Invoice'!B$2:B$801,$W6)))</f>
        <v/>
      </c>
      <c r="C6">
        <f>IF($W6="","",IF(INDEX('Per Invoice'!C$2:C$801,$W6)="","",INDEX('Per Invoice'!C$2:C$801,$W6)))</f>
        <v/>
      </c>
      <c r="D6">
        <f>IF($W6="","",IF(INDEX('Per Invoice'!D$2:D$801,$W6)="","",INDEX('Per Invoice'!D$2:D$801,$W6)))</f>
        <v/>
      </c>
      <c r="E6">
        <f>IF($W6="","",IF(INDEX('Per Invoice'!E$2:E$801,$W6)="","",INDEX('Per Invoice'!E$2:E$801,$W6)))</f>
        <v/>
      </c>
      <c r="F6">
        <f>IF($W6="","",IF(INDEX('Per Invoice'!F$2:F$801,$W6)="","",INDEX('Per Invoice'!F$2:F$801,$W6)))</f>
        <v/>
      </c>
      <c r="G6">
        <f>IF($W6="","",IF(INDEX('Per Invoice'!G$2:G$801,$W6)="","",INDEX('Per Invoice'!G$2:G$801,$W6)))</f>
        <v/>
      </c>
      <c r="H6">
        <f>IF($W6="","",IF(INDEX('Per Invoice'!H$2:H$801,$W6)="","",INDEX('Per Invoice'!H$2:H$801,$W6)))</f>
        <v/>
      </c>
      <c r="I6">
        <f>IF($W6="","",IF(INDEX('Per Invoice'!I$2:I$801,$W6)="","",INDEX('Per Invoice'!I$2:I$801,$W6)))</f>
        <v/>
      </c>
      <c r="J6">
        <f>IF($W6="","",IF(INDEX('Per Invoice'!J$2:J$801,$W6)="","",INDEX('Per Invoice'!J$2:J$801,$W6)))</f>
        <v/>
      </c>
      <c r="K6" s="7">
        <f>IF($W6="","",IF(INDEX('Per Invoice'!K$2:K$801,$W6)="","",INDEX('Per Invoice'!K$2:K$801,$W6)))</f>
        <v/>
      </c>
      <c r="L6" s="14">
        <f>IF($W6="","",IF(INDEX('Per Invoice'!L$2:L$801,$W6)="","",INDEX('Per Invoice'!L$2:L$801,$W6)))</f>
        <v/>
      </c>
      <c r="M6">
        <f>IF($W6="","",IF(INDEX('Per Invoice'!M$2:M$801,$W6)="","",INDEX('Per Invoice'!M$2:M$801,$W6)))</f>
        <v/>
      </c>
      <c r="N6" s="7">
        <f>IF($W6="","",IF(INDEX('Per Invoice'!N$2:N$801,$W6)="","",INDEX('Per Invoice'!N$2:N$801,$W6)))</f>
        <v/>
      </c>
      <c r="O6" s="7">
        <f>IF($W6="","",IF(INDEX('Per Invoice'!O$2:O$801,$W6)="","",INDEX('Per Invoice'!O$2:O$801,$W6)))</f>
        <v/>
      </c>
      <c r="P6">
        <f>IF($W6="","",IF(INDEX('Per Invoice'!P$2:P$801,$W6)="","",INDEX('Per Invoice'!P$2:P$801,$W6)))</f>
        <v/>
      </c>
      <c r="Q6" s="7">
        <f>IF($W6="","",IF(INDEX('Per Invoice'!Q$2:Q$801,$W6)="","",INDEX('Per Invoice'!Q$2:Q$801,$W6)))</f>
        <v/>
      </c>
      <c r="R6" s="7">
        <f>IF($W6="","",IF(INDEX('Per Invoice'!R$2:R$801,$W6)="","",INDEX('Per Invoice'!R$2:R$801,$W6)))</f>
        <v/>
      </c>
      <c r="S6" s="7">
        <f>IF($W6="","",IF(INDEX('Per Invoice'!S$2:S$801,$W6)="","",INDEX('Per Invoice'!S$2:S$801,$W6)))</f>
        <v/>
      </c>
      <c r="T6" s="7">
        <f>IF($W6="","",IF(INDEX('Per Invoice'!T$2:T$801,$W6)="","",INDEX('Per Invoice'!T$2:T$801,$W6)))</f>
        <v/>
      </c>
      <c r="U6" s="7">
        <f>IF($W6="","",IF(INDEX('Per Invoice'!U$2:U$801,$W6)="","",INDEX('Per Invoice'!U$2:U$801,$W6)))</f>
        <v/>
      </c>
      <c r="V6" s="7">
        <f>IF($W6="","",IF(INDEX('Per Invoice'!V$2:V$801,$W6)="","",INDEX('Per Invoice'!V$2:V$801,$W6)))</f>
        <v/>
      </c>
      <c r="W6" s="16">
        <f>IFERROR(MATCH(Settings!$C$32&amp;"|"&amp;ROWS($W$2:$W6),'Per Invoice'!$X$2:$X$801,0),"")</f>
        <v/>
      </c>
    </row>
    <row r="7">
      <c r="A7">
        <f>IF($W7="","",IF(INDEX('Per Invoice'!A$2:A$801,$W7)="","",INDEX('Per Invoice'!A$2:A$801,$W7)))</f>
        <v/>
      </c>
      <c r="B7">
        <f>IF($W7="","",IF(INDEX('Per Invoice'!B$2:B$801,$W7)="","",INDEX('Per Invoice'!B$2:B$801,$W7)))</f>
        <v/>
      </c>
      <c r="C7">
        <f>IF($W7="","",IF(INDEX('Per Invoice'!C$2:C$801,$W7)="","",INDEX('Per Invoice'!C$2:C$801,$W7)))</f>
        <v/>
      </c>
      <c r="D7">
        <f>IF($W7="","",IF(INDEX('Per Invoice'!D$2:D$801,$W7)="","",INDEX('Per Invoice'!D$2:D$801,$W7)))</f>
        <v/>
      </c>
      <c r="E7">
        <f>IF($W7="","",IF(INDEX('Per Invoice'!E$2:E$801,$W7)="","",INDEX('Per Invoice'!E$2:E$801,$W7)))</f>
        <v/>
      </c>
      <c r="F7">
        <f>IF($W7="","",IF(INDEX('Per Invoice'!F$2:F$801,$W7)="","",INDEX('Per Invoice'!F$2:F$801,$W7)))</f>
        <v/>
      </c>
      <c r="G7">
        <f>IF($W7="","",IF(INDEX('Per Invoice'!G$2:G$801,$W7)="","",INDEX('Per Invoice'!G$2:G$801,$W7)))</f>
        <v/>
      </c>
      <c r="H7">
        <f>IF($W7="","",IF(INDEX('Per Invoice'!H$2:H$801,$W7)="","",INDEX('Per Invoice'!H$2:H$801,$W7)))</f>
        <v/>
      </c>
      <c r="I7">
        <f>IF($W7="","",IF(INDEX('Per Invoice'!I$2:I$801,$W7)="","",INDEX('Per Invoice'!I$2:I$801,$W7)))</f>
        <v/>
      </c>
      <c r="J7">
        <f>IF($W7="","",IF(INDEX('Per Invoice'!J$2:J$801,$W7)="","",INDEX('Per Invoice'!J$2:J$801,$W7)))</f>
        <v/>
      </c>
      <c r="K7" s="7">
        <f>IF($W7="","",IF(INDEX('Per Invoice'!K$2:K$801,$W7)="","",INDEX('Per Invoice'!K$2:K$801,$W7)))</f>
        <v/>
      </c>
      <c r="L7" s="14">
        <f>IF($W7="","",IF(INDEX('Per Invoice'!L$2:L$801,$W7)="","",INDEX('Per Invoice'!L$2:L$801,$W7)))</f>
        <v/>
      </c>
      <c r="M7">
        <f>IF($W7="","",IF(INDEX('Per Invoice'!M$2:M$801,$W7)="","",INDEX('Per Invoice'!M$2:M$801,$W7)))</f>
        <v/>
      </c>
      <c r="N7" s="7">
        <f>IF($W7="","",IF(INDEX('Per Invoice'!N$2:N$801,$W7)="","",INDEX('Per Invoice'!N$2:N$801,$W7)))</f>
        <v/>
      </c>
      <c r="O7" s="7">
        <f>IF($W7="","",IF(INDEX('Per Invoice'!O$2:O$801,$W7)="","",INDEX('Per Invoice'!O$2:O$801,$W7)))</f>
        <v/>
      </c>
      <c r="P7">
        <f>IF($W7="","",IF(INDEX('Per Invoice'!P$2:P$801,$W7)="","",INDEX('Per Invoice'!P$2:P$801,$W7)))</f>
        <v/>
      </c>
      <c r="Q7" s="7">
        <f>IF($W7="","",IF(INDEX('Per Invoice'!Q$2:Q$801,$W7)="","",INDEX('Per Invoice'!Q$2:Q$801,$W7)))</f>
        <v/>
      </c>
      <c r="R7" s="7">
        <f>IF($W7="","",IF(INDEX('Per Invoice'!R$2:R$801,$W7)="","",INDEX('Per Invoice'!R$2:R$801,$W7)))</f>
        <v/>
      </c>
      <c r="S7" s="7">
        <f>IF($W7="","",IF(INDEX('Per Invoice'!S$2:S$801,$W7)="","",INDEX('Per Invoice'!S$2:S$801,$W7)))</f>
        <v/>
      </c>
      <c r="T7" s="7">
        <f>IF($W7="","",IF(INDEX('Per Invoice'!T$2:T$801,$W7)="","",INDEX('Per Invoice'!T$2:T$801,$W7)))</f>
        <v/>
      </c>
      <c r="U7" s="7">
        <f>IF($W7="","",IF(INDEX('Per Invoice'!U$2:U$801,$W7)="","",INDEX('Per Invoice'!U$2:U$801,$W7)))</f>
        <v/>
      </c>
      <c r="V7" s="7">
        <f>IF($W7="","",IF(INDEX('Per Invoice'!V$2:V$801,$W7)="","",INDEX('Per Invoice'!V$2:V$801,$W7)))</f>
        <v/>
      </c>
      <c r="W7" s="16">
        <f>IFERROR(MATCH(Settings!$C$32&amp;"|"&amp;ROWS($W$2:$W7),'Per Invoice'!$X$2:$X$801,0),"")</f>
        <v/>
      </c>
    </row>
    <row r="8">
      <c r="A8">
        <f>IF($W8="","",IF(INDEX('Per Invoice'!A$2:A$801,$W8)="","",INDEX('Per Invoice'!A$2:A$801,$W8)))</f>
        <v/>
      </c>
      <c r="B8">
        <f>IF($W8="","",IF(INDEX('Per Invoice'!B$2:B$801,$W8)="","",INDEX('Per Invoice'!B$2:B$801,$W8)))</f>
        <v/>
      </c>
      <c r="C8">
        <f>IF($W8="","",IF(INDEX('Per Invoice'!C$2:C$801,$W8)="","",INDEX('Per Invoice'!C$2:C$801,$W8)))</f>
        <v/>
      </c>
      <c r="D8">
        <f>IF($W8="","",IF(INDEX('Per Invoice'!D$2:D$801,$W8)="","",INDEX('Per Invoice'!D$2:D$801,$W8)))</f>
        <v/>
      </c>
      <c r="E8">
        <f>IF($W8="","",IF(INDEX('Per Invoice'!E$2:E$801,$W8)="","",INDEX('Per Invoice'!E$2:E$801,$W8)))</f>
        <v/>
      </c>
      <c r="F8">
        <f>IF($W8="","",IF(INDEX('Per Invoice'!F$2:F$801,$W8)="","",INDEX('Per Invoice'!F$2:F$801,$W8)))</f>
        <v/>
      </c>
      <c r="G8">
        <f>IF($W8="","",IF(INDEX('Per Invoice'!G$2:G$801,$W8)="","",INDEX('Per Invoice'!G$2:G$801,$W8)))</f>
        <v/>
      </c>
      <c r="H8">
        <f>IF($W8="","",IF(INDEX('Per Invoice'!H$2:H$801,$W8)="","",INDEX('Per Invoice'!H$2:H$801,$W8)))</f>
        <v/>
      </c>
      <c r="I8">
        <f>IF($W8="","",IF(INDEX('Per Invoice'!I$2:I$801,$W8)="","",INDEX('Per Invoice'!I$2:I$801,$W8)))</f>
        <v/>
      </c>
      <c r="J8">
        <f>IF($W8="","",IF(INDEX('Per Invoice'!J$2:J$801,$W8)="","",INDEX('Per Invoice'!J$2:J$801,$W8)))</f>
        <v/>
      </c>
      <c r="K8" s="7">
        <f>IF($W8="","",IF(INDEX('Per Invoice'!K$2:K$801,$W8)="","",INDEX('Per Invoice'!K$2:K$801,$W8)))</f>
        <v/>
      </c>
      <c r="L8" s="14">
        <f>IF($W8="","",IF(INDEX('Per Invoice'!L$2:L$801,$W8)="","",INDEX('Per Invoice'!L$2:L$801,$W8)))</f>
        <v/>
      </c>
      <c r="M8">
        <f>IF($W8="","",IF(INDEX('Per Invoice'!M$2:M$801,$W8)="","",INDEX('Per Invoice'!M$2:M$801,$W8)))</f>
        <v/>
      </c>
      <c r="N8" s="7">
        <f>IF($W8="","",IF(INDEX('Per Invoice'!N$2:N$801,$W8)="","",INDEX('Per Invoice'!N$2:N$801,$W8)))</f>
        <v/>
      </c>
      <c r="O8" s="7">
        <f>IF($W8="","",IF(INDEX('Per Invoice'!O$2:O$801,$W8)="","",INDEX('Per Invoice'!O$2:O$801,$W8)))</f>
        <v/>
      </c>
      <c r="P8">
        <f>IF($W8="","",IF(INDEX('Per Invoice'!P$2:P$801,$W8)="","",INDEX('Per Invoice'!P$2:P$801,$W8)))</f>
        <v/>
      </c>
      <c r="Q8" s="7">
        <f>IF($W8="","",IF(INDEX('Per Invoice'!Q$2:Q$801,$W8)="","",INDEX('Per Invoice'!Q$2:Q$801,$W8)))</f>
        <v/>
      </c>
      <c r="R8" s="7">
        <f>IF($W8="","",IF(INDEX('Per Invoice'!R$2:R$801,$W8)="","",INDEX('Per Invoice'!R$2:R$801,$W8)))</f>
        <v/>
      </c>
      <c r="S8" s="7">
        <f>IF($W8="","",IF(INDEX('Per Invoice'!S$2:S$801,$W8)="","",INDEX('Per Invoice'!S$2:S$801,$W8)))</f>
        <v/>
      </c>
      <c r="T8" s="7">
        <f>IF($W8="","",IF(INDEX('Per Invoice'!T$2:T$801,$W8)="","",INDEX('Per Invoice'!T$2:T$801,$W8)))</f>
        <v/>
      </c>
      <c r="U8" s="7">
        <f>IF($W8="","",IF(INDEX('Per Invoice'!U$2:U$801,$W8)="","",INDEX('Per Invoice'!U$2:U$801,$W8)))</f>
        <v/>
      </c>
      <c r="V8" s="7">
        <f>IF($W8="","",IF(INDEX('Per Invoice'!V$2:V$801,$W8)="","",INDEX('Per Invoice'!V$2:V$801,$W8)))</f>
        <v/>
      </c>
      <c r="W8" s="16">
        <f>IFERROR(MATCH(Settings!$C$32&amp;"|"&amp;ROWS($W$2:$W8),'Per Invoice'!$X$2:$X$801,0),"")</f>
        <v/>
      </c>
    </row>
    <row r="9">
      <c r="A9">
        <f>IF($W9="","",IF(INDEX('Per Invoice'!A$2:A$801,$W9)="","",INDEX('Per Invoice'!A$2:A$801,$W9)))</f>
        <v/>
      </c>
      <c r="B9">
        <f>IF($W9="","",IF(INDEX('Per Invoice'!B$2:B$801,$W9)="","",INDEX('Per Invoice'!B$2:B$801,$W9)))</f>
        <v/>
      </c>
      <c r="C9">
        <f>IF($W9="","",IF(INDEX('Per Invoice'!C$2:C$801,$W9)="","",INDEX('Per Invoice'!C$2:C$801,$W9)))</f>
        <v/>
      </c>
      <c r="D9">
        <f>IF($W9="","",IF(INDEX('Per Invoice'!D$2:D$801,$W9)="","",INDEX('Per Invoice'!D$2:D$801,$W9)))</f>
        <v/>
      </c>
      <c r="E9">
        <f>IF($W9="","",IF(INDEX('Per Invoice'!E$2:E$801,$W9)="","",INDEX('Per Invoice'!E$2:E$801,$W9)))</f>
        <v/>
      </c>
      <c r="F9">
        <f>IF($W9="","",IF(INDEX('Per Invoice'!F$2:F$801,$W9)="","",INDEX('Per Invoice'!F$2:F$801,$W9)))</f>
        <v/>
      </c>
      <c r="G9">
        <f>IF($W9="","",IF(INDEX('Per Invoice'!G$2:G$801,$W9)="","",INDEX('Per Invoice'!G$2:G$801,$W9)))</f>
        <v/>
      </c>
      <c r="H9">
        <f>IF($W9="","",IF(INDEX('Per Invoice'!H$2:H$801,$W9)="","",INDEX('Per Invoice'!H$2:H$801,$W9)))</f>
        <v/>
      </c>
      <c r="I9">
        <f>IF($W9="","",IF(INDEX('Per Invoice'!I$2:I$801,$W9)="","",INDEX('Per Invoice'!I$2:I$801,$W9)))</f>
        <v/>
      </c>
      <c r="J9">
        <f>IF($W9="","",IF(INDEX('Per Invoice'!J$2:J$801,$W9)="","",INDEX('Per Invoice'!J$2:J$801,$W9)))</f>
        <v/>
      </c>
      <c r="K9" s="7">
        <f>IF($W9="","",IF(INDEX('Per Invoice'!K$2:K$801,$W9)="","",INDEX('Per Invoice'!K$2:K$801,$W9)))</f>
        <v/>
      </c>
      <c r="L9" s="14">
        <f>IF($W9="","",IF(INDEX('Per Invoice'!L$2:L$801,$W9)="","",INDEX('Per Invoice'!L$2:L$801,$W9)))</f>
        <v/>
      </c>
      <c r="M9">
        <f>IF($W9="","",IF(INDEX('Per Invoice'!M$2:M$801,$W9)="","",INDEX('Per Invoice'!M$2:M$801,$W9)))</f>
        <v/>
      </c>
      <c r="N9" s="7">
        <f>IF($W9="","",IF(INDEX('Per Invoice'!N$2:N$801,$W9)="","",INDEX('Per Invoice'!N$2:N$801,$W9)))</f>
        <v/>
      </c>
      <c r="O9" s="7">
        <f>IF($W9="","",IF(INDEX('Per Invoice'!O$2:O$801,$W9)="","",INDEX('Per Invoice'!O$2:O$801,$W9)))</f>
        <v/>
      </c>
      <c r="P9">
        <f>IF($W9="","",IF(INDEX('Per Invoice'!P$2:P$801,$W9)="","",INDEX('Per Invoice'!P$2:P$801,$W9)))</f>
        <v/>
      </c>
      <c r="Q9" s="7">
        <f>IF($W9="","",IF(INDEX('Per Invoice'!Q$2:Q$801,$W9)="","",INDEX('Per Invoice'!Q$2:Q$801,$W9)))</f>
        <v/>
      </c>
      <c r="R9" s="7">
        <f>IF($W9="","",IF(INDEX('Per Invoice'!R$2:R$801,$W9)="","",INDEX('Per Invoice'!R$2:R$801,$W9)))</f>
        <v/>
      </c>
      <c r="S9" s="7">
        <f>IF($W9="","",IF(INDEX('Per Invoice'!S$2:S$801,$W9)="","",INDEX('Per Invoice'!S$2:S$801,$W9)))</f>
        <v/>
      </c>
      <c r="T9" s="7">
        <f>IF($W9="","",IF(INDEX('Per Invoice'!T$2:T$801,$W9)="","",INDEX('Per Invoice'!T$2:T$801,$W9)))</f>
        <v/>
      </c>
      <c r="U9" s="7">
        <f>IF($W9="","",IF(INDEX('Per Invoice'!U$2:U$801,$W9)="","",INDEX('Per Invoice'!U$2:U$801,$W9)))</f>
        <v/>
      </c>
      <c r="V9" s="7">
        <f>IF($W9="","",IF(INDEX('Per Invoice'!V$2:V$801,$W9)="","",INDEX('Per Invoice'!V$2:V$801,$W9)))</f>
        <v/>
      </c>
      <c r="W9" s="16">
        <f>IFERROR(MATCH(Settings!$C$32&amp;"|"&amp;ROWS($W$2:$W9),'Per Invoice'!$X$2:$X$801,0),"")</f>
        <v/>
      </c>
    </row>
    <row r="10">
      <c r="A10">
        <f>IF($W10="","",IF(INDEX('Per Invoice'!A$2:A$801,$W10)="","",INDEX('Per Invoice'!A$2:A$801,$W10)))</f>
        <v/>
      </c>
      <c r="B10">
        <f>IF($W10="","",IF(INDEX('Per Invoice'!B$2:B$801,$W10)="","",INDEX('Per Invoice'!B$2:B$801,$W10)))</f>
        <v/>
      </c>
      <c r="C10">
        <f>IF($W10="","",IF(INDEX('Per Invoice'!C$2:C$801,$W10)="","",INDEX('Per Invoice'!C$2:C$801,$W10)))</f>
        <v/>
      </c>
      <c r="D10">
        <f>IF($W10="","",IF(INDEX('Per Invoice'!D$2:D$801,$W10)="","",INDEX('Per Invoice'!D$2:D$801,$W10)))</f>
        <v/>
      </c>
      <c r="E10">
        <f>IF($W10="","",IF(INDEX('Per Invoice'!E$2:E$801,$W10)="","",INDEX('Per Invoice'!E$2:E$801,$W10)))</f>
        <v/>
      </c>
      <c r="F10">
        <f>IF($W10="","",IF(INDEX('Per Invoice'!F$2:F$801,$W10)="","",INDEX('Per Invoice'!F$2:F$801,$W10)))</f>
        <v/>
      </c>
      <c r="G10">
        <f>IF($W10="","",IF(INDEX('Per Invoice'!G$2:G$801,$W10)="","",INDEX('Per Invoice'!G$2:G$801,$W10)))</f>
        <v/>
      </c>
      <c r="H10">
        <f>IF($W10="","",IF(INDEX('Per Invoice'!H$2:H$801,$W10)="","",INDEX('Per Invoice'!H$2:H$801,$W10)))</f>
        <v/>
      </c>
      <c r="I10">
        <f>IF($W10="","",IF(INDEX('Per Invoice'!I$2:I$801,$W10)="","",INDEX('Per Invoice'!I$2:I$801,$W10)))</f>
        <v/>
      </c>
      <c r="J10">
        <f>IF($W10="","",IF(INDEX('Per Invoice'!J$2:J$801,$W10)="","",INDEX('Per Invoice'!J$2:J$801,$W10)))</f>
        <v/>
      </c>
      <c r="K10" s="7">
        <f>IF($W10="","",IF(INDEX('Per Invoice'!K$2:K$801,$W10)="","",INDEX('Per Invoice'!K$2:K$801,$W10)))</f>
        <v/>
      </c>
      <c r="L10" s="14">
        <f>IF($W10="","",IF(INDEX('Per Invoice'!L$2:L$801,$W10)="","",INDEX('Per Invoice'!L$2:L$801,$W10)))</f>
        <v/>
      </c>
      <c r="M10">
        <f>IF($W10="","",IF(INDEX('Per Invoice'!M$2:M$801,$W10)="","",INDEX('Per Invoice'!M$2:M$801,$W10)))</f>
        <v/>
      </c>
      <c r="N10" s="7">
        <f>IF($W10="","",IF(INDEX('Per Invoice'!N$2:N$801,$W10)="","",INDEX('Per Invoice'!N$2:N$801,$W10)))</f>
        <v/>
      </c>
      <c r="O10" s="7">
        <f>IF($W10="","",IF(INDEX('Per Invoice'!O$2:O$801,$W10)="","",INDEX('Per Invoice'!O$2:O$801,$W10)))</f>
        <v/>
      </c>
      <c r="P10">
        <f>IF($W10="","",IF(INDEX('Per Invoice'!P$2:P$801,$W10)="","",INDEX('Per Invoice'!P$2:P$801,$W10)))</f>
        <v/>
      </c>
      <c r="Q10" s="7">
        <f>IF($W10="","",IF(INDEX('Per Invoice'!Q$2:Q$801,$W10)="","",INDEX('Per Invoice'!Q$2:Q$801,$W10)))</f>
        <v/>
      </c>
      <c r="R10" s="7">
        <f>IF($W10="","",IF(INDEX('Per Invoice'!R$2:R$801,$W10)="","",INDEX('Per Invoice'!R$2:R$801,$W10)))</f>
        <v/>
      </c>
      <c r="S10" s="7">
        <f>IF($W10="","",IF(INDEX('Per Invoice'!S$2:S$801,$W10)="","",INDEX('Per Invoice'!S$2:S$801,$W10)))</f>
        <v/>
      </c>
      <c r="T10" s="7">
        <f>IF($W10="","",IF(INDEX('Per Invoice'!T$2:T$801,$W10)="","",INDEX('Per Invoice'!T$2:T$801,$W10)))</f>
        <v/>
      </c>
      <c r="U10" s="7">
        <f>IF($W10="","",IF(INDEX('Per Invoice'!U$2:U$801,$W10)="","",INDEX('Per Invoice'!U$2:U$801,$W10)))</f>
        <v/>
      </c>
      <c r="V10" s="7">
        <f>IF($W10="","",IF(INDEX('Per Invoice'!V$2:V$801,$W10)="","",INDEX('Per Invoice'!V$2:V$801,$W10)))</f>
        <v/>
      </c>
      <c r="W10" s="16">
        <f>IFERROR(MATCH(Settings!$C$32&amp;"|"&amp;ROWS($W$2:$W10),'Per Invoice'!$X$2:$X$801,0),"")</f>
        <v/>
      </c>
    </row>
    <row r="11">
      <c r="A11">
        <f>IF($W11="","",IF(INDEX('Per Invoice'!A$2:A$801,$W11)="","",INDEX('Per Invoice'!A$2:A$801,$W11)))</f>
        <v/>
      </c>
      <c r="B11">
        <f>IF($W11="","",IF(INDEX('Per Invoice'!B$2:B$801,$W11)="","",INDEX('Per Invoice'!B$2:B$801,$W11)))</f>
        <v/>
      </c>
      <c r="C11">
        <f>IF($W11="","",IF(INDEX('Per Invoice'!C$2:C$801,$W11)="","",INDEX('Per Invoice'!C$2:C$801,$W11)))</f>
        <v/>
      </c>
      <c r="D11">
        <f>IF($W11="","",IF(INDEX('Per Invoice'!D$2:D$801,$W11)="","",INDEX('Per Invoice'!D$2:D$801,$W11)))</f>
        <v/>
      </c>
      <c r="E11">
        <f>IF($W11="","",IF(INDEX('Per Invoice'!E$2:E$801,$W11)="","",INDEX('Per Invoice'!E$2:E$801,$W11)))</f>
        <v/>
      </c>
      <c r="F11">
        <f>IF($W11="","",IF(INDEX('Per Invoice'!F$2:F$801,$W11)="","",INDEX('Per Invoice'!F$2:F$801,$W11)))</f>
        <v/>
      </c>
      <c r="G11">
        <f>IF($W11="","",IF(INDEX('Per Invoice'!G$2:G$801,$W11)="","",INDEX('Per Invoice'!G$2:G$801,$W11)))</f>
        <v/>
      </c>
      <c r="H11">
        <f>IF($W11="","",IF(INDEX('Per Invoice'!H$2:H$801,$W11)="","",INDEX('Per Invoice'!H$2:H$801,$W11)))</f>
        <v/>
      </c>
      <c r="I11">
        <f>IF($W11="","",IF(INDEX('Per Invoice'!I$2:I$801,$W11)="","",INDEX('Per Invoice'!I$2:I$801,$W11)))</f>
        <v/>
      </c>
      <c r="J11">
        <f>IF($W11="","",IF(INDEX('Per Invoice'!J$2:J$801,$W11)="","",INDEX('Per Invoice'!J$2:J$801,$W11)))</f>
        <v/>
      </c>
      <c r="K11" s="7">
        <f>IF($W11="","",IF(INDEX('Per Invoice'!K$2:K$801,$W11)="","",INDEX('Per Invoice'!K$2:K$801,$W11)))</f>
        <v/>
      </c>
      <c r="L11" s="14">
        <f>IF($W11="","",IF(INDEX('Per Invoice'!L$2:L$801,$W11)="","",INDEX('Per Invoice'!L$2:L$801,$W11)))</f>
        <v/>
      </c>
      <c r="M11">
        <f>IF($W11="","",IF(INDEX('Per Invoice'!M$2:M$801,$W11)="","",INDEX('Per Invoice'!M$2:M$801,$W11)))</f>
        <v/>
      </c>
      <c r="N11" s="7">
        <f>IF($W11="","",IF(INDEX('Per Invoice'!N$2:N$801,$W11)="","",INDEX('Per Invoice'!N$2:N$801,$W11)))</f>
        <v/>
      </c>
      <c r="O11" s="7">
        <f>IF($W11="","",IF(INDEX('Per Invoice'!O$2:O$801,$W11)="","",INDEX('Per Invoice'!O$2:O$801,$W11)))</f>
        <v/>
      </c>
      <c r="P11">
        <f>IF($W11="","",IF(INDEX('Per Invoice'!P$2:P$801,$W11)="","",INDEX('Per Invoice'!P$2:P$801,$W11)))</f>
        <v/>
      </c>
      <c r="Q11" s="7">
        <f>IF($W11="","",IF(INDEX('Per Invoice'!Q$2:Q$801,$W11)="","",INDEX('Per Invoice'!Q$2:Q$801,$W11)))</f>
        <v/>
      </c>
      <c r="R11" s="7">
        <f>IF($W11="","",IF(INDEX('Per Invoice'!R$2:R$801,$W11)="","",INDEX('Per Invoice'!R$2:R$801,$W11)))</f>
        <v/>
      </c>
      <c r="S11" s="7">
        <f>IF($W11="","",IF(INDEX('Per Invoice'!S$2:S$801,$W11)="","",INDEX('Per Invoice'!S$2:S$801,$W11)))</f>
        <v/>
      </c>
      <c r="T11" s="7">
        <f>IF($W11="","",IF(INDEX('Per Invoice'!T$2:T$801,$W11)="","",INDEX('Per Invoice'!T$2:T$801,$W11)))</f>
        <v/>
      </c>
      <c r="U11" s="7">
        <f>IF($W11="","",IF(INDEX('Per Invoice'!U$2:U$801,$W11)="","",INDEX('Per Invoice'!U$2:U$801,$W11)))</f>
        <v/>
      </c>
      <c r="V11" s="7">
        <f>IF($W11="","",IF(INDEX('Per Invoice'!V$2:V$801,$W11)="","",INDEX('Per Invoice'!V$2:V$801,$W11)))</f>
        <v/>
      </c>
      <c r="W11" s="16">
        <f>IFERROR(MATCH(Settings!$C$32&amp;"|"&amp;ROWS($W$2:$W11),'Per Invoice'!$X$2:$X$801,0),"")</f>
        <v/>
      </c>
    </row>
    <row r="12">
      <c r="A12">
        <f>IF($W12="","",IF(INDEX('Per Invoice'!A$2:A$801,$W12)="","",INDEX('Per Invoice'!A$2:A$801,$W12)))</f>
        <v/>
      </c>
      <c r="B12">
        <f>IF($W12="","",IF(INDEX('Per Invoice'!B$2:B$801,$W12)="","",INDEX('Per Invoice'!B$2:B$801,$W12)))</f>
        <v/>
      </c>
      <c r="C12">
        <f>IF($W12="","",IF(INDEX('Per Invoice'!C$2:C$801,$W12)="","",INDEX('Per Invoice'!C$2:C$801,$W12)))</f>
        <v/>
      </c>
      <c r="D12">
        <f>IF($W12="","",IF(INDEX('Per Invoice'!D$2:D$801,$W12)="","",INDEX('Per Invoice'!D$2:D$801,$W12)))</f>
        <v/>
      </c>
      <c r="E12">
        <f>IF($W12="","",IF(INDEX('Per Invoice'!E$2:E$801,$W12)="","",INDEX('Per Invoice'!E$2:E$801,$W12)))</f>
        <v/>
      </c>
      <c r="F12">
        <f>IF($W12="","",IF(INDEX('Per Invoice'!F$2:F$801,$W12)="","",INDEX('Per Invoice'!F$2:F$801,$W12)))</f>
        <v/>
      </c>
      <c r="G12">
        <f>IF($W12="","",IF(INDEX('Per Invoice'!G$2:G$801,$W12)="","",INDEX('Per Invoice'!G$2:G$801,$W12)))</f>
        <v/>
      </c>
      <c r="H12">
        <f>IF($W12="","",IF(INDEX('Per Invoice'!H$2:H$801,$W12)="","",INDEX('Per Invoice'!H$2:H$801,$W12)))</f>
        <v/>
      </c>
      <c r="I12">
        <f>IF($W12="","",IF(INDEX('Per Invoice'!I$2:I$801,$W12)="","",INDEX('Per Invoice'!I$2:I$801,$W12)))</f>
        <v/>
      </c>
      <c r="J12">
        <f>IF($W12="","",IF(INDEX('Per Invoice'!J$2:J$801,$W12)="","",INDEX('Per Invoice'!J$2:J$801,$W12)))</f>
        <v/>
      </c>
      <c r="K12" s="7">
        <f>IF($W12="","",IF(INDEX('Per Invoice'!K$2:K$801,$W12)="","",INDEX('Per Invoice'!K$2:K$801,$W12)))</f>
        <v/>
      </c>
      <c r="L12" s="14">
        <f>IF($W12="","",IF(INDEX('Per Invoice'!L$2:L$801,$W12)="","",INDEX('Per Invoice'!L$2:L$801,$W12)))</f>
        <v/>
      </c>
      <c r="M12">
        <f>IF($W12="","",IF(INDEX('Per Invoice'!M$2:M$801,$W12)="","",INDEX('Per Invoice'!M$2:M$801,$W12)))</f>
        <v/>
      </c>
      <c r="N12" s="7">
        <f>IF($W12="","",IF(INDEX('Per Invoice'!N$2:N$801,$W12)="","",INDEX('Per Invoice'!N$2:N$801,$W12)))</f>
        <v/>
      </c>
      <c r="O12" s="7">
        <f>IF($W12="","",IF(INDEX('Per Invoice'!O$2:O$801,$W12)="","",INDEX('Per Invoice'!O$2:O$801,$W12)))</f>
        <v/>
      </c>
      <c r="P12">
        <f>IF($W12="","",IF(INDEX('Per Invoice'!P$2:P$801,$W12)="","",INDEX('Per Invoice'!P$2:P$801,$W12)))</f>
        <v/>
      </c>
      <c r="Q12" s="7">
        <f>IF($W12="","",IF(INDEX('Per Invoice'!Q$2:Q$801,$W12)="","",INDEX('Per Invoice'!Q$2:Q$801,$W12)))</f>
        <v/>
      </c>
      <c r="R12" s="7">
        <f>IF($W12="","",IF(INDEX('Per Invoice'!R$2:R$801,$W12)="","",INDEX('Per Invoice'!R$2:R$801,$W12)))</f>
        <v/>
      </c>
      <c r="S12" s="7">
        <f>IF($W12="","",IF(INDEX('Per Invoice'!S$2:S$801,$W12)="","",INDEX('Per Invoice'!S$2:S$801,$W12)))</f>
        <v/>
      </c>
      <c r="T12" s="7">
        <f>IF($W12="","",IF(INDEX('Per Invoice'!T$2:T$801,$W12)="","",INDEX('Per Invoice'!T$2:T$801,$W12)))</f>
        <v/>
      </c>
      <c r="U12" s="7">
        <f>IF($W12="","",IF(INDEX('Per Invoice'!U$2:U$801,$W12)="","",INDEX('Per Invoice'!U$2:U$801,$W12)))</f>
        <v/>
      </c>
      <c r="V12" s="7">
        <f>IF($W12="","",IF(INDEX('Per Invoice'!V$2:V$801,$W12)="","",INDEX('Per Invoice'!V$2:V$801,$W12)))</f>
        <v/>
      </c>
      <c r="W12" s="16">
        <f>IFERROR(MATCH(Settings!$C$32&amp;"|"&amp;ROWS($W$2:$W12),'Per Invoice'!$X$2:$X$801,0),"")</f>
        <v/>
      </c>
    </row>
    <row r="13">
      <c r="A13">
        <f>IF($W13="","",IF(INDEX('Per Invoice'!A$2:A$801,$W13)="","",INDEX('Per Invoice'!A$2:A$801,$W13)))</f>
        <v/>
      </c>
      <c r="B13">
        <f>IF($W13="","",IF(INDEX('Per Invoice'!B$2:B$801,$W13)="","",INDEX('Per Invoice'!B$2:B$801,$W13)))</f>
        <v/>
      </c>
      <c r="C13">
        <f>IF($W13="","",IF(INDEX('Per Invoice'!C$2:C$801,$W13)="","",INDEX('Per Invoice'!C$2:C$801,$W13)))</f>
        <v/>
      </c>
      <c r="D13">
        <f>IF($W13="","",IF(INDEX('Per Invoice'!D$2:D$801,$W13)="","",INDEX('Per Invoice'!D$2:D$801,$W13)))</f>
        <v/>
      </c>
      <c r="E13">
        <f>IF($W13="","",IF(INDEX('Per Invoice'!E$2:E$801,$W13)="","",INDEX('Per Invoice'!E$2:E$801,$W13)))</f>
        <v/>
      </c>
      <c r="F13">
        <f>IF($W13="","",IF(INDEX('Per Invoice'!F$2:F$801,$W13)="","",INDEX('Per Invoice'!F$2:F$801,$W13)))</f>
        <v/>
      </c>
      <c r="G13">
        <f>IF($W13="","",IF(INDEX('Per Invoice'!G$2:G$801,$W13)="","",INDEX('Per Invoice'!G$2:G$801,$W13)))</f>
        <v/>
      </c>
      <c r="H13">
        <f>IF($W13="","",IF(INDEX('Per Invoice'!H$2:H$801,$W13)="","",INDEX('Per Invoice'!H$2:H$801,$W13)))</f>
        <v/>
      </c>
      <c r="I13">
        <f>IF($W13="","",IF(INDEX('Per Invoice'!I$2:I$801,$W13)="","",INDEX('Per Invoice'!I$2:I$801,$W13)))</f>
        <v/>
      </c>
      <c r="J13">
        <f>IF($W13="","",IF(INDEX('Per Invoice'!J$2:J$801,$W13)="","",INDEX('Per Invoice'!J$2:J$801,$W13)))</f>
        <v/>
      </c>
      <c r="K13" s="7">
        <f>IF($W13="","",IF(INDEX('Per Invoice'!K$2:K$801,$W13)="","",INDEX('Per Invoice'!K$2:K$801,$W13)))</f>
        <v/>
      </c>
      <c r="L13" s="14">
        <f>IF($W13="","",IF(INDEX('Per Invoice'!L$2:L$801,$W13)="","",INDEX('Per Invoice'!L$2:L$801,$W13)))</f>
        <v/>
      </c>
      <c r="M13">
        <f>IF($W13="","",IF(INDEX('Per Invoice'!M$2:M$801,$W13)="","",INDEX('Per Invoice'!M$2:M$801,$W13)))</f>
        <v/>
      </c>
      <c r="N13" s="7">
        <f>IF($W13="","",IF(INDEX('Per Invoice'!N$2:N$801,$W13)="","",INDEX('Per Invoice'!N$2:N$801,$W13)))</f>
        <v/>
      </c>
      <c r="O13" s="7">
        <f>IF($W13="","",IF(INDEX('Per Invoice'!O$2:O$801,$W13)="","",INDEX('Per Invoice'!O$2:O$801,$W13)))</f>
        <v/>
      </c>
      <c r="P13">
        <f>IF($W13="","",IF(INDEX('Per Invoice'!P$2:P$801,$W13)="","",INDEX('Per Invoice'!P$2:P$801,$W13)))</f>
        <v/>
      </c>
      <c r="Q13" s="7">
        <f>IF($W13="","",IF(INDEX('Per Invoice'!Q$2:Q$801,$W13)="","",INDEX('Per Invoice'!Q$2:Q$801,$W13)))</f>
        <v/>
      </c>
      <c r="R13" s="7">
        <f>IF($W13="","",IF(INDEX('Per Invoice'!R$2:R$801,$W13)="","",INDEX('Per Invoice'!R$2:R$801,$W13)))</f>
        <v/>
      </c>
      <c r="S13" s="7">
        <f>IF($W13="","",IF(INDEX('Per Invoice'!S$2:S$801,$W13)="","",INDEX('Per Invoice'!S$2:S$801,$W13)))</f>
        <v/>
      </c>
      <c r="T13" s="7">
        <f>IF($W13="","",IF(INDEX('Per Invoice'!T$2:T$801,$W13)="","",INDEX('Per Invoice'!T$2:T$801,$W13)))</f>
        <v/>
      </c>
      <c r="U13" s="7">
        <f>IF($W13="","",IF(INDEX('Per Invoice'!U$2:U$801,$W13)="","",INDEX('Per Invoice'!U$2:U$801,$W13)))</f>
        <v/>
      </c>
      <c r="V13" s="7">
        <f>IF($W13="","",IF(INDEX('Per Invoice'!V$2:V$801,$W13)="","",INDEX('Per Invoice'!V$2:V$801,$W13)))</f>
        <v/>
      </c>
      <c r="W13" s="16">
        <f>IFERROR(MATCH(Settings!$C$32&amp;"|"&amp;ROWS($W$2:$W13),'Per Invoice'!$X$2:$X$801,0),"")</f>
        <v/>
      </c>
    </row>
    <row r="14">
      <c r="A14">
        <f>IF($W14="","",IF(INDEX('Per Invoice'!A$2:A$801,$W14)="","",INDEX('Per Invoice'!A$2:A$801,$W14)))</f>
        <v/>
      </c>
      <c r="B14">
        <f>IF($W14="","",IF(INDEX('Per Invoice'!B$2:B$801,$W14)="","",INDEX('Per Invoice'!B$2:B$801,$W14)))</f>
        <v/>
      </c>
      <c r="C14">
        <f>IF($W14="","",IF(INDEX('Per Invoice'!C$2:C$801,$W14)="","",INDEX('Per Invoice'!C$2:C$801,$W14)))</f>
        <v/>
      </c>
      <c r="D14">
        <f>IF($W14="","",IF(INDEX('Per Invoice'!D$2:D$801,$W14)="","",INDEX('Per Invoice'!D$2:D$801,$W14)))</f>
        <v/>
      </c>
      <c r="E14">
        <f>IF($W14="","",IF(INDEX('Per Invoice'!E$2:E$801,$W14)="","",INDEX('Per Invoice'!E$2:E$801,$W14)))</f>
        <v/>
      </c>
      <c r="F14">
        <f>IF($W14="","",IF(INDEX('Per Invoice'!F$2:F$801,$W14)="","",INDEX('Per Invoice'!F$2:F$801,$W14)))</f>
        <v/>
      </c>
      <c r="G14">
        <f>IF($W14="","",IF(INDEX('Per Invoice'!G$2:G$801,$W14)="","",INDEX('Per Invoice'!G$2:G$801,$W14)))</f>
        <v/>
      </c>
      <c r="H14">
        <f>IF($W14="","",IF(INDEX('Per Invoice'!H$2:H$801,$W14)="","",INDEX('Per Invoice'!H$2:H$801,$W14)))</f>
        <v/>
      </c>
      <c r="I14">
        <f>IF($W14="","",IF(INDEX('Per Invoice'!I$2:I$801,$W14)="","",INDEX('Per Invoice'!I$2:I$801,$W14)))</f>
        <v/>
      </c>
      <c r="J14">
        <f>IF($W14="","",IF(INDEX('Per Invoice'!J$2:J$801,$W14)="","",INDEX('Per Invoice'!J$2:J$801,$W14)))</f>
        <v/>
      </c>
      <c r="K14" s="7">
        <f>IF($W14="","",IF(INDEX('Per Invoice'!K$2:K$801,$W14)="","",INDEX('Per Invoice'!K$2:K$801,$W14)))</f>
        <v/>
      </c>
      <c r="L14" s="14">
        <f>IF($W14="","",IF(INDEX('Per Invoice'!L$2:L$801,$W14)="","",INDEX('Per Invoice'!L$2:L$801,$W14)))</f>
        <v/>
      </c>
      <c r="M14">
        <f>IF($W14="","",IF(INDEX('Per Invoice'!M$2:M$801,$W14)="","",INDEX('Per Invoice'!M$2:M$801,$W14)))</f>
        <v/>
      </c>
      <c r="N14" s="7">
        <f>IF($W14="","",IF(INDEX('Per Invoice'!N$2:N$801,$W14)="","",INDEX('Per Invoice'!N$2:N$801,$W14)))</f>
        <v/>
      </c>
      <c r="O14" s="7">
        <f>IF($W14="","",IF(INDEX('Per Invoice'!O$2:O$801,$W14)="","",INDEX('Per Invoice'!O$2:O$801,$W14)))</f>
        <v/>
      </c>
      <c r="P14">
        <f>IF($W14="","",IF(INDEX('Per Invoice'!P$2:P$801,$W14)="","",INDEX('Per Invoice'!P$2:P$801,$W14)))</f>
        <v/>
      </c>
      <c r="Q14" s="7">
        <f>IF($W14="","",IF(INDEX('Per Invoice'!Q$2:Q$801,$W14)="","",INDEX('Per Invoice'!Q$2:Q$801,$W14)))</f>
        <v/>
      </c>
      <c r="R14" s="7">
        <f>IF($W14="","",IF(INDEX('Per Invoice'!R$2:R$801,$W14)="","",INDEX('Per Invoice'!R$2:R$801,$W14)))</f>
        <v/>
      </c>
      <c r="S14" s="7">
        <f>IF($W14="","",IF(INDEX('Per Invoice'!S$2:S$801,$W14)="","",INDEX('Per Invoice'!S$2:S$801,$W14)))</f>
        <v/>
      </c>
      <c r="T14" s="7">
        <f>IF($W14="","",IF(INDEX('Per Invoice'!T$2:T$801,$W14)="","",INDEX('Per Invoice'!T$2:T$801,$W14)))</f>
        <v/>
      </c>
      <c r="U14" s="7">
        <f>IF($W14="","",IF(INDEX('Per Invoice'!U$2:U$801,$W14)="","",INDEX('Per Invoice'!U$2:U$801,$W14)))</f>
        <v/>
      </c>
      <c r="V14" s="7">
        <f>IF($W14="","",IF(INDEX('Per Invoice'!V$2:V$801,$W14)="","",INDEX('Per Invoice'!V$2:V$801,$W14)))</f>
        <v/>
      </c>
      <c r="W14" s="16">
        <f>IFERROR(MATCH(Settings!$C$32&amp;"|"&amp;ROWS($W$2:$W14),'Per Invoice'!$X$2:$X$801,0),"")</f>
        <v/>
      </c>
    </row>
    <row r="15">
      <c r="A15">
        <f>IF($W15="","",IF(INDEX('Per Invoice'!A$2:A$801,$W15)="","",INDEX('Per Invoice'!A$2:A$801,$W15)))</f>
        <v/>
      </c>
      <c r="B15">
        <f>IF($W15="","",IF(INDEX('Per Invoice'!B$2:B$801,$W15)="","",INDEX('Per Invoice'!B$2:B$801,$W15)))</f>
        <v/>
      </c>
      <c r="C15">
        <f>IF($W15="","",IF(INDEX('Per Invoice'!C$2:C$801,$W15)="","",INDEX('Per Invoice'!C$2:C$801,$W15)))</f>
        <v/>
      </c>
      <c r="D15">
        <f>IF($W15="","",IF(INDEX('Per Invoice'!D$2:D$801,$W15)="","",INDEX('Per Invoice'!D$2:D$801,$W15)))</f>
        <v/>
      </c>
      <c r="E15">
        <f>IF($W15="","",IF(INDEX('Per Invoice'!E$2:E$801,$W15)="","",INDEX('Per Invoice'!E$2:E$801,$W15)))</f>
        <v/>
      </c>
      <c r="F15">
        <f>IF($W15="","",IF(INDEX('Per Invoice'!F$2:F$801,$W15)="","",INDEX('Per Invoice'!F$2:F$801,$W15)))</f>
        <v/>
      </c>
      <c r="G15">
        <f>IF($W15="","",IF(INDEX('Per Invoice'!G$2:G$801,$W15)="","",INDEX('Per Invoice'!G$2:G$801,$W15)))</f>
        <v/>
      </c>
      <c r="H15">
        <f>IF($W15="","",IF(INDEX('Per Invoice'!H$2:H$801,$W15)="","",INDEX('Per Invoice'!H$2:H$801,$W15)))</f>
        <v/>
      </c>
      <c r="I15">
        <f>IF($W15="","",IF(INDEX('Per Invoice'!I$2:I$801,$W15)="","",INDEX('Per Invoice'!I$2:I$801,$W15)))</f>
        <v/>
      </c>
      <c r="J15">
        <f>IF($W15="","",IF(INDEX('Per Invoice'!J$2:J$801,$W15)="","",INDEX('Per Invoice'!J$2:J$801,$W15)))</f>
        <v/>
      </c>
      <c r="K15" s="7">
        <f>IF($W15="","",IF(INDEX('Per Invoice'!K$2:K$801,$W15)="","",INDEX('Per Invoice'!K$2:K$801,$W15)))</f>
        <v/>
      </c>
      <c r="L15" s="14">
        <f>IF($W15="","",IF(INDEX('Per Invoice'!L$2:L$801,$W15)="","",INDEX('Per Invoice'!L$2:L$801,$W15)))</f>
        <v/>
      </c>
      <c r="M15">
        <f>IF($W15="","",IF(INDEX('Per Invoice'!M$2:M$801,$W15)="","",INDEX('Per Invoice'!M$2:M$801,$W15)))</f>
        <v/>
      </c>
      <c r="N15" s="7">
        <f>IF($W15="","",IF(INDEX('Per Invoice'!N$2:N$801,$W15)="","",INDEX('Per Invoice'!N$2:N$801,$W15)))</f>
        <v/>
      </c>
      <c r="O15" s="7">
        <f>IF($W15="","",IF(INDEX('Per Invoice'!O$2:O$801,$W15)="","",INDEX('Per Invoice'!O$2:O$801,$W15)))</f>
        <v/>
      </c>
      <c r="P15">
        <f>IF($W15="","",IF(INDEX('Per Invoice'!P$2:P$801,$W15)="","",INDEX('Per Invoice'!P$2:P$801,$W15)))</f>
        <v/>
      </c>
      <c r="Q15" s="7">
        <f>IF($W15="","",IF(INDEX('Per Invoice'!Q$2:Q$801,$W15)="","",INDEX('Per Invoice'!Q$2:Q$801,$W15)))</f>
        <v/>
      </c>
      <c r="R15" s="7">
        <f>IF($W15="","",IF(INDEX('Per Invoice'!R$2:R$801,$W15)="","",INDEX('Per Invoice'!R$2:R$801,$W15)))</f>
        <v/>
      </c>
      <c r="S15" s="7">
        <f>IF($W15="","",IF(INDEX('Per Invoice'!S$2:S$801,$W15)="","",INDEX('Per Invoice'!S$2:S$801,$W15)))</f>
        <v/>
      </c>
      <c r="T15" s="7">
        <f>IF($W15="","",IF(INDEX('Per Invoice'!T$2:T$801,$W15)="","",INDEX('Per Invoice'!T$2:T$801,$W15)))</f>
        <v/>
      </c>
      <c r="U15" s="7">
        <f>IF($W15="","",IF(INDEX('Per Invoice'!U$2:U$801,$W15)="","",INDEX('Per Invoice'!U$2:U$801,$W15)))</f>
        <v/>
      </c>
      <c r="V15" s="7">
        <f>IF($W15="","",IF(INDEX('Per Invoice'!V$2:V$801,$W15)="","",INDEX('Per Invoice'!V$2:V$801,$W15)))</f>
        <v/>
      </c>
      <c r="W15" s="16">
        <f>IFERROR(MATCH(Settings!$C$32&amp;"|"&amp;ROWS($W$2:$W15),'Per Invoice'!$X$2:$X$801,0),"")</f>
        <v/>
      </c>
    </row>
    <row r="16">
      <c r="A16">
        <f>IF($W16="","",IF(INDEX('Per Invoice'!A$2:A$801,$W16)="","",INDEX('Per Invoice'!A$2:A$801,$W16)))</f>
        <v/>
      </c>
      <c r="B16">
        <f>IF($W16="","",IF(INDEX('Per Invoice'!B$2:B$801,$W16)="","",INDEX('Per Invoice'!B$2:B$801,$W16)))</f>
        <v/>
      </c>
      <c r="C16">
        <f>IF($W16="","",IF(INDEX('Per Invoice'!C$2:C$801,$W16)="","",INDEX('Per Invoice'!C$2:C$801,$W16)))</f>
        <v/>
      </c>
      <c r="D16">
        <f>IF($W16="","",IF(INDEX('Per Invoice'!D$2:D$801,$W16)="","",INDEX('Per Invoice'!D$2:D$801,$W16)))</f>
        <v/>
      </c>
      <c r="E16">
        <f>IF($W16="","",IF(INDEX('Per Invoice'!E$2:E$801,$W16)="","",INDEX('Per Invoice'!E$2:E$801,$W16)))</f>
        <v/>
      </c>
      <c r="F16">
        <f>IF($W16="","",IF(INDEX('Per Invoice'!F$2:F$801,$W16)="","",INDEX('Per Invoice'!F$2:F$801,$W16)))</f>
        <v/>
      </c>
      <c r="G16">
        <f>IF($W16="","",IF(INDEX('Per Invoice'!G$2:G$801,$W16)="","",INDEX('Per Invoice'!G$2:G$801,$W16)))</f>
        <v/>
      </c>
      <c r="H16">
        <f>IF($W16="","",IF(INDEX('Per Invoice'!H$2:H$801,$W16)="","",INDEX('Per Invoice'!H$2:H$801,$W16)))</f>
        <v/>
      </c>
      <c r="I16">
        <f>IF($W16="","",IF(INDEX('Per Invoice'!I$2:I$801,$W16)="","",INDEX('Per Invoice'!I$2:I$801,$W16)))</f>
        <v/>
      </c>
      <c r="J16">
        <f>IF($W16="","",IF(INDEX('Per Invoice'!J$2:J$801,$W16)="","",INDEX('Per Invoice'!J$2:J$801,$W16)))</f>
        <v/>
      </c>
      <c r="K16" s="7">
        <f>IF($W16="","",IF(INDEX('Per Invoice'!K$2:K$801,$W16)="","",INDEX('Per Invoice'!K$2:K$801,$W16)))</f>
        <v/>
      </c>
      <c r="L16" s="14">
        <f>IF($W16="","",IF(INDEX('Per Invoice'!L$2:L$801,$W16)="","",INDEX('Per Invoice'!L$2:L$801,$W16)))</f>
        <v/>
      </c>
      <c r="M16">
        <f>IF($W16="","",IF(INDEX('Per Invoice'!M$2:M$801,$W16)="","",INDEX('Per Invoice'!M$2:M$801,$W16)))</f>
        <v/>
      </c>
      <c r="N16" s="7">
        <f>IF($W16="","",IF(INDEX('Per Invoice'!N$2:N$801,$W16)="","",INDEX('Per Invoice'!N$2:N$801,$W16)))</f>
        <v/>
      </c>
      <c r="O16" s="7">
        <f>IF($W16="","",IF(INDEX('Per Invoice'!O$2:O$801,$W16)="","",INDEX('Per Invoice'!O$2:O$801,$W16)))</f>
        <v/>
      </c>
      <c r="P16">
        <f>IF($W16="","",IF(INDEX('Per Invoice'!P$2:P$801,$W16)="","",INDEX('Per Invoice'!P$2:P$801,$W16)))</f>
        <v/>
      </c>
      <c r="Q16" s="7">
        <f>IF($W16="","",IF(INDEX('Per Invoice'!Q$2:Q$801,$W16)="","",INDEX('Per Invoice'!Q$2:Q$801,$W16)))</f>
        <v/>
      </c>
      <c r="R16" s="7">
        <f>IF($W16="","",IF(INDEX('Per Invoice'!R$2:R$801,$W16)="","",INDEX('Per Invoice'!R$2:R$801,$W16)))</f>
        <v/>
      </c>
      <c r="S16" s="7">
        <f>IF($W16="","",IF(INDEX('Per Invoice'!S$2:S$801,$W16)="","",INDEX('Per Invoice'!S$2:S$801,$W16)))</f>
        <v/>
      </c>
      <c r="T16" s="7">
        <f>IF($W16="","",IF(INDEX('Per Invoice'!T$2:T$801,$W16)="","",INDEX('Per Invoice'!T$2:T$801,$W16)))</f>
        <v/>
      </c>
      <c r="U16" s="7">
        <f>IF($W16="","",IF(INDEX('Per Invoice'!U$2:U$801,$W16)="","",INDEX('Per Invoice'!U$2:U$801,$W16)))</f>
        <v/>
      </c>
      <c r="V16" s="7">
        <f>IF($W16="","",IF(INDEX('Per Invoice'!V$2:V$801,$W16)="","",INDEX('Per Invoice'!V$2:V$801,$W16)))</f>
        <v/>
      </c>
      <c r="W16" s="16">
        <f>IFERROR(MATCH(Settings!$C$32&amp;"|"&amp;ROWS($W$2:$W16),'Per Invoice'!$X$2:$X$801,0),"")</f>
        <v/>
      </c>
    </row>
    <row r="17">
      <c r="A17">
        <f>IF($W17="","",IF(INDEX('Per Invoice'!A$2:A$801,$W17)="","",INDEX('Per Invoice'!A$2:A$801,$W17)))</f>
        <v/>
      </c>
      <c r="B17">
        <f>IF($W17="","",IF(INDEX('Per Invoice'!B$2:B$801,$W17)="","",INDEX('Per Invoice'!B$2:B$801,$W17)))</f>
        <v/>
      </c>
      <c r="C17">
        <f>IF($W17="","",IF(INDEX('Per Invoice'!C$2:C$801,$W17)="","",INDEX('Per Invoice'!C$2:C$801,$W17)))</f>
        <v/>
      </c>
      <c r="D17">
        <f>IF($W17="","",IF(INDEX('Per Invoice'!D$2:D$801,$W17)="","",INDEX('Per Invoice'!D$2:D$801,$W17)))</f>
        <v/>
      </c>
      <c r="E17">
        <f>IF($W17="","",IF(INDEX('Per Invoice'!E$2:E$801,$W17)="","",INDEX('Per Invoice'!E$2:E$801,$W17)))</f>
        <v/>
      </c>
      <c r="F17">
        <f>IF($W17="","",IF(INDEX('Per Invoice'!F$2:F$801,$W17)="","",INDEX('Per Invoice'!F$2:F$801,$W17)))</f>
        <v/>
      </c>
      <c r="G17">
        <f>IF($W17="","",IF(INDEX('Per Invoice'!G$2:G$801,$W17)="","",INDEX('Per Invoice'!G$2:G$801,$W17)))</f>
        <v/>
      </c>
      <c r="H17">
        <f>IF($W17="","",IF(INDEX('Per Invoice'!H$2:H$801,$W17)="","",INDEX('Per Invoice'!H$2:H$801,$W17)))</f>
        <v/>
      </c>
      <c r="I17">
        <f>IF($W17="","",IF(INDEX('Per Invoice'!I$2:I$801,$W17)="","",INDEX('Per Invoice'!I$2:I$801,$W17)))</f>
        <v/>
      </c>
      <c r="J17">
        <f>IF($W17="","",IF(INDEX('Per Invoice'!J$2:J$801,$W17)="","",INDEX('Per Invoice'!J$2:J$801,$W17)))</f>
        <v/>
      </c>
      <c r="K17" s="7">
        <f>IF($W17="","",IF(INDEX('Per Invoice'!K$2:K$801,$W17)="","",INDEX('Per Invoice'!K$2:K$801,$W17)))</f>
        <v/>
      </c>
      <c r="L17" s="14">
        <f>IF($W17="","",IF(INDEX('Per Invoice'!L$2:L$801,$W17)="","",INDEX('Per Invoice'!L$2:L$801,$W17)))</f>
        <v/>
      </c>
      <c r="M17">
        <f>IF($W17="","",IF(INDEX('Per Invoice'!M$2:M$801,$W17)="","",INDEX('Per Invoice'!M$2:M$801,$W17)))</f>
        <v/>
      </c>
      <c r="N17" s="7">
        <f>IF($W17="","",IF(INDEX('Per Invoice'!N$2:N$801,$W17)="","",INDEX('Per Invoice'!N$2:N$801,$W17)))</f>
        <v/>
      </c>
      <c r="O17" s="7">
        <f>IF($W17="","",IF(INDEX('Per Invoice'!O$2:O$801,$W17)="","",INDEX('Per Invoice'!O$2:O$801,$W17)))</f>
        <v/>
      </c>
      <c r="P17">
        <f>IF($W17="","",IF(INDEX('Per Invoice'!P$2:P$801,$W17)="","",INDEX('Per Invoice'!P$2:P$801,$W17)))</f>
        <v/>
      </c>
      <c r="Q17" s="7">
        <f>IF($W17="","",IF(INDEX('Per Invoice'!Q$2:Q$801,$W17)="","",INDEX('Per Invoice'!Q$2:Q$801,$W17)))</f>
        <v/>
      </c>
      <c r="R17" s="7">
        <f>IF($W17="","",IF(INDEX('Per Invoice'!R$2:R$801,$W17)="","",INDEX('Per Invoice'!R$2:R$801,$W17)))</f>
        <v/>
      </c>
      <c r="S17" s="7">
        <f>IF($W17="","",IF(INDEX('Per Invoice'!S$2:S$801,$W17)="","",INDEX('Per Invoice'!S$2:S$801,$W17)))</f>
        <v/>
      </c>
      <c r="T17" s="7">
        <f>IF($W17="","",IF(INDEX('Per Invoice'!T$2:T$801,$W17)="","",INDEX('Per Invoice'!T$2:T$801,$W17)))</f>
        <v/>
      </c>
      <c r="U17" s="7">
        <f>IF($W17="","",IF(INDEX('Per Invoice'!U$2:U$801,$W17)="","",INDEX('Per Invoice'!U$2:U$801,$W17)))</f>
        <v/>
      </c>
      <c r="V17" s="7">
        <f>IF($W17="","",IF(INDEX('Per Invoice'!V$2:V$801,$W17)="","",INDEX('Per Invoice'!V$2:V$801,$W17)))</f>
        <v/>
      </c>
      <c r="W17" s="16">
        <f>IFERROR(MATCH(Settings!$C$32&amp;"|"&amp;ROWS($W$2:$W17),'Per Invoice'!$X$2:$X$801,0),"")</f>
        <v/>
      </c>
    </row>
    <row r="18">
      <c r="A18">
        <f>IF($W18="","",IF(INDEX('Per Invoice'!A$2:A$801,$W18)="","",INDEX('Per Invoice'!A$2:A$801,$W18)))</f>
        <v/>
      </c>
      <c r="B18">
        <f>IF($W18="","",IF(INDEX('Per Invoice'!B$2:B$801,$W18)="","",INDEX('Per Invoice'!B$2:B$801,$W18)))</f>
        <v/>
      </c>
      <c r="C18">
        <f>IF($W18="","",IF(INDEX('Per Invoice'!C$2:C$801,$W18)="","",INDEX('Per Invoice'!C$2:C$801,$W18)))</f>
        <v/>
      </c>
      <c r="D18">
        <f>IF($W18="","",IF(INDEX('Per Invoice'!D$2:D$801,$W18)="","",INDEX('Per Invoice'!D$2:D$801,$W18)))</f>
        <v/>
      </c>
      <c r="E18">
        <f>IF($W18="","",IF(INDEX('Per Invoice'!E$2:E$801,$W18)="","",INDEX('Per Invoice'!E$2:E$801,$W18)))</f>
        <v/>
      </c>
      <c r="F18">
        <f>IF($W18="","",IF(INDEX('Per Invoice'!F$2:F$801,$W18)="","",INDEX('Per Invoice'!F$2:F$801,$W18)))</f>
        <v/>
      </c>
      <c r="G18">
        <f>IF($W18="","",IF(INDEX('Per Invoice'!G$2:G$801,$W18)="","",INDEX('Per Invoice'!G$2:G$801,$W18)))</f>
        <v/>
      </c>
      <c r="H18">
        <f>IF($W18="","",IF(INDEX('Per Invoice'!H$2:H$801,$W18)="","",INDEX('Per Invoice'!H$2:H$801,$W18)))</f>
        <v/>
      </c>
      <c r="I18">
        <f>IF($W18="","",IF(INDEX('Per Invoice'!I$2:I$801,$W18)="","",INDEX('Per Invoice'!I$2:I$801,$W18)))</f>
        <v/>
      </c>
      <c r="J18">
        <f>IF($W18="","",IF(INDEX('Per Invoice'!J$2:J$801,$W18)="","",INDEX('Per Invoice'!J$2:J$801,$W18)))</f>
        <v/>
      </c>
      <c r="K18" s="7">
        <f>IF($W18="","",IF(INDEX('Per Invoice'!K$2:K$801,$W18)="","",INDEX('Per Invoice'!K$2:K$801,$W18)))</f>
        <v/>
      </c>
      <c r="L18" s="14">
        <f>IF($W18="","",IF(INDEX('Per Invoice'!L$2:L$801,$W18)="","",INDEX('Per Invoice'!L$2:L$801,$W18)))</f>
        <v/>
      </c>
      <c r="M18">
        <f>IF($W18="","",IF(INDEX('Per Invoice'!M$2:M$801,$W18)="","",INDEX('Per Invoice'!M$2:M$801,$W18)))</f>
        <v/>
      </c>
      <c r="N18" s="7">
        <f>IF($W18="","",IF(INDEX('Per Invoice'!N$2:N$801,$W18)="","",INDEX('Per Invoice'!N$2:N$801,$W18)))</f>
        <v/>
      </c>
      <c r="O18" s="7">
        <f>IF($W18="","",IF(INDEX('Per Invoice'!O$2:O$801,$W18)="","",INDEX('Per Invoice'!O$2:O$801,$W18)))</f>
        <v/>
      </c>
      <c r="P18">
        <f>IF($W18="","",IF(INDEX('Per Invoice'!P$2:P$801,$W18)="","",INDEX('Per Invoice'!P$2:P$801,$W18)))</f>
        <v/>
      </c>
      <c r="Q18" s="7">
        <f>IF($W18="","",IF(INDEX('Per Invoice'!Q$2:Q$801,$W18)="","",INDEX('Per Invoice'!Q$2:Q$801,$W18)))</f>
        <v/>
      </c>
      <c r="R18" s="7">
        <f>IF($W18="","",IF(INDEX('Per Invoice'!R$2:R$801,$W18)="","",INDEX('Per Invoice'!R$2:R$801,$W18)))</f>
        <v/>
      </c>
      <c r="S18" s="7">
        <f>IF($W18="","",IF(INDEX('Per Invoice'!S$2:S$801,$W18)="","",INDEX('Per Invoice'!S$2:S$801,$W18)))</f>
        <v/>
      </c>
      <c r="T18" s="7">
        <f>IF($W18="","",IF(INDEX('Per Invoice'!T$2:T$801,$W18)="","",INDEX('Per Invoice'!T$2:T$801,$W18)))</f>
        <v/>
      </c>
      <c r="U18" s="7">
        <f>IF($W18="","",IF(INDEX('Per Invoice'!U$2:U$801,$W18)="","",INDEX('Per Invoice'!U$2:U$801,$W18)))</f>
        <v/>
      </c>
      <c r="V18" s="7">
        <f>IF($W18="","",IF(INDEX('Per Invoice'!V$2:V$801,$W18)="","",INDEX('Per Invoice'!V$2:V$801,$W18)))</f>
        <v/>
      </c>
      <c r="W18" s="16">
        <f>IFERROR(MATCH(Settings!$C$32&amp;"|"&amp;ROWS($W$2:$W18),'Per Invoice'!$X$2:$X$801,0),"")</f>
        <v/>
      </c>
    </row>
    <row r="19">
      <c r="A19">
        <f>IF($W19="","",IF(INDEX('Per Invoice'!A$2:A$801,$W19)="","",INDEX('Per Invoice'!A$2:A$801,$W19)))</f>
        <v/>
      </c>
      <c r="B19">
        <f>IF($W19="","",IF(INDEX('Per Invoice'!B$2:B$801,$W19)="","",INDEX('Per Invoice'!B$2:B$801,$W19)))</f>
        <v/>
      </c>
      <c r="C19">
        <f>IF($W19="","",IF(INDEX('Per Invoice'!C$2:C$801,$W19)="","",INDEX('Per Invoice'!C$2:C$801,$W19)))</f>
        <v/>
      </c>
      <c r="D19">
        <f>IF($W19="","",IF(INDEX('Per Invoice'!D$2:D$801,$W19)="","",INDEX('Per Invoice'!D$2:D$801,$W19)))</f>
        <v/>
      </c>
      <c r="E19">
        <f>IF($W19="","",IF(INDEX('Per Invoice'!E$2:E$801,$W19)="","",INDEX('Per Invoice'!E$2:E$801,$W19)))</f>
        <v/>
      </c>
      <c r="F19">
        <f>IF($W19="","",IF(INDEX('Per Invoice'!F$2:F$801,$W19)="","",INDEX('Per Invoice'!F$2:F$801,$W19)))</f>
        <v/>
      </c>
      <c r="G19">
        <f>IF($W19="","",IF(INDEX('Per Invoice'!G$2:G$801,$W19)="","",INDEX('Per Invoice'!G$2:G$801,$W19)))</f>
        <v/>
      </c>
      <c r="H19">
        <f>IF($W19="","",IF(INDEX('Per Invoice'!H$2:H$801,$W19)="","",INDEX('Per Invoice'!H$2:H$801,$W19)))</f>
        <v/>
      </c>
      <c r="I19">
        <f>IF($W19="","",IF(INDEX('Per Invoice'!I$2:I$801,$W19)="","",INDEX('Per Invoice'!I$2:I$801,$W19)))</f>
        <v/>
      </c>
      <c r="J19">
        <f>IF($W19="","",IF(INDEX('Per Invoice'!J$2:J$801,$W19)="","",INDEX('Per Invoice'!J$2:J$801,$W19)))</f>
        <v/>
      </c>
      <c r="K19" s="7">
        <f>IF($W19="","",IF(INDEX('Per Invoice'!K$2:K$801,$W19)="","",INDEX('Per Invoice'!K$2:K$801,$W19)))</f>
        <v/>
      </c>
      <c r="L19" s="14">
        <f>IF($W19="","",IF(INDEX('Per Invoice'!L$2:L$801,$W19)="","",INDEX('Per Invoice'!L$2:L$801,$W19)))</f>
        <v/>
      </c>
      <c r="M19">
        <f>IF($W19="","",IF(INDEX('Per Invoice'!M$2:M$801,$W19)="","",INDEX('Per Invoice'!M$2:M$801,$W19)))</f>
        <v/>
      </c>
      <c r="N19" s="7">
        <f>IF($W19="","",IF(INDEX('Per Invoice'!N$2:N$801,$W19)="","",INDEX('Per Invoice'!N$2:N$801,$W19)))</f>
        <v/>
      </c>
      <c r="O19" s="7">
        <f>IF($W19="","",IF(INDEX('Per Invoice'!O$2:O$801,$W19)="","",INDEX('Per Invoice'!O$2:O$801,$W19)))</f>
        <v/>
      </c>
      <c r="P19">
        <f>IF($W19="","",IF(INDEX('Per Invoice'!P$2:P$801,$W19)="","",INDEX('Per Invoice'!P$2:P$801,$W19)))</f>
        <v/>
      </c>
      <c r="Q19" s="7">
        <f>IF($W19="","",IF(INDEX('Per Invoice'!Q$2:Q$801,$W19)="","",INDEX('Per Invoice'!Q$2:Q$801,$W19)))</f>
        <v/>
      </c>
      <c r="R19" s="7">
        <f>IF($W19="","",IF(INDEX('Per Invoice'!R$2:R$801,$W19)="","",INDEX('Per Invoice'!R$2:R$801,$W19)))</f>
        <v/>
      </c>
      <c r="S19" s="7">
        <f>IF($W19="","",IF(INDEX('Per Invoice'!S$2:S$801,$W19)="","",INDEX('Per Invoice'!S$2:S$801,$W19)))</f>
        <v/>
      </c>
      <c r="T19" s="7">
        <f>IF($W19="","",IF(INDEX('Per Invoice'!T$2:T$801,$W19)="","",INDEX('Per Invoice'!T$2:T$801,$W19)))</f>
        <v/>
      </c>
      <c r="U19" s="7">
        <f>IF($W19="","",IF(INDEX('Per Invoice'!U$2:U$801,$W19)="","",INDEX('Per Invoice'!U$2:U$801,$W19)))</f>
        <v/>
      </c>
      <c r="V19" s="7">
        <f>IF($W19="","",IF(INDEX('Per Invoice'!V$2:V$801,$W19)="","",INDEX('Per Invoice'!V$2:V$801,$W19)))</f>
        <v/>
      </c>
      <c r="W19" s="16">
        <f>IFERROR(MATCH(Settings!$C$32&amp;"|"&amp;ROWS($W$2:$W19),'Per Invoice'!$X$2:$X$801,0),"")</f>
        <v/>
      </c>
    </row>
    <row r="20">
      <c r="A20">
        <f>IF($W20="","",IF(INDEX('Per Invoice'!A$2:A$801,$W20)="","",INDEX('Per Invoice'!A$2:A$801,$W20)))</f>
        <v/>
      </c>
      <c r="B20">
        <f>IF($W20="","",IF(INDEX('Per Invoice'!B$2:B$801,$W20)="","",INDEX('Per Invoice'!B$2:B$801,$W20)))</f>
        <v/>
      </c>
      <c r="C20">
        <f>IF($W20="","",IF(INDEX('Per Invoice'!C$2:C$801,$W20)="","",INDEX('Per Invoice'!C$2:C$801,$W20)))</f>
        <v/>
      </c>
      <c r="D20">
        <f>IF($W20="","",IF(INDEX('Per Invoice'!D$2:D$801,$W20)="","",INDEX('Per Invoice'!D$2:D$801,$W20)))</f>
        <v/>
      </c>
      <c r="E20">
        <f>IF($W20="","",IF(INDEX('Per Invoice'!E$2:E$801,$W20)="","",INDEX('Per Invoice'!E$2:E$801,$W20)))</f>
        <v/>
      </c>
      <c r="F20">
        <f>IF($W20="","",IF(INDEX('Per Invoice'!F$2:F$801,$W20)="","",INDEX('Per Invoice'!F$2:F$801,$W20)))</f>
        <v/>
      </c>
      <c r="G20">
        <f>IF($W20="","",IF(INDEX('Per Invoice'!G$2:G$801,$W20)="","",INDEX('Per Invoice'!G$2:G$801,$W20)))</f>
        <v/>
      </c>
      <c r="H20">
        <f>IF($W20="","",IF(INDEX('Per Invoice'!H$2:H$801,$W20)="","",INDEX('Per Invoice'!H$2:H$801,$W20)))</f>
        <v/>
      </c>
      <c r="I20">
        <f>IF($W20="","",IF(INDEX('Per Invoice'!I$2:I$801,$W20)="","",INDEX('Per Invoice'!I$2:I$801,$W20)))</f>
        <v/>
      </c>
      <c r="J20">
        <f>IF($W20="","",IF(INDEX('Per Invoice'!J$2:J$801,$W20)="","",INDEX('Per Invoice'!J$2:J$801,$W20)))</f>
        <v/>
      </c>
      <c r="K20" s="7">
        <f>IF($W20="","",IF(INDEX('Per Invoice'!K$2:K$801,$W20)="","",INDEX('Per Invoice'!K$2:K$801,$W20)))</f>
        <v/>
      </c>
      <c r="L20" s="14">
        <f>IF($W20="","",IF(INDEX('Per Invoice'!L$2:L$801,$W20)="","",INDEX('Per Invoice'!L$2:L$801,$W20)))</f>
        <v/>
      </c>
      <c r="M20">
        <f>IF($W20="","",IF(INDEX('Per Invoice'!M$2:M$801,$W20)="","",INDEX('Per Invoice'!M$2:M$801,$W20)))</f>
        <v/>
      </c>
      <c r="N20" s="7">
        <f>IF($W20="","",IF(INDEX('Per Invoice'!N$2:N$801,$W20)="","",INDEX('Per Invoice'!N$2:N$801,$W20)))</f>
        <v/>
      </c>
      <c r="O20" s="7">
        <f>IF($W20="","",IF(INDEX('Per Invoice'!O$2:O$801,$W20)="","",INDEX('Per Invoice'!O$2:O$801,$W20)))</f>
        <v/>
      </c>
      <c r="P20">
        <f>IF($W20="","",IF(INDEX('Per Invoice'!P$2:P$801,$W20)="","",INDEX('Per Invoice'!P$2:P$801,$W20)))</f>
        <v/>
      </c>
      <c r="Q20" s="7">
        <f>IF($W20="","",IF(INDEX('Per Invoice'!Q$2:Q$801,$W20)="","",INDEX('Per Invoice'!Q$2:Q$801,$W20)))</f>
        <v/>
      </c>
      <c r="R20" s="7">
        <f>IF($W20="","",IF(INDEX('Per Invoice'!R$2:R$801,$W20)="","",INDEX('Per Invoice'!R$2:R$801,$W20)))</f>
        <v/>
      </c>
      <c r="S20" s="7">
        <f>IF($W20="","",IF(INDEX('Per Invoice'!S$2:S$801,$W20)="","",INDEX('Per Invoice'!S$2:S$801,$W20)))</f>
        <v/>
      </c>
      <c r="T20" s="7">
        <f>IF($W20="","",IF(INDEX('Per Invoice'!T$2:T$801,$W20)="","",INDEX('Per Invoice'!T$2:T$801,$W20)))</f>
        <v/>
      </c>
      <c r="U20" s="7">
        <f>IF($W20="","",IF(INDEX('Per Invoice'!U$2:U$801,$W20)="","",INDEX('Per Invoice'!U$2:U$801,$W20)))</f>
        <v/>
      </c>
      <c r="V20" s="7">
        <f>IF($W20="","",IF(INDEX('Per Invoice'!V$2:V$801,$W20)="","",INDEX('Per Invoice'!V$2:V$801,$W20)))</f>
        <v/>
      </c>
      <c r="W20" s="16">
        <f>IFERROR(MATCH(Settings!$C$32&amp;"|"&amp;ROWS($W$2:$W20),'Per Invoice'!$X$2:$X$801,0),"")</f>
        <v/>
      </c>
    </row>
    <row r="21">
      <c r="A21">
        <f>IF($W21="","",IF(INDEX('Per Invoice'!A$2:A$801,$W21)="","",INDEX('Per Invoice'!A$2:A$801,$W21)))</f>
        <v/>
      </c>
      <c r="B21">
        <f>IF($W21="","",IF(INDEX('Per Invoice'!B$2:B$801,$W21)="","",INDEX('Per Invoice'!B$2:B$801,$W21)))</f>
        <v/>
      </c>
      <c r="C21">
        <f>IF($W21="","",IF(INDEX('Per Invoice'!C$2:C$801,$W21)="","",INDEX('Per Invoice'!C$2:C$801,$W21)))</f>
        <v/>
      </c>
      <c r="D21">
        <f>IF($W21="","",IF(INDEX('Per Invoice'!D$2:D$801,$W21)="","",INDEX('Per Invoice'!D$2:D$801,$W21)))</f>
        <v/>
      </c>
      <c r="E21">
        <f>IF($W21="","",IF(INDEX('Per Invoice'!E$2:E$801,$W21)="","",INDEX('Per Invoice'!E$2:E$801,$W21)))</f>
        <v/>
      </c>
      <c r="F21">
        <f>IF($W21="","",IF(INDEX('Per Invoice'!F$2:F$801,$W21)="","",INDEX('Per Invoice'!F$2:F$801,$W21)))</f>
        <v/>
      </c>
      <c r="G21">
        <f>IF($W21="","",IF(INDEX('Per Invoice'!G$2:G$801,$W21)="","",INDEX('Per Invoice'!G$2:G$801,$W21)))</f>
        <v/>
      </c>
      <c r="H21">
        <f>IF($W21="","",IF(INDEX('Per Invoice'!H$2:H$801,$W21)="","",INDEX('Per Invoice'!H$2:H$801,$W21)))</f>
        <v/>
      </c>
      <c r="I21">
        <f>IF($W21="","",IF(INDEX('Per Invoice'!I$2:I$801,$W21)="","",INDEX('Per Invoice'!I$2:I$801,$W21)))</f>
        <v/>
      </c>
      <c r="J21">
        <f>IF($W21="","",IF(INDEX('Per Invoice'!J$2:J$801,$W21)="","",INDEX('Per Invoice'!J$2:J$801,$W21)))</f>
        <v/>
      </c>
      <c r="K21" s="7">
        <f>IF($W21="","",IF(INDEX('Per Invoice'!K$2:K$801,$W21)="","",INDEX('Per Invoice'!K$2:K$801,$W21)))</f>
        <v/>
      </c>
      <c r="L21" s="14">
        <f>IF($W21="","",IF(INDEX('Per Invoice'!L$2:L$801,$W21)="","",INDEX('Per Invoice'!L$2:L$801,$W21)))</f>
        <v/>
      </c>
      <c r="M21">
        <f>IF($W21="","",IF(INDEX('Per Invoice'!M$2:M$801,$W21)="","",INDEX('Per Invoice'!M$2:M$801,$W21)))</f>
        <v/>
      </c>
      <c r="N21" s="7">
        <f>IF($W21="","",IF(INDEX('Per Invoice'!N$2:N$801,$W21)="","",INDEX('Per Invoice'!N$2:N$801,$W21)))</f>
        <v/>
      </c>
      <c r="O21" s="7">
        <f>IF($W21="","",IF(INDEX('Per Invoice'!O$2:O$801,$W21)="","",INDEX('Per Invoice'!O$2:O$801,$W21)))</f>
        <v/>
      </c>
      <c r="P21">
        <f>IF($W21="","",IF(INDEX('Per Invoice'!P$2:P$801,$W21)="","",INDEX('Per Invoice'!P$2:P$801,$W21)))</f>
        <v/>
      </c>
      <c r="Q21" s="7">
        <f>IF($W21="","",IF(INDEX('Per Invoice'!Q$2:Q$801,$W21)="","",INDEX('Per Invoice'!Q$2:Q$801,$W21)))</f>
        <v/>
      </c>
      <c r="R21" s="7">
        <f>IF($W21="","",IF(INDEX('Per Invoice'!R$2:R$801,$W21)="","",INDEX('Per Invoice'!R$2:R$801,$W21)))</f>
        <v/>
      </c>
      <c r="S21" s="7">
        <f>IF($W21="","",IF(INDEX('Per Invoice'!S$2:S$801,$W21)="","",INDEX('Per Invoice'!S$2:S$801,$W21)))</f>
        <v/>
      </c>
      <c r="T21" s="7">
        <f>IF($W21="","",IF(INDEX('Per Invoice'!T$2:T$801,$W21)="","",INDEX('Per Invoice'!T$2:T$801,$W21)))</f>
        <v/>
      </c>
      <c r="U21" s="7">
        <f>IF($W21="","",IF(INDEX('Per Invoice'!U$2:U$801,$W21)="","",INDEX('Per Invoice'!U$2:U$801,$W21)))</f>
        <v/>
      </c>
      <c r="V21" s="7">
        <f>IF($W21="","",IF(INDEX('Per Invoice'!V$2:V$801,$W21)="","",INDEX('Per Invoice'!V$2:V$801,$W21)))</f>
        <v/>
      </c>
      <c r="W21" s="16">
        <f>IFERROR(MATCH(Settings!$C$32&amp;"|"&amp;ROWS($W$2:$W21),'Per Invoice'!$X$2:$X$801,0),"")</f>
        <v/>
      </c>
    </row>
    <row r="22">
      <c r="A22">
        <f>IF($W22="","",IF(INDEX('Per Invoice'!A$2:A$801,$W22)="","",INDEX('Per Invoice'!A$2:A$801,$W22)))</f>
        <v/>
      </c>
      <c r="B22">
        <f>IF($W22="","",IF(INDEX('Per Invoice'!B$2:B$801,$W22)="","",INDEX('Per Invoice'!B$2:B$801,$W22)))</f>
        <v/>
      </c>
      <c r="C22">
        <f>IF($W22="","",IF(INDEX('Per Invoice'!C$2:C$801,$W22)="","",INDEX('Per Invoice'!C$2:C$801,$W22)))</f>
        <v/>
      </c>
      <c r="D22">
        <f>IF($W22="","",IF(INDEX('Per Invoice'!D$2:D$801,$W22)="","",INDEX('Per Invoice'!D$2:D$801,$W22)))</f>
        <v/>
      </c>
      <c r="E22">
        <f>IF($W22="","",IF(INDEX('Per Invoice'!E$2:E$801,$W22)="","",INDEX('Per Invoice'!E$2:E$801,$W22)))</f>
        <v/>
      </c>
      <c r="F22">
        <f>IF($W22="","",IF(INDEX('Per Invoice'!F$2:F$801,$W22)="","",INDEX('Per Invoice'!F$2:F$801,$W22)))</f>
        <v/>
      </c>
      <c r="G22">
        <f>IF($W22="","",IF(INDEX('Per Invoice'!G$2:G$801,$W22)="","",INDEX('Per Invoice'!G$2:G$801,$W22)))</f>
        <v/>
      </c>
      <c r="H22">
        <f>IF($W22="","",IF(INDEX('Per Invoice'!H$2:H$801,$W22)="","",INDEX('Per Invoice'!H$2:H$801,$W22)))</f>
        <v/>
      </c>
      <c r="I22">
        <f>IF($W22="","",IF(INDEX('Per Invoice'!I$2:I$801,$W22)="","",INDEX('Per Invoice'!I$2:I$801,$W22)))</f>
        <v/>
      </c>
      <c r="J22">
        <f>IF($W22="","",IF(INDEX('Per Invoice'!J$2:J$801,$W22)="","",INDEX('Per Invoice'!J$2:J$801,$W22)))</f>
        <v/>
      </c>
      <c r="K22" s="7">
        <f>IF($W22="","",IF(INDEX('Per Invoice'!K$2:K$801,$W22)="","",INDEX('Per Invoice'!K$2:K$801,$W22)))</f>
        <v/>
      </c>
      <c r="L22" s="14">
        <f>IF($W22="","",IF(INDEX('Per Invoice'!L$2:L$801,$W22)="","",INDEX('Per Invoice'!L$2:L$801,$W22)))</f>
        <v/>
      </c>
      <c r="M22">
        <f>IF($W22="","",IF(INDEX('Per Invoice'!M$2:M$801,$W22)="","",INDEX('Per Invoice'!M$2:M$801,$W22)))</f>
        <v/>
      </c>
      <c r="N22" s="7">
        <f>IF($W22="","",IF(INDEX('Per Invoice'!N$2:N$801,$W22)="","",INDEX('Per Invoice'!N$2:N$801,$W22)))</f>
        <v/>
      </c>
      <c r="O22" s="7">
        <f>IF($W22="","",IF(INDEX('Per Invoice'!O$2:O$801,$W22)="","",INDEX('Per Invoice'!O$2:O$801,$W22)))</f>
        <v/>
      </c>
      <c r="P22">
        <f>IF($W22="","",IF(INDEX('Per Invoice'!P$2:P$801,$W22)="","",INDEX('Per Invoice'!P$2:P$801,$W22)))</f>
        <v/>
      </c>
      <c r="Q22" s="7">
        <f>IF($W22="","",IF(INDEX('Per Invoice'!Q$2:Q$801,$W22)="","",INDEX('Per Invoice'!Q$2:Q$801,$W22)))</f>
        <v/>
      </c>
      <c r="R22" s="7">
        <f>IF($W22="","",IF(INDEX('Per Invoice'!R$2:R$801,$W22)="","",INDEX('Per Invoice'!R$2:R$801,$W22)))</f>
        <v/>
      </c>
      <c r="S22" s="7">
        <f>IF($W22="","",IF(INDEX('Per Invoice'!S$2:S$801,$W22)="","",INDEX('Per Invoice'!S$2:S$801,$W22)))</f>
        <v/>
      </c>
      <c r="T22" s="7">
        <f>IF($W22="","",IF(INDEX('Per Invoice'!T$2:T$801,$W22)="","",INDEX('Per Invoice'!T$2:T$801,$W22)))</f>
        <v/>
      </c>
      <c r="U22" s="7">
        <f>IF($W22="","",IF(INDEX('Per Invoice'!U$2:U$801,$W22)="","",INDEX('Per Invoice'!U$2:U$801,$W22)))</f>
        <v/>
      </c>
      <c r="V22" s="7">
        <f>IF($W22="","",IF(INDEX('Per Invoice'!V$2:V$801,$W22)="","",INDEX('Per Invoice'!V$2:V$801,$W22)))</f>
        <v/>
      </c>
      <c r="W22" s="16">
        <f>IFERROR(MATCH(Settings!$C$32&amp;"|"&amp;ROWS($W$2:$W22),'Per Invoice'!$X$2:$X$801,0),"")</f>
        <v/>
      </c>
    </row>
    <row r="23">
      <c r="A23">
        <f>IF($W23="","",IF(INDEX('Per Invoice'!A$2:A$801,$W23)="","",INDEX('Per Invoice'!A$2:A$801,$W23)))</f>
        <v/>
      </c>
      <c r="B23">
        <f>IF($W23="","",IF(INDEX('Per Invoice'!B$2:B$801,$W23)="","",INDEX('Per Invoice'!B$2:B$801,$W23)))</f>
        <v/>
      </c>
      <c r="C23">
        <f>IF($W23="","",IF(INDEX('Per Invoice'!C$2:C$801,$W23)="","",INDEX('Per Invoice'!C$2:C$801,$W23)))</f>
        <v/>
      </c>
      <c r="D23">
        <f>IF($W23="","",IF(INDEX('Per Invoice'!D$2:D$801,$W23)="","",INDEX('Per Invoice'!D$2:D$801,$W23)))</f>
        <v/>
      </c>
      <c r="E23">
        <f>IF($W23="","",IF(INDEX('Per Invoice'!E$2:E$801,$W23)="","",INDEX('Per Invoice'!E$2:E$801,$W23)))</f>
        <v/>
      </c>
      <c r="F23">
        <f>IF($W23="","",IF(INDEX('Per Invoice'!F$2:F$801,$W23)="","",INDEX('Per Invoice'!F$2:F$801,$W23)))</f>
        <v/>
      </c>
      <c r="G23">
        <f>IF($W23="","",IF(INDEX('Per Invoice'!G$2:G$801,$W23)="","",INDEX('Per Invoice'!G$2:G$801,$W23)))</f>
        <v/>
      </c>
      <c r="H23">
        <f>IF($W23="","",IF(INDEX('Per Invoice'!H$2:H$801,$W23)="","",INDEX('Per Invoice'!H$2:H$801,$W23)))</f>
        <v/>
      </c>
      <c r="I23">
        <f>IF($W23="","",IF(INDEX('Per Invoice'!I$2:I$801,$W23)="","",INDEX('Per Invoice'!I$2:I$801,$W23)))</f>
        <v/>
      </c>
      <c r="J23">
        <f>IF($W23="","",IF(INDEX('Per Invoice'!J$2:J$801,$W23)="","",INDEX('Per Invoice'!J$2:J$801,$W23)))</f>
        <v/>
      </c>
      <c r="K23" s="7">
        <f>IF($W23="","",IF(INDEX('Per Invoice'!K$2:K$801,$W23)="","",INDEX('Per Invoice'!K$2:K$801,$W23)))</f>
        <v/>
      </c>
      <c r="L23" s="14">
        <f>IF($W23="","",IF(INDEX('Per Invoice'!L$2:L$801,$W23)="","",INDEX('Per Invoice'!L$2:L$801,$W23)))</f>
        <v/>
      </c>
      <c r="M23">
        <f>IF($W23="","",IF(INDEX('Per Invoice'!M$2:M$801,$W23)="","",INDEX('Per Invoice'!M$2:M$801,$W23)))</f>
        <v/>
      </c>
      <c r="N23" s="7">
        <f>IF($W23="","",IF(INDEX('Per Invoice'!N$2:N$801,$W23)="","",INDEX('Per Invoice'!N$2:N$801,$W23)))</f>
        <v/>
      </c>
      <c r="O23" s="7">
        <f>IF($W23="","",IF(INDEX('Per Invoice'!O$2:O$801,$W23)="","",INDEX('Per Invoice'!O$2:O$801,$W23)))</f>
        <v/>
      </c>
      <c r="P23">
        <f>IF($W23="","",IF(INDEX('Per Invoice'!P$2:P$801,$W23)="","",INDEX('Per Invoice'!P$2:P$801,$W23)))</f>
        <v/>
      </c>
      <c r="Q23" s="7">
        <f>IF($W23="","",IF(INDEX('Per Invoice'!Q$2:Q$801,$W23)="","",INDEX('Per Invoice'!Q$2:Q$801,$W23)))</f>
        <v/>
      </c>
      <c r="R23" s="7">
        <f>IF($W23="","",IF(INDEX('Per Invoice'!R$2:R$801,$W23)="","",INDEX('Per Invoice'!R$2:R$801,$W23)))</f>
        <v/>
      </c>
      <c r="S23" s="7">
        <f>IF($W23="","",IF(INDEX('Per Invoice'!S$2:S$801,$W23)="","",INDEX('Per Invoice'!S$2:S$801,$W23)))</f>
        <v/>
      </c>
      <c r="T23" s="7">
        <f>IF($W23="","",IF(INDEX('Per Invoice'!T$2:T$801,$W23)="","",INDEX('Per Invoice'!T$2:T$801,$W23)))</f>
        <v/>
      </c>
      <c r="U23" s="7">
        <f>IF($W23="","",IF(INDEX('Per Invoice'!U$2:U$801,$W23)="","",INDEX('Per Invoice'!U$2:U$801,$W23)))</f>
        <v/>
      </c>
      <c r="V23" s="7">
        <f>IF($W23="","",IF(INDEX('Per Invoice'!V$2:V$801,$W23)="","",INDEX('Per Invoice'!V$2:V$801,$W23)))</f>
        <v/>
      </c>
      <c r="W23" s="16">
        <f>IFERROR(MATCH(Settings!$C$32&amp;"|"&amp;ROWS($W$2:$W23),'Per Invoice'!$X$2:$X$801,0),"")</f>
        <v/>
      </c>
    </row>
    <row r="24">
      <c r="A24">
        <f>IF($W24="","",IF(INDEX('Per Invoice'!A$2:A$801,$W24)="","",INDEX('Per Invoice'!A$2:A$801,$W24)))</f>
        <v/>
      </c>
      <c r="B24">
        <f>IF($W24="","",IF(INDEX('Per Invoice'!B$2:B$801,$W24)="","",INDEX('Per Invoice'!B$2:B$801,$W24)))</f>
        <v/>
      </c>
      <c r="C24">
        <f>IF($W24="","",IF(INDEX('Per Invoice'!C$2:C$801,$W24)="","",INDEX('Per Invoice'!C$2:C$801,$W24)))</f>
        <v/>
      </c>
      <c r="D24">
        <f>IF($W24="","",IF(INDEX('Per Invoice'!D$2:D$801,$W24)="","",INDEX('Per Invoice'!D$2:D$801,$W24)))</f>
        <v/>
      </c>
      <c r="E24">
        <f>IF($W24="","",IF(INDEX('Per Invoice'!E$2:E$801,$W24)="","",INDEX('Per Invoice'!E$2:E$801,$W24)))</f>
        <v/>
      </c>
      <c r="F24">
        <f>IF($W24="","",IF(INDEX('Per Invoice'!F$2:F$801,$W24)="","",INDEX('Per Invoice'!F$2:F$801,$W24)))</f>
        <v/>
      </c>
      <c r="G24">
        <f>IF($W24="","",IF(INDEX('Per Invoice'!G$2:G$801,$W24)="","",INDEX('Per Invoice'!G$2:G$801,$W24)))</f>
        <v/>
      </c>
      <c r="H24">
        <f>IF($W24="","",IF(INDEX('Per Invoice'!H$2:H$801,$W24)="","",INDEX('Per Invoice'!H$2:H$801,$W24)))</f>
        <v/>
      </c>
      <c r="I24">
        <f>IF($W24="","",IF(INDEX('Per Invoice'!I$2:I$801,$W24)="","",INDEX('Per Invoice'!I$2:I$801,$W24)))</f>
        <v/>
      </c>
      <c r="J24">
        <f>IF($W24="","",IF(INDEX('Per Invoice'!J$2:J$801,$W24)="","",INDEX('Per Invoice'!J$2:J$801,$W24)))</f>
        <v/>
      </c>
      <c r="K24" s="7">
        <f>IF($W24="","",IF(INDEX('Per Invoice'!K$2:K$801,$W24)="","",INDEX('Per Invoice'!K$2:K$801,$W24)))</f>
        <v/>
      </c>
      <c r="L24" s="14">
        <f>IF($W24="","",IF(INDEX('Per Invoice'!L$2:L$801,$W24)="","",INDEX('Per Invoice'!L$2:L$801,$W24)))</f>
        <v/>
      </c>
      <c r="M24">
        <f>IF($W24="","",IF(INDEX('Per Invoice'!M$2:M$801,$W24)="","",INDEX('Per Invoice'!M$2:M$801,$W24)))</f>
        <v/>
      </c>
      <c r="N24" s="7">
        <f>IF($W24="","",IF(INDEX('Per Invoice'!N$2:N$801,$W24)="","",INDEX('Per Invoice'!N$2:N$801,$W24)))</f>
        <v/>
      </c>
      <c r="O24" s="7">
        <f>IF($W24="","",IF(INDEX('Per Invoice'!O$2:O$801,$W24)="","",INDEX('Per Invoice'!O$2:O$801,$W24)))</f>
        <v/>
      </c>
      <c r="P24">
        <f>IF($W24="","",IF(INDEX('Per Invoice'!P$2:P$801,$W24)="","",INDEX('Per Invoice'!P$2:P$801,$W24)))</f>
        <v/>
      </c>
      <c r="Q24" s="7">
        <f>IF($W24="","",IF(INDEX('Per Invoice'!Q$2:Q$801,$W24)="","",INDEX('Per Invoice'!Q$2:Q$801,$W24)))</f>
        <v/>
      </c>
      <c r="R24" s="7">
        <f>IF($W24="","",IF(INDEX('Per Invoice'!R$2:R$801,$W24)="","",INDEX('Per Invoice'!R$2:R$801,$W24)))</f>
        <v/>
      </c>
      <c r="S24" s="7">
        <f>IF($W24="","",IF(INDEX('Per Invoice'!S$2:S$801,$W24)="","",INDEX('Per Invoice'!S$2:S$801,$W24)))</f>
        <v/>
      </c>
      <c r="T24" s="7">
        <f>IF($W24="","",IF(INDEX('Per Invoice'!T$2:T$801,$W24)="","",INDEX('Per Invoice'!T$2:T$801,$W24)))</f>
        <v/>
      </c>
      <c r="U24" s="7">
        <f>IF($W24="","",IF(INDEX('Per Invoice'!U$2:U$801,$W24)="","",INDEX('Per Invoice'!U$2:U$801,$W24)))</f>
        <v/>
      </c>
      <c r="V24" s="7">
        <f>IF($W24="","",IF(INDEX('Per Invoice'!V$2:V$801,$W24)="","",INDEX('Per Invoice'!V$2:V$801,$W24)))</f>
        <v/>
      </c>
      <c r="W24" s="16">
        <f>IFERROR(MATCH(Settings!$C$32&amp;"|"&amp;ROWS($W$2:$W24),'Per Invoice'!$X$2:$X$801,0),"")</f>
        <v/>
      </c>
    </row>
    <row r="25">
      <c r="A25">
        <f>IF($W25="","",IF(INDEX('Per Invoice'!A$2:A$801,$W25)="","",INDEX('Per Invoice'!A$2:A$801,$W25)))</f>
        <v/>
      </c>
      <c r="B25">
        <f>IF($W25="","",IF(INDEX('Per Invoice'!B$2:B$801,$W25)="","",INDEX('Per Invoice'!B$2:B$801,$W25)))</f>
        <v/>
      </c>
      <c r="C25">
        <f>IF($W25="","",IF(INDEX('Per Invoice'!C$2:C$801,$W25)="","",INDEX('Per Invoice'!C$2:C$801,$W25)))</f>
        <v/>
      </c>
      <c r="D25">
        <f>IF($W25="","",IF(INDEX('Per Invoice'!D$2:D$801,$W25)="","",INDEX('Per Invoice'!D$2:D$801,$W25)))</f>
        <v/>
      </c>
      <c r="E25">
        <f>IF($W25="","",IF(INDEX('Per Invoice'!E$2:E$801,$W25)="","",INDEX('Per Invoice'!E$2:E$801,$W25)))</f>
        <v/>
      </c>
      <c r="F25">
        <f>IF($W25="","",IF(INDEX('Per Invoice'!F$2:F$801,$W25)="","",INDEX('Per Invoice'!F$2:F$801,$W25)))</f>
        <v/>
      </c>
      <c r="G25">
        <f>IF($W25="","",IF(INDEX('Per Invoice'!G$2:G$801,$W25)="","",INDEX('Per Invoice'!G$2:G$801,$W25)))</f>
        <v/>
      </c>
      <c r="H25">
        <f>IF($W25="","",IF(INDEX('Per Invoice'!H$2:H$801,$W25)="","",INDEX('Per Invoice'!H$2:H$801,$W25)))</f>
        <v/>
      </c>
      <c r="I25">
        <f>IF($W25="","",IF(INDEX('Per Invoice'!I$2:I$801,$W25)="","",INDEX('Per Invoice'!I$2:I$801,$W25)))</f>
        <v/>
      </c>
      <c r="J25">
        <f>IF($W25="","",IF(INDEX('Per Invoice'!J$2:J$801,$W25)="","",INDEX('Per Invoice'!J$2:J$801,$W25)))</f>
        <v/>
      </c>
      <c r="K25" s="7">
        <f>IF($W25="","",IF(INDEX('Per Invoice'!K$2:K$801,$W25)="","",INDEX('Per Invoice'!K$2:K$801,$W25)))</f>
        <v/>
      </c>
      <c r="L25" s="14">
        <f>IF($W25="","",IF(INDEX('Per Invoice'!L$2:L$801,$W25)="","",INDEX('Per Invoice'!L$2:L$801,$W25)))</f>
        <v/>
      </c>
      <c r="M25">
        <f>IF($W25="","",IF(INDEX('Per Invoice'!M$2:M$801,$W25)="","",INDEX('Per Invoice'!M$2:M$801,$W25)))</f>
        <v/>
      </c>
      <c r="N25" s="7">
        <f>IF($W25="","",IF(INDEX('Per Invoice'!N$2:N$801,$W25)="","",INDEX('Per Invoice'!N$2:N$801,$W25)))</f>
        <v/>
      </c>
      <c r="O25" s="7">
        <f>IF($W25="","",IF(INDEX('Per Invoice'!O$2:O$801,$W25)="","",INDEX('Per Invoice'!O$2:O$801,$W25)))</f>
        <v/>
      </c>
      <c r="P25">
        <f>IF($W25="","",IF(INDEX('Per Invoice'!P$2:P$801,$W25)="","",INDEX('Per Invoice'!P$2:P$801,$W25)))</f>
        <v/>
      </c>
      <c r="Q25" s="7">
        <f>IF($W25="","",IF(INDEX('Per Invoice'!Q$2:Q$801,$W25)="","",INDEX('Per Invoice'!Q$2:Q$801,$W25)))</f>
        <v/>
      </c>
      <c r="R25" s="7">
        <f>IF($W25="","",IF(INDEX('Per Invoice'!R$2:R$801,$W25)="","",INDEX('Per Invoice'!R$2:R$801,$W25)))</f>
        <v/>
      </c>
      <c r="S25" s="7">
        <f>IF($W25="","",IF(INDEX('Per Invoice'!S$2:S$801,$W25)="","",INDEX('Per Invoice'!S$2:S$801,$W25)))</f>
        <v/>
      </c>
      <c r="T25" s="7">
        <f>IF($W25="","",IF(INDEX('Per Invoice'!T$2:T$801,$W25)="","",INDEX('Per Invoice'!T$2:T$801,$W25)))</f>
        <v/>
      </c>
      <c r="U25" s="7">
        <f>IF($W25="","",IF(INDEX('Per Invoice'!U$2:U$801,$W25)="","",INDEX('Per Invoice'!U$2:U$801,$W25)))</f>
        <v/>
      </c>
      <c r="V25" s="7">
        <f>IF($W25="","",IF(INDEX('Per Invoice'!V$2:V$801,$W25)="","",INDEX('Per Invoice'!V$2:V$801,$W25)))</f>
        <v/>
      </c>
      <c r="W25" s="16">
        <f>IFERROR(MATCH(Settings!$C$32&amp;"|"&amp;ROWS($W$2:$W25),'Per Invoice'!$X$2:$X$801,0),"")</f>
        <v/>
      </c>
    </row>
    <row r="26">
      <c r="A26">
        <f>IF($W26="","",IF(INDEX('Per Invoice'!A$2:A$801,$W26)="","",INDEX('Per Invoice'!A$2:A$801,$W26)))</f>
        <v/>
      </c>
      <c r="B26">
        <f>IF($W26="","",IF(INDEX('Per Invoice'!B$2:B$801,$W26)="","",INDEX('Per Invoice'!B$2:B$801,$W26)))</f>
        <v/>
      </c>
      <c r="C26">
        <f>IF($W26="","",IF(INDEX('Per Invoice'!C$2:C$801,$W26)="","",INDEX('Per Invoice'!C$2:C$801,$W26)))</f>
        <v/>
      </c>
      <c r="D26">
        <f>IF($W26="","",IF(INDEX('Per Invoice'!D$2:D$801,$W26)="","",INDEX('Per Invoice'!D$2:D$801,$W26)))</f>
        <v/>
      </c>
      <c r="E26">
        <f>IF($W26="","",IF(INDEX('Per Invoice'!E$2:E$801,$W26)="","",INDEX('Per Invoice'!E$2:E$801,$W26)))</f>
        <v/>
      </c>
      <c r="F26">
        <f>IF($W26="","",IF(INDEX('Per Invoice'!F$2:F$801,$W26)="","",INDEX('Per Invoice'!F$2:F$801,$W26)))</f>
        <v/>
      </c>
      <c r="G26">
        <f>IF($W26="","",IF(INDEX('Per Invoice'!G$2:G$801,$W26)="","",INDEX('Per Invoice'!G$2:G$801,$W26)))</f>
        <v/>
      </c>
      <c r="H26">
        <f>IF($W26="","",IF(INDEX('Per Invoice'!H$2:H$801,$W26)="","",INDEX('Per Invoice'!H$2:H$801,$W26)))</f>
        <v/>
      </c>
      <c r="I26">
        <f>IF($W26="","",IF(INDEX('Per Invoice'!I$2:I$801,$W26)="","",INDEX('Per Invoice'!I$2:I$801,$W26)))</f>
        <v/>
      </c>
      <c r="J26">
        <f>IF($W26="","",IF(INDEX('Per Invoice'!J$2:J$801,$W26)="","",INDEX('Per Invoice'!J$2:J$801,$W26)))</f>
        <v/>
      </c>
      <c r="K26" s="7">
        <f>IF($W26="","",IF(INDEX('Per Invoice'!K$2:K$801,$W26)="","",INDEX('Per Invoice'!K$2:K$801,$W26)))</f>
        <v/>
      </c>
      <c r="L26" s="14">
        <f>IF($W26="","",IF(INDEX('Per Invoice'!L$2:L$801,$W26)="","",INDEX('Per Invoice'!L$2:L$801,$W26)))</f>
        <v/>
      </c>
      <c r="M26">
        <f>IF($W26="","",IF(INDEX('Per Invoice'!M$2:M$801,$W26)="","",INDEX('Per Invoice'!M$2:M$801,$W26)))</f>
        <v/>
      </c>
      <c r="N26" s="7">
        <f>IF($W26="","",IF(INDEX('Per Invoice'!N$2:N$801,$W26)="","",INDEX('Per Invoice'!N$2:N$801,$W26)))</f>
        <v/>
      </c>
      <c r="O26" s="7">
        <f>IF($W26="","",IF(INDEX('Per Invoice'!O$2:O$801,$W26)="","",INDEX('Per Invoice'!O$2:O$801,$W26)))</f>
        <v/>
      </c>
      <c r="P26">
        <f>IF($W26="","",IF(INDEX('Per Invoice'!P$2:P$801,$W26)="","",INDEX('Per Invoice'!P$2:P$801,$W26)))</f>
        <v/>
      </c>
      <c r="Q26" s="7">
        <f>IF($W26="","",IF(INDEX('Per Invoice'!Q$2:Q$801,$W26)="","",INDEX('Per Invoice'!Q$2:Q$801,$W26)))</f>
        <v/>
      </c>
      <c r="R26" s="7">
        <f>IF($W26="","",IF(INDEX('Per Invoice'!R$2:R$801,$W26)="","",INDEX('Per Invoice'!R$2:R$801,$W26)))</f>
        <v/>
      </c>
      <c r="S26" s="7">
        <f>IF($W26="","",IF(INDEX('Per Invoice'!S$2:S$801,$W26)="","",INDEX('Per Invoice'!S$2:S$801,$W26)))</f>
        <v/>
      </c>
      <c r="T26" s="7">
        <f>IF($W26="","",IF(INDEX('Per Invoice'!T$2:T$801,$W26)="","",INDEX('Per Invoice'!T$2:T$801,$W26)))</f>
        <v/>
      </c>
      <c r="U26" s="7">
        <f>IF($W26="","",IF(INDEX('Per Invoice'!U$2:U$801,$W26)="","",INDEX('Per Invoice'!U$2:U$801,$W26)))</f>
        <v/>
      </c>
      <c r="V26" s="7">
        <f>IF($W26="","",IF(INDEX('Per Invoice'!V$2:V$801,$W26)="","",INDEX('Per Invoice'!V$2:V$801,$W26)))</f>
        <v/>
      </c>
      <c r="W26" s="16">
        <f>IFERROR(MATCH(Settings!$C$32&amp;"|"&amp;ROWS($W$2:$W26),'Per Invoice'!$X$2:$X$801,0),"")</f>
        <v/>
      </c>
    </row>
    <row r="27">
      <c r="A27">
        <f>IF($W27="","",IF(INDEX('Per Invoice'!A$2:A$801,$W27)="","",INDEX('Per Invoice'!A$2:A$801,$W27)))</f>
        <v/>
      </c>
      <c r="B27">
        <f>IF($W27="","",IF(INDEX('Per Invoice'!B$2:B$801,$W27)="","",INDEX('Per Invoice'!B$2:B$801,$W27)))</f>
        <v/>
      </c>
      <c r="C27">
        <f>IF($W27="","",IF(INDEX('Per Invoice'!C$2:C$801,$W27)="","",INDEX('Per Invoice'!C$2:C$801,$W27)))</f>
        <v/>
      </c>
      <c r="D27">
        <f>IF($W27="","",IF(INDEX('Per Invoice'!D$2:D$801,$W27)="","",INDEX('Per Invoice'!D$2:D$801,$W27)))</f>
        <v/>
      </c>
      <c r="E27">
        <f>IF($W27="","",IF(INDEX('Per Invoice'!E$2:E$801,$W27)="","",INDEX('Per Invoice'!E$2:E$801,$W27)))</f>
        <v/>
      </c>
      <c r="F27">
        <f>IF($W27="","",IF(INDEX('Per Invoice'!F$2:F$801,$W27)="","",INDEX('Per Invoice'!F$2:F$801,$W27)))</f>
        <v/>
      </c>
      <c r="G27">
        <f>IF($W27="","",IF(INDEX('Per Invoice'!G$2:G$801,$W27)="","",INDEX('Per Invoice'!G$2:G$801,$W27)))</f>
        <v/>
      </c>
      <c r="H27">
        <f>IF($W27="","",IF(INDEX('Per Invoice'!H$2:H$801,$W27)="","",INDEX('Per Invoice'!H$2:H$801,$W27)))</f>
        <v/>
      </c>
      <c r="I27">
        <f>IF($W27="","",IF(INDEX('Per Invoice'!I$2:I$801,$W27)="","",INDEX('Per Invoice'!I$2:I$801,$W27)))</f>
        <v/>
      </c>
      <c r="J27">
        <f>IF($W27="","",IF(INDEX('Per Invoice'!J$2:J$801,$W27)="","",INDEX('Per Invoice'!J$2:J$801,$W27)))</f>
        <v/>
      </c>
      <c r="K27" s="7">
        <f>IF($W27="","",IF(INDEX('Per Invoice'!K$2:K$801,$W27)="","",INDEX('Per Invoice'!K$2:K$801,$W27)))</f>
        <v/>
      </c>
      <c r="L27" s="14">
        <f>IF($W27="","",IF(INDEX('Per Invoice'!L$2:L$801,$W27)="","",INDEX('Per Invoice'!L$2:L$801,$W27)))</f>
        <v/>
      </c>
      <c r="M27">
        <f>IF($W27="","",IF(INDEX('Per Invoice'!M$2:M$801,$W27)="","",INDEX('Per Invoice'!M$2:M$801,$W27)))</f>
        <v/>
      </c>
      <c r="N27" s="7">
        <f>IF($W27="","",IF(INDEX('Per Invoice'!N$2:N$801,$W27)="","",INDEX('Per Invoice'!N$2:N$801,$W27)))</f>
        <v/>
      </c>
      <c r="O27" s="7">
        <f>IF($W27="","",IF(INDEX('Per Invoice'!O$2:O$801,$W27)="","",INDEX('Per Invoice'!O$2:O$801,$W27)))</f>
        <v/>
      </c>
      <c r="P27">
        <f>IF($W27="","",IF(INDEX('Per Invoice'!P$2:P$801,$W27)="","",INDEX('Per Invoice'!P$2:P$801,$W27)))</f>
        <v/>
      </c>
      <c r="Q27" s="7">
        <f>IF($W27="","",IF(INDEX('Per Invoice'!Q$2:Q$801,$W27)="","",INDEX('Per Invoice'!Q$2:Q$801,$W27)))</f>
        <v/>
      </c>
      <c r="R27" s="7">
        <f>IF($W27="","",IF(INDEX('Per Invoice'!R$2:R$801,$W27)="","",INDEX('Per Invoice'!R$2:R$801,$W27)))</f>
        <v/>
      </c>
      <c r="S27" s="7">
        <f>IF($W27="","",IF(INDEX('Per Invoice'!S$2:S$801,$W27)="","",INDEX('Per Invoice'!S$2:S$801,$W27)))</f>
        <v/>
      </c>
      <c r="T27" s="7">
        <f>IF($W27="","",IF(INDEX('Per Invoice'!T$2:T$801,$W27)="","",INDEX('Per Invoice'!T$2:T$801,$W27)))</f>
        <v/>
      </c>
      <c r="U27" s="7">
        <f>IF($W27="","",IF(INDEX('Per Invoice'!U$2:U$801,$W27)="","",INDEX('Per Invoice'!U$2:U$801,$W27)))</f>
        <v/>
      </c>
      <c r="V27" s="7">
        <f>IF($W27="","",IF(INDEX('Per Invoice'!V$2:V$801,$W27)="","",INDEX('Per Invoice'!V$2:V$801,$W27)))</f>
        <v/>
      </c>
      <c r="W27" s="16">
        <f>IFERROR(MATCH(Settings!$C$32&amp;"|"&amp;ROWS($W$2:$W27),'Per Invoice'!$X$2:$X$801,0),"")</f>
        <v/>
      </c>
    </row>
    <row r="28">
      <c r="A28">
        <f>IF($W28="","",IF(INDEX('Per Invoice'!A$2:A$801,$W28)="","",INDEX('Per Invoice'!A$2:A$801,$W28)))</f>
        <v/>
      </c>
      <c r="B28">
        <f>IF($W28="","",IF(INDEX('Per Invoice'!B$2:B$801,$W28)="","",INDEX('Per Invoice'!B$2:B$801,$W28)))</f>
        <v/>
      </c>
      <c r="C28">
        <f>IF($W28="","",IF(INDEX('Per Invoice'!C$2:C$801,$W28)="","",INDEX('Per Invoice'!C$2:C$801,$W28)))</f>
        <v/>
      </c>
      <c r="D28">
        <f>IF($W28="","",IF(INDEX('Per Invoice'!D$2:D$801,$W28)="","",INDEX('Per Invoice'!D$2:D$801,$W28)))</f>
        <v/>
      </c>
      <c r="E28">
        <f>IF($W28="","",IF(INDEX('Per Invoice'!E$2:E$801,$W28)="","",INDEX('Per Invoice'!E$2:E$801,$W28)))</f>
        <v/>
      </c>
      <c r="F28">
        <f>IF($W28="","",IF(INDEX('Per Invoice'!F$2:F$801,$W28)="","",INDEX('Per Invoice'!F$2:F$801,$W28)))</f>
        <v/>
      </c>
      <c r="G28">
        <f>IF($W28="","",IF(INDEX('Per Invoice'!G$2:G$801,$W28)="","",INDEX('Per Invoice'!G$2:G$801,$W28)))</f>
        <v/>
      </c>
      <c r="H28">
        <f>IF($W28="","",IF(INDEX('Per Invoice'!H$2:H$801,$W28)="","",INDEX('Per Invoice'!H$2:H$801,$W28)))</f>
        <v/>
      </c>
      <c r="I28">
        <f>IF($W28="","",IF(INDEX('Per Invoice'!I$2:I$801,$W28)="","",INDEX('Per Invoice'!I$2:I$801,$W28)))</f>
        <v/>
      </c>
      <c r="J28">
        <f>IF($W28="","",IF(INDEX('Per Invoice'!J$2:J$801,$W28)="","",INDEX('Per Invoice'!J$2:J$801,$W28)))</f>
        <v/>
      </c>
      <c r="K28" s="7">
        <f>IF($W28="","",IF(INDEX('Per Invoice'!K$2:K$801,$W28)="","",INDEX('Per Invoice'!K$2:K$801,$W28)))</f>
        <v/>
      </c>
      <c r="L28" s="14">
        <f>IF($W28="","",IF(INDEX('Per Invoice'!L$2:L$801,$W28)="","",INDEX('Per Invoice'!L$2:L$801,$W28)))</f>
        <v/>
      </c>
      <c r="M28">
        <f>IF($W28="","",IF(INDEX('Per Invoice'!M$2:M$801,$W28)="","",INDEX('Per Invoice'!M$2:M$801,$W28)))</f>
        <v/>
      </c>
      <c r="N28" s="7">
        <f>IF($W28="","",IF(INDEX('Per Invoice'!N$2:N$801,$W28)="","",INDEX('Per Invoice'!N$2:N$801,$W28)))</f>
        <v/>
      </c>
      <c r="O28" s="7">
        <f>IF($W28="","",IF(INDEX('Per Invoice'!O$2:O$801,$W28)="","",INDEX('Per Invoice'!O$2:O$801,$W28)))</f>
        <v/>
      </c>
      <c r="P28">
        <f>IF($W28="","",IF(INDEX('Per Invoice'!P$2:P$801,$W28)="","",INDEX('Per Invoice'!P$2:P$801,$W28)))</f>
        <v/>
      </c>
      <c r="Q28" s="7">
        <f>IF($W28="","",IF(INDEX('Per Invoice'!Q$2:Q$801,$W28)="","",INDEX('Per Invoice'!Q$2:Q$801,$W28)))</f>
        <v/>
      </c>
      <c r="R28" s="7">
        <f>IF($W28="","",IF(INDEX('Per Invoice'!R$2:R$801,$W28)="","",INDEX('Per Invoice'!R$2:R$801,$W28)))</f>
        <v/>
      </c>
      <c r="S28" s="7">
        <f>IF($W28="","",IF(INDEX('Per Invoice'!S$2:S$801,$W28)="","",INDEX('Per Invoice'!S$2:S$801,$W28)))</f>
        <v/>
      </c>
      <c r="T28" s="7">
        <f>IF($W28="","",IF(INDEX('Per Invoice'!T$2:T$801,$W28)="","",INDEX('Per Invoice'!T$2:T$801,$W28)))</f>
        <v/>
      </c>
      <c r="U28" s="7">
        <f>IF($W28="","",IF(INDEX('Per Invoice'!U$2:U$801,$W28)="","",INDEX('Per Invoice'!U$2:U$801,$W28)))</f>
        <v/>
      </c>
      <c r="V28" s="7">
        <f>IF($W28="","",IF(INDEX('Per Invoice'!V$2:V$801,$W28)="","",INDEX('Per Invoice'!V$2:V$801,$W28)))</f>
        <v/>
      </c>
      <c r="W28" s="16">
        <f>IFERROR(MATCH(Settings!$C$32&amp;"|"&amp;ROWS($W$2:$W28),'Per Invoice'!$X$2:$X$801,0),"")</f>
        <v/>
      </c>
    </row>
    <row r="29">
      <c r="A29">
        <f>IF($W29="","",IF(INDEX('Per Invoice'!A$2:A$801,$W29)="","",INDEX('Per Invoice'!A$2:A$801,$W29)))</f>
        <v/>
      </c>
      <c r="B29">
        <f>IF($W29="","",IF(INDEX('Per Invoice'!B$2:B$801,$W29)="","",INDEX('Per Invoice'!B$2:B$801,$W29)))</f>
        <v/>
      </c>
      <c r="C29">
        <f>IF($W29="","",IF(INDEX('Per Invoice'!C$2:C$801,$W29)="","",INDEX('Per Invoice'!C$2:C$801,$W29)))</f>
        <v/>
      </c>
      <c r="D29">
        <f>IF($W29="","",IF(INDEX('Per Invoice'!D$2:D$801,$W29)="","",INDEX('Per Invoice'!D$2:D$801,$W29)))</f>
        <v/>
      </c>
      <c r="E29">
        <f>IF($W29="","",IF(INDEX('Per Invoice'!E$2:E$801,$W29)="","",INDEX('Per Invoice'!E$2:E$801,$W29)))</f>
        <v/>
      </c>
      <c r="F29">
        <f>IF($W29="","",IF(INDEX('Per Invoice'!F$2:F$801,$W29)="","",INDEX('Per Invoice'!F$2:F$801,$W29)))</f>
        <v/>
      </c>
      <c r="G29">
        <f>IF($W29="","",IF(INDEX('Per Invoice'!G$2:G$801,$W29)="","",INDEX('Per Invoice'!G$2:G$801,$W29)))</f>
        <v/>
      </c>
      <c r="H29">
        <f>IF($W29="","",IF(INDEX('Per Invoice'!H$2:H$801,$W29)="","",INDEX('Per Invoice'!H$2:H$801,$W29)))</f>
        <v/>
      </c>
      <c r="I29">
        <f>IF($W29="","",IF(INDEX('Per Invoice'!I$2:I$801,$W29)="","",INDEX('Per Invoice'!I$2:I$801,$W29)))</f>
        <v/>
      </c>
      <c r="J29">
        <f>IF($W29="","",IF(INDEX('Per Invoice'!J$2:J$801,$W29)="","",INDEX('Per Invoice'!J$2:J$801,$W29)))</f>
        <v/>
      </c>
      <c r="K29" s="7">
        <f>IF($W29="","",IF(INDEX('Per Invoice'!K$2:K$801,$W29)="","",INDEX('Per Invoice'!K$2:K$801,$W29)))</f>
        <v/>
      </c>
      <c r="L29" s="14">
        <f>IF($W29="","",IF(INDEX('Per Invoice'!L$2:L$801,$W29)="","",INDEX('Per Invoice'!L$2:L$801,$W29)))</f>
        <v/>
      </c>
      <c r="M29">
        <f>IF($W29="","",IF(INDEX('Per Invoice'!M$2:M$801,$W29)="","",INDEX('Per Invoice'!M$2:M$801,$W29)))</f>
        <v/>
      </c>
      <c r="N29" s="7">
        <f>IF($W29="","",IF(INDEX('Per Invoice'!N$2:N$801,$W29)="","",INDEX('Per Invoice'!N$2:N$801,$W29)))</f>
        <v/>
      </c>
      <c r="O29" s="7">
        <f>IF($W29="","",IF(INDEX('Per Invoice'!O$2:O$801,$W29)="","",INDEX('Per Invoice'!O$2:O$801,$W29)))</f>
        <v/>
      </c>
      <c r="P29">
        <f>IF($W29="","",IF(INDEX('Per Invoice'!P$2:P$801,$W29)="","",INDEX('Per Invoice'!P$2:P$801,$W29)))</f>
        <v/>
      </c>
      <c r="Q29" s="7">
        <f>IF($W29="","",IF(INDEX('Per Invoice'!Q$2:Q$801,$W29)="","",INDEX('Per Invoice'!Q$2:Q$801,$W29)))</f>
        <v/>
      </c>
      <c r="R29" s="7">
        <f>IF($W29="","",IF(INDEX('Per Invoice'!R$2:R$801,$W29)="","",INDEX('Per Invoice'!R$2:R$801,$W29)))</f>
        <v/>
      </c>
      <c r="S29" s="7">
        <f>IF($W29="","",IF(INDEX('Per Invoice'!S$2:S$801,$W29)="","",INDEX('Per Invoice'!S$2:S$801,$W29)))</f>
        <v/>
      </c>
      <c r="T29" s="7">
        <f>IF($W29="","",IF(INDEX('Per Invoice'!T$2:T$801,$W29)="","",INDEX('Per Invoice'!T$2:T$801,$W29)))</f>
        <v/>
      </c>
      <c r="U29" s="7">
        <f>IF($W29="","",IF(INDEX('Per Invoice'!U$2:U$801,$W29)="","",INDEX('Per Invoice'!U$2:U$801,$W29)))</f>
        <v/>
      </c>
      <c r="V29" s="7">
        <f>IF($W29="","",IF(INDEX('Per Invoice'!V$2:V$801,$W29)="","",INDEX('Per Invoice'!V$2:V$801,$W29)))</f>
        <v/>
      </c>
      <c r="W29" s="16">
        <f>IFERROR(MATCH(Settings!$C$32&amp;"|"&amp;ROWS($W$2:$W29),'Per Invoice'!$X$2:$X$801,0),"")</f>
        <v/>
      </c>
    </row>
    <row r="30">
      <c r="A30">
        <f>IF($W30="","",IF(INDEX('Per Invoice'!A$2:A$801,$W30)="","",INDEX('Per Invoice'!A$2:A$801,$W30)))</f>
        <v/>
      </c>
      <c r="B30">
        <f>IF($W30="","",IF(INDEX('Per Invoice'!B$2:B$801,$W30)="","",INDEX('Per Invoice'!B$2:B$801,$W30)))</f>
        <v/>
      </c>
      <c r="C30">
        <f>IF($W30="","",IF(INDEX('Per Invoice'!C$2:C$801,$W30)="","",INDEX('Per Invoice'!C$2:C$801,$W30)))</f>
        <v/>
      </c>
      <c r="D30">
        <f>IF($W30="","",IF(INDEX('Per Invoice'!D$2:D$801,$W30)="","",INDEX('Per Invoice'!D$2:D$801,$W30)))</f>
        <v/>
      </c>
      <c r="E30">
        <f>IF($W30="","",IF(INDEX('Per Invoice'!E$2:E$801,$W30)="","",INDEX('Per Invoice'!E$2:E$801,$W30)))</f>
        <v/>
      </c>
      <c r="F30">
        <f>IF($W30="","",IF(INDEX('Per Invoice'!F$2:F$801,$W30)="","",INDEX('Per Invoice'!F$2:F$801,$W30)))</f>
        <v/>
      </c>
      <c r="G30">
        <f>IF($W30="","",IF(INDEX('Per Invoice'!G$2:G$801,$W30)="","",INDEX('Per Invoice'!G$2:G$801,$W30)))</f>
        <v/>
      </c>
      <c r="H30">
        <f>IF($W30="","",IF(INDEX('Per Invoice'!H$2:H$801,$W30)="","",INDEX('Per Invoice'!H$2:H$801,$W30)))</f>
        <v/>
      </c>
      <c r="I30">
        <f>IF($W30="","",IF(INDEX('Per Invoice'!I$2:I$801,$W30)="","",INDEX('Per Invoice'!I$2:I$801,$W30)))</f>
        <v/>
      </c>
      <c r="J30">
        <f>IF($W30="","",IF(INDEX('Per Invoice'!J$2:J$801,$W30)="","",INDEX('Per Invoice'!J$2:J$801,$W30)))</f>
        <v/>
      </c>
      <c r="K30" s="7">
        <f>IF($W30="","",IF(INDEX('Per Invoice'!K$2:K$801,$W30)="","",INDEX('Per Invoice'!K$2:K$801,$W30)))</f>
        <v/>
      </c>
      <c r="L30" s="14">
        <f>IF($W30="","",IF(INDEX('Per Invoice'!L$2:L$801,$W30)="","",INDEX('Per Invoice'!L$2:L$801,$W30)))</f>
        <v/>
      </c>
      <c r="M30">
        <f>IF($W30="","",IF(INDEX('Per Invoice'!M$2:M$801,$W30)="","",INDEX('Per Invoice'!M$2:M$801,$W30)))</f>
        <v/>
      </c>
      <c r="N30" s="7">
        <f>IF($W30="","",IF(INDEX('Per Invoice'!N$2:N$801,$W30)="","",INDEX('Per Invoice'!N$2:N$801,$W30)))</f>
        <v/>
      </c>
      <c r="O30" s="7">
        <f>IF($W30="","",IF(INDEX('Per Invoice'!O$2:O$801,$W30)="","",INDEX('Per Invoice'!O$2:O$801,$W30)))</f>
        <v/>
      </c>
      <c r="P30">
        <f>IF($W30="","",IF(INDEX('Per Invoice'!P$2:P$801,$W30)="","",INDEX('Per Invoice'!P$2:P$801,$W30)))</f>
        <v/>
      </c>
      <c r="Q30" s="7">
        <f>IF($W30="","",IF(INDEX('Per Invoice'!Q$2:Q$801,$W30)="","",INDEX('Per Invoice'!Q$2:Q$801,$W30)))</f>
        <v/>
      </c>
      <c r="R30" s="7">
        <f>IF($W30="","",IF(INDEX('Per Invoice'!R$2:R$801,$W30)="","",INDEX('Per Invoice'!R$2:R$801,$W30)))</f>
        <v/>
      </c>
      <c r="S30" s="7">
        <f>IF($W30="","",IF(INDEX('Per Invoice'!S$2:S$801,$W30)="","",INDEX('Per Invoice'!S$2:S$801,$W30)))</f>
        <v/>
      </c>
      <c r="T30" s="7">
        <f>IF($W30="","",IF(INDEX('Per Invoice'!T$2:T$801,$W30)="","",INDEX('Per Invoice'!T$2:T$801,$W30)))</f>
        <v/>
      </c>
      <c r="U30" s="7">
        <f>IF($W30="","",IF(INDEX('Per Invoice'!U$2:U$801,$W30)="","",INDEX('Per Invoice'!U$2:U$801,$W30)))</f>
        <v/>
      </c>
      <c r="V30" s="7">
        <f>IF($W30="","",IF(INDEX('Per Invoice'!V$2:V$801,$W30)="","",INDEX('Per Invoice'!V$2:V$801,$W30)))</f>
        <v/>
      </c>
      <c r="W30" s="16">
        <f>IFERROR(MATCH(Settings!$C$32&amp;"|"&amp;ROWS($W$2:$W30),'Per Invoice'!$X$2:$X$801,0),"")</f>
        <v/>
      </c>
    </row>
    <row r="31">
      <c r="A31">
        <f>IF($W31="","",IF(INDEX('Per Invoice'!A$2:A$801,$W31)="","",INDEX('Per Invoice'!A$2:A$801,$W31)))</f>
        <v/>
      </c>
      <c r="B31">
        <f>IF($W31="","",IF(INDEX('Per Invoice'!B$2:B$801,$W31)="","",INDEX('Per Invoice'!B$2:B$801,$W31)))</f>
        <v/>
      </c>
      <c r="C31">
        <f>IF($W31="","",IF(INDEX('Per Invoice'!C$2:C$801,$W31)="","",INDEX('Per Invoice'!C$2:C$801,$W31)))</f>
        <v/>
      </c>
      <c r="D31">
        <f>IF($W31="","",IF(INDEX('Per Invoice'!D$2:D$801,$W31)="","",INDEX('Per Invoice'!D$2:D$801,$W31)))</f>
        <v/>
      </c>
      <c r="E31">
        <f>IF($W31="","",IF(INDEX('Per Invoice'!E$2:E$801,$W31)="","",INDEX('Per Invoice'!E$2:E$801,$W31)))</f>
        <v/>
      </c>
      <c r="F31">
        <f>IF($W31="","",IF(INDEX('Per Invoice'!F$2:F$801,$W31)="","",INDEX('Per Invoice'!F$2:F$801,$W31)))</f>
        <v/>
      </c>
      <c r="G31">
        <f>IF($W31="","",IF(INDEX('Per Invoice'!G$2:G$801,$W31)="","",INDEX('Per Invoice'!G$2:G$801,$W31)))</f>
        <v/>
      </c>
      <c r="H31">
        <f>IF($W31="","",IF(INDEX('Per Invoice'!H$2:H$801,$W31)="","",INDEX('Per Invoice'!H$2:H$801,$W31)))</f>
        <v/>
      </c>
      <c r="I31">
        <f>IF($W31="","",IF(INDEX('Per Invoice'!I$2:I$801,$W31)="","",INDEX('Per Invoice'!I$2:I$801,$W31)))</f>
        <v/>
      </c>
      <c r="J31">
        <f>IF($W31="","",IF(INDEX('Per Invoice'!J$2:J$801,$W31)="","",INDEX('Per Invoice'!J$2:J$801,$W31)))</f>
        <v/>
      </c>
      <c r="K31" s="7">
        <f>IF($W31="","",IF(INDEX('Per Invoice'!K$2:K$801,$W31)="","",INDEX('Per Invoice'!K$2:K$801,$W31)))</f>
        <v/>
      </c>
      <c r="L31" s="14">
        <f>IF($W31="","",IF(INDEX('Per Invoice'!L$2:L$801,$W31)="","",INDEX('Per Invoice'!L$2:L$801,$W31)))</f>
        <v/>
      </c>
      <c r="M31">
        <f>IF($W31="","",IF(INDEX('Per Invoice'!M$2:M$801,$W31)="","",INDEX('Per Invoice'!M$2:M$801,$W31)))</f>
        <v/>
      </c>
      <c r="N31" s="7">
        <f>IF($W31="","",IF(INDEX('Per Invoice'!N$2:N$801,$W31)="","",INDEX('Per Invoice'!N$2:N$801,$W31)))</f>
        <v/>
      </c>
      <c r="O31" s="7">
        <f>IF($W31="","",IF(INDEX('Per Invoice'!O$2:O$801,$W31)="","",INDEX('Per Invoice'!O$2:O$801,$W31)))</f>
        <v/>
      </c>
      <c r="P31">
        <f>IF($W31="","",IF(INDEX('Per Invoice'!P$2:P$801,$W31)="","",INDEX('Per Invoice'!P$2:P$801,$W31)))</f>
        <v/>
      </c>
      <c r="Q31" s="7">
        <f>IF($W31="","",IF(INDEX('Per Invoice'!Q$2:Q$801,$W31)="","",INDEX('Per Invoice'!Q$2:Q$801,$W31)))</f>
        <v/>
      </c>
      <c r="R31" s="7">
        <f>IF($W31="","",IF(INDEX('Per Invoice'!R$2:R$801,$W31)="","",INDEX('Per Invoice'!R$2:R$801,$W31)))</f>
        <v/>
      </c>
      <c r="S31" s="7">
        <f>IF($W31="","",IF(INDEX('Per Invoice'!S$2:S$801,$W31)="","",INDEX('Per Invoice'!S$2:S$801,$W31)))</f>
        <v/>
      </c>
      <c r="T31" s="7">
        <f>IF($W31="","",IF(INDEX('Per Invoice'!T$2:T$801,$W31)="","",INDEX('Per Invoice'!T$2:T$801,$W31)))</f>
        <v/>
      </c>
      <c r="U31" s="7">
        <f>IF($W31="","",IF(INDEX('Per Invoice'!U$2:U$801,$W31)="","",INDEX('Per Invoice'!U$2:U$801,$W31)))</f>
        <v/>
      </c>
      <c r="V31" s="7">
        <f>IF($W31="","",IF(INDEX('Per Invoice'!V$2:V$801,$W31)="","",INDEX('Per Invoice'!V$2:V$801,$W31)))</f>
        <v/>
      </c>
      <c r="W31" s="16">
        <f>IFERROR(MATCH(Settings!$C$32&amp;"|"&amp;ROWS($W$2:$W31),'Per Invoice'!$X$2:$X$801,0),"")</f>
        <v/>
      </c>
    </row>
    <row r="32">
      <c r="A32">
        <f>IF($W32="","",IF(INDEX('Per Invoice'!A$2:A$801,$W32)="","",INDEX('Per Invoice'!A$2:A$801,$W32)))</f>
        <v/>
      </c>
      <c r="B32">
        <f>IF($W32="","",IF(INDEX('Per Invoice'!B$2:B$801,$W32)="","",INDEX('Per Invoice'!B$2:B$801,$W32)))</f>
        <v/>
      </c>
      <c r="C32">
        <f>IF($W32="","",IF(INDEX('Per Invoice'!C$2:C$801,$W32)="","",INDEX('Per Invoice'!C$2:C$801,$W32)))</f>
        <v/>
      </c>
      <c r="D32">
        <f>IF($W32="","",IF(INDEX('Per Invoice'!D$2:D$801,$W32)="","",INDEX('Per Invoice'!D$2:D$801,$W32)))</f>
        <v/>
      </c>
      <c r="E32">
        <f>IF($W32="","",IF(INDEX('Per Invoice'!E$2:E$801,$W32)="","",INDEX('Per Invoice'!E$2:E$801,$W32)))</f>
        <v/>
      </c>
      <c r="F32">
        <f>IF($W32="","",IF(INDEX('Per Invoice'!F$2:F$801,$W32)="","",INDEX('Per Invoice'!F$2:F$801,$W32)))</f>
        <v/>
      </c>
      <c r="G32">
        <f>IF($W32="","",IF(INDEX('Per Invoice'!G$2:G$801,$W32)="","",INDEX('Per Invoice'!G$2:G$801,$W32)))</f>
        <v/>
      </c>
      <c r="H32">
        <f>IF($W32="","",IF(INDEX('Per Invoice'!H$2:H$801,$W32)="","",INDEX('Per Invoice'!H$2:H$801,$W32)))</f>
        <v/>
      </c>
      <c r="I32">
        <f>IF($W32="","",IF(INDEX('Per Invoice'!I$2:I$801,$W32)="","",INDEX('Per Invoice'!I$2:I$801,$W32)))</f>
        <v/>
      </c>
      <c r="J32">
        <f>IF($W32="","",IF(INDEX('Per Invoice'!J$2:J$801,$W32)="","",INDEX('Per Invoice'!J$2:J$801,$W32)))</f>
        <v/>
      </c>
      <c r="K32" s="7">
        <f>IF($W32="","",IF(INDEX('Per Invoice'!K$2:K$801,$W32)="","",INDEX('Per Invoice'!K$2:K$801,$W32)))</f>
        <v/>
      </c>
      <c r="L32" s="14">
        <f>IF($W32="","",IF(INDEX('Per Invoice'!L$2:L$801,$W32)="","",INDEX('Per Invoice'!L$2:L$801,$W32)))</f>
        <v/>
      </c>
      <c r="M32">
        <f>IF($W32="","",IF(INDEX('Per Invoice'!M$2:M$801,$W32)="","",INDEX('Per Invoice'!M$2:M$801,$W32)))</f>
        <v/>
      </c>
      <c r="N32" s="7">
        <f>IF($W32="","",IF(INDEX('Per Invoice'!N$2:N$801,$W32)="","",INDEX('Per Invoice'!N$2:N$801,$W32)))</f>
        <v/>
      </c>
      <c r="O32" s="7">
        <f>IF($W32="","",IF(INDEX('Per Invoice'!O$2:O$801,$W32)="","",INDEX('Per Invoice'!O$2:O$801,$W32)))</f>
        <v/>
      </c>
      <c r="P32">
        <f>IF($W32="","",IF(INDEX('Per Invoice'!P$2:P$801,$W32)="","",INDEX('Per Invoice'!P$2:P$801,$W32)))</f>
        <v/>
      </c>
      <c r="Q32" s="7">
        <f>IF($W32="","",IF(INDEX('Per Invoice'!Q$2:Q$801,$W32)="","",INDEX('Per Invoice'!Q$2:Q$801,$W32)))</f>
        <v/>
      </c>
      <c r="R32" s="7">
        <f>IF($W32="","",IF(INDEX('Per Invoice'!R$2:R$801,$W32)="","",INDEX('Per Invoice'!R$2:R$801,$W32)))</f>
        <v/>
      </c>
      <c r="S32" s="7">
        <f>IF($W32="","",IF(INDEX('Per Invoice'!S$2:S$801,$W32)="","",INDEX('Per Invoice'!S$2:S$801,$W32)))</f>
        <v/>
      </c>
      <c r="T32" s="7">
        <f>IF($W32="","",IF(INDEX('Per Invoice'!T$2:T$801,$W32)="","",INDEX('Per Invoice'!T$2:T$801,$W32)))</f>
        <v/>
      </c>
      <c r="U32" s="7">
        <f>IF($W32="","",IF(INDEX('Per Invoice'!U$2:U$801,$W32)="","",INDEX('Per Invoice'!U$2:U$801,$W32)))</f>
        <v/>
      </c>
      <c r="V32" s="7">
        <f>IF($W32="","",IF(INDEX('Per Invoice'!V$2:V$801,$W32)="","",INDEX('Per Invoice'!V$2:V$801,$W32)))</f>
        <v/>
      </c>
      <c r="W32" s="16">
        <f>IFERROR(MATCH(Settings!$C$32&amp;"|"&amp;ROWS($W$2:$W32),'Per Invoice'!$X$2:$X$801,0),"")</f>
        <v/>
      </c>
    </row>
    <row r="33">
      <c r="A33">
        <f>IF($W33="","",IF(INDEX('Per Invoice'!A$2:A$801,$W33)="","",INDEX('Per Invoice'!A$2:A$801,$W33)))</f>
        <v/>
      </c>
      <c r="B33">
        <f>IF($W33="","",IF(INDEX('Per Invoice'!B$2:B$801,$W33)="","",INDEX('Per Invoice'!B$2:B$801,$W33)))</f>
        <v/>
      </c>
      <c r="C33">
        <f>IF($W33="","",IF(INDEX('Per Invoice'!C$2:C$801,$W33)="","",INDEX('Per Invoice'!C$2:C$801,$W33)))</f>
        <v/>
      </c>
      <c r="D33">
        <f>IF($W33="","",IF(INDEX('Per Invoice'!D$2:D$801,$W33)="","",INDEX('Per Invoice'!D$2:D$801,$W33)))</f>
        <v/>
      </c>
      <c r="E33">
        <f>IF($W33="","",IF(INDEX('Per Invoice'!E$2:E$801,$W33)="","",INDEX('Per Invoice'!E$2:E$801,$W33)))</f>
        <v/>
      </c>
      <c r="F33">
        <f>IF($W33="","",IF(INDEX('Per Invoice'!F$2:F$801,$W33)="","",INDEX('Per Invoice'!F$2:F$801,$W33)))</f>
        <v/>
      </c>
      <c r="G33">
        <f>IF($W33="","",IF(INDEX('Per Invoice'!G$2:G$801,$W33)="","",INDEX('Per Invoice'!G$2:G$801,$W33)))</f>
        <v/>
      </c>
      <c r="H33">
        <f>IF($W33="","",IF(INDEX('Per Invoice'!H$2:H$801,$W33)="","",INDEX('Per Invoice'!H$2:H$801,$W33)))</f>
        <v/>
      </c>
      <c r="I33">
        <f>IF($W33="","",IF(INDEX('Per Invoice'!I$2:I$801,$W33)="","",INDEX('Per Invoice'!I$2:I$801,$W33)))</f>
        <v/>
      </c>
      <c r="J33">
        <f>IF($W33="","",IF(INDEX('Per Invoice'!J$2:J$801,$W33)="","",INDEX('Per Invoice'!J$2:J$801,$W33)))</f>
        <v/>
      </c>
      <c r="K33" s="7">
        <f>IF($W33="","",IF(INDEX('Per Invoice'!K$2:K$801,$W33)="","",INDEX('Per Invoice'!K$2:K$801,$W33)))</f>
        <v/>
      </c>
      <c r="L33" s="14">
        <f>IF($W33="","",IF(INDEX('Per Invoice'!L$2:L$801,$W33)="","",INDEX('Per Invoice'!L$2:L$801,$W33)))</f>
        <v/>
      </c>
      <c r="M33">
        <f>IF($W33="","",IF(INDEX('Per Invoice'!M$2:M$801,$W33)="","",INDEX('Per Invoice'!M$2:M$801,$W33)))</f>
        <v/>
      </c>
      <c r="N33" s="7">
        <f>IF($W33="","",IF(INDEX('Per Invoice'!N$2:N$801,$W33)="","",INDEX('Per Invoice'!N$2:N$801,$W33)))</f>
        <v/>
      </c>
      <c r="O33" s="7">
        <f>IF($W33="","",IF(INDEX('Per Invoice'!O$2:O$801,$W33)="","",INDEX('Per Invoice'!O$2:O$801,$W33)))</f>
        <v/>
      </c>
      <c r="P33">
        <f>IF($W33="","",IF(INDEX('Per Invoice'!P$2:P$801,$W33)="","",INDEX('Per Invoice'!P$2:P$801,$W33)))</f>
        <v/>
      </c>
      <c r="Q33" s="7">
        <f>IF($W33="","",IF(INDEX('Per Invoice'!Q$2:Q$801,$W33)="","",INDEX('Per Invoice'!Q$2:Q$801,$W33)))</f>
        <v/>
      </c>
      <c r="R33" s="7">
        <f>IF($W33="","",IF(INDEX('Per Invoice'!R$2:R$801,$W33)="","",INDEX('Per Invoice'!R$2:R$801,$W33)))</f>
        <v/>
      </c>
      <c r="S33" s="7">
        <f>IF($W33="","",IF(INDEX('Per Invoice'!S$2:S$801,$W33)="","",INDEX('Per Invoice'!S$2:S$801,$W33)))</f>
        <v/>
      </c>
      <c r="T33" s="7">
        <f>IF($W33="","",IF(INDEX('Per Invoice'!T$2:T$801,$W33)="","",INDEX('Per Invoice'!T$2:T$801,$W33)))</f>
        <v/>
      </c>
      <c r="U33" s="7">
        <f>IF($W33="","",IF(INDEX('Per Invoice'!U$2:U$801,$W33)="","",INDEX('Per Invoice'!U$2:U$801,$W33)))</f>
        <v/>
      </c>
      <c r="V33" s="7">
        <f>IF($W33="","",IF(INDEX('Per Invoice'!V$2:V$801,$W33)="","",INDEX('Per Invoice'!V$2:V$801,$W33)))</f>
        <v/>
      </c>
      <c r="W33" s="16">
        <f>IFERROR(MATCH(Settings!$C$32&amp;"|"&amp;ROWS($W$2:$W33),'Per Invoice'!$X$2:$X$801,0),"")</f>
        <v/>
      </c>
    </row>
    <row r="34">
      <c r="A34">
        <f>IF($W34="","",IF(INDEX('Per Invoice'!A$2:A$801,$W34)="","",INDEX('Per Invoice'!A$2:A$801,$W34)))</f>
        <v/>
      </c>
      <c r="B34">
        <f>IF($W34="","",IF(INDEX('Per Invoice'!B$2:B$801,$W34)="","",INDEX('Per Invoice'!B$2:B$801,$W34)))</f>
        <v/>
      </c>
      <c r="C34">
        <f>IF($W34="","",IF(INDEX('Per Invoice'!C$2:C$801,$W34)="","",INDEX('Per Invoice'!C$2:C$801,$W34)))</f>
        <v/>
      </c>
      <c r="D34">
        <f>IF($W34="","",IF(INDEX('Per Invoice'!D$2:D$801,$W34)="","",INDEX('Per Invoice'!D$2:D$801,$W34)))</f>
        <v/>
      </c>
      <c r="E34">
        <f>IF($W34="","",IF(INDEX('Per Invoice'!E$2:E$801,$W34)="","",INDEX('Per Invoice'!E$2:E$801,$W34)))</f>
        <v/>
      </c>
      <c r="F34">
        <f>IF($W34="","",IF(INDEX('Per Invoice'!F$2:F$801,$W34)="","",INDEX('Per Invoice'!F$2:F$801,$W34)))</f>
        <v/>
      </c>
      <c r="G34">
        <f>IF($W34="","",IF(INDEX('Per Invoice'!G$2:G$801,$W34)="","",INDEX('Per Invoice'!G$2:G$801,$W34)))</f>
        <v/>
      </c>
      <c r="H34">
        <f>IF($W34="","",IF(INDEX('Per Invoice'!H$2:H$801,$W34)="","",INDEX('Per Invoice'!H$2:H$801,$W34)))</f>
        <v/>
      </c>
      <c r="I34">
        <f>IF($W34="","",IF(INDEX('Per Invoice'!I$2:I$801,$W34)="","",INDEX('Per Invoice'!I$2:I$801,$W34)))</f>
        <v/>
      </c>
      <c r="J34">
        <f>IF($W34="","",IF(INDEX('Per Invoice'!J$2:J$801,$W34)="","",INDEX('Per Invoice'!J$2:J$801,$W34)))</f>
        <v/>
      </c>
      <c r="K34" s="7">
        <f>IF($W34="","",IF(INDEX('Per Invoice'!K$2:K$801,$W34)="","",INDEX('Per Invoice'!K$2:K$801,$W34)))</f>
        <v/>
      </c>
      <c r="L34" s="14">
        <f>IF($W34="","",IF(INDEX('Per Invoice'!L$2:L$801,$W34)="","",INDEX('Per Invoice'!L$2:L$801,$W34)))</f>
        <v/>
      </c>
      <c r="M34">
        <f>IF($W34="","",IF(INDEX('Per Invoice'!M$2:M$801,$W34)="","",INDEX('Per Invoice'!M$2:M$801,$W34)))</f>
        <v/>
      </c>
      <c r="N34" s="7">
        <f>IF($W34="","",IF(INDEX('Per Invoice'!N$2:N$801,$W34)="","",INDEX('Per Invoice'!N$2:N$801,$W34)))</f>
        <v/>
      </c>
      <c r="O34" s="7">
        <f>IF($W34="","",IF(INDEX('Per Invoice'!O$2:O$801,$W34)="","",INDEX('Per Invoice'!O$2:O$801,$W34)))</f>
        <v/>
      </c>
      <c r="P34">
        <f>IF($W34="","",IF(INDEX('Per Invoice'!P$2:P$801,$W34)="","",INDEX('Per Invoice'!P$2:P$801,$W34)))</f>
        <v/>
      </c>
      <c r="Q34" s="7">
        <f>IF($W34="","",IF(INDEX('Per Invoice'!Q$2:Q$801,$W34)="","",INDEX('Per Invoice'!Q$2:Q$801,$W34)))</f>
        <v/>
      </c>
      <c r="R34" s="7">
        <f>IF($W34="","",IF(INDEX('Per Invoice'!R$2:R$801,$W34)="","",INDEX('Per Invoice'!R$2:R$801,$W34)))</f>
        <v/>
      </c>
      <c r="S34" s="7">
        <f>IF($W34="","",IF(INDEX('Per Invoice'!S$2:S$801,$W34)="","",INDEX('Per Invoice'!S$2:S$801,$W34)))</f>
        <v/>
      </c>
      <c r="T34" s="7">
        <f>IF($W34="","",IF(INDEX('Per Invoice'!T$2:T$801,$W34)="","",INDEX('Per Invoice'!T$2:T$801,$W34)))</f>
        <v/>
      </c>
      <c r="U34" s="7">
        <f>IF($W34="","",IF(INDEX('Per Invoice'!U$2:U$801,$W34)="","",INDEX('Per Invoice'!U$2:U$801,$W34)))</f>
        <v/>
      </c>
      <c r="V34" s="7">
        <f>IF($W34="","",IF(INDEX('Per Invoice'!V$2:V$801,$W34)="","",INDEX('Per Invoice'!V$2:V$801,$W34)))</f>
        <v/>
      </c>
      <c r="W34" s="16">
        <f>IFERROR(MATCH(Settings!$C$32&amp;"|"&amp;ROWS($W$2:$W34),'Per Invoice'!$X$2:$X$801,0),"")</f>
        <v/>
      </c>
    </row>
    <row r="35">
      <c r="A35">
        <f>IF($W35="","",IF(INDEX('Per Invoice'!A$2:A$801,$W35)="","",INDEX('Per Invoice'!A$2:A$801,$W35)))</f>
        <v/>
      </c>
      <c r="B35">
        <f>IF($W35="","",IF(INDEX('Per Invoice'!B$2:B$801,$W35)="","",INDEX('Per Invoice'!B$2:B$801,$W35)))</f>
        <v/>
      </c>
      <c r="C35">
        <f>IF($W35="","",IF(INDEX('Per Invoice'!C$2:C$801,$W35)="","",INDEX('Per Invoice'!C$2:C$801,$W35)))</f>
        <v/>
      </c>
      <c r="D35">
        <f>IF($W35="","",IF(INDEX('Per Invoice'!D$2:D$801,$W35)="","",INDEX('Per Invoice'!D$2:D$801,$W35)))</f>
        <v/>
      </c>
      <c r="E35">
        <f>IF($W35="","",IF(INDEX('Per Invoice'!E$2:E$801,$W35)="","",INDEX('Per Invoice'!E$2:E$801,$W35)))</f>
        <v/>
      </c>
      <c r="F35">
        <f>IF($W35="","",IF(INDEX('Per Invoice'!F$2:F$801,$W35)="","",INDEX('Per Invoice'!F$2:F$801,$W35)))</f>
        <v/>
      </c>
      <c r="G35">
        <f>IF($W35="","",IF(INDEX('Per Invoice'!G$2:G$801,$W35)="","",INDEX('Per Invoice'!G$2:G$801,$W35)))</f>
        <v/>
      </c>
      <c r="H35">
        <f>IF($W35="","",IF(INDEX('Per Invoice'!H$2:H$801,$W35)="","",INDEX('Per Invoice'!H$2:H$801,$W35)))</f>
        <v/>
      </c>
      <c r="I35">
        <f>IF($W35="","",IF(INDEX('Per Invoice'!I$2:I$801,$W35)="","",INDEX('Per Invoice'!I$2:I$801,$W35)))</f>
        <v/>
      </c>
      <c r="J35">
        <f>IF($W35="","",IF(INDEX('Per Invoice'!J$2:J$801,$W35)="","",INDEX('Per Invoice'!J$2:J$801,$W35)))</f>
        <v/>
      </c>
      <c r="K35" s="7">
        <f>IF($W35="","",IF(INDEX('Per Invoice'!K$2:K$801,$W35)="","",INDEX('Per Invoice'!K$2:K$801,$W35)))</f>
        <v/>
      </c>
      <c r="L35" s="14">
        <f>IF($W35="","",IF(INDEX('Per Invoice'!L$2:L$801,$W35)="","",INDEX('Per Invoice'!L$2:L$801,$W35)))</f>
        <v/>
      </c>
      <c r="M35">
        <f>IF($W35="","",IF(INDEX('Per Invoice'!M$2:M$801,$W35)="","",INDEX('Per Invoice'!M$2:M$801,$W35)))</f>
        <v/>
      </c>
      <c r="N35" s="7">
        <f>IF($W35="","",IF(INDEX('Per Invoice'!N$2:N$801,$W35)="","",INDEX('Per Invoice'!N$2:N$801,$W35)))</f>
        <v/>
      </c>
      <c r="O35" s="7">
        <f>IF($W35="","",IF(INDEX('Per Invoice'!O$2:O$801,$W35)="","",INDEX('Per Invoice'!O$2:O$801,$W35)))</f>
        <v/>
      </c>
      <c r="P35">
        <f>IF($W35="","",IF(INDEX('Per Invoice'!P$2:P$801,$W35)="","",INDEX('Per Invoice'!P$2:P$801,$W35)))</f>
        <v/>
      </c>
      <c r="Q35" s="7">
        <f>IF($W35="","",IF(INDEX('Per Invoice'!Q$2:Q$801,$W35)="","",INDEX('Per Invoice'!Q$2:Q$801,$W35)))</f>
        <v/>
      </c>
      <c r="R35" s="7">
        <f>IF($W35="","",IF(INDEX('Per Invoice'!R$2:R$801,$W35)="","",INDEX('Per Invoice'!R$2:R$801,$W35)))</f>
        <v/>
      </c>
      <c r="S35" s="7">
        <f>IF($W35="","",IF(INDEX('Per Invoice'!S$2:S$801,$W35)="","",INDEX('Per Invoice'!S$2:S$801,$W35)))</f>
        <v/>
      </c>
      <c r="T35" s="7">
        <f>IF($W35="","",IF(INDEX('Per Invoice'!T$2:T$801,$W35)="","",INDEX('Per Invoice'!T$2:T$801,$W35)))</f>
        <v/>
      </c>
      <c r="U35" s="7">
        <f>IF($W35="","",IF(INDEX('Per Invoice'!U$2:U$801,$W35)="","",INDEX('Per Invoice'!U$2:U$801,$W35)))</f>
        <v/>
      </c>
      <c r="V35" s="7">
        <f>IF($W35="","",IF(INDEX('Per Invoice'!V$2:V$801,$W35)="","",INDEX('Per Invoice'!V$2:V$801,$W35)))</f>
        <v/>
      </c>
      <c r="W35" s="16">
        <f>IFERROR(MATCH(Settings!$C$32&amp;"|"&amp;ROWS($W$2:$W35),'Per Invoice'!$X$2:$X$801,0),"")</f>
        <v/>
      </c>
    </row>
    <row r="36">
      <c r="A36">
        <f>IF($W36="","",IF(INDEX('Per Invoice'!A$2:A$801,$W36)="","",INDEX('Per Invoice'!A$2:A$801,$W36)))</f>
        <v/>
      </c>
      <c r="B36">
        <f>IF($W36="","",IF(INDEX('Per Invoice'!B$2:B$801,$W36)="","",INDEX('Per Invoice'!B$2:B$801,$W36)))</f>
        <v/>
      </c>
      <c r="C36">
        <f>IF($W36="","",IF(INDEX('Per Invoice'!C$2:C$801,$W36)="","",INDEX('Per Invoice'!C$2:C$801,$W36)))</f>
        <v/>
      </c>
      <c r="D36">
        <f>IF($W36="","",IF(INDEX('Per Invoice'!D$2:D$801,$W36)="","",INDEX('Per Invoice'!D$2:D$801,$W36)))</f>
        <v/>
      </c>
      <c r="E36">
        <f>IF($W36="","",IF(INDEX('Per Invoice'!E$2:E$801,$W36)="","",INDEX('Per Invoice'!E$2:E$801,$W36)))</f>
        <v/>
      </c>
      <c r="F36">
        <f>IF($W36="","",IF(INDEX('Per Invoice'!F$2:F$801,$W36)="","",INDEX('Per Invoice'!F$2:F$801,$W36)))</f>
        <v/>
      </c>
      <c r="G36">
        <f>IF($W36="","",IF(INDEX('Per Invoice'!G$2:G$801,$W36)="","",INDEX('Per Invoice'!G$2:G$801,$W36)))</f>
        <v/>
      </c>
      <c r="H36">
        <f>IF($W36="","",IF(INDEX('Per Invoice'!H$2:H$801,$W36)="","",INDEX('Per Invoice'!H$2:H$801,$W36)))</f>
        <v/>
      </c>
      <c r="I36">
        <f>IF($W36="","",IF(INDEX('Per Invoice'!I$2:I$801,$W36)="","",INDEX('Per Invoice'!I$2:I$801,$W36)))</f>
        <v/>
      </c>
      <c r="J36">
        <f>IF($W36="","",IF(INDEX('Per Invoice'!J$2:J$801,$W36)="","",INDEX('Per Invoice'!J$2:J$801,$W36)))</f>
        <v/>
      </c>
      <c r="K36" s="7">
        <f>IF($W36="","",IF(INDEX('Per Invoice'!K$2:K$801,$W36)="","",INDEX('Per Invoice'!K$2:K$801,$W36)))</f>
        <v/>
      </c>
      <c r="L36" s="14">
        <f>IF($W36="","",IF(INDEX('Per Invoice'!L$2:L$801,$W36)="","",INDEX('Per Invoice'!L$2:L$801,$W36)))</f>
        <v/>
      </c>
      <c r="M36">
        <f>IF($W36="","",IF(INDEX('Per Invoice'!M$2:M$801,$W36)="","",INDEX('Per Invoice'!M$2:M$801,$W36)))</f>
        <v/>
      </c>
      <c r="N36" s="7">
        <f>IF($W36="","",IF(INDEX('Per Invoice'!N$2:N$801,$W36)="","",INDEX('Per Invoice'!N$2:N$801,$W36)))</f>
        <v/>
      </c>
      <c r="O36" s="7">
        <f>IF($W36="","",IF(INDEX('Per Invoice'!O$2:O$801,$W36)="","",INDEX('Per Invoice'!O$2:O$801,$W36)))</f>
        <v/>
      </c>
      <c r="P36">
        <f>IF($W36="","",IF(INDEX('Per Invoice'!P$2:P$801,$W36)="","",INDEX('Per Invoice'!P$2:P$801,$W36)))</f>
        <v/>
      </c>
      <c r="Q36" s="7">
        <f>IF($W36="","",IF(INDEX('Per Invoice'!Q$2:Q$801,$W36)="","",INDEX('Per Invoice'!Q$2:Q$801,$W36)))</f>
        <v/>
      </c>
      <c r="R36" s="7">
        <f>IF($W36="","",IF(INDEX('Per Invoice'!R$2:R$801,$W36)="","",INDEX('Per Invoice'!R$2:R$801,$W36)))</f>
        <v/>
      </c>
      <c r="S36" s="7">
        <f>IF($W36="","",IF(INDEX('Per Invoice'!S$2:S$801,$W36)="","",INDEX('Per Invoice'!S$2:S$801,$W36)))</f>
        <v/>
      </c>
      <c r="T36" s="7">
        <f>IF($W36="","",IF(INDEX('Per Invoice'!T$2:T$801,$W36)="","",INDEX('Per Invoice'!T$2:T$801,$W36)))</f>
        <v/>
      </c>
      <c r="U36" s="7">
        <f>IF($W36="","",IF(INDEX('Per Invoice'!U$2:U$801,$W36)="","",INDEX('Per Invoice'!U$2:U$801,$W36)))</f>
        <v/>
      </c>
      <c r="V36" s="7">
        <f>IF($W36="","",IF(INDEX('Per Invoice'!V$2:V$801,$W36)="","",INDEX('Per Invoice'!V$2:V$801,$W36)))</f>
        <v/>
      </c>
      <c r="W36" s="16">
        <f>IFERROR(MATCH(Settings!$C$32&amp;"|"&amp;ROWS($W$2:$W36),'Per Invoice'!$X$2:$X$801,0),"")</f>
        <v/>
      </c>
    </row>
    <row r="37">
      <c r="A37">
        <f>IF($W37="","",IF(INDEX('Per Invoice'!A$2:A$801,$W37)="","",INDEX('Per Invoice'!A$2:A$801,$W37)))</f>
        <v/>
      </c>
      <c r="B37">
        <f>IF($W37="","",IF(INDEX('Per Invoice'!B$2:B$801,$W37)="","",INDEX('Per Invoice'!B$2:B$801,$W37)))</f>
        <v/>
      </c>
      <c r="C37">
        <f>IF($W37="","",IF(INDEX('Per Invoice'!C$2:C$801,$W37)="","",INDEX('Per Invoice'!C$2:C$801,$W37)))</f>
        <v/>
      </c>
      <c r="D37">
        <f>IF($W37="","",IF(INDEX('Per Invoice'!D$2:D$801,$W37)="","",INDEX('Per Invoice'!D$2:D$801,$W37)))</f>
        <v/>
      </c>
      <c r="E37">
        <f>IF($W37="","",IF(INDEX('Per Invoice'!E$2:E$801,$W37)="","",INDEX('Per Invoice'!E$2:E$801,$W37)))</f>
        <v/>
      </c>
      <c r="F37">
        <f>IF($W37="","",IF(INDEX('Per Invoice'!F$2:F$801,$W37)="","",INDEX('Per Invoice'!F$2:F$801,$W37)))</f>
        <v/>
      </c>
      <c r="G37">
        <f>IF($W37="","",IF(INDEX('Per Invoice'!G$2:G$801,$W37)="","",INDEX('Per Invoice'!G$2:G$801,$W37)))</f>
        <v/>
      </c>
      <c r="H37">
        <f>IF($W37="","",IF(INDEX('Per Invoice'!H$2:H$801,$W37)="","",INDEX('Per Invoice'!H$2:H$801,$W37)))</f>
        <v/>
      </c>
      <c r="I37">
        <f>IF($W37="","",IF(INDEX('Per Invoice'!I$2:I$801,$W37)="","",INDEX('Per Invoice'!I$2:I$801,$W37)))</f>
        <v/>
      </c>
      <c r="J37">
        <f>IF($W37="","",IF(INDEX('Per Invoice'!J$2:J$801,$W37)="","",INDEX('Per Invoice'!J$2:J$801,$W37)))</f>
        <v/>
      </c>
      <c r="K37" s="7">
        <f>IF($W37="","",IF(INDEX('Per Invoice'!K$2:K$801,$W37)="","",INDEX('Per Invoice'!K$2:K$801,$W37)))</f>
        <v/>
      </c>
      <c r="L37" s="14">
        <f>IF($W37="","",IF(INDEX('Per Invoice'!L$2:L$801,$W37)="","",INDEX('Per Invoice'!L$2:L$801,$W37)))</f>
        <v/>
      </c>
      <c r="M37">
        <f>IF($W37="","",IF(INDEX('Per Invoice'!M$2:M$801,$W37)="","",INDEX('Per Invoice'!M$2:M$801,$W37)))</f>
        <v/>
      </c>
      <c r="N37" s="7">
        <f>IF($W37="","",IF(INDEX('Per Invoice'!N$2:N$801,$W37)="","",INDEX('Per Invoice'!N$2:N$801,$W37)))</f>
        <v/>
      </c>
      <c r="O37" s="7">
        <f>IF($W37="","",IF(INDEX('Per Invoice'!O$2:O$801,$W37)="","",INDEX('Per Invoice'!O$2:O$801,$W37)))</f>
        <v/>
      </c>
      <c r="P37">
        <f>IF($W37="","",IF(INDEX('Per Invoice'!P$2:P$801,$W37)="","",INDEX('Per Invoice'!P$2:P$801,$W37)))</f>
        <v/>
      </c>
      <c r="Q37" s="7">
        <f>IF($W37="","",IF(INDEX('Per Invoice'!Q$2:Q$801,$W37)="","",INDEX('Per Invoice'!Q$2:Q$801,$W37)))</f>
        <v/>
      </c>
      <c r="R37" s="7">
        <f>IF($W37="","",IF(INDEX('Per Invoice'!R$2:R$801,$W37)="","",INDEX('Per Invoice'!R$2:R$801,$W37)))</f>
        <v/>
      </c>
      <c r="S37" s="7">
        <f>IF($W37="","",IF(INDEX('Per Invoice'!S$2:S$801,$W37)="","",INDEX('Per Invoice'!S$2:S$801,$W37)))</f>
        <v/>
      </c>
      <c r="T37" s="7">
        <f>IF($W37="","",IF(INDEX('Per Invoice'!T$2:T$801,$W37)="","",INDEX('Per Invoice'!T$2:T$801,$W37)))</f>
        <v/>
      </c>
      <c r="U37" s="7">
        <f>IF($W37="","",IF(INDEX('Per Invoice'!U$2:U$801,$W37)="","",INDEX('Per Invoice'!U$2:U$801,$W37)))</f>
        <v/>
      </c>
      <c r="V37" s="7">
        <f>IF($W37="","",IF(INDEX('Per Invoice'!V$2:V$801,$W37)="","",INDEX('Per Invoice'!V$2:V$801,$W37)))</f>
        <v/>
      </c>
      <c r="W37" s="16">
        <f>IFERROR(MATCH(Settings!$C$32&amp;"|"&amp;ROWS($W$2:$W37),'Per Invoice'!$X$2:$X$801,0),"")</f>
        <v/>
      </c>
    </row>
    <row r="38">
      <c r="A38">
        <f>IF($W38="","",IF(INDEX('Per Invoice'!A$2:A$801,$W38)="","",INDEX('Per Invoice'!A$2:A$801,$W38)))</f>
        <v/>
      </c>
      <c r="B38">
        <f>IF($W38="","",IF(INDEX('Per Invoice'!B$2:B$801,$W38)="","",INDEX('Per Invoice'!B$2:B$801,$W38)))</f>
        <v/>
      </c>
      <c r="C38">
        <f>IF($W38="","",IF(INDEX('Per Invoice'!C$2:C$801,$W38)="","",INDEX('Per Invoice'!C$2:C$801,$W38)))</f>
        <v/>
      </c>
      <c r="D38">
        <f>IF($W38="","",IF(INDEX('Per Invoice'!D$2:D$801,$W38)="","",INDEX('Per Invoice'!D$2:D$801,$W38)))</f>
        <v/>
      </c>
      <c r="E38">
        <f>IF($W38="","",IF(INDEX('Per Invoice'!E$2:E$801,$W38)="","",INDEX('Per Invoice'!E$2:E$801,$W38)))</f>
        <v/>
      </c>
      <c r="F38">
        <f>IF($W38="","",IF(INDEX('Per Invoice'!F$2:F$801,$W38)="","",INDEX('Per Invoice'!F$2:F$801,$W38)))</f>
        <v/>
      </c>
      <c r="G38">
        <f>IF($W38="","",IF(INDEX('Per Invoice'!G$2:G$801,$W38)="","",INDEX('Per Invoice'!G$2:G$801,$W38)))</f>
        <v/>
      </c>
      <c r="H38">
        <f>IF($W38="","",IF(INDEX('Per Invoice'!H$2:H$801,$W38)="","",INDEX('Per Invoice'!H$2:H$801,$W38)))</f>
        <v/>
      </c>
      <c r="I38">
        <f>IF($W38="","",IF(INDEX('Per Invoice'!I$2:I$801,$W38)="","",INDEX('Per Invoice'!I$2:I$801,$W38)))</f>
        <v/>
      </c>
      <c r="J38">
        <f>IF($W38="","",IF(INDEX('Per Invoice'!J$2:J$801,$W38)="","",INDEX('Per Invoice'!J$2:J$801,$W38)))</f>
        <v/>
      </c>
      <c r="K38" s="7">
        <f>IF($W38="","",IF(INDEX('Per Invoice'!K$2:K$801,$W38)="","",INDEX('Per Invoice'!K$2:K$801,$W38)))</f>
        <v/>
      </c>
      <c r="L38" s="14">
        <f>IF($W38="","",IF(INDEX('Per Invoice'!L$2:L$801,$W38)="","",INDEX('Per Invoice'!L$2:L$801,$W38)))</f>
        <v/>
      </c>
      <c r="M38">
        <f>IF($W38="","",IF(INDEX('Per Invoice'!M$2:M$801,$W38)="","",INDEX('Per Invoice'!M$2:M$801,$W38)))</f>
        <v/>
      </c>
      <c r="N38" s="7">
        <f>IF($W38="","",IF(INDEX('Per Invoice'!N$2:N$801,$W38)="","",INDEX('Per Invoice'!N$2:N$801,$W38)))</f>
        <v/>
      </c>
      <c r="O38" s="7">
        <f>IF($W38="","",IF(INDEX('Per Invoice'!O$2:O$801,$W38)="","",INDEX('Per Invoice'!O$2:O$801,$W38)))</f>
        <v/>
      </c>
      <c r="P38">
        <f>IF($W38="","",IF(INDEX('Per Invoice'!P$2:P$801,$W38)="","",INDEX('Per Invoice'!P$2:P$801,$W38)))</f>
        <v/>
      </c>
      <c r="Q38" s="7">
        <f>IF($W38="","",IF(INDEX('Per Invoice'!Q$2:Q$801,$W38)="","",INDEX('Per Invoice'!Q$2:Q$801,$W38)))</f>
        <v/>
      </c>
      <c r="R38" s="7">
        <f>IF($W38="","",IF(INDEX('Per Invoice'!R$2:R$801,$W38)="","",INDEX('Per Invoice'!R$2:R$801,$W38)))</f>
        <v/>
      </c>
      <c r="S38" s="7">
        <f>IF($W38="","",IF(INDEX('Per Invoice'!S$2:S$801,$W38)="","",INDEX('Per Invoice'!S$2:S$801,$W38)))</f>
        <v/>
      </c>
      <c r="T38" s="7">
        <f>IF($W38="","",IF(INDEX('Per Invoice'!T$2:T$801,$W38)="","",INDEX('Per Invoice'!T$2:T$801,$W38)))</f>
        <v/>
      </c>
      <c r="U38" s="7">
        <f>IF($W38="","",IF(INDEX('Per Invoice'!U$2:U$801,$W38)="","",INDEX('Per Invoice'!U$2:U$801,$W38)))</f>
        <v/>
      </c>
      <c r="V38" s="7">
        <f>IF($W38="","",IF(INDEX('Per Invoice'!V$2:V$801,$W38)="","",INDEX('Per Invoice'!V$2:V$801,$W38)))</f>
        <v/>
      </c>
      <c r="W38" s="16">
        <f>IFERROR(MATCH(Settings!$C$32&amp;"|"&amp;ROWS($W$2:$W38),'Per Invoice'!$X$2:$X$801,0),"")</f>
        <v/>
      </c>
    </row>
    <row r="39">
      <c r="A39">
        <f>IF($W39="","",IF(INDEX('Per Invoice'!A$2:A$801,$W39)="","",INDEX('Per Invoice'!A$2:A$801,$W39)))</f>
        <v/>
      </c>
      <c r="B39">
        <f>IF($W39="","",IF(INDEX('Per Invoice'!B$2:B$801,$W39)="","",INDEX('Per Invoice'!B$2:B$801,$W39)))</f>
        <v/>
      </c>
      <c r="C39">
        <f>IF($W39="","",IF(INDEX('Per Invoice'!C$2:C$801,$W39)="","",INDEX('Per Invoice'!C$2:C$801,$W39)))</f>
        <v/>
      </c>
      <c r="D39">
        <f>IF($W39="","",IF(INDEX('Per Invoice'!D$2:D$801,$W39)="","",INDEX('Per Invoice'!D$2:D$801,$W39)))</f>
        <v/>
      </c>
      <c r="E39">
        <f>IF($W39="","",IF(INDEX('Per Invoice'!E$2:E$801,$W39)="","",INDEX('Per Invoice'!E$2:E$801,$W39)))</f>
        <v/>
      </c>
      <c r="F39">
        <f>IF($W39="","",IF(INDEX('Per Invoice'!F$2:F$801,$W39)="","",INDEX('Per Invoice'!F$2:F$801,$W39)))</f>
        <v/>
      </c>
      <c r="G39">
        <f>IF($W39="","",IF(INDEX('Per Invoice'!G$2:G$801,$W39)="","",INDEX('Per Invoice'!G$2:G$801,$W39)))</f>
        <v/>
      </c>
      <c r="H39">
        <f>IF($W39="","",IF(INDEX('Per Invoice'!H$2:H$801,$W39)="","",INDEX('Per Invoice'!H$2:H$801,$W39)))</f>
        <v/>
      </c>
      <c r="I39">
        <f>IF($W39="","",IF(INDEX('Per Invoice'!I$2:I$801,$W39)="","",INDEX('Per Invoice'!I$2:I$801,$W39)))</f>
        <v/>
      </c>
      <c r="J39">
        <f>IF($W39="","",IF(INDEX('Per Invoice'!J$2:J$801,$W39)="","",INDEX('Per Invoice'!J$2:J$801,$W39)))</f>
        <v/>
      </c>
      <c r="K39" s="7">
        <f>IF($W39="","",IF(INDEX('Per Invoice'!K$2:K$801,$W39)="","",INDEX('Per Invoice'!K$2:K$801,$W39)))</f>
        <v/>
      </c>
      <c r="L39" s="14">
        <f>IF($W39="","",IF(INDEX('Per Invoice'!L$2:L$801,$W39)="","",INDEX('Per Invoice'!L$2:L$801,$W39)))</f>
        <v/>
      </c>
      <c r="M39">
        <f>IF($W39="","",IF(INDEX('Per Invoice'!M$2:M$801,$W39)="","",INDEX('Per Invoice'!M$2:M$801,$W39)))</f>
        <v/>
      </c>
      <c r="N39" s="7">
        <f>IF($W39="","",IF(INDEX('Per Invoice'!N$2:N$801,$W39)="","",INDEX('Per Invoice'!N$2:N$801,$W39)))</f>
        <v/>
      </c>
      <c r="O39" s="7">
        <f>IF($W39="","",IF(INDEX('Per Invoice'!O$2:O$801,$W39)="","",INDEX('Per Invoice'!O$2:O$801,$W39)))</f>
        <v/>
      </c>
      <c r="P39">
        <f>IF($W39="","",IF(INDEX('Per Invoice'!P$2:P$801,$W39)="","",INDEX('Per Invoice'!P$2:P$801,$W39)))</f>
        <v/>
      </c>
      <c r="Q39" s="7">
        <f>IF($W39="","",IF(INDEX('Per Invoice'!Q$2:Q$801,$W39)="","",INDEX('Per Invoice'!Q$2:Q$801,$W39)))</f>
        <v/>
      </c>
      <c r="R39" s="7">
        <f>IF($W39="","",IF(INDEX('Per Invoice'!R$2:R$801,$W39)="","",INDEX('Per Invoice'!R$2:R$801,$W39)))</f>
        <v/>
      </c>
      <c r="S39" s="7">
        <f>IF($W39="","",IF(INDEX('Per Invoice'!S$2:S$801,$W39)="","",INDEX('Per Invoice'!S$2:S$801,$W39)))</f>
        <v/>
      </c>
      <c r="T39" s="7">
        <f>IF($W39="","",IF(INDEX('Per Invoice'!T$2:T$801,$W39)="","",INDEX('Per Invoice'!T$2:T$801,$W39)))</f>
        <v/>
      </c>
      <c r="U39" s="7">
        <f>IF($W39="","",IF(INDEX('Per Invoice'!U$2:U$801,$W39)="","",INDEX('Per Invoice'!U$2:U$801,$W39)))</f>
        <v/>
      </c>
      <c r="V39" s="7">
        <f>IF($W39="","",IF(INDEX('Per Invoice'!V$2:V$801,$W39)="","",INDEX('Per Invoice'!V$2:V$801,$W39)))</f>
        <v/>
      </c>
      <c r="W39" s="16">
        <f>IFERROR(MATCH(Settings!$C$32&amp;"|"&amp;ROWS($W$2:$W39),'Per Invoice'!$X$2:$X$801,0),"")</f>
        <v/>
      </c>
    </row>
    <row r="40">
      <c r="A40">
        <f>IF($W40="","",IF(INDEX('Per Invoice'!A$2:A$801,$W40)="","",INDEX('Per Invoice'!A$2:A$801,$W40)))</f>
        <v/>
      </c>
      <c r="B40">
        <f>IF($W40="","",IF(INDEX('Per Invoice'!B$2:B$801,$W40)="","",INDEX('Per Invoice'!B$2:B$801,$W40)))</f>
        <v/>
      </c>
      <c r="C40">
        <f>IF($W40="","",IF(INDEX('Per Invoice'!C$2:C$801,$W40)="","",INDEX('Per Invoice'!C$2:C$801,$W40)))</f>
        <v/>
      </c>
      <c r="D40">
        <f>IF($W40="","",IF(INDEX('Per Invoice'!D$2:D$801,$W40)="","",INDEX('Per Invoice'!D$2:D$801,$W40)))</f>
        <v/>
      </c>
      <c r="E40">
        <f>IF($W40="","",IF(INDEX('Per Invoice'!E$2:E$801,$W40)="","",INDEX('Per Invoice'!E$2:E$801,$W40)))</f>
        <v/>
      </c>
      <c r="F40">
        <f>IF($W40="","",IF(INDEX('Per Invoice'!F$2:F$801,$W40)="","",INDEX('Per Invoice'!F$2:F$801,$W40)))</f>
        <v/>
      </c>
      <c r="G40">
        <f>IF($W40="","",IF(INDEX('Per Invoice'!G$2:G$801,$W40)="","",INDEX('Per Invoice'!G$2:G$801,$W40)))</f>
        <v/>
      </c>
      <c r="H40">
        <f>IF($W40="","",IF(INDEX('Per Invoice'!H$2:H$801,$W40)="","",INDEX('Per Invoice'!H$2:H$801,$W40)))</f>
        <v/>
      </c>
      <c r="I40">
        <f>IF($W40="","",IF(INDEX('Per Invoice'!I$2:I$801,$W40)="","",INDEX('Per Invoice'!I$2:I$801,$W40)))</f>
        <v/>
      </c>
      <c r="J40">
        <f>IF($W40="","",IF(INDEX('Per Invoice'!J$2:J$801,$W40)="","",INDEX('Per Invoice'!J$2:J$801,$W40)))</f>
        <v/>
      </c>
      <c r="K40" s="7">
        <f>IF($W40="","",IF(INDEX('Per Invoice'!K$2:K$801,$W40)="","",INDEX('Per Invoice'!K$2:K$801,$W40)))</f>
        <v/>
      </c>
      <c r="L40" s="14">
        <f>IF($W40="","",IF(INDEX('Per Invoice'!L$2:L$801,$W40)="","",INDEX('Per Invoice'!L$2:L$801,$W40)))</f>
        <v/>
      </c>
      <c r="M40">
        <f>IF($W40="","",IF(INDEX('Per Invoice'!M$2:M$801,$W40)="","",INDEX('Per Invoice'!M$2:M$801,$W40)))</f>
        <v/>
      </c>
      <c r="N40" s="7">
        <f>IF($W40="","",IF(INDEX('Per Invoice'!N$2:N$801,$W40)="","",INDEX('Per Invoice'!N$2:N$801,$W40)))</f>
        <v/>
      </c>
      <c r="O40" s="7">
        <f>IF($W40="","",IF(INDEX('Per Invoice'!O$2:O$801,$W40)="","",INDEX('Per Invoice'!O$2:O$801,$W40)))</f>
        <v/>
      </c>
      <c r="P40">
        <f>IF($W40="","",IF(INDEX('Per Invoice'!P$2:P$801,$W40)="","",INDEX('Per Invoice'!P$2:P$801,$W40)))</f>
        <v/>
      </c>
      <c r="Q40" s="7">
        <f>IF($W40="","",IF(INDEX('Per Invoice'!Q$2:Q$801,$W40)="","",INDEX('Per Invoice'!Q$2:Q$801,$W40)))</f>
        <v/>
      </c>
      <c r="R40" s="7">
        <f>IF($W40="","",IF(INDEX('Per Invoice'!R$2:R$801,$W40)="","",INDEX('Per Invoice'!R$2:R$801,$W40)))</f>
        <v/>
      </c>
      <c r="S40" s="7">
        <f>IF($W40="","",IF(INDEX('Per Invoice'!S$2:S$801,$W40)="","",INDEX('Per Invoice'!S$2:S$801,$W40)))</f>
        <v/>
      </c>
      <c r="T40" s="7">
        <f>IF($W40="","",IF(INDEX('Per Invoice'!T$2:T$801,$W40)="","",INDEX('Per Invoice'!T$2:T$801,$W40)))</f>
        <v/>
      </c>
      <c r="U40" s="7">
        <f>IF($W40="","",IF(INDEX('Per Invoice'!U$2:U$801,$W40)="","",INDEX('Per Invoice'!U$2:U$801,$W40)))</f>
        <v/>
      </c>
      <c r="V40" s="7">
        <f>IF($W40="","",IF(INDEX('Per Invoice'!V$2:V$801,$W40)="","",INDEX('Per Invoice'!V$2:V$801,$W40)))</f>
        <v/>
      </c>
      <c r="W40" s="16">
        <f>IFERROR(MATCH(Settings!$C$32&amp;"|"&amp;ROWS($W$2:$W40),'Per Invoice'!$X$2:$X$801,0),"")</f>
        <v/>
      </c>
    </row>
    <row r="41">
      <c r="A41">
        <f>IF($W41="","",IF(INDEX('Per Invoice'!A$2:A$801,$W41)="","",INDEX('Per Invoice'!A$2:A$801,$W41)))</f>
        <v/>
      </c>
      <c r="B41">
        <f>IF($W41="","",IF(INDEX('Per Invoice'!B$2:B$801,$W41)="","",INDEX('Per Invoice'!B$2:B$801,$W41)))</f>
        <v/>
      </c>
      <c r="C41">
        <f>IF($W41="","",IF(INDEX('Per Invoice'!C$2:C$801,$W41)="","",INDEX('Per Invoice'!C$2:C$801,$W41)))</f>
        <v/>
      </c>
      <c r="D41">
        <f>IF($W41="","",IF(INDEX('Per Invoice'!D$2:D$801,$W41)="","",INDEX('Per Invoice'!D$2:D$801,$W41)))</f>
        <v/>
      </c>
      <c r="E41">
        <f>IF($W41="","",IF(INDEX('Per Invoice'!E$2:E$801,$W41)="","",INDEX('Per Invoice'!E$2:E$801,$W41)))</f>
        <v/>
      </c>
      <c r="F41">
        <f>IF($W41="","",IF(INDEX('Per Invoice'!F$2:F$801,$W41)="","",INDEX('Per Invoice'!F$2:F$801,$W41)))</f>
        <v/>
      </c>
      <c r="G41">
        <f>IF($W41="","",IF(INDEX('Per Invoice'!G$2:G$801,$W41)="","",INDEX('Per Invoice'!G$2:G$801,$W41)))</f>
        <v/>
      </c>
      <c r="H41">
        <f>IF($W41="","",IF(INDEX('Per Invoice'!H$2:H$801,$W41)="","",INDEX('Per Invoice'!H$2:H$801,$W41)))</f>
        <v/>
      </c>
      <c r="I41">
        <f>IF($W41="","",IF(INDEX('Per Invoice'!I$2:I$801,$W41)="","",INDEX('Per Invoice'!I$2:I$801,$W41)))</f>
        <v/>
      </c>
      <c r="J41">
        <f>IF($W41="","",IF(INDEX('Per Invoice'!J$2:J$801,$W41)="","",INDEX('Per Invoice'!J$2:J$801,$W41)))</f>
        <v/>
      </c>
      <c r="K41" s="7">
        <f>IF($W41="","",IF(INDEX('Per Invoice'!K$2:K$801,$W41)="","",INDEX('Per Invoice'!K$2:K$801,$W41)))</f>
        <v/>
      </c>
      <c r="L41" s="14">
        <f>IF($W41="","",IF(INDEX('Per Invoice'!L$2:L$801,$W41)="","",INDEX('Per Invoice'!L$2:L$801,$W41)))</f>
        <v/>
      </c>
      <c r="M41">
        <f>IF($W41="","",IF(INDEX('Per Invoice'!M$2:M$801,$W41)="","",INDEX('Per Invoice'!M$2:M$801,$W41)))</f>
        <v/>
      </c>
      <c r="N41" s="7">
        <f>IF($W41="","",IF(INDEX('Per Invoice'!N$2:N$801,$W41)="","",INDEX('Per Invoice'!N$2:N$801,$W41)))</f>
        <v/>
      </c>
      <c r="O41" s="7">
        <f>IF($W41="","",IF(INDEX('Per Invoice'!O$2:O$801,$W41)="","",INDEX('Per Invoice'!O$2:O$801,$W41)))</f>
        <v/>
      </c>
      <c r="P41">
        <f>IF($W41="","",IF(INDEX('Per Invoice'!P$2:P$801,$W41)="","",INDEX('Per Invoice'!P$2:P$801,$W41)))</f>
        <v/>
      </c>
      <c r="Q41" s="7">
        <f>IF($W41="","",IF(INDEX('Per Invoice'!Q$2:Q$801,$W41)="","",INDEX('Per Invoice'!Q$2:Q$801,$W41)))</f>
        <v/>
      </c>
      <c r="R41" s="7">
        <f>IF($W41="","",IF(INDEX('Per Invoice'!R$2:R$801,$W41)="","",INDEX('Per Invoice'!R$2:R$801,$W41)))</f>
        <v/>
      </c>
      <c r="S41" s="7">
        <f>IF($W41="","",IF(INDEX('Per Invoice'!S$2:S$801,$W41)="","",INDEX('Per Invoice'!S$2:S$801,$W41)))</f>
        <v/>
      </c>
      <c r="T41" s="7">
        <f>IF($W41="","",IF(INDEX('Per Invoice'!T$2:T$801,$W41)="","",INDEX('Per Invoice'!T$2:T$801,$W41)))</f>
        <v/>
      </c>
      <c r="U41" s="7">
        <f>IF($W41="","",IF(INDEX('Per Invoice'!U$2:U$801,$W41)="","",INDEX('Per Invoice'!U$2:U$801,$W41)))</f>
        <v/>
      </c>
      <c r="V41" s="7">
        <f>IF($W41="","",IF(INDEX('Per Invoice'!V$2:V$801,$W41)="","",INDEX('Per Invoice'!V$2:V$801,$W41)))</f>
        <v/>
      </c>
      <c r="W41" s="16">
        <f>IFERROR(MATCH(Settings!$C$32&amp;"|"&amp;ROWS($W$2:$W41),'Per Invoice'!$X$2:$X$801,0),"")</f>
        <v/>
      </c>
    </row>
    <row r="42">
      <c r="A42">
        <f>IF($W42="","",IF(INDEX('Per Invoice'!A$2:A$801,$W42)="","",INDEX('Per Invoice'!A$2:A$801,$W42)))</f>
        <v/>
      </c>
      <c r="B42">
        <f>IF($W42="","",IF(INDEX('Per Invoice'!B$2:B$801,$W42)="","",INDEX('Per Invoice'!B$2:B$801,$W42)))</f>
        <v/>
      </c>
      <c r="C42">
        <f>IF($W42="","",IF(INDEX('Per Invoice'!C$2:C$801,$W42)="","",INDEX('Per Invoice'!C$2:C$801,$W42)))</f>
        <v/>
      </c>
      <c r="D42">
        <f>IF($W42="","",IF(INDEX('Per Invoice'!D$2:D$801,$W42)="","",INDEX('Per Invoice'!D$2:D$801,$W42)))</f>
        <v/>
      </c>
      <c r="E42">
        <f>IF($W42="","",IF(INDEX('Per Invoice'!E$2:E$801,$W42)="","",INDEX('Per Invoice'!E$2:E$801,$W42)))</f>
        <v/>
      </c>
      <c r="F42">
        <f>IF($W42="","",IF(INDEX('Per Invoice'!F$2:F$801,$W42)="","",INDEX('Per Invoice'!F$2:F$801,$W42)))</f>
        <v/>
      </c>
      <c r="G42">
        <f>IF($W42="","",IF(INDEX('Per Invoice'!G$2:G$801,$W42)="","",INDEX('Per Invoice'!G$2:G$801,$W42)))</f>
        <v/>
      </c>
      <c r="H42">
        <f>IF($W42="","",IF(INDEX('Per Invoice'!H$2:H$801,$W42)="","",INDEX('Per Invoice'!H$2:H$801,$W42)))</f>
        <v/>
      </c>
      <c r="I42">
        <f>IF($W42="","",IF(INDEX('Per Invoice'!I$2:I$801,$W42)="","",INDEX('Per Invoice'!I$2:I$801,$W42)))</f>
        <v/>
      </c>
      <c r="J42">
        <f>IF($W42="","",IF(INDEX('Per Invoice'!J$2:J$801,$W42)="","",INDEX('Per Invoice'!J$2:J$801,$W42)))</f>
        <v/>
      </c>
      <c r="K42" s="7">
        <f>IF($W42="","",IF(INDEX('Per Invoice'!K$2:K$801,$W42)="","",INDEX('Per Invoice'!K$2:K$801,$W42)))</f>
        <v/>
      </c>
      <c r="L42" s="14">
        <f>IF($W42="","",IF(INDEX('Per Invoice'!L$2:L$801,$W42)="","",INDEX('Per Invoice'!L$2:L$801,$W42)))</f>
        <v/>
      </c>
      <c r="M42">
        <f>IF($W42="","",IF(INDEX('Per Invoice'!M$2:M$801,$W42)="","",INDEX('Per Invoice'!M$2:M$801,$W42)))</f>
        <v/>
      </c>
      <c r="N42" s="7">
        <f>IF($W42="","",IF(INDEX('Per Invoice'!N$2:N$801,$W42)="","",INDEX('Per Invoice'!N$2:N$801,$W42)))</f>
        <v/>
      </c>
      <c r="O42" s="7">
        <f>IF($W42="","",IF(INDEX('Per Invoice'!O$2:O$801,$W42)="","",INDEX('Per Invoice'!O$2:O$801,$W42)))</f>
        <v/>
      </c>
      <c r="P42">
        <f>IF($W42="","",IF(INDEX('Per Invoice'!P$2:P$801,$W42)="","",INDEX('Per Invoice'!P$2:P$801,$W42)))</f>
        <v/>
      </c>
      <c r="Q42" s="7">
        <f>IF($W42="","",IF(INDEX('Per Invoice'!Q$2:Q$801,$W42)="","",INDEX('Per Invoice'!Q$2:Q$801,$W42)))</f>
        <v/>
      </c>
      <c r="R42" s="7">
        <f>IF($W42="","",IF(INDEX('Per Invoice'!R$2:R$801,$W42)="","",INDEX('Per Invoice'!R$2:R$801,$W42)))</f>
        <v/>
      </c>
      <c r="S42" s="7">
        <f>IF($W42="","",IF(INDEX('Per Invoice'!S$2:S$801,$W42)="","",INDEX('Per Invoice'!S$2:S$801,$W42)))</f>
        <v/>
      </c>
      <c r="T42" s="7">
        <f>IF($W42="","",IF(INDEX('Per Invoice'!T$2:T$801,$W42)="","",INDEX('Per Invoice'!T$2:T$801,$W42)))</f>
        <v/>
      </c>
      <c r="U42" s="7">
        <f>IF($W42="","",IF(INDEX('Per Invoice'!U$2:U$801,$W42)="","",INDEX('Per Invoice'!U$2:U$801,$W42)))</f>
        <v/>
      </c>
      <c r="V42" s="7">
        <f>IF($W42="","",IF(INDEX('Per Invoice'!V$2:V$801,$W42)="","",INDEX('Per Invoice'!V$2:V$801,$W42)))</f>
        <v/>
      </c>
      <c r="W42" s="16">
        <f>IFERROR(MATCH(Settings!$C$32&amp;"|"&amp;ROWS($W$2:$W42),'Per Invoice'!$X$2:$X$801,0),"")</f>
        <v/>
      </c>
    </row>
    <row r="43">
      <c r="A43">
        <f>IF($W43="","",IF(INDEX('Per Invoice'!A$2:A$801,$W43)="","",INDEX('Per Invoice'!A$2:A$801,$W43)))</f>
        <v/>
      </c>
      <c r="B43">
        <f>IF($W43="","",IF(INDEX('Per Invoice'!B$2:B$801,$W43)="","",INDEX('Per Invoice'!B$2:B$801,$W43)))</f>
        <v/>
      </c>
      <c r="C43">
        <f>IF($W43="","",IF(INDEX('Per Invoice'!C$2:C$801,$W43)="","",INDEX('Per Invoice'!C$2:C$801,$W43)))</f>
        <v/>
      </c>
      <c r="D43">
        <f>IF($W43="","",IF(INDEX('Per Invoice'!D$2:D$801,$W43)="","",INDEX('Per Invoice'!D$2:D$801,$W43)))</f>
        <v/>
      </c>
      <c r="E43">
        <f>IF($W43="","",IF(INDEX('Per Invoice'!E$2:E$801,$W43)="","",INDEX('Per Invoice'!E$2:E$801,$W43)))</f>
        <v/>
      </c>
      <c r="F43">
        <f>IF($W43="","",IF(INDEX('Per Invoice'!F$2:F$801,$W43)="","",INDEX('Per Invoice'!F$2:F$801,$W43)))</f>
        <v/>
      </c>
      <c r="G43">
        <f>IF($W43="","",IF(INDEX('Per Invoice'!G$2:G$801,$W43)="","",INDEX('Per Invoice'!G$2:G$801,$W43)))</f>
        <v/>
      </c>
      <c r="H43">
        <f>IF($W43="","",IF(INDEX('Per Invoice'!H$2:H$801,$W43)="","",INDEX('Per Invoice'!H$2:H$801,$W43)))</f>
        <v/>
      </c>
      <c r="I43">
        <f>IF($W43="","",IF(INDEX('Per Invoice'!I$2:I$801,$W43)="","",INDEX('Per Invoice'!I$2:I$801,$W43)))</f>
        <v/>
      </c>
      <c r="J43">
        <f>IF($W43="","",IF(INDEX('Per Invoice'!J$2:J$801,$W43)="","",INDEX('Per Invoice'!J$2:J$801,$W43)))</f>
        <v/>
      </c>
      <c r="K43" s="7">
        <f>IF($W43="","",IF(INDEX('Per Invoice'!K$2:K$801,$W43)="","",INDEX('Per Invoice'!K$2:K$801,$W43)))</f>
        <v/>
      </c>
      <c r="L43" s="14">
        <f>IF($W43="","",IF(INDEX('Per Invoice'!L$2:L$801,$W43)="","",INDEX('Per Invoice'!L$2:L$801,$W43)))</f>
        <v/>
      </c>
      <c r="M43">
        <f>IF($W43="","",IF(INDEX('Per Invoice'!M$2:M$801,$W43)="","",INDEX('Per Invoice'!M$2:M$801,$W43)))</f>
        <v/>
      </c>
      <c r="N43" s="7">
        <f>IF($W43="","",IF(INDEX('Per Invoice'!N$2:N$801,$W43)="","",INDEX('Per Invoice'!N$2:N$801,$W43)))</f>
        <v/>
      </c>
      <c r="O43" s="7">
        <f>IF($W43="","",IF(INDEX('Per Invoice'!O$2:O$801,$W43)="","",INDEX('Per Invoice'!O$2:O$801,$W43)))</f>
        <v/>
      </c>
      <c r="P43">
        <f>IF($W43="","",IF(INDEX('Per Invoice'!P$2:P$801,$W43)="","",INDEX('Per Invoice'!P$2:P$801,$W43)))</f>
        <v/>
      </c>
      <c r="Q43" s="7">
        <f>IF($W43="","",IF(INDEX('Per Invoice'!Q$2:Q$801,$W43)="","",INDEX('Per Invoice'!Q$2:Q$801,$W43)))</f>
        <v/>
      </c>
      <c r="R43" s="7">
        <f>IF($W43="","",IF(INDEX('Per Invoice'!R$2:R$801,$W43)="","",INDEX('Per Invoice'!R$2:R$801,$W43)))</f>
        <v/>
      </c>
      <c r="S43" s="7">
        <f>IF($W43="","",IF(INDEX('Per Invoice'!S$2:S$801,$W43)="","",INDEX('Per Invoice'!S$2:S$801,$W43)))</f>
        <v/>
      </c>
      <c r="T43" s="7">
        <f>IF($W43="","",IF(INDEX('Per Invoice'!T$2:T$801,$W43)="","",INDEX('Per Invoice'!T$2:T$801,$W43)))</f>
        <v/>
      </c>
      <c r="U43" s="7">
        <f>IF($W43="","",IF(INDEX('Per Invoice'!U$2:U$801,$W43)="","",INDEX('Per Invoice'!U$2:U$801,$W43)))</f>
        <v/>
      </c>
      <c r="V43" s="7">
        <f>IF($W43="","",IF(INDEX('Per Invoice'!V$2:V$801,$W43)="","",INDEX('Per Invoice'!V$2:V$801,$W43)))</f>
        <v/>
      </c>
      <c r="W43" s="16">
        <f>IFERROR(MATCH(Settings!$C$32&amp;"|"&amp;ROWS($W$2:$W43),'Per Invoice'!$X$2:$X$801,0),"")</f>
        <v/>
      </c>
    </row>
    <row r="44">
      <c r="A44">
        <f>IF($W44="","",IF(INDEX('Per Invoice'!A$2:A$801,$W44)="","",INDEX('Per Invoice'!A$2:A$801,$W44)))</f>
        <v/>
      </c>
      <c r="B44">
        <f>IF($W44="","",IF(INDEX('Per Invoice'!B$2:B$801,$W44)="","",INDEX('Per Invoice'!B$2:B$801,$W44)))</f>
        <v/>
      </c>
      <c r="C44">
        <f>IF($W44="","",IF(INDEX('Per Invoice'!C$2:C$801,$W44)="","",INDEX('Per Invoice'!C$2:C$801,$W44)))</f>
        <v/>
      </c>
      <c r="D44">
        <f>IF($W44="","",IF(INDEX('Per Invoice'!D$2:D$801,$W44)="","",INDEX('Per Invoice'!D$2:D$801,$W44)))</f>
        <v/>
      </c>
      <c r="E44">
        <f>IF($W44="","",IF(INDEX('Per Invoice'!E$2:E$801,$W44)="","",INDEX('Per Invoice'!E$2:E$801,$W44)))</f>
        <v/>
      </c>
      <c r="F44">
        <f>IF($W44="","",IF(INDEX('Per Invoice'!F$2:F$801,$W44)="","",INDEX('Per Invoice'!F$2:F$801,$W44)))</f>
        <v/>
      </c>
      <c r="G44">
        <f>IF($W44="","",IF(INDEX('Per Invoice'!G$2:G$801,$W44)="","",INDEX('Per Invoice'!G$2:G$801,$W44)))</f>
        <v/>
      </c>
      <c r="H44">
        <f>IF($W44="","",IF(INDEX('Per Invoice'!H$2:H$801,$W44)="","",INDEX('Per Invoice'!H$2:H$801,$W44)))</f>
        <v/>
      </c>
      <c r="I44">
        <f>IF($W44="","",IF(INDEX('Per Invoice'!I$2:I$801,$W44)="","",INDEX('Per Invoice'!I$2:I$801,$W44)))</f>
        <v/>
      </c>
      <c r="J44">
        <f>IF($W44="","",IF(INDEX('Per Invoice'!J$2:J$801,$W44)="","",INDEX('Per Invoice'!J$2:J$801,$W44)))</f>
        <v/>
      </c>
      <c r="K44" s="7">
        <f>IF($W44="","",IF(INDEX('Per Invoice'!K$2:K$801,$W44)="","",INDEX('Per Invoice'!K$2:K$801,$W44)))</f>
        <v/>
      </c>
      <c r="L44" s="14">
        <f>IF($W44="","",IF(INDEX('Per Invoice'!L$2:L$801,$W44)="","",INDEX('Per Invoice'!L$2:L$801,$W44)))</f>
        <v/>
      </c>
      <c r="M44">
        <f>IF($W44="","",IF(INDEX('Per Invoice'!M$2:M$801,$W44)="","",INDEX('Per Invoice'!M$2:M$801,$W44)))</f>
        <v/>
      </c>
      <c r="N44" s="7">
        <f>IF($W44="","",IF(INDEX('Per Invoice'!N$2:N$801,$W44)="","",INDEX('Per Invoice'!N$2:N$801,$W44)))</f>
        <v/>
      </c>
      <c r="O44" s="7">
        <f>IF($W44="","",IF(INDEX('Per Invoice'!O$2:O$801,$W44)="","",INDEX('Per Invoice'!O$2:O$801,$W44)))</f>
        <v/>
      </c>
      <c r="P44">
        <f>IF($W44="","",IF(INDEX('Per Invoice'!P$2:P$801,$W44)="","",INDEX('Per Invoice'!P$2:P$801,$W44)))</f>
        <v/>
      </c>
      <c r="Q44" s="7">
        <f>IF($W44="","",IF(INDEX('Per Invoice'!Q$2:Q$801,$W44)="","",INDEX('Per Invoice'!Q$2:Q$801,$W44)))</f>
        <v/>
      </c>
      <c r="R44" s="7">
        <f>IF($W44="","",IF(INDEX('Per Invoice'!R$2:R$801,$W44)="","",INDEX('Per Invoice'!R$2:R$801,$W44)))</f>
        <v/>
      </c>
      <c r="S44" s="7">
        <f>IF($W44="","",IF(INDEX('Per Invoice'!S$2:S$801,$W44)="","",INDEX('Per Invoice'!S$2:S$801,$W44)))</f>
        <v/>
      </c>
      <c r="T44" s="7">
        <f>IF($W44="","",IF(INDEX('Per Invoice'!T$2:T$801,$W44)="","",INDEX('Per Invoice'!T$2:T$801,$W44)))</f>
        <v/>
      </c>
      <c r="U44" s="7">
        <f>IF($W44="","",IF(INDEX('Per Invoice'!U$2:U$801,$W44)="","",INDEX('Per Invoice'!U$2:U$801,$W44)))</f>
        <v/>
      </c>
      <c r="V44" s="7">
        <f>IF($W44="","",IF(INDEX('Per Invoice'!V$2:V$801,$W44)="","",INDEX('Per Invoice'!V$2:V$801,$W44)))</f>
        <v/>
      </c>
      <c r="W44" s="16">
        <f>IFERROR(MATCH(Settings!$C$32&amp;"|"&amp;ROWS($W$2:$W44),'Per Invoice'!$X$2:$X$801,0),"")</f>
        <v/>
      </c>
    </row>
    <row r="45">
      <c r="A45">
        <f>IF($W45="","",IF(INDEX('Per Invoice'!A$2:A$801,$W45)="","",INDEX('Per Invoice'!A$2:A$801,$W45)))</f>
        <v/>
      </c>
      <c r="B45">
        <f>IF($W45="","",IF(INDEX('Per Invoice'!B$2:B$801,$W45)="","",INDEX('Per Invoice'!B$2:B$801,$W45)))</f>
        <v/>
      </c>
      <c r="C45">
        <f>IF($W45="","",IF(INDEX('Per Invoice'!C$2:C$801,$W45)="","",INDEX('Per Invoice'!C$2:C$801,$W45)))</f>
        <v/>
      </c>
      <c r="D45">
        <f>IF($W45="","",IF(INDEX('Per Invoice'!D$2:D$801,$W45)="","",INDEX('Per Invoice'!D$2:D$801,$W45)))</f>
        <v/>
      </c>
      <c r="E45">
        <f>IF($W45="","",IF(INDEX('Per Invoice'!E$2:E$801,$W45)="","",INDEX('Per Invoice'!E$2:E$801,$W45)))</f>
        <v/>
      </c>
      <c r="F45">
        <f>IF($W45="","",IF(INDEX('Per Invoice'!F$2:F$801,$W45)="","",INDEX('Per Invoice'!F$2:F$801,$W45)))</f>
        <v/>
      </c>
      <c r="G45">
        <f>IF($W45="","",IF(INDEX('Per Invoice'!G$2:G$801,$W45)="","",INDEX('Per Invoice'!G$2:G$801,$W45)))</f>
        <v/>
      </c>
      <c r="H45">
        <f>IF($W45="","",IF(INDEX('Per Invoice'!H$2:H$801,$W45)="","",INDEX('Per Invoice'!H$2:H$801,$W45)))</f>
        <v/>
      </c>
      <c r="I45">
        <f>IF($W45="","",IF(INDEX('Per Invoice'!I$2:I$801,$W45)="","",INDEX('Per Invoice'!I$2:I$801,$W45)))</f>
        <v/>
      </c>
      <c r="J45">
        <f>IF($W45="","",IF(INDEX('Per Invoice'!J$2:J$801,$W45)="","",INDEX('Per Invoice'!J$2:J$801,$W45)))</f>
        <v/>
      </c>
      <c r="K45" s="7">
        <f>IF($W45="","",IF(INDEX('Per Invoice'!K$2:K$801,$W45)="","",INDEX('Per Invoice'!K$2:K$801,$W45)))</f>
        <v/>
      </c>
      <c r="L45" s="14">
        <f>IF($W45="","",IF(INDEX('Per Invoice'!L$2:L$801,$W45)="","",INDEX('Per Invoice'!L$2:L$801,$W45)))</f>
        <v/>
      </c>
      <c r="M45">
        <f>IF($W45="","",IF(INDEX('Per Invoice'!M$2:M$801,$W45)="","",INDEX('Per Invoice'!M$2:M$801,$W45)))</f>
        <v/>
      </c>
      <c r="N45" s="7">
        <f>IF($W45="","",IF(INDEX('Per Invoice'!N$2:N$801,$W45)="","",INDEX('Per Invoice'!N$2:N$801,$W45)))</f>
        <v/>
      </c>
      <c r="O45" s="7">
        <f>IF($W45="","",IF(INDEX('Per Invoice'!O$2:O$801,$W45)="","",INDEX('Per Invoice'!O$2:O$801,$W45)))</f>
        <v/>
      </c>
      <c r="P45">
        <f>IF($W45="","",IF(INDEX('Per Invoice'!P$2:P$801,$W45)="","",INDEX('Per Invoice'!P$2:P$801,$W45)))</f>
        <v/>
      </c>
      <c r="Q45" s="7">
        <f>IF($W45="","",IF(INDEX('Per Invoice'!Q$2:Q$801,$W45)="","",INDEX('Per Invoice'!Q$2:Q$801,$W45)))</f>
        <v/>
      </c>
      <c r="R45" s="7">
        <f>IF($W45="","",IF(INDEX('Per Invoice'!R$2:R$801,$W45)="","",INDEX('Per Invoice'!R$2:R$801,$W45)))</f>
        <v/>
      </c>
      <c r="S45" s="7">
        <f>IF($W45="","",IF(INDEX('Per Invoice'!S$2:S$801,$W45)="","",INDEX('Per Invoice'!S$2:S$801,$W45)))</f>
        <v/>
      </c>
      <c r="T45" s="7">
        <f>IF($W45="","",IF(INDEX('Per Invoice'!T$2:T$801,$W45)="","",INDEX('Per Invoice'!T$2:T$801,$W45)))</f>
        <v/>
      </c>
      <c r="U45" s="7">
        <f>IF($W45="","",IF(INDEX('Per Invoice'!U$2:U$801,$W45)="","",INDEX('Per Invoice'!U$2:U$801,$W45)))</f>
        <v/>
      </c>
      <c r="V45" s="7">
        <f>IF($W45="","",IF(INDEX('Per Invoice'!V$2:V$801,$W45)="","",INDEX('Per Invoice'!V$2:V$801,$W45)))</f>
        <v/>
      </c>
      <c r="W45" s="16">
        <f>IFERROR(MATCH(Settings!$C$32&amp;"|"&amp;ROWS($W$2:$W45),'Per Invoice'!$X$2:$X$801,0),"")</f>
        <v/>
      </c>
    </row>
    <row r="46">
      <c r="A46">
        <f>IF($W46="","",IF(INDEX('Per Invoice'!A$2:A$801,$W46)="","",INDEX('Per Invoice'!A$2:A$801,$W46)))</f>
        <v/>
      </c>
      <c r="B46">
        <f>IF($W46="","",IF(INDEX('Per Invoice'!B$2:B$801,$W46)="","",INDEX('Per Invoice'!B$2:B$801,$W46)))</f>
        <v/>
      </c>
      <c r="C46">
        <f>IF($W46="","",IF(INDEX('Per Invoice'!C$2:C$801,$W46)="","",INDEX('Per Invoice'!C$2:C$801,$W46)))</f>
        <v/>
      </c>
      <c r="D46">
        <f>IF($W46="","",IF(INDEX('Per Invoice'!D$2:D$801,$W46)="","",INDEX('Per Invoice'!D$2:D$801,$W46)))</f>
        <v/>
      </c>
      <c r="E46">
        <f>IF($W46="","",IF(INDEX('Per Invoice'!E$2:E$801,$W46)="","",INDEX('Per Invoice'!E$2:E$801,$W46)))</f>
        <v/>
      </c>
      <c r="F46">
        <f>IF($W46="","",IF(INDEX('Per Invoice'!F$2:F$801,$W46)="","",INDEX('Per Invoice'!F$2:F$801,$W46)))</f>
        <v/>
      </c>
      <c r="G46">
        <f>IF($W46="","",IF(INDEX('Per Invoice'!G$2:G$801,$W46)="","",INDEX('Per Invoice'!G$2:G$801,$W46)))</f>
        <v/>
      </c>
      <c r="H46">
        <f>IF($W46="","",IF(INDEX('Per Invoice'!H$2:H$801,$W46)="","",INDEX('Per Invoice'!H$2:H$801,$W46)))</f>
        <v/>
      </c>
      <c r="I46">
        <f>IF($W46="","",IF(INDEX('Per Invoice'!I$2:I$801,$W46)="","",INDEX('Per Invoice'!I$2:I$801,$W46)))</f>
        <v/>
      </c>
      <c r="J46">
        <f>IF($W46="","",IF(INDEX('Per Invoice'!J$2:J$801,$W46)="","",INDEX('Per Invoice'!J$2:J$801,$W46)))</f>
        <v/>
      </c>
      <c r="K46" s="7">
        <f>IF($W46="","",IF(INDEX('Per Invoice'!K$2:K$801,$W46)="","",INDEX('Per Invoice'!K$2:K$801,$W46)))</f>
        <v/>
      </c>
      <c r="L46" s="14">
        <f>IF($W46="","",IF(INDEX('Per Invoice'!L$2:L$801,$W46)="","",INDEX('Per Invoice'!L$2:L$801,$W46)))</f>
        <v/>
      </c>
      <c r="M46">
        <f>IF($W46="","",IF(INDEX('Per Invoice'!M$2:M$801,$W46)="","",INDEX('Per Invoice'!M$2:M$801,$W46)))</f>
        <v/>
      </c>
      <c r="N46" s="7">
        <f>IF($W46="","",IF(INDEX('Per Invoice'!N$2:N$801,$W46)="","",INDEX('Per Invoice'!N$2:N$801,$W46)))</f>
        <v/>
      </c>
      <c r="O46" s="7">
        <f>IF($W46="","",IF(INDEX('Per Invoice'!O$2:O$801,$W46)="","",INDEX('Per Invoice'!O$2:O$801,$W46)))</f>
        <v/>
      </c>
      <c r="P46">
        <f>IF($W46="","",IF(INDEX('Per Invoice'!P$2:P$801,$W46)="","",INDEX('Per Invoice'!P$2:P$801,$W46)))</f>
        <v/>
      </c>
      <c r="Q46" s="7">
        <f>IF($W46="","",IF(INDEX('Per Invoice'!Q$2:Q$801,$W46)="","",INDEX('Per Invoice'!Q$2:Q$801,$W46)))</f>
        <v/>
      </c>
      <c r="R46" s="7">
        <f>IF($W46="","",IF(INDEX('Per Invoice'!R$2:R$801,$W46)="","",INDEX('Per Invoice'!R$2:R$801,$W46)))</f>
        <v/>
      </c>
      <c r="S46" s="7">
        <f>IF($W46="","",IF(INDEX('Per Invoice'!S$2:S$801,$W46)="","",INDEX('Per Invoice'!S$2:S$801,$W46)))</f>
        <v/>
      </c>
      <c r="T46" s="7">
        <f>IF($W46="","",IF(INDEX('Per Invoice'!T$2:T$801,$W46)="","",INDEX('Per Invoice'!T$2:T$801,$W46)))</f>
        <v/>
      </c>
      <c r="U46" s="7">
        <f>IF($W46="","",IF(INDEX('Per Invoice'!U$2:U$801,$W46)="","",INDEX('Per Invoice'!U$2:U$801,$W46)))</f>
        <v/>
      </c>
      <c r="V46" s="7">
        <f>IF($W46="","",IF(INDEX('Per Invoice'!V$2:V$801,$W46)="","",INDEX('Per Invoice'!V$2:V$801,$W46)))</f>
        <v/>
      </c>
      <c r="W46" s="16">
        <f>IFERROR(MATCH(Settings!$C$32&amp;"|"&amp;ROWS($W$2:$W46),'Per Invoice'!$X$2:$X$801,0),"")</f>
        <v/>
      </c>
    </row>
    <row r="47">
      <c r="A47">
        <f>IF($W47="","",IF(INDEX('Per Invoice'!A$2:A$801,$W47)="","",INDEX('Per Invoice'!A$2:A$801,$W47)))</f>
        <v/>
      </c>
      <c r="B47">
        <f>IF($W47="","",IF(INDEX('Per Invoice'!B$2:B$801,$W47)="","",INDEX('Per Invoice'!B$2:B$801,$W47)))</f>
        <v/>
      </c>
      <c r="C47">
        <f>IF($W47="","",IF(INDEX('Per Invoice'!C$2:C$801,$W47)="","",INDEX('Per Invoice'!C$2:C$801,$W47)))</f>
        <v/>
      </c>
      <c r="D47">
        <f>IF($W47="","",IF(INDEX('Per Invoice'!D$2:D$801,$W47)="","",INDEX('Per Invoice'!D$2:D$801,$W47)))</f>
        <v/>
      </c>
      <c r="E47">
        <f>IF($W47="","",IF(INDEX('Per Invoice'!E$2:E$801,$W47)="","",INDEX('Per Invoice'!E$2:E$801,$W47)))</f>
        <v/>
      </c>
      <c r="F47">
        <f>IF($W47="","",IF(INDEX('Per Invoice'!F$2:F$801,$W47)="","",INDEX('Per Invoice'!F$2:F$801,$W47)))</f>
        <v/>
      </c>
      <c r="G47">
        <f>IF($W47="","",IF(INDEX('Per Invoice'!G$2:G$801,$W47)="","",INDEX('Per Invoice'!G$2:G$801,$W47)))</f>
        <v/>
      </c>
      <c r="H47">
        <f>IF($W47="","",IF(INDEX('Per Invoice'!H$2:H$801,$W47)="","",INDEX('Per Invoice'!H$2:H$801,$W47)))</f>
        <v/>
      </c>
      <c r="I47">
        <f>IF($W47="","",IF(INDEX('Per Invoice'!I$2:I$801,$W47)="","",INDEX('Per Invoice'!I$2:I$801,$W47)))</f>
        <v/>
      </c>
      <c r="J47">
        <f>IF($W47="","",IF(INDEX('Per Invoice'!J$2:J$801,$W47)="","",INDEX('Per Invoice'!J$2:J$801,$W47)))</f>
        <v/>
      </c>
      <c r="K47" s="7">
        <f>IF($W47="","",IF(INDEX('Per Invoice'!K$2:K$801,$W47)="","",INDEX('Per Invoice'!K$2:K$801,$W47)))</f>
        <v/>
      </c>
      <c r="L47" s="14">
        <f>IF($W47="","",IF(INDEX('Per Invoice'!L$2:L$801,$W47)="","",INDEX('Per Invoice'!L$2:L$801,$W47)))</f>
        <v/>
      </c>
      <c r="M47">
        <f>IF($W47="","",IF(INDEX('Per Invoice'!M$2:M$801,$W47)="","",INDEX('Per Invoice'!M$2:M$801,$W47)))</f>
        <v/>
      </c>
      <c r="N47" s="7">
        <f>IF($W47="","",IF(INDEX('Per Invoice'!N$2:N$801,$W47)="","",INDEX('Per Invoice'!N$2:N$801,$W47)))</f>
        <v/>
      </c>
      <c r="O47" s="7">
        <f>IF($W47="","",IF(INDEX('Per Invoice'!O$2:O$801,$W47)="","",INDEX('Per Invoice'!O$2:O$801,$W47)))</f>
        <v/>
      </c>
      <c r="P47">
        <f>IF($W47="","",IF(INDEX('Per Invoice'!P$2:P$801,$W47)="","",INDEX('Per Invoice'!P$2:P$801,$W47)))</f>
        <v/>
      </c>
      <c r="Q47" s="7">
        <f>IF($W47="","",IF(INDEX('Per Invoice'!Q$2:Q$801,$W47)="","",INDEX('Per Invoice'!Q$2:Q$801,$W47)))</f>
        <v/>
      </c>
      <c r="R47" s="7">
        <f>IF($W47="","",IF(INDEX('Per Invoice'!R$2:R$801,$W47)="","",INDEX('Per Invoice'!R$2:R$801,$W47)))</f>
        <v/>
      </c>
      <c r="S47" s="7">
        <f>IF($W47="","",IF(INDEX('Per Invoice'!S$2:S$801,$W47)="","",INDEX('Per Invoice'!S$2:S$801,$W47)))</f>
        <v/>
      </c>
      <c r="T47" s="7">
        <f>IF($W47="","",IF(INDEX('Per Invoice'!T$2:T$801,$W47)="","",INDEX('Per Invoice'!T$2:T$801,$W47)))</f>
        <v/>
      </c>
      <c r="U47" s="7">
        <f>IF($W47="","",IF(INDEX('Per Invoice'!U$2:U$801,$W47)="","",INDEX('Per Invoice'!U$2:U$801,$W47)))</f>
        <v/>
      </c>
      <c r="V47" s="7">
        <f>IF($W47="","",IF(INDEX('Per Invoice'!V$2:V$801,$W47)="","",INDEX('Per Invoice'!V$2:V$801,$W47)))</f>
        <v/>
      </c>
      <c r="W47" s="16">
        <f>IFERROR(MATCH(Settings!$C$32&amp;"|"&amp;ROWS($W$2:$W47),'Per Invoice'!$X$2:$X$801,0),"")</f>
        <v/>
      </c>
    </row>
    <row r="48">
      <c r="A48">
        <f>IF($W48="","",IF(INDEX('Per Invoice'!A$2:A$801,$W48)="","",INDEX('Per Invoice'!A$2:A$801,$W48)))</f>
        <v/>
      </c>
      <c r="B48">
        <f>IF($W48="","",IF(INDEX('Per Invoice'!B$2:B$801,$W48)="","",INDEX('Per Invoice'!B$2:B$801,$W48)))</f>
        <v/>
      </c>
      <c r="C48">
        <f>IF($W48="","",IF(INDEX('Per Invoice'!C$2:C$801,$W48)="","",INDEX('Per Invoice'!C$2:C$801,$W48)))</f>
        <v/>
      </c>
      <c r="D48">
        <f>IF($W48="","",IF(INDEX('Per Invoice'!D$2:D$801,$W48)="","",INDEX('Per Invoice'!D$2:D$801,$W48)))</f>
        <v/>
      </c>
      <c r="E48">
        <f>IF($W48="","",IF(INDEX('Per Invoice'!E$2:E$801,$W48)="","",INDEX('Per Invoice'!E$2:E$801,$W48)))</f>
        <v/>
      </c>
      <c r="F48">
        <f>IF($W48="","",IF(INDEX('Per Invoice'!F$2:F$801,$W48)="","",INDEX('Per Invoice'!F$2:F$801,$W48)))</f>
        <v/>
      </c>
      <c r="G48">
        <f>IF($W48="","",IF(INDEX('Per Invoice'!G$2:G$801,$W48)="","",INDEX('Per Invoice'!G$2:G$801,$W48)))</f>
        <v/>
      </c>
      <c r="H48">
        <f>IF($W48="","",IF(INDEX('Per Invoice'!H$2:H$801,$W48)="","",INDEX('Per Invoice'!H$2:H$801,$W48)))</f>
        <v/>
      </c>
      <c r="I48">
        <f>IF($W48="","",IF(INDEX('Per Invoice'!I$2:I$801,$W48)="","",INDEX('Per Invoice'!I$2:I$801,$W48)))</f>
        <v/>
      </c>
      <c r="J48">
        <f>IF($W48="","",IF(INDEX('Per Invoice'!J$2:J$801,$W48)="","",INDEX('Per Invoice'!J$2:J$801,$W48)))</f>
        <v/>
      </c>
      <c r="K48" s="7">
        <f>IF($W48="","",IF(INDEX('Per Invoice'!K$2:K$801,$W48)="","",INDEX('Per Invoice'!K$2:K$801,$W48)))</f>
        <v/>
      </c>
      <c r="L48" s="14">
        <f>IF($W48="","",IF(INDEX('Per Invoice'!L$2:L$801,$W48)="","",INDEX('Per Invoice'!L$2:L$801,$W48)))</f>
        <v/>
      </c>
      <c r="M48">
        <f>IF($W48="","",IF(INDEX('Per Invoice'!M$2:M$801,$W48)="","",INDEX('Per Invoice'!M$2:M$801,$W48)))</f>
        <v/>
      </c>
      <c r="N48" s="7">
        <f>IF($W48="","",IF(INDEX('Per Invoice'!N$2:N$801,$W48)="","",INDEX('Per Invoice'!N$2:N$801,$W48)))</f>
        <v/>
      </c>
      <c r="O48" s="7">
        <f>IF($W48="","",IF(INDEX('Per Invoice'!O$2:O$801,$W48)="","",INDEX('Per Invoice'!O$2:O$801,$W48)))</f>
        <v/>
      </c>
      <c r="P48">
        <f>IF($W48="","",IF(INDEX('Per Invoice'!P$2:P$801,$W48)="","",INDEX('Per Invoice'!P$2:P$801,$W48)))</f>
        <v/>
      </c>
      <c r="Q48" s="7">
        <f>IF($W48="","",IF(INDEX('Per Invoice'!Q$2:Q$801,$W48)="","",INDEX('Per Invoice'!Q$2:Q$801,$W48)))</f>
        <v/>
      </c>
      <c r="R48" s="7">
        <f>IF($W48="","",IF(INDEX('Per Invoice'!R$2:R$801,$W48)="","",INDEX('Per Invoice'!R$2:R$801,$W48)))</f>
        <v/>
      </c>
      <c r="S48" s="7">
        <f>IF($W48="","",IF(INDEX('Per Invoice'!S$2:S$801,$W48)="","",INDEX('Per Invoice'!S$2:S$801,$W48)))</f>
        <v/>
      </c>
      <c r="T48" s="7">
        <f>IF($W48="","",IF(INDEX('Per Invoice'!T$2:T$801,$W48)="","",INDEX('Per Invoice'!T$2:T$801,$W48)))</f>
        <v/>
      </c>
      <c r="U48" s="7">
        <f>IF($W48="","",IF(INDEX('Per Invoice'!U$2:U$801,$W48)="","",INDEX('Per Invoice'!U$2:U$801,$W48)))</f>
        <v/>
      </c>
      <c r="V48" s="7">
        <f>IF($W48="","",IF(INDEX('Per Invoice'!V$2:V$801,$W48)="","",INDEX('Per Invoice'!V$2:V$801,$W48)))</f>
        <v/>
      </c>
      <c r="W48" s="16">
        <f>IFERROR(MATCH(Settings!$C$32&amp;"|"&amp;ROWS($W$2:$W48),'Per Invoice'!$X$2:$X$801,0),"")</f>
        <v/>
      </c>
    </row>
    <row r="49">
      <c r="A49">
        <f>IF($W49="","",IF(INDEX('Per Invoice'!A$2:A$801,$W49)="","",INDEX('Per Invoice'!A$2:A$801,$W49)))</f>
        <v/>
      </c>
      <c r="B49">
        <f>IF($W49="","",IF(INDEX('Per Invoice'!B$2:B$801,$W49)="","",INDEX('Per Invoice'!B$2:B$801,$W49)))</f>
        <v/>
      </c>
      <c r="C49">
        <f>IF($W49="","",IF(INDEX('Per Invoice'!C$2:C$801,$W49)="","",INDEX('Per Invoice'!C$2:C$801,$W49)))</f>
        <v/>
      </c>
      <c r="D49">
        <f>IF($W49="","",IF(INDEX('Per Invoice'!D$2:D$801,$W49)="","",INDEX('Per Invoice'!D$2:D$801,$W49)))</f>
        <v/>
      </c>
      <c r="E49">
        <f>IF($W49="","",IF(INDEX('Per Invoice'!E$2:E$801,$W49)="","",INDEX('Per Invoice'!E$2:E$801,$W49)))</f>
        <v/>
      </c>
      <c r="F49">
        <f>IF($W49="","",IF(INDEX('Per Invoice'!F$2:F$801,$W49)="","",INDEX('Per Invoice'!F$2:F$801,$W49)))</f>
        <v/>
      </c>
      <c r="G49">
        <f>IF($W49="","",IF(INDEX('Per Invoice'!G$2:G$801,$W49)="","",INDEX('Per Invoice'!G$2:G$801,$W49)))</f>
        <v/>
      </c>
      <c r="H49">
        <f>IF($W49="","",IF(INDEX('Per Invoice'!H$2:H$801,$W49)="","",INDEX('Per Invoice'!H$2:H$801,$W49)))</f>
        <v/>
      </c>
      <c r="I49">
        <f>IF($W49="","",IF(INDEX('Per Invoice'!I$2:I$801,$W49)="","",INDEX('Per Invoice'!I$2:I$801,$W49)))</f>
        <v/>
      </c>
      <c r="J49">
        <f>IF($W49="","",IF(INDEX('Per Invoice'!J$2:J$801,$W49)="","",INDEX('Per Invoice'!J$2:J$801,$W49)))</f>
        <v/>
      </c>
      <c r="K49" s="7">
        <f>IF($W49="","",IF(INDEX('Per Invoice'!K$2:K$801,$W49)="","",INDEX('Per Invoice'!K$2:K$801,$W49)))</f>
        <v/>
      </c>
      <c r="L49" s="14">
        <f>IF($W49="","",IF(INDEX('Per Invoice'!L$2:L$801,$W49)="","",INDEX('Per Invoice'!L$2:L$801,$W49)))</f>
        <v/>
      </c>
      <c r="M49">
        <f>IF($W49="","",IF(INDEX('Per Invoice'!M$2:M$801,$W49)="","",INDEX('Per Invoice'!M$2:M$801,$W49)))</f>
        <v/>
      </c>
      <c r="N49" s="7">
        <f>IF($W49="","",IF(INDEX('Per Invoice'!N$2:N$801,$W49)="","",INDEX('Per Invoice'!N$2:N$801,$W49)))</f>
        <v/>
      </c>
      <c r="O49" s="7">
        <f>IF($W49="","",IF(INDEX('Per Invoice'!O$2:O$801,$W49)="","",INDEX('Per Invoice'!O$2:O$801,$W49)))</f>
        <v/>
      </c>
      <c r="P49">
        <f>IF($W49="","",IF(INDEX('Per Invoice'!P$2:P$801,$W49)="","",INDEX('Per Invoice'!P$2:P$801,$W49)))</f>
        <v/>
      </c>
      <c r="Q49" s="7">
        <f>IF($W49="","",IF(INDEX('Per Invoice'!Q$2:Q$801,$W49)="","",INDEX('Per Invoice'!Q$2:Q$801,$W49)))</f>
        <v/>
      </c>
      <c r="R49" s="7">
        <f>IF($W49="","",IF(INDEX('Per Invoice'!R$2:R$801,$W49)="","",INDEX('Per Invoice'!R$2:R$801,$W49)))</f>
        <v/>
      </c>
      <c r="S49" s="7">
        <f>IF($W49="","",IF(INDEX('Per Invoice'!S$2:S$801,$W49)="","",INDEX('Per Invoice'!S$2:S$801,$W49)))</f>
        <v/>
      </c>
      <c r="T49" s="7">
        <f>IF($W49="","",IF(INDEX('Per Invoice'!T$2:T$801,$W49)="","",INDEX('Per Invoice'!T$2:T$801,$W49)))</f>
        <v/>
      </c>
      <c r="U49" s="7">
        <f>IF($W49="","",IF(INDEX('Per Invoice'!U$2:U$801,$W49)="","",INDEX('Per Invoice'!U$2:U$801,$W49)))</f>
        <v/>
      </c>
      <c r="V49" s="7">
        <f>IF($W49="","",IF(INDEX('Per Invoice'!V$2:V$801,$W49)="","",INDEX('Per Invoice'!V$2:V$801,$W49)))</f>
        <v/>
      </c>
      <c r="W49" s="16">
        <f>IFERROR(MATCH(Settings!$C$32&amp;"|"&amp;ROWS($W$2:$W49),'Per Invoice'!$X$2:$X$801,0),"")</f>
        <v/>
      </c>
    </row>
    <row r="50">
      <c r="A50">
        <f>IF($W50="","",IF(INDEX('Per Invoice'!A$2:A$801,$W50)="","",INDEX('Per Invoice'!A$2:A$801,$W50)))</f>
        <v/>
      </c>
      <c r="B50">
        <f>IF($W50="","",IF(INDEX('Per Invoice'!B$2:B$801,$W50)="","",INDEX('Per Invoice'!B$2:B$801,$W50)))</f>
        <v/>
      </c>
      <c r="C50">
        <f>IF($W50="","",IF(INDEX('Per Invoice'!C$2:C$801,$W50)="","",INDEX('Per Invoice'!C$2:C$801,$W50)))</f>
        <v/>
      </c>
      <c r="D50">
        <f>IF($W50="","",IF(INDEX('Per Invoice'!D$2:D$801,$W50)="","",INDEX('Per Invoice'!D$2:D$801,$W50)))</f>
        <v/>
      </c>
      <c r="E50">
        <f>IF($W50="","",IF(INDEX('Per Invoice'!E$2:E$801,$W50)="","",INDEX('Per Invoice'!E$2:E$801,$W50)))</f>
        <v/>
      </c>
      <c r="F50">
        <f>IF($W50="","",IF(INDEX('Per Invoice'!F$2:F$801,$W50)="","",INDEX('Per Invoice'!F$2:F$801,$W50)))</f>
        <v/>
      </c>
      <c r="G50">
        <f>IF($W50="","",IF(INDEX('Per Invoice'!G$2:G$801,$W50)="","",INDEX('Per Invoice'!G$2:G$801,$W50)))</f>
        <v/>
      </c>
      <c r="H50">
        <f>IF($W50="","",IF(INDEX('Per Invoice'!H$2:H$801,$W50)="","",INDEX('Per Invoice'!H$2:H$801,$W50)))</f>
        <v/>
      </c>
      <c r="I50">
        <f>IF($W50="","",IF(INDEX('Per Invoice'!I$2:I$801,$W50)="","",INDEX('Per Invoice'!I$2:I$801,$W50)))</f>
        <v/>
      </c>
      <c r="J50">
        <f>IF($W50="","",IF(INDEX('Per Invoice'!J$2:J$801,$W50)="","",INDEX('Per Invoice'!J$2:J$801,$W50)))</f>
        <v/>
      </c>
      <c r="K50" s="7">
        <f>IF($W50="","",IF(INDEX('Per Invoice'!K$2:K$801,$W50)="","",INDEX('Per Invoice'!K$2:K$801,$W50)))</f>
        <v/>
      </c>
      <c r="L50" s="14">
        <f>IF($W50="","",IF(INDEX('Per Invoice'!L$2:L$801,$W50)="","",INDEX('Per Invoice'!L$2:L$801,$W50)))</f>
        <v/>
      </c>
      <c r="M50">
        <f>IF($W50="","",IF(INDEX('Per Invoice'!M$2:M$801,$W50)="","",INDEX('Per Invoice'!M$2:M$801,$W50)))</f>
        <v/>
      </c>
      <c r="N50" s="7">
        <f>IF($W50="","",IF(INDEX('Per Invoice'!N$2:N$801,$W50)="","",INDEX('Per Invoice'!N$2:N$801,$W50)))</f>
        <v/>
      </c>
      <c r="O50" s="7">
        <f>IF($W50="","",IF(INDEX('Per Invoice'!O$2:O$801,$W50)="","",INDEX('Per Invoice'!O$2:O$801,$W50)))</f>
        <v/>
      </c>
      <c r="P50">
        <f>IF($W50="","",IF(INDEX('Per Invoice'!P$2:P$801,$W50)="","",INDEX('Per Invoice'!P$2:P$801,$W50)))</f>
        <v/>
      </c>
      <c r="Q50" s="7">
        <f>IF($W50="","",IF(INDEX('Per Invoice'!Q$2:Q$801,$W50)="","",INDEX('Per Invoice'!Q$2:Q$801,$W50)))</f>
        <v/>
      </c>
      <c r="R50" s="7">
        <f>IF($W50="","",IF(INDEX('Per Invoice'!R$2:R$801,$W50)="","",INDEX('Per Invoice'!R$2:R$801,$W50)))</f>
        <v/>
      </c>
      <c r="S50" s="7">
        <f>IF($W50="","",IF(INDEX('Per Invoice'!S$2:S$801,$W50)="","",INDEX('Per Invoice'!S$2:S$801,$W50)))</f>
        <v/>
      </c>
      <c r="T50" s="7">
        <f>IF($W50="","",IF(INDEX('Per Invoice'!T$2:T$801,$W50)="","",INDEX('Per Invoice'!T$2:T$801,$W50)))</f>
        <v/>
      </c>
      <c r="U50" s="7">
        <f>IF($W50="","",IF(INDEX('Per Invoice'!U$2:U$801,$W50)="","",INDEX('Per Invoice'!U$2:U$801,$W50)))</f>
        <v/>
      </c>
      <c r="V50" s="7">
        <f>IF($W50="","",IF(INDEX('Per Invoice'!V$2:V$801,$W50)="","",INDEX('Per Invoice'!V$2:V$801,$W50)))</f>
        <v/>
      </c>
      <c r="W50" s="16">
        <f>IFERROR(MATCH(Settings!$C$32&amp;"|"&amp;ROWS($W$2:$W50),'Per Invoice'!$X$2:$X$801,0),"")</f>
        <v/>
      </c>
    </row>
    <row r="51">
      <c r="A51">
        <f>IF($W51="","",IF(INDEX('Per Invoice'!A$2:A$801,$W51)="","",INDEX('Per Invoice'!A$2:A$801,$W51)))</f>
        <v/>
      </c>
      <c r="B51">
        <f>IF($W51="","",IF(INDEX('Per Invoice'!B$2:B$801,$W51)="","",INDEX('Per Invoice'!B$2:B$801,$W51)))</f>
        <v/>
      </c>
      <c r="C51">
        <f>IF($W51="","",IF(INDEX('Per Invoice'!C$2:C$801,$W51)="","",INDEX('Per Invoice'!C$2:C$801,$W51)))</f>
        <v/>
      </c>
      <c r="D51">
        <f>IF($W51="","",IF(INDEX('Per Invoice'!D$2:D$801,$W51)="","",INDEX('Per Invoice'!D$2:D$801,$W51)))</f>
        <v/>
      </c>
      <c r="E51">
        <f>IF($W51="","",IF(INDEX('Per Invoice'!E$2:E$801,$W51)="","",INDEX('Per Invoice'!E$2:E$801,$W51)))</f>
        <v/>
      </c>
      <c r="F51">
        <f>IF($W51="","",IF(INDEX('Per Invoice'!F$2:F$801,$W51)="","",INDEX('Per Invoice'!F$2:F$801,$W51)))</f>
        <v/>
      </c>
      <c r="G51">
        <f>IF($W51="","",IF(INDEX('Per Invoice'!G$2:G$801,$W51)="","",INDEX('Per Invoice'!G$2:G$801,$W51)))</f>
        <v/>
      </c>
      <c r="H51">
        <f>IF($W51="","",IF(INDEX('Per Invoice'!H$2:H$801,$W51)="","",INDEX('Per Invoice'!H$2:H$801,$W51)))</f>
        <v/>
      </c>
      <c r="I51">
        <f>IF($W51="","",IF(INDEX('Per Invoice'!I$2:I$801,$W51)="","",INDEX('Per Invoice'!I$2:I$801,$W51)))</f>
        <v/>
      </c>
      <c r="J51">
        <f>IF($W51="","",IF(INDEX('Per Invoice'!J$2:J$801,$W51)="","",INDEX('Per Invoice'!J$2:J$801,$W51)))</f>
        <v/>
      </c>
      <c r="K51" s="7">
        <f>IF($W51="","",IF(INDEX('Per Invoice'!K$2:K$801,$W51)="","",INDEX('Per Invoice'!K$2:K$801,$W51)))</f>
        <v/>
      </c>
      <c r="L51" s="14">
        <f>IF($W51="","",IF(INDEX('Per Invoice'!L$2:L$801,$W51)="","",INDEX('Per Invoice'!L$2:L$801,$W51)))</f>
        <v/>
      </c>
      <c r="M51">
        <f>IF($W51="","",IF(INDEX('Per Invoice'!M$2:M$801,$W51)="","",INDEX('Per Invoice'!M$2:M$801,$W51)))</f>
        <v/>
      </c>
      <c r="N51" s="7">
        <f>IF($W51="","",IF(INDEX('Per Invoice'!N$2:N$801,$W51)="","",INDEX('Per Invoice'!N$2:N$801,$W51)))</f>
        <v/>
      </c>
      <c r="O51" s="7">
        <f>IF($W51="","",IF(INDEX('Per Invoice'!O$2:O$801,$W51)="","",INDEX('Per Invoice'!O$2:O$801,$W51)))</f>
        <v/>
      </c>
      <c r="P51">
        <f>IF($W51="","",IF(INDEX('Per Invoice'!P$2:P$801,$W51)="","",INDEX('Per Invoice'!P$2:P$801,$W51)))</f>
        <v/>
      </c>
      <c r="Q51" s="7">
        <f>IF($W51="","",IF(INDEX('Per Invoice'!Q$2:Q$801,$W51)="","",INDEX('Per Invoice'!Q$2:Q$801,$W51)))</f>
        <v/>
      </c>
      <c r="R51" s="7">
        <f>IF($W51="","",IF(INDEX('Per Invoice'!R$2:R$801,$W51)="","",INDEX('Per Invoice'!R$2:R$801,$W51)))</f>
        <v/>
      </c>
      <c r="S51" s="7">
        <f>IF($W51="","",IF(INDEX('Per Invoice'!S$2:S$801,$W51)="","",INDEX('Per Invoice'!S$2:S$801,$W51)))</f>
        <v/>
      </c>
      <c r="T51" s="7">
        <f>IF($W51="","",IF(INDEX('Per Invoice'!T$2:T$801,$W51)="","",INDEX('Per Invoice'!T$2:T$801,$W51)))</f>
        <v/>
      </c>
      <c r="U51" s="7">
        <f>IF($W51="","",IF(INDEX('Per Invoice'!U$2:U$801,$W51)="","",INDEX('Per Invoice'!U$2:U$801,$W51)))</f>
        <v/>
      </c>
      <c r="V51" s="7">
        <f>IF($W51="","",IF(INDEX('Per Invoice'!V$2:V$801,$W51)="","",INDEX('Per Invoice'!V$2:V$801,$W51)))</f>
        <v/>
      </c>
      <c r="W51" s="16">
        <f>IFERROR(MATCH(Settings!$C$32&amp;"|"&amp;ROWS($W$2:$W51),'Per Invoice'!$X$2:$X$801,0),"")</f>
        <v/>
      </c>
    </row>
    <row r="52">
      <c r="A52">
        <f>IF($W52="","",IF(INDEX('Per Invoice'!A$2:A$801,$W52)="","",INDEX('Per Invoice'!A$2:A$801,$W52)))</f>
        <v/>
      </c>
      <c r="B52">
        <f>IF($W52="","",IF(INDEX('Per Invoice'!B$2:B$801,$W52)="","",INDEX('Per Invoice'!B$2:B$801,$W52)))</f>
        <v/>
      </c>
      <c r="C52">
        <f>IF($W52="","",IF(INDEX('Per Invoice'!C$2:C$801,$W52)="","",INDEX('Per Invoice'!C$2:C$801,$W52)))</f>
        <v/>
      </c>
      <c r="D52">
        <f>IF($W52="","",IF(INDEX('Per Invoice'!D$2:D$801,$W52)="","",INDEX('Per Invoice'!D$2:D$801,$W52)))</f>
        <v/>
      </c>
      <c r="E52">
        <f>IF($W52="","",IF(INDEX('Per Invoice'!E$2:E$801,$W52)="","",INDEX('Per Invoice'!E$2:E$801,$W52)))</f>
        <v/>
      </c>
      <c r="F52">
        <f>IF($W52="","",IF(INDEX('Per Invoice'!F$2:F$801,$W52)="","",INDEX('Per Invoice'!F$2:F$801,$W52)))</f>
        <v/>
      </c>
      <c r="G52">
        <f>IF($W52="","",IF(INDEX('Per Invoice'!G$2:G$801,$W52)="","",INDEX('Per Invoice'!G$2:G$801,$W52)))</f>
        <v/>
      </c>
      <c r="H52">
        <f>IF($W52="","",IF(INDEX('Per Invoice'!H$2:H$801,$W52)="","",INDEX('Per Invoice'!H$2:H$801,$W52)))</f>
        <v/>
      </c>
      <c r="I52">
        <f>IF($W52="","",IF(INDEX('Per Invoice'!I$2:I$801,$W52)="","",INDEX('Per Invoice'!I$2:I$801,$W52)))</f>
        <v/>
      </c>
      <c r="J52">
        <f>IF($W52="","",IF(INDEX('Per Invoice'!J$2:J$801,$W52)="","",INDEX('Per Invoice'!J$2:J$801,$W52)))</f>
        <v/>
      </c>
      <c r="K52" s="7">
        <f>IF($W52="","",IF(INDEX('Per Invoice'!K$2:K$801,$W52)="","",INDEX('Per Invoice'!K$2:K$801,$W52)))</f>
        <v/>
      </c>
      <c r="L52" s="14">
        <f>IF($W52="","",IF(INDEX('Per Invoice'!L$2:L$801,$W52)="","",INDEX('Per Invoice'!L$2:L$801,$W52)))</f>
        <v/>
      </c>
      <c r="M52">
        <f>IF($W52="","",IF(INDEX('Per Invoice'!M$2:M$801,$W52)="","",INDEX('Per Invoice'!M$2:M$801,$W52)))</f>
        <v/>
      </c>
      <c r="N52" s="7">
        <f>IF($W52="","",IF(INDEX('Per Invoice'!N$2:N$801,$W52)="","",INDEX('Per Invoice'!N$2:N$801,$W52)))</f>
        <v/>
      </c>
      <c r="O52" s="7">
        <f>IF($W52="","",IF(INDEX('Per Invoice'!O$2:O$801,$W52)="","",INDEX('Per Invoice'!O$2:O$801,$W52)))</f>
        <v/>
      </c>
      <c r="P52">
        <f>IF($W52="","",IF(INDEX('Per Invoice'!P$2:P$801,$W52)="","",INDEX('Per Invoice'!P$2:P$801,$W52)))</f>
        <v/>
      </c>
      <c r="Q52" s="7">
        <f>IF($W52="","",IF(INDEX('Per Invoice'!Q$2:Q$801,$W52)="","",INDEX('Per Invoice'!Q$2:Q$801,$W52)))</f>
        <v/>
      </c>
      <c r="R52" s="7">
        <f>IF($W52="","",IF(INDEX('Per Invoice'!R$2:R$801,$W52)="","",INDEX('Per Invoice'!R$2:R$801,$W52)))</f>
        <v/>
      </c>
      <c r="S52" s="7">
        <f>IF($W52="","",IF(INDEX('Per Invoice'!S$2:S$801,$W52)="","",INDEX('Per Invoice'!S$2:S$801,$W52)))</f>
        <v/>
      </c>
      <c r="T52" s="7">
        <f>IF($W52="","",IF(INDEX('Per Invoice'!T$2:T$801,$W52)="","",INDEX('Per Invoice'!T$2:T$801,$W52)))</f>
        <v/>
      </c>
      <c r="U52" s="7">
        <f>IF($W52="","",IF(INDEX('Per Invoice'!U$2:U$801,$W52)="","",INDEX('Per Invoice'!U$2:U$801,$W52)))</f>
        <v/>
      </c>
      <c r="V52" s="7">
        <f>IF($W52="","",IF(INDEX('Per Invoice'!V$2:V$801,$W52)="","",INDEX('Per Invoice'!V$2:V$801,$W52)))</f>
        <v/>
      </c>
      <c r="W52" s="16">
        <f>IFERROR(MATCH(Settings!$C$32&amp;"|"&amp;ROWS($W$2:$W52),'Per Invoice'!$X$2:$X$801,0),"")</f>
        <v/>
      </c>
    </row>
    <row r="53">
      <c r="A53">
        <f>IF($W53="","",IF(INDEX('Per Invoice'!A$2:A$801,$W53)="","",INDEX('Per Invoice'!A$2:A$801,$W53)))</f>
        <v/>
      </c>
      <c r="B53">
        <f>IF($W53="","",IF(INDEX('Per Invoice'!B$2:B$801,$W53)="","",INDEX('Per Invoice'!B$2:B$801,$W53)))</f>
        <v/>
      </c>
      <c r="C53">
        <f>IF($W53="","",IF(INDEX('Per Invoice'!C$2:C$801,$W53)="","",INDEX('Per Invoice'!C$2:C$801,$W53)))</f>
        <v/>
      </c>
      <c r="D53">
        <f>IF($W53="","",IF(INDEX('Per Invoice'!D$2:D$801,$W53)="","",INDEX('Per Invoice'!D$2:D$801,$W53)))</f>
        <v/>
      </c>
      <c r="E53">
        <f>IF($W53="","",IF(INDEX('Per Invoice'!E$2:E$801,$W53)="","",INDEX('Per Invoice'!E$2:E$801,$W53)))</f>
        <v/>
      </c>
      <c r="F53">
        <f>IF($W53="","",IF(INDEX('Per Invoice'!F$2:F$801,$W53)="","",INDEX('Per Invoice'!F$2:F$801,$W53)))</f>
        <v/>
      </c>
      <c r="G53">
        <f>IF($W53="","",IF(INDEX('Per Invoice'!G$2:G$801,$W53)="","",INDEX('Per Invoice'!G$2:G$801,$W53)))</f>
        <v/>
      </c>
      <c r="H53">
        <f>IF($W53="","",IF(INDEX('Per Invoice'!H$2:H$801,$W53)="","",INDEX('Per Invoice'!H$2:H$801,$W53)))</f>
        <v/>
      </c>
      <c r="I53">
        <f>IF($W53="","",IF(INDEX('Per Invoice'!I$2:I$801,$W53)="","",INDEX('Per Invoice'!I$2:I$801,$W53)))</f>
        <v/>
      </c>
      <c r="J53">
        <f>IF($W53="","",IF(INDEX('Per Invoice'!J$2:J$801,$W53)="","",INDEX('Per Invoice'!J$2:J$801,$W53)))</f>
        <v/>
      </c>
      <c r="K53" s="7">
        <f>IF($W53="","",IF(INDEX('Per Invoice'!K$2:K$801,$W53)="","",INDEX('Per Invoice'!K$2:K$801,$W53)))</f>
        <v/>
      </c>
      <c r="L53" s="14">
        <f>IF($W53="","",IF(INDEX('Per Invoice'!L$2:L$801,$W53)="","",INDEX('Per Invoice'!L$2:L$801,$W53)))</f>
        <v/>
      </c>
      <c r="M53">
        <f>IF($W53="","",IF(INDEX('Per Invoice'!M$2:M$801,$W53)="","",INDEX('Per Invoice'!M$2:M$801,$W53)))</f>
        <v/>
      </c>
      <c r="N53" s="7">
        <f>IF($W53="","",IF(INDEX('Per Invoice'!N$2:N$801,$W53)="","",INDEX('Per Invoice'!N$2:N$801,$W53)))</f>
        <v/>
      </c>
      <c r="O53" s="7">
        <f>IF($W53="","",IF(INDEX('Per Invoice'!O$2:O$801,$W53)="","",INDEX('Per Invoice'!O$2:O$801,$W53)))</f>
        <v/>
      </c>
      <c r="P53">
        <f>IF($W53="","",IF(INDEX('Per Invoice'!P$2:P$801,$W53)="","",INDEX('Per Invoice'!P$2:P$801,$W53)))</f>
        <v/>
      </c>
      <c r="Q53" s="7">
        <f>IF($W53="","",IF(INDEX('Per Invoice'!Q$2:Q$801,$W53)="","",INDEX('Per Invoice'!Q$2:Q$801,$W53)))</f>
        <v/>
      </c>
      <c r="R53" s="7">
        <f>IF($W53="","",IF(INDEX('Per Invoice'!R$2:R$801,$W53)="","",INDEX('Per Invoice'!R$2:R$801,$W53)))</f>
        <v/>
      </c>
      <c r="S53" s="7">
        <f>IF($W53="","",IF(INDEX('Per Invoice'!S$2:S$801,$W53)="","",INDEX('Per Invoice'!S$2:S$801,$W53)))</f>
        <v/>
      </c>
      <c r="T53" s="7">
        <f>IF($W53="","",IF(INDEX('Per Invoice'!T$2:T$801,$W53)="","",INDEX('Per Invoice'!T$2:T$801,$W53)))</f>
        <v/>
      </c>
      <c r="U53" s="7">
        <f>IF($W53="","",IF(INDEX('Per Invoice'!U$2:U$801,$W53)="","",INDEX('Per Invoice'!U$2:U$801,$W53)))</f>
        <v/>
      </c>
      <c r="V53" s="7">
        <f>IF($W53="","",IF(INDEX('Per Invoice'!V$2:V$801,$W53)="","",INDEX('Per Invoice'!V$2:V$801,$W53)))</f>
        <v/>
      </c>
      <c r="W53" s="16">
        <f>IFERROR(MATCH(Settings!$C$32&amp;"|"&amp;ROWS($W$2:$W53),'Per Invoice'!$X$2:$X$801,0),"")</f>
        <v/>
      </c>
    </row>
    <row r="54">
      <c r="A54">
        <f>IF($W54="","",IF(INDEX('Per Invoice'!A$2:A$801,$W54)="","",INDEX('Per Invoice'!A$2:A$801,$W54)))</f>
        <v/>
      </c>
      <c r="B54">
        <f>IF($W54="","",IF(INDEX('Per Invoice'!B$2:B$801,$W54)="","",INDEX('Per Invoice'!B$2:B$801,$W54)))</f>
        <v/>
      </c>
      <c r="C54">
        <f>IF($W54="","",IF(INDEX('Per Invoice'!C$2:C$801,$W54)="","",INDEX('Per Invoice'!C$2:C$801,$W54)))</f>
        <v/>
      </c>
      <c r="D54">
        <f>IF($W54="","",IF(INDEX('Per Invoice'!D$2:D$801,$W54)="","",INDEX('Per Invoice'!D$2:D$801,$W54)))</f>
        <v/>
      </c>
      <c r="E54">
        <f>IF($W54="","",IF(INDEX('Per Invoice'!E$2:E$801,$W54)="","",INDEX('Per Invoice'!E$2:E$801,$W54)))</f>
        <v/>
      </c>
      <c r="F54">
        <f>IF($W54="","",IF(INDEX('Per Invoice'!F$2:F$801,$W54)="","",INDEX('Per Invoice'!F$2:F$801,$W54)))</f>
        <v/>
      </c>
      <c r="G54">
        <f>IF($W54="","",IF(INDEX('Per Invoice'!G$2:G$801,$W54)="","",INDEX('Per Invoice'!G$2:G$801,$W54)))</f>
        <v/>
      </c>
      <c r="H54">
        <f>IF($W54="","",IF(INDEX('Per Invoice'!H$2:H$801,$W54)="","",INDEX('Per Invoice'!H$2:H$801,$W54)))</f>
        <v/>
      </c>
      <c r="I54">
        <f>IF($W54="","",IF(INDEX('Per Invoice'!I$2:I$801,$W54)="","",INDEX('Per Invoice'!I$2:I$801,$W54)))</f>
        <v/>
      </c>
      <c r="J54">
        <f>IF($W54="","",IF(INDEX('Per Invoice'!J$2:J$801,$W54)="","",INDEX('Per Invoice'!J$2:J$801,$W54)))</f>
        <v/>
      </c>
      <c r="K54" s="7">
        <f>IF($W54="","",IF(INDEX('Per Invoice'!K$2:K$801,$W54)="","",INDEX('Per Invoice'!K$2:K$801,$W54)))</f>
        <v/>
      </c>
      <c r="L54" s="14">
        <f>IF($W54="","",IF(INDEX('Per Invoice'!L$2:L$801,$W54)="","",INDEX('Per Invoice'!L$2:L$801,$W54)))</f>
        <v/>
      </c>
      <c r="M54">
        <f>IF($W54="","",IF(INDEX('Per Invoice'!M$2:M$801,$W54)="","",INDEX('Per Invoice'!M$2:M$801,$W54)))</f>
        <v/>
      </c>
      <c r="N54" s="7">
        <f>IF($W54="","",IF(INDEX('Per Invoice'!N$2:N$801,$W54)="","",INDEX('Per Invoice'!N$2:N$801,$W54)))</f>
        <v/>
      </c>
      <c r="O54" s="7">
        <f>IF($W54="","",IF(INDEX('Per Invoice'!O$2:O$801,$W54)="","",INDEX('Per Invoice'!O$2:O$801,$W54)))</f>
        <v/>
      </c>
      <c r="P54">
        <f>IF($W54="","",IF(INDEX('Per Invoice'!P$2:P$801,$W54)="","",INDEX('Per Invoice'!P$2:P$801,$W54)))</f>
        <v/>
      </c>
      <c r="Q54" s="7">
        <f>IF($W54="","",IF(INDEX('Per Invoice'!Q$2:Q$801,$W54)="","",INDEX('Per Invoice'!Q$2:Q$801,$W54)))</f>
        <v/>
      </c>
      <c r="R54" s="7">
        <f>IF($W54="","",IF(INDEX('Per Invoice'!R$2:R$801,$W54)="","",INDEX('Per Invoice'!R$2:R$801,$W54)))</f>
        <v/>
      </c>
      <c r="S54" s="7">
        <f>IF($W54="","",IF(INDEX('Per Invoice'!S$2:S$801,$W54)="","",INDEX('Per Invoice'!S$2:S$801,$W54)))</f>
        <v/>
      </c>
      <c r="T54" s="7">
        <f>IF($W54="","",IF(INDEX('Per Invoice'!T$2:T$801,$W54)="","",INDEX('Per Invoice'!T$2:T$801,$W54)))</f>
        <v/>
      </c>
      <c r="U54" s="7">
        <f>IF($W54="","",IF(INDEX('Per Invoice'!U$2:U$801,$W54)="","",INDEX('Per Invoice'!U$2:U$801,$W54)))</f>
        <v/>
      </c>
      <c r="V54" s="7">
        <f>IF($W54="","",IF(INDEX('Per Invoice'!V$2:V$801,$W54)="","",INDEX('Per Invoice'!V$2:V$801,$W54)))</f>
        <v/>
      </c>
      <c r="W54" s="16">
        <f>IFERROR(MATCH(Settings!$C$32&amp;"|"&amp;ROWS($W$2:$W54),'Per Invoice'!$X$2:$X$801,0),"")</f>
        <v/>
      </c>
    </row>
    <row r="55">
      <c r="A55">
        <f>IF($W55="","",IF(INDEX('Per Invoice'!A$2:A$801,$W55)="","",INDEX('Per Invoice'!A$2:A$801,$W55)))</f>
        <v/>
      </c>
      <c r="B55">
        <f>IF($W55="","",IF(INDEX('Per Invoice'!B$2:B$801,$W55)="","",INDEX('Per Invoice'!B$2:B$801,$W55)))</f>
        <v/>
      </c>
      <c r="C55">
        <f>IF($W55="","",IF(INDEX('Per Invoice'!C$2:C$801,$W55)="","",INDEX('Per Invoice'!C$2:C$801,$W55)))</f>
        <v/>
      </c>
      <c r="D55">
        <f>IF($W55="","",IF(INDEX('Per Invoice'!D$2:D$801,$W55)="","",INDEX('Per Invoice'!D$2:D$801,$W55)))</f>
        <v/>
      </c>
      <c r="E55">
        <f>IF($W55="","",IF(INDEX('Per Invoice'!E$2:E$801,$W55)="","",INDEX('Per Invoice'!E$2:E$801,$W55)))</f>
        <v/>
      </c>
      <c r="F55">
        <f>IF($W55="","",IF(INDEX('Per Invoice'!F$2:F$801,$W55)="","",INDEX('Per Invoice'!F$2:F$801,$W55)))</f>
        <v/>
      </c>
      <c r="G55">
        <f>IF($W55="","",IF(INDEX('Per Invoice'!G$2:G$801,$W55)="","",INDEX('Per Invoice'!G$2:G$801,$W55)))</f>
        <v/>
      </c>
      <c r="H55">
        <f>IF($W55="","",IF(INDEX('Per Invoice'!H$2:H$801,$W55)="","",INDEX('Per Invoice'!H$2:H$801,$W55)))</f>
        <v/>
      </c>
      <c r="I55">
        <f>IF($W55="","",IF(INDEX('Per Invoice'!I$2:I$801,$W55)="","",INDEX('Per Invoice'!I$2:I$801,$W55)))</f>
        <v/>
      </c>
      <c r="J55">
        <f>IF($W55="","",IF(INDEX('Per Invoice'!J$2:J$801,$W55)="","",INDEX('Per Invoice'!J$2:J$801,$W55)))</f>
        <v/>
      </c>
      <c r="K55" s="7">
        <f>IF($W55="","",IF(INDEX('Per Invoice'!K$2:K$801,$W55)="","",INDEX('Per Invoice'!K$2:K$801,$W55)))</f>
        <v/>
      </c>
      <c r="L55" s="14">
        <f>IF($W55="","",IF(INDEX('Per Invoice'!L$2:L$801,$W55)="","",INDEX('Per Invoice'!L$2:L$801,$W55)))</f>
        <v/>
      </c>
      <c r="M55">
        <f>IF($W55="","",IF(INDEX('Per Invoice'!M$2:M$801,$W55)="","",INDEX('Per Invoice'!M$2:M$801,$W55)))</f>
        <v/>
      </c>
      <c r="N55" s="7">
        <f>IF($W55="","",IF(INDEX('Per Invoice'!N$2:N$801,$W55)="","",INDEX('Per Invoice'!N$2:N$801,$W55)))</f>
        <v/>
      </c>
      <c r="O55" s="7">
        <f>IF($W55="","",IF(INDEX('Per Invoice'!O$2:O$801,$W55)="","",INDEX('Per Invoice'!O$2:O$801,$W55)))</f>
        <v/>
      </c>
      <c r="P55">
        <f>IF($W55="","",IF(INDEX('Per Invoice'!P$2:P$801,$W55)="","",INDEX('Per Invoice'!P$2:P$801,$W55)))</f>
        <v/>
      </c>
      <c r="Q55" s="7">
        <f>IF($W55="","",IF(INDEX('Per Invoice'!Q$2:Q$801,$W55)="","",INDEX('Per Invoice'!Q$2:Q$801,$W55)))</f>
        <v/>
      </c>
      <c r="R55" s="7">
        <f>IF($W55="","",IF(INDEX('Per Invoice'!R$2:R$801,$W55)="","",INDEX('Per Invoice'!R$2:R$801,$W55)))</f>
        <v/>
      </c>
      <c r="S55" s="7">
        <f>IF($W55="","",IF(INDEX('Per Invoice'!S$2:S$801,$W55)="","",INDEX('Per Invoice'!S$2:S$801,$W55)))</f>
        <v/>
      </c>
      <c r="T55" s="7">
        <f>IF($W55="","",IF(INDEX('Per Invoice'!T$2:T$801,$W55)="","",INDEX('Per Invoice'!T$2:T$801,$W55)))</f>
        <v/>
      </c>
      <c r="U55" s="7">
        <f>IF($W55="","",IF(INDEX('Per Invoice'!U$2:U$801,$W55)="","",INDEX('Per Invoice'!U$2:U$801,$W55)))</f>
        <v/>
      </c>
      <c r="V55" s="7">
        <f>IF($W55="","",IF(INDEX('Per Invoice'!V$2:V$801,$W55)="","",INDEX('Per Invoice'!V$2:V$801,$W55)))</f>
        <v/>
      </c>
      <c r="W55" s="16">
        <f>IFERROR(MATCH(Settings!$C$32&amp;"|"&amp;ROWS($W$2:$W55),'Per Invoice'!$X$2:$X$801,0),"")</f>
        <v/>
      </c>
    </row>
    <row r="56">
      <c r="A56">
        <f>IF($W56="","",IF(INDEX('Per Invoice'!A$2:A$801,$W56)="","",INDEX('Per Invoice'!A$2:A$801,$W56)))</f>
        <v/>
      </c>
      <c r="B56">
        <f>IF($W56="","",IF(INDEX('Per Invoice'!B$2:B$801,$W56)="","",INDEX('Per Invoice'!B$2:B$801,$W56)))</f>
        <v/>
      </c>
      <c r="C56">
        <f>IF($W56="","",IF(INDEX('Per Invoice'!C$2:C$801,$W56)="","",INDEX('Per Invoice'!C$2:C$801,$W56)))</f>
        <v/>
      </c>
      <c r="D56">
        <f>IF($W56="","",IF(INDEX('Per Invoice'!D$2:D$801,$W56)="","",INDEX('Per Invoice'!D$2:D$801,$W56)))</f>
        <v/>
      </c>
      <c r="E56">
        <f>IF($W56="","",IF(INDEX('Per Invoice'!E$2:E$801,$W56)="","",INDEX('Per Invoice'!E$2:E$801,$W56)))</f>
        <v/>
      </c>
      <c r="F56">
        <f>IF($W56="","",IF(INDEX('Per Invoice'!F$2:F$801,$W56)="","",INDEX('Per Invoice'!F$2:F$801,$W56)))</f>
        <v/>
      </c>
      <c r="G56">
        <f>IF($W56="","",IF(INDEX('Per Invoice'!G$2:G$801,$W56)="","",INDEX('Per Invoice'!G$2:G$801,$W56)))</f>
        <v/>
      </c>
      <c r="H56">
        <f>IF($W56="","",IF(INDEX('Per Invoice'!H$2:H$801,$W56)="","",INDEX('Per Invoice'!H$2:H$801,$W56)))</f>
        <v/>
      </c>
      <c r="I56">
        <f>IF($W56="","",IF(INDEX('Per Invoice'!I$2:I$801,$W56)="","",INDEX('Per Invoice'!I$2:I$801,$W56)))</f>
        <v/>
      </c>
      <c r="J56">
        <f>IF($W56="","",IF(INDEX('Per Invoice'!J$2:J$801,$W56)="","",INDEX('Per Invoice'!J$2:J$801,$W56)))</f>
        <v/>
      </c>
      <c r="K56" s="7">
        <f>IF($W56="","",IF(INDEX('Per Invoice'!K$2:K$801,$W56)="","",INDEX('Per Invoice'!K$2:K$801,$W56)))</f>
        <v/>
      </c>
      <c r="L56" s="14">
        <f>IF($W56="","",IF(INDEX('Per Invoice'!L$2:L$801,$W56)="","",INDEX('Per Invoice'!L$2:L$801,$W56)))</f>
        <v/>
      </c>
      <c r="M56">
        <f>IF($W56="","",IF(INDEX('Per Invoice'!M$2:M$801,$W56)="","",INDEX('Per Invoice'!M$2:M$801,$W56)))</f>
        <v/>
      </c>
      <c r="N56" s="7">
        <f>IF($W56="","",IF(INDEX('Per Invoice'!N$2:N$801,$W56)="","",INDEX('Per Invoice'!N$2:N$801,$W56)))</f>
        <v/>
      </c>
      <c r="O56" s="7">
        <f>IF($W56="","",IF(INDEX('Per Invoice'!O$2:O$801,$W56)="","",INDEX('Per Invoice'!O$2:O$801,$W56)))</f>
        <v/>
      </c>
      <c r="P56">
        <f>IF($W56="","",IF(INDEX('Per Invoice'!P$2:P$801,$W56)="","",INDEX('Per Invoice'!P$2:P$801,$W56)))</f>
        <v/>
      </c>
      <c r="Q56" s="7">
        <f>IF($W56="","",IF(INDEX('Per Invoice'!Q$2:Q$801,$W56)="","",INDEX('Per Invoice'!Q$2:Q$801,$W56)))</f>
        <v/>
      </c>
      <c r="R56" s="7">
        <f>IF($W56="","",IF(INDEX('Per Invoice'!R$2:R$801,$W56)="","",INDEX('Per Invoice'!R$2:R$801,$W56)))</f>
        <v/>
      </c>
      <c r="S56" s="7">
        <f>IF($W56="","",IF(INDEX('Per Invoice'!S$2:S$801,$W56)="","",INDEX('Per Invoice'!S$2:S$801,$W56)))</f>
        <v/>
      </c>
      <c r="T56" s="7">
        <f>IF($W56="","",IF(INDEX('Per Invoice'!T$2:T$801,$W56)="","",INDEX('Per Invoice'!T$2:T$801,$W56)))</f>
        <v/>
      </c>
      <c r="U56" s="7">
        <f>IF($W56="","",IF(INDEX('Per Invoice'!U$2:U$801,$W56)="","",INDEX('Per Invoice'!U$2:U$801,$W56)))</f>
        <v/>
      </c>
      <c r="V56" s="7">
        <f>IF($W56="","",IF(INDEX('Per Invoice'!V$2:V$801,$W56)="","",INDEX('Per Invoice'!V$2:V$801,$W56)))</f>
        <v/>
      </c>
      <c r="W56" s="16">
        <f>IFERROR(MATCH(Settings!$C$32&amp;"|"&amp;ROWS($W$2:$W56),'Per Invoice'!$X$2:$X$801,0),"")</f>
        <v/>
      </c>
    </row>
    <row r="57">
      <c r="A57">
        <f>IF($W57="","",IF(INDEX('Per Invoice'!A$2:A$801,$W57)="","",INDEX('Per Invoice'!A$2:A$801,$W57)))</f>
        <v/>
      </c>
      <c r="B57">
        <f>IF($W57="","",IF(INDEX('Per Invoice'!B$2:B$801,$W57)="","",INDEX('Per Invoice'!B$2:B$801,$W57)))</f>
        <v/>
      </c>
      <c r="C57">
        <f>IF($W57="","",IF(INDEX('Per Invoice'!C$2:C$801,$W57)="","",INDEX('Per Invoice'!C$2:C$801,$W57)))</f>
        <v/>
      </c>
      <c r="D57">
        <f>IF($W57="","",IF(INDEX('Per Invoice'!D$2:D$801,$W57)="","",INDEX('Per Invoice'!D$2:D$801,$W57)))</f>
        <v/>
      </c>
      <c r="E57">
        <f>IF($W57="","",IF(INDEX('Per Invoice'!E$2:E$801,$W57)="","",INDEX('Per Invoice'!E$2:E$801,$W57)))</f>
        <v/>
      </c>
      <c r="F57">
        <f>IF($W57="","",IF(INDEX('Per Invoice'!F$2:F$801,$W57)="","",INDEX('Per Invoice'!F$2:F$801,$W57)))</f>
        <v/>
      </c>
      <c r="G57">
        <f>IF($W57="","",IF(INDEX('Per Invoice'!G$2:G$801,$W57)="","",INDEX('Per Invoice'!G$2:G$801,$W57)))</f>
        <v/>
      </c>
      <c r="H57">
        <f>IF($W57="","",IF(INDEX('Per Invoice'!H$2:H$801,$W57)="","",INDEX('Per Invoice'!H$2:H$801,$W57)))</f>
        <v/>
      </c>
      <c r="I57">
        <f>IF($W57="","",IF(INDEX('Per Invoice'!I$2:I$801,$W57)="","",INDEX('Per Invoice'!I$2:I$801,$W57)))</f>
        <v/>
      </c>
      <c r="J57">
        <f>IF($W57="","",IF(INDEX('Per Invoice'!J$2:J$801,$W57)="","",INDEX('Per Invoice'!J$2:J$801,$W57)))</f>
        <v/>
      </c>
      <c r="K57" s="7">
        <f>IF($W57="","",IF(INDEX('Per Invoice'!K$2:K$801,$W57)="","",INDEX('Per Invoice'!K$2:K$801,$W57)))</f>
        <v/>
      </c>
      <c r="L57" s="14">
        <f>IF($W57="","",IF(INDEX('Per Invoice'!L$2:L$801,$W57)="","",INDEX('Per Invoice'!L$2:L$801,$W57)))</f>
        <v/>
      </c>
      <c r="M57">
        <f>IF($W57="","",IF(INDEX('Per Invoice'!M$2:M$801,$W57)="","",INDEX('Per Invoice'!M$2:M$801,$W57)))</f>
        <v/>
      </c>
      <c r="N57" s="7">
        <f>IF($W57="","",IF(INDEX('Per Invoice'!N$2:N$801,$W57)="","",INDEX('Per Invoice'!N$2:N$801,$W57)))</f>
        <v/>
      </c>
      <c r="O57" s="7">
        <f>IF($W57="","",IF(INDEX('Per Invoice'!O$2:O$801,$W57)="","",INDEX('Per Invoice'!O$2:O$801,$W57)))</f>
        <v/>
      </c>
      <c r="P57">
        <f>IF($W57="","",IF(INDEX('Per Invoice'!P$2:P$801,$W57)="","",INDEX('Per Invoice'!P$2:P$801,$W57)))</f>
        <v/>
      </c>
      <c r="Q57" s="7">
        <f>IF($W57="","",IF(INDEX('Per Invoice'!Q$2:Q$801,$W57)="","",INDEX('Per Invoice'!Q$2:Q$801,$W57)))</f>
        <v/>
      </c>
      <c r="R57" s="7">
        <f>IF($W57="","",IF(INDEX('Per Invoice'!R$2:R$801,$W57)="","",INDEX('Per Invoice'!R$2:R$801,$W57)))</f>
        <v/>
      </c>
      <c r="S57" s="7">
        <f>IF($W57="","",IF(INDEX('Per Invoice'!S$2:S$801,$W57)="","",INDEX('Per Invoice'!S$2:S$801,$W57)))</f>
        <v/>
      </c>
      <c r="T57" s="7">
        <f>IF($W57="","",IF(INDEX('Per Invoice'!T$2:T$801,$W57)="","",INDEX('Per Invoice'!T$2:T$801,$W57)))</f>
        <v/>
      </c>
      <c r="U57" s="7">
        <f>IF($W57="","",IF(INDEX('Per Invoice'!U$2:U$801,$W57)="","",INDEX('Per Invoice'!U$2:U$801,$W57)))</f>
        <v/>
      </c>
      <c r="V57" s="7">
        <f>IF($W57="","",IF(INDEX('Per Invoice'!V$2:V$801,$W57)="","",INDEX('Per Invoice'!V$2:V$801,$W57)))</f>
        <v/>
      </c>
      <c r="W57" s="16">
        <f>IFERROR(MATCH(Settings!$C$32&amp;"|"&amp;ROWS($W$2:$W57),'Per Invoice'!$X$2:$X$801,0),"")</f>
        <v/>
      </c>
    </row>
    <row r="58">
      <c r="A58">
        <f>IF($W58="","",IF(INDEX('Per Invoice'!A$2:A$801,$W58)="","",INDEX('Per Invoice'!A$2:A$801,$W58)))</f>
        <v/>
      </c>
      <c r="B58">
        <f>IF($W58="","",IF(INDEX('Per Invoice'!B$2:B$801,$W58)="","",INDEX('Per Invoice'!B$2:B$801,$W58)))</f>
        <v/>
      </c>
      <c r="C58">
        <f>IF($W58="","",IF(INDEX('Per Invoice'!C$2:C$801,$W58)="","",INDEX('Per Invoice'!C$2:C$801,$W58)))</f>
        <v/>
      </c>
      <c r="D58">
        <f>IF($W58="","",IF(INDEX('Per Invoice'!D$2:D$801,$W58)="","",INDEX('Per Invoice'!D$2:D$801,$W58)))</f>
        <v/>
      </c>
      <c r="E58">
        <f>IF($W58="","",IF(INDEX('Per Invoice'!E$2:E$801,$W58)="","",INDEX('Per Invoice'!E$2:E$801,$W58)))</f>
        <v/>
      </c>
      <c r="F58">
        <f>IF($W58="","",IF(INDEX('Per Invoice'!F$2:F$801,$W58)="","",INDEX('Per Invoice'!F$2:F$801,$W58)))</f>
        <v/>
      </c>
      <c r="G58">
        <f>IF($W58="","",IF(INDEX('Per Invoice'!G$2:G$801,$W58)="","",INDEX('Per Invoice'!G$2:G$801,$W58)))</f>
        <v/>
      </c>
      <c r="H58">
        <f>IF($W58="","",IF(INDEX('Per Invoice'!H$2:H$801,$W58)="","",INDEX('Per Invoice'!H$2:H$801,$W58)))</f>
        <v/>
      </c>
      <c r="I58">
        <f>IF($W58="","",IF(INDEX('Per Invoice'!I$2:I$801,$W58)="","",INDEX('Per Invoice'!I$2:I$801,$W58)))</f>
        <v/>
      </c>
      <c r="J58">
        <f>IF($W58="","",IF(INDEX('Per Invoice'!J$2:J$801,$W58)="","",INDEX('Per Invoice'!J$2:J$801,$W58)))</f>
        <v/>
      </c>
      <c r="K58" s="7">
        <f>IF($W58="","",IF(INDEX('Per Invoice'!K$2:K$801,$W58)="","",INDEX('Per Invoice'!K$2:K$801,$W58)))</f>
        <v/>
      </c>
      <c r="L58" s="14">
        <f>IF($W58="","",IF(INDEX('Per Invoice'!L$2:L$801,$W58)="","",INDEX('Per Invoice'!L$2:L$801,$W58)))</f>
        <v/>
      </c>
      <c r="M58">
        <f>IF($W58="","",IF(INDEX('Per Invoice'!M$2:M$801,$W58)="","",INDEX('Per Invoice'!M$2:M$801,$W58)))</f>
        <v/>
      </c>
      <c r="N58" s="7">
        <f>IF($W58="","",IF(INDEX('Per Invoice'!N$2:N$801,$W58)="","",INDEX('Per Invoice'!N$2:N$801,$W58)))</f>
        <v/>
      </c>
      <c r="O58" s="7">
        <f>IF($W58="","",IF(INDEX('Per Invoice'!O$2:O$801,$W58)="","",INDEX('Per Invoice'!O$2:O$801,$W58)))</f>
        <v/>
      </c>
      <c r="P58">
        <f>IF($W58="","",IF(INDEX('Per Invoice'!P$2:P$801,$W58)="","",INDEX('Per Invoice'!P$2:P$801,$W58)))</f>
        <v/>
      </c>
      <c r="Q58" s="7">
        <f>IF($W58="","",IF(INDEX('Per Invoice'!Q$2:Q$801,$W58)="","",INDEX('Per Invoice'!Q$2:Q$801,$W58)))</f>
        <v/>
      </c>
      <c r="R58" s="7">
        <f>IF($W58="","",IF(INDEX('Per Invoice'!R$2:R$801,$W58)="","",INDEX('Per Invoice'!R$2:R$801,$W58)))</f>
        <v/>
      </c>
      <c r="S58" s="7">
        <f>IF($W58="","",IF(INDEX('Per Invoice'!S$2:S$801,$W58)="","",INDEX('Per Invoice'!S$2:S$801,$W58)))</f>
        <v/>
      </c>
      <c r="T58" s="7">
        <f>IF($W58="","",IF(INDEX('Per Invoice'!T$2:T$801,$W58)="","",INDEX('Per Invoice'!T$2:T$801,$W58)))</f>
        <v/>
      </c>
      <c r="U58" s="7">
        <f>IF($W58="","",IF(INDEX('Per Invoice'!U$2:U$801,$W58)="","",INDEX('Per Invoice'!U$2:U$801,$W58)))</f>
        <v/>
      </c>
      <c r="V58" s="7">
        <f>IF($W58="","",IF(INDEX('Per Invoice'!V$2:V$801,$W58)="","",INDEX('Per Invoice'!V$2:V$801,$W58)))</f>
        <v/>
      </c>
      <c r="W58" s="16">
        <f>IFERROR(MATCH(Settings!$C$32&amp;"|"&amp;ROWS($W$2:$W58),'Per Invoice'!$X$2:$X$801,0),"")</f>
        <v/>
      </c>
    </row>
    <row r="59">
      <c r="A59">
        <f>IF($W59="","",IF(INDEX('Per Invoice'!A$2:A$801,$W59)="","",INDEX('Per Invoice'!A$2:A$801,$W59)))</f>
        <v/>
      </c>
      <c r="B59">
        <f>IF($W59="","",IF(INDEX('Per Invoice'!B$2:B$801,$W59)="","",INDEX('Per Invoice'!B$2:B$801,$W59)))</f>
        <v/>
      </c>
      <c r="C59">
        <f>IF($W59="","",IF(INDEX('Per Invoice'!C$2:C$801,$W59)="","",INDEX('Per Invoice'!C$2:C$801,$W59)))</f>
        <v/>
      </c>
      <c r="D59">
        <f>IF($W59="","",IF(INDEX('Per Invoice'!D$2:D$801,$W59)="","",INDEX('Per Invoice'!D$2:D$801,$W59)))</f>
        <v/>
      </c>
      <c r="E59">
        <f>IF($W59="","",IF(INDEX('Per Invoice'!E$2:E$801,$W59)="","",INDEX('Per Invoice'!E$2:E$801,$W59)))</f>
        <v/>
      </c>
      <c r="F59">
        <f>IF($W59="","",IF(INDEX('Per Invoice'!F$2:F$801,$W59)="","",INDEX('Per Invoice'!F$2:F$801,$W59)))</f>
        <v/>
      </c>
      <c r="G59">
        <f>IF($W59="","",IF(INDEX('Per Invoice'!G$2:G$801,$W59)="","",INDEX('Per Invoice'!G$2:G$801,$W59)))</f>
        <v/>
      </c>
      <c r="H59">
        <f>IF($W59="","",IF(INDEX('Per Invoice'!H$2:H$801,$W59)="","",INDEX('Per Invoice'!H$2:H$801,$W59)))</f>
        <v/>
      </c>
      <c r="I59">
        <f>IF($W59="","",IF(INDEX('Per Invoice'!I$2:I$801,$W59)="","",INDEX('Per Invoice'!I$2:I$801,$W59)))</f>
        <v/>
      </c>
      <c r="J59">
        <f>IF($W59="","",IF(INDEX('Per Invoice'!J$2:J$801,$W59)="","",INDEX('Per Invoice'!J$2:J$801,$W59)))</f>
        <v/>
      </c>
      <c r="K59" s="7">
        <f>IF($W59="","",IF(INDEX('Per Invoice'!K$2:K$801,$W59)="","",INDEX('Per Invoice'!K$2:K$801,$W59)))</f>
        <v/>
      </c>
      <c r="L59" s="14">
        <f>IF($W59="","",IF(INDEX('Per Invoice'!L$2:L$801,$W59)="","",INDEX('Per Invoice'!L$2:L$801,$W59)))</f>
        <v/>
      </c>
      <c r="M59">
        <f>IF($W59="","",IF(INDEX('Per Invoice'!M$2:M$801,$W59)="","",INDEX('Per Invoice'!M$2:M$801,$W59)))</f>
        <v/>
      </c>
      <c r="N59" s="7">
        <f>IF($W59="","",IF(INDEX('Per Invoice'!N$2:N$801,$W59)="","",INDEX('Per Invoice'!N$2:N$801,$W59)))</f>
        <v/>
      </c>
      <c r="O59" s="7">
        <f>IF($W59="","",IF(INDEX('Per Invoice'!O$2:O$801,$W59)="","",INDEX('Per Invoice'!O$2:O$801,$W59)))</f>
        <v/>
      </c>
      <c r="P59">
        <f>IF($W59="","",IF(INDEX('Per Invoice'!P$2:P$801,$W59)="","",INDEX('Per Invoice'!P$2:P$801,$W59)))</f>
        <v/>
      </c>
      <c r="Q59" s="7">
        <f>IF($W59="","",IF(INDEX('Per Invoice'!Q$2:Q$801,$W59)="","",INDEX('Per Invoice'!Q$2:Q$801,$W59)))</f>
        <v/>
      </c>
      <c r="R59" s="7">
        <f>IF($W59="","",IF(INDEX('Per Invoice'!R$2:R$801,$W59)="","",INDEX('Per Invoice'!R$2:R$801,$W59)))</f>
        <v/>
      </c>
      <c r="S59" s="7">
        <f>IF($W59="","",IF(INDEX('Per Invoice'!S$2:S$801,$W59)="","",INDEX('Per Invoice'!S$2:S$801,$W59)))</f>
        <v/>
      </c>
      <c r="T59" s="7">
        <f>IF($W59="","",IF(INDEX('Per Invoice'!T$2:T$801,$W59)="","",INDEX('Per Invoice'!T$2:T$801,$W59)))</f>
        <v/>
      </c>
      <c r="U59" s="7">
        <f>IF($W59="","",IF(INDEX('Per Invoice'!U$2:U$801,$W59)="","",INDEX('Per Invoice'!U$2:U$801,$W59)))</f>
        <v/>
      </c>
      <c r="V59" s="7">
        <f>IF($W59="","",IF(INDEX('Per Invoice'!V$2:V$801,$W59)="","",INDEX('Per Invoice'!V$2:V$801,$W59)))</f>
        <v/>
      </c>
      <c r="W59" s="16">
        <f>IFERROR(MATCH(Settings!$C$32&amp;"|"&amp;ROWS($W$2:$W59),'Per Invoice'!$X$2:$X$801,0),"")</f>
        <v/>
      </c>
    </row>
    <row r="60">
      <c r="A60">
        <f>IF($W60="","",IF(INDEX('Per Invoice'!A$2:A$801,$W60)="","",INDEX('Per Invoice'!A$2:A$801,$W60)))</f>
        <v/>
      </c>
      <c r="B60">
        <f>IF($W60="","",IF(INDEX('Per Invoice'!B$2:B$801,$W60)="","",INDEX('Per Invoice'!B$2:B$801,$W60)))</f>
        <v/>
      </c>
      <c r="C60">
        <f>IF($W60="","",IF(INDEX('Per Invoice'!C$2:C$801,$W60)="","",INDEX('Per Invoice'!C$2:C$801,$W60)))</f>
        <v/>
      </c>
      <c r="D60">
        <f>IF($W60="","",IF(INDEX('Per Invoice'!D$2:D$801,$W60)="","",INDEX('Per Invoice'!D$2:D$801,$W60)))</f>
        <v/>
      </c>
      <c r="E60">
        <f>IF($W60="","",IF(INDEX('Per Invoice'!E$2:E$801,$W60)="","",INDEX('Per Invoice'!E$2:E$801,$W60)))</f>
        <v/>
      </c>
      <c r="F60">
        <f>IF($W60="","",IF(INDEX('Per Invoice'!F$2:F$801,$W60)="","",INDEX('Per Invoice'!F$2:F$801,$W60)))</f>
        <v/>
      </c>
      <c r="G60">
        <f>IF($W60="","",IF(INDEX('Per Invoice'!G$2:G$801,$W60)="","",INDEX('Per Invoice'!G$2:G$801,$W60)))</f>
        <v/>
      </c>
      <c r="H60">
        <f>IF($W60="","",IF(INDEX('Per Invoice'!H$2:H$801,$W60)="","",INDEX('Per Invoice'!H$2:H$801,$W60)))</f>
        <v/>
      </c>
      <c r="I60">
        <f>IF($W60="","",IF(INDEX('Per Invoice'!I$2:I$801,$W60)="","",INDEX('Per Invoice'!I$2:I$801,$W60)))</f>
        <v/>
      </c>
      <c r="J60">
        <f>IF($W60="","",IF(INDEX('Per Invoice'!J$2:J$801,$W60)="","",INDEX('Per Invoice'!J$2:J$801,$W60)))</f>
        <v/>
      </c>
      <c r="K60" s="7">
        <f>IF($W60="","",IF(INDEX('Per Invoice'!K$2:K$801,$W60)="","",INDEX('Per Invoice'!K$2:K$801,$W60)))</f>
        <v/>
      </c>
      <c r="L60" s="14">
        <f>IF($W60="","",IF(INDEX('Per Invoice'!L$2:L$801,$W60)="","",INDEX('Per Invoice'!L$2:L$801,$W60)))</f>
        <v/>
      </c>
      <c r="M60">
        <f>IF($W60="","",IF(INDEX('Per Invoice'!M$2:M$801,$W60)="","",INDEX('Per Invoice'!M$2:M$801,$W60)))</f>
        <v/>
      </c>
      <c r="N60" s="7">
        <f>IF($W60="","",IF(INDEX('Per Invoice'!N$2:N$801,$W60)="","",INDEX('Per Invoice'!N$2:N$801,$W60)))</f>
        <v/>
      </c>
      <c r="O60" s="7">
        <f>IF($W60="","",IF(INDEX('Per Invoice'!O$2:O$801,$W60)="","",INDEX('Per Invoice'!O$2:O$801,$W60)))</f>
        <v/>
      </c>
      <c r="P60">
        <f>IF($W60="","",IF(INDEX('Per Invoice'!P$2:P$801,$W60)="","",INDEX('Per Invoice'!P$2:P$801,$W60)))</f>
        <v/>
      </c>
      <c r="Q60" s="7">
        <f>IF($W60="","",IF(INDEX('Per Invoice'!Q$2:Q$801,$W60)="","",INDEX('Per Invoice'!Q$2:Q$801,$W60)))</f>
        <v/>
      </c>
      <c r="R60" s="7">
        <f>IF($W60="","",IF(INDEX('Per Invoice'!R$2:R$801,$W60)="","",INDEX('Per Invoice'!R$2:R$801,$W60)))</f>
        <v/>
      </c>
      <c r="S60" s="7">
        <f>IF($W60="","",IF(INDEX('Per Invoice'!S$2:S$801,$W60)="","",INDEX('Per Invoice'!S$2:S$801,$W60)))</f>
        <v/>
      </c>
      <c r="T60" s="7">
        <f>IF($W60="","",IF(INDEX('Per Invoice'!T$2:T$801,$W60)="","",INDEX('Per Invoice'!T$2:T$801,$W60)))</f>
        <v/>
      </c>
      <c r="U60" s="7">
        <f>IF($W60="","",IF(INDEX('Per Invoice'!U$2:U$801,$W60)="","",INDEX('Per Invoice'!U$2:U$801,$W60)))</f>
        <v/>
      </c>
      <c r="V60" s="7">
        <f>IF($W60="","",IF(INDEX('Per Invoice'!V$2:V$801,$W60)="","",INDEX('Per Invoice'!V$2:V$801,$W60)))</f>
        <v/>
      </c>
      <c r="W60" s="16">
        <f>IFERROR(MATCH(Settings!$C$32&amp;"|"&amp;ROWS($W$2:$W60),'Per Invoice'!$X$2:$X$801,0),"")</f>
        <v/>
      </c>
    </row>
    <row r="61">
      <c r="A61">
        <f>IF($W61="","",IF(INDEX('Per Invoice'!A$2:A$801,$W61)="","",INDEX('Per Invoice'!A$2:A$801,$W61)))</f>
        <v/>
      </c>
      <c r="B61">
        <f>IF($W61="","",IF(INDEX('Per Invoice'!B$2:B$801,$W61)="","",INDEX('Per Invoice'!B$2:B$801,$W61)))</f>
        <v/>
      </c>
      <c r="C61">
        <f>IF($W61="","",IF(INDEX('Per Invoice'!C$2:C$801,$W61)="","",INDEX('Per Invoice'!C$2:C$801,$W61)))</f>
        <v/>
      </c>
      <c r="D61">
        <f>IF($W61="","",IF(INDEX('Per Invoice'!D$2:D$801,$W61)="","",INDEX('Per Invoice'!D$2:D$801,$W61)))</f>
        <v/>
      </c>
      <c r="E61">
        <f>IF($W61="","",IF(INDEX('Per Invoice'!E$2:E$801,$W61)="","",INDEX('Per Invoice'!E$2:E$801,$W61)))</f>
        <v/>
      </c>
      <c r="F61">
        <f>IF($W61="","",IF(INDEX('Per Invoice'!F$2:F$801,$W61)="","",INDEX('Per Invoice'!F$2:F$801,$W61)))</f>
        <v/>
      </c>
      <c r="G61">
        <f>IF($W61="","",IF(INDEX('Per Invoice'!G$2:G$801,$W61)="","",INDEX('Per Invoice'!G$2:G$801,$W61)))</f>
        <v/>
      </c>
      <c r="H61">
        <f>IF($W61="","",IF(INDEX('Per Invoice'!H$2:H$801,$W61)="","",INDEX('Per Invoice'!H$2:H$801,$W61)))</f>
        <v/>
      </c>
      <c r="I61">
        <f>IF($W61="","",IF(INDEX('Per Invoice'!I$2:I$801,$W61)="","",INDEX('Per Invoice'!I$2:I$801,$W61)))</f>
        <v/>
      </c>
      <c r="J61">
        <f>IF($W61="","",IF(INDEX('Per Invoice'!J$2:J$801,$W61)="","",INDEX('Per Invoice'!J$2:J$801,$W61)))</f>
        <v/>
      </c>
      <c r="K61" s="7">
        <f>IF($W61="","",IF(INDEX('Per Invoice'!K$2:K$801,$W61)="","",INDEX('Per Invoice'!K$2:K$801,$W61)))</f>
        <v/>
      </c>
      <c r="L61" s="14">
        <f>IF($W61="","",IF(INDEX('Per Invoice'!L$2:L$801,$W61)="","",INDEX('Per Invoice'!L$2:L$801,$W61)))</f>
        <v/>
      </c>
      <c r="M61">
        <f>IF($W61="","",IF(INDEX('Per Invoice'!M$2:M$801,$W61)="","",INDEX('Per Invoice'!M$2:M$801,$W61)))</f>
        <v/>
      </c>
      <c r="N61" s="7">
        <f>IF($W61="","",IF(INDEX('Per Invoice'!N$2:N$801,$W61)="","",INDEX('Per Invoice'!N$2:N$801,$W61)))</f>
        <v/>
      </c>
      <c r="O61" s="7">
        <f>IF($W61="","",IF(INDEX('Per Invoice'!O$2:O$801,$W61)="","",INDEX('Per Invoice'!O$2:O$801,$W61)))</f>
        <v/>
      </c>
      <c r="P61">
        <f>IF($W61="","",IF(INDEX('Per Invoice'!P$2:P$801,$W61)="","",INDEX('Per Invoice'!P$2:P$801,$W61)))</f>
        <v/>
      </c>
      <c r="Q61" s="7">
        <f>IF($W61="","",IF(INDEX('Per Invoice'!Q$2:Q$801,$W61)="","",INDEX('Per Invoice'!Q$2:Q$801,$W61)))</f>
        <v/>
      </c>
      <c r="R61" s="7">
        <f>IF($W61="","",IF(INDEX('Per Invoice'!R$2:R$801,$W61)="","",INDEX('Per Invoice'!R$2:R$801,$W61)))</f>
        <v/>
      </c>
      <c r="S61" s="7">
        <f>IF($W61="","",IF(INDEX('Per Invoice'!S$2:S$801,$W61)="","",INDEX('Per Invoice'!S$2:S$801,$W61)))</f>
        <v/>
      </c>
      <c r="T61" s="7">
        <f>IF($W61="","",IF(INDEX('Per Invoice'!T$2:T$801,$W61)="","",INDEX('Per Invoice'!T$2:T$801,$W61)))</f>
        <v/>
      </c>
      <c r="U61" s="7">
        <f>IF($W61="","",IF(INDEX('Per Invoice'!U$2:U$801,$W61)="","",INDEX('Per Invoice'!U$2:U$801,$W61)))</f>
        <v/>
      </c>
      <c r="V61" s="7">
        <f>IF($W61="","",IF(INDEX('Per Invoice'!V$2:V$801,$W61)="","",INDEX('Per Invoice'!V$2:V$801,$W61)))</f>
        <v/>
      </c>
      <c r="W61" s="16">
        <f>IFERROR(MATCH(Settings!$C$32&amp;"|"&amp;ROWS($W$2:$W61),'Per Invoice'!$X$2:$X$801,0),"")</f>
        <v/>
      </c>
    </row>
    <row r="62">
      <c r="A62">
        <f>IF($W62="","",IF(INDEX('Per Invoice'!A$2:A$801,$W62)="","",INDEX('Per Invoice'!A$2:A$801,$W62)))</f>
        <v/>
      </c>
      <c r="B62">
        <f>IF($W62="","",IF(INDEX('Per Invoice'!B$2:B$801,$W62)="","",INDEX('Per Invoice'!B$2:B$801,$W62)))</f>
        <v/>
      </c>
      <c r="C62">
        <f>IF($W62="","",IF(INDEX('Per Invoice'!C$2:C$801,$W62)="","",INDEX('Per Invoice'!C$2:C$801,$W62)))</f>
        <v/>
      </c>
      <c r="D62">
        <f>IF($W62="","",IF(INDEX('Per Invoice'!D$2:D$801,$W62)="","",INDEX('Per Invoice'!D$2:D$801,$W62)))</f>
        <v/>
      </c>
      <c r="E62">
        <f>IF($W62="","",IF(INDEX('Per Invoice'!E$2:E$801,$W62)="","",INDEX('Per Invoice'!E$2:E$801,$W62)))</f>
        <v/>
      </c>
      <c r="F62">
        <f>IF($W62="","",IF(INDEX('Per Invoice'!F$2:F$801,$W62)="","",INDEX('Per Invoice'!F$2:F$801,$W62)))</f>
        <v/>
      </c>
      <c r="G62">
        <f>IF($W62="","",IF(INDEX('Per Invoice'!G$2:G$801,$W62)="","",INDEX('Per Invoice'!G$2:G$801,$W62)))</f>
        <v/>
      </c>
      <c r="H62">
        <f>IF($W62="","",IF(INDEX('Per Invoice'!H$2:H$801,$W62)="","",INDEX('Per Invoice'!H$2:H$801,$W62)))</f>
        <v/>
      </c>
      <c r="I62">
        <f>IF($W62="","",IF(INDEX('Per Invoice'!I$2:I$801,$W62)="","",INDEX('Per Invoice'!I$2:I$801,$W62)))</f>
        <v/>
      </c>
      <c r="J62">
        <f>IF($W62="","",IF(INDEX('Per Invoice'!J$2:J$801,$W62)="","",INDEX('Per Invoice'!J$2:J$801,$W62)))</f>
        <v/>
      </c>
      <c r="K62" s="7">
        <f>IF($W62="","",IF(INDEX('Per Invoice'!K$2:K$801,$W62)="","",INDEX('Per Invoice'!K$2:K$801,$W62)))</f>
        <v/>
      </c>
      <c r="L62" s="14">
        <f>IF($W62="","",IF(INDEX('Per Invoice'!L$2:L$801,$W62)="","",INDEX('Per Invoice'!L$2:L$801,$W62)))</f>
        <v/>
      </c>
      <c r="M62">
        <f>IF($W62="","",IF(INDEX('Per Invoice'!M$2:M$801,$W62)="","",INDEX('Per Invoice'!M$2:M$801,$W62)))</f>
        <v/>
      </c>
      <c r="N62" s="7">
        <f>IF($W62="","",IF(INDEX('Per Invoice'!N$2:N$801,$W62)="","",INDEX('Per Invoice'!N$2:N$801,$W62)))</f>
        <v/>
      </c>
      <c r="O62" s="7">
        <f>IF($W62="","",IF(INDEX('Per Invoice'!O$2:O$801,$W62)="","",INDEX('Per Invoice'!O$2:O$801,$W62)))</f>
        <v/>
      </c>
      <c r="P62">
        <f>IF($W62="","",IF(INDEX('Per Invoice'!P$2:P$801,$W62)="","",INDEX('Per Invoice'!P$2:P$801,$W62)))</f>
        <v/>
      </c>
      <c r="Q62" s="7">
        <f>IF($W62="","",IF(INDEX('Per Invoice'!Q$2:Q$801,$W62)="","",INDEX('Per Invoice'!Q$2:Q$801,$W62)))</f>
        <v/>
      </c>
      <c r="R62" s="7">
        <f>IF($W62="","",IF(INDEX('Per Invoice'!R$2:R$801,$W62)="","",INDEX('Per Invoice'!R$2:R$801,$W62)))</f>
        <v/>
      </c>
      <c r="S62" s="7">
        <f>IF($W62="","",IF(INDEX('Per Invoice'!S$2:S$801,$W62)="","",INDEX('Per Invoice'!S$2:S$801,$W62)))</f>
        <v/>
      </c>
      <c r="T62" s="7">
        <f>IF($W62="","",IF(INDEX('Per Invoice'!T$2:T$801,$W62)="","",INDEX('Per Invoice'!T$2:T$801,$W62)))</f>
        <v/>
      </c>
      <c r="U62" s="7">
        <f>IF($W62="","",IF(INDEX('Per Invoice'!U$2:U$801,$W62)="","",INDEX('Per Invoice'!U$2:U$801,$W62)))</f>
        <v/>
      </c>
      <c r="V62" s="7">
        <f>IF($W62="","",IF(INDEX('Per Invoice'!V$2:V$801,$W62)="","",INDEX('Per Invoice'!V$2:V$801,$W62)))</f>
        <v/>
      </c>
      <c r="W62" s="16">
        <f>IFERROR(MATCH(Settings!$C$32&amp;"|"&amp;ROWS($W$2:$W62),'Per Invoice'!$X$2:$X$801,0),"")</f>
        <v/>
      </c>
    </row>
    <row r="63">
      <c r="A63">
        <f>IF($W63="","",IF(INDEX('Per Invoice'!A$2:A$801,$W63)="","",INDEX('Per Invoice'!A$2:A$801,$W63)))</f>
        <v/>
      </c>
      <c r="B63">
        <f>IF($W63="","",IF(INDEX('Per Invoice'!B$2:B$801,$W63)="","",INDEX('Per Invoice'!B$2:B$801,$W63)))</f>
        <v/>
      </c>
      <c r="C63">
        <f>IF($W63="","",IF(INDEX('Per Invoice'!C$2:C$801,$W63)="","",INDEX('Per Invoice'!C$2:C$801,$W63)))</f>
        <v/>
      </c>
      <c r="D63">
        <f>IF($W63="","",IF(INDEX('Per Invoice'!D$2:D$801,$W63)="","",INDEX('Per Invoice'!D$2:D$801,$W63)))</f>
        <v/>
      </c>
      <c r="E63">
        <f>IF($W63="","",IF(INDEX('Per Invoice'!E$2:E$801,$W63)="","",INDEX('Per Invoice'!E$2:E$801,$W63)))</f>
        <v/>
      </c>
      <c r="F63">
        <f>IF($W63="","",IF(INDEX('Per Invoice'!F$2:F$801,$W63)="","",INDEX('Per Invoice'!F$2:F$801,$W63)))</f>
        <v/>
      </c>
      <c r="G63">
        <f>IF($W63="","",IF(INDEX('Per Invoice'!G$2:G$801,$W63)="","",INDEX('Per Invoice'!G$2:G$801,$W63)))</f>
        <v/>
      </c>
      <c r="H63">
        <f>IF($W63="","",IF(INDEX('Per Invoice'!H$2:H$801,$W63)="","",INDEX('Per Invoice'!H$2:H$801,$W63)))</f>
        <v/>
      </c>
      <c r="I63">
        <f>IF($W63="","",IF(INDEX('Per Invoice'!I$2:I$801,$W63)="","",INDEX('Per Invoice'!I$2:I$801,$W63)))</f>
        <v/>
      </c>
      <c r="J63">
        <f>IF($W63="","",IF(INDEX('Per Invoice'!J$2:J$801,$W63)="","",INDEX('Per Invoice'!J$2:J$801,$W63)))</f>
        <v/>
      </c>
      <c r="K63" s="7">
        <f>IF($W63="","",IF(INDEX('Per Invoice'!K$2:K$801,$W63)="","",INDEX('Per Invoice'!K$2:K$801,$W63)))</f>
        <v/>
      </c>
      <c r="L63" s="14">
        <f>IF($W63="","",IF(INDEX('Per Invoice'!L$2:L$801,$W63)="","",INDEX('Per Invoice'!L$2:L$801,$W63)))</f>
        <v/>
      </c>
      <c r="M63">
        <f>IF($W63="","",IF(INDEX('Per Invoice'!M$2:M$801,$W63)="","",INDEX('Per Invoice'!M$2:M$801,$W63)))</f>
        <v/>
      </c>
      <c r="N63" s="7">
        <f>IF($W63="","",IF(INDEX('Per Invoice'!N$2:N$801,$W63)="","",INDEX('Per Invoice'!N$2:N$801,$W63)))</f>
        <v/>
      </c>
      <c r="O63" s="7">
        <f>IF($W63="","",IF(INDEX('Per Invoice'!O$2:O$801,$W63)="","",INDEX('Per Invoice'!O$2:O$801,$W63)))</f>
        <v/>
      </c>
      <c r="P63">
        <f>IF($W63="","",IF(INDEX('Per Invoice'!P$2:P$801,$W63)="","",INDEX('Per Invoice'!P$2:P$801,$W63)))</f>
        <v/>
      </c>
      <c r="Q63" s="7">
        <f>IF($W63="","",IF(INDEX('Per Invoice'!Q$2:Q$801,$W63)="","",INDEX('Per Invoice'!Q$2:Q$801,$W63)))</f>
        <v/>
      </c>
      <c r="R63" s="7">
        <f>IF($W63="","",IF(INDEX('Per Invoice'!R$2:R$801,$W63)="","",INDEX('Per Invoice'!R$2:R$801,$W63)))</f>
        <v/>
      </c>
      <c r="S63" s="7">
        <f>IF($W63="","",IF(INDEX('Per Invoice'!S$2:S$801,$W63)="","",INDEX('Per Invoice'!S$2:S$801,$W63)))</f>
        <v/>
      </c>
      <c r="T63" s="7">
        <f>IF($W63="","",IF(INDEX('Per Invoice'!T$2:T$801,$W63)="","",INDEX('Per Invoice'!T$2:T$801,$W63)))</f>
        <v/>
      </c>
      <c r="U63" s="7">
        <f>IF($W63="","",IF(INDEX('Per Invoice'!U$2:U$801,$W63)="","",INDEX('Per Invoice'!U$2:U$801,$W63)))</f>
        <v/>
      </c>
      <c r="V63" s="7">
        <f>IF($W63="","",IF(INDEX('Per Invoice'!V$2:V$801,$W63)="","",INDEX('Per Invoice'!V$2:V$801,$W63)))</f>
        <v/>
      </c>
      <c r="W63" s="16">
        <f>IFERROR(MATCH(Settings!$C$32&amp;"|"&amp;ROWS($W$2:$W63),'Per Invoice'!$X$2:$X$801,0),"")</f>
        <v/>
      </c>
    </row>
    <row r="64">
      <c r="A64">
        <f>IF($W64="","",IF(INDEX('Per Invoice'!A$2:A$801,$W64)="","",INDEX('Per Invoice'!A$2:A$801,$W64)))</f>
        <v/>
      </c>
      <c r="B64">
        <f>IF($W64="","",IF(INDEX('Per Invoice'!B$2:B$801,$W64)="","",INDEX('Per Invoice'!B$2:B$801,$W64)))</f>
        <v/>
      </c>
      <c r="C64">
        <f>IF($W64="","",IF(INDEX('Per Invoice'!C$2:C$801,$W64)="","",INDEX('Per Invoice'!C$2:C$801,$W64)))</f>
        <v/>
      </c>
      <c r="D64">
        <f>IF($W64="","",IF(INDEX('Per Invoice'!D$2:D$801,$W64)="","",INDEX('Per Invoice'!D$2:D$801,$W64)))</f>
        <v/>
      </c>
      <c r="E64">
        <f>IF($W64="","",IF(INDEX('Per Invoice'!E$2:E$801,$W64)="","",INDEX('Per Invoice'!E$2:E$801,$W64)))</f>
        <v/>
      </c>
      <c r="F64">
        <f>IF($W64="","",IF(INDEX('Per Invoice'!F$2:F$801,$W64)="","",INDEX('Per Invoice'!F$2:F$801,$W64)))</f>
        <v/>
      </c>
      <c r="G64">
        <f>IF($W64="","",IF(INDEX('Per Invoice'!G$2:G$801,$W64)="","",INDEX('Per Invoice'!G$2:G$801,$W64)))</f>
        <v/>
      </c>
      <c r="H64">
        <f>IF($W64="","",IF(INDEX('Per Invoice'!H$2:H$801,$W64)="","",INDEX('Per Invoice'!H$2:H$801,$W64)))</f>
        <v/>
      </c>
      <c r="I64">
        <f>IF($W64="","",IF(INDEX('Per Invoice'!I$2:I$801,$W64)="","",INDEX('Per Invoice'!I$2:I$801,$W64)))</f>
        <v/>
      </c>
      <c r="J64">
        <f>IF($W64="","",IF(INDEX('Per Invoice'!J$2:J$801,$W64)="","",INDEX('Per Invoice'!J$2:J$801,$W64)))</f>
        <v/>
      </c>
      <c r="K64" s="7">
        <f>IF($W64="","",IF(INDEX('Per Invoice'!K$2:K$801,$W64)="","",INDEX('Per Invoice'!K$2:K$801,$W64)))</f>
        <v/>
      </c>
      <c r="L64" s="14">
        <f>IF($W64="","",IF(INDEX('Per Invoice'!L$2:L$801,$W64)="","",INDEX('Per Invoice'!L$2:L$801,$W64)))</f>
        <v/>
      </c>
      <c r="M64">
        <f>IF($W64="","",IF(INDEX('Per Invoice'!M$2:M$801,$W64)="","",INDEX('Per Invoice'!M$2:M$801,$W64)))</f>
        <v/>
      </c>
      <c r="N64" s="7">
        <f>IF($W64="","",IF(INDEX('Per Invoice'!N$2:N$801,$W64)="","",INDEX('Per Invoice'!N$2:N$801,$W64)))</f>
        <v/>
      </c>
      <c r="O64" s="7">
        <f>IF($W64="","",IF(INDEX('Per Invoice'!O$2:O$801,$W64)="","",INDEX('Per Invoice'!O$2:O$801,$W64)))</f>
        <v/>
      </c>
      <c r="P64">
        <f>IF($W64="","",IF(INDEX('Per Invoice'!P$2:P$801,$W64)="","",INDEX('Per Invoice'!P$2:P$801,$W64)))</f>
        <v/>
      </c>
      <c r="Q64" s="7">
        <f>IF($W64="","",IF(INDEX('Per Invoice'!Q$2:Q$801,$W64)="","",INDEX('Per Invoice'!Q$2:Q$801,$W64)))</f>
        <v/>
      </c>
      <c r="R64" s="7">
        <f>IF($W64="","",IF(INDEX('Per Invoice'!R$2:R$801,$W64)="","",INDEX('Per Invoice'!R$2:R$801,$W64)))</f>
        <v/>
      </c>
      <c r="S64" s="7">
        <f>IF($W64="","",IF(INDEX('Per Invoice'!S$2:S$801,$W64)="","",INDEX('Per Invoice'!S$2:S$801,$W64)))</f>
        <v/>
      </c>
      <c r="T64" s="7">
        <f>IF($W64="","",IF(INDEX('Per Invoice'!T$2:T$801,$W64)="","",INDEX('Per Invoice'!T$2:T$801,$W64)))</f>
        <v/>
      </c>
      <c r="U64" s="7">
        <f>IF($W64="","",IF(INDEX('Per Invoice'!U$2:U$801,$W64)="","",INDEX('Per Invoice'!U$2:U$801,$W64)))</f>
        <v/>
      </c>
      <c r="V64" s="7">
        <f>IF($W64="","",IF(INDEX('Per Invoice'!V$2:V$801,$W64)="","",INDEX('Per Invoice'!V$2:V$801,$W64)))</f>
        <v/>
      </c>
      <c r="W64" s="16">
        <f>IFERROR(MATCH(Settings!$C$32&amp;"|"&amp;ROWS($W$2:$W64),'Per Invoice'!$X$2:$X$801,0),"")</f>
        <v/>
      </c>
    </row>
    <row r="65">
      <c r="A65">
        <f>IF($W65="","",IF(INDEX('Per Invoice'!A$2:A$801,$W65)="","",INDEX('Per Invoice'!A$2:A$801,$W65)))</f>
        <v/>
      </c>
      <c r="B65">
        <f>IF($W65="","",IF(INDEX('Per Invoice'!B$2:B$801,$W65)="","",INDEX('Per Invoice'!B$2:B$801,$W65)))</f>
        <v/>
      </c>
      <c r="C65">
        <f>IF($W65="","",IF(INDEX('Per Invoice'!C$2:C$801,$W65)="","",INDEX('Per Invoice'!C$2:C$801,$W65)))</f>
        <v/>
      </c>
      <c r="D65">
        <f>IF($W65="","",IF(INDEX('Per Invoice'!D$2:D$801,$W65)="","",INDEX('Per Invoice'!D$2:D$801,$W65)))</f>
        <v/>
      </c>
      <c r="E65">
        <f>IF($W65="","",IF(INDEX('Per Invoice'!E$2:E$801,$W65)="","",INDEX('Per Invoice'!E$2:E$801,$W65)))</f>
        <v/>
      </c>
      <c r="F65">
        <f>IF($W65="","",IF(INDEX('Per Invoice'!F$2:F$801,$W65)="","",INDEX('Per Invoice'!F$2:F$801,$W65)))</f>
        <v/>
      </c>
      <c r="G65">
        <f>IF($W65="","",IF(INDEX('Per Invoice'!G$2:G$801,$W65)="","",INDEX('Per Invoice'!G$2:G$801,$W65)))</f>
        <v/>
      </c>
      <c r="H65">
        <f>IF($W65="","",IF(INDEX('Per Invoice'!H$2:H$801,$W65)="","",INDEX('Per Invoice'!H$2:H$801,$W65)))</f>
        <v/>
      </c>
      <c r="I65">
        <f>IF($W65="","",IF(INDEX('Per Invoice'!I$2:I$801,$W65)="","",INDEX('Per Invoice'!I$2:I$801,$W65)))</f>
        <v/>
      </c>
      <c r="J65">
        <f>IF($W65="","",IF(INDEX('Per Invoice'!J$2:J$801,$W65)="","",INDEX('Per Invoice'!J$2:J$801,$W65)))</f>
        <v/>
      </c>
      <c r="K65" s="7">
        <f>IF($W65="","",IF(INDEX('Per Invoice'!K$2:K$801,$W65)="","",INDEX('Per Invoice'!K$2:K$801,$W65)))</f>
        <v/>
      </c>
      <c r="L65" s="14">
        <f>IF($W65="","",IF(INDEX('Per Invoice'!L$2:L$801,$W65)="","",INDEX('Per Invoice'!L$2:L$801,$W65)))</f>
        <v/>
      </c>
      <c r="M65">
        <f>IF($W65="","",IF(INDEX('Per Invoice'!M$2:M$801,$W65)="","",INDEX('Per Invoice'!M$2:M$801,$W65)))</f>
        <v/>
      </c>
      <c r="N65" s="7">
        <f>IF($W65="","",IF(INDEX('Per Invoice'!N$2:N$801,$W65)="","",INDEX('Per Invoice'!N$2:N$801,$W65)))</f>
        <v/>
      </c>
      <c r="O65" s="7">
        <f>IF($W65="","",IF(INDEX('Per Invoice'!O$2:O$801,$W65)="","",INDEX('Per Invoice'!O$2:O$801,$W65)))</f>
        <v/>
      </c>
      <c r="P65">
        <f>IF($W65="","",IF(INDEX('Per Invoice'!P$2:P$801,$W65)="","",INDEX('Per Invoice'!P$2:P$801,$W65)))</f>
        <v/>
      </c>
      <c r="Q65" s="7">
        <f>IF($W65="","",IF(INDEX('Per Invoice'!Q$2:Q$801,$W65)="","",INDEX('Per Invoice'!Q$2:Q$801,$W65)))</f>
        <v/>
      </c>
      <c r="R65" s="7">
        <f>IF($W65="","",IF(INDEX('Per Invoice'!R$2:R$801,$W65)="","",INDEX('Per Invoice'!R$2:R$801,$W65)))</f>
        <v/>
      </c>
      <c r="S65" s="7">
        <f>IF($W65="","",IF(INDEX('Per Invoice'!S$2:S$801,$W65)="","",INDEX('Per Invoice'!S$2:S$801,$W65)))</f>
        <v/>
      </c>
      <c r="T65" s="7">
        <f>IF($W65="","",IF(INDEX('Per Invoice'!T$2:T$801,$W65)="","",INDEX('Per Invoice'!T$2:T$801,$W65)))</f>
        <v/>
      </c>
      <c r="U65" s="7">
        <f>IF($W65="","",IF(INDEX('Per Invoice'!U$2:U$801,$W65)="","",INDEX('Per Invoice'!U$2:U$801,$W65)))</f>
        <v/>
      </c>
      <c r="V65" s="7">
        <f>IF($W65="","",IF(INDEX('Per Invoice'!V$2:V$801,$W65)="","",INDEX('Per Invoice'!V$2:V$801,$W65)))</f>
        <v/>
      </c>
      <c r="W65" s="16">
        <f>IFERROR(MATCH(Settings!$C$32&amp;"|"&amp;ROWS($W$2:$W65),'Per Invoice'!$X$2:$X$801,0),"")</f>
        <v/>
      </c>
    </row>
    <row r="66">
      <c r="A66">
        <f>IF($W66="","",IF(INDEX('Per Invoice'!A$2:A$801,$W66)="","",INDEX('Per Invoice'!A$2:A$801,$W66)))</f>
        <v/>
      </c>
      <c r="B66">
        <f>IF($W66="","",IF(INDEX('Per Invoice'!B$2:B$801,$W66)="","",INDEX('Per Invoice'!B$2:B$801,$W66)))</f>
        <v/>
      </c>
      <c r="C66">
        <f>IF($W66="","",IF(INDEX('Per Invoice'!C$2:C$801,$W66)="","",INDEX('Per Invoice'!C$2:C$801,$W66)))</f>
        <v/>
      </c>
      <c r="D66">
        <f>IF($W66="","",IF(INDEX('Per Invoice'!D$2:D$801,$W66)="","",INDEX('Per Invoice'!D$2:D$801,$W66)))</f>
        <v/>
      </c>
      <c r="E66">
        <f>IF($W66="","",IF(INDEX('Per Invoice'!E$2:E$801,$W66)="","",INDEX('Per Invoice'!E$2:E$801,$W66)))</f>
        <v/>
      </c>
      <c r="F66">
        <f>IF($W66="","",IF(INDEX('Per Invoice'!F$2:F$801,$W66)="","",INDEX('Per Invoice'!F$2:F$801,$W66)))</f>
        <v/>
      </c>
      <c r="G66">
        <f>IF($W66="","",IF(INDEX('Per Invoice'!G$2:G$801,$W66)="","",INDEX('Per Invoice'!G$2:G$801,$W66)))</f>
        <v/>
      </c>
      <c r="H66">
        <f>IF($W66="","",IF(INDEX('Per Invoice'!H$2:H$801,$W66)="","",INDEX('Per Invoice'!H$2:H$801,$W66)))</f>
        <v/>
      </c>
      <c r="I66">
        <f>IF($W66="","",IF(INDEX('Per Invoice'!I$2:I$801,$W66)="","",INDEX('Per Invoice'!I$2:I$801,$W66)))</f>
        <v/>
      </c>
      <c r="J66">
        <f>IF($W66="","",IF(INDEX('Per Invoice'!J$2:J$801,$W66)="","",INDEX('Per Invoice'!J$2:J$801,$W66)))</f>
        <v/>
      </c>
      <c r="K66" s="7">
        <f>IF($W66="","",IF(INDEX('Per Invoice'!K$2:K$801,$W66)="","",INDEX('Per Invoice'!K$2:K$801,$W66)))</f>
        <v/>
      </c>
      <c r="L66" s="14">
        <f>IF($W66="","",IF(INDEX('Per Invoice'!L$2:L$801,$W66)="","",INDEX('Per Invoice'!L$2:L$801,$W66)))</f>
        <v/>
      </c>
      <c r="M66">
        <f>IF($W66="","",IF(INDEX('Per Invoice'!M$2:M$801,$W66)="","",INDEX('Per Invoice'!M$2:M$801,$W66)))</f>
        <v/>
      </c>
      <c r="N66" s="7">
        <f>IF($W66="","",IF(INDEX('Per Invoice'!N$2:N$801,$W66)="","",INDEX('Per Invoice'!N$2:N$801,$W66)))</f>
        <v/>
      </c>
      <c r="O66" s="7">
        <f>IF($W66="","",IF(INDEX('Per Invoice'!O$2:O$801,$W66)="","",INDEX('Per Invoice'!O$2:O$801,$W66)))</f>
        <v/>
      </c>
      <c r="P66">
        <f>IF($W66="","",IF(INDEX('Per Invoice'!P$2:P$801,$W66)="","",INDEX('Per Invoice'!P$2:P$801,$W66)))</f>
        <v/>
      </c>
      <c r="Q66" s="7">
        <f>IF($W66="","",IF(INDEX('Per Invoice'!Q$2:Q$801,$W66)="","",INDEX('Per Invoice'!Q$2:Q$801,$W66)))</f>
        <v/>
      </c>
      <c r="R66" s="7">
        <f>IF($W66="","",IF(INDEX('Per Invoice'!R$2:R$801,$W66)="","",INDEX('Per Invoice'!R$2:R$801,$W66)))</f>
        <v/>
      </c>
      <c r="S66" s="7">
        <f>IF($W66="","",IF(INDEX('Per Invoice'!S$2:S$801,$W66)="","",INDEX('Per Invoice'!S$2:S$801,$W66)))</f>
        <v/>
      </c>
      <c r="T66" s="7">
        <f>IF($W66="","",IF(INDEX('Per Invoice'!T$2:T$801,$W66)="","",INDEX('Per Invoice'!T$2:T$801,$W66)))</f>
        <v/>
      </c>
      <c r="U66" s="7">
        <f>IF($W66="","",IF(INDEX('Per Invoice'!U$2:U$801,$W66)="","",INDEX('Per Invoice'!U$2:U$801,$W66)))</f>
        <v/>
      </c>
      <c r="V66" s="7">
        <f>IF($W66="","",IF(INDEX('Per Invoice'!V$2:V$801,$W66)="","",INDEX('Per Invoice'!V$2:V$801,$W66)))</f>
        <v/>
      </c>
      <c r="W66" s="16">
        <f>IFERROR(MATCH(Settings!$C$32&amp;"|"&amp;ROWS($W$2:$W66),'Per Invoice'!$X$2:$X$801,0),"")</f>
        <v/>
      </c>
    </row>
    <row r="67">
      <c r="A67">
        <f>IF($W67="","",IF(INDEX('Per Invoice'!A$2:A$801,$W67)="","",INDEX('Per Invoice'!A$2:A$801,$W67)))</f>
        <v/>
      </c>
      <c r="B67">
        <f>IF($W67="","",IF(INDEX('Per Invoice'!B$2:B$801,$W67)="","",INDEX('Per Invoice'!B$2:B$801,$W67)))</f>
        <v/>
      </c>
      <c r="C67">
        <f>IF($W67="","",IF(INDEX('Per Invoice'!C$2:C$801,$W67)="","",INDEX('Per Invoice'!C$2:C$801,$W67)))</f>
        <v/>
      </c>
      <c r="D67">
        <f>IF($W67="","",IF(INDEX('Per Invoice'!D$2:D$801,$W67)="","",INDEX('Per Invoice'!D$2:D$801,$W67)))</f>
        <v/>
      </c>
      <c r="E67">
        <f>IF($W67="","",IF(INDEX('Per Invoice'!E$2:E$801,$W67)="","",INDEX('Per Invoice'!E$2:E$801,$W67)))</f>
        <v/>
      </c>
      <c r="F67">
        <f>IF($W67="","",IF(INDEX('Per Invoice'!F$2:F$801,$W67)="","",INDEX('Per Invoice'!F$2:F$801,$W67)))</f>
        <v/>
      </c>
      <c r="G67">
        <f>IF($W67="","",IF(INDEX('Per Invoice'!G$2:G$801,$W67)="","",INDEX('Per Invoice'!G$2:G$801,$W67)))</f>
        <v/>
      </c>
      <c r="H67">
        <f>IF($W67="","",IF(INDEX('Per Invoice'!H$2:H$801,$W67)="","",INDEX('Per Invoice'!H$2:H$801,$W67)))</f>
        <v/>
      </c>
      <c r="I67">
        <f>IF($W67="","",IF(INDEX('Per Invoice'!I$2:I$801,$W67)="","",INDEX('Per Invoice'!I$2:I$801,$W67)))</f>
        <v/>
      </c>
      <c r="J67">
        <f>IF($W67="","",IF(INDEX('Per Invoice'!J$2:J$801,$W67)="","",INDEX('Per Invoice'!J$2:J$801,$W67)))</f>
        <v/>
      </c>
      <c r="K67" s="7">
        <f>IF($W67="","",IF(INDEX('Per Invoice'!K$2:K$801,$W67)="","",INDEX('Per Invoice'!K$2:K$801,$W67)))</f>
        <v/>
      </c>
      <c r="L67" s="14">
        <f>IF($W67="","",IF(INDEX('Per Invoice'!L$2:L$801,$W67)="","",INDEX('Per Invoice'!L$2:L$801,$W67)))</f>
        <v/>
      </c>
      <c r="M67">
        <f>IF($W67="","",IF(INDEX('Per Invoice'!M$2:M$801,$W67)="","",INDEX('Per Invoice'!M$2:M$801,$W67)))</f>
        <v/>
      </c>
      <c r="N67" s="7">
        <f>IF($W67="","",IF(INDEX('Per Invoice'!N$2:N$801,$W67)="","",INDEX('Per Invoice'!N$2:N$801,$W67)))</f>
        <v/>
      </c>
      <c r="O67" s="7">
        <f>IF($W67="","",IF(INDEX('Per Invoice'!O$2:O$801,$W67)="","",INDEX('Per Invoice'!O$2:O$801,$W67)))</f>
        <v/>
      </c>
      <c r="P67">
        <f>IF($W67="","",IF(INDEX('Per Invoice'!P$2:P$801,$W67)="","",INDEX('Per Invoice'!P$2:P$801,$W67)))</f>
        <v/>
      </c>
      <c r="Q67" s="7">
        <f>IF($W67="","",IF(INDEX('Per Invoice'!Q$2:Q$801,$W67)="","",INDEX('Per Invoice'!Q$2:Q$801,$W67)))</f>
        <v/>
      </c>
      <c r="R67" s="7">
        <f>IF($W67="","",IF(INDEX('Per Invoice'!R$2:R$801,$W67)="","",INDEX('Per Invoice'!R$2:R$801,$W67)))</f>
        <v/>
      </c>
      <c r="S67" s="7">
        <f>IF($W67="","",IF(INDEX('Per Invoice'!S$2:S$801,$W67)="","",INDEX('Per Invoice'!S$2:S$801,$W67)))</f>
        <v/>
      </c>
      <c r="T67" s="7">
        <f>IF($W67="","",IF(INDEX('Per Invoice'!T$2:T$801,$W67)="","",INDEX('Per Invoice'!T$2:T$801,$W67)))</f>
        <v/>
      </c>
      <c r="U67" s="7">
        <f>IF($W67="","",IF(INDEX('Per Invoice'!U$2:U$801,$W67)="","",INDEX('Per Invoice'!U$2:U$801,$W67)))</f>
        <v/>
      </c>
      <c r="V67" s="7">
        <f>IF($W67="","",IF(INDEX('Per Invoice'!V$2:V$801,$W67)="","",INDEX('Per Invoice'!V$2:V$801,$W67)))</f>
        <v/>
      </c>
      <c r="W67" s="16">
        <f>IFERROR(MATCH(Settings!$C$32&amp;"|"&amp;ROWS($W$2:$W67),'Per Invoice'!$X$2:$X$801,0),"")</f>
        <v/>
      </c>
    </row>
    <row r="68">
      <c r="A68">
        <f>IF($W68="","",IF(INDEX('Per Invoice'!A$2:A$801,$W68)="","",INDEX('Per Invoice'!A$2:A$801,$W68)))</f>
        <v/>
      </c>
      <c r="B68">
        <f>IF($W68="","",IF(INDEX('Per Invoice'!B$2:B$801,$W68)="","",INDEX('Per Invoice'!B$2:B$801,$W68)))</f>
        <v/>
      </c>
      <c r="C68">
        <f>IF($W68="","",IF(INDEX('Per Invoice'!C$2:C$801,$W68)="","",INDEX('Per Invoice'!C$2:C$801,$W68)))</f>
        <v/>
      </c>
      <c r="D68">
        <f>IF($W68="","",IF(INDEX('Per Invoice'!D$2:D$801,$W68)="","",INDEX('Per Invoice'!D$2:D$801,$W68)))</f>
        <v/>
      </c>
      <c r="E68">
        <f>IF($W68="","",IF(INDEX('Per Invoice'!E$2:E$801,$W68)="","",INDEX('Per Invoice'!E$2:E$801,$W68)))</f>
        <v/>
      </c>
      <c r="F68">
        <f>IF($W68="","",IF(INDEX('Per Invoice'!F$2:F$801,$W68)="","",INDEX('Per Invoice'!F$2:F$801,$W68)))</f>
        <v/>
      </c>
      <c r="G68">
        <f>IF($W68="","",IF(INDEX('Per Invoice'!G$2:G$801,$W68)="","",INDEX('Per Invoice'!G$2:G$801,$W68)))</f>
        <v/>
      </c>
      <c r="H68">
        <f>IF($W68="","",IF(INDEX('Per Invoice'!H$2:H$801,$W68)="","",INDEX('Per Invoice'!H$2:H$801,$W68)))</f>
        <v/>
      </c>
      <c r="I68">
        <f>IF($W68="","",IF(INDEX('Per Invoice'!I$2:I$801,$W68)="","",INDEX('Per Invoice'!I$2:I$801,$W68)))</f>
        <v/>
      </c>
      <c r="J68">
        <f>IF($W68="","",IF(INDEX('Per Invoice'!J$2:J$801,$W68)="","",INDEX('Per Invoice'!J$2:J$801,$W68)))</f>
        <v/>
      </c>
      <c r="K68" s="7">
        <f>IF($W68="","",IF(INDEX('Per Invoice'!K$2:K$801,$W68)="","",INDEX('Per Invoice'!K$2:K$801,$W68)))</f>
        <v/>
      </c>
      <c r="L68" s="14">
        <f>IF($W68="","",IF(INDEX('Per Invoice'!L$2:L$801,$W68)="","",INDEX('Per Invoice'!L$2:L$801,$W68)))</f>
        <v/>
      </c>
      <c r="M68">
        <f>IF($W68="","",IF(INDEX('Per Invoice'!M$2:M$801,$W68)="","",INDEX('Per Invoice'!M$2:M$801,$W68)))</f>
        <v/>
      </c>
      <c r="N68" s="7">
        <f>IF($W68="","",IF(INDEX('Per Invoice'!N$2:N$801,$W68)="","",INDEX('Per Invoice'!N$2:N$801,$W68)))</f>
        <v/>
      </c>
      <c r="O68" s="7">
        <f>IF($W68="","",IF(INDEX('Per Invoice'!O$2:O$801,$W68)="","",INDEX('Per Invoice'!O$2:O$801,$W68)))</f>
        <v/>
      </c>
      <c r="P68">
        <f>IF($W68="","",IF(INDEX('Per Invoice'!P$2:P$801,$W68)="","",INDEX('Per Invoice'!P$2:P$801,$W68)))</f>
        <v/>
      </c>
      <c r="Q68" s="7">
        <f>IF($W68="","",IF(INDEX('Per Invoice'!Q$2:Q$801,$W68)="","",INDEX('Per Invoice'!Q$2:Q$801,$W68)))</f>
        <v/>
      </c>
      <c r="R68" s="7">
        <f>IF($W68="","",IF(INDEX('Per Invoice'!R$2:R$801,$W68)="","",INDEX('Per Invoice'!R$2:R$801,$W68)))</f>
        <v/>
      </c>
      <c r="S68" s="7">
        <f>IF($W68="","",IF(INDEX('Per Invoice'!S$2:S$801,$W68)="","",INDEX('Per Invoice'!S$2:S$801,$W68)))</f>
        <v/>
      </c>
      <c r="T68" s="7">
        <f>IF($W68="","",IF(INDEX('Per Invoice'!T$2:T$801,$W68)="","",INDEX('Per Invoice'!T$2:T$801,$W68)))</f>
        <v/>
      </c>
      <c r="U68" s="7">
        <f>IF($W68="","",IF(INDEX('Per Invoice'!U$2:U$801,$W68)="","",INDEX('Per Invoice'!U$2:U$801,$W68)))</f>
        <v/>
      </c>
      <c r="V68" s="7">
        <f>IF($W68="","",IF(INDEX('Per Invoice'!V$2:V$801,$W68)="","",INDEX('Per Invoice'!V$2:V$801,$W68)))</f>
        <v/>
      </c>
      <c r="W68" s="16">
        <f>IFERROR(MATCH(Settings!$C$32&amp;"|"&amp;ROWS($W$2:$W68),'Per Invoice'!$X$2:$X$801,0),"")</f>
        <v/>
      </c>
    </row>
    <row r="69">
      <c r="A69">
        <f>IF($W69="","",IF(INDEX('Per Invoice'!A$2:A$801,$W69)="","",INDEX('Per Invoice'!A$2:A$801,$W69)))</f>
        <v/>
      </c>
      <c r="B69">
        <f>IF($W69="","",IF(INDEX('Per Invoice'!B$2:B$801,$W69)="","",INDEX('Per Invoice'!B$2:B$801,$W69)))</f>
        <v/>
      </c>
      <c r="C69">
        <f>IF($W69="","",IF(INDEX('Per Invoice'!C$2:C$801,$W69)="","",INDEX('Per Invoice'!C$2:C$801,$W69)))</f>
        <v/>
      </c>
      <c r="D69">
        <f>IF($W69="","",IF(INDEX('Per Invoice'!D$2:D$801,$W69)="","",INDEX('Per Invoice'!D$2:D$801,$W69)))</f>
        <v/>
      </c>
      <c r="E69">
        <f>IF($W69="","",IF(INDEX('Per Invoice'!E$2:E$801,$W69)="","",INDEX('Per Invoice'!E$2:E$801,$W69)))</f>
        <v/>
      </c>
      <c r="F69">
        <f>IF($W69="","",IF(INDEX('Per Invoice'!F$2:F$801,$W69)="","",INDEX('Per Invoice'!F$2:F$801,$W69)))</f>
        <v/>
      </c>
      <c r="G69">
        <f>IF($W69="","",IF(INDEX('Per Invoice'!G$2:G$801,$W69)="","",INDEX('Per Invoice'!G$2:G$801,$W69)))</f>
        <v/>
      </c>
      <c r="H69">
        <f>IF($W69="","",IF(INDEX('Per Invoice'!H$2:H$801,$W69)="","",INDEX('Per Invoice'!H$2:H$801,$W69)))</f>
        <v/>
      </c>
      <c r="I69">
        <f>IF($W69="","",IF(INDEX('Per Invoice'!I$2:I$801,$W69)="","",INDEX('Per Invoice'!I$2:I$801,$W69)))</f>
        <v/>
      </c>
      <c r="J69">
        <f>IF($W69="","",IF(INDEX('Per Invoice'!J$2:J$801,$W69)="","",INDEX('Per Invoice'!J$2:J$801,$W69)))</f>
        <v/>
      </c>
      <c r="K69" s="7">
        <f>IF($W69="","",IF(INDEX('Per Invoice'!K$2:K$801,$W69)="","",INDEX('Per Invoice'!K$2:K$801,$W69)))</f>
        <v/>
      </c>
      <c r="L69" s="14">
        <f>IF($W69="","",IF(INDEX('Per Invoice'!L$2:L$801,$W69)="","",INDEX('Per Invoice'!L$2:L$801,$W69)))</f>
        <v/>
      </c>
      <c r="M69">
        <f>IF($W69="","",IF(INDEX('Per Invoice'!M$2:M$801,$W69)="","",INDEX('Per Invoice'!M$2:M$801,$W69)))</f>
        <v/>
      </c>
      <c r="N69" s="7">
        <f>IF($W69="","",IF(INDEX('Per Invoice'!N$2:N$801,$W69)="","",INDEX('Per Invoice'!N$2:N$801,$W69)))</f>
        <v/>
      </c>
      <c r="O69" s="7">
        <f>IF($W69="","",IF(INDEX('Per Invoice'!O$2:O$801,$W69)="","",INDEX('Per Invoice'!O$2:O$801,$W69)))</f>
        <v/>
      </c>
      <c r="P69">
        <f>IF($W69="","",IF(INDEX('Per Invoice'!P$2:P$801,$W69)="","",INDEX('Per Invoice'!P$2:P$801,$W69)))</f>
        <v/>
      </c>
      <c r="Q69" s="7">
        <f>IF($W69="","",IF(INDEX('Per Invoice'!Q$2:Q$801,$W69)="","",INDEX('Per Invoice'!Q$2:Q$801,$W69)))</f>
        <v/>
      </c>
      <c r="R69" s="7">
        <f>IF($W69="","",IF(INDEX('Per Invoice'!R$2:R$801,$W69)="","",INDEX('Per Invoice'!R$2:R$801,$W69)))</f>
        <v/>
      </c>
      <c r="S69" s="7">
        <f>IF($W69="","",IF(INDEX('Per Invoice'!S$2:S$801,$W69)="","",INDEX('Per Invoice'!S$2:S$801,$W69)))</f>
        <v/>
      </c>
      <c r="T69" s="7">
        <f>IF($W69="","",IF(INDEX('Per Invoice'!T$2:T$801,$W69)="","",INDEX('Per Invoice'!T$2:T$801,$W69)))</f>
        <v/>
      </c>
      <c r="U69" s="7">
        <f>IF($W69="","",IF(INDEX('Per Invoice'!U$2:U$801,$W69)="","",INDEX('Per Invoice'!U$2:U$801,$W69)))</f>
        <v/>
      </c>
      <c r="V69" s="7">
        <f>IF($W69="","",IF(INDEX('Per Invoice'!V$2:V$801,$W69)="","",INDEX('Per Invoice'!V$2:V$801,$W69)))</f>
        <v/>
      </c>
      <c r="W69" s="16">
        <f>IFERROR(MATCH(Settings!$C$32&amp;"|"&amp;ROWS($W$2:$W69),'Per Invoice'!$X$2:$X$801,0),"")</f>
        <v/>
      </c>
    </row>
    <row r="70">
      <c r="A70">
        <f>IF($W70="","",IF(INDEX('Per Invoice'!A$2:A$801,$W70)="","",INDEX('Per Invoice'!A$2:A$801,$W70)))</f>
        <v/>
      </c>
      <c r="B70">
        <f>IF($W70="","",IF(INDEX('Per Invoice'!B$2:B$801,$W70)="","",INDEX('Per Invoice'!B$2:B$801,$W70)))</f>
        <v/>
      </c>
      <c r="C70">
        <f>IF($W70="","",IF(INDEX('Per Invoice'!C$2:C$801,$W70)="","",INDEX('Per Invoice'!C$2:C$801,$W70)))</f>
        <v/>
      </c>
      <c r="D70">
        <f>IF($W70="","",IF(INDEX('Per Invoice'!D$2:D$801,$W70)="","",INDEX('Per Invoice'!D$2:D$801,$W70)))</f>
        <v/>
      </c>
      <c r="E70">
        <f>IF($W70="","",IF(INDEX('Per Invoice'!E$2:E$801,$W70)="","",INDEX('Per Invoice'!E$2:E$801,$W70)))</f>
        <v/>
      </c>
      <c r="F70">
        <f>IF($W70="","",IF(INDEX('Per Invoice'!F$2:F$801,$W70)="","",INDEX('Per Invoice'!F$2:F$801,$W70)))</f>
        <v/>
      </c>
      <c r="G70">
        <f>IF($W70="","",IF(INDEX('Per Invoice'!G$2:G$801,$W70)="","",INDEX('Per Invoice'!G$2:G$801,$W70)))</f>
        <v/>
      </c>
      <c r="H70">
        <f>IF($W70="","",IF(INDEX('Per Invoice'!H$2:H$801,$W70)="","",INDEX('Per Invoice'!H$2:H$801,$W70)))</f>
        <v/>
      </c>
      <c r="I70">
        <f>IF($W70="","",IF(INDEX('Per Invoice'!I$2:I$801,$W70)="","",INDEX('Per Invoice'!I$2:I$801,$W70)))</f>
        <v/>
      </c>
      <c r="J70">
        <f>IF($W70="","",IF(INDEX('Per Invoice'!J$2:J$801,$W70)="","",INDEX('Per Invoice'!J$2:J$801,$W70)))</f>
        <v/>
      </c>
      <c r="K70" s="7">
        <f>IF($W70="","",IF(INDEX('Per Invoice'!K$2:K$801,$W70)="","",INDEX('Per Invoice'!K$2:K$801,$W70)))</f>
        <v/>
      </c>
      <c r="L70" s="14">
        <f>IF($W70="","",IF(INDEX('Per Invoice'!L$2:L$801,$W70)="","",INDEX('Per Invoice'!L$2:L$801,$W70)))</f>
        <v/>
      </c>
      <c r="M70">
        <f>IF($W70="","",IF(INDEX('Per Invoice'!M$2:M$801,$W70)="","",INDEX('Per Invoice'!M$2:M$801,$W70)))</f>
        <v/>
      </c>
      <c r="N70" s="7">
        <f>IF($W70="","",IF(INDEX('Per Invoice'!N$2:N$801,$W70)="","",INDEX('Per Invoice'!N$2:N$801,$W70)))</f>
        <v/>
      </c>
      <c r="O70" s="7">
        <f>IF($W70="","",IF(INDEX('Per Invoice'!O$2:O$801,$W70)="","",INDEX('Per Invoice'!O$2:O$801,$W70)))</f>
        <v/>
      </c>
      <c r="P70">
        <f>IF($W70="","",IF(INDEX('Per Invoice'!P$2:P$801,$W70)="","",INDEX('Per Invoice'!P$2:P$801,$W70)))</f>
        <v/>
      </c>
      <c r="Q70" s="7">
        <f>IF($W70="","",IF(INDEX('Per Invoice'!Q$2:Q$801,$W70)="","",INDEX('Per Invoice'!Q$2:Q$801,$W70)))</f>
        <v/>
      </c>
      <c r="R70" s="7">
        <f>IF($W70="","",IF(INDEX('Per Invoice'!R$2:R$801,$W70)="","",INDEX('Per Invoice'!R$2:R$801,$W70)))</f>
        <v/>
      </c>
      <c r="S70" s="7">
        <f>IF($W70="","",IF(INDEX('Per Invoice'!S$2:S$801,$W70)="","",INDEX('Per Invoice'!S$2:S$801,$W70)))</f>
        <v/>
      </c>
      <c r="T70" s="7">
        <f>IF($W70="","",IF(INDEX('Per Invoice'!T$2:T$801,$W70)="","",INDEX('Per Invoice'!T$2:T$801,$W70)))</f>
        <v/>
      </c>
      <c r="U70" s="7">
        <f>IF($W70="","",IF(INDEX('Per Invoice'!U$2:U$801,$W70)="","",INDEX('Per Invoice'!U$2:U$801,$W70)))</f>
        <v/>
      </c>
      <c r="V70" s="7">
        <f>IF($W70="","",IF(INDEX('Per Invoice'!V$2:V$801,$W70)="","",INDEX('Per Invoice'!V$2:V$801,$W70)))</f>
        <v/>
      </c>
      <c r="W70" s="16">
        <f>IFERROR(MATCH(Settings!$C$32&amp;"|"&amp;ROWS($W$2:$W70),'Per Invoice'!$X$2:$X$801,0),"")</f>
        <v/>
      </c>
    </row>
    <row r="71">
      <c r="A71">
        <f>IF($W71="","",IF(INDEX('Per Invoice'!A$2:A$801,$W71)="","",INDEX('Per Invoice'!A$2:A$801,$W71)))</f>
        <v/>
      </c>
      <c r="B71">
        <f>IF($W71="","",IF(INDEX('Per Invoice'!B$2:B$801,$W71)="","",INDEX('Per Invoice'!B$2:B$801,$W71)))</f>
        <v/>
      </c>
      <c r="C71">
        <f>IF($W71="","",IF(INDEX('Per Invoice'!C$2:C$801,$W71)="","",INDEX('Per Invoice'!C$2:C$801,$W71)))</f>
        <v/>
      </c>
      <c r="D71">
        <f>IF($W71="","",IF(INDEX('Per Invoice'!D$2:D$801,$W71)="","",INDEX('Per Invoice'!D$2:D$801,$W71)))</f>
        <v/>
      </c>
      <c r="E71">
        <f>IF($W71="","",IF(INDEX('Per Invoice'!E$2:E$801,$W71)="","",INDEX('Per Invoice'!E$2:E$801,$W71)))</f>
        <v/>
      </c>
      <c r="F71">
        <f>IF($W71="","",IF(INDEX('Per Invoice'!F$2:F$801,$W71)="","",INDEX('Per Invoice'!F$2:F$801,$W71)))</f>
        <v/>
      </c>
      <c r="G71">
        <f>IF($W71="","",IF(INDEX('Per Invoice'!G$2:G$801,$W71)="","",INDEX('Per Invoice'!G$2:G$801,$W71)))</f>
        <v/>
      </c>
      <c r="H71">
        <f>IF($W71="","",IF(INDEX('Per Invoice'!H$2:H$801,$W71)="","",INDEX('Per Invoice'!H$2:H$801,$W71)))</f>
        <v/>
      </c>
      <c r="I71">
        <f>IF($W71="","",IF(INDEX('Per Invoice'!I$2:I$801,$W71)="","",INDEX('Per Invoice'!I$2:I$801,$W71)))</f>
        <v/>
      </c>
      <c r="J71">
        <f>IF($W71="","",IF(INDEX('Per Invoice'!J$2:J$801,$W71)="","",INDEX('Per Invoice'!J$2:J$801,$W71)))</f>
        <v/>
      </c>
      <c r="K71" s="7">
        <f>IF($W71="","",IF(INDEX('Per Invoice'!K$2:K$801,$W71)="","",INDEX('Per Invoice'!K$2:K$801,$W71)))</f>
        <v/>
      </c>
      <c r="L71" s="14">
        <f>IF($W71="","",IF(INDEX('Per Invoice'!L$2:L$801,$W71)="","",INDEX('Per Invoice'!L$2:L$801,$W71)))</f>
        <v/>
      </c>
      <c r="M71">
        <f>IF($W71="","",IF(INDEX('Per Invoice'!M$2:M$801,$W71)="","",INDEX('Per Invoice'!M$2:M$801,$W71)))</f>
        <v/>
      </c>
      <c r="N71" s="7">
        <f>IF($W71="","",IF(INDEX('Per Invoice'!N$2:N$801,$W71)="","",INDEX('Per Invoice'!N$2:N$801,$W71)))</f>
        <v/>
      </c>
      <c r="O71" s="7">
        <f>IF($W71="","",IF(INDEX('Per Invoice'!O$2:O$801,$W71)="","",INDEX('Per Invoice'!O$2:O$801,$W71)))</f>
        <v/>
      </c>
      <c r="P71">
        <f>IF($W71="","",IF(INDEX('Per Invoice'!P$2:P$801,$W71)="","",INDEX('Per Invoice'!P$2:P$801,$W71)))</f>
        <v/>
      </c>
      <c r="Q71" s="7">
        <f>IF($W71="","",IF(INDEX('Per Invoice'!Q$2:Q$801,$W71)="","",INDEX('Per Invoice'!Q$2:Q$801,$W71)))</f>
        <v/>
      </c>
      <c r="R71" s="7">
        <f>IF($W71="","",IF(INDEX('Per Invoice'!R$2:R$801,$W71)="","",INDEX('Per Invoice'!R$2:R$801,$W71)))</f>
        <v/>
      </c>
      <c r="S71" s="7">
        <f>IF($W71="","",IF(INDEX('Per Invoice'!S$2:S$801,$W71)="","",INDEX('Per Invoice'!S$2:S$801,$W71)))</f>
        <v/>
      </c>
      <c r="T71" s="7">
        <f>IF($W71="","",IF(INDEX('Per Invoice'!T$2:T$801,$W71)="","",INDEX('Per Invoice'!T$2:T$801,$W71)))</f>
        <v/>
      </c>
      <c r="U71" s="7">
        <f>IF($W71="","",IF(INDEX('Per Invoice'!U$2:U$801,$W71)="","",INDEX('Per Invoice'!U$2:U$801,$W71)))</f>
        <v/>
      </c>
      <c r="V71" s="7">
        <f>IF($W71="","",IF(INDEX('Per Invoice'!V$2:V$801,$W71)="","",INDEX('Per Invoice'!V$2:V$801,$W71)))</f>
        <v/>
      </c>
      <c r="W71" s="16">
        <f>IFERROR(MATCH(Settings!$C$32&amp;"|"&amp;ROWS($W$2:$W71),'Per Invoice'!$X$2:$X$801,0),"")</f>
        <v/>
      </c>
    </row>
    <row r="72">
      <c r="A72">
        <f>IF($W72="","",IF(INDEX('Per Invoice'!A$2:A$801,$W72)="","",INDEX('Per Invoice'!A$2:A$801,$W72)))</f>
        <v/>
      </c>
      <c r="B72">
        <f>IF($W72="","",IF(INDEX('Per Invoice'!B$2:B$801,$W72)="","",INDEX('Per Invoice'!B$2:B$801,$W72)))</f>
        <v/>
      </c>
      <c r="C72">
        <f>IF($W72="","",IF(INDEX('Per Invoice'!C$2:C$801,$W72)="","",INDEX('Per Invoice'!C$2:C$801,$W72)))</f>
        <v/>
      </c>
      <c r="D72">
        <f>IF($W72="","",IF(INDEX('Per Invoice'!D$2:D$801,$W72)="","",INDEX('Per Invoice'!D$2:D$801,$W72)))</f>
        <v/>
      </c>
      <c r="E72">
        <f>IF($W72="","",IF(INDEX('Per Invoice'!E$2:E$801,$W72)="","",INDEX('Per Invoice'!E$2:E$801,$W72)))</f>
        <v/>
      </c>
      <c r="F72">
        <f>IF($W72="","",IF(INDEX('Per Invoice'!F$2:F$801,$W72)="","",INDEX('Per Invoice'!F$2:F$801,$W72)))</f>
        <v/>
      </c>
      <c r="G72">
        <f>IF($W72="","",IF(INDEX('Per Invoice'!G$2:G$801,$W72)="","",INDEX('Per Invoice'!G$2:G$801,$W72)))</f>
        <v/>
      </c>
      <c r="H72">
        <f>IF($W72="","",IF(INDEX('Per Invoice'!H$2:H$801,$W72)="","",INDEX('Per Invoice'!H$2:H$801,$W72)))</f>
        <v/>
      </c>
      <c r="I72">
        <f>IF($W72="","",IF(INDEX('Per Invoice'!I$2:I$801,$W72)="","",INDEX('Per Invoice'!I$2:I$801,$W72)))</f>
        <v/>
      </c>
      <c r="J72">
        <f>IF($W72="","",IF(INDEX('Per Invoice'!J$2:J$801,$W72)="","",INDEX('Per Invoice'!J$2:J$801,$W72)))</f>
        <v/>
      </c>
      <c r="K72" s="7">
        <f>IF($W72="","",IF(INDEX('Per Invoice'!K$2:K$801,$W72)="","",INDEX('Per Invoice'!K$2:K$801,$W72)))</f>
        <v/>
      </c>
      <c r="L72" s="14">
        <f>IF($W72="","",IF(INDEX('Per Invoice'!L$2:L$801,$W72)="","",INDEX('Per Invoice'!L$2:L$801,$W72)))</f>
        <v/>
      </c>
      <c r="M72">
        <f>IF($W72="","",IF(INDEX('Per Invoice'!M$2:M$801,$W72)="","",INDEX('Per Invoice'!M$2:M$801,$W72)))</f>
        <v/>
      </c>
      <c r="N72" s="7">
        <f>IF($W72="","",IF(INDEX('Per Invoice'!N$2:N$801,$W72)="","",INDEX('Per Invoice'!N$2:N$801,$W72)))</f>
        <v/>
      </c>
      <c r="O72" s="7">
        <f>IF($W72="","",IF(INDEX('Per Invoice'!O$2:O$801,$W72)="","",INDEX('Per Invoice'!O$2:O$801,$W72)))</f>
        <v/>
      </c>
      <c r="P72">
        <f>IF($W72="","",IF(INDEX('Per Invoice'!P$2:P$801,$W72)="","",INDEX('Per Invoice'!P$2:P$801,$W72)))</f>
        <v/>
      </c>
      <c r="Q72" s="7">
        <f>IF($W72="","",IF(INDEX('Per Invoice'!Q$2:Q$801,$W72)="","",INDEX('Per Invoice'!Q$2:Q$801,$W72)))</f>
        <v/>
      </c>
      <c r="R72" s="7">
        <f>IF($W72="","",IF(INDEX('Per Invoice'!R$2:R$801,$W72)="","",INDEX('Per Invoice'!R$2:R$801,$W72)))</f>
        <v/>
      </c>
      <c r="S72" s="7">
        <f>IF($W72="","",IF(INDEX('Per Invoice'!S$2:S$801,$W72)="","",INDEX('Per Invoice'!S$2:S$801,$W72)))</f>
        <v/>
      </c>
      <c r="T72" s="7">
        <f>IF($W72="","",IF(INDEX('Per Invoice'!T$2:T$801,$W72)="","",INDEX('Per Invoice'!T$2:T$801,$W72)))</f>
        <v/>
      </c>
      <c r="U72" s="7">
        <f>IF($W72="","",IF(INDEX('Per Invoice'!U$2:U$801,$W72)="","",INDEX('Per Invoice'!U$2:U$801,$W72)))</f>
        <v/>
      </c>
      <c r="V72" s="7">
        <f>IF($W72="","",IF(INDEX('Per Invoice'!V$2:V$801,$W72)="","",INDEX('Per Invoice'!V$2:V$801,$W72)))</f>
        <v/>
      </c>
      <c r="W72" s="16">
        <f>IFERROR(MATCH(Settings!$C$32&amp;"|"&amp;ROWS($W$2:$W72),'Per Invoice'!$X$2:$X$801,0),"")</f>
        <v/>
      </c>
    </row>
    <row r="73">
      <c r="A73">
        <f>IF($W73="","",IF(INDEX('Per Invoice'!A$2:A$801,$W73)="","",INDEX('Per Invoice'!A$2:A$801,$W73)))</f>
        <v/>
      </c>
      <c r="B73">
        <f>IF($W73="","",IF(INDEX('Per Invoice'!B$2:B$801,$W73)="","",INDEX('Per Invoice'!B$2:B$801,$W73)))</f>
        <v/>
      </c>
      <c r="C73">
        <f>IF($W73="","",IF(INDEX('Per Invoice'!C$2:C$801,$W73)="","",INDEX('Per Invoice'!C$2:C$801,$W73)))</f>
        <v/>
      </c>
      <c r="D73">
        <f>IF($W73="","",IF(INDEX('Per Invoice'!D$2:D$801,$W73)="","",INDEX('Per Invoice'!D$2:D$801,$W73)))</f>
        <v/>
      </c>
      <c r="E73">
        <f>IF($W73="","",IF(INDEX('Per Invoice'!E$2:E$801,$W73)="","",INDEX('Per Invoice'!E$2:E$801,$W73)))</f>
        <v/>
      </c>
      <c r="F73">
        <f>IF($W73="","",IF(INDEX('Per Invoice'!F$2:F$801,$W73)="","",INDEX('Per Invoice'!F$2:F$801,$W73)))</f>
        <v/>
      </c>
      <c r="G73">
        <f>IF($W73="","",IF(INDEX('Per Invoice'!G$2:G$801,$W73)="","",INDEX('Per Invoice'!G$2:G$801,$W73)))</f>
        <v/>
      </c>
      <c r="H73">
        <f>IF($W73="","",IF(INDEX('Per Invoice'!H$2:H$801,$W73)="","",INDEX('Per Invoice'!H$2:H$801,$W73)))</f>
        <v/>
      </c>
      <c r="I73">
        <f>IF($W73="","",IF(INDEX('Per Invoice'!I$2:I$801,$W73)="","",INDEX('Per Invoice'!I$2:I$801,$W73)))</f>
        <v/>
      </c>
      <c r="J73">
        <f>IF($W73="","",IF(INDEX('Per Invoice'!J$2:J$801,$W73)="","",INDEX('Per Invoice'!J$2:J$801,$W73)))</f>
        <v/>
      </c>
      <c r="K73" s="7">
        <f>IF($W73="","",IF(INDEX('Per Invoice'!K$2:K$801,$W73)="","",INDEX('Per Invoice'!K$2:K$801,$W73)))</f>
        <v/>
      </c>
      <c r="L73" s="14">
        <f>IF($W73="","",IF(INDEX('Per Invoice'!L$2:L$801,$W73)="","",INDEX('Per Invoice'!L$2:L$801,$W73)))</f>
        <v/>
      </c>
      <c r="M73">
        <f>IF($W73="","",IF(INDEX('Per Invoice'!M$2:M$801,$W73)="","",INDEX('Per Invoice'!M$2:M$801,$W73)))</f>
        <v/>
      </c>
      <c r="N73" s="7">
        <f>IF($W73="","",IF(INDEX('Per Invoice'!N$2:N$801,$W73)="","",INDEX('Per Invoice'!N$2:N$801,$W73)))</f>
        <v/>
      </c>
      <c r="O73" s="7">
        <f>IF($W73="","",IF(INDEX('Per Invoice'!O$2:O$801,$W73)="","",INDEX('Per Invoice'!O$2:O$801,$W73)))</f>
        <v/>
      </c>
      <c r="P73">
        <f>IF($W73="","",IF(INDEX('Per Invoice'!P$2:P$801,$W73)="","",INDEX('Per Invoice'!P$2:P$801,$W73)))</f>
        <v/>
      </c>
      <c r="Q73" s="7">
        <f>IF($W73="","",IF(INDEX('Per Invoice'!Q$2:Q$801,$W73)="","",INDEX('Per Invoice'!Q$2:Q$801,$W73)))</f>
        <v/>
      </c>
      <c r="R73" s="7">
        <f>IF($W73="","",IF(INDEX('Per Invoice'!R$2:R$801,$W73)="","",INDEX('Per Invoice'!R$2:R$801,$W73)))</f>
        <v/>
      </c>
      <c r="S73" s="7">
        <f>IF($W73="","",IF(INDEX('Per Invoice'!S$2:S$801,$W73)="","",INDEX('Per Invoice'!S$2:S$801,$W73)))</f>
        <v/>
      </c>
      <c r="T73" s="7">
        <f>IF($W73="","",IF(INDEX('Per Invoice'!T$2:T$801,$W73)="","",INDEX('Per Invoice'!T$2:T$801,$W73)))</f>
        <v/>
      </c>
      <c r="U73" s="7">
        <f>IF($W73="","",IF(INDEX('Per Invoice'!U$2:U$801,$W73)="","",INDEX('Per Invoice'!U$2:U$801,$W73)))</f>
        <v/>
      </c>
      <c r="V73" s="7">
        <f>IF($W73="","",IF(INDEX('Per Invoice'!V$2:V$801,$W73)="","",INDEX('Per Invoice'!V$2:V$801,$W73)))</f>
        <v/>
      </c>
      <c r="W73" s="16">
        <f>IFERROR(MATCH(Settings!$C$32&amp;"|"&amp;ROWS($W$2:$W73),'Per Invoice'!$X$2:$X$801,0),"")</f>
        <v/>
      </c>
    </row>
    <row r="74">
      <c r="A74">
        <f>IF($W74="","",IF(INDEX('Per Invoice'!A$2:A$801,$W74)="","",INDEX('Per Invoice'!A$2:A$801,$W74)))</f>
        <v/>
      </c>
      <c r="B74">
        <f>IF($W74="","",IF(INDEX('Per Invoice'!B$2:B$801,$W74)="","",INDEX('Per Invoice'!B$2:B$801,$W74)))</f>
        <v/>
      </c>
      <c r="C74">
        <f>IF($W74="","",IF(INDEX('Per Invoice'!C$2:C$801,$W74)="","",INDEX('Per Invoice'!C$2:C$801,$W74)))</f>
        <v/>
      </c>
      <c r="D74">
        <f>IF($W74="","",IF(INDEX('Per Invoice'!D$2:D$801,$W74)="","",INDEX('Per Invoice'!D$2:D$801,$W74)))</f>
        <v/>
      </c>
      <c r="E74">
        <f>IF($W74="","",IF(INDEX('Per Invoice'!E$2:E$801,$W74)="","",INDEX('Per Invoice'!E$2:E$801,$W74)))</f>
        <v/>
      </c>
      <c r="F74">
        <f>IF($W74="","",IF(INDEX('Per Invoice'!F$2:F$801,$W74)="","",INDEX('Per Invoice'!F$2:F$801,$W74)))</f>
        <v/>
      </c>
      <c r="G74">
        <f>IF($W74="","",IF(INDEX('Per Invoice'!G$2:G$801,$W74)="","",INDEX('Per Invoice'!G$2:G$801,$W74)))</f>
        <v/>
      </c>
      <c r="H74">
        <f>IF($W74="","",IF(INDEX('Per Invoice'!H$2:H$801,$W74)="","",INDEX('Per Invoice'!H$2:H$801,$W74)))</f>
        <v/>
      </c>
      <c r="I74">
        <f>IF($W74="","",IF(INDEX('Per Invoice'!I$2:I$801,$W74)="","",INDEX('Per Invoice'!I$2:I$801,$W74)))</f>
        <v/>
      </c>
      <c r="J74">
        <f>IF($W74="","",IF(INDEX('Per Invoice'!J$2:J$801,$W74)="","",INDEX('Per Invoice'!J$2:J$801,$W74)))</f>
        <v/>
      </c>
      <c r="K74" s="7">
        <f>IF($W74="","",IF(INDEX('Per Invoice'!K$2:K$801,$W74)="","",INDEX('Per Invoice'!K$2:K$801,$W74)))</f>
        <v/>
      </c>
      <c r="L74" s="14">
        <f>IF($W74="","",IF(INDEX('Per Invoice'!L$2:L$801,$W74)="","",INDEX('Per Invoice'!L$2:L$801,$W74)))</f>
        <v/>
      </c>
      <c r="M74">
        <f>IF($W74="","",IF(INDEX('Per Invoice'!M$2:M$801,$W74)="","",INDEX('Per Invoice'!M$2:M$801,$W74)))</f>
        <v/>
      </c>
      <c r="N74" s="7">
        <f>IF($W74="","",IF(INDEX('Per Invoice'!N$2:N$801,$W74)="","",INDEX('Per Invoice'!N$2:N$801,$W74)))</f>
        <v/>
      </c>
      <c r="O74" s="7">
        <f>IF($W74="","",IF(INDEX('Per Invoice'!O$2:O$801,$W74)="","",INDEX('Per Invoice'!O$2:O$801,$W74)))</f>
        <v/>
      </c>
      <c r="P74">
        <f>IF($W74="","",IF(INDEX('Per Invoice'!P$2:P$801,$W74)="","",INDEX('Per Invoice'!P$2:P$801,$W74)))</f>
        <v/>
      </c>
      <c r="Q74" s="7">
        <f>IF($W74="","",IF(INDEX('Per Invoice'!Q$2:Q$801,$W74)="","",INDEX('Per Invoice'!Q$2:Q$801,$W74)))</f>
        <v/>
      </c>
      <c r="R74" s="7">
        <f>IF($W74="","",IF(INDEX('Per Invoice'!R$2:R$801,$W74)="","",INDEX('Per Invoice'!R$2:R$801,$W74)))</f>
        <v/>
      </c>
      <c r="S74" s="7">
        <f>IF($W74="","",IF(INDEX('Per Invoice'!S$2:S$801,$W74)="","",INDEX('Per Invoice'!S$2:S$801,$W74)))</f>
        <v/>
      </c>
      <c r="T74" s="7">
        <f>IF($W74="","",IF(INDEX('Per Invoice'!T$2:T$801,$W74)="","",INDEX('Per Invoice'!T$2:T$801,$W74)))</f>
        <v/>
      </c>
      <c r="U74" s="7">
        <f>IF($W74="","",IF(INDEX('Per Invoice'!U$2:U$801,$W74)="","",INDEX('Per Invoice'!U$2:U$801,$W74)))</f>
        <v/>
      </c>
      <c r="V74" s="7">
        <f>IF($W74="","",IF(INDEX('Per Invoice'!V$2:V$801,$W74)="","",INDEX('Per Invoice'!V$2:V$801,$W74)))</f>
        <v/>
      </c>
      <c r="W74" s="16">
        <f>IFERROR(MATCH(Settings!$C$32&amp;"|"&amp;ROWS($W$2:$W74),'Per Invoice'!$X$2:$X$801,0),"")</f>
        <v/>
      </c>
    </row>
    <row r="75">
      <c r="A75">
        <f>IF($W75="","",IF(INDEX('Per Invoice'!A$2:A$801,$W75)="","",INDEX('Per Invoice'!A$2:A$801,$W75)))</f>
        <v/>
      </c>
      <c r="B75">
        <f>IF($W75="","",IF(INDEX('Per Invoice'!B$2:B$801,$W75)="","",INDEX('Per Invoice'!B$2:B$801,$W75)))</f>
        <v/>
      </c>
      <c r="C75">
        <f>IF($W75="","",IF(INDEX('Per Invoice'!C$2:C$801,$W75)="","",INDEX('Per Invoice'!C$2:C$801,$W75)))</f>
        <v/>
      </c>
      <c r="D75">
        <f>IF($W75="","",IF(INDEX('Per Invoice'!D$2:D$801,$W75)="","",INDEX('Per Invoice'!D$2:D$801,$W75)))</f>
        <v/>
      </c>
      <c r="E75">
        <f>IF($W75="","",IF(INDEX('Per Invoice'!E$2:E$801,$W75)="","",INDEX('Per Invoice'!E$2:E$801,$W75)))</f>
        <v/>
      </c>
      <c r="F75">
        <f>IF($W75="","",IF(INDEX('Per Invoice'!F$2:F$801,$W75)="","",INDEX('Per Invoice'!F$2:F$801,$W75)))</f>
        <v/>
      </c>
      <c r="G75">
        <f>IF($W75="","",IF(INDEX('Per Invoice'!G$2:G$801,$W75)="","",INDEX('Per Invoice'!G$2:G$801,$W75)))</f>
        <v/>
      </c>
      <c r="H75">
        <f>IF($W75="","",IF(INDEX('Per Invoice'!H$2:H$801,$W75)="","",INDEX('Per Invoice'!H$2:H$801,$W75)))</f>
        <v/>
      </c>
      <c r="I75">
        <f>IF($W75="","",IF(INDEX('Per Invoice'!I$2:I$801,$W75)="","",INDEX('Per Invoice'!I$2:I$801,$W75)))</f>
        <v/>
      </c>
      <c r="J75">
        <f>IF($W75="","",IF(INDEX('Per Invoice'!J$2:J$801,$W75)="","",INDEX('Per Invoice'!J$2:J$801,$W75)))</f>
        <v/>
      </c>
      <c r="K75" s="7">
        <f>IF($W75="","",IF(INDEX('Per Invoice'!K$2:K$801,$W75)="","",INDEX('Per Invoice'!K$2:K$801,$W75)))</f>
        <v/>
      </c>
      <c r="L75" s="14">
        <f>IF($W75="","",IF(INDEX('Per Invoice'!L$2:L$801,$W75)="","",INDEX('Per Invoice'!L$2:L$801,$W75)))</f>
        <v/>
      </c>
      <c r="M75">
        <f>IF($W75="","",IF(INDEX('Per Invoice'!M$2:M$801,$W75)="","",INDEX('Per Invoice'!M$2:M$801,$W75)))</f>
        <v/>
      </c>
      <c r="N75" s="7">
        <f>IF($W75="","",IF(INDEX('Per Invoice'!N$2:N$801,$W75)="","",INDEX('Per Invoice'!N$2:N$801,$W75)))</f>
        <v/>
      </c>
      <c r="O75" s="7">
        <f>IF($W75="","",IF(INDEX('Per Invoice'!O$2:O$801,$W75)="","",INDEX('Per Invoice'!O$2:O$801,$W75)))</f>
        <v/>
      </c>
      <c r="P75">
        <f>IF($W75="","",IF(INDEX('Per Invoice'!P$2:P$801,$W75)="","",INDEX('Per Invoice'!P$2:P$801,$W75)))</f>
        <v/>
      </c>
      <c r="Q75" s="7">
        <f>IF($W75="","",IF(INDEX('Per Invoice'!Q$2:Q$801,$W75)="","",INDEX('Per Invoice'!Q$2:Q$801,$W75)))</f>
        <v/>
      </c>
      <c r="R75" s="7">
        <f>IF($W75="","",IF(INDEX('Per Invoice'!R$2:R$801,$W75)="","",INDEX('Per Invoice'!R$2:R$801,$W75)))</f>
        <v/>
      </c>
      <c r="S75" s="7">
        <f>IF($W75="","",IF(INDEX('Per Invoice'!S$2:S$801,$W75)="","",INDEX('Per Invoice'!S$2:S$801,$W75)))</f>
        <v/>
      </c>
      <c r="T75" s="7">
        <f>IF($W75="","",IF(INDEX('Per Invoice'!T$2:T$801,$W75)="","",INDEX('Per Invoice'!T$2:T$801,$W75)))</f>
        <v/>
      </c>
      <c r="U75" s="7">
        <f>IF($W75="","",IF(INDEX('Per Invoice'!U$2:U$801,$W75)="","",INDEX('Per Invoice'!U$2:U$801,$W75)))</f>
        <v/>
      </c>
      <c r="V75" s="7">
        <f>IF($W75="","",IF(INDEX('Per Invoice'!V$2:V$801,$W75)="","",INDEX('Per Invoice'!V$2:V$801,$W75)))</f>
        <v/>
      </c>
      <c r="W75" s="16">
        <f>IFERROR(MATCH(Settings!$C$32&amp;"|"&amp;ROWS($W$2:$W75),'Per Invoice'!$X$2:$X$801,0),"")</f>
        <v/>
      </c>
    </row>
    <row r="76">
      <c r="A76">
        <f>IF($W76="","",IF(INDEX('Per Invoice'!A$2:A$801,$W76)="","",INDEX('Per Invoice'!A$2:A$801,$W76)))</f>
        <v/>
      </c>
      <c r="B76">
        <f>IF($W76="","",IF(INDEX('Per Invoice'!B$2:B$801,$W76)="","",INDEX('Per Invoice'!B$2:B$801,$W76)))</f>
        <v/>
      </c>
      <c r="C76">
        <f>IF($W76="","",IF(INDEX('Per Invoice'!C$2:C$801,$W76)="","",INDEX('Per Invoice'!C$2:C$801,$W76)))</f>
        <v/>
      </c>
      <c r="D76">
        <f>IF($W76="","",IF(INDEX('Per Invoice'!D$2:D$801,$W76)="","",INDEX('Per Invoice'!D$2:D$801,$W76)))</f>
        <v/>
      </c>
      <c r="E76">
        <f>IF($W76="","",IF(INDEX('Per Invoice'!E$2:E$801,$W76)="","",INDEX('Per Invoice'!E$2:E$801,$W76)))</f>
        <v/>
      </c>
      <c r="F76">
        <f>IF($W76="","",IF(INDEX('Per Invoice'!F$2:F$801,$W76)="","",INDEX('Per Invoice'!F$2:F$801,$W76)))</f>
        <v/>
      </c>
      <c r="G76">
        <f>IF($W76="","",IF(INDEX('Per Invoice'!G$2:G$801,$W76)="","",INDEX('Per Invoice'!G$2:G$801,$W76)))</f>
        <v/>
      </c>
      <c r="H76">
        <f>IF($W76="","",IF(INDEX('Per Invoice'!H$2:H$801,$W76)="","",INDEX('Per Invoice'!H$2:H$801,$W76)))</f>
        <v/>
      </c>
      <c r="I76">
        <f>IF($W76="","",IF(INDEX('Per Invoice'!I$2:I$801,$W76)="","",INDEX('Per Invoice'!I$2:I$801,$W76)))</f>
        <v/>
      </c>
      <c r="J76">
        <f>IF($W76="","",IF(INDEX('Per Invoice'!J$2:J$801,$W76)="","",INDEX('Per Invoice'!J$2:J$801,$W76)))</f>
        <v/>
      </c>
      <c r="K76" s="7">
        <f>IF($W76="","",IF(INDEX('Per Invoice'!K$2:K$801,$W76)="","",INDEX('Per Invoice'!K$2:K$801,$W76)))</f>
        <v/>
      </c>
      <c r="L76" s="14">
        <f>IF($W76="","",IF(INDEX('Per Invoice'!L$2:L$801,$W76)="","",INDEX('Per Invoice'!L$2:L$801,$W76)))</f>
        <v/>
      </c>
      <c r="M76">
        <f>IF($W76="","",IF(INDEX('Per Invoice'!M$2:M$801,$W76)="","",INDEX('Per Invoice'!M$2:M$801,$W76)))</f>
        <v/>
      </c>
      <c r="N76" s="7">
        <f>IF($W76="","",IF(INDEX('Per Invoice'!N$2:N$801,$W76)="","",INDEX('Per Invoice'!N$2:N$801,$W76)))</f>
        <v/>
      </c>
      <c r="O76" s="7">
        <f>IF($W76="","",IF(INDEX('Per Invoice'!O$2:O$801,$W76)="","",INDEX('Per Invoice'!O$2:O$801,$W76)))</f>
        <v/>
      </c>
      <c r="P76">
        <f>IF($W76="","",IF(INDEX('Per Invoice'!P$2:P$801,$W76)="","",INDEX('Per Invoice'!P$2:P$801,$W76)))</f>
        <v/>
      </c>
      <c r="Q76" s="7">
        <f>IF($W76="","",IF(INDEX('Per Invoice'!Q$2:Q$801,$W76)="","",INDEX('Per Invoice'!Q$2:Q$801,$W76)))</f>
        <v/>
      </c>
      <c r="R76" s="7">
        <f>IF($W76="","",IF(INDEX('Per Invoice'!R$2:R$801,$W76)="","",INDEX('Per Invoice'!R$2:R$801,$W76)))</f>
        <v/>
      </c>
      <c r="S76" s="7">
        <f>IF($W76="","",IF(INDEX('Per Invoice'!S$2:S$801,$W76)="","",INDEX('Per Invoice'!S$2:S$801,$W76)))</f>
        <v/>
      </c>
      <c r="T76" s="7">
        <f>IF($W76="","",IF(INDEX('Per Invoice'!T$2:T$801,$W76)="","",INDEX('Per Invoice'!T$2:T$801,$W76)))</f>
        <v/>
      </c>
      <c r="U76" s="7">
        <f>IF($W76="","",IF(INDEX('Per Invoice'!U$2:U$801,$W76)="","",INDEX('Per Invoice'!U$2:U$801,$W76)))</f>
        <v/>
      </c>
      <c r="V76" s="7">
        <f>IF($W76="","",IF(INDEX('Per Invoice'!V$2:V$801,$W76)="","",INDEX('Per Invoice'!V$2:V$801,$W76)))</f>
        <v/>
      </c>
      <c r="W76" s="16">
        <f>IFERROR(MATCH(Settings!$C$32&amp;"|"&amp;ROWS($W$2:$W76),'Per Invoice'!$X$2:$X$801,0),"")</f>
        <v/>
      </c>
    </row>
    <row r="77">
      <c r="A77">
        <f>IF($W77="","",IF(INDEX('Per Invoice'!A$2:A$801,$W77)="","",INDEX('Per Invoice'!A$2:A$801,$W77)))</f>
        <v/>
      </c>
      <c r="B77">
        <f>IF($W77="","",IF(INDEX('Per Invoice'!B$2:B$801,$W77)="","",INDEX('Per Invoice'!B$2:B$801,$W77)))</f>
        <v/>
      </c>
      <c r="C77">
        <f>IF($W77="","",IF(INDEX('Per Invoice'!C$2:C$801,$W77)="","",INDEX('Per Invoice'!C$2:C$801,$W77)))</f>
        <v/>
      </c>
      <c r="D77">
        <f>IF($W77="","",IF(INDEX('Per Invoice'!D$2:D$801,$W77)="","",INDEX('Per Invoice'!D$2:D$801,$W77)))</f>
        <v/>
      </c>
      <c r="E77">
        <f>IF($W77="","",IF(INDEX('Per Invoice'!E$2:E$801,$W77)="","",INDEX('Per Invoice'!E$2:E$801,$W77)))</f>
        <v/>
      </c>
      <c r="F77">
        <f>IF($W77="","",IF(INDEX('Per Invoice'!F$2:F$801,$W77)="","",INDEX('Per Invoice'!F$2:F$801,$W77)))</f>
        <v/>
      </c>
      <c r="G77">
        <f>IF($W77="","",IF(INDEX('Per Invoice'!G$2:G$801,$W77)="","",INDEX('Per Invoice'!G$2:G$801,$W77)))</f>
        <v/>
      </c>
      <c r="H77">
        <f>IF($W77="","",IF(INDEX('Per Invoice'!H$2:H$801,$W77)="","",INDEX('Per Invoice'!H$2:H$801,$W77)))</f>
        <v/>
      </c>
      <c r="I77">
        <f>IF($W77="","",IF(INDEX('Per Invoice'!I$2:I$801,$W77)="","",INDEX('Per Invoice'!I$2:I$801,$W77)))</f>
        <v/>
      </c>
      <c r="J77">
        <f>IF($W77="","",IF(INDEX('Per Invoice'!J$2:J$801,$W77)="","",INDEX('Per Invoice'!J$2:J$801,$W77)))</f>
        <v/>
      </c>
      <c r="K77" s="7">
        <f>IF($W77="","",IF(INDEX('Per Invoice'!K$2:K$801,$W77)="","",INDEX('Per Invoice'!K$2:K$801,$W77)))</f>
        <v/>
      </c>
      <c r="L77" s="14">
        <f>IF($W77="","",IF(INDEX('Per Invoice'!L$2:L$801,$W77)="","",INDEX('Per Invoice'!L$2:L$801,$W77)))</f>
        <v/>
      </c>
      <c r="M77">
        <f>IF($W77="","",IF(INDEX('Per Invoice'!M$2:M$801,$W77)="","",INDEX('Per Invoice'!M$2:M$801,$W77)))</f>
        <v/>
      </c>
      <c r="N77" s="7">
        <f>IF($W77="","",IF(INDEX('Per Invoice'!N$2:N$801,$W77)="","",INDEX('Per Invoice'!N$2:N$801,$W77)))</f>
        <v/>
      </c>
      <c r="O77" s="7">
        <f>IF($W77="","",IF(INDEX('Per Invoice'!O$2:O$801,$W77)="","",INDEX('Per Invoice'!O$2:O$801,$W77)))</f>
        <v/>
      </c>
      <c r="P77">
        <f>IF($W77="","",IF(INDEX('Per Invoice'!P$2:P$801,$W77)="","",INDEX('Per Invoice'!P$2:P$801,$W77)))</f>
        <v/>
      </c>
      <c r="Q77" s="7">
        <f>IF($W77="","",IF(INDEX('Per Invoice'!Q$2:Q$801,$W77)="","",INDEX('Per Invoice'!Q$2:Q$801,$W77)))</f>
        <v/>
      </c>
      <c r="R77" s="7">
        <f>IF($W77="","",IF(INDEX('Per Invoice'!R$2:R$801,$W77)="","",INDEX('Per Invoice'!R$2:R$801,$W77)))</f>
        <v/>
      </c>
      <c r="S77" s="7">
        <f>IF($W77="","",IF(INDEX('Per Invoice'!S$2:S$801,$W77)="","",INDEX('Per Invoice'!S$2:S$801,$W77)))</f>
        <v/>
      </c>
      <c r="T77" s="7">
        <f>IF($W77="","",IF(INDEX('Per Invoice'!T$2:T$801,$W77)="","",INDEX('Per Invoice'!T$2:T$801,$W77)))</f>
        <v/>
      </c>
      <c r="U77" s="7">
        <f>IF($W77="","",IF(INDEX('Per Invoice'!U$2:U$801,$W77)="","",INDEX('Per Invoice'!U$2:U$801,$W77)))</f>
        <v/>
      </c>
      <c r="V77" s="7">
        <f>IF($W77="","",IF(INDEX('Per Invoice'!V$2:V$801,$W77)="","",INDEX('Per Invoice'!V$2:V$801,$W77)))</f>
        <v/>
      </c>
      <c r="W77" s="16">
        <f>IFERROR(MATCH(Settings!$C$32&amp;"|"&amp;ROWS($W$2:$W77),'Per Invoice'!$X$2:$X$801,0),"")</f>
        <v/>
      </c>
    </row>
    <row r="78">
      <c r="A78">
        <f>IF($W78="","",IF(INDEX('Per Invoice'!A$2:A$801,$W78)="","",INDEX('Per Invoice'!A$2:A$801,$W78)))</f>
        <v/>
      </c>
      <c r="B78">
        <f>IF($W78="","",IF(INDEX('Per Invoice'!B$2:B$801,$W78)="","",INDEX('Per Invoice'!B$2:B$801,$W78)))</f>
        <v/>
      </c>
      <c r="C78">
        <f>IF($W78="","",IF(INDEX('Per Invoice'!C$2:C$801,$W78)="","",INDEX('Per Invoice'!C$2:C$801,$W78)))</f>
        <v/>
      </c>
      <c r="D78">
        <f>IF($W78="","",IF(INDEX('Per Invoice'!D$2:D$801,$W78)="","",INDEX('Per Invoice'!D$2:D$801,$W78)))</f>
        <v/>
      </c>
      <c r="E78">
        <f>IF($W78="","",IF(INDEX('Per Invoice'!E$2:E$801,$W78)="","",INDEX('Per Invoice'!E$2:E$801,$W78)))</f>
        <v/>
      </c>
      <c r="F78">
        <f>IF($W78="","",IF(INDEX('Per Invoice'!F$2:F$801,$W78)="","",INDEX('Per Invoice'!F$2:F$801,$W78)))</f>
        <v/>
      </c>
      <c r="G78">
        <f>IF($W78="","",IF(INDEX('Per Invoice'!G$2:G$801,$W78)="","",INDEX('Per Invoice'!G$2:G$801,$W78)))</f>
        <v/>
      </c>
      <c r="H78">
        <f>IF($W78="","",IF(INDEX('Per Invoice'!H$2:H$801,$W78)="","",INDEX('Per Invoice'!H$2:H$801,$W78)))</f>
        <v/>
      </c>
      <c r="I78">
        <f>IF($W78="","",IF(INDEX('Per Invoice'!I$2:I$801,$W78)="","",INDEX('Per Invoice'!I$2:I$801,$W78)))</f>
        <v/>
      </c>
      <c r="J78">
        <f>IF($W78="","",IF(INDEX('Per Invoice'!J$2:J$801,$W78)="","",INDEX('Per Invoice'!J$2:J$801,$W78)))</f>
        <v/>
      </c>
      <c r="K78" s="7">
        <f>IF($W78="","",IF(INDEX('Per Invoice'!K$2:K$801,$W78)="","",INDEX('Per Invoice'!K$2:K$801,$W78)))</f>
        <v/>
      </c>
      <c r="L78" s="14">
        <f>IF($W78="","",IF(INDEX('Per Invoice'!L$2:L$801,$W78)="","",INDEX('Per Invoice'!L$2:L$801,$W78)))</f>
        <v/>
      </c>
      <c r="M78">
        <f>IF($W78="","",IF(INDEX('Per Invoice'!M$2:M$801,$W78)="","",INDEX('Per Invoice'!M$2:M$801,$W78)))</f>
        <v/>
      </c>
      <c r="N78" s="7">
        <f>IF($W78="","",IF(INDEX('Per Invoice'!N$2:N$801,$W78)="","",INDEX('Per Invoice'!N$2:N$801,$W78)))</f>
        <v/>
      </c>
      <c r="O78" s="7">
        <f>IF($W78="","",IF(INDEX('Per Invoice'!O$2:O$801,$W78)="","",INDEX('Per Invoice'!O$2:O$801,$W78)))</f>
        <v/>
      </c>
      <c r="P78">
        <f>IF($W78="","",IF(INDEX('Per Invoice'!P$2:P$801,$W78)="","",INDEX('Per Invoice'!P$2:P$801,$W78)))</f>
        <v/>
      </c>
      <c r="Q78" s="7">
        <f>IF($W78="","",IF(INDEX('Per Invoice'!Q$2:Q$801,$W78)="","",INDEX('Per Invoice'!Q$2:Q$801,$W78)))</f>
        <v/>
      </c>
      <c r="R78" s="7">
        <f>IF($W78="","",IF(INDEX('Per Invoice'!R$2:R$801,$W78)="","",INDEX('Per Invoice'!R$2:R$801,$W78)))</f>
        <v/>
      </c>
      <c r="S78" s="7">
        <f>IF($W78="","",IF(INDEX('Per Invoice'!S$2:S$801,$W78)="","",INDEX('Per Invoice'!S$2:S$801,$W78)))</f>
        <v/>
      </c>
      <c r="T78" s="7">
        <f>IF($W78="","",IF(INDEX('Per Invoice'!T$2:T$801,$W78)="","",INDEX('Per Invoice'!T$2:T$801,$W78)))</f>
        <v/>
      </c>
      <c r="U78" s="7">
        <f>IF($W78="","",IF(INDEX('Per Invoice'!U$2:U$801,$W78)="","",INDEX('Per Invoice'!U$2:U$801,$W78)))</f>
        <v/>
      </c>
      <c r="V78" s="7">
        <f>IF($W78="","",IF(INDEX('Per Invoice'!V$2:V$801,$W78)="","",INDEX('Per Invoice'!V$2:V$801,$W78)))</f>
        <v/>
      </c>
      <c r="W78" s="16">
        <f>IFERROR(MATCH(Settings!$C$32&amp;"|"&amp;ROWS($W$2:$W78),'Per Invoice'!$X$2:$X$801,0),"")</f>
        <v/>
      </c>
    </row>
    <row r="79">
      <c r="A79">
        <f>IF($W79="","",IF(INDEX('Per Invoice'!A$2:A$801,$W79)="","",INDEX('Per Invoice'!A$2:A$801,$W79)))</f>
        <v/>
      </c>
      <c r="B79">
        <f>IF($W79="","",IF(INDEX('Per Invoice'!B$2:B$801,$W79)="","",INDEX('Per Invoice'!B$2:B$801,$W79)))</f>
        <v/>
      </c>
      <c r="C79">
        <f>IF($W79="","",IF(INDEX('Per Invoice'!C$2:C$801,$W79)="","",INDEX('Per Invoice'!C$2:C$801,$W79)))</f>
        <v/>
      </c>
      <c r="D79">
        <f>IF($W79="","",IF(INDEX('Per Invoice'!D$2:D$801,$W79)="","",INDEX('Per Invoice'!D$2:D$801,$W79)))</f>
        <v/>
      </c>
      <c r="E79">
        <f>IF($W79="","",IF(INDEX('Per Invoice'!E$2:E$801,$W79)="","",INDEX('Per Invoice'!E$2:E$801,$W79)))</f>
        <v/>
      </c>
      <c r="F79">
        <f>IF($W79="","",IF(INDEX('Per Invoice'!F$2:F$801,$W79)="","",INDEX('Per Invoice'!F$2:F$801,$W79)))</f>
        <v/>
      </c>
      <c r="G79">
        <f>IF($W79="","",IF(INDEX('Per Invoice'!G$2:G$801,$W79)="","",INDEX('Per Invoice'!G$2:G$801,$W79)))</f>
        <v/>
      </c>
      <c r="H79">
        <f>IF($W79="","",IF(INDEX('Per Invoice'!H$2:H$801,$W79)="","",INDEX('Per Invoice'!H$2:H$801,$W79)))</f>
        <v/>
      </c>
      <c r="I79">
        <f>IF($W79="","",IF(INDEX('Per Invoice'!I$2:I$801,$W79)="","",INDEX('Per Invoice'!I$2:I$801,$W79)))</f>
        <v/>
      </c>
      <c r="J79">
        <f>IF($W79="","",IF(INDEX('Per Invoice'!J$2:J$801,$W79)="","",INDEX('Per Invoice'!J$2:J$801,$W79)))</f>
        <v/>
      </c>
      <c r="K79" s="7">
        <f>IF($W79="","",IF(INDEX('Per Invoice'!K$2:K$801,$W79)="","",INDEX('Per Invoice'!K$2:K$801,$W79)))</f>
        <v/>
      </c>
      <c r="L79" s="14">
        <f>IF($W79="","",IF(INDEX('Per Invoice'!L$2:L$801,$W79)="","",INDEX('Per Invoice'!L$2:L$801,$W79)))</f>
        <v/>
      </c>
      <c r="M79">
        <f>IF($W79="","",IF(INDEX('Per Invoice'!M$2:M$801,$W79)="","",INDEX('Per Invoice'!M$2:M$801,$W79)))</f>
        <v/>
      </c>
      <c r="N79" s="7">
        <f>IF($W79="","",IF(INDEX('Per Invoice'!N$2:N$801,$W79)="","",INDEX('Per Invoice'!N$2:N$801,$W79)))</f>
        <v/>
      </c>
      <c r="O79" s="7">
        <f>IF($W79="","",IF(INDEX('Per Invoice'!O$2:O$801,$W79)="","",INDEX('Per Invoice'!O$2:O$801,$W79)))</f>
        <v/>
      </c>
      <c r="P79">
        <f>IF($W79="","",IF(INDEX('Per Invoice'!P$2:P$801,$W79)="","",INDEX('Per Invoice'!P$2:P$801,$W79)))</f>
        <v/>
      </c>
      <c r="Q79" s="7">
        <f>IF($W79="","",IF(INDEX('Per Invoice'!Q$2:Q$801,$W79)="","",INDEX('Per Invoice'!Q$2:Q$801,$W79)))</f>
        <v/>
      </c>
      <c r="R79" s="7">
        <f>IF($W79="","",IF(INDEX('Per Invoice'!R$2:R$801,$W79)="","",INDEX('Per Invoice'!R$2:R$801,$W79)))</f>
        <v/>
      </c>
      <c r="S79" s="7">
        <f>IF($W79="","",IF(INDEX('Per Invoice'!S$2:S$801,$W79)="","",INDEX('Per Invoice'!S$2:S$801,$W79)))</f>
        <v/>
      </c>
      <c r="T79" s="7">
        <f>IF($W79="","",IF(INDEX('Per Invoice'!T$2:T$801,$W79)="","",INDEX('Per Invoice'!T$2:T$801,$W79)))</f>
        <v/>
      </c>
      <c r="U79" s="7">
        <f>IF($W79="","",IF(INDEX('Per Invoice'!U$2:U$801,$W79)="","",INDEX('Per Invoice'!U$2:U$801,$W79)))</f>
        <v/>
      </c>
      <c r="V79" s="7">
        <f>IF($W79="","",IF(INDEX('Per Invoice'!V$2:V$801,$W79)="","",INDEX('Per Invoice'!V$2:V$801,$W79)))</f>
        <v/>
      </c>
      <c r="W79" s="16">
        <f>IFERROR(MATCH(Settings!$C$32&amp;"|"&amp;ROWS($W$2:$W79),'Per Invoice'!$X$2:$X$801,0),"")</f>
        <v/>
      </c>
    </row>
    <row r="80">
      <c r="A80">
        <f>IF($W80="","",IF(INDEX('Per Invoice'!A$2:A$801,$W80)="","",INDEX('Per Invoice'!A$2:A$801,$W80)))</f>
        <v/>
      </c>
      <c r="B80">
        <f>IF($W80="","",IF(INDEX('Per Invoice'!B$2:B$801,$W80)="","",INDEX('Per Invoice'!B$2:B$801,$W80)))</f>
        <v/>
      </c>
      <c r="C80">
        <f>IF($W80="","",IF(INDEX('Per Invoice'!C$2:C$801,$W80)="","",INDEX('Per Invoice'!C$2:C$801,$W80)))</f>
        <v/>
      </c>
      <c r="D80">
        <f>IF($W80="","",IF(INDEX('Per Invoice'!D$2:D$801,$W80)="","",INDEX('Per Invoice'!D$2:D$801,$W80)))</f>
        <v/>
      </c>
      <c r="E80">
        <f>IF($W80="","",IF(INDEX('Per Invoice'!E$2:E$801,$W80)="","",INDEX('Per Invoice'!E$2:E$801,$W80)))</f>
        <v/>
      </c>
      <c r="F80">
        <f>IF($W80="","",IF(INDEX('Per Invoice'!F$2:F$801,$W80)="","",INDEX('Per Invoice'!F$2:F$801,$W80)))</f>
        <v/>
      </c>
      <c r="G80">
        <f>IF($W80="","",IF(INDEX('Per Invoice'!G$2:G$801,$W80)="","",INDEX('Per Invoice'!G$2:G$801,$W80)))</f>
        <v/>
      </c>
      <c r="H80">
        <f>IF($W80="","",IF(INDEX('Per Invoice'!H$2:H$801,$W80)="","",INDEX('Per Invoice'!H$2:H$801,$W80)))</f>
        <v/>
      </c>
      <c r="I80">
        <f>IF($W80="","",IF(INDEX('Per Invoice'!I$2:I$801,$W80)="","",INDEX('Per Invoice'!I$2:I$801,$W80)))</f>
        <v/>
      </c>
      <c r="J80">
        <f>IF($W80="","",IF(INDEX('Per Invoice'!J$2:J$801,$W80)="","",INDEX('Per Invoice'!J$2:J$801,$W80)))</f>
        <v/>
      </c>
      <c r="K80" s="7">
        <f>IF($W80="","",IF(INDEX('Per Invoice'!K$2:K$801,$W80)="","",INDEX('Per Invoice'!K$2:K$801,$W80)))</f>
        <v/>
      </c>
      <c r="L80" s="14">
        <f>IF($W80="","",IF(INDEX('Per Invoice'!L$2:L$801,$W80)="","",INDEX('Per Invoice'!L$2:L$801,$W80)))</f>
        <v/>
      </c>
      <c r="M80">
        <f>IF($W80="","",IF(INDEX('Per Invoice'!M$2:M$801,$W80)="","",INDEX('Per Invoice'!M$2:M$801,$W80)))</f>
        <v/>
      </c>
      <c r="N80" s="7">
        <f>IF($W80="","",IF(INDEX('Per Invoice'!N$2:N$801,$W80)="","",INDEX('Per Invoice'!N$2:N$801,$W80)))</f>
        <v/>
      </c>
      <c r="O80" s="7">
        <f>IF($W80="","",IF(INDEX('Per Invoice'!O$2:O$801,$W80)="","",INDEX('Per Invoice'!O$2:O$801,$W80)))</f>
        <v/>
      </c>
      <c r="P80">
        <f>IF($W80="","",IF(INDEX('Per Invoice'!P$2:P$801,$W80)="","",INDEX('Per Invoice'!P$2:P$801,$W80)))</f>
        <v/>
      </c>
      <c r="Q80" s="7">
        <f>IF($W80="","",IF(INDEX('Per Invoice'!Q$2:Q$801,$W80)="","",INDEX('Per Invoice'!Q$2:Q$801,$W80)))</f>
        <v/>
      </c>
      <c r="R80" s="7">
        <f>IF($W80="","",IF(INDEX('Per Invoice'!R$2:R$801,$W80)="","",INDEX('Per Invoice'!R$2:R$801,$W80)))</f>
        <v/>
      </c>
      <c r="S80" s="7">
        <f>IF($W80="","",IF(INDEX('Per Invoice'!S$2:S$801,$W80)="","",INDEX('Per Invoice'!S$2:S$801,$W80)))</f>
        <v/>
      </c>
      <c r="T80" s="7">
        <f>IF($W80="","",IF(INDEX('Per Invoice'!T$2:T$801,$W80)="","",INDEX('Per Invoice'!T$2:T$801,$W80)))</f>
        <v/>
      </c>
      <c r="U80" s="7">
        <f>IF($W80="","",IF(INDEX('Per Invoice'!U$2:U$801,$W80)="","",INDEX('Per Invoice'!U$2:U$801,$W80)))</f>
        <v/>
      </c>
      <c r="V80" s="7">
        <f>IF($W80="","",IF(INDEX('Per Invoice'!V$2:V$801,$W80)="","",INDEX('Per Invoice'!V$2:V$801,$W80)))</f>
        <v/>
      </c>
      <c r="W80" s="16">
        <f>IFERROR(MATCH(Settings!$C$32&amp;"|"&amp;ROWS($W$2:$W80),'Per Invoice'!$X$2:$X$801,0),"")</f>
        <v/>
      </c>
    </row>
    <row r="81">
      <c r="A81">
        <f>IF($W81="","",IF(INDEX('Per Invoice'!A$2:A$801,$W81)="","",INDEX('Per Invoice'!A$2:A$801,$W81)))</f>
        <v/>
      </c>
      <c r="B81">
        <f>IF($W81="","",IF(INDEX('Per Invoice'!B$2:B$801,$W81)="","",INDEX('Per Invoice'!B$2:B$801,$W81)))</f>
        <v/>
      </c>
      <c r="C81">
        <f>IF($W81="","",IF(INDEX('Per Invoice'!C$2:C$801,$W81)="","",INDEX('Per Invoice'!C$2:C$801,$W81)))</f>
        <v/>
      </c>
      <c r="D81">
        <f>IF($W81="","",IF(INDEX('Per Invoice'!D$2:D$801,$W81)="","",INDEX('Per Invoice'!D$2:D$801,$W81)))</f>
        <v/>
      </c>
      <c r="E81">
        <f>IF($W81="","",IF(INDEX('Per Invoice'!E$2:E$801,$W81)="","",INDEX('Per Invoice'!E$2:E$801,$W81)))</f>
        <v/>
      </c>
      <c r="F81">
        <f>IF($W81="","",IF(INDEX('Per Invoice'!F$2:F$801,$W81)="","",INDEX('Per Invoice'!F$2:F$801,$W81)))</f>
        <v/>
      </c>
      <c r="G81">
        <f>IF($W81="","",IF(INDEX('Per Invoice'!G$2:G$801,$W81)="","",INDEX('Per Invoice'!G$2:G$801,$W81)))</f>
        <v/>
      </c>
      <c r="H81">
        <f>IF($W81="","",IF(INDEX('Per Invoice'!H$2:H$801,$W81)="","",INDEX('Per Invoice'!H$2:H$801,$W81)))</f>
        <v/>
      </c>
      <c r="I81">
        <f>IF($W81="","",IF(INDEX('Per Invoice'!I$2:I$801,$W81)="","",INDEX('Per Invoice'!I$2:I$801,$W81)))</f>
        <v/>
      </c>
      <c r="J81">
        <f>IF($W81="","",IF(INDEX('Per Invoice'!J$2:J$801,$W81)="","",INDEX('Per Invoice'!J$2:J$801,$W81)))</f>
        <v/>
      </c>
      <c r="K81" s="7">
        <f>IF($W81="","",IF(INDEX('Per Invoice'!K$2:K$801,$W81)="","",INDEX('Per Invoice'!K$2:K$801,$W81)))</f>
        <v/>
      </c>
      <c r="L81" s="14">
        <f>IF($W81="","",IF(INDEX('Per Invoice'!L$2:L$801,$W81)="","",INDEX('Per Invoice'!L$2:L$801,$W81)))</f>
        <v/>
      </c>
      <c r="M81">
        <f>IF($W81="","",IF(INDEX('Per Invoice'!M$2:M$801,$W81)="","",INDEX('Per Invoice'!M$2:M$801,$W81)))</f>
        <v/>
      </c>
      <c r="N81" s="7">
        <f>IF($W81="","",IF(INDEX('Per Invoice'!N$2:N$801,$W81)="","",INDEX('Per Invoice'!N$2:N$801,$W81)))</f>
        <v/>
      </c>
      <c r="O81" s="7">
        <f>IF($W81="","",IF(INDEX('Per Invoice'!O$2:O$801,$W81)="","",INDEX('Per Invoice'!O$2:O$801,$W81)))</f>
        <v/>
      </c>
      <c r="P81">
        <f>IF($W81="","",IF(INDEX('Per Invoice'!P$2:P$801,$W81)="","",INDEX('Per Invoice'!P$2:P$801,$W81)))</f>
        <v/>
      </c>
      <c r="Q81" s="7">
        <f>IF($W81="","",IF(INDEX('Per Invoice'!Q$2:Q$801,$W81)="","",INDEX('Per Invoice'!Q$2:Q$801,$W81)))</f>
        <v/>
      </c>
      <c r="R81" s="7">
        <f>IF($W81="","",IF(INDEX('Per Invoice'!R$2:R$801,$W81)="","",INDEX('Per Invoice'!R$2:R$801,$W81)))</f>
        <v/>
      </c>
      <c r="S81" s="7">
        <f>IF($W81="","",IF(INDEX('Per Invoice'!S$2:S$801,$W81)="","",INDEX('Per Invoice'!S$2:S$801,$W81)))</f>
        <v/>
      </c>
      <c r="T81" s="7">
        <f>IF($W81="","",IF(INDEX('Per Invoice'!T$2:T$801,$W81)="","",INDEX('Per Invoice'!T$2:T$801,$W81)))</f>
        <v/>
      </c>
      <c r="U81" s="7">
        <f>IF($W81="","",IF(INDEX('Per Invoice'!U$2:U$801,$W81)="","",INDEX('Per Invoice'!U$2:U$801,$W81)))</f>
        <v/>
      </c>
      <c r="V81" s="7">
        <f>IF($W81="","",IF(INDEX('Per Invoice'!V$2:V$801,$W81)="","",INDEX('Per Invoice'!V$2:V$801,$W81)))</f>
        <v/>
      </c>
      <c r="W81" s="16">
        <f>IFERROR(MATCH(Settings!$C$32&amp;"|"&amp;ROWS($W$2:$W81),'Per Invoice'!$X$2:$X$801,0),"")</f>
        <v/>
      </c>
    </row>
    <row r="82">
      <c r="A82">
        <f>IF($W82="","",IF(INDEX('Per Invoice'!A$2:A$801,$W82)="","",INDEX('Per Invoice'!A$2:A$801,$W82)))</f>
        <v/>
      </c>
      <c r="B82">
        <f>IF($W82="","",IF(INDEX('Per Invoice'!B$2:B$801,$W82)="","",INDEX('Per Invoice'!B$2:B$801,$W82)))</f>
        <v/>
      </c>
      <c r="C82">
        <f>IF($W82="","",IF(INDEX('Per Invoice'!C$2:C$801,$W82)="","",INDEX('Per Invoice'!C$2:C$801,$W82)))</f>
        <v/>
      </c>
      <c r="D82">
        <f>IF($W82="","",IF(INDEX('Per Invoice'!D$2:D$801,$W82)="","",INDEX('Per Invoice'!D$2:D$801,$W82)))</f>
        <v/>
      </c>
      <c r="E82">
        <f>IF($W82="","",IF(INDEX('Per Invoice'!E$2:E$801,$W82)="","",INDEX('Per Invoice'!E$2:E$801,$W82)))</f>
        <v/>
      </c>
      <c r="F82">
        <f>IF($W82="","",IF(INDEX('Per Invoice'!F$2:F$801,$W82)="","",INDEX('Per Invoice'!F$2:F$801,$W82)))</f>
        <v/>
      </c>
      <c r="G82">
        <f>IF($W82="","",IF(INDEX('Per Invoice'!G$2:G$801,$W82)="","",INDEX('Per Invoice'!G$2:G$801,$W82)))</f>
        <v/>
      </c>
      <c r="H82">
        <f>IF($W82="","",IF(INDEX('Per Invoice'!H$2:H$801,$W82)="","",INDEX('Per Invoice'!H$2:H$801,$W82)))</f>
        <v/>
      </c>
      <c r="I82">
        <f>IF($W82="","",IF(INDEX('Per Invoice'!I$2:I$801,$W82)="","",INDEX('Per Invoice'!I$2:I$801,$W82)))</f>
        <v/>
      </c>
      <c r="J82">
        <f>IF($W82="","",IF(INDEX('Per Invoice'!J$2:J$801,$W82)="","",INDEX('Per Invoice'!J$2:J$801,$W82)))</f>
        <v/>
      </c>
      <c r="K82" s="7">
        <f>IF($W82="","",IF(INDEX('Per Invoice'!K$2:K$801,$W82)="","",INDEX('Per Invoice'!K$2:K$801,$W82)))</f>
        <v/>
      </c>
      <c r="L82" s="14">
        <f>IF($W82="","",IF(INDEX('Per Invoice'!L$2:L$801,$W82)="","",INDEX('Per Invoice'!L$2:L$801,$W82)))</f>
        <v/>
      </c>
      <c r="M82">
        <f>IF($W82="","",IF(INDEX('Per Invoice'!M$2:M$801,$W82)="","",INDEX('Per Invoice'!M$2:M$801,$W82)))</f>
        <v/>
      </c>
      <c r="N82" s="7">
        <f>IF($W82="","",IF(INDEX('Per Invoice'!N$2:N$801,$W82)="","",INDEX('Per Invoice'!N$2:N$801,$W82)))</f>
        <v/>
      </c>
      <c r="O82" s="7">
        <f>IF($W82="","",IF(INDEX('Per Invoice'!O$2:O$801,$W82)="","",INDEX('Per Invoice'!O$2:O$801,$W82)))</f>
        <v/>
      </c>
      <c r="P82">
        <f>IF($W82="","",IF(INDEX('Per Invoice'!P$2:P$801,$W82)="","",INDEX('Per Invoice'!P$2:P$801,$W82)))</f>
        <v/>
      </c>
      <c r="Q82" s="7">
        <f>IF($W82="","",IF(INDEX('Per Invoice'!Q$2:Q$801,$W82)="","",INDEX('Per Invoice'!Q$2:Q$801,$W82)))</f>
        <v/>
      </c>
      <c r="R82" s="7">
        <f>IF($W82="","",IF(INDEX('Per Invoice'!R$2:R$801,$W82)="","",INDEX('Per Invoice'!R$2:R$801,$W82)))</f>
        <v/>
      </c>
      <c r="S82" s="7">
        <f>IF($W82="","",IF(INDEX('Per Invoice'!S$2:S$801,$W82)="","",INDEX('Per Invoice'!S$2:S$801,$W82)))</f>
        <v/>
      </c>
      <c r="T82" s="7">
        <f>IF($W82="","",IF(INDEX('Per Invoice'!T$2:T$801,$W82)="","",INDEX('Per Invoice'!T$2:T$801,$W82)))</f>
        <v/>
      </c>
      <c r="U82" s="7">
        <f>IF($W82="","",IF(INDEX('Per Invoice'!U$2:U$801,$W82)="","",INDEX('Per Invoice'!U$2:U$801,$W82)))</f>
        <v/>
      </c>
      <c r="V82" s="7">
        <f>IF($W82="","",IF(INDEX('Per Invoice'!V$2:V$801,$W82)="","",INDEX('Per Invoice'!V$2:V$801,$W82)))</f>
        <v/>
      </c>
      <c r="W82" s="16">
        <f>IFERROR(MATCH(Settings!$C$32&amp;"|"&amp;ROWS($W$2:$W82),'Per Invoice'!$X$2:$X$801,0),"")</f>
        <v/>
      </c>
    </row>
    <row r="83">
      <c r="A83">
        <f>IF($W83="","",IF(INDEX('Per Invoice'!A$2:A$801,$W83)="","",INDEX('Per Invoice'!A$2:A$801,$W83)))</f>
        <v/>
      </c>
      <c r="B83">
        <f>IF($W83="","",IF(INDEX('Per Invoice'!B$2:B$801,$W83)="","",INDEX('Per Invoice'!B$2:B$801,$W83)))</f>
        <v/>
      </c>
      <c r="C83">
        <f>IF($W83="","",IF(INDEX('Per Invoice'!C$2:C$801,$W83)="","",INDEX('Per Invoice'!C$2:C$801,$W83)))</f>
        <v/>
      </c>
      <c r="D83">
        <f>IF($W83="","",IF(INDEX('Per Invoice'!D$2:D$801,$W83)="","",INDEX('Per Invoice'!D$2:D$801,$W83)))</f>
        <v/>
      </c>
      <c r="E83">
        <f>IF($W83="","",IF(INDEX('Per Invoice'!E$2:E$801,$W83)="","",INDEX('Per Invoice'!E$2:E$801,$W83)))</f>
        <v/>
      </c>
      <c r="F83">
        <f>IF($W83="","",IF(INDEX('Per Invoice'!F$2:F$801,$W83)="","",INDEX('Per Invoice'!F$2:F$801,$W83)))</f>
        <v/>
      </c>
      <c r="G83">
        <f>IF($W83="","",IF(INDEX('Per Invoice'!G$2:G$801,$W83)="","",INDEX('Per Invoice'!G$2:G$801,$W83)))</f>
        <v/>
      </c>
      <c r="H83">
        <f>IF($W83="","",IF(INDEX('Per Invoice'!H$2:H$801,$W83)="","",INDEX('Per Invoice'!H$2:H$801,$W83)))</f>
        <v/>
      </c>
      <c r="I83">
        <f>IF($W83="","",IF(INDEX('Per Invoice'!I$2:I$801,$W83)="","",INDEX('Per Invoice'!I$2:I$801,$W83)))</f>
        <v/>
      </c>
      <c r="J83">
        <f>IF($W83="","",IF(INDEX('Per Invoice'!J$2:J$801,$W83)="","",INDEX('Per Invoice'!J$2:J$801,$W83)))</f>
        <v/>
      </c>
      <c r="K83" s="7">
        <f>IF($W83="","",IF(INDEX('Per Invoice'!K$2:K$801,$W83)="","",INDEX('Per Invoice'!K$2:K$801,$W83)))</f>
        <v/>
      </c>
      <c r="L83" s="14">
        <f>IF($W83="","",IF(INDEX('Per Invoice'!L$2:L$801,$W83)="","",INDEX('Per Invoice'!L$2:L$801,$W83)))</f>
        <v/>
      </c>
      <c r="M83">
        <f>IF($W83="","",IF(INDEX('Per Invoice'!M$2:M$801,$W83)="","",INDEX('Per Invoice'!M$2:M$801,$W83)))</f>
        <v/>
      </c>
      <c r="N83" s="7">
        <f>IF($W83="","",IF(INDEX('Per Invoice'!N$2:N$801,$W83)="","",INDEX('Per Invoice'!N$2:N$801,$W83)))</f>
        <v/>
      </c>
      <c r="O83" s="7">
        <f>IF($W83="","",IF(INDEX('Per Invoice'!O$2:O$801,$W83)="","",INDEX('Per Invoice'!O$2:O$801,$W83)))</f>
        <v/>
      </c>
      <c r="P83">
        <f>IF($W83="","",IF(INDEX('Per Invoice'!P$2:P$801,$W83)="","",INDEX('Per Invoice'!P$2:P$801,$W83)))</f>
        <v/>
      </c>
      <c r="Q83" s="7">
        <f>IF($W83="","",IF(INDEX('Per Invoice'!Q$2:Q$801,$W83)="","",INDEX('Per Invoice'!Q$2:Q$801,$W83)))</f>
        <v/>
      </c>
      <c r="R83" s="7">
        <f>IF($W83="","",IF(INDEX('Per Invoice'!R$2:R$801,$W83)="","",INDEX('Per Invoice'!R$2:R$801,$W83)))</f>
        <v/>
      </c>
      <c r="S83" s="7">
        <f>IF($W83="","",IF(INDEX('Per Invoice'!S$2:S$801,$W83)="","",INDEX('Per Invoice'!S$2:S$801,$W83)))</f>
        <v/>
      </c>
      <c r="T83" s="7">
        <f>IF($W83="","",IF(INDEX('Per Invoice'!T$2:T$801,$W83)="","",INDEX('Per Invoice'!T$2:T$801,$W83)))</f>
        <v/>
      </c>
      <c r="U83" s="7">
        <f>IF($W83="","",IF(INDEX('Per Invoice'!U$2:U$801,$W83)="","",INDEX('Per Invoice'!U$2:U$801,$W83)))</f>
        <v/>
      </c>
      <c r="V83" s="7">
        <f>IF($W83="","",IF(INDEX('Per Invoice'!V$2:V$801,$W83)="","",INDEX('Per Invoice'!V$2:V$801,$W83)))</f>
        <v/>
      </c>
      <c r="W83" s="16">
        <f>IFERROR(MATCH(Settings!$C$32&amp;"|"&amp;ROWS($W$2:$W83),'Per Invoice'!$X$2:$X$801,0),"")</f>
        <v/>
      </c>
    </row>
    <row r="84">
      <c r="A84">
        <f>IF($W84="","",IF(INDEX('Per Invoice'!A$2:A$801,$W84)="","",INDEX('Per Invoice'!A$2:A$801,$W84)))</f>
        <v/>
      </c>
      <c r="B84">
        <f>IF($W84="","",IF(INDEX('Per Invoice'!B$2:B$801,$W84)="","",INDEX('Per Invoice'!B$2:B$801,$W84)))</f>
        <v/>
      </c>
      <c r="C84">
        <f>IF($W84="","",IF(INDEX('Per Invoice'!C$2:C$801,$W84)="","",INDEX('Per Invoice'!C$2:C$801,$W84)))</f>
        <v/>
      </c>
      <c r="D84">
        <f>IF($W84="","",IF(INDEX('Per Invoice'!D$2:D$801,$W84)="","",INDEX('Per Invoice'!D$2:D$801,$W84)))</f>
        <v/>
      </c>
      <c r="E84">
        <f>IF($W84="","",IF(INDEX('Per Invoice'!E$2:E$801,$W84)="","",INDEX('Per Invoice'!E$2:E$801,$W84)))</f>
        <v/>
      </c>
      <c r="F84">
        <f>IF($W84="","",IF(INDEX('Per Invoice'!F$2:F$801,$W84)="","",INDEX('Per Invoice'!F$2:F$801,$W84)))</f>
        <v/>
      </c>
      <c r="G84">
        <f>IF($W84="","",IF(INDEX('Per Invoice'!G$2:G$801,$W84)="","",INDEX('Per Invoice'!G$2:G$801,$W84)))</f>
        <v/>
      </c>
      <c r="H84">
        <f>IF($W84="","",IF(INDEX('Per Invoice'!H$2:H$801,$W84)="","",INDEX('Per Invoice'!H$2:H$801,$W84)))</f>
        <v/>
      </c>
      <c r="I84">
        <f>IF($W84="","",IF(INDEX('Per Invoice'!I$2:I$801,$W84)="","",INDEX('Per Invoice'!I$2:I$801,$W84)))</f>
        <v/>
      </c>
      <c r="J84">
        <f>IF($W84="","",IF(INDEX('Per Invoice'!J$2:J$801,$W84)="","",INDEX('Per Invoice'!J$2:J$801,$W84)))</f>
        <v/>
      </c>
      <c r="K84" s="7">
        <f>IF($W84="","",IF(INDEX('Per Invoice'!K$2:K$801,$W84)="","",INDEX('Per Invoice'!K$2:K$801,$W84)))</f>
        <v/>
      </c>
      <c r="L84" s="14">
        <f>IF($W84="","",IF(INDEX('Per Invoice'!L$2:L$801,$W84)="","",INDEX('Per Invoice'!L$2:L$801,$W84)))</f>
        <v/>
      </c>
      <c r="M84">
        <f>IF($W84="","",IF(INDEX('Per Invoice'!M$2:M$801,$W84)="","",INDEX('Per Invoice'!M$2:M$801,$W84)))</f>
        <v/>
      </c>
      <c r="N84" s="7">
        <f>IF($W84="","",IF(INDEX('Per Invoice'!N$2:N$801,$W84)="","",INDEX('Per Invoice'!N$2:N$801,$W84)))</f>
        <v/>
      </c>
      <c r="O84" s="7">
        <f>IF($W84="","",IF(INDEX('Per Invoice'!O$2:O$801,$W84)="","",INDEX('Per Invoice'!O$2:O$801,$W84)))</f>
        <v/>
      </c>
      <c r="P84">
        <f>IF($W84="","",IF(INDEX('Per Invoice'!P$2:P$801,$W84)="","",INDEX('Per Invoice'!P$2:P$801,$W84)))</f>
        <v/>
      </c>
      <c r="Q84" s="7">
        <f>IF($W84="","",IF(INDEX('Per Invoice'!Q$2:Q$801,$W84)="","",INDEX('Per Invoice'!Q$2:Q$801,$W84)))</f>
        <v/>
      </c>
      <c r="R84" s="7">
        <f>IF($W84="","",IF(INDEX('Per Invoice'!R$2:R$801,$W84)="","",INDEX('Per Invoice'!R$2:R$801,$W84)))</f>
        <v/>
      </c>
      <c r="S84" s="7">
        <f>IF($W84="","",IF(INDEX('Per Invoice'!S$2:S$801,$W84)="","",INDEX('Per Invoice'!S$2:S$801,$W84)))</f>
        <v/>
      </c>
      <c r="T84" s="7">
        <f>IF($W84="","",IF(INDEX('Per Invoice'!T$2:T$801,$W84)="","",INDEX('Per Invoice'!T$2:T$801,$W84)))</f>
        <v/>
      </c>
      <c r="U84" s="7">
        <f>IF($W84="","",IF(INDEX('Per Invoice'!U$2:U$801,$W84)="","",INDEX('Per Invoice'!U$2:U$801,$W84)))</f>
        <v/>
      </c>
      <c r="V84" s="7">
        <f>IF($W84="","",IF(INDEX('Per Invoice'!V$2:V$801,$W84)="","",INDEX('Per Invoice'!V$2:V$801,$W84)))</f>
        <v/>
      </c>
      <c r="W84" s="16">
        <f>IFERROR(MATCH(Settings!$C$32&amp;"|"&amp;ROWS($W$2:$W84),'Per Invoice'!$X$2:$X$801,0),"")</f>
        <v/>
      </c>
    </row>
    <row r="85">
      <c r="A85">
        <f>IF($W85="","",IF(INDEX('Per Invoice'!A$2:A$801,$W85)="","",INDEX('Per Invoice'!A$2:A$801,$W85)))</f>
        <v/>
      </c>
      <c r="B85">
        <f>IF($W85="","",IF(INDEX('Per Invoice'!B$2:B$801,$W85)="","",INDEX('Per Invoice'!B$2:B$801,$W85)))</f>
        <v/>
      </c>
      <c r="C85">
        <f>IF($W85="","",IF(INDEX('Per Invoice'!C$2:C$801,$W85)="","",INDEX('Per Invoice'!C$2:C$801,$W85)))</f>
        <v/>
      </c>
      <c r="D85">
        <f>IF($W85="","",IF(INDEX('Per Invoice'!D$2:D$801,$W85)="","",INDEX('Per Invoice'!D$2:D$801,$W85)))</f>
        <v/>
      </c>
      <c r="E85">
        <f>IF($W85="","",IF(INDEX('Per Invoice'!E$2:E$801,$W85)="","",INDEX('Per Invoice'!E$2:E$801,$W85)))</f>
        <v/>
      </c>
      <c r="F85">
        <f>IF($W85="","",IF(INDEX('Per Invoice'!F$2:F$801,$W85)="","",INDEX('Per Invoice'!F$2:F$801,$W85)))</f>
        <v/>
      </c>
      <c r="G85">
        <f>IF($W85="","",IF(INDEX('Per Invoice'!G$2:G$801,$W85)="","",INDEX('Per Invoice'!G$2:G$801,$W85)))</f>
        <v/>
      </c>
      <c r="H85">
        <f>IF($W85="","",IF(INDEX('Per Invoice'!H$2:H$801,$W85)="","",INDEX('Per Invoice'!H$2:H$801,$W85)))</f>
        <v/>
      </c>
      <c r="I85">
        <f>IF($W85="","",IF(INDEX('Per Invoice'!I$2:I$801,$W85)="","",INDEX('Per Invoice'!I$2:I$801,$W85)))</f>
        <v/>
      </c>
      <c r="J85">
        <f>IF($W85="","",IF(INDEX('Per Invoice'!J$2:J$801,$W85)="","",INDEX('Per Invoice'!J$2:J$801,$W85)))</f>
        <v/>
      </c>
      <c r="K85" s="7">
        <f>IF($W85="","",IF(INDEX('Per Invoice'!K$2:K$801,$W85)="","",INDEX('Per Invoice'!K$2:K$801,$W85)))</f>
        <v/>
      </c>
      <c r="L85" s="14">
        <f>IF($W85="","",IF(INDEX('Per Invoice'!L$2:L$801,$W85)="","",INDEX('Per Invoice'!L$2:L$801,$W85)))</f>
        <v/>
      </c>
      <c r="M85">
        <f>IF($W85="","",IF(INDEX('Per Invoice'!M$2:M$801,$W85)="","",INDEX('Per Invoice'!M$2:M$801,$W85)))</f>
        <v/>
      </c>
      <c r="N85" s="7">
        <f>IF($W85="","",IF(INDEX('Per Invoice'!N$2:N$801,$W85)="","",INDEX('Per Invoice'!N$2:N$801,$W85)))</f>
        <v/>
      </c>
      <c r="O85" s="7">
        <f>IF($W85="","",IF(INDEX('Per Invoice'!O$2:O$801,$W85)="","",INDEX('Per Invoice'!O$2:O$801,$W85)))</f>
        <v/>
      </c>
      <c r="P85">
        <f>IF($W85="","",IF(INDEX('Per Invoice'!P$2:P$801,$W85)="","",INDEX('Per Invoice'!P$2:P$801,$W85)))</f>
        <v/>
      </c>
      <c r="Q85" s="7">
        <f>IF($W85="","",IF(INDEX('Per Invoice'!Q$2:Q$801,$W85)="","",INDEX('Per Invoice'!Q$2:Q$801,$W85)))</f>
        <v/>
      </c>
      <c r="R85" s="7">
        <f>IF($W85="","",IF(INDEX('Per Invoice'!R$2:R$801,$W85)="","",INDEX('Per Invoice'!R$2:R$801,$W85)))</f>
        <v/>
      </c>
      <c r="S85" s="7">
        <f>IF($W85="","",IF(INDEX('Per Invoice'!S$2:S$801,$W85)="","",INDEX('Per Invoice'!S$2:S$801,$W85)))</f>
        <v/>
      </c>
      <c r="T85" s="7">
        <f>IF($W85="","",IF(INDEX('Per Invoice'!T$2:T$801,$W85)="","",INDEX('Per Invoice'!T$2:T$801,$W85)))</f>
        <v/>
      </c>
      <c r="U85" s="7">
        <f>IF($W85="","",IF(INDEX('Per Invoice'!U$2:U$801,$W85)="","",INDEX('Per Invoice'!U$2:U$801,$W85)))</f>
        <v/>
      </c>
      <c r="V85" s="7">
        <f>IF($W85="","",IF(INDEX('Per Invoice'!V$2:V$801,$W85)="","",INDEX('Per Invoice'!V$2:V$801,$W85)))</f>
        <v/>
      </c>
      <c r="W85" s="16">
        <f>IFERROR(MATCH(Settings!$C$32&amp;"|"&amp;ROWS($W$2:$W85),'Per Invoice'!$X$2:$X$801,0),"")</f>
        <v/>
      </c>
    </row>
    <row r="86">
      <c r="A86">
        <f>IF($W86="","",IF(INDEX('Per Invoice'!A$2:A$801,$W86)="","",INDEX('Per Invoice'!A$2:A$801,$W86)))</f>
        <v/>
      </c>
      <c r="B86">
        <f>IF($W86="","",IF(INDEX('Per Invoice'!B$2:B$801,$W86)="","",INDEX('Per Invoice'!B$2:B$801,$W86)))</f>
        <v/>
      </c>
      <c r="C86">
        <f>IF($W86="","",IF(INDEX('Per Invoice'!C$2:C$801,$W86)="","",INDEX('Per Invoice'!C$2:C$801,$W86)))</f>
        <v/>
      </c>
      <c r="D86">
        <f>IF($W86="","",IF(INDEX('Per Invoice'!D$2:D$801,$W86)="","",INDEX('Per Invoice'!D$2:D$801,$W86)))</f>
        <v/>
      </c>
      <c r="E86">
        <f>IF($W86="","",IF(INDEX('Per Invoice'!E$2:E$801,$W86)="","",INDEX('Per Invoice'!E$2:E$801,$W86)))</f>
        <v/>
      </c>
      <c r="F86">
        <f>IF($W86="","",IF(INDEX('Per Invoice'!F$2:F$801,$W86)="","",INDEX('Per Invoice'!F$2:F$801,$W86)))</f>
        <v/>
      </c>
      <c r="G86">
        <f>IF($W86="","",IF(INDEX('Per Invoice'!G$2:G$801,$W86)="","",INDEX('Per Invoice'!G$2:G$801,$W86)))</f>
        <v/>
      </c>
      <c r="H86">
        <f>IF($W86="","",IF(INDEX('Per Invoice'!H$2:H$801,$W86)="","",INDEX('Per Invoice'!H$2:H$801,$W86)))</f>
        <v/>
      </c>
      <c r="I86">
        <f>IF($W86="","",IF(INDEX('Per Invoice'!I$2:I$801,$W86)="","",INDEX('Per Invoice'!I$2:I$801,$W86)))</f>
        <v/>
      </c>
      <c r="J86">
        <f>IF($W86="","",IF(INDEX('Per Invoice'!J$2:J$801,$W86)="","",INDEX('Per Invoice'!J$2:J$801,$W86)))</f>
        <v/>
      </c>
      <c r="K86" s="7">
        <f>IF($W86="","",IF(INDEX('Per Invoice'!K$2:K$801,$W86)="","",INDEX('Per Invoice'!K$2:K$801,$W86)))</f>
        <v/>
      </c>
      <c r="L86" s="14">
        <f>IF($W86="","",IF(INDEX('Per Invoice'!L$2:L$801,$W86)="","",INDEX('Per Invoice'!L$2:L$801,$W86)))</f>
        <v/>
      </c>
      <c r="M86">
        <f>IF($W86="","",IF(INDEX('Per Invoice'!M$2:M$801,$W86)="","",INDEX('Per Invoice'!M$2:M$801,$W86)))</f>
        <v/>
      </c>
      <c r="N86" s="7">
        <f>IF($W86="","",IF(INDEX('Per Invoice'!N$2:N$801,$W86)="","",INDEX('Per Invoice'!N$2:N$801,$W86)))</f>
        <v/>
      </c>
      <c r="O86" s="7">
        <f>IF($W86="","",IF(INDEX('Per Invoice'!O$2:O$801,$W86)="","",INDEX('Per Invoice'!O$2:O$801,$W86)))</f>
        <v/>
      </c>
      <c r="P86">
        <f>IF($W86="","",IF(INDEX('Per Invoice'!P$2:P$801,$W86)="","",INDEX('Per Invoice'!P$2:P$801,$W86)))</f>
        <v/>
      </c>
      <c r="Q86" s="7">
        <f>IF($W86="","",IF(INDEX('Per Invoice'!Q$2:Q$801,$W86)="","",INDEX('Per Invoice'!Q$2:Q$801,$W86)))</f>
        <v/>
      </c>
      <c r="R86" s="7">
        <f>IF($W86="","",IF(INDEX('Per Invoice'!R$2:R$801,$W86)="","",INDEX('Per Invoice'!R$2:R$801,$W86)))</f>
        <v/>
      </c>
      <c r="S86" s="7">
        <f>IF($W86="","",IF(INDEX('Per Invoice'!S$2:S$801,$W86)="","",INDEX('Per Invoice'!S$2:S$801,$W86)))</f>
        <v/>
      </c>
      <c r="T86" s="7">
        <f>IF($W86="","",IF(INDEX('Per Invoice'!T$2:T$801,$W86)="","",INDEX('Per Invoice'!T$2:T$801,$W86)))</f>
        <v/>
      </c>
      <c r="U86" s="7">
        <f>IF($W86="","",IF(INDEX('Per Invoice'!U$2:U$801,$W86)="","",INDEX('Per Invoice'!U$2:U$801,$W86)))</f>
        <v/>
      </c>
      <c r="V86" s="7">
        <f>IF($W86="","",IF(INDEX('Per Invoice'!V$2:V$801,$W86)="","",INDEX('Per Invoice'!V$2:V$801,$W86)))</f>
        <v/>
      </c>
      <c r="W86" s="16">
        <f>IFERROR(MATCH(Settings!$C$32&amp;"|"&amp;ROWS($W$2:$W86),'Per Invoice'!$X$2:$X$801,0),"")</f>
        <v/>
      </c>
    </row>
    <row r="87">
      <c r="A87">
        <f>IF($W87="","",IF(INDEX('Per Invoice'!A$2:A$801,$W87)="","",INDEX('Per Invoice'!A$2:A$801,$W87)))</f>
        <v/>
      </c>
      <c r="B87">
        <f>IF($W87="","",IF(INDEX('Per Invoice'!B$2:B$801,$W87)="","",INDEX('Per Invoice'!B$2:B$801,$W87)))</f>
        <v/>
      </c>
      <c r="C87">
        <f>IF($W87="","",IF(INDEX('Per Invoice'!C$2:C$801,$W87)="","",INDEX('Per Invoice'!C$2:C$801,$W87)))</f>
        <v/>
      </c>
      <c r="D87">
        <f>IF($W87="","",IF(INDEX('Per Invoice'!D$2:D$801,$W87)="","",INDEX('Per Invoice'!D$2:D$801,$W87)))</f>
        <v/>
      </c>
      <c r="E87">
        <f>IF($W87="","",IF(INDEX('Per Invoice'!E$2:E$801,$W87)="","",INDEX('Per Invoice'!E$2:E$801,$W87)))</f>
        <v/>
      </c>
      <c r="F87">
        <f>IF($W87="","",IF(INDEX('Per Invoice'!F$2:F$801,$W87)="","",INDEX('Per Invoice'!F$2:F$801,$W87)))</f>
        <v/>
      </c>
      <c r="G87">
        <f>IF($W87="","",IF(INDEX('Per Invoice'!G$2:G$801,$W87)="","",INDEX('Per Invoice'!G$2:G$801,$W87)))</f>
        <v/>
      </c>
      <c r="H87">
        <f>IF($W87="","",IF(INDEX('Per Invoice'!H$2:H$801,$W87)="","",INDEX('Per Invoice'!H$2:H$801,$W87)))</f>
        <v/>
      </c>
      <c r="I87">
        <f>IF($W87="","",IF(INDEX('Per Invoice'!I$2:I$801,$W87)="","",INDEX('Per Invoice'!I$2:I$801,$W87)))</f>
        <v/>
      </c>
      <c r="J87">
        <f>IF($W87="","",IF(INDEX('Per Invoice'!J$2:J$801,$W87)="","",INDEX('Per Invoice'!J$2:J$801,$W87)))</f>
        <v/>
      </c>
      <c r="K87" s="7">
        <f>IF($W87="","",IF(INDEX('Per Invoice'!K$2:K$801,$W87)="","",INDEX('Per Invoice'!K$2:K$801,$W87)))</f>
        <v/>
      </c>
      <c r="L87" s="14">
        <f>IF($W87="","",IF(INDEX('Per Invoice'!L$2:L$801,$W87)="","",INDEX('Per Invoice'!L$2:L$801,$W87)))</f>
        <v/>
      </c>
      <c r="M87">
        <f>IF($W87="","",IF(INDEX('Per Invoice'!M$2:M$801,$W87)="","",INDEX('Per Invoice'!M$2:M$801,$W87)))</f>
        <v/>
      </c>
      <c r="N87" s="7">
        <f>IF($W87="","",IF(INDEX('Per Invoice'!N$2:N$801,$W87)="","",INDEX('Per Invoice'!N$2:N$801,$W87)))</f>
        <v/>
      </c>
      <c r="O87" s="7">
        <f>IF($W87="","",IF(INDEX('Per Invoice'!O$2:O$801,$W87)="","",INDEX('Per Invoice'!O$2:O$801,$W87)))</f>
        <v/>
      </c>
      <c r="P87">
        <f>IF($W87="","",IF(INDEX('Per Invoice'!P$2:P$801,$W87)="","",INDEX('Per Invoice'!P$2:P$801,$W87)))</f>
        <v/>
      </c>
      <c r="Q87" s="7">
        <f>IF($W87="","",IF(INDEX('Per Invoice'!Q$2:Q$801,$W87)="","",INDEX('Per Invoice'!Q$2:Q$801,$W87)))</f>
        <v/>
      </c>
      <c r="R87" s="7">
        <f>IF($W87="","",IF(INDEX('Per Invoice'!R$2:R$801,$W87)="","",INDEX('Per Invoice'!R$2:R$801,$W87)))</f>
        <v/>
      </c>
      <c r="S87" s="7">
        <f>IF($W87="","",IF(INDEX('Per Invoice'!S$2:S$801,$W87)="","",INDEX('Per Invoice'!S$2:S$801,$W87)))</f>
        <v/>
      </c>
      <c r="T87" s="7">
        <f>IF($W87="","",IF(INDEX('Per Invoice'!T$2:T$801,$W87)="","",INDEX('Per Invoice'!T$2:T$801,$W87)))</f>
        <v/>
      </c>
      <c r="U87" s="7">
        <f>IF($W87="","",IF(INDEX('Per Invoice'!U$2:U$801,$W87)="","",INDEX('Per Invoice'!U$2:U$801,$W87)))</f>
        <v/>
      </c>
      <c r="V87" s="7">
        <f>IF($W87="","",IF(INDEX('Per Invoice'!V$2:V$801,$W87)="","",INDEX('Per Invoice'!V$2:V$801,$W87)))</f>
        <v/>
      </c>
      <c r="W87" s="16">
        <f>IFERROR(MATCH(Settings!$C$32&amp;"|"&amp;ROWS($W$2:$W87),'Per Invoice'!$X$2:$X$801,0),"")</f>
        <v/>
      </c>
    </row>
    <row r="88">
      <c r="A88">
        <f>IF($W88="","",IF(INDEX('Per Invoice'!A$2:A$801,$W88)="","",INDEX('Per Invoice'!A$2:A$801,$W88)))</f>
        <v/>
      </c>
      <c r="B88">
        <f>IF($W88="","",IF(INDEX('Per Invoice'!B$2:B$801,$W88)="","",INDEX('Per Invoice'!B$2:B$801,$W88)))</f>
        <v/>
      </c>
      <c r="C88">
        <f>IF($W88="","",IF(INDEX('Per Invoice'!C$2:C$801,$W88)="","",INDEX('Per Invoice'!C$2:C$801,$W88)))</f>
        <v/>
      </c>
      <c r="D88">
        <f>IF($W88="","",IF(INDEX('Per Invoice'!D$2:D$801,$W88)="","",INDEX('Per Invoice'!D$2:D$801,$W88)))</f>
        <v/>
      </c>
      <c r="E88">
        <f>IF($W88="","",IF(INDEX('Per Invoice'!E$2:E$801,$W88)="","",INDEX('Per Invoice'!E$2:E$801,$W88)))</f>
        <v/>
      </c>
      <c r="F88">
        <f>IF($W88="","",IF(INDEX('Per Invoice'!F$2:F$801,$W88)="","",INDEX('Per Invoice'!F$2:F$801,$W88)))</f>
        <v/>
      </c>
      <c r="G88">
        <f>IF($W88="","",IF(INDEX('Per Invoice'!G$2:G$801,$W88)="","",INDEX('Per Invoice'!G$2:G$801,$W88)))</f>
        <v/>
      </c>
      <c r="H88">
        <f>IF($W88="","",IF(INDEX('Per Invoice'!H$2:H$801,$W88)="","",INDEX('Per Invoice'!H$2:H$801,$W88)))</f>
        <v/>
      </c>
      <c r="I88">
        <f>IF($W88="","",IF(INDEX('Per Invoice'!I$2:I$801,$W88)="","",INDEX('Per Invoice'!I$2:I$801,$W88)))</f>
        <v/>
      </c>
      <c r="J88">
        <f>IF($W88="","",IF(INDEX('Per Invoice'!J$2:J$801,$W88)="","",INDEX('Per Invoice'!J$2:J$801,$W88)))</f>
        <v/>
      </c>
      <c r="K88" s="7">
        <f>IF($W88="","",IF(INDEX('Per Invoice'!K$2:K$801,$W88)="","",INDEX('Per Invoice'!K$2:K$801,$W88)))</f>
        <v/>
      </c>
      <c r="L88" s="14">
        <f>IF($W88="","",IF(INDEX('Per Invoice'!L$2:L$801,$W88)="","",INDEX('Per Invoice'!L$2:L$801,$W88)))</f>
        <v/>
      </c>
      <c r="M88">
        <f>IF($W88="","",IF(INDEX('Per Invoice'!M$2:M$801,$W88)="","",INDEX('Per Invoice'!M$2:M$801,$W88)))</f>
        <v/>
      </c>
      <c r="N88" s="7">
        <f>IF($W88="","",IF(INDEX('Per Invoice'!N$2:N$801,$W88)="","",INDEX('Per Invoice'!N$2:N$801,$W88)))</f>
        <v/>
      </c>
      <c r="O88" s="7">
        <f>IF($W88="","",IF(INDEX('Per Invoice'!O$2:O$801,$W88)="","",INDEX('Per Invoice'!O$2:O$801,$W88)))</f>
        <v/>
      </c>
      <c r="P88">
        <f>IF($W88="","",IF(INDEX('Per Invoice'!P$2:P$801,$W88)="","",INDEX('Per Invoice'!P$2:P$801,$W88)))</f>
        <v/>
      </c>
      <c r="Q88" s="7">
        <f>IF($W88="","",IF(INDEX('Per Invoice'!Q$2:Q$801,$W88)="","",INDEX('Per Invoice'!Q$2:Q$801,$W88)))</f>
        <v/>
      </c>
      <c r="R88" s="7">
        <f>IF($W88="","",IF(INDEX('Per Invoice'!R$2:R$801,$W88)="","",INDEX('Per Invoice'!R$2:R$801,$W88)))</f>
        <v/>
      </c>
      <c r="S88" s="7">
        <f>IF($W88="","",IF(INDEX('Per Invoice'!S$2:S$801,$W88)="","",INDEX('Per Invoice'!S$2:S$801,$W88)))</f>
        <v/>
      </c>
      <c r="T88" s="7">
        <f>IF($W88="","",IF(INDEX('Per Invoice'!T$2:T$801,$W88)="","",INDEX('Per Invoice'!T$2:T$801,$W88)))</f>
        <v/>
      </c>
      <c r="U88" s="7">
        <f>IF($W88="","",IF(INDEX('Per Invoice'!U$2:U$801,$W88)="","",INDEX('Per Invoice'!U$2:U$801,$W88)))</f>
        <v/>
      </c>
      <c r="V88" s="7">
        <f>IF($W88="","",IF(INDEX('Per Invoice'!V$2:V$801,$W88)="","",INDEX('Per Invoice'!V$2:V$801,$W88)))</f>
        <v/>
      </c>
      <c r="W88" s="16">
        <f>IFERROR(MATCH(Settings!$C$32&amp;"|"&amp;ROWS($W$2:$W88),'Per Invoice'!$X$2:$X$801,0),"")</f>
        <v/>
      </c>
    </row>
    <row r="89">
      <c r="A89">
        <f>IF($W89="","",IF(INDEX('Per Invoice'!A$2:A$801,$W89)="","",INDEX('Per Invoice'!A$2:A$801,$W89)))</f>
        <v/>
      </c>
      <c r="B89">
        <f>IF($W89="","",IF(INDEX('Per Invoice'!B$2:B$801,$W89)="","",INDEX('Per Invoice'!B$2:B$801,$W89)))</f>
        <v/>
      </c>
      <c r="C89">
        <f>IF($W89="","",IF(INDEX('Per Invoice'!C$2:C$801,$W89)="","",INDEX('Per Invoice'!C$2:C$801,$W89)))</f>
        <v/>
      </c>
      <c r="D89">
        <f>IF($W89="","",IF(INDEX('Per Invoice'!D$2:D$801,$W89)="","",INDEX('Per Invoice'!D$2:D$801,$W89)))</f>
        <v/>
      </c>
      <c r="E89">
        <f>IF($W89="","",IF(INDEX('Per Invoice'!E$2:E$801,$W89)="","",INDEX('Per Invoice'!E$2:E$801,$W89)))</f>
        <v/>
      </c>
      <c r="F89">
        <f>IF($W89="","",IF(INDEX('Per Invoice'!F$2:F$801,$W89)="","",INDEX('Per Invoice'!F$2:F$801,$W89)))</f>
        <v/>
      </c>
      <c r="G89">
        <f>IF($W89="","",IF(INDEX('Per Invoice'!G$2:G$801,$W89)="","",INDEX('Per Invoice'!G$2:G$801,$W89)))</f>
        <v/>
      </c>
      <c r="H89">
        <f>IF($W89="","",IF(INDEX('Per Invoice'!H$2:H$801,$W89)="","",INDEX('Per Invoice'!H$2:H$801,$W89)))</f>
        <v/>
      </c>
      <c r="I89">
        <f>IF($W89="","",IF(INDEX('Per Invoice'!I$2:I$801,$W89)="","",INDEX('Per Invoice'!I$2:I$801,$W89)))</f>
        <v/>
      </c>
      <c r="J89">
        <f>IF($W89="","",IF(INDEX('Per Invoice'!J$2:J$801,$W89)="","",INDEX('Per Invoice'!J$2:J$801,$W89)))</f>
        <v/>
      </c>
      <c r="K89" s="7">
        <f>IF($W89="","",IF(INDEX('Per Invoice'!K$2:K$801,$W89)="","",INDEX('Per Invoice'!K$2:K$801,$W89)))</f>
        <v/>
      </c>
      <c r="L89" s="14">
        <f>IF($W89="","",IF(INDEX('Per Invoice'!L$2:L$801,$W89)="","",INDEX('Per Invoice'!L$2:L$801,$W89)))</f>
        <v/>
      </c>
      <c r="M89">
        <f>IF($W89="","",IF(INDEX('Per Invoice'!M$2:M$801,$W89)="","",INDEX('Per Invoice'!M$2:M$801,$W89)))</f>
        <v/>
      </c>
      <c r="N89" s="7">
        <f>IF($W89="","",IF(INDEX('Per Invoice'!N$2:N$801,$W89)="","",INDEX('Per Invoice'!N$2:N$801,$W89)))</f>
        <v/>
      </c>
      <c r="O89" s="7">
        <f>IF($W89="","",IF(INDEX('Per Invoice'!O$2:O$801,$W89)="","",INDEX('Per Invoice'!O$2:O$801,$W89)))</f>
        <v/>
      </c>
      <c r="P89">
        <f>IF($W89="","",IF(INDEX('Per Invoice'!P$2:P$801,$W89)="","",INDEX('Per Invoice'!P$2:P$801,$W89)))</f>
        <v/>
      </c>
      <c r="Q89" s="7">
        <f>IF($W89="","",IF(INDEX('Per Invoice'!Q$2:Q$801,$W89)="","",INDEX('Per Invoice'!Q$2:Q$801,$W89)))</f>
        <v/>
      </c>
      <c r="R89" s="7">
        <f>IF($W89="","",IF(INDEX('Per Invoice'!R$2:R$801,$W89)="","",INDEX('Per Invoice'!R$2:R$801,$W89)))</f>
        <v/>
      </c>
      <c r="S89" s="7">
        <f>IF($W89="","",IF(INDEX('Per Invoice'!S$2:S$801,$W89)="","",INDEX('Per Invoice'!S$2:S$801,$W89)))</f>
        <v/>
      </c>
      <c r="T89" s="7">
        <f>IF($W89="","",IF(INDEX('Per Invoice'!T$2:T$801,$W89)="","",INDEX('Per Invoice'!T$2:T$801,$W89)))</f>
        <v/>
      </c>
      <c r="U89" s="7">
        <f>IF($W89="","",IF(INDEX('Per Invoice'!U$2:U$801,$W89)="","",INDEX('Per Invoice'!U$2:U$801,$W89)))</f>
        <v/>
      </c>
      <c r="V89" s="7">
        <f>IF($W89="","",IF(INDEX('Per Invoice'!V$2:V$801,$W89)="","",INDEX('Per Invoice'!V$2:V$801,$W89)))</f>
        <v/>
      </c>
      <c r="W89" s="16">
        <f>IFERROR(MATCH(Settings!$C$32&amp;"|"&amp;ROWS($W$2:$W89),'Per Invoice'!$X$2:$X$801,0),"")</f>
        <v/>
      </c>
    </row>
    <row r="90">
      <c r="A90">
        <f>IF($W90="","",IF(INDEX('Per Invoice'!A$2:A$801,$W90)="","",INDEX('Per Invoice'!A$2:A$801,$W90)))</f>
        <v/>
      </c>
      <c r="B90">
        <f>IF($W90="","",IF(INDEX('Per Invoice'!B$2:B$801,$W90)="","",INDEX('Per Invoice'!B$2:B$801,$W90)))</f>
        <v/>
      </c>
      <c r="C90">
        <f>IF($W90="","",IF(INDEX('Per Invoice'!C$2:C$801,$W90)="","",INDEX('Per Invoice'!C$2:C$801,$W90)))</f>
        <v/>
      </c>
      <c r="D90">
        <f>IF($W90="","",IF(INDEX('Per Invoice'!D$2:D$801,$W90)="","",INDEX('Per Invoice'!D$2:D$801,$W90)))</f>
        <v/>
      </c>
      <c r="E90">
        <f>IF($W90="","",IF(INDEX('Per Invoice'!E$2:E$801,$W90)="","",INDEX('Per Invoice'!E$2:E$801,$W90)))</f>
        <v/>
      </c>
      <c r="F90">
        <f>IF($W90="","",IF(INDEX('Per Invoice'!F$2:F$801,$W90)="","",INDEX('Per Invoice'!F$2:F$801,$W90)))</f>
        <v/>
      </c>
      <c r="G90">
        <f>IF($W90="","",IF(INDEX('Per Invoice'!G$2:G$801,$W90)="","",INDEX('Per Invoice'!G$2:G$801,$W90)))</f>
        <v/>
      </c>
      <c r="H90">
        <f>IF($W90="","",IF(INDEX('Per Invoice'!H$2:H$801,$W90)="","",INDEX('Per Invoice'!H$2:H$801,$W90)))</f>
        <v/>
      </c>
      <c r="I90">
        <f>IF($W90="","",IF(INDEX('Per Invoice'!I$2:I$801,$W90)="","",INDEX('Per Invoice'!I$2:I$801,$W90)))</f>
        <v/>
      </c>
      <c r="J90">
        <f>IF($W90="","",IF(INDEX('Per Invoice'!J$2:J$801,$W90)="","",INDEX('Per Invoice'!J$2:J$801,$W90)))</f>
        <v/>
      </c>
      <c r="K90" s="7">
        <f>IF($W90="","",IF(INDEX('Per Invoice'!K$2:K$801,$W90)="","",INDEX('Per Invoice'!K$2:K$801,$W90)))</f>
        <v/>
      </c>
      <c r="L90" s="14">
        <f>IF($W90="","",IF(INDEX('Per Invoice'!L$2:L$801,$W90)="","",INDEX('Per Invoice'!L$2:L$801,$W90)))</f>
        <v/>
      </c>
      <c r="M90">
        <f>IF($W90="","",IF(INDEX('Per Invoice'!M$2:M$801,$W90)="","",INDEX('Per Invoice'!M$2:M$801,$W90)))</f>
        <v/>
      </c>
      <c r="N90" s="7">
        <f>IF($W90="","",IF(INDEX('Per Invoice'!N$2:N$801,$W90)="","",INDEX('Per Invoice'!N$2:N$801,$W90)))</f>
        <v/>
      </c>
      <c r="O90" s="7">
        <f>IF($W90="","",IF(INDEX('Per Invoice'!O$2:O$801,$W90)="","",INDEX('Per Invoice'!O$2:O$801,$W90)))</f>
        <v/>
      </c>
      <c r="P90">
        <f>IF($W90="","",IF(INDEX('Per Invoice'!P$2:P$801,$W90)="","",INDEX('Per Invoice'!P$2:P$801,$W90)))</f>
        <v/>
      </c>
      <c r="Q90" s="7">
        <f>IF($W90="","",IF(INDEX('Per Invoice'!Q$2:Q$801,$W90)="","",INDEX('Per Invoice'!Q$2:Q$801,$W90)))</f>
        <v/>
      </c>
      <c r="R90" s="7">
        <f>IF($W90="","",IF(INDEX('Per Invoice'!R$2:R$801,$W90)="","",INDEX('Per Invoice'!R$2:R$801,$W90)))</f>
        <v/>
      </c>
      <c r="S90" s="7">
        <f>IF($W90="","",IF(INDEX('Per Invoice'!S$2:S$801,$W90)="","",INDEX('Per Invoice'!S$2:S$801,$W90)))</f>
        <v/>
      </c>
      <c r="T90" s="7">
        <f>IF($W90="","",IF(INDEX('Per Invoice'!T$2:T$801,$W90)="","",INDEX('Per Invoice'!T$2:T$801,$W90)))</f>
        <v/>
      </c>
      <c r="U90" s="7">
        <f>IF($W90="","",IF(INDEX('Per Invoice'!U$2:U$801,$W90)="","",INDEX('Per Invoice'!U$2:U$801,$W90)))</f>
        <v/>
      </c>
      <c r="V90" s="7">
        <f>IF($W90="","",IF(INDEX('Per Invoice'!V$2:V$801,$W90)="","",INDEX('Per Invoice'!V$2:V$801,$W90)))</f>
        <v/>
      </c>
      <c r="W90" s="16">
        <f>IFERROR(MATCH(Settings!$C$32&amp;"|"&amp;ROWS($W$2:$W90),'Per Invoice'!$X$2:$X$801,0),"")</f>
        <v/>
      </c>
    </row>
    <row r="91">
      <c r="A91">
        <f>IF($W91="","",IF(INDEX('Per Invoice'!A$2:A$801,$W91)="","",INDEX('Per Invoice'!A$2:A$801,$W91)))</f>
        <v/>
      </c>
      <c r="B91">
        <f>IF($W91="","",IF(INDEX('Per Invoice'!B$2:B$801,$W91)="","",INDEX('Per Invoice'!B$2:B$801,$W91)))</f>
        <v/>
      </c>
      <c r="C91">
        <f>IF($W91="","",IF(INDEX('Per Invoice'!C$2:C$801,$W91)="","",INDEX('Per Invoice'!C$2:C$801,$W91)))</f>
        <v/>
      </c>
      <c r="D91">
        <f>IF($W91="","",IF(INDEX('Per Invoice'!D$2:D$801,$W91)="","",INDEX('Per Invoice'!D$2:D$801,$W91)))</f>
        <v/>
      </c>
      <c r="E91">
        <f>IF($W91="","",IF(INDEX('Per Invoice'!E$2:E$801,$W91)="","",INDEX('Per Invoice'!E$2:E$801,$W91)))</f>
        <v/>
      </c>
      <c r="F91">
        <f>IF($W91="","",IF(INDEX('Per Invoice'!F$2:F$801,$W91)="","",INDEX('Per Invoice'!F$2:F$801,$W91)))</f>
        <v/>
      </c>
      <c r="G91">
        <f>IF($W91="","",IF(INDEX('Per Invoice'!G$2:G$801,$W91)="","",INDEX('Per Invoice'!G$2:G$801,$W91)))</f>
        <v/>
      </c>
      <c r="H91">
        <f>IF($W91="","",IF(INDEX('Per Invoice'!H$2:H$801,$W91)="","",INDEX('Per Invoice'!H$2:H$801,$W91)))</f>
        <v/>
      </c>
      <c r="I91">
        <f>IF($W91="","",IF(INDEX('Per Invoice'!I$2:I$801,$W91)="","",INDEX('Per Invoice'!I$2:I$801,$W91)))</f>
        <v/>
      </c>
      <c r="J91">
        <f>IF($W91="","",IF(INDEX('Per Invoice'!J$2:J$801,$W91)="","",INDEX('Per Invoice'!J$2:J$801,$W91)))</f>
        <v/>
      </c>
      <c r="K91" s="7">
        <f>IF($W91="","",IF(INDEX('Per Invoice'!K$2:K$801,$W91)="","",INDEX('Per Invoice'!K$2:K$801,$W91)))</f>
        <v/>
      </c>
      <c r="L91" s="14">
        <f>IF($W91="","",IF(INDEX('Per Invoice'!L$2:L$801,$W91)="","",INDEX('Per Invoice'!L$2:L$801,$W91)))</f>
        <v/>
      </c>
      <c r="M91">
        <f>IF($W91="","",IF(INDEX('Per Invoice'!M$2:M$801,$W91)="","",INDEX('Per Invoice'!M$2:M$801,$W91)))</f>
        <v/>
      </c>
      <c r="N91" s="7">
        <f>IF($W91="","",IF(INDEX('Per Invoice'!N$2:N$801,$W91)="","",INDEX('Per Invoice'!N$2:N$801,$W91)))</f>
        <v/>
      </c>
      <c r="O91" s="7">
        <f>IF($W91="","",IF(INDEX('Per Invoice'!O$2:O$801,$W91)="","",INDEX('Per Invoice'!O$2:O$801,$W91)))</f>
        <v/>
      </c>
      <c r="P91">
        <f>IF($W91="","",IF(INDEX('Per Invoice'!P$2:P$801,$W91)="","",INDEX('Per Invoice'!P$2:P$801,$W91)))</f>
        <v/>
      </c>
      <c r="Q91" s="7">
        <f>IF($W91="","",IF(INDEX('Per Invoice'!Q$2:Q$801,$W91)="","",INDEX('Per Invoice'!Q$2:Q$801,$W91)))</f>
        <v/>
      </c>
      <c r="R91" s="7">
        <f>IF($W91="","",IF(INDEX('Per Invoice'!R$2:R$801,$W91)="","",INDEX('Per Invoice'!R$2:R$801,$W91)))</f>
        <v/>
      </c>
      <c r="S91" s="7">
        <f>IF($W91="","",IF(INDEX('Per Invoice'!S$2:S$801,$W91)="","",INDEX('Per Invoice'!S$2:S$801,$W91)))</f>
        <v/>
      </c>
      <c r="T91" s="7">
        <f>IF($W91="","",IF(INDEX('Per Invoice'!T$2:T$801,$W91)="","",INDEX('Per Invoice'!T$2:T$801,$W91)))</f>
        <v/>
      </c>
      <c r="U91" s="7">
        <f>IF($W91="","",IF(INDEX('Per Invoice'!U$2:U$801,$W91)="","",INDEX('Per Invoice'!U$2:U$801,$W91)))</f>
        <v/>
      </c>
      <c r="V91" s="7">
        <f>IF($W91="","",IF(INDEX('Per Invoice'!V$2:V$801,$W91)="","",INDEX('Per Invoice'!V$2:V$801,$W91)))</f>
        <v/>
      </c>
      <c r="W91" s="16">
        <f>IFERROR(MATCH(Settings!$C$32&amp;"|"&amp;ROWS($W$2:$W91),'Per Invoice'!$X$2:$X$801,0),"")</f>
        <v/>
      </c>
    </row>
    <row r="92">
      <c r="A92">
        <f>IF($W92="","",IF(INDEX('Per Invoice'!A$2:A$801,$W92)="","",INDEX('Per Invoice'!A$2:A$801,$W92)))</f>
        <v/>
      </c>
      <c r="B92">
        <f>IF($W92="","",IF(INDEX('Per Invoice'!B$2:B$801,$W92)="","",INDEX('Per Invoice'!B$2:B$801,$W92)))</f>
        <v/>
      </c>
      <c r="C92">
        <f>IF($W92="","",IF(INDEX('Per Invoice'!C$2:C$801,$W92)="","",INDEX('Per Invoice'!C$2:C$801,$W92)))</f>
        <v/>
      </c>
      <c r="D92">
        <f>IF($W92="","",IF(INDEX('Per Invoice'!D$2:D$801,$W92)="","",INDEX('Per Invoice'!D$2:D$801,$W92)))</f>
        <v/>
      </c>
      <c r="E92">
        <f>IF($W92="","",IF(INDEX('Per Invoice'!E$2:E$801,$W92)="","",INDEX('Per Invoice'!E$2:E$801,$W92)))</f>
        <v/>
      </c>
      <c r="F92">
        <f>IF($W92="","",IF(INDEX('Per Invoice'!F$2:F$801,$W92)="","",INDEX('Per Invoice'!F$2:F$801,$W92)))</f>
        <v/>
      </c>
      <c r="G92">
        <f>IF($W92="","",IF(INDEX('Per Invoice'!G$2:G$801,$W92)="","",INDEX('Per Invoice'!G$2:G$801,$W92)))</f>
        <v/>
      </c>
      <c r="H92">
        <f>IF($W92="","",IF(INDEX('Per Invoice'!H$2:H$801,$W92)="","",INDEX('Per Invoice'!H$2:H$801,$W92)))</f>
        <v/>
      </c>
      <c r="I92">
        <f>IF($W92="","",IF(INDEX('Per Invoice'!I$2:I$801,$W92)="","",INDEX('Per Invoice'!I$2:I$801,$W92)))</f>
        <v/>
      </c>
      <c r="J92">
        <f>IF($W92="","",IF(INDEX('Per Invoice'!J$2:J$801,$W92)="","",INDEX('Per Invoice'!J$2:J$801,$W92)))</f>
        <v/>
      </c>
      <c r="K92" s="7">
        <f>IF($W92="","",IF(INDEX('Per Invoice'!K$2:K$801,$W92)="","",INDEX('Per Invoice'!K$2:K$801,$W92)))</f>
        <v/>
      </c>
      <c r="L92" s="14">
        <f>IF($W92="","",IF(INDEX('Per Invoice'!L$2:L$801,$W92)="","",INDEX('Per Invoice'!L$2:L$801,$W92)))</f>
        <v/>
      </c>
      <c r="M92">
        <f>IF($W92="","",IF(INDEX('Per Invoice'!M$2:M$801,$W92)="","",INDEX('Per Invoice'!M$2:M$801,$W92)))</f>
        <v/>
      </c>
      <c r="N92" s="7">
        <f>IF($W92="","",IF(INDEX('Per Invoice'!N$2:N$801,$W92)="","",INDEX('Per Invoice'!N$2:N$801,$W92)))</f>
        <v/>
      </c>
      <c r="O92" s="7">
        <f>IF($W92="","",IF(INDEX('Per Invoice'!O$2:O$801,$W92)="","",INDEX('Per Invoice'!O$2:O$801,$W92)))</f>
        <v/>
      </c>
      <c r="P92">
        <f>IF($W92="","",IF(INDEX('Per Invoice'!P$2:P$801,$W92)="","",INDEX('Per Invoice'!P$2:P$801,$W92)))</f>
        <v/>
      </c>
      <c r="Q92" s="7">
        <f>IF($W92="","",IF(INDEX('Per Invoice'!Q$2:Q$801,$W92)="","",INDEX('Per Invoice'!Q$2:Q$801,$W92)))</f>
        <v/>
      </c>
      <c r="R92" s="7">
        <f>IF($W92="","",IF(INDEX('Per Invoice'!R$2:R$801,$W92)="","",INDEX('Per Invoice'!R$2:R$801,$W92)))</f>
        <v/>
      </c>
      <c r="S92" s="7">
        <f>IF($W92="","",IF(INDEX('Per Invoice'!S$2:S$801,$W92)="","",INDEX('Per Invoice'!S$2:S$801,$W92)))</f>
        <v/>
      </c>
      <c r="T92" s="7">
        <f>IF($W92="","",IF(INDEX('Per Invoice'!T$2:T$801,$W92)="","",INDEX('Per Invoice'!T$2:T$801,$W92)))</f>
        <v/>
      </c>
      <c r="U92" s="7">
        <f>IF($W92="","",IF(INDEX('Per Invoice'!U$2:U$801,$W92)="","",INDEX('Per Invoice'!U$2:U$801,$W92)))</f>
        <v/>
      </c>
      <c r="V92" s="7">
        <f>IF($W92="","",IF(INDEX('Per Invoice'!V$2:V$801,$W92)="","",INDEX('Per Invoice'!V$2:V$801,$W92)))</f>
        <v/>
      </c>
      <c r="W92" s="16">
        <f>IFERROR(MATCH(Settings!$C$32&amp;"|"&amp;ROWS($W$2:$W92),'Per Invoice'!$X$2:$X$801,0),"")</f>
        <v/>
      </c>
    </row>
    <row r="93">
      <c r="A93">
        <f>IF($W93="","",IF(INDEX('Per Invoice'!A$2:A$801,$W93)="","",INDEX('Per Invoice'!A$2:A$801,$W93)))</f>
        <v/>
      </c>
      <c r="B93">
        <f>IF($W93="","",IF(INDEX('Per Invoice'!B$2:B$801,$W93)="","",INDEX('Per Invoice'!B$2:B$801,$W93)))</f>
        <v/>
      </c>
      <c r="C93">
        <f>IF($W93="","",IF(INDEX('Per Invoice'!C$2:C$801,$W93)="","",INDEX('Per Invoice'!C$2:C$801,$W93)))</f>
        <v/>
      </c>
      <c r="D93">
        <f>IF($W93="","",IF(INDEX('Per Invoice'!D$2:D$801,$W93)="","",INDEX('Per Invoice'!D$2:D$801,$W93)))</f>
        <v/>
      </c>
      <c r="E93">
        <f>IF($W93="","",IF(INDEX('Per Invoice'!E$2:E$801,$W93)="","",INDEX('Per Invoice'!E$2:E$801,$W93)))</f>
        <v/>
      </c>
      <c r="F93">
        <f>IF($W93="","",IF(INDEX('Per Invoice'!F$2:F$801,$W93)="","",INDEX('Per Invoice'!F$2:F$801,$W93)))</f>
        <v/>
      </c>
      <c r="G93">
        <f>IF($W93="","",IF(INDEX('Per Invoice'!G$2:G$801,$W93)="","",INDEX('Per Invoice'!G$2:G$801,$W93)))</f>
        <v/>
      </c>
      <c r="H93">
        <f>IF($W93="","",IF(INDEX('Per Invoice'!H$2:H$801,$W93)="","",INDEX('Per Invoice'!H$2:H$801,$W93)))</f>
        <v/>
      </c>
      <c r="I93">
        <f>IF($W93="","",IF(INDEX('Per Invoice'!I$2:I$801,$W93)="","",INDEX('Per Invoice'!I$2:I$801,$W93)))</f>
        <v/>
      </c>
      <c r="J93">
        <f>IF($W93="","",IF(INDEX('Per Invoice'!J$2:J$801,$W93)="","",INDEX('Per Invoice'!J$2:J$801,$W93)))</f>
        <v/>
      </c>
      <c r="K93" s="7">
        <f>IF($W93="","",IF(INDEX('Per Invoice'!K$2:K$801,$W93)="","",INDEX('Per Invoice'!K$2:K$801,$W93)))</f>
        <v/>
      </c>
      <c r="L93" s="14">
        <f>IF($W93="","",IF(INDEX('Per Invoice'!L$2:L$801,$W93)="","",INDEX('Per Invoice'!L$2:L$801,$W93)))</f>
        <v/>
      </c>
      <c r="M93">
        <f>IF($W93="","",IF(INDEX('Per Invoice'!M$2:M$801,$W93)="","",INDEX('Per Invoice'!M$2:M$801,$W93)))</f>
        <v/>
      </c>
      <c r="N93" s="7">
        <f>IF($W93="","",IF(INDEX('Per Invoice'!N$2:N$801,$W93)="","",INDEX('Per Invoice'!N$2:N$801,$W93)))</f>
        <v/>
      </c>
      <c r="O93" s="7">
        <f>IF($W93="","",IF(INDEX('Per Invoice'!O$2:O$801,$W93)="","",INDEX('Per Invoice'!O$2:O$801,$W93)))</f>
        <v/>
      </c>
      <c r="P93">
        <f>IF($W93="","",IF(INDEX('Per Invoice'!P$2:P$801,$W93)="","",INDEX('Per Invoice'!P$2:P$801,$W93)))</f>
        <v/>
      </c>
      <c r="Q93" s="7">
        <f>IF($W93="","",IF(INDEX('Per Invoice'!Q$2:Q$801,$W93)="","",INDEX('Per Invoice'!Q$2:Q$801,$W93)))</f>
        <v/>
      </c>
      <c r="R93" s="7">
        <f>IF($W93="","",IF(INDEX('Per Invoice'!R$2:R$801,$W93)="","",INDEX('Per Invoice'!R$2:R$801,$W93)))</f>
        <v/>
      </c>
      <c r="S93" s="7">
        <f>IF($W93="","",IF(INDEX('Per Invoice'!S$2:S$801,$W93)="","",INDEX('Per Invoice'!S$2:S$801,$W93)))</f>
        <v/>
      </c>
      <c r="T93" s="7">
        <f>IF($W93="","",IF(INDEX('Per Invoice'!T$2:T$801,$W93)="","",INDEX('Per Invoice'!T$2:T$801,$W93)))</f>
        <v/>
      </c>
      <c r="U93" s="7">
        <f>IF($W93="","",IF(INDEX('Per Invoice'!U$2:U$801,$W93)="","",INDEX('Per Invoice'!U$2:U$801,$W93)))</f>
        <v/>
      </c>
      <c r="V93" s="7">
        <f>IF($W93="","",IF(INDEX('Per Invoice'!V$2:V$801,$W93)="","",INDEX('Per Invoice'!V$2:V$801,$W93)))</f>
        <v/>
      </c>
      <c r="W93" s="16">
        <f>IFERROR(MATCH(Settings!$C$32&amp;"|"&amp;ROWS($W$2:$W93),'Per Invoice'!$X$2:$X$801,0),"")</f>
        <v/>
      </c>
    </row>
    <row r="94">
      <c r="A94">
        <f>IF($W94="","",IF(INDEX('Per Invoice'!A$2:A$801,$W94)="","",INDEX('Per Invoice'!A$2:A$801,$W94)))</f>
        <v/>
      </c>
      <c r="B94">
        <f>IF($W94="","",IF(INDEX('Per Invoice'!B$2:B$801,$W94)="","",INDEX('Per Invoice'!B$2:B$801,$W94)))</f>
        <v/>
      </c>
      <c r="C94">
        <f>IF($W94="","",IF(INDEX('Per Invoice'!C$2:C$801,$W94)="","",INDEX('Per Invoice'!C$2:C$801,$W94)))</f>
        <v/>
      </c>
      <c r="D94">
        <f>IF($W94="","",IF(INDEX('Per Invoice'!D$2:D$801,$W94)="","",INDEX('Per Invoice'!D$2:D$801,$W94)))</f>
        <v/>
      </c>
      <c r="E94">
        <f>IF($W94="","",IF(INDEX('Per Invoice'!E$2:E$801,$W94)="","",INDEX('Per Invoice'!E$2:E$801,$W94)))</f>
        <v/>
      </c>
      <c r="F94">
        <f>IF($W94="","",IF(INDEX('Per Invoice'!F$2:F$801,$W94)="","",INDEX('Per Invoice'!F$2:F$801,$W94)))</f>
        <v/>
      </c>
      <c r="G94">
        <f>IF($W94="","",IF(INDEX('Per Invoice'!G$2:G$801,$W94)="","",INDEX('Per Invoice'!G$2:G$801,$W94)))</f>
        <v/>
      </c>
      <c r="H94">
        <f>IF($W94="","",IF(INDEX('Per Invoice'!H$2:H$801,$W94)="","",INDEX('Per Invoice'!H$2:H$801,$W94)))</f>
        <v/>
      </c>
      <c r="I94">
        <f>IF($W94="","",IF(INDEX('Per Invoice'!I$2:I$801,$W94)="","",INDEX('Per Invoice'!I$2:I$801,$W94)))</f>
        <v/>
      </c>
      <c r="J94">
        <f>IF($W94="","",IF(INDEX('Per Invoice'!J$2:J$801,$W94)="","",INDEX('Per Invoice'!J$2:J$801,$W94)))</f>
        <v/>
      </c>
      <c r="K94" s="7">
        <f>IF($W94="","",IF(INDEX('Per Invoice'!K$2:K$801,$W94)="","",INDEX('Per Invoice'!K$2:K$801,$W94)))</f>
        <v/>
      </c>
      <c r="L94" s="14">
        <f>IF($W94="","",IF(INDEX('Per Invoice'!L$2:L$801,$W94)="","",INDEX('Per Invoice'!L$2:L$801,$W94)))</f>
        <v/>
      </c>
      <c r="M94">
        <f>IF($W94="","",IF(INDEX('Per Invoice'!M$2:M$801,$W94)="","",INDEX('Per Invoice'!M$2:M$801,$W94)))</f>
        <v/>
      </c>
      <c r="N94" s="7">
        <f>IF($W94="","",IF(INDEX('Per Invoice'!N$2:N$801,$W94)="","",INDEX('Per Invoice'!N$2:N$801,$W94)))</f>
        <v/>
      </c>
      <c r="O94" s="7">
        <f>IF($W94="","",IF(INDEX('Per Invoice'!O$2:O$801,$W94)="","",INDEX('Per Invoice'!O$2:O$801,$W94)))</f>
        <v/>
      </c>
      <c r="P94">
        <f>IF($W94="","",IF(INDEX('Per Invoice'!P$2:P$801,$W94)="","",INDEX('Per Invoice'!P$2:P$801,$W94)))</f>
        <v/>
      </c>
      <c r="Q94" s="7">
        <f>IF($W94="","",IF(INDEX('Per Invoice'!Q$2:Q$801,$W94)="","",INDEX('Per Invoice'!Q$2:Q$801,$W94)))</f>
        <v/>
      </c>
      <c r="R94" s="7">
        <f>IF($W94="","",IF(INDEX('Per Invoice'!R$2:R$801,$W94)="","",INDEX('Per Invoice'!R$2:R$801,$W94)))</f>
        <v/>
      </c>
      <c r="S94" s="7">
        <f>IF($W94="","",IF(INDEX('Per Invoice'!S$2:S$801,$W94)="","",INDEX('Per Invoice'!S$2:S$801,$W94)))</f>
        <v/>
      </c>
      <c r="T94" s="7">
        <f>IF($W94="","",IF(INDEX('Per Invoice'!T$2:T$801,$W94)="","",INDEX('Per Invoice'!T$2:T$801,$W94)))</f>
        <v/>
      </c>
      <c r="U94" s="7">
        <f>IF($W94="","",IF(INDEX('Per Invoice'!U$2:U$801,$W94)="","",INDEX('Per Invoice'!U$2:U$801,$W94)))</f>
        <v/>
      </c>
      <c r="V94" s="7">
        <f>IF($W94="","",IF(INDEX('Per Invoice'!V$2:V$801,$W94)="","",INDEX('Per Invoice'!V$2:V$801,$W94)))</f>
        <v/>
      </c>
      <c r="W94" s="16">
        <f>IFERROR(MATCH(Settings!$C$32&amp;"|"&amp;ROWS($W$2:$W94),'Per Invoice'!$X$2:$X$801,0),"")</f>
        <v/>
      </c>
    </row>
    <row r="95">
      <c r="A95">
        <f>IF($W95="","",IF(INDEX('Per Invoice'!A$2:A$801,$W95)="","",INDEX('Per Invoice'!A$2:A$801,$W95)))</f>
        <v/>
      </c>
      <c r="B95">
        <f>IF($W95="","",IF(INDEX('Per Invoice'!B$2:B$801,$W95)="","",INDEX('Per Invoice'!B$2:B$801,$W95)))</f>
        <v/>
      </c>
      <c r="C95">
        <f>IF($W95="","",IF(INDEX('Per Invoice'!C$2:C$801,$W95)="","",INDEX('Per Invoice'!C$2:C$801,$W95)))</f>
        <v/>
      </c>
      <c r="D95">
        <f>IF($W95="","",IF(INDEX('Per Invoice'!D$2:D$801,$W95)="","",INDEX('Per Invoice'!D$2:D$801,$W95)))</f>
        <v/>
      </c>
      <c r="E95">
        <f>IF($W95="","",IF(INDEX('Per Invoice'!E$2:E$801,$W95)="","",INDEX('Per Invoice'!E$2:E$801,$W95)))</f>
        <v/>
      </c>
      <c r="F95">
        <f>IF($W95="","",IF(INDEX('Per Invoice'!F$2:F$801,$W95)="","",INDEX('Per Invoice'!F$2:F$801,$W95)))</f>
        <v/>
      </c>
      <c r="G95">
        <f>IF($W95="","",IF(INDEX('Per Invoice'!G$2:G$801,$W95)="","",INDEX('Per Invoice'!G$2:G$801,$W95)))</f>
        <v/>
      </c>
      <c r="H95">
        <f>IF($W95="","",IF(INDEX('Per Invoice'!H$2:H$801,$W95)="","",INDEX('Per Invoice'!H$2:H$801,$W95)))</f>
        <v/>
      </c>
      <c r="I95">
        <f>IF($W95="","",IF(INDEX('Per Invoice'!I$2:I$801,$W95)="","",INDEX('Per Invoice'!I$2:I$801,$W95)))</f>
        <v/>
      </c>
      <c r="J95">
        <f>IF($W95="","",IF(INDEX('Per Invoice'!J$2:J$801,$W95)="","",INDEX('Per Invoice'!J$2:J$801,$W95)))</f>
        <v/>
      </c>
      <c r="K95" s="7">
        <f>IF($W95="","",IF(INDEX('Per Invoice'!K$2:K$801,$W95)="","",INDEX('Per Invoice'!K$2:K$801,$W95)))</f>
        <v/>
      </c>
      <c r="L95" s="14">
        <f>IF($W95="","",IF(INDEX('Per Invoice'!L$2:L$801,$W95)="","",INDEX('Per Invoice'!L$2:L$801,$W95)))</f>
        <v/>
      </c>
      <c r="M95">
        <f>IF($W95="","",IF(INDEX('Per Invoice'!M$2:M$801,$W95)="","",INDEX('Per Invoice'!M$2:M$801,$W95)))</f>
        <v/>
      </c>
      <c r="N95" s="7">
        <f>IF($W95="","",IF(INDEX('Per Invoice'!N$2:N$801,$W95)="","",INDEX('Per Invoice'!N$2:N$801,$W95)))</f>
        <v/>
      </c>
      <c r="O95" s="7">
        <f>IF($W95="","",IF(INDEX('Per Invoice'!O$2:O$801,$W95)="","",INDEX('Per Invoice'!O$2:O$801,$W95)))</f>
        <v/>
      </c>
      <c r="P95">
        <f>IF($W95="","",IF(INDEX('Per Invoice'!P$2:P$801,$W95)="","",INDEX('Per Invoice'!P$2:P$801,$W95)))</f>
        <v/>
      </c>
      <c r="Q95" s="7">
        <f>IF($W95="","",IF(INDEX('Per Invoice'!Q$2:Q$801,$W95)="","",INDEX('Per Invoice'!Q$2:Q$801,$W95)))</f>
        <v/>
      </c>
      <c r="R95" s="7">
        <f>IF($W95="","",IF(INDEX('Per Invoice'!R$2:R$801,$W95)="","",INDEX('Per Invoice'!R$2:R$801,$W95)))</f>
        <v/>
      </c>
      <c r="S95" s="7">
        <f>IF($W95="","",IF(INDEX('Per Invoice'!S$2:S$801,$W95)="","",INDEX('Per Invoice'!S$2:S$801,$W95)))</f>
        <v/>
      </c>
      <c r="T95" s="7">
        <f>IF($W95="","",IF(INDEX('Per Invoice'!T$2:T$801,$W95)="","",INDEX('Per Invoice'!T$2:T$801,$W95)))</f>
        <v/>
      </c>
      <c r="U95" s="7">
        <f>IF($W95="","",IF(INDEX('Per Invoice'!U$2:U$801,$W95)="","",INDEX('Per Invoice'!U$2:U$801,$W95)))</f>
        <v/>
      </c>
      <c r="V95" s="7">
        <f>IF($W95="","",IF(INDEX('Per Invoice'!V$2:V$801,$W95)="","",INDEX('Per Invoice'!V$2:V$801,$W95)))</f>
        <v/>
      </c>
      <c r="W95" s="16">
        <f>IFERROR(MATCH(Settings!$C$32&amp;"|"&amp;ROWS($W$2:$W95),'Per Invoice'!$X$2:$X$801,0),"")</f>
        <v/>
      </c>
    </row>
    <row r="96">
      <c r="A96">
        <f>IF($W96="","",IF(INDEX('Per Invoice'!A$2:A$801,$W96)="","",INDEX('Per Invoice'!A$2:A$801,$W96)))</f>
        <v/>
      </c>
      <c r="B96">
        <f>IF($W96="","",IF(INDEX('Per Invoice'!B$2:B$801,$W96)="","",INDEX('Per Invoice'!B$2:B$801,$W96)))</f>
        <v/>
      </c>
      <c r="C96">
        <f>IF($W96="","",IF(INDEX('Per Invoice'!C$2:C$801,$W96)="","",INDEX('Per Invoice'!C$2:C$801,$W96)))</f>
        <v/>
      </c>
      <c r="D96">
        <f>IF($W96="","",IF(INDEX('Per Invoice'!D$2:D$801,$W96)="","",INDEX('Per Invoice'!D$2:D$801,$W96)))</f>
        <v/>
      </c>
      <c r="E96">
        <f>IF($W96="","",IF(INDEX('Per Invoice'!E$2:E$801,$W96)="","",INDEX('Per Invoice'!E$2:E$801,$W96)))</f>
        <v/>
      </c>
      <c r="F96">
        <f>IF($W96="","",IF(INDEX('Per Invoice'!F$2:F$801,$W96)="","",INDEX('Per Invoice'!F$2:F$801,$W96)))</f>
        <v/>
      </c>
      <c r="G96">
        <f>IF($W96="","",IF(INDEX('Per Invoice'!G$2:G$801,$W96)="","",INDEX('Per Invoice'!G$2:G$801,$W96)))</f>
        <v/>
      </c>
      <c r="H96">
        <f>IF($W96="","",IF(INDEX('Per Invoice'!H$2:H$801,$W96)="","",INDEX('Per Invoice'!H$2:H$801,$W96)))</f>
        <v/>
      </c>
      <c r="I96">
        <f>IF($W96="","",IF(INDEX('Per Invoice'!I$2:I$801,$W96)="","",INDEX('Per Invoice'!I$2:I$801,$W96)))</f>
        <v/>
      </c>
      <c r="J96">
        <f>IF($W96="","",IF(INDEX('Per Invoice'!J$2:J$801,$W96)="","",INDEX('Per Invoice'!J$2:J$801,$W96)))</f>
        <v/>
      </c>
      <c r="K96" s="7">
        <f>IF($W96="","",IF(INDEX('Per Invoice'!K$2:K$801,$W96)="","",INDEX('Per Invoice'!K$2:K$801,$W96)))</f>
        <v/>
      </c>
      <c r="L96" s="14">
        <f>IF($W96="","",IF(INDEX('Per Invoice'!L$2:L$801,$W96)="","",INDEX('Per Invoice'!L$2:L$801,$W96)))</f>
        <v/>
      </c>
      <c r="M96">
        <f>IF($W96="","",IF(INDEX('Per Invoice'!M$2:M$801,$W96)="","",INDEX('Per Invoice'!M$2:M$801,$W96)))</f>
        <v/>
      </c>
      <c r="N96" s="7">
        <f>IF($W96="","",IF(INDEX('Per Invoice'!N$2:N$801,$W96)="","",INDEX('Per Invoice'!N$2:N$801,$W96)))</f>
        <v/>
      </c>
      <c r="O96" s="7">
        <f>IF($W96="","",IF(INDEX('Per Invoice'!O$2:O$801,$W96)="","",INDEX('Per Invoice'!O$2:O$801,$W96)))</f>
        <v/>
      </c>
      <c r="P96">
        <f>IF($W96="","",IF(INDEX('Per Invoice'!P$2:P$801,$W96)="","",INDEX('Per Invoice'!P$2:P$801,$W96)))</f>
        <v/>
      </c>
      <c r="Q96" s="7">
        <f>IF($W96="","",IF(INDEX('Per Invoice'!Q$2:Q$801,$W96)="","",INDEX('Per Invoice'!Q$2:Q$801,$W96)))</f>
        <v/>
      </c>
      <c r="R96" s="7">
        <f>IF($W96="","",IF(INDEX('Per Invoice'!R$2:R$801,$W96)="","",INDEX('Per Invoice'!R$2:R$801,$W96)))</f>
        <v/>
      </c>
      <c r="S96" s="7">
        <f>IF($W96="","",IF(INDEX('Per Invoice'!S$2:S$801,$W96)="","",INDEX('Per Invoice'!S$2:S$801,$W96)))</f>
        <v/>
      </c>
      <c r="T96" s="7">
        <f>IF($W96="","",IF(INDEX('Per Invoice'!T$2:T$801,$W96)="","",INDEX('Per Invoice'!T$2:T$801,$W96)))</f>
        <v/>
      </c>
      <c r="U96" s="7">
        <f>IF($W96="","",IF(INDEX('Per Invoice'!U$2:U$801,$W96)="","",INDEX('Per Invoice'!U$2:U$801,$W96)))</f>
        <v/>
      </c>
      <c r="V96" s="7">
        <f>IF($W96="","",IF(INDEX('Per Invoice'!V$2:V$801,$W96)="","",INDEX('Per Invoice'!V$2:V$801,$W96)))</f>
        <v/>
      </c>
      <c r="W96" s="16">
        <f>IFERROR(MATCH(Settings!$C$32&amp;"|"&amp;ROWS($W$2:$W96),'Per Invoice'!$X$2:$X$801,0),"")</f>
        <v/>
      </c>
    </row>
    <row r="97">
      <c r="A97">
        <f>IF($W97="","",IF(INDEX('Per Invoice'!A$2:A$801,$W97)="","",INDEX('Per Invoice'!A$2:A$801,$W97)))</f>
        <v/>
      </c>
      <c r="B97">
        <f>IF($W97="","",IF(INDEX('Per Invoice'!B$2:B$801,$W97)="","",INDEX('Per Invoice'!B$2:B$801,$W97)))</f>
        <v/>
      </c>
      <c r="C97">
        <f>IF($W97="","",IF(INDEX('Per Invoice'!C$2:C$801,$W97)="","",INDEX('Per Invoice'!C$2:C$801,$W97)))</f>
        <v/>
      </c>
      <c r="D97">
        <f>IF($W97="","",IF(INDEX('Per Invoice'!D$2:D$801,$W97)="","",INDEX('Per Invoice'!D$2:D$801,$W97)))</f>
        <v/>
      </c>
      <c r="E97">
        <f>IF($W97="","",IF(INDEX('Per Invoice'!E$2:E$801,$W97)="","",INDEX('Per Invoice'!E$2:E$801,$W97)))</f>
        <v/>
      </c>
      <c r="F97">
        <f>IF($W97="","",IF(INDEX('Per Invoice'!F$2:F$801,$W97)="","",INDEX('Per Invoice'!F$2:F$801,$W97)))</f>
        <v/>
      </c>
      <c r="G97">
        <f>IF($W97="","",IF(INDEX('Per Invoice'!G$2:G$801,$W97)="","",INDEX('Per Invoice'!G$2:G$801,$W97)))</f>
        <v/>
      </c>
      <c r="H97">
        <f>IF($W97="","",IF(INDEX('Per Invoice'!H$2:H$801,$W97)="","",INDEX('Per Invoice'!H$2:H$801,$W97)))</f>
        <v/>
      </c>
      <c r="I97">
        <f>IF($W97="","",IF(INDEX('Per Invoice'!I$2:I$801,$W97)="","",INDEX('Per Invoice'!I$2:I$801,$W97)))</f>
        <v/>
      </c>
      <c r="J97">
        <f>IF($W97="","",IF(INDEX('Per Invoice'!J$2:J$801,$W97)="","",INDEX('Per Invoice'!J$2:J$801,$W97)))</f>
        <v/>
      </c>
      <c r="K97" s="7">
        <f>IF($W97="","",IF(INDEX('Per Invoice'!K$2:K$801,$W97)="","",INDEX('Per Invoice'!K$2:K$801,$W97)))</f>
        <v/>
      </c>
      <c r="L97" s="14">
        <f>IF($W97="","",IF(INDEX('Per Invoice'!L$2:L$801,$W97)="","",INDEX('Per Invoice'!L$2:L$801,$W97)))</f>
        <v/>
      </c>
      <c r="M97">
        <f>IF($W97="","",IF(INDEX('Per Invoice'!M$2:M$801,$W97)="","",INDEX('Per Invoice'!M$2:M$801,$W97)))</f>
        <v/>
      </c>
      <c r="N97" s="7">
        <f>IF($W97="","",IF(INDEX('Per Invoice'!N$2:N$801,$W97)="","",INDEX('Per Invoice'!N$2:N$801,$W97)))</f>
        <v/>
      </c>
      <c r="O97" s="7">
        <f>IF($W97="","",IF(INDEX('Per Invoice'!O$2:O$801,$W97)="","",INDEX('Per Invoice'!O$2:O$801,$W97)))</f>
        <v/>
      </c>
      <c r="P97">
        <f>IF($W97="","",IF(INDEX('Per Invoice'!P$2:P$801,$W97)="","",INDEX('Per Invoice'!P$2:P$801,$W97)))</f>
        <v/>
      </c>
      <c r="Q97" s="7">
        <f>IF($W97="","",IF(INDEX('Per Invoice'!Q$2:Q$801,$W97)="","",INDEX('Per Invoice'!Q$2:Q$801,$W97)))</f>
        <v/>
      </c>
      <c r="R97" s="7">
        <f>IF($W97="","",IF(INDEX('Per Invoice'!R$2:R$801,$W97)="","",INDEX('Per Invoice'!R$2:R$801,$W97)))</f>
        <v/>
      </c>
      <c r="S97" s="7">
        <f>IF($W97="","",IF(INDEX('Per Invoice'!S$2:S$801,$W97)="","",INDEX('Per Invoice'!S$2:S$801,$W97)))</f>
        <v/>
      </c>
      <c r="T97" s="7">
        <f>IF($W97="","",IF(INDEX('Per Invoice'!T$2:T$801,$W97)="","",INDEX('Per Invoice'!T$2:T$801,$W97)))</f>
        <v/>
      </c>
      <c r="U97" s="7">
        <f>IF($W97="","",IF(INDEX('Per Invoice'!U$2:U$801,$W97)="","",INDEX('Per Invoice'!U$2:U$801,$W97)))</f>
        <v/>
      </c>
      <c r="V97" s="7">
        <f>IF($W97="","",IF(INDEX('Per Invoice'!V$2:V$801,$W97)="","",INDEX('Per Invoice'!V$2:V$801,$W97)))</f>
        <v/>
      </c>
      <c r="W97" s="16">
        <f>IFERROR(MATCH(Settings!$C$32&amp;"|"&amp;ROWS($W$2:$W97),'Per Invoice'!$X$2:$X$801,0),"")</f>
        <v/>
      </c>
    </row>
    <row r="98">
      <c r="A98">
        <f>IF($W98="","",IF(INDEX('Per Invoice'!A$2:A$801,$W98)="","",INDEX('Per Invoice'!A$2:A$801,$W98)))</f>
        <v/>
      </c>
      <c r="B98">
        <f>IF($W98="","",IF(INDEX('Per Invoice'!B$2:B$801,$W98)="","",INDEX('Per Invoice'!B$2:B$801,$W98)))</f>
        <v/>
      </c>
      <c r="C98">
        <f>IF($W98="","",IF(INDEX('Per Invoice'!C$2:C$801,$W98)="","",INDEX('Per Invoice'!C$2:C$801,$W98)))</f>
        <v/>
      </c>
      <c r="D98">
        <f>IF($W98="","",IF(INDEX('Per Invoice'!D$2:D$801,$W98)="","",INDEX('Per Invoice'!D$2:D$801,$W98)))</f>
        <v/>
      </c>
      <c r="E98">
        <f>IF($W98="","",IF(INDEX('Per Invoice'!E$2:E$801,$W98)="","",INDEX('Per Invoice'!E$2:E$801,$W98)))</f>
        <v/>
      </c>
      <c r="F98">
        <f>IF($W98="","",IF(INDEX('Per Invoice'!F$2:F$801,$W98)="","",INDEX('Per Invoice'!F$2:F$801,$W98)))</f>
        <v/>
      </c>
      <c r="G98">
        <f>IF($W98="","",IF(INDEX('Per Invoice'!G$2:G$801,$W98)="","",INDEX('Per Invoice'!G$2:G$801,$W98)))</f>
        <v/>
      </c>
      <c r="H98">
        <f>IF($W98="","",IF(INDEX('Per Invoice'!H$2:H$801,$W98)="","",INDEX('Per Invoice'!H$2:H$801,$W98)))</f>
        <v/>
      </c>
      <c r="I98">
        <f>IF($W98="","",IF(INDEX('Per Invoice'!I$2:I$801,$W98)="","",INDEX('Per Invoice'!I$2:I$801,$W98)))</f>
        <v/>
      </c>
      <c r="J98">
        <f>IF($W98="","",IF(INDEX('Per Invoice'!J$2:J$801,$W98)="","",INDEX('Per Invoice'!J$2:J$801,$W98)))</f>
        <v/>
      </c>
      <c r="K98" s="7">
        <f>IF($W98="","",IF(INDEX('Per Invoice'!K$2:K$801,$W98)="","",INDEX('Per Invoice'!K$2:K$801,$W98)))</f>
        <v/>
      </c>
      <c r="L98" s="14">
        <f>IF($W98="","",IF(INDEX('Per Invoice'!L$2:L$801,$W98)="","",INDEX('Per Invoice'!L$2:L$801,$W98)))</f>
        <v/>
      </c>
      <c r="M98">
        <f>IF($W98="","",IF(INDEX('Per Invoice'!M$2:M$801,$W98)="","",INDEX('Per Invoice'!M$2:M$801,$W98)))</f>
        <v/>
      </c>
      <c r="N98" s="7">
        <f>IF($W98="","",IF(INDEX('Per Invoice'!N$2:N$801,$W98)="","",INDEX('Per Invoice'!N$2:N$801,$W98)))</f>
        <v/>
      </c>
      <c r="O98" s="7">
        <f>IF($W98="","",IF(INDEX('Per Invoice'!O$2:O$801,$W98)="","",INDEX('Per Invoice'!O$2:O$801,$W98)))</f>
        <v/>
      </c>
      <c r="P98">
        <f>IF($W98="","",IF(INDEX('Per Invoice'!P$2:P$801,$W98)="","",INDEX('Per Invoice'!P$2:P$801,$W98)))</f>
        <v/>
      </c>
      <c r="Q98" s="7">
        <f>IF($W98="","",IF(INDEX('Per Invoice'!Q$2:Q$801,$W98)="","",INDEX('Per Invoice'!Q$2:Q$801,$W98)))</f>
        <v/>
      </c>
      <c r="R98" s="7">
        <f>IF($W98="","",IF(INDEX('Per Invoice'!R$2:R$801,$W98)="","",INDEX('Per Invoice'!R$2:R$801,$W98)))</f>
        <v/>
      </c>
      <c r="S98" s="7">
        <f>IF($W98="","",IF(INDEX('Per Invoice'!S$2:S$801,$W98)="","",INDEX('Per Invoice'!S$2:S$801,$W98)))</f>
        <v/>
      </c>
      <c r="T98" s="7">
        <f>IF($W98="","",IF(INDEX('Per Invoice'!T$2:T$801,$W98)="","",INDEX('Per Invoice'!T$2:T$801,$W98)))</f>
        <v/>
      </c>
      <c r="U98" s="7">
        <f>IF($W98="","",IF(INDEX('Per Invoice'!U$2:U$801,$W98)="","",INDEX('Per Invoice'!U$2:U$801,$W98)))</f>
        <v/>
      </c>
      <c r="V98" s="7">
        <f>IF($W98="","",IF(INDEX('Per Invoice'!V$2:V$801,$W98)="","",INDEX('Per Invoice'!V$2:V$801,$W98)))</f>
        <v/>
      </c>
      <c r="W98" s="16">
        <f>IFERROR(MATCH(Settings!$C$32&amp;"|"&amp;ROWS($W$2:$W98),'Per Invoice'!$X$2:$X$801,0),"")</f>
        <v/>
      </c>
    </row>
    <row r="99">
      <c r="A99">
        <f>IF($W99="","",IF(INDEX('Per Invoice'!A$2:A$801,$W99)="","",INDEX('Per Invoice'!A$2:A$801,$W99)))</f>
        <v/>
      </c>
      <c r="B99">
        <f>IF($W99="","",IF(INDEX('Per Invoice'!B$2:B$801,$W99)="","",INDEX('Per Invoice'!B$2:B$801,$W99)))</f>
        <v/>
      </c>
      <c r="C99">
        <f>IF($W99="","",IF(INDEX('Per Invoice'!C$2:C$801,$W99)="","",INDEX('Per Invoice'!C$2:C$801,$W99)))</f>
        <v/>
      </c>
      <c r="D99">
        <f>IF($W99="","",IF(INDEX('Per Invoice'!D$2:D$801,$W99)="","",INDEX('Per Invoice'!D$2:D$801,$W99)))</f>
        <v/>
      </c>
      <c r="E99">
        <f>IF($W99="","",IF(INDEX('Per Invoice'!E$2:E$801,$W99)="","",INDEX('Per Invoice'!E$2:E$801,$W99)))</f>
        <v/>
      </c>
      <c r="F99">
        <f>IF($W99="","",IF(INDEX('Per Invoice'!F$2:F$801,$W99)="","",INDEX('Per Invoice'!F$2:F$801,$W99)))</f>
        <v/>
      </c>
      <c r="G99">
        <f>IF($W99="","",IF(INDEX('Per Invoice'!G$2:G$801,$W99)="","",INDEX('Per Invoice'!G$2:G$801,$W99)))</f>
        <v/>
      </c>
      <c r="H99">
        <f>IF($W99="","",IF(INDEX('Per Invoice'!H$2:H$801,$W99)="","",INDEX('Per Invoice'!H$2:H$801,$W99)))</f>
        <v/>
      </c>
      <c r="I99">
        <f>IF($W99="","",IF(INDEX('Per Invoice'!I$2:I$801,$W99)="","",INDEX('Per Invoice'!I$2:I$801,$W99)))</f>
        <v/>
      </c>
      <c r="J99">
        <f>IF($W99="","",IF(INDEX('Per Invoice'!J$2:J$801,$W99)="","",INDEX('Per Invoice'!J$2:J$801,$W99)))</f>
        <v/>
      </c>
      <c r="K99" s="7">
        <f>IF($W99="","",IF(INDEX('Per Invoice'!K$2:K$801,$W99)="","",INDEX('Per Invoice'!K$2:K$801,$W99)))</f>
        <v/>
      </c>
      <c r="L99" s="14">
        <f>IF($W99="","",IF(INDEX('Per Invoice'!L$2:L$801,$W99)="","",INDEX('Per Invoice'!L$2:L$801,$W99)))</f>
        <v/>
      </c>
      <c r="M99">
        <f>IF($W99="","",IF(INDEX('Per Invoice'!M$2:M$801,$W99)="","",INDEX('Per Invoice'!M$2:M$801,$W99)))</f>
        <v/>
      </c>
      <c r="N99" s="7">
        <f>IF($W99="","",IF(INDEX('Per Invoice'!N$2:N$801,$W99)="","",INDEX('Per Invoice'!N$2:N$801,$W99)))</f>
        <v/>
      </c>
      <c r="O99" s="7">
        <f>IF($W99="","",IF(INDEX('Per Invoice'!O$2:O$801,$W99)="","",INDEX('Per Invoice'!O$2:O$801,$W99)))</f>
        <v/>
      </c>
      <c r="P99">
        <f>IF($W99="","",IF(INDEX('Per Invoice'!P$2:P$801,$W99)="","",INDEX('Per Invoice'!P$2:P$801,$W99)))</f>
        <v/>
      </c>
      <c r="Q99" s="7">
        <f>IF($W99="","",IF(INDEX('Per Invoice'!Q$2:Q$801,$W99)="","",INDEX('Per Invoice'!Q$2:Q$801,$W99)))</f>
        <v/>
      </c>
      <c r="R99" s="7">
        <f>IF($W99="","",IF(INDEX('Per Invoice'!R$2:R$801,$W99)="","",INDEX('Per Invoice'!R$2:R$801,$W99)))</f>
        <v/>
      </c>
      <c r="S99" s="7">
        <f>IF($W99="","",IF(INDEX('Per Invoice'!S$2:S$801,$W99)="","",INDEX('Per Invoice'!S$2:S$801,$W99)))</f>
        <v/>
      </c>
      <c r="T99" s="7">
        <f>IF($W99="","",IF(INDEX('Per Invoice'!T$2:T$801,$W99)="","",INDEX('Per Invoice'!T$2:T$801,$W99)))</f>
        <v/>
      </c>
      <c r="U99" s="7">
        <f>IF($W99="","",IF(INDEX('Per Invoice'!U$2:U$801,$W99)="","",INDEX('Per Invoice'!U$2:U$801,$W99)))</f>
        <v/>
      </c>
      <c r="V99" s="7">
        <f>IF($W99="","",IF(INDEX('Per Invoice'!V$2:V$801,$W99)="","",INDEX('Per Invoice'!V$2:V$801,$W99)))</f>
        <v/>
      </c>
      <c r="W99" s="16">
        <f>IFERROR(MATCH(Settings!$C$32&amp;"|"&amp;ROWS($W$2:$W99),'Per Invoice'!$X$2:$X$801,0),"")</f>
        <v/>
      </c>
    </row>
    <row r="100">
      <c r="A100">
        <f>IF($W100="","",IF(INDEX('Per Invoice'!A$2:A$801,$W100)="","",INDEX('Per Invoice'!A$2:A$801,$W100)))</f>
        <v/>
      </c>
      <c r="B100">
        <f>IF($W100="","",IF(INDEX('Per Invoice'!B$2:B$801,$W100)="","",INDEX('Per Invoice'!B$2:B$801,$W100)))</f>
        <v/>
      </c>
      <c r="C100">
        <f>IF($W100="","",IF(INDEX('Per Invoice'!C$2:C$801,$W100)="","",INDEX('Per Invoice'!C$2:C$801,$W100)))</f>
        <v/>
      </c>
      <c r="D100">
        <f>IF($W100="","",IF(INDEX('Per Invoice'!D$2:D$801,$W100)="","",INDEX('Per Invoice'!D$2:D$801,$W100)))</f>
        <v/>
      </c>
      <c r="E100">
        <f>IF($W100="","",IF(INDEX('Per Invoice'!E$2:E$801,$W100)="","",INDEX('Per Invoice'!E$2:E$801,$W100)))</f>
        <v/>
      </c>
      <c r="F100">
        <f>IF($W100="","",IF(INDEX('Per Invoice'!F$2:F$801,$W100)="","",INDEX('Per Invoice'!F$2:F$801,$W100)))</f>
        <v/>
      </c>
      <c r="G100">
        <f>IF($W100="","",IF(INDEX('Per Invoice'!G$2:G$801,$W100)="","",INDEX('Per Invoice'!G$2:G$801,$W100)))</f>
        <v/>
      </c>
      <c r="H100">
        <f>IF($W100="","",IF(INDEX('Per Invoice'!H$2:H$801,$W100)="","",INDEX('Per Invoice'!H$2:H$801,$W100)))</f>
        <v/>
      </c>
      <c r="I100">
        <f>IF($W100="","",IF(INDEX('Per Invoice'!I$2:I$801,$W100)="","",INDEX('Per Invoice'!I$2:I$801,$W100)))</f>
        <v/>
      </c>
      <c r="J100">
        <f>IF($W100="","",IF(INDEX('Per Invoice'!J$2:J$801,$W100)="","",INDEX('Per Invoice'!J$2:J$801,$W100)))</f>
        <v/>
      </c>
      <c r="K100" s="7">
        <f>IF($W100="","",IF(INDEX('Per Invoice'!K$2:K$801,$W100)="","",INDEX('Per Invoice'!K$2:K$801,$W100)))</f>
        <v/>
      </c>
      <c r="L100" s="14">
        <f>IF($W100="","",IF(INDEX('Per Invoice'!L$2:L$801,$W100)="","",INDEX('Per Invoice'!L$2:L$801,$W100)))</f>
        <v/>
      </c>
      <c r="M100">
        <f>IF($W100="","",IF(INDEX('Per Invoice'!M$2:M$801,$W100)="","",INDEX('Per Invoice'!M$2:M$801,$W100)))</f>
        <v/>
      </c>
      <c r="N100" s="7">
        <f>IF($W100="","",IF(INDEX('Per Invoice'!N$2:N$801,$W100)="","",INDEX('Per Invoice'!N$2:N$801,$W100)))</f>
        <v/>
      </c>
      <c r="O100" s="7">
        <f>IF($W100="","",IF(INDEX('Per Invoice'!O$2:O$801,$W100)="","",INDEX('Per Invoice'!O$2:O$801,$W100)))</f>
        <v/>
      </c>
      <c r="P100">
        <f>IF($W100="","",IF(INDEX('Per Invoice'!P$2:P$801,$W100)="","",INDEX('Per Invoice'!P$2:P$801,$W100)))</f>
        <v/>
      </c>
      <c r="Q100" s="7">
        <f>IF($W100="","",IF(INDEX('Per Invoice'!Q$2:Q$801,$W100)="","",INDEX('Per Invoice'!Q$2:Q$801,$W100)))</f>
        <v/>
      </c>
      <c r="R100" s="7">
        <f>IF($W100="","",IF(INDEX('Per Invoice'!R$2:R$801,$W100)="","",INDEX('Per Invoice'!R$2:R$801,$W100)))</f>
        <v/>
      </c>
      <c r="S100" s="7">
        <f>IF($W100="","",IF(INDEX('Per Invoice'!S$2:S$801,$W100)="","",INDEX('Per Invoice'!S$2:S$801,$W100)))</f>
        <v/>
      </c>
      <c r="T100" s="7">
        <f>IF($W100="","",IF(INDEX('Per Invoice'!T$2:T$801,$W100)="","",INDEX('Per Invoice'!T$2:T$801,$W100)))</f>
        <v/>
      </c>
      <c r="U100" s="7">
        <f>IF($W100="","",IF(INDEX('Per Invoice'!U$2:U$801,$W100)="","",INDEX('Per Invoice'!U$2:U$801,$W100)))</f>
        <v/>
      </c>
      <c r="V100" s="7">
        <f>IF($W100="","",IF(INDEX('Per Invoice'!V$2:V$801,$W100)="","",INDEX('Per Invoice'!V$2:V$801,$W100)))</f>
        <v/>
      </c>
      <c r="W100" s="16">
        <f>IFERROR(MATCH(Settings!$C$32&amp;"|"&amp;ROWS($W$2:$W100),'Per Invoice'!$X$2:$X$801,0),"")</f>
        <v/>
      </c>
    </row>
    <row r="101">
      <c r="A101">
        <f>IF($W101="","",IF(INDEX('Per Invoice'!A$2:A$801,$W101)="","",INDEX('Per Invoice'!A$2:A$801,$W101)))</f>
        <v/>
      </c>
      <c r="B101">
        <f>IF($W101="","",IF(INDEX('Per Invoice'!B$2:B$801,$W101)="","",INDEX('Per Invoice'!B$2:B$801,$W101)))</f>
        <v/>
      </c>
      <c r="C101">
        <f>IF($W101="","",IF(INDEX('Per Invoice'!C$2:C$801,$W101)="","",INDEX('Per Invoice'!C$2:C$801,$W101)))</f>
        <v/>
      </c>
      <c r="D101">
        <f>IF($W101="","",IF(INDEX('Per Invoice'!D$2:D$801,$W101)="","",INDEX('Per Invoice'!D$2:D$801,$W101)))</f>
        <v/>
      </c>
      <c r="E101">
        <f>IF($W101="","",IF(INDEX('Per Invoice'!E$2:E$801,$W101)="","",INDEX('Per Invoice'!E$2:E$801,$W101)))</f>
        <v/>
      </c>
      <c r="F101">
        <f>IF($W101="","",IF(INDEX('Per Invoice'!F$2:F$801,$W101)="","",INDEX('Per Invoice'!F$2:F$801,$W101)))</f>
        <v/>
      </c>
      <c r="G101">
        <f>IF($W101="","",IF(INDEX('Per Invoice'!G$2:G$801,$W101)="","",INDEX('Per Invoice'!G$2:G$801,$W101)))</f>
        <v/>
      </c>
      <c r="H101">
        <f>IF($W101="","",IF(INDEX('Per Invoice'!H$2:H$801,$W101)="","",INDEX('Per Invoice'!H$2:H$801,$W101)))</f>
        <v/>
      </c>
      <c r="I101">
        <f>IF($W101="","",IF(INDEX('Per Invoice'!I$2:I$801,$W101)="","",INDEX('Per Invoice'!I$2:I$801,$W101)))</f>
        <v/>
      </c>
      <c r="J101">
        <f>IF($W101="","",IF(INDEX('Per Invoice'!J$2:J$801,$W101)="","",INDEX('Per Invoice'!J$2:J$801,$W101)))</f>
        <v/>
      </c>
      <c r="K101" s="7">
        <f>IF($W101="","",IF(INDEX('Per Invoice'!K$2:K$801,$W101)="","",INDEX('Per Invoice'!K$2:K$801,$W101)))</f>
        <v/>
      </c>
      <c r="L101" s="14">
        <f>IF($W101="","",IF(INDEX('Per Invoice'!L$2:L$801,$W101)="","",INDEX('Per Invoice'!L$2:L$801,$W101)))</f>
        <v/>
      </c>
      <c r="M101">
        <f>IF($W101="","",IF(INDEX('Per Invoice'!M$2:M$801,$W101)="","",INDEX('Per Invoice'!M$2:M$801,$W101)))</f>
        <v/>
      </c>
      <c r="N101" s="7">
        <f>IF($W101="","",IF(INDEX('Per Invoice'!N$2:N$801,$W101)="","",INDEX('Per Invoice'!N$2:N$801,$W101)))</f>
        <v/>
      </c>
      <c r="O101" s="7">
        <f>IF($W101="","",IF(INDEX('Per Invoice'!O$2:O$801,$W101)="","",INDEX('Per Invoice'!O$2:O$801,$W101)))</f>
        <v/>
      </c>
      <c r="P101">
        <f>IF($W101="","",IF(INDEX('Per Invoice'!P$2:P$801,$W101)="","",INDEX('Per Invoice'!P$2:P$801,$W101)))</f>
        <v/>
      </c>
      <c r="Q101" s="7">
        <f>IF($W101="","",IF(INDEX('Per Invoice'!Q$2:Q$801,$W101)="","",INDEX('Per Invoice'!Q$2:Q$801,$W101)))</f>
        <v/>
      </c>
      <c r="R101" s="7">
        <f>IF($W101="","",IF(INDEX('Per Invoice'!R$2:R$801,$W101)="","",INDEX('Per Invoice'!R$2:R$801,$W101)))</f>
        <v/>
      </c>
      <c r="S101" s="7">
        <f>IF($W101="","",IF(INDEX('Per Invoice'!S$2:S$801,$W101)="","",INDEX('Per Invoice'!S$2:S$801,$W101)))</f>
        <v/>
      </c>
      <c r="T101" s="7">
        <f>IF($W101="","",IF(INDEX('Per Invoice'!T$2:T$801,$W101)="","",INDEX('Per Invoice'!T$2:T$801,$W101)))</f>
        <v/>
      </c>
      <c r="U101" s="7">
        <f>IF($W101="","",IF(INDEX('Per Invoice'!U$2:U$801,$W101)="","",INDEX('Per Invoice'!U$2:U$801,$W101)))</f>
        <v/>
      </c>
      <c r="V101" s="7">
        <f>IF($W101="","",IF(INDEX('Per Invoice'!V$2:V$801,$W101)="","",INDEX('Per Invoice'!V$2:V$801,$W101)))</f>
        <v/>
      </c>
      <c r="W101" s="16">
        <f>IFERROR(MATCH(Settings!$C$32&amp;"|"&amp;ROWS($W$2:$W101),'Per Invoice'!$X$2:$X$801,0),"")</f>
        <v/>
      </c>
    </row>
    <row r="102">
      <c r="A102">
        <f>IF($W102="","",IF(INDEX('Per Invoice'!A$2:A$801,$W102)="","",INDEX('Per Invoice'!A$2:A$801,$W102)))</f>
        <v/>
      </c>
      <c r="B102">
        <f>IF($W102="","",IF(INDEX('Per Invoice'!B$2:B$801,$W102)="","",INDEX('Per Invoice'!B$2:B$801,$W102)))</f>
        <v/>
      </c>
      <c r="C102">
        <f>IF($W102="","",IF(INDEX('Per Invoice'!C$2:C$801,$W102)="","",INDEX('Per Invoice'!C$2:C$801,$W102)))</f>
        <v/>
      </c>
      <c r="D102">
        <f>IF($W102="","",IF(INDEX('Per Invoice'!D$2:D$801,$W102)="","",INDEX('Per Invoice'!D$2:D$801,$W102)))</f>
        <v/>
      </c>
      <c r="E102">
        <f>IF($W102="","",IF(INDEX('Per Invoice'!E$2:E$801,$W102)="","",INDEX('Per Invoice'!E$2:E$801,$W102)))</f>
        <v/>
      </c>
      <c r="F102">
        <f>IF($W102="","",IF(INDEX('Per Invoice'!F$2:F$801,$W102)="","",INDEX('Per Invoice'!F$2:F$801,$W102)))</f>
        <v/>
      </c>
      <c r="G102">
        <f>IF($W102="","",IF(INDEX('Per Invoice'!G$2:G$801,$W102)="","",INDEX('Per Invoice'!G$2:G$801,$W102)))</f>
        <v/>
      </c>
      <c r="H102">
        <f>IF($W102="","",IF(INDEX('Per Invoice'!H$2:H$801,$W102)="","",INDEX('Per Invoice'!H$2:H$801,$W102)))</f>
        <v/>
      </c>
      <c r="I102">
        <f>IF($W102="","",IF(INDEX('Per Invoice'!I$2:I$801,$W102)="","",INDEX('Per Invoice'!I$2:I$801,$W102)))</f>
        <v/>
      </c>
      <c r="J102">
        <f>IF($W102="","",IF(INDEX('Per Invoice'!J$2:J$801,$W102)="","",INDEX('Per Invoice'!J$2:J$801,$W102)))</f>
        <v/>
      </c>
      <c r="K102" s="7">
        <f>IF($W102="","",IF(INDEX('Per Invoice'!K$2:K$801,$W102)="","",INDEX('Per Invoice'!K$2:K$801,$W102)))</f>
        <v/>
      </c>
      <c r="L102" s="14">
        <f>IF($W102="","",IF(INDEX('Per Invoice'!L$2:L$801,$W102)="","",INDEX('Per Invoice'!L$2:L$801,$W102)))</f>
        <v/>
      </c>
      <c r="M102">
        <f>IF($W102="","",IF(INDEX('Per Invoice'!M$2:M$801,$W102)="","",INDEX('Per Invoice'!M$2:M$801,$W102)))</f>
        <v/>
      </c>
      <c r="N102" s="7">
        <f>IF($W102="","",IF(INDEX('Per Invoice'!N$2:N$801,$W102)="","",INDEX('Per Invoice'!N$2:N$801,$W102)))</f>
        <v/>
      </c>
      <c r="O102" s="7">
        <f>IF($W102="","",IF(INDEX('Per Invoice'!O$2:O$801,$W102)="","",INDEX('Per Invoice'!O$2:O$801,$W102)))</f>
        <v/>
      </c>
      <c r="P102">
        <f>IF($W102="","",IF(INDEX('Per Invoice'!P$2:P$801,$W102)="","",INDEX('Per Invoice'!P$2:P$801,$W102)))</f>
        <v/>
      </c>
      <c r="Q102" s="7">
        <f>IF($W102="","",IF(INDEX('Per Invoice'!Q$2:Q$801,$W102)="","",INDEX('Per Invoice'!Q$2:Q$801,$W102)))</f>
        <v/>
      </c>
      <c r="R102" s="7">
        <f>IF($W102="","",IF(INDEX('Per Invoice'!R$2:R$801,$W102)="","",INDEX('Per Invoice'!R$2:R$801,$W102)))</f>
        <v/>
      </c>
      <c r="S102" s="7">
        <f>IF($W102="","",IF(INDEX('Per Invoice'!S$2:S$801,$W102)="","",INDEX('Per Invoice'!S$2:S$801,$W102)))</f>
        <v/>
      </c>
      <c r="T102" s="7">
        <f>IF($W102="","",IF(INDEX('Per Invoice'!T$2:T$801,$W102)="","",INDEX('Per Invoice'!T$2:T$801,$W102)))</f>
        <v/>
      </c>
      <c r="U102" s="7">
        <f>IF($W102="","",IF(INDEX('Per Invoice'!U$2:U$801,$W102)="","",INDEX('Per Invoice'!U$2:U$801,$W102)))</f>
        <v/>
      </c>
      <c r="V102" s="7">
        <f>IF($W102="","",IF(INDEX('Per Invoice'!V$2:V$801,$W102)="","",INDEX('Per Invoice'!V$2:V$801,$W102)))</f>
        <v/>
      </c>
      <c r="W102" s="16">
        <f>IFERROR(MATCH(Settings!$C$32&amp;"|"&amp;ROWS($W$2:$W102),'Per Invoice'!$X$2:$X$801,0),"")</f>
        <v/>
      </c>
    </row>
    <row r="103">
      <c r="A103">
        <f>IF($W103="","",IF(INDEX('Per Invoice'!A$2:A$801,$W103)="","",INDEX('Per Invoice'!A$2:A$801,$W103)))</f>
        <v/>
      </c>
      <c r="B103">
        <f>IF($W103="","",IF(INDEX('Per Invoice'!B$2:B$801,$W103)="","",INDEX('Per Invoice'!B$2:B$801,$W103)))</f>
        <v/>
      </c>
      <c r="C103">
        <f>IF($W103="","",IF(INDEX('Per Invoice'!C$2:C$801,$W103)="","",INDEX('Per Invoice'!C$2:C$801,$W103)))</f>
        <v/>
      </c>
      <c r="D103">
        <f>IF($W103="","",IF(INDEX('Per Invoice'!D$2:D$801,$W103)="","",INDEX('Per Invoice'!D$2:D$801,$W103)))</f>
        <v/>
      </c>
      <c r="E103">
        <f>IF($W103="","",IF(INDEX('Per Invoice'!E$2:E$801,$W103)="","",INDEX('Per Invoice'!E$2:E$801,$W103)))</f>
        <v/>
      </c>
      <c r="F103">
        <f>IF($W103="","",IF(INDEX('Per Invoice'!F$2:F$801,$W103)="","",INDEX('Per Invoice'!F$2:F$801,$W103)))</f>
        <v/>
      </c>
      <c r="G103">
        <f>IF($W103="","",IF(INDEX('Per Invoice'!G$2:G$801,$W103)="","",INDEX('Per Invoice'!G$2:G$801,$W103)))</f>
        <v/>
      </c>
      <c r="H103">
        <f>IF($W103="","",IF(INDEX('Per Invoice'!H$2:H$801,$W103)="","",INDEX('Per Invoice'!H$2:H$801,$W103)))</f>
        <v/>
      </c>
      <c r="I103">
        <f>IF($W103="","",IF(INDEX('Per Invoice'!I$2:I$801,$W103)="","",INDEX('Per Invoice'!I$2:I$801,$W103)))</f>
        <v/>
      </c>
      <c r="J103">
        <f>IF($W103="","",IF(INDEX('Per Invoice'!J$2:J$801,$W103)="","",INDEX('Per Invoice'!J$2:J$801,$W103)))</f>
        <v/>
      </c>
      <c r="K103" s="7">
        <f>IF($W103="","",IF(INDEX('Per Invoice'!K$2:K$801,$W103)="","",INDEX('Per Invoice'!K$2:K$801,$W103)))</f>
        <v/>
      </c>
      <c r="L103" s="14">
        <f>IF($W103="","",IF(INDEX('Per Invoice'!L$2:L$801,$W103)="","",INDEX('Per Invoice'!L$2:L$801,$W103)))</f>
        <v/>
      </c>
      <c r="M103">
        <f>IF($W103="","",IF(INDEX('Per Invoice'!M$2:M$801,$W103)="","",INDEX('Per Invoice'!M$2:M$801,$W103)))</f>
        <v/>
      </c>
      <c r="N103" s="7">
        <f>IF($W103="","",IF(INDEX('Per Invoice'!N$2:N$801,$W103)="","",INDEX('Per Invoice'!N$2:N$801,$W103)))</f>
        <v/>
      </c>
      <c r="O103" s="7">
        <f>IF($W103="","",IF(INDEX('Per Invoice'!O$2:O$801,$W103)="","",INDEX('Per Invoice'!O$2:O$801,$W103)))</f>
        <v/>
      </c>
      <c r="P103">
        <f>IF($W103="","",IF(INDEX('Per Invoice'!P$2:P$801,$W103)="","",INDEX('Per Invoice'!P$2:P$801,$W103)))</f>
        <v/>
      </c>
      <c r="Q103" s="7">
        <f>IF($W103="","",IF(INDEX('Per Invoice'!Q$2:Q$801,$W103)="","",INDEX('Per Invoice'!Q$2:Q$801,$W103)))</f>
        <v/>
      </c>
      <c r="R103" s="7">
        <f>IF($W103="","",IF(INDEX('Per Invoice'!R$2:R$801,$W103)="","",INDEX('Per Invoice'!R$2:R$801,$W103)))</f>
        <v/>
      </c>
      <c r="S103" s="7">
        <f>IF($W103="","",IF(INDEX('Per Invoice'!S$2:S$801,$W103)="","",INDEX('Per Invoice'!S$2:S$801,$W103)))</f>
        <v/>
      </c>
      <c r="T103" s="7">
        <f>IF($W103="","",IF(INDEX('Per Invoice'!T$2:T$801,$W103)="","",INDEX('Per Invoice'!T$2:T$801,$W103)))</f>
        <v/>
      </c>
      <c r="U103" s="7">
        <f>IF($W103="","",IF(INDEX('Per Invoice'!U$2:U$801,$W103)="","",INDEX('Per Invoice'!U$2:U$801,$W103)))</f>
        <v/>
      </c>
      <c r="V103" s="7">
        <f>IF($W103="","",IF(INDEX('Per Invoice'!V$2:V$801,$W103)="","",INDEX('Per Invoice'!V$2:V$801,$W103)))</f>
        <v/>
      </c>
      <c r="W103" s="16">
        <f>IFERROR(MATCH(Settings!$C$32&amp;"|"&amp;ROWS($W$2:$W103),'Per Invoice'!$X$2:$X$801,0),"")</f>
        <v/>
      </c>
    </row>
    <row r="104">
      <c r="A104">
        <f>IF($W104="","",IF(INDEX('Per Invoice'!A$2:A$801,$W104)="","",INDEX('Per Invoice'!A$2:A$801,$W104)))</f>
        <v/>
      </c>
      <c r="B104">
        <f>IF($W104="","",IF(INDEX('Per Invoice'!B$2:B$801,$W104)="","",INDEX('Per Invoice'!B$2:B$801,$W104)))</f>
        <v/>
      </c>
      <c r="C104">
        <f>IF($W104="","",IF(INDEX('Per Invoice'!C$2:C$801,$W104)="","",INDEX('Per Invoice'!C$2:C$801,$W104)))</f>
        <v/>
      </c>
      <c r="D104">
        <f>IF($W104="","",IF(INDEX('Per Invoice'!D$2:D$801,$W104)="","",INDEX('Per Invoice'!D$2:D$801,$W104)))</f>
        <v/>
      </c>
      <c r="E104">
        <f>IF($W104="","",IF(INDEX('Per Invoice'!E$2:E$801,$W104)="","",INDEX('Per Invoice'!E$2:E$801,$W104)))</f>
        <v/>
      </c>
      <c r="F104">
        <f>IF($W104="","",IF(INDEX('Per Invoice'!F$2:F$801,$W104)="","",INDEX('Per Invoice'!F$2:F$801,$W104)))</f>
        <v/>
      </c>
      <c r="G104">
        <f>IF($W104="","",IF(INDEX('Per Invoice'!G$2:G$801,$W104)="","",INDEX('Per Invoice'!G$2:G$801,$W104)))</f>
        <v/>
      </c>
      <c r="H104">
        <f>IF($W104="","",IF(INDEX('Per Invoice'!H$2:H$801,$W104)="","",INDEX('Per Invoice'!H$2:H$801,$W104)))</f>
        <v/>
      </c>
      <c r="I104">
        <f>IF($W104="","",IF(INDEX('Per Invoice'!I$2:I$801,$W104)="","",INDEX('Per Invoice'!I$2:I$801,$W104)))</f>
        <v/>
      </c>
      <c r="J104">
        <f>IF($W104="","",IF(INDEX('Per Invoice'!J$2:J$801,$W104)="","",INDEX('Per Invoice'!J$2:J$801,$W104)))</f>
        <v/>
      </c>
      <c r="K104" s="7">
        <f>IF($W104="","",IF(INDEX('Per Invoice'!K$2:K$801,$W104)="","",INDEX('Per Invoice'!K$2:K$801,$W104)))</f>
        <v/>
      </c>
      <c r="L104" s="14">
        <f>IF($W104="","",IF(INDEX('Per Invoice'!L$2:L$801,$W104)="","",INDEX('Per Invoice'!L$2:L$801,$W104)))</f>
        <v/>
      </c>
      <c r="M104">
        <f>IF($W104="","",IF(INDEX('Per Invoice'!M$2:M$801,$W104)="","",INDEX('Per Invoice'!M$2:M$801,$W104)))</f>
        <v/>
      </c>
      <c r="N104" s="7">
        <f>IF($W104="","",IF(INDEX('Per Invoice'!N$2:N$801,$W104)="","",INDEX('Per Invoice'!N$2:N$801,$W104)))</f>
        <v/>
      </c>
      <c r="O104" s="7">
        <f>IF($W104="","",IF(INDEX('Per Invoice'!O$2:O$801,$W104)="","",INDEX('Per Invoice'!O$2:O$801,$W104)))</f>
        <v/>
      </c>
      <c r="P104">
        <f>IF($W104="","",IF(INDEX('Per Invoice'!P$2:P$801,$W104)="","",INDEX('Per Invoice'!P$2:P$801,$W104)))</f>
        <v/>
      </c>
      <c r="Q104" s="7">
        <f>IF($W104="","",IF(INDEX('Per Invoice'!Q$2:Q$801,$W104)="","",INDEX('Per Invoice'!Q$2:Q$801,$W104)))</f>
        <v/>
      </c>
      <c r="R104" s="7">
        <f>IF($W104="","",IF(INDEX('Per Invoice'!R$2:R$801,$W104)="","",INDEX('Per Invoice'!R$2:R$801,$W104)))</f>
        <v/>
      </c>
      <c r="S104" s="7">
        <f>IF($W104="","",IF(INDEX('Per Invoice'!S$2:S$801,$W104)="","",INDEX('Per Invoice'!S$2:S$801,$W104)))</f>
        <v/>
      </c>
      <c r="T104" s="7">
        <f>IF($W104="","",IF(INDEX('Per Invoice'!T$2:T$801,$W104)="","",INDEX('Per Invoice'!T$2:T$801,$W104)))</f>
        <v/>
      </c>
      <c r="U104" s="7">
        <f>IF($W104="","",IF(INDEX('Per Invoice'!U$2:U$801,$W104)="","",INDEX('Per Invoice'!U$2:U$801,$W104)))</f>
        <v/>
      </c>
      <c r="V104" s="7">
        <f>IF($W104="","",IF(INDEX('Per Invoice'!V$2:V$801,$W104)="","",INDEX('Per Invoice'!V$2:V$801,$W104)))</f>
        <v/>
      </c>
      <c r="W104" s="16">
        <f>IFERROR(MATCH(Settings!$C$32&amp;"|"&amp;ROWS($W$2:$W104),'Per Invoice'!$X$2:$X$801,0),"")</f>
        <v/>
      </c>
    </row>
    <row r="105">
      <c r="A105">
        <f>IF($W105="","",IF(INDEX('Per Invoice'!A$2:A$801,$W105)="","",INDEX('Per Invoice'!A$2:A$801,$W105)))</f>
        <v/>
      </c>
      <c r="B105">
        <f>IF($W105="","",IF(INDEX('Per Invoice'!B$2:B$801,$W105)="","",INDEX('Per Invoice'!B$2:B$801,$W105)))</f>
        <v/>
      </c>
      <c r="C105">
        <f>IF($W105="","",IF(INDEX('Per Invoice'!C$2:C$801,$W105)="","",INDEX('Per Invoice'!C$2:C$801,$W105)))</f>
        <v/>
      </c>
      <c r="D105">
        <f>IF($W105="","",IF(INDEX('Per Invoice'!D$2:D$801,$W105)="","",INDEX('Per Invoice'!D$2:D$801,$W105)))</f>
        <v/>
      </c>
      <c r="E105">
        <f>IF($W105="","",IF(INDEX('Per Invoice'!E$2:E$801,$W105)="","",INDEX('Per Invoice'!E$2:E$801,$W105)))</f>
        <v/>
      </c>
      <c r="F105">
        <f>IF($W105="","",IF(INDEX('Per Invoice'!F$2:F$801,$W105)="","",INDEX('Per Invoice'!F$2:F$801,$W105)))</f>
        <v/>
      </c>
      <c r="G105">
        <f>IF($W105="","",IF(INDEX('Per Invoice'!G$2:G$801,$W105)="","",INDEX('Per Invoice'!G$2:G$801,$W105)))</f>
        <v/>
      </c>
      <c r="H105">
        <f>IF($W105="","",IF(INDEX('Per Invoice'!H$2:H$801,$W105)="","",INDEX('Per Invoice'!H$2:H$801,$W105)))</f>
        <v/>
      </c>
      <c r="I105">
        <f>IF($W105="","",IF(INDEX('Per Invoice'!I$2:I$801,$W105)="","",INDEX('Per Invoice'!I$2:I$801,$W105)))</f>
        <v/>
      </c>
      <c r="J105">
        <f>IF($W105="","",IF(INDEX('Per Invoice'!J$2:J$801,$W105)="","",INDEX('Per Invoice'!J$2:J$801,$W105)))</f>
        <v/>
      </c>
      <c r="K105" s="7">
        <f>IF($W105="","",IF(INDEX('Per Invoice'!K$2:K$801,$W105)="","",INDEX('Per Invoice'!K$2:K$801,$W105)))</f>
        <v/>
      </c>
      <c r="L105" s="14">
        <f>IF($W105="","",IF(INDEX('Per Invoice'!L$2:L$801,$W105)="","",INDEX('Per Invoice'!L$2:L$801,$W105)))</f>
        <v/>
      </c>
      <c r="M105">
        <f>IF($W105="","",IF(INDEX('Per Invoice'!M$2:M$801,$W105)="","",INDEX('Per Invoice'!M$2:M$801,$W105)))</f>
        <v/>
      </c>
      <c r="N105" s="7">
        <f>IF($W105="","",IF(INDEX('Per Invoice'!N$2:N$801,$W105)="","",INDEX('Per Invoice'!N$2:N$801,$W105)))</f>
        <v/>
      </c>
      <c r="O105" s="7">
        <f>IF($W105="","",IF(INDEX('Per Invoice'!O$2:O$801,$W105)="","",INDEX('Per Invoice'!O$2:O$801,$W105)))</f>
        <v/>
      </c>
      <c r="P105">
        <f>IF($W105="","",IF(INDEX('Per Invoice'!P$2:P$801,$W105)="","",INDEX('Per Invoice'!P$2:P$801,$W105)))</f>
        <v/>
      </c>
      <c r="Q105" s="7">
        <f>IF($W105="","",IF(INDEX('Per Invoice'!Q$2:Q$801,$W105)="","",INDEX('Per Invoice'!Q$2:Q$801,$W105)))</f>
        <v/>
      </c>
      <c r="R105" s="7">
        <f>IF($W105="","",IF(INDEX('Per Invoice'!R$2:R$801,$W105)="","",INDEX('Per Invoice'!R$2:R$801,$W105)))</f>
        <v/>
      </c>
      <c r="S105" s="7">
        <f>IF($W105="","",IF(INDEX('Per Invoice'!S$2:S$801,$W105)="","",INDEX('Per Invoice'!S$2:S$801,$W105)))</f>
        <v/>
      </c>
      <c r="T105" s="7">
        <f>IF($W105="","",IF(INDEX('Per Invoice'!T$2:T$801,$W105)="","",INDEX('Per Invoice'!T$2:T$801,$W105)))</f>
        <v/>
      </c>
      <c r="U105" s="7">
        <f>IF($W105="","",IF(INDEX('Per Invoice'!U$2:U$801,$W105)="","",INDEX('Per Invoice'!U$2:U$801,$W105)))</f>
        <v/>
      </c>
      <c r="V105" s="7">
        <f>IF($W105="","",IF(INDEX('Per Invoice'!V$2:V$801,$W105)="","",INDEX('Per Invoice'!V$2:V$801,$W105)))</f>
        <v/>
      </c>
      <c r="W105" s="16">
        <f>IFERROR(MATCH(Settings!$C$32&amp;"|"&amp;ROWS($W$2:$W105),'Per Invoice'!$X$2:$X$801,0),"")</f>
        <v/>
      </c>
    </row>
    <row r="106">
      <c r="A106">
        <f>IF($W106="","",IF(INDEX('Per Invoice'!A$2:A$801,$W106)="","",INDEX('Per Invoice'!A$2:A$801,$W106)))</f>
        <v/>
      </c>
      <c r="B106">
        <f>IF($W106="","",IF(INDEX('Per Invoice'!B$2:B$801,$W106)="","",INDEX('Per Invoice'!B$2:B$801,$W106)))</f>
        <v/>
      </c>
      <c r="C106">
        <f>IF($W106="","",IF(INDEX('Per Invoice'!C$2:C$801,$W106)="","",INDEX('Per Invoice'!C$2:C$801,$W106)))</f>
        <v/>
      </c>
      <c r="D106">
        <f>IF($W106="","",IF(INDEX('Per Invoice'!D$2:D$801,$W106)="","",INDEX('Per Invoice'!D$2:D$801,$W106)))</f>
        <v/>
      </c>
      <c r="E106">
        <f>IF($W106="","",IF(INDEX('Per Invoice'!E$2:E$801,$W106)="","",INDEX('Per Invoice'!E$2:E$801,$W106)))</f>
        <v/>
      </c>
      <c r="F106">
        <f>IF($W106="","",IF(INDEX('Per Invoice'!F$2:F$801,$W106)="","",INDEX('Per Invoice'!F$2:F$801,$W106)))</f>
        <v/>
      </c>
      <c r="G106">
        <f>IF($W106="","",IF(INDEX('Per Invoice'!G$2:G$801,$W106)="","",INDEX('Per Invoice'!G$2:G$801,$W106)))</f>
        <v/>
      </c>
      <c r="H106">
        <f>IF($W106="","",IF(INDEX('Per Invoice'!H$2:H$801,$W106)="","",INDEX('Per Invoice'!H$2:H$801,$W106)))</f>
        <v/>
      </c>
      <c r="I106">
        <f>IF($W106="","",IF(INDEX('Per Invoice'!I$2:I$801,$W106)="","",INDEX('Per Invoice'!I$2:I$801,$W106)))</f>
        <v/>
      </c>
      <c r="J106">
        <f>IF($W106="","",IF(INDEX('Per Invoice'!J$2:J$801,$W106)="","",INDEX('Per Invoice'!J$2:J$801,$W106)))</f>
        <v/>
      </c>
      <c r="K106" s="7">
        <f>IF($W106="","",IF(INDEX('Per Invoice'!K$2:K$801,$W106)="","",INDEX('Per Invoice'!K$2:K$801,$W106)))</f>
        <v/>
      </c>
      <c r="L106" s="14">
        <f>IF($W106="","",IF(INDEX('Per Invoice'!L$2:L$801,$W106)="","",INDEX('Per Invoice'!L$2:L$801,$W106)))</f>
        <v/>
      </c>
      <c r="M106">
        <f>IF($W106="","",IF(INDEX('Per Invoice'!M$2:M$801,$W106)="","",INDEX('Per Invoice'!M$2:M$801,$W106)))</f>
        <v/>
      </c>
      <c r="N106" s="7">
        <f>IF($W106="","",IF(INDEX('Per Invoice'!N$2:N$801,$W106)="","",INDEX('Per Invoice'!N$2:N$801,$W106)))</f>
        <v/>
      </c>
      <c r="O106" s="7">
        <f>IF($W106="","",IF(INDEX('Per Invoice'!O$2:O$801,$W106)="","",INDEX('Per Invoice'!O$2:O$801,$W106)))</f>
        <v/>
      </c>
      <c r="P106">
        <f>IF($W106="","",IF(INDEX('Per Invoice'!P$2:P$801,$W106)="","",INDEX('Per Invoice'!P$2:P$801,$W106)))</f>
        <v/>
      </c>
      <c r="Q106" s="7">
        <f>IF($W106="","",IF(INDEX('Per Invoice'!Q$2:Q$801,$W106)="","",INDEX('Per Invoice'!Q$2:Q$801,$W106)))</f>
        <v/>
      </c>
      <c r="R106" s="7">
        <f>IF($W106="","",IF(INDEX('Per Invoice'!R$2:R$801,$W106)="","",INDEX('Per Invoice'!R$2:R$801,$W106)))</f>
        <v/>
      </c>
      <c r="S106" s="7">
        <f>IF($W106="","",IF(INDEX('Per Invoice'!S$2:S$801,$W106)="","",INDEX('Per Invoice'!S$2:S$801,$W106)))</f>
        <v/>
      </c>
      <c r="T106" s="7">
        <f>IF($W106="","",IF(INDEX('Per Invoice'!T$2:T$801,$W106)="","",INDEX('Per Invoice'!T$2:T$801,$W106)))</f>
        <v/>
      </c>
      <c r="U106" s="7">
        <f>IF($W106="","",IF(INDEX('Per Invoice'!U$2:U$801,$W106)="","",INDEX('Per Invoice'!U$2:U$801,$W106)))</f>
        <v/>
      </c>
      <c r="V106" s="7">
        <f>IF($W106="","",IF(INDEX('Per Invoice'!V$2:V$801,$W106)="","",INDEX('Per Invoice'!V$2:V$801,$W106)))</f>
        <v/>
      </c>
      <c r="W106" s="16">
        <f>IFERROR(MATCH(Settings!$C$32&amp;"|"&amp;ROWS($W$2:$W106),'Per Invoice'!$X$2:$X$801,0),"")</f>
        <v/>
      </c>
    </row>
    <row r="107">
      <c r="A107">
        <f>IF($W107="","",IF(INDEX('Per Invoice'!A$2:A$801,$W107)="","",INDEX('Per Invoice'!A$2:A$801,$W107)))</f>
        <v/>
      </c>
      <c r="B107">
        <f>IF($W107="","",IF(INDEX('Per Invoice'!B$2:B$801,$W107)="","",INDEX('Per Invoice'!B$2:B$801,$W107)))</f>
        <v/>
      </c>
      <c r="C107">
        <f>IF($W107="","",IF(INDEX('Per Invoice'!C$2:C$801,$W107)="","",INDEX('Per Invoice'!C$2:C$801,$W107)))</f>
        <v/>
      </c>
      <c r="D107">
        <f>IF($W107="","",IF(INDEX('Per Invoice'!D$2:D$801,$W107)="","",INDEX('Per Invoice'!D$2:D$801,$W107)))</f>
        <v/>
      </c>
      <c r="E107">
        <f>IF($W107="","",IF(INDEX('Per Invoice'!E$2:E$801,$W107)="","",INDEX('Per Invoice'!E$2:E$801,$W107)))</f>
        <v/>
      </c>
      <c r="F107">
        <f>IF($W107="","",IF(INDEX('Per Invoice'!F$2:F$801,$W107)="","",INDEX('Per Invoice'!F$2:F$801,$W107)))</f>
        <v/>
      </c>
      <c r="G107">
        <f>IF($W107="","",IF(INDEX('Per Invoice'!G$2:G$801,$W107)="","",INDEX('Per Invoice'!G$2:G$801,$W107)))</f>
        <v/>
      </c>
      <c r="H107">
        <f>IF($W107="","",IF(INDEX('Per Invoice'!H$2:H$801,$W107)="","",INDEX('Per Invoice'!H$2:H$801,$W107)))</f>
        <v/>
      </c>
      <c r="I107">
        <f>IF($W107="","",IF(INDEX('Per Invoice'!I$2:I$801,$W107)="","",INDEX('Per Invoice'!I$2:I$801,$W107)))</f>
        <v/>
      </c>
      <c r="J107">
        <f>IF($W107="","",IF(INDEX('Per Invoice'!J$2:J$801,$W107)="","",INDEX('Per Invoice'!J$2:J$801,$W107)))</f>
        <v/>
      </c>
      <c r="K107" s="7">
        <f>IF($W107="","",IF(INDEX('Per Invoice'!K$2:K$801,$W107)="","",INDEX('Per Invoice'!K$2:K$801,$W107)))</f>
        <v/>
      </c>
      <c r="L107" s="14">
        <f>IF($W107="","",IF(INDEX('Per Invoice'!L$2:L$801,$W107)="","",INDEX('Per Invoice'!L$2:L$801,$W107)))</f>
        <v/>
      </c>
      <c r="M107">
        <f>IF($W107="","",IF(INDEX('Per Invoice'!M$2:M$801,$W107)="","",INDEX('Per Invoice'!M$2:M$801,$W107)))</f>
        <v/>
      </c>
      <c r="N107" s="7">
        <f>IF($W107="","",IF(INDEX('Per Invoice'!N$2:N$801,$W107)="","",INDEX('Per Invoice'!N$2:N$801,$W107)))</f>
        <v/>
      </c>
      <c r="O107" s="7">
        <f>IF($W107="","",IF(INDEX('Per Invoice'!O$2:O$801,$W107)="","",INDEX('Per Invoice'!O$2:O$801,$W107)))</f>
        <v/>
      </c>
      <c r="P107">
        <f>IF($W107="","",IF(INDEX('Per Invoice'!P$2:P$801,$W107)="","",INDEX('Per Invoice'!P$2:P$801,$W107)))</f>
        <v/>
      </c>
      <c r="Q107" s="7">
        <f>IF($W107="","",IF(INDEX('Per Invoice'!Q$2:Q$801,$W107)="","",INDEX('Per Invoice'!Q$2:Q$801,$W107)))</f>
        <v/>
      </c>
      <c r="R107" s="7">
        <f>IF($W107="","",IF(INDEX('Per Invoice'!R$2:R$801,$W107)="","",INDEX('Per Invoice'!R$2:R$801,$W107)))</f>
        <v/>
      </c>
      <c r="S107" s="7">
        <f>IF($W107="","",IF(INDEX('Per Invoice'!S$2:S$801,$W107)="","",INDEX('Per Invoice'!S$2:S$801,$W107)))</f>
        <v/>
      </c>
      <c r="T107" s="7">
        <f>IF($W107="","",IF(INDEX('Per Invoice'!T$2:T$801,$W107)="","",INDEX('Per Invoice'!T$2:T$801,$W107)))</f>
        <v/>
      </c>
      <c r="U107" s="7">
        <f>IF($W107="","",IF(INDEX('Per Invoice'!U$2:U$801,$W107)="","",INDEX('Per Invoice'!U$2:U$801,$W107)))</f>
        <v/>
      </c>
      <c r="V107" s="7">
        <f>IF($W107="","",IF(INDEX('Per Invoice'!V$2:V$801,$W107)="","",INDEX('Per Invoice'!V$2:V$801,$W107)))</f>
        <v/>
      </c>
      <c r="W107" s="16">
        <f>IFERROR(MATCH(Settings!$C$32&amp;"|"&amp;ROWS($W$2:$W107),'Per Invoice'!$X$2:$X$801,0),"")</f>
        <v/>
      </c>
    </row>
    <row r="108">
      <c r="A108">
        <f>IF($W108="","",IF(INDEX('Per Invoice'!A$2:A$801,$W108)="","",INDEX('Per Invoice'!A$2:A$801,$W108)))</f>
        <v/>
      </c>
      <c r="B108">
        <f>IF($W108="","",IF(INDEX('Per Invoice'!B$2:B$801,$W108)="","",INDEX('Per Invoice'!B$2:B$801,$W108)))</f>
        <v/>
      </c>
      <c r="C108">
        <f>IF($W108="","",IF(INDEX('Per Invoice'!C$2:C$801,$W108)="","",INDEX('Per Invoice'!C$2:C$801,$W108)))</f>
        <v/>
      </c>
      <c r="D108">
        <f>IF($W108="","",IF(INDEX('Per Invoice'!D$2:D$801,$W108)="","",INDEX('Per Invoice'!D$2:D$801,$W108)))</f>
        <v/>
      </c>
      <c r="E108">
        <f>IF($W108="","",IF(INDEX('Per Invoice'!E$2:E$801,$W108)="","",INDEX('Per Invoice'!E$2:E$801,$W108)))</f>
        <v/>
      </c>
      <c r="F108">
        <f>IF($W108="","",IF(INDEX('Per Invoice'!F$2:F$801,$W108)="","",INDEX('Per Invoice'!F$2:F$801,$W108)))</f>
        <v/>
      </c>
      <c r="G108">
        <f>IF($W108="","",IF(INDEX('Per Invoice'!G$2:G$801,$W108)="","",INDEX('Per Invoice'!G$2:G$801,$W108)))</f>
        <v/>
      </c>
      <c r="H108">
        <f>IF($W108="","",IF(INDEX('Per Invoice'!H$2:H$801,$W108)="","",INDEX('Per Invoice'!H$2:H$801,$W108)))</f>
        <v/>
      </c>
      <c r="I108">
        <f>IF($W108="","",IF(INDEX('Per Invoice'!I$2:I$801,$W108)="","",INDEX('Per Invoice'!I$2:I$801,$W108)))</f>
        <v/>
      </c>
      <c r="J108">
        <f>IF($W108="","",IF(INDEX('Per Invoice'!J$2:J$801,$W108)="","",INDEX('Per Invoice'!J$2:J$801,$W108)))</f>
        <v/>
      </c>
      <c r="K108" s="7">
        <f>IF($W108="","",IF(INDEX('Per Invoice'!K$2:K$801,$W108)="","",INDEX('Per Invoice'!K$2:K$801,$W108)))</f>
        <v/>
      </c>
      <c r="L108" s="14">
        <f>IF($W108="","",IF(INDEX('Per Invoice'!L$2:L$801,$W108)="","",INDEX('Per Invoice'!L$2:L$801,$W108)))</f>
        <v/>
      </c>
      <c r="M108">
        <f>IF($W108="","",IF(INDEX('Per Invoice'!M$2:M$801,$W108)="","",INDEX('Per Invoice'!M$2:M$801,$W108)))</f>
        <v/>
      </c>
      <c r="N108" s="7">
        <f>IF($W108="","",IF(INDEX('Per Invoice'!N$2:N$801,$W108)="","",INDEX('Per Invoice'!N$2:N$801,$W108)))</f>
        <v/>
      </c>
      <c r="O108" s="7">
        <f>IF($W108="","",IF(INDEX('Per Invoice'!O$2:O$801,$W108)="","",INDEX('Per Invoice'!O$2:O$801,$W108)))</f>
        <v/>
      </c>
      <c r="P108">
        <f>IF($W108="","",IF(INDEX('Per Invoice'!P$2:P$801,$W108)="","",INDEX('Per Invoice'!P$2:P$801,$W108)))</f>
        <v/>
      </c>
      <c r="Q108" s="7">
        <f>IF($W108="","",IF(INDEX('Per Invoice'!Q$2:Q$801,$W108)="","",INDEX('Per Invoice'!Q$2:Q$801,$W108)))</f>
        <v/>
      </c>
      <c r="R108" s="7">
        <f>IF($W108="","",IF(INDEX('Per Invoice'!R$2:R$801,$W108)="","",INDEX('Per Invoice'!R$2:R$801,$W108)))</f>
        <v/>
      </c>
      <c r="S108" s="7">
        <f>IF($W108="","",IF(INDEX('Per Invoice'!S$2:S$801,$W108)="","",INDEX('Per Invoice'!S$2:S$801,$W108)))</f>
        <v/>
      </c>
      <c r="T108" s="7">
        <f>IF($W108="","",IF(INDEX('Per Invoice'!T$2:T$801,$W108)="","",INDEX('Per Invoice'!T$2:T$801,$W108)))</f>
        <v/>
      </c>
      <c r="U108" s="7">
        <f>IF($W108="","",IF(INDEX('Per Invoice'!U$2:U$801,$W108)="","",INDEX('Per Invoice'!U$2:U$801,$W108)))</f>
        <v/>
      </c>
      <c r="V108" s="7">
        <f>IF($W108="","",IF(INDEX('Per Invoice'!V$2:V$801,$W108)="","",INDEX('Per Invoice'!V$2:V$801,$W108)))</f>
        <v/>
      </c>
      <c r="W108" s="16">
        <f>IFERROR(MATCH(Settings!$C$32&amp;"|"&amp;ROWS($W$2:$W108),'Per Invoice'!$X$2:$X$801,0),"")</f>
        <v/>
      </c>
    </row>
    <row r="109">
      <c r="A109">
        <f>IF($W109="","",IF(INDEX('Per Invoice'!A$2:A$801,$W109)="","",INDEX('Per Invoice'!A$2:A$801,$W109)))</f>
        <v/>
      </c>
      <c r="B109">
        <f>IF($W109="","",IF(INDEX('Per Invoice'!B$2:B$801,$W109)="","",INDEX('Per Invoice'!B$2:B$801,$W109)))</f>
        <v/>
      </c>
      <c r="C109">
        <f>IF($W109="","",IF(INDEX('Per Invoice'!C$2:C$801,$W109)="","",INDEX('Per Invoice'!C$2:C$801,$W109)))</f>
        <v/>
      </c>
      <c r="D109">
        <f>IF($W109="","",IF(INDEX('Per Invoice'!D$2:D$801,$W109)="","",INDEX('Per Invoice'!D$2:D$801,$W109)))</f>
        <v/>
      </c>
      <c r="E109">
        <f>IF($W109="","",IF(INDEX('Per Invoice'!E$2:E$801,$W109)="","",INDEX('Per Invoice'!E$2:E$801,$W109)))</f>
        <v/>
      </c>
      <c r="F109">
        <f>IF($W109="","",IF(INDEX('Per Invoice'!F$2:F$801,$W109)="","",INDEX('Per Invoice'!F$2:F$801,$W109)))</f>
        <v/>
      </c>
      <c r="G109">
        <f>IF($W109="","",IF(INDEX('Per Invoice'!G$2:G$801,$W109)="","",INDEX('Per Invoice'!G$2:G$801,$W109)))</f>
        <v/>
      </c>
      <c r="H109">
        <f>IF($W109="","",IF(INDEX('Per Invoice'!H$2:H$801,$W109)="","",INDEX('Per Invoice'!H$2:H$801,$W109)))</f>
        <v/>
      </c>
      <c r="I109">
        <f>IF($W109="","",IF(INDEX('Per Invoice'!I$2:I$801,$W109)="","",INDEX('Per Invoice'!I$2:I$801,$W109)))</f>
        <v/>
      </c>
      <c r="J109">
        <f>IF($W109="","",IF(INDEX('Per Invoice'!J$2:J$801,$W109)="","",INDEX('Per Invoice'!J$2:J$801,$W109)))</f>
        <v/>
      </c>
      <c r="K109" s="7">
        <f>IF($W109="","",IF(INDEX('Per Invoice'!K$2:K$801,$W109)="","",INDEX('Per Invoice'!K$2:K$801,$W109)))</f>
        <v/>
      </c>
      <c r="L109" s="14">
        <f>IF($W109="","",IF(INDEX('Per Invoice'!L$2:L$801,$W109)="","",INDEX('Per Invoice'!L$2:L$801,$W109)))</f>
        <v/>
      </c>
      <c r="M109">
        <f>IF($W109="","",IF(INDEX('Per Invoice'!M$2:M$801,$W109)="","",INDEX('Per Invoice'!M$2:M$801,$W109)))</f>
        <v/>
      </c>
      <c r="N109" s="7">
        <f>IF($W109="","",IF(INDEX('Per Invoice'!N$2:N$801,$W109)="","",INDEX('Per Invoice'!N$2:N$801,$W109)))</f>
        <v/>
      </c>
      <c r="O109" s="7">
        <f>IF($W109="","",IF(INDEX('Per Invoice'!O$2:O$801,$W109)="","",INDEX('Per Invoice'!O$2:O$801,$W109)))</f>
        <v/>
      </c>
      <c r="P109">
        <f>IF($W109="","",IF(INDEX('Per Invoice'!P$2:P$801,$W109)="","",INDEX('Per Invoice'!P$2:P$801,$W109)))</f>
        <v/>
      </c>
      <c r="Q109" s="7">
        <f>IF($W109="","",IF(INDEX('Per Invoice'!Q$2:Q$801,$W109)="","",INDEX('Per Invoice'!Q$2:Q$801,$W109)))</f>
        <v/>
      </c>
      <c r="R109" s="7">
        <f>IF($W109="","",IF(INDEX('Per Invoice'!R$2:R$801,$W109)="","",INDEX('Per Invoice'!R$2:R$801,$W109)))</f>
        <v/>
      </c>
      <c r="S109" s="7">
        <f>IF($W109="","",IF(INDEX('Per Invoice'!S$2:S$801,$W109)="","",INDEX('Per Invoice'!S$2:S$801,$W109)))</f>
        <v/>
      </c>
      <c r="T109" s="7">
        <f>IF($W109="","",IF(INDEX('Per Invoice'!T$2:T$801,$W109)="","",INDEX('Per Invoice'!T$2:T$801,$W109)))</f>
        <v/>
      </c>
      <c r="U109" s="7">
        <f>IF($W109="","",IF(INDEX('Per Invoice'!U$2:U$801,$W109)="","",INDEX('Per Invoice'!U$2:U$801,$W109)))</f>
        <v/>
      </c>
      <c r="V109" s="7">
        <f>IF($W109="","",IF(INDEX('Per Invoice'!V$2:V$801,$W109)="","",INDEX('Per Invoice'!V$2:V$801,$W109)))</f>
        <v/>
      </c>
      <c r="W109" s="16">
        <f>IFERROR(MATCH(Settings!$C$32&amp;"|"&amp;ROWS($W$2:$W109),'Per Invoice'!$X$2:$X$801,0),"")</f>
        <v/>
      </c>
    </row>
    <row r="110">
      <c r="A110">
        <f>IF($W110="","",IF(INDEX('Per Invoice'!A$2:A$801,$W110)="","",INDEX('Per Invoice'!A$2:A$801,$W110)))</f>
        <v/>
      </c>
      <c r="B110">
        <f>IF($W110="","",IF(INDEX('Per Invoice'!B$2:B$801,$W110)="","",INDEX('Per Invoice'!B$2:B$801,$W110)))</f>
        <v/>
      </c>
      <c r="C110">
        <f>IF($W110="","",IF(INDEX('Per Invoice'!C$2:C$801,$W110)="","",INDEX('Per Invoice'!C$2:C$801,$W110)))</f>
        <v/>
      </c>
      <c r="D110">
        <f>IF($W110="","",IF(INDEX('Per Invoice'!D$2:D$801,$W110)="","",INDEX('Per Invoice'!D$2:D$801,$W110)))</f>
        <v/>
      </c>
      <c r="E110">
        <f>IF($W110="","",IF(INDEX('Per Invoice'!E$2:E$801,$W110)="","",INDEX('Per Invoice'!E$2:E$801,$W110)))</f>
        <v/>
      </c>
      <c r="F110">
        <f>IF($W110="","",IF(INDEX('Per Invoice'!F$2:F$801,$W110)="","",INDEX('Per Invoice'!F$2:F$801,$W110)))</f>
        <v/>
      </c>
      <c r="G110">
        <f>IF($W110="","",IF(INDEX('Per Invoice'!G$2:G$801,$W110)="","",INDEX('Per Invoice'!G$2:G$801,$W110)))</f>
        <v/>
      </c>
      <c r="H110">
        <f>IF($W110="","",IF(INDEX('Per Invoice'!H$2:H$801,$W110)="","",INDEX('Per Invoice'!H$2:H$801,$W110)))</f>
        <v/>
      </c>
      <c r="I110">
        <f>IF($W110="","",IF(INDEX('Per Invoice'!I$2:I$801,$W110)="","",INDEX('Per Invoice'!I$2:I$801,$W110)))</f>
        <v/>
      </c>
      <c r="J110">
        <f>IF($W110="","",IF(INDEX('Per Invoice'!J$2:J$801,$W110)="","",INDEX('Per Invoice'!J$2:J$801,$W110)))</f>
        <v/>
      </c>
      <c r="K110" s="7">
        <f>IF($W110="","",IF(INDEX('Per Invoice'!K$2:K$801,$W110)="","",INDEX('Per Invoice'!K$2:K$801,$W110)))</f>
        <v/>
      </c>
      <c r="L110" s="14">
        <f>IF($W110="","",IF(INDEX('Per Invoice'!L$2:L$801,$W110)="","",INDEX('Per Invoice'!L$2:L$801,$W110)))</f>
        <v/>
      </c>
      <c r="M110">
        <f>IF($W110="","",IF(INDEX('Per Invoice'!M$2:M$801,$W110)="","",INDEX('Per Invoice'!M$2:M$801,$W110)))</f>
        <v/>
      </c>
      <c r="N110" s="7">
        <f>IF($W110="","",IF(INDEX('Per Invoice'!N$2:N$801,$W110)="","",INDEX('Per Invoice'!N$2:N$801,$W110)))</f>
        <v/>
      </c>
      <c r="O110" s="7">
        <f>IF($W110="","",IF(INDEX('Per Invoice'!O$2:O$801,$W110)="","",INDEX('Per Invoice'!O$2:O$801,$W110)))</f>
        <v/>
      </c>
      <c r="P110">
        <f>IF($W110="","",IF(INDEX('Per Invoice'!P$2:P$801,$W110)="","",INDEX('Per Invoice'!P$2:P$801,$W110)))</f>
        <v/>
      </c>
      <c r="Q110" s="7">
        <f>IF($W110="","",IF(INDEX('Per Invoice'!Q$2:Q$801,$W110)="","",INDEX('Per Invoice'!Q$2:Q$801,$W110)))</f>
        <v/>
      </c>
      <c r="R110" s="7">
        <f>IF($W110="","",IF(INDEX('Per Invoice'!R$2:R$801,$W110)="","",INDEX('Per Invoice'!R$2:R$801,$W110)))</f>
        <v/>
      </c>
      <c r="S110" s="7">
        <f>IF($W110="","",IF(INDEX('Per Invoice'!S$2:S$801,$W110)="","",INDEX('Per Invoice'!S$2:S$801,$W110)))</f>
        <v/>
      </c>
      <c r="T110" s="7">
        <f>IF($W110="","",IF(INDEX('Per Invoice'!T$2:T$801,$W110)="","",INDEX('Per Invoice'!T$2:T$801,$W110)))</f>
        <v/>
      </c>
      <c r="U110" s="7">
        <f>IF($W110="","",IF(INDEX('Per Invoice'!U$2:U$801,$W110)="","",INDEX('Per Invoice'!U$2:U$801,$W110)))</f>
        <v/>
      </c>
      <c r="V110" s="7">
        <f>IF($W110="","",IF(INDEX('Per Invoice'!V$2:V$801,$W110)="","",INDEX('Per Invoice'!V$2:V$801,$W110)))</f>
        <v/>
      </c>
      <c r="W110" s="16">
        <f>IFERROR(MATCH(Settings!$C$32&amp;"|"&amp;ROWS($W$2:$W110),'Per Invoice'!$X$2:$X$801,0),"")</f>
        <v/>
      </c>
    </row>
    <row r="111">
      <c r="A111">
        <f>IF($W111="","",IF(INDEX('Per Invoice'!A$2:A$801,$W111)="","",INDEX('Per Invoice'!A$2:A$801,$W111)))</f>
        <v/>
      </c>
      <c r="B111">
        <f>IF($W111="","",IF(INDEX('Per Invoice'!B$2:B$801,$W111)="","",INDEX('Per Invoice'!B$2:B$801,$W111)))</f>
        <v/>
      </c>
      <c r="C111">
        <f>IF($W111="","",IF(INDEX('Per Invoice'!C$2:C$801,$W111)="","",INDEX('Per Invoice'!C$2:C$801,$W111)))</f>
        <v/>
      </c>
      <c r="D111">
        <f>IF($W111="","",IF(INDEX('Per Invoice'!D$2:D$801,$W111)="","",INDEX('Per Invoice'!D$2:D$801,$W111)))</f>
        <v/>
      </c>
      <c r="E111">
        <f>IF($W111="","",IF(INDEX('Per Invoice'!E$2:E$801,$W111)="","",INDEX('Per Invoice'!E$2:E$801,$W111)))</f>
        <v/>
      </c>
      <c r="F111">
        <f>IF($W111="","",IF(INDEX('Per Invoice'!F$2:F$801,$W111)="","",INDEX('Per Invoice'!F$2:F$801,$W111)))</f>
        <v/>
      </c>
      <c r="G111">
        <f>IF($W111="","",IF(INDEX('Per Invoice'!G$2:G$801,$W111)="","",INDEX('Per Invoice'!G$2:G$801,$W111)))</f>
        <v/>
      </c>
      <c r="H111">
        <f>IF($W111="","",IF(INDEX('Per Invoice'!H$2:H$801,$W111)="","",INDEX('Per Invoice'!H$2:H$801,$W111)))</f>
        <v/>
      </c>
      <c r="I111">
        <f>IF($W111="","",IF(INDEX('Per Invoice'!I$2:I$801,$W111)="","",INDEX('Per Invoice'!I$2:I$801,$W111)))</f>
        <v/>
      </c>
      <c r="J111">
        <f>IF($W111="","",IF(INDEX('Per Invoice'!J$2:J$801,$W111)="","",INDEX('Per Invoice'!J$2:J$801,$W111)))</f>
        <v/>
      </c>
      <c r="K111" s="7">
        <f>IF($W111="","",IF(INDEX('Per Invoice'!K$2:K$801,$W111)="","",INDEX('Per Invoice'!K$2:K$801,$W111)))</f>
        <v/>
      </c>
      <c r="L111" s="14">
        <f>IF($W111="","",IF(INDEX('Per Invoice'!L$2:L$801,$W111)="","",INDEX('Per Invoice'!L$2:L$801,$W111)))</f>
        <v/>
      </c>
      <c r="M111">
        <f>IF($W111="","",IF(INDEX('Per Invoice'!M$2:M$801,$W111)="","",INDEX('Per Invoice'!M$2:M$801,$W111)))</f>
        <v/>
      </c>
      <c r="N111" s="7">
        <f>IF($W111="","",IF(INDEX('Per Invoice'!N$2:N$801,$W111)="","",INDEX('Per Invoice'!N$2:N$801,$W111)))</f>
        <v/>
      </c>
      <c r="O111" s="7">
        <f>IF($W111="","",IF(INDEX('Per Invoice'!O$2:O$801,$W111)="","",INDEX('Per Invoice'!O$2:O$801,$W111)))</f>
        <v/>
      </c>
      <c r="P111">
        <f>IF($W111="","",IF(INDEX('Per Invoice'!P$2:P$801,$W111)="","",INDEX('Per Invoice'!P$2:P$801,$W111)))</f>
        <v/>
      </c>
      <c r="Q111" s="7">
        <f>IF($W111="","",IF(INDEX('Per Invoice'!Q$2:Q$801,$W111)="","",INDEX('Per Invoice'!Q$2:Q$801,$W111)))</f>
        <v/>
      </c>
      <c r="R111" s="7">
        <f>IF($W111="","",IF(INDEX('Per Invoice'!R$2:R$801,$W111)="","",INDEX('Per Invoice'!R$2:R$801,$W111)))</f>
        <v/>
      </c>
      <c r="S111" s="7">
        <f>IF($W111="","",IF(INDEX('Per Invoice'!S$2:S$801,$W111)="","",INDEX('Per Invoice'!S$2:S$801,$W111)))</f>
        <v/>
      </c>
      <c r="T111" s="7">
        <f>IF($W111="","",IF(INDEX('Per Invoice'!T$2:T$801,$W111)="","",INDEX('Per Invoice'!T$2:T$801,$W111)))</f>
        <v/>
      </c>
      <c r="U111" s="7">
        <f>IF($W111="","",IF(INDEX('Per Invoice'!U$2:U$801,$W111)="","",INDEX('Per Invoice'!U$2:U$801,$W111)))</f>
        <v/>
      </c>
      <c r="V111" s="7">
        <f>IF($W111="","",IF(INDEX('Per Invoice'!V$2:V$801,$W111)="","",INDEX('Per Invoice'!V$2:V$801,$W111)))</f>
        <v/>
      </c>
      <c r="W111" s="16">
        <f>IFERROR(MATCH(Settings!$C$32&amp;"|"&amp;ROWS($W$2:$W111),'Per Invoice'!$X$2:$X$801,0),"")</f>
        <v/>
      </c>
    </row>
    <row r="112">
      <c r="A112">
        <f>IF($W112="","",IF(INDEX('Per Invoice'!A$2:A$801,$W112)="","",INDEX('Per Invoice'!A$2:A$801,$W112)))</f>
        <v/>
      </c>
      <c r="B112">
        <f>IF($W112="","",IF(INDEX('Per Invoice'!B$2:B$801,$W112)="","",INDEX('Per Invoice'!B$2:B$801,$W112)))</f>
        <v/>
      </c>
      <c r="C112">
        <f>IF($W112="","",IF(INDEX('Per Invoice'!C$2:C$801,$W112)="","",INDEX('Per Invoice'!C$2:C$801,$W112)))</f>
        <v/>
      </c>
      <c r="D112">
        <f>IF($W112="","",IF(INDEX('Per Invoice'!D$2:D$801,$W112)="","",INDEX('Per Invoice'!D$2:D$801,$W112)))</f>
        <v/>
      </c>
      <c r="E112">
        <f>IF($W112="","",IF(INDEX('Per Invoice'!E$2:E$801,$W112)="","",INDEX('Per Invoice'!E$2:E$801,$W112)))</f>
        <v/>
      </c>
      <c r="F112">
        <f>IF($W112="","",IF(INDEX('Per Invoice'!F$2:F$801,$W112)="","",INDEX('Per Invoice'!F$2:F$801,$W112)))</f>
        <v/>
      </c>
      <c r="G112">
        <f>IF($W112="","",IF(INDEX('Per Invoice'!G$2:G$801,$W112)="","",INDEX('Per Invoice'!G$2:G$801,$W112)))</f>
        <v/>
      </c>
      <c r="H112">
        <f>IF($W112="","",IF(INDEX('Per Invoice'!H$2:H$801,$W112)="","",INDEX('Per Invoice'!H$2:H$801,$W112)))</f>
        <v/>
      </c>
      <c r="I112">
        <f>IF($W112="","",IF(INDEX('Per Invoice'!I$2:I$801,$W112)="","",INDEX('Per Invoice'!I$2:I$801,$W112)))</f>
        <v/>
      </c>
      <c r="J112">
        <f>IF($W112="","",IF(INDEX('Per Invoice'!J$2:J$801,$W112)="","",INDEX('Per Invoice'!J$2:J$801,$W112)))</f>
        <v/>
      </c>
      <c r="K112" s="7">
        <f>IF($W112="","",IF(INDEX('Per Invoice'!K$2:K$801,$W112)="","",INDEX('Per Invoice'!K$2:K$801,$W112)))</f>
        <v/>
      </c>
      <c r="L112" s="14">
        <f>IF($W112="","",IF(INDEX('Per Invoice'!L$2:L$801,$W112)="","",INDEX('Per Invoice'!L$2:L$801,$W112)))</f>
        <v/>
      </c>
      <c r="M112">
        <f>IF($W112="","",IF(INDEX('Per Invoice'!M$2:M$801,$W112)="","",INDEX('Per Invoice'!M$2:M$801,$W112)))</f>
        <v/>
      </c>
      <c r="N112" s="7">
        <f>IF($W112="","",IF(INDEX('Per Invoice'!N$2:N$801,$W112)="","",INDEX('Per Invoice'!N$2:N$801,$W112)))</f>
        <v/>
      </c>
      <c r="O112" s="7">
        <f>IF($W112="","",IF(INDEX('Per Invoice'!O$2:O$801,$W112)="","",INDEX('Per Invoice'!O$2:O$801,$W112)))</f>
        <v/>
      </c>
      <c r="P112">
        <f>IF($W112="","",IF(INDEX('Per Invoice'!P$2:P$801,$W112)="","",INDEX('Per Invoice'!P$2:P$801,$W112)))</f>
        <v/>
      </c>
      <c r="Q112" s="7">
        <f>IF($W112="","",IF(INDEX('Per Invoice'!Q$2:Q$801,$W112)="","",INDEX('Per Invoice'!Q$2:Q$801,$W112)))</f>
        <v/>
      </c>
      <c r="R112" s="7">
        <f>IF($W112="","",IF(INDEX('Per Invoice'!R$2:R$801,$W112)="","",INDEX('Per Invoice'!R$2:R$801,$W112)))</f>
        <v/>
      </c>
      <c r="S112" s="7">
        <f>IF($W112="","",IF(INDEX('Per Invoice'!S$2:S$801,$W112)="","",INDEX('Per Invoice'!S$2:S$801,$W112)))</f>
        <v/>
      </c>
      <c r="T112" s="7">
        <f>IF($W112="","",IF(INDEX('Per Invoice'!T$2:T$801,$W112)="","",INDEX('Per Invoice'!T$2:T$801,$W112)))</f>
        <v/>
      </c>
      <c r="U112" s="7">
        <f>IF($W112="","",IF(INDEX('Per Invoice'!U$2:U$801,$W112)="","",INDEX('Per Invoice'!U$2:U$801,$W112)))</f>
        <v/>
      </c>
      <c r="V112" s="7">
        <f>IF($W112="","",IF(INDEX('Per Invoice'!V$2:V$801,$W112)="","",INDEX('Per Invoice'!V$2:V$801,$W112)))</f>
        <v/>
      </c>
      <c r="W112" s="16">
        <f>IFERROR(MATCH(Settings!$C$32&amp;"|"&amp;ROWS($W$2:$W112),'Per Invoice'!$X$2:$X$801,0),"")</f>
        <v/>
      </c>
    </row>
    <row r="113">
      <c r="A113">
        <f>IF($W113="","",IF(INDEX('Per Invoice'!A$2:A$801,$W113)="","",INDEX('Per Invoice'!A$2:A$801,$W113)))</f>
        <v/>
      </c>
      <c r="B113">
        <f>IF($W113="","",IF(INDEX('Per Invoice'!B$2:B$801,$W113)="","",INDEX('Per Invoice'!B$2:B$801,$W113)))</f>
        <v/>
      </c>
      <c r="C113">
        <f>IF($W113="","",IF(INDEX('Per Invoice'!C$2:C$801,$W113)="","",INDEX('Per Invoice'!C$2:C$801,$W113)))</f>
        <v/>
      </c>
      <c r="D113">
        <f>IF($W113="","",IF(INDEX('Per Invoice'!D$2:D$801,$W113)="","",INDEX('Per Invoice'!D$2:D$801,$W113)))</f>
        <v/>
      </c>
      <c r="E113">
        <f>IF($W113="","",IF(INDEX('Per Invoice'!E$2:E$801,$W113)="","",INDEX('Per Invoice'!E$2:E$801,$W113)))</f>
        <v/>
      </c>
      <c r="F113">
        <f>IF($W113="","",IF(INDEX('Per Invoice'!F$2:F$801,$W113)="","",INDEX('Per Invoice'!F$2:F$801,$W113)))</f>
        <v/>
      </c>
      <c r="G113">
        <f>IF($W113="","",IF(INDEX('Per Invoice'!G$2:G$801,$W113)="","",INDEX('Per Invoice'!G$2:G$801,$W113)))</f>
        <v/>
      </c>
      <c r="H113">
        <f>IF($W113="","",IF(INDEX('Per Invoice'!H$2:H$801,$W113)="","",INDEX('Per Invoice'!H$2:H$801,$W113)))</f>
        <v/>
      </c>
      <c r="I113">
        <f>IF($W113="","",IF(INDEX('Per Invoice'!I$2:I$801,$W113)="","",INDEX('Per Invoice'!I$2:I$801,$W113)))</f>
        <v/>
      </c>
      <c r="J113">
        <f>IF($W113="","",IF(INDEX('Per Invoice'!J$2:J$801,$W113)="","",INDEX('Per Invoice'!J$2:J$801,$W113)))</f>
        <v/>
      </c>
      <c r="K113" s="7">
        <f>IF($W113="","",IF(INDEX('Per Invoice'!K$2:K$801,$W113)="","",INDEX('Per Invoice'!K$2:K$801,$W113)))</f>
        <v/>
      </c>
      <c r="L113" s="14">
        <f>IF($W113="","",IF(INDEX('Per Invoice'!L$2:L$801,$W113)="","",INDEX('Per Invoice'!L$2:L$801,$W113)))</f>
        <v/>
      </c>
      <c r="M113">
        <f>IF($W113="","",IF(INDEX('Per Invoice'!M$2:M$801,$W113)="","",INDEX('Per Invoice'!M$2:M$801,$W113)))</f>
        <v/>
      </c>
      <c r="N113" s="7">
        <f>IF($W113="","",IF(INDEX('Per Invoice'!N$2:N$801,$W113)="","",INDEX('Per Invoice'!N$2:N$801,$W113)))</f>
        <v/>
      </c>
      <c r="O113" s="7">
        <f>IF($W113="","",IF(INDEX('Per Invoice'!O$2:O$801,$W113)="","",INDEX('Per Invoice'!O$2:O$801,$W113)))</f>
        <v/>
      </c>
      <c r="P113">
        <f>IF($W113="","",IF(INDEX('Per Invoice'!P$2:P$801,$W113)="","",INDEX('Per Invoice'!P$2:P$801,$W113)))</f>
        <v/>
      </c>
      <c r="Q113" s="7">
        <f>IF($W113="","",IF(INDEX('Per Invoice'!Q$2:Q$801,$W113)="","",INDEX('Per Invoice'!Q$2:Q$801,$W113)))</f>
        <v/>
      </c>
      <c r="R113" s="7">
        <f>IF($W113="","",IF(INDEX('Per Invoice'!R$2:R$801,$W113)="","",INDEX('Per Invoice'!R$2:R$801,$W113)))</f>
        <v/>
      </c>
      <c r="S113" s="7">
        <f>IF($W113="","",IF(INDEX('Per Invoice'!S$2:S$801,$W113)="","",INDEX('Per Invoice'!S$2:S$801,$W113)))</f>
        <v/>
      </c>
      <c r="T113" s="7">
        <f>IF($W113="","",IF(INDEX('Per Invoice'!T$2:T$801,$W113)="","",INDEX('Per Invoice'!T$2:T$801,$W113)))</f>
        <v/>
      </c>
      <c r="U113" s="7">
        <f>IF($W113="","",IF(INDEX('Per Invoice'!U$2:U$801,$W113)="","",INDEX('Per Invoice'!U$2:U$801,$W113)))</f>
        <v/>
      </c>
      <c r="V113" s="7">
        <f>IF($W113="","",IF(INDEX('Per Invoice'!V$2:V$801,$W113)="","",INDEX('Per Invoice'!V$2:V$801,$W113)))</f>
        <v/>
      </c>
      <c r="W113" s="16">
        <f>IFERROR(MATCH(Settings!$C$32&amp;"|"&amp;ROWS($W$2:$W113),'Per Invoice'!$X$2:$X$801,0),"")</f>
        <v/>
      </c>
    </row>
    <row r="114">
      <c r="A114">
        <f>IF($W114="","",IF(INDEX('Per Invoice'!A$2:A$801,$W114)="","",INDEX('Per Invoice'!A$2:A$801,$W114)))</f>
        <v/>
      </c>
      <c r="B114">
        <f>IF($W114="","",IF(INDEX('Per Invoice'!B$2:B$801,$W114)="","",INDEX('Per Invoice'!B$2:B$801,$W114)))</f>
        <v/>
      </c>
      <c r="C114">
        <f>IF($W114="","",IF(INDEX('Per Invoice'!C$2:C$801,$W114)="","",INDEX('Per Invoice'!C$2:C$801,$W114)))</f>
        <v/>
      </c>
      <c r="D114">
        <f>IF($W114="","",IF(INDEX('Per Invoice'!D$2:D$801,$W114)="","",INDEX('Per Invoice'!D$2:D$801,$W114)))</f>
        <v/>
      </c>
      <c r="E114">
        <f>IF($W114="","",IF(INDEX('Per Invoice'!E$2:E$801,$W114)="","",INDEX('Per Invoice'!E$2:E$801,$W114)))</f>
        <v/>
      </c>
      <c r="F114">
        <f>IF($W114="","",IF(INDEX('Per Invoice'!F$2:F$801,$W114)="","",INDEX('Per Invoice'!F$2:F$801,$W114)))</f>
        <v/>
      </c>
      <c r="G114">
        <f>IF($W114="","",IF(INDEX('Per Invoice'!G$2:G$801,$W114)="","",INDEX('Per Invoice'!G$2:G$801,$W114)))</f>
        <v/>
      </c>
      <c r="H114">
        <f>IF($W114="","",IF(INDEX('Per Invoice'!H$2:H$801,$W114)="","",INDEX('Per Invoice'!H$2:H$801,$W114)))</f>
        <v/>
      </c>
      <c r="I114">
        <f>IF($W114="","",IF(INDEX('Per Invoice'!I$2:I$801,$W114)="","",INDEX('Per Invoice'!I$2:I$801,$W114)))</f>
        <v/>
      </c>
      <c r="J114">
        <f>IF($W114="","",IF(INDEX('Per Invoice'!J$2:J$801,$W114)="","",INDEX('Per Invoice'!J$2:J$801,$W114)))</f>
        <v/>
      </c>
      <c r="K114" s="7">
        <f>IF($W114="","",IF(INDEX('Per Invoice'!K$2:K$801,$W114)="","",INDEX('Per Invoice'!K$2:K$801,$W114)))</f>
        <v/>
      </c>
      <c r="L114" s="14">
        <f>IF($W114="","",IF(INDEX('Per Invoice'!L$2:L$801,$W114)="","",INDEX('Per Invoice'!L$2:L$801,$W114)))</f>
        <v/>
      </c>
      <c r="M114">
        <f>IF($W114="","",IF(INDEX('Per Invoice'!M$2:M$801,$W114)="","",INDEX('Per Invoice'!M$2:M$801,$W114)))</f>
        <v/>
      </c>
      <c r="N114" s="7">
        <f>IF($W114="","",IF(INDEX('Per Invoice'!N$2:N$801,$W114)="","",INDEX('Per Invoice'!N$2:N$801,$W114)))</f>
        <v/>
      </c>
      <c r="O114" s="7">
        <f>IF($W114="","",IF(INDEX('Per Invoice'!O$2:O$801,$W114)="","",INDEX('Per Invoice'!O$2:O$801,$W114)))</f>
        <v/>
      </c>
      <c r="P114">
        <f>IF($W114="","",IF(INDEX('Per Invoice'!P$2:P$801,$W114)="","",INDEX('Per Invoice'!P$2:P$801,$W114)))</f>
        <v/>
      </c>
      <c r="Q114" s="7">
        <f>IF($W114="","",IF(INDEX('Per Invoice'!Q$2:Q$801,$W114)="","",INDEX('Per Invoice'!Q$2:Q$801,$W114)))</f>
        <v/>
      </c>
      <c r="R114" s="7">
        <f>IF($W114="","",IF(INDEX('Per Invoice'!R$2:R$801,$W114)="","",INDEX('Per Invoice'!R$2:R$801,$W114)))</f>
        <v/>
      </c>
      <c r="S114" s="7">
        <f>IF($W114="","",IF(INDEX('Per Invoice'!S$2:S$801,$W114)="","",INDEX('Per Invoice'!S$2:S$801,$W114)))</f>
        <v/>
      </c>
      <c r="T114" s="7">
        <f>IF($W114="","",IF(INDEX('Per Invoice'!T$2:T$801,$W114)="","",INDEX('Per Invoice'!T$2:T$801,$W114)))</f>
        <v/>
      </c>
      <c r="U114" s="7">
        <f>IF($W114="","",IF(INDEX('Per Invoice'!U$2:U$801,$W114)="","",INDEX('Per Invoice'!U$2:U$801,$W114)))</f>
        <v/>
      </c>
      <c r="V114" s="7">
        <f>IF($W114="","",IF(INDEX('Per Invoice'!V$2:V$801,$W114)="","",INDEX('Per Invoice'!V$2:V$801,$W114)))</f>
        <v/>
      </c>
      <c r="W114" s="16">
        <f>IFERROR(MATCH(Settings!$C$32&amp;"|"&amp;ROWS($W$2:$W114),'Per Invoice'!$X$2:$X$801,0),"")</f>
        <v/>
      </c>
    </row>
    <row r="115">
      <c r="A115">
        <f>IF($W115="","",IF(INDEX('Per Invoice'!A$2:A$801,$W115)="","",INDEX('Per Invoice'!A$2:A$801,$W115)))</f>
        <v/>
      </c>
      <c r="B115">
        <f>IF($W115="","",IF(INDEX('Per Invoice'!B$2:B$801,$W115)="","",INDEX('Per Invoice'!B$2:B$801,$W115)))</f>
        <v/>
      </c>
      <c r="C115">
        <f>IF($W115="","",IF(INDEX('Per Invoice'!C$2:C$801,$W115)="","",INDEX('Per Invoice'!C$2:C$801,$W115)))</f>
        <v/>
      </c>
      <c r="D115">
        <f>IF($W115="","",IF(INDEX('Per Invoice'!D$2:D$801,$W115)="","",INDEX('Per Invoice'!D$2:D$801,$W115)))</f>
        <v/>
      </c>
      <c r="E115">
        <f>IF($W115="","",IF(INDEX('Per Invoice'!E$2:E$801,$W115)="","",INDEX('Per Invoice'!E$2:E$801,$W115)))</f>
        <v/>
      </c>
      <c r="F115">
        <f>IF($W115="","",IF(INDEX('Per Invoice'!F$2:F$801,$W115)="","",INDEX('Per Invoice'!F$2:F$801,$W115)))</f>
        <v/>
      </c>
      <c r="G115">
        <f>IF($W115="","",IF(INDEX('Per Invoice'!G$2:G$801,$W115)="","",INDEX('Per Invoice'!G$2:G$801,$W115)))</f>
        <v/>
      </c>
      <c r="H115">
        <f>IF($W115="","",IF(INDEX('Per Invoice'!H$2:H$801,$W115)="","",INDEX('Per Invoice'!H$2:H$801,$W115)))</f>
        <v/>
      </c>
      <c r="I115">
        <f>IF($W115="","",IF(INDEX('Per Invoice'!I$2:I$801,$W115)="","",INDEX('Per Invoice'!I$2:I$801,$W115)))</f>
        <v/>
      </c>
      <c r="J115">
        <f>IF($W115="","",IF(INDEX('Per Invoice'!J$2:J$801,$W115)="","",INDEX('Per Invoice'!J$2:J$801,$W115)))</f>
        <v/>
      </c>
      <c r="K115" s="7">
        <f>IF($W115="","",IF(INDEX('Per Invoice'!K$2:K$801,$W115)="","",INDEX('Per Invoice'!K$2:K$801,$W115)))</f>
        <v/>
      </c>
      <c r="L115" s="14">
        <f>IF($W115="","",IF(INDEX('Per Invoice'!L$2:L$801,$W115)="","",INDEX('Per Invoice'!L$2:L$801,$W115)))</f>
        <v/>
      </c>
      <c r="M115">
        <f>IF($W115="","",IF(INDEX('Per Invoice'!M$2:M$801,$W115)="","",INDEX('Per Invoice'!M$2:M$801,$W115)))</f>
        <v/>
      </c>
      <c r="N115" s="7">
        <f>IF($W115="","",IF(INDEX('Per Invoice'!N$2:N$801,$W115)="","",INDEX('Per Invoice'!N$2:N$801,$W115)))</f>
        <v/>
      </c>
      <c r="O115" s="7">
        <f>IF($W115="","",IF(INDEX('Per Invoice'!O$2:O$801,$W115)="","",INDEX('Per Invoice'!O$2:O$801,$W115)))</f>
        <v/>
      </c>
      <c r="P115">
        <f>IF($W115="","",IF(INDEX('Per Invoice'!P$2:P$801,$W115)="","",INDEX('Per Invoice'!P$2:P$801,$W115)))</f>
        <v/>
      </c>
      <c r="Q115" s="7">
        <f>IF($W115="","",IF(INDEX('Per Invoice'!Q$2:Q$801,$W115)="","",INDEX('Per Invoice'!Q$2:Q$801,$W115)))</f>
        <v/>
      </c>
      <c r="R115" s="7">
        <f>IF($W115="","",IF(INDEX('Per Invoice'!R$2:R$801,$W115)="","",INDEX('Per Invoice'!R$2:R$801,$W115)))</f>
        <v/>
      </c>
      <c r="S115" s="7">
        <f>IF($W115="","",IF(INDEX('Per Invoice'!S$2:S$801,$W115)="","",INDEX('Per Invoice'!S$2:S$801,$W115)))</f>
        <v/>
      </c>
      <c r="T115" s="7">
        <f>IF($W115="","",IF(INDEX('Per Invoice'!T$2:T$801,$W115)="","",INDEX('Per Invoice'!T$2:T$801,$W115)))</f>
        <v/>
      </c>
      <c r="U115" s="7">
        <f>IF($W115="","",IF(INDEX('Per Invoice'!U$2:U$801,$W115)="","",INDEX('Per Invoice'!U$2:U$801,$W115)))</f>
        <v/>
      </c>
      <c r="V115" s="7">
        <f>IF($W115="","",IF(INDEX('Per Invoice'!V$2:V$801,$W115)="","",INDEX('Per Invoice'!V$2:V$801,$W115)))</f>
        <v/>
      </c>
      <c r="W115" s="16">
        <f>IFERROR(MATCH(Settings!$C$32&amp;"|"&amp;ROWS($W$2:$W115),'Per Invoice'!$X$2:$X$801,0),"")</f>
        <v/>
      </c>
    </row>
    <row r="116">
      <c r="A116">
        <f>IF($W116="","",IF(INDEX('Per Invoice'!A$2:A$801,$W116)="","",INDEX('Per Invoice'!A$2:A$801,$W116)))</f>
        <v/>
      </c>
      <c r="B116">
        <f>IF($W116="","",IF(INDEX('Per Invoice'!B$2:B$801,$W116)="","",INDEX('Per Invoice'!B$2:B$801,$W116)))</f>
        <v/>
      </c>
      <c r="C116">
        <f>IF($W116="","",IF(INDEX('Per Invoice'!C$2:C$801,$W116)="","",INDEX('Per Invoice'!C$2:C$801,$W116)))</f>
        <v/>
      </c>
      <c r="D116">
        <f>IF($W116="","",IF(INDEX('Per Invoice'!D$2:D$801,$W116)="","",INDEX('Per Invoice'!D$2:D$801,$W116)))</f>
        <v/>
      </c>
      <c r="E116">
        <f>IF($W116="","",IF(INDEX('Per Invoice'!E$2:E$801,$W116)="","",INDEX('Per Invoice'!E$2:E$801,$W116)))</f>
        <v/>
      </c>
      <c r="F116">
        <f>IF($W116="","",IF(INDEX('Per Invoice'!F$2:F$801,$W116)="","",INDEX('Per Invoice'!F$2:F$801,$W116)))</f>
        <v/>
      </c>
      <c r="G116">
        <f>IF($W116="","",IF(INDEX('Per Invoice'!G$2:G$801,$W116)="","",INDEX('Per Invoice'!G$2:G$801,$W116)))</f>
        <v/>
      </c>
      <c r="H116">
        <f>IF($W116="","",IF(INDEX('Per Invoice'!H$2:H$801,$W116)="","",INDEX('Per Invoice'!H$2:H$801,$W116)))</f>
        <v/>
      </c>
      <c r="I116">
        <f>IF($W116="","",IF(INDEX('Per Invoice'!I$2:I$801,$W116)="","",INDEX('Per Invoice'!I$2:I$801,$W116)))</f>
        <v/>
      </c>
      <c r="J116">
        <f>IF($W116="","",IF(INDEX('Per Invoice'!J$2:J$801,$W116)="","",INDEX('Per Invoice'!J$2:J$801,$W116)))</f>
        <v/>
      </c>
      <c r="K116" s="7">
        <f>IF($W116="","",IF(INDEX('Per Invoice'!K$2:K$801,$W116)="","",INDEX('Per Invoice'!K$2:K$801,$W116)))</f>
        <v/>
      </c>
      <c r="L116" s="14">
        <f>IF($W116="","",IF(INDEX('Per Invoice'!L$2:L$801,$W116)="","",INDEX('Per Invoice'!L$2:L$801,$W116)))</f>
        <v/>
      </c>
      <c r="M116">
        <f>IF($W116="","",IF(INDEX('Per Invoice'!M$2:M$801,$W116)="","",INDEX('Per Invoice'!M$2:M$801,$W116)))</f>
        <v/>
      </c>
      <c r="N116" s="7">
        <f>IF($W116="","",IF(INDEX('Per Invoice'!N$2:N$801,$W116)="","",INDEX('Per Invoice'!N$2:N$801,$W116)))</f>
        <v/>
      </c>
      <c r="O116" s="7">
        <f>IF($W116="","",IF(INDEX('Per Invoice'!O$2:O$801,$W116)="","",INDEX('Per Invoice'!O$2:O$801,$W116)))</f>
        <v/>
      </c>
      <c r="P116">
        <f>IF($W116="","",IF(INDEX('Per Invoice'!P$2:P$801,$W116)="","",INDEX('Per Invoice'!P$2:P$801,$W116)))</f>
        <v/>
      </c>
      <c r="Q116" s="7">
        <f>IF($W116="","",IF(INDEX('Per Invoice'!Q$2:Q$801,$W116)="","",INDEX('Per Invoice'!Q$2:Q$801,$W116)))</f>
        <v/>
      </c>
      <c r="R116" s="7">
        <f>IF($W116="","",IF(INDEX('Per Invoice'!R$2:R$801,$W116)="","",INDEX('Per Invoice'!R$2:R$801,$W116)))</f>
        <v/>
      </c>
      <c r="S116" s="7">
        <f>IF($W116="","",IF(INDEX('Per Invoice'!S$2:S$801,$W116)="","",INDEX('Per Invoice'!S$2:S$801,$W116)))</f>
        <v/>
      </c>
      <c r="T116" s="7">
        <f>IF($W116="","",IF(INDEX('Per Invoice'!T$2:T$801,$W116)="","",INDEX('Per Invoice'!T$2:T$801,$W116)))</f>
        <v/>
      </c>
      <c r="U116" s="7">
        <f>IF($W116="","",IF(INDEX('Per Invoice'!U$2:U$801,$W116)="","",INDEX('Per Invoice'!U$2:U$801,$W116)))</f>
        <v/>
      </c>
      <c r="V116" s="7">
        <f>IF($W116="","",IF(INDEX('Per Invoice'!V$2:V$801,$W116)="","",INDEX('Per Invoice'!V$2:V$801,$W116)))</f>
        <v/>
      </c>
      <c r="W116" s="16">
        <f>IFERROR(MATCH(Settings!$C$32&amp;"|"&amp;ROWS($W$2:$W116),'Per Invoice'!$X$2:$X$801,0),"")</f>
        <v/>
      </c>
    </row>
    <row r="117">
      <c r="A117">
        <f>IF($W117="","",IF(INDEX('Per Invoice'!A$2:A$801,$W117)="","",INDEX('Per Invoice'!A$2:A$801,$W117)))</f>
        <v/>
      </c>
      <c r="B117">
        <f>IF($W117="","",IF(INDEX('Per Invoice'!B$2:B$801,$W117)="","",INDEX('Per Invoice'!B$2:B$801,$W117)))</f>
        <v/>
      </c>
      <c r="C117">
        <f>IF($W117="","",IF(INDEX('Per Invoice'!C$2:C$801,$W117)="","",INDEX('Per Invoice'!C$2:C$801,$W117)))</f>
        <v/>
      </c>
      <c r="D117">
        <f>IF($W117="","",IF(INDEX('Per Invoice'!D$2:D$801,$W117)="","",INDEX('Per Invoice'!D$2:D$801,$W117)))</f>
        <v/>
      </c>
      <c r="E117">
        <f>IF($W117="","",IF(INDEX('Per Invoice'!E$2:E$801,$W117)="","",INDEX('Per Invoice'!E$2:E$801,$W117)))</f>
        <v/>
      </c>
      <c r="F117">
        <f>IF($W117="","",IF(INDEX('Per Invoice'!F$2:F$801,$W117)="","",INDEX('Per Invoice'!F$2:F$801,$W117)))</f>
        <v/>
      </c>
      <c r="G117">
        <f>IF($W117="","",IF(INDEX('Per Invoice'!G$2:G$801,$W117)="","",INDEX('Per Invoice'!G$2:G$801,$W117)))</f>
        <v/>
      </c>
      <c r="H117">
        <f>IF($W117="","",IF(INDEX('Per Invoice'!H$2:H$801,$W117)="","",INDEX('Per Invoice'!H$2:H$801,$W117)))</f>
        <v/>
      </c>
      <c r="I117">
        <f>IF($W117="","",IF(INDEX('Per Invoice'!I$2:I$801,$W117)="","",INDEX('Per Invoice'!I$2:I$801,$W117)))</f>
        <v/>
      </c>
      <c r="J117">
        <f>IF($W117="","",IF(INDEX('Per Invoice'!J$2:J$801,$W117)="","",INDEX('Per Invoice'!J$2:J$801,$W117)))</f>
        <v/>
      </c>
      <c r="K117" s="7">
        <f>IF($W117="","",IF(INDEX('Per Invoice'!K$2:K$801,$W117)="","",INDEX('Per Invoice'!K$2:K$801,$W117)))</f>
        <v/>
      </c>
      <c r="L117" s="14">
        <f>IF($W117="","",IF(INDEX('Per Invoice'!L$2:L$801,$W117)="","",INDEX('Per Invoice'!L$2:L$801,$W117)))</f>
        <v/>
      </c>
      <c r="M117">
        <f>IF($W117="","",IF(INDEX('Per Invoice'!M$2:M$801,$W117)="","",INDEX('Per Invoice'!M$2:M$801,$W117)))</f>
        <v/>
      </c>
      <c r="N117" s="7">
        <f>IF($W117="","",IF(INDEX('Per Invoice'!N$2:N$801,$W117)="","",INDEX('Per Invoice'!N$2:N$801,$W117)))</f>
        <v/>
      </c>
      <c r="O117" s="7">
        <f>IF($W117="","",IF(INDEX('Per Invoice'!O$2:O$801,$W117)="","",INDEX('Per Invoice'!O$2:O$801,$W117)))</f>
        <v/>
      </c>
      <c r="P117">
        <f>IF($W117="","",IF(INDEX('Per Invoice'!P$2:P$801,$W117)="","",INDEX('Per Invoice'!P$2:P$801,$W117)))</f>
        <v/>
      </c>
      <c r="Q117" s="7">
        <f>IF($W117="","",IF(INDEX('Per Invoice'!Q$2:Q$801,$W117)="","",INDEX('Per Invoice'!Q$2:Q$801,$W117)))</f>
        <v/>
      </c>
      <c r="R117" s="7">
        <f>IF($W117="","",IF(INDEX('Per Invoice'!R$2:R$801,$W117)="","",INDEX('Per Invoice'!R$2:R$801,$W117)))</f>
        <v/>
      </c>
      <c r="S117" s="7">
        <f>IF($W117="","",IF(INDEX('Per Invoice'!S$2:S$801,$W117)="","",INDEX('Per Invoice'!S$2:S$801,$W117)))</f>
        <v/>
      </c>
      <c r="T117" s="7">
        <f>IF($W117="","",IF(INDEX('Per Invoice'!T$2:T$801,$W117)="","",INDEX('Per Invoice'!T$2:T$801,$W117)))</f>
        <v/>
      </c>
      <c r="U117" s="7">
        <f>IF($W117="","",IF(INDEX('Per Invoice'!U$2:U$801,$W117)="","",INDEX('Per Invoice'!U$2:U$801,$W117)))</f>
        <v/>
      </c>
      <c r="V117" s="7">
        <f>IF($W117="","",IF(INDEX('Per Invoice'!V$2:V$801,$W117)="","",INDEX('Per Invoice'!V$2:V$801,$W117)))</f>
        <v/>
      </c>
      <c r="W117" s="16">
        <f>IFERROR(MATCH(Settings!$C$32&amp;"|"&amp;ROWS($W$2:$W117),'Per Invoice'!$X$2:$X$801,0),"")</f>
        <v/>
      </c>
    </row>
    <row r="118">
      <c r="A118">
        <f>IF($W118="","",IF(INDEX('Per Invoice'!A$2:A$801,$W118)="","",INDEX('Per Invoice'!A$2:A$801,$W118)))</f>
        <v/>
      </c>
      <c r="B118">
        <f>IF($W118="","",IF(INDEX('Per Invoice'!B$2:B$801,$W118)="","",INDEX('Per Invoice'!B$2:B$801,$W118)))</f>
        <v/>
      </c>
      <c r="C118">
        <f>IF($W118="","",IF(INDEX('Per Invoice'!C$2:C$801,$W118)="","",INDEX('Per Invoice'!C$2:C$801,$W118)))</f>
        <v/>
      </c>
      <c r="D118">
        <f>IF($W118="","",IF(INDEX('Per Invoice'!D$2:D$801,$W118)="","",INDEX('Per Invoice'!D$2:D$801,$W118)))</f>
        <v/>
      </c>
      <c r="E118">
        <f>IF($W118="","",IF(INDEX('Per Invoice'!E$2:E$801,$W118)="","",INDEX('Per Invoice'!E$2:E$801,$W118)))</f>
        <v/>
      </c>
      <c r="F118">
        <f>IF($W118="","",IF(INDEX('Per Invoice'!F$2:F$801,$W118)="","",INDEX('Per Invoice'!F$2:F$801,$W118)))</f>
        <v/>
      </c>
      <c r="G118">
        <f>IF($W118="","",IF(INDEX('Per Invoice'!G$2:G$801,$W118)="","",INDEX('Per Invoice'!G$2:G$801,$W118)))</f>
        <v/>
      </c>
      <c r="H118">
        <f>IF($W118="","",IF(INDEX('Per Invoice'!H$2:H$801,$W118)="","",INDEX('Per Invoice'!H$2:H$801,$W118)))</f>
        <v/>
      </c>
      <c r="I118">
        <f>IF($W118="","",IF(INDEX('Per Invoice'!I$2:I$801,$W118)="","",INDEX('Per Invoice'!I$2:I$801,$W118)))</f>
        <v/>
      </c>
      <c r="J118">
        <f>IF($W118="","",IF(INDEX('Per Invoice'!J$2:J$801,$W118)="","",INDEX('Per Invoice'!J$2:J$801,$W118)))</f>
        <v/>
      </c>
      <c r="K118" s="7">
        <f>IF($W118="","",IF(INDEX('Per Invoice'!K$2:K$801,$W118)="","",INDEX('Per Invoice'!K$2:K$801,$W118)))</f>
        <v/>
      </c>
      <c r="L118" s="14">
        <f>IF($W118="","",IF(INDEX('Per Invoice'!L$2:L$801,$W118)="","",INDEX('Per Invoice'!L$2:L$801,$W118)))</f>
        <v/>
      </c>
      <c r="M118">
        <f>IF($W118="","",IF(INDEX('Per Invoice'!M$2:M$801,$W118)="","",INDEX('Per Invoice'!M$2:M$801,$W118)))</f>
        <v/>
      </c>
      <c r="N118" s="7">
        <f>IF($W118="","",IF(INDEX('Per Invoice'!N$2:N$801,$W118)="","",INDEX('Per Invoice'!N$2:N$801,$W118)))</f>
        <v/>
      </c>
      <c r="O118" s="7">
        <f>IF($W118="","",IF(INDEX('Per Invoice'!O$2:O$801,$W118)="","",INDEX('Per Invoice'!O$2:O$801,$W118)))</f>
        <v/>
      </c>
      <c r="P118">
        <f>IF($W118="","",IF(INDEX('Per Invoice'!P$2:P$801,$W118)="","",INDEX('Per Invoice'!P$2:P$801,$W118)))</f>
        <v/>
      </c>
      <c r="Q118" s="7">
        <f>IF($W118="","",IF(INDEX('Per Invoice'!Q$2:Q$801,$W118)="","",INDEX('Per Invoice'!Q$2:Q$801,$W118)))</f>
        <v/>
      </c>
      <c r="R118" s="7">
        <f>IF($W118="","",IF(INDEX('Per Invoice'!R$2:R$801,$W118)="","",INDEX('Per Invoice'!R$2:R$801,$W118)))</f>
        <v/>
      </c>
      <c r="S118" s="7">
        <f>IF($W118="","",IF(INDEX('Per Invoice'!S$2:S$801,$W118)="","",INDEX('Per Invoice'!S$2:S$801,$W118)))</f>
        <v/>
      </c>
      <c r="T118" s="7">
        <f>IF($W118="","",IF(INDEX('Per Invoice'!T$2:T$801,$W118)="","",INDEX('Per Invoice'!T$2:T$801,$W118)))</f>
        <v/>
      </c>
      <c r="U118" s="7">
        <f>IF($W118="","",IF(INDEX('Per Invoice'!U$2:U$801,$W118)="","",INDEX('Per Invoice'!U$2:U$801,$W118)))</f>
        <v/>
      </c>
      <c r="V118" s="7">
        <f>IF($W118="","",IF(INDEX('Per Invoice'!V$2:V$801,$W118)="","",INDEX('Per Invoice'!V$2:V$801,$W118)))</f>
        <v/>
      </c>
      <c r="W118" s="16">
        <f>IFERROR(MATCH(Settings!$C$32&amp;"|"&amp;ROWS($W$2:$W118),'Per Invoice'!$X$2:$X$801,0),"")</f>
        <v/>
      </c>
    </row>
    <row r="119">
      <c r="A119">
        <f>IF($W119="","",IF(INDEX('Per Invoice'!A$2:A$801,$W119)="","",INDEX('Per Invoice'!A$2:A$801,$W119)))</f>
        <v/>
      </c>
      <c r="B119">
        <f>IF($W119="","",IF(INDEX('Per Invoice'!B$2:B$801,$W119)="","",INDEX('Per Invoice'!B$2:B$801,$W119)))</f>
        <v/>
      </c>
      <c r="C119">
        <f>IF($W119="","",IF(INDEX('Per Invoice'!C$2:C$801,$W119)="","",INDEX('Per Invoice'!C$2:C$801,$W119)))</f>
        <v/>
      </c>
      <c r="D119">
        <f>IF($W119="","",IF(INDEX('Per Invoice'!D$2:D$801,$W119)="","",INDEX('Per Invoice'!D$2:D$801,$W119)))</f>
        <v/>
      </c>
      <c r="E119">
        <f>IF($W119="","",IF(INDEX('Per Invoice'!E$2:E$801,$W119)="","",INDEX('Per Invoice'!E$2:E$801,$W119)))</f>
        <v/>
      </c>
      <c r="F119">
        <f>IF($W119="","",IF(INDEX('Per Invoice'!F$2:F$801,$W119)="","",INDEX('Per Invoice'!F$2:F$801,$W119)))</f>
        <v/>
      </c>
      <c r="G119">
        <f>IF($W119="","",IF(INDEX('Per Invoice'!G$2:G$801,$W119)="","",INDEX('Per Invoice'!G$2:G$801,$W119)))</f>
        <v/>
      </c>
      <c r="H119">
        <f>IF($W119="","",IF(INDEX('Per Invoice'!H$2:H$801,$W119)="","",INDEX('Per Invoice'!H$2:H$801,$W119)))</f>
        <v/>
      </c>
      <c r="I119">
        <f>IF($W119="","",IF(INDEX('Per Invoice'!I$2:I$801,$W119)="","",INDEX('Per Invoice'!I$2:I$801,$W119)))</f>
        <v/>
      </c>
      <c r="J119">
        <f>IF($W119="","",IF(INDEX('Per Invoice'!J$2:J$801,$W119)="","",INDEX('Per Invoice'!J$2:J$801,$W119)))</f>
        <v/>
      </c>
      <c r="K119" s="7">
        <f>IF($W119="","",IF(INDEX('Per Invoice'!K$2:K$801,$W119)="","",INDEX('Per Invoice'!K$2:K$801,$W119)))</f>
        <v/>
      </c>
      <c r="L119" s="14">
        <f>IF($W119="","",IF(INDEX('Per Invoice'!L$2:L$801,$W119)="","",INDEX('Per Invoice'!L$2:L$801,$W119)))</f>
        <v/>
      </c>
      <c r="M119">
        <f>IF($W119="","",IF(INDEX('Per Invoice'!M$2:M$801,$W119)="","",INDEX('Per Invoice'!M$2:M$801,$W119)))</f>
        <v/>
      </c>
      <c r="N119" s="7">
        <f>IF($W119="","",IF(INDEX('Per Invoice'!N$2:N$801,$W119)="","",INDEX('Per Invoice'!N$2:N$801,$W119)))</f>
        <v/>
      </c>
      <c r="O119" s="7">
        <f>IF($W119="","",IF(INDEX('Per Invoice'!O$2:O$801,$W119)="","",INDEX('Per Invoice'!O$2:O$801,$W119)))</f>
        <v/>
      </c>
      <c r="P119">
        <f>IF($W119="","",IF(INDEX('Per Invoice'!P$2:P$801,$W119)="","",INDEX('Per Invoice'!P$2:P$801,$W119)))</f>
        <v/>
      </c>
      <c r="Q119" s="7">
        <f>IF($W119="","",IF(INDEX('Per Invoice'!Q$2:Q$801,$W119)="","",INDEX('Per Invoice'!Q$2:Q$801,$W119)))</f>
        <v/>
      </c>
      <c r="R119" s="7">
        <f>IF($W119="","",IF(INDEX('Per Invoice'!R$2:R$801,$W119)="","",INDEX('Per Invoice'!R$2:R$801,$W119)))</f>
        <v/>
      </c>
      <c r="S119" s="7">
        <f>IF($W119="","",IF(INDEX('Per Invoice'!S$2:S$801,$W119)="","",INDEX('Per Invoice'!S$2:S$801,$W119)))</f>
        <v/>
      </c>
      <c r="T119" s="7">
        <f>IF($W119="","",IF(INDEX('Per Invoice'!T$2:T$801,$W119)="","",INDEX('Per Invoice'!T$2:T$801,$W119)))</f>
        <v/>
      </c>
      <c r="U119" s="7">
        <f>IF($W119="","",IF(INDEX('Per Invoice'!U$2:U$801,$W119)="","",INDEX('Per Invoice'!U$2:U$801,$W119)))</f>
        <v/>
      </c>
      <c r="V119" s="7">
        <f>IF($W119="","",IF(INDEX('Per Invoice'!V$2:V$801,$W119)="","",INDEX('Per Invoice'!V$2:V$801,$W119)))</f>
        <v/>
      </c>
      <c r="W119" s="16">
        <f>IFERROR(MATCH(Settings!$C$32&amp;"|"&amp;ROWS($W$2:$W119),'Per Invoice'!$X$2:$X$801,0),"")</f>
        <v/>
      </c>
    </row>
    <row r="120">
      <c r="A120">
        <f>IF($W120="","",IF(INDEX('Per Invoice'!A$2:A$801,$W120)="","",INDEX('Per Invoice'!A$2:A$801,$W120)))</f>
        <v/>
      </c>
      <c r="B120">
        <f>IF($W120="","",IF(INDEX('Per Invoice'!B$2:B$801,$W120)="","",INDEX('Per Invoice'!B$2:B$801,$W120)))</f>
        <v/>
      </c>
      <c r="C120">
        <f>IF($W120="","",IF(INDEX('Per Invoice'!C$2:C$801,$W120)="","",INDEX('Per Invoice'!C$2:C$801,$W120)))</f>
        <v/>
      </c>
      <c r="D120">
        <f>IF($W120="","",IF(INDEX('Per Invoice'!D$2:D$801,$W120)="","",INDEX('Per Invoice'!D$2:D$801,$W120)))</f>
        <v/>
      </c>
      <c r="E120">
        <f>IF($W120="","",IF(INDEX('Per Invoice'!E$2:E$801,$W120)="","",INDEX('Per Invoice'!E$2:E$801,$W120)))</f>
        <v/>
      </c>
      <c r="F120">
        <f>IF($W120="","",IF(INDEX('Per Invoice'!F$2:F$801,$W120)="","",INDEX('Per Invoice'!F$2:F$801,$W120)))</f>
        <v/>
      </c>
      <c r="G120">
        <f>IF($W120="","",IF(INDEX('Per Invoice'!G$2:G$801,$W120)="","",INDEX('Per Invoice'!G$2:G$801,$W120)))</f>
        <v/>
      </c>
      <c r="H120">
        <f>IF($W120="","",IF(INDEX('Per Invoice'!H$2:H$801,$W120)="","",INDEX('Per Invoice'!H$2:H$801,$W120)))</f>
        <v/>
      </c>
      <c r="I120">
        <f>IF($W120="","",IF(INDEX('Per Invoice'!I$2:I$801,$W120)="","",INDEX('Per Invoice'!I$2:I$801,$W120)))</f>
        <v/>
      </c>
      <c r="J120">
        <f>IF($W120="","",IF(INDEX('Per Invoice'!J$2:J$801,$W120)="","",INDEX('Per Invoice'!J$2:J$801,$W120)))</f>
        <v/>
      </c>
      <c r="K120" s="7">
        <f>IF($W120="","",IF(INDEX('Per Invoice'!K$2:K$801,$W120)="","",INDEX('Per Invoice'!K$2:K$801,$W120)))</f>
        <v/>
      </c>
      <c r="L120" s="14">
        <f>IF($W120="","",IF(INDEX('Per Invoice'!L$2:L$801,$W120)="","",INDEX('Per Invoice'!L$2:L$801,$W120)))</f>
        <v/>
      </c>
      <c r="M120">
        <f>IF($W120="","",IF(INDEX('Per Invoice'!M$2:M$801,$W120)="","",INDEX('Per Invoice'!M$2:M$801,$W120)))</f>
        <v/>
      </c>
      <c r="N120" s="7">
        <f>IF($W120="","",IF(INDEX('Per Invoice'!N$2:N$801,$W120)="","",INDEX('Per Invoice'!N$2:N$801,$W120)))</f>
        <v/>
      </c>
      <c r="O120" s="7">
        <f>IF($W120="","",IF(INDEX('Per Invoice'!O$2:O$801,$W120)="","",INDEX('Per Invoice'!O$2:O$801,$W120)))</f>
        <v/>
      </c>
      <c r="P120">
        <f>IF($W120="","",IF(INDEX('Per Invoice'!P$2:P$801,$W120)="","",INDEX('Per Invoice'!P$2:P$801,$W120)))</f>
        <v/>
      </c>
      <c r="Q120" s="7">
        <f>IF($W120="","",IF(INDEX('Per Invoice'!Q$2:Q$801,$W120)="","",INDEX('Per Invoice'!Q$2:Q$801,$W120)))</f>
        <v/>
      </c>
      <c r="R120" s="7">
        <f>IF($W120="","",IF(INDEX('Per Invoice'!R$2:R$801,$W120)="","",INDEX('Per Invoice'!R$2:R$801,$W120)))</f>
        <v/>
      </c>
      <c r="S120" s="7">
        <f>IF($W120="","",IF(INDEX('Per Invoice'!S$2:S$801,$W120)="","",INDEX('Per Invoice'!S$2:S$801,$W120)))</f>
        <v/>
      </c>
      <c r="T120" s="7">
        <f>IF($W120="","",IF(INDEX('Per Invoice'!T$2:T$801,$W120)="","",INDEX('Per Invoice'!T$2:T$801,$W120)))</f>
        <v/>
      </c>
      <c r="U120" s="7">
        <f>IF($W120="","",IF(INDEX('Per Invoice'!U$2:U$801,$W120)="","",INDEX('Per Invoice'!U$2:U$801,$W120)))</f>
        <v/>
      </c>
      <c r="V120" s="7">
        <f>IF($W120="","",IF(INDEX('Per Invoice'!V$2:V$801,$W120)="","",INDEX('Per Invoice'!V$2:V$801,$W120)))</f>
        <v/>
      </c>
      <c r="W120" s="16">
        <f>IFERROR(MATCH(Settings!$C$32&amp;"|"&amp;ROWS($W$2:$W120),'Per Invoice'!$X$2:$X$801,0),"")</f>
        <v/>
      </c>
    </row>
    <row r="121">
      <c r="A121">
        <f>IF($W121="","",IF(INDEX('Per Invoice'!A$2:A$801,$W121)="","",INDEX('Per Invoice'!A$2:A$801,$W121)))</f>
        <v/>
      </c>
      <c r="B121">
        <f>IF($W121="","",IF(INDEX('Per Invoice'!B$2:B$801,$W121)="","",INDEX('Per Invoice'!B$2:B$801,$W121)))</f>
        <v/>
      </c>
      <c r="C121">
        <f>IF($W121="","",IF(INDEX('Per Invoice'!C$2:C$801,$W121)="","",INDEX('Per Invoice'!C$2:C$801,$W121)))</f>
        <v/>
      </c>
      <c r="D121">
        <f>IF($W121="","",IF(INDEX('Per Invoice'!D$2:D$801,$W121)="","",INDEX('Per Invoice'!D$2:D$801,$W121)))</f>
        <v/>
      </c>
      <c r="E121">
        <f>IF($W121="","",IF(INDEX('Per Invoice'!E$2:E$801,$W121)="","",INDEX('Per Invoice'!E$2:E$801,$W121)))</f>
        <v/>
      </c>
      <c r="F121">
        <f>IF($W121="","",IF(INDEX('Per Invoice'!F$2:F$801,$W121)="","",INDEX('Per Invoice'!F$2:F$801,$W121)))</f>
        <v/>
      </c>
      <c r="G121">
        <f>IF($W121="","",IF(INDEX('Per Invoice'!G$2:G$801,$W121)="","",INDEX('Per Invoice'!G$2:G$801,$W121)))</f>
        <v/>
      </c>
      <c r="H121">
        <f>IF($W121="","",IF(INDEX('Per Invoice'!H$2:H$801,$W121)="","",INDEX('Per Invoice'!H$2:H$801,$W121)))</f>
        <v/>
      </c>
      <c r="I121">
        <f>IF($W121="","",IF(INDEX('Per Invoice'!I$2:I$801,$W121)="","",INDEX('Per Invoice'!I$2:I$801,$W121)))</f>
        <v/>
      </c>
      <c r="J121">
        <f>IF($W121="","",IF(INDEX('Per Invoice'!J$2:J$801,$W121)="","",INDEX('Per Invoice'!J$2:J$801,$W121)))</f>
        <v/>
      </c>
      <c r="K121" s="7">
        <f>IF($W121="","",IF(INDEX('Per Invoice'!K$2:K$801,$W121)="","",INDEX('Per Invoice'!K$2:K$801,$W121)))</f>
        <v/>
      </c>
      <c r="L121" s="14">
        <f>IF($W121="","",IF(INDEX('Per Invoice'!L$2:L$801,$W121)="","",INDEX('Per Invoice'!L$2:L$801,$W121)))</f>
        <v/>
      </c>
      <c r="M121">
        <f>IF($W121="","",IF(INDEX('Per Invoice'!M$2:M$801,$W121)="","",INDEX('Per Invoice'!M$2:M$801,$W121)))</f>
        <v/>
      </c>
      <c r="N121" s="7">
        <f>IF($W121="","",IF(INDEX('Per Invoice'!N$2:N$801,$W121)="","",INDEX('Per Invoice'!N$2:N$801,$W121)))</f>
        <v/>
      </c>
      <c r="O121" s="7">
        <f>IF($W121="","",IF(INDEX('Per Invoice'!O$2:O$801,$W121)="","",INDEX('Per Invoice'!O$2:O$801,$W121)))</f>
        <v/>
      </c>
      <c r="P121">
        <f>IF($W121="","",IF(INDEX('Per Invoice'!P$2:P$801,$W121)="","",INDEX('Per Invoice'!P$2:P$801,$W121)))</f>
        <v/>
      </c>
      <c r="Q121" s="7">
        <f>IF($W121="","",IF(INDEX('Per Invoice'!Q$2:Q$801,$W121)="","",INDEX('Per Invoice'!Q$2:Q$801,$W121)))</f>
        <v/>
      </c>
      <c r="R121" s="7">
        <f>IF($W121="","",IF(INDEX('Per Invoice'!R$2:R$801,$W121)="","",INDEX('Per Invoice'!R$2:R$801,$W121)))</f>
        <v/>
      </c>
      <c r="S121" s="7">
        <f>IF($W121="","",IF(INDEX('Per Invoice'!S$2:S$801,$W121)="","",INDEX('Per Invoice'!S$2:S$801,$W121)))</f>
        <v/>
      </c>
      <c r="T121" s="7">
        <f>IF($W121="","",IF(INDEX('Per Invoice'!T$2:T$801,$W121)="","",INDEX('Per Invoice'!T$2:T$801,$W121)))</f>
        <v/>
      </c>
      <c r="U121" s="7">
        <f>IF($W121="","",IF(INDEX('Per Invoice'!U$2:U$801,$W121)="","",INDEX('Per Invoice'!U$2:U$801,$W121)))</f>
        <v/>
      </c>
      <c r="V121" s="7">
        <f>IF($W121="","",IF(INDEX('Per Invoice'!V$2:V$801,$W121)="","",INDEX('Per Invoice'!V$2:V$801,$W121)))</f>
        <v/>
      </c>
      <c r="W121" s="16">
        <f>IFERROR(MATCH(Settings!$C$32&amp;"|"&amp;ROWS($W$2:$W121),'Per Invoice'!$X$2:$X$801,0),"")</f>
        <v/>
      </c>
    </row>
    <row r="122">
      <c r="A122">
        <f>IF($W122="","",IF(INDEX('Per Invoice'!A$2:A$801,$W122)="","",INDEX('Per Invoice'!A$2:A$801,$W122)))</f>
        <v/>
      </c>
      <c r="B122">
        <f>IF($W122="","",IF(INDEX('Per Invoice'!B$2:B$801,$W122)="","",INDEX('Per Invoice'!B$2:B$801,$W122)))</f>
        <v/>
      </c>
      <c r="C122">
        <f>IF($W122="","",IF(INDEX('Per Invoice'!C$2:C$801,$W122)="","",INDEX('Per Invoice'!C$2:C$801,$W122)))</f>
        <v/>
      </c>
      <c r="D122">
        <f>IF($W122="","",IF(INDEX('Per Invoice'!D$2:D$801,$W122)="","",INDEX('Per Invoice'!D$2:D$801,$W122)))</f>
        <v/>
      </c>
      <c r="E122">
        <f>IF($W122="","",IF(INDEX('Per Invoice'!E$2:E$801,$W122)="","",INDEX('Per Invoice'!E$2:E$801,$W122)))</f>
        <v/>
      </c>
      <c r="F122">
        <f>IF($W122="","",IF(INDEX('Per Invoice'!F$2:F$801,$W122)="","",INDEX('Per Invoice'!F$2:F$801,$W122)))</f>
        <v/>
      </c>
      <c r="G122">
        <f>IF($W122="","",IF(INDEX('Per Invoice'!G$2:G$801,$W122)="","",INDEX('Per Invoice'!G$2:G$801,$W122)))</f>
        <v/>
      </c>
      <c r="H122">
        <f>IF($W122="","",IF(INDEX('Per Invoice'!H$2:H$801,$W122)="","",INDEX('Per Invoice'!H$2:H$801,$W122)))</f>
        <v/>
      </c>
      <c r="I122">
        <f>IF($W122="","",IF(INDEX('Per Invoice'!I$2:I$801,$W122)="","",INDEX('Per Invoice'!I$2:I$801,$W122)))</f>
        <v/>
      </c>
      <c r="J122">
        <f>IF($W122="","",IF(INDEX('Per Invoice'!J$2:J$801,$W122)="","",INDEX('Per Invoice'!J$2:J$801,$W122)))</f>
        <v/>
      </c>
      <c r="K122" s="7">
        <f>IF($W122="","",IF(INDEX('Per Invoice'!K$2:K$801,$W122)="","",INDEX('Per Invoice'!K$2:K$801,$W122)))</f>
        <v/>
      </c>
      <c r="L122" s="14">
        <f>IF($W122="","",IF(INDEX('Per Invoice'!L$2:L$801,$W122)="","",INDEX('Per Invoice'!L$2:L$801,$W122)))</f>
        <v/>
      </c>
      <c r="M122">
        <f>IF($W122="","",IF(INDEX('Per Invoice'!M$2:M$801,$W122)="","",INDEX('Per Invoice'!M$2:M$801,$W122)))</f>
        <v/>
      </c>
      <c r="N122" s="7">
        <f>IF($W122="","",IF(INDEX('Per Invoice'!N$2:N$801,$W122)="","",INDEX('Per Invoice'!N$2:N$801,$W122)))</f>
        <v/>
      </c>
      <c r="O122" s="7">
        <f>IF($W122="","",IF(INDEX('Per Invoice'!O$2:O$801,$W122)="","",INDEX('Per Invoice'!O$2:O$801,$W122)))</f>
        <v/>
      </c>
      <c r="P122">
        <f>IF($W122="","",IF(INDEX('Per Invoice'!P$2:P$801,$W122)="","",INDEX('Per Invoice'!P$2:P$801,$W122)))</f>
        <v/>
      </c>
      <c r="Q122" s="7">
        <f>IF($W122="","",IF(INDEX('Per Invoice'!Q$2:Q$801,$W122)="","",INDEX('Per Invoice'!Q$2:Q$801,$W122)))</f>
        <v/>
      </c>
      <c r="R122" s="7">
        <f>IF($W122="","",IF(INDEX('Per Invoice'!R$2:R$801,$W122)="","",INDEX('Per Invoice'!R$2:R$801,$W122)))</f>
        <v/>
      </c>
      <c r="S122" s="7">
        <f>IF($W122="","",IF(INDEX('Per Invoice'!S$2:S$801,$W122)="","",INDEX('Per Invoice'!S$2:S$801,$W122)))</f>
        <v/>
      </c>
      <c r="T122" s="7">
        <f>IF($W122="","",IF(INDEX('Per Invoice'!T$2:T$801,$W122)="","",INDEX('Per Invoice'!T$2:T$801,$W122)))</f>
        <v/>
      </c>
      <c r="U122" s="7">
        <f>IF($W122="","",IF(INDEX('Per Invoice'!U$2:U$801,$W122)="","",INDEX('Per Invoice'!U$2:U$801,$W122)))</f>
        <v/>
      </c>
      <c r="V122" s="7">
        <f>IF($W122="","",IF(INDEX('Per Invoice'!V$2:V$801,$W122)="","",INDEX('Per Invoice'!V$2:V$801,$W122)))</f>
        <v/>
      </c>
      <c r="W122" s="16">
        <f>IFERROR(MATCH(Settings!$C$32&amp;"|"&amp;ROWS($W$2:$W122),'Per Invoice'!$X$2:$X$801,0),"")</f>
        <v/>
      </c>
    </row>
    <row r="123">
      <c r="A123">
        <f>IF($W123="","",IF(INDEX('Per Invoice'!A$2:A$801,$W123)="","",INDEX('Per Invoice'!A$2:A$801,$W123)))</f>
        <v/>
      </c>
      <c r="B123">
        <f>IF($W123="","",IF(INDEX('Per Invoice'!B$2:B$801,$W123)="","",INDEX('Per Invoice'!B$2:B$801,$W123)))</f>
        <v/>
      </c>
      <c r="C123">
        <f>IF($W123="","",IF(INDEX('Per Invoice'!C$2:C$801,$W123)="","",INDEX('Per Invoice'!C$2:C$801,$W123)))</f>
        <v/>
      </c>
      <c r="D123">
        <f>IF($W123="","",IF(INDEX('Per Invoice'!D$2:D$801,$W123)="","",INDEX('Per Invoice'!D$2:D$801,$W123)))</f>
        <v/>
      </c>
      <c r="E123">
        <f>IF($W123="","",IF(INDEX('Per Invoice'!E$2:E$801,$W123)="","",INDEX('Per Invoice'!E$2:E$801,$W123)))</f>
        <v/>
      </c>
      <c r="F123">
        <f>IF($W123="","",IF(INDEX('Per Invoice'!F$2:F$801,$W123)="","",INDEX('Per Invoice'!F$2:F$801,$W123)))</f>
        <v/>
      </c>
      <c r="G123">
        <f>IF($W123="","",IF(INDEX('Per Invoice'!G$2:G$801,$W123)="","",INDEX('Per Invoice'!G$2:G$801,$W123)))</f>
        <v/>
      </c>
      <c r="H123">
        <f>IF($W123="","",IF(INDEX('Per Invoice'!H$2:H$801,$W123)="","",INDEX('Per Invoice'!H$2:H$801,$W123)))</f>
        <v/>
      </c>
      <c r="I123">
        <f>IF($W123="","",IF(INDEX('Per Invoice'!I$2:I$801,$W123)="","",INDEX('Per Invoice'!I$2:I$801,$W123)))</f>
        <v/>
      </c>
      <c r="J123">
        <f>IF($W123="","",IF(INDEX('Per Invoice'!J$2:J$801,$W123)="","",INDEX('Per Invoice'!J$2:J$801,$W123)))</f>
        <v/>
      </c>
      <c r="K123" s="7">
        <f>IF($W123="","",IF(INDEX('Per Invoice'!K$2:K$801,$W123)="","",INDEX('Per Invoice'!K$2:K$801,$W123)))</f>
        <v/>
      </c>
      <c r="L123" s="14">
        <f>IF($W123="","",IF(INDEX('Per Invoice'!L$2:L$801,$W123)="","",INDEX('Per Invoice'!L$2:L$801,$W123)))</f>
        <v/>
      </c>
      <c r="M123">
        <f>IF($W123="","",IF(INDEX('Per Invoice'!M$2:M$801,$W123)="","",INDEX('Per Invoice'!M$2:M$801,$W123)))</f>
        <v/>
      </c>
      <c r="N123" s="7">
        <f>IF($W123="","",IF(INDEX('Per Invoice'!N$2:N$801,$W123)="","",INDEX('Per Invoice'!N$2:N$801,$W123)))</f>
        <v/>
      </c>
      <c r="O123" s="7">
        <f>IF($W123="","",IF(INDEX('Per Invoice'!O$2:O$801,$W123)="","",INDEX('Per Invoice'!O$2:O$801,$W123)))</f>
        <v/>
      </c>
      <c r="P123">
        <f>IF($W123="","",IF(INDEX('Per Invoice'!P$2:P$801,$W123)="","",INDEX('Per Invoice'!P$2:P$801,$W123)))</f>
        <v/>
      </c>
      <c r="Q123" s="7">
        <f>IF($W123="","",IF(INDEX('Per Invoice'!Q$2:Q$801,$W123)="","",INDEX('Per Invoice'!Q$2:Q$801,$W123)))</f>
        <v/>
      </c>
      <c r="R123" s="7">
        <f>IF($W123="","",IF(INDEX('Per Invoice'!R$2:R$801,$W123)="","",INDEX('Per Invoice'!R$2:R$801,$W123)))</f>
        <v/>
      </c>
      <c r="S123" s="7">
        <f>IF($W123="","",IF(INDEX('Per Invoice'!S$2:S$801,$W123)="","",INDEX('Per Invoice'!S$2:S$801,$W123)))</f>
        <v/>
      </c>
      <c r="T123" s="7">
        <f>IF($W123="","",IF(INDEX('Per Invoice'!T$2:T$801,$W123)="","",INDEX('Per Invoice'!T$2:T$801,$W123)))</f>
        <v/>
      </c>
      <c r="U123" s="7">
        <f>IF($W123="","",IF(INDEX('Per Invoice'!U$2:U$801,$W123)="","",INDEX('Per Invoice'!U$2:U$801,$W123)))</f>
        <v/>
      </c>
      <c r="V123" s="7">
        <f>IF($W123="","",IF(INDEX('Per Invoice'!V$2:V$801,$W123)="","",INDEX('Per Invoice'!V$2:V$801,$W123)))</f>
        <v/>
      </c>
      <c r="W123" s="16">
        <f>IFERROR(MATCH(Settings!$C$32&amp;"|"&amp;ROWS($W$2:$W123),'Per Invoice'!$X$2:$X$801,0),"")</f>
        <v/>
      </c>
    </row>
    <row r="124">
      <c r="A124">
        <f>IF($W124="","",IF(INDEX('Per Invoice'!A$2:A$801,$W124)="","",INDEX('Per Invoice'!A$2:A$801,$W124)))</f>
        <v/>
      </c>
      <c r="B124">
        <f>IF($W124="","",IF(INDEX('Per Invoice'!B$2:B$801,$W124)="","",INDEX('Per Invoice'!B$2:B$801,$W124)))</f>
        <v/>
      </c>
      <c r="C124">
        <f>IF($W124="","",IF(INDEX('Per Invoice'!C$2:C$801,$W124)="","",INDEX('Per Invoice'!C$2:C$801,$W124)))</f>
        <v/>
      </c>
      <c r="D124">
        <f>IF($W124="","",IF(INDEX('Per Invoice'!D$2:D$801,$W124)="","",INDEX('Per Invoice'!D$2:D$801,$W124)))</f>
        <v/>
      </c>
      <c r="E124">
        <f>IF($W124="","",IF(INDEX('Per Invoice'!E$2:E$801,$W124)="","",INDEX('Per Invoice'!E$2:E$801,$W124)))</f>
        <v/>
      </c>
      <c r="F124">
        <f>IF($W124="","",IF(INDEX('Per Invoice'!F$2:F$801,$W124)="","",INDEX('Per Invoice'!F$2:F$801,$W124)))</f>
        <v/>
      </c>
      <c r="G124">
        <f>IF($W124="","",IF(INDEX('Per Invoice'!G$2:G$801,$W124)="","",INDEX('Per Invoice'!G$2:G$801,$W124)))</f>
        <v/>
      </c>
      <c r="H124">
        <f>IF($W124="","",IF(INDEX('Per Invoice'!H$2:H$801,$W124)="","",INDEX('Per Invoice'!H$2:H$801,$W124)))</f>
        <v/>
      </c>
      <c r="I124">
        <f>IF($W124="","",IF(INDEX('Per Invoice'!I$2:I$801,$W124)="","",INDEX('Per Invoice'!I$2:I$801,$W124)))</f>
        <v/>
      </c>
      <c r="J124">
        <f>IF($W124="","",IF(INDEX('Per Invoice'!J$2:J$801,$W124)="","",INDEX('Per Invoice'!J$2:J$801,$W124)))</f>
        <v/>
      </c>
      <c r="K124" s="7">
        <f>IF($W124="","",IF(INDEX('Per Invoice'!K$2:K$801,$W124)="","",INDEX('Per Invoice'!K$2:K$801,$W124)))</f>
        <v/>
      </c>
      <c r="L124" s="14">
        <f>IF($W124="","",IF(INDEX('Per Invoice'!L$2:L$801,$W124)="","",INDEX('Per Invoice'!L$2:L$801,$W124)))</f>
        <v/>
      </c>
      <c r="M124">
        <f>IF($W124="","",IF(INDEX('Per Invoice'!M$2:M$801,$W124)="","",INDEX('Per Invoice'!M$2:M$801,$W124)))</f>
        <v/>
      </c>
      <c r="N124" s="7">
        <f>IF($W124="","",IF(INDEX('Per Invoice'!N$2:N$801,$W124)="","",INDEX('Per Invoice'!N$2:N$801,$W124)))</f>
        <v/>
      </c>
      <c r="O124" s="7">
        <f>IF($W124="","",IF(INDEX('Per Invoice'!O$2:O$801,$W124)="","",INDEX('Per Invoice'!O$2:O$801,$W124)))</f>
        <v/>
      </c>
      <c r="P124">
        <f>IF($W124="","",IF(INDEX('Per Invoice'!P$2:P$801,$W124)="","",INDEX('Per Invoice'!P$2:P$801,$W124)))</f>
        <v/>
      </c>
      <c r="Q124" s="7">
        <f>IF($W124="","",IF(INDEX('Per Invoice'!Q$2:Q$801,$W124)="","",INDEX('Per Invoice'!Q$2:Q$801,$W124)))</f>
        <v/>
      </c>
      <c r="R124" s="7">
        <f>IF($W124="","",IF(INDEX('Per Invoice'!R$2:R$801,$W124)="","",INDEX('Per Invoice'!R$2:R$801,$W124)))</f>
        <v/>
      </c>
      <c r="S124" s="7">
        <f>IF($W124="","",IF(INDEX('Per Invoice'!S$2:S$801,$W124)="","",INDEX('Per Invoice'!S$2:S$801,$W124)))</f>
        <v/>
      </c>
      <c r="T124" s="7">
        <f>IF($W124="","",IF(INDEX('Per Invoice'!T$2:T$801,$W124)="","",INDEX('Per Invoice'!T$2:T$801,$W124)))</f>
        <v/>
      </c>
      <c r="U124" s="7">
        <f>IF($W124="","",IF(INDEX('Per Invoice'!U$2:U$801,$W124)="","",INDEX('Per Invoice'!U$2:U$801,$W124)))</f>
        <v/>
      </c>
      <c r="V124" s="7">
        <f>IF($W124="","",IF(INDEX('Per Invoice'!V$2:V$801,$W124)="","",INDEX('Per Invoice'!V$2:V$801,$W124)))</f>
        <v/>
      </c>
      <c r="W124" s="16">
        <f>IFERROR(MATCH(Settings!$C$32&amp;"|"&amp;ROWS($W$2:$W124),'Per Invoice'!$X$2:$X$801,0),"")</f>
        <v/>
      </c>
    </row>
    <row r="125">
      <c r="A125">
        <f>IF($W125="","",IF(INDEX('Per Invoice'!A$2:A$801,$W125)="","",INDEX('Per Invoice'!A$2:A$801,$W125)))</f>
        <v/>
      </c>
      <c r="B125">
        <f>IF($W125="","",IF(INDEX('Per Invoice'!B$2:B$801,$W125)="","",INDEX('Per Invoice'!B$2:B$801,$W125)))</f>
        <v/>
      </c>
      <c r="C125">
        <f>IF($W125="","",IF(INDEX('Per Invoice'!C$2:C$801,$W125)="","",INDEX('Per Invoice'!C$2:C$801,$W125)))</f>
        <v/>
      </c>
      <c r="D125">
        <f>IF($W125="","",IF(INDEX('Per Invoice'!D$2:D$801,$W125)="","",INDEX('Per Invoice'!D$2:D$801,$W125)))</f>
        <v/>
      </c>
      <c r="E125">
        <f>IF($W125="","",IF(INDEX('Per Invoice'!E$2:E$801,$W125)="","",INDEX('Per Invoice'!E$2:E$801,$W125)))</f>
        <v/>
      </c>
      <c r="F125">
        <f>IF($W125="","",IF(INDEX('Per Invoice'!F$2:F$801,$W125)="","",INDEX('Per Invoice'!F$2:F$801,$W125)))</f>
        <v/>
      </c>
      <c r="G125">
        <f>IF($W125="","",IF(INDEX('Per Invoice'!G$2:G$801,$W125)="","",INDEX('Per Invoice'!G$2:G$801,$W125)))</f>
        <v/>
      </c>
      <c r="H125">
        <f>IF($W125="","",IF(INDEX('Per Invoice'!H$2:H$801,$W125)="","",INDEX('Per Invoice'!H$2:H$801,$W125)))</f>
        <v/>
      </c>
      <c r="I125">
        <f>IF($W125="","",IF(INDEX('Per Invoice'!I$2:I$801,$W125)="","",INDEX('Per Invoice'!I$2:I$801,$W125)))</f>
        <v/>
      </c>
      <c r="J125">
        <f>IF($W125="","",IF(INDEX('Per Invoice'!J$2:J$801,$W125)="","",INDEX('Per Invoice'!J$2:J$801,$W125)))</f>
        <v/>
      </c>
      <c r="K125" s="7">
        <f>IF($W125="","",IF(INDEX('Per Invoice'!K$2:K$801,$W125)="","",INDEX('Per Invoice'!K$2:K$801,$W125)))</f>
        <v/>
      </c>
      <c r="L125" s="14">
        <f>IF($W125="","",IF(INDEX('Per Invoice'!L$2:L$801,$W125)="","",INDEX('Per Invoice'!L$2:L$801,$W125)))</f>
        <v/>
      </c>
      <c r="M125">
        <f>IF($W125="","",IF(INDEX('Per Invoice'!M$2:M$801,$W125)="","",INDEX('Per Invoice'!M$2:M$801,$W125)))</f>
        <v/>
      </c>
      <c r="N125" s="7">
        <f>IF($W125="","",IF(INDEX('Per Invoice'!N$2:N$801,$W125)="","",INDEX('Per Invoice'!N$2:N$801,$W125)))</f>
        <v/>
      </c>
      <c r="O125" s="7">
        <f>IF($W125="","",IF(INDEX('Per Invoice'!O$2:O$801,$W125)="","",INDEX('Per Invoice'!O$2:O$801,$W125)))</f>
        <v/>
      </c>
      <c r="P125">
        <f>IF($W125="","",IF(INDEX('Per Invoice'!P$2:P$801,$W125)="","",INDEX('Per Invoice'!P$2:P$801,$W125)))</f>
        <v/>
      </c>
      <c r="Q125" s="7">
        <f>IF($W125="","",IF(INDEX('Per Invoice'!Q$2:Q$801,$W125)="","",INDEX('Per Invoice'!Q$2:Q$801,$W125)))</f>
        <v/>
      </c>
      <c r="R125" s="7">
        <f>IF($W125="","",IF(INDEX('Per Invoice'!R$2:R$801,$W125)="","",INDEX('Per Invoice'!R$2:R$801,$W125)))</f>
        <v/>
      </c>
      <c r="S125" s="7">
        <f>IF($W125="","",IF(INDEX('Per Invoice'!S$2:S$801,$W125)="","",INDEX('Per Invoice'!S$2:S$801,$W125)))</f>
        <v/>
      </c>
      <c r="T125" s="7">
        <f>IF($W125="","",IF(INDEX('Per Invoice'!T$2:T$801,$W125)="","",INDEX('Per Invoice'!T$2:T$801,$W125)))</f>
        <v/>
      </c>
      <c r="U125" s="7">
        <f>IF($W125="","",IF(INDEX('Per Invoice'!U$2:U$801,$W125)="","",INDEX('Per Invoice'!U$2:U$801,$W125)))</f>
        <v/>
      </c>
      <c r="V125" s="7">
        <f>IF($W125="","",IF(INDEX('Per Invoice'!V$2:V$801,$W125)="","",INDEX('Per Invoice'!V$2:V$801,$W125)))</f>
        <v/>
      </c>
      <c r="W125" s="16">
        <f>IFERROR(MATCH(Settings!$C$32&amp;"|"&amp;ROWS($W$2:$W125),'Per Invoice'!$X$2:$X$801,0),"")</f>
        <v/>
      </c>
    </row>
    <row r="126">
      <c r="A126">
        <f>IF($W126="","",IF(INDEX('Per Invoice'!A$2:A$801,$W126)="","",INDEX('Per Invoice'!A$2:A$801,$W126)))</f>
        <v/>
      </c>
      <c r="B126">
        <f>IF($W126="","",IF(INDEX('Per Invoice'!B$2:B$801,$W126)="","",INDEX('Per Invoice'!B$2:B$801,$W126)))</f>
        <v/>
      </c>
      <c r="C126">
        <f>IF($W126="","",IF(INDEX('Per Invoice'!C$2:C$801,$W126)="","",INDEX('Per Invoice'!C$2:C$801,$W126)))</f>
        <v/>
      </c>
      <c r="D126">
        <f>IF($W126="","",IF(INDEX('Per Invoice'!D$2:D$801,$W126)="","",INDEX('Per Invoice'!D$2:D$801,$W126)))</f>
        <v/>
      </c>
      <c r="E126">
        <f>IF($W126="","",IF(INDEX('Per Invoice'!E$2:E$801,$W126)="","",INDEX('Per Invoice'!E$2:E$801,$W126)))</f>
        <v/>
      </c>
      <c r="F126">
        <f>IF($W126="","",IF(INDEX('Per Invoice'!F$2:F$801,$W126)="","",INDEX('Per Invoice'!F$2:F$801,$W126)))</f>
        <v/>
      </c>
      <c r="G126">
        <f>IF($W126="","",IF(INDEX('Per Invoice'!G$2:G$801,$W126)="","",INDEX('Per Invoice'!G$2:G$801,$W126)))</f>
        <v/>
      </c>
      <c r="H126">
        <f>IF($W126="","",IF(INDEX('Per Invoice'!H$2:H$801,$W126)="","",INDEX('Per Invoice'!H$2:H$801,$W126)))</f>
        <v/>
      </c>
      <c r="I126">
        <f>IF($W126="","",IF(INDEX('Per Invoice'!I$2:I$801,$W126)="","",INDEX('Per Invoice'!I$2:I$801,$W126)))</f>
        <v/>
      </c>
      <c r="J126">
        <f>IF($W126="","",IF(INDEX('Per Invoice'!J$2:J$801,$W126)="","",INDEX('Per Invoice'!J$2:J$801,$W126)))</f>
        <v/>
      </c>
      <c r="K126" s="7">
        <f>IF($W126="","",IF(INDEX('Per Invoice'!K$2:K$801,$W126)="","",INDEX('Per Invoice'!K$2:K$801,$W126)))</f>
        <v/>
      </c>
      <c r="L126" s="14">
        <f>IF($W126="","",IF(INDEX('Per Invoice'!L$2:L$801,$W126)="","",INDEX('Per Invoice'!L$2:L$801,$W126)))</f>
        <v/>
      </c>
      <c r="M126">
        <f>IF($W126="","",IF(INDEX('Per Invoice'!M$2:M$801,$W126)="","",INDEX('Per Invoice'!M$2:M$801,$W126)))</f>
        <v/>
      </c>
      <c r="N126" s="7">
        <f>IF($W126="","",IF(INDEX('Per Invoice'!N$2:N$801,$W126)="","",INDEX('Per Invoice'!N$2:N$801,$W126)))</f>
        <v/>
      </c>
      <c r="O126" s="7">
        <f>IF($W126="","",IF(INDEX('Per Invoice'!O$2:O$801,$W126)="","",INDEX('Per Invoice'!O$2:O$801,$W126)))</f>
        <v/>
      </c>
      <c r="P126">
        <f>IF($W126="","",IF(INDEX('Per Invoice'!P$2:P$801,$W126)="","",INDEX('Per Invoice'!P$2:P$801,$W126)))</f>
        <v/>
      </c>
      <c r="Q126" s="7">
        <f>IF($W126="","",IF(INDEX('Per Invoice'!Q$2:Q$801,$W126)="","",INDEX('Per Invoice'!Q$2:Q$801,$W126)))</f>
        <v/>
      </c>
      <c r="R126" s="7">
        <f>IF($W126="","",IF(INDEX('Per Invoice'!R$2:R$801,$W126)="","",INDEX('Per Invoice'!R$2:R$801,$W126)))</f>
        <v/>
      </c>
      <c r="S126" s="7">
        <f>IF($W126="","",IF(INDEX('Per Invoice'!S$2:S$801,$W126)="","",INDEX('Per Invoice'!S$2:S$801,$W126)))</f>
        <v/>
      </c>
      <c r="T126" s="7">
        <f>IF($W126="","",IF(INDEX('Per Invoice'!T$2:T$801,$W126)="","",INDEX('Per Invoice'!T$2:T$801,$W126)))</f>
        <v/>
      </c>
      <c r="U126" s="7">
        <f>IF($W126="","",IF(INDEX('Per Invoice'!U$2:U$801,$W126)="","",INDEX('Per Invoice'!U$2:U$801,$W126)))</f>
        <v/>
      </c>
      <c r="V126" s="7">
        <f>IF($W126="","",IF(INDEX('Per Invoice'!V$2:V$801,$W126)="","",INDEX('Per Invoice'!V$2:V$801,$W126)))</f>
        <v/>
      </c>
      <c r="W126" s="16">
        <f>IFERROR(MATCH(Settings!$C$32&amp;"|"&amp;ROWS($W$2:$W126),'Per Invoice'!$X$2:$X$801,0),"")</f>
        <v/>
      </c>
    </row>
    <row r="127">
      <c r="A127">
        <f>IF($W127="","",IF(INDEX('Per Invoice'!A$2:A$801,$W127)="","",INDEX('Per Invoice'!A$2:A$801,$W127)))</f>
        <v/>
      </c>
      <c r="B127">
        <f>IF($W127="","",IF(INDEX('Per Invoice'!B$2:B$801,$W127)="","",INDEX('Per Invoice'!B$2:B$801,$W127)))</f>
        <v/>
      </c>
      <c r="C127">
        <f>IF($W127="","",IF(INDEX('Per Invoice'!C$2:C$801,$W127)="","",INDEX('Per Invoice'!C$2:C$801,$W127)))</f>
        <v/>
      </c>
      <c r="D127">
        <f>IF($W127="","",IF(INDEX('Per Invoice'!D$2:D$801,$W127)="","",INDEX('Per Invoice'!D$2:D$801,$W127)))</f>
        <v/>
      </c>
      <c r="E127">
        <f>IF($W127="","",IF(INDEX('Per Invoice'!E$2:E$801,$W127)="","",INDEX('Per Invoice'!E$2:E$801,$W127)))</f>
        <v/>
      </c>
      <c r="F127">
        <f>IF($W127="","",IF(INDEX('Per Invoice'!F$2:F$801,$W127)="","",INDEX('Per Invoice'!F$2:F$801,$W127)))</f>
        <v/>
      </c>
      <c r="G127">
        <f>IF($W127="","",IF(INDEX('Per Invoice'!G$2:G$801,$W127)="","",INDEX('Per Invoice'!G$2:G$801,$W127)))</f>
        <v/>
      </c>
      <c r="H127">
        <f>IF($W127="","",IF(INDEX('Per Invoice'!H$2:H$801,$W127)="","",INDEX('Per Invoice'!H$2:H$801,$W127)))</f>
        <v/>
      </c>
      <c r="I127">
        <f>IF($W127="","",IF(INDEX('Per Invoice'!I$2:I$801,$W127)="","",INDEX('Per Invoice'!I$2:I$801,$W127)))</f>
        <v/>
      </c>
      <c r="J127">
        <f>IF($W127="","",IF(INDEX('Per Invoice'!J$2:J$801,$W127)="","",INDEX('Per Invoice'!J$2:J$801,$W127)))</f>
        <v/>
      </c>
      <c r="K127" s="7">
        <f>IF($W127="","",IF(INDEX('Per Invoice'!K$2:K$801,$W127)="","",INDEX('Per Invoice'!K$2:K$801,$W127)))</f>
        <v/>
      </c>
      <c r="L127" s="14">
        <f>IF($W127="","",IF(INDEX('Per Invoice'!L$2:L$801,$W127)="","",INDEX('Per Invoice'!L$2:L$801,$W127)))</f>
        <v/>
      </c>
      <c r="M127">
        <f>IF($W127="","",IF(INDEX('Per Invoice'!M$2:M$801,$W127)="","",INDEX('Per Invoice'!M$2:M$801,$W127)))</f>
        <v/>
      </c>
      <c r="N127" s="7">
        <f>IF($W127="","",IF(INDEX('Per Invoice'!N$2:N$801,$W127)="","",INDEX('Per Invoice'!N$2:N$801,$W127)))</f>
        <v/>
      </c>
      <c r="O127" s="7">
        <f>IF($W127="","",IF(INDEX('Per Invoice'!O$2:O$801,$W127)="","",INDEX('Per Invoice'!O$2:O$801,$W127)))</f>
        <v/>
      </c>
      <c r="P127">
        <f>IF($W127="","",IF(INDEX('Per Invoice'!P$2:P$801,$W127)="","",INDEX('Per Invoice'!P$2:P$801,$W127)))</f>
        <v/>
      </c>
      <c r="Q127" s="7">
        <f>IF($W127="","",IF(INDEX('Per Invoice'!Q$2:Q$801,$W127)="","",INDEX('Per Invoice'!Q$2:Q$801,$W127)))</f>
        <v/>
      </c>
      <c r="R127" s="7">
        <f>IF($W127="","",IF(INDEX('Per Invoice'!R$2:R$801,$W127)="","",INDEX('Per Invoice'!R$2:R$801,$W127)))</f>
        <v/>
      </c>
      <c r="S127" s="7">
        <f>IF($W127="","",IF(INDEX('Per Invoice'!S$2:S$801,$W127)="","",INDEX('Per Invoice'!S$2:S$801,$W127)))</f>
        <v/>
      </c>
      <c r="T127" s="7">
        <f>IF($W127="","",IF(INDEX('Per Invoice'!T$2:T$801,$W127)="","",INDEX('Per Invoice'!T$2:T$801,$W127)))</f>
        <v/>
      </c>
      <c r="U127" s="7">
        <f>IF($W127="","",IF(INDEX('Per Invoice'!U$2:U$801,$W127)="","",INDEX('Per Invoice'!U$2:U$801,$W127)))</f>
        <v/>
      </c>
      <c r="V127" s="7">
        <f>IF($W127="","",IF(INDEX('Per Invoice'!V$2:V$801,$W127)="","",INDEX('Per Invoice'!V$2:V$801,$W127)))</f>
        <v/>
      </c>
      <c r="W127" s="16">
        <f>IFERROR(MATCH(Settings!$C$32&amp;"|"&amp;ROWS($W$2:$W127),'Per Invoice'!$X$2:$X$801,0),"")</f>
        <v/>
      </c>
    </row>
    <row r="128">
      <c r="A128">
        <f>IF($W128="","",IF(INDEX('Per Invoice'!A$2:A$801,$W128)="","",INDEX('Per Invoice'!A$2:A$801,$W128)))</f>
        <v/>
      </c>
      <c r="B128">
        <f>IF($W128="","",IF(INDEX('Per Invoice'!B$2:B$801,$W128)="","",INDEX('Per Invoice'!B$2:B$801,$W128)))</f>
        <v/>
      </c>
      <c r="C128">
        <f>IF($W128="","",IF(INDEX('Per Invoice'!C$2:C$801,$W128)="","",INDEX('Per Invoice'!C$2:C$801,$W128)))</f>
        <v/>
      </c>
      <c r="D128">
        <f>IF($W128="","",IF(INDEX('Per Invoice'!D$2:D$801,$W128)="","",INDEX('Per Invoice'!D$2:D$801,$W128)))</f>
        <v/>
      </c>
      <c r="E128">
        <f>IF($W128="","",IF(INDEX('Per Invoice'!E$2:E$801,$W128)="","",INDEX('Per Invoice'!E$2:E$801,$W128)))</f>
        <v/>
      </c>
      <c r="F128">
        <f>IF($W128="","",IF(INDEX('Per Invoice'!F$2:F$801,$W128)="","",INDEX('Per Invoice'!F$2:F$801,$W128)))</f>
        <v/>
      </c>
      <c r="G128">
        <f>IF($W128="","",IF(INDEX('Per Invoice'!G$2:G$801,$W128)="","",INDEX('Per Invoice'!G$2:G$801,$W128)))</f>
        <v/>
      </c>
      <c r="H128">
        <f>IF($W128="","",IF(INDEX('Per Invoice'!H$2:H$801,$W128)="","",INDEX('Per Invoice'!H$2:H$801,$W128)))</f>
        <v/>
      </c>
      <c r="I128">
        <f>IF($W128="","",IF(INDEX('Per Invoice'!I$2:I$801,$W128)="","",INDEX('Per Invoice'!I$2:I$801,$W128)))</f>
        <v/>
      </c>
      <c r="J128">
        <f>IF($W128="","",IF(INDEX('Per Invoice'!J$2:J$801,$W128)="","",INDEX('Per Invoice'!J$2:J$801,$W128)))</f>
        <v/>
      </c>
      <c r="K128" s="7">
        <f>IF($W128="","",IF(INDEX('Per Invoice'!K$2:K$801,$W128)="","",INDEX('Per Invoice'!K$2:K$801,$W128)))</f>
        <v/>
      </c>
      <c r="L128" s="14">
        <f>IF($W128="","",IF(INDEX('Per Invoice'!L$2:L$801,$W128)="","",INDEX('Per Invoice'!L$2:L$801,$W128)))</f>
        <v/>
      </c>
      <c r="M128">
        <f>IF($W128="","",IF(INDEX('Per Invoice'!M$2:M$801,$W128)="","",INDEX('Per Invoice'!M$2:M$801,$W128)))</f>
        <v/>
      </c>
      <c r="N128" s="7">
        <f>IF($W128="","",IF(INDEX('Per Invoice'!N$2:N$801,$W128)="","",INDEX('Per Invoice'!N$2:N$801,$W128)))</f>
        <v/>
      </c>
      <c r="O128" s="7">
        <f>IF($W128="","",IF(INDEX('Per Invoice'!O$2:O$801,$W128)="","",INDEX('Per Invoice'!O$2:O$801,$W128)))</f>
        <v/>
      </c>
      <c r="P128">
        <f>IF($W128="","",IF(INDEX('Per Invoice'!P$2:P$801,$W128)="","",INDEX('Per Invoice'!P$2:P$801,$W128)))</f>
        <v/>
      </c>
      <c r="Q128" s="7">
        <f>IF($W128="","",IF(INDEX('Per Invoice'!Q$2:Q$801,$W128)="","",INDEX('Per Invoice'!Q$2:Q$801,$W128)))</f>
        <v/>
      </c>
      <c r="R128" s="7">
        <f>IF($W128="","",IF(INDEX('Per Invoice'!R$2:R$801,$W128)="","",INDEX('Per Invoice'!R$2:R$801,$W128)))</f>
        <v/>
      </c>
      <c r="S128" s="7">
        <f>IF($W128="","",IF(INDEX('Per Invoice'!S$2:S$801,$W128)="","",INDEX('Per Invoice'!S$2:S$801,$W128)))</f>
        <v/>
      </c>
      <c r="T128" s="7">
        <f>IF($W128="","",IF(INDEX('Per Invoice'!T$2:T$801,$W128)="","",INDEX('Per Invoice'!T$2:T$801,$W128)))</f>
        <v/>
      </c>
      <c r="U128" s="7">
        <f>IF($W128="","",IF(INDEX('Per Invoice'!U$2:U$801,$W128)="","",INDEX('Per Invoice'!U$2:U$801,$W128)))</f>
        <v/>
      </c>
      <c r="V128" s="7">
        <f>IF($W128="","",IF(INDEX('Per Invoice'!V$2:V$801,$W128)="","",INDEX('Per Invoice'!V$2:V$801,$W128)))</f>
        <v/>
      </c>
      <c r="W128" s="16">
        <f>IFERROR(MATCH(Settings!$C$32&amp;"|"&amp;ROWS($W$2:$W128),'Per Invoice'!$X$2:$X$801,0),"")</f>
        <v/>
      </c>
    </row>
    <row r="129">
      <c r="A129">
        <f>IF($W129="","",IF(INDEX('Per Invoice'!A$2:A$801,$W129)="","",INDEX('Per Invoice'!A$2:A$801,$W129)))</f>
        <v/>
      </c>
      <c r="B129">
        <f>IF($W129="","",IF(INDEX('Per Invoice'!B$2:B$801,$W129)="","",INDEX('Per Invoice'!B$2:B$801,$W129)))</f>
        <v/>
      </c>
      <c r="C129">
        <f>IF($W129="","",IF(INDEX('Per Invoice'!C$2:C$801,$W129)="","",INDEX('Per Invoice'!C$2:C$801,$W129)))</f>
        <v/>
      </c>
      <c r="D129">
        <f>IF($W129="","",IF(INDEX('Per Invoice'!D$2:D$801,$W129)="","",INDEX('Per Invoice'!D$2:D$801,$W129)))</f>
        <v/>
      </c>
      <c r="E129">
        <f>IF($W129="","",IF(INDEX('Per Invoice'!E$2:E$801,$W129)="","",INDEX('Per Invoice'!E$2:E$801,$W129)))</f>
        <v/>
      </c>
      <c r="F129">
        <f>IF($W129="","",IF(INDEX('Per Invoice'!F$2:F$801,$W129)="","",INDEX('Per Invoice'!F$2:F$801,$W129)))</f>
        <v/>
      </c>
      <c r="G129">
        <f>IF($W129="","",IF(INDEX('Per Invoice'!G$2:G$801,$W129)="","",INDEX('Per Invoice'!G$2:G$801,$W129)))</f>
        <v/>
      </c>
      <c r="H129">
        <f>IF($W129="","",IF(INDEX('Per Invoice'!H$2:H$801,$W129)="","",INDEX('Per Invoice'!H$2:H$801,$W129)))</f>
        <v/>
      </c>
      <c r="I129">
        <f>IF($W129="","",IF(INDEX('Per Invoice'!I$2:I$801,$W129)="","",INDEX('Per Invoice'!I$2:I$801,$W129)))</f>
        <v/>
      </c>
      <c r="J129">
        <f>IF($W129="","",IF(INDEX('Per Invoice'!J$2:J$801,$W129)="","",INDEX('Per Invoice'!J$2:J$801,$W129)))</f>
        <v/>
      </c>
      <c r="K129" s="7">
        <f>IF($W129="","",IF(INDEX('Per Invoice'!K$2:K$801,$W129)="","",INDEX('Per Invoice'!K$2:K$801,$W129)))</f>
        <v/>
      </c>
      <c r="L129" s="14">
        <f>IF($W129="","",IF(INDEX('Per Invoice'!L$2:L$801,$W129)="","",INDEX('Per Invoice'!L$2:L$801,$W129)))</f>
        <v/>
      </c>
      <c r="M129">
        <f>IF($W129="","",IF(INDEX('Per Invoice'!M$2:M$801,$W129)="","",INDEX('Per Invoice'!M$2:M$801,$W129)))</f>
        <v/>
      </c>
      <c r="N129" s="7">
        <f>IF($W129="","",IF(INDEX('Per Invoice'!N$2:N$801,$W129)="","",INDEX('Per Invoice'!N$2:N$801,$W129)))</f>
        <v/>
      </c>
      <c r="O129" s="7">
        <f>IF($W129="","",IF(INDEX('Per Invoice'!O$2:O$801,$W129)="","",INDEX('Per Invoice'!O$2:O$801,$W129)))</f>
        <v/>
      </c>
      <c r="P129">
        <f>IF($W129="","",IF(INDEX('Per Invoice'!P$2:P$801,$W129)="","",INDEX('Per Invoice'!P$2:P$801,$W129)))</f>
        <v/>
      </c>
      <c r="Q129" s="7">
        <f>IF($W129="","",IF(INDEX('Per Invoice'!Q$2:Q$801,$W129)="","",INDEX('Per Invoice'!Q$2:Q$801,$W129)))</f>
        <v/>
      </c>
      <c r="R129" s="7">
        <f>IF($W129="","",IF(INDEX('Per Invoice'!R$2:R$801,$W129)="","",INDEX('Per Invoice'!R$2:R$801,$W129)))</f>
        <v/>
      </c>
      <c r="S129" s="7">
        <f>IF($W129="","",IF(INDEX('Per Invoice'!S$2:S$801,$W129)="","",INDEX('Per Invoice'!S$2:S$801,$W129)))</f>
        <v/>
      </c>
      <c r="T129" s="7">
        <f>IF($W129="","",IF(INDEX('Per Invoice'!T$2:T$801,$W129)="","",INDEX('Per Invoice'!T$2:T$801,$W129)))</f>
        <v/>
      </c>
      <c r="U129" s="7">
        <f>IF($W129="","",IF(INDEX('Per Invoice'!U$2:U$801,$W129)="","",INDEX('Per Invoice'!U$2:U$801,$W129)))</f>
        <v/>
      </c>
      <c r="V129" s="7">
        <f>IF($W129="","",IF(INDEX('Per Invoice'!V$2:V$801,$W129)="","",INDEX('Per Invoice'!V$2:V$801,$W129)))</f>
        <v/>
      </c>
      <c r="W129" s="16">
        <f>IFERROR(MATCH(Settings!$C$32&amp;"|"&amp;ROWS($W$2:$W129),'Per Invoice'!$X$2:$X$801,0),"")</f>
        <v/>
      </c>
    </row>
    <row r="130">
      <c r="A130">
        <f>IF($W130="","",IF(INDEX('Per Invoice'!A$2:A$801,$W130)="","",INDEX('Per Invoice'!A$2:A$801,$W130)))</f>
        <v/>
      </c>
      <c r="B130">
        <f>IF($W130="","",IF(INDEX('Per Invoice'!B$2:B$801,$W130)="","",INDEX('Per Invoice'!B$2:B$801,$W130)))</f>
        <v/>
      </c>
      <c r="C130">
        <f>IF($W130="","",IF(INDEX('Per Invoice'!C$2:C$801,$W130)="","",INDEX('Per Invoice'!C$2:C$801,$W130)))</f>
        <v/>
      </c>
      <c r="D130">
        <f>IF($W130="","",IF(INDEX('Per Invoice'!D$2:D$801,$W130)="","",INDEX('Per Invoice'!D$2:D$801,$W130)))</f>
        <v/>
      </c>
      <c r="E130">
        <f>IF($W130="","",IF(INDEX('Per Invoice'!E$2:E$801,$W130)="","",INDEX('Per Invoice'!E$2:E$801,$W130)))</f>
        <v/>
      </c>
      <c r="F130">
        <f>IF($W130="","",IF(INDEX('Per Invoice'!F$2:F$801,$W130)="","",INDEX('Per Invoice'!F$2:F$801,$W130)))</f>
        <v/>
      </c>
      <c r="G130">
        <f>IF($W130="","",IF(INDEX('Per Invoice'!G$2:G$801,$W130)="","",INDEX('Per Invoice'!G$2:G$801,$W130)))</f>
        <v/>
      </c>
      <c r="H130">
        <f>IF($W130="","",IF(INDEX('Per Invoice'!H$2:H$801,$W130)="","",INDEX('Per Invoice'!H$2:H$801,$W130)))</f>
        <v/>
      </c>
      <c r="I130">
        <f>IF($W130="","",IF(INDEX('Per Invoice'!I$2:I$801,$W130)="","",INDEX('Per Invoice'!I$2:I$801,$W130)))</f>
        <v/>
      </c>
      <c r="J130">
        <f>IF($W130="","",IF(INDEX('Per Invoice'!J$2:J$801,$W130)="","",INDEX('Per Invoice'!J$2:J$801,$W130)))</f>
        <v/>
      </c>
      <c r="K130" s="7">
        <f>IF($W130="","",IF(INDEX('Per Invoice'!K$2:K$801,$W130)="","",INDEX('Per Invoice'!K$2:K$801,$W130)))</f>
        <v/>
      </c>
      <c r="L130" s="14">
        <f>IF($W130="","",IF(INDEX('Per Invoice'!L$2:L$801,$W130)="","",INDEX('Per Invoice'!L$2:L$801,$W130)))</f>
        <v/>
      </c>
      <c r="M130">
        <f>IF($W130="","",IF(INDEX('Per Invoice'!M$2:M$801,$W130)="","",INDEX('Per Invoice'!M$2:M$801,$W130)))</f>
        <v/>
      </c>
      <c r="N130" s="7">
        <f>IF($W130="","",IF(INDEX('Per Invoice'!N$2:N$801,$W130)="","",INDEX('Per Invoice'!N$2:N$801,$W130)))</f>
        <v/>
      </c>
      <c r="O130" s="7">
        <f>IF($W130="","",IF(INDEX('Per Invoice'!O$2:O$801,$W130)="","",INDEX('Per Invoice'!O$2:O$801,$W130)))</f>
        <v/>
      </c>
      <c r="P130">
        <f>IF($W130="","",IF(INDEX('Per Invoice'!P$2:P$801,$W130)="","",INDEX('Per Invoice'!P$2:P$801,$W130)))</f>
        <v/>
      </c>
      <c r="Q130" s="7">
        <f>IF($W130="","",IF(INDEX('Per Invoice'!Q$2:Q$801,$W130)="","",INDEX('Per Invoice'!Q$2:Q$801,$W130)))</f>
        <v/>
      </c>
      <c r="R130" s="7">
        <f>IF($W130="","",IF(INDEX('Per Invoice'!R$2:R$801,$W130)="","",INDEX('Per Invoice'!R$2:R$801,$W130)))</f>
        <v/>
      </c>
      <c r="S130" s="7">
        <f>IF($W130="","",IF(INDEX('Per Invoice'!S$2:S$801,$W130)="","",INDEX('Per Invoice'!S$2:S$801,$W130)))</f>
        <v/>
      </c>
      <c r="T130" s="7">
        <f>IF($W130="","",IF(INDEX('Per Invoice'!T$2:T$801,$W130)="","",INDEX('Per Invoice'!T$2:T$801,$W130)))</f>
        <v/>
      </c>
      <c r="U130" s="7">
        <f>IF($W130="","",IF(INDEX('Per Invoice'!U$2:U$801,$W130)="","",INDEX('Per Invoice'!U$2:U$801,$W130)))</f>
        <v/>
      </c>
      <c r="V130" s="7">
        <f>IF($W130="","",IF(INDEX('Per Invoice'!V$2:V$801,$W130)="","",INDEX('Per Invoice'!V$2:V$801,$W130)))</f>
        <v/>
      </c>
      <c r="W130" s="16">
        <f>IFERROR(MATCH(Settings!$C$32&amp;"|"&amp;ROWS($W$2:$W130),'Per Invoice'!$X$2:$X$801,0),"")</f>
        <v/>
      </c>
    </row>
    <row r="131">
      <c r="A131">
        <f>IF($W131="","",IF(INDEX('Per Invoice'!A$2:A$801,$W131)="","",INDEX('Per Invoice'!A$2:A$801,$W131)))</f>
        <v/>
      </c>
      <c r="B131">
        <f>IF($W131="","",IF(INDEX('Per Invoice'!B$2:B$801,$W131)="","",INDEX('Per Invoice'!B$2:B$801,$W131)))</f>
        <v/>
      </c>
      <c r="C131">
        <f>IF($W131="","",IF(INDEX('Per Invoice'!C$2:C$801,$W131)="","",INDEX('Per Invoice'!C$2:C$801,$W131)))</f>
        <v/>
      </c>
      <c r="D131">
        <f>IF($W131="","",IF(INDEX('Per Invoice'!D$2:D$801,$W131)="","",INDEX('Per Invoice'!D$2:D$801,$W131)))</f>
        <v/>
      </c>
      <c r="E131">
        <f>IF($W131="","",IF(INDEX('Per Invoice'!E$2:E$801,$W131)="","",INDEX('Per Invoice'!E$2:E$801,$W131)))</f>
        <v/>
      </c>
      <c r="F131">
        <f>IF($W131="","",IF(INDEX('Per Invoice'!F$2:F$801,$W131)="","",INDEX('Per Invoice'!F$2:F$801,$W131)))</f>
        <v/>
      </c>
      <c r="G131">
        <f>IF($W131="","",IF(INDEX('Per Invoice'!G$2:G$801,$W131)="","",INDEX('Per Invoice'!G$2:G$801,$W131)))</f>
        <v/>
      </c>
      <c r="H131">
        <f>IF($W131="","",IF(INDEX('Per Invoice'!H$2:H$801,$W131)="","",INDEX('Per Invoice'!H$2:H$801,$W131)))</f>
        <v/>
      </c>
      <c r="I131">
        <f>IF($W131="","",IF(INDEX('Per Invoice'!I$2:I$801,$W131)="","",INDEX('Per Invoice'!I$2:I$801,$W131)))</f>
        <v/>
      </c>
      <c r="J131">
        <f>IF($W131="","",IF(INDEX('Per Invoice'!J$2:J$801,$W131)="","",INDEX('Per Invoice'!J$2:J$801,$W131)))</f>
        <v/>
      </c>
      <c r="K131" s="7">
        <f>IF($W131="","",IF(INDEX('Per Invoice'!K$2:K$801,$W131)="","",INDEX('Per Invoice'!K$2:K$801,$W131)))</f>
        <v/>
      </c>
      <c r="L131" s="14">
        <f>IF($W131="","",IF(INDEX('Per Invoice'!L$2:L$801,$W131)="","",INDEX('Per Invoice'!L$2:L$801,$W131)))</f>
        <v/>
      </c>
      <c r="M131">
        <f>IF($W131="","",IF(INDEX('Per Invoice'!M$2:M$801,$W131)="","",INDEX('Per Invoice'!M$2:M$801,$W131)))</f>
        <v/>
      </c>
      <c r="N131" s="7">
        <f>IF($W131="","",IF(INDEX('Per Invoice'!N$2:N$801,$W131)="","",INDEX('Per Invoice'!N$2:N$801,$W131)))</f>
        <v/>
      </c>
      <c r="O131" s="7">
        <f>IF($W131="","",IF(INDEX('Per Invoice'!O$2:O$801,$W131)="","",INDEX('Per Invoice'!O$2:O$801,$W131)))</f>
        <v/>
      </c>
      <c r="P131">
        <f>IF($W131="","",IF(INDEX('Per Invoice'!P$2:P$801,$W131)="","",INDEX('Per Invoice'!P$2:P$801,$W131)))</f>
        <v/>
      </c>
      <c r="Q131" s="7">
        <f>IF($W131="","",IF(INDEX('Per Invoice'!Q$2:Q$801,$W131)="","",INDEX('Per Invoice'!Q$2:Q$801,$W131)))</f>
        <v/>
      </c>
      <c r="R131" s="7">
        <f>IF($W131="","",IF(INDEX('Per Invoice'!R$2:R$801,$W131)="","",INDEX('Per Invoice'!R$2:R$801,$W131)))</f>
        <v/>
      </c>
      <c r="S131" s="7">
        <f>IF($W131="","",IF(INDEX('Per Invoice'!S$2:S$801,$W131)="","",INDEX('Per Invoice'!S$2:S$801,$W131)))</f>
        <v/>
      </c>
      <c r="T131" s="7">
        <f>IF($W131="","",IF(INDEX('Per Invoice'!T$2:T$801,$W131)="","",INDEX('Per Invoice'!T$2:T$801,$W131)))</f>
        <v/>
      </c>
      <c r="U131" s="7">
        <f>IF($W131="","",IF(INDEX('Per Invoice'!U$2:U$801,$W131)="","",INDEX('Per Invoice'!U$2:U$801,$W131)))</f>
        <v/>
      </c>
      <c r="V131" s="7">
        <f>IF($W131="","",IF(INDEX('Per Invoice'!V$2:V$801,$W131)="","",INDEX('Per Invoice'!V$2:V$801,$W131)))</f>
        <v/>
      </c>
      <c r="W131" s="16">
        <f>IFERROR(MATCH(Settings!$C$32&amp;"|"&amp;ROWS($W$2:$W131),'Per Invoice'!$X$2:$X$801,0),"")</f>
        <v/>
      </c>
    </row>
    <row r="132">
      <c r="A132">
        <f>IF($W132="","",IF(INDEX('Per Invoice'!A$2:A$801,$W132)="","",INDEX('Per Invoice'!A$2:A$801,$W132)))</f>
        <v/>
      </c>
      <c r="B132">
        <f>IF($W132="","",IF(INDEX('Per Invoice'!B$2:B$801,$W132)="","",INDEX('Per Invoice'!B$2:B$801,$W132)))</f>
        <v/>
      </c>
      <c r="C132">
        <f>IF($W132="","",IF(INDEX('Per Invoice'!C$2:C$801,$W132)="","",INDEX('Per Invoice'!C$2:C$801,$W132)))</f>
        <v/>
      </c>
      <c r="D132">
        <f>IF($W132="","",IF(INDEX('Per Invoice'!D$2:D$801,$W132)="","",INDEX('Per Invoice'!D$2:D$801,$W132)))</f>
        <v/>
      </c>
      <c r="E132">
        <f>IF($W132="","",IF(INDEX('Per Invoice'!E$2:E$801,$W132)="","",INDEX('Per Invoice'!E$2:E$801,$W132)))</f>
        <v/>
      </c>
      <c r="F132">
        <f>IF($W132="","",IF(INDEX('Per Invoice'!F$2:F$801,$W132)="","",INDEX('Per Invoice'!F$2:F$801,$W132)))</f>
        <v/>
      </c>
      <c r="G132">
        <f>IF($W132="","",IF(INDEX('Per Invoice'!G$2:G$801,$W132)="","",INDEX('Per Invoice'!G$2:G$801,$W132)))</f>
        <v/>
      </c>
      <c r="H132">
        <f>IF($W132="","",IF(INDEX('Per Invoice'!H$2:H$801,$W132)="","",INDEX('Per Invoice'!H$2:H$801,$W132)))</f>
        <v/>
      </c>
      <c r="I132">
        <f>IF($W132="","",IF(INDEX('Per Invoice'!I$2:I$801,$W132)="","",INDEX('Per Invoice'!I$2:I$801,$W132)))</f>
        <v/>
      </c>
      <c r="J132">
        <f>IF($W132="","",IF(INDEX('Per Invoice'!J$2:J$801,$W132)="","",INDEX('Per Invoice'!J$2:J$801,$W132)))</f>
        <v/>
      </c>
      <c r="K132" s="7">
        <f>IF($W132="","",IF(INDEX('Per Invoice'!K$2:K$801,$W132)="","",INDEX('Per Invoice'!K$2:K$801,$W132)))</f>
        <v/>
      </c>
      <c r="L132" s="14">
        <f>IF($W132="","",IF(INDEX('Per Invoice'!L$2:L$801,$W132)="","",INDEX('Per Invoice'!L$2:L$801,$W132)))</f>
        <v/>
      </c>
      <c r="M132">
        <f>IF($W132="","",IF(INDEX('Per Invoice'!M$2:M$801,$W132)="","",INDEX('Per Invoice'!M$2:M$801,$W132)))</f>
        <v/>
      </c>
      <c r="N132" s="7">
        <f>IF($W132="","",IF(INDEX('Per Invoice'!N$2:N$801,$W132)="","",INDEX('Per Invoice'!N$2:N$801,$W132)))</f>
        <v/>
      </c>
      <c r="O132" s="7">
        <f>IF($W132="","",IF(INDEX('Per Invoice'!O$2:O$801,$W132)="","",INDEX('Per Invoice'!O$2:O$801,$W132)))</f>
        <v/>
      </c>
      <c r="P132">
        <f>IF($W132="","",IF(INDEX('Per Invoice'!P$2:P$801,$W132)="","",INDEX('Per Invoice'!P$2:P$801,$W132)))</f>
        <v/>
      </c>
      <c r="Q132" s="7">
        <f>IF($W132="","",IF(INDEX('Per Invoice'!Q$2:Q$801,$W132)="","",INDEX('Per Invoice'!Q$2:Q$801,$W132)))</f>
        <v/>
      </c>
      <c r="R132" s="7">
        <f>IF($W132="","",IF(INDEX('Per Invoice'!R$2:R$801,$W132)="","",INDEX('Per Invoice'!R$2:R$801,$W132)))</f>
        <v/>
      </c>
      <c r="S132" s="7">
        <f>IF($W132="","",IF(INDEX('Per Invoice'!S$2:S$801,$W132)="","",INDEX('Per Invoice'!S$2:S$801,$W132)))</f>
        <v/>
      </c>
      <c r="T132" s="7">
        <f>IF($W132="","",IF(INDEX('Per Invoice'!T$2:T$801,$W132)="","",INDEX('Per Invoice'!T$2:T$801,$W132)))</f>
        <v/>
      </c>
      <c r="U132" s="7">
        <f>IF($W132="","",IF(INDEX('Per Invoice'!U$2:U$801,$W132)="","",INDEX('Per Invoice'!U$2:U$801,$W132)))</f>
        <v/>
      </c>
      <c r="V132" s="7">
        <f>IF($W132="","",IF(INDEX('Per Invoice'!V$2:V$801,$W132)="","",INDEX('Per Invoice'!V$2:V$801,$W132)))</f>
        <v/>
      </c>
      <c r="W132" s="16">
        <f>IFERROR(MATCH(Settings!$C$32&amp;"|"&amp;ROWS($W$2:$W132),'Per Invoice'!$X$2:$X$801,0),"")</f>
        <v/>
      </c>
    </row>
    <row r="133">
      <c r="A133">
        <f>IF($W133="","",IF(INDEX('Per Invoice'!A$2:A$801,$W133)="","",INDEX('Per Invoice'!A$2:A$801,$W133)))</f>
        <v/>
      </c>
      <c r="B133">
        <f>IF($W133="","",IF(INDEX('Per Invoice'!B$2:B$801,$W133)="","",INDEX('Per Invoice'!B$2:B$801,$W133)))</f>
        <v/>
      </c>
      <c r="C133">
        <f>IF($W133="","",IF(INDEX('Per Invoice'!C$2:C$801,$W133)="","",INDEX('Per Invoice'!C$2:C$801,$W133)))</f>
        <v/>
      </c>
      <c r="D133">
        <f>IF($W133="","",IF(INDEX('Per Invoice'!D$2:D$801,$W133)="","",INDEX('Per Invoice'!D$2:D$801,$W133)))</f>
        <v/>
      </c>
      <c r="E133">
        <f>IF($W133="","",IF(INDEX('Per Invoice'!E$2:E$801,$W133)="","",INDEX('Per Invoice'!E$2:E$801,$W133)))</f>
        <v/>
      </c>
      <c r="F133">
        <f>IF($W133="","",IF(INDEX('Per Invoice'!F$2:F$801,$W133)="","",INDEX('Per Invoice'!F$2:F$801,$W133)))</f>
        <v/>
      </c>
      <c r="G133">
        <f>IF($W133="","",IF(INDEX('Per Invoice'!G$2:G$801,$W133)="","",INDEX('Per Invoice'!G$2:G$801,$W133)))</f>
        <v/>
      </c>
      <c r="H133">
        <f>IF($W133="","",IF(INDEX('Per Invoice'!H$2:H$801,$W133)="","",INDEX('Per Invoice'!H$2:H$801,$W133)))</f>
        <v/>
      </c>
      <c r="I133">
        <f>IF($W133="","",IF(INDEX('Per Invoice'!I$2:I$801,$W133)="","",INDEX('Per Invoice'!I$2:I$801,$W133)))</f>
        <v/>
      </c>
      <c r="J133">
        <f>IF($W133="","",IF(INDEX('Per Invoice'!J$2:J$801,$W133)="","",INDEX('Per Invoice'!J$2:J$801,$W133)))</f>
        <v/>
      </c>
      <c r="K133" s="7">
        <f>IF($W133="","",IF(INDEX('Per Invoice'!K$2:K$801,$W133)="","",INDEX('Per Invoice'!K$2:K$801,$W133)))</f>
        <v/>
      </c>
      <c r="L133" s="14">
        <f>IF($W133="","",IF(INDEX('Per Invoice'!L$2:L$801,$W133)="","",INDEX('Per Invoice'!L$2:L$801,$W133)))</f>
        <v/>
      </c>
      <c r="M133">
        <f>IF($W133="","",IF(INDEX('Per Invoice'!M$2:M$801,$W133)="","",INDEX('Per Invoice'!M$2:M$801,$W133)))</f>
        <v/>
      </c>
      <c r="N133" s="7">
        <f>IF($W133="","",IF(INDEX('Per Invoice'!N$2:N$801,$W133)="","",INDEX('Per Invoice'!N$2:N$801,$W133)))</f>
        <v/>
      </c>
      <c r="O133" s="7">
        <f>IF($W133="","",IF(INDEX('Per Invoice'!O$2:O$801,$W133)="","",INDEX('Per Invoice'!O$2:O$801,$W133)))</f>
        <v/>
      </c>
      <c r="P133">
        <f>IF($W133="","",IF(INDEX('Per Invoice'!P$2:P$801,$W133)="","",INDEX('Per Invoice'!P$2:P$801,$W133)))</f>
        <v/>
      </c>
      <c r="Q133" s="7">
        <f>IF($W133="","",IF(INDEX('Per Invoice'!Q$2:Q$801,$W133)="","",INDEX('Per Invoice'!Q$2:Q$801,$W133)))</f>
        <v/>
      </c>
      <c r="R133" s="7">
        <f>IF($W133="","",IF(INDEX('Per Invoice'!R$2:R$801,$W133)="","",INDEX('Per Invoice'!R$2:R$801,$W133)))</f>
        <v/>
      </c>
      <c r="S133" s="7">
        <f>IF($W133="","",IF(INDEX('Per Invoice'!S$2:S$801,$W133)="","",INDEX('Per Invoice'!S$2:S$801,$W133)))</f>
        <v/>
      </c>
      <c r="T133" s="7">
        <f>IF($W133="","",IF(INDEX('Per Invoice'!T$2:T$801,$W133)="","",INDEX('Per Invoice'!T$2:T$801,$W133)))</f>
        <v/>
      </c>
      <c r="U133" s="7">
        <f>IF($W133="","",IF(INDEX('Per Invoice'!U$2:U$801,$W133)="","",INDEX('Per Invoice'!U$2:U$801,$W133)))</f>
        <v/>
      </c>
      <c r="V133" s="7">
        <f>IF($W133="","",IF(INDEX('Per Invoice'!V$2:V$801,$W133)="","",INDEX('Per Invoice'!V$2:V$801,$W133)))</f>
        <v/>
      </c>
      <c r="W133" s="16">
        <f>IFERROR(MATCH(Settings!$C$32&amp;"|"&amp;ROWS($W$2:$W133),'Per Invoice'!$X$2:$X$801,0),"")</f>
        <v/>
      </c>
    </row>
    <row r="134">
      <c r="A134">
        <f>IF($W134="","",IF(INDEX('Per Invoice'!A$2:A$801,$W134)="","",INDEX('Per Invoice'!A$2:A$801,$W134)))</f>
        <v/>
      </c>
      <c r="B134">
        <f>IF($W134="","",IF(INDEX('Per Invoice'!B$2:B$801,$W134)="","",INDEX('Per Invoice'!B$2:B$801,$W134)))</f>
        <v/>
      </c>
      <c r="C134">
        <f>IF($W134="","",IF(INDEX('Per Invoice'!C$2:C$801,$W134)="","",INDEX('Per Invoice'!C$2:C$801,$W134)))</f>
        <v/>
      </c>
      <c r="D134">
        <f>IF($W134="","",IF(INDEX('Per Invoice'!D$2:D$801,$W134)="","",INDEX('Per Invoice'!D$2:D$801,$W134)))</f>
        <v/>
      </c>
      <c r="E134">
        <f>IF($W134="","",IF(INDEX('Per Invoice'!E$2:E$801,$W134)="","",INDEX('Per Invoice'!E$2:E$801,$W134)))</f>
        <v/>
      </c>
      <c r="F134">
        <f>IF($W134="","",IF(INDEX('Per Invoice'!F$2:F$801,$W134)="","",INDEX('Per Invoice'!F$2:F$801,$W134)))</f>
        <v/>
      </c>
      <c r="G134">
        <f>IF($W134="","",IF(INDEX('Per Invoice'!G$2:G$801,$W134)="","",INDEX('Per Invoice'!G$2:G$801,$W134)))</f>
        <v/>
      </c>
      <c r="H134">
        <f>IF($W134="","",IF(INDEX('Per Invoice'!H$2:H$801,$W134)="","",INDEX('Per Invoice'!H$2:H$801,$W134)))</f>
        <v/>
      </c>
      <c r="I134">
        <f>IF($W134="","",IF(INDEX('Per Invoice'!I$2:I$801,$W134)="","",INDEX('Per Invoice'!I$2:I$801,$W134)))</f>
        <v/>
      </c>
      <c r="J134">
        <f>IF($W134="","",IF(INDEX('Per Invoice'!J$2:J$801,$W134)="","",INDEX('Per Invoice'!J$2:J$801,$W134)))</f>
        <v/>
      </c>
      <c r="K134" s="7">
        <f>IF($W134="","",IF(INDEX('Per Invoice'!K$2:K$801,$W134)="","",INDEX('Per Invoice'!K$2:K$801,$W134)))</f>
        <v/>
      </c>
      <c r="L134" s="14">
        <f>IF($W134="","",IF(INDEX('Per Invoice'!L$2:L$801,$W134)="","",INDEX('Per Invoice'!L$2:L$801,$W134)))</f>
        <v/>
      </c>
      <c r="M134">
        <f>IF($W134="","",IF(INDEX('Per Invoice'!M$2:M$801,$W134)="","",INDEX('Per Invoice'!M$2:M$801,$W134)))</f>
        <v/>
      </c>
      <c r="N134" s="7">
        <f>IF($W134="","",IF(INDEX('Per Invoice'!N$2:N$801,$W134)="","",INDEX('Per Invoice'!N$2:N$801,$W134)))</f>
        <v/>
      </c>
      <c r="O134" s="7">
        <f>IF($W134="","",IF(INDEX('Per Invoice'!O$2:O$801,$W134)="","",INDEX('Per Invoice'!O$2:O$801,$W134)))</f>
        <v/>
      </c>
      <c r="P134">
        <f>IF($W134="","",IF(INDEX('Per Invoice'!P$2:P$801,$W134)="","",INDEX('Per Invoice'!P$2:P$801,$W134)))</f>
        <v/>
      </c>
      <c r="Q134" s="7">
        <f>IF($W134="","",IF(INDEX('Per Invoice'!Q$2:Q$801,$W134)="","",INDEX('Per Invoice'!Q$2:Q$801,$W134)))</f>
        <v/>
      </c>
      <c r="R134" s="7">
        <f>IF($W134="","",IF(INDEX('Per Invoice'!R$2:R$801,$W134)="","",INDEX('Per Invoice'!R$2:R$801,$W134)))</f>
        <v/>
      </c>
      <c r="S134" s="7">
        <f>IF($W134="","",IF(INDEX('Per Invoice'!S$2:S$801,$W134)="","",INDEX('Per Invoice'!S$2:S$801,$W134)))</f>
        <v/>
      </c>
      <c r="T134" s="7">
        <f>IF($W134="","",IF(INDEX('Per Invoice'!T$2:T$801,$W134)="","",INDEX('Per Invoice'!T$2:T$801,$W134)))</f>
        <v/>
      </c>
      <c r="U134" s="7">
        <f>IF($W134="","",IF(INDEX('Per Invoice'!U$2:U$801,$W134)="","",INDEX('Per Invoice'!U$2:U$801,$W134)))</f>
        <v/>
      </c>
      <c r="V134" s="7">
        <f>IF($W134="","",IF(INDEX('Per Invoice'!V$2:V$801,$W134)="","",INDEX('Per Invoice'!V$2:V$801,$W134)))</f>
        <v/>
      </c>
      <c r="W134" s="16">
        <f>IFERROR(MATCH(Settings!$C$32&amp;"|"&amp;ROWS($W$2:$W134),'Per Invoice'!$X$2:$X$801,0),"")</f>
        <v/>
      </c>
    </row>
    <row r="135">
      <c r="A135">
        <f>IF($W135="","",IF(INDEX('Per Invoice'!A$2:A$801,$W135)="","",INDEX('Per Invoice'!A$2:A$801,$W135)))</f>
        <v/>
      </c>
      <c r="B135">
        <f>IF($W135="","",IF(INDEX('Per Invoice'!B$2:B$801,$W135)="","",INDEX('Per Invoice'!B$2:B$801,$W135)))</f>
        <v/>
      </c>
      <c r="C135">
        <f>IF($W135="","",IF(INDEX('Per Invoice'!C$2:C$801,$W135)="","",INDEX('Per Invoice'!C$2:C$801,$W135)))</f>
        <v/>
      </c>
      <c r="D135">
        <f>IF($W135="","",IF(INDEX('Per Invoice'!D$2:D$801,$W135)="","",INDEX('Per Invoice'!D$2:D$801,$W135)))</f>
        <v/>
      </c>
      <c r="E135">
        <f>IF($W135="","",IF(INDEX('Per Invoice'!E$2:E$801,$W135)="","",INDEX('Per Invoice'!E$2:E$801,$W135)))</f>
        <v/>
      </c>
      <c r="F135">
        <f>IF($W135="","",IF(INDEX('Per Invoice'!F$2:F$801,$W135)="","",INDEX('Per Invoice'!F$2:F$801,$W135)))</f>
        <v/>
      </c>
      <c r="G135">
        <f>IF($W135="","",IF(INDEX('Per Invoice'!G$2:G$801,$W135)="","",INDEX('Per Invoice'!G$2:G$801,$W135)))</f>
        <v/>
      </c>
      <c r="H135">
        <f>IF($W135="","",IF(INDEX('Per Invoice'!H$2:H$801,$W135)="","",INDEX('Per Invoice'!H$2:H$801,$W135)))</f>
        <v/>
      </c>
      <c r="I135">
        <f>IF($W135="","",IF(INDEX('Per Invoice'!I$2:I$801,$W135)="","",INDEX('Per Invoice'!I$2:I$801,$W135)))</f>
        <v/>
      </c>
      <c r="J135">
        <f>IF($W135="","",IF(INDEX('Per Invoice'!J$2:J$801,$W135)="","",INDEX('Per Invoice'!J$2:J$801,$W135)))</f>
        <v/>
      </c>
      <c r="K135" s="7">
        <f>IF($W135="","",IF(INDEX('Per Invoice'!K$2:K$801,$W135)="","",INDEX('Per Invoice'!K$2:K$801,$W135)))</f>
        <v/>
      </c>
      <c r="L135" s="14">
        <f>IF($W135="","",IF(INDEX('Per Invoice'!L$2:L$801,$W135)="","",INDEX('Per Invoice'!L$2:L$801,$W135)))</f>
        <v/>
      </c>
      <c r="M135">
        <f>IF($W135="","",IF(INDEX('Per Invoice'!M$2:M$801,$W135)="","",INDEX('Per Invoice'!M$2:M$801,$W135)))</f>
        <v/>
      </c>
      <c r="N135" s="7">
        <f>IF($W135="","",IF(INDEX('Per Invoice'!N$2:N$801,$W135)="","",INDEX('Per Invoice'!N$2:N$801,$W135)))</f>
        <v/>
      </c>
      <c r="O135" s="7">
        <f>IF($W135="","",IF(INDEX('Per Invoice'!O$2:O$801,$W135)="","",INDEX('Per Invoice'!O$2:O$801,$W135)))</f>
        <v/>
      </c>
      <c r="P135">
        <f>IF($W135="","",IF(INDEX('Per Invoice'!P$2:P$801,$W135)="","",INDEX('Per Invoice'!P$2:P$801,$W135)))</f>
        <v/>
      </c>
      <c r="Q135" s="7">
        <f>IF($W135="","",IF(INDEX('Per Invoice'!Q$2:Q$801,$W135)="","",INDEX('Per Invoice'!Q$2:Q$801,$W135)))</f>
        <v/>
      </c>
      <c r="R135" s="7">
        <f>IF($W135="","",IF(INDEX('Per Invoice'!R$2:R$801,$W135)="","",INDEX('Per Invoice'!R$2:R$801,$W135)))</f>
        <v/>
      </c>
      <c r="S135" s="7">
        <f>IF($W135="","",IF(INDEX('Per Invoice'!S$2:S$801,$W135)="","",INDEX('Per Invoice'!S$2:S$801,$W135)))</f>
        <v/>
      </c>
      <c r="T135" s="7">
        <f>IF($W135="","",IF(INDEX('Per Invoice'!T$2:T$801,$W135)="","",INDEX('Per Invoice'!T$2:T$801,$W135)))</f>
        <v/>
      </c>
      <c r="U135" s="7">
        <f>IF($W135="","",IF(INDEX('Per Invoice'!U$2:U$801,$W135)="","",INDEX('Per Invoice'!U$2:U$801,$W135)))</f>
        <v/>
      </c>
      <c r="V135" s="7">
        <f>IF($W135="","",IF(INDEX('Per Invoice'!V$2:V$801,$W135)="","",INDEX('Per Invoice'!V$2:V$801,$W135)))</f>
        <v/>
      </c>
      <c r="W135" s="16">
        <f>IFERROR(MATCH(Settings!$C$32&amp;"|"&amp;ROWS($W$2:$W135),'Per Invoice'!$X$2:$X$801,0),"")</f>
        <v/>
      </c>
    </row>
    <row r="136">
      <c r="A136">
        <f>IF($W136="","",IF(INDEX('Per Invoice'!A$2:A$801,$W136)="","",INDEX('Per Invoice'!A$2:A$801,$W136)))</f>
        <v/>
      </c>
      <c r="B136">
        <f>IF($W136="","",IF(INDEX('Per Invoice'!B$2:B$801,$W136)="","",INDEX('Per Invoice'!B$2:B$801,$W136)))</f>
        <v/>
      </c>
      <c r="C136">
        <f>IF($W136="","",IF(INDEX('Per Invoice'!C$2:C$801,$W136)="","",INDEX('Per Invoice'!C$2:C$801,$W136)))</f>
        <v/>
      </c>
      <c r="D136">
        <f>IF($W136="","",IF(INDEX('Per Invoice'!D$2:D$801,$W136)="","",INDEX('Per Invoice'!D$2:D$801,$W136)))</f>
        <v/>
      </c>
      <c r="E136">
        <f>IF($W136="","",IF(INDEX('Per Invoice'!E$2:E$801,$W136)="","",INDEX('Per Invoice'!E$2:E$801,$W136)))</f>
        <v/>
      </c>
      <c r="F136">
        <f>IF($W136="","",IF(INDEX('Per Invoice'!F$2:F$801,$W136)="","",INDEX('Per Invoice'!F$2:F$801,$W136)))</f>
        <v/>
      </c>
      <c r="G136">
        <f>IF($W136="","",IF(INDEX('Per Invoice'!G$2:G$801,$W136)="","",INDEX('Per Invoice'!G$2:G$801,$W136)))</f>
        <v/>
      </c>
      <c r="H136">
        <f>IF($W136="","",IF(INDEX('Per Invoice'!H$2:H$801,$W136)="","",INDEX('Per Invoice'!H$2:H$801,$W136)))</f>
        <v/>
      </c>
      <c r="I136">
        <f>IF($W136="","",IF(INDEX('Per Invoice'!I$2:I$801,$W136)="","",INDEX('Per Invoice'!I$2:I$801,$W136)))</f>
        <v/>
      </c>
      <c r="J136">
        <f>IF($W136="","",IF(INDEX('Per Invoice'!J$2:J$801,$W136)="","",INDEX('Per Invoice'!J$2:J$801,$W136)))</f>
        <v/>
      </c>
      <c r="K136" s="7">
        <f>IF($W136="","",IF(INDEX('Per Invoice'!K$2:K$801,$W136)="","",INDEX('Per Invoice'!K$2:K$801,$W136)))</f>
        <v/>
      </c>
      <c r="L136" s="14">
        <f>IF($W136="","",IF(INDEX('Per Invoice'!L$2:L$801,$W136)="","",INDEX('Per Invoice'!L$2:L$801,$W136)))</f>
        <v/>
      </c>
      <c r="M136">
        <f>IF($W136="","",IF(INDEX('Per Invoice'!M$2:M$801,$W136)="","",INDEX('Per Invoice'!M$2:M$801,$W136)))</f>
        <v/>
      </c>
      <c r="N136" s="7">
        <f>IF($W136="","",IF(INDEX('Per Invoice'!N$2:N$801,$W136)="","",INDEX('Per Invoice'!N$2:N$801,$W136)))</f>
        <v/>
      </c>
      <c r="O136" s="7">
        <f>IF($W136="","",IF(INDEX('Per Invoice'!O$2:O$801,$W136)="","",INDEX('Per Invoice'!O$2:O$801,$W136)))</f>
        <v/>
      </c>
      <c r="P136">
        <f>IF($W136="","",IF(INDEX('Per Invoice'!P$2:P$801,$W136)="","",INDEX('Per Invoice'!P$2:P$801,$W136)))</f>
        <v/>
      </c>
      <c r="Q136" s="7">
        <f>IF($W136="","",IF(INDEX('Per Invoice'!Q$2:Q$801,$W136)="","",INDEX('Per Invoice'!Q$2:Q$801,$W136)))</f>
        <v/>
      </c>
      <c r="R136" s="7">
        <f>IF($W136="","",IF(INDEX('Per Invoice'!R$2:R$801,$W136)="","",INDEX('Per Invoice'!R$2:R$801,$W136)))</f>
        <v/>
      </c>
      <c r="S136" s="7">
        <f>IF($W136="","",IF(INDEX('Per Invoice'!S$2:S$801,$W136)="","",INDEX('Per Invoice'!S$2:S$801,$W136)))</f>
        <v/>
      </c>
      <c r="T136" s="7">
        <f>IF($W136="","",IF(INDEX('Per Invoice'!T$2:T$801,$W136)="","",INDEX('Per Invoice'!T$2:T$801,$W136)))</f>
        <v/>
      </c>
      <c r="U136" s="7">
        <f>IF($W136="","",IF(INDEX('Per Invoice'!U$2:U$801,$W136)="","",INDEX('Per Invoice'!U$2:U$801,$W136)))</f>
        <v/>
      </c>
      <c r="V136" s="7">
        <f>IF($W136="","",IF(INDEX('Per Invoice'!V$2:V$801,$W136)="","",INDEX('Per Invoice'!V$2:V$801,$W136)))</f>
        <v/>
      </c>
      <c r="W136" s="16">
        <f>IFERROR(MATCH(Settings!$C$32&amp;"|"&amp;ROWS($W$2:$W136),'Per Invoice'!$X$2:$X$801,0),"")</f>
        <v/>
      </c>
    </row>
    <row r="137">
      <c r="A137">
        <f>IF($W137="","",IF(INDEX('Per Invoice'!A$2:A$801,$W137)="","",INDEX('Per Invoice'!A$2:A$801,$W137)))</f>
        <v/>
      </c>
      <c r="B137">
        <f>IF($W137="","",IF(INDEX('Per Invoice'!B$2:B$801,$W137)="","",INDEX('Per Invoice'!B$2:B$801,$W137)))</f>
        <v/>
      </c>
      <c r="C137">
        <f>IF($W137="","",IF(INDEX('Per Invoice'!C$2:C$801,$W137)="","",INDEX('Per Invoice'!C$2:C$801,$W137)))</f>
        <v/>
      </c>
      <c r="D137">
        <f>IF($W137="","",IF(INDEX('Per Invoice'!D$2:D$801,$W137)="","",INDEX('Per Invoice'!D$2:D$801,$W137)))</f>
        <v/>
      </c>
      <c r="E137">
        <f>IF($W137="","",IF(INDEX('Per Invoice'!E$2:E$801,$W137)="","",INDEX('Per Invoice'!E$2:E$801,$W137)))</f>
        <v/>
      </c>
      <c r="F137">
        <f>IF($W137="","",IF(INDEX('Per Invoice'!F$2:F$801,$W137)="","",INDEX('Per Invoice'!F$2:F$801,$W137)))</f>
        <v/>
      </c>
      <c r="G137">
        <f>IF($W137="","",IF(INDEX('Per Invoice'!G$2:G$801,$W137)="","",INDEX('Per Invoice'!G$2:G$801,$W137)))</f>
        <v/>
      </c>
      <c r="H137">
        <f>IF($W137="","",IF(INDEX('Per Invoice'!H$2:H$801,$W137)="","",INDEX('Per Invoice'!H$2:H$801,$W137)))</f>
        <v/>
      </c>
      <c r="I137">
        <f>IF($W137="","",IF(INDEX('Per Invoice'!I$2:I$801,$W137)="","",INDEX('Per Invoice'!I$2:I$801,$W137)))</f>
        <v/>
      </c>
      <c r="J137">
        <f>IF($W137="","",IF(INDEX('Per Invoice'!J$2:J$801,$W137)="","",INDEX('Per Invoice'!J$2:J$801,$W137)))</f>
        <v/>
      </c>
      <c r="K137" s="7">
        <f>IF($W137="","",IF(INDEX('Per Invoice'!K$2:K$801,$W137)="","",INDEX('Per Invoice'!K$2:K$801,$W137)))</f>
        <v/>
      </c>
      <c r="L137" s="14">
        <f>IF($W137="","",IF(INDEX('Per Invoice'!L$2:L$801,$W137)="","",INDEX('Per Invoice'!L$2:L$801,$W137)))</f>
        <v/>
      </c>
      <c r="M137">
        <f>IF($W137="","",IF(INDEX('Per Invoice'!M$2:M$801,$W137)="","",INDEX('Per Invoice'!M$2:M$801,$W137)))</f>
        <v/>
      </c>
      <c r="N137" s="7">
        <f>IF($W137="","",IF(INDEX('Per Invoice'!N$2:N$801,$W137)="","",INDEX('Per Invoice'!N$2:N$801,$W137)))</f>
        <v/>
      </c>
      <c r="O137" s="7">
        <f>IF($W137="","",IF(INDEX('Per Invoice'!O$2:O$801,$W137)="","",INDEX('Per Invoice'!O$2:O$801,$W137)))</f>
        <v/>
      </c>
      <c r="P137">
        <f>IF($W137="","",IF(INDEX('Per Invoice'!P$2:P$801,$W137)="","",INDEX('Per Invoice'!P$2:P$801,$W137)))</f>
        <v/>
      </c>
      <c r="Q137" s="7">
        <f>IF($W137="","",IF(INDEX('Per Invoice'!Q$2:Q$801,$W137)="","",INDEX('Per Invoice'!Q$2:Q$801,$W137)))</f>
        <v/>
      </c>
      <c r="R137" s="7">
        <f>IF($W137="","",IF(INDEX('Per Invoice'!R$2:R$801,$W137)="","",INDEX('Per Invoice'!R$2:R$801,$W137)))</f>
        <v/>
      </c>
      <c r="S137" s="7">
        <f>IF($W137="","",IF(INDEX('Per Invoice'!S$2:S$801,$W137)="","",INDEX('Per Invoice'!S$2:S$801,$W137)))</f>
        <v/>
      </c>
      <c r="T137" s="7">
        <f>IF($W137="","",IF(INDEX('Per Invoice'!T$2:T$801,$W137)="","",INDEX('Per Invoice'!T$2:T$801,$W137)))</f>
        <v/>
      </c>
      <c r="U137" s="7">
        <f>IF($W137="","",IF(INDEX('Per Invoice'!U$2:U$801,$W137)="","",INDEX('Per Invoice'!U$2:U$801,$W137)))</f>
        <v/>
      </c>
      <c r="V137" s="7">
        <f>IF($W137="","",IF(INDEX('Per Invoice'!V$2:V$801,$W137)="","",INDEX('Per Invoice'!V$2:V$801,$W137)))</f>
        <v/>
      </c>
      <c r="W137" s="16">
        <f>IFERROR(MATCH(Settings!$C$32&amp;"|"&amp;ROWS($W$2:$W137),'Per Invoice'!$X$2:$X$801,0),"")</f>
        <v/>
      </c>
    </row>
    <row r="138">
      <c r="A138">
        <f>IF($W138="","",IF(INDEX('Per Invoice'!A$2:A$801,$W138)="","",INDEX('Per Invoice'!A$2:A$801,$W138)))</f>
        <v/>
      </c>
      <c r="B138">
        <f>IF($W138="","",IF(INDEX('Per Invoice'!B$2:B$801,$W138)="","",INDEX('Per Invoice'!B$2:B$801,$W138)))</f>
        <v/>
      </c>
      <c r="C138">
        <f>IF($W138="","",IF(INDEX('Per Invoice'!C$2:C$801,$W138)="","",INDEX('Per Invoice'!C$2:C$801,$W138)))</f>
        <v/>
      </c>
      <c r="D138">
        <f>IF($W138="","",IF(INDEX('Per Invoice'!D$2:D$801,$W138)="","",INDEX('Per Invoice'!D$2:D$801,$W138)))</f>
        <v/>
      </c>
      <c r="E138">
        <f>IF($W138="","",IF(INDEX('Per Invoice'!E$2:E$801,$W138)="","",INDEX('Per Invoice'!E$2:E$801,$W138)))</f>
        <v/>
      </c>
      <c r="F138">
        <f>IF($W138="","",IF(INDEX('Per Invoice'!F$2:F$801,$W138)="","",INDEX('Per Invoice'!F$2:F$801,$W138)))</f>
        <v/>
      </c>
      <c r="G138">
        <f>IF($W138="","",IF(INDEX('Per Invoice'!G$2:G$801,$W138)="","",INDEX('Per Invoice'!G$2:G$801,$W138)))</f>
        <v/>
      </c>
      <c r="H138">
        <f>IF($W138="","",IF(INDEX('Per Invoice'!H$2:H$801,$W138)="","",INDEX('Per Invoice'!H$2:H$801,$W138)))</f>
        <v/>
      </c>
      <c r="I138">
        <f>IF($W138="","",IF(INDEX('Per Invoice'!I$2:I$801,$W138)="","",INDEX('Per Invoice'!I$2:I$801,$W138)))</f>
        <v/>
      </c>
      <c r="J138">
        <f>IF($W138="","",IF(INDEX('Per Invoice'!J$2:J$801,$W138)="","",INDEX('Per Invoice'!J$2:J$801,$W138)))</f>
        <v/>
      </c>
      <c r="K138" s="7">
        <f>IF($W138="","",IF(INDEX('Per Invoice'!K$2:K$801,$W138)="","",INDEX('Per Invoice'!K$2:K$801,$W138)))</f>
        <v/>
      </c>
      <c r="L138" s="14">
        <f>IF($W138="","",IF(INDEX('Per Invoice'!L$2:L$801,$W138)="","",INDEX('Per Invoice'!L$2:L$801,$W138)))</f>
        <v/>
      </c>
      <c r="M138">
        <f>IF($W138="","",IF(INDEX('Per Invoice'!M$2:M$801,$W138)="","",INDEX('Per Invoice'!M$2:M$801,$W138)))</f>
        <v/>
      </c>
      <c r="N138" s="7">
        <f>IF($W138="","",IF(INDEX('Per Invoice'!N$2:N$801,$W138)="","",INDEX('Per Invoice'!N$2:N$801,$W138)))</f>
        <v/>
      </c>
      <c r="O138" s="7">
        <f>IF($W138="","",IF(INDEX('Per Invoice'!O$2:O$801,$W138)="","",INDEX('Per Invoice'!O$2:O$801,$W138)))</f>
        <v/>
      </c>
      <c r="P138">
        <f>IF($W138="","",IF(INDEX('Per Invoice'!P$2:P$801,$W138)="","",INDEX('Per Invoice'!P$2:P$801,$W138)))</f>
        <v/>
      </c>
      <c r="Q138" s="7">
        <f>IF($W138="","",IF(INDEX('Per Invoice'!Q$2:Q$801,$W138)="","",INDEX('Per Invoice'!Q$2:Q$801,$W138)))</f>
        <v/>
      </c>
      <c r="R138" s="7">
        <f>IF($W138="","",IF(INDEX('Per Invoice'!R$2:R$801,$W138)="","",INDEX('Per Invoice'!R$2:R$801,$W138)))</f>
        <v/>
      </c>
      <c r="S138" s="7">
        <f>IF($W138="","",IF(INDEX('Per Invoice'!S$2:S$801,$W138)="","",INDEX('Per Invoice'!S$2:S$801,$W138)))</f>
        <v/>
      </c>
      <c r="T138" s="7">
        <f>IF($W138="","",IF(INDEX('Per Invoice'!T$2:T$801,$W138)="","",INDEX('Per Invoice'!T$2:T$801,$W138)))</f>
        <v/>
      </c>
      <c r="U138" s="7">
        <f>IF($W138="","",IF(INDEX('Per Invoice'!U$2:U$801,$W138)="","",INDEX('Per Invoice'!U$2:U$801,$W138)))</f>
        <v/>
      </c>
      <c r="V138" s="7">
        <f>IF($W138="","",IF(INDEX('Per Invoice'!V$2:V$801,$W138)="","",INDEX('Per Invoice'!V$2:V$801,$W138)))</f>
        <v/>
      </c>
      <c r="W138" s="16">
        <f>IFERROR(MATCH(Settings!$C$32&amp;"|"&amp;ROWS($W$2:$W138),'Per Invoice'!$X$2:$X$801,0),"")</f>
        <v/>
      </c>
    </row>
    <row r="139">
      <c r="A139">
        <f>IF($W139="","",IF(INDEX('Per Invoice'!A$2:A$801,$W139)="","",INDEX('Per Invoice'!A$2:A$801,$W139)))</f>
        <v/>
      </c>
      <c r="B139">
        <f>IF($W139="","",IF(INDEX('Per Invoice'!B$2:B$801,$W139)="","",INDEX('Per Invoice'!B$2:B$801,$W139)))</f>
        <v/>
      </c>
      <c r="C139">
        <f>IF($W139="","",IF(INDEX('Per Invoice'!C$2:C$801,$W139)="","",INDEX('Per Invoice'!C$2:C$801,$W139)))</f>
        <v/>
      </c>
      <c r="D139">
        <f>IF($W139="","",IF(INDEX('Per Invoice'!D$2:D$801,$W139)="","",INDEX('Per Invoice'!D$2:D$801,$W139)))</f>
        <v/>
      </c>
      <c r="E139">
        <f>IF($W139="","",IF(INDEX('Per Invoice'!E$2:E$801,$W139)="","",INDEX('Per Invoice'!E$2:E$801,$W139)))</f>
        <v/>
      </c>
      <c r="F139">
        <f>IF($W139="","",IF(INDEX('Per Invoice'!F$2:F$801,$W139)="","",INDEX('Per Invoice'!F$2:F$801,$W139)))</f>
        <v/>
      </c>
      <c r="G139">
        <f>IF($W139="","",IF(INDEX('Per Invoice'!G$2:G$801,$W139)="","",INDEX('Per Invoice'!G$2:G$801,$W139)))</f>
        <v/>
      </c>
      <c r="H139">
        <f>IF($W139="","",IF(INDEX('Per Invoice'!H$2:H$801,$W139)="","",INDEX('Per Invoice'!H$2:H$801,$W139)))</f>
        <v/>
      </c>
      <c r="I139">
        <f>IF($W139="","",IF(INDEX('Per Invoice'!I$2:I$801,$W139)="","",INDEX('Per Invoice'!I$2:I$801,$W139)))</f>
        <v/>
      </c>
      <c r="J139">
        <f>IF($W139="","",IF(INDEX('Per Invoice'!J$2:J$801,$W139)="","",INDEX('Per Invoice'!J$2:J$801,$W139)))</f>
        <v/>
      </c>
      <c r="K139" s="7">
        <f>IF($W139="","",IF(INDEX('Per Invoice'!K$2:K$801,$W139)="","",INDEX('Per Invoice'!K$2:K$801,$W139)))</f>
        <v/>
      </c>
      <c r="L139" s="14">
        <f>IF($W139="","",IF(INDEX('Per Invoice'!L$2:L$801,$W139)="","",INDEX('Per Invoice'!L$2:L$801,$W139)))</f>
        <v/>
      </c>
      <c r="M139">
        <f>IF($W139="","",IF(INDEX('Per Invoice'!M$2:M$801,$W139)="","",INDEX('Per Invoice'!M$2:M$801,$W139)))</f>
        <v/>
      </c>
      <c r="N139" s="7">
        <f>IF($W139="","",IF(INDEX('Per Invoice'!N$2:N$801,$W139)="","",INDEX('Per Invoice'!N$2:N$801,$W139)))</f>
        <v/>
      </c>
      <c r="O139" s="7">
        <f>IF($W139="","",IF(INDEX('Per Invoice'!O$2:O$801,$W139)="","",INDEX('Per Invoice'!O$2:O$801,$W139)))</f>
        <v/>
      </c>
      <c r="P139">
        <f>IF($W139="","",IF(INDEX('Per Invoice'!P$2:P$801,$W139)="","",INDEX('Per Invoice'!P$2:P$801,$W139)))</f>
        <v/>
      </c>
      <c r="Q139" s="7">
        <f>IF($W139="","",IF(INDEX('Per Invoice'!Q$2:Q$801,$W139)="","",INDEX('Per Invoice'!Q$2:Q$801,$W139)))</f>
        <v/>
      </c>
      <c r="R139" s="7">
        <f>IF($W139="","",IF(INDEX('Per Invoice'!R$2:R$801,$W139)="","",INDEX('Per Invoice'!R$2:R$801,$W139)))</f>
        <v/>
      </c>
      <c r="S139" s="7">
        <f>IF($W139="","",IF(INDEX('Per Invoice'!S$2:S$801,$W139)="","",INDEX('Per Invoice'!S$2:S$801,$W139)))</f>
        <v/>
      </c>
      <c r="T139" s="7">
        <f>IF($W139="","",IF(INDEX('Per Invoice'!T$2:T$801,$W139)="","",INDEX('Per Invoice'!T$2:T$801,$W139)))</f>
        <v/>
      </c>
      <c r="U139" s="7">
        <f>IF($W139="","",IF(INDEX('Per Invoice'!U$2:U$801,$W139)="","",INDEX('Per Invoice'!U$2:U$801,$W139)))</f>
        <v/>
      </c>
      <c r="V139" s="7">
        <f>IF($W139="","",IF(INDEX('Per Invoice'!V$2:V$801,$W139)="","",INDEX('Per Invoice'!V$2:V$801,$W139)))</f>
        <v/>
      </c>
      <c r="W139" s="16">
        <f>IFERROR(MATCH(Settings!$C$32&amp;"|"&amp;ROWS($W$2:$W139),'Per Invoice'!$X$2:$X$801,0),"")</f>
        <v/>
      </c>
    </row>
    <row r="140">
      <c r="A140">
        <f>IF($W140="","",IF(INDEX('Per Invoice'!A$2:A$801,$W140)="","",INDEX('Per Invoice'!A$2:A$801,$W140)))</f>
        <v/>
      </c>
      <c r="B140">
        <f>IF($W140="","",IF(INDEX('Per Invoice'!B$2:B$801,$W140)="","",INDEX('Per Invoice'!B$2:B$801,$W140)))</f>
        <v/>
      </c>
      <c r="C140">
        <f>IF($W140="","",IF(INDEX('Per Invoice'!C$2:C$801,$W140)="","",INDEX('Per Invoice'!C$2:C$801,$W140)))</f>
        <v/>
      </c>
      <c r="D140">
        <f>IF($W140="","",IF(INDEX('Per Invoice'!D$2:D$801,$W140)="","",INDEX('Per Invoice'!D$2:D$801,$W140)))</f>
        <v/>
      </c>
      <c r="E140">
        <f>IF($W140="","",IF(INDEX('Per Invoice'!E$2:E$801,$W140)="","",INDEX('Per Invoice'!E$2:E$801,$W140)))</f>
        <v/>
      </c>
      <c r="F140">
        <f>IF($W140="","",IF(INDEX('Per Invoice'!F$2:F$801,$W140)="","",INDEX('Per Invoice'!F$2:F$801,$W140)))</f>
        <v/>
      </c>
      <c r="G140">
        <f>IF($W140="","",IF(INDEX('Per Invoice'!G$2:G$801,$W140)="","",INDEX('Per Invoice'!G$2:G$801,$W140)))</f>
        <v/>
      </c>
      <c r="H140">
        <f>IF($W140="","",IF(INDEX('Per Invoice'!H$2:H$801,$W140)="","",INDEX('Per Invoice'!H$2:H$801,$W140)))</f>
        <v/>
      </c>
      <c r="I140">
        <f>IF($W140="","",IF(INDEX('Per Invoice'!I$2:I$801,$W140)="","",INDEX('Per Invoice'!I$2:I$801,$W140)))</f>
        <v/>
      </c>
      <c r="J140">
        <f>IF($W140="","",IF(INDEX('Per Invoice'!J$2:J$801,$W140)="","",INDEX('Per Invoice'!J$2:J$801,$W140)))</f>
        <v/>
      </c>
      <c r="K140" s="7">
        <f>IF($W140="","",IF(INDEX('Per Invoice'!K$2:K$801,$W140)="","",INDEX('Per Invoice'!K$2:K$801,$W140)))</f>
        <v/>
      </c>
      <c r="L140" s="14">
        <f>IF($W140="","",IF(INDEX('Per Invoice'!L$2:L$801,$W140)="","",INDEX('Per Invoice'!L$2:L$801,$W140)))</f>
        <v/>
      </c>
      <c r="M140">
        <f>IF($W140="","",IF(INDEX('Per Invoice'!M$2:M$801,$W140)="","",INDEX('Per Invoice'!M$2:M$801,$W140)))</f>
        <v/>
      </c>
      <c r="N140" s="7">
        <f>IF($W140="","",IF(INDEX('Per Invoice'!N$2:N$801,$W140)="","",INDEX('Per Invoice'!N$2:N$801,$W140)))</f>
        <v/>
      </c>
      <c r="O140" s="7">
        <f>IF($W140="","",IF(INDEX('Per Invoice'!O$2:O$801,$W140)="","",INDEX('Per Invoice'!O$2:O$801,$W140)))</f>
        <v/>
      </c>
      <c r="P140">
        <f>IF($W140="","",IF(INDEX('Per Invoice'!P$2:P$801,$W140)="","",INDEX('Per Invoice'!P$2:P$801,$W140)))</f>
        <v/>
      </c>
      <c r="Q140" s="7">
        <f>IF($W140="","",IF(INDEX('Per Invoice'!Q$2:Q$801,$W140)="","",INDEX('Per Invoice'!Q$2:Q$801,$W140)))</f>
        <v/>
      </c>
      <c r="R140" s="7">
        <f>IF($W140="","",IF(INDEX('Per Invoice'!R$2:R$801,$W140)="","",INDEX('Per Invoice'!R$2:R$801,$W140)))</f>
        <v/>
      </c>
      <c r="S140" s="7">
        <f>IF($W140="","",IF(INDEX('Per Invoice'!S$2:S$801,$W140)="","",INDEX('Per Invoice'!S$2:S$801,$W140)))</f>
        <v/>
      </c>
      <c r="T140" s="7">
        <f>IF($W140="","",IF(INDEX('Per Invoice'!T$2:T$801,$W140)="","",INDEX('Per Invoice'!T$2:T$801,$W140)))</f>
        <v/>
      </c>
      <c r="U140" s="7">
        <f>IF($W140="","",IF(INDEX('Per Invoice'!U$2:U$801,$W140)="","",INDEX('Per Invoice'!U$2:U$801,$W140)))</f>
        <v/>
      </c>
      <c r="V140" s="7">
        <f>IF($W140="","",IF(INDEX('Per Invoice'!V$2:V$801,$W140)="","",INDEX('Per Invoice'!V$2:V$801,$W140)))</f>
        <v/>
      </c>
      <c r="W140" s="16">
        <f>IFERROR(MATCH(Settings!$C$32&amp;"|"&amp;ROWS($W$2:$W140),'Per Invoice'!$X$2:$X$801,0),"")</f>
        <v/>
      </c>
    </row>
    <row r="141">
      <c r="A141">
        <f>IF($W141="","",IF(INDEX('Per Invoice'!A$2:A$801,$W141)="","",INDEX('Per Invoice'!A$2:A$801,$W141)))</f>
        <v/>
      </c>
      <c r="B141">
        <f>IF($W141="","",IF(INDEX('Per Invoice'!B$2:B$801,$W141)="","",INDEX('Per Invoice'!B$2:B$801,$W141)))</f>
        <v/>
      </c>
      <c r="C141">
        <f>IF($W141="","",IF(INDEX('Per Invoice'!C$2:C$801,$W141)="","",INDEX('Per Invoice'!C$2:C$801,$W141)))</f>
        <v/>
      </c>
      <c r="D141">
        <f>IF($W141="","",IF(INDEX('Per Invoice'!D$2:D$801,$W141)="","",INDEX('Per Invoice'!D$2:D$801,$W141)))</f>
        <v/>
      </c>
      <c r="E141">
        <f>IF($W141="","",IF(INDEX('Per Invoice'!E$2:E$801,$W141)="","",INDEX('Per Invoice'!E$2:E$801,$W141)))</f>
        <v/>
      </c>
      <c r="F141">
        <f>IF($W141="","",IF(INDEX('Per Invoice'!F$2:F$801,$W141)="","",INDEX('Per Invoice'!F$2:F$801,$W141)))</f>
        <v/>
      </c>
      <c r="G141">
        <f>IF($W141="","",IF(INDEX('Per Invoice'!G$2:G$801,$W141)="","",INDEX('Per Invoice'!G$2:G$801,$W141)))</f>
        <v/>
      </c>
      <c r="H141">
        <f>IF($W141="","",IF(INDEX('Per Invoice'!H$2:H$801,$W141)="","",INDEX('Per Invoice'!H$2:H$801,$W141)))</f>
        <v/>
      </c>
      <c r="I141">
        <f>IF($W141="","",IF(INDEX('Per Invoice'!I$2:I$801,$W141)="","",INDEX('Per Invoice'!I$2:I$801,$W141)))</f>
        <v/>
      </c>
      <c r="J141">
        <f>IF($W141="","",IF(INDEX('Per Invoice'!J$2:J$801,$W141)="","",INDEX('Per Invoice'!J$2:J$801,$W141)))</f>
        <v/>
      </c>
      <c r="K141" s="7">
        <f>IF($W141="","",IF(INDEX('Per Invoice'!K$2:K$801,$W141)="","",INDEX('Per Invoice'!K$2:K$801,$W141)))</f>
        <v/>
      </c>
      <c r="L141" s="14">
        <f>IF($W141="","",IF(INDEX('Per Invoice'!L$2:L$801,$W141)="","",INDEX('Per Invoice'!L$2:L$801,$W141)))</f>
        <v/>
      </c>
      <c r="M141">
        <f>IF($W141="","",IF(INDEX('Per Invoice'!M$2:M$801,$W141)="","",INDEX('Per Invoice'!M$2:M$801,$W141)))</f>
        <v/>
      </c>
      <c r="N141" s="7">
        <f>IF($W141="","",IF(INDEX('Per Invoice'!N$2:N$801,$W141)="","",INDEX('Per Invoice'!N$2:N$801,$W141)))</f>
        <v/>
      </c>
      <c r="O141" s="7">
        <f>IF($W141="","",IF(INDEX('Per Invoice'!O$2:O$801,$W141)="","",INDEX('Per Invoice'!O$2:O$801,$W141)))</f>
        <v/>
      </c>
      <c r="P141">
        <f>IF($W141="","",IF(INDEX('Per Invoice'!P$2:P$801,$W141)="","",INDEX('Per Invoice'!P$2:P$801,$W141)))</f>
        <v/>
      </c>
      <c r="Q141" s="7">
        <f>IF($W141="","",IF(INDEX('Per Invoice'!Q$2:Q$801,$W141)="","",INDEX('Per Invoice'!Q$2:Q$801,$W141)))</f>
        <v/>
      </c>
      <c r="R141" s="7">
        <f>IF($W141="","",IF(INDEX('Per Invoice'!R$2:R$801,$W141)="","",INDEX('Per Invoice'!R$2:R$801,$W141)))</f>
        <v/>
      </c>
      <c r="S141" s="7">
        <f>IF($W141="","",IF(INDEX('Per Invoice'!S$2:S$801,$W141)="","",INDEX('Per Invoice'!S$2:S$801,$W141)))</f>
        <v/>
      </c>
      <c r="T141" s="7">
        <f>IF($W141="","",IF(INDEX('Per Invoice'!T$2:T$801,$W141)="","",INDEX('Per Invoice'!T$2:T$801,$W141)))</f>
        <v/>
      </c>
      <c r="U141" s="7">
        <f>IF($W141="","",IF(INDEX('Per Invoice'!U$2:U$801,$W141)="","",INDEX('Per Invoice'!U$2:U$801,$W141)))</f>
        <v/>
      </c>
      <c r="V141" s="7">
        <f>IF($W141="","",IF(INDEX('Per Invoice'!V$2:V$801,$W141)="","",INDEX('Per Invoice'!V$2:V$801,$W141)))</f>
        <v/>
      </c>
      <c r="W141" s="16">
        <f>IFERROR(MATCH(Settings!$C$32&amp;"|"&amp;ROWS($W$2:$W141),'Per Invoice'!$X$2:$X$801,0),"")</f>
        <v/>
      </c>
    </row>
    <row r="142">
      <c r="A142">
        <f>IF($W142="","",IF(INDEX('Per Invoice'!A$2:A$801,$W142)="","",INDEX('Per Invoice'!A$2:A$801,$W142)))</f>
        <v/>
      </c>
      <c r="B142">
        <f>IF($W142="","",IF(INDEX('Per Invoice'!B$2:B$801,$W142)="","",INDEX('Per Invoice'!B$2:B$801,$W142)))</f>
        <v/>
      </c>
      <c r="C142">
        <f>IF($W142="","",IF(INDEX('Per Invoice'!C$2:C$801,$W142)="","",INDEX('Per Invoice'!C$2:C$801,$W142)))</f>
        <v/>
      </c>
      <c r="D142">
        <f>IF($W142="","",IF(INDEX('Per Invoice'!D$2:D$801,$W142)="","",INDEX('Per Invoice'!D$2:D$801,$W142)))</f>
        <v/>
      </c>
      <c r="E142">
        <f>IF($W142="","",IF(INDEX('Per Invoice'!E$2:E$801,$W142)="","",INDEX('Per Invoice'!E$2:E$801,$W142)))</f>
        <v/>
      </c>
      <c r="F142">
        <f>IF($W142="","",IF(INDEX('Per Invoice'!F$2:F$801,$W142)="","",INDEX('Per Invoice'!F$2:F$801,$W142)))</f>
        <v/>
      </c>
      <c r="G142">
        <f>IF($W142="","",IF(INDEX('Per Invoice'!G$2:G$801,$W142)="","",INDEX('Per Invoice'!G$2:G$801,$W142)))</f>
        <v/>
      </c>
      <c r="H142">
        <f>IF($W142="","",IF(INDEX('Per Invoice'!H$2:H$801,$W142)="","",INDEX('Per Invoice'!H$2:H$801,$W142)))</f>
        <v/>
      </c>
      <c r="I142">
        <f>IF($W142="","",IF(INDEX('Per Invoice'!I$2:I$801,$W142)="","",INDEX('Per Invoice'!I$2:I$801,$W142)))</f>
        <v/>
      </c>
      <c r="J142">
        <f>IF($W142="","",IF(INDEX('Per Invoice'!J$2:J$801,$W142)="","",INDEX('Per Invoice'!J$2:J$801,$W142)))</f>
        <v/>
      </c>
      <c r="K142" s="7">
        <f>IF($W142="","",IF(INDEX('Per Invoice'!K$2:K$801,$W142)="","",INDEX('Per Invoice'!K$2:K$801,$W142)))</f>
        <v/>
      </c>
      <c r="L142" s="14">
        <f>IF($W142="","",IF(INDEX('Per Invoice'!L$2:L$801,$W142)="","",INDEX('Per Invoice'!L$2:L$801,$W142)))</f>
        <v/>
      </c>
      <c r="M142">
        <f>IF($W142="","",IF(INDEX('Per Invoice'!M$2:M$801,$W142)="","",INDEX('Per Invoice'!M$2:M$801,$W142)))</f>
        <v/>
      </c>
      <c r="N142" s="7">
        <f>IF($W142="","",IF(INDEX('Per Invoice'!N$2:N$801,$W142)="","",INDEX('Per Invoice'!N$2:N$801,$W142)))</f>
        <v/>
      </c>
      <c r="O142" s="7">
        <f>IF($W142="","",IF(INDEX('Per Invoice'!O$2:O$801,$W142)="","",INDEX('Per Invoice'!O$2:O$801,$W142)))</f>
        <v/>
      </c>
      <c r="P142">
        <f>IF($W142="","",IF(INDEX('Per Invoice'!P$2:P$801,$W142)="","",INDEX('Per Invoice'!P$2:P$801,$W142)))</f>
        <v/>
      </c>
      <c r="Q142" s="7">
        <f>IF($W142="","",IF(INDEX('Per Invoice'!Q$2:Q$801,$W142)="","",INDEX('Per Invoice'!Q$2:Q$801,$W142)))</f>
        <v/>
      </c>
      <c r="R142" s="7">
        <f>IF($W142="","",IF(INDEX('Per Invoice'!R$2:R$801,$W142)="","",INDEX('Per Invoice'!R$2:R$801,$W142)))</f>
        <v/>
      </c>
      <c r="S142" s="7">
        <f>IF($W142="","",IF(INDEX('Per Invoice'!S$2:S$801,$W142)="","",INDEX('Per Invoice'!S$2:S$801,$W142)))</f>
        <v/>
      </c>
      <c r="T142" s="7">
        <f>IF($W142="","",IF(INDEX('Per Invoice'!T$2:T$801,$W142)="","",INDEX('Per Invoice'!T$2:T$801,$W142)))</f>
        <v/>
      </c>
      <c r="U142" s="7">
        <f>IF($W142="","",IF(INDEX('Per Invoice'!U$2:U$801,$W142)="","",INDEX('Per Invoice'!U$2:U$801,$W142)))</f>
        <v/>
      </c>
      <c r="V142" s="7">
        <f>IF($W142="","",IF(INDEX('Per Invoice'!V$2:V$801,$W142)="","",INDEX('Per Invoice'!V$2:V$801,$W142)))</f>
        <v/>
      </c>
      <c r="W142" s="16">
        <f>IFERROR(MATCH(Settings!$C$32&amp;"|"&amp;ROWS($W$2:$W142),'Per Invoice'!$X$2:$X$801,0),"")</f>
        <v/>
      </c>
    </row>
    <row r="143">
      <c r="A143">
        <f>IF($W143="","",IF(INDEX('Per Invoice'!A$2:A$801,$W143)="","",INDEX('Per Invoice'!A$2:A$801,$W143)))</f>
        <v/>
      </c>
      <c r="B143">
        <f>IF($W143="","",IF(INDEX('Per Invoice'!B$2:B$801,$W143)="","",INDEX('Per Invoice'!B$2:B$801,$W143)))</f>
        <v/>
      </c>
      <c r="C143">
        <f>IF($W143="","",IF(INDEX('Per Invoice'!C$2:C$801,$W143)="","",INDEX('Per Invoice'!C$2:C$801,$W143)))</f>
        <v/>
      </c>
      <c r="D143">
        <f>IF($W143="","",IF(INDEX('Per Invoice'!D$2:D$801,$W143)="","",INDEX('Per Invoice'!D$2:D$801,$W143)))</f>
        <v/>
      </c>
      <c r="E143">
        <f>IF($W143="","",IF(INDEX('Per Invoice'!E$2:E$801,$W143)="","",INDEX('Per Invoice'!E$2:E$801,$W143)))</f>
        <v/>
      </c>
      <c r="F143">
        <f>IF($W143="","",IF(INDEX('Per Invoice'!F$2:F$801,$W143)="","",INDEX('Per Invoice'!F$2:F$801,$W143)))</f>
        <v/>
      </c>
      <c r="G143">
        <f>IF($W143="","",IF(INDEX('Per Invoice'!G$2:G$801,$W143)="","",INDEX('Per Invoice'!G$2:G$801,$W143)))</f>
        <v/>
      </c>
      <c r="H143">
        <f>IF($W143="","",IF(INDEX('Per Invoice'!H$2:H$801,$W143)="","",INDEX('Per Invoice'!H$2:H$801,$W143)))</f>
        <v/>
      </c>
      <c r="I143">
        <f>IF($W143="","",IF(INDEX('Per Invoice'!I$2:I$801,$W143)="","",INDEX('Per Invoice'!I$2:I$801,$W143)))</f>
        <v/>
      </c>
      <c r="J143">
        <f>IF($W143="","",IF(INDEX('Per Invoice'!J$2:J$801,$W143)="","",INDEX('Per Invoice'!J$2:J$801,$W143)))</f>
        <v/>
      </c>
      <c r="K143" s="7">
        <f>IF($W143="","",IF(INDEX('Per Invoice'!K$2:K$801,$W143)="","",INDEX('Per Invoice'!K$2:K$801,$W143)))</f>
        <v/>
      </c>
      <c r="L143" s="14">
        <f>IF($W143="","",IF(INDEX('Per Invoice'!L$2:L$801,$W143)="","",INDEX('Per Invoice'!L$2:L$801,$W143)))</f>
        <v/>
      </c>
      <c r="M143">
        <f>IF($W143="","",IF(INDEX('Per Invoice'!M$2:M$801,$W143)="","",INDEX('Per Invoice'!M$2:M$801,$W143)))</f>
        <v/>
      </c>
      <c r="N143" s="7">
        <f>IF($W143="","",IF(INDEX('Per Invoice'!N$2:N$801,$W143)="","",INDEX('Per Invoice'!N$2:N$801,$W143)))</f>
        <v/>
      </c>
      <c r="O143" s="7">
        <f>IF($W143="","",IF(INDEX('Per Invoice'!O$2:O$801,$W143)="","",INDEX('Per Invoice'!O$2:O$801,$W143)))</f>
        <v/>
      </c>
      <c r="P143">
        <f>IF($W143="","",IF(INDEX('Per Invoice'!P$2:P$801,$W143)="","",INDEX('Per Invoice'!P$2:P$801,$W143)))</f>
        <v/>
      </c>
      <c r="Q143" s="7">
        <f>IF($W143="","",IF(INDEX('Per Invoice'!Q$2:Q$801,$W143)="","",INDEX('Per Invoice'!Q$2:Q$801,$W143)))</f>
        <v/>
      </c>
      <c r="R143" s="7">
        <f>IF($W143="","",IF(INDEX('Per Invoice'!R$2:R$801,$W143)="","",INDEX('Per Invoice'!R$2:R$801,$W143)))</f>
        <v/>
      </c>
      <c r="S143" s="7">
        <f>IF($W143="","",IF(INDEX('Per Invoice'!S$2:S$801,$W143)="","",INDEX('Per Invoice'!S$2:S$801,$W143)))</f>
        <v/>
      </c>
      <c r="T143" s="7">
        <f>IF($W143="","",IF(INDEX('Per Invoice'!T$2:T$801,$W143)="","",INDEX('Per Invoice'!T$2:T$801,$W143)))</f>
        <v/>
      </c>
      <c r="U143" s="7">
        <f>IF($W143="","",IF(INDEX('Per Invoice'!U$2:U$801,$W143)="","",INDEX('Per Invoice'!U$2:U$801,$W143)))</f>
        <v/>
      </c>
      <c r="V143" s="7">
        <f>IF($W143="","",IF(INDEX('Per Invoice'!V$2:V$801,$W143)="","",INDEX('Per Invoice'!V$2:V$801,$W143)))</f>
        <v/>
      </c>
      <c r="W143" s="16">
        <f>IFERROR(MATCH(Settings!$C$32&amp;"|"&amp;ROWS($W$2:$W143),'Per Invoice'!$X$2:$X$801,0),"")</f>
        <v/>
      </c>
    </row>
    <row r="144">
      <c r="A144">
        <f>IF($W144="","",IF(INDEX('Per Invoice'!A$2:A$801,$W144)="","",INDEX('Per Invoice'!A$2:A$801,$W144)))</f>
        <v/>
      </c>
      <c r="B144">
        <f>IF($W144="","",IF(INDEX('Per Invoice'!B$2:B$801,$W144)="","",INDEX('Per Invoice'!B$2:B$801,$W144)))</f>
        <v/>
      </c>
      <c r="C144">
        <f>IF($W144="","",IF(INDEX('Per Invoice'!C$2:C$801,$W144)="","",INDEX('Per Invoice'!C$2:C$801,$W144)))</f>
        <v/>
      </c>
      <c r="D144">
        <f>IF($W144="","",IF(INDEX('Per Invoice'!D$2:D$801,$W144)="","",INDEX('Per Invoice'!D$2:D$801,$W144)))</f>
        <v/>
      </c>
      <c r="E144">
        <f>IF($W144="","",IF(INDEX('Per Invoice'!E$2:E$801,$W144)="","",INDEX('Per Invoice'!E$2:E$801,$W144)))</f>
        <v/>
      </c>
      <c r="F144">
        <f>IF($W144="","",IF(INDEX('Per Invoice'!F$2:F$801,$W144)="","",INDEX('Per Invoice'!F$2:F$801,$W144)))</f>
        <v/>
      </c>
      <c r="G144">
        <f>IF($W144="","",IF(INDEX('Per Invoice'!G$2:G$801,$W144)="","",INDEX('Per Invoice'!G$2:G$801,$W144)))</f>
        <v/>
      </c>
      <c r="H144">
        <f>IF($W144="","",IF(INDEX('Per Invoice'!H$2:H$801,$W144)="","",INDEX('Per Invoice'!H$2:H$801,$W144)))</f>
        <v/>
      </c>
      <c r="I144">
        <f>IF($W144="","",IF(INDEX('Per Invoice'!I$2:I$801,$W144)="","",INDEX('Per Invoice'!I$2:I$801,$W144)))</f>
        <v/>
      </c>
      <c r="J144">
        <f>IF($W144="","",IF(INDEX('Per Invoice'!J$2:J$801,$W144)="","",INDEX('Per Invoice'!J$2:J$801,$W144)))</f>
        <v/>
      </c>
      <c r="K144" s="7">
        <f>IF($W144="","",IF(INDEX('Per Invoice'!K$2:K$801,$W144)="","",INDEX('Per Invoice'!K$2:K$801,$W144)))</f>
        <v/>
      </c>
      <c r="L144" s="14">
        <f>IF($W144="","",IF(INDEX('Per Invoice'!L$2:L$801,$W144)="","",INDEX('Per Invoice'!L$2:L$801,$W144)))</f>
        <v/>
      </c>
      <c r="M144">
        <f>IF($W144="","",IF(INDEX('Per Invoice'!M$2:M$801,$W144)="","",INDEX('Per Invoice'!M$2:M$801,$W144)))</f>
        <v/>
      </c>
      <c r="N144" s="7">
        <f>IF($W144="","",IF(INDEX('Per Invoice'!N$2:N$801,$W144)="","",INDEX('Per Invoice'!N$2:N$801,$W144)))</f>
        <v/>
      </c>
      <c r="O144" s="7">
        <f>IF($W144="","",IF(INDEX('Per Invoice'!O$2:O$801,$W144)="","",INDEX('Per Invoice'!O$2:O$801,$W144)))</f>
        <v/>
      </c>
      <c r="P144">
        <f>IF($W144="","",IF(INDEX('Per Invoice'!P$2:P$801,$W144)="","",INDEX('Per Invoice'!P$2:P$801,$W144)))</f>
        <v/>
      </c>
      <c r="Q144" s="7">
        <f>IF($W144="","",IF(INDEX('Per Invoice'!Q$2:Q$801,$W144)="","",INDEX('Per Invoice'!Q$2:Q$801,$W144)))</f>
        <v/>
      </c>
      <c r="R144" s="7">
        <f>IF($W144="","",IF(INDEX('Per Invoice'!R$2:R$801,$W144)="","",INDEX('Per Invoice'!R$2:R$801,$W144)))</f>
        <v/>
      </c>
      <c r="S144" s="7">
        <f>IF($W144="","",IF(INDEX('Per Invoice'!S$2:S$801,$W144)="","",INDEX('Per Invoice'!S$2:S$801,$W144)))</f>
        <v/>
      </c>
      <c r="T144" s="7">
        <f>IF($W144="","",IF(INDEX('Per Invoice'!T$2:T$801,$W144)="","",INDEX('Per Invoice'!T$2:T$801,$W144)))</f>
        <v/>
      </c>
      <c r="U144" s="7">
        <f>IF($W144="","",IF(INDEX('Per Invoice'!U$2:U$801,$W144)="","",INDEX('Per Invoice'!U$2:U$801,$W144)))</f>
        <v/>
      </c>
      <c r="V144" s="7">
        <f>IF($W144="","",IF(INDEX('Per Invoice'!V$2:V$801,$W144)="","",INDEX('Per Invoice'!V$2:V$801,$W144)))</f>
        <v/>
      </c>
      <c r="W144" s="16">
        <f>IFERROR(MATCH(Settings!$C$32&amp;"|"&amp;ROWS($W$2:$W144),'Per Invoice'!$X$2:$X$801,0),"")</f>
        <v/>
      </c>
    </row>
    <row r="145">
      <c r="A145">
        <f>IF($W145="","",IF(INDEX('Per Invoice'!A$2:A$801,$W145)="","",INDEX('Per Invoice'!A$2:A$801,$W145)))</f>
        <v/>
      </c>
      <c r="B145">
        <f>IF($W145="","",IF(INDEX('Per Invoice'!B$2:B$801,$W145)="","",INDEX('Per Invoice'!B$2:B$801,$W145)))</f>
        <v/>
      </c>
      <c r="C145">
        <f>IF($W145="","",IF(INDEX('Per Invoice'!C$2:C$801,$W145)="","",INDEX('Per Invoice'!C$2:C$801,$W145)))</f>
        <v/>
      </c>
      <c r="D145">
        <f>IF($W145="","",IF(INDEX('Per Invoice'!D$2:D$801,$W145)="","",INDEX('Per Invoice'!D$2:D$801,$W145)))</f>
        <v/>
      </c>
      <c r="E145">
        <f>IF($W145="","",IF(INDEX('Per Invoice'!E$2:E$801,$W145)="","",INDEX('Per Invoice'!E$2:E$801,$W145)))</f>
        <v/>
      </c>
      <c r="F145">
        <f>IF($W145="","",IF(INDEX('Per Invoice'!F$2:F$801,$W145)="","",INDEX('Per Invoice'!F$2:F$801,$W145)))</f>
        <v/>
      </c>
      <c r="G145">
        <f>IF($W145="","",IF(INDEX('Per Invoice'!G$2:G$801,$W145)="","",INDEX('Per Invoice'!G$2:G$801,$W145)))</f>
        <v/>
      </c>
      <c r="H145">
        <f>IF($W145="","",IF(INDEX('Per Invoice'!H$2:H$801,$W145)="","",INDEX('Per Invoice'!H$2:H$801,$W145)))</f>
        <v/>
      </c>
      <c r="I145">
        <f>IF($W145="","",IF(INDEX('Per Invoice'!I$2:I$801,$W145)="","",INDEX('Per Invoice'!I$2:I$801,$W145)))</f>
        <v/>
      </c>
      <c r="J145">
        <f>IF($W145="","",IF(INDEX('Per Invoice'!J$2:J$801,$W145)="","",INDEX('Per Invoice'!J$2:J$801,$W145)))</f>
        <v/>
      </c>
      <c r="K145" s="7">
        <f>IF($W145="","",IF(INDEX('Per Invoice'!K$2:K$801,$W145)="","",INDEX('Per Invoice'!K$2:K$801,$W145)))</f>
        <v/>
      </c>
      <c r="L145" s="14">
        <f>IF($W145="","",IF(INDEX('Per Invoice'!L$2:L$801,$W145)="","",INDEX('Per Invoice'!L$2:L$801,$W145)))</f>
        <v/>
      </c>
      <c r="M145">
        <f>IF($W145="","",IF(INDEX('Per Invoice'!M$2:M$801,$W145)="","",INDEX('Per Invoice'!M$2:M$801,$W145)))</f>
        <v/>
      </c>
      <c r="N145" s="7">
        <f>IF($W145="","",IF(INDEX('Per Invoice'!N$2:N$801,$W145)="","",INDEX('Per Invoice'!N$2:N$801,$W145)))</f>
        <v/>
      </c>
      <c r="O145" s="7">
        <f>IF($W145="","",IF(INDEX('Per Invoice'!O$2:O$801,$W145)="","",INDEX('Per Invoice'!O$2:O$801,$W145)))</f>
        <v/>
      </c>
      <c r="P145">
        <f>IF($W145="","",IF(INDEX('Per Invoice'!P$2:P$801,$W145)="","",INDEX('Per Invoice'!P$2:P$801,$W145)))</f>
        <v/>
      </c>
      <c r="Q145" s="7">
        <f>IF($W145="","",IF(INDEX('Per Invoice'!Q$2:Q$801,$W145)="","",INDEX('Per Invoice'!Q$2:Q$801,$W145)))</f>
        <v/>
      </c>
      <c r="R145" s="7">
        <f>IF($W145="","",IF(INDEX('Per Invoice'!R$2:R$801,$W145)="","",INDEX('Per Invoice'!R$2:R$801,$W145)))</f>
        <v/>
      </c>
      <c r="S145" s="7">
        <f>IF($W145="","",IF(INDEX('Per Invoice'!S$2:S$801,$W145)="","",INDEX('Per Invoice'!S$2:S$801,$W145)))</f>
        <v/>
      </c>
      <c r="T145" s="7">
        <f>IF($W145="","",IF(INDEX('Per Invoice'!T$2:T$801,$W145)="","",INDEX('Per Invoice'!T$2:T$801,$W145)))</f>
        <v/>
      </c>
      <c r="U145" s="7">
        <f>IF($W145="","",IF(INDEX('Per Invoice'!U$2:U$801,$W145)="","",INDEX('Per Invoice'!U$2:U$801,$W145)))</f>
        <v/>
      </c>
      <c r="V145" s="7">
        <f>IF($W145="","",IF(INDEX('Per Invoice'!V$2:V$801,$W145)="","",INDEX('Per Invoice'!V$2:V$801,$W145)))</f>
        <v/>
      </c>
      <c r="W145" s="16">
        <f>IFERROR(MATCH(Settings!$C$32&amp;"|"&amp;ROWS($W$2:$W145),'Per Invoice'!$X$2:$X$801,0),"")</f>
        <v/>
      </c>
    </row>
    <row r="146">
      <c r="A146">
        <f>IF($W146="","",IF(INDEX('Per Invoice'!A$2:A$801,$W146)="","",INDEX('Per Invoice'!A$2:A$801,$W146)))</f>
        <v/>
      </c>
      <c r="B146">
        <f>IF($W146="","",IF(INDEX('Per Invoice'!B$2:B$801,$W146)="","",INDEX('Per Invoice'!B$2:B$801,$W146)))</f>
        <v/>
      </c>
      <c r="C146">
        <f>IF($W146="","",IF(INDEX('Per Invoice'!C$2:C$801,$W146)="","",INDEX('Per Invoice'!C$2:C$801,$W146)))</f>
        <v/>
      </c>
      <c r="D146">
        <f>IF($W146="","",IF(INDEX('Per Invoice'!D$2:D$801,$W146)="","",INDEX('Per Invoice'!D$2:D$801,$W146)))</f>
        <v/>
      </c>
      <c r="E146">
        <f>IF($W146="","",IF(INDEX('Per Invoice'!E$2:E$801,$W146)="","",INDEX('Per Invoice'!E$2:E$801,$W146)))</f>
        <v/>
      </c>
      <c r="F146">
        <f>IF($W146="","",IF(INDEX('Per Invoice'!F$2:F$801,$W146)="","",INDEX('Per Invoice'!F$2:F$801,$W146)))</f>
        <v/>
      </c>
      <c r="G146">
        <f>IF($W146="","",IF(INDEX('Per Invoice'!G$2:G$801,$W146)="","",INDEX('Per Invoice'!G$2:G$801,$W146)))</f>
        <v/>
      </c>
      <c r="H146">
        <f>IF($W146="","",IF(INDEX('Per Invoice'!H$2:H$801,$W146)="","",INDEX('Per Invoice'!H$2:H$801,$W146)))</f>
        <v/>
      </c>
      <c r="I146">
        <f>IF($W146="","",IF(INDEX('Per Invoice'!I$2:I$801,$W146)="","",INDEX('Per Invoice'!I$2:I$801,$W146)))</f>
        <v/>
      </c>
      <c r="J146">
        <f>IF($W146="","",IF(INDEX('Per Invoice'!J$2:J$801,$W146)="","",INDEX('Per Invoice'!J$2:J$801,$W146)))</f>
        <v/>
      </c>
      <c r="K146" s="7">
        <f>IF($W146="","",IF(INDEX('Per Invoice'!K$2:K$801,$W146)="","",INDEX('Per Invoice'!K$2:K$801,$W146)))</f>
        <v/>
      </c>
      <c r="L146" s="14">
        <f>IF($W146="","",IF(INDEX('Per Invoice'!L$2:L$801,$W146)="","",INDEX('Per Invoice'!L$2:L$801,$W146)))</f>
        <v/>
      </c>
      <c r="M146">
        <f>IF($W146="","",IF(INDEX('Per Invoice'!M$2:M$801,$W146)="","",INDEX('Per Invoice'!M$2:M$801,$W146)))</f>
        <v/>
      </c>
      <c r="N146" s="7">
        <f>IF($W146="","",IF(INDEX('Per Invoice'!N$2:N$801,$W146)="","",INDEX('Per Invoice'!N$2:N$801,$W146)))</f>
        <v/>
      </c>
      <c r="O146" s="7">
        <f>IF($W146="","",IF(INDEX('Per Invoice'!O$2:O$801,$W146)="","",INDEX('Per Invoice'!O$2:O$801,$W146)))</f>
        <v/>
      </c>
      <c r="P146">
        <f>IF($W146="","",IF(INDEX('Per Invoice'!P$2:P$801,$W146)="","",INDEX('Per Invoice'!P$2:P$801,$W146)))</f>
        <v/>
      </c>
      <c r="Q146" s="7">
        <f>IF($W146="","",IF(INDEX('Per Invoice'!Q$2:Q$801,$W146)="","",INDEX('Per Invoice'!Q$2:Q$801,$W146)))</f>
        <v/>
      </c>
      <c r="R146" s="7">
        <f>IF($W146="","",IF(INDEX('Per Invoice'!R$2:R$801,$W146)="","",INDEX('Per Invoice'!R$2:R$801,$W146)))</f>
        <v/>
      </c>
      <c r="S146" s="7">
        <f>IF($W146="","",IF(INDEX('Per Invoice'!S$2:S$801,$W146)="","",INDEX('Per Invoice'!S$2:S$801,$W146)))</f>
        <v/>
      </c>
      <c r="T146" s="7">
        <f>IF($W146="","",IF(INDEX('Per Invoice'!T$2:T$801,$W146)="","",INDEX('Per Invoice'!T$2:T$801,$W146)))</f>
        <v/>
      </c>
      <c r="U146" s="7">
        <f>IF($W146="","",IF(INDEX('Per Invoice'!U$2:U$801,$W146)="","",INDEX('Per Invoice'!U$2:U$801,$W146)))</f>
        <v/>
      </c>
      <c r="V146" s="7">
        <f>IF($W146="","",IF(INDEX('Per Invoice'!V$2:V$801,$W146)="","",INDEX('Per Invoice'!V$2:V$801,$W146)))</f>
        <v/>
      </c>
      <c r="W146" s="16">
        <f>IFERROR(MATCH(Settings!$C$32&amp;"|"&amp;ROWS($W$2:$W146),'Per Invoice'!$X$2:$X$801,0),"")</f>
        <v/>
      </c>
    </row>
    <row r="147">
      <c r="A147">
        <f>IF($W147="","",IF(INDEX('Per Invoice'!A$2:A$801,$W147)="","",INDEX('Per Invoice'!A$2:A$801,$W147)))</f>
        <v/>
      </c>
      <c r="B147">
        <f>IF($W147="","",IF(INDEX('Per Invoice'!B$2:B$801,$W147)="","",INDEX('Per Invoice'!B$2:B$801,$W147)))</f>
        <v/>
      </c>
      <c r="C147">
        <f>IF($W147="","",IF(INDEX('Per Invoice'!C$2:C$801,$W147)="","",INDEX('Per Invoice'!C$2:C$801,$W147)))</f>
        <v/>
      </c>
      <c r="D147">
        <f>IF($W147="","",IF(INDEX('Per Invoice'!D$2:D$801,$W147)="","",INDEX('Per Invoice'!D$2:D$801,$W147)))</f>
        <v/>
      </c>
      <c r="E147">
        <f>IF($W147="","",IF(INDEX('Per Invoice'!E$2:E$801,$W147)="","",INDEX('Per Invoice'!E$2:E$801,$W147)))</f>
        <v/>
      </c>
      <c r="F147">
        <f>IF($W147="","",IF(INDEX('Per Invoice'!F$2:F$801,$W147)="","",INDEX('Per Invoice'!F$2:F$801,$W147)))</f>
        <v/>
      </c>
      <c r="G147">
        <f>IF($W147="","",IF(INDEX('Per Invoice'!G$2:G$801,$W147)="","",INDEX('Per Invoice'!G$2:G$801,$W147)))</f>
        <v/>
      </c>
      <c r="H147">
        <f>IF($W147="","",IF(INDEX('Per Invoice'!H$2:H$801,$W147)="","",INDEX('Per Invoice'!H$2:H$801,$W147)))</f>
        <v/>
      </c>
      <c r="I147">
        <f>IF($W147="","",IF(INDEX('Per Invoice'!I$2:I$801,$W147)="","",INDEX('Per Invoice'!I$2:I$801,$W147)))</f>
        <v/>
      </c>
      <c r="J147">
        <f>IF($W147="","",IF(INDEX('Per Invoice'!J$2:J$801,$W147)="","",INDEX('Per Invoice'!J$2:J$801,$W147)))</f>
        <v/>
      </c>
      <c r="K147" s="7">
        <f>IF($W147="","",IF(INDEX('Per Invoice'!K$2:K$801,$W147)="","",INDEX('Per Invoice'!K$2:K$801,$W147)))</f>
        <v/>
      </c>
      <c r="L147" s="14">
        <f>IF($W147="","",IF(INDEX('Per Invoice'!L$2:L$801,$W147)="","",INDEX('Per Invoice'!L$2:L$801,$W147)))</f>
        <v/>
      </c>
      <c r="M147">
        <f>IF($W147="","",IF(INDEX('Per Invoice'!M$2:M$801,$W147)="","",INDEX('Per Invoice'!M$2:M$801,$W147)))</f>
        <v/>
      </c>
      <c r="N147" s="7">
        <f>IF($W147="","",IF(INDEX('Per Invoice'!N$2:N$801,$W147)="","",INDEX('Per Invoice'!N$2:N$801,$W147)))</f>
        <v/>
      </c>
      <c r="O147" s="7">
        <f>IF($W147="","",IF(INDEX('Per Invoice'!O$2:O$801,$W147)="","",INDEX('Per Invoice'!O$2:O$801,$W147)))</f>
        <v/>
      </c>
      <c r="P147">
        <f>IF($W147="","",IF(INDEX('Per Invoice'!P$2:P$801,$W147)="","",INDEX('Per Invoice'!P$2:P$801,$W147)))</f>
        <v/>
      </c>
      <c r="Q147" s="7">
        <f>IF($W147="","",IF(INDEX('Per Invoice'!Q$2:Q$801,$W147)="","",INDEX('Per Invoice'!Q$2:Q$801,$W147)))</f>
        <v/>
      </c>
      <c r="R147" s="7">
        <f>IF($W147="","",IF(INDEX('Per Invoice'!R$2:R$801,$W147)="","",INDEX('Per Invoice'!R$2:R$801,$W147)))</f>
        <v/>
      </c>
      <c r="S147" s="7">
        <f>IF($W147="","",IF(INDEX('Per Invoice'!S$2:S$801,$W147)="","",INDEX('Per Invoice'!S$2:S$801,$W147)))</f>
        <v/>
      </c>
      <c r="T147" s="7">
        <f>IF($W147="","",IF(INDEX('Per Invoice'!T$2:T$801,$W147)="","",INDEX('Per Invoice'!T$2:T$801,$W147)))</f>
        <v/>
      </c>
      <c r="U147" s="7">
        <f>IF($W147="","",IF(INDEX('Per Invoice'!U$2:U$801,$W147)="","",INDEX('Per Invoice'!U$2:U$801,$W147)))</f>
        <v/>
      </c>
      <c r="V147" s="7">
        <f>IF($W147="","",IF(INDEX('Per Invoice'!V$2:V$801,$W147)="","",INDEX('Per Invoice'!V$2:V$801,$W147)))</f>
        <v/>
      </c>
      <c r="W147" s="16">
        <f>IFERROR(MATCH(Settings!$C$32&amp;"|"&amp;ROWS($W$2:$W147),'Per Invoice'!$X$2:$X$801,0),"")</f>
        <v/>
      </c>
    </row>
    <row r="148">
      <c r="A148">
        <f>IF($W148="","",IF(INDEX('Per Invoice'!A$2:A$801,$W148)="","",INDEX('Per Invoice'!A$2:A$801,$W148)))</f>
        <v/>
      </c>
      <c r="B148">
        <f>IF($W148="","",IF(INDEX('Per Invoice'!B$2:B$801,$W148)="","",INDEX('Per Invoice'!B$2:B$801,$W148)))</f>
        <v/>
      </c>
      <c r="C148">
        <f>IF($W148="","",IF(INDEX('Per Invoice'!C$2:C$801,$W148)="","",INDEX('Per Invoice'!C$2:C$801,$W148)))</f>
        <v/>
      </c>
      <c r="D148">
        <f>IF($W148="","",IF(INDEX('Per Invoice'!D$2:D$801,$W148)="","",INDEX('Per Invoice'!D$2:D$801,$W148)))</f>
        <v/>
      </c>
      <c r="E148">
        <f>IF($W148="","",IF(INDEX('Per Invoice'!E$2:E$801,$W148)="","",INDEX('Per Invoice'!E$2:E$801,$W148)))</f>
        <v/>
      </c>
      <c r="F148">
        <f>IF($W148="","",IF(INDEX('Per Invoice'!F$2:F$801,$W148)="","",INDEX('Per Invoice'!F$2:F$801,$W148)))</f>
        <v/>
      </c>
      <c r="G148">
        <f>IF($W148="","",IF(INDEX('Per Invoice'!G$2:G$801,$W148)="","",INDEX('Per Invoice'!G$2:G$801,$W148)))</f>
        <v/>
      </c>
      <c r="H148">
        <f>IF($W148="","",IF(INDEX('Per Invoice'!H$2:H$801,$W148)="","",INDEX('Per Invoice'!H$2:H$801,$W148)))</f>
        <v/>
      </c>
      <c r="I148">
        <f>IF($W148="","",IF(INDEX('Per Invoice'!I$2:I$801,$W148)="","",INDEX('Per Invoice'!I$2:I$801,$W148)))</f>
        <v/>
      </c>
      <c r="J148">
        <f>IF($W148="","",IF(INDEX('Per Invoice'!J$2:J$801,$W148)="","",INDEX('Per Invoice'!J$2:J$801,$W148)))</f>
        <v/>
      </c>
      <c r="K148" s="7">
        <f>IF($W148="","",IF(INDEX('Per Invoice'!K$2:K$801,$W148)="","",INDEX('Per Invoice'!K$2:K$801,$W148)))</f>
        <v/>
      </c>
      <c r="L148" s="14">
        <f>IF($W148="","",IF(INDEX('Per Invoice'!L$2:L$801,$W148)="","",INDEX('Per Invoice'!L$2:L$801,$W148)))</f>
        <v/>
      </c>
      <c r="M148">
        <f>IF($W148="","",IF(INDEX('Per Invoice'!M$2:M$801,$W148)="","",INDEX('Per Invoice'!M$2:M$801,$W148)))</f>
        <v/>
      </c>
      <c r="N148" s="7">
        <f>IF($W148="","",IF(INDEX('Per Invoice'!N$2:N$801,$W148)="","",INDEX('Per Invoice'!N$2:N$801,$W148)))</f>
        <v/>
      </c>
      <c r="O148" s="7">
        <f>IF($W148="","",IF(INDEX('Per Invoice'!O$2:O$801,$W148)="","",INDEX('Per Invoice'!O$2:O$801,$W148)))</f>
        <v/>
      </c>
      <c r="P148">
        <f>IF($W148="","",IF(INDEX('Per Invoice'!P$2:P$801,$W148)="","",INDEX('Per Invoice'!P$2:P$801,$W148)))</f>
        <v/>
      </c>
      <c r="Q148" s="7">
        <f>IF($W148="","",IF(INDEX('Per Invoice'!Q$2:Q$801,$W148)="","",INDEX('Per Invoice'!Q$2:Q$801,$W148)))</f>
        <v/>
      </c>
      <c r="R148" s="7">
        <f>IF($W148="","",IF(INDEX('Per Invoice'!R$2:R$801,$W148)="","",INDEX('Per Invoice'!R$2:R$801,$W148)))</f>
        <v/>
      </c>
      <c r="S148" s="7">
        <f>IF($W148="","",IF(INDEX('Per Invoice'!S$2:S$801,$W148)="","",INDEX('Per Invoice'!S$2:S$801,$W148)))</f>
        <v/>
      </c>
      <c r="T148" s="7">
        <f>IF($W148="","",IF(INDEX('Per Invoice'!T$2:T$801,$W148)="","",INDEX('Per Invoice'!T$2:T$801,$W148)))</f>
        <v/>
      </c>
      <c r="U148" s="7">
        <f>IF($W148="","",IF(INDEX('Per Invoice'!U$2:U$801,$W148)="","",INDEX('Per Invoice'!U$2:U$801,$W148)))</f>
        <v/>
      </c>
      <c r="V148" s="7">
        <f>IF($W148="","",IF(INDEX('Per Invoice'!V$2:V$801,$W148)="","",INDEX('Per Invoice'!V$2:V$801,$W148)))</f>
        <v/>
      </c>
      <c r="W148" s="16">
        <f>IFERROR(MATCH(Settings!$C$32&amp;"|"&amp;ROWS($W$2:$W148),'Per Invoice'!$X$2:$X$801,0),"")</f>
        <v/>
      </c>
    </row>
    <row r="149">
      <c r="A149">
        <f>IF($W149="","",IF(INDEX('Per Invoice'!A$2:A$801,$W149)="","",INDEX('Per Invoice'!A$2:A$801,$W149)))</f>
        <v/>
      </c>
      <c r="B149">
        <f>IF($W149="","",IF(INDEX('Per Invoice'!B$2:B$801,$W149)="","",INDEX('Per Invoice'!B$2:B$801,$W149)))</f>
        <v/>
      </c>
      <c r="C149">
        <f>IF($W149="","",IF(INDEX('Per Invoice'!C$2:C$801,$W149)="","",INDEX('Per Invoice'!C$2:C$801,$W149)))</f>
        <v/>
      </c>
      <c r="D149">
        <f>IF($W149="","",IF(INDEX('Per Invoice'!D$2:D$801,$W149)="","",INDEX('Per Invoice'!D$2:D$801,$W149)))</f>
        <v/>
      </c>
      <c r="E149">
        <f>IF($W149="","",IF(INDEX('Per Invoice'!E$2:E$801,$W149)="","",INDEX('Per Invoice'!E$2:E$801,$W149)))</f>
        <v/>
      </c>
      <c r="F149">
        <f>IF($W149="","",IF(INDEX('Per Invoice'!F$2:F$801,$W149)="","",INDEX('Per Invoice'!F$2:F$801,$W149)))</f>
        <v/>
      </c>
      <c r="G149">
        <f>IF($W149="","",IF(INDEX('Per Invoice'!G$2:G$801,$W149)="","",INDEX('Per Invoice'!G$2:G$801,$W149)))</f>
        <v/>
      </c>
      <c r="H149">
        <f>IF($W149="","",IF(INDEX('Per Invoice'!H$2:H$801,$W149)="","",INDEX('Per Invoice'!H$2:H$801,$W149)))</f>
        <v/>
      </c>
      <c r="I149">
        <f>IF($W149="","",IF(INDEX('Per Invoice'!I$2:I$801,$W149)="","",INDEX('Per Invoice'!I$2:I$801,$W149)))</f>
        <v/>
      </c>
      <c r="J149">
        <f>IF($W149="","",IF(INDEX('Per Invoice'!J$2:J$801,$W149)="","",INDEX('Per Invoice'!J$2:J$801,$W149)))</f>
        <v/>
      </c>
      <c r="K149" s="7">
        <f>IF($W149="","",IF(INDEX('Per Invoice'!K$2:K$801,$W149)="","",INDEX('Per Invoice'!K$2:K$801,$W149)))</f>
        <v/>
      </c>
      <c r="L149" s="14">
        <f>IF($W149="","",IF(INDEX('Per Invoice'!L$2:L$801,$W149)="","",INDEX('Per Invoice'!L$2:L$801,$W149)))</f>
        <v/>
      </c>
      <c r="M149">
        <f>IF($W149="","",IF(INDEX('Per Invoice'!M$2:M$801,$W149)="","",INDEX('Per Invoice'!M$2:M$801,$W149)))</f>
        <v/>
      </c>
      <c r="N149" s="7">
        <f>IF($W149="","",IF(INDEX('Per Invoice'!N$2:N$801,$W149)="","",INDEX('Per Invoice'!N$2:N$801,$W149)))</f>
        <v/>
      </c>
      <c r="O149" s="7">
        <f>IF($W149="","",IF(INDEX('Per Invoice'!O$2:O$801,$W149)="","",INDEX('Per Invoice'!O$2:O$801,$W149)))</f>
        <v/>
      </c>
      <c r="P149">
        <f>IF($W149="","",IF(INDEX('Per Invoice'!P$2:P$801,$W149)="","",INDEX('Per Invoice'!P$2:P$801,$W149)))</f>
        <v/>
      </c>
      <c r="Q149" s="7">
        <f>IF($W149="","",IF(INDEX('Per Invoice'!Q$2:Q$801,$W149)="","",INDEX('Per Invoice'!Q$2:Q$801,$W149)))</f>
        <v/>
      </c>
      <c r="R149" s="7">
        <f>IF($W149="","",IF(INDEX('Per Invoice'!R$2:R$801,$W149)="","",INDEX('Per Invoice'!R$2:R$801,$W149)))</f>
        <v/>
      </c>
      <c r="S149" s="7">
        <f>IF($W149="","",IF(INDEX('Per Invoice'!S$2:S$801,$W149)="","",INDEX('Per Invoice'!S$2:S$801,$W149)))</f>
        <v/>
      </c>
      <c r="T149" s="7">
        <f>IF($W149="","",IF(INDEX('Per Invoice'!T$2:T$801,$W149)="","",INDEX('Per Invoice'!T$2:T$801,$W149)))</f>
        <v/>
      </c>
      <c r="U149" s="7">
        <f>IF($W149="","",IF(INDEX('Per Invoice'!U$2:U$801,$W149)="","",INDEX('Per Invoice'!U$2:U$801,$W149)))</f>
        <v/>
      </c>
      <c r="V149" s="7">
        <f>IF($W149="","",IF(INDEX('Per Invoice'!V$2:V$801,$W149)="","",INDEX('Per Invoice'!V$2:V$801,$W149)))</f>
        <v/>
      </c>
      <c r="W149" s="16">
        <f>IFERROR(MATCH(Settings!$C$32&amp;"|"&amp;ROWS($W$2:$W149),'Per Invoice'!$X$2:$X$801,0),"")</f>
        <v/>
      </c>
    </row>
    <row r="150">
      <c r="A150">
        <f>IF($W150="","",IF(INDEX('Per Invoice'!A$2:A$801,$W150)="","",INDEX('Per Invoice'!A$2:A$801,$W150)))</f>
        <v/>
      </c>
      <c r="B150">
        <f>IF($W150="","",IF(INDEX('Per Invoice'!B$2:B$801,$W150)="","",INDEX('Per Invoice'!B$2:B$801,$W150)))</f>
        <v/>
      </c>
      <c r="C150">
        <f>IF($W150="","",IF(INDEX('Per Invoice'!C$2:C$801,$W150)="","",INDEX('Per Invoice'!C$2:C$801,$W150)))</f>
        <v/>
      </c>
      <c r="D150">
        <f>IF($W150="","",IF(INDEX('Per Invoice'!D$2:D$801,$W150)="","",INDEX('Per Invoice'!D$2:D$801,$W150)))</f>
        <v/>
      </c>
      <c r="E150">
        <f>IF($W150="","",IF(INDEX('Per Invoice'!E$2:E$801,$W150)="","",INDEX('Per Invoice'!E$2:E$801,$W150)))</f>
        <v/>
      </c>
      <c r="F150">
        <f>IF($W150="","",IF(INDEX('Per Invoice'!F$2:F$801,$W150)="","",INDEX('Per Invoice'!F$2:F$801,$W150)))</f>
        <v/>
      </c>
      <c r="G150">
        <f>IF($W150="","",IF(INDEX('Per Invoice'!G$2:G$801,$W150)="","",INDEX('Per Invoice'!G$2:G$801,$W150)))</f>
        <v/>
      </c>
      <c r="H150">
        <f>IF($W150="","",IF(INDEX('Per Invoice'!H$2:H$801,$W150)="","",INDEX('Per Invoice'!H$2:H$801,$W150)))</f>
        <v/>
      </c>
      <c r="I150">
        <f>IF($W150="","",IF(INDEX('Per Invoice'!I$2:I$801,$W150)="","",INDEX('Per Invoice'!I$2:I$801,$W150)))</f>
        <v/>
      </c>
      <c r="J150">
        <f>IF($W150="","",IF(INDEX('Per Invoice'!J$2:J$801,$W150)="","",INDEX('Per Invoice'!J$2:J$801,$W150)))</f>
        <v/>
      </c>
      <c r="K150" s="7">
        <f>IF($W150="","",IF(INDEX('Per Invoice'!K$2:K$801,$W150)="","",INDEX('Per Invoice'!K$2:K$801,$W150)))</f>
        <v/>
      </c>
      <c r="L150" s="14">
        <f>IF($W150="","",IF(INDEX('Per Invoice'!L$2:L$801,$W150)="","",INDEX('Per Invoice'!L$2:L$801,$W150)))</f>
        <v/>
      </c>
      <c r="M150">
        <f>IF($W150="","",IF(INDEX('Per Invoice'!M$2:M$801,$W150)="","",INDEX('Per Invoice'!M$2:M$801,$W150)))</f>
        <v/>
      </c>
      <c r="N150" s="7">
        <f>IF($W150="","",IF(INDEX('Per Invoice'!N$2:N$801,$W150)="","",INDEX('Per Invoice'!N$2:N$801,$W150)))</f>
        <v/>
      </c>
      <c r="O150" s="7">
        <f>IF($W150="","",IF(INDEX('Per Invoice'!O$2:O$801,$W150)="","",INDEX('Per Invoice'!O$2:O$801,$W150)))</f>
        <v/>
      </c>
      <c r="P150">
        <f>IF($W150="","",IF(INDEX('Per Invoice'!P$2:P$801,$W150)="","",INDEX('Per Invoice'!P$2:P$801,$W150)))</f>
        <v/>
      </c>
      <c r="Q150" s="7">
        <f>IF($W150="","",IF(INDEX('Per Invoice'!Q$2:Q$801,$W150)="","",INDEX('Per Invoice'!Q$2:Q$801,$W150)))</f>
        <v/>
      </c>
      <c r="R150" s="7">
        <f>IF($W150="","",IF(INDEX('Per Invoice'!R$2:R$801,$W150)="","",INDEX('Per Invoice'!R$2:R$801,$W150)))</f>
        <v/>
      </c>
      <c r="S150" s="7">
        <f>IF($W150="","",IF(INDEX('Per Invoice'!S$2:S$801,$W150)="","",INDEX('Per Invoice'!S$2:S$801,$W150)))</f>
        <v/>
      </c>
      <c r="T150" s="7">
        <f>IF($W150="","",IF(INDEX('Per Invoice'!T$2:T$801,$W150)="","",INDEX('Per Invoice'!T$2:T$801,$W150)))</f>
        <v/>
      </c>
      <c r="U150" s="7">
        <f>IF($W150="","",IF(INDEX('Per Invoice'!U$2:U$801,$W150)="","",INDEX('Per Invoice'!U$2:U$801,$W150)))</f>
        <v/>
      </c>
      <c r="V150" s="7">
        <f>IF($W150="","",IF(INDEX('Per Invoice'!V$2:V$801,$W150)="","",INDEX('Per Invoice'!V$2:V$801,$W150)))</f>
        <v/>
      </c>
      <c r="W150" s="16">
        <f>IFERROR(MATCH(Settings!$C$32&amp;"|"&amp;ROWS($W$2:$W150),'Per Invoice'!$X$2:$X$801,0),"")</f>
        <v/>
      </c>
    </row>
    <row r="151">
      <c r="A151">
        <f>IF($W151="","",IF(INDEX('Per Invoice'!A$2:A$801,$W151)="","",INDEX('Per Invoice'!A$2:A$801,$W151)))</f>
        <v/>
      </c>
      <c r="B151">
        <f>IF($W151="","",IF(INDEX('Per Invoice'!B$2:B$801,$W151)="","",INDEX('Per Invoice'!B$2:B$801,$W151)))</f>
        <v/>
      </c>
      <c r="C151">
        <f>IF($W151="","",IF(INDEX('Per Invoice'!C$2:C$801,$W151)="","",INDEX('Per Invoice'!C$2:C$801,$W151)))</f>
        <v/>
      </c>
      <c r="D151">
        <f>IF($W151="","",IF(INDEX('Per Invoice'!D$2:D$801,$W151)="","",INDEX('Per Invoice'!D$2:D$801,$W151)))</f>
        <v/>
      </c>
      <c r="E151">
        <f>IF($W151="","",IF(INDEX('Per Invoice'!E$2:E$801,$W151)="","",INDEX('Per Invoice'!E$2:E$801,$W151)))</f>
        <v/>
      </c>
      <c r="F151">
        <f>IF($W151="","",IF(INDEX('Per Invoice'!F$2:F$801,$W151)="","",INDEX('Per Invoice'!F$2:F$801,$W151)))</f>
        <v/>
      </c>
      <c r="G151">
        <f>IF($W151="","",IF(INDEX('Per Invoice'!G$2:G$801,$W151)="","",INDEX('Per Invoice'!G$2:G$801,$W151)))</f>
        <v/>
      </c>
      <c r="H151">
        <f>IF($W151="","",IF(INDEX('Per Invoice'!H$2:H$801,$W151)="","",INDEX('Per Invoice'!H$2:H$801,$W151)))</f>
        <v/>
      </c>
      <c r="I151">
        <f>IF($W151="","",IF(INDEX('Per Invoice'!I$2:I$801,$W151)="","",INDEX('Per Invoice'!I$2:I$801,$W151)))</f>
        <v/>
      </c>
      <c r="J151">
        <f>IF($W151="","",IF(INDEX('Per Invoice'!J$2:J$801,$W151)="","",INDEX('Per Invoice'!J$2:J$801,$W151)))</f>
        <v/>
      </c>
      <c r="K151" s="7">
        <f>IF($W151="","",IF(INDEX('Per Invoice'!K$2:K$801,$W151)="","",INDEX('Per Invoice'!K$2:K$801,$W151)))</f>
        <v/>
      </c>
      <c r="L151" s="14">
        <f>IF($W151="","",IF(INDEX('Per Invoice'!L$2:L$801,$W151)="","",INDEX('Per Invoice'!L$2:L$801,$W151)))</f>
        <v/>
      </c>
      <c r="M151">
        <f>IF($W151="","",IF(INDEX('Per Invoice'!M$2:M$801,$W151)="","",INDEX('Per Invoice'!M$2:M$801,$W151)))</f>
        <v/>
      </c>
      <c r="N151" s="7">
        <f>IF($W151="","",IF(INDEX('Per Invoice'!N$2:N$801,$W151)="","",INDEX('Per Invoice'!N$2:N$801,$W151)))</f>
        <v/>
      </c>
      <c r="O151" s="7">
        <f>IF($W151="","",IF(INDEX('Per Invoice'!O$2:O$801,$W151)="","",INDEX('Per Invoice'!O$2:O$801,$W151)))</f>
        <v/>
      </c>
      <c r="P151">
        <f>IF($W151="","",IF(INDEX('Per Invoice'!P$2:P$801,$W151)="","",INDEX('Per Invoice'!P$2:P$801,$W151)))</f>
        <v/>
      </c>
      <c r="Q151" s="7">
        <f>IF($W151="","",IF(INDEX('Per Invoice'!Q$2:Q$801,$W151)="","",INDEX('Per Invoice'!Q$2:Q$801,$W151)))</f>
        <v/>
      </c>
      <c r="R151" s="7">
        <f>IF($W151="","",IF(INDEX('Per Invoice'!R$2:R$801,$W151)="","",INDEX('Per Invoice'!R$2:R$801,$W151)))</f>
        <v/>
      </c>
      <c r="S151" s="7">
        <f>IF($W151="","",IF(INDEX('Per Invoice'!S$2:S$801,$W151)="","",INDEX('Per Invoice'!S$2:S$801,$W151)))</f>
        <v/>
      </c>
      <c r="T151" s="7">
        <f>IF($W151="","",IF(INDEX('Per Invoice'!T$2:T$801,$W151)="","",INDEX('Per Invoice'!T$2:T$801,$W151)))</f>
        <v/>
      </c>
      <c r="U151" s="7">
        <f>IF($W151="","",IF(INDEX('Per Invoice'!U$2:U$801,$W151)="","",INDEX('Per Invoice'!U$2:U$801,$W151)))</f>
        <v/>
      </c>
      <c r="V151" s="7">
        <f>IF($W151="","",IF(INDEX('Per Invoice'!V$2:V$801,$W151)="","",INDEX('Per Invoice'!V$2:V$801,$W151)))</f>
        <v/>
      </c>
      <c r="W151" s="16">
        <f>IFERROR(MATCH(Settings!$C$32&amp;"|"&amp;ROWS($W$2:$W151),'Per Invoice'!$X$2:$X$801,0),"")</f>
        <v/>
      </c>
    </row>
    <row r="152">
      <c r="A152">
        <f>IF($W152="","",IF(INDEX('Per Invoice'!A$2:A$801,$W152)="","",INDEX('Per Invoice'!A$2:A$801,$W152)))</f>
        <v/>
      </c>
      <c r="B152">
        <f>IF($W152="","",IF(INDEX('Per Invoice'!B$2:B$801,$W152)="","",INDEX('Per Invoice'!B$2:B$801,$W152)))</f>
        <v/>
      </c>
      <c r="C152">
        <f>IF($W152="","",IF(INDEX('Per Invoice'!C$2:C$801,$W152)="","",INDEX('Per Invoice'!C$2:C$801,$W152)))</f>
        <v/>
      </c>
      <c r="D152">
        <f>IF($W152="","",IF(INDEX('Per Invoice'!D$2:D$801,$W152)="","",INDEX('Per Invoice'!D$2:D$801,$W152)))</f>
        <v/>
      </c>
      <c r="E152">
        <f>IF($W152="","",IF(INDEX('Per Invoice'!E$2:E$801,$W152)="","",INDEX('Per Invoice'!E$2:E$801,$W152)))</f>
        <v/>
      </c>
      <c r="F152">
        <f>IF($W152="","",IF(INDEX('Per Invoice'!F$2:F$801,$W152)="","",INDEX('Per Invoice'!F$2:F$801,$W152)))</f>
        <v/>
      </c>
      <c r="G152">
        <f>IF($W152="","",IF(INDEX('Per Invoice'!G$2:G$801,$W152)="","",INDEX('Per Invoice'!G$2:G$801,$W152)))</f>
        <v/>
      </c>
      <c r="H152">
        <f>IF($W152="","",IF(INDEX('Per Invoice'!H$2:H$801,$W152)="","",INDEX('Per Invoice'!H$2:H$801,$W152)))</f>
        <v/>
      </c>
      <c r="I152">
        <f>IF($W152="","",IF(INDEX('Per Invoice'!I$2:I$801,$W152)="","",INDEX('Per Invoice'!I$2:I$801,$W152)))</f>
        <v/>
      </c>
      <c r="J152">
        <f>IF($W152="","",IF(INDEX('Per Invoice'!J$2:J$801,$W152)="","",INDEX('Per Invoice'!J$2:J$801,$W152)))</f>
        <v/>
      </c>
      <c r="K152" s="7">
        <f>IF($W152="","",IF(INDEX('Per Invoice'!K$2:K$801,$W152)="","",INDEX('Per Invoice'!K$2:K$801,$W152)))</f>
        <v/>
      </c>
      <c r="L152" s="14">
        <f>IF($W152="","",IF(INDEX('Per Invoice'!L$2:L$801,$W152)="","",INDEX('Per Invoice'!L$2:L$801,$W152)))</f>
        <v/>
      </c>
      <c r="M152">
        <f>IF($W152="","",IF(INDEX('Per Invoice'!M$2:M$801,$W152)="","",INDEX('Per Invoice'!M$2:M$801,$W152)))</f>
        <v/>
      </c>
      <c r="N152" s="7">
        <f>IF($W152="","",IF(INDEX('Per Invoice'!N$2:N$801,$W152)="","",INDEX('Per Invoice'!N$2:N$801,$W152)))</f>
        <v/>
      </c>
      <c r="O152" s="7">
        <f>IF($W152="","",IF(INDEX('Per Invoice'!O$2:O$801,$W152)="","",INDEX('Per Invoice'!O$2:O$801,$W152)))</f>
        <v/>
      </c>
      <c r="P152">
        <f>IF($W152="","",IF(INDEX('Per Invoice'!P$2:P$801,$W152)="","",INDEX('Per Invoice'!P$2:P$801,$W152)))</f>
        <v/>
      </c>
      <c r="Q152" s="7">
        <f>IF($W152="","",IF(INDEX('Per Invoice'!Q$2:Q$801,$W152)="","",INDEX('Per Invoice'!Q$2:Q$801,$W152)))</f>
        <v/>
      </c>
      <c r="R152" s="7">
        <f>IF($W152="","",IF(INDEX('Per Invoice'!R$2:R$801,$W152)="","",INDEX('Per Invoice'!R$2:R$801,$W152)))</f>
        <v/>
      </c>
      <c r="S152" s="7">
        <f>IF($W152="","",IF(INDEX('Per Invoice'!S$2:S$801,$W152)="","",INDEX('Per Invoice'!S$2:S$801,$W152)))</f>
        <v/>
      </c>
      <c r="T152" s="7">
        <f>IF($W152="","",IF(INDEX('Per Invoice'!T$2:T$801,$W152)="","",INDEX('Per Invoice'!T$2:T$801,$W152)))</f>
        <v/>
      </c>
      <c r="U152" s="7">
        <f>IF($W152="","",IF(INDEX('Per Invoice'!U$2:U$801,$W152)="","",INDEX('Per Invoice'!U$2:U$801,$W152)))</f>
        <v/>
      </c>
      <c r="V152" s="7">
        <f>IF($W152="","",IF(INDEX('Per Invoice'!V$2:V$801,$W152)="","",INDEX('Per Invoice'!V$2:V$801,$W152)))</f>
        <v/>
      </c>
      <c r="W152" s="16">
        <f>IFERROR(MATCH(Settings!$C$32&amp;"|"&amp;ROWS($W$2:$W152),'Per Invoice'!$X$2:$X$801,0),"")</f>
        <v/>
      </c>
    </row>
    <row r="153">
      <c r="A153">
        <f>IF($W153="","",IF(INDEX('Per Invoice'!A$2:A$801,$W153)="","",INDEX('Per Invoice'!A$2:A$801,$W153)))</f>
        <v/>
      </c>
      <c r="B153">
        <f>IF($W153="","",IF(INDEX('Per Invoice'!B$2:B$801,$W153)="","",INDEX('Per Invoice'!B$2:B$801,$W153)))</f>
        <v/>
      </c>
      <c r="C153">
        <f>IF($W153="","",IF(INDEX('Per Invoice'!C$2:C$801,$W153)="","",INDEX('Per Invoice'!C$2:C$801,$W153)))</f>
        <v/>
      </c>
      <c r="D153">
        <f>IF($W153="","",IF(INDEX('Per Invoice'!D$2:D$801,$W153)="","",INDEX('Per Invoice'!D$2:D$801,$W153)))</f>
        <v/>
      </c>
      <c r="E153">
        <f>IF($W153="","",IF(INDEX('Per Invoice'!E$2:E$801,$W153)="","",INDEX('Per Invoice'!E$2:E$801,$W153)))</f>
        <v/>
      </c>
      <c r="F153">
        <f>IF($W153="","",IF(INDEX('Per Invoice'!F$2:F$801,$W153)="","",INDEX('Per Invoice'!F$2:F$801,$W153)))</f>
        <v/>
      </c>
      <c r="G153">
        <f>IF($W153="","",IF(INDEX('Per Invoice'!G$2:G$801,$W153)="","",INDEX('Per Invoice'!G$2:G$801,$W153)))</f>
        <v/>
      </c>
      <c r="H153">
        <f>IF($W153="","",IF(INDEX('Per Invoice'!H$2:H$801,$W153)="","",INDEX('Per Invoice'!H$2:H$801,$W153)))</f>
        <v/>
      </c>
      <c r="I153">
        <f>IF($W153="","",IF(INDEX('Per Invoice'!I$2:I$801,$W153)="","",INDEX('Per Invoice'!I$2:I$801,$W153)))</f>
        <v/>
      </c>
      <c r="J153">
        <f>IF($W153="","",IF(INDEX('Per Invoice'!J$2:J$801,$W153)="","",INDEX('Per Invoice'!J$2:J$801,$W153)))</f>
        <v/>
      </c>
      <c r="K153" s="7">
        <f>IF($W153="","",IF(INDEX('Per Invoice'!K$2:K$801,$W153)="","",INDEX('Per Invoice'!K$2:K$801,$W153)))</f>
        <v/>
      </c>
      <c r="L153" s="14">
        <f>IF($W153="","",IF(INDEX('Per Invoice'!L$2:L$801,$W153)="","",INDEX('Per Invoice'!L$2:L$801,$W153)))</f>
        <v/>
      </c>
      <c r="M153">
        <f>IF($W153="","",IF(INDEX('Per Invoice'!M$2:M$801,$W153)="","",INDEX('Per Invoice'!M$2:M$801,$W153)))</f>
        <v/>
      </c>
      <c r="N153" s="7">
        <f>IF($W153="","",IF(INDEX('Per Invoice'!N$2:N$801,$W153)="","",INDEX('Per Invoice'!N$2:N$801,$W153)))</f>
        <v/>
      </c>
      <c r="O153" s="7">
        <f>IF($W153="","",IF(INDEX('Per Invoice'!O$2:O$801,$W153)="","",INDEX('Per Invoice'!O$2:O$801,$W153)))</f>
        <v/>
      </c>
      <c r="P153">
        <f>IF($W153="","",IF(INDEX('Per Invoice'!P$2:P$801,$W153)="","",INDEX('Per Invoice'!P$2:P$801,$W153)))</f>
        <v/>
      </c>
      <c r="Q153" s="7">
        <f>IF($W153="","",IF(INDEX('Per Invoice'!Q$2:Q$801,$W153)="","",INDEX('Per Invoice'!Q$2:Q$801,$W153)))</f>
        <v/>
      </c>
      <c r="R153" s="7">
        <f>IF($W153="","",IF(INDEX('Per Invoice'!R$2:R$801,$W153)="","",INDEX('Per Invoice'!R$2:R$801,$W153)))</f>
        <v/>
      </c>
      <c r="S153" s="7">
        <f>IF($W153="","",IF(INDEX('Per Invoice'!S$2:S$801,$W153)="","",INDEX('Per Invoice'!S$2:S$801,$W153)))</f>
        <v/>
      </c>
      <c r="T153" s="7">
        <f>IF($W153="","",IF(INDEX('Per Invoice'!T$2:T$801,$W153)="","",INDEX('Per Invoice'!T$2:T$801,$W153)))</f>
        <v/>
      </c>
      <c r="U153" s="7">
        <f>IF($W153="","",IF(INDEX('Per Invoice'!U$2:U$801,$W153)="","",INDEX('Per Invoice'!U$2:U$801,$W153)))</f>
        <v/>
      </c>
      <c r="V153" s="7">
        <f>IF($W153="","",IF(INDEX('Per Invoice'!V$2:V$801,$W153)="","",INDEX('Per Invoice'!V$2:V$801,$W153)))</f>
        <v/>
      </c>
      <c r="W153" s="16">
        <f>IFERROR(MATCH(Settings!$C$32&amp;"|"&amp;ROWS($W$2:$W153),'Per Invoice'!$X$2:$X$801,0),"")</f>
        <v/>
      </c>
    </row>
    <row r="154">
      <c r="A154">
        <f>IF($W154="","",IF(INDEX('Per Invoice'!A$2:A$801,$W154)="","",INDEX('Per Invoice'!A$2:A$801,$W154)))</f>
        <v/>
      </c>
      <c r="B154">
        <f>IF($W154="","",IF(INDEX('Per Invoice'!B$2:B$801,$W154)="","",INDEX('Per Invoice'!B$2:B$801,$W154)))</f>
        <v/>
      </c>
      <c r="C154">
        <f>IF($W154="","",IF(INDEX('Per Invoice'!C$2:C$801,$W154)="","",INDEX('Per Invoice'!C$2:C$801,$W154)))</f>
        <v/>
      </c>
      <c r="D154">
        <f>IF($W154="","",IF(INDEX('Per Invoice'!D$2:D$801,$W154)="","",INDEX('Per Invoice'!D$2:D$801,$W154)))</f>
        <v/>
      </c>
      <c r="E154">
        <f>IF($W154="","",IF(INDEX('Per Invoice'!E$2:E$801,$W154)="","",INDEX('Per Invoice'!E$2:E$801,$W154)))</f>
        <v/>
      </c>
      <c r="F154">
        <f>IF($W154="","",IF(INDEX('Per Invoice'!F$2:F$801,$W154)="","",INDEX('Per Invoice'!F$2:F$801,$W154)))</f>
        <v/>
      </c>
      <c r="G154">
        <f>IF($W154="","",IF(INDEX('Per Invoice'!G$2:G$801,$W154)="","",INDEX('Per Invoice'!G$2:G$801,$W154)))</f>
        <v/>
      </c>
      <c r="H154">
        <f>IF($W154="","",IF(INDEX('Per Invoice'!H$2:H$801,$W154)="","",INDEX('Per Invoice'!H$2:H$801,$W154)))</f>
        <v/>
      </c>
      <c r="I154">
        <f>IF($W154="","",IF(INDEX('Per Invoice'!I$2:I$801,$W154)="","",INDEX('Per Invoice'!I$2:I$801,$W154)))</f>
        <v/>
      </c>
      <c r="J154">
        <f>IF($W154="","",IF(INDEX('Per Invoice'!J$2:J$801,$W154)="","",INDEX('Per Invoice'!J$2:J$801,$W154)))</f>
        <v/>
      </c>
      <c r="K154" s="7">
        <f>IF($W154="","",IF(INDEX('Per Invoice'!K$2:K$801,$W154)="","",INDEX('Per Invoice'!K$2:K$801,$W154)))</f>
        <v/>
      </c>
      <c r="L154" s="14">
        <f>IF($W154="","",IF(INDEX('Per Invoice'!L$2:L$801,$W154)="","",INDEX('Per Invoice'!L$2:L$801,$W154)))</f>
        <v/>
      </c>
      <c r="M154">
        <f>IF($W154="","",IF(INDEX('Per Invoice'!M$2:M$801,$W154)="","",INDEX('Per Invoice'!M$2:M$801,$W154)))</f>
        <v/>
      </c>
      <c r="N154" s="7">
        <f>IF($W154="","",IF(INDEX('Per Invoice'!N$2:N$801,$W154)="","",INDEX('Per Invoice'!N$2:N$801,$W154)))</f>
        <v/>
      </c>
      <c r="O154" s="7">
        <f>IF($W154="","",IF(INDEX('Per Invoice'!O$2:O$801,$W154)="","",INDEX('Per Invoice'!O$2:O$801,$W154)))</f>
        <v/>
      </c>
      <c r="P154">
        <f>IF($W154="","",IF(INDEX('Per Invoice'!P$2:P$801,$W154)="","",INDEX('Per Invoice'!P$2:P$801,$W154)))</f>
        <v/>
      </c>
      <c r="Q154" s="7">
        <f>IF($W154="","",IF(INDEX('Per Invoice'!Q$2:Q$801,$W154)="","",INDEX('Per Invoice'!Q$2:Q$801,$W154)))</f>
        <v/>
      </c>
      <c r="R154" s="7">
        <f>IF($W154="","",IF(INDEX('Per Invoice'!R$2:R$801,$W154)="","",INDEX('Per Invoice'!R$2:R$801,$W154)))</f>
        <v/>
      </c>
      <c r="S154" s="7">
        <f>IF($W154="","",IF(INDEX('Per Invoice'!S$2:S$801,$W154)="","",INDEX('Per Invoice'!S$2:S$801,$W154)))</f>
        <v/>
      </c>
      <c r="T154" s="7">
        <f>IF($W154="","",IF(INDEX('Per Invoice'!T$2:T$801,$W154)="","",INDEX('Per Invoice'!T$2:T$801,$W154)))</f>
        <v/>
      </c>
      <c r="U154" s="7">
        <f>IF($W154="","",IF(INDEX('Per Invoice'!U$2:U$801,$W154)="","",INDEX('Per Invoice'!U$2:U$801,$W154)))</f>
        <v/>
      </c>
      <c r="V154" s="7">
        <f>IF($W154="","",IF(INDEX('Per Invoice'!V$2:V$801,$W154)="","",INDEX('Per Invoice'!V$2:V$801,$W154)))</f>
        <v/>
      </c>
      <c r="W154" s="16">
        <f>IFERROR(MATCH(Settings!$C$32&amp;"|"&amp;ROWS($W$2:$W154),'Per Invoice'!$X$2:$X$801,0),"")</f>
        <v/>
      </c>
    </row>
    <row r="155">
      <c r="A155">
        <f>IF($W155="","",IF(INDEX('Per Invoice'!A$2:A$801,$W155)="","",INDEX('Per Invoice'!A$2:A$801,$W155)))</f>
        <v/>
      </c>
      <c r="B155">
        <f>IF($W155="","",IF(INDEX('Per Invoice'!B$2:B$801,$W155)="","",INDEX('Per Invoice'!B$2:B$801,$W155)))</f>
        <v/>
      </c>
      <c r="C155">
        <f>IF($W155="","",IF(INDEX('Per Invoice'!C$2:C$801,$W155)="","",INDEX('Per Invoice'!C$2:C$801,$W155)))</f>
        <v/>
      </c>
      <c r="D155">
        <f>IF($W155="","",IF(INDEX('Per Invoice'!D$2:D$801,$W155)="","",INDEX('Per Invoice'!D$2:D$801,$W155)))</f>
        <v/>
      </c>
      <c r="E155">
        <f>IF($W155="","",IF(INDEX('Per Invoice'!E$2:E$801,$W155)="","",INDEX('Per Invoice'!E$2:E$801,$W155)))</f>
        <v/>
      </c>
      <c r="F155">
        <f>IF($W155="","",IF(INDEX('Per Invoice'!F$2:F$801,$W155)="","",INDEX('Per Invoice'!F$2:F$801,$W155)))</f>
        <v/>
      </c>
      <c r="G155">
        <f>IF($W155="","",IF(INDEX('Per Invoice'!G$2:G$801,$W155)="","",INDEX('Per Invoice'!G$2:G$801,$W155)))</f>
        <v/>
      </c>
      <c r="H155">
        <f>IF($W155="","",IF(INDEX('Per Invoice'!H$2:H$801,$W155)="","",INDEX('Per Invoice'!H$2:H$801,$W155)))</f>
        <v/>
      </c>
      <c r="I155">
        <f>IF($W155="","",IF(INDEX('Per Invoice'!I$2:I$801,$W155)="","",INDEX('Per Invoice'!I$2:I$801,$W155)))</f>
        <v/>
      </c>
      <c r="J155">
        <f>IF($W155="","",IF(INDEX('Per Invoice'!J$2:J$801,$W155)="","",INDEX('Per Invoice'!J$2:J$801,$W155)))</f>
        <v/>
      </c>
      <c r="K155" s="7">
        <f>IF($W155="","",IF(INDEX('Per Invoice'!K$2:K$801,$W155)="","",INDEX('Per Invoice'!K$2:K$801,$W155)))</f>
        <v/>
      </c>
      <c r="L155" s="14">
        <f>IF($W155="","",IF(INDEX('Per Invoice'!L$2:L$801,$W155)="","",INDEX('Per Invoice'!L$2:L$801,$W155)))</f>
        <v/>
      </c>
      <c r="M155">
        <f>IF($W155="","",IF(INDEX('Per Invoice'!M$2:M$801,$W155)="","",INDEX('Per Invoice'!M$2:M$801,$W155)))</f>
        <v/>
      </c>
      <c r="N155" s="7">
        <f>IF($W155="","",IF(INDEX('Per Invoice'!N$2:N$801,$W155)="","",INDEX('Per Invoice'!N$2:N$801,$W155)))</f>
        <v/>
      </c>
      <c r="O155" s="7">
        <f>IF($W155="","",IF(INDEX('Per Invoice'!O$2:O$801,$W155)="","",INDEX('Per Invoice'!O$2:O$801,$W155)))</f>
        <v/>
      </c>
      <c r="P155">
        <f>IF($W155="","",IF(INDEX('Per Invoice'!P$2:P$801,$W155)="","",INDEX('Per Invoice'!P$2:P$801,$W155)))</f>
        <v/>
      </c>
      <c r="Q155" s="7">
        <f>IF($W155="","",IF(INDEX('Per Invoice'!Q$2:Q$801,$W155)="","",INDEX('Per Invoice'!Q$2:Q$801,$W155)))</f>
        <v/>
      </c>
      <c r="R155" s="7">
        <f>IF($W155="","",IF(INDEX('Per Invoice'!R$2:R$801,$W155)="","",INDEX('Per Invoice'!R$2:R$801,$W155)))</f>
        <v/>
      </c>
      <c r="S155" s="7">
        <f>IF($W155="","",IF(INDEX('Per Invoice'!S$2:S$801,$W155)="","",INDEX('Per Invoice'!S$2:S$801,$W155)))</f>
        <v/>
      </c>
      <c r="T155" s="7">
        <f>IF($W155="","",IF(INDEX('Per Invoice'!T$2:T$801,$W155)="","",INDEX('Per Invoice'!T$2:T$801,$W155)))</f>
        <v/>
      </c>
      <c r="U155" s="7">
        <f>IF($W155="","",IF(INDEX('Per Invoice'!U$2:U$801,$W155)="","",INDEX('Per Invoice'!U$2:U$801,$W155)))</f>
        <v/>
      </c>
      <c r="V155" s="7">
        <f>IF($W155="","",IF(INDEX('Per Invoice'!V$2:V$801,$W155)="","",INDEX('Per Invoice'!V$2:V$801,$W155)))</f>
        <v/>
      </c>
      <c r="W155" s="16">
        <f>IFERROR(MATCH(Settings!$C$32&amp;"|"&amp;ROWS($W$2:$W155),'Per Invoice'!$X$2:$X$801,0),"")</f>
        <v/>
      </c>
    </row>
    <row r="156">
      <c r="A156">
        <f>IF($W156="","",IF(INDEX('Per Invoice'!A$2:A$801,$W156)="","",INDEX('Per Invoice'!A$2:A$801,$W156)))</f>
        <v/>
      </c>
      <c r="B156">
        <f>IF($W156="","",IF(INDEX('Per Invoice'!B$2:B$801,$W156)="","",INDEX('Per Invoice'!B$2:B$801,$W156)))</f>
        <v/>
      </c>
      <c r="C156">
        <f>IF($W156="","",IF(INDEX('Per Invoice'!C$2:C$801,$W156)="","",INDEX('Per Invoice'!C$2:C$801,$W156)))</f>
        <v/>
      </c>
      <c r="D156">
        <f>IF($W156="","",IF(INDEX('Per Invoice'!D$2:D$801,$W156)="","",INDEX('Per Invoice'!D$2:D$801,$W156)))</f>
        <v/>
      </c>
      <c r="E156">
        <f>IF($W156="","",IF(INDEX('Per Invoice'!E$2:E$801,$W156)="","",INDEX('Per Invoice'!E$2:E$801,$W156)))</f>
        <v/>
      </c>
      <c r="F156">
        <f>IF($W156="","",IF(INDEX('Per Invoice'!F$2:F$801,$W156)="","",INDEX('Per Invoice'!F$2:F$801,$W156)))</f>
        <v/>
      </c>
      <c r="G156">
        <f>IF($W156="","",IF(INDEX('Per Invoice'!G$2:G$801,$W156)="","",INDEX('Per Invoice'!G$2:G$801,$W156)))</f>
        <v/>
      </c>
      <c r="H156">
        <f>IF($W156="","",IF(INDEX('Per Invoice'!H$2:H$801,$W156)="","",INDEX('Per Invoice'!H$2:H$801,$W156)))</f>
        <v/>
      </c>
      <c r="I156">
        <f>IF($W156="","",IF(INDEX('Per Invoice'!I$2:I$801,$W156)="","",INDEX('Per Invoice'!I$2:I$801,$W156)))</f>
        <v/>
      </c>
      <c r="J156">
        <f>IF($W156="","",IF(INDEX('Per Invoice'!J$2:J$801,$W156)="","",INDEX('Per Invoice'!J$2:J$801,$W156)))</f>
        <v/>
      </c>
      <c r="K156" s="7">
        <f>IF($W156="","",IF(INDEX('Per Invoice'!K$2:K$801,$W156)="","",INDEX('Per Invoice'!K$2:K$801,$W156)))</f>
        <v/>
      </c>
      <c r="L156" s="14">
        <f>IF($W156="","",IF(INDEX('Per Invoice'!L$2:L$801,$W156)="","",INDEX('Per Invoice'!L$2:L$801,$W156)))</f>
        <v/>
      </c>
      <c r="M156">
        <f>IF($W156="","",IF(INDEX('Per Invoice'!M$2:M$801,$W156)="","",INDEX('Per Invoice'!M$2:M$801,$W156)))</f>
        <v/>
      </c>
      <c r="N156" s="7">
        <f>IF($W156="","",IF(INDEX('Per Invoice'!N$2:N$801,$W156)="","",INDEX('Per Invoice'!N$2:N$801,$W156)))</f>
        <v/>
      </c>
      <c r="O156" s="7">
        <f>IF($W156="","",IF(INDEX('Per Invoice'!O$2:O$801,$W156)="","",INDEX('Per Invoice'!O$2:O$801,$W156)))</f>
        <v/>
      </c>
      <c r="P156">
        <f>IF($W156="","",IF(INDEX('Per Invoice'!P$2:P$801,$W156)="","",INDEX('Per Invoice'!P$2:P$801,$W156)))</f>
        <v/>
      </c>
      <c r="Q156" s="7">
        <f>IF($W156="","",IF(INDEX('Per Invoice'!Q$2:Q$801,$W156)="","",INDEX('Per Invoice'!Q$2:Q$801,$W156)))</f>
        <v/>
      </c>
      <c r="R156" s="7">
        <f>IF($W156="","",IF(INDEX('Per Invoice'!R$2:R$801,$W156)="","",INDEX('Per Invoice'!R$2:R$801,$W156)))</f>
        <v/>
      </c>
      <c r="S156" s="7">
        <f>IF($W156="","",IF(INDEX('Per Invoice'!S$2:S$801,$W156)="","",INDEX('Per Invoice'!S$2:S$801,$W156)))</f>
        <v/>
      </c>
      <c r="T156" s="7">
        <f>IF($W156="","",IF(INDEX('Per Invoice'!T$2:T$801,$W156)="","",INDEX('Per Invoice'!T$2:T$801,$W156)))</f>
        <v/>
      </c>
      <c r="U156" s="7">
        <f>IF($W156="","",IF(INDEX('Per Invoice'!U$2:U$801,$W156)="","",INDEX('Per Invoice'!U$2:U$801,$W156)))</f>
        <v/>
      </c>
      <c r="V156" s="7">
        <f>IF($W156="","",IF(INDEX('Per Invoice'!V$2:V$801,$W156)="","",INDEX('Per Invoice'!V$2:V$801,$W156)))</f>
        <v/>
      </c>
      <c r="W156" s="16">
        <f>IFERROR(MATCH(Settings!$C$32&amp;"|"&amp;ROWS($W$2:$W156),'Per Invoice'!$X$2:$X$801,0),"")</f>
        <v/>
      </c>
    </row>
    <row r="157">
      <c r="A157">
        <f>IF($W157="","",IF(INDEX('Per Invoice'!A$2:A$801,$W157)="","",INDEX('Per Invoice'!A$2:A$801,$W157)))</f>
        <v/>
      </c>
      <c r="B157">
        <f>IF($W157="","",IF(INDEX('Per Invoice'!B$2:B$801,$W157)="","",INDEX('Per Invoice'!B$2:B$801,$W157)))</f>
        <v/>
      </c>
      <c r="C157">
        <f>IF($W157="","",IF(INDEX('Per Invoice'!C$2:C$801,$W157)="","",INDEX('Per Invoice'!C$2:C$801,$W157)))</f>
        <v/>
      </c>
      <c r="D157">
        <f>IF($W157="","",IF(INDEX('Per Invoice'!D$2:D$801,$W157)="","",INDEX('Per Invoice'!D$2:D$801,$W157)))</f>
        <v/>
      </c>
      <c r="E157">
        <f>IF($W157="","",IF(INDEX('Per Invoice'!E$2:E$801,$W157)="","",INDEX('Per Invoice'!E$2:E$801,$W157)))</f>
        <v/>
      </c>
      <c r="F157">
        <f>IF($W157="","",IF(INDEX('Per Invoice'!F$2:F$801,$W157)="","",INDEX('Per Invoice'!F$2:F$801,$W157)))</f>
        <v/>
      </c>
      <c r="G157">
        <f>IF($W157="","",IF(INDEX('Per Invoice'!G$2:G$801,$W157)="","",INDEX('Per Invoice'!G$2:G$801,$W157)))</f>
        <v/>
      </c>
      <c r="H157">
        <f>IF($W157="","",IF(INDEX('Per Invoice'!H$2:H$801,$W157)="","",INDEX('Per Invoice'!H$2:H$801,$W157)))</f>
        <v/>
      </c>
      <c r="I157">
        <f>IF($W157="","",IF(INDEX('Per Invoice'!I$2:I$801,$W157)="","",INDEX('Per Invoice'!I$2:I$801,$W157)))</f>
        <v/>
      </c>
      <c r="J157">
        <f>IF($W157="","",IF(INDEX('Per Invoice'!J$2:J$801,$W157)="","",INDEX('Per Invoice'!J$2:J$801,$W157)))</f>
        <v/>
      </c>
      <c r="K157" s="7">
        <f>IF($W157="","",IF(INDEX('Per Invoice'!K$2:K$801,$W157)="","",INDEX('Per Invoice'!K$2:K$801,$W157)))</f>
        <v/>
      </c>
      <c r="L157" s="14">
        <f>IF($W157="","",IF(INDEX('Per Invoice'!L$2:L$801,$W157)="","",INDEX('Per Invoice'!L$2:L$801,$W157)))</f>
        <v/>
      </c>
      <c r="M157">
        <f>IF($W157="","",IF(INDEX('Per Invoice'!M$2:M$801,$W157)="","",INDEX('Per Invoice'!M$2:M$801,$W157)))</f>
        <v/>
      </c>
      <c r="N157" s="7">
        <f>IF($W157="","",IF(INDEX('Per Invoice'!N$2:N$801,$W157)="","",INDEX('Per Invoice'!N$2:N$801,$W157)))</f>
        <v/>
      </c>
      <c r="O157" s="7">
        <f>IF($W157="","",IF(INDEX('Per Invoice'!O$2:O$801,$W157)="","",INDEX('Per Invoice'!O$2:O$801,$W157)))</f>
        <v/>
      </c>
      <c r="P157">
        <f>IF($W157="","",IF(INDEX('Per Invoice'!P$2:P$801,$W157)="","",INDEX('Per Invoice'!P$2:P$801,$W157)))</f>
        <v/>
      </c>
      <c r="Q157" s="7">
        <f>IF($W157="","",IF(INDEX('Per Invoice'!Q$2:Q$801,$W157)="","",INDEX('Per Invoice'!Q$2:Q$801,$W157)))</f>
        <v/>
      </c>
      <c r="R157" s="7">
        <f>IF($W157="","",IF(INDEX('Per Invoice'!R$2:R$801,$W157)="","",INDEX('Per Invoice'!R$2:R$801,$W157)))</f>
        <v/>
      </c>
      <c r="S157" s="7">
        <f>IF($W157="","",IF(INDEX('Per Invoice'!S$2:S$801,$W157)="","",INDEX('Per Invoice'!S$2:S$801,$W157)))</f>
        <v/>
      </c>
      <c r="T157" s="7">
        <f>IF($W157="","",IF(INDEX('Per Invoice'!T$2:T$801,$W157)="","",INDEX('Per Invoice'!T$2:T$801,$W157)))</f>
        <v/>
      </c>
      <c r="U157" s="7">
        <f>IF($W157="","",IF(INDEX('Per Invoice'!U$2:U$801,$W157)="","",INDEX('Per Invoice'!U$2:U$801,$W157)))</f>
        <v/>
      </c>
      <c r="V157" s="7">
        <f>IF($W157="","",IF(INDEX('Per Invoice'!V$2:V$801,$W157)="","",INDEX('Per Invoice'!V$2:V$801,$W157)))</f>
        <v/>
      </c>
      <c r="W157" s="16">
        <f>IFERROR(MATCH(Settings!$C$32&amp;"|"&amp;ROWS($W$2:$W157),'Per Invoice'!$X$2:$X$801,0),"")</f>
        <v/>
      </c>
    </row>
    <row r="158">
      <c r="A158">
        <f>IF($W158="","",IF(INDEX('Per Invoice'!A$2:A$801,$W158)="","",INDEX('Per Invoice'!A$2:A$801,$W158)))</f>
        <v/>
      </c>
      <c r="B158">
        <f>IF($W158="","",IF(INDEX('Per Invoice'!B$2:B$801,$W158)="","",INDEX('Per Invoice'!B$2:B$801,$W158)))</f>
        <v/>
      </c>
      <c r="C158">
        <f>IF($W158="","",IF(INDEX('Per Invoice'!C$2:C$801,$W158)="","",INDEX('Per Invoice'!C$2:C$801,$W158)))</f>
        <v/>
      </c>
      <c r="D158">
        <f>IF($W158="","",IF(INDEX('Per Invoice'!D$2:D$801,$W158)="","",INDEX('Per Invoice'!D$2:D$801,$W158)))</f>
        <v/>
      </c>
      <c r="E158">
        <f>IF($W158="","",IF(INDEX('Per Invoice'!E$2:E$801,$W158)="","",INDEX('Per Invoice'!E$2:E$801,$W158)))</f>
        <v/>
      </c>
      <c r="F158">
        <f>IF($W158="","",IF(INDEX('Per Invoice'!F$2:F$801,$W158)="","",INDEX('Per Invoice'!F$2:F$801,$W158)))</f>
        <v/>
      </c>
      <c r="G158">
        <f>IF($W158="","",IF(INDEX('Per Invoice'!G$2:G$801,$W158)="","",INDEX('Per Invoice'!G$2:G$801,$W158)))</f>
        <v/>
      </c>
      <c r="H158">
        <f>IF($W158="","",IF(INDEX('Per Invoice'!H$2:H$801,$W158)="","",INDEX('Per Invoice'!H$2:H$801,$W158)))</f>
        <v/>
      </c>
      <c r="I158">
        <f>IF($W158="","",IF(INDEX('Per Invoice'!I$2:I$801,$W158)="","",INDEX('Per Invoice'!I$2:I$801,$W158)))</f>
        <v/>
      </c>
      <c r="J158">
        <f>IF($W158="","",IF(INDEX('Per Invoice'!J$2:J$801,$W158)="","",INDEX('Per Invoice'!J$2:J$801,$W158)))</f>
        <v/>
      </c>
      <c r="K158" s="7">
        <f>IF($W158="","",IF(INDEX('Per Invoice'!K$2:K$801,$W158)="","",INDEX('Per Invoice'!K$2:K$801,$W158)))</f>
        <v/>
      </c>
      <c r="L158" s="14">
        <f>IF($W158="","",IF(INDEX('Per Invoice'!L$2:L$801,$W158)="","",INDEX('Per Invoice'!L$2:L$801,$W158)))</f>
        <v/>
      </c>
      <c r="M158">
        <f>IF($W158="","",IF(INDEX('Per Invoice'!M$2:M$801,$W158)="","",INDEX('Per Invoice'!M$2:M$801,$W158)))</f>
        <v/>
      </c>
      <c r="N158" s="7">
        <f>IF($W158="","",IF(INDEX('Per Invoice'!N$2:N$801,$W158)="","",INDEX('Per Invoice'!N$2:N$801,$W158)))</f>
        <v/>
      </c>
      <c r="O158" s="7">
        <f>IF($W158="","",IF(INDEX('Per Invoice'!O$2:O$801,$W158)="","",INDEX('Per Invoice'!O$2:O$801,$W158)))</f>
        <v/>
      </c>
      <c r="P158">
        <f>IF($W158="","",IF(INDEX('Per Invoice'!P$2:P$801,$W158)="","",INDEX('Per Invoice'!P$2:P$801,$W158)))</f>
        <v/>
      </c>
      <c r="Q158" s="7">
        <f>IF($W158="","",IF(INDEX('Per Invoice'!Q$2:Q$801,$W158)="","",INDEX('Per Invoice'!Q$2:Q$801,$W158)))</f>
        <v/>
      </c>
      <c r="R158" s="7">
        <f>IF($W158="","",IF(INDEX('Per Invoice'!R$2:R$801,$W158)="","",INDEX('Per Invoice'!R$2:R$801,$W158)))</f>
        <v/>
      </c>
      <c r="S158" s="7">
        <f>IF($W158="","",IF(INDEX('Per Invoice'!S$2:S$801,$W158)="","",INDEX('Per Invoice'!S$2:S$801,$W158)))</f>
        <v/>
      </c>
      <c r="T158" s="7">
        <f>IF($W158="","",IF(INDEX('Per Invoice'!T$2:T$801,$W158)="","",INDEX('Per Invoice'!T$2:T$801,$W158)))</f>
        <v/>
      </c>
      <c r="U158" s="7">
        <f>IF($W158="","",IF(INDEX('Per Invoice'!U$2:U$801,$W158)="","",INDEX('Per Invoice'!U$2:U$801,$W158)))</f>
        <v/>
      </c>
      <c r="V158" s="7">
        <f>IF($W158="","",IF(INDEX('Per Invoice'!V$2:V$801,$W158)="","",INDEX('Per Invoice'!V$2:V$801,$W158)))</f>
        <v/>
      </c>
      <c r="W158" s="16">
        <f>IFERROR(MATCH(Settings!$C$32&amp;"|"&amp;ROWS($W$2:$W158),'Per Invoice'!$X$2:$X$801,0),"")</f>
        <v/>
      </c>
    </row>
    <row r="159">
      <c r="A159">
        <f>IF($W159="","",IF(INDEX('Per Invoice'!A$2:A$801,$W159)="","",INDEX('Per Invoice'!A$2:A$801,$W159)))</f>
        <v/>
      </c>
      <c r="B159">
        <f>IF($W159="","",IF(INDEX('Per Invoice'!B$2:B$801,$W159)="","",INDEX('Per Invoice'!B$2:B$801,$W159)))</f>
        <v/>
      </c>
      <c r="C159">
        <f>IF($W159="","",IF(INDEX('Per Invoice'!C$2:C$801,$W159)="","",INDEX('Per Invoice'!C$2:C$801,$W159)))</f>
        <v/>
      </c>
      <c r="D159">
        <f>IF($W159="","",IF(INDEX('Per Invoice'!D$2:D$801,$W159)="","",INDEX('Per Invoice'!D$2:D$801,$W159)))</f>
        <v/>
      </c>
      <c r="E159">
        <f>IF($W159="","",IF(INDEX('Per Invoice'!E$2:E$801,$W159)="","",INDEX('Per Invoice'!E$2:E$801,$W159)))</f>
        <v/>
      </c>
      <c r="F159">
        <f>IF($W159="","",IF(INDEX('Per Invoice'!F$2:F$801,$W159)="","",INDEX('Per Invoice'!F$2:F$801,$W159)))</f>
        <v/>
      </c>
      <c r="G159">
        <f>IF($W159="","",IF(INDEX('Per Invoice'!G$2:G$801,$W159)="","",INDEX('Per Invoice'!G$2:G$801,$W159)))</f>
        <v/>
      </c>
      <c r="H159">
        <f>IF($W159="","",IF(INDEX('Per Invoice'!H$2:H$801,$W159)="","",INDEX('Per Invoice'!H$2:H$801,$W159)))</f>
        <v/>
      </c>
      <c r="I159">
        <f>IF($W159="","",IF(INDEX('Per Invoice'!I$2:I$801,$W159)="","",INDEX('Per Invoice'!I$2:I$801,$W159)))</f>
        <v/>
      </c>
      <c r="J159">
        <f>IF($W159="","",IF(INDEX('Per Invoice'!J$2:J$801,$W159)="","",INDEX('Per Invoice'!J$2:J$801,$W159)))</f>
        <v/>
      </c>
      <c r="K159" s="7">
        <f>IF($W159="","",IF(INDEX('Per Invoice'!K$2:K$801,$W159)="","",INDEX('Per Invoice'!K$2:K$801,$W159)))</f>
        <v/>
      </c>
      <c r="L159" s="14">
        <f>IF($W159="","",IF(INDEX('Per Invoice'!L$2:L$801,$W159)="","",INDEX('Per Invoice'!L$2:L$801,$W159)))</f>
        <v/>
      </c>
      <c r="M159">
        <f>IF($W159="","",IF(INDEX('Per Invoice'!M$2:M$801,$W159)="","",INDEX('Per Invoice'!M$2:M$801,$W159)))</f>
        <v/>
      </c>
      <c r="N159" s="7">
        <f>IF($W159="","",IF(INDEX('Per Invoice'!N$2:N$801,$W159)="","",INDEX('Per Invoice'!N$2:N$801,$W159)))</f>
        <v/>
      </c>
      <c r="O159" s="7">
        <f>IF($W159="","",IF(INDEX('Per Invoice'!O$2:O$801,$W159)="","",INDEX('Per Invoice'!O$2:O$801,$W159)))</f>
        <v/>
      </c>
      <c r="P159">
        <f>IF($W159="","",IF(INDEX('Per Invoice'!P$2:P$801,$W159)="","",INDEX('Per Invoice'!P$2:P$801,$W159)))</f>
        <v/>
      </c>
      <c r="Q159" s="7">
        <f>IF($W159="","",IF(INDEX('Per Invoice'!Q$2:Q$801,$W159)="","",INDEX('Per Invoice'!Q$2:Q$801,$W159)))</f>
        <v/>
      </c>
      <c r="R159" s="7">
        <f>IF($W159="","",IF(INDEX('Per Invoice'!R$2:R$801,$W159)="","",INDEX('Per Invoice'!R$2:R$801,$W159)))</f>
        <v/>
      </c>
      <c r="S159" s="7">
        <f>IF($W159="","",IF(INDEX('Per Invoice'!S$2:S$801,$W159)="","",INDEX('Per Invoice'!S$2:S$801,$W159)))</f>
        <v/>
      </c>
      <c r="T159" s="7">
        <f>IF($W159="","",IF(INDEX('Per Invoice'!T$2:T$801,$W159)="","",INDEX('Per Invoice'!T$2:T$801,$W159)))</f>
        <v/>
      </c>
      <c r="U159" s="7">
        <f>IF($W159="","",IF(INDEX('Per Invoice'!U$2:U$801,$W159)="","",INDEX('Per Invoice'!U$2:U$801,$W159)))</f>
        <v/>
      </c>
      <c r="V159" s="7">
        <f>IF($W159="","",IF(INDEX('Per Invoice'!V$2:V$801,$W159)="","",INDEX('Per Invoice'!V$2:V$801,$W159)))</f>
        <v/>
      </c>
      <c r="W159" s="16">
        <f>IFERROR(MATCH(Settings!$C$32&amp;"|"&amp;ROWS($W$2:$W159),'Per Invoice'!$X$2:$X$801,0),"")</f>
        <v/>
      </c>
    </row>
    <row r="160">
      <c r="A160">
        <f>IF($W160="","",IF(INDEX('Per Invoice'!A$2:A$801,$W160)="","",INDEX('Per Invoice'!A$2:A$801,$W160)))</f>
        <v/>
      </c>
      <c r="B160">
        <f>IF($W160="","",IF(INDEX('Per Invoice'!B$2:B$801,$W160)="","",INDEX('Per Invoice'!B$2:B$801,$W160)))</f>
        <v/>
      </c>
      <c r="C160">
        <f>IF($W160="","",IF(INDEX('Per Invoice'!C$2:C$801,$W160)="","",INDEX('Per Invoice'!C$2:C$801,$W160)))</f>
        <v/>
      </c>
      <c r="D160">
        <f>IF($W160="","",IF(INDEX('Per Invoice'!D$2:D$801,$W160)="","",INDEX('Per Invoice'!D$2:D$801,$W160)))</f>
        <v/>
      </c>
      <c r="E160">
        <f>IF($W160="","",IF(INDEX('Per Invoice'!E$2:E$801,$W160)="","",INDEX('Per Invoice'!E$2:E$801,$W160)))</f>
        <v/>
      </c>
      <c r="F160">
        <f>IF($W160="","",IF(INDEX('Per Invoice'!F$2:F$801,$W160)="","",INDEX('Per Invoice'!F$2:F$801,$W160)))</f>
        <v/>
      </c>
      <c r="G160">
        <f>IF($W160="","",IF(INDEX('Per Invoice'!G$2:G$801,$W160)="","",INDEX('Per Invoice'!G$2:G$801,$W160)))</f>
        <v/>
      </c>
      <c r="H160">
        <f>IF($W160="","",IF(INDEX('Per Invoice'!H$2:H$801,$W160)="","",INDEX('Per Invoice'!H$2:H$801,$W160)))</f>
        <v/>
      </c>
      <c r="I160">
        <f>IF($W160="","",IF(INDEX('Per Invoice'!I$2:I$801,$W160)="","",INDEX('Per Invoice'!I$2:I$801,$W160)))</f>
        <v/>
      </c>
      <c r="J160">
        <f>IF($W160="","",IF(INDEX('Per Invoice'!J$2:J$801,$W160)="","",INDEX('Per Invoice'!J$2:J$801,$W160)))</f>
        <v/>
      </c>
      <c r="K160" s="7">
        <f>IF($W160="","",IF(INDEX('Per Invoice'!K$2:K$801,$W160)="","",INDEX('Per Invoice'!K$2:K$801,$W160)))</f>
        <v/>
      </c>
      <c r="L160" s="14">
        <f>IF($W160="","",IF(INDEX('Per Invoice'!L$2:L$801,$W160)="","",INDEX('Per Invoice'!L$2:L$801,$W160)))</f>
        <v/>
      </c>
      <c r="M160">
        <f>IF($W160="","",IF(INDEX('Per Invoice'!M$2:M$801,$W160)="","",INDEX('Per Invoice'!M$2:M$801,$W160)))</f>
        <v/>
      </c>
      <c r="N160" s="7">
        <f>IF($W160="","",IF(INDEX('Per Invoice'!N$2:N$801,$W160)="","",INDEX('Per Invoice'!N$2:N$801,$W160)))</f>
        <v/>
      </c>
      <c r="O160" s="7">
        <f>IF($W160="","",IF(INDEX('Per Invoice'!O$2:O$801,$W160)="","",INDEX('Per Invoice'!O$2:O$801,$W160)))</f>
        <v/>
      </c>
      <c r="P160">
        <f>IF($W160="","",IF(INDEX('Per Invoice'!P$2:P$801,$W160)="","",INDEX('Per Invoice'!P$2:P$801,$W160)))</f>
        <v/>
      </c>
      <c r="Q160" s="7">
        <f>IF($W160="","",IF(INDEX('Per Invoice'!Q$2:Q$801,$W160)="","",INDEX('Per Invoice'!Q$2:Q$801,$W160)))</f>
        <v/>
      </c>
      <c r="R160" s="7">
        <f>IF($W160="","",IF(INDEX('Per Invoice'!R$2:R$801,$W160)="","",INDEX('Per Invoice'!R$2:R$801,$W160)))</f>
        <v/>
      </c>
      <c r="S160" s="7">
        <f>IF($W160="","",IF(INDEX('Per Invoice'!S$2:S$801,$W160)="","",INDEX('Per Invoice'!S$2:S$801,$W160)))</f>
        <v/>
      </c>
      <c r="T160" s="7">
        <f>IF($W160="","",IF(INDEX('Per Invoice'!T$2:T$801,$W160)="","",INDEX('Per Invoice'!T$2:T$801,$W160)))</f>
        <v/>
      </c>
      <c r="U160" s="7">
        <f>IF($W160="","",IF(INDEX('Per Invoice'!U$2:U$801,$W160)="","",INDEX('Per Invoice'!U$2:U$801,$W160)))</f>
        <v/>
      </c>
      <c r="V160" s="7">
        <f>IF($W160="","",IF(INDEX('Per Invoice'!V$2:V$801,$W160)="","",INDEX('Per Invoice'!V$2:V$801,$W160)))</f>
        <v/>
      </c>
      <c r="W160" s="16">
        <f>IFERROR(MATCH(Settings!$C$32&amp;"|"&amp;ROWS($W$2:$W160),'Per Invoice'!$X$2:$X$801,0),"")</f>
        <v/>
      </c>
    </row>
    <row r="161">
      <c r="A161">
        <f>IF($W161="","",IF(INDEX('Per Invoice'!A$2:A$801,$W161)="","",INDEX('Per Invoice'!A$2:A$801,$W161)))</f>
        <v/>
      </c>
      <c r="B161">
        <f>IF($W161="","",IF(INDEX('Per Invoice'!B$2:B$801,$W161)="","",INDEX('Per Invoice'!B$2:B$801,$W161)))</f>
        <v/>
      </c>
      <c r="C161">
        <f>IF($W161="","",IF(INDEX('Per Invoice'!C$2:C$801,$W161)="","",INDEX('Per Invoice'!C$2:C$801,$W161)))</f>
        <v/>
      </c>
      <c r="D161">
        <f>IF($W161="","",IF(INDEX('Per Invoice'!D$2:D$801,$W161)="","",INDEX('Per Invoice'!D$2:D$801,$W161)))</f>
        <v/>
      </c>
      <c r="E161">
        <f>IF($W161="","",IF(INDEX('Per Invoice'!E$2:E$801,$W161)="","",INDEX('Per Invoice'!E$2:E$801,$W161)))</f>
        <v/>
      </c>
      <c r="F161">
        <f>IF($W161="","",IF(INDEX('Per Invoice'!F$2:F$801,$W161)="","",INDEX('Per Invoice'!F$2:F$801,$W161)))</f>
        <v/>
      </c>
      <c r="G161">
        <f>IF($W161="","",IF(INDEX('Per Invoice'!G$2:G$801,$W161)="","",INDEX('Per Invoice'!G$2:G$801,$W161)))</f>
        <v/>
      </c>
      <c r="H161">
        <f>IF($W161="","",IF(INDEX('Per Invoice'!H$2:H$801,$W161)="","",INDEX('Per Invoice'!H$2:H$801,$W161)))</f>
        <v/>
      </c>
      <c r="I161">
        <f>IF($W161="","",IF(INDEX('Per Invoice'!I$2:I$801,$W161)="","",INDEX('Per Invoice'!I$2:I$801,$W161)))</f>
        <v/>
      </c>
      <c r="J161">
        <f>IF($W161="","",IF(INDEX('Per Invoice'!J$2:J$801,$W161)="","",INDEX('Per Invoice'!J$2:J$801,$W161)))</f>
        <v/>
      </c>
      <c r="K161" s="7">
        <f>IF($W161="","",IF(INDEX('Per Invoice'!K$2:K$801,$W161)="","",INDEX('Per Invoice'!K$2:K$801,$W161)))</f>
        <v/>
      </c>
      <c r="L161" s="14">
        <f>IF($W161="","",IF(INDEX('Per Invoice'!L$2:L$801,$W161)="","",INDEX('Per Invoice'!L$2:L$801,$W161)))</f>
        <v/>
      </c>
      <c r="M161">
        <f>IF($W161="","",IF(INDEX('Per Invoice'!M$2:M$801,$W161)="","",INDEX('Per Invoice'!M$2:M$801,$W161)))</f>
        <v/>
      </c>
      <c r="N161" s="7">
        <f>IF($W161="","",IF(INDEX('Per Invoice'!N$2:N$801,$W161)="","",INDEX('Per Invoice'!N$2:N$801,$W161)))</f>
        <v/>
      </c>
      <c r="O161" s="7">
        <f>IF($W161="","",IF(INDEX('Per Invoice'!O$2:O$801,$W161)="","",INDEX('Per Invoice'!O$2:O$801,$W161)))</f>
        <v/>
      </c>
      <c r="P161">
        <f>IF($W161="","",IF(INDEX('Per Invoice'!P$2:P$801,$W161)="","",INDEX('Per Invoice'!P$2:P$801,$W161)))</f>
        <v/>
      </c>
      <c r="Q161" s="7">
        <f>IF($W161="","",IF(INDEX('Per Invoice'!Q$2:Q$801,$W161)="","",INDEX('Per Invoice'!Q$2:Q$801,$W161)))</f>
        <v/>
      </c>
      <c r="R161" s="7">
        <f>IF($W161="","",IF(INDEX('Per Invoice'!R$2:R$801,$W161)="","",INDEX('Per Invoice'!R$2:R$801,$W161)))</f>
        <v/>
      </c>
      <c r="S161" s="7">
        <f>IF($W161="","",IF(INDEX('Per Invoice'!S$2:S$801,$W161)="","",INDEX('Per Invoice'!S$2:S$801,$W161)))</f>
        <v/>
      </c>
      <c r="T161" s="7">
        <f>IF($W161="","",IF(INDEX('Per Invoice'!T$2:T$801,$W161)="","",INDEX('Per Invoice'!T$2:T$801,$W161)))</f>
        <v/>
      </c>
      <c r="U161" s="7">
        <f>IF($W161="","",IF(INDEX('Per Invoice'!U$2:U$801,$W161)="","",INDEX('Per Invoice'!U$2:U$801,$W161)))</f>
        <v/>
      </c>
      <c r="V161" s="7">
        <f>IF($W161="","",IF(INDEX('Per Invoice'!V$2:V$801,$W161)="","",INDEX('Per Invoice'!V$2:V$801,$W161)))</f>
        <v/>
      </c>
      <c r="W161" s="16">
        <f>IFERROR(MATCH(Settings!$C$32&amp;"|"&amp;ROWS($W$2:$W161),'Per Invoice'!$X$2:$X$801,0),"")</f>
        <v/>
      </c>
    </row>
    <row r="162">
      <c r="A162">
        <f>IF($W162="","",IF(INDEX('Per Invoice'!A$2:A$801,$W162)="","",INDEX('Per Invoice'!A$2:A$801,$W162)))</f>
        <v/>
      </c>
      <c r="B162">
        <f>IF($W162="","",IF(INDEX('Per Invoice'!B$2:B$801,$W162)="","",INDEX('Per Invoice'!B$2:B$801,$W162)))</f>
        <v/>
      </c>
      <c r="C162">
        <f>IF($W162="","",IF(INDEX('Per Invoice'!C$2:C$801,$W162)="","",INDEX('Per Invoice'!C$2:C$801,$W162)))</f>
        <v/>
      </c>
      <c r="D162">
        <f>IF($W162="","",IF(INDEX('Per Invoice'!D$2:D$801,$W162)="","",INDEX('Per Invoice'!D$2:D$801,$W162)))</f>
        <v/>
      </c>
      <c r="E162">
        <f>IF($W162="","",IF(INDEX('Per Invoice'!E$2:E$801,$W162)="","",INDEX('Per Invoice'!E$2:E$801,$W162)))</f>
        <v/>
      </c>
      <c r="F162">
        <f>IF($W162="","",IF(INDEX('Per Invoice'!F$2:F$801,$W162)="","",INDEX('Per Invoice'!F$2:F$801,$W162)))</f>
        <v/>
      </c>
      <c r="G162">
        <f>IF($W162="","",IF(INDEX('Per Invoice'!G$2:G$801,$W162)="","",INDEX('Per Invoice'!G$2:G$801,$W162)))</f>
        <v/>
      </c>
      <c r="H162">
        <f>IF($W162="","",IF(INDEX('Per Invoice'!H$2:H$801,$W162)="","",INDEX('Per Invoice'!H$2:H$801,$W162)))</f>
        <v/>
      </c>
      <c r="I162">
        <f>IF($W162="","",IF(INDEX('Per Invoice'!I$2:I$801,$W162)="","",INDEX('Per Invoice'!I$2:I$801,$W162)))</f>
        <v/>
      </c>
      <c r="J162">
        <f>IF($W162="","",IF(INDEX('Per Invoice'!J$2:J$801,$W162)="","",INDEX('Per Invoice'!J$2:J$801,$W162)))</f>
        <v/>
      </c>
      <c r="K162" s="7">
        <f>IF($W162="","",IF(INDEX('Per Invoice'!K$2:K$801,$W162)="","",INDEX('Per Invoice'!K$2:K$801,$W162)))</f>
        <v/>
      </c>
      <c r="L162" s="14">
        <f>IF($W162="","",IF(INDEX('Per Invoice'!L$2:L$801,$W162)="","",INDEX('Per Invoice'!L$2:L$801,$W162)))</f>
        <v/>
      </c>
      <c r="M162">
        <f>IF($W162="","",IF(INDEX('Per Invoice'!M$2:M$801,$W162)="","",INDEX('Per Invoice'!M$2:M$801,$W162)))</f>
        <v/>
      </c>
      <c r="N162" s="7">
        <f>IF($W162="","",IF(INDEX('Per Invoice'!N$2:N$801,$W162)="","",INDEX('Per Invoice'!N$2:N$801,$W162)))</f>
        <v/>
      </c>
      <c r="O162" s="7">
        <f>IF($W162="","",IF(INDEX('Per Invoice'!O$2:O$801,$W162)="","",INDEX('Per Invoice'!O$2:O$801,$W162)))</f>
        <v/>
      </c>
      <c r="P162">
        <f>IF($W162="","",IF(INDEX('Per Invoice'!P$2:P$801,$W162)="","",INDEX('Per Invoice'!P$2:P$801,$W162)))</f>
        <v/>
      </c>
      <c r="Q162" s="7">
        <f>IF($W162="","",IF(INDEX('Per Invoice'!Q$2:Q$801,$W162)="","",INDEX('Per Invoice'!Q$2:Q$801,$W162)))</f>
        <v/>
      </c>
      <c r="R162" s="7">
        <f>IF($W162="","",IF(INDEX('Per Invoice'!R$2:R$801,$W162)="","",INDEX('Per Invoice'!R$2:R$801,$W162)))</f>
        <v/>
      </c>
      <c r="S162" s="7">
        <f>IF($W162="","",IF(INDEX('Per Invoice'!S$2:S$801,$W162)="","",INDEX('Per Invoice'!S$2:S$801,$W162)))</f>
        <v/>
      </c>
      <c r="T162" s="7">
        <f>IF($W162="","",IF(INDEX('Per Invoice'!T$2:T$801,$W162)="","",INDEX('Per Invoice'!T$2:T$801,$W162)))</f>
        <v/>
      </c>
      <c r="U162" s="7">
        <f>IF($W162="","",IF(INDEX('Per Invoice'!U$2:U$801,$W162)="","",INDEX('Per Invoice'!U$2:U$801,$W162)))</f>
        <v/>
      </c>
      <c r="V162" s="7">
        <f>IF($W162="","",IF(INDEX('Per Invoice'!V$2:V$801,$W162)="","",INDEX('Per Invoice'!V$2:V$801,$W162)))</f>
        <v/>
      </c>
      <c r="W162" s="16">
        <f>IFERROR(MATCH(Settings!$C$32&amp;"|"&amp;ROWS($W$2:$W162),'Per Invoice'!$X$2:$X$801,0),"")</f>
        <v/>
      </c>
    </row>
    <row r="163">
      <c r="A163">
        <f>IF($W163="","",IF(INDEX('Per Invoice'!A$2:A$801,$W163)="","",INDEX('Per Invoice'!A$2:A$801,$W163)))</f>
        <v/>
      </c>
      <c r="B163">
        <f>IF($W163="","",IF(INDEX('Per Invoice'!B$2:B$801,$W163)="","",INDEX('Per Invoice'!B$2:B$801,$W163)))</f>
        <v/>
      </c>
      <c r="C163">
        <f>IF($W163="","",IF(INDEX('Per Invoice'!C$2:C$801,$W163)="","",INDEX('Per Invoice'!C$2:C$801,$W163)))</f>
        <v/>
      </c>
      <c r="D163">
        <f>IF($W163="","",IF(INDEX('Per Invoice'!D$2:D$801,$W163)="","",INDEX('Per Invoice'!D$2:D$801,$W163)))</f>
        <v/>
      </c>
      <c r="E163">
        <f>IF($W163="","",IF(INDEX('Per Invoice'!E$2:E$801,$W163)="","",INDEX('Per Invoice'!E$2:E$801,$W163)))</f>
        <v/>
      </c>
      <c r="F163">
        <f>IF($W163="","",IF(INDEX('Per Invoice'!F$2:F$801,$W163)="","",INDEX('Per Invoice'!F$2:F$801,$W163)))</f>
        <v/>
      </c>
      <c r="G163">
        <f>IF($W163="","",IF(INDEX('Per Invoice'!G$2:G$801,$W163)="","",INDEX('Per Invoice'!G$2:G$801,$W163)))</f>
        <v/>
      </c>
      <c r="H163">
        <f>IF($W163="","",IF(INDEX('Per Invoice'!H$2:H$801,$W163)="","",INDEX('Per Invoice'!H$2:H$801,$W163)))</f>
        <v/>
      </c>
      <c r="I163">
        <f>IF($W163="","",IF(INDEX('Per Invoice'!I$2:I$801,$W163)="","",INDEX('Per Invoice'!I$2:I$801,$W163)))</f>
        <v/>
      </c>
      <c r="J163">
        <f>IF($W163="","",IF(INDEX('Per Invoice'!J$2:J$801,$W163)="","",INDEX('Per Invoice'!J$2:J$801,$W163)))</f>
        <v/>
      </c>
      <c r="K163" s="7">
        <f>IF($W163="","",IF(INDEX('Per Invoice'!K$2:K$801,$W163)="","",INDEX('Per Invoice'!K$2:K$801,$W163)))</f>
        <v/>
      </c>
      <c r="L163" s="14">
        <f>IF($W163="","",IF(INDEX('Per Invoice'!L$2:L$801,$W163)="","",INDEX('Per Invoice'!L$2:L$801,$W163)))</f>
        <v/>
      </c>
      <c r="M163">
        <f>IF($W163="","",IF(INDEX('Per Invoice'!M$2:M$801,$W163)="","",INDEX('Per Invoice'!M$2:M$801,$W163)))</f>
        <v/>
      </c>
      <c r="N163" s="7">
        <f>IF($W163="","",IF(INDEX('Per Invoice'!N$2:N$801,$W163)="","",INDEX('Per Invoice'!N$2:N$801,$W163)))</f>
        <v/>
      </c>
      <c r="O163" s="7">
        <f>IF($W163="","",IF(INDEX('Per Invoice'!O$2:O$801,$W163)="","",INDEX('Per Invoice'!O$2:O$801,$W163)))</f>
        <v/>
      </c>
      <c r="P163">
        <f>IF($W163="","",IF(INDEX('Per Invoice'!P$2:P$801,$W163)="","",INDEX('Per Invoice'!P$2:P$801,$W163)))</f>
        <v/>
      </c>
      <c r="Q163" s="7">
        <f>IF($W163="","",IF(INDEX('Per Invoice'!Q$2:Q$801,$W163)="","",INDEX('Per Invoice'!Q$2:Q$801,$W163)))</f>
        <v/>
      </c>
      <c r="R163" s="7">
        <f>IF($W163="","",IF(INDEX('Per Invoice'!R$2:R$801,$W163)="","",INDEX('Per Invoice'!R$2:R$801,$W163)))</f>
        <v/>
      </c>
      <c r="S163" s="7">
        <f>IF($W163="","",IF(INDEX('Per Invoice'!S$2:S$801,$W163)="","",INDEX('Per Invoice'!S$2:S$801,$W163)))</f>
        <v/>
      </c>
      <c r="T163" s="7">
        <f>IF($W163="","",IF(INDEX('Per Invoice'!T$2:T$801,$W163)="","",INDEX('Per Invoice'!T$2:T$801,$W163)))</f>
        <v/>
      </c>
      <c r="U163" s="7">
        <f>IF($W163="","",IF(INDEX('Per Invoice'!U$2:U$801,$W163)="","",INDEX('Per Invoice'!U$2:U$801,$W163)))</f>
        <v/>
      </c>
      <c r="V163" s="7">
        <f>IF($W163="","",IF(INDEX('Per Invoice'!V$2:V$801,$W163)="","",INDEX('Per Invoice'!V$2:V$801,$W163)))</f>
        <v/>
      </c>
      <c r="W163" s="16">
        <f>IFERROR(MATCH(Settings!$C$32&amp;"|"&amp;ROWS($W$2:$W163),'Per Invoice'!$X$2:$X$801,0),"")</f>
        <v/>
      </c>
    </row>
    <row r="164">
      <c r="A164">
        <f>IF($W164="","",IF(INDEX('Per Invoice'!A$2:A$801,$W164)="","",INDEX('Per Invoice'!A$2:A$801,$W164)))</f>
        <v/>
      </c>
      <c r="B164">
        <f>IF($W164="","",IF(INDEX('Per Invoice'!B$2:B$801,$W164)="","",INDEX('Per Invoice'!B$2:B$801,$W164)))</f>
        <v/>
      </c>
      <c r="C164">
        <f>IF($W164="","",IF(INDEX('Per Invoice'!C$2:C$801,$W164)="","",INDEX('Per Invoice'!C$2:C$801,$W164)))</f>
        <v/>
      </c>
      <c r="D164">
        <f>IF($W164="","",IF(INDEX('Per Invoice'!D$2:D$801,$W164)="","",INDEX('Per Invoice'!D$2:D$801,$W164)))</f>
        <v/>
      </c>
      <c r="E164">
        <f>IF($W164="","",IF(INDEX('Per Invoice'!E$2:E$801,$W164)="","",INDEX('Per Invoice'!E$2:E$801,$W164)))</f>
        <v/>
      </c>
      <c r="F164">
        <f>IF($W164="","",IF(INDEX('Per Invoice'!F$2:F$801,$W164)="","",INDEX('Per Invoice'!F$2:F$801,$W164)))</f>
        <v/>
      </c>
      <c r="G164">
        <f>IF($W164="","",IF(INDEX('Per Invoice'!G$2:G$801,$W164)="","",INDEX('Per Invoice'!G$2:G$801,$W164)))</f>
        <v/>
      </c>
      <c r="H164">
        <f>IF($W164="","",IF(INDEX('Per Invoice'!H$2:H$801,$W164)="","",INDEX('Per Invoice'!H$2:H$801,$W164)))</f>
        <v/>
      </c>
      <c r="I164">
        <f>IF($W164="","",IF(INDEX('Per Invoice'!I$2:I$801,$W164)="","",INDEX('Per Invoice'!I$2:I$801,$W164)))</f>
        <v/>
      </c>
      <c r="J164">
        <f>IF($W164="","",IF(INDEX('Per Invoice'!J$2:J$801,$W164)="","",INDEX('Per Invoice'!J$2:J$801,$W164)))</f>
        <v/>
      </c>
      <c r="K164" s="7">
        <f>IF($W164="","",IF(INDEX('Per Invoice'!K$2:K$801,$W164)="","",INDEX('Per Invoice'!K$2:K$801,$W164)))</f>
        <v/>
      </c>
      <c r="L164" s="14">
        <f>IF($W164="","",IF(INDEX('Per Invoice'!L$2:L$801,$W164)="","",INDEX('Per Invoice'!L$2:L$801,$W164)))</f>
        <v/>
      </c>
      <c r="M164">
        <f>IF($W164="","",IF(INDEX('Per Invoice'!M$2:M$801,$W164)="","",INDEX('Per Invoice'!M$2:M$801,$W164)))</f>
        <v/>
      </c>
      <c r="N164" s="7">
        <f>IF($W164="","",IF(INDEX('Per Invoice'!N$2:N$801,$W164)="","",INDEX('Per Invoice'!N$2:N$801,$W164)))</f>
        <v/>
      </c>
      <c r="O164" s="7">
        <f>IF($W164="","",IF(INDEX('Per Invoice'!O$2:O$801,$W164)="","",INDEX('Per Invoice'!O$2:O$801,$W164)))</f>
        <v/>
      </c>
      <c r="P164">
        <f>IF($W164="","",IF(INDEX('Per Invoice'!P$2:P$801,$W164)="","",INDEX('Per Invoice'!P$2:P$801,$W164)))</f>
        <v/>
      </c>
      <c r="Q164" s="7">
        <f>IF($W164="","",IF(INDEX('Per Invoice'!Q$2:Q$801,$W164)="","",INDEX('Per Invoice'!Q$2:Q$801,$W164)))</f>
        <v/>
      </c>
      <c r="R164" s="7">
        <f>IF($W164="","",IF(INDEX('Per Invoice'!R$2:R$801,$W164)="","",INDEX('Per Invoice'!R$2:R$801,$W164)))</f>
        <v/>
      </c>
      <c r="S164" s="7">
        <f>IF($W164="","",IF(INDEX('Per Invoice'!S$2:S$801,$W164)="","",INDEX('Per Invoice'!S$2:S$801,$W164)))</f>
        <v/>
      </c>
      <c r="T164" s="7">
        <f>IF($W164="","",IF(INDEX('Per Invoice'!T$2:T$801,$W164)="","",INDEX('Per Invoice'!T$2:T$801,$W164)))</f>
        <v/>
      </c>
      <c r="U164" s="7">
        <f>IF($W164="","",IF(INDEX('Per Invoice'!U$2:U$801,$W164)="","",INDEX('Per Invoice'!U$2:U$801,$W164)))</f>
        <v/>
      </c>
      <c r="V164" s="7">
        <f>IF($W164="","",IF(INDEX('Per Invoice'!V$2:V$801,$W164)="","",INDEX('Per Invoice'!V$2:V$801,$W164)))</f>
        <v/>
      </c>
      <c r="W164" s="16">
        <f>IFERROR(MATCH(Settings!$C$32&amp;"|"&amp;ROWS($W$2:$W164),'Per Invoice'!$X$2:$X$801,0),"")</f>
        <v/>
      </c>
    </row>
    <row r="165">
      <c r="A165">
        <f>IF($W165="","",IF(INDEX('Per Invoice'!A$2:A$801,$W165)="","",INDEX('Per Invoice'!A$2:A$801,$W165)))</f>
        <v/>
      </c>
      <c r="B165">
        <f>IF($W165="","",IF(INDEX('Per Invoice'!B$2:B$801,$W165)="","",INDEX('Per Invoice'!B$2:B$801,$W165)))</f>
        <v/>
      </c>
      <c r="C165">
        <f>IF($W165="","",IF(INDEX('Per Invoice'!C$2:C$801,$W165)="","",INDEX('Per Invoice'!C$2:C$801,$W165)))</f>
        <v/>
      </c>
      <c r="D165">
        <f>IF($W165="","",IF(INDEX('Per Invoice'!D$2:D$801,$W165)="","",INDEX('Per Invoice'!D$2:D$801,$W165)))</f>
        <v/>
      </c>
      <c r="E165">
        <f>IF($W165="","",IF(INDEX('Per Invoice'!E$2:E$801,$W165)="","",INDEX('Per Invoice'!E$2:E$801,$W165)))</f>
        <v/>
      </c>
      <c r="F165">
        <f>IF($W165="","",IF(INDEX('Per Invoice'!F$2:F$801,$W165)="","",INDEX('Per Invoice'!F$2:F$801,$W165)))</f>
        <v/>
      </c>
      <c r="G165">
        <f>IF($W165="","",IF(INDEX('Per Invoice'!G$2:G$801,$W165)="","",INDEX('Per Invoice'!G$2:G$801,$W165)))</f>
        <v/>
      </c>
      <c r="H165">
        <f>IF($W165="","",IF(INDEX('Per Invoice'!H$2:H$801,$W165)="","",INDEX('Per Invoice'!H$2:H$801,$W165)))</f>
        <v/>
      </c>
      <c r="I165">
        <f>IF($W165="","",IF(INDEX('Per Invoice'!I$2:I$801,$W165)="","",INDEX('Per Invoice'!I$2:I$801,$W165)))</f>
        <v/>
      </c>
      <c r="J165">
        <f>IF($W165="","",IF(INDEX('Per Invoice'!J$2:J$801,$W165)="","",INDEX('Per Invoice'!J$2:J$801,$W165)))</f>
        <v/>
      </c>
      <c r="K165" s="7">
        <f>IF($W165="","",IF(INDEX('Per Invoice'!K$2:K$801,$W165)="","",INDEX('Per Invoice'!K$2:K$801,$W165)))</f>
        <v/>
      </c>
      <c r="L165" s="14">
        <f>IF($W165="","",IF(INDEX('Per Invoice'!L$2:L$801,$W165)="","",INDEX('Per Invoice'!L$2:L$801,$W165)))</f>
        <v/>
      </c>
      <c r="M165">
        <f>IF($W165="","",IF(INDEX('Per Invoice'!M$2:M$801,$W165)="","",INDEX('Per Invoice'!M$2:M$801,$W165)))</f>
        <v/>
      </c>
      <c r="N165" s="7">
        <f>IF($W165="","",IF(INDEX('Per Invoice'!N$2:N$801,$W165)="","",INDEX('Per Invoice'!N$2:N$801,$W165)))</f>
        <v/>
      </c>
      <c r="O165" s="7">
        <f>IF($W165="","",IF(INDEX('Per Invoice'!O$2:O$801,$W165)="","",INDEX('Per Invoice'!O$2:O$801,$W165)))</f>
        <v/>
      </c>
      <c r="P165">
        <f>IF($W165="","",IF(INDEX('Per Invoice'!P$2:P$801,$W165)="","",INDEX('Per Invoice'!P$2:P$801,$W165)))</f>
        <v/>
      </c>
      <c r="Q165" s="7">
        <f>IF($W165="","",IF(INDEX('Per Invoice'!Q$2:Q$801,$W165)="","",INDEX('Per Invoice'!Q$2:Q$801,$W165)))</f>
        <v/>
      </c>
      <c r="R165" s="7">
        <f>IF($W165="","",IF(INDEX('Per Invoice'!R$2:R$801,$W165)="","",INDEX('Per Invoice'!R$2:R$801,$W165)))</f>
        <v/>
      </c>
      <c r="S165" s="7">
        <f>IF($W165="","",IF(INDEX('Per Invoice'!S$2:S$801,$W165)="","",INDEX('Per Invoice'!S$2:S$801,$W165)))</f>
        <v/>
      </c>
      <c r="T165" s="7">
        <f>IF($W165="","",IF(INDEX('Per Invoice'!T$2:T$801,$W165)="","",INDEX('Per Invoice'!T$2:T$801,$W165)))</f>
        <v/>
      </c>
      <c r="U165" s="7">
        <f>IF($W165="","",IF(INDEX('Per Invoice'!U$2:U$801,$W165)="","",INDEX('Per Invoice'!U$2:U$801,$W165)))</f>
        <v/>
      </c>
      <c r="V165" s="7">
        <f>IF($W165="","",IF(INDEX('Per Invoice'!V$2:V$801,$W165)="","",INDEX('Per Invoice'!V$2:V$801,$W165)))</f>
        <v/>
      </c>
      <c r="W165" s="16">
        <f>IFERROR(MATCH(Settings!$C$32&amp;"|"&amp;ROWS($W$2:$W165),'Per Invoice'!$X$2:$X$801,0),"")</f>
        <v/>
      </c>
    </row>
    <row r="166">
      <c r="A166">
        <f>IF($W166="","",IF(INDEX('Per Invoice'!A$2:A$801,$W166)="","",INDEX('Per Invoice'!A$2:A$801,$W166)))</f>
        <v/>
      </c>
      <c r="B166">
        <f>IF($W166="","",IF(INDEX('Per Invoice'!B$2:B$801,$W166)="","",INDEX('Per Invoice'!B$2:B$801,$W166)))</f>
        <v/>
      </c>
      <c r="C166">
        <f>IF($W166="","",IF(INDEX('Per Invoice'!C$2:C$801,$W166)="","",INDEX('Per Invoice'!C$2:C$801,$W166)))</f>
        <v/>
      </c>
      <c r="D166">
        <f>IF($W166="","",IF(INDEX('Per Invoice'!D$2:D$801,$W166)="","",INDEX('Per Invoice'!D$2:D$801,$W166)))</f>
        <v/>
      </c>
      <c r="E166">
        <f>IF($W166="","",IF(INDEX('Per Invoice'!E$2:E$801,$W166)="","",INDEX('Per Invoice'!E$2:E$801,$W166)))</f>
        <v/>
      </c>
      <c r="F166">
        <f>IF($W166="","",IF(INDEX('Per Invoice'!F$2:F$801,$W166)="","",INDEX('Per Invoice'!F$2:F$801,$W166)))</f>
        <v/>
      </c>
      <c r="G166">
        <f>IF($W166="","",IF(INDEX('Per Invoice'!G$2:G$801,$W166)="","",INDEX('Per Invoice'!G$2:G$801,$W166)))</f>
        <v/>
      </c>
      <c r="H166">
        <f>IF($W166="","",IF(INDEX('Per Invoice'!H$2:H$801,$W166)="","",INDEX('Per Invoice'!H$2:H$801,$W166)))</f>
        <v/>
      </c>
      <c r="I166">
        <f>IF($W166="","",IF(INDEX('Per Invoice'!I$2:I$801,$W166)="","",INDEX('Per Invoice'!I$2:I$801,$W166)))</f>
        <v/>
      </c>
      <c r="J166">
        <f>IF($W166="","",IF(INDEX('Per Invoice'!J$2:J$801,$W166)="","",INDEX('Per Invoice'!J$2:J$801,$W166)))</f>
        <v/>
      </c>
      <c r="K166" s="7">
        <f>IF($W166="","",IF(INDEX('Per Invoice'!K$2:K$801,$W166)="","",INDEX('Per Invoice'!K$2:K$801,$W166)))</f>
        <v/>
      </c>
      <c r="L166" s="14">
        <f>IF($W166="","",IF(INDEX('Per Invoice'!L$2:L$801,$W166)="","",INDEX('Per Invoice'!L$2:L$801,$W166)))</f>
        <v/>
      </c>
      <c r="M166">
        <f>IF($W166="","",IF(INDEX('Per Invoice'!M$2:M$801,$W166)="","",INDEX('Per Invoice'!M$2:M$801,$W166)))</f>
        <v/>
      </c>
      <c r="N166" s="7">
        <f>IF($W166="","",IF(INDEX('Per Invoice'!N$2:N$801,$W166)="","",INDEX('Per Invoice'!N$2:N$801,$W166)))</f>
        <v/>
      </c>
      <c r="O166" s="7">
        <f>IF($W166="","",IF(INDEX('Per Invoice'!O$2:O$801,$W166)="","",INDEX('Per Invoice'!O$2:O$801,$W166)))</f>
        <v/>
      </c>
      <c r="P166">
        <f>IF($W166="","",IF(INDEX('Per Invoice'!P$2:P$801,$W166)="","",INDEX('Per Invoice'!P$2:P$801,$W166)))</f>
        <v/>
      </c>
      <c r="Q166" s="7">
        <f>IF($W166="","",IF(INDEX('Per Invoice'!Q$2:Q$801,$W166)="","",INDEX('Per Invoice'!Q$2:Q$801,$W166)))</f>
        <v/>
      </c>
      <c r="R166" s="7">
        <f>IF($W166="","",IF(INDEX('Per Invoice'!R$2:R$801,$W166)="","",INDEX('Per Invoice'!R$2:R$801,$W166)))</f>
        <v/>
      </c>
      <c r="S166" s="7">
        <f>IF($W166="","",IF(INDEX('Per Invoice'!S$2:S$801,$W166)="","",INDEX('Per Invoice'!S$2:S$801,$W166)))</f>
        <v/>
      </c>
      <c r="T166" s="7">
        <f>IF($W166="","",IF(INDEX('Per Invoice'!T$2:T$801,$W166)="","",INDEX('Per Invoice'!T$2:T$801,$W166)))</f>
        <v/>
      </c>
      <c r="U166" s="7">
        <f>IF($W166="","",IF(INDEX('Per Invoice'!U$2:U$801,$W166)="","",INDEX('Per Invoice'!U$2:U$801,$W166)))</f>
        <v/>
      </c>
      <c r="V166" s="7">
        <f>IF($W166="","",IF(INDEX('Per Invoice'!V$2:V$801,$W166)="","",INDEX('Per Invoice'!V$2:V$801,$W166)))</f>
        <v/>
      </c>
      <c r="W166" s="16">
        <f>IFERROR(MATCH(Settings!$C$32&amp;"|"&amp;ROWS($W$2:$W166),'Per Invoice'!$X$2:$X$801,0),"")</f>
        <v/>
      </c>
    </row>
    <row r="167">
      <c r="A167">
        <f>IF($W167="","",IF(INDEX('Per Invoice'!A$2:A$801,$W167)="","",INDEX('Per Invoice'!A$2:A$801,$W167)))</f>
        <v/>
      </c>
      <c r="B167">
        <f>IF($W167="","",IF(INDEX('Per Invoice'!B$2:B$801,$W167)="","",INDEX('Per Invoice'!B$2:B$801,$W167)))</f>
        <v/>
      </c>
      <c r="C167">
        <f>IF($W167="","",IF(INDEX('Per Invoice'!C$2:C$801,$W167)="","",INDEX('Per Invoice'!C$2:C$801,$W167)))</f>
        <v/>
      </c>
      <c r="D167">
        <f>IF($W167="","",IF(INDEX('Per Invoice'!D$2:D$801,$W167)="","",INDEX('Per Invoice'!D$2:D$801,$W167)))</f>
        <v/>
      </c>
      <c r="E167">
        <f>IF($W167="","",IF(INDEX('Per Invoice'!E$2:E$801,$W167)="","",INDEX('Per Invoice'!E$2:E$801,$W167)))</f>
        <v/>
      </c>
      <c r="F167">
        <f>IF($W167="","",IF(INDEX('Per Invoice'!F$2:F$801,$W167)="","",INDEX('Per Invoice'!F$2:F$801,$W167)))</f>
        <v/>
      </c>
      <c r="G167">
        <f>IF($W167="","",IF(INDEX('Per Invoice'!G$2:G$801,$W167)="","",INDEX('Per Invoice'!G$2:G$801,$W167)))</f>
        <v/>
      </c>
      <c r="H167">
        <f>IF($W167="","",IF(INDEX('Per Invoice'!H$2:H$801,$W167)="","",INDEX('Per Invoice'!H$2:H$801,$W167)))</f>
        <v/>
      </c>
      <c r="I167">
        <f>IF($W167="","",IF(INDEX('Per Invoice'!I$2:I$801,$W167)="","",INDEX('Per Invoice'!I$2:I$801,$W167)))</f>
        <v/>
      </c>
      <c r="J167">
        <f>IF($W167="","",IF(INDEX('Per Invoice'!J$2:J$801,$W167)="","",INDEX('Per Invoice'!J$2:J$801,$W167)))</f>
        <v/>
      </c>
      <c r="K167" s="7">
        <f>IF($W167="","",IF(INDEX('Per Invoice'!K$2:K$801,$W167)="","",INDEX('Per Invoice'!K$2:K$801,$W167)))</f>
        <v/>
      </c>
      <c r="L167" s="14">
        <f>IF($W167="","",IF(INDEX('Per Invoice'!L$2:L$801,$W167)="","",INDEX('Per Invoice'!L$2:L$801,$W167)))</f>
        <v/>
      </c>
      <c r="M167">
        <f>IF($W167="","",IF(INDEX('Per Invoice'!M$2:M$801,$W167)="","",INDEX('Per Invoice'!M$2:M$801,$W167)))</f>
        <v/>
      </c>
      <c r="N167" s="7">
        <f>IF($W167="","",IF(INDEX('Per Invoice'!N$2:N$801,$W167)="","",INDEX('Per Invoice'!N$2:N$801,$W167)))</f>
        <v/>
      </c>
      <c r="O167" s="7">
        <f>IF($W167="","",IF(INDEX('Per Invoice'!O$2:O$801,$W167)="","",INDEX('Per Invoice'!O$2:O$801,$W167)))</f>
        <v/>
      </c>
      <c r="P167">
        <f>IF($W167="","",IF(INDEX('Per Invoice'!P$2:P$801,$W167)="","",INDEX('Per Invoice'!P$2:P$801,$W167)))</f>
        <v/>
      </c>
      <c r="Q167" s="7">
        <f>IF($W167="","",IF(INDEX('Per Invoice'!Q$2:Q$801,$W167)="","",INDEX('Per Invoice'!Q$2:Q$801,$W167)))</f>
        <v/>
      </c>
      <c r="R167" s="7">
        <f>IF($W167="","",IF(INDEX('Per Invoice'!R$2:R$801,$W167)="","",INDEX('Per Invoice'!R$2:R$801,$W167)))</f>
        <v/>
      </c>
      <c r="S167" s="7">
        <f>IF($W167="","",IF(INDEX('Per Invoice'!S$2:S$801,$W167)="","",INDEX('Per Invoice'!S$2:S$801,$W167)))</f>
        <v/>
      </c>
      <c r="T167" s="7">
        <f>IF($W167="","",IF(INDEX('Per Invoice'!T$2:T$801,$W167)="","",INDEX('Per Invoice'!T$2:T$801,$W167)))</f>
        <v/>
      </c>
      <c r="U167" s="7">
        <f>IF($W167="","",IF(INDEX('Per Invoice'!U$2:U$801,$W167)="","",INDEX('Per Invoice'!U$2:U$801,$W167)))</f>
        <v/>
      </c>
      <c r="V167" s="7">
        <f>IF($W167="","",IF(INDEX('Per Invoice'!V$2:V$801,$W167)="","",INDEX('Per Invoice'!V$2:V$801,$W167)))</f>
        <v/>
      </c>
      <c r="W167" s="16">
        <f>IFERROR(MATCH(Settings!$C$32&amp;"|"&amp;ROWS($W$2:$W167),'Per Invoice'!$X$2:$X$801,0),"")</f>
        <v/>
      </c>
    </row>
    <row r="168">
      <c r="A168">
        <f>IF($W168="","",IF(INDEX('Per Invoice'!A$2:A$801,$W168)="","",INDEX('Per Invoice'!A$2:A$801,$W168)))</f>
        <v/>
      </c>
      <c r="B168">
        <f>IF($W168="","",IF(INDEX('Per Invoice'!B$2:B$801,$W168)="","",INDEX('Per Invoice'!B$2:B$801,$W168)))</f>
        <v/>
      </c>
      <c r="C168">
        <f>IF($W168="","",IF(INDEX('Per Invoice'!C$2:C$801,$W168)="","",INDEX('Per Invoice'!C$2:C$801,$W168)))</f>
        <v/>
      </c>
      <c r="D168">
        <f>IF($W168="","",IF(INDEX('Per Invoice'!D$2:D$801,$W168)="","",INDEX('Per Invoice'!D$2:D$801,$W168)))</f>
        <v/>
      </c>
      <c r="E168">
        <f>IF($W168="","",IF(INDEX('Per Invoice'!E$2:E$801,$W168)="","",INDEX('Per Invoice'!E$2:E$801,$W168)))</f>
        <v/>
      </c>
      <c r="F168">
        <f>IF($W168="","",IF(INDEX('Per Invoice'!F$2:F$801,$W168)="","",INDEX('Per Invoice'!F$2:F$801,$W168)))</f>
        <v/>
      </c>
      <c r="G168">
        <f>IF($W168="","",IF(INDEX('Per Invoice'!G$2:G$801,$W168)="","",INDEX('Per Invoice'!G$2:G$801,$W168)))</f>
        <v/>
      </c>
      <c r="H168">
        <f>IF($W168="","",IF(INDEX('Per Invoice'!H$2:H$801,$W168)="","",INDEX('Per Invoice'!H$2:H$801,$W168)))</f>
        <v/>
      </c>
      <c r="I168">
        <f>IF($W168="","",IF(INDEX('Per Invoice'!I$2:I$801,$W168)="","",INDEX('Per Invoice'!I$2:I$801,$W168)))</f>
        <v/>
      </c>
      <c r="J168">
        <f>IF($W168="","",IF(INDEX('Per Invoice'!J$2:J$801,$W168)="","",INDEX('Per Invoice'!J$2:J$801,$W168)))</f>
        <v/>
      </c>
      <c r="K168" s="7">
        <f>IF($W168="","",IF(INDEX('Per Invoice'!K$2:K$801,$W168)="","",INDEX('Per Invoice'!K$2:K$801,$W168)))</f>
        <v/>
      </c>
      <c r="L168" s="14">
        <f>IF($W168="","",IF(INDEX('Per Invoice'!L$2:L$801,$W168)="","",INDEX('Per Invoice'!L$2:L$801,$W168)))</f>
        <v/>
      </c>
      <c r="M168">
        <f>IF($W168="","",IF(INDEX('Per Invoice'!M$2:M$801,$W168)="","",INDEX('Per Invoice'!M$2:M$801,$W168)))</f>
        <v/>
      </c>
      <c r="N168" s="7">
        <f>IF($W168="","",IF(INDEX('Per Invoice'!N$2:N$801,$W168)="","",INDEX('Per Invoice'!N$2:N$801,$W168)))</f>
        <v/>
      </c>
      <c r="O168" s="7">
        <f>IF($W168="","",IF(INDEX('Per Invoice'!O$2:O$801,$W168)="","",INDEX('Per Invoice'!O$2:O$801,$W168)))</f>
        <v/>
      </c>
      <c r="P168">
        <f>IF($W168="","",IF(INDEX('Per Invoice'!P$2:P$801,$W168)="","",INDEX('Per Invoice'!P$2:P$801,$W168)))</f>
        <v/>
      </c>
      <c r="Q168" s="7">
        <f>IF($W168="","",IF(INDEX('Per Invoice'!Q$2:Q$801,$W168)="","",INDEX('Per Invoice'!Q$2:Q$801,$W168)))</f>
        <v/>
      </c>
      <c r="R168" s="7">
        <f>IF($W168="","",IF(INDEX('Per Invoice'!R$2:R$801,$W168)="","",INDEX('Per Invoice'!R$2:R$801,$W168)))</f>
        <v/>
      </c>
      <c r="S168" s="7">
        <f>IF($W168="","",IF(INDEX('Per Invoice'!S$2:S$801,$W168)="","",INDEX('Per Invoice'!S$2:S$801,$W168)))</f>
        <v/>
      </c>
      <c r="T168" s="7">
        <f>IF($W168="","",IF(INDEX('Per Invoice'!T$2:T$801,$W168)="","",INDEX('Per Invoice'!T$2:T$801,$W168)))</f>
        <v/>
      </c>
      <c r="U168" s="7">
        <f>IF($W168="","",IF(INDEX('Per Invoice'!U$2:U$801,$W168)="","",INDEX('Per Invoice'!U$2:U$801,$W168)))</f>
        <v/>
      </c>
      <c r="V168" s="7">
        <f>IF($W168="","",IF(INDEX('Per Invoice'!V$2:V$801,$W168)="","",INDEX('Per Invoice'!V$2:V$801,$W168)))</f>
        <v/>
      </c>
      <c r="W168" s="16">
        <f>IFERROR(MATCH(Settings!$C$32&amp;"|"&amp;ROWS($W$2:$W168),'Per Invoice'!$X$2:$X$801,0),"")</f>
        <v/>
      </c>
    </row>
    <row r="169">
      <c r="A169">
        <f>IF($W169="","",IF(INDEX('Per Invoice'!A$2:A$801,$W169)="","",INDEX('Per Invoice'!A$2:A$801,$W169)))</f>
        <v/>
      </c>
      <c r="B169">
        <f>IF($W169="","",IF(INDEX('Per Invoice'!B$2:B$801,$W169)="","",INDEX('Per Invoice'!B$2:B$801,$W169)))</f>
        <v/>
      </c>
      <c r="C169">
        <f>IF($W169="","",IF(INDEX('Per Invoice'!C$2:C$801,$W169)="","",INDEX('Per Invoice'!C$2:C$801,$W169)))</f>
        <v/>
      </c>
      <c r="D169">
        <f>IF($W169="","",IF(INDEX('Per Invoice'!D$2:D$801,$W169)="","",INDEX('Per Invoice'!D$2:D$801,$W169)))</f>
        <v/>
      </c>
      <c r="E169">
        <f>IF($W169="","",IF(INDEX('Per Invoice'!E$2:E$801,$W169)="","",INDEX('Per Invoice'!E$2:E$801,$W169)))</f>
        <v/>
      </c>
      <c r="F169">
        <f>IF($W169="","",IF(INDEX('Per Invoice'!F$2:F$801,$W169)="","",INDEX('Per Invoice'!F$2:F$801,$W169)))</f>
        <v/>
      </c>
      <c r="G169">
        <f>IF($W169="","",IF(INDEX('Per Invoice'!G$2:G$801,$W169)="","",INDEX('Per Invoice'!G$2:G$801,$W169)))</f>
        <v/>
      </c>
      <c r="H169">
        <f>IF($W169="","",IF(INDEX('Per Invoice'!H$2:H$801,$W169)="","",INDEX('Per Invoice'!H$2:H$801,$W169)))</f>
        <v/>
      </c>
      <c r="I169">
        <f>IF($W169="","",IF(INDEX('Per Invoice'!I$2:I$801,$W169)="","",INDEX('Per Invoice'!I$2:I$801,$W169)))</f>
        <v/>
      </c>
      <c r="J169">
        <f>IF($W169="","",IF(INDEX('Per Invoice'!J$2:J$801,$W169)="","",INDEX('Per Invoice'!J$2:J$801,$W169)))</f>
        <v/>
      </c>
      <c r="K169" s="7">
        <f>IF($W169="","",IF(INDEX('Per Invoice'!K$2:K$801,$W169)="","",INDEX('Per Invoice'!K$2:K$801,$W169)))</f>
        <v/>
      </c>
      <c r="L169" s="14">
        <f>IF($W169="","",IF(INDEX('Per Invoice'!L$2:L$801,$W169)="","",INDEX('Per Invoice'!L$2:L$801,$W169)))</f>
        <v/>
      </c>
      <c r="M169">
        <f>IF($W169="","",IF(INDEX('Per Invoice'!M$2:M$801,$W169)="","",INDEX('Per Invoice'!M$2:M$801,$W169)))</f>
        <v/>
      </c>
      <c r="N169" s="7">
        <f>IF($W169="","",IF(INDEX('Per Invoice'!N$2:N$801,$W169)="","",INDEX('Per Invoice'!N$2:N$801,$W169)))</f>
        <v/>
      </c>
      <c r="O169" s="7">
        <f>IF($W169="","",IF(INDEX('Per Invoice'!O$2:O$801,$W169)="","",INDEX('Per Invoice'!O$2:O$801,$W169)))</f>
        <v/>
      </c>
      <c r="P169">
        <f>IF($W169="","",IF(INDEX('Per Invoice'!P$2:P$801,$W169)="","",INDEX('Per Invoice'!P$2:P$801,$W169)))</f>
        <v/>
      </c>
      <c r="Q169" s="7">
        <f>IF($W169="","",IF(INDEX('Per Invoice'!Q$2:Q$801,$W169)="","",INDEX('Per Invoice'!Q$2:Q$801,$W169)))</f>
        <v/>
      </c>
      <c r="R169" s="7">
        <f>IF($W169="","",IF(INDEX('Per Invoice'!R$2:R$801,$W169)="","",INDEX('Per Invoice'!R$2:R$801,$W169)))</f>
        <v/>
      </c>
      <c r="S169" s="7">
        <f>IF($W169="","",IF(INDEX('Per Invoice'!S$2:S$801,$W169)="","",INDEX('Per Invoice'!S$2:S$801,$W169)))</f>
        <v/>
      </c>
      <c r="T169" s="7">
        <f>IF($W169="","",IF(INDEX('Per Invoice'!T$2:T$801,$W169)="","",INDEX('Per Invoice'!T$2:T$801,$W169)))</f>
        <v/>
      </c>
      <c r="U169" s="7">
        <f>IF($W169="","",IF(INDEX('Per Invoice'!U$2:U$801,$W169)="","",INDEX('Per Invoice'!U$2:U$801,$W169)))</f>
        <v/>
      </c>
      <c r="V169" s="7">
        <f>IF($W169="","",IF(INDEX('Per Invoice'!V$2:V$801,$W169)="","",INDEX('Per Invoice'!V$2:V$801,$W169)))</f>
        <v/>
      </c>
      <c r="W169" s="16">
        <f>IFERROR(MATCH(Settings!$C$32&amp;"|"&amp;ROWS($W$2:$W169),'Per Invoice'!$X$2:$X$801,0),"")</f>
        <v/>
      </c>
    </row>
    <row r="170">
      <c r="A170">
        <f>IF($W170="","",IF(INDEX('Per Invoice'!A$2:A$801,$W170)="","",INDEX('Per Invoice'!A$2:A$801,$W170)))</f>
        <v/>
      </c>
      <c r="B170">
        <f>IF($W170="","",IF(INDEX('Per Invoice'!B$2:B$801,$W170)="","",INDEX('Per Invoice'!B$2:B$801,$W170)))</f>
        <v/>
      </c>
      <c r="C170">
        <f>IF($W170="","",IF(INDEX('Per Invoice'!C$2:C$801,$W170)="","",INDEX('Per Invoice'!C$2:C$801,$W170)))</f>
        <v/>
      </c>
      <c r="D170">
        <f>IF($W170="","",IF(INDEX('Per Invoice'!D$2:D$801,$W170)="","",INDEX('Per Invoice'!D$2:D$801,$W170)))</f>
        <v/>
      </c>
      <c r="E170">
        <f>IF($W170="","",IF(INDEX('Per Invoice'!E$2:E$801,$W170)="","",INDEX('Per Invoice'!E$2:E$801,$W170)))</f>
        <v/>
      </c>
      <c r="F170">
        <f>IF($W170="","",IF(INDEX('Per Invoice'!F$2:F$801,$W170)="","",INDEX('Per Invoice'!F$2:F$801,$W170)))</f>
        <v/>
      </c>
      <c r="G170">
        <f>IF($W170="","",IF(INDEX('Per Invoice'!G$2:G$801,$W170)="","",INDEX('Per Invoice'!G$2:G$801,$W170)))</f>
        <v/>
      </c>
      <c r="H170">
        <f>IF($W170="","",IF(INDEX('Per Invoice'!H$2:H$801,$W170)="","",INDEX('Per Invoice'!H$2:H$801,$W170)))</f>
        <v/>
      </c>
      <c r="I170">
        <f>IF($W170="","",IF(INDEX('Per Invoice'!I$2:I$801,$W170)="","",INDEX('Per Invoice'!I$2:I$801,$W170)))</f>
        <v/>
      </c>
      <c r="J170">
        <f>IF($W170="","",IF(INDEX('Per Invoice'!J$2:J$801,$W170)="","",INDEX('Per Invoice'!J$2:J$801,$W170)))</f>
        <v/>
      </c>
      <c r="K170" s="7">
        <f>IF($W170="","",IF(INDEX('Per Invoice'!K$2:K$801,$W170)="","",INDEX('Per Invoice'!K$2:K$801,$W170)))</f>
        <v/>
      </c>
      <c r="L170" s="14">
        <f>IF($W170="","",IF(INDEX('Per Invoice'!L$2:L$801,$W170)="","",INDEX('Per Invoice'!L$2:L$801,$W170)))</f>
        <v/>
      </c>
      <c r="M170">
        <f>IF($W170="","",IF(INDEX('Per Invoice'!M$2:M$801,$W170)="","",INDEX('Per Invoice'!M$2:M$801,$W170)))</f>
        <v/>
      </c>
      <c r="N170" s="7">
        <f>IF($W170="","",IF(INDEX('Per Invoice'!N$2:N$801,$W170)="","",INDEX('Per Invoice'!N$2:N$801,$W170)))</f>
        <v/>
      </c>
      <c r="O170" s="7">
        <f>IF($W170="","",IF(INDEX('Per Invoice'!O$2:O$801,$W170)="","",INDEX('Per Invoice'!O$2:O$801,$W170)))</f>
        <v/>
      </c>
      <c r="P170">
        <f>IF($W170="","",IF(INDEX('Per Invoice'!P$2:P$801,$W170)="","",INDEX('Per Invoice'!P$2:P$801,$W170)))</f>
        <v/>
      </c>
      <c r="Q170" s="7">
        <f>IF($W170="","",IF(INDEX('Per Invoice'!Q$2:Q$801,$W170)="","",INDEX('Per Invoice'!Q$2:Q$801,$W170)))</f>
        <v/>
      </c>
      <c r="R170" s="7">
        <f>IF($W170="","",IF(INDEX('Per Invoice'!R$2:R$801,$W170)="","",INDEX('Per Invoice'!R$2:R$801,$W170)))</f>
        <v/>
      </c>
      <c r="S170" s="7">
        <f>IF($W170="","",IF(INDEX('Per Invoice'!S$2:S$801,$W170)="","",INDEX('Per Invoice'!S$2:S$801,$W170)))</f>
        <v/>
      </c>
      <c r="T170" s="7">
        <f>IF($W170="","",IF(INDEX('Per Invoice'!T$2:T$801,$W170)="","",INDEX('Per Invoice'!T$2:T$801,$W170)))</f>
        <v/>
      </c>
      <c r="U170" s="7">
        <f>IF($W170="","",IF(INDEX('Per Invoice'!U$2:U$801,$W170)="","",INDEX('Per Invoice'!U$2:U$801,$W170)))</f>
        <v/>
      </c>
      <c r="V170" s="7">
        <f>IF($W170="","",IF(INDEX('Per Invoice'!V$2:V$801,$W170)="","",INDEX('Per Invoice'!V$2:V$801,$W170)))</f>
        <v/>
      </c>
      <c r="W170" s="16">
        <f>IFERROR(MATCH(Settings!$C$32&amp;"|"&amp;ROWS($W$2:$W170),'Per Invoice'!$X$2:$X$801,0),"")</f>
        <v/>
      </c>
    </row>
    <row r="171">
      <c r="A171">
        <f>IF($W171="","",IF(INDEX('Per Invoice'!A$2:A$801,$W171)="","",INDEX('Per Invoice'!A$2:A$801,$W171)))</f>
        <v/>
      </c>
      <c r="B171">
        <f>IF($W171="","",IF(INDEX('Per Invoice'!B$2:B$801,$W171)="","",INDEX('Per Invoice'!B$2:B$801,$W171)))</f>
        <v/>
      </c>
      <c r="C171">
        <f>IF($W171="","",IF(INDEX('Per Invoice'!C$2:C$801,$W171)="","",INDEX('Per Invoice'!C$2:C$801,$W171)))</f>
        <v/>
      </c>
      <c r="D171">
        <f>IF($W171="","",IF(INDEX('Per Invoice'!D$2:D$801,$W171)="","",INDEX('Per Invoice'!D$2:D$801,$W171)))</f>
        <v/>
      </c>
      <c r="E171">
        <f>IF($W171="","",IF(INDEX('Per Invoice'!E$2:E$801,$W171)="","",INDEX('Per Invoice'!E$2:E$801,$W171)))</f>
        <v/>
      </c>
      <c r="F171">
        <f>IF($W171="","",IF(INDEX('Per Invoice'!F$2:F$801,$W171)="","",INDEX('Per Invoice'!F$2:F$801,$W171)))</f>
        <v/>
      </c>
      <c r="G171">
        <f>IF($W171="","",IF(INDEX('Per Invoice'!G$2:G$801,$W171)="","",INDEX('Per Invoice'!G$2:G$801,$W171)))</f>
        <v/>
      </c>
      <c r="H171">
        <f>IF($W171="","",IF(INDEX('Per Invoice'!H$2:H$801,$W171)="","",INDEX('Per Invoice'!H$2:H$801,$W171)))</f>
        <v/>
      </c>
      <c r="I171">
        <f>IF($W171="","",IF(INDEX('Per Invoice'!I$2:I$801,$W171)="","",INDEX('Per Invoice'!I$2:I$801,$W171)))</f>
        <v/>
      </c>
      <c r="J171">
        <f>IF($W171="","",IF(INDEX('Per Invoice'!J$2:J$801,$W171)="","",INDEX('Per Invoice'!J$2:J$801,$W171)))</f>
        <v/>
      </c>
      <c r="K171" s="7">
        <f>IF($W171="","",IF(INDEX('Per Invoice'!K$2:K$801,$W171)="","",INDEX('Per Invoice'!K$2:K$801,$W171)))</f>
        <v/>
      </c>
      <c r="L171" s="14">
        <f>IF($W171="","",IF(INDEX('Per Invoice'!L$2:L$801,$W171)="","",INDEX('Per Invoice'!L$2:L$801,$W171)))</f>
        <v/>
      </c>
      <c r="M171">
        <f>IF($W171="","",IF(INDEX('Per Invoice'!M$2:M$801,$W171)="","",INDEX('Per Invoice'!M$2:M$801,$W171)))</f>
        <v/>
      </c>
      <c r="N171" s="7">
        <f>IF($W171="","",IF(INDEX('Per Invoice'!N$2:N$801,$W171)="","",INDEX('Per Invoice'!N$2:N$801,$W171)))</f>
        <v/>
      </c>
      <c r="O171" s="7">
        <f>IF($W171="","",IF(INDEX('Per Invoice'!O$2:O$801,$W171)="","",INDEX('Per Invoice'!O$2:O$801,$W171)))</f>
        <v/>
      </c>
      <c r="P171">
        <f>IF($W171="","",IF(INDEX('Per Invoice'!P$2:P$801,$W171)="","",INDEX('Per Invoice'!P$2:P$801,$W171)))</f>
        <v/>
      </c>
      <c r="Q171" s="7">
        <f>IF($W171="","",IF(INDEX('Per Invoice'!Q$2:Q$801,$W171)="","",INDEX('Per Invoice'!Q$2:Q$801,$W171)))</f>
        <v/>
      </c>
      <c r="R171" s="7">
        <f>IF($W171="","",IF(INDEX('Per Invoice'!R$2:R$801,$W171)="","",INDEX('Per Invoice'!R$2:R$801,$W171)))</f>
        <v/>
      </c>
      <c r="S171" s="7">
        <f>IF($W171="","",IF(INDEX('Per Invoice'!S$2:S$801,$W171)="","",INDEX('Per Invoice'!S$2:S$801,$W171)))</f>
        <v/>
      </c>
      <c r="T171" s="7">
        <f>IF($W171="","",IF(INDEX('Per Invoice'!T$2:T$801,$W171)="","",INDEX('Per Invoice'!T$2:T$801,$W171)))</f>
        <v/>
      </c>
      <c r="U171" s="7">
        <f>IF($W171="","",IF(INDEX('Per Invoice'!U$2:U$801,$W171)="","",INDEX('Per Invoice'!U$2:U$801,$W171)))</f>
        <v/>
      </c>
      <c r="V171" s="7">
        <f>IF($W171="","",IF(INDEX('Per Invoice'!V$2:V$801,$W171)="","",INDEX('Per Invoice'!V$2:V$801,$W171)))</f>
        <v/>
      </c>
      <c r="W171" s="16">
        <f>IFERROR(MATCH(Settings!$C$32&amp;"|"&amp;ROWS($W$2:$W171),'Per Invoice'!$X$2:$X$801,0),"")</f>
        <v/>
      </c>
    </row>
    <row r="172">
      <c r="A172">
        <f>IF($W172="","",IF(INDEX('Per Invoice'!A$2:A$801,$W172)="","",INDEX('Per Invoice'!A$2:A$801,$W172)))</f>
        <v/>
      </c>
      <c r="B172">
        <f>IF($W172="","",IF(INDEX('Per Invoice'!B$2:B$801,$W172)="","",INDEX('Per Invoice'!B$2:B$801,$W172)))</f>
        <v/>
      </c>
      <c r="C172">
        <f>IF($W172="","",IF(INDEX('Per Invoice'!C$2:C$801,$W172)="","",INDEX('Per Invoice'!C$2:C$801,$W172)))</f>
        <v/>
      </c>
      <c r="D172">
        <f>IF($W172="","",IF(INDEX('Per Invoice'!D$2:D$801,$W172)="","",INDEX('Per Invoice'!D$2:D$801,$W172)))</f>
        <v/>
      </c>
      <c r="E172">
        <f>IF($W172="","",IF(INDEX('Per Invoice'!E$2:E$801,$W172)="","",INDEX('Per Invoice'!E$2:E$801,$W172)))</f>
        <v/>
      </c>
      <c r="F172">
        <f>IF($W172="","",IF(INDEX('Per Invoice'!F$2:F$801,$W172)="","",INDEX('Per Invoice'!F$2:F$801,$W172)))</f>
        <v/>
      </c>
      <c r="G172">
        <f>IF($W172="","",IF(INDEX('Per Invoice'!G$2:G$801,$W172)="","",INDEX('Per Invoice'!G$2:G$801,$W172)))</f>
        <v/>
      </c>
      <c r="H172">
        <f>IF($W172="","",IF(INDEX('Per Invoice'!H$2:H$801,$W172)="","",INDEX('Per Invoice'!H$2:H$801,$W172)))</f>
        <v/>
      </c>
      <c r="I172">
        <f>IF($W172="","",IF(INDEX('Per Invoice'!I$2:I$801,$W172)="","",INDEX('Per Invoice'!I$2:I$801,$W172)))</f>
        <v/>
      </c>
      <c r="J172">
        <f>IF($W172="","",IF(INDEX('Per Invoice'!J$2:J$801,$W172)="","",INDEX('Per Invoice'!J$2:J$801,$W172)))</f>
        <v/>
      </c>
      <c r="K172" s="7">
        <f>IF($W172="","",IF(INDEX('Per Invoice'!K$2:K$801,$W172)="","",INDEX('Per Invoice'!K$2:K$801,$W172)))</f>
        <v/>
      </c>
      <c r="L172" s="14">
        <f>IF($W172="","",IF(INDEX('Per Invoice'!L$2:L$801,$W172)="","",INDEX('Per Invoice'!L$2:L$801,$W172)))</f>
        <v/>
      </c>
      <c r="M172">
        <f>IF($W172="","",IF(INDEX('Per Invoice'!M$2:M$801,$W172)="","",INDEX('Per Invoice'!M$2:M$801,$W172)))</f>
        <v/>
      </c>
      <c r="N172" s="7">
        <f>IF($W172="","",IF(INDEX('Per Invoice'!N$2:N$801,$W172)="","",INDEX('Per Invoice'!N$2:N$801,$W172)))</f>
        <v/>
      </c>
      <c r="O172" s="7">
        <f>IF($W172="","",IF(INDEX('Per Invoice'!O$2:O$801,$W172)="","",INDEX('Per Invoice'!O$2:O$801,$W172)))</f>
        <v/>
      </c>
      <c r="P172">
        <f>IF($W172="","",IF(INDEX('Per Invoice'!P$2:P$801,$W172)="","",INDEX('Per Invoice'!P$2:P$801,$W172)))</f>
        <v/>
      </c>
      <c r="Q172" s="7">
        <f>IF($W172="","",IF(INDEX('Per Invoice'!Q$2:Q$801,$W172)="","",INDEX('Per Invoice'!Q$2:Q$801,$W172)))</f>
        <v/>
      </c>
      <c r="R172" s="7">
        <f>IF($W172="","",IF(INDEX('Per Invoice'!R$2:R$801,$W172)="","",INDEX('Per Invoice'!R$2:R$801,$W172)))</f>
        <v/>
      </c>
      <c r="S172" s="7">
        <f>IF($W172="","",IF(INDEX('Per Invoice'!S$2:S$801,$W172)="","",INDEX('Per Invoice'!S$2:S$801,$W172)))</f>
        <v/>
      </c>
      <c r="T172" s="7">
        <f>IF($W172="","",IF(INDEX('Per Invoice'!T$2:T$801,$W172)="","",INDEX('Per Invoice'!T$2:T$801,$W172)))</f>
        <v/>
      </c>
      <c r="U172" s="7">
        <f>IF($W172="","",IF(INDEX('Per Invoice'!U$2:U$801,$W172)="","",INDEX('Per Invoice'!U$2:U$801,$W172)))</f>
        <v/>
      </c>
      <c r="V172" s="7">
        <f>IF($W172="","",IF(INDEX('Per Invoice'!V$2:V$801,$W172)="","",INDEX('Per Invoice'!V$2:V$801,$W172)))</f>
        <v/>
      </c>
      <c r="W172" s="16">
        <f>IFERROR(MATCH(Settings!$C$32&amp;"|"&amp;ROWS($W$2:$W172),'Per Invoice'!$X$2:$X$801,0),"")</f>
        <v/>
      </c>
    </row>
    <row r="173">
      <c r="A173">
        <f>IF($W173="","",IF(INDEX('Per Invoice'!A$2:A$801,$W173)="","",INDEX('Per Invoice'!A$2:A$801,$W173)))</f>
        <v/>
      </c>
      <c r="B173">
        <f>IF($W173="","",IF(INDEX('Per Invoice'!B$2:B$801,$W173)="","",INDEX('Per Invoice'!B$2:B$801,$W173)))</f>
        <v/>
      </c>
      <c r="C173">
        <f>IF($W173="","",IF(INDEX('Per Invoice'!C$2:C$801,$W173)="","",INDEX('Per Invoice'!C$2:C$801,$W173)))</f>
        <v/>
      </c>
      <c r="D173">
        <f>IF($W173="","",IF(INDEX('Per Invoice'!D$2:D$801,$W173)="","",INDEX('Per Invoice'!D$2:D$801,$W173)))</f>
        <v/>
      </c>
      <c r="E173">
        <f>IF($W173="","",IF(INDEX('Per Invoice'!E$2:E$801,$W173)="","",INDEX('Per Invoice'!E$2:E$801,$W173)))</f>
        <v/>
      </c>
      <c r="F173">
        <f>IF($W173="","",IF(INDEX('Per Invoice'!F$2:F$801,$W173)="","",INDEX('Per Invoice'!F$2:F$801,$W173)))</f>
        <v/>
      </c>
      <c r="G173">
        <f>IF($W173="","",IF(INDEX('Per Invoice'!G$2:G$801,$W173)="","",INDEX('Per Invoice'!G$2:G$801,$W173)))</f>
        <v/>
      </c>
      <c r="H173">
        <f>IF($W173="","",IF(INDEX('Per Invoice'!H$2:H$801,$W173)="","",INDEX('Per Invoice'!H$2:H$801,$W173)))</f>
        <v/>
      </c>
      <c r="I173">
        <f>IF($W173="","",IF(INDEX('Per Invoice'!I$2:I$801,$W173)="","",INDEX('Per Invoice'!I$2:I$801,$W173)))</f>
        <v/>
      </c>
      <c r="J173">
        <f>IF($W173="","",IF(INDEX('Per Invoice'!J$2:J$801,$W173)="","",INDEX('Per Invoice'!J$2:J$801,$W173)))</f>
        <v/>
      </c>
      <c r="K173" s="7">
        <f>IF($W173="","",IF(INDEX('Per Invoice'!K$2:K$801,$W173)="","",INDEX('Per Invoice'!K$2:K$801,$W173)))</f>
        <v/>
      </c>
      <c r="L173" s="14">
        <f>IF($W173="","",IF(INDEX('Per Invoice'!L$2:L$801,$W173)="","",INDEX('Per Invoice'!L$2:L$801,$W173)))</f>
        <v/>
      </c>
      <c r="M173">
        <f>IF($W173="","",IF(INDEX('Per Invoice'!M$2:M$801,$W173)="","",INDEX('Per Invoice'!M$2:M$801,$W173)))</f>
        <v/>
      </c>
      <c r="N173" s="7">
        <f>IF($W173="","",IF(INDEX('Per Invoice'!N$2:N$801,$W173)="","",INDEX('Per Invoice'!N$2:N$801,$W173)))</f>
        <v/>
      </c>
      <c r="O173" s="7">
        <f>IF($W173="","",IF(INDEX('Per Invoice'!O$2:O$801,$W173)="","",INDEX('Per Invoice'!O$2:O$801,$W173)))</f>
        <v/>
      </c>
      <c r="P173">
        <f>IF($W173="","",IF(INDEX('Per Invoice'!P$2:P$801,$W173)="","",INDEX('Per Invoice'!P$2:P$801,$W173)))</f>
        <v/>
      </c>
      <c r="Q173" s="7">
        <f>IF($W173="","",IF(INDEX('Per Invoice'!Q$2:Q$801,$W173)="","",INDEX('Per Invoice'!Q$2:Q$801,$W173)))</f>
        <v/>
      </c>
      <c r="R173" s="7">
        <f>IF($W173="","",IF(INDEX('Per Invoice'!R$2:R$801,$W173)="","",INDEX('Per Invoice'!R$2:R$801,$W173)))</f>
        <v/>
      </c>
      <c r="S173" s="7">
        <f>IF($W173="","",IF(INDEX('Per Invoice'!S$2:S$801,$W173)="","",INDEX('Per Invoice'!S$2:S$801,$W173)))</f>
        <v/>
      </c>
      <c r="T173" s="7">
        <f>IF($W173="","",IF(INDEX('Per Invoice'!T$2:T$801,$W173)="","",INDEX('Per Invoice'!T$2:T$801,$W173)))</f>
        <v/>
      </c>
      <c r="U173" s="7">
        <f>IF($W173="","",IF(INDEX('Per Invoice'!U$2:U$801,$W173)="","",INDEX('Per Invoice'!U$2:U$801,$W173)))</f>
        <v/>
      </c>
      <c r="V173" s="7">
        <f>IF($W173="","",IF(INDEX('Per Invoice'!V$2:V$801,$W173)="","",INDEX('Per Invoice'!V$2:V$801,$W173)))</f>
        <v/>
      </c>
      <c r="W173" s="16">
        <f>IFERROR(MATCH(Settings!$C$32&amp;"|"&amp;ROWS($W$2:$W173),'Per Invoice'!$X$2:$X$801,0),"")</f>
        <v/>
      </c>
    </row>
    <row r="174">
      <c r="A174">
        <f>IF($W174="","",IF(INDEX('Per Invoice'!A$2:A$801,$W174)="","",INDEX('Per Invoice'!A$2:A$801,$W174)))</f>
        <v/>
      </c>
      <c r="B174">
        <f>IF($W174="","",IF(INDEX('Per Invoice'!B$2:B$801,$W174)="","",INDEX('Per Invoice'!B$2:B$801,$W174)))</f>
        <v/>
      </c>
      <c r="C174">
        <f>IF($W174="","",IF(INDEX('Per Invoice'!C$2:C$801,$W174)="","",INDEX('Per Invoice'!C$2:C$801,$W174)))</f>
        <v/>
      </c>
      <c r="D174">
        <f>IF($W174="","",IF(INDEX('Per Invoice'!D$2:D$801,$W174)="","",INDEX('Per Invoice'!D$2:D$801,$W174)))</f>
        <v/>
      </c>
      <c r="E174">
        <f>IF($W174="","",IF(INDEX('Per Invoice'!E$2:E$801,$W174)="","",INDEX('Per Invoice'!E$2:E$801,$W174)))</f>
        <v/>
      </c>
      <c r="F174">
        <f>IF($W174="","",IF(INDEX('Per Invoice'!F$2:F$801,$W174)="","",INDEX('Per Invoice'!F$2:F$801,$W174)))</f>
        <v/>
      </c>
      <c r="G174">
        <f>IF($W174="","",IF(INDEX('Per Invoice'!G$2:G$801,$W174)="","",INDEX('Per Invoice'!G$2:G$801,$W174)))</f>
        <v/>
      </c>
      <c r="H174">
        <f>IF($W174="","",IF(INDEX('Per Invoice'!H$2:H$801,$W174)="","",INDEX('Per Invoice'!H$2:H$801,$W174)))</f>
        <v/>
      </c>
      <c r="I174">
        <f>IF($W174="","",IF(INDEX('Per Invoice'!I$2:I$801,$W174)="","",INDEX('Per Invoice'!I$2:I$801,$W174)))</f>
        <v/>
      </c>
      <c r="J174">
        <f>IF($W174="","",IF(INDEX('Per Invoice'!J$2:J$801,$W174)="","",INDEX('Per Invoice'!J$2:J$801,$W174)))</f>
        <v/>
      </c>
      <c r="K174" s="7">
        <f>IF($W174="","",IF(INDEX('Per Invoice'!K$2:K$801,$W174)="","",INDEX('Per Invoice'!K$2:K$801,$W174)))</f>
        <v/>
      </c>
      <c r="L174" s="14">
        <f>IF($W174="","",IF(INDEX('Per Invoice'!L$2:L$801,$W174)="","",INDEX('Per Invoice'!L$2:L$801,$W174)))</f>
        <v/>
      </c>
      <c r="M174">
        <f>IF($W174="","",IF(INDEX('Per Invoice'!M$2:M$801,$W174)="","",INDEX('Per Invoice'!M$2:M$801,$W174)))</f>
        <v/>
      </c>
      <c r="N174" s="7">
        <f>IF($W174="","",IF(INDEX('Per Invoice'!N$2:N$801,$W174)="","",INDEX('Per Invoice'!N$2:N$801,$W174)))</f>
        <v/>
      </c>
      <c r="O174" s="7">
        <f>IF($W174="","",IF(INDEX('Per Invoice'!O$2:O$801,$W174)="","",INDEX('Per Invoice'!O$2:O$801,$W174)))</f>
        <v/>
      </c>
      <c r="P174">
        <f>IF($W174="","",IF(INDEX('Per Invoice'!P$2:P$801,$W174)="","",INDEX('Per Invoice'!P$2:P$801,$W174)))</f>
        <v/>
      </c>
      <c r="Q174" s="7">
        <f>IF($W174="","",IF(INDEX('Per Invoice'!Q$2:Q$801,$W174)="","",INDEX('Per Invoice'!Q$2:Q$801,$W174)))</f>
        <v/>
      </c>
      <c r="R174" s="7">
        <f>IF($W174="","",IF(INDEX('Per Invoice'!R$2:R$801,$W174)="","",INDEX('Per Invoice'!R$2:R$801,$W174)))</f>
        <v/>
      </c>
      <c r="S174" s="7">
        <f>IF($W174="","",IF(INDEX('Per Invoice'!S$2:S$801,$W174)="","",INDEX('Per Invoice'!S$2:S$801,$W174)))</f>
        <v/>
      </c>
      <c r="T174" s="7">
        <f>IF($W174="","",IF(INDEX('Per Invoice'!T$2:T$801,$W174)="","",INDEX('Per Invoice'!T$2:T$801,$W174)))</f>
        <v/>
      </c>
      <c r="U174" s="7">
        <f>IF($W174="","",IF(INDEX('Per Invoice'!U$2:U$801,$W174)="","",INDEX('Per Invoice'!U$2:U$801,$W174)))</f>
        <v/>
      </c>
      <c r="V174" s="7">
        <f>IF($W174="","",IF(INDEX('Per Invoice'!V$2:V$801,$W174)="","",INDEX('Per Invoice'!V$2:V$801,$W174)))</f>
        <v/>
      </c>
      <c r="W174" s="16">
        <f>IFERROR(MATCH(Settings!$C$32&amp;"|"&amp;ROWS($W$2:$W174),'Per Invoice'!$X$2:$X$801,0),"")</f>
        <v/>
      </c>
    </row>
    <row r="175">
      <c r="A175">
        <f>IF($W175="","",IF(INDEX('Per Invoice'!A$2:A$801,$W175)="","",INDEX('Per Invoice'!A$2:A$801,$W175)))</f>
        <v/>
      </c>
      <c r="B175">
        <f>IF($W175="","",IF(INDEX('Per Invoice'!B$2:B$801,$W175)="","",INDEX('Per Invoice'!B$2:B$801,$W175)))</f>
        <v/>
      </c>
      <c r="C175">
        <f>IF($W175="","",IF(INDEX('Per Invoice'!C$2:C$801,$W175)="","",INDEX('Per Invoice'!C$2:C$801,$W175)))</f>
        <v/>
      </c>
      <c r="D175">
        <f>IF($W175="","",IF(INDEX('Per Invoice'!D$2:D$801,$W175)="","",INDEX('Per Invoice'!D$2:D$801,$W175)))</f>
        <v/>
      </c>
      <c r="E175">
        <f>IF($W175="","",IF(INDEX('Per Invoice'!E$2:E$801,$W175)="","",INDEX('Per Invoice'!E$2:E$801,$W175)))</f>
        <v/>
      </c>
      <c r="F175">
        <f>IF($W175="","",IF(INDEX('Per Invoice'!F$2:F$801,$W175)="","",INDEX('Per Invoice'!F$2:F$801,$W175)))</f>
        <v/>
      </c>
      <c r="G175">
        <f>IF($W175="","",IF(INDEX('Per Invoice'!G$2:G$801,$W175)="","",INDEX('Per Invoice'!G$2:G$801,$W175)))</f>
        <v/>
      </c>
      <c r="H175">
        <f>IF($W175="","",IF(INDEX('Per Invoice'!H$2:H$801,$W175)="","",INDEX('Per Invoice'!H$2:H$801,$W175)))</f>
        <v/>
      </c>
      <c r="I175">
        <f>IF($W175="","",IF(INDEX('Per Invoice'!I$2:I$801,$W175)="","",INDEX('Per Invoice'!I$2:I$801,$W175)))</f>
        <v/>
      </c>
      <c r="J175">
        <f>IF($W175="","",IF(INDEX('Per Invoice'!J$2:J$801,$W175)="","",INDEX('Per Invoice'!J$2:J$801,$W175)))</f>
        <v/>
      </c>
      <c r="K175" s="7">
        <f>IF($W175="","",IF(INDEX('Per Invoice'!K$2:K$801,$W175)="","",INDEX('Per Invoice'!K$2:K$801,$W175)))</f>
        <v/>
      </c>
      <c r="L175" s="14">
        <f>IF($W175="","",IF(INDEX('Per Invoice'!L$2:L$801,$W175)="","",INDEX('Per Invoice'!L$2:L$801,$W175)))</f>
        <v/>
      </c>
      <c r="M175">
        <f>IF($W175="","",IF(INDEX('Per Invoice'!M$2:M$801,$W175)="","",INDEX('Per Invoice'!M$2:M$801,$W175)))</f>
        <v/>
      </c>
      <c r="N175" s="7">
        <f>IF($W175="","",IF(INDEX('Per Invoice'!N$2:N$801,$W175)="","",INDEX('Per Invoice'!N$2:N$801,$W175)))</f>
        <v/>
      </c>
      <c r="O175" s="7">
        <f>IF($W175="","",IF(INDEX('Per Invoice'!O$2:O$801,$W175)="","",INDEX('Per Invoice'!O$2:O$801,$W175)))</f>
        <v/>
      </c>
      <c r="P175">
        <f>IF($W175="","",IF(INDEX('Per Invoice'!P$2:P$801,$W175)="","",INDEX('Per Invoice'!P$2:P$801,$W175)))</f>
        <v/>
      </c>
      <c r="Q175" s="7">
        <f>IF($W175="","",IF(INDEX('Per Invoice'!Q$2:Q$801,$W175)="","",INDEX('Per Invoice'!Q$2:Q$801,$W175)))</f>
        <v/>
      </c>
      <c r="R175" s="7">
        <f>IF($W175="","",IF(INDEX('Per Invoice'!R$2:R$801,$W175)="","",INDEX('Per Invoice'!R$2:R$801,$W175)))</f>
        <v/>
      </c>
      <c r="S175" s="7">
        <f>IF($W175="","",IF(INDEX('Per Invoice'!S$2:S$801,$W175)="","",INDEX('Per Invoice'!S$2:S$801,$W175)))</f>
        <v/>
      </c>
      <c r="T175" s="7">
        <f>IF($W175="","",IF(INDEX('Per Invoice'!T$2:T$801,$W175)="","",INDEX('Per Invoice'!T$2:T$801,$W175)))</f>
        <v/>
      </c>
      <c r="U175" s="7">
        <f>IF($W175="","",IF(INDEX('Per Invoice'!U$2:U$801,$W175)="","",INDEX('Per Invoice'!U$2:U$801,$W175)))</f>
        <v/>
      </c>
      <c r="V175" s="7">
        <f>IF($W175="","",IF(INDEX('Per Invoice'!V$2:V$801,$W175)="","",INDEX('Per Invoice'!V$2:V$801,$W175)))</f>
        <v/>
      </c>
      <c r="W175" s="16">
        <f>IFERROR(MATCH(Settings!$C$32&amp;"|"&amp;ROWS($W$2:$W175),'Per Invoice'!$X$2:$X$801,0),"")</f>
        <v/>
      </c>
    </row>
    <row r="176">
      <c r="A176">
        <f>IF($W176="","",IF(INDEX('Per Invoice'!A$2:A$801,$W176)="","",INDEX('Per Invoice'!A$2:A$801,$W176)))</f>
        <v/>
      </c>
      <c r="B176">
        <f>IF($W176="","",IF(INDEX('Per Invoice'!B$2:B$801,$W176)="","",INDEX('Per Invoice'!B$2:B$801,$W176)))</f>
        <v/>
      </c>
      <c r="C176">
        <f>IF($W176="","",IF(INDEX('Per Invoice'!C$2:C$801,$W176)="","",INDEX('Per Invoice'!C$2:C$801,$W176)))</f>
        <v/>
      </c>
      <c r="D176">
        <f>IF($W176="","",IF(INDEX('Per Invoice'!D$2:D$801,$W176)="","",INDEX('Per Invoice'!D$2:D$801,$W176)))</f>
        <v/>
      </c>
      <c r="E176">
        <f>IF($W176="","",IF(INDEX('Per Invoice'!E$2:E$801,$W176)="","",INDEX('Per Invoice'!E$2:E$801,$W176)))</f>
        <v/>
      </c>
      <c r="F176">
        <f>IF($W176="","",IF(INDEX('Per Invoice'!F$2:F$801,$W176)="","",INDEX('Per Invoice'!F$2:F$801,$W176)))</f>
        <v/>
      </c>
      <c r="G176">
        <f>IF($W176="","",IF(INDEX('Per Invoice'!G$2:G$801,$W176)="","",INDEX('Per Invoice'!G$2:G$801,$W176)))</f>
        <v/>
      </c>
      <c r="H176">
        <f>IF($W176="","",IF(INDEX('Per Invoice'!H$2:H$801,$W176)="","",INDEX('Per Invoice'!H$2:H$801,$W176)))</f>
        <v/>
      </c>
      <c r="I176">
        <f>IF($W176="","",IF(INDEX('Per Invoice'!I$2:I$801,$W176)="","",INDEX('Per Invoice'!I$2:I$801,$W176)))</f>
        <v/>
      </c>
      <c r="J176">
        <f>IF($W176="","",IF(INDEX('Per Invoice'!J$2:J$801,$W176)="","",INDEX('Per Invoice'!J$2:J$801,$W176)))</f>
        <v/>
      </c>
      <c r="K176" s="7">
        <f>IF($W176="","",IF(INDEX('Per Invoice'!K$2:K$801,$W176)="","",INDEX('Per Invoice'!K$2:K$801,$W176)))</f>
        <v/>
      </c>
      <c r="L176" s="14">
        <f>IF($W176="","",IF(INDEX('Per Invoice'!L$2:L$801,$W176)="","",INDEX('Per Invoice'!L$2:L$801,$W176)))</f>
        <v/>
      </c>
      <c r="M176">
        <f>IF($W176="","",IF(INDEX('Per Invoice'!M$2:M$801,$W176)="","",INDEX('Per Invoice'!M$2:M$801,$W176)))</f>
        <v/>
      </c>
      <c r="N176" s="7">
        <f>IF($W176="","",IF(INDEX('Per Invoice'!N$2:N$801,$W176)="","",INDEX('Per Invoice'!N$2:N$801,$W176)))</f>
        <v/>
      </c>
      <c r="O176" s="7">
        <f>IF($W176="","",IF(INDEX('Per Invoice'!O$2:O$801,$W176)="","",INDEX('Per Invoice'!O$2:O$801,$W176)))</f>
        <v/>
      </c>
      <c r="P176">
        <f>IF($W176="","",IF(INDEX('Per Invoice'!P$2:P$801,$W176)="","",INDEX('Per Invoice'!P$2:P$801,$W176)))</f>
        <v/>
      </c>
      <c r="Q176" s="7">
        <f>IF($W176="","",IF(INDEX('Per Invoice'!Q$2:Q$801,$W176)="","",INDEX('Per Invoice'!Q$2:Q$801,$W176)))</f>
        <v/>
      </c>
      <c r="R176" s="7">
        <f>IF($W176="","",IF(INDEX('Per Invoice'!R$2:R$801,$W176)="","",INDEX('Per Invoice'!R$2:R$801,$W176)))</f>
        <v/>
      </c>
      <c r="S176" s="7">
        <f>IF($W176="","",IF(INDEX('Per Invoice'!S$2:S$801,$W176)="","",INDEX('Per Invoice'!S$2:S$801,$W176)))</f>
        <v/>
      </c>
      <c r="T176" s="7">
        <f>IF($W176="","",IF(INDEX('Per Invoice'!T$2:T$801,$W176)="","",INDEX('Per Invoice'!T$2:T$801,$W176)))</f>
        <v/>
      </c>
      <c r="U176" s="7">
        <f>IF($W176="","",IF(INDEX('Per Invoice'!U$2:U$801,$W176)="","",INDEX('Per Invoice'!U$2:U$801,$W176)))</f>
        <v/>
      </c>
      <c r="V176" s="7">
        <f>IF($W176="","",IF(INDEX('Per Invoice'!V$2:V$801,$W176)="","",INDEX('Per Invoice'!V$2:V$801,$W176)))</f>
        <v/>
      </c>
      <c r="W176" s="16">
        <f>IFERROR(MATCH(Settings!$C$32&amp;"|"&amp;ROWS($W$2:$W176),'Per Invoice'!$X$2:$X$801,0),"")</f>
        <v/>
      </c>
    </row>
    <row r="177">
      <c r="A177">
        <f>IF($W177="","",IF(INDEX('Per Invoice'!A$2:A$801,$W177)="","",INDEX('Per Invoice'!A$2:A$801,$W177)))</f>
        <v/>
      </c>
      <c r="B177">
        <f>IF($W177="","",IF(INDEX('Per Invoice'!B$2:B$801,$W177)="","",INDEX('Per Invoice'!B$2:B$801,$W177)))</f>
        <v/>
      </c>
      <c r="C177">
        <f>IF($W177="","",IF(INDEX('Per Invoice'!C$2:C$801,$W177)="","",INDEX('Per Invoice'!C$2:C$801,$W177)))</f>
        <v/>
      </c>
      <c r="D177">
        <f>IF($W177="","",IF(INDEX('Per Invoice'!D$2:D$801,$W177)="","",INDEX('Per Invoice'!D$2:D$801,$W177)))</f>
        <v/>
      </c>
      <c r="E177">
        <f>IF($W177="","",IF(INDEX('Per Invoice'!E$2:E$801,$W177)="","",INDEX('Per Invoice'!E$2:E$801,$W177)))</f>
        <v/>
      </c>
      <c r="F177">
        <f>IF($W177="","",IF(INDEX('Per Invoice'!F$2:F$801,$W177)="","",INDEX('Per Invoice'!F$2:F$801,$W177)))</f>
        <v/>
      </c>
      <c r="G177">
        <f>IF($W177="","",IF(INDEX('Per Invoice'!G$2:G$801,$W177)="","",INDEX('Per Invoice'!G$2:G$801,$W177)))</f>
        <v/>
      </c>
      <c r="H177">
        <f>IF($W177="","",IF(INDEX('Per Invoice'!H$2:H$801,$W177)="","",INDEX('Per Invoice'!H$2:H$801,$W177)))</f>
        <v/>
      </c>
      <c r="I177">
        <f>IF($W177="","",IF(INDEX('Per Invoice'!I$2:I$801,$W177)="","",INDEX('Per Invoice'!I$2:I$801,$W177)))</f>
        <v/>
      </c>
      <c r="J177">
        <f>IF($W177="","",IF(INDEX('Per Invoice'!J$2:J$801,$W177)="","",INDEX('Per Invoice'!J$2:J$801,$W177)))</f>
        <v/>
      </c>
      <c r="K177" s="7">
        <f>IF($W177="","",IF(INDEX('Per Invoice'!K$2:K$801,$W177)="","",INDEX('Per Invoice'!K$2:K$801,$W177)))</f>
        <v/>
      </c>
      <c r="L177" s="14">
        <f>IF($W177="","",IF(INDEX('Per Invoice'!L$2:L$801,$W177)="","",INDEX('Per Invoice'!L$2:L$801,$W177)))</f>
        <v/>
      </c>
      <c r="M177">
        <f>IF($W177="","",IF(INDEX('Per Invoice'!M$2:M$801,$W177)="","",INDEX('Per Invoice'!M$2:M$801,$W177)))</f>
        <v/>
      </c>
      <c r="N177" s="7">
        <f>IF($W177="","",IF(INDEX('Per Invoice'!N$2:N$801,$W177)="","",INDEX('Per Invoice'!N$2:N$801,$W177)))</f>
        <v/>
      </c>
      <c r="O177" s="7">
        <f>IF($W177="","",IF(INDEX('Per Invoice'!O$2:O$801,$W177)="","",INDEX('Per Invoice'!O$2:O$801,$W177)))</f>
        <v/>
      </c>
      <c r="P177">
        <f>IF($W177="","",IF(INDEX('Per Invoice'!P$2:P$801,$W177)="","",INDEX('Per Invoice'!P$2:P$801,$W177)))</f>
        <v/>
      </c>
      <c r="Q177" s="7">
        <f>IF($W177="","",IF(INDEX('Per Invoice'!Q$2:Q$801,$W177)="","",INDEX('Per Invoice'!Q$2:Q$801,$W177)))</f>
        <v/>
      </c>
      <c r="R177" s="7">
        <f>IF($W177="","",IF(INDEX('Per Invoice'!R$2:R$801,$W177)="","",INDEX('Per Invoice'!R$2:R$801,$W177)))</f>
        <v/>
      </c>
      <c r="S177" s="7">
        <f>IF($W177="","",IF(INDEX('Per Invoice'!S$2:S$801,$W177)="","",INDEX('Per Invoice'!S$2:S$801,$W177)))</f>
        <v/>
      </c>
      <c r="T177" s="7">
        <f>IF($W177="","",IF(INDEX('Per Invoice'!T$2:T$801,$W177)="","",INDEX('Per Invoice'!T$2:T$801,$W177)))</f>
        <v/>
      </c>
      <c r="U177" s="7">
        <f>IF($W177="","",IF(INDEX('Per Invoice'!U$2:U$801,$W177)="","",INDEX('Per Invoice'!U$2:U$801,$W177)))</f>
        <v/>
      </c>
      <c r="V177" s="7">
        <f>IF($W177="","",IF(INDEX('Per Invoice'!V$2:V$801,$W177)="","",INDEX('Per Invoice'!V$2:V$801,$W177)))</f>
        <v/>
      </c>
      <c r="W177" s="16">
        <f>IFERROR(MATCH(Settings!$C$32&amp;"|"&amp;ROWS($W$2:$W177),'Per Invoice'!$X$2:$X$801,0),"")</f>
        <v/>
      </c>
    </row>
    <row r="178">
      <c r="A178">
        <f>IF($W178="","",IF(INDEX('Per Invoice'!A$2:A$801,$W178)="","",INDEX('Per Invoice'!A$2:A$801,$W178)))</f>
        <v/>
      </c>
      <c r="B178">
        <f>IF($W178="","",IF(INDEX('Per Invoice'!B$2:B$801,$W178)="","",INDEX('Per Invoice'!B$2:B$801,$W178)))</f>
        <v/>
      </c>
      <c r="C178">
        <f>IF($W178="","",IF(INDEX('Per Invoice'!C$2:C$801,$W178)="","",INDEX('Per Invoice'!C$2:C$801,$W178)))</f>
        <v/>
      </c>
      <c r="D178">
        <f>IF($W178="","",IF(INDEX('Per Invoice'!D$2:D$801,$W178)="","",INDEX('Per Invoice'!D$2:D$801,$W178)))</f>
        <v/>
      </c>
      <c r="E178">
        <f>IF($W178="","",IF(INDEX('Per Invoice'!E$2:E$801,$W178)="","",INDEX('Per Invoice'!E$2:E$801,$W178)))</f>
        <v/>
      </c>
      <c r="F178">
        <f>IF($W178="","",IF(INDEX('Per Invoice'!F$2:F$801,$W178)="","",INDEX('Per Invoice'!F$2:F$801,$W178)))</f>
        <v/>
      </c>
      <c r="G178">
        <f>IF($W178="","",IF(INDEX('Per Invoice'!G$2:G$801,$W178)="","",INDEX('Per Invoice'!G$2:G$801,$W178)))</f>
        <v/>
      </c>
      <c r="H178">
        <f>IF($W178="","",IF(INDEX('Per Invoice'!H$2:H$801,$W178)="","",INDEX('Per Invoice'!H$2:H$801,$W178)))</f>
        <v/>
      </c>
      <c r="I178">
        <f>IF($W178="","",IF(INDEX('Per Invoice'!I$2:I$801,$W178)="","",INDEX('Per Invoice'!I$2:I$801,$W178)))</f>
        <v/>
      </c>
      <c r="J178">
        <f>IF($W178="","",IF(INDEX('Per Invoice'!J$2:J$801,$W178)="","",INDEX('Per Invoice'!J$2:J$801,$W178)))</f>
        <v/>
      </c>
      <c r="K178" s="7">
        <f>IF($W178="","",IF(INDEX('Per Invoice'!K$2:K$801,$W178)="","",INDEX('Per Invoice'!K$2:K$801,$W178)))</f>
        <v/>
      </c>
      <c r="L178" s="14">
        <f>IF($W178="","",IF(INDEX('Per Invoice'!L$2:L$801,$W178)="","",INDEX('Per Invoice'!L$2:L$801,$W178)))</f>
        <v/>
      </c>
      <c r="M178">
        <f>IF($W178="","",IF(INDEX('Per Invoice'!M$2:M$801,$W178)="","",INDEX('Per Invoice'!M$2:M$801,$W178)))</f>
        <v/>
      </c>
      <c r="N178" s="7">
        <f>IF($W178="","",IF(INDEX('Per Invoice'!N$2:N$801,$W178)="","",INDEX('Per Invoice'!N$2:N$801,$W178)))</f>
        <v/>
      </c>
      <c r="O178" s="7">
        <f>IF($W178="","",IF(INDEX('Per Invoice'!O$2:O$801,$W178)="","",INDEX('Per Invoice'!O$2:O$801,$W178)))</f>
        <v/>
      </c>
      <c r="P178">
        <f>IF($W178="","",IF(INDEX('Per Invoice'!P$2:P$801,$W178)="","",INDEX('Per Invoice'!P$2:P$801,$W178)))</f>
        <v/>
      </c>
      <c r="Q178" s="7">
        <f>IF($W178="","",IF(INDEX('Per Invoice'!Q$2:Q$801,$W178)="","",INDEX('Per Invoice'!Q$2:Q$801,$W178)))</f>
        <v/>
      </c>
      <c r="R178" s="7">
        <f>IF($W178="","",IF(INDEX('Per Invoice'!R$2:R$801,$W178)="","",INDEX('Per Invoice'!R$2:R$801,$W178)))</f>
        <v/>
      </c>
      <c r="S178" s="7">
        <f>IF($W178="","",IF(INDEX('Per Invoice'!S$2:S$801,$W178)="","",INDEX('Per Invoice'!S$2:S$801,$W178)))</f>
        <v/>
      </c>
      <c r="T178" s="7">
        <f>IF($W178="","",IF(INDEX('Per Invoice'!T$2:T$801,$W178)="","",INDEX('Per Invoice'!T$2:T$801,$W178)))</f>
        <v/>
      </c>
      <c r="U178" s="7">
        <f>IF($W178="","",IF(INDEX('Per Invoice'!U$2:U$801,$W178)="","",INDEX('Per Invoice'!U$2:U$801,$W178)))</f>
        <v/>
      </c>
      <c r="V178" s="7">
        <f>IF($W178="","",IF(INDEX('Per Invoice'!V$2:V$801,$W178)="","",INDEX('Per Invoice'!V$2:V$801,$W178)))</f>
        <v/>
      </c>
      <c r="W178" s="16">
        <f>IFERROR(MATCH(Settings!$C$32&amp;"|"&amp;ROWS($W$2:$W178),'Per Invoice'!$X$2:$X$801,0),"")</f>
        <v/>
      </c>
    </row>
    <row r="179">
      <c r="A179">
        <f>IF($W179="","",IF(INDEX('Per Invoice'!A$2:A$801,$W179)="","",INDEX('Per Invoice'!A$2:A$801,$W179)))</f>
        <v/>
      </c>
      <c r="B179">
        <f>IF($W179="","",IF(INDEX('Per Invoice'!B$2:B$801,$W179)="","",INDEX('Per Invoice'!B$2:B$801,$W179)))</f>
        <v/>
      </c>
      <c r="C179">
        <f>IF($W179="","",IF(INDEX('Per Invoice'!C$2:C$801,$W179)="","",INDEX('Per Invoice'!C$2:C$801,$W179)))</f>
        <v/>
      </c>
      <c r="D179">
        <f>IF($W179="","",IF(INDEX('Per Invoice'!D$2:D$801,$W179)="","",INDEX('Per Invoice'!D$2:D$801,$W179)))</f>
        <v/>
      </c>
      <c r="E179">
        <f>IF($W179="","",IF(INDEX('Per Invoice'!E$2:E$801,$W179)="","",INDEX('Per Invoice'!E$2:E$801,$W179)))</f>
        <v/>
      </c>
      <c r="F179">
        <f>IF($W179="","",IF(INDEX('Per Invoice'!F$2:F$801,$W179)="","",INDEX('Per Invoice'!F$2:F$801,$W179)))</f>
        <v/>
      </c>
      <c r="G179">
        <f>IF($W179="","",IF(INDEX('Per Invoice'!G$2:G$801,$W179)="","",INDEX('Per Invoice'!G$2:G$801,$W179)))</f>
        <v/>
      </c>
      <c r="H179">
        <f>IF($W179="","",IF(INDEX('Per Invoice'!H$2:H$801,$W179)="","",INDEX('Per Invoice'!H$2:H$801,$W179)))</f>
        <v/>
      </c>
      <c r="I179">
        <f>IF($W179="","",IF(INDEX('Per Invoice'!I$2:I$801,$W179)="","",INDEX('Per Invoice'!I$2:I$801,$W179)))</f>
        <v/>
      </c>
      <c r="J179">
        <f>IF($W179="","",IF(INDEX('Per Invoice'!J$2:J$801,$W179)="","",INDEX('Per Invoice'!J$2:J$801,$W179)))</f>
        <v/>
      </c>
      <c r="K179" s="7">
        <f>IF($W179="","",IF(INDEX('Per Invoice'!K$2:K$801,$W179)="","",INDEX('Per Invoice'!K$2:K$801,$W179)))</f>
        <v/>
      </c>
      <c r="L179" s="14">
        <f>IF($W179="","",IF(INDEX('Per Invoice'!L$2:L$801,$W179)="","",INDEX('Per Invoice'!L$2:L$801,$W179)))</f>
        <v/>
      </c>
      <c r="M179">
        <f>IF($W179="","",IF(INDEX('Per Invoice'!M$2:M$801,$W179)="","",INDEX('Per Invoice'!M$2:M$801,$W179)))</f>
        <v/>
      </c>
      <c r="N179" s="7">
        <f>IF($W179="","",IF(INDEX('Per Invoice'!N$2:N$801,$W179)="","",INDEX('Per Invoice'!N$2:N$801,$W179)))</f>
        <v/>
      </c>
      <c r="O179" s="7">
        <f>IF($W179="","",IF(INDEX('Per Invoice'!O$2:O$801,$W179)="","",INDEX('Per Invoice'!O$2:O$801,$W179)))</f>
        <v/>
      </c>
      <c r="P179">
        <f>IF($W179="","",IF(INDEX('Per Invoice'!P$2:P$801,$W179)="","",INDEX('Per Invoice'!P$2:P$801,$W179)))</f>
        <v/>
      </c>
      <c r="Q179" s="7">
        <f>IF($W179="","",IF(INDEX('Per Invoice'!Q$2:Q$801,$W179)="","",INDEX('Per Invoice'!Q$2:Q$801,$W179)))</f>
        <v/>
      </c>
      <c r="R179" s="7">
        <f>IF($W179="","",IF(INDEX('Per Invoice'!R$2:R$801,$W179)="","",INDEX('Per Invoice'!R$2:R$801,$W179)))</f>
        <v/>
      </c>
      <c r="S179" s="7">
        <f>IF($W179="","",IF(INDEX('Per Invoice'!S$2:S$801,$W179)="","",INDEX('Per Invoice'!S$2:S$801,$W179)))</f>
        <v/>
      </c>
      <c r="T179" s="7">
        <f>IF($W179="","",IF(INDEX('Per Invoice'!T$2:T$801,$W179)="","",INDEX('Per Invoice'!T$2:T$801,$W179)))</f>
        <v/>
      </c>
      <c r="U179" s="7">
        <f>IF($W179="","",IF(INDEX('Per Invoice'!U$2:U$801,$W179)="","",INDEX('Per Invoice'!U$2:U$801,$W179)))</f>
        <v/>
      </c>
      <c r="V179" s="7">
        <f>IF($W179="","",IF(INDEX('Per Invoice'!V$2:V$801,$W179)="","",INDEX('Per Invoice'!V$2:V$801,$W179)))</f>
        <v/>
      </c>
      <c r="W179" s="16">
        <f>IFERROR(MATCH(Settings!$C$32&amp;"|"&amp;ROWS($W$2:$W179),'Per Invoice'!$X$2:$X$801,0),"")</f>
        <v/>
      </c>
    </row>
    <row r="180">
      <c r="A180">
        <f>IF($W180="","",IF(INDEX('Per Invoice'!A$2:A$801,$W180)="","",INDEX('Per Invoice'!A$2:A$801,$W180)))</f>
        <v/>
      </c>
      <c r="B180">
        <f>IF($W180="","",IF(INDEX('Per Invoice'!B$2:B$801,$W180)="","",INDEX('Per Invoice'!B$2:B$801,$W180)))</f>
        <v/>
      </c>
      <c r="C180">
        <f>IF($W180="","",IF(INDEX('Per Invoice'!C$2:C$801,$W180)="","",INDEX('Per Invoice'!C$2:C$801,$W180)))</f>
        <v/>
      </c>
      <c r="D180">
        <f>IF($W180="","",IF(INDEX('Per Invoice'!D$2:D$801,$W180)="","",INDEX('Per Invoice'!D$2:D$801,$W180)))</f>
        <v/>
      </c>
      <c r="E180">
        <f>IF($W180="","",IF(INDEX('Per Invoice'!E$2:E$801,$W180)="","",INDEX('Per Invoice'!E$2:E$801,$W180)))</f>
        <v/>
      </c>
      <c r="F180">
        <f>IF($W180="","",IF(INDEX('Per Invoice'!F$2:F$801,$W180)="","",INDEX('Per Invoice'!F$2:F$801,$W180)))</f>
        <v/>
      </c>
      <c r="G180">
        <f>IF($W180="","",IF(INDEX('Per Invoice'!G$2:G$801,$W180)="","",INDEX('Per Invoice'!G$2:G$801,$W180)))</f>
        <v/>
      </c>
      <c r="H180">
        <f>IF($W180="","",IF(INDEX('Per Invoice'!H$2:H$801,$W180)="","",INDEX('Per Invoice'!H$2:H$801,$W180)))</f>
        <v/>
      </c>
      <c r="I180">
        <f>IF($W180="","",IF(INDEX('Per Invoice'!I$2:I$801,$W180)="","",INDEX('Per Invoice'!I$2:I$801,$W180)))</f>
        <v/>
      </c>
      <c r="J180">
        <f>IF($W180="","",IF(INDEX('Per Invoice'!J$2:J$801,$W180)="","",INDEX('Per Invoice'!J$2:J$801,$W180)))</f>
        <v/>
      </c>
      <c r="K180" s="7">
        <f>IF($W180="","",IF(INDEX('Per Invoice'!K$2:K$801,$W180)="","",INDEX('Per Invoice'!K$2:K$801,$W180)))</f>
        <v/>
      </c>
      <c r="L180" s="14">
        <f>IF($W180="","",IF(INDEX('Per Invoice'!L$2:L$801,$W180)="","",INDEX('Per Invoice'!L$2:L$801,$W180)))</f>
        <v/>
      </c>
      <c r="M180">
        <f>IF($W180="","",IF(INDEX('Per Invoice'!M$2:M$801,$W180)="","",INDEX('Per Invoice'!M$2:M$801,$W180)))</f>
        <v/>
      </c>
      <c r="N180" s="7">
        <f>IF($W180="","",IF(INDEX('Per Invoice'!N$2:N$801,$W180)="","",INDEX('Per Invoice'!N$2:N$801,$W180)))</f>
        <v/>
      </c>
      <c r="O180" s="7">
        <f>IF($W180="","",IF(INDEX('Per Invoice'!O$2:O$801,$W180)="","",INDEX('Per Invoice'!O$2:O$801,$W180)))</f>
        <v/>
      </c>
      <c r="P180">
        <f>IF($W180="","",IF(INDEX('Per Invoice'!P$2:P$801,$W180)="","",INDEX('Per Invoice'!P$2:P$801,$W180)))</f>
        <v/>
      </c>
      <c r="Q180" s="7">
        <f>IF($W180="","",IF(INDEX('Per Invoice'!Q$2:Q$801,$W180)="","",INDEX('Per Invoice'!Q$2:Q$801,$W180)))</f>
        <v/>
      </c>
      <c r="R180" s="7">
        <f>IF($W180="","",IF(INDEX('Per Invoice'!R$2:R$801,$W180)="","",INDEX('Per Invoice'!R$2:R$801,$W180)))</f>
        <v/>
      </c>
      <c r="S180" s="7">
        <f>IF($W180="","",IF(INDEX('Per Invoice'!S$2:S$801,$W180)="","",INDEX('Per Invoice'!S$2:S$801,$W180)))</f>
        <v/>
      </c>
      <c r="T180" s="7">
        <f>IF($W180="","",IF(INDEX('Per Invoice'!T$2:T$801,$W180)="","",INDEX('Per Invoice'!T$2:T$801,$W180)))</f>
        <v/>
      </c>
      <c r="U180" s="7">
        <f>IF($W180="","",IF(INDEX('Per Invoice'!U$2:U$801,$W180)="","",INDEX('Per Invoice'!U$2:U$801,$W180)))</f>
        <v/>
      </c>
      <c r="V180" s="7">
        <f>IF($W180="","",IF(INDEX('Per Invoice'!V$2:V$801,$W180)="","",INDEX('Per Invoice'!V$2:V$801,$W180)))</f>
        <v/>
      </c>
      <c r="W180" s="16">
        <f>IFERROR(MATCH(Settings!$C$32&amp;"|"&amp;ROWS($W$2:$W180),'Per Invoice'!$X$2:$X$801,0),"")</f>
        <v/>
      </c>
    </row>
    <row r="181">
      <c r="A181">
        <f>IF($W181="","",IF(INDEX('Per Invoice'!A$2:A$801,$W181)="","",INDEX('Per Invoice'!A$2:A$801,$W181)))</f>
        <v/>
      </c>
      <c r="B181">
        <f>IF($W181="","",IF(INDEX('Per Invoice'!B$2:B$801,$W181)="","",INDEX('Per Invoice'!B$2:B$801,$W181)))</f>
        <v/>
      </c>
      <c r="C181">
        <f>IF($W181="","",IF(INDEX('Per Invoice'!C$2:C$801,$W181)="","",INDEX('Per Invoice'!C$2:C$801,$W181)))</f>
        <v/>
      </c>
      <c r="D181">
        <f>IF($W181="","",IF(INDEX('Per Invoice'!D$2:D$801,$W181)="","",INDEX('Per Invoice'!D$2:D$801,$W181)))</f>
        <v/>
      </c>
      <c r="E181">
        <f>IF($W181="","",IF(INDEX('Per Invoice'!E$2:E$801,$W181)="","",INDEX('Per Invoice'!E$2:E$801,$W181)))</f>
        <v/>
      </c>
      <c r="F181">
        <f>IF($W181="","",IF(INDEX('Per Invoice'!F$2:F$801,$W181)="","",INDEX('Per Invoice'!F$2:F$801,$W181)))</f>
        <v/>
      </c>
      <c r="G181">
        <f>IF($W181="","",IF(INDEX('Per Invoice'!G$2:G$801,$W181)="","",INDEX('Per Invoice'!G$2:G$801,$W181)))</f>
        <v/>
      </c>
      <c r="H181">
        <f>IF($W181="","",IF(INDEX('Per Invoice'!H$2:H$801,$W181)="","",INDEX('Per Invoice'!H$2:H$801,$W181)))</f>
        <v/>
      </c>
      <c r="I181">
        <f>IF($W181="","",IF(INDEX('Per Invoice'!I$2:I$801,$W181)="","",INDEX('Per Invoice'!I$2:I$801,$W181)))</f>
        <v/>
      </c>
      <c r="J181">
        <f>IF($W181="","",IF(INDEX('Per Invoice'!J$2:J$801,$W181)="","",INDEX('Per Invoice'!J$2:J$801,$W181)))</f>
        <v/>
      </c>
      <c r="K181" s="7">
        <f>IF($W181="","",IF(INDEX('Per Invoice'!K$2:K$801,$W181)="","",INDEX('Per Invoice'!K$2:K$801,$W181)))</f>
        <v/>
      </c>
      <c r="L181" s="14">
        <f>IF($W181="","",IF(INDEX('Per Invoice'!L$2:L$801,$W181)="","",INDEX('Per Invoice'!L$2:L$801,$W181)))</f>
        <v/>
      </c>
      <c r="M181">
        <f>IF($W181="","",IF(INDEX('Per Invoice'!M$2:M$801,$W181)="","",INDEX('Per Invoice'!M$2:M$801,$W181)))</f>
        <v/>
      </c>
      <c r="N181" s="7">
        <f>IF($W181="","",IF(INDEX('Per Invoice'!N$2:N$801,$W181)="","",INDEX('Per Invoice'!N$2:N$801,$W181)))</f>
        <v/>
      </c>
      <c r="O181" s="7">
        <f>IF($W181="","",IF(INDEX('Per Invoice'!O$2:O$801,$W181)="","",INDEX('Per Invoice'!O$2:O$801,$W181)))</f>
        <v/>
      </c>
      <c r="P181">
        <f>IF($W181="","",IF(INDEX('Per Invoice'!P$2:P$801,$W181)="","",INDEX('Per Invoice'!P$2:P$801,$W181)))</f>
        <v/>
      </c>
      <c r="Q181" s="7">
        <f>IF($W181="","",IF(INDEX('Per Invoice'!Q$2:Q$801,$W181)="","",INDEX('Per Invoice'!Q$2:Q$801,$W181)))</f>
        <v/>
      </c>
      <c r="R181" s="7">
        <f>IF($W181="","",IF(INDEX('Per Invoice'!R$2:R$801,$W181)="","",INDEX('Per Invoice'!R$2:R$801,$W181)))</f>
        <v/>
      </c>
      <c r="S181" s="7">
        <f>IF($W181="","",IF(INDEX('Per Invoice'!S$2:S$801,$W181)="","",INDEX('Per Invoice'!S$2:S$801,$W181)))</f>
        <v/>
      </c>
      <c r="T181" s="7">
        <f>IF($W181="","",IF(INDEX('Per Invoice'!T$2:T$801,$W181)="","",INDEX('Per Invoice'!T$2:T$801,$W181)))</f>
        <v/>
      </c>
      <c r="U181" s="7">
        <f>IF($W181="","",IF(INDEX('Per Invoice'!U$2:U$801,$W181)="","",INDEX('Per Invoice'!U$2:U$801,$W181)))</f>
        <v/>
      </c>
      <c r="V181" s="7">
        <f>IF($W181="","",IF(INDEX('Per Invoice'!V$2:V$801,$W181)="","",INDEX('Per Invoice'!V$2:V$801,$W181)))</f>
        <v/>
      </c>
      <c r="W181" s="16">
        <f>IFERROR(MATCH(Settings!$C$32&amp;"|"&amp;ROWS($W$2:$W181),'Per Invoice'!$X$2:$X$801,0),"")</f>
        <v/>
      </c>
    </row>
    <row r="182">
      <c r="A182">
        <f>IF($W182="","",IF(INDEX('Per Invoice'!A$2:A$801,$W182)="","",INDEX('Per Invoice'!A$2:A$801,$W182)))</f>
        <v/>
      </c>
      <c r="B182">
        <f>IF($W182="","",IF(INDEX('Per Invoice'!B$2:B$801,$W182)="","",INDEX('Per Invoice'!B$2:B$801,$W182)))</f>
        <v/>
      </c>
      <c r="C182">
        <f>IF($W182="","",IF(INDEX('Per Invoice'!C$2:C$801,$W182)="","",INDEX('Per Invoice'!C$2:C$801,$W182)))</f>
        <v/>
      </c>
      <c r="D182">
        <f>IF($W182="","",IF(INDEX('Per Invoice'!D$2:D$801,$W182)="","",INDEX('Per Invoice'!D$2:D$801,$W182)))</f>
        <v/>
      </c>
      <c r="E182">
        <f>IF($W182="","",IF(INDEX('Per Invoice'!E$2:E$801,$W182)="","",INDEX('Per Invoice'!E$2:E$801,$W182)))</f>
        <v/>
      </c>
      <c r="F182">
        <f>IF($W182="","",IF(INDEX('Per Invoice'!F$2:F$801,$W182)="","",INDEX('Per Invoice'!F$2:F$801,$W182)))</f>
        <v/>
      </c>
      <c r="G182">
        <f>IF($W182="","",IF(INDEX('Per Invoice'!G$2:G$801,$W182)="","",INDEX('Per Invoice'!G$2:G$801,$W182)))</f>
        <v/>
      </c>
      <c r="H182">
        <f>IF($W182="","",IF(INDEX('Per Invoice'!H$2:H$801,$W182)="","",INDEX('Per Invoice'!H$2:H$801,$W182)))</f>
        <v/>
      </c>
      <c r="I182">
        <f>IF($W182="","",IF(INDEX('Per Invoice'!I$2:I$801,$W182)="","",INDEX('Per Invoice'!I$2:I$801,$W182)))</f>
        <v/>
      </c>
      <c r="J182">
        <f>IF($W182="","",IF(INDEX('Per Invoice'!J$2:J$801,$W182)="","",INDEX('Per Invoice'!J$2:J$801,$W182)))</f>
        <v/>
      </c>
      <c r="K182" s="7">
        <f>IF($W182="","",IF(INDEX('Per Invoice'!K$2:K$801,$W182)="","",INDEX('Per Invoice'!K$2:K$801,$W182)))</f>
        <v/>
      </c>
      <c r="L182" s="14">
        <f>IF($W182="","",IF(INDEX('Per Invoice'!L$2:L$801,$W182)="","",INDEX('Per Invoice'!L$2:L$801,$W182)))</f>
        <v/>
      </c>
      <c r="M182">
        <f>IF($W182="","",IF(INDEX('Per Invoice'!M$2:M$801,$W182)="","",INDEX('Per Invoice'!M$2:M$801,$W182)))</f>
        <v/>
      </c>
      <c r="N182" s="7">
        <f>IF($W182="","",IF(INDEX('Per Invoice'!N$2:N$801,$W182)="","",INDEX('Per Invoice'!N$2:N$801,$W182)))</f>
        <v/>
      </c>
      <c r="O182" s="7">
        <f>IF($W182="","",IF(INDEX('Per Invoice'!O$2:O$801,$W182)="","",INDEX('Per Invoice'!O$2:O$801,$W182)))</f>
        <v/>
      </c>
      <c r="P182">
        <f>IF($W182="","",IF(INDEX('Per Invoice'!P$2:P$801,$W182)="","",INDEX('Per Invoice'!P$2:P$801,$W182)))</f>
        <v/>
      </c>
      <c r="Q182" s="7">
        <f>IF($W182="","",IF(INDEX('Per Invoice'!Q$2:Q$801,$W182)="","",INDEX('Per Invoice'!Q$2:Q$801,$W182)))</f>
        <v/>
      </c>
      <c r="R182" s="7">
        <f>IF($W182="","",IF(INDEX('Per Invoice'!R$2:R$801,$W182)="","",INDEX('Per Invoice'!R$2:R$801,$W182)))</f>
        <v/>
      </c>
      <c r="S182" s="7">
        <f>IF($W182="","",IF(INDEX('Per Invoice'!S$2:S$801,$W182)="","",INDEX('Per Invoice'!S$2:S$801,$W182)))</f>
        <v/>
      </c>
      <c r="T182" s="7">
        <f>IF($W182="","",IF(INDEX('Per Invoice'!T$2:T$801,$W182)="","",INDEX('Per Invoice'!T$2:T$801,$W182)))</f>
        <v/>
      </c>
      <c r="U182" s="7">
        <f>IF($W182="","",IF(INDEX('Per Invoice'!U$2:U$801,$W182)="","",INDEX('Per Invoice'!U$2:U$801,$W182)))</f>
        <v/>
      </c>
      <c r="V182" s="7">
        <f>IF($W182="","",IF(INDEX('Per Invoice'!V$2:V$801,$W182)="","",INDEX('Per Invoice'!V$2:V$801,$W182)))</f>
        <v/>
      </c>
      <c r="W182" s="16">
        <f>IFERROR(MATCH(Settings!$C$32&amp;"|"&amp;ROWS($W$2:$W182),'Per Invoice'!$X$2:$X$801,0),"")</f>
        <v/>
      </c>
    </row>
    <row r="183">
      <c r="A183">
        <f>IF($W183="","",IF(INDEX('Per Invoice'!A$2:A$801,$W183)="","",INDEX('Per Invoice'!A$2:A$801,$W183)))</f>
        <v/>
      </c>
      <c r="B183">
        <f>IF($W183="","",IF(INDEX('Per Invoice'!B$2:B$801,$W183)="","",INDEX('Per Invoice'!B$2:B$801,$W183)))</f>
        <v/>
      </c>
      <c r="C183">
        <f>IF($W183="","",IF(INDEX('Per Invoice'!C$2:C$801,$W183)="","",INDEX('Per Invoice'!C$2:C$801,$W183)))</f>
        <v/>
      </c>
      <c r="D183">
        <f>IF($W183="","",IF(INDEX('Per Invoice'!D$2:D$801,$W183)="","",INDEX('Per Invoice'!D$2:D$801,$W183)))</f>
        <v/>
      </c>
      <c r="E183">
        <f>IF($W183="","",IF(INDEX('Per Invoice'!E$2:E$801,$W183)="","",INDEX('Per Invoice'!E$2:E$801,$W183)))</f>
        <v/>
      </c>
      <c r="F183">
        <f>IF($W183="","",IF(INDEX('Per Invoice'!F$2:F$801,$W183)="","",INDEX('Per Invoice'!F$2:F$801,$W183)))</f>
        <v/>
      </c>
      <c r="G183">
        <f>IF($W183="","",IF(INDEX('Per Invoice'!G$2:G$801,$W183)="","",INDEX('Per Invoice'!G$2:G$801,$W183)))</f>
        <v/>
      </c>
      <c r="H183">
        <f>IF($W183="","",IF(INDEX('Per Invoice'!H$2:H$801,$W183)="","",INDEX('Per Invoice'!H$2:H$801,$W183)))</f>
        <v/>
      </c>
      <c r="I183">
        <f>IF($W183="","",IF(INDEX('Per Invoice'!I$2:I$801,$W183)="","",INDEX('Per Invoice'!I$2:I$801,$W183)))</f>
        <v/>
      </c>
      <c r="J183">
        <f>IF($W183="","",IF(INDEX('Per Invoice'!J$2:J$801,$W183)="","",INDEX('Per Invoice'!J$2:J$801,$W183)))</f>
        <v/>
      </c>
      <c r="K183" s="7">
        <f>IF($W183="","",IF(INDEX('Per Invoice'!K$2:K$801,$W183)="","",INDEX('Per Invoice'!K$2:K$801,$W183)))</f>
        <v/>
      </c>
      <c r="L183" s="14">
        <f>IF($W183="","",IF(INDEX('Per Invoice'!L$2:L$801,$W183)="","",INDEX('Per Invoice'!L$2:L$801,$W183)))</f>
        <v/>
      </c>
      <c r="M183">
        <f>IF($W183="","",IF(INDEX('Per Invoice'!M$2:M$801,$W183)="","",INDEX('Per Invoice'!M$2:M$801,$W183)))</f>
        <v/>
      </c>
      <c r="N183" s="7">
        <f>IF($W183="","",IF(INDEX('Per Invoice'!N$2:N$801,$W183)="","",INDEX('Per Invoice'!N$2:N$801,$W183)))</f>
        <v/>
      </c>
      <c r="O183" s="7">
        <f>IF($W183="","",IF(INDEX('Per Invoice'!O$2:O$801,$W183)="","",INDEX('Per Invoice'!O$2:O$801,$W183)))</f>
        <v/>
      </c>
      <c r="P183">
        <f>IF($W183="","",IF(INDEX('Per Invoice'!P$2:P$801,$W183)="","",INDEX('Per Invoice'!P$2:P$801,$W183)))</f>
        <v/>
      </c>
      <c r="Q183" s="7">
        <f>IF($W183="","",IF(INDEX('Per Invoice'!Q$2:Q$801,$W183)="","",INDEX('Per Invoice'!Q$2:Q$801,$W183)))</f>
        <v/>
      </c>
      <c r="R183" s="7">
        <f>IF($W183="","",IF(INDEX('Per Invoice'!R$2:R$801,$W183)="","",INDEX('Per Invoice'!R$2:R$801,$W183)))</f>
        <v/>
      </c>
      <c r="S183" s="7">
        <f>IF($W183="","",IF(INDEX('Per Invoice'!S$2:S$801,$W183)="","",INDEX('Per Invoice'!S$2:S$801,$W183)))</f>
        <v/>
      </c>
      <c r="T183" s="7">
        <f>IF($W183="","",IF(INDEX('Per Invoice'!T$2:T$801,$W183)="","",INDEX('Per Invoice'!T$2:T$801,$W183)))</f>
        <v/>
      </c>
      <c r="U183" s="7">
        <f>IF($W183="","",IF(INDEX('Per Invoice'!U$2:U$801,$W183)="","",INDEX('Per Invoice'!U$2:U$801,$W183)))</f>
        <v/>
      </c>
      <c r="V183" s="7">
        <f>IF($W183="","",IF(INDEX('Per Invoice'!V$2:V$801,$W183)="","",INDEX('Per Invoice'!V$2:V$801,$W183)))</f>
        <v/>
      </c>
      <c r="W183" s="16">
        <f>IFERROR(MATCH(Settings!$C$32&amp;"|"&amp;ROWS($W$2:$W183),'Per Invoice'!$X$2:$X$801,0),"")</f>
        <v/>
      </c>
    </row>
    <row r="184">
      <c r="A184">
        <f>IF($W184="","",IF(INDEX('Per Invoice'!A$2:A$801,$W184)="","",INDEX('Per Invoice'!A$2:A$801,$W184)))</f>
        <v/>
      </c>
      <c r="B184">
        <f>IF($W184="","",IF(INDEX('Per Invoice'!B$2:B$801,$W184)="","",INDEX('Per Invoice'!B$2:B$801,$W184)))</f>
        <v/>
      </c>
      <c r="C184">
        <f>IF($W184="","",IF(INDEX('Per Invoice'!C$2:C$801,$W184)="","",INDEX('Per Invoice'!C$2:C$801,$W184)))</f>
        <v/>
      </c>
      <c r="D184">
        <f>IF($W184="","",IF(INDEX('Per Invoice'!D$2:D$801,$W184)="","",INDEX('Per Invoice'!D$2:D$801,$W184)))</f>
        <v/>
      </c>
      <c r="E184">
        <f>IF($W184="","",IF(INDEX('Per Invoice'!E$2:E$801,$W184)="","",INDEX('Per Invoice'!E$2:E$801,$W184)))</f>
        <v/>
      </c>
      <c r="F184">
        <f>IF($W184="","",IF(INDEX('Per Invoice'!F$2:F$801,$W184)="","",INDEX('Per Invoice'!F$2:F$801,$W184)))</f>
        <v/>
      </c>
      <c r="G184">
        <f>IF($W184="","",IF(INDEX('Per Invoice'!G$2:G$801,$W184)="","",INDEX('Per Invoice'!G$2:G$801,$W184)))</f>
        <v/>
      </c>
      <c r="H184">
        <f>IF($W184="","",IF(INDEX('Per Invoice'!H$2:H$801,$W184)="","",INDEX('Per Invoice'!H$2:H$801,$W184)))</f>
        <v/>
      </c>
      <c r="I184">
        <f>IF($W184="","",IF(INDEX('Per Invoice'!I$2:I$801,$W184)="","",INDEX('Per Invoice'!I$2:I$801,$W184)))</f>
        <v/>
      </c>
      <c r="J184">
        <f>IF($W184="","",IF(INDEX('Per Invoice'!J$2:J$801,$W184)="","",INDEX('Per Invoice'!J$2:J$801,$W184)))</f>
        <v/>
      </c>
      <c r="K184" s="7">
        <f>IF($W184="","",IF(INDEX('Per Invoice'!K$2:K$801,$W184)="","",INDEX('Per Invoice'!K$2:K$801,$W184)))</f>
        <v/>
      </c>
      <c r="L184" s="14">
        <f>IF($W184="","",IF(INDEX('Per Invoice'!L$2:L$801,$W184)="","",INDEX('Per Invoice'!L$2:L$801,$W184)))</f>
        <v/>
      </c>
      <c r="M184">
        <f>IF($W184="","",IF(INDEX('Per Invoice'!M$2:M$801,$W184)="","",INDEX('Per Invoice'!M$2:M$801,$W184)))</f>
        <v/>
      </c>
      <c r="N184" s="7">
        <f>IF($W184="","",IF(INDEX('Per Invoice'!N$2:N$801,$W184)="","",INDEX('Per Invoice'!N$2:N$801,$W184)))</f>
        <v/>
      </c>
      <c r="O184" s="7">
        <f>IF($W184="","",IF(INDEX('Per Invoice'!O$2:O$801,$W184)="","",INDEX('Per Invoice'!O$2:O$801,$W184)))</f>
        <v/>
      </c>
      <c r="P184">
        <f>IF($W184="","",IF(INDEX('Per Invoice'!P$2:P$801,$W184)="","",INDEX('Per Invoice'!P$2:P$801,$W184)))</f>
        <v/>
      </c>
      <c r="Q184" s="7">
        <f>IF($W184="","",IF(INDEX('Per Invoice'!Q$2:Q$801,$W184)="","",INDEX('Per Invoice'!Q$2:Q$801,$W184)))</f>
        <v/>
      </c>
      <c r="R184" s="7">
        <f>IF($W184="","",IF(INDEX('Per Invoice'!R$2:R$801,$W184)="","",INDEX('Per Invoice'!R$2:R$801,$W184)))</f>
        <v/>
      </c>
      <c r="S184" s="7">
        <f>IF($W184="","",IF(INDEX('Per Invoice'!S$2:S$801,$W184)="","",INDEX('Per Invoice'!S$2:S$801,$W184)))</f>
        <v/>
      </c>
      <c r="T184" s="7">
        <f>IF($W184="","",IF(INDEX('Per Invoice'!T$2:T$801,$W184)="","",INDEX('Per Invoice'!T$2:T$801,$W184)))</f>
        <v/>
      </c>
      <c r="U184" s="7">
        <f>IF($W184="","",IF(INDEX('Per Invoice'!U$2:U$801,$W184)="","",INDEX('Per Invoice'!U$2:U$801,$W184)))</f>
        <v/>
      </c>
      <c r="V184" s="7">
        <f>IF($W184="","",IF(INDEX('Per Invoice'!V$2:V$801,$W184)="","",INDEX('Per Invoice'!V$2:V$801,$W184)))</f>
        <v/>
      </c>
      <c r="W184" s="16">
        <f>IFERROR(MATCH(Settings!$C$32&amp;"|"&amp;ROWS($W$2:$W184),'Per Invoice'!$X$2:$X$801,0),"")</f>
        <v/>
      </c>
    </row>
    <row r="185">
      <c r="A185">
        <f>IF($W185="","",IF(INDEX('Per Invoice'!A$2:A$801,$W185)="","",INDEX('Per Invoice'!A$2:A$801,$W185)))</f>
        <v/>
      </c>
      <c r="B185">
        <f>IF($W185="","",IF(INDEX('Per Invoice'!B$2:B$801,$W185)="","",INDEX('Per Invoice'!B$2:B$801,$W185)))</f>
        <v/>
      </c>
      <c r="C185">
        <f>IF($W185="","",IF(INDEX('Per Invoice'!C$2:C$801,$W185)="","",INDEX('Per Invoice'!C$2:C$801,$W185)))</f>
        <v/>
      </c>
      <c r="D185">
        <f>IF($W185="","",IF(INDEX('Per Invoice'!D$2:D$801,$W185)="","",INDEX('Per Invoice'!D$2:D$801,$W185)))</f>
        <v/>
      </c>
      <c r="E185">
        <f>IF($W185="","",IF(INDEX('Per Invoice'!E$2:E$801,$W185)="","",INDEX('Per Invoice'!E$2:E$801,$W185)))</f>
        <v/>
      </c>
      <c r="F185">
        <f>IF($W185="","",IF(INDEX('Per Invoice'!F$2:F$801,$W185)="","",INDEX('Per Invoice'!F$2:F$801,$W185)))</f>
        <v/>
      </c>
      <c r="G185">
        <f>IF($W185="","",IF(INDEX('Per Invoice'!G$2:G$801,$W185)="","",INDEX('Per Invoice'!G$2:G$801,$W185)))</f>
        <v/>
      </c>
      <c r="H185">
        <f>IF($W185="","",IF(INDEX('Per Invoice'!H$2:H$801,$W185)="","",INDEX('Per Invoice'!H$2:H$801,$W185)))</f>
        <v/>
      </c>
      <c r="I185">
        <f>IF($W185="","",IF(INDEX('Per Invoice'!I$2:I$801,$W185)="","",INDEX('Per Invoice'!I$2:I$801,$W185)))</f>
        <v/>
      </c>
      <c r="J185">
        <f>IF($W185="","",IF(INDEX('Per Invoice'!J$2:J$801,$W185)="","",INDEX('Per Invoice'!J$2:J$801,$W185)))</f>
        <v/>
      </c>
      <c r="K185" s="7">
        <f>IF($W185="","",IF(INDEX('Per Invoice'!K$2:K$801,$W185)="","",INDEX('Per Invoice'!K$2:K$801,$W185)))</f>
        <v/>
      </c>
      <c r="L185" s="14">
        <f>IF($W185="","",IF(INDEX('Per Invoice'!L$2:L$801,$W185)="","",INDEX('Per Invoice'!L$2:L$801,$W185)))</f>
        <v/>
      </c>
      <c r="M185">
        <f>IF($W185="","",IF(INDEX('Per Invoice'!M$2:M$801,$W185)="","",INDEX('Per Invoice'!M$2:M$801,$W185)))</f>
        <v/>
      </c>
      <c r="N185" s="7">
        <f>IF($W185="","",IF(INDEX('Per Invoice'!N$2:N$801,$W185)="","",INDEX('Per Invoice'!N$2:N$801,$W185)))</f>
        <v/>
      </c>
      <c r="O185" s="7">
        <f>IF($W185="","",IF(INDEX('Per Invoice'!O$2:O$801,$W185)="","",INDEX('Per Invoice'!O$2:O$801,$W185)))</f>
        <v/>
      </c>
      <c r="P185">
        <f>IF($W185="","",IF(INDEX('Per Invoice'!P$2:P$801,$W185)="","",INDEX('Per Invoice'!P$2:P$801,$W185)))</f>
        <v/>
      </c>
      <c r="Q185" s="7">
        <f>IF($W185="","",IF(INDEX('Per Invoice'!Q$2:Q$801,$W185)="","",INDEX('Per Invoice'!Q$2:Q$801,$W185)))</f>
        <v/>
      </c>
      <c r="R185" s="7">
        <f>IF($W185="","",IF(INDEX('Per Invoice'!R$2:R$801,$W185)="","",INDEX('Per Invoice'!R$2:R$801,$W185)))</f>
        <v/>
      </c>
      <c r="S185" s="7">
        <f>IF($W185="","",IF(INDEX('Per Invoice'!S$2:S$801,$W185)="","",INDEX('Per Invoice'!S$2:S$801,$W185)))</f>
        <v/>
      </c>
      <c r="T185" s="7">
        <f>IF($W185="","",IF(INDEX('Per Invoice'!T$2:T$801,$W185)="","",INDEX('Per Invoice'!T$2:T$801,$W185)))</f>
        <v/>
      </c>
      <c r="U185" s="7">
        <f>IF($W185="","",IF(INDEX('Per Invoice'!U$2:U$801,$W185)="","",INDEX('Per Invoice'!U$2:U$801,$W185)))</f>
        <v/>
      </c>
      <c r="V185" s="7">
        <f>IF($W185="","",IF(INDEX('Per Invoice'!V$2:V$801,$W185)="","",INDEX('Per Invoice'!V$2:V$801,$W185)))</f>
        <v/>
      </c>
      <c r="W185" s="16">
        <f>IFERROR(MATCH(Settings!$C$32&amp;"|"&amp;ROWS($W$2:$W185),'Per Invoice'!$X$2:$X$801,0),"")</f>
        <v/>
      </c>
    </row>
    <row r="186">
      <c r="A186">
        <f>IF($W186="","",IF(INDEX('Per Invoice'!A$2:A$801,$W186)="","",INDEX('Per Invoice'!A$2:A$801,$W186)))</f>
        <v/>
      </c>
      <c r="B186">
        <f>IF($W186="","",IF(INDEX('Per Invoice'!B$2:B$801,$W186)="","",INDEX('Per Invoice'!B$2:B$801,$W186)))</f>
        <v/>
      </c>
      <c r="C186">
        <f>IF($W186="","",IF(INDEX('Per Invoice'!C$2:C$801,$W186)="","",INDEX('Per Invoice'!C$2:C$801,$W186)))</f>
        <v/>
      </c>
      <c r="D186">
        <f>IF($W186="","",IF(INDEX('Per Invoice'!D$2:D$801,$W186)="","",INDEX('Per Invoice'!D$2:D$801,$W186)))</f>
        <v/>
      </c>
      <c r="E186">
        <f>IF($W186="","",IF(INDEX('Per Invoice'!E$2:E$801,$W186)="","",INDEX('Per Invoice'!E$2:E$801,$W186)))</f>
        <v/>
      </c>
      <c r="F186">
        <f>IF($W186="","",IF(INDEX('Per Invoice'!F$2:F$801,$W186)="","",INDEX('Per Invoice'!F$2:F$801,$W186)))</f>
        <v/>
      </c>
      <c r="G186">
        <f>IF($W186="","",IF(INDEX('Per Invoice'!G$2:G$801,$W186)="","",INDEX('Per Invoice'!G$2:G$801,$W186)))</f>
        <v/>
      </c>
      <c r="H186">
        <f>IF($W186="","",IF(INDEX('Per Invoice'!H$2:H$801,$W186)="","",INDEX('Per Invoice'!H$2:H$801,$W186)))</f>
        <v/>
      </c>
      <c r="I186">
        <f>IF($W186="","",IF(INDEX('Per Invoice'!I$2:I$801,$W186)="","",INDEX('Per Invoice'!I$2:I$801,$W186)))</f>
        <v/>
      </c>
      <c r="J186">
        <f>IF($W186="","",IF(INDEX('Per Invoice'!J$2:J$801,$W186)="","",INDEX('Per Invoice'!J$2:J$801,$W186)))</f>
        <v/>
      </c>
      <c r="K186" s="7">
        <f>IF($W186="","",IF(INDEX('Per Invoice'!K$2:K$801,$W186)="","",INDEX('Per Invoice'!K$2:K$801,$W186)))</f>
        <v/>
      </c>
      <c r="L186" s="14">
        <f>IF($W186="","",IF(INDEX('Per Invoice'!L$2:L$801,$W186)="","",INDEX('Per Invoice'!L$2:L$801,$W186)))</f>
        <v/>
      </c>
      <c r="M186">
        <f>IF($W186="","",IF(INDEX('Per Invoice'!M$2:M$801,$W186)="","",INDEX('Per Invoice'!M$2:M$801,$W186)))</f>
        <v/>
      </c>
      <c r="N186" s="7">
        <f>IF($W186="","",IF(INDEX('Per Invoice'!N$2:N$801,$W186)="","",INDEX('Per Invoice'!N$2:N$801,$W186)))</f>
        <v/>
      </c>
      <c r="O186" s="7">
        <f>IF($W186="","",IF(INDEX('Per Invoice'!O$2:O$801,$W186)="","",INDEX('Per Invoice'!O$2:O$801,$W186)))</f>
        <v/>
      </c>
      <c r="P186">
        <f>IF($W186="","",IF(INDEX('Per Invoice'!P$2:P$801,$W186)="","",INDEX('Per Invoice'!P$2:P$801,$W186)))</f>
        <v/>
      </c>
      <c r="Q186" s="7">
        <f>IF($W186="","",IF(INDEX('Per Invoice'!Q$2:Q$801,$W186)="","",INDEX('Per Invoice'!Q$2:Q$801,$W186)))</f>
        <v/>
      </c>
      <c r="R186" s="7">
        <f>IF($W186="","",IF(INDEX('Per Invoice'!R$2:R$801,$W186)="","",INDEX('Per Invoice'!R$2:R$801,$W186)))</f>
        <v/>
      </c>
      <c r="S186" s="7">
        <f>IF($W186="","",IF(INDEX('Per Invoice'!S$2:S$801,$W186)="","",INDEX('Per Invoice'!S$2:S$801,$W186)))</f>
        <v/>
      </c>
      <c r="T186" s="7">
        <f>IF($W186="","",IF(INDEX('Per Invoice'!T$2:T$801,$W186)="","",INDEX('Per Invoice'!T$2:T$801,$W186)))</f>
        <v/>
      </c>
      <c r="U186" s="7">
        <f>IF($W186="","",IF(INDEX('Per Invoice'!U$2:U$801,$W186)="","",INDEX('Per Invoice'!U$2:U$801,$W186)))</f>
        <v/>
      </c>
      <c r="V186" s="7">
        <f>IF($W186="","",IF(INDEX('Per Invoice'!V$2:V$801,$W186)="","",INDEX('Per Invoice'!V$2:V$801,$W186)))</f>
        <v/>
      </c>
      <c r="W186" s="16">
        <f>IFERROR(MATCH(Settings!$C$32&amp;"|"&amp;ROWS($W$2:$W186),'Per Invoice'!$X$2:$X$801,0),"")</f>
        <v/>
      </c>
    </row>
    <row r="187">
      <c r="A187">
        <f>IF($W187="","",IF(INDEX('Per Invoice'!A$2:A$801,$W187)="","",INDEX('Per Invoice'!A$2:A$801,$W187)))</f>
        <v/>
      </c>
      <c r="B187">
        <f>IF($W187="","",IF(INDEX('Per Invoice'!B$2:B$801,$W187)="","",INDEX('Per Invoice'!B$2:B$801,$W187)))</f>
        <v/>
      </c>
      <c r="C187">
        <f>IF($W187="","",IF(INDEX('Per Invoice'!C$2:C$801,$W187)="","",INDEX('Per Invoice'!C$2:C$801,$W187)))</f>
        <v/>
      </c>
      <c r="D187">
        <f>IF($W187="","",IF(INDEX('Per Invoice'!D$2:D$801,$W187)="","",INDEX('Per Invoice'!D$2:D$801,$W187)))</f>
        <v/>
      </c>
      <c r="E187">
        <f>IF($W187="","",IF(INDEX('Per Invoice'!E$2:E$801,$W187)="","",INDEX('Per Invoice'!E$2:E$801,$W187)))</f>
        <v/>
      </c>
      <c r="F187">
        <f>IF($W187="","",IF(INDEX('Per Invoice'!F$2:F$801,$W187)="","",INDEX('Per Invoice'!F$2:F$801,$W187)))</f>
        <v/>
      </c>
      <c r="G187">
        <f>IF($W187="","",IF(INDEX('Per Invoice'!G$2:G$801,$W187)="","",INDEX('Per Invoice'!G$2:G$801,$W187)))</f>
        <v/>
      </c>
      <c r="H187">
        <f>IF($W187="","",IF(INDEX('Per Invoice'!H$2:H$801,$W187)="","",INDEX('Per Invoice'!H$2:H$801,$W187)))</f>
        <v/>
      </c>
      <c r="I187">
        <f>IF($W187="","",IF(INDEX('Per Invoice'!I$2:I$801,$W187)="","",INDEX('Per Invoice'!I$2:I$801,$W187)))</f>
        <v/>
      </c>
      <c r="J187">
        <f>IF($W187="","",IF(INDEX('Per Invoice'!J$2:J$801,$W187)="","",INDEX('Per Invoice'!J$2:J$801,$W187)))</f>
        <v/>
      </c>
      <c r="K187" s="7">
        <f>IF($W187="","",IF(INDEX('Per Invoice'!K$2:K$801,$W187)="","",INDEX('Per Invoice'!K$2:K$801,$W187)))</f>
        <v/>
      </c>
      <c r="L187" s="14">
        <f>IF($W187="","",IF(INDEX('Per Invoice'!L$2:L$801,$W187)="","",INDEX('Per Invoice'!L$2:L$801,$W187)))</f>
        <v/>
      </c>
      <c r="M187">
        <f>IF($W187="","",IF(INDEX('Per Invoice'!M$2:M$801,$W187)="","",INDEX('Per Invoice'!M$2:M$801,$W187)))</f>
        <v/>
      </c>
      <c r="N187" s="7">
        <f>IF($W187="","",IF(INDEX('Per Invoice'!N$2:N$801,$W187)="","",INDEX('Per Invoice'!N$2:N$801,$W187)))</f>
        <v/>
      </c>
      <c r="O187" s="7">
        <f>IF($W187="","",IF(INDEX('Per Invoice'!O$2:O$801,$W187)="","",INDEX('Per Invoice'!O$2:O$801,$W187)))</f>
        <v/>
      </c>
      <c r="P187">
        <f>IF($W187="","",IF(INDEX('Per Invoice'!P$2:P$801,$W187)="","",INDEX('Per Invoice'!P$2:P$801,$W187)))</f>
        <v/>
      </c>
      <c r="Q187" s="7">
        <f>IF($W187="","",IF(INDEX('Per Invoice'!Q$2:Q$801,$W187)="","",INDEX('Per Invoice'!Q$2:Q$801,$W187)))</f>
        <v/>
      </c>
      <c r="R187" s="7">
        <f>IF($W187="","",IF(INDEX('Per Invoice'!R$2:R$801,$W187)="","",INDEX('Per Invoice'!R$2:R$801,$W187)))</f>
        <v/>
      </c>
      <c r="S187" s="7">
        <f>IF($W187="","",IF(INDEX('Per Invoice'!S$2:S$801,$W187)="","",INDEX('Per Invoice'!S$2:S$801,$W187)))</f>
        <v/>
      </c>
      <c r="T187" s="7">
        <f>IF($W187="","",IF(INDEX('Per Invoice'!T$2:T$801,$W187)="","",INDEX('Per Invoice'!T$2:T$801,$W187)))</f>
        <v/>
      </c>
      <c r="U187" s="7">
        <f>IF($W187="","",IF(INDEX('Per Invoice'!U$2:U$801,$W187)="","",INDEX('Per Invoice'!U$2:U$801,$W187)))</f>
        <v/>
      </c>
      <c r="V187" s="7">
        <f>IF($W187="","",IF(INDEX('Per Invoice'!V$2:V$801,$W187)="","",INDEX('Per Invoice'!V$2:V$801,$W187)))</f>
        <v/>
      </c>
      <c r="W187" s="16">
        <f>IFERROR(MATCH(Settings!$C$32&amp;"|"&amp;ROWS($W$2:$W187),'Per Invoice'!$X$2:$X$801,0),"")</f>
        <v/>
      </c>
    </row>
    <row r="188">
      <c r="A188">
        <f>IF($W188="","",IF(INDEX('Per Invoice'!A$2:A$801,$W188)="","",INDEX('Per Invoice'!A$2:A$801,$W188)))</f>
        <v/>
      </c>
      <c r="B188">
        <f>IF($W188="","",IF(INDEX('Per Invoice'!B$2:B$801,$W188)="","",INDEX('Per Invoice'!B$2:B$801,$W188)))</f>
        <v/>
      </c>
      <c r="C188">
        <f>IF($W188="","",IF(INDEX('Per Invoice'!C$2:C$801,$W188)="","",INDEX('Per Invoice'!C$2:C$801,$W188)))</f>
        <v/>
      </c>
      <c r="D188">
        <f>IF($W188="","",IF(INDEX('Per Invoice'!D$2:D$801,$W188)="","",INDEX('Per Invoice'!D$2:D$801,$W188)))</f>
        <v/>
      </c>
      <c r="E188">
        <f>IF($W188="","",IF(INDEX('Per Invoice'!E$2:E$801,$W188)="","",INDEX('Per Invoice'!E$2:E$801,$W188)))</f>
        <v/>
      </c>
      <c r="F188">
        <f>IF($W188="","",IF(INDEX('Per Invoice'!F$2:F$801,$W188)="","",INDEX('Per Invoice'!F$2:F$801,$W188)))</f>
        <v/>
      </c>
      <c r="G188">
        <f>IF($W188="","",IF(INDEX('Per Invoice'!G$2:G$801,$W188)="","",INDEX('Per Invoice'!G$2:G$801,$W188)))</f>
        <v/>
      </c>
      <c r="H188">
        <f>IF($W188="","",IF(INDEX('Per Invoice'!H$2:H$801,$W188)="","",INDEX('Per Invoice'!H$2:H$801,$W188)))</f>
        <v/>
      </c>
      <c r="I188">
        <f>IF($W188="","",IF(INDEX('Per Invoice'!I$2:I$801,$W188)="","",INDEX('Per Invoice'!I$2:I$801,$W188)))</f>
        <v/>
      </c>
      <c r="J188">
        <f>IF($W188="","",IF(INDEX('Per Invoice'!J$2:J$801,$W188)="","",INDEX('Per Invoice'!J$2:J$801,$W188)))</f>
        <v/>
      </c>
      <c r="K188" s="7">
        <f>IF($W188="","",IF(INDEX('Per Invoice'!K$2:K$801,$W188)="","",INDEX('Per Invoice'!K$2:K$801,$W188)))</f>
        <v/>
      </c>
      <c r="L188" s="14">
        <f>IF($W188="","",IF(INDEX('Per Invoice'!L$2:L$801,$W188)="","",INDEX('Per Invoice'!L$2:L$801,$W188)))</f>
        <v/>
      </c>
      <c r="M188">
        <f>IF($W188="","",IF(INDEX('Per Invoice'!M$2:M$801,$W188)="","",INDEX('Per Invoice'!M$2:M$801,$W188)))</f>
        <v/>
      </c>
      <c r="N188" s="7">
        <f>IF($W188="","",IF(INDEX('Per Invoice'!N$2:N$801,$W188)="","",INDEX('Per Invoice'!N$2:N$801,$W188)))</f>
        <v/>
      </c>
      <c r="O188" s="7">
        <f>IF($W188="","",IF(INDEX('Per Invoice'!O$2:O$801,$W188)="","",INDEX('Per Invoice'!O$2:O$801,$W188)))</f>
        <v/>
      </c>
      <c r="P188">
        <f>IF($W188="","",IF(INDEX('Per Invoice'!P$2:P$801,$W188)="","",INDEX('Per Invoice'!P$2:P$801,$W188)))</f>
        <v/>
      </c>
      <c r="Q188" s="7">
        <f>IF($W188="","",IF(INDEX('Per Invoice'!Q$2:Q$801,$W188)="","",INDEX('Per Invoice'!Q$2:Q$801,$W188)))</f>
        <v/>
      </c>
      <c r="R188" s="7">
        <f>IF($W188="","",IF(INDEX('Per Invoice'!R$2:R$801,$W188)="","",INDEX('Per Invoice'!R$2:R$801,$W188)))</f>
        <v/>
      </c>
      <c r="S188" s="7">
        <f>IF($W188="","",IF(INDEX('Per Invoice'!S$2:S$801,$W188)="","",INDEX('Per Invoice'!S$2:S$801,$W188)))</f>
        <v/>
      </c>
      <c r="T188" s="7">
        <f>IF($W188="","",IF(INDEX('Per Invoice'!T$2:T$801,$W188)="","",INDEX('Per Invoice'!T$2:T$801,$W188)))</f>
        <v/>
      </c>
      <c r="U188" s="7">
        <f>IF($W188="","",IF(INDEX('Per Invoice'!U$2:U$801,$W188)="","",INDEX('Per Invoice'!U$2:U$801,$W188)))</f>
        <v/>
      </c>
      <c r="V188" s="7">
        <f>IF($W188="","",IF(INDEX('Per Invoice'!V$2:V$801,$W188)="","",INDEX('Per Invoice'!V$2:V$801,$W188)))</f>
        <v/>
      </c>
      <c r="W188" s="16">
        <f>IFERROR(MATCH(Settings!$C$32&amp;"|"&amp;ROWS($W$2:$W188),'Per Invoice'!$X$2:$X$801,0),"")</f>
        <v/>
      </c>
    </row>
    <row r="189">
      <c r="A189">
        <f>IF($W189="","",IF(INDEX('Per Invoice'!A$2:A$801,$W189)="","",INDEX('Per Invoice'!A$2:A$801,$W189)))</f>
        <v/>
      </c>
      <c r="B189">
        <f>IF($W189="","",IF(INDEX('Per Invoice'!B$2:B$801,$W189)="","",INDEX('Per Invoice'!B$2:B$801,$W189)))</f>
        <v/>
      </c>
      <c r="C189">
        <f>IF($W189="","",IF(INDEX('Per Invoice'!C$2:C$801,$W189)="","",INDEX('Per Invoice'!C$2:C$801,$W189)))</f>
        <v/>
      </c>
      <c r="D189">
        <f>IF($W189="","",IF(INDEX('Per Invoice'!D$2:D$801,$W189)="","",INDEX('Per Invoice'!D$2:D$801,$W189)))</f>
        <v/>
      </c>
      <c r="E189">
        <f>IF($W189="","",IF(INDEX('Per Invoice'!E$2:E$801,$W189)="","",INDEX('Per Invoice'!E$2:E$801,$W189)))</f>
        <v/>
      </c>
      <c r="F189">
        <f>IF($W189="","",IF(INDEX('Per Invoice'!F$2:F$801,$W189)="","",INDEX('Per Invoice'!F$2:F$801,$W189)))</f>
        <v/>
      </c>
      <c r="G189">
        <f>IF($W189="","",IF(INDEX('Per Invoice'!G$2:G$801,$W189)="","",INDEX('Per Invoice'!G$2:G$801,$W189)))</f>
        <v/>
      </c>
      <c r="H189">
        <f>IF($W189="","",IF(INDEX('Per Invoice'!H$2:H$801,$W189)="","",INDEX('Per Invoice'!H$2:H$801,$W189)))</f>
        <v/>
      </c>
      <c r="I189">
        <f>IF($W189="","",IF(INDEX('Per Invoice'!I$2:I$801,$W189)="","",INDEX('Per Invoice'!I$2:I$801,$W189)))</f>
        <v/>
      </c>
      <c r="J189">
        <f>IF($W189="","",IF(INDEX('Per Invoice'!J$2:J$801,$W189)="","",INDEX('Per Invoice'!J$2:J$801,$W189)))</f>
        <v/>
      </c>
      <c r="K189" s="7">
        <f>IF($W189="","",IF(INDEX('Per Invoice'!K$2:K$801,$W189)="","",INDEX('Per Invoice'!K$2:K$801,$W189)))</f>
        <v/>
      </c>
      <c r="L189" s="14">
        <f>IF($W189="","",IF(INDEX('Per Invoice'!L$2:L$801,$W189)="","",INDEX('Per Invoice'!L$2:L$801,$W189)))</f>
        <v/>
      </c>
      <c r="M189">
        <f>IF($W189="","",IF(INDEX('Per Invoice'!M$2:M$801,$W189)="","",INDEX('Per Invoice'!M$2:M$801,$W189)))</f>
        <v/>
      </c>
      <c r="N189" s="7">
        <f>IF($W189="","",IF(INDEX('Per Invoice'!N$2:N$801,$W189)="","",INDEX('Per Invoice'!N$2:N$801,$W189)))</f>
        <v/>
      </c>
      <c r="O189" s="7">
        <f>IF($W189="","",IF(INDEX('Per Invoice'!O$2:O$801,$W189)="","",INDEX('Per Invoice'!O$2:O$801,$W189)))</f>
        <v/>
      </c>
      <c r="P189">
        <f>IF($W189="","",IF(INDEX('Per Invoice'!P$2:P$801,$W189)="","",INDEX('Per Invoice'!P$2:P$801,$W189)))</f>
        <v/>
      </c>
      <c r="Q189" s="7">
        <f>IF($W189="","",IF(INDEX('Per Invoice'!Q$2:Q$801,$W189)="","",INDEX('Per Invoice'!Q$2:Q$801,$W189)))</f>
        <v/>
      </c>
      <c r="R189" s="7">
        <f>IF($W189="","",IF(INDEX('Per Invoice'!R$2:R$801,$W189)="","",INDEX('Per Invoice'!R$2:R$801,$W189)))</f>
        <v/>
      </c>
      <c r="S189" s="7">
        <f>IF($W189="","",IF(INDEX('Per Invoice'!S$2:S$801,$W189)="","",INDEX('Per Invoice'!S$2:S$801,$W189)))</f>
        <v/>
      </c>
      <c r="T189" s="7">
        <f>IF($W189="","",IF(INDEX('Per Invoice'!T$2:T$801,$W189)="","",INDEX('Per Invoice'!T$2:T$801,$W189)))</f>
        <v/>
      </c>
      <c r="U189" s="7">
        <f>IF($W189="","",IF(INDEX('Per Invoice'!U$2:U$801,$W189)="","",INDEX('Per Invoice'!U$2:U$801,$W189)))</f>
        <v/>
      </c>
      <c r="V189" s="7">
        <f>IF($W189="","",IF(INDEX('Per Invoice'!V$2:V$801,$W189)="","",INDEX('Per Invoice'!V$2:V$801,$W189)))</f>
        <v/>
      </c>
      <c r="W189" s="16">
        <f>IFERROR(MATCH(Settings!$C$32&amp;"|"&amp;ROWS($W$2:$W189),'Per Invoice'!$X$2:$X$801,0),"")</f>
        <v/>
      </c>
    </row>
    <row r="190">
      <c r="A190">
        <f>IF($W190="","",IF(INDEX('Per Invoice'!A$2:A$801,$W190)="","",INDEX('Per Invoice'!A$2:A$801,$W190)))</f>
        <v/>
      </c>
      <c r="B190">
        <f>IF($W190="","",IF(INDEX('Per Invoice'!B$2:B$801,$W190)="","",INDEX('Per Invoice'!B$2:B$801,$W190)))</f>
        <v/>
      </c>
      <c r="C190">
        <f>IF($W190="","",IF(INDEX('Per Invoice'!C$2:C$801,$W190)="","",INDEX('Per Invoice'!C$2:C$801,$W190)))</f>
        <v/>
      </c>
      <c r="D190">
        <f>IF($W190="","",IF(INDEX('Per Invoice'!D$2:D$801,$W190)="","",INDEX('Per Invoice'!D$2:D$801,$W190)))</f>
        <v/>
      </c>
      <c r="E190">
        <f>IF($W190="","",IF(INDEX('Per Invoice'!E$2:E$801,$W190)="","",INDEX('Per Invoice'!E$2:E$801,$W190)))</f>
        <v/>
      </c>
      <c r="F190">
        <f>IF($W190="","",IF(INDEX('Per Invoice'!F$2:F$801,$W190)="","",INDEX('Per Invoice'!F$2:F$801,$W190)))</f>
        <v/>
      </c>
      <c r="G190">
        <f>IF($W190="","",IF(INDEX('Per Invoice'!G$2:G$801,$W190)="","",INDEX('Per Invoice'!G$2:G$801,$W190)))</f>
        <v/>
      </c>
      <c r="H190">
        <f>IF($W190="","",IF(INDEX('Per Invoice'!H$2:H$801,$W190)="","",INDEX('Per Invoice'!H$2:H$801,$W190)))</f>
        <v/>
      </c>
      <c r="I190">
        <f>IF($W190="","",IF(INDEX('Per Invoice'!I$2:I$801,$W190)="","",INDEX('Per Invoice'!I$2:I$801,$W190)))</f>
        <v/>
      </c>
      <c r="J190">
        <f>IF($W190="","",IF(INDEX('Per Invoice'!J$2:J$801,$W190)="","",INDEX('Per Invoice'!J$2:J$801,$W190)))</f>
        <v/>
      </c>
      <c r="K190" s="7">
        <f>IF($W190="","",IF(INDEX('Per Invoice'!K$2:K$801,$W190)="","",INDEX('Per Invoice'!K$2:K$801,$W190)))</f>
        <v/>
      </c>
      <c r="L190" s="14">
        <f>IF($W190="","",IF(INDEX('Per Invoice'!L$2:L$801,$W190)="","",INDEX('Per Invoice'!L$2:L$801,$W190)))</f>
        <v/>
      </c>
      <c r="M190">
        <f>IF($W190="","",IF(INDEX('Per Invoice'!M$2:M$801,$W190)="","",INDEX('Per Invoice'!M$2:M$801,$W190)))</f>
        <v/>
      </c>
      <c r="N190" s="7">
        <f>IF($W190="","",IF(INDEX('Per Invoice'!N$2:N$801,$W190)="","",INDEX('Per Invoice'!N$2:N$801,$W190)))</f>
        <v/>
      </c>
      <c r="O190" s="7">
        <f>IF($W190="","",IF(INDEX('Per Invoice'!O$2:O$801,$W190)="","",INDEX('Per Invoice'!O$2:O$801,$W190)))</f>
        <v/>
      </c>
      <c r="P190">
        <f>IF($W190="","",IF(INDEX('Per Invoice'!P$2:P$801,$W190)="","",INDEX('Per Invoice'!P$2:P$801,$W190)))</f>
        <v/>
      </c>
      <c r="Q190" s="7">
        <f>IF($W190="","",IF(INDEX('Per Invoice'!Q$2:Q$801,$W190)="","",INDEX('Per Invoice'!Q$2:Q$801,$W190)))</f>
        <v/>
      </c>
      <c r="R190" s="7">
        <f>IF($W190="","",IF(INDEX('Per Invoice'!R$2:R$801,$W190)="","",INDEX('Per Invoice'!R$2:R$801,$W190)))</f>
        <v/>
      </c>
      <c r="S190" s="7">
        <f>IF($W190="","",IF(INDEX('Per Invoice'!S$2:S$801,$W190)="","",INDEX('Per Invoice'!S$2:S$801,$W190)))</f>
        <v/>
      </c>
      <c r="T190" s="7">
        <f>IF($W190="","",IF(INDEX('Per Invoice'!T$2:T$801,$W190)="","",INDEX('Per Invoice'!T$2:T$801,$W190)))</f>
        <v/>
      </c>
      <c r="U190" s="7">
        <f>IF($W190="","",IF(INDEX('Per Invoice'!U$2:U$801,$W190)="","",INDEX('Per Invoice'!U$2:U$801,$W190)))</f>
        <v/>
      </c>
      <c r="V190" s="7">
        <f>IF($W190="","",IF(INDEX('Per Invoice'!V$2:V$801,$W190)="","",INDEX('Per Invoice'!V$2:V$801,$W190)))</f>
        <v/>
      </c>
      <c r="W190" s="16">
        <f>IFERROR(MATCH(Settings!$C$32&amp;"|"&amp;ROWS($W$2:$W190),'Per Invoice'!$X$2:$X$801,0),"")</f>
        <v/>
      </c>
    </row>
    <row r="191">
      <c r="A191">
        <f>IF($W191="","",IF(INDEX('Per Invoice'!A$2:A$801,$W191)="","",INDEX('Per Invoice'!A$2:A$801,$W191)))</f>
        <v/>
      </c>
      <c r="B191">
        <f>IF($W191="","",IF(INDEX('Per Invoice'!B$2:B$801,$W191)="","",INDEX('Per Invoice'!B$2:B$801,$W191)))</f>
        <v/>
      </c>
      <c r="C191">
        <f>IF($W191="","",IF(INDEX('Per Invoice'!C$2:C$801,$W191)="","",INDEX('Per Invoice'!C$2:C$801,$W191)))</f>
        <v/>
      </c>
      <c r="D191">
        <f>IF($W191="","",IF(INDEX('Per Invoice'!D$2:D$801,$W191)="","",INDEX('Per Invoice'!D$2:D$801,$W191)))</f>
        <v/>
      </c>
      <c r="E191">
        <f>IF($W191="","",IF(INDEX('Per Invoice'!E$2:E$801,$W191)="","",INDEX('Per Invoice'!E$2:E$801,$W191)))</f>
        <v/>
      </c>
      <c r="F191">
        <f>IF($W191="","",IF(INDEX('Per Invoice'!F$2:F$801,$W191)="","",INDEX('Per Invoice'!F$2:F$801,$W191)))</f>
        <v/>
      </c>
      <c r="G191">
        <f>IF($W191="","",IF(INDEX('Per Invoice'!G$2:G$801,$W191)="","",INDEX('Per Invoice'!G$2:G$801,$W191)))</f>
        <v/>
      </c>
      <c r="H191">
        <f>IF($W191="","",IF(INDEX('Per Invoice'!H$2:H$801,$W191)="","",INDEX('Per Invoice'!H$2:H$801,$W191)))</f>
        <v/>
      </c>
      <c r="I191">
        <f>IF($W191="","",IF(INDEX('Per Invoice'!I$2:I$801,$W191)="","",INDEX('Per Invoice'!I$2:I$801,$W191)))</f>
        <v/>
      </c>
      <c r="J191">
        <f>IF($W191="","",IF(INDEX('Per Invoice'!J$2:J$801,$W191)="","",INDEX('Per Invoice'!J$2:J$801,$W191)))</f>
        <v/>
      </c>
      <c r="K191" s="7">
        <f>IF($W191="","",IF(INDEX('Per Invoice'!K$2:K$801,$W191)="","",INDEX('Per Invoice'!K$2:K$801,$W191)))</f>
        <v/>
      </c>
      <c r="L191" s="14">
        <f>IF($W191="","",IF(INDEX('Per Invoice'!L$2:L$801,$W191)="","",INDEX('Per Invoice'!L$2:L$801,$W191)))</f>
        <v/>
      </c>
      <c r="M191">
        <f>IF($W191="","",IF(INDEX('Per Invoice'!M$2:M$801,$W191)="","",INDEX('Per Invoice'!M$2:M$801,$W191)))</f>
        <v/>
      </c>
      <c r="N191" s="7">
        <f>IF($W191="","",IF(INDEX('Per Invoice'!N$2:N$801,$W191)="","",INDEX('Per Invoice'!N$2:N$801,$W191)))</f>
        <v/>
      </c>
      <c r="O191" s="7">
        <f>IF($W191="","",IF(INDEX('Per Invoice'!O$2:O$801,$W191)="","",INDEX('Per Invoice'!O$2:O$801,$W191)))</f>
        <v/>
      </c>
      <c r="P191">
        <f>IF($W191="","",IF(INDEX('Per Invoice'!P$2:P$801,$W191)="","",INDEX('Per Invoice'!P$2:P$801,$W191)))</f>
        <v/>
      </c>
      <c r="Q191" s="7">
        <f>IF($W191="","",IF(INDEX('Per Invoice'!Q$2:Q$801,$W191)="","",INDEX('Per Invoice'!Q$2:Q$801,$W191)))</f>
        <v/>
      </c>
      <c r="R191" s="7">
        <f>IF($W191="","",IF(INDEX('Per Invoice'!R$2:R$801,$W191)="","",INDEX('Per Invoice'!R$2:R$801,$W191)))</f>
        <v/>
      </c>
      <c r="S191" s="7">
        <f>IF($W191="","",IF(INDEX('Per Invoice'!S$2:S$801,$W191)="","",INDEX('Per Invoice'!S$2:S$801,$W191)))</f>
        <v/>
      </c>
      <c r="T191" s="7">
        <f>IF($W191="","",IF(INDEX('Per Invoice'!T$2:T$801,$W191)="","",INDEX('Per Invoice'!T$2:T$801,$W191)))</f>
        <v/>
      </c>
      <c r="U191" s="7">
        <f>IF($W191="","",IF(INDEX('Per Invoice'!U$2:U$801,$W191)="","",INDEX('Per Invoice'!U$2:U$801,$W191)))</f>
        <v/>
      </c>
      <c r="V191" s="7">
        <f>IF($W191="","",IF(INDEX('Per Invoice'!V$2:V$801,$W191)="","",INDEX('Per Invoice'!V$2:V$801,$W191)))</f>
        <v/>
      </c>
      <c r="W191" s="16">
        <f>IFERROR(MATCH(Settings!$C$32&amp;"|"&amp;ROWS($W$2:$W191),'Per Invoice'!$X$2:$X$801,0),"")</f>
        <v/>
      </c>
    </row>
    <row r="192">
      <c r="A192">
        <f>IF($W192="","",IF(INDEX('Per Invoice'!A$2:A$801,$W192)="","",INDEX('Per Invoice'!A$2:A$801,$W192)))</f>
        <v/>
      </c>
      <c r="B192">
        <f>IF($W192="","",IF(INDEX('Per Invoice'!B$2:B$801,$W192)="","",INDEX('Per Invoice'!B$2:B$801,$W192)))</f>
        <v/>
      </c>
      <c r="C192">
        <f>IF($W192="","",IF(INDEX('Per Invoice'!C$2:C$801,$W192)="","",INDEX('Per Invoice'!C$2:C$801,$W192)))</f>
        <v/>
      </c>
      <c r="D192">
        <f>IF($W192="","",IF(INDEX('Per Invoice'!D$2:D$801,$W192)="","",INDEX('Per Invoice'!D$2:D$801,$W192)))</f>
        <v/>
      </c>
      <c r="E192">
        <f>IF($W192="","",IF(INDEX('Per Invoice'!E$2:E$801,$W192)="","",INDEX('Per Invoice'!E$2:E$801,$W192)))</f>
        <v/>
      </c>
      <c r="F192">
        <f>IF($W192="","",IF(INDEX('Per Invoice'!F$2:F$801,$W192)="","",INDEX('Per Invoice'!F$2:F$801,$W192)))</f>
        <v/>
      </c>
      <c r="G192">
        <f>IF($W192="","",IF(INDEX('Per Invoice'!G$2:G$801,$W192)="","",INDEX('Per Invoice'!G$2:G$801,$W192)))</f>
        <v/>
      </c>
      <c r="H192">
        <f>IF($W192="","",IF(INDEX('Per Invoice'!H$2:H$801,$W192)="","",INDEX('Per Invoice'!H$2:H$801,$W192)))</f>
        <v/>
      </c>
      <c r="I192">
        <f>IF($W192="","",IF(INDEX('Per Invoice'!I$2:I$801,$W192)="","",INDEX('Per Invoice'!I$2:I$801,$W192)))</f>
        <v/>
      </c>
      <c r="J192">
        <f>IF($W192="","",IF(INDEX('Per Invoice'!J$2:J$801,$W192)="","",INDEX('Per Invoice'!J$2:J$801,$W192)))</f>
        <v/>
      </c>
      <c r="K192" s="7">
        <f>IF($W192="","",IF(INDEX('Per Invoice'!K$2:K$801,$W192)="","",INDEX('Per Invoice'!K$2:K$801,$W192)))</f>
        <v/>
      </c>
      <c r="L192" s="14">
        <f>IF($W192="","",IF(INDEX('Per Invoice'!L$2:L$801,$W192)="","",INDEX('Per Invoice'!L$2:L$801,$W192)))</f>
        <v/>
      </c>
      <c r="M192">
        <f>IF($W192="","",IF(INDEX('Per Invoice'!M$2:M$801,$W192)="","",INDEX('Per Invoice'!M$2:M$801,$W192)))</f>
        <v/>
      </c>
      <c r="N192" s="7">
        <f>IF($W192="","",IF(INDEX('Per Invoice'!N$2:N$801,$W192)="","",INDEX('Per Invoice'!N$2:N$801,$W192)))</f>
        <v/>
      </c>
      <c r="O192" s="7">
        <f>IF($W192="","",IF(INDEX('Per Invoice'!O$2:O$801,$W192)="","",INDEX('Per Invoice'!O$2:O$801,$W192)))</f>
        <v/>
      </c>
      <c r="P192">
        <f>IF($W192="","",IF(INDEX('Per Invoice'!P$2:P$801,$W192)="","",INDEX('Per Invoice'!P$2:P$801,$W192)))</f>
        <v/>
      </c>
      <c r="Q192" s="7">
        <f>IF($W192="","",IF(INDEX('Per Invoice'!Q$2:Q$801,$W192)="","",INDEX('Per Invoice'!Q$2:Q$801,$W192)))</f>
        <v/>
      </c>
      <c r="R192" s="7">
        <f>IF($W192="","",IF(INDEX('Per Invoice'!R$2:R$801,$W192)="","",INDEX('Per Invoice'!R$2:R$801,$W192)))</f>
        <v/>
      </c>
      <c r="S192" s="7">
        <f>IF($W192="","",IF(INDEX('Per Invoice'!S$2:S$801,$W192)="","",INDEX('Per Invoice'!S$2:S$801,$W192)))</f>
        <v/>
      </c>
      <c r="T192" s="7">
        <f>IF($W192="","",IF(INDEX('Per Invoice'!T$2:T$801,$W192)="","",INDEX('Per Invoice'!T$2:T$801,$W192)))</f>
        <v/>
      </c>
      <c r="U192" s="7">
        <f>IF($W192="","",IF(INDEX('Per Invoice'!U$2:U$801,$W192)="","",INDEX('Per Invoice'!U$2:U$801,$W192)))</f>
        <v/>
      </c>
      <c r="V192" s="7">
        <f>IF($W192="","",IF(INDEX('Per Invoice'!V$2:V$801,$W192)="","",INDEX('Per Invoice'!V$2:V$801,$W192)))</f>
        <v/>
      </c>
      <c r="W192" s="16">
        <f>IFERROR(MATCH(Settings!$C$32&amp;"|"&amp;ROWS($W$2:$W192),'Per Invoice'!$X$2:$X$801,0),"")</f>
        <v/>
      </c>
    </row>
    <row r="193">
      <c r="A193">
        <f>IF($W193="","",IF(INDEX('Per Invoice'!A$2:A$801,$W193)="","",INDEX('Per Invoice'!A$2:A$801,$W193)))</f>
        <v/>
      </c>
      <c r="B193">
        <f>IF($W193="","",IF(INDEX('Per Invoice'!B$2:B$801,$W193)="","",INDEX('Per Invoice'!B$2:B$801,$W193)))</f>
        <v/>
      </c>
      <c r="C193">
        <f>IF($W193="","",IF(INDEX('Per Invoice'!C$2:C$801,$W193)="","",INDEX('Per Invoice'!C$2:C$801,$W193)))</f>
        <v/>
      </c>
      <c r="D193">
        <f>IF($W193="","",IF(INDEX('Per Invoice'!D$2:D$801,$W193)="","",INDEX('Per Invoice'!D$2:D$801,$W193)))</f>
        <v/>
      </c>
      <c r="E193">
        <f>IF($W193="","",IF(INDEX('Per Invoice'!E$2:E$801,$W193)="","",INDEX('Per Invoice'!E$2:E$801,$W193)))</f>
        <v/>
      </c>
      <c r="F193">
        <f>IF($W193="","",IF(INDEX('Per Invoice'!F$2:F$801,$W193)="","",INDEX('Per Invoice'!F$2:F$801,$W193)))</f>
        <v/>
      </c>
      <c r="G193">
        <f>IF($W193="","",IF(INDEX('Per Invoice'!G$2:G$801,$W193)="","",INDEX('Per Invoice'!G$2:G$801,$W193)))</f>
        <v/>
      </c>
      <c r="H193">
        <f>IF($W193="","",IF(INDEX('Per Invoice'!H$2:H$801,$W193)="","",INDEX('Per Invoice'!H$2:H$801,$W193)))</f>
        <v/>
      </c>
      <c r="I193">
        <f>IF($W193="","",IF(INDEX('Per Invoice'!I$2:I$801,$W193)="","",INDEX('Per Invoice'!I$2:I$801,$W193)))</f>
        <v/>
      </c>
      <c r="J193">
        <f>IF($W193="","",IF(INDEX('Per Invoice'!J$2:J$801,$W193)="","",INDEX('Per Invoice'!J$2:J$801,$W193)))</f>
        <v/>
      </c>
      <c r="K193" s="7">
        <f>IF($W193="","",IF(INDEX('Per Invoice'!K$2:K$801,$W193)="","",INDEX('Per Invoice'!K$2:K$801,$W193)))</f>
        <v/>
      </c>
      <c r="L193" s="14">
        <f>IF($W193="","",IF(INDEX('Per Invoice'!L$2:L$801,$W193)="","",INDEX('Per Invoice'!L$2:L$801,$W193)))</f>
        <v/>
      </c>
      <c r="M193">
        <f>IF($W193="","",IF(INDEX('Per Invoice'!M$2:M$801,$W193)="","",INDEX('Per Invoice'!M$2:M$801,$W193)))</f>
        <v/>
      </c>
      <c r="N193" s="7">
        <f>IF($W193="","",IF(INDEX('Per Invoice'!N$2:N$801,$W193)="","",INDEX('Per Invoice'!N$2:N$801,$W193)))</f>
        <v/>
      </c>
      <c r="O193" s="7">
        <f>IF($W193="","",IF(INDEX('Per Invoice'!O$2:O$801,$W193)="","",INDEX('Per Invoice'!O$2:O$801,$W193)))</f>
        <v/>
      </c>
      <c r="P193">
        <f>IF($W193="","",IF(INDEX('Per Invoice'!P$2:P$801,$W193)="","",INDEX('Per Invoice'!P$2:P$801,$W193)))</f>
        <v/>
      </c>
      <c r="Q193" s="7">
        <f>IF($W193="","",IF(INDEX('Per Invoice'!Q$2:Q$801,$W193)="","",INDEX('Per Invoice'!Q$2:Q$801,$W193)))</f>
        <v/>
      </c>
      <c r="R193" s="7">
        <f>IF($W193="","",IF(INDEX('Per Invoice'!R$2:R$801,$W193)="","",INDEX('Per Invoice'!R$2:R$801,$W193)))</f>
        <v/>
      </c>
      <c r="S193" s="7">
        <f>IF($W193="","",IF(INDEX('Per Invoice'!S$2:S$801,$W193)="","",INDEX('Per Invoice'!S$2:S$801,$W193)))</f>
        <v/>
      </c>
      <c r="T193" s="7">
        <f>IF($W193="","",IF(INDEX('Per Invoice'!T$2:T$801,$W193)="","",INDEX('Per Invoice'!T$2:T$801,$W193)))</f>
        <v/>
      </c>
      <c r="U193" s="7">
        <f>IF($W193="","",IF(INDEX('Per Invoice'!U$2:U$801,$W193)="","",INDEX('Per Invoice'!U$2:U$801,$W193)))</f>
        <v/>
      </c>
      <c r="V193" s="7">
        <f>IF($W193="","",IF(INDEX('Per Invoice'!V$2:V$801,$W193)="","",INDEX('Per Invoice'!V$2:V$801,$W193)))</f>
        <v/>
      </c>
      <c r="W193" s="16">
        <f>IFERROR(MATCH(Settings!$C$32&amp;"|"&amp;ROWS($W$2:$W193),'Per Invoice'!$X$2:$X$801,0),"")</f>
        <v/>
      </c>
    </row>
    <row r="194">
      <c r="A194">
        <f>IF($W194="","",IF(INDEX('Per Invoice'!A$2:A$801,$W194)="","",INDEX('Per Invoice'!A$2:A$801,$W194)))</f>
        <v/>
      </c>
      <c r="B194">
        <f>IF($W194="","",IF(INDEX('Per Invoice'!B$2:B$801,$W194)="","",INDEX('Per Invoice'!B$2:B$801,$W194)))</f>
        <v/>
      </c>
      <c r="C194">
        <f>IF($W194="","",IF(INDEX('Per Invoice'!C$2:C$801,$W194)="","",INDEX('Per Invoice'!C$2:C$801,$W194)))</f>
        <v/>
      </c>
      <c r="D194">
        <f>IF($W194="","",IF(INDEX('Per Invoice'!D$2:D$801,$W194)="","",INDEX('Per Invoice'!D$2:D$801,$W194)))</f>
        <v/>
      </c>
      <c r="E194">
        <f>IF($W194="","",IF(INDEX('Per Invoice'!E$2:E$801,$W194)="","",INDEX('Per Invoice'!E$2:E$801,$W194)))</f>
        <v/>
      </c>
      <c r="F194">
        <f>IF($W194="","",IF(INDEX('Per Invoice'!F$2:F$801,$W194)="","",INDEX('Per Invoice'!F$2:F$801,$W194)))</f>
        <v/>
      </c>
      <c r="G194">
        <f>IF($W194="","",IF(INDEX('Per Invoice'!G$2:G$801,$W194)="","",INDEX('Per Invoice'!G$2:G$801,$W194)))</f>
        <v/>
      </c>
      <c r="H194">
        <f>IF($W194="","",IF(INDEX('Per Invoice'!H$2:H$801,$W194)="","",INDEX('Per Invoice'!H$2:H$801,$W194)))</f>
        <v/>
      </c>
      <c r="I194">
        <f>IF($W194="","",IF(INDEX('Per Invoice'!I$2:I$801,$W194)="","",INDEX('Per Invoice'!I$2:I$801,$W194)))</f>
        <v/>
      </c>
      <c r="J194">
        <f>IF($W194="","",IF(INDEX('Per Invoice'!J$2:J$801,$W194)="","",INDEX('Per Invoice'!J$2:J$801,$W194)))</f>
        <v/>
      </c>
      <c r="K194" s="7">
        <f>IF($W194="","",IF(INDEX('Per Invoice'!K$2:K$801,$W194)="","",INDEX('Per Invoice'!K$2:K$801,$W194)))</f>
        <v/>
      </c>
      <c r="L194" s="14">
        <f>IF($W194="","",IF(INDEX('Per Invoice'!L$2:L$801,$W194)="","",INDEX('Per Invoice'!L$2:L$801,$W194)))</f>
        <v/>
      </c>
      <c r="M194">
        <f>IF($W194="","",IF(INDEX('Per Invoice'!M$2:M$801,$W194)="","",INDEX('Per Invoice'!M$2:M$801,$W194)))</f>
        <v/>
      </c>
      <c r="N194" s="7">
        <f>IF($W194="","",IF(INDEX('Per Invoice'!N$2:N$801,$W194)="","",INDEX('Per Invoice'!N$2:N$801,$W194)))</f>
        <v/>
      </c>
      <c r="O194" s="7">
        <f>IF($W194="","",IF(INDEX('Per Invoice'!O$2:O$801,$W194)="","",INDEX('Per Invoice'!O$2:O$801,$W194)))</f>
        <v/>
      </c>
      <c r="P194">
        <f>IF($W194="","",IF(INDEX('Per Invoice'!P$2:P$801,$W194)="","",INDEX('Per Invoice'!P$2:P$801,$W194)))</f>
        <v/>
      </c>
      <c r="Q194" s="7">
        <f>IF($W194="","",IF(INDEX('Per Invoice'!Q$2:Q$801,$W194)="","",INDEX('Per Invoice'!Q$2:Q$801,$W194)))</f>
        <v/>
      </c>
      <c r="R194" s="7">
        <f>IF($W194="","",IF(INDEX('Per Invoice'!R$2:R$801,$W194)="","",INDEX('Per Invoice'!R$2:R$801,$W194)))</f>
        <v/>
      </c>
      <c r="S194" s="7">
        <f>IF($W194="","",IF(INDEX('Per Invoice'!S$2:S$801,$W194)="","",INDEX('Per Invoice'!S$2:S$801,$W194)))</f>
        <v/>
      </c>
      <c r="T194" s="7">
        <f>IF($W194="","",IF(INDEX('Per Invoice'!T$2:T$801,$W194)="","",INDEX('Per Invoice'!T$2:T$801,$W194)))</f>
        <v/>
      </c>
      <c r="U194" s="7">
        <f>IF($W194="","",IF(INDEX('Per Invoice'!U$2:U$801,$W194)="","",INDEX('Per Invoice'!U$2:U$801,$W194)))</f>
        <v/>
      </c>
      <c r="V194" s="7">
        <f>IF($W194="","",IF(INDEX('Per Invoice'!V$2:V$801,$W194)="","",INDEX('Per Invoice'!V$2:V$801,$W194)))</f>
        <v/>
      </c>
      <c r="W194" s="16">
        <f>IFERROR(MATCH(Settings!$C$32&amp;"|"&amp;ROWS($W$2:$W194),'Per Invoice'!$X$2:$X$801,0),"")</f>
        <v/>
      </c>
    </row>
    <row r="195">
      <c r="A195">
        <f>IF($W195="","",IF(INDEX('Per Invoice'!A$2:A$801,$W195)="","",INDEX('Per Invoice'!A$2:A$801,$W195)))</f>
        <v/>
      </c>
      <c r="B195">
        <f>IF($W195="","",IF(INDEX('Per Invoice'!B$2:B$801,$W195)="","",INDEX('Per Invoice'!B$2:B$801,$W195)))</f>
        <v/>
      </c>
      <c r="C195">
        <f>IF($W195="","",IF(INDEX('Per Invoice'!C$2:C$801,$W195)="","",INDEX('Per Invoice'!C$2:C$801,$W195)))</f>
        <v/>
      </c>
      <c r="D195">
        <f>IF($W195="","",IF(INDEX('Per Invoice'!D$2:D$801,$W195)="","",INDEX('Per Invoice'!D$2:D$801,$W195)))</f>
        <v/>
      </c>
      <c r="E195">
        <f>IF($W195="","",IF(INDEX('Per Invoice'!E$2:E$801,$W195)="","",INDEX('Per Invoice'!E$2:E$801,$W195)))</f>
        <v/>
      </c>
      <c r="F195">
        <f>IF($W195="","",IF(INDEX('Per Invoice'!F$2:F$801,$W195)="","",INDEX('Per Invoice'!F$2:F$801,$W195)))</f>
        <v/>
      </c>
      <c r="G195">
        <f>IF($W195="","",IF(INDEX('Per Invoice'!G$2:G$801,$W195)="","",INDEX('Per Invoice'!G$2:G$801,$W195)))</f>
        <v/>
      </c>
      <c r="H195">
        <f>IF($W195="","",IF(INDEX('Per Invoice'!H$2:H$801,$W195)="","",INDEX('Per Invoice'!H$2:H$801,$W195)))</f>
        <v/>
      </c>
      <c r="I195">
        <f>IF($W195="","",IF(INDEX('Per Invoice'!I$2:I$801,$W195)="","",INDEX('Per Invoice'!I$2:I$801,$W195)))</f>
        <v/>
      </c>
      <c r="J195">
        <f>IF($W195="","",IF(INDEX('Per Invoice'!J$2:J$801,$W195)="","",INDEX('Per Invoice'!J$2:J$801,$W195)))</f>
        <v/>
      </c>
      <c r="K195" s="7">
        <f>IF($W195="","",IF(INDEX('Per Invoice'!K$2:K$801,$W195)="","",INDEX('Per Invoice'!K$2:K$801,$W195)))</f>
        <v/>
      </c>
      <c r="L195" s="14">
        <f>IF($W195="","",IF(INDEX('Per Invoice'!L$2:L$801,$W195)="","",INDEX('Per Invoice'!L$2:L$801,$W195)))</f>
        <v/>
      </c>
      <c r="M195">
        <f>IF($W195="","",IF(INDEX('Per Invoice'!M$2:M$801,$W195)="","",INDEX('Per Invoice'!M$2:M$801,$W195)))</f>
        <v/>
      </c>
      <c r="N195" s="7">
        <f>IF($W195="","",IF(INDEX('Per Invoice'!N$2:N$801,$W195)="","",INDEX('Per Invoice'!N$2:N$801,$W195)))</f>
        <v/>
      </c>
      <c r="O195" s="7">
        <f>IF($W195="","",IF(INDEX('Per Invoice'!O$2:O$801,$W195)="","",INDEX('Per Invoice'!O$2:O$801,$W195)))</f>
        <v/>
      </c>
      <c r="P195">
        <f>IF($W195="","",IF(INDEX('Per Invoice'!P$2:P$801,$W195)="","",INDEX('Per Invoice'!P$2:P$801,$W195)))</f>
        <v/>
      </c>
      <c r="Q195" s="7">
        <f>IF($W195="","",IF(INDEX('Per Invoice'!Q$2:Q$801,$W195)="","",INDEX('Per Invoice'!Q$2:Q$801,$W195)))</f>
        <v/>
      </c>
      <c r="R195" s="7">
        <f>IF($W195="","",IF(INDEX('Per Invoice'!R$2:R$801,$W195)="","",INDEX('Per Invoice'!R$2:R$801,$W195)))</f>
        <v/>
      </c>
      <c r="S195" s="7">
        <f>IF($W195="","",IF(INDEX('Per Invoice'!S$2:S$801,$W195)="","",INDEX('Per Invoice'!S$2:S$801,$W195)))</f>
        <v/>
      </c>
      <c r="T195" s="7">
        <f>IF($W195="","",IF(INDEX('Per Invoice'!T$2:T$801,$W195)="","",INDEX('Per Invoice'!T$2:T$801,$W195)))</f>
        <v/>
      </c>
      <c r="U195" s="7">
        <f>IF($W195="","",IF(INDEX('Per Invoice'!U$2:U$801,$W195)="","",INDEX('Per Invoice'!U$2:U$801,$W195)))</f>
        <v/>
      </c>
      <c r="V195" s="7">
        <f>IF($W195="","",IF(INDEX('Per Invoice'!V$2:V$801,$W195)="","",INDEX('Per Invoice'!V$2:V$801,$W195)))</f>
        <v/>
      </c>
      <c r="W195" s="16">
        <f>IFERROR(MATCH(Settings!$C$32&amp;"|"&amp;ROWS($W$2:$W195),'Per Invoice'!$X$2:$X$801,0),"")</f>
        <v/>
      </c>
    </row>
    <row r="196">
      <c r="A196">
        <f>IF($W196="","",IF(INDEX('Per Invoice'!A$2:A$801,$W196)="","",INDEX('Per Invoice'!A$2:A$801,$W196)))</f>
        <v/>
      </c>
      <c r="B196">
        <f>IF($W196="","",IF(INDEX('Per Invoice'!B$2:B$801,$W196)="","",INDEX('Per Invoice'!B$2:B$801,$W196)))</f>
        <v/>
      </c>
      <c r="C196">
        <f>IF($W196="","",IF(INDEX('Per Invoice'!C$2:C$801,$W196)="","",INDEX('Per Invoice'!C$2:C$801,$W196)))</f>
        <v/>
      </c>
      <c r="D196">
        <f>IF($W196="","",IF(INDEX('Per Invoice'!D$2:D$801,$W196)="","",INDEX('Per Invoice'!D$2:D$801,$W196)))</f>
        <v/>
      </c>
      <c r="E196">
        <f>IF($W196="","",IF(INDEX('Per Invoice'!E$2:E$801,$W196)="","",INDEX('Per Invoice'!E$2:E$801,$W196)))</f>
        <v/>
      </c>
      <c r="F196">
        <f>IF($W196="","",IF(INDEX('Per Invoice'!F$2:F$801,$W196)="","",INDEX('Per Invoice'!F$2:F$801,$W196)))</f>
        <v/>
      </c>
      <c r="G196">
        <f>IF($W196="","",IF(INDEX('Per Invoice'!G$2:G$801,$W196)="","",INDEX('Per Invoice'!G$2:G$801,$W196)))</f>
        <v/>
      </c>
      <c r="H196">
        <f>IF($W196="","",IF(INDEX('Per Invoice'!H$2:H$801,$W196)="","",INDEX('Per Invoice'!H$2:H$801,$W196)))</f>
        <v/>
      </c>
      <c r="I196">
        <f>IF($W196="","",IF(INDEX('Per Invoice'!I$2:I$801,$W196)="","",INDEX('Per Invoice'!I$2:I$801,$W196)))</f>
        <v/>
      </c>
      <c r="J196">
        <f>IF($W196="","",IF(INDEX('Per Invoice'!J$2:J$801,$W196)="","",INDEX('Per Invoice'!J$2:J$801,$W196)))</f>
        <v/>
      </c>
      <c r="K196" s="7">
        <f>IF($W196="","",IF(INDEX('Per Invoice'!K$2:K$801,$W196)="","",INDEX('Per Invoice'!K$2:K$801,$W196)))</f>
        <v/>
      </c>
      <c r="L196" s="14">
        <f>IF($W196="","",IF(INDEX('Per Invoice'!L$2:L$801,$W196)="","",INDEX('Per Invoice'!L$2:L$801,$W196)))</f>
        <v/>
      </c>
      <c r="M196">
        <f>IF($W196="","",IF(INDEX('Per Invoice'!M$2:M$801,$W196)="","",INDEX('Per Invoice'!M$2:M$801,$W196)))</f>
        <v/>
      </c>
      <c r="N196" s="7">
        <f>IF($W196="","",IF(INDEX('Per Invoice'!N$2:N$801,$W196)="","",INDEX('Per Invoice'!N$2:N$801,$W196)))</f>
        <v/>
      </c>
      <c r="O196" s="7">
        <f>IF($W196="","",IF(INDEX('Per Invoice'!O$2:O$801,$W196)="","",INDEX('Per Invoice'!O$2:O$801,$W196)))</f>
        <v/>
      </c>
      <c r="P196">
        <f>IF($W196="","",IF(INDEX('Per Invoice'!P$2:P$801,$W196)="","",INDEX('Per Invoice'!P$2:P$801,$W196)))</f>
        <v/>
      </c>
      <c r="Q196" s="7">
        <f>IF($W196="","",IF(INDEX('Per Invoice'!Q$2:Q$801,$W196)="","",INDEX('Per Invoice'!Q$2:Q$801,$W196)))</f>
        <v/>
      </c>
      <c r="R196" s="7">
        <f>IF($W196="","",IF(INDEX('Per Invoice'!R$2:R$801,$W196)="","",INDEX('Per Invoice'!R$2:R$801,$W196)))</f>
        <v/>
      </c>
      <c r="S196" s="7">
        <f>IF($W196="","",IF(INDEX('Per Invoice'!S$2:S$801,$W196)="","",INDEX('Per Invoice'!S$2:S$801,$W196)))</f>
        <v/>
      </c>
      <c r="T196" s="7">
        <f>IF($W196="","",IF(INDEX('Per Invoice'!T$2:T$801,$W196)="","",INDEX('Per Invoice'!T$2:T$801,$W196)))</f>
        <v/>
      </c>
      <c r="U196" s="7">
        <f>IF($W196="","",IF(INDEX('Per Invoice'!U$2:U$801,$W196)="","",INDEX('Per Invoice'!U$2:U$801,$W196)))</f>
        <v/>
      </c>
      <c r="V196" s="7">
        <f>IF($W196="","",IF(INDEX('Per Invoice'!V$2:V$801,$W196)="","",INDEX('Per Invoice'!V$2:V$801,$W196)))</f>
        <v/>
      </c>
      <c r="W196" s="16">
        <f>IFERROR(MATCH(Settings!$C$32&amp;"|"&amp;ROWS($W$2:$W196),'Per Invoice'!$X$2:$X$801,0),"")</f>
        <v/>
      </c>
    </row>
    <row r="197">
      <c r="A197">
        <f>IF($W197="","",IF(INDEX('Per Invoice'!A$2:A$801,$W197)="","",INDEX('Per Invoice'!A$2:A$801,$W197)))</f>
        <v/>
      </c>
      <c r="B197">
        <f>IF($W197="","",IF(INDEX('Per Invoice'!B$2:B$801,$W197)="","",INDEX('Per Invoice'!B$2:B$801,$W197)))</f>
        <v/>
      </c>
      <c r="C197">
        <f>IF($W197="","",IF(INDEX('Per Invoice'!C$2:C$801,$W197)="","",INDEX('Per Invoice'!C$2:C$801,$W197)))</f>
        <v/>
      </c>
      <c r="D197">
        <f>IF($W197="","",IF(INDEX('Per Invoice'!D$2:D$801,$W197)="","",INDEX('Per Invoice'!D$2:D$801,$W197)))</f>
        <v/>
      </c>
      <c r="E197">
        <f>IF($W197="","",IF(INDEX('Per Invoice'!E$2:E$801,$W197)="","",INDEX('Per Invoice'!E$2:E$801,$W197)))</f>
        <v/>
      </c>
      <c r="F197">
        <f>IF($W197="","",IF(INDEX('Per Invoice'!F$2:F$801,$W197)="","",INDEX('Per Invoice'!F$2:F$801,$W197)))</f>
        <v/>
      </c>
      <c r="G197">
        <f>IF($W197="","",IF(INDEX('Per Invoice'!G$2:G$801,$W197)="","",INDEX('Per Invoice'!G$2:G$801,$W197)))</f>
        <v/>
      </c>
      <c r="H197">
        <f>IF($W197="","",IF(INDEX('Per Invoice'!H$2:H$801,$W197)="","",INDEX('Per Invoice'!H$2:H$801,$W197)))</f>
        <v/>
      </c>
      <c r="I197">
        <f>IF($W197="","",IF(INDEX('Per Invoice'!I$2:I$801,$W197)="","",INDEX('Per Invoice'!I$2:I$801,$W197)))</f>
        <v/>
      </c>
      <c r="J197">
        <f>IF($W197="","",IF(INDEX('Per Invoice'!J$2:J$801,$W197)="","",INDEX('Per Invoice'!J$2:J$801,$W197)))</f>
        <v/>
      </c>
      <c r="K197" s="7">
        <f>IF($W197="","",IF(INDEX('Per Invoice'!K$2:K$801,$W197)="","",INDEX('Per Invoice'!K$2:K$801,$W197)))</f>
        <v/>
      </c>
      <c r="L197" s="14">
        <f>IF($W197="","",IF(INDEX('Per Invoice'!L$2:L$801,$W197)="","",INDEX('Per Invoice'!L$2:L$801,$W197)))</f>
        <v/>
      </c>
      <c r="M197">
        <f>IF($W197="","",IF(INDEX('Per Invoice'!M$2:M$801,$W197)="","",INDEX('Per Invoice'!M$2:M$801,$W197)))</f>
        <v/>
      </c>
      <c r="N197" s="7">
        <f>IF($W197="","",IF(INDEX('Per Invoice'!N$2:N$801,$W197)="","",INDEX('Per Invoice'!N$2:N$801,$W197)))</f>
        <v/>
      </c>
      <c r="O197" s="7">
        <f>IF($W197="","",IF(INDEX('Per Invoice'!O$2:O$801,$W197)="","",INDEX('Per Invoice'!O$2:O$801,$W197)))</f>
        <v/>
      </c>
      <c r="P197">
        <f>IF($W197="","",IF(INDEX('Per Invoice'!P$2:P$801,$W197)="","",INDEX('Per Invoice'!P$2:P$801,$W197)))</f>
        <v/>
      </c>
      <c r="Q197" s="7">
        <f>IF($W197="","",IF(INDEX('Per Invoice'!Q$2:Q$801,$W197)="","",INDEX('Per Invoice'!Q$2:Q$801,$W197)))</f>
        <v/>
      </c>
      <c r="R197" s="7">
        <f>IF($W197="","",IF(INDEX('Per Invoice'!R$2:R$801,$W197)="","",INDEX('Per Invoice'!R$2:R$801,$W197)))</f>
        <v/>
      </c>
      <c r="S197" s="7">
        <f>IF($W197="","",IF(INDEX('Per Invoice'!S$2:S$801,$W197)="","",INDEX('Per Invoice'!S$2:S$801,$W197)))</f>
        <v/>
      </c>
      <c r="T197" s="7">
        <f>IF($W197="","",IF(INDEX('Per Invoice'!T$2:T$801,$W197)="","",INDEX('Per Invoice'!T$2:T$801,$W197)))</f>
        <v/>
      </c>
      <c r="U197" s="7">
        <f>IF($W197="","",IF(INDEX('Per Invoice'!U$2:U$801,$W197)="","",INDEX('Per Invoice'!U$2:U$801,$W197)))</f>
        <v/>
      </c>
      <c r="V197" s="7">
        <f>IF($W197="","",IF(INDEX('Per Invoice'!V$2:V$801,$W197)="","",INDEX('Per Invoice'!V$2:V$801,$W197)))</f>
        <v/>
      </c>
      <c r="W197" s="16">
        <f>IFERROR(MATCH(Settings!$C$32&amp;"|"&amp;ROWS($W$2:$W197),'Per Invoice'!$X$2:$X$801,0),"")</f>
        <v/>
      </c>
    </row>
    <row r="198">
      <c r="A198">
        <f>IF($W198="","",IF(INDEX('Per Invoice'!A$2:A$801,$W198)="","",INDEX('Per Invoice'!A$2:A$801,$W198)))</f>
        <v/>
      </c>
      <c r="B198">
        <f>IF($W198="","",IF(INDEX('Per Invoice'!B$2:B$801,$W198)="","",INDEX('Per Invoice'!B$2:B$801,$W198)))</f>
        <v/>
      </c>
      <c r="C198">
        <f>IF($W198="","",IF(INDEX('Per Invoice'!C$2:C$801,$W198)="","",INDEX('Per Invoice'!C$2:C$801,$W198)))</f>
        <v/>
      </c>
      <c r="D198">
        <f>IF($W198="","",IF(INDEX('Per Invoice'!D$2:D$801,$W198)="","",INDEX('Per Invoice'!D$2:D$801,$W198)))</f>
        <v/>
      </c>
      <c r="E198">
        <f>IF($W198="","",IF(INDEX('Per Invoice'!E$2:E$801,$W198)="","",INDEX('Per Invoice'!E$2:E$801,$W198)))</f>
        <v/>
      </c>
      <c r="F198">
        <f>IF($W198="","",IF(INDEX('Per Invoice'!F$2:F$801,$W198)="","",INDEX('Per Invoice'!F$2:F$801,$W198)))</f>
        <v/>
      </c>
      <c r="G198">
        <f>IF($W198="","",IF(INDEX('Per Invoice'!G$2:G$801,$W198)="","",INDEX('Per Invoice'!G$2:G$801,$W198)))</f>
        <v/>
      </c>
      <c r="H198">
        <f>IF($W198="","",IF(INDEX('Per Invoice'!H$2:H$801,$W198)="","",INDEX('Per Invoice'!H$2:H$801,$W198)))</f>
        <v/>
      </c>
      <c r="I198">
        <f>IF($W198="","",IF(INDEX('Per Invoice'!I$2:I$801,$W198)="","",INDEX('Per Invoice'!I$2:I$801,$W198)))</f>
        <v/>
      </c>
      <c r="J198">
        <f>IF($W198="","",IF(INDEX('Per Invoice'!J$2:J$801,$W198)="","",INDEX('Per Invoice'!J$2:J$801,$W198)))</f>
        <v/>
      </c>
      <c r="K198" s="7">
        <f>IF($W198="","",IF(INDEX('Per Invoice'!K$2:K$801,$W198)="","",INDEX('Per Invoice'!K$2:K$801,$W198)))</f>
        <v/>
      </c>
      <c r="L198" s="14">
        <f>IF($W198="","",IF(INDEX('Per Invoice'!L$2:L$801,$W198)="","",INDEX('Per Invoice'!L$2:L$801,$W198)))</f>
        <v/>
      </c>
      <c r="M198">
        <f>IF($W198="","",IF(INDEX('Per Invoice'!M$2:M$801,$W198)="","",INDEX('Per Invoice'!M$2:M$801,$W198)))</f>
        <v/>
      </c>
      <c r="N198" s="7">
        <f>IF($W198="","",IF(INDEX('Per Invoice'!N$2:N$801,$W198)="","",INDEX('Per Invoice'!N$2:N$801,$W198)))</f>
        <v/>
      </c>
      <c r="O198" s="7">
        <f>IF($W198="","",IF(INDEX('Per Invoice'!O$2:O$801,$W198)="","",INDEX('Per Invoice'!O$2:O$801,$W198)))</f>
        <v/>
      </c>
      <c r="P198">
        <f>IF($W198="","",IF(INDEX('Per Invoice'!P$2:P$801,$W198)="","",INDEX('Per Invoice'!P$2:P$801,$W198)))</f>
        <v/>
      </c>
      <c r="Q198" s="7">
        <f>IF($W198="","",IF(INDEX('Per Invoice'!Q$2:Q$801,$W198)="","",INDEX('Per Invoice'!Q$2:Q$801,$W198)))</f>
        <v/>
      </c>
      <c r="R198" s="7">
        <f>IF($W198="","",IF(INDEX('Per Invoice'!R$2:R$801,$W198)="","",INDEX('Per Invoice'!R$2:R$801,$W198)))</f>
        <v/>
      </c>
      <c r="S198" s="7">
        <f>IF($W198="","",IF(INDEX('Per Invoice'!S$2:S$801,$W198)="","",INDEX('Per Invoice'!S$2:S$801,$W198)))</f>
        <v/>
      </c>
      <c r="T198" s="7">
        <f>IF($W198="","",IF(INDEX('Per Invoice'!T$2:T$801,$W198)="","",INDEX('Per Invoice'!T$2:T$801,$W198)))</f>
        <v/>
      </c>
      <c r="U198" s="7">
        <f>IF($W198="","",IF(INDEX('Per Invoice'!U$2:U$801,$W198)="","",INDEX('Per Invoice'!U$2:U$801,$W198)))</f>
        <v/>
      </c>
      <c r="V198" s="7">
        <f>IF($W198="","",IF(INDEX('Per Invoice'!V$2:V$801,$W198)="","",INDEX('Per Invoice'!V$2:V$801,$W198)))</f>
        <v/>
      </c>
      <c r="W198" s="16">
        <f>IFERROR(MATCH(Settings!$C$32&amp;"|"&amp;ROWS($W$2:$W198),'Per Invoice'!$X$2:$X$801,0),"")</f>
        <v/>
      </c>
    </row>
    <row r="199">
      <c r="A199">
        <f>IF($W199="","",IF(INDEX('Per Invoice'!A$2:A$801,$W199)="","",INDEX('Per Invoice'!A$2:A$801,$W199)))</f>
        <v/>
      </c>
      <c r="B199">
        <f>IF($W199="","",IF(INDEX('Per Invoice'!B$2:B$801,$W199)="","",INDEX('Per Invoice'!B$2:B$801,$W199)))</f>
        <v/>
      </c>
      <c r="C199">
        <f>IF($W199="","",IF(INDEX('Per Invoice'!C$2:C$801,$W199)="","",INDEX('Per Invoice'!C$2:C$801,$W199)))</f>
        <v/>
      </c>
      <c r="D199">
        <f>IF($W199="","",IF(INDEX('Per Invoice'!D$2:D$801,$W199)="","",INDEX('Per Invoice'!D$2:D$801,$W199)))</f>
        <v/>
      </c>
      <c r="E199">
        <f>IF($W199="","",IF(INDEX('Per Invoice'!E$2:E$801,$W199)="","",INDEX('Per Invoice'!E$2:E$801,$W199)))</f>
        <v/>
      </c>
      <c r="F199">
        <f>IF($W199="","",IF(INDEX('Per Invoice'!F$2:F$801,$W199)="","",INDEX('Per Invoice'!F$2:F$801,$W199)))</f>
        <v/>
      </c>
      <c r="G199">
        <f>IF($W199="","",IF(INDEX('Per Invoice'!G$2:G$801,$W199)="","",INDEX('Per Invoice'!G$2:G$801,$W199)))</f>
        <v/>
      </c>
      <c r="H199">
        <f>IF($W199="","",IF(INDEX('Per Invoice'!H$2:H$801,$W199)="","",INDEX('Per Invoice'!H$2:H$801,$W199)))</f>
        <v/>
      </c>
      <c r="I199">
        <f>IF($W199="","",IF(INDEX('Per Invoice'!I$2:I$801,$W199)="","",INDEX('Per Invoice'!I$2:I$801,$W199)))</f>
        <v/>
      </c>
      <c r="J199">
        <f>IF($W199="","",IF(INDEX('Per Invoice'!J$2:J$801,$W199)="","",INDEX('Per Invoice'!J$2:J$801,$W199)))</f>
        <v/>
      </c>
      <c r="K199" s="7">
        <f>IF($W199="","",IF(INDEX('Per Invoice'!K$2:K$801,$W199)="","",INDEX('Per Invoice'!K$2:K$801,$W199)))</f>
        <v/>
      </c>
      <c r="L199" s="14">
        <f>IF($W199="","",IF(INDEX('Per Invoice'!L$2:L$801,$W199)="","",INDEX('Per Invoice'!L$2:L$801,$W199)))</f>
        <v/>
      </c>
      <c r="M199">
        <f>IF($W199="","",IF(INDEX('Per Invoice'!M$2:M$801,$W199)="","",INDEX('Per Invoice'!M$2:M$801,$W199)))</f>
        <v/>
      </c>
      <c r="N199" s="7">
        <f>IF($W199="","",IF(INDEX('Per Invoice'!N$2:N$801,$W199)="","",INDEX('Per Invoice'!N$2:N$801,$W199)))</f>
        <v/>
      </c>
      <c r="O199" s="7">
        <f>IF($W199="","",IF(INDEX('Per Invoice'!O$2:O$801,$W199)="","",INDEX('Per Invoice'!O$2:O$801,$W199)))</f>
        <v/>
      </c>
      <c r="P199">
        <f>IF($W199="","",IF(INDEX('Per Invoice'!P$2:P$801,$W199)="","",INDEX('Per Invoice'!P$2:P$801,$W199)))</f>
        <v/>
      </c>
      <c r="Q199" s="7">
        <f>IF($W199="","",IF(INDEX('Per Invoice'!Q$2:Q$801,$W199)="","",INDEX('Per Invoice'!Q$2:Q$801,$W199)))</f>
        <v/>
      </c>
      <c r="R199" s="7">
        <f>IF($W199="","",IF(INDEX('Per Invoice'!R$2:R$801,$W199)="","",INDEX('Per Invoice'!R$2:R$801,$W199)))</f>
        <v/>
      </c>
      <c r="S199" s="7">
        <f>IF($W199="","",IF(INDEX('Per Invoice'!S$2:S$801,$W199)="","",INDEX('Per Invoice'!S$2:S$801,$W199)))</f>
        <v/>
      </c>
      <c r="T199" s="7">
        <f>IF($W199="","",IF(INDEX('Per Invoice'!T$2:T$801,$W199)="","",INDEX('Per Invoice'!T$2:T$801,$W199)))</f>
        <v/>
      </c>
      <c r="U199" s="7">
        <f>IF($W199="","",IF(INDEX('Per Invoice'!U$2:U$801,$W199)="","",INDEX('Per Invoice'!U$2:U$801,$W199)))</f>
        <v/>
      </c>
      <c r="V199" s="7">
        <f>IF($W199="","",IF(INDEX('Per Invoice'!V$2:V$801,$W199)="","",INDEX('Per Invoice'!V$2:V$801,$W199)))</f>
        <v/>
      </c>
      <c r="W199" s="16">
        <f>IFERROR(MATCH(Settings!$C$32&amp;"|"&amp;ROWS($W$2:$W199),'Per Invoice'!$X$2:$X$801,0),"")</f>
        <v/>
      </c>
    </row>
    <row r="200">
      <c r="A200">
        <f>IF($W200="","",IF(INDEX('Per Invoice'!A$2:A$801,$W200)="","",INDEX('Per Invoice'!A$2:A$801,$W200)))</f>
        <v/>
      </c>
      <c r="B200">
        <f>IF($W200="","",IF(INDEX('Per Invoice'!B$2:B$801,$W200)="","",INDEX('Per Invoice'!B$2:B$801,$W200)))</f>
        <v/>
      </c>
      <c r="C200">
        <f>IF($W200="","",IF(INDEX('Per Invoice'!C$2:C$801,$W200)="","",INDEX('Per Invoice'!C$2:C$801,$W200)))</f>
        <v/>
      </c>
      <c r="D200">
        <f>IF($W200="","",IF(INDEX('Per Invoice'!D$2:D$801,$W200)="","",INDEX('Per Invoice'!D$2:D$801,$W200)))</f>
        <v/>
      </c>
      <c r="E200">
        <f>IF($W200="","",IF(INDEX('Per Invoice'!E$2:E$801,$W200)="","",INDEX('Per Invoice'!E$2:E$801,$W200)))</f>
        <v/>
      </c>
      <c r="F200">
        <f>IF($W200="","",IF(INDEX('Per Invoice'!F$2:F$801,$W200)="","",INDEX('Per Invoice'!F$2:F$801,$W200)))</f>
        <v/>
      </c>
      <c r="G200">
        <f>IF($W200="","",IF(INDEX('Per Invoice'!G$2:G$801,$W200)="","",INDEX('Per Invoice'!G$2:G$801,$W200)))</f>
        <v/>
      </c>
      <c r="H200">
        <f>IF($W200="","",IF(INDEX('Per Invoice'!H$2:H$801,$W200)="","",INDEX('Per Invoice'!H$2:H$801,$W200)))</f>
        <v/>
      </c>
      <c r="I200">
        <f>IF($W200="","",IF(INDEX('Per Invoice'!I$2:I$801,$W200)="","",INDEX('Per Invoice'!I$2:I$801,$W200)))</f>
        <v/>
      </c>
      <c r="J200">
        <f>IF($W200="","",IF(INDEX('Per Invoice'!J$2:J$801,$W200)="","",INDEX('Per Invoice'!J$2:J$801,$W200)))</f>
        <v/>
      </c>
      <c r="K200" s="7">
        <f>IF($W200="","",IF(INDEX('Per Invoice'!K$2:K$801,$W200)="","",INDEX('Per Invoice'!K$2:K$801,$W200)))</f>
        <v/>
      </c>
      <c r="L200" s="14">
        <f>IF($W200="","",IF(INDEX('Per Invoice'!L$2:L$801,$W200)="","",INDEX('Per Invoice'!L$2:L$801,$W200)))</f>
        <v/>
      </c>
      <c r="M200">
        <f>IF($W200="","",IF(INDEX('Per Invoice'!M$2:M$801,$W200)="","",INDEX('Per Invoice'!M$2:M$801,$W200)))</f>
        <v/>
      </c>
      <c r="N200" s="7">
        <f>IF($W200="","",IF(INDEX('Per Invoice'!N$2:N$801,$W200)="","",INDEX('Per Invoice'!N$2:N$801,$W200)))</f>
        <v/>
      </c>
      <c r="O200" s="7">
        <f>IF($W200="","",IF(INDEX('Per Invoice'!O$2:O$801,$W200)="","",INDEX('Per Invoice'!O$2:O$801,$W200)))</f>
        <v/>
      </c>
      <c r="P200">
        <f>IF($W200="","",IF(INDEX('Per Invoice'!P$2:P$801,$W200)="","",INDEX('Per Invoice'!P$2:P$801,$W200)))</f>
        <v/>
      </c>
      <c r="Q200" s="7">
        <f>IF($W200="","",IF(INDEX('Per Invoice'!Q$2:Q$801,$W200)="","",INDEX('Per Invoice'!Q$2:Q$801,$W200)))</f>
        <v/>
      </c>
      <c r="R200" s="7">
        <f>IF($W200="","",IF(INDEX('Per Invoice'!R$2:R$801,$W200)="","",INDEX('Per Invoice'!R$2:R$801,$W200)))</f>
        <v/>
      </c>
      <c r="S200" s="7">
        <f>IF($W200="","",IF(INDEX('Per Invoice'!S$2:S$801,$W200)="","",INDEX('Per Invoice'!S$2:S$801,$W200)))</f>
        <v/>
      </c>
      <c r="T200" s="7">
        <f>IF($W200="","",IF(INDEX('Per Invoice'!T$2:T$801,$W200)="","",INDEX('Per Invoice'!T$2:T$801,$W200)))</f>
        <v/>
      </c>
      <c r="U200" s="7">
        <f>IF($W200="","",IF(INDEX('Per Invoice'!U$2:U$801,$W200)="","",INDEX('Per Invoice'!U$2:U$801,$W200)))</f>
        <v/>
      </c>
      <c r="V200" s="7">
        <f>IF($W200="","",IF(INDEX('Per Invoice'!V$2:V$801,$W200)="","",INDEX('Per Invoice'!V$2:V$801,$W200)))</f>
        <v/>
      </c>
      <c r="W200" s="16">
        <f>IFERROR(MATCH(Settings!$C$32&amp;"|"&amp;ROWS($W$2:$W200),'Per Invoice'!$X$2:$X$801,0),"")</f>
        <v/>
      </c>
    </row>
    <row r="201">
      <c r="A201">
        <f>IF($W201="","",IF(INDEX('Per Invoice'!A$2:A$801,$W201)="","",INDEX('Per Invoice'!A$2:A$801,$W201)))</f>
        <v/>
      </c>
      <c r="B201">
        <f>IF($W201="","",IF(INDEX('Per Invoice'!B$2:B$801,$W201)="","",INDEX('Per Invoice'!B$2:B$801,$W201)))</f>
        <v/>
      </c>
      <c r="C201">
        <f>IF($W201="","",IF(INDEX('Per Invoice'!C$2:C$801,$W201)="","",INDEX('Per Invoice'!C$2:C$801,$W201)))</f>
        <v/>
      </c>
      <c r="D201">
        <f>IF($W201="","",IF(INDEX('Per Invoice'!D$2:D$801,$W201)="","",INDEX('Per Invoice'!D$2:D$801,$W201)))</f>
        <v/>
      </c>
      <c r="E201">
        <f>IF($W201="","",IF(INDEX('Per Invoice'!E$2:E$801,$W201)="","",INDEX('Per Invoice'!E$2:E$801,$W201)))</f>
        <v/>
      </c>
      <c r="F201">
        <f>IF($W201="","",IF(INDEX('Per Invoice'!F$2:F$801,$W201)="","",INDEX('Per Invoice'!F$2:F$801,$W201)))</f>
        <v/>
      </c>
      <c r="G201">
        <f>IF($W201="","",IF(INDEX('Per Invoice'!G$2:G$801,$W201)="","",INDEX('Per Invoice'!G$2:G$801,$W201)))</f>
        <v/>
      </c>
      <c r="H201">
        <f>IF($W201="","",IF(INDEX('Per Invoice'!H$2:H$801,$W201)="","",INDEX('Per Invoice'!H$2:H$801,$W201)))</f>
        <v/>
      </c>
      <c r="I201">
        <f>IF($W201="","",IF(INDEX('Per Invoice'!I$2:I$801,$W201)="","",INDEX('Per Invoice'!I$2:I$801,$W201)))</f>
        <v/>
      </c>
      <c r="J201">
        <f>IF($W201="","",IF(INDEX('Per Invoice'!J$2:J$801,$W201)="","",INDEX('Per Invoice'!J$2:J$801,$W201)))</f>
        <v/>
      </c>
      <c r="K201" s="7">
        <f>IF($W201="","",IF(INDEX('Per Invoice'!K$2:K$801,$W201)="","",INDEX('Per Invoice'!K$2:K$801,$W201)))</f>
        <v/>
      </c>
      <c r="L201" s="14">
        <f>IF($W201="","",IF(INDEX('Per Invoice'!L$2:L$801,$W201)="","",INDEX('Per Invoice'!L$2:L$801,$W201)))</f>
        <v/>
      </c>
      <c r="M201">
        <f>IF($W201="","",IF(INDEX('Per Invoice'!M$2:M$801,$W201)="","",INDEX('Per Invoice'!M$2:M$801,$W201)))</f>
        <v/>
      </c>
      <c r="N201" s="7">
        <f>IF($W201="","",IF(INDEX('Per Invoice'!N$2:N$801,$W201)="","",INDEX('Per Invoice'!N$2:N$801,$W201)))</f>
        <v/>
      </c>
      <c r="O201" s="7">
        <f>IF($W201="","",IF(INDEX('Per Invoice'!O$2:O$801,$W201)="","",INDEX('Per Invoice'!O$2:O$801,$W201)))</f>
        <v/>
      </c>
      <c r="P201">
        <f>IF($W201="","",IF(INDEX('Per Invoice'!P$2:P$801,$W201)="","",INDEX('Per Invoice'!P$2:P$801,$W201)))</f>
        <v/>
      </c>
      <c r="Q201" s="7">
        <f>IF($W201="","",IF(INDEX('Per Invoice'!Q$2:Q$801,$W201)="","",INDEX('Per Invoice'!Q$2:Q$801,$W201)))</f>
        <v/>
      </c>
      <c r="R201" s="7">
        <f>IF($W201="","",IF(INDEX('Per Invoice'!R$2:R$801,$W201)="","",INDEX('Per Invoice'!R$2:R$801,$W201)))</f>
        <v/>
      </c>
      <c r="S201" s="7">
        <f>IF($W201="","",IF(INDEX('Per Invoice'!S$2:S$801,$W201)="","",INDEX('Per Invoice'!S$2:S$801,$W201)))</f>
        <v/>
      </c>
      <c r="T201" s="7">
        <f>IF($W201="","",IF(INDEX('Per Invoice'!T$2:T$801,$W201)="","",INDEX('Per Invoice'!T$2:T$801,$W201)))</f>
        <v/>
      </c>
      <c r="U201" s="7">
        <f>IF($W201="","",IF(INDEX('Per Invoice'!U$2:U$801,$W201)="","",INDEX('Per Invoice'!U$2:U$801,$W201)))</f>
        <v/>
      </c>
      <c r="V201" s="7">
        <f>IF($W201="","",IF(INDEX('Per Invoice'!V$2:V$801,$W201)="","",INDEX('Per Invoice'!V$2:V$801,$W201)))</f>
        <v/>
      </c>
      <c r="W201" s="16">
        <f>IFERROR(MATCH(Settings!$C$32&amp;"|"&amp;ROWS($W$2:$W201),'Per Invoice'!$X$2:$X$801,0),"")</f>
        <v/>
      </c>
    </row>
    <row r="202">
      <c r="A202">
        <f>IF($W202="","",IF(INDEX('Per Invoice'!A$2:A$801,$W202)="","",INDEX('Per Invoice'!A$2:A$801,$W202)))</f>
        <v/>
      </c>
      <c r="B202">
        <f>IF($W202="","",IF(INDEX('Per Invoice'!B$2:B$801,$W202)="","",INDEX('Per Invoice'!B$2:B$801,$W202)))</f>
        <v/>
      </c>
      <c r="C202">
        <f>IF($W202="","",IF(INDEX('Per Invoice'!C$2:C$801,$W202)="","",INDEX('Per Invoice'!C$2:C$801,$W202)))</f>
        <v/>
      </c>
      <c r="D202">
        <f>IF($W202="","",IF(INDEX('Per Invoice'!D$2:D$801,$W202)="","",INDEX('Per Invoice'!D$2:D$801,$W202)))</f>
        <v/>
      </c>
      <c r="E202">
        <f>IF($W202="","",IF(INDEX('Per Invoice'!E$2:E$801,$W202)="","",INDEX('Per Invoice'!E$2:E$801,$W202)))</f>
        <v/>
      </c>
      <c r="F202">
        <f>IF($W202="","",IF(INDEX('Per Invoice'!F$2:F$801,$W202)="","",INDEX('Per Invoice'!F$2:F$801,$W202)))</f>
        <v/>
      </c>
      <c r="G202">
        <f>IF($W202="","",IF(INDEX('Per Invoice'!G$2:G$801,$W202)="","",INDEX('Per Invoice'!G$2:G$801,$W202)))</f>
        <v/>
      </c>
      <c r="H202">
        <f>IF($W202="","",IF(INDEX('Per Invoice'!H$2:H$801,$W202)="","",INDEX('Per Invoice'!H$2:H$801,$W202)))</f>
        <v/>
      </c>
      <c r="I202">
        <f>IF($W202="","",IF(INDEX('Per Invoice'!I$2:I$801,$W202)="","",INDEX('Per Invoice'!I$2:I$801,$W202)))</f>
        <v/>
      </c>
      <c r="J202">
        <f>IF($W202="","",IF(INDEX('Per Invoice'!J$2:J$801,$W202)="","",INDEX('Per Invoice'!J$2:J$801,$W202)))</f>
        <v/>
      </c>
      <c r="K202" s="7">
        <f>IF($W202="","",IF(INDEX('Per Invoice'!K$2:K$801,$W202)="","",INDEX('Per Invoice'!K$2:K$801,$W202)))</f>
        <v/>
      </c>
      <c r="L202" s="14">
        <f>IF($W202="","",IF(INDEX('Per Invoice'!L$2:L$801,$W202)="","",INDEX('Per Invoice'!L$2:L$801,$W202)))</f>
        <v/>
      </c>
      <c r="M202">
        <f>IF($W202="","",IF(INDEX('Per Invoice'!M$2:M$801,$W202)="","",INDEX('Per Invoice'!M$2:M$801,$W202)))</f>
        <v/>
      </c>
      <c r="N202" s="7">
        <f>IF($W202="","",IF(INDEX('Per Invoice'!N$2:N$801,$W202)="","",INDEX('Per Invoice'!N$2:N$801,$W202)))</f>
        <v/>
      </c>
      <c r="O202" s="7">
        <f>IF($W202="","",IF(INDEX('Per Invoice'!O$2:O$801,$W202)="","",INDEX('Per Invoice'!O$2:O$801,$W202)))</f>
        <v/>
      </c>
      <c r="P202">
        <f>IF($W202="","",IF(INDEX('Per Invoice'!P$2:P$801,$W202)="","",INDEX('Per Invoice'!P$2:P$801,$W202)))</f>
        <v/>
      </c>
      <c r="Q202" s="7">
        <f>IF($W202="","",IF(INDEX('Per Invoice'!Q$2:Q$801,$W202)="","",INDEX('Per Invoice'!Q$2:Q$801,$W202)))</f>
        <v/>
      </c>
      <c r="R202" s="7">
        <f>IF($W202="","",IF(INDEX('Per Invoice'!R$2:R$801,$W202)="","",INDEX('Per Invoice'!R$2:R$801,$W202)))</f>
        <v/>
      </c>
      <c r="S202" s="7">
        <f>IF($W202="","",IF(INDEX('Per Invoice'!S$2:S$801,$W202)="","",INDEX('Per Invoice'!S$2:S$801,$W202)))</f>
        <v/>
      </c>
      <c r="T202" s="7">
        <f>IF($W202="","",IF(INDEX('Per Invoice'!T$2:T$801,$W202)="","",INDEX('Per Invoice'!T$2:T$801,$W202)))</f>
        <v/>
      </c>
      <c r="U202" s="7">
        <f>IF($W202="","",IF(INDEX('Per Invoice'!U$2:U$801,$W202)="","",INDEX('Per Invoice'!U$2:U$801,$W202)))</f>
        <v/>
      </c>
      <c r="V202" s="7">
        <f>IF($W202="","",IF(INDEX('Per Invoice'!V$2:V$801,$W202)="","",INDEX('Per Invoice'!V$2:V$801,$W202)))</f>
        <v/>
      </c>
      <c r="W202" s="16">
        <f>IFERROR(MATCH(Settings!$C$32&amp;"|"&amp;ROWS($W$2:$W202),'Per Invoice'!$X$2:$X$801,0),"")</f>
        <v/>
      </c>
    </row>
    <row r="203">
      <c r="A203">
        <f>IF($W203="","",IF(INDEX('Per Invoice'!A$2:A$801,$W203)="","",INDEX('Per Invoice'!A$2:A$801,$W203)))</f>
        <v/>
      </c>
      <c r="B203">
        <f>IF($W203="","",IF(INDEX('Per Invoice'!B$2:B$801,$W203)="","",INDEX('Per Invoice'!B$2:B$801,$W203)))</f>
        <v/>
      </c>
      <c r="C203">
        <f>IF($W203="","",IF(INDEX('Per Invoice'!C$2:C$801,$W203)="","",INDEX('Per Invoice'!C$2:C$801,$W203)))</f>
        <v/>
      </c>
      <c r="D203">
        <f>IF($W203="","",IF(INDEX('Per Invoice'!D$2:D$801,$W203)="","",INDEX('Per Invoice'!D$2:D$801,$W203)))</f>
        <v/>
      </c>
      <c r="E203">
        <f>IF($W203="","",IF(INDEX('Per Invoice'!E$2:E$801,$W203)="","",INDEX('Per Invoice'!E$2:E$801,$W203)))</f>
        <v/>
      </c>
      <c r="F203">
        <f>IF($W203="","",IF(INDEX('Per Invoice'!F$2:F$801,$W203)="","",INDEX('Per Invoice'!F$2:F$801,$W203)))</f>
        <v/>
      </c>
      <c r="G203">
        <f>IF($W203="","",IF(INDEX('Per Invoice'!G$2:G$801,$W203)="","",INDEX('Per Invoice'!G$2:G$801,$W203)))</f>
        <v/>
      </c>
      <c r="H203">
        <f>IF($W203="","",IF(INDEX('Per Invoice'!H$2:H$801,$W203)="","",INDEX('Per Invoice'!H$2:H$801,$W203)))</f>
        <v/>
      </c>
      <c r="I203">
        <f>IF($W203="","",IF(INDEX('Per Invoice'!I$2:I$801,$W203)="","",INDEX('Per Invoice'!I$2:I$801,$W203)))</f>
        <v/>
      </c>
      <c r="J203">
        <f>IF($W203="","",IF(INDEX('Per Invoice'!J$2:J$801,$W203)="","",INDEX('Per Invoice'!J$2:J$801,$W203)))</f>
        <v/>
      </c>
      <c r="K203" s="7">
        <f>IF($W203="","",IF(INDEX('Per Invoice'!K$2:K$801,$W203)="","",INDEX('Per Invoice'!K$2:K$801,$W203)))</f>
        <v/>
      </c>
      <c r="L203" s="14">
        <f>IF($W203="","",IF(INDEX('Per Invoice'!L$2:L$801,$W203)="","",INDEX('Per Invoice'!L$2:L$801,$W203)))</f>
        <v/>
      </c>
      <c r="M203">
        <f>IF($W203="","",IF(INDEX('Per Invoice'!M$2:M$801,$W203)="","",INDEX('Per Invoice'!M$2:M$801,$W203)))</f>
        <v/>
      </c>
      <c r="N203" s="7">
        <f>IF($W203="","",IF(INDEX('Per Invoice'!N$2:N$801,$W203)="","",INDEX('Per Invoice'!N$2:N$801,$W203)))</f>
        <v/>
      </c>
      <c r="O203" s="7">
        <f>IF($W203="","",IF(INDEX('Per Invoice'!O$2:O$801,$W203)="","",INDEX('Per Invoice'!O$2:O$801,$W203)))</f>
        <v/>
      </c>
      <c r="P203">
        <f>IF($W203="","",IF(INDEX('Per Invoice'!P$2:P$801,$W203)="","",INDEX('Per Invoice'!P$2:P$801,$W203)))</f>
        <v/>
      </c>
      <c r="Q203" s="7">
        <f>IF($W203="","",IF(INDEX('Per Invoice'!Q$2:Q$801,$W203)="","",INDEX('Per Invoice'!Q$2:Q$801,$W203)))</f>
        <v/>
      </c>
      <c r="R203" s="7">
        <f>IF($W203="","",IF(INDEX('Per Invoice'!R$2:R$801,$W203)="","",INDEX('Per Invoice'!R$2:R$801,$W203)))</f>
        <v/>
      </c>
      <c r="S203" s="7">
        <f>IF($W203="","",IF(INDEX('Per Invoice'!S$2:S$801,$W203)="","",INDEX('Per Invoice'!S$2:S$801,$W203)))</f>
        <v/>
      </c>
      <c r="T203" s="7">
        <f>IF($W203="","",IF(INDEX('Per Invoice'!T$2:T$801,$W203)="","",INDEX('Per Invoice'!T$2:T$801,$W203)))</f>
        <v/>
      </c>
      <c r="U203" s="7">
        <f>IF($W203="","",IF(INDEX('Per Invoice'!U$2:U$801,$W203)="","",INDEX('Per Invoice'!U$2:U$801,$W203)))</f>
        <v/>
      </c>
      <c r="V203" s="7">
        <f>IF($W203="","",IF(INDEX('Per Invoice'!V$2:V$801,$W203)="","",INDEX('Per Invoice'!V$2:V$801,$W203)))</f>
        <v/>
      </c>
      <c r="W203" s="16">
        <f>IFERROR(MATCH(Settings!$C$32&amp;"|"&amp;ROWS($W$2:$W203),'Per Invoice'!$X$2:$X$801,0),"")</f>
        <v/>
      </c>
    </row>
    <row r="204">
      <c r="A204">
        <f>IF($W204="","",IF(INDEX('Per Invoice'!A$2:A$801,$W204)="","",INDEX('Per Invoice'!A$2:A$801,$W204)))</f>
        <v/>
      </c>
      <c r="B204">
        <f>IF($W204="","",IF(INDEX('Per Invoice'!B$2:B$801,$W204)="","",INDEX('Per Invoice'!B$2:B$801,$W204)))</f>
        <v/>
      </c>
      <c r="C204">
        <f>IF($W204="","",IF(INDEX('Per Invoice'!C$2:C$801,$W204)="","",INDEX('Per Invoice'!C$2:C$801,$W204)))</f>
        <v/>
      </c>
      <c r="D204">
        <f>IF($W204="","",IF(INDEX('Per Invoice'!D$2:D$801,$W204)="","",INDEX('Per Invoice'!D$2:D$801,$W204)))</f>
        <v/>
      </c>
      <c r="E204">
        <f>IF($W204="","",IF(INDEX('Per Invoice'!E$2:E$801,$W204)="","",INDEX('Per Invoice'!E$2:E$801,$W204)))</f>
        <v/>
      </c>
      <c r="F204">
        <f>IF($W204="","",IF(INDEX('Per Invoice'!F$2:F$801,$W204)="","",INDEX('Per Invoice'!F$2:F$801,$W204)))</f>
        <v/>
      </c>
      <c r="G204">
        <f>IF($W204="","",IF(INDEX('Per Invoice'!G$2:G$801,$W204)="","",INDEX('Per Invoice'!G$2:G$801,$W204)))</f>
        <v/>
      </c>
      <c r="H204">
        <f>IF($W204="","",IF(INDEX('Per Invoice'!H$2:H$801,$W204)="","",INDEX('Per Invoice'!H$2:H$801,$W204)))</f>
        <v/>
      </c>
      <c r="I204">
        <f>IF($W204="","",IF(INDEX('Per Invoice'!I$2:I$801,$W204)="","",INDEX('Per Invoice'!I$2:I$801,$W204)))</f>
        <v/>
      </c>
      <c r="J204">
        <f>IF($W204="","",IF(INDEX('Per Invoice'!J$2:J$801,$W204)="","",INDEX('Per Invoice'!J$2:J$801,$W204)))</f>
        <v/>
      </c>
      <c r="K204" s="7">
        <f>IF($W204="","",IF(INDEX('Per Invoice'!K$2:K$801,$W204)="","",INDEX('Per Invoice'!K$2:K$801,$W204)))</f>
        <v/>
      </c>
      <c r="L204" s="14">
        <f>IF($W204="","",IF(INDEX('Per Invoice'!L$2:L$801,$W204)="","",INDEX('Per Invoice'!L$2:L$801,$W204)))</f>
        <v/>
      </c>
      <c r="M204">
        <f>IF($W204="","",IF(INDEX('Per Invoice'!M$2:M$801,$W204)="","",INDEX('Per Invoice'!M$2:M$801,$W204)))</f>
        <v/>
      </c>
      <c r="N204" s="7">
        <f>IF($W204="","",IF(INDEX('Per Invoice'!N$2:N$801,$W204)="","",INDEX('Per Invoice'!N$2:N$801,$W204)))</f>
        <v/>
      </c>
      <c r="O204" s="7">
        <f>IF($W204="","",IF(INDEX('Per Invoice'!O$2:O$801,$W204)="","",INDEX('Per Invoice'!O$2:O$801,$W204)))</f>
        <v/>
      </c>
      <c r="P204">
        <f>IF($W204="","",IF(INDEX('Per Invoice'!P$2:P$801,$W204)="","",INDEX('Per Invoice'!P$2:P$801,$W204)))</f>
        <v/>
      </c>
      <c r="Q204" s="7">
        <f>IF($W204="","",IF(INDEX('Per Invoice'!Q$2:Q$801,$W204)="","",INDEX('Per Invoice'!Q$2:Q$801,$W204)))</f>
        <v/>
      </c>
      <c r="R204" s="7">
        <f>IF($W204="","",IF(INDEX('Per Invoice'!R$2:R$801,$W204)="","",INDEX('Per Invoice'!R$2:R$801,$W204)))</f>
        <v/>
      </c>
      <c r="S204" s="7">
        <f>IF($W204="","",IF(INDEX('Per Invoice'!S$2:S$801,$W204)="","",INDEX('Per Invoice'!S$2:S$801,$W204)))</f>
        <v/>
      </c>
      <c r="T204" s="7">
        <f>IF($W204="","",IF(INDEX('Per Invoice'!T$2:T$801,$W204)="","",INDEX('Per Invoice'!T$2:T$801,$W204)))</f>
        <v/>
      </c>
      <c r="U204" s="7">
        <f>IF($W204="","",IF(INDEX('Per Invoice'!U$2:U$801,$W204)="","",INDEX('Per Invoice'!U$2:U$801,$W204)))</f>
        <v/>
      </c>
      <c r="V204" s="7">
        <f>IF($W204="","",IF(INDEX('Per Invoice'!V$2:V$801,$W204)="","",INDEX('Per Invoice'!V$2:V$801,$W204)))</f>
        <v/>
      </c>
      <c r="W204" s="16">
        <f>IFERROR(MATCH(Settings!$C$32&amp;"|"&amp;ROWS($W$2:$W204),'Per Invoice'!$X$2:$X$801,0),"")</f>
        <v/>
      </c>
    </row>
    <row r="205">
      <c r="A205">
        <f>IF($W205="","",IF(INDEX('Per Invoice'!A$2:A$801,$W205)="","",INDEX('Per Invoice'!A$2:A$801,$W205)))</f>
        <v/>
      </c>
      <c r="B205">
        <f>IF($W205="","",IF(INDEX('Per Invoice'!B$2:B$801,$W205)="","",INDEX('Per Invoice'!B$2:B$801,$W205)))</f>
        <v/>
      </c>
      <c r="C205">
        <f>IF($W205="","",IF(INDEX('Per Invoice'!C$2:C$801,$W205)="","",INDEX('Per Invoice'!C$2:C$801,$W205)))</f>
        <v/>
      </c>
      <c r="D205">
        <f>IF($W205="","",IF(INDEX('Per Invoice'!D$2:D$801,$W205)="","",INDEX('Per Invoice'!D$2:D$801,$W205)))</f>
        <v/>
      </c>
      <c r="E205">
        <f>IF($W205="","",IF(INDEX('Per Invoice'!E$2:E$801,$W205)="","",INDEX('Per Invoice'!E$2:E$801,$W205)))</f>
        <v/>
      </c>
      <c r="F205">
        <f>IF($W205="","",IF(INDEX('Per Invoice'!F$2:F$801,$W205)="","",INDEX('Per Invoice'!F$2:F$801,$W205)))</f>
        <v/>
      </c>
      <c r="G205">
        <f>IF($W205="","",IF(INDEX('Per Invoice'!G$2:G$801,$W205)="","",INDEX('Per Invoice'!G$2:G$801,$W205)))</f>
        <v/>
      </c>
      <c r="H205">
        <f>IF($W205="","",IF(INDEX('Per Invoice'!H$2:H$801,$W205)="","",INDEX('Per Invoice'!H$2:H$801,$W205)))</f>
        <v/>
      </c>
      <c r="I205">
        <f>IF($W205="","",IF(INDEX('Per Invoice'!I$2:I$801,$W205)="","",INDEX('Per Invoice'!I$2:I$801,$W205)))</f>
        <v/>
      </c>
      <c r="J205">
        <f>IF($W205="","",IF(INDEX('Per Invoice'!J$2:J$801,$W205)="","",INDEX('Per Invoice'!J$2:J$801,$W205)))</f>
        <v/>
      </c>
      <c r="K205" s="7">
        <f>IF($W205="","",IF(INDEX('Per Invoice'!K$2:K$801,$W205)="","",INDEX('Per Invoice'!K$2:K$801,$W205)))</f>
        <v/>
      </c>
      <c r="L205" s="14">
        <f>IF($W205="","",IF(INDEX('Per Invoice'!L$2:L$801,$W205)="","",INDEX('Per Invoice'!L$2:L$801,$W205)))</f>
        <v/>
      </c>
      <c r="M205">
        <f>IF($W205="","",IF(INDEX('Per Invoice'!M$2:M$801,$W205)="","",INDEX('Per Invoice'!M$2:M$801,$W205)))</f>
        <v/>
      </c>
      <c r="N205" s="7">
        <f>IF($W205="","",IF(INDEX('Per Invoice'!N$2:N$801,$W205)="","",INDEX('Per Invoice'!N$2:N$801,$W205)))</f>
        <v/>
      </c>
      <c r="O205" s="7">
        <f>IF($W205="","",IF(INDEX('Per Invoice'!O$2:O$801,$W205)="","",INDEX('Per Invoice'!O$2:O$801,$W205)))</f>
        <v/>
      </c>
      <c r="P205">
        <f>IF($W205="","",IF(INDEX('Per Invoice'!P$2:P$801,$W205)="","",INDEX('Per Invoice'!P$2:P$801,$W205)))</f>
        <v/>
      </c>
      <c r="Q205" s="7">
        <f>IF($W205="","",IF(INDEX('Per Invoice'!Q$2:Q$801,$W205)="","",INDEX('Per Invoice'!Q$2:Q$801,$W205)))</f>
        <v/>
      </c>
      <c r="R205" s="7">
        <f>IF($W205="","",IF(INDEX('Per Invoice'!R$2:R$801,$W205)="","",INDEX('Per Invoice'!R$2:R$801,$W205)))</f>
        <v/>
      </c>
      <c r="S205" s="7">
        <f>IF($W205="","",IF(INDEX('Per Invoice'!S$2:S$801,$W205)="","",INDEX('Per Invoice'!S$2:S$801,$W205)))</f>
        <v/>
      </c>
      <c r="T205" s="7">
        <f>IF($W205="","",IF(INDEX('Per Invoice'!T$2:T$801,$W205)="","",INDEX('Per Invoice'!T$2:T$801,$W205)))</f>
        <v/>
      </c>
      <c r="U205" s="7">
        <f>IF($W205="","",IF(INDEX('Per Invoice'!U$2:U$801,$W205)="","",INDEX('Per Invoice'!U$2:U$801,$W205)))</f>
        <v/>
      </c>
      <c r="V205" s="7">
        <f>IF($W205="","",IF(INDEX('Per Invoice'!V$2:V$801,$W205)="","",INDEX('Per Invoice'!V$2:V$801,$W205)))</f>
        <v/>
      </c>
      <c r="W205" s="16">
        <f>IFERROR(MATCH(Settings!$C$32&amp;"|"&amp;ROWS($W$2:$W205),'Per Invoice'!$X$2:$X$801,0),"")</f>
        <v/>
      </c>
    </row>
    <row r="206">
      <c r="A206">
        <f>IF($W206="","",IF(INDEX('Per Invoice'!A$2:A$801,$W206)="","",INDEX('Per Invoice'!A$2:A$801,$W206)))</f>
        <v/>
      </c>
      <c r="B206">
        <f>IF($W206="","",IF(INDEX('Per Invoice'!B$2:B$801,$W206)="","",INDEX('Per Invoice'!B$2:B$801,$W206)))</f>
        <v/>
      </c>
      <c r="C206">
        <f>IF($W206="","",IF(INDEX('Per Invoice'!C$2:C$801,$W206)="","",INDEX('Per Invoice'!C$2:C$801,$W206)))</f>
        <v/>
      </c>
      <c r="D206">
        <f>IF($W206="","",IF(INDEX('Per Invoice'!D$2:D$801,$W206)="","",INDEX('Per Invoice'!D$2:D$801,$W206)))</f>
        <v/>
      </c>
      <c r="E206">
        <f>IF($W206="","",IF(INDEX('Per Invoice'!E$2:E$801,$W206)="","",INDEX('Per Invoice'!E$2:E$801,$W206)))</f>
        <v/>
      </c>
      <c r="F206">
        <f>IF($W206="","",IF(INDEX('Per Invoice'!F$2:F$801,$W206)="","",INDEX('Per Invoice'!F$2:F$801,$W206)))</f>
        <v/>
      </c>
      <c r="G206">
        <f>IF($W206="","",IF(INDEX('Per Invoice'!G$2:G$801,$W206)="","",INDEX('Per Invoice'!G$2:G$801,$W206)))</f>
        <v/>
      </c>
      <c r="H206">
        <f>IF($W206="","",IF(INDEX('Per Invoice'!H$2:H$801,$W206)="","",INDEX('Per Invoice'!H$2:H$801,$W206)))</f>
        <v/>
      </c>
      <c r="I206">
        <f>IF($W206="","",IF(INDEX('Per Invoice'!I$2:I$801,$W206)="","",INDEX('Per Invoice'!I$2:I$801,$W206)))</f>
        <v/>
      </c>
      <c r="J206">
        <f>IF($W206="","",IF(INDEX('Per Invoice'!J$2:J$801,$W206)="","",INDEX('Per Invoice'!J$2:J$801,$W206)))</f>
        <v/>
      </c>
      <c r="K206" s="7">
        <f>IF($W206="","",IF(INDEX('Per Invoice'!K$2:K$801,$W206)="","",INDEX('Per Invoice'!K$2:K$801,$W206)))</f>
        <v/>
      </c>
      <c r="L206" s="14">
        <f>IF($W206="","",IF(INDEX('Per Invoice'!L$2:L$801,$W206)="","",INDEX('Per Invoice'!L$2:L$801,$W206)))</f>
        <v/>
      </c>
      <c r="M206">
        <f>IF($W206="","",IF(INDEX('Per Invoice'!M$2:M$801,$W206)="","",INDEX('Per Invoice'!M$2:M$801,$W206)))</f>
        <v/>
      </c>
      <c r="N206" s="7">
        <f>IF($W206="","",IF(INDEX('Per Invoice'!N$2:N$801,$W206)="","",INDEX('Per Invoice'!N$2:N$801,$W206)))</f>
        <v/>
      </c>
      <c r="O206" s="7">
        <f>IF($W206="","",IF(INDEX('Per Invoice'!O$2:O$801,$W206)="","",INDEX('Per Invoice'!O$2:O$801,$W206)))</f>
        <v/>
      </c>
      <c r="P206">
        <f>IF($W206="","",IF(INDEX('Per Invoice'!P$2:P$801,$W206)="","",INDEX('Per Invoice'!P$2:P$801,$W206)))</f>
        <v/>
      </c>
      <c r="Q206" s="7">
        <f>IF($W206="","",IF(INDEX('Per Invoice'!Q$2:Q$801,$W206)="","",INDEX('Per Invoice'!Q$2:Q$801,$W206)))</f>
        <v/>
      </c>
      <c r="R206" s="7">
        <f>IF($W206="","",IF(INDEX('Per Invoice'!R$2:R$801,$W206)="","",INDEX('Per Invoice'!R$2:R$801,$W206)))</f>
        <v/>
      </c>
      <c r="S206" s="7">
        <f>IF($W206="","",IF(INDEX('Per Invoice'!S$2:S$801,$W206)="","",INDEX('Per Invoice'!S$2:S$801,$W206)))</f>
        <v/>
      </c>
      <c r="T206" s="7">
        <f>IF($W206="","",IF(INDEX('Per Invoice'!T$2:T$801,$W206)="","",INDEX('Per Invoice'!T$2:T$801,$W206)))</f>
        <v/>
      </c>
      <c r="U206" s="7">
        <f>IF($W206="","",IF(INDEX('Per Invoice'!U$2:U$801,$W206)="","",INDEX('Per Invoice'!U$2:U$801,$W206)))</f>
        <v/>
      </c>
      <c r="V206" s="7">
        <f>IF($W206="","",IF(INDEX('Per Invoice'!V$2:V$801,$W206)="","",INDEX('Per Invoice'!V$2:V$801,$W206)))</f>
        <v/>
      </c>
      <c r="W206" s="16">
        <f>IFERROR(MATCH(Settings!$C$32&amp;"|"&amp;ROWS($W$2:$W206),'Per Invoice'!$X$2:$X$801,0),"")</f>
        <v/>
      </c>
    </row>
    <row r="207">
      <c r="A207">
        <f>IF($W207="","",IF(INDEX('Per Invoice'!A$2:A$801,$W207)="","",INDEX('Per Invoice'!A$2:A$801,$W207)))</f>
        <v/>
      </c>
      <c r="B207">
        <f>IF($W207="","",IF(INDEX('Per Invoice'!B$2:B$801,$W207)="","",INDEX('Per Invoice'!B$2:B$801,$W207)))</f>
        <v/>
      </c>
      <c r="C207">
        <f>IF($W207="","",IF(INDEX('Per Invoice'!C$2:C$801,$W207)="","",INDEX('Per Invoice'!C$2:C$801,$W207)))</f>
        <v/>
      </c>
      <c r="D207">
        <f>IF($W207="","",IF(INDEX('Per Invoice'!D$2:D$801,$W207)="","",INDEX('Per Invoice'!D$2:D$801,$W207)))</f>
        <v/>
      </c>
      <c r="E207">
        <f>IF($W207="","",IF(INDEX('Per Invoice'!E$2:E$801,$W207)="","",INDEX('Per Invoice'!E$2:E$801,$W207)))</f>
        <v/>
      </c>
      <c r="F207">
        <f>IF($W207="","",IF(INDEX('Per Invoice'!F$2:F$801,$W207)="","",INDEX('Per Invoice'!F$2:F$801,$W207)))</f>
        <v/>
      </c>
      <c r="G207">
        <f>IF($W207="","",IF(INDEX('Per Invoice'!G$2:G$801,$W207)="","",INDEX('Per Invoice'!G$2:G$801,$W207)))</f>
        <v/>
      </c>
      <c r="H207">
        <f>IF($W207="","",IF(INDEX('Per Invoice'!H$2:H$801,$W207)="","",INDEX('Per Invoice'!H$2:H$801,$W207)))</f>
        <v/>
      </c>
      <c r="I207">
        <f>IF($W207="","",IF(INDEX('Per Invoice'!I$2:I$801,$W207)="","",INDEX('Per Invoice'!I$2:I$801,$W207)))</f>
        <v/>
      </c>
      <c r="J207">
        <f>IF($W207="","",IF(INDEX('Per Invoice'!J$2:J$801,$W207)="","",INDEX('Per Invoice'!J$2:J$801,$W207)))</f>
        <v/>
      </c>
      <c r="K207" s="7">
        <f>IF($W207="","",IF(INDEX('Per Invoice'!K$2:K$801,$W207)="","",INDEX('Per Invoice'!K$2:K$801,$W207)))</f>
        <v/>
      </c>
      <c r="L207" s="14">
        <f>IF($W207="","",IF(INDEX('Per Invoice'!L$2:L$801,$W207)="","",INDEX('Per Invoice'!L$2:L$801,$W207)))</f>
        <v/>
      </c>
      <c r="M207">
        <f>IF($W207="","",IF(INDEX('Per Invoice'!M$2:M$801,$W207)="","",INDEX('Per Invoice'!M$2:M$801,$W207)))</f>
        <v/>
      </c>
      <c r="N207" s="7">
        <f>IF($W207="","",IF(INDEX('Per Invoice'!N$2:N$801,$W207)="","",INDEX('Per Invoice'!N$2:N$801,$W207)))</f>
        <v/>
      </c>
      <c r="O207" s="7">
        <f>IF($W207="","",IF(INDEX('Per Invoice'!O$2:O$801,$W207)="","",INDEX('Per Invoice'!O$2:O$801,$W207)))</f>
        <v/>
      </c>
      <c r="P207">
        <f>IF($W207="","",IF(INDEX('Per Invoice'!P$2:P$801,$W207)="","",INDEX('Per Invoice'!P$2:P$801,$W207)))</f>
        <v/>
      </c>
      <c r="Q207" s="7">
        <f>IF($W207="","",IF(INDEX('Per Invoice'!Q$2:Q$801,$W207)="","",INDEX('Per Invoice'!Q$2:Q$801,$W207)))</f>
        <v/>
      </c>
      <c r="R207" s="7">
        <f>IF($W207="","",IF(INDEX('Per Invoice'!R$2:R$801,$W207)="","",INDEX('Per Invoice'!R$2:R$801,$W207)))</f>
        <v/>
      </c>
      <c r="S207" s="7">
        <f>IF($W207="","",IF(INDEX('Per Invoice'!S$2:S$801,$W207)="","",INDEX('Per Invoice'!S$2:S$801,$W207)))</f>
        <v/>
      </c>
      <c r="T207" s="7">
        <f>IF($W207="","",IF(INDEX('Per Invoice'!T$2:T$801,$W207)="","",INDEX('Per Invoice'!T$2:T$801,$W207)))</f>
        <v/>
      </c>
      <c r="U207" s="7">
        <f>IF($W207="","",IF(INDEX('Per Invoice'!U$2:U$801,$W207)="","",INDEX('Per Invoice'!U$2:U$801,$W207)))</f>
        <v/>
      </c>
      <c r="V207" s="7">
        <f>IF($W207="","",IF(INDEX('Per Invoice'!V$2:V$801,$W207)="","",INDEX('Per Invoice'!V$2:V$801,$W207)))</f>
        <v/>
      </c>
      <c r="W207" s="16">
        <f>IFERROR(MATCH(Settings!$C$32&amp;"|"&amp;ROWS($W$2:$W207),'Per Invoice'!$X$2:$X$801,0),"")</f>
        <v/>
      </c>
    </row>
    <row r="208">
      <c r="A208">
        <f>IF($W208="","",IF(INDEX('Per Invoice'!A$2:A$801,$W208)="","",INDEX('Per Invoice'!A$2:A$801,$W208)))</f>
        <v/>
      </c>
      <c r="B208">
        <f>IF($W208="","",IF(INDEX('Per Invoice'!B$2:B$801,$W208)="","",INDEX('Per Invoice'!B$2:B$801,$W208)))</f>
        <v/>
      </c>
      <c r="C208">
        <f>IF($W208="","",IF(INDEX('Per Invoice'!C$2:C$801,$W208)="","",INDEX('Per Invoice'!C$2:C$801,$W208)))</f>
        <v/>
      </c>
      <c r="D208">
        <f>IF($W208="","",IF(INDEX('Per Invoice'!D$2:D$801,$W208)="","",INDEX('Per Invoice'!D$2:D$801,$W208)))</f>
        <v/>
      </c>
      <c r="E208">
        <f>IF($W208="","",IF(INDEX('Per Invoice'!E$2:E$801,$W208)="","",INDEX('Per Invoice'!E$2:E$801,$W208)))</f>
        <v/>
      </c>
      <c r="F208">
        <f>IF($W208="","",IF(INDEX('Per Invoice'!F$2:F$801,$W208)="","",INDEX('Per Invoice'!F$2:F$801,$W208)))</f>
        <v/>
      </c>
      <c r="G208">
        <f>IF($W208="","",IF(INDEX('Per Invoice'!G$2:G$801,$W208)="","",INDEX('Per Invoice'!G$2:G$801,$W208)))</f>
        <v/>
      </c>
      <c r="H208">
        <f>IF($W208="","",IF(INDEX('Per Invoice'!H$2:H$801,$W208)="","",INDEX('Per Invoice'!H$2:H$801,$W208)))</f>
        <v/>
      </c>
      <c r="I208">
        <f>IF($W208="","",IF(INDEX('Per Invoice'!I$2:I$801,$W208)="","",INDEX('Per Invoice'!I$2:I$801,$W208)))</f>
        <v/>
      </c>
      <c r="J208">
        <f>IF($W208="","",IF(INDEX('Per Invoice'!J$2:J$801,$W208)="","",INDEX('Per Invoice'!J$2:J$801,$W208)))</f>
        <v/>
      </c>
      <c r="K208" s="7">
        <f>IF($W208="","",IF(INDEX('Per Invoice'!K$2:K$801,$W208)="","",INDEX('Per Invoice'!K$2:K$801,$W208)))</f>
        <v/>
      </c>
      <c r="L208" s="14">
        <f>IF($W208="","",IF(INDEX('Per Invoice'!L$2:L$801,$W208)="","",INDEX('Per Invoice'!L$2:L$801,$W208)))</f>
        <v/>
      </c>
      <c r="M208">
        <f>IF($W208="","",IF(INDEX('Per Invoice'!M$2:M$801,$W208)="","",INDEX('Per Invoice'!M$2:M$801,$W208)))</f>
        <v/>
      </c>
      <c r="N208" s="7">
        <f>IF($W208="","",IF(INDEX('Per Invoice'!N$2:N$801,$W208)="","",INDEX('Per Invoice'!N$2:N$801,$W208)))</f>
        <v/>
      </c>
      <c r="O208" s="7">
        <f>IF($W208="","",IF(INDEX('Per Invoice'!O$2:O$801,$W208)="","",INDEX('Per Invoice'!O$2:O$801,$W208)))</f>
        <v/>
      </c>
      <c r="P208">
        <f>IF($W208="","",IF(INDEX('Per Invoice'!P$2:P$801,$W208)="","",INDEX('Per Invoice'!P$2:P$801,$W208)))</f>
        <v/>
      </c>
      <c r="Q208" s="7">
        <f>IF($W208="","",IF(INDEX('Per Invoice'!Q$2:Q$801,$W208)="","",INDEX('Per Invoice'!Q$2:Q$801,$W208)))</f>
        <v/>
      </c>
      <c r="R208" s="7">
        <f>IF($W208="","",IF(INDEX('Per Invoice'!R$2:R$801,$W208)="","",INDEX('Per Invoice'!R$2:R$801,$W208)))</f>
        <v/>
      </c>
      <c r="S208" s="7">
        <f>IF($W208="","",IF(INDEX('Per Invoice'!S$2:S$801,$W208)="","",INDEX('Per Invoice'!S$2:S$801,$W208)))</f>
        <v/>
      </c>
      <c r="T208" s="7">
        <f>IF($W208="","",IF(INDEX('Per Invoice'!T$2:T$801,$W208)="","",INDEX('Per Invoice'!T$2:T$801,$W208)))</f>
        <v/>
      </c>
      <c r="U208" s="7">
        <f>IF($W208="","",IF(INDEX('Per Invoice'!U$2:U$801,$W208)="","",INDEX('Per Invoice'!U$2:U$801,$W208)))</f>
        <v/>
      </c>
      <c r="V208" s="7">
        <f>IF($W208="","",IF(INDEX('Per Invoice'!V$2:V$801,$W208)="","",INDEX('Per Invoice'!V$2:V$801,$W208)))</f>
        <v/>
      </c>
      <c r="W208" s="16">
        <f>IFERROR(MATCH(Settings!$C$32&amp;"|"&amp;ROWS($W$2:$W208),'Per Invoice'!$X$2:$X$801,0),"")</f>
        <v/>
      </c>
    </row>
    <row r="209">
      <c r="A209">
        <f>IF($W209="","",IF(INDEX('Per Invoice'!A$2:A$801,$W209)="","",INDEX('Per Invoice'!A$2:A$801,$W209)))</f>
        <v/>
      </c>
      <c r="B209">
        <f>IF($W209="","",IF(INDEX('Per Invoice'!B$2:B$801,$W209)="","",INDEX('Per Invoice'!B$2:B$801,$W209)))</f>
        <v/>
      </c>
      <c r="C209">
        <f>IF($W209="","",IF(INDEX('Per Invoice'!C$2:C$801,$W209)="","",INDEX('Per Invoice'!C$2:C$801,$W209)))</f>
        <v/>
      </c>
      <c r="D209">
        <f>IF($W209="","",IF(INDEX('Per Invoice'!D$2:D$801,$W209)="","",INDEX('Per Invoice'!D$2:D$801,$W209)))</f>
        <v/>
      </c>
      <c r="E209">
        <f>IF($W209="","",IF(INDEX('Per Invoice'!E$2:E$801,$W209)="","",INDEX('Per Invoice'!E$2:E$801,$W209)))</f>
        <v/>
      </c>
      <c r="F209">
        <f>IF($W209="","",IF(INDEX('Per Invoice'!F$2:F$801,$W209)="","",INDEX('Per Invoice'!F$2:F$801,$W209)))</f>
        <v/>
      </c>
      <c r="G209">
        <f>IF($W209="","",IF(INDEX('Per Invoice'!G$2:G$801,$W209)="","",INDEX('Per Invoice'!G$2:G$801,$W209)))</f>
        <v/>
      </c>
      <c r="H209">
        <f>IF($W209="","",IF(INDEX('Per Invoice'!H$2:H$801,$W209)="","",INDEX('Per Invoice'!H$2:H$801,$W209)))</f>
        <v/>
      </c>
      <c r="I209">
        <f>IF($W209="","",IF(INDEX('Per Invoice'!I$2:I$801,$W209)="","",INDEX('Per Invoice'!I$2:I$801,$W209)))</f>
        <v/>
      </c>
      <c r="J209">
        <f>IF($W209="","",IF(INDEX('Per Invoice'!J$2:J$801,$W209)="","",INDEX('Per Invoice'!J$2:J$801,$W209)))</f>
        <v/>
      </c>
      <c r="K209" s="7">
        <f>IF($W209="","",IF(INDEX('Per Invoice'!K$2:K$801,$W209)="","",INDEX('Per Invoice'!K$2:K$801,$W209)))</f>
        <v/>
      </c>
      <c r="L209" s="14">
        <f>IF($W209="","",IF(INDEX('Per Invoice'!L$2:L$801,$W209)="","",INDEX('Per Invoice'!L$2:L$801,$W209)))</f>
        <v/>
      </c>
      <c r="M209">
        <f>IF($W209="","",IF(INDEX('Per Invoice'!M$2:M$801,$W209)="","",INDEX('Per Invoice'!M$2:M$801,$W209)))</f>
        <v/>
      </c>
      <c r="N209" s="7">
        <f>IF($W209="","",IF(INDEX('Per Invoice'!N$2:N$801,$W209)="","",INDEX('Per Invoice'!N$2:N$801,$W209)))</f>
        <v/>
      </c>
      <c r="O209" s="7">
        <f>IF($W209="","",IF(INDEX('Per Invoice'!O$2:O$801,$W209)="","",INDEX('Per Invoice'!O$2:O$801,$W209)))</f>
        <v/>
      </c>
      <c r="P209">
        <f>IF($W209="","",IF(INDEX('Per Invoice'!P$2:P$801,$W209)="","",INDEX('Per Invoice'!P$2:P$801,$W209)))</f>
        <v/>
      </c>
      <c r="Q209" s="7">
        <f>IF($W209="","",IF(INDEX('Per Invoice'!Q$2:Q$801,$W209)="","",INDEX('Per Invoice'!Q$2:Q$801,$W209)))</f>
        <v/>
      </c>
      <c r="R209" s="7">
        <f>IF($W209="","",IF(INDEX('Per Invoice'!R$2:R$801,$W209)="","",INDEX('Per Invoice'!R$2:R$801,$W209)))</f>
        <v/>
      </c>
      <c r="S209" s="7">
        <f>IF($W209="","",IF(INDEX('Per Invoice'!S$2:S$801,$W209)="","",INDEX('Per Invoice'!S$2:S$801,$W209)))</f>
        <v/>
      </c>
      <c r="T209" s="7">
        <f>IF($W209="","",IF(INDEX('Per Invoice'!T$2:T$801,$W209)="","",INDEX('Per Invoice'!T$2:T$801,$W209)))</f>
        <v/>
      </c>
      <c r="U209" s="7">
        <f>IF($W209="","",IF(INDEX('Per Invoice'!U$2:U$801,$W209)="","",INDEX('Per Invoice'!U$2:U$801,$W209)))</f>
        <v/>
      </c>
      <c r="V209" s="7">
        <f>IF($W209="","",IF(INDEX('Per Invoice'!V$2:V$801,$W209)="","",INDEX('Per Invoice'!V$2:V$801,$W209)))</f>
        <v/>
      </c>
      <c r="W209" s="16">
        <f>IFERROR(MATCH(Settings!$C$32&amp;"|"&amp;ROWS($W$2:$W209),'Per Invoice'!$X$2:$X$801,0),"")</f>
        <v/>
      </c>
    </row>
    <row r="210">
      <c r="A210">
        <f>IF($W210="","",IF(INDEX('Per Invoice'!A$2:A$801,$W210)="","",INDEX('Per Invoice'!A$2:A$801,$W210)))</f>
        <v/>
      </c>
      <c r="B210">
        <f>IF($W210="","",IF(INDEX('Per Invoice'!B$2:B$801,$W210)="","",INDEX('Per Invoice'!B$2:B$801,$W210)))</f>
        <v/>
      </c>
      <c r="C210">
        <f>IF($W210="","",IF(INDEX('Per Invoice'!C$2:C$801,$W210)="","",INDEX('Per Invoice'!C$2:C$801,$W210)))</f>
        <v/>
      </c>
      <c r="D210">
        <f>IF($W210="","",IF(INDEX('Per Invoice'!D$2:D$801,$W210)="","",INDEX('Per Invoice'!D$2:D$801,$W210)))</f>
        <v/>
      </c>
      <c r="E210">
        <f>IF($W210="","",IF(INDEX('Per Invoice'!E$2:E$801,$W210)="","",INDEX('Per Invoice'!E$2:E$801,$W210)))</f>
        <v/>
      </c>
      <c r="F210">
        <f>IF($W210="","",IF(INDEX('Per Invoice'!F$2:F$801,$W210)="","",INDEX('Per Invoice'!F$2:F$801,$W210)))</f>
        <v/>
      </c>
      <c r="G210">
        <f>IF($W210="","",IF(INDEX('Per Invoice'!G$2:G$801,$W210)="","",INDEX('Per Invoice'!G$2:G$801,$W210)))</f>
        <v/>
      </c>
      <c r="H210">
        <f>IF($W210="","",IF(INDEX('Per Invoice'!H$2:H$801,$W210)="","",INDEX('Per Invoice'!H$2:H$801,$W210)))</f>
        <v/>
      </c>
      <c r="I210">
        <f>IF($W210="","",IF(INDEX('Per Invoice'!I$2:I$801,$W210)="","",INDEX('Per Invoice'!I$2:I$801,$W210)))</f>
        <v/>
      </c>
      <c r="J210">
        <f>IF($W210="","",IF(INDEX('Per Invoice'!J$2:J$801,$W210)="","",INDEX('Per Invoice'!J$2:J$801,$W210)))</f>
        <v/>
      </c>
      <c r="K210" s="7">
        <f>IF($W210="","",IF(INDEX('Per Invoice'!K$2:K$801,$W210)="","",INDEX('Per Invoice'!K$2:K$801,$W210)))</f>
        <v/>
      </c>
      <c r="L210" s="14">
        <f>IF($W210="","",IF(INDEX('Per Invoice'!L$2:L$801,$W210)="","",INDEX('Per Invoice'!L$2:L$801,$W210)))</f>
        <v/>
      </c>
      <c r="M210">
        <f>IF($W210="","",IF(INDEX('Per Invoice'!M$2:M$801,$W210)="","",INDEX('Per Invoice'!M$2:M$801,$W210)))</f>
        <v/>
      </c>
      <c r="N210" s="7">
        <f>IF($W210="","",IF(INDEX('Per Invoice'!N$2:N$801,$W210)="","",INDEX('Per Invoice'!N$2:N$801,$W210)))</f>
        <v/>
      </c>
      <c r="O210" s="7">
        <f>IF($W210="","",IF(INDEX('Per Invoice'!O$2:O$801,$W210)="","",INDEX('Per Invoice'!O$2:O$801,$W210)))</f>
        <v/>
      </c>
      <c r="P210">
        <f>IF($W210="","",IF(INDEX('Per Invoice'!P$2:P$801,$W210)="","",INDEX('Per Invoice'!P$2:P$801,$W210)))</f>
        <v/>
      </c>
      <c r="Q210" s="7">
        <f>IF($W210="","",IF(INDEX('Per Invoice'!Q$2:Q$801,$W210)="","",INDEX('Per Invoice'!Q$2:Q$801,$W210)))</f>
        <v/>
      </c>
      <c r="R210" s="7">
        <f>IF($W210="","",IF(INDEX('Per Invoice'!R$2:R$801,$W210)="","",INDEX('Per Invoice'!R$2:R$801,$W210)))</f>
        <v/>
      </c>
      <c r="S210" s="7">
        <f>IF($W210="","",IF(INDEX('Per Invoice'!S$2:S$801,$W210)="","",INDEX('Per Invoice'!S$2:S$801,$W210)))</f>
        <v/>
      </c>
      <c r="T210" s="7">
        <f>IF($W210="","",IF(INDEX('Per Invoice'!T$2:T$801,$W210)="","",INDEX('Per Invoice'!T$2:T$801,$W210)))</f>
        <v/>
      </c>
      <c r="U210" s="7">
        <f>IF($W210="","",IF(INDEX('Per Invoice'!U$2:U$801,$W210)="","",INDEX('Per Invoice'!U$2:U$801,$W210)))</f>
        <v/>
      </c>
      <c r="V210" s="7">
        <f>IF($W210="","",IF(INDEX('Per Invoice'!V$2:V$801,$W210)="","",INDEX('Per Invoice'!V$2:V$801,$W210)))</f>
        <v/>
      </c>
      <c r="W210" s="16">
        <f>IFERROR(MATCH(Settings!$C$32&amp;"|"&amp;ROWS($W$2:$W210),'Per Invoice'!$X$2:$X$801,0),"")</f>
        <v/>
      </c>
    </row>
    <row r="211">
      <c r="A211">
        <f>IF($W211="","",IF(INDEX('Per Invoice'!A$2:A$801,$W211)="","",INDEX('Per Invoice'!A$2:A$801,$W211)))</f>
        <v/>
      </c>
      <c r="B211">
        <f>IF($W211="","",IF(INDEX('Per Invoice'!B$2:B$801,$W211)="","",INDEX('Per Invoice'!B$2:B$801,$W211)))</f>
        <v/>
      </c>
      <c r="C211">
        <f>IF($W211="","",IF(INDEX('Per Invoice'!C$2:C$801,$W211)="","",INDEX('Per Invoice'!C$2:C$801,$W211)))</f>
        <v/>
      </c>
      <c r="D211">
        <f>IF($W211="","",IF(INDEX('Per Invoice'!D$2:D$801,$W211)="","",INDEX('Per Invoice'!D$2:D$801,$W211)))</f>
        <v/>
      </c>
      <c r="E211">
        <f>IF($W211="","",IF(INDEX('Per Invoice'!E$2:E$801,$W211)="","",INDEX('Per Invoice'!E$2:E$801,$W211)))</f>
        <v/>
      </c>
      <c r="F211">
        <f>IF($W211="","",IF(INDEX('Per Invoice'!F$2:F$801,$W211)="","",INDEX('Per Invoice'!F$2:F$801,$W211)))</f>
        <v/>
      </c>
      <c r="G211">
        <f>IF($W211="","",IF(INDEX('Per Invoice'!G$2:G$801,$W211)="","",INDEX('Per Invoice'!G$2:G$801,$W211)))</f>
        <v/>
      </c>
      <c r="H211">
        <f>IF($W211="","",IF(INDEX('Per Invoice'!H$2:H$801,$W211)="","",INDEX('Per Invoice'!H$2:H$801,$W211)))</f>
        <v/>
      </c>
      <c r="I211">
        <f>IF($W211="","",IF(INDEX('Per Invoice'!I$2:I$801,$W211)="","",INDEX('Per Invoice'!I$2:I$801,$W211)))</f>
        <v/>
      </c>
      <c r="J211">
        <f>IF($W211="","",IF(INDEX('Per Invoice'!J$2:J$801,$W211)="","",INDEX('Per Invoice'!J$2:J$801,$W211)))</f>
        <v/>
      </c>
      <c r="K211" s="7">
        <f>IF($W211="","",IF(INDEX('Per Invoice'!K$2:K$801,$W211)="","",INDEX('Per Invoice'!K$2:K$801,$W211)))</f>
        <v/>
      </c>
      <c r="L211" s="14">
        <f>IF($W211="","",IF(INDEX('Per Invoice'!L$2:L$801,$W211)="","",INDEX('Per Invoice'!L$2:L$801,$W211)))</f>
        <v/>
      </c>
      <c r="M211">
        <f>IF($W211="","",IF(INDEX('Per Invoice'!M$2:M$801,$W211)="","",INDEX('Per Invoice'!M$2:M$801,$W211)))</f>
        <v/>
      </c>
      <c r="N211" s="7">
        <f>IF($W211="","",IF(INDEX('Per Invoice'!N$2:N$801,$W211)="","",INDEX('Per Invoice'!N$2:N$801,$W211)))</f>
        <v/>
      </c>
      <c r="O211" s="7">
        <f>IF($W211="","",IF(INDEX('Per Invoice'!O$2:O$801,$W211)="","",INDEX('Per Invoice'!O$2:O$801,$W211)))</f>
        <v/>
      </c>
      <c r="P211">
        <f>IF($W211="","",IF(INDEX('Per Invoice'!P$2:P$801,$W211)="","",INDEX('Per Invoice'!P$2:P$801,$W211)))</f>
        <v/>
      </c>
      <c r="Q211" s="7">
        <f>IF($W211="","",IF(INDEX('Per Invoice'!Q$2:Q$801,$W211)="","",INDEX('Per Invoice'!Q$2:Q$801,$W211)))</f>
        <v/>
      </c>
      <c r="R211" s="7">
        <f>IF($W211="","",IF(INDEX('Per Invoice'!R$2:R$801,$W211)="","",INDEX('Per Invoice'!R$2:R$801,$W211)))</f>
        <v/>
      </c>
      <c r="S211" s="7">
        <f>IF($W211="","",IF(INDEX('Per Invoice'!S$2:S$801,$W211)="","",INDEX('Per Invoice'!S$2:S$801,$W211)))</f>
        <v/>
      </c>
      <c r="T211" s="7">
        <f>IF($W211="","",IF(INDEX('Per Invoice'!T$2:T$801,$W211)="","",INDEX('Per Invoice'!T$2:T$801,$W211)))</f>
        <v/>
      </c>
      <c r="U211" s="7">
        <f>IF($W211="","",IF(INDEX('Per Invoice'!U$2:U$801,$W211)="","",INDEX('Per Invoice'!U$2:U$801,$W211)))</f>
        <v/>
      </c>
      <c r="V211" s="7">
        <f>IF($W211="","",IF(INDEX('Per Invoice'!V$2:V$801,$W211)="","",INDEX('Per Invoice'!V$2:V$801,$W211)))</f>
        <v/>
      </c>
      <c r="W211" s="16">
        <f>IFERROR(MATCH(Settings!$C$32&amp;"|"&amp;ROWS($W$2:$W211),'Per Invoice'!$X$2:$X$801,0),"")</f>
        <v/>
      </c>
    </row>
    <row r="212">
      <c r="A212">
        <f>IF($W212="","",IF(INDEX('Per Invoice'!A$2:A$801,$W212)="","",INDEX('Per Invoice'!A$2:A$801,$W212)))</f>
        <v/>
      </c>
      <c r="B212">
        <f>IF($W212="","",IF(INDEX('Per Invoice'!B$2:B$801,$W212)="","",INDEX('Per Invoice'!B$2:B$801,$W212)))</f>
        <v/>
      </c>
      <c r="C212">
        <f>IF($W212="","",IF(INDEX('Per Invoice'!C$2:C$801,$W212)="","",INDEX('Per Invoice'!C$2:C$801,$W212)))</f>
        <v/>
      </c>
      <c r="D212">
        <f>IF($W212="","",IF(INDEX('Per Invoice'!D$2:D$801,$W212)="","",INDEX('Per Invoice'!D$2:D$801,$W212)))</f>
        <v/>
      </c>
      <c r="E212">
        <f>IF($W212="","",IF(INDEX('Per Invoice'!E$2:E$801,$W212)="","",INDEX('Per Invoice'!E$2:E$801,$W212)))</f>
        <v/>
      </c>
      <c r="F212">
        <f>IF($W212="","",IF(INDEX('Per Invoice'!F$2:F$801,$W212)="","",INDEX('Per Invoice'!F$2:F$801,$W212)))</f>
        <v/>
      </c>
      <c r="G212">
        <f>IF($W212="","",IF(INDEX('Per Invoice'!G$2:G$801,$W212)="","",INDEX('Per Invoice'!G$2:G$801,$W212)))</f>
        <v/>
      </c>
      <c r="H212">
        <f>IF($W212="","",IF(INDEX('Per Invoice'!H$2:H$801,$W212)="","",INDEX('Per Invoice'!H$2:H$801,$W212)))</f>
        <v/>
      </c>
      <c r="I212">
        <f>IF($W212="","",IF(INDEX('Per Invoice'!I$2:I$801,$W212)="","",INDEX('Per Invoice'!I$2:I$801,$W212)))</f>
        <v/>
      </c>
      <c r="J212">
        <f>IF($W212="","",IF(INDEX('Per Invoice'!J$2:J$801,$W212)="","",INDEX('Per Invoice'!J$2:J$801,$W212)))</f>
        <v/>
      </c>
      <c r="K212" s="7">
        <f>IF($W212="","",IF(INDEX('Per Invoice'!K$2:K$801,$W212)="","",INDEX('Per Invoice'!K$2:K$801,$W212)))</f>
        <v/>
      </c>
      <c r="L212" s="14">
        <f>IF($W212="","",IF(INDEX('Per Invoice'!L$2:L$801,$W212)="","",INDEX('Per Invoice'!L$2:L$801,$W212)))</f>
        <v/>
      </c>
      <c r="M212">
        <f>IF($W212="","",IF(INDEX('Per Invoice'!M$2:M$801,$W212)="","",INDEX('Per Invoice'!M$2:M$801,$W212)))</f>
        <v/>
      </c>
      <c r="N212" s="7">
        <f>IF($W212="","",IF(INDEX('Per Invoice'!N$2:N$801,$W212)="","",INDEX('Per Invoice'!N$2:N$801,$W212)))</f>
        <v/>
      </c>
      <c r="O212" s="7">
        <f>IF($W212="","",IF(INDEX('Per Invoice'!O$2:O$801,$W212)="","",INDEX('Per Invoice'!O$2:O$801,$W212)))</f>
        <v/>
      </c>
      <c r="P212">
        <f>IF($W212="","",IF(INDEX('Per Invoice'!P$2:P$801,$W212)="","",INDEX('Per Invoice'!P$2:P$801,$W212)))</f>
        <v/>
      </c>
      <c r="Q212" s="7">
        <f>IF($W212="","",IF(INDEX('Per Invoice'!Q$2:Q$801,$W212)="","",INDEX('Per Invoice'!Q$2:Q$801,$W212)))</f>
        <v/>
      </c>
      <c r="R212" s="7">
        <f>IF($W212="","",IF(INDEX('Per Invoice'!R$2:R$801,$W212)="","",INDEX('Per Invoice'!R$2:R$801,$W212)))</f>
        <v/>
      </c>
      <c r="S212" s="7">
        <f>IF($W212="","",IF(INDEX('Per Invoice'!S$2:S$801,$W212)="","",INDEX('Per Invoice'!S$2:S$801,$W212)))</f>
        <v/>
      </c>
      <c r="T212" s="7">
        <f>IF($W212="","",IF(INDEX('Per Invoice'!T$2:T$801,$W212)="","",INDEX('Per Invoice'!T$2:T$801,$W212)))</f>
        <v/>
      </c>
      <c r="U212" s="7">
        <f>IF($W212="","",IF(INDEX('Per Invoice'!U$2:U$801,$W212)="","",INDEX('Per Invoice'!U$2:U$801,$W212)))</f>
        <v/>
      </c>
      <c r="V212" s="7">
        <f>IF($W212="","",IF(INDEX('Per Invoice'!V$2:V$801,$W212)="","",INDEX('Per Invoice'!V$2:V$801,$W212)))</f>
        <v/>
      </c>
      <c r="W212" s="16">
        <f>IFERROR(MATCH(Settings!$C$32&amp;"|"&amp;ROWS($W$2:$W212),'Per Invoice'!$X$2:$X$801,0),"")</f>
        <v/>
      </c>
    </row>
    <row r="213">
      <c r="A213">
        <f>IF($W213="","",IF(INDEX('Per Invoice'!A$2:A$801,$W213)="","",INDEX('Per Invoice'!A$2:A$801,$W213)))</f>
        <v/>
      </c>
      <c r="B213">
        <f>IF($W213="","",IF(INDEX('Per Invoice'!B$2:B$801,$W213)="","",INDEX('Per Invoice'!B$2:B$801,$W213)))</f>
        <v/>
      </c>
      <c r="C213">
        <f>IF($W213="","",IF(INDEX('Per Invoice'!C$2:C$801,$W213)="","",INDEX('Per Invoice'!C$2:C$801,$W213)))</f>
        <v/>
      </c>
      <c r="D213">
        <f>IF($W213="","",IF(INDEX('Per Invoice'!D$2:D$801,$W213)="","",INDEX('Per Invoice'!D$2:D$801,$W213)))</f>
        <v/>
      </c>
      <c r="E213">
        <f>IF($W213="","",IF(INDEX('Per Invoice'!E$2:E$801,$W213)="","",INDEX('Per Invoice'!E$2:E$801,$W213)))</f>
        <v/>
      </c>
      <c r="F213">
        <f>IF($W213="","",IF(INDEX('Per Invoice'!F$2:F$801,$W213)="","",INDEX('Per Invoice'!F$2:F$801,$W213)))</f>
        <v/>
      </c>
      <c r="G213">
        <f>IF($W213="","",IF(INDEX('Per Invoice'!G$2:G$801,$W213)="","",INDEX('Per Invoice'!G$2:G$801,$W213)))</f>
        <v/>
      </c>
      <c r="H213">
        <f>IF($W213="","",IF(INDEX('Per Invoice'!H$2:H$801,$W213)="","",INDEX('Per Invoice'!H$2:H$801,$W213)))</f>
        <v/>
      </c>
      <c r="I213">
        <f>IF($W213="","",IF(INDEX('Per Invoice'!I$2:I$801,$W213)="","",INDEX('Per Invoice'!I$2:I$801,$W213)))</f>
        <v/>
      </c>
      <c r="J213">
        <f>IF($W213="","",IF(INDEX('Per Invoice'!J$2:J$801,$W213)="","",INDEX('Per Invoice'!J$2:J$801,$W213)))</f>
        <v/>
      </c>
      <c r="K213" s="7">
        <f>IF($W213="","",IF(INDEX('Per Invoice'!K$2:K$801,$W213)="","",INDEX('Per Invoice'!K$2:K$801,$W213)))</f>
        <v/>
      </c>
      <c r="L213" s="14">
        <f>IF($W213="","",IF(INDEX('Per Invoice'!L$2:L$801,$W213)="","",INDEX('Per Invoice'!L$2:L$801,$W213)))</f>
        <v/>
      </c>
      <c r="M213">
        <f>IF($W213="","",IF(INDEX('Per Invoice'!M$2:M$801,$W213)="","",INDEX('Per Invoice'!M$2:M$801,$W213)))</f>
        <v/>
      </c>
      <c r="N213" s="7">
        <f>IF($W213="","",IF(INDEX('Per Invoice'!N$2:N$801,$W213)="","",INDEX('Per Invoice'!N$2:N$801,$W213)))</f>
        <v/>
      </c>
      <c r="O213" s="7">
        <f>IF($W213="","",IF(INDEX('Per Invoice'!O$2:O$801,$W213)="","",INDEX('Per Invoice'!O$2:O$801,$W213)))</f>
        <v/>
      </c>
      <c r="P213">
        <f>IF($W213="","",IF(INDEX('Per Invoice'!P$2:P$801,$W213)="","",INDEX('Per Invoice'!P$2:P$801,$W213)))</f>
        <v/>
      </c>
      <c r="Q213" s="7">
        <f>IF($W213="","",IF(INDEX('Per Invoice'!Q$2:Q$801,$W213)="","",INDEX('Per Invoice'!Q$2:Q$801,$W213)))</f>
        <v/>
      </c>
      <c r="R213" s="7">
        <f>IF($W213="","",IF(INDEX('Per Invoice'!R$2:R$801,$W213)="","",INDEX('Per Invoice'!R$2:R$801,$W213)))</f>
        <v/>
      </c>
      <c r="S213" s="7">
        <f>IF($W213="","",IF(INDEX('Per Invoice'!S$2:S$801,$W213)="","",INDEX('Per Invoice'!S$2:S$801,$W213)))</f>
        <v/>
      </c>
      <c r="T213" s="7">
        <f>IF($W213="","",IF(INDEX('Per Invoice'!T$2:T$801,$W213)="","",INDEX('Per Invoice'!T$2:T$801,$W213)))</f>
        <v/>
      </c>
      <c r="U213" s="7">
        <f>IF($W213="","",IF(INDEX('Per Invoice'!U$2:U$801,$W213)="","",INDEX('Per Invoice'!U$2:U$801,$W213)))</f>
        <v/>
      </c>
      <c r="V213" s="7">
        <f>IF($W213="","",IF(INDEX('Per Invoice'!V$2:V$801,$W213)="","",INDEX('Per Invoice'!V$2:V$801,$W213)))</f>
        <v/>
      </c>
      <c r="W213" s="16">
        <f>IFERROR(MATCH(Settings!$C$32&amp;"|"&amp;ROWS($W$2:$W213),'Per Invoice'!$X$2:$X$801,0),"")</f>
        <v/>
      </c>
    </row>
    <row r="214">
      <c r="A214">
        <f>IF($W214="","",IF(INDEX('Per Invoice'!A$2:A$801,$W214)="","",INDEX('Per Invoice'!A$2:A$801,$W214)))</f>
        <v/>
      </c>
      <c r="B214">
        <f>IF($W214="","",IF(INDEX('Per Invoice'!B$2:B$801,$W214)="","",INDEX('Per Invoice'!B$2:B$801,$W214)))</f>
        <v/>
      </c>
      <c r="C214">
        <f>IF($W214="","",IF(INDEX('Per Invoice'!C$2:C$801,$W214)="","",INDEX('Per Invoice'!C$2:C$801,$W214)))</f>
        <v/>
      </c>
      <c r="D214">
        <f>IF($W214="","",IF(INDEX('Per Invoice'!D$2:D$801,$W214)="","",INDEX('Per Invoice'!D$2:D$801,$W214)))</f>
        <v/>
      </c>
      <c r="E214">
        <f>IF($W214="","",IF(INDEX('Per Invoice'!E$2:E$801,$W214)="","",INDEX('Per Invoice'!E$2:E$801,$W214)))</f>
        <v/>
      </c>
      <c r="F214">
        <f>IF($W214="","",IF(INDEX('Per Invoice'!F$2:F$801,$W214)="","",INDEX('Per Invoice'!F$2:F$801,$W214)))</f>
        <v/>
      </c>
      <c r="G214">
        <f>IF($W214="","",IF(INDEX('Per Invoice'!G$2:G$801,$W214)="","",INDEX('Per Invoice'!G$2:G$801,$W214)))</f>
        <v/>
      </c>
      <c r="H214">
        <f>IF($W214="","",IF(INDEX('Per Invoice'!H$2:H$801,$W214)="","",INDEX('Per Invoice'!H$2:H$801,$W214)))</f>
        <v/>
      </c>
      <c r="I214">
        <f>IF($W214="","",IF(INDEX('Per Invoice'!I$2:I$801,$W214)="","",INDEX('Per Invoice'!I$2:I$801,$W214)))</f>
        <v/>
      </c>
      <c r="J214">
        <f>IF($W214="","",IF(INDEX('Per Invoice'!J$2:J$801,$W214)="","",INDEX('Per Invoice'!J$2:J$801,$W214)))</f>
        <v/>
      </c>
      <c r="K214" s="7">
        <f>IF($W214="","",IF(INDEX('Per Invoice'!K$2:K$801,$W214)="","",INDEX('Per Invoice'!K$2:K$801,$W214)))</f>
        <v/>
      </c>
      <c r="L214" s="14">
        <f>IF($W214="","",IF(INDEX('Per Invoice'!L$2:L$801,$W214)="","",INDEX('Per Invoice'!L$2:L$801,$W214)))</f>
        <v/>
      </c>
      <c r="M214">
        <f>IF($W214="","",IF(INDEX('Per Invoice'!M$2:M$801,$W214)="","",INDEX('Per Invoice'!M$2:M$801,$W214)))</f>
        <v/>
      </c>
      <c r="N214" s="7">
        <f>IF($W214="","",IF(INDEX('Per Invoice'!N$2:N$801,$W214)="","",INDEX('Per Invoice'!N$2:N$801,$W214)))</f>
        <v/>
      </c>
      <c r="O214" s="7">
        <f>IF($W214="","",IF(INDEX('Per Invoice'!O$2:O$801,$W214)="","",INDEX('Per Invoice'!O$2:O$801,$W214)))</f>
        <v/>
      </c>
      <c r="P214">
        <f>IF($W214="","",IF(INDEX('Per Invoice'!P$2:P$801,$W214)="","",INDEX('Per Invoice'!P$2:P$801,$W214)))</f>
        <v/>
      </c>
      <c r="Q214" s="7">
        <f>IF($W214="","",IF(INDEX('Per Invoice'!Q$2:Q$801,$W214)="","",INDEX('Per Invoice'!Q$2:Q$801,$W214)))</f>
        <v/>
      </c>
      <c r="R214" s="7">
        <f>IF($W214="","",IF(INDEX('Per Invoice'!R$2:R$801,$W214)="","",INDEX('Per Invoice'!R$2:R$801,$W214)))</f>
        <v/>
      </c>
      <c r="S214" s="7">
        <f>IF($W214="","",IF(INDEX('Per Invoice'!S$2:S$801,$W214)="","",INDEX('Per Invoice'!S$2:S$801,$W214)))</f>
        <v/>
      </c>
      <c r="T214" s="7">
        <f>IF($W214="","",IF(INDEX('Per Invoice'!T$2:T$801,$W214)="","",INDEX('Per Invoice'!T$2:T$801,$W214)))</f>
        <v/>
      </c>
      <c r="U214" s="7">
        <f>IF($W214="","",IF(INDEX('Per Invoice'!U$2:U$801,$W214)="","",INDEX('Per Invoice'!U$2:U$801,$W214)))</f>
        <v/>
      </c>
      <c r="V214" s="7">
        <f>IF($W214="","",IF(INDEX('Per Invoice'!V$2:V$801,$W214)="","",INDEX('Per Invoice'!V$2:V$801,$W214)))</f>
        <v/>
      </c>
      <c r="W214" s="16">
        <f>IFERROR(MATCH(Settings!$C$32&amp;"|"&amp;ROWS($W$2:$W214),'Per Invoice'!$X$2:$X$801,0),"")</f>
        <v/>
      </c>
    </row>
    <row r="215">
      <c r="A215">
        <f>IF($W215="","",IF(INDEX('Per Invoice'!A$2:A$801,$W215)="","",INDEX('Per Invoice'!A$2:A$801,$W215)))</f>
        <v/>
      </c>
      <c r="B215">
        <f>IF($W215="","",IF(INDEX('Per Invoice'!B$2:B$801,$W215)="","",INDEX('Per Invoice'!B$2:B$801,$W215)))</f>
        <v/>
      </c>
      <c r="C215">
        <f>IF($W215="","",IF(INDEX('Per Invoice'!C$2:C$801,$W215)="","",INDEX('Per Invoice'!C$2:C$801,$W215)))</f>
        <v/>
      </c>
      <c r="D215">
        <f>IF($W215="","",IF(INDEX('Per Invoice'!D$2:D$801,$W215)="","",INDEX('Per Invoice'!D$2:D$801,$W215)))</f>
        <v/>
      </c>
      <c r="E215">
        <f>IF($W215="","",IF(INDEX('Per Invoice'!E$2:E$801,$W215)="","",INDEX('Per Invoice'!E$2:E$801,$W215)))</f>
        <v/>
      </c>
      <c r="F215">
        <f>IF($W215="","",IF(INDEX('Per Invoice'!F$2:F$801,$W215)="","",INDEX('Per Invoice'!F$2:F$801,$W215)))</f>
        <v/>
      </c>
      <c r="G215">
        <f>IF($W215="","",IF(INDEX('Per Invoice'!G$2:G$801,$W215)="","",INDEX('Per Invoice'!G$2:G$801,$W215)))</f>
        <v/>
      </c>
      <c r="H215">
        <f>IF($W215="","",IF(INDEX('Per Invoice'!H$2:H$801,$W215)="","",INDEX('Per Invoice'!H$2:H$801,$W215)))</f>
        <v/>
      </c>
      <c r="I215">
        <f>IF($W215="","",IF(INDEX('Per Invoice'!I$2:I$801,$W215)="","",INDEX('Per Invoice'!I$2:I$801,$W215)))</f>
        <v/>
      </c>
      <c r="J215">
        <f>IF($W215="","",IF(INDEX('Per Invoice'!J$2:J$801,$W215)="","",INDEX('Per Invoice'!J$2:J$801,$W215)))</f>
        <v/>
      </c>
      <c r="K215" s="7">
        <f>IF($W215="","",IF(INDEX('Per Invoice'!K$2:K$801,$W215)="","",INDEX('Per Invoice'!K$2:K$801,$W215)))</f>
        <v/>
      </c>
      <c r="L215" s="14">
        <f>IF($W215="","",IF(INDEX('Per Invoice'!L$2:L$801,$W215)="","",INDEX('Per Invoice'!L$2:L$801,$W215)))</f>
        <v/>
      </c>
      <c r="M215">
        <f>IF($W215="","",IF(INDEX('Per Invoice'!M$2:M$801,$W215)="","",INDEX('Per Invoice'!M$2:M$801,$W215)))</f>
        <v/>
      </c>
      <c r="N215" s="7">
        <f>IF($W215="","",IF(INDEX('Per Invoice'!N$2:N$801,$W215)="","",INDEX('Per Invoice'!N$2:N$801,$W215)))</f>
        <v/>
      </c>
      <c r="O215" s="7">
        <f>IF($W215="","",IF(INDEX('Per Invoice'!O$2:O$801,$W215)="","",INDEX('Per Invoice'!O$2:O$801,$W215)))</f>
        <v/>
      </c>
      <c r="P215">
        <f>IF($W215="","",IF(INDEX('Per Invoice'!P$2:P$801,$W215)="","",INDEX('Per Invoice'!P$2:P$801,$W215)))</f>
        <v/>
      </c>
      <c r="Q215" s="7">
        <f>IF($W215="","",IF(INDEX('Per Invoice'!Q$2:Q$801,$W215)="","",INDEX('Per Invoice'!Q$2:Q$801,$W215)))</f>
        <v/>
      </c>
      <c r="R215" s="7">
        <f>IF($W215="","",IF(INDEX('Per Invoice'!R$2:R$801,$W215)="","",INDEX('Per Invoice'!R$2:R$801,$W215)))</f>
        <v/>
      </c>
      <c r="S215" s="7">
        <f>IF($W215="","",IF(INDEX('Per Invoice'!S$2:S$801,$W215)="","",INDEX('Per Invoice'!S$2:S$801,$W215)))</f>
        <v/>
      </c>
      <c r="T215" s="7">
        <f>IF($W215="","",IF(INDEX('Per Invoice'!T$2:T$801,$W215)="","",INDEX('Per Invoice'!T$2:T$801,$W215)))</f>
        <v/>
      </c>
      <c r="U215" s="7">
        <f>IF($W215="","",IF(INDEX('Per Invoice'!U$2:U$801,$W215)="","",INDEX('Per Invoice'!U$2:U$801,$W215)))</f>
        <v/>
      </c>
      <c r="V215" s="7">
        <f>IF($W215="","",IF(INDEX('Per Invoice'!V$2:V$801,$W215)="","",INDEX('Per Invoice'!V$2:V$801,$W215)))</f>
        <v/>
      </c>
      <c r="W215" s="16">
        <f>IFERROR(MATCH(Settings!$C$32&amp;"|"&amp;ROWS($W$2:$W215),'Per Invoice'!$X$2:$X$801,0),"")</f>
        <v/>
      </c>
    </row>
    <row r="216">
      <c r="A216">
        <f>IF($W216="","",IF(INDEX('Per Invoice'!A$2:A$801,$W216)="","",INDEX('Per Invoice'!A$2:A$801,$W216)))</f>
        <v/>
      </c>
      <c r="B216">
        <f>IF($W216="","",IF(INDEX('Per Invoice'!B$2:B$801,$W216)="","",INDEX('Per Invoice'!B$2:B$801,$W216)))</f>
        <v/>
      </c>
      <c r="C216">
        <f>IF($W216="","",IF(INDEX('Per Invoice'!C$2:C$801,$W216)="","",INDEX('Per Invoice'!C$2:C$801,$W216)))</f>
        <v/>
      </c>
      <c r="D216">
        <f>IF($W216="","",IF(INDEX('Per Invoice'!D$2:D$801,$W216)="","",INDEX('Per Invoice'!D$2:D$801,$W216)))</f>
        <v/>
      </c>
      <c r="E216">
        <f>IF($W216="","",IF(INDEX('Per Invoice'!E$2:E$801,$W216)="","",INDEX('Per Invoice'!E$2:E$801,$W216)))</f>
        <v/>
      </c>
      <c r="F216">
        <f>IF($W216="","",IF(INDEX('Per Invoice'!F$2:F$801,$W216)="","",INDEX('Per Invoice'!F$2:F$801,$W216)))</f>
        <v/>
      </c>
      <c r="G216">
        <f>IF($W216="","",IF(INDEX('Per Invoice'!G$2:G$801,$W216)="","",INDEX('Per Invoice'!G$2:G$801,$W216)))</f>
        <v/>
      </c>
      <c r="H216">
        <f>IF($W216="","",IF(INDEX('Per Invoice'!H$2:H$801,$W216)="","",INDEX('Per Invoice'!H$2:H$801,$W216)))</f>
        <v/>
      </c>
      <c r="I216">
        <f>IF($W216="","",IF(INDEX('Per Invoice'!I$2:I$801,$W216)="","",INDEX('Per Invoice'!I$2:I$801,$W216)))</f>
        <v/>
      </c>
      <c r="J216">
        <f>IF($W216="","",IF(INDEX('Per Invoice'!J$2:J$801,$W216)="","",INDEX('Per Invoice'!J$2:J$801,$W216)))</f>
        <v/>
      </c>
      <c r="K216" s="7">
        <f>IF($W216="","",IF(INDEX('Per Invoice'!K$2:K$801,$W216)="","",INDEX('Per Invoice'!K$2:K$801,$W216)))</f>
        <v/>
      </c>
      <c r="L216" s="14">
        <f>IF($W216="","",IF(INDEX('Per Invoice'!L$2:L$801,$W216)="","",INDEX('Per Invoice'!L$2:L$801,$W216)))</f>
        <v/>
      </c>
      <c r="M216">
        <f>IF($W216="","",IF(INDEX('Per Invoice'!M$2:M$801,$W216)="","",INDEX('Per Invoice'!M$2:M$801,$W216)))</f>
        <v/>
      </c>
      <c r="N216" s="7">
        <f>IF($W216="","",IF(INDEX('Per Invoice'!N$2:N$801,$W216)="","",INDEX('Per Invoice'!N$2:N$801,$W216)))</f>
        <v/>
      </c>
      <c r="O216" s="7">
        <f>IF($W216="","",IF(INDEX('Per Invoice'!O$2:O$801,$W216)="","",INDEX('Per Invoice'!O$2:O$801,$W216)))</f>
        <v/>
      </c>
      <c r="P216">
        <f>IF($W216="","",IF(INDEX('Per Invoice'!P$2:P$801,$W216)="","",INDEX('Per Invoice'!P$2:P$801,$W216)))</f>
        <v/>
      </c>
      <c r="Q216" s="7">
        <f>IF($W216="","",IF(INDEX('Per Invoice'!Q$2:Q$801,$W216)="","",INDEX('Per Invoice'!Q$2:Q$801,$W216)))</f>
        <v/>
      </c>
      <c r="R216" s="7">
        <f>IF($W216="","",IF(INDEX('Per Invoice'!R$2:R$801,$W216)="","",INDEX('Per Invoice'!R$2:R$801,$W216)))</f>
        <v/>
      </c>
      <c r="S216" s="7">
        <f>IF($W216="","",IF(INDEX('Per Invoice'!S$2:S$801,$W216)="","",INDEX('Per Invoice'!S$2:S$801,$W216)))</f>
        <v/>
      </c>
      <c r="T216" s="7">
        <f>IF($W216="","",IF(INDEX('Per Invoice'!T$2:T$801,$W216)="","",INDEX('Per Invoice'!T$2:T$801,$W216)))</f>
        <v/>
      </c>
      <c r="U216" s="7">
        <f>IF($W216="","",IF(INDEX('Per Invoice'!U$2:U$801,$W216)="","",INDEX('Per Invoice'!U$2:U$801,$W216)))</f>
        <v/>
      </c>
      <c r="V216" s="7">
        <f>IF($W216="","",IF(INDEX('Per Invoice'!V$2:V$801,$W216)="","",INDEX('Per Invoice'!V$2:V$801,$W216)))</f>
        <v/>
      </c>
      <c r="W216" s="16">
        <f>IFERROR(MATCH(Settings!$C$32&amp;"|"&amp;ROWS($W$2:$W216),'Per Invoice'!$X$2:$X$801,0),"")</f>
        <v/>
      </c>
    </row>
    <row r="217">
      <c r="A217">
        <f>IF($W217="","",IF(INDEX('Per Invoice'!A$2:A$801,$W217)="","",INDEX('Per Invoice'!A$2:A$801,$W217)))</f>
        <v/>
      </c>
      <c r="B217">
        <f>IF($W217="","",IF(INDEX('Per Invoice'!B$2:B$801,$W217)="","",INDEX('Per Invoice'!B$2:B$801,$W217)))</f>
        <v/>
      </c>
      <c r="C217">
        <f>IF($W217="","",IF(INDEX('Per Invoice'!C$2:C$801,$W217)="","",INDEX('Per Invoice'!C$2:C$801,$W217)))</f>
        <v/>
      </c>
      <c r="D217">
        <f>IF($W217="","",IF(INDEX('Per Invoice'!D$2:D$801,$W217)="","",INDEX('Per Invoice'!D$2:D$801,$W217)))</f>
        <v/>
      </c>
      <c r="E217">
        <f>IF($W217="","",IF(INDEX('Per Invoice'!E$2:E$801,$W217)="","",INDEX('Per Invoice'!E$2:E$801,$W217)))</f>
        <v/>
      </c>
      <c r="F217">
        <f>IF($W217="","",IF(INDEX('Per Invoice'!F$2:F$801,$W217)="","",INDEX('Per Invoice'!F$2:F$801,$W217)))</f>
        <v/>
      </c>
      <c r="G217">
        <f>IF($W217="","",IF(INDEX('Per Invoice'!G$2:G$801,$W217)="","",INDEX('Per Invoice'!G$2:G$801,$W217)))</f>
        <v/>
      </c>
      <c r="H217">
        <f>IF($W217="","",IF(INDEX('Per Invoice'!H$2:H$801,$W217)="","",INDEX('Per Invoice'!H$2:H$801,$W217)))</f>
        <v/>
      </c>
      <c r="I217">
        <f>IF($W217="","",IF(INDEX('Per Invoice'!I$2:I$801,$W217)="","",INDEX('Per Invoice'!I$2:I$801,$W217)))</f>
        <v/>
      </c>
      <c r="J217">
        <f>IF($W217="","",IF(INDEX('Per Invoice'!J$2:J$801,$W217)="","",INDEX('Per Invoice'!J$2:J$801,$W217)))</f>
        <v/>
      </c>
      <c r="K217" s="7">
        <f>IF($W217="","",IF(INDEX('Per Invoice'!K$2:K$801,$W217)="","",INDEX('Per Invoice'!K$2:K$801,$W217)))</f>
        <v/>
      </c>
      <c r="L217" s="14">
        <f>IF($W217="","",IF(INDEX('Per Invoice'!L$2:L$801,$W217)="","",INDEX('Per Invoice'!L$2:L$801,$W217)))</f>
        <v/>
      </c>
      <c r="M217">
        <f>IF($W217="","",IF(INDEX('Per Invoice'!M$2:M$801,$W217)="","",INDEX('Per Invoice'!M$2:M$801,$W217)))</f>
        <v/>
      </c>
      <c r="N217" s="7">
        <f>IF($W217="","",IF(INDEX('Per Invoice'!N$2:N$801,$W217)="","",INDEX('Per Invoice'!N$2:N$801,$W217)))</f>
        <v/>
      </c>
      <c r="O217" s="7">
        <f>IF($W217="","",IF(INDEX('Per Invoice'!O$2:O$801,$W217)="","",INDEX('Per Invoice'!O$2:O$801,$W217)))</f>
        <v/>
      </c>
      <c r="P217">
        <f>IF($W217="","",IF(INDEX('Per Invoice'!P$2:P$801,$W217)="","",INDEX('Per Invoice'!P$2:P$801,$W217)))</f>
        <v/>
      </c>
      <c r="Q217" s="7">
        <f>IF($W217="","",IF(INDEX('Per Invoice'!Q$2:Q$801,$W217)="","",INDEX('Per Invoice'!Q$2:Q$801,$W217)))</f>
        <v/>
      </c>
      <c r="R217" s="7">
        <f>IF($W217="","",IF(INDEX('Per Invoice'!R$2:R$801,$W217)="","",INDEX('Per Invoice'!R$2:R$801,$W217)))</f>
        <v/>
      </c>
      <c r="S217" s="7">
        <f>IF($W217="","",IF(INDEX('Per Invoice'!S$2:S$801,$W217)="","",INDEX('Per Invoice'!S$2:S$801,$W217)))</f>
        <v/>
      </c>
      <c r="T217" s="7">
        <f>IF($W217="","",IF(INDEX('Per Invoice'!T$2:T$801,$W217)="","",INDEX('Per Invoice'!T$2:T$801,$W217)))</f>
        <v/>
      </c>
      <c r="U217" s="7">
        <f>IF($W217="","",IF(INDEX('Per Invoice'!U$2:U$801,$W217)="","",INDEX('Per Invoice'!U$2:U$801,$W217)))</f>
        <v/>
      </c>
      <c r="V217" s="7">
        <f>IF($W217="","",IF(INDEX('Per Invoice'!V$2:V$801,$W217)="","",INDEX('Per Invoice'!V$2:V$801,$W217)))</f>
        <v/>
      </c>
      <c r="W217" s="16">
        <f>IFERROR(MATCH(Settings!$C$32&amp;"|"&amp;ROWS($W$2:$W217),'Per Invoice'!$X$2:$X$801,0),"")</f>
        <v/>
      </c>
    </row>
    <row r="218">
      <c r="A218">
        <f>IF($W218="","",IF(INDEX('Per Invoice'!A$2:A$801,$W218)="","",INDEX('Per Invoice'!A$2:A$801,$W218)))</f>
        <v/>
      </c>
      <c r="B218">
        <f>IF($W218="","",IF(INDEX('Per Invoice'!B$2:B$801,$W218)="","",INDEX('Per Invoice'!B$2:B$801,$W218)))</f>
        <v/>
      </c>
      <c r="C218">
        <f>IF($W218="","",IF(INDEX('Per Invoice'!C$2:C$801,$W218)="","",INDEX('Per Invoice'!C$2:C$801,$W218)))</f>
        <v/>
      </c>
      <c r="D218">
        <f>IF($W218="","",IF(INDEX('Per Invoice'!D$2:D$801,$W218)="","",INDEX('Per Invoice'!D$2:D$801,$W218)))</f>
        <v/>
      </c>
      <c r="E218">
        <f>IF($W218="","",IF(INDEX('Per Invoice'!E$2:E$801,$W218)="","",INDEX('Per Invoice'!E$2:E$801,$W218)))</f>
        <v/>
      </c>
      <c r="F218">
        <f>IF($W218="","",IF(INDEX('Per Invoice'!F$2:F$801,$W218)="","",INDEX('Per Invoice'!F$2:F$801,$W218)))</f>
        <v/>
      </c>
      <c r="G218">
        <f>IF($W218="","",IF(INDEX('Per Invoice'!G$2:G$801,$W218)="","",INDEX('Per Invoice'!G$2:G$801,$W218)))</f>
        <v/>
      </c>
      <c r="H218">
        <f>IF($W218="","",IF(INDEX('Per Invoice'!H$2:H$801,$W218)="","",INDEX('Per Invoice'!H$2:H$801,$W218)))</f>
        <v/>
      </c>
      <c r="I218">
        <f>IF($W218="","",IF(INDEX('Per Invoice'!I$2:I$801,$W218)="","",INDEX('Per Invoice'!I$2:I$801,$W218)))</f>
        <v/>
      </c>
      <c r="J218">
        <f>IF($W218="","",IF(INDEX('Per Invoice'!J$2:J$801,$W218)="","",INDEX('Per Invoice'!J$2:J$801,$W218)))</f>
        <v/>
      </c>
      <c r="K218" s="7">
        <f>IF($W218="","",IF(INDEX('Per Invoice'!K$2:K$801,$W218)="","",INDEX('Per Invoice'!K$2:K$801,$W218)))</f>
        <v/>
      </c>
      <c r="L218" s="14">
        <f>IF($W218="","",IF(INDEX('Per Invoice'!L$2:L$801,$W218)="","",INDEX('Per Invoice'!L$2:L$801,$W218)))</f>
        <v/>
      </c>
      <c r="M218">
        <f>IF($W218="","",IF(INDEX('Per Invoice'!M$2:M$801,$W218)="","",INDEX('Per Invoice'!M$2:M$801,$W218)))</f>
        <v/>
      </c>
      <c r="N218" s="7">
        <f>IF($W218="","",IF(INDEX('Per Invoice'!N$2:N$801,$W218)="","",INDEX('Per Invoice'!N$2:N$801,$W218)))</f>
        <v/>
      </c>
      <c r="O218" s="7">
        <f>IF($W218="","",IF(INDEX('Per Invoice'!O$2:O$801,$W218)="","",INDEX('Per Invoice'!O$2:O$801,$W218)))</f>
        <v/>
      </c>
      <c r="P218">
        <f>IF($W218="","",IF(INDEX('Per Invoice'!P$2:P$801,$W218)="","",INDEX('Per Invoice'!P$2:P$801,$W218)))</f>
        <v/>
      </c>
      <c r="Q218" s="7">
        <f>IF($W218="","",IF(INDEX('Per Invoice'!Q$2:Q$801,$W218)="","",INDEX('Per Invoice'!Q$2:Q$801,$W218)))</f>
        <v/>
      </c>
      <c r="R218" s="7">
        <f>IF($W218="","",IF(INDEX('Per Invoice'!R$2:R$801,$W218)="","",INDEX('Per Invoice'!R$2:R$801,$W218)))</f>
        <v/>
      </c>
      <c r="S218" s="7">
        <f>IF($W218="","",IF(INDEX('Per Invoice'!S$2:S$801,$W218)="","",INDEX('Per Invoice'!S$2:S$801,$W218)))</f>
        <v/>
      </c>
      <c r="T218" s="7">
        <f>IF($W218="","",IF(INDEX('Per Invoice'!T$2:T$801,$W218)="","",INDEX('Per Invoice'!T$2:T$801,$W218)))</f>
        <v/>
      </c>
      <c r="U218" s="7">
        <f>IF($W218="","",IF(INDEX('Per Invoice'!U$2:U$801,$W218)="","",INDEX('Per Invoice'!U$2:U$801,$W218)))</f>
        <v/>
      </c>
      <c r="V218" s="7">
        <f>IF($W218="","",IF(INDEX('Per Invoice'!V$2:V$801,$W218)="","",INDEX('Per Invoice'!V$2:V$801,$W218)))</f>
        <v/>
      </c>
      <c r="W218" s="16">
        <f>IFERROR(MATCH(Settings!$C$32&amp;"|"&amp;ROWS($W$2:$W218),'Per Invoice'!$X$2:$X$801,0),"")</f>
        <v/>
      </c>
    </row>
    <row r="219">
      <c r="A219">
        <f>IF($W219="","",IF(INDEX('Per Invoice'!A$2:A$801,$W219)="","",INDEX('Per Invoice'!A$2:A$801,$W219)))</f>
        <v/>
      </c>
      <c r="B219">
        <f>IF($W219="","",IF(INDEX('Per Invoice'!B$2:B$801,$W219)="","",INDEX('Per Invoice'!B$2:B$801,$W219)))</f>
        <v/>
      </c>
      <c r="C219">
        <f>IF($W219="","",IF(INDEX('Per Invoice'!C$2:C$801,$W219)="","",INDEX('Per Invoice'!C$2:C$801,$W219)))</f>
        <v/>
      </c>
      <c r="D219">
        <f>IF($W219="","",IF(INDEX('Per Invoice'!D$2:D$801,$W219)="","",INDEX('Per Invoice'!D$2:D$801,$W219)))</f>
        <v/>
      </c>
      <c r="E219">
        <f>IF($W219="","",IF(INDEX('Per Invoice'!E$2:E$801,$W219)="","",INDEX('Per Invoice'!E$2:E$801,$W219)))</f>
        <v/>
      </c>
      <c r="F219">
        <f>IF($W219="","",IF(INDEX('Per Invoice'!F$2:F$801,$W219)="","",INDEX('Per Invoice'!F$2:F$801,$W219)))</f>
        <v/>
      </c>
      <c r="G219">
        <f>IF($W219="","",IF(INDEX('Per Invoice'!G$2:G$801,$W219)="","",INDEX('Per Invoice'!G$2:G$801,$W219)))</f>
        <v/>
      </c>
      <c r="H219">
        <f>IF($W219="","",IF(INDEX('Per Invoice'!H$2:H$801,$W219)="","",INDEX('Per Invoice'!H$2:H$801,$W219)))</f>
        <v/>
      </c>
      <c r="I219">
        <f>IF($W219="","",IF(INDEX('Per Invoice'!I$2:I$801,$W219)="","",INDEX('Per Invoice'!I$2:I$801,$W219)))</f>
        <v/>
      </c>
      <c r="J219">
        <f>IF($W219="","",IF(INDEX('Per Invoice'!J$2:J$801,$W219)="","",INDEX('Per Invoice'!J$2:J$801,$W219)))</f>
        <v/>
      </c>
      <c r="K219" s="7">
        <f>IF($W219="","",IF(INDEX('Per Invoice'!K$2:K$801,$W219)="","",INDEX('Per Invoice'!K$2:K$801,$W219)))</f>
        <v/>
      </c>
      <c r="L219" s="14">
        <f>IF($W219="","",IF(INDEX('Per Invoice'!L$2:L$801,$W219)="","",INDEX('Per Invoice'!L$2:L$801,$W219)))</f>
        <v/>
      </c>
      <c r="M219">
        <f>IF($W219="","",IF(INDEX('Per Invoice'!M$2:M$801,$W219)="","",INDEX('Per Invoice'!M$2:M$801,$W219)))</f>
        <v/>
      </c>
      <c r="N219" s="7">
        <f>IF($W219="","",IF(INDEX('Per Invoice'!N$2:N$801,$W219)="","",INDEX('Per Invoice'!N$2:N$801,$W219)))</f>
        <v/>
      </c>
      <c r="O219" s="7">
        <f>IF($W219="","",IF(INDEX('Per Invoice'!O$2:O$801,$W219)="","",INDEX('Per Invoice'!O$2:O$801,$W219)))</f>
        <v/>
      </c>
      <c r="P219">
        <f>IF($W219="","",IF(INDEX('Per Invoice'!P$2:P$801,$W219)="","",INDEX('Per Invoice'!P$2:P$801,$W219)))</f>
        <v/>
      </c>
      <c r="Q219" s="7">
        <f>IF($W219="","",IF(INDEX('Per Invoice'!Q$2:Q$801,$W219)="","",INDEX('Per Invoice'!Q$2:Q$801,$W219)))</f>
        <v/>
      </c>
      <c r="R219" s="7">
        <f>IF($W219="","",IF(INDEX('Per Invoice'!R$2:R$801,$W219)="","",INDEX('Per Invoice'!R$2:R$801,$W219)))</f>
        <v/>
      </c>
      <c r="S219" s="7">
        <f>IF($W219="","",IF(INDEX('Per Invoice'!S$2:S$801,$W219)="","",INDEX('Per Invoice'!S$2:S$801,$W219)))</f>
        <v/>
      </c>
      <c r="T219" s="7">
        <f>IF($W219="","",IF(INDEX('Per Invoice'!T$2:T$801,$W219)="","",INDEX('Per Invoice'!T$2:T$801,$W219)))</f>
        <v/>
      </c>
      <c r="U219" s="7">
        <f>IF($W219="","",IF(INDEX('Per Invoice'!U$2:U$801,$W219)="","",INDEX('Per Invoice'!U$2:U$801,$W219)))</f>
        <v/>
      </c>
      <c r="V219" s="7">
        <f>IF($W219="","",IF(INDEX('Per Invoice'!V$2:V$801,$W219)="","",INDEX('Per Invoice'!V$2:V$801,$W219)))</f>
        <v/>
      </c>
      <c r="W219" s="16">
        <f>IFERROR(MATCH(Settings!$C$32&amp;"|"&amp;ROWS($W$2:$W219),'Per Invoice'!$X$2:$X$801,0),"")</f>
        <v/>
      </c>
    </row>
    <row r="220">
      <c r="A220">
        <f>IF($W220="","",IF(INDEX('Per Invoice'!A$2:A$801,$W220)="","",INDEX('Per Invoice'!A$2:A$801,$W220)))</f>
        <v/>
      </c>
      <c r="B220">
        <f>IF($W220="","",IF(INDEX('Per Invoice'!B$2:B$801,$W220)="","",INDEX('Per Invoice'!B$2:B$801,$W220)))</f>
        <v/>
      </c>
      <c r="C220">
        <f>IF($W220="","",IF(INDEX('Per Invoice'!C$2:C$801,$W220)="","",INDEX('Per Invoice'!C$2:C$801,$W220)))</f>
        <v/>
      </c>
      <c r="D220">
        <f>IF($W220="","",IF(INDEX('Per Invoice'!D$2:D$801,$W220)="","",INDEX('Per Invoice'!D$2:D$801,$W220)))</f>
        <v/>
      </c>
      <c r="E220">
        <f>IF($W220="","",IF(INDEX('Per Invoice'!E$2:E$801,$W220)="","",INDEX('Per Invoice'!E$2:E$801,$W220)))</f>
        <v/>
      </c>
      <c r="F220">
        <f>IF($W220="","",IF(INDEX('Per Invoice'!F$2:F$801,$W220)="","",INDEX('Per Invoice'!F$2:F$801,$W220)))</f>
        <v/>
      </c>
      <c r="G220">
        <f>IF($W220="","",IF(INDEX('Per Invoice'!G$2:G$801,$W220)="","",INDEX('Per Invoice'!G$2:G$801,$W220)))</f>
        <v/>
      </c>
      <c r="H220">
        <f>IF($W220="","",IF(INDEX('Per Invoice'!H$2:H$801,$W220)="","",INDEX('Per Invoice'!H$2:H$801,$W220)))</f>
        <v/>
      </c>
      <c r="I220">
        <f>IF($W220="","",IF(INDEX('Per Invoice'!I$2:I$801,$W220)="","",INDEX('Per Invoice'!I$2:I$801,$W220)))</f>
        <v/>
      </c>
      <c r="J220">
        <f>IF($W220="","",IF(INDEX('Per Invoice'!J$2:J$801,$W220)="","",INDEX('Per Invoice'!J$2:J$801,$W220)))</f>
        <v/>
      </c>
      <c r="K220" s="7">
        <f>IF($W220="","",IF(INDEX('Per Invoice'!K$2:K$801,$W220)="","",INDEX('Per Invoice'!K$2:K$801,$W220)))</f>
        <v/>
      </c>
      <c r="L220" s="14">
        <f>IF($W220="","",IF(INDEX('Per Invoice'!L$2:L$801,$W220)="","",INDEX('Per Invoice'!L$2:L$801,$W220)))</f>
        <v/>
      </c>
      <c r="M220">
        <f>IF($W220="","",IF(INDEX('Per Invoice'!M$2:M$801,$W220)="","",INDEX('Per Invoice'!M$2:M$801,$W220)))</f>
        <v/>
      </c>
      <c r="N220" s="7">
        <f>IF($W220="","",IF(INDEX('Per Invoice'!N$2:N$801,$W220)="","",INDEX('Per Invoice'!N$2:N$801,$W220)))</f>
        <v/>
      </c>
      <c r="O220" s="7">
        <f>IF($W220="","",IF(INDEX('Per Invoice'!O$2:O$801,$W220)="","",INDEX('Per Invoice'!O$2:O$801,$W220)))</f>
        <v/>
      </c>
      <c r="P220">
        <f>IF($W220="","",IF(INDEX('Per Invoice'!P$2:P$801,$W220)="","",INDEX('Per Invoice'!P$2:P$801,$W220)))</f>
        <v/>
      </c>
      <c r="Q220" s="7">
        <f>IF($W220="","",IF(INDEX('Per Invoice'!Q$2:Q$801,$W220)="","",INDEX('Per Invoice'!Q$2:Q$801,$W220)))</f>
        <v/>
      </c>
      <c r="R220" s="7">
        <f>IF($W220="","",IF(INDEX('Per Invoice'!R$2:R$801,$W220)="","",INDEX('Per Invoice'!R$2:R$801,$W220)))</f>
        <v/>
      </c>
      <c r="S220" s="7">
        <f>IF($W220="","",IF(INDEX('Per Invoice'!S$2:S$801,$W220)="","",INDEX('Per Invoice'!S$2:S$801,$W220)))</f>
        <v/>
      </c>
      <c r="T220" s="7">
        <f>IF($W220="","",IF(INDEX('Per Invoice'!T$2:T$801,$W220)="","",INDEX('Per Invoice'!T$2:T$801,$W220)))</f>
        <v/>
      </c>
      <c r="U220" s="7">
        <f>IF($W220="","",IF(INDEX('Per Invoice'!U$2:U$801,$W220)="","",INDEX('Per Invoice'!U$2:U$801,$W220)))</f>
        <v/>
      </c>
      <c r="V220" s="7">
        <f>IF($W220="","",IF(INDEX('Per Invoice'!V$2:V$801,$W220)="","",INDEX('Per Invoice'!V$2:V$801,$W220)))</f>
        <v/>
      </c>
      <c r="W220" s="16">
        <f>IFERROR(MATCH(Settings!$C$32&amp;"|"&amp;ROWS($W$2:$W220),'Per Invoice'!$X$2:$X$801,0),"")</f>
        <v/>
      </c>
    </row>
    <row r="221">
      <c r="A221">
        <f>IF($W221="","",IF(INDEX('Per Invoice'!A$2:A$801,$W221)="","",INDEX('Per Invoice'!A$2:A$801,$W221)))</f>
        <v/>
      </c>
      <c r="B221">
        <f>IF($W221="","",IF(INDEX('Per Invoice'!B$2:B$801,$W221)="","",INDEX('Per Invoice'!B$2:B$801,$W221)))</f>
        <v/>
      </c>
      <c r="C221">
        <f>IF($W221="","",IF(INDEX('Per Invoice'!C$2:C$801,$W221)="","",INDEX('Per Invoice'!C$2:C$801,$W221)))</f>
        <v/>
      </c>
      <c r="D221">
        <f>IF($W221="","",IF(INDEX('Per Invoice'!D$2:D$801,$W221)="","",INDEX('Per Invoice'!D$2:D$801,$W221)))</f>
        <v/>
      </c>
      <c r="E221">
        <f>IF($W221="","",IF(INDEX('Per Invoice'!E$2:E$801,$W221)="","",INDEX('Per Invoice'!E$2:E$801,$W221)))</f>
        <v/>
      </c>
      <c r="F221">
        <f>IF($W221="","",IF(INDEX('Per Invoice'!F$2:F$801,$W221)="","",INDEX('Per Invoice'!F$2:F$801,$W221)))</f>
        <v/>
      </c>
      <c r="G221">
        <f>IF($W221="","",IF(INDEX('Per Invoice'!G$2:G$801,$W221)="","",INDEX('Per Invoice'!G$2:G$801,$W221)))</f>
        <v/>
      </c>
      <c r="H221">
        <f>IF($W221="","",IF(INDEX('Per Invoice'!H$2:H$801,$W221)="","",INDEX('Per Invoice'!H$2:H$801,$W221)))</f>
        <v/>
      </c>
      <c r="I221">
        <f>IF($W221="","",IF(INDEX('Per Invoice'!I$2:I$801,$W221)="","",INDEX('Per Invoice'!I$2:I$801,$W221)))</f>
        <v/>
      </c>
      <c r="J221">
        <f>IF($W221="","",IF(INDEX('Per Invoice'!J$2:J$801,$W221)="","",INDEX('Per Invoice'!J$2:J$801,$W221)))</f>
        <v/>
      </c>
      <c r="K221" s="7">
        <f>IF($W221="","",IF(INDEX('Per Invoice'!K$2:K$801,$W221)="","",INDEX('Per Invoice'!K$2:K$801,$W221)))</f>
        <v/>
      </c>
      <c r="L221" s="14">
        <f>IF($W221="","",IF(INDEX('Per Invoice'!L$2:L$801,$W221)="","",INDEX('Per Invoice'!L$2:L$801,$W221)))</f>
        <v/>
      </c>
      <c r="M221">
        <f>IF($W221="","",IF(INDEX('Per Invoice'!M$2:M$801,$W221)="","",INDEX('Per Invoice'!M$2:M$801,$W221)))</f>
        <v/>
      </c>
      <c r="N221" s="7">
        <f>IF($W221="","",IF(INDEX('Per Invoice'!N$2:N$801,$W221)="","",INDEX('Per Invoice'!N$2:N$801,$W221)))</f>
        <v/>
      </c>
      <c r="O221" s="7">
        <f>IF($W221="","",IF(INDEX('Per Invoice'!O$2:O$801,$W221)="","",INDEX('Per Invoice'!O$2:O$801,$W221)))</f>
        <v/>
      </c>
      <c r="P221">
        <f>IF($W221="","",IF(INDEX('Per Invoice'!P$2:P$801,$W221)="","",INDEX('Per Invoice'!P$2:P$801,$W221)))</f>
        <v/>
      </c>
      <c r="Q221" s="7">
        <f>IF($W221="","",IF(INDEX('Per Invoice'!Q$2:Q$801,$W221)="","",INDEX('Per Invoice'!Q$2:Q$801,$W221)))</f>
        <v/>
      </c>
      <c r="R221" s="7">
        <f>IF($W221="","",IF(INDEX('Per Invoice'!R$2:R$801,$W221)="","",INDEX('Per Invoice'!R$2:R$801,$W221)))</f>
        <v/>
      </c>
      <c r="S221" s="7">
        <f>IF($W221="","",IF(INDEX('Per Invoice'!S$2:S$801,$W221)="","",INDEX('Per Invoice'!S$2:S$801,$W221)))</f>
        <v/>
      </c>
      <c r="T221" s="7">
        <f>IF($W221="","",IF(INDEX('Per Invoice'!T$2:T$801,$W221)="","",INDEX('Per Invoice'!T$2:T$801,$W221)))</f>
        <v/>
      </c>
      <c r="U221" s="7">
        <f>IF($W221="","",IF(INDEX('Per Invoice'!U$2:U$801,$W221)="","",INDEX('Per Invoice'!U$2:U$801,$W221)))</f>
        <v/>
      </c>
      <c r="V221" s="7">
        <f>IF($W221="","",IF(INDEX('Per Invoice'!V$2:V$801,$W221)="","",INDEX('Per Invoice'!V$2:V$801,$W221)))</f>
        <v/>
      </c>
      <c r="W221" s="16">
        <f>IFERROR(MATCH(Settings!$C$32&amp;"|"&amp;ROWS($W$2:$W221),'Per Invoice'!$X$2:$X$801,0),"")</f>
        <v/>
      </c>
    </row>
    <row r="222">
      <c r="A222">
        <f>IF($W222="","",IF(INDEX('Per Invoice'!A$2:A$801,$W222)="","",INDEX('Per Invoice'!A$2:A$801,$W222)))</f>
        <v/>
      </c>
      <c r="B222">
        <f>IF($W222="","",IF(INDEX('Per Invoice'!B$2:B$801,$W222)="","",INDEX('Per Invoice'!B$2:B$801,$W222)))</f>
        <v/>
      </c>
      <c r="C222">
        <f>IF($W222="","",IF(INDEX('Per Invoice'!C$2:C$801,$W222)="","",INDEX('Per Invoice'!C$2:C$801,$W222)))</f>
        <v/>
      </c>
      <c r="D222">
        <f>IF($W222="","",IF(INDEX('Per Invoice'!D$2:D$801,$W222)="","",INDEX('Per Invoice'!D$2:D$801,$W222)))</f>
        <v/>
      </c>
      <c r="E222">
        <f>IF($W222="","",IF(INDEX('Per Invoice'!E$2:E$801,$W222)="","",INDEX('Per Invoice'!E$2:E$801,$W222)))</f>
        <v/>
      </c>
      <c r="F222">
        <f>IF($W222="","",IF(INDEX('Per Invoice'!F$2:F$801,$W222)="","",INDEX('Per Invoice'!F$2:F$801,$W222)))</f>
        <v/>
      </c>
      <c r="G222">
        <f>IF($W222="","",IF(INDEX('Per Invoice'!G$2:G$801,$W222)="","",INDEX('Per Invoice'!G$2:G$801,$W222)))</f>
        <v/>
      </c>
      <c r="H222">
        <f>IF($W222="","",IF(INDEX('Per Invoice'!H$2:H$801,$W222)="","",INDEX('Per Invoice'!H$2:H$801,$W222)))</f>
        <v/>
      </c>
      <c r="I222">
        <f>IF($W222="","",IF(INDEX('Per Invoice'!I$2:I$801,$W222)="","",INDEX('Per Invoice'!I$2:I$801,$W222)))</f>
        <v/>
      </c>
      <c r="J222">
        <f>IF($W222="","",IF(INDEX('Per Invoice'!J$2:J$801,$W222)="","",INDEX('Per Invoice'!J$2:J$801,$W222)))</f>
        <v/>
      </c>
      <c r="K222" s="7">
        <f>IF($W222="","",IF(INDEX('Per Invoice'!K$2:K$801,$W222)="","",INDEX('Per Invoice'!K$2:K$801,$W222)))</f>
        <v/>
      </c>
      <c r="L222" s="14">
        <f>IF($W222="","",IF(INDEX('Per Invoice'!L$2:L$801,$W222)="","",INDEX('Per Invoice'!L$2:L$801,$W222)))</f>
        <v/>
      </c>
      <c r="M222">
        <f>IF($W222="","",IF(INDEX('Per Invoice'!M$2:M$801,$W222)="","",INDEX('Per Invoice'!M$2:M$801,$W222)))</f>
        <v/>
      </c>
      <c r="N222" s="7">
        <f>IF($W222="","",IF(INDEX('Per Invoice'!N$2:N$801,$W222)="","",INDEX('Per Invoice'!N$2:N$801,$W222)))</f>
        <v/>
      </c>
      <c r="O222" s="7">
        <f>IF($W222="","",IF(INDEX('Per Invoice'!O$2:O$801,$W222)="","",INDEX('Per Invoice'!O$2:O$801,$W222)))</f>
        <v/>
      </c>
      <c r="P222">
        <f>IF($W222="","",IF(INDEX('Per Invoice'!P$2:P$801,$W222)="","",INDEX('Per Invoice'!P$2:P$801,$W222)))</f>
        <v/>
      </c>
      <c r="Q222" s="7">
        <f>IF($W222="","",IF(INDEX('Per Invoice'!Q$2:Q$801,$W222)="","",INDEX('Per Invoice'!Q$2:Q$801,$W222)))</f>
        <v/>
      </c>
      <c r="R222" s="7">
        <f>IF($W222="","",IF(INDEX('Per Invoice'!R$2:R$801,$W222)="","",INDEX('Per Invoice'!R$2:R$801,$W222)))</f>
        <v/>
      </c>
      <c r="S222" s="7">
        <f>IF($W222="","",IF(INDEX('Per Invoice'!S$2:S$801,$W222)="","",INDEX('Per Invoice'!S$2:S$801,$W222)))</f>
        <v/>
      </c>
      <c r="T222" s="7">
        <f>IF($W222="","",IF(INDEX('Per Invoice'!T$2:T$801,$W222)="","",INDEX('Per Invoice'!T$2:T$801,$W222)))</f>
        <v/>
      </c>
      <c r="U222" s="7">
        <f>IF($W222="","",IF(INDEX('Per Invoice'!U$2:U$801,$W222)="","",INDEX('Per Invoice'!U$2:U$801,$W222)))</f>
        <v/>
      </c>
      <c r="V222" s="7">
        <f>IF($W222="","",IF(INDEX('Per Invoice'!V$2:V$801,$W222)="","",INDEX('Per Invoice'!V$2:V$801,$W222)))</f>
        <v/>
      </c>
      <c r="W222" s="16">
        <f>IFERROR(MATCH(Settings!$C$32&amp;"|"&amp;ROWS($W$2:$W222),'Per Invoice'!$X$2:$X$801,0),"")</f>
        <v/>
      </c>
    </row>
    <row r="223">
      <c r="A223">
        <f>IF($W223="","",IF(INDEX('Per Invoice'!A$2:A$801,$W223)="","",INDEX('Per Invoice'!A$2:A$801,$W223)))</f>
        <v/>
      </c>
      <c r="B223">
        <f>IF($W223="","",IF(INDEX('Per Invoice'!B$2:B$801,$W223)="","",INDEX('Per Invoice'!B$2:B$801,$W223)))</f>
        <v/>
      </c>
      <c r="C223">
        <f>IF($W223="","",IF(INDEX('Per Invoice'!C$2:C$801,$W223)="","",INDEX('Per Invoice'!C$2:C$801,$W223)))</f>
        <v/>
      </c>
      <c r="D223">
        <f>IF($W223="","",IF(INDEX('Per Invoice'!D$2:D$801,$W223)="","",INDEX('Per Invoice'!D$2:D$801,$W223)))</f>
        <v/>
      </c>
      <c r="E223">
        <f>IF($W223="","",IF(INDEX('Per Invoice'!E$2:E$801,$W223)="","",INDEX('Per Invoice'!E$2:E$801,$W223)))</f>
        <v/>
      </c>
      <c r="F223">
        <f>IF($W223="","",IF(INDEX('Per Invoice'!F$2:F$801,$W223)="","",INDEX('Per Invoice'!F$2:F$801,$W223)))</f>
        <v/>
      </c>
      <c r="G223">
        <f>IF($W223="","",IF(INDEX('Per Invoice'!G$2:G$801,$W223)="","",INDEX('Per Invoice'!G$2:G$801,$W223)))</f>
        <v/>
      </c>
      <c r="H223">
        <f>IF($W223="","",IF(INDEX('Per Invoice'!H$2:H$801,$W223)="","",INDEX('Per Invoice'!H$2:H$801,$W223)))</f>
        <v/>
      </c>
      <c r="I223">
        <f>IF($W223="","",IF(INDEX('Per Invoice'!I$2:I$801,$W223)="","",INDEX('Per Invoice'!I$2:I$801,$W223)))</f>
        <v/>
      </c>
      <c r="J223">
        <f>IF($W223="","",IF(INDEX('Per Invoice'!J$2:J$801,$W223)="","",INDEX('Per Invoice'!J$2:J$801,$W223)))</f>
        <v/>
      </c>
      <c r="K223" s="7">
        <f>IF($W223="","",IF(INDEX('Per Invoice'!K$2:K$801,$W223)="","",INDEX('Per Invoice'!K$2:K$801,$W223)))</f>
        <v/>
      </c>
      <c r="L223" s="14">
        <f>IF($W223="","",IF(INDEX('Per Invoice'!L$2:L$801,$W223)="","",INDEX('Per Invoice'!L$2:L$801,$W223)))</f>
        <v/>
      </c>
      <c r="M223">
        <f>IF($W223="","",IF(INDEX('Per Invoice'!M$2:M$801,$W223)="","",INDEX('Per Invoice'!M$2:M$801,$W223)))</f>
        <v/>
      </c>
      <c r="N223" s="7">
        <f>IF($W223="","",IF(INDEX('Per Invoice'!N$2:N$801,$W223)="","",INDEX('Per Invoice'!N$2:N$801,$W223)))</f>
        <v/>
      </c>
      <c r="O223" s="7">
        <f>IF($W223="","",IF(INDEX('Per Invoice'!O$2:O$801,$W223)="","",INDEX('Per Invoice'!O$2:O$801,$W223)))</f>
        <v/>
      </c>
      <c r="P223">
        <f>IF($W223="","",IF(INDEX('Per Invoice'!P$2:P$801,$W223)="","",INDEX('Per Invoice'!P$2:P$801,$W223)))</f>
        <v/>
      </c>
      <c r="Q223" s="7">
        <f>IF($W223="","",IF(INDEX('Per Invoice'!Q$2:Q$801,$W223)="","",INDEX('Per Invoice'!Q$2:Q$801,$W223)))</f>
        <v/>
      </c>
      <c r="R223" s="7">
        <f>IF($W223="","",IF(INDEX('Per Invoice'!R$2:R$801,$W223)="","",INDEX('Per Invoice'!R$2:R$801,$W223)))</f>
        <v/>
      </c>
      <c r="S223" s="7">
        <f>IF($W223="","",IF(INDEX('Per Invoice'!S$2:S$801,$W223)="","",INDEX('Per Invoice'!S$2:S$801,$W223)))</f>
        <v/>
      </c>
      <c r="T223" s="7">
        <f>IF($W223="","",IF(INDEX('Per Invoice'!T$2:T$801,$W223)="","",INDEX('Per Invoice'!T$2:T$801,$W223)))</f>
        <v/>
      </c>
      <c r="U223" s="7">
        <f>IF($W223="","",IF(INDEX('Per Invoice'!U$2:U$801,$W223)="","",INDEX('Per Invoice'!U$2:U$801,$W223)))</f>
        <v/>
      </c>
      <c r="V223" s="7">
        <f>IF($W223="","",IF(INDEX('Per Invoice'!V$2:V$801,$W223)="","",INDEX('Per Invoice'!V$2:V$801,$W223)))</f>
        <v/>
      </c>
      <c r="W223" s="16">
        <f>IFERROR(MATCH(Settings!$C$32&amp;"|"&amp;ROWS($W$2:$W223),'Per Invoice'!$X$2:$X$801,0),"")</f>
        <v/>
      </c>
    </row>
    <row r="224">
      <c r="A224">
        <f>IF($W224="","",IF(INDEX('Per Invoice'!A$2:A$801,$W224)="","",INDEX('Per Invoice'!A$2:A$801,$W224)))</f>
        <v/>
      </c>
      <c r="B224">
        <f>IF($W224="","",IF(INDEX('Per Invoice'!B$2:B$801,$W224)="","",INDEX('Per Invoice'!B$2:B$801,$W224)))</f>
        <v/>
      </c>
      <c r="C224">
        <f>IF($W224="","",IF(INDEX('Per Invoice'!C$2:C$801,$W224)="","",INDEX('Per Invoice'!C$2:C$801,$W224)))</f>
        <v/>
      </c>
      <c r="D224">
        <f>IF($W224="","",IF(INDEX('Per Invoice'!D$2:D$801,$W224)="","",INDEX('Per Invoice'!D$2:D$801,$W224)))</f>
        <v/>
      </c>
      <c r="E224">
        <f>IF($W224="","",IF(INDEX('Per Invoice'!E$2:E$801,$W224)="","",INDEX('Per Invoice'!E$2:E$801,$W224)))</f>
        <v/>
      </c>
      <c r="F224">
        <f>IF($W224="","",IF(INDEX('Per Invoice'!F$2:F$801,$W224)="","",INDEX('Per Invoice'!F$2:F$801,$W224)))</f>
        <v/>
      </c>
      <c r="G224">
        <f>IF($W224="","",IF(INDEX('Per Invoice'!G$2:G$801,$W224)="","",INDEX('Per Invoice'!G$2:G$801,$W224)))</f>
        <v/>
      </c>
      <c r="H224">
        <f>IF($W224="","",IF(INDEX('Per Invoice'!H$2:H$801,$W224)="","",INDEX('Per Invoice'!H$2:H$801,$W224)))</f>
        <v/>
      </c>
      <c r="I224">
        <f>IF($W224="","",IF(INDEX('Per Invoice'!I$2:I$801,$W224)="","",INDEX('Per Invoice'!I$2:I$801,$W224)))</f>
        <v/>
      </c>
      <c r="J224">
        <f>IF($W224="","",IF(INDEX('Per Invoice'!J$2:J$801,$W224)="","",INDEX('Per Invoice'!J$2:J$801,$W224)))</f>
        <v/>
      </c>
      <c r="K224" s="7">
        <f>IF($W224="","",IF(INDEX('Per Invoice'!K$2:K$801,$W224)="","",INDEX('Per Invoice'!K$2:K$801,$W224)))</f>
        <v/>
      </c>
      <c r="L224" s="14">
        <f>IF($W224="","",IF(INDEX('Per Invoice'!L$2:L$801,$W224)="","",INDEX('Per Invoice'!L$2:L$801,$W224)))</f>
        <v/>
      </c>
      <c r="M224">
        <f>IF($W224="","",IF(INDEX('Per Invoice'!M$2:M$801,$W224)="","",INDEX('Per Invoice'!M$2:M$801,$W224)))</f>
        <v/>
      </c>
      <c r="N224" s="7">
        <f>IF($W224="","",IF(INDEX('Per Invoice'!N$2:N$801,$W224)="","",INDEX('Per Invoice'!N$2:N$801,$W224)))</f>
        <v/>
      </c>
      <c r="O224" s="7">
        <f>IF($W224="","",IF(INDEX('Per Invoice'!O$2:O$801,$W224)="","",INDEX('Per Invoice'!O$2:O$801,$W224)))</f>
        <v/>
      </c>
      <c r="P224">
        <f>IF($W224="","",IF(INDEX('Per Invoice'!P$2:P$801,$W224)="","",INDEX('Per Invoice'!P$2:P$801,$W224)))</f>
        <v/>
      </c>
      <c r="Q224" s="7">
        <f>IF($W224="","",IF(INDEX('Per Invoice'!Q$2:Q$801,$W224)="","",INDEX('Per Invoice'!Q$2:Q$801,$W224)))</f>
        <v/>
      </c>
      <c r="R224" s="7">
        <f>IF($W224="","",IF(INDEX('Per Invoice'!R$2:R$801,$W224)="","",INDEX('Per Invoice'!R$2:R$801,$W224)))</f>
        <v/>
      </c>
      <c r="S224" s="7">
        <f>IF($W224="","",IF(INDEX('Per Invoice'!S$2:S$801,$W224)="","",INDEX('Per Invoice'!S$2:S$801,$W224)))</f>
        <v/>
      </c>
      <c r="T224" s="7">
        <f>IF($W224="","",IF(INDEX('Per Invoice'!T$2:T$801,$W224)="","",INDEX('Per Invoice'!T$2:T$801,$W224)))</f>
        <v/>
      </c>
      <c r="U224" s="7">
        <f>IF($W224="","",IF(INDEX('Per Invoice'!U$2:U$801,$W224)="","",INDEX('Per Invoice'!U$2:U$801,$W224)))</f>
        <v/>
      </c>
      <c r="V224" s="7">
        <f>IF($W224="","",IF(INDEX('Per Invoice'!V$2:V$801,$W224)="","",INDEX('Per Invoice'!V$2:V$801,$W224)))</f>
        <v/>
      </c>
      <c r="W224" s="16">
        <f>IFERROR(MATCH(Settings!$C$32&amp;"|"&amp;ROWS($W$2:$W224),'Per Invoice'!$X$2:$X$801,0),"")</f>
        <v/>
      </c>
    </row>
    <row r="225">
      <c r="A225">
        <f>IF($W225="","",IF(INDEX('Per Invoice'!A$2:A$801,$W225)="","",INDEX('Per Invoice'!A$2:A$801,$W225)))</f>
        <v/>
      </c>
      <c r="B225">
        <f>IF($W225="","",IF(INDEX('Per Invoice'!B$2:B$801,$W225)="","",INDEX('Per Invoice'!B$2:B$801,$W225)))</f>
        <v/>
      </c>
      <c r="C225">
        <f>IF($W225="","",IF(INDEX('Per Invoice'!C$2:C$801,$W225)="","",INDEX('Per Invoice'!C$2:C$801,$W225)))</f>
        <v/>
      </c>
      <c r="D225">
        <f>IF($W225="","",IF(INDEX('Per Invoice'!D$2:D$801,$W225)="","",INDEX('Per Invoice'!D$2:D$801,$W225)))</f>
        <v/>
      </c>
      <c r="E225">
        <f>IF($W225="","",IF(INDEX('Per Invoice'!E$2:E$801,$W225)="","",INDEX('Per Invoice'!E$2:E$801,$W225)))</f>
        <v/>
      </c>
      <c r="F225">
        <f>IF($W225="","",IF(INDEX('Per Invoice'!F$2:F$801,$W225)="","",INDEX('Per Invoice'!F$2:F$801,$W225)))</f>
        <v/>
      </c>
      <c r="G225">
        <f>IF($W225="","",IF(INDEX('Per Invoice'!G$2:G$801,$W225)="","",INDEX('Per Invoice'!G$2:G$801,$W225)))</f>
        <v/>
      </c>
      <c r="H225">
        <f>IF($W225="","",IF(INDEX('Per Invoice'!H$2:H$801,$W225)="","",INDEX('Per Invoice'!H$2:H$801,$W225)))</f>
        <v/>
      </c>
      <c r="I225">
        <f>IF($W225="","",IF(INDEX('Per Invoice'!I$2:I$801,$W225)="","",INDEX('Per Invoice'!I$2:I$801,$W225)))</f>
        <v/>
      </c>
      <c r="J225">
        <f>IF($W225="","",IF(INDEX('Per Invoice'!J$2:J$801,$W225)="","",INDEX('Per Invoice'!J$2:J$801,$W225)))</f>
        <v/>
      </c>
      <c r="K225" s="7">
        <f>IF($W225="","",IF(INDEX('Per Invoice'!K$2:K$801,$W225)="","",INDEX('Per Invoice'!K$2:K$801,$W225)))</f>
        <v/>
      </c>
      <c r="L225" s="14">
        <f>IF($W225="","",IF(INDEX('Per Invoice'!L$2:L$801,$W225)="","",INDEX('Per Invoice'!L$2:L$801,$W225)))</f>
        <v/>
      </c>
      <c r="M225">
        <f>IF($W225="","",IF(INDEX('Per Invoice'!M$2:M$801,$W225)="","",INDEX('Per Invoice'!M$2:M$801,$W225)))</f>
        <v/>
      </c>
      <c r="N225" s="7">
        <f>IF($W225="","",IF(INDEX('Per Invoice'!N$2:N$801,$W225)="","",INDEX('Per Invoice'!N$2:N$801,$W225)))</f>
        <v/>
      </c>
      <c r="O225" s="7">
        <f>IF($W225="","",IF(INDEX('Per Invoice'!O$2:O$801,$W225)="","",INDEX('Per Invoice'!O$2:O$801,$W225)))</f>
        <v/>
      </c>
      <c r="P225">
        <f>IF($W225="","",IF(INDEX('Per Invoice'!P$2:P$801,$W225)="","",INDEX('Per Invoice'!P$2:P$801,$W225)))</f>
        <v/>
      </c>
      <c r="Q225" s="7">
        <f>IF($W225="","",IF(INDEX('Per Invoice'!Q$2:Q$801,$W225)="","",INDEX('Per Invoice'!Q$2:Q$801,$W225)))</f>
        <v/>
      </c>
      <c r="R225" s="7">
        <f>IF($W225="","",IF(INDEX('Per Invoice'!R$2:R$801,$W225)="","",INDEX('Per Invoice'!R$2:R$801,$W225)))</f>
        <v/>
      </c>
      <c r="S225" s="7">
        <f>IF($W225="","",IF(INDEX('Per Invoice'!S$2:S$801,$W225)="","",INDEX('Per Invoice'!S$2:S$801,$W225)))</f>
        <v/>
      </c>
      <c r="T225" s="7">
        <f>IF($W225="","",IF(INDEX('Per Invoice'!T$2:T$801,$W225)="","",INDEX('Per Invoice'!T$2:T$801,$W225)))</f>
        <v/>
      </c>
      <c r="U225" s="7">
        <f>IF($W225="","",IF(INDEX('Per Invoice'!U$2:U$801,$W225)="","",INDEX('Per Invoice'!U$2:U$801,$W225)))</f>
        <v/>
      </c>
      <c r="V225" s="7">
        <f>IF($W225="","",IF(INDEX('Per Invoice'!V$2:V$801,$W225)="","",INDEX('Per Invoice'!V$2:V$801,$W225)))</f>
        <v/>
      </c>
      <c r="W225" s="16">
        <f>IFERROR(MATCH(Settings!$C$32&amp;"|"&amp;ROWS($W$2:$W225),'Per Invoice'!$X$2:$X$801,0),"")</f>
        <v/>
      </c>
    </row>
    <row r="226">
      <c r="A226">
        <f>IF($W226="","",IF(INDEX('Per Invoice'!A$2:A$801,$W226)="","",INDEX('Per Invoice'!A$2:A$801,$W226)))</f>
        <v/>
      </c>
      <c r="B226">
        <f>IF($W226="","",IF(INDEX('Per Invoice'!B$2:B$801,$W226)="","",INDEX('Per Invoice'!B$2:B$801,$W226)))</f>
        <v/>
      </c>
      <c r="C226">
        <f>IF($W226="","",IF(INDEX('Per Invoice'!C$2:C$801,$W226)="","",INDEX('Per Invoice'!C$2:C$801,$W226)))</f>
        <v/>
      </c>
      <c r="D226">
        <f>IF($W226="","",IF(INDEX('Per Invoice'!D$2:D$801,$W226)="","",INDEX('Per Invoice'!D$2:D$801,$W226)))</f>
        <v/>
      </c>
      <c r="E226">
        <f>IF($W226="","",IF(INDEX('Per Invoice'!E$2:E$801,$W226)="","",INDEX('Per Invoice'!E$2:E$801,$W226)))</f>
        <v/>
      </c>
      <c r="F226">
        <f>IF($W226="","",IF(INDEX('Per Invoice'!F$2:F$801,$W226)="","",INDEX('Per Invoice'!F$2:F$801,$W226)))</f>
        <v/>
      </c>
      <c r="G226">
        <f>IF($W226="","",IF(INDEX('Per Invoice'!G$2:G$801,$W226)="","",INDEX('Per Invoice'!G$2:G$801,$W226)))</f>
        <v/>
      </c>
      <c r="H226">
        <f>IF($W226="","",IF(INDEX('Per Invoice'!H$2:H$801,$W226)="","",INDEX('Per Invoice'!H$2:H$801,$W226)))</f>
        <v/>
      </c>
      <c r="I226">
        <f>IF($W226="","",IF(INDEX('Per Invoice'!I$2:I$801,$W226)="","",INDEX('Per Invoice'!I$2:I$801,$W226)))</f>
        <v/>
      </c>
      <c r="J226">
        <f>IF($W226="","",IF(INDEX('Per Invoice'!J$2:J$801,$W226)="","",INDEX('Per Invoice'!J$2:J$801,$W226)))</f>
        <v/>
      </c>
      <c r="K226" s="7">
        <f>IF($W226="","",IF(INDEX('Per Invoice'!K$2:K$801,$W226)="","",INDEX('Per Invoice'!K$2:K$801,$W226)))</f>
        <v/>
      </c>
      <c r="L226" s="14">
        <f>IF($W226="","",IF(INDEX('Per Invoice'!L$2:L$801,$W226)="","",INDEX('Per Invoice'!L$2:L$801,$W226)))</f>
        <v/>
      </c>
      <c r="M226">
        <f>IF($W226="","",IF(INDEX('Per Invoice'!M$2:M$801,$W226)="","",INDEX('Per Invoice'!M$2:M$801,$W226)))</f>
        <v/>
      </c>
      <c r="N226" s="7">
        <f>IF($W226="","",IF(INDEX('Per Invoice'!N$2:N$801,$W226)="","",INDEX('Per Invoice'!N$2:N$801,$W226)))</f>
        <v/>
      </c>
      <c r="O226" s="7">
        <f>IF($W226="","",IF(INDEX('Per Invoice'!O$2:O$801,$W226)="","",INDEX('Per Invoice'!O$2:O$801,$W226)))</f>
        <v/>
      </c>
      <c r="P226">
        <f>IF($W226="","",IF(INDEX('Per Invoice'!P$2:P$801,$W226)="","",INDEX('Per Invoice'!P$2:P$801,$W226)))</f>
        <v/>
      </c>
      <c r="Q226" s="7">
        <f>IF($W226="","",IF(INDEX('Per Invoice'!Q$2:Q$801,$W226)="","",INDEX('Per Invoice'!Q$2:Q$801,$W226)))</f>
        <v/>
      </c>
      <c r="R226" s="7">
        <f>IF($W226="","",IF(INDEX('Per Invoice'!R$2:R$801,$W226)="","",INDEX('Per Invoice'!R$2:R$801,$W226)))</f>
        <v/>
      </c>
      <c r="S226" s="7">
        <f>IF($W226="","",IF(INDEX('Per Invoice'!S$2:S$801,$W226)="","",INDEX('Per Invoice'!S$2:S$801,$W226)))</f>
        <v/>
      </c>
      <c r="T226" s="7">
        <f>IF($W226="","",IF(INDEX('Per Invoice'!T$2:T$801,$W226)="","",INDEX('Per Invoice'!T$2:T$801,$W226)))</f>
        <v/>
      </c>
      <c r="U226" s="7">
        <f>IF($W226="","",IF(INDEX('Per Invoice'!U$2:U$801,$W226)="","",INDEX('Per Invoice'!U$2:U$801,$W226)))</f>
        <v/>
      </c>
      <c r="V226" s="7">
        <f>IF($W226="","",IF(INDEX('Per Invoice'!V$2:V$801,$W226)="","",INDEX('Per Invoice'!V$2:V$801,$W226)))</f>
        <v/>
      </c>
      <c r="W226" s="16">
        <f>IFERROR(MATCH(Settings!$C$32&amp;"|"&amp;ROWS($W$2:$W226),'Per Invoice'!$X$2:$X$801,0),"")</f>
        <v/>
      </c>
    </row>
    <row r="227">
      <c r="A227">
        <f>IF($W227="","",IF(INDEX('Per Invoice'!A$2:A$801,$W227)="","",INDEX('Per Invoice'!A$2:A$801,$W227)))</f>
        <v/>
      </c>
      <c r="B227">
        <f>IF($W227="","",IF(INDEX('Per Invoice'!B$2:B$801,$W227)="","",INDEX('Per Invoice'!B$2:B$801,$W227)))</f>
        <v/>
      </c>
      <c r="C227">
        <f>IF($W227="","",IF(INDEX('Per Invoice'!C$2:C$801,$W227)="","",INDEX('Per Invoice'!C$2:C$801,$W227)))</f>
        <v/>
      </c>
      <c r="D227">
        <f>IF($W227="","",IF(INDEX('Per Invoice'!D$2:D$801,$W227)="","",INDEX('Per Invoice'!D$2:D$801,$W227)))</f>
        <v/>
      </c>
      <c r="E227">
        <f>IF($W227="","",IF(INDEX('Per Invoice'!E$2:E$801,$W227)="","",INDEX('Per Invoice'!E$2:E$801,$W227)))</f>
        <v/>
      </c>
      <c r="F227">
        <f>IF($W227="","",IF(INDEX('Per Invoice'!F$2:F$801,$W227)="","",INDEX('Per Invoice'!F$2:F$801,$W227)))</f>
        <v/>
      </c>
      <c r="G227">
        <f>IF($W227="","",IF(INDEX('Per Invoice'!G$2:G$801,$W227)="","",INDEX('Per Invoice'!G$2:G$801,$W227)))</f>
        <v/>
      </c>
      <c r="H227">
        <f>IF($W227="","",IF(INDEX('Per Invoice'!H$2:H$801,$W227)="","",INDEX('Per Invoice'!H$2:H$801,$W227)))</f>
        <v/>
      </c>
      <c r="I227">
        <f>IF($W227="","",IF(INDEX('Per Invoice'!I$2:I$801,$W227)="","",INDEX('Per Invoice'!I$2:I$801,$W227)))</f>
        <v/>
      </c>
      <c r="J227">
        <f>IF($W227="","",IF(INDEX('Per Invoice'!J$2:J$801,$W227)="","",INDEX('Per Invoice'!J$2:J$801,$W227)))</f>
        <v/>
      </c>
      <c r="K227" s="7">
        <f>IF($W227="","",IF(INDEX('Per Invoice'!K$2:K$801,$W227)="","",INDEX('Per Invoice'!K$2:K$801,$W227)))</f>
        <v/>
      </c>
      <c r="L227" s="14">
        <f>IF($W227="","",IF(INDEX('Per Invoice'!L$2:L$801,$W227)="","",INDEX('Per Invoice'!L$2:L$801,$W227)))</f>
        <v/>
      </c>
      <c r="M227">
        <f>IF($W227="","",IF(INDEX('Per Invoice'!M$2:M$801,$W227)="","",INDEX('Per Invoice'!M$2:M$801,$W227)))</f>
        <v/>
      </c>
      <c r="N227" s="7">
        <f>IF($W227="","",IF(INDEX('Per Invoice'!N$2:N$801,$W227)="","",INDEX('Per Invoice'!N$2:N$801,$W227)))</f>
        <v/>
      </c>
      <c r="O227" s="7">
        <f>IF($W227="","",IF(INDEX('Per Invoice'!O$2:O$801,$W227)="","",INDEX('Per Invoice'!O$2:O$801,$W227)))</f>
        <v/>
      </c>
      <c r="P227">
        <f>IF($W227="","",IF(INDEX('Per Invoice'!P$2:P$801,$W227)="","",INDEX('Per Invoice'!P$2:P$801,$W227)))</f>
        <v/>
      </c>
      <c r="Q227" s="7">
        <f>IF($W227="","",IF(INDEX('Per Invoice'!Q$2:Q$801,$W227)="","",INDEX('Per Invoice'!Q$2:Q$801,$W227)))</f>
        <v/>
      </c>
      <c r="R227" s="7">
        <f>IF($W227="","",IF(INDEX('Per Invoice'!R$2:R$801,$W227)="","",INDEX('Per Invoice'!R$2:R$801,$W227)))</f>
        <v/>
      </c>
      <c r="S227" s="7">
        <f>IF($W227="","",IF(INDEX('Per Invoice'!S$2:S$801,$W227)="","",INDEX('Per Invoice'!S$2:S$801,$W227)))</f>
        <v/>
      </c>
      <c r="T227" s="7">
        <f>IF($W227="","",IF(INDEX('Per Invoice'!T$2:T$801,$W227)="","",INDEX('Per Invoice'!T$2:T$801,$W227)))</f>
        <v/>
      </c>
      <c r="U227" s="7">
        <f>IF($W227="","",IF(INDEX('Per Invoice'!U$2:U$801,$W227)="","",INDEX('Per Invoice'!U$2:U$801,$W227)))</f>
        <v/>
      </c>
      <c r="V227" s="7">
        <f>IF($W227="","",IF(INDEX('Per Invoice'!V$2:V$801,$W227)="","",INDEX('Per Invoice'!V$2:V$801,$W227)))</f>
        <v/>
      </c>
      <c r="W227" s="16">
        <f>IFERROR(MATCH(Settings!$C$32&amp;"|"&amp;ROWS($W$2:$W227),'Per Invoice'!$X$2:$X$801,0),"")</f>
        <v/>
      </c>
    </row>
    <row r="228">
      <c r="A228">
        <f>IF($W228="","",IF(INDEX('Per Invoice'!A$2:A$801,$W228)="","",INDEX('Per Invoice'!A$2:A$801,$W228)))</f>
        <v/>
      </c>
      <c r="B228">
        <f>IF($W228="","",IF(INDEX('Per Invoice'!B$2:B$801,$W228)="","",INDEX('Per Invoice'!B$2:B$801,$W228)))</f>
        <v/>
      </c>
      <c r="C228">
        <f>IF($W228="","",IF(INDEX('Per Invoice'!C$2:C$801,$W228)="","",INDEX('Per Invoice'!C$2:C$801,$W228)))</f>
        <v/>
      </c>
      <c r="D228">
        <f>IF($W228="","",IF(INDEX('Per Invoice'!D$2:D$801,$W228)="","",INDEX('Per Invoice'!D$2:D$801,$W228)))</f>
        <v/>
      </c>
      <c r="E228">
        <f>IF($W228="","",IF(INDEX('Per Invoice'!E$2:E$801,$W228)="","",INDEX('Per Invoice'!E$2:E$801,$W228)))</f>
        <v/>
      </c>
      <c r="F228">
        <f>IF($W228="","",IF(INDEX('Per Invoice'!F$2:F$801,$W228)="","",INDEX('Per Invoice'!F$2:F$801,$W228)))</f>
        <v/>
      </c>
      <c r="G228">
        <f>IF($W228="","",IF(INDEX('Per Invoice'!G$2:G$801,$W228)="","",INDEX('Per Invoice'!G$2:G$801,$W228)))</f>
        <v/>
      </c>
      <c r="H228">
        <f>IF($W228="","",IF(INDEX('Per Invoice'!H$2:H$801,$W228)="","",INDEX('Per Invoice'!H$2:H$801,$W228)))</f>
        <v/>
      </c>
      <c r="I228">
        <f>IF($W228="","",IF(INDEX('Per Invoice'!I$2:I$801,$W228)="","",INDEX('Per Invoice'!I$2:I$801,$W228)))</f>
        <v/>
      </c>
      <c r="J228">
        <f>IF($W228="","",IF(INDEX('Per Invoice'!J$2:J$801,$W228)="","",INDEX('Per Invoice'!J$2:J$801,$W228)))</f>
        <v/>
      </c>
      <c r="K228" s="7">
        <f>IF($W228="","",IF(INDEX('Per Invoice'!K$2:K$801,$W228)="","",INDEX('Per Invoice'!K$2:K$801,$W228)))</f>
        <v/>
      </c>
      <c r="L228" s="14">
        <f>IF($W228="","",IF(INDEX('Per Invoice'!L$2:L$801,$W228)="","",INDEX('Per Invoice'!L$2:L$801,$W228)))</f>
        <v/>
      </c>
      <c r="M228">
        <f>IF($W228="","",IF(INDEX('Per Invoice'!M$2:M$801,$W228)="","",INDEX('Per Invoice'!M$2:M$801,$W228)))</f>
        <v/>
      </c>
      <c r="N228" s="7">
        <f>IF($W228="","",IF(INDEX('Per Invoice'!N$2:N$801,$W228)="","",INDEX('Per Invoice'!N$2:N$801,$W228)))</f>
        <v/>
      </c>
      <c r="O228" s="7">
        <f>IF($W228="","",IF(INDEX('Per Invoice'!O$2:O$801,$W228)="","",INDEX('Per Invoice'!O$2:O$801,$W228)))</f>
        <v/>
      </c>
      <c r="P228">
        <f>IF($W228="","",IF(INDEX('Per Invoice'!P$2:P$801,$W228)="","",INDEX('Per Invoice'!P$2:P$801,$W228)))</f>
        <v/>
      </c>
      <c r="Q228" s="7">
        <f>IF($W228="","",IF(INDEX('Per Invoice'!Q$2:Q$801,$W228)="","",INDEX('Per Invoice'!Q$2:Q$801,$W228)))</f>
        <v/>
      </c>
      <c r="R228" s="7">
        <f>IF($W228="","",IF(INDEX('Per Invoice'!R$2:R$801,$W228)="","",INDEX('Per Invoice'!R$2:R$801,$W228)))</f>
        <v/>
      </c>
      <c r="S228" s="7">
        <f>IF($W228="","",IF(INDEX('Per Invoice'!S$2:S$801,$W228)="","",INDEX('Per Invoice'!S$2:S$801,$W228)))</f>
        <v/>
      </c>
      <c r="T228" s="7">
        <f>IF($W228="","",IF(INDEX('Per Invoice'!T$2:T$801,$W228)="","",INDEX('Per Invoice'!T$2:T$801,$W228)))</f>
        <v/>
      </c>
      <c r="U228" s="7">
        <f>IF($W228="","",IF(INDEX('Per Invoice'!U$2:U$801,$W228)="","",INDEX('Per Invoice'!U$2:U$801,$W228)))</f>
        <v/>
      </c>
      <c r="V228" s="7">
        <f>IF($W228="","",IF(INDEX('Per Invoice'!V$2:V$801,$W228)="","",INDEX('Per Invoice'!V$2:V$801,$W228)))</f>
        <v/>
      </c>
      <c r="W228" s="16">
        <f>IFERROR(MATCH(Settings!$C$32&amp;"|"&amp;ROWS($W$2:$W228),'Per Invoice'!$X$2:$X$801,0),"")</f>
        <v/>
      </c>
    </row>
    <row r="229">
      <c r="A229">
        <f>IF($W229="","",IF(INDEX('Per Invoice'!A$2:A$801,$W229)="","",INDEX('Per Invoice'!A$2:A$801,$W229)))</f>
        <v/>
      </c>
      <c r="B229">
        <f>IF($W229="","",IF(INDEX('Per Invoice'!B$2:B$801,$W229)="","",INDEX('Per Invoice'!B$2:B$801,$W229)))</f>
        <v/>
      </c>
      <c r="C229">
        <f>IF($W229="","",IF(INDEX('Per Invoice'!C$2:C$801,$W229)="","",INDEX('Per Invoice'!C$2:C$801,$W229)))</f>
        <v/>
      </c>
      <c r="D229">
        <f>IF($W229="","",IF(INDEX('Per Invoice'!D$2:D$801,$W229)="","",INDEX('Per Invoice'!D$2:D$801,$W229)))</f>
        <v/>
      </c>
      <c r="E229">
        <f>IF($W229="","",IF(INDEX('Per Invoice'!E$2:E$801,$W229)="","",INDEX('Per Invoice'!E$2:E$801,$W229)))</f>
        <v/>
      </c>
      <c r="F229">
        <f>IF($W229="","",IF(INDEX('Per Invoice'!F$2:F$801,$W229)="","",INDEX('Per Invoice'!F$2:F$801,$W229)))</f>
        <v/>
      </c>
      <c r="G229">
        <f>IF($W229="","",IF(INDEX('Per Invoice'!G$2:G$801,$W229)="","",INDEX('Per Invoice'!G$2:G$801,$W229)))</f>
        <v/>
      </c>
      <c r="H229">
        <f>IF($W229="","",IF(INDEX('Per Invoice'!H$2:H$801,$W229)="","",INDEX('Per Invoice'!H$2:H$801,$W229)))</f>
        <v/>
      </c>
      <c r="I229">
        <f>IF($W229="","",IF(INDEX('Per Invoice'!I$2:I$801,$W229)="","",INDEX('Per Invoice'!I$2:I$801,$W229)))</f>
        <v/>
      </c>
      <c r="J229">
        <f>IF($W229="","",IF(INDEX('Per Invoice'!J$2:J$801,$W229)="","",INDEX('Per Invoice'!J$2:J$801,$W229)))</f>
        <v/>
      </c>
      <c r="K229" s="7">
        <f>IF($W229="","",IF(INDEX('Per Invoice'!K$2:K$801,$W229)="","",INDEX('Per Invoice'!K$2:K$801,$W229)))</f>
        <v/>
      </c>
      <c r="L229" s="14">
        <f>IF($W229="","",IF(INDEX('Per Invoice'!L$2:L$801,$W229)="","",INDEX('Per Invoice'!L$2:L$801,$W229)))</f>
        <v/>
      </c>
      <c r="M229">
        <f>IF($W229="","",IF(INDEX('Per Invoice'!M$2:M$801,$W229)="","",INDEX('Per Invoice'!M$2:M$801,$W229)))</f>
        <v/>
      </c>
      <c r="N229" s="7">
        <f>IF($W229="","",IF(INDEX('Per Invoice'!N$2:N$801,$W229)="","",INDEX('Per Invoice'!N$2:N$801,$W229)))</f>
        <v/>
      </c>
      <c r="O229" s="7">
        <f>IF($W229="","",IF(INDEX('Per Invoice'!O$2:O$801,$W229)="","",INDEX('Per Invoice'!O$2:O$801,$W229)))</f>
        <v/>
      </c>
      <c r="P229">
        <f>IF($W229="","",IF(INDEX('Per Invoice'!P$2:P$801,$W229)="","",INDEX('Per Invoice'!P$2:P$801,$W229)))</f>
        <v/>
      </c>
      <c r="Q229" s="7">
        <f>IF($W229="","",IF(INDEX('Per Invoice'!Q$2:Q$801,$W229)="","",INDEX('Per Invoice'!Q$2:Q$801,$W229)))</f>
        <v/>
      </c>
      <c r="R229" s="7">
        <f>IF($W229="","",IF(INDEX('Per Invoice'!R$2:R$801,$W229)="","",INDEX('Per Invoice'!R$2:R$801,$W229)))</f>
        <v/>
      </c>
      <c r="S229" s="7">
        <f>IF($W229="","",IF(INDEX('Per Invoice'!S$2:S$801,$W229)="","",INDEX('Per Invoice'!S$2:S$801,$W229)))</f>
        <v/>
      </c>
      <c r="T229" s="7">
        <f>IF($W229="","",IF(INDEX('Per Invoice'!T$2:T$801,$W229)="","",INDEX('Per Invoice'!T$2:T$801,$W229)))</f>
        <v/>
      </c>
      <c r="U229" s="7">
        <f>IF($W229="","",IF(INDEX('Per Invoice'!U$2:U$801,$W229)="","",INDEX('Per Invoice'!U$2:U$801,$W229)))</f>
        <v/>
      </c>
      <c r="V229" s="7">
        <f>IF($W229="","",IF(INDEX('Per Invoice'!V$2:V$801,$W229)="","",INDEX('Per Invoice'!V$2:V$801,$W229)))</f>
        <v/>
      </c>
      <c r="W229" s="16">
        <f>IFERROR(MATCH(Settings!$C$32&amp;"|"&amp;ROWS($W$2:$W229),'Per Invoice'!$X$2:$X$801,0),"")</f>
        <v/>
      </c>
    </row>
    <row r="230">
      <c r="A230">
        <f>IF($W230="","",IF(INDEX('Per Invoice'!A$2:A$801,$W230)="","",INDEX('Per Invoice'!A$2:A$801,$W230)))</f>
        <v/>
      </c>
      <c r="B230">
        <f>IF($W230="","",IF(INDEX('Per Invoice'!B$2:B$801,$W230)="","",INDEX('Per Invoice'!B$2:B$801,$W230)))</f>
        <v/>
      </c>
      <c r="C230">
        <f>IF($W230="","",IF(INDEX('Per Invoice'!C$2:C$801,$W230)="","",INDEX('Per Invoice'!C$2:C$801,$W230)))</f>
        <v/>
      </c>
      <c r="D230">
        <f>IF($W230="","",IF(INDEX('Per Invoice'!D$2:D$801,$W230)="","",INDEX('Per Invoice'!D$2:D$801,$W230)))</f>
        <v/>
      </c>
      <c r="E230">
        <f>IF($W230="","",IF(INDEX('Per Invoice'!E$2:E$801,$W230)="","",INDEX('Per Invoice'!E$2:E$801,$W230)))</f>
        <v/>
      </c>
      <c r="F230">
        <f>IF($W230="","",IF(INDEX('Per Invoice'!F$2:F$801,$W230)="","",INDEX('Per Invoice'!F$2:F$801,$W230)))</f>
        <v/>
      </c>
      <c r="G230">
        <f>IF($W230="","",IF(INDEX('Per Invoice'!G$2:G$801,$W230)="","",INDEX('Per Invoice'!G$2:G$801,$W230)))</f>
        <v/>
      </c>
      <c r="H230">
        <f>IF($W230="","",IF(INDEX('Per Invoice'!H$2:H$801,$W230)="","",INDEX('Per Invoice'!H$2:H$801,$W230)))</f>
        <v/>
      </c>
      <c r="I230">
        <f>IF($W230="","",IF(INDEX('Per Invoice'!I$2:I$801,$W230)="","",INDEX('Per Invoice'!I$2:I$801,$W230)))</f>
        <v/>
      </c>
      <c r="J230">
        <f>IF($W230="","",IF(INDEX('Per Invoice'!J$2:J$801,$W230)="","",INDEX('Per Invoice'!J$2:J$801,$W230)))</f>
        <v/>
      </c>
      <c r="K230" s="7">
        <f>IF($W230="","",IF(INDEX('Per Invoice'!K$2:K$801,$W230)="","",INDEX('Per Invoice'!K$2:K$801,$W230)))</f>
        <v/>
      </c>
      <c r="L230" s="14">
        <f>IF($W230="","",IF(INDEX('Per Invoice'!L$2:L$801,$W230)="","",INDEX('Per Invoice'!L$2:L$801,$W230)))</f>
        <v/>
      </c>
      <c r="M230">
        <f>IF($W230="","",IF(INDEX('Per Invoice'!M$2:M$801,$W230)="","",INDEX('Per Invoice'!M$2:M$801,$W230)))</f>
        <v/>
      </c>
      <c r="N230" s="7">
        <f>IF($W230="","",IF(INDEX('Per Invoice'!N$2:N$801,$W230)="","",INDEX('Per Invoice'!N$2:N$801,$W230)))</f>
        <v/>
      </c>
      <c r="O230" s="7">
        <f>IF($W230="","",IF(INDEX('Per Invoice'!O$2:O$801,$W230)="","",INDEX('Per Invoice'!O$2:O$801,$W230)))</f>
        <v/>
      </c>
      <c r="P230">
        <f>IF($W230="","",IF(INDEX('Per Invoice'!P$2:P$801,$W230)="","",INDEX('Per Invoice'!P$2:P$801,$W230)))</f>
        <v/>
      </c>
      <c r="Q230" s="7">
        <f>IF($W230="","",IF(INDEX('Per Invoice'!Q$2:Q$801,$W230)="","",INDEX('Per Invoice'!Q$2:Q$801,$W230)))</f>
        <v/>
      </c>
      <c r="R230" s="7">
        <f>IF($W230="","",IF(INDEX('Per Invoice'!R$2:R$801,$W230)="","",INDEX('Per Invoice'!R$2:R$801,$W230)))</f>
        <v/>
      </c>
      <c r="S230" s="7">
        <f>IF($W230="","",IF(INDEX('Per Invoice'!S$2:S$801,$W230)="","",INDEX('Per Invoice'!S$2:S$801,$W230)))</f>
        <v/>
      </c>
      <c r="T230" s="7">
        <f>IF($W230="","",IF(INDEX('Per Invoice'!T$2:T$801,$W230)="","",INDEX('Per Invoice'!T$2:T$801,$W230)))</f>
        <v/>
      </c>
      <c r="U230" s="7">
        <f>IF($W230="","",IF(INDEX('Per Invoice'!U$2:U$801,$W230)="","",INDEX('Per Invoice'!U$2:U$801,$W230)))</f>
        <v/>
      </c>
      <c r="V230" s="7">
        <f>IF($W230="","",IF(INDEX('Per Invoice'!V$2:V$801,$W230)="","",INDEX('Per Invoice'!V$2:V$801,$W230)))</f>
        <v/>
      </c>
      <c r="W230" s="16">
        <f>IFERROR(MATCH(Settings!$C$32&amp;"|"&amp;ROWS($W$2:$W230),'Per Invoice'!$X$2:$X$801,0),"")</f>
        <v/>
      </c>
    </row>
    <row r="231">
      <c r="A231">
        <f>IF($W231="","",IF(INDEX('Per Invoice'!A$2:A$801,$W231)="","",INDEX('Per Invoice'!A$2:A$801,$W231)))</f>
        <v/>
      </c>
      <c r="B231">
        <f>IF($W231="","",IF(INDEX('Per Invoice'!B$2:B$801,$W231)="","",INDEX('Per Invoice'!B$2:B$801,$W231)))</f>
        <v/>
      </c>
      <c r="C231">
        <f>IF($W231="","",IF(INDEX('Per Invoice'!C$2:C$801,$W231)="","",INDEX('Per Invoice'!C$2:C$801,$W231)))</f>
        <v/>
      </c>
      <c r="D231">
        <f>IF($W231="","",IF(INDEX('Per Invoice'!D$2:D$801,$W231)="","",INDEX('Per Invoice'!D$2:D$801,$W231)))</f>
        <v/>
      </c>
      <c r="E231">
        <f>IF($W231="","",IF(INDEX('Per Invoice'!E$2:E$801,$W231)="","",INDEX('Per Invoice'!E$2:E$801,$W231)))</f>
        <v/>
      </c>
      <c r="F231">
        <f>IF($W231="","",IF(INDEX('Per Invoice'!F$2:F$801,$W231)="","",INDEX('Per Invoice'!F$2:F$801,$W231)))</f>
        <v/>
      </c>
      <c r="G231">
        <f>IF($W231="","",IF(INDEX('Per Invoice'!G$2:G$801,$W231)="","",INDEX('Per Invoice'!G$2:G$801,$W231)))</f>
        <v/>
      </c>
      <c r="H231">
        <f>IF($W231="","",IF(INDEX('Per Invoice'!H$2:H$801,$W231)="","",INDEX('Per Invoice'!H$2:H$801,$W231)))</f>
        <v/>
      </c>
      <c r="I231">
        <f>IF($W231="","",IF(INDEX('Per Invoice'!I$2:I$801,$W231)="","",INDEX('Per Invoice'!I$2:I$801,$W231)))</f>
        <v/>
      </c>
      <c r="J231">
        <f>IF($W231="","",IF(INDEX('Per Invoice'!J$2:J$801,$W231)="","",INDEX('Per Invoice'!J$2:J$801,$W231)))</f>
        <v/>
      </c>
      <c r="K231" s="7">
        <f>IF($W231="","",IF(INDEX('Per Invoice'!K$2:K$801,$W231)="","",INDEX('Per Invoice'!K$2:K$801,$W231)))</f>
        <v/>
      </c>
      <c r="L231" s="14">
        <f>IF($W231="","",IF(INDEX('Per Invoice'!L$2:L$801,$W231)="","",INDEX('Per Invoice'!L$2:L$801,$W231)))</f>
        <v/>
      </c>
      <c r="M231">
        <f>IF($W231="","",IF(INDEX('Per Invoice'!M$2:M$801,$W231)="","",INDEX('Per Invoice'!M$2:M$801,$W231)))</f>
        <v/>
      </c>
      <c r="N231" s="7">
        <f>IF($W231="","",IF(INDEX('Per Invoice'!N$2:N$801,$W231)="","",INDEX('Per Invoice'!N$2:N$801,$W231)))</f>
        <v/>
      </c>
      <c r="O231" s="7">
        <f>IF($W231="","",IF(INDEX('Per Invoice'!O$2:O$801,$W231)="","",INDEX('Per Invoice'!O$2:O$801,$W231)))</f>
        <v/>
      </c>
      <c r="P231">
        <f>IF($W231="","",IF(INDEX('Per Invoice'!P$2:P$801,$W231)="","",INDEX('Per Invoice'!P$2:P$801,$W231)))</f>
        <v/>
      </c>
      <c r="Q231" s="7">
        <f>IF($W231="","",IF(INDEX('Per Invoice'!Q$2:Q$801,$W231)="","",INDEX('Per Invoice'!Q$2:Q$801,$W231)))</f>
        <v/>
      </c>
      <c r="R231" s="7">
        <f>IF($W231="","",IF(INDEX('Per Invoice'!R$2:R$801,$W231)="","",INDEX('Per Invoice'!R$2:R$801,$W231)))</f>
        <v/>
      </c>
      <c r="S231" s="7">
        <f>IF($W231="","",IF(INDEX('Per Invoice'!S$2:S$801,$W231)="","",INDEX('Per Invoice'!S$2:S$801,$W231)))</f>
        <v/>
      </c>
      <c r="T231" s="7">
        <f>IF($W231="","",IF(INDEX('Per Invoice'!T$2:T$801,$W231)="","",INDEX('Per Invoice'!T$2:T$801,$W231)))</f>
        <v/>
      </c>
      <c r="U231" s="7">
        <f>IF($W231="","",IF(INDEX('Per Invoice'!U$2:U$801,$W231)="","",INDEX('Per Invoice'!U$2:U$801,$W231)))</f>
        <v/>
      </c>
      <c r="V231" s="7">
        <f>IF($W231="","",IF(INDEX('Per Invoice'!V$2:V$801,$W231)="","",INDEX('Per Invoice'!V$2:V$801,$W231)))</f>
        <v/>
      </c>
      <c r="W231" s="16">
        <f>IFERROR(MATCH(Settings!$C$32&amp;"|"&amp;ROWS($W$2:$W231),'Per Invoice'!$X$2:$X$801,0),"")</f>
        <v/>
      </c>
    </row>
    <row r="232">
      <c r="A232">
        <f>IF($W232="","",IF(INDEX('Per Invoice'!A$2:A$801,$W232)="","",INDEX('Per Invoice'!A$2:A$801,$W232)))</f>
        <v/>
      </c>
      <c r="B232">
        <f>IF($W232="","",IF(INDEX('Per Invoice'!B$2:B$801,$W232)="","",INDEX('Per Invoice'!B$2:B$801,$W232)))</f>
        <v/>
      </c>
      <c r="C232">
        <f>IF($W232="","",IF(INDEX('Per Invoice'!C$2:C$801,$W232)="","",INDEX('Per Invoice'!C$2:C$801,$W232)))</f>
        <v/>
      </c>
      <c r="D232">
        <f>IF($W232="","",IF(INDEX('Per Invoice'!D$2:D$801,$W232)="","",INDEX('Per Invoice'!D$2:D$801,$W232)))</f>
        <v/>
      </c>
      <c r="E232">
        <f>IF($W232="","",IF(INDEX('Per Invoice'!E$2:E$801,$W232)="","",INDEX('Per Invoice'!E$2:E$801,$W232)))</f>
        <v/>
      </c>
      <c r="F232">
        <f>IF($W232="","",IF(INDEX('Per Invoice'!F$2:F$801,$W232)="","",INDEX('Per Invoice'!F$2:F$801,$W232)))</f>
        <v/>
      </c>
      <c r="G232">
        <f>IF($W232="","",IF(INDEX('Per Invoice'!G$2:G$801,$W232)="","",INDEX('Per Invoice'!G$2:G$801,$W232)))</f>
        <v/>
      </c>
      <c r="H232">
        <f>IF($W232="","",IF(INDEX('Per Invoice'!H$2:H$801,$W232)="","",INDEX('Per Invoice'!H$2:H$801,$W232)))</f>
        <v/>
      </c>
      <c r="I232">
        <f>IF($W232="","",IF(INDEX('Per Invoice'!I$2:I$801,$W232)="","",INDEX('Per Invoice'!I$2:I$801,$W232)))</f>
        <v/>
      </c>
      <c r="J232">
        <f>IF($W232="","",IF(INDEX('Per Invoice'!J$2:J$801,$W232)="","",INDEX('Per Invoice'!J$2:J$801,$W232)))</f>
        <v/>
      </c>
      <c r="K232" s="7">
        <f>IF($W232="","",IF(INDEX('Per Invoice'!K$2:K$801,$W232)="","",INDEX('Per Invoice'!K$2:K$801,$W232)))</f>
        <v/>
      </c>
      <c r="L232" s="14">
        <f>IF($W232="","",IF(INDEX('Per Invoice'!L$2:L$801,$W232)="","",INDEX('Per Invoice'!L$2:L$801,$W232)))</f>
        <v/>
      </c>
      <c r="M232">
        <f>IF($W232="","",IF(INDEX('Per Invoice'!M$2:M$801,$W232)="","",INDEX('Per Invoice'!M$2:M$801,$W232)))</f>
        <v/>
      </c>
      <c r="N232" s="7">
        <f>IF($W232="","",IF(INDEX('Per Invoice'!N$2:N$801,$W232)="","",INDEX('Per Invoice'!N$2:N$801,$W232)))</f>
        <v/>
      </c>
      <c r="O232" s="7">
        <f>IF($W232="","",IF(INDEX('Per Invoice'!O$2:O$801,$W232)="","",INDEX('Per Invoice'!O$2:O$801,$W232)))</f>
        <v/>
      </c>
      <c r="P232">
        <f>IF($W232="","",IF(INDEX('Per Invoice'!P$2:P$801,$W232)="","",INDEX('Per Invoice'!P$2:P$801,$W232)))</f>
        <v/>
      </c>
      <c r="Q232" s="7">
        <f>IF($W232="","",IF(INDEX('Per Invoice'!Q$2:Q$801,$W232)="","",INDEX('Per Invoice'!Q$2:Q$801,$W232)))</f>
        <v/>
      </c>
      <c r="R232" s="7">
        <f>IF($W232="","",IF(INDEX('Per Invoice'!R$2:R$801,$W232)="","",INDEX('Per Invoice'!R$2:R$801,$W232)))</f>
        <v/>
      </c>
      <c r="S232" s="7">
        <f>IF($W232="","",IF(INDEX('Per Invoice'!S$2:S$801,$W232)="","",INDEX('Per Invoice'!S$2:S$801,$W232)))</f>
        <v/>
      </c>
      <c r="T232" s="7">
        <f>IF($W232="","",IF(INDEX('Per Invoice'!T$2:T$801,$W232)="","",INDEX('Per Invoice'!T$2:T$801,$W232)))</f>
        <v/>
      </c>
      <c r="U232" s="7">
        <f>IF($W232="","",IF(INDEX('Per Invoice'!U$2:U$801,$W232)="","",INDEX('Per Invoice'!U$2:U$801,$W232)))</f>
        <v/>
      </c>
      <c r="V232" s="7">
        <f>IF($W232="","",IF(INDEX('Per Invoice'!V$2:V$801,$W232)="","",INDEX('Per Invoice'!V$2:V$801,$W232)))</f>
        <v/>
      </c>
      <c r="W232" s="16">
        <f>IFERROR(MATCH(Settings!$C$32&amp;"|"&amp;ROWS($W$2:$W232),'Per Invoice'!$X$2:$X$801,0),"")</f>
        <v/>
      </c>
    </row>
    <row r="233">
      <c r="A233">
        <f>IF($W233="","",IF(INDEX('Per Invoice'!A$2:A$801,$W233)="","",INDEX('Per Invoice'!A$2:A$801,$W233)))</f>
        <v/>
      </c>
      <c r="B233">
        <f>IF($W233="","",IF(INDEX('Per Invoice'!B$2:B$801,$W233)="","",INDEX('Per Invoice'!B$2:B$801,$W233)))</f>
        <v/>
      </c>
      <c r="C233">
        <f>IF($W233="","",IF(INDEX('Per Invoice'!C$2:C$801,$W233)="","",INDEX('Per Invoice'!C$2:C$801,$W233)))</f>
        <v/>
      </c>
      <c r="D233">
        <f>IF($W233="","",IF(INDEX('Per Invoice'!D$2:D$801,$W233)="","",INDEX('Per Invoice'!D$2:D$801,$W233)))</f>
        <v/>
      </c>
      <c r="E233">
        <f>IF($W233="","",IF(INDEX('Per Invoice'!E$2:E$801,$W233)="","",INDEX('Per Invoice'!E$2:E$801,$W233)))</f>
        <v/>
      </c>
      <c r="F233">
        <f>IF($W233="","",IF(INDEX('Per Invoice'!F$2:F$801,$W233)="","",INDEX('Per Invoice'!F$2:F$801,$W233)))</f>
        <v/>
      </c>
      <c r="G233">
        <f>IF($W233="","",IF(INDEX('Per Invoice'!G$2:G$801,$W233)="","",INDEX('Per Invoice'!G$2:G$801,$W233)))</f>
        <v/>
      </c>
      <c r="H233">
        <f>IF($W233="","",IF(INDEX('Per Invoice'!H$2:H$801,$W233)="","",INDEX('Per Invoice'!H$2:H$801,$W233)))</f>
        <v/>
      </c>
      <c r="I233">
        <f>IF($W233="","",IF(INDEX('Per Invoice'!I$2:I$801,$W233)="","",INDEX('Per Invoice'!I$2:I$801,$W233)))</f>
        <v/>
      </c>
      <c r="J233">
        <f>IF($W233="","",IF(INDEX('Per Invoice'!J$2:J$801,$W233)="","",INDEX('Per Invoice'!J$2:J$801,$W233)))</f>
        <v/>
      </c>
      <c r="K233" s="7">
        <f>IF($W233="","",IF(INDEX('Per Invoice'!K$2:K$801,$W233)="","",INDEX('Per Invoice'!K$2:K$801,$W233)))</f>
        <v/>
      </c>
      <c r="L233" s="14">
        <f>IF($W233="","",IF(INDEX('Per Invoice'!L$2:L$801,$W233)="","",INDEX('Per Invoice'!L$2:L$801,$W233)))</f>
        <v/>
      </c>
      <c r="M233">
        <f>IF($W233="","",IF(INDEX('Per Invoice'!M$2:M$801,$W233)="","",INDEX('Per Invoice'!M$2:M$801,$W233)))</f>
        <v/>
      </c>
      <c r="N233" s="7">
        <f>IF($W233="","",IF(INDEX('Per Invoice'!N$2:N$801,$W233)="","",INDEX('Per Invoice'!N$2:N$801,$W233)))</f>
        <v/>
      </c>
      <c r="O233" s="7">
        <f>IF($W233="","",IF(INDEX('Per Invoice'!O$2:O$801,$W233)="","",INDEX('Per Invoice'!O$2:O$801,$W233)))</f>
        <v/>
      </c>
      <c r="P233">
        <f>IF($W233="","",IF(INDEX('Per Invoice'!P$2:P$801,$W233)="","",INDEX('Per Invoice'!P$2:P$801,$W233)))</f>
        <v/>
      </c>
      <c r="Q233" s="7">
        <f>IF($W233="","",IF(INDEX('Per Invoice'!Q$2:Q$801,$W233)="","",INDEX('Per Invoice'!Q$2:Q$801,$W233)))</f>
        <v/>
      </c>
      <c r="R233" s="7">
        <f>IF($W233="","",IF(INDEX('Per Invoice'!R$2:R$801,$W233)="","",INDEX('Per Invoice'!R$2:R$801,$W233)))</f>
        <v/>
      </c>
      <c r="S233" s="7">
        <f>IF($W233="","",IF(INDEX('Per Invoice'!S$2:S$801,$W233)="","",INDEX('Per Invoice'!S$2:S$801,$W233)))</f>
        <v/>
      </c>
      <c r="T233" s="7">
        <f>IF($W233="","",IF(INDEX('Per Invoice'!T$2:T$801,$W233)="","",INDEX('Per Invoice'!T$2:T$801,$W233)))</f>
        <v/>
      </c>
      <c r="U233" s="7">
        <f>IF($W233="","",IF(INDEX('Per Invoice'!U$2:U$801,$W233)="","",INDEX('Per Invoice'!U$2:U$801,$W233)))</f>
        <v/>
      </c>
      <c r="V233" s="7">
        <f>IF($W233="","",IF(INDEX('Per Invoice'!V$2:V$801,$W233)="","",INDEX('Per Invoice'!V$2:V$801,$W233)))</f>
        <v/>
      </c>
      <c r="W233" s="16">
        <f>IFERROR(MATCH(Settings!$C$32&amp;"|"&amp;ROWS($W$2:$W233),'Per Invoice'!$X$2:$X$801,0),"")</f>
        <v/>
      </c>
    </row>
    <row r="234">
      <c r="A234">
        <f>IF($W234="","",IF(INDEX('Per Invoice'!A$2:A$801,$W234)="","",INDEX('Per Invoice'!A$2:A$801,$W234)))</f>
        <v/>
      </c>
      <c r="B234">
        <f>IF($W234="","",IF(INDEX('Per Invoice'!B$2:B$801,$W234)="","",INDEX('Per Invoice'!B$2:B$801,$W234)))</f>
        <v/>
      </c>
      <c r="C234">
        <f>IF($W234="","",IF(INDEX('Per Invoice'!C$2:C$801,$W234)="","",INDEX('Per Invoice'!C$2:C$801,$W234)))</f>
        <v/>
      </c>
      <c r="D234">
        <f>IF($W234="","",IF(INDEX('Per Invoice'!D$2:D$801,$W234)="","",INDEX('Per Invoice'!D$2:D$801,$W234)))</f>
        <v/>
      </c>
      <c r="E234">
        <f>IF($W234="","",IF(INDEX('Per Invoice'!E$2:E$801,$W234)="","",INDEX('Per Invoice'!E$2:E$801,$W234)))</f>
        <v/>
      </c>
      <c r="F234">
        <f>IF($W234="","",IF(INDEX('Per Invoice'!F$2:F$801,$W234)="","",INDEX('Per Invoice'!F$2:F$801,$W234)))</f>
        <v/>
      </c>
      <c r="G234">
        <f>IF($W234="","",IF(INDEX('Per Invoice'!G$2:G$801,$W234)="","",INDEX('Per Invoice'!G$2:G$801,$W234)))</f>
        <v/>
      </c>
      <c r="H234">
        <f>IF($W234="","",IF(INDEX('Per Invoice'!H$2:H$801,$W234)="","",INDEX('Per Invoice'!H$2:H$801,$W234)))</f>
        <v/>
      </c>
      <c r="I234">
        <f>IF($W234="","",IF(INDEX('Per Invoice'!I$2:I$801,$W234)="","",INDEX('Per Invoice'!I$2:I$801,$W234)))</f>
        <v/>
      </c>
      <c r="J234">
        <f>IF($W234="","",IF(INDEX('Per Invoice'!J$2:J$801,$W234)="","",INDEX('Per Invoice'!J$2:J$801,$W234)))</f>
        <v/>
      </c>
      <c r="K234" s="7">
        <f>IF($W234="","",IF(INDEX('Per Invoice'!K$2:K$801,$W234)="","",INDEX('Per Invoice'!K$2:K$801,$W234)))</f>
        <v/>
      </c>
      <c r="L234" s="14">
        <f>IF($W234="","",IF(INDEX('Per Invoice'!L$2:L$801,$W234)="","",INDEX('Per Invoice'!L$2:L$801,$W234)))</f>
        <v/>
      </c>
      <c r="M234">
        <f>IF($W234="","",IF(INDEX('Per Invoice'!M$2:M$801,$W234)="","",INDEX('Per Invoice'!M$2:M$801,$W234)))</f>
        <v/>
      </c>
      <c r="N234" s="7">
        <f>IF($W234="","",IF(INDEX('Per Invoice'!N$2:N$801,$W234)="","",INDEX('Per Invoice'!N$2:N$801,$W234)))</f>
        <v/>
      </c>
      <c r="O234" s="7">
        <f>IF($W234="","",IF(INDEX('Per Invoice'!O$2:O$801,$W234)="","",INDEX('Per Invoice'!O$2:O$801,$W234)))</f>
        <v/>
      </c>
      <c r="P234">
        <f>IF($W234="","",IF(INDEX('Per Invoice'!P$2:P$801,$W234)="","",INDEX('Per Invoice'!P$2:P$801,$W234)))</f>
        <v/>
      </c>
      <c r="Q234" s="7">
        <f>IF($W234="","",IF(INDEX('Per Invoice'!Q$2:Q$801,$W234)="","",INDEX('Per Invoice'!Q$2:Q$801,$W234)))</f>
        <v/>
      </c>
      <c r="R234" s="7">
        <f>IF($W234="","",IF(INDEX('Per Invoice'!R$2:R$801,$W234)="","",INDEX('Per Invoice'!R$2:R$801,$W234)))</f>
        <v/>
      </c>
      <c r="S234" s="7">
        <f>IF($W234="","",IF(INDEX('Per Invoice'!S$2:S$801,$W234)="","",INDEX('Per Invoice'!S$2:S$801,$W234)))</f>
        <v/>
      </c>
      <c r="T234" s="7">
        <f>IF($W234="","",IF(INDEX('Per Invoice'!T$2:T$801,$W234)="","",INDEX('Per Invoice'!T$2:T$801,$W234)))</f>
        <v/>
      </c>
      <c r="U234" s="7">
        <f>IF($W234="","",IF(INDEX('Per Invoice'!U$2:U$801,$W234)="","",INDEX('Per Invoice'!U$2:U$801,$W234)))</f>
        <v/>
      </c>
      <c r="V234" s="7">
        <f>IF($W234="","",IF(INDEX('Per Invoice'!V$2:V$801,$W234)="","",INDEX('Per Invoice'!V$2:V$801,$W234)))</f>
        <v/>
      </c>
      <c r="W234" s="16">
        <f>IFERROR(MATCH(Settings!$C$32&amp;"|"&amp;ROWS($W$2:$W234),'Per Invoice'!$X$2:$X$801,0),"")</f>
        <v/>
      </c>
    </row>
    <row r="235">
      <c r="A235">
        <f>IF($W235="","",IF(INDEX('Per Invoice'!A$2:A$801,$W235)="","",INDEX('Per Invoice'!A$2:A$801,$W235)))</f>
        <v/>
      </c>
      <c r="B235">
        <f>IF($W235="","",IF(INDEX('Per Invoice'!B$2:B$801,$W235)="","",INDEX('Per Invoice'!B$2:B$801,$W235)))</f>
        <v/>
      </c>
      <c r="C235">
        <f>IF($W235="","",IF(INDEX('Per Invoice'!C$2:C$801,$W235)="","",INDEX('Per Invoice'!C$2:C$801,$W235)))</f>
        <v/>
      </c>
      <c r="D235">
        <f>IF($W235="","",IF(INDEX('Per Invoice'!D$2:D$801,$W235)="","",INDEX('Per Invoice'!D$2:D$801,$W235)))</f>
        <v/>
      </c>
      <c r="E235">
        <f>IF($W235="","",IF(INDEX('Per Invoice'!E$2:E$801,$W235)="","",INDEX('Per Invoice'!E$2:E$801,$W235)))</f>
        <v/>
      </c>
      <c r="F235">
        <f>IF($W235="","",IF(INDEX('Per Invoice'!F$2:F$801,$W235)="","",INDEX('Per Invoice'!F$2:F$801,$W235)))</f>
        <v/>
      </c>
      <c r="G235">
        <f>IF($W235="","",IF(INDEX('Per Invoice'!G$2:G$801,$W235)="","",INDEX('Per Invoice'!G$2:G$801,$W235)))</f>
        <v/>
      </c>
      <c r="H235">
        <f>IF($W235="","",IF(INDEX('Per Invoice'!H$2:H$801,$W235)="","",INDEX('Per Invoice'!H$2:H$801,$W235)))</f>
        <v/>
      </c>
      <c r="I235">
        <f>IF($W235="","",IF(INDEX('Per Invoice'!I$2:I$801,$W235)="","",INDEX('Per Invoice'!I$2:I$801,$W235)))</f>
        <v/>
      </c>
      <c r="J235">
        <f>IF($W235="","",IF(INDEX('Per Invoice'!J$2:J$801,$W235)="","",INDEX('Per Invoice'!J$2:J$801,$W235)))</f>
        <v/>
      </c>
      <c r="K235" s="7">
        <f>IF($W235="","",IF(INDEX('Per Invoice'!K$2:K$801,$W235)="","",INDEX('Per Invoice'!K$2:K$801,$W235)))</f>
        <v/>
      </c>
      <c r="L235" s="14">
        <f>IF($W235="","",IF(INDEX('Per Invoice'!L$2:L$801,$W235)="","",INDEX('Per Invoice'!L$2:L$801,$W235)))</f>
        <v/>
      </c>
      <c r="M235">
        <f>IF($W235="","",IF(INDEX('Per Invoice'!M$2:M$801,$W235)="","",INDEX('Per Invoice'!M$2:M$801,$W235)))</f>
        <v/>
      </c>
      <c r="N235" s="7">
        <f>IF($W235="","",IF(INDEX('Per Invoice'!N$2:N$801,$W235)="","",INDEX('Per Invoice'!N$2:N$801,$W235)))</f>
        <v/>
      </c>
      <c r="O235" s="7">
        <f>IF($W235="","",IF(INDEX('Per Invoice'!O$2:O$801,$W235)="","",INDEX('Per Invoice'!O$2:O$801,$W235)))</f>
        <v/>
      </c>
      <c r="P235">
        <f>IF($W235="","",IF(INDEX('Per Invoice'!P$2:P$801,$W235)="","",INDEX('Per Invoice'!P$2:P$801,$W235)))</f>
        <v/>
      </c>
      <c r="Q235" s="7">
        <f>IF($W235="","",IF(INDEX('Per Invoice'!Q$2:Q$801,$W235)="","",INDEX('Per Invoice'!Q$2:Q$801,$W235)))</f>
        <v/>
      </c>
      <c r="R235" s="7">
        <f>IF($W235="","",IF(INDEX('Per Invoice'!R$2:R$801,$W235)="","",INDEX('Per Invoice'!R$2:R$801,$W235)))</f>
        <v/>
      </c>
      <c r="S235" s="7">
        <f>IF($W235="","",IF(INDEX('Per Invoice'!S$2:S$801,$W235)="","",INDEX('Per Invoice'!S$2:S$801,$W235)))</f>
        <v/>
      </c>
      <c r="T235" s="7">
        <f>IF($W235="","",IF(INDEX('Per Invoice'!T$2:T$801,$W235)="","",INDEX('Per Invoice'!T$2:T$801,$W235)))</f>
        <v/>
      </c>
      <c r="U235" s="7">
        <f>IF($W235="","",IF(INDEX('Per Invoice'!U$2:U$801,$W235)="","",INDEX('Per Invoice'!U$2:U$801,$W235)))</f>
        <v/>
      </c>
      <c r="V235" s="7">
        <f>IF($W235="","",IF(INDEX('Per Invoice'!V$2:V$801,$W235)="","",INDEX('Per Invoice'!V$2:V$801,$W235)))</f>
        <v/>
      </c>
      <c r="W235" s="16">
        <f>IFERROR(MATCH(Settings!$C$32&amp;"|"&amp;ROWS($W$2:$W235),'Per Invoice'!$X$2:$X$801,0),"")</f>
        <v/>
      </c>
    </row>
    <row r="236">
      <c r="A236">
        <f>IF($W236="","",IF(INDEX('Per Invoice'!A$2:A$801,$W236)="","",INDEX('Per Invoice'!A$2:A$801,$W236)))</f>
        <v/>
      </c>
      <c r="B236">
        <f>IF($W236="","",IF(INDEX('Per Invoice'!B$2:B$801,$W236)="","",INDEX('Per Invoice'!B$2:B$801,$W236)))</f>
        <v/>
      </c>
      <c r="C236">
        <f>IF($W236="","",IF(INDEX('Per Invoice'!C$2:C$801,$W236)="","",INDEX('Per Invoice'!C$2:C$801,$W236)))</f>
        <v/>
      </c>
      <c r="D236">
        <f>IF($W236="","",IF(INDEX('Per Invoice'!D$2:D$801,$W236)="","",INDEX('Per Invoice'!D$2:D$801,$W236)))</f>
        <v/>
      </c>
      <c r="E236">
        <f>IF($W236="","",IF(INDEX('Per Invoice'!E$2:E$801,$W236)="","",INDEX('Per Invoice'!E$2:E$801,$W236)))</f>
        <v/>
      </c>
      <c r="F236">
        <f>IF($W236="","",IF(INDEX('Per Invoice'!F$2:F$801,$W236)="","",INDEX('Per Invoice'!F$2:F$801,$W236)))</f>
        <v/>
      </c>
      <c r="G236">
        <f>IF($W236="","",IF(INDEX('Per Invoice'!G$2:G$801,$W236)="","",INDEX('Per Invoice'!G$2:G$801,$W236)))</f>
        <v/>
      </c>
      <c r="H236">
        <f>IF($W236="","",IF(INDEX('Per Invoice'!H$2:H$801,$W236)="","",INDEX('Per Invoice'!H$2:H$801,$W236)))</f>
        <v/>
      </c>
      <c r="I236">
        <f>IF($W236="","",IF(INDEX('Per Invoice'!I$2:I$801,$W236)="","",INDEX('Per Invoice'!I$2:I$801,$W236)))</f>
        <v/>
      </c>
      <c r="J236">
        <f>IF($W236="","",IF(INDEX('Per Invoice'!J$2:J$801,$W236)="","",INDEX('Per Invoice'!J$2:J$801,$W236)))</f>
        <v/>
      </c>
      <c r="K236" s="7">
        <f>IF($W236="","",IF(INDEX('Per Invoice'!K$2:K$801,$W236)="","",INDEX('Per Invoice'!K$2:K$801,$W236)))</f>
        <v/>
      </c>
      <c r="L236" s="14">
        <f>IF($W236="","",IF(INDEX('Per Invoice'!L$2:L$801,$W236)="","",INDEX('Per Invoice'!L$2:L$801,$W236)))</f>
        <v/>
      </c>
      <c r="M236">
        <f>IF($W236="","",IF(INDEX('Per Invoice'!M$2:M$801,$W236)="","",INDEX('Per Invoice'!M$2:M$801,$W236)))</f>
        <v/>
      </c>
      <c r="N236" s="7">
        <f>IF($W236="","",IF(INDEX('Per Invoice'!N$2:N$801,$W236)="","",INDEX('Per Invoice'!N$2:N$801,$W236)))</f>
        <v/>
      </c>
      <c r="O236" s="7">
        <f>IF($W236="","",IF(INDEX('Per Invoice'!O$2:O$801,$W236)="","",INDEX('Per Invoice'!O$2:O$801,$W236)))</f>
        <v/>
      </c>
      <c r="P236">
        <f>IF($W236="","",IF(INDEX('Per Invoice'!P$2:P$801,$W236)="","",INDEX('Per Invoice'!P$2:P$801,$W236)))</f>
        <v/>
      </c>
      <c r="Q236" s="7">
        <f>IF($W236="","",IF(INDEX('Per Invoice'!Q$2:Q$801,$W236)="","",INDEX('Per Invoice'!Q$2:Q$801,$W236)))</f>
        <v/>
      </c>
      <c r="R236" s="7">
        <f>IF($W236="","",IF(INDEX('Per Invoice'!R$2:R$801,$W236)="","",INDEX('Per Invoice'!R$2:R$801,$W236)))</f>
        <v/>
      </c>
      <c r="S236" s="7">
        <f>IF($W236="","",IF(INDEX('Per Invoice'!S$2:S$801,$W236)="","",INDEX('Per Invoice'!S$2:S$801,$W236)))</f>
        <v/>
      </c>
      <c r="T236" s="7">
        <f>IF($W236="","",IF(INDEX('Per Invoice'!T$2:T$801,$W236)="","",INDEX('Per Invoice'!T$2:T$801,$W236)))</f>
        <v/>
      </c>
      <c r="U236" s="7">
        <f>IF($W236="","",IF(INDEX('Per Invoice'!U$2:U$801,$W236)="","",INDEX('Per Invoice'!U$2:U$801,$W236)))</f>
        <v/>
      </c>
      <c r="V236" s="7">
        <f>IF($W236="","",IF(INDEX('Per Invoice'!V$2:V$801,$W236)="","",INDEX('Per Invoice'!V$2:V$801,$W236)))</f>
        <v/>
      </c>
      <c r="W236" s="16">
        <f>IFERROR(MATCH(Settings!$C$32&amp;"|"&amp;ROWS($W$2:$W236),'Per Invoice'!$X$2:$X$801,0),"")</f>
        <v/>
      </c>
    </row>
    <row r="237">
      <c r="A237">
        <f>IF($W237="","",IF(INDEX('Per Invoice'!A$2:A$801,$W237)="","",INDEX('Per Invoice'!A$2:A$801,$W237)))</f>
        <v/>
      </c>
      <c r="B237">
        <f>IF($W237="","",IF(INDEX('Per Invoice'!B$2:B$801,$W237)="","",INDEX('Per Invoice'!B$2:B$801,$W237)))</f>
        <v/>
      </c>
      <c r="C237">
        <f>IF($W237="","",IF(INDEX('Per Invoice'!C$2:C$801,$W237)="","",INDEX('Per Invoice'!C$2:C$801,$W237)))</f>
        <v/>
      </c>
      <c r="D237">
        <f>IF($W237="","",IF(INDEX('Per Invoice'!D$2:D$801,$W237)="","",INDEX('Per Invoice'!D$2:D$801,$W237)))</f>
        <v/>
      </c>
      <c r="E237">
        <f>IF($W237="","",IF(INDEX('Per Invoice'!E$2:E$801,$W237)="","",INDEX('Per Invoice'!E$2:E$801,$W237)))</f>
        <v/>
      </c>
      <c r="F237">
        <f>IF($W237="","",IF(INDEX('Per Invoice'!F$2:F$801,$W237)="","",INDEX('Per Invoice'!F$2:F$801,$W237)))</f>
        <v/>
      </c>
      <c r="G237">
        <f>IF($W237="","",IF(INDEX('Per Invoice'!G$2:G$801,$W237)="","",INDEX('Per Invoice'!G$2:G$801,$W237)))</f>
        <v/>
      </c>
      <c r="H237">
        <f>IF($W237="","",IF(INDEX('Per Invoice'!H$2:H$801,$W237)="","",INDEX('Per Invoice'!H$2:H$801,$W237)))</f>
        <v/>
      </c>
      <c r="I237">
        <f>IF($W237="","",IF(INDEX('Per Invoice'!I$2:I$801,$W237)="","",INDEX('Per Invoice'!I$2:I$801,$W237)))</f>
        <v/>
      </c>
      <c r="J237">
        <f>IF($W237="","",IF(INDEX('Per Invoice'!J$2:J$801,$W237)="","",INDEX('Per Invoice'!J$2:J$801,$W237)))</f>
        <v/>
      </c>
      <c r="K237" s="7">
        <f>IF($W237="","",IF(INDEX('Per Invoice'!K$2:K$801,$W237)="","",INDEX('Per Invoice'!K$2:K$801,$W237)))</f>
        <v/>
      </c>
      <c r="L237" s="14">
        <f>IF($W237="","",IF(INDEX('Per Invoice'!L$2:L$801,$W237)="","",INDEX('Per Invoice'!L$2:L$801,$W237)))</f>
        <v/>
      </c>
      <c r="M237">
        <f>IF($W237="","",IF(INDEX('Per Invoice'!M$2:M$801,$W237)="","",INDEX('Per Invoice'!M$2:M$801,$W237)))</f>
        <v/>
      </c>
      <c r="N237" s="7">
        <f>IF($W237="","",IF(INDEX('Per Invoice'!N$2:N$801,$W237)="","",INDEX('Per Invoice'!N$2:N$801,$W237)))</f>
        <v/>
      </c>
      <c r="O237" s="7">
        <f>IF($W237="","",IF(INDEX('Per Invoice'!O$2:O$801,$W237)="","",INDEX('Per Invoice'!O$2:O$801,$W237)))</f>
        <v/>
      </c>
      <c r="P237">
        <f>IF($W237="","",IF(INDEX('Per Invoice'!P$2:P$801,$W237)="","",INDEX('Per Invoice'!P$2:P$801,$W237)))</f>
        <v/>
      </c>
      <c r="Q237" s="7">
        <f>IF($W237="","",IF(INDEX('Per Invoice'!Q$2:Q$801,$W237)="","",INDEX('Per Invoice'!Q$2:Q$801,$W237)))</f>
        <v/>
      </c>
      <c r="R237" s="7">
        <f>IF($W237="","",IF(INDEX('Per Invoice'!R$2:R$801,$W237)="","",INDEX('Per Invoice'!R$2:R$801,$W237)))</f>
        <v/>
      </c>
      <c r="S237" s="7">
        <f>IF($W237="","",IF(INDEX('Per Invoice'!S$2:S$801,$W237)="","",INDEX('Per Invoice'!S$2:S$801,$W237)))</f>
        <v/>
      </c>
      <c r="T237" s="7">
        <f>IF($W237="","",IF(INDEX('Per Invoice'!T$2:T$801,$W237)="","",INDEX('Per Invoice'!T$2:T$801,$W237)))</f>
        <v/>
      </c>
      <c r="U237" s="7">
        <f>IF($W237="","",IF(INDEX('Per Invoice'!U$2:U$801,$W237)="","",INDEX('Per Invoice'!U$2:U$801,$W237)))</f>
        <v/>
      </c>
      <c r="V237" s="7">
        <f>IF($W237="","",IF(INDEX('Per Invoice'!V$2:V$801,$W237)="","",INDEX('Per Invoice'!V$2:V$801,$W237)))</f>
        <v/>
      </c>
      <c r="W237" s="16">
        <f>IFERROR(MATCH(Settings!$C$32&amp;"|"&amp;ROWS($W$2:$W237),'Per Invoice'!$X$2:$X$801,0),"")</f>
        <v/>
      </c>
    </row>
    <row r="238">
      <c r="A238">
        <f>IF($W238="","",IF(INDEX('Per Invoice'!A$2:A$801,$W238)="","",INDEX('Per Invoice'!A$2:A$801,$W238)))</f>
        <v/>
      </c>
      <c r="B238">
        <f>IF($W238="","",IF(INDEX('Per Invoice'!B$2:B$801,$W238)="","",INDEX('Per Invoice'!B$2:B$801,$W238)))</f>
        <v/>
      </c>
      <c r="C238">
        <f>IF($W238="","",IF(INDEX('Per Invoice'!C$2:C$801,$W238)="","",INDEX('Per Invoice'!C$2:C$801,$W238)))</f>
        <v/>
      </c>
      <c r="D238">
        <f>IF($W238="","",IF(INDEX('Per Invoice'!D$2:D$801,$W238)="","",INDEX('Per Invoice'!D$2:D$801,$W238)))</f>
        <v/>
      </c>
      <c r="E238">
        <f>IF($W238="","",IF(INDEX('Per Invoice'!E$2:E$801,$W238)="","",INDEX('Per Invoice'!E$2:E$801,$W238)))</f>
        <v/>
      </c>
      <c r="F238">
        <f>IF($W238="","",IF(INDEX('Per Invoice'!F$2:F$801,$W238)="","",INDEX('Per Invoice'!F$2:F$801,$W238)))</f>
        <v/>
      </c>
      <c r="G238">
        <f>IF($W238="","",IF(INDEX('Per Invoice'!G$2:G$801,$W238)="","",INDEX('Per Invoice'!G$2:G$801,$W238)))</f>
        <v/>
      </c>
      <c r="H238">
        <f>IF($W238="","",IF(INDEX('Per Invoice'!H$2:H$801,$W238)="","",INDEX('Per Invoice'!H$2:H$801,$W238)))</f>
        <v/>
      </c>
      <c r="I238">
        <f>IF($W238="","",IF(INDEX('Per Invoice'!I$2:I$801,$W238)="","",INDEX('Per Invoice'!I$2:I$801,$W238)))</f>
        <v/>
      </c>
      <c r="J238">
        <f>IF($W238="","",IF(INDEX('Per Invoice'!J$2:J$801,$W238)="","",INDEX('Per Invoice'!J$2:J$801,$W238)))</f>
        <v/>
      </c>
      <c r="K238" s="7">
        <f>IF($W238="","",IF(INDEX('Per Invoice'!K$2:K$801,$W238)="","",INDEX('Per Invoice'!K$2:K$801,$W238)))</f>
        <v/>
      </c>
      <c r="L238" s="14">
        <f>IF($W238="","",IF(INDEX('Per Invoice'!L$2:L$801,$W238)="","",INDEX('Per Invoice'!L$2:L$801,$W238)))</f>
        <v/>
      </c>
      <c r="M238">
        <f>IF($W238="","",IF(INDEX('Per Invoice'!M$2:M$801,$W238)="","",INDEX('Per Invoice'!M$2:M$801,$W238)))</f>
        <v/>
      </c>
      <c r="N238" s="7">
        <f>IF($W238="","",IF(INDEX('Per Invoice'!N$2:N$801,$W238)="","",INDEX('Per Invoice'!N$2:N$801,$W238)))</f>
        <v/>
      </c>
      <c r="O238" s="7">
        <f>IF($W238="","",IF(INDEX('Per Invoice'!O$2:O$801,$W238)="","",INDEX('Per Invoice'!O$2:O$801,$W238)))</f>
        <v/>
      </c>
      <c r="P238">
        <f>IF($W238="","",IF(INDEX('Per Invoice'!P$2:P$801,$W238)="","",INDEX('Per Invoice'!P$2:P$801,$W238)))</f>
        <v/>
      </c>
      <c r="Q238" s="7">
        <f>IF($W238="","",IF(INDEX('Per Invoice'!Q$2:Q$801,$W238)="","",INDEX('Per Invoice'!Q$2:Q$801,$W238)))</f>
        <v/>
      </c>
      <c r="R238" s="7">
        <f>IF($W238="","",IF(INDEX('Per Invoice'!R$2:R$801,$W238)="","",INDEX('Per Invoice'!R$2:R$801,$W238)))</f>
        <v/>
      </c>
      <c r="S238" s="7">
        <f>IF($W238="","",IF(INDEX('Per Invoice'!S$2:S$801,$W238)="","",INDEX('Per Invoice'!S$2:S$801,$W238)))</f>
        <v/>
      </c>
      <c r="T238" s="7">
        <f>IF($W238="","",IF(INDEX('Per Invoice'!T$2:T$801,$W238)="","",INDEX('Per Invoice'!T$2:T$801,$W238)))</f>
        <v/>
      </c>
      <c r="U238" s="7">
        <f>IF($W238="","",IF(INDEX('Per Invoice'!U$2:U$801,$W238)="","",INDEX('Per Invoice'!U$2:U$801,$W238)))</f>
        <v/>
      </c>
      <c r="V238" s="7">
        <f>IF($W238="","",IF(INDEX('Per Invoice'!V$2:V$801,$W238)="","",INDEX('Per Invoice'!V$2:V$801,$W238)))</f>
        <v/>
      </c>
      <c r="W238" s="16">
        <f>IFERROR(MATCH(Settings!$C$32&amp;"|"&amp;ROWS($W$2:$W238),'Per Invoice'!$X$2:$X$801,0),"")</f>
        <v/>
      </c>
    </row>
    <row r="239">
      <c r="A239">
        <f>IF($W239="","",IF(INDEX('Per Invoice'!A$2:A$801,$W239)="","",INDEX('Per Invoice'!A$2:A$801,$W239)))</f>
        <v/>
      </c>
      <c r="B239">
        <f>IF($W239="","",IF(INDEX('Per Invoice'!B$2:B$801,$W239)="","",INDEX('Per Invoice'!B$2:B$801,$W239)))</f>
        <v/>
      </c>
      <c r="C239">
        <f>IF($W239="","",IF(INDEX('Per Invoice'!C$2:C$801,$W239)="","",INDEX('Per Invoice'!C$2:C$801,$W239)))</f>
        <v/>
      </c>
      <c r="D239">
        <f>IF($W239="","",IF(INDEX('Per Invoice'!D$2:D$801,$W239)="","",INDEX('Per Invoice'!D$2:D$801,$W239)))</f>
        <v/>
      </c>
      <c r="E239">
        <f>IF($W239="","",IF(INDEX('Per Invoice'!E$2:E$801,$W239)="","",INDEX('Per Invoice'!E$2:E$801,$W239)))</f>
        <v/>
      </c>
      <c r="F239">
        <f>IF($W239="","",IF(INDEX('Per Invoice'!F$2:F$801,$W239)="","",INDEX('Per Invoice'!F$2:F$801,$W239)))</f>
        <v/>
      </c>
      <c r="G239">
        <f>IF($W239="","",IF(INDEX('Per Invoice'!G$2:G$801,$W239)="","",INDEX('Per Invoice'!G$2:G$801,$W239)))</f>
        <v/>
      </c>
      <c r="H239">
        <f>IF($W239="","",IF(INDEX('Per Invoice'!H$2:H$801,$W239)="","",INDEX('Per Invoice'!H$2:H$801,$W239)))</f>
        <v/>
      </c>
      <c r="I239">
        <f>IF($W239="","",IF(INDEX('Per Invoice'!I$2:I$801,$W239)="","",INDEX('Per Invoice'!I$2:I$801,$W239)))</f>
        <v/>
      </c>
      <c r="J239">
        <f>IF($W239="","",IF(INDEX('Per Invoice'!J$2:J$801,$W239)="","",INDEX('Per Invoice'!J$2:J$801,$W239)))</f>
        <v/>
      </c>
      <c r="K239" s="7">
        <f>IF($W239="","",IF(INDEX('Per Invoice'!K$2:K$801,$W239)="","",INDEX('Per Invoice'!K$2:K$801,$W239)))</f>
        <v/>
      </c>
      <c r="L239" s="14">
        <f>IF($W239="","",IF(INDEX('Per Invoice'!L$2:L$801,$W239)="","",INDEX('Per Invoice'!L$2:L$801,$W239)))</f>
        <v/>
      </c>
      <c r="M239">
        <f>IF($W239="","",IF(INDEX('Per Invoice'!M$2:M$801,$W239)="","",INDEX('Per Invoice'!M$2:M$801,$W239)))</f>
        <v/>
      </c>
      <c r="N239" s="7">
        <f>IF($W239="","",IF(INDEX('Per Invoice'!N$2:N$801,$W239)="","",INDEX('Per Invoice'!N$2:N$801,$W239)))</f>
        <v/>
      </c>
      <c r="O239" s="7">
        <f>IF($W239="","",IF(INDEX('Per Invoice'!O$2:O$801,$W239)="","",INDEX('Per Invoice'!O$2:O$801,$W239)))</f>
        <v/>
      </c>
      <c r="P239">
        <f>IF($W239="","",IF(INDEX('Per Invoice'!P$2:P$801,$W239)="","",INDEX('Per Invoice'!P$2:P$801,$W239)))</f>
        <v/>
      </c>
      <c r="Q239" s="7">
        <f>IF($W239="","",IF(INDEX('Per Invoice'!Q$2:Q$801,$W239)="","",INDEX('Per Invoice'!Q$2:Q$801,$W239)))</f>
        <v/>
      </c>
      <c r="R239" s="7">
        <f>IF($W239="","",IF(INDEX('Per Invoice'!R$2:R$801,$W239)="","",INDEX('Per Invoice'!R$2:R$801,$W239)))</f>
        <v/>
      </c>
      <c r="S239" s="7">
        <f>IF($W239="","",IF(INDEX('Per Invoice'!S$2:S$801,$W239)="","",INDEX('Per Invoice'!S$2:S$801,$W239)))</f>
        <v/>
      </c>
      <c r="T239" s="7">
        <f>IF($W239="","",IF(INDEX('Per Invoice'!T$2:T$801,$W239)="","",INDEX('Per Invoice'!T$2:T$801,$W239)))</f>
        <v/>
      </c>
      <c r="U239" s="7">
        <f>IF($W239="","",IF(INDEX('Per Invoice'!U$2:U$801,$W239)="","",INDEX('Per Invoice'!U$2:U$801,$W239)))</f>
        <v/>
      </c>
      <c r="V239" s="7">
        <f>IF($W239="","",IF(INDEX('Per Invoice'!V$2:V$801,$W239)="","",INDEX('Per Invoice'!V$2:V$801,$W239)))</f>
        <v/>
      </c>
      <c r="W239" s="16">
        <f>IFERROR(MATCH(Settings!$C$32&amp;"|"&amp;ROWS($W$2:$W239),'Per Invoice'!$X$2:$X$801,0),"")</f>
        <v/>
      </c>
    </row>
    <row r="240">
      <c r="A240">
        <f>IF($W240="","",IF(INDEX('Per Invoice'!A$2:A$801,$W240)="","",INDEX('Per Invoice'!A$2:A$801,$W240)))</f>
        <v/>
      </c>
      <c r="B240">
        <f>IF($W240="","",IF(INDEX('Per Invoice'!B$2:B$801,$W240)="","",INDEX('Per Invoice'!B$2:B$801,$W240)))</f>
        <v/>
      </c>
      <c r="C240">
        <f>IF($W240="","",IF(INDEX('Per Invoice'!C$2:C$801,$W240)="","",INDEX('Per Invoice'!C$2:C$801,$W240)))</f>
        <v/>
      </c>
      <c r="D240">
        <f>IF($W240="","",IF(INDEX('Per Invoice'!D$2:D$801,$W240)="","",INDEX('Per Invoice'!D$2:D$801,$W240)))</f>
        <v/>
      </c>
      <c r="E240">
        <f>IF($W240="","",IF(INDEX('Per Invoice'!E$2:E$801,$W240)="","",INDEX('Per Invoice'!E$2:E$801,$W240)))</f>
        <v/>
      </c>
      <c r="F240">
        <f>IF($W240="","",IF(INDEX('Per Invoice'!F$2:F$801,$W240)="","",INDEX('Per Invoice'!F$2:F$801,$W240)))</f>
        <v/>
      </c>
      <c r="G240">
        <f>IF($W240="","",IF(INDEX('Per Invoice'!G$2:G$801,$W240)="","",INDEX('Per Invoice'!G$2:G$801,$W240)))</f>
        <v/>
      </c>
      <c r="H240">
        <f>IF($W240="","",IF(INDEX('Per Invoice'!H$2:H$801,$W240)="","",INDEX('Per Invoice'!H$2:H$801,$W240)))</f>
        <v/>
      </c>
      <c r="I240">
        <f>IF($W240="","",IF(INDEX('Per Invoice'!I$2:I$801,$W240)="","",INDEX('Per Invoice'!I$2:I$801,$W240)))</f>
        <v/>
      </c>
      <c r="J240">
        <f>IF($W240="","",IF(INDEX('Per Invoice'!J$2:J$801,$W240)="","",INDEX('Per Invoice'!J$2:J$801,$W240)))</f>
        <v/>
      </c>
      <c r="K240" s="7">
        <f>IF($W240="","",IF(INDEX('Per Invoice'!K$2:K$801,$W240)="","",INDEX('Per Invoice'!K$2:K$801,$W240)))</f>
        <v/>
      </c>
      <c r="L240" s="14">
        <f>IF($W240="","",IF(INDEX('Per Invoice'!L$2:L$801,$W240)="","",INDEX('Per Invoice'!L$2:L$801,$W240)))</f>
        <v/>
      </c>
      <c r="M240">
        <f>IF($W240="","",IF(INDEX('Per Invoice'!M$2:M$801,$W240)="","",INDEX('Per Invoice'!M$2:M$801,$W240)))</f>
        <v/>
      </c>
      <c r="N240" s="7">
        <f>IF($W240="","",IF(INDEX('Per Invoice'!N$2:N$801,$W240)="","",INDEX('Per Invoice'!N$2:N$801,$W240)))</f>
        <v/>
      </c>
      <c r="O240" s="7">
        <f>IF($W240="","",IF(INDEX('Per Invoice'!O$2:O$801,$W240)="","",INDEX('Per Invoice'!O$2:O$801,$W240)))</f>
        <v/>
      </c>
      <c r="P240">
        <f>IF($W240="","",IF(INDEX('Per Invoice'!P$2:P$801,$W240)="","",INDEX('Per Invoice'!P$2:P$801,$W240)))</f>
        <v/>
      </c>
      <c r="Q240" s="7">
        <f>IF($W240="","",IF(INDEX('Per Invoice'!Q$2:Q$801,$W240)="","",INDEX('Per Invoice'!Q$2:Q$801,$W240)))</f>
        <v/>
      </c>
      <c r="R240" s="7">
        <f>IF($W240="","",IF(INDEX('Per Invoice'!R$2:R$801,$W240)="","",INDEX('Per Invoice'!R$2:R$801,$W240)))</f>
        <v/>
      </c>
      <c r="S240" s="7">
        <f>IF($W240="","",IF(INDEX('Per Invoice'!S$2:S$801,$W240)="","",INDEX('Per Invoice'!S$2:S$801,$W240)))</f>
        <v/>
      </c>
      <c r="T240" s="7">
        <f>IF($W240="","",IF(INDEX('Per Invoice'!T$2:T$801,$W240)="","",INDEX('Per Invoice'!T$2:T$801,$W240)))</f>
        <v/>
      </c>
      <c r="U240" s="7">
        <f>IF($W240="","",IF(INDEX('Per Invoice'!U$2:U$801,$W240)="","",INDEX('Per Invoice'!U$2:U$801,$W240)))</f>
        <v/>
      </c>
      <c r="V240" s="7">
        <f>IF($W240="","",IF(INDEX('Per Invoice'!V$2:V$801,$W240)="","",INDEX('Per Invoice'!V$2:V$801,$W240)))</f>
        <v/>
      </c>
      <c r="W240" s="16">
        <f>IFERROR(MATCH(Settings!$C$32&amp;"|"&amp;ROWS($W$2:$W240),'Per Invoice'!$X$2:$X$801,0),"")</f>
        <v/>
      </c>
    </row>
    <row r="241">
      <c r="A241">
        <f>IF($W241="","",IF(INDEX('Per Invoice'!A$2:A$801,$W241)="","",INDEX('Per Invoice'!A$2:A$801,$W241)))</f>
        <v/>
      </c>
      <c r="B241">
        <f>IF($W241="","",IF(INDEX('Per Invoice'!B$2:B$801,$W241)="","",INDEX('Per Invoice'!B$2:B$801,$W241)))</f>
        <v/>
      </c>
      <c r="C241">
        <f>IF($W241="","",IF(INDEX('Per Invoice'!C$2:C$801,$W241)="","",INDEX('Per Invoice'!C$2:C$801,$W241)))</f>
        <v/>
      </c>
      <c r="D241">
        <f>IF($W241="","",IF(INDEX('Per Invoice'!D$2:D$801,$W241)="","",INDEX('Per Invoice'!D$2:D$801,$W241)))</f>
        <v/>
      </c>
      <c r="E241">
        <f>IF($W241="","",IF(INDEX('Per Invoice'!E$2:E$801,$W241)="","",INDEX('Per Invoice'!E$2:E$801,$W241)))</f>
        <v/>
      </c>
      <c r="F241">
        <f>IF($W241="","",IF(INDEX('Per Invoice'!F$2:F$801,$W241)="","",INDEX('Per Invoice'!F$2:F$801,$W241)))</f>
        <v/>
      </c>
      <c r="G241">
        <f>IF($W241="","",IF(INDEX('Per Invoice'!G$2:G$801,$W241)="","",INDEX('Per Invoice'!G$2:G$801,$W241)))</f>
        <v/>
      </c>
      <c r="H241">
        <f>IF($W241="","",IF(INDEX('Per Invoice'!H$2:H$801,$W241)="","",INDEX('Per Invoice'!H$2:H$801,$W241)))</f>
        <v/>
      </c>
      <c r="I241">
        <f>IF($W241="","",IF(INDEX('Per Invoice'!I$2:I$801,$W241)="","",INDEX('Per Invoice'!I$2:I$801,$W241)))</f>
        <v/>
      </c>
      <c r="J241">
        <f>IF($W241="","",IF(INDEX('Per Invoice'!J$2:J$801,$W241)="","",INDEX('Per Invoice'!J$2:J$801,$W241)))</f>
        <v/>
      </c>
      <c r="K241" s="7">
        <f>IF($W241="","",IF(INDEX('Per Invoice'!K$2:K$801,$W241)="","",INDEX('Per Invoice'!K$2:K$801,$W241)))</f>
        <v/>
      </c>
      <c r="L241" s="14">
        <f>IF($W241="","",IF(INDEX('Per Invoice'!L$2:L$801,$W241)="","",INDEX('Per Invoice'!L$2:L$801,$W241)))</f>
        <v/>
      </c>
      <c r="M241">
        <f>IF($W241="","",IF(INDEX('Per Invoice'!M$2:M$801,$W241)="","",INDEX('Per Invoice'!M$2:M$801,$W241)))</f>
        <v/>
      </c>
      <c r="N241" s="7">
        <f>IF($W241="","",IF(INDEX('Per Invoice'!N$2:N$801,$W241)="","",INDEX('Per Invoice'!N$2:N$801,$W241)))</f>
        <v/>
      </c>
      <c r="O241" s="7">
        <f>IF($W241="","",IF(INDEX('Per Invoice'!O$2:O$801,$W241)="","",INDEX('Per Invoice'!O$2:O$801,$W241)))</f>
        <v/>
      </c>
      <c r="P241">
        <f>IF($W241="","",IF(INDEX('Per Invoice'!P$2:P$801,$W241)="","",INDEX('Per Invoice'!P$2:P$801,$W241)))</f>
        <v/>
      </c>
      <c r="Q241" s="7">
        <f>IF($W241="","",IF(INDEX('Per Invoice'!Q$2:Q$801,$W241)="","",INDEX('Per Invoice'!Q$2:Q$801,$W241)))</f>
        <v/>
      </c>
      <c r="R241" s="7">
        <f>IF($W241="","",IF(INDEX('Per Invoice'!R$2:R$801,$W241)="","",INDEX('Per Invoice'!R$2:R$801,$W241)))</f>
        <v/>
      </c>
      <c r="S241" s="7">
        <f>IF($W241="","",IF(INDEX('Per Invoice'!S$2:S$801,$W241)="","",INDEX('Per Invoice'!S$2:S$801,$W241)))</f>
        <v/>
      </c>
      <c r="T241" s="7">
        <f>IF($W241="","",IF(INDEX('Per Invoice'!T$2:T$801,$W241)="","",INDEX('Per Invoice'!T$2:T$801,$W241)))</f>
        <v/>
      </c>
      <c r="U241" s="7">
        <f>IF($W241="","",IF(INDEX('Per Invoice'!U$2:U$801,$W241)="","",INDEX('Per Invoice'!U$2:U$801,$W241)))</f>
        <v/>
      </c>
      <c r="V241" s="7">
        <f>IF($W241="","",IF(INDEX('Per Invoice'!V$2:V$801,$W241)="","",INDEX('Per Invoice'!V$2:V$801,$W241)))</f>
        <v/>
      </c>
      <c r="W241" s="16">
        <f>IFERROR(MATCH(Settings!$C$32&amp;"|"&amp;ROWS($W$2:$W241),'Per Invoice'!$X$2:$X$801,0),"")</f>
        <v/>
      </c>
    </row>
    <row r="242">
      <c r="A242">
        <f>IF($W242="","",IF(INDEX('Per Invoice'!A$2:A$801,$W242)="","",INDEX('Per Invoice'!A$2:A$801,$W242)))</f>
        <v/>
      </c>
      <c r="B242">
        <f>IF($W242="","",IF(INDEX('Per Invoice'!B$2:B$801,$W242)="","",INDEX('Per Invoice'!B$2:B$801,$W242)))</f>
        <v/>
      </c>
      <c r="C242">
        <f>IF($W242="","",IF(INDEX('Per Invoice'!C$2:C$801,$W242)="","",INDEX('Per Invoice'!C$2:C$801,$W242)))</f>
        <v/>
      </c>
      <c r="D242">
        <f>IF($W242="","",IF(INDEX('Per Invoice'!D$2:D$801,$W242)="","",INDEX('Per Invoice'!D$2:D$801,$W242)))</f>
        <v/>
      </c>
      <c r="E242">
        <f>IF($W242="","",IF(INDEX('Per Invoice'!E$2:E$801,$W242)="","",INDEX('Per Invoice'!E$2:E$801,$W242)))</f>
        <v/>
      </c>
      <c r="F242">
        <f>IF($W242="","",IF(INDEX('Per Invoice'!F$2:F$801,$W242)="","",INDEX('Per Invoice'!F$2:F$801,$W242)))</f>
        <v/>
      </c>
      <c r="G242">
        <f>IF($W242="","",IF(INDEX('Per Invoice'!G$2:G$801,$W242)="","",INDEX('Per Invoice'!G$2:G$801,$W242)))</f>
        <v/>
      </c>
      <c r="H242">
        <f>IF($W242="","",IF(INDEX('Per Invoice'!H$2:H$801,$W242)="","",INDEX('Per Invoice'!H$2:H$801,$W242)))</f>
        <v/>
      </c>
      <c r="I242">
        <f>IF($W242="","",IF(INDEX('Per Invoice'!I$2:I$801,$W242)="","",INDEX('Per Invoice'!I$2:I$801,$W242)))</f>
        <v/>
      </c>
      <c r="J242">
        <f>IF($W242="","",IF(INDEX('Per Invoice'!J$2:J$801,$W242)="","",INDEX('Per Invoice'!J$2:J$801,$W242)))</f>
        <v/>
      </c>
      <c r="K242" s="7">
        <f>IF($W242="","",IF(INDEX('Per Invoice'!K$2:K$801,$W242)="","",INDEX('Per Invoice'!K$2:K$801,$W242)))</f>
        <v/>
      </c>
      <c r="L242" s="14">
        <f>IF($W242="","",IF(INDEX('Per Invoice'!L$2:L$801,$W242)="","",INDEX('Per Invoice'!L$2:L$801,$W242)))</f>
        <v/>
      </c>
      <c r="M242">
        <f>IF($W242="","",IF(INDEX('Per Invoice'!M$2:M$801,$W242)="","",INDEX('Per Invoice'!M$2:M$801,$W242)))</f>
        <v/>
      </c>
      <c r="N242" s="7">
        <f>IF($W242="","",IF(INDEX('Per Invoice'!N$2:N$801,$W242)="","",INDEX('Per Invoice'!N$2:N$801,$W242)))</f>
        <v/>
      </c>
      <c r="O242" s="7">
        <f>IF($W242="","",IF(INDEX('Per Invoice'!O$2:O$801,$W242)="","",INDEX('Per Invoice'!O$2:O$801,$W242)))</f>
        <v/>
      </c>
      <c r="P242">
        <f>IF($W242="","",IF(INDEX('Per Invoice'!P$2:P$801,$W242)="","",INDEX('Per Invoice'!P$2:P$801,$W242)))</f>
        <v/>
      </c>
      <c r="Q242" s="7">
        <f>IF($W242="","",IF(INDEX('Per Invoice'!Q$2:Q$801,$W242)="","",INDEX('Per Invoice'!Q$2:Q$801,$W242)))</f>
        <v/>
      </c>
      <c r="R242" s="7">
        <f>IF($W242="","",IF(INDEX('Per Invoice'!R$2:R$801,$W242)="","",INDEX('Per Invoice'!R$2:R$801,$W242)))</f>
        <v/>
      </c>
      <c r="S242" s="7">
        <f>IF($W242="","",IF(INDEX('Per Invoice'!S$2:S$801,$W242)="","",INDEX('Per Invoice'!S$2:S$801,$W242)))</f>
        <v/>
      </c>
      <c r="T242" s="7">
        <f>IF($W242="","",IF(INDEX('Per Invoice'!T$2:T$801,$W242)="","",INDEX('Per Invoice'!T$2:T$801,$W242)))</f>
        <v/>
      </c>
      <c r="U242" s="7">
        <f>IF($W242="","",IF(INDEX('Per Invoice'!U$2:U$801,$W242)="","",INDEX('Per Invoice'!U$2:U$801,$W242)))</f>
        <v/>
      </c>
      <c r="V242" s="7">
        <f>IF($W242="","",IF(INDEX('Per Invoice'!V$2:V$801,$W242)="","",INDEX('Per Invoice'!V$2:V$801,$W242)))</f>
        <v/>
      </c>
      <c r="W242" s="16">
        <f>IFERROR(MATCH(Settings!$C$32&amp;"|"&amp;ROWS($W$2:$W242),'Per Invoice'!$X$2:$X$801,0),"")</f>
        <v/>
      </c>
    </row>
    <row r="243">
      <c r="A243">
        <f>IF($W243="","",IF(INDEX('Per Invoice'!A$2:A$801,$W243)="","",INDEX('Per Invoice'!A$2:A$801,$W243)))</f>
        <v/>
      </c>
      <c r="B243">
        <f>IF($W243="","",IF(INDEX('Per Invoice'!B$2:B$801,$W243)="","",INDEX('Per Invoice'!B$2:B$801,$W243)))</f>
        <v/>
      </c>
      <c r="C243">
        <f>IF($W243="","",IF(INDEX('Per Invoice'!C$2:C$801,$W243)="","",INDEX('Per Invoice'!C$2:C$801,$W243)))</f>
        <v/>
      </c>
      <c r="D243">
        <f>IF($W243="","",IF(INDEX('Per Invoice'!D$2:D$801,$W243)="","",INDEX('Per Invoice'!D$2:D$801,$W243)))</f>
        <v/>
      </c>
      <c r="E243">
        <f>IF($W243="","",IF(INDEX('Per Invoice'!E$2:E$801,$W243)="","",INDEX('Per Invoice'!E$2:E$801,$W243)))</f>
        <v/>
      </c>
      <c r="F243">
        <f>IF($W243="","",IF(INDEX('Per Invoice'!F$2:F$801,$W243)="","",INDEX('Per Invoice'!F$2:F$801,$W243)))</f>
        <v/>
      </c>
      <c r="G243">
        <f>IF($W243="","",IF(INDEX('Per Invoice'!G$2:G$801,$W243)="","",INDEX('Per Invoice'!G$2:G$801,$W243)))</f>
        <v/>
      </c>
      <c r="H243">
        <f>IF($W243="","",IF(INDEX('Per Invoice'!H$2:H$801,$W243)="","",INDEX('Per Invoice'!H$2:H$801,$W243)))</f>
        <v/>
      </c>
      <c r="I243">
        <f>IF($W243="","",IF(INDEX('Per Invoice'!I$2:I$801,$W243)="","",INDEX('Per Invoice'!I$2:I$801,$W243)))</f>
        <v/>
      </c>
      <c r="J243">
        <f>IF($W243="","",IF(INDEX('Per Invoice'!J$2:J$801,$W243)="","",INDEX('Per Invoice'!J$2:J$801,$W243)))</f>
        <v/>
      </c>
      <c r="K243" s="7">
        <f>IF($W243="","",IF(INDEX('Per Invoice'!K$2:K$801,$W243)="","",INDEX('Per Invoice'!K$2:K$801,$W243)))</f>
        <v/>
      </c>
      <c r="L243" s="14">
        <f>IF($W243="","",IF(INDEX('Per Invoice'!L$2:L$801,$W243)="","",INDEX('Per Invoice'!L$2:L$801,$W243)))</f>
        <v/>
      </c>
      <c r="M243">
        <f>IF($W243="","",IF(INDEX('Per Invoice'!M$2:M$801,$W243)="","",INDEX('Per Invoice'!M$2:M$801,$W243)))</f>
        <v/>
      </c>
      <c r="N243" s="7">
        <f>IF($W243="","",IF(INDEX('Per Invoice'!N$2:N$801,$W243)="","",INDEX('Per Invoice'!N$2:N$801,$W243)))</f>
        <v/>
      </c>
      <c r="O243" s="7">
        <f>IF($W243="","",IF(INDEX('Per Invoice'!O$2:O$801,$W243)="","",INDEX('Per Invoice'!O$2:O$801,$W243)))</f>
        <v/>
      </c>
      <c r="P243">
        <f>IF($W243="","",IF(INDEX('Per Invoice'!P$2:P$801,$W243)="","",INDEX('Per Invoice'!P$2:P$801,$W243)))</f>
        <v/>
      </c>
      <c r="Q243" s="7">
        <f>IF($W243="","",IF(INDEX('Per Invoice'!Q$2:Q$801,$W243)="","",INDEX('Per Invoice'!Q$2:Q$801,$W243)))</f>
        <v/>
      </c>
      <c r="R243" s="7">
        <f>IF($W243="","",IF(INDEX('Per Invoice'!R$2:R$801,$W243)="","",INDEX('Per Invoice'!R$2:R$801,$W243)))</f>
        <v/>
      </c>
      <c r="S243" s="7">
        <f>IF($W243="","",IF(INDEX('Per Invoice'!S$2:S$801,$W243)="","",INDEX('Per Invoice'!S$2:S$801,$W243)))</f>
        <v/>
      </c>
      <c r="T243" s="7">
        <f>IF($W243="","",IF(INDEX('Per Invoice'!T$2:T$801,$W243)="","",INDEX('Per Invoice'!T$2:T$801,$W243)))</f>
        <v/>
      </c>
      <c r="U243" s="7">
        <f>IF($W243="","",IF(INDEX('Per Invoice'!U$2:U$801,$W243)="","",INDEX('Per Invoice'!U$2:U$801,$W243)))</f>
        <v/>
      </c>
      <c r="V243" s="7">
        <f>IF($W243="","",IF(INDEX('Per Invoice'!V$2:V$801,$W243)="","",INDEX('Per Invoice'!V$2:V$801,$W243)))</f>
        <v/>
      </c>
      <c r="W243" s="16">
        <f>IFERROR(MATCH(Settings!$C$32&amp;"|"&amp;ROWS($W$2:$W243),'Per Invoice'!$X$2:$X$801,0),"")</f>
        <v/>
      </c>
    </row>
    <row r="244">
      <c r="A244">
        <f>IF($W244="","",IF(INDEX('Per Invoice'!A$2:A$801,$W244)="","",INDEX('Per Invoice'!A$2:A$801,$W244)))</f>
        <v/>
      </c>
      <c r="B244">
        <f>IF($W244="","",IF(INDEX('Per Invoice'!B$2:B$801,$W244)="","",INDEX('Per Invoice'!B$2:B$801,$W244)))</f>
        <v/>
      </c>
      <c r="C244">
        <f>IF($W244="","",IF(INDEX('Per Invoice'!C$2:C$801,$W244)="","",INDEX('Per Invoice'!C$2:C$801,$W244)))</f>
        <v/>
      </c>
      <c r="D244">
        <f>IF($W244="","",IF(INDEX('Per Invoice'!D$2:D$801,$W244)="","",INDEX('Per Invoice'!D$2:D$801,$W244)))</f>
        <v/>
      </c>
      <c r="E244">
        <f>IF($W244="","",IF(INDEX('Per Invoice'!E$2:E$801,$W244)="","",INDEX('Per Invoice'!E$2:E$801,$W244)))</f>
        <v/>
      </c>
      <c r="F244">
        <f>IF($W244="","",IF(INDEX('Per Invoice'!F$2:F$801,$W244)="","",INDEX('Per Invoice'!F$2:F$801,$W244)))</f>
        <v/>
      </c>
      <c r="G244">
        <f>IF($W244="","",IF(INDEX('Per Invoice'!G$2:G$801,$W244)="","",INDEX('Per Invoice'!G$2:G$801,$W244)))</f>
        <v/>
      </c>
      <c r="H244">
        <f>IF($W244="","",IF(INDEX('Per Invoice'!H$2:H$801,$W244)="","",INDEX('Per Invoice'!H$2:H$801,$W244)))</f>
        <v/>
      </c>
      <c r="I244">
        <f>IF($W244="","",IF(INDEX('Per Invoice'!I$2:I$801,$W244)="","",INDEX('Per Invoice'!I$2:I$801,$W244)))</f>
        <v/>
      </c>
      <c r="J244">
        <f>IF($W244="","",IF(INDEX('Per Invoice'!J$2:J$801,$W244)="","",INDEX('Per Invoice'!J$2:J$801,$W244)))</f>
        <v/>
      </c>
      <c r="K244" s="7">
        <f>IF($W244="","",IF(INDEX('Per Invoice'!K$2:K$801,$W244)="","",INDEX('Per Invoice'!K$2:K$801,$W244)))</f>
        <v/>
      </c>
      <c r="L244" s="14">
        <f>IF($W244="","",IF(INDEX('Per Invoice'!L$2:L$801,$W244)="","",INDEX('Per Invoice'!L$2:L$801,$W244)))</f>
        <v/>
      </c>
      <c r="M244">
        <f>IF($W244="","",IF(INDEX('Per Invoice'!M$2:M$801,$W244)="","",INDEX('Per Invoice'!M$2:M$801,$W244)))</f>
        <v/>
      </c>
      <c r="N244" s="7">
        <f>IF($W244="","",IF(INDEX('Per Invoice'!N$2:N$801,$W244)="","",INDEX('Per Invoice'!N$2:N$801,$W244)))</f>
        <v/>
      </c>
      <c r="O244" s="7">
        <f>IF($W244="","",IF(INDEX('Per Invoice'!O$2:O$801,$W244)="","",INDEX('Per Invoice'!O$2:O$801,$W244)))</f>
        <v/>
      </c>
      <c r="P244">
        <f>IF($W244="","",IF(INDEX('Per Invoice'!P$2:P$801,$W244)="","",INDEX('Per Invoice'!P$2:P$801,$W244)))</f>
        <v/>
      </c>
      <c r="Q244" s="7">
        <f>IF($W244="","",IF(INDEX('Per Invoice'!Q$2:Q$801,$W244)="","",INDEX('Per Invoice'!Q$2:Q$801,$W244)))</f>
        <v/>
      </c>
      <c r="R244" s="7">
        <f>IF($W244="","",IF(INDEX('Per Invoice'!R$2:R$801,$W244)="","",INDEX('Per Invoice'!R$2:R$801,$W244)))</f>
        <v/>
      </c>
      <c r="S244" s="7">
        <f>IF($W244="","",IF(INDEX('Per Invoice'!S$2:S$801,$W244)="","",INDEX('Per Invoice'!S$2:S$801,$W244)))</f>
        <v/>
      </c>
      <c r="T244" s="7">
        <f>IF($W244="","",IF(INDEX('Per Invoice'!T$2:T$801,$W244)="","",INDEX('Per Invoice'!T$2:T$801,$W244)))</f>
        <v/>
      </c>
      <c r="U244" s="7">
        <f>IF($W244="","",IF(INDEX('Per Invoice'!U$2:U$801,$W244)="","",INDEX('Per Invoice'!U$2:U$801,$W244)))</f>
        <v/>
      </c>
      <c r="V244" s="7">
        <f>IF($W244="","",IF(INDEX('Per Invoice'!V$2:V$801,$W244)="","",INDEX('Per Invoice'!V$2:V$801,$W244)))</f>
        <v/>
      </c>
      <c r="W244" s="16">
        <f>IFERROR(MATCH(Settings!$C$32&amp;"|"&amp;ROWS($W$2:$W244),'Per Invoice'!$X$2:$X$801,0),"")</f>
        <v/>
      </c>
    </row>
    <row r="245">
      <c r="A245">
        <f>IF($W245="","",IF(INDEX('Per Invoice'!A$2:A$801,$W245)="","",INDEX('Per Invoice'!A$2:A$801,$W245)))</f>
        <v/>
      </c>
      <c r="B245">
        <f>IF($W245="","",IF(INDEX('Per Invoice'!B$2:B$801,$W245)="","",INDEX('Per Invoice'!B$2:B$801,$W245)))</f>
        <v/>
      </c>
      <c r="C245">
        <f>IF($W245="","",IF(INDEX('Per Invoice'!C$2:C$801,$W245)="","",INDEX('Per Invoice'!C$2:C$801,$W245)))</f>
        <v/>
      </c>
      <c r="D245">
        <f>IF($W245="","",IF(INDEX('Per Invoice'!D$2:D$801,$W245)="","",INDEX('Per Invoice'!D$2:D$801,$W245)))</f>
        <v/>
      </c>
      <c r="E245">
        <f>IF($W245="","",IF(INDEX('Per Invoice'!E$2:E$801,$W245)="","",INDEX('Per Invoice'!E$2:E$801,$W245)))</f>
        <v/>
      </c>
      <c r="F245">
        <f>IF($W245="","",IF(INDEX('Per Invoice'!F$2:F$801,$W245)="","",INDEX('Per Invoice'!F$2:F$801,$W245)))</f>
        <v/>
      </c>
      <c r="G245">
        <f>IF($W245="","",IF(INDEX('Per Invoice'!G$2:G$801,$W245)="","",INDEX('Per Invoice'!G$2:G$801,$W245)))</f>
        <v/>
      </c>
      <c r="H245">
        <f>IF($W245="","",IF(INDEX('Per Invoice'!H$2:H$801,$W245)="","",INDEX('Per Invoice'!H$2:H$801,$W245)))</f>
        <v/>
      </c>
      <c r="I245">
        <f>IF($W245="","",IF(INDEX('Per Invoice'!I$2:I$801,$W245)="","",INDEX('Per Invoice'!I$2:I$801,$W245)))</f>
        <v/>
      </c>
      <c r="J245">
        <f>IF($W245="","",IF(INDEX('Per Invoice'!J$2:J$801,$W245)="","",INDEX('Per Invoice'!J$2:J$801,$W245)))</f>
        <v/>
      </c>
      <c r="K245" s="7">
        <f>IF($W245="","",IF(INDEX('Per Invoice'!K$2:K$801,$W245)="","",INDEX('Per Invoice'!K$2:K$801,$W245)))</f>
        <v/>
      </c>
      <c r="L245" s="14">
        <f>IF($W245="","",IF(INDEX('Per Invoice'!L$2:L$801,$W245)="","",INDEX('Per Invoice'!L$2:L$801,$W245)))</f>
        <v/>
      </c>
      <c r="M245">
        <f>IF($W245="","",IF(INDEX('Per Invoice'!M$2:M$801,$W245)="","",INDEX('Per Invoice'!M$2:M$801,$W245)))</f>
        <v/>
      </c>
      <c r="N245" s="7">
        <f>IF($W245="","",IF(INDEX('Per Invoice'!N$2:N$801,$W245)="","",INDEX('Per Invoice'!N$2:N$801,$W245)))</f>
        <v/>
      </c>
      <c r="O245" s="7">
        <f>IF($W245="","",IF(INDEX('Per Invoice'!O$2:O$801,$W245)="","",INDEX('Per Invoice'!O$2:O$801,$W245)))</f>
        <v/>
      </c>
      <c r="P245">
        <f>IF($W245="","",IF(INDEX('Per Invoice'!P$2:P$801,$W245)="","",INDEX('Per Invoice'!P$2:P$801,$W245)))</f>
        <v/>
      </c>
      <c r="Q245" s="7">
        <f>IF($W245="","",IF(INDEX('Per Invoice'!Q$2:Q$801,$W245)="","",INDEX('Per Invoice'!Q$2:Q$801,$W245)))</f>
        <v/>
      </c>
      <c r="R245" s="7">
        <f>IF($W245="","",IF(INDEX('Per Invoice'!R$2:R$801,$W245)="","",INDEX('Per Invoice'!R$2:R$801,$W245)))</f>
        <v/>
      </c>
      <c r="S245" s="7">
        <f>IF($W245="","",IF(INDEX('Per Invoice'!S$2:S$801,$W245)="","",INDEX('Per Invoice'!S$2:S$801,$W245)))</f>
        <v/>
      </c>
      <c r="T245" s="7">
        <f>IF($W245="","",IF(INDEX('Per Invoice'!T$2:T$801,$W245)="","",INDEX('Per Invoice'!T$2:T$801,$W245)))</f>
        <v/>
      </c>
      <c r="U245" s="7">
        <f>IF($W245="","",IF(INDEX('Per Invoice'!U$2:U$801,$W245)="","",INDEX('Per Invoice'!U$2:U$801,$W245)))</f>
        <v/>
      </c>
      <c r="V245" s="7">
        <f>IF($W245="","",IF(INDEX('Per Invoice'!V$2:V$801,$W245)="","",INDEX('Per Invoice'!V$2:V$801,$W245)))</f>
        <v/>
      </c>
      <c r="W245" s="16">
        <f>IFERROR(MATCH(Settings!$C$32&amp;"|"&amp;ROWS($W$2:$W245),'Per Invoice'!$X$2:$X$801,0),"")</f>
        <v/>
      </c>
    </row>
    <row r="246">
      <c r="A246">
        <f>IF($W246="","",IF(INDEX('Per Invoice'!A$2:A$801,$W246)="","",INDEX('Per Invoice'!A$2:A$801,$W246)))</f>
        <v/>
      </c>
      <c r="B246">
        <f>IF($W246="","",IF(INDEX('Per Invoice'!B$2:B$801,$W246)="","",INDEX('Per Invoice'!B$2:B$801,$W246)))</f>
        <v/>
      </c>
      <c r="C246">
        <f>IF($W246="","",IF(INDEX('Per Invoice'!C$2:C$801,$W246)="","",INDEX('Per Invoice'!C$2:C$801,$W246)))</f>
        <v/>
      </c>
      <c r="D246">
        <f>IF($W246="","",IF(INDEX('Per Invoice'!D$2:D$801,$W246)="","",INDEX('Per Invoice'!D$2:D$801,$W246)))</f>
        <v/>
      </c>
      <c r="E246">
        <f>IF($W246="","",IF(INDEX('Per Invoice'!E$2:E$801,$W246)="","",INDEX('Per Invoice'!E$2:E$801,$W246)))</f>
        <v/>
      </c>
      <c r="F246">
        <f>IF($W246="","",IF(INDEX('Per Invoice'!F$2:F$801,$W246)="","",INDEX('Per Invoice'!F$2:F$801,$W246)))</f>
        <v/>
      </c>
      <c r="G246">
        <f>IF($W246="","",IF(INDEX('Per Invoice'!G$2:G$801,$W246)="","",INDEX('Per Invoice'!G$2:G$801,$W246)))</f>
        <v/>
      </c>
      <c r="H246">
        <f>IF($W246="","",IF(INDEX('Per Invoice'!H$2:H$801,$W246)="","",INDEX('Per Invoice'!H$2:H$801,$W246)))</f>
        <v/>
      </c>
      <c r="I246">
        <f>IF($W246="","",IF(INDEX('Per Invoice'!I$2:I$801,$W246)="","",INDEX('Per Invoice'!I$2:I$801,$W246)))</f>
        <v/>
      </c>
      <c r="J246">
        <f>IF($W246="","",IF(INDEX('Per Invoice'!J$2:J$801,$W246)="","",INDEX('Per Invoice'!J$2:J$801,$W246)))</f>
        <v/>
      </c>
      <c r="K246" s="7">
        <f>IF($W246="","",IF(INDEX('Per Invoice'!K$2:K$801,$W246)="","",INDEX('Per Invoice'!K$2:K$801,$W246)))</f>
        <v/>
      </c>
      <c r="L246" s="14">
        <f>IF($W246="","",IF(INDEX('Per Invoice'!L$2:L$801,$W246)="","",INDEX('Per Invoice'!L$2:L$801,$W246)))</f>
        <v/>
      </c>
      <c r="M246">
        <f>IF($W246="","",IF(INDEX('Per Invoice'!M$2:M$801,$W246)="","",INDEX('Per Invoice'!M$2:M$801,$W246)))</f>
        <v/>
      </c>
      <c r="N246" s="7">
        <f>IF($W246="","",IF(INDEX('Per Invoice'!N$2:N$801,$W246)="","",INDEX('Per Invoice'!N$2:N$801,$W246)))</f>
        <v/>
      </c>
      <c r="O246" s="7">
        <f>IF($W246="","",IF(INDEX('Per Invoice'!O$2:O$801,$W246)="","",INDEX('Per Invoice'!O$2:O$801,$W246)))</f>
        <v/>
      </c>
      <c r="P246">
        <f>IF($W246="","",IF(INDEX('Per Invoice'!P$2:P$801,$W246)="","",INDEX('Per Invoice'!P$2:P$801,$W246)))</f>
        <v/>
      </c>
      <c r="Q246" s="7">
        <f>IF($W246="","",IF(INDEX('Per Invoice'!Q$2:Q$801,$W246)="","",INDEX('Per Invoice'!Q$2:Q$801,$W246)))</f>
        <v/>
      </c>
      <c r="R246" s="7">
        <f>IF($W246="","",IF(INDEX('Per Invoice'!R$2:R$801,$W246)="","",INDEX('Per Invoice'!R$2:R$801,$W246)))</f>
        <v/>
      </c>
      <c r="S246" s="7">
        <f>IF($W246="","",IF(INDEX('Per Invoice'!S$2:S$801,$W246)="","",INDEX('Per Invoice'!S$2:S$801,$W246)))</f>
        <v/>
      </c>
      <c r="T246" s="7">
        <f>IF($W246="","",IF(INDEX('Per Invoice'!T$2:T$801,$W246)="","",INDEX('Per Invoice'!T$2:T$801,$W246)))</f>
        <v/>
      </c>
      <c r="U246" s="7">
        <f>IF($W246="","",IF(INDEX('Per Invoice'!U$2:U$801,$W246)="","",INDEX('Per Invoice'!U$2:U$801,$W246)))</f>
        <v/>
      </c>
      <c r="V246" s="7">
        <f>IF($W246="","",IF(INDEX('Per Invoice'!V$2:V$801,$W246)="","",INDEX('Per Invoice'!V$2:V$801,$W246)))</f>
        <v/>
      </c>
      <c r="W246" s="16">
        <f>IFERROR(MATCH(Settings!$C$32&amp;"|"&amp;ROWS($W$2:$W246),'Per Invoice'!$X$2:$X$801,0),"")</f>
        <v/>
      </c>
    </row>
    <row r="247">
      <c r="A247">
        <f>IF($W247="","",IF(INDEX('Per Invoice'!A$2:A$801,$W247)="","",INDEX('Per Invoice'!A$2:A$801,$W247)))</f>
        <v/>
      </c>
      <c r="B247">
        <f>IF($W247="","",IF(INDEX('Per Invoice'!B$2:B$801,$W247)="","",INDEX('Per Invoice'!B$2:B$801,$W247)))</f>
        <v/>
      </c>
      <c r="C247">
        <f>IF($W247="","",IF(INDEX('Per Invoice'!C$2:C$801,$W247)="","",INDEX('Per Invoice'!C$2:C$801,$W247)))</f>
        <v/>
      </c>
      <c r="D247">
        <f>IF($W247="","",IF(INDEX('Per Invoice'!D$2:D$801,$W247)="","",INDEX('Per Invoice'!D$2:D$801,$W247)))</f>
        <v/>
      </c>
      <c r="E247">
        <f>IF($W247="","",IF(INDEX('Per Invoice'!E$2:E$801,$W247)="","",INDEX('Per Invoice'!E$2:E$801,$W247)))</f>
        <v/>
      </c>
      <c r="F247">
        <f>IF($W247="","",IF(INDEX('Per Invoice'!F$2:F$801,$W247)="","",INDEX('Per Invoice'!F$2:F$801,$W247)))</f>
        <v/>
      </c>
      <c r="G247">
        <f>IF($W247="","",IF(INDEX('Per Invoice'!G$2:G$801,$W247)="","",INDEX('Per Invoice'!G$2:G$801,$W247)))</f>
        <v/>
      </c>
      <c r="H247">
        <f>IF($W247="","",IF(INDEX('Per Invoice'!H$2:H$801,$W247)="","",INDEX('Per Invoice'!H$2:H$801,$W247)))</f>
        <v/>
      </c>
      <c r="I247">
        <f>IF($W247="","",IF(INDEX('Per Invoice'!I$2:I$801,$W247)="","",INDEX('Per Invoice'!I$2:I$801,$W247)))</f>
        <v/>
      </c>
      <c r="J247">
        <f>IF($W247="","",IF(INDEX('Per Invoice'!J$2:J$801,$W247)="","",INDEX('Per Invoice'!J$2:J$801,$W247)))</f>
        <v/>
      </c>
      <c r="K247" s="7">
        <f>IF($W247="","",IF(INDEX('Per Invoice'!K$2:K$801,$W247)="","",INDEX('Per Invoice'!K$2:K$801,$W247)))</f>
        <v/>
      </c>
      <c r="L247" s="14">
        <f>IF($W247="","",IF(INDEX('Per Invoice'!L$2:L$801,$W247)="","",INDEX('Per Invoice'!L$2:L$801,$W247)))</f>
        <v/>
      </c>
      <c r="M247">
        <f>IF($W247="","",IF(INDEX('Per Invoice'!M$2:M$801,$W247)="","",INDEX('Per Invoice'!M$2:M$801,$W247)))</f>
        <v/>
      </c>
      <c r="N247" s="7">
        <f>IF($W247="","",IF(INDEX('Per Invoice'!N$2:N$801,$W247)="","",INDEX('Per Invoice'!N$2:N$801,$W247)))</f>
        <v/>
      </c>
      <c r="O247" s="7">
        <f>IF($W247="","",IF(INDEX('Per Invoice'!O$2:O$801,$W247)="","",INDEX('Per Invoice'!O$2:O$801,$W247)))</f>
        <v/>
      </c>
      <c r="P247">
        <f>IF($W247="","",IF(INDEX('Per Invoice'!P$2:P$801,$W247)="","",INDEX('Per Invoice'!P$2:P$801,$W247)))</f>
        <v/>
      </c>
      <c r="Q247" s="7">
        <f>IF($W247="","",IF(INDEX('Per Invoice'!Q$2:Q$801,$W247)="","",INDEX('Per Invoice'!Q$2:Q$801,$W247)))</f>
        <v/>
      </c>
      <c r="R247" s="7">
        <f>IF($W247="","",IF(INDEX('Per Invoice'!R$2:R$801,$W247)="","",INDEX('Per Invoice'!R$2:R$801,$W247)))</f>
        <v/>
      </c>
      <c r="S247" s="7">
        <f>IF($W247="","",IF(INDEX('Per Invoice'!S$2:S$801,$W247)="","",INDEX('Per Invoice'!S$2:S$801,$W247)))</f>
        <v/>
      </c>
      <c r="T247" s="7">
        <f>IF($W247="","",IF(INDEX('Per Invoice'!T$2:T$801,$W247)="","",INDEX('Per Invoice'!T$2:T$801,$W247)))</f>
        <v/>
      </c>
      <c r="U247" s="7">
        <f>IF($W247="","",IF(INDEX('Per Invoice'!U$2:U$801,$W247)="","",INDEX('Per Invoice'!U$2:U$801,$W247)))</f>
        <v/>
      </c>
      <c r="V247" s="7">
        <f>IF($W247="","",IF(INDEX('Per Invoice'!V$2:V$801,$W247)="","",INDEX('Per Invoice'!V$2:V$801,$W247)))</f>
        <v/>
      </c>
      <c r="W247" s="16">
        <f>IFERROR(MATCH(Settings!$C$32&amp;"|"&amp;ROWS($W$2:$W247),'Per Invoice'!$X$2:$X$801,0),"")</f>
        <v/>
      </c>
    </row>
    <row r="248">
      <c r="A248">
        <f>IF($W248="","",IF(INDEX('Per Invoice'!A$2:A$801,$W248)="","",INDEX('Per Invoice'!A$2:A$801,$W248)))</f>
        <v/>
      </c>
      <c r="B248">
        <f>IF($W248="","",IF(INDEX('Per Invoice'!B$2:B$801,$W248)="","",INDEX('Per Invoice'!B$2:B$801,$W248)))</f>
        <v/>
      </c>
      <c r="C248">
        <f>IF($W248="","",IF(INDEX('Per Invoice'!C$2:C$801,$W248)="","",INDEX('Per Invoice'!C$2:C$801,$W248)))</f>
        <v/>
      </c>
      <c r="D248">
        <f>IF($W248="","",IF(INDEX('Per Invoice'!D$2:D$801,$W248)="","",INDEX('Per Invoice'!D$2:D$801,$W248)))</f>
        <v/>
      </c>
      <c r="E248">
        <f>IF($W248="","",IF(INDEX('Per Invoice'!E$2:E$801,$W248)="","",INDEX('Per Invoice'!E$2:E$801,$W248)))</f>
        <v/>
      </c>
      <c r="F248">
        <f>IF($W248="","",IF(INDEX('Per Invoice'!F$2:F$801,$W248)="","",INDEX('Per Invoice'!F$2:F$801,$W248)))</f>
        <v/>
      </c>
      <c r="G248">
        <f>IF($W248="","",IF(INDEX('Per Invoice'!G$2:G$801,$W248)="","",INDEX('Per Invoice'!G$2:G$801,$W248)))</f>
        <v/>
      </c>
      <c r="H248">
        <f>IF($W248="","",IF(INDEX('Per Invoice'!H$2:H$801,$W248)="","",INDEX('Per Invoice'!H$2:H$801,$W248)))</f>
        <v/>
      </c>
      <c r="I248">
        <f>IF($W248="","",IF(INDEX('Per Invoice'!I$2:I$801,$W248)="","",INDEX('Per Invoice'!I$2:I$801,$W248)))</f>
        <v/>
      </c>
      <c r="J248">
        <f>IF($W248="","",IF(INDEX('Per Invoice'!J$2:J$801,$W248)="","",INDEX('Per Invoice'!J$2:J$801,$W248)))</f>
        <v/>
      </c>
      <c r="K248" s="7">
        <f>IF($W248="","",IF(INDEX('Per Invoice'!K$2:K$801,$W248)="","",INDEX('Per Invoice'!K$2:K$801,$W248)))</f>
        <v/>
      </c>
      <c r="L248" s="14">
        <f>IF($W248="","",IF(INDEX('Per Invoice'!L$2:L$801,$W248)="","",INDEX('Per Invoice'!L$2:L$801,$W248)))</f>
        <v/>
      </c>
      <c r="M248">
        <f>IF($W248="","",IF(INDEX('Per Invoice'!M$2:M$801,$W248)="","",INDEX('Per Invoice'!M$2:M$801,$W248)))</f>
        <v/>
      </c>
      <c r="N248" s="7">
        <f>IF($W248="","",IF(INDEX('Per Invoice'!N$2:N$801,$W248)="","",INDEX('Per Invoice'!N$2:N$801,$W248)))</f>
        <v/>
      </c>
      <c r="O248" s="7">
        <f>IF($W248="","",IF(INDEX('Per Invoice'!O$2:O$801,$W248)="","",INDEX('Per Invoice'!O$2:O$801,$W248)))</f>
        <v/>
      </c>
      <c r="P248">
        <f>IF($W248="","",IF(INDEX('Per Invoice'!P$2:P$801,$W248)="","",INDEX('Per Invoice'!P$2:P$801,$W248)))</f>
        <v/>
      </c>
      <c r="Q248" s="7">
        <f>IF($W248="","",IF(INDEX('Per Invoice'!Q$2:Q$801,$W248)="","",INDEX('Per Invoice'!Q$2:Q$801,$W248)))</f>
        <v/>
      </c>
      <c r="R248" s="7">
        <f>IF($W248="","",IF(INDEX('Per Invoice'!R$2:R$801,$W248)="","",INDEX('Per Invoice'!R$2:R$801,$W248)))</f>
        <v/>
      </c>
      <c r="S248" s="7">
        <f>IF($W248="","",IF(INDEX('Per Invoice'!S$2:S$801,$W248)="","",INDEX('Per Invoice'!S$2:S$801,$W248)))</f>
        <v/>
      </c>
      <c r="T248" s="7">
        <f>IF($W248="","",IF(INDEX('Per Invoice'!T$2:T$801,$W248)="","",INDEX('Per Invoice'!T$2:T$801,$W248)))</f>
        <v/>
      </c>
      <c r="U248" s="7">
        <f>IF($W248="","",IF(INDEX('Per Invoice'!U$2:U$801,$W248)="","",INDEX('Per Invoice'!U$2:U$801,$W248)))</f>
        <v/>
      </c>
      <c r="V248" s="7">
        <f>IF($W248="","",IF(INDEX('Per Invoice'!V$2:V$801,$W248)="","",INDEX('Per Invoice'!V$2:V$801,$W248)))</f>
        <v/>
      </c>
      <c r="W248" s="16">
        <f>IFERROR(MATCH(Settings!$C$32&amp;"|"&amp;ROWS($W$2:$W248),'Per Invoice'!$X$2:$X$801,0),"")</f>
        <v/>
      </c>
    </row>
    <row r="249">
      <c r="A249">
        <f>IF($W249="","",IF(INDEX('Per Invoice'!A$2:A$801,$W249)="","",INDEX('Per Invoice'!A$2:A$801,$W249)))</f>
        <v/>
      </c>
      <c r="B249">
        <f>IF($W249="","",IF(INDEX('Per Invoice'!B$2:B$801,$W249)="","",INDEX('Per Invoice'!B$2:B$801,$W249)))</f>
        <v/>
      </c>
      <c r="C249">
        <f>IF($W249="","",IF(INDEX('Per Invoice'!C$2:C$801,$W249)="","",INDEX('Per Invoice'!C$2:C$801,$W249)))</f>
        <v/>
      </c>
      <c r="D249">
        <f>IF($W249="","",IF(INDEX('Per Invoice'!D$2:D$801,$W249)="","",INDEX('Per Invoice'!D$2:D$801,$W249)))</f>
        <v/>
      </c>
      <c r="E249">
        <f>IF($W249="","",IF(INDEX('Per Invoice'!E$2:E$801,$W249)="","",INDEX('Per Invoice'!E$2:E$801,$W249)))</f>
        <v/>
      </c>
      <c r="F249">
        <f>IF($W249="","",IF(INDEX('Per Invoice'!F$2:F$801,$W249)="","",INDEX('Per Invoice'!F$2:F$801,$W249)))</f>
        <v/>
      </c>
      <c r="G249">
        <f>IF($W249="","",IF(INDEX('Per Invoice'!G$2:G$801,$W249)="","",INDEX('Per Invoice'!G$2:G$801,$W249)))</f>
        <v/>
      </c>
      <c r="H249">
        <f>IF($W249="","",IF(INDEX('Per Invoice'!H$2:H$801,$W249)="","",INDEX('Per Invoice'!H$2:H$801,$W249)))</f>
        <v/>
      </c>
      <c r="I249">
        <f>IF($W249="","",IF(INDEX('Per Invoice'!I$2:I$801,$W249)="","",INDEX('Per Invoice'!I$2:I$801,$W249)))</f>
        <v/>
      </c>
      <c r="J249">
        <f>IF($W249="","",IF(INDEX('Per Invoice'!J$2:J$801,$W249)="","",INDEX('Per Invoice'!J$2:J$801,$W249)))</f>
        <v/>
      </c>
      <c r="K249" s="7">
        <f>IF($W249="","",IF(INDEX('Per Invoice'!K$2:K$801,$W249)="","",INDEX('Per Invoice'!K$2:K$801,$W249)))</f>
        <v/>
      </c>
      <c r="L249" s="14">
        <f>IF($W249="","",IF(INDEX('Per Invoice'!L$2:L$801,$W249)="","",INDEX('Per Invoice'!L$2:L$801,$W249)))</f>
        <v/>
      </c>
      <c r="M249">
        <f>IF($W249="","",IF(INDEX('Per Invoice'!M$2:M$801,$W249)="","",INDEX('Per Invoice'!M$2:M$801,$W249)))</f>
        <v/>
      </c>
      <c r="N249" s="7">
        <f>IF($W249="","",IF(INDEX('Per Invoice'!N$2:N$801,$W249)="","",INDEX('Per Invoice'!N$2:N$801,$W249)))</f>
        <v/>
      </c>
      <c r="O249" s="7">
        <f>IF($W249="","",IF(INDEX('Per Invoice'!O$2:O$801,$W249)="","",INDEX('Per Invoice'!O$2:O$801,$W249)))</f>
        <v/>
      </c>
      <c r="P249">
        <f>IF($W249="","",IF(INDEX('Per Invoice'!P$2:P$801,$W249)="","",INDEX('Per Invoice'!P$2:P$801,$W249)))</f>
        <v/>
      </c>
      <c r="Q249" s="7">
        <f>IF($W249="","",IF(INDEX('Per Invoice'!Q$2:Q$801,$W249)="","",INDEX('Per Invoice'!Q$2:Q$801,$W249)))</f>
        <v/>
      </c>
      <c r="R249" s="7">
        <f>IF($W249="","",IF(INDEX('Per Invoice'!R$2:R$801,$W249)="","",INDEX('Per Invoice'!R$2:R$801,$W249)))</f>
        <v/>
      </c>
      <c r="S249" s="7">
        <f>IF($W249="","",IF(INDEX('Per Invoice'!S$2:S$801,$W249)="","",INDEX('Per Invoice'!S$2:S$801,$W249)))</f>
        <v/>
      </c>
      <c r="T249" s="7">
        <f>IF($W249="","",IF(INDEX('Per Invoice'!T$2:T$801,$W249)="","",INDEX('Per Invoice'!T$2:T$801,$W249)))</f>
        <v/>
      </c>
      <c r="U249" s="7">
        <f>IF($W249="","",IF(INDEX('Per Invoice'!U$2:U$801,$W249)="","",INDEX('Per Invoice'!U$2:U$801,$W249)))</f>
        <v/>
      </c>
      <c r="V249" s="7">
        <f>IF($W249="","",IF(INDEX('Per Invoice'!V$2:V$801,$W249)="","",INDEX('Per Invoice'!V$2:V$801,$W249)))</f>
        <v/>
      </c>
      <c r="W249" s="16">
        <f>IFERROR(MATCH(Settings!$C$32&amp;"|"&amp;ROWS($W$2:$W249),'Per Invoice'!$X$2:$X$801,0),"")</f>
        <v/>
      </c>
    </row>
    <row r="250">
      <c r="A250">
        <f>IF($W250="","",IF(INDEX('Per Invoice'!A$2:A$801,$W250)="","",INDEX('Per Invoice'!A$2:A$801,$W250)))</f>
        <v/>
      </c>
      <c r="B250">
        <f>IF($W250="","",IF(INDEX('Per Invoice'!B$2:B$801,$W250)="","",INDEX('Per Invoice'!B$2:B$801,$W250)))</f>
        <v/>
      </c>
      <c r="C250">
        <f>IF($W250="","",IF(INDEX('Per Invoice'!C$2:C$801,$W250)="","",INDEX('Per Invoice'!C$2:C$801,$W250)))</f>
        <v/>
      </c>
      <c r="D250">
        <f>IF($W250="","",IF(INDEX('Per Invoice'!D$2:D$801,$W250)="","",INDEX('Per Invoice'!D$2:D$801,$W250)))</f>
        <v/>
      </c>
      <c r="E250">
        <f>IF($W250="","",IF(INDEX('Per Invoice'!E$2:E$801,$W250)="","",INDEX('Per Invoice'!E$2:E$801,$W250)))</f>
        <v/>
      </c>
      <c r="F250">
        <f>IF($W250="","",IF(INDEX('Per Invoice'!F$2:F$801,$W250)="","",INDEX('Per Invoice'!F$2:F$801,$W250)))</f>
        <v/>
      </c>
      <c r="G250">
        <f>IF($W250="","",IF(INDEX('Per Invoice'!G$2:G$801,$W250)="","",INDEX('Per Invoice'!G$2:G$801,$W250)))</f>
        <v/>
      </c>
      <c r="H250">
        <f>IF($W250="","",IF(INDEX('Per Invoice'!H$2:H$801,$W250)="","",INDEX('Per Invoice'!H$2:H$801,$W250)))</f>
        <v/>
      </c>
      <c r="I250">
        <f>IF($W250="","",IF(INDEX('Per Invoice'!I$2:I$801,$W250)="","",INDEX('Per Invoice'!I$2:I$801,$W250)))</f>
        <v/>
      </c>
      <c r="J250">
        <f>IF($W250="","",IF(INDEX('Per Invoice'!J$2:J$801,$W250)="","",INDEX('Per Invoice'!J$2:J$801,$W250)))</f>
        <v/>
      </c>
      <c r="K250" s="7">
        <f>IF($W250="","",IF(INDEX('Per Invoice'!K$2:K$801,$W250)="","",INDEX('Per Invoice'!K$2:K$801,$W250)))</f>
        <v/>
      </c>
      <c r="L250" s="14">
        <f>IF($W250="","",IF(INDEX('Per Invoice'!L$2:L$801,$W250)="","",INDEX('Per Invoice'!L$2:L$801,$W250)))</f>
        <v/>
      </c>
      <c r="M250">
        <f>IF($W250="","",IF(INDEX('Per Invoice'!M$2:M$801,$W250)="","",INDEX('Per Invoice'!M$2:M$801,$W250)))</f>
        <v/>
      </c>
      <c r="N250" s="7">
        <f>IF($W250="","",IF(INDEX('Per Invoice'!N$2:N$801,$W250)="","",INDEX('Per Invoice'!N$2:N$801,$W250)))</f>
        <v/>
      </c>
      <c r="O250" s="7">
        <f>IF($W250="","",IF(INDEX('Per Invoice'!O$2:O$801,$W250)="","",INDEX('Per Invoice'!O$2:O$801,$W250)))</f>
        <v/>
      </c>
      <c r="P250">
        <f>IF($W250="","",IF(INDEX('Per Invoice'!P$2:P$801,$W250)="","",INDEX('Per Invoice'!P$2:P$801,$W250)))</f>
        <v/>
      </c>
      <c r="Q250" s="7">
        <f>IF($W250="","",IF(INDEX('Per Invoice'!Q$2:Q$801,$W250)="","",INDEX('Per Invoice'!Q$2:Q$801,$W250)))</f>
        <v/>
      </c>
      <c r="R250" s="7">
        <f>IF($W250="","",IF(INDEX('Per Invoice'!R$2:R$801,$W250)="","",INDEX('Per Invoice'!R$2:R$801,$W250)))</f>
        <v/>
      </c>
      <c r="S250" s="7">
        <f>IF($W250="","",IF(INDEX('Per Invoice'!S$2:S$801,$W250)="","",INDEX('Per Invoice'!S$2:S$801,$W250)))</f>
        <v/>
      </c>
      <c r="T250" s="7">
        <f>IF($W250="","",IF(INDEX('Per Invoice'!T$2:T$801,$W250)="","",INDEX('Per Invoice'!T$2:T$801,$W250)))</f>
        <v/>
      </c>
      <c r="U250" s="7">
        <f>IF($W250="","",IF(INDEX('Per Invoice'!U$2:U$801,$W250)="","",INDEX('Per Invoice'!U$2:U$801,$W250)))</f>
        <v/>
      </c>
      <c r="V250" s="7">
        <f>IF($W250="","",IF(INDEX('Per Invoice'!V$2:V$801,$W250)="","",INDEX('Per Invoice'!V$2:V$801,$W250)))</f>
        <v/>
      </c>
      <c r="W250" s="16">
        <f>IFERROR(MATCH(Settings!$C$32&amp;"|"&amp;ROWS($W$2:$W250),'Per Invoice'!$X$2:$X$801,0),"")</f>
        <v/>
      </c>
    </row>
    <row r="251">
      <c r="A251">
        <f>IF($W251="","",IF(INDEX('Per Invoice'!A$2:A$801,$W251)="","",INDEX('Per Invoice'!A$2:A$801,$W251)))</f>
        <v/>
      </c>
      <c r="B251">
        <f>IF($W251="","",IF(INDEX('Per Invoice'!B$2:B$801,$W251)="","",INDEX('Per Invoice'!B$2:B$801,$W251)))</f>
        <v/>
      </c>
      <c r="C251">
        <f>IF($W251="","",IF(INDEX('Per Invoice'!C$2:C$801,$W251)="","",INDEX('Per Invoice'!C$2:C$801,$W251)))</f>
        <v/>
      </c>
      <c r="D251">
        <f>IF($W251="","",IF(INDEX('Per Invoice'!D$2:D$801,$W251)="","",INDEX('Per Invoice'!D$2:D$801,$W251)))</f>
        <v/>
      </c>
      <c r="E251">
        <f>IF($W251="","",IF(INDEX('Per Invoice'!E$2:E$801,$W251)="","",INDEX('Per Invoice'!E$2:E$801,$W251)))</f>
        <v/>
      </c>
      <c r="F251">
        <f>IF($W251="","",IF(INDEX('Per Invoice'!F$2:F$801,$W251)="","",INDEX('Per Invoice'!F$2:F$801,$W251)))</f>
        <v/>
      </c>
      <c r="G251">
        <f>IF($W251="","",IF(INDEX('Per Invoice'!G$2:G$801,$W251)="","",INDEX('Per Invoice'!G$2:G$801,$W251)))</f>
        <v/>
      </c>
      <c r="H251">
        <f>IF($W251="","",IF(INDEX('Per Invoice'!H$2:H$801,$W251)="","",INDEX('Per Invoice'!H$2:H$801,$W251)))</f>
        <v/>
      </c>
      <c r="I251">
        <f>IF($W251="","",IF(INDEX('Per Invoice'!I$2:I$801,$W251)="","",INDEX('Per Invoice'!I$2:I$801,$W251)))</f>
        <v/>
      </c>
      <c r="J251">
        <f>IF($W251="","",IF(INDEX('Per Invoice'!J$2:J$801,$W251)="","",INDEX('Per Invoice'!J$2:J$801,$W251)))</f>
        <v/>
      </c>
      <c r="K251" s="7">
        <f>IF($W251="","",IF(INDEX('Per Invoice'!K$2:K$801,$W251)="","",INDEX('Per Invoice'!K$2:K$801,$W251)))</f>
        <v/>
      </c>
      <c r="L251" s="14">
        <f>IF($W251="","",IF(INDEX('Per Invoice'!L$2:L$801,$W251)="","",INDEX('Per Invoice'!L$2:L$801,$W251)))</f>
        <v/>
      </c>
      <c r="M251">
        <f>IF($W251="","",IF(INDEX('Per Invoice'!M$2:M$801,$W251)="","",INDEX('Per Invoice'!M$2:M$801,$W251)))</f>
        <v/>
      </c>
      <c r="N251" s="7">
        <f>IF($W251="","",IF(INDEX('Per Invoice'!N$2:N$801,$W251)="","",INDEX('Per Invoice'!N$2:N$801,$W251)))</f>
        <v/>
      </c>
      <c r="O251" s="7">
        <f>IF($W251="","",IF(INDEX('Per Invoice'!O$2:O$801,$W251)="","",INDEX('Per Invoice'!O$2:O$801,$W251)))</f>
        <v/>
      </c>
      <c r="P251">
        <f>IF($W251="","",IF(INDEX('Per Invoice'!P$2:P$801,$W251)="","",INDEX('Per Invoice'!P$2:P$801,$W251)))</f>
        <v/>
      </c>
      <c r="Q251" s="7">
        <f>IF($W251="","",IF(INDEX('Per Invoice'!Q$2:Q$801,$W251)="","",INDEX('Per Invoice'!Q$2:Q$801,$W251)))</f>
        <v/>
      </c>
      <c r="R251" s="7">
        <f>IF($W251="","",IF(INDEX('Per Invoice'!R$2:R$801,$W251)="","",INDEX('Per Invoice'!R$2:R$801,$W251)))</f>
        <v/>
      </c>
      <c r="S251" s="7">
        <f>IF($W251="","",IF(INDEX('Per Invoice'!S$2:S$801,$W251)="","",INDEX('Per Invoice'!S$2:S$801,$W251)))</f>
        <v/>
      </c>
      <c r="T251" s="7">
        <f>IF($W251="","",IF(INDEX('Per Invoice'!T$2:T$801,$W251)="","",INDEX('Per Invoice'!T$2:T$801,$W251)))</f>
        <v/>
      </c>
      <c r="U251" s="7">
        <f>IF($W251="","",IF(INDEX('Per Invoice'!U$2:U$801,$W251)="","",INDEX('Per Invoice'!U$2:U$801,$W251)))</f>
        <v/>
      </c>
      <c r="V251" s="7">
        <f>IF($W251="","",IF(INDEX('Per Invoice'!V$2:V$801,$W251)="","",INDEX('Per Invoice'!V$2:V$801,$W251)))</f>
        <v/>
      </c>
      <c r="W251" s="16">
        <f>IFERROR(MATCH(Settings!$C$32&amp;"|"&amp;ROWS($W$2:$W251),'Per Invoice'!$X$2:$X$801,0),"")</f>
        <v/>
      </c>
    </row>
    <row r="252">
      <c r="A252">
        <f>IF($W252="","",IF(INDEX('Per Invoice'!A$2:A$801,$W252)="","",INDEX('Per Invoice'!A$2:A$801,$W252)))</f>
        <v/>
      </c>
      <c r="B252">
        <f>IF($W252="","",IF(INDEX('Per Invoice'!B$2:B$801,$W252)="","",INDEX('Per Invoice'!B$2:B$801,$W252)))</f>
        <v/>
      </c>
      <c r="C252">
        <f>IF($W252="","",IF(INDEX('Per Invoice'!C$2:C$801,$W252)="","",INDEX('Per Invoice'!C$2:C$801,$W252)))</f>
        <v/>
      </c>
      <c r="D252">
        <f>IF($W252="","",IF(INDEX('Per Invoice'!D$2:D$801,$W252)="","",INDEX('Per Invoice'!D$2:D$801,$W252)))</f>
        <v/>
      </c>
      <c r="E252">
        <f>IF($W252="","",IF(INDEX('Per Invoice'!E$2:E$801,$W252)="","",INDEX('Per Invoice'!E$2:E$801,$W252)))</f>
        <v/>
      </c>
      <c r="F252">
        <f>IF($W252="","",IF(INDEX('Per Invoice'!F$2:F$801,$W252)="","",INDEX('Per Invoice'!F$2:F$801,$W252)))</f>
        <v/>
      </c>
      <c r="G252">
        <f>IF($W252="","",IF(INDEX('Per Invoice'!G$2:G$801,$W252)="","",INDEX('Per Invoice'!G$2:G$801,$W252)))</f>
        <v/>
      </c>
      <c r="H252">
        <f>IF($W252="","",IF(INDEX('Per Invoice'!H$2:H$801,$W252)="","",INDEX('Per Invoice'!H$2:H$801,$W252)))</f>
        <v/>
      </c>
      <c r="I252">
        <f>IF($W252="","",IF(INDEX('Per Invoice'!I$2:I$801,$W252)="","",INDEX('Per Invoice'!I$2:I$801,$W252)))</f>
        <v/>
      </c>
      <c r="J252">
        <f>IF($W252="","",IF(INDEX('Per Invoice'!J$2:J$801,$W252)="","",INDEX('Per Invoice'!J$2:J$801,$W252)))</f>
        <v/>
      </c>
      <c r="K252" s="7">
        <f>IF($W252="","",IF(INDEX('Per Invoice'!K$2:K$801,$W252)="","",INDEX('Per Invoice'!K$2:K$801,$W252)))</f>
        <v/>
      </c>
      <c r="L252" s="14">
        <f>IF($W252="","",IF(INDEX('Per Invoice'!L$2:L$801,$W252)="","",INDEX('Per Invoice'!L$2:L$801,$W252)))</f>
        <v/>
      </c>
      <c r="M252">
        <f>IF($W252="","",IF(INDEX('Per Invoice'!M$2:M$801,$W252)="","",INDEX('Per Invoice'!M$2:M$801,$W252)))</f>
        <v/>
      </c>
      <c r="N252" s="7">
        <f>IF($W252="","",IF(INDEX('Per Invoice'!N$2:N$801,$W252)="","",INDEX('Per Invoice'!N$2:N$801,$W252)))</f>
        <v/>
      </c>
      <c r="O252" s="7">
        <f>IF($W252="","",IF(INDEX('Per Invoice'!O$2:O$801,$W252)="","",INDEX('Per Invoice'!O$2:O$801,$W252)))</f>
        <v/>
      </c>
      <c r="P252">
        <f>IF($W252="","",IF(INDEX('Per Invoice'!P$2:P$801,$W252)="","",INDEX('Per Invoice'!P$2:P$801,$W252)))</f>
        <v/>
      </c>
      <c r="Q252" s="7">
        <f>IF($W252="","",IF(INDEX('Per Invoice'!Q$2:Q$801,$W252)="","",INDEX('Per Invoice'!Q$2:Q$801,$W252)))</f>
        <v/>
      </c>
      <c r="R252" s="7">
        <f>IF($W252="","",IF(INDEX('Per Invoice'!R$2:R$801,$W252)="","",INDEX('Per Invoice'!R$2:R$801,$W252)))</f>
        <v/>
      </c>
      <c r="S252" s="7">
        <f>IF($W252="","",IF(INDEX('Per Invoice'!S$2:S$801,$W252)="","",INDEX('Per Invoice'!S$2:S$801,$W252)))</f>
        <v/>
      </c>
      <c r="T252" s="7">
        <f>IF($W252="","",IF(INDEX('Per Invoice'!T$2:T$801,$W252)="","",INDEX('Per Invoice'!T$2:T$801,$W252)))</f>
        <v/>
      </c>
      <c r="U252" s="7">
        <f>IF($W252="","",IF(INDEX('Per Invoice'!U$2:U$801,$W252)="","",INDEX('Per Invoice'!U$2:U$801,$W252)))</f>
        <v/>
      </c>
      <c r="V252" s="7">
        <f>IF($W252="","",IF(INDEX('Per Invoice'!V$2:V$801,$W252)="","",INDEX('Per Invoice'!V$2:V$801,$W252)))</f>
        <v/>
      </c>
      <c r="W252" s="16">
        <f>IFERROR(MATCH(Settings!$C$32&amp;"|"&amp;ROWS($W$2:$W252),'Per Invoice'!$X$2:$X$801,0),"")</f>
        <v/>
      </c>
    </row>
    <row r="253">
      <c r="A253">
        <f>IF($W253="","",IF(INDEX('Per Invoice'!A$2:A$801,$W253)="","",INDEX('Per Invoice'!A$2:A$801,$W253)))</f>
        <v/>
      </c>
      <c r="B253">
        <f>IF($W253="","",IF(INDEX('Per Invoice'!B$2:B$801,$W253)="","",INDEX('Per Invoice'!B$2:B$801,$W253)))</f>
        <v/>
      </c>
      <c r="C253">
        <f>IF($W253="","",IF(INDEX('Per Invoice'!C$2:C$801,$W253)="","",INDEX('Per Invoice'!C$2:C$801,$W253)))</f>
        <v/>
      </c>
      <c r="D253">
        <f>IF($W253="","",IF(INDEX('Per Invoice'!D$2:D$801,$W253)="","",INDEX('Per Invoice'!D$2:D$801,$W253)))</f>
        <v/>
      </c>
      <c r="E253">
        <f>IF($W253="","",IF(INDEX('Per Invoice'!E$2:E$801,$W253)="","",INDEX('Per Invoice'!E$2:E$801,$W253)))</f>
        <v/>
      </c>
      <c r="F253">
        <f>IF($W253="","",IF(INDEX('Per Invoice'!F$2:F$801,$W253)="","",INDEX('Per Invoice'!F$2:F$801,$W253)))</f>
        <v/>
      </c>
      <c r="G253">
        <f>IF($W253="","",IF(INDEX('Per Invoice'!G$2:G$801,$W253)="","",INDEX('Per Invoice'!G$2:G$801,$W253)))</f>
        <v/>
      </c>
      <c r="H253">
        <f>IF($W253="","",IF(INDEX('Per Invoice'!H$2:H$801,$W253)="","",INDEX('Per Invoice'!H$2:H$801,$W253)))</f>
        <v/>
      </c>
      <c r="I253">
        <f>IF($W253="","",IF(INDEX('Per Invoice'!I$2:I$801,$W253)="","",INDEX('Per Invoice'!I$2:I$801,$W253)))</f>
        <v/>
      </c>
      <c r="J253">
        <f>IF($W253="","",IF(INDEX('Per Invoice'!J$2:J$801,$W253)="","",INDEX('Per Invoice'!J$2:J$801,$W253)))</f>
        <v/>
      </c>
      <c r="K253" s="7">
        <f>IF($W253="","",IF(INDEX('Per Invoice'!K$2:K$801,$W253)="","",INDEX('Per Invoice'!K$2:K$801,$W253)))</f>
        <v/>
      </c>
      <c r="L253" s="14">
        <f>IF($W253="","",IF(INDEX('Per Invoice'!L$2:L$801,$W253)="","",INDEX('Per Invoice'!L$2:L$801,$W253)))</f>
        <v/>
      </c>
      <c r="M253">
        <f>IF($W253="","",IF(INDEX('Per Invoice'!M$2:M$801,$W253)="","",INDEX('Per Invoice'!M$2:M$801,$W253)))</f>
        <v/>
      </c>
      <c r="N253" s="7">
        <f>IF($W253="","",IF(INDEX('Per Invoice'!N$2:N$801,$W253)="","",INDEX('Per Invoice'!N$2:N$801,$W253)))</f>
        <v/>
      </c>
      <c r="O253" s="7">
        <f>IF($W253="","",IF(INDEX('Per Invoice'!O$2:O$801,$W253)="","",INDEX('Per Invoice'!O$2:O$801,$W253)))</f>
        <v/>
      </c>
      <c r="P253">
        <f>IF($W253="","",IF(INDEX('Per Invoice'!P$2:P$801,$W253)="","",INDEX('Per Invoice'!P$2:P$801,$W253)))</f>
        <v/>
      </c>
      <c r="Q253" s="7">
        <f>IF($W253="","",IF(INDEX('Per Invoice'!Q$2:Q$801,$W253)="","",INDEX('Per Invoice'!Q$2:Q$801,$W253)))</f>
        <v/>
      </c>
      <c r="R253" s="7">
        <f>IF($W253="","",IF(INDEX('Per Invoice'!R$2:R$801,$W253)="","",INDEX('Per Invoice'!R$2:R$801,$W253)))</f>
        <v/>
      </c>
      <c r="S253" s="7">
        <f>IF($W253="","",IF(INDEX('Per Invoice'!S$2:S$801,$W253)="","",INDEX('Per Invoice'!S$2:S$801,$W253)))</f>
        <v/>
      </c>
      <c r="T253" s="7">
        <f>IF($W253="","",IF(INDEX('Per Invoice'!T$2:T$801,$W253)="","",INDEX('Per Invoice'!T$2:T$801,$W253)))</f>
        <v/>
      </c>
      <c r="U253" s="7">
        <f>IF($W253="","",IF(INDEX('Per Invoice'!U$2:U$801,$W253)="","",INDEX('Per Invoice'!U$2:U$801,$W253)))</f>
        <v/>
      </c>
      <c r="V253" s="7">
        <f>IF($W253="","",IF(INDEX('Per Invoice'!V$2:V$801,$W253)="","",INDEX('Per Invoice'!V$2:V$801,$W253)))</f>
        <v/>
      </c>
      <c r="W253" s="16">
        <f>IFERROR(MATCH(Settings!$C$32&amp;"|"&amp;ROWS($W$2:$W253),'Per Invoice'!$X$2:$X$801,0),"")</f>
        <v/>
      </c>
    </row>
    <row r="254">
      <c r="A254">
        <f>IF($W254="","",IF(INDEX('Per Invoice'!A$2:A$801,$W254)="","",INDEX('Per Invoice'!A$2:A$801,$W254)))</f>
        <v/>
      </c>
      <c r="B254">
        <f>IF($W254="","",IF(INDEX('Per Invoice'!B$2:B$801,$W254)="","",INDEX('Per Invoice'!B$2:B$801,$W254)))</f>
        <v/>
      </c>
      <c r="C254">
        <f>IF($W254="","",IF(INDEX('Per Invoice'!C$2:C$801,$W254)="","",INDEX('Per Invoice'!C$2:C$801,$W254)))</f>
        <v/>
      </c>
      <c r="D254">
        <f>IF($W254="","",IF(INDEX('Per Invoice'!D$2:D$801,$W254)="","",INDEX('Per Invoice'!D$2:D$801,$W254)))</f>
        <v/>
      </c>
      <c r="E254">
        <f>IF($W254="","",IF(INDEX('Per Invoice'!E$2:E$801,$W254)="","",INDEX('Per Invoice'!E$2:E$801,$W254)))</f>
        <v/>
      </c>
      <c r="F254">
        <f>IF($W254="","",IF(INDEX('Per Invoice'!F$2:F$801,$W254)="","",INDEX('Per Invoice'!F$2:F$801,$W254)))</f>
        <v/>
      </c>
      <c r="G254">
        <f>IF($W254="","",IF(INDEX('Per Invoice'!G$2:G$801,$W254)="","",INDEX('Per Invoice'!G$2:G$801,$W254)))</f>
        <v/>
      </c>
      <c r="H254">
        <f>IF($W254="","",IF(INDEX('Per Invoice'!H$2:H$801,$W254)="","",INDEX('Per Invoice'!H$2:H$801,$W254)))</f>
        <v/>
      </c>
      <c r="I254">
        <f>IF($W254="","",IF(INDEX('Per Invoice'!I$2:I$801,$W254)="","",INDEX('Per Invoice'!I$2:I$801,$W254)))</f>
        <v/>
      </c>
      <c r="J254">
        <f>IF($W254="","",IF(INDEX('Per Invoice'!J$2:J$801,$W254)="","",INDEX('Per Invoice'!J$2:J$801,$W254)))</f>
        <v/>
      </c>
      <c r="K254" s="7">
        <f>IF($W254="","",IF(INDEX('Per Invoice'!K$2:K$801,$W254)="","",INDEX('Per Invoice'!K$2:K$801,$W254)))</f>
        <v/>
      </c>
      <c r="L254" s="14">
        <f>IF($W254="","",IF(INDEX('Per Invoice'!L$2:L$801,$W254)="","",INDEX('Per Invoice'!L$2:L$801,$W254)))</f>
        <v/>
      </c>
      <c r="M254">
        <f>IF($W254="","",IF(INDEX('Per Invoice'!M$2:M$801,$W254)="","",INDEX('Per Invoice'!M$2:M$801,$W254)))</f>
        <v/>
      </c>
      <c r="N254" s="7">
        <f>IF($W254="","",IF(INDEX('Per Invoice'!N$2:N$801,$W254)="","",INDEX('Per Invoice'!N$2:N$801,$W254)))</f>
        <v/>
      </c>
      <c r="O254" s="7">
        <f>IF($W254="","",IF(INDEX('Per Invoice'!O$2:O$801,$W254)="","",INDEX('Per Invoice'!O$2:O$801,$W254)))</f>
        <v/>
      </c>
      <c r="P254">
        <f>IF($W254="","",IF(INDEX('Per Invoice'!P$2:P$801,$W254)="","",INDEX('Per Invoice'!P$2:P$801,$W254)))</f>
        <v/>
      </c>
      <c r="Q254" s="7">
        <f>IF($W254="","",IF(INDEX('Per Invoice'!Q$2:Q$801,$W254)="","",INDEX('Per Invoice'!Q$2:Q$801,$W254)))</f>
        <v/>
      </c>
      <c r="R254" s="7">
        <f>IF($W254="","",IF(INDEX('Per Invoice'!R$2:R$801,$W254)="","",INDEX('Per Invoice'!R$2:R$801,$W254)))</f>
        <v/>
      </c>
      <c r="S254" s="7">
        <f>IF($W254="","",IF(INDEX('Per Invoice'!S$2:S$801,$W254)="","",INDEX('Per Invoice'!S$2:S$801,$W254)))</f>
        <v/>
      </c>
      <c r="T254" s="7">
        <f>IF($W254="","",IF(INDEX('Per Invoice'!T$2:T$801,$W254)="","",INDEX('Per Invoice'!T$2:T$801,$W254)))</f>
        <v/>
      </c>
      <c r="U254" s="7">
        <f>IF($W254="","",IF(INDEX('Per Invoice'!U$2:U$801,$W254)="","",INDEX('Per Invoice'!U$2:U$801,$W254)))</f>
        <v/>
      </c>
      <c r="V254" s="7">
        <f>IF($W254="","",IF(INDEX('Per Invoice'!V$2:V$801,$W254)="","",INDEX('Per Invoice'!V$2:V$801,$W254)))</f>
        <v/>
      </c>
      <c r="W254" s="16">
        <f>IFERROR(MATCH(Settings!$C$32&amp;"|"&amp;ROWS($W$2:$W254),'Per Invoice'!$X$2:$X$801,0),"")</f>
        <v/>
      </c>
    </row>
    <row r="255">
      <c r="A255">
        <f>IF($W255="","",IF(INDEX('Per Invoice'!A$2:A$801,$W255)="","",INDEX('Per Invoice'!A$2:A$801,$W255)))</f>
        <v/>
      </c>
      <c r="B255">
        <f>IF($W255="","",IF(INDEX('Per Invoice'!B$2:B$801,$W255)="","",INDEX('Per Invoice'!B$2:B$801,$W255)))</f>
        <v/>
      </c>
      <c r="C255">
        <f>IF($W255="","",IF(INDEX('Per Invoice'!C$2:C$801,$W255)="","",INDEX('Per Invoice'!C$2:C$801,$W255)))</f>
        <v/>
      </c>
      <c r="D255">
        <f>IF($W255="","",IF(INDEX('Per Invoice'!D$2:D$801,$W255)="","",INDEX('Per Invoice'!D$2:D$801,$W255)))</f>
        <v/>
      </c>
      <c r="E255">
        <f>IF($W255="","",IF(INDEX('Per Invoice'!E$2:E$801,$W255)="","",INDEX('Per Invoice'!E$2:E$801,$W255)))</f>
        <v/>
      </c>
      <c r="F255">
        <f>IF($W255="","",IF(INDEX('Per Invoice'!F$2:F$801,$W255)="","",INDEX('Per Invoice'!F$2:F$801,$W255)))</f>
        <v/>
      </c>
      <c r="G255">
        <f>IF($W255="","",IF(INDEX('Per Invoice'!G$2:G$801,$W255)="","",INDEX('Per Invoice'!G$2:G$801,$W255)))</f>
        <v/>
      </c>
      <c r="H255">
        <f>IF($W255="","",IF(INDEX('Per Invoice'!H$2:H$801,$W255)="","",INDEX('Per Invoice'!H$2:H$801,$W255)))</f>
        <v/>
      </c>
      <c r="I255">
        <f>IF($W255="","",IF(INDEX('Per Invoice'!I$2:I$801,$W255)="","",INDEX('Per Invoice'!I$2:I$801,$W255)))</f>
        <v/>
      </c>
      <c r="J255">
        <f>IF($W255="","",IF(INDEX('Per Invoice'!J$2:J$801,$W255)="","",INDEX('Per Invoice'!J$2:J$801,$W255)))</f>
        <v/>
      </c>
      <c r="K255" s="7">
        <f>IF($W255="","",IF(INDEX('Per Invoice'!K$2:K$801,$W255)="","",INDEX('Per Invoice'!K$2:K$801,$W255)))</f>
        <v/>
      </c>
      <c r="L255" s="14">
        <f>IF($W255="","",IF(INDEX('Per Invoice'!L$2:L$801,$W255)="","",INDEX('Per Invoice'!L$2:L$801,$W255)))</f>
        <v/>
      </c>
      <c r="M255">
        <f>IF($W255="","",IF(INDEX('Per Invoice'!M$2:M$801,$W255)="","",INDEX('Per Invoice'!M$2:M$801,$W255)))</f>
        <v/>
      </c>
      <c r="N255" s="7">
        <f>IF($W255="","",IF(INDEX('Per Invoice'!N$2:N$801,$W255)="","",INDEX('Per Invoice'!N$2:N$801,$W255)))</f>
        <v/>
      </c>
      <c r="O255" s="7">
        <f>IF($W255="","",IF(INDEX('Per Invoice'!O$2:O$801,$W255)="","",INDEX('Per Invoice'!O$2:O$801,$W255)))</f>
        <v/>
      </c>
      <c r="P255">
        <f>IF($W255="","",IF(INDEX('Per Invoice'!P$2:P$801,$W255)="","",INDEX('Per Invoice'!P$2:P$801,$W255)))</f>
        <v/>
      </c>
      <c r="Q255" s="7">
        <f>IF($W255="","",IF(INDEX('Per Invoice'!Q$2:Q$801,$W255)="","",INDEX('Per Invoice'!Q$2:Q$801,$W255)))</f>
        <v/>
      </c>
      <c r="R255" s="7">
        <f>IF($W255="","",IF(INDEX('Per Invoice'!R$2:R$801,$W255)="","",INDEX('Per Invoice'!R$2:R$801,$W255)))</f>
        <v/>
      </c>
      <c r="S255" s="7">
        <f>IF($W255="","",IF(INDEX('Per Invoice'!S$2:S$801,$W255)="","",INDEX('Per Invoice'!S$2:S$801,$W255)))</f>
        <v/>
      </c>
      <c r="T255" s="7">
        <f>IF($W255="","",IF(INDEX('Per Invoice'!T$2:T$801,$W255)="","",INDEX('Per Invoice'!T$2:T$801,$W255)))</f>
        <v/>
      </c>
      <c r="U255" s="7">
        <f>IF($W255="","",IF(INDEX('Per Invoice'!U$2:U$801,$W255)="","",INDEX('Per Invoice'!U$2:U$801,$W255)))</f>
        <v/>
      </c>
      <c r="V255" s="7">
        <f>IF($W255="","",IF(INDEX('Per Invoice'!V$2:V$801,$W255)="","",INDEX('Per Invoice'!V$2:V$801,$W255)))</f>
        <v/>
      </c>
      <c r="W255" s="16">
        <f>IFERROR(MATCH(Settings!$C$32&amp;"|"&amp;ROWS($W$2:$W255),'Per Invoice'!$X$2:$X$801,0),"")</f>
        <v/>
      </c>
    </row>
    <row r="256">
      <c r="A256">
        <f>IF($W256="","",IF(INDEX('Per Invoice'!A$2:A$801,$W256)="","",INDEX('Per Invoice'!A$2:A$801,$W256)))</f>
        <v/>
      </c>
      <c r="B256">
        <f>IF($W256="","",IF(INDEX('Per Invoice'!B$2:B$801,$W256)="","",INDEX('Per Invoice'!B$2:B$801,$W256)))</f>
        <v/>
      </c>
      <c r="C256">
        <f>IF($W256="","",IF(INDEX('Per Invoice'!C$2:C$801,$W256)="","",INDEX('Per Invoice'!C$2:C$801,$W256)))</f>
        <v/>
      </c>
      <c r="D256">
        <f>IF($W256="","",IF(INDEX('Per Invoice'!D$2:D$801,$W256)="","",INDEX('Per Invoice'!D$2:D$801,$W256)))</f>
        <v/>
      </c>
      <c r="E256">
        <f>IF($W256="","",IF(INDEX('Per Invoice'!E$2:E$801,$W256)="","",INDEX('Per Invoice'!E$2:E$801,$W256)))</f>
        <v/>
      </c>
      <c r="F256">
        <f>IF($W256="","",IF(INDEX('Per Invoice'!F$2:F$801,$W256)="","",INDEX('Per Invoice'!F$2:F$801,$W256)))</f>
        <v/>
      </c>
      <c r="G256">
        <f>IF($W256="","",IF(INDEX('Per Invoice'!G$2:G$801,$W256)="","",INDEX('Per Invoice'!G$2:G$801,$W256)))</f>
        <v/>
      </c>
      <c r="H256">
        <f>IF($W256="","",IF(INDEX('Per Invoice'!H$2:H$801,$W256)="","",INDEX('Per Invoice'!H$2:H$801,$W256)))</f>
        <v/>
      </c>
      <c r="I256">
        <f>IF($W256="","",IF(INDEX('Per Invoice'!I$2:I$801,$W256)="","",INDEX('Per Invoice'!I$2:I$801,$W256)))</f>
        <v/>
      </c>
      <c r="J256">
        <f>IF($W256="","",IF(INDEX('Per Invoice'!J$2:J$801,$W256)="","",INDEX('Per Invoice'!J$2:J$801,$W256)))</f>
        <v/>
      </c>
      <c r="K256" s="7">
        <f>IF($W256="","",IF(INDEX('Per Invoice'!K$2:K$801,$W256)="","",INDEX('Per Invoice'!K$2:K$801,$W256)))</f>
        <v/>
      </c>
      <c r="L256" s="14">
        <f>IF($W256="","",IF(INDEX('Per Invoice'!L$2:L$801,$W256)="","",INDEX('Per Invoice'!L$2:L$801,$W256)))</f>
        <v/>
      </c>
      <c r="M256">
        <f>IF($W256="","",IF(INDEX('Per Invoice'!M$2:M$801,$W256)="","",INDEX('Per Invoice'!M$2:M$801,$W256)))</f>
        <v/>
      </c>
      <c r="N256" s="7">
        <f>IF($W256="","",IF(INDEX('Per Invoice'!N$2:N$801,$W256)="","",INDEX('Per Invoice'!N$2:N$801,$W256)))</f>
        <v/>
      </c>
      <c r="O256" s="7">
        <f>IF($W256="","",IF(INDEX('Per Invoice'!O$2:O$801,$W256)="","",INDEX('Per Invoice'!O$2:O$801,$W256)))</f>
        <v/>
      </c>
      <c r="P256">
        <f>IF($W256="","",IF(INDEX('Per Invoice'!P$2:P$801,$W256)="","",INDEX('Per Invoice'!P$2:P$801,$W256)))</f>
        <v/>
      </c>
      <c r="Q256" s="7">
        <f>IF($W256="","",IF(INDEX('Per Invoice'!Q$2:Q$801,$W256)="","",INDEX('Per Invoice'!Q$2:Q$801,$W256)))</f>
        <v/>
      </c>
      <c r="R256" s="7">
        <f>IF($W256="","",IF(INDEX('Per Invoice'!R$2:R$801,$W256)="","",INDEX('Per Invoice'!R$2:R$801,$W256)))</f>
        <v/>
      </c>
      <c r="S256" s="7">
        <f>IF($W256="","",IF(INDEX('Per Invoice'!S$2:S$801,$W256)="","",INDEX('Per Invoice'!S$2:S$801,$W256)))</f>
        <v/>
      </c>
      <c r="T256" s="7">
        <f>IF($W256="","",IF(INDEX('Per Invoice'!T$2:T$801,$W256)="","",INDEX('Per Invoice'!T$2:T$801,$W256)))</f>
        <v/>
      </c>
      <c r="U256" s="7">
        <f>IF($W256="","",IF(INDEX('Per Invoice'!U$2:U$801,$W256)="","",INDEX('Per Invoice'!U$2:U$801,$W256)))</f>
        <v/>
      </c>
      <c r="V256" s="7">
        <f>IF($W256="","",IF(INDEX('Per Invoice'!V$2:V$801,$W256)="","",INDEX('Per Invoice'!V$2:V$801,$W256)))</f>
        <v/>
      </c>
      <c r="W256" s="16">
        <f>IFERROR(MATCH(Settings!$C$32&amp;"|"&amp;ROWS($W$2:$W256),'Per Invoice'!$X$2:$X$801,0),"")</f>
        <v/>
      </c>
    </row>
    <row r="257">
      <c r="A257">
        <f>IF($W257="","",IF(INDEX('Per Invoice'!A$2:A$801,$W257)="","",INDEX('Per Invoice'!A$2:A$801,$W257)))</f>
        <v/>
      </c>
      <c r="B257">
        <f>IF($W257="","",IF(INDEX('Per Invoice'!B$2:B$801,$W257)="","",INDEX('Per Invoice'!B$2:B$801,$W257)))</f>
        <v/>
      </c>
      <c r="C257">
        <f>IF($W257="","",IF(INDEX('Per Invoice'!C$2:C$801,$W257)="","",INDEX('Per Invoice'!C$2:C$801,$W257)))</f>
        <v/>
      </c>
      <c r="D257">
        <f>IF($W257="","",IF(INDEX('Per Invoice'!D$2:D$801,$W257)="","",INDEX('Per Invoice'!D$2:D$801,$W257)))</f>
        <v/>
      </c>
      <c r="E257">
        <f>IF($W257="","",IF(INDEX('Per Invoice'!E$2:E$801,$W257)="","",INDEX('Per Invoice'!E$2:E$801,$W257)))</f>
        <v/>
      </c>
      <c r="F257">
        <f>IF($W257="","",IF(INDEX('Per Invoice'!F$2:F$801,$W257)="","",INDEX('Per Invoice'!F$2:F$801,$W257)))</f>
        <v/>
      </c>
      <c r="G257">
        <f>IF($W257="","",IF(INDEX('Per Invoice'!G$2:G$801,$W257)="","",INDEX('Per Invoice'!G$2:G$801,$W257)))</f>
        <v/>
      </c>
      <c r="H257">
        <f>IF($W257="","",IF(INDEX('Per Invoice'!H$2:H$801,$W257)="","",INDEX('Per Invoice'!H$2:H$801,$W257)))</f>
        <v/>
      </c>
      <c r="I257">
        <f>IF($W257="","",IF(INDEX('Per Invoice'!I$2:I$801,$W257)="","",INDEX('Per Invoice'!I$2:I$801,$W257)))</f>
        <v/>
      </c>
      <c r="J257">
        <f>IF($W257="","",IF(INDEX('Per Invoice'!J$2:J$801,$W257)="","",INDEX('Per Invoice'!J$2:J$801,$W257)))</f>
        <v/>
      </c>
      <c r="K257" s="7">
        <f>IF($W257="","",IF(INDEX('Per Invoice'!K$2:K$801,$W257)="","",INDEX('Per Invoice'!K$2:K$801,$W257)))</f>
        <v/>
      </c>
      <c r="L257" s="14">
        <f>IF($W257="","",IF(INDEX('Per Invoice'!L$2:L$801,$W257)="","",INDEX('Per Invoice'!L$2:L$801,$W257)))</f>
        <v/>
      </c>
      <c r="M257">
        <f>IF($W257="","",IF(INDEX('Per Invoice'!M$2:M$801,$W257)="","",INDEX('Per Invoice'!M$2:M$801,$W257)))</f>
        <v/>
      </c>
      <c r="N257" s="7">
        <f>IF($W257="","",IF(INDEX('Per Invoice'!N$2:N$801,$W257)="","",INDEX('Per Invoice'!N$2:N$801,$W257)))</f>
        <v/>
      </c>
      <c r="O257" s="7">
        <f>IF($W257="","",IF(INDEX('Per Invoice'!O$2:O$801,$W257)="","",INDEX('Per Invoice'!O$2:O$801,$W257)))</f>
        <v/>
      </c>
      <c r="P257">
        <f>IF($W257="","",IF(INDEX('Per Invoice'!P$2:P$801,$W257)="","",INDEX('Per Invoice'!P$2:P$801,$W257)))</f>
        <v/>
      </c>
      <c r="Q257" s="7">
        <f>IF($W257="","",IF(INDEX('Per Invoice'!Q$2:Q$801,$W257)="","",INDEX('Per Invoice'!Q$2:Q$801,$W257)))</f>
        <v/>
      </c>
      <c r="R257" s="7">
        <f>IF($W257="","",IF(INDEX('Per Invoice'!R$2:R$801,$W257)="","",INDEX('Per Invoice'!R$2:R$801,$W257)))</f>
        <v/>
      </c>
      <c r="S257" s="7">
        <f>IF($W257="","",IF(INDEX('Per Invoice'!S$2:S$801,$W257)="","",INDEX('Per Invoice'!S$2:S$801,$W257)))</f>
        <v/>
      </c>
      <c r="T257" s="7">
        <f>IF($W257="","",IF(INDEX('Per Invoice'!T$2:T$801,$W257)="","",INDEX('Per Invoice'!T$2:T$801,$W257)))</f>
        <v/>
      </c>
      <c r="U257" s="7">
        <f>IF($W257="","",IF(INDEX('Per Invoice'!U$2:U$801,$W257)="","",INDEX('Per Invoice'!U$2:U$801,$W257)))</f>
        <v/>
      </c>
      <c r="V257" s="7">
        <f>IF($W257="","",IF(INDEX('Per Invoice'!V$2:V$801,$W257)="","",INDEX('Per Invoice'!V$2:V$801,$W257)))</f>
        <v/>
      </c>
      <c r="W257" s="16">
        <f>IFERROR(MATCH(Settings!$C$32&amp;"|"&amp;ROWS($W$2:$W257),'Per Invoice'!$X$2:$X$801,0),"")</f>
        <v/>
      </c>
    </row>
    <row r="258">
      <c r="A258">
        <f>IF($W258="","",IF(INDEX('Per Invoice'!A$2:A$801,$W258)="","",INDEX('Per Invoice'!A$2:A$801,$W258)))</f>
        <v/>
      </c>
      <c r="B258">
        <f>IF($W258="","",IF(INDEX('Per Invoice'!B$2:B$801,$W258)="","",INDEX('Per Invoice'!B$2:B$801,$W258)))</f>
        <v/>
      </c>
      <c r="C258">
        <f>IF($W258="","",IF(INDEX('Per Invoice'!C$2:C$801,$W258)="","",INDEX('Per Invoice'!C$2:C$801,$W258)))</f>
        <v/>
      </c>
      <c r="D258">
        <f>IF($W258="","",IF(INDEX('Per Invoice'!D$2:D$801,$W258)="","",INDEX('Per Invoice'!D$2:D$801,$W258)))</f>
        <v/>
      </c>
      <c r="E258">
        <f>IF($W258="","",IF(INDEX('Per Invoice'!E$2:E$801,$W258)="","",INDEX('Per Invoice'!E$2:E$801,$W258)))</f>
        <v/>
      </c>
      <c r="F258">
        <f>IF($W258="","",IF(INDEX('Per Invoice'!F$2:F$801,$W258)="","",INDEX('Per Invoice'!F$2:F$801,$W258)))</f>
        <v/>
      </c>
      <c r="G258">
        <f>IF($W258="","",IF(INDEX('Per Invoice'!G$2:G$801,$W258)="","",INDEX('Per Invoice'!G$2:G$801,$W258)))</f>
        <v/>
      </c>
      <c r="H258">
        <f>IF($W258="","",IF(INDEX('Per Invoice'!H$2:H$801,$W258)="","",INDEX('Per Invoice'!H$2:H$801,$W258)))</f>
        <v/>
      </c>
      <c r="I258">
        <f>IF($W258="","",IF(INDEX('Per Invoice'!I$2:I$801,$W258)="","",INDEX('Per Invoice'!I$2:I$801,$W258)))</f>
        <v/>
      </c>
      <c r="J258">
        <f>IF($W258="","",IF(INDEX('Per Invoice'!J$2:J$801,$W258)="","",INDEX('Per Invoice'!J$2:J$801,$W258)))</f>
        <v/>
      </c>
      <c r="K258" s="7">
        <f>IF($W258="","",IF(INDEX('Per Invoice'!K$2:K$801,$W258)="","",INDEX('Per Invoice'!K$2:K$801,$W258)))</f>
        <v/>
      </c>
      <c r="L258" s="14">
        <f>IF($W258="","",IF(INDEX('Per Invoice'!L$2:L$801,$W258)="","",INDEX('Per Invoice'!L$2:L$801,$W258)))</f>
        <v/>
      </c>
      <c r="M258">
        <f>IF($W258="","",IF(INDEX('Per Invoice'!M$2:M$801,$W258)="","",INDEX('Per Invoice'!M$2:M$801,$W258)))</f>
        <v/>
      </c>
      <c r="N258" s="7">
        <f>IF($W258="","",IF(INDEX('Per Invoice'!N$2:N$801,$W258)="","",INDEX('Per Invoice'!N$2:N$801,$W258)))</f>
        <v/>
      </c>
      <c r="O258" s="7">
        <f>IF($W258="","",IF(INDEX('Per Invoice'!O$2:O$801,$W258)="","",INDEX('Per Invoice'!O$2:O$801,$W258)))</f>
        <v/>
      </c>
      <c r="P258">
        <f>IF($W258="","",IF(INDEX('Per Invoice'!P$2:P$801,$W258)="","",INDEX('Per Invoice'!P$2:P$801,$W258)))</f>
        <v/>
      </c>
      <c r="Q258" s="7">
        <f>IF($W258="","",IF(INDEX('Per Invoice'!Q$2:Q$801,$W258)="","",INDEX('Per Invoice'!Q$2:Q$801,$W258)))</f>
        <v/>
      </c>
      <c r="R258" s="7">
        <f>IF($W258="","",IF(INDEX('Per Invoice'!R$2:R$801,$W258)="","",INDEX('Per Invoice'!R$2:R$801,$W258)))</f>
        <v/>
      </c>
      <c r="S258" s="7">
        <f>IF($W258="","",IF(INDEX('Per Invoice'!S$2:S$801,$W258)="","",INDEX('Per Invoice'!S$2:S$801,$W258)))</f>
        <v/>
      </c>
      <c r="T258" s="7">
        <f>IF($W258="","",IF(INDEX('Per Invoice'!T$2:T$801,$W258)="","",INDEX('Per Invoice'!T$2:T$801,$W258)))</f>
        <v/>
      </c>
      <c r="U258" s="7">
        <f>IF($W258="","",IF(INDEX('Per Invoice'!U$2:U$801,$W258)="","",INDEX('Per Invoice'!U$2:U$801,$W258)))</f>
        <v/>
      </c>
      <c r="V258" s="7">
        <f>IF($W258="","",IF(INDEX('Per Invoice'!V$2:V$801,$W258)="","",INDEX('Per Invoice'!V$2:V$801,$W258)))</f>
        <v/>
      </c>
      <c r="W258" s="16">
        <f>IFERROR(MATCH(Settings!$C$32&amp;"|"&amp;ROWS($W$2:$W258),'Per Invoice'!$X$2:$X$801,0),"")</f>
        <v/>
      </c>
    </row>
    <row r="259">
      <c r="A259">
        <f>IF($W259="","",IF(INDEX('Per Invoice'!A$2:A$801,$W259)="","",INDEX('Per Invoice'!A$2:A$801,$W259)))</f>
        <v/>
      </c>
      <c r="B259">
        <f>IF($W259="","",IF(INDEX('Per Invoice'!B$2:B$801,$W259)="","",INDEX('Per Invoice'!B$2:B$801,$W259)))</f>
        <v/>
      </c>
      <c r="C259">
        <f>IF($W259="","",IF(INDEX('Per Invoice'!C$2:C$801,$W259)="","",INDEX('Per Invoice'!C$2:C$801,$W259)))</f>
        <v/>
      </c>
      <c r="D259">
        <f>IF($W259="","",IF(INDEX('Per Invoice'!D$2:D$801,$W259)="","",INDEX('Per Invoice'!D$2:D$801,$W259)))</f>
        <v/>
      </c>
      <c r="E259">
        <f>IF($W259="","",IF(INDEX('Per Invoice'!E$2:E$801,$W259)="","",INDEX('Per Invoice'!E$2:E$801,$W259)))</f>
        <v/>
      </c>
      <c r="F259">
        <f>IF($W259="","",IF(INDEX('Per Invoice'!F$2:F$801,$W259)="","",INDEX('Per Invoice'!F$2:F$801,$W259)))</f>
        <v/>
      </c>
      <c r="G259">
        <f>IF($W259="","",IF(INDEX('Per Invoice'!G$2:G$801,$W259)="","",INDEX('Per Invoice'!G$2:G$801,$W259)))</f>
        <v/>
      </c>
      <c r="H259">
        <f>IF($W259="","",IF(INDEX('Per Invoice'!H$2:H$801,$W259)="","",INDEX('Per Invoice'!H$2:H$801,$W259)))</f>
        <v/>
      </c>
      <c r="I259">
        <f>IF($W259="","",IF(INDEX('Per Invoice'!I$2:I$801,$W259)="","",INDEX('Per Invoice'!I$2:I$801,$W259)))</f>
        <v/>
      </c>
      <c r="J259">
        <f>IF($W259="","",IF(INDEX('Per Invoice'!J$2:J$801,$W259)="","",INDEX('Per Invoice'!J$2:J$801,$W259)))</f>
        <v/>
      </c>
      <c r="K259" s="7">
        <f>IF($W259="","",IF(INDEX('Per Invoice'!K$2:K$801,$W259)="","",INDEX('Per Invoice'!K$2:K$801,$W259)))</f>
        <v/>
      </c>
      <c r="L259" s="14">
        <f>IF($W259="","",IF(INDEX('Per Invoice'!L$2:L$801,$W259)="","",INDEX('Per Invoice'!L$2:L$801,$W259)))</f>
        <v/>
      </c>
      <c r="M259">
        <f>IF($W259="","",IF(INDEX('Per Invoice'!M$2:M$801,$W259)="","",INDEX('Per Invoice'!M$2:M$801,$W259)))</f>
        <v/>
      </c>
      <c r="N259" s="7">
        <f>IF($W259="","",IF(INDEX('Per Invoice'!N$2:N$801,$W259)="","",INDEX('Per Invoice'!N$2:N$801,$W259)))</f>
        <v/>
      </c>
      <c r="O259" s="7">
        <f>IF($W259="","",IF(INDEX('Per Invoice'!O$2:O$801,$W259)="","",INDEX('Per Invoice'!O$2:O$801,$W259)))</f>
        <v/>
      </c>
      <c r="P259">
        <f>IF($W259="","",IF(INDEX('Per Invoice'!P$2:P$801,$W259)="","",INDEX('Per Invoice'!P$2:P$801,$W259)))</f>
        <v/>
      </c>
      <c r="Q259" s="7">
        <f>IF($W259="","",IF(INDEX('Per Invoice'!Q$2:Q$801,$W259)="","",INDEX('Per Invoice'!Q$2:Q$801,$W259)))</f>
        <v/>
      </c>
      <c r="R259" s="7">
        <f>IF($W259="","",IF(INDEX('Per Invoice'!R$2:R$801,$W259)="","",INDEX('Per Invoice'!R$2:R$801,$W259)))</f>
        <v/>
      </c>
      <c r="S259" s="7">
        <f>IF($W259="","",IF(INDEX('Per Invoice'!S$2:S$801,$W259)="","",INDEX('Per Invoice'!S$2:S$801,$W259)))</f>
        <v/>
      </c>
      <c r="T259" s="7">
        <f>IF($W259="","",IF(INDEX('Per Invoice'!T$2:T$801,$W259)="","",INDEX('Per Invoice'!T$2:T$801,$W259)))</f>
        <v/>
      </c>
      <c r="U259" s="7">
        <f>IF($W259="","",IF(INDEX('Per Invoice'!U$2:U$801,$W259)="","",INDEX('Per Invoice'!U$2:U$801,$W259)))</f>
        <v/>
      </c>
      <c r="V259" s="7">
        <f>IF($W259="","",IF(INDEX('Per Invoice'!V$2:V$801,$W259)="","",INDEX('Per Invoice'!V$2:V$801,$W259)))</f>
        <v/>
      </c>
      <c r="W259" s="16">
        <f>IFERROR(MATCH(Settings!$C$32&amp;"|"&amp;ROWS($W$2:$W259),'Per Invoice'!$X$2:$X$801,0),"")</f>
        <v/>
      </c>
    </row>
    <row r="260">
      <c r="A260">
        <f>IF($W260="","",IF(INDEX('Per Invoice'!A$2:A$801,$W260)="","",INDEX('Per Invoice'!A$2:A$801,$W260)))</f>
        <v/>
      </c>
      <c r="B260">
        <f>IF($W260="","",IF(INDEX('Per Invoice'!B$2:B$801,$W260)="","",INDEX('Per Invoice'!B$2:B$801,$W260)))</f>
        <v/>
      </c>
      <c r="C260">
        <f>IF($W260="","",IF(INDEX('Per Invoice'!C$2:C$801,$W260)="","",INDEX('Per Invoice'!C$2:C$801,$W260)))</f>
        <v/>
      </c>
      <c r="D260">
        <f>IF($W260="","",IF(INDEX('Per Invoice'!D$2:D$801,$W260)="","",INDEX('Per Invoice'!D$2:D$801,$W260)))</f>
        <v/>
      </c>
      <c r="E260">
        <f>IF($W260="","",IF(INDEX('Per Invoice'!E$2:E$801,$W260)="","",INDEX('Per Invoice'!E$2:E$801,$W260)))</f>
        <v/>
      </c>
      <c r="F260">
        <f>IF($W260="","",IF(INDEX('Per Invoice'!F$2:F$801,$W260)="","",INDEX('Per Invoice'!F$2:F$801,$W260)))</f>
        <v/>
      </c>
      <c r="G260">
        <f>IF($W260="","",IF(INDEX('Per Invoice'!G$2:G$801,$W260)="","",INDEX('Per Invoice'!G$2:G$801,$W260)))</f>
        <v/>
      </c>
      <c r="H260">
        <f>IF($W260="","",IF(INDEX('Per Invoice'!H$2:H$801,$W260)="","",INDEX('Per Invoice'!H$2:H$801,$W260)))</f>
        <v/>
      </c>
      <c r="I260">
        <f>IF($W260="","",IF(INDEX('Per Invoice'!I$2:I$801,$W260)="","",INDEX('Per Invoice'!I$2:I$801,$W260)))</f>
        <v/>
      </c>
      <c r="J260">
        <f>IF($W260="","",IF(INDEX('Per Invoice'!J$2:J$801,$W260)="","",INDEX('Per Invoice'!J$2:J$801,$W260)))</f>
        <v/>
      </c>
      <c r="K260" s="7">
        <f>IF($W260="","",IF(INDEX('Per Invoice'!K$2:K$801,$W260)="","",INDEX('Per Invoice'!K$2:K$801,$W260)))</f>
        <v/>
      </c>
      <c r="L260" s="14">
        <f>IF($W260="","",IF(INDEX('Per Invoice'!L$2:L$801,$W260)="","",INDEX('Per Invoice'!L$2:L$801,$W260)))</f>
        <v/>
      </c>
      <c r="M260">
        <f>IF($W260="","",IF(INDEX('Per Invoice'!M$2:M$801,$W260)="","",INDEX('Per Invoice'!M$2:M$801,$W260)))</f>
        <v/>
      </c>
      <c r="N260" s="7">
        <f>IF($W260="","",IF(INDEX('Per Invoice'!N$2:N$801,$W260)="","",INDEX('Per Invoice'!N$2:N$801,$W260)))</f>
        <v/>
      </c>
      <c r="O260" s="7">
        <f>IF($W260="","",IF(INDEX('Per Invoice'!O$2:O$801,$W260)="","",INDEX('Per Invoice'!O$2:O$801,$W260)))</f>
        <v/>
      </c>
      <c r="P260">
        <f>IF($W260="","",IF(INDEX('Per Invoice'!P$2:P$801,$W260)="","",INDEX('Per Invoice'!P$2:P$801,$W260)))</f>
        <v/>
      </c>
      <c r="Q260" s="7">
        <f>IF($W260="","",IF(INDEX('Per Invoice'!Q$2:Q$801,$W260)="","",INDEX('Per Invoice'!Q$2:Q$801,$W260)))</f>
        <v/>
      </c>
      <c r="R260" s="7">
        <f>IF($W260="","",IF(INDEX('Per Invoice'!R$2:R$801,$W260)="","",INDEX('Per Invoice'!R$2:R$801,$W260)))</f>
        <v/>
      </c>
      <c r="S260" s="7">
        <f>IF($W260="","",IF(INDEX('Per Invoice'!S$2:S$801,$W260)="","",INDEX('Per Invoice'!S$2:S$801,$W260)))</f>
        <v/>
      </c>
      <c r="T260" s="7">
        <f>IF($W260="","",IF(INDEX('Per Invoice'!T$2:T$801,$W260)="","",INDEX('Per Invoice'!T$2:T$801,$W260)))</f>
        <v/>
      </c>
      <c r="U260" s="7">
        <f>IF($W260="","",IF(INDEX('Per Invoice'!U$2:U$801,$W260)="","",INDEX('Per Invoice'!U$2:U$801,$W260)))</f>
        <v/>
      </c>
      <c r="V260" s="7">
        <f>IF($W260="","",IF(INDEX('Per Invoice'!V$2:V$801,$W260)="","",INDEX('Per Invoice'!V$2:V$801,$W260)))</f>
        <v/>
      </c>
      <c r="W260" s="16">
        <f>IFERROR(MATCH(Settings!$C$32&amp;"|"&amp;ROWS($W$2:$W260),'Per Invoice'!$X$2:$X$801,0),"")</f>
        <v/>
      </c>
    </row>
    <row r="261">
      <c r="A261">
        <f>IF($W261="","",IF(INDEX('Per Invoice'!A$2:A$801,$W261)="","",INDEX('Per Invoice'!A$2:A$801,$W261)))</f>
        <v/>
      </c>
      <c r="B261">
        <f>IF($W261="","",IF(INDEX('Per Invoice'!B$2:B$801,$W261)="","",INDEX('Per Invoice'!B$2:B$801,$W261)))</f>
        <v/>
      </c>
      <c r="C261">
        <f>IF($W261="","",IF(INDEX('Per Invoice'!C$2:C$801,$W261)="","",INDEX('Per Invoice'!C$2:C$801,$W261)))</f>
        <v/>
      </c>
      <c r="D261">
        <f>IF($W261="","",IF(INDEX('Per Invoice'!D$2:D$801,$W261)="","",INDEX('Per Invoice'!D$2:D$801,$W261)))</f>
        <v/>
      </c>
      <c r="E261">
        <f>IF($W261="","",IF(INDEX('Per Invoice'!E$2:E$801,$W261)="","",INDEX('Per Invoice'!E$2:E$801,$W261)))</f>
        <v/>
      </c>
      <c r="F261">
        <f>IF($W261="","",IF(INDEX('Per Invoice'!F$2:F$801,$W261)="","",INDEX('Per Invoice'!F$2:F$801,$W261)))</f>
        <v/>
      </c>
      <c r="G261">
        <f>IF($W261="","",IF(INDEX('Per Invoice'!G$2:G$801,$W261)="","",INDEX('Per Invoice'!G$2:G$801,$W261)))</f>
        <v/>
      </c>
      <c r="H261">
        <f>IF($W261="","",IF(INDEX('Per Invoice'!H$2:H$801,$W261)="","",INDEX('Per Invoice'!H$2:H$801,$W261)))</f>
        <v/>
      </c>
      <c r="I261">
        <f>IF($W261="","",IF(INDEX('Per Invoice'!I$2:I$801,$W261)="","",INDEX('Per Invoice'!I$2:I$801,$W261)))</f>
        <v/>
      </c>
      <c r="J261">
        <f>IF($W261="","",IF(INDEX('Per Invoice'!J$2:J$801,$W261)="","",INDEX('Per Invoice'!J$2:J$801,$W261)))</f>
        <v/>
      </c>
      <c r="K261" s="7">
        <f>IF($W261="","",IF(INDEX('Per Invoice'!K$2:K$801,$W261)="","",INDEX('Per Invoice'!K$2:K$801,$W261)))</f>
        <v/>
      </c>
      <c r="L261" s="14">
        <f>IF($W261="","",IF(INDEX('Per Invoice'!L$2:L$801,$W261)="","",INDEX('Per Invoice'!L$2:L$801,$W261)))</f>
        <v/>
      </c>
      <c r="M261">
        <f>IF($W261="","",IF(INDEX('Per Invoice'!M$2:M$801,$W261)="","",INDEX('Per Invoice'!M$2:M$801,$W261)))</f>
        <v/>
      </c>
      <c r="N261" s="7">
        <f>IF($W261="","",IF(INDEX('Per Invoice'!N$2:N$801,$W261)="","",INDEX('Per Invoice'!N$2:N$801,$W261)))</f>
        <v/>
      </c>
      <c r="O261" s="7">
        <f>IF($W261="","",IF(INDEX('Per Invoice'!O$2:O$801,$W261)="","",INDEX('Per Invoice'!O$2:O$801,$W261)))</f>
        <v/>
      </c>
      <c r="P261">
        <f>IF($W261="","",IF(INDEX('Per Invoice'!P$2:P$801,$W261)="","",INDEX('Per Invoice'!P$2:P$801,$W261)))</f>
        <v/>
      </c>
      <c r="Q261" s="7">
        <f>IF($W261="","",IF(INDEX('Per Invoice'!Q$2:Q$801,$W261)="","",INDEX('Per Invoice'!Q$2:Q$801,$W261)))</f>
        <v/>
      </c>
      <c r="R261" s="7">
        <f>IF($W261="","",IF(INDEX('Per Invoice'!R$2:R$801,$W261)="","",INDEX('Per Invoice'!R$2:R$801,$W261)))</f>
        <v/>
      </c>
      <c r="S261" s="7">
        <f>IF($W261="","",IF(INDEX('Per Invoice'!S$2:S$801,$W261)="","",INDEX('Per Invoice'!S$2:S$801,$W261)))</f>
        <v/>
      </c>
      <c r="T261" s="7">
        <f>IF($W261="","",IF(INDEX('Per Invoice'!T$2:T$801,$W261)="","",INDEX('Per Invoice'!T$2:T$801,$W261)))</f>
        <v/>
      </c>
      <c r="U261" s="7">
        <f>IF($W261="","",IF(INDEX('Per Invoice'!U$2:U$801,$W261)="","",INDEX('Per Invoice'!U$2:U$801,$W261)))</f>
        <v/>
      </c>
      <c r="V261" s="7">
        <f>IF($W261="","",IF(INDEX('Per Invoice'!V$2:V$801,$W261)="","",INDEX('Per Invoice'!V$2:V$801,$W261)))</f>
        <v/>
      </c>
      <c r="W261" s="16">
        <f>IFERROR(MATCH(Settings!$C$32&amp;"|"&amp;ROWS($W$2:$W261),'Per Invoice'!$X$2:$X$801,0),"")</f>
        <v/>
      </c>
    </row>
    <row r="262">
      <c r="A262">
        <f>IF($W262="","",IF(INDEX('Per Invoice'!A$2:A$801,$W262)="","",INDEX('Per Invoice'!A$2:A$801,$W262)))</f>
        <v/>
      </c>
      <c r="B262">
        <f>IF($W262="","",IF(INDEX('Per Invoice'!B$2:B$801,$W262)="","",INDEX('Per Invoice'!B$2:B$801,$W262)))</f>
        <v/>
      </c>
      <c r="C262">
        <f>IF($W262="","",IF(INDEX('Per Invoice'!C$2:C$801,$W262)="","",INDEX('Per Invoice'!C$2:C$801,$W262)))</f>
        <v/>
      </c>
      <c r="D262">
        <f>IF($W262="","",IF(INDEX('Per Invoice'!D$2:D$801,$W262)="","",INDEX('Per Invoice'!D$2:D$801,$W262)))</f>
        <v/>
      </c>
      <c r="E262">
        <f>IF($W262="","",IF(INDEX('Per Invoice'!E$2:E$801,$W262)="","",INDEX('Per Invoice'!E$2:E$801,$W262)))</f>
        <v/>
      </c>
      <c r="F262">
        <f>IF($W262="","",IF(INDEX('Per Invoice'!F$2:F$801,$W262)="","",INDEX('Per Invoice'!F$2:F$801,$W262)))</f>
        <v/>
      </c>
      <c r="G262">
        <f>IF($W262="","",IF(INDEX('Per Invoice'!G$2:G$801,$W262)="","",INDEX('Per Invoice'!G$2:G$801,$W262)))</f>
        <v/>
      </c>
      <c r="H262">
        <f>IF($W262="","",IF(INDEX('Per Invoice'!H$2:H$801,$W262)="","",INDEX('Per Invoice'!H$2:H$801,$W262)))</f>
        <v/>
      </c>
      <c r="I262">
        <f>IF($W262="","",IF(INDEX('Per Invoice'!I$2:I$801,$W262)="","",INDEX('Per Invoice'!I$2:I$801,$W262)))</f>
        <v/>
      </c>
      <c r="J262">
        <f>IF($W262="","",IF(INDEX('Per Invoice'!J$2:J$801,$W262)="","",INDEX('Per Invoice'!J$2:J$801,$W262)))</f>
        <v/>
      </c>
      <c r="K262" s="7">
        <f>IF($W262="","",IF(INDEX('Per Invoice'!K$2:K$801,$W262)="","",INDEX('Per Invoice'!K$2:K$801,$W262)))</f>
        <v/>
      </c>
      <c r="L262" s="14">
        <f>IF($W262="","",IF(INDEX('Per Invoice'!L$2:L$801,$W262)="","",INDEX('Per Invoice'!L$2:L$801,$W262)))</f>
        <v/>
      </c>
      <c r="M262">
        <f>IF($W262="","",IF(INDEX('Per Invoice'!M$2:M$801,$W262)="","",INDEX('Per Invoice'!M$2:M$801,$W262)))</f>
        <v/>
      </c>
      <c r="N262" s="7">
        <f>IF($W262="","",IF(INDEX('Per Invoice'!N$2:N$801,$W262)="","",INDEX('Per Invoice'!N$2:N$801,$W262)))</f>
        <v/>
      </c>
      <c r="O262" s="7">
        <f>IF($W262="","",IF(INDEX('Per Invoice'!O$2:O$801,$W262)="","",INDEX('Per Invoice'!O$2:O$801,$W262)))</f>
        <v/>
      </c>
      <c r="P262">
        <f>IF($W262="","",IF(INDEX('Per Invoice'!P$2:P$801,$W262)="","",INDEX('Per Invoice'!P$2:P$801,$W262)))</f>
        <v/>
      </c>
      <c r="Q262" s="7">
        <f>IF($W262="","",IF(INDEX('Per Invoice'!Q$2:Q$801,$W262)="","",INDEX('Per Invoice'!Q$2:Q$801,$W262)))</f>
        <v/>
      </c>
      <c r="R262" s="7">
        <f>IF($W262="","",IF(INDEX('Per Invoice'!R$2:R$801,$W262)="","",INDEX('Per Invoice'!R$2:R$801,$W262)))</f>
        <v/>
      </c>
      <c r="S262" s="7">
        <f>IF($W262="","",IF(INDEX('Per Invoice'!S$2:S$801,$W262)="","",INDEX('Per Invoice'!S$2:S$801,$W262)))</f>
        <v/>
      </c>
      <c r="T262" s="7">
        <f>IF($W262="","",IF(INDEX('Per Invoice'!T$2:T$801,$W262)="","",INDEX('Per Invoice'!T$2:T$801,$W262)))</f>
        <v/>
      </c>
      <c r="U262" s="7">
        <f>IF($W262="","",IF(INDEX('Per Invoice'!U$2:U$801,$W262)="","",INDEX('Per Invoice'!U$2:U$801,$W262)))</f>
        <v/>
      </c>
      <c r="V262" s="7">
        <f>IF($W262="","",IF(INDEX('Per Invoice'!V$2:V$801,$W262)="","",INDEX('Per Invoice'!V$2:V$801,$W262)))</f>
        <v/>
      </c>
      <c r="W262" s="16">
        <f>IFERROR(MATCH(Settings!$C$32&amp;"|"&amp;ROWS($W$2:$W262),'Per Invoice'!$X$2:$X$801,0),"")</f>
        <v/>
      </c>
    </row>
    <row r="263">
      <c r="A263">
        <f>IF($W263="","",IF(INDEX('Per Invoice'!A$2:A$801,$W263)="","",INDEX('Per Invoice'!A$2:A$801,$W263)))</f>
        <v/>
      </c>
      <c r="B263">
        <f>IF($W263="","",IF(INDEX('Per Invoice'!B$2:B$801,$W263)="","",INDEX('Per Invoice'!B$2:B$801,$W263)))</f>
        <v/>
      </c>
      <c r="C263">
        <f>IF($W263="","",IF(INDEX('Per Invoice'!C$2:C$801,$W263)="","",INDEX('Per Invoice'!C$2:C$801,$W263)))</f>
        <v/>
      </c>
      <c r="D263">
        <f>IF($W263="","",IF(INDEX('Per Invoice'!D$2:D$801,$W263)="","",INDEX('Per Invoice'!D$2:D$801,$W263)))</f>
        <v/>
      </c>
      <c r="E263">
        <f>IF($W263="","",IF(INDEX('Per Invoice'!E$2:E$801,$W263)="","",INDEX('Per Invoice'!E$2:E$801,$W263)))</f>
        <v/>
      </c>
      <c r="F263">
        <f>IF($W263="","",IF(INDEX('Per Invoice'!F$2:F$801,$W263)="","",INDEX('Per Invoice'!F$2:F$801,$W263)))</f>
        <v/>
      </c>
      <c r="G263">
        <f>IF($W263="","",IF(INDEX('Per Invoice'!G$2:G$801,$W263)="","",INDEX('Per Invoice'!G$2:G$801,$W263)))</f>
        <v/>
      </c>
      <c r="H263">
        <f>IF($W263="","",IF(INDEX('Per Invoice'!H$2:H$801,$W263)="","",INDEX('Per Invoice'!H$2:H$801,$W263)))</f>
        <v/>
      </c>
      <c r="I263">
        <f>IF($W263="","",IF(INDEX('Per Invoice'!I$2:I$801,$W263)="","",INDEX('Per Invoice'!I$2:I$801,$W263)))</f>
        <v/>
      </c>
      <c r="J263">
        <f>IF($W263="","",IF(INDEX('Per Invoice'!J$2:J$801,$W263)="","",INDEX('Per Invoice'!J$2:J$801,$W263)))</f>
        <v/>
      </c>
      <c r="K263" s="7">
        <f>IF($W263="","",IF(INDEX('Per Invoice'!K$2:K$801,$W263)="","",INDEX('Per Invoice'!K$2:K$801,$W263)))</f>
        <v/>
      </c>
      <c r="L263" s="14">
        <f>IF($W263="","",IF(INDEX('Per Invoice'!L$2:L$801,$W263)="","",INDEX('Per Invoice'!L$2:L$801,$W263)))</f>
        <v/>
      </c>
      <c r="M263">
        <f>IF($W263="","",IF(INDEX('Per Invoice'!M$2:M$801,$W263)="","",INDEX('Per Invoice'!M$2:M$801,$W263)))</f>
        <v/>
      </c>
      <c r="N263" s="7">
        <f>IF($W263="","",IF(INDEX('Per Invoice'!N$2:N$801,$W263)="","",INDEX('Per Invoice'!N$2:N$801,$W263)))</f>
        <v/>
      </c>
      <c r="O263" s="7">
        <f>IF($W263="","",IF(INDEX('Per Invoice'!O$2:O$801,$W263)="","",INDEX('Per Invoice'!O$2:O$801,$W263)))</f>
        <v/>
      </c>
      <c r="P263">
        <f>IF($W263="","",IF(INDEX('Per Invoice'!P$2:P$801,$W263)="","",INDEX('Per Invoice'!P$2:P$801,$W263)))</f>
        <v/>
      </c>
      <c r="Q263" s="7">
        <f>IF($W263="","",IF(INDEX('Per Invoice'!Q$2:Q$801,$W263)="","",INDEX('Per Invoice'!Q$2:Q$801,$W263)))</f>
        <v/>
      </c>
      <c r="R263" s="7">
        <f>IF($W263="","",IF(INDEX('Per Invoice'!R$2:R$801,$W263)="","",INDEX('Per Invoice'!R$2:R$801,$W263)))</f>
        <v/>
      </c>
      <c r="S263" s="7">
        <f>IF($W263="","",IF(INDEX('Per Invoice'!S$2:S$801,$W263)="","",INDEX('Per Invoice'!S$2:S$801,$W263)))</f>
        <v/>
      </c>
      <c r="T263" s="7">
        <f>IF($W263="","",IF(INDEX('Per Invoice'!T$2:T$801,$W263)="","",INDEX('Per Invoice'!T$2:T$801,$W263)))</f>
        <v/>
      </c>
      <c r="U263" s="7">
        <f>IF($W263="","",IF(INDEX('Per Invoice'!U$2:U$801,$W263)="","",INDEX('Per Invoice'!U$2:U$801,$W263)))</f>
        <v/>
      </c>
      <c r="V263" s="7">
        <f>IF($W263="","",IF(INDEX('Per Invoice'!V$2:V$801,$W263)="","",INDEX('Per Invoice'!V$2:V$801,$W263)))</f>
        <v/>
      </c>
      <c r="W263" s="16">
        <f>IFERROR(MATCH(Settings!$C$32&amp;"|"&amp;ROWS($W$2:$W263),'Per Invoice'!$X$2:$X$801,0),"")</f>
        <v/>
      </c>
    </row>
    <row r="264">
      <c r="A264">
        <f>IF($W264="","",IF(INDEX('Per Invoice'!A$2:A$801,$W264)="","",INDEX('Per Invoice'!A$2:A$801,$W264)))</f>
        <v/>
      </c>
      <c r="B264">
        <f>IF($W264="","",IF(INDEX('Per Invoice'!B$2:B$801,$W264)="","",INDEX('Per Invoice'!B$2:B$801,$W264)))</f>
        <v/>
      </c>
      <c r="C264">
        <f>IF($W264="","",IF(INDEX('Per Invoice'!C$2:C$801,$W264)="","",INDEX('Per Invoice'!C$2:C$801,$W264)))</f>
        <v/>
      </c>
      <c r="D264">
        <f>IF($W264="","",IF(INDEX('Per Invoice'!D$2:D$801,$W264)="","",INDEX('Per Invoice'!D$2:D$801,$W264)))</f>
        <v/>
      </c>
      <c r="E264">
        <f>IF($W264="","",IF(INDEX('Per Invoice'!E$2:E$801,$W264)="","",INDEX('Per Invoice'!E$2:E$801,$W264)))</f>
        <v/>
      </c>
      <c r="F264">
        <f>IF($W264="","",IF(INDEX('Per Invoice'!F$2:F$801,$W264)="","",INDEX('Per Invoice'!F$2:F$801,$W264)))</f>
        <v/>
      </c>
      <c r="G264">
        <f>IF($W264="","",IF(INDEX('Per Invoice'!G$2:G$801,$W264)="","",INDEX('Per Invoice'!G$2:G$801,$W264)))</f>
        <v/>
      </c>
      <c r="H264">
        <f>IF($W264="","",IF(INDEX('Per Invoice'!H$2:H$801,$W264)="","",INDEX('Per Invoice'!H$2:H$801,$W264)))</f>
        <v/>
      </c>
      <c r="I264">
        <f>IF($W264="","",IF(INDEX('Per Invoice'!I$2:I$801,$W264)="","",INDEX('Per Invoice'!I$2:I$801,$W264)))</f>
        <v/>
      </c>
      <c r="J264">
        <f>IF($W264="","",IF(INDEX('Per Invoice'!J$2:J$801,$W264)="","",INDEX('Per Invoice'!J$2:J$801,$W264)))</f>
        <v/>
      </c>
      <c r="K264" s="7">
        <f>IF($W264="","",IF(INDEX('Per Invoice'!K$2:K$801,$W264)="","",INDEX('Per Invoice'!K$2:K$801,$W264)))</f>
        <v/>
      </c>
      <c r="L264" s="14">
        <f>IF($W264="","",IF(INDEX('Per Invoice'!L$2:L$801,$W264)="","",INDEX('Per Invoice'!L$2:L$801,$W264)))</f>
        <v/>
      </c>
      <c r="M264">
        <f>IF($W264="","",IF(INDEX('Per Invoice'!M$2:M$801,$W264)="","",INDEX('Per Invoice'!M$2:M$801,$W264)))</f>
        <v/>
      </c>
      <c r="N264" s="7">
        <f>IF($W264="","",IF(INDEX('Per Invoice'!N$2:N$801,$W264)="","",INDEX('Per Invoice'!N$2:N$801,$W264)))</f>
        <v/>
      </c>
      <c r="O264" s="7">
        <f>IF($W264="","",IF(INDEX('Per Invoice'!O$2:O$801,$W264)="","",INDEX('Per Invoice'!O$2:O$801,$W264)))</f>
        <v/>
      </c>
      <c r="P264">
        <f>IF($W264="","",IF(INDEX('Per Invoice'!P$2:P$801,$W264)="","",INDEX('Per Invoice'!P$2:P$801,$W264)))</f>
        <v/>
      </c>
      <c r="Q264" s="7">
        <f>IF($W264="","",IF(INDEX('Per Invoice'!Q$2:Q$801,$W264)="","",INDEX('Per Invoice'!Q$2:Q$801,$W264)))</f>
        <v/>
      </c>
      <c r="R264" s="7">
        <f>IF($W264="","",IF(INDEX('Per Invoice'!R$2:R$801,$W264)="","",INDEX('Per Invoice'!R$2:R$801,$W264)))</f>
        <v/>
      </c>
      <c r="S264" s="7">
        <f>IF($W264="","",IF(INDEX('Per Invoice'!S$2:S$801,$W264)="","",INDEX('Per Invoice'!S$2:S$801,$W264)))</f>
        <v/>
      </c>
      <c r="T264" s="7">
        <f>IF($W264="","",IF(INDEX('Per Invoice'!T$2:T$801,$W264)="","",INDEX('Per Invoice'!T$2:T$801,$W264)))</f>
        <v/>
      </c>
      <c r="U264" s="7">
        <f>IF($W264="","",IF(INDEX('Per Invoice'!U$2:U$801,$W264)="","",INDEX('Per Invoice'!U$2:U$801,$W264)))</f>
        <v/>
      </c>
      <c r="V264" s="7">
        <f>IF($W264="","",IF(INDEX('Per Invoice'!V$2:V$801,$W264)="","",INDEX('Per Invoice'!V$2:V$801,$W264)))</f>
        <v/>
      </c>
      <c r="W264" s="16">
        <f>IFERROR(MATCH(Settings!$C$32&amp;"|"&amp;ROWS($W$2:$W264),'Per Invoice'!$X$2:$X$801,0),"")</f>
        <v/>
      </c>
    </row>
    <row r="265">
      <c r="A265">
        <f>IF($W265="","",IF(INDEX('Per Invoice'!A$2:A$801,$W265)="","",INDEX('Per Invoice'!A$2:A$801,$W265)))</f>
        <v/>
      </c>
      <c r="B265">
        <f>IF($W265="","",IF(INDEX('Per Invoice'!B$2:B$801,$W265)="","",INDEX('Per Invoice'!B$2:B$801,$W265)))</f>
        <v/>
      </c>
      <c r="C265">
        <f>IF($W265="","",IF(INDEX('Per Invoice'!C$2:C$801,$W265)="","",INDEX('Per Invoice'!C$2:C$801,$W265)))</f>
        <v/>
      </c>
      <c r="D265">
        <f>IF($W265="","",IF(INDEX('Per Invoice'!D$2:D$801,$W265)="","",INDEX('Per Invoice'!D$2:D$801,$W265)))</f>
        <v/>
      </c>
      <c r="E265">
        <f>IF($W265="","",IF(INDEX('Per Invoice'!E$2:E$801,$W265)="","",INDEX('Per Invoice'!E$2:E$801,$W265)))</f>
        <v/>
      </c>
      <c r="F265">
        <f>IF($W265="","",IF(INDEX('Per Invoice'!F$2:F$801,$W265)="","",INDEX('Per Invoice'!F$2:F$801,$W265)))</f>
        <v/>
      </c>
      <c r="G265">
        <f>IF($W265="","",IF(INDEX('Per Invoice'!G$2:G$801,$W265)="","",INDEX('Per Invoice'!G$2:G$801,$W265)))</f>
        <v/>
      </c>
      <c r="H265">
        <f>IF($W265="","",IF(INDEX('Per Invoice'!H$2:H$801,$W265)="","",INDEX('Per Invoice'!H$2:H$801,$W265)))</f>
        <v/>
      </c>
      <c r="I265">
        <f>IF($W265="","",IF(INDEX('Per Invoice'!I$2:I$801,$W265)="","",INDEX('Per Invoice'!I$2:I$801,$W265)))</f>
        <v/>
      </c>
      <c r="J265">
        <f>IF($W265="","",IF(INDEX('Per Invoice'!J$2:J$801,$W265)="","",INDEX('Per Invoice'!J$2:J$801,$W265)))</f>
        <v/>
      </c>
      <c r="K265" s="7">
        <f>IF($W265="","",IF(INDEX('Per Invoice'!K$2:K$801,$W265)="","",INDEX('Per Invoice'!K$2:K$801,$W265)))</f>
        <v/>
      </c>
      <c r="L265" s="14">
        <f>IF($W265="","",IF(INDEX('Per Invoice'!L$2:L$801,$W265)="","",INDEX('Per Invoice'!L$2:L$801,$W265)))</f>
        <v/>
      </c>
      <c r="M265">
        <f>IF($W265="","",IF(INDEX('Per Invoice'!M$2:M$801,$W265)="","",INDEX('Per Invoice'!M$2:M$801,$W265)))</f>
        <v/>
      </c>
      <c r="N265" s="7">
        <f>IF($W265="","",IF(INDEX('Per Invoice'!N$2:N$801,$W265)="","",INDEX('Per Invoice'!N$2:N$801,$W265)))</f>
        <v/>
      </c>
      <c r="O265" s="7">
        <f>IF($W265="","",IF(INDEX('Per Invoice'!O$2:O$801,$W265)="","",INDEX('Per Invoice'!O$2:O$801,$W265)))</f>
        <v/>
      </c>
      <c r="P265">
        <f>IF($W265="","",IF(INDEX('Per Invoice'!P$2:P$801,$W265)="","",INDEX('Per Invoice'!P$2:P$801,$W265)))</f>
        <v/>
      </c>
      <c r="Q265" s="7">
        <f>IF($W265="","",IF(INDEX('Per Invoice'!Q$2:Q$801,$W265)="","",INDEX('Per Invoice'!Q$2:Q$801,$W265)))</f>
        <v/>
      </c>
      <c r="R265" s="7">
        <f>IF($W265="","",IF(INDEX('Per Invoice'!R$2:R$801,$W265)="","",INDEX('Per Invoice'!R$2:R$801,$W265)))</f>
        <v/>
      </c>
      <c r="S265" s="7">
        <f>IF($W265="","",IF(INDEX('Per Invoice'!S$2:S$801,$W265)="","",INDEX('Per Invoice'!S$2:S$801,$W265)))</f>
        <v/>
      </c>
      <c r="T265" s="7">
        <f>IF($W265="","",IF(INDEX('Per Invoice'!T$2:T$801,$W265)="","",INDEX('Per Invoice'!T$2:T$801,$W265)))</f>
        <v/>
      </c>
      <c r="U265" s="7">
        <f>IF($W265="","",IF(INDEX('Per Invoice'!U$2:U$801,$W265)="","",INDEX('Per Invoice'!U$2:U$801,$W265)))</f>
        <v/>
      </c>
      <c r="V265" s="7">
        <f>IF($W265="","",IF(INDEX('Per Invoice'!V$2:V$801,$W265)="","",INDEX('Per Invoice'!V$2:V$801,$W265)))</f>
        <v/>
      </c>
      <c r="W265" s="16">
        <f>IFERROR(MATCH(Settings!$C$32&amp;"|"&amp;ROWS($W$2:$W265),'Per Invoice'!$X$2:$X$801,0),"")</f>
        <v/>
      </c>
    </row>
    <row r="266">
      <c r="A266">
        <f>IF($W266="","",IF(INDEX('Per Invoice'!A$2:A$801,$W266)="","",INDEX('Per Invoice'!A$2:A$801,$W266)))</f>
        <v/>
      </c>
      <c r="B266">
        <f>IF($W266="","",IF(INDEX('Per Invoice'!B$2:B$801,$W266)="","",INDEX('Per Invoice'!B$2:B$801,$W266)))</f>
        <v/>
      </c>
      <c r="C266">
        <f>IF($W266="","",IF(INDEX('Per Invoice'!C$2:C$801,$W266)="","",INDEX('Per Invoice'!C$2:C$801,$W266)))</f>
        <v/>
      </c>
      <c r="D266">
        <f>IF($W266="","",IF(INDEX('Per Invoice'!D$2:D$801,$W266)="","",INDEX('Per Invoice'!D$2:D$801,$W266)))</f>
        <v/>
      </c>
      <c r="E266">
        <f>IF($W266="","",IF(INDEX('Per Invoice'!E$2:E$801,$W266)="","",INDEX('Per Invoice'!E$2:E$801,$W266)))</f>
        <v/>
      </c>
      <c r="F266">
        <f>IF($W266="","",IF(INDEX('Per Invoice'!F$2:F$801,$W266)="","",INDEX('Per Invoice'!F$2:F$801,$W266)))</f>
        <v/>
      </c>
      <c r="G266">
        <f>IF($W266="","",IF(INDEX('Per Invoice'!G$2:G$801,$W266)="","",INDEX('Per Invoice'!G$2:G$801,$W266)))</f>
        <v/>
      </c>
      <c r="H266">
        <f>IF($W266="","",IF(INDEX('Per Invoice'!H$2:H$801,$W266)="","",INDEX('Per Invoice'!H$2:H$801,$W266)))</f>
        <v/>
      </c>
      <c r="I266">
        <f>IF($W266="","",IF(INDEX('Per Invoice'!I$2:I$801,$W266)="","",INDEX('Per Invoice'!I$2:I$801,$W266)))</f>
        <v/>
      </c>
      <c r="J266">
        <f>IF($W266="","",IF(INDEX('Per Invoice'!J$2:J$801,$W266)="","",INDEX('Per Invoice'!J$2:J$801,$W266)))</f>
        <v/>
      </c>
      <c r="K266" s="7">
        <f>IF($W266="","",IF(INDEX('Per Invoice'!K$2:K$801,$W266)="","",INDEX('Per Invoice'!K$2:K$801,$W266)))</f>
        <v/>
      </c>
      <c r="L266" s="14">
        <f>IF($W266="","",IF(INDEX('Per Invoice'!L$2:L$801,$W266)="","",INDEX('Per Invoice'!L$2:L$801,$W266)))</f>
        <v/>
      </c>
      <c r="M266">
        <f>IF($W266="","",IF(INDEX('Per Invoice'!M$2:M$801,$W266)="","",INDEX('Per Invoice'!M$2:M$801,$W266)))</f>
        <v/>
      </c>
      <c r="N266" s="7">
        <f>IF($W266="","",IF(INDEX('Per Invoice'!N$2:N$801,$W266)="","",INDEX('Per Invoice'!N$2:N$801,$W266)))</f>
        <v/>
      </c>
      <c r="O266" s="7">
        <f>IF($W266="","",IF(INDEX('Per Invoice'!O$2:O$801,$W266)="","",INDEX('Per Invoice'!O$2:O$801,$W266)))</f>
        <v/>
      </c>
      <c r="P266">
        <f>IF($W266="","",IF(INDEX('Per Invoice'!P$2:P$801,$W266)="","",INDEX('Per Invoice'!P$2:P$801,$W266)))</f>
        <v/>
      </c>
      <c r="Q266" s="7">
        <f>IF($W266="","",IF(INDEX('Per Invoice'!Q$2:Q$801,$W266)="","",INDEX('Per Invoice'!Q$2:Q$801,$W266)))</f>
        <v/>
      </c>
      <c r="R266" s="7">
        <f>IF($W266="","",IF(INDEX('Per Invoice'!R$2:R$801,$W266)="","",INDEX('Per Invoice'!R$2:R$801,$W266)))</f>
        <v/>
      </c>
      <c r="S266" s="7">
        <f>IF($W266="","",IF(INDEX('Per Invoice'!S$2:S$801,$W266)="","",INDEX('Per Invoice'!S$2:S$801,$W266)))</f>
        <v/>
      </c>
      <c r="T266" s="7">
        <f>IF($W266="","",IF(INDEX('Per Invoice'!T$2:T$801,$W266)="","",INDEX('Per Invoice'!T$2:T$801,$W266)))</f>
        <v/>
      </c>
      <c r="U266" s="7">
        <f>IF($W266="","",IF(INDEX('Per Invoice'!U$2:U$801,$W266)="","",INDEX('Per Invoice'!U$2:U$801,$W266)))</f>
        <v/>
      </c>
      <c r="V266" s="7">
        <f>IF($W266="","",IF(INDEX('Per Invoice'!V$2:V$801,$W266)="","",INDEX('Per Invoice'!V$2:V$801,$W266)))</f>
        <v/>
      </c>
      <c r="W266" s="16">
        <f>IFERROR(MATCH(Settings!$C$32&amp;"|"&amp;ROWS($W$2:$W266),'Per Invoice'!$X$2:$X$801,0),"")</f>
        <v/>
      </c>
    </row>
    <row r="267">
      <c r="A267">
        <f>IF($W267="","",IF(INDEX('Per Invoice'!A$2:A$801,$W267)="","",INDEX('Per Invoice'!A$2:A$801,$W267)))</f>
        <v/>
      </c>
      <c r="B267">
        <f>IF($W267="","",IF(INDEX('Per Invoice'!B$2:B$801,$W267)="","",INDEX('Per Invoice'!B$2:B$801,$W267)))</f>
        <v/>
      </c>
      <c r="C267">
        <f>IF($W267="","",IF(INDEX('Per Invoice'!C$2:C$801,$W267)="","",INDEX('Per Invoice'!C$2:C$801,$W267)))</f>
        <v/>
      </c>
      <c r="D267">
        <f>IF($W267="","",IF(INDEX('Per Invoice'!D$2:D$801,$W267)="","",INDEX('Per Invoice'!D$2:D$801,$W267)))</f>
        <v/>
      </c>
      <c r="E267">
        <f>IF($W267="","",IF(INDEX('Per Invoice'!E$2:E$801,$W267)="","",INDEX('Per Invoice'!E$2:E$801,$W267)))</f>
        <v/>
      </c>
      <c r="F267">
        <f>IF($W267="","",IF(INDEX('Per Invoice'!F$2:F$801,$W267)="","",INDEX('Per Invoice'!F$2:F$801,$W267)))</f>
        <v/>
      </c>
      <c r="G267">
        <f>IF($W267="","",IF(INDEX('Per Invoice'!G$2:G$801,$W267)="","",INDEX('Per Invoice'!G$2:G$801,$W267)))</f>
        <v/>
      </c>
      <c r="H267">
        <f>IF($W267="","",IF(INDEX('Per Invoice'!H$2:H$801,$W267)="","",INDEX('Per Invoice'!H$2:H$801,$W267)))</f>
        <v/>
      </c>
      <c r="I267">
        <f>IF($W267="","",IF(INDEX('Per Invoice'!I$2:I$801,$W267)="","",INDEX('Per Invoice'!I$2:I$801,$W267)))</f>
        <v/>
      </c>
      <c r="J267">
        <f>IF($W267="","",IF(INDEX('Per Invoice'!J$2:J$801,$W267)="","",INDEX('Per Invoice'!J$2:J$801,$W267)))</f>
        <v/>
      </c>
      <c r="K267" s="7">
        <f>IF($W267="","",IF(INDEX('Per Invoice'!K$2:K$801,$W267)="","",INDEX('Per Invoice'!K$2:K$801,$W267)))</f>
        <v/>
      </c>
      <c r="L267" s="14">
        <f>IF($W267="","",IF(INDEX('Per Invoice'!L$2:L$801,$W267)="","",INDEX('Per Invoice'!L$2:L$801,$W267)))</f>
        <v/>
      </c>
      <c r="M267">
        <f>IF($W267="","",IF(INDEX('Per Invoice'!M$2:M$801,$W267)="","",INDEX('Per Invoice'!M$2:M$801,$W267)))</f>
        <v/>
      </c>
      <c r="N267" s="7">
        <f>IF($W267="","",IF(INDEX('Per Invoice'!N$2:N$801,$W267)="","",INDEX('Per Invoice'!N$2:N$801,$W267)))</f>
        <v/>
      </c>
      <c r="O267" s="7">
        <f>IF($W267="","",IF(INDEX('Per Invoice'!O$2:O$801,$W267)="","",INDEX('Per Invoice'!O$2:O$801,$W267)))</f>
        <v/>
      </c>
      <c r="P267">
        <f>IF($W267="","",IF(INDEX('Per Invoice'!P$2:P$801,$W267)="","",INDEX('Per Invoice'!P$2:P$801,$W267)))</f>
        <v/>
      </c>
      <c r="Q267" s="7">
        <f>IF($W267="","",IF(INDEX('Per Invoice'!Q$2:Q$801,$W267)="","",INDEX('Per Invoice'!Q$2:Q$801,$W267)))</f>
        <v/>
      </c>
      <c r="R267" s="7">
        <f>IF($W267="","",IF(INDEX('Per Invoice'!R$2:R$801,$W267)="","",INDEX('Per Invoice'!R$2:R$801,$W267)))</f>
        <v/>
      </c>
      <c r="S267" s="7">
        <f>IF($W267="","",IF(INDEX('Per Invoice'!S$2:S$801,$W267)="","",INDEX('Per Invoice'!S$2:S$801,$W267)))</f>
        <v/>
      </c>
      <c r="T267" s="7">
        <f>IF($W267="","",IF(INDEX('Per Invoice'!T$2:T$801,$W267)="","",INDEX('Per Invoice'!T$2:T$801,$W267)))</f>
        <v/>
      </c>
      <c r="U267" s="7">
        <f>IF($W267="","",IF(INDEX('Per Invoice'!U$2:U$801,$W267)="","",INDEX('Per Invoice'!U$2:U$801,$W267)))</f>
        <v/>
      </c>
      <c r="V267" s="7">
        <f>IF($W267="","",IF(INDEX('Per Invoice'!V$2:V$801,$W267)="","",INDEX('Per Invoice'!V$2:V$801,$W267)))</f>
        <v/>
      </c>
      <c r="W267" s="16">
        <f>IFERROR(MATCH(Settings!$C$32&amp;"|"&amp;ROWS($W$2:$W267),'Per Invoice'!$X$2:$X$801,0),"")</f>
        <v/>
      </c>
    </row>
    <row r="268">
      <c r="A268">
        <f>IF($W268="","",IF(INDEX('Per Invoice'!A$2:A$801,$W268)="","",INDEX('Per Invoice'!A$2:A$801,$W268)))</f>
        <v/>
      </c>
      <c r="B268">
        <f>IF($W268="","",IF(INDEX('Per Invoice'!B$2:B$801,$W268)="","",INDEX('Per Invoice'!B$2:B$801,$W268)))</f>
        <v/>
      </c>
      <c r="C268">
        <f>IF($W268="","",IF(INDEX('Per Invoice'!C$2:C$801,$W268)="","",INDEX('Per Invoice'!C$2:C$801,$W268)))</f>
        <v/>
      </c>
      <c r="D268">
        <f>IF($W268="","",IF(INDEX('Per Invoice'!D$2:D$801,$W268)="","",INDEX('Per Invoice'!D$2:D$801,$W268)))</f>
        <v/>
      </c>
      <c r="E268">
        <f>IF($W268="","",IF(INDEX('Per Invoice'!E$2:E$801,$W268)="","",INDEX('Per Invoice'!E$2:E$801,$W268)))</f>
        <v/>
      </c>
      <c r="F268">
        <f>IF($W268="","",IF(INDEX('Per Invoice'!F$2:F$801,$W268)="","",INDEX('Per Invoice'!F$2:F$801,$W268)))</f>
        <v/>
      </c>
      <c r="G268">
        <f>IF($W268="","",IF(INDEX('Per Invoice'!G$2:G$801,$W268)="","",INDEX('Per Invoice'!G$2:G$801,$W268)))</f>
        <v/>
      </c>
      <c r="H268">
        <f>IF($W268="","",IF(INDEX('Per Invoice'!H$2:H$801,$W268)="","",INDEX('Per Invoice'!H$2:H$801,$W268)))</f>
        <v/>
      </c>
      <c r="I268">
        <f>IF($W268="","",IF(INDEX('Per Invoice'!I$2:I$801,$W268)="","",INDEX('Per Invoice'!I$2:I$801,$W268)))</f>
        <v/>
      </c>
      <c r="J268">
        <f>IF($W268="","",IF(INDEX('Per Invoice'!J$2:J$801,$W268)="","",INDEX('Per Invoice'!J$2:J$801,$W268)))</f>
        <v/>
      </c>
      <c r="K268" s="7">
        <f>IF($W268="","",IF(INDEX('Per Invoice'!K$2:K$801,$W268)="","",INDEX('Per Invoice'!K$2:K$801,$W268)))</f>
        <v/>
      </c>
      <c r="L268" s="14">
        <f>IF($W268="","",IF(INDEX('Per Invoice'!L$2:L$801,$W268)="","",INDEX('Per Invoice'!L$2:L$801,$W268)))</f>
        <v/>
      </c>
      <c r="M268">
        <f>IF($W268="","",IF(INDEX('Per Invoice'!M$2:M$801,$W268)="","",INDEX('Per Invoice'!M$2:M$801,$W268)))</f>
        <v/>
      </c>
      <c r="N268" s="7">
        <f>IF($W268="","",IF(INDEX('Per Invoice'!N$2:N$801,$W268)="","",INDEX('Per Invoice'!N$2:N$801,$W268)))</f>
        <v/>
      </c>
      <c r="O268" s="7">
        <f>IF($W268="","",IF(INDEX('Per Invoice'!O$2:O$801,$W268)="","",INDEX('Per Invoice'!O$2:O$801,$W268)))</f>
        <v/>
      </c>
      <c r="P268">
        <f>IF($W268="","",IF(INDEX('Per Invoice'!P$2:P$801,$W268)="","",INDEX('Per Invoice'!P$2:P$801,$W268)))</f>
        <v/>
      </c>
      <c r="Q268" s="7">
        <f>IF($W268="","",IF(INDEX('Per Invoice'!Q$2:Q$801,$W268)="","",INDEX('Per Invoice'!Q$2:Q$801,$W268)))</f>
        <v/>
      </c>
      <c r="R268" s="7">
        <f>IF($W268="","",IF(INDEX('Per Invoice'!R$2:R$801,$W268)="","",INDEX('Per Invoice'!R$2:R$801,$W268)))</f>
        <v/>
      </c>
      <c r="S268" s="7">
        <f>IF($W268="","",IF(INDEX('Per Invoice'!S$2:S$801,$W268)="","",INDEX('Per Invoice'!S$2:S$801,$W268)))</f>
        <v/>
      </c>
      <c r="T268" s="7">
        <f>IF($W268="","",IF(INDEX('Per Invoice'!T$2:T$801,$W268)="","",INDEX('Per Invoice'!T$2:T$801,$W268)))</f>
        <v/>
      </c>
      <c r="U268" s="7">
        <f>IF($W268="","",IF(INDEX('Per Invoice'!U$2:U$801,$W268)="","",INDEX('Per Invoice'!U$2:U$801,$W268)))</f>
        <v/>
      </c>
      <c r="V268" s="7">
        <f>IF($W268="","",IF(INDEX('Per Invoice'!V$2:V$801,$W268)="","",INDEX('Per Invoice'!V$2:V$801,$W268)))</f>
        <v/>
      </c>
      <c r="W268" s="16">
        <f>IFERROR(MATCH(Settings!$C$32&amp;"|"&amp;ROWS($W$2:$W268),'Per Invoice'!$X$2:$X$801,0),"")</f>
        <v/>
      </c>
    </row>
    <row r="269">
      <c r="A269">
        <f>IF($W269="","",IF(INDEX('Per Invoice'!A$2:A$801,$W269)="","",INDEX('Per Invoice'!A$2:A$801,$W269)))</f>
        <v/>
      </c>
      <c r="B269">
        <f>IF($W269="","",IF(INDEX('Per Invoice'!B$2:B$801,$W269)="","",INDEX('Per Invoice'!B$2:B$801,$W269)))</f>
        <v/>
      </c>
      <c r="C269">
        <f>IF($W269="","",IF(INDEX('Per Invoice'!C$2:C$801,$W269)="","",INDEX('Per Invoice'!C$2:C$801,$W269)))</f>
        <v/>
      </c>
      <c r="D269">
        <f>IF($W269="","",IF(INDEX('Per Invoice'!D$2:D$801,$W269)="","",INDEX('Per Invoice'!D$2:D$801,$W269)))</f>
        <v/>
      </c>
      <c r="E269">
        <f>IF($W269="","",IF(INDEX('Per Invoice'!E$2:E$801,$W269)="","",INDEX('Per Invoice'!E$2:E$801,$W269)))</f>
        <v/>
      </c>
      <c r="F269">
        <f>IF($W269="","",IF(INDEX('Per Invoice'!F$2:F$801,$W269)="","",INDEX('Per Invoice'!F$2:F$801,$W269)))</f>
        <v/>
      </c>
      <c r="G269">
        <f>IF($W269="","",IF(INDEX('Per Invoice'!G$2:G$801,$W269)="","",INDEX('Per Invoice'!G$2:G$801,$W269)))</f>
        <v/>
      </c>
      <c r="H269">
        <f>IF($W269="","",IF(INDEX('Per Invoice'!H$2:H$801,$W269)="","",INDEX('Per Invoice'!H$2:H$801,$W269)))</f>
        <v/>
      </c>
      <c r="I269">
        <f>IF($W269="","",IF(INDEX('Per Invoice'!I$2:I$801,$W269)="","",INDEX('Per Invoice'!I$2:I$801,$W269)))</f>
        <v/>
      </c>
      <c r="J269">
        <f>IF($W269="","",IF(INDEX('Per Invoice'!J$2:J$801,$W269)="","",INDEX('Per Invoice'!J$2:J$801,$W269)))</f>
        <v/>
      </c>
      <c r="K269" s="7">
        <f>IF($W269="","",IF(INDEX('Per Invoice'!K$2:K$801,$W269)="","",INDEX('Per Invoice'!K$2:K$801,$W269)))</f>
        <v/>
      </c>
      <c r="L269" s="14">
        <f>IF($W269="","",IF(INDEX('Per Invoice'!L$2:L$801,$W269)="","",INDEX('Per Invoice'!L$2:L$801,$W269)))</f>
        <v/>
      </c>
      <c r="M269">
        <f>IF($W269="","",IF(INDEX('Per Invoice'!M$2:M$801,$W269)="","",INDEX('Per Invoice'!M$2:M$801,$W269)))</f>
        <v/>
      </c>
      <c r="N269" s="7">
        <f>IF($W269="","",IF(INDEX('Per Invoice'!N$2:N$801,$W269)="","",INDEX('Per Invoice'!N$2:N$801,$W269)))</f>
        <v/>
      </c>
      <c r="O269" s="7">
        <f>IF($W269="","",IF(INDEX('Per Invoice'!O$2:O$801,$W269)="","",INDEX('Per Invoice'!O$2:O$801,$W269)))</f>
        <v/>
      </c>
      <c r="P269">
        <f>IF($W269="","",IF(INDEX('Per Invoice'!P$2:P$801,$W269)="","",INDEX('Per Invoice'!P$2:P$801,$W269)))</f>
        <v/>
      </c>
      <c r="Q269" s="7">
        <f>IF($W269="","",IF(INDEX('Per Invoice'!Q$2:Q$801,$W269)="","",INDEX('Per Invoice'!Q$2:Q$801,$W269)))</f>
        <v/>
      </c>
      <c r="R269" s="7">
        <f>IF($W269="","",IF(INDEX('Per Invoice'!R$2:R$801,$W269)="","",INDEX('Per Invoice'!R$2:R$801,$W269)))</f>
        <v/>
      </c>
      <c r="S269" s="7">
        <f>IF($W269="","",IF(INDEX('Per Invoice'!S$2:S$801,$W269)="","",INDEX('Per Invoice'!S$2:S$801,$W269)))</f>
        <v/>
      </c>
      <c r="T269" s="7">
        <f>IF($W269="","",IF(INDEX('Per Invoice'!T$2:T$801,$W269)="","",INDEX('Per Invoice'!T$2:T$801,$W269)))</f>
        <v/>
      </c>
      <c r="U269" s="7">
        <f>IF($W269="","",IF(INDEX('Per Invoice'!U$2:U$801,$W269)="","",INDEX('Per Invoice'!U$2:U$801,$W269)))</f>
        <v/>
      </c>
      <c r="V269" s="7">
        <f>IF($W269="","",IF(INDEX('Per Invoice'!V$2:V$801,$W269)="","",INDEX('Per Invoice'!V$2:V$801,$W269)))</f>
        <v/>
      </c>
      <c r="W269" s="16">
        <f>IFERROR(MATCH(Settings!$C$32&amp;"|"&amp;ROWS($W$2:$W269),'Per Invoice'!$X$2:$X$801,0),"")</f>
        <v/>
      </c>
    </row>
    <row r="270">
      <c r="A270">
        <f>IF($W270="","",IF(INDEX('Per Invoice'!A$2:A$801,$W270)="","",INDEX('Per Invoice'!A$2:A$801,$W270)))</f>
        <v/>
      </c>
      <c r="B270">
        <f>IF($W270="","",IF(INDEX('Per Invoice'!B$2:B$801,$W270)="","",INDEX('Per Invoice'!B$2:B$801,$W270)))</f>
        <v/>
      </c>
      <c r="C270">
        <f>IF($W270="","",IF(INDEX('Per Invoice'!C$2:C$801,$W270)="","",INDEX('Per Invoice'!C$2:C$801,$W270)))</f>
        <v/>
      </c>
      <c r="D270">
        <f>IF($W270="","",IF(INDEX('Per Invoice'!D$2:D$801,$W270)="","",INDEX('Per Invoice'!D$2:D$801,$W270)))</f>
        <v/>
      </c>
      <c r="E270">
        <f>IF($W270="","",IF(INDEX('Per Invoice'!E$2:E$801,$W270)="","",INDEX('Per Invoice'!E$2:E$801,$W270)))</f>
        <v/>
      </c>
      <c r="F270">
        <f>IF($W270="","",IF(INDEX('Per Invoice'!F$2:F$801,$W270)="","",INDEX('Per Invoice'!F$2:F$801,$W270)))</f>
        <v/>
      </c>
      <c r="G270">
        <f>IF($W270="","",IF(INDEX('Per Invoice'!G$2:G$801,$W270)="","",INDEX('Per Invoice'!G$2:G$801,$W270)))</f>
        <v/>
      </c>
      <c r="H270">
        <f>IF($W270="","",IF(INDEX('Per Invoice'!H$2:H$801,$W270)="","",INDEX('Per Invoice'!H$2:H$801,$W270)))</f>
        <v/>
      </c>
      <c r="I270">
        <f>IF($W270="","",IF(INDEX('Per Invoice'!I$2:I$801,$W270)="","",INDEX('Per Invoice'!I$2:I$801,$W270)))</f>
        <v/>
      </c>
      <c r="J270">
        <f>IF($W270="","",IF(INDEX('Per Invoice'!J$2:J$801,$W270)="","",INDEX('Per Invoice'!J$2:J$801,$W270)))</f>
        <v/>
      </c>
      <c r="K270" s="7">
        <f>IF($W270="","",IF(INDEX('Per Invoice'!K$2:K$801,$W270)="","",INDEX('Per Invoice'!K$2:K$801,$W270)))</f>
        <v/>
      </c>
      <c r="L270" s="14">
        <f>IF($W270="","",IF(INDEX('Per Invoice'!L$2:L$801,$W270)="","",INDEX('Per Invoice'!L$2:L$801,$W270)))</f>
        <v/>
      </c>
      <c r="M270">
        <f>IF($W270="","",IF(INDEX('Per Invoice'!M$2:M$801,$W270)="","",INDEX('Per Invoice'!M$2:M$801,$W270)))</f>
        <v/>
      </c>
      <c r="N270" s="7">
        <f>IF($W270="","",IF(INDEX('Per Invoice'!N$2:N$801,$W270)="","",INDEX('Per Invoice'!N$2:N$801,$W270)))</f>
        <v/>
      </c>
      <c r="O270" s="7">
        <f>IF($W270="","",IF(INDEX('Per Invoice'!O$2:O$801,$W270)="","",INDEX('Per Invoice'!O$2:O$801,$W270)))</f>
        <v/>
      </c>
      <c r="P270">
        <f>IF($W270="","",IF(INDEX('Per Invoice'!P$2:P$801,$W270)="","",INDEX('Per Invoice'!P$2:P$801,$W270)))</f>
        <v/>
      </c>
      <c r="Q270" s="7">
        <f>IF($W270="","",IF(INDEX('Per Invoice'!Q$2:Q$801,$W270)="","",INDEX('Per Invoice'!Q$2:Q$801,$W270)))</f>
        <v/>
      </c>
      <c r="R270" s="7">
        <f>IF($W270="","",IF(INDEX('Per Invoice'!R$2:R$801,$W270)="","",INDEX('Per Invoice'!R$2:R$801,$W270)))</f>
        <v/>
      </c>
      <c r="S270" s="7">
        <f>IF($W270="","",IF(INDEX('Per Invoice'!S$2:S$801,$W270)="","",INDEX('Per Invoice'!S$2:S$801,$W270)))</f>
        <v/>
      </c>
      <c r="T270" s="7">
        <f>IF($W270="","",IF(INDEX('Per Invoice'!T$2:T$801,$W270)="","",INDEX('Per Invoice'!T$2:T$801,$W270)))</f>
        <v/>
      </c>
      <c r="U270" s="7">
        <f>IF($W270="","",IF(INDEX('Per Invoice'!U$2:U$801,$W270)="","",INDEX('Per Invoice'!U$2:U$801,$W270)))</f>
        <v/>
      </c>
      <c r="V270" s="7">
        <f>IF($W270="","",IF(INDEX('Per Invoice'!V$2:V$801,$W270)="","",INDEX('Per Invoice'!V$2:V$801,$W270)))</f>
        <v/>
      </c>
      <c r="W270" s="16">
        <f>IFERROR(MATCH(Settings!$C$32&amp;"|"&amp;ROWS($W$2:$W270),'Per Invoice'!$X$2:$X$801,0),"")</f>
        <v/>
      </c>
    </row>
    <row r="271">
      <c r="A271">
        <f>IF($W271="","",IF(INDEX('Per Invoice'!A$2:A$801,$W271)="","",INDEX('Per Invoice'!A$2:A$801,$W271)))</f>
        <v/>
      </c>
      <c r="B271">
        <f>IF($W271="","",IF(INDEX('Per Invoice'!B$2:B$801,$W271)="","",INDEX('Per Invoice'!B$2:B$801,$W271)))</f>
        <v/>
      </c>
      <c r="C271">
        <f>IF($W271="","",IF(INDEX('Per Invoice'!C$2:C$801,$W271)="","",INDEX('Per Invoice'!C$2:C$801,$W271)))</f>
        <v/>
      </c>
      <c r="D271">
        <f>IF($W271="","",IF(INDEX('Per Invoice'!D$2:D$801,$W271)="","",INDEX('Per Invoice'!D$2:D$801,$W271)))</f>
        <v/>
      </c>
      <c r="E271">
        <f>IF($W271="","",IF(INDEX('Per Invoice'!E$2:E$801,$W271)="","",INDEX('Per Invoice'!E$2:E$801,$W271)))</f>
        <v/>
      </c>
      <c r="F271">
        <f>IF($W271="","",IF(INDEX('Per Invoice'!F$2:F$801,$W271)="","",INDEX('Per Invoice'!F$2:F$801,$W271)))</f>
        <v/>
      </c>
      <c r="G271">
        <f>IF($W271="","",IF(INDEX('Per Invoice'!G$2:G$801,$W271)="","",INDEX('Per Invoice'!G$2:G$801,$W271)))</f>
        <v/>
      </c>
      <c r="H271">
        <f>IF($W271="","",IF(INDEX('Per Invoice'!H$2:H$801,$W271)="","",INDEX('Per Invoice'!H$2:H$801,$W271)))</f>
        <v/>
      </c>
      <c r="I271">
        <f>IF($W271="","",IF(INDEX('Per Invoice'!I$2:I$801,$W271)="","",INDEX('Per Invoice'!I$2:I$801,$W271)))</f>
        <v/>
      </c>
      <c r="J271">
        <f>IF($W271="","",IF(INDEX('Per Invoice'!J$2:J$801,$W271)="","",INDEX('Per Invoice'!J$2:J$801,$W271)))</f>
        <v/>
      </c>
      <c r="K271" s="7">
        <f>IF($W271="","",IF(INDEX('Per Invoice'!K$2:K$801,$W271)="","",INDEX('Per Invoice'!K$2:K$801,$W271)))</f>
        <v/>
      </c>
      <c r="L271" s="14">
        <f>IF($W271="","",IF(INDEX('Per Invoice'!L$2:L$801,$W271)="","",INDEX('Per Invoice'!L$2:L$801,$W271)))</f>
        <v/>
      </c>
      <c r="M271">
        <f>IF($W271="","",IF(INDEX('Per Invoice'!M$2:M$801,$W271)="","",INDEX('Per Invoice'!M$2:M$801,$W271)))</f>
        <v/>
      </c>
      <c r="N271" s="7">
        <f>IF($W271="","",IF(INDEX('Per Invoice'!N$2:N$801,$W271)="","",INDEX('Per Invoice'!N$2:N$801,$W271)))</f>
        <v/>
      </c>
      <c r="O271" s="7">
        <f>IF($W271="","",IF(INDEX('Per Invoice'!O$2:O$801,$W271)="","",INDEX('Per Invoice'!O$2:O$801,$W271)))</f>
        <v/>
      </c>
      <c r="P271">
        <f>IF($W271="","",IF(INDEX('Per Invoice'!P$2:P$801,$W271)="","",INDEX('Per Invoice'!P$2:P$801,$W271)))</f>
        <v/>
      </c>
      <c r="Q271" s="7">
        <f>IF($W271="","",IF(INDEX('Per Invoice'!Q$2:Q$801,$W271)="","",INDEX('Per Invoice'!Q$2:Q$801,$W271)))</f>
        <v/>
      </c>
      <c r="R271" s="7">
        <f>IF($W271="","",IF(INDEX('Per Invoice'!R$2:R$801,$W271)="","",INDEX('Per Invoice'!R$2:R$801,$W271)))</f>
        <v/>
      </c>
      <c r="S271" s="7">
        <f>IF($W271="","",IF(INDEX('Per Invoice'!S$2:S$801,$W271)="","",INDEX('Per Invoice'!S$2:S$801,$W271)))</f>
        <v/>
      </c>
      <c r="T271" s="7">
        <f>IF($W271="","",IF(INDEX('Per Invoice'!T$2:T$801,$W271)="","",INDEX('Per Invoice'!T$2:T$801,$W271)))</f>
        <v/>
      </c>
      <c r="U271" s="7">
        <f>IF($W271="","",IF(INDEX('Per Invoice'!U$2:U$801,$W271)="","",INDEX('Per Invoice'!U$2:U$801,$W271)))</f>
        <v/>
      </c>
      <c r="V271" s="7">
        <f>IF($W271="","",IF(INDEX('Per Invoice'!V$2:V$801,$W271)="","",INDEX('Per Invoice'!V$2:V$801,$W271)))</f>
        <v/>
      </c>
      <c r="W271" s="16">
        <f>IFERROR(MATCH(Settings!$C$32&amp;"|"&amp;ROWS($W$2:$W271),'Per Invoice'!$X$2:$X$801,0),"")</f>
        <v/>
      </c>
    </row>
    <row r="272">
      <c r="A272">
        <f>IF($W272="","",IF(INDEX('Per Invoice'!A$2:A$801,$W272)="","",INDEX('Per Invoice'!A$2:A$801,$W272)))</f>
        <v/>
      </c>
      <c r="B272">
        <f>IF($W272="","",IF(INDEX('Per Invoice'!B$2:B$801,$W272)="","",INDEX('Per Invoice'!B$2:B$801,$W272)))</f>
        <v/>
      </c>
      <c r="C272">
        <f>IF($W272="","",IF(INDEX('Per Invoice'!C$2:C$801,$W272)="","",INDEX('Per Invoice'!C$2:C$801,$W272)))</f>
        <v/>
      </c>
      <c r="D272">
        <f>IF($W272="","",IF(INDEX('Per Invoice'!D$2:D$801,$W272)="","",INDEX('Per Invoice'!D$2:D$801,$W272)))</f>
        <v/>
      </c>
      <c r="E272">
        <f>IF($W272="","",IF(INDEX('Per Invoice'!E$2:E$801,$W272)="","",INDEX('Per Invoice'!E$2:E$801,$W272)))</f>
        <v/>
      </c>
      <c r="F272">
        <f>IF($W272="","",IF(INDEX('Per Invoice'!F$2:F$801,$W272)="","",INDEX('Per Invoice'!F$2:F$801,$W272)))</f>
        <v/>
      </c>
      <c r="G272">
        <f>IF($W272="","",IF(INDEX('Per Invoice'!G$2:G$801,$W272)="","",INDEX('Per Invoice'!G$2:G$801,$W272)))</f>
        <v/>
      </c>
      <c r="H272">
        <f>IF($W272="","",IF(INDEX('Per Invoice'!H$2:H$801,$W272)="","",INDEX('Per Invoice'!H$2:H$801,$W272)))</f>
        <v/>
      </c>
      <c r="I272">
        <f>IF($W272="","",IF(INDEX('Per Invoice'!I$2:I$801,$W272)="","",INDEX('Per Invoice'!I$2:I$801,$W272)))</f>
        <v/>
      </c>
      <c r="J272">
        <f>IF($W272="","",IF(INDEX('Per Invoice'!J$2:J$801,$W272)="","",INDEX('Per Invoice'!J$2:J$801,$W272)))</f>
        <v/>
      </c>
      <c r="K272" s="7">
        <f>IF($W272="","",IF(INDEX('Per Invoice'!K$2:K$801,$W272)="","",INDEX('Per Invoice'!K$2:K$801,$W272)))</f>
        <v/>
      </c>
      <c r="L272" s="14">
        <f>IF($W272="","",IF(INDEX('Per Invoice'!L$2:L$801,$W272)="","",INDEX('Per Invoice'!L$2:L$801,$W272)))</f>
        <v/>
      </c>
      <c r="M272">
        <f>IF($W272="","",IF(INDEX('Per Invoice'!M$2:M$801,$W272)="","",INDEX('Per Invoice'!M$2:M$801,$W272)))</f>
        <v/>
      </c>
      <c r="N272" s="7">
        <f>IF($W272="","",IF(INDEX('Per Invoice'!N$2:N$801,$W272)="","",INDEX('Per Invoice'!N$2:N$801,$W272)))</f>
        <v/>
      </c>
      <c r="O272" s="7">
        <f>IF($W272="","",IF(INDEX('Per Invoice'!O$2:O$801,$W272)="","",INDEX('Per Invoice'!O$2:O$801,$W272)))</f>
        <v/>
      </c>
      <c r="P272">
        <f>IF($W272="","",IF(INDEX('Per Invoice'!P$2:P$801,$W272)="","",INDEX('Per Invoice'!P$2:P$801,$W272)))</f>
        <v/>
      </c>
      <c r="Q272" s="7">
        <f>IF($W272="","",IF(INDEX('Per Invoice'!Q$2:Q$801,$W272)="","",INDEX('Per Invoice'!Q$2:Q$801,$W272)))</f>
        <v/>
      </c>
      <c r="R272" s="7">
        <f>IF($W272="","",IF(INDEX('Per Invoice'!R$2:R$801,$W272)="","",INDEX('Per Invoice'!R$2:R$801,$W272)))</f>
        <v/>
      </c>
      <c r="S272" s="7">
        <f>IF($W272="","",IF(INDEX('Per Invoice'!S$2:S$801,$W272)="","",INDEX('Per Invoice'!S$2:S$801,$W272)))</f>
        <v/>
      </c>
      <c r="T272" s="7">
        <f>IF($W272="","",IF(INDEX('Per Invoice'!T$2:T$801,$W272)="","",INDEX('Per Invoice'!T$2:T$801,$W272)))</f>
        <v/>
      </c>
      <c r="U272" s="7">
        <f>IF($W272="","",IF(INDEX('Per Invoice'!U$2:U$801,$W272)="","",INDEX('Per Invoice'!U$2:U$801,$W272)))</f>
        <v/>
      </c>
      <c r="V272" s="7">
        <f>IF($W272="","",IF(INDEX('Per Invoice'!V$2:V$801,$W272)="","",INDEX('Per Invoice'!V$2:V$801,$W272)))</f>
        <v/>
      </c>
      <c r="W272" s="16">
        <f>IFERROR(MATCH(Settings!$C$32&amp;"|"&amp;ROWS($W$2:$W272),'Per Invoice'!$X$2:$X$801,0),"")</f>
        <v/>
      </c>
    </row>
    <row r="273">
      <c r="A273">
        <f>IF($W273="","",IF(INDEX('Per Invoice'!A$2:A$801,$W273)="","",INDEX('Per Invoice'!A$2:A$801,$W273)))</f>
        <v/>
      </c>
      <c r="B273">
        <f>IF($W273="","",IF(INDEX('Per Invoice'!B$2:B$801,$W273)="","",INDEX('Per Invoice'!B$2:B$801,$W273)))</f>
        <v/>
      </c>
      <c r="C273">
        <f>IF($W273="","",IF(INDEX('Per Invoice'!C$2:C$801,$W273)="","",INDEX('Per Invoice'!C$2:C$801,$W273)))</f>
        <v/>
      </c>
      <c r="D273">
        <f>IF($W273="","",IF(INDEX('Per Invoice'!D$2:D$801,$W273)="","",INDEX('Per Invoice'!D$2:D$801,$W273)))</f>
        <v/>
      </c>
      <c r="E273">
        <f>IF($W273="","",IF(INDEX('Per Invoice'!E$2:E$801,$W273)="","",INDEX('Per Invoice'!E$2:E$801,$W273)))</f>
        <v/>
      </c>
      <c r="F273">
        <f>IF($W273="","",IF(INDEX('Per Invoice'!F$2:F$801,$W273)="","",INDEX('Per Invoice'!F$2:F$801,$W273)))</f>
        <v/>
      </c>
      <c r="G273">
        <f>IF($W273="","",IF(INDEX('Per Invoice'!G$2:G$801,$W273)="","",INDEX('Per Invoice'!G$2:G$801,$W273)))</f>
        <v/>
      </c>
      <c r="H273">
        <f>IF($W273="","",IF(INDEX('Per Invoice'!H$2:H$801,$W273)="","",INDEX('Per Invoice'!H$2:H$801,$W273)))</f>
        <v/>
      </c>
      <c r="I273">
        <f>IF($W273="","",IF(INDEX('Per Invoice'!I$2:I$801,$W273)="","",INDEX('Per Invoice'!I$2:I$801,$W273)))</f>
        <v/>
      </c>
      <c r="J273">
        <f>IF($W273="","",IF(INDEX('Per Invoice'!J$2:J$801,$W273)="","",INDEX('Per Invoice'!J$2:J$801,$W273)))</f>
        <v/>
      </c>
      <c r="K273" s="7">
        <f>IF($W273="","",IF(INDEX('Per Invoice'!K$2:K$801,$W273)="","",INDEX('Per Invoice'!K$2:K$801,$W273)))</f>
        <v/>
      </c>
      <c r="L273" s="14">
        <f>IF($W273="","",IF(INDEX('Per Invoice'!L$2:L$801,$W273)="","",INDEX('Per Invoice'!L$2:L$801,$W273)))</f>
        <v/>
      </c>
      <c r="M273">
        <f>IF($W273="","",IF(INDEX('Per Invoice'!M$2:M$801,$W273)="","",INDEX('Per Invoice'!M$2:M$801,$W273)))</f>
        <v/>
      </c>
      <c r="N273" s="7">
        <f>IF($W273="","",IF(INDEX('Per Invoice'!N$2:N$801,$W273)="","",INDEX('Per Invoice'!N$2:N$801,$W273)))</f>
        <v/>
      </c>
      <c r="O273" s="7">
        <f>IF($W273="","",IF(INDEX('Per Invoice'!O$2:O$801,$W273)="","",INDEX('Per Invoice'!O$2:O$801,$W273)))</f>
        <v/>
      </c>
      <c r="P273">
        <f>IF($W273="","",IF(INDEX('Per Invoice'!P$2:P$801,$W273)="","",INDEX('Per Invoice'!P$2:P$801,$W273)))</f>
        <v/>
      </c>
      <c r="Q273" s="7">
        <f>IF($W273="","",IF(INDEX('Per Invoice'!Q$2:Q$801,$W273)="","",INDEX('Per Invoice'!Q$2:Q$801,$W273)))</f>
        <v/>
      </c>
      <c r="R273" s="7">
        <f>IF($W273="","",IF(INDEX('Per Invoice'!R$2:R$801,$W273)="","",INDEX('Per Invoice'!R$2:R$801,$W273)))</f>
        <v/>
      </c>
      <c r="S273" s="7">
        <f>IF($W273="","",IF(INDEX('Per Invoice'!S$2:S$801,$W273)="","",INDEX('Per Invoice'!S$2:S$801,$W273)))</f>
        <v/>
      </c>
      <c r="T273" s="7">
        <f>IF($W273="","",IF(INDEX('Per Invoice'!T$2:T$801,$W273)="","",INDEX('Per Invoice'!T$2:T$801,$W273)))</f>
        <v/>
      </c>
      <c r="U273" s="7">
        <f>IF($W273="","",IF(INDEX('Per Invoice'!U$2:U$801,$W273)="","",INDEX('Per Invoice'!U$2:U$801,$W273)))</f>
        <v/>
      </c>
      <c r="V273" s="7">
        <f>IF($W273="","",IF(INDEX('Per Invoice'!V$2:V$801,$W273)="","",INDEX('Per Invoice'!V$2:V$801,$W273)))</f>
        <v/>
      </c>
      <c r="W273" s="16">
        <f>IFERROR(MATCH(Settings!$C$32&amp;"|"&amp;ROWS($W$2:$W273),'Per Invoice'!$X$2:$X$801,0),"")</f>
        <v/>
      </c>
    </row>
    <row r="274">
      <c r="A274">
        <f>IF($W274="","",IF(INDEX('Per Invoice'!A$2:A$801,$W274)="","",INDEX('Per Invoice'!A$2:A$801,$W274)))</f>
        <v/>
      </c>
      <c r="B274">
        <f>IF($W274="","",IF(INDEX('Per Invoice'!B$2:B$801,$W274)="","",INDEX('Per Invoice'!B$2:B$801,$W274)))</f>
        <v/>
      </c>
      <c r="C274">
        <f>IF($W274="","",IF(INDEX('Per Invoice'!C$2:C$801,$W274)="","",INDEX('Per Invoice'!C$2:C$801,$W274)))</f>
        <v/>
      </c>
      <c r="D274">
        <f>IF($W274="","",IF(INDEX('Per Invoice'!D$2:D$801,$W274)="","",INDEX('Per Invoice'!D$2:D$801,$W274)))</f>
        <v/>
      </c>
      <c r="E274">
        <f>IF($W274="","",IF(INDEX('Per Invoice'!E$2:E$801,$W274)="","",INDEX('Per Invoice'!E$2:E$801,$W274)))</f>
        <v/>
      </c>
      <c r="F274">
        <f>IF($W274="","",IF(INDEX('Per Invoice'!F$2:F$801,$W274)="","",INDEX('Per Invoice'!F$2:F$801,$W274)))</f>
        <v/>
      </c>
      <c r="G274">
        <f>IF($W274="","",IF(INDEX('Per Invoice'!G$2:G$801,$W274)="","",INDEX('Per Invoice'!G$2:G$801,$W274)))</f>
        <v/>
      </c>
      <c r="H274">
        <f>IF($W274="","",IF(INDEX('Per Invoice'!H$2:H$801,$W274)="","",INDEX('Per Invoice'!H$2:H$801,$W274)))</f>
        <v/>
      </c>
      <c r="I274">
        <f>IF($W274="","",IF(INDEX('Per Invoice'!I$2:I$801,$W274)="","",INDEX('Per Invoice'!I$2:I$801,$W274)))</f>
        <v/>
      </c>
      <c r="J274">
        <f>IF($W274="","",IF(INDEX('Per Invoice'!J$2:J$801,$W274)="","",INDEX('Per Invoice'!J$2:J$801,$W274)))</f>
        <v/>
      </c>
      <c r="K274" s="7">
        <f>IF($W274="","",IF(INDEX('Per Invoice'!K$2:K$801,$W274)="","",INDEX('Per Invoice'!K$2:K$801,$W274)))</f>
        <v/>
      </c>
      <c r="L274" s="14">
        <f>IF($W274="","",IF(INDEX('Per Invoice'!L$2:L$801,$W274)="","",INDEX('Per Invoice'!L$2:L$801,$W274)))</f>
        <v/>
      </c>
      <c r="M274">
        <f>IF($W274="","",IF(INDEX('Per Invoice'!M$2:M$801,$W274)="","",INDEX('Per Invoice'!M$2:M$801,$W274)))</f>
        <v/>
      </c>
      <c r="N274" s="7">
        <f>IF($W274="","",IF(INDEX('Per Invoice'!N$2:N$801,$W274)="","",INDEX('Per Invoice'!N$2:N$801,$W274)))</f>
        <v/>
      </c>
      <c r="O274" s="7">
        <f>IF($W274="","",IF(INDEX('Per Invoice'!O$2:O$801,$W274)="","",INDEX('Per Invoice'!O$2:O$801,$W274)))</f>
        <v/>
      </c>
      <c r="P274">
        <f>IF($W274="","",IF(INDEX('Per Invoice'!P$2:P$801,$W274)="","",INDEX('Per Invoice'!P$2:P$801,$W274)))</f>
        <v/>
      </c>
      <c r="Q274" s="7">
        <f>IF($W274="","",IF(INDEX('Per Invoice'!Q$2:Q$801,$W274)="","",INDEX('Per Invoice'!Q$2:Q$801,$W274)))</f>
        <v/>
      </c>
      <c r="R274" s="7">
        <f>IF($W274="","",IF(INDEX('Per Invoice'!R$2:R$801,$W274)="","",INDEX('Per Invoice'!R$2:R$801,$W274)))</f>
        <v/>
      </c>
      <c r="S274" s="7">
        <f>IF($W274="","",IF(INDEX('Per Invoice'!S$2:S$801,$W274)="","",INDEX('Per Invoice'!S$2:S$801,$W274)))</f>
        <v/>
      </c>
      <c r="T274" s="7">
        <f>IF($W274="","",IF(INDEX('Per Invoice'!T$2:T$801,$W274)="","",INDEX('Per Invoice'!T$2:T$801,$W274)))</f>
        <v/>
      </c>
      <c r="U274" s="7">
        <f>IF($W274="","",IF(INDEX('Per Invoice'!U$2:U$801,$W274)="","",INDEX('Per Invoice'!U$2:U$801,$W274)))</f>
        <v/>
      </c>
      <c r="V274" s="7">
        <f>IF($W274="","",IF(INDEX('Per Invoice'!V$2:V$801,$W274)="","",INDEX('Per Invoice'!V$2:V$801,$W274)))</f>
        <v/>
      </c>
      <c r="W274" s="16">
        <f>IFERROR(MATCH(Settings!$C$32&amp;"|"&amp;ROWS($W$2:$W274),'Per Invoice'!$X$2:$X$801,0),"")</f>
        <v/>
      </c>
    </row>
    <row r="275">
      <c r="A275">
        <f>IF($W275="","",IF(INDEX('Per Invoice'!A$2:A$801,$W275)="","",INDEX('Per Invoice'!A$2:A$801,$W275)))</f>
        <v/>
      </c>
      <c r="B275">
        <f>IF($W275="","",IF(INDEX('Per Invoice'!B$2:B$801,$W275)="","",INDEX('Per Invoice'!B$2:B$801,$W275)))</f>
        <v/>
      </c>
      <c r="C275">
        <f>IF($W275="","",IF(INDEX('Per Invoice'!C$2:C$801,$W275)="","",INDEX('Per Invoice'!C$2:C$801,$W275)))</f>
        <v/>
      </c>
      <c r="D275">
        <f>IF($W275="","",IF(INDEX('Per Invoice'!D$2:D$801,$W275)="","",INDEX('Per Invoice'!D$2:D$801,$W275)))</f>
        <v/>
      </c>
      <c r="E275">
        <f>IF($W275="","",IF(INDEX('Per Invoice'!E$2:E$801,$W275)="","",INDEX('Per Invoice'!E$2:E$801,$W275)))</f>
        <v/>
      </c>
      <c r="F275">
        <f>IF($W275="","",IF(INDEX('Per Invoice'!F$2:F$801,$W275)="","",INDEX('Per Invoice'!F$2:F$801,$W275)))</f>
        <v/>
      </c>
      <c r="G275">
        <f>IF($W275="","",IF(INDEX('Per Invoice'!G$2:G$801,$W275)="","",INDEX('Per Invoice'!G$2:G$801,$W275)))</f>
        <v/>
      </c>
      <c r="H275">
        <f>IF($W275="","",IF(INDEX('Per Invoice'!H$2:H$801,$W275)="","",INDEX('Per Invoice'!H$2:H$801,$W275)))</f>
        <v/>
      </c>
      <c r="I275">
        <f>IF($W275="","",IF(INDEX('Per Invoice'!I$2:I$801,$W275)="","",INDEX('Per Invoice'!I$2:I$801,$W275)))</f>
        <v/>
      </c>
      <c r="J275">
        <f>IF($W275="","",IF(INDEX('Per Invoice'!J$2:J$801,$W275)="","",INDEX('Per Invoice'!J$2:J$801,$W275)))</f>
        <v/>
      </c>
      <c r="K275" s="7">
        <f>IF($W275="","",IF(INDEX('Per Invoice'!K$2:K$801,$W275)="","",INDEX('Per Invoice'!K$2:K$801,$W275)))</f>
        <v/>
      </c>
      <c r="L275" s="14">
        <f>IF($W275="","",IF(INDEX('Per Invoice'!L$2:L$801,$W275)="","",INDEX('Per Invoice'!L$2:L$801,$W275)))</f>
        <v/>
      </c>
      <c r="M275">
        <f>IF($W275="","",IF(INDEX('Per Invoice'!M$2:M$801,$W275)="","",INDEX('Per Invoice'!M$2:M$801,$W275)))</f>
        <v/>
      </c>
      <c r="N275" s="7">
        <f>IF($W275="","",IF(INDEX('Per Invoice'!N$2:N$801,$W275)="","",INDEX('Per Invoice'!N$2:N$801,$W275)))</f>
        <v/>
      </c>
      <c r="O275" s="7">
        <f>IF($W275="","",IF(INDEX('Per Invoice'!O$2:O$801,$W275)="","",INDEX('Per Invoice'!O$2:O$801,$W275)))</f>
        <v/>
      </c>
      <c r="P275">
        <f>IF($W275="","",IF(INDEX('Per Invoice'!P$2:P$801,$W275)="","",INDEX('Per Invoice'!P$2:P$801,$W275)))</f>
        <v/>
      </c>
      <c r="Q275" s="7">
        <f>IF($W275="","",IF(INDEX('Per Invoice'!Q$2:Q$801,$W275)="","",INDEX('Per Invoice'!Q$2:Q$801,$W275)))</f>
        <v/>
      </c>
      <c r="R275" s="7">
        <f>IF($W275="","",IF(INDEX('Per Invoice'!R$2:R$801,$W275)="","",INDEX('Per Invoice'!R$2:R$801,$W275)))</f>
        <v/>
      </c>
      <c r="S275" s="7">
        <f>IF($W275="","",IF(INDEX('Per Invoice'!S$2:S$801,$W275)="","",INDEX('Per Invoice'!S$2:S$801,$W275)))</f>
        <v/>
      </c>
      <c r="T275" s="7">
        <f>IF($W275="","",IF(INDEX('Per Invoice'!T$2:T$801,$W275)="","",INDEX('Per Invoice'!T$2:T$801,$W275)))</f>
        <v/>
      </c>
      <c r="U275" s="7">
        <f>IF($W275="","",IF(INDEX('Per Invoice'!U$2:U$801,$W275)="","",INDEX('Per Invoice'!U$2:U$801,$W275)))</f>
        <v/>
      </c>
      <c r="V275" s="7">
        <f>IF($W275="","",IF(INDEX('Per Invoice'!V$2:V$801,$W275)="","",INDEX('Per Invoice'!V$2:V$801,$W275)))</f>
        <v/>
      </c>
      <c r="W275" s="16">
        <f>IFERROR(MATCH(Settings!$C$32&amp;"|"&amp;ROWS($W$2:$W275),'Per Invoice'!$X$2:$X$801,0),"")</f>
        <v/>
      </c>
    </row>
    <row r="276">
      <c r="A276">
        <f>IF($W276="","",IF(INDEX('Per Invoice'!A$2:A$801,$W276)="","",INDEX('Per Invoice'!A$2:A$801,$W276)))</f>
        <v/>
      </c>
      <c r="B276">
        <f>IF($W276="","",IF(INDEX('Per Invoice'!B$2:B$801,$W276)="","",INDEX('Per Invoice'!B$2:B$801,$W276)))</f>
        <v/>
      </c>
      <c r="C276">
        <f>IF($W276="","",IF(INDEX('Per Invoice'!C$2:C$801,$W276)="","",INDEX('Per Invoice'!C$2:C$801,$W276)))</f>
        <v/>
      </c>
      <c r="D276">
        <f>IF($W276="","",IF(INDEX('Per Invoice'!D$2:D$801,$W276)="","",INDEX('Per Invoice'!D$2:D$801,$W276)))</f>
        <v/>
      </c>
      <c r="E276">
        <f>IF($W276="","",IF(INDEX('Per Invoice'!E$2:E$801,$W276)="","",INDEX('Per Invoice'!E$2:E$801,$W276)))</f>
        <v/>
      </c>
      <c r="F276">
        <f>IF($W276="","",IF(INDEX('Per Invoice'!F$2:F$801,$W276)="","",INDEX('Per Invoice'!F$2:F$801,$W276)))</f>
        <v/>
      </c>
      <c r="G276">
        <f>IF($W276="","",IF(INDEX('Per Invoice'!G$2:G$801,$W276)="","",INDEX('Per Invoice'!G$2:G$801,$W276)))</f>
        <v/>
      </c>
      <c r="H276">
        <f>IF($W276="","",IF(INDEX('Per Invoice'!H$2:H$801,$W276)="","",INDEX('Per Invoice'!H$2:H$801,$W276)))</f>
        <v/>
      </c>
      <c r="I276">
        <f>IF($W276="","",IF(INDEX('Per Invoice'!I$2:I$801,$W276)="","",INDEX('Per Invoice'!I$2:I$801,$W276)))</f>
        <v/>
      </c>
      <c r="J276">
        <f>IF($W276="","",IF(INDEX('Per Invoice'!J$2:J$801,$W276)="","",INDEX('Per Invoice'!J$2:J$801,$W276)))</f>
        <v/>
      </c>
      <c r="K276" s="7">
        <f>IF($W276="","",IF(INDEX('Per Invoice'!K$2:K$801,$W276)="","",INDEX('Per Invoice'!K$2:K$801,$W276)))</f>
        <v/>
      </c>
      <c r="L276" s="14">
        <f>IF($W276="","",IF(INDEX('Per Invoice'!L$2:L$801,$W276)="","",INDEX('Per Invoice'!L$2:L$801,$W276)))</f>
        <v/>
      </c>
      <c r="M276">
        <f>IF($W276="","",IF(INDEX('Per Invoice'!M$2:M$801,$W276)="","",INDEX('Per Invoice'!M$2:M$801,$W276)))</f>
        <v/>
      </c>
      <c r="N276" s="7">
        <f>IF($W276="","",IF(INDEX('Per Invoice'!N$2:N$801,$W276)="","",INDEX('Per Invoice'!N$2:N$801,$W276)))</f>
        <v/>
      </c>
      <c r="O276" s="7">
        <f>IF($W276="","",IF(INDEX('Per Invoice'!O$2:O$801,$W276)="","",INDEX('Per Invoice'!O$2:O$801,$W276)))</f>
        <v/>
      </c>
      <c r="P276">
        <f>IF($W276="","",IF(INDEX('Per Invoice'!P$2:P$801,$W276)="","",INDEX('Per Invoice'!P$2:P$801,$W276)))</f>
        <v/>
      </c>
      <c r="Q276" s="7">
        <f>IF($W276="","",IF(INDEX('Per Invoice'!Q$2:Q$801,$W276)="","",INDEX('Per Invoice'!Q$2:Q$801,$W276)))</f>
        <v/>
      </c>
      <c r="R276" s="7">
        <f>IF($W276="","",IF(INDEX('Per Invoice'!R$2:R$801,$W276)="","",INDEX('Per Invoice'!R$2:R$801,$W276)))</f>
        <v/>
      </c>
      <c r="S276" s="7">
        <f>IF($W276="","",IF(INDEX('Per Invoice'!S$2:S$801,$W276)="","",INDEX('Per Invoice'!S$2:S$801,$W276)))</f>
        <v/>
      </c>
      <c r="T276" s="7">
        <f>IF($W276="","",IF(INDEX('Per Invoice'!T$2:T$801,$W276)="","",INDEX('Per Invoice'!T$2:T$801,$W276)))</f>
        <v/>
      </c>
      <c r="U276" s="7">
        <f>IF($W276="","",IF(INDEX('Per Invoice'!U$2:U$801,$W276)="","",INDEX('Per Invoice'!U$2:U$801,$W276)))</f>
        <v/>
      </c>
      <c r="V276" s="7">
        <f>IF($W276="","",IF(INDEX('Per Invoice'!V$2:V$801,$W276)="","",INDEX('Per Invoice'!V$2:V$801,$W276)))</f>
        <v/>
      </c>
      <c r="W276" s="16">
        <f>IFERROR(MATCH(Settings!$C$32&amp;"|"&amp;ROWS($W$2:$W276),'Per Invoice'!$X$2:$X$801,0),"")</f>
        <v/>
      </c>
    </row>
    <row r="277">
      <c r="A277">
        <f>IF($W277="","",IF(INDEX('Per Invoice'!A$2:A$801,$W277)="","",INDEX('Per Invoice'!A$2:A$801,$W277)))</f>
        <v/>
      </c>
      <c r="B277">
        <f>IF($W277="","",IF(INDEX('Per Invoice'!B$2:B$801,$W277)="","",INDEX('Per Invoice'!B$2:B$801,$W277)))</f>
        <v/>
      </c>
      <c r="C277">
        <f>IF($W277="","",IF(INDEX('Per Invoice'!C$2:C$801,$W277)="","",INDEX('Per Invoice'!C$2:C$801,$W277)))</f>
        <v/>
      </c>
      <c r="D277">
        <f>IF($W277="","",IF(INDEX('Per Invoice'!D$2:D$801,$W277)="","",INDEX('Per Invoice'!D$2:D$801,$W277)))</f>
        <v/>
      </c>
      <c r="E277">
        <f>IF($W277="","",IF(INDEX('Per Invoice'!E$2:E$801,$W277)="","",INDEX('Per Invoice'!E$2:E$801,$W277)))</f>
        <v/>
      </c>
      <c r="F277">
        <f>IF($W277="","",IF(INDEX('Per Invoice'!F$2:F$801,$W277)="","",INDEX('Per Invoice'!F$2:F$801,$W277)))</f>
        <v/>
      </c>
      <c r="G277">
        <f>IF($W277="","",IF(INDEX('Per Invoice'!G$2:G$801,$W277)="","",INDEX('Per Invoice'!G$2:G$801,$W277)))</f>
        <v/>
      </c>
      <c r="H277">
        <f>IF($W277="","",IF(INDEX('Per Invoice'!H$2:H$801,$W277)="","",INDEX('Per Invoice'!H$2:H$801,$W277)))</f>
        <v/>
      </c>
      <c r="I277">
        <f>IF($W277="","",IF(INDEX('Per Invoice'!I$2:I$801,$W277)="","",INDEX('Per Invoice'!I$2:I$801,$W277)))</f>
        <v/>
      </c>
      <c r="J277">
        <f>IF($W277="","",IF(INDEX('Per Invoice'!J$2:J$801,$W277)="","",INDEX('Per Invoice'!J$2:J$801,$W277)))</f>
        <v/>
      </c>
      <c r="K277" s="7">
        <f>IF($W277="","",IF(INDEX('Per Invoice'!K$2:K$801,$W277)="","",INDEX('Per Invoice'!K$2:K$801,$W277)))</f>
        <v/>
      </c>
      <c r="L277" s="14">
        <f>IF($W277="","",IF(INDEX('Per Invoice'!L$2:L$801,$W277)="","",INDEX('Per Invoice'!L$2:L$801,$W277)))</f>
        <v/>
      </c>
      <c r="M277">
        <f>IF($W277="","",IF(INDEX('Per Invoice'!M$2:M$801,$W277)="","",INDEX('Per Invoice'!M$2:M$801,$W277)))</f>
        <v/>
      </c>
      <c r="N277" s="7">
        <f>IF($W277="","",IF(INDEX('Per Invoice'!N$2:N$801,$W277)="","",INDEX('Per Invoice'!N$2:N$801,$W277)))</f>
        <v/>
      </c>
      <c r="O277" s="7">
        <f>IF($W277="","",IF(INDEX('Per Invoice'!O$2:O$801,$W277)="","",INDEX('Per Invoice'!O$2:O$801,$W277)))</f>
        <v/>
      </c>
      <c r="P277">
        <f>IF($W277="","",IF(INDEX('Per Invoice'!P$2:P$801,$W277)="","",INDEX('Per Invoice'!P$2:P$801,$W277)))</f>
        <v/>
      </c>
      <c r="Q277" s="7">
        <f>IF($W277="","",IF(INDEX('Per Invoice'!Q$2:Q$801,$W277)="","",INDEX('Per Invoice'!Q$2:Q$801,$W277)))</f>
        <v/>
      </c>
      <c r="R277" s="7">
        <f>IF($W277="","",IF(INDEX('Per Invoice'!R$2:R$801,$W277)="","",INDEX('Per Invoice'!R$2:R$801,$W277)))</f>
        <v/>
      </c>
      <c r="S277" s="7">
        <f>IF($W277="","",IF(INDEX('Per Invoice'!S$2:S$801,$W277)="","",INDEX('Per Invoice'!S$2:S$801,$W277)))</f>
        <v/>
      </c>
      <c r="T277" s="7">
        <f>IF($W277="","",IF(INDEX('Per Invoice'!T$2:T$801,$W277)="","",INDEX('Per Invoice'!T$2:T$801,$W277)))</f>
        <v/>
      </c>
      <c r="U277" s="7">
        <f>IF($W277="","",IF(INDEX('Per Invoice'!U$2:U$801,$W277)="","",INDEX('Per Invoice'!U$2:U$801,$W277)))</f>
        <v/>
      </c>
      <c r="V277" s="7">
        <f>IF($W277="","",IF(INDEX('Per Invoice'!V$2:V$801,$W277)="","",INDEX('Per Invoice'!V$2:V$801,$W277)))</f>
        <v/>
      </c>
      <c r="W277" s="16">
        <f>IFERROR(MATCH(Settings!$C$32&amp;"|"&amp;ROWS($W$2:$W277),'Per Invoice'!$X$2:$X$801,0),"")</f>
        <v/>
      </c>
    </row>
    <row r="278">
      <c r="A278">
        <f>IF($W278="","",IF(INDEX('Per Invoice'!A$2:A$801,$W278)="","",INDEX('Per Invoice'!A$2:A$801,$W278)))</f>
        <v/>
      </c>
      <c r="B278">
        <f>IF($W278="","",IF(INDEX('Per Invoice'!B$2:B$801,$W278)="","",INDEX('Per Invoice'!B$2:B$801,$W278)))</f>
        <v/>
      </c>
      <c r="C278">
        <f>IF($W278="","",IF(INDEX('Per Invoice'!C$2:C$801,$W278)="","",INDEX('Per Invoice'!C$2:C$801,$W278)))</f>
        <v/>
      </c>
      <c r="D278">
        <f>IF($W278="","",IF(INDEX('Per Invoice'!D$2:D$801,$W278)="","",INDEX('Per Invoice'!D$2:D$801,$W278)))</f>
        <v/>
      </c>
      <c r="E278">
        <f>IF($W278="","",IF(INDEX('Per Invoice'!E$2:E$801,$W278)="","",INDEX('Per Invoice'!E$2:E$801,$W278)))</f>
        <v/>
      </c>
      <c r="F278">
        <f>IF($W278="","",IF(INDEX('Per Invoice'!F$2:F$801,$W278)="","",INDEX('Per Invoice'!F$2:F$801,$W278)))</f>
        <v/>
      </c>
      <c r="G278">
        <f>IF($W278="","",IF(INDEX('Per Invoice'!G$2:G$801,$W278)="","",INDEX('Per Invoice'!G$2:G$801,$W278)))</f>
        <v/>
      </c>
      <c r="H278">
        <f>IF($W278="","",IF(INDEX('Per Invoice'!H$2:H$801,$W278)="","",INDEX('Per Invoice'!H$2:H$801,$W278)))</f>
        <v/>
      </c>
      <c r="I278">
        <f>IF($W278="","",IF(INDEX('Per Invoice'!I$2:I$801,$W278)="","",INDEX('Per Invoice'!I$2:I$801,$W278)))</f>
        <v/>
      </c>
      <c r="J278">
        <f>IF($W278="","",IF(INDEX('Per Invoice'!J$2:J$801,$W278)="","",INDEX('Per Invoice'!J$2:J$801,$W278)))</f>
        <v/>
      </c>
      <c r="K278" s="7">
        <f>IF($W278="","",IF(INDEX('Per Invoice'!K$2:K$801,$W278)="","",INDEX('Per Invoice'!K$2:K$801,$W278)))</f>
        <v/>
      </c>
      <c r="L278" s="14">
        <f>IF($W278="","",IF(INDEX('Per Invoice'!L$2:L$801,$W278)="","",INDEX('Per Invoice'!L$2:L$801,$W278)))</f>
        <v/>
      </c>
      <c r="M278">
        <f>IF($W278="","",IF(INDEX('Per Invoice'!M$2:M$801,$W278)="","",INDEX('Per Invoice'!M$2:M$801,$W278)))</f>
        <v/>
      </c>
      <c r="N278" s="7">
        <f>IF($W278="","",IF(INDEX('Per Invoice'!N$2:N$801,$W278)="","",INDEX('Per Invoice'!N$2:N$801,$W278)))</f>
        <v/>
      </c>
      <c r="O278" s="7">
        <f>IF($W278="","",IF(INDEX('Per Invoice'!O$2:O$801,$W278)="","",INDEX('Per Invoice'!O$2:O$801,$W278)))</f>
        <v/>
      </c>
      <c r="P278">
        <f>IF($W278="","",IF(INDEX('Per Invoice'!P$2:P$801,$W278)="","",INDEX('Per Invoice'!P$2:P$801,$W278)))</f>
        <v/>
      </c>
      <c r="Q278" s="7">
        <f>IF($W278="","",IF(INDEX('Per Invoice'!Q$2:Q$801,$W278)="","",INDEX('Per Invoice'!Q$2:Q$801,$W278)))</f>
        <v/>
      </c>
      <c r="R278" s="7">
        <f>IF($W278="","",IF(INDEX('Per Invoice'!R$2:R$801,$W278)="","",INDEX('Per Invoice'!R$2:R$801,$W278)))</f>
        <v/>
      </c>
      <c r="S278" s="7">
        <f>IF($W278="","",IF(INDEX('Per Invoice'!S$2:S$801,$W278)="","",INDEX('Per Invoice'!S$2:S$801,$W278)))</f>
        <v/>
      </c>
      <c r="T278" s="7">
        <f>IF($W278="","",IF(INDEX('Per Invoice'!T$2:T$801,$W278)="","",INDEX('Per Invoice'!T$2:T$801,$W278)))</f>
        <v/>
      </c>
      <c r="U278" s="7">
        <f>IF($W278="","",IF(INDEX('Per Invoice'!U$2:U$801,$W278)="","",INDEX('Per Invoice'!U$2:U$801,$W278)))</f>
        <v/>
      </c>
      <c r="V278" s="7">
        <f>IF($W278="","",IF(INDEX('Per Invoice'!V$2:V$801,$W278)="","",INDEX('Per Invoice'!V$2:V$801,$W278)))</f>
        <v/>
      </c>
      <c r="W278" s="16">
        <f>IFERROR(MATCH(Settings!$C$32&amp;"|"&amp;ROWS($W$2:$W278),'Per Invoice'!$X$2:$X$801,0),"")</f>
        <v/>
      </c>
    </row>
    <row r="279">
      <c r="A279">
        <f>IF($W279="","",IF(INDEX('Per Invoice'!A$2:A$801,$W279)="","",INDEX('Per Invoice'!A$2:A$801,$W279)))</f>
        <v/>
      </c>
      <c r="B279">
        <f>IF($W279="","",IF(INDEX('Per Invoice'!B$2:B$801,$W279)="","",INDEX('Per Invoice'!B$2:B$801,$W279)))</f>
        <v/>
      </c>
      <c r="C279">
        <f>IF($W279="","",IF(INDEX('Per Invoice'!C$2:C$801,$W279)="","",INDEX('Per Invoice'!C$2:C$801,$W279)))</f>
        <v/>
      </c>
      <c r="D279">
        <f>IF($W279="","",IF(INDEX('Per Invoice'!D$2:D$801,$W279)="","",INDEX('Per Invoice'!D$2:D$801,$W279)))</f>
        <v/>
      </c>
      <c r="E279">
        <f>IF($W279="","",IF(INDEX('Per Invoice'!E$2:E$801,$W279)="","",INDEX('Per Invoice'!E$2:E$801,$W279)))</f>
        <v/>
      </c>
      <c r="F279">
        <f>IF($W279="","",IF(INDEX('Per Invoice'!F$2:F$801,$W279)="","",INDEX('Per Invoice'!F$2:F$801,$W279)))</f>
        <v/>
      </c>
      <c r="G279">
        <f>IF($W279="","",IF(INDEX('Per Invoice'!G$2:G$801,$W279)="","",INDEX('Per Invoice'!G$2:G$801,$W279)))</f>
        <v/>
      </c>
      <c r="H279">
        <f>IF($W279="","",IF(INDEX('Per Invoice'!H$2:H$801,$W279)="","",INDEX('Per Invoice'!H$2:H$801,$W279)))</f>
        <v/>
      </c>
      <c r="I279">
        <f>IF($W279="","",IF(INDEX('Per Invoice'!I$2:I$801,$W279)="","",INDEX('Per Invoice'!I$2:I$801,$W279)))</f>
        <v/>
      </c>
      <c r="J279">
        <f>IF($W279="","",IF(INDEX('Per Invoice'!J$2:J$801,$W279)="","",INDEX('Per Invoice'!J$2:J$801,$W279)))</f>
        <v/>
      </c>
      <c r="K279" s="7">
        <f>IF($W279="","",IF(INDEX('Per Invoice'!K$2:K$801,$W279)="","",INDEX('Per Invoice'!K$2:K$801,$W279)))</f>
        <v/>
      </c>
      <c r="L279" s="14">
        <f>IF($W279="","",IF(INDEX('Per Invoice'!L$2:L$801,$W279)="","",INDEX('Per Invoice'!L$2:L$801,$W279)))</f>
        <v/>
      </c>
      <c r="M279">
        <f>IF($W279="","",IF(INDEX('Per Invoice'!M$2:M$801,$W279)="","",INDEX('Per Invoice'!M$2:M$801,$W279)))</f>
        <v/>
      </c>
      <c r="N279" s="7">
        <f>IF($W279="","",IF(INDEX('Per Invoice'!N$2:N$801,$W279)="","",INDEX('Per Invoice'!N$2:N$801,$W279)))</f>
        <v/>
      </c>
      <c r="O279" s="7">
        <f>IF($W279="","",IF(INDEX('Per Invoice'!O$2:O$801,$W279)="","",INDEX('Per Invoice'!O$2:O$801,$W279)))</f>
        <v/>
      </c>
      <c r="P279">
        <f>IF($W279="","",IF(INDEX('Per Invoice'!P$2:P$801,$W279)="","",INDEX('Per Invoice'!P$2:P$801,$W279)))</f>
        <v/>
      </c>
      <c r="Q279" s="7">
        <f>IF($W279="","",IF(INDEX('Per Invoice'!Q$2:Q$801,$W279)="","",INDEX('Per Invoice'!Q$2:Q$801,$W279)))</f>
        <v/>
      </c>
      <c r="R279" s="7">
        <f>IF($W279="","",IF(INDEX('Per Invoice'!R$2:R$801,$W279)="","",INDEX('Per Invoice'!R$2:R$801,$W279)))</f>
        <v/>
      </c>
      <c r="S279" s="7">
        <f>IF($W279="","",IF(INDEX('Per Invoice'!S$2:S$801,$W279)="","",INDEX('Per Invoice'!S$2:S$801,$W279)))</f>
        <v/>
      </c>
      <c r="T279" s="7">
        <f>IF($W279="","",IF(INDEX('Per Invoice'!T$2:T$801,$W279)="","",INDEX('Per Invoice'!T$2:T$801,$W279)))</f>
        <v/>
      </c>
      <c r="U279" s="7">
        <f>IF($W279="","",IF(INDEX('Per Invoice'!U$2:U$801,$W279)="","",INDEX('Per Invoice'!U$2:U$801,$W279)))</f>
        <v/>
      </c>
      <c r="V279" s="7">
        <f>IF($W279="","",IF(INDEX('Per Invoice'!V$2:V$801,$W279)="","",INDEX('Per Invoice'!V$2:V$801,$W279)))</f>
        <v/>
      </c>
      <c r="W279" s="16">
        <f>IFERROR(MATCH(Settings!$C$32&amp;"|"&amp;ROWS($W$2:$W279),'Per Invoice'!$X$2:$X$801,0),"")</f>
        <v/>
      </c>
    </row>
    <row r="280">
      <c r="A280">
        <f>IF($W280="","",IF(INDEX('Per Invoice'!A$2:A$801,$W280)="","",INDEX('Per Invoice'!A$2:A$801,$W280)))</f>
        <v/>
      </c>
      <c r="B280">
        <f>IF($W280="","",IF(INDEX('Per Invoice'!B$2:B$801,$W280)="","",INDEX('Per Invoice'!B$2:B$801,$W280)))</f>
        <v/>
      </c>
      <c r="C280">
        <f>IF($W280="","",IF(INDEX('Per Invoice'!C$2:C$801,$W280)="","",INDEX('Per Invoice'!C$2:C$801,$W280)))</f>
        <v/>
      </c>
      <c r="D280">
        <f>IF($W280="","",IF(INDEX('Per Invoice'!D$2:D$801,$W280)="","",INDEX('Per Invoice'!D$2:D$801,$W280)))</f>
        <v/>
      </c>
      <c r="E280">
        <f>IF($W280="","",IF(INDEX('Per Invoice'!E$2:E$801,$W280)="","",INDEX('Per Invoice'!E$2:E$801,$W280)))</f>
        <v/>
      </c>
      <c r="F280">
        <f>IF($W280="","",IF(INDEX('Per Invoice'!F$2:F$801,$W280)="","",INDEX('Per Invoice'!F$2:F$801,$W280)))</f>
        <v/>
      </c>
      <c r="G280">
        <f>IF($W280="","",IF(INDEX('Per Invoice'!G$2:G$801,$W280)="","",INDEX('Per Invoice'!G$2:G$801,$W280)))</f>
        <v/>
      </c>
      <c r="H280">
        <f>IF($W280="","",IF(INDEX('Per Invoice'!H$2:H$801,$W280)="","",INDEX('Per Invoice'!H$2:H$801,$W280)))</f>
        <v/>
      </c>
      <c r="I280">
        <f>IF($W280="","",IF(INDEX('Per Invoice'!I$2:I$801,$W280)="","",INDEX('Per Invoice'!I$2:I$801,$W280)))</f>
        <v/>
      </c>
      <c r="J280">
        <f>IF($W280="","",IF(INDEX('Per Invoice'!J$2:J$801,$W280)="","",INDEX('Per Invoice'!J$2:J$801,$W280)))</f>
        <v/>
      </c>
      <c r="K280" s="7">
        <f>IF($W280="","",IF(INDEX('Per Invoice'!K$2:K$801,$W280)="","",INDEX('Per Invoice'!K$2:K$801,$W280)))</f>
        <v/>
      </c>
      <c r="L280" s="14">
        <f>IF($W280="","",IF(INDEX('Per Invoice'!L$2:L$801,$W280)="","",INDEX('Per Invoice'!L$2:L$801,$W280)))</f>
        <v/>
      </c>
      <c r="M280">
        <f>IF($W280="","",IF(INDEX('Per Invoice'!M$2:M$801,$W280)="","",INDEX('Per Invoice'!M$2:M$801,$W280)))</f>
        <v/>
      </c>
      <c r="N280" s="7">
        <f>IF($W280="","",IF(INDEX('Per Invoice'!N$2:N$801,$W280)="","",INDEX('Per Invoice'!N$2:N$801,$W280)))</f>
        <v/>
      </c>
      <c r="O280" s="7">
        <f>IF($W280="","",IF(INDEX('Per Invoice'!O$2:O$801,$W280)="","",INDEX('Per Invoice'!O$2:O$801,$W280)))</f>
        <v/>
      </c>
      <c r="P280">
        <f>IF($W280="","",IF(INDEX('Per Invoice'!P$2:P$801,$W280)="","",INDEX('Per Invoice'!P$2:P$801,$W280)))</f>
        <v/>
      </c>
      <c r="Q280" s="7">
        <f>IF($W280="","",IF(INDEX('Per Invoice'!Q$2:Q$801,$W280)="","",INDEX('Per Invoice'!Q$2:Q$801,$W280)))</f>
        <v/>
      </c>
      <c r="R280" s="7">
        <f>IF($W280="","",IF(INDEX('Per Invoice'!R$2:R$801,$W280)="","",INDEX('Per Invoice'!R$2:R$801,$W280)))</f>
        <v/>
      </c>
      <c r="S280" s="7">
        <f>IF($W280="","",IF(INDEX('Per Invoice'!S$2:S$801,$W280)="","",INDEX('Per Invoice'!S$2:S$801,$W280)))</f>
        <v/>
      </c>
      <c r="T280" s="7">
        <f>IF($W280="","",IF(INDEX('Per Invoice'!T$2:T$801,$W280)="","",INDEX('Per Invoice'!T$2:T$801,$W280)))</f>
        <v/>
      </c>
      <c r="U280" s="7">
        <f>IF($W280="","",IF(INDEX('Per Invoice'!U$2:U$801,$W280)="","",INDEX('Per Invoice'!U$2:U$801,$W280)))</f>
        <v/>
      </c>
      <c r="V280" s="7">
        <f>IF($W280="","",IF(INDEX('Per Invoice'!V$2:V$801,$W280)="","",INDEX('Per Invoice'!V$2:V$801,$W280)))</f>
        <v/>
      </c>
      <c r="W280" s="16">
        <f>IFERROR(MATCH(Settings!$C$32&amp;"|"&amp;ROWS($W$2:$W280),'Per Invoice'!$X$2:$X$801,0),"")</f>
        <v/>
      </c>
    </row>
    <row r="281">
      <c r="A281">
        <f>IF($W281="","",IF(INDEX('Per Invoice'!A$2:A$801,$W281)="","",INDEX('Per Invoice'!A$2:A$801,$W281)))</f>
        <v/>
      </c>
      <c r="B281">
        <f>IF($W281="","",IF(INDEX('Per Invoice'!B$2:B$801,$W281)="","",INDEX('Per Invoice'!B$2:B$801,$W281)))</f>
        <v/>
      </c>
      <c r="C281">
        <f>IF($W281="","",IF(INDEX('Per Invoice'!C$2:C$801,$W281)="","",INDEX('Per Invoice'!C$2:C$801,$W281)))</f>
        <v/>
      </c>
      <c r="D281">
        <f>IF($W281="","",IF(INDEX('Per Invoice'!D$2:D$801,$W281)="","",INDEX('Per Invoice'!D$2:D$801,$W281)))</f>
        <v/>
      </c>
      <c r="E281">
        <f>IF($W281="","",IF(INDEX('Per Invoice'!E$2:E$801,$W281)="","",INDEX('Per Invoice'!E$2:E$801,$W281)))</f>
        <v/>
      </c>
      <c r="F281">
        <f>IF($W281="","",IF(INDEX('Per Invoice'!F$2:F$801,$W281)="","",INDEX('Per Invoice'!F$2:F$801,$W281)))</f>
        <v/>
      </c>
      <c r="G281">
        <f>IF($W281="","",IF(INDEX('Per Invoice'!G$2:G$801,$W281)="","",INDEX('Per Invoice'!G$2:G$801,$W281)))</f>
        <v/>
      </c>
      <c r="H281">
        <f>IF($W281="","",IF(INDEX('Per Invoice'!H$2:H$801,$W281)="","",INDEX('Per Invoice'!H$2:H$801,$W281)))</f>
        <v/>
      </c>
      <c r="I281">
        <f>IF($W281="","",IF(INDEX('Per Invoice'!I$2:I$801,$W281)="","",INDEX('Per Invoice'!I$2:I$801,$W281)))</f>
        <v/>
      </c>
      <c r="J281">
        <f>IF($W281="","",IF(INDEX('Per Invoice'!J$2:J$801,$W281)="","",INDEX('Per Invoice'!J$2:J$801,$W281)))</f>
        <v/>
      </c>
      <c r="K281" s="7">
        <f>IF($W281="","",IF(INDEX('Per Invoice'!K$2:K$801,$W281)="","",INDEX('Per Invoice'!K$2:K$801,$W281)))</f>
        <v/>
      </c>
      <c r="L281" s="14">
        <f>IF($W281="","",IF(INDEX('Per Invoice'!L$2:L$801,$W281)="","",INDEX('Per Invoice'!L$2:L$801,$W281)))</f>
        <v/>
      </c>
      <c r="M281">
        <f>IF($W281="","",IF(INDEX('Per Invoice'!M$2:M$801,$W281)="","",INDEX('Per Invoice'!M$2:M$801,$W281)))</f>
        <v/>
      </c>
      <c r="N281" s="7">
        <f>IF($W281="","",IF(INDEX('Per Invoice'!N$2:N$801,$W281)="","",INDEX('Per Invoice'!N$2:N$801,$W281)))</f>
        <v/>
      </c>
      <c r="O281" s="7">
        <f>IF($W281="","",IF(INDEX('Per Invoice'!O$2:O$801,$W281)="","",INDEX('Per Invoice'!O$2:O$801,$W281)))</f>
        <v/>
      </c>
      <c r="P281">
        <f>IF($W281="","",IF(INDEX('Per Invoice'!P$2:P$801,$W281)="","",INDEX('Per Invoice'!P$2:P$801,$W281)))</f>
        <v/>
      </c>
      <c r="Q281" s="7">
        <f>IF($W281="","",IF(INDEX('Per Invoice'!Q$2:Q$801,$W281)="","",INDEX('Per Invoice'!Q$2:Q$801,$W281)))</f>
        <v/>
      </c>
      <c r="R281" s="7">
        <f>IF($W281="","",IF(INDEX('Per Invoice'!R$2:R$801,$W281)="","",INDEX('Per Invoice'!R$2:R$801,$W281)))</f>
        <v/>
      </c>
      <c r="S281" s="7">
        <f>IF($W281="","",IF(INDEX('Per Invoice'!S$2:S$801,$W281)="","",INDEX('Per Invoice'!S$2:S$801,$W281)))</f>
        <v/>
      </c>
      <c r="T281" s="7">
        <f>IF($W281="","",IF(INDEX('Per Invoice'!T$2:T$801,$W281)="","",INDEX('Per Invoice'!T$2:T$801,$W281)))</f>
        <v/>
      </c>
      <c r="U281" s="7">
        <f>IF($W281="","",IF(INDEX('Per Invoice'!U$2:U$801,$W281)="","",INDEX('Per Invoice'!U$2:U$801,$W281)))</f>
        <v/>
      </c>
      <c r="V281" s="7">
        <f>IF($W281="","",IF(INDEX('Per Invoice'!V$2:V$801,$W281)="","",INDEX('Per Invoice'!V$2:V$801,$W281)))</f>
        <v/>
      </c>
      <c r="W281" s="16">
        <f>IFERROR(MATCH(Settings!$C$32&amp;"|"&amp;ROWS($W$2:$W281),'Per Invoice'!$X$2:$X$801,0),"")</f>
        <v/>
      </c>
    </row>
    <row r="282">
      <c r="A282">
        <f>IF($W282="","",IF(INDEX('Per Invoice'!A$2:A$801,$W282)="","",INDEX('Per Invoice'!A$2:A$801,$W282)))</f>
        <v/>
      </c>
      <c r="B282">
        <f>IF($W282="","",IF(INDEX('Per Invoice'!B$2:B$801,$W282)="","",INDEX('Per Invoice'!B$2:B$801,$W282)))</f>
        <v/>
      </c>
      <c r="C282">
        <f>IF($W282="","",IF(INDEX('Per Invoice'!C$2:C$801,$W282)="","",INDEX('Per Invoice'!C$2:C$801,$W282)))</f>
        <v/>
      </c>
      <c r="D282">
        <f>IF($W282="","",IF(INDEX('Per Invoice'!D$2:D$801,$W282)="","",INDEX('Per Invoice'!D$2:D$801,$W282)))</f>
        <v/>
      </c>
      <c r="E282">
        <f>IF($W282="","",IF(INDEX('Per Invoice'!E$2:E$801,$W282)="","",INDEX('Per Invoice'!E$2:E$801,$W282)))</f>
        <v/>
      </c>
      <c r="F282">
        <f>IF($W282="","",IF(INDEX('Per Invoice'!F$2:F$801,$W282)="","",INDEX('Per Invoice'!F$2:F$801,$W282)))</f>
        <v/>
      </c>
      <c r="G282">
        <f>IF($W282="","",IF(INDEX('Per Invoice'!G$2:G$801,$W282)="","",INDEX('Per Invoice'!G$2:G$801,$W282)))</f>
        <v/>
      </c>
      <c r="H282">
        <f>IF($W282="","",IF(INDEX('Per Invoice'!H$2:H$801,$W282)="","",INDEX('Per Invoice'!H$2:H$801,$W282)))</f>
        <v/>
      </c>
      <c r="I282">
        <f>IF($W282="","",IF(INDEX('Per Invoice'!I$2:I$801,$W282)="","",INDEX('Per Invoice'!I$2:I$801,$W282)))</f>
        <v/>
      </c>
      <c r="J282">
        <f>IF($W282="","",IF(INDEX('Per Invoice'!J$2:J$801,$W282)="","",INDEX('Per Invoice'!J$2:J$801,$W282)))</f>
        <v/>
      </c>
      <c r="K282" s="7">
        <f>IF($W282="","",IF(INDEX('Per Invoice'!K$2:K$801,$W282)="","",INDEX('Per Invoice'!K$2:K$801,$W282)))</f>
        <v/>
      </c>
      <c r="L282" s="14">
        <f>IF($W282="","",IF(INDEX('Per Invoice'!L$2:L$801,$W282)="","",INDEX('Per Invoice'!L$2:L$801,$W282)))</f>
        <v/>
      </c>
      <c r="M282">
        <f>IF($W282="","",IF(INDEX('Per Invoice'!M$2:M$801,$W282)="","",INDEX('Per Invoice'!M$2:M$801,$W282)))</f>
        <v/>
      </c>
      <c r="N282" s="7">
        <f>IF($W282="","",IF(INDEX('Per Invoice'!N$2:N$801,$W282)="","",INDEX('Per Invoice'!N$2:N$801,$W282)))</f>
        <v/>
      </c>
      <c r="O282" s="7">
        <f>IF($W282="","",IF(INDEX('Per Invoice'!O$2:O$801,$W282)="","",INDEX('Per Invoice'!O$2:O$801,$W282)))</f>
        <v/>
      </c>
      <c r="P282">
        <f>IF($W282="","",IF(INDEX('Per Invoice'!P$2:P$801,$W282)="","",INDEX('Per Invoice'!P$2:P$801,$W282)))</f>
        <v/>
      </c>
      <c r="Q282" s="7">
        <f>IF($W282="","",IF(INDEX('Per Invoice'!Q$2:Q$801,$W282)="","",INDEX('Per Invoice'!Q$2:Q$801,$W282)))</f>
        <v/>
      </c>
      <c r="R282" s="7">
        <f>IF($W282="","",IF(INDEX('Per Invoice'!R$2:R$801,$W282)="","",INDEX('Per Invoice'!R$2:R$801,$W282)))</f>
        <v/>
      </c>
      <c r="S282" s="7">
        <f>IF($W282="","",IF(INDEX('Per Invoice'!S$2:S$801,$W282)="","",INDEX('Per Invoice'!S$2:S$801,$W282)))</f>
        <v/>
      </c>
      <c r="T282" s="7">
        <f>IF($W282="","",IF(INDEX('Per Invoice'!T$2:T$801,$W282)="","",INDEX('Per Invoice'!T$2:T$801,$W282)))</f>
        <v/>
      </c>
      <c r="U282" s="7">
        <f>IF($W282="","",IF(INDEX('Per Invoice'!U$2:U$801,$W282)="","",INDEX('Per Invoice'!U$2:U$801,$W282)))</f>
        <v/>
      </c>
      <c r="V282" s="7">
        <f>IF($W282="","",IF(INDEX('Per Invoice'!V$2:V$801,$W282)="","",INDEX('Per Invoice'!V$2:V$801,$W282)))</f>
        <v/>
      </c>
      <c r="W282" s="16">
        <f>IFERROR(MATCH(Settings!$C$32&amp;"|"&amp;ROWS($W$2:$W282),'Per Invoice'!$X$2:$X$801,0),"")</f>
        <v/>
      </c>
    </row>
    <row r="283">
      <c r="A283">
        <f>IF($W283="","",IF(INDEX('Per Invoice'!A$2:A$801,$W283)="","",INDEX('Per Invoice'!A$2:A$801,$W283)))</f>
        <v/>
      </c>
      <c r="B283">
        <f>IF($W283="","",IF(INDEX('Per Invoice'!B$2:B$801,$W283)="","",INDEX('Per Invoice'!B$2:B$801,$W283)))</f>
        <v/>
      </c>
      <c r="C283">
        <f>IF($W283="","",IF(INDEX('Per Invoice'!C$2:C$801,$W283)="","",INDEX('Per Invoice'!C$2:C$801,$W283)))</f>
        <v/>
      </c>
      <c r="D283">
        <f>IF($W283="","",IF(INDEX('Per Invoice'!D$2:D$801,$W283)="","",INDEX('Per Invoice'!D$2:D$801,$W283)))</f>
        <v/>
      </c>
      <c r="E283">
        <f>IF($W283="","",IF(INDEX('Per Invoice'!E$2:E$801,$W283)="","",INDEX('Per Invoice'!E$2:E$801,$W283)))</f>
        <v/>
      </c>
      <c r="F283">
        <f>IF($W283="","",IF(INDEX('Per Invoice'!F$2:F$801,$W283)="","",INDEX('Per Invoice'!F$2:F$801,$W283)))</f>
        <v/>
      </c>
      <c r="G283">
        <f>IF($W283="","",IF(INDEX('Per Invoice'!G$2:G$801,$W283)="","",INDEX('Per Invoice'!G$2:G$801,$W283)))</f>
        <v/>
      </c>
      <c r="H283">
        <f>IF($W283="","",IF(INDEX('Per Invoice'!H$2:H$801,$W283)="","",INDEX('Per Invoice'!H$2:H$801,$W283)))</f>
        <v/>
      </c>
      <c r="I283">
        <f>IF($W283="","",IF(INDEX('Per Invoice'!I$2:I$801,$W283)="","",INDEX('Per Invoice'!I$2:I$801,$W283)))</f>
        <v/>
      </c>
      <c r="J283">
        <f>IF($W283="","",IF(INDEX('Per Invoice'!J$2:J$801,$W283)="","",INDEX('Per Invoice'!J$2:J$801,$W283)))</f>
        <v/>
      </c>
      <c r="K283" s="7">
        <f>IF($W283="","",IF(INDEX('Per Invoice'!K$2:K$801,$W283)="","",INDEX('Per Invoice'!K$2:K$801,$W283)))</f>
        <v/>
      </c>
      <c r="L283" s="14">
        <f>IF($W283="","",IF(INDEX('Per Invoice'!L$2:L$801,$W283)="","",INDEX('Per Invoice'!L$2:L$801,$W283)))</f>
        <v/>
      </c>
      <c r="M283">
        <f>IF($W283="","",IF(INDEX('Per Invoice'!M$2:M$801,$W283)="","",INDEX('Per Invoice'!M$2:M$801,$W283)))</f>
        <v/>
      </c>
      <c r="N283" s="7">
        <f>IF($W283="","",IF(INDEX('Per Invoice'!N$2:N$801,$W283)="","",INDEX('Per Invoice'!N$2:N$801,$W283)))</f>
        <v/>
      </c>
      <c r="O283" s="7">
        <f>IF($W283="","",IF(INDEX('Per Invoice'!O$2:O$801,$W283)="","",INDEX('Per Invoice'!O$2:O$801,$W283)))</f>
        <v/>
      </c>
      <c r="P283">
        <f>IF($W283="","",IF(INDEX('Per Invoice'!P$2:P$801,$W283)="","",INDEX('Per Invoice'!P$2:P$801,$W283)))</f>
        <v/>
      </c>
      <c r="Q283" s="7">
        <f>IF($W283="","",IF(INDEX('Per Invoice'!Q$2:Q$801,$W283)="","",INDEX('Per Invoice'!Q$2:Q$801,$W283)))</f>
        <v/>
      </c>
      <c r="R283" s="7">
        <f>IF($W283="","",IF(INDEX('Per Invoice'!R$2:R$801,$W283)="","",INDEX('Per Invoice'!R$2:R$801,$W283)))</f>
        <v/>
      </c>
      <c r="S283" s="7">
        <f>IF($W283="","",IF(INDEX('Per Invoice'!S$2:S$801,$W283)="","",INDEX('Per Invoice'!S$2:S$801,$W283)))</f>
        <v/>
      </c>
      <c r="T283" s="7">
        <f>IF($W283="","",IF(INDEX('Per Invoice'!T$2:T$801,$W283)="","",INDEX('Per Invoice'!T$2:T$801,$W283)))</f>
        <v/>
      </c>
      <c r="U283" s="7">
        <f>IF($W283="","",IF(INDEX('Per Invoice'!U$2:U$801,$W283)="","",INDEX('Per Invoice'!U$2:U$801,$W283)))</f>
        <v/>
      </c>
      <c r="V283" s="7">
        <f>IF($W283="","",IF(INDEX('Per Invoice'!V$2:V$801,$W283)="","",INDEX('Per Invoice'!V$2:V$801,$W283)))</f>
        <v/>
      </c>
      <c r="W283" s="16">
        <f>IFERROR(MATCH(Settings!$C$32&amp;"|"&amp;ROWS($W$2:$W283),'Per Invoice'!$X$2:$X$801,0),"")</f>
        <v/>
      </c>
    </row>
    <row r="284">
      <c r="A284">
        <f>IF($W284="","",IF(INDEX('Per Invoice'!A$2:A$801,$W284)="","",INDEX('Per Invoice'!A$2:A$801,$W284)))</f>
        <v/>
      </c>
      <c r="B284">
        <f>IF($W284="","",IF(INDEX('Per Invoice'!B$2:B$801,$W284)="","",INDEX('Per Invoice'!B$2:B$801,$W284)))</f>
        <v/>
      </c>
      <c r="C284">
        <f>IF($W284="","",IF(INDEX('Per Invoice'!C$2:C$801,$W284)="","",INDEX('Per Invoice'!C$2:C$801,$W284)))</f>
        <v/>
      </c>
      <c r="D284">
        <f>IF($W284="","",IF(INDEX('Per Invoice'!D$2:D$801,$W284)="","",INDEX('Per Invoice'!D$2:D$801,$W284)))</f>
        <v/>
      </c>
      <c r="E284">
        <f>IF($W284="","",IF(INDEX('Per Invoice'!E$2:E$801,$W284)="","",INDEX('Per Invoice'!E$2:E$801,$W284)))</f>
        <v/>
      </c>
      <c r="F284">
        <f>IF($W284="","",IF(INDEX('Per Invoice'!F$2:F$801,$W284)="","",INDEX('Per Invoice'!F$2:F$801,$W284)))</f>
        <v/>
      </c>
      <c r="G284">
        <f>IF($W284="","",IF(INDEX('Per Invoice'!G$2:G$801,$W284)="","",INDEX('Per Invoice'!G$2:G$801,$W284)))</f>
        <v/>
      </c>
      <c r="H284">
        <f>IF($W284="","",IF(INDEX('Per Invoice'!H$2:H$801,$W284)="","",INDEX('Per Invoice'!H$2:H$801,$W284)))</f>
        <v/>
      </c>
      <c r="I284">
        <f>IF($W284="","",IF(INDEX('Per Invoice'!I$2:I$801,$W284)="","",INDEX('Per Invoice'!I$2:I$801,$W284)))</f>
        <v/>
      </c>
      <c r="J284">
        <f>IF($W284="","",IF(INDEX('Per Invoice'!J$2:J$801,$W284)="","",INDEX('Per Invoice'!J$2:J$801,$W284)))</f>
        <v/>
      </c>
      <c r="K284" s="7">
        <f>IF($W284="","",IF(INDEX('Per Invoice'!K$2:K$801,$W284)="","",INDEX('Per Invoice'!K$2:K$801,$W284)))</f>
        <v/>
      </c>
      <c r="L284" s="14">
        <f>IF($W284="","",IF(INDEX('Per Invoice'!L$2:L$801,$W284)="","",INDEX('Per Invoice'!L$2:L$801,$W284)))</f>
        <v/>
      </c>
      <c r="M284">
        <f>IF($W284="","",IF(INDEX('Per Invoice'!M$2:M$801,$W284)="","",INDEX('Per Invoice'!M$2:M$801,$W284)))</f>
        <v/>
      </c>
      <c r="N284" s="7">
        <f>IF($W284="","",IF(INDEX('Per Invoice'!N$2:N$801,$W284)="","",INDEX('Per Invoice'!N$2:N$801,$W284)))</f>
        <v/>
      </c>
      <c r="O284" s="7">
        <f>IF($W284="","",IF(INDEX('Per Invoice'!O$2:O$801,$W284)="","",INDEX('Per Invoice'!O$2:O$801,$W284)))</f>
        <v/>
      </c>
      <c r="P284">
        <f>IF($W284="","",IF(INDEX('Per Invoice'!P$2:P$801,$W284)="","",INDEX('Per Invoice'!P$2:P$801,$W284)))</f>
        <v/>
      </c>
      <c r="Q284" s="7">
        <f>IF($W284="","",IF(INDEX('Per Invoice'!Q$2:Q$801,$W284)="","",INDEX('Per Invoice'!Q$2:Q$801,$W284)))</f>
        <v/>
      </c>
      <c r="R284" s="7">
        <f>IF($W284="","",IF(INDEX('Per Invoice'!R$2:R$801,$W284)="","",INDEX('Per Invoice'!R$2:R$801,$W284)))</f>
        <v/>
      </c>
      <c r="S284" s="7">
        <f>IF($W284="","",IF(INDEX('Per Invoice'!S$2:S$801,$W284)="","",INDEX('Per Invoice'!S$2:S$801,$W284)))</f>
        <v/>
      </c>
      <c r="T284" s="7">
        <f>IF($W284="","",IF(INDEX('Per Invoice'!T$2:T$801,$W284)="","",INDEX('Per Invoice'!T$2:T$801,$W284)))</f>
        <v/>
      </c>
      <c r="U284" s="7">
        <f>IF($W284="","",IF(INDEX('Per Invoice'!U$2:U$801,$W284)="","",INDEX('Per Invoice'!U$2:U$801,$W284)))</f>
        <v/>
      </c>
      <c r="V284" s="7">
        <f>IF($W284="","",IF(INDEX('Per Invoice'!V$2:V$801,$W284)="","",INDEX('Per Invoice'!V$2:V$801,$W284)))</f>
        <v/>
      </c>
      <c r="W284" s="16">
        <f>IFERROR(MATCH(Settings!$C$32&amp;"|"&amp;ROWS($W$2:$W284),'Per Invoice'!$X$2:$X$801,0),"")</f>
        <v/>
      </c>
    </row>
    <row r="285">
      <c r="A285">
        <f>IF($W285="","",IF(INDEX('Per Invoice'!A$2:A$801,$W285)="","",INDEX('Per Invoice'!A$2:A$801,$W285)))</f>
        <v/>
      </c>
      <c r="B285">
        <f>IF($W285="","",IF(INDEX('Per Invoice'!B$2:B$801,$W285)="","",INDEX('Per Invoice'!B$2:B$801,$W285)))</f>
        <v/>
      </c>
      <c r="C285">
        <f>IF($W285="","",IF(INDEX('Per Invoice'!C$2:C$801,$W285)="","",INDEX('Per Invoice'!C$2:C$801,$W285)))</f>
        <v/>
      </c>
      <c r="D285">
        <f>IF($W285="","",IF(INDEX('Per Invoice'!D$2:D$801,$W285)="","",INDEX('Per Invoice'!D$2:D$801,$W285)))</f>
        <v/>
      </c>
      <c r="E285">
        <f>IF($W285="","",IF(INDEX('Per Invoice'!E$2:E$801,$W285)="","",INDEX('Per Invoice'!E$2:E$801,$W285)))</f>
        <v/>
      </c>
      <c r="F285">
        <f>IF($W285="","",IF(INDEX('Per Invoice'!F$2:F$801,$W285)="","",INDEX('Per Invoice'!F$2:F$801,$W285)))</f>
        <v/>
      </c>
      <c r="G285">
        <f>IF($W285="","",IF(INDEX('Per Invoice'!G$2:G$801,$W285)="","",INDEX('Per Invoice'!G$2:G$801,$W285)))</f>
        <v/>
      </c>
      <c r="H285">
        <f>IF($W285="","",IF(INDEX('Per Invoice'!H$2:H$801,$W285)="","",INDEX('Per Invoice'!H$2:H$801,$W285)))</f>
        <v/>
      </c>
      <c r="I285">
        <f>IF($W285="","",IF(INDEX('Per Invoice'!I$2:I$801,$W285)="","",INDEX('Per Invoice'!I$2:I$801,$W285)))</f>
        <v/>
      </c>
      <c r="J285">
        <f>IF($W285="","",IF(INDEX('Per Invoice'!J$2:J$801,$W285)="","",INDEX('Per Invoice'!J$2:J$801,$W285)))</f>
        <v/>
      </c>
      <c r="K285" s="7">
        <f>IF($W285="","",IF(INDEX('Per Invoice'!K$2:K$801,$W285)="","",INDEX('Per Invoice'!K$2:K$801,$W285)))</f>
        <v/>
      </c>
      <c r="L285" s="14">
        <f>IF($W285="","",IF(INDEX('Per Invoice'!L$2:L$801,$W285)="","",INDEX('Per Invoice'!L$2:L$801,$W285)))</f>
        <v/>
      </c>
      <c r="M285">
        <f>IF($W285="","",IF(INDEX('Per Invoice'!M$2:M$801,$W285)="","",INDEX('Per Invoice'!M$2:M$801,$W285)))</f>
        <v/>
      </c>
      <c r="N285" s="7">
        <f>IF($W285="","",IF(INDEX('Per Invoice'!N$2:N$801,$W285)="","",INDEX('Per Invoice'!N$2:N$801,$W285)))</f>
        <v/>
      </c>
      <c r="O285" s="7">
        <f>IF($W285="","",IF(INDEX('Per Invoice'!O$2:O$801,$W285)="","",INDEX('Per Invoice'!O$2:O$801,$W285)))</f>
        <v/>
      </c>
      <c r="P285">
        <f>IF($W285="","",IF(INDEX('Per Invoice'!P$2:P$801,$W285)="","",INDEX('Per Invoice'!P$2:P$801,$W285)))</f>
        <v/>
      </c>
      <c r="Q285" s="7">
        <f>IF($W285="","",IF(INDEX('Per Invoice'!Q$2:Q$801,$W285)="","",INDEX('Per Invoice'!Q$2:Q$801,$W285)))</f>
        <v/>
      </c>
      <c r="R285" s="7">
        <f>IF($W285="","",IF(INDEX('Per Invoice'!R$2:R$801,$W285)="","",INDEX('Per Invoice'!R$2:R$801,$W285)))</f>
        <v/>
      </c>
      <c r="S285" s="7">
        <f>IF($W285="","",IF(INDEX('Per Invoice'!S$2:S$801,$W285)="","",INDEX('Per Invoice'!S$2:S$801,$W285)))</f>
        <v/>
      </c>
      <c r="T285" s="7">
        <f>IF($W285="","",IF(INDEX('Per Invoice'!T$2:T$801,$W285)="","",INDEX('Per Invoice'!T$2:T$801,$W285)))</f>
        <v/>
      </c>
      <c r="U285" s="7">
        <f>IF($W285="","",IF(INDEX('Per Invoice'!U$2:U$801,$W285)="","",INDEX('Per Invoice'!U$2:U$801,$W285)))</f>
        <v/>
      </c>
      <c r="V285" s="7">
        <f>IF($W285="","",IF(INDEX('Per Invoice'!V$2:V$801,$W285)="","",INDEX('Per Invoice'!V$2:V$801,$W285)))</f>
        <v/>
      </c>
      <c r="W285" s="16">
        <f>IFERROR(MATCH(Settings!$C$32&amp;"|"&amp;ROWS($W$2:$W285),'Per Invoice'!$X$2:$X$801,0),"")</f>
        <v/>
      </c>
    </row>
    <row r="286">
      <c r="A286">
        <f>IF($W286="","",IF(INDEX('Per Invoice'!A$2:A$801,$W286)="","",INDEX('Per Invoice'!A$2:A$801,$W286)))</f>
        <v/>
      </c>
      <c r="B286">
        <f>IF($W286="","",IF(INDEX('Per Invoice'!B$2:B$801,$W286)="","",INDEX('Per Invoice'!B$2:B$801,$W286)))</f>
        <v/>
      </c>
      <c r="C286">
        <f>IF($W286="","",IF(INDEX('Per Invoice'!C$2:C$801,$W286)="","",INDEX('Per Invoice'!C$2:C$801,$W286)))</f>
        <v/>
      </c>
      <c r="D286">
        <f>IF($W286="","",IF(INDEX('Per Invoice'!D$2:D$801,$W286)="","",INDEX('Per Invoice'!D$2:D$801,$W286)))</f>
        <v/>
      </c>
      <c r="E286">
        <f>IF($W286="","",IF(INDEX('Per Invoice'!E$2:E$801,$W286)="","",INDEX('Per Invoice'!E$2:E$801,$W286)))</f>
        <v/>
      </c>
      <c r="F286">
        <f>IF($W286="","",IF(INDEX('Per Invoice'!F$2:F$801,$W286)="","",INDEX('Per Invoice'!F$2:F$801,$W286)))</f>
        <v/>
      </c>
      <c r="G286">
        <f>IF($W286="","",IF(INDEX('Per Invoice'!G$2:G$801,$W286)="","",INDEX('Per Invoice'!G$2:G$801,$W286)))</f>
        <v/>
      </c>
      <c r="H286">
        <f>IF($W286="","",IF(INDEX('Per Invoice'!H$2:H$801,$W286)="","",INDEX('Per Invoice'!H$2:H$801,$W286)))</f>
        <v/>
      </c>
      <c r="I286">
        <f>IF($W286="","",IF(INDEX('Per Invoice'!I$2:I$801,$W286)="","",INDEX('Per Invoice'!I$2:I$801,$W286)))</f>
        <v/>
      </c>
      <c r="J286">
        <f>IF($W286="","",IF(INDEX('Per Invoice'!J$2:J$801,$W286)="","",INDEX('Per Invoice'!J$2:J$801,$W286)))</f>
        <v/>
      </c>
      <c r="K286" s="7">
        <f>IF($W286="","",IF(INDEX('Per Invoice'!K$2:K$801,$W286)="","",INDEX('Per Invoice'!K$2:K$801,$W286)))</f>
        <v/>
      </c>
      <c r="L286" s="14">
        <f>IF($W286="","",IF(INDEX('Per Invoice'!L$2:L$801,$W286)="","",INDEX('Per Invoice'!L$2:L$801,$W286)))</f>
        <v/>
      </c>
      <c r="M286">
        <f>IF($W286="","",IF(INDEX('Per Invoice'!M$2:M$801,$W286)="","",INDEX('Per Invoice'!M$2:M$801,$W286)))</f>
        <v/>
      </c>
      <c r="N286" s="7">
        <f>IF($W286="","",IF(INDEX('Per Invoice'!N$2:N$801,$W286)="","",INDEX('Per Invoice'!N$2:N$801,$W286)))</f>
        <v/>
      </c>
      <c r="O286" s="7">
        <f>IF($W286="","",IF(INDEX('Per Invoice'!O$2:O$801,$W286)="","",INDEX('Per Invoice'!O$2:O$801,$W286)))</f>
        <v/>
      </c>
      <c r="P286">
        <f>IF($W286="","",IF(INDEX('Per Invoice'!P$2:P$801,$W286)="","",INDEX('Per Invoice'!P$2:P$801,$W286)))</f>
        <v/>
      </c>
      <c r="Q286" s="7">
        <f>IF($W286="","",IF(INDEX('Per Invoice'!Q$2:Q$801,$W286)="","",INDEX('Per Invoice'!Q$2:Q$801,$W286)))</f>
        <v/>
      </c>
      <c r="R286" s="7">
        <f>IF($W286="","",IF(INDEX('Per Invoice'!R$2:R$801,$W286)="","",INDEX('Per Invoice'!R$2:R$801,$W286)))</f>
        <v/>
      </c>
      <c r="S286" s="7">
        <f>IF($W286="","",IF(INDEX('Per Invoice'!S$2:S$801,$W286)="","",INDEX('Per Invoice'!S$2:S$801,$W286)))</f>
        <v/>
      </c>
      <c r="T286" s="7">
        <f>IF($W286="","",IF(INDEX('Per Invoice'!T$2:T$801,$W286)="","",INDEX('Per Invoice'!T$2:T$801,$W286)))</f>
        <v/>
      </c>
      <c r="U286" s="7">
        <f>IF($W286="","",IF(INDEX('Per Invoice'!U$2:U$801,$W286)="","",INDEX('Per Invoice'!U$2:U$801,$W286)))</f>
        <v/>
      </c>
      <c r="V286" s="7">
        <f>IF($W286="","",IF(INDEX('Per Invoice'!V$2:V$801,$W286)="","",INDEX('Per Invoice'!V$2:V$801,$W286)))</f>
        <v/>
      </c>
      <c r="W286" s="16">
        <f>IFERROR(MATCH(Settings!$C$32&amp;"|"&amp;ROWS($W$2:$W286),'Per Invoice'!$X$2:$X$801,0),"")</f>
        <v/>
      </c>
    </row>
    <row r="287">
      <c r="A287">
        <f>IF($W287="","",IF(INDEX('Per Invoice'!A$2:A$801,$W287)="","",INDEX('Per Invoice'!A$2:A$801,$W287)))</f>
        <v/>
      </c>
      <c r="B287">
        <f>IF($W287="","",IF(INDEX('Per Invoice'!B$2:B$801,$W287)="","",INDEX('Per Invoice'!B$2:B$801,$W287)))</f>
        <v/>
      </c>
      <c r="C287">
        <f>IF($W287="","",IF(INDEX('Per Invoice'!C$2:C$801,$W287)="","",INDEX('Per Invoice'!C$2:C$801,$W287)))</f>
        <v/>
      </c>
      <c r="D287">
        <f>IF($W287="","",IF(INDEX('Per Invoice'!D$2:D$801,$W287)="","",INDEX('Per Invoice'!D$2:D$801,$W287)))</f>
        <v/>
      </c>
      <c r="E287">
        <f>IF($W287="","",IF(INDEX('Per Invoice'!E$2:E$801,$W287)="","",INDEX('Per Invoice'!E$2:E$801,$W287)))</f>
        <v/>
      </c>
      <c r="F287">
        <f>IF($W287="","",IF(INDEX('Per Invoice'!F$2:F$801,$W287)="","",INDEX('Per Invoice'!F$2:F$801,$W287)))</f>
        <v/>
      </c>
      <c r="G287">
        <f>IF($W287="","",IF(INDEX('Per Invoice'!G$2:G$801,$W287)="","",INDEX('Per Invoice'!G$2:G$801,$W287)))</f>
        <v/>
      </c>
      <c r="H287">
        <f>IF($W287="","",IF(INDEX('Per Invoice'!H$2:H$801,$W287)="","",INDEX('Per Invoice'!H$2:H$801,$W287)))</f>
        <v/>
      </c>
      <c r="I287">
        <f>IF($W287="","",IF(INDEX('Per Invoice'!I$2:I$801,$W287)="","",INDEX('Per Invoice'!I$2:I$801,$W287)))</f>
        <v/>
      </c>
      <c r="J287">
        <f>IF($W287="","",IF(INDEX('Per Invoice'!J$2:J$801,$W287)="","",INDEX('Per Invoice'!J$2:J$801,$W287)))</f>
        <v/>
      </c>
      <c r="K287" s="7">
        <f>IF($W287="","",IF(INDEX('Per Invoice'!K$2:K$801,$W287)="","",INDEX('Per Invoice'!K$2:K$801,$W287)))</f>
        <v/>
      </c>
      <c r="L287" s="14">
        <f>IF($W287="","",IF(INDEX('Per Invoice'!L$2:L$801,$W287)="","",INDEX('Per Invoice'!L$2:L$801,$W287)))</f>
        <v/>
      </c>
      <c r="M287">
        <f>IF($W287="","",IF(INDEX('Per Invoice'!M$2:M$801,$W287)="","",INDEX('Per Invoice'!M$2:M$801,$W287)))</f>
        <v/>
      </c>
      <c r="N287" s="7">
        <f>IF($W287="","",IF(INDEX('Per Invoice'!N$2:N$801,$W287)="","",INDEX('Per Invoice'!N$2:N$801,$W287)))</f>
        <v/>
      </c>
      <c r="O287" s="7">
        <f>IF($W287="","",IF(INDEX('Per Invoice'!O$2:O$801,$W287)="","",INDEX('Per Invoice'!O$2:O$801,$W287)))</f>
        <v/>
      </c>
      <c r="P287">
        <f>IF($W287="","",IF(INDEX('Per Invoice'!P$2:P$801,$W287)="","",INDEX('Per Invoice'!P$2:P$801,$W287)))</f>
        <v/>
      </c>
      <c r="Q287" s="7">
        <f>IF($W287="","",IF(INDEX('Per Invoice'!Q$2:Q$801,$W287)="","",INDEX('Per Invoice'!Q$2:Q$801,$W287)))</f>
        <v/>
      </c>
      <c r="R287" s="7">
        <f>IF($W287="","",IF(INDEX('Per Invoice'!R$2:R$801,$W287)="","",INDEX('Per Invoice'!R$2:R$801,$W287)))</f>
        <v/>
      </c>
      <c r="S287" s="7">
        <f>IF($W287="","",IF(INDEX('Per Invoice'!S$2:S$801,$W287)="","",INDEX('Per Invoice'!S$2:S$801,$W287)))</f>
        <v/>
      </c>
      <c r="T287" s="7">
        <f>IF($W287="","",IF(INDEX('Per Invoice'!T$2:T$801,$W287)="","",INDEX('Per Invoice'!T$2:T$801,$W287)))</f>
        <v/>
      </c>
      <c r="U287" s="7">
        <f>IF($W287="","",IF(INDEX('Per Invoice'!U$2:U$801,$W287)="","",INDEX('Per Invoice'!U$2:U$801,$W287)))</f>
        <v/>
      </c>
      <c r="V287" s="7">
        <f>IF($W287="","",IF(INDEX('Per Invoice'!V$2:V$801,$W287)="","",INDEX('Per Invoice'!V$2:V$801,$W287)))</f>
        <v/>
      </c>
      <c r="W287" s="16">
        <f>IFERROR(MATCH(Settings!$C$32&amp;"|"&amp;ROWS($W$2:$W287),'Per Invoice'!$X$2:$X$801,0),"")</f>
        <v/>
      </c>
    </row>
    <row r="288">
      <c r="A288">
        <f>IF($W288="","",IF(INDEX('Per Invoice'!A$2:A$801,$W288)="","",INDEX('Per Invoice'!A$2:A$801,$W288)))</f>
        <v/>
      </c>
      <c r="B288">
        <f>IF($W288="","",IF(INDEX('Per Invoice'!B$2:B$801,$W288)="","",INDEX('Per Invoice'!B$2:B$801,$W288)))</f>
        <v/>
      </c>
      <c r="C288">
        <f>IF($W288="","",IF(INDEX('Per Invoice'!C$2:C$801,$W288)="","",INDEX('Per Invoice'!C$2:C$801,$W288)))</f>
        <v/>
      </c>
      <c r="D288">
        <f>IF($W288="","",IF(INDEX('Per Invoice'!D$2:D$801,$W288)="","",INDEX('Per Invoice'!D$2:D$801,$W288)))</f>
        <v/>
      </c>
      <c r="E288">
        <f>IF($W288="","",IF(INDEX('Per Invoice'!E$2:E$801,$W288)="","",INDEX('Per Invoice'!E$2:E$801,$W288)))</f>
        <v/>
      </c>
      <c r="F288">
        <f>IF($W288="","",IF(INDEX('Per Invoice'!F$2:F$801,$W288)="","",INDEX('Per Invoice'!F$2:F$801,$W288)))</f>
        <v/>
      </c>
      <c r="G288">
        <f>IF($W288="","",IF(INDEX('Per Invoice'!G$2:G$801,$W288)="","",INDEX('Per Invoice'!G$2:G$801,$W288)))</f>
        <v/>
      </c>
      <c r="H288">
        <f>IF($W288="","",IF(INDEX('Per Invoice'!H$2:H$801,$W288)="","",INDEX('Per Invoice'!H$2:H$801,$W288)))</f>
        <v/>
      </c>
      <c r="I288">
        <f>IF($W288="","",IF(INDEX('Per Invoice'!I$2:I$801,$W288)="","",INDEX('Per Invoice'!I$2:I$801,$W288)))</f>
        <v/>
      </c>
      <c r="J288">
        <f>IF($W288="","",IF(INDEX('Per Invoice'!J$2:J$801,$W288)="","",INDEX('Per Invoice'!J$2:J$801,$W288)))</f>
        <v/>
      </c>
      <c r="K288" s="7">
        <f>IF($W288="","",IF(INDEX('Per Invoice'!K$2:K$801,$W288)="","",INDEX('Per Invoice'!K$2:K$801,$W288)))</f>
        <v/>
      </c>
      <c r="L288" s="14">
        <f>IF($W288="","",IF(INDEX('Per Invoice'!L$2:L$801,$W288)="","",INDEX('Per Invoice'!L$2:L$801,$W288)))</f>
        <v/>
      </c>
      <c r="M288">
        <f>IF($W288="","",IF(INDEX('Per Invoice'!M$2:M$801,$W288)="","",INDEX('Per Invoice'!M$2:M$801,$W288)))</f>
        <v/>
      </c>
      <c r="N288" s="7">
        <f>IF($W288="","",IF(INDEX('Per Invoice'!N$2:N$801,$W288)="","",INDEX('Per Invoice'!N$2:N$801,$W288)))</f>
        <v/>
      </c>
      <c r="O288" s="7">
        <f>IF($W288="","",IF(INDEX('Per Invoice'!O$2:O$801,$W288)="","",INDEX('Per Invoice'!O$2:O$801,$W288)))</f>
        <v/>
      </c>
      <c r="P288">
        <f>IF($W288="","",IF(INDEX('Per Invoice'!P$2:P$801,$W288)="","",INDEX('Per Invoice'!P$2:P$801,$W288)))</f>
        <v/>
      </c>
      <c r="Q288" s="7">
        <f>IF($W288="","",IF(INDEX('Per Invoice'!Q$2:Q$801,$W288)="","",INDEX('Per Invoice'!Q$2:Q$801,$W288)))</f>
        <v/>
      </c>
      <c r="R288" s="7">
        <f>IF($W288="","",IF(INDEX('Per Invoice'!R$2:R$801,$W288)="","",INDEX('Per Invoice'!R$2:R$801,$W288)))</f>
        <v/>
      </c>
      <c r="S288" s="7">
        <f>IF($W288="","",IF(INDEX('Per Invoice'!S$2:S$801,$W288)="","",INDEX('Per Invoice'!S$2:S$801,$W288)))</f>
        <v/>
      </c>
      <c r="T288" s="7">
        <f>IF($W288="","",IF(INDEX('Per Invoice'!T$2:T$801,$W288)="","",INDEX('Per Invoice'!T$2:T$801,$W288)))</f>
        <v/>
      </c>
      <c r="U288" s="7">
        <f>IF($W288="","",IF(INDEX('Per Invoice'!U$2:U$801,$W288)="","",INDEX('Per Invoice'!U$2:U$801,$W288)))</f>
        <v/>
      </c>
      <c r="V288" s="7">
        <f>IF($W288="","",IF(INDEX('Per Invoice'!V$2:V$801,$W288)="","",INDEX('Per Invoice'!V$2:V$801,$W288)))</f>
        <v/>
      </c>
      <c r="W288" s="16">
        <f>IFERROR(MATCH(Settings!$C$32&amp;"|"&amp;ROWS($W$2:$W288),'Per Invoice'!$X$2:$X$801,0),"")</f>
        <v/>
      </c>
    </row>
    <row r="289">
      <c r="A289">
        <f>IF($W289="","",IF(INDEX('Per Invoice'!A$2:A$801,$W289)="","",INDEX('Per Invoice'!A$2:A$801,$W289)))</f>
        <v/>
      </c>
      <c r="B289">
        <f>IF($W289="","",IF(INDEX('Per Invoice'!B$2:B$801,$W289)="","",INDEX('Per Invoice'!B$2:B$801,$W289)))</f>
        <v/>
      </c>
      <c r="C289">
        <f>IF($W289="","",IF(INDEX('Per Invoice'!C$2:C$801,$W289)="","",INDEX('Per Invoice'!C$2:C$801,$W289)))</f>
        <v/>
      </c>
      <c r="D289">
        <f>IF($W289="","",IF(INDEX('Per Invoice'!D$2:D$801,$W289)="","",INDEX('Per Invoice'!D$2:D$801,$W289)))</f>
        <v/>
      </c>
      <c r="E289">
        <f>IF($W289="","",IF(INDEX('Per Invoice'!E$2:E$801,$W289)="","",INDEX('Per Invoice'!E$2:E$801,$W289)))</f>
        <v/>
      </c>
      <c r="F289">
        <f>IF($W289="","",IF(INDEX('Per Invoice'!F$2:F$801,$W289)="","",INDEX('Per Invoice'!F$2:F$801,$W289)))</f>
        <v/>
      </c>
      <c r="G289">
        <f>IF($W289="","",IF(INDEX('Per Invoice'!G$2:G$801,$W289)="","",INDEX('Per Invoice'!G$2:G$801,$W289)))</f>
        <v/>
      </c>
      <c r="H289">
        <f>IF($W289="","",IF(INDEX('Per Invoice'!H$2:H$801,$W289)="","",INDEX('Per Invoice'!H$2:H$801,$W289)))</f>
        <v/>
      </c>
      <c r="I289">
        <f>IF($W289="","",IF(INDEX('Per Invoice'!I$2:I$801,$W289)="","",INDEX('Per Invoice'!I$2:I$801,$W289)))</f>
        <v/>
      </c>
      <c r="J289">
        <f>IF($W289="","",IF(INDEX('Per Invoice'!J$2:J$801,$W289)="","",INDEX('Per Invoice'!J$2:J$801,$W289)))</f>
        <v/>
      </c>
      <c r="K289" s="7">
        <f>IF($W289="","",IF(INDEX('Per Invoice'!K$2:K$801,$W289)="","",INDEX('Per Invoice'!K$2:K$801,$W289)))</f>
        <v/>
      </c>
      <c r="L289" s="14">
        <f>IF($W289="","",IF(INDEX('Per Invoice'!L$2:L$801,$W289)="","",INDEX('Per Invoice'!L$2:L$801,$W289)))</f>
        <v/>
      </c>
      <c r="M289">
        <f>IF($W289="","",IF(INDEX('Per Invoice'!M$2:M$801,$W289)="","",INDEX('Per Invoice'!M$2:M$801,$W289)))</f>
        <v/>
      </c>
      <c r="N289" s="7">
        <f>IF($W289="","",IF(INDEX('Per Invoice'!N$2:N$801,$W289)="","",INDEX('Per Invoice'!N$2:N$801,$W289)))</f>
        <v/>
      </c>
      <c r="O289" s="7">
        <f>IF($W289="","",IF(INDEX('Per Invoice'!O$2:O$801,$W289)="","",INDEX('Per Invoice'!O$2:O$801,$W289)))</f>
        <v/>
      </c>
      <c r="P289">
        <f>IF($W289="","",IF(INDEX('Per Invoice'!P$2:P$801,$W289)="","",INDEX('Per Invoice'!P$2:P$801,$W289)))</f>
        <v/>
      </c>
      <c r="Q289" s="7">
        <f>IF($W289="","",IF(INDEX('Per Invoice'!Q$2:Q$801,$W289)="","",INDEX('Per Invoice'!Q$2:Q$801,$W289)))</f>
        <v/>
      </c>
      <c r="R289" s="7">
        <f>IF($W289="","",IF(INDEX('Per Invoice'!R$2:R$801,$W289)="","",INDEX('Per Invoice'!R$2:R$801,$W289)))</f>
        <v/>
      </c>
      <c r="S289" s="7">
        <f>IF($W289="","",IF(INDEX('Per Invoice'!S$2:S$801,$W289)="","",INDEX('Per Invoice'!S$2:S$801,$W289)))</f>
        <v/>
      </c>
      <c r="T289" s="7">
        <f>IF($W289="","",IF(INDEX('Per Invoice'!T$2:T$801,$W289)="","",INDEX('Per Invoice'!T$2:T$801,$W289)))</f>
        <v/>
      </c>
      <c r="U289" s="7">
        <f>IF($W289="","",IF(INDEX('Per Invoice'!U$2:U$801,$W289)="","",INDEX('Per Invoice'!U$2:U$801,$W289)))</f>
        <v/>
      </c>
      <c r="V289" s="7">
        <f>IF($W289="","",IF(INDEX('Per Invoice'!V$2:V$801,$W289)="","",INDEX('Per Invoice'!V$2:V$801,$W289)))</f>
        <v/>
      </c>
      <c r="W289" s="16">
        <f>IFERROR(MATCH(Settings!$C$32&amp;"|"&amp;ROWS($W$2:$W289),'Per Invoice'!$X$2:$X$801,0),"")</f>
        <v/>
      </c>
    </row>
    <row r="290">
      <c r="A290">
        <f>IF($W290="","",IF(INDEX('Per Invoice'!A$2:A$801,$W290)="","",INDEX('Per Invoice'!A$2:A$801,$W290)))</f>
        <v/>
      </c>
      <c r="B290">
        <f>IF($W290="","",IF(INDEX('Per Invoice'!B$2:B$801,$W290)="","",INDEX('Per Invoice'!B$2:B$801,$W290)))</f>
        <v/>
      </c>
      <c r="C290">
        <f>IF($W290="","",IF(INDEX('Per Invoice'!C$2:C$801,$W290)="","",INDEX('Per Invoice'!C$2:C$801,$W290)))</f>
        <v/>
      </c>
      <c r="D290">
        <f>IF($W290="","",IF(INDEX('Per Invoice'!D$2:D$801,$W290)="","",INDEX('Per Invoice'!D$2:D$801,$W290)))</f>
        <v/>
      </c>
      <c r="E290">
        <f>IF($W290="","",IF(INDEX('Per Invoice'!E$2:E$801,$W290)="","",INDEX('Per Invoice'!E$2:E$801,$W290)))</f>
        <v/>
      </c>
      <c r="F290">
        <f>IF($W290="","",IF(INDEX('Per Invoice'!F$2:F$801,$W290)="","",INDEX('Per Invoice'!F$2:F$801,$W290)))</f>
        <v/>
      </c>
      <c r="G290">
        <f>IF($W290="","",IF(INDEX('Per Invoice'!G$2:G$801,$W290)="","",INDEX('Per Invoice'!G$2:G$801,$W290)))</f>
        <v/>
      </c>
      <c r="H290">
        <f>IF($W290="","",IF(INDEX('Per Invoice'!H$2:H$801,$W290)="","",INDEX('Per Invoice'!H$2:H$801,$W290)))</f>
        <v/>
      </c>
      <c r="I290">
        <f>IF($W290="","",IF(INDEX('Per Invoice'!I$2:I$801,$W290)="","",INDEX('Per Invoice'!I$2:I$801,$W290)))</f>
        <v/>
      </c>
      <c r="J290">
        <f>IF($W290="","",IF(INDEX('Per Invoice'!J$2:J$801,$W290)="","",INDEX('Per Invoice'!J$2:J$801,$W290)))</f>
        <v/>
      </c>
      <c r="K290" s="7">
        <f>IF($W290="","",IF(INDEX('Per Invoice'!K$2:K$801,$W290)="","",INDEX('Per Invoice'!K$2:K$801,$W290)))</f>
        <v/>
      </c>
      <c r="L290" s="14">
        <f>IF($W290="","",IF(INDEX('Per Invoice'!L$2:L$801,$W290)="","",INDEX('Per Invoice'!L$2:L$801,$W290)))</f>
        <v/>
      </c>
      <c r="M290">
        <f>IF($W290="","",IF(INDEX('Per Invoice'!M$2:M$801,$W290)="","",INDEX('Per Invoice'!M$2:M$801,$W290)))</f>
        <v/>
      </c>
      <c r="N290" s="7">
        <f>IF($W290="","",IF(INDEX('Per Invoice'!N$2:N$801,$W290)="","",INDEX('Per Invoice'!N$2:N$801,$W290)))</f>
        <v/>
      </c>
      <c r="O290" s="7">
        <f>IF($W290="","",IF(INDEX('Per Invoice'!O$2:O$801,$W290)="","",INDEX('Per Invoice'!O$2:O$801,$W290)))</f>
        <v/>
      </c>
      <c r="P290">
        <f>IF($W290="","",IF(INDEX('Per Invoice'!P$2:P$801,$W290)="","",INDEX('Per Invoice'!P$2:P$801,$W290)))</f>
        <v/>
      </c>
      <c r="Q290" s="7">
        <f>IF($W290="","",IF(INDEX('Per Invoice'!Q$2:Q$801,$W290)="","",INDEX('Per Invoice'!Q$2:Q$801,$W290)))</f>
        <v/>
      </c>
      <c r="R290" s="7">
        <f>IF($W290="","",IF(INDEX('Per Invoice'!R$2:R$801,$W290)="","",INDEX('Per Invoice'!R$2:R$801,$W290)))</f>
        <v/>
      </c>
      <c r="S290" s="7">
        <f>IF($W290="","",IF(INDEX('Per Invoice'!S$2:S$801,$W290)="","",INDEX('Per Invoice'!S$2:S$801,$W290)))</f>
        <v/>
      </c>
      <c r="T290" s="7">
        <f>IF($W290="","",IF(INDEX('Per Invoice'!T$2:T$801,$W290)="","",INDEX('Per Invoice'!T$2:T$801,$W290)))</f>
        <v/>
      </c>
      <c r="U290" s="7">
        <f>IF($W290="","",IF(INDEX('Per Invoice'!U$2:U$801,$W290)="","",INDEX('Per Invoice'!U$2:U$801,$W290)))</f>
        <v/>
      </c>
      <c r="V290" s="7">
        <f>IF($W290="","",IF(INDEX('Per Invoice'!V$2:V$801,$W290)="","",INDEX('Per Invoice'!V$2:V$801,$W290)))</f>
        <v/>
      </c>
      <c r="W290" s="16">
        <f>IFERROR(MATCH(Settings!$C$32&amp;"|"&amp;ROWS($W$2:$W290),'Per Invoice'!$X$2:$X$801,0),"")</f>
        <v/>
      </c>
    </row>
    <row r="291">
      <c r="A291">
        <f>IF($W291="","",IF(INDEX('Per Invoice'!A$2:A$801,$W291)="","",INDEX('Per Invoice'!A$2:A$801,$W291)))</f>
        <v/>
      </c>
      <c r="B291">
        <f>IF($W291="","",IF(INDEX('Per Invoice'!B$2:B$801,$W291)="","",INDEX('Per Invoice'!B$2:B$801,$W291)))</f>
        <v/>
      </c>
      <c r="C291">
        <f>IF($W291="","",IF(INDEX('Per Invoice'!C$2:C$801,$W291)="","",INDEX('Per Invoice'!C$2:C$801,$W291)))</f>
        <v/>
      </c>
      <c r="D291">
        <f>IF($W291="","",IF(INDEX('Per Invoice'!D$2:D$801,$W291)="","",INDEX('Per Invoice'!D$2:D$801,$W291)))</f>
        <v/>
      </c>
      <c r="E291">
        <f>IF($W291="","",IF(INDEX('Per Invoice'!E$2:E$801,$W291)="","",INDEX('Per Invoice'!E$2:E$801,$W291)))</f>
        <v/>
      </c>
      <c r="F291">
        <f>IF($W291="","",IF(INDEX('Per Invoice'!F$2:F$801,$W291)="","",INDEX('Per Invoice'!F$2:F$801,$W291)))</f>
        <v/>
      </c>
      <c r="G291">
        <f>IF($W291="","",IF(INDEX('Per Invoice'!G$2:G$801,$W291)="","",INDEX('Per Invoice'!G$2:G$801,$W291)))</f>
        <v/>
      </c>
      <c r="H291">
        <f>IF($W291="","",IF(INDEX('Per Invoice'!H$2:H$801,$W291)="","",INDEX('Per Invoice'!H$2:H$801,$W291)))</f>
        <v/>
      </c>
      <c r="I291">
        <f>IF($W291="","",IF(INDEX('Per Invoice'!I$2:I$801,$W291)="","",INDEX('Per Invoice'!I$2:I$801,$W291)))</f>
        <v/>
      </c>
      <c r="J291">
        <f>IF($W291="","",IF(INDEX('Per Invoice'!J$2:J$801,$W291)="","",INDEX('Per Invoice'!J$2:J$801,$W291)))</f>
        <v/>
      </c>
      <c r="K291" s="7">
        <f>IF($W291="","",IF(INDEX('Per Invoice'!K$2:K$801,$W291)="","",INDEX('Per Invoice'!K$2:K$801,$W291)))</f>
        <v/>
      </c>
      <c r="L291" s="14">
        <f>IF($W291="","",IF(INDEX('Per Invoice'!L$2:L$801,$W291)="","",INDEX('Per Invoice'!L$2:L$801,$W291)))</f>
        <v/>
      </c>
      <c r="M291">
        <f>IF($W291="","",IF(INDEX('Per Invoice'!M$2:M$801,$W291)="","",INDEX('Per Invoice'!M$2:M$801,$W291)))</f>
        <v/>
      </c>
      <c r="N291" s="7">
        <f>IF($W291="","",IF(INDEX('Per Invoice'!N$2:N$801,$W291)="","",INDEX('Per Invoice'!N$2:N$801,$W291)))</f>
        <v/>
      </c>
      <c r="O291" s="7">
        <f>IF($W291="","",IF(INDEX('Per Invoice'!O$2:O$801,$W291)="","",INDEX('Per Invoice'!O$2:O$801,$W291)))</f>
        <v/>
      </c>
      <c r="P291">
        <f>IF($W291="","",IF(INDEX('Per Invoice'!P$2:P$801,$W291)="","",INDEX('Per Invoice'!P$2:P$801,$W291)))</f>
        <v/>
      </c>
      <c r="Q291" s="7">
        <f>IF($W291="","",IF(INDEX('Per Invoice'!Q$2:Q$801,$W291)="","",INDEX('Per Invoice'!Q$2:Q$801,$W291)))</f>
        <v/>
      </c>
      <c r="R291" s="7">
        <f>IF($W291="","",IF(INDEX('Per Invoice'!R$2:R$801,$W291)="","",INDEX('Per Invoice'!R$2:R$801,$W291)))</f>
        <v/>
      </c>
      <c r="S291" s="7">
        <f>IF($W291="","",IF(INDEX('Per Invoice'!S$2:S$801,$W291)="","",INDEX('Per Invoice'!S$2:S$801,$W291)))</f>
        <v/>
      </c>
      <c r="T291" s="7">
        <f>IF($W291="","",IF(INDEX('Per Invoice'!T$2:T$801,$W291)="","",INDEX('Per Invoice'!T$2:T$801,$W291)))</f>
        <v/>
      </c>
      <c r="U291" s="7">
        <f>IF($W291="","",IF(INDEX('Per Invoice'!U$2:U$801,$W291)="","",INDEX('Per Invoice'!U$2:U$801,$W291)))</f>
        <v/>
      </c>
      <c r="V291" s="7">
        <f>IF($W291="","",IF(INDEX('Per Invoice'!V$2:V$801,$W291)="","",INDEX('Per Invoice'!V$2:V$801,$W291)))</f>
        <v/>
      </c>
      <c r="W291" s="16">
        <f>IFERROR(MATCH(Settings!$C$32&amp;"|"&amp;ROWS($W$2:$W291),'Per Invoice'!$X$2:$X$801,0),"")</f>
        <v/>
      </c>
    </row>
    <row r="292">
      <c r="A292">
        <f>IF($W292="","",IF(INDEX('Per Invoice'!A$2:A$801,$W292)="","",INDEX('Per Invoice'!A$2:A$801,$W292)))</f>
        <v/>
      </c>
      <c r="B292">
        <f>IF($W292="","",IF(INDEX('Per Invoice'!B$2:B$801,$W292)="","",INDEX('Per Invoice'!B$2:B$801,$W292)))</f>
        <v/>
      </c>
      <c r="C292">
        <f>IF($W292="","",IF(INDEX('Per Invoice'!C$2:C$801,$W292)="","",INDEX('Per Invoice'!C$2:C$801,$W292)))</f>
        <v/>
      </c>
      <c r="D292">
        <f>IF($W292="","",IF(INDEX('Per Invoice'!D$2:D$801,$W292)="","",INDEX('Per Invoice'!D$2:D$801,$W292)))</f>
        <v/>
      </c>
      <c r="E292">
        <f>IF($W292="","",IF(INDEX('Per Invoice'!E$2:E$801,$W292)="","",INDEX('Per Invoice'!E$2:E$801,$W292)))</f>
        <v/>
      </c>
      <c r="F292">
        <f>IF($W292="","",IF(INDEX('Per Invoice'!F$2:F$801,$W292)="","",INDEX('Per Invoice'!F$2:F$801,$W292)))</f>
        <v/>
      </c>
      <c r="G292">
        <f>IF($W292="","",IF(INDEX('Per Invoice'!G$2:G$801,$W292)="","",INDEX('Per Invoice'!G$2:G$801,$W292)))</f>
        <v/>
      </c>
      <c r="H292">
        <f>IF($W292="","",IF(INDEX('Per Invoice'!H$2:H$801,$W292)="","",INDEX('Per Invoice'!H$2:H$801,$W292)))</f>
        <v/>
      </c>
      <c r="I292">
        <f>IF($W292="","",IF(INDEX('Per Invoice'!I$2:I$801,$W292)="","",INDEX('Per Invoice'!I$2:I$801,$W292)))</f>
        <v/>
      </c>
      <c r="J292">
        <f>IF($W292="","",IF(INDEX('Per Invoice'!J$2:J$801,$W292)="","",INDEX('Per Invoice'!J$2:J$801,$W292)))</f>
        <v/>
      </c>
      <c r="K292" s="7">
        <f>IF($W292="","",IF(INDEX('Per Invoice'!K$2:K$801,$W292)="","",INDEX('Per Invoice'!K$2:K$801,$W292)))</f>
        <v/>
      </c>
      <c r="L292" s="14">
        <f>IF($W292="","",IF(INDEX('Per Invoice'!L$2:L$801,$W292)="","",INDEX('Per Invoice'!L$2:L$801,$W292)))</f>
        <v/>
      </c>
      <c r="M292">
        <f>IF($W292="","",IF(INDEX('Per Invoice'!M$2:M$801,$W292)="","",INDEX('Per Invoice'!M$2:M$801,$W292)))</f>
        <v/>
      </c>
      <c r="N292" s="7">
        <f>IF($W292="","",IF(INDEX('Per Invoice'!N$2:N$801,$W292)="","",INDEX('Per Invoice'!N$2:N$801,$W292)))</f>
        <v/>
      </c>
      <c r="O292" s="7">
        <f>IF($W292="","",IF(INDEX('Per Invoice'!O$2:O$801,$W292)="","",INDEX('Per Invoice'!O$2:O$801,$W292)))</f>
        <v/>
      </c>
      <c r="P292">
        <f>IF($W292="","",IF(INDEX('Per Invoice'!P$2:P$801,$W292)="","",INDEX('Per Invoice'!P$2:P$801,$W292)))</f>
        <v/>
      </c>
      <c r="Q292" s="7">
        <f>IF($W292="","",IF(INDEX('Per Invoice'!Q$2:Q$801,$W292)="","",INDEX('Per Invoice'!Q$2:Q$801,$W292)))</f>
        <v/>
      </c>
      <c r="R292" s="7">
        <f>IF($W292="","",IF(INDEX('Per Invoice'!R$2:R$801,$W292)="","",INDEX('Per Invoice'!R$2:R$801,$W292)))</f>
        <v/>
      </c>
      <c r="S292" s="7">
        <f>IF($W292="","",IF(INDEX('Per Invoice'!S$2:S$801,$W292)="","",INDEX('Per Invoice'!S$2:S$801,$W292)))</f>
        <v/>
      </c>
      <c r="T292" s="7">
        <f>IF($W292="","",IF(INDEX('Per Invoice'!T$2:T$801,$W292)="","",INDEX('Per Invoice'!T$2:T$801,$W292)))</f>
        <v/>
      </c>
      <c r="U292" s="7">
        <f>IF($W292="","",IF(INDEX('Per Invoice'!U$2:U$801,$W292)="","",INDEX('Per Invoice'!U$2:U$801,$W292)))</f>
        <v/>
      </c>
      <c r="V292" s="7">
        <f>IF($W292="","",IF(INDEX('Per Invoice'!V$2:V$801,$W292)="","",INDEX('Per Invoice'!V$2:V$801,$W292)))</f>
        <v/>
      </c>
      <c r="W292" s="16">
        <f>IFERROR(MATCH(Settings!$C$32&amp;"|"&amp;ROWS($W$2:$W292),'Per Invoice'!$X$2:$X$801,0),"")</f>
        <v/>
      </c>
    </row>
    <row r="293">
      <c r="A293">
        <f>IF($W293="","",IF(INDEX('Per Invoice'!A$2:A$801,$W293)="","",INDEX('Per Invoice'!A$2:A$801,$W293)))</f>
        <v/>
      </c>
      <c r="B293">
        <f>IF($W293="","",IF(INDEX('Per Invoice'!B$2:B$801,$W293)="","",INDEX('Per Invoice'!B$2:B$801,$W293)))</f>
        <v/>
      </c>
      <c r="C293">
        <f>IF($W293="","",IF(INDEX('Per Invoice'!C$2:C$801,$W293)="","",INDEX('Per Invoice'!C$2:C$801,$W293)))</f>
        <v/>
      </c>
      <c r="D293">
        <f>IF($W293="","",IF(INDEX('Per Invoice'!D$2:D$801,$W293)="","",INDEX('Per Invoice'!D$2:D$801,$W293)))</f>
        <v/>
      </c>
      <c r="E293">
        <f>IF($W293="","",IF(INDEX('Per Invoice'!E$2:E$801,$W293)="","",INDEX('Per Invoice'!E$2:E$801,$W293)))</f>
        <v/>
      </c>
      <c r="F293">
        <f>IF($W293="","",IF(INDEX('Per Invoice'!F$2:F$801,$W293)="","",INDEX('Per Invoice'!F$2:F$801,$W293)))</f>
        <v/>
      </c>
      <c r="G293">
        <f>IF($W293="","",IF(INDEX('Per Invoice'!G$2:G$801,$W293)="","",INDEX('Per Invoice'!G$2:G$801,$W293)))</f>
        <v/>
      </c>
      <c r="H293">
        <f>IF($W293="","",IF(INDEX('Per Invoice'!H$2:H$801,$W293)="","",INDEX('Per Invoice'!H$2:H$801,$W293)))</f>
        <v/>
      </c>
      <c r="I293">
        <f>IF($W293="","",IF(INDEX('Per Invoice'!I$2:I$801,$W293)="","",INDEX('Per Invoice'!I$2:I$801,$W293)))</f>
        <v/>
      </c>
      <c r="J293">
        <f>IF($W293="","",IF(INDEX('Per Invoice'!J$2:J$801,$W293)="","",INDEX('Per Invoice'!J$2:J$801,$W293)))</f>
        <v/>
      </c>
      <c r="K293" s="7">
        <f>IF($W293="","",IF(INDEX('Per Invoice'!K$2:K$801,$W293)="","",INDEX('Per Invoice'!K$2:K$801,$W293)))</f>
        <v/>
      </c>
      <c r="L293" s="14">
        <f>IF($W293="","",IF(INDEX('Per Invoice'!L$2:L$801,$W293)="","",INDEX('Per Invoice'!L$2:L$801,$W293)))</f>
        <v/>
      </c>
      <c r="M293">
        <f>IF($W293="","",IF(INDEX('Per Invoice'!M$2:M$801,$W293)="","",INDEX('Per Invoice'!M$2:M$801,$W293)))</f>
        <v/>
      </c>
      <c r="N293" s="7">
        <f>IF($W293="","",IF(INDEX('Per Invoice'!N$2:N$801,$W293)="","",INDEX('Per Invoice'!N$2:N$801,$W293)))</f>
        <v/>
      </c>
      <c r="O293" s="7">
        <f>IF($W293="","",IF(INDEX('Per Invoice'!O$2:O$801,$W293)="","",INDEX('Per Invoice'!O$2:O$801,$W293)))</f>
        <v/>
      </c>
      <c r="P293">
        <f>IF($W293="","",IF(INDEX('Per Invoice'!P$2:P$801,$W293)="","",INDEX('Per Invoice'!P$2:P$801,$W293)))</f>
        <v/>
      </c>
      <c r="Q293" s="7">
        <f>IF($W293="","",IF(INDEX('Per Invoice'!Q$2:Q$801,$W293)="","",INDEX('Per Invoice'!Q$2:Q$801,$W293)))</f>
        <v/>
      </c>
      <c r="R293" s="7">
        <f>IF($W293="","",IF(INDEX('Per Invoice'!R$2:R$801,$W293)="","",INDEX('Per Invoice'!R$2:R$801,$W293)))</f>
        <v/>
      </c>
      <c r="S293" s="7">
        <f>IF($W293="","",IF(INDEX('Per Invoice'!S$2:S$801,$W293)="","",INDEX('Per Invoice'!S$2:S$801,$W293)))</f>
        <v/>
      </c>
      <c r="T293" s="7">
        <f>IF($W293="","",IF(INDEX('Per Invoice'!T$2:T$801,$W293)="","",INDEX('Per Invoice'!T$2:T$801,$W293)))</f>
        <v/>
      </c>
      <c r="U293" s="7">
        <f>IF($W293="","",IF(INDEX('Per Invoice'!U$2:U$801,$W293)="","",INDEX('Per Invoice'!U$2:U$801,$W293)))</f>
        <v/>
      </c>
      <c r="V293" s="7">
        <f>IF($W293="","",IF(INDEX('Per Invoice'!V$2:V$801,$W293)="","",INDEX('Per Invoice'!V$2:V$801,$W293)))</f>
        <v/>
      </c>
      <c r="W293" s="16">
        <f>IFERROR(MATCH(Settings!$C$32&amp;"|"&amp;ROWS($W$2:$W293),'Per Invoice'!$X$2:$X$801,0),"")</f>
        <v/>
      </c>
    </row>
    <row r="294">
      <c r="A294">
        <f>IF($W294="","",IF(INDEX('Per Invoice'!A$2:A$801,$W294)="","",INDEX('Per Invoice'!A$2:A$801,$W294)))</f>
        <v/>
      </c>
      <c r="B294">
        <f>IF($W294="","",IF(INDEX('Per Invoice'!B$2:B$801,$W294)="","",INDEX('Per Invoice'!B$2:B$801,$W294)))</f>
        <v/>
      </c>
      <c r="C294">
        <f>IF($W294="","",IF(INDEX('Per Invoice'!C$2:C$801,$W294)="","",INDEX('Per Invoice'!C$2:C$801,$W294)))</f>
        <v/>
      </c>
      <c r="D294">
        <f>IF($W294="","",IF(INDEX('Per Invoice'!D$2:D$801,$W294)="","",INDEX('Per Invoice'!D$2:D$801,$W294)))</f>
        <v/>
      </c>
      <c r="E294">
        <f>IF($W294="","",IF(INDEX('Per Invoice'!E$2:E$801,$W294)="","",INDEX('Per Invoice'!E$2:E$801,$W294)))</f>
        <v/>
      </c>
      <c r="F294">
        <f>IF($W294="","",IF(INDEX('Per Invoice'!F$2:F$801,$W294)="","",INDEX('Per Invoice'!F$2:F$801,$W294)))</f>
        <v/>
      </c>
      <c r="G294">
        <f>IF($W294="","",IF(INDEX('Per Invoice'!G$2:G$801,$W294)="","",INDEX('Per Invoice'!G$2:G$801,$W294)))</f>
        <v/>
      </c>
      <c r="H294">
        <f>IF($W294="","",IF(INDEX('Per Invoice'!H$2:H$801,$W294)="","",INDEX('Per Invoice'!H$2:H$801,$W294)))</f>
        <v/>
      </c>
      <c r="I294">
        <f>IF($W294="","",IF(INDEX('Per Invoice'!I$2:I$801,$W294)="","",INDEX('Per Invoice'!I$2:I$801,$W294)))</f>
        <v/>
      </c>
      <c r="J294">
        <f>IF($W294="","",IF(INDEX('Per Invoice'!J$2:J$801,$W294)="","",INDEX('Per Invoice'!J$2:J$801,$W294)))</f>
        <v/>
      </c>
      <c r="K294" s="7">
        <f>IF($W294="","",IF(INDEX('Per Invoice'!K$2:K$801,$W294)="","",INDEX('Per Invoice'!K$2:K$801,$W294)))</f>
        <v/>
      </c>
      <c r="L294" s="14">
        <f>IF($W294="","",IF(INDEX('Per Invoice'!L$2:L$801,$W294)="","",INDEX('Per Invoice'!L$2:L$801,$W294)))</f>
        <v/>
      </c>
      <c r="M294">
        <f>IF($W294="","",IF(INDEX('Per Invoice'!M$2:M$801,$W294)="","",INDEX('Per Invoice'!M$2:M$801,$W294)))</f>
        <v/>
      </c>
      <c r="N294" s="7">
        <f>IF($W294="","",IF(INDEX('Per Invoice'!N$2:N$801,$W294)="","",INDEX('Per Invoice'!N$2:N$801,$W294)))</f>
        <v/>
      </c>
      <c r="O294" s="7">
        <f>IF($W294="","",IF(INDEX('Per Invoice'!O$2:O$801,$W294)="","",INDEX('Per Invoice'!O$2:O$801,$W294)))</f>
        <v/>
      </c>
      <c r="P294">
        <f>IF($W294="","",IF(INDEX('Per Invoice'!P$2:P$801,$W294)="","",INDEX('Per Invoice'!P$2:P$801,$W294)))</f>
        <v/>
      </c>
      <c r="Q294" s="7">
        <f>IF($W294="","",IF(INDEX('Per Invoice'!Q$2:Q$801,$W294)="","",INDEX('Per Invoice'!Q$2:Q$801,$W294)))</f>
        <v/>
      </c>
      <c r="R294" s="7">
        <f>IF($W294="","",IF(INDEX('Per Invoice'!R$2:R$801,$W294)="","",INDEX('Per Invoice'!R$2:R$801,$W294)))</f>
        <v/>
      </c>
      <c r="S294" s="7">
        <f>IF($W294="","",IF(INDEX('Per Invoice'!S$2:S$801,$W294)="","",INDEX('Per Invoice'!S$2:S$801,$W294)))</f>
        <v/>
      </c>
      <c r="T294" s="7">
        <f>IF($W294="","",IF(INDEX('Per Invoice'!T$2:T$801,$W294)="","",INDEX('Per Invoice'!T$2:T$801,$W294)))</f>
        <v/>
      </c>
      <c r="U294" s="7">
        <f>IF($W294="","",IF(INDEX('Per Invoice'!U$2:U$801,$W294)="","",INDEX('Per Invoice'!U$2:U$801,$W294)))</f>
        <v/>
      </c>
      <c r="V294" s="7">
        <f>IF($W294="","",IF(INDEX('Per Invoice'!V$2:V$801,$W294)="","",INDEX('Per Invoice'!V$2:V$801,$W294)))</f>
        <v/>
      </c>
      <c r="W294" s="16">
        <f>IFERROR(MATCH(Settings!$C$32&amp;"|"&amp;ROWS($W$2:$W294),'Per Invoice'!$X$2:$X$801,0),"")</f>
        <v/>
      </c>
    </row>
    <row r="295">
      <c r="A295">
        <f>IF($W295="","",IF(INDEX('Per Invoice'!A$2:A$801,$W295)="","",INDEX('Per Invoice'!A$2:A$801,$W295)))</f>
        <v/>
      </c>
      <c r="B295">
        <f>IF($W295="","",IF(INDEX('Per Invoice'!B$2:B$801,$W295)="","",INDEX('Per Invoice'!B$2:B$801,$W295)))</f>
        <v/>
      </c>
      <c r="C295">
        <f>IF($W295="","",IF(INDEX('Per Invoice'!C$2:C$801,$W295)="","",INDEX('Per Invoice'!C$2:C$801,$W295)))</f>
        <v/>
      </c>
      <c r="D295">
        <f>IF($W295="","",IF(INDEX('Per Invoice'!D$2:D$801,$W295)="","",INDEX('Per Invoice'!D$2:D$801,$W295)))</f>
        <v/>
      </c>
      <c r="E295">
        <f>IF($W295="","",IF(INDEX('Per Invoice'!E$2:E$801,$W295)="","",INDEX('Per Invoice'!E$2:E$801,$W295)))</f>
        <v/>
      </c>
      <c r="F295">
        <f>IF($W295="","",IF(INDEX('Per Invoice'!F$2:F$801,$W295)="","",INDEX('Per Invoice'!F$2:F$801,$W295)))</f>
        <v/>
      </c>
      <c r="G295">
        <f>IF($W295="","",IF(INDEX('Per Invoice'!G$2:G$801,$W295)="","",INDEX('Per Invoice'!G$2:G$801,$W295)))</f>
        <v/>
      </c>
      <c r="H295">
        <f>IF($W295="","",IF(INDEX('Per Invoice'!H$2:H$801,$W295)="","",INDEX('Per Invoice'!H$2:H$801,$W295)))</f>
        <v/>
      </c>
      <c r="I295">
        <f>IF($W295="","",IF(INDEX('Per Invoice'!I$2:I$801,$W295)="","",INDEX('Per Invoice'!I$2:I$801,$W295)))</f>
        <v/>
      </c>
      <c r="J295">
        <f>IF($W295="","",IF(INDEX('Per Invoice'!J$2:J$801,$W295)="","",INDEX('Per Invoice'!J$2:J$801,$W295)))</f>
        <v/>
      </c>
      <c r="K295" s="7">
        <f>IF($W295="","",IF(INDEX('Per Invoice'!K$2:K$801,$W295)="","",INDEX('Per Invoice'!K$2:K$801,$W295)))</f>
        <v/>
      </c>
      <c r="L295" s="14">
        <f>IF($W295="","",IF(INDEX('Per Invoice'!L$2:L$801,$W295)="","",INDEX('Per Invoice'!L$2:L$801,$W295)))</f>
        <v/>
      </c>
      <c r="M295">
        <f>IF($W295="","",IF(INDEX('Per Invoice'!M$2:M$801,$W295)="","",INDEX('Per Invoice'!M$2:M$801,$W295)))</f>
        <v/>
      </c>
      <c r="N295" s="7">
        <f>IF($W295="","",IF(INDEX('Per Invoice'!N$2:N$801,$W295)="","",INDEX('Per Invoice'!N$2:N$801,$W295)))</f>
        <v/>
      </c>
      <c r="O295" s="7">
        <f>IF($W295="","",IF(INDEX('Per Invoice'!O$2:O$801,$W295)="","",INDEX('Per Invoice'!O$2:O$801,$W295)))</f>
        <v/>
      </c>
      <c r="P295">
        <f>IF($W295="","",IF(INDEX('Per Invoice'!P$2:P$801,$W295)="","",INDEX('Per Invoice'!P$2:P$801,$W295)))</f>
        <v/>
      </c>
      <c r="Q295" s="7">
        <f>IF($W295="","",IF(INDEX('Per Invoice'!Q$2:Q$801,$W295)="","",INDEX('Per Invoice'!Q$2:Q$801,$W295)))</f>
        <v/>
      </c>
      <c r="R295" s="7">
        <f>IF($W295="","",IF(INDEX('Per Invoice'!R$2:R$801,$W295)="","",INDEX('Per Invoice'!R$2:R$801,$W295)))</f>
        <v/>
      </c>
      <c r="S295" s="7">
        <f>IF($W295="","",IF(INDEX('Per Invoice'!S$2:S$801,$W295)="","",INDEX('Per Invoice'!S$2:S$801,$W295)))</f>
        <v/>
      </c>
      <c r="T295" s="7">
        <f>IF($W295="","",IF(INDEX('Per Invoice'!T$2:T$801,$W295)="","",INDEX('Per Invoice'!T$2:T$801,$W295)))</f>
        <v/>
      </c>
      <c r="U295" s="7">
        <f>IF($W295="","",IF(INDEX('Per Invoice'!U$2:U$801,$W295)="","",INDEX('Per Invoice'!U$2:U$801,$W295)))</f>
        <v/>
      </c>
      <c r="V295" s="7">
        <f>IF($W295="","",IF(INDEX('Per Invoice'!V$2:V$801,$W295)="","",INDEX('Per Invoice'!V$2:V$801,$W295)))</f>
        <v/>
      </c>
      <c r="W295" s="16">
        <f>IFERROR(MATCH(Settings!$C$32&amp;"|"&amp;ROWS($W$2:$W295),'Per Invoice'!$X$2:$X$801,0),"")</f>
        <v/>
      </c>
    </row>
    <row r="296">
      <c r="A296">
        <f>IF($W296="","",IF(INDEX('Per Invoice'!A$2:A$801,$W296)="","",INDEX('Per Invoice'!A$2:A$801,$W296)))</f>
        <v/>
      </c>
      <c r="B296">
        <f>IF($W296="","",IF(INDEX('Per Invoice'!B$2:B$801,$W296)="","",INDEX('Per Invoice'!B$2:B$801,$W296)))</f>
        <v/>
      </c>
      <c r="C296">
        <f>IF($W296="","",IF(INDEX('Per Invoice'!C$2:C$801,$W296)="","",INDEX('Per Invoice'!C$2:C$801,$W296)))</f>
        <v/>
      </c>
      <c r="D296">
        <f>IF($W296="","",IF(INDEX('Per Invoice'!D$2:D$801,$W296)="","",INDEX('Per Invoice'!D$2:D$801,$W296)))</f>
        <v/>
      </c>
      <c r="E296">
        <f>IF($W296="","",IF(INDEX('Per Invoice'!E$2:E$801,$W296)="","",INDEX('Per Invoice'!E$2:E$801,$W296)))</f>
        <v/>
      </c>
      <c r="F296">
        <f>IF($W296="","",IF(INDEX('Per Invoice'!F$2:F$801,$W296)="","",INDEX('Per Invoice'!F$2:F$801,$W296)))</f>
        <v/>
      </c>
      <c r="G296">
        <f>IF($W296="","",IF(INDEX('Per Invoice'!G$2:G$801,$W296)="","",INDEX('Per Invoice'!G$2:G$801,$W296)))</f>
        <v/>
      </c>
      <c r="H296">
        <f>IF($W296="","",IF(INDEX('Per Invoice'!H$2:H$801,$W296)="","",INDEX('Per Invoice'!H$2:H$801,$W296)))</f>
        <v/>
      </c>
      <c r="I296">
        <f>IF($W296="","",IF(INDEX('Per Invoice'!I$2:I$801,$W296)="","",INDEX('Per Invoice'!I$2:I$801,$W296)))</f>
        <v/>
      </c>
      <c r="J296">
        <f>IF($W296="","",IF(INDEX('Per Invoice'!J$2:J$801,$W296)="","",INDEX('Per Invoice'!J$2:J$801,$W296)))</f>
        <v/>
      </c>
      <c r="K296" s="7">
        <f>IF($W296="","",IF(INDEX('Per Invoice'!K$2:K$801,$W296)="","",INDEX('Per Invoice'!K$2:K$801,$W296)))</f>
        <v/>
      </c>
      <c r="L296" s="14">
        <f>IF($W296="","",IF(INDEX('Per Invoice'!L$2:L$801,$W296)="","",INDEX('Per Invoice'!L$2:L$801,$W296)))</f>
        <v/>
      </c>
      <c r="M296">
        <f>IF($W296="","",IF(INDEX('Per Invoice'!M$2:M$801,$W296)="","",INDEX('Per Invoice'!M$2:M$801,$W296)))</f>
        <v/>
      </c>
      <c r="N296" s="7">
        <f>IF($W296="","",IF(INDEX('Per Invoice'!N$2:N$801,$W296)="","",INDEX('Per Invoice'!N$2:N$801,$W296)))</f>
        <v/>
      </c>
      <c r="O296" s="7">
        <f>IF($W296="","",IF(INDEX('Per Invoice'!O$2:O$801,$W296)="","",INDEX('Per Invoice'!O$2:O$801,$W296)))</f>
        <v/>
      </c>
      <c r="P296">
        <f>IF($W296="","",IF(INDEX('Per Invoice'!P$2:P$801,$W296)="","",INDEX('Per Invoice'!P$2:P$801,$W296)))</f>
        <v/>
      </c>
      <c r="Q296" s="7">
        <f>IF($W296="","",IF(INDEX('Per Invoice'!Q$2:Q$801,$W296)="","",INDEX('Per Invoice'!Q$2:Q$801,$W296)))</f>
        <v/>
      </c>
      <c r="R296" s="7">
        <f>IF($W296="","",IF(INDEX('Per Invoice'!R$2:R$801,$W296)="","",INDEX('Per Invoice'!R$2:R$801,$W296)))</f>
        <v/>
      </c>
      <c r="S296" s="7">
        <f>IF($W296="","",IF(INDEX('Per Invoice'!S$2:S$801,$W296)="","",INDEX('Per Invoice'!S$2:S$801,$W296)))</f>
        <v/>
      </c>
      <c r="T296" s="7">
        <f>IF($W296="","",IF(INDEX('Per Invoice'!T$2:T$801,$W296)="","",INDEX('Per Invoice'!T$2:T$801,$W296)))</f>
        <v/>
      </c>
      <c r="U296" s="7">
        <f>IF($W296="","",IF(INDEX('Per Invoice'!U$2:U$801,$W296)="","",INDEX('Per Invoice'!U$2:U$801,$W296)))</f>
        <v/>
      </c>
      <c r="V296" s="7">
        <f>IF($W296="","",IF(INDEX('Per Invoice'!V$2:V$801,$W296)="","",INDEX('Per Invoice'!V$2:V$801,$W296)))</f>
        <v/>
      </c>
      <c r="W296" s="16">
        <f>IFERROR(MATCH(Settings!$C$32&amp;"|"&amp;ROWS($W$2:$W296),'Per Invoice'!$X$2:$X$801,0),"")</f>
        <v/>
      </c>
    </row>
    <row r="297">
      <c r="A297">
        <f>IF($W297="","",IF(INDEX('Per Invoice'!A$2:A$801,$W297)="","",INDEX('Per Invoice'!A$2:A$801,$W297)))</f>
        <v/>
      </c>
      <c r="B297">
        <f>IF($W297="","",IF(INDEX('Per Invoice'!B$2:B$801,$W297)="","",INDEX('Per Invoice'!B$2:B$801,$W297)))</f>
        <v/>
      </c>
      <c r="C297">
        <f>IF($W297="","",IF(INDEX('Per Invoice'!C$2:C$801,$W297)="","",INDEX('Per Invoice'!C$2:C$801,$W297)))</f>
        <v/>
      </c>
      <c r="D297">
        <f>IF($W297="","",IF(INDEX('Per Invoice'!D$2:D$801,$W297)="","",INDEX('Per Invoice'!D$2:D$801,$W297)))</f>
        <v/>
      </c>
      <c r="E297">
        <f>IF($W297="","",IF(INDEX('Per Invoice'!E$2:E$801,$W297)="","",INDEX('Per Invoice'!E$2:E$801,$W297)))</f>
        <v/>
      </c>
      <c r="F297">
        <f>IF($W297="","",IF(INDEX('Per Invoice'!F$2:F$801,$W297)="","",INDEX('Per Invoice'!F$2:F$801,$W297)))</f>
        <v/>
      </c>
      <c r="G297">
        <f>IF($W297="","",IF(INDEX('Per Invoice'!G$2:G$801,$W297)="","",INDEX('Per Invoice'!G$2:G$801,$W297)))</f>
        <v/>
      </c>
      <c r="H297">
        <f>IF($W297="","",IF(INDEX('Per Invoice'!H$2:H$801,$W297)="","",INDEX('Per Invoice'!H$2:H$801,$W297)))</f>
        <v/>
      </c>
      <c r="I297">
        <f>IF($W297="","",IF(INDEX('Per Invoice'!I$2:I$801,$W297)="","",INDEX('Per Invoice'!I$2:I$801,$W297)))</f>
        <v/>
      </c>
      <c r="J297">
        <f>IF($W297="","",IF(INDEX('Per Invoice'!J$2:J$801,$W297)="","",INDEX('Per Invoice'!J$2:J$801,$W297)))</f>
        <v/>
      </c>
      <c r="K297" s="7">
        <f>IF($W297="","",IF(INDEX('Per Invoice'!K$2:K$801,$W297)="","",INDEX('Per Invoice'!K$2:K$801,$W297)))</f>
        <v/>
      </c>
      <c r="L297" s="14">
        <f>IF($W297="","",IF(INDEX('Per Invoice'!L$2:L$801,$W297)="","",INDEX('Per Invoice'!L$2:L$801,$W297)))</f>
        <v/>
      </c>
      <c r="M297">
        <f>IF($W297="","",IF(INDEX('Per Invoice'!M$2:M$801,$W297)="","",INDEX('Per Invoice'!M$2:M$801,$W297)))</f>
        <v/>
      </c>
      <c r="N297" s="7">
        <f>IF($W297="","",IF(INDEX('Per Invoice'!N$2:N$801,$W297)="","",INDEX('Per Invoice'!N$2:N$801,$W297)))</f>
        <v/>
      </c>
      <c r="O297" s="7">
        <f>IF($W297="","",IF(INDEX('Per Invoice'!O$2:O$801,$W297)="","",INDEX('Per Invoice'!O$2:O$801,$W297)))</f>
        <v/>
      </c>
      <c r="P297">
        <f>IF($W297="","",IF(INDEX('Per Invoice'!P$2:P$801,$W297)="","",INDEX('Per Invoice'!P$2:P$801,$W297)))</f>
        <v/>
      </c>
      <c r="Q297" s="7">
        <f>IF($W297="","",IF(INDEX('Per Invoice'!Q$2:Q$801,$W297)="","",INDEX('Per Invoice'!Q$2:Q$801,$W297)))</f>
        <v/>
      </c>
      <c r="R297" s="7">
        <f>IF($W297="","",IF(INDEX('Per Invoice'!R$2:R$801,$W297)="","",INDEX('Per Invoice'!R$2:R$801,$W297)))</f>
        <v/>
      </c>
      <c r="S297" s="7">
        <f>IF($W297="","",IF(INDEX('Per Invoice'!S$2:S$801,$W297)="","",INDEX('Per Invoice'!S$2:S$801,$W297)))</f>
        <v/>
      </c>
      <c r="T297" s="7">
        <f>IF($W297="","",IF(INDEX('Per Invoice'!T$2:T$801,$W297)="","",INDEX('Per Invoice'!T$2:T$801,$W297)))</f>
        <v/>
      </c>
      <c r="U297" s="7">
        <f>IF($W297="","",IF(INDEX('Per Invoice'!U$2:U$801,$W297)="","",INDEX('Per Invoice'!U$2:U$801,$W297)))</f>
        <v/>
      </c>
      <c r="V297" s="7">
        <f>IF($W297="","",IF(INDEX('Per Invoice'!V$2:V$801,$W297)="","",INDEX('Per Invoice'!V$2:V$801,$W297)))</f>
        <v/>
      </c>
      <c r="W297" s="16">
        <f>IFERROR(MATCH(Settings!$C$32&amp;"|"&amp;ROWS($W$2:$W297),'Per Invoice'!$X$2:$X$801,0),"")</f>
        <v/>
      </c>
    </row>
    <row r="298">
      <c r="A298">
        <f>IF($W298="","",IF(INDEX('Per Invoice'!A$2:A$801,$W298)="","",INDEX('Per Invoice'!A$2:A$801,$W298)))</f>
        <v/>
      </c>
      <c r="B298">
        <f>IF($W298="","",IF(INDEX('Per Invoice'!B$2:B$801,$W298)="","",INDEX('Per Invoice'!B$2:B$801,$W298)))</f>
        <v/>
      </c>
      <c r="C298">
        <f>IF($W298="","",IF(INDEX('Per Invoice'!C$2:C$801,$W298)="","",INDEX('Per Invoice'!C$2:C$801,$W298)))</f>
        <v/>
      </c>
      <c r="D298">
        <f>IF($W298="","",IF(INDEX('Per Invoice'!D$2:D$801,$W298)="","",INDEX('Per Invoice'!D$2:D$801,$W298)))</f>
        <v/>
      </c>
      <c r="E298">
        <f>IF($W298="","",IF(INDEX('Per Invoice'!E$2:E$801,$W298)="","",INDEX('Per Invoice'!E$2:E$801,$W298)))</f>
        <v/>
      </c>
      <c r="F298">
        <f>IF($W298="","",IF(INDEX('Per Invoice'!F$2:F$801,$W298)="","",INDEX('Per Invoice'!F$2:F$801,$W298)))</f>
        <v/>
      </c>
      <c r="G298">
        <f>IF($W298="","",IF(INDEX('Per Invoice'!G$2:G$801,$W298)="","",INDEX('Per Invoice'!G$2:G$801,$W298)))</f>
        <v/>
      </c>
      <c r="H298">
        <f>IF($W298="","",IF(INDEX('Per Invoice'!H$2:H$801,$W298)="","",INDEX('Per Invoice'!H$2:H$801,$W298)))</f>
        <v/>
      </c>
      <c r="I298">
        <f>IF($W298="","",IF(INDEX('Per Invoice'!I$2:I$801,$W298)="","",INDEX('Per Invoice'!I$2:I$801,$W298)))</f>
        <v/>
      </c>
      <c r="J298">
        <f>IF($W298="","",IF(INDEX('Per Invoice'!J$2:J$801,$W298)="","",INDEX('Per Invoice'!J$2:J$801,$W298)))</f>
        <v/>
      </c>
      <c r="K298" s="7">
        <f>IF($W298="","",IF(INDEX('Per Invoice'!K$2:K$801,$W298)="","",INDEX('Per Invoice'!K$2:K$801,$W298)))</f>
        <v/>
      </c>
      <c r="L298" s="14">
        <f>IF($W298="","",IF(INDEX('Per Invoice'!L$2:L$801,$W298)="","",INDEX('Per Invoice'!L$2:L$801,$W298)))</f>
        <v/>
      </c>
      <c r="M298">
        <f>IF($W298="","",IF(INDEX('Per Invoice'!M$2:M$801,$W298)="","",INDEX('Per Invoice'!M$2:M$801,$W298)))</f>
        <v/>
      </c>
      <c r="N298" s="7">
        <f>IF($W298="","",IF(INDEX('Per Invoice'!N$2:N$801,$W298)="","",INDEX('Per Invoice'!N$2:N$801,$W298)))</f>
        <v/>
      </c>
      <c r="O298" s="7">
        <f>IF($W298="","",IF(INDEX('Per Invoice'!O$2:O$801,$W298)="","",INDEX('Per Invoice'!O$2:O$801,$W298)))</f>
        <v/>
      </c>
      <c r="P298">
        <f>IF($W298="","",IF(INDEX('Per Invoice'!P$2:P$801,$W298)="","",INDEX('Per Invoice'!P$2:P$801,$W298)))</f>
        <v/>
      </c>
      <c r="Q298" s="7">
        <f>IF($W298="","",IF(INDEX('Per Invoice'!Q$2:Q$801,$W298)="","",INDEX('Per Invoice'!Q$2:Q$801,$W298)))</f>
        <v/>
      </c>
      <c r="R298" s="7">
        <f>IF($W298="","",IF(INDEX('Per Invoice'!R$2:R$801,$W298)="","",INDEX('Per Invoice'!R$2:R$801,$W298)))</f>
        <v/>
      </c>
      <c r="S298" s="7">
        <f>IF($W298="","",IF(INDEX('Per Invoice'!S$2:S$801,$W298)="","",INDEX('Per Invoice'!S$2:S$801,$W298)))</f>
        <v/>
      </c>
      <c r="T298" s="7">
        <f>IF($W298="","",IF(INDEX('Per Invoice'!T$2:T$801,$W298)="","",INDEX('Per Invoice'!T$2:T$801,$W298)))</f>
        <v/>
      </c>
      <c r="U298" s="7">
        <f>IF($W298="","",IF(INDEX('Per Invoice'!U$2:U$801,$W298)="","",INDEX('Per Invoice'!U$2:U$801,$W298)))</f>
        <v/>
      </c>
      <c r="V298" s="7">
        <f>IF($W298="","",IF(INDEX('Per Invoice'!V$2:V$801,$W298)="","",INDEX('Per Invoice'!V$2:V$801,$W298)))</f>
        <v/>
      </c>
      <c r="W298" s="16">
        <f>IFERROR(MATCH(Settings!$C$32&amp;"|"&amp;ROWS($W$2:$W298),'Per Invoice'!$X$2:$X$801,0),"")</f>
        <v/>
      </c>
    </row>
    <row r="299">
      <c r="A299">
        <f>IF($W299="","",IF(INDEX('Per Invoice'!A$2:A$801,$W299)="","",INDEX('Per Invoice'!A$2:A$801,$W299)))</f>
        <v/>
      </c>
      <c r="B299">
        <f>IF($W299="","",IF(INDEX('Per Invoice'!B$2:B$801,$W299)="","",INDEX('Per Invoice'!B$2:B$801,$W299)))</f>
        <v/>
      </c>
      <c r="C299">
        <f>IF($W299="","",IF(INDEX('Per Invoice'!C$2:C$801,$W299)="","",INDEX('Per Invoice'!C$2:C$801,$W299)))</f>
        <v/>
      </c>
      <c r="D299">
        <f>IF($W299="","",IF(INDEX('Per Invoice'!D$2:D$801,$W299)="","",INDEX('Per Invoice'!D$2:D$801,$W299)))</f>
        <v/>
      </c>
      <c r="E299">
        <f>IF($W299="","",IF(INDEX('Per Invoice'!E$2:E$801,$W299)="","",INDEX('Per Invoice'!E$2:E$801,$W299)))</f>
        <v/>
      </c>
      <c r="F299">
        <f>IF($W299="","",IF(INDEX('Per Invoice'!F$2:F$801,$W299)="","",INDEX('Per Invoice'!F$2:F$801,$W299)))</f>
        <v/>
      </c>
      <c r="G299">
        <f>IF($W299="","",IF(INDEX('Per Invoice'!G$2:G$801,$W299)="","",INDEX('Per Invoice'!G$2:G$801,$W299)))</f>
        <v/>
      </c>
      <c r="H299">
        <f>IF($W299="","",IF(INDEX('Per Invoice'!H$2:H$801,$W299)="","",INDEX('Per Invoice'!H$2:H$801,$W299)))</f>
        <v/>
      </c>
      <c r="I299">
        <f>IF($W299="","",IF(INDEX('Per Invoice'!I$2:I$801,$W299)="","",INDEX('Per Invoice'!I$2:I$801,$W299)))</f>
        <v/>
      </c>
      <c r="J299">
        <f>IF($W299="","",IF(INDEX('Per Invoice'!J$2:J$801,$W299)="","",INDEX('Per Invoice'!J$2:J$801,$W299)))</f>
        <v/>
      </c>
      <c r="K299" s="7">
        <f>IF($W299="","",IF(INDEX('Per Invoice'!K$2:K$801,$W299)="","",INDEX('Per Invoice'!K$2:K$801,$W299)))</f>
        <v/>
      </c>
      <c r="L299" s="14">
        <f>IF($W299="","",IF(INDEX('Per Invoice'!L$2:L$801,$W299)="","",INDEX('Per Invoice'!L$2:L$801,$W299)))</f>
        <v/>
      </c>
      <c r="M299">
        <f>IF($W299="","",IF(INDEX('Per Invoice'!M$2:M$801,$W299)="","",INDEX('Per Invoice'!M$2:M$801,$W299)))</f>
        <v/>
      </c>
      <c r="N299" s="7">
        <f>IF($W299="","",IF(INDEX('Per Invoice'!N$2:N$801,$W299)="","",INDEX('Per Invoice'!N$2:N$801,$W299)))</f>
        <v/>
      </c>
      <c r="O299" s="7">
        <f>IF($W299="","",IF(INDEX('Per Invoice'!O$2:O$801,$W299)="","",INDEX('Per Invoice'!O$2:O$801,$W299)))</f>
        <v/>
      </c>
      <c r="P299">
        <f>IF($W299="","",IF(INDEX('Per Invoice'!P$2:P$801,$W299)="","",INDEX('Per Invoice'!P$2:P$801,$W299)))</f>
        <v/>
      </c>
      <c r="Q299" s="7">
        <f>IF($W299="","",IF(INDEX('Per Invoice'!Q$2:Q$801,$W299)="","",INDEX('Per Invoice'!Q$2:Q$801,$W299)))</f>
        <v/>
      </c>
      <c r="R299" s="7">
        <f>IF($W299="","",IF(INDEX('Per Invoice'!R$2:R$801,$W299)="","",INDEX('Per Invoice'!R$2:R$801,$W299)))</f>
        <v/>
      </c>
      <c r="S299" s="7">
        <f>IF($W299="","",IF(INDEX('Per Invoice'!S$2:S$801,$W299)="","",INDEX('Per Invoice'!S$2:S$801,$W299)))</f>
        <v/>
      </c>
      <c r="T299" s="7">
        <f>IF($W299="","",IF(INDEX('Per Invoice'!T$2:T$801,$W299)="","",INDEX('Per Invoice'!T$2:T$801,$W299)))</f>
        <v/>
      </c>
      <c r="U299" s="7">
        <f>IF($W299="","",IF(INDEX('Per Invoice'!U$2:U$801,$W299)="","",INDEX('Per Invoice'!U$2:U$801,$W299)))</f>
        <v/>
      </c>
      <c r="V299" s="7">
        <f>IF($W299="","",IF(INDEX('Per Invoice'!V$2:V$801,$W299)="","",INDEX('Per Invoice'!V$2:V$801,$W299)))</f>
        <v/>
      </c>
      <c r="W299" s="16">
        <f>IFERROR(MATCH(Settings!$C$32&amp;"|"&amp;ROWS($W$2:$W299),'Per Invoice'!$X$2:$X$801,0),"")</f>
        <v/>
      </c>
    </row>
    <row r="300">
      <c r="A300">
        <f>IF($W300="","",IF(INDEX('Per Invoice'!A$2:A$801,$W300)="","",INDEX('Per Invoice'!A$2:A$801,$W300)))</f>
        <v/>
      </c>
      <c r="B300">
        <f>IF($W300="","",IF(INDEX('Per Invoice'!B$2:B$801,$W300)="","",INDEX('Per Invoice'!B$2:B$801,$W300)))</f>
        <v/>
      </c>
      <c r="C300">
        <f>IF($W300="","",IF(INDEX('Per Invoice'!C$2:C$801,$W300)="","",INDEX('Per Invoice'!C$2:C$801,$W300)))</f>
        <v/>
      </c>
      <c r="D300">
        <f>IF($W300="","",IF(INDEX('Per Invoice'!D$2:D$801,$W300)="","",INDEX('Per Invoice'!D$2:D$801,$W300)))</f>
        <v/>
      </c>
      <c r="E300">
        <f>IF($W300="","",IF(INDEX('Per Invoice'!E$2:E$801,$W300)="","",INDEX('Per Invoice'!E$2:E$801,$W300)))</f>
        <v/>
      </c>
      <c r="F300">
        <f>IF($W300="","",IF(INDEX('Per Invoice'!F$2:F$801,$W300)="","",INDEX('Per Invoice'!F$2:F$801,$W300)))</f>
        <v/>
      </c>
      <c r="G300">
        <f>IF($W300="","",IF(INDEX('Per Invoice'!G$2:G$801,$W300)="","",INDEX('Per Invoice'!G$2:G$801,$W300)))</f>
        <v/>
      </c>
      <c r="H300">
        <f>IF($W300="","",IF(INDEX('Per Invoice'!H$2:H$801,$W300)="","",INDEX('Per Invoice'!H$2:H$801,$W300)))</f>
        <v/>
      </c>
      <c r="I300">
        <f>IF($W300="","",IF(INDEX('Per Invoice'!I$2:I$801,$W300)="","",INDEX('Per Invoice'!I$2:I$801,$W300)))</f>
        <v/>
      </c>
      <c r="J300">
        <f>IF($W300="","",IF(INDEX('Per Invoice'!J$2:J$801,$W300)="","",INDEX('Per Invoice'!J$2:J$801,$W300)))</f>
        <v/>
      </c>
      <c r="K300" s="7">
        <f>IF($W300="","",IF(INDEX('Per Invoice'!K$2:K$801,$W300)="","",INDEX('Per Invoice'!K$2:K$801,$W300)))</f>
        <v/>
      </c>
      <c r="L300" s="14">
        <f>IF($W300="","",IF(INDEX('Per Invoice'!L$2:L$801,$W300)="","",INDEX('Per Invoice'!L$2:L$801,$W300)))</f>
        <v/>
      </c>
      <c r="M300">
        <f>IF($W300="","",IF(INDEX('Per Invoice'!M$2:M$801,$W300)="","",INDEX('Per Invoice'!M$2:M$801,$W300)))</f>
        <v/>
      </c>
      <c r="N300" s="7">
        <f>IF($W300="","",IF(INDEX('Per Invoice'!N$2:N$801,$W300)="","",INDEX('Per Invoice'!N$2:N$801,$W300)))</f>
        <v/>
      </c>
      <c r="O300" s="7">
        <f>IF($W300="","",IF(INDEX('Per Invoice'!O$2:O$801,$W300)="","",INDEX('Per Invoice'!O$2:O$801,$W300)))</f>
        <v/>
      </c>
      <c r="P300">
        <f>IF($W300="","",IF(INDEX('Per Invoice'!P$2:P$801,$W300)="","",INDEX('Per Invoice'!P$2:P$801,$W300)))</f>
        <v/>
      </c>
      <c r="Q300" s="7">
        <f>IF($W300="","",IF(INDEX('Per Invoice'!Q$2:Q$801,$W300)="","",INDEX('Per Invoice'!Q$2:Q$801,$W300)))</f>
        <v/>
      </c>
      <c r="R300" s="7">
        <f>IF($W300="","",IF(INDEX('Per Invoice'!R$2:R$801,$W300)="","",INDEX('Per Invoice'!R$2:R$801,$W300)))</f>
        <v/>
      </c>
      <c r="S300" s="7">
        <f>IF($W300="","",IF(INDEX('Per Invoice'!S$2:S$801,$W300)="","",INDEX('Per Invoice'!S$2:S$801,$W300)))</f>
        <v/>
      </c>
      <c r="T300" s="7">
        <f>IF($W300="","",IF(INDEX('Per Invoice'!T$2:T$801,$W300)="","",INDEX('Per Invoice'!T$2:T$801,$W300)))</f>
        <v/>
      </c>
      <c r="U300" s="7">
        <f>IF($W300="","",IF(INDEX('Per Invoice'!U$2:U$801,$W300)="","",INDEX('Per Invoice'!U$2:U$801,$W300)))</f>
        <v/>
      </c>
      <c r="V300" s="7">
        <f>IF($W300="","",IF(INDEX('Per Invoice'!V$2:V$801,$W300)="","",INDEX('Per Invoice'!V$2:V$801,$W300)))</f>
        <v/>
      </c>
      <c r="W300" s="16">
        <f>IFERROR(MATCH(Settings!$C$32&amp;"|"&amp;ROWS($W$2:$W300),'Per Invoice'!$X$2:$X$801,0),"")</f>
        <v/>
      </c>
    </row>
    <row r="301">
      <c r="A301">
        <f>IF($W301="","",IF(INDEX('Per Invoice'!A$2:A$801,$W301)="","",INDEX('Per Invoice'!A$2:A$801,$W301)))</f>
        <v/>
      </c>
      <c r="B301">
        <f>IF($W301="","",IF(INDEX('Per Invoice'!B$2:B$801,$W301)="","",INDEX('Per Invoice'!B$2:B$801,$W301)))</f>
        <v/>
      </c>
      <c r="C301">
        <f>IF($W301="","",IF(INDEX('Per Invoice'!C$2:C$801,$W301)="","",INDEX('Per Invoice'!C$2:C$801,$W301)))</f>
        <v/>
      </c>
      <c r="D301">
        <f>IF($W301="","",IF(INDEX('Per Invoice'!D$2:D$801,$W301)="","",INDEX('Per Invoice'!D$2:D$801,$W301)))</f>
        <v/>
      </c>
      <c r="E301">
        <f>IF($W301="","",IF(INDEX('Per Invoice'!E$2:E$801,$W301)="","",INDEX('Per Invoice'!E$2:E$801,$W301)))</f>
        <v/>
      </c>
      <c r="F301">
        <f>IF($W301="","",IF(INDEX('Per Invoice'!F$2:F$801,$W301)="","",INDEX('Per Invoice'!F$2:F$801,$W301)))</f>
        <v/>
      </c>
      <c r="G301">
        <f>IF($W301="","",IF(INDEX('Per Invoice'!G$2:G$801,$W301)="","",INDEX('Per Invoice'!G$2:G$801,$W301)))</f>
        <v/>
      </c>
      <c r="H301">
        <f>IF($W301="","",IF(INDEX('Per Invoice'!H$2:H$801,$W301)="","",INDEX('Per Invoice'!H$2:H$801,$W301)))</f>
        <v/>
      </c>
      <c r="I301">
        <f>IF($W301="","",IF(INDEX('Per Invoice'!I$2:I$801,$W301)="","",INDEX('Per Invoice'!I$2:I$801,$W301)))</f>
        <v/>
      </c>
      <c r="J301">
        <f>IF($W301="","",IF(INDEX('Per Invoice'!J$2:J$801,$W301)="","",INDEX('Per Invoice'!J$2:J$801,$W301)))</f>
        <v/>
      </c>
      <c r="K301" s="7">
        <f>IF($W301="","",IF(INDEX('Per Invoice'!K$2:K$801,$W301)="","",INDEX('Per Invoice'!K$2:K$801,$W301)))</f>
        <v/>
      </c>
      <c r="L301" s="14">
        <f>IF($W301="","",IF(INDEX('Per Invoice'!L$2:L$801,$W301)="","",INDEX('Per Invoice'!L$2:L$801,$W301)))</f>
        <v/>
      </c>
      <c r="M301">
        <f>IF($W301="","",IF(INDEX('Per Invoice'!M$2:M$801,$W301)="","",INDEX('Per Invoice'!M$2:M$801,$W301)))</f>
        <v/>
      </c>
      <c r="N301" s="7">
        <f>IF($W301="","",IF(INDEX('Per Invoice'!N$2:N$801,$W301)="","",INDEX('Per Invoice'!N$2:N$801,$W301)))</f>
        <v/>
      </c>
      <c r="O301" s="7">
        <f>IF($W301="","",IF(INDEX('Per Invoice'!O$2:O$801,$W301)="","",INDEX('Per Invoice'!O$2:O$801,$W301)))</f>
        <v/>
      </c>
      <c r="P301">
        <f>IF($W301="","",IF(INDEX('Per Invoice'!P$2:P$801,$W301)="","",INDEX('Per Invoice'!P$2:P$801,$W301)))</f>
        <v/>
      </c>
      <c r="Q301" s="7">
        <f>IF($W301="","",IF(INDEX('Per Invoice'!Q$2:Q$801,$W301)="","",INDEX('Per Invoice'!Q$2:Q$801,$W301)))</f>
        <v/>
      </c>
      <c r="R301" s="7">
        <f>IF($W301="","",IF(INDEX('Per Invoice'!R$2:R$801,$W301)="","",INDEX('Per Invoice'!R$2:R$801,$W301)))</f>
        <v/>
      </c>
      <c r="S301" s="7">
        <f>IF($W301="","",IF(INDEX('Per Invoice'!S$2:S$801,$W301)="","",INDEX('Per Invoice'!S$2:S$801,$W301)))</f>
        <v/>
      </c>
      <c r="T301" s="7">
        <f>IF($W301="","",IF(INDEX('Per Invoice'!T$2:T$801,$W301)="","",INDEX('Per Invoice'!T$2:T$801,$W301)))</f>
        <v/>
      </c>
      <c r="U301" s="7">
        <f>IF($W301="","",IF(INDEX('Per Invoice'!U$2:U$801,$W301)="","",INDEX('Per Invoice'!U$2:U$801,$W301)))</f>
        <v/>
      </c>
      <c r="V301" s="7">
        <f>IF($W301="","",IF(INDEX('Per Invoice'!V$2:V$801,$W301)="","",INDEX('Per Invoice'!V$2:V$801,$W301)))</f>
        <v/>
      </c>
      <c r="W301" s="16">
        <f>IFERROR(MATCH(Settings!$C$32&amp;"|"&amp;ROWS($W$2:$W301),'Per Invoice'!$X$2:$X$801,0),"")</f>
        <v/>
      </c>
    </row>
  </sheetData>
  <autoFilter ref="A1:W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2026-10-20T13:00:08Z</dcterms:created>
  <dcterms:modified xmlns:dcterms="http://purl.org/dc/terms/" xmlns:xsi="http://www.w3.org/2001/XMLSchema-instance" xsi:type="dcterms:W3CDTF">2026-10-20T13:00:09Z</dcterms:modified>
</cp:coreProperties>
</file>